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CONGVIEC\2019 -202x\3. Chia sẻ qua Drive\Mẫu tập hợp báo cáo tháng\"/>
    </mc:Choice>
  </mc:AlternateContent>
  <bookViews>
    <workbookView xWindow="0" yWindow="0" windowWidth="20490" windowHeight="7020" tabRatio="870" firstSheet="1" activeTab="1"/>
  </bookViews>
  <sheets>
    <sheet name="sample" sheetId="23" state="hidden" r:id="rId1"/>
    <sheet name="TỔNG HỢP" sheetId="22" r:id="rId2"/>
    <sheet name="XTTH" sheetId="30" state="hidden" r:id="rId3"/>
    <sheet name="HNTH" sheetId="24" state="hidden" r:id="rId4"/>
    <sheet name="NĐTH" sheetId="25" state="hidden" r:id="rId5"/>
    <sheet name="TTSSKĐTH" sheetId="26" state="hidden" r:id="rId6"/>
    <sheet name="KHPTH" sheetId="27" state="hidden" r:id="rId7"/>
    <sheet name="KMBTH" sheetId="28" state="hidden" r:id="rId8"/>
    <sheet name="HN" sheetId="17" r:id="rId9"/>
    <sheet name="NĐ" sheetId="18" r:id="rId10"/>
    <sheet name="TTSSKĐ" sheetId="19" r:id="rId11"/>
    <sheet name="XT" sheetId="29" r:id="rId12"/>
    <sheet name="KHP" sheetId="20" r:id="rId13"/>
    <sheet name="KMB" sheetId="21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</externalReferences>
  <definedNames>
    <definedName name="\p">#N/A</definedName>
    <definedName name="___ten2">#REF!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btm10">#REF!</definedName>
    <definedName name="__btm100">#REF!</definedName>
    <definedName name="__BTM150">#REF!</definedName>
    <definedName name="__BTM250">#REF!</definedName>
    <definedName name="__btM300">#REF!</definedName>
    <definedName name="__BTM50">#REF!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ON1">#REF!</definedName>
    <definedName name="__CON2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ao1">#REF!</definedName>
    <definedName name="__dbu1">#REF!</definedName>
    <definedName name="__dbu2">#REF!</definedName>
    <definedName name="__ddn400">#REF!</definedName>
    <definedName name="__ddn600">#REF!</definedName>
    <definedName name="__gon4">#REF!</definedName>
    <definedName name="__hom2">#REF!</definedName>
    <definedName name="__lap1">#REF!</definedName>
    <definedName name="__lap2">#REF!</definedName>
    <definedName name="__MAC12">#REF!</definedName>
    <definedName name="__MAC46">#REF!</definedName>
    <definedName name="__NC100">#REF!</definedName>
    <definedName name="__NC150">#REF!</definedName>
    <definedName name="__NCL100">#REF!</definedName>
    <definedName name="__NCL200">#REF!</definedName>
    <definedName name="__NCL250">#REF!</definedName>
    <definedName name="__NET2">#REF!</definedName>
    <definedName name="__Ni1">#REF!</definedName>
    <definedName name="__Nii1">#REF!</definedName>
    <definedName name="__Nii3">#REF!</definedName>
    <definedName name="__Nii35">#REF!</definedName>
    <definedName name="__Nii4">#REF!</definedName>
    <definedName name="__Nii5">#REF!</definedName>
    <definedName name="__Nii6">#REF!</definedName>
    <definedName name="__Nii7">#REF!</definedName>
    <definedName name="__nin190">#REF!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RHH1">#REF!</definedName>
    <definedName name="__RHH10">#REF!</definedName>
    <definedName name="__RHP1">#REF!</definedName>
    <definedName name="__RHP10">#REF!</definedName>
    <definedName name="__RI1">#REF!</definedName>
    <definedName name="__RI10">#REF!</definedName>
    <definedName name="__RII1">#REF!</definedName>
    <definedName name="__RII10">#REF!</definedName>
    <definedName name="__RIP1">#REF!</definedName>
    <definedName name="__RIP10">#REF!</definedName>
    <definedName name="__sat10">#REF!</definedName>
    <definedName name="__sat12">#REF!</definedName>
    <definedName name="__sat14">#REF!</definedName>
    <definedName name="__sat16">#REF!</definedName>
    <definedName name="__sat20">#REF!</definedName>
    <definedName name="__sat8">#REF!</definedName>
    <definedName name="__sc1">#REF!</definedName>
    <definedName name="__SC2">#REF!</definedName>
    <definedName name="__sc3">#REF!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en3">#REF!</definedName>
    <definedName name="__tk1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z593">#REF!</definedName>
    <definedName name="__vc1">#REF!</definedName>
    <definedName name="__vc2">#REF!</definedName>
    <definedName name="__vc3">#REF!</definedName>
    <definedName name="__VL100">#REF!</definedName>
    <definedName name="__VL150">#REF!</definedName>
    <definedName name="__VL200">#REF!</definedName>
    <definedName name="__VL250">#REF!</definedName>
    <definedName name="_1">#REF!</definedName>
    <definedName name="_1000A01">#N/A</definedName>
    <definedName name="_2">#REF!</definedName>
    <definedName name="_3N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boi1">#REF!</definedName>
    <definedName name="_boi2">#REF!</definedName>
    <definedName name="_btm10">#REF!</definedName>
    <definedName name="_btm100">#REF!</definedName>
    <definedName name="_BTM150">#REF!</definedName>
    <definedName name="_BTM250">#REF!</definedName>
    <definedName name="_btM300">#REF!</definedName>
    <definedName name="_BTM50">#REF!</definedName>
    <definedName name="_bua25">#REF!</definedName>
    <definedName name="_Builtin0">[1]XL4Poppy!$C$4</definedName>
    <definedName name="_C_Lphi_4ab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at2">#REF!</definedName>
    <definedName name="_cat3">#REF!</definedName>
    <definedName name="_cat4">#REF!</definedName>
    <definedName name="_cau16">#REF!</definedName>
    <definedName name="_cau25">#REF!</definedName>
    <definedName name="_cau40">#REF!</definedName>
    <definedName name="_cau50">#REF!</definedName>
    <definedName name="_CON1">#REF!</definedName>
    <definedName name="_CON2">#REF!</definedName>
    <definedName name="_CPhi_Bhiem">#REF!</definedName>
    <definedName name="_CPhi_BQLDA">#REF!</definedName>
    <definedName name="_CPhi_DBaoGT">#REF!</definedName>
    <definedName name="_CPhi_Kdinh">#REF!</definedName>
    <definedName name="_CPhi_Nthu_KThanh">#REF!</definedName>
    <definedName name="_CPhi_QToan">#REF!</definedName>
    <definedName name="_CPhiTKe_13">#REF!</definedName>
    <definedName name="_cty5">{"Book1","Cau Van Phu.xls"}</definedName>
    <definedName name="_d2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o1">#REF!</definedName>
    <definedName name="_dbu1">#REF!</definedName>
    <definedName name="_dbu2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Fill" hidden="1">#REF!</definedName>
    <definedName name="_gon4">#REF!</definedName>
    <definedName name="_hom2">#REF!</definedName>
    <definedName name="_hsm2">1.1289</definedName>
    <definedName name="_Key1" hidden="1">#REF!</definedName>
    <definedName name="_Key2" hidden="1">#REF!</definedName>
    <definedName name="_lap1">#REF!</definedName>
    <definedName name="_lap2">#REF!</definedName>
    <definedName name="_m4" hidden="1">{"'Sheet1'!$L$16"}</definedName>
    <definedName name="_Ma01">'[2]2001'!$F$9:$F$884</definedName>
    <definedName name="_Ma2001">'[2]156nhap01'!$G$5:$G$86</definedName>
    <definedName name="_MAC12">#REF!</definedName>
    <definedName name="_MAC46">#REF!</definedName>
    <definedName name="_may1">#REF!</definedName>
    <definedName name="_may2">#REF!</definedName>
    <definedName name="_may3">#REF!</definedName>
    <definedName name="_mix6">#REF!</definedName>
    <definedName name="_msl100">#REF!</definedName>
    <definedName name="_msl200">#REF!</definedName>
    <definedName name="_msl250">#REF!</definedName>
    <definedName name="_msl300">#REF!</definedName>
    <definedName name="_msl400">#REF!</definedName>
    <definedName name="_msl800">#REF!</definedName>
    <definedName name="_mui100">#REF!</definedName>
    <definedName name="_mui105">#REF!</definedName>
    <definedName name="_mui108">#REF!</definedName>
    <definedName name="_mui130">#REF!</definedName>
    <definedName name="_mui140">#REF!</definedName>
    <definedName name="_mui160">#REF!</definedName>
    <definedName name="_mui180">#REF!</definedName>
    <definedName name="_mui250">#REF!</definedName>
    <definedName name="_mui271">#REF!</definedName>
    <definedName name="_mui320">#REF!</definedName>
    <definedName name="_mui45">#REF!</definedName>
    <definedName name="_mui50">#REF!</definedName>
    <definedName name="_mui54">#REF!</definedName>
    <definedName name="_mui65">#REF!</definedName>
    <definedName name="_mui75">#REF!</definedName>
    <definedName name="_mui80">#REF!</definedName>
    <definedName name="_mx1">#REF!</definedName>
    <definedName name="_NC100">#REF!</definedName>
    <definedName name="_NC150">#REF!</definedName>
    <definedName name="_NCL100">#REF!</definedName>
    <definedName name="_NCL200">#REF!</definedName>
    <definedName name="_NCL250">#REF!</definedName>
    <definedName name="_NET2">#REF!</definedName>
    <definedName name="_Ni1">#REF!</definedName>
    <definedName name="_Nii1">#REF!</definedName>
    <definedName name="_Nii3">#REF!</definedName>
    <definedName name="_Nii35">#REF!</definedName>
    <definedName name="_Nii4">#REF!</definedName>
    <definedName name="_Nii5">#REF!</definedName>
    <definedName name="_Nii6">#REF!</definedName>
    <definedName name="_Nii7">#REF!</definedName>
    <definedName name="_nin190">#REF!</definedName>
    <definedName name="_Order1" hidden="1">255</definedName>
    <definedName name="_Order2" hidden="1">255</definedName>
    <definedName name="_oto12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RHH1">#REF!</definedName>
    <definedName name="_RHH10">#REF!</definedName>
    <definedName name="_RHP1">#REF!</definedName>
    <definedName name="_RHP10">#REF!</definedName>
    <definedName name="_RI1">#REF!</definedName>
    <definedName name="_RI10">#REF!</definedName>
    <definedName name="_RII1">#REF!</definedName>
    <definedName name="_RII10">#REF!</definedName>
    <definedName name="_RIP1">#REF!</definedName>
    <definedName name="_RIP10">#REF!</definedName>
    <definedName name="_san108">#REF!</definedName>
    <definedName name="_sat10">#REF!</definedName>
    <definedName name="_sat12">#REF!</definedName>
    <definedName name="_sat14">#REF!</definedName>
    <definedName name="_sat16">#REF!</definedName>
    <definedName name="_sat20">#REF!</definedName>
    <definedName name="_sat8">#REF!</definedName>
    <definedName name="_sc1">#REF!</definedName>
    <definedName name="_SC2">#REF!</definedName>
    <definedName name="_sc3">#REF!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ua20">#REF!</definedName>
    <definedName name="_sua30">#REF!</definedName>
    <definedName name="_tct5">#REF!</definedName>
    <definedName name="_ten2">#REF!</definedName>
    <definedName name="_ten3">#REF!</definedName>
    <definedName name="_TG1">#REF!</definedName>
    <definedName name="_tk1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ra100">#REF!</definedName>
    <definedName name="_tra102">#REF!</definedName>
    <definedName name="_tra104">#REF!</definedName>
    <definedName name="_tra106">#REF!</definedName>
    <definedName name="_tra108">#REF!</definedName>
    <definedName name="_tra110">#REF!</definedName>
    <definedName name="_tra112">#REF!</definedName>
    <definedName name="_tra114">#REF!</definedName>
    <definedName name="_tra116">#REF!</definedName>
    <definedName name="_tra118">#REF!</definedName>
    <definedName name="_tra120">#REF!</definedName>
    <definedName name="_tra122">#REF!</definedName>
    <definedName name="_tra124">#REF!</definedName>
    <definedName name="_tra126">#REF!</definedName>
    <definedName name="_tra128">#REF!</definedName>
    <definedName name="_tra130">#REF!</definedName>
    <definedName name="_tra132">#REF!</definedName>
    <definedName name="_tra134">#REF!</definedName>
    <definedName name="_tra136">#REF!</definedName>
    <definedName name="_tra138">#REF!</definedName>
    <definedName name="_tra140">#REF!</definedName>
    <definedName name="_tra70">#REF!</definedName>
    <definedName name="_tra72">#REF!</definedName>
    <definedName name="_tra74">#REF!</definedName>
    <definedName name="_tra76">#REF!</definedName>
    <definedName name="_tra78">#REF!</definedName>
    <definedName name="_tra80">#REF!</definedName>
    <definedName name="_tra82">#REF!</definedName>
    <definedName name="_tra84">#REF!</definedName>
    <definedName name="_tra86">#REF!</definedName>
    <definedName name="_tra88">#REF!</definedName>
    <definedName name="_tra90">#REF!</definedName>
    <definedName name="_tra92">#REF!</definedName>
    <definedName name="_tra94">#REF!</definedName>
    <definedName name="_tra96">#REF!</definedName>
    <definedName name="_tra98">#REF!</definedName>
    <definedName name="_tz593">#REF!</definedName>
    <definedName name="_ui108">#REF!</definedName>
    <definedName name="_ui180">#REF!</definedName>
    <definedName name="_vbt150">#REF!</definedName>
    <definedName name="_vbt200">#REF!</definedName>
    <definedName name="_vbt210">#REF!</definedName>
    <definedName name="_vbt300">#REF!</definedName>
    <definedName name="_vbt400">#REF!</definedName>
    <definedName name="_vc1">#REF!</definedName>
    <definedName name="_vc2">#REF!</definedName>
    <definedName name="_vc3">#REF!</definedName>
    <definedName name="_VL100">#REF!</definedName>
    <definedName name="_VL150">#REF!</definedName>
    <definedName name="_VL200">#REF!</definedName>
    <definedName name="_VL250">#REF!</definedName>
    <definedName name="_vtu1">#REF!</definedName>
    <definedName name="_vxm100">#REF!</definedName>
    <definedName name="_vxm300">#REF!</definedName>
    <definedName name="_vxm500">#REF!</definedName>
    <definedName name="_vxm75">#REF!</definedName>
    <definedName name="_xm2">#REF!</definedName>
    <definedName name="_xm3">#REF!</definedName>
    <definedName name="_xm30">#REF!</definedName>
    <definedName name="_xm4">#REF!</definedName>
    <definedName name="_xm40">#REF!</definedName>
    <definedName name="_xm5">#REF!</definedName>
    <definedName name="a">[3]VINHPHUC!$F$1:$F$65536</definedName>
    <definedName name="ằ" hidden="1">{"'Sheet1'!$L$16"}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20_">#REF!</definedName>
    <definedName name="a277Print_Titles">#REF!</definedName>
    <definedName name="A35_">#REF!</definedName>
    <definedName name="A50_">#REF!</definedName>
    <definedName name="A70_">#REF!</definedName>
    <definedName name="A95_">#REF!</definedName>
    <definedName name="AA">#REF!</definedName>
    <definedName name="aaa">#REF!</definedName>
    <definedName name="aaaa">#REF!</definedName>
    <definedName name="aavavavav" hidden="1">{#N/A,#N/A,FALSE,"Chi tiÆt"}</definedName>
    <definedName name="ab">#REF!</definedName>
    <definedName name="abc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dd">#REF!</definedName>
    <definedName name="ADEQ">#REF!</definedName>
    <definedName name="aégdfgfdb">[4]Summary!#REF!</definedName>
    <definedName name="aegwhg.gk" hidden="1">{"Offgrid",#N/A,FALSE,"OFFGRID";"Region",#N/A,FALSE,"REGION";"Offgrid -2",#N/A,FALSE,"OFFGRID";"WTP",#N/A,FALSE,"WTP";"WTP -2",#N/A,FALSE,"WTP";"Project",#N/A,FALSE,"PROJECT";"Summary -2",#N/A,FALSE,"SUMMARY"}</definedName>
    <definedName name="aetg.hgrs" hidden="1">{"Offgrid",#N/A,FALSE,"OFFGRID";"Region",#N/A,FALSE,"REGION";"Offgrid -2",#N/A,FALSE,"OFFGRID";"WTP",#N/A,FALSE,"WTP";"WTP -2",#N/A,FALSE,"WTP";"Project",#N/A,FALSE,"PROJECT";"Summary -2",#N/A,FALSE,"SUMMARY"}</definedName>
    <definedName name="âétggâgqgêágghe" hidden="1">{#N/A,#N/A,FALSE,"Chi tiÆt"}</definedName>
    <definedName name="âfA" hidden="1">{"'Sheet1'!$L$16"}</definedName>
    <definedName name="ăg" hidden="1">{"'Sheet1'!$L$16"}</definedName>
    <definedName name="ag15F80">#REF!</definedName>
    <definedName name="ẩgg" hidden="1">{"'Sheet1'!$L$16"}</definedName>
    <definedName name="ầgga" hidden="1">{"'Sheet1'!$L$16"}</definedName>
    <definedName name="âgsgfdhfh">#REF!</definedName>
    <definedName name="aho">#REF!</definedName>
    <definedName name="aircompressor">#REF!</definedName>
    <definedName name="al">#REF!</definedName>
    <definedName name="All_Item">#REF!</definedName>
    <definedName name="ALPIN">#N/A</definedName>
    <definedName name="ALPJYOU">#N/A</definedName>
    <definedName name="ALPTOI">#N/A</definedName>
    <definedName name="anca">#REF!</definedName>
    <definedName name="anpha">#REF!</definedName>
    <definedName name="AQ">#REF!</definedName>
    <definedName name="AS2DocOpenMode" hidden="1">"AS2DocumentEdit"</definedName>
    <definedName name="asd">#REF!</definedName>
    <definedName name="ASP">#REF!</definedName>
    <definedName name="Av">#REF!</definedName>
    <definedName name="avavgveqvaq" hidden="1">{"Offgrid",#N/A,FALSE,"OFFGRID";"Region",#N/A,FALSE,"REGION";"Offgrid -2",#N/A,FALSE,"OFFGRID";"WTP",#N/A,FALSE,"WTP";"WTP -2",#N/A,FALSE,"WTP";"Project",#N/A,FALSE,"PROJECT";"Summary -2",#N/A,FALSE,"SUMMARY"}</definedName>
    <definedName name="b_dd1">#REF!</definedName>
    <definedName name="b_DL">#REF!</definedName>
    <definedName name="b_eh">#REF!</definedName>
    <definedName name="b_eh1">#REF!</definedName>
    <definedName name="b_ev">#REF!</definedName>
    <definedName name="b_ev1">#REF!</definedName>
    <definedName name="b_FR">#REF!</definedName>
    <definedName name="b_fr1">#REF!</definedName>
    <definedName name="b_LL">#REF!</definedName>
    <definedName name="b_ll1">#REF!</definedName>
    <definedName name="B_VND">0.05</definedName>
    <definedName name="b_WL">#REF!</definedName>
    <definedName name="b_WL1">#REF!</definedName>
    <definedName name="b_WS">#REF!</definedName>
    <definedName name="b_ws1">#REF!</definedName>
    <definedName name="B_YEN">0.1</definedName>
    <definedName name="b1_">#REF!</definedName>
    <definedName name="b2_">#REF!</definedName>
    <definedName name="b3_">#REF!</definedName>
    <definedName name="b4_">#REF!</definedName>
    <definedName name="bac25d">#REF!</definedName>
    <definedName name="bac27d">#REF!</definedName>
    <definedName name="bac2d">#REF!</definedName>
    <definedName name="bac35d">#REF!</definedName>
    <definedName name="bac37d">#REF!</definedName>
    <definedName name="bac3d">#REF!</definedName>
    <definedName name="bac45d">#REF!</definedName>
    <definedName name="bac47d">#REF!</definedName>
    <definedName name="bac4d">#REF!</definedName>
    <definedName name="bac4d1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chu">#REF!</definedName>
    <definedName name="BarData">#REF!</definedName>
    <definedName name="BAREllnjnj">#REF!</definedName>
    <definedName name="BAREMBON">#REF!</definedName>
    <definedName name="BB">#REF!</definedName>
    <definedName name="BCKT">#REF!</definedName>
    <definedName name="bengam">#REF!</definedName>
    <definedName name="benuoc">#REF!</definedName>
    <definedName name="beta">#REF!</definedName>
    <definedName name="BGVANCHUYEN260308">#REF!</definedName>
    <definedName name="bhtn">'[5]Luong thang 0709'!$AS$1:$AS$65536</definedName>
    <definedName name="bhtn1">#REF!</definedName>
    <definedName name="bhxh">#REF!</definedName>
    <definedName name="bhxh15">#REF!</definedName>
    <definedName name="bhxh5">#REF!</definedName>
    <definedName name="bhyt">#REF!</definedName>
    <definedName name="bhyt1">#REF!</definedName>
    <definedName name="bhyt2">#REF!</definedName>
    <definedName name="biencn1200x1000">#REF!</definedName>
    <definedName name="biencn1600x1000">#REF!</definedName>
    <definedName name="biencn400x400">#REF!</definedName>
    <definedName name="biencn800x600">#REF!</definedName>
    <definedName name="bientamgiac900">#REF!</definedName>
    <definedName name="bientron900">#REF!</definedName>
    <definedName name="BIEUDOLAOCAI">'[3]NINH BINH'!$G$7:$G$20</definedName>
    <definedName name="BIEUDOVINHYEN">[3]NAMDINH!$G$7:$G$19</definedName>
    <definedName name="BIEUDOYENBAI">[3]HANAM!$G$11:$G$20</definedName>
    <definedName name="bitum">#REF!</definedName>
    <definedName name="Bng">#REF!</definedName>
    <definedName name="bombt50">#REF!</definedName>
    <definedName name="bombt60">#REF!</definedName>
    <definedName name="bomnuoc20kw">#REF!</definedName>
    <definedName name="bomvua1.5">#REF!</definedName>
    <definedName name="BOOK1">[6]XL4Poppy!$B$1:$B$16</definedName>
    <definedName name="Book2">#REF!</definedName>
    <definedName name="BOQ">#REF!</definedName>
    <definedName name="bp">#REF!</definedName>
    <definedName name="BT">#REF!</definedName>
    <definedName name="BT_A1">#REF!</definedName>
    <definedName name="BT_A2.1">#REF!</definedName>
    <definedName name="BT_A2.2">#REF!</definedName>
    <definedName name="BT_B1">#REF!</definedName>
    <definedName name="BT_B2">#REF!</definedName>
    <definedName name="BT_C1">#REF!</definedName>
    <definedName name="BT_loai_A2.1">#REF!</definedName>
    <definedName name="BT_P1">#REF!</definedName>
    <definedName name="btadn">#REF!</definedName>
    <definedName name="btah">#REF!</definedName>
    <definedName name="btaqn">#REF!</definedName>
    <definedName name="btaqt">#REF!</definedName>
    <definedName name="btbdn">#REF!</definedName>
    <definedName name="btbh">#REF!</definedName>
    <definedName name="btbqn">#REF!</definedName>
    <definedName name="btbqt">#REF!</definedName>
    <definedName name="btcdn">#REF!</definedName>
    <definedName name="btch">#REF!</definedName>
    <definedName name="btchiuaxitm300">#REF!</definedName>
    <definedName name="BTchiuaxm200">#REF!</definedName>
    <definedName name="btcocM400">#REF!</definedName>
    <definedName name="btcqn">#REF!</definedName>
    <definedName name="btcqt">#REF!</definedName>
    <definedName name="btddn">#REF!</definedName>
    <definedName name="btdh">#REF!</definedName>
    <definedName name="btdqn">#REF!</definedName>
    <definedName name="btdqt">#REF!</definedName>
    <definedName name="bteqn">#REF!</definedName>
    <definedName name="BTlotm100">#REF!</definedName>
    <definedName name="btr">#REF!</definedName>
    <definedName name="Btt">#REF!</definedName>
    <definedName name="Bua">#REF!</definedName>
    <definedName name="bua1.2">#REF!</definedName>
    <definedName name="bua1.8">#REF!</definedName>
    <definedName name="buarung170">#REF!</definedName>
    <definedName name="Bust">[7]XL4Poppy!$C$31</definedName>
    <definedName name="BVCISUMMARY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_">#REF!</definedName>
    <definedName name="C_VND">0.03</definedName>
    <definedName name="C_YEN">0.1</definedName>
    <definedName name="c5.">#REF!</definedName>
    <definedName name="cackhoantruylinh">'[5]Luong thang 0709'!$AL$1:$AL$65536</definedName>
    <definedName name="cao">#REF!</definedName>
    <definedName name="Cap_DUL_doc_B">#REF!</definedName>
    <definedName name="CAP_DUL_ngang_B">#REF!</definedName>
    <definedName name="capdul">#REF!</definedName>
    <definedName name="cat">#REF!</definedName>
    <definedName name="catcap">#REF!</definedName>
    <definedName name="Category_All">#REF!</definedName>
    <definedName name="CATIN">#N/A</definedName>
    <definedName name="CATJYOU">#N/A</definedName>
    <definedName name="catm">#REF!</definedName>
    <definedName name="catn">#REF!</definedName>
    <definedName name="CATREC">#N/A</definedName>
    <definedName name="CATSYU">#N/A</definedName>
    <definedName name="caunoi30">#REF!</definedName>
    <definedName name="cb">#REF!</definedName>
    <definedName name="cc">#REF!</definedName>
    <definedName name="CCS">#REF!</definedName>
    <definedName name="cd">#REF!</definedName>
    <definedName name="CDD">#REF!</definedName>
    <definedName name="Cdnum">#REF!</definedName>
    <definedName name="cfc">#REF!</definedName>
    <definedName name="cfk">#REF!</definedName>
    <definedName name="CH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enhlechHScung">#REF!</definedName>
    <definedName name="CHi">[4]Summary!#REF!</definedName>
    <definedName name="chi_tiÕt_vËt_liÖu___nh_n_c_ng___m_y_thi_c_ng">#REF!</definedName>
    <definedName name="chiyoko">#REF!</definedName>
    <definedName name="chucvu">#REF!</definedName>
    <definedName name="chung">66</definedName>
    <definedName name="CK">#REF!</definedName>
    <definedName name="CLVC3">0.1</definedName>
    <definedName name="CLVCTB">#REF!</definedName>
    <definedName name="cn">#REF!</definedName>
    <definedName name="CNC">#REF!</definedName>
    <definedName name="CND">#REF!</definedName>
    <definedName name="cne">#REF!</definedName>
    <definedName name="CNG">#REF!</definedName>
    <definedName name="Co">#REF!</definedName>
    <definedName name="coc">#REF!</definedName>
    <definedName name="COC_1.2">#REF!</definedName>
    <definedName name="Coc_2m">#REF!</definedName>
    <definedName name="cocbtct">#REF!</definedName>
    <definedName name="cocot">#REF!</definedName>
    <definedName name="cocott">#REF!</definedName>
    <definedName name="coctram6m">#REF!</definedName>
    <definedName name="Cöï_ly_vaän_chuyeãn">#REF!</definedName>
    <definedName name="CÖÏ_LY_VAÄN_CHUYEÅN">#REF!</definedName>
    <definedName name="Comm">BlankMacro1</definedName>
    <definedName name="COMMON">#REF!</definedName>
    <definedName name="comong">#REF!</definedName>
    <definedName name="CON_EQP_COS">#REF!</definedName>
    <definedName name="CON_EQP_COST">#REF!</definedName>
    <definedName name="Cong_HM_DTCT">#REF!</definedName>
    <definedName name="Cong_M_DTCT">#REF!</definedName>
    <definedName name="Cong_NC_DTCT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doan1">#REF!</definedName>
    <definedName name="congdoan2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">[7]XL4Poppy!$C$9</definedName>
    <definedName name="COT">#REF!</definedName>
    <definedName name="cot7.5">#REF!</definedName>
    <definedName name="cot8.5">#REF!</definedName>
    <definedName name="cotbienbao">#REF!</definedName>
    <definedName name="cottron">#REF!</definedName>
    <definedName name="cotvuong">#REF!</definedName>
    <definedName name="COVER">#REF!</definedName>
    <definedName name="CP" hidden="1">#REF!</definedName>
    <definedName name="cpkhTT">#REF!</definedName>
    <definedName name="CPT">#REF!</definedName>
    <definedName name="CPVC100">#REF!</definedName>
    <definedName name="cpyt">#REF!</definedName>
    <definedName name="CRD">#REF!</definedName>
    <definedName name="CRIT1">#REF!</definedName>
    <definedName name="CRIT10">#REF!</definedName>
    <definedName name="CRIT2">#REF!</definedName>
    <definedName name="CRIT3">#REF!</definedName>
    <definedName name="CRIT4">#REF!</definedName>
    <definedName name="CRIT5">#REF!</definedName>
    <definedName name="CRIT6">#REF!</definedName>
    <definedName name="CRIT7">#REF!</definedName>
    <definedName name="CRIT8">#REF!</definedName>
    <definedName name="CRIT9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KSTK">#REF!</definedName>
    <definedName name="CT_MCX">#REF!</definedName>
    <definedName name="CTHT">#REF!</definedName>
    <definedName name="ctiep">#REF!</definedName>
    <definedName name="CTY_CP_TM_XNK_THUÛ_ÑÖÙC">#REF!</definedName>
    <definedName name="CU_LY">#REF!</definedName>
    <definedName name="cuoc_vc">#REF!</definedName>
    <definedName name="CURRENCY">#REF!</definedName>
    <definedName name="cutback">#REF!</definedName>
    <definedName name="CX">#REF!</definedName>
    <definedName name="D_7101A_B">#REF!</definedName>
    <definedName name="D_L">#REF!</definedName>
    <definedName name="d1_">#REF!</definedName>
    <definedName name="d2_">#REF!</definedName>
    <definedName name="d3_">#REF!</definedName>
    <definedName name="d4_">#REF!</definedName>
    <definedName name="d5_">#REF!</definedName>
    <definedName name="da">#REF!</definedName>
    <definedName name="da1x1">#REF!</definedName>
    <definedName name="da1x2">#REF!</definedName>
    <definedName name="da1x22">#REF!</definedName>
    <definedName name="da1x23">#REF!</definedName>
    <definedName name="da1x24">#REF!</definedName>
    <definedName name="da2x4">#REF!</definedName>
    <definedName name="dah">#REF!</definedName>
    <definedName name="dahoc">#REF!</definedName>
    <definedName name="dalinh">#REF!</definedName>
    <definedName name="dam">#REF!</definedName>
    <definedName name="dam_24">#REF!</definedName>
    <definedName name="damban1kw">#REF!</definedName>
    <definedName name="damcoc60">#REF!</definedName>
    <definedName name="damcoc80">#REF!</definedName>
    <definedName name="damdui1.5">#REF!</definedName>
    <definedName name="DamNgang">#REF!</definedName>
    <definedName name="danducsan">#REF!</definedName>
    <definedName name="dao">#REF!</definedName>
    <definedName name="DAO_DAT">#REF!</definedName>
    <definedName name="dao0.65">#REF!</definedName>
    <definedName name="dao1.0">#REF!</definedName>
    <definedName name="dap">#REF!</definedName>
    <definedName name="dapdbm1">#REF!</definedName>
    <definedName name="dapdbm2">#REF!</definedName>
    <definedName name="DAT">#REF!</definedName>
    <definedName name="data">#REF!</definedName>
    <definedName name="DATA_DATA2_List">#REF!</definedName>
    <definedName name="Data11">#REF!</definedName>
    <definedName name="Data41">#REF!</definedName>
    <definedName name="_xlnm.Database">#REF!</definedName>
    <definedName name="DATE">[3]VINHPHUC!$C$1:$C$65536</definedName>
    <definedName name="daywork">#REF!</definedName>
    <definedName name="DBASE">#REF!</definedName>
    <definedName name="dbs">#REF!</definedName>
    <definedName name="DBVT">[8]DMUC!$N$1:$T$65536</definedName>
    <definedName name="dc">#REF!</definedName>
    <definedName name="DÇm_33">#REF!</definedName>
    <definedName name="DD">#REF!</definedName>
    <definedName name="ddabm">#REF!</definedName>
    <definedName name="ddbm500">#REF!</definedName>
    <definedName name="de">#REF!</definedName>
    <definedName name="deedfsd" hidden="1">{"'Sheet1'!$L$16"}</definedName>
    <definedName name="den_bu">#REF!</definedName>
    <definedName name="denbu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f">#REF!</definedName>
    <definedName name="đfbgdgă" hidden="1">{"Offgrid",#N/A,FALSE,"OFFGRID";"Region",#N/A,FALSE,"REGION";"Offgrid -2",#N/A,FALSE,"OFFGRID";"WTP",#N/A,FALSE,"WTP";"WTP -2",#N/A,FALSE,"WTP";"Project",#N/A,FALSE,"PROJECT";"Summary -2",#N/A,FALSE,"SUMMARY"}</definedName>
    <definedName name="dfhfdjdgj">#REF!</definedName>
    <definedName name="đfnfndfn" hidden="1">{#N/A,#N/A,FALSE,"Chi tiÆt"}</definedName>
    <definedName name="dfỳg">[4]Summary!#REF!</definedName>
    <definedName name="dfỷhyh">[4]Summary!#REF!</definedName>
    <definedName name="DG">#REF!</definedName>
    <definedName name="dg_5cau">#REF!</definedName>
    <definedName name="DG_M_C_X">#REF!</definedName>
    <definedName name="dgbdsgda">#REF!</definedName>
    <definedName name="dgc">#REF!</definedName>
    <definedName name="DGCTI592">#REF!</definedName>
    <definedName name="dgd">#REF!</definedName>
    <definedName name="DGIA">#REF!</definedName>
    <definedName name="DGIA2">#REF!</definedName>
    <definedName name="dgnc">#REF!</definedName>
    <definedName name="dgvl">#REF!</definedName>
    <definedName name="dhai">#REF!</definedName>
    <definedName name="dhb">#REF!</definedName>
    <definedName name="đhf" hidden="1">{"'Sheet1'!$L$16"}</definedName>
    <definedName name="dhom">#REF!</definedName>
    <definedName name="dhtdh" hidden="1">{"Offgrid",#N/A,FALSE,"OFFGRID";"Region",#N/A,FALSE,"REGION";"Offgrid -2",#N/A,FALSE,"OFFGRID";"WTP",#N/A,FALSE,"WTP";"WTP -2",#N/A,FALSE,"WTP";"Project",#N/A,FALSE,"PROJECT";"Summary -2",#N/A,FALSE,"SUMMARY"}</definedName>
    <definedName name="dien">#REF!</definedName>
    <definedName name="dientichck">#REF!</definedName>
    <definedName name="dim">#REF!</definedName>
    <definedName name="dinh2">#REF!</definedName>
    <definedName name="dinhkhongphanquang">#REF!</definedName>
    <definedName name="dinhphanquang">#REF!</definedName>
    <definedName name="direct1">#REF!</definedName>
    <definedName name="dl">#REF!</definedName>
    <definedName name="DLC">#REF!</definedName>
    <definedName name="DM">#REF!</definedName>
    <definedName name="dmh">#REF!</definedName>
    <definedName name="DN">#REF!</definedName>
    <definedName name="DÑt45x4">#REF!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chai">#REF!</definedName>
    <definedName name="dochai1">#REF!</definedName>
    <definedName name="Document_array">{"Book1"}</definedName>
    <definedName name="Documents_array">[7]XL4Poppy!$B$1:$B$16</definedName>
    <definedName name="DONGIAVT">[3]VINHPHUC!$M$1:$M$65536</definedName>
    <definedName name="Donvi">#REF!</definedName>
    <definedName name="drda">#REF!</definedName>
    <definedName name="drdat">#REF!</definedName>
    <definedName name="ds">#REF!</definedName>
    <definedName name="ds1pnc">#REF!</definedName>
    <definedName name="ds1pvl">#REF!</definedName>
    <definedName name="ds3pnc">#REF!</definedName>
    <definedName name="ds3pvl">#REF!</definedName>
    <definedName name="dsgsfh">[4]Summary!#REF!</definedName>
    <definedName name="dsgsw.sgrs.grsg_.sg" hidden="1">{#N/A,#N/A,FALSE,"Chi tiÆt"}</definedName>
    <definedName name="DSUMDATA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uoi">#REF!</definedName>
    <definedName name="DUT">#REF!</definedName>
    <definedName name="DutoanDongmo">#REF!</definedName>
    <definedName name="dxd">#REF!</definedName>
    <definedName name="E">#REF!</definedName>
    <definedName name="edfdsagưegd">#REF!</definedName>
    <definedName name="EDR">#REF!</definedName>
    <definedName name="èdsgs">#REF!</definedName>
    <definedName name="efarea">#REF!</definedName>
    <definedName name="èFSf">#REF!</definedName>
    <definedName name="égè">[4]Summary!#REF!</definedName>
    <definedName name="egf">#REF!</definedName>
    <definedName name="ègQEGGdG">#REF!</definedName>
    <definedName name="egw" hidden="1">{"Offgrid",#N/A,FALSE,"OFFGRID";"Region",#N/A,FALSE,"REGION";"Offgrid -2",#N/A,FALSE,"OFFGRID";"WTP",#N/A,FALSE,"WTP";"WTP -2",#N/A,FALSE,"WTP";"Project",#N/A,FALSE,"PROJECT";"Summary -2",#N/A,FALSE,"SUMMARY"}</definedName>
    <definedName name="eheh" hidden="1">{"Offgrid",#N/A,FALSE,"OFFGRID";"Region",#N/A,FALSE,"REGION";"Offgrid -2",#N/A,FALSE,"OFFGRID";"WTP",#N/A,FALSE,"WTP";"WTP -2",#N/A,FALSE,"WTP";"Project",#N/A,FALSE,"PROJECT";"Summary -2",#N/A,FALSE,"SUMMARY"}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Q">#REF!</definedName>
    <definedName name="EQI">#REF!</definedName>
    <definedName name="esgtew" hidden="1">{#N/A,#N/A,FALSE,"Chi tiÆt"}</definedName>
    <definedName name="etethtehbdex" hidden="1">{#N/A,#N/A,FALSE,"Chi tiÆt"}</definedName>
    <definedName name="êthtêt" hidden="1">{"Offgrid",#N/A,FALSE,"OFFGRID";"Region",#N/A,FALSE,"REGION";"Offgrid -2",#N/A,FALSE,"OFFGRID";"WTP",#N/A,FALSE,"WTP";"WTP -2",#N/A,FALSE,"WTP";"Project",#N/A,FALSE,"PROJECT";"Summary -2",#N/A,FALSE,"SUMMARY"}</definedName>
    <definedName name="etqgsg_đhs" hidden="1">{"'Sheet1'!$L$16"}</definedName>
    <definedName name="etrw45.đ" hidden="1">{"Offgrid",#N/A,FALSE,"OFFGRID";"Region",#N/A,FALSE,"REGION";"Offgrid -2",#N/A,FALSE,"OFFGRID";"WTP",#N/A,FALSE,"WTP";"WTP -2",#N/A,FALSE,"WTP";"Project",#N/A,FALSE,"PROJECT";"Summary -2",#N/A,FALSE,"SUMMARY"}</definedName>
    <definedName name="eưFÉGĂEGEƯG">[4]Summary!#REF!</definedName>
    <definedName name="EVNB">#REF!</definedName>
    <definedName name="ewgQYH">[4]Summary!#REF!</definedName>
    <definedName name="ex">#REF!</definedName>
    <definedName name="EXCH">#REF!</definedName>
    <definedName name="ey">#REF!</definedName>
    <definedName name="eygswgq" hidden="1">{#N/A,#N/A,FALSE,"Chi tiÆt"}</definedName>
    <definedName name="êyh" hidden="1">{"Offgrid",#N/A,FALSE,"OFFGRID";"Region",#N/A,FALSE,"REGION";"Offgrid -2",#N/A,FALSE,"OFFGRID";"WTP",#N/A,FALSE,"WTP";"WTP -2",#N/A,FALSE,"WTP";"Project",#N/A,FALSE,"PROJECT";"Summary -2",#N/A,FALSE,"SUMMARY"}</definedName>
    <definedName name="f">#REF!</definedName>
    <definedName name="f82E46">#REF!</definedName>
    <definedName name="FACTOR">#REF!</definedName>
    <definedName name="Fax">#REF!</definedName>
    <definedName name="FAXNO">#REF!</definedName>
    <definedName name="Fay">#REF!</definedName>
    <definedName name="FC5_total">#REF!</definedName>
    <definedName name="fđhbfbd" hidden="1">{#N/A,#N/A,FALSE,"Chi tiÆt"}</definedName>
    <definedName name="fđhh" hidden="1">{"'Sheet1'!$L$16"}</definedName>
    <definedName name="FDR">#REF!</definedName>
    <definedName name="FFF">BlankMacro1</definedName>
    <definedName name="ffkfeovfjklfvk">#REF!</definedName>
    <definedName name="Fg">#REF!</definedName>
    <definedName name="fgdg">#REF!</definedName>
    <definedName name="fgkjmgky.yulyu." hidden="1">{"Offgrid",#N/A,FALSE,"OFFGRID";"Region",#N/A,FALSE,"REGION";"Offgrid -2",#N/A,FALSE,"OFFGRID";"WTP",#N/A,FALSE,"WTP";"WTP -2",#N/A,FALSE,"WTP";"Project",#N/A,FALSE,"PROJECT";"Summary -2",#N/A,FALSE,"SUMMARY"}</definedName>
    <definedName name="fhgzsdhdfh">[4]Summary!#REF!</definedName>
    <definedName name="fhtđhêhd" hidden="1">{"Offgrid",#N/A,FALSE,"OFFGRID";"Region",#N/A,FALSE,"REGION";"Offgrid -2",#N/A,FALSE,"OFFGRID";"WTP",#N/A,FALSE,"WTP";"WTP -2",#N/A,FALSE,"WTP";"Project",#N/A,FALSE,"PROJECT";"Summary -2",#N/A,FALSE,"SUMMARY"}</definedName>
    <definedName name="FIT">BlankMacro1</definedName>
    <definedName name="FITT2">BlankMacro1</definedName>
    <definedName name="FITTING2">BlankMacro1</definedName>
    <definedName name="fkfkhkjhfgkjh">#REF!</definedName>
    <definedName name="FLG">BlankMacro1</definedName>
    <definedName name="fpc">#REF!</definedName>
    <definedName name="fs">#REF!</definedName>
    <definedName name="fsưeg">[4]Summary!#REF!</definedName>
    <definedName name="ftỳthh">[4]Summary!#REF!</definedName>
    <definedName name="fv">#REF!</definedName>
    <definedName name="g">#REF!</definedName>
    <definedName name="G_ME">#REF!</definedName>
    <definedName name="gach">#REF!</definedName>
    <definedName name="GAHT">#REF!</definedName>
    <definedName name="gc">#REF!</definedName>
    <definedName name="GC_CT">#REF!</definedName>
    <definedName name="GC_DN">#REF!</definedName>
    <definedName name="GC_HT">#REF!</definedName>
    <definedName name="GC_TD">#REF!</definedName>
    <definedName name="gcm">'[9]gia vt,nc,may'!$H$7:$I$17</definedName>
    <definedName name="gd.">#REF!</definedName>
    <definedName name="gdjtr">#REF!</definedName>
    <definedName name="Gè">[4]Summary!#REF!</definedName>
    <definedName name="gfkjhfjfjhf">#REF!</definedName>
    <definedName name="ggaq" hidden="1">{"Offgrid",#N/A,FALSE,"OFFGRID";"Region",#N/A,FALSE,"REGION";"Offgrid -2",#N/A,FALSE,"OFFGRID";"WTP",#N/A,FALSE,"WTP";"WTP -2",#N/A,FALSE,"WTP";"Project",#N/A,FALSE,"PROJECT";"Summary -2",#N/A,FALSE,"SUMMARY"}</definedName>
    <definedName name="gh">#REF!</definedName>
    <definedName name="ghd">[4]Summary!#REF!</definedName>
    <definedName name="ghfdjf">#REF!</definedName>
    <definedName name="ghip">#REF!</definedName>
    <definedName name="ghlsdjgh">[4]Summary!#REF!</definedName>
    <definedName name="gia">#REF!</definedName>
    <definedName name="gia_tien">#REF!</definedName>
    <definedName name="gia_tien_BTN">#REF!</definedName>
    <definedName name="GIABANLE">[3]VINHPHUC!$F$1:$F$65536</definedName>
    <definedName name="GIADAILY">[3]VINHPHUC!$E$1:$E$65536</definedName>
    <definedName name="giam">#REF!</definedName>
    <definedName name="GIAVOHANG">[3]VINHPHUC!$G$1:$G$65536</definedName>
    <definedName name="GIAVOTTR">[3]VINHPHUC!$H$1:$H$65536</definedName>
    <definedName name="Giocong">#REF!</definedName>
    <definedName name="giolamdem">#REF!</definedName>
    <definedName name="giolamdemkt">#REF!</definedName>
    <definedName name="giolamthem">#REF!</definedName>
    <definedName name="giolamthemtt">#REF!</definedName>
    <definedName name="GJFK">#REF!</definedName>
    <definedName name="gjrđjsjs" hidden="1">{"'Sheet1'!$L$16"}</definedName>
    <definedName name="gl3p">#REF!</definedName>
    <definedName name="gnc">'[9]gia vt,nc,may'!$E$7:$F$12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n">#REF!</definedName>
    <definedName name="gs">#REF!</definedName>
    <definedName name="gsda">#REF!</definedName>
    <definedName name="gsdtgứdgf">#REF!</definedName>
    <definedName name="Gtb">#REF!</definedName>
    <definedName name="gtbtt">#REF!</definedName>
    <definedName name="gteyhưez" hidden="1">{"'Sheet1'!$L$16"}</definedName>
    <definedName name="GTXL">#REF!</definedName>
    <definedName name="GVLDGCT">#REF!</definedName>
    <definedName name="gvt">'[9]gia vt,nc,may'!$B$7:$C$159</definedName>
    <definedName name="gwf" hidden="1">{#N/A,#N/A,FALSE,"Chi tiÆt"}</definedName>
    <definedName name="gx">#REF!</definedName>
    <definedName name="Gxl">#REF!</definedName>
    <definedName name="gxltt">#REF!</definedName>
    <definedName name="H21dai75">#REF!</definedName>
    <definedName name="H21dai9">#REF!</definedName>
    <definedName name="H22dai6">#REF!</definedName>
    <definedName name="H22dai75">#REF!</definedName>
    <definedName name="H43dai6">#REF!</definedName>
    <definedName name="H43dai75">#REF!</definedName>
    <definedName name="H43dai9">#REF!</definedName>
    <definedName name="H44dai6">#REF!</definedName>
    <definedName name="H44dai75">#REF!</definedName>
    <definedName name="H44dai9">#REF!</definedName>
    <definedName name="ha.">#REF!</definedName>
    <definedName name="hang">[4]Summary!#REF!</definedName>
    <definedName name="hang1">[4]Summary!#REF!</definedName>
    <definedName name="hang10">#REF!</definedName>
    <definedName name="hang112">#REF!</definedName>
    <definedName name="hang113">#REF!</definedName>
    <definedName name="hang12">[4]Summary!#REF!</definedName>
    <definedName name="hang13545">#REF!</definedName>
    <definedName name="hang2">#REF!</definedName>
    <definedName name="HANG3">[4]Summary!#REF!</definedName>
    <definedName name="hang4">[4]Summary!#REF!</definedName>
    <definedName name="hang456321">#REF!</definedName>
    <definedName name="hang5">[4]Summary!#REF!</definedName>
    <definedName name="hang523324">#REF!</definedName>
    <definedName name="hang5432432">#REF!</definedName>
    <definedName name="hang55">[4]Summary!#REF!</definedName>
    <definedName name="HANGGAS">[3]VINHPHUC!$D$1:$D$65536</definedName>
    <definedName name="hangpham">[4]Summary!#REF!</definedName>
    <definedName name="hangpham1">[4]Summary!#REF!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.">#REF!</definedName>
    <definedName name="HBC">#REF!</definedName>
    <definedName name="HBL">#REF!</definedName>
    <definedName name="hc">#REF!</definedName>
    <definedName name="hc.">#REF!</definedName>
    <definedName name="HCM">#REF!</definedName>
    <definedName name="HCPH">#REF!</definedName>
    <definedName name="HCS">#REF!</definedName>
    <definedName name="HCU">#REF!</definedName>
    <definedName name="HDC">#REF!</definedName>
    <definedName name="hdh">#REF!</definedName>
    <definedName name="HDU">#REF!</definedName>
    <definedName name="Heä_soá_laép_xaø_H">1.7</definedName>
    <definedName name="heä_soá_sình_laày">#REF!</definedName>
    <definedName name="heđbe" hidden="1">{"Offgrid",#N/A,FALSE,"OFFGRID";"Region",#N/A,FALSE,"REGION";"Offgrid -2",#N/A,FALSE,"OFFGRID";"WTP",#N/A,FALSE,"WTP";"WTP -2",#N/A,FALSE,"WTP";"Project",#N/A,FALSE,"PROJECT";"Summary -2",#N/A,FALSE,"SUMMARY"}</definedName>
    <definedName name="hee_opjg" hidden="1">{"'Sheet1'!$L$16"}</definedName>
    <definedName name="Hello">[7]XL4Poppy!$A$15</definedName>
    <definedName name="Heso">'[10]luong thang 03-CNV'!$G:$G</definedName>
    <definedName name="hesochucdanh">#REF!</definedName>
    <definedName name="hesocung">#REF!</definedName>
    <definedName name="hesohieuqua">#REF!</definedName>
    <definedName name="hesoluongchucdanh">'[11]luong thang 12'!$G:$G</definedName>
    <definedName name="hesomem">#REF!</definedName>
    <definedName name="hẻy" hidden="1">{"'Sheet1'!$L$16"}</definedName>
    <definedName name="hfdỵtd">[4]Summary!#REF!</definedName>
    <definedName name="hfgha">[4]Summary!#REF!</definedName>
    <definedName name="hfkufkj">#REF!</definedName>
    <definedName name="hfxjfg">#REF!</definedName>
    <definedName name="Hg">#REF!</definedName>
    <definedName name="hgadgag" hidden="1">{"Offgrid",#N/A,FALSE,"OFFGRID";"Region",#N/A,FALSE,"REGION";"Offgrid -2",#N/A,FALSE,"OFFGRID";"WTP",#N/A,FALSE,"WTP";"WTP -2",#N/A,FALSE,"WTP";"Project",#N/A,FALSE,"PROJECT";"Summary -2",#N/A,FALSE,"SUMMARY"}</definedName>
    <definedName name="hgdjhgdjgdgfg">#REF!</definedName>
    <definedName name="hgfjhf">[4]Summary!#REF!</definedName>
    <definedName name="hgfkhf">#REF!</definedName>
    <definedName name="hgre_zdfhgfd" hidden="1">{"'Sheet1'!$L$16"}</definedName>
    <definedName name="HHcat">#REF!</definedName>
    <definedName name="HHda">#REF!</definedName>
    <definedName name="HHH">#REF!</definedName>
    <definedName name="hhhthrh" hidden="1">{#N/A,#N/A,FALSE,"Chi tiÆt"}</definedName>
    <definedName name="HHIC">#REF!</definedName>
    <definedName name="hhkhkh">#REF!</definedName>
    <definedName name="HHT">#REF!</definedName>
    <definedName name="HHxm">#REF!</definedName>
    <definedName name="hien">#REF!</definedName>
    <definedName name="hjfhjfj">[4]Summary!#REF!</definedName>
    <definedName name="hjfkjhvjh">[4]Summary!#REF!</definedName>
    <definedName name="hjgckkgj">[4]Summary!#REF!</definedName>
    <definedName name="HKE">#REF!</definedName>
    <definedName name="HKL">#REF!</definedName>
    <definedName name="HKLHI">#REF!</definedName>
    <definedName name="HKLL">#REF!</definedName>
    <definedName name="HKLLLO">#REF!</definedName>
    <definedName name="hl">[4]Summary!#REF!</definedName>
    <definedName name="HLC">#REF!</definedName>
    <definedName name="HLIC">#REF!</definedName>
    <definedName name="HLU">#REF!</definedName>
    <definedName name="ho">#REF!</definedName>
    <definedName name="hoc">55000</definedName>
    <definedName name="HOME_MANP">#REF!</definedName>
    <definedName name="HOMEOFFICE_COST">#REF!</definedName>
    <definedName name="HR">#REF!</definedName>
    <definedName name="HRC">#REF!</definedName>
    <definedName name="hrhe" hidden="1">{"Offgrid",#N/A,FALSE,"OFFGRID";"Region",#N/A,FALSE,"REGION";"Offgrid -2",#N/A,FALSE,"OFFGRID";"WTP",#N/A,FALSE,"WTP";"WTP -2",#N/A,FALSE,"WTP";"Project",#N/A,FALSE,"PROJECT";"Summary -2",#N/A,FALSE,"SUMMARY"}</definedName>
    <definedName name="hrtfhsrh">#REF!</definedName>
    <definedName name="hs">#REF!</definedName>
    <definedName name="HSCT3">0.1</definedName>
    <definedName name="hsd">#REF!</definedName>
    <definedName name="hsdc">#REF!</definedName>
    <definedName name="hsdc1">#REF!</definedName>
    <definedName name="hsdfzhndxzhf">[4]Summary!#REF!</definedName>
    <definedName name="HSDN">2.5</definedName>
    <definedName name="hsgbhtgrư" hidden="1">{#N/A,#N/A,FALSE,"Chi tiÆt"}</definedName>
    <definedName name="HSHH">#REF!</definedName>
    <definedName name="HSHHUT">#REF!</definedName>
    <definedName name="hsk">#REF!</definedName>
    <definedName name="hsm">#REF!</definedName>
    <definedName name="HSMTC">#REF!</definedName>
    <definedName name="hsnc_cau">1.626</definedName>
    <definedName name="hsnc_cau2">1.626</definedName>
    <definedName name="hsnc_d">1.6356</definedName>
    <definedName name="hsnc_d2">1.6356</definedName>
    <definedName name="HSSL">#REF!</definedName>
    <definedName name="hßm4">#REF!</definedName>
    <definedName name="hstb">#REF!</definedName>
    <definedName name="hstdtk">#REF!</definedName>
    <definedName name="hsthep">#REF!</definedName>
    <definedName name="HSVC1">#REF!</definedName>
    <definedName name="HSVC2">#REF!</definedName>
    <definedName name="HSVC3">#REF!</definedName>
    <definedName name="hsvl">#REF!</definedName>
    <definedName name="hsvl2">1</definedName>
    <definedName name="htdgjhgdjd">#REF!</definedName>
    <definedName name="htghg">[4]Summary!#REF!</definedName>
    <definedName name="htjhtjftj" hidden="1">{#N/A,#N/A,FALSE,"Chi tiÆt"}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riu4" hidden="1">{#N/A,#N/A,FALSE,"Chi tiÆt"}</definedName>
    <definedName name="HTS">#REF!</definedName>
    <definedName name="HTU">#REF!</definedName>
    <definedName name="HTVL">#REF!</definedName>
    <definedName name="hung">[4]Summary!#REF!</definedName>
    <definedName name="huy" hidden="1">{"'Sheet1'!$L$16"}</definedName>
    <definedName name="HV">#REF!</definedName>
    <definedName name="HVBC">#REF!</definedName>
    <definedName name="HVC">#REF!</definedName>
    <definedName name="Hvk">#REF!</definedName>
    <definedName name="HVL">#REF!</definedName>
    <definedName name="HVP">#REF!</definedName>
    <definedName name="Hxk">#REF!</definedName>
    <definedName name="I">#REF!</definedName>
    <definedName name="IDLAB_COST">#REF!</definedName>
    <definedName name="igdlsg">#REF!</definedName>
    <definedName name="in">#REF!</definedName>
    <definedName name="IND_LAB">#REF!</definedName>
    <definedName name="INDIRECT_COST">#REF!</definedName>
    <definedName name="INDMANP">#REF!</definedName>
    <definedName name="inputCosti">#REF!</definedName>
    <definedName name="inputLf">#REF!</definedName>
    <definedName name="inputWTP">#REF!</definedName>
    <definedName name="INT">#REF!</definedName>
    <definedName name="Ip">#REF!</definedName>
    <definedName name="ịth" hidden="1">{"'Sheet1'!$L$16"}</definedName>
    <definedName name="IWTP">#REF!</definedName>
    <definedName name="ixy">#REF!</definedName>
    <definedName name="ỈYDỈIKKGH">#REF!</definedName>
    <definedName name="j">#REF!</definedName>
    <definedName name="j356C8">#REF!</definedName>
    <definedName name="jfjhfj">[4]Summary!#REF!</definedName>
    <definedName name="jfkỳhkjh">#REF!</definedName>
    <definedName name="jgfxjgfxjxf">#REF!</definedName>
    <definedName name="jhgkhg">[4]Summary!#REF!</definedName>
    <definedName name="jhgkjg">#REF!</definedName>
    <definedName name="jhỵhmtj">[4]Summary!#REF!</definedName>
    <definedName name="jmỷhkjfkj">[4]Summary!#REF!</definedName>
    <definedName name="jthedjhgfhgf">[4]Summary!#REF!</definedName>
    <definedName name="JVKJVKJHFKJHKJH">[4]Summary!#REF!</definedName>
    <definedName name="jỳkhf">[4]Summary!#REF!</definedName>
    <definedName name="jỳkjhf">#REF!</definedName>
    <definedName name="jỳkjhgkjtkjh">#REF!</definedName>
    <definedName name="jýỵy" hidden="1">{"'Sheet1'!$L$16"}</definedName>
    <definedName name="k">#REF!</definedName>
    <definedName name="k..">#REF!</definedName>
    <definedName name="K_L">#REF!</definedName>
    <definedName name="KA">#REF!</definedName>
    <definedName name="ka.">#REF!</definedName>
    <definedName name="KAE">#REF!</definedName>
    <definedName name="kaori">#REF!</definedName>
    <definedName name="KAS">#REF!</definedName>
    <definedName name="kazuyo">#REF!</definedName>
    <definedName name="kc">#REF!</definedName>
    <definedName name="kcong">#REF!</definedName>
    <definedName name="kdkk" hidden="1">{"'Sheet1'!$L$16"}</definedName>
    <definedName name="kh">#REF!</definedName>
    <definedName name="khac">2</definedName>
    <definedName name="khac1">#REF!</definedName>
    <definedName name="khac2">#REF!</definedName>
    <definedName name="khanang">#REF!</definedName>
    <definedName name="khoannhoi">#REF!</definedName>
    <definedName name="khong">#REF!</definedName>
    <definedName name="KHUYENMAI">[3]VINHPHUC!$N$1:$N$65536</definedName>
    <definedName name="kich250">#REF!</definedName>
    <definedName name="kich500">#REF!</definedName>
    <definedName name="Kiem_tra_trung_ten">#REF!</definedName>
    <definedName name="kl">#REF!</definedName>
    <definedName name="kl_ME">#REF!</definedName>
    <definedName name="klb">#REF!</definedName>
    <definedName name="KLC">#REF!</definedName>
    <definedName name="kll">#REF!</definedName>
    <definedName name="klsb">#REF!</definedName>
    <definedName name="kodsx">#REF!</definedName>
    <definedName name="KP">#REF!</definedName>
    <definedName name="kp1ph">#REF!</definedName>
    <definedName name="ktdk0" hidden="1">{#N/A,#N/A,FALSE,"Chi tiÆt"}</definedName>
    <definedName name="Kte">#REF!</definedName>
    <definedName name="Ktoan">#REF!</definedName>
    <definedName name="kụtkhkjh">#REF!</definedName>
    <definedName name="kụtkjgj">[4]Summary!#REF!</definedName>
    <definedName name="kvl">1.166</definedName>
    <definedName name="kỷutỳgh">#REF!</definedName>
    <definedName name="l">#REF!</definedName>
    <definedName name="lamdem">#REF!</definedName>
    <definedName name="lamdemkt">#REF!</definedName>
    <definedName name="Lamthem">#REF!</definedName>
    <definedName name="Lamthemle">#REF!</definedName>
    <definedName name="Lamthemnghi">#REF!</definedName>
    <definedName name="lamthemtinhthue">#REF!</definedName>
    <definedName name="lan">#REF!</definedName>
    <definedName name="lanhto">#REF!</definedName>
    <definedName name="Lb">#REF!</definedName>
    <definedName name="LC5_total">#REF!</definedName>
    <definedName name="LC6_total">#REF!</definedName>
    <definedName name="LDA">#REF!</definedName>
    <definedName name="LG">#REF!</definedName>
    <definedName name="lh">#REF!</definedName>
    <definedName name="liyfhg">#REF!</definedName>
    <definedName name="Lmk">#REF!</definedName>
    <definedName name="ln">#REF!</definedName>
    <definedName name="Lo">#REF!</definedName>
    <definedName name="long">#REF!</definedName>
    <definedName name="LP">#REF!</definedName>
    <definedName name="lphu">#REF!</definedName>
    <definedName name="LRMC">#REF!</definedName>
    <definedName name="Ls">#REF!</definedName>
    <definedName name="lulop16">#REF!</definedName>
    <definedName name="luoncap">#REF!</definedName>
    <definedName name="luong">#REF!</definedName>
    <definedName name="Luong2001">'[2]156nhap01'!$J$5:$J$86</definedName>
    <definedName name="LuongBHXH">#REF!</definedName>
    <definedName name="luongchinh">#REF!</definedName>
    <definedName name="luongcoban">'[11]luong thang 12'!$X:$X</definedName>
    <definedName name="luonghieuqua">#REF!</definedName>
    <definedName name="luonglamthem">#REF!</definedName>
    <definedName name="luonglttinhthue">#REF!</definedName>
    <definedName name="luongmem">#REF!</definedName>
    <definedName name="LuongX01">'[2]2001'!$G$9:$G$884</definedName>
    <definedName name="lurung16">#REF!</definedName>
    <definedName name="luthep10">#REF!</definedName>
    <definedName name="luudong">#REF!</definedName>
    <definedName name="m">#REF!</definedName>
    <definedName name="M0.4">#REF!</definedName>
    <definedName name="M12ba3p">#REF!</definedName>
    <definedName name="M12bb1p">#REF!</definedName>
    <definedName name="M12cbnc">#REF!</definedName>
    <definedName name="M12cbvl">#REF!</definedName>
    <definedName name="M14bb1p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o00">[12]CT00!$T$6:$T$2530</definedName>
    <definedName name="Maco01">[12]CT01!$R$6:$R$2386</definedName>
    <definedName name="MAJ_CON_EQP">#REF!</definedName>
    <definedName name="MakeIt">[7]XL4Poppy!$A$26</definedName>
    <definedName name="Mano00">[12]CT00!$S$6:$S$2530</definedName>
    <definedName name="Mano01">[12]CT01!$Q$6:$Q$2386</definedName>
    <definedName name="masaru">#REF!</definedName>
    <definedName name="may">#REF!</definedName>
    <definedName name="mayui110">#REF!</definedName>
    <definedName name="mayumi">#REF!</definedName>
    <definedName name="Mba1p">#REF!</definedName>
    <definedName name="Mba3p">#REF!</definedName>
    <definedName name="mbangtai10">#REF!</definedName>
    <definedName name="mbangtai100">#REF!</definedName>
    <definedName name="mbangtai15">#REF!</definedName>
    <definedName name="mbangtai150">#REF!</definedName>
    <definedName name="mbangtai25">#REF!</definedName>
    <definedName name="Mbb3p">#REF!</definedName>
    <definedName name="Mbn1p">#REF!</definedName>
    <definedName name="mbombtth50">#REF!</definedName>
    <definedName name="mbombtth60">#REF!</definedName>
    <definedName name="mbomdien0.55">#REF!</definedName>
    <definedName name="mbomdien0.75">#REF!</definedName>
    <definedName name="mbomdien1.1">#REF!</definedName>
    <definedName name="mbomdien1.5">#REF!</definedName>
    <definedName name="mbomdien10">#REF!</definedName>
    <definedName name="mbomdien113">#REF!</definedName>
    <definedName name="mbomdien14">#REF!</definedName>
    <definedName name="mbomdien2">#REF!</definedName>
    <definedName name="mbomdien2.8">#REF!</definedName>
    <definedName name="mbomdien20">#REF!</definedName>
    <definedName name="mbomdien22">#REF!</definedName>
    <definedName name="mbomdien28">#REF!</definedName>
    <definedName name="mbomdien30">#REF!</definedName>
    <definedName name="mbomdien4">#REF!</definedName>
    <definedName name="mbomdien4.5">#REF!</definedName>
    <definedName name="mbomdien40">#REF!</definedName>
    <definedName name="mbomdien50">#REF!</definedName>
    <definedName name="mbomdien55">#REF!</definedName>
    <definedName name="mbomdien7">#REF!</definedName>
    <definedName name="mbomdien75">#REF!</definedName>
    <definedName name="mbomth10">#REF!</definedName>
    <definedName name="mbomth100">#REF!</definedName>
    <definedName name="mbomth15">#REF!</definedName>
    <definedName name="mbomth150">#REF!</definedName>
    <definedName name="mbomth20">#REF!</definedName>
    <definedName name="mbomth37">#REF!</definedName>
    <definedName name="mbomth45">#REF!</definedName>
    <definedName name="mbomth5">#REF!</definedName>
    <definedName name="mbomth5.5">#REF!</definedName>
    <definedName name="mbomth7">#REF!</definedName>
    <definedName name="mbomth7.5">#REF!</definedName>
    <definedName name="mbomth75">#REF!</definedName>
    <definedName name="mbomthxang3">#REF!</definedName>
    <definedName name="mbomthxang4">#REF!</definedName>
    <definedName name="mbomthxang6">#REF!</definedName>
    <definedName name="mbomthxang7">#REF!</definedName>
    <definedName name="mbomthxang8">#REF!</definedName>
    <definedName name="mbomvua2">#REF!</definedName>
    <definedName name="mbomvua4">#REF!</definedName>
    <definedName name="mbomvua6">#REF!</definedName>
    <definedName name="mbomvua9">#REF!</definedName>
    <definedName name="mbuacankhi1.5">#REF!</definedName>
    <definedName name="mbuadcocnoi2.5">#REF!</definedName>
    <definedName name="mbuadray1.2">#REF!</definedName>
    <definedName name="mbuadray1.8">#REF!</definedName>
    <definedName name="mbuadray2.2">#REF!</definedName>
    <definedName name="mbuadray2.5">#REF!</definedName>
    <definedName name="mbuadray3.5">#REF!</definedName>
    <definedName name="mbuarung170">#REF!</definedName>
    <definedName name="mbuarung40">#REF!</definedName>
    <definedName name="mbuarung50">#REF!</definedName>
    <definedName name="mbuarungccatth60">#REF!</definedName>
    <definedName name="mbuathbx0.6">#REF!</definedName>
    <definedName name="mbuathbx1.2">#REF!</definedName>
    <definedName name="mbuathbx1.8">#REF!</definedName>
    <definedName name="mbuathbx3.5">#REF!</definedName>
    <definedName name="mbuathbx4.5">#REF!</definedName>
    <definedName name="mc">#REF!</definedName>
    <definedName name="mcambactham1">#REF!</definedName>
    <definedName name="mcano30">#REF!</definedName>
    <definedName name="mcano75">#REF!</definedName>
    <definedName name="mcap1g10">#REF!</definedName>
    <definedName name="mcap1g16">#REF!</definedName>
    <definedName name="mcap1g25">#REF!</definedName>
    <definedName name="mcap1g9">#REF!</definedName>
    <definedName name="mcatdot2.8">#REF!</definedName>
    <definedName name="mcatong5">#REF!</definedName>
    <definedName name="mcatton15">#REF!</definedName>
    <definedName name="mcatuonthep5">#REF!</definedName>
    <definedName name="mcaulongmon10">#REF!</definedName>
    <definedName name="mcaulongmon30">#REF!</definedName>
    <definedName name="mcaulongmon60">#REF!</definedName>
    <definedName name="mcauray20">#REF!</definedName>
    <definedName name="mcauray25">#REF!</definedName>
    <definedName name="mcayxoidk108">#REF!</definedName>
    <definedName name="mcayxoidk60">#REF!</definedName>
    <definedName name="mcayxoidk80">#REF!</definedName>
    <definedName name="Mcb">'[10]luong thang 03-CNV'!$H:$H</definedName>
    <definedName name="mccaubh10">#REF!</definedName>
    <definedName name="mccaubh16">#REF!</definedName>
    <definedName name="mccaubh25">#REF!</definedName>
    <definedName name="mccaubh3">#REF!</definedName>
    <definedName name="mccaubh4">#REF!</definedName>
    <definedName name="mccaubh40">#REF!</definedName>
    <definedName name="mccaubh5">#REF!</definedName>
    <definedName name="mccaubh6">#REF!</definedName>
    <definedName name="mccaubh65">#REF!</definedName>
    <definedName name="mccaubh7">#REF!</definedName>
    <definedName name="mccaubh8">#REF!</definedName>
    <definedName name="mccaubh90">#REF!</definedName>
    <definedName name="mccaubx10">#REF!</definedName>
    <definedName name="mccaubx100">#REF!</definedName>
    <definedName name="mccaubx16">#REF!</definedName>
    <definedName name="mccaubx25">#REF!</definedName>
    <definedName name="mccaubx28">#REF!</definedName>
    <definedName name="mccaubx40">#REF!</definedName>
    <definedName name="mccaubx5">#REF!</definedName>
    <definedName name="mccaubx50">#REF!</definedName>
    <definedName name="mccaubx63">#REF!</definedName>
    <definedName name="mccaubx7">#REF!</definedName>
    <definedName name="mccauladam60">#REF!</definedName>
    <definedName name="mccaunoi100">#REF!</definedName>
    <definedName name="mccaunoi30">#REF!</definedName>
    <definedName name="mccauthap10">#REF!</definedName>
    <definedName name="mccauthap12">#REF!</definedName>
    <definedName name="mccauthap15">#REF!</definedName>
    <definedName name="mccauthap20">#REF!</definedName>
    <definedName name="mccauthap25">#REF!</definedName>
    <definedName name="mccauthap3">#REF!</definedName>
    <definedName name="mccauthap30">#REF!</definedName>
    <definedName name="mccauthap40">#REF!</definedName>
    <definedName name="mccauthap5">#REF!</definedName>
    <definedName name="mccauthap50">#REF!</definedName>
    <definedName name="mccauthap8">#REF!</definedName>
    <definedName name="mccautnhi0.5">#REF!</definedName>
    <definedName name="mcuakl1.7">#REF!</definedName>
    <definedName name="mdamban0.4">#REF!</definedName>
    <definedName name="mdamban0.6">#REF!</definedName>
    <definedName name="mdamban0.8">#REF!</definedName>
    <definedName name="mdamban1">#REF!</definedName>
    <definedName name="mdambhdkbx12.5">#REF!</definedName>
    <definedName name="mdambhdkbx18">#REF!</definedName>
    <definedName name="mdambhdkbx25">#REF!</definedName>
    <definedName name="mdambhdkbx26.5">#REF!</definedName>
    <definedName name="mdambhdkbx9">#REF!</definedName>
    <definedName name="mdambhth16">#REF!</definedName>
    <definedName name="mdambhth17.5">#REF!</definedName>
    <definedName name="mdambhth25">#REF!</definedName>
    <definedName name="mdambthepth10">#REF!</definedName>
    <definedName name="mdambthepth12.2">#REF!</definedName>
    <definedName name="mdambthepth13">#REF!</definedName>
    <definedName name="mdambthepth14.5">#REF!</definedName>
    <definedName name="mdambthepth15.5">#REF!</definedName>
    <definedName name="mdambthepth8.5">#REF!</definedName>
    <definedName name="mdamcanh1">#REF!</definedName>
    <definedName name="mdamccdk5.5">#REF!</definedName>
    <definedName name="mdamccdk9">#REF!</definedName>
    <definedName name="mdamdatct60">#REF!</definedName>
    <definedName name="mdamdatct80">#REF!</definedName>
    <definedName name="mdamdui0.6">#REF!</definedName>
    <definedName name="mdamdui0.8">#REF!</definedName>
    <definedName name="mdamdui1">#REF!</definedName>
    <definedName name="mdamdui1.5">#REF!</definedName>
    <definedName name="mdamdui2.8">#REF!</definedName>
    <definedName name="mdamrung15">#REF!</definedName>
    <definedName name="mdamrung18">#REF!</definedName>
    <definedName name="mdamrung8">#REF!</definedName>
    <definedName name="mdao1gbh0.15">#REF!</definedName>
    <definedName name="mdao1gbh0.25">#REF!</definedName>
    <definedName name="mdao1gbh0.30">#REF!</definedName>
    <definedName name="mdao1gbh0.35">#REF!</definedName>
    <definedName name="mdao1gbh0.40">#REF!</definedName>
    <definedName name="mdao1gbh0.65">#REF!</definedName>
    <definedName name="mdao1gbh0.75">#REF!</definedName>
    <definedName name="mdao1gbh1.25">#REF!</definedName>
    <definedName name="mdao1gbx0.22">#REF!</definedName>
    <definedName name="mdao1gbx0.25">#REF!</definedName>
    <definedName name="mdao1gbx0.30">#REF!</definedName>
    <definedName name="mdao1gbx0.35">#REF!</definedName>
    <definedName name="mdao1gbx0.40">#REF!</definedName>
    <definedName name="mdao1gbx0.50">#REF!</definedName>
    <definedName name="mdao1gbx0.65">#REF!</definedName>
    <definedName name="mdao1gbx1.00">#REF!</definedName>
    <definedName name="mdao1gbx1.20">#REF!</definedName>
    <definedName name="mdao1gbx1.25">#REF!</definedName>
    <definedName name="mdao1gbx1.60">#REF!</definedName>
    <definedName name="mdao1gbx2.00">#REF!</definedName>
    <definedName name="mdao1gbx2.50">#REF!</definedName>
    <definedName name="mdao1gbx4.00">#REF!</definedName>
    <definedName name="mdao1gbx4.60">#REF!</definedName>
    <definedName name="mdao1gbx5.00">#REF!</definedName>
    <definedName name="me">#REF!</definedName>
    <definedName name="mepcocsau1">#REF!</definedName>
    <definedName name="mepcoctr100">#REF!</definedName>
    <definedName name="mepcoctr60">#REF!</definedName>
    <definedName name="MF">'[13]COAT&amp;WRAP-QIOT-#3'!#REF!</definedName>
    <definedName name="MG_A">#REF!</definedName>
    <definedName name="mh">#REF!</definedName>
    <definedName name="mhan1chieu40">#REF!</definedName>
    <definedName name="mhan1chieu50">#REF!</definedName>
    <definedName name="mhancatnuoc124">#REF!</definedName>
    <definedName name="mhand10.2">#REF!</definedName>
    <definedName name="mhand27.5">#REF!</definedName>
    <definedName name="mhand4">#REF!</definedName>
    <definedName name="mhanhoi1000">#REF!</definedName>
    <definedName name="mhanhoi2000">#REF!</definedName>
    <definedName name="mhanxang20">#REF!</definedName>
    <definedName name="mhanxang9">#REF!</definedName>
    <definedName name="mhanxchieu23">#REF!</definedName>
    <definedName name="mhanxchieu29.2">#REF!</definedName>
    <definedName name="mhanxchieu33.5">#REF!</definedName>
    <definedName name="mhfmnhf">[4]Summary!#REF!</definedName>
    <definedName name="mientrugiacanh">#REF!</definedName>
    <definedName name="mjtẹhghmf">#REF!</definedName>
    <definedName name="mkcnGPS15">#REF!</definedName>
    <definedName name="mkcnTRC15">#REF!</definedName>
    <definedName name="mkcnVRM">#REF!</definedName>
    <definedName name="mkeobh165">#REF!</definedName>
    <definedName name="mkeobh215">#REF!</definedName>
    <definedName name="mkeobh28">#REF!</definedName>
    <definedName name="mkeobh40">#REF!</definedName>
    <definedName name="mkeobh50">#REF!</definedName>
    <definedName name="mkeobh55">#REF!</definedName>
    <definedName name="mkeobh60">#REF!</definedName>
    <definedName name="mkeobh80">#REF!</definedName>
    <definedName name="mkeobx108">#REF!</definedName>
    <definedName name="mkeobx130">#REF!</definedName>
    <definedName name="mkeobx45">#REF!</definedName>
    <definedName name="mkeobx54">#REF!</definedName>
    <definedName name="mkeobx60">#REF!</definedName>
    <definedName name="mkeobx75">#REF!</definedName>
    <definedName name="mkhoanbttay24">#REF!</definedName>
    <definedName name="mkhoanbttay30">#REF!</definedName>
    <definedName name="mkhoanbttay38">#REF!</definedName>
    <definedName name="mkhoanbttay40">#REF!</definedName>
    <definedName name="mkhoandatay30">#REF!</definedName>
    <definedName name="mkhoandatay42">#REF!</definedName>
    <definedName name="mkhoandung4.5">#REF!</definedName>
    <definedName name="mkhoansattay13">#REF!</definedName>
    <definedName name="mkhoanxoayth110">#REF!</definedName>
    <definedName name="mkhoanxoayth95">#REF!</definedName>
    <definedName name="mkichck18">#REF!</definedName>
    <definedName name="mkichck250">#REF!</definedName>
    <definedName name="mkichday60">#REF!</definedName>
    <definedName name="mkichnang100">#REF!</definedName>
    <definedName name="mkichnang250">#REF!</definedName>
    <definedName name="mkichnang500">#REF!</definedName>
    <definedName name="mluoncap15">#REF!</definedName>
    <definedName name="mmai2.7">#REF!</definedName>
    <definedName name="MN">#REF!</definedName>
    <definedName name="mnenkhid102">#REF!</definedName>
    <definedName name="mnenkhid120">#REF!</definedName>
    <definedName name="mnenkhid1200">#REF!</definedName>
    <definedName name="mnenkhid200">#REF!</definedName>
    <definedName name="mnenkhid240">#REF!</definedName>
    <definedName name="mnenkhid300">#REF!</definedName>
    <definedName name="mnenkhid360">#REF!</definedName>
    <definedName name="mnenkhid5.5">#REF!</definedName>
    <definedName name="mnenkhid540">#REF!</definedName>
    <definedName name="mnenkhid600">#REF!</definedName>
    <definedName name="mnenkhid660">#REF!</definedName>
    <definedName name="mnenkhid75">#REF!</definedName>
    <definedName name="mnenkhidien10">#REF!</definedName>
    <definedName name="mnenkhidien150">#REF!</definedName>
    <definedName name="mnenkhidien216">#REF!</definedName>
    <definedName name="mnenkhidien22">#REF!</definedName>
    <definedName name="mnenkhidien270">#REF!</definedName>
    <definedName name="mnenkhidien30">#REF!</definedName>
    <definedName name="mnenkhidien300">#REF!</definedName>
    <definedName name="mnenkhidien5">#REF!</definedName>
    <definedName name="mnenkhidien56">#REF!</definedName>
    <definedName name="mnenkhidien600">#REF!</definedName>
    <definedName name="mnenkhixang11">#REF!</definedName>
    <definedName name="mnenkhixang120">#REF!</definedName>
    <definedName name="mnenkhixang200">#REF!</definedName>
    <definedName name="mnenkhixang25">#REF!</definedName>
    <definedName name="mnenkhixang3">#REF!</definedName>
    <definedName name="mnenkhixang300">#REF!</definedName>
    <definedName name="mnenkhixang40">#REF!</definedName>
    <definedName name="mnenkhixang600">#REF!</definedName>
    <definedName name="mnghiendad25">#REF!</definedName>
    <definedName name="mnghiendadd20">#REF!</definedName>
    <definedName name="mnghiendadd6">#REF!</definedName>
    <definedName name="mnghiendatho14">#REF!</definedName>
    <definedName name="mnghiendatho200">#REF!</definedName>
    <definedName name="mnhogcaydk100">#REF!</definedName>
    <definedName name="mnhogcaydk54">#REF!</definedName>
    <definedName name="mnhogcaydk75">#REF!</definedName>
    <definedName name="mongbang">#REF!</definedName>
    <definedName name="mongdon">#REF!</definedName>
    <definedName name="morita">#REF!</definedName>
    <definedName name="moritavn">#REF!</definedName>
    <definedName name="Morning">[7]XL4Poppy!$C$39</definedName>
    <definedName name="motodk150">#REF!</definedName>
    <definedName name="motodk180">#REF!</definedName>
    <definedName name="motodk200">#REF!</definedName>
    <definedName name="motodk240">#REF!</definedName>
    <definedName name="motodk255">#REF!</definedName>
    <definedName name="motodk272">#REF!</definedName>
    <definedName name="motothung10">#REF!</definedName>
    <definedName name="motothung12">#REF!</definedName>
    <definedName name="motothung12.5">#REF!</definedName>
    <definedName name="motothung2">#REF!</definedName>
    <definedName name="motothung2.5">#REF!</definedName>
    <definedName name="motothung20">#REF!</definedName>
    <definedName name="motothung4">#REF!</definedName>
    <definedName name="motothung5">#REF!</definedName>
    <definedName name="motothung6">#REF!</definedName>
    <definedName name="motothung7">#REF!</definedName>
    <definedName name="mototnuoc4">#REF!</definedName>
    <definedName name="mototnuoc5">#REF!</definedName>
    <definedName name="mototnuoc6">#REF!</definedName>
    <definedName name="mototnuoc7">#REF!</definedName>
    <definedName name="mototudo10">#REF!</definedName>
    <definedName name="mototudo12">#REF!</definedName>
    <definedName name="mototudo15">#REF!</definedName>
    <definedName name="mototudo2.5">#REF!</definedName>
    <definedName name="mototudo20">#REF!</definedName>
    <definedName name="mototudo25">#REF!</definedName>
    <definedName name="mototudo27">#REF!</definedName>
    <definedName name="mototudo3.5">#REF!</definedName>
    <definedName name="mototudo4">#REF!</definedName>
    <definedName name="mototudo5">#REF!</definedName>
    <definedName name="mototudo6">#REF!</definedName>
    <definedName name="mototudo7">#REF!</definedName>
    <definedName name="mototudo9">#REF!</definedName>
    <definedName name="motovcbt6">#REF!</definedName>
    <definedName name="mpha250">#REF!</definedName>
    <definedName name="mphaothep10">#REF!</definedName>
    <definedName name="mphaothep15">#REF!</definedName>
    <definedName name="mphatdienld10">#REF!</definedName>
    <definedName name="mphatdienld112">#REF!</definedName>
    <definedName name="mphatdienld122">#REF!</definedName>
    <definedName name="mphatdienld15">#REF!</definedName>
    <definedName name="mphatdienld20">#REF!</definedName>
    <definedName name="mphatdienld25">#REF!</definedName>
    <definedName name="mphatdienld30">#REF!</definedName>
    <definedName name="mphatdienld38">#REF!</definedName>
    <definedName name="mphatdienld45">#REF!</definedName>
    <definedName name="mphatdienld5.2">#REF!</definedName>
    <definedName name="mphatdienld50">#REF!</definedName>
    <definedName name="mphatdienld60">#REF!</definedName>
    <definedName name="mphatdienld75">#REF!</definedName>
    <definedName name="mphatdienld8">#REF!</definedName>
    <definedName name="mphunson400">#REF!</definedName>
    <definedName name="mphunvua2">#REF!</definedName>
    <definedName name="mphunvua4">#REF!</definedName>
    <definedName name="Mr">#REF!</definedName>
    <definedName name="mraibtsp500">#REF!</definedName>
    <definedName name="mraintn100">#REF!</definedName>
    <definedName name="mraintn65">#REF!</definedName>
    <definedName name="mromooc14">#REF!</definedName>
    <definedName name="mromooc15">#REF!</definedName>
    <definedName name="mromooc2">#REF!</definedName>
    <definedName name="mromooc21">#REF!</definedName>
    <definedName name="mromooc4">#REF!</definedName>
    <definedName name="mromooc7.5">#REF!</definedName>
    <definedName name="ms">#REF!</definedName>
    <definedName name="msangbentontie1">#REF!</definedName>
    <definedName name="msangruada11">#REF!</definedName>
    <definedName name="msangruada35">#REF!</definedName>
    <definedName name="msangruada45">#REF!</definedName>
    <definedName name="msanth108">#REF!</definedName>
    <definedName name="msanth180">#REF!</definedName>
    <definedName name="msanth250">#REF!</definedName>
    <definedName name="msanth54">#REF!</definedName>
    <definedName name="msanth90">#REF!</definedName>
    <definedName name="mtaukeo150">#REF!</definedName>
    <definedName name="mtaukeo360">#REF!</definedName>
    <definedName name="mtaukeo600">#REF!</definedName>
    <definedName name="mtbipvlan150">#REF!</definedName>
    <definedName name="MTCLD">#REF!</definedName>
    <definedName name="mthungcapdkbx2.5">#REF!</definedName>
    <definedName name="mthungcapdkbx2.75">#REF!</definedName>
    <definedName name="mthungcapdkbx3">#REF!</definedName>
    <definedName name="mthungcapdkbx4.5">#REF!</definedName>
    <definedName name="mthungcapdkbx5">#REF!</definedName>
    <definedName name="mthungcapdkbx8">#REF!</definedName>
    <definedName name="mthungcapdkbx9">#REF!</definedName>
    <definedName name="mtien4.5">#REF!</definedName>
    <definedName name="MTMAC12">#REF!</definedName>
    <definedName name="MTN">#REF!</definedName>
    <definedName name="mtoidien0.5">#REF!</definedName>
    <definedName name="mtoidien1">#REF!</definedName>
    <definedName name="mtoidien1.5">#REF!</definedName>
    <definedName name="mtoidien2">#REF!</definedName>
    <definedName name="mtoidien2.5">#REF!</definedName>
    <definedName name="mtoidien3">#REF!</definedName>
    <definedName name="mtoidien4">#REF!</definedName>
    <definedName name="mtoidien5">#REF!</definedName>
    <definedName name="mtram">#REF!</definedName>
    <definedName name="mtrambomdau40">#REF!</definedName>
    <definedName name="mtrambomdau50">#REF!</definedName>
    <definedName name="mtramtronbt20">#REF!</definedName>
    <definedName name="mtramtronbt22">#REF!</definedName>
    <definedName name="mtramtronbt30">#REF!</definedName>
    <definedName name="mtramtronbt60">#REF!</definedName>
    <definedName name="mtramtronbtn25">#REF!</definedName>
    <definedName name="mtramtronbtn30">#REF!</definedName>
    <definedName name="mtramtronbtn40">#REF!</definedName>
    <definedName name="mtramtronbtn50">#REF!</definedName>
    <definedName name="mtramtronbtn60">#REF!</definedName>
    <definedName name="mtramtronbtn80">#REF!</definedName>
    <definedName name="mtronbentonite1">#REF!</definedName>
    <definedName name="mtronbt100">#REF!</definedName>
    <definedName name="mtronbt1150">#REF!</definedName>
    <definedName name="mtronbt150">#REF!</definedName>
    <definedName name="mtronbt1600">#REF!</definedName>
    <definedName name="mtronbt200">#REF!</definedName>
    <definedName name="mtronbt250">#REF!</definedName>
    <definedName name="mtronbt425">#REF!</definedName>
    <definedName name="mtronbt500">#REF!</definedName>
    <definedName name="mtronbt800">#REF!</definedName>
    <definedName name="mtronvua110">#REF!</definedName>
    <definedName name="mtronvua150">#REF!</definedName>
    <definedName name="mtronvua200">#REF!</definedName>
    <definedName name="mtronvua250">#REF!</definedName>
    <definedName name="mtronvua325">#REF!</definedName>
    <definedName name="mtronvua80">#REF!</definedName>
    <definedName name="mucluong">'[10]luong thang 2-NDD'!$I:$I</definedName>
    <definedName name="mucluongcoban">#REF!</definedName>
    <definedName name="muonong2.8">#REF!</definedName>
    <definedName name="mvanthang0.3">#REF!</definedName>
    <definedName name="mvanthang0.5">#REF!</definedName>
    <definedName name="mvanthang2">#REF!</definedName>
    <definedName name="mxebombt90">#REF!</definedName>
    <definedName name="mxenanghang1.5">#REF!</definedName>
    <definedName name="mxenanghang12">#REF!</definedName>
    <definedName name="mxenanghang3">#REF!</definedName>
    <definedName name="mxenanghang3.2">#REF!</definedName>
    <definedName name="mxenanghang3.5">#REF!</definedName>
    <definedName name="mxenanghang5">#REF!</definedName>
    <definedName name="mxetuoinhua190">#REF!</definedName>
    <definedName name="mxuclat0.40">#REF!</definedName>
    <definedName name="mxuclat1.00">#REF!</definedName>
    <definedName name="mxuclat1.65">#REF!</definedName>
    <definedName name="mxuclat2.00">#REF!</definedName>
    <definedName name="mxuclat2.80">#REF!</definedName>
    <definedName name="myle">#REF!</definedName>
    <definedName name="n">#REF!</definedName>
    <definedName name="n1pig">#REF!</definedName>
    <definedName name="n1pind">#REF!</definedName>
    <definedName name="n1ping">#REF!</definedName>
    <definedName name="n1pint">#REF!</definedName>
    <definedName name="nbfhfgh">#REF!</definedName>
    <definedName name="nc">#REF!</definedName>
    <definedName name="nc_btm10">#REF!</definedName>
    <definedName name="nc_btm100">#REF!</definedName>
    <definedName name="nc1p">#REF!</definedName>
    <definedName name="nc3p">#REF!</definedName>
    <definedName name="NCanca">#REF!</definedName>
    <definedName name="NCBD100">#REF!</definedName>
    <definedName name="NCBD200">#REF!</definedName>
    <definedName name="NCBD250">#REF!</definedName>
    <definedName name="nccs">#REF!</definedName>
    <definedName name="NCdochai">#REF!</definedName>
    <definedName name="ncgff">#REF!</definedName>
    <definedName name="NCKT">#REF!</definedName>
    <definedName name="NCLD">#REF!</definedName>
    <definedName name="ncong">#REF!</definedName>
    <definedName name="NCPP">#REF!</definedName>
    <definedName name="nctn">#REF!</definedName>
    <definedName name="nctram">#REF!</definedName>
    <definedName name="NCVC100">#REF!</definedName>
    <definedName name="NCVC200">#REF!</definedName>
    <definedName name="NCVC250">#REF!</definedName>
    <definedName name="NCVC3P">#REF!</definedName>
    <definedName name="nenkhi10m3">#REF!</definedName>
    <definedName name="nenkhi1200">#REF!</definedName>
    <definedName name="neo32mm">#REF!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w" hidden="1">{"'Sheet1'!$L$16"}</definedName>
    <definedName name="Ng">#REF!</definedName>
    <definedName name="ngaycong">#REF!</definedName>
    <definedName name="ngayconganca">#REF!</definedName>
    <definedName name="ngaycongDH">#REF!</definedName>
    <definedName name="ngaycongdochai">#REF!</definedName>
    <definedName name="ngaycongLd">#REF!</definedName>
    <definedName name="ngrkuyfgjmh">#REF!</definedName>
    <definedName name="nguoingheoT5">#REF!</definedName>
    <definedName name="NH">#REF!</definedName>
    <definedName name="nhcong">#REF!</definedName>
    <definedName name="nhn">#REF!</definedName>
    <definedName name="NHot">#REF!</definedName>
    <definedName name="nhu">#REF!</definedName>
    <definedName name="nhua">#REF!</definedName>
    <definedName name="nhuad">#REF!</definedName>
    <definedName name="nig">#REF!</definedName>
    <definedName name="nig1p">#REF!</definedName>
    <definedName name="nig3p">#REF!</definedName>
    <definedName name="nignc1p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1p">#REF!</definedName>
    <definedName name="nindnc3p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3p">#REF!</definedName>
    <definedName name="nint1p">#REF!</definedName>
    <definedName name="nintnc1p">#REF!</definedName>
    <definedName name="nintvl1p">#REF!</definedName>
    <definedName name="ninvl3p">#REF!</definedName>
    <definedName name="nl">#REF!</definedName>
    <definedName name="nl1p">#REF!</definedName>
    <definedName name="nl3p">#REF!</definedName>
    <definedName name="nlnc3p">#REF!</definedName>
    <definedName name="nlnc3pha">#REF!</definedName>
    <definedName name="NLTK1p">#REF!</definedName>
    <definedName name="nlvl3p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ne">#REF!</definedName>
    <definedName name="Np">#REF!</definedName>
    <definedName name="nsc">#REF!</definedName>
    <definedName name="nsk">#REF!</definedName>
    <definedName name="nuoc5">#REF!</definedName>
    <definedName name="nvi">#REF!</definedName>
    <definedName name="o">#REF!</definedName>
    <definedName name="O_M">#REF!</definedName>
    <definedName name="OD">#REF!</definedName>
    <definedName name="odaki">#REF!</definedName>
    <definedName name="ODC">#REF!</definedName>
    <definedName name="ODS">#REF!</definedName>
    <definedName name="ODU">#REF!</definedName>
    <definedName name="OM">#REF!</definedName>
    <definedName name="OMC">#REF!</definedName>
    <definedName name="OME">#REF!</definedName>
    <definedName name="OMW">#REF!</definedName>
    <definedName name="OOM">#REF!</definedName>
    <definedName name="ophom">#REF!</definedName>
    <definedName name="ORD">#REF!</definedName>
    <definedName name="ORF">#REF!</definedName>
    <definedName name="oto10T">#REF!</definedName>
    <definedName name="oto5T">#REF!</definedName>
    <definedName name="oto7T">#REF!</definedName>
    <definedName name="Overhead_and_Profit">#REF!</definedName>
    <definedName name="p1_">#REF!</definedName>
    <definedName name="p2_">#REF!</definedName>
    <definedName name="P7b">#REF!</definedName>
    <definedName name="PA">#REF!</definedName>
    <definedName name="panen">#REF!</definedName>
    <definedName name="pcdh">#REF!</definedName>
    <definedName name="PCdochai">#REF!</definedName>
    <definedName name="PChe">#REF!</definedName>
    <definedName name="pckv">#REF!</definedName>
    <definedName name="PClaixe">#REF!</definedName>
    <definedName name="pcld">#REF!</definedName>
    <definedName name="pcth">#REF!</definedName>
    <definedName name="pctnchucvu">'[5]Luong thang 0709'!$AB$1:$AB$65536</definedName>
    <definedName name="PCtrachnhiem">#REF!</definedName>
    <definedName name="pctrn">#REF!</definedName>
    <definedName name="PHAMHANG">#REF!</definedName>
    <definedName name="PHC">#REF!</definedName>
    <definedName name="phu_luc_vua">#REF!</definedName>
    <definedName name="phucap">#REF!</definedName>
    <definedName name="phucapHC">#REF!</definedName>
    <definedName name="phucapKD">#REF!</definedName>
    <definedName name="phucapTN">#REF!</definedName>
    <definedName name="phugia2">#REF!</definedName>
    <definedName name="phugia3">#REF!</definedName>
    <definedName name="phugia4">#REF!</definedName>
    <definedName name="piarea">#REF!</definedName>
    <definedName name="PIP">BlankMacro1</definedName>
    <definedName name="PIPE2">BlankMacro1</definedName>
    <definedName name="PK">#REF!</definedName>
    <definedName name="Poppy">[7]XL4Poppy!$C$27</definedName>
    <definedName name="PPP">BlankMacro1</definedName>
    <definedName name="PRC">#REF!</definedName>
    <definedName name="PRICE">#REF!</definedName>
    <definedName name="PRICE1">#REF!</definedName>
    <definedName name="_xlnm.Print_Area">#REF!</definedName>
    <definedName name="Print_Area_MI">#REF!</definedName>
    <definedName name="_xlnm.Print_Titles">#N/A</definedName>
    <definedName name="Print_Titles_MI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POSAL">#REF!</definedName>
    <definedName name="PT">BlankMacro1</definedName>
    <definedName name="PT_A1">#REF!</definedName>
    <definedName name="PT_Duong">#REF!</definedName>
    <definedName name="ptdg">#REF!</definedName>
    <definedName name="PTDG_cau">#REF!</definedName>
    <definedName name="ptdg_cong">#REF!</definedName>
    <definedName name="ptdg_duong">#REF!</definedName>
    <definedName name="PTRtt">[3]VINHPHUC!$A$1:$A$65536</definedName>
    <definedName name="q">#REF!</definedName>
    <definedName name="qc">#REF!</definedName>
    <definedName name="qềqg" hidden="1">{"'Sheet1'!$L$16"}</definedName>
    <definedName name="ql">#REF!</definedName>
    <definedName name="qng">#REF!</definedName>
    <definedName name="qp">#REF!</definedName>
    <definedName name="qq">BlankMacro1</definedName>
    <definedName name="qtdm">#REF!</definedName>
    <definedName name="qừq" hidden="1">{#N/A,#N/A,FALSE,"Chi tiÆt"}</definedName>
    <definedName name="qx">#REF!</definedName>
    <definedName name="qy">#REF!</definedName>
    <definedName name="r_">#REF!</definedName>
    <definedName name="ra11p">#REF!</definedName>
    <definedName name="ra13p">#REF!</definedName>
    <definedName name="raiasphalt100">#REF!</definedName>
    <definedName name="raiasphalt65">#REF!</definedName>
    <definedName name="rate">14000</definedName>
    <definedName name="raypb43">#REF!</definedName>
    <definedName name="RCF">#REF!</definedName>
    <definedName name="RCKM">#REF!</definedName>
    <definedName name="rd">#REF!</definedName>
    <definedName name="RDEC">#REF!</definedName>
    <definedName name="RDEFF">#REF!</definedName>
    <definedName name="RDFC">#REF!</definedName>
    <definedName name="RDFU">#REF!</definedName>
    <definedName name="RDLIF">#REF!</definedName>
    <definedName name="RDOM">#REF!</definedName>
    <definedName name="rdpcf">#REF!</definedName>
    <definedName name="RDRC">#REF!</definedName>
    <definedName name="rdrdd" hidden="1">{#N/A,#N/A,FALSE,"Chi tiÆt"}</definedName>
    <definedName name="RDRF">#REF!</definedName>
    <definedName name="reagdfsgfd">#REF!</definedName>
    <definedName name="RECOUT">#N/A</definedName>
    <definedName name="RED_RIVER_BRIDGE__THANH_TRI_BRIDGE__CONSTRUCTION_PROJECT">#REF!</definedName>
    <definedName name="REG">#REF!</definedName>
    <definedName name="REO">#REF!</definedName>
    <definedName name="reyửhgưa">[4]Summary!#REF!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eq5yetj">#REF!</definedName>
    <definedName name="RGLIF">#REF!</definedName>
    <definedName name="RHEC">#REF!</definedName>
    <definedName name="RHEFF">#REF!</definedName>
    <definedName name="rhgrs" hidden="1">{"'Sheet1'!$L$16"}</definedName>
    <definedName name="RHHC">#REF!</definedName>
    <definedName name="RHLIF">#REF!</definedName>
    <definedName name="RHOM">#REF!</definedName>
    <definedName name="rhrewhehe" hidden="1">{#N/A,#N/A,FALSE,"Chi tiÆt"}</definedName>
    <definedName name="RIR">#REF!</definedName>
    <definedName name="rjf" hidden="1">{"Offgrid",#N/A,FALSE,"OFFGRID";"Region",#N/A,FALSE,"REGION";"Offgrid -2",#N/A,FALSE,"OFFGRID";"WTP",#N/A,FALSE,"WTP";"WTP -2",#N/A,FALSE,"WTP";"Project",#N/A,FALSE,"PROJECT";"Summary -2",#N/A,FALSE,"SUMMARY"}</definedName>
    <definedName name="RLF">#REF!</definedName>
    <definedName name="RLKM">#REF!</definedName>
    <definedName name="RLL">#REF!</definedName>
    <definedName name="RLOM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PHEC">#REF!</definedName>
    <definedName name="RPHLIF">#REF!</definedName>
    <definedName name="RPHOM">#REF!</definedName>
    <definedName name="RPHPC">#REF!</definedName>
    <definedName name="RSBC">#REF!</definedName>
    <definedName name="RSBLIF">#REF!</definedName>
    <definedName name="RSIC">#REF!</definedName>
    <definedName name="RSIN">#REF!</definedName>
    <definedName name="RSLIF">#REF!</definedName>
    <definedName name="RSOM">#REF!</definedName>
    <definedName name="RSPI">#REF!</definedName>
    <definedName name="RSSC">#REF!</definedName>
    <definedName name="RWTPhi">#REF!</definedName>
    <definedName name="RWTPlo">#REF!</definedName>
    <definedName name="ryhtrd" hidden="1">{#N/A,#N/A,FALSE,"Chi tiÆt"}</definedName>
    <definedName name="s">{"'Sheet1'!$L$16"}</definedName>
    <definedName name="salan200">#REF!</definedName>
    <definedName name="salan400">#REF!</definedName>
    <definedName name="san">#REF!</definedName>
    <definedName name="SANLUONG">[3]VINHPHUC!$I$1:$I$65536</definedName>
    <definedName name="satu">#REF!</definedName>
    <definedName name="SB">[14]IBASE!$AH$7:$AL$14</definedName>
    <definedName name="SCH">#REF!</definedName>
    <definedName name="SCo">#REF!</definedName>
    <definedName name="sdf" hidden="1">{"'Sheet1'!$L$16"}</definedName>
    <definedName name="sdGd">[4]Summary!#REF!</definedName>
    <definedName name="sdgsgd">#REF!</definedName>
    <definedName name="SDMONG">#REF!</definedName>
    <definedName name="sFÀGag">#REF!</definedName>
    <definedName name="sgsr" hidden="1">{"'Sheet1'!$L$16"}</definedName>
    <definedName name="Sheet1">#REF!</definedName>
    <definedName name="sho">#REF!</definedName>
    <definedName name="shsrhtr" hidden="1">{"'Sheet1'!$L$16"}</definedName>
    <definedName name="sinhnhat">#REF!</definedName>
    <definedName name="SITE_EXPENSE">#REF!</definedName>
    <definedName name="SIZE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o">#REF!</definedName>
    <definedName name="soc3p">#REF!</definedName>
    <definedName name="sogio">#REF!</definedName>
    <definedName name="sogiolamthem">#REF!</definedName>
    <definedName name="Soi">#REF!</definedName>
    <definedName name="soichon12">#REF!</definedName>
    <definedName name="soichon24">#REF!</definedName>
    <definedName name="soichon46">#REF!</definedName>
    <definedName name="solieu">#REF!</definedName>
    <definedName name="soluong01">[12]CT01!#REF!</definedName>
    <definedName name="sonduong">#REF!</definedName>
    <definedName name="SORT">#REF!</definedName>
    <definedName name="SORT_AREA">'[15]DI-ESTI'!$A$8:$R$489</definedName>
    <definedName name="Sothangtruylinh">#REF!</definedName>
    <definedName name="SPEC">#REF!</definedName>
    <definedName name="SPECSUMMARY">#REF!</definedName>
    <definedName name="Sprack">#REF!</definedName>
    <definedName name="ss">BlankMacro1</definedName>
    <definedName name="SSTR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d.">#REF!</definedName>
    <definedName name="stt">#REF!</definedName>
    <definedName name="SU">#REF!</definedName>
    <definedName name="SUL">#REF!</definedName>
    <definedName name="SUM">#REF!,#REF!</definedName>
    <definedName name="SUMMARY">#REF!</definedName>
    <definedName name="T">#REF!</definedName>
    <definedName name="t101p">#REF!</definedName>
    <definedName name="t103p">#REF!</definedName>
    <definedName name="t10nc1p">#REF!</definedName>
    <definedName name="t10vl1p">#REF!</definedName>
    <definedName name="t121p">#REF!</definedName>
    <definedName name="t123p">#REF!</definedName>
    <definedName name="t141p">#REF!</definedName>
    <definedName name="t143p">#REF!</definedName>
    <definedName name="t14nc3p">#REF!</definedName>
    <definedName name="t14vl3p">#REF!</definedName>
    <definedName name="t3cd1">#REF!</definedName>
    <definedName name="tanca1">#REF!</definedName>
    <definedName name="tanca2">#REF!</definedName>
    <definedName name="tanca3">#REF!</definedName>
    <definedName name="TANK">#REF!</definedName>
    <definedName name="taukeo150">#REF!</definedName>
    <definedName name="taun">#REF!</definedName>
    <definedName name="TaxTV">10%</definedName>
    <definedName name="TaxXL">5%</definedName>
    <definedName name="TBA">#REF!</definedName>
    <definedName name="tbtram">#REF!</definedName>
    <definedName name="TC">#REF!</definedName>
    <definedName name="TC_NHANH1">#REF!</definedName>
    <definedName name="td1p">#REF!</definedName>
    <definedName name="td3p">#REF!</definedName>
    <definedName name="tdhai">#REF!</definedName>
    <definedName name="tdhai1">#REF!</definedName>
    <definedName name="tdhai2">#REF!</definedName>
    <definedName name="tdhai3">#REF!</definedName>
    <definedName name="tdia">#REF!</definedName>
    <definedName name="tdnc1p">#REF!</definedName>
    <definedName name="tdochai">#REF!</definedName>
    <definedName name="tdt">#REF!</definedName>
    <definedName name="tdtr2cnc">#REF!</definedName>
    <definedName name="tdtr2cvl">#REF!</definedName>
    <definedName name="tdvl1p">#REF!</definedName>
    <definedName name="tecnuoc5">#REF!</definedName>
    <definedName name="ten">#REF!</definedName>
    <definedName name="tenck">#REF!</definedName>
    <definedName name="tennhanvien">#REF!</definedName>
    <definedName name="tenvung">#REF!</definedName>
    <definedName name="test">#REF!</definedName>
    <definedName name="textcopy2">#REF!</definedName>
    <definedName name="TextRefCopy10">#REF!</definedName>
    <definedName name="TextRefCopy11">#REF!</definedName>
    <definedName name="TextRefCopy12">#REF!</definedName>
    <definedName name="TextRefCopy13">[16]Summary!#REF!</definedName>
    <definedName name="TextRefCopy14">[16]Summary!#REF!</definedName>
    <definedName name="TextRefCopy2">#REF!</definedName>
    <definedName name="TextRefCopy24">[16]Summary!#REF!</definedName>
    <definedName name="TextRefCopy25">#REF!</definedName>
    <definedName name="TextRefCopy26">#REF!</definedName>
    <definedName name="TextRefCopy27">#REF!</definedName>
    <definedName name="TextRefCopy3">#REF!</definedName>
    <definedName name="TextRefCopy33">[16]Summary!$T$11</definedName>
    <definedName name="TextRefCopy35">'[17]Tổng hợp chênh lệch'!$C$46</definedName>
    <definedName name="TextRefCopy5">#REF!</definedName>
    <definedName name="TextRefCopy7">#REF!</definedName>
    <definedName name="TextRefCopy9">#REF!</definedName>
    <definedName name="TextRefCopyRangeCount" hidden="1">48</definedName>
    <definedName name="tgưgz" hidden="1">{"'Sheet1'!$L$16"}</definedName>
    <definedName name="thai">#REF!</definedName>
    <definedName name="thang">#REF!</definedName>
    <definedName name="Thanh_CT">#REF!</definedName>
    <definedName name="thanhdul">#REF!</definedName>
    <definedName name="thanhtien">#REF!</definedName>
    <definedName name="thdjhgdjy">#REF!</definedName>
    <definedName name="thdt">#REF!</definedName>
    <definedName name="THEP_D32">#REF!</definedName>
    <definedName name="thepban">#REF!</definedName>
    <definedName name="thepgoc25_60">#REF!</definedName>
    <definedName name="thepgoc63_75">#REF!</definedName>
    <definedName name="thepgoc80_100">#REF!</definedName>
    <definedName name="theptron">#REF!</definedName>
    <definedName name="theptron12">#REF!</definedName>
    <definedName name="theptron14_22">#REF!</definedName>
    <definedName name="theptron6_8">#REF!</definedName>
    <definedName name="thetichck">#REF!</definedName>
    <definedName name="THGO1pnc">#REF!</definedName>
    <definedName name="thht">#REF!</definedName>
    <definedName name="THI">#REF!</definedName>
    <definedName name="THIPHAN">[3]VINHPHUC!$J$1:$J$65536</definedName>
    <definedName name="thkp3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clinh">#REF!</definedName>
    <definedName name="thue">6</definedName>
    <definedName name="thueconnop">'[10]luong thang 03-CNV'!$AQ:$AQ</definedName>
    <definedName name="Thueconphainop">'[10]luong thang 03-NDD'!$AQ:$AQ</definedName>
    <definedName name="thuePN">#REF!</definedName>
    <definedName name="thuethunhap">#REF!</definedName>
    <definedName name="Thuethunhapdanop">#REF!</definedName>
    <definedName name="thunhapchiuthue">#REF!</definedName>
    <definedName name="thunhapkhac">#REF!</definedName>
    <definedName name="thunhaptruocthue">#REF!</definedName>
    <definedName name="thuong">#REF!</definedName>
    <definedName name="thuong2">#REF!</definedName>
    <definedName name="thuonghc">#REF!</definedName>
    <definedName name="thuongkd">#REF!</definedName>
    <definedName name="thuongkhac">#REF!</definedName>
    <definedName name="thuongtinhlaithue">#REF!</definedName>
    <definedName name="thuongtlt">#REF!</definedName>
    <definedName name="thuongTN">#REF!</definedName>
    <definedName name="TI">#REF!</definedName>
    <definedName name="Tien">#REF!</definedName>
    <definedName name="Tien1">[12]CT00!$L$6:$L$1994</definedName>
    <definedName name="Tien2">[12]CT01!$L$6:$L$2386</definedName>
    <definedName name="Tien2001">'[2]156nhap01'!$K$5:$K$86</definedName>
    <definedName name="Tienluong">#REF!</definedName>
    <definedName name="tienluongchinh">'[11]luong thang 12'!$I:$I</definedName>
    <definedName name="Tim_lan_xuat_hien">#REF!</definedName>
    <definedName name="tim_xuat_hien">#REF!</definedName>
    <definedName name="TINH">[3]VINHPHUC!$B$1:$B$65536</definedName>
    <definedName name="TITAN">#REF!</definedName>
    <definedName name="tjhtrjntrsjnsr" hidden="1">{"'Sheet1'!$L$16"}</definedName>
    <definedName name="tjhủn" hidden="1">{"Offgrid",#N/A,FALSE,"OFFGRID";"Region",#N/A,FALSE,"REGION";"Offgrid -2",#N/A,FALSE,"OFFGRID";"WTP",#N/A,FALSE,"WTP";"WTP -2",#N/A,FALSE,"WTP";"Project",#N/A,FALSE,"PROJECT";"Summary -2",#N/A,FALSE,"SUMMARY"}</definedName>
    <definedName name="tjjrj" hidden="1">{#N/A,#N/A,FALSE,"Chi tiÆt"}</definedName>
    <definedName name="TK">#REF!</definedName>
    <definedName name="TKYB">"TKYB"</definedName>
    <definedName name="TL">#REF!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amdem1">#REF!</definedName>
    <definedName name="tlamdem2">#REF!</definedName>
    <definedName name="tlamdem3">#REF!</definedName>
    <definedName name="tlamthem1">#REF!</definedName>
    <definedName name="tlamthem2">#REF!</definedName>
    <definedName name="tlamthem3">#REF!</definedName>
    <definedName name="tld">#REF!</definedName>
    <definedName name="Tle">#REF!</definedName>
    <definedName name="tluongcung1">#REF!</definedName>
    <definedName name="tluongcung2">#REF!</definedName>
    <definedName name="tluongcung3">#REF!</definedName>
    <definedName name="tluongmem1">#REF!</definedName>
    <definedName name="tluongmem2">#REF!</definedName>
    <definedName name="tluongmem3">#REF!</definedName>
    <definedName name="tLvaPC1">#REF!</definedName>
    <definedName name="tLvaPC2">#REF!</definedName>
    <definedName name="tLvaPC3">#REF!</definedName>
    <definedName name="tly">#REF!</definedName>
    <definedName name="TMDT1">#REF!</definedName>
    <definedName name="TMDT2">#REF!</definedName>
    <definedName name="TMDTmoi">#REF!</definedName>
    <definedName name="TN">#REF!</definedName>
    <definedName name="toi5t">#REF!</definedName>
    <definedName name="Tong">#REF!</definedName>
    <definedName name="tong1bhxh5">#REF!</definedName>
    <definedName name="tong1bhyt1">#REF!</definedName>
    <definedName name="tong1cd1">#REF!</definedName>
    <definedName name="tong1thuetn">#REF!</definedName>
    <definedName name="tong2bhxh15">#REF!</definedName>
    <definedName name="tong2bhxh5">#REF!</definedName>
    <definedName name="tong2bhyt1">#REF!</definedName>
    <definedName name="tong2bhyt2">#REF!</definedName>
    <definedName name="tong2cd1">#REF!</definedName>
    <definedName name="tong2cd2">#REF!</definedName>
    <definedName name="tong2thuetn">#REF!</definedName>
    <definedName name="tong3bhxh15">#REF!</definedName>
    <definedName name="tong3bhxh5">#REF!</definedName>
    <definedName name="tong3bhyt1">#REF!</definedName>
    <definedName name="tong3bhyt2">#REF!</definedName>
    <definedName name="tong3bhyt5">#REF!</definedName>
    <definedName name="tong3cd1">#REF!</definedName>
    <definedName name="tong3cd2">#REF!</definedName>
    <definedName name="tong3thuetn">#REF!</definedName>
    <definedName name="tonganca">#REF!</definedName>
    <definedName name="tonganca2">#REF!</definedName>
    <definedName name="tongbhxh15">#REF!</definedName>
    <definedName name="tongbhxh2">#REF!</definedName>
    <definedName name="tongbhxh5">#REF!</definedName>
    <definedName name="tongbhyt1">#REF!</definedName>
    <definedName name="tongbhyt2">#REF!</definedName>
    <definedName name="tongbt">#REF!</definedName>
    <definedName name="tongcd1">#REF!</definedName>
    <definedName name="tongcd2">#REF!</definedName>
    <definedName name="tongcong">#REF!</definedName>
    <definedName name="tongcongdoan2">#REF!</definedName>
    <definedName name="tongdientich">#REF!</definedName>
    <definedName name="Tonghop">{"Book1","Cau Van Phu.xls"}</definedName>
    <definedName name="tongkpcd2">#REF!</definedName>
    <definedName name="tonglamthem">#REF!</definedName>
    <definedName name="tongluongcung">#REF!</definedName>
    <definedName name="tongluongcung1">#REF!</definedName>
    <definedName name="tongluongdongbaohiem">'[11]luong thang 12'!$M:$M</definedName>
    <definedName name="tongluongmem">#REF!</definedName>
    <definedName name="tongluongvaPC">#REF!</definedName>
    <definedName name="tongLvaPC">#REF!</definedName>
    <definedName name="tongthep">#REF!</definedName>
    <definedName name="tongthetich">#REF!</definedName>
    <definedName name="tongthuclinh">#REF!</definedName>
    <definedName name="tongthuetn">#REF!</definedName>
    <definedName name="tongthunhapkhac">#REF!</definedName>
    <definedName name="tongthunhaptruocthue">#REF!</definedName>
    <definedName name="tongtnchiuthue">#REF!</definedName>
    <definedName name="tongtntruocthue">#REF!</definedName>
    <definedName name="Tonmai">#REF!</definedName>
    <definedName name="TOTAL">#REF!</definedName>
    <definedName name="TPLRP">#REF!</definedName>
    <definedName name="Tra_DM_su_dung">#REF!</definedName>
    <definedName name="Tra_don_gia_KS">#REF!</definedName>
    <definedName name="Tra_DTCT">#REF!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A103">#REF!</definedName>
    <definedName name="trachnhiem">#REF!</definedName>
    <definedName name="Trachnhiemlaixe">#REF!</definedName>
    <definedName name="trachnhiemlx">#REF!</definedName>
    <definedName name="TRADE2">#REF!</definedName>
    <definedName name="tramatcong1">#REF!</definedName>
    <definedName name="tramatcong2">#REF!</definedName>
    <definedName name="trambt30">#REF!</definedName>
    <definedName name="trambt60">#REF!</definedName>
    <definedName name="tramtronbt30">#REF!</definedName>
    <definedName name="tranhietdo">#REF!</definedName>
    <definedName name="TRAVL">#REF!</definedName>
    <definedName name="TRIETKHAUCAO">[3]VINHPHUC!$K$1:$K$65536</definedName>
    <definedName name="TRIETKHAUTHAP">[3]VINHPHUC!$L$1:$L$65536</definedName>
    <definedName name="tronbt250">#REF!</definedName>
    <definedName name="tronvua250">#REF!</definedName>
    <definedName name="trrh" hidden="1">{"'Sheet1'!$L$16"}</definedName>
    <definedName name="trt">#REF!</definedName>
    <definedName name="trugiacanh">'[5]Luong thang 0709'!$AT$1:$AT$65536</definedName>
    <definedName name="truylinhluong">#REF!</definedName>
    <definedName name="truylinhthuetncn">#REF!</definedName>
    <definedName name="truythuthuetncn">#REF!</definedName>
    <definedName name="tt">#REF!</definedName>
    <definedName name="TT_1P">#REF!</definedName>
    <definedName name="TT_3p">#REF!</definedName>
    <definedName name="ttc">1550</definedName>
    <definedName name="ttd">1600</definedName>
    <definedName name="TTDA">#REF!</definedName>
    <definedName name="tthi">#REF!</definedName>
    <definedName name="tthunhapchiuthue1">#REF!</definedName>
    <definedName name="tthunhapchiuthue2">#REF!</definedName>
    <definedName name="tthunhapchiuthue3">#REF!</definedName>
    <definedName name="tthunhapkhac1">#REF!</definedName>
    <definedName name="tthunhapkhac2">#REF!</definedName>
    <definedName name="tthunhapkhac3">#REF!</definedName>
    <definedName name="TTLB1">#REF!</definedName>
    <definedName name="TTLB2">#REF!</definedName>
    <definedName name="TTLB3">#REF!</definedName>
    <definedName name="ttnchiuthue1">#REF!</definedName>
    <definedName name="ttnchiuthue2">#REF!</definedName>
    <definedName name="ttnchiuthue3">#REF!</definedName>
    <definedName name="ttronmk">#REF!</definedName>
    <definedName name="Ttt">#REF!</definedName>
    <definedName name="TTVAn5">#REF!</definedName>
    <definedName name="Tuong_dau_HD">#REF!</definedName>
    <definedName name="tuongtrodk">#REF!</definedName>
    <definedName name="tv75nc">#REF!</definedName>
    <definedName name="tv75vl">#REF!</definedName>
    <definedName name="tvbt">#REF!</definedName>
    <definedName name="tvg">#REF!</definedName>
    <definedName name="Tvk">#REF!</definedName>
    <definedName name="TWEAYGREHGFH">[4]Summary!#REF!</definedName>
    <definedName name="Txk">#REF!</definedName>
    <definedName name="Ty_gia">"I2"</definedName>
    <definedName name="ty_le">#REF!</definedName>
    <definedName name="ty_le_BTN">#REF!</definedName>
    <definedName name="Ty_le1">#REF!</definedName>
    <definedName name="tyle2">#REF!</definedName>
    <definedName name="TYT">BlankMacro1</definedName>
    <definedName name="u">#REF!</definedName>
    <definedName name="uassw_sh" hidden="1">{"'Sheet1'!$L$16"}</definedName>
    <definedName name="Ud">#REF!</definedName>
    <definedName name="ƯEGƯEGỬEG">[4]Summary!#REF!</definedName>
    <definedName name="ùeh">#REF!</definedName>
    <definedName name="ưetưag">#REF!</definedName>
    <definedName name="unghokhac">#REF!</definedName>
    <definedName name="UNIT">#REF!</definedName>
    <definedName name="unitt">BlankMacro1</definedName>
    <definedName name="UNL">#REF!</definedName>
    <definedName name="ủnt" hidden="1">{"'Sheet1'!$L$16"}</definedName>
    <definedName name="UP">#REF!,#REF!,#REF!,#REF!,#REF!,#REF!,#REF!,#REF!,#REF!,#REF!,#REF!</definedName>
    <definedName name="upnoc">#REF!</definedName>
    <definedName name="us">#REF!</definedName>
    <definedName name="ut">BlankMacro1</definedName>
    <definedName name="utedytdyg">#REF!</definedName>
    <definedName name="ừtẻgègh">#REF!</definedName>
    <definedName name="utẻitdiytdf">#REF!</definedName>
    <definedName name="Uy">#REF!</definedName>
    <definedName name="UYFIUHFVKU">#REF!</definedName>
    <definedName name="uylkulkjhkj">#REF!</definedName>
    <definedName name="ủytỉt" hidden="1">{"'Sheet1'!$L$16"}</definedName>
    <definedName name="uytjhtdjtj" hidden="1">{"'Sheet1'!$L$16"}</definedName>
    <definedName name="ụyug">[4]Summary!#REF!</definedName>
    <definedName name="ùyyu">#REF!</definedName>
    <definedName name="v">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IINST">#REF!</definedName>
    <definedName name="VARIPURC">#REF!</definedName>
    <definedName name="VAT">#REF!</definedName>
    <definedName name="vaytaichinh">'[5]Luong thang 0709'!$AZ$1:$AZ$65536</definedName>
    <definedName name="vbst">#REF!</definedName>
    <definedName name="vbt400d">#REF!</definedName>
    <definedName name="vbta">#REF!</definedName>
    <definedName name="vbtB">#REF!</definedName>
    <definedName name="vbtchongnuocm300">#REF!</definedName>
    <definedName name="vbtD">#REF!</definedName>
    <definedName name="vbtE">#REF!</definedName>
    <definedName name="vbtF">#REF!</definedName>
    <definedName name="vbtg">#REF!</definedName>
    <definedName name="vbtm150">#REF!</definedName>
    <definedName name="vbtm300">#REF!</definedName>
    <definedName name="vbtm400">#REF!</definedName>
    <definedName name="vc">#REF!</definedName>
    <definedName name="vcc">#REF!</definedName>
    <definedName name="vccot">#REF!</definedName>
    <definedName name="vcd">#REF!</definedName>
    <definedName name="vcdatd">#REF!</definedName>
    <definedName name="vcdc">#REF!</definedName>
    <definedName name="vcddx">#REF!</definedName>
    <definedName name="VCHT">#REF!</definedName>
    <definedName name="vcn">#REF!</definedName>
    <definedName name="vct">#REF!</definedName>
    <definedName name="VCTT">#REF!</definedName>
    <definedName name="vcxi">#REF!</definedName>
    <definedName name="vd">#REF!</definedName>
    <definedName name="vd3p">#REF!</definedName>
    <definedName name="vhhjngbkj">[4]Summary!#REF!</definedName>
    <definedName name="viet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dn400">#REF!</definedName>
    <definedName name="vldn600">#REF!</definedName>
    <definedName name="vltram">#REF!</definedName>
    <definedName name="vr">#REF!</definedName>
    <definedName name="vr3p">#REF!</definedName>
    <definedName name="vrtt">#REF!</definedName>
    <definedName name="Vs">#REF!</definedName>
    <definedName name="vtu">#REF!</definedName>
    <definedName name="vung">#REF!</definedName>
    <definedName name="vxaqn">#REF!</definedName>
    <definedName name="vxbqn">#REF!</definedName>
    <definedName name="vxcqn">#REF!</definedName>
    <definedName name="Vxk">#REF!</definedName>
    <definedName name="W">#REF!</definedName>
    <definedName name="watertruck">#REF!</definedName>
    <definedName name="waterway">#REF!</definedName>
    <definedName name="wb">#REF!</definedName>
    <definedName name="wgyw" hidden="1">{"'Sheet1'!$L$16"}</definedName>
    <definedName name="WHERAHRHFDHB">#REF!</definedName>
    <definedName name="wrn.chi._.tiÆt.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w" hidden="1">{"Offgrid",#N/A,FALSE,"OFFGRID";"Region",#N/A,FALSE,"REGION";"Offgrid -2",#N/A,FALSE,"OFFGRID";"WTP",#N/A,FALSE,"WTP";"WTP -2",#N/A,FALSE,"WTP";"Project",#N/A,FALSE,"PROJECT";"Summary -2",#N/A,FALSE,"SUMMARY"}</definedName>
    <definedName name="wup">#REF!</definedName>
    <definedName name="wwhh" hidden="1">{#N/A,#N/A,FALSE,"Chi tiÆt"}</definedName>
    <definedName name="wwhwhwrh" hidden="1">{"'Sheet1'!$L$16"}</definedName>
    <definedName name="x">#REF!</definedName>
    <definedName name="x1_">#REF!</definedName>
    <definedName name="x1pind">#REF!</definedName>
    <definedName name="x1ping">#REF!</definedName>
    <definedName name="x1pint">#REF!</definedName>
    <definedName name="x2_">#REF!</definedName>
    <definedName name="XA">#REF!</definedName>
    <definedName name="XCCT">0.5</definedName>
    <definedName name="xd0.6">#REF!</definedName>
    <definedName name="xd1.3">#REF!</definedName>
    <definedName name="xd1.5">#REF!</definedName>
    <definedName name="xe">#REF!</definedName>
    <definedName name="xelaodam">#REF!</definedName>
    <definedName name="xethung10t">#REF!</definedName>
    <definedName name="xetreo">#REF!</definedName>
    <definedName name="xfÂfsa">[4]Summary!#REF!</definedName>
    <definedName name="xfco">#REF!</definedName>
    <definedName name="xfco3p">#REF!</definedName>
    <definedName name="xfcotnc">#REF!</definedName>
    <definedName name="xfcotvl">#REF!</definedName>
    <definedName name="xgc100">#REF!</definedName>
    <definedName name="xgc150">#REF!</definedName>
    <definedName name="xgc200">#REF!</definedName>
    <definedName name="xh">#REF!</definedName>
    <definedName name="xhn">#REF!</definedName>
    <definedName name="xi">#REF!</definedName>
    <definedName name="xig">#REF!</definedName>
    <definedName name="xig1">#REF!</definedName>
    <definedName name="xig1p">#REF!</definedName>
    <definedName name="xig3p">#REF!</definedName>
    <definedName name="xignc3p">#REF!</definedName>
    <definedName name="xigvl3p">#REF!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3p">#REF!</definedName>
    <definedName name="xint1p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3p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P">#REF!</definedName>
    <definedName name="xmcax">#REF!</definedName>
    <definedName name="xn">#REF!</definedName>
    <definedName name="xuclat1">#REF!</definedName>
    <definedName name="xx">#REF!</definedName>
    <definedName name="Yd">#REF!</definedName>
    <definedName name="ỳdhgg" hidden="1">{"'Sheet1'!$L$16"}</definedName>
    <definedName name="yen">#REF!</definedName>
    <definedName name="yen1">#REF!</definedName>
    <definedName name="yen2">#REF!</definedName>
    <definedName name="ỳkjhfg">#REF!</definedName>
    <definedName name="ỳkjhfvkj">#REF!</definedName>
    <definedName name="ykùhgkjh">#REF!</definedName>
    <definedName name="ylihg">[4]Summary!#REF!</definedName>
    <definedName name="YR0">#REF!</definedName>
    <definedName name="YRP">#REF!</definedName>
    <definedName name="ytdjhg">#REF!</definedName>
    <definedName name="ytgkgkh">#REF!</definedName>
    <definedName name="Yu">#REF!</definedName>
    <definedName name="ỲU">#REF!</definedName>
    <definedName name="ỵu" hidden="1">{"'Sheet1'!$L$16"}</definedName>
    <definedName name="ỷukjhf">#REF!</definedName>
    <definedName name="yyjy_ukyu" hidden="1">{"'Sheet1'!$L$16"}</definedName>
    <definedName name="Z">#REF!</definedName>
    <definedName name="zjhdfjẹa">[4]Summary!#REF!</definedName>
    <definedName name="zxx">#REF!</definedName>
    <definedName name="ZYX">#REF!</definedName>
    <definedName name="ZZZ">#REF!</definedName>
    <definedName name="もりた">#REF!</definedName>
    <definedName name="전">#REF!</definedName>
    <definedName name="주택사업본부">#REF!</definedName>
    <definedName name="철구사업본부">#REF!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피팅">BlankMacro1</definedName>
    <definedName name="勝">#REF!</definedName>
    <definedName name="工事">#REF!</definedName>
    <definedName name="現法">#REF!</definedName>
    <definedName name="直轄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J15" i="22" l="1"/>
  <c r="BJ14" i="22"/>
  <c r="BJ12" i="22"/>
  <c r="BJ11" i="22"/>
  <c r="AV400" i="30" l="1"/>
  <c r="AU400" i="30"/>
  <c r="AV399" i="30"/>
  <c r="AU399" i="30"/>
  <c r="AV398" i="30"/>
  <c r="AU398" i="30"/>
  <c r="AV397" i="30"/>
  <c r="AU397" i="30"/>
  <c r="AV396" i="30"/>
  <c r="AU396" i="30"/>
  <c r="AV395" i="30"/>
  <c r="AU395" i="30"/>
  <c r="AV394" i="30"/>
  <c r="AU394" i="30"/>
  <c r="AV393" i="30"/>
  <c r="AU393" i="30"/>
  <c r="AV392" i="30"/>
  <c r="AU392" i="30"/>
  <c r="AV391" i="30"/>
  <c r="AU391" i="30"/>
  <c r="AV390" i="30"/>
  <c r="AU390" i="30"/>
  <c r="AV389" i="30"/>
  <c r="AU389" i="30"/>
  <c r="AV388" i="30"/>
  <c r="AU388" i="30"/>
  <c r="AV387" i="30"/>
  <c r="AU387" i="30"/>
  <c r="AV386" i="30"/>
  <c r="AU386" i="30"/>
  <c r="AV385" i="30"/>
  <c r="AU385" i="30"/>
  <c r="AV384" i="30"/>
  <c r="AU384" i="30"/>
  <c r="AV383" i="30"/>
  <c r="AU383" i="30"/>
  <c r="AV382" i="30"/>
  <c r="AU382" i="30"/>
  <c r="AV381" i="30"/>
  <c r="AU381" i="30"/>
  <c r="AV380" i="30"/>
  <c r="AU380" i="30"/>
  <c r="AV379" i="30"/>
  <c r="AU379" i="30"/>
  <c r="AV378" i="30"/>
  <c r="AU378" i="30"/>
  <c r="AV377" i="30"/>
  <c r="AU377" i="30"/>
  <c r="AV376" i="30"/>
  <c r="AU376" i="30"/>
  <c r="AV375" i="30"/>
  <c r="AU375" i="30"/>
  <c r="AV374" i="30"/>
  <c r="AU374" i="30"/>
  <c r="AV373" i="30"/>
  <c r="AU373" i="30"/>
  <c r="AV372" i="30"/>
  <c r="AU372" i="30"/>
  <c r="AV371" i="30"/>
  <c r="AU371" i="30"/>
  <c r="AV370" i="30"/>
  <c r="AU370" i="30"/>
  <c r="AV369" i="30"/>
  <c r="AU369" i="30"/>
  <c r="AV368" i="30"/>
  <c r="AU368" i="30"/>
  <c r="AV367" i="30"/>
  <c r="AU367" i="30"/>
  <c r="AV366" i="30"/>
  <c r="AU366" i="30"/>
  <c r="AV365" i="30"/>
  <c r="AU365" i="30"/>
  <c r="AV364" i="30"/>
  <c r="AU364" i="30"/>
  <c r="AV363" i="30"/>
  <c r="AU363" i="30"/>
  <c r="AV362" i="30"/>
  <c r="AU362" i="30"/>
  <c r="AV361" i="30"/>
  <c r="AU361" i="30"/>
  <c r="AV360" i="30"/>
  <c r="AU360" i="30"/>
  <c r="AV359" i="30"/>
  <c r="AU359" i="30"/>
  <c r="AV358" i="30"/>
  <c r="AU358" i="30"/>
  <c r="AV357" i="30"/>
  <c r="AU357" i="30"/>
  <c r="AV356" i="30"/>
  <c r="AU356" i="30"/>
  <c r="AV355" i="30"/>
  <c r="AU355" i="30"/>
  <c r="AV354" i="30"/>
  <c r="AU354" i="30"/>
  <c r="AV353" i="30"/>
  <c r="AU353" i="30"/>
  <c r="AV352" i="30"/>
  <c r="AU352" i="30"/>
  <c r="AV351" i="30"/>
  <c r="AU351" i="30"/>
  <c r="AV350" i="30"/>
  <c r="AU350" i="30"/>
  <c r="AV349" i="30"/>
  <c r="AU349" i="30"/>
  <c r="AV348" i="30"/>
  <c r="AU348" i="30"/>
  <c r="AV347" i="30"/>
  <c r="AU347" i="30"/>
  <c r="AV346" i="30"/>
  <c r="AU346" i="30"/>
  <c r="AV345" i="30"/>
  <c r="AU345" i="30"/>
  <c r="AV344" i="30"/>
  <c r="AU344" i="30"/>
  <c r="AV343" i="30"/>
  <c r="AU343" i="30"/>
  <c r="AV342" i="30"/>
  <c r="AU342" i="30"/>
  <c r="AV341" i="30"/>
  <c r="AU341" i="30"/>
  <c r="AV340" i="30"/>
  <c r="AU340" i="30"/>
  <c r="AV339" i="30"/>
  <c r="AU339" i="30"/>
  <c r="AV338" i="30"/>
  <c r="AU338" i="30"/>
  <c r="AV337" i="30"/>
  <c r="AU337" i="30"/>
  <c r="AV336" i="30"/>
  <c r="AU336" i="30"/>
  <c r="AV335" i="30"/>
  <c r="AU335" i="30"/>
  <c r="AV334" i="30"/>
  <c r="AU334" i="30"/>
  <c r="AV333" i="30"/>
  <c r="AU333" i="30"/>
  <c r="AV332" i="30"/>
  <c r="AU332" i="30"/>
  <c r="AV331" i="30"/>
  <c r="AU331" i="30"/>
  <c r="AV330" i="30"/>
  <c r="AU330" i="30"/>
  <c r="AV329" i="30"/>
  <c r="AU329" i="30"/>
  <c r="AV328" i="30"/>
  <c r="AU328" i="30"/>
  <c r="AV327" i="30"/>
  <c r="AU327" i="30"/>
  <c r="AV326" i="30"/>
  <c r="AU326" i="30"/>
  <c r="AV325" i="30"/>
  <c r="AU325" i="30"/>
  <c r="AV324" i="30"/>
  <c r="AU324" i="30"/>
  <c r="AV323" i="30"/>
  <c r="AU323" i="30"/>
  <c r="AV322" i="30"/>
  <c r="AU322" i="30"/>
  <c r="AV321" i="30"/>
  <c r="AU321" i="30"/>
  <c r="AV320" i="30"/>
  <c r="AU320" i="30"/>
  <c r="AV319" i="30"/>
  <c r="AU319" i="30"/>
  <c r="AV318" i="30"/>
  <c r="AU318" i="30"/>
  <c r="AV317" i="30"/>
  <c r="AU317" i="30"/>
  <c r="AV316" i="30"/>
  <c r="AU316" i="30"/>
  <c r="AV315" i="30"/>
  <c r="AU315" i="30"/>
  <c r="AV314" i="30"/>
  <c r="AU314" i="30"/>
  <c r="AV313" i="30"/>
  <c r="AU313" i="30"/>
  <c r="AV312" i="30"/>
  <c r="AU312" i="30"/>
  <c r="AV311" i="30"/>
  <c r="AU311" i="30"/>
  <c r="AV310" i="30"/>
  <c r="AU310" i="30"/>
  <c r="AV309" i="30"/>
  <c r="AU309" i="30"/>
  <c r="AV308" i="30"/>
  <c r="AU308" i="30"/>
  <c r="AV307" i="30"/>
  <c r="AU307" i="30"/>
  <c r="AV306" i="30"/>
  <c r="AU306" i="30"/>
  <c r="AV305" i="30"/>
  <c r="AU305" i="30"/>
  <c r="AV304" i="30"/>
  <c r="AU304" i="30"/>
  <c r="AV303" i="30"/>
  <c r="AU303" i="30"/>
  <c r="AV302" i="30"/>
  <c r="AU302" i="30"/>
  <c r="AV301" i="30"/>
  <c r="AU301" i="30"/>
  <c r="AV300" i="30"/>
  <c r="AU300" i="30"/>
  <c r="AV299" i="30"/>
  <c r="AU299" i="30"/>
  <c r="AV298" i="30"/>
  <c r="AU298" i="30"/>
  <c r="AV297" i="30"/>
  <c r="AU297" i="30"/>
  <c r="AV296" i="30"/>
  <c r="AU296" i="30"/>
  <c r="AV295" i="30"/>
  <c r="AU295" i="30"/>
  <c r="AV294" i="30"/>
  <c r="AU294" i="30"/>
  <c r="AV293" i="30"/>
  <c r="AU293" i="30"/>
  <c r="AV292" i="30"/>
  <c r="AU292" i="30"/>
  <c r="AV291" i="30"/>
  <c r="AU291" i="30"/>
  <c r="AV290" i="30"/>
  <c r="AU290" i="30"/>
  <c r="AV289" i="30"/>
  <c r="AU289" i="30"/>
  <c r="AV288" i="30"/>
  <c r="AU288" i="30"/>
  <c r="AV287" i="30"/>
  <c r="AU287" i="30"/>
  <c r="AV286" i="30"/>
  <c r="AU286" i="30"/>
  <c r="AV285" i="30"/>
  <c r="AU285" i="30"/>
  <c r="AV284" i="30"/>
  <c r="AU284" i="30"/>
  <c r="AV283" i="30"/>
  <c r="AU283" i="30"/>
  <c r="AV282" i="30"/>
  <c r="AU282" i="30"/>
  <c r="AV281" i="30"/>
  <c r="AU281" i="30"/>
  <c r="AV280" i="30"/>
  <c r="AU280" i="30"/>
  <c r="AV279" i="30"/>
  <c r="AU279" i="30"/>
  <c r="AV278" i="30"/>
  <c r="AU278" i="30"/>
  <c r="AV277" i="30"/>
  <c r="AU277" i="30"/>
  <c r="AV276" i="30"/>
  <c r="AU276" i="30"/>
  <c r="AV275" i="30"/>
  <c r="AU275" i="30"/>
  <c r="AV274" i="30"/>
  <c r="AU274" i="30"/>
  <c r="AV273" i="30"/>
  <c r="AU273" i="30"/>
  <c r="AV272" i="30"/>
  <c r="AU272" i="30"/>
  <c r="AV271" i="30"/>
  <c r="AU271" i="30"/>
  <c r="AV270" i="30"/>
  <c r="AU270" i="30"/>
  <c r="AV269" i="30"/>
  <c r="AU269" i="30"/>
  <c r="AV268" i="30"/>
  <c r="AU268" i="30"/>
  <c r="AV267" i="30"/>
  <c r="AU267" i="30"/>
  <c r="AV266" i="30"/>
  <c r="AU266" i="30"/>
  <c r="AV265" i="30"/>
  <c r="AU265" i="30"/>
  <c r="AV264" i="30"/>
  <c r="AU264" i="30"/>
  <c r="AV263" i="30"/>
  <c r="AU263" i="30"/>
  <c r="AV262" i="30"/>
  <c r="AU262" i="30"/>
  <c r="AV261" i="30"/>
  <c r="AU261" i="30"/>
  <c r="AV260" i="30"/>
  <c r="AU260" i="30"/>
  <c r="AV259" i="30"/>
  <c r="AU259" i="30"/>
  <c r="AV258" i="30"/>
  <c r="AU258" i="30"/>
  <c r="AV257" i="30"/>
  <c r="AU257" i="30"/>
  <c r="AV256" i="30"/>
  <c r="AU256" i="30"/>
  <c r="AV255" i="30"/>
  <c r="AU255" i="30"/>
  <c r="AV254" i="30"/>
  <c r="AU254" i="30"/>
  <c r="AV253" i="30"/>
  <c r="AU253" i="30"/>
  <c r="AV252" i="30"/>
  <c r="AU252" i="30"/>
  <c r="AV251" i="30"/>
  <c r="AU251" i="30"/>
  <c r="AV250" i="30"/>
  <c r="AU250" i="30"/>
  <c r="AV249" i="30"/>
  <c r="AU249" i="30"/>
  <c r="AV248" i="30"/>
  <c r="AU248" i="30"/>
  <c r="AV247" i="30"/>
  <c r="AU247" i="30"/>
  <c r="AV246" i="30"/>
  <c r="AU246" i="30"/>
  <c r="AV245" i="30"/>
  <c r="AU245" i="30"/>
  <c r="AV244" i="30"/>
  <c r="AU244" i="30"/>
  <c r="AV243" i="30"/>
  <c r="AU243" i="30"/>
  <c r="AV242" i="30"/>
  <c r="AU242" i="30"/>
  <c r="AV241" i="30"/>
  <c r="AU241" i="30"/>
  <c r="AV240" i="30"/>
  <c r="AU240" i="30"/>
  <c r="AV239" i="30"/>
  <c r="AU239" i="30"/>
  <c r="AV238" i="30"/>
  <c r="AU238" i="30"/>
  <c r="AV237" i="30"/>
  <c r="AU237" i="30"/>
  <c r="AV236" i="30"/>
  <c r="AU236" i="30"/>
  <c r="AV235" i="30"/>
  <c r="AU235" i="30"/>
  <c r="AV234" i="30"/>
  <c r="AU234" i="30"/>
  <c r="AV233" i="30"/>
  <c r="AU233" i="30"/>
  <c r="AV232" i="30"/>
  <c r="AU232" i="30"/>
  <c r="AV231" i="30"/>
  <c r="AU231" i="30"/>
  <c r="AV230" i="30"/>
  <c r="AU230" i="30"/>
  <c r="AV229" i="30"/>
  <c r="AU229" i="30"/>
  <c r="AV228" i="30"/>
  <c r="AU228" i="30"/>
  <c r="AV227" i="30"/>
  <c r="AU227" i="30"/>
  <c r="AV226" i="30"/>
  <c r="AU226" i="30"/>
  <c r="AV225" i="30"/>
  <c r="AU225" i="30"/>
  <c r="AV224" i="30"/>
  <c r="AU224" i="30"/>
  <c r="AV223" i="30"/>
  <c r="AU223" i="30"/>
  <c r="AV222" i="30"/>
  <c r="AU222" i="30"/>
  <c r="AV221" i="30"/>
  <c r="AU221" i="30"/>
  <c r="AV220" i="30"/>
  <c r="AU220" i="30"/>
  <c r="AV219" i="30"/>
  <c r="AU219" i="30"/>
  <c r="AV218" i="30"/>
  <c r="AU218" i="30"/>
  <c r="AV217" i="30"/>
  <c r="AU217" i="30"/>
  <c r="AV216" i="30"/>
  <c r="AU216" i="30"/>
  <c r="AV215" i="30"/>
  <c r="AU215" i="30"/>
  <c r="AV214" i="30"/>
  <c r="AU214" i="30"/>
  <c r="AV213" i="30"/>
  <c r="AU213" i="30"/>
  <c r="AV212" i="30"/>
  <c r="AU212" i="30"/>
  <c r="AV211" i="30"/>
  <c r="AU211" i="30"/>
  <c r="AV210" i="30"/>
  <c r="AU210" i="30"/>
  <c r="AV209" i="30"/>
  <c r="AU209" i="30"/>
  <c r="AV208" i="30"/>
  <c r="AU208" i="30"/>
  <c r="AV207" i="30"/>
  <c r="AU207" i="30"/>
  <c r="AV206" i="30"/>
  <c r="AU206" i="30"/>
  <c r="AV205" i="30"/>
  <c r="AU205" i="30"/>
  <c r="AV204" i="30"/>
  <c r="AU204" i="30"/>
  <c r="AV203" i="30"/>
  <c r="AU203" i="30"/>
  <c r="AV202" i="30"/>
  <c r="AU202" i="30"/>
  <c r="AV201" i="30"/>
  <c r="AU201" i="30"/>
  <c r="AV200" i="30"/>
  <c r="AU200" i="30"/>
  <c r="AV199" i="30"/>
  <c r="AU199" i="30"/>
  <c r="AV198" i="30"/>
  <c r="AU198" i="30"/>
  <c r="AV197" i="30"/>
  <c r="AU197" i="30"/>
  <c r="AV196" i="30"/>
  <c r="AU196" i="30"/>
  <c r="AV195" i="30"/>
  <c r="AU195" i="30"/>
  <c r="AV194" i="30"/>
  <c r="AU194" i="30"/>
  <c r="AV193" i="30"/>
  <c r="AU193" i="30"/>
  <c r="AV192" i="30"/>
  <c r="AU192" i="30"/>
  <c r="AV191" i="30"/>
  <c r="AU191" i="30"/>
  <c r="AV190" i="30"/>
  <c r="AU190" i="30"/>
  <c r="AV189" i="30"/>
  <c r="AU189" i="30"/>
  <c r="AV188" i="30"/>
  <c r="AU188" i="30"/>
  <c r="AV187" i="30"/>
  <c r="AU187" i="30"/>
  <c r="AV186" i="30"/>
  <c r="AU186" i="30"/>
  <c r="AV185" i="30"/>
  <c r="AU185" i="30"/>
  <c r="AV184" i="30"/>
  <c r="AU184" i="30"/>
  <c r="AV183" i="30"/>
  <c r="AU183" i="30"/>
  <c r="AV182" i="30"/>
  <c r="AU182" i="30"/>
  <c r="AV181" i="30"/>
  <c r="AU181" i="30"/>
  <c r="AV180" i="30"/>
  <c r="AU180" i="30"/>
  <c r="AV179" i="30"/>
  <c r="AU179" i="30"/>
  <c r="AV178" i="30"/>
  <c r="AU178" i="30"/>
  <c r="AV177" i="30"/>
  <c r="AU177" i="30"/>
  <c r="AV176" i="30"/>
  <c r="AU176" i="30"/>
  <c r="AV175" i="30"/>
  <c r="AU175" i="30"/>
  <c r="AV174" i="30"/>
  <c r="AU174" i="30"/>
  <c r="AV173" i="30"/>
  <c r="AU173" i="30"/>
  <c r="AV172" i="30"/>
  <c r="AU172" i="30"/>
  <c r="AV171" i="30"/>
  <c r="AU171" i="30"/>
  <c r="AV170" i="30"/>
  <c r="AU170" i="30"/>
  <c r="AV169" i="30"/>
  <c r="AU169" i="30"/>
  <c r="AV168" i="30"/>
  <c r="AU168" i="30"/>
  <c r="AV167" i="30"/>
  <c r="AU167" i="30"/>
  <c r="AV166" i="30"/>
  <c r="AU166" i="30"/>
  <c r="AV165" i="30"/>
  <c r="AU165" i="30"/>
  <c r="AV164" i="30"/>
  <c r="AU164" i="30"/>
  <c r="AV163" i="30"/>
  <c r="AU163" i="30"/>
  <c r="AV162" i="30"/>
  <c r="AU162" i="30"/>
  <c r="AV161" i="30"/>
  <c r="AU161" i="30"/>
  <c r="AV160" i="30"/>
  <c r="AU160" i="30"/>
  <c r="AV159" i="30"/>
  <c r="AU159" i="30"/>
  <c r="AV158" i="30"/>
  <c r="AU158" i="30"/>
  <c r="AV157" i="30"/>
  <c r="AU157" i="30"/>
  <c r="AV156" i="30"/>
  <c r="AU156" i="30"/>
  <c r="AV155" i="30"/>
  <c r="AU155" i="30"/>
  <c r="AV154" i="30"/>
  <c r="AU154" i="30"/>
  <c r="AV153" i="30"/>
  <c r="AU153" i="30"/>
  <c r="AU152" i="30"/>
  <c r="AU150" i="30"/>
  <c r="AU149" i="30"/>
  <c r="AU147" i="30"/>
  <c r="AU146" i="30"/>
  <c r="AU145" i="30"/>
  <c r="AU144" i="30"/>
  <c r="AU143" i="30"/>
  <c r="AU141" i="30"/>
  <c r="AU140" i="30"/>
  <c r="AU139" i="30"/>
  <c r="AU137" i="30"/>
  <c r="AU136" i="30"/>
  <c r="AU135" i="30"/>
  <c r="AU134" i="30"/>
  <c r="AU128" i="30"/>
  <c r="AU127" i="30"/>
  <c r="AU126" i="30"/>
  <c r="AU125" i="30"/>
  <c r="AU124" i="30"/>
  <c r="AU123" i="30"/>
  <c r="AU122" i="30"/>
  <c r="AU120" i="30"/>
  <c r="AU119" i="30"/>
  <c r="AU118" i="30"/>
  <c r="AU115" i="30"/>
  <c r="AU114" i="30"/>
  <c r="AU113" i="30"/>
  <c r="AU110" i="30"/>
  <c r="AU109" i="30"/>
  <c r="AU108" i="30"/>
  <c r="AU107" i="30"/>
  <c r="AU106" i="30"/>
  <c r="AU105" i="30"/>
  <c r="AU103" i="30"/>
  <c r="AU102" i="30"/>
  <c r="AU101" i="30"/>
  <c r="AU100" i="30"/>
  <c r="AU99" i="30"/>
  <c r="AU98" i="30"/>
  <c r="AU97" i="30"/>
  <c r="AU96" i="30"/>
  <c r="AU95" i="30"/>
  <c r="AU94" i="30"/>
  <c r="AU93" i="30"/>
  <c r="AU92" i="30"/>
  <c r="AU91" i="30"/>
  <c r="AU90" i="30"/>
  <c r="AU85" i="30"/>
  <c r="AU84" i="30"/>
  <c r="AU83" i="30"/>
  <c r="AU80" i="30"/>
  <c r="AU79" i="30"/>
  <c r="AU78" i="30"/>
  <c r="AU77" i="30"/>
  <c r="AU76" i="30"/>
  <c r="AU73" i="30"/>
  <c r="AU72" i="30"/>
  <c r="AU71" i="30"/>
  <c r="AU64" i="30"/>
  <c r="AU63" i="30"/>
  <c r="AU62" i="30"/>
  <c r="AU60" i="30"/>
  <c r="AU59" i="30"/>
  <c r="AU58" i="30"/>
  <c r="AU57" i="30"/>
  <c r="AU56" i="30"/>
  <c r="AU55" i="30"/>
  <c r="AU54" i="30"/>
  <c r="AU53" i="30"/>
  <c r="AU52" i="30"/>
  <c r="AU51" i="30"/>
  <c r="AU50" i="30"/>
  <c r="AU49" i="30"/>
  <c r="AU48" i="30"/>
  <c r="AU46" i="30"/>
  <c r="AU44" i="30"/>
  <c r="AU43" i="30"/>
  <c r="AU42" i="30"/>
  <c r="AU41" i="30"/>
  <c r="AU35" i="30"/>
  <c r="AU34" i="30"/>
  <c r="AU32" i="30"/>
  <c r="AU31" i="30"/>
  <c r="AU30" i="30"/>
  <c r="AU29" i="30"/>
  <c r="AU28" i="30"/>
  <c r="AU21" i="30"/>
  <c r="AU20" i="30"/>
  <c r="AU19" i="30"/>
  <c r="AU18" i="30"/>
  <c r="AU17" i="30"/>
  <c r="AU15" i="30"/>
  <c r="AU14" i="30"/>
  <c r="AU13" i="30"/>
  <c r="AU10" i="30"/>
  <c r="AU9" i="30"/>
  <c r="AU8" i="30"/>
  <c r="AU7" i="30"/>
  <c r="AU6" i="30"/>
  <c r="AU3" i="30"/>
  <c r="AR400" i="30"/>
  <c r="AQ400" i="30"/>
  <c r="AR399" i="30"/>
  <c r="AQ399" i="30"/>
  <c r="AR398" i="30"/>
  <c r="AQ398" i="30"/>
  <c r="AR397" i="30"/>
  <c r="AQ397" i="30"/>
  <c r="AR396" i="30"/>
  <c r="AQ396" i="30"/>
  <c r="AR395" i="30"/>
  <c r="AQ395" i="30"/>
  <c r="AR394" i="30"/>
  <c r="AQ394" i="30"/>
  <c r="AR393" i="30"/>
  <c r="AQ393" i="30"/>
  <c r="AR392" i="30"/>
  <c r="AQ392" i="30"/>
  <c r="AR391" i="30"/>
  <c r="AQ391" i="30"/>
  <c r="AR390" i="30"/>
  <c r="AQ390" i="30"/>
  <c r="AR389" i="30"/>
  <c r="AQ389" i="30"/>
  <c r="AR388" i="30"/>
  <c r="AQ388" i="30"/>
  <c r="AR387" i="30"/>
  <c r="AQ387" i="30"/>
  <c r="AR386" i="30"/>
  <c r="AQ386" i="30"/>
  <c r="AR385" i="30"/>
  <c r="AQ385" i="30"/>
  <c r="AR384" i="30"/>
  <c r="AQ384" i="30"/>
  <c r="AR383" i="30"/>
  <c r="AQ383" i="30"/>
  <c r="AR382" i="30"/>
  <c r="AQ382" i="30"/>
  <c r="AR381" i="30"/>
  <c r="AQ381" i="30"/>
  <c r="AR380" i="30"/>
  <c r="AQ380" i="30"/>
  <c r="AR379" i="30"/>
  <c r="AQ379" i="30"/>
  <c r="AR378" i="30"/>
  <c r="AQ378" i="30"/>
  <c r="AR377" i="30"/>
  <c r="AQ377" i="30"/>
  <c r="AR376" i="30"/>
  <c r="AQ376" i="30"/>
  <c r="AR375" i="30"/>
  <c r="AQ375" i="30"/>
  <c r="AR374" i="30"/>
  <c r="AQ374" i="30"/>
  <c r="AR373" i="30"/>
  <c r="AQ373" i="30"/>
  <c r="AR372" i="30"/>
  <c r="AQ372" i="30"/>
  <c r="AR371" i="30"/>
  <c r="AQ371" i="30"/>
  <c r="AR370" i="30"/>
  <c r="AQ370" i="30"/>
  <c r="AR369" i="30"/>
  <c r="AQ369" i="30"/>
  <c r="AR368" i="30"/>
  <c r="AQ368" i="30"/>
  <c r="AR367" i="30"/>
  <c r="AQ367" i="30"/>
  <c r="AR366" i="30"/>
  <c r="AQ366" i="30"/>
  <c r="AR365" i="30"/>
  <c r="AQ365" i="30"/>
  <c r="AR364" i="30"/>
  <c r="AQ364" i="30"/>
  <c r="AR363" i="30"/>
  <c r="AQ363" i="30"/>
  <c r="AR362" i="30"/>
  <c r="AQ362" i="30"/>
  <c r="AR361" i="30"/>
  <c r="AQ361" i="30"/>
  <c r="AR360" i="30"/>
  <c r="AQ360" i="30"/>
  <c r="AR359" i="30"/>
  <c r="AQ359" i="30"/>
  <c r="AR358" i="30"/>
  <c r="AQ358" i="30"/>
  <c r="AR357" i="30"/>
  <c r="AQ357" i="30"/>
  <c r="AR356" i="30"/>
  <c r="AQ356" i="30"/>
  <c r="AR355" i="30"/>
  <c r="AQ355" i="30"/>
  <c r="AR354" i="30"/>
  <c r="AQ354" i="30"/>
  <c r="AR353" i="30"/>
  <c r="AQ353" i="30"/>
  <c r="AR352" i="30"/>
  <c r="AQ352" i="30"/>
  <c r="AR351" i="30"/>
  <c r="AQ351" i="30"/>
  <c r="AR350" i="30"/>
  <c r="AQ350" i="30"/>
  <c r="AR349" i="30"/>
  <c r="AQ349" i="30"/>
  <c r="AR348" i="30"/>
  <c r="AQ348" i="30"/>
  <c r="AR347" i="30"/>
  <c r="AQ347" i="30"/>
  <c r="AR346" i="30"/>
  <c r="AQ346" i="30"/>
  <c r="AR345" i="30"/>
  <c r="AQ345" i="30"/>
  <c r="AR344" i="30"/>
  <c r="AQ344" i="30"/>
  <c r="AR343" i="30"/>
  <c r="AQ343" i="30"/>
  <c r="AR342" i="30"/>
  <c r="AQ342" i="30"/>
  <c r="AR341" i="30"/>
  <c r="AQ341" i="30"/>
  <c r="AR340" i="30"/>
  <c r="AQ340" i="30"/>
  <c r="AR339" i="30"/>
  <c r="AQ339" i="30"/>
  <c r="AR338" i="30"/>
  <c r="AQ338" i="30"/>
  <c r="AR337" i="30"/>
  <c r="AQ337" i="30"/>
  <c r="AR336" i="30"/>
  <c r="AQ336" i="30"/>
  <c r="AR335" i="30"/>
  <c r="AQ335" i="30"/>
  <c r="AR334" i="30"/>
  <c r="AQ334" i="30"/>
  <c r="AR333" i="30"/>
  <c r="AQ333" i="30"/>
  <c r="AR332" i="30"/>
  <c r="AQ332" i="30"/>
  <c r="AR331" i="30"/>
  <c r="AQ331" i="30"/>
  <c r="AR330" i="30"/>
  <c r="AQ330" i="30"/>
  <c r="AR329" i="30"/>
  <c r="AQ329" i="30"/>
  <c r="AR328" i="30"/>
  <c r="AQ328" i="30"/>
  <c r="AR327" i="30"/>
  <c r="AQ327" i="30"/>
  <c r="AR326" i="30"/>
  <c r="AQ326" i="30"/>
  <c r="AR325" i="30"/>
  <c r="AQ325" i="30"/>
  <c r="AR324" i="30"/>
  <c r="AQ324" i="30"/>
  <c r="AR323" i="30"/>
  <c r="AQ323" i="30"/>
  <c r="AR322" i="30"/>
  <c r="AQ322" i="30"/>
  <c r="AR321" i="30"/>
  <c r="AQ321" i="30"/>
  <c r="AR320" i="30"/>
  <c r="AQ320" i="30"/>
  <c r="AR319" i="30"/>
  <c r="AQ319" i="30"/>
  <c r="AR318" i="30"/>
  <c r="AQ318" i="30"/>
  <c r="AR317" i="30"/>
  <c r="AQ317" i="30"/>
  <c r="AR316" i="30"/>
  <c r="AQ316" i="30"/>
  <c r="AR315" i="30"/>
  <c r="AQ315" i="30"/>
  <c r="AR314" i="30"/>
  <c r="AQ314" i="30"/>
  <c r="AR313" i="30"/>
  <c r="AQ313" i="30"/>
  <c r="AR312" i="30"/>
  <c r="AQ312" i="30"/>
  <c r="AR311" i="30"/>
  <c r="AQ311" i="30"/>
  <c r="AR310" i="30"/>
  <c r="AQ310" i="30"/>
  <c r="AR309" i="30"/>
  <c r="AQ309" i="30"/>
  <c r="AR308" i="30"/>
  <c r="AQ308" i="30"/>
  <c r="AR307" i="30"/>
  <c r="AQ307" i="30"/>
  <c r="AR306" i="30"/>
  <c r="AQ306" i="30"/>
  <c r="AR305" i="30"/>
  <c r="AQ305" i="30"/>
  <c r="AR304" i="30"/>
  <c r="AQ304" i="30"/>
  <c r="AR303" i="30"/>
  <c r="AQ303" i="30"/>
  <c r="AR302" i="30"/>
  <c r="AQ302" i="30"/>
  <c r="AR301" i="30"/>
  <c r="AQ301" i="30"/>
  <c r="AR300" i="30"/>
  <c r="AQ300" i="30"/>
  <c r="AR299" i="30"/>
  <c r="AQ299" i="30"/>
  <c r="AR298" i="30"/>
  <c r="AQ298" i="30"/>
  <c r="AR297" i="30"/>
  <c r="AQ297" i="30"/>
  <c r="AR296" i="30"/>
  <c r="AQ296" i="30"/>
  <c r="AR295" i="30"/>
  <c r="AQ295" i="30"/>
  <c r="AR294" i="30"/>
  <c r="AQ294" i="30"/>
  <c r="AR293" i="30"/>
  <c r="AQ293" i="30"/>
  <c r="AR292" i="30"/>
  <c r="AQ292" i="30"/>
  <c r="AR291" i="30"/>
  <c r="AQ291" i="30"/>
  <c r="AR290" i="30"/>
  <c r="AQ290" i="30"/>
  <c r="AR289" i="30"/>
  <c r="AQ289" i="30"/>
  <c r="AR288" i="30"/>
  <c r="AQ288" i="30"/>
  <c r="AR287" i="30"/>
  <c r="AQ287" i="30"/>
  <c r="AR286" i="30"/>
  <c r="AQ286" i="30"/>
  <c r="AR285" i="30"/>
  <c r="AQ285" i="30"/>
  <c r="AR284" i="30"/>
  <c r="AQ284" i="30"/>
  <c r="AR283" i="30"/>
  <c r="AQ283" i="30"/>
  <c r="AR282" i="30"/>
  <c r="AQ282" i="30"/>
  <c r="AR281" i="30"/>
  <c r="AQ281" i="30"/>
  <c r="AR280" i="30"/>
  <c r="AQ280" i="30"/>
  <c r="AR279" i="30"/>
  <c r="AQ279" i="30"/>
  <c r="AR278" i="30"/>
  <c r="AQ278" i="30"/>
  <c r="AR277" i="30"/>
  <c r="AQ277" i="30"/>
  <c r="AR276" i="30"/>
  <c r="AQ276" i="30"/>
  <c r="AR275" i="30"/>
  <c r="AQ275" i="30"/>
  <c r="AR274" i="30"/>
  <c r="AQ274" i="30"/>
  <c r="AR273" i="30"/>
  <c r="AQ273" i="30"/>
  <c r="AR272" i="30"/>
  <c r="AQ272" i="30"/>
  <c r="AR271" i="30"/>
  <c r="AQ271" i="30"/>
  <c r="AR270" i="30"/>
  <c r="AQ270" i="30"/>
  <c r="AR269" i="30"/>
  <c r="AQ269" i="30"/>
  <c r="AR268" i="30"/>
  <c r="AQ268" i="30"/>
  <c r="AR267" i="30"/>
  <c r="AQ267" i="30"/>
  <c r="AR266" i="30"/>
  <c r="AQ266" i="30"/>
  <c r="AR265" i="30"/>
  <c r="AQ265" i="30"/>
  <c r="AR264" i="30"/>
  <c r="AQ264" i="30"/>
  <c r="AR263" i="30"/>
  <c r="AQ263" i="30"/>
  <c r="AR262" i="30"/>
  <c r="AQ262" i="30"/>
  <c r="AR261" i="30"/>
  <c r="AQ261" i="30"/>
  <c r="AR260" i="30"/>
  <c r="AQ260" i="30"/>
  <c r="AR259" i="30"/>
  <c r="AQ259" i="30"/>
  <c r="AR258" i="30"/>
  <c r="AQ258" i="30"/>
  <c r="AR257" i="30"/>
  <c r="AQ257" i="30"/>
  <c r="AR256" i="30"/>
  <c r="AQ256" i="30"/>
  <c r="AR255" i="30"/>
  <c r="AQ255" i="30"/>
  <c r="AR254" i="30"/>
  <c r="AQ254" i="30"/>
  <c r="AR253" i="30"/>
  <c r="AQ253" i="30"/>
  <c r="AR252" i="30"/>
  <c r="AQ252" i="30"/>
  <c r="AR251" i="30"/>
  <c r="AQ251" i="30"/>
  <c r="AR250" i="30"/>
  <c r="AQ250" i="30"/>
  <c r="AR249" i="30"/>
  <c r="AQ249" i="30"/>
  <c r="AR248" i="30"/>
  <c r="AQ248" i="30"/>
  <c r="AR247" i="30"/>
  <c r="AQ247" i="30"/>
  <c r="AR246" i="30"/>
  <c r="AQ246" i="30"/>
  <c r="AR245" i="30"/>
  <c r="AQ245" i="30"/>
  <c r="AR244" i="30"/>
  <c r="AQ244" i="30"/>
  <c r="AR243" i="30"/>
  <c r="AQ243" i="30"/>
  <c r="AR242" i="30"/>
  <c r="AQ242" i="30"/>
  <c r="AR241" i="30"/>
  <c r="AQ241" i="30"/>
  <c r="AR240" i="30"/>
  <c r="AQ240" i="30"/>
  <c r="AR239" i="30"/>
  <c r="AQ239" i="30"/>
  <c r="AR238" i="30"/>
  <c r="AQ238" i="30"/>
  <c r="AR237" i="30"/>
  <c r="AQ237" i="30"/>
  <c r="AR236" i="30"/>
  <c r="AQ236" i="30"/>
  <c r="AR235" i="30"/>
  <c r="AQ235" i="30"/>
  <c r="AR234" i="30"/>
  <c r="AQ234" i="30"/>
  <c r="AR233" i="30"/>
  <c r="AQ233" i="30"/>
  <c r="AR232" i="30"/>
  <c r="AQ232" i="30"/>
  <c r="AR231" i="30"/>
  <c r="AQ231" i="30"/>
  <c r="AR230" i="30"/>
  <c r="AQ230" i="30"/>
  <c r="AR229" i="30"/>
  <c r="AQ229" i="30"/>
  <c r="AR228" i="30"/>
  <c r="AQ228" i="30"/>
  <c r="AR227" i="30"/>
  <c r="AQ227" i="30"/>
  <c r="AR226" i="30"/>
  <c r="AQ226" i="30"/>
  <c r="AR225" i="30"/>
  <c r="AQ225" i="30"/>
  <c r="AR224" i="30"/>
  <c r="AQ224" i="30"/>
  <c r="AR223" i="30"/>
  <c r="AQ223" i="30"/>
  <c r="AR222" i="30"/>
  <c r="AQ222" i="30"/>
  <c r="AR221" i="30"/>
  <c r="AQ221" i="30"/>
  <c r="AR220" i="30"/>
  <c r="AQ220" i="30"/>
  <c r="AR219" i="30"/>
  <c r="AQ219" i="30"/>
  <c r="AR218" i="30"/>
  <c r="AQ218" i="30"/>
  <c r="AR217" i="30"/>
  <c r="AQ217" i="30"/>
  <c r="AR216" i="30"/>
  <c r="AQ216" i="30"/>
  <c r="AR215" i="30"/>
  <c r="AQ215" i="30"/>
  <c r="AR214" i="30"/>
  <c r="AQ214" i="30"/>
  <c r="AR213" i="30"/>
  <c r="AQ213" i="30"/>
  <c r="AR212" i="30"/>
  <c r="AQ212" i="30"/>
  <c r="AR211" i="30"/>
  <c r="AQ211" i="30"/>
  <c r="AR210" i="30"/>
  <c r="AQ210" i="30"/>
  <c r="AR209" i="30"/>
  <c r="AQ209" i="30"/>
  <c r="AR208" i="30"/>
  <c r="AQ208" i="30"/>
  <c r="AR207" i="30"/>
  <c r="AQ207" i="30"/>
  <c r="AR206" i="30"/>
  <c r="AQ206" i="30"/>
  <c r="AR205" i="30"/>
  <c r="AQ205" i="30"/>
  <c r="AR204" i="30"/>
  <c r="AQ204" i="30"/>
  <c r="AR203" i="30"/>
  <c r="AQ203" i="30"/>
  <c r="AR202" i="30"/>
  <c r="AQ202" i="30"/>
  <c r="AR201" i="30"/>
  <c r="AQ201" i="30"/>
  <c r="AR200" i="30"/>
  <c r="AQ200" i="30"/>
  <c r="AR199" i="30"/>
  <c r="AQ199" i="30"/>
  <c r="AR198" i="30"/>
  <c r="AQ198" i="30"/>
  <c r="AR197" i="30"/>
  <c r="AQ197" i="30"/>
  <c r="AR196" i="30"/>
  <c r="AQ196" i="30"/>
  <c r="AR195" i="30"/>
  <c r="AQ195" i="30"/>
  <c r="AR194" i="30"/>
  <c r="AQ194" i="30"/>
  <c r="AR193" i="30"/>
  <c r="AQ193" i="30"/>
  <c r="AR192" i="30"/>
  <c r="AQ192" i="30"/>
  <c r="AR191" i="30"/>
  <c r="AQ191" i="30"/>
  <c r="AR190" i="30"/>
  <c r="AQ190" i="30"/>
  <c r="AR189" i="30"/>
  <c r="AQ189" i="30"/>
  <c r="AR188" i="30"/>
  <c r="AQ188" i="30"/>
  <c r="AR187" i="30"/>
  <c r="AQ187" i="30"/>
  <c r="AR186" i="30"/>
  <c r="AQ186" i="30"/>
  <c r="AR185" i="30"/>
  <c r="AQ185" i="30"/>
  <c r="AR184" i="30"/>
  <c r="AQ184" i="30"/>
  <c r="AR183" i="30"/>
  <c r="AQ183" i="30"/>
  <c r="AR182" i="30"/>
  <c r="AQ182" i="30"/>
  <c r="AR181" i="30"/>
  <c r="AQ181" i="30"/>
  <c r="AR180" i="30"/>
  <c r="AQ180" i="30"/>
  <c r="AR179" i="30"/>
  <c r="AQ179" i="30"/>
  <c r="AR178" i="30"/>
  <c r="AQ178" i="30"/>
  <c r="AR177" i="30"/>
  <c r="AQ177" i="30"/>
  <c r="AR176" i="30"/>
  <c r="AQ176" i="30"/>
  <c r="AR175" i="30"/>
  <c r="AQ175" i="30"/>
  <c r="AR174" i="30"/>
  <c r="AQ174" i="30"/>
  <c r="AR173" i="30"/>
  <c r="AQ173" i="30"/>
  <c r="AR172" i="30"/>
  <c r="AQ172" i="30"/>
  <c r="AR171" i="30"/>
  <c r="AQ171" i="30"/>
  <c r="AR170" i="30"/>
  <c r="AQ170" i="30"/>
  <c r="AR169" i="30"/>
  <c r="AQ169" i="30"/>
  <c r="AR168" i="30"/>
  <c r="AQ168" i="30"/>
  <c r="AR167" i="30"/>
  <c r="AQ167" i="30"/>
  <c r="AR166" i="30"/>
  <c r="AQ166" i="30"/>
  <c r="AR165" i="30"/>
  <c r="AQ165" i="30"/>
  <c r="AR164" i="30"/>
  <c r="AQ164" i="30"/>
  <c r="AR163" i="30"/>
  <c r="AQ163" i="30"/>
  <c r="AR162" i="30"/>
  <c r="AQ162" i="30"/>
  <c r="AR161" i="30"/>
  <c r="AQ161" i="30"/>
  <c r="AR160" i="30"/>
  <c r="AQ160" i="30"/>
  <c r="AR159" i="30"/>
  <c r="AQ159" i="30"/>
  <c r="AR158" i="30"/>
  <c r="AQ158" i="30"/>
  <c r="AR157" i="30"/>
  <c r="AQ157" i="30"/>
  <c r="AR156" i="30"/>
  <c r="AQ156" i="30"/>
  <c r="AR155" i="30"/>
  <c r="AQ155" i="30"/>
  <c r="AR154" i="30"/>
  <c r="AQ154" i="30"/>
  <c r="AR153" i="30"/>
  <c r="AQ153" i="30"/>
  <c r="AQ152" i="30"/>
  <c r="AQ150" i="30"/>
  <c r="AQ149" i="30"/>
  <c r="AQ147" i="30"/>
  <c r="AQ146" i="30"/>
  <c r="AQ145" i="30"/>
  <c r="AQ144" i="30"/>
  <c r="AQ143" i="30"/>
  <c r="AQ141" i="30"/>
  <c r="AQ140" i="30"/>
  <c r="AQ139" i="30"/>
  <c r="AQ137" i="30"/>
  <c r="AQ136" i="30"/>
  <c r="AQ135" i="30"/>
  <c r="AQ134" i="30"/>
  <c r="AQ128" i="30"/>
  <c r="AQ127" i="30"/>
  <c r="AQ126" i="30"/>
  <c r="AQ125" i="30"/>
  <c r="AQ124" i="30"/>
  <c r="AQ123" i="30"/>
  <c r="AQ122" i="30"/>
  <c r="AQ120" i="30"/>
  <c r="AQ119" i="30"/>
  <c r="AQ118" i="30"/>
  <c r="AQ115" i="30"/>
  <c r="AQ114" i="30"/>
  <c r="AQ113" i="30"/>
  <c r="AQ110" i="30"/>
  <c r="AQ109" i="30"/>
  <c r="AQ108" i="30"/>
  <c r="AQ107" i="30"/>
  <c r="AQ106" i="30"/>
  <c r="AQ105" i="30"/>
  <c r="AQ103" i="30"/>
  <c r="AQ102" i="30"/>
  <c r="AQ101" i="30"/>
  <c r="AQ100" i="30"/>
  <c r="AQ99" i="30"/>
  <c r="AQ98" i="30"/>
  <c r="AQ97" i="30"/>
  <c r="AQ96" i="30"/>
  <c r="AQ95" i="30"/>
  <c r="AQ94" i="30"/>
  <c r="AQ93" i="30"/>
  <c r="AQ92" i="30"/>
  <c r="AQ91" i="30"/>
  <c r="AQ90" i="30"/>
  <c r="AQ85" i="30"/>
  <c r="AQ84" i="30"/>
  <c r="AQ83" i="30"/>
  <c r="AQ80" i="30"/>
  <c r="AQ79" i="30"/>
  <c r="AQ78" i="30"/>
  <c r="AQ77" i="30"/>
  <c r="AQ76" i="30"/>
  <c r="AQ73" i="30"/>
  <c r="AQ72" i="30"/>
  <c r="AQ71" i="30"/>
  <c r="AQ64" i="30"/>
  <c r="AQ63" i="30"/>
  <c r="AQ62" i="30"/>
  <c r="AQ60" i="30"/>
  <c r="AQ59" i="30"/>
  <c r="AQ58" i="30"/>
  <c r="AQ57" i="30"/>
  <c r="AQ56" i="30"/>
  <c r="AQ55" i="30"/>
  <c r="AQ54" i="30"/>
  <c r="AQ53" i="30"/>
  <c r="AQ52" i="30"/>
  <c r="AQ51" i="30"/>
  <c r="AQ50" i="30"/>
  <c r="AQ49" i="30"/>
  <c r="AQ48" i="30"/>
  <c r="AQ46" i="30"/>
  <c r="AQ44" i="30"/>
  <c r="AQ43" i="30"/>
  <c r="AQ42" i="30"/>
  <c r="AQ41" i="30"/>
  <c r="AQ35" i="30"/>
  <c r="AQ34" i="30"/>
  <c r="AQ32" i="30"/>
  <c r="AQ31" i="30"/>
  <c r="AQ30" i="30"/>
  <c r="AQ29" i="30"/>
  <c r="AQ28" i="30"/>
  <c r="AQ21" i="30"/>
  <c r="AQ20" i="30"/>
  <c r="AQ19" i="30"/>
  <c r="AQ18" i="30"/>
  <c r="AQ17" i="30"/>
  <c r="AQ15" i="30"/>
  <c r="AQ14" i="30"/>
  <c r="AQ13" i="30"/>
  <c r="AQ10" i="30"/>
  <c r="AQ9" i="30"/>
  <c r="AQ8" i="30"/>
  <c r="AQ7" i="30"/>
  <c r="AQ6" i="30"/>
  <c r="AQ3" i="30"/>
  <c r="AN400" i="30"/>
  <c r="AM400" i="30"/>
  <c r="AN399" i="30"/>
  <c r="AM399" i="30"/>
  <c r="AN398" i="30"/>
  <c r="AM398" i="30"/>
  <c r="AN397" i="30"/>
  <c r="AM397" i="30"/>
  <c r="AN396" i="30"/>
  <c r="AM396" i="30"/>
  <c r="AN395" i="30"/>
  <c r="AM395" i="30"/>
  <c r="AN394" i="30"/>
  <c r="AM394" i="30"/>
  <c r="AN393" i="30"/>
  <c r="AM393" i="30"/>
  <c r="AN392" i="30"/>
  <c r="AM392" i="30"/>
  <c r="AN391" i="30"/>
  <c r="AM391" i="30"/>
  <c r="AN390" i="30"/>
  <c r="AM390" i="30"/>
  <c r="AN389" i="30"/>
  <c r="AM389" i="30"/>
  <c r="AN388" i="30"/>
  <c r="AM388" i="30"/>
  <c r="AN387" i="30"/>
  <c r="AM387" i="30"/>
  <c r="AN386" i="30"/>
  <c r="AM386" i="30"/>
  <c r="AN385" i="30"/>
  <c r="AM385" i="30"/>
  <c r="AN384" i="30"/>
  <c r="AM384" i="30"/>
  <c r="AN383" i="30"/>
  <c r="AM383" i="30"/>
  <c r="AN382" i="30"/>
  <c r="AM382" i="30"/>
  <c r="AN381" i="30"/>
  <c r="AM381" i="30"/>
  <c r="AN380" i="30"/>
  <c r="AM380" i="30"/>
  <c r="AN379" i="30"/>
  <c r="AM379" i="30"/>
  <c r="AN378" i="30"/>
  <c r="AM378" i="30"/>
  <c r="AN377" i="30"/>
  <c r="AM377" i="30"/>
  <c r="AN376" i="30"/>
  <c r="AM376" i="30"/>
  <c r="AN375" i="30"/>
  <c r="AM375" i="30"/>
  <c r="AN374" i="30"/>
  <c r="AM374" i="30"/>
  <c r="AN373" i="30"/>
  <c r="AM373" i="30"/>
  <c r="AN372" i="30"/>
  <c r="AM372" i="30"/>
  <c r="AN371" i="30"/>
  <c r="AM371" i="30"/>
  <c r="AN370" i="30"/>
  <c r="AM370" i="30"/>
  <c r="AN369" i="30"/>
  <c r="AM369" i="30"/>
  <c r="AN368" i="30"/>
  <c r="AM368" i="30"/>
  <c r="AN367" i="30"/>
  <c r="AM367" i="30"/>
  <c r="AN366" i="30"/>
  <c r="AM366" i="30"/>
  <c r="AN365" i="30"/>
  <c r="AM365" i="30"/>
  <c r="AN364" i="30"/>
  <c r="AM364" i="30"/>
  <c r="AN363" i="30"/>
  <c r="AM363" i="30"/>
  <c r="AN362" i="30"/>
  <c r="AM362" i="30"/>
  <c r="AN361" i="30"/>
  <c r="AM361" i="30"/>
  <c r="AN360" i="30"/>
  <c r="AM360" i="30"/>
  <c r="AN359" i="30"/>
  <c r="AM359" i="30"/>
  <c r="AN358" i="30"/>
  <c r="AM358" i="30"/>
  <c r="AN357" i="30"/>
  <c r="AM357" i="30"/>
  <c r="AN356" i="30"/>
  <c r="AM356" i="30"/>
  <c r="AN355" i="30"/>
  <c r="AM355" i="30"/>
  <c r="AN354" i="30"/>
  <c r="AM354" i="30"/>
  <c r="AN353" i="30"/>
  <c r="AM353" i="30"/>
  <c r="AN352" i="30"/>
  <c r="AM352" i="30"/>
  <c r="AN351" i="30"/>
  <c r="AM351" i="30"/>
  <c r="AN350" i="30"/>
  <c r="AM350" i="30"/>
  <c r="AN349" i="30"/>
  <c r="AM349" i="30"/>
  <c r="AN348" i="30"/>
  <c r="AM348" i="30"/>
  <c r="AN347" i="30"/>
  <c r="AM347" i="30"/>
  <c r="AN346" i="30"/>
  <c r="AM346" i="30"/>
  <c r="AN345" i="30"/>
  <c r="AM345" i="30"/>
  <c r="AN344" i="30"/>
  <c r="AM344" i="30"/>
  <c r="AN343" i="30"/>
  <c r="AM343" i="30"/>
  <c r="AN342" i="30"/>
  <c r="AM342" i="30"/>
  <c r="AN341" i="30"/>
  <c r="AM341" i="30"/>
  <c r="AN340" i="30"/>
  <c r="AM340" i="30"/>
  <c r="AN339" i="30"/>
  <c r="AM339" i="30"/>
  <c r="AN338" i="30"/>
  <c r="AM338" i="30"/>
  <c r="AN337" i="30"/>
  <c r="AM337" i="30"/>
  <c r="AN336" i="30"/>
  <c r="AM336" i="30"/>
  <c r="AN335" i="30"/>
  <c r="AM335" i="30"/>
  <c r="AN334" i="30"/>
  <c r="AM334" i="30"/>
  <c r="AN333" i="30"/>
  <c r="AM333" i="30"/>
  <c r="AN332" i="30"/>
  <c r="AM332" i="30"/>
  <c r="AN331" i="30"/>
  <c r="AM331" i="30"/>
  <c r="AN330" i="30"/>
  <c r="AM330" i="30"/>
  <c r="AN329" i="30"/>
  <c r="AM329" i="30"/>
  <c r="AN328" i="30"/>
  <c r="AM328" i="30"/>
  <c r="AN327" i="30"/>
  <c r="AM327" i="30"/>
  <c r="AN326" i="30"/>
  <c r="AM326" i="30"/>
  <c r="AN325" i="30"/>
  <c r="AM325" i="30"/>
  <c r="AN324" i="30"/>
  <c r="AM324" i="30"/>
  <c r="AN323" i="30"/>
  <c r="AM323" i="30"/>
  <c r="AN322" i="30"/>
  <c r="AM322" i="30"/>
  <c r="AN321" i="30"/>
  <c r="AM321" i="30"/>
  <c r="AN320" i="30"/>
  <c r="AM320" i="30"/>
  <c r="AN319" i="30"/>
  <c r="AM319" i="30"/>
  <c r="AN318" i="30"/>
  <c r="AM318" i="30"/>
  <c r="AN317" i="30"/>
  <c r="AM317" i="30"/>
  <c r="AN316" i="30"/>
  <c r="AM316" i="30"/>
  <c r="AN315" i="30"/>
  <c r="AM315" i="30"/>
  <c r="AN314" i="30"/>
  <c r="AM314" i="30"/>
  <c r="AN313" i="30"/>
  <c r="AM313" i="30"/>
  <c r="AN312" i="30"/>
  <c r="AM312" i="30"/>
  <c r="AN311" i="30"/>
  <c r="AM311" i="30"/>
  <c r="AN310" i="30"/>
  <c r="AM310" i="30"/>
  <c r="AN309" i="30"/>
  <c r="AM309" i="30"/>
  <c r="AN308" i="30"/>
  <c r="AM308" i="30"/>
  <c r="AN307" i="30"/>
  <c r="AM307" i="30"/>
  <c r="AN306" i="30"/>
  <c r="AM306" i="30"/>
  <c r="AN305" i="30"/>
  <c r="AM305" i="30"/>
  <c r="AN304" i="30"/>
  <c r="AM304" i="30"/>
  <c r="AN303" i="30"/>
  <c r="AM303" i="30"/>
  <c r="AN302" i="30"/>
  <c r="AM302" i="30"/>
  <c r="AN301" i="30"/>
  <c r="AM301" i="30"/>
  <c r="AN300" i="30"/>
  <c r="AM300" i="30"/>
  <c r="AN299" i="30"/>
  <c r="AM299" i="30"/>
  <c r="AN298" i="30"/>
  <c r="AM298" i="30"/>
  <c r="AN297" i="30"/>
  <c r="AM297" i="30"/>
  <c r="AN296" i="30"/>
  <c r="AM296" i="30"/>
  <c r="AN295" i="30"/>
  <c r="AM295" i="30"/>
  <c r="AN294" i="30"/>
  <c r="AM294" i="30"/>
  <c r="AN293" i="30"/>
  <c r="AM293" i="30"/>
  <c r="AN292" i="30"/>
  <c r="AM292" i="30"/>
  <c r="AN291" i="30"/>
  <c r="AM291" i="30"/>
  <c r="AN290" i="30"/>
  <c r="AM290" i="30"/>
  <c r="AN289" i="30"/>
  <c r="AM289" i="30"/>
  <c r="AN288" i="30"/>
  <c r="AM288" i="30"/>
  <c r="AN287" i="30"/>
  <c r="AM287" i="30"/>
  <c r="AN286" i="30"/>
  <c r="AM286" i="30"/>
  <c r="AN285" i="30"/>
  <c r="AM285" i="30"/>
  <c r="AN284" i="30"/>
  <c r="AM284" i="30"/>
  <c r="AN283" i="30"/>
  <c r="AM283" i="30"/>
  <c r="AN282" i="30"/>
  <c r="AM282" i="30"/>
  <c r="AN281" i="30"/>
  <c r="AM281" i="30"/>
  <c r="AN280" i="30"/>
  <c r="AM280" i="30"/>
  <c r="AN279" i="30"/>
  <c r="AM279" i="30"/>
  <c r="AN278" i="30"/>
  <c r="AM278" i="30"/>
  <c r="AN277" i="30"/>
  <c r="AM277" i="30"/>
  <c r="AN276" i="30"/>
  <c r="AM276" i="30"/>
  <c r="AN275" i="30"/>
  <c r="AM275" i="30"/>
  <c r="AN274" i="30"/>
  <c r="AM274" i="30"/>
  <c r="AN273" i="30"/>
  <c r="AM273" i="30"/>
  <c r="AN272" i="30"/>
  <c r="AM272" i="30"/>
  <c r="AN271" i="30"/>
  <c r="AM271" i="30"/>
  <c r="AN270" i="30"/>
  <c r="AM270" i="30"/>
  <c r="AN269" i="30"/>
  <c r="AM269" i="30"/>
  <c r="AN268" i="30"/>
  <c r="AM268" i="30"/>
  <c r="AN267" i="30"/>
  <c r="AM267" i="30"/>
  <c r="AN266" i="30"/>
  <c r="AM266" i="30"/>
  <c r="AN265" i="30"/>
  <c r="AM265" i="30"/>
  <c r="AN264" i="30"/>
  <c r="AM264" i="30"/>
  <c r="AN263" i="30"/>
  <c r="AM263" i="30"/>
  <c r="AN262" i="30"/>
  <c r="AM262" i="30"/>
  <c r="AN261" i="30"/>
  <c r="AM261" i="30"/>
  <c r="AN260" i="30"/>
  <c r="AM260" i="30"/>
  <c r="AN259" i="30"/>
  <c r="AM259" i="30"/>
  <c r="AN258" i="30"/>
  <c r="AM258" i="30"/>
  <c r="AN257" i="30"/>
  <c r="AM257" i="30"/>
  <c r="AN256" i="30"/>
  <c r="AM256" i="30"/>
  <c r="AN255" i="30"/>
  <c r="AM255" i="30"/>
  <c r="AN254" i="30"/>
  <c r="AM254" i="30"/>
  <c r="AN253" i="30"/>
  <c r="AM253" i="30"/>
  <c r="AN252" i="30"/>
  <c r="AM252" i="30"/>
  <c r="AN251" i="30"/>
  <c r="AM251" i="30"/>
  <c r="AN250" i="30"/>
  <c r="AM250" i="30"/>
  <c r="AN249" i="30"/>
  <c r="AM249" i="30"/>
  <c r="AN248" i="30"/>
  <c r="AM248" i="30"/>
  <c r="AN247" i="30"/>
  <c r="AM247" i="30"/>
  <c r="AN246" i="30"/>
  <c r="AM246" i="30"/>
  <c r="AN245" i="30"/>
  <c r="AM245" i="30"/>
  <c r="AN244" i="30"/>
  <c r="AM244" i="30"/>
  <c r="AN243" i="30"/>
  <c r="AM243" i="30"/>
  <c r="AN242" i="30"/>
  <c r="AM242" i="30"/>
  <c r="AN241" i="30"/>
  <c r="AM241" i="30"/>
  <c r="AN240" i="30"/>
  <c r="AM240" i="30"/>
  <c r="AN239" i="30"/>
  <c r="AM239" i="30"/>
  <c r="AN238" i="30"/>
  <c r="AM238" i="30"/>
  <c r="AN237" i="30"/>
  <c r="AM237" i="30"/>
  <c r="AN236" i="30"/>
  <c r="AM236" i="30"/>
  <c r="AN235" i="30"/>
  <c r="AM235" i="30"/>
  <c r="AN234" i="30"/>
  <c r="AM234" i="30"/>
  <c r="AN233" i="30"/>
  <c r="AM233" i="30"/>
  <c r="AN232" i="30"/>
  <c r="AM232" i="30"/>
  <c r="AN231" i="30"/>
  <c r="AM231" i="30"/>
  <c r="AN230" i="30"/>
  <c r="AM230" i="30"/>
  <c r="AN229" i="30"/>
  <c r="AM229" i="30"/>
  <c r="AN228" i="30"/>
  <c r="AM228" i="30"/>
  <c r="AN227" i="30"/>
  <c r="AM227" i="30"/>
  <c r="AN226" i="30"/>
  <c r="AM226" i="30"/>
  <c r="AN225" i="30"/>
  <c r="AM225" i="30"/>
  <c r="AN224" i="30"/>
  <c r="AM224" i="30"/>
  <c r="AN223" i="30"/>
  <c r="AM223" i="30"/>
  <c r="AN222" i="30"/>
  <c r="AM222" i="30"/>
  <c r="AN221" i="30"/>
  <c r="AM221" i="30"/>
  <c r="AN220" i="30"/>
  <c r="AM220" i="30"/>
  <c r="AN219" i="30"/>
  <c r="AM219" i="30"/>
  <c r="AN218" i="30"/>
  <c r="AM218" i="30"/>
  <c r="AN217" i="30"/>
  <c r="AM217" i="30"/>
  <c r="AN216" i="30"/>
  <c r="AM216" i="30"/>
  <c r="AN215" i="30"/>
  <c r="AM215" i="30"/>
  <c r="AN214" i="30"/>
  <c r="AM214" i="30"/>
  <c r="AN213" i="30"/>
  <c r="AM213" i="30"/>
  <c r="AN212" i="30"/>
  <c r="AM212" i="30"/>
  <c r="AN211" i="30"/>
  <c r="AM211" i="30"/>
  <c r="AN210" i="30"/>
  <c r="AM210" i="30"/>
  <c r="AN209" i="30"/>
  <c r="AM209" i="30"/>
  <c r="AN208" i="30"/>
  <c r="AM208" i="30"/>
  <c r="AN207" i="30"/>
  <c r="AM207" i="30"/>
  <c r="AN206" i="30"/>
  <c r="AM206" i="30"/>
  <c r="AN205" i="30"/>
  <c r="AM205" i="30"/>
  <c r="AN204" i="30"/>
  <c r="AM204" i="30"/>
  <c r="AN203" i="30"/>
  <c r="AM203" i="30"/>
  <c r="AN202" i="30"/>
  <c r="AM202" i="30"/>
  <c r="AN201" i="30"/>
  <c r="AM201" i="30"/>
  <c r="AN200" i="30"/>
  <c r="AM200" i="30"/>
  <c r="AN199" i="30"/>
  <c r="AM199" i="30"/>
  <c r="AN198" i="30"/>
  <c r="AM198" i="30"/>
  <c r="AN197" i="30"/>
  <c r="AM197" i="30"/>
  <c r="AN196" i="30"/>
  <c r="AM196" i="30"/>
  <c r="AN195" i="30"/>
  <c r="AM195" i="30"/>
  <c r="AN194" i="30"/>
  <c r="AM194" i="30"/>
  <c r="AN193" i="30"/>
  <c r="AM193" i="30"/>
  <c r="AN192" i="30"/>
  <c r="AM192" i="30"/>
  <c r="AN191" i="30"/>
  <c r="AM191" i="30"/>
  <c r="AN190" i="30"/>
  <c r="AM190" i="30"/>
  <c r="AN189" i="30"/>
  <c r="AM189" i="30"/>
  <c r="AN188" i="30"/>
  <c r="AM188" i="30"/>
  <c r="AN187" i="30"/>
  <c r="AM187" i="30"/>
  <c r="AN186" i="30"/>
  <c r="AM186" i="30"/>
  <c r="AN185" i="30"/>
  <c r="AM185" i="30"/>
  <c r="AN184" i="30"/>
  <c r="AM184" i="30"/>
  <c r="AN183" i="30"/>
  <c r="AM183" i="30"/>
  <c r="AN182" i="30"/>
  <c r="AM182" i="30"/>
  <c r="AN181" i="30"/>
  <c r="AM181" i="30"/>
  <c r="AN180" i="30"/>
  <c r="AM180" i="30"/>
  <c r="AN179" i="30"/>
  <c r="AM179" i="30"/>
  <c r="AN178" i="30"/>
  <c r="AM178" i="30"/>
  <c r="AN177" i="30"/>
  <c r="AM177" i="30"/>
  <c r="AN176" i="30"/>
  <c r="AM176" i="30"/>
  <c r="AN175" i="30"/>
  <c r="AM175" i="30"/>
  <c r="AN174" i="30"/>
  <c r="AM174" i="30"/>
  <c r="AN173" i="30"/>
  <c r="AM173" i="30"/>
  <c r="AN172" i="30"/>
  <c r="AM172" i="30"/>
  <c r="AN171" i="30"/>
  <c r="AM171" i="30"/>
  <c r="AN170" i="30"/>
  <c r="AM170" i="30"/>
  <c r="AN169" i="30"/>
  <c r="AM169" i="30"/>
  <c r="AN168" i="30"/>
  <c r="AM168" i="30"/>
  <c r="AN167" i="30"/>
  <c r="AM167" i="30"/>
  <c r="AN166" i="30"/>
  <c r="AM166" i="30"/>
  <c r="AN165" i="30"/>
  <c r="AM165" i="30"/>
  <c r="AN164" i="30"/>
  <c r="AM164" i="30"/>
  <c r="AN163" i="30"/>
  <c r="AM163" i="30"/>
  <c r="AN162" i="30"/>
  <c r="AM162" i="30"/>
  <c r="AN161" i="30"/>
  <c r="AM161" i="30"/>
  <c r="AN160" i="30"/>
  <c r="AM160" i="30"/>
  <c r="AN159" i="30"/>
  <c r="AM159" i="30"/>
  <c r="AN158" i="30"/>
  <c r="AM158" i="30"/>
  <c r="AN157" i="30"/>
  <c r="AM157" i="30"/>
  <c r="AN156" i="30"/>
  <c r="AM156" i="30"/>
  <c r="AN155" i="30"/>
  <c r="AM155" i="30"/>
  <c r="AN154" i="30"/>
  <c r="AM154" i="30"/>
  <c r="AN153" i="30"/>
  <c r="AM153" i="30"/>
  <c r="AM152" i="30"/>
  <c r="AM150" i="30"/>
  <c r="AM149" i="30"/>
  <c r="AM147" i="30"/>
  <c r="AM146" i="30"/>
  <c r="AM145" i="30"/>
  <c r="AM144" i="30"/>
  <c r="AM143" i="30"/>
  <c r="AM141" i="30"/>
  <c r="AM140" i="30"/>
  <c r="AM139" i="30"/>
  <c r="AM137" i="30"/>
  <c r="AM136" i="30"/>
  <c r="AM135" i="30"/>
  <c r="AM134" i="30"/>
  <c r="AM128" i="30"/>
  <c r="AM127" i="30"/>
  <c r="AM126" i="30"/>
  <c r="AM125" i="30"/>
  <c r="AM124" i="30"/>
  <c r="AM123" i="30"/>
  <c r="AM122" i="30"/>
  <c r="AM120" i="30"/>
  <c r="AM119" i="30"/>
  <c r="AM118" i="30"/>
  <c r="AM115" i="30"/>
  <c r="AM114" i="30"/>
  <c r="AM113" i="30"/>
  <c r="AM110" i="30"/>
  <c r="AM109" i="30"/>
  <c r="AM108" i="30"/>
  <c r="AM107" i="30"/>
  <c r="AM106" i="30"/>
  <c r="AM105" i="30"/>
  <c r="AM103" i="30"/>
  <c r="AM102" i="30"/>
  <c r="AM101" i="30"/>
  <c r="AM100" i="30"/>
  <c r="AM99" i="30"/>
  <c r="AM98" i="30"/>
  <c r="AM97" i="30"/>
  <c r="AM96" i="30"/>
  <c r="AM95" i="30"/>
  <c r="AM94" i="30"/>
  <c r="AM93" i="30"/>
  <c r="AM92" i="30"/>
  <c r="AM91" i="30"/>
  <c r="AM90" i="30"/>
  <c r="AM85" i="30"/>
  <c r="AM84" i="30"/>
  <c r="AM83" i="30"/>
  <c r="AM80" i="30"/>
  <c r="AM79" i="30"/>
  <c r="AM78" i="30"/>
  <c r="AM77" i="30"/>
  <c r="AM76" i="30"/>
  <c r="AM73" i="30"/>
  <c r="AM72" i="30"/>
  <c r="AM71" i="30"/>
  <c r="AM64" i="30"/>
  <c r="AM63" i="30"/>
  <c r="AM62" i="30"/>
  <c r="AM60" i="30"/>
  <c r="AM59" i="30"/>
  <c r="AM58" i="30"/>
  <c r="AM57" i="30"/>
  <c r="AM56" i="30"/>
  <c r="AM55" i="30"/>
  <c r="AM54" i="30"/>
  <c r="AM53" i="30"/>
  <c r="AM52" i="30"/>
  <c r="AM51" i="30"/>
  <c r="AM50" i="30"/>
  <c r="AM49" i="30"/>
  <c r="AM48" i="30"/>
  <c r="AM46" i="30"/>
  <c r="AM44" i="30"/>
  <c r="AM43" i="30"/>
  <c r="AM42" i="30"/>
  <c r="AM41" i="30"/>
  <c r="AM35" i="30"/>
  <c r="AM34" i="30"/>
  <c r="AM32" i="30"/>
  <c r="AM31" i="30"/>
  <c r="AM30" i="30"/>
  <c r="AM29" i="30"/>
  <c r="AM28" i="30"/>
  <c r="AM21" i="30"/>
  <c r="AM20" i="30"/>
  <c r="AM19" i="30"/>
  <c r="AM18" i="30"/>
  <c r="AM17" i="30"/>
  <c r="AM15" i="30"/>
  <c r="AM14" i="30"/>
  <c r="AM13" i="30"/>
  <c r="AM10" i="30"/>
  <c r="AM9" i="30"/>
  <c r="AM8" i="30"/>
  <c r="AM7" i="30"/>
  <c r="AM6" i="30"/>
  <c r="AM3" i="30"/>
  <c r="AJ400" i="30"/>
  <c r="AI400" i="30"/>
  <c r="AJ399" i="30"/>
  <c r="AI399" i="30"/>
  <c r="AJ398" i="30"/>
  <c r="AI398" i="30"/>
  <c r="AJ397" i="30"/>
  <c r="AI397" i="30"/>
  <c r="AJ396" i="30"/>
  <c r="AI396" i="30"/>
  <c r="AJ395" i="30"/>
  <c r="AI395" i="30"/>
  <c r="AJ394" i="30"/>
  <c r="AI394" i="30"/>
  <c r="AJ393" i="30"/>
  <c r="AI393" i="30"/>
  <c r="AJ392" i="30"/>
  <c r="AI392" i="30"/>
  <c r="AJ391" i="30"/>
  <c r="AI391" i="30"/>
  <c r="AJ390" i="30"/>
  <c r="AI390" i="30"/>
  <c r="AJ389" i="30"/>
  <c r="AI389" i="30"/>
  <c r="AJ388" i="30"/>
  <c r="AI388" i="30"/>
  <c r="AJ387" i="30"/>
  <c r="AI387" i="30"/>
  <c r="AJ386" i="30"/>
  <c r="AI386" i="30"/>
  <c r="AJ385" i="30"/>
  <c r="AI385" i="30"/>
  <c r="AJ384" i="30"/>
  <c r="AI384" i="30"/>
  <c r="AJ383" i="30"/>
  <c r="AI383" i="30"/>
  <c r="AJ382" i="30"/>
  <c r="AI382" i="30"/>
  <c r="AJ381" i="30"/>
  <c r="AI381" i="30"/>
  <c r="AJ380" i="30"/>
  <c r="AI380" i="30"/>
  <c r="AJ379" i="30"/>
  <c r="AI379" i="30"/>
  <c r="AJ378" i="30"/>
  <c r="AI378" i="30"/>
  <c r="AJ377" i="30"/>
  <c r="AI377" i="30"/>
  <c r="AJ376" i="30"/>
  <c r="AI376" i="30"/>
  <c r="AJ375" i="30"/>
  <c r="AI375" i="30"/>
  <c r="AJ374" i="30"/>
  <c r="AI374" i="30"/>
  <c r="AJ373" i="30"/>
  <c r="AI373" i="30"/>
  <c r="AJ372" i="30"/>
  <c r="AI372" i="30"/>
  <c r="AJ371" i="30"/>
  <c r="AI371" i="30"/>
  <c r="AJ370" i="30"/>
  <c r="AI370" i="30"/>
  <c r="AJ369" i="30"/>
  <c r="AI369" i="30"/>
  <c r="AJ368" i="30"/>
  <c r="AI368" i="30"/>
  <c r="AJ367" i="30"/>
  <c r="AI367" i="30"/>
  <c r="AJ366" i="30"/>
  <c r="AI366" i="30"/>
  <c r="AJ365" i="30"/>
  <c r="AI365" i="30"/>
  <c r="AJ364" i="30"/>
  <c r="AI364" i="30"/>
  <c r="AJ363" i="30"/>
  <c r="AI363" i="30"/>
  <c r="AJ362" i="30"/>
  <c r="AI362" i="30"/>
  <c r="AJ361" i="30"/>
  <c r="AI361" i="30"/>
  <c r="AJ360" i="30"/>
  <c r="AI360" i="30"/>
  <c r="AJ359" i="30"/>
  <c r="AI359" i="30"/>
  <c r="AJ358" i="30"/>
  <c r="AI358" i="30"/>
  <c r="AJ357" i="30"/>
  <c r="AI357" i="30"/>
  <c r="AJ356" i="30"/>
  <c r="AI356" i="30"/>
  <c r="AJ355" i="30"/>
  <c r="AI355" i="30"/>
  <c r="AJ354" i="30"/>
  <c r="AI354" i="30"/>
  <c r="AJ353" i="30"/>
  <c r="AI353" i="30"/>
  <c r="AJ352" i="30"/>
  <c r="AI352" i="30"/>
  <c r="AJ351" i="30"/>
  <c r="AI351" i="30"/>
  <c r="AJ350" i="30"/>
  <c r="AI350" i="30"/>
  <c r="AJ349" i="30"/>
  <c r="AI349" i="30"/>
  <c r="AJ348" i="30"/>
  <c r="AI348" i="30"/>
  <c r="AJ347" i="30"/>
  <c r="AI347" i="30"/>
  <c r="AJ346" i="30"/>
  <c r="AI346" i="30"/>
  <c r="AJ345" i="30"/>
  <c r="AI345" i="30"/>
  <c r="AJ344" i="30"/>
  <c r="AI344" i="30"/>
  <c r="AJ343" i="30"/>
  <c r="AI343" i="30"/>
  <c r="AJ342" i="30"/>
  <c r="AI342" i="30"/>
  <c r="AJ341" i="30"/>
  <c r="AI341" i="30"/>
  <c r="AJ340" i="30"/>
  <c r="AI340" i="30"/>
  <c r="AJ339" i="30"/>
  <c r="AI339" i="30"/>
  <c r="AJ338" i="30"/>
  <c r="AI338" i="30"/>
  <c r="AJ337" i="30"/>
  <c r="AI337" i="30"/>
  <c r="AJ336" i="30"/>
  <c r="AI336" i="30"/>
  <c r="AJ335" i="30"/>
  <c r="AI335" i="30"/>
  <c r="AJ334" i="30"/>
  <c r="AI334" i="30"/>
  <c r="AJ333" i="30"/>
  <c r="AI333" i="30"/>
  <c r="AJ332" i="30"/>
  <c r="AI332" i="30"/>
  <c r="AJ331" i="30"/>
  <c r="AI331" i="30"/>
  <c r="AJ330" i="30"/>
  <c r="AI330" i="30"/>
  <c r="AJ329" i="30"/>
  <c r="AI329" i="30"/>
  <c r="AJ328" i="30"/>
  <c r="AI328" i="30"/>
  <c r="AJ327" i="30"/>
  <c r="AI327" i="30"/>
  <c r="AJ326" i="30"/>
  <c r="AI326" i="30"/>
  <c r="AJ325" i="30"/>
  <c r="AI325" i="30"/>
  <c r="AJ324" i="30"/>
  <c r="AI324" i="30"/>
  <c r="AJ323" i="30"/>
  <c r="AI323" i="30"/>
  <c r="AJ322" i="30"/>
  <c r="AI322" i="30"/>
  <c r="AJ321" i="30"/>
  <c r="AI321" i="30"/>
  <c r="AJ320" i="30"/>
  <c r="AI320" i="30"/>
  <c r="AJ319" i="30"/>
  <c r="AI319" i="30"/>
  <c r="AJ318" i="30"/>
  <c r="AI318" i="30"/>
  <c r="AJ317" i="30"/>
  <c r="AI317" i="30"/>
  <c r="AJ316" i="30"/>
  <c r="AI316" i="30"/>
  <c r="AJ315" i="30"/>
  <c r="AI315" i="30"/>
  <c r="AJ314" i="30"/>
  <c r="AI314" i="30"/>
  <c r="AJ313" i="30"/>
  <c r="AI313" i="30"/>
  <c r="AJ312" i="30"/>
  <c r="AI312" i="30"/>
  <c r="AJ311" i="30"/>
  <c r="AI311" i="30"/>
  <c r="AJ310" i="30"/>
  <c r="AI310" i="30"/>
  <c r="AJ309" i="30"/>
  <c r="AI309" i="30"/>
  <c r="AJ308" i="30"/>
  <c r="AI308" i="30"/>
  <c r="AJ307" i="30"/>
  <c r="AI307" i="30"/>
  <c r="AJ306" i="30"/>
  <c r="AI306" i="30"/>
  <c r="AJ305" i="30"/>
  <c r="AI305" i="30"/>
  <c r="AJ304" i="30"/>
  <c r="AI304" i="30"/>
  <c r="AJ303" i="30"/>
  <c r="AI303" i="30"/>
  <c r="AJ302" i="30"/>
  <c r="AI302" i="30"/>
  <c r="AJ301" i="30"/>
  <c r="AI301" i="30"/>
  <c r="AJ300" i="30"/>
  <c r="AI300" i="30"/>
  <c r="AJ299" i="30"/>
  <c r="AI299" i="30"/>
  <c r="AJ298" i="30"/>
  <c r="AI298" i="30"/>
  <c r="AJ297" i="30"/>
  <c r="AI297" i="30"/>
  <c r="AJ296" i="30"/>
  <c r="AI296" i="30"/>
  <c r="AJ295" i="30"/>
  <c r="AI295" i="30"/>
  <c r="AJ294" i="30"/>
  <c r="AI294" i="30"/>
  <c r="AJ293" i="30"/>
  <c r="AI293" i="30"/>
  <c r="AJ292" i="30"/>
  <c r="AI292" i="30"/>
  <c r="AJ291" i="30"/>
  <c r="AI291" i="30"/>
  <c r="AJ290" i="30"/>
  <c r="AI290" i="30"/>
  <c r="AJ289" i="30"/>
  <c r="AI289" i="30"/>
  <c r="AJ288" i="30"/>
  <c r="AI288" i="30"/>
  <c r="AJ287" i="30"/>
  <c r="AI287" i="30"/>
  <c r="AJ286" i="30"/>
  <c r="AI286" i="30"/>
  <c r="AJ285" i="30"/>
  <c r="AI285" i="30"/>
  <c r="AJ284" i="30"/>
  <c r="AI284" i="30"/>
  <c r="AJ283" i="30"/>
  <c r="AI283" i="30"/>
  <c r="AJ282" i="30"/>
  <c r="AI282" i="30"/>
  <c r="AJ281" i="30"/>
  <c r="AI281" i="30"/>
  <c r="AJ280" i="30"/>
  <c r="AI280" i="30"/>
  <c r="AJ279" i="30"/>
  <c r="AI279" i="30"/>
  <c r="AJ278" i="30"/>
  <c r="AI278" i="30"/>
  <c r="AJ277" i="30"/>
  <c r="AI277" i="30"/>
  <c r="AJ276" i="30"/>
  <c r="AI276" i="30"/>
  <c r="AJ275" i="30"/>
  <c r="AI275" i="30"/>
  <c r="AJ274" i="30"/>
  <c r="AI274" i="30"/>
  <c r="AJ273" i="30"/>
  <c r="AI273" i="30"/>
  <c r="AJ272" i="30"/>
  <c r="AI272" i="30"/>
  <c r="AJ271" i="30"/>
  <c r="AI271" i="30"/>
  <c r="AJ270" i="30"/>
  <c r="AI270" i="30"/>
  <c r="AJ269" i="30"/>
  <c r="AI269" i="30"/>
  <c r="AJ268" i="30"/>
  <c r="AI268" i="30"/>
  <c r="AJ267" i="30"/>
  <c r="AI267" i="30"/>
  <c r="AJ266" i="30"/>
  <c r="AI266" i="30"/>
  <c r="AJ265" i="30"/>
  <c r="AI265" i="30"/>
  <c r="AJ264" i="30"/>
  <c r="AI264" i="30"/>
  <c r="AJ263" i="30"/>
  <c r="AI263" i="30"/>
  <c r="AJ262" i="30"/>
  <c r="AI262" i="30"/>
  <c r="AJ261" i="30"/>
  <c r="AI261" i="30"/>
  <c r="AJ260" i="30"/>
  <c r="AI260" i="30"/>
  <c r="AJ259" i="30"/>
  <c r="AI259" i="30"/>
  <c r="AJ258" i="30"/>
  <c r="AI258" i="30"/>
  <c r="AJ257" i="30"/>
  <c r="AI257" i="30"/>
  <c r="AJ256" i="30"/>
  <c r="AI256" i="30"/>
  <c r="AJ255" i="30"/>
  <c r="AI255" i="30"/>
  <c r="AJ254" i="30"/>
  <c r="AI254" i="30"/>
  <c r="AJ253" i="30"/>
  <c r="AI253" i="30"/>
  <c r="AJ252" i="30"/>
  <c r="AI252" i="30"/>
  <c r="AJ251" i="30"/>
  <c r="AI251" i="30"/>
  <c r="AJ250" i="30"/>
  <c r="AI250" i="30"/>
  <c r="AJ249" i="30"/>
  <c r="AI249" i="30"/>
  <c r="AJ248" i="30"/>
  <c r="AI248" i="30"/>
  <c r="AJ247" i="30"/>
  <c r="AI247" i="30"/>
  <c r="AJ246" i="30"/>
  <c r="AI246" i="30"/>
  <c r="AJ245" i="30"/>
  <c r="AI245" i="30"/>
  <c r="AJ244" i="30"/>
  <c r="AI244" i="30"/>
  <c r="AJ243" i="30"/>
  <c r="AI243" i="30"/>
  <c r="AJ242" i="30"/>
  <c r="AI242" i="30"/>
  <c r="AJ241" i="30"/>
  <c r="AI241" i="30"/>
  <c r="AJ240" i="30"/>
  <c r="AI240" i="30"/>
  <c r="AJ239" i="30"/>
  <c r="AI239" i="30"/>
  <c r="AJ238" i="30"/>
  <c r="AI238" i="30"/>
  <c r="AJ237" i="30"/>
  <c r="AI237" i="30"/>
  <c r="AJ236" i="30"/>
  <c r="AI236" i="30"/>
  <c r="AJ235" i="30"/>
  <c r="AI235" i="30"/>
  <c r="AJ234" i="30"/>
  <c r="AI234" i="30"/>
  <c r="AJ233" i="30"/>
  <c r="AI233" i="30"/>
  <c r="AJ232" i="30"/>
  <c r="AI232" i="30"/>
  <c r="AJ231" i="30"/>
  <c r="AI231" i="30"/>
  <c r="AJ230" i="30"/>
  <c r="AI230" i="30"/>
  <c r="AJ229" i="30"/>
  <c r="AI229" i="30"/>
  <c r="AJ228" i="30"/>
  <c r="AI228" i="30"/>
  <c r="AJ227" i="30"/>
  <c r="AI227" i="30"/>
  <c r="AJ226" i="30"/>
  <c r="AI226" i="30"/>
  <c r="AJ225" i="30"/>
  <c r="AI225" i="30"/>
  <c r="AJ224" i="30"/>
  <c r="AI224" i="30"/>
  <c r="AJ223" i="30"/>
  <c r="AI223" i="30"/>
  <c r="AJ222" i="30"/>
  <c r="AI222" i="30"/>
  <c r="AJ221" i="30"/>
  <c r="AI221" i="30"/>
  <c r="AJ220" i="30"/>
  <c r="AI220" i="30"/>
  <c r="AJ219" i="30"/>
  <c r="AI219" i="30"/>
  <c r="AJ218" i="30"/>
  <c r="AI218" i="30"/>
  <c r="AJ217" i="30"/>
  <c r="AI217" i="30"/>
  <c r="AJ216" i="30"/>
  <c r="AI216" i="30"/>
  <c r="AJ215" i="30"/>
  <c r="AI215" i="30"/>
  <c r="AJ214" i="30"/>
  <c r="AI214" i="30"/>
  <c r="AJ213" i="30"/>
  <c r="AI213" i="30"/>
  <c r="AJ212" i="30"/>
  <c r="AI212" i="30"/>
  <c r="AJ211" i="30"/>
  <c r="AI211" i="30"/>
  <c r="AJ210" i="30"/>
  <c r="AI210" i="30"/>
  <c r="AJ209" i="30"/>
  <c r="AI209" i="30"/>
  <c r="AJ208" i="30"/>
  <c r="AI208" i="30"/>
  <c r="AJ207" i="30"/>
  <c r="AI207" i="30"/>
  <c r="AJ206" i="30"/>
  <c r="AI206" i="30"/>
  <c r="AJ205" i="30"/>
  <c r="AI205" i="30"/>
  <c r="AJ204" i="30"/>
  <c r="AI204" i="30"/>
  <c r="AJ203" i="30"/>
  <c r="AI203" i="30"/>
  <c r="AJ202" i="30"/>
  <c r="AI202" i="30"/>
  <c r="AJ201" i="30"/>
  <c r="AI201" i="30"/>
  <c r="AJ200" i="30"/>
  <c r="AI200" i="30"/>
  <c r="AJ199" i="30"/>
  <c r="AI199" i="30"/>
  <c r="AJ198" i="30"/>
  <c r="AI198" i="30"/>
  <c r="AJ197" i="30"/>
  <c r="AI197" i="30"/>
  <c r="AJ196" i="30"/>
  <c r="AI196" i="30"/>
  <c r="AJ195" i="30"/>
  <c r="AI195" i="30"/>
  <c r="AJ194" i="30"/>
  <c r="AI194" i="30"/>
  <c r="AJ193" i="30"/>
  <c r="AI193" i="30"/>
  <c r="AJ192" i="30"/>
  <c r="AI192" i="30"/>
  <c r="AJ191" i="30"/>
  <c r="AI191" i="30"/>
  <c r="AJ190" i="30"/>
  <c r="AI190" i="30"/>
  <c r="AJ189" i="30"/>
  <c r="AI189" i="30"/>
  <c r="AJ188" i="30"/>
  <c r="AI188" i="30"/>
  <c r="AJ187" i="30"/>
  <c r="AI187" i="30"/>
  <c r="AJ186" i="30"/>
  <c r="AI186" i="30"/>
  <c r="AJ185" i="30"/>
  <c r="AI185" i="30"/>
  <c r="AJ184" i="30"/>
  <c r="AI184" i="30"/>
  <c r="AJ183" i="30"/>
  <c r="AI183" i="30"/>
  <c r="AJ182" i="30"/>
  <c r="AI182" i="30"/>
  <c r="AJ181" i="30"/>
  <c r="AI181" i="30"/>
  <c r="AJ180" i="30"/>
  <c r="AI180" i="30"/>
  <c r="AJ179" i="30"/>
  <c r="AI179" i="30"/>
  <c r="AJ178" i="30"/>
  <c r="AI178" i="30"/>
  <c r="AJ177" i="30"/>
  <c r="AI177" i="30"/>
  <c r="AJ176" i="30"/>
  <c r="AI176" i="30"/>
  <c r="AJ175" i="30"/>
  <c r="AI175" i="30"/>
  <c r="AJ174" i="30"/>
  <c r="AI174" i="30"/>
  <c r="AJ173" i="30"/>
  <c r="AI173" i="30"/>
  <c r="AJ172" i="30"/>
  <c r="AI172" i="30"/>
  <c r="AJ171" i="30"/>
  <c r="AI171" i="30"/>
  <c r="AJ170" i="30"/>
  <c r="AI170" i="30"/>
  <c r="AJ169" i="30"/>
  <c r="AI169" i="30"/>
  <c r="AJ168" i="30"/>
  <c r="AI168" i="30"/>
  <c r="AJ167" i="30"/>
  <c r="AI167" i="30"/>
  <c r="AJ166" i="30"/>
  <c r="AI166" i="30"/>
  <c r="AJ165" i="30"/>
  <c r="AI165" i="30"/>
  <c r="AJ164" i="30"/>
  <c r="AI164" i="30"/>
  <c r="AJ163" i="30"/>
  <c r="AI163" i="30"/>
  <c r="AJ162" i="30"/>
  <c r="AI162" i="30"/>
  <c r="AJ161" i="30"/>
  <c r="AI161" i="30"/>
  <c r="AJ160" i="30"/>
  <c r="AI160" i="30"/>
  <c r="AJ159" i="30"/>
  <c r="AI159" i="30"/>
  <c r="AJ158" i="30"/>
  <c r="AI158" i="30"/>
  <c r="AJ157" i="30"/>
  <c r="AI157" i="30"/>
  <c r="AJ156" i="30"/>
  <c r="AI156" i="30"/>
  <c r="AJ155" i="30"/>
  <c r="AI155" i="30"/>
  <c r="AJ154" i="30"/>
  <c r="AI154" i="30"/>
  <c r="AJ153" i="30"/>
  <c r="AI153" i="30"/>
  <c r="AI152" i="30"/>
  <c r="AI150" i="30"/>
  <c r="AI149" i="30"/>
  <c r="AI147" i="30"/>
  <c r="AI146" i="30"/>
  <c r="AI145" i="30"/>
  <c r="AI144" i="30"/>
  <c r="AI143" i="30"/>
  <c r="AI141" i="30"/>
  <c r="AI140" i="30"/>
  <c r="AI139" i="30"/>
  <c r="AI137" i="30"/>
  <c r="AI136" i="30"/>
  <c r="AI135" i="30"/>
  <c r="AI134" i="30"/>
  <c r="AI128" i="30"/>
  <c r="AI127" i="30"/>
  <c r="AI126" i="30"/>
  <c r="AI125" i="30"/>
  <c r="AI124" i="30"/>
  <c r="AI123" i="30"/>
  <c r="AI122" i="30"/>
  <c r="AI120" i="30"/>
  <c r="AI119" i="30"/>
  <c r="AI118" i="30"/>
  <c r="AI115" i="30"/>
  <c r="AI114" i="30"/>
  <c r="AI113" i="30"/>
  <c r="AI110" i="30"/>
  <c r="AI109" i="30"/>
  <c r="AI108" i="30"/>
  <c r="AI107" i="30"/>
  <c r="AI106" i="30"/>
  <c r="AI105" i="30"/>
  <c r="AI103" i="30"/>
  <c r="AI102" i="30"/>
  <c r="AI101" i="30"/>
  <c r="AI100" i="30"/>
  <c r="AI99" i="30"/>
  <c r="AI98" i="30"/>
  <c r="AI97" i="30"/>
  <c r="AI96" i="30"/>
  <c r="AI95" i="30"/>
  <c r="AI94" i="30"/>
  <c r="AI93" i="30"/>
  <c r="AI92" i="30"/>
  <c r="AI91" i="30"/>
  <c r="AI90" i="30"/>
  <c r="AI85" i="30"/>
  <c r="AI84" i="30"/>
  <c r="AI83" i="30"/>
  <c r="AI80" i="30"/>
  <c r="AI79" i="30"/>
  <c r="AI78" i="30"/>
  <c r="AI77" i="30"/>
  <c r="AI76" i="30"/>
  <c r="AI73" i="30"/>
  <c r="AI72" i="30"/>
  <c r="AI71" i="30"/>
  <c r="AI64" i="30"/>
  <c r="AI63" i="30"/>
  <c r="AI62" i="30"/>
  <c r="AI60" i="30"/>
  <c r="AI59" i="30"/>
  <c r="AI58" i="30"/>
  <c r="AI57" i="30"/>
  <c r="AI56" i="30"/>
  <c r="AI55" i="30"/>
  <c r="AI54" i="30"/>
  <c r="AI53" i="30"/>
  <c r="AI52" i="30"/>
  <c r="AI51" i="30"/>
  <c r="AI50" i="30"/>
  <c r="AI49" i="30"/>
  <c r="AI48" i="30"/>
  <c r="AI46" i="30"/>
  <c r="AI44" i="30"/>
  <c r="AI43" i="30"/>
  <c r="AI42" i="30"/>
  <c r="AI41" i="30"/>
  <c r="AI35" i="30"/>
  <c r="AI34" i="30"/>
  <c r="AI32" i="30"/>
  <c r="AI31" i="30"/>
  <c r="AI30" i="30"/>
  <c r="AI29" i="30"/>
  <c r="AI28" i="30"/>
  <c r="AI21" i="30"/>
  <c r="AI20" i="30"/>
  <c r="AI19" i="30"/>
  <c r="AI18" i="30"/>
  <c r="AI17" i="30"/>
  <c r="AI15" i="30"/>
  <c r="AI14" i="30"/>
  <c r="AI13" i="30"/>
  <c r="AI10" i="30"/>
  <c r="AI9" i="30"/>
  <c r="AI8" i="30"/>
  <c r="AI7" i="30"/>
  <c r="AI6" i="30"/>
  <c r="AI3" i="30"/>
  <c r="AF400" i="30"/>
  <c r="AE400" i="30"/>
  <c r="AF399" i="30"/>
  <c r="AE399" i="30"/>
  <c r="AF398" i="30"/>
  <c r="AE398" i="30"/>
  <c r="AF397" i="30"/>
  <c r="AE397" i="30"/>
  <c r="AF396" i="30"/>
  <c r="AE396" i="30"/>
  <c r="AF395" i="30"/>
  <c r="AE395" i="30"/>
  <c r="AF394" i="30"/>
  <c r="AE394" i="30"/>
  <c r="AF393" i="30"/>
  <c r="AE393" i="30"/>
  <c r="AF392" i="30"/>
  <c r="AE392" i="30"/>
  <c r="AF391" i="30"/>
  <c r="AE391" i="30"/>
  <c r="AF390" i="30"/>
  <c r="AE390" i="30"/>
  <c r="AF389" i="30"/>
  <c r="AE389" i="30"/>
  <c r="AF388" i="30"/>
  <c r="AE388" i="30"/>
  <c r="AF387" i="30"/>
  <c r="AE387" i="30"/>
  <c r="AF386" i="30"/>
  <c r="AE386" i="30"/>
  <c r="AF385" i="30"/>
  <c r="AE385" i="30"/>
  <c r="AF384" i="30"/>
  <c r="AE384" i="30"/>
  <c r="AF383" i="30"/>
  <c r="AE383" i="30"/>
  <c r="AF382" i="30"/>
  <c r="AE382" i="30"/>
  <c r="AF381" i="30"/>
  <c r="AE381" i="30"/>
  <c r="AF380" i="30"/>
  <c r="AE380" i="30"/>
  <c r="AF379" i="30"/>
  <c r="AE379" i="30"/>
  <c r="AF378" i="30"/>
  <c r="AE378" i="30"/>
  <c r="AF377" i="30"/>
  <c r="AE377" i="30"/>
  <c r="AF376" i="30"/>
  <c r="AE376" i="30"/>
  <c r="AF375" i="30"/>
  <c r="AE375" i="30"/>
  <c r="AF374" i="30"/>
  <c r="AE374" i="30"/>
  <c r="AF373" i="30"/>
  <c r="AE373" i="30"/>
  <c r="AF372" i="30"/>
  <c r="AE372" i="30"/>
  <c r="AF371" i="30"/>
  <c r="AE371" i="30"/>
  <c r="AF370" i="30"/>
  <c r="AE370" i="30"/>
  <c r="AF369" i="30"/>
  <c r="AE369" i="30"/>
  <c r="AF368" i="30"/>
  <c r="AE368" i="30"/>
  <c r="AF367" i="30"/>
  <c r="AE367" i="30"/>
  <c r="AF366" i="30"/>
  <c r="AE366" i="30"/>
  <c r="AF365" i="30"/>
  <c r="AE365" i="30"/>
  <c r="AF364" i="30"/>
  <c r="AE364" i="30"/>
  <c r="AF363" i="30"/>
  <c r="AE363" i="30"/>
  <c r="AF362" i="30"/>
  <c r="AE362" i="30"/>
  <c r="AF361" i="30"/>
  <c r="AE361" i="30"/>
  <c r="AF360" i="30"/>
  <c r="AE360" i="30"/>
  <c r="AF359" i="30"/>
  <c r="AE359" i="30"/>
  <c r="AF358" i="30"/>
  <c r="AE358" i="30"/>
  <c r="AF357" i="30"/>
  <c r="AE357" i="30"/>
  <c r="AF356" i="30"/>
  <c r="AE356" i="30"/>
  <c r="AF355" i="30"/>
  <c r="AE355" i="30"/>
  <c r="AF354" i="30"/>
  <c r="AE354" i="30"/>
  <c r="AF353" i="30"/>
  <c r="AE353" i="30"/>
  <c r="AF352" i="30"/>
  <c r="AE352" i="30"/>
  <c r="AF351" i="30"/>
  <c r="AE351" i="30"/>
  <c r="AF350" i="30"/>
  <c r="AE350" i="30"/>
  <c r="AF349" i="30"/>
  <c r="AE349" i="30"/>
  <c r="AF348" i="30"/>
  <c r="AE348" i="30"/>
  <c r="AF347" i="30"/>
  <c r="AE347" i="30"/>
  <c r="AF346" i="30"/>
  <c r="AE346" i="30"/>
  <c r="AF345" i="30"/>
  <c r="AE345" i="30"/>
  <c r="AF344" i="30"/>
  <c r="AE344" i="30"/>
  <c r="AF343" i="30"/>
  <c r="AE343" i="30"/>
  <c r="AF342" i="30"/>
  <c r="AE342" i="30"/>
  <c r="AF341" i="30"/>
  <c r="AE341" i="30"/>
  <c r="AF340" i="30"/>
  <c r="AE340" i="30"/>
  <c r="AF339" i="30"/>
  <c r="AE339" i="30"/>
  <c r="AF338" i="30"/>
  <c r="AE338" i="30"/>
  <c r="AF337" i="30"/>
  <c r="AE337" i="30"/>
  <c r="AF336" i="30"/>
  <c r="AE336" i="30"/>
  <c r="AF335" i="30"/>
  <c r="AE335" i="30"/>
  <c r="AF334" i="30"/>
  <c r="AE334" i="30"/>
  <c r="AF333" i="30"/>
  <c r="AE333" i="30"/>
  <c r="AF332" i="30"/>
  <c r="AE332" i="30"/>
  <c r="AF331" i="30"/>
  <c r="AE331" i="30"/>
  <c r="AF330" i="30"/>
  <c r="AE330" i="30"/>
  <c r="AF329" i="30"/>
  <c r="AE329" i="30"/>
  <c r="AF328" i="30"/>
  <c r="AE328" i="30"/>
  <c r="AF327" i="30"/>
  <c r="AE327" i="30"/>
  <c r="AF326" i="30"/>
  <c r="AE326" i="30"/>
  <c r="AF325" i="30"/>
  <c r="AE325" i="30"/>
  <c r="AF324" i="30"/>
  <c r="AE324" i="30"/>
  <c r="AF323" i="30"/>
  <c r="AE323" i="30"/>
  <c r="AF322" i="30"/>
  <c r="AE322" i="30"/>
  <c r="AF321" i="30"/>
  <c r="AE321" i="30"/>
  <c r="AF320" i="30"/>
  <c r="AE320" i="30"/>
  <c r="AF319" i="30"/>
  <c r="AE319" i="30"/>
  <c r="AF318" i="30"/>
  <c r="AE318" i="30"/>
  <c r="AF317" i="30"/>
  <c r="AE317" i="30"/>
  <c r="AF316" i="30"/>
  <c r="AE316" i="30"/>
  <c r="AF315" i="30"/>
  <c r="AE315" i="30"/>
  <c r="AF314" i="30"/>
  <c r="AE314" i="30"/>
  <c r="AF313" i="30"/>
  <c r="AE313" i="30"/>
  <c r="AF312" i="30"/>
  <c r="AE312" i="30"/>
  <c r="AF311" i="30"/>
  <c r="AE311" i="30"/>
  <c r="AF310" i="30"/>
  <c r="AE310" i="30"/>
  <c r="AF309" i="30"/>
  <c r="AE309" i="30"/>
  <c r="AF308" i="30"/>
  <c r="AE308" i="30"/>
  <c r="AF307" i="30"/>
  <c r="AE307" i="30"/>
  <c r="AF306" i="30"/>
  <c r="AE306" i="30"/>
  <c r="AF305" i="30"/>
  <c r="AE305" i="30"/>
  <c r="AF304" i="30"/>
  <c r="AE304" i="30"/>
  <c r="AF303" i="30"/>
  <c r="AE303" i="30"/>
  <c r="AF302" i="30"/>
  <c r="AE302" i="30"/>
  <c r="AF301" i="30"/>
  <c r="AE301" i="30"/>
  <c r="AF300" i="30"/>
  <c r="AE300" i="30"/>
  <c r="AF299" i="30"/>
  <c r="AE299" i="30"/>
  <c r="AF298" i="30"/>
  <c r="AE298" i="30"/>
  <c r="AF297" i="30"/>
  <c r="AE297" i="30"/>
  <c r="AF296" i="30"/>
  <c r="AE296" i="30"/>
  <c r="AF295" i="30"/>
  <c r="AE295" i="30"/>
  <c r="AF294" i="30"/>
  <c r="AE294" i="30"/>
  <c r="AF293" i="30"/>
  <c r="AE293" i="30"/>
  <c r="AF292" i="30"/>
  <c r="AE292" i="30"/>
  <c r="AF291" i="30"/>
  <c r="AE291" i="30"/>
  <c r="AF290" i="30"/>
  <c r="AE290" i="30"/>
  <c r="AF289" i="30"/>
  <c r="AE289" i="30"/>
  <c r="AF288" i="30"/>
  <c r="AE288" i="30"/>
  <c r="AF287" i="30"/>
  <c r="AE287" i="30"/>
  <c r="AF286" i="30"/>
  <c r="AE286" i="30"/>
  <c r="AF285" i="30"/>
  <c r="AE285" i="30"/>
  <c r="AF284" i="30"/>
  <c r="AE284" i="30"/>
  <c r="AF283" i="30"/>
  <c r="AE283" i="30"/>
  <c r="AF282" i="30"/>
  <c r="AE282" i="30"/>
  <c r="AF281" i="30"/>
  <c r="AE281" i="30"/>
  <c r="AF280" i="30"/>
  <c r="AE280" i="30"/>
  <c r="AF279" i="30"/>
  <c r="AE279" i="30"/>
  <c r="AF278" i="30"/>
  <c r="AE278" i="30"/>
  <c r="AF277" i="30"/>
  <c r="AE277" i="30"/>
  <c r="AF276" i="30"/>
  <c r="AE276" i="30"/>
  <c r="AF275" i="30"/>
  <c r="AE275" i="30"/>
  <c r="AF274" i="30"/>
  <c r="AE274" i="30"/>
  <c r="AF273" i="30"/>
  <c r="AE273" i="30"/>
  <c r="AF272" i="30"/>
  <c r="AE272" i="30"/>
  <c r="AF271" i="30"/>
  <c r="AE271" i="30"/>
  <c r="AF270" i="30"/>
  <c r="AE270" i="30"/>
  <c r="AF269" i="30"/>
  <c r="AE269" i="30"/>
  <c r="AF268" i="30"/>
  <c r="AE268" i="30"/>
  <c r="AF267" i="30"/>
  <c r="AE267" i="30"/>
  <c r="AF266" i="30"/>
  <c r="AE266" i="30"/>
  <c r="AF265" i="30"/>
  <c r="AE265" i="30"/>
  <c r="AF264" i="30"/>
  <c r="AE264" i="30"/>
  <c r="AF263" i="30"/>
  <c r="AE263" i="30"/>
  <c r="AF262" i="30"/>
  <c r="AE262" i="30"/>
  <c r="AF261" i="30"/>
  <c r="AE261" i="30"/>
  <c r="AF260" i="30"/>
  <c r="AE260" i="30"/>
  <c r="AF259" i="30"/>
  <c r="AE259" i="30"/>
  <c r="AF258" i="30"/>
  <c r="AE258" i="30"/>
  <c r="AF257" i="30"/>
  <c r="AE257" i="30"/>
  <c r="AF256" i="30"/>
  <c r="AE256" i="30"/>
  <c r="AF255" i="30"/>
  <c r="AE255" i="30"/>
  <c r="AF254" i="30"/>
  <c r="AE254" i="30"/>
  <c r="AF253" i="30"/>
  <c r="AE253" i="30"/>
  <c r="AF252" i="30"/>
  <c r="AE252" i="30"/>
  <c r="AF251" i="30"/>
  <c r="AE251" i="30"/>
  <c r="AF250" i="30"/>
  <c r="AE250" i="30"/>
  <c r="AF249" i="30"/>
  <c r="AE249" i="30"/>
  <c r="AF248" i="30"/>
  <c r="AE248" i="30"/>
  <c r="AF247" i="30"/>
  <c r="AE247" i="30"/>
  <c r="AF246" i="30"/>
  <c r="AE246" i="30"/>
  <c r="AF245" i="30"/>
  <c r="AE245" i="30"/>
  <c r="AF244" i="30"/>
  <c r="AE244" i="30"/>
  <c r="AF243" i="30"/>
  <c r="AE243" i="30"/>
  <c r="AF242" i="30"/>
  <c r="AE242" i="30"/>
  <c r="AF241" i="30"/>
  <c r="AE241" i="30"/>
  <c r="AF240" i="30"/>
  <c r="AE240" i="30"/>
  <c r="AF239" i="30"/>
  <c r="AE239" i="30"/>
  <c r="AF238" i="30"/>
  <c r="AE238" i="30"/>
  <c r="AF237" i="30"/>
  <c r="AE237" i="30"/>
  <c r="AF236" i="30"/>
  <c r="AE236" i="30"/>
  <c r="AF235" i="30"/>
  <c r="AE235" i="30"/>
  <c r="AF234" i="30"/>
  <c r="AE234" i="30"/>
  <c r="AF233" i="30"/>
  <c r="AE233" i="30"/>
  <c r="AF232" i="30"/>
  <c r="AE232" i="30"/>
  <c r="AF231" i="30"/>
  <c r="AE231" i="30"/>
  <c r="AF230" i="30"/>
  <c r="AE230" i="30"/>
  <c r="AF229" i="30"/>
  <c r="AE229" i="30"/>
  <c r="AF228" i="30"/>
  <c r="AE228" i="30"/>
  <c r="AF227" i="30"/>
  <c r="AE227" i="30"/>
  <c r="AF226" i="30"/>
  <c r="AE226" i="30"/>
  <c r="AF225" i="30"/>
  <c r="AE225" i="30"/>
  <c r="AF224" i="30"/>
  <c r="AE224" i="30"/>
  <c r="AF223" i="30"/>
  <c r="AE223" i="30"/>
  <c r="AF222" i="30"/>
  <c r="AE222" i="30"/>
  <c r="AF221" i="30"/>
  <c r="AE221" i="30"/>
  <c r="AF220" i="30"/>
  <c r="AE220" i="30"/>
  <c r="AF219" i="30"/>
  <c r="AE219" i="30"/>
  <c r="AF218" i="30"/>
  <c r="AE218" i="30"/>
  <c r="AF217" i="30"/>
  <c r="AE217" i="30"/>
  <c r="AF216" i="30"/>
  <c r="AE216" i="30"/>
  <c r="AF215" i="30"/>
  <c r="AE215" i="30"/>
  <c r="AF214" i="30"/>
  <c r="AE214" i="30"/>
  <c r="AF213" i="30"/>
  <c r="AE213" i="30"/>
  <c r="AF212" i="30"/>
  <c r="AE212" i="30"/>
  <c r="AF211" i="30"/>
  <c r="AE211" i="30"/>
  <c r="AF210" i="30"/>
  <c r="AE210" i="30"/>
  <c r="AF209" i="30"/>
  <c r="AE209" i="30"/>
  <c r="AF208" i="30"/>
  <c r="AE208" i="30"/>
  <c r="AF207" i="30"/>
  <c r="AE207" i="30"/>
  <c r="AF206" i="30"/>
  <c r="AE206" i="30"/>
  <c r="AF205" i="30"/>
  <c r="AE205" i="30"/>
  <c r="AF204" i="30"/>
  <c r="AE204" i="30"/>
  <c r="AF203" i="30"/>
  <c r="AE203" i="30"/>
  <c r="AF202" i="30"/>
  <c r="AE202" i="30"/>
  <c r="AF201" i="30"/>
  <c r="AE201" i="30"/>
  <c r="AF200" i="30"/>
  <c r="AE200" i="30"/>
  <c r="AF199" i="30"/>
  <c r="AE199" i="30"/>
  <c r="AF198" i="30"/>
  <c r="AE198" i="30"/>
  <c r="AF197" i="30"/>
  <c r="AE197" i="30"/>
  <c r="AF196" i="30"/>
  <c r="AE196" i="30"/>
  <c r="AF195" i="30"/>
  <c r="AE195" i="30"/>
  <c r="AF194" i="30"/>
  <c r="AE194" i="30"/>
  <c r="AF193" i="30"/>
  <c r="AE193" i="30"/>
  <c r="AF192" i="30"/>
  <c r="AE192" i="30"/>
  <c r="AF191" i="30"/>
  <c r="AE191" i="30"/>
  <c r="AF190" i="30"/>
  <c r="AE190" i="30"/>
  <c r="AF189" i="30"/>
  <c r="AE189" i="30"/>
  <c r="AF188" i="30"/>
  <c r="AE188" i="30"/>
  <c r="AF187" i="30"/>
  <c r="AE187" i="30"/>
  <c r="AF186" i="30"/>
  <c r="AE186" i="30"/>
  <c r="AF185" i="30"/>
  <c r="AE185" i="30"/>
  <c r="AF184" i="30"/>
  <c r="AE184" i="30"/>
  <c r="AF183" i="30"/>
  <c r="AE183" i="30"/>
  <c r="AF182" i="30"/>
  <c r="AE182" i="30"/>
  <c r="AF181" i="30"/>
  <c r="AE181" i="30"/>
  <c r="AF180" i="30"/>
  <c r="AE180" i="30"/>
  <c r="AF179" i="30"/>
  <c r="AE179" i="30"/>
  <c r="AF178" i="30"/>
  <c r="AE178" i="30"/>
  <c r="AF177" i="30"/>
  <c r="AE177" i="30"/>
  <c r="AF176" i="30"/>
  <c r="AE176" i="30"/>
  <c r="AF175" i="30"/>
  <c r="AE175" i="30"/>
  <c r="AF174" i="30"/>
  <c r="AE174" i="30"/>
  <c r="AF173" i="30"/>
  <c r="AE173" i="30"/>
  <c r="AF172" i="30"/>
  <c r="AE172" i="30"/>
  <c r="AF171" i="30"/>
  <c r="AE171" i="30"/>
  <c r="AF170" i="30"/>
  <c r="AE170" i="30"/>
  <c r="AF169" i="30"/>
  <c r="AE169" i="30"/>
  <c r="AF168" i="30"/>
  <c r="AE168" i="30"/>
  <c r="AF167" i="30"/>
  <c r="AE167" i="30"/>
  <c r="AF166" i="30"/>
  <c r="AE166" i="30"/>
  <c r="AF165" i="30"/>
  <c r="AE165" i="30"/>
  <c r="AF164" i="30"/>
  <c r="AE164" i="30"/>
  <c r="AF163" i="30"/>
  <c r="AE163" i="30"/>
  <c r="AF162" i="30"/>
  <c r="AE162" i="30"/>
  <c r="AF161" i="30"/>
  <c r="AE161" i="30"/>
  <c r="AF160" i="30"/>
  <c r="AE160" i="30"/>
  <c r="AF159" i="30"/>
  <c r="AE159" i="30"/>
  <c r="AF158" i="30"/>
  <c r="AE158" i="30"/>
  <c r="AF157" i="30"/>
  <c r="AE157" i="30"/>
  <c r="AF156" i="30"/>
  <c r="AE156" i="30"/>
  <c r="AF155" i="30"/>
  <c r="AE155" i="30"/>
  <c r="AF154" i="30"/>
  <c r="AE154" i="30"/>
  <c r="AF153" i="30"/>
  <c r="AE153" i="30"/>
  <c r="AE152" i="30"/>
  <c r="AE150" i="30"/>
  <c r="AE149" i="30"/>
  <c r="AE147" i="30"/>
  <c r="AE146" i="30"/>
  <c r="AE145" i="30"/>
  <c r="AE144" i="30"/>
  <c r="AE143" i="30"/>
  <c r="AE141" i="30"/>
  <c r="AE140" i="30"/>
  <c r="AE139" i="30"/>
  <c r="AE137" i="30"/>
  <c r="AE136" i="30"/>
  <c r="AE135" i="30"/>
  <c r="AE134" i="30"/>
  <c r="AE128" i="30"/>
  <c r="AE127" i="30"/>
  <c r="AE126" i="30"/>
  <c r="AE125" i="30"/>
  <c r="AE124" i="30"/>
  <c r="AE123" i="30"/>
  <c r="AE122" i="30"/>
  <c r="AE120" i="30"/>
  <c r="AE119" i="30"/>
  <c r="AE118" i="30"/>
  <c r="AE115" i="30"/>
  <c r="AE114" i="30"/>
  <c r="AE113" i="30"/>
  <c r="AE110" i="30"/>
  <c r="AE109" i="30"/>
  <c r="AE108" i="30"/>
  <c r="AE107" i="30"/>
  <c r="AE106" i="30"/>
  <c r="AE105" i="30"/>
  <c r="AE103" i="30"/>
  <c r="AE102" i="30"/>
  <c r="AE101" i="30"/>
  <c r="AE100" i="30"/>
  <c r="AE99" i="30"/>
  <c r="AE98" i="30"/>
  <c r="AE97" i="30"/>
  <c r="AE96" i="30"/>
  <c r="AE95" i="30"/>
  <c r="AE94" i="30"/>
  <c r="AE93" i="30"/>
  <c r="AE92" i="30"/>
  <c r="AE91" i="30"/>
  <c r="AE90" i="30"/>
  <c r="AE85" i="30"/>
  <c r="AE84" i="30"/>
  <c r="AE83" i="30"/>
  <c r="AE80" i="30"/>
  <c r="AE79" i="30"/>
  <c r="AE78" i="30"/>
  <c r="AE77" i="30"/>
  <c r="AE76" i="30"/>
  <c r="AE73" i="30"/>
  <c r="AE72" i="30"/>
  <c r="AE71" i="30"/>
  <c r="AE64" i="30"/>
  <c r="AE63" i="30"/>
  <c r="AE62" i="30"/>
  <c r="AE60" i="30"/>
  <c r="AE59" i="30"/>
  <c r="AE58" i="30"/>
  <c r="AE57" i="30"/>
  <c r="AE56" i="30"/>
  <c r="AE55" i="30"/>
  <c r="AE54" i="30"/>
  <c r="AE53" i="30"/>
  <c r="AE52" i="30"/>
  <c r="AE51" i="30"/>
  <c r="AE50" i="30"/>
  <c r="AE49" i="30"/>
  <c r="AE48" i="30"/>
  <c r="AE46" i="30"/>
  <c r="AE44" i="30"/>
  <c r="AE43" i="30"/>
  <c r="AE42" i="30"/>
  <c r="AE41" i="30"/>
  <c r="AE35" i="30"/>
  <c r="AE34" i="30"/>
  <c r="AE32" i="30"/>
  <c r="AE31" i="30"/>
  <c r="AE30" i="30"/>
  <c r="AE29" i="30"/>
  <c r="AE28" i="30"/>
  <c r="AE21" i="30"/>
  <c r="AE20" i="30"/>
  <c r="AE19" i="30"/>
  <c r="AE18" i="30"/>
  <c r="AE17" i="30"/>
  <c r="AE15" i="30"/>
  <c r="AE14" i="30"/>
  <c r="AE13" i="30"/>
  <c r="AE10" i="30"/>
  <c r="AE9" i="30"/>
  <c r="AE8" i="30"/>
  <c r="AE7" i="30"/>
  <c r="AE6" i="30"/>
  <c r="AE3" i="30"/>
  <c r="AB400" i="30"/>
  <c r="AA400" i="30"/>
  <c r="AB399" i="30"/>
  <c r="AA399" i="30"/>
  <c r="AB398" i="30"/>
  <c r="AA398" i="30"/>
  <c r="AB397" i="30"/>
  <c r="AA397" i="30"/>
  <c r="AB396" i="30"/>
  <c r="AA396" i="30"/>
  <c r="AB395" i="30"/>
  <c r="AA395" i="30"/>
  <c r="AB394" i="30"/>
  <c r="AA394" i="30"/>
  <c r="AB393" i="30"/>
  <c r="AA393" i="30"/>
  <c r="AB392" i="30"/>
  <c r="AA392" i="30"/>
  <c r="AB391" i="30"/>
  <c r="AA391" i="30"/>
  <c r="AB390" i="30"/>
  <c r="AA390" i="30"/>
  <c r="AB389" i="30"/>
  <c r="AA389" i="30"/>
  <c r="AB388" i="30"/>
  <c r="AA388" i="30"/>
  <c r="AB387" i="30"/>
  <c r="AA387" i="30"/>
  <c r="AB386" i="30"/>
  <c r="AA386" i="30"/>
  <c r="AB385" i="30"/>
  <c r="AA385" i="30"/>
  <c r="AB384" i="30"/>
  <c r="AA384" i="30"/>
  <c r="AB383" i="30"/>
  <c r="AA383" i="30"/>
  <c r="AB382" i="30"/>
  <c r="AA382" i="30"/>
  <c r="AB381" i="30"/>
  <c r="AA381" i="30"/>
  <c r="AB380" i="30"/>
  <c r="AA380" i="30"/>
  <c r="AB379" i="30"/>
  <c r="AA379" i="30"/>
  <c r="AB378" i="30"/>
  <c r="AA378" i="30"/>
  <c r="AB377" i="30"/>
  <c r="AA377" i="30"/>
  <c r="AB376" i="30"/>
  <c r="AA376" i="30"/>
  <c r="AB375" i="30"/>
  <c r="AA375" i="30"/>
  <c r="AB374" i="30"/>
  <c r="AA374" i="30"/>
  <c r="AB373" i="30"/>
  <c r="AA373" i="30"/>
  <c r="AB372" i="30"/>
  <c r="AA372" i="30"/>
  <c r="AB371" i="30"/>
  <c r="AA371" i="30"/>
  <c r="AB370" i="30"/>
  <c r="AA370" i="30"/>
  <c r="AB369" i="30"/>
  <c r="AA369" i="30"/>
  <c r="AB368" i="30"/>
  <c r="AA368" i="30"/>
  <c r="AB367" i="30"/>
  <c r="AA367" i="30"/>
  <c r="AB366" i="30"/>
  <c r="AA366" i="30"/>
  <c r="AB365" i="30"/>
  <c r="AA365" i="30"/>
  <c r="AB364" i="30"/>
  <c r="AA364" i="30"/>
  <c r="AB363" i="30"/>
  <c r="AA363" i="30"/>
  <c r="AB362" i="30"/>
  <c r="AA362" i="30"/>
  <c r="AB361" i="30"/>
  <c r="AA361" i="30"/>
  <c r="AB360" i="30"/>
  <c r="AA360" i="30"/>
  <c r="AB359" i="30"/>
  <c r="AA359" i="30"/>
  <c r="AB358" i="30"/>
  <c r="AA358" i="30"/>
  <c r="AB357" i="30"/>
  <c r="AA357" i="30"/>
  <c r="AB356" i="30"/>
  <c r="AA356" i="30"/>
  <c r="AB355" i="30"/>
  <c r="AA355" i="30"/>
  <c r="AB354" i="30"/>
  <c r="AA354" i="30"/>
  <c r="AB353" i="30"/>
  <c r="AA353" i="30"/>
  <c r="AB352" i="30"/>
  <c r="AA352" i="30"/>
  <c r="AB351" i="30"/>
  <c r="AA351" i="30"/>
  <c r="AB350" i="30"/>
  <c r="AA350" i="30"/>
  <c r="AB349" i="30"/>
  <c r="AA349" i="30"/>
  <c r="AB348" i="30"/>
  <c r="AA348" i="30"/>
  <c r="AB347" i="30"/>
  <c r="AA347" i="30"/>
  <c r="AB346" i="30"/>
  <c r="AA346" i="30"/>
  <c r="AB345" i="30"/>
  <c r="AA345" i="30"/>
  <c r="AB344" i="30"/>
  <c r="AA344" i="30"/>
  <c r="AB343" i="30"/>
  <c r="AA343" i="30"/>
  <c r="AB342" i="30"/>
  <c r="AA342" i="30"/>
  <c r="AB341" i="30"/>
  <c r="AA341" i="30"/>
  <c r="AB340" i="30"/>
  <c r="AA340" i="30"/>
  <c r="AB339" i="30"/>
  <c r="AA339" i="30"/>
  <c r="AB338" i="30"/>
  <c r="AA338" i="30"/>
  <c r="AB337" i="30"/>
  <c r="AA337" i="30"/>
  <c r="AB336" i="30"/>
  <c r="AA336" i="30"/>
  <c r="AB335" i="30"/>
  <c r="AA335" i="30"/>
  <c r="AB334" i="30"/>
  <c r="AA334" i="30"/>
  <c r="AB333" i="30"/>
  <c r="AA333" i="30"/>
  <c r="AB332" i="30"/>
  <c r="AA332" i="30"/>
  <c r="AB331" i="30"/>
  <c r="AA331" i="30"/>
  <c r="AB330" i="30"/>
  <c r="AA330" i="30"/>
  <c r="AB329" i="30"/>
  <c r="AA329" i="30"/>
  <c r="AB328" i="30"/>
  <c r="AA328" i="30"/>
  <c r="AB327" i="30"/>
  <c r="AA327" i="30"/>
  <c r="AB326" i="30"/>
  <c r="AA326" i="30"/>
  <c r="AB325" i="30"/>
  <c r="AA325" i="30"/>
  <c r="AB324" i="30"/>
  <c r="AA324" i="30"/>
  <c r="AB323" i="30"/>
  <c r="AA323" i="30"/>
  <c r="AB322" i="30"/>
  <c r="AA322" i="30"/>
  <c r="AB321" i="30"/>
  <c r="AA321" i="30"/>
  <c r="AB320" i="30"/>
  <c r="AA320" i="30"/>
  <c r="AB319" i="30"/>
  <c r="AA319" i="30"/>
  <c r="AB318" i="30"/>
  <c r="AA318" i="30"/>
  <c r="AB317" i="30"/>
  <c r="AA317" i="30"/>
  <c r="AB316" i="30"/>
  <c r="AA316" i="30"/>
  <c r="AB315" i="30"/>
  <c r="AA315" i="30"/>
  <c r="AB314" i="30"/>
  <c r="AA314" i="30"/>
  <c r="AB313" i="30"/>
  <c r="AA313" i="30"/>
  <c r="AB312" i="30"/>
  <c r="AA312" i="30"/>
  <c r="AB311" i="30"/>
  <c r="AA311" i="30"/>
  <c r="AB310" i="30"/>
  <c r="AA310" i="30"/>
  <c r="AB309" i="30"/>
  <c r="AA309" i="30"/>
  <c r="AB308" i="30"/>
  <c r="AA308" i="30"/>
  <c r="AB307" i="30"/>
  <c r="AA307" i="30"/>
  <c r="AB306" i="30"/>
  <c r="AA306" i="30"/>
  <c r="AB305" i="30"/>
  <c r="AA305" i="30"/>
  <c r="AB304" i="30"/>
  <c r="AA304" i="30"/>
  <c r="AB303" i="30"/>
  <c r="AA303" i="30"/>
  <c r="AB302" i="30"/>
  <c r="AA302" i="30"/>
  <c r="AB301" i="30"/>
  <c r="AA301" i="30"/>
  <c r="AB300" i="30"/>
  <c r="AA300" i="30"/>
  <c r="AB299" i="30"/>
  <c r="AA299" i="30"/>
  <c r="AB298" i="30"/>
  <c r="AA298" i="30"/>
  <c r="AB297" i="30"/>
  <c r="AA297" i="30"/>
  <c r="AB296" i="30"/>
  <c r="AA296" i="30"/>
  <c r="AB295" i="30"/>
  <c r="AA295" i="30"/>
  <c r="AB294" i="30"/>
  <c r="AA294" i="30"/>
  <c r="AB293" i="30"/>
  <c r="AA293" i="30"/>
  <c r="AB292" i="30"/>
  <c r="AA292" i="30"/>
  <c r="AB291" i="30"/>
  <c r="AA291" i="30"/>
  <c r="AB290" i="30"/>
  <c r="AA290" i="30"/>
  <c r="AB289" i="30"/>
  <c r="AA289" i="30"/>
  <c r="AB288" i="30"/>
  <c r="AA288" i="30"/>
  <c r="AB287" i="30"/>
  <c r="AA287" i="30"/>
  <c r="AB286" i="30"/>
  <c r="AA286" i="30"/>
  <c r="AB285" i="30"/>
  <c r="AA285" i="30"/>
  <c r="AB284" i="30"/>
  <c r="AA284" i="30"/>
  <c r="AB283" i="30"/>
  <c r="AA283" i="30"/>
  <c r="AB282" i="30"/>
  <c r="AA282" i="30"/>
  <c r="AB281" i="30"/>
  <c r="AA281" i="30"/>
  <c r="AB280" i="30"/>
  <c r="AA280" i="30"/>
  <c r="AB279" i="30"/>
  <c r="AA279" i="30"/>
  <c r="AB278" i="30"/>
  <c r="AA278" i="30"/>
  <c r="AB277" i="30"/>
  <c r="AA277" i="30"/>
  <c r="AB276" i="30"/>
  <c r="AA276" i="30"/>
  <c r="AB275" i="30"/>
  <c r="AA275" i="30"/>
  <c r="AB274" i="30"/>
  <c r="AA274" i="30"/>
  <c r="AB273" i="30"/>
  <c r="AA273" i="30"/>
  <c r="AB272" i="30"/>
  <c r="AA272" i="30"/>
  <c r="AB271" i="30"/>
  <c r="AA271" i="30"/>
  <c r="AB270" i="30"/>
  <c r="AA270" i="30"/>
  <c r="AB269" i="30"/>
  <c r="AA269" i="30"/>
  <c r="AB268" i="30"/>
  <c r="AA268" i="30"/>
  <c r="AB267" i="30"/>
  <c r="AA267" i="30"/>
  <c r="AB266" i="30"/>
  <c r="AA266" i="30"/>
  <c r="AB265" i="30"/>
  <c r="AA265" i="30"/>
  <c r="AB264" i="30"/>
  <c r="AA264" i="30"/>
  <c r="AB263" i="30"/>
  <c r="AA263" i="30"/>
  <c r="AB262" i="30"/>
  <c r="AA262" i="30"/>
  <c r="AB261" i="30"/>
  <c r="AA261" i="30"/>
  <c r="AB260" i="30"/>
  <c r="AA260" i="30"/>
  <c r="AB259" i="30"/>
  <c r="AA259" i="30"/>
  <c r="AB258" i="30"/>
  <c r="AA258" i="30"/>
  <c r="AB257" i="30"/>
  <c r="AA257" i="30"/>
  <c r="AB256" i="30"/>
  <c r="AA256" i="30"/>
  <c r="AB255" i="30"/>
  <c r="AA255" i="30"/>
  <c r="AB254" i="30"/>
  <c r="AA254" i="30"/>
  <c r="AB253" i="30"/>
  <c r="AA253" i="30"/>
  <c r="AB252" i="30"/>
  <c r="AA252" i="30"/>
  <c r="AB251" i="30"/>
  <c r="AA251" i="30"/>
  <c r="AB250" i="30"/>
  <c r="AA250" i="30"/>
  <c r="AB249" i="30"/>
  <c r="AA249" i="30"/>
  <c r="AB248" i="30"/>
  <c r="AA248" i="30"/>
  <c r="AB247" i="30"/>
  <c r="AA247" i="30"/>
  <c r="AB246" i="30"/>
  <c r="AA246" i="30"/>
  <c r="AB245" i="30"/>
  <c r="AA245" i="30"/>
  <c r="AB244" i="30"/>
  <c r="AA244" i="30"/>
  <c r="AB243" i="30"/>
  <c r="AA243" i="30"/>
  <c r="AB242" i="30"/>
  <c r="AA242" i="30"/>
  <c r="AB241" i="30"/>
  <c r="AA241" i="30"/>
  <c r="AB240" i="30"/>
  <c r="AA240" i="30"/>
  <c r="AB239" i="30"/>
  <c r="AA239" i="30"/>
  <c r="AB238" i="30"/>
  <c r="AA238" i="30"/>
  <c r="AB237" i="30"/>
  <c r="AA237" i="30"/>
  <c r="AB236" i="30"/>
  <c r="AA236" i="30"/>
  <c r="AB235" i="30"/>
  <c r="AA235" i="30"/>
  <c r="AB234" i="30"/>
  <c r="AA234" i="30"/>
  <c r="AB233" i="30"/>
  <c r="AA233" i="30"/>
  <c r="AB232" i="30"/>
  <c r="AA232" i="30"/>
  <c r="AB231" i="30"/>
  <c r="AA231" i="30"/>
  <c r="AB230" i="30"/>
  <c r="AA230" i="30"/>
  <c r="AB229" i="30"/>
  <c r="AA229" i="30"/>
  <c r="AB228" i="30"/>
  <c r="AA228" i="30"/>
  <c r="AB227" i="30"/>
  <c r="AA227" i="30"/>
  <c r="AB226" i="30"/>
  <c r="AA226" i="30"/>
  <c r="AB225" i="30"/>
  <c r="AA225" i="30"/>
  <c r="AB224" i="30"/>
  <c r="AA224" i="30"/>
  <c r="AB223" i="30"/>
  <c r="AA223" i="30"/>
  <c r="AB222" i="30"/>
  <c r="AA222" i="30"/>
  <c r="AB221" i="30"/>
  <c r="AA221" i="30"/>
  <c r="AB220" i="30"/>
  <c r="AA220" i="30"/>
  <c r="AB219" i="30"/>
  <c r="AA219" i="30"/>
  <c r="AB218" i="30"/>
  <c r="AA218" i="30"/>
  <c r="AB217" i="30"/>
  <c r="AA217" i="30"/>
  <c r="AB216" i="30"/>
  <c r="AA216" i="30"/>
  <c r="AB215" i="30"/>
  <c r="AA215" i="30"/>
  <c r="AB214" i="30"/>
  <c r="AA214" i="30"/>
  <c r="AB213" i="30"/>
  <c r="AA213" i="30"/>
  <c r="AB212" i="30"/>
  <c r="AA212" i="30"/>
  <c r="AB211" i="30"/>
  <c r="AA211" i="30"/>
  <c r="AB210" i="30"/>
  <c r="AA210" i="30"/>
  <c r="AB209" i="30"/>
  <c r="AA209" i="30"/>
  <c r="AB208" i="30"/>
  <c r="AA208" i="30"/>
  <c r="AB207" i="30"/>
  <c r="AA207" i="30"/>
  <c r="AB206" i="30"/>
  <c r="AA206" i="30"/>
  <c r="AB205" i="30"/>
  <c r="AA205" i="30"/>
  <c r="AB204" i="30"/>
  <c r="AA204" i="30"/>
  <c r="AB203" i="30"/>
  <c r="AA203" i="30"/>
  <c r="AB202" i="30"/>
  <c r="AA202" i="30"/>
  <c r="AB201" i="30"/>
  <c r="AA201" i="30"/>
  <c r="AB200" i="30"/>
  <c r="AA200" i="30"/>
  <c r="AB199" i="30"/>
  <c r="AA199" i="30"/>
  <c r="AB198" i="30"/>
  <c r="AA198" i="30"/>
  <c r="AB197" i="30"/>
  <c r="AA197" i="30"/>
  <c r="AB196" i="30"/>
  <c r="AA196" i="30"/>
  <c r="AB195" i="30"/>
  <c r="AA195" i="30"/>
  <c r="AB194" i="30"/>
  <c r="AA194" i="30"/>
  <c r="AB193" i="30"/>
  <c r="AA193" i="30"/>
  <c r="AB192" i="30"/>
  <c r="AA192" i="30"/>
  <c r="AB191" i="30"/>
  <c r="AA191" i="30"/>
  <c r="AB190" i="30"/>
  <c r="AA190" i="30"/>
  <c r="AB189" i="30"/>
  <c r="AA189" i="30"/>
  <c r="AB188" i="30"/>
  <c r="AA188" i="30"/>
  <c r="AB187" i="30"/>
  <c r="AA187" i="30"/>
  <c r="AB186" i="30"/>
  <c r="AA186" i="30"/>
  <c r="AB185" i="30"/>
  <c r="AA185" i="30"/>
  <c r="AB184" i="30"/>
  <c r="AA184" i="30"/>
  <c r="AB183" i="30"/>
  <c r="AA183" i="30"/>
  <c r="AB182" i="30"/>
  <c r="AA182" i="30"/>
  <c r="AB181" i="30"/>
  <c r="AA181" i="30"/>
  <c r="AB180" i="30"/>
  <c r="AA180" i="30"/>
  <c r="AB179" i="30"/>
  <c r="AA179" i="30"/>
  <c r="AB178" i="30"/>
  <c r="AA178" i="30"/>
  <c r="AB177" i="30"/>
  <c r="AA177" i="30"/>
  <c r="AB176" i="30"/>
  <c r="AA176" i="30"/>
  <c r="AB175" i="30"/>
  <c r="AA175" i="30"/>
  <c r="AB174" i="30"/>
  <c r="AA174" i="30"/>
  <c r="AB173" i="30"/>
  <c r="AA173" i="30"/>
  <c r="AB172" i="30"/>
  <c r="AA172" i="30"/>
  <c r="AB171" i="30"/>
  <c r="AA171" i="30"/>
  <c r="AB170" i="30"/>
  <c r="AA170" i="30"/>
  <c r="AB169" i="30"/>
  <c r="AA169" i="30"/>
  <c r="AB168" i="30"/>
  <c r="AA168" i="30"/>
  <c r="AB167" i="30"/>
  <c r="AA167" i="30"/>
  <c r="AB166" i="30"/>
  <c r="AA166" i="30"/>
  <c r="AB165" i="30"/>
  <c r="AA165" i="30"/>
  <c r="AB164" i="30"/>
  <c r="AA164" i="30"/>
  <c r="AB163" i="30"/>
  <c r="AA163" i="30"/>
  <c r="AB162" i="30"/>
  <c r="AA162" i="30"/>
  <c r="AB161" i="30"/>
  <c r="AA161" i="30"/>
  <c r="AB160" i="30"/>
  <c r="AA160" i="30"/>
  <c r="AB159" i="30"/>
  <c r="AA159" i="30"/>
  <c r="AB158" i="30"/>
  <c r="AA158" i="30"/>
  <c r="AB157" i="30"/>
  <c r="AA157" i="30"/>
  <c r="AB156" i="30"/>
  <c r="AA156" i="30"/>
  <c r="AB155" i="30"/>
  <c r="AA155" i="30"/>
  <c r="AB154" i="30"/>
  <c r="AA154" i="30"/>
  <c r="AB153" i="30"/>
  <c r="AA153" i="30"/>
  <c r="AA152" i="30"/>
  <c r="AA150" i="30"/>
  <c r="AA149" i="30"/>
  <c r="AA147" i="30"/>
  <c r="AA146" i="30"/>
  <c r="AA145" i="30"/>
  <c r="AA144" i="30"/>
  <c r="AA143" i="30"/>
  <c r="AA141" i="30"/>
  <c r="AA140" i="30"/>
  <c r="AA139" i="30"/>
  <c r="AA137" i="30"/>
  <c r="AA136" i="30"/>
  <c r="AA135" i="30"/>
  <c r="AA134" i="30"/>
  <c r="AA128" i="30"/>
  <c r="AA127" i="30"/>
  <c r="AA126" i="30"/>
  <c r="AA125" i="30"/>
  <c r="AA124" i="30"/>
  <c r="AA123" i="30"/>
  <c r="AA122" i="30"/>
  <c r="AA120" i="30"/>
  <c r="AA119" i="30"/>
  <c r="AA118" i="30"/>
  <c r="AA115" i="30"/>
  <c r="AA114" i="30"/>
  <c r="AA113" i="30"/>
  <c r="AA110" i="30"/>
  <c r="AA109" i="30"/>
  <c r="AA108" i="30"/>
  <c r="AA107" i="30"/>
  <c r="AA106" i="30"/>
  <c r="AA105" i="30"/>
  <c r="AA103" i="30"/>
  <c r="AA102" i="30"/>
  <c r="AA101" i="30"/>
  <c r="AA100" i="30"/>
  <c r="AA99" i="30"/>
  <c r="AA98" i="30"/>
  <c r="AA97" i="30"/>
  <c r="AA96" i="30"/>
  <c r="AA95" i="30"/>
  <c r="AA94" i="30"/>
  <c r="AA93" i="30"/>
  <c r="AA92" i="30"/>
  <c r="AA91" i="30"/>
  <c r="AA90" i="30"/>
  <c r="AA85" i="30"/>
  <c r="AA84" i="30"/>
  <c r="AA83" i="30"/>
  <c r="AA80" i="30"/>
  <c r="AA79" i="30"/>
  <c r="AA78" i="30"/>
  <c r="AA77" i="30"/>
  <c r="AA76" i="30"/>
  <c r="AA73" i="30"/>
  <c r="AA72" i="30"/>
  <c r="AA71" i="30"/>
  <c r="AA64" i="30"/>
  <c r="AA63" i="30"/>
  <c r="AA62" i="30"/>
  <c r="AA60" i="30"/>
  <c r="AA59" i="30"/>
  <c r="AA58" i="30"/>
  <c r="AA57" i="30"/>
  <c r="AA56" i="30"/>
  <c r="AA55" i="30"/>
  <c r="AA54" i="30"/>
  <c r="AA53" i="30"/>
  <c r="AA52" i="30"/>
  <c r="AA51" i="30"/>
  <c r="AA50" i="30"/>
  <c r="AA49" i="30"/>
  <c r="AA48" i="30"/>
  <c r="AA46" i="30"/>
  <c r="AA44" i="30"/>
  <c r="AA43" i="30"/>
  <c r="AA42" i="30"/>
  <c r="AA41" i="30"/>
  <c r="AA35" i="30"/>
  <c r="AA34" i="30"/>
  <c r="AA32" i="30"/>
  <c r="AA31" i="30"/>
  <c r="AA30" i="30"/>
  <c r="AA29" i="30"/>
  <c r="AA28" i="30"/>
  <c r="AA21" i="30"/>
  <c r="AA20" i="30"/>
  <c r="AA19" i="30"/>
  <c r="AA18" i="30"/>
  <c r="AA17" i="30"/>
  <c r="AA15" i="30"/>
  <c r="AA14" i="30"/>
  <c r="AA13" i="30"/>
  <c r="AA10" i="30"/>
  <c r="AA9" i="30"/>
  <c r="AA8" i="30"/>
  <c r="AA7" i="30"/>
  <c r="AA6" i="30"/>
  <c r="AA3" i="30"/>
  <c r="X400" i="30"/>
  <c r="W400" i="30"/>
  <c r="X399" i="30"/>
  <c r="W399" i="30"/>
  <c r="X398" i="30"/>
  <c r="W398" i="30"/>
  <c r="X397" i="30"/>
  <c r="W397" i="30"/>
  <c r="X396" i="30"/>
  <c r="W396" i="30"/>
  <c r="X395" i="30"/>
  <c r="W395" i="30"/>
  <c r="X394" i="30"/>
  <c r="W394" i="30"/>
  <c r="X393" i="30"/>
  <c r="W393" i="30"/>
  <c r="X392" i="30"/>
  <c r="W392" i="30"/>
  <c r="X391" i="30"/>
  <c r="W391" i="30"/>
  <c r="X390" i="30"/>
  <c r="W390" i="30"/>
  <c r="X389" i="30"/>
  <c r="W389" i="30"/>
  <c r="X388" i="30"/>
  <c r="W388" i="30"/>
  <c r="X387" i="30"/>
  <c r="W387" i="30"/>
  <c r="X386" i="30"/>
  <c r="W386" i="30"/>
  <c r="X385" i="30"/>
  <c r="W385" i="30"/>
  <c r="X384" i="30"/>
  <c r="W384" i="30"/>
  <c r="X383" i="30"/>
  <c r="W383" i="30"/>
  <c r="X382" i="30"/>
  <c r="W382" i="30"/>
  <c r="X381" i="30"/>
  <c r="W381" i="30"/>
  <c r="X380" i="30"/>
  <c r="W380" i="30"/>
  <c r="X379" i="30"/>
  <c r="W379" i="30"/>
  <c r="X378" i="30"/>
  <c r="W378" i="30"/>
  <c r="X377" i="30"/>
  <c r="W377" i="30"/>
  <c r="X376" i="30"/>
  <c r="W376" i="30"/>
  <c r="X375" i="30"/>
  <c r="W375" i="30"/>
  <c r="X374" i="30"/>
  <c r="W374" i="30"/>
  <c r="X373" i="30"/>
  <c r="W373" i="30"/>
  <c r="X372" i="30"/>
  <c r="W372" i="30"/>
  <c r="X371" i="30"/>
  <c r="W371" i="30"/>
  <c r="X370" i="30"/>
  <c r="W370" i="30"/>
  <c r="X369" i="30"/>
  <c r="W369" i="30"/>
  <c r="X368" i="30"/>
  <c r="W368" i="30"/>
  <c r="X367" i="30"/>
  <c r="W367" i="30"/>
  <c r="X366" i="30"/>
  <c r="W366" i="30"/>
  <c r="X365" i="30"/>
  <c r="W365" i="30"/>
  <c r="X364" i="30"/>
  <c r="W364" i="30"/>
  <c r="X363" i="30"/>
  <c r="W363" i="30"/>
  <c r="X362" i="30"/>
  <c r="W362" i="30"/>
  <c r="X361" i="30"/>
  <c r="W361" i="30"/>
  <c r="X360" i="30"/>
  <c r="W360" i="30"/>
  <c r="X359" i="30"/>
  <c r="W359" i="30"/>
  <c r="X358" i="30"/>
  <c r="W358" i="30"/>
  <c r="X357" i="30"/>
  <c r="W357" i="30"/>
  <c r="X356" i="30"/>
  <c r="W356" i="30"/>
  <c r="X355" i="30"/>
  <c r="W355" i="30"/>
  <c r="X354" i="30"/>
  <c r="W354" i="30"/>
  <c r="X353" i="30"/>
  <c r="W353" i="30"/>
  <c r="X352" i="30"/>
  <c r="W352" i="30"/>
  <c r="X351" i="30"/>
  <c r="W351" i="30"/>
  <c r="X350" i="30"/>
  <c r="W350" i="30"/>
  <c r="X349" i="30"/>
  <c r="W349" i="30"/>
  <c r="X348" i="30"/>
  <c r="W348" i="30"/>
  <c r="X347" i="30"/>
  <c r="W347" i="30"/>
  <c r="X346" i="30"/>
  <c r="W346" i="30"/>
  <c r="X345" i="30"/>
  <c r="W345" i="30"/>
  <c r="X344" i="30"/>
  <c r="W344" i="30"/>
  <c r="X343" i="30"/>
  <c r="W343" i="30"/>
  <c r="X342" i="30"/>
  <c r="W342" i="30"/>
  <c r="X341" i="30"/>
  <c r="W341" i="30"/>
  <c r="X340" i="30"/>
  <c r="W340" i="30"/>
  <c r="X339" i="30"/>
  <c r="W339" i="30"/>
  <c r="X338" i="30"/>
  <c r="W338" i="30"/>
  <c r="X337" i="30"/>
  <c r="W337" i="30"/>
  <c r="X336" i="30"/>
  <c r="W336" i="30"/>
  <c r="X335" i="30"/>
  <c r="W335" i="30"/>
  <c r="X334" i="30"/>
  <c r="W334" i="30"/>
  <c r="X333" i="30"/>
  <c r="W333" i="30"/>
  <c r="X332" i="30"/>
  <c r="W332" i="30"/>
  <c r="X331" i="30"/>
  <c r="W331" i="30"/>
  <c r="X330" i="30"/>
  <c r="W330" i="30"/>
  <c r="X329" i="30"/>
  <c r="W329" i="30"/>
  <c r="X328" i="30"/>
  <c r="W328" i="30"/>
  <c r="X327" i="30"/>
  <c r="W327" i="30"/>
  <c r="X326" i="30"/>
  <c r="W326" i="30"/>
  <c r="X325" i="30"/>
  <c r="W325" i="30"/>
  <c r="X324" i="30"/>
  <c r="W324" i="30"/>
  <c r="X323" i="30"/>
  <c r="W323" i="30"/>
  <c r="X322" i="30"/>
  <c r="W322" i="30"/>
  <c r="X321" i="30"/>
  <c r="W321" i="30"/>
  <c r="X320" i="30"/>
  <c r="W320" i="30"/>
  <c r="X319" i="30"/>
  <c r="W319" i="30"/>
  <c r="X318" i="30"/>
  <c r="W318" i="30"/>
  <c r="X317" i="30"/>
  <c r="W317" i="30"/>
  <c r="X316" i="30"/>
  <c r="W316" i="30"/>
  <c r="X315" i="30"/>
  <c r="W315" i="30"/>
  <c r="X314" i="30"/>
  <c r="W314" i="30"/>
  <c r="X313" i="30"/>
  <c r="W313" i="30"/>
  <c r="X312" i="30"/>
  <c r="W312" i="30"/>
  <c r="X311" i="30"/>
  <c r="W311" i="30"/>
  <c r="X310" i="30"/>
  <c r="W310" i="30"/>
  <c r="X309" i="30"/>
  <c r="W309" i="30"/>
  <c r="X308" i="30"/>
  <c r="W308" i="30"/>
  <c r="X307" i="30"/>
  <c r="W307" i="30"/>
  <c r="X306" i="30"/>
  <c r="W306" i="30"/>
  <c r="X305" i="30"/>
  <c r="W305" i="30"/>
  <c r="X304" i="30"/>
  <c r="W304" i="30"/>
  <c r="X303" i="30"/>
  <c r="W303" i="30"/>
  <c r="X302" i="30"/>
  <c r="W302" i="30"/>
  <c r="X301" i="30"/>
  <c r="W301" i="30"/>
  <c r="X300" i="30"/>
  <c r="W300" i="30"/>
  <c r="X299" i="30"/>
  <c r="W299" i="30"/>
  <c r="X298" i="30"/>
  <c r="W298" i="30"/>
  <c r="X297" i="30"/>
  <c r="W297" i="30"/>
  <c r="X296" i="30"/>
  <c r="W296" i="30"/>
  <c r="X295" i="30"/>
  <c r="W295" i="30"/>
  <c r="X294" i="30"/>
  <c r="W294" i="30"/>
  <c r="X293" i="30"/>
  <c r="W293" i="30"/>
  <c r="X292" i="30"/>
  <c r="W292" i="30"/>
  <c r="X291" i="30"/>
  <c r="W291" i="30"/>
  <c r="X290" i="30"/>
  <c r="W290" i="30"/>
  <c r="X289" i="30"/>
  <c r="W289" i="30"/>
  <c r="X288" i="30"/>
  <c r="W288" i="30"/>
  <c r="X287" i="30"/>
  <c r="W287" i="30"/>
  <c r="X286" i="30"/>
  <c r="W286" i="30"/>
  <c r="X285" i="30"/>
  <c r="W285" i="30"/>
  <c r="X284" i="30"/>
  <c r="W284" i="30"/>
  <c r="X283" i="30"/>
  <c r="W283" i="30"/>
  <c r="X282" i="30"/>
  <c r="W282" i="30"/>
  <c r="X281" i="30"/>
  <c r="W281" i="30"/>
  <c r="X280" i="30"/>
  <c r="W280" i="30"/>
  <c r="X279" i="30"/>
  <c r="W279" i="30"/>
  <c r="X278" i="30"/>
  <c r="W278" i="30"/>
  <c r="X277" i="30"/>
  <c r="W277" i="30"/>
  <c r="X276" i="30"/>
  <c r="W276" i="30"/>
  <c r="X275" i="30"/>
  <c r="W275" i="30"/>
  <c r="X274" i="30"/>
  <c r="W274" i="30"/>
  <c r="X273" i="30"/>
  <c r="W273" i="30"/>
  <c r="X272" i="30"/>
  <c r="W272" i="30"/>
  <c r="X271" i="30"/>
  <c r="W271" i="30"/>
  <c r="X270" i="30"/>
  <c r="W270" i="30"/>
  <c r="X269" i="30"/>
  <c r="W269" i="30"/>
  <c r="X268" i="30"/>
  <c r="W268" i="30"/>
  <c r="X267" i="30"/>
  <c r="W267" i="30"/>
  <c r="X266" i="30"/>
  <c r="W266" i="30"/>
  <c r="X265" i="30"/>
  <c r="W265" i="30"/>
  <c r="X264" i="30"/>
  <c r="W264" i="30"/>
  <c r="X263" i="30"/>
  <c r="W263" i="30"/>
  <c r="X262" i="30"/>
  <c r="W262" i="30"/>
  <c r="X261" i="30"/>
  <c r="W261" i="30"/>
  <c r="X260" i="30"/>
  <c r="W260" i="30"/>
  <c r="X259" i="30"/>
  <c r="W259" i="30"/>
  <c r="X258" i="30"/>
  <c r="W258" i="30"/>
  <c r="X257" i="30"/>
  <c r="W257" i="30"/>
  <c r="X256" i="30"/>
  <c r="W256" i="30"/>
  <c r="X255" i="30"/>
  <c r="W255" i="30"/>
  <c r="X254" i="30"/>
  <c r="W254" i="30"/>
  <c r="X253" i="30"/>
  <c r="W253" i="30"/>
  <c r="X252" i="30"/>
  <c r="W252" i="30"/>
  <c r="X251" i="30"/>
  <c r="W251" i="30"/>
  <c r="X250" i="30"/>
  <c r="W250" i="30"/>
  <c r="X249" i="30"/>
  <c r="W249" i="30"/>
  <c r="X248" i="30"/>
  <c r="W248" i="30"/>
  <c r="X247" i="30"/>
  <c r="W247" i="30"/>
  <c r="X246" i="30"/>
  <c r="W246" i="30"/>
  <c r="X245" i="30"/>
  <c r="W245" i="30"/>
  <c r="X244" i="30"/>
  <c r="W244" i="30"/>
  <c r="X243" i="30"/>
  <c r="W243" i="30"/>
  <c r="X242" i="30"/>
  <c r="W242" i="30"/>
  <c r="X241" i="30"/>
  <c r="W241" i="30"/>
  <c r="X240" i="30"/>
  <c r="W240" i="30"/>
  <c r="X239" i="30"/>
  <c r="W239" i="30"/>
  <c r="X238" i="30"/>
  <c r="W238" i="30"/>
  <c r="X237" i="30"/>
  <c r="W237" i="30"/>
  <c r="X236" i="30"/>
  <c r="W236" i="30"/>
  <c r="X235" i="30"/>
  <c r="W235" i="30"/>
  <c r="X234" i="30"/>
  <c r="W234" i="30"/>
  <c r="X233" i="30"/>
  <c r="W233" i="30"/>
  <c r="X232" i="30"/>
  <c r="W232" i="30"/>
  <c r="X231" i="30"/>
  <c r="W231" i="30"/>
  <c r="X230" i="30"/>
  <c r="W230" i="30"/>
  <c r="X229" i="30"/>
  <c r="W229" i="30"/>
  <c r="X228" i="30"/>
  <c r="W228" i="30"/>
  <c r="X227" i="30"/>
  <c r="W227" i="30"/>
  <c r="X226" i="30"/>
  <c r="W226" i="30"/>
  <c r="X225" i="30"/>
  <c r="W225" i="30"/>
  <c r="X224" i="30"/>
  <c r="W224" i="30"/>
  <c r="X223" i="30"/>
  <c r="W223" i="30"/>
  <c r="X222" i="30"/>
  <c r="W222" i="30"/>
  <c r="X221" i="30"/>
  <c r="W221" i="30"/>
  <c r="X220" i="30"/>
  <c r="W220" i="30"/>
  <c r="X219" i="30"/>
  <c r="W219" i="30"/>
  <c r="X218" i="30"/>
  <c r="W218" i="30"/>
  <c r="X217" i="30"/>
  <c r="W217" i="30"/>
  <c r="X216" i="30"/>
  <c r="W216" i="30"/>
  <c r="X215" i="30"/>
  <c r="W215" i="30"/>
  <c r="X214" i="30"/>
  <c r="W214" i="30"/>
  <c r="X213" i="30"/>
  <c r="W213" i="30"/>
  <c r="X212" i="30"/>
  <c r="W212" i="30"/>
  <c r="X211" i="30"/>
  <c r="W211" i="30"/>
  <c r="X210" i="30"/>
  <c r="W210" i="30"/>
  <c r="X209" i="30"/>
  <c r="W209" i="30"/>
  <c r="X208" i="30"/>
  <c r="W208" i="30"/>
  <c r="X207" i="30"/>
  <c r="W207" i="30"/>
  <c r="X206" i="30"/>
  <c r="W206" i="30"/>
  <c r="X205" i="30"/>
  <c r="W205" i="30"/>
  <c r="X204" i="30"/>
  <c r="W204" i="30"/>
  <c r="X203" i="30"/>
  <c r="W203" i="30"/>
  <c r="X202" i="30"/>
  <c r="W202" i="30"/>
  <c r="X201" i="30"/>
  <c r="W201" i="30"/>
  <c r="X200" i="30"/>
  <c r="W200" i="30"/>
  <c r="X199" i="30"/>
  <c r="W199" i="30"/>
  <c r="X198" i="30"/>
  <c r="W198" i="30"/>
  <c r="X197" i="30"/>
  <c r="W197" i="30"/>
  <c r="X196" i="30"/>
  <c r="W196" i="30"/>
  <c r="X195" i="30"/>
  <c r="W195" i="30"/>
  <c r="X194" i="30"/>
  <c r="W194" i="30"/>
  <c r="X193" i="30"/>
  <c r="W193" i="30"/>
  <c r="X192" i="30"/>
  <c r="W192" i="30"/>
  <c r="X191" i="30"/>
  <c r="W191" i="30"/>
  <c r="X190" i="30"/>
  <c r="W190" i="30"/>
  <c r="X189" i="30"/>
  <c r="W189" i="30"/>
  <c r="X188" i="30"/>
  <c r="W188" i="30"/>
  <c r="X187" i="30"/>
  <c r="W187" i="30"/>
  <c r="X186" i="30"/>
  <c r="W186" i="30"/>
  <c r="X185" i="30"/>
  <c r="W185" i="30"/>
  <c r="X184" i="30"/>
  <c r="W184" i="30"/>
  <c r="X183" i="30"/>
  <c r="W183" i="30"/>
  <c r="X182" i="30"/>
  <c r="W182" i="30"/>
  <c r="X181" i="30"/>
  <c r="W181" i="30"/>
  <c r="X180" i="30"/>
  <c r="W180" i="30"/>
  <c r="X179" i="30"/>
  <c r="W179" i="30"/>
  <c r="X178" i="30"/>
  <c r="W178" i="30"/>
  <c r="X177" i="30"/>
  <c r="W177" i="30"/>
  <c r="X176" i="30"/>
  <c r="W176" i="30"/>
  <c r="X175" i="30"/>
  <c r="W175" i="30"/>
  <c r="X174" i="30"/>
  <c r="W174" i="30"/>
  <c r="X173" i="30"/>
  <c r="W173" i="30"/>
  <c r="X172" i="30"/>
  <c r="W172" i="30"/>
  <c r="X171" i="30"/>
  <c r="W171" i="30"/>
  <c r="X170" i="30"/>
  <c r="W170" i="30"/>
  <c r="X169" i="30"/>
  <c r="W169" i="30"/>
  <c r="X168" i="30"/>
  <c r="W168" i="30"/>
  <c r="X167" i="30"/>
  <c r="W167" i="30"/>
  <c r="X166" i="30"/>
  <c r="W166" i="30"/>
  <c r="X165" i="30"/>
  <c r="W165" i="30"/>
  <c r="X164" i="30"/>
  <c r="W164" i="30"/>
  <c r="X163" i="30"/>
  <c r="W163" i="30"/>
  <c r="X162" i="30"/>
  <c r="W162" i="30"/>
  <c r="X161" i="30"/>
  <c r="W161" i="30"/>
  <c r="X160" i="30"/>
  <c r="W160" i="30"/>
  <c r="X159" i="30"/>
  <c r="W159" i="30"/>
  <c r="X158" i="30"/>
  <c r="W158" i="30"/>
  <c r="X157" i="30"/>
  <c r="W157" i="30"/>
  <c r="X156" i="30"/>
  <c r="W156" i="30"/>
  <c r="X155" i="30"/>
  <c r="W155" i="30"/>
  <c r="X154" i="30"/>
  <c r="W154" i="30"/>
  <c r="X153" i="30"/>
  <c r="W153" i="30"/>
  <c r="W152" i="30"/>
  <c r="W150" i="30"/>
  <c r="W149" i="30"/>
  <c r="W147" i="30"/>
  <c r="W146" i="30"/>
  <c r="W145" i="30"/>
  <c r="W144" i="30"/>
  <c r="W143" i="30"/>
  <c r="W141" i="30"/>
  <c r="W140" i="30"/>
  <c r="W139" i="30"/>
  <c r="W137" i="30"/>
  <c r="W136" i="30"/>
  <c r="W135" i="30"/>
  <c r="W134" i="30"/>
  <c r="W128" i="30"/>
  <c r="W127" i="30"/>
  <c r="W126" i="30"/>
  <c r="W125" i="30"/>
  <c r="W124" i="30"/>
  <c r="W123" i="30"/>
  <c r="W122" i="30"/>
  <c r="W120" i="30"/>
  <c r="W119" i="30"/>
  <c r="W118" i="30"/>
  <c r="W115" i="30"/>
  <c r="W114" i="30"/>
  <c r="W113" i="30"/>
  <c r="W110" i="30"/>
  <c r="W109" i="30"/>
  <c r="W108" i="30"/>
  <c r="W107" i="30"/>
  <c r="W106" i="30"/>
  <c r="W105" i="30"/>
  <c r="W103" i="30"/>
  <c r="W102" i="30"/>
  <c r="W101" i="30"/>
  <c r="W100" i="30"/>
  <c r="W99" i="30"/>
  <c r="W98" i="30"/>
  <c r="W97" i="30"/>
  <c r="W96" i="30"/>
  <c r="W95" i="30"/>
  <c r="W94" i="30"/>
  <c r="W93" i="30"/>
  <c r="W92" i="30"/>
  <c r="W91" i="30"/>
  <c r="W90" i="30"/>
  <c r="W85" i="30"/>
  <c r="W84" i="30"/>
  <c r="W83" i="30"/>
  <c r="W80" i="30"/>
  <c r="W79" i="30"/>
  <c r="W78" i="30"/>
  <c r="W77" i="30"/>
  <c r="W76" i="30"/>
  <c r="W73" i="30"/>
  <c r="W72" i="30"/>
  <c r="W71" i="30"/>
  <c r="W64" i="30"/>
  <c r="W63" i="30"/>
  <c r="W62" i="30"/>
  <c r="W60" i="30"/>
  <c r="W59" i="30"/>
  <c r="W58" i="30"/>
  <c r="W57" i="30"/>
  <c r="W56" i="30"/>
  <c r="W55" i="30"/>
  <c r="W54" i="30"/>
  <c r="W53" i="30"/>
  <c r="W52" i="30"/>
  <c r="W51" i="30"/>
  <c r="W50" i="30"/>
  <c r="W49" i="30"/>
  <c r="W48" i="30"/>
  <c r="W46" i="30"/>
  <c r="W44" i="30"/>
  <c r="W43" i="30"/>
  <c r="W42" i="30"/>
  <c r="W41" i="30"/>
  <c r="W35" i="30"/>
  <c r="W34" i="30"/>
  <c r="W32" i="30"/>
  <c r="W31" i="30"/>
  <c r="W30" i="30"/>
  <c r="W29" i="30"/>
  <c r="W28" i="30"/>
  <c r="W21" i="30"/>
  <c r="W20" i="30"/>
  <c r="W19" i="30"/>
  <c r="W18" i="30"/>
  <c r="W17" i="30"/>
  <c r="W15" i="30"/>
  <c r="W14" i="30"/>
  <c r="W13" i="30"/>
  <c r="W10" i="30"/>
  <c r="W9" i="30"/>
  <c r="W8" i="30"/>
  <c r="W7" i="30"/>
  <c r="W6" i="30"/>
  <c r="W3" i="30"/>
  <c r="T400" i="30"/>
  <c r="S400" i="30"/>
  <c r="T399" i="30"/>
  <c r="S399" i="30"/>
  <c r="T398" i="30"/>
  <c r="S398" i="30"/>
  <c r="T397" i="30"/>
  <c r="S397" i="30"/>
  <c r="T396" i="30"/>
  <c r="S396" i="30"/>
  <c r="T395" i="30"/>
  <c r="S395" i="30"/>
  <c r="T394" i="30"/>
  <c r="S394" i="30"/>
  <c r="T393" i="30"/>
  <c r="S393" i="30"/>
  <c r="T392" i="30"/>
  <c r="S392" i="30"/>
  <c r="T391" i="30"/>
  <c r="S391" i="30"/>
  <c r="T390" i="30"/>
  <c r="S390" i="30"/>
  <c r="T389" i="30"/>
  <c r="S389" i="30"/>
  <c r="T388" i="30"/>
  <c r="S388" i="30"/>
  <c r="T387" i="30"/>
  <c r="S387" i="30"/>
  <c r="T386" i="30"/>
  <c r="S386" i="30"/>
  <c r="T385" i="30"/>
  <c r="S385" i="30"/>
  <c r="T384" i="30"/>
  <c r="S384" i="30"/>
  <c r="T383" i="30"/>
  <c r="S383" i="30"/>
  <c r="T382" i="30"/>
  <c r="S382" i="30"/>
  <c r="T381" i="30"/>
  <c r="S381" i="30"/>
  <c r="T380" i="30"/>
  <c r="S380" i="30"/>
  <c r="T379" i="30"/>
  <c r="S379" i="30"/>
  <c r="T378" i="30"/>
  <c r="S378" i="30"/>
  <c r="T377" i="30"/>
  <c r="S377" i="30"/>
  <c r="T376" i="30"/>
  <c r="S376" i="30"/>
  <c r="T375" i="30"/>
  <c r="S375" i="30"/>
  <c r="T374" i="30"/>
  <c r="S374" i="30"/>
  <c r="T373" i="30"/>
  <c r="S373" i="30"/>
  <c r="T372" i="30"/>
  <c r="S372" i="30"/>
  <c r="T371" i="30"/>
  <c r="S371" i="30"/>
  <c r="T370" i="30"/>
  <c r="S370" i="30"/>
  <c r="T369" i="30"/>
  <c r="S369" i="30"/>
  <c r="T368" i="30"/>
  <c r="S368" i="30"/>
  <c r="T367" i="30"/>
  <c r="S367" i="30"/>
  <c r="T366" i="30"/>
  <c r="S366" i="30"/>
  <c r="T365" i="30"/>
  <c r="S365" i="30"/>
  <c r="T364" i="30"/>
  <c r="S364" i="30"/>
  <c r="T363" i="30"/>
  <c r="S363" i="30"/>
  <c r="T362" i="30"/>
  <c r="S362" i="30"/>
  <c r="T361" i="30"/>
  <c r="S361" i="30"/>
  <c r="T360" i="30"/>
  <c r="S360" i="30"/>
  <c r="T359" i="30"/>
  <c r="S359" i="30"/>
  <c r="T358" i="30"/>
  <c r="S358" i="30"/>
  <c r="T357" i="30"/>
  <c r="S357" i="30"/>
  <c r="T356" i="30"/>
  <c r="S356" i="30"/>
  <c r="T355" i="30"/>
  <c r="S355" i="30"/>
  <c r="T354" i="30"/>
  <c r="S354" i="30"/>
  <c r="T353" i="30"/>
  <c r="S353" i="30"/>
  <c r="T352" i="30"/>
  <c r="S352" i="30"/>
  <c r="T351" i="30"/>
  <c r="S351" i="30"/>
  <c r="T350" i="30"/>
  <c r="S350" i="30"/>
  <c r="T349" i="30"/>
  <c r="S349" i="30"/>
  <c r="T348" i="30"/>
  <c r="S348" i="30"/>
  <c r="T347" i="30"/>
  <c r="S347" i="30"/>
  <c r="T346" i="30"/>
  <c r="S346" i="30"/>
  <c r="T345" i="30"/>
  <c r="S345" i="30"/>
  <c r="T344" i="30"/>
  <c r="S344" i="30"/>
  <c r="T343" i="30"/>
  <c r="S343" i="30"/>
  <c r="T342" i="30"/>
  <c r="S342" i="30"/>
  <c r="T341" i="30"/>
  <c r="S341" i="30"/>
  <c r="T340" i="30"/>
  <c r="S340" i="30"/>
  <c r="T339" i="30"/>
  <c r="S339" i="30"/>
  <c r="T338" i="30"/>
  <c r="S338" i="30"/>
  <c r="T337" i="30"/>
  <c r="S337" i="30"/>
  <c r="T336" i="30"/>
  <c r="S336" i="30"/>
  <c r="T335" i="30"/>
  <c r="S335" i="30"/>
  <c r="T334" i="30"/>
  <c r="S334" i="30"/>
  <c r="T333" i="30"/>
  <c r="S333" i="30"/>
  <c r="T332" i="30"/>
  <c r="S332" i="30"/>
  <c r="T331" i="30"/>
  <c r="S331" i="30"/>
  <c r="T330" i="30"/>
  <c r="S330" i="30"/>
  <c r="T329" i="30"/>
  <c r="S329" i="30"/>
  <c r="T328" i="30"/>
  <c r="S328" i="30"/>
  <c r="T327" i="30"/>
  <c r="S327" i="30"/>
  <c r="T326" i="30"/>
  <c r="S326" i="30"/>
  <c r="T325" i="30"/>
  <c r="S325" i="30"/>
  <c r="T324" i="30"/>
  <c r="S324" i="30"/>
  <c r="T323" i="30"/>
  <c r="S323" i="30"/>
  <c r="T322" i="30"/>
  <c r="S322" i="30"/>
  <c r="T321" i="30"/>
  <c r="S321" i="30"/>
  <c r="T320" i="30"/>
  <c r="S320" i="30"/>
  <c r="T319" i="30"/>
  <c r="S319" i="30"/>
  <c r="T318" i="30"/>
  <c r="S318" i="30"/>
  <c r="T317" i="30"/>
  <c r="S317" i="30"/>
  <c r="T316" i="30"/>
  <c r="S316" i="30"/>
  <c r="T315" i="30"/>
  <c r="S315" i="30"/>
  <c r="T314" i="30"/>
  <c r="S314" i="30"/>
  <c r="T313" i="30"/>
  <c r="S313" i="30"/>
  <c r="T312" i="30"/>
  <c r="S312" i="30"/>
  <c r="T311" i="30"/>
  <c r="S311" i="30"/>
  <c r="T310" i="30"/>
  <c r="S310" i="30"/>
  <c r="T309" i="30"/>
  <c r="S309" i="30"/>
  <c r="T308" i="30"/>
  <c r="S308" i="30"/>
  <c r="T307" i="30"/>
  <c r="S307" i="30"/>
  <c r="T306" i="30"/>
  <c r="S306" i="30"/>
  <c r="T305" i="30"/>
  <c r="S305" i="30"/>
  <c r="T304" i="30"/>
  <c r="S304" i="30"/>
  <c r="T303" i="30"/>
  <c r="S303" i="30"/>
  <c r="T302" i="30"/>
  <c r="S302" i="30"/>
  <c r="T301" i="30"/>
  <c r="S301" i="30"/>
  <c r="T300" i="30"/>
  <c r="S300" i="30"/>
  <c r="T299" i="30"/>
  <c r="S299" i="30"/>
  <c r="T298" i="30"/>
  <c r="S298" i="30"/>
  <c r="T297" i="30"/>
  <c r="S297" i="30"/>
  <c r="T296" i="30"/>
  <c r="S296" i="30"/>
  <c r="T295" i="30"/>
  <c r="S295" i="30"/>
  <c r="T294" i="30"/>
  <c r="S294" i="30"/>
  <c r="T293" i="30"/>
  <c r="S293" i="30"/>
  <c r="T292" i="30"/>
  <c r="S292" i="30"/>
  <c r="T291" i="30"/>
  <c r="S291" i="30"/>
  <c r="T290" i="30"/>
  <c r="S290" i="30"/>
  <c r="T289" i="30"/>
  <c r="S289" i="30"/>
  <c r="T288" i="30"/>
  <c r="S288" i="30"/>
  <c r="T287" i="30"/>
  <c r="S287" i="30"/>
  <c r="T286" i="30"/>
  <c r="S286" i="30"/>
  <c r="T285" i="30"/>
  <c r="S285" i="30"/>
  <c r="T284" i="30"/>
  <c r="S284" i="30"/>
  <c r="T283" i="30"/>
  <c r="S283" i="30"/>
  <c r="T282" i="30"/>
  <c r="S282" i="30"/>
  <c r="T281" i="30"/>
  <c r="S281" i="30"/>
  <c r="T280" i="30"/>
  <c r="S280" i="30"/>
  <c r="T279" i="30"/>
  <c r="S279" i="30"/>
  <c r="T278" i="30"/>
  <c r="S278" i="30"/>
  <c r="T277" i="30"/>
  <c r="S277" i="30"/>
  <c r="T276" i="30"/>
  <c r="S276" i="30"/>
  <c r="T275" i="30"/>
  <c r="S275" i="30"/>
  <c r="T274" i="30"/>
  <c r="S274" i="30"/>
  <c r="T273" i="30"/>
  <c r="S273" i="30"/>
  <c r="T272" i="30"/>
  <c r="S272" i="30"/>
  <c r="T271" i="30"/>
  <c r="S271" i="30"/>
  <c r="T270" i="30"/>
  <c r="S270" i="30"/>
  <c r="T269" i="30"/>
  <c r="S269" i="30"/>
  <c r="T268" i="30"/>
  <c r="S268" i="30"/>
  <c r="T267" i="30"/>
  <c r="S267" i="30"/>
  <c r="T266" i="30"/>
  <c r="S266" i="30"/>
  <c r="T265" i="30"/>
  <c r="S265" i="30"/>
  <c r="T264" i="30"/>
  <c r="S264" i="30"/>
  <c r="T263" i="30"/>
  <c r="S263" i="30"/>
  <c r="T262" i="30"/>
  <c r="S262" i="30"/>
  <c r="T261" i="30"/>
  <c r="S261" i="30"/>
  <c r="T260" i="30"/>
  <c r="S260" i="30"/>
  <c r="T259" i="30"/>
  <c r="S259" i="30"/>
  <c r="T258" i="30"/>
  <c r="S258" i="30"/>
  <c r="T257" i="30"/>
  <c r="S257" i="30"/>
  <c r="T256" i="30"/>
  <c r="S256" i="30"/>
  <c r="T255" i="30"/>
  <c r="S255" i="30"/>
  <c r="T254" i="30"/>
  <c r="S254" i="30"/>
  <c r="T253" i="30"/>
  <c r="S253" i="30"/>
  <c r="T252" i="30"/>
  <c r="S252" i="30"/>
  <c r="T251" i="30"/>
  <c r="S251" i="30"/>
  <c r="T250" i="30"/>
  <c r="S250" i="30"/>
  <c r="T249" i="30"/>
  <c r="S249" i="30"/>
  <c r="T248" i="30"/>
  <c r="S248" i="30"/>
  <c r="T247" i="30"/>
  <c r="S247" i="30"/>
  <c r="T246" i="30"/>
  <c r="S246" i="30"/>
  <c r="T245" i="30"/>
  <c r="S245" i="30"/>
  <c r="T244" i="30"/>
  <c r="S244" i="30"/>
  <c r="T243" i="30"/>
  <c r="S243" i="30"/>
  <c r="T242" i="30"/>
  <c r="S242" i="30"/>
  <c r="T241" i="30"/>
  <c r="S241" i="30"/>
  <c r="T240" i="30"/>
  <c r="S240" i="30"/>
  <c r="T239" i="30"/>
  <c r="S239" i="30"/>
  <c r="T238" i="30"/>
  <c r="S238" i="30"/>
  <c r="T237" i="30"/>
  <c r="S237" i="30"/>
  <c r="T236" i="30"/>
  <c r="S236" i="30"/>
  <c r="T235" i="30"/>
  <c r="S235" i="30"/>
  <c r="T234" i="30"/>
  <c r="S234" i="30"/>
  <c r="T233" i="30"/>
  <c r="S233" i="30"/>
  <c r="T232" i="30"/>
  <c r="S232" i="30"/>
  <c r="T231" i="30"/>
  <c r="S231" i="30"/>
  <c r="T230" i="30"/>
  <c r="S230" i="30"/>
  <c r="T229" i="30"/>
  <c r="S229" i="30"/>
  <c r="T228" i="30"/>
  <c r="S228" i="30"/>
  <c r="T227" i="30"/>
  <c r="S227" i="30"/>
  <c r="T226" i="30"/>
  <c r="S226" i="30"/>
  <c r="T225" i="30"/>
  <c r="S225" i="30"/>
  <c r="T224" i="30"/>
  <c r="S224" i="30"/>
  <c r="T223" i="30"/>
  <c r="S223" i="30"/>
  <c r="T222" i="30"/>
  <c r="S222" i="30"/>
  <c r="T221" i="30"/>
  <c r="S221" i="30"/>
  <c r="T220" i="30"/>
  <c r="S220" i="30"/>
  <c r="T219" i="30"/>
  <c r="S219" i="30"/>
  <c r="T218" i="30"/>
  <c r="S218" i="30"/>
  <c r="T217" i="30"/>
  <c r="S217" i="30"/>
  <c r="T216" i="30"/>
  <c r="S216" i="30"/>
  <c r="T215" i="30"/>
  <c r="S215" i="30"/>
  <c r="T214" i="30"/>
  <c r="S214" i="30"/>
  <c r="T213" i="30"/>
  <c r="S213" i="30"/>
  <c r="T212" i="30"/>
  <c r="S212" i="30"/>
  <c r="T211" i="30"/>
  <c r="S211" i="30"/>
  <c r="T210" i="30"/>
  <c r="S210" i="30"/>
  <c r="T209" i="30"/>
  <c r="S209" i="30"/>
  <c r="T208" i="30"/>
  <c r="S208" i="30"/>
  <c r="T207" i="30"/>
  <c r="S207" i="30"/>
  <c r="T206" i="30"/>
  <c r="S206" i="30"/>
  <c r="T205" i="30"/>
  <c r="S205" i="30"/>
  <c r="T204" i="30"/>
  <c r="S204" i="30"/>
  <c r="T203" i="30"/>
  <c r="S203" i="30"/>
  <c r="T202" i="30"/>
  <c r="S202" i="30"/>
  <c r="T201" i="30"/>
  <c r="S201" i="30"/>
  <c r="T200" i="30"/>
  <c r="S200" i="30"/>
  <c r="T199" i="30"/>
  <c r="S199" i="30"/>
  <c r="T198" i="30"/>
  <c r="S198" i="30"/>
  <c r="T197" i="30"/>
  <c r="S197" i="30"/>
  <c r="T196" i="30"/>
  <c r="S196" i="30"/>
  <c r="T195" i="30"/>
  <c r="S195" i="30"/>
  <c r="T194" i="30"/>
  <c r="S194" i="30"/>
  <c r="T193" i="30"/>
  <c r="S193" i="30"/>
  <c r="T192" i="30"/>
  <c r="S192" i="30"/>
  <c r="T191" i="30"/>
  <c r="S191" i="30"/>
  <c r="T190" i="30"/>
  <c r="S190" i="30"/>
  <c r="T189" i="30"/>
  <c r="S189" i="30"/>
  <c r="T188" i="30"/>
  <c r="S188" i="30"/>
  <c r="T187" i="30"/>
  <c r="S187" i="30"/>
  <c r="T186" i="30"/>
  <c r="S186" i="30"/>
  <c r="T185" i="30"/>
  <c r="S185" i="30"/>
  <c r="T184" i="30"/>
  <c r="S184" i="30"/>
  <c r="T183" i="30"/>
  <c r="S183" i="30"/>
  <c r="T182" i="30"/>
  <c r="S182" i="30"/>
  <c r="T181" i="30"/>
  <c r="S181" i="30"/>
  <c r="T180" i="30"/>
  <c r="S180" i="30"/>
  <c r="T179" i="30"/>
  <c r="S179" i="30"/>
  <c r="T178" i="30"/>
  <c r="S178" i="30"/>
  <c r="T177" i="30"/>
  <c r="S177" i="30"/>
  <c r="T176" i="30"/>
  <c r="S176" i="30"/>
  <c r="T175" i="30"/>
  <c r="S175" i="30"/>
  <c r="T174" i="30"/>
  <c r="S174" i="30"/>
  <c r="T173" i="30"/>
  <c r="S173" i="30"/>
  <c r="T172" i="30"/>
  <c r="S172" i="30"/>
  <c r="T171" i="30"/>
  <c r="S171" i="30"/>
  <c r="T170" i="30"/>
  <c r="S170" i="30"/>
  <c r="T169" i="30"/>
  <c r="S169" i="30"/>
  <c r="T168" i="30"/>
  <c r="S168" i="30"/>
  <c r="T167" i="30"/>
  <c r="S167" i="30"/>
  <c r="T166" i="30"/>
  <c r="S166" i="30"/>
  <c r="T165" i="30"/>
  <c r="S165" i="30"/>
  <c r="T164" i="30"/>
  <c r="S164" i="30"/>
  <c r="T163" i="30"/>
  <c r="S163" i="30"/>
  <c r="T162" i="30"/>
  <c r="S162" i="30"/>
  <c r="T161" i="30"/>
  <c r="S161" i="30"/>
  <c r="T160" i="30"/>
  <c r="S160" i="30"/>
  <c r="T159" i="30"/>
  <c r="S159" i="30"/>
  <c r="T158" i="30"/>
  <c r="S158" i="30"/>
  <c r="T157" i="30"/>
  <c r="S157" i="30"/>
  <c r="T156" i="30"/>
  <c r="S156" i="30"/>
  <c r="T155" i="30"/>
  <c r="S155" i="30"/>
  <c r="T154" i="30"/>
  <c r="S154" i="30"/>
  <c r="T153" i="30"/>
  <c r="S153" i="30"/>
  <c r="S152" i="30"/>
  <c r="S150" i="30"/>
  <c r="S149" i="30"/>
  <c r="S147" i="30"/>
  <c r="S146" i="30"/>
  <c r="S145" i="30"/>
  <c r="S144" i="30"/>
  <c r="S143" i="30"/>
  <c r="S141" i="30"/>
  <c r="S140" i="30"/>
  <c r="S139" i="30"/>
  <c r="S137" i="30"/>
  <c r="S136" i="30"/>
  <c r="S135" i="30"/>
  <c r="S134" i="30"/>
  <c r="S128" i="30"/>
  <c r="S127" i="30"/>
  <c r="S126" i="30"/>
  <c r="S125" i="30"/>
  <c r="S124" i="30"/>
  <c r="S123" i="30"/>
  <c r="S122" i="30"/>
  <c r="S120" i="30"/>
  <c r="S119" i="30"/>
  <c r="S118" i="30"/>
  <c r="S115" i="30"/>
  <c r="S114" i="30"/>
  <c r="S113" i="30"/>
  <c r="S110" i="30"/>
  <c r="S109" i="30"/>
  <c r="S108" i="30"/>
  <c r="S107" i="30"/>
  <c r="S106" i="30"/>
  <c r="S105" i="30"/>
  <c r="S103" i="30"/>
  <c r="S102" i="30"/>
  <c r="S101" i="30"/>
  <c r="S100" i="30"/>
  <c r="S99" i="30"/>
  <c r="S98" i="30"/>
  <c r="S97" i="30"/>
  <c r="S96" i="30"/>
  <c r="S95" i="30"/>
  <c r="S94" i="30"/>
  <c r="S93" i="30"/>
  <c r="S92" i="30"/>
  <c r="S91" i="30"/>
  <c r="S90" i="30"/>
  <c r="S85" i="30"/>
  <c r="S84" i="30"/>
  <c r="S83" i="30"/>
  <c r="S80" i="30"/>
  <c r="S79" i="30"/>
  <c r="S78" i="30"/>
  <c r="S77" i="30"/>
  <c r="S76" i="30"/>
  <c r="S73" i="30"/>
  <c r="S72" i="30"/>
  <c r="S71" i="30"/>
  <c r="S64" i="30"/>
  <c r="S63" i="30"/>
  <c r="S62" i="30"/>
  <c r="S60" i="30"/>
  <c r="S59" i="30"/>
  <c r="S58" i="30"/>
  <c r="S57" i="30"/>
  <c r="S56" i="30"/>
  <c r="S55" i="30"/>
  <c r="S54" i="30"/>
  <c r="S53" i="30"/>
  <c r="S52" i="30"/>
  <c r="S51" i="30"/>
  <c r="S50" i="30"/>
  <c r="S49" i="30"/>
  <c r="S48" i="30"/>
  <c r="S46" i="30"/>
  <c r="S44" i="30"/>
  <c r="S43" i="30"/>
  <c r="S42" i="30"/>
  <c r="S41" i="30"/>
  <c r="S35" i="30"/>
  <c r="S34" i="30"/>
  <c r="S32" i="30"/>
  <c r="S31" i="30"/>
  <c r="S30" i="30"/>
  <c r="S29" i="30"/>
  <c r="S28" i="30"/>
  <c r="S21" i="30"/>
  <c r="S20" i="30"/>
  <c r="S19" i="30"/>
  <c r="S18" i="30"/>
  <c r="S17" i="30"/>
  <c r="S15" i="30"/>
  <c r="S14" i="30"/>
  <c r="S13" i="30"/>
  <c r="S10" i="30"/>
  <c r="S9" i="30"/>
  <c r="S8" i="30"/>
  <c r="S7" i="30"/>
  <c r="S6" i="30"/>
  <c r="S3" i="30"/>
  <c r="P400" i="30"/>
  <c r="O400" i="30"/>
  <c r="P399" i="30"/>
  <c r="O399" i="30"/>
  <c r="P398" i="30"/>
  <c r="O398" i="30"/>
  <c r="P397" i="30"/>
  <c r="O397" i="30"/>
  <c r="P396" i="30"/>
  <c r="O396" i="30"/>
  <c r="P395" i="30"/>
  <c r="O395" i="30"/>
  <c r="P394" i="30"/>
  <c r="O394" i="30"/>
  <c r="P393" i="30"/>
  <c r="O393" i="30"/>
  <c r="P392" i="30"/>
  <c r="O392" i="30"/>
  <c r="P391" i="30"/>
  <c r="O391" i="30"/>
  <c r="P390" i="30"/>
  <c r="O390" i="30"/>
  <c r="P389" i="30"/>
  <c r="O389" i="30"/>
  <c r="P388" i="30"/>
  <c r="O388" i="30"/>
  <c r="P387" i="30"/>
  <c r="O387" i="30"/>
  <c r="P386" i="30"/>
  <c r="O386" i="30"/>
  <c r="P385" i="30"/>
  <c r="O385" i="30"/>
  <c r="P384" i="30"/>
  <c r="O384" i="30"/>
  <c r="P383" i="30"/>
  <c r="O383" i="30"/>
  <c r="P382" i="30"/>
  <c r="O382" i="30"/>
  <c r="P381" i="30"/>
  <c r="O381" i="30"/>
  <c r="P380" i="30"/>
  <c r="O380" i="30"/>
  <c r="P379" i="30"/>
  <c r="O379" i="30"/>
  <c r="P378" i="30"/>
  <c r="O378" i="30"/>
  <c r="P377" i="30"/>
  <c r="O377" i="30"/>
  <c r="P376" i="30"/>
  <c r="O376" i="30"/>
  <c r="P375" i="30"/>
  <c r="O375" i="30"/>
  <c r="P374" i="30"/>
  <c r="O374" i="30"/>
  <c r="P373" i="30"/>
  <c r="O373" i="30"/>
  <c r="P372" i="30"/>
  <c r="O372" i="30"/>
  <c r="P371" i="30"/>
  <c r="O371" i="30"/>
  <c r="P370" i="30"/>
  <c r="O370" i="30"/>
  <c r="P369" i="30"/>
  <c r="O369" i="30"/>
  <c r="P368" i="30"/>
  <c r="O368" i="30"/>
  <c r="P367" i="30"/>
  <c r="O367" i="30"/>
  <c r="P366" i="30"/>
  <c r="O366" i="30"/>
  <c r="P365" i="30"/>
  <c r="O365" i="30"/>
  <c r="P364" i="30"/>
  <c r="O364" i="30"/>
  <c r="P363" i="30"/>
  <c r="O363" i="30"/>
  <c r="P362" i="30"/>
  <c r="O362" i="30"/>
  <c r="P361" i="30"/>
  <c r="O361" i="30"/>
  <c r="P360" i="30"/>
  <c r="O360" i="30"/>
  <c r="P359" i="30"/>
  <c r="O359" i="30"/>
  <c r="P358" i="30"/>
  <c r="O358" i="30"/>
  <c r="P357" i="30"/>
  <c r="O357" i="30"/>
  <c r="P356" i="30"/>
  <c r="O356" i="30"/>
  <c r="P355" i="30"/>
  <c r="O355" i="30"/>
  <c r="P354" i="30"/>
  <c r="O354" i="30"/>
  <c r="P353" i="30"/>
  <c r="O353" i="30"/>
  <c r="P352" i="30"/>
  <c r="O352" i="30"/>
  <c r="P351" i="30"/>
  <c r="O351" i="30"/>
  <c r="P350" i="30"/>
  <c r="O350" i="30"/>
  <c r="P349" i="30"/>
  <c r="O349" i="30"/>
  <c r="P348" i="30"/>
  <c r="O348" i="30"/>
  <c r="P347" i="30"/>
  <c r="O347" i="30"/>
  <c r="P346" i="30"/>
  <c r="O346" i="30"/>
  <c r="P345" i="30"/>
  <c r="O345" i="30"/>
  <c r="P344" i="30"/>
  <c r="O344" i="30"/>
  <c r="P343" i="30"/>
  <c r="O343" i="30"/>
  <c r="P342" i="30"/>
  <c r="O342" i="30"/>
  <c r="P341" i="30"/>
  <c r="O341" i="30"/>
  <c r="P340" i="30"/>
  <c r="O340" i="30"/>
  <c r="P339" i="30"/>
  <c r="O339" i="30"/>
  <c r="P338" i="30"/>
  <c r="O338" i="30"/>
  <c r="P337" i="30"/>
  <c r="O337" i="30"/>
  <c r="P336" i="30"/>
  <c r="O336" i="30"/>
  <c r="P335" i="30"/>
  <c r="O335" i="30"/>
  <c r="P334" i="30"/>
  <c r="O334" i="30"/>
  <c r="P333" i="30"/>
  <c r="O333" i="30"/>
  <c r="P332" i="30"/>
  <c r="O332" i="30"/>
  <c r="P331" i="30"/>
  <c r="O331" i="30"/>
  <c r="P330" i="30"/>
  <c r="O330" i="30"/>
  <c r="P329" i="30"/>
  <c r="O329" i="30"/>
  <c r="P328" i="30"/>
  <c r="O328" i="30"/>
  <c r="P327" i="30"/>
  <c r="O327" i="30"/>
  <c r="P326" i="30"/>
  <c r="O326" i="30"/>
  <c r="P325" i="30"/>
  <c r="O325" i="30"/>
  <c r="P324" i="30"/>
  <c r="O324" i="30"/>
  <c r="P323" i="30"/>
  <c r="O323" i="30"/>
  <c r="P322" i="30"/>
  <c r="O322" i="30"/>
  <c r="P321" i="30"/>
  <c r="O321" i="30"/>
  <c r="P320" i="30"/>
  <c r="O320" i="30"/>
  <c r="P319" i="30"/>
  <c r="O319" i="30"/>
  <c r="P318" i="30"/>
  <c r="O318" i="30"/>
  <c r="P317" i="30"/>
  <c r="O317" i="30"/>
  <c r="P316" i="30"/>
  <c r="O316" i="30"/>
  <c r="P315" i="30"/>
  <c r="O315" i="30"/>
  <c r="P314" i="30"/>
  <c r="O314" i="30"/>
  <c r="P313" i="30"/>
  <c r="O313" i="30"/>
  <c r="P312" i="30"/>
  <c r="O312" i="30"/>
  <c r="P311" i="30"/>
  <c r="O311" i="30"/>
  <c r="P310" i="30"/>
  <c r="O310" i="30"/>
  <c r="P309" i="30"/>
  <c r="O309" i="30"/>
  <c r="P308" i="30"/>
  <c r="O308" i="30"/>
  <c r="P307" i="30"/>
  <c r="O307" i="30"/>
  <c r="P306" i="30"/>
  <c r="O306" i="30"/>
  <c r="P305" i="30"/>
  <c r="O305" i="30"/>
  <c r="P304" i="30"/>
  <c r="O304" i="30"/>
  <c r="P303" i="30"/>
  <c r="O303" i="30"/>
  <c r="P302" i="30"/>
  <c r="O302" i="30"/>
  <c r="P301" i="30"/>
  <c r="O301" i="30"/>
  <c r="P300" i="30"/>
  <c r="O300" i="30"/>
  <c r="P299" i="30"/>
  <c r="O299" i="30"/>
  <c r="P298" i="30"/>
  <c r="O298" i="30"/>
  <c r="P297" i="30"/>
  <c r="O297" i="30"/>
  <c r="P296" i="30"/>
  <c r="O296" i="30"/>
  <c r="P295" i="30"/>
  <c r="O295" i="30"/>
  <c r="P294" i="30"/>
  <c r="O294" i="30"/>
  <c r="P293" i="30"/>
  <c r="O293" i="30"/>
  <c r="P292" i="30"/>
  <c r="O292" i="30"/>
  <c r="P291" i="30"/>
  <c r="O291" i="30"/>
  <c r="P290" i="30"/>
  <c r="O290" i="30"/>
  <c r="P289" i="30"/>
  <c r="O289" i="30"/>
  <c r="P288" i="30"/>
  <c r="O288" i="30"/>
  <c r="P287" i="30"/>
  <c r="O287" i="30"/>
  <c r="P286" i="30"/>
  <c r="O286" i="30"/>
  <c r="P285" i="30"/>
  <c r="O285" i="30"/>
  <c r="P284" i="30"/>
  <c r="O284" i="30"/>
  <c r="P283" i="30"/>
  <c r="O283" i="30"/>
  <c r="P282" i="30"/>
  <c r="O282" i="30"/>
  <c r="P281" i="30"/>
  <c r="O281" i="30"/>
  <c r="P280" i="30"/>
  <c r="O280" i="30"/>
  <c r="P279" i="30"/>
  <c r="O279" i="30"/>
  <c r="P278" i="30"/>
  <c r="O278" i="30"/>
  <c r="P277" i="30"/>
  <c r="O277" i="30"/>
  <c r="P276" i="30"/>
  <c r="O276" i="30"/>
  <c r="P275" i="30"/>
  <c r="O275" i="30"/>
  <c r="P274" i="30"/>
  <c r="O274" i="30"/>
  <c r="P273" i="30"/>
  <c r="O273" i="30"/>
  <c r="P272" i="30"/>
  <c r="O272" i="30"/>
  <c r="P271" i="30"/>
  <c r="O271" i="30"/>
  <c r="P270" i="30"/>
  <c r="O270" i="30"/>
  <c r="P269" i="30"/>
  <c r="O269" i="30"/>
  <c r="P268" i="30"/>
  <c r="O268" i="30"/>
  <c r="P267" i="30"/>
  <c r="O267" i="30"/>
  <c r="P266" i="30"/>
  <c r="O266" i="30"/>
  <c r="P265" i="30"/>
  <c r="O265" i="30"/>
  <c r="P264" i="30"/>
  <c r="O264" i="30"/>
  <c r="P263" i="30"/>
  <c r="O263" i="30"/>
  <c r="P262" i="30"/>
  <c r="O262" i="30"/>
  <c r="P261" i="30"/>
  <c r="O261" i="30"/>
  <c r="P260" i="30"/>
  <c r="O260" i="30"/>
  <c r="P259" i="30"/>
  <c r="O259" i="30"/>
  <c r="P258" i="30"/>
  <c r="O258" i="30"/>
  <c r="P257" i="30"/>
  <c r="O257" i="30"/>
  <c r="P256" i="30"/>
  <c r="O256" i="30"/>
  <c r="P255" i="30"/>
  <c r="O255" i="30"/>
  <c r="P254" i="30"/>
  <c r="O254" i="30"/>
  <c r="P253" i="30"/>
  <c r="O253" i="30"/>
  <c r="P252" i="30"/>
  <c r="O252" i="30"/>
  <c r="P251" i="30"/>
  <c r="O251" i="30"/>
  <c r="P250" i="30"/>
  <c r="O250" i="30"/>
  <c r="P249" i="30"/>
  <c r="O249" i="30"/>
  <c r="P248" i="30"/>
  <c r="O248" i="30"/>
  <c r="P247" i="30"/>
  <c r="O247" i="30"/>
  <c r="P246" i="30"/>
  <c r="O246" i="30"/>
  <c r="P245" i="30"/>
  <c r="O245" i="30"/>
  <c r="P244" i="30"/>
  <c r="O244" i="30"/>
  <c r="P243" i="30"/>
  <c r="O243" i="30"/>
  <c r="P242" i="30"/>
  <c r="O242" i="30"/>
  <c r="P241" i="30"/>
  <c r="O241" i="30"/>
  <c r="P240" i="30"/>
  <c r="O240" i="30"/>
  <c r="P239" i="30"/>
  <c r="O239" i="30"/>
  <c r="P238" i="30"/>
  <c r="O238" i="30"/>
  <c r="P237" i="30"/>
  <c r="O237" i="30"/>
  <c r="P236" i="30"/>
  <c r="O236" i="30"/>
  <c r="P235" i="30"/>
  <c r="O235" i="30"/>
  <c r="P234" i="30"/>
  <c r="O234" i="30"/>
  <c r="P233" i="30"/>
  <c r="O233" i="30"/>
  <c r="P232" i="30"/>
  <c r="O232" i="30"/>
  <c r="P231" i="30"/>
  <c r="O231" i="30"/>
  <c r="P230" i="30"/>
  <c r="O230" i="30"/>
  <c r="P229" i="30"/>
  <c r="O229" i="30"/>
  <c r="P228" i="30"/>
  <c r="O228" i="30"/>
  <c r="P227" i="30"/>
  <c r="O227" i="30"/>
  <c r="P226" i="30"/>
  <c r="O226" i="30"/>
  <c r="P225" i="30"/>
  <c r="O225" i="30"/>
  <c r="P224" i="30"/>
  <c r="O224" i="30"/>
  <c r="P223" i="30"/>
  <c r="O223" i="30"/>
  <c r="P222" i="30"/>
  <c r="O222" i="30"/>
  <c r="P221" i="30"/>
  <c r="O221" i="30"/>
  <c r="P220" i="30"/>
  <c r="O220" i="30"/>
  <c r="P219" i="30"/>
  <c r="O219" i="30"/>
  <c r="P218" i="30"/>
  <c r="O218" i="30"/>
  <c r="P217" i="30"/>
  <c r="O217" i="30"/>
  <c r="P216" i="30"/>
  <c r="O216" i="30"/>
  <c r="P215" i="30"/>
  <c r="O215" i="30"/>
  <c r="P214" i="30"/>
  <c r="O214" i="30"/>
  <c r="P213" i="30"/>
  <c r="O213" i="30"/>
  <c r="P212" i="30"/>
  <c r="O212" i="30"/>
  <c r="P211" i="30"/>
  <c r="O211" i="30"/>
  <c r="P210" i="30"/>
  <c r="O210" i="30"/>
  <c r="P209" i="30"/>
  <c r="O209" i="30"/>
  <c r="P208" i="30"/>
  <c r="O208" i="30"/>
  <c r="P207" i="30"/>
  <c r="O207" i="30"/>
  <c r="P206" i="30"/>
  <c r="O206" i="30"/>
  <c r="P205" i="30"/>
  <c r="O205" i="30"/>
  <c r="P204" i="30"/>
  <c r="O204" i="30"/>
  <c r="P203" i="30"/>
  <c r="O203" i="30"/>
  <c r="P202" i="30"/>
  <c r="O202" i="30"/>
  <c r="P201" i="30"/>
  <c r="O201" i="30"/>
  <c r="P200" i="30"/>
  <c r="O200" i="30"/>
  <c r="P199" i="30"/>
  <c r="O199" i="30"/>
  <c r="P198" i="30"/>
  <c r="O198" i="30"/>
  <c r="P197" i="30"/>
  <c r="O197" i="30"/>
  <c r="P196" i="30"/>
  <c r="O196" i="30"/>
  <c r="P195" i="30"/>
  <c r="O195" i="30"/>
  <c r="P194" i="30"/>
  <c r="O194" i="30"/>
  <c r="P193" i="30"/>
  <c r="O193" i="30"/>
  <c r="P192" i="30"/>
  <c r="O192" i="30"/>
  <c r="P191" i="30"/>
  <c r="O191" i="30"/>
  <c r="P190" i="30"/>
  <c r="O190" i="30"/>
  <c r="P189" i="30"/>
  <c r="O189" i="30"/>
  <c r="P188" i="30"/>
  <c r="O188" i="30"/>
  <c r="P187" i="30"/>
  <c r="O187" i="30"/>
  <c r="P186" i="30"/>
  <c r="O186" i="30"/>
  <c r="P185" i="30"/>
  <c r="O185" i="30"/>
  <c r="P184" i="30"/>
  <c r="O184" i="30"/>
  <c r="P183" i="30"/>
  <c r="O183" i="30"/>
  <c r="P182" i="30"/>
  <c r="O182" i="30"/>
  <c r="P181" i="30"/>
  <c r="O181" i="30"/>
  <c r="P180" i="30"/>
  <c r="O180" i="30"/>
  <c r="P179" i="30"/>
  <c r="O179" i="30"/>
  <c r="P178" i="30"/>
  <c r="O178" i="30"/>
  <c r="P177" i="30"/>
  <c r="O177" i="30"/>
  <c r="P176" i="30"/>
  <c r="O176" i="30"/>
  <c r="P175" i="30"/>
  <c r="O175" i="30"/>
  <c r="P174" i="30"/>
  <c r="O174" i="30"/>
  <c r="P173" i="30"/>
  <c r="O173" i="30"/>
  <c r="P172" i="30"/>
  <c r="O172" i="30"/>
  <c r="P171" i="30"/>
  <c r="O171" i="30"/>
  <c r="P170" i="30"/>
  <c r="O170" i="30"/>
  <c r="P169" i="30"/>
  <c r="O169" i="30"/>
  <c r="P168" i="30"/>
  <c r="O168" i="30"/>
  <c r="P167" i="30"/>
  <c r="O167" i="30"/>
  <c r="P166" i="30"/>
  <c r="O166" i="30"/>
  <c r="P165" i="30"/>
  <c r="O165" i="30"/>
  <c r="P164" i="30"/>
  <c r="O164" i="30"/>
  <c r="P163" i="30"/>
  <c r="O163" i="30"/>
  <c r="P162" i="30"/>
  <c r="O162" i="30"/>
  <c r="P161" i="30"/>
  <c r="O161" i="30"/>
  <c r="P160" i="30"/>
  <c r="O160" i="30"/>
  <c r="P159" i="30"/>
  <c r="O159" i="30"/>
  <c r="P158" i="30"/>
  <c r="O158" i="30"/>
  <c r="P157" i="30"/>
  <c r="O157" i="30"/>
  <c r="P156" i="30"/>
  <c r="O156" i="30"/>
  <c r="P155" i="30"/>
  <c r="O155" i="30"/>
  <c r="P154" i="30"/>
  <c r="O154" i="30"/>
  <c r="P153" i="30"/>
  <c r="O153" i="30"/>
  <c r="O152" i="30"/>
  <c r="O150" i="30"/>
  <c r="O149" i="30"/>
  <c r="O147" i="30"/>
  <c r="O146" i="30"/>
  <c r="O145" i="30"/>
  <c r="O144" i="30"/>
  <c r="O143" i="30"/>
  <c r="O141" i="30"/>
  <c r="O140" i="30"/>
  <c r="O139" i="30"/>
  <c r="O137" i="30"/>
  <c r="O136" i="30"/>
  <c r="O135" i="30"/>
  <c r="O134" i="30"/>
  <c r="O128" i="30"/>
  <c r="O127" i="30"/>
  <c r="O126" i="30"/>
  <c r="O125" i="30"/>
  <c r="O124" i="30"/>
  <c r="O123" i="30"/>
  <c r="O122" i="30"/>
  <c r="O120" i="30"/>
  <c r="O119" i="30"/>
  <c r="O118" i="30"/>
  <c r="O115" i="30"/>
  <c r="O114" i="30"/>
  <c r="O113" i="30"/>
  <c r="O110" i="30"/>
  <c r="O109" i="30"/>
  <c r="O108" i="30"/>
  <c r="O107" i="30"/>
  <c r="O106" i="30"/>
  <c r="O105" i="30"/>
  <c r="O103" i="30"/>
  <c r="O102" i="30"/>
  <c r="O101" i="30"/>
  <c r="O100" i="30"/>
  <c r="O99" i="30"/>
  <c r="O98" i="30"/>
  <c r="O97" i="30"/>
  <c r="O96" i="30"/>
  <c r="O95" i="30"/>
  <c r="O94" i="30"/>
  <c r="O93" i="30"/>
  <c r="O92" i="30"/>
  <c r="O91" i="30"/>
  <c r="O90" i="30"/>
  <c r="O85" i="30"/>
  <c r="O84" i="30"/>
  <c r="O83" i="30"/>
  <c r="O80" i="30"/>
  <c r="O79" i="30"/>
  <c r="O78" i="30"/>
  <c r="O77" i="30"/>
  <c r="O76" i="30"/>
  <c r="O73" i="30"/>
  <c r="O72" i="30"/>
  <c r="O71" i="30"/>
  <c r="O64" i="30"/>
  <c r="O63" i="30"/>
  <c r="O62" i="30"/>
  <c r="O60" i="30"/>
  <c r="O59" i="30"/>
  <c r="O58" i="30"/>
  <c r="O57" i="30"/>
  <c r="O56" i="30"/>
  <c r="O55" i="30"/>
  <c r="O54" i="30"/>
  <c r="O53" i="30"/>
  <c r="O52" i="30"/>
  <c r="O51" i="30"/>
  <c r="O50" i="30"/>
  <c r="O49" i="30"/>
  <c r="O48" i="30"/>
  <c r="O46" i="30"/>
  <c r="O44" i="30"/>
  <c r="O43" i="30"/>
  <c r="O42" i="30"/>
  <c r="O41" i="30"/>
  <c r="O35" i="30"/>
  <c r="O34" i="30"/>
  <c r="O32" i="30"/>
  <c r="O31" i="30"/>
  <c r="O30" i="30"/>
  <c r="O29" i="30"/>
  <c r="O28" i="30"/>
  <c r="O21" i="30"/>
  <c r="O20" i="30"/>
  <c r="O19" i="30"/>
  <c r="O18" i="30"/>
  <c r="O17" i="30"/>
  <c r="O15" i="30"/>
  <c r="O14" i="30"/>
  <c r="O13" i="30"/>
  <c r="O10" i="30"/>
  <c r="O9" i="30"/>
  <c r="O8" i="30"/>
  <c r="O7" i="30"/>
  <c r="O6" i="30"/>
  <c r="O3" i="30"/>
  <c r="L400" i="30"/>
  <c r="K400" i="30"/>
  <c r="L399" i="30"/>
  <c r="K399" i="30"/>
  <c r="L398" i="30"/>
  <c r="K398" i="30"/>
  <c r="L397" i="30"/>
  <c r="K397" i="30"/>
  <c r="L396" i="30"/>
  <c r="K396" i="30"/>
  <c r="L395" i="30"/>
  <c r="K395" i="30"/>
  <c r="L394" i="30"/>
  <c r="K394" i="30"/>
  <c r="L393" i="30"/>
  <c r="K393" i="30"/>
  <c r="L392" i="30"/>
  <c r="K392" i="30"/>
  <c r="L391" i="30"/>
  <c r="K391" i="30"/>
  <c r="L390" i="30"/>
  <c r="K390" i="30"/>
  <c r="L389" i="30"/>
  <c r="K389" i="30"/>
  <c r="L388" i="30"/>
  <c r="K388" i="30"/>
  <c r="L387" i="30"/>
  <c r="K387" i="30"/>
  <c r="L386" i="30"/>
  <c r="K386" i="30"/>
  <c r="L385" i="30"/>
  <c r="K385" i="30"/>
  <c r="L384" i="30"/>
  <c r="K384" i="30"/>
  <c r="L383" i="30"/>
  <c r="K383" i="30"/>
  <c r="L382" i="30"/>
  <c r="K382" i="30"/>
  <c r="L381" i="30"/>
  <c r="K381" i="30"/>
  <c r="L380" i="30"/>
  <c r="K380" i="30"/>
  <c r="L379" i="30"/>
  <c r="K379" i="30"/>
  <c r="L378" i="30"/>
  <c r="K378" i="30"/>
  <c r="L377" i="30"/>
  <c r="K377" i="30"/>
  <c r="L376" i="30"/>
  <c r="K376" i="30"/>
  <c r="L375" i="30"/>
  <c r="K375" i="30"/>
  <c r="L374" i="30"/>
  <c r="K374" i="30"/>
  <c r="L373" i="30"/>
  <c r="K373" i="30"/>
  <c r="L372" i="30"/>
  <c r="K372" i="30"/>
  <c r="L371" i="30"/>
  <c r="K371" i="30"/>
  <c r="L370" i="30"/>
  <c r="K370" i="30"/>
  <c r="L369" i="30"/>
  <c r="K369" i="30"/>
  <c r="L368" i="30"/>
  <c r="K368" i="30"/>
  <c r="L367" i="30"/>
  <c r="K367" i="30"/>
  <c r="L366" i="30"/>
  <c r="K366" i="30"/>
  <c r="L365" i="30"/>
  <c r="K365" i="30"/>
  <c r="L364" i="30"/>
  <c r="K364" i="30"/>
  <c r="L363" i="30"/>
  <c r="K363" i="30"/>
  <c r="L362" i="30"/>
  <c r="K362" i="30"/>
  <c r="L361" i="30"/>
  <c r="K361" i="30"/>
  <c r="L360" i="30"/>
  <c r="K360" i="30"/>
  <c r="L359" i="30"/>
  <c r="K359" i="30"/>
  <c r="L358" i="30"/>
  <c r="K358" i="30"/>
  <c r="L357" i="30"/>
  <c r="K357" i="30"/>
  <c r="L356" i="30"/>
  <c r="K356" i="30"/>
  <c r="L355" i="30"/>
  <c r="K355" i="30"/>
  <c r="L354" i="30"/>
  <c r="K354" i="30"/>
  <c r="L353" i="30"/>
  <c r="K353" i="30"/>
  <c r="L352" i="30"/>
  <c r="K352" i="30"/>
  <c r="L351" i="30"/>
  <c r="K351" i="30"/>
  <c r="L350" i="30"/>
  <c r="K350" i="30"/>
  <c r="L349" i="30"/>
  <c r="K349" i="30"/>
  <c r="L348" i="30"/>
  <c r="K348" i="30"/>
  <c r="L347" i="30"/>
  <c r="K347" i="30"/>
  <c r="L346" i="30"/>
  <c r="K346" i="30"/>
  <c r="L345" i="30"/>
  <c r="K345" i="30"/>
  <c r="L344" i="30"/>
  <c r="K344" i="30"/>
  <c r="L343" i="30"/>
  <c r="K343" i="30"/>
  <c r="L342" i="30"/>
  <c r="K342" i="30"/>
  <c r="L341" i="30"/>
  <c r="K341" i="30"/>
  <c r="L340" i="30"/>
  <c r="K340" i="30"/>
  <c r="L339" i="30"/>
  <c r="K339" i="30"/>
  <c r="L338" i="30"/>
  <c r="K338" i="30"/>
  <c r="L337" i="30"/>
  <c r="K337" i="30"/>
  <c r="L336" i="30"/>
  <c r="K336" i="30"/>
  <c r="L335" i="30"/>
  <c r="K335" i="30"/>
  <c r="L334" i="30"/>
  <c r="K334" i="30"/>
  <c r="L333" i="30"/>
  <c r="K333" i="30"/>
  <c r="L332" i="30"/>
  <c r="K332" i="30"/>
  <c r="L331" i="30"/>
  <c r="K331" i="30"/>
  <c r="L330" i="30"/>
  <c r="K330" i="30"/>
  <c r="L329" i="30"/>
  <c r="K329" i="30"/>
  <c r="L328" i="30"/>
  <c r="K328" i="30"/>
  <c r="L327" i="30"/>
  <c r="K327" i="30"/>
  <c r="L326" i="30"/>
  <c r="K326" i="30"/>
  <c r="L325" i="30"/>
  <c r="K325" i="30"/>
  <c r="L324" i="30"/>
  <c r="K324" i="30"/>
  <c r="L323" i="30"/>
  <c r="K323" i="30"/>
  <c r="L322" i="30"/>
  <c r="K322" i="30"/>
  <c r="L321" i="30"/>
  <c r="K321" i="30"/>
  <c r="L320" i="30"/>
  <c r="K320" i="30"/>
  <c r="L319" i="30"/>
  <c r="K319" i="30"/>
  <c r="L318" i="30"/>
  <c r="K318" i="30"/>
  <c r="L317" i="30"/>
  <c r="K317" i="30"/>
  <c r="L316" i="30"/>
  <c r="K316" i="30"/>
  <c r="L315" i="30"/>
  <c r="K315" i="30"/>
  <c r="L314" i="30"/>
  <c r="K314" i="30"/>
  <c r="L313" i="30"/>
  <c r="K313" i="30"/>
  <c r="L312" i="30"/>
  <c r="K312" i="30"/>
  <c r="L311" i="30"/>
  <c r="K311" i="30"/>
  <c r="L310" i="30"/>
  <c r="K310" i="30"/>
  <c r="L309" i="30"/>
  <c r="K309" i="30"/>
  <c r="L308" i="30"/>
  <c r="K308" i="30"/>
  <c r="L307" i="30"/>
  <c r="K307" i="30"/>
  <c r="L306" i="30"/>
  <c r="K306" i="30"/>
  <c r="L305" i="30"/>
  <c r="K305" i="30"/>
  <c r="L304" i="30"/>
  <c r="K304" i="30"/>
  <c r="L303" i="30"/>
  <c r="K303" i="30"/>
  <c r="L302" i="30"/>
  <c r="K302" i="30"/>
  <c r="L301" i="30"/>
  <c r="K301" i="30"/>
  <c r="L300" i="30"/>
  <c r="K300" i="30"/>
  <c r="L299" i="30"/>
  <c r="K299" i="30"/>
  <c r="L298" i="30"/>
  <c r="K298" i="30"/>
  <c r="L297" i="30"/>
  <c r="K297" i="30"/>
  <c r="L296" i="30"/>
  <c r="K296" i="30"/>
  <c r="L295" i="30"/>
  <c r="K295" i="30"/>
  <c r="L294" i="30"/>
  <c r="K294" i="30"/>
  <c r="L293" i="30"/>
  <c r="K293" i="30"/>
  <c r="L292" i="30"/>
  <c r="K292" i="30"/>
  <c r="L291" i="30"/>
  <c r="K291" i="30"/>
  <c r="L290" i="30"/>
  <c r="K290" i="30"/>
  <c r="L289" i="30"/>
  <c r="K289" i="30"/>
  <c r="L288" i="30"/>
  <c r="K288" i="30"/>
  <c r="L287" i="30"/>
  <c r="K287" i="30"/>
  <c r="L286" i="30"/>
  <c r="K286" i="30"/>
  <c r="L285" i="30"/>
  <c r="K285" i="30"/>
  <c r="L284" i="30"/>
  <c r="K284" i="30"/>
  <c r="L283" i="30"/>
  <c r="K283" i="30"/>
  <c r="L282" i="30"/>
  <c r="K282" i="30"/>
  <c r="L281" i="30"/>
  <c r="K281" i="30"/>
  <c r="L280" i="30"/>
  <c r="K280" i="30"/>
  <c r="L279" i="30"/>
  <c r="K279" i="30"/>
  <c r="L278" i="30"/>
  <c r="K278" i="30"/>
  <c r="L277" i="30"/>
  <c r="K277" i="30"/>
  <c r="L276" i="30"/>
  <c r="K276" i="30"/>
  <c r="L275" i="30"/>
  <c r="K275" i="30"/>
  <c r="L274" i="30"/>
  <c r="K274" i="30"/>
  <c r="L273" i="30"/>
  <c r="K273" i="30"/>
  <c r="L272" i="30"/>
  <c r="K272" i="30"/>
  <c r="L271" i="30"/>
  <c r="K271" i="30"/>
  <c r="L270" i="30"/>
  <c r="K270" i="30"/>
  <c r="L269" i="30"/>
  <c r="K269" i="30"/>
  <c r="L268" i="30"/>
  <c r="K268" i="30"/>
  <c r="L267" i="30"/>
  <c r="K267" i="30"/>
  <c r="L266" i="30"/>
  <c r="K266" i="30"/>
  <c r="L265" i="30"/>
  <c r="K265" i="30"/>
  <c r="L264" i="30"/>
  <c r="K264" i="30"/>
  <c r="L263" i="30"/>
  <c r="K263" i="30"/>
  <c r="L262" i="30"/>
  <c r="K262" i="30"/>
  <c r="L261" i="30"/>
  <c r="K261" i="30"/>
  <c r="L260" i="30"/>
  <c r="K260" i="30"/>
  <c r="L259" i="30"/>
  <c r="K259" i="30"/>
  <c r="L258" i="30"/>
  <c r="K258" i="30"/>
  <c r="L257" i="30"/>
  <c r="K257" i="30"/>
  <c r="L256" i="30"/>
  <c r="K256" i="30"/>
  <c r="L255" i="30"/>
  <c r="K255" i="30"/>
  <c r="L254" i="30"/>
  <c r="K254" i="30"/>
  <c r="L253" i="30"/>
  <c r="K253" i="30"/>
  <c r="L252" i="30"/>
  <c r="K252" i="30"/>
  <c r="L251" i="30"/>
  <c r="K251" i="30"/>
  <c r="L250" i="30"/>
  <c r="K250" i="30"/>
  <c r="L249" i="30"/>
  <c r="K249" i="30"/>
  <c r="L248" i="30"/>
  <c r="K248" i="30"/>
  <c r="L247" i="30"/>
  <c r="K247" i="30"/>
  <c r="L246" i="30"/>
  <c r="K246" i="30"/>
  <c r="L245" i="30"/>
  <c r="K245" i="30"/>
  <c r="L244" i="30"/>
  <c r="K244" i="30"/>
  <c r="L243" i="30"/>
  <c r="K243" i="30"/>
  <c r="L242" i="30"/>
  <c r="K242" i="30"/>
  <c r="L241" i="30"/>
  <c r="K241" i="30"/>
  <c r="L240" i="30"/>
  <c r="K240" i="30"/>
  <c r="L239" i="30"/>
  <c r="K239" i="30"/>
  <c r="L238" i="30"/>
  <c r="K238" i="30"/>
  <c r="L237" i="30"/>
  <c r="K237" i="30"/>
  <c r="L236" i="30"/>
  <c r="K236" i="30"/>
  <c r="L235" i="30"/>
  <c r="K235" i="30"/>
  <c r="L234" i="30"/>
  <c r="K234" i="30"/>
  <c r="L233" i="30"/>
  <c r="K233" i="30"/>
  <c r="L232" i="30"/>
  <c r="K232" i="30"/>
  <c r="L231" i="30"/>
  <c r="K231" i="30"/>
  <c r="L230" i="30"/>
  <c r="K230" i="30"/>
  <c r="L229" i="30"/>
  <c r="K229" i="30"/>
  <c r="L228" i="30"/>
  <c r="K228" i="30"/>
  <c r="L227" i="30"/>
  <c r="K227" i="30"/>
  <c r="L226" i="30"/>
  <c r="K226" i="30"/>
  <c r="L225" i="30"/>
  <c r="K225" i="30"/>
  <c r="L224" i="30"/>
  <c r="K224" i="30"/>
  <c r="L223" i="30"/>
  <c r="K223" i="30"/>
  <c r="L222" i="30"/>
  <c r="K222" i="30"/>
  <c r="L221" i="30"/>
  <c r="K221" i="30"/>
  <c r="L220" i="30"/>
  <c r="K220" i="30"/>
  <c r="L219" i="30"/>
  <c r="K219" i="30"/>
  <c r="L218" i="30"/>
  <c r="K218" i="30"/>
  <c r="L217" i="30"/>
  <c r="K217" i="30"/>
  <c r="L216" i="30"/>
  <c r="K216" i="30"/>
  <c r="L215" i="30"/>
  <c r="K215" i="30"/>
  <c r="L214" i="30"/>
  <c r="K214" i="30"/>
  <c r="L213" i="30"/>
  <c r="K213" i="30"/>
  <c r="L212" i="30"/>
  <c r="K212" i="30"/>
  <c r="L211" i="30"/>
  <c r="K211" i="30"/>
  <c r="L210" i="30"/>
  <c r="K210" i="30"/>
  <c r="L209" i="30"/>
  <c r="K209" i="30"/>
  <c r="L208" i="30"/>
  <c r="K208" i="30"/>
  <c r="L207" i="30"/>
  <c r="K207" i="30"/>
  <c r="L206" i="30"/>
  <c r="K206" i="30"/>
  <c r="L205" i="30"/>
  <c r="K205" i="30"/>
  <c r="L204" i="30"/>
  <c r="K204" i="30"/>
  <c r="L203" i="30"/>
  <c r="K203" i="30"/>
  <c r="L202" i="30"/>
  <c r="K202" i="30"/>
  <c r="L201" i="30"/>
  <c r="K201" i="30"/>
  <c r="L200" i="30"/>
  <c r="K200" i="30"/>
  <c r="L199" i="30"/>
  <c r="K199" i="30"/>
  <c r="L198" i="30"/>
  <c r="K198" i="30"/>
  <c r="L197" i="30"/>
  <c r="K197" i="30"/>
  <c r="L196" i="30"/>
  <c r="K196" i="30"/>
  <c r="L195" i="30"/>
  <c r="K195" i="30"/>
  <c r="L194" i="30"/>
  <c r="K194" i="30"/>
  <c r="L193" i="30"/>
  <c r="K193" i="30"/>
  <c r="L192" i="30"/>
  <c r="K192" i="30"/>
  <c r="L191" i="30"/>
  <c r="K191" i="30"/>
  <c r="L190" i="30"/>
  <c r="K190" i="30"/>
  <c r="L189" i="30"/>
  <c r="K189" i="30"/>
  <c r="L188" i="30"/>
  <c r="K188" i="30"/>
  <c r="L187" i="30"/>
  <c r="K187" i="30"/>
  <c r="L186" i="30"/>
  <c r="K186" i="30"/>
  <c r="L185" i="30"/>
  <c r="K185" i="30"/>
  <c r="L184" i="30"/>
  <c r="K184" i="30"/>
  <c r="L183" i="30"/>
  <c r="K183" i="30"/>
  <c r="L182" i="30"/>
  <c r="K182" i="30"/>
  <c r="L181" i="30"/>
  <c r="K181" i="30"/>
  <c r="L180" i="30"/>
  <c r="K180" i="30"/>
  <c r="L179" i="30"/>
  <c r="K179" i="30"/>
  <c r="L178" i="30"/>
  <c r="K178" i="30"/>
  <c r="L177" i="30"/>
  <c r="K177" i="30"/>
  <c r="L176" i="30"/>
  <c r="K176" i="30"/>
  <c r="L175" i="30"/>
  <c r="K175" i="30"/>
  <c r="L174" i="30"/>
  <c r="K174" i="30"/>
  <c r="L173" i="30"/>
  <c r="K173" i="30"/>
  <c r="L172" i="30"/>
  <c r="K172" i="30"/>
  <c r="L171" i="30"/>
  <c r="K171" i="30"/>
  <c r="L170" i="30"/>
  <c r="K170" i="30"/>
  <c r="L169" i="30"/>
  <c r="K169" i="30"/>
  <c r="L168" i="30"/>
  <c r="K168" i="30"/>
  <c r="L167" i="30"/>
  <c r="K167" i="30"/>
  <c r="L166" i="30"/>
  <c r="K166" i="30"/>
  <c r="L165" i="30"/>
  <c r="K165" i="30"/>
  <c r="L164" i="30"/>
  <c r="K164" i="30"/>
  <c r="L163" i="30"/>
  <c r="K163" i="30"/>
  <c r="L162" i="30"/>
  <c r="K162" i="30"/>
  <c r="L161" i="30"/>
  <c r="K161" i="30"/>
  <c r="L160" i="30"/>
  <c r="K160" i="30"/>
  <c r="L159" i="30"/>
  <c r="K159" i="30"/>
  <c r="L158" i="30"/>
  <c r="K158" i="30"/>
  <c r="L157" i="30"/>
  <c r="K157" i="30"/>
  <c r="L156" i="30"/>
  <c r="K156" i="30"/>
  <c r="L155" i="30"/>
  <c r="K155" i="30"/>
  <c r="L154" i="30"/>
  <c r="K154" i="30"/>
  <c r="L153" i="30"/>
  <c r="K153" i="30"/>
  <c r="K152" i="30"/>
  <c r="K150" i="30"/>
  <c r="K149" i="30"/>
  <c r="K147" i="30"/>
  <c r="K146" i="30"/>
  <c r="K145" i="30"/>
  <c r="K144" i="30"/>
  <c r="K143" i="30"/>
  <c r="K141" i="30"/>
  <c r="K140" i="30"/>
  <c r="K139" i="30"/>
  <c r="K137" i="30"/>
  <c r="K136" i="30"/>
  <c r="K135" i="30"/>
  <c r="K134" i="30"/>
  <c r="K128" i="30"/>
  <c r="K127" i="30"/>
  <c r="K126" i="30"/>
  <c r="K125" i="30"/>
  <c r="K124" i="30"/>
  <c r="K123" i="30"/>
  <c r="K122" i="30"/>
  <c r="K120" i="30"/>
  <c r="K119" i="30"/>
  <c r="K118" i="30"/>
  <c r="K115" i="30"/>
  <c r="K114" i="30"/>
  <c r="K113" i="30"/>
  <c r="K110" i="30"/>
  <c r="K109" i="30"/>
  <c r="K108" i="30"/>
  <c r="K107" i="30"/>
  <c r="K106" i="30"/>
  <c r="K105" i="30"/>
  <c r="K103" i="30"/>
  <c r="K102" i="30"/>
  <c r="K101" i="30"/>
  <c r="K100" i="30"/>
  <c r="K99" i="30"/>
  <c r="K98" i="30"/>
  <c r="K97" i="30"/>
  <c r="K96" i="30"/>
  <c r="K95" i="30"/>
  <c r="K94" i="30"/>
  <c r="K93" i="30"/>
  <c r="K92" i="30"/>
  <c r="K91" i="30"/>
  <c r="K90" i="30"/>
  <c r="K85" i="30"/>
  <c r="K84" i="30"/>
  <c r="K83" i="30"/>
  <c r="K80" i="30"/>
  <c r="K79" i="30"/>
  <c r="K78" i="30"/>
  <c r="K77" i="30"/>
  <c r="K76" i="30"/>
  <c r="K73" i="30"/>
  <c r="K72" i="30"/>
  <c r="K71" i="30"/>
  <c r="K64" i="30"/>
  <c r="K63" i="30"/>
  <c r="K62" i="30"/>
  <c r="K60" i="30"/>
  <c r="K59" i="30"/>
  <c r="K58" i="30"/>
  <c r="K57" i="30"/>
  <c r="K56" i="30"/>
  <c r="K55" i="30"/>
  <c r="K54" i="30"/>
  <c r="K53" i="30"/>
  <c r="K52" i="30"/>
  <c r="K51" i="30"/>
  <c r="K50" i="30"/>
  <c r="K49" i="30"/>
  <c r="K48" i="30"/>
  <c r="K46" i="30"/>
  <c r="K44" i="30"/>
  <c r="K43" i="30"/>
  <c r="K42" i="30"/>
  <c r="K41" i="30"/>
  <c r="K35" i="30"/>
  <c r="K34" i="30"/>
  <c r="K32" i="30"/>
  <c r="K31" i="30"/>
  <c r="K30" i="30"/>
  <c r="K29" i="30"/>
  <c r="K28" i="30"/>
  <c r="K21" i="30"/>
  <c r="K20" i="30"/>
  <c r="K19" i="30"/>
  <c r="K18" i="30"/>
  <c r="K17" i="30"/>
  <c r="K15" i="30"/>
  <c r="K14" i="30"/>
  <c r="K13" i="30"/>
  <c r="K10" i="30"/>
  <c r="K9" i="30"/>
  <c r="K8" i="30"/>
  <c r="K7" i="30"/>
  <c r="K6" i="30"/>
  <c r="K3" i="30"/>
  <c r="H400" i="30"/>
  <c r="G400" i="30"/>
  <c r="H399" i="30"/>
  <c r="G399" i="30"/>
  <c r="H398" i="30"/>
  <c r="G398" i="30"/>
  <c r="H397" i="30"/>
  <c r="G397" i="30"/>
  <c r="H396" i="30"/>
  <c r="G396" i="30"/>
  <c r="H395" i="30"/>
  <c r="G395" i="30"/>
  <c r="H394" i="30"/>
  <c r="G394" i="30"/>
  <c r="H393" i="30"/>
  <c r="G393" i="30"/>
  <c r="H392" i="30"/>
  <c r="G392" i="30"/>
  <c r="H391" i="30"/>
  <c r="G391" i="30"/>
  <c r="H390" i="30"/>
  <c r="G390" i="30"/>
  <c r="H389" i="30"/>
  <c r="G389" i="30"/>
  <c r="H388" i="30"/>
  <c r="G388" i="30"/>
  <c r="H387" i="30"/>
  <c r="G387" i="30"/>
  <c r="H386" i="30"/>
  <c r="G386" i="30"/>
  <c r="H385" i="30"/>
  <c r="G385" i="30"/>
  <c r="H384" i="30"/>
  <c r="G384" i="30"/>
  <c r="H383" i="30"/>
  <c r="G383" i="30"/>
  <c r="H382" i="30"/>
  <c r="G382" i="30"/>
  <c r="H381" i="30"/>
  <c r="G381" i="30"/>
  <c r="H380" i="30"/>
  <c r="G380" i="30"/>
  <c r="H379" i="30"/>
  <c r="G379" i="30"/>
  <c r="H378" i="30"/>
  <c r="G378" i="30"/>
  <c r="H377" i="30"/>
  <c r="G377" i="30"/>
  <c r="H376" i="30"/>
  <c r="G376" i="30"/>
  <c r="H375" i="30"/>
  <c r="G375" i="30"/>
  <c r="H374" i="30"/>
  <c r="G374" i="30"/>
  <c r="H373" i="30"/>
  <c r="G373" i="30"/>
  <c r="H372" i="30"/>
  <c r="G372" i="30"/>
  <c r="H371" i="30"/>
  <c r="G371" i="30"/>
  <c r="H370" i="30"/>
  <c r="G370" i="30"/>
  <c r="H369" i="30"/>
  <c r="G369" i="30"/>
  <c r="H368" i="30"/>
  <c r="G368" i="30"/>
  <c r="H367" i="30"/>
  <c r="G367" i="30"/>
  <c r="H366" i="30"/>
  <c r="G366" i="30"/>
  <c r="H365" i="30"/>
  <c r="G365" i="30"/>
  <c r="H364" i="30"/>
  <c r="G364" i="30"/>
  <c r="H363" i="30"/>
  <c r="G363" i="30"/>
  <c r="H362" i="30"/>
  <c r="G362" i="30"/>
  <c r="H361" i="30"/>
  <c r="G361" i="30"/>
  <c r="H360" i="30"/>
  <c r="G360" i="30"/>
  <c r="H359" i="30"/>
  <c r="G359" i="30"/>
  <c r="H358" i="30"/>
  <c r="G358" i="30"/>
  <c r="H357" i="30"/>
  <c r="G357" i="30"/>
  <c r="H356" i="30"/>
  <c r="G356" i="30"/>
  <c r="H355" i="30"/>
  <c r="G355" i="30"/>
  <c r="H354" i="30"/>
  <c r="G354" i="30"/>
  <c r="H353" i="30"/>
  <c r="G353" i="30"/>
  <c r="H352" i="30"/>
  <c r="G352" i="30"/>
  <c r="H351" i="30"/>
  <c r="G351" i="30"/>
  <c r="H350" i="30"/>
  <c r="G350" i="30"/>
  <c r="H349" i="30"/>
  <c r="G349" i="30"/>
  <c r="H348" i="30"/>
  <c r="G348" i="30"/>
  <c r="H347" i="30"/>
  <c r="G347" i="30"/>
  <c r="H346" i="30"/>
  <c r="G346" i="30"/>
  <c r="H345" i="30"/>
  <c r="G345" i="30"/>
  <c r="H344" i="30"/>
  <c r="G344" i="30"/>
  <c r="H343" i="30"/>
  <c r="G343" i="30"/>
  <c r="H342" i="30"/>
  <c r="G342" i="30"/>
  <c r="H341" i="30"/>
  <c r="G341" i="30"/>
  <c r="H340" i="30"/>
  <c r="G340" i="30"/>
  <c r="H339" i="30"/>
  <c r="G339" i="30"/>
  <c r="H338" i="30"/>
  <c r="G338" i="30"/>
  <c r="H337" i="30"/>
  <c r="G337" i="30"/>
  <c r="H336" i="30"/>
  <c r="G336" i="30"/>
  <c r="H335" i="30"/>
  <c r="G335" i="30"/>
  <c r="H334" i="30"/>
  <c r="G334" i="30"/>
  <c r="H333" i="30"/>
  <c r="G333" i="30"/>
  <c r="H332" i="30"/>
  <c r="G332" i="30"/>
  <c r="H331" i="30"/>
  <c r="G331" i="30"/>
  <c r="H330" i="30"/>
  <c r="G330" i="30"/>
  <c r="H329" i="30"/>
  <c r="G329" i="30"/>
  <c r="H328" i="30"/>
  <c r="G328" i="30"/>
  <c r="H327" i="30"/>
  <c r="G327" i="30"/>
  <c r="H326" i="30"/>
  <c r="G326" i="30"/>
  <c r="H325" i="30"/>
  <c r="G325" i="30"/>
  <c r="H324" i="30"/>
  <c r="G324" i="30"/>
  <c r="H323" i="30"/>
  <c r="G323" i="30"/>
  <c r="H322" i="30"/>
  <c r="G322" i="30"/>
  <c r="H321" i="30"/>
  <c r="G321" i="30"/>
  <c r="H320" i="30"/>
  <c r="G320" i="30"/>
  <c r="H319" i="30"/>
  <c r="G319" i="30"/>
  <c r="H318" i="30"/>
  <c r="G318" i="30"/>
  <c r="H317" i="30"/>
  <c r="G317" i="30"/>
  <c r="H316" i="30"/>
  <c r="G316" i="30"/>
  <c r="H315" i="30"/>
  <c r="G315" i="30"/>
  <c r="H314" i="30"/>
  <c r="G314" i="30"/>
  <c r="H313" i="30"/>
  <c r="G313" i="30"/>
  <c r="H312" i="30"/>
  <c r="G312" i="30"/>
  <c r="H311" i="30"/>
  <c r="G311" i="30"/>
  <c r="H310" i="30"/>
  <c r="G310" i="30"/>
  <c r="H309" i="30"/>
  <c r="G309" i="30"/>
  <c r="H308" i="30"/>
  <c r="G308" i="30"/>
  <c r="H307" i="30"/>
  <c r="G307" i="30"/>
  <c r="H306" i="30"/>
  <c r="G306" i="30"/>
  <c r="H305" i="30"/>
  <c r="G305" i="30"/>
  <c r="H304" i="30"/>
  <c r="G304" i="30"/>
  <c r="H303" i="30"/>
  <c r="G303" i="30"/>
  <c r="H302" i="30"/>
  <c r="G302" i="30"/>
  <c r="H301" i="30"/>
  <c r="G301" i="30"/>
  <c r="H300" i="30"/>
  <c r="G300" i="30"/>
  <c r="H299" i="30"/>
  <c r="G299" i="30"/>
  <c r="H298" i="30"/>
  <c r="G298" i="30"/>
  <c r="H297" i="30"/>
  <c r="G297" i="30"/>
  <c r="H296" i="30"/>
  <c r="G296" i="30"/>
  <c r="H295" i="30"/>
  <c r="G295" i="30"/>
  <c r="H294" i="30"/>
  <c r="G294" i="30"/>
  <c r="H293" i="30"/>
  <c r="G293" i="30"/>
  <c r="H292" i="30"/>
  <c r="G292" i="30"/>
  <c r="H291" i="30"/>
  <c r="G291" i="30"/>
  <c r="H290" i="30"/>
  <c r="G290" i="30"/>
  <c r="H289" i="30"/>
  <c r="G289" i="30"/>
  <c r="H288" i="30"/>
  <c r="G288" i="30"/>
  <c r="H287" i="30"/>
  <c r="G287" i="30"/>
  <c r="H286" i="30"/>
  <c r="G286" i="30"/>
  <c r="H285" i="30"/>
  <c r="G285" i="30"/>
  <c r="H284" i="30"/>
  <c r="G284" i="30"/>
  <c r="H283" i="30"/>
  <c r="G283" i="30"/>
  <c r="H282" i="30"/>
  <c r="G282" i="30"/>
  <c r="H281" i="30"/>
  <c r="G281" i="30"/>
  <c r="H280" i="30"/>
  <c r="G280" i="30"/>
  <c r="H279" i="30"/>
  <c r="G279" i="30"/>
  <c r="H278" i="30"/>
  <c r="G278" i="30"/>
  <c r="H277" i="30"/>
  <c r="G277" i="30"/>
  <c r="H276" i="30"/>
  <c r="G276" i="30"/>
  <c r="H275" i="30"/>
  <c r="G275" i="30"/>
  <c r="H274" i="30"/>
  <c r="G274" i="30"/>
  <c r="H273" i="30"/>
  <c r="G273" i="30"/>
  <c r="H272" i="30"/>
  <c r="G272" i="30"/>
  <c r="H271" i="30"/>
  <c r="G271" i="30"/>
  <c r="H270" i="30"/>
  <c r="G270" i="30"/>
  <c r="H269" i="30"/>
  <c r="G269" i="30"/>
  <c r="H268" i="30"/>
  <c r="G268" i="30"/>
  <c r="H267" i="30"/>
  <c r="G267" i="30"/>
  <c r="H266" i="30"/>
  <c r="G266" i="30"/>
  <c r="H265" i="30"/>
  <c r="G265" i="30"/>
  <c r="H264" i="30"/>
  <c r="G264" i="30"/>
  <c r="H263" i="30"/>
  <c r="G263" i="30"/>
  <c r="H262" i="30"/>
  <c r="G262" i="30"/>
  <c r="H261" i="30"/>
  <c r="G261" i="30"/>
  <c r="H260" i="30"/>
  <c r="G260" i="30"/>
  <c r="H259" i="30"/>
  <c r="G259" i="30"/>
  <c r="H258" i="30"/>
  <c r="G258" i="30"/>
  <c r="H257" i="30"/>
  <c r="G257" i="30"/>
  <c r="H256" i="30"/>
  <c r="G256" i="30"/>
  <c r="H255" i="30"/>
  <c r="G255" i="30"/>
  <c r="H254" i="30"/>
  <c r="G254" i="30"/>
  <c r="H253" i="30"/>
  <c r="G253" i="30"/>
  <c r="H252" i="30"/>
  <c r="G252" i="30"/>
  <c r="H251" i="30"/>
  <c r="G251" i="30"/>
  <c r="H250" i="30"/>
  <c r="G250" i="30"/>
  <c r="H249" i="30"/>
  <c r="G249" i="30"/>
  <c r="H248" i="30"/>
  <c r="G248" i="30"/>
  <c r="H247" i="30"/>
  <c r="G247" i="30"/>
  <c r="H246" i="30"/>
  <c r="G246" i="30"/>
  <c r="H245" i="30"/>
  <c r="G245" i="30"/>
  <c r="H244" i="30"/>
  <c r="G244" i="30"/>
  <c r="H243" i="30"/>
  <c r="G243" i="30"/>
  <c r="H242" i="30"/>
  <c r="G242" i="30"/>
  <c r="H241" i="30"/>
  <c r="G241" i="30"/>
  <c r="H240" i="30"/>
  <c r="G240" i="30"/>
  <c r="H239" i="30"/>
  <c r="G239" i="30"/>
  <c r="H238" i="30"/>
  <c r="G238" i="30"/>
  <c r="H237" i="30"/>
  <c r="G237" i="30"/>
  <c r="H236" i="30"/>
  <c r="G236" i="30"/>
  <c r="H235" i="30"/>
  <c r="G235" i="30"/>
  <c r="H234" i="30"/>
  <c r="G234" i="30"/>
  <c r="H233" i="30"/>
  <c r="G233" i="30"/>
  <c r="H232" i="30"/>
  <c r="G232" i="30"/>
  <c r="H231" i="30"/>
  <c r="G231" i="30"/>
  <c r="H230" i="30"/>
  <c r="G230" i="30"/>
  <c r="H229" i="30"/>
  <c r="G229" i="30"/>
  <c r="H228" i="30"/>
  <c r="G228" i="30"/>
  <c r="H227" i="30"/>
  <c r="G227" i="30"/>
  <c r="H226" i="30"/>
  <c r="G226" i="30"/>
  <c r="H225" i="30"/>
  <c r="G225" i="30"/>
  <c r="H224" i="30"/>
  <c r="G224" i="30"/>
  <c r="H223" i="30"/>
  <c r="G223" i="30"/>
  <c r="H222" i="30"/>
  <c r="G222" i="30"/>
  <c r="H221" i="30"/>
  <c r="G221" i="30"/>
  <c r="H220" i="30"/>
  <c r="G220" i="30"/>
  <c r="H219" i="30"/>
  <c r="G219" i="30"/>
  <c r="H218" i="30"/>
  <c r="G218" i="30"/>
  <c r="H217" i="30"/>
  <c r="G217" i="30"/>
  <c r="H216" i="30"/>
  <c r="G216" i="30"/>
  <c r="H215" i="30"/>
  <c r="G215" i="30"/>
  <c r="H214" i="30"/>
  <c r="G214" i="30"/>
  <c r="H213" i="30"/>
  <c r="G213" i="30"/>
  <c r="H212" i="30"/>
  <c r="G212" i="30"/>
  <c r="H211" i="30"/>
  <c r="G211" i="30"/>
  <c r="H210" i="30"/>
  <c r="G210" i="30"/>
  <c r="H209" i="30"/>
  <c r="G209" i="30"/>
  <c r="H208" i="30"/>
  <c r="G208" i="30"/>
  <c r="H207" i="30"/>
  <c r="G207" i="30"/>
  <c r="H206" i="30"/>
  <c r="G206" i="30"/>
  <c r="H205" i="30"/>
  <c r="G205" i="30"/>
  <c r="H204" i="30"/>
  <c r="G204" i="30"/>
  <c r="H203" i="30"/>
  <c r="G203" i="30"/>
  <c r="H202" i="30"/>
  <c r="G202" i="30"/>
  <c r="H201" i="30"/>
  <c r="G201" i="30"/>
  <c r="H200" i="30"/>
  <c r="G200" i="30"/>
  <c r="H199" i="30"/>
  <c r="G199" i="30"/>
  <c r="H198" i="30"/>
  <c r="G198" i="30"/>
  <c r="H197" i="30"/>
  <c r="G197" i="30"/>
  <c r="H196" i="30"/>
  <c r="G196" i="30"/>
  <c r="H195" i="30"/>
  <c r="G195" i="30"/>
  <c r="H194" i="30"/>
  <c r="G194" i="30"/>
  <c r="H193" i="30"/>
  <c r="G193" i="30"/>
  <c r="H192" i="30"/>
  <c r="G192" i="30"/>
  <c r="H191" i="30"/>
  <c r="G191" i="30"/>
  <c r="H190" i="30"/>
  <c r="G190" i="30"/>
  <c r="H189" i="30"/>
  <c r="G189" i="30"/>
  <c r="H188" i="30"/>
  <c r="G188" i="30"/>
  <c r="H187" i="30"/>
  <c r="G187" i="30"/>
  <c r="H186" i="30"/>
  <c r="G186" i="30"/>
  <c r="H185" i="30"/>
  <c r="G185" i="30"/>
  <c r="H184" i="30"/>
  <c r="G184" i="30"/>
  <c r="H183" i="30"/>
  <c r="G183" i="30"/>
  <c r="H182" i="30"/>
  <c r="G182" i="30"/>
  <c r="H181" i="30"/>
  <c r="G181" i="30"/>
  <c r="H180" i="30"/>
  <c r="G180" i="30"/>
  <c r="H179" i="30"/>
  <c r="G179" i="30"/>
  <c r="H178" i="30"/>
  <c r="G178" i="30"/>
  <c r="H177" i="30"/>
  <c r="G177" i="30"/>
  <c r="H176" i="30"/>
  <c r="G176" i="30"/>
  <c r="H175" i="30"/>
  <c r="G175" i="30"/>
  <c r="H174" i="30"/>
  <c r="G174" i="30"/>
  <c r="H173" i="30"/>
  <c r="G173" i="30"/>
  <c r="H172" i="30"/>
  <c r="G172" i="30"/>
  <c r="H171" i="30"/>
  <c r="G171" i="30"/>
  <c r="H170" i="30"/>
  <c r="G170" i="30"/>
  <c r="H169" i="30"/>
  <c r="G169" i="30"/>
  <c r="H168" i="30"/>
  <c r="G168" i="30"/>
  <c r="H167" i="30"/>
  <c r="G167" i="30"/>
  <c r="H166" i="30"/>
  <c r="G166" i="30"/>
  <c r="H165" i="30"/>
  <c r="G165" i="30"/>
  <c r="H164" i="30"/>
  <c r="G164" i="30"/>
  <c r="H163" i="30"/>
  <c r="G163" i="30"/>
  <c r="H162" i="30"/>
  <c r="G162" i="30"/>
  <c r="H161" i="30"/>
  <c r="G161" i="30"/>
  <c r="H160" i="30"/>
  <c r="G160" i="30"/>
  <c r="H159" i="30"/>
  <c r="G159" i="30"/>
  <c r="H158" i="30"/>
  <c r="G158" i="30"/>
  <c r="H157" i="30"/>
  <c r="G157" i="30"/>
  <c r="H156" i="30"/>
  <c r="G156" i="30"/>
  <c r="H155" i="30"/>
  <c r="G155" i="30"/>
  <c r="H154" i="30"/>
  <c r="G154" i="30"/>
  <c r="H153" i="30"/>
  <c r="G153" i="30"/>
  <c r="G152" i="30"/>
  <c r="G150" i="30"/>
  <c r="G149" i="30"/>
  <c r="G147" i="30"/>
  <c r="G146" i="30"/>
  <c r="G145" i="30"/>
  <c r="G144" i="30"/>
  <c r="G143" i="30"/>
  <c r="G141" i="30"/>
  <c r="G140" i="30"/>
  <c r="G139" i="30"/>
  <c r="G137" i="30"/>
  <c r="G136" i="30"/>
  <c r="G135" i="30"/>
  <c r="G134" i="30"/>
  <c r="G128" i="30"/>
  <c r="G127" i="30"/>
  <c r="G126" i="30"/>
  <c r="G125" i="30"/>
  <c r="G124" i="30"/>
  <c r="G123" i="30"/>
  <c r="G122" i="30"/>
  <c r="G120" i="30"/>
  <c r="G119" i="30"/>
  <c r="G118" i="30"/>
  <c r="G115" i="30"/>
  <c r="G114" i="30"/>
  <c r="G113" i="30"/>
  <c r="G110" i="30"/>
  <c r="G109" i="30"/>
  <c r="G108" i="30"/>
  <c r="G107" i="30"/>
  <c r="G106" i="30"/>
  <c r="G105" i="30"/>
  <c r="G103" i="30"/>
  <c r="G102" i="30"/>
  <c r="G101" i="30"/>
  <c r="G100" i="30"/>
  <c r="G99" i="30"/>
  <c r="G98" i="30"/>
  <c r="G97" i="30"/>
  <c r="G96" i="30"/>
  <c r="G95" i="30"/>
  <c r="G94" i="30"/>
  <c r="G93" i="30"/>
  <c r="G92" i="30"/>
  <c r="G91" i="30"/>
  <c r="G90" i="30"/>
  <c r="G85" i="30"/>
  <c r="G84" i="30"/>
  <c r="G83" i="30"/>
  <c r="G80" i="30"/>
  <c r="G79" i="30"/>
  <c r="G78" i="30"/>
  <c r="G77" i="30"/>
  <c r="G76" i="30"/>
  <c r="G73" i="30"/>
  <c r="G72" i="30"/>
  <c r="G71" i="30"/>
  <c r="G64" i="30"/>
  <c r="G63" i="30"/>
  <c r="G62" i="30"/>
  <c r="G60" i="30"/>
  <c r="G59" i="30"/>
  <c r="G58" i="30"/>
  <c r="G57" i="30"/>
  <c r="G56" i="30"/>
  <c r="G55" i="30"/>
  <c r="G54" i="30"/>
  <c r="G53" i="30"/>
  <c r="G52" i="30"/>
  <c r="G51" i="30"/>
  <c r="G50" i="30"/>
  <c r="G49" i="30"/>
  <c r="G48" i="30"/>
  <c r="G46" i="30"/>
  <c r="G44" i="30"/>
  <c r="G43" i="30"/>
  <c r="G42" i="30"/>
  <c r="G41" i="30"/>
  <c r="G35" i="30"/>
  <c r="G34" i="30"/>
  <c r="G32" i="30"/>
  <c r="G31" i="30"/>
  <c r="G30" i="30"/>
  <c r="G29" i="30"/>
  <c r="G28" i="30"/>
  <c r="G21" i="30"/>
  <c r="G20" i="30"/>
  <c r="G19" i="30"/>
  <c r="G18" i="30"/>
  <c r="G17" i="30"/>
  <c r="G15" i="30"/>
  <c r="G14" i="30"/>
  <c r="G13" i="30"/>
  <c r="G10" i="30"/>
  <c r="G9" i="30"/>
  <c r="G8" i="30"/>
  <c r="G7" i="30"/>
  <c r="G6" i="30"/>
  <c r="G3" i="30"/>
  <c r="C6" i="30"/>
  <c r="C7" i="30"/>
  <c r="C8" i="30"/>
  <c r="C9" i="30"/>
  <c r="C10" i="30"/>
  <c r="C13" i="30"/>
  <c r="C14" i="30"/>
  <c r="C15" i="30"/>
  <c r="C17" i="30"/>
  <c r="C18" i="30"/>
  <c r="C19" i="30"/>
  <c r="C20" i="30"/>
  <c r="C21" i="30"/>
  <c r="C28" i="30"/>
  <c r="C29" i="30"/>
  <c r="C30" i="30"/>
  <c r="C31" i="30"/>
  <c r="C32" i="30"/>
  <c r="C34" i="30"/>
  <c r="C35" i="30"/>
  <c r="C41" i="30"/>
  <c r="C42" i="30"/>
  <c r="C43" i="30"/>
  <c r="C44" i="30"/>
  <c r="C46" i="30"/>
  <c r="C48" i="30"/>
  <c r="C49" i="30"/>
  <c r="C50" i="30"/>
  <c r="C51" i="30"/>
  <c r="C52" i="30"/>
  <c r="C53" i="30"/>
  <c r="C54" i="30"/>
  <c r="C55" i="30"/>
  <c r="C56" i="30"/>
  <c r="C57" i="30"/>
  <c r="C58" i="30"/>
  <c r="C59" i="30"/>
  <c r="C60" i="30"/>
  <c r="C62" i="30"/>
  <c r="C63" i="30"/>
  <c r="C64" i="30"/>
  <c r="C71" i="30"/>
  <c r="C72" i="30"/>
  <c r="C73" i="30"/>
  <c r="C76" i="30"/>
  <c r="C77" i="30"/>
  <c r="C78" i="30"/>
  <c r="C79" i="30"/>
  <c r="C80" i="30"/>
  <c r="C83" i="30"/>
  <c r="C84" i="30"/>
  <c r="C85" i="30"/>
  <c r="C90" i="30"/>
  <c r="C91" i="30"/>
  <c r="C92" i="30"/>
  <c r="C93" i="30"/>
  <c r="C94" i="30"/>
  <c r="C95" i="30"/>
  <c r="C96" i="30"/>
  <c r="C97" i="30"/>
  <c r="C98" i="30"/>
  <c r="C99" i="30"/>
  <c r="C100" i="30"/>
  <c r="C101" i="30"/>
  <c r="C102" i="30"/>
  <c r="C103" i="30"/>
  <c r="C105" i="30"/>
  <c r="C106" i="30"/>
  <c r="C107" i="30"/>
  <c r="C108" i="30"/>
  <c r="C109" i="30"/>
  <c r="C110" i="30"/>
  <c r="C113" i="30"/>
  <c r="C114" i="30"/>
  <c r="C115" i="30"/>
  <c r="C118" i="30"/>
  <c r="C119" i="30"/>
  <c r="C120" i="30"/>
  <c r="C122" i="30"/>
  <c r="C123" i="30"/>
  <c r="C124" i="30"/>
  <c r="C125" i="30"/>
  <c r="C126" i="30"/>
  <c r="C127" i="30"/>
  <c r="C128" i="30"/>
  <c r="C134" i="30"/>
  <c r="C135" i="30"/>
  <c r="C136" i="30"/>
  <c r="C137" i="30"/>
  <c r="C139" i="30"/>
  <c r="C140" i="30"/>
  <c r="C141" i="30"/>
  <c r="C143" i="30"/>
  <c r="C144" i="30"/>
  <c r="C145" i="30"/>
  <c r="C146" i="30"/>
  <c r="C147" i="30"/>
  <c r="C149" i="30"/>
  <c r="C150" i="30"/>
  <c r="C152" i="30"/>
  <c r="C153" i="30"/>
  <c r="D153" i="30"/>
  <c r="C154" i="30"/>
  <c r="D154" i="30"/>
  <c r="C155" i="30"/>
  <c r="D155" i="30"/>
  <c r="C156" i="30"/>
  <c r="D156" i="30"/>
  <c r="C157" i="30"/>
  <c r="D157" i="30"/>
  <c r="C158" i="30"/>
  <c r="D158" i="30"/>
  <c r="C159" i="30"/>
  <c r="D159" i="30"/>
  <c r="C160" i="30"/>
  <c r="D160" i="30"/>
  <c r="C161" i="30"/>
  <c r="D161" i="30"/>
  <c r="C162" i="30"/>
  <c r="D162" i="30"/>
  <c r="C163" i="30"/>
  <c r="D163" i="30"/>
  <c r="C164" i="30"/>
  <c r="D164" i="30"/>
  <c r="C165" i="30"/>
  <c r="D165" i="30"/>
  <c r="C166" i="30"/>
  <c r="D166" i="30"/>
  <c r="C167" i="30"/>
  <c r="D167" i="30"/>
  <c r="C168" i="30"/>
  <c r="D168" i="30"/>
  <c r="C169" i="30"/>
  <c r="D169" i="30"/>
  <c r="C170" i="30"/>
  <c r="D170" i="30"/>
  <c r="C171" i="30"/>
  <c r="D171" i="30"/>
  <c r="C172" i="30"/>
  <c r="D172" i="30"/>
  <c r="C173" i="30"/>
  <c r="D173" i="30"/>
  <c r="C174" i="30"/>
  <c r="D174" i="30"/>
  <c r="C175" i="30"/>
  <c r="D175" i="30"/>
  <c r="C176" i="30"/>
  <c r="D176" i="30"/>
  <c r="C177" i="30"/>
  <c r="D177" i="30"/>
  <c r="C178" i="30"/>
  <c r="D178" i="30"/>
  <c r="C179" i="30"/>
  <c r="D179" i="30"/>
  <c r="C180" i="30"/>
  <c r="D180" i="30"/>
  <c r="C181" i="30"/>
  <c r="D181" i="30"/>
  <c r="C182" i="30"/>
  <c r="D182" i="30"/>
  <c r="C183" i="30"/>
  <c r="D183" i="30"/>
  <c r="C184" i="30"/>
  <c r="D184" i="30"/>
  <c r="C185" i="30"/>
  <c r="D185" i="30"/>
  <c r="C186" i="30"/>
  <c r="D186" i="30"/>
  <c r="C187" i="30"/>
  <c r="D187" i="30"/>
  <c r="C188" i="30"/>
  <c r="D188" i="30"/>
  <c r="C189" i="30"/>
  <c r="D189" i="30"/>
  <c r="C190" i="30"/>
  <c r="D190" i="30"/>
  <c r="C191" i="30"/>
  <c r="D191" i="30"/>
  <c r="C192" i="30"/>
  <c r="D192" i="30"/>
  <c r="C193" i="30"/>
  <c r="D193" i="30"/>
  <c r="C194" i="30"/>
  <c r="D194" i="30"/>
  <c r="C195" i="30"/>
  <c r="D195" i="30"/>
  <c r="C196" i="30"/>
  <c r="D196" i="30"/>
  <c r="C197" i="30"/>
  <c r="D197" i="30"/>
  <c r="C198" i="30"/>
  <c r="D198" i="30"/>
  <c r="C199" i="30"/>
  <c r="D199" i="30"/>
  <c r="C200" i="30"/>
  <c r="D200" i="30"/>
  <c r="C201" i="30"/>
  <c r="D201" i="30"/>
  <c r="C202" i="30"/>
  <c r="D202" i="30"/>
  <c r="C203" i="30"/>
  <c r="D203" i="30"/>
  <c r="C204" i="30"/>
  <c r="D204" i="30"/>
  <c r="C205" i="30"/>
  <c r="D205" i="30"/>
  <c r="C206" i="30"/>
  <c r="D206" i="30"/>
  <c r="C207" i="30"/>
  <c r="D207" i="30"/>
  <c r="C208" i="30"/>
  <c r="D208" i="30"/>
  <c r="C209" i="30"/>
  <c r="D209" i="30"/>
  <c r="C210" i="30"/>
  <c r="D210" i="30"/>
  <c r="C211" i="30"/>
  <c r="D211" i="30"/>
  <c r="C212" i="30"/>
  <c r="D212" i="30"/>
  <c r="C213" i="30"/>
  <c r="D213" i="30"/>
  <c r="C214" i="30"/>
  <c r="D214" i="30"/>
  <c r="C215" i="30"/>
  <c r="D215" i="30"/>
  <c r="C216" i="30"/>
  <c r="D216" i="30"/>
  <c r="C217" i="30"/>
  <c r="D217" i="30"/>
  <c r="C218" i="30"/>
  <c r="D218" i="30"/>
  <c r="C219" i="30"/>
  <c r="D219" i="30"/>
  <c r="C220" i="30"/>
  <c r="D220" i="30"/>
  <c r="C221" i="30"/>
  <c r="D221" i="30"/>
  <c r="C222" i="30"/>
  <c r="D222" i="30"/>
  <c r="C223" i="30"/>
  <c r="D223" i="30"/>
  <c r="C224" i="30"/>
  <c r="D224" i="30"/>
  <c r="C225" i="30"/>
  <c r="D225" i="30"/>
  <c r="C226" i="30"/>
  <c r="D226" i="30"/>
  <c r="C227" i="30"/>
  <c r="D227" i="30"/>
  <c r="C228" i="30"/>
  <c r="D228" i="30"/>
  <c r="C229" i="30"/>
  <c r="D229" i="30"/>
  <c r="C230" i="30"/>
  <c r="D230" i="30"/>
  <c r="C231" i="30"/>
  <c r="D231" i="30"/>
  <c r="C232" i="30"/>
  <c r="D232" i="30"/>
  <c r="C233" i="30"/>
  <c r="D233" i="30"/>
  <c r="C234" i="30"/>
  <c r="D234" i="30"/>
  <c r="C235" i="30"/>
  <c r="D235" i="30"/>
  <c r="C236" i="30"/>
  <c r="D236" i="30"/>
  <c r="C237" i="30"/>
  <c r="D237" i="30"/>
  <c r="C238" i="30"/>
  <c r="D238" i="30"/>
  <c r="C239" i="30"/>
  <c r="D239" i="30"/>
  <c r="C240" i="30"/>
  <c r="D240" i="30"/>
  <c r="C241" i="30"/>
  <c r="D241" i="30"/>
  <c r="C242" i="30"/>
  <c r="D242" i="30"/>
  <c r="C243" i="30"/>
  <c r="D243" i="30"/>
  <c r="C244" i="30"/>
  <c r="D244" i="30"/>
  <c r="C245" i="30"/>
  <c r="D245" i="30"/>
  <c r="C246" i="30"/>
  <c r="D246" i="30"/>
  <c r="C247" i="30"/>
  <c r="D247" i="30"/>
  <c r="C248" i="30"/>
  <c r="D248" i="30"/>
  <c r="C249" i="30"/>
  <c r="D249" i="30"/>
  <c r="C250" i="30"/>
  <c r="D250" i="30"/>
  <c r="C251" i="30"/>
  <c r="D251" i="30"/>
  <c r="C252" i="30"/>
  <c r="D252" i="30"/>
  <c r="C253" i="30"/>
  <c r="D253" i="30"/>
  <c r="C254" i="30"/>
  <c r="D254" i="30"/>
  <c r="C255" i="30"/>
  <c r="D255" i="30"/>
  <c r="C256" i="30"/>
  <c r="D256" i="30"/>
  <c r="C257" i="30"/>
  <c r="D257" i="30"/>
  <c r="C258" i="30"/>
  <c r="D258" i="30"/>
  <c r="C259" i="30"/>
  <c r="D259" i="30"/>
  <c r="C260" i="30"/>
  <c r="D260" i="30"/>
  <c r="C261" i="30"/>
  <c r="D261" i="30"/>
  <c r="C262" i="30"/>
  <c r="D262" i="30"/>
  <c r="C263" i="30"/>
  <c r="D263" i="30"/>
  <c r="C264" i="30"/>
  <c r="D264" i="30"/>
  <c r="C265" i="30"/>
  <c r="D265" i="30"/>
  <c r="C266" i="30"/>
  <c r="D266" i="30"/>
  <c r="C267" i="30"/>
  <c r="D267" i="30"/>
  <c r="C268" i="30"/>
  <c r="D268" i="30"/>
  <c r="C269" i="30"/>
  <c r="D269" i="30"/>
  <c r="C270" i="30"/>
  <c r="D270" i="30"/>
  <c r="C271" i="30"/>
  <c r="D271" i="30"/>
  <c r="C272" i="30"/>
  <c r="D272" i="30"/>
  <c r="C273" i="30"/>
  <c r="D273" i="30"/>
  <c r="C274" i="30"/>
  <c r="D274" i="30"/>
  <c r="C275" i="30"/>
  <c r="D275" i="30"/>
  <c r="C276" i="30"/>
  <c r="D276" i="30"/>
  <c r="C277" i="30"/>
  <c r="D277" i="30"/>
  <c r="C278" i="30"/>
  <c r="D278" i="30"/>
  <c r="C279" i="30"/>
  <c r="D279" i="30"/>
  <c r="C280" i="30"/>
  <c r="D280" i="30"/>
  <c r="C281" i="30"/>
  <c r="D281" i="30"/>
  <c r="C282" i="30"/>
  <c r="D282" i="30"/>
  <c r="C283" i="30"/>
  <c r="D283" i="30"/>
  <c r="C284" i="30"/>
  <c r="D284" i="30"/>
  <c r="C285" i="30"/>
  <c r="D285" i="30"/>
  <c r="C286" i="30"/>
  <c r="D286" i="30"/>
  <c r="C287" i="30"/>
  <c r="D287" i="30"/>
  <c r="C288" i="30"/>
  <c r="D288" i="30"/>
  <c r="C289" i="30"/>
  <c r="D289" i="30"/>
  <c r="C290" i="30"/>
  <c r="D290" i="30"/>
  <c r="C291" i="30"/>
  <c r="D291" i="30"/>
  <c r="C292" i="30"/>
  <c r="D292" i="30"/>
  <c r="C293" i="30"/>
  <c r="D293" i="30"/>
  <c r="C294" i="30"/>
  <c r="D294" i="30"/>
  <c r="C295" i="30"/>
  <c r="D295" i="30"/>
  <c r="C296" i="30"/>
  <c r="D296" i="30"/>
  <c r="C297" i="30"/>
  <c r="D297" i="30"/>
  <c r="C298" i="30"/>
  <c r="D298" i="30"/>
  <c r="C299" i="30"/>
  <c r="D299" i="30"/>
  <c r="C300" i="30"/>
  <c r="D300" i="30"/>
  <c r="C301" i="30"/>
  <c r="D301" i="30"/>
  <c r="C302" i="30"/>
  <c r="D302" i="30"/>
  <c r="C303" i="30"/>
  <c r="D303" i="30"/>
  <c r="C304" i="30"/>
  <c r="D304" i="30"/>
  <c r="C305" i="30"/>
  <c r="D305" i="30"/>
  <c r="C306" i="30"/>
  <c r="D306" i="30"/>
  <c r="C307" i="30"/>
  <c r="D307" i="30"/>
  <c r="C308" i="30"/>
  <c r="D308" i="30"/>
  <c r="C309" i="30"/>
  <c r="D309" i="30"/>
  <c r="C310" i="30"/>
  <c r="D310" i="30"/>
  <c r="C311" i="30"/>
  <c r="D311" i="30"/>
  <c r="C312" i="30"/>
  <c r="D312" i="30"/>
  <c r="C313" i="30"/>
  <c r="D313" i="30"/>
  <c r="C314" i="30"/>
  <c r="D314" i="30"/>
  <c r="C315" i="30"/>
  <c r="D315" i="30"/>
  <c r="C316" i="30"/>
  <c r="D316" i="30"/>
  <c r="C317" i="30"/>
  <c r="D317" i="30"/>
  <c r="C318" i="30"/>
  <c r="D318" i="30"/>
  <c r="C319" i="30"/>
  <c r="D319" i="30"/>
  <c r="C320" i="30"/>
  <c r="D320" i="30"/>
  <c r="C321" i="30"/>
  <c r="D321" i="30"/>
  <c r="C322" i="30"/>
  <c r="D322" i="30"/>
  <c r="C323" i="30"/>
  <c r="D323" i="30"/>
  <c r="C324" i="30"/>
  <c r="D324" i="30"/>
  <c r="C325" i="30"/>
  <c r="D325" i="30"/>
  <c r="C326" i="30"/>
  <c r="D326" i="30"/>
  <c r="C327" i="30"/>
  <c r="D327" i="30"/>
  <c r="C328" i="30"/>
  <c r="D328" i="30"/>
  <c r="C329" i="30"/>
  <c r="D329" i="30"/>
  <c r="C330" i="30"/>
  <c r="D330" i="30"/>
  <c r="C331" i="30"/>
  <c r="D331" i="30"/>
  <c r="C332" i="30"/>
  <c r="D332" i="30"/>
  <c r="C333" i="30"/>
  <c r="D333" i="30"/>
  <c r="C334" i="30"/>
  <c r="D334" i="30"/>
  <c r="C335" i="30"/>
  <c r="D335" i="30"/>
  <c r="C336" i="30"/>
  <c r="D336" i="30"/>
  <c r="C337" i="30"/>
  <c r="D337" i="30"/>
  <c r="C338" i="30"/>
  <c r="D338" i="30"/>
  <c r="C339" i="30"/>
  <c r="D339" i="30"/>
  <c r="C340" i="30"/>
  <c r="D340" i="30"/>
  <c r="C341" i="30"/>
  <c r="D341" i="30"/>
  <c r="C342" i="30"/>
  <c r="D342" i="30"/>
  <c r="C343" i="30"/>
  <c r="D343" i="30"/>
  <c r="C344" i="30"/>
  <c r="D344" i="30"/>
  <c r="C345" i="30"/>
  <c r="D345" i="30"/>
  <c r="C346" i="30"/>
  <c r="D346" i="30"/>
  <c r="C347" i="30"/>
  <c r="D347" i="30"/>
  <c r="C348" i="30"/>
  <c r="D348" i="30"/>
  <c r="C349" i="30"/>
  <c r="D349" i="30"/>
  <c r="C350" i="30"/>
  <c r="D350" i="30"/>
  <c r="C351" i="30"/>
  <c r="D351" i="30"/>
  <c r="C352" i="30"/>
  <c r="D352" i="30"/>
  <c r="C353" i="30"/>
  <c r="D353" i="30"/>
  <c r="C354" i="30"/>
  <c r="D354" i="30"/>
  <c r="C355" i="30"/>
  <c r="D355" i="30"/>
  <c r="C356" i="30"/>
  <c r="D356" i="30"/>
  <c r="C357" i="30"/>
  <c r="D357" i="30"/>
  <c r="C358" i="30"/>
  <c r="D358" i="30"/>
  <c r="C359" i="30"/>
  <c r="D359" i="30"/>
  <c r="C360" i="30"/>
  <c r="D360" i="30"/>
  <c r="C361" i="30"/>
  <c r="D361" i="30"/>
  <c r="C362" i="30"/>
  <c r="D362" i="30"/>
  <c r="C363" i="30"/>
  <c r="D363" i="30"/>
  <c r="C364" i="30"/>
  <c r="D364" i="30"/>
  <c r="C365" i="30"/>
  <c r="D365" i="30"/>
  <c r="C366" i="30"/>
  <c r="D366" i="30"/>
  <c r="C367" i="30"/>
  <c r="D367" i="30"/>
  <c r="C368" i="30"/>
  <c r="D368" i="30"/>
  <c r="C369" i="30"/>
  <c r="D369" i="30"/>
  <c r="C370" i="30"/>
  <c r="D370" i="30"/>
  <c r="C371" i="30"/>
  <c r="D371" i="30"/>
  <c r="C372" i="30"/>
  <c r="D372" i="30"/>
  <c r="C373" i="30"/>
  <c r="D373" i="30"/>
  <c r="C374" i="30"/>
  <c r="D374" i="30"/>
  <c r="C375" i="30"/>
  <c r="D375" i="30"/>
  <c r="C376" i="30"/>
  <c r="D376" i="30"/>
  <c r="C377" i="30"/>
  <c r="D377" i="30"/>
  <c r="C378" i="30"/>
  <c r="D378" i="30"/>
  <c r="C379" i="30"/>
  <c r="D379" i="30"/>
  <c r="C380" i="30"/>
  <c r="D380" i="30"/>
  <c r="C381" i="30"/>
  <c r="D381" i="30"/>
  <c r="C382" i="30"/>
  <c r="D382" i="30"/>
  <c r="C383" i="30"/>
  <c r="D383" i="30"/>
  <c r="C384" i="30"/>
  <c r="D384" i="30"/>
  <c r="C385" i="30"/>
  <c r="D385" i="30"/>
  <c r="C386" i="30"/>
  <c r="D386" i="30"/>
  <c r="C387" i="30"/>
  <c r="D387" i="30"/>
  <c r="C388" i="30"/>
  <c r="D388" i="30"/>
  <c r="C389" i="30"/>
  <c r="D389" i="30"/>
  <c r="C390" i="30"/>
  <c r="D390" i="30"/>
  <c r="C391" i="30"/>
  <c r="D391" i="30"/>
  <c r="C392" i="30"/>
  <c r="D392" i="30"/>
  <c r="C393" i="30"/>
  <c r="D393" i="30"/>
  <c r="C394" i="30"/>
  <c r="D394" i="30"/>
  <c r="C395" i="30"/>
  <c r="D395" i="30"/>
  <c r="C396" i="30"/>
  <c r="D396" i="30"/>
  <c r="C397" i="30"/>
  <c r="D397" i="30"/>
  <c r="C398" i="30"/>
  <c r="D398" i="30"/>
  <c r="C399" i="30"/>
  <c r="D399" i="30"/>
  <c r="C400" i="30"/>
  <c r="D400" i="30"/>
  <c r="C3" i="30"/>
  <c r="AT4" i="30" l="1"/>
  <c r="AT5" i="30"/>
  <c r="AT6" i="30"/>
  <c r="AV6" i="30" s="1"/>
  <c r="AT7" i="30"/>
  <c r="AV7" i="30" s="1"/>
  <c r="AT8" i="30"/>
  <c r="AV8" i="30" s="1"/>
  <c r="AT9" i="30"/>
  <c r="AV9" i="30" s="1"/>
  <c r="AT10" i="30"/>
  <c r="AV10" i="30" s="1"/>
  <c r="AT11" i="30"/>
  <c r="AT12" i="30"/>
  <c r="AT13" i="30"/>
  <c r="AV13" i="30" s="1"/>
  <c r="AT14" i="30"/>
  <c r="AV14" i="30" s="1"/>
  <c r="AT15" i="30"/>
  <c r="AV15" i="30" s="1"/>
  <c r="AT16" i="30"/>
  <c r="AT17" i="30"/>
  <c r="AV17" i="30" s="1"/>
  <c r="AT18" i="30"/>
  <c r="AV18" i="30" s="1"/>
  <c r="AT19" i="30"/>
  <c r="AV19" i="30" s="1"/>
  <c r="AT20" i="30"/>
  <c r="AV20" i="30" s="1"/>
  <c r="AT21" i="30"/>
  <c r="AV21" i="30" s="1"/>
  <c r="AT22" i="30"/>
  <c r="AT23" i="30"/>
  <c r="AT24" i="30"/>
  <c r="AT25" i="30"/>
  <c r="AT26" i="30"/>
  <c r="AT27" i="30"/>
  <c r="AT28" i="30"/>
  <c r="AV28" i="30" s="1"/>
  <c r="AT29" i="30"/>
  <c r="AV29" i="30" s="1"/>
  <c r="AT30" i="30"/>
  <c r="AV30" i="30" s="1"/>
  <c r="AT31" i="30"/>
  <c r="AV31" i="30" s="1"/>
  <c r="AT32" i="30"/>
  <c r="AV32" i="30" s="1"/>
  <c r="AT33" i="30"/>
  <c r="AT34" i="30"/>
  <c r="AV34" i="30" s="1"/>
  <c r="AT35" i="30"/>
  <c r="AV35" i="30" s="1"/>
  <c r="AT36" i="30"/>
  <c r="AT37" i="30"/>
  <c r="AT38" i="30"/>
  <c r="AT39" i="30"/>
  <c r="AT40" i="30"/>
  <c r="AT41" i="30"/>
  <c r="AV41" i="30" s="1"/>
  <c r="AT42" i="30"/>
  <c r="AV42" i="30" s="1"/>
  <c r="AT43" i="30"/>
  <c r="AV43" i="30" s="1"/>
  <c r="AT44" i="30"/>
  <c r="AV44" i="30" s="1"/>
  <c r="AT45" i="30"/>
  <c r="AT46" i="30"/>
  <c r="AV46" i="30" s="1"/>
  <c r="AT47" i="30"/>
  <c r="AT48" i="30"/>
  <c r="AV48" i="30" s="1"/>
  <c r="AT49" i="30"/>
  <c r="AV49" i="30" s="1"/>
  <c r="AT50" i="30"/>
  <c r="AV50" i="30" s="1"/>
  <c r="AT51" i="30"/>
  <c r="AV51" i="30" s="1"/>
  <c r="AT52" i="30"/>
  <c r="AV52" i="30" s="1"/>
  <c r="AT53" i="30"/>
  <c r="AV53" i="30" s="1"/>
  <c r="AT54" i="30"/>
  <c r="AV54" i="30" s="1"/>
  <c r="AT55" i="30"/>
  <c r="AV55" i="30" s="1"/>
  <c r="AT56" i="30"/>
  <c r="AV56" i="30" s="1"/>
  <c r="AT57" i="30"/>
  <c r="AV57" i="30" s="1"/>
  <c r="AT58" i="30"/>
  <c r="AV58" i="30" s="1"/>
  <c r="AT59" i="30"/>
  <c r="AV59" i="30" s="1"/>
  <c r="AT60" i="30"/>
  <c r="AV60" i="30" s="1"/>
  <c r="AT61" i="30"/>
  <c r="AT62" i="30"/>
  <c r="AV62" i="30" s="1"/>
  <c r="AT63" i="30"/>
  <c r="AV63" i="30" s="1"/>
  <c r="AT64" i="30"/>
  <c r="AV64" i="30" s="1"/>
  <c r="AT65" i="30"/>
  <c r="AT66" i="30"/>
  <c r="AT67" i="30"/>
  <c r="AT68" i="30"/>
  <c r="AT69" i="30"/>
  <c r="AT70" i="30"/>
  <c r="AT71" i="30"/>
  <c r="AV71" i="30" s="1"/>
  <c r="AT72" i="30"/>
  <c r="AV72" i="30" s="1"/>
  <c r="AT73" i="30"/>
  <c r="AV73" i="30" s="1"/>
  <c r="AT74" i="30"/>
  <c r="AT75" i="30"/>
  <c r="AT76" i="30"/>
  <c r="AV76" i="30" s="1"/>
  <c r="AT77" i="30"/>
  <c r="AV77" i="30" s="1"/>
  <c r="AT78" i="30"/>
  <c r="AV78" i="30" s="1"/>
  <c r="AT79" i="30"/>
  <c r="AV79" i="30" s="1"/>
  <c r="AT80" i="30"/>
  <c r="AV80" i="30" s="1"/>
  <c r="AT81" i="30"/>
  <c r="AT82" i="30"/>
  <c r="AT83" i="30"/>
  <c r="AV83" i="30" s="1"/>
  <c r="AT84" i="30"/>
  <c r="AV84" i="30" s="1"/>
  <c r="AT85" i="30"/>
  <c r="AV85" i="30" s="1"/>
  <c r="AT86" i="30"/>
  <c r="AT87" i="30"/>
  <c r="AT88" i="30"/>
  <c r="AT89" i="30"/>
  <c r="AT90" i="30"/>
  <c r="AV90" i="30" s="1"/>
  <c r="AT91" i="30"/>
  <c r="AV91" i="30" s="1"/>
  <c r="AT92" i="30"/>
  <c r="AV92" i="30" s="1"/>
  <c r="AT93" i="30"/>
  <c r="AV93" i="30" s="1"/>
  <c r="AT94" i="30"/>
  <c r="AV94" i="30" s="1"/>
  <c r="AT95" i="30"/>
  <c r="AV95" i="30" s="1"/>
  <c r="AT96" i="30"/>
  <c r="AV96" i="30" s="1"/>
  <c r="AT97" i="30"/>
  <c r="AV97" i="30" s="1"/>
  <c r="AT98" i="30"/>
  <c r="AV98" i="30" s="1"/>
  <c r="AT99" i="30"/>
  <c r="AV99" i="30" s="1"/>
  <c r="AT100" i="30"/>
  <c r="AV100" i="30" s="1"/>
  <c r="AT101" i="30"/>
  <c r="AV101" i="30" s="1"/>
  <c r="AT102" i="30"/>
  <c r="AV102" i="30" s="1"/>
  <c r="AT103" i="30"/>
  <c r="AV103" i="30" s="1"/>
  <c r="AT104" i="30"/>
  <c r="AT105" i="30"/>
  <c r="AV105" i="30" s="1"/>
  <c r="AT106" i="30"/>
  <c r="AV106" i="30" s="1"/>
  <c r="AT107" i="30"/>
  <c r="AV107" i="30" s="1"/>
  <c r="AT108" i="30"/>
  <c r="AV108" i="30" s="1"/>
  <c r="AT109" i="30"/>
  <c r="AV109" i="30" s="1"/>
  <c r="AT110" i="30"/>
  <c r="AV110" i="30" s="1"/>
  <c r="AT111" i="30"/>
  <c r="AT112" i="30"/>
  <c r="AT113" i="30"/>
  <c r="AV113" i="30" s="1"/>
  <c r="AT114" i="30"/>
  <c r="AV114" i="30" s="1"/>
  <c r="AT115" i="30"/>
  <c r="AV115" i="30" s="1"/>
  <c r="AT116" i="30"/>
  <c r="AT117" i="30"/>
  <c r="AT118" i="30"/>
  <c r="AV118" i="30" s="1"/>
  <c r="AT119" i="30"/>
  <c r="AV119" i="30" s="1"/>
  <c r="AT120" i="30"/>
  <c r="AV120" i="30" s="1"/>
  <c r="AT121" i="30"/>
  <c r="AT122" i="30"/>
  <c r="AV122" i="30" s="1"/>
  <c r="AT123" i="30"/>
  <c r="AV123" i="30" s="1"/>
  <c r="AT124" i="30"/>
  <c r="AV124" i="30" s="1"/>
  <c r="AT125" i="30"/>
  <c r="AV125" i="30" s="1"/>
  <c r="AT126" i="30"/>
  <c r="AV126" i="30" s="1"/>
  <c r="AT127" i="30"/>
  <c r="AV127" i="30" s="1"/>
  <c r="AT128" i="30"/>
  <c r="AV128" i="30" s="1"/>
  <c r="AT129" i="30"/>
  <c r="AT130" i="30"/>
  <c r="AT131" i="30"/>
  <c r="AT132" i="30"/>
  <c r="AT133" i="30"/>
  <c r="AT134" i="30"/>
  <c r="AV134" i="30" s="1"/>
  <c r="AT135" i="30"/>
  <c r="AV135" i="30" s="1"/>
  <c r="AT136" i="30"/>
  <c r="AV136" i="30" s="1"/>
  <c r="AT137" i="30"/>
  <c r="AV137" i="30" s="1"/>
  <c r="AT138" i="30"/>
  <c r="AT139" i="30"/>
  <c r="AV139" i="30" s="1"/>
  <c r="AT140" i="30"/>
  <c r="AV140" i="30" s="1"/>
  <c r="AT141" i="30"/>
  <c r="AV141" i="30" s="1"/>
  <c r="AT142" i="30"/>
  <c r="AT143" i="30"/>
  <c r="AV143" i="30" s="1"/>
  <c r="AT144" i="30"/>
  <c r="AV144" i="30" s="1"/>
  <c r="AT145" i="30"/>
  <c r="AV145" i="30" s="1"/>
  <c r="AT146" i="30"/>
  <c r="AV146" i="30" s="1"/>
  <c r="AT147" i="30"/>
  <c r="AV147" i="30" s="1"/>
  <c r="AT148" i="30"/>
  <c r="AT149" i="30"/>
  <c r="AV149" i="30" s="1"/>
  <c r="AT150" i="30"/>
  <c r="AV150" i="30" s="1"/>
  <c r="AT151" i="30"/>
  <c r="AT152" i="30"/>
  <c r="AV152" i="30" s="1"/>
  <c r="AT153" i="30"/>
  <c r="AT154" i="30"/>
  <c r="AT155" i="30"/>
  <c r="AT156" i="30"/>
  <c r="AT157" i="30"/>
  <c r="AT158" i="30"/>
  <c r="AT159" i="30"/>
  <c r="AT160" i="30"/>
  <c r="AT161" i="30"/>
  <c r="AT162" i="30"/>
  <c r="AT163" i="30"/>
  <c r="AT164" i="30"/>
  <c r="AT165" i="30"/>
  <c r="AT166" i="30"/>
  <c r="AT167" i="30"/>
  <c r="AT168" i="30"/>
  <c r="AT169" i="30"/>
  <c r="AT170" i="30"/>
  <c r="AT171" i="30"/>
  <c r="AT172" i="30"/>
  <c r="AT173" i="30"/>
  <c r="AT174" i="30"/>
  <c r="AT175" i="30"/>
  <c r="AT176" i="30"/>
  <c r="AT177" i="30"/>
  <c r="AT178" i="30"/>
  <c r="AT179" i="30"/>
  <c r="AT180" i="30"/>
  <c r="AT181" i="30"/>
  <c r="AT182" i="30"/>
  <c r="AT183" i="30"/>
  <c r="AT184" i="30"/>
  <c r="AT185" i="30"/>
  <c r="AT186" i="30"/>
  <c r="AT187" i="30"/>
  <c r="AT188" i="30"/>
  <c r="AT189" i="30"/>
  <c r="AT190" i="30"/>
  <c r="AT191" i="30"/>
  <c r="AT192" i="30"/>
  <c r="AT193" i="30"/>
  <c r="AT194" i="30"/>
  <c r="AT195" i="30"/>
  <c r="AT196" i="30"/>
  <c r="AT197" i="30"/>
  <c r="AT198" i="30"/>
  <c r="AT199" i="30"/>
  <c r="AT200" i="30"/>
  <c r="AT201" i="30"/>
  <c r="AT202" i="30"/>
  <c r="AT203" i="30"/>
  <c r="AT204" i="30"/>
  <c r="AT205" i="30"/>
  <c r="AT206" i="30"/>
  <c r="AT207" i="30"/>
  <c r="AT208" i="30"/>
  <c r="AT209" i="30"/>
  <c r="AT210" i="30"/>
  <c r="AT211" i="30"/>
  <c r="AT212" i="30"/>
  <c r="AT213" i="30"/>
  <c r="AT214" i="30"/>
  <c r="AT215" i="30"/>
  <c r="AT216" i="30"/>
  <c r="AT217" i="30"/>
  <c r="AT218" i="30"/>
  <c r="AT219" i="30"/>
  <c r="AT220" i="30"/>
  <c r="AT221" i="30"/>
  <c r="AT222" i="30"/>
  <c r="AT223" i="30"/>
  <c r="AT224" i="30"/>
  <c r="AT225" i="30"/>
  <c r="AT226" i="30"/>
  <c r="AT227" i="30"/>
  <c r="AT228" i="30"/>
  <c r="AT229" i="30"/>
  <c r="AT230" i="30"/>
  <c r="AT231" i="30"/>
  <c r="AT232" i="30"/>
  <c r="AT233" i="30"/>
  <c r="AT234" i="30"/>
  <c r="AT235" i="30"/>
  <c r="AT236" i="30"/>
  <c r="AT237" i="30"/>
  <c r="AT238" i="30"/>
  <c r="AT239" i="30"/>
  <c r="AT240" i="30"/>
  <c r="AT241" i="30"/>
  <c r="AT242" i="30"/>
  <c r="AT243" i="30"/>
  <c r="AT244" i="30"/>
  <c r="AT245" i="30"/>
  <c r="AT246" i="30"/>
  <c r="AT247" i="30"/>
  <c r="AT248" i="30"/>
  <c r="AT249" i="30"/>
  <c r="AT250" i="30"/>
  <c r="AT251" i="30"/>
  <c r="AT252" i="30"/>
  <c r="AT253" i="30"/>
  <c r="AT254" i="30"/>
  <c r="AT255" i="30"/>
  <c r="AT256" i="30"/>
  <c r="AT257" i="30"/>
  <c r="AT258" i="30"/>
  <c r="AT259" i="30"/>
  <c r="AT260" i="30"/>
  <c r="AT261" i="30"/>
  <c r="AT262" i="30"/>
  <c r="AT263" i="30"/>
  <c r="AT264" i="30"/>
  <c r="AT265" i="30"/>
  <c r="AT266" i="30"/>
  <c r="AT267" i="30"/>
  <c r="AT268" i="30"/>
  <c r="AT269" i="30"/>
  <c r="AT270" i="30"/>
  <c r="AT271" i="30"/>
  <c r="AT272" i="30"/>
  <c r="AT273" i="30"/>
  <c r="AT274" i="30"/>
  <c r="AT275" i="30"/>
  <c r="AT276" i="30"/>
  <c r="AT277" i="30"/>
  <c r="AT278" i="30"/>
  <c r="AT279" i="30"/>
  <c r="AT280" i="30"/>
  <c r="AT281" i="30"/>
  <c r="AT282" i="30"/>
  <c r="AT283" i="30"/>
  <c r="AT284" i="30"/>
  <c r="AT285" i="30"/>
  <c r="AT286" i="30"/>
  <c r="AT287" i="30"/>
  <c r="AT288" i="30"/>
  <c r="AT289" i="30"/>
  <c r="AT290" i="30"/>
  <c r="AT291" i="30"/>
  <c r="AT292" i="30"/>
  <c r="AT293" i="30"/>
  <c r="AT294" i="30"/>
  <c r="AT295" i="30"/>
  <c r="AT296" i="30"/>
  <c r="AT297" i="30"/>
  <c r="AT298" i="30"/>
  <c r="AT299" i="30"/>
  <c r="AT300" i="30"/>
  <c r="AT301" i="30"/>
  <c r="AT302" i="30"/>
  <c r="AT303" i="30"/>
  <c r="AT304" i="30"/>
  <c r="AT305" i="30"/>
  <c r="AT306" i="30"/>
  <c r="AT307" i="30"/>
  <c r="AT308" i="30"/>
  <c r="AT309" i="30"/>
  <c r="AT310" i="30"/>
  <c r="AT311" i="30"/>
  <c r="AT312" i="30"/>
  <c r="AT313" i="30"/>
  <c r="AT314" i="30"/>
  <c r="AT315" i="30"/>
  <c r="AT316" i="30"/>
  <c r="AT317" i="30"/>
  <c r="AT318" i="30"/>
  <c r="AT319" i="30"/>
  <c r="AT320" i="30"/>
  <c r="AT321" i="30"/>
  <c r="AT322" i="30"/>
  <c r="AT323" i="30"/>
  <c r="AT324" i="30"/>
  <c r="AT325" i="30"/>
  <c r="AT326" i="30"/>
  <c r="AT327" i="30"/>
  <c r="AT328" i="30"/>
  <c r="AT329" i="30"/>
  <c r="AT330" i="30"/>
  <c r="AT331" i="30"/>
  <c r="AT332" i="30"/>
  <c r="AT333" i="30"/>
  <c r="AT334" i="30"/>
  <c r="AT335" i="30"/>
  <c r="AT336" i="30"/>
  <c r="AT337" i="30"/>
  <c r="AT338" i="30"/>
  <c r="AT339" i="30"/>
  <c r="AT340" i="30"/>
  <c r="AT341" i="30"/>
  <c r="AT342" i="30"/>
  <c r="AT343" i="30"/>
  <c r="AT344" i="30"/>
  <c r="AT345" i="30"/>
  <c r="AT346" i="30"/>
  <c r="AT347" i="30"/>
  <c r="AT348" i="30"/>
  <c r="AT349" i="30"/>
  <c r="AT350" i="30"/>
  <c r="AT351" i="30"/>
  <c r="AT352" i="30"/>
  <c r="AT353" i="30"/>
  <c r="AT354" i="30"/>
  <c r="AT355" i="30"/>
  <c r="AT356" i="30"/>
  <c r="AT357" i="30"/>
  <c r="AT358" i="30"/>
  <c r="AT359" i="30"/>
  <c r="AT360" i="30"/>
  <c r="AT361" i="30"/>
  <c r="AT362" i="30"/>
  <c r="AT363" i="30"/>
  <c r="AT364" i="30"/>
  <c r="AT365" i="30"/>
  <c r="AT366" i="30"/>
  <c r="AT367" i="30"/>
  <c r="AT368" i="30"/>
  <c r="AT369" i="30"/>
  <c r="AT370" i="30"/>
  <c r="AT371" i="30"/>
  <c r="AT372" i="30"/>
  <c r="AT373" i="30"/>
  <c r="AT374" i="30"/>
  <c r="AT375" i="30"/>
  <c r="AT376" i="30"/>
  <c r="AT377" i="30"/>
  <c r="AT378" i="30"/>
  <c r="AT379" i="30"/>
  <c r="AT380" i="30"/>
  <c r="AT381" i="30"/>
  <c r="AT382" i="30"/>
  <c r="AT383" i="30"/>
  <c r="AT384" i="30"/>
  <c r="AT385" i="30"/>
  <c r="AT386" i="30"/>
  <c r="AT387" i="30"/>
  <c r="AT388" i="30"/>
  <c r="AT389" i="30"/>
  <c r="AT390" i="30"/>
  <c r="AT391" i="30"/>
  <c r="AT392" i="30"/>
  <c r="AT393" i="30"/>
  <c r="AT394" i="30"/>
  <c r="AT395" i="30"/>
  <c r="AT396" i="30"/>
  <c r="AT397" i="30"/>
  <c r="AT398" i="30"/>
  <c r="AT399" i="30"/>
  <c r="AT400" i="30"/>
  <c r="AP4" i="30"/>
  <c r="AP5" i="30"/>
  <c r="AP6" i="30"/>
  <c r="AR6" i="30" s="1"/>
  <c r="AP7" i="30"/>
  <c r="AR7" i="30" s="1"/>
  <c r="AP8" i="30"/>
  <c r="AR8" i="30" s="1"/>
  <c r="AP9" i="30"/>
  <c r="AR9" i="30" s="1"/>
  <c r="AP10" i="30"/>
  <c r="AR10" i="30" s="1"/>
  <c r="AP11" i="30"/>
  <c r="AP12" i="30"/>
  <c r="AP13" i="30"/>
  <c r="AR13" i="30" s="1"/>
  <c r="AP14" i="30"/>
  <c r="AR14" i="30" s="1"/>
  <c r="AP15" i="30"/>
  <c r="AR15" i="30" s="1"/>
  <c r="AP16" i="30"/>
  <c r="AP17" i="30"/>
  <c r="AR17" i="30" s="1"/>
  <c r="AP18" i="30"/>
  <c r="AR18" i="30" s="1"/>
  <c r="AP19" i="30"/>
  <c r="AR19" i="30" s="1"/>
  <c r="AP20" i="30"/>
  <c r="AR20" i="30" s="1"/>
  <c r="AP21" i="30"/>
  <c r="AR21" i="30" s="1"/>
  <c r="AP22" i="30"/>
  <c r="AP23" i="30"/>
  <c r="AP24" i="30"/>
  <c r="AP25" i="30"/>
  <c r="AP26" i="30"/>
  <c r="AP27" i="30"/>
  <c r="AP28" i="30"/>
  <c r="AR28" i="30" s="1"/>
  <c r="AP29" i="30"/>
  <c r="AR29" i="30" s="1"/>
  <c r="AP30" i="30"/>
  <c r="AR30" i="30" s="1"/>
  <c r="AP31" i="30"/>
  <c r="AR31" i="30" s="1"/>
  <c r="AP32" i="30"/>
  <c r="AR32" i="30" s="1"/>
  <c r="AP33" i="30"/>
  <c r="AP34" i="30"/>
  <c r="AR34" i="30" s="1"/>
  <c r="AP35" i="30"/>
  <c r="AR35" i="30" s="1"/>
  <c r="AP36" i="30"/>
  <c r="AP37" i="30"/>
  <c r="AP38" i="30"/>
  <c r="AP39" i="30"/>
  <c r="AP40" i="30"/>
  <c r="AP41" i="30"/>
  <c r="AR41" i="30" s="1"/>
  <c r="AP42" i="30"/>
  <c r="AR42" i="30" s="1"/>
  <c r="AP43" i="30"/>
  <c r="AR43" i="30" s="1"/>
  <c r="AP44" i="30"/>
  <c r="AR44" i="30" s="1"/>
  <c r="AP45" i="30"/>
  <c r="AP46" i="30"/>
  <c r="AR46" i="30" s="1"/>
  <c r="AP47" i="30"/>
  <c r="AP48" i="30"/>
  <c r="AR48" i="30" s="1"/>
  <c r="AP49" i="30"/>
  <c r="AR49" i="30" s="1"/>
  <c r="AP50" i="30"/>
  <c r="AR50" i="30" s="1"/>
  <c r="AP51" i="30"/>
  <c r="AR51" i="30" s="1"/>
  <c r="AP52" i="30"/>
  <c r="AR52" i="30" s="1"/>
  <c r="AP53" i="30"/>
  <c r="AR53" i="30" s="1"/>
  <c r="AP54" i="30"/>
  <c r="AR54" i="30" s="1"/>
  <c r="AP55" i="30"/>
  <c r="AR55" i="30" s="1"/>
  <c r="AP56" i="30"/>
  <c r="AR56" i="30" s="1"/>
  <c r="AP57" i="30"/>
  <c r="AR57" i="30" s="1"/>
  <c r="AP58" i="30"/>
  <c r="AR58" i="30" s="1"/>
  <c r="AP59" i="30"/>
  <c r="AR59" i="30" s="1"/>
  <c r="AP60" i="30"/>
  <c r="AR60" i="30" s="1"/>
  <c r="AP61" i="30"/>
  <c r="AP62" i="30"/>
  <c r="AR62" i="30" s="1"/>
  <c r="AP63" i="30"/>
  <c r="AR63" i="30" s="1"/>
  <c r="AP64" i="30"/>
  <c r="AR64" i="30" s="1"/>
  <c r="AP65" i="30"/>
  <c r="AP66" i="30"/>
  <c r="AP67" i="30"/>
  <c r="AP68" i="30"/>
  <c r="AP69" i="30"/>
  <c r="AP70" i="30"/>
  <c r="AP71" i="30"/>
  <c r="AR71" i="30" s="1"/>
  <c r="AP72" i="30"/>
  <c r="AR72" i="30" s="1"/>
  <c r="AP73" i="30"/>
  <c r="AR73" i="30" s="1"/>
  <c r="AP74" i="30"/>
  <c r="AP75" i="30"/>
  <c r="AP76" i="30"/>
  <c r="AR76" i="30" s="1"/>
  <c r="AP77" i="30"/>
  <c r="AR77" i="30" s="1"/>
  <c r="AP78" i="30"/>
  <c r="AR78" i="30" s="1"/>
  <c r="AP79" i="30"/>
  <c r="AR79" i="30" s="1"/>
  <c r="AP80" i="30"/>
  <c r="AR80" i="30" s="1"/>
  <c r="AP81" i="30"/>
  <c r="AP82" i="30"/>
  <c r="AP83" i="30"/>
  <c r="AR83" i="30" s="1"/>
  <c r="AP84" i="30"/>
  <c r="AR84" i="30" s="1"/>
  <c r="AP85" i="30"/>
  <c r="AR85" i="30" s="1"/>
  <c r="AP86" i="30"/>
  <c r="AP87" i="30"/>
  <c r="AP88" i="30"/>
  <c r="AP89" i="30"/>
  <c r="AP90" i="30"/>
  <c r="AR90" i="30" s="1"/>
  <c r="AP91" i="30"/>
  <c r="AR91" i="30" s="1"/>
  <c r="AP92" i="30"/>
  <c r="AR92" i="30" s="1"/>
  <c r="AP93" i="30"/>
  <c r="AR93" i="30" s="1"/>
  <c r="AP94" i="30"/>
  <c r="AR94" i="30" s="1"/>
  <c r="AP95" i="30"/>
  <c r="AR95" i="30" s="1"/>
  <c r="AP96" i="30"/>
  <c r="AR96" i="30" s="1"/>
  <c r="AP97" i="30"/>
  <c r="AR97" i="30" s="1"/>
  <c r="AP98" i="30"/>
  <c r="AR98" i="30" s="1"/>
  <c r="AP99" i="30"/>
  <c r="AR99" i="30" s="1"/>
  <c r="AP100" i="30"/>
  <c r="AR100" i="30" s="1"/>
  <c r="AP101" i="30"/>
  <c r="AR101" i="30" s="1"/>
  <c r="AP102" i="30"/>
  <c r="AR102" i="30" s="1"/>
  <c r="AP103" i="30"/>
  <c r="AR103" i="30" s="1"/>
  <c r="AP104" i="30"/>
  <c r="AP105" i="30"/>
  <c r="AR105" i="30" s="1"/>
  <c r="AP106" i="30"/>
  <c r="AR106" i="30" s="1"/>
  <c r="AP107" i="30"/>
  <c r="AR107" i="30" s="1"/>
  <c r="AP108" i="30"/>
  <c r="AR108" i="30" s="1"/>
  <c r="AP109" i="30"/>
  <c r="AR109" i="30" s="1"/>
  <c r="AP110" i="30"/>
  <c r="AR110" i="30" s="1"/>
  <c r="AP111" i="30"/>
  <c r="AP112" i="30"/>
  <c r="AP113" i="30"/>
  <c r="AR113" i="30" s="1"/>
  <c r="AP114" i="30"/>
  <c r="AR114" i="30" s="1"/>
  <c r="AP115" i="30"/>
  <c r="AR115" i="30" s="1"/>
  <c r="AP116" i="30"/>
  <c r="AP117" i="30"/>
  <c r="AP118" i="30"/>
  <c r="AR118" i="30" s="1"/>
  <c r="AP119" i="30"/>
  <c r="AR119" i="30" s="1"/>
  <c r="AP120" i="30"/>
  <c r="AR120" i="30" s="1"/>
  <c r="AP121" i="30"/>
  <c r="AP122" i="30"/>
  <c r="AR122" i="30" s="1"/>
  <c r="AP123" i="30"/>
  <c r="AR123" i="30" s="1"/>
  <c r="AP124" i="30"/>
  <c r="AR124" i="30" s="1"/>
  <c r="AP125" i="30"/>
  <c r="AR125" i="30" s="1"/>
  <c r="AP126" i="30"/>
  <c r="AR126" i="30" s="1"/>
  <c r="AP127" i="30"/>
  <c r="AR127" i="30" s="1"/>
  <c r="AP128" i="30"/>
  <c r="AR128" i="30" s="1"/>
  <c r="AP129" i="30"/>
  <c r="AP130" i="30"/>
  <c r="AP131" i="30"/>
  <c r="AP132" i="30"/>
  <c r="AP133" i="30"/>
  <c r="AP134" i="30"/>
  <c r="AR134" i="30" s="1"/>
  <c r="AP135" i="30"/>
  <c r="AR135" i="30" s="1"/>
  <c r="AP136" i="30"/>
  <c r="AR136" i="30" s="1"/>
  <c r="AP137" i="30"/>
  <c r="AR137" i="30" s="1"/>
  <c r="AP138" i="30"/>
  <c r="AP139" i="30"/>
  <c r="AR139" i="30" s="1"/>
  <c r="AP140" i="30"/>
  <c r="AR140" i="30" s="1"/>
  <c r="AP141" i="30"/>
  <c r="AR141" i="30" s="1"/>
  <c r="AP142" i="30"/>
  <c r="AP143" i="30"/>
  <c r="AR143" i="30" s="1"/>
  <c r="AP144" i="30"/>
  <c r="AR144" i="30" s="1"/>
  <c r="AP145" i="30"/>
  <c r="AR145" i="30" s="1"/>
  <c r="AP146" i="30"/>
  <c r="AR146" i="30" s="1"/>
  <c r="AP147" i="30"/>
  <c r="AR147" i="30" s="1"/>
  <c r="AP148" i="30"/>
  <c r="AP149" i="30"/>
  <c r="AR149" i="30" s="1"/>
  <c r="AP150" i="30"/>
  <c r="AR150" i="30" s="1"/>
  <c r="AP151" i="30"/>
  <c r="AP152" i="30"/>
  <c r="AR152" i="30" s="1"/>
  <c r="AP153" i="30"/>
  <c r="AP154" i="30"/>
  <c r="AP155" i="30"/>
  <c r="AP156" i="30"/>
  <c r="AP157" i="30"/>
  <c r="AP158" i="30"/>
  <c r="AP159" i="30"/>
  <c r="AP160" i="30"/>
  <c r="AP161" i="30"/>
  <c r="AP162" i="30"/>
  <c r="AP163" i="30"/>
  <c r="AP164" i="30"/>
  <c r="AP165" i="30"/>
  <c r="AP166" i="30"/>
  <c r="AP167" i="30"/>
  <c r="AP168" i="30"/>
  <c r="AP169" i="30"/>
  <c r="AP170" i="30"/>
  <c r="AP171" i="30"/>
  <c r="AP172" i="30"/>
  <c r="AP173" i="30"/>
  <c r="AP174" i="30"/>
  <c r="AP175" i="30"/>
  <c r="AP176" i="30"/>
  <c r="AP177" i="30"/>
  <c r="AP178" i="30"/>
  <c r="AP179" i="30"/>
  <c r="AP180" i="30"/>
  <c r="AP181" i="30"/>
  <c r="AP182" i="30"/>
  <c r="AP183" i="30"/>
  <c r="AP184" i="30"/>
  <c r="AP185" i="30"/>
  <c r="AP186" i="30"/>
  <c r="AP187" i="30"/>
  <c r="AP188" i="30"/>
  <c r="AP189" i="30"/>
  <c r="AP190" i="30"/>
  <c r="AP191" i="30"/>
  <c r="AP192" i="30"/>
  <c r="AP193" i="30"/>
  <c r="AP194" i="30"/>
  <c r="AP195" i="30"/>
  <c r="AP196" i="30"/>
  <c r="AP197" i="30"/>
  <c r="AP198" i="30"/>
  <c r="AP199" i="30"/>
  <c r="AP200" i="30"/>
  <c r="AP201" i="30"/>
  <c r="AP202" i="30"/>
  <c r="AP203" i="30"/>
  <c r="AP204" i="30"/>
  <c r="AP205" i="30"/>
  <c r="AP206" i="30"/>
  <c r="AP207" i="30"/>
  <c r="AP208" i="30"/>
  <c r="AP209" i="30"/>
  <c r="AP210" i="30"/>
  <c r="AP211" i="30"/>
  <c r="AP212" i="30"/>
  <c r="AP213" i="30"/>
  <c r="AP214" i="30"/>
  <c r="AP215" i="30"/>
  <c r="AP216" i="30"/>
  <c r="AP217" i="30"/>
  <c r="AP218" i="30"/>
  <c r="AP219" i="30"/>
  <c r="AP220" i="30"/>
  <c r="AP221" i="30"/>
  <c r="AP222" i="30"/>
  <c r="AP223" i="30"/>
  <c r="AP224" i="30"/>
  <c r="AP225" i="30"/>
  <c r="AP226" i="30"/>
  <c r="AP227" i="30"/>
  <c r="AP228" i="30"/>
  <c r="AP229" i="30"/>
  <c r="AP230" i="30"/>
  <c r="AP231" i="30"/>
  <c r="AP232" i="30"/>
  <c r="AP233" i="30"/>
  <c r="AP234" i="30"/>
  <c r="AP235" i="30"/>
  <c r="AP236" i="30"/>
  <c r="AP237" i="30"/>
  <c r="AP238" i="30"/>
  <c r="AP239" i="30"/>
  <c r="AP240" i="30"/>
  <c r="AP241" i="30"/>
  <c r="AP242" i="30"/>
  <c r="AP243" i="30"/>
  <c r="AP244" i="30"/>
  <c r="AP245" i="30"/>
  <c r="AP246" i="30"/>
  <c r="AP247" i="30"/>
  <c r="AP248" i="30"/>
  <c r="AP249" i="30"/>
  <c r="AP250" i="30"/>
  <c r="AP251" i="30"/>
  <c r="AP252" i="30"/>
  <c r="AP253" i="30"/>
  <c r="AP254" i="30"/>
  <c r="AP255" i="30"/>
  <c r="AP256" i="30"/>
  <c r="AP257" i="30"/>
  <c r="AP258" i="30"/>
  <c r="AP259" i="30"/>
  <c r="AP260" i="30"/>
  <c r="AP261" i="30"/>
  <c r="AP262" i="30"/>
  <c r="AP263" i="30"/>
  <c r="AP264" i="30"/>
  <c r="AP265" i="30"/>
  <c r="AP266" i="30"/>
  <c r="AP267" i="30"/>
  <c r="AP268" i="30"/>
  <c r="AP269" i="30"/>
  <c r="AP270" i="30"/>
  <c r="AP271" i="30"/>
  <c r="AP272" i="30"/>
  <c r="AP273" i="30"/>
  <c r="AP274" i="30"/>
  <c r="AP275" i="30"/>
  <c r="AP276" i="30"/>
  <c r="AP277" i="30"/>
  <c r="AP278" i="30"/>
  <c r="AP279" i="30"/>
  <c r="AP280" i="30"/>
  <c r="AP281" i="30"/>
  <c r="AP282" i="30"/>
  <c r="AP283" i="30"/>
  <c r="AP284" i="30"/>
  <c r="AP285" i="30"/>
  <c r="AP286" i="30"/>
  <c r="AP287" i="30"/>
  <c r="AP288" i="30"/>
  <c r="AP289" i="30"/>
  <c r="AP290" i="30"/>
  <c r="AP291" i="30"/>
  <c r="AP292" i="30"/>
  <c r="AP293" i="30"/>
  <c r="AP294" i="30"/>
  <c r="AP295" i="30"/>
  <c r="AP296" i="30"/>
  <c r="AP297" i="30"/>
  <c r="AP298" i="30"/>
  <c r="AP299" i="30"/>
  <c r="AP300" i="30"/>
  <c r="AP301" i="30"/>
  <c r="AP302" i="30"/>
  <c r="AP303" i="30"/>
  <c r="AP304" i="30"/>
  <c r="AP305" i="30"/>
  <c r="AP306" i="30"/>
  <c r="AP307" i="30"/>
  <c r="AP308" i="30"/>
  <c r="AP309" i="30"/>
  <c r="AP310" i="30"/>
  <c r="AP311" i="30"/>
  <c r="AP312" i="30"/>
  <c r="AP313" i="30"/>
  <c r="AP314" i="30"/>
  <c r="AP315" i="30"/>
  <c r="AP316" i="30"/>
  <c r="AP317" i="30"/>
  <c r="AP318" i="30"/>
  <c r="AP319" i="30"/>
  <c r="AP320" i="30"/>
  <c r="AP321" i="30"/>
  <c r="AP322" i="30"/>
  <c r="AP323" i="30"/>
  <c r="AP324" i="30"/>
  <c r="AP325" i="30"/>
  <c r="AP326" i="30"/>
  <c r="AP327" i="30"/>
  <c r="AP328" i="30"/>
  <c r="AP329" i="30"/>
  <c r="AP330" i="30"/>
  <c r="AP331" i="30"/>
  <c r="AP332" i="30"/>
  <c r="AP333" i="30"/>
  <c r="AP334" i="30"/>
  <c r="AP335" i="30"/>
  <c r="AP336" i="30"/>
  <c r="AP337" i="30"/>
  <c r="AP338" i="30"/>
  <c r="AP339" i="30"/>
  <c r="AP340" i="30"/>
  <c r="AP341" i="30"/>
  <c r="AP342" i="30"/>
  <c r="AP343" i="30"/>
  <c r="AP344" i="30"/>
  <c r="AP345" i="30"/>
  <c r="AP346" i="30"/>
  <c r="AP347" i="30"/>
  <c r="AP348" i="30"/>
  <c r="AP349" i="30"/>
  <c r="AP350" i="30"/>
  <c r="AP351" i="30"/>
  <c r="AP352" i="30"/>
  <c r="AP353" i="30"/>
  <c r="AP354" i="30"/>
  <c r="AP355" i="30"/>
  <c r="AP356" i="30"/>
  <c r="AP357" i="30"/>
  <c r="AP358" i="30"/>
  <c r="AP359" i="30"/>
  <c r="AP360" i="30"/>
  <c r="AP361" i="30"/>
  <c r="AP362" i="30"/>
  <c r="AP363" i="30"/>
  <c r="AP364" i="30"/>
  <c r="AP365" i="30"/>
  <c r="AP366" i="30"/>
  <c r="AP367" i="30"/>
  <c r="AP368" i="30"/>
  <c r="AP369" i="30"/>
  <c r="AP370" i="30"/>
  <c r="AP371" i="30"/>
  <c r="AP372" i="30"/>
  <c r="AP373" i="30"/>
  <c r="AP374" i="30"/>
  <c r="AP375" i="30"/>
  <c r="AP376" i="30"/>
  <c r="AP377" i="30"/>
  <c r="AP378" i="30"/>
  <c r="AP379" i="30"/>
  <c r="AP380" i="30"/>
  <c r="AP381" i="30"/>
  <c r="AP382" i="30"/>
  <c r="AP383" i="30"/>
  <c r="AP384" i="30"/>
  <c r="AP385" i="30"/>
  <c r="AP386" i="30"/>
  <c r="AP387" i="30"/>
  <c r="AP388" i="30"/>
  <c r="AP389" i="30"/>
  <c r="AP390" i="30"/>
  <c r="AP391" i="30"/>
  <c r="AP392" i="30"/>
  <c r="AP393" i="30"/>
  <c r="AP394" i="30"/>
  <c r="AP395" i="30"/>
  <c r="AP396" i="30"/>
  <c r="AP397" i="30"/>
  <c r="AP398" i="30"/>
  <c r="AP399" i="30"/>
  <c r="AP400" i="30"/>
  <c r="AL4" i="30"/>
  <c r="AL5" i="30"/>
  <c r="AL6" i="30"/>
  <c r="AN6" i="30" s="1"/>
  <c r="AL7" i="30"/>
  <c r="AN7" i="30" s="1"/>
  <c r="AL8" i="30"/>
  <c r="AN8" i="30" s="1"/>
  <c r="AL9" i="30"/>
  <c r="AN9" i="30" s="1"/>
  <c r="AL10" i="30"/>
  <c r="AN10" i="30" s="1"/>
  <c r="AL11" i="30"/>
  <c r="AL12" i="30"/>
  <c r="AL13" i="30"/>
  <c r="AN13" i="30" s="1"/>
  <c r="AL14" i="30"/>
  <c r="AN14" i="30" s="1"/>
  <c r="AL15" i="30"/>
  <c r="AN15" i="30" s="1"/>
  <c r="AL16" i="30"/>
  <c r="AL17" i="30"/>
  <c r="AN17" i="30" s="1"/>
  <c r="AL18" i="30"/>
  <c r="AN18" i="30" s="1"/>
  <c r="AL19" i="30"/>
  <c r="AN19" i="30" s="1"/>
  <c r="AL20" i="30"/>
  <c r="AN20" i="30" s="1"/>
  <c r="AL21" i="30"/>
  <c r="AN21" i="30" s="1"/>
  <c r="AL22" i="30"/>
  <c r="AL23" i="30"/>
  <c r="AL24" i="30"/>
  <c r="AL25" i="30"/>
  <c r="AL26" i="30"/>
  <c r="AL27" i="30"/>
  <c r="AL28" i="30"/>
  <c r="AN28" i="30" s="1"/>
  <c r="AL29" i="30"/>
  <c r="AN29" i="30" s="1"/>
  <c r="AL30" i="30"/>
  <c r="AN30" i="30" s="1"/>
  <c r="AL31" i="30"/>
  <c r="AN31" i="30" s="1"/>
  <c r="AL32" i="30"/>
  <c r="AN32" i="30" s="1"/>
  <c r="AL33" i="30"/>
  <c r="AL34" i="30"/>
  <c r="AN34" i="30" s="1"/>
  <c r="AL35" i="30"/>
  <c r="AN35" i="30" s="1"/>
  <c r="AL36" i="30"/>
  <c r="AL37" i="30"/>
  <c r="AL38" i="30"/>
  <c r="AL39" i="30"/>
  <c r="AL40" i="30"/>
  <c r="AL41" i="30"/>
  <c r="AN41" i="30" s="1"/>
  <c r="AL42" i="30"/>
  <c r="AN42" i="30" s="1"/>
  <c r="AL43" i="30"/>
  <c r="AN43" i="30" s="1"/>
  <c r="AL44" i="30"/>
  <c r="AN44" i="30" s="1"/>
  <c r="AL45" i="30"/>
  <c r="AL46" i="30"/>
  <c r="AN46" i="30" s="1"/>
  <c r="AL47" i="30"/>
  <c r="AL48" i="30"/>
  <c r="AN48" i="30" s="1"/>
  <c r="AL49" i="30"/>
  <c r="AN49" i="30" s="1"/>
  <c r="AL50" i="30"/>
  <c r="AN50" i="30" s="1"/>
  <c r="AL51" i="30"/>
  <c r="AN51" i="30" s="1"/>
  <c r="AL52" i="30"/>
  <c r="AN52" i="30" s="1"/>
  <c r="AL53" i="30"/>
  <c r="AN53" i="30" s="1"/>
  <c r="AL54" i="30"/>
  <c r="AN54" i="30" s="1"/>
  <c r="AL55" i="30"/>
  <c r="AN55" i="30" s="1"/>
  <c r="AL56" i="30"/>
  <c r="AN56" i="30" s="1"/>
  <c r="AL57" i="30"/>
  <c r="AN57" i="30" s="1"/>
  <c r="AL58" i="30"/>
  <c r="AN58" i="30" s="1"/>
  <c r="AL59" i="30"/>
  <c r="AN59" i="30" s="1"/>
  <c r="AL60" i="30"/>
  <c r="AN60" i="30" s="1"/>
  <c r="AL61" i="30"/>
  <c r="AL62" i="30"/>
  <c r="AN62" i="30" s="1"/>
  <c r="AL63" i="30"/>
  <c r="AN63" i="30" s="1"/>
  <c r="AL64" i="30"/>
  <c r="AN64" i="30" s="1"/>
  <c r="AL65" i="30"/>
  <c r="AL66" i="30"/>
  <c r="AL67" i="30"/>
  <c r="AL68" i="30"/>
  <c r="AL69" i="30"/>
  <c r="AL70" i="30"/>
  <c r="AL71" i="30"/>
  <c r="AN71" i="30" s="1"/>
  <c r="AL72" i="30"/>
  <c r="AN72" i="30" s="1"/>
  <c r="AL73" i="30"/>
  <c r="AN73" i="30" s="1"/>
  <c r="AL74" i="30"/>
  <c r="AL75" i="30"/>
  <c r="AL76" i="30"/>
  <c r="AN76" i="30" s="1"/>
  <c r="AL77" i="30"/>
  <c r="AN77" i="30" s="1"/>
  <c r="AL78" i="30"/>
  <c r="AN78" i="30" s="1"/>
  <c r="AL79" i="30"/>
  <c r="AN79" i="30" s="1"/>
  <c r="AL80" i="30"/>
  <c r="AN80" i="30" s="1"/>
  <c r="AL81" i="30"/>
  <c r="AL82" i="30"/>
  <c r="AL83" i="30"/>
  <c r="AN83" i="30" s="1"/>
  <c r="AL84" i="30"/>
  <c r="AN84" i="30" s="1"/>
  <c r="AL85" i="30"/>
  <c r="AN85" i="30" s="1"/>
  <c r="AL86" i="30"/>
  <c r="AL87" i="30"/>
  <c r="AL88" i="30"/>
  <c r="AL89" i="30"/>
  <c r="AL90" i="30"/>
  <c r="AN90" i="30" s="1"/>
  <c r="AL91" i="30"/>
  <c r="AN91" i="30" s="1"/>
  <c r="AL92" i="30"/>
  <c r="AN92" i="30" s="1"/>
  <c r="AL93" i="30"/>
  <c r="AN93" i="30" s="1"/>
  <c r="AL94" i="30"/>
  <c r="AN94" i="30" s="1"/>
  <c r="AL95" i="30"/>
  <c r="AN95" i="30" s="1"/>
  <c r="AL96" i="30"/>
  <c r="AN96" i="30" s="1"/>
  <c r="AL97" i="30"/>
  <c r="AN97" i="30" s="1"/>
  <c r="AL98" i="30"/>
  <c r="AN98" i="30" s="1"/>
  <c r="AL99" i="30"/>
  <c r="AN99" i="30" s="1"/>
  <c r="AL100" i="30"/>
  <c r="AN100" i="30" s="1"/>
  <c r="AL101" i="30"/>
  <c r="AN101" i="30" s="1"/>
  <c r="AL102" i="30"/>
  <c r="AN102" i="30" s="1"/>
  <c r="AL103" i="30"/>
  <c r="AN103" i="30" s="1"/>
  <c r="AL104" i="30"/>
  <c r="AL105" i="30"/>
  <c r="AN105" i="30" s="1"/>
  <c r="AL106" i="30"/>
  <c r="AN106" i="30" s="1"/>
  <c r="AL107" i="30"/>
  <c r="AN107" i="30" s="1"/>
  <c r="AL108" i="30"/>
  <c r="AN108" i="30" s="1"/>
  <c r="AL109" i="30"/>
  <c r="AN109" i="30" s="1"/>
  <c r="AL110" i="30"/>
  <c r="AN110" i="30" s="1"/>
  <c r="AL111" i="30"/>
  <c r="AL112" i="30"/>
  <c r="AL113" i="30"/>
  <c r="AN113" i="30" s="1"/>
  <c r="AL114" i="30"/>
  <c r="AN114" i="30" s="1"/>
  <c r="AL115" i="30"/>
  <c r="AN115" i="30" s="1"/>
  <c r="AL116" i="30"/>
  <c r="AL117" i="30"/>
  <c r="AL118" i="30"/>
  <c r="AN118" i="30" s="1"/>
  <c r="AL119" i="30"/>
  <c r="AN119" i="30" s="1"/>
  <c r="AL120" i="30"/>
  <c r="AN120" i="30" s="1"/>
  <c r="AL121" i="30"/>
  <c r="AL122" i="30"/>
  <c r="AN122" i="30" s="1"/>
  <c r="AL123" i="30"/>
  <c r="AN123" i="30" s="1"/>
  <c r="AL124" i="30"/>
  <c r="AN124" i="30" s="1"/>
  <c r="AL125" i="30"/>
  <c r="AN125" i="30" s="1"/>
  <c r="AL126" i="30"/>
  <c r="AN126" i="30" s="1"/>
  <c r="AL127" i="30"/>
  <c r="AN127" i="30" s="1"/>
  <c r="AL128" i="30"/>
  <c r="AN128" i="30" s="1"/>
  <c r="AL129" i="30"/>
  <c r="AL130" i="30"/>
  <c r="AL131" i="30"/>
  <c r="AL132" i="30"/>
  <c r="AL133" i="30"/>
  <c r="AL134" i="30"/>
  <c r="AN134" i="30" s="1"/>
  <c r="AL135" i="30"/>
  <c r="AN135" i="30" s="1"/>
  <c r="AL136" i="30"/>
  <c r="AN136" i="30" s="1"/>
  <c r="AL137" i="30"/>
  <c r="AN137" i="30" s="1"/>
  <c r="AL138" i="30"/>
  <c r="AL139" i="30"/>
  <c r="AN139" i="30" s="1"/>
  <c r="AL140" i="30"/>
  <c r="AN140" i="30" s="1"/>
  <c r="AL141" i="30"/>
  <c r="AN141" i="30" s="1"/>
  <c r="AL142" i="30"/>
  <c r="AL143" i="30"/>
  <c r="AN143" i="30" s="1"/>
  <c r="AL144" i="30"/>
  <c r="AN144" i="30" s="1"/>
  <c r="AL145" i="30"/>
  <c r="AN145" i="30" s="1"/>
  <c r="AL146" i="30"/>
  <c r="AN146" i="30" s="1"/>
  <c r="AL147" i="30"/>
  <c r="AN147" i="30" s="1"/>
  <c r="AL148" i="30"/>
  <c r="AL149" i="30"/>
  <c r="AN149" i="30" s="1"/>
  <c r="AL150" i="30"/>
  <c r="AN150" i="30" s="1"/>
  <c r="AL151" i="30"/>
  <c r="AL152" i="30"/>
  <c r="AN152" i="30" s="1"/>
  <c r="AL153" i="30"/>
  <c r="AL154" i="30"/>
  <c r="AL155" i="30"/>
  <c r="AL156" i="30"/>
  <c r="AL157" i="30"/>
  <c r="AL158" i="30"/>
  <c r="AL159" i="30"/>
  <c r="AL160" i="30"/>
  <c r="AL161" i="30"/>
  <c r="AL162" i="30"/>
  <c r="AL163" i="30"/>
  <c r="AL164" i="30"/>
  <c r="AL165" i="30"/>
  <c r="AL166" i="30"/>
  <c r="AL167" i="30"/>
  <c r="AL168" i="30"/>
  <c r="AL169" i="30"/>
  <c r="AL170" i="30"/>
  <c r="AL171" i="30"/>
  <c r="AL172" i="30"/>
  <c r="AL173" i="30"/>
  <c r="AL174" i="30"/>
  <c r="AL175" i="30"/>
  <c r="AL176" i="30"/>
  <c r="AL177" i="30"/>
  <c r="AL178" i="30"/>
  <c r="AL179" i="30"/>
  <c r="AL180" i="30"/>
  <c r="AL181" i="30"/>
  <c r="AL182" i="30"/>
  <c r="AL183" i="30"/>
  <c r="AL184" i="30"/>
  <c r="AL185" i="30"/>
  <c r="AL186" i="30"/>
  <c r="AL187" i="30"/>
  <c r="AL188" i="30"/>
  <c r="AL189" i="30"/>
  <c r="AL190" i="30"/>
  <c r="AL191" i="30"/>
  <c r="AL192" i="30"/>
  <c r="AL193" i="30"/>
  <c r="AL194" i="30"/>
  <c r="AL195" i="30"/>
  <c r="AL196" i="30"/>
  <c r="AL197" i="30"/>
  <c r="AL198" i="30"/>
  <c r="AL199" i="30"/>
  <c r="AL200" i="30"/>
  <c r="AL201" i="30"/>
  <c r="AL202" i="30"/>
  <c r="AL203" i="30"/>
  <c r="AL204" i="30"/>
  <c r="AL205" i="30"/>
  <c r="AL206" i="30"/>
  <c r="AL207" i="30"/>
  <c r="AL208" i="30"/>
  <c r="AL209" i="30"/>
  <c r="AL210" i="30"/>
  <c r="AL211" i="30"/>
  <c r="AL212" i="30"/>
  <c r="AL213" i="30"/>
  <c r="AL214" i="30"/>
  <c r="AL215" i="30"/>
  <c r="AL216" i="30"/>
  <c r="AL217" i="30"/>
  <c r="AL218" i="30"/>
  <c r="AL219" i="30"/>
  <c r="AL220" i="30"/>
  <c r="AL221" i="30"/>
  <c r="AL222" i="30"/>
  <c r="AL223" i="30"/>
  <c r="AL224" i="30"/>
  <c r="AL225" i="30"/>
  <c r="AL226" i="30"/>
  <c r="AL227" i="30"/>
  <c r="AL228" i="30"/>
  <c r="AL229" i="30"/>
  <c r="AL230" i="30"/>
  <c r="AL231" i="30"/>
  <c r="AL232" i="30"/>
  <c r="AL233" i="30"/>
  <c r="AL234" i="30"/>
  <c r="AL235" i="30"/>
  <c r="AL236" i="30"/>
  <c r="AL237" i="30"/>
  <c r="AL238" i="30"/>
  <c r="AL239" i="30"/>
  <c r="AL240" i="30"/>
  <c r="AL241" i="30"/>
  <c r="AL242" i="30"/>
  <c r="AL243" i="30"/>
  <c r="AL244" i="30"/>
  <c r="AL245" i="30"/>
  <c r="AL246" i="30"/>
  <c r="AL247" i="30"/>
  <c r="AL248" i="30"/>
  <c r="AL249" i="30"/>
  <c r="AL250" i="30"/>
  <c r="AL251" i="30"/>
  <c r="AL252" i="30"/>
  <c r="AL253" i="30"/>
  <c r="AL254" i="30"/>
  <c r="AL255" i="30"/>
  <c r="AL256" i="30"/>
  <c r="AL257" i="30"/>
  <c r="AL258" i="30"/>
  <c r="AL259" i="30"/>
  <c r="AL260" i="30"/>
  <c r="AL261" i="30"/>
  <c r="AL262" i="30"/>
  <c r="AL263" i="30"/>
  <c r="AL264" i="30"/>
  <c r="AL265" i="30"/>
  <c r="AL266" i="30"/>
  <c r="AL267" i="30"/>
  <c r="AL268" i="30"/>
  <c r="AL269" i="30"/>
  <c r="AL270" i="30"/>
  <c r="AL271" i="30"/>
  <c r="AL272" i="30"/>
  <c r="AL273" i="30"/>
  <c r="AL274" i="30"/>
  <c r="AL275" i="30"/>
  <c r="AL276" i="30"/>
  <c r="AL277" i="30"/>
  <c r="AL278" i="30"/>
  <c r="AL279" i="30"/>
  <c r="AL280" i="30"/>
  <c r="AL281" i="30"/>
  <c r="AL282" i="30"/>
  <c r="AL283" i="30"/>
  <c r="AL284" i="30"/>
  <c r="AL285" i="30"/>
  <c r="AL286" i="30"/>
  <c r="AL287" i="30"/>
  <c r="AL288" i="30"/>
  <c r="AL289" i="30"/>
  <c r="AL290" i="30"/>
  <c r="AL291" i="30"/>
  <c r="AL292" i="30"/>
  <c r="AL293" i="30"/>
  <c r="AL294" i="30"/>
  <c r="AL295" i="30"/>
  <c r="AL296" i="30"/>
  <c r="AL297" i="30"/>
  <c r="AL298" i="30"/>
  <c r="AL299" i="30"/>
  <c r="AL300" i="30"/>
  <c r="AL301" i="30"/>
  <c r="AL302" i="30"/>
  <c r="AL303" i="30"/>
  <c r="AL304" i="30"/>
  <c r="AL305" i="30"/>
  <c r="AL306" i="30"/>
  <c r="AL307" i="30"/>
  <c r="AL308" i="30"/>
  <c r="AL309" i="30"/>
  <c r="AL310" i="30"/>
  <c r="AL311" i="30"/>
  <c r="AL312" i="30"/>
  <c r="AL313" i="30"/>
  <c r="AL314" i="30"/>
  <c r="AL315" i="30"/>
  <c r="AL316" i="30"/>
  <c r="AL317" i="30"/>
  <c r="AL318" i="30"/>
  <c r="AL319" i="30"/>
  <c r="AL320" i="30"/>
  <c r="AL321" i="30"/>
  <c r="AL322" i="30"/>
  <c r="AL323" i="30"/>
  <c r="AL324" i="30"/>
  <c r="AL325" i="30"/>
  <c r="AL326" i="30"/>
  <c r="AL327" i="30"/>
  <c r="AL328" i="30"/>
  <c r="AL329" i="30"/>
  <c r="AL330" i="30"/>
  <c r="AL331" i="30"/>
  <c r="AL332" i="30"/>
  <c r="AL333" i="30"/>
  <c r="AL334" i="30"/>
  <c r="AL335" i="30"/>
  <c r="AL336" i="30"/>
  <c r="AL337" i="30"/>
  <c r="AL338" i="30"/>
  <c r="AL339" i="30"/>
  <c r="AL340" i="30"/>
  <c r="AL341" i="30"/>
  <c r="AL342" i="30"/>
  <c r="AL343" i="30"/>
  <c r="AL344" i="30"/>
  <c r="AL345" i="30"/>
  <c r="AL346" i="30"/>
  <c r="AL347" i="30"/>
  <c r="AL348" i="30"/>
  <c r="AL349" i="30"/>
  <c r="AL350" i="30"/>
  <c r="AL351" i="30"/>
  <c r="AL352" i="30"/>
  <c r="AL353" i="30"/>
  <c r="AL354" i="30"/>
  <c r="AL355" i="30"/>
  <c r="AL356" i="30"/>
  <c r="AL357" i="30"/>
  <c r="AL358" i="30"/>
  <c r="AL359" i="30"/>
  <c r="AL360" i="30"/>
  <c r="AL361" i="30"/>
  <c r="AL362" i="30"/>
  <c r="AL363" i="30"/>
  <c r="AL364" i="30"/>
  <c r="AL365" i="30"/>
  <c r="AL366" i="30"/>
  <c r="AL367" i="30"/>
  <c r="AL368" i="30"/>
  <c r="AL369" i="30"/>
  <c r="AL370" i="30"/>
  <c r="AL371" i="30"/>
  <c r="AL372" i="30"/>
  <c r="AL373" i="30"/>
  <c r="AL374" i="30"/>
  <c r="AL375" i="30"/>
  <c r="AL376" i="30"/>
  <c r="AL377" i="30"/>
  <c r="AL378" i="30"/>
  <c r="AL379" i="30"/>
  <c r="AL380" i="30"/>
  <c r="AL381" i="30"/>
  <c r="AL382" i="30"/>
  <c r="AL383" i="30"/>
  <c r="AL384" i="30"/>
  <c r="AL385" i="30"/>
  <c r="AL386" i="30"/>
  <c r="AL387" i="30"/>
  <c r="AL388" i="30"/>
  <c r="AL389" i="30"/>
  <c r="AL390" i="30"/>
  <c r="AL391" i="30"/>
  <c r="AL392" i="30"/>
  <c r="AL393" i="30"/>
  <c r="AL394" i="30"/>
  <c r="AL395" i="30"/>
  <c r="AL396" i="30"/>
  <c r="AL397" i="30"/>
  <c r="AL398" i="30"/>
  <c r="AL399" i="30"/>
  <c r="AL400" i="30"/>
  <c r="AH4" i="30"/>
  <c r="AH5" i="30"/>
  <c r="AH6" i="30"/>
  <c r="AJ6" i="30" s="1"/>
  <c r="AH7" i="30"/>
  <c r="AJ7" i="30" s="1"/>
  <c r="AH8" i="30"/>
  <c r="AJ8" i="30" s="1"/>
  <c r="AH9" i="30"/>
  <c r="AJ9" i="30" s="1"/>
  <c r="AH10" i="30"/>
  <c r="AJ10" i="30" s="1"/>
  <c r="AH11" i="30"/>
  <c r="AH12" i="30"/>
  <c r="AH13" i="30"/>
  <c r="AJ13" i="30" s="1"/>
  <c r="AH14" i="30"/>
  <c r="AJ14" i="30" s="1"/>
  <c r="AH15" i="30"/>
  <c r="AJ15" i="30" s="1"/>
  <c r="AH16" i="30"/>
  <c r="AH17" i="30"/>
  <c r="AJ17" i="30" s="1"/>
  <c r="AH18" i="30"/>
  <c r="AJ18" i="30" s="1"/>
  <c r="AH19" i="30"/>
  <c r="AJ19" i="30" s="1"/>
  <c r="AH20" i="30"/>
  <c r="AJ20" i="30" s="1"/>
  <c r="AH21" i="30"/>
  <c r="AJ21" i="30" s="1"/>
  <c r="AH22" i="30"/>
  <c r="AH23" i="30"/>
  <c r="AH24" i="30"/>
  <c r="AH25" i="30"/>
  <c r="AH26" i="30"/>
  <c r="AH27" i="30"/>
  <c r="AH28" i="30"/>
  <c r="AJ28" i="30" s="1"/>
  <c r="AH29" i="30"/>
  <c r="AJ29" i="30" s="1"/>
  <c r="AH30" i="30"/>
  <c r="AJ30" i="30" s="1"/>
  <c r="AH31" i="30"/>
  <c r="AJ31" i="30" s="1"/>
  <c r="AH32" i="30"/>
  <c r="AJ32" i="30" s="1"/>
  <c r="AH33" i="30"/>
  <c r="AH34" i="30"/>
  <c r="AJ34" i="30" s="1"/>
  <c r="AH35" i="30"/>
  <c r="AJ35" i="30" s="1"/>
  <c r="AH36" i="30"/>
  <c r="AH37" i="30"/>
  <c r="AH38" i="30"/>
  <c r="AH39" i="30"/>
  <c r="AH40" i="30"/>
  <c r="AH41" i="30"/>
  <c r="AJ41" i="30" s="1"/>
  <c r="AH42" i="30"/>
  <c r="AJ42" i="30" s="1"/>
  <c r="AH43" i="30"/>
  <c r="AJ43" i="30" s="1"/>
  <c r="AH44" i="30"/>
  <c r="AJ44" i="30" s="1"/>
  <c r="AH45" i="30"/>
  <c r="AH46" i="30"/>
  <c r="AJ46" i="30" s="1"/>
  <c r="AH47" i="30"/>
  <c r="AH48" i="30"/>
  <c r="AJ48" i="30" s="1"/>
  <c r="AH49" i="30"/>
  <c r="AJ49" i="30" s="1"/>
  <c r="AH50" i="30"/>
  <c r="AJ50" i="30" s="1"/>
  <c r="AH51" i="30"/>
  <c r="AJ51" i="30" s="1"/>
  <c r="AH52" i="30"/>
  <c r="AJ52" i="30" s="1"/>
  <c r="AH53" i="30"/>
  <c r="AJ53" i="30" s="1"/>
  <c r="AH54" i="30"/>
  <c r="AJ54" i="30" s="1"/>
  <c r="AH55" i="30"/>
  <c r="AJ55" i="30" s="1"/>
  <c r="AH56" i="30"/>
  <c r="AJ56" i="30" s="1"/>
  <c r="AH57" i="30"/>
  <c r="AJ57" i="30" s="1"/>
  <c r="AH58" i="30"/>
  <c r="AJ58" i="30" s="1"/>
  <c r="AH59" i="30"/>
  <c r="AJ59" i="30" s="1"/>
  <c r="AH60" i="30"/>
  <c r="AJ60" i="30" s="1"/>
  <c r="AH61" i="30"/>
  <c r="AH62" i="30"/>
  <c r="AJ62" i="30" s="1"/>
  <c r="AH63" i="30"/>
  <c r="AJ63" i="30" s="1"/>
  <c r="AH64" i="30"/>
  <c r="AJ64" i="30" s="1"/>
  <c r="AH65" i="30"/>
  <c r="AH66" i="30"/>
  <c r="AH67" i="30"/>
  <c r="AH68" i="30"/>
  <c r="AH69" i="30"/>
  <c r="AH70" i="30"/>
  <c r="AH71" i="30"/>
  <c r="AJ71" i="30" s="1"/>
  <c r="AH72" i="30"/>
  <c r="AJ72" i="30" s="1"/>
  <c r="AH73" i="30"/>
  <c r="AJ73" i="30" s="1"/>
  <c r="AH74" i="30"/>
  <c r="AH75" i="30"/>
  <c r="AH76" i="30"/>
  <c r="AJ76" i="30" s="1"/>
  <c r="AH77" i="30"/>
  <c r="AJ77" i="30" s="1"/>
  <c r="AH78" i="30"/>
  <c r="AJ78" i="30" s="1"/>
  <c r="AH79" i="30"/>
  <c r="AJ79" i="30" s="1"/>
  <c r="AH80" i="30"/>
  <c r="AJ80" i="30" s="1"/>
  <c r="AH81" i="30"/>
  <c r="AH82" i="30"/>
  <c r="AH83" i="30"/>
  <c r="AJ83" i="30" s="1"/>
  <c r="AH84" i="30"/>
  <c r="AJ84" i="30" s="1"/>
  <c r="AH85" i="30"/>
  <c r="AJ85" i="30" s="1"/>
  <c r="AH86" i="30"/>
  <c r="AH87" i="30"/>
  <c r="AH88" i="30"/>
  <c r="AH89" i="30"/>
  <c r="AH90" i="30"/>
  <c r="AJ90" i="30" s="1"/>
  <c r="AH91" i="30"/>
  <c r="AJ91" i="30" s="1"/>
  <c r="AH92" i="30"/>
  <c r="AJ92" i="30" s="1"/>
  <c r="AH93" i="30"/>
  <c r="AJ93" i="30" s="1"/>
  <c r="AH94" i="30"/>
  <c r="AJ94" i="30" s="1"/>
  <c r="AH95" i="30"/>
  <c r="AJ95" i="30" s="1"/>
  <c r="AH96" i="30"/>
  <c r="AJ96" i="30" s="1"/>
  <c r="AH97" i="30"/>
  <c r="AJ97" i="30" s="1"/>
  <c r="AH98" i="30"/>
  <c r="AJ98" i="30" s="1"/>
  <c r="AH99" i="30"/>
  <c r="AJ99" i="30" s="1"/>
  <c r="AH100" i="30"/>
  <c r="AJ100" i="30" s="1"/>
  <c r="AH101" i="30"/>
  <c r="AJ101" i="30" s="1"/>
  <c r="AH102" i="30"/>
  <c r="AJ102" i="30" s="1"/>
  <c r="AH103" i="30"/>
  <c r="AJ103" i="30" s="1"/>
  <c r="AH104" i="30"/>
  <c r="AH105" i="30"/>
  <c r="AJ105" i="30" s="1"/>
  <c r="AH106" i="30"/>
  <c r="AJ106" i="30" s="1"/>
  <c r="AH107" i="30"/>
  <c r="AJ107" i="30" s="1"/>
  <c r="AH108" i="30"/>
  <c r="AJ108" i="30" s="1"/>
  <c r="AH109" i="30"/>
  <c r="AJ109" i="30" s="1"/>
  <c r="AH110" i="30"/>
  <c r="AJ110" i="30" s="1"/>
  <c r="AH111" i="30"/>
  <c r="AH112" i="30"/>
  <c r="AH113" i="30"/>
  <c r="AJ113" i="30" s="1"/>
  <c r="AH114" i="30"/>
  <c r="AJ114" i="30" s="1"/>
  <c r="AH115" i="30"/>
  <c r="AJ115" i="30" s="1"/>
  <c r="AH116" i="30"/>
  <c r="AH117" i="30"/>
  <c r="AH118" i="30"/>
  <c r="AJ118" i="30" s="1"/>
  <c r="AH119" i="30"/>
  <c r="AJ119" i="30" s="1"/>
  <c r="AH120" i="30"/>
  <c r="AJ120" i="30" s="1"/>
  <c r="AH121" i="30"/>
  <c r="AH122" i="30"/>
  <c r="AJ122" i="30" s="1"/>
  <c r="AH123" i="30"/>
  <c r="AJ123" i="30" s="1"/>
  <c r="AH124" i="30"/>
  <c r="AJ124" i="30" s="1"/>
  <c r="AH125" i="30"/>
  <c r="AJ125" i="30" s="1"/>
  <c r="AH126" i="30"/>
  <c r="AJ126" i="30" s="1"/>
  <c r="AH127" i="30"/>
  <c r="AJ127" i="30" s="1"/>
  <c r="AH128" i="30"/>
  <c r="AJ128" i="30" s="1"/>
  <c r="AH129" i="30"/>
  <c r="AH130" i="30"/>
  <c r="AH131" i="30"/>
  <c r="AH132" i="30"/>
  <c r="AH133" i="30"/>
  <c r="AH134" i="30"/>
  <c r="AJ134" i="30" s="1"/>
  <c r="AH135" i="30"/>
  <c r="AJ135" i="30" s="1"/>
  <c r="AH136" i="30"/>
  <c r="AJ136" i="30" s="1"/>
  <c r="AH137" i="30"/>
  <c r="AJ137" i="30" s="1"/>
  <c r="AH138" i="30"/>
  <c r="AH139" i="30"/>
  <c r="AJ139" i="30" s="1"/>
  <c r="AH140" i="30"/>
  <c r="AJ140" i="30" s="1"/>
  <c r="AH141" i="30"/>
  <c r="AJ141" i="30" s="1"/>
  <c r="AH142" i="30"/>
  <c r="AH143" i="30"/>
  <c r="AJ143" i="30" s="1"/>
  <c r="AH144" i="30"/>
  <c r="AJ144" i="30" s="1"/>
  <c r="AH145" i="30"/>
  <c r="AJ145" i="30" s="1"/>
  <c r="AH146" i="30"/>
  <c r="AJ146" i="30" s="1"/>
  <c r="AH147" i="30"/>
  <c r="AJ147" i="30" s="1"/>
  <c r="AH148" i="30"/>
  <c r="AH149" i="30"/>
  <c r="AJ149" i="30" s="1"/>
  <c r="AH150" i="30"/>
  <c r="AJ150" i="30" s="1"/>
  <c r="AH151" i="30"/>
  <c r="AH152" i="30"/>
  <c r="AJ152" i="30" s="1"/>
  <c r="AH153" i="30"/>
  <c r="AH154" i="30"/>
  <c r="AH155" i="30"/>
  <c r="AH156" i="30"/>
  <c r="AH157" i="30"/>
  <c r="AH158" i="30"/>
  <c r="AH159" i="30"/>
  <c r="AH160" i="30"/>
  <c r="AH161" i="30"/>
  <c r="AH162" i="30"/>
  <c r="AH163" i="30"/>
  <c r="AH164" i="30"/>
  <c r="AH165" i="30"/>
  <c r="AH166" i="30"/>
  <c r="AH167" i="30"/>
  <c r="AH168" i="30"/>
  <c r="AH169" i="30"/>
  <c r="AH170" i="30"/>
  <c r="AH171" i="30"/>
  <c r="AH172" i="30"/>
  <c r="AH173" i="30"/>
  <c r="AH174" i="30"/>
  <c r="AH175" i="30"/>
  <c r="AH176" i="30"/>
  <c r="AH177" i="30"/>
  <c r="AH178" i="30"/>
  <c r="AH179" i="30"/>
  <c r="AH180" i="30"/>
  <c r="AH181" i="30"/>
  <c r="AH182" i="30"/>
  <c r="AH183" i="30"/>
  <c r="AH184" i="30"/>
  <c r="AH185" i="30"/>
  <c r="AH186" i="30"/>
  <c r="AH187" i="30"/>
  <c r="AH188" i="30"/>
  <c r="AH189" i="30"/>
  <c r="AH190" i="30"/>
  <c r="AH191" i="30"/>
  <c r="AH192" i="30"/>
  <c r="AH193" i="30"/>
  <c r="AH194" i="30"/>
  <c r="AH195" i="30"/>
  <c r="AH196" i="30"/>
  <c r="AH197" i="30"/>
  <c r="AH198" i="30"/>
  <c r="AH199" i="30"/>
  <c r="AH200" i="30"/>
  <c r="AH201" i="30"/>
  <c r="AH202" i="30"/>
  <c r="AH203" i="30"/>
  <c r="AH204" i="30"/>
  <c r="AH205" i="30"/>
  <c r="AH206" i="30"/>
  <c r="AH207" i="30"/>
  <c r="AH208" i="30"/>
  <c r="AH209" i="30"/>
  <c r="AH210" i="30"/>
  <c r="AH211" i="30"/>
  <c r="AH212" i="30"/>
  <c r="AH213" i="30"/>
  <c r="AH214" i="30"/>
  <c r="AH215" i="30"/>
  <c r="AH216" i="30"/>
  <c r="AH217" i="30"/>
  <c r="AH218" i="30"/>
  <c r="AH219" i="30"/>
  <c r="AH220" i="30"/>
  <c r="AH221" i="30"/>
  <c r="AH222" i="30"/>
  <c r="AH223" i="30"/>
  <c r="AH224" i="30"/>
  <c r="AH225" i="30"/>
  <c r="AH226" i="30"/>
  <c r="AH227" i="30"/>
  <c r="AH228" i="30"/>
  <c r="AH229" i="30"/>
  <c r="AH230" i="30"/>
  <c r="AH231" i="30"/>
  <c r="AH232" i="30"/>
  <c r="AH233" i="30"/>
  <c r="AH234" i="30"/>
  <c r="AH235" i="30"/>
  <c r="AH236" i="30"/>
  <c r="AH237" i="30"/>
  <c r="AH238" i="30"/>
  <c r="AH239" i="30"/>
  <c r="AH240" i="30"/>
  <c r="AH241" i="30"/>
  <c r="AH242" i="30"/>
  <c r="AH243" i="30"/>
  <c r="AH244" i="30"/>
  <c r="AH245" i="30"/>
  <c r="AH246" i="30"/>
  <c r="AH247" i="30"/>
  <c r="AH248" i="30"/>
  <c r="AH249" i="30"/>
  <c r="AH250" i="30"/>
  <c r="AH251" i="30"/>
  <c r="AH252" i="30"/>
  <c r="AH253" i="30"/>
  <c r="AH254" i="30"/>
  <c r="AH255" i="30"/>
  <c r="AH256" i="30"/>
  <c r="AH257" i="30"/>
  <c r="AH258" i="30"/>
  <c r="AH259" i="30"/>
  <c r="AH260" i="30"/>
  <c r="AH261" i="30"/>
  <c r="AH262" i="30"/>
  <c r="AH263" i="30"/>
  <c r="AH264" i="30"/>
  <c r="AH265" i="30"/>
  <c r="AH266" i="30"/>
  <c r="AH267" i="30"/>
  <c r="AH268" i="30"/>
  <c r="AH269" i="30"/>
  <c r="AH270" i="30"/>
  <c r="AH271" i="30"/>
  <c r="AH272" i="30"/>
  <c r="AH273" i="30"/>
  <c r="AH274" i="30"/>
  <c r="AH275" i="30"/>
  <c r="AH276" i="30"/>
  <c r="AH277" i="30"/>
  <c r="AH278" i="30"/>
  <c r="AH279" i="30"/>
  <c r="AH280" i="30"/>
  <c r="AH281" i="30"/>
  <c r="AH282" i="30"/>
  <c r="AH283" i="30"/>
  <c r="AH284" i="30"/>
  <c r="AH285" i="30"/>
  <c r="AH286" i="30"/>
  <c r="AH287" i="30"/>
  <c r="AH288" i="30"/>
  <c r="AH289" i="30"/>
  <c r="AH290" i="30"/>
  <c r="AH291" i="30"/>
  <c r="AH292" i="30"/>
  <c r="AH293" i="30"/>
  <c r="AH294" i="30"/>
  <c r="AH295" i="30"/>
  <c r="AH296" i="30"/>
  <c r="AH297" i="30"/>
  <c r="AH298" i="30"/>
  <c r="AH299" i="30"/>
  <c r="AH300" i="30"/>
  <c r="AH301" i="30"/>
  <c r="AH302" i="30"/>
  <c r="AH303" i="30"/>
  <c r="AH304" i="30"/>
  <c r="AH305" i="30"/>
  <c r="AH306" i="30"/>
  <c r="AH307" i="30"/>
  <c r="AH308" i="30"/>
  <c r="AH309" i="30"/>
  <c r="AH310" i="30"/>
  <c r="AH311" i="30"/>
  <c r="AH312" i="30"/>
  <c r="AH313" i="30"/>
  <c r="AH314" i="30"/>
  <c r="AH315" i="30"/>
  <c r="AH316" i="30"/>
  <c r="AH317" i="30"/>
  <c r="AH318" i="30"/>
  <c r="AH319" i="30"/>
  <c r="AH320" i="30"/>
  <c r="AH321" i="30"/>
  <c r="AH322" i="30"/>
  <c r="AH323" i="30"/>
  <c r="AH324" i="30"/>
  <c r="AH325" i="30"/>
  <c r="AH326" i="30"/>
  <c r="AH327" i="30"/>
  <c r="AH328" i="30"/>
  <c r="AH329" i="30"/>
  <c r="AH330" i="30"/>
  <c r="AH331" i="30"/>
  <c r="AH332" i="30"/>
  <c r="AH333" i="30"/>
  <c r="AH334" i="30"/>
  <c r="AH335" i="30"/>
  <c r="AH336" i="30"/>
  <c r="AH337" i="30"/>
  <c r="AH338" i="30"/>
  <c r="AH339" i="30"/>
  <c r="AH340" i="30"/>
  <c r="AH341" i="30"/>
  <c r="AH342" i="30"/>
  <c r="AH343" i="30"/>
  <c r="AH344" i="30"/>
  <c r="AH345" i="30"/>
  <c r="AH346" i="30"/>
  <c r="AH347" i="30"/>
  <c r="AH348" i="30"/>
  <c r="AH349" i="30"/>
  <c r="AH350" i="30"/>
  <c r="AH351" i="30"/>
  <c r="AH352" i="30"/>
  <c r="AH353" i="30"/>
  <c r="AH354" i="30"/>
  <c r="AH355" i="30"/>
  <c r="AH356" i="30"/>
  <c r="AH357" i="30"/>
  <c r="AH358" i="30"/>
  <c r="AH359" i="30"/>
  <c r="AH360" i="30"/>
  <c r="AH361" i="30"/>
  <c r="AH362" i="30"/>
  <c r="AH363" i="30"/>
  <c r="AH364" i="30"/>
  <c r="AH365" i="30"/>
  <c r="AH366" i="30"/>
  <c r="AH367" i="30"/>
  <c r="AH368" i="30"/>
  <c r="AH369" i="30"/>
  <c r="AH370" i="30"/>
  <c r="AH371" i="30"/>
  <c r="AH372" i="30"/>
  <c r="AH373" i="30"/>
  <c r="AH374" i="30"/>
  <c r="AH375" i="30"/>
  <c r="AH376" i="30"/>
  <c r="AH377" i="30"/>
  <c r="AH378" i="30"/>
  <c r="AH379" i="30"/>
  <c r="AH380" i="30"/>
  <c r="AH381" i="30"/>
  <c r="AH382" i="30"/>
  <c r="AH383" i="30"/>
  <c r="AH384" i="30"/>
  <c r="AH385" i="30"/>
  <c r="AH386" i="30"/>
  <c r="AH387" i="30"/>
  <c r="AH388" i="30"/>
  <c r="AH389" i="30"/>
  <c r="AH390" i="30"/>
  <c r="AH391" i="30"/>
  <c r="AH392" i="30"/>
  <c r="AH393" i="30"/>
  <c r="AH394" i="30"/>
  <c r="AH395" i="30"/>
  <c r="AH396" i="30"/>
  <c r="AH397" i="30"/>
  <c r="AH398" i="30"/>
  <c r="AH399" i="30"/>
  <c r="AH400" i="30"/>
  <c r="AD4" i="30"/>
  <c r="AD5" i="30"/>
  <c r="AD6" i="30"/>
  <c r="AF6" i="30" s="1"/>
  <c r="AD7" i="30"/>
  <c r="AF7" i="30" s="1"/>
  <c r="AD8" i="30"/>
  <c r="AF8" i="30" s="1"/>
  <c r="AD9" i="30"/>
  <c r="AF9" i="30" s="1"/>
  <c r="AD10" i="30"/>
  <c r="AF10" i="30" s="1"/>
  <c r="AD11" i="30"/>
  <c r="AD12" i="30"/>
  <c r="AD13" i="30"/>
  <c r="AF13" i="30" s="1"/>
  <c r="AD14" i="30"/>
  <c r="AF14" i="30" s="1"/>
  <c r="AD15" i="30"/>
  <c r="AF15" i="30" s="1"/>
  <c r="AD16" i="30"/>
  <c r="AD17" i="30"/>
  <c r="AF17" i="30" s="1"/>
  <c r="AD18" i="30"/>
  <c r="AF18" i="30" s="1"/>
  <c r="AD19" i="30"/>
  <c r="AF19" i="30" s="1"/>
  <c r="AD20" i="30"/>
  <c r="AF20" i="30" s="1"/>
  <c r="AD21" i="30"/>
  <c r="AF21" i="30" s="1"/>
  <c r="AD22" i="30"/>
  <c r="AD23" i="30"/>
  <c r="AD24" i="30"/>
  <c r="AD25" i="30"/>
  <c r="AD26" i="30"/>
  <c r="AD27" i="30"/>
  <c r="AD28" i="30"/>
  <c r="AF28" i="30" s="1"/>
  <c r="AD29" i="30"/>
  <c r="AF29" i="30" s="1"/>
  <c r="AD30" i="30"/>
  <c r="AF30" i="30" s="1"/>
  <c r="AD31" i="30"/>
  <c r="AF31" i="30" s="1"/>
  <c r="AD32" i="30"/>
  <c r="AF32" i="30" s="1"/>
  <c r="AD33" i="30"/>
  <c r="AD34" i="30"/>
  <c r="AF34" i="30" s="1"/>
  <c r="AD35" i="30"/>
  <c r="AF35" i="30" s="1"/>
  <c r="AD36" i="30"/>
  <c r="AD37" i="30"/>
  <c r="AD38" i="30"/>
  <c r="AD39" i="30"/>
  <c r="AD40" i="30"/>
  <c r="AD41" i="30"/>
  <c r="AF41" i="30" s="1"/>
  <c r="AD42" i="30"/>
  <c r="AF42" i="30" s="1"/>
  <c r="AD43" i="30"/>
  <c r="AF43" i="30" s="1"/>
  <c r="AD44" i="30"/>
  <c r="AF44" i="30" s="1"/>
  <c r="AD45" i="30"/>
  <c r="AD46" i="30"/>
  <c r="AF46" i="30" s="1"/>
  <c r="AD47" i="30"/>
  <c r="AD48" i="30"/>
  <c r="AF48" i="30" s="1"/>
  <c r="AD49" i="30"/>
  <c r="AF49" i="30" s="1"/>
  <c r="AD50" i="30"/>
  <c r="AF50" i="30" s="1"/>
  <c r="AD51" i="30"/>
  <c r="AF51" i="30" s="1"/>
  <c r="AD52" i="30"/>
  <c r="AF52" i="30" s="1"/>
  <c r="AD53" i="30"/>
  <c r="AF53" i="30" s="1"/>
  <c r="AD54" i="30"/>
  <c r="AF54" i="30" s="1"/>
  <c r="AD55" i="30"/>
  <c r="AF55" i="30" s="1"/>
  <c r="AD56" i="30"/>
  <c r="AF56" i="30" s="1"/>
  <c r="AD57" i="30"/>
  <c r="AF57" i="30" s="1"/>
  <c r="AD58" i="30"/>
  <c r="AF58" i="30" s="1"/>
  <c r="AD59" i="30"/>
  <c r="AF59" i="30" s="1"/>
  <c r="AD60" i="30"/>
  <c r="AF60" i="30" s="1"/>
  <c r="AD61" i="30"/>
  <c r="AD62" i="30"/>
  <c r="AF62" i="30" s="1"/>
  <c r="AD63" i="30"/>
  <c r="AF63" i="30" s="1"/>
  <c r="AD64" i="30"/>
  <c r="AF64" i="30" s="1"/>
  <c r="AD65" i="30"/>
  <c r="AD66" i="30"/>
  <c r="AD67" i="30"/>
  <c r="AD68" i="30"/>
  <c r="AD69" i="30"/>
  <c r="AD70" i="30"/>
  <c r="AD71" i="30"/>
  <c r="AF71" i="30" s="1"/>
  <c r="AD72" i="30"/>
  <c r="AF72" i="30" s="1"/>
  <c r="AD73" i="30"/>
  <c r="AF73" i="30" s="1"/>
  <c r="AD74" i="30"/>
  <c r="AD75" i="30"/>
  <c r="AD76" i="30"/>
  <c r="AF76" i="30" s="1"/>
  <c r="AD77" i="30"/>
  <c r="AF77" i="30" s="1"/>
  <c r="AD78" i="30"/>
  <c r="AF78" i="30" s="1"/>
  <c r="AD79" i="30"/>
  <c r="AF79" i="30" s="1"/>
  <c r="AD80" i="30"/>
  <c r="AF80" i="30" s="1"/>
  <c r="AD81" i="30"/>
  <c r="AD82" i="30"/>
  <c r="AD83" i="30"/>
  <c r="AF83" i="30" s="1"/>
  <c r="AD84" i="30"/>
  <c r="AF84" i="30" s="1"/>
  <c r="AD85" i="30"/>
  <c r="AF85" i="30" s="1"/>
  <c r="AD86" i="30"/>
  <c r="AD87" i="30"/>
  <c r="AD88" i="30"/>
  <c r="AD89" i="30"/>
  <c r="AD90" i="30"/>
  <c r="AF90" i="30" s="1"/>
  <c r="AD91" i="30"/>
  <c r="AF91" i="30" s="1"/>
  <c r="AD92" i="30"/>
  <c r="AF92" i="30" s="1"/>
  <c r="AD93" i="30"/>
  <c r="AF93" i="30" s="1"/>
  <c r="AD94" i="30"/>
  <c r="AF94" i="30" s="1"/>
  <c r="AD95" i="30"/>
  <c r="AF95" i="30" s="1"/>
  <c r="AD96" i="30"/>
  <c r="AF96" i="30" s="1"/>
  <c r="AD97" i="30"/>
  <c r="AF97" i="30" s="1"/>
  <c r="AD98" i="30"/>
  <c r="AF98" i="30" s="1"/>
  <c r="AD99" i="30"/>
  <c r="AF99" i="30" s="1"/>
  <c r="AD100" i="30"/>
  <c r="AF100" i="30" s="1"/>
  <c r="AD101" i="30"/>
  <c r="AF101" i="30" s="1"/>
  <c r="AD102" i="30"/>
  <c r="AF102" i="30" s="1"/>
  <c r="AD103" i="30"/>
  <c r="AF103" i="30" s="1"/>
  <c r="AD104" i="30"/>
  <c r="AD105" i="30"/>
  <c r="AF105" i="30" s="1"/>
  <c r="AD106" i="30"/>
  <c r="AF106" i="30" s="1"/>
  <c r="AD107" i="30"/>
  <c r="AF107" i="30" s="1"/>
  <c r="AD108" i="30"/>
  <c r="AF108" i="30" s="1"/>
  <c r="AD109" i="30"/>
  <c r="AF109" i="30" s="1"/>
  <c r="AD110" i="30"/>
  <c r="AF110" i="30" s="1"/>
  <c r="AD111" i="30"/>
  <c r="AD112" i="30"/>
  <c r="AD113" i="30"/>
  <c r="AF113" i="30" s="1"/>
  <c r="AD114" i="30"/>
  <c r="AF114" i="30" s="1"/>
  <c r="AD115" i="30"/>
  <c r="AF115" i="30" s="1"/>
  <c r="AD116" i="30"/>
  <c r="AD117" i="30"/>
  <c r="AD118" i="30"/>
  <c r="AF118" i="30" s="1"/>
  <c r="AD119" i="30"/>
  <c r="AF119" i="30" s="1"/>
  <c r="AD120" i="30"/>
  <c r="AF120" i="30" s="1"/>
  <c r="AD121" i="30"/>
  <c r="AD122" i="30"/>
  <c r="AF122" i="30" s="1"/>
  <c r="AD123" i="30"/>
  <c r="AF123" i="30" s="1"/>
  <c r="AD124" i="30"/>
  <c r="AF124" i="30" s="1"/>
  <c r="AD125" i="30"/>
  <c r="AF125" i="30" s="1"/>
  <c r="AD126" i="30"/>
  <c r="AF126" i="30" s="1"/>
  <c r="AD127" i="30"/>
  <c r="AF127" i="30" s="1"/>
  <c r="AD128" i="30"/>
  <c r="AF128" i="30" s="1"/>
  <c r="AD129" i="30"/>
  <c r="AD130" i="30"/>
  <c r="AD131" i="30"/>
  <c r="AD132" i="30"/>
  <c r="AD133" i="30"/>
  <c r="AD134" i="30"/>
  <c r="AF134" i="30" s="1"/>
  <c r="AD135" i="30"/>
  <c r="AF135" i="30" s="1"/>
  <c r="AD136" i="30"/>
  <c r="AF136" i="30" s="1"/>
  <c r="AD137" i="30"/>
  <c r="AF137" i="30" s="1"/>
  <c r="AD138" i="30"/>
  <c r="AD139" i="30"/>
  <c r="AF139" i="30" s="1"/>
  <c r="AD140" i="30"/>
  <c r="AF140" i="30" s="1"/>
  <c r="AD141" i="30"/>
  <c r="AF141" i="30" s="1"/>
  <c r="AD142" i="30"/>
  <c r="AD143" i="30"/>
  <c r="AF143" i="30" s="1"/>
  <c r="AD144" i="30"/>
  <c r="AF144" i="30" s="1"/>
  <c r="AD145" i="30"/>
  <c r="AF145" i="30" s="1"/>
  <c r="AD146" i="30"/>
  <c r="AF146" i="30" s="1"/>
  <c r="AD147" i="30"/>
  <c r="AF147" i="30" s="1"/>
  <c r="AD148" i="30"/>
  <c r="AD149" i="30"/>
  <c r="AF149" i="30" s="1"/>
  <c r="AD150" i="30"/>
  <c r="AF150" i="30" s="1"/>
  <c r="AD151" i="30"/>
  <c r="AD152" i="30"/>
  <c r="AF152" i="30" s="1"/>
  <c r="AD153" i="30"/>
  <c r="AD154" i="30"/>
  <c r="AD155" i="30"/>
  <c r="AD156" i="30"/>
  <c r="AD157" i="30"/>
  <c r="AD158" i="30"/>
  <c r="AD159" i="30"/>
  <c r="AD160" i="30"/>
  <c r="AD161" i="30"/>
  <c r="AD162" i="30"/>
  <c r="AD163" i="30"/>
  <c r="AD164" i="30"/>
  <c r="AD165" i="30"/>
  <c r="AD166" i="30"/>
  <c r="AD167" i="30"/>
  <c r="AD168" i="30"/>
  <c r="AD169" i="30"/>
  <c r="AD170" i="30"/>
  <c r="AD171" i="30"/>
  <c r="AD172" i="30"/>
  <c r="AD173" i="30"/>
  <c r="AD174" i="30"/>
  <c r="AD175" i="30"/>
  <c r="AD176" i="30"/>
  <c r="AD177" i="30"/>
  <c r="AD178" i="30"/>
  <c r="AD179" i="30"/>
  <c r="AD180" i="30"/>
  <c r="AD181" i="30"/>
  <c r="AD182" i="30"/>
  <c r="AD183" i="30"/>
  <c r="AD184" i="30"/>
  <c r="AD185" i="30"/>
  <c r="AD186" i="30"/>
  <c r="AD187" i="30"/>
  <c r="AD188" i="30"/>
  <c r="AD189" i="30"/>
  <c r="AD190" i="30"/>
  <c r="AD191" i="30"/>
  <c r="AD192" i="30"/>
  <c r="AD193" i="30"/>
  <c r="AD194" i="30"/>
  <c r="AD195" i="30"/>
  <c r="AD196" i="30"/>
  <c r="AD197" i="30"/>
  <c r="AD198" i="30"/>
  <c r="AD199" i="30"/>
  <c r="AD200" i="30"/>
  <c r="AD201" i="30"/>
  <c r="AD202" i="30"/>
  <c r="AD203" i="30"/>
  <c r="AD204" i="30"/>
  <c r="AD205" i="30"/>
  <c r="AD206" i="30"/>
  <c r="AD207" i="30"/>
  <c r="AD208" i="30"/>
  <c r="AD209" i="30"/>
  <c r="AD210" i="30"/>
  <c r="AD211" i="30"/>
  <c r="AD212" i="30"/>
  <c r="AD213" i="30"/>
  <c r="AD214" i="30"/>
  <c r="AD215" i="30"/>
  <c r="AD216" i="30"/>
  <c r="AD217" i="30"/>
  <c r="AD218" i="30"/>
  <c r="AD219" i="30"/>
  <c r="AD220" i="30"/>
  <c r="AD221" i="30"/>
  <c r="AD222" i="30"/>
  <c r="AD223" i="30"/>
  <c r="AD224" i="30"/>
  <c r="AD225" i="30"/>
  <c r="AD226" i="30"/>
  <c r="AD227" i="30"/>
  <c r="AD228" i="30"/>
  <c r="AD229" i="30"/>
  <c r="AD230" i="30"/>
  <c r="AD231" i="30"/>
  <c r="AD232" i="30"/>
  <c r="AD233" i="30"/>
  <c r="AD234" i="30"/>
  <c r="AD235" i="30"/>
  <c r="AD236" i="30"/>
  <c r="AD237" i="30"/>
  <c r="AD238" i="30"/>
  <c r="AD239" i="30"/>
  <c r="AD240" i="30"/>
  <c r="AD241" i="30"/>
  <c r="AD242" i="30"/>
  <c r="AD243" i="30"/>
  <c r="AD244" i="30"/>
  <c r="AD245" i="30"/>
  <c r="AD246" i="30"/>
  <c r="AD247" i="30"/>
  <c r="AD248" i="30"/>
  <c r="AD249" i="30"/>
  <c r="AD250" i="30"/>
  <c r="AD251" i="30"/>
  <c r="AD252" i="30"/>
  <c r="AD253" i="30"/>
  <c r="AD254" i="30"/>
  <c r="AD255" i="30"/>
  <c r="AD256" i="30"/>
  <c r="AD257" i="30"/>
  <c r="AD258" i="30"/>
  <c r="AD259" i="30"/>
  <c r="AD260" i="30"/>
  <c r="AD261" i="30"/>
  <c r="AD262" i="30"/>
  <c r="AD263" i="30"/>
  <c r="AD264" i="30"/>
  <c r="AD265" i="30"/>
  <c r="AD266" i="30"/>
  <c r="AD267" i="30"/>
  <c r="AD268" i="30"/>
  <c r="AD269" i="30"/>
  <c r="AD270" i="30"/>
  <c r="AD271" i="30"/>
  <c r="AD272" i="30"/>
  <c r="AD273" i="30"/>
  <c r="AD274" i="30"/>
  <c r="AD275" i="30"/>
  <c r="AD276" i="30"/>
  <c r="AD277" i="30"/>
  <c r="AD278" i="30"/>
  <c r="AD279" i="30"/>
  <c r="AD280" i="30"/>
  <c r="AD281" i="30"/>
  <c r="AD282" i="30"/>
  <c r="AD283" i="30"/>
  <c r="AD284" i="30"/>
  <c r="AD285" i="30"/>
  <c r="AD286" i="30"/>
  <c r="AD287" i="30"/>
  <c r="AD288" i="30"/>
  <c r="AD289" i="30"/>
  <c r="AD290" i="30"/>
  <c r="AD291" i="30"/>
  <c r="AD292" i="30"/>
  <c r="AD293" i="30"/>
  <c r="AD294" i="30"/>
  <c r="AD295" i="30"/>
  <c r="AD296" i="30"/>
  <c r="AD297" i="30"/>
  <c r="AD298" i="30"/>
  <c r="AD299" i="30"/>
  <c r="AD300" i="30"/>
  <c r="AD301" i="30"/>
  <c r="AD302" i="30"/>
  <c r="AD303" i="30"/>
  <c r="AD304" i="30"/>
  <c r="AD305" i="30"/>
  <c r="AD306" i="30"/>
  <c r="AD307" i="30"/>
  <c r="AD308" i="30"/>
  <c r="AD309" i="30"/>
  <c r="AD310" i="30"/>
  <c r="AD311" i="30"/>
  <c r="AD312" i="30"/>
  <c r="AD313" i="30"/>
  <c r="AD314" i="30"/>
  <c r="AD315" i="30"/>
  <c r="AD316" i="30"/>
  <c r="AD317" i="30"/>
  <c r="AD318" i="30"/>
  <c r="AD319" i="30"/>
  <c r="AD320" i="30"/>
  <c r="AD321" i="30"/>
  <c r="AD322" i="30"/>
  <c r="AD323" i="30"/>
  <c r="AD324" i="30"/>
  <c r="AD325" i="30"/>
  <c r="AD326" i="30"/>
  <c r="AD327" i="30"/>
  <c r="AD328" i="30"/>
  <c r="AD329" i="30"/>
  <c r="AD330" i="30"/>
  <c r="AD331" i="30"/>
  <c r="AD332" i="30"/>
  <c r="AD333" i="30"/>
  <c r="AD334" i="30"/>
  <c r="AD335" i="30"/>
  <c r="AD336" i="30"/>
  <c r="AD337" i="30"/>
  <c r="AD338" i="30"/>
  <c r="AD339" i="30"/>
  <c r="AD340" i="30"/>
  <c r="AD341" i="30"/>
  <c r="AD342" i="30"/>
  <c r="AD343" i="30"/>
  <c r="AD344" i="30"/>
  <c r="AD345" i="30"/>
  <c r="AD346" i="30"/>
  <c r="AD347" i="30"/>
  <c r="AD348" i="30"/>
  <c r="AD349" i="30"/>
  <c r="AD350" i="30"/>
  <c r="AD351" i="30"/>
  <c r="AD352" i="30"/>
  <c r="AD353" i="30"/>
  <c r="AD354" i="30"/>
  <c r="AD355" i="30"/>
  <c r="AD356" i="30"/>
  <c r="AD357" i="30"/>
  <c r="AD358" i="30"/>
  <c r="AD359" i="30"/>
  <c r="AD360" i="30"/>
  <c r="AD361" i="30"/>
  <c r="AD362" i="30"/>
  <c r="AD363" i="30"/>
  <c r="AD364" i="30"/>
  <c r="AD365" i="30"/>
  <c r="AD366" i="30"/>
  <c r="AD367" i="30"/>
  <c r="AD368" i="30"/>
  <c r="AD369" i="30"/>
  <c r="AD370" i="30"/>
  <c r="AD371" i="30"/>
  <c r="AD372" i="30"/>
  <c r="AD373" i="30"/>
  <c r="AD374" i="30"/>
  <c r="AD375" i="30"/>
  <c r="AD376" i="30"/>
  <c r="AD377" i="30"/>
  <c r="AD378" i="30"/>
  <c r="AD379" i="30"/>
  <c r="AD380" i="30"/>
  <c r="AD381" i="30"/>
  <c r="AD382" i="30"/>
  <c r="AD383" i="30"/>
  <c r="AD384" i="30"/>
  <c r="AD385" i="30"/>
  <c r="AD386" i="30"/>
  <c r="AD387" i="30"/>
  <c r="AD388" i="30"/>
  <c r="AD389" i="30"/>
  <c r="AD390" i="30"/>
  <c r="AD391" i="30"/>
  <c r="AD392" i="30"/>
  <c r="AD393" i="30"/>
  <c r="AD394" i="30"/>
  <c r="AD395" i="30"/>
  <c r="AD396" i="30"/>
  <c r="AD397" i="30"/>
  <c r="AD398" i="30"/>
  <c r="AD399" i="30"/>
  <c r="AD400" i="30"/>
  <c r="Z4" i="30"/>
  <c r="Z5" i="30"/>
  <c r="Z6" i="30"/>
  <c r="AB6" i="30" s="1"/>
  <c r="Z7" i="30"/>
  <c r="AB7" i="30" s="1"/>
  <c r="Z8" i="30"/>
  <c r="AB8" i="30" s="1"/>
  <c r="Z9" i="30"/>
  <c r="AB9" i="30" s="1"/>
  <c r="Z10" i="30"/>
  <c r="AB10" i="30" s="1"/>
  <c r="Z11" i="30"/>
  <c r="Z12" i="30"/>
  <c r="Z13" i="30"/>
  <c r="AB13" i="30" s="1"/>
  <c r="Z14" i="30"/>
  <c r="AB14" i="30" s="1"/>
  <c r="Z15" i="30"/>
  <c r="AB15" i="30" s="1"/>
  <c r="Z16" i="30"/>
  <c r="Z17" i="30"/>
  <c r="AB17" i="30" s="1"/>
  <c r="Z18" i="30"/>
  <c r="AB18" i="30" s="1"/>
  <c r="Z19" i="30"/>
  <c r="AB19" i="30" s="1"/>
  <c r="Z20" i="30"/>
  <c r="AB20" i="30" s="1"/>
  <c r="Z21" i="30"/>
  <c r="AB21" i="30" s="1"/>
  <c r="Z22" i="30"/>
  <c r="Z23" i="30"/>
  <c r="Z24" i="30"/>
  <c r="Z25" i="30"/>
  <c r="Z26" i="30"/>
  <c r="Z27" i="30"/>
  <c r="Z28" i="30"/>
  <c r="AB28" i="30" s="1"/>
  <c r="Z29" i="30"/>
  <c r="AB29" i="30" s="1"/>
  <c r="Z30" i="30"/>
  <c r="AB30" i="30" s="1"/>
  <c r="Z31" i="30"/>
  <c r="AB31" i="30" s="1"/>
  <c r="Z32" i="30"/>
  <c r="AB32" i="30" s="1"/>
  <c r="Z33" i="30"/>
  <c r="Z34" i="30"/>
  <c r="AB34" i="30" s="1"/>
  <c r="Z35" i="30"/>
  <c r="AB35" i="30" s="1"/>
  <c r="Z36" i="30"/>
  <c r="Z37" i="30"/>
  <c r="Z38" i="30"/>
  <c r="Z39" i="30"/>
  <c r="Z40" i="30"/>
  <c r="Z41" i="30"/>
  <c r="AB41" i="30" s="1"/>
  <c r="Z42" i="30"/>
  <c r="AB42" i="30" s="1"/>
  <c r="Z43" i="30"/>
  <c r="AB43" i="30" s="1"/>
  <c r="Z44" i="30"/>
  <c r="AB44" i="30" s="1"/>
  <c r="Z45" i="30"/>
  <c r="Z46" i="30"/>
  <c r="AB46" i="30" s="1"/>
  <c r="Z47" i="30"/>
  <c r="Z48" i="30"/>
  <c r="AB48" i="30" s="1"/>
  <c r="Z49" i="30"/>
  <c r="AB49" i="30" s="1"/>
  <c r="Z50" i="30"/>
  <c r="AB50" i="30" s="1"/>
  <c r="Z51" i="30"/>
  <c r="AB51" i="30" s="1"/>
  <c r="Z52" i="30"/>
  <c r="AB52" i="30" s="1"/>
  <c r="Z53" i="30"/>
  <c r="AB53" i="30" s="1"/>
  <c r="Z54" i="30"/>
  <c r="AB54" i="30" s="1"/>
  <c r="Z55" i="30"/>
  <c r="AB55" i="30" s="1"/>
  <c r="Z56" i="30"/>
  <c r="AB56" i="30" s="1"/>
  <c r="Z57" i="30"/>
  <c r="AB57" i="30" s="1"/>
  <c r="Z58" i="30"/>
  <c r="AB58" i="30" s="1"/>
  <c r="Z59" i="30"/>
  <c r="AB59" i="30" s="1"/>
  <c r="Z60" i="30"/>
  <c r="AB60" i="30" s="1"/>
  <c r="Z61" i="30"/>
  <c r="Z62" i="30"/>
  <c r="AB62" i="30" s="1"/>
  <c r="Z63" i="30"/>
  <c r="AB63" i="30" s="1"/>
  <c r="Z64" i="30"/>
  <c r="AB64" i="30" s="1"/>
  <c r="Z65" i="30"/>
  <c r="Z66" i="30"/>
  <c r="Z67" i="30"/>
  <c r="Z68" i="30"/>
  <c r="Z69" i="30"/>
  <c r="Z70" i="30"/>
  <c r="Z71" i="30"/>
  <c r="AB71" i="30" s="1"/>
  <c r="Z72" i="30"/>
  <c r="AB72" i="30" s="1"/>
  <c r="Z73" i="30"/>
  <c r="AB73" i="30" s="1"/>
  <c r="Z74" i="30"/>
  <c r="Z75" i="30"/>
  <c r="Z76" i="30"/>
  <c r="AB76" i="30" s="1"/>
  <c r="Z77" i="30"/>
  <c r="AB77" i="30" s="1"/>
  <c r="Z78" i="30"/>
  <c r="AB78" i="30" s="1"/>
  <c r="Z79" i="30"/>
  <c r="AB79" i="30" s="1"/>
  <c r="Z80" i="30"/>
  <c r="AB80" i="30" s="1"/>
  <c r="Z81" i="30"/>
  <c r="Z82" i="30"/>
  <c r="Z83" i="30"/>
  <c r="AB83" i="30" s="1"/>
  <c r="Z84" i="30"/>
  <c r="AB84" i="30" s="1"/>
  <c r="Z85" i="30"/>
  <c r="AB85" i="30" s="1"/>
  <c r="Z86" i="30"/>
  <c r="Z87" i="30"/>
  <c r="Z88" i="30"/>
  <c r="Z89" i="30"/>
  <c r="Z90" i="30"/>
  <c r="AB90" i="30" s="1"/>
  <c r="Z91" i="30"/>
  <c r="AB91" i="30" s="1"/>
  <c r="Z92" i="30"/>
  <c r="AB92" i="30" s="1"/>
  <c r="Z93" i="30"/>
  <c r="AB93" i="30" s="1"/>
  <c r="Z94" i="30"/>
  <c r="AB94" i="30" s="1"/>
  <c r="Z95" i="30"/>
  <c r="AB95" i="30" s="1"/>
  <c r="Z96" i="30"/>
  <c r="AB96" i="30" s="1"/>
  <c r="Z97" i="30"/>
  <c r="AB97" i="30" s="1"/>
  <c r="Z98" i="30"/>
  <c r="AB98" i="30" s="1"/>
  <c r="Z99" i="30"/>
  <c r="AB99" i="30" s="1"/>
  <c r="Z100" i="30"/>
  <c r="AB100" i="30" s="1"/>
  <c r="Z101" i="30"/>
  <c r="AB101" i="30" s="1"/>
  <c r="Z102" i="30"/>
  <c r="AB102" i="30" s="1"/>
  <c r="Z103" i="30"/>
  <c r="AB103" i="30" s="1"/>
  <c r="Z104" i="30"/>
  <c r="Z105" i="30"/>
  <c r="AB105" i="30" s="1"/>
  <c r="Z106" i="30"/>
  <c r="AB106" i="30" s="1"/>
  <c r="Z107" i="30"/>
  <c r="AB107" i="30" s="1"/>
  <c r="Z108" i="30"/>
  <c r="AB108" i="30" s="1"/>
  <c r="Z109" i="30"/>
  <c r="AB109" i="30" s="1"/>
  <c r="Z110" i="30"/>
  <c r="AB110" i="30" s="1"/>
  <c r="Z111" i="30"/>
  <c r="Z112" i="30"/>
  <c r="Z113" i="30"/>
  <c r="AB113" i="30" s="1"/>
  <c r="Z114" i="30"/>
  <c r="AB114" i="30" s="1"/>
  <c r="Z115" i="30"/>
  <c r="AB115" i="30" s="1"/>
  <c r="Z116" i="30"/>
  <c r="Z117" i="30"/>
  <c r="Z118" i="30"/>
  <c r="AB118" i="30" s="1"/>
  <c r="Z119" i="30"/>
  <c r="AB119" i="30" s="1"/>
  <c r="Z120" i="30"/>
  <c r="AB120" i="30" s="1"/>
  <c r="Z121" i="30"/>
  <c r="Z122" i="30"/>
  <c r="AB122" i="30" s="1"/>
  <c r="Z123" i="30"/>
  <c r="AB123" i="30" s="1"/>
  <c r="Z124" i="30"/>
  <c r="AB124" i="30" s="1"/>
  <c r="Z125" i="30"/>
  <c r="AB125" i="30" s="1"/>
  <c r="Z126" i="30"/>
  <c r="AB126" i="30" s="1"/>
  <c r="Z127" i="30"/>
  <c r="AB127" i="30" s="1"/>
  <c r="Z128" i="30"/>
  <c r="AB128" i="30" s="1"/>
  <c r="Z129" i="30"/>
  <c r="Z130" i="30"/>
  <c r="Z131" i="30"/>
  <c r="Z132" i="30"/>
  <c r="Z133" i="30"/>
  <c r="Z134" i="30"/>
  <c r="AB134" i="30" s="1"/>
  <c r="Z135" i="30"/>
  <c r="AB135" i="30" s="1"/>
  <c r="Z136" i="30"/>
  <c r="AB136" i="30" s="1"/>
  <c r="Z137" i="30"/>
  <c r="AB137" i="30" s="1"/>
  <c r="Z138" i="30"/>
  <c r="Z139" i="30"/>
  <c r="AB139" i="30" s="1"/>
  <c r="Z140" i="30"/>
  <c r="AB140" i="30" s="1"/>
  <c r="Z141" i="30"/>
  <c r="AB141" i="30" s="1"/>
  <c r="Z142" i="30"/>
  <c r="Z143" i="30"/>
  <c r="AB143" i="30" s="1"/>
  <c r="Z144" i="30"/>
  <c r="AB144" i="30" s="1"/>
  <c r="Z145" i="30"/>
  <c r="AB145" i="30" s="1"/>
  <c r="Z146" i="30"/>
  <c r="AB146" i="30" s="1"/>
  <c r="Z147" i="30"/>
  <c r="AB147" i="30" s="1"/>
  <c r="Z148" i="30"/>
  <c r="Z149" i="30"/>
  <c r="AB149" i="30" s="1"/>
  <c r="Z150" i="30"/>
  <c r="AB150" i="30" s="1"/>
  <c r="Z151" i="30"/>
  <c r="Z152" i="30"/>
  <c r="AB152" i="30" s="1"/>
  <c r="Z153" i="30"/>
  <c r="Z154" i="30"/>
  <c r="Z155" i="30"/>
  <c r="Z156" i="30"/>
  <c r="Z157" i="30"/>
  <c r="Z158" i="30"/>
  <c r="Z159" i="30"/>
  <c r="Z160" i="30"/>
  <c r="Z161" i="30"/>
  <c r="Z162" i="30"/>
  <c r="Z163" i="30"/>
  <c r="Z164" i="30"/>
  <c r="Z165" i="30"/>
  <c r="Z166" i="30"/>
  <c r="Z167" i="30"/>
  <c r="Z168" i="30"/>
  <c r="Z169" i="30"/>
  <c r="Z170" i="30"/>
  <c r="Z171" i="30"/>
  <c r="Z172" i="30"/>
  <c r="Z173" i="30"/>
  <c r="Z174" i="30"/>
  <c r="Z175" i="30"/>
  <c r="Z176" i="30"/>
  <c r="Z177" i="30"/>
  <c r="Z178" i="30"/>
  <c r="Z179" i="30"/>
  <c r="Z180" i="30"/>
  <c r="Z181" i="30"/>
  <c r="Z182" i="30"/>
  <c r="Z183" i="30"/>
  <c r="Z184" i="30"/>
  <c r="Z185" i="30"/>
  <c r="Z186" i="30"/>
  <c r="Z187" i="30"/>
  <c r="Z188" i="30"/>
  <c r="Z189" i="30"/>
  <c r="Z190" i="30"/>
  <c r="Z191" i="30"/>
  <c r="Z192" i="30"/>
  <c r="Z193" i="30"/>
  <c r="Z194" i="30"/>
  <c r="Z195" i="30"/>
  <c r="Z196" i="30"/>
  <c r="Z197" i="30"/>
  <c r="Z198" i="30"/>
  <c r="Z199" i="30"/>
  <c r="Z200" i="30"/>
  <c r="Z201" i="30"/>
  <c r="Z202" i="30"/>
  <c r="Z203" i="30"/>
  <c r="Z204" i="30"/>
  <c r="Z205" i="30"/>
  <c r="Z206" i="30"/>
  <c r="Z207" i="30"/>
  <c r="Z208" i="30"/>
  <c r="Z209" i="30"/>
  <c r="Z210" i="30"/>
  <c r="Z211" i="30"/>
  <c r="Z212" i="30"/>
  <c r="Z213" i="30"/>
  <c r="Z214" i="30"/>
  <c r="Z215" i="30"/>
  <c r="Z216" i="30"/>
  <c r="Z217" i="30"/>
  <c r="Z218" i="30"/>
  <c r="Z219" i="30"/>
  <c r="Z220" i="30"/>
  <c r="Z221" i="30"/>
  <c r="Z222" i="30"/>
  <c r="Z223" i="30"/>
  <c r="Z224" i="30"/>
  <c r="Z225" i="30"/>
  <c r="Z226" i="30"/>
  <c r="Z227" i="30"/>
  <c r="Z228" i="30"/>
  <c r="Z229" i="30"/>
  <c r="Z230" i="30"/>
  <c r="Z231" i="30"/>
  <c r="Z232" i="30"/>
  <c r="Z233" i="30"/>
  <c r="Z234" i="30"/>
  <c r="Z235" i="30"/>
  <c r="Z236" i="30"/>
  <c r="Z237" i="30"/>
  <c r="Z238" i="30"/>
  <c r="Z239" i="30"/>
  <c r="Z240" i="30"/>
  <c r="Z241" i="30"/>
  <c r="Z242" i="30"/>
  <c r="Z243" i="30"/>
  <c r="Z244" i="30"/>
  <c r="Z245" i="30"/>
  <c r="Z246" i="30"/>
  <c r="Z247" i="30"/>
  <c r="Z248" i="30"/>
  <c r="Z249" i="30"/>
  <c r="Z250" i="30"/>
  <c r="Z251" i="30"/>
  <c r="Z252" i="30"/>
  <c r="Z253" i="30"/>
  <c r="Z254" i="30"/>
  <c r="Z255" i="30"/>
  <c r="Z256" i="30"/>
  <c r="Z257" i="30"/>
  <c r="Z258" i="30"/>
  <c r="Z259" i="30"/>
  <c r="Z260" i="30"/>
  <c r="Z261" i="30"/>
  <c r="Z262" i="30"/>
  <c r="Z263" i="30"/>
  <c r="Z264" i="30"/>
  <c r="Z265" i="30"/>
  <c r="Z266" i="30"/>
  <c r="Z267" i="30"/>
  <c r="Z268" i="30"/>
  <c r="Z269" i="30"/>
  <c r="Z270" i="30"/>
  <c r="Z271" i="30"/>
  <c r="Z272" i="30"/>
  <c r="Z273" i="30"/>
  <c r="Z274" i="30"/>
  <c r="Z275" i="30"/>
  <c r="Z276" i="30"/>
  <c r="Z277" i="30"/>
  <c r="Z278" i="30"/>
  <c r="Z279" i="30"/>
  <c r="Z280" i="30"/>
  <c r="Z281" i="30"/>
  <c r="Z282" i="30"/>
  <c r="Z283" i="30"/>
  <c r="Z284" i="30"/>
  <c r="Z285" i="30"/>
  <c r="Z286" i="30"/>
  <c r="Z287" i="30"/>
  <c r="Z288" i="30"/>
  <c r="Z289" i="30"/>
  <c r="Z290" i="30"/>
  <c r="Z291" i="30"/>
  <c r="Z292" i="30"/>
  <c r="Z293" i="30"/>
  <c r="Z294" i="30"/>
  <c r="Z295" i="30"/>
  <c r="Z296" i="30"/>
  <c r="Z297" i="30"/>
  <c r="Z298" i="30"/>
  <c r="Z299" i="30"/>
  <c r="Z300" i="30"/>
  <c r="Z301" i="30"/>
  <c r="Z302" i="30"/>
  <c r="Z303" i="30"/>
  <c r="Z304" i="30"/>
  <c r="Z305" i="30"/>
  <c r="Z306" i="30"/>
  <c r="Z307" i="30"/>
  <c r="Z308" i="30"/>
  <c r="Z309" i="30"/>
  <c r="Z310" i="30"/>
  <c r="Z311" i="30"/>
  <c r="Z312" i="30"/>
  <c r="Z313" i="30"/>
  <c r="Z314" i="30"/>
  <c r="Z315" i="30"/>
  <c r="Z316" i="30"/>
  <c r="Z317" i="30"/>
  <c r="Z318" i="30"/>
  <c r="Z319" i="30"/>
  <c r="Z320" i="30"/>
  <c r="Z321" i="30"/>
  <c r="Z322" i="30"/>
  <c r="Z323" i="30"/>
  <c r="Z324" i="30"/>
  <c r="Z325" i="30"/>
  <c r="Z326" i="30"/>
  <c r="Z327" i="30"/>
  <c r="Z328" i="30"/>
  <c r="Z329" i="30"/>
  <c r="Z330" i="30"/>
  <c r="Z331" i="30"/>
  <c r="Z332" i="30"/>
  <c r="Z333" i="30"/>
  <c r="Z334" i="30"/>
  <c r="Z335" i="30"/>
  <c r="Z336" i="30"/>
  <c r="Z337" i="30"/>
  <c r="Z338" i="30"/>
  <c r="Z339" i="30"/>
  <c r="Z340" i="30"/>
  <c r="Z341" i="30"/>
  <c r="Z342" i="30"/>
  <c r="Z343" i="30"/>
  <c r="Z344" i="30"/>
  <c r="Z345" i="30"/>
  <c r="Z346" i="30"/>
  <c r="Z347" i="30"/>
  <c r="Z348" i="30"/>
  <c r="Z349" i="30"/>
  <c r="Z350" i="30"/>
  <c r="Z351" i="30"/>
  <c r="Z352" i="30"/>
  <c r="Z353" i="30"/>
  <c r="Z354" i="30"/>
  <c r="Z355" i="30"/>
  <c r="Z356" i="30"/>
  <c r="Z357" i="30"/>
  <c r="Z358" i="30"/>
  <c r="Z359" i="30"/>
  <c r="Z360" i="30"/>
  <c r="Z361" i="30"/>
  <c r="Z362" i="30"/>
  <c r="Z363" i="30"/>
  <c r="Z364" i="30"/>
  <c r="Z365" i="30"/>
  <c r="Z366" i="30"/>
  <c r="Z367" i="30"/>
  <c r="Z368" i="30"/>
  <c r="Z369" i="30"/>
  <c r="Z370" i="30"/>
  <c r="Z371" i="30"/>
  <c r="Z372" i="30"/>
  <c r="Z373" i="30"/>
  <c r="Z374" i="30"/>
  <c r="Z375" i="30"/>
  <c r="Z376" i="30"/>
  <c r="Z377" i="30"/>
  <c r="Z378" i="30"/>
  <c r="Z379" i="30"/>
  <c r="Z380" i="30"/>
  <c r="Z381" i="30"/>
  <c r="Z382" i="30"/>
  <c r="Z383" i="30"/>
  <c r="Z384" i="30"/>
  <c r="Z385" i="30"/>
  <c r="Z386" i="30"/>
  <c r="Z387" i="30"/>
  <c r="Z388" i="30"/>
  <c r="Z389" i="30"/>
  <c r="Z390" i="30"/>
  <c r="Z391" i="30"/>
  <c r="Z392" i="30"/>
  <c r="Z393" i="30"/>
  <c r="Z394" i="30"/>
  <c r="Z395" i="30"/>
  <c r="Z396" i="30"/>
  <c r="Z397" i="30"/>
  <c r="Z398" i="30"/>
  <c r="Z399" i="30"/>
  <c r="Z400" i="30"/>
  <c r="V4" i="30"/>
  <c r="V5" i="30"/>
  <c r="V6" i="30"/>
  <c r="X6" i="30" s="1"/>
  <c r="V7" i="30"/>
  <c r="X7" i="30" s="1"/>
  <c r="V8" i="30"/>
  <c r="X8" i="30" s="1"/>
  <c r="V9" i="30"/>
  <c r="X9" i="30" s="1"/>
  <c r="V10" i="30"/>
  <c r="X10" i="30" s="1"/>
  <c r="V11" i="30"/>
  <c r="V12" i="30"/>
  <c r="V13" i="30"/>
  <c r="X13" i="30" s="1"/>
  <c r="V14" i="30"/>
  <c r="X14" i="30" s="1"/>
  <c r="V15" i="30"/>
  <c r="X15" i="30" s="1"/>
  <c r="V16" i="30"/>
  <c r="V17" i="30"/>
  <c r="X17" i="30" s="1"/>
  <c r="V18" i="30"/>
  <c r="X18" i="30" s="1"/>
  <c r="V19" i="30"/>
  <c r="X19" i="30" s="1"/>
  <c r="V20" i="30"/>
  <c r="X20" i="30" s="1"/>
  <c r="V21" i="30"/>
  <c r="X21" i="30" s="1"/>
  <c r="V22" i="30"/>
  <c r="V23" i="30"/>
  <c r="V24" i="30"/>
  <c r="V25" i="30"/>
  <c r="V26" i="30"/>
  <c r="V27" i="30"/>
  <c r="V28" i="30"/>
  <c r="X28" i="30" s="1"/>
  <c r="V29" i="30"/>
  <c r="X29" i="30" s="1"/>
  <c r="V30" i="30"/>
  <c r="X30" i="30" s="1"/>
  <c r="V31" i="30"/>
  <c r="X31" i="30" s="1"/>
  <c r="V32" i="30"/>
  <c r="X32" i="30" s="1"/>
  <c r="V33" i="30"/>
  <c r="V34" i="30"/>
  <c r="X34" i="30" s="1"/>
  <c r="V35" i="30"/>
  <c r="X35" i="30" s="1"/>
  <c r="V36" i="30"/>
  <c r="V37" i="30"/>
  <c r="V38" i="30"/>
  <c r="V39" i="30"/>
  <c r="V40" i="30"/>
  <c r="V41" i="30"/>
  <c r="X41" i="30" s="1"/>
  <c r="V42" i="30"/>
  <c r="X42" i="30" s="1"/>
  <c r="V43" i="30"/>
  <c r="X43" i="30" s="1"/>
  <c r="V44" i="30"/>
  <c r="X44" i="30" s="1"/>
  <c r="V45" i="30"/>
  <c r="V46" i="30"/>
  <c r="X46" i="30" s="1"/>
  <c r="V47" i="30"/>
  <c r="V48" i="30"/>
  <c r="X48" i="30" s="1"/>
  <c r="V49" i="30"/>
  <c r="X49" i="30" s="1"/>
  <c r="V50" i="30"/>
  <c r="X50" i="30" s="1"/>
  <c r="V51" i="30"/>
  <c r="X51" i="30" s="1"/>
  <c r="V52" i="30"/>
  <c r="X52" i="30" s="1"/>
  <c r="V53" i="30"/>
  <c r="X53" i="30" s="1"/>
  <c r="V54" i="30"/>
  <c r="X54" i="30" s="1"/>
  <c r="V55" i="30"/>
  <c r="X55" i="30" s="1"/>
  <c r="V56" i="30"/>
  <c r="X56" i="30" s="1"/>
  <c r="V57" i="30"/>
  <c r="X57" i="30" s="1"/>
  <c r="V58" i="30"/>
  <c r="X58" i="30" s="1"/>
  <c r="V59" i="30"/>
  <c r="X59" i="30" s="1"/>
  <c r="V60" i="30"/>
  <c r="X60" i="30" s="1"/>
  <c r="V61" i="30"/>
  <c r="V62" i="30"/>
  <c r="X62" i="30" s="1"/>
  <c r="V63" i="30"/>
  <c r="X63" i="30" s="1"/>
  <c r="V64" i="30"/>
  <c r="X64" i="30" s="1"/>
  <c r="V65" i="30"/>
  <c r="V66" i="30"/>
  <c r="V67" i="30"/>
  <c r="V68" i="30"/>
  <c r="V69" i="30"/>
  <c r="V70" i="30"/>
  <c r="V71" i="30"/>
  <c r="X71" i="30" s="1"/>
  <c r="V72" i="30"/>
  <c r="X72" i="30" s="1"/>
  <c r="V73" i="30"/>
  <c r="X73" i="30" s="1"/>
  <c r="V74" i="30"/>
  <c r="V75" i="30"/>
  <c r="V76" i="30"/>
  <c r="X76" i="30" s="1"/>
  <c r="V77" i="30"/>
  <c r="X77" i="30" s="1"/>
  <c r="V78" i="30"/>
  <c r="X78" i="30" s="1"/>
  <c r="V79" i="30"/>
  <c r="X79" i="30" s="1"/>
  <c r="V80" i="30"/>
  <c r="X80" i="30" s="1"/>
  <c r="V81" i="30"/>
  <c r="V82" i="30"/>
  <c r="V83" i="30"/>
  <c r="X83" i="30" s="1"/>
  <c r="V84" i="30"/>
  <c r="X84" i="30" s="1"/>
  <c r="V85" i="30"/>
  <c r="X85" i="30" s="1"/>
  <c r="V86" i="30"/>
  <c r="V87" i="30"/>
  <c r="V88" i="30"/>
  <c r="V89" i="30"/>
  <c r="V90" i="30"/>
  <c r="X90" i="30" s="1"/>
  <c r="V91" i="30"/>
  <c r="X91" i="30" s="1"/>
  <c r="V92" i="30"/>
  <c r="X92" i="30" s="1"/>
  <c r="V93" i="30"/>
  <c r="X93" i="30" s="1"/>
  <c r="V94" i="30"/>
  <c r="X94" i="30" s="1"/>
  <c r="V95" i="30"/>
  <c r="X95" i="30" s="1"/>
  <c r="V96" i="30"/>
  <c r="X96" i="30" s="1"/>
  <c r="V97" i="30"/>
  <c r="X97" i="30" s="1"/>
  <c r="V98" i="30"/>
  <c r="X98" i="30" s="1"/>
  <c r="V99" i="30"/>
  <c r="X99" i="30" s="1"/>
  <c r="V100" i="30"/>
  <c r="X100" i="30" s="1"/>
  <c r="V101" i="30"/>
  <c r="X101" i="30" s="1"/>
  <c r="V102" i="30"/>
  <c r="X102" i="30" s="1"/>
  <c r="V103" i="30"/>
  <c r="X103" i="30" s="1"/>
  <c r="V104" i="30"/>
  <c r="V105" i="30"/>
  <c r="X105" i="30" s="1"/>
  <c r="V106" i="30"/>
  <c r="X106" i="30" s="1"/>
  <c r="V107" i="30"/>
  <c r="X107" i="30" s="1"/>
  <c r="V108" i="30"/>
  <c r="X108" i="30" s="1"/>
  <c r="V109" i="30"/>
  <c r="X109" i="30" s="1"/>
  <c r="V110" i="30"/>
  <c r="X110" i="30" s="1"/>
  <c r="V111" i="30"/>
  <c r="V112" i="30"/>
  <c r="V113" i="30"/>
  <c r="X113" i="30" s="1"/>
  <c r="V114" i="30"/>
  <c r="X114" i="30" s="1"/>
  <c r="V115" i="30"/>
  <c r="X115" i="30" s="1"/>
  <c r="V116" i="30"/>
  <c r="V117" i="30"/>
  <c r="V118" i="30"/>
  <c r="X118" i="30" s="1"/>
  <c r="V119" i="30"/>
  <c r="X119" i="30" s="1"/>
  <c r="V120" i="30"/>
  <c r="X120" i="30" s="1"/>
  <c r="V121" i="30"/>
  <c r="V122" i="30"/>
  <c r="X122" i="30" s="1"/>
  <c r="V123" i="30"/>
  <c r="X123" i="30" s="1"/>
  <c r="V124" i="30"/>
  <c r="X124" i="30" s="1"/>
  <c r="V125" i="30"/>
  <c r="X125" i="30" s="1"/>
  <c r="V126" i="30"/>
  <c r="X126" i="30" s="1"/>
  <c r="V127" i="30"/>
  <c r="X127" i="30" s="1"/>
  <c r="V128" i="30"/>
  <c r="X128" i="30" s="1"/>
  <c r="V129" i="30"/>
  <c r="V130" i="30"/>
  <c r="V131" i="30"/>
  <c r="V132" i="30"/>
  <c r="V133" i="30"/>
  <c r="V134" i="30"/>
  <c r="X134" i="30" s="1"/>
  <c r="V135" i="30"/>
  <c r="X135" i="30" s="1"/>
  <c r="V136" i="30"/>
  <c r="X136" i="30" s="1"/>
  <c r="V137" i="30"/>
  <c r="X137" i="30" s="1"/>
  <c r="V138" i="30"/>
  <c r="V139" i="30"/>
  <c r="X139" i="30" s="1"/>
  <c r="V140" i="30"/>
  <c r="X140" i="30" s="1"/>
  <c r="V141" i="30"/>
  <c r="X141" i="30" s="1"/>
  <c r="V142" i="30"/>
  <c r="V143" i="30"/>
  <c r="X143" i="30" s="1"/>
  <c r="V144" i="30"/>
  <c r="X144" i="30" s="1"/>
  <c r="V145" i="30"/>
  <c r="X145" i="30" s="1"/>
  <c r="V146" i="30"/>
  <c r="X146" i="30" s="1"/>
  <c r="V147" i="30"/>
  <c r="X147" i="30" s="1"/>
  <c r="V148" i="30"/>
  <c r="V149" i="30"/>
  <c r="X149" i="30" s="1"/>
  <c r="V150" i="30"/>
  <c r="X150" i="30" s="1"/>
  <c r="V151" i="30"/>
  <c r="V152" i="30"/>
  <c r="X152" i="30" s="1"/>
  <c r="V153" i="30"/>
  <c r="V154" i="30"/>
  <c r="V155" i="30"/>
  <c r="V156" i="30"/>
  <c r="V157" i="30"/>
  <c r="V158" i="30"/>
  <c r="V159" i="30"/>
  <c r="V160" i="30"/>
  <c r="V161" i="30"/>
  <c r="V162" i="30"/>
  <c r="V163" i="30"/>
  <c r="V164" i="30"/>
  <c r="V165" i="30"/>
  <c r="V166" i="30"/>
  <c r="V167" i="30"/>
  <c r="V168" i="30"/>
  <c r="V169" i="30"/>
  <c r="V170" i="30"/>
  <c r="V171" i="30"/>
  <c r="V172" i="30"/>
  <c r="V173" i="30"/>
  <c r="V174" i="30"/>
  <c r="V175" i="30"/>
  <c r="V176" i="30"/>
  <c r="V177" i="30"/>
  <c r="V178" i="30"/>
  <c r="V179" i="30"/>
  <c r="V180" i="30"/>
  <c r="V181" i="30"/>
  <c r="V182" i="30"/>
  <c r="V183" i="30"/>
  <c r="V184" i="30"/>
  <c r="V185" i="30"/>
  <c r="V186" i="30"/>
  <c r="V187" i="30"/>
  <c r="V188" i="30"/>
  <c r="V189" i="30"/>
  <c r="V190" i="30"/>
  <c r="V191" i="30"/>
  <c r="V192" i="30"/>
  <c r="V193" i="30"/>
  <c r="V194" i="30"/>
  <c r="V195" i="30"/>
  <c r="V196" i="30"/>
  <c r="V197" i="30"/>
  <c r="V198" i="30"/>
  <c r="V199" i="30"/>
  <c r="V200" i="30"/>
  <c r="V201" i="30"/>
  <c r="V202" i="30"/>
  <c r="V203" i="30"/>
  <c r="V204" i="30"/>
  <c r="V205" i="30"/>
  <c r="V206" i="30"/>
  <c r="V207" i="30"/>
  <c r="V208" i="30"/>
  <c r="V209" i="30"/>
  <c r="V210" i="30"/>
  <c r="V211" i="30"/>
  <c r="V212" i="30"/>
  <c r="V213" i="30"/>
  <c r="V214" i="30"/>
  <c r="V215" i="30"/>
  <c r="V216" i="30"/>
  <c r="V217" i="30"/>
  <c r="V218" i="30"/>
  <c r="V219" i="30"/>
  <c r="V220" i="30"/>
  <c r="V221" i="30"/>
  <c r="V222" i="30"/>
  <c r="V223" i="30"/>
  <c r="V224" i="30"/>
  <c r="V225" i="30"/>
  <c r="V226" i="30"/>
  <c r="V227" i="30"/>
  <c r="V228" i="30"/>
  <c r="V229" i="30"/>
  <c r="V230" i="30"/>
  <c r="V231" i="30"/>
  <c r="V232" i="30"/>
  <c r="V233" i="30"/>
  <c r="V234" i="30"/>
  <c r="V235" i="30"/>
  <c r="V236" i="30"/>
  <c r="V237" i="30"/>
  <c r="V238" i="30"/>
  <c r="V239" i="30"/>
  <c r="V240" i="30"/>
  <c r="V241" i="30"/>
  <c r="V242" i="30"/>
  <c r="V243" i="30"/>
  <c r="V244" i="30"/>
  <c r="V245" i="30"/>
  <c r="V246" i="30"/>
  <c r="V247" i="30"/>
  <c r="V248" i="30"/>
  <c r="V249" i="30"/>
  <c r="V250" i="30"/>
  <c r="V251" i="30"/>
  <c r="V252" i="30"/>
  <c r="V253" i="30"/>
  <c r="V254" i="30"/>
  <c r="V255" i="30"/>
  <c r="V256" i="30"/>
  <c r="V257" i="30"/>
  <c r="V258" i="30"/>
  <c r="V259" i="30"/>
  <c r="V260" i="30"/>
  <c r="V261" i="30"/>
  <c r="V262" i="30"/>
  <c r="V263" i="30"/>
  <c r="V264" i="30"/>
  <c r="V265" i="30"/>
  <c r="V266" i="30"/>
  <c r="V267" i="30"/>
  <c r="V268" i="30"/>
  <c r="V269" i="30"/>
  <c r="V270" i="30"/>
  <c r="V271" i="30"/>
  <c r="V272" i="30"/>
  <c r="V273" i="30"/>
  <c r="V274" i="30"/>
  <c r="V275" i="30"/>
  <c r="V276" i="30"/>
  <c r="V277" i="30"/>
  <c r="V278" i="30"/>
  <c r="V279" i="30"/>
  <c r="V280" i="30"/>
  <c r="V281" i="30"/>
  <c r="V282" i="30"/>
  <c r="V283" i="30"/>
  <c r="V284" i="30"/>
  <c r="V285" i="30"/>
  <c r="V286" i="30"/>
  <c r="V287" i="30"/>
  <c r="V288" i="30"/>
  <c r="V289" i="30"/>
  <c r="V290" i="30"/>
  <c r="V291" i="30"/>
  <c r="V292" i="30"/>
  <c r="V293" i="30"/>
  <c r="V294" i="30"/>
  <c r="V295" i="30"/>
  <c r="V296" i="30"/>
  <c r="V297" i="30"/>
  <c r="V298" i="30"/>
  <c r="V299" i="30"/>
  <c r="V300" i="30"/>
  <c r="V301" i="30"/>
  <c r="V302" i="30"/>
  <c r="V303" i="30"/>
  <c r="V304" i="30"/>
  <c r="V305" i="30"/>
  <c r="V306" i="30"/>
  <c r="V307" i="30"/>
  <c r="V308" i="30"/>
  <c r="V309" i="30"/>
  <c r="V310" i="30"/>
  <c r="V311" i="30"/>
  <c r="V312" i="30"/>
  <c r="V313" i="30"/>
  <c r="V314" i="30"/>
  <c r="V315" i="30"/>
  <c r="V316" i="30"/>
  <c r="V317" i="30"/>
  <c r="V318" i="30"/>
  <c r="V319" i="30"/>
  <c r="V320" i="30"/>
  <c r="V321" i="30"/>
  <c r="V322" i="30"/>
  <c r="V323" i="30"/>
  <c r="V324" i="30"/>
  <c r="V325" i="30"/>
  <c r="V326" i="30"/>
  <c r="V327" i="30"/>
  <c r="V328" i="30"/>
  <c r="V329" i="30"/>
  <c r="V330" i="30"/>
  <c r="V331" i="30"/>
  <c r="V332" i="30"/>
  <c r="V333" i="30"/>
  <c r="V334" i="30"/>
  <c r="V335" i="30"/>
  <c r="V336" i="30"/>
  <c r="V337" i="30"/>
  <c r="V338" i="30"/>
  <c r="V339" i="30"/>
  <c r="V340" i="30"/>
  <c r="V341" i="30"/>
  <c r="V342" i="30"/>
  <c r="V343" i="30"/>
  <c r="V344" i="30"/>
  <c r="V345" i="30"/>
  <c r="V346" i="30"/>
  <c r="V347" i="30"/>
  <c r="V348" i="30"/>
  <c r="V349" i="30"/>
  <c r="V350" i="30"/>
  <c r="V351" i="30"/>
  <c r="V352" i="30"/>
  <c r="V353" i="30"/>
  <c r="V354" i="30"/>
  <c r="V355" i="30"/>
  <c r="V356" i="30"/>
  <c r="V357" i="30"/>
  <c r="V358" i="30"/>
  <c r="V359" i="30"/>
  <c r="V360" i="30"/>
  <c r="V361" i="30"/>
  <c r="V362" i="30"/>
  <c r="V363" i="30"/>
  <c r="V364" i="30"/>
  <c r="V365" i="30"/>
  <c r="V366" i="30"/>
  <c r="V367" i="30"/>
  <c r="V368" i="30"/>
  <c r="V369" i="30"/>
  <c r="V370" i="30"/>
  <c r="V371" i="30"/>
  <c r="V372" i="30"/>
  <c r="V373" i="30"/>
  <c r="V374" i="30"/>
  <c r="V375" i="30"/>
  <c r="V376" i="30"/>
  <c r="V377" i="30"/>
  <c r="V378" i="30"/>
  <c r="V379" i="30"/>
  <c r="V380" i="30"/>
  <c r="V381" i="30"/>
  <c r="V382" i="30"/>
  <c r="V383" i="30"/>
  <c r="V384" i="30"/>
  <c r="V385" i="30"/>
  <c r="V386" i="30"/>
  <c r="V387" i="30"/>
  <c r="V388" i="30"/>
  <c r="V389" i="30"/>
  <c r="V390" i="30"/>
  <c r="V391" i="30"/>
  <c r="V392" i="30"/>
  <c r="V393" i="30"/>
  <c r="V394" i="30"/>
  <c r="V395" i="30"/>
  <c r="V396" i="30"/>
  <c r="V397" i="30"/>
  <c r="V398" i="30"/>
  <c r="V399" i="30"/>
  <c r="V400" i="30"/>
  <c r="R4" i="30"/>
  <c r="R5" i="30"/>
  <c r="R6" i="30"/>
  <c r="T6" i="30" s="1"/>
  <c r="R7" i="30"/>
  <c r="T7" i="30" s="1"/>
  <c r="R8" i="30"/>
  <c r="T8" i="30" s="1"/>
  <c r="R9" i="30"/>
  <c r="T9" i="30" s="1"/>
  <c r="R10" i="30"/>
  <c r="T10" i="30" s="1"/>
  <c r="R11" i="30"/>
  <c r="R12" i="30"/>
  <c r="R13" i="30"/>
  <c r="T13" i="30" s="1"/>
  <c r="R14" i="30"/>
  <c r="T14" i="30" s="1"/>
  <c r="R15" i="30"/>
  <c r="T15" i="30" s="1"/>
  <c r="R16" i="30"/>
  <c r="R17" i="30"/>
  <c r="T17" i="30" s="1"/>
  <c r="R18" i="30"/>
  <c r="T18" i="30" s="1"/>
  <c r="R19" i="30"/>
  <c r="T19" i="30" s="1"/>
  <c r="R20" i="30"/>
  <c r="T20" i="30" s="1"/>
  <c r="R21" i="30"/>
  <c r="T21" i="30" s="1"/>
  <c r="R22" i="30"/>
  <c r="R23" i="30"/>
  <c r="R24" i="30"/>
  <c r="R25" i="30"/>
  <c r="R26" i="30"/>
  <c r="R27" i="30"/>
  <c r="R28" i="30"/>
  <c r="T28" i="30" s="1"/>
  <c r="R29" i="30"/>
  <c r="T29" i="30" s="1"/>
  <c r="R30" i="30"/>
  <c r="T30" i="30" s="1"/>
  <c r="R31" i="30"/>
  <c r="T31" i="30" s="1"/>
  <c r="R32" i="30"/>
  <c r="T32" i="30" s="1"/>
  <c r="R33" i="30"/>
  <c r="R34" i="30"/>
  <c r="T34" i="30" s="1"/>
  <c r="R35" i="30"/>
  <c r="T35" i="30" s="1"/>
  <c r="R36" i="30"/>
  <c r="R37" i="30"/>
  <c r="R38" i="30"/>
  <c r="R39" i="30"/>
  <c r="R40" i="30"/>
  <c r="R41" i="30"/>
  <c r="T41" i="30" s="1"/>
  <c r="R42" i="30"/>
  <c r="T42" i="30" s="1"/>
  <c r="R43" i="30"/>
  <c r="T43" i="30" s="1"/>
  <c r="R44" i="30"/>
  <c r="T44" i="30" s="1"/>
  <c r="R45" i="30"/>
  <c r="R46" i="30"/>
  <c r="T46" i="30" s="1"/>
  <c r="R47" i="30"/>
  <c r="R48" i="30"/>
  <c r="T48" i="30" s="1"/>
  <c r="R49" i="30"/>
  <c r="T49" i="30" s="1"/>
  <c r="R50" i="30"/>
  <c r="T50" i="30" s="1"/>
  <c r="R51" i="30"/>
  <c r="T51" i="30" s="1"/>
  <c r="R52" i="30"/>
  <c r="T52" i="30" s="1"/>
  <c r="R53" i="30"/>
  <c r="T53" i="30" s="1"/>
  <c r="R54" i="30"/>
  <c r="T54" i="30" s="1"/>
  <c r="R55" i="30"/>
  <c r="T55" i="30" s="1"/>
  <c r="R56" i="30"/>
  <c r="T56" i="30" s="1"/>
  <c r="R57" i="30"/>
  <c r="T57" i="30" s="1"/>
  <c r="R58" i="30"/>
  <c r="T58" i="30" s="1"/>
  <c r="R59" i="30"/>
  <c r="T59" i="30" s="1"/>
  <c r="R60" i="30"/>
  <c r="T60" i="30" s="1"/>
  <c r="R61" i="30"/>
  <c r="R62" i="30"/>
  <c r="T62" i="30" s="1"/>
  <c r="R63" i="30"/>
  <c r="T63" i="30" s="1"/>
  <c r="R64" i="30"/>
  <c r="T64" i="30" s="1"/>
  <c r="R65" i="30"/>
  <c r="R66" i="30"/>
  <c r="R67" i="30"/>
  <c r="R68" i="30"/>
  <c r="R69" i="30"/>
  <c r="R70" i="30"/>
  <c r="R71" i="30"/>
  <c r="T71" i="30" s="1"/>
  <c r="R72" i="30"/>
  <c r="T72" i="30" s="1"/>
  <c r="R73" i="30"/>
  <c r="T73" i="30" s="1"/>
  <c r="R74" i="30"/>
  <c r="R75" i="30"/>
  <c r="R76" i="30"/>
  <c r="T76" i="30" s="1"/>
  <c r="R77" i="30"/>
  <c r="T77" i="30" s="1"/>
  <c r="R78" i="30"/>
  <c r="T78" i="30" s="1"/>
  <c r="R79" i="30"/>
  <c r="T79" i="30" s="1"/>
  <c r="R80" i="30"/>
  <c r="T80" i="30" s="1"/>
  <c r="R81" i="30"/>
  <c r="R82" i="30"/>
  <c r="R83" i="30"/>
  <c r="T83" i="30" s="1"/>
  <c r="R84" i="30"/>
  <c r="T84" i="30" s="1"/>
  <c r="R85" i="30"/>
  <c r="T85" i="30" s="1"/>
  <c r="R86" i="30"/>
  <c r="R87" i="30"/>
  <c r="R88" i="30"/>
  <c r="R89" i="30"/>
  <c r="R90" i="30"/>
  <c r="T90" i="30" s="1"/>
  <c r="R91" i="30"/>
  <c r="T91" i="30" s="1"/>
  <c r="R92" i="30"/>
  <c r="T92" i="30" s="1"/>
  <c r="R93" i="30"/>
  <c r="T93" i="30" s="1"/>
  <c r="R94" i="30"/>
  <c r="T94" i="30" s="1"/>
  <c r="R95" i="30"/>
  <c r="T95" i="30" s="1"/>
  <c r="R96" i="30"/>
  <c r="T96" i="30" s="1"/>
  <c r="R97" i="30"/>
  <c r="T97" i="30" s="1"/>
  <c r="R98" i="30"/>
  <c r="T98" i="30" s="1"/>
  <c r="R99" i="30"/>
  <c r="T99" i="30" s="1"/>
  <c r="R100" i="30"/>
  <c r="T100" i="30" s="1"/>
  <c r="R101" i="30"/>
  <c r="T101" i="30" s="1"/>
  <c r="R102" i="30"/>
  <c r="T102" i="30" s="1"/>
  <c r="R103" i="30"/>
  <c r="T103" i="30" s="1"/>
  <c r="R104" i="30"/>
  <c r="R105" i="30"/>
  <c r="T105" i="30" s="1"/>
  <c r="R106" i="30"/>
  <c r="T106" i="30" s="1"/>
  <c r="R107" i="30"/>
  <c r="T107" i="30" s="1"/>
  <c r="R108" i="30"/>
  <c r="T108" i="30" s="1"/>
  <c r="R109" i="30"/>
  <c r="T109" i="30" s="1"/>
  <c r="R110" i="30"/>
  <c r="T110" i="30" s="1"/>
  <c r="R111" i="30"/>
  <c r="R112" i="30"/>
  <c r="R113" i="30"/>
  <c r="T113" i="30" s="1"/>
  <c r="R114" i="30"/>
  <c r="T114" i="30" s="1"/>
  <c r="R115" i="30"/>
  <c r="T115" i="30" s="1"/>
  <c r="R116" i="30"/>
  <c r="R117" i="30"/>
  <c r="R118" i="30"/>
  <c r="T118" i="30" s="1"/>
  <c r="R119" i="30"/>
  <c r="T119" i="30" s="1"/>
  <c r="R120" i="30"/>
  <c r="T120" i="30" s="1"/>
  <c r="R121" i="30"/>
  <c r="R122" i="30"/>
  <c r="T122" i="30" s="1"/>
  <c r="R123" i="30"/>
  <c r="T123" i="30" s="1"/>
  <c r="R124" i="30"/>
  <c r="T124" i="30" s="1"/>
  <c r="R125" i="30"/>
  <c r="T125" i="30" s="1"/>
  <c r="R126" i="30"/>
  <c r="T126" i="30" s="1"/>
  <c r="R127" i="30"/>
  <c r="T127" i="30" s="1"/>
  <c r="R128" i="30"/>
  <c r="T128" i="30" s="1"/>
  <c r="R129" i="30"/>
  <c r="R130" i="30"/>
  <c r="R131" i="30"/>
  <c r="R132" i="30"/>
  <c r="R133" i="30"/>
  <c r="R134" i="30"/>
  <c r="T134" i="30" s="1"/>
  <c r="R135" i="30"/>
  <c r="T135" i="30" s="1"/>
  <c r="R136" i="30"/>
  <c r="T136" i="30" s="1"/>
  <c r="R137" i="30"/>
  <c r="T137" i="30" s="1"/>
  <c r="R138" i="30"/>
  <c r="R139" i="30"/>
  <c r="T139" i="30" s="1"/>
  <c r="R140" i="30"/>
  <c r="T140" i="30" s="1"/>
  <c r="R141" i="30"/>
  <c r="T141" i="30" s="1"/>
  <c r="R142" i="30"/>
  <c r="R143" i="30"/>
  <c r="T143" i="30" s="1"/>
  <c r="R144" i="30"/>
  <c r="T144" i="30" s="1"/>
  <c r="R145" i="30"/>
  <c r="T145" i="30" s="1"/>
  <c r="R146" i="30"/>
  <c r="T146" i="30" s="1"/>
  <c r="R147" i="30"/>
  <c r="T147" i="30" s="1"/>
  <c r="R148" i="30"/>
  <c r="R149" i="30"/>
  <c r="T149" i="30" s="1"/>
  <c r="R150" i="30"/>
  <c r="T150" i="30" s="1"/>
  <c r="R151" i="30"/>
  <c r="R152" i="30"/>
  <c r="T152" i="30" s="1"/>
  <c r="R153" i="30"/>
  <c r="R154" i="30"/>
  <c r="R155" i="30"/>
  <c r="R156" i="30"/>
  <c r="R157" i="30"/>
  <c r="R158" i="30"/>
  <c r="R159" i="30"/>
  <c r="R160" i="30"/>
  <c r="R161" i="30"/>
  <c r="R162" i="30"/>
  <c r="R163" i="30"/>
  <c r="R164" i="30"/>
  <c r="R165" i="30"/>
  <c r="R166" i="30"/>
  <c r="R167" i="30"/>
  <c r="R168" i="30"/>
  <c r="R169" i="30"/>
  <c r="R170" i="30"/>
  <c r="R171" i="30"/>
  <c r="R172" i="30"/>
  <c r="R173" i="30"/>
  <c r="R174" i="30"/>
  <c r="R175" i="30"/>
  <c r="R176" i="30"/>
  <c r="R177" i="30"/>
  <c r="R178" i="30"/>
  <c r="R179" i="30"/>
  <c r="R180" i="30"/>
  <c r="R181" i="30"/>
  <c r="R182" i="30"/>
  <c r="R183" i="30"/>
  <c r="R184" i="30"/>
  <c r="R185" i="30"/>
  <c r="R186" i="30"/>
  <c r="R187" i="30"/>
  <c r="R188" i="30"/>
  <c r="R189" i="30"/>
  <c r="R190" i="30"/>
  <c r="R191" i="30"/>
  <c r="R192" i="30"/>
  <c r="R193" i="30"/>
  <c r="R194" i="30"/>
  <c r="R195" i="30"/>
  <c r="R196" i="30"/>
  <c r="R197" i="30"/>
  <c r="R198" i="30"/>
  <c r="R199" i="30"/>
  <c r="R200" i="30"/>
  <c r="R201" i="30"/>
  <c r="R202" i="30"/>
  <c r="R203" i="30"/>
  <c r="R204" i="30"/>
  <c r="R205" i="30"/>
  <c r="R206" i="30"/>
  <c r="R207" i="30"/>
  <c r="R208" i="30"/>
  <c r="R209" i="30"/>
  <c r="R210" i="30"/>
  <c r="R211" i="30"/>
  <c r="R212" i="30"/>
  <c r="R213" i="30"/>
  <c r="R214" i="30"/>
  <c r="R215" i="30"/>
  <c r="R216" i="30"/>
  <c r="R217" i="30"/>
  <c r="R218" i="30"/>
  <c r="R219" i="30"/>
  <c r="R220" i="30"/>
  <c r="R221" i="30"/>
  <c r="R222" i="30"/>
  <c r="R223" i="30"/>
  <c r="R224" i="30"/>
  <c r="R225" i="30"/>
  <c r="R226" i="30"/>
  <c r="R227" i="30"/>
  <c r="R228" i="30"/>
  <c r="R229" i="30"/>
  <c r="R230" i="30"/>
  <c r="R231" i="30"/>
  <c r="R232" i="30"/>
  <c r="R233" i="30"/>
  <c r="R234" i="30"/>
  <c r="R235" i="30"/>
  <c r="R236" i="30"/>
  <c r="R237" i="30"/>
  <c r="R238" i="30"/>
  <c r="R239" i="30"/>
  <c r="R240" i="30"/>
  <c r="R241" i="30"/>
  <c r="R242" i="30"/>
  <c r="R243" i="30"/>
  <c r="R244" i="30"/>
  <c r="R245" i="30"/>
  <c r="R246" i="30"/>
  <c r="R247" i="30"/>
  <c r="R248" i="30"/>
  <c r="R249" i="30"/>
  <c r="R250" i="30"/>
  <c r="R251" i="30"/>
  <c r="R252" i="30"/>
  <c r="R253" i="30"/>
  <c r="R254" i="30"/>
  <c r="R255" i="30"/>
  <c r="R256" i="30"/>
  <c r="R257" i="30"/>
  <c r="R258" i="30"/>
  <c r="R259" i="30"/>
  <c r="R260" i="30"/>
  <c r="R261" i="30"/>
  <c r="R262" i="30"/>
  <c r="R263" i="30"/>
  <c r="R264" i="30"/>
  <c r="R265" i="30"/>
  <c r="R266" i="30"/>
  <c r="R267" i="30"/>
  <c r="R268" i="30"/>
  <c r="R269" i="30"/>
  <c r="R270" i="30"/>
  <c r="R271" i="30"/>
  <c r="R272" i="30"/>
  <c r="R273" i="30"/>
  <c r="R274" i="30"/>
  <c r="R275" i="30"/>
  <c r="R276" i="30"/>
  <c r="R277" i="30"/>
  <c r="R278" i="30"/>
  <c r="R279" i="30"/>
  <c r="R280" i="30"/>
  <c r="R281" i="30"/>
  <c r="R282" i="30"/>
  <c r="R283" i="30"/>
  <c r="R284" i="30"/>
  <c r="R285" i="30"/>
  <c r="R286" i="30"/>
  <c r="R287" i="30"/>
  <c r="R288" i="30"/>
  <c r="R289" i="30"/>
  <c r="R290" i="30"/>
  <c r="R291" i="30"/>
  <c r="R292" i="30"/>
  <c r="R293" i="30"/>
  <c r="R294" i="30"/>
  <c r="R295" i="30"/>
  <c r="R296" i="30"/>
  <c r="R297" i="30"/>
  <c r="R298" i="30"/>
  <c r="R299" i="30"/>
  <c r="R300" i="30"/>
  <c r="R301" i="30"/>
  <c r="R302" i="30"/>
  <c r="R303" i="30"/>
  <c r="R304" i="30"/>
  <c r="R305" i="30"/>
  <c r="R306" i="30"/>
  <c r="R307" i="30"/>
  <c r="R308" i="30"/>
  <c r="R309" i="30"/>
  <c r="R310" i="30"/>
  <c r="R311" i="30"/>
  <c r="R312" i="30"/>
  <c r="R313" i="30"/>
  <c r="R314" i="30"/>
  <c r="R315" i="30"/>
  <c r="R316" i="30"/>
  <c r="R317" i="30"/>
  <c r="R318" i="30"/>
  <c r="R319" i="30"/>
  <c r="R320" i="30"/>
  <c r="R321" i="30"/>
  <c r="R322" i="30"/>
  <c r="R323" i="30"/>
  <c r="R324" i="30"/>
  <c r="R325" i="30"/>
  <c r="R326" i="30"/>
  <c r="R327" i="30"/>
  <c r="R328" i="30"/>
  <c r="R329" i="30"/>
  <c r="R330" i="30"/>
  <c r="R331" i="30"/>
  <c r="R332" i="30"/>
  <c r="R333" i="30"/>
  <c r="R334" i="30"/>
  <c r="R335" i="30"/>
  <c r="R336" i="30"/>
  <c r="R337" i="30"/>
  <c r="R338" i="30"/>
  <c r="R339" i="30"/>
  <c r="R340" i="30"/>
  <c r="R341" i="30"/>
  <c r="R342" i="30"/>
  <c r="R343" i="30"/>
  <c r="R344" i="30"/>
  <c r="R345" i="30"/>
  <c r="R346" i="30"/>
  <c r="R347" i="30"/>
  <c r="R348" i="30"/>
  <c r="R349" i="30"/>
  <c r="R350" i="30"/>
  <c r="R351" i="30"/>
  <c r="R352" i="30"/>
  <c r="R353" i="30"/>
  <c r="R354" i="30"/>
  <c r="R355" i="30"/>
  <c r="R356" i="30"/>
  <c r="R357" i="30"/>
  <c r="R358" i="30"/>
  <c r="R359" i="30"/>
  <c r="R360" i="30"/>
  <c r="R361" i="30"/>
  <c r="R362" i="30"/>
  <c r="R363" i="30"/>
  <c r="R364" i="30"/>
  <c r="R365" i="30"/>
  <c r="R366" i="30"/>
  <c r="R367" i="30"/>
  <c r="R368" i="30"/>
  <c r="R369" i="30"/>
  <c r="R370" i="30"/>
  <c r="R371" i="30"/>
  <c r="R372" i="30"/>
  <c r="R373" i="30"/>
  <c r="R374" i="30"/>
  <c r="R375" i="30"/>
  <c r="R376" i="30"/>
  <c r="R377" i="30"/>
  <c r="R378" i="30"/>
  <c r="R379" i="30"/>
  <c r="R380" i="30"/>
  <c r="R381" i="30"/>
  <c r="R382" i="30"/>
  <c r="R383" i="30"/>
  <c r="R384" i="30"/>
  <c r="R385" i="30"/>
  <c r="R386" i="30"/>
  <c r="R387" i="30"/>
  <c r="R388" i="30"/>
  <c r="R389" i="30"/>
  <c r="R390" i="30"/>
  <c r="R391" i="30"/>
  <c r="R392" i="30"/>
  <c r="R393" i="30"/>
  <c r="R394" i="30"/>
  <c r="R395" i="30"/>
  <c r="R396" i="30"/>
  <c r="R397" i="30"/>
  <c r="R398" i="30"/>
  <c r="R399" i="30"/>
  <c r="R400" i="30"/>
  <c r="N4" i="30"/>
  <c r="N5" i="30"/>
  <c r="N6" i="30"/>
  <c r="P6" i="30" s="1"/>
  <c r="N7" i="30"/>
  <c r="P7" i="30" s="1"/>
  <c r="N8" i="30"/>
  <c r="P8" i="30" s="1"/>
  <c r="N9" i="30"/>
  <c r="P9" i="30" s="1"/>
  <c r="N10" i="30"/>
  <c r="P10" i="30" s="1"/>
  <c r="N11" i="30"/>
  <c r="N12" i="30"/>
  <c r="N13" i="30"/>
  <c r="P13" i="30" s="1"/>
  <c r="N14" i="30"/>
  <c r="P14" i="30" s="1"/>
  <c r="N15" i="30"/>
  <c r="P15" i="30" s="1"/>
  <c r="N16" i="30"/>
  <c r="N17" i="30"/>
  <c r="P17" i="30" s="1"/>
  <c r="N18" i="30"/>
  <c r="P18" i="30" s="1"/>
  <c r="N19" i="30"/>
  <c r="P19" i="30" s="1"/>
  <c r="N20" i="30"/>
  <c r="P20" i="30" s="1"/>
  <c r="N21" i="30"/>
  <c r="P21" i="30" s="1"/>
  <c r="N22" i="30"/>
  <c r="N23" i="30"/>
  <c r="N24" i="30"/>
  <c r="N25" i="30"/>
  <c r="N26" i="30"/>
  <c r="N27" i="30"/>
  <c r="N28" i="30"/>
  <c r="P28" i="30" s="1"/>
  <c r="N29" i="30"/>
  <c r="P29" i="30" s="1"/>
  <c r="N30" i="30"/>
  <c r="P30" i="30" s="1"/>
  <c r="N31" i="30"/>
  <c r="P31" i="30" s="1"/>
  <c r="N32" i="30"/>
  <c r="P32" i="30" s="1"/>
  <c r="N33" i="30"/>
  <c r="N34" i="30"/>
  <c r="P34" i="30" s="1"/>
  <c r="N35" i="30"/>
  <c r="P35" i="30" s="1"/>
  <c r="N36" i="30"/>
  <c r="N37" i="30"/>
  <c r="N38" i="30"/>
  <c r="N39" i="30"/>
  <c r="N40" i="30"/>
  <c r="N41" i="30"/>
  <c r="P41" i="30" s="1"/>
  <c r="N42" i="30"/>
  <c r="P42" i="30" s="1"/>
  <c r="N43" i="30"/>
  <c r="P43" i="30" s="1"/>
  <c r="N44" i="30"/>
  <c r="P44" i="30" s="1"/>
  <c r="N45" i="30"/>
  <c r="N46" i="30"/>
  <c r="P46" i="30" s="1"/>
  <c r="N47" i="30"/>
  <c r="N48" i="30"/>
  <c r="P48" i="30" s="1"/>
  <c r="N49" i="30"/>
  <c r="P49" i="30" s="1"/>
  <c r="N50" i="30"/>
  <c r="P50" i="30" s="1"/>
  <c r="N51" i="30"/>
  <c r="P51" i="30" s="1"/>
  <c r="N52" i="30"/>
  <c r="P52" i="30" s="1"/>
  <c r="N53" i="30"/>
  <c r="P53" i="30" s="1"/>
  <c r="N54" i="30"/>
  <c r="P54" i="30" s="1"/>
  <c r="N55" i="30"/>
  <c r="P55" i="30" s="1"/>
  <c r="N56" i="30"/>
  <c r="P56" i="30" s="1"/>
  <c r="N57" i="30"/>
  <c r="P57" i="30" s="1"/>
  <c r="N58" i="30"/>
  <c r="P58" i="30" s="1"/>
  <c r="N59" i="30"/>
  <c r="P59" i="30" s="1"/>
  <c r="N60" i="30"/>
  <c r="P60" i="30" s="1"/>
  <c r="N61" i="30"/>
  <c r="N62" i="30"/>
  <c r="P62" i="30" s="1"/>
  <c r="N63" i="30"/>
  <c r="P63" i="30" s="1"/>
  <c r="N64" i="30"/>
  <c r="P64" i="30" s="1"/>
  <c r="N65" i="30"/>
  <c r="N66" i="30"/>
  <c r="N67" i="30"/>
  <c r="N68" i="30"/>
  <c r="N69" i="30"/>
  <c r="N70" i="30"/>
  <c r="N71" i="30"/>
  <c r="P71" i="30" s="1"/>
  <c r="N72" i="30"/>
  <c r="P72" i="30" s="1"/>
  <c r="N73" i="30"/>
  <c r="P73" i="30" s="1"/>
  <c r="N74" i="30"/>
  <c r="N75" i="30"/>
  <c r="N76" i="30"/>
  <c r="P76" i="30" s="1"/>
  <c r="N77" i="30"/>
  <c r="P77" i="30" s="1"/>
  <c r="N78" i="30"/>
  <c r="P78" i="30" s="1"/>
  <c r="N79" i="30"/>
  <c r="P79" i="30" s="1"/>
  <c r="N80" i="30"/>
  <c r="P80" i="30" s="1"/>
  <c r="N81" i="30"/>
  <c r="N82" i="30"/>
  <c r="N83" i="30"/>
  <c r="P83" i="30" s="1"/>
  <c r="N84" i="30"/>
  <c r="P84" i="30" s="1"/>
  <c r="N85" i="30"/>
  <c r="P85" i="30" s="1"/>
  <c r="N86" i="30"/>
  <c r="N87" i="30"/>
  <c r="N88" i="30"/>
  <c r="N89" i="30"/>
  <c r="N90" i="30"/>
  <c r="P90" i="30" s="1"/>
  <c r="N91" i="30"/>
  <c r="P91" i="30" s="1"/>
  <c r="N92" i="30"/>
  <c r="P92" i="30" s="1"/>
  <c r="N93" i="30"/>
  <c r="P93" i="30" s="1"/>
  <c r="N94" i="30"/>
  <c r="P94" i="30" s="1"/>
  <c r="N95" i="30"/>
  <c r="P95" i="30" s="1"/>
  <c r="N96" i="30"/>
  <c r="P96" i="30" s="1"/>
  <c r="N97" i="30"/>
  <c r="P97" i="30" s="1"/>
  <c r="N98" i="30"/>
  <c r="P98" i="30" s="1"/>
  <c r="N99" i="30"/>
  <c r="P99" i="30" s="1"/>
  <c r="N100" i="30"/>
  <c r="P100" i="30" s="1"/>
  <c r="N101" i="30"/>
  <c r="P101" i="30" s="1"/>
  <c r="N102" i="30"/>
  <c r="P102" i="30" s="1"/>
  <c r="N103" i="30"/>
  <c r="P103" i="30" s="1"/>
  <c r="N104" i="30"/>
  <c r="N105" i="30"/>
  <c r="P105" i="30" s="1"/>
  <c r="N106" i="30"/>
  <c r="P106" i="30" s="1"/>
  <c r="N107" i="30"/>
  <c r="P107" i="30" s="1"/>
  <c r="N108" i="30"/>
  <c r="P108" i="30" s="1"/>
  <c r="N109" i="30"/>
  <c r="P109" i="30" s="1"/>
  <c r="N110" i="30"/>
  <c r="P110" i="30" s="1"/>
  <c r="N111" i="30"/>
  <c r="N112" i="30"/>
  <c r="N113" i="30"/>
  <c r="P113" i="30" s="1"/>
  <c r="N114" i="30"/>
  <c r="P114" i="30" s="1"/>
  <c r="N115" i="30"/>
  <c r="P115" i="30" s="1"/>
  <c r="N116" i="30"/>
  <c r="N117" i="30"/>
  <c r="N118" i="30"/>
  <c r="P118" i="30" s="1"/>
  <c r="N119" i="30"/>
  <c r="P119" i="30" s="1"/>
  <c r="N120" i="30"/>
  <c r="P120" i="30" s="1"/>
  <c r="N121" i="30"/>
  <c r="N122" i="30"/>
  <c r="P122" i="30" s="1"/>
  <c r="N123" i="30"/>
  <c r="P123" i="30" s="1"/>
  <c r="N124" i="30"/>
  <c r="P124" i="30" s="1"/>
  <c r="N125" i="30"/>
  <c r="P125" i="30" s="1"/>
  <c r="N126" i="30"/>
  <c r="P126" i="30" s="1"/>
  <c r="N127" i="30"/>
  <c r="P127" i="30" s="1"/>
  <c r="N128" i="30"/>
  <c r="P128" i="30" s="1"/>
  <c r="N129" i="30"/>
  <c r="N130" i="30"/>
  <c r="N131" i="30"/>
  <c r="N132" i="30"/>
  <c r="N133" i="30"/>
  <c r="N134" i="30"/>
  <c r="P134" i="30" s="1"/>
  <c r="N135" i="30"/>
  <c r="P135" i="30" s="1"/>
  <c r="N136" i="30"/>
  <c r="P136" i="30" s="1"/>
  <c r="N137" i="30"/>
  <c r="P137" i="30" s="1"/>
  <c r="N138" i="30"/>
  <c r="N139" i="30"/>
  <c r="P139" i="30" s="1"/>
  <c r="N140" i="30"/>
  <c r="P140" i="30" s="1"/>
  <c r="N141" i="30"/>
  <c r="P141" i="30" s="1"/>
  <c r="N142" i="30"/>
  <c r="N143" i="30"/>
  <c r="P143" i="30" s="1"/>
  <c r="N144" i="30"/>
  <c r="P144" i="30" s="1"/>
  <c r="N145" i="30"/>
  <c r="P145" i="30" s="1"/>
  <c r="N146" i="30"/>
  <c r="P146" i="30" s="1"/>
  <c r="N147" i="30"/>
  <c r="P147" i="30" s="1"/>
  <c r="N148" i="30"/>
  <c r="N149" i="30"/>
  <c r="P149" i="30" s="1"/>
  <c r="N150" i="30"/>
  <c r="P150" i="30" s="1"/>
  <c r="N151" i="30"/>
  <c r="N152" i="30"/>
  <c r="P152" i="30" s="1"/>
  <c r="N153" i="30"/>
  <c r="N154" i="30"/>
  <c r="N155" i="30"/>
  <c r="N156" i="30"/>
  <c r="N157" i="30"/>
  <c r="N158" i="30"/>
  <c r="N159" i="30"/>
  <c r="N160" i="30"/>
  <c r="N161" i="30"/>
  <c r="N162" i="30"/>
  <c r="N163" i="30"/>
  <c r="N164" i="30"/>
  <c r="N165" i="30"/>
  <c r="N166" i="30"/>
  <c r="N167" i="30"/>
  <c r="N168" i="30"/>
  <c r="N169" i="30"/>
  <c r="N170" i="30"/>
  <c r="N171" i="30"/>
  <c r="N172" i="30"/>
  <c r="N173" i="30"/>
  <c r="N174" i="30"/>
  <c r="N175" i="30"/>
  <c r="N176" i="30"/>
  <c r="N177" i="30"/>
  <c r="N178" i="30"/>
  <c r="N179" i="30"/>
  <c r="N180" i="30"/>
  <c r="N181" i="30"/>
  <c r="N182" i="30"/>
  <c r="N183" i="30"/>
  <c r="N184" i="30"/>
  <c r="N185" i="30"/>
  <c r="N186" i="30"/>
  <c r="N187" i="30"/>
  <c r="N188" i="30"/>
  <c r="N189" i="30"/>
  <c r="N190" i="30"/>
  <c r="N191" i="30"/>
  <c r="N192" i="30"/>
  <c r="N193" i="30"/>
  <c r="N194" i="30"/>
  <c r="N195" i="30"/>
  <c r="N196" i="30"/>
  <c r="N197" i="30"/>
  <c r="N198" i="30"/>
  <c r="N199" i="30"/>
  <c r="N200" i="30"/>
  <c r="N201" i="30"/>
  <c r="N202" i="30"/>
  <c r="N203" i="30"/>
  <c r="N204" i="30"/>
  <c r="N205" i="30"/>
  <c r="N206" i="30"/>
  <c r="N207" i="30"/>
  <c r="N208" i="30"/>
  <c r="N209" i="30"/>
  <c r="N210" i="30"/>
  <c r="N211" i="30"/>
  <c r="N212" i="30"/>
  <c r="N213" i="30"/>
  <c r="N214" i="30"/>
  <c r="N215" i="30"/>
  <c r="N216" i="30"/>
  <c r="N217" i="30"/>
  <c r="N218" i="30"/>
  <c r="N219" i="30"/>
  <c r="N220" i="30"/>
  <c r="N221" i="30"/>
  <c r="N222" i="30"/>
  <c r="N223" i="30"/>
  <c r="N224" i="30"/>
  <c r="N225" i="30"/>
  <c r="N226" i="30"/>
  <c r="N227" i="30"/>
  <c r="N228" i="30"/>
  <c r="N229" i="30"/>
  <c r="N230" i="30"/>
  <c r="N231" i="30"/>
  <c r="N232" i="30"/>
  <c r="N233" i="30"/>
  <c r="N234" i="30"/>
  <c r="N235" i="30"/>
  <c r="N236" i="30"/>
  <c r="N237" i="30"/>
  <c r="N238" i="30"/>
  <c r="N239" i="30"/>
  <c r="N240" i="30"/>
  <c r="N241" i="30"/>
  <c r="N242" i="30"/>
  <c r="N243" i="30"/>
  <c r="N244" i="30"/>
  <c r="N245" i="30"/>
  <c r="N246" i="30"/>
  <c r="N247" i="30"/>
  <c r="N248" i="30"/>
  <c r="N249" i="30"/>
  <c r="N250" i="30"/>
  <c r="N251" i="30"/>
  <c r="N252" i="30"/>
  <c r="N253" i="30"/>
  <c r="N254" i="30"/>
  <c r="N255" i="30"/>
  <c r="N256" i="30"/>
  <c r="N257" i="30"/>
  <c r="N258" i="30"/>
  <c r="N259" i="30"/>
  <c r="N260" i="30"/>
  <c r="N261" i="30"/>
  <c r="N262" i="30"/>
  <c r="N263" i="30"/>
  <c r="N264" i="30"/>
  <c r="N265" i="30"/>
  <c r="N266" i="30"/>
  <c r="N267" i="30"/>
  <c r="N268" i="30"/>
  <c r="N269" i="30"/>
  <c r="N270" i="30"/>
  <c r="N271" i="30"/>
  <c r="N272" i="30"/>
  <c r="N273" i="30"/>
  <c r="N274" i="30"/>
  <c r="N275" i="30"/>
  <c r="N276" i="30"/>
  <c r="N277" i="30"/>
  <c r="N278" i="30"/>
  <c r="N279" i="30"/>
  <c r="N280" i="30"/>
  <c r="N281" i="30"/>
  <c r="N282" i="30"/>
  <c r="N283" i="30"/>
  <c r="N284" i="30"/>
  <c r="N285" i="30"/>
  <c r="N286" i="30"/>
  <c r="N287" i="30"/>
  <c r="N288" i="30"/>
  <c r="N289" i="30"/>
  <c r="N290" i="30"/>
  <c r="N291" i="30"/>
  <c r="N292" i="30"/>
  <c r="N293" i="30"/>
  <c r="N294" i="30"/>
  <c r="N295" i="30"/>
  <c r="N296" i="30"/>
  <c r="N297" i="30"/>
  <c r="N298" i="30"/>
  <c r="N299" i="30"/>
  <c r="N300" i="30"/>
  <c r="N301" i="30"/>
  <c r="N302" i="30"/>
  <c r="N303" i="30"/>
  <c r="N304" i="30"/>
  <c r="N305" i="30"/>
  <c r="N306" i="30"/>
  <c r="N307" i="30"/>
  <c r="N308" i="30"/>
  <c r="N309" i="30"/>
  <c r="N310" i="30"/>
  <c r="N311" i="30"/>
  <c r="N312" i="30"/>
  <c r="N313" i="30"/>
  <c r="N314" i="30"/>
  <c r="N315" i="30"/>
  <c r="N316" i="30"/>
  <c r="N317" i="30"/>
  <c r="N318" i="30"/>
  <c r="N319" i="30"/>
  <c r="N320" i="30"/>
  <c r="N321" i="30"/>
  <c r="N322" i="30"/>
  <c r="N323" i="30"/>
  <c r="N324" i="30"/>
  <c r="N325" i="30"/>
  <c r="N326" i="30"/>
  <c r="N327" i="30"/>
  <c r="N328" i="30"/>
  <c r="N329" i="30"/>
  <c r="N330" i="30"/>
  <c r="N331" i="30"/>
  <c r="N332" i="30"/>
  <c r="N333" i="30"/>
  <c r="N334" i="30"/>
  <c r="N335" i="30"/>
  <c r="N336" i="30"/>
  <c r="N337" i="30"/>
  <c r="N338" i="30"/>
  <c r="N339" i="30"/>
  <c r="N340" i="30"/>
  <c r="N341" i="30"/>
  <c r="N342" i="30"/>
  <c r="N343" i="30"/>
  <c r="N344" i="30"/>
  <c r="N345" i="30"/>
  <c r="N346" i="30"/>
  <c r="N347" i="30"/>
  <c r="N348" i="30"/>
  <c r="N349" i="30"/>
  <c r="N350" i="30"/>
  <c r="N351" i="30"/>
  <c r="N352" i="30"/>
  <c r="N353" i="30"/>
  <c r="N354" i="30"/>
  <c r="N355" i="30"/>
  <c r="N356" i="30"/>
  <c r="N357" i="30"/>
  <c r="N358" i="30"/>
  <c r="N359" i="30"/>
  <c r="N360" i="30"/>
  <c r="N361" i="30"/>
  <c r="N362" i="30"/>
  <c r="N363" i="30"/>
  <c r="N364" i="30"/>
  <c r="N365" i="30"/>
  <c r="N366" i="30"/>
  <c r="N367" i="30"/>
  <c r="N368" i="30"/>
  <c r="N369" i="30"/>
  <c r="N370" i="30"/>
  <c r="N371" i="30"/>
  <c r="N372" i="30"/>
  <c r="N373" i="30"/>
  <c r="N374" i="30"/>
  <c r="N375" i="30"/>
  <c r="N376" i="30"/>
  <c r="N377" i="30"/>
  <c r="N378" i="30"/>
  <c r="N379" i="30"/>
  <c r="N380" i="30"/>
  <c r="N381" i="30"/>
  <c r="N382" i="30"/>
  <c r="N383" i="30"/>
  <c r="N384" i="30"/>
  <c r="N385" i="30"/>
  <c r="N386" i="30"/>
  <c r="N387" i="30"/>
  <c r="N388" i="30"/>
  <c r="N389" i="30"/>
  <c r="N390" i="30"/>
  <c r="N391" i="30"/>
  <c r="N392" i="30"/>
  <c r="N393" i="30"/>
  <c r="N394" i="30"/>
  <c r="N395" i="30"/>
  <c r="N396" i="30"/>
  <c r="N397" i="30"/>
  <c r="N398" i="30"/>
  <c r="N399" i="30"/>
  <c r="N400" i="30"/>
  <c r="J4" i="30"/>
  <c r="J5" i="30"/>
  <c r="J6" i="30"/>
  <c r="L6" i="30" s="1"/>
  <c r="J7" i="30"/>
  <c r="L7" i="30" s="1"/>
  <c r="J8" i="30"/>
  <c r="L8" i="30" s="1"/>
  <c r="J9" i="30"/>
  <c r="L9" i="30" s="1"/>
  <c r="J10" i="30"/>
  <c r="L10" i="30" s="1"/>
  <c r="J11" i="30"/>
  <c r="J12" i="30"/>
  <c r="J13" i="30"/>
  <c r="L13" i="30" s="1"/>
  <c r="J14" i="30"/>
  <c r="L14" i="30" s="1"/>
  <c r="J15" i="30"/>
  <c r="L15" i="30" s="1"/>
  <c r="J16" i="30"/>
  <c r="J17" i="30"/>
  <c r="L17" i="30" s="1"/>
  <c r="J18" i="30"/>
  <c r="L18" i="30" s="1"/>
  <c r="J19" i="30"/>
  <c r="L19" i="30" s="1"/>
  <c r="J20" i="30"/>
  <c r="L20" i="30" s="1"/>
  <c r="J21" i="30"/>
  <c r="L21" i="30" s="1"/>
  <c r="J22" i="30"/>
  <c r="J23" i="30"/>
  <c r="J24" i="30"/>
  <c r="J25" i="30"/>
  <c r="J26" i="30"/>
  <c r="J27" i="30"/>
  <c r="J28" i="30"/>
  <c r="L28" i="30" s="1"/>
  <c r="J29" i="30"/>
  <c r="L29" i="30" s="1"/>
  <c r="J30" i="30"/>
  <c r="L30" i="30" s="1"/>
  <c r="J31" i="30"/>
  <c r="L31" i="30" s="1"/>
  <c r="J32" i="30"/>
  <c r="L32" i="30" s="1"/>
  <c r="J33" i="30"/>
  <c r="J34" i="30"/>
  <c r="L34" i="30" s="1"/>
  <c r="J35" i="30"/>
  <c r="L35" i="30" s="1"/>
  <c r="J36" i="30"/>
  <c r="J37" i="30"/>
  <c r="J38" i="30"/>
  <c r="J39" i="30"/>
  <c r="J40" i="30"/>
  <c r="J41" i="30"/>
  <c r="L41" i="30" s="1"/>
  <c r="J42" i="30"/>
  <c r="L42" i="30" s="1"/>
  <c r="J43" i="30"/>
  <c r="L43" i="30" s="1"/>
  <c r="J44" i="30"/>
  <c r="L44" i="30" s="1"/>
  <c r="J45" i="30"/>
  <c r="J46" i="30"/>
  <c r="L46" i="30" s="1"/>
  <c r="J47" i="30"/>
  <c r="J48" i="30"/>
  <c r="L48" i="30" s="1"/>
  <c r="J49" i="30"/>
  <c r="L49" i="30" s="1"/>
  <c r="J50" i="30"/>
  <c r="L50" i="30" s="1"/>
  <c r="J51" i="30"/>
  <c r="L51" i="30" s="1"/>
  <c r="J52" i="30"/>
  <c r="L52" i="30" s="1"/>
  <c r="J53" i="30"/>
  <c r="L53" i="30" s="1"/>
  <c r="J54" i="30"/>
  <c r="L54" i="30" s="1"/>
  <c r="J55" i="30"/>
  <c r="L55" i="30" s="1"/>
  <c r="J56" i="30"/>
  <c r="L56" i="30" s="1"/>
  <c r="J57" i="30"/>
  <c r="L57" i="30" s="1"/>
  <c r="J58" i="30"/>
  <c r="L58" i="30" s="1"/>
  <c r="J59" i="30"/>
  <c r="L59" i="30" s="1"/>
  <c r="J60" i="30"/>
  <c r="L60" i="30" s="1"/>
  <c r="J61" i="30"/>
  <c r="J62" i="30"/>
  <c r="L62" i="30" s="1"/>
  <c r="J63" i="30"/>
  <c r="L63" i="30" s="1"/>
  <c r="J64" i="30"/>
  <c r="L64" i="30" s="1"/>
  <c r="J65" i="30"/>
  <c r="J66" i="30"/>
  <c r="J67" i="30"/>
  <c r="J68" i="30"/>
  <c r="J69" i="30"/>
  <c r="J70" i="30"/>
  <c r="J71" i="30"/>
  <c r="L71" i="30" s="1"/>
  <c r="J72" i="30"/>
  <c r="L72" i="30" s="1"/>
  <c r="J73" i="30"/>
  <c r="L73" i="30" s="1"/>
  <c r="J74" i="30"/>
  <c r="J75" i="30"/>
  <c r="J76" i="30"/>
  <c r="L76" i="30" s="1"/>
  <c r="J77" i="30"/>
  <c r="L77" i="30" s="1"/>
  <c r="J78" i="30"/>
  <c r="L78" i="30" s="1"/>
  <c r="J79" i="30"/>
  <c r="L79" i="30" s="1"/>
  <c r="J80" i="30"/>
  <c r="L80" i="30" s="1"/>
  <c r="J81" i="30"/>
  <c r="J82" i="30"/>
  <c r="J83" i="30"/>
  <c r="L83" i="30" s="1"/>
  <c r="J84" i="30"/>
  <c r="L84" i="30" s="1"/>
  <c r="J85" i="30"/>
  <c r="L85" i="30" s="1"/>
  <c r="J86" i="30"/>
  <c r="J87" i="30"/>
  <c r="J88" i="30"/>
  <c r="J89" i="30"/>
  <c r="J90" i="30"/>
  <c r="L90" i="30" s="1"/>
  <c r="J91" i="30"/>
  <c r="L91" i="30" s="1"/>
  <c r="J92" i="30"/>
  <c r="L92" i="30" s="1"/>
  <c r="J93" i="30"/>
  <c r="L93" i="30" s="1"/>
  <c r="J94" i="30"/>
  <c r="L94" i="30" s="1"/>
  <c r="J95" i="30"/>
  <c r="L95" i="30" s="1"/>
  <c r="J96" i="30"/>
  <c r="L96" i="30" s="1"/>
  <c r="J97" i="30"/>
  <c r="L97" i="30" s="1"/>
  <c r="J98" i="30"/>
  <c r="L98" i="30" s="1"/>
  <c r="J99" i="30"/>
  <c r="L99" i="30" s="1"/>
  <c r="J100" i="30"/>
  <c r="L100" i="30" s="1"/>
  <c r="J101" i="30"/>
  <c r="L101" i="30" s="1"/>
  <c r="J102" i="30"/>
  <c r="L102" i="30" s="1"/>
  <c r="J103" i="30"/>
  <c r="L103" i="30" s="1"/>
  <c r="J104" i="30"/>
  <c r="J105" i="30"/>
  <c r="L105" i="30" s="1"/>
  <c r="J106" i="30"/>
  <c r="L106" i="30" s="1"/>
  <c r="J107" i="30"/>
  <c r="L107" i="30" s="1"/>
  <c r="J108" i="30"/>
  <c r="L108" i="30" s="1"/>
  <c r="J109" i="30"/>
  <c r="L109" i="30" s="1"/>
  <c r="J110" i="30"/>
  <c r="L110" i="30" s="1"/>
  <c r="J111" i="30"/>
  <c r="J112" i="30"/>
  <c r="J113" i="30"/>
  <c r="L113" i="30" s="1"/>
  <c r="J114" i="30"/>
  <c r="L114" i="30" s="1"/>
  <c r="J115" i="30"/>
  <c r="L115" i="30" s="1"/>
  <c r="J116" i="30"/>
  <c r="J117" i="30"/>
  <c r="J118" i="30"/>
  <c r="L118" i="30" s="1"/>
  <c r="J119" i="30"/>
  <c r="L119" i="30" s="1"/>
  <c r="J120" i="30"/>
  <c r="L120" i="30" s="1"/>
  <c r="J121" i="30"/>
  <c r="J122" i="30"/>
  <c r="L122" i="30" s="1"/>
  <c r="J123" i="30"/>
  <c r="L123" i="30" s="1"/>
  <c r="J124" i="30"/>
  <c r="L124" i="30" s="1"/>
  <c r="J125" i="30"/>
  <c r="L125" i="30" s="1"/>
  <c r="J126" i="30"/>
  <c r="L126" i="30" s="1"/>
  <c r="J127" i="30"/>
  <c r="L127" i="30" s="1"/>
  <c r="J128" i="30"/>
  <c r="L128" i="30" s="1"/>
  <c r="J129" i="30"/>
  <c r="J130" i="30"/>
  <c r="J131" i="30"/>
  <c r="J132" i="30"/>
  <c r="J133" i="30"/>
  <c r="J134" i="30"/>
  <c r="L134" i="30" s="1"/>
  <c r="J135" i="30"/>
  <c r="L135" i="30" s="1"/>
  <c r="J136" i="30"/>
  <c r="L136" i="30" s="1"/>
  <c r="J137" i="30"/>
  <c r="L137" i="30" s="1"/>
  <c r="J138" i="30"/>
  <c r="J139" i="30"/>
  <c r="L139" i="30" s="1"/>
  <c r="J140" i="30"/>
  <c r="L140" i="30" s="1"/>
  <c r="J141" i="30"/>
  <c r="L141" i="30" s="1"/>
  <c r="J142" i="30"/>
  <c r="J143" i="30"/>
  <c r="L143" i="30" s="1"/>
  <c r="J144" i="30"/>
  <c r="L144" i="30" s="1"/>
  <c r="J145" i="30"/>
  <c r="L145" i="30" s="1"/>
  <c r="J146" i="30"/>
  <c r="L146" i="30" s="1"/>
  <c r="J147" i="30"/>
  <c r="L147" i="30" s="1"/>
  <c r="J148" i="30"/>
  <c r="J149" i="30"/>
  <c r="L149" i="30" s="1"/>
  <c r="J150" i="30"/>
  <c r="L150" i="30" s="1"/>
  <c r="J151" i="30"/>
  <c r="J152" i="30"/>
  <c r="L152" i="30" s="1"/>
  <c r="J153" i="30"/>
  <c r="J154" i="30"/>
  <c r="J155" i="30"/>
  <c r="J156" i="30"/>
  <c r="J157" i="30"/>
  <c r="J158" i="30"/>
  <c r="J159" i="30"/>
  <c r="J160" i="30"/>
  <c r="J161" i="30"/>
  <c r="J162" i="30"/>
  <c r="J163" i="30"/>
  <c r="J164" i="30"/>
  <c r="J165" i="30"/>
  <c r="J166" i="30"/>
  <c r="J167" i="30"/>
  <c r="J168" i="30"/>
  <c r="J169" i="30"/>
  <c r="J170" i="30"/>
  <c r="J171" i="30"/>
  <c r="J172" i="30"/>
  <c r="J173" i="30"/>
  <c r="J174" i="30"/>
  <c r="J175" i="30"/>
  <c r="J176" i="30"/>
  <c r="J177" i="30"/>
  <c r="J178" i="30"/>
  <c r="J179" i="30"/>
  <c r="J180" i="30"/>
  <c r="J181" i="30"/>
  <c r="J182" i="30"/>
  <c r="J183" i="30"/>
  <c r="J184" i="30"/>
  <c r="J185" i="30"/>
  <c r="J186" i="30"/>
  <c r="J187" i="30"/>
  <c r="J188" i="30"/>
  <c r="J189" i="30"/>
  <c r="J190" i="30"/>
  <c r="J191" i="30"/>
  <c r="J192" i="30"/>
  <c r="J193" i="30"/>
  <c r="J194" i="30"/>
  <c r="J195" i="30"/>
  <c r="J196" i="30"/>
  <c r="J197" i="30"/>
  <c r="J198" i="30"/>
  <c r="J199" i="30"/>
  <c r="J200" i="30"/>
  <c r="J201" i="30"/>
  <c r="J202" i="30"/>
  <c r="J203" i="30"/>
  <c r="J204" i="30"/>
  <c r="J205" i="30"/>
  <c r="J206" i="30"/>
  <c r="J207" i="30"/>
  <c r="J208" i="30"/>
  <c r="J209" i="30"/>
  <c r="J210" i="30"/>
  <c r="J211" i="30"/>
  <c r="J212" i="30"/>
  <c r="J213" i="30"/>
  <c r="J214" i="30"/>
  <c r="J215" i="30"/>
  <c r="J216" i="30"/>
  <c r="J217" i="30"/>
  <c r="J218" i="30"/>
  <c r="J219" i="30"/>
  <c r="J220" i="30"/>
  <c r="J221" i="30"/>
  <c r="J222" i="30"/>
  <c r="J223" i="30"/>
  <c r="J224" i="30"/>
  <c r="J225" i="30"/>
  <c r="J226" i="30"/>
  <c r="J227" i="30"/>
  <c r="J228" i="30"/>
  <c r="J229" i="30"/>
  <c r="J230" i="30"/>
  <c r="J231" i="30"/>
  <c r="J232" i="30"/>
  <c r="J233" i="30"/>
  <c r="J234" i="30"/>
  <c r="J235" i="30"/>
  <c r="J236" i="30"/>
  <c r="J237" i="30"/>
  <c r="J238" i="30"/>
  <c r="J239" i="30"/>
  <c r="J240" i="30"/>
  <c r="J241" i="30"/>
  <c r="J242" i="30"/>
  <c r="J243" i="30"/>
  <c r="J244" i="30"/>
  <c r="J245" i="30"/>
  <c r="J246" i="30"/>
  <c r="J247" i="30"/>
  <c r="J248" i="30"/>
  <c r="J249" i="30"/>
  <c r="J250" i="30"/>
  <c r="J251" i="30"/>
  <c r="J252" i="30"/>
  <c r="J253" i="30"/>
  <c r="J254" i="30"/>
  <c r="J255" i="30"/>
  <c r="J256" i="30"/>
  <c r="J257" i="30"/>
  <c r="J258" i="30"/>
  <c r="J259" i="30"/>
  <c r="J260" i="30"/>
  <c r="J261" i="30"/>
  <c r="J262" i="30"/>
  <c r="J263" i="30"/>
  <c r="J264" i="30"/>
  <c r="J265" i="30"/>
  <c r="J266" i="30"/>
  <c r="J267" i="30"/>
  <c r="J268" i="30"/>
  <c r="J269" i="30"/>
  <c r="J270" i="30"/>
  <c r="J271" i="30"/>
  <c r="J272" i="30"/>
  <c r="J273" i="30"/>
  <c r="J274" i="30"/>
  <c r="J275" i="30"/>
  <c r="J276" i="30"/>
  <c r="J277" i="30"/>
  <c r="J278" i="30"/>
  <c r="J279" i="30"/>
  <c r="J280" i="30"/>
  <c r="J281" i="30"/>
  <c r="J282" i="30"/>
  <c r="J283" i="30"/>
  <c r="J284" i="30"/>
  <c r="J285" i="30"/>
  <c r="J286" i="30"/>
  <c r="J287" i="30"/>
  <c r="J288" i="30"/>
  <c r="J289" i="30"/>
  <c r="J290" i="30"/>
  <c r="J291" i="30"/>
  <c r="J292" i="30"/>
  <c r="J293" i="30"/>
  <c r="J294" i="30"/>
  <c r="J295" i="30"/>
  <c r="J296" i="30"/>
  <c r="J297" i="30"/>
  <c r="J298" i="30"/>
  <c r="J299" i="30"/>
  <c r="J300" i="30"/>
  <c r="J301" i="30"/>
  <c r="J302" i="30"/>
  <c r="J303" i="30"/>
  <c r="J304" i="30"/>
  <c r="J305" i="30"/>
  <c r="J306" i="30"/>
  <c r="J307" i="30"/>
  <c r="J308" i="30"/>
  <c r="J309" i="30"/>
  <c r="J310" i="30"/>
  <c r="J311" i="30"/>
  <c r="J312" i="30"/>
  <c r="J313" i="30"/>
  <c r="J314" i="30"/>
  <c r="J315" i="30"/>
  <c r="J316" i="30"/>
  <c r="J317" i="30"/>
  <c r="J318" i="30"/>
  <c r="J319" i="30"/>
  <c r="J320" i="30"/>
  <c r="J321" i="30"/>
  <c r="J322" i="30"/>
  <c r="J323" i="30"/>
  <c r="J324" i="30"/>
  <c r="J325" i="30"/>
  <c r="J326" i="30"/>
  <c r="J327" i="30"/>
  <c r="J328" i="30"/>
  <c r="J329" i="30"/>
  <c r="J330" i="30"/>
  <c r="J331" i="30"/>
  <c r="J332" i="30"/>
  <c r="J333" i="30"/>
  <c r="J334" i="30"/>
  <c r="J335" i="30"/>
  <c r="J336" i="30"/>
  <c r="J337" i="30"/>
  <c r="J338" i="30"/>
  <c r="J339" i="30"/>
  <c r="J340" i="30"/>
  <c r="J341" i="30"/>
  <c r="J342" i="30"/>
  <c r="J343" i="30"/>
  <c r="J344" i="30"/>
  <c r="J345" i="30"/>
  <c r="J346" i="30"/>
  <c r="J347" i="30"/>
  <c r="J348" i="30"/>
  <c r="J349" i="30"/>
  <c r="J350" i="30"/>
  <c r="J351" i="30"/>
  <c r="J352" i="30"/>
  <c r="J353" i="30"/>
  <c r="J354" i="30"/>
  <c r="J355" i="30"/>
  <c r="J356" i="30"/>
  <c r="J357" i="30"/>
  <c r="J358" i="30"/>
  <c r="J359" i="30"/>
  <c r="J360" i="30"/>
  <c r="J361" i="30"/>
  <c r="J362" i="30"/>
  <c r="J363" i="30"/>
  <c r="J364" i="30"/>
  <c r="J365" i="30"/>
  <c r="J366" i="30"/>
  <c r="J367" i="30"/>
  <c r="J368" i="30"/>
  <c r="J369" i="30"/>
  <c r="J370" i="30"/>
  <c r="J371" i="30"/>
  <c r="J372" i="30"/>
  <c r="J373" i="30"/>
  <c r="J374" i="30"/>
  <c r="J375" i="30"/>
  <c r="J376" i="30"/>
  <c r="J377" i="30"/>
  <c r="J378" i="30"/>
  <c r="J379" i="30"/>
  <c r="J380" i="30"/>
  <c r="J381" i="30"/>
  <c r="J382" i="30"/>
  <c r="J383" i="30"/>
  <c r="J384" i="30"/>
  <c r="J385" i="30"/>
  <c r="J386" i="30"/>
  <c r="J387" i="30"/>
  <c r="J388" i="30"/>
  <c r="J389" i="30"/>
  <c r="J390" i="30"/>
  <c r="J391" i="30"/>
  <c r="J392" i="30"/>
  <c r="J393" i="30"/>
  <c r="J394" i="30"/>
  <c r="J395" i="30"/>
  <c r="J396" i="30"/>
  <c r="J397" i="30"/>
  <c r="J398" i="30"/>
  <c r="J399" i="30"/>
  <c r="J400" i="30"/>
  <c r="F4" i="30"/>
  <c r="F5" i="30"/>
  <c r="F6" i="30"/>
  <c r="H6" i="30" s="1"/>
  <c r="F7" i="30"/>
  <c r="H7" i="30" s="1"/>
  <c r="F8" i="30"/>
  <c r="H8" i="30" s="1"/>
  <c r="F9" i="30"/>
  <c r="H9" i="30" s="1"/>
  <c r="F10" i="30"/>
  <c r="H10" i="30" s="1"/>
  <c r="F11" i="30"/>
  <c r="F12" i="30"/>
  <c r="F13" i="30"/>
  <c r="H13" i="30" s="1"/>
  <c r="F14" i="30"/>
  <c r="H14" i="30" s="1"/>
  <c r="F15" i="30"/>
  <c r="H15" i="30" s="1"/>
  <c r="F16" i="30"/>
  <c r="F17" i="30"/>
  <c r="H17" i="30" s="1"/>
  <c r="F18" i="30"/>
  <c r="H18" i="30" s="1"/>
  <c r="F19" i="30"/>
  <c r="H19" i="30" s="1"/>
  <c r="F20" i="30"/>
  <c r="H20" i="30" s="1"/>
  <c r="F21" i="30"/>
  <c r="H21" i="30" s="1"/>
  <c r="F22" i="30"/>
  <c r="F23" i="30"/>
  <c r="F24" i="30"/>
  <c r="F25" i="30"/>
  <c r="F26" i="30"/>
  <c r="F27" i="30"/>
  <c r="F28" i="30"/>
  <c r="H28" i="30" s="1"/>
  <c r="F29" i="30"/>
  <c r="H29" i="30" s="1"/>
  <c r="F30" i="30"/>
  <c r="H30" i="30" s="1"/>
  <c r="F31" i="30"/>
  <c r="H31" i="30" s="1"/>
  <c r="F32" i="30"/>
  <c r="H32" i="30" s="1"/>
  <c r="F33" i="30"/>
  <c r="F34" i="30"/>
  <c r="H34" i="30" s="1"/>
  <c r="F35" i="30"/>
  <c r="H35" i="30" s="1"/>
  <c r="F36" i="30"/>
  <c r="F37" i="30"/>
  <c r="F38" i="30"/>
  <c r="F39" i="30"/>
  <c r="F40" i="30"/>
  <c r="F41" i="30"/>
  <c r="H41" i="30" s="1"/>
  <c r="F42" i="30"/>
  <c r="H42" i="30" s="1"/>
  <c r="F43" i="30"/>
  <c r="H43" i="30" s="1"/>
  <c r="F44" i="30"/>
  <c r="H44" i="30" s="1"/>
  <c r="F45" i="30"/>
  <c r="F46" i="30"/>
  <c r="H46" i="30" s="1"/>
  <c r="F47" i="30"/>
  <c r="F48" i="30"/>
  <c r="H48" i="30" s="1"/>
  <c r="F49" i="30"/>
  <c r="H49" i="30" s="1"/>
  <c r="F50" i="30"/>
  <c r="H50" i="30" s="1"/>
  <c r="F51" i="30"/>
  <c r="H51" i="30" s="1"/>
  <c r="F52" i="30"/>
  <c r="H52" i="30" s="1"/>
  <c r="F53" i="30"/>
  <c r="H53" i="30" s="1"/>
  <c r="F54" i="30"/>
  <c r="H54" i="30" s="1"/>
  <c r="F55" i="30"/>
  <c r="H55" i="30" s="1"/>
  <c r="F56" i="30"/>
  <c r="H56" i="30" s="1"/>
  <c r="F57" i="30"/>
  <c r="H57" i="30" s="1"/>
  <c r="F58" i="30"/>
  <c r="H58" i="30" s="1"/>
  <c r="F59" i="30"/>
  <c r="H59" i="30" s="1"/>
  <c r="F60" i="30"/>
  <c r="H60" i="30" s="1"/>
  <c r="F61" i="30"/>
  <c r="F62" i="30"/>
  <c r="H62" i="30" s="1"/>
  <c r="F63" i="30"/>
  <c r="H63" i="30" s="1"/>
  <c r="F64" i="30"/>
  <c r="H64" i="30" s="1"/>
  <c r="F65" i="30"/>
  <c r="F66" i="30"/>
  <c r="F67" i="30"/>
  <c r="F68" i="30"/>
  <c r="F69" i="30"/>
  <c r="F70" i="30"/>
  <c r="F71" i="30"/>
  <c r="H71" i="30" s="1"/>
  <c r="F72" i="30"/>
  <c r="H72" i="30" s="1"/>
  <c r="F73" i="30"/>
  <c r="H73" i="30" s="1"/>
  <c r="F74" i="30"/>
  <c r="F75" i="30"/>
  <c r="F76" i="30"/>
  <c r="H76" i="30" s="1"/>
  <c r="F77" i="30"/>
  <c r="H77" i="30" s="1"/>
  <c r="F78" i="30"/>
  <c r="H78" i="30" s="1"/>
  <c r="F79" i="30"/>
  <c r="H79" i="30" s="1"/>
  <c r="F80" i="30"/>
  <c r="H80" i="30" s="1"/>
  <c r="F81" i="30"/>
  <c r="F82" i="30"/>
  <c r="F83" i="30"/>
  <c r="H83" i="30" s="1"/>
  <c r="F84" i="30"/>
  <c r="H84" i="30" s="1"/>
  <c r="F85" i="30"/>
  <c r="H85" i="30" s="1"/>
  <c r="F86" i="30"/>
  <c r="F87" i="30"/>
  <c r="F88" i="30"/>
  <c r="F89" i="30"/>
  <c r="F90" i="30"/>
  <c r="H90" i="30" s="1"/>
  <c r="F91" i="30"/>
  <c r="H91" i="30" s="1"/>
  <c r="F92" i="30"/>
  <c r="H92" i="30" s="1"/>
  <c r="F93" i="30"/>
  <c r="H93" i="30" s="1"/>
  <c r="F94" i="30"/>
  <c r="H94" i="30" s="1"/>
  <c r="F95" i="30"/>
  <c r="H95" i="30" s="1"/>
  <c r="F96" i="30"/>
  <c r="H96" i="30" s="1"/>
  <c r="F97" i="30"/>
  <c r="H97" i="30" s="1"/>
  <c r="F98" i="30"/>
  <c r="H98" i="30" s="1"/>
  <c r="F99" i="30"/>
  <c r="H99" i="30" s="1"/>
  <c r="F100" i="30"/>
  <c r="H100" i="30" s="1"/>
  <c r="F101" i="30"/>
  <c r="H101" i="30" s="1"/>
  <c r="F102" i="30"/>
  <c r="H102" i="30" s="1"/>
  <c r="F103" i="30"/>
  <c r="H103" i="30" s="1"/>
  <c r="F104" i="30"/>
  <c r="F105" i="30"/>
  <c r="H105" i="30" s="1"/>
  <c r="F106" i="30"/>
  <c r="H106" i="30" s="1"/>
  <c r="F107" i="30"/>
  <c r="H107" i="30" s="1"/>
  <c r="F108" i="30"/>
  <c r="H108" i="30" s="1"/>
  <c r="F109" i="30"/>
  <c r="H109" i="30" s="1"/>
  <c r="F110" i="30"/>
  <c r="H110" i="30" s="1"/>
  <c r="F111" i="30"/>
  <c r="F112" i="30"/>
  <c r="F113" i="30"/>
  <c r="H113" i="30" s="1"/>
  <c r="F114" i="30"/>
  <c r="H114" i="30" s="1"/>
  <c r="F115" i="30"/>
  <c r="H115" i="30" s="1"/>
  <c r="F116" i="30"/>
  <c r="F117" i="30"/>
  <c r="F118" i="30"/>
  <c r="H118" i="30" s="1"/>
  <c r="F119" i="30"/>
  <c r="H119" i="30" s="1"/>
  <c r="F120" i="30"/>
  <c r="H120" i="30" s="1"/>
  <c r="F121" i="30"/>
  <c r="F122" i="30"/>
  <c r="H122" i="30" s="1"/>
  <c r="F123" i="30"/>
  <c r="H123" i="30" s="1"/>
  <c r="F124" i="30"/>
  <c r="H124" i="30" s="1"/>
  <c r="F125" i="30"/>
  <c r="H125" i="30" s="1"/>
  <c r="F126" i="30"/>
  <c r="H126" i="30" s="1"/>
  <c r="F127" i="30"/>
  <c r="H127" i="30" s="1"/>
  <c r="F128" i="30"/>
  <c r="H128" i="30" s="1"/>
  <c r="F129" i="30"/>
  <c r="F130" i="30"/>
  <c r="F131" i="30"/>
  <c r="F132" i="30"/>
  <c r="F133" i="30"/>
  <c r="F134" i="30"/>
  <c r="H134" i="30" s="1"/>
  <c r="F135" i="30"/>
  <c r="H135" i="30" s="1"/>
  <c r="F136" i="30"/>
  <c r="H136" i="30" s="1"/>
  <c r="F137" i="30"/>
  <c r="H137" i="30" s="1"/>
  <c r="F138" i="30"/>
  <c r="F139" i="30"/>
  <c r="H139" i="30" s="1"/>
  <c r="F140" i="30"/>
  <c r="H140" i="30" s="1"/>
  <c r="F141" i="30"/>
  <c r="H141" i="30" s="1"/>
  <c r="F142" i="30"/>
  <c r="F143" i="30"/>
  <c r="H143" i="30" s="1"/>
  <c r="F144" i="30"/>
  <c r="H144" i="30" s="1"/>
  <c r="F145" i="30"/>
  <c r="H145" i="30" s="1"/>
  <c r="F146" i="30"/>
  <c r="H146" i="30" s="1"/>
  <c r="F147" i="30"/>
  <c r="H147" i="30" s="1"/>
  <c r="F148" i="30"/>
  <c r="F149" i="30"/>
  <c r="H149" i="30" s="1"/>
  <c r="F150" i="30"/>
  <c r="H150" i="30" s="1"/>
  <c r="F151" i="30"/>
  <c r="F152" i="30"/>
  <c r="H152" i="30" s="1"/>
  <c r="F153" i="30"/>
  <c r="F154" i="30"/>
  <c r="F155" i="30"/>
  <c r="F156" i="30"/>
  <c r="F157" i="30"/>
  <c r="F158" i="30"/>
  <c r="F159" i="30"/>
  <c r="F160" i="30"/>
  <c r="F161" i="30"/>
  <c r="F162" i="30"/>
  <c r="F163" i="30"/>
  <c r="F164" i="30"/>
  <c r="F165" i="30"/>
  <c r="F166" i="30"/>
  <c r="F167" i="30"/>
  <c r="F168" i="30"/>
  <c r="F169" i="30"/>
  <c r="F170" i="30"/>
  <c r="F171" i="30"/>
  <c r="F172" i="30"/>
  <c r="F173" i="30"/>
  <c r="F174" i="30"/>
  <c r="F175" i="30"/>
  <c r="F176" i="30"/>
  <c r="F177" i="30"/>
  <c r="F178" i="30"/>
  <c r="F179" i="30"/>
  <c r="F180" i="30"/>
  <c r="F181" i="30"/>
  <c r="F182" i="30"/>
  <c r="F183" i="30"/>
  <c r="F184" i="30"/>
  <c r="F185" i="30"/>
  <c r="F186" i="30"/>
  <c r="F187" i="30"/>
  <c r="F188" i="30"/>
  <c r="F189" i="30"/>
  <c r="F190" i="30"/>
  <c r="F191" i="30"/>
  <c r="F192" i="30"/>
  <c r="F193" i="30"/>
  <c r="F194" i="30"/>
  <c r="F195" i="30"/>
  <c r="F196" i="30"/>
  <c r="F197" i="30"/>
  <c r="F198" i="30"/>
  <c r="F199" i="30"/>
  <c r="F200" i="30"/>
  <c r="F201" i="30"/>
  <c r="F202" i="30"/>
  <c r="F203" i="30"/>
  <c r="F204" i="30"/>
  <c r="F205" i="30"/>
  <c r="F206" i="30"/>
  <c r="F207" i="30"/>
  <c r="F208" i="30"/>
  <c r="F209" i="30"/>
  <c r="F210" i="30"/>
  <c r="F211" i="30"/>
  <c r="F212" i="30"/>
  <c r="F213" i="30"/>
  <c r="F214" i="30"/>
  <c r="F215" i="30"/>
  <c r="F216" i="30"/>
  <c r="F217" i="30"/>
  <c r="F218" i="30"/>
  <c r="F219" i="30"/>
  <c r="F220" i="30"/>
  <c r="F221" i="30"/>
  <c r="F222" i="30"/>
  <c r="F223" i="30"/>
  <c r="F224" i="30"/>
  <c r="F225" i="30"/>
  <c r="F226" i="30"/>
  <c r="F227" i="30"/>
  <c r="F228" i="30"/>
  <c r="F229" i="30"/>
  <c r="F230" i="30"/>
  <c r="F231" i="30"/>
  <c r="F232" i="30"/>
  <c r="F233" i="30"/>
  <c r="F234" i="30"/>
  <c r="F235" i="30"/>
  <c r="F236" i="30"/>
  <c r="F237" i="30"/>
  <c r="F238" i="30"/>
  <c r="F239" i="30"/>
  <c r="F240" i="30"/>
  <c r="F241" i="30"/>
  <c r="F242" i="30"/>
  <c r="F243" i="30"/>
  <c r="F244" i="30"/>
  <c r="F245" i="30"/>
  <c r="F246" i="30"/>
  <c r="F247" i="30"/>
  <c r="F248" i="30"/>
  <c r="F249" i="30"/>
  <c r="F250" i="30"/>
  <c r="F251" i="30"/>
  <c r="F252" i="30"/>
  <c r="F253" i="30"/>
  <c r="F254" i="30"/>
  <c r="F255" i="30"/>
  <c r="F256" i="30"/>
  <c r="F257" i="30"/>
  <c r="F258" i="30"/>
  <c r="F259" i="30"/>
  <c r="F260" i="30"/>
  <c r="F261" i="30"/>
  <c r="F262" i="30"/>
  <c r="F263" i="30"/>
  <c r="F264" i="30"/>
  <c r="F265" i="30"/>
  <c r="F266" i="30"/>
  <c r="F267" i="30"/>
  <c r="F268" i="30"/>
  <c r="F269" i="30"/>
  <c r="F270" i="30"/>
  <c r="F271" i="30"/>
  <c r="F272" i="30"/>
  <c r="F273" i="30"/>
  <c r="F274" i="30"/>
  <c r="F275" i="30"/>
  <c r="F276" i="30"/>
  <c r="F277" i="30"/>
  <c r="F278" i="30"/>
  <c r="F279" i="30"/>
  <c r="F280" i="30"/>
  <c r="F281" i="30"/>
  <c r="F282" i="30"/>
  <c r="F283" i="30"/>
  <c r="F284" i="30"/>
  <c r="F285" i="30"/>
  <c r="F286" i="30"/>
  <c r="F287" i="30"/>
  <c r="F288" i="30"/>
  <c r="F289" i="30"/>
  <c r="F290" i="30"/>
  <c r="F291" i="30"/>
  <c r="F292" i="30"/>
  <c r="F293" i="30"/>
  <c r="F294" i="30"/>
  <c r="F295" i="30"/>
  <c r="F296" i="30"/>
  <c r="F297" i="30"/>
  <c r="F298" i="30"/>
  <c r="F299" i="30"/>
  <c r="F300" i="30"/>
  <c r="F301" i="30"/>
  <c r="F302" i="30"/>
  <c r="F303" i="30"/>
  <c r="F304" i="30"/>
  <c r="F305" i="30"/>
  <c r="F306" i="30"/>
  <c r="F307" i="30"/>
  <c r="F308" i="30"/>
  <c r="F309" i="30"/>
  <c r="F310" i="30"/>
  <c r="F311" i="30"/>
  <c r="F312" i="30"/>
  <c r="F313" i="30"/>
  <c r="F314" i="30"/>
  <c r="F315" i="30"/>
  <c r="F316" i="30"/>
  <c r="F317" i="30"/>
  <c r="F318" i="30"/>
  <c r="F319" i="30"/>
  <c r="F320" i="30"/>
  <c r="F321" i="30"/>
  <c r="F322" i="30"/>
  <c r="F323" i="30"/>
  <c r="F324" i="30"/>
  <c r="F325" i="30"/>
  <c r="F326" i="30"/>
  <c r="F327" i="30"/>
  <c r="F328" i="30"/>
  <c r="F329" i="30"/>
  <c r="F330" i="30"/>
  <c r="F331" i="30"/>
  <c r="F332" i="30"/>
  <c r="F333" i="30"/>
  <c r="F334" i="30"/>
  <c r="F335" i="30"/>
  <c r="F336" i="30"/>
  <c r="F337" i="30"/>
  <c r="F338" i="30"/>
  <c r="F339" i="30"/>
  <c r="F340" i="30"/>
  <c r="F341" i="30"/>
  <c r="F342" i="30"/>
  <c r="F343" i="30"/>
  <c r="F344" i="30"/>
  <c r="F345" i="30"/>
  <c r="F346" i="30"/>
  <c r="F347" i="30"/>
  <c r="F348" i="30"/>
  <c r="F349" i="30"/>
  <c r="F350" i="30"/>
  <c r="F351" i="30"/>
  <c r="F352" i="30"/>
  <c r="F353" i="30"/>
  <c r="F354" i="30"/>
  <c r="F355" i="30"/>
  <c r="F356" i="30"/>
  <c r="F357" i="30"/>
  <c r="F358" i="30"/>
  <c r="F359" i="30"/>
  <c r="F360" i="30"/>
  <c r="F361" i="30"/>
  <c r="F362" i="30"/>
  <c r="F363" i="30"/>
  <c r="F364" i="30"/>
  <c r="F365" i="30"/>
  <c r="F366" i="30"/>
  <c r="F367" i="30"/>
  <c r="F368" i="30"/>
  <c r="F369" i="30"/>
  <c r="F370" i="30"/>
  <c r="F371" i="30"/>
  <c r="F372" i="30"/>
  <c r="F373" i="30"/>
  <c r="F374" i="30"/>
  <c r="F375" i="30"/>
  <c r="F376" i="30"/>
  <c r="F377" i="30"/>
  <c r="F378" i="30"/>
  <c r="F379" i="30"/>
  <c r="F380" i="30"/>
  <c r="F381" i="30"/>
  <c r="F382" i="30"/>
  <c r="F383" i="30"/>
  <c r="F384" i="30"/>
  <c r="F385" i="30"/>
  <c r="F386" i="30"/>
  <c r="F387" i="30"/>
  <c r="F388" i="30"/>
  <c r="F389" i="30"/>
  <c r="F390" i="30"/>
  <c r="F391" i="30"/>
  <c r="F392" i="30"/>
  <c r="F393" i="30"/>
  <c r="F394" i="30"/>
  <c r="F395" i="30"/>
  <c r="F396" i="30"/>
  <c r="F397" i="30"/>
  <c r="F398" i="30"/>
  <c r="F399" i="30"/>
  <c r="F400" i="30"/>
  <c r="AT3" i="30"/>
  <c r="AV3" i="30" s="1"/>
  <c r="AP3" i="30"/>
  <c r="AR3" i="30" s="1"/>
  <c r="AL3" i="30"/>
  <c r="AN3" i="30" s="1"/>
  <c r="AH3" i="30"/>
  <c r="AJ3" i="30" s="1"/>
  <c r="AD3" i="30"/>
  <c r="AF3" i="30" s="1"/>
  <c r="Z3" i="30"/>
  <c r="AB3" i="30" s="1"/>
  <c r="V3" i="30"/>
  <c r="X3" i="30" s="1"/>
  <c r="R3" i="30"/>
  <c r="T3" i="30" s="1"/>
  <c r="N3" i="30"/>
  <c r="P3" i="30" s="1"/>
  <c r="J3" i="30"/>
  <c r="L3" i="30" s="1"/>
  <c r="F3" i="30"/>
  <c r="H3" i="30" s="1"/>
  <c r="B4" i="30"/>
  <c r="B5" i="30"/>
  <c r="B6" i="30"/>
  <c r="D6" i="30" s="1"/>
  <c r="B7" i="30"/>
  <c r="D7" i="30" s="1"/>
  <c r="B8" i="30"/>
  <c r="D8" i="30" s="1"/>
  <c r="B9" i="30"/>
  <c r="D9" i="30" s="1"/>
  <c r="B10" i="30"/>
  <c r="D10" i="30" s="1"/>
  <c r="B11" i="30"/>
  <c r="B12" i="30"/>
  <c r="B13" i="30"/>
  <c r="D13" i="30" s="1"/>
  <c r="B14" i="30"/>
  <c r="D14" i="30" s="1"/>
  <c r="B15" i="30"/>
  <c r="D15" i="30" s="1"/>
  <c r="B16" i="30"/>
  <c r="B17" i="30"/>
  <c r="D17" i="30" s="1"/>
  <c r="B18" i="30"/>
  <c r="D18" i="30" s="1"/>
  <c r="B19" i="30"/>
  <c r="D19" i="30" s="1"/>
  <c r="B20" i="30"/>
  <c r="D20" i="30" s="1"/>
  <c r="B21" i="30"/>
  <c r="D21" i="30" s="1"/>
  <c r="B22" i="30"/>
  <c r="B23" i="30"/>
  <c r="B24" i="30"/>
  <c r="B25" i="30"/>
  <c r="B26" i="30"/>
  <c r="B27" i="30"/>
  <c r="B28" i="30"/>
  <c r="D28" i="30" s="1"/>
  <c r="B29" i="30"/>
  <c r="D29" i="30" s="1"/>
  <c r="B30" i="30"/>
  <c r="D30" i="30" s="1"/>
  <c r="B31" i="30"/>
  <c r="D31" i="30" s="1"/>
  <c r="B32" i="30"/>
  <c r="D32" i="30" s="1"/>
  <c r="B33" i="30"/>
  <c r="B34" i="30"/>
  <c r="D34" i="30" s="1"/>
  <c r="B35" i="30"/>
  <c r="D35" i="30" s="1"/>
  <c r="B36" i="30"/>
  <c r="B37" i="30"/>
  <c r="B38" i="30"/>
  <c r="B39" i="30"/>
  <c r="B40" i="30"/>
  <c r="B41" i="30"/>
  <c r="D41" i="30" s="1"/>
  <c r="B42" i="30"/>
  <c r="D42" i="30" s="1"/>
  <c r="B43" i="30"/>
  <c r="D43" i="30" s="1"/>
  <c r="B44" i="30"/>
  <c r="D44" i="30" s="1"/>
  <c r="B45" i="30"/>
  <c r="B46" i="30"/>
  <c r="D46" i="30" s="1"/>
  <c r="B47" i="30"/>
  <c r="B48" i="30"/>
  <c r="D48" i="30" s="1"/>
  <c r="B49" i="30"/>
  <c r="D49" i="30" s="1"/>
  <c r="B50" i="30"/>
  <c r="D50" i="30" s="1"/>
  <c r="B51" i="30"/>
  <c r="D51" i="30" s="1"/>
  <c r="B52" i="30"/>
  <c r="D52" i="30" s="1"/>
  <c r="B53" i="30"/>
  <c r="D53" i="30" s="1"/>
  <c r="B54" i="30"/>
  <c r="D54" i="30" s="1"/>
  <c r="B55" i="30"/>
  <c r="D55" i="30" s="1"/>
  <c r="B56" i="30"/>
  <c r="D56" i="30" s="1"/>
  <c r="B57" i="30"/>
  <c r="D57" i="30" s="1"/>
  <c r="B58" i="30"/>
  <c r="D58" i="30" s="1"/>
  <c r="B59" i="30"/>
  <c r="D59" i="30" s="1"/>
  <c r="B60" i="30"/>
  <c r="D60" i="30" s="1"/>
  <c r="B61" i="30"/>
  <c r="B62" i="30"/>
  <c r="D62" i="30" s="1"/>
  <c r="B63" i="30"/>
  <c r="D63" i="30" s="1"/>
  <c r="B64" i="30"/>
  <c r="D64" i="30" s="1"/>
  <c r="B65" i="30"/>
  <c r="B66" i="30"/>
  <c r="B67" i="30"/>
  <c r="B68" i="30"/>
  <c r="B69" i="30"/>
  <c r="B70" i="30"/>
  <c r="B71" i="30"/>
  <c r="D71" i="30" s="1"/>
  <c r="B72" i="30"/>
  <c r="D72" i="30" s="1"/>
  <c r="B73" i="30"/>
  <c r="D73" i="30" s="1"/>
  <c r="B74" i="30"/>
  <c r="B75" i="30"/>
  <c r="B76" i="30"/>
  <c r="D76" i="30" s="1"/>
  <c r="B77" i="30"/>
  <c r="D77" i="30" s="1"/>
  <c r="B78" i="30"/>
  <c r="D78" i="30" s="1"/>
  <c r="B79" i="30"/>
  <c r="D79" i="30" s="1"/>
  <c r="B80" i="30"/>
  <c r="D80" i="30" s="1"/>
  <c r="B81" i="30"/>
  <c r="B82" i="30"/>
  <c r="B83" i="30"/>
  <c r="D83" i="30" s="1"/>
  <c r="B84" i="30"/>
  <c r="D84" i="30" s="1"/>
  <c r="B85" i="30"/>
  <c r="D85" i="30" s="1"/>
  <c r="B86" i="30"/>
  <c r="B87" i="30"/>
  <c r="B88" i="30"/>
  <c r="B89" i="30"/>
  <c r="B90" i="30"/>
  <c r="D90" i="30" s="1"/>
  <c r="B91" i="30"/>
  <c r="D91" i="30" s="1"/>
  <c r="B92" i="30"/>
  <c r="D92" i="30" s="1"/>
  <c r="B93" i="30"/>
  <c r="D93" i="30" s="1"/>
  <c r="B94" i="30"/>
  <c r="D94" i="30" s="1"/>
  <c r="B95" i="30"/>
  <c r="D95" i="30" s="1"/>
  <c r="B96" i="30"/>
  <c r="D96" i="30" s="1"/>
  <c r="B97" i="30"/>
  <c r="D97" i="30" s="1"/>
  <c r="B98" i="30"/>
  <c r="D98" i="30" s="1"/>
  <c r="B99" i="30"/>
  <c r="D99" i="30" s="1"/>
  <c r="B100" i="30"/>
  <c r="D100" i="30" s="1"/>
  <c r="B101" i="30"/>
  <c r="D101" i="30" s="1"/>
  <c r="B102" i="30"/>
  <c r="D102" i="30" s="1"/>
  <c r="B103" i="30"/>
  <c r="D103" i="30" s="1"/>
  <c r="B104" i="30"/>
  <c r="B105" i="30"/>
  <c r="D105" i="30" s="1"/>
  <c r="B106" i="30"/>
  <c r="D106" i="30" s="1"/>
  <c r="B107" i="30"/>
  <c r="D107" i="30" s="1"/>
  <c r="B108" i="30"/>
  <c r="D108" i="30" s="1"/>
  <c r="B109" i="30"/>
  <c r="D109" i="30" s="1"/>
  <c r="B110" i="30"/>
  <c r="D110" i="30" s="1"/>
  <c r="B111" i="30"/>
  <c r="B112" i="30"/>
  <c r="B113" i="30"/>
  <c r="D113" i="30" s="1"/>
  <c r="B114" i="30"/>
  <c r="D114" i="30" s="1"/>
  <c r="B115" i="30"/>
  <c r="D115" i="30" s="1"/>
  <c r="B116" i="30"/>
  <c r="B117" i="30"/>
  <c r="B118" i="30"/>
  <c r="D118" i="30" s="1"/>
  <c r="B119" i="30"/>
  <c r="D119" i="30" s="1"/>
  <c r="B120" i="30"/>
  <c r="D120" i="30" s="1"/>
  <c r="B121" i="30"/>
  <c r="B122" i="30"/>
  <c r="D122" i="30" s="1"/>
  <c r="B123" i="30"/>
  <c r="D123" i="30" s="1"/>
  <c r="B124" i="30"/>
  <c r="D124" i="30" s="1"/>
  <c r="B125" i="30"/>
  <c r="D125" i="30" s="1"/>
  <c r="B126" i="30"/>
  <c r="D126" i="30" s="1"/>
  <c r="B127" i="30"/>
  <c r="D127" i="30" s="1"/>
  <c r="B128" i="30"/>
  <c r="D128" i="30" s="1"/>
  <c r="B129" i="30"/>
  <c r="B130" i="30"/>
  <c r="B131" i="30"/>
  <c r="B132" i="30"/>
  <c r="B133" i="30"/>
  <c r="B134" i="30"/>
  <c r="D134" i="30" s="1"/>
  <c r="B135" i="30"/>
  <c r="D135" i="30" s="1"/>
  <c r="B136" i="30"/>
  <c r="D136" i="30" s="1"/>
  <c r="B137" i="30"/>
  <c r="D137" i="30" s="1"/>
  <c r="B138" i="30"/>
  <c r="B139" i="30"/>
  <c r="D139" i="30" s="1"/>
  <c r="B140" i="30"/>
  <c r="D140" i="30" s="1"/>
  <c r="B141" i="30"/>
  <c r="D141" i="30" s="1"/>
  <c r="B142" i="30"/>
  <c r="B143" i="30"/>
  <c r="D143" i="30" s="1"/>
  <c r="B144" i="30"/>
  <c r="D144" i="30" s="1"/>
  <c r="B145" i="30"/>
  <c r="D145" i="30" s="1"/>
  <c r="B146" i="30"/>
  <c r="D146" i="30" s="1"/>
  <c r="B147" i="30"/>
  <c r="D147" i="30" s="1"/>
  <c r="B148" i="30"/>
  <c r="B149" i="30"/>
  <c r="D149" i="30" s="1"/>
  <c r="B150" i="30"/>
  <c r="D150" i="30" s="1"/>
  <c r="B151" i="30"/>
  <c r="B152" i="30"/>
  <c r="D152" i="30" s="1"/>
  <c r="B153" i="30"/>
  <c r="B154" i="30"/>
  <c r="B155" i="30"/>
  <c r="B156" i="30"/>
  <c r="B157" i="30"/>
  <c r="B158" i="30"/>
  <c r="B159" i="30"/>
  <c r="B160" i="30"/>
  <c r="B161" i="30"/>
  <c r="B162" i="30"/>
  <c r="B163" i="30"/>
  <c r="B164" i="30"/>
  <c r="B165" i="30"/>
  <c r="B166" i="30"/>
  <c r="B167" i="30"/>
  <c r="B168" i="30"/>
  <c r="B169" i="30"/>
  <c r="B170" i="30"/>
  <c r="B171" i="30"/>
  <c r="B172" i="30"/>
  <c r="B173" i="30"/>
  <c r="B174" i="30"/>
  <c r="B175" i="30"/>
  <c r="B176" i="30"/>
  <c r="B177" i="30"/>
  <c r="B178" i="30"/>
  <c r="B179" i="30"/>
  <c r="B180" i="30"/>
  <c r="B181" i="30"/>
  <c r="B182" i="30"/>
  <c r="B183" i="30"/>
  <c r="B184" i="30"/>
  <c r="B185" i="30"/>
  <c r="B186" i="30"/>
  <c r="B187" i="30"/>
  <c r="B188" i="30"/>
  <c r="B189" i="30"/>
  <c r="B190" i="30"/>
  <c r="B191" i="30"/>
  <c r="B192" i="30"/>
  <c r="B193" i="30"/>
  <c r="B194" i="30"/>
  <c r="B195" i="30"/>
  <c r="B196" i="30"/>
  <c r="B197" i="30"/>
  <c r="B198" i="30"/>
  <c r="B199" i="30"/>
  <c r="B200" i="30"/>
  <c r="B201" i="30"/>
  <c r="B202" i="30"/>
  <c r="B203" i="30"/>
  <c r="B204" i="30"/>
  <c r="B205" i="30"/>
  <c r="B206" i="30"/>
  <c r="B207" i="30"/>
  <c r="B208" i="30"/>
  <c r="B209" i="30"/>
  <c r="B210" i="30"/>
  <c r="B211" i="30"/>
  <c r="B212" i="30"/>
  <c r="B213" i="30"/>
  <c r="B214" i="30"/>
  <c r="B215" i="30"/>
  <c r="B216" i="30"/>
  <c r="B217" i="30"/>
  <c r="B218" i="30"/>
  <c r="B219" i="30"/>
  <c r="B220" i="30"/>
  <c r="B221" i="30"/>
  <c r="B222" i="30"/>
  <c r="B223" i="30"/>
  <c r="B224" i="30"/>
  <c r="B225" i="30"/>
  <c r="B226" i="30"/>
  <c r="B227" i="30"/>
  <c r="B228" i="30"/>
  <c r="B229" i="30"/>
  <c r="B230" i="30"/>
  <c r="B231" i="30"/>
  <c r="B232" i="30"/>
  <c r="B233" i="30"/>
  <c r="B234" i="30"/>
  <c r="B235" i="30"/>
  <c r="B236" i="30"/>
  <c r="B237" i="30"/>
  <c r="B238" i="30"/>
  <c r="B239" i="30"/>
  <c r="B240" i="30"/>
  <c r="B241" i="30"/>
  <c r="B242" i="30"/>
  <c r="B243" i="30"/>
  <c r="B244" i="30"/>
  <c r="B245" i="30"/>
  <c r="B246" i="30"/>
  <c r="B247" i="30"/>
  <c r="B248" i="30"/>
  <c r="B249" i="30"/>
  <c r="B250" i="30"/>
  <c r="B251" i="30"/>
  <c r="B252" i="30"/>
  <c r="B253" i="30"/>
  <c r="B254" i="30"/>
  <c r="B255" i="30"/>
  <c r="B256" i="30"/>
  <c r="B257" i="30"/>
  <c r="B258" i="30"/>
  <c r="B259" i="30"/>
  <c r="B260" i="30"/>
  <c r="B261" i="30"/>
  <c r="B262" i="30"/>
  <c r="B263" i="30"/>
  <c r="B264" i="30"/>
  <c r="B265" i="30"/>
  <c r="B266" i="30"/>
  <c r="B267" i="30"/>
  <c r="B268" i="30"/>
  <c r="B269" i="30"/>
  <c r="B270" i="30"/>
  <c r="B271" i="30"/>
  <c r="B272" i="30"/>
  <c r="B273" i="30"/>
  <c r="B274" i="30"/>
  <c r="B275" i="30"/>
  <c r="B276" i="30"/>
  <c r="B277" i="30"/>
  <c r="B278" i="30"/>
  <c r="B279" i="30"/>
  <c r="B280" i="30"/>
  <c r="B281" i="30"/>
  <c r="B282" i="30"/>
  <c r="B283" i="30"/>
  <c r="B284" i="30"/>
  <c r="B285" i="30"/>
  <c r="B286" i="30"/>
  <c r="B287" i="30"/>
  <c r="B288" i="30"/>
  <c r="B289" i="30"/>
  <c r="B290" i="30"/>
  <c r="B291" i="30"/>
  <c r="B292" i="30"/>
  <c r="B293" i="30"/>
  <c r="B294" i="30"/>
  <c r="B295" i="30"/>
  <c r="B296" i="30"/>
  <c r="B297" i="30"/>
  <c r="B298" i="30"/>
  <c r="B299" i="30"/>
  <c r="B300" i="30"/>
  <c r="B301" i="30"/>
  <c r="B302" i="30"/>
  <c r="B303" i="30"/>
  <c r="B304" i="30"/>
  <c r="B305" i="30"/>
  <c r="B306" i="30"/>
  <c r="B307" i="30"/>
  <c r="B308" i="30"/>
  <c r="B309" i="30"/>
  <c r="B310" i="30"/>
  <c r="B311" i="30"/>
  <c r="B312" i="30"/>
  <c r="B313" i="30"/>
  <c r="B314" i="30"/>
  <c r="B315" i="30"/>
  <c r="B316" i="30"/>
  <c r="B317" i="30"/>
  <c r="B318" i="30"/>
  <c r="B319" i="30"/>
  <c r="B320" i="30"/>
  <c r="B321" i="30"/>
  <c r="B322" i="30"/>
  <c r="B323" i="30"/>
  <c r="B324" i="30"/>
  <c r="B325" i="30"/>
  <c r="B326" i="30"/>
  <c r="B327" i="30"/>
  <c r="B328" i="30"/>
  <c r="B329" i="30"/>
  <c r="B330" i="30"/>
  <c r="B331" i="30"/>
  <c r="B332" i="30"/>
  <c r="B333" i="30"/>
  <c r="B334" i="30"/>
  <c r="B335" i="30"/>
  <c r="B336" i="30"/>
  <c r="B337" i="30"/>
  <c r="B338" i="30"/>
  <c r="B339" i="30"/>
  <c r="B340" i="30"/>
  <c r="B341" i="30"/>
  <c r="B342" i="30"/>
  <c r="B343" i="30"/>
  <c r="B344" i="30"/>
  <c r="B345" i="30"/>
  <c r="B346" i="30"/>
  <c r="B347" i="30"/>
  <c r="B348" i="30"/>
  <c r="B349" i="30"/>
  <c r="B350" i="30"/>
  <c r="B351" i="30"/>
  <c r="B352" i="30"/>
  <c r="B353" i="30"/>
  <c r="B354" i="30"/>
  <c r="B355" i="30"/>
  <c r="B356" i="30"/>
  <c r="B357" i="30"/>
  <c r="B358" i="30"/>
  <c r="B359" i="30"/>
  <c r="B360" i="30"/>
  <c r="B361" i="30"/>
  <c r="B362" i="30"/>
  <c r="B363" i="30"/>
  <c r="B364" i="30"/>
  <c r="B365" i="30"/>
  <c r="B366" i="30"/>
  <c r="B367" i="30"/>
  <c r="B368" i="30"/>
  <c r="B369" i="30"/>
  <c r="B370" i="30"/>
  <c r="B371" i="30"/>
  <c r="B372" i="30"/>
  <c r="B373" i="30"/>
  <c r="B374" i="30"/>
  <c r="B375" i="30"/>
  <c r="B376" i="30"/>
  <c r="B377" i="30"/>
  <c r="B378" i="30"/>
  <c r="B379" i="30"/>
  <c r="B380" i="30"/>
  <c r="B381" i="30"/>
  <c r="B382" i="30"/>
  <c r="B383" i="30"/>
  <c r="B384" i="30"/>
  <c r="B385" i="30"/>
  <c r="B386" i="30"/>
  <c r="B387" i="30"/>
  <c r="B388" i="30"/>
  <c r="B389" i="30"/>
  <c r="B390" i="30"/>
  <c r="B391" i="30"/>
  <c r="B392" i="30"/>
  <c r="B393" i="30"/>
  <c r="B394" i="30"/>
  <c r="B395" i="30"/>
  <c r="B396" i="30"/>
  <c r="B397" i="30"/>
  <c r="B398" i="30"/>
  <c r="B399" i="30"/>
  <c r="B400" i="30"/>
  <c r="B3" i="30"/>
  <c r="D3" i="30" s="1"/>
  <c r="C129" i="30" l="1"/>
  <c r="D129" i="30"/>
  <c r="C121" i="30"/>
  <c r="D121" i="30"/>
  <c r="C69" i="30"/>
  <c r="D69" i="30"/>
  <c r="C61" i="30"/>
  <c r="D61" i="30"/>
  <c r="C45" i="30"/>
  <c r="D45" i="30"/>
  <c r="G133" i="30"/>
  <c r="H133" i="30"/>
  <c r="G117" i="30"/>
  <c r="H117" i="30"/>
  <c r="G89" i="30"/>
  <c r="H89" i="30"/>
  <c r="G81" i="30"/>
  <c r="H81" i="30"/>
  <c r="G65" i="30"/>
  <c r="H65" i="30"/>
  <c r="G45" i="30"/>
  <c r="H45" i="30"/>
  <c r="K138" i="30"/>
  <c r="L138" i="30"/>
  <c r="K86" i="30"/>
  <c r="L86" i="30"/>
  <c r="K70" i="30"/>
  <c r="L70" i="30"/>
  <c r="O151" i="30"/>
  <c r="P151" i="30"/>
  <c r="O131" i="30"/>
  <c r="P131" i="30"/>
  <c r="O111" i="30"/>
  <c r="P111" i="30"/>
  <c r="O87" i="30"/>
  <c r="P87" i="30"/>
  <c r="O75" i="30"/>
  <c r="P75" i="30"/>
  <c r="O67" i="30"/>
  <c r="P67" i="30"/>
  <c r="O47" i="30"/>
  <c r="P47" i="30"/>
  <c r="O39" i="30"/>
  <c r="P39" i="30"/>
  <c r="S148" i="30"/>
  <c r="T148" i="30"/>
  <c r="S132" i="30"/>
  <c r="T132" i="30"/>
  <c r="S116" i="30"/>
  <c r="T116" i="30"/>
  <c r="S112" i="30"/>
  <c r="T112" i="30"/>
  <c r="S104" i="30"/>
  <c r="T104" i="30"/>
  <c r="S88" i="30"/>
  <c r="T88" i="30"/>
  <c r="S68" i="30"/>
  <c r="T68" i="30"/>
  <c r="S40" i="30"/>
  <c r="T40" i="30"/>
  <c r="W133" i="30"/>
  <c r="X133" i="30"/>
  <c r="W129" i="30"/>
  <c r="X129" i="30"/>
  <c r="W121" i="30"/>
  <c r="X121" i="30"/>
  <c r="W117" i="30"/>
  <c r="X117" i="30"/>
  <c r="W89" i="30"/>
  <c r="X89" i="30"/>
  <c r="W81" i="30"/>
  <c r="X81" i="30"/>
  <c r="W69" i="30"/>
  <c r="X69" i="30"/>
  <c r="W65" i="30"/>
  <c r="X65" i="30"/>
  <c r="W61" i="30"/>
  <c r="X61" i="30"/>
  <c r="W45" i="30"/>
  <c r="X45" i="30"/>
  <c r="AA142" i="30"/>
  <c r="AB142" i="30"/>
  <c r="AA138" i="30"/>
  <c r="AB138" i="30"/>
  <c r="AA130" i="30"/>
  <c r="AB130" i="30"/>
  <c r="AA86" i="30"/>
  <c r="AB86" i="30"/>
  <c r="AA82" i="30"/>
  <c r="AB82" i="30"/>
  <c r="AA74" i="30"/>
  <c r="AB74" i="30"/>
  <c r="AA70" i="30"/>
  <c r="AB70" i="30"/>
  <c r="AA66" i="30"/>
  <c r="AB66" i="30"/>
  <c r="AE151" i="30"/>
  <c r="AF151" i="30"/>
  <c r="AE131" i="30"/>
  <c r="AF131" i="30"/>
  <c r="AE111" i="30"/>
  <c r="AF111" i="30"/>
  <c r="AE87" i="30"/>
  <c r="AF87" i="30"/>
  <c r="AE75" i="30"/>
  <c r="AF75" i="30"/>
  <c r="AE67" i="30"/>
  <c r="AF67" i="30"/>
  <c r="AE47" i="30"/>
  <c r="AF47" i="30"/>
  <c r="AE39" i="30"/>
  <c r="AF39" i="30"/>
  <c r="AI148" i="30"/>
  <c r="AJ148" i="30"/>
  <c r="AI132" i="30"/>
  <c r="AJ132" i="30"/>
  <c r="AI116" i="30"/>
  <c r="AJ116" i="30"/>
  <c r="AI112" i="30"/>
  <c r="AJ112" i="30"/>
  <c r="AI104" i="30"/>
  <c r="AJ104" i="30"/>
  <c r="AI88" i="30"/>
  <c r="AJ88" i="30"/>
  <c r="AI68" i="30"/>
  <c r="AJ68" i="30"/>
  <c r="AI40" i="30"/>
  <c r="AJ40" i="30"/>
  <c r="AM133" i="30"/>
  <c r="AN133" i="30"/>
  <c r="AM129" i="30"/>
  <c r="AN129" i="30"/>
  <c r="AM121" i="30"/>
  <c r="AN121" i="30"/>
  <c r="AM117" i="30"/>
  <c r="AN117" i="30"/>
  <c r="AM89" i="30"/>
  <c r="AN89" i="30"/>
  <c r="AM81" i="30"/>
  <c r="AN81" i="30"/>
  <c r="AM69" i="30"/>
  <c r="AN69" i="30"/>
  <c r="AM65" i="30"/>
  <c r="AN65" i="30"/>
  <c r="AM61" i="30"/>
  <c r="AN61" i="30"/>
  <c r="AM45" i="30"/>
  <c r="AN45" i="30"/>
  <c r="AQ142" i="30"/>
  <c r="AR142" i="30"/>
  <c r="AQ138" i="30"/>
  <c r="AR138" i="30"/>
  <c r="AQ130" i="30"/>
  <c r="AR130" i="30"/>
  <c r="AQ86" i="30"/>
  <c r="AR86" i="30"/>
  <c r="AQ82" i="30"/>
  <c r="AR82" i="30"/>
  <c r="AQ74" i="30"/>
  <c r="AR74" i="30"/>
  <c r="AQ70" i="30"/>
  <c r="AR70" i="30"/>
  <c r="AQ66" i="30"/>
  <c r="AR66" i="30"/>
  <c r="AU151" i="30"/>
  <c r="AV151" i="30"/>
  <c r="AU131" i="30"/>
  <c r="AV131" i="30"/>
  <c r="AU111" i="30"/>
  <c r="AV111" i="30"/>
  <c r="AU87" i="30"/>
  <c r="AV87" i="30"/>
  <c r="AU75" i="30"/>
  <c r="AV75" i="30"/>
  <c r="AU67" i="30"/>
  <c r="AV67" i="30"/>
  <c r="AU47" i="30"/>
  <c r="AV47" i="30"/>
  <c r="AU39" i="30"/>
  <c r="AV39" i="30"/>
  <c r="C133" i="30"/>
  <c r="D133" i="30"/>
  <c r="C117" i="30"/>
  <c r="D117" i="30"/>
  <c r="C89" i="30"/>
  <c r="D89" i="30"/>
  <c r="C81" i="30"/>
  <c r="D81" i="30"/>
  <c r="C65" i="30"/>
  <c r="D65" i="30"/>
  <c r="G129" i="30"/>
  <c r="H129" i="30"/>
  <c r="G121" i="30"/>
  <c r="H121" i="30"/>
  <c r="G69" i="30"/>
  <c r="H69" i="30"/>
  <c r="G61" i="30"/>
  <c r="H61" i="30"/>
  <c r="K142" i="30"/>
  <c r="L142" i="30"/>
  <c r="K130" i="30"/>
  <c r="L130" i="30"/>
  <c r="K82" i="30"/>
  <c r="L82" i="30"/>
  <c r="K74" i="30"/>
  <c r="L74" i="30"/>
  <c r="K66" i="30"/>
  <c r="L66" i="30"/>
  <c r="C148" i="30"/>
  <c r="D148" i="30"/>
  <c r="C132" i="30"/>
  <c r="D132" i="30"/>
  <c r="C116" i="30"/>
  <c r="D116" i="30"/>
  <c r="C112" i="30"/>
  <c r="D112" i="30"/>
  <c r="C104" i="30"/>
  <c r="D104" i="30"/>
  <c r="C88" i="30"/>
  <c r="D88" i="30"/>
  <c r="C68" i="30"/>
  <c r="D68" i="30"/>
  <c r="C40" i="30"/>
  <c r="D40" i="30"/>
  <c r="G148" i="30"/>
  <c r="H148" i="30"/>
  <c r="G132" i="30"/>
  <c r="H132" i="30"/>
  <c r="G116" i="30"/>
  <c r="H116" i="30"/>
  <c r="G112" i="30"/>
  <c r="H112" i="30"/>
  <c r="G104" i="30"/>
  <c r="H104" i="30"/>
  <c r="G88" i="30"/>
  <c r="H88" i="30"/>
  <c r="G68" i="30"/>
  <c r="H68" i="30"/>
  <c r="G40" i="30"/>
  <c r="H40" i="30"/>
  <c r="K133" i="30"/>
  <c r="L133" i="30"/>
  <c r="K129" i="30"/>
  <c r="L129" i="30"/>
  <c r="K121" i="30"/>
  <c r="L121" i="30"/>
  <c r="K117" i="30"/>
  <c r="L117" i="30"/>
  <c r="K89" i="30"/>
  <c r="L89" i="30"/>
  <c r="K81" i="30"/>
  <c r="L81" i="30"/>
  <c r="K69" i="30"/>
  <c r="L69" i="30"/>
  <c r="K65" i="30"/>
  <c r="L65" i="30"/>
  <c r="K61" i="30"/>
  <c r="L61" i="30"/>
  <c r="K45" i="30"/>
  <c r="L45" i="30"/>
  <c r="O142" i="30"/>
  <c r="P142" i="30"/>
  <c r="O138" i="30"/>
  <c r="P138" i="30"/>
  <c r="O130" i="30"/>
  <c r="P130" i="30"/>
  <c r="O86" i="30"/>
  <c r="P86" i="30"/>
  <c r="O82" i="30"/>
  <c r="P82" i="30"/>
  <c r="O74" i="30"/>
  <c r="P74" i="30"/>
  <c r="O70" i="30"/>
  <c r="P70" i="30"/>
  <c r="O66" i="30"/>
  <c r="P66" i="30"/>
  <c r="S151" i="30"/>
  <c r="T151" i="30"/>
  <c r="S131" i="30"/>
  <c r="T131" i="30"/>
  <c r="S111" i="30"/>
  <c r="T111" i="30"/>
  <c r="S87" i="30"/>
  <c r="T87" i="30"/>
  <c r="S75" i="30"/>
  <c r="T75" i="30"/>
  <c r="S67" i="30"/>
  <c r="T67" i="30"/>
  <c r="S47" i="30"/>
  <c r="T47" i="30"/>
  <c r="S39" i="30"/>
  <c r="T39" i="30"/>
  <c r="W148" i="30"/>
  <c r="X148" i="30"/>
  <c r="W132" i="30"/>
  <c r="X132" i="30"/>
  <c r="W116" i="30"/>
  <c r="X116" i="30"/>
  <c r="W112" i="30"/>
  <c r="X112" i="30"/>
  <c r="W104" i="30"/>
  <c r="X104" i="30"/>
  <c r="W88" i="30"/>
  <c r="X88" i="30"/>
  <c r="W68" i="30"/>
  <c r="X68" i="30"/>
  <c r="W40" i="30"/>
  <c r="X40" i="30"/>
  <c r="AA133" i="30"/>
  <c r="AB133" i="30"/>
  <c r="AA129" i="30"/>
  <c r="AB129" i="30"/>
  <c r="AA121" i="30"/>
  <c r="AB121" i="30"/>
  <c r="AA117" i="30"/>
  <c r="AB117" i="30"/>
  <c r="AA89" i="30"/>
  <c r="AB89" i="30"/>
  <c r="AA81" i="30"/>
  <c r="AB81" i="30"/>
  <c r="AA69" i="30"/>
  <c r="AB69" i="30"/>
  <c r="AA65" i="30"/>
  <c r="AB65" i="30"/>
  <c r="AA61" i="30"/>
  <c r="AB61" i="30"/>
  <c r="AA45" i="30"/>
  <c r="AB45" i="30"/>
  <c r="AE142" i="30"/>
  <c r="AF142" i="30"/>
  <c r="AE138" i="30"/>
  <c r="AF138" i="30"/>
  <c r="AE130" i="30"/>
  <c r="AF130" i="30"/>
  <c r="AE86" i="30"/>
  <c r="AF86" i="30"/>
  <c r="AE82" i="30"/>
  <c r="AF82" i="30"/>
  <c r="AE74" i="30"/>
  <c r="AF74" i="30"/>
  <c r="AE70" i="30"/>
  <c r="AF70" i="30"/>
  <c r="AE66" i="30"/>
  <c r="AF66" i="30"/>
  <c r="AI151" i="30"/>
  <c r="AJ151" i="30"/>
  <c r="AI131" i="30"/>
  <c r="AJ131" i="30"/>
  <c r="AI111" i="30"/>
  <c r="AJ111" i="30"/>
  <c r="AI87" i="30"/>
  <c r="AJ87" i="30"/>
  <c r="AI75" i="30"/>
  <c r="AJ75" i="30"/>
  <c r="AI67" i="30"/>
  <c r="AJ67" i="30"/>
  <c r="AI47" i="30"/>
  <c r="AJ47" i="30"/>
  <c r="AI39" i="30"/>
  <c r="AJ39" i="30"/>
  <c r="AM148" i="30"/>
  <c r="AN148" i="30"/>
  <c r="AM132" i="30"/>
  <c r="AN132" i="30"/>
  <c r="AM116" i="30"/>
  <c r="AN116" i="30"/>
  <c r="AM112" i="30"/>
  <c r="AN112" i="30"/>
  <c r="AM104" i="30"/>
  <c r="AN104" i="30"/>
  <c r="AM88" i="30"/>
  <c r="AN88" i="30"/>
  <c r="AM68" i="30"/>
  <c r="AN68" i="30"/>
  <c r="AM40" i="30"/>
  <c r="AN40" i="30"/>
  <c r="AQ133" i="30"/>
  <c r="AR133" i="30"/>
  <c r="AQ129" i="30"/>
  <c r="AR129" i="30"/>
  <c r="AQ121" i="30"/>
  <c r="AR121" i="30"/>
  <c r="AQ117" i="30"/>
  <c r="AR117" i="30"/>
  <c r="AQ89" i="30"/>
  <c r="AR89" i="30"/>
  <c r="AQ81" i="30"/>
  <c r="AR81" i="30"/>
  <c r="AQ69" i="30"/>
  <c r="AR69" i="30"/>
  <c r="AQ65" i="30"/>
  <c r="AR65" i="30"/>
  <c r="AQ61" i="30"/>
  <c r="AR61" i="30"/>
  <c r="AQ45" i="30"/>
  <c r="AR45" i="30"/>
  <c r="AU142" i="30"/>
  <c r="AV142" i="30"/>
  <c r="AU138" i="30"/>
  <c r="AV138" i="30"/>
  <c r="AU130" i="30"/>
  <c r="AV130" i="30"/>
  <c r="AU86" i="30"/>
  <c r="AV86" i="30"/>
  <c r="AU82" i="30"/>
  <c r="AV82" i="30"/>
  <c r="AU74" i="30"/>
  <c r="AV74" i="30"/>
  <c r="AU70" i="30"/>
  <c r="AV70" i="30"/>
  <c r="AU66" i="30"/>
  <c r="AV66" i="30"/>
  <c r="C131" i="30"/>
  <c r="D131" i="30"/>
  <c r="C87" i="30"/>
  <c r="D87" i="30"/>
  <c r="G151" i="30"/>
  <c r="H151" i="30"/>
  <c r="G111" i="30"/>
  <c r="H111" i="30"/>
  <c r="G75" i="30"/>
  <c r="H75" i="30"/>
  <c r="G67" i="30"/>
  <c r="H67" i="30"/>
  <c r="K148" i="30"/>
  <c r="L148" i="30"/>
  <c r="K132" i="30"/>
  <c r="L132" i="30"/>
  <c r="K40" i="30"/>
  <c r="L40" i="30"/>
  <c r="O133" i="30"/>
  <c r="P133" i="30"/>
  <c r="O129" i="30"/>
  <c r="P129" i="30"/>
  <c r="O121" i="30"/>
  <c r="P121" i="30"/>
  <c r="O117" i="30"/>
  <c r="P117" i="30"/>
  <c r="O89" i="30"/>
  <c r="P89" i="30"/>
  <c r="O81" i="30"/>
  <c r="P81" i="30"/>
  <c r="O69" i="30"/>
  <c r="P69" i="30"/>
  <c r="O65" i="30"/>
  <c r="P65" i="30"/>
  <c r="O61" i="30"/>
  <c r="P61" i="30"/>
  <c r="O45" i="30"/>
  <c r="P45" i="30"/>
  <c r="S142" i="30"/>
  <c r="T142" i="30"/>
  <c r="S138" i="30"/>
  <c r="T138" i="30"/>
  <c r="S130" i="30"/>
  <c r="T130" i="30"/>
  <c r="S86" i="30"/>
  <c r="T86" i="30"/>
  <c r="S82" i="30"/>
  <c r="T82" i="30"/>
  <c r="S74" i="30"/>
  <c r="T74" i="30"/>
  <c r="S70" i="30"/>
  <c r="T70" i="30"/>
  <c r="S66" i="30"/>
  <c r="T66" i="30"/>
  <c r="W151" i="30"/>
  <c r="X151" i="30"/>
  <c r="W131" i="30"/>
  <c r="X131" i="30"/>
  <c r="W111" i="30"/>
  <c r="X111" i="30"/>
  <c r="W87" i="30"/>
  <c r="X87" i="30"/>
  <c r="W75" i="30"/>
  <c r="X75" i="30"/>
  <c r="W67" i="30"/>
  <c r="X67" i="30"/>
  <c r="W47" i="30"/>
  <c r="X47" i="30"/>
  <c r="W39" i="30"/>
  <c r="X39" i="30"/>
  <c r="AA148" i="30"/>
  <c r="AB148" i="30"/>
  <c r="AA132" i="30"/>
  <c r="AB132" i="30"/>
  <c r="AA116" i="30"/>
  <c r="AB116" i="30"/>
  <c r="AA112" i="30"/>
  <c r="AB112" i="30"/>
  <c r="AA104" i="30"/>
  <c r="AB104" i="30"/>
  <c r="AA88" i="30"/>
  <c r="AB88" i="30"/>
  <c r="AA68" i="30"/>
  <c r="AB68" i="30"/>
  <c r="AA40" i="30"/>
  <c r="AB40" i="30"/>
  <c r="AE133" i="30"/>
  <c r="AF133" i="30"/>
  <c r="AE129" i="30"/>
  <c r="AF129" i="30"/>
  <c r="AE121" i="30"/>
  <c r="AF121" i="30"/>
  <c r="AE117" i="30"/>
  <c r="AF117" i="30"/>
  <c r="AE89" i="30"/>
  <c r="AF89" i="30"/>
  <c r="AE81" i="30"/>
  <c r="AF81" i="30"/>
  <c r="AE69" i="30"/>
  <c r="AF69" i="30"/>
  <c r="AE65" i="30"/>
  <c r="AF65" i="30"/>
  <c r="AE61" i="30"/>
  <c r="AF61" i="30"/>
  <c r="AE45" i="30"/>
  <c r="AF45" i="30"/>
  <c r="AI142" i="30"/>
  <c r="AJ142" i="30"/>
  <c r="AI138" i="30"/>
  <c r="AJ138" i="30"/>
  <c r="AI130" i="30"/>
  <c r="AJ130" i="30"/>
  <c r="AI86" i="30"/>
  <c r="AJ86" i="30"/>
  <c r="AI82" i="30"/>
  <c r="AJ82" i="30"/>
  <c r="AI74" i="30"/>
  <c r="AJ74" i="30"/>
  <c r="AI70" i="30"/>
  <c r="AJ70" i="30"/>
  <c r="AI66" i="30"/>
  <c r="AJ66" i="30"/>
  <c r="AM151" i="30"/>
  <c r="AN151" i="30"/>
  <c r="AM131" i="30"/>
  <c r="AN131" i="30"/>
  <c r="AM111" i="30"/>
  <c r="AN111" i="30"/>
  <c r="AM87" i="30"/>
  <c r="AN87" i="30"/>
  <c r="AM75" i="30"/>
  <c r="AN75" i="30"/>
  <c r="AM67" i="30"/>
  <c r="AN67" i="30"/>
  <c r="AM47" i="30"/>
  <c r="AN47" i="30"/>
  <c r="AM39" i="30"/>
  <c r="AN39" i="30"/>
  <c r="AQ148" i="30"/>
  <c r="AR148" i="30"/>
  <c r="AQ132" i="30"/>
  <c r="AR132" i="30"/>
  <c r="AQ116" i="30"/>
  <c r="AR116" i="30"/>
  <c r="AQ112" i="30"/>
  <c r="AR112" i="30"/>
  <c r="AQ104" i="30"/>
  <c r="AR104" i="30"/>
  <c r="AQ88" i="30"/>
  <c r="AR88" i="30"/>
  <c r="AQ68" i="30"/>
  <c r="AR68" i="30"/>
  <c r="AQ40" i="30"/>
  <c r="AR40" i="30"/>
  <c r="AU133" i="30"/>
  <c r="AV133" i="30"/>
  <c r="AU129" i="30"/>
  <c r="AV129" i="30"/>
  <c r="AU121" i="30"/>
  <c r="AV121" i="30"/>
  <c r="AU117" i="30"/>
  <c r="AV117" i="30"/>
  <c r="AU89" i="30"/>
  <c r="AV89" i="30"/>
  <c r="AU81" i="30"/>
  <c r="AV81" i="30"/>
  <c r="AU69" i="30"/>
  <c r="AV69" i="30"/>
  <c r="AU65" i="30"/>
  <c r="AV65" i="30"/>
  <c r="AU61" i="30"/>
  <c r="AV61" i="30"/>
  <c r="AU45" i="30"/>
  <c r="AV45" i="30"/>
  <c r="C151" i="30"/>
  <c r="D151" i="30"/>
  <c r="C111" i="30"/>
  <c r="D111" i="30"/>
  <c r="C75" i="30"/>
  <c r="D75" i="30"/>
  <c r="C67" i="30"/>
  <c r="D67" i="30"/>
  <c r="C47" i="30"/>
  <c r="D47" i="30"/>
  <c r="C39" i="30"/>
  <c r="D39" i="30"/>
  <c r="G131" i="30"/>
  <c r="H131" i="30"/>
  <c r="G87" i="30"/>
  <c r="H87" i="30"/>
  <c r="G47" i="30"/>
  <c r="H47" i="30"/>
  <c r="G39" i="30"/>
  <c r="H39" i="30"/>
  <c r="K116" i="30"/>
  <c r="L116" i="30"/>
  <c r="K112" i="30"/>
  <c r="L112" i="30"/>
  <c r="K104" i="30"/>
  <c r="L104" i="30"/>
  <c r="K88" i="30"/>
  <c r="L88" i="30"/>
  <c r="K68" i="30"/>
  <c r="L68" i="30"/>
  <c r="C142" i="30"/>
  <c r="D142" i="30"/>
  <c r="C138" i="30"/>
  <c r="D138" i="30"/>
  <c r="C130" i="30"/>
  <c r="D130" i="30"/>
  <c r="C86" i="30"/>
  <c r="D86" i="30"/>
  <c r="C82" i="30"/>
  <c r="D82" i="30"/>
  <c r="C74" i="30"/>
  <c r="D74" i="30"/>
  <c r="C70" i="30"/>
  <c r="D70" i="30"/>
  <c r="C66" i="30"/>
  <c r="D66" i="30"/>
  <c r="G142" i="30"/>
  <c r="H142" i="30"/>
  <c r="G138" i="30"/>
  <c r="H138" i="30"/>
  <c r="G130" i="30"/>
  <c r="H130" i="30"/>
  <c r="G86" i="30"/>
  <c r="H86" i="30"/>
  <c r="G82" i="30"/>
  <c r="H82" i="30"/>
  <c r="G74" i="30"/>
  <c r="H74" i="30"/>
  <c r="G70" i="30"/>
  <c r="H70" i="30"/>
  <c r="G66" i="30"/>
  <c r="H66" i="30"/>
  <c r="K151" i="30"/>
  <c r="L151" i="30"/>
  <c r="K131" i="30"/>
  <c r="L131" i="30"/>
  <c r="K111" i="30"/>
  <c r="L111" i="30"/>
  <c r="K87" i="30"/>
  <c r="L87" i="30"/>
  <c r="K75" i="30"/>
  <c r="L75" i="30"/>
  <c r="K67" i="30"/>
  <c r="L67" i="30"/>
  <c r="K47" i="30"/>
  <c r="L47" i="30"/>
  <c r="K39" i="30"/>
  <c r="L39" i="30"/>
  <c r="O148" i="30"/>
  <c r="P148" i="30"/>
  <c r="O132" i="30"/>
  <c r="P132" i="30"/>
  <c r="O116" i="30"/>
  <c r="P116" i="30"/>
  <c r="O112" i="30"/>
  <c r="P112" i="30"/>
  <c r="O104" i="30"/>
  <c r="P104" i="30"/>
  <c r="O88" i="30"/>
  <c r="P88" i="30"/>
  <c r="O68" i="30"/>
  <c r="P68" i="30"/>
  <c r="O40" i="30"/>
  <c r="P40" i="30"/>
  <c r="S133" i="30"/>
  <c r="T133" i="30"/>
  <c r="S129" i="30"/>
  <c r="T129" i="30"/>
  <c r="S121" i="30"/>
  <c r="T121" i="30"/>
  <c r="S117" i="30"/>
  <c r="T117" i="30"/>
  <c r="S89" i="30"/>
  <c r="T89" i="30"/>
  <c r="S81" i="30"/>
  <c r="T81" i="30"/>
  <c r="S69" i="30"/>
  <c r="T69" i="30"/>
  <c r="S65" i="30"/>
  <c r="T65" i="30"/>
  <c r="S61" i="30"/>
  <c r="T61" i="30"/>
  <c r="S45" i="30"/>
  <c r="T45" i="30"/>
  <c r="W142" i="30"/>
  <c r="X142" i="30"/>
  <c r="W138" i="30"/>
  <c r="X138" i="30"/>
  <c r="W130" i="30"/>
  <c r="X130" i="30"/>
  <c r="W86" i="30"/>
  <c r="X86" i="30"/>
  <c r="W82" i="30"/>
  <c r="X82" i="30"/>
  <c r="W74" i="30"/>
  <c r="X74" i="30"/>
  <c r="W70" i="30"/>
  <c r="X70" i="30"/>
  <c r="W66" i="30"/>
  <c r="X66" i="30"/>
  <c r="AA151" i="30"/>
  <c r="AB151" i="30"/>
  <c r="AA131" i="30"/>
  <c r="AB131" i="30"/>
  <c r="AA111" i="30"/>
  <c r="AB111" i="30"/>
  <c r="AA87" i="30"/>
  <c r="AB87" i="30"/>
  <c r="AA75" i="30"/>
  <c r="AB75" i="30"/>
  <c r="AA67" i="30"/>
  <c r="AB67" i="30"/>
  <c r="AA47" i="30"/>
  <c r="AB47" i="30"/>
  <c r="AA39" i="30"/>
  <c r="AB39" i="30"/>
  <c r="AE148" i="30"/>
  <c r="AF148" i="30"/>
  <c r="AE132" i="30"/>
  <c r="AF132" i="30"/>
  <c r="AE116" i="30"/>
  <c r="AF116" i="30"/>
  <c r="AE112" i="30"/>
  <c r="AF112" i="30"/>
  <c r="AE104" i="30"/>
  <c r="AF104" i="30"/>
  <c r="AE88" i="30"/>
  <c r="AF88" i="30"/>
  <c r="AE68" i="30"/>
  <c r="AF68" i="30"/>
  <c r="AE40" i="30"/>
  <c r="AF40" i="30"/>
  <c r="AI133" i="30"/>
  <c r="AJ133" i="30"/>
  <c r="AI129" i="30"/>
  <c r="AJ129" i="30"/>
  <c r="AI121" i="30"/>
  <c r="AJ121" i="30"/>
  <c r="AI117" i="30"/>
  <c r="AJ117" i="30"/>
  <c r="AI89" i="30"/>
  <c r="AJ89" i="30"/>
  <c r="AI81" i="30"/>
  <c r="AJ81" i="30"/>
  <c r="AI69" i="30"/>
  <c r="AJ69" i="30"/>
  <c r="AI65" i="30"/>
  <c r="AJ65" i="30"/>
  <c r="AI61" i="30"/>
  <c r="AJ61" i="30"/>
  <c r="AI45" i="30"/>
  <c r="AJ45" i="30"/>
  <c r="AM142" i="30"/>
  <c r="AN142" i="30"/>
  <c r="AM138" i="30"/>
  <c r="AN138" i="30"/>
  <c r="AM130" i="30"/>
  <c r="AN130" i="30"/>
  <c r="AM86" i="30"/>
  <c r="AN86" i="30"/>
  <c r="AM82" i="30"/>
  <c r="AN82" i="30"/>
  <c r="AM74" i="30"/>
  <c r="AN74" i="30"/>
  <c r="AM70" i="30"/>
  <c r="AN70" i="30"/>
  <c r="AM66" i="30"/>
  <c r="AN66" i="30"/>
  <c r="AQ151" i="30"/>
  <c r="AR151" i="30"/>
  <c r="AQ131" i="30"/>
  <c r="AR131" i="30"/>
  <c r="AQ111" i="30"/>
  <c r="AR111" i="30"/>
  <c r="AQ87" i="30"/>
  <c r="AR87" i="30"/>
  <c r="AQ75" i="30"/>
  <c r="AR75" i="30"/>
  <c r="AQ67" i="30"/>
  <c r="AR67" i="30"/>
  <c r="AQ47" i="30"/>
  <c r="AR47" i="30"/>
  <c r="AQ39" i="30"/>
  <c r="AR39" i="30"/>
  <c r="AU148" i="30"/>
  <c r="AV148" i="30"/>
  <c r="AU132" i="30"/>
  <c r="AV132" i="30"/>
  <c r="AU116" i="30"/>
  <c r="AV116" i="30"/>
  <c r="AU112" i="30"/>
  <c r="AV112" i="30"/>
  <c r="AU104" i="30"/>
  <c r="AV104" i="30"/>
  <c r="AU88" i="30"/>
  <c r="AV88" i="30"/>
  <c r="AU68" i="30"/>
  <c r="AV68" i="30"/>
  <c r="AU40" i="30"/>
  <c r="AV40" i="30"/>
  <c r="D36" i="30"/>
  <c r="C36" i="30"/>
  <c r="D24" i="30"/>
  <c r="C24" i="30"/>
  <c r="D16" i="30"/>
  <c r="C16" i="30"/>
  <c r="D12" i="30"/>
  <c r="C12" i="30"/>
  <c r="D4" i="30"/>
  <c r="C4" i="30"/>
  <c r="H36" i="30"/>
  <c r="G36" i="30"/>
  <c r="H24" i="30"/>
  <c r="G24" i="30"/>
  <c r="H16" i="30"/>
  <c r="G16" i="30"/>
  <c r="H12" i="30"/>
  <c r="G12" i="30"/>
  <c r="H4" i="30"/>
  <c r="G4" i="30"/>
  <c r="L37" i="30"/>
  <c r="K37" i="30"/>
  <c r="L33" i="30"/>
  <c r="K33" i="30"/>
  <c r="L25" i="30"/>
  <c r="K25" i="30"/>
  <c r="L5" i="30"/>
  <c r="K5" i="30"/>
  <c r="P38" i="30"/>
  <c r="O38" i="30"/>
  <c r="P26" i="30"/>
  <c r="O26" i="30"/>
  <c r="P22" i="30"/>
  <c r="O22" i="30"/>
  <c r="T27" i="30"/>
  <c r="S27" i="30"/>
  <c r="T23" i="30"/>
  <c r="S23" i="30"/>
  <c r="T11" i="30"/>
  <c r="S11" i="30"/>
  <c r="X36" i="30"/>
  <c r="W36" i="30"/>
  <c r="X24" i="30"/>
  <c r="W24" i="30"/>
  <c r="X16" i="30"/>
  <c r="W16" i="30"/>
  <c r="X12" i="30"/>
  <c r="W12" i="30"/>
  <c r="X4" i="30"/>
  <c r="W4" i="30"/>
  <c r="AB37" i="30"/>
  <c r="AA37" i="30"/>
  <c r="AB33" i="30"/>
  <c r="AA33" i="30"/>
  <c r="AB25" i="30"/>
  <c r="AA25" i="30"/>
  <c r="AB5" i="30"/>
  <c r="AA5" i="30"/>
  <c r="AF38" i="30"/>
  <c r="AE38" i="30"/>
  <c r="AF26" i="30"/>
  <c r="AE26" i="30"/>
  <c r="AF22" i="30"/>
  <c r="AE22" i="30"/>
  <c r="AJ27" i="30"/>
  <c r="AI27" i="30"/>
  <c r="AJ23" i="30"/>
  <c r="AI23" i="30"/>
  <c r="AJ11" i="30"/>
  <c r="AI11" i="30"/>
  <c r="AN36" i="30"/>
  <c r="AM36" i="30"/>
  <c r="AN24" i="30"/>
  <c r="AM24" i="30"/>
  <c r="AN16" i="30"/>
  <c r="AM16" i="30"/>
  <c r="AN12" i="30"/>
  <c r="AM12" i="30"/>
  <c r="AN4" i="30"/>
  <c r="AM4" i="30"/>
  <c r="AR37" i="30"/>
  <c r="AQ37" i="30"/>
  <c r="AR33" i="30"/>
  <c r="AQ33" i="30"/>
  <c r="AR25" i="30"/>
  <c r="AQ25" i="30"/>
  <c r="AR5" i="30"/>
  <c r="AQ5" i="30"/>
  <c r="AV38" i="30"/>
  <c r="AU38" i="30"/>
  <c r="AV26" i="30"/>
  <c r="AU26" i="30"/>
  <c r="AV22" i="30"/>
  <c r="AU22" i="30"/>
  <c r="H23" i="30"/>
  <c r="G23" i="30"/>
  <c r="L36" i="30"/>
  <c r="K36" i="30"/>
  <c r="L24" i="30"/>
  <c r="K24" i="30"/>
  <c r="L16" i="30"/>
  <c r="K16" i="30"/>
  <c r="L12" i="30"/>
  <c r="K12" i="30"/>
  <c r="L4" i="30"/>
  <c r="K4" i="30"/>
  <c r="P37" i="30"/>
  <c r="O37" i="30"/>
  <c r="P33" i="30"/>
  <c r="O33" i="30"/>
  <c r="P25" i="30"/>
  <c r="O25" i="30"/>
  <c r="P5" i="30"/>
  <c r="O5" i="30"/>
  <c r="T38" i="30"/>
  <c r="S38" i="30"/>
  <c r="T26" i="30"/>
  <c r="S26" i="30"/>
  <c r="T22" i="30"/>
  <c r="S22" i="30"/>
  <c r="X27" i="30"/>
  <c r="W27" i="30"/>
  <c r="X23" i="30"/>
  <c r="W23" i="30"/>
  <c r="X11" i="30"/>
  <c r="W11" i="30"/>
  <c r="AB36" i="30"/>
  <c r="AA36" i="30"/>
  <c r="AB24" i="30"/>
  <c r="AA24" i="30"/>
  <c r="AB16" i="30"/>
  <c r="AA16" i="30"/>
  <c r="AB12" i="30"/>
  <c r="AA12" i="30"/>
  <c r="AB4" i="30"/>
  <c r="AA4" i="30"/>
  <c r="AF37" i="30"/>
  <c r="AE37" i="30"/>
  <c r="AF33" i="30"/>
  <c r="AE33" i="30"/>
  <c r="AF25" i="30"/>
  <c r="AE25" i="30"/>
  <c r="AF5" i="30"/>
  <c r="AE5" i="30"/>
  <c r="AJ38" i="30"/>
  <c r="AI38" i="30"/>
  <c r="AJ26" i="30"/>
  <c r="AI26" i="30"/>
  <c r="AJ22" i="30"/>
  <c r="AI22" i="30"/>
  <c r="AN27" i="30"/>
  <c r="AM27" i="30"/>
  <c r="AN23" i="30"/>
  <c r="AM23" i="30"/>
  <c r="AN11" i="30"/>
  <c r="AM11" i="30"/>
  <c r="AR36" i="30"/>
  <c r="AQ36" i="30"/>
  <c r="AR24" i="30"/>
  <c r="AQ24" i="30"/>
  <c r="AR16" i="30"/>
  <c r="AQ16" i="30"/>
  <c r="AR12" i="30"/>
  <c r="AQ12" i="30"/>
  <c r="AR4" i="30"/>
  <c r="AQ4" i="30"/>
  <c r="AV37" i="30"/>
  <c r="AU37" i="30"/>
  <c r="AV33" i="30"/>
  <c r="AU33" i="30"/>
  <c r="AV25" i="30"/>
  <c r="AU25" i="30"/>
  <c r="AV5" i="30"/>
  <c r="AU5" i="30"/>
  <c r="H27" i="30"/>
  <c r="G27" i="30"/>
  <c r="H11" i="30"/>
  <c r="G11" i="30"/>
  <c r="D38" i="30"/>
  <c r="C38" i="30"/>
  <c r="D26" i="30"/>
  <c r="C26" i="30"/>
  <c r="D22" i="30"/>
  <c r="C22" i="30"/>
  <c r="H38" i="30"/>
  <c r="G38" i="30"/>
  <c r="H26" i="30"/>
  <c r="G26" i="30"/>
  <c r="H22" i="30"/>
  <c r="G22" i="30"/>
  <c r="L27" i="30"/>
  <c r="K27" i="30"/>
  <c r="L23" i="30"/>
  <c r="K23" i="30"/>
  <c r="L11" i="30"/>
  <c r="K11" i="30"/>
  <c r="P36" i="30"/>
  <c r="O36" i="30"/>
  <c r="P24" i="30"/>
  <c r="O24" i="30"/>
  <c r="P16" i="30"/>
  <c r="O16" i="30"/>
  <c r="P12" i="30"/>
  <c r="O12" i="30"/>
  <c r="P4" i="30"/>
  <c r="O4" i="30"/>
  <c r="T37" i="30"/>
  <c r="S37" i="30"/>
  <c r="T33" i="30"/>
  <c r="S33" i="30"/>
  <c r="T25" i="30"/>
  <c r="S25" i="30"/>
  <c r="T5" i="30"/>
  <c r="S5" i="30"/>
  <c r="X38" i="30"/>
  <c r="W38" i="30"/>
  <c r="X26" i="30"/>
  <c r="W26" i="30"/>
  <c r="X22" i="30"/>
  <c r="W22" i="30"/>
  <c r="AB27" i="30"/>
  <c r="AA27" i="30"/>
  <c r="AB23" i="30"/>
  <c r="AA23" i="30"/>
  <c r="AB11" i="30"/>
  <c r="AA11" i="30"/>
  <c r="AF36" i="30"/>
  <c r="AE36" i="30"/>
  <c r="AF24" i="30"/>
  <c r="AE24" i="30"/>
  <c r="AF16" i="30"/>
  <c r="AE16" i="30"/>
  <c r="AF12" i="30"/>
  <c r="AE12" i="30"/>
  <c r="AF4" i="30"/>
  <c r="AE4" i="30"/>
  <c r="AJ37" i="30"/>
  <c r="AI37" i="30"/>
  <c r="AJ33" i="30"/>
  <c r="AI33" i="30"/>
  <c r="AJ25" i="30"/>
  <c r="AI25" i="30"/>
  <c r="AJ5" i="30"/>
  <c r="AI5" i="30"/>
  <c r="AN38" i="30"/>
  <c r="AM38" i="30"/>
  <c r="AN26" i="30"/>
  <c r="AM26" i="30"/>
  <c r="AN22" i="30"/>
  <c r="AM22" i="30"/>
  <c r="AR27" i="30"/>
  <c r="AQ27" i="30"/>
  <c r="AR23" i="30"/>
  <c r="AQ23" i="30"/>
  <c r="AR11" i="30"/>
  <c r="AQ11" i="30"/>
  <c r="AV36" i="30"/>
  <c r="AU36" i="30"/>
  <c r="AV24" i="30"/>
  <c r="AU24" i="30"/>
  <c r="AV16" i="30"/>
  <c r="AU16" i="30"/>
  <c r="AV12" i="30"/>
  <c r="AU12" i="30"/>
  <c r="AV4" i="30"/>
  <c r="AU4" i="30"/>
  <c r="D27" i="30"/>
  <c r="C27" i="30"/>
  <c r="D23" i="30"/>
  <c r="C23" i="30"/>
  <c r="D11" i="30"/>
  <c r="C11" i="30"/>
  <c r="D37" i="30"/>
  <c r="C37" i="30"/>
  <c r="D33" i="30"/>
  <c r="C33" i="30"/>
  <c r="D25" i="30"/>
  <c r="C25" i="30"/>
  <c r="D5" i="30"/>
  <c r="C5" i="30"/>
  <c r="H37" i="30"/>
  <c r="G37" i="30"/>
  <c r="H33" i="30"/>
  <c r="G33" i="30"/>
  <c r="H25" i="30"/>
  <c r="G25" i="30"/>
  <c r="H5" i="30"/>
  <c r="G5" i="30"/>
  <c r="L38" i="30"/>
  <c r="K38" i="30"/>
  <c r="L26" i="30"/>
  <c r="K26" i="30"/>
  <c r="L22" i="30"/>
  <c r="K22" i="30"/>
  <c r="P27" i="30"/>
  <c r="O27" i="30"/>
  <c r="P23" i="30"/>
  <c r="O23" i="30"/>
  <c r="P11" i="30"/>
  <c r="O11" i="30"/>
  <c r="T36" i="30"/>
  <c r="S36" i="30"/>
  <c r="T24" i="30"/>
  <c r="S24" i="30"/>
  <c r="T16" i="30"/>
  <c r="S16" i="30"/>
  <c r="T12" i="30"/>
  <c r="S12" i="30"/>
  <c r="T4" i="30"/>
  <c r="S1" i="30" s="1" a="1"/>
  <c r="S1" i="30" s="1"/>
  <c r="S4" i="30"/>
  <c r="X37" i="30"/>
  <c r="W37" i="30"/>
  <c r="X33" i="30"/>
  <c r="W33" i="30"/>
  <c r="X25" i="30"/>
  <c r="W25" i="30"/>
  <c r="X5" i="30"/>
  <c r="W5" i="30"/>
  <c r="AB38" i="30"/>
  <c r="AA38" i="30"/>
  <c r="AB26" i="30"/>
  <c r="AA26" i="30"/>
  <c r="AB22" i="30"/>
  <c r="AA22" i="30"/>
  <c r="AF27" i="30"/>
  <c r="AE27" i="30"/>
  <c r="AF23" i="30"/>
  <c r="AE23" i="30"/>
  <c r="AF11" i="30"/>
  <c r="AE11" i="30"/>
  <c r="AJ36" i="30"/>
  <c r="AI36" i="30"/>
  <c r="AJ24" i="30"/>
  <c r="AI24" i="30"/>
  <c r="AJ16" i="30"/>
  <c r="AI16" i="30"/>
  <c r="AJ12" i="30"/>
  <c r="AI12" i="30"/>
  <c r="AJ4" i="30"/>
  <c r="AI4" i="30"/>
  <c r="AH1" i="30" s="1"/>
  <c r="AN37" i="30"/>
  <c r="AM37" i="30"/>
  <c r="AN33" i="30"/>
  <c r="AM33" i="30"/>
  <c r="AN25" i="30"/>
  <c r="AM25" i="30"/>
  <c r="AN5" i="30"/>
  <c r="AM5" i="30"/>
  <c r="AR38" i="30"/>
  <c r="AQ38" i="30"/>
  <c r="AR26" i="30"/>
  <c r="AQ26" i="30"/>
  <c r="AR22" i="30"/>
  <c r="AQ22" i="30"/>
  <c r="AV27" i="30"/>
  <c r="AU27" i="30"/>
  <c r="AV23" i="30"/>
  <c r="AU23" i="30"/>
  <c r="AV11" i="30"/>
  <c r="AU11" i="30"/>
  <c r="A4" i="30"/>
  <c r="E4" i="30"/>
  <c r="I4" i="30"/>
  <c r="M4" i="30"/>
  <c r="Q4" i="30"/>
  <c r="U4" i="30"/>
  <c r="Y4" i="30"/>
  <c r="AC4" i="30"/>
  <c r="AG4" i="30"/>
  <c r="AK4" i="30"/>
  <c r="AO4" i="30"/>
  <c r="AS4" i="30"/>
  <c r="A5" i="30"/>
  <c r="E5" i="30"/>
  <c r="I5" i="30"/>
  <c r="M5" i="30"/>
  <c r="Q5" i="30"/>
  <c r="U5" i="30"/>
  <c r="Y5" i="30"/>
  <c r="AC5" i="30"/>
  <c r="AG5" i="30"/>
  <c r="AK5" i="30"/>
  <c r="AO5" i="30"/>
  <c r="AS5" i="30"/>
  <c r="A6" i="30"/>
  <c r="E6" i="30"/>
  <c r="I6" i="30"/>
  <c r="M6" i="30"/>
  <c r="Q6" i="30"/>
  <c r="U6" i="30"/>
  <c r="Y6" i="30"/>
  <c r="AC6" i="30"/>
  <c r="AG6" i="30"/>
  <c r="AK6" i="30"/>
  <c r="AO6" i="30"/>
  <c r="AS6" i="30"/>
  <c r="A7" i="30"/>
  <c r="E7" i="30"/>
  <c r="I7" i="30"/>
  <c r="M7" i="30"/>
  <c r="Q7" i="30"/>
  <c r="U7" i="30"/>
  <c r="Y7" i="30"/>
  <c r="AC7" i="30"/>
  <c r="AG7" i="30"/>
  <c r="AK7" i="30"/>
  <c r="AO7" i="30"/>
  <c r="AS7" i="30"/>
  <c r="A8" i="30"/>
  <c r="E8" i="30"/>
  <c r="I8" i="30"/>
  <c r="M8" i="30"/>
  <c r="Q8" i="30"/>
  <c r="U8" i="30"/>
  <c r="Y8" i="30"/>
  <c r="AC8" i="30"/>
  <c r="AG8" i="30"/>
  <c r="AK8" i="30"/>
  <c r="AO8" i="30"/>
  <c r="AS8" i="30"/>
  <c r="A9" i="30"/>
  <c r="E9" i="30"/>
  <c r="I9" i="30"/>
  <c r="M9" i="30"/>
  <c r="Q9" i="30"/>
  <c r="U9" i="30"/>
  <c r="Y9" i="30"/>
  <c r="AC9" i="30"/>
  <c r="AG9" i="30"/>
  <c r="AK9" i="30"/>
  <c r="AO9" i="30"/>
  <c r="AS9" i="30"/>
  <c r="A10" i="30"/>
  <c r="E10" i="30"/>
  <c r="I10" i="30"/>
  <c r="M10" i="30"/>
  <c r="Q10" i="30"/>
  <c r="U10" i="30"/>
  <c r="Y10" i="30"/>
  <c r="AC10" i="30"/>
  <c r="AG10" i="30"/>
  <c r="AK10" i="30"/>
  <c r="AO10" i="30"/>
  <c r="AS10" i="30"/>
  <c r="A11" i="30"/>
  <c r="E11" i="30"/>
  <c r="I11" i="30"/>
  <c r="M11" i="30"/>
  <c r="Q11" i="30"/>
  <c r="U11" i="30"/>
  <c r="Y11" i="30"/>
  <c r="AC11" i="30"/>
  <c r="AG11" i="30"/>
  <c r="AK11" i="30"/>
  <c r="AO11" i="30"/>
  <c r="AS11" i="30"/>
  <c r="A12" i="30"/>
  <c r="E12" i="30"/>
  <c r="I12" i="30"/>
  <c r="M12" i="30"/>
  <c r="Q12" i="30"/>
  <c r="U12" i="30"/>
  <c r="Y12" i="30"/>
  <c r="AC12" i="30"/>
  <c r="AG12" i="30"/>
  <c r="AK12" i="30"/>
  <c r="AO12" i="30"/>
  <c r="AS12" i="30"/>
  <c r="A13" i="30"/>
  <c r="E13" i="30"/>
  <c r="I13" i="30"/>
  <c r="M13" i="30"/>
  <c r="Q13" i="30"/>
  <c r="U13" i="30"/>
  <c r="Y13" i="30"/>
  <c r="AC13" i="30"/>
  <c r="AG13" i="30"/>
  <c r="AK13" i="30"/>
  <c r="AO13" i="30"/>
  <c r="AS13" i="30"/>
  <c r="A14" i="30"/>
  <c r="E14" i="30"/>
  <c r="I14" i="30"/>
  <c r="M14" i="30"/>
  <c r="Q14" i="30"/>
  <c r="U14" i="30"/>
  <c r="Y14" i="30"/>
  <c r="AC14" i="30"/>
  <c r="AG14" i="30"/>
  <c r="AK14" i="30"/>
  <c r="AO14" i="30"/>
  <c r="AS14" i="30"/>
  <c r="A15" i="30"/>
  <c r="E15" i="30"/>
  <c r="I15" i="30"/>
  <c r="M15" i="30"/>
  <c r="Q15" i="30"/>
  <c r="U15" i="30"/>
  <c r="Y15" i="30"/>
  <c r="AC15" i="30"/>
  <c r="AG15" i="30"/>
  <c r="AK15" i="30"/>
  <c r="AO15" i="30"/>
  <c r="AS15" i="30"/>
  <c r="A16" i="30"/>
  <c r="E16" i="30"/>
  <c r="I16" i="30"/>
  <c r="M16" i="30"/>
  <c r="Q16" i="30"/>
  <c r="U16" i="30"/>
  <c r="Y16" i="30"/>
  <c r="AC16" i="30"/>
  <c r="AG16" i="30"/>
  <c r="AK16" i="30"/>
  <c r="AO16" i="30"/>
  <c r="AS16" i="30"/>
  <c r="A17" i="30"/>
  <c r="E17" i="30"/>
  <c r="I17" i="30"/>
  <c r="M17" i="30"/>
  <c r="Q17" i="30"/>
  <c r="U17" i="30"/>
  <c r="Y17" i="30"/>
  <c r="AC17" i="30"/>
  <c r="AG17" i="30"/>
  <c r="AK17" i="30"/>
  <c r="AO17" i="30"/>
  <c r="AS17" i="30"/>
  <c r="A18" i="30"/>
  <c r="E18" i="30"/>
  <c r="I18" i="30"/>
  <c r="M18" i="30"/>
  <c r="Q18" i="30"/>
  <c r="U18" i="30"/>
  <c r="Y18" i="30"/>
  <c r="AC18" i="30"/>
  <c r="AG18" i="30"/>
  <c r="AK18" i="30"/>
  <c r="AO18" i="30"/>
  <c r="AS18" i="30"/>
  <c r="A19" i="30"/>
  <c r="E19" i="30"/>
  <c r="I19" i="30"/>
  <c r="M19" i="30"/>
  <c r="Q19" i="30"/>
  <c r="U19" i="30"/>
  <c r="Y19" i="30"/>
  <c r="AC19" i="30"/>
  <c r="AG19" i="30"/>
  <c r="AK19" i="30"/>
  <c r="AO19" i="30"/>
  <c r="AS19" i="30"/>
  <c r="A20" i="30"/>
  <c r="E20" i="30"/>
  <c r="I20" i="30"/>
  <c r="M20" i="30"/>
  <c r="Q20" i="30"/>
  <c r="U20" i="30"/>
  <c r="Y20" i="30"/>
  <c r="AC20" i="30"/>
  <c r="AG20" i="30"/>
  <c r="AK20" i="30"/>
  <c r="AO20" i="30"/>
  <c r="AS20" i="30"/>
  <c r="A21" i="30"/>
  <c r="E21" i="30"/>
  <c r="I21" i="30"/>
  <c r="M21" i="30"/>
  <c r="Q21" i="30"/>
  <c r="U21" i="30"/>
  <c r="Y21" i="30"/>
  <c r="AC21" i="30"/>
  <c r="AG21" i="30"/>
  <c r="AK21" i="30"/>
  <c r="AO21" i="30"/>
  <c r="AS21" i="30"/>
  <c r="A22" i="30"/>
  <c r="E22" i="30"/>
  <c r="I22" i="30"/>
  <c r="M22" i="30"/>
  <c r="Q22" i="30"/>
  <c r="U22" i="30"/>
  <c r="Y22" i="30"/>
  <c r="AC22" i="30"/>
  <c r="AG22" i="30"/>
  <c r="AK22" i="30"/>
  <c r="AO22" i="30"/>
  <c r="AS22" i="30"/>
  <c r="A23" i="30"/>
  <c r="E23" i="30"/>
  <c r="I23" i="30"/>
  <c r="M23" i="30"/>
  <c r="Q23" i="30"/>
  <c r="U23" i="30"/>
  <c r="Y23" i="30"/>
  <c r="AC23" i="30"/>
  <c r="AG23" i="30"/>
  <c r="AK23" i="30"/>
  <c r="AO23" i="30"/>
  <c r="AS23" i="30"/>
  <c r="A24" i="30"/>
  <c r="E24" i="30"/>
  <c r="I24" i="30"/>
  <c r="M24" i="30"/>
  <c r="Q24" i="30"/>
  <c r="U24" i="30"/>
  <c r="Y24" i="30"/>
  <c r="AC24" i="30"/>
  <c r="AG24" i="30"/>
  <c r="AK24" i="30"/>
  <c r="AO24" i="30"/>
  <c r="AS24" i="30"/>
  <c r="A25" i="30"/>
  <c r="E25" i="30"/>
  <c r="I25" i="30"/>
  <c r="M25" i="30"/>
  <c r="Q25" i="30"/>
  <c r="U25" i="30"/>
  <c r="Y25" i="30"/>
  <c r="AC25" i="30"/>
  <c r="AG25" i="30"/>
  <c r="AK25" i="30"/>
  <c r="AO25" i="30"/>
  <c r="AS25" i="30"/>
  <c r="A26" i="30"/>
  <c r="E26" i="30"/>
  <c r="I26" i="30"/>
  <c r="M26" i="30"/>
  <c r="Q26" i="30"/>
  <c r="U26" i="30"/>
  <c r="Y26" i="30"/>
  <c r="AC26" i="30"/>
  <c r="AG26" i="30"/>
  <c r="AK26" i="30"/>
  <c r="AO26" i="30"/>
  <c r="AS26" i="30"/>
  <c r="A27" i="30"/>
  <c r="E27" i="30"/>
  <c r="I27" i="30"/>
  <c r="M27" i="30"/>
  <c r="Q27" i="30"/>
  <c r="U27" i="30"/>
  <c r="Y27" i="30"/>
  <c r="AC27" i="30"/>
  <c r="AG27" i="30"/>
  <c r="AK27" i="30"/>
  <c r="AO27" i="30"/>
  <c r="AS27" i="30"/>
  <c r="A28" i="30"/>
  <c r="E28" i="30"/>
  <c r="I28" i="30"/>
  <c r="M28" i="30"/>
  <c r="Q28" i="30"/>
  <c r="U28" i="30"/>
  <c r="Y28" i="30"/>
  <c r="AC28" i="30"/>
  <c r="AG28" i="30"/>
  <c r="AK28" i="30"/>
  <c r="AO28" i="30"/>
  <c r="AS28" i="30"/>
  <c r="A29" i="30"/>
  <c r="E29" i="30"/>
  <c r="I29" i="30"/>
  <c r="M29" i="30"/>
  <c r="Q29" i="30"/>
  <c r="U29" i="30"/>
  <c r="Y29" i="30"/>
  <c r="AC29" i="30"/>
  <c r="AG29" i="30"/>
  <c r="AK29" i="30"/>
  <c r="AO29" i="30"/>
  <c r="AS29" i="30"/>
  <c r="A30" i="30"/>
  <c r="E30" i="30"/>
  <c r="I30" i="30"/>
  <c r="M30" i="30"/>
  <c r="Q30" i="30"/>
  <c r="U30" i="30"/>
  <c r="Y30" i="30"/>
  <c r="AC30" i="30"/>
  <c r="AG30" i="30"/>
  <c r="AK30" i="30"/>
  <c r="AO30" i="30"/>
  <c r="AS30" i="30"/>
  <c r="A31" i="30"/>
  <c r="E31" i="30"/>
  <c r="I31" i="30"/>
  <c r="M31" i="30"/>
  <c r="Q31" i="30"/>
  <c r="U31" i="30"/>
  <c r="Y31" i="30"/>
  <c r="AC31" i="30"/>
  <c r="AG31" i="30"/>
  <c r="AK31" i="30"/>
  <c r="AO31" i="30"/>
  <c r="AS31" i="30"/>
  <c r="A32" i="30"/>
  <c r="E32" i="30"/>
  <c r="I32" i="30"/>
  <c r="M32" i="30"/>
  <c r="Q32" i="30"/>
  <c r="U32" i="30"/>
  <c r="Y32" i="30"/>
  <c r="AC32" i="30"/>
  <c r="AG32" i="30"/>
  <c r="AK32" i="30"/>
  <c r="AO32" i="30"/>
  <c r="AS32" i="30"/>
  <c r="A33" i="30"/>
  <c r="E33" i="30"/>
  <c r="I33" i="30"/>
  <c r="M33" i="30"/>
  <c r="Q33" i="30"/>
  <c r="U33" i="30"/>
  <c r="Y33" i="30"/>
  <c r="AC33" i="30"/>
  <c r="AG33" i="30"/>
  <c r="AK33" i="30"/>
  <c r="AO33" i="30"/>
  <c r="AS33" i="30"/>
  <c r="A34" i="30"/>
  <c r="E34" i="30"/>
  <c r="I34" i="30"/>
  <c r="M34" i="30"/>
  <c r="Q34" i="30"/>
  <c r="U34" i="30"/>
  <c r="Y34" i="30"/>
  <c r="AC34" i="30"/>
  <c r="AG34" i="30"/>
  <c r="AK34" i="30"/>
  <c r="AO34" i="30"/>
  <c r="AS34" i="30"/>
  <c r="A35" i="30"/>
  <c r="E35" i="30"/>
  <c r="I35" i="30"/>
  <c r="M35" i="30"/>
  <c r="Q35" i="30"/>
  <c r="U35" i="30"/>
  <c r="Y35" i="30"/>
  <c r="AC35" i="30"/>
  <c r="AG35" i="30"/>
  <c r="AK35" i="30"/>
  <c r="AO35" i="30"/>
  <c r="AS35" i="30"/>
  <c r="A36" i="30"/>
  <c r="E36" i="30"/>
  <c r="I36" i="30"/>
  <c r="M36" i="30"/>
  <c r="Q36" i="30"/>
  <c r="U36" i="30"/>
  <c r="Y36" i="30"/>
  <c r="AC36" i="30"/>
  <c r="AG36" i="30"/>
  <c r="AK36" i="30"/>
  <c r="AO36" i="30"/>
  <c r="AS36" i="30"/>
  <c r="A37" i="30"/>
  <c r="E37" i="30"/>
  <c r="I37" i="30"/>
  <c r="M37" i="30"/>
  <c r="Q37" i="30"/>
  <c r="U37" i="30"/>
  <c r="Y37" i="30"/>
  <c r="AC37" i="30"/>
  <c r="AG37" i="30"/>
  <c r="AK37" i="30"/>
  <c r="AO37" i="30"/>
  <c r="AS37" i="30"/>
  <c r="A38" i="30"/>
  <c r="E38" i="30"/>
  <c r="I38" i="30"/>
  <c r="M38" i="30"/>
  <c r="Q38" i="30"/>
  <c r="U38" i="30"/>
  <c r="Y38" i="30"/>
  <c r="AC38" i="30"/>
  <c r="AG38" i="30"/>
  <c r="AK38" i="30"/>
  <c r="AO38" i="30"/>
  <c r="AS38" i="30"/>
  <c r="A39" i="30"/>
  <c r="E39" i="30"/>
  <c r="I39" i="30"/>
  <c r="M39" i="30"/>
  <c r="Q39" i="30"/>
  <c r="U39" i="30"/>
  <c r="Y39" i="30"/>
  <c r="AC39" i="30"/>
  <c r="AG39" i="30"/>
  <c r="AK39" i="30"/>
  <c r="AO39" i="30"/>
  <c r="AS39" i="30"/>
  <c r="A40" i="30"/>
  <c r="E40" i="30"/>
  <c r="I40" i="30"/>
  <c r="M40" i="30"/>
  <c r="Q40" i="30"/>
  <c r="U40" i="30"/>
  <c r="Y40" i="30"/>
  <c r="AC40" i="30"/>
  <c r="AG40" i="30"/>
  <c r="AK40" i="30"/>
  <c r="AO40" i="30"/>
  <c r="AS40" i="30"/>
  <c r="A41" i="30"/>
  <c r="E41" i="30"/>
  <c r="I41" i="30"/>
  <c r="M41" i="30"/>
  <c r="Q41" i="30"/>
  <c r="U41" i="30"/>
  <c r="Y41" i="30"/>
  <c r="AC41" i="30"/>
  <c r="AG41" i="30"/>
  <c r="AK41" i="30"/>
  <c r="AO41" i="30"/>
  <c r="AS41" i="30"/>
  <c r="A42" i="30"/>
  <c r="E42" i="30"/>
  <c r="I42" i="30"/>
  <c r="M42" i="30"/>
  <c r="Q42" i="30"/>
  <c r="U42" i="30"/>
  <c r="Y42" i="30"/>
  <c r="AC42" i="30"/>
  <c r="AG42" i="30"/>
  <c r="AK42" i="30"/>
  <c r="AO42" i="30"/>
  <c r="AS42" i="30"/>
  <c r="A43" i="30"/>
  <c r="E43" i="30"/>
  <c r="I43" i="30"/>
  <c r="M43" i="30"/>
  <c r="Q43" i="30"/>
  <c r="U43" i="30"/>
  <c r="Y43" i="30"/>
  <c r="AC43" i="30"/>
  <c r="AG43" i="30"/>
  <c r="AK43" i="30"/>
  <c r="AO43" i="30"/>
  <c r="AS43" i="30"/>
  <c r="A44" i="30"/>
  <c r="E44" i="30"/>
  <c r="I44" i="30"/>
  <c r="M44" i="30"/>
  <c r="Q44" i="30"/>
  <c r="U44" i="30"/>
  <c r="Y44" i="30"/>
  <c r="AC44" i="30"/>
  <c r="AG44" i="30"/>
  <c r="AK44" i="30"/>
  <c r="AO44" i="30"/>
  <c r="AS44" i="30"/>
  <c r="A45" i="30"/>
  <c r="E45" i="30"/>
  <c r="I45" i="30"/>
  <c r="M45" i="30"/>
  <c r="Q45" i="30"/>
  <c r="U45" i="30"/>
  <c r="Y45" i="30"/>
  <c r="AC45" i="30"/>
  <c r="AG45" i="30"/>
  <c r="AK45" i="30"/>
  <c r="AO45" i="30"/>
  <c r="AS45" i="30"/>
  <c r="A46" i="30"/>
  <c r="E46" i="30"/>
  <c r="I46" i="30"/>
  <c r="M46" i="30"/>
  <c r="Q46" i="30"/>
  <c r="U46" i="30"/>
  <c r="Y46" i="30"/>
  <c r="AC46" i="30"/>
  <c r="AG46" i="30"/>
  <c r="AK46" i="30"/>
  <c r="AO46" i="30"/>
  <c r="AS46" i="30"/>
  <c r="A47" i="30"/>
  <c r="E47" i="30"/>
  <c r="I47" i="30"/>
  <c r="M47" i="30"/>
  <c r="Q47" i="30"/>
  <c r="U47" i="30"/>
  <c r="Y47" i="30"/>
  <c r="AC47" i="30"/>
  <c r="AG47" i="30"/>
  <c r="AK47" i="30"/>
  <c r="AO47" i="30"/>
  <c r="AS47" i="30"/>
  <c r="A48" i="30"/>
  <c r="E48" i="30"/>
  <c r="I48" i="30"/>
  <c r="M48" i="30"/>
  <c r="Q48" i="30"/>
  <c r="U48" i="30"/>
  <c r="Y48" i="30"/>
  <c r="AC48" i="30"/>
  <c r="AG48" i="30"/>
  <c r="AK48" i="30"/>
  <c r="AO48" i="30"/>
  <c r="AS48" i="30"/>
  <c r="A49" i="30"/>
  <c r="E49" i="30"/>
  <c r="I49" i="30"/>
  <c r="M49" i="30"/>
  <c r="Q49" i="30"/>
  <c r="U49" i="30"/>
  <c r="Y49" i="30"/>
  <c r="AC49" i="30"/>
  <c r="AG49" i="30"/>
  <c r="AK49" i="30"/>
  <c r="AO49" i="30"/>
  <c r="AS49" i="30"/>
  <c r="A50" i="30"/>
  <c r="E50" i="30"/>
  <c r="I50" i="30"/>
  <c r="M50" i="30"/>
  <c r="Q50" i="30"/>
  <c r="U50" i="30"/>
  <c r="Y50" i="30"/>
  <c r="AC50" i="30"/>
  <c r="AG50" i="30"/>
  <c r="AK50" i="30"/>
  <c r="AO50" i="30"/>
  <c r="AS50" i="30"/>
  <c r="A51" i="30"/>
  <c r="E51" i="30"/>
  <c r="I51" i="30"/>
  <c r="M51" i="30"/>
  <c r="Q51" i="30"/>
  <c r="U51" i="30"/>
  <c r="Y51" i="30"/>
  <c r="AC51" i="30"/>
  <c r="AG51" i="30"/>
  <c r="AK51" i="30"/>
  <c r="AO51" i="30"/>
  <c r="AS51" i="30"/>
  <c r="A52" i="30"/>
  <c r="E52" i="30"/>
  <c r="I52" i="30"/>
  <c r="M52" i="30"/>
  <c r="Q52" i="30"/>
  <c r="U52" i="30"/>
  <c r="Y52" i="30"/>
  <c r="AC52" i="30"/>
  <c r="AG52" i="30"/>
  <c r="AK52" i="30"/>
  <c r="AO52" i="30"/>
  <c r="AS52" i="30"/>
  <c r="A53" i="30"/>
  <c r="E53" i="30"/>
  <c r="I53" i="30"/>
  <c r="M53" i="30"/>
  <c r="Q53" i="30"/>
  <c r="U53" i="30"/>
  <c r="Y53" i="30"/>
  <c r="AC53" i="30"/>
  <c r="AG53" i="30"/>
  <c r="AK53" i="30"/>
  <c r="AO53" i="30"/>
  <c r="AS53" i="30"/>
  <c r="A54" i="30"/>
  <c r="E54" i="30"/>
  <c r="I54" i="30"/>
  <c r="M54" i="30"/>
  <c r="Q54" i="30"/>
  <c r="U54" i="30"/>
  <c r="Y54" i="30"/>
  <c r="AC54" i="30"/>
  <c r="AG54" i="30"/>
  <c r="AK54" i="30"/>
  <c r="AO54" i="30"/>
  <c r="AS54" i="30"/>
  <c r="A55" i="30"/>
  <c r="E55" i="30"/>
  <c r="I55" i="30"/>
  <c r="M55" i="30"/>
  <c r="Q55" i="30"/>
  <c r="U55" i="30"/>
  <c r="Y55" i="30"/>
  <c r="AC55" i="30"/>
  <c r="AG55" i="30"/>
  <c r="AK55" i="30"/>
  <c r="AO55" i="30"/>
  <c r="AS55" i="30"/>
  <c r="A56" i="30"/>
  <c r="E56" i="30"/>
  <c r="I56" i="30"/>
  <c r="M56" i="30"/>
  <c r="Q56" i="30"/>
  <c r="U56" i="30"/>
  <c r="Y56" i="30"/>
  <c r="AC56" i="30"/>
  <c r="AG56" i="30"/>
  <c r="AK56" i="30"/>
  <c r="AO56" i="30"/>
  <c r="AS56" i="30"/>
  <c r="A57" i="30"/>
  <c r="E57" i="30"/>
  <c r="I57" i="30"/>
  <c r="M57" i="30"/>
  <c r="Q57" i="30"/>
  <c r="U57" i="30"/>
  <c r="Y57" i="30"/>
  <c r="AC57" i="30"/>
  <c r="AG57" i="30"/>
  <c r="AK57" i="30"/>
  <c r="AO57" i="30"/>
  <c r="AS57" i="30"/>
  <c r="A58" i="30"/>
  <c r="E58" i="30"/>
  <c r="I58" i="30"/>
  <c r="M58" i="30"/>
  <c r="Q58" i="30"/>
  <c r="U58" i="30"/>
  <c r="Y58" i="30"/>
  <c r="AC58" i="30"/>
  <c r="AG58" i="30"/>
  <c r="AK58" i="30"/>
  <c r="AO58" i="30"/>
  <c r="AS58" i="30"/>
  <c r="A59" i="30"/>
  <c r="E59" i="30"/>
  <c r="I59" i="30"/>
  <c r="M59" i="30"/>
  <c r="Q59" i="30"/>
  <c r="U59" i="30"/>
  <c r="Y59" i="30"/>
  <c r="AC59" i="30"/>
  <c r="AG59" i="30"/>
  <c r="AK59" i="30"/>
  <c r="AO59" i="30"/>
  <c r="AS59" i="30"/>
  <c r="A60" i="30"/>
  <c r="E60" i="30"/>
  <c r="I60" i="30"/>
  <c r="M60" i="30"/>
  <c r="Q60" i="30"/>
  <c r="U60" i="30"/>
  <c r="Y60" i="30"/>
  <c r="AC60" i="30"/>
  <c r="AG60" i="30"/>
  <c r="AK60" i="30"/>
  <c r="AO60" i="30"/>
  <c r="AS60" i="30"/>
  <c r="A61" i="30"/>
  <c r="E61" i="30"/>
  <c r="I61" i="30"/>
  <c r="M61" i="30"/>
  <c r="Q61" i="30"/>
  <c r="U61" i="30"/>
  <c r="Y61" i="30"/>
  <c r="AC61" i="30"/>
  <c r="AG61" i="30"/>
  <c r="AK61" i="30"/>
  <c r="AO61" i="30"/>
  <c r="AS61" i="30"/>
  <c r="A62" i="30"/>
  <c r="E62" i="30"/>
  <c r="I62" i="30"/>
  <c r="M62" i="30"/>
  <c r="Q62" i="30"/>
  <c r="U62" i="30"/>
  <c r="Y62" i="30"/>
  <c r="AC62" i="30"/>
  <c r="AG62" i="30"/>
  <c r="AK62" i="30"/>
  <c r="AO62" i="30"/>
  <c r="AS62" i="30"/>
  <c r="A63" i="30"/>
  <c r="E63" i="30"/>
  <c r="I63" i="30"/>
  <c r="M63" i="30"/>
  <c r="Q63" i="30"/>
  <c r="U63" i="30"/>
  <c r="Y63" i="30"/>
  <c r="AC63" i="30"/>
  <c r="AG63" i="30"/>
  <c r="AK63" i="30"/>
  <c r="AO63" i="30"/>
  <c r="AS63" i="30"/>
  <c r="A64" i="30"/>
  <c r="E64" i="30"/>
  <c r="I64" i="30"/>
  <c r="M64" i="30"/>
  <c r="Q64" i="30"/>
  <c r="U64" i="30"/>
  <c r="Y64" i="30"/>
  <c r="AC64" i="30"/>
  <c r="AG64" i="30"/>
  <c r="AK64" i="30"/>
  <c r="AO64" i="30"/>
  <c r="AS64" i="30"/>
  <c r="A65" i="30"/>
  <c r="E65" i="30"/>
  <c r="I65" i="30"/>
  <c r="M65" i="30"/>
  <c r="Q65" i="30"/>
  <c r="U65" i="30"/>
  <c r="Y65" i="30"/>
  <c r="AC65" i="30"/>
  <c r="AG65" i="30"/>
  <c r="AK65" i="30"/>
  <c r="AO65" i="30"/>
  <c r="AS65" i="30"/>
  <c r="A66" i="30"/>
  <c r="E66" i="30"/>
  <c r="I66" i="30"/>
  <c r="M66" i="30"/>
  <c r="Q66" i="30"/>
  <c r="U66" i="30"/>
  <c r="Y66" i="30"/>
  <c r="AC66" i="30"/>
  <c r="AG66" i="30"/>
  <c r="AK66" i="30"/>
  <c r="AO66" i="30"/>
  <c r="AS66" i="30"/>
  <c r="A67" i="30"/>
  <c r="E67" i="30"/>
  <c r="I67" i="30"/>
  <c r="M67" i="30"/>
  <c r="Q67" i="30"/>
  <c r="U67" i="30"/>
  <c r="Y67" i="30"/>
  <c r="AC67" i="30"/>
  <c r="AG67" i="30"/>
  <c r="AK67" i="30"/>
  <c r="AO67" i="30"/>
  <c r="AS67" i="30"/>
  <c r="A68" i="30"/>
  <c r="E68" i="30"/>
  <c r="I68" i="30"/>
  <c r="M68" i="30"/>
  <c r="Q68" i="30"/>
  <c r="U68" i="30"/>
  <c r="Y68" i="30"/>
  <c r="AC68" i="30"/>
  <c r="AG68" i="30"/>
  <c r="AK68" i="30"/>
  <c r="AO68" i="30"/>
  <c r="AS68" i="30"/>
  <c r="A69" i="30"/>
  <c r="E69" i="30"/>
  <c r="I69" i="30"/>
  <c r="M69" i="30"/>
  <c r="Q69" i="30"/>
  <c r="U69" i="30"/>
  <c r="Y69" i="30"/>
  <c r="AC69" i="30"/>
  <c r="AG69" i="30"/>
  <c r="AK69" i="30"/>
  <c r="AO69" i="30"/>
  <c r="AS69" i="30"/>
  <c r="A70" i="30"/>
  <c r="E70" i="30"/>
  <c r="I70" i="30"/>
  <c r="M70" i="30"/>
  <c r="Q70" i="30"/>
  <c r="U70" i="30"/>
  <c r="Y70" i="30"/>
  <c r="AC70" i="30"/>
  <c r="AG70" i="30"/>
  <c r="AK70" i="30"/>
  <c r="AO70" i="30"/>
  <c r="AS70" i="30"/>
  <c r="A71" i="30"/>
  <c r="E71" i="30"/>
  <c r="I71" i="30"/>
  <c r="M71" i="30"/>
  <c r="Q71" i="30"/>
  <c r="U71" i="30"/>
  <c r="Y71" i="30"/>
  <c r="AC71" i="30"/>
  <c r="AG71" i="30"/>
  <c r="AK71" i="30"/>
  <c r="AO71" i="30"/>
  <c r="AS71" i="30"/>
  <c r="A72" i="30"/>
  <c r="E72" i="30"/>
  <c r="I72" i="30"/>
  <c r="M72" i="30"/>
  <c r="Q72" i="30"/>
  <c r="U72" i="30"/>
  <c r="Y72" i="30"/>
  <c r="AC72" i="30"/>
  <c r="AG72" i="30"/>
  <c r="AK72" i="30"/>
  <c r="AO72" i="30"/>
  <c r="AS72" i="30"/>
  <c r="A73" i="30"/>
  <c r="E73" i="30"/>
  <c r="I73" i="30"/>
  <c r="M73" i="30"/>
  <c r="Q73" i="30"/>
  <c r="U73" i="30"/>
  <c r="Y73" i="30"/>
  <c r="AC73" i="30"/>
  <c r="AG73" i="30"/>
  <c r="AK73" i="30"/>
  <c r="AO73" i="30"/>
  <c r="AS73" i="30"/>
  <c r="A74" i="30"/>
  <c r="E74" i="30"/>
  <c r="I74" i="30"/>
  <c r="M74" i="30"/>
  <c r="Q74" i="30"/>
  <c r="U74" i="30"/>
  <c r="Y74" i="30"/>
  <c r="AC74" i="30"/>
  <c r="AG74" i="30"/>
  <c r="AK74" i="30"/>
  <c r="AO74" i="30"/>
  <c r="AS74" i="30"/>
  <c r="A75" i="30"/>
  <c r="E75" i="30"/>
  <c r="I75" i="30"/>
  <c r="M75" i="30"/>
  <c r="Q75" i="30"/>
  <c r="U75" i="30"/>
  <c r="Y75" i="30"/>
  <c r="AC75" i="30"/>
  <c r="AG75" i="30"/>
  <c r="AK75" i="30"/>
  <c r="AO75" i="30"/>
  <c r="AS75" i="30"/>
  <c r="A76" i="30"/>
  <c r="E76" i="30"/>
  <c r="I76" i="30"/>
  <c r="M76" i="30"/>
  <c r="Q76" i="30"/>
  <c r="U76" i="30"/>
  <c r="Y76" i="30"/>
  <c r="AC76" i="30"/>
  <c r="AG76" i="30"/>
  <c r="AK76" i="30"/>
  <c r="AO76" i="30"/>
  <c r="AS76" i="30"/>
  <c r="A77" i="30"/>
  <c r="E77" i="30"/>
  <c r="I77" i="30"/>
  <c r="M77" i="30"/>
  <c r="Q77" i="30"/>
  <c r="U77" i="30"/>
  <c r="Y77" i="30"/>
  <c r="AC77" i="30"/>
  <c r="AG77" i="30"/>
  <c r="AK77" i="30"/>
  <c r="AO77" i="30"/>
  <c r="AS77" i="30"/>
  <c r="A78" i="30"/>
  <c r="E78" i="30"/>
  <c r="I78" i="30"/>
  <c r="M78" i="30"/>
  <c r="Q78" i="30"/>
  <c r="U78" i="30"/>
  <c r="Y78" i="30"/>
  <c r="AC78" i="30"/>
  <c r="AG78" i="30"/>
  <c r="AK78" i="30"/>
  <c r="AO78" i="30"/>
  <c r="AS78" i="30"/>
  <c r="A79" i="30"/>
  <c r="E79" i="30"/>
  <c r="I79" i="30"/>
  <c r="M79" i="30"/>
  <c r="Q79" i="30"/>
  <c r="U79" i="30"/>
  <c r="Y79" i="30"/>
  <c r="AC79" i="30"/>
  <c r="AG79" i="30"/>
  <c r="AK79" i="30"/>
  <c r="AO79" i="30"/>
  <c r="AS79" i="30"/>
  <c r="A80" i="30"/>
  <c r="E80" i="30"/>
  <c r="I80" i="30"/>
  <c r="M80" i="30"/>
  <c r="Q80" i="30"/>
  <c r="U80" i="30"/>
  <c r="Y80" i="30"/>
  <c r="AC80" i="30"/>
  <c r="AG80" i="30"/>
  <c r="AK80" i="30"/>
  <c r="AO80" i="30"/>
  <c r="AS80" i="30"/>
  <c r="A81" i="30"/>
  <c r="E81" i="30"/>
  <c r="I81" i="30"/>
  <c r="M81" i="30"/>
  <c r="Q81" i="30"/>
  <c r="U81" i="30"/>
  <c r="Y81" i="30"/>
  <c r="AC81" i="30"/>
  <c r="AG81" i="30"/>
  <c r="AK81" i="30"/>
  <c r="AO81" i="30"/>
  <c r="AS81" i="30"/>
  <c r="A82" i="30"/>
  <c r="E82" i="30"/>
  <c r="I82" i="30"/>
  <c r="M82" i="30"/>
  <c r="Q82" i="30"/>
  <c r="U82" i="30"/>
  <c r="Y82" i="30"/>
  <c r="AC82" i="30"/>
  <c r="AG82" i="30"/>
  <c r="AK82" i="30"/>
  <c r="AO82" i="30"/>
  <c r="AS82" i="30"/>
  <c r="A83" i="30"/>
  <c r="E83" i="30"/>
  <c r="I83" i="30"/>
  <c r="M83" i="30"/>
  <c r="Q83" i="30"/>
  <c r="U83" i="30"/>
  <c r="Y83" i="30"/>
  <c r="AC83" i="30"/>
  <c r="AG83" i="30"/>
  <c r="AK83" i="30"/>
  <c r="AO83" i="30"/>
  <c r="AS83" i="30"/>
  <c r="A84" i="30"/>
  <c r="E84" i="30"/>
  <c r="I84" i="30"/>
  <c r="M84" i="30"/>
  <c r="Q84" i="30"/>
  <c r="U84" i="30"/>
  <c r="Y84" i="30"/>
  <c r="AC84" i="30"/>
  <c r="AG84" i="30"/>
  <c r="AK84" i="30"/>
  <c r="AO84" i="30"/>
  <c r="AS84" i="30"/>
  <c r="A85" i="30"/>
  <c r="E85" i="30"/>
  <c r="I85" i="30"/>
  <c r="M85" i="30"/>
  <c r="Q85" i="30"/>
  <c r="U85" i="30"/>
  <c r="Y85" i="30"/>
  <c r="AC85" i="30"/>
  <c r="AG85" i="30"/>
  <c r="AK85" i="30"/>
  <c r="AO85" i="30"/>
  <c r="AS85" i="30"/>
  <c r="A86" i="30"/>
  <c r="E86" i="30"/>
  <c r="I86" i="30"/>
  <c r="M86" i="30"/>
  <c r="Q86" i="30"/>
  <c r="U86" i="30"/>
  <c r="Y86" i="30"/>
  <c r="AC86" i="30"/>
  <c r="AG86" i="30"/>
  <c r="AK86" i="30"/>
  <c r="AO86" i="30"/>
  <c r="AS86" i="30"/>
  <c r="A87" i="30"/>
  <c r="E87" i="30"/>
  <c r="I87" i="30"/>
  <c r="M87" i="30"/>
  <c r="Q87" i="30"/>
  <c r="U87" i="30"/>
  <c r="Y87" i="30"/>
  <c r="AC87" i="30"/>
  <c r="AG87" i="30"/>
  <c r="AK87" i="30"/>
  <c r="AO87" i="30"/>
  <c r="AS87" i="30"/>
  <c r="A88" i="30"/>
  <c r="E88" i="30"/>
  <c r="I88" i="30"/>
  <c r="M88" i="30"/>
  <c r="Q88" i="30"/>
  <c r="U88" i="30"/>
  <c r="Y88" i="30"/>
  <c r="AC88" i="30"/>
  <c r="AG88" i="30"/>
  <c r="AK88" i="30"/>
  <c r="AO88" i="30"/>
  <c r="AS88" i="30"/>
  <c r="A89" i="30"/>
  <c r="E89" i="30"/>
  <c r="I89" i="30"/>
  <c r="M89" i="30"/>
  <c r="Q89" i="30"/>
  <c r="U89" i="30"/>
  <c r="Y89" i="30"/>
  <c r="AC89" i="30"/>
  <c r="AG89" i="30"/>
  <c r="AK89" i="30"/>
  <c r="AO89" i="30"/>
  <c r="AS89" i="30"/>
  <c r="A90" i="30"/>
  <c r="E90" i="30"/>
  <c r="I90" i="30"/>
  <c r="M90" i="30"/>
  <c r="Q90" i="30"/>
  <c r="U90" i="30"/>
  <c r="Y90" i="30"/>
  <c r="AC90" i="30"/>
  <c r="AG90" i="30"/>
  <c r="AK90" i="30"/>
  <c r="AO90" i="30"/>
  <c r="AS90" i="30"/>
  <c r="A91" i="30"/>
  <c r="E91" i="30"/>
  <c r="I91" i="30"/>
  <c r="M91" i="30"/>
  <c r="Q91" i="30"/>
  <c r="U91" i="30"/>
  <c r="Y91" i="30"/>
  <c r="AC91" i="30"/>
  <c r="AG91" i="30"/>
  <c r="AK91" i="30"/>
  <c r="AO91" i="30"/>
  <c r="AS91" i="30"/>
  <c r="A92" i="30"/>
  <c r="E92" i="30"/>
  <c r="I92" i="30"/>
  <c r="M92" i="30"/>
  <c r="Q92" i="30"/>
  <c r="U92" i="30"/>
  <c r="Y92" i="30"/>
  <c r="AC92" i="30"/>
  <c r="AG92" i="30"/>
  <c r="AK92" i="30"/>
  <c r="AO92" i="30"/>
  <c r="AS92" i="30"/>
  <c r="A93" i="30"/>
  <c r="E93" i="30"/>
  <c r="I93" i="30"/>
  <c r="M93" i="30"/>
  <c r="Q93" i="30"/>
  <c r="U93" i="30"/>
  <c r="Y93" i="30"/>
  <c r="AC93" i="30"/>
  <c r="AG93" i="30"/>
  <c r="AK93" i="30"/>
  <c r="AO93" i="30"/>
  <c r="AS93" i="30"/>
  <c r="A94" i="30"/>
  <c r="E94" i="30"/>
  <c r="I94" i="30"/>
  <c r="M94" i="30"/>
  <c r="Q94" i="30"/>
  <c r="U94" i="30"/>
  <c r="Y94" i="30"/>
  <c r="AC94" i="30"/>
  <c r="AG94" i="30"/>
  <c r="AK94" i="30"/>
  <c r="AO94" i="30"/>
  <c r="AS94" i="30"/>
  <c r="A95" i="30"/>
  <c r="E95" i="30"/>
  <c r="I95" i="30"/>
  <c r="M95" i="30"/>
  <c r="Q95" i="30"/>
  <c r="U95" i="30"/>
  <c r="Y95" i="30"/>
  <c r="AC95" i="30"/>
  <c r="AG95" i="30"/>
  <c r="AK95" i="30"/>
  <c r="AO95" i="30"/>
  <c r="AS95" i="30"/>
  <c r="A96" i="30"/>
  <c r="E96" i="30"/>
  <c r="I96" i="30"/>
  <c r="M96" i="30"/>
  <c r="Q96" i="30"/>
  <c r="U96" i="30"/>
  <c r="Y96" i="30"/>
  <c r="AC96" i="30"/>
  <c r="AG96" i="30"/>
  <c r="AK96" i="30"/>
  <c r="AO96" i="30"/>
  <c r="AS96" i="30"/>
  <c r="A97" i="30"/>
  <c r="E97" i="30"/>
  <c r="I97" i="30"/>
  <c r="M97" i="30"/>
  <c r="Q97" i="30"/>
  <c r="U97" i="30"/>
  <c r="Y97" i="30"/>
  <c r="AC97" i="30"/>
  <c r="AG97" i="30"/>
  <c r="AK97" i="30"/>
  <c r="AO97" i="30"/>
  <c r="AS97" i="30"/>
  <c r="A98" i="30"/>
  <c r="E98" i="30"/>
  <c r="I98" i="30"/>
  <c r="M98" i="30"/>
  <c r="Q98" i="30"/>
  <c r="U98" i="30"/>
  <c r="Y98" i="30"/>
  <c r="AC98" i="30"/>
  <c r="AG98" i="30"/>
  <c r="AK98" i="30"/>
  <c r="AO98" i="30"/>
  <c r="AS98" i="30"/>
  <c r="A99" i="30"/>
  <c r="E99" i="30"/>
  <c r="I99" i="30"/>
  <c r="M99" i="30"/>
  <c r="Q99" i="30"/>
  <c r="U99" i="30"/>
  <c r="Y99" i="30"/>
  <c r="AC99" i="30"/>
  <c r="AG99" i="30"/>
  <c r="AK99" i="30"/>
  <c r="AO99" i="30"/>
  <c r="AS99" i="30"/>
  <c r="A100" i="30"/>
  <c r="E100" i="30"/>
  <c r="I100" i="30"/>
  <c r="M100" i="30"/>
  <c r="Q100" i="30"/>
  <c r="U100" i="30"/>
  <c r="Y100" i="30"/>
  <c r="AC100" i="30"/>
  <c r="AG100" i="30"/>
  <c r="AK100" i="30"/>
  <c r="AO100" i="30"/>
  <c r="AS100" i="30"/>
  <c r="A101" i="30"/>
  <c r="E101" i="30"/>
  <c r="I101" i="30"/>
  <c r="M101" i="30"/>
  <c r="Q101" i="30"/>
  <c r="U101" i="30"/>
  <c r="Y101" i="30"/>
  <c r="AC101" i="30"/>
  <c r="AG101" i="30"/>
  <c r="AK101" i="30"/>
  <c r="AO101" i="30"/>
  <c r="AS101" i="30"/>
  <c r="A102" i="30"/>
  <c r="E102" i="30"/>
  <c r="I102" i="30"/>
  <c r="M102" i="30"/>
  <c r="Q102" i="30"/>
  <c r="U102" i="30"/>
  <c r="Y102" i="30"/>
  <c r="AC102" i="30"/>
  <c r="AG102" i="30"/>
  <c r="AK102" i="30"/>
  <c r="AO102" i="30"/>
  <c r="AS102" i="30"/>
  <c r="A103" i="30"/>
  <c r="E103" i="30"/>
  <c r="I103" i="30"/>
  <c r="M103" i="30"/>
  <c r="Q103" i="30"/>
  <c r="U103" i="30"/>
  <c r="Y103" i="30"/>
  <c r="AC103" i="30"/>
  <c r="AG103" i="30"/>
  <c r="AK103" i="30"/>
  <c r="AO103" i="30"/>
  <c r="AS103" i="30"/>
  <c r="A104" i="30"/>
  <c r="E104" i="30"/>
  <c r="I104" i="30"/>
  <c r="M104" i="30"/>
  <c r="Q104" i="30"/>
  <c r="U104" i="30"/>
  <c r="Y104" i="30"/>
  <c r="AC104" i="30"/>
  <c r="AG104" i="30"/>
  <c r="AK104" i="30"/>
  <c r="AO104" i="30"/>
  <c r="AS104" i="30"/>
  <c r="A105" i="30"/>
  <c r="E105" i="30"/>
  <c r="I105" i="30"/>
  <c r="M105" i="30"/>
  <c r="Q105" i="30"/>
  <c r="U105" i="30"/>
  <c r="Y105" i="30"/>
  <c r="AC105" i="30"/>
  <c r="AG105" i="30"/>
  <c r="AK105" i="30"/>
  <c r="AO105" i="30"/>
  <c r="AS105" i="30"/>
  <c r="A106" i="30"/>
  <c r="E106" i="30"/>
  <c r="I106" i="30"/>
  <c r="M106" i="30"/>
  <c r="Q106" i="30"/>
  <c r="U106" i="30"/>
  <c r="Y106" i="30"/>
  <c r="AC106" i="30"/>
  <c r="AG106" i="30"/>
  <c r="AK106" i="30"/>
  <c r="AO106" i="30"/>
  <c r="AS106" i="30"/>
  <c r="A107" i="30"/>
  <c r="E107" i="30"/>
  <c r="I107" i="30"/>
  <c r="M107" i="30"/>
  <c r="Q107" i="30"/>
  <c r="U107" i="30"/>
  <c r="Y107" i="30"/>
  <c r="AC107" i="30"/>
  <c r="AG107" i="30"/>
  <c r="AK107" i="30"/>
  <c r="AO107" i="30"/>
  <c r="AS107" i="30"/>
  <c r="A108" i="30"/>
  <c r="E108" i="30"/>
  <c r="I108" i="30"/>
  <c r="M108" i="30"/>
  <c r="Q108" i="30"/>
  <c r="U108" i="30"/>
  <c r="Y108" i="30"/>
  <c r="AC108" i="30"/>
  <c r="AG108" i="30"/>
  <c r="AK108" i="30"/>
  <c r="AO108" i="30"/>
  <c r="AS108" i="30"/>
  <c r="A109" i="30"/>
  <c r="E109" i="30"/>
  <c r="I109" i="30"/>
  <c r="M109" i="30"/>
  <c r="Q109" i="30"/>
  <c r="U109" i="30"/>
  <c r="Y109" i="30"/>
  <c r="AC109" i="30"/>
  <c r="AG109" i="30"/>
  <c r="AK109" i="30"/>
  <c r="AO109" i="30"/>
  <c r="AS109" i="30"/>
  <c r="A110" i="30"/>
  <c r="E110" i="30"/>
  <c r="I110" i="30"/>
  <c r="M110" i="30"/>
  <c r="Q110" i="30"/>
  <c r="U110" i="30"/>
  <c r="Y110" i="30"/>
  <c r="AC110" i="30"/>
  <c r="AG110" i="30"/>
  <c r="AK110" i="30"/>
  <c r="AO110" i="30"/>
  <c r="AS110" i="30"/>
  <c r="A111" i="30"/>
  <c r="E111" i="30"/>
  <c r="I111" i="30"/>
  <c r="M111" i="30"/>
  <c r="Q111" i="30"/>
  <c r="U111" i="30"/>
  <c r="Y111" i="30"/>
  <c r="AC111" i="30"/>
  <c r="AG111" i="30"/>
  <c r="AK111" i="30"/>
  <c r="AO111" i="30"/>
  <c r="AS111" i="30"/>
  <c r="A112" i="30"/>
  <c r="E112" i="30"/>
  <c r="I112" i="30"/>
  <c r="M112" i="30"/>
  <c r="Q112" i="30"/>
  <c r="U112" i="30"/>
  <c r="Y112" i="30"/>
  <c r="AC112" i="30"/>
  <c r="AG112" i="30"/>
  <c r="AK112" i="30"/>
  <c r="AO112" i="30"/>
  <c r="AS112" i="30"/>
  <c r="A113" i="30"/>
  <c r="E113" i="30"/>
  <c r="I113" i="30"/>
  <c r="M113" i="30"/>
  <c r="Q113" i="30"/>
  <c r="U113" i="30"/>
  <c r="Y113" i="30"/>
  <c r="AC113" i="30"/>
  <c r="AG113" i="30"/>
  <c r="AK113" i="30"/>
  <c r="AO113" i="30"/>
  <c r="AS113" i="30"/>
  <c r="A114" i="30"/>
  <c r="E114" i="30"/>
  <c r="I114" i="30"/>
  <c r="M114" i="30"/>
  <c r="Q114" i="30"/>
  <c r="U114" i="30"/>
  <c r="Y114" i="30"/>
  <c r="AC114" i="30"/>
  <c r="AG114" i="30"/>
  <c r="AK114" i="30"/>
  <c r="AO114" i="30"/>
  <c r="AS114" i="30"/>
  <c r="A115" i="30"/>
  <c r="E115" i="30"/>
  <c r="I115" i="30"/>
  <c r="M115" i="30"/>
  <c r="Q115" i="30"/>
  <c r="U115" i="30"/>
  <c r="Y115" i="30"/>
  <c r="AC115" i="30"/>
  <c r="AG115" i="30"/>
  <c r="AK115" i="30"/>
  <c r="AO115" i="30"/>
  <c r="AS115" i="30"/>
  <c r="A116" i="30"/>
  <c r="E116" i="30"/>
  <c r="I116" i="30"/>
  <c r="M116" i="30"/>
  <c r="Q116" i="30"/>
  <c r="U116" i="30"/>
  <c r="Y116" i="30"/>
  <c r="AC116" i="30"/>
  <c r="AG116" i="30"/>
  <c r="AK116" i="30"/>
  <c r="AO116" i="30"/>
  <c r="AS116" i="30"/>
  <c r="A117" i="30"/>
  <c r="E117" i="30"/>
  <c r="I117" i="30"/>
  <c r="M117" i="30"/>
  <c r="Q117" i="30"/>
  <c r="U117" i="30"/>
  <c r="Y117" i="30"/>
  <c r="AC117" i="30"/>
  <c r="AG117" i="30"/>
  <c r="AK117" i="30"/>
  <c r="AO117" i="30"/>
  <c r="AS117" i="30"/>
  <c r="A118" i="30"/>
  <c r="E118" i="30"/>
  <c r="I118" i="30"/>
  <c r="M118" i="30"/>
  <c r="Q118" i="30"/>
  <c r="U118" i="30"/>
  <c r="Y118" i="30"/>
  <c r="AC118" i="30"/>
  <c r="AG118" i="30"/>
  <c r="AK118" i="30"/>
  <c r="AO118" i="30"/>
  <c r="AS118" i="30"/>
  <c r="A119" i="30"/>
  <c r="E119" i="30"/>
  <c r="I119" i="30"/>
  <c r="M119" i="30"/>
  <c r="Q119" i="30"/>
  <c r="U119" i="30"/>
  <c r="Y119" i="30"/>
  <c r="AC119" i="30"/>
  <c r="AG119" i="30"/>
  <c r="AK119" i="30"/>
  <c r="AO119" i="30"/>
  <c r="AS119" i="30"/>
  <c r="A120" i="30"/>
  <c r="E120" i="30"/>
  <c r="I120" i="30"/>
  <c r="M120" i="30"/>
  <c r="Q120" i="30"/>
  <c r="U120" i="30"/>
  <c r="Y120" i="30"/>
  <c r="AC120" i="30"/>
  <c r="AG120" i="30"/>
  <c r="AK120" i="30"/>
  <c r="AO120" i="30"/>
  <c r="AS120" i="30"/>
  <c r="A121" i="30"/>
  <c r="E121" i="30"/>
  <c r="I121" i="30"/>
  <c r="M121" i="30"/>
  <c r="Q121" i="30"/>
  <c r="U121" i="30"/>
  <c r="Y121" i="30"/>
  <c r="AC121" i="30"/>
  <c r="AG121" i="30"/>
  <c r="AK121" i="30"/>
  <c r="AO121" i="30"/>
  <c r="AS121" i="30"/>
  <c r="A122" i="30"/>
  <c r="E122" i="30"/>
  <c r="I122" i="30"/>
  <c r="M122" i="30"/>
  <c r="Q122" i="30"/>
  <c r="U122" i="30"/>
  <c r="Y122" i="30"/>
  <c r="AC122" i="30"/>
  <c r="AG122" i="30"/>
  <c r="AK122" i="30"/>
  <c r="AO122" i="30"/>
  <c r="AS122" i="30"/>
  <c r="A123" i="30"/>
  <c r="E123" i="30"/>
  <c r="I123" i="30"/>
  <c r="M123" i="30"/>
  <c r="Q123" i="30"/>
  <c r="U123" i="30"/>
  <c r="Y123" i="30"/>
  <c r="AC123" i="30"/>
  <c r="AG123" i="30"/>
  <c r="AK123" i="30"/>
  <c r="AO123" i="30"/>
  <c r="AS123" i="30"/>
  <c r="A124" i="30"/>
  <c r="E124" i="30"/>
  <c r="I124" i="30"/>
  <c r="M124" i="30"/>
  <c r="Q124" i="30"/>
  <c r="U124" i="30"/>
  <c r="Y124" i="30"/>
  <c r="AC124" i="30"/>
  <c r="AG124" i="30"/>
  <c r="AK124" i="30"/>
  <c r="AO124" i="30"/>
  <c r="AS124" i="30"/>
  <c r="A125" i="30"/>
  <c r="E125" i="30"/>
  <c r="I125" i="30"/>
  <c r="M125" i="30"/>
  <c r="Q125" i="30"/>
  <c r="U125" i="30"/>
  <c r="Y125" i="30"/>
  <c r="AC125" i="30"/>
  <c r="AG125" i="30"/>
  <c r="AK125" i="30"/>
  <c r="AO125" i="30"/>
  <c r="AS125" i="30"/>
  <c r="A126" i="30"/>
  <c r="E126" i="30"/>
  <c r="I126" i="30"/>
  <c r="M126" i="30"/>
  <c r="Q126" i="30"/>
  <c r="U126" i="30"/>
  <c r="Y126" i="30"/>
  <c r="AC126" i="30"/>
  <c r="AG126" i="30"/>
  <c r="AK126" i="30"/>
  <c r="AO126" i="30"/>
  <c r="AS126" i="30"/>
  <c r="A127" i="30"/>
  <c r="E127" i="30"/>
  <c r="I127" i="30"/>
  <c r="M127" i="30"/>
  <c r="Q127" i="30"/>
  <c r="U127" i="30"/>
  <c r="Y127" i="30"/>
  <c r="AC127" i="30"/>
  <c r="AG127" i="30"/>
  <c r="AK127" i="30"/>
  <c r="AO127" i="30"/>
  <c r="AS127" i="30"/>
  <c r="A128" i="30"/>
  <c r="E128" i="30"/>
  <c r="I128" i="30"/>
  <c r="M128" i="30"/>
  <c r="Q128" i="30"/>
  <c r="U128" i="30"/>
  <c r="Y128" i="30"/>
  <c r="AC128" i="30"/>
  <c r="AG128" i="30"/>
  <c r="AK128" i="30"/>
  <c r="AO128" i="30"/>
  <c r="AS128" i="30"/>
  <c r="A129" i="30"/>
  <c r="E129" i="30"/>
  <c r="I129" i="30"/>
  <c r="M129" i="30"/>
  <c r="Q129" i="30"/>
  <c r="U129" i="30"/>
  <c r="Y129" i="30"/>
  <c r="AC129" i="30"/>
  <c r="AG129" i="30"/>
  <c r="AK129" i="30"/>
  <c r="AO129" i="30"/>
  <c r="AS129" i="30"/>
  <c r="A130" i="30"/>
  <c r="E130" i="30"/>
  <c r="I130" i="30"/>
  <c r="M130" i="30"/>
  <c r="Q130" i="30"/>
  <c r="U130" i="30"/>
  <c r="Y130" i="30"/>
  <c r="AC130" i="30"/>
  <c r="AG130" i="30"/>
  <c r="AK130" i="30"/>
  <c r="AO130" i="30"/>
  <c r="AS130" i="30"/>
  <c r="A131" i="30"/>
  <c r="E131" i="30"/>
  <c r="I131" i="30"/>
  <c r="M131" i="30"/>
  <c r="Q131" i="30"/>
  <c r="U131" i="30"/>
  <c r="Y131" i="30"/>
  <c r="AC131" i="30"/>
  <c r="AG131" i="30"/>
  <c r="AK131" i="30"/>
  <c r="AO131" i="30"/>
  <c r="AS131" i="30"/>
  <c r="A132" i="30"/>
  <c r="E132" i="30"/>
  <c r="I132" i="30"/>
  <c r="M132" i="30"/>
  <c r="Q132" i="30"/>
  <c r="U132" i="30"/>
  <c r="Y132" i="30"/>
  <c r="AC132" i="30"/>
  <c r="AG132" i="30"/>
  <c r="AK132" i="30"/>
  <c r="AO132" i="30"/>
  <c r="AS132" i="30"/>
  <c r="A133" i="30"/>
  <c r="E133" i="30"/>
  <c r="I133" i="30"/>
  <c r="M133" i="30"/>
  <c r="Q133" i="30"/>
  <c r="U133" i="30"/>
  <c r="Y133" i="30"/>
  <c r="AC133" i="30"/>
  <c r="AG133" i="30"/>
  <c r="AK133" i="30"/>
  <c r="AO133" i="30"/>
  <c r="AS133" i="30"/>
  <c r="A134" i="30"/>
  <c r="E134" i="30"/>
  <c r="I134" i="30"/>
  <c r="M134" i="30"/>
  <c r="Q134" i="30"/>
  <c r="U134" i="30"/>
  <c r="Y134" i="30"/>
  <c r="AC134" i="30"/>
  <c r="AG134" i="30"/>
  <c r="AK134" i="30"/>
  <c r="AO134" i="30"/>
  <c r="AS134" i="30"/>
  <c r="A135" i="30"/>
  <c r="E135" i="30"/>
  <c r="I135" i="30"/>
  <c r="M135" i="30"/>
  <c r="Q135" i="30"/>
  <c r="U135" i="30"/>
  <c r="Y135" i="30"/>
  <c r="AC135" i="30"/>
  <c r="AG135" i="30"/>
  <c r="AK135" i="30"/>
  <c r="AO135" i="30"/>
  <c r="AS135" i="30"/>
  <c r="A136" i="30"/>
  <c r="E136" i="30"/>
  <c r="I136" i="30"/>
  <c r="M136" i="30"/>
  <c r="Q136" i="30"/>
  <c r="U136" i="30"/>
  <c r="Y136" i="30"/>
  <c r="AC136" i="30"/>
  <c r="AG136" i="30"/>
  <c r="AK136" i="30"/>
  <c r="AO136" i="30"/>
  <c r="AS136" i="30"/>
  <c r="A137" i="30"/>
  <c r="E137" i="30"/>
  <c r="I137" i="30"/>
  <c r="M137" i="30"/>
  <c r="Q137" i="30"/>
  <c r="U137" i="30"/>
  <c r="Y137" i="30"/>
  <c r="AC137" i="30"/>
  <c r="AG137" i="30"/>
  <c r="AK137" i="30"/>
  <c r="AO137" i="30"/>
  <c r="AS137" i="30"/>
  <c r="A138" i="30"/>
  <c r="E138" i="30"/>
  <c r="I138" i="30"/>
  <c r="M138" i="30"/>
  <c r="Q138" i="30"/>
  <c r="U138" i="30"/>
  <c r="Y138" i="30"/>
  <c r="AC138" i="30"/>
  <c r="AG138" i="30"/>
  <c r="AK138" i="30"/>
  <c r="AO138" i="30"/>
  <c r="AS138" i="30"/>
  <c r="A139" i="30"/>
  <c r="E139" i="30"/>
  <c r="I139" i="30"/>
  <c r="M139" i="30"/>
  <c r="Q139" i="30"/>
  <c r="U139" i="30"/>
  <c r="Y139" i="30"/>
  <c r="AC139" i="30"/>
  <c r="AG139" i="30"/>
  <c r="AK139" i="30"/>
  <c r="AO139" i="30"/>
  <c r="AS139" i="30"/>
  <c r="A140" i="30"/>
  <c r="E140" i="30"/>
  <c r="I140" i="30"/>
  <c r="M140" i="30"/>
  <c r="Q140" i="30"/>
  <c r="U140" i="30"/>
  <c r="Y140" i="30"/>
  <c r="AC140" i="30"/>
  <c r="AG140" i="30"/>
  <c r="AK140" i="30"/>
  <c r="AO140" i="30"/>
  <c r="AS140" i="30"/>
  <c r="A141" i="30"/>
  <c r="E141" i="30"/>
  <c r="I141" i="30"/>
  <c r="M141" i="30"/>
  <c r="Q141" i="30"/>
  <c r="U141" i="30"/>
  <c r="Y141" i="30"/>
  <c r="AC141" i="30"/>
  <c r="AG141" i="30"/>
  <c r="AK141" i="30"/>
  <c r="AO141" i="30"/>
  <c r="AS141" i="30"/>
  <c r="A142" i="30"/>
  <c r="E142" i="30"/>
  <c r="I142" i="30"/>
  <c r="M142" i="30"/>
  <c r="Q142" i="30"/>
  <c r="U142" i="30"/>
  <c r="Y142" i="30"/>
  <c r="AC142" i="30"/>
  <c r="AG142" i="30"/>
  <c r="AK142" i="30"/>
  <c r="AO142" i="30"/>
  <c r="AS142" i="30"/>
  <c r="A143" i="30"/>
  <c r="E143" i="30"/>
  <c r="I143" i="30"/>
  <c r="M143" i="30"/>
  <c r="Q143" i="30"/>
  <c r="U143" i="30"/>
  <c r="Y143" i="30"/>
  <c r="AC143" i="30"/>
  <c r="AG143" i="30"/>
  <c r="AK143" i="30"/>
  <c r="AO143" i="30"/>
  <c r="AS143" i="30"/>
  <c r="A144" i="30"/>
  <c r="E144" i="30"/>
  <c r="I144" i="30"/>
  <c r="M144" i="30"/>
  <c r="Q144" i="30"/>
  <c r="U144" i="30"/>
  <c r="Y144" i="30"/>
  <c r="AC144" i="30"/>
  <c r="AG144" i="30"/>
  <c r="AK144" i="30"/>
  <c r="AO144" i="30"/>
  <c r="AS144" i="30"/>
  <c r="A145" i="30"/>
  <c r="E145" i="30"/>
  <c r="I145" i="30"/>
  <c r="M145" i="30"/>
  <c r="Q145" i="30"/>
  <c r="U145" i="30"/>
  <c r="Y145" i="30"/>
  <c r="AC145" i="30"/>
  <c r="AG145" i="30"/>
  <c r="AK145" i="30"/>
  <c r="AO145" i="30"/>
  <c r="AS145" i="30"/>
  <c r="A146" i="30"/>
  <c r="E146" i="30"/>
  <c r="I146" i="30"/>
  <c r="M146" i="30"/>
  <c r="Q146" i="30"/>
  <c r="U146" i="30"/>
  <c r="Y146" i="30"/>
  <c r="AC146" i="30"/>
  <c r="AG146" i="30"/>
  <c r="AK146" i="30"/>
  <c r="AO146" i="30"/>
  <c r="AS146" i="30"/>
  <c r="A147" i="30"/>
  <c r="E147" i="30"/>
  <c r="I147" i="30"/>
  <c r="M147" i="30"/>
  <c r="Q147" i="30"/>
  <c r="U147" i="30"/>
  <c r="Y147" i="30"/>
  <c r="AC147" i="30"/>
  <c r="AG147" i="30"/>
  <c r="AK147" i="30"/>
  <c r="AO147" i="30"/>
  <c r="AS147" i="30"/>
  <c r="A148" i="30"/>
  <c r="E148" i="30"/>
  <c r="I148" i="30"/>
  <c r="M148" i="30"/>
  <c r="Q148" i="30"/>
  <c r="U148" i="30"/>
  <c r="Y148" i="30"/>
  <c r="AC148" i="30"/>
  <c r="AG148" i="30"/>
  <c r="AK148" i="30"/>
  <c r="AO148" i="30"/>
  <c r="AS148" i="30"/>
  <c r="A149" i="30"/>
  <c r="E149" i="30"/>
  <c r="I149" i="30"/>
  <c r="M149" i="30"/>
  <c r="Q149" i="30"/>
  <c r="U149" i="30"/>
  <c r="Y149" i="30"/>
  <c r="AC149" i="30"/>
  <c r="AG149" i="30"/>
  <c r="AK149" i="30"/>
  <c r="AO149" i="30"/>
  <c r="AS149" i="30"/>
  <c r="A150" i="30"/>
  <c r="E150" i="30"/>
  <c r="I150" i="30"/>
  <c r="M150" i="30"/>
  <c r="Q150" i="30"/>
  <c r="U150" i="30"/>
  <c r="Y150" i="30"/>
  <c r="AC150" i="30"/>
  <c r="AG150" i="30"/>
  <c r="AK150" i="30"/>
  <c r="AO150" i="30"/>
  <c r="AS150" i="30"/>
  <c r="A151" i="30"/>
  <c r="E151" i="30"/>
  <c r="I151" i="30"/>
  <c r="M151" i="30"/>
  <c r="Q151" i="30"/>
  <c r="U151" i="30"/>
  <c r="Y151" i="30"/>
  <c r="AC151" i="30"/>
  <c r="AG151" i="30"/>
  <c r="AK151" i="30"/>
  <c r="AO151" i="30"/>
  <c r="AS151" i="30"/>
  <c r="A152" i="30"/>
  <c r="E152" i="30"/>
  <c r="I152" i="30"/>
  <c r="M152" i="30"/>
  <c r="Q152" i="30"/>
  <c r="U152" i="30"/>
  <c r="Y152" i="30"/>
  <c r="AC152" i="30"/>
  <c r="AG152" i="30"/>
  <c r="AK152" i="30"/>
  <c r="AO152" i="30"/>
  <c r="AS152" i="30"/>
  <c r="A153" i="30"/>
  <c r="E153" i="30"/>
  <c r="I153" i="30"/>
  <c r="M153" i="30"/>
  <c r="Q153" i="30"/>
  <c r="U153" i="30"/>
  <c r="Y153" i="30"/>
  <c r="AC153" i="30"/>
  <c r="AG153" i="30"/>
  <c r="AK153" i="30"/>
  <c r="AO153" i="30"/>
  <c r="AS153" i="30"/>
  <c r="A154" i="30"/>
  <c r="E154" i="30"/>
  <c r="I154" i="30"/>
  <c r="M154" i="30"/>
  <c r="Q154" i="30"/>
  <c r="U154" i="30"/>
  <c r="Y154" i="30"/>
  <c r="AC154" i="30"/>
  <c r="AG154" i="30"/>
  <c r="AK154" i="30"/>
  <c r="AO154" i="30"/>
  <c r="AS154" i="30"/>
  <c r="A155" i="30"/>
  <c r="E155" i="30"/>
  <c r="I155" i="30"/>
  <c r="M155" i="30"/>
  <c r="Q155" i="30"/>
  <c r="U155" i="30"/>
  <c r="Y155" i="30"/>
  <c r="AC155" i="30"/>
  <c r="AG155" i="30"/>
  <c r="AK155" i="30"/>
  <c r="AO155" i="30"/>
  <c r="AS155" i="30"/>
  <c r="A156" i="30"/>
  <c r="E156" i="30"/>
  <c r="I156" i="30"/>
  <c r="M156" i="30"/>
  <c r="Q156" i="30"/>
  <c r="U156" i="30"/>
  <c r="Y156" i="30"/>
  <c r="AC156" i="30"/>
  <c r="AG156" i="30"/>
  <c r="AK156" i="30"/>
  <c r="AO156" i="30"/>
  <c r="AS156" i="30"/>
  <c r="A157" i="30"/>
  <c r="E157" i="30"/>
  <c r="I157" i="30"/>
  <c r="M157" i="30"/>
  <c r="Q157" i="30"/>
  <c r="U157" i="30"/>
  <c r="Y157" i="30"/>
  <c r="AC157" i="30"/>
  <c r="AG157" i="30"/>
  <c r="AK157" i="30"/>
  <c r="AO157" i="30"/>
  <c r="AS157" i="30"/>
  <c r="A158" i="30"/>
  <c r="E158" i="30"/>
  <c r="I158" i="30"/>
  <c r="M158" i="30"/>
  <c r="Q158" i="30"/>
  <c r="U158" i="30"/>
  <c r="Y158" i="30"/>
  <c r="AC158" i="30"/>
  <c r="AG158" i="30"/>
  <c r="AK158" i="30"/>
  <c r="AO158" i="30"/>
  <c r="AS158" i="30"/>
  <c r="A159" i="30"/>
  <c r="E159" i="30"/>
  <c r="I159" i="30"/>
  <c r="M159" i="30"/>
  <c r="Q159" i="30"/>
  <c r="U159" i="30"/>
  <c r="Y159" i="30"/>
  <c r="AC159" i="30"/>
  <c r="AG159" i="30"/>
  <c r="AK159" i="30"/>
  <c r="AO159" i="30"/>
  <c r="AS159" i="30"/>
  <c r="A160" i="30"/>
  <c r="E160" i="30"/>
  <c r="I160" i="30"/>
  <c r="M160" i="30"/>
  <c r="Q160" i="30"/>
  <c r="U160" i="30"/>
  <c r="Y160" i="30"/>
  <c r="AC160" i="30"/>
  <c r="AG160" i="30"/>
  <c r="AK160" i="30"/>
  <c r="AO160" i="30"/>
  <c r="AS160" i="30"/>
  <c r="A161" i="30"/>
  <c r="E161" i="30"/>
  <c r="I161" i="30"/>
  <c r="M161" i="30"/>
  <c r="Q161" i="30"/>
  <c r="U161" i="30"/>
  <c r="Y161" i="30"/>
  <c r="AC161" i="30"/>
  <c r="AG161" i="30"/>
  <c r="AK161" i="30"/>
  <c r="AO161" i="30"/>
  <c r="AS161" i="30"/>
  <c r="A162" i="30"/>
  <c r="E162" i="30"/>
  <c r="I162" i="30"/>
  <c r="M162" i="30"/>
  <c r="Q162" i="30"/>
  <c r="U162" i="30"/>
  <c r="Y162" i="30"/>
  <c r="AC162" i="30"/>
  <c r="AG162" i="30"/>
  <c r="AK162" i="30"/>
  <c r="AO162" i="30"/>
  <c r="AS162" i="30"/>
  <c r="A163" i="30"/>
  <c r="E163" i="30"/>
  <c r="I163" i="30"/>
  <c r="M163" i="30"/>
  <c r="Q163" i="30"/>
  <c r="U163" i="30"/>
  <c r="Y163" i="30"/>
  <c r="AC163" i="30"/>
  <c r="AG163" i="30"/>
  <c r="AK163" i="30"/>
  <c r="AO163" i="30"/>
  <c r="AS163" i="30"/>
  <c r="A164" i="30"/>
  <c r="E164" i="30"/>
  <c r="I164" i="30"/>
  <c r="M164" i="30"/>
  <c r="Q164" i="30"/>
  <c r="U164" i="30"/>
  <c r="Y164" i="30"/>
  <c r="AC164" i="30"/>
  <c r="AG164" i="30"/>
  <c r="AK164" i="30"/>
  <c r="AO164" i="30"/>
  <c r="AS164" i="30"/>
  <c r="A165" i="30"/>
  <c r="E165" i="30"/>
  <c r="I165" i="30"/>
  <c r="M165" i="30"/>
  <c r="Q165" i="30"/>
  <c r="U165" i="30"/>
  <c r="Y165" i="30"/>
  <c r="AC165" i="30"/>
  <c r="AG165" i="30"/>
  <c r="AK165" i="30"/>
  <c r="AO165" i="30"/>
  <c r="AS165" i="30"/>
  <c r="A166" i="30"/>
  <c r="E166" i="30"/>
  <c r="I166" i="30"/>
  <c r="M166" i="30"/>
  <c r="Q166" i="30"/>
  <c r="U166" i="30"/>
  <c r="Y166" i="30"/>
  <c r="AC166" i="30"/>
  <c r="AG166" i="30"/>
  <c r="AK166" i="30"/>
  <c r="AO166" i="30"/>
  <c r="AS166" i="30"/>
  <c r="A167" i="30"/>
  <c r="E167" i="30"/>
  <c r="I167" i="30"/>
  <c r="M167" i="30"/>
  <c r="Q167" i="30"/>
  <c r="U167" i="30"/>
  <c r="Y167" i="30"/>
  <c r="AC167" i="30"/>
  <c r="AG167" i="30"/>
  <c r="AK167" i="30"/>
  <c r="AO167" i="30"/>
  <c r="AS167" i="30"/>
  <c r="A168" i="30"/>
  <c r="E168" i="30"/>
  <c r="I168" i="30"/>
  <c r="M168" i="30"/>
  <c r="Q168" i="30"/>
  <c r="U168" i="30"/>
  <c r="Y168" i="30"/>
  <c r="AC168" i="30"/>
  <c r="AG168" i="30"/>
  <c r="AK168" i="30"/>
  <c r="AO168" i="30"/>
  <c r="AS168" i="30"/>
  <c r="A169" i="30"/>
  <c r="E169" i="30"/>
  <c r="I169" i="30"/>
  <c r="M169" i="30"/>
  <c r="Q169" i="30"/>
  <c r="U169" i="30"/>
  <c r="Y169" i="30"/>
  <c r="AC169" i="30"/>
  <c r="AG169" i="30"/>
  <c r="AK169" i="30"/>
  <c r="AO169" i="30"/>
  <c r="AS169" i="30"/>
  <c r="A170" i="30"/>
  <c r="E170" i="30"/>
  <c r="I170" i="30"/>
  <c r="M170" i="30"/>
  <c r="Q170" i="30"/>
  <c r="U170" i="30"/>
  <c r="Y170" i="30"/>
  <c r="AC170" i="30"/>
  <c r="AG170" i="30"/>
  <c r="AK170" i="30"/>
  <c r="AO170" i="30"/>
  <c r="AS170" i="30"/>
  <c r="A171" i="30"/>
  <c r="E171" i="30"/>
  <c r="I171" i="30"/>
  <c r="M171" i="30"/>
  <c r="Q171" i="30"/>
  <c r="U171" i="30"/>
  <c r="Y171" i="30"/>
  <c r="AC171" i="30"/>
  <c r="AG171" i="30"/>
  <c r="AK171" i="30"/>
  <c r="AO171" i="30"/>
  <c r="AS171" i="30"/>
  <c r="A172" i="30"/>
  <c r="E172" i="30"/>
  <c r="I172" i="30"/>
  <c r="M172" i="30"/>
  <c r="Q172" i="30"/>
  <c r="U172" i="30"/>
  <c r="Y172" i="30"/>
  <c r="AC172" i="30"/>
  <c r="AG172" i="30"/>
  <c r="AK172" i="30"/>
  <c r="AO172" i="30"/>
  <c r="AS172" i="30"/>
  <c r="A173" i="30"/>
  <c r="E173" i="30"/>
  <c r="I173" i="30"/>
  <c r="M173" i="30"/>
  <c r="Q173" i="30"/>
  <c r="U173" i="30"/>
  <c r="Y173" i="30"/>
  <c r="AC173" i="30"/>
  <c r="AG173" i="30"/>
  <c r="AK173" i="30"/>
  <c r="AO173" i="30"/>
  <c r="AS173" i="30"/>
  <c r="A174" i="30"/>
  <c r="E174" i="30"/>
  <c r="I174" i="30"/>
  <c r="M174" i="30"/>
  <c r="Q174" i="30"/>
  <c r="U174" i="30"/>
  <c r="Y174" i="30"/>
  <c r="AC174" i="30"/>
  <c r="AG174" i="30"/>
  <c r="AK174" i="30"/>
  <c r="AO174" i="30"/>
  <c r="AS174" i="30"/>
  <c r="A175" i="30"/>
  <c r="E175" i="30"/>
  <c r="I175" i="30"/>
  <c r="M175" i="30"/>
  <c r="Q175" i="30"/>
  <c r="U175" i="30"/>
  <c r="Y175" i="30"/>
  <c r="AC175" i="30"/>
  <c r="AG175" i="30"/>
  <c r="AK175" i="30"/>
  <c r="AO175" i="30"/>
  <c r="AS175" i="30"/>
  <c r="A176" i="30"/>
  <c r="E176" i="30"/>
  <c r="I176" i="30"/>
  <c r="M176" i="30"/>
  <c r="Q176" i="30"/>
  <c r="U176" i="30"/>
  <c r="Y176" i="30"/>
  <c r="AC176" i="30"/>
  <c r="AG176" i="30"/>
  <c r="AK176" i="30"/>
  <c r="AO176" i="30"/>
  <c r="AS176" i="30"/>
  <c r="A177" i="30"/>
  <c r="E177" i="30"/>
  <c r="I177" i="30"/>
  <c r="M177" i="30"/>
  <c r="Q177" i="30"/>
  <c r="U177" i="30"/>
  <c r="Y177" i="30"/>
  <c r="AC177" i="30"/>
  <c r="AG177" i="30"/>
  <c r="AK177" i="30"/>
  <c r="AO177" i="30"/>
  <c r="AS177" i="30"/>
  <c r="A178" i="30"/>
  <c r="E178" i="30"/>
  <c r="I178" i="30"/>
  <c r="M178" i="30"/>
  <c r="Q178" i="30"/>
  <c r="U178" i="30"/>
  <c r="Y178" i="30"/>
  <c r="AC178" i="30"/>
  <c r="AG178" i="30"/>
  <c r="AK178" i="30"/>
  <c r="AO178" i="30"/>
  <c r="AS178" i="30"/>
  <c r="A179" i="30"/>
  <c r="E179" i="30"/>
  <c r="I179" i="30"/>
  <c r="M179" i="30"/>
  <c r="Q179" i="30"/>
  <c r="U179" i="30"/>
  <c r="Y179" i="30"/>
  <c r="AC179" i="30"/>
  <c r="AG179" i="30"/>
  <c r="AK179" i="30"/>
  <c r="AO179" i="30"/>
  <c r="AS179" i="30"/>
  <c r="A180" i="30"/>
  <c r="E180" i="30"/>
  <c r="I180" i="30"/>
  <c r="M180" i="30"/>
  <c r="Q180" i="30"/>
  <c r="U180" i="30"/>
  <c r="Y180" i="30"/>
  <c r="AC180" i="30"/>
  <c r="AG180" i="30"/>
  <c r="AK180" i="30"/>
  <c r="AO180" i="30"/>
  <c r="AS180" i="30"/>
  <c r="A181" i="30"/>
  <c r="E181" i="30"/>
  <c r="I181" i="30"/>
  <c r="M181" i="30"/>
  <c r="Q181" i="30"/>
  <c r="U181" i="30"/>
  <c r="Y181" i="30"/>
  <c r="AC181" i="30"/>
  <c r="AG181" i="30"/>
  <c r="AK181" i="30"/>
  <c r="AO181" i="30"/>
  <c r="AS181" i="30"/>
  <c r="A182" i="30"/>
  <c r="E182" i="30"/>
  <c r="I182" i="30"/>
  <c r="M182" i="30"/>
  <c r="Q182" i="30"/>
  <c r="U182" i="30"/>
  <c r="Y182" i="30"/>
  <c r="AC182" i="30"/>
  <c r="AG182" i="30"/>
  <c r="AK182" i="30"/>
  <c r="AO182" i="30"/>
  <c r="AS182" i="30"/>
  <c r="A183" i="30"/>
  <c r="E183" i="30"/>
  <c r="I183" i="30"/>
  <c r="M183" i="30"/>
  <c r="Q183" i="30"/>
  <c r="U183" i="30"/>
  <c r="Y183" i="30"/>
  <c r="AC183" i="30"/>
  <c r="AG183" i="30"/>
  <c r="AK183" i="30"/>
  <c r="AO183" i="30"/>
  <c r="AS183" i="30"/>
  <c r="A184" i="30"/>
  <c r="E184" i="30"/>
  <c r="I184" i="30"/>
  <c r="M184" i="30"/>
  <c r="Q184" i="30"/>
  <c r="U184" i="30"/>
  <c r="Y184" i="30"/>
  <c r="AC184" i="30"/>
  <c r="AG184" i="30"/>
  <c r="AK184" i="30"/>
  <c r="AO184" i="30"/>
  <c r="AS184" i="30"/>
  <c r="A185" i="30"/>
  <c r="E185" i="30"/>
  <c r="I185" i="30"/>
  <c r="M185" i="30"/>
  <c r="Q185" i="30"/>
  <c r="U185" i="30"/>
  <c r="Y185" i="30"/>
  <c r="AC185" i="30"/>
  <c r="AG185" i="30"/>
  <c r="AK185" i="30"/>
  <c r="AO185" i="30"/>
  <c r="AS185" i="30"/>
  <c r="A186" i="30"/>
  <c r="E186" i="30"/>
  <c r="I186" i="30"/>
  <c r="M186" i="30"/>
  <c r="Q186" i="30"/>
  <c r="U186" i="30"/>
  <c r="Y186" i="30"/>
  <c r="AC186" i="30"/>
  <c r="AG186" i="30"/>
  <c r="AK186" i="30"/>
  <c r="AO186" i="30"/>
  <c r="AS186" i="30"/>
  <c r="A187" i="30"/>
  <c r="E187" i="30"/>
  <c r="I187" i="30"/>
  <c r="M187" i="30"/>
  <c r="Q187" i="30"/>
  <c r="U187" i="30"/>
  <c r="Y187" i="30"/>
  <c r="AC187" i="30"/>
  <c r="AG187" i="30"/>
  <c r="AK187" i="30"/>
  <c r="AO187" i="30"/>
  <c r="AS187" i="30"/>
  <c r="A188" i="30"/>
  <c r="E188" i="30"/>
  <c r="I188" i="30"/>
  <c r="M188" i="30"/>
  <c r="Q188" i="30"/>
  <c r="U188" i="30"/>
  <c r="Y188" i="30"/>
  <c r="AC188" i="30"/>
  <c r="AG188" i="30"/>
  <c r="AK188" i="30"/>
  <c r="AO188" i="30"/>
  <c r="AS188" i="30"/>
  <c r="A189" i="30"/>
  <c r="E189" i="30"/>
  <c r="I189" i="30"/>
  <c r="M189" i="30"/>
  <c r="Q189" i="30"/>
  <c r="U189" i="30"/>
  <c r="Y189" i="30"/>
  <c r="AC189" i="30"/>
  <c r="AG189" i="30"/>
  <c r="AK189" i="30"/>
  <c r="AO189" i="30"/>
  <c r="AS189" i="30"/>
  <c r="A190" i="30"/>
  <c r="E190" i="30"/>
  <c r="I190" i="30"/>
  <c r="M190" i="30"/>
  <c r="Q190" i="30"/>
  <c r="U190" i="30"/>
  <c r="Y190" i="30"/>
  <c r="AC190" i="30"/>
  <c r="AG190" i="30"/>
  <c r="AK190" i="30"/>
  <c r="AO190" i="30"/>
  <c r="AS190" i="30"/>
  <c r="A191" i="30"/>
  <c r="E191" i="30"/>
  <c r="I191" i="30"/>
  <c r="M191" i="30"/>
  <c r="Q191" i="30"/>
  <c r="U191" i="30"/>
  <c r="Y191" i="30"/>
  <c r="AC191" i="30"/>
  <c r="AG191" i="30"/>
  <c r="AK191" i="30"/>
  <c r="AO191" i="30"/>
  <c r="AS191" i="30"/>
  <c r="A192" i="30"/>
  <c r="E192" i="30"/>
  <c r="I192" i="30"/>
  <c r="M192" i="30"/>
  <c r="Q192" i="30"/>
  <c r="U192" i="30"/>
  <c r="Y192" i="30"/>
  <c r="AC192" i="30"/>
  <c r="AG192" i="30"/>
  <c r="AK192" i="30"/>
  <c r="AO192" i="30"/>
  <c r="AS192" i="30"/>
  <c r="A193" i="30"/>
  <c r="E193" i="30"/>
  <c r="I193" i="30"/>
  <c r="M193" i="30"/>
  <c r="Q193" i="30"/>
  <c r="U193" i="30"/>
  <c r="Y193" i="30"/>
  <c r="AC193" i="30"/>
  <c r="AG193" i="30"/>
  <c r="AK193" i="30"/>
  <c r="AO193" i="30"/>
  <c r="AS193" i="30"/>
  <c r="A194" i="30"/>
  <c r="E194" i="30"/>
  <c r="I194" i="30"/>
  <c r="M194" i="30"/>
  <c r="Q194" i="30"/>
  <c r="U194" i="30"/>
  <c r="Y194" i="30"/>
  <c r="AC194" i="30"/>
  <c r="AG194" i="30"/>
  <c r="AK194" i="30"/>
  <c r="AO194" i="30"/>
  <c r="AS194" i="30"/>
  <c r="A195" i="30"/>
  <c r="E195" i="30"/>
  <c r="I195" i="30"/>
  <c r="M195" i="30"/>
  <c r="Q195" i="30"/>
  <c r="U195" i="30"/>
  <c r="Y195" i="30"/>
  <c r="AC195" i="30"/>
  <c r="AG195" i="30"/>
  <c r="AK195" i="30"/>
  <c r="AO195" i="30"/>
  <c r="AS195" i="30"/>
  <c r="A196" i="30"/>
  <c r="E196" i="30"/>
  <c r="I196" i="30"/>
  <c r="M196" i="30"/>
  <c r="Q196" i="30"/>
  <c r="U196" i="30"/>
  <c r="Y196" i="30"/>
  <c r="AC196" i="30"/>
  <c r="AG196" i="30"/>
  <c r="AK196" i="30"/>
  <c r="AO196" i="30"/>
  <c r="AS196" i="30"/>
  <c r="A197" i="30"/>
  <c r="E197" i="30"/>
  <c r="I197" i="30"/>
  <c r="M197" i="30"/>
  <c r="Q197" i="30"/>
  <c r="U197" i="30"/>
  <c r="Y197" i="30"/>
  <c r="AC197" i="30"/>
  <c r="AG197" i="30"/>
  <c r="AK197" i="30"/>
  <c r="AO197" i="30"/>
  <c r="AS197" i="30"/>
  <c r="A198" i="30"/>
  <c r="E198" i="30"/>
  <c r="I198" i="30"/>
  <c r="M198" i="30"/>
  <c r="Q198" i="30"/>
  <c r="U198" i="30"/>
  <c r="Y198" i="30"/>
  <c r="AC198" i="30"/>
  <c r="AG198" i="30"/>
  <c r="AK198" i="30"/>
  <c r="AO198" i="30"/>
  <c r="AS198" i="30"/>
  <c r="A199" i="30"/>
  <c r="E199" i="30"/>
  <c r="I199" i="30"/>
  <c r="M199" i="30"/>
  <c r="Q199" i="30"/>
  <c r="U199" i="30"/>
  <c r="Y199" i="30"/>
  <c r="AC199" i="30"/>
  <c r="AG199" i="30"/>
  <c r="AK199" i="30"/>
  <c r="AO199" i="30"/>
  <c r="AS199" i="30"/>
  <c r="A200" i="30"/>
  <c r="E200" i="30"/>
  <c r="I200" i="30"/>
  <c r="M200" i="30"/>
  <c r="Q200" i="30"/>
  <c r="U200" i="30"/>
  <c r="Y200" i="30"/>
  <c r="AC200" i="30"/>
  <c r="AG200" i="30"/>
  <c r="AK200" i="30"/>
  <c r="AO200" i="30"/>
  <c r="AS200" i="30"/>
  <c r="A201" i="30"/>
  <c r="E201" i="30"/>
  <c r="I201" i="30"/>
  <c r="M201" i="30"/>
  <c r="Q201" i="30"/>
  <c r="U201" i="30"/>
  <c r="Y201" i="30"/>
  <c r="AC201" i="30"/>
  <c r="AG201" i="30"/>
  <c r="AK201" i="30"/>
  <c r="AO201" i="30"/>
  <c r="AS201" i="30"/>
  <c r="A202" i="30"/>
  <c r="E202" i="30"/>
  <c r="I202" i="30"/>
  <c r="M202" i="30"/>
  <c r="Q202" i="30"/>
  <c r="U202" i="30"/>
  <c r="Y202" i="30"/>
  <c r="AC202" i="30"/>
  <c r="AG202" i="30"/>
  <c r="AK202" i="30"/>
  <c r="AO202" i="30"/>
  <c r="AS202" i="30"/>
  <c r="A203" i="30"/>
  <c r="E203" i="30"/>
  <c r="I203" i="30"/>
  <c r="M203" i="30"/>
  <c r="Q203" i="30"/>
  <c r="U203" i="30"/>
  <c r="Y203" i="30"/>
  <c r="AC203" i="30"/>
  <c r="AG203" i="30"/>
  <c r="AK203" i="30"/>
  <c r="AO203" i="30"/>
  <c r="AS203" i="30"/>
  <c r="A204" i="30"/>
  <c r="E204" i="30"/>
  <c r="I204" i="30"/>
  <c r="M204" i="30"/>
  <c r="Q204" i="30"/>
  <c r="U204" i="30"/>
  <c r="Y204" i="30"/>
  <c r="AC204" i="30"/>
  <c r="AG204" i="30"/>
  <c r="AK204" i="30"/>
  <c r="AO204" i="30"/>
  <c r="AS204" i="30"/>
  <c r="A205" i="30"/>
  <c r="E205" i="30"/>
  <c r="I205" i="30"/>
  <c r="M205" i="30"/>
  <c r="Q205" i="30"/>
  <c r="U205" i="30"/>
  <c r="Y205" i="30"/>
  <c r="AC205" i="30"/>
  <c r="AG205" i="30"/>
  <c r="AK205" i="30"/>
  <c r="AO205" i="30"/>
  <c r="AS205" i="30"/>
  <c r="A206" i="30"/>
  <c r="E206" i="30"/>
  <c r="I206" i="30"/>
  <c r="M206" i="30"/>
  <c r="Q206" i="30"/>
  <c r="U206" i="30"/>
  <c r="Y206" i="30"/>
  <c r="AC206" i="30"/>
  <c r="AG206" i="30"/>
  <c r="AK206" i="30"/>
  <c r="AO206" i="30"/>
  <c r="AS206" i="30"/>
  <c r="A207" i="30"/>
  <c r="E207" i="30"/>
  <c r="I207" i="30"/>
  <c r="M207" i="30"/>
  <c r="Q207" i="30"/>
  <c r="U207" i="30"/>
  <c r="Y207" i="30"/>
  <c r="AC207" i="30"/>
  <c r="AG207" i="30"/>
  <c r="AK207" i="30"/>
  <c r="AO207" i="30"/>
  <c r="AS207" i="30"/>
  <c r="A208" i="30"/>
  <c r="E208" i="30"/>
  <c r="I208" i="30"/>
  <c r="M208" i="30"/>
  <c r="Q208" i="30"/>
  <c r="U208" i="30"/>
  <c r="Y208" i="30"/>
  <c r="AC208" i="30"/>
  <c r="AG208" i="30"/>
  <c r="AK208" i="30"/>
  <c r="AO208" i="30"/>
  <c r="AS208" i="30"/>
  <c r="A209" i="30"/>
  <c r="E209" i="30"/>
  <c r="I209" i="30"/>
  <c r="M209" i="30"/>
  <c r="Q209" i="30"/>
  <c r="U209" i="30"/>
  <c r="Y209" i="30"/>
  <c r="AC209" i="30"/>
  <c r="AG209" i="30"/>
  <c r="AK209" i="30"/>
  <c r="AO209" i="30"/>
  <c r="AS209" i="30"/>
  <c r="A210" i="30"/>
  <c r="E210" i="30"/>
  <c r="I210" i="30"/>
  <c r="M210" i="30"/>
  <c r="Q210" i="30"/>
  <c r="U210" i="30"/>
  <c r="Y210" i="30"/>
  <c r="AC210" i="30"/>
  <c r="AG210" i="30"/>
  <c r="AK210" i="30"/>
  <c r="AO210" i="30"/>
  <c r="AS210" i="30"/>
  <c r="A211" i="30"/>
  <c r="E211" i="30"/>
  <c r="I211" i="30"/>
  <c r="M211" i="30"/>
  <c r="Q211" i="30"/>
  <c r="U211" i="30"/>
  <c r="Y211" i="30"/>
  <c r="AC211" i="30"/>
  <c r="AG211" i="30"/>
  <c r="AK211" i="30"/>
  <c r="AO211" i="30"/>
  <c r="AS211" i="30"/>
  <c r="A212" i="30"/>
  <c r="E212" i="30"/>
  <c r="I212" i="30"/>
  <c r="M212" i="30"/>
  <c r="Q212" i="30"/>
  <c r="U212" i="30"/>
  <c r="Y212" i="30"/>
  <c r="AC212" i="30"/>
  <c r="AG212" i="30"/>
  <c r="AK212" i="30"/>
  <c r="AO212" i="30"/>
  <c r="AS212" i="30"/>
  <c r="A213" i="30"/>
  <c r="E213" i="30"/>
  <c r="I213" i="30"/>
  <c r="M213" i="30"/>
  <c r="Q213" i="30"/>
  <c r="U213" i="30"/>
  <c r="Y213" i="30"/>
  <c r="AC213" i="30"/>
  <c r="AG213" i="30"/>
  <c r="AK213" i="30"/>
  <c r="AO213" i="30"/>
  <c r="AS213" i="30"/>
  <c r="A214" i="30"/>
  <c r="E214" i="30"/>
  <c r="I214" i="30"/>
  <c r="M214" i="30"/>
  <c r="Q214" i="30"/>
  <c r="U214" i="30"/>
  <c r="Y214" i="30"/>
  <c r="AC214" i="30"/>
  <c r="AG214" i="30"/>
  <c r="AK214" i="30"/>
  <c r="AO214" i="30"/>
  <c r="AS214" i="30"/>
  <c r="A215" i="30"/>
  <c r="E215" i="30"/>
  <c r="I215" i="30"/>
  <c r="M215" i="30"/>
  <c r="Q215" i="30"/>
  <c r="U215" i="30"/>
  <c r="Y215" i="30"/>
  <c r="AC215" i="30"/>
  <c r="AG215" i="30"/>
  <c r="AK215" i="30"/>
  <c r="AO215" i="30"/>
  <c r="AS215" i="30"/>
  <c r="A216" i="30"/>
  <c r="E216" i="30"/>
  <c r="I216" i="30"/>
  <c r="M216" i="30"/>
  <c r="Q216" i="30"/>
  <c r="U216" i="30"/>
  <c r="Y216" i="30"/>
  <c r="AC216" i="30"/>
  <c r="AG216" i="30"/>
  <c r="AK216" i="30"/>
  <c r="AO216" i="30"/>
  <c r="AS216" i="30"/>
  <c r="A217" i="30"/>
  <c r="E217" i="30"/>
  <c r="I217" i="30"/>
  <c r="M217" i="30"/>
  <c r="Q217" i="30"/>
  <c r="U217" i="30"/>
  <c r="Y217" i="30"/>
  <c r="AC217" i="30"/>
  <c r="AG217" i="30"/>
  <c r="AK217" i="30"/>
  <c r="AO217" i="30"/>
  <c r="AS217" i="30"/>
  <c r="A218" i="30"/>
  <c r="E218" i="30"/>
  <c r="I218" i="30"/>
  <c r="M218" i="30"/>
  <c r="Q218" i="30"/>
  <c r="U218" i="30"/>
  <c r="Y218" i="30"/>
  <c r="AC218" i="30"/>
  <c r="AG218" i="30"/>
  <c r="AK218" i="30"/>
  <c r="AO218" i="30"/>
  <c r="AS218" i="30"/>
  <c r="A219" i="30"/>
  <c r="E219" i="30"/>
  <c r="I219" i="30"/>
  <c r="M219" i="30"/>
  <c r="Q219" i="30"/>
  <c r="U219" i="30"/>
  <c r="Y219" i="30"/>
  <c r="AC219" i="30"/>
  <c r="AG219" i="30"/>
  <c r="AK219" i="30"/>
  <c r="AO219" i="30"/>
  <c r="AS219" i="30"/>
  <c r="A220" i="30"/>
  <c r="E220" i="30"/>
  <c r="I220" i="30"/>
  <c r="M220" i="30"/>
  <c r="Q220" i="30"/>
  <c r="U220" i="30"/>
  <c r="Y220" i="30"/>
  <c r="AC220" i="30"/>
  <c r="AG220" i="30"/>
  <c r="AK220" i="30"/>
  <c r="AO220" i="30"/>
  <c r="AS220" i="30"/>
  <c r="A221" i="30"/>
  <c r="E221" i="30"/>
  <c r="I221" i="30"/>
  <c r="M221" i="30"/>
  <c r="Q221" i="30"/>
  <c r="U221" i="30"/>
  <c r="Y221" i="30"/>
  <c r="AC221" i="30"/>
  <c r="AG221" i="30"/>
  <c r="AK221" i="30"/>
  <c r="AO221" i="30"/>
  <c r="AS221" i="30"/>
  <c r="A222" i="30"/>
  <c r="E222" i="30"/>
  <c r="I222" i="30"/>
  <c r="M222" i="30"/>
  <c r="Q222" i="30"/>
  <c r="U222" i="30"/>
  <c r="Y222" i="30"/>
  <c r="AC222" i="30"/>
  <c r="AG222" i="30"/>
  <c r="AK222" i="30"/>
  <c r="AO222" i="30"/>
  <c r="AS222" i="30"/>
  <c r="A223" i="30"/>
  <c r="E223" i="30"/>
  <c r="I223" i="30"/>
  <c r="M223" i="30"/>
  <c r="Q223" i="30"/>
  <c r="U223" i="30"/>
  <c r="Y223" i="30"/>
  <c r="AC223" i="30"/>
  <c r="AG223" i="30"/>
  <c r="AK223" i="30"/>
  <c r="AO223" i="30"/>
  <c r="AS223" i="30"/>
  <c r="A224" i="30"/>
  <c r="E224" i="30"/>
  <c r="I224" i="30"/>
  <c r="M224" i="30"/>
  <c r="Q224" i="30"/>
  <c r="U224" i="30"/>
  <c r="Y224" i="30"/>
  <c r="AC224" i="30"/>
  <c r="AG224" i="30"/>
  <c r="AK224" i="30"/>
  <c r="AO224" i="30"/>
  <c r="AS224" i="30"/>
  <c r="A225" i="30"/>
  <c r="E225" i="30"/>
  <c r="I225" i="30"/>
  <c r="M225" i="30"/>
  <c r="Q225" i="30"/>
  <c r="U225" i="30"/>
  <c r="Y225" i="30"/>
  <c r="AC225" i="30"/>
  <c r="AG225" i="30"/>
  <c r="AK225" i="30"/>
  <c r="AO225" i="30"/>
  <c r="AS225" i="30"/>
  <c r="A226" i="30"/>
  <c r="E226" i="30"/>
  <c r="I226" i="30"/>
  <c r="M226" i="30"/>
  <c r="Q226" i="30"/>
  <c r="U226" i="30"/>
  <c r="Y226" i="30"/>
  <c r="AC226" i="30"/>
  <c r="AG226" i="30"/>
  <c r="AK226" i="30"/>
  <c r="AO226" i="30"/>
  <c r="AS226" i="30"/>
  <c r="A227" i="30"/>
  <c r="E227" i="30"/>
  <c r="I227" i="30"/>
  <c r="M227" i="30"/>
  <c r="Q227" i="30"/>
  <c r="U227" i="30"/>
  <c r="Y227" i="30"/>
  <c r="AC227" i="30"/>
  <c r="AG227" i="30"/>
  <c r="AK227" i="30"/>
  <c r="AO227" i="30"/>
  <c r="AS227" i="30"/>
  <c r="A228" i="30"/>
  <c r="E228" i="30"/>
  <c r="I228" i="30"/>
  <c r="M228" i="30"/>
  <c r="Q228" i="30"/>
  <c r="U228" i="30"/>
  <c r="Y228" i="30"/>
  <c r="AC228" i="30"/>
  <c r="AG228" i="30"/>
  <c r="AK228" i="30"/>
  <c r="AO228" i="30"/>
  <c r="AS228" i="30"/>
  <c r="A229" i="30"/>
  <c r="E229" i="30"/>
  <c r="I229" i="30"/>
  <c r="M229" i="30"/>
  <c r="Q229" i="30"/>
  <c r="U229" i="30"/>
  <c r="Y229" i="30"/>
  <c r="AC229" i="30"/>
  <c r="AG229" i="30"/>
  <c r="AK229" i="30"/>
  <c r="AO229" i="30"/>
  <c r="AS229" i="30"/>
  <c r="A230" i="30"/>
  <c r="E230" i="30"/>
  <c r="I230" i="30"/>
  <c r="M230" i="30"/>
  <c r="Q230" i="30"/>
  <c r="U230" i="30"/>
  <c r="Y230" i="30"/>
  <c r="AC230" i="30"/>
  <c r="AG230" i="30"/>
  <c r="AK230" i="30"/>
  <c r="AO230" i="30"/>
  <c r="AS230" i="30"/>
  <c r="A231" i="30"/>
  <c r="E231" i="30"/>
  <c r="I231" i="30"/>
  <c r="M231" i="30"/>
  <c r="Q231" i="30"/>
  <c r="U231" i="30"/>
  <c r="Y231" i="30"/>
  <c r="AC231" i="30"/>
  <c r="AG231" i="30"/>
  <c r="AK231" i="30"/>
  <c r="AO231" i="30"/>
  <c r="AS231" i="30"/>
  <c r="A232" i="30"/>
  <c r="E232" i="30"/>
  <c r="I232" i="30"/>
  <c r="M232" i="30"/>
  <c r="Q232" i="30"/>
  <c r="U232" i="30"/>
  <c r="Y232" i="30"/>
  <c r="AC232" i="30"/>
  <c r="AG232" i="30"/>
  <c r="AK232" i="30"/>
  <c r="AO232" i="30"/>
  <c r="AS232" i="30"/>
  <c r="A233" i="30"/>
  <c r="E233" i="30"/>
  <c r="I233" i="30"/>
  <c r="M233" i="30"/>
  <c r="Q233" i="30"/>
  <c r="U233" i="30"/>
  <c r="Y233" i="30"/>
  <c r="AC233" i="30"/>
  <c r="AG233" i="30"/>
  <c r="AK233" i="30"/>
  <c r="AO233" i="30"/>
  <c r="AS233" i="30"/>
  <c r="A234" i="30"/>
  <c r="E234" i="30"/>
  <c r="I234" i="30"/>
  <c r="M234" i="30"/>
  <c r="Q234" i="30"/>
  <c r="U234" i="30"/>
  <c r="Y234" i="30"/>
  <c r="AC234" i="30"/>
  <c r="AG234" i="30"/>
  <c r="AK234" i="30"/>
  <c r="AO234" i="30"/>
  <c r="AS234" i="30"/>
  <c r="A235" i="30"/>
  <c r="E235" i="30"/>
  <c r="I235" i="30"/>
  <c r="M235" i="30"/>
  <c r="Q235" i="30"/>
  <c r="U235" i="30"/>
  <c r="Y235" i="30"/>
  <c r="AC235" i="30"/>
  <c r="AG235" i="30"/>
  <c r="AK235" i="30"/>
  <c r="AO235" i="30"/>
  <c r="AS235" i="30"/>
  <c r="A236" i="30"/>
  <c r="E236" i="30"/>
  <c r="I236" i="30"/>
  <c r="M236" i="30"/>
  <c r="Q236" i="30"/>
  <c r="U236" i="30"/>
  <c r="Y236" i="30"/>
  <c r="AC236" i="30"/>
  <c r="AG236" i="30"/>
  <c r="AK236" i="30"/>
  <c r="AO236" i="30"/>
  <c r="AS236" i="30"/>
  <c r="A237" i="30"/>
  <c r="E237" i="30"/>
  <c r="I237" i="30"/>
  <c r="M237" i="30"/>
  <c r="Q237" i="30"/>
  <c r="U237" i="30"/>
  <c r="Y237" i="30"/>
  <c r="AC237" i="30"/>
  <c r="AG237" i="30"/>
  <c r="AK237" i="30"/>
  <c r="AO237" i="30"/>
  <c r="AS237" i="30"/>
  <c r="A238" i="30"/>
  <c r="E238" i="30"/>
  <c r="I238" i="30"/>
  <c r="M238" i="30"/>
  <c r="Q238" i="30"/>
  <c r="U238" i="30"/>
  <c r="Y238" i="30"/>
  <c r="AC238" i="30"/>
  <c r="AG238" i="30"/>
  <c r="AK238" i="30"/>
  <c r="AO238" i="30"/>
  <c r="AS238" i="30"/>
  <c r="A239" i="30"/>
  <c r="E239" i="30"/>
  <c r="I239" i="30"/>
  <c r="M239" i="30"/>
  <c r="Q239" i="30"/>
  <c r="U239" i="30"/>
  <c r="Y239" i="30"/>
  <c r="AC239" i="30"/>
  <c r="AG239" i="30"/>
  <c r="AK239" i="30"/>
  <c r="AO239" i="30"/>
  <c r="AS239" i="30"/>
  <c r="A240" i="30"/>
  <c r="E240" i="30"/>
  <c r="I240" i="30"/>
  <c r="M240" i="30"/>
  <c r="Q240" i="30"/>
  <c r="U240" i="30"/>
  <c r="Y240" i="30"/>
  <c r="AC240" i="30"/>
  <c r="AG240" i="30"/>
  <c r="AK240" i="30"/>
  <c r="AO240" i="30"/>
  <c r="AS240" i="30"/>
  <c r="A241" i="30"/>
  <c r="E241" i="30"/>
  <c r="I241" i="30"/>
  <c r="M241" i="30"/>
  <c r="Q241" i="30"/>
  <c r="U241" i="30"/>
  <c r="Y241" i="30"/>
  <c r="AC241" i="30"/>
  <c r="AG241" i="30"/>
  <c r="AK241" i="30"/>
  <c r="AO241" i="30"/>
  <c r="AS241" i="30"/>
  <c r="A242" i="30"/>
  <c r="E242" i="30"/>
  <c r="I242" i="30"/>
  <c r="M242" i="30"/>
  <c r="Q242" i="30"/>
  <c r="U242" i="30"/>
  <c r="Y242" i="30"/>
  <c r="AC242" i="30"/>
  <c r="AG242" i="30"/>
  <c r="AK242" i="30"/>
  <c r="AO242" i="30"/>
  <c r="AS242" i="30"/>
  <c r="A243" i="30"/>
  <c r="E243" i="30"/>
  <c r="I243" i="30"/>
  <c r="M243" i="30"/>
  <c r="Q243" i="30"/>
  <c r="U243" i="30"/>
  <c r="Y243" i="30"/>
  <c r="AC243" i="30"/>
  <c r="AG243" i="30"/>
  <c r="AK243" i="30"/>
  <c r="AO243" i="30"/>
  <c r="AS243" i="30"/>
  <c r="A244" i="30"/>
  <c r="E244" i="30"/>
  <c r="I244" i="30"/>
  <c r="M244" i="30"/>
  <c r="Q244" i="30"/>
  <c r="U244" i="30"/>
  <c r="Y244" i="30"/>
  <c r="AC244" i="30"/>
  <c r="AG244" i="30"/>
  <c r="AK244" i="30"/>
  <c r="AO244" i="30"/>
  <c r="AS244" i="30"/>
  <c r="A245" i="30"/>
  <c r="E245" i="30"/>
  <c r="I245" i="30"/>
  <c r="M245" i="30"/>
  <c r="Q245" i="30"/>
  <c r="U245" i="30"/>
  <c r="Y245" i="30"/>
  <c r="AC245" i="30"/>
  <c r="AG245" i="30"/>
  <c r="AK245" i="30"/>
  <c r="AO245" i="30"/>
  <c r="AS245" i="30"/>
  <c r="A246" i="30"/>
  <c r="E246" i="30"/>
  <c r="I246" i="30"/>
  <c r="M246" i="30"/>
  <c r="Q246" i="30"/>
  <c r="U246" i="30"/>
  <c r="Y246" i="30"/>
  <c r="AC246" i="30"/>
  <c r="AG246" i="30"/>
  <c r="AK246" i="30"/>
  <c r="AO246" i="30"/>
  <c r="AS246" i="30"/>
  <c r="A247" i="30"/>
  <c r="E247" i="30"/>
  <c r="I247" i="30"/>
  <c r="M247" i="30"/>
  <c r="Q247" i="30"/>
  <c r="U247" i="30"/>
  <c r="Y247" i="30"/>
  <c r="AC247" i="30"/>
  <c r="AG247" i="30"/>
  <c r="AK247" i="30"/>
  <c r="AO247" i="30"/>
  <c r="AS247" i="30"/>
  <c r="A248" i="30"/>
  <c r="E248" i="30"/>
  <c r="I248" i="30"/>
  <c r="M248" i="30"/>
  <c r="Q248" i="30"/>
  <c r="U248" i="30"/>
  <c r="Y248" i="30"/>
  <c r="AC248" i="30"/>
  <c r="AG248" i="30"/>
  <c r="AK248" i="30"/>
  <c r="AO248" i="30"/>
  <c r="AS248" i="30"/>
  <c r="A249" i="30"/>
  <c r="E249" i="30"/>
  <c r="I249" i="30"/>
  <c r="M249" i="30"/>
  <c r="Q249" i="30"/>
  <c r="U249" i="30"/>
  <c r="Y249" i="30"/>
  <c r="AC249" i="30"/>
  <c r="AG249" i="30"/>
  <c r="AK249" i="30"/>
  <c r="AO249" i="30"/>
  <c r="AS249" i="30"/>
  <c r="A250" i="30"/>
  <c r="E250" i="30"/>
  <c r="I250" i="30"/>
  <c r="M250" i="30"/>
  <c r="Q250" i="30"/>
  <c r="U250" i="30"/>
  <c r="Y250" i="30"/>
  <c r="AC250" i="30"/>
  <c r="AG250" i="30"/>
  <c r="AK250" i="30"/>
  <c r="AO250" i="30"/>
  <c r="AS250" i="30"/>
  <c r="A251" i="30"/>
  <c r="E251" i="30"/>
  <c r="I251" i="30"/>
  <c r="M251" i="30"/>
  <c r="Q251" i="30"/>
  <c r="U251" i="30"/>
  <c r="Y251" i="30"/>
  <c r="AC251" i="30"/>
  <c r="AG251" i="30"/>
  <c r="AK251" i="30"/>
  <c r="AO251" i="30"/>
  <c r="AS251" i="30"/>
  <c r="A252" i="30"/>
  <c r="E252" i="30"/>
  <c r="I252" i="30"/>
  <c r="M252" i="30"/>
  <c r="Q252" i="30"/>
  <c r="U252" i="30"/>
  <c r="Y252" i="30"/>
  <c r="AC252" i="30"/>
  <c r="AG252" i="30"/>
  <c r="AK252" i="30"/>
  <c r="AO252" i="30"/>
  <c r="AS252" i="30"/>
  <c r="A253" i="30"/>
  <c r="E253" i="30"/>
  <c r="I253" i="30"/>
  <c r="M253" i="30"/>
  <c r="Q253" i="30"/>
  <c r="U253" i="30"/>
  <c r="Y253" i="30"/>
  <c r="AC253" i="30"/>
  <c r="AG253" i="30"/>
  <c r="AK253" i="30"/>
  <c r="AO253" i="30"/>
  <c r="AS253" i="30"/>
  <c r="A254" i="30"/>
  <c r="E254" i="30"/>
  <c r="I254" i="30"/>
  <c r="M254" i="30"/>
  <c r="Q254" i="30"/>
  <c r="U254" i="30"/>
  <c r="Y254" i="30"/>
  <c r="AC254" i="30"/>
  <c r="AG254" i="30"/>
  <c r="AK254" i="30"/>
  <c r="AO254" i="30"/>
  <c r="AS254" i="30"/>
  <c r="A255" i="30"/>
  <c r="E255" i="30"/>
  <c r="I255" i="30"/>
  <c r="M255" i="30"/>
  <c r="Q255" i="30"/>
  <c r="U255" i="30"/>
  <c r="Y255" i="30"/>
  <c r="AC255" i="30"/>
  <c r="AG255" i="30"/>
  <c r="AK255" i="30"/>
  <c r="AO255" i="30"/>
  <c r="AS255" i="30"/>
  <c r="A256" i="30"/>
  <c r="E256" i="30"/>
  <c r="I256" i="30"/>
  <c r="M256" i="30"/>
  <c r="Q256" i="30"/>
  <c r="U256" i="30"/>
  <c r="Y256" i="30"/>
  <c r="AC256" i="30"/>
  <c r="AG256" i="30"/>
  <c r="AK256" i="30"/>
  <c r="AO256" i="30"/>
  <c r="AS256" i="30"/>
  <c r="A257" i="30"/>
  <c r="E257" i="30"/>
  <c r="I257" i="30"/>
  <c r="M257" i="30"/>
  <c r="Q257" i="30"/>
  <c r="U257" i="30"/>
  <c r="Y257" i="30"/>
  <c r="AC257" i="30"/>
  <c r="AG257" i="30"/>
  <c r="AK257" i="30"/>
  <c r="AO257" i="30"/>
  <c r="AS257" i="30"/>
  <c r="A258" i="30"/>
  <c r="E258" i="30"/>
  <c r="I258" i="30"/>
  <c r="M258" i="30"/>
  <c r="Q258" i="30"/>
  <c r="U258" i="30"/>
  <c r="Y258" i="30"/>
  <c r="AC258" i="30"/>
  <c r="AG258" i="30"/>
  <c r="AK258" i="30"/>
  <c r="AO258" i="30"/>
  <c r="AS258" i="30"/>
  <c r="A259" i="30"/>
  <c r="E259" i="30"/>
  <c r="I259" i="30"/>
  <c r="M259" i="30"/>
  <c r="Q259" i="30"/>
  <c r="U259" i="30"/>
  <c r="Y259" i="30"/>
  <c r="AC259" i="30"/>
  <c r="AG259" i="30"/>
  <c r="AK259" i="30"/>
  <c r="AO259" i="30"/>
  <c r="AS259" i="30"/>
  <c r="A260" i="30"/>
  <c r="E260" i="30"/>
  <c r="I260" i="30"/>
  <c r="M260" i="30"/>
  <c r="Q260" i="30"/>
  <c r="U260" i="30"/>
  <c r="Y260" i="30"/>
  <c r="AC260" i="30"/>
  <c r="AG260" i="30"/>
  <c r="AK260" i="30"/>
  <c r="AO260" i="30"/>
  <c r="AS260" i="30"/>
  <c r="A261" i="30"/>
  <c r="E261" i="30"/>
  <c r="I261" i="30"/>
  <c r="M261" i="30"/>
  <c r="Q261" i="30"/>
  <c r="U261" i="30"/>
  <c r="Y261" i="30"/>
  <c r="AC261" i="30"/>
  <c r="AG261" i="30"/>
  <c r="AK261" i="30"/>
  <c r="AO261" i="30"/>
  <c r="AS261" i="30"/>
  <c r="A262" i="30"/>
  <c r="E262" i="30"/>
  <c r="I262" i="30"/>
  <c r="M262" i="30"/>
  <c r="Q262" i="30"/>
  <c r="U262" i="30"/>
  <c r="Y262" i="30"/>
  <c r="AC262" i="30"/>
  <c r="AG262" i="30"/>
  <c r="AK262" i="30"/>
  <c r="AO262" i="30"/>
  <c r="AS262" i="30"/>
  <c r="A263" i="30"/>
  <c r="E263" i="30"/>
  <c r="I263" i="30"/>
  <c r="M263" i="30"/>
  <c r="Q263" i="30"/>
  <c r="U263" i="30"/>
  <c r="Y263" i="30"/>
  <c r="AC263" i="30"/>
  <c r="AG263" i="30"/>
  <c r="AK263" i="30"/>
  <c r="AO263" i="30"/>
  <c r="AS263" i="30"/>
  <c r="A264" i="30"/>
  <c r="E264" i="30"/>
  <c r="I264" i="30"/>
  <c r="M264" i="30"/>
  <c r="Q264" i="30"/>
  <c r="U264" i="30"/>
  <c r="Y264" i="30"/>
  <c r="AC264" i="30"/>
  <c r="AG264" i="30"/>
  <c r="AK264" i="30"/>
  <c r="AO264" i="30"/>
  <c r="AS264" i="30"/>
  <c r="A265" i="30"/>
  <c r="E265" i="30"/>
  <c r="I265" i="30"/>
  <c r="M265" i="30"/>
  <c r="Q265" i="30"/>
  <c r="U265" i="30"/>
  <c r="Y265" i="30"/>
  <c r="AC265" i="30"/>
  <c r="AG265" i="30"/>
  <c r="AK265" i="30"/>
  <c r="AO265" i="30"/>
  <c r="AS265" i="30"/>
  <c r="A266" i="30"/>
  <c r="E266" i="30"/>
  <c r="I266" i="30"/>
  <c r="M266" i="30"/>
  <c r="Q266" i="30"/>
  <c r="U266" i="30"/>
  <c r="Y266" i="30"/>
  <c r="AC266" i="30"/>
  <c r="AG266" i="30"/>
  <c r="AK266" i="30"/>
  <c r="AO266" i="30"/>
  <c r="AS266" i="30"/>
  <c r="A267" i="30"/>
  <c r="E267" i="30"/>
  <c r="I267" i="30"/>
  <c r="M267" i="30"/>
  <c r="Q267" i="30"/>
  <c r="U267" i="30"/>
  <c r="Y267" i="30"/>
  <c r="AC267" i="30"/>
  <c r="AG267" i="30"/>
  <c r="AK267" i="30"/>
  <c r="AO267" i="30"/>
  <c r="AS267" i="30"/>
  <c r="A268" i="30"/>
  <c r="E268" i="30"/>
  <c r="I268" i="30"/>
  <c r="M268" i="30"/>
  <c r="Q268" i="30"/>
  <c r="U268" i="30"/>
  <c r="Y268" i="30"/>
  <c r="AC268" i="30"/>
  <c r="AG268" i="30"/>
  <c r="AK268" i="30"/>
  <c r="AO268" i="30"/>
  <c r="AS268" i="30"/>
  <c r="A269" i="30"/>
  <c r="E269" i="30"/>
  <c r="I269" i="30"/>
  <c r="M269" i="30"/>
  <c r="Q269" i="30"/>
  <c r="U269" i="30"/>
  <c r="Y269" i="30"/>
  <c r="AC269" i="30"/>
  <c r="AG269" i="30"/>
  <c r="AK269" i="30"/>
  <c r="AO269" i="30"/>
  <c r="AS269" i="30"/>
  <c r="A270" i="30"/>
  <c r="E270" i="30"/>
  <c r="I270" i="30"/>
  <c r="M270" i="30"/>
  <c r="Q270" i="30"/>
  <c r="U270" i="30"/>
  <c r="Y270" i="30"/>
  <c r="AC270" i="30"/>
  <c r="AG270" i="30"/>
  <c r="AK270" i="30"/>
  <c r="AO270" i="30"/>
  <c r="AS270" i="30"/>
  <c r="A271" i="30"/>
  <c r="E271" i="30"/>
  <c r="I271" i="30"/>
  <c r="M271" i="30"/>
  <c r="Q271" i="30"/>
  <c r="U271" i="30"/>
  <c r="Y271" i="30"/>
  <c r="AC271" i="30"/>
  <c r="AG271" i="30"/>
  <c r="AK271" i="30"/>
  <c r="AO271" i="30"/>
  <c r="AS271" i="30"/>
  <c r="A272" i="30"/>
  <c r="E272" i="30"/>
  <c r="I272" i="30"/>
  <c r="M272" i="30"/>
  <c r="Q272" i="30"/>
  <c r="U272" i="30"/>
  <c r="Y272" i="30"/>
  <c r="AC272" i="30"/>
  <c r="AG272" i="30"/>
  <c r="AK272" i="30"/>
  <c r="AO272" i="30"/>
  <c r="AS272" i="30"/>
  <c r="A273" i="30"/>
  <c r="E273" i="30"/>
  <c r="I273" i="30"/>
  <c r="M273" i="30"/>
  <c r="Q273" i="30"/>
  <c r="U273" i="30"/>
  <c r="Y273" i="30"/>
  <c r="AC273" i="30"/>
  <c r="AG273" i="30"/>
  <c r="AK273" i="30"/>
  <c r="AO273" i="30"/>
  <c r="AS273" i="30"/>
  <c r="A274" i="30"/>
  <c r="E274" i="30"/>
  <c r="I274" i="30"/>
  <c r="M274" i="30"/>
  <c r="Q274" i="30"/>
  <c r="U274" i="30"/>
  <c r="Y274" i="30"/>
  <c r="AC274" i="30"/>
  <c r="AG274" i="30"/>
  <c r="AK274" i="30"/>
  <c r="AO274" i="30"/>
  <c r="AS274" i="30"/>
  <c r="A275" i="30"/>
  <c r="E275" i="30"/>
  <c r="I275" i="30"/>
  <c r="M275" i="30"/>
  <c r="Q275" i="30"/>
  <c r="U275" i="30"/>
  <c r="Y275" i="30"/>
  <c r="AC275" i="30"/>
  <c r="AG275" i="30"/>
  <c r="AK275" i="30"/>
  <c r="AO275" i="30"/>
  <c r="AS275" i="30"/>
  <c r="A276" i="30"/>
  <c r="E276" i="30"/>
  <c r="I276" i="30"/>
  <c r="M276" i="30"/>
  <c r="Q276" i="30"/>
  <c r="U276" i="30"/>
  <c r="Y276" i="30"/>
  <c r="AC276" i="30"/>
  <c r="AG276" i="30"/>
  <c r="AK276" i="30"/>
  <c r="AO276" i="30"/>
  <c r="AS276" i="30"/>
  <c r="A277" i="30"/>
  <c r="E277" i="30"/>
  <c r="I277" i="30"/>
  <c r="M277" i="30"/>
  <c r="Q277" i="30"/>
  <c r="U277" i="30"/>
  <c r="Y277" i="30"/>
  <c r="AC277" i="30"/>
  <c r="AG277" i="30"/>
  <c r="AK277" i="30"/>
  <c r="AO277" i="30"/>
  <c r="AS277" i="30"/>
  <c r="A278" i="30"/>
  <c r="E278" i="30"/>
  <c r="I278" i="30"/>
  <c r="M278" i="30"/>
  <c r="Q278" i="30"/>
  <c r="U278" i="30"/>
  <c r="Y278" i="30"/>
  <c r="AC278" i="30"/>
  <c r="AG278" i="30"/>
  <c r="AK278" i="30"/>
  <c r="AO278" i="30"/>
  <c r="AS278" i="30"/>
  <c r="A279" i="30"/>
  <c r="E279" i="30"/>
  <c r="I279" i="30"/>
  <c r="M279" i="30"/>
  <c r="Q279" i="30"/>
  <c r="U279" i="30"/>
  <c r="Y279" i="30"/>
  <c r="AC279" i="30"/>
  <c r="AG279" i="30"/>
  <c r="AK279" i="30"/>
  <c r="AO279" i="30"/>
  <c r="AS279" i="30"/>
  <c r="A280" i="30"/>
  <c r="E280" i="30"/>
  <c r="I280" i="30"/>
  <c r="M280" i="30"/>
  <c r="Q280" i="30"/>
  <c r="U280" i="30"/>
  <c r="Y280" i="30"/>
  <c r="AC280" i="30"/>
  <c r="AG280" i="30"/>
  <c r="AK280" i="30"/>
  <c r="AO280" i="30"/>
  <c r="AS280" i="30"/>
  <c r="A281" i="30"/>
  <c r="E281" i="30"/>
  <c r="I281" i="30"/>
  <c r="M281" i="30"/>
  <c r="Q281" i="30"/>
  <c r="U281" i="30"/>
  <c r="Y281" i="30"/>
  <c r="AC281" i="30"/>
  <c r="AG281" i="30"/>
  <c r="AK281" i="30"/>
  <c r="AO281" i="30"/>
  <c r="AS281" i="30"/>
  <c r="A282" i="30"/>
  <c r="E282" i="30"/>
  <c r="I282" i="30"/>
  <c r="M282" i="30"/>
  <c r="Q282" i="30"/>
  <c r="U282" i="30"/>
  <c r="Y282" i="30"/>
  <c r="AC282" i="30"/>
  <c r="AG282" i="30"/>
  <c r="AK282" i="30"/>
  <c r="AO282" i="30"/>
  <c r="AS282" i="30"/>
  <c r="A283" i="30"/>
  <c r="E283" i="30"/>
  <c r="I283" i="30"/>
  <c r="M283" i="30"/>
  <c r="Q283" i="30"/>
  <c r="U283" i="30"/>
  <c r="Y283" i="30"/>
  <c r="AC283" i="30"/>
  <c r="AG283" i="30"/>
  <c r="AK283" i="30"/>
  <c r="AO283" i="30"/>
  <c r="AS283" i="30"/>
  <c r="A284" i="30"/>
  <c r="E284" i="30"/>
  <c r="I284" i="30"/>
  <c r="M284" i="30"/>
  <c r="Q284" i="30"/>
  <c r="U284" i="30"/>
  <c r="Y284" i="30"/>
  <c r="AC284" i="30"/>
  <c r="AG284" i="30"/>
  <c r="AK284" i="30"/>
  <c r="AO284" i="30"/>
  <c r="AS284" i="30"/>
  <c r="A285" i="30"/>
  <c r="E285" i="30"/>
  <c r="I285" i="30"/>
  <c r="M285" i="30"/>
  <c r="Q285" i="30"/>
  <c r="U285" i="30"/>
  <c r="Y285" i="30"/>
  <c r="AC285" i="30"/>
  <c r="AG285" i="30"/>
  <c r="AK285" i="30"/>
  <c r="AO285" i="30"/>
  <c r="AS285" i="30"/>
  <c r="A286" i="30"/>
  <c r="E286" i="30"/>
  <c r="I286" i="30"/>
  <c r="M286" i="30"/>
  <c r="Q286" i="30"/>
  <c r="U286" i="30"/>
  <c r="Y286" i="30"/>
  <c r="AC286" i="30"/>
  <c r="AG286" i="30"/>
  <c r="AK286" i="30"/>
  <c r="AO286" i="30"/>
  <c r="AS286" i="30"/>
  <c r="A287" i="30"/>
  <c r="E287" i="30"/>
  <c r="I287" i="30"/>
  <c r="M287" i="30"/>
  <c r="Q287" i="30"/>
  <c r="U287" i="30"/>
  <c r="Y287" i="30"/>
  <c r="AC287" i="30"/>
  <c r="AG287" i="30"/>
  <c r="AK287" i="30"/>
  <c r="AO287" i="30"/>
  <c r="AS287" i="30"/>
  <c r="A288" i="30"/>
  <c r="E288" i="30"/>
  <c r="I288" i="30"/>
  <c r="M288" i="30"/>
  <c r="Q288" i="30"/>
  <c r="U288" i="30"/>
  <c r="Y288" i="30"/>
  <c r="AC288" i="30"/>
  <c r="AG288" i="30"/>
  <c r="AK288" i="30"/>
  <c r="AO288" i="30"/>
  <c r="AS288" i="30"/>
  <c r="A289" i="30"/>
  <c r="E289" i="30"/>
  <c r="I289" i="30"/>
  <c r="M289" i="30"/>
  <c r="Q289" i="30"/>
  <c r="U289" i="30"/>
  <c r="Y289" i="30"/>
  <c r="AC289" i="30"/>
  <c r="AG289" i="30"/>
  <c r="AK289" i="30"/>
  <c r="AO289" i="30"/>
  <c r="AS289" i="30"/>
  <c r="A290" i="30"/>
  <c r="E290" i="30"/>
  <c r="I290" i="30"/>
  <c r="M290" i="30"/>
  <c r="Q290" i="30"/>
  <c r="U290" i="30"/>
  <c r="Y290" i="30"/>
  <c r="AC290" i="30"/>
  <c r="AG290" i="30"/>
  <c r="AK290" i="30"/>
  <c r="AO290" i="30"/>
  <c r="AS290" i="30"/>
  <c r="A291" i="30"/>
  <c r="E291" i="30"/>
  <c r="I291" i="30"/>
  <c r="M291" i="30"/>
  <c r="Q291" i="30"/>
  <c r="U291" i="30"/>
  <c r="Y291" i="30"/>
  <c r="AC291" i="30"/>
  <c r="AG291" i="30"/>
  <c r="AK291" i="30"/>
  <c r="AO291" i="30"/>
  <c r="AS291" i="30"/>
  <c r="A292" i="30"/>
  <c r="E292" i="30"/>
  <c r="I292" i="30"/>
  <c r="M292" i="30"/>
  <c r="Q292" i="30"/>
  <c r="U292" i="30"/>
  <c r="Y292" i="30"/>
  <c r="AC292" i="30"/>
  <c r="AG292" i="30"/>
  <c r="AK292" i="30"/>
  <c r="AO292" i="30"/>
  <c r="AS292" i="30"/>
  <c r="A293" i="30"/>
  <c r="E293" i="30"/>
  <c r="I293" i="30"/>
  <c r="M293" i="30"/>
  <c r="Q293" i="30"/>
  <c r="U293" i="30"/>
  <c r="Y293" i="30"/>
  <c r="AC293" i="30"/>
  <c r="AG293" i="30"/>
  <c r="AK293" i="30"/>
  <c r="AO293" i="30"/>
  <c r="AS293" i="30"/>
  <c r="A294" i="30"/>
  <c r="E294" i="30"/>
  <c r="I294" i="30"/>
  <c r="M294" i="30"/>
  <c r="Q294" i="30"/>
  <c r="U294" i="30"/>
  <c r="Y294" i="30"/>
  <c r="AC294" i="30"/>
  <c r="AG294" i="30"/>
  <c r="AK294" i="30"/>
  <c r="AO294" i="30"/>
  <c r="AS294" i="30"/>
  <c r="A295" i="30"/>
  <c r="E295" i="30"/>
  <c r="I295" i="30"/>
  <c r="M295" i="30"/>
  <c r="Q295" i="30"/>
  <c r="U295" i="30"/>
  <c r="Y295" i="30"/>
  <c r="AC295" i="30"/>
  <c r="AG295" i="30"/>
  <c r="AK295" i="30"/>
  <c r="AO295" i="30"/>
  <c r="AS295" i="30"/>
  <c r="A296" i="30"/>
  <c r="E296" i="30"/>
  <c r="I296" i="30"/>
  <c r="M296" i="30"/>
  <c r="Q296" i="30"/>
  <c r="U296" i="30"/>
  <c r="Y296" i="30"/>
  <c r="AC296" i="30"/>
  <c r="AG296" i="30"/>
  <c r="AK296" i="30"/>
  <c r="AO296" i="30"/>
  <c r="AS296" i="30"/>
  <c r="A297" i="30"/>
  <c r="E297" i="30"/>
  <c r="I297" i="30"/>
  <c r="M297" i="30"/>
  <c r="Q297" i="30"/>
  <c r="U297" i="30"/>
  <c r="Y297" i="30"/>
  <c r="AC297" i="30"/>
  <c r="AG297" i="30"/>
  <c r="AK297" i="30"/>
  <c r="AO297" i="30"/>
  <c r="AS297" i="30"/>
  <c r="A298" i="30"/>
  <c r="E298" i="30"/>
  <c r="I298" i="30"/>
  <c r="M298" i="30"/>
  <c r="Q298" i="30"/>
  <c r="U298" i="30"/>
  <c r="Y298" i="30"/>
  <c r="AC298" i="30"/>
  <c r="AG298" i="30"/>
  <c r="AK298" i="30"/>
  <c r="AO298" i="30"/>
  <c r="AS298" i="30"/>
  <c r="A299" i="30"/>
  <c r="E299" i="30"/>
  <c r="I299" i="30"/>
  <c r="M299" i="30"/>
  <c r="Q299" i="30"/>
  <c r="U299" i="30"/>
  <c r="Y299" i="30"/>
  <c r="AC299" i="30"/>
  <c r="AG299" i="30"/>
  <c r="AK299" i="30"/>
  <c r="AO299" i="30"/>
  <c r="AS299" i="30"/>
  <c r="A300" i="30"/>
  <c r="E300" i="30"/>
  <c r="I300" i="30"/>
  <c r="M300" i="30"/>
  <c r="Q300" i="30"/>
  <c r="U300" i="30"/>
  <c r="Y300" i="30"/>
  <c r="AC300" i="30"/>
  <c r="AG300" i="30"/>
  <c r="AK300" i="30"/>
  <c r="AO300" i="30"/>
  <c r="AS300" i="30"/>
  <c r="A301" i="30"/>
  <c r="E301" i="30"/>
  <c r="I301" i="30"/>
  <c r="M301" i="30"/>
  <c r="Q301" i="30"/>
  <c r="U301" i="30"/>
  <c r="Y301" i="30"/>
  <c r="AC301" i="30"/>
  <c r="AG301" i="30"/>
  <c r="AK301" i="30"/>
  <c r="AO301" i="30"/>
  <c r="AS301" i="30"/>
  <c r="A302" i="30"/>
  <c r="E302" i="30"/>
  <c r="I302" i="30"/>
  <c r="M302" i="30"/>
  <c r="Q302" i="30"/>
  <c r="U302" i="30"/>
  <c r="Y302" i="30"/>
  <c r="AC302" i="30"/>
  <c r="AG302" i="30"/>
  <c r="AK302" i="30"/>
  <c r="AO302" i="30"/>
  <c r="AS302" i="30"/>
  <c r="A303" i="30"/>
  <c r="E303" i="30"/>
  <c r="I303" i="30"/>
  <c r="M303" i="30"/>
  <c r="Q303" i="30"/>
  <c r="U303" i="30"/>
  <c r="Y303" i="30"/>
  <c r="AC303" i="30"/>
  <c r="AG303" i="30"/>
  <c r="AK303" i="30"/>
  <c r="AO303" i="30"/>
  <c r="AS303" i="30"/>
  <c r="A304" i="30"/>
  <c r="E304" i="30"/>
  <c r="I304" i="30"/>
  <c r="M304" i="30"/>
  <c r="Q304" i="30"/>
  <c r="U304" i="30"/>
  <c r="Y304" i="30"/>
  <c r="AC304" i="30"/>
  <c r="AG304" i="30"/>
  <c r="AK304" i="30"/>
  <c r="AO304" i="30"/>
  <c r="AS304" i="30"/>
  <c r="A305" i="30"/>
  <c r="E305" i="30"/>
  <c r="I305" i="30"/>
  <c r="M305" i="30"/>
  <c r="Q305" i="30"/>
  <c r="U305" i="30"/>
  <c r="Y305" i="30"/>
  <c r="AC305" i="30"/>
  <c r="AG305" i="30"/>
  <c r="AK305" i="30"/>
  <c r="AO305" i="30"/>
  <c r="AS305" i="30"/>
  <c r="A306" i="30"/>
  <c r="E306" i="30"/>
  <c r="I306" i="30"/>
  <c r="M306" i="30"/>
  <c r="Q306" i="30"/>
  <c r="U306" i="30"/>
  <c r="Y306" i="30"/>
  <c r="AC306" i="30"/>
  <c r="AG306" i="30"/>
  <c r="AK306" i="30"/>
  <c r="AO306" i="30"/>
  <c r="AS306" i="30"/>
  <c r="A307" i="30"/>
  <c r="E307" i="30"/>
  <c r="I307" i="30"/>
  <c r="M307" i="30"/>
  <c r="Q307" i="30"/>
  <c r="U307" i="30"/>
  <c r="Y307" i="30"/>
  <c r="AC307" i="30"/>
  <c r="AG307" i="30"/>
  <c r="AK307" i="30"/>
  <c r="AO307" i="30"/>
  <c r="AS307" i="30"/>
  <c r="A308" i="30"/>
  <c r="E308" i="30"/>
  <c r="I308" i="30"/>
  <c r="M308" i="30"/>
  <c r="Q308" i="30"/>
  <c r="U308" i="30"/>
  <c r="Y308" i="30"/>
  <c r="AC308" i="30"/>
  <c r="AG308" i="30"/>
  <c r="AK308" i="30"/>
  <c r="AO308" i="30"/>
  <c r="AS308" i="30"/>
  <c r="A309" i="30"/>
  <c r="E309" i="30"/>
  <c r="I309" i="30"/>
  <c r="M309" i="30"/>
  <c r="Q309" i="30"/>
  <c r="U309" i="30"/>
  <c r="Y309" i="30"/>
  <c r="AC309" i="30"/>
  <c r="AG309" i="30"/>
  <c r="AK309" i="30"/>
  <c r="AO309" i="30"/>
  <c r="AS309" i="30"/>
  <c r="A310" i="30"/>
  <c r="E310" i="30"/>
  <c r="I310" i="30"/>
  <c r="M310" i="30"/>
  <c r="Q310" i="30"/>
  <c r="U310" i="30"/>
  <c r="Y310" i="30"/>
  <c r="AC310" i="30"/>
  <c r="AG310" i="30"/>
  <c r="AK310" i="30"/>
  <c r="AO310" i="30"/>
  <c r="AS310" i="30"/>
  <c r="A311" i="30"/>
  <c r="E311" i="30"/>
  <c r="I311" i="30"/>
  <c r="M311" i="30"/>
  <c r="Q311" i="30"/>
  <c r="U311" i="30"/>
  <c r="Y311" i="30"/>
  <c r="AC311" i="30"/>
  <c r="AG311" i="30"/>
  <c r="AK311" i="30"/>
  <c r="AO311" i="30"/>
  <c r="AS311" i="30"/>
  <c r="A312" i="30"/>
  <c r="E312" i="30"/>
  <c r="I312" i="30"/>
  <c r="M312" i="30"/>
  <c r="Q312" i="30"/>
  <c r="U312" i="30"/>
  <c r="Y312" i="30"/>
  <c r="AC312" i="30"/>
  <c r="AG312" i="30"/>
  <c r="AK312" i="30"/>
  <c r="AO312" i="30"/>
  <c r="AS312" i="30"/>
  <c r="A313" i="30"/>
  <c r="E313" i="30"/>
  <c r="I313" i="30"/>
  <c r="M313" i="30"/>
  <c r="Q313" i="30"/>
  <c r="U313" i="30"/>
  <c r="Y313" i="30"/>
  <c r="AC313" i="30"/>
  <c r="AG313" i="30"/>
  <c r="AK313" i="30"/>
  <c r="AO313" i="30"/>
  <c r="AS313" i="30"/>
  <c r="A314" i="30"/>
  <c r="E314" i="30"/>
  <c r="I314" i="30"/>
  <c r="M314" i="30"/>
  <c r="Q314" i="30"/>
  <c r="U314" i="30"/>
  <c r="Y314" i="30"/>
  <c r="AC314" i="30"/>
  <c r="AG314" i="30"/>
  <c r="AK314" i="30"/>
  <c r="AO314" i="30"/>
  <c r="AS314" i="30"/>
  <c r="A315" i="30"/>
  <c r="E315" i="30"/>
  <c r="I315" i="30"/>
  <c r="M315" i="30"/>
  <c r="Q315" i="30"/>
  <c r="U315" i="30"/>
  <c r="Y315" i="30"/>
  <c r="AC315" i="30"/>
  <c r="AG315" i="30"/>
  <c r="AK315" i="30"/>
  <c r="AO315" i="30"/>
  <c r="AS315" i="30"/>
  <c r="A316" i="30"/>
  <c r="E316" i="30"/>
  <c r="I316" i="30"/>
  <c r="M316" i="30"/>
  <c r="Q316" i="30"/>
  <c r="U316" i="30"/>
  <c r="Y316" i="30"/>
  <c r="AC316" i="30"/>
  <c r="AG316" i="30"/>
  <c r="AK316" i="30"/>
  <c r="AO316" i="30"/>
  <c r="AS316" i="30"/>
  <c r="A317" i="30"/>
  <c r="E317" i="30"/>
  <c r="I317" i="30"/>
  <c r="M317" i="30"/>
  <c r="Q317" i="30"/>
  <c r="U317" i="30"/>
  <c r="Y317" i="30"/>
  <c r="AC317" i="30"/>
  <c r="AG317" i="30"/>
  <c r="AK317" i="30"/>
  <c r="AO317" i="30"/>
  <c r="AS317" i="30"/>
  <c r="A318" i="30"/>
  <c r="E318" i="30"/>
  <c r="I318" i="30"/>
  <c r="M318" i="30"/>
  <c r="Q318" i="30"/>
  <c r="U318" i="30"/>
  <c r="Y318" i="30"/>
  <c r="AC318" i="30"/>
  <c r="AG318" i="30"/>
  <c r="AK318" i="30"/>
  <c r="AO318" i="30"/>
  <c r="AS318" i="30"/>
  <c r="A319" i="30"/>
  <c r="E319" i="30"/>
  <c r="I319" i="30"/>
  <c r="M319" i="30"/>
  <c r="Q319" i="30"/>
  <c r="U319" i="30"/>
  <c r="Y319" i="30"/>
  <c r="AC319" i="30"/>
  <c r="AG319" i="30"/>
  <c r="AK319" i="30"/>
  <c r="AO319" i="30"/>
  <c r="AS319" i="30"/>
  <c r="A320" i="30"/>
  <c r="E320" i="30"/>
  <c r="I320" i="30"/>
  <c r="M320" i="30"/>
  <c r="Q320" i="30"/>
  <c r="U320" i="30"/>
  <c r="Y320" i="30"/>
  <c r="AC320" i="30"/>
  <c r="AG320" i="30"/>
  <c r="AK320" i="30"/>
  <c r="AO320" i="30"/>
  <c r="AS320" i="30"/>
  <c r="A321" i="30"/>
  <c r="E321" i="30"/>
  <c r="I321" i="30"/>
  <c r="M321" i="30"/>
  <c r="Q321" i="30"/>
  <c r="U321" i="30"/>
  <c r="Y321" i="30"/>
  <c r="AC321" i="30"/>
  <c r="AG321" i="30"/>
  <c r="AK321" i="30"/>
  <c r="AO321" i="30"/>
  <c r="AS321" i="30"/>
  <c r="A322" i="30"/>
  <c r="E322" i="30"/>
  <c r="I322" i="30"/>
  <c r="M322" i="30"/>
  <c r="Q322" i="30"/>
  <c r="U322" i="30"/>
  <c r="Y322" i="30"/>
  <c r="AC322" i="30"/>
  <c r="AG322" i="30"/>
  <c r="AK322" i="30"/>
  <c r="AO322" i="30"/>
  <c r="AS322" i="30"/>
  <c r="A323" i="30"/>
  <c r="E323" i="30"/>
  <c r="I323" i="30"/>
  <c r="M323" i="30"/>
  <c r="Q323" i="30"/>
  <c r="U323" i="30"/>
  <c r="Y323" i="30"/>
  <c r="AC323" i="30"/>
  <c r="AG323" i="30"/>
  <c r="AK323" i="30"/>
  <c r="AO323" i="30"/>
  <c r="AS323" i="30"/>
  <c r="A324" i="30"/>
  <c r="E324" i="30"/>
  <c r="I324" i="30"/>
  <c r="M324" i="30"/>
  <c r="Q324" i="30"/>
  <c r="U324" i="30"/>
  <c r="Y324" i="30"/>
  <c r="AC324" i="30"/>
  <c r="AG324" i="30"/>
  <c r="AK324" i="30"/>
  <c r="AO324" i="30"/>
  <c r="AS324" i="30"/>
  <c r="A325" i="30"/>
  <c r="E325" i="30"/>
  <c r="I325" i="30"/>
  <c r="M325" i="30"/>
  <c r="Q325" i="30"/>
  <c r="U325" i="30"/>
  <c r="Y325" i="30"/>
  <c r="AC325" i="30"/>
  <c r="AG325" i="30"/>
  <c r="AK325" i="30"/>
  <c r="AO325" i="30"/>
  <c r="AS325" i="30"/>
  <c r="A326" i="30"/>
  <c r="E326" i="30"/>
  <c r="I326" i="30"/>
  <c r="M326" i="30"/>
  <c r="Q326" i="30"/>
  <c r="U326" i="30"/>
  <c r="Y326" i="30"/>
  <c r="AC326" i="30"/>
  <c r="AG326" i="30"/>
  <c r="AK326" i="30"/>
  <c r="AO326" i="30"/>
  <c r="AS326" i="30"/>
  <c r="A327" i="30"/>
  <c r="E327" i="30"/>
  <c r="I327" i="30"/>
  <c r="M327" i="30"/>
  <c r="Q327" i="30"/>
  <c r="U327" i="30"/>
  <c r="Y327" i="30"/>
  <c r="AC327" i="30"/>
  <c r="AG327" i="30"/>
  <c r="AK327" i="30"/>
  <c r="AO327" i="30"/>
  <c r="AS327" i="30"/>
  <c r="A328" i="30"/>
  <c r="E328" i="30"/>
  <c r="I328" i="30"/>
  <c r="M328" i="30"/>
  <c r="Q328" i="30"/>
  <c r="U328" i="30"/>
  <c r="Y328" i="30"/>
  <c r="AC328" i="30"/>
  <c r="AG328" i="30"/>
  <c r="AK328" i="30"/>
  <c r="AO328" i="30"/>
  <c r="AS328" i="30"/>
  <c r="A329" i="30"/>
  <c r="E329" i="30"/>
  <c r="I329" i="30"/>
  <c r="M329" i="30"/>
  <c r="Q329" i="30"/>
  <c r="U329" i="30"/>
  <c r="Y329" i="30"/>
  <c r="AC329" i="30"/>
  <c r="AG329" i="30"/>
  <c r="AK329" i="30"/>
  <c r="AO329" i="30"/>
  <c r="AS329" i="30"/>
  <c r="A330" i="30"/>
  <c r="E330" i="30"/>
  <c r="I330" i="30"/>
  <c r="M330" i="30"/>
  <c r="Q330" i="30"/>
  <c r="U330" i="30"/>
  <c r="Y330" i="30"/>
  <c r="AC330" i="30"/>
  <c r="AG330" i="30"/>
  <c r="AK330" i="30"/>
  <c r="AO330" i="30"/>
  <c r="AS330" i="30"/>
  <c r="A331" i="30"/>
  <c r="E331" i="30"/>
  <c r="I331" i="30"/>
  <c r="M331" i="30"/>
  <c r="Q331" i="30"/>
  <c r="U331" i="30"/>
  <c r="Y331" i="30"/>
  <c r="AC331" i="30"/>
  <c r="AG331" i="30"/>
  <c r="AK331" i="30"/>
  <c r="AO331" i="30"/>
  <c r="AS331" i="30"/>
  <c r="A332" i="30"/>
  <c r="E332" i="30"/>
  <c r="I332" i="30"/>
  <c r="M332" i="30"/>
  <c r="Q332" i="30"/>
  <c r="U332" i="30"/>
  <c r="Y332" i="30"/>
  <c r="AC332" i="30"/>
  <c r="AG332" i="30"/>
  <c r="AK332" i="30"/>
  <c r="AO332" i="30"/>
  <c r="AS332" i="30"/>
  <c r="A333" i="30"/>
  <c r="E333" i="30"/>
  <c r="I333" i="30"/>
  <c r="M333" i="30"/>
  <c r="Q333" i="30"/>
  <c r="U333" i="30"/>
  <c r="Y333" i="30"/>
  <c r="AC333" i="30"/>
  <c r="AG333" i="30"/>
  <c r="AK333" i="30"/>
  <c r="AO333" i="30"/>
  <c r="AS333" i="30"/>
  <c r="A334" i="30"/>
  <c r="E334" i="30"/>
  <c r="I334" i="30"/>
  <c r="M334" i="30"/>
  <c r="Q334" i="30"/>
  <c r="U334" i="30"/>
  <c r="Y334" i="30"/>
  <c r="AC334" i="30"/>
  <c r="AG334" i="30"/>
  <c r="AK334" i="30"/>
  <c r="AO334" i="30"/>
  <c r="AS334" i="30"/>
  <c r="A335" i="30"/>
  <c r="E335" i="30"/>
  <c r="I335" i="30"/>
  <c r="M335" i="30"/>
  <c r="Q335" i="30"/>
  <c r="U335" i="30"/>
  <c r="Y335" i="30"/>
  <c r="AC335" i="30"/>
  <c r="AG335" i="30"/>
  <c r="AK335" i="30"/>
  <c r="AO335" i="30"/>
  <c r="AS335" i="30"/>
  <c r="A336" i="30"/>
  <c r="E336" i="30"/>
  <c r="I336" i="30"/>
  <c r="M336" i="30"/>
  <c r="Q336" i="30"/>
  <c r="U336" i="30"/>
  <c r="Y336" i="30"/>
  <c r="AC336" i="30"/>
  <c r="AG336" i="30"/>
  <c r="AK336" i="30"/>
  <c r="AO336" i="30"/>
  <c r="AS336" i="30"/>
  <c r="A337" i="30"/>
  <c r="E337" i="30"/>
  <c r="I337" i="30"/>
  <c r="M337" i="30"/>
  <c r="Q337" i="30"/>
  <c r="U337" i="30"/>
  <c r="Y337" i="30"/>
  <c r="AC337" i="30"/>
  <c r="AG337" i="30"/>
  <c r="AK337" i="30"/>
  <c r="AO337" i="30"/>
  <c r="AS337" i="30"/>
  <c r="A338" i="30"/>
  <c r="E338" i="30"/>
  <c r="I338" i="30"/>
  <c r="M338" i="30"/>
  <c r="Q338" i="30"/>
  <c r="U338" i="30"/>
  <c r="Y338" i="30"/>
  <c r="AC338" i="30"/>
  <c r="AG338" i="30"/>
  <c r="AK338" i="30"/>
  <c r="AO338" i="30"/>
  <c r="AS338" i="30"/>
  <c r="A339" i="30"/>
  <c r="E339" i="30"/>
  <c r="I339" i="30"/>
  <c r="M339" i="30"/>
  <c r="Q339" i="30"/>
  <c r="U339" i="30"/>
  <c r="Y339" i="30"/>
  <c r="AC339" i="30"/>
  <c r="AG339" i="30"/>
  <c r="AK339" i="30"/>
  <c r="AO339" i="30"/>
  <c r="AS339" i="30"/>
  <c r="A340" i="30"/>
  <c r="E340" i="30"/>
  <c r="I340" i="30"/>
  <c r="M340" i="30"/>
  <c r="Q340" i="30"/>
  <c r="U340" i="30"/>
  <c r="Y340" i="30"/>
  <c r="AC340" i="30"/>
  <c r="AG340" i="30"/>
  <c r="AK340" i="30"/>
  <c r="AO340" i="30"/>
  <c r="AS340" i="30"/>
  <c r="A341" i="30"/>
  <c r="E341" i="30"/>
  <c r="I341" i="30"/>
  <c r="M341" i="30"/>
  <c r="Q341" i="30"/>
  <c r="U341" i="30"/>
  <c r="Y341" i="30"/>
  <c r="AC341" i="30"/>
  <c r="AG341" i="30"/>
  <c r="AK341" i="30"/>
  <c r="AO341" i="30"/>
  <c r="AS341" i="30"/>
  <c r="A342" i="30"/>
  <c r="E342" i="30"/>
  <c r="I342" i="30"/>
  <c r="M342" i="30"/>
  <c r="Q342" i="30"/>
  <c r="U342" i="30"/>
  <c r="Y342" i="30"/>
  <c r="AC342" i="30"/>
  <c r="AG342" i="30"/>
  <c r="AK342" i="30"/>
  <c r="AO342" i="30"/>
  <c r="AS342" i="30"/>
  <c r="A343" i="30"/>
  <c r="E343" i="30"/>
  <c r="I343" i="30"/>
  <c r="M343" i="30"/>
  <c r="Q343" i="30"/>
  <c r="U343" i="30"/>
  <c r="Y343" i="30"/>
  <c r="AC343" i="30"/>
  <c r="AG343" i="30"/>
  <c r="AK343" i="30"/>
  <c r="AO343" i="30"/>
  <c r="AS343" i="30"/>
  <c r="A344" i="30"/>
  <c r="E344" i="30"/>
  <c r="I344" i="30"/>
  <c r="M344" i="30"/>
  <c r="Q344" i="30"/>
  <c r="U344" i="30"/>
  <c r="Y344" i="30"/>
  <c r="AC344" i="30"/>
  <c r="AG344" i="30"/>
  <c r="AK344" i="30"/>
  <c r="AO344" i="30"/>
  <c r="AS344" i="30"/>
  <c r="A345" i="30"/>
  <c r="E345" i="30"/>
  <c r="I345" i="30"/>
  <c r="M345" i="30"/>
  <c r="Q345" i="30"/>
  <c r="U345" i="30"/>
  <c r="Y345" i="30"/>
  <c r="AC345" i="30"/>
  <c r="AG345" i="30"/>
  <c r="AK345" i="30"/>
  <c r="AO345" i="30"/>
  <c r="AS345" i="30"/>
  <c r="A346" i="30"/>
  <c r="E346" i="30"/>
  <c r="I346" i="30"/>
  <c r="M346" i="30"/>
  <c r="Q346" i="30"/>
  <c r="U346" i="30"/>
  <c r="Y346" i="30"/>
  <c r="AC346" i="30"/>
  <c r="AG346" i="30"/>
  <c r="AK346" i="30"/>
  <c r="AO346" i="30"/>
  <c r="AS346" i="30"/>
  <c r="A347" i="30"/>
  <c r="E347" i="30"/>
  <c r="I347" i="30"/>
  <c r="M347" i="30"/>
  <c r="Q347" i="30"/>
  <c r="U347" i="30"/>
  <c r="Y347" i="30"/>
  <c r="AC347" i="30"/>
  <c r="AG347" i="30"/>
  <c r="AK347" i="30"/>
  <c r="AO347" i="30"/>
  <c r="AS347" i="30"/>
  <c r="A348" i="30"/>
  <c r="E348" i="30"/>
  <c r="I348" i="30"/>
  <c r="M348" i="30"/>
  <c r="Q348" i="30"/>
  <c r="U348" i="30"/>
  <c r="Y348" i="30"/>
  <c r="AC348" i="30"/>
  <c r="AG348" i="30"/>
  <c r="AK348" i="30"/>
  <c r="AO348" i="30"/>
  <c r="AS348" i="30"/>
  <c r="A349" i="30"/>
  <c r="E349" i="30"/>
  <c r="I349" i="30"/>
  <c r="M349" i="30"/>
  <c r="Q349" i="30"/>
  <c r="U349" i="30"/>
  <c r="Y349" i="30"/>
  <c r="AC349" i="30"/>
  <c r="AG349" i="30"/>
  <c r="AK349" i="30"/>
  <c r="AO349" i="30"/>
  <c r="AS349" i="30"/>
  <c r="A350" i="30"/>
  <c r="E350" i="30"/>
  <c r="I350" i="30"/>
  <c r="M350" i="30"/>
  <c r="Q350" i="30"/>
  <c r="U350" i="30"/>
  <c r="Y350" i="30"/>
  <c r="AC350" i="30"/>
  <c r="AG350" i="30"/>
  <c r="AK350" i="30"/>
  <c r="AO350" i="30"/>
  <c r="AS350" i="30"/>
  <c r="A351" i="30"/>
  <c r="E351" i="30"/>
  <c r="I351" i="30"/>
  <c r="M351" i="30"/>
  <c r="Q351" i="30"/>
  <c r="U351" i="30"/>
  <c r="Y351" i="30"/>
  <c r="AC351" i="30"/>
  <c r="AG351" i="30"/>
  <c r="AK351" i="30"/>
  <c r="AO351" i="30"/>
  <c r="AS351" i="30"/>
  <c r="A352" i="30"/>
  <c r="E352" i="30"/>
  <c r="I352" i="30"/>
  <c r="M352" i="30"/>
  <c r="Q352" i="30"/>
  <c r="U352" i="30"/>
  <c r="Y352" i="30"/>
  <c r="AC352" i="30"/>
  <c r="AG352" i="30"/>
  <c r="AK352" i="30"/>
  <c r="AO352" i="30"/>
  <c r="AS352" i="30"/>
  <c r="A353" i="30"/>
  <c r="E353" i="30"/>
  <c r="I353" i="30"/>
  <c r="M353" i="30"/>
  <c r="Q353" i="30"/>
  <c r="U353" i="30"/>
  <c r="Y353" i="30"/>
  <c r="AC353" i="30"/>
  <c r="AG353" i="30"/>
  <c r="AK353" i="30"/>
  <c r="AO353" i="30"/>
  <c r="AS353" i="30"/>
  <c r="A354" i="30"/>
  <c r="E354" i="30"/>
  <c r="I354" i="30"/>
  <c r="M354" i="30"/>
  <c r="Q354" i="30"/>
  <c r="U354" i="30"/>
  <c r="Y354" i="30"/>
  <c r="AC354" i="30"/>
  <c r="AG354" i="30"/>
  <c r="AK354" i="30"/>
  <c r="AO354" i="30"/>
  <c r="AS354" i="30"/>
  <c r="A355" i="30"/>
  <c r="E355" i="30"/>
  <c r="I355" i="30"/>
  <c r="M355" i="30"/>
  <c r="Q355" i="30"/>
  <c r="U355" i="30"/>
  <c r="Y355" i="30"/>
  <c r="AC355" i="30"/>
  <c r="AG355" i="30"/>
  <c r="AK355" i="30"/>
  <c r="AO355" i="30"/>
  <c r="AS355" i="30"/>
  <c r="A356" i="30"/>
  <c r="E356" i="30"/>
  <c r="I356" i="30"/>
  <c r="M356" i="30"/>
  <c r="Q356" i="30"/>
  <c r="U356" i="30"/>
  <c r="Y356" i="30"/>
  <c r="AC356" i="30"/>
  <c r="AG356" i="30"/>
  <c r="AK356" i="30"/>
  <c r="AO356" i="30"/>
  <c r="AS356" i="30"/>
  <c r="A357" i="30"/>
  <c r="E357" i="30"/>
  <c r="I357" i="30"/>
  <c r="M357" i="30"/>
  <c r="Q357" i="30"/>
  <c r="U357" i="30"/>
  <c r="Y357" i="30"/>
  <c r="AC357" i="30"/>
  <c r="AG357" i="30"/>
  <c r="AK357" i="30"/>
  <c r="AO357" i="30"/>
  <c r="AS357" i="30"/>
  <c r="A358" i="30"/>
  <c r="E358" i="30"/>
  <c r="I358" i="30"/>
  <c r="M358" i="30"/>
  <c r="Q358" i="30"/>
  <c r="U358" i="30"/>
  <c r="Y358" i="30"/>
  <c r="AC358" i="30"/>
  <c r="AG358" i="30"/>
  <c r="AK358" i="30"/>
  <c r="AO358" i="30"/>
  <c r="AS358" i="30"/>
  <c r="A359" i="30"/>
  <c r="E359" i="30"/>
  <c r="I359" i="30"/>
  <c r="M359" i="30"/>
  <c r="Q359" i="30"/>
  <c r="U359" i="30"/>
  <c r="Y359" i="30"/>
  <c r="AC359" i="30"/>
  <c r="AG359" i="30"/>
  <c r="AK359" i="30"/>
  <c r="AO359" i="30"/>
  <c r="AS359" i="30"/>
  <c r="A360" i="30"/>
  <c r="E360" i="30"/>
  <c r="I360" i="30"/>
  <c r="M360" i="30"/>
  <c r="Q360" i="30"/>
  <c r="U360" i="30"/>
  <c r="Y360" i="30"/>
  <c r="AC360" i="30"/>
  <c r="AG360" i="30"/>
  <c r="AK360" i="30"/>
  <c r="AO360" i="30"/>
  <c r="AS360" i="30"/>
  <c r="A361" i="30"/>
  <c r="E361" i="30"/>
  <c r="I361" i="30"/>
  <c r="M361" i="30"/>
  <c r="Q361" i="30"/>
  <c r="U361" i="30"/>
  <c r="Y361" i="30"/>
  <c r="AC361" i="30"/>
  <c r="AG361" i="30"/>
  <c r="AK361" i="30"/>
  <c r="AO361" i="30"/>
  <c r="AS361" i="30"/>
  <c r="A362" i="30"/>
  <c r="E362" i="30"/>
  <c r="I362" i="30"/>
  <c r="M362" i="30"/>
  <c r="Q362" i="30"/>
  <c r="U362" i="30"/>
  <c r="Y362" i="30"/>
  <c r="AC362" i="30"/>
  <c r="AG362" i="30"/>
  <c r="AK362" i="30"/>
  <c r="AO362" i="30"/>
  <c r="AS362" i="30"/>
  <c r="A363" i="30"/>
  <c r="E363" i="30"/>
  <c r="I363" i="30"/>
  <c r="M363" i="30"/>
  <c r="Q363" i="30"/>
  <c r="U363" i="30"/>
  <c r="Y363" i="30"/>
  <c r="AC363" i="30"/>
  <c r="AG363" i="30"/>
  <c r="AK363" i="30"/>
  <c r="AO363" i="30"/>
  <c r="AS363" i="30"/>
  <c r="A364" i="30"/>
  <c r="E364" i="30"/>
  <c r="I364" i="30"/>
  <c r="M364" i="30"/>
  <c r="Q364" i="30"/>
  <c r="U364" i="30"/>
  <c r="Y364" i="30"/>
  <c r="AC364" i="30"/>
  <c r="AG364" i="30"/>
  <c r="AK364" i="30"/>
  <c r="AO364" i="30"/>
  <c r="AS364" i="30"/>
  <c r="A365" i="30"/>
  <c r="E365" i="30"/>
  <c r="I365" i="30"/>
  <c r="M365" i="30"/>
  <c r="Q365" i="30"/>
  <c r="U365" i="30"/>
  <c r="Y365" i="30"/>
  <c r="AC365" i="30"/>
  <c r="AG365" i="30"/>
  <c r="AK365" i="30"/>
  <c r="AO365" i="30"/>
  <c r="AS365" i="30"/>
  <c r="A366" i="30"/>
  <c r="E366" i="30"/>
  <c r="I366" i="30"/>
  <c r="M366" i="30"/>
  <c r="Q366" i="30"/>
  <c r="U366" i="30"/>
  <c r="Y366" i="30"/>
  <c r="AC366" i="30"/>
  <c r="AG366" i="30"/>
  <c r="AK366" i="30"/>
  <c r="AO366" i="30"/>
  <c r="AS366" i="30"/>
  <c r="A367" i="30"/>
  <c r="E367" i="30"/>
  <c r="I367" i="30"/>
  <c r="M367" i="30"/>
  <c r="Q367" i="30"/>
  <c r="U367" i="30"/>
  <c r="Y367" i="30"/>
  <c r="AC367" i="30"/>
  <c r="AG367" i="30"/>
  <c r="AK367" i="30"/>
  <c r="AO367" i="30"/>
  <c r="AS367" i="30"/>
  <c r="A368" i="30"/>
  <c r="E368" i="30"/>
  <c r="I368" i="30"/>
  <c r="M368" i="30"/>
  <c r="Q368" i="30"/>
  <c r="U368" i="30"/>
  <c r="Y368" i="30"/>
  <c r="AC368" i="30"/>
  <c r="AG368" i="30"/>
  <c r="AK368" i="30"/>
  <c r="AO368" i="30"/>
  <c r="AS368" i="30"/>
  <c r="A369" i="30"/>
  <c r="E369" i="30"/>
  <c r="I369" i="30"/>
  <c r="M369" i="30"/>
  <c r="Q369" i="30"/>
  <c r="U369" i="30"/>
  <c r="Y369" i="30"/>
  <c r="AC369" i="30"/>
  <c r="AG369" i="30"/>
  <c r="AK369" i="30"/>
  <c r="AO369" i="30"/>
  <c r="AS369" i="30"/>
  <c r="A370" i="30"/>
  <c r="E370" i="30"/>
  <c r="I370" i="30"/>
  <c r="M370" i="30"/>
  <c r="Q370" i="30"/>
  <c r="U370" i="30"/>
  <c r="Y370" i="30"/>
  <c r="AC370" i="30"/>
  <c r="AG370" i="30"/>
  <c r="AK370" i="30"/>
  <c r="AO370" i="30"/>
  <c r="AS370" i="30"/>
  <c r="A371" i="30"/>
  <c r="E371" i="30"/>
  <c r="I371" i="30"/>
  <c r="M371" i="30"/>
  <c r="Q371" i="30"/>
  <c r="U371" i="30"/>
  <c r="Y371" i="30"/>
  <c r="AC371" i="30"/>
  <c r="AG371" i="30"/>
  <c r="AK371" i="30"/>
  <c r="AO371" i="30"/>
  <c r="AS371" i="30"/>
  <c r="A372" i="30"/>
  <c r="E372" i="30"/>
  <c r="I372" i="30"/>
  <c r="M372" i="30"/>
  <c r="Q372" i="30"/>
  <c r="U372" i="30"/>
  <c r="Y372" i="30"/>
  <c r="AC372" i="30"/>
  <c r="AG372" i="30"/>
  <c r="AK372" i="30"/>
  <c r="AO372" i="30"/>
  <c r="AS372" i="30"/>
  <c r="A373" i="30"/>
  <c r="E373" i="30"/>
  <c r="I373" i="30"/>
  <c r="M373" i="30"/>
  <c r="Q373" i="30"/>
  <c r="U373" i="30"/>
  <c r="Y373" i="30"/>
  <c r="AC373" i="30"/>
  <c r="AG373" i="30"/>
  <c r="AK373" i="30"/>
  <c r="AO373" i="30"/>
  <c r="AS373" i="30"/>
  <c r="A374" i="30"/>
  <c r="E374" i="30"/>
  <c r="I374" i="30"/>
  <c r="M374" i="30"/>
  <c r="Q374" i="30"/>
  <c r="U374" i="30"/>
  <c r="Y374" i="30"/>
  <c r="AC374" i="30"/>
  <c r="AG374" i="30"/>
  <c r="AK374" i="30"/>
  <c r="AO374" i="30"/>
  <c r="AS374" i="30"/>
  <c r="A375" i="30"/>
  <c r="E375" i="30"/>
  <c r="I375" i="30"/>
  <c r="M375" i="30"/>
  <c r="Q375" i="30"/>
  <c r="U375" i="30"/>
  <c r="Y375" i="30"/>
  <c r="AC375" i="30"/>
  <c r="AG375" i="30"/>
  <c r="AK375" i="30"/>
  <c r="AO375" i="30"/>
  <c r="AS375" i="30"/>
  <c r="A376" i="30"/>
  <c r="E376" i="30"/>
  <c r="I376" i="30"/>
  <c r="M376" i="30"/>
  <c r="Q376" i="30"/>
  <c r="U376" i="30"/>
  <c r="Y376" i="30"/>
  <c r="AC376" i="30"/>
  <c r="AG376" i="30"/>
  <c r="AK376" i="30"/>
  <c r="AO376" i="30"/>
  <c r="AS376" i="30"/>
  <c r="A377" i="30"/>
  <c r="E377" i="30"/>
  <c r="I377" i="30"/>
  <c r="M377" i="30"/>
  <c r="Q377" i="30"/>
  <c r="U377" i="30"/>
  <c r="Y377" i="30"/>
  <c r="AC377" i="30"/>
  <c r="AG377" i="30"/>
  <c r="AK377" i="30"/>
  <c r="AO377" i="30"/>
  <c r="AS377" i="30"/>
  <c r="A378" i="30"/>
  <c r="E378" i="30"/>
  <c r="I378" i="30"/>
  <c r="M378" i="30"/>
  <c r="Q378" i="30"/>
  <c r="U378" i="30"/>
  <c r="Y378" i="30"/>
  <c r="AC378" i="30"/>
  <c r="AG378" i="30"/>
  <c r="AK378" i="30"/>
  <c r="AO378" i="30"/>
  <c r="AS378" i="30"/>
  <c r="A379" i="30"/>
  <c r="E379" i="30"/>
  <c r="I379" i="30"/>
  <c r="M379" i="30"/>
  <c r="Q379" i="30"/>
  <c r="U379" i="30"/>
  <c r="Y379" i="30"/>
  <c r="AC379" i="30"/>
  <c r="AG379" i="30"/>
  <c r="AK379" i="30"/>
  <c r="AO379" i="30"/>
  <c r="AS379" i="30"/>
  <c r="A380" i="30"/>
  <c r="E380" i="30"/>
  <c r="I380" i="30"/>
  <c r="M380" i="30"/>
  <c r="Q380" i="30"/>
  <c r="U380" i="30"/>
  <c r="Y380" i="30"/>
  <c r="AC380" i="30"/>
  <c r="AG380" i="30"/>
  <c r="AK380" i="30"/>
  <c r="AO380" i="30"/>
  <c r="AS380" i="30"/>
  <c r="A381" i="30"/>
  <c r="E381" i="30"/>
  <c r="I381" i="30"/>
  <c r="M381" i="30"/>
  <c r="Q381" i="30"/>
  <c r="U381" i="30"/>
  <c r="Y381" i="30"/>
  <c r="AC381" i="30"/>
  <c r="AG381" i="30"/>
  <c r="AK381" i="30"/>
  <c r="AO381" i="30"/>
  <c r="AS381" i="30"/>
  <c r="A382" i="30"/>
  <c r="E382" i="30"/>
  <c r="I382" i="30"/>
  <c r="M382" i="30"/>
  <c r="Q382" i="30"/>
  <c r="U382" i="30"/>
  <c r="Y382" i="30"/>
  <c r="AC382" i="30"/>
  <c r="AG382" i="30"/>
  <c r="AK382" i="30"/>
  <c r="AO382" i="30"/>
  <c r="AS382" i="30"/>
  <c r="A383" i="30"/>
  <c r="E383" i="30"/>
  <c r="I383" i="30"/>
  <c r="M383" i="30"/>
  <c r="Q383" i="30"/>
  <c r="U383" i="30"/>
  <c r="Y383" i="30"/>
  <c r="AC383" i="30"/>
  <c r="AG383" i="30"/>
  <c r="AK383" i="30"/>
  <c r="AO383" i="30"/>
  <c r="AS383" i="30"/>
  <c r="A384" i="30"/>
  <c r="E384" i="30"/>
  <c r="I384" i="30"/>
  <c r="M384" i="30"/>
  <c r="Q384" i="30"/>
  <c r="U384" i="30"/>
  <c r="Y384" i="30"/>
  <c r="AC384" i="30"/>
  <c r="AG384" i="30"/>
  <c r="AK384" i="30"/>
  <c r="AO384" i="30"/>
  <c r="AS384" i="30"/>
  <c r="A385" i="30"/>
  <c r="E385" i="30"/>
  <c r="I385" i="30"/>
  <c r="M385" i="30"/>
  <c r="Q385" i="30"/>
  <c r="U385" i="30"/>
  <c r="Y385" i="30"/>
  <c r="AC385" i="30"/>
  <c r="AG385" i="30"/>
  <c r="AK385" i="30"/>
  <c r="AO385" i="30"/>
  <c r="AS385" i="30"/>
  <c r="A386" i="30"/>
  <c r="E386" i="30"/>
  <c r="I386" i="30"/>
  <c r="M386" i="30"/>
  <c r="Q386" i="30"/>
  <c r="U386" i="30"/>
  <c r="Y386" i="30"/>
  <c r="AC386" i="30"/>
  <c r="AG386" i="30"/>
  <c r="AK386" i="30"/>
  <c r="AO386" i="30"/>
  <c r="AS386" i="30"/>
  <c r="A387" i="30"/>
  <c r="E387" i="30"/>
  <c r="I387" i="30"/>
  <c r="M387" i="30"/>
  <c r="Q387" i="30"/>
  <c r="U387" i="30"/>
  <c r="Y387" i="30"/>
  <c r="AC387" i="30"/>
  <c r="AG387" i="30"/>
  <c r="AK387" i="30"/>
  <c r="AO387" i="30"/>
  <c r="AS387" i="30"/>
  <c r="A388" i="30"/>
  <c r="E388" i="30"/>
  <c r="I388" i="30"/>
  <c r="M388" i="30"/>
  <c r="Q388" i="30"/>
  <c r="U388" i="30"/>
  <c r="Y388" i="30"/>
  <c r="AC388" i="30"/>
  <c r="AG388" i="30"/>
  <c r="AK388" i="30"/>
  <c r="AO388" i="30"/>
  <c r="AS388" i="30"/>
  <c r="A389" i="30"/>
  <c r="E389" i="30"/>
  <c r="I389" i="30"/>
  <c r="M389" i="30"/>
  <c r="Q389" i="30"/>
  <c r="U389" i="30"/>
  <c r="Y389" i="30"/>
  <c r="AC389" i="30"/>
  <c r="AG389" i="30"/>
  <c r="AK389" i="30"/>
  <c r="AO389" i="30"/>
  <c r="AS389" i="30"/>
  <c r="A390" i="30"/>
  <c r="E390" i="30"/>
  <c r="I390" i="30"/>
  <c r="M390" i="30"/>
  <c r="Q390" i="30"/>
  <c r="U390" i="30"/>
  <c r="Y390" i="30"/>
  <c r="AC390" i="30"/>
  <c r="AG390" i="30"/>
  <c r="AK390" i="30"/>
  <c r="AO390" i="30"/>
  <c r="AS390" i="30"/>
  <c r="A391" i="30"/>
  <c r="E391" i="30"/>
  <c r="I391" i="30"/>
  <c r="M391" i="30"/>
  <c r="Q391" i="30"/>
  <c r="U391" i="30"/>
  <c r="Y391" i="30"/>
  <c r="AC391" i="30"/>
  <c r="AG391" i="30"/>
  <c r="AK391" i="30"/>
  <c r="AO391" i="30"/>
  <c r="AS391" i="30"/>
  <c r="A392" i="30"/>
  <c r="E392" i="30"/>
  <c r="I392" i="30"/>
  <c r="M392" i="30"/>
  <c r="Q392" i="30"/>
  <c r="U392" i="30"/>
  <c r="Y392" i="30"/>
  <c r="AC392" i="30"/>
  <c r="AG392" i="30"/>
  <c r="AK392" i="30"/>
  <c r="AO392" i="30"/>
  <c r="AS392" i="30"/>
  <c r="A393" i="30"/>
  <c r="E393" i="30"/>
  <c r="I393" i="30"/>
  <c r="M393" i="30"/>
  <c r="Q393" i="30"/>
  <c r="U393" i="30"/>
  <c r="Y393" i="30"/>
  <c r="AC393" i="30"/>
  <c r="AG393" i="30"/>
  <c r="AK393" i="30"/>
  <c r="AO393" i="30"/>
  <c r="AS393" i="30"/>
  <c r="A394" i="30"/>
  <c r="E394" i="30"/>
  <c r="I394" i="30"/>
  <c r="M394" i="30"/>
  <c r="Q394" i="30"/>
  <c r="U394" i="30"/>
  <c r="Y394" i="30"/>
  <c r="AC394" i="30"/>
  <c r="AG394" i="30"/>
  <c r="AK394" i="30"/>
  <c r="AO394" i="30"/>
  <c r="AS394" i="30"/>
  <c r="A395" i="30"/>
  <c r="E395" i="30"/>
  <c r="I395" i="30"/>
  <c r="M395" i="30"/>
  <c r="Q395" i="30"/>
  <c r="U395" i="30"/>
  <c r="Y395" i="30"/>
  <c r="AC395" i="30"/>
  <c r="AG395" i="30"/>
  <c r="AK395" i="30"/>
  <c r="AO395" i="30"/>
  <c r="AS395" i="30"/>
  <c r="A396" i="30"/>
  <c r="E396" i="30"/>
  <c r="I396" i="30"/>
  <c r="M396" i="30"/>
  <c r="Q396" i="30"/>
  <c r="U396" i="30"/>
  <c r="Y396" i="30"/>
  <c r="AC396" i="30"/>
  <c r="AG396" i="30"/>
  <c r="AK396" i="30"/>
  <c r="AO396" i="30"/>
  <c r="AS396" i="30"/>
  <c r="A397" i="30"/>
  <c r="E397" i="30"/>
  <c r="I397" i="30"/>
  <c r="M397" i="30"/>
  <c r="Q397" i="30"/>
  <c r="U397" i="30"/>
  <c r="Y397" i="30"/>
  <c r="AC397" i="30"/>
  <c r="AG397" i="30"/>
  <c r="AK397" i="30"/>
  <c r="AO397" i="30"/>
  <c r="AS397" i="30"/>
  <c r="A398" i="30"/>
  <c r="E398" i="30"/>
  <c r="I398" i="30"/>
  <c r="M398" i="30"/>
  <c r="Q398" i="30"/>
  <c r="U398" i="30"/>
  <c r="Y398" i="30"/>
  <c r="AC398" i="30"/>
  <c r="AG398" i="30"/>
  <c r="AK398" i="30"/>
  <c r="AO398" i="30"/>
  <c r="AS398" i="30"/>
  <c r="A399" i="30"/>
  <c r="E399" i="30"/>
  <c r="I399" i="30"/>
  <c r="M399" i="30"/>
  <c r="Q399" i="30"/>
  <c r="U399" i="30"/>
  <c r="Y399" i="30"/>
  <c r="AC399" i="30"/>
  <c r="AG399" i="30"/>
  <c r="AK399" i="30"/>
  <c r="AO399" i="30"/>
  <c r="AS399" i="30"/>
  <c r="A400" i="30"/>
  <c r="E400" i="30"/>
  <c r="I400" i="30"/>
  <c r="M400" i="30"/>
  <c r="Q400" i="30"/>
  <c r="U400" i="30"/>
  <c r="Y400" i="30"/>
  <c r="AC400" i="30"/>
  <c r="AG400" i="30"/>
  <c r="AK400" i="30"/>
  <c r="AO400" i="30"/>
  <c r="AS400" i="30"/>
  <c r="AS3" i="30"/>
  <c r="AO3" i="30"/>
  <c r="AK3" i="30"/>
  <c r="AG3" i="30"/>
  <c r="AC3" i="30"/>
  <c r="Y3" i="30"/>
  <c r="U3" i="30"/>
  <c r="Q3" i="30"/>
  <c r="M3" i="30"/>
  <c r="I3" i="30"/>
  <c r="A3" i="30"/>
  <c r="E3" i="30"/>
  <c r="BY13" i="22"/>
  <c r="AM1" i="30" l="1" a="1"/>
  <c r="AM1" i="30" s="1"/>
  <c r="AI1" i="30" a="1"/>
  <c r="AI1" i="30" s="1"/>
  <c r="AG1" i="30" s="1"/>
  <c r="C1" i="30" a="1"/>
  <c r="C1" i="30" s="1"/>
  <c r="AE1" i="30" a="1"/>
  <c r="AE1" i="30" s="1"/>
  <c r="G1" i="30" a="1"/>
  <c r="G1" i="30" s="1"/>
  <c r="AU1" i="30" a="1"/>
  <c r="AU1" i="30" s="1"/>
  <c r="AA1" i="30" a="1"/>
  <c r="AA1" i="30" s="1"/>
  <c r="O1" i="30" a="1"/>
  <c r="O1" i="30" s="1"/>
  <c r="AQ1" i="30" a="1"/>
  <c r="AQ1" i="30" s="1"/>
  <c r="K1" i="30" a="1"/>
  <c r="K1" i="30" s="1"/>
  <c r="W1" i="30" a="1"/>
  <c r="W1" i="30" s="1"/>
  <c r="AT1" i="30"/>
  <c r="AS1" i="30" s="1"/>
  <c r="N1" i="30"/>
  <c r="M1" i="30" s="1"/>
  <c r="AP1" i="30"/>
  <c r="AO1" i="30" s="1"/>
  <c r="J1" i="30"/>
  <c r="I1" i="30" s="1"/>
  <c r="V1" i="30"/>
  <c r="AD1" i="30"/>
  <c r="AC1" i="30" s="1"/>
  <c r="Z1" i="30"/>
  <c r="Y1" i="30" s="1"/>
  <c r="R1" i="30"/>
  <c r="Q1" i="30" s="1"/>
  <c r="AL1" i="30"/>
  <c r="AK1" i="30" s="1"/>
  <c r="F1" i="30"/>
  <c r="E1" i="30" s="1"/>
  <c r="B1" i="30"/>
  <c r="A1" i="30" s="1"/>
  <c r="L400" i="28"/>
  <c r="K400" i="28"/>
  <c r="J400" i="28"/>
  <c r="I400" i="28"/>
  <c r="H400" i="28"/>
  <c r="G400" i="28"/>
  <c r="F400" i="28"/>
  <c r="E400" i="28"/>
  <c r="D400" i="28"/>
  <c r="C400" i="28"/>
  <c r="B400" i="28"/>
  <c r="A400" i="28"/>
  <c r="L399" i="28"/>
  <c r="K399" i="28"/>
  <c r="J399" i="28"/>
  <c r="I399" i="28"/>
  <c r="H399" i="28"/>
  <c r="G399" i="28"/>
  <c r="F399" i="28"/>
  <c r="E399" i="28"/>
  <c r="D399" i="28"/>
  <c r="C399" i="28"/>
  <c r="B399" i="28"/>
  <c r="A399" i="28"/>
  <c r="L398" i="28"/>
  <c r="K398" i="28"/>
  <c r="J398" i="28"/>
  <c r="I398" i="28"/>
  <c r="H398" i="28"/>
  <c r="G398" i="28"/>
  <c r="F398" i="28"/>
  <c r="E398" i="28"/>
  <c r="D398" i="28"/>
  <c r="C398" i="28"/>
  <c r="B398" i="28"/>
  <c r="A398" i="28"/>
  <c r="L397" i="28"/>
  <c r="K397" i="28"/>
  <c r="J397" i="28"/>
  <c r="I397" i="28"/>
  <c r="H397" i="28"/>
  <c r="G397" i="28"/>
  <c r="F397" i="28"/>
  <c r="E397" i="28"/>
  <c r="D397" i="28"/>
  <c r="C397" i="28"/>
  <c r="B397" i="28"/>
  <c r="A397" i="28"/>
  <c r="L396" i="28"/>
  <c r="K396" i="28"/>
  <c r="J396" i="28"/>
  <c r="I396" i="28"/>
  <c r="H396" i="28"/>
  <c r="G396" i="28"/>
  <c r="F396" i="28"/>
  <c r="E396" i="28"/>
  <c r="D396" i="28"/>
  <c r="C396" i="28"/>
  <c r="B396" i="28"/>
  <c r="A396" i="28"/>
  <c r="L395" i="28"/>
  <c r="K395" i="28"/>
  <c r="J395" i="28"/>
  <c r="I395" i="28"/>
  <c r="H395" i="28"/>
  <c r="G395" i="28"/>
  <c r="F395" i="28"/>
  <c r="E395" i="28"/>
  <c r="D395" i="28"/>
  <c r="C395" i="28"/>
  <c r="B395" i="28"/>
  <c r="A395" i="28"/>
  <c r="L394" i="28"/>
  <c r="K394" i="28"/>
  <c r="J394" i="28"/>
  <c r="I394" i="28"/>
  <c r="H394" i="28"/>
  <c r="G394" i="28"/>
  <c r="F394" i="28"/>
  <c r="E394" i="28"/>
  <c r="D394" i="28"/>
  <c r="C394" i="28"/>
  <c r="B394" i="28"/>
  <c r="A394" i="28"/>
  <c r="L393" i="28"/>
  <c r="K393" i="28"/>
  <c r="J393" i="28"/>
  <c r="I393" i="28"/>
  <c r="H393" i="28"/>
  <c r="G393" i="28"/>
  <c r="F393" i="28"/>
  <c r="E393" i="28"/>
  <c r="D393" i="28"/>
  <c r="C393" i="28"/>
  <c r="B393" i="28"/>
  <c r="A393" i="28"/>
  <c r="L392" i="28"/>
  <c r="K392" i="28"/>
  <c r="J392" i="28"/>
  <c r="I392" i="28"/>
  <c r="H392" i="28"/>
  <c r="G392" i="28"/>
  <c r="F392" i="28"/>
  <c r="E392" i="28"/>
  <c r="D392" i="28"/>
  <c r="C392" i="28"/>
  <c r="B392" i="28"/>
  <c r="A392" i="28"/>
  <c r="L391" i="28"/>
  <c r="K391" i="28"/>
  <c r="J391" i="28"/>
  <c r="I391" i="28"/>
  <c r="H391" i="28"/>
  <c r="G391" i="28"/>
  <c r="F391" i="28"/>
  <c r="E391" i="28"/>
  <c r="D391" i="28"/>
  <c r="C391" i="28"/>
  <c r="B391" i="28"/>
  <c r="A391" i="28"/>
  <c r="L390" i="28"/>
  <c r="K390" i="28"/>
  <c r="J390" i="28"/>
  <c r="I390" i="28"/>
  <c r="H390" i="28"/>
  <c r="G390" i="28"/>
  <c r="F390" i="28"/>
  <c r="E390" i="28"/>
  <c r="D390" i="28"/>
  <c r="C390" i="28"/>
  <c r="B390" i="28"/>
  <c r="A390" i="28"/>
  <c r="L389" i="28"/>
  <c r="K389" i="28"/>
  <c r="J389" i="28"/>
  <c r="I389" i="28"/>
  <c r="H389" i="28"/>
  <c r="G389" i="28"/>
  <c r="F389" i="28"/>
  <c r="E389" i="28"/>
  <c r="D389" i="28"/>
  <c r="C389" i="28"/>
  <c r="B389" i="28"/>
  <c r="A389" i="28"/>
  <c r="L388" i="28"/>
  <c r="K388" i="28"/>
  <c r="J388" i="28"/>
  <c r="I388" i="28"/>
  <c r="H388" i="28"/>
  <c r="G388" i="28"/>
  <c r="F388" i="28"/>
  <c r="E388" i="28"/>
  <c r="D388" i="28"/>
  <c r="C388" i="28"/>
  <c r="B388" i="28"/>
  <c r="A388" i="28"/>
  <c r="L387" i="28"/>
  <c r="K387" i="28"/>
  <c r="J387" i="28"/>
  <c r="I387" i="28"/>
  <c r="H387" i="28"/>
  <c r="G387" i="28"/>
  <c r="F387" i="28"/>
  <c r="E387" i="28"/>
  <c r="D387" i="28"/>
  <c r="C387" i="28"/>
  <c r="B387" i="28"/>
  <c r="A387" i="28"/>
  <c r="L386" i="28"/>
  <c r="K386" i="28"/>
  <c r="J386" i="28"/>
  <c r="I386" i="28"/>
  <c r="H386" i="28"/>
  <c r="G386" i="28"/>
  <c r="F386" i="28"/>
  <c r="E386" i="28"/>
  <c r="D386" i="28"/>
  <c r="C386" i="28"/>
  <c r="B386" i="28"/>
  <c r="A386" i="28"/>
  <c r="L385" i="28"/>
  <c r="K385" i="28"/>
  <c r="J385" i="28"/>
  <c r="I385" i="28"/>
  <c r="H385" i="28"/>
  <c r="G385" i="28"/>
  <c r="F385" i="28"/>
  <c r="E385" i="28"/>
  <c r="D385" i="28"/>
  <c r="C385" i="28"/>
  <c r="B385" i="28"/>
  <c r="A385" i="28"/>
  <c r="L384" i="28"/>
  <c r="K384" i="28"/>
  <c r="J384" i="28"/>
  <c r="I384" i="28"/>
  <c r="H384" i="28"/>
  <c r="G384" i="28"/>
  <c r="F384" i="28"/>
  <c r="E384" i="28"/>
  <c r="D384" i="28"/>
  <c r="C384" i="28"/>
  <c r="B384" i="28"/>
  <c r="A384" i="28"/>
  <c r="L383" i="28"/>
  <c r="K383" i="28"/>
  <c r="J383" i="28"/>
  <c r="I383" i="28"/>
  <c r="H383" i="28"/>
  <c r="G383" i="28"/>
  <c r="F383" i="28"/>
  <c r="E383" i="28"/>
  <c r="D383" i="28"/>
  <c r="C383" i="28"/>
  <c r="B383" i="28"/>
  <c r="A383" i="28"/>
  <c r="L382" i="28"/>
  <c r="K382" i="28"/>
  <c r="J382" i="28"/>
  <c r="I382" i="28"/>
  <c r="H382" i="28"/>
  <c r="G382" i="28"/>
  <c r="F382" i="28"/>
  <c r="E382" i="28"/>
  <c r="D382" i="28"/>
  <c r="C382" i="28"/>
  <c r="B382" i="28"/>
  <c r="A382" i="28"/>
  <c r="L381" i="28"/>
  <c r="K381" i="28"/>
  <c r="J381" i="28"/>
  <c r="I381" i="28"/>
  <c r="H381" i="28"/>
  <c r="G381" i="28"/>
  <c r="F381" i="28"/>
  <c r="E381" i="28"/>
  <c r="D381" i="28"/>
  <c r="C381" i="28"/>
  <c r="B381" i="28"/>
  <c r="A381" i="28"/>
  <c r="L380" i="28"/>
  <c r="K380" i="28"/>
  <c r="J380" i="28"/>
  <c r="I380" i="28"/>
  <c r="H380" i="28"/>
  <c r="G380" i="28"/>
  <c r="F380" i="28"/>
  <c r="E380" i="28"/>
  <c r="D380" i="28"/>
  <c r="C380" i="28"/>
  <c r="B380" i="28"/>
  <c r="A380" i="28"/>
  <c r="L379" i="28"/>
  <c r="K379" i="28"/>
  <c r="J379" i="28"/>
  <c r="I379" i="28"/>
  <c r="H379" i="28"/>
  <c r="G379" i="28"/>
  <c r="F379" i="28"/>
  <c r="E379" i="28"/>
  <c r="D379" i="28"/>
  <c r="C379" i="28"/>
  <c r="B379" i="28"/>
  <c r="A379" i="28"/>
  <c r="L378" i="28"/>
  <c r="K378" i="28"/>
  <c r="J378" i="28"/>
  <c r="I378" i="28"/>
  <c r="H378" i="28"/>
  <c r="G378" i="28"/>
  <c r="F378" i="28"/>
  <c r="E378" i="28"/>
  <c r="D378" i="28"/>
  <c r="C378" i="28"/>
  <c r="B378" i="28"/>
  <c r="A378" i="28"/>
  <c r="L377" i="28"/>
  <c r="K377" i="28"/>
  <c r="J377" i="28"/>
  <c r="I377" i="28"/>
  <c r="H377" i="28"/>
  <c r="G377" i="28"/>
  <c r="F377" i="28"/>
  <c r="E377" i="28"/>
  <c r="D377" i="28"/>
  <c r="C377" i="28"/>
  <c r="B377" i="28"/>
  <c r="A377" i="28"/>
  <c r="L376" i="28"/>
  <c r="K376" i="28"/>
  <c r="J376" i="28"/>
  <c r="I376" i="28"/>
  <c r="H376" i="28"/>
  <c r="G376" i="28"/>
  <c r="F376" i="28"/>
  <c r="E376" i="28"/>
  <c r="D376" i="28"/>
  <c r="C376" i="28"/>
  <c r="B376" i="28"/>
  <c r="A376" i="28"/>
  <c r="L375" i="28"/>
  <c r="K375" i="28"/>
  <c r="J375" i="28"/>
  <c r="I375" i="28"/>
  <c r="H375" i="28"/>
  <c r="G375" i="28"/>
  <c r="F375" i="28"/>
  <c r="E375" i="28"/>
  <c r="D375" i="28"/>
  <c r="C375" i="28"/>
  <c r="B375" i="28"/>
  <c r="A375" i="28"/>
  <c r="L374" i="28"/>
  <c r="K374" i="28"/>
  <c r="J374" i="28"/>
  <c r="I374" i="28"/>
  <c r="H374" i="28"/>
  <c r="G374" i="28"/>
  <c r="F374" i="28"/>
  <c r="E374" i="28"/>
  <c r="D374" i="28"/>
  <c r="C374" i="28"/>
  <c r="B374" i="28"/>
  <c r="A374" i="28"/>
  <c r="L373" i="28"/>
  <c r="K373" i="28"/>
  <c r="J373" i="28"/>
  <c r="I373" i="28"/>
  <c r="H373" i="28"/>
  <c r="G373" i="28"/>
  <c r="F373" i="28"/>
  <c r="E373" i="28"/>
  <c r="D373" i="28"/>
  <c r="C373" i="28"/>
  <c r="B373" i="28"/>
  <c r="A373" i="28"/>
  <c r="L372" i="28"/>
  <c r="K372" i="28"/>
  <c r="J372" i="28"/>
  <c r="I372" i="28"/>
  <c r="H372" i="28"/>
  <c r="G372" i="28"/>
  <c r="F372" i="28"/>
  <c r="E372" i="28"/>
  <c r="D372" i="28"/>
  <c r="C372" i="28"/>
  <c r="B372" i="28"/>
  <c r="A372" i="28"/>
  <c r="L371" i="28"/>
  <c r="K371" i="28"/>
  <c r="J371" i="28"/>
  <c r="I371" i="28"/>
  <c r="H371" i="28"/>
  <c r="G371" i="28"/>
  <c r="F371" i="28"/>
  <c r="E371" i="28"/>
  <c r="D371" i="28"/>
  <c r="C371" i="28"/>
  <c r="B371" i="28"/>
  <c r="A371" i="28"/>
  <c r="L370" i="28"/>
  <c r="K370" i="28"/>
  <c r="J370" i="28"/>
  <c r="I370" i="28"/>
  <c r="H370" i="28"/>
  <c r="G370" i="28"/>
  <c r="F370" i="28"/>
  <c r="E370" i="28"/>
  <c r="D370" i="28"/>
  <c r="C370" i="28"/>
  <c r="B370" i="28"/>
  <c r="A370" i="28"/>
  <c r="L369" i="28"/>
  <c r="K369" i="28"/>
  <c r="J369" i="28"/>
  <c r="I369" i="28"/>
  <c r="H369" i="28"/>
  <c r="G369" i="28"/>
  <c r="F369" i="28"/>
  <c r="E369" i="28"/>
  <c r="D369" i="28"/>
  <c r="C369" i="28"/>
  <c r="B369" i="28"/>
  <c r="A369" i="28"/>
  <c r="L368" i="28"/>
  <c r="K368" i="28"/>
  <c r="J368" i="28"/>
  <c r="I368" i="28"/>
  <c r="H368" i="28"/>
  <c r="G368" i="28"/>
  <c r="F368" i="28"/>
  <c r="E368" i="28"/>
  <c r="D368" i="28"/>
  <c r="C368" i="28"/>
  <c r="B368" i="28"/>
  <c r="A368" i="28"/>
  <c r="L367" i="28"/>
  <c r="K367" i="28"/>
  <c r="J367" i="28"/>
  <c r="I367" i="28"/>
  <c r="H367" i="28"/>
  <c r="G367" i="28"/>
  <c r="F367" i="28"/>
  <c r="E367" i="28"/>
  <c r="D367" i="28"/>
  <c r="C367" i="28"/>
  <c r="B367" i="28"/>
  <c r="A367" i="28"/>
  <c r="L366" i="28"/>
  <c r="K366" i="28"/>
  <c r="J366" i="28"/>
  <c r="I366" i="28"/>
  <c r="H366" i="28"/>
  <c r="G366" i="28"/>
  <c r="F366" i="28"/>
  <c r="E366" i="28"/>
  <c r="D366" i="28"/>
  <c r="C366" i="28"/>
  <c r="B366" i="28"/>
  <c r="A366" i="28"/>
  <c r="L365" i="28"/>
  <c r="K365" i="28"/>
  <c r="J365" i="28"/>
  <c r="I365" i="28"/>
  <c r="H365" i="28"/>
  <c r="G365" i="28"/>
  <c r="F365" i="28"/>
  <c r="E365" i="28"/>
  <c r="D365" i="28"/>
  <c r="C365" i="28"/>
  <c r="B365" i="28"/>
  <c r="A365" i="28"/>
  <c r="L364" i="28"/>
  <c r="K364" i="28"/>
  <c r="J364" i="28"/>
  <c r="I364" i="28"/>
  <c r="H364" i="28"/>
  <c r="G364" i="28"/>
  <c r="F364" i="28"/>
  <c r="E364" i="28"/>
  <c r="D364" i="28"/>
  <c r="C364" i="28"/>
  <c r="B364" i="28"/>
  <c r="A364" i="28"/>
  <c r="L363" i="28"/>
  <c r="K363" i="28"/>
  <c r="J363" i="28"/>
  <c r="I363" i="28"/>
  <c r="H363" i="28"/>
  <c r="G363" i="28"/>
  <c r="F363" i="28"/>
  <c r="E363" i="28"/>
  <c r="D363" i="28"/>
  <c r="C363" i="28"/>
  <c r="B363" i="28"/>
  <c r="A363" i="28"/>
  <c r="L362" i="28"/>
  <c r="K362" i="28"/>
  <c r="J362" i="28"/>
  <c r="I362" i="28"/>
  <c r="H362" i="28"/>
  <c r="G362" i="28"/>
  <c r="F362" i="28"/>
  <c r="E362" i="28"/>
  <c r="D362" i="28"/>
  <c r="C362" i="28"/>
  <c r="B362" i="28"/>
  <c r="A362" i="28"/>
  <c r="L361" i="28"/>
  <c r="K361" i="28"/>
  <c r="J361" i="28"/>
  <c r="I361" i="28"/>
  <c r="H361" i="28"/>
  <c r="G361" i="28"/>
  <c r="F361" i="28"/>
  <c r="E361" i="28"/>
  <c r="D361" i="28"/>
  <c r="C361" i="28"/>
  <c r="B361" i="28"/>
  <c r="A361" i="28"/>
  <c r="L360" i="28"/>
  <c r="K360" i="28"/>
  <c r="J360" i="28"/>
  <c r="I360" i="28"/>
  <c r="H360" i="28"/>
  <c r="G360" i="28"/>
  <c r="F360" i="28"/>
  <c r="E360" i="28"/>
  <c r="D360" i="28"/>
  <c r="C360" i="28"/>
  <c r="B360" i="28"/>
  <c r="A360" i="28"/>
  <c r="L359" i="28"/>
  <c r="K359" i="28"/>
  <c r="J359" i="28"/>
  <c r="I359" i="28"/>
  <c r="H359" i="28"/>
  <c r="G359" i="28"/>
  <c r="F359" i="28"/>
  <c r="E359" i="28"/>
  <c r="D359" i="28"/>
  <c r="C359" i="28"/>
  <c r="B359" i="28"/>
  <c r="A359" i="28"/>
  <c r="L358" i="28"/>
  <c r="K358" i="28"/>
  <c r="J358" i="28"/>
  <c r="I358" i="28"/>
  <c r="H358" i="28"/>
  <c r="G358" i="28"/>
  <c r="F358" i="28"/>
  <c r="E358" i="28"/>
  <c r="D358" i="28"/>
  <c r="C358" i="28"/>
  <c r="B358" i="28"/>
  <c r="A358" i="28"/>
  <c r="L357" i="28"/>
  <c r="K357" i="28"/>
  <c r="J357" i="28"/>
  <c r="I357" i="28"/>
  <c r="H357" i="28"/>
  <c r="G357" i="28"/>
  <c r="F357" i="28"/>
  <c r="E357" i="28"/>
  <c r="D357" i="28"/>
  <c r="C357" i="28"/>
  <c r="B357" i="28"/>
  <c r="A357" i="28"/>
  <c r="L356" i="28"/>
  <c r="K356" i="28"/>
  <c r="J356" i="28"/>
  <c r="I356" i="28"/>
  <c r="H356" i="28"/>
  <c r="G356" i="28"/>
  <c r="F356" i="28"/>
  <c r="E356" i="28"/>
  <c r="D356" i="28"/>
  <c r="C356" i="28"/>
  <c r="B356" i="28"/>
  <c r="A356" i="28"/>
  <c r="L355" i="28"/>
  <c r="K355" i="28"/>
  <c r="J355" i="28"/>
  <c r="I355" i="28"/>
  <c r="H355" i="28"/>
  <c r="G355" i="28"/>
  <c r="F355" i="28"/>
  <c r="E355" i="28"/>
  <c r="D355" i="28"/>
  <c r="C355" i="28"/>
  <c r="B355" i="28"/>
  <c r="A355" i="28"/>
  <c r="L354" i="28"/>
  <c r="K354" i="28"/>
  <c r="J354" i="28"/>
  <c r="I354" i="28"/>
  <c r="H354" i="28"/>
  <c r="G354" i="28"/>
  <c r="F354" i="28"/>
  <c r="E354" i="28"/>
  <c r="D354" i="28"/>
  <c r="C354" i="28"/>
  <c r="B354" i="28"/>
  <c r="A354" i="28"/>
  <c r="L353" i="28"/>
  <c r="K353" i="28"/>
  <c r="J353" i="28"/>
  <c r="I353" i="28"/>
  <c r="H353" i="28"/>
  <c r="G353" i="28"/>
  <c r="F353" i="28"/>
  <c r="E353" i="28"/>
  <c r="D353" i="28"/>
  <c r="C353" i="28"/>
  <c r="B353" i="28"/>
  <c r="A353" i="28"/>
  <c r="L352" i="28"/>
  <c r="K352" i="28"/>
  <c r="J352" i="28"/>
  <c r="I352" i="28"/>
  <c r="H352" i="28"/>
  <c r="G352" i="28"/>
  <c r="F352" i="28"/>
  <c r="E352" i="28"/>
  <c r="D352" i="28"/>
  <c r="C352" i="28"/>
  <c r="B352" i="28"/>
  <c r="A352" i="28"/>
  <c r="L351" i="28"/>
  <c r="K351" i="28"/>
  <c r="J351" i="28"/>
  <c r="I351" i="28"/>
  <c r="H351" i="28"/>
  <c r="G351" i="28"/>
  <c r="F351" i="28"/>
  <c r="E351" i="28"/>
  <c r="D351" i="28"/>
  <c r="C351" i="28"/>
  <c r="B351" i="28"/>
  <c r="A351" i="28"/>
  <c r="L350" i="28"/>
  <c r="K350" i="28"/>
  <c r="J350" i="28"/>
  <c r="I350" i="28"/>
  <c r="H350" i="28"/>
  <c r="G350" i="28"/>
  <c r="F350" i="28"/>
  <c r="E350" i="28"/>
  <c r="D350" i="28"/>
  <c r="C350" i="28"/>
  <c r="B350" i="28"/>
  <c r="A350" i="28"/>
  <c r="L349" i="28"/>
  <c r="K349" i="28"/>
  <c r="J349" i="28"/>
  <c r="I349" i="28"/>
  <c r="H349" i="28"/>
  <c r="G349" i="28"/>
  <c r="F349" i="28"/>
  <c r="E349" i="28"/>
  <c r="D349" i="28"/>
  <c r="C349" i="28"/>
  <c r="B349" i="28"/>
  <c r="A349" i="28"/>
  <c r="L348" i="28"/>
  <c r="K348" i="28"/>
  <c r="J348" i="28"/>
  <c r="I348" i="28"/>
  <c r="H348" i="28"/>
  <c r="G348" i="28"/>
  <c r="F348" i="28"/>
  <c r="E348" i="28"/>
  <c r="D348" i="28"/>
  <c r="C348" i="28"/>
  <c r="B348" i="28"/>
  <c r="A348" i="28"/>
  <c r="L347" i="28"/>
  <c r="K347" i="28"/>
  <c r="J347" i="28"/>
  <c r="I347" i="28"/>
  <c r="H347" i="28"/>
  <c r="G347" i="28"/>
  <c r="F347" i="28"/>
  <c r="E347" i="28"/>
  <c r="D347" i="28"/>
  <c r="C347" i="28"/>
  <c r="B347" i="28"/>
  <c r="A347" i="28"/>
  <c r="L346" i="28"/>
  <c r="K346" i="28"/>
  <c r="J346" i="28"/>
  <c r="I346" i="28"/>
  <c r="H346" i="28"/>
  <c r="G346" i="28"/>
  <c r="F346" i="28"/>
  <c r="E346" i="28"/>
  <c r="D346" i="28"/>
  <c r="C346" i="28"/>
  <c r="B346" i="28"/>
  <c r="A346" i="28"/>
  <c r="L345" i="28"/>
  <c r="K345" i="28"/>
  <c r="J345" i="28"/>
  <c r="I345" i="28"/>
  <c r="H345" i="28"/>
  <c r="G345" i="28"/>
  <c r="F345" i="28"/>
  <c r="E345" i="28"/>
  <c r="D345" i="28"/>
  <c r="C345" i="28"/>
  <c r="B345" i="28"/>
  <c r="A345" i="28"/>
  <c r="L344" i="28"/>
  <c r="K344" i="28"/>
  <c r="J344" i="28"/>
  <c r="I344" i="28"/>
  <c r="H344" i="28"/>
  <c r="G344" i="28"/>
  <c r="F344" i="28"/>
  <c r="E344" i="28"/>
  <c r="D344" i="28"/>
  <c r="C344" i="28"/>
  <c r="B344" i="28"/>
  <c r="A344" i="28"/>
  <c r="L343" i="28"/>
  <c r="K343" i="28"/>
  <c r="J343" i="28"/>
  <c r="I343" i="28"/>
  <c r="H343" i="28"/>
  <c r="G343" i="28"/>
  <c r="F343" i="28"/>
  <c r="E343" i="28"/>
  <c r="D343" i="28"/>
  <c r="C343" i="28"/>
  <c r="B343" i="28"/>
  <c r="A343" i="28"/>
  <c r="L342" i="28"/>
  <c r="K342" i="28"/>
  <c r="J342" i="28"/>
  <c r="I342" i="28"/>
  <c r="H342" i="28"/>
  <c r="G342" i="28"/>
  <c r="F342" i="28"/>
  <c r="E342" i="28"/>
  <c r="D342" i="28"/>
  <c r="C342" i="28"/>
  <c r="B342" i="28"/>
  <c r="A342" i="28"/>
  <c r="L341" i="28"/>
  <c r="K341" i="28"/>
  <c r="J341" i="28"/>
  <c r="I341" i="28"/>
  <c r="H341" i="28"/>
  <c r="G341" i="28"/>
  <c r="F341" i="28"/>
  <c r="E341" i="28"/>
  <c r="D341" i="28"/>
  <c r="C341" i="28"/>
  <c r="B341" i="28"/>
  <c r="A341" i="28"/>
  <c r="L340" i="28"/>
  <c r="K340" i="28"/>
  <c r="J340" i="28"/>
  <c r="I340" i="28"/>
  <c r="H340" i="28"/>
  <c r="G340" i="28"/>
  <c r="F340" i="28"/>
  <c r="E340" i="28"/>
  <c r="D340" i="28"/>
  <c r="C340" i="28"/>
  <c r="B340" i="28"/>
  <c r="A340" i="28"/>
  <c r="L339" i="28"/>
  <c r="K339" i="28"/>
  <c r="J339" i="28"/>
  <c r="I339" i="28"/>
  <c r="H339" i="28"/>
  <c r="G339" i="28"/>
  <c r="F339" i="28"/>
  <c r="E339" i="28"/>
  <c r="D339" i="28"/>
  <c r="C339" i="28"/>
  <c r="B339" i="28"/>
  <c r="A339" i="28"/>
  <c r="L338" i="28"/>
  <c r="K338" i="28"/>
  <c r="J338" i="28"/>
  <c r="I338" i="28"/>
  <c r="H338" i="28"/>
  <c r="G338" i="28"/>
  <c r="F338" i="28"/>
  <c r="E338" i="28"/>
  <c r="D338" i="28"/>
  <c r="C338" i="28"/>
  <c r="B338" i="28"/>
  <c r="A338" i="28"/>
  <c r="L337" i="28"/>
  <c r="K337" i="28"/>
  <c r="J337" i="28"/>
  <c r="I337" i="28"/>
  <c r="H337" i="28"/>
  <c r="G337" i="28"/>
  <c r="F337" i="28"/>
  <c r="E337" i="28"/>
  <c r="D337" i="28"/>
  <c r="C337" i="28"/>
  <c r="B337" i="28"/>
  <c r="A337" i="28"/>
  <c r="L336" i="28"/>
  <c r="K336" i="28"/>
  <c r="J336" i="28"/>
  <c r="I336" i="28"/>
  <c r="H336" i="28"/>
  <c r="G336" i="28"/>
  <c r="F336" i="28"/>
  <c r="E336" i="28"/>
  <c r="D336" i="28"/>
  <c r="C336" i="28"/>
  <c r="B336" i="28"/>
  <c r="A336" i="28"/>
  <c r="L335" i="28"/>
  <c r="K335" i="28"/>
  <c r="J335" i="28"/>
  <c r="I335" i="28"/>
  <c r="H335" i="28"/>
  <c r="G335" i="28"/>
  <c r="F335" i="28"/>
  <c r="E335" i="28"/>
  <c r="D335" i="28"/>
  <c r="C335" i="28"/>
  <c r="B335" i="28"/>
  <c r="A335" i="28"/>
  <c r="L334" i="28"/>
  <c r="K334" i="28"/>
  <c r="J334" i="28"/>
  <c r="I334" i="28"/>
  <c r="H334" i="28"/>
  <c r="G334" i="28"/>
  <c r="F334" i="28"/>
  <c r="E334" i="28"/>
  <c r="D334" i="28"/>
  <c r="C334" i="28"/>
  <c r="B334" i="28"/>
  <c r="A334" i="28"/>
  <c r="L333" i="28"/>
  <c r="K333" i="28"/>
  <c r="J333" i="28"/>
  <c r="I333" i="28"/>
  <c r="H333" i="28"/>
  <c r="G333" i="28"/>
  <c r="F333" i="28"/>
  <c r="E333" i="28"/>
  <c r="D333" i="28"/>
  <c r="C333" i="28"/>
  <c r="B333" i="28"/>
  <c r="A333" i="28"/>
  <c r="L332" i="28"/>
  <c r="K332" i="28"/>
  <c r="J332" i="28"/>
  <c r="I332" i="28"/>
  <c r="H332" i="28"/>
  <c r="G332" i="28"/>
  <c r="F332" i="28"/>
  <c r="E332" i="28"/>
  <c r="D332" i="28"/>
  <c r="C332" i="28"/>
  <c r="B332" i="28"/>
  <c r="A332" i="28"/>
  <c r="L331" i="28"/>
  <c r="K331" i="28"/>
  <c r="J331" i="28"/>
  <c r="I331" i="28"/>
  <c r="H331" i="28"/>
  <c r="G331" i="28"/>
  <c r="F331" i="28"/>
  <c r="E331" i="28"/>
  <c r="D331" i="28"/>
  <c r="C331" i="28"/>
  <c r="B331" i="28"/>
  <c r="A331" i="28"/>
  <c r="L330" i="28"/>
  <c r="K330" i="28"/>
  <c r="J330" i="28"/>
  <c r="I330" i="28"/>
  <c r="H330" i="28"/>
  <c r="G330" i="28"/>
  <c r="F330" i="28"/>
  <c r="E330" i="28"/>
  <c r="D330" i="28"/>
  <c r="C330" i="28"/>
  <c r="B330" i="28"/>
  <c r="A330" i="28"/>
  <c r="L329" i="28"/>
  <c r="K329" i="28"/>
  <c r="J329" i="28"/>
  <c r="I329" i="28"/>
  <c r="H329" i="28"/>
  <c r="G329" i="28"/>
  <c r="F329" i="28"/>
  <c r="E329" i="28"/>
  <c r="D329" i="28"/>
  <c r="C329" i="28"/>
  <c r="B329" i="28"/>
  <c r="A329" i="28"/>
  <c r="L328" i="28"/>
  <c r="K328" i="28"/>
  <c r="J328" i="28"/>
  <c r="I328" i="28"/>
  <c r="H328" i="28"/>
  <c r="G328" i="28"/>
  <c r="F328" i="28"/>
  <c r="E328" i="28"/>
  <c r="D328" i="28"/>
  <c r="C328" i="28"/>
  <c r="B328" i="28"/>
  <c r="A328" i="28"/>
  <c r="L327" i="28"/>
  <c r="K327" i="28"/>
  <c r="J327" i="28"/>
  <c r="I327" i="28"/>
  <c r="H327" i="28"/>
  <c r="G327" i="28"/>
  <c r="F327" i="28"/>
  <c r="E327" i="28"/>
  <c r="D327" i="28"/>
  <c r="C327" i="28"/>
  <c r="B327" i="28"/>
  <c r="A327" i="28"/>
  <c r="L326" i="28"/>
  <c r="K326" i="28"/>
  <c r="J326" i="28"/>
  <c r="I326" i="28"/>
  <c r="H326" i="28"/>
  <c r="G326" i="28"/>
  <c r="F326" i="28"/>
  <c r="E326" i="28"/>
  <c r="D326" i="28"/>
  <c r="C326" i="28"/>
  <c r="B326" i="28"/>
  <c r="A326" i="28"/>
  <c r="L325" i="28"/>
  <c r="K325" i="28"/>
  <c r="J325" i="28"/>
  <c r="I325" i="28"/>
  <c r="H325" i="28"/>
  <c r="G325" i="28"/>
  <c r="F325" i="28"/>
  <c r="E325" i="28"/>
  <c r="D325" i="28"/>
  <c r="C325" i="28"/>
  <c r="B325" i="28"/>
  <c r="A325" i="28"/>
  <c r="L324" i="28"/>
  <c r="K324" i="28"/>
  <c r="J324" i="28"/>
  <c r="I324" i="28"/>
  <c r="H324" i="28"/>
  <c r="G324" i="28"/>
  <c r="F324" i="28"/>
  <c r="E324" i="28"/>
  <c r="D324" i="28"/>
  <c r="C324" i="28"/>
  <c r="B324" i="28"/>
  <c r="A324" i="28"/>
  <c r="L323" i="28"/>
  <c r="K323" i="28"/>
  <c r="J323" i="28"/>
  <c r="I323" i="28"/>
  <c r="H323" i="28"/>
  <c r="G323" i="28"/>
  <c r="F323" i="28"/>
  <c r="E323" i="28"/>
  <c r="D323" i="28"/>
  <c r="C323" i="28"/>
  <c r="B323" i="28"/>
  <c r="A323" i="28"/>
  <c r="L322" i="28"/>
  <c r="K322" i="28"/>
  <c r="J322" i="28"/>
  <c r="I322" i="28"/>
  <c r="H322" i="28"/>
  <c r="G322" i="28"/>
  <c r="F322" i="28"/>
  <c r="E322" i="28"/>
  <c r="D322" i="28"/>
  <c r="C322" i="28"/>
  <c r="B322" i="28"/>
  <c r="A322" i="28"/>
  <c r="L321" i="28"/>
  <c r="K321" i="28"/>
  <c r="J321" i="28"/>
  <c r="I321" i="28"/>
  <c r="H321" i="28"/>
  <c r="G321" i="28"/>
  <c r="F321" i="28"/>
  <c r="E321" i="28"/>
  <c r="D321" i="28"/>
  <c r="C321" i="28"/>
  <c r="B321" i="28"/>
  <c r="A321" i="28"/>
  <c r="L320" i="28"/>
  <c r="K320" i="28"/>
  <c r="J320" i="28"/>
  <c r="I320" i="28"/>
  <c r="H320" i="28"/>
  <c r="G320" i="28"/>
  <c r="F320" i="28"/>
  <c r="E320" i="28"/>
  <c r="D320" i="28"/>
  <c r="C320" i="28"/>
  <c r="B320" i="28"/>
  <c r="A320" i="28"/>
  <c r="L319" i="28"/>
  <c r="K319" i="28"/>
  <c r="J319" i="28"/>
  <c r="I319" i="28"/>
  <c r="H319" i="28"/>
  <c r="G319" i="28"/>
  <c r="F319" i="28"/>
  <c r="E319" i="28"/>
  <c r="D319" i="28"/>
  <c r="C319" i="28"/>
  <c r="B319" i="28"/>
  <c r="A319" i="28"/>
  <c r="L318" i="28"/>
  <c r="K318" i="28"/>
  <c r="J318" i="28"/>
  <c r="I318" i="28"/>
  <c r="H318" i="28"/>
  <c r="G318" i="28"/>
  <c r="F318" i="28"/>
  <c r="E318" i="28"/>
  <c r="D318" i="28"/>
  <c r="C318" i="28"/>
  <c r="B318" i="28"/>
  <c r="A318" i="28"/>
  <c r="L317" i="28"/>
  <c r="K317" i="28"/>
  <c r="J317" i="28"/>
  <c r="I317" i="28"/>
  <c r="H317" i="28"/>
  <c r="G317" i="28"/>
  <c r="F317" i="28"/>
  <c r="E317" i="28"/>
  <c r="D317" i="28"/>
  <c r="C317" i="28"/>
  <c r="B317" i="28"/>
  <c r="A317" i="28"/>
  <c r="L316" i="28"/>
  <c r="K316" i="28"/>
  <c r="J316" i="28"/>
  <c r="I316" i="28"/>
  <c r="H316" i="28"/>
  <c r="G316" i="28"/>
  <c r="F316" i="28"/>
  <c r="E316" i="28"/>
  <c r="D316" i="28"/>
  <c r="C316" i="28"/>
  <c r="B316" i="28"/>
  <c r="A316" i="28"/>
  <c r="L315" i="28"/>
  <c r="K315" i="28"/>
  <c r="J315" i="28"/>
  <c r="I315" i="28"/>
  <c r="H315" i="28"/>
  <c r="G315" i="28"/>
  <c r="F315" i="28"/>
  <c r="E315" i="28"/>
  <c r="D315" i="28"/>
  <c r="C315" i="28"/>
  <c r="B315" i="28"/>
  <c r="A315" i="28"/>
  <c r="L314" i="28"/>
  <c r="K314" i="28"/>
  <c r="J314" i="28"/>
  <c r="I314" i="28"/>
  <c r="H314" i="28"/>
  <c r="G314" i="28"/>
  <c r="F314" i="28"/>
  <c r="E314" i="28"/>
  <c r="D314" i="28"/>
  <c r="C314" i="28"/>
  <c r="B314" i="28"/>
  <c r="A314" i="28"/>
  <c r="L313" i="28"/>
  <c r="K313" i="28"/>
  <c r="J313" i="28"/>
  <c r="I313" i="28"/>
  <c r="H313" i="28"/>
  <c r="G313" i="28"/>
  <c r="F313" i="28"/>
  <c r="E313" i="28"/>
  <c r="D313" i="28"/>
  <c r="C313" i="28"/>
  <c r="B313" i="28"/>
  <c r="A313" i="28"/>
  <c r="L312" i="28"/>
  <c r="K312" i="28"/>
  <c r="J312" i="28"/>
  <c r="I312" i="28"/>
  <c r="H312" i="28"/>
  <c r="G312" i="28"/>
  <c r="F312" i="28"/>
  <c r="E312" i="28"/>
  <c r="D312" i="28"/>
  <c r="C312" i="28"/>
  <c r="B312" i="28"/>
  <c r="A312" i="28"/>
  <c r="L311" i="28"/>
  <c r="K311" i="28"/>
  <c r="J311" i="28"/>
  <c r="I311" i="28"/>
  <c r="H311" i="28"/>
  <c r="G311" i="28"/>
  <c r="F311" i="28"/>
  <c r="E311" i="28"/>
  <c r="D311" i="28"/>
  <c r="C311" i="28"/>
  <c r="B311" i="28"/>
  <c r="A311" i="28"/>
  <c r="L310" i="28"/>
  <c r="K310" i="28"/>
  <c r="J310" i="28"/>
  <c r="I310" i="28"/>
  <c r="H310" i="28"/>
  <c r="G310" i="28"/>
  <c r="F310" i="28"/>
  <c r="E310" i="28"/>
  <c r="D310" i="28"/>
  <c r="C310" i="28"/>
  <c r="B310" i="28"/>
  <c r="A310" i="28"/>
  <c r="L309" i="28"/>
  <c r="K309" i="28"/>
  <c r="J309" i="28"/>
  <c r="I309" i="28"/>
  <c r="H309" i="28"/>
  <c r="G309" i="28"/>
  <c r="F309" i="28"/>
  <c r="E309" i="28"/>
  <c r="D309" i="28"/>
  <c r="C309" i="28"/>
  <c r="B309" i="28"/>
  <c r="A309" i="28"/>
  <c r="L308" i="28"/>
  <c r="K308" i="28"/>
  <c r="J308" i="28"/>
  <c r="I308" i="28"/>
  <c r="H308" i="28"/>
  <c r="G308" i="28"/>
  <c r="F308" i="28"/>
  <c r="E308" i="28"/>
  <c r="D308" i="28"/>
  <c r="C308" i="28"/>
  <c r="B308" i="28"/>
  <c r="A308" i="28"/>
  <c r="L307" i="28"/>
  <c r="K307" i="28"/>
  <c r="J307" i="28"/>
  <c r="I307" i="28"/>
  <c r="H307" i="28"/>
  <c r="G307" i="28"/>
  <c r="F307" i="28"/>
  <c r="E307" i="28"/>
  <c r="D307" i="28"/>
  <c r="C307" i="28"/>
  <c r="B307" i="28"/>
  <c r="A307" i="28"/>
  <c r="L306" i="28"/>
  <c r="K306" i="28"/>
  <c r="J306" i="28"/>
  <c r="I306" i="28"/>
  <c r="H306" i="28"/>
  <c r="G306" i="28"/>
  <c r="F306" i="28"/>
  <c r="E306" i="28"/>
  <c r="D306" i="28"/>
  <c r="C306" i="28"/>
  <c r="B306" i="28"/>
  <c r="A306" i="28"/>
  <c r="L305" i="28"/>
  <c r="K305" i="28"/>
  <c r="J305" i="28"/>
  <c r="I305" i="28"/>
  <c r="H305" i="28"/>
  <c r="G305" i="28"/>
  <c r="F305" i="28"/>
  <c r="E305" i="28"/>
  <c r="D305" i="28"/>
  <c r="C305" i="28"/>
  <c r="B305" i="28"/>
  <c r="A305" i="28"/>
  <c r="L304" i="28"/>
  <c r="K304" i="28"/>
  <c r="J304" i="28"/>
  <c r="I304" i="28"/>
  <c r="H304" i="28"/>
  <c r="G304" i="28"/>
  <c r="F304" i="28"/>
  <c r="E304" i="28"/>
  <c r="D304" i="28"/>
  <c r="C304" i="28"/>
  <c r="B304" i="28"/>
  <c r="A304" i="28"/>
  <c r="L303" i="28"/>
  <c r="K303" i="28"/>
  <c r="J303" i="28"/>
  <c r="I303" i="28"/>
  <c r="H303" i="28"/>
  <c r="G303" i="28"/>
  <c r="F303" i="28"/>
  <c r="E303" i="28"/>
  <c r="D303" i="28"/>
  <c r="C303" i="28"/>
  <c r="B303" i="28"/>
  <c r="A303" i="28"/>
  <c r="L302" i="28"/>
  <c r="K302" i="28"/>
  <c r="J302" i="28"/>
  <c r="I302" i="28"/>
  <c r="H302" i="28"/>
  <c r="G302" i="28"/>
  <c r="F302" i="28"/>
  <c r="E302" i="28"/>
  <c r="D302" i="28"/>
  <c r="C302" i="28"/>
  <c r="B302" i="28"/>
  <c r="A302" i="28"/>
  <c r="L301" i="28"/>
  <c r="K301" i="28"/>
  <c r="J301" i="28"/>
  <c r="I301" i="28"/>
  <c r="H301" i="28"/>
  <c r="G301" i="28"/>
  <c r="F301" i="28"/>
  <c r="E301" i="28"/>
  <c r="D301" i="28"/>
  <c r="C301" i="28"/>
  <c r="B301" i="28"/>
  <c r="A301" i="28"/>
  <c r="L300" i="28"/>
  <c r="K300" i="28"/>
  <c r="J300" i="28"/>
  <c r="I300" i="28"/>
  <c r="H300" i="28"/>
  <c r="G300" i="28"/>
  <c r="F300" i="28"/>
  <c r="E300" i="28"/>
  <c r="D300" i="28"/>
  <c r="C300" i="28"/>
  <c r="B300" i="28"/>
  <c r="A300" i="28"/>
  <c r="L299" i="28"/>
  <c r="K299" i="28"/>
  <c r="J299" i="28"/>
  <c r="I299" i="28"/>
  <c r="H299" i="28"/>
  <c r="G299" i="28"/>
  <c r="F299" i="28"/>
  <c r="E299" i="28"/>
  <c r="D299" i="28"/>
  <c r="C299" i="28"/>
  <c r="B299" i="28"/>
  <c r="A299" i="28"/>
  <c r="L298" i="28"/>
  <c r="K298" i="28"/>
  <c r="J298" i="28"/>
  <c r="I298" i="28"/>
  <c r="H298" i="28"/>
  <c r="G298" i="28"/>
  <c r="F298" i="28"/>
  <c r="E298" i="28"/>
  <c r="D298" i="28"/>
  <c r="C298" i="28"/>
  <c r="B298" i="28"/>
  <c r="A298" i="28"/>
  <c r="L297" i="28"/>
  <c r="K297" i="28"/>
  <c r="J297" i="28"/>
  <c r="I297" i="28"/>
  <c r="H297" i="28"/>
  <c r="G297" i="28"/>
  <c r="F297" i="28"/>
  <c r="E297" i="28"/>
  <c r="D297" i="28"/>
  <c r="C297" i="28"/>
  <c r="B297" i="28"/>
  <c r="A297" i="28"/>
  <c r="L296" i="28"/>
  <c r="K296" i="28"/>
  <c r="J296" i="28"/>
  <c r="I296" i="28"/>
  <c r="H296" i="28"/>
  <c r="G296" i="28"/>
  <c r="F296" i="28"/>
  <c r="E296" i="28"/>
  <c r="D296" i="28"/>
  <c r="C296" i="28"/>
  <c r="B296" i="28"/>
  <c r="A296" i="28"/>
  <c r="L295" i="28"/>
  <c r="K295" i="28"/>
  <c r="J295" i="28"/>
  <c r="I295" i="28"/>
  <c r="H295" i="28"/>
  <c r="G295" i="28"/>
  <c r="F295" i="28"/>
  <c r="E295" i="28"/>
  <c r="D295" i="28"/>
  <c r="C295" i="28"/>
  <c r="B295" i="28"/>
  <c r="A295" i="28"/>
  <c r="L294" i="28"/>
  <c r="K294" i="28"/>
  <c r="J294" i="28"/>
  <c r="I294" i="28"/>
  <c r="H294" i="28"/>
  <c r="G294" i="28"/>
  <c r="F294" i="28"/>
  <c r="E294" i="28"/>
  <c r="D294" i="28"/>
  <c r="C294" i="28"/>
  <c r="B294" i="28"/>
  <c r="A294" i="28"/>
  <c r="L293" i="28"/>
  <c r="K293" i="28"/>
  <c r="J293" i="28"/>
  <c r="I293" i="28"/>
  <c r="H293" i="28"/>
  <c r="G293" i="28"/>
  <c r="F293" i="28"/>
  <c r="E293" i="28"/>
  <c r="D293" i="28"/>
  <c r="C293" i="28"/>
  <c r="B293" i="28"/>
  <c r="A293" i="28"/>
  <c r="L292" i="28"/>
  <c r="K292" i="28"/>
  <c r="J292" i="28"/>
  <c r="I292" i="28"/>
  <c r="H292" i="28"/>
  <c r="G292" i="28"/>
  <c r="F292" i="28"/>
  <c r="E292" i="28"/>
  <c r="D292" i="28"/>
  <c r="C292" i="28"/>
  <c r="B292" i="28"/>
  <c r="A292" i="28"/>
  <c r="L291" i="28"/>
  <c r="K291" i="28"/>
  <c r="J291" i="28"/>
  <c r="I291" i="28"/>
  <c r="H291" i="28"/>
  <c r="G291" i="28"/>
  <c r="F291" i="28"/>
  <c r="E291" i="28"/>
  <c r="D291" i="28"/>
  <c r="C291" i="28"/>
  <c r="B291" i="28"/>
  <c r="A291" i="28"/>
  <c r="L290" i="28"/>
  <c r="K290" i="28"/>
  <c r="J290" i="28"/>
  <c r="I290" i="28"/>
  <c r="H290" i="28"/>
  <c r="G290" i="28"/>
  <c r="F290" i="28"/>
  <c r="E290" i="28"/>
  <c r="D290" i="28"/>
  <c r="C290" i="28"/>
  <c r="B290" i="28"/>
  <c r="A290" i="28"/>
  <c r="L289" i="28"/>
  <c r="K289" i="28"/>
  <c r="J289" i="28"/>
  <c r="I289" i="28"/>
  <c r="H289" i="28"/>
  <c r="G289" i="28"/>
  <c r="F289" i="28"/>
  <c r="E289" i="28"/>
  <c r="D289" i="28"/>
  <c r="C289" i="28"/>
  <c r="B289" i="28"/>
  <c r="A289" i="28"/>
  <c r="L288" i="28"/>
  <c r="K288" i="28"/>
  <c r="J288" i="28"/>
  <c r="I288" i="28"/>
  <c r="H288" i="28"/>
  <c r="G288" i="28"/>
  <c r="F288" i="28"/>
  <c r="E288" i="28"/>
  <c r="D288" i="28"/>
  <c r="C288" i="28"/>
  <c r="B288" i="28"/>
  <c r="A288" i="28"/>
  <c r="L287" i="28"/>
  <c r="K287" i="28"/>
  <c r="J287" i="28"/>
  <c r="I287" i="28"/>
  <c r="H287" i="28"/>
  <c r="G287" i="28"/>
  <c r="F287" i="28"/>
  <c r="E287" i="28"/>
  <c r="D287" i="28"/>
  <c r="C287" i="28"/>
  <c r="B287" i="28"/>
  <c r="A287" i="28"/>
  <c r="L286" i="28"/>
  <c r="K286" i="28"/>
  <c r="J286" i="28"/>
  <c r="I286" i="28"/>
  <c r="H286" i="28"/>
  <c r="G286" i="28"/>
  <c r="F286" i="28"/>
  <c r="E286" i="28"/>
  <c r="D286" i="28"/>
  <c r="C286" i="28"/>
  <c r="B286" i="28"/>
  <c r="A286" i="28"/>
  <c r="L285" i="28"/>
  <c r="K285" i="28"/>
  <c r="J285" i="28"/>
  <c r="I285" i="28"/>
  <c r="H285" i="28"/>
  <c r="G285" i="28"/>
  <c r="F285" i="28"/>
  <c r="E285" i="28"/>
  <c r="D285" i="28"/>
  <c r="C285" i="28"/>
  <c r="B285" i="28"/>
  <c r="A285" i="28"/>
  <c r="L284" i="28"/>
  <c r="K284" i="28"/>
  <c r="J284" i="28"/>
  <c r="I284" i="28"/>
  <c r="H284" i="28"/>
  <c r="G284" i="28"/>
  <c r="F284" i="28"/>
  <c r="E284" i="28"/>
  <c r="D284" i="28"/>
  <c r="C284" i="28"/>
  <c r="B284" i="28"/>
  <c r="A284" i="28"/>
  <c r="L283" i="28"/>
  <c r="K283" i="28"/>
  <c r="J283" i="28"/>
  <c r="I283" i="28"/>
  <c r="H283" i="28"/>
  <c r="G283" i="28"/>
  <c r="F283" i="28"/>
  <c r="E283" i="28"/>
  <c r="D283" i="28"/>
  <c r="C283" i="28"/>
  <c r="B283" i="28"/>
  <c r="A283" i="28"/>
  <c r="L282" i="28"/>
  <c r="K282" i="28"/>
  <c r="J282" i="28"/>
  <c r="I282" i="28"/>
  <c r="H282" i="28"/>
  <c r="G282" i="28"/>
  <c r="F282" i="28"/>
  <c r="E282" i="28"/>
  <c r="D282" i="28"/>
  <c r="C282" i="28"/>
  <c r="B282" i="28"/>
  <c r="A282" i="28"/>
  <c r="L281" i="28"/>
  <c r="K281" i="28"/>
  <c r="J281" i="28"/>
  <c r="I281" i="28"/>
  <c r="H281" i="28"/>
  <c r="G281" i="28"/>
  <c r="F281" i="28"/>
  <c r="E281" i="28"/>
  <c r="D281" i="28"/>
  <c r="C281" i="28"/>
  <c r="B281" i="28"/>
  <c r="A281" i="28"/>
  <c r="L280" i="28"/>
  <c r="K280" i="28"/>
  <c r="J280" i="28"/>
  <c r="I280" i="28"/>
  <c r="H280" i="28"/>
  <c r="G280" i="28"/>
  <c r="F280" i="28"/>
  <c r="E280" i="28"/>
  <c r="D280" i="28"/>
  <c r="C280" i="28"/>
  <c r="B280" i="28"/>
  <c r="A280" i="28"/>
  <c r="L279" i="28"/>
  <c r="K279" i="28"/>
  <c r="J279" i="28"/>
  <c r="I279" i="28"/>
  <c r="H279" i="28"/>
  <c r="G279" i="28"/>
  <c r="F279" i="28"/>
  <c r="E279" i="28"/>
  <c r="D279" i="28"/>
  <c r="C279" i="28"/>
  <c r="B279" i="28"/>
  <c r="A279" i="28"/>
  <c r="L278" i="28"/>
  <c r="K278" i="28"/>
  <c r="J278" i="28"/>
  <c r="I278" i="28"/>
  <c r="H278" i="28"/>
  <c r="G278" i="28"/>
  <c r="F278" i="28"/>
  <c r="E278" i="28"/>
  <c r="D278" i="28"/>
  <c r="C278" i="28"/>
  <c r="B278" i="28"/>
  <c r="A278" i="28"/>
  <c r="L277" i="28"/>
  <c r="K277" i="28"/>
  <c r="J277" i="28"/>
  <c r="I277" i="28"/>
  <c r="H277" i="28"/>
  <c r="G277" i="28"/>
  <c r="F277" i="28"/>
  <c r="E277" i="28"/>
  <c r="D277" i="28"/>
  <c r="C277" i="28"/>
  <c r="B277" i="28"/>
  <c r="A277" i="28"/>
  <c r="L276" i="28"/>
  <c r="K276" i="28"/>
  <c r="J276" i="28"/>
  <c r="I276" i="28"/>
  <c r="H276" i="28"/>
  <c r="G276" i="28"/>
  <c r="F276" i="28"/>
  <c r="E276" i="28"/>
  <c r="D276" i="28"/>
  <c r="C276" i="28"/>
  <c r="B276" i="28"/>
  <c r="A276" i="28"/>
  <c r="L275" i="28"/>
  <c r="K275" i="28"/>
  <c r="J275" i="28"/>
  <c r="I275" i="28"/>
  <c r="H275" i="28"/>
  <c r="G275" i="28"/>
  <c r="F275" i="28"/>
  <c r="E275" i="28"/>
  <c r="D275" i="28"/>
  <c r="C275" i="28"/>
  <c r="B275" i="28"/>
  <c r="A275" i="28"/>
  <c r="L274" i="28"/>
  <c r="K274" i="28"/>
  <c r="J274" i="28"/>
  <c r="I274" i="28"/>
  <c r="H274" i="28"/>
  <c r="G274" i="28"/>
  <c r="F274" i="28"/>
  <c r="E274" i="28"/>
  <c r="D274" i="28"/>
  <c r="C274" i="28"/>
  <c r="B274" i="28"/>
  <c r="A274" i="28"/>
  <c r="L273" i="28"/>
  <c r="K273" i="28"/>
  <c r="J273" i="28"/>
  <c r="I273" i="28"/>
  <c r="H273" i="28"/>
  <c r="G273" i="28"/>
  <c r="F273" i="28"/>
  <c r="E273" i="28"/>
  <c r="D273" i="28"/>
  <c r="C273" i="28"/>
  <c r="B273" i="28"/>
  <c r="A273" i="28"/>
  <c r="L272" i="28"/>
  <c r="K272" i="28"/>
  <c r="J272" i="28"/>
  <c r="I272" i="28"/>
  <c r="H272" i="28"/>
  <c r="G272" i="28"/>
  <c r="F272" i="28"/>
  <c r="E272" i="28"/>
  <c r="D272" i="28"/>
  <c r="C272" i="28"/>
  <c r="B272" i="28"/>
  <c r="A272" i="28"/>
  <c r="L271" i="28"/>
  <c r="K271" i="28"/>
  <c r="J271" i="28"/>
  <c r="I271" i="28"/>
  <c r="H271" i="28"/>
  <c r="G271" i="28"/>
  <c r="F271" i="28"/>
  <c r="E271" i="28"/>
  <c r="D271" i="28"/>
  <c r="C271" i="28"/>
  <c r="B271" i="28"/>
  <c r="A271" i="28"/>
  <c r="L270" i="28"/>
  <c r="K270" i="28"/>
  <c r="J270" i="28"/>
  <c r="I270" i="28"/>
  <c r="H270" i="28"/>
  <c r="G270" i="28"/>
  <c r="F270" i="28"/>
  <c r="E270" i="28"/>
  <c r="D270" i="28"/>
  <c r="C270" i="28"/>
  <c r="B270" i="28"/>
  <c r="A270" i="28"/>
  <c r="L269" i="28"/>
  <c r="K269" i="28"/>
  <c r="J269" i="28"/>
  <c r="I269" i="28"/>
  <c r="H269" i="28"/>
  <c r="G269" i="28"/>
  <c r="F269" i="28"/>
  <c r="E269" i="28"/>
  <c r="D269" i="28"/>
  <c r="C269" i="28"/>
  <c r="B269" i="28"/>
  <c r="A269" i="28"/>
  <c r="L268" i="28"/>
  <c r="K268" i="28"/>
  <c r="J268" i="28"/>
  <c r="I268" i="28"/>
  <c r="H268" i="28"/>
  <c r="G268" i="28"/>
  <c r="F268" i="28"/>
  <c r="E268" i="28"/>
  <c r="D268" i="28"/>
  <c r="C268" i="28"/>
  <c r="B268" i="28"/>
  <c r="A268" i="28"/>
  <c r="L267" i="28"/>
  <c r="K267" i="28"/>
  <c r="J267" i="28"/>
  <c r="I267" i="28"/>
  <c r="H267" i="28"/>
  <c r="G267" i="28"/>
  <c r="F267" i="28"/>
  <c r="E267" i="28"/>
  <c r="D267" i="28"/>
  <c r="C267" i="28"/>
  <c r="B267" i="28"/>
  <c r="A267" i="28"/>
  <c r="L266" i="28"/>
  <c r="K266" i="28"/>
  <c r="J266" i="28"/>
  <c r="I266" i="28"/>
  <c r="H266" i="28"/>
  <c r="G266" i="28"/>
  <c r="F266" i="28"/>
  <c r="E266" i="28"/>
  <c r="D266" i="28"/>
  <c r="C266" i="28"/>
  <c r="B266" i="28"/>
  <c r="A266" i="28"/>
  <c r="L265" i="28"/>
  <c r="K265" i="28"/>
  <c r="J265" i="28"/>
  <c r="I265" i="28"/>
  <c r="H265" i="28"/>
  <c r="G265" i="28"/>
  <c r="F265" i="28"/>
  <c r="E265" i="28"/>
  <c r="D265" i="28"/>
  <c r="C265" i="28"/>
  <c r="B265" i="28"/>
  <c r="A265" i="28"/>
  <c r="L264" i="28"/>
  <c r="K264" i="28"/>
  <c r="J264" i="28"/>
  <c r="I264" i="28"/>
  <c r="H264" i="28"/>
  <c r="G264" i="28"/>
  <c r="F264" i="28"/>
  <c r="E264" i="28"/>
  <c r="D264" i="28"/>
  <c r="C264" i="28"/>
  <c r="B264" i="28"/>
  <c r="A264" i="28"/>
  <c r="L263" i="28"/>
  <c r="K263" i="28"/>
  <c r="J263" i="28"/>
  <c r="I263" i="28"/>
  <c r="H263" i="28"/>
  <c r="G263" i="28"/>
  <c r="F263" i="28"/>
  <c r="E263" i="28"/>
  <c r="D263" i="28"/>
  <c r="C263" i="28"/>
  <c r="B263" i="28"/>
  <c r="A263" i="28"/>
  <c r="L262" i="28"/>
  <c r="K262" i="28"/>
  <c r="J262" i="28"/>
  <c r="I262" i="28"/>
  <c r="H262" i="28"/>
  <c r="G262" i="28"/>
  <c r="F262" i="28"/>
  <c r="E262" i="28"/>
  <c r="D262" i="28"/>
  <c r="C262" i="28"/>
  <c r="B262" i="28"/>
  <c r="A262" i="28"/>
  <c r="L261" i="28"/>
  <c r="K261" i="28"/>
  <c r="J261" i="28"/>
  <c r="I261" i="28"/>
  <c r="H261" i="28"/>
  <c r="G261" i="28"/>
  <c r="F261" i="28"/>
  <c r="E261" i="28"/>
  <c r="D261" i="28"/>
  <c r="C261" i="28"/>
  <c r="B261" i="28"/>
  <c r="A261" i="28"/>
  <c r="L260" i="28"/>
  <c r="K260" i="28"/>
  <c r="J260" i="28"/>
  <c r="I260" i="28"/>
  <c r="H260" i="28"/>
  <c r="G260" i="28"/>
  <c r="F260" i="28"/>
  <c r="E260" i="28"/>
  <c r="D260" i="28"/>
  <c r="C260" i="28"/>
  <c r="B260" i="28"/>
  <c r="A260" i="28"/>
  <c r="L259" i="28"/>
  <c r="K259" i="28"/>
  <c r="J259" i="28"/>
  <c r="I259" i="28"/>
  <c r="H259" i="28"/>
  <c r="G259" i="28"/>
  <c r="F259" i="28"/>
  <c r="E259" i="28"/>
  <c r="D259" i="28"/>
  <c r="C259" i="28"/>
  <c r="B259" i="28"/>
  <c r="A259" i="28"/>
  <c r="L258" i="28"/>
  <c r="K258" i="28"/>
  <c r="J258" i="28"/>
  <c r="I258" i="28"/>
  <c r="H258" i="28"/>
  <c r="G258" i="28"/>
  <c r="F258" i="28"/>
  <c r="E258" i="28"/>
  <c r="D258" i="28"/>
  <c r="C258" i="28"/>
  <c r="B258" i="28"/>
  <c r="A258" i="28"/>
  <c r="L257" i="28"/>
  <c r="K257" i="28"/>
  <c r="J257" i="28"/>
  <c r="I257" i="28"/>
  <c r="H257" i="28"/>
  <c r="G257" i="28"/>
  <c r="F257" i="28"/>
  <c r="E257" i="28"/>
  <c r="D257" i="28"/>
  <c r="C257" i="28"/>
  <c r="B257" i="28"/>
  <c r="A257" i="28"/>
  <c r="L256" i="28"/>
  <c r="K256" i="28"/>
  <c r="J256" i="28"/>
  <c r="I256" i="28"/>
  <c r="H256" i="28"/>
  <c r="G256" i="28"/>
  <c r="F256" i="28"/>
  <c r="E256" i="28"/>
  <c r="D256" i="28"/>
  <c r="C256" i="28"/>
  <c r="B256" i="28"/>
  <c r="A256" i="28"/>
  <c r="L255" i="28"/>
  <c r="K255" i="28"/>
  <c r="J255" i="28"/>
  <c r="I255" i="28"/>
  <c r="H255" i="28"/>
  <c r="G255" i="28"/>
  <c r="F255" i="28"/>
  <c r="E255" i="28"/>
  <c r="D255" i="28"/>
  <c r="C255" i="28"/>
  <c r="B255" i="28"/>
  <c r="A255" i="28"/>
  <c r="L254" i="28"/>
  <c r="K254" i="28"/>
  <c r="J254" i="28"/>
  <c r="I254" i="28"/>
  <c r="H254" i="28"/>
  <c r="G254" i="28"/>
  <c r="F254" i="28"/>
  <c r="E254" i="28"/>
  <c r="D254" i="28"/>
  <c r="C254" i="28"/>
  <c r="B254" i="28"/>
  <c r="A254" i="28"/>
  <c r="L253" i="28"/>
  <c r="K253" i="28"/>
  <c r="J253" i="28"/>
  <c r="I253" i="28"/>
  <c r="H253" i="28"/>
  <c r="G253" i="28"/>
  <c r="F253" i="28"/>
  <c r="E253" i="28"/>
  <c r="D253" i="28"/>
  <c r="C253" i="28"/>
  <c r="B253" i="28"/>
  <c r="A253" i="28"/>
  <c r="L252" i="28"/>
  <c r="K252" i="28"/>
  <c r="J252" i="28"/>
  <c r="I252" i="28"/>
  <c r="H252" i="28"/>
  <c r="G252" i="28"/>
  <c r="F252" i="28"/>
  <c r="E252" i="28"/>
  <c r="D252" i="28"/>
  <c r="C252" i="28"/>
  <c r="B252" i="28"/>
  <c r="A252" i="28"/>
  <c r="L251" i="28"/>
  <c r="K251" i="28"/>
  <c r="J251" i="28"/>
  <c r="I251" i="28"/>
  <c r="H251" i="28"/>
  <c r="G251" i="28"/>
  <c r="F251" i="28"/>
  <c r="E251" i="28"/>
  <c r="D251" i="28"/>
  <c r="C251" i="28"/>
  <c r="B251" i="28"/>
  <c r="A251" i="28"/>
  <c r="L250" i="28"/>
  <c r="K250" i="28"/>
  <c r="J250" i="28"/>
  <c r="I250" i="28"/>
  <c r="H250" i="28"/>
  <c r="G250" i="28"/>
  <c r="F250" i="28"/>
  <c r="E250" i="28"/>
  <c r="D250" i="28"/>
  <c r="C250" i="28"/>
  <c r="B250" i="28"/>
  <c r="A250" i="28"/>
  <c r="L249" i="28"/>
  <c r="K249" i="28"/>
  <c r="J249" i="28"/>
  <c r="I249" i="28"/>
  <c r="H249" i="28"/>
  <c r="G249" i="28"/>
  <c r="F249" i="28"/>
  <c r="E249" i="28"/>
  <c r="D249" i="28"/>
  <c r="C249" i="28"/>
  <c r="B249" i="28"/>
  <c r="A249" i="28"/>
  <c r="L248" i="28"/>
  <c r="K248" i="28"/>
  <c r="J248" i="28"/>
  <c r="I248" i="28"/>
  <c r="H248" i="28"/>
  <c r="G248" i="28"/>
  <c r="F248" i="28"/>
  <c r="E248" i="28"/>
  <c r="D248" i="28"/>
  <c r="C248" i="28"/>
  <c r="B248" i="28"/>
  <c r="A248" i="28"/>
  <c r="L247" i="28"/>
  <c r="K247" i="28"/>
  <c r="J247" i="28"/>
  <c r="I247" i="28"/>
  <c r="H247" i="28"/>
  <c r="G247" i="28"/>
  <c r="F247" i="28"/>
  <c r="E247" i="28"/>
  <c r="D247" i="28"/>
  <c r="C247" i="28"/>
  <c r="B247" i="28"/>
  <c r="A247" i="28"/>
  <c r="L246" i="28"/>
  <c r="K246" i="28"/>
  <c r="J246" i="28"/>
  <c r="I246" i="28"/>
  <c r="H246" i="28"/>
  <c r="G246" i="28"/>
  <c r="F246" i="28"/>
  <c r="E246" i="28"/>
  <c r="D246" i="28"/>
  <c r="C246" i="28"/>
  <c r="B246" i="28"/>
  <c r="A246" i="28"/>
  <c r="L245" i="28"/>
  <c r="K245" i="28"/>
  <c r="J245" i="28"/>
  <c r="I245" i="28"/>
  <c r="H245" i="28"/>
  <c r="G245" i="28"/>
  <c r="F245" i="28"/>
  <c r="E245" i="28"/>
  <c r="D245" i="28"/>
  <c r="C245" i="28"/>
  <c r="B245" i="28"/>
  <c r="A245" i="28"/>
  <c r="L244" i="28"/>
  <c r="K244" i="28"/>
  <c r="J244" i="28"/>
  <c r="I244" i="28"/>
  <c r="H244" i="28"/>
  <c r="G244" i="28"/>
  <c r="F244" i="28"/>
  <c r="E244" i="28"/>
  <c r="D244" i="28"/>
  <c r="C244" i="28"/>
  <c r="B244" i="28"/>
  <c r="A244" i="28"/>
  <c r="L243" i="28"/>
  <c r="K243" i="28"/>
  <c r="J243" i="28"/>
  <c r="I243" i="28"/>
  <c r="H243" i="28"/>
  <c r="G243" i="28"/>
  <c r="F243" i="28"/>
  <c r="E243" i="28"/>
  <c r="D243" i="28"/>
  <c r="C243" i="28"/>
  <c r="B243" i="28"/>
  <c r="A243" i="28"/>
  <c r="L242" i="28"/>
  <c r="K242" i="28"/>
  <c r="J242" i="28"/>
  <c r="I242" i="28"/>
  <c r="H242" i="28"/>
  <c r="G242" i="28"/>
  <c r="F242" i="28"/>
  <c r="E242" i="28"/>
  <c r="D242" i="28"/>
  <c r="C242" i="28"/>
  <c r="B242" i="28"/>
  <c r="A242" i="28"/>
  <c r="L241" i="28"/>
  <c r="K241" i="28"/>
  <c r="J241" i="28"/>
  <c r="I241" i="28"/>
  <c r="H241" i="28"/>
  <c r="G241" i="28"/>
  <c r="F241" i="28"/>
  <c r="E241" i="28"/>
  <c r="D241" i="28"/>
  <c r="C241" i="28"/>
  <c r="B241" i="28"/>
  <c r="A241" i="28"/>
  <c r="L240" i="28"/>
  <c r="K240" i="28"/>
  <c r="J240" i="28"/>
  <c r="I240" i="28"/>
  <c r="H240" i="28"/>
  <c r="G240" i="28"/>
  <c r="F240" i="28"/>
  <c r="E240" i="28"/>
  <c r="D240" i="28"/>
  <c r="C240" i="28"/>
  <c r="B240" i="28"/>
  <c r="A240" i="28"/>
  <c r="L239" i="28"/>
  <c r="K239" i="28"/>
  <c r="J239" i="28"/>
  <c r="I239" i="28"/>
  <c r="H239" i="28"/>
  <c r="G239" i="28"/>
  <c r="F239" i="28"/>
  <c r="E239" i="28"/>
  <c r="D239" i="28"/>
  <c r="C239" i="28"/>
  <c r="B239" i="28"/>
  <c r="A239" i="28"/>
  <c r="L238" i="28"/>
  <c r="K238" i="28"/>
  <c r="J238" i="28"/>
  <c r="I238" i="28"/>
  <c r="H238" i="28"/>
  <c r="G238" i="28"/>
  <c r="F238" i="28"/>
  <c r="E238" i="28"/>
  <c r="D238" i="28"/>
  <c r="C238" i="28"/>
  <c r="B238" i="28"/>
  <c r="A238" i="28"/>
  <c r="L237" i="28"/>
  <c r="K237" i="28"/>
  <c r="J237" i="28"/>
  <c r="I237" i="28"/>
  <c r="H237" i="28"/>
  <c r="G237" i="28"/>
  <c r="F237" i="28"/>
  <c r="E237" i="28"/>
  <c r="D237" i="28"/>
  <c r="C237" i="28"/>
  <c r="B237" i="28"/>
  <c r="A237" i="28"/>
  <c r="L236" i="28"/>
  <c r="K236" i="28"/>
  <c r="J236" i="28"/>
  <c r="I236" i="28"/>
  <c r="H236" i="28"/>
  <c r="G236" i="28"/>
  <c r="F236" i="28"/>
  <c r="E236" i="28"/>
  <c r="D236" i="28"/>
  <c r="C236" i="28"/>
  <c r="B236" i="28"/>
  <c r="A236" i="28"/>
  <c r="L235" i="28"/>
  <c r="K235" i="28"/>
  <c r="J235" i="28"/>
  <c r="I235" i="28"/>
  <c r="H235" i="28"/>
  <c r="G235" i="28"/>
  <c r="F235" i="28"/>
  <c r="E235" i="28"/>
  <c r="D235" i="28"/>
  <c r="C235" i="28"/>
  <c r="B235" i="28"/>
  <c r="A235" i="28"/>
  <c r="L234" i="28"/>
  <c r="K234" i="28"/>
  <c r="J234" i="28"/>
  <c r="I234" i="28"/>
  <c r="H234" i="28"/>
  <c r="G234" i="28"/>
  <c r="F234" i="28"/>
  <c r="E234" i="28"/>
  <c r="D234" i="28"/>
  <c r="C234" i="28"/>
  <c r="B234" i="28"/>
  <c r="A234" i="28"/>
  <c r="L233" i="28"/>
  <c r="K233" i="28"/>
  <c r="J233" i="28"/>
  <c r="I233" i="28"/>
  <c r="H233" i="28"/>
  <c r="G233" i="28"/>
  <c r="F233" i="28"/>
  <c r="E233" i="28"/>
  <c r="D233" i="28"/>
  <c r="C233" i="28"/>
  <c r="B233" i="28"/>
  <c r="A233" i="28"/>
  <c r="L232" i="28"/>
  <c r="K232" i="28"/>
  <c r="J232" i="28"/>
  <c r="I232" i="28"/>
  <c r="H232" i="28"/>
  <c r="G232" i="28"/>
  <c r="F232" i="28"/>
  <c r="E232" i="28"/>
  <c r="D232" i="28"/>
  <c r="C232" i="28"/>
  <c r="B232" i="28"/>
  <c r="A232" i="28"/>
  <c r="L231" i="28"/>
  <c r="K231" i="28"/>
  <c r="J231" i="28"/>
  <c r="I231" i="28"/>
  <c r="H231" i="28"/>
  <c r="G231" i="28"/>
  <c r="F231" i="28"/>
  <c r="E231" i="28"/>
  <c r="D231" i="28"/>
  <c r="C231" i="28"/>
  <c r="B231" i="28"/>
  <c r="A231" i="28"/>
  <c r="L230" i="28"/>
  <c r="K230" i="28"/>
  <c r="J230" i="28"/>
  <c r="I230" i="28"/>
  <c r="H230" i="28"/>
  <c r="G230" i="28"/>
  <c r="F230" i="28"/>
  <c r="E230" i="28"/>
  <c r="D230" i="28"/>
  <c r="C230" i="28"/>
  <c r="B230" i="28"/>
  <c r="A230" i="28"/>
  <c r="L229" i="28"/>
  <c r="K229" i="28"/>
  <c r="J229" i="28"/>
  <c r="I229" i="28"/>
  <c r="H229" i="28"/>
  <c r="G229" i="28"/>
  <c r="F229" i="28"/>
  <c r="E229" i="28"/>
  <c r="D229" i="28"/>
  <c r="C229" i="28"/>
  <c r="B229" i="28"/>
  <c r="A229" i="28"/>
  <c r="L228" i="28"/>
  <c r="K228" i="28"/>
  <c r="J228" i="28"/>
  <c r="I228" i="28"/>
  <c r="H228" i="28"/>
  <c r="G228" i="28"/>
  <c r="F228" i="28"/>
  <c r="E228" i="28"/>
  <c r="D228" i="28"/>
  <c r="C228" i="28"/>
  <c r="B228" i="28"/>
  <c r="A228" i="28"/>
  <c r="L227" i="28"/>
  <c r="K227" i="28"/>
  <c r="J227" i="28"/>
  <c r="I227" i="28"/>
  <c r="H227" i="28"/>
  <c r="G227" i="28"/>
  <c r="F227" i="28"/>
  <c r="E227" i="28"/>
  <c r="D227" i="28"/>
  <c r="C227" i="28"/>
  <c r="B227" i="28"/>
  <c r="A227" i="28"/>
  <c r="L226" i="28"/>
  <c r="K226" i="28"/>
  <c r="J226" i="28"/>
  <c r="I226" i="28"/>
  <c r="H226" i="28"/>
  <c r="G226" i="28"/>
  <c r="F226" i="28"/>
  <c r="E226" i="28"/>
  <c r="D226" i="28"/>
  <c r="C226" i="28"/>
  <c r="B226" i="28"/>
  <c r="A226" i="28"/>
  <c r="L225" i="28"/>
  <c r="K225" i="28"/>
  <c r="J225" i="28"/>
  <c r="I225" i="28"/>
  <c r="H225" i="28"/>
  <c r="G225" i="28"/>
  <c r="F225" i="28"/>
  <c r="E225" i="28"/>
  <c r="D225" i="28"/>
  <c r="C225" i="28"/>
  <c r="B225" i="28"/>
  <c r="A225" i="28"/>
  <c r="L224" i="28"/>
  <c r="K224" i="28"/>
  <c r="J224" i="28"/>
  <c r="I224" i="28"/>
  <c r="H224" i="28"/>
  <c r="G224" i="28"/>
  <c r="F224" i="28"/>
  <c r="E224" i="28"/>
  <c r="D224" i="28"/>
  <c r="C224" i="28"/>
  <c r="B224" i="28"/>
  <c r="A224" i="28"/>
  <c r="L223" i="28"/>
  <c r="K223" i="28"/>
  <c r="J223" i="28"/>
  <c r="I223" i="28"/>
  <c r="H223" i="28"/>
  <c r="G223" i="28"/>
  <c r="F223" i="28"/>
  <c r="E223" i="28"/>
  <c r="D223" i="28"/>
  <c r="C223" i="28"/>
  <c r="B223" i="28"/>
  <c r="A223" i="28"/>
  <c r="L222" i="28"/>
  <c r="K222" i="28"/>
  <c r="J222" i="28"/>
  <c r="I222" i="28"/>
  <c r="H222" i="28"/>
  <c r="G222" i="28"/>
  <c r="F222" i="28"/>
  <c r="E222" i="28"/>
  <c r="D222" i="28"/>
  <c r="C222" i="28"/>
  <c r="B222" i="28"/>
  <c r="A222" i="28"/>
  <c r="L221" i="28"/>
  <c r="K221" i="28"/>
  <c r="J221" i="28"/>
  <c r="I221" i="28"/>
  <c r="H221" i="28"/>
  <c r="G221" i="28"/>
  <c r="F221" i="28"/>
  <c r="E221" i="28"/>
  <c r="D221" i="28"/>
  <c r="C221" i="28"/>
  <c r="B221" i="28"/>
  <c r="A221" i="28"/>
  <c r="L220" i="28"/>
  <c r="K220" i="28"/>
  <c r="J220" i="28"/>
  <c r="I220" i="28"/>
  <c r="H220" i="28"/>
  <c r="G220" i="28"/>
  <c r="F220" i="28"/>
  <c r="E220" i="28"/>
  <c r="D220" i="28"/>
  <c r="C220" i="28"/>
  <c r="B220" i="28"/>
  <c r="A220" i="28"/>
  <c r="L219" i="28"/>
  <c r="K219" i="28"/>
  <c r="J219" i="28"/>
  <c r="I219" i="28"/>
  <c r="H219" i="28"/>
  <c r="G219" i="28"/>
  <c r="F219" i="28"/>
  <c r="E219" i="28"/>
  <c r="D219" i="28"/>
  <c r="C219" i="28"/>
  <c r="B219" i="28"/>
  <c r="A219" i="28"/>
  <c r="L218" i="28"/>
  <c r="K218" i="28"/>
  <c r="J218" i="28"/>
  <c r="I218" i="28"/>
  <c r="H218" i="28"/>
  <c r="G218" i="28"/>
  <c r="F218" i="28"/>
  <c r="E218" i="28"/>
  <c r="D218" i="28"/>
  <c r="C218" i="28"/>
  <c r="B218" i="28"/>
  <c r="A218" i="28"/>
  <c r="L217" i="28"/>
  <c r="K217" i="28"/>
  <c r="J217" i="28"/>
  <c r="I217" i="28"/>
  <c r="H217" i="28"/>
  <c r="G217" i="28"/>
  <c r="F217" i="28"/>
  <c r="E217" i="28"/>
  <c r="D217" i="28"/>
  <c r="C217" i="28"/>
  <c r="B217" i="28"/>
  <c r="A217" i="28"/>
  <c r="L216" i="28"/>
  <c r="K216" i="28"/>
  <c r="J216" i="28"/>
  <c r="I216" i="28"/>
  <c r="H216" i="28"/>
  <c r="G216" i="28"/>
  <c r="F216" i="28"/>
  <c r="E216" i="28"/>
  <c r="D216" i="28"/>
  <c r="C216" i="28"/>
  <c r="B216" i="28"/>
  <c r="A216" i="28"/>
  <c r="L215" i="28"/>
  <c r="K215" i="28"/>
  <c r="J215" i="28"/>
  <c r="I215" i="28"/>
  <c r="H215" i="28"/>
  <c r="G215" i="28"/>
  <c r="F215" i="28"/>
  <c r="E215" i="28"/>
  <c r="D215" i="28"/>
  <c r="C215" i="28"/>
  <c r="B215" i="28"/>
  <c r="A215" i="28"/>
  <c r="L214" i="28"/>
  <c r="K214" i="28"/>
  <c r="J214" i="28"/>
  <c r="I214" i="28"/>
  <c r="H214" i="28"/>
  <c r="G214" i="28"/>
  <c r="F214" i="28"/>
  <c r="E214" i="28"/>
  <c r="D214" i="28"/>
  <c r="C214" i="28"/>
  <c r="B214" i="28"/>
  <c r="A214" i="28"/>
  <c r="L213" i="28"/>
  <c r="K213" i="28"/>
  <c r="J213" i="28"/>
  <c r="I213" i="28"/>
  <c r="H213" i="28"/>
  <c r="G213" i="28"/>
  <c r="F213" i="28"/>
  <c r="E213" i="28"/>
  <c r="D213" i="28"/>
  <c r="C213" i="28"/>
  <c r="B213" i="28"/>
  <c r="A213" i="28"/>
  <c r="L212" i="28"/>
  <c r="K212" i="28"/>
  <c r="J212" i="28"/>
  <c r="I212" i="28"/>
  <c r="H212" i="28"/>
  <c r="G212" i="28"/>
  <c r="F212" i="28"/>
  <c r="E212" i="28"/>
  <c r="D212" i="28"/>
  <c r="C212" i="28"/>
  <c r="B212" i="28"/>
  <c r="A212" i="28"/>
  <c r="L211" i="28"/>
  <c r="K211" i="28"/>
  <c r="J211" i="28"/>
  <c r="I211" i="28"/>
  <c r="H211" i="28"/>
  <c r="G211" i="28"/>
  <c r="F211" i="28"/>
  <c r="E211" i="28"/>
  <c r="D211" i="28"/>
  <c r="C211" i="28"/>
  <c r="B211" i="28"/>
  <c r="A211" i="28"/>
  <c r="L210" i="28"/>
  <c r="K210" i="28"/>
  <c r="J210" i="28"/>
  <c r="I210" i="28"/>
  <c r="H210" i="28"/>
  <c r="G210" i="28"/>
  <c r="F210" i="28"/>
  <c r="E210" i="28"/>
  <c r="D210" i="28"/>
  <c r="C210" i="28"/>
  <c r="B210" i="28"/>
  <c r="A210" i="28"/>
  <c r="L209" i="28"/>
  <c r="K209" i="28"/>
  <c r="J209" i="28"/>
  <c r="I209" i="28"/>
  <c r="H209" i="28"/>
  <c r="G209" i="28"/>
  <c r="F209" i="28"/>
  <c r="E209" i="28"/>
  <c r="D209" i="28"/>
  <c r="C209" i="28"/>
  <c r="B209" i="28"/>
  <c r="A209" i="28"/>
  <c r="L208" i="28"/>
  <c r="K208" i="28"/>
  <c r="J208" i="28"/>
  <c r="I208" i="28"/>
  <c r="H208" i="28"/>
  <c r="G208" i="28"/>
  <c r="F208" i="28"/>
  <c r="E208" i="28"/>
  <c r="D208" i="28"/>
  <c r="C208" i="28"/>
  <c r="B208" i="28"/>
  <c r="A208" i="28"/>
  <c r="L207" i="28"/>
  <c r="K207" i="28"/>
  <c r="J207" i="28"/>
  <c r="I207" i="28"/>
  <c r="H207" i="28"/>
  <c r="G207" i="28"/>
  <c r="F207" i="28"/>
  <c r="E207" i="28"/>
  <c r="D207" i="28"/>
  <c r="C207" i="28"/>
  <c r="B207" i="28"/>
  <c r="A207" i="28"/>
  <c r="L206" i="28"/>
  <c r="K206" i="28"/>
  <c r="J206" i="28"/>
  <c r="I206" i="28"/>
  <c r="H206" i="28"/>
  <c r="G206" i="28"/>
  <c r="F206" i="28"/>
  <c r="E206" i="28"/>
  <c r="D206" i="28"/>
  <c r="C206" i="28"/>
  <c r="B206" i="28"/>
  <c r="A206" i="28"/>
  <c r="L205" i="28"/>
  <c r="K205" i="28"/>
  <c r="J205" i="28"/>
  <c r="I205" i="28"/>
  <c r="H205" i="28"/>
  <c r="G205" i="28"/>
  <c r="F205" i="28"/>
  <c r="E205" i="28"/>
  <c r="D205" i="28"/>
  <c r="C205" i="28"/>
  <c r="B205" i="28"/>
  <c r="A205" i="28"/>
  <c r="L204" i="28"/>
  <c r="K204" i="28"/>
  <c r="J204" i="28"/>
  <c r="I204" i="28"/>
  <c r="H204" i="28"/>
  <c r="G204" i="28"/>
  <c r="F204" i="28"/>
  <c r="E204" i="28"/>
  <c r="D204" i="28"/>
  <c r="C204" i="28"/>
  <c r="B204" i="28"/>
  <c r="A204" i="28"/>
  <c r="L203" i="28"/>
  <c r="K203" i="28"/>
  <c r="J203" i="28"/>
  <c r="I203" i="28"/>
  <c r="H203" i="28"/>
  <c r="G203" i="28"/>
  <c r="F203" i="28"/>
  <c r="E203" i="28"/>
  <c r="D203" i="28"/>
  <c r="C203" i="28"/>
  <c r="B203" i="28"/>
  <c r="A203" i="28"/>
  <c r="L202" i="28"/>
  <c r="K202" i="28"/>
  <c r="J202" i="28"/>
  <c r="I202" i="28"/>
  <c r="H202" i="28"/>
  <c r="G202" i="28"/>
  <c r="F202" i="28"/>
  <c r="E202" i="28"/>
  <c r="D202" i="28"/>
  <c r="C202" i="28"/>
  <c r="B202" i="28"/>
  <c r="A202" i="28"/>
  <c r="L201" i="28"/>
  <c r="K201" i="28"/>
  <c r="J201" i="28"/>
  <c r="I201" i="28"/>
  <c r="H201" i="28"/>
  <c r="G201" i="28"/>
  <c r="F201" i="28"/>
  <c r="E201" i="28"/>
  <c r="D201" i="28"/>
  <c r="C201" i="28"/>
  <c r="B201" i="28"/>
  <c r="A201" i="28"/>
  <c r="L200" i="28"/>
  <c r="K200" i="28"/>
  <c r="J200" i="28"/>
  <c r="I200" i="28"/>
  <c r="H200" i="28"/>
  <c r="G200" i="28"/>
  <c r="F200" i="28"/>
  <c r="E200" i="28"/>
  <c r="D200" i="28"/>
  <c r="C200" i="28"/>
  <c r="B200" i="28"/>
  <c r="A200" i="28"/>
  <c r="L199" i="28"/>
  <c r="K199" i="28"/>
  <c r="J199" i="28"/>
  <c r="I199" i="28"/>
  <c r="H199" i="28"/>
  <c r="G199" i="28"/>
  <c r="F199" i="28"/>
  <c r="E199" i="28"/>
  <c r="D199" i="28"/>
  <c r="C199" i="28"/>
  <c r="B199" i="28"/>
  <c r="A199" i="28"/>
  <c r="L198" i="28"/>
  <c r="K198" i="28"/>
  <c r="J198" i="28"/>
  <c r="I198" i="28"/>
  <c r="H198" i="28"/>
  <c r="G198" i="28"/>
  <c r="F198" i="28"/>
  <c r="E198" i="28"/>
  <c r="D198" i="28"/>
  <c r="C198" i="28"/>
  <c r="B198" i="28"/>
  <c r="A198" i="28"/>
  <c r="L197" i="28"/>
  <c r="K197" i="28"/>
  <c r="J197" i="28"/>
  <c r="I197" i="28"/>
  <c r="H197" i="28"/>
  <c r="G197" i="28"/>
  <c r="F197" i="28"/>
  <c r="E197" i="28"/>
  <c r="D197" i="28"/>
  <c r="C197" i="28"/>
  <c r="B197" i="28"/>
  <c r="A197" i="28"/>
  <c r="L196" i="28"/>
  <c r="K196" i="28"/>
  <c r="J196" i="28"/>
  <c r="I196" i="28"/>
  <c r="H196" i="28"/>
  <c r="G196" i="28"/>
  <c r="F196" i="28"/>
  <c r="E196" i="28"/>
  <c r="D196" i="28"/>
  <c r="C196" i="28"/>
  <c r="B196" i="28"/>
  <c r="A196" i="28"/>
  <c r="L195" i="28"/>
  <c r="K195" i="28"/>
  <c r="J195" i="28"/>
  <c r="I195" i="28"/>
  <c r="H195" i="28"/>
  <c r="G195" i="28"/>
  <c r="F195" i="28"/>
  <c r="E195" i="28"/>
  <c r="D195" i="28"/>
  <c r="C195" i="28"/>
  <c r="B195" i="28"/>
  <c r="A195" i="28"/>
  <c r="L194" i="28"/>
  <c r="K194" i="28"/>
  <c r="J194" i="28"/>
  <c r="I194" i="28"/>
  <c r="H194" i="28"/>
  <c r="G194" i="28"/>
  <c r="F194" i="28"/>
  <c r="E194" i="28"/>
  <c r="D194" i="28"/>
  <c r="C194" i="28"/>
  <c r="B194" i="28"/>
  <c r="A194" i="28"/>
  <c r="L193" i="28"/>
  <c r="K193" i="28"/>
  <c r="J193" i="28"/>
  <c r="I193" i="28"/>
  <c r="H193" i="28"/>
  <c r="G193" i="28"/>
  <c r="F193" i="28"/>
  <c r="E193" i="28"/>
  <c r="D193" i="28"/>
  <c r="C193" i="28"/>
  <c r="B193" i="28"/>
  <c r="A193" i="28"/>
  <c r="L192" i="28"/>
  <c r="K192" i="28"/>
  <c r="J192" i="28"/>
  <c r="I192" i="28"/>
  <c r="H192" i="28"/>
  <c r="G192" i="28"/>
  <c r="F192" i="28"/>
  <c r="E192" i="28"/>
  <c r="D192" i="28"/>
  <c r="C192" i="28"/>
  <c r="B192" i="28"/>
  <c r="A192" i="28"/>
  <c r="L191" i="28"/>
  <c r="K191" i="28"/>
  <c r="J191" i="28"/>
  <c r="I191" i="28"/>
  <c r="H191" i="28"/>
  <c r="G191" i="28"/>
  <c r="F191" i="28"/>
  <c r="E191" i="28"/>
  <c r="D191" i="28"/>
  <c r="C191" i="28"/>
  <c r="B191" i="28"/>
  <c r="A191" i="28"/>
  <c r="L190" i="28"/>
  <c r="K190" i="28"/>
  <c r="J190" i="28"/>
  <c r="I190" i="28"/>
  <c r="H190" i="28"/>
  <c r="G190" i="28"/>
  <c r="F190" i="28"/>
  <c r="E190" i="28"/>
  <c r="D190" i="28"/>
  <c r="C190" i="28"/>
  <c r="B190" i="28"/>
  <c r="A190" i="28"/>
  <c r="L189" i="28"/>
  <c r="K189" i="28"/>
  <c r="J189" i="28"/>
  <c r="I189" i="28"/>
  <c r="H189" i="28"/>
  <c r="G189" i="28"/>
  <c r="F189" i="28"/>
  <c r="E189" i="28"/>
  <c r="D189" i="28"/>
  <c r="C189" i="28"/>
  <c r="B189" i="28"/>
  <c r="A189" i="28"/>
  <c r="L188" i="28"/>
  <c r="K188" i="28"/>
  <c r="J188" i="28"/>
  <c r="I188" i="28"/>
  <c r="H188" i="28"/>
  <c r="G188" i="28"/>
  <c r="F188" i="28"/>
  <c r="E188" i="28"/>
  <c r="D188" i="28"/>
  <c r="C188" i="28"/>
  <c r="B188" i="28"/>
  <c r="A188" i="28"/>
  <c r="L187" i="28"/>
  <c r="K187" i="28"/>
  <c r="J187" i="28"/>
  <c r="I187" i="28"/>
  <c r="H187" i="28"/>
  <c r="G187" i="28"/>
  <c r="F187" i="28"/>
  <c r="E187" i="28"/>
  <c r="D187" i="28"/>
  <c r="C187" i="28"/>
  <c r="B187" i="28"/>
  <c r="A187" i="28"/>
  <c r="L186" i="28"/>
  <c r="K186" i="28"/>
  <c r="J186" i="28"/>
  <c r="I186" i="28"/>
  <c r="H186" i="28"/>
  <c r="G186" i="28"/>
  <c r="F186" i="28"/>
  <c r="E186" i="28"/>
  <c r="D186" i="28"/>
  <c r="C186" i="28"/>
  <c r="B186" i="28"/>
  <c r="A186" i="28"/>
  <c r="L185" i="28"/>
  <c r="K185" i="28"/>
  <c r="J185" i="28"/>
  <c r="I185" i="28"/>
  <c r="H185" i="28"/>
  <c r="G185" i="28"/>
  <c r="F185" i="28"/>
  <c r="E185" i="28"/>
  <c r="D185" i="28"/>
  <c r="C185" i="28"/>
  <c r="B185" i="28"/>
  <c r="A185" i="28"/>
  <c r="L184" i="28"/>
  <c r="K184" i="28"/>
  <c r="J184" i="28"/>
  <c r="I184" i="28"/>
  <c r="H184" i="28"/>
  <c r="G184" i="28"/>
  <c r="F184" i="28"/>
  <c r="E184" i="28"/>
  <c r="D184" i="28"/>
  <c r="C184" i="28"/>
  <c r="B184" i="28"/>
  <c r="A184" i="28"/>
  <c r="L183" i="28"/>
  <c r="K183" i="28"/>
  <c r="J183" i="28"/>
  <c r="I183" i="28"/>
  <c r="H183" i="28"/>
  <c r="G183" i="28"/>
  <c r="F183" i="28"/>
  <c r="E183" i="28"/>
  <c r="D183" i="28"/>
  <c r="C183" i="28"/>
  <c r="B183" i="28"/>
  <c r="A183" i="28"/>
  <c r="L182" i="28"/>
  <c r="K182" i="28"/>
  <c r="J182" i="28"/>
  <c r="I182" i="28"/>
  <c r="H182" i="28"/>
  <c r="G182" i="28"/>
  <c r="F182" i="28"/>
  <c r="E182" i="28"/>
  <c r="D182" i="28"/>
  <c r="C182" i="28"/>
  <c r="B182" i="28"/>
  <c r="A182" i="28"/>
  <c r="L181" i="28"/>
  <c r="K181" i="28"/>
  <c r="J181" i="28"/>
  <c r="I181" i="28"/>
  <c r="H181" i="28"/>
  <c r="G181" i="28"/>
  <c r="F181" i="28"/>
  <c r="E181" i="28"/>
  <c r="D181" i="28"/>
  <c r="C181" i="28"/>
  <c r="B181" i="28"/>
  <c r="A181" i="28"/>
  <c r="L180" i="28"/>
  <c r="K180" i="28"/>
  <c r="J180" i="28"/>
  <c r="I180" i="28"/>
  <c r="H180" i="28"/>
  <c r="G180" i="28"/>
  <c r="F180" i="28"/>
  <c r="E180" i="28"/>
  <c r="D180" i="28"/>
  <c r="C180" i="28"/>
  <c r="B180" i="28"/>
  <c r="A180" i="28"/>
  <c r="L179" i="28"/>
  <c r="K179" i="28"/>
  <c r="J179" i="28"/>
  <c r="I179" i="28"/>
  <c r="H179" i="28"/>
  <c r="G179" i="28"/>
  <c r="F179" i="28"/>
  <c r="E179" i="28"/>
  <c r="D179" i="28"/>
  <c r="C179" i="28"/>
  <c r="B179" i="28"/>
  <c r="A179" i="28"/>
  <c r="L178" i="28"/>
  <c r="K178" i="28"/>
  <c r="J178" i="28"/>
  <c r="I178" i="28"/>
  <c r="H178" i="28"/>
  <c r="G178" i="28"/>
  <c r="F178" i="28"/>
  <c r="E178" i="28"/>
  <c r="D178" i="28"/>
  <c r="C178" i="28"/>
  <c r="B178" i="28"/>
  <c r="A178" i="28"/>
  <c r="L177" i="28"/>
  <c r="K177" i="28"/>
  <c r="J177" i="28"/>
  <c r="I177" i="28"/>
  <c r="H177" i="28"/>
  <c r="G177" i="28"/>
  <c r="F177" i="28"/>
  <c r="E177" i="28"/>
  <c r="D177" i="28"/>
  <c r="C177" i="28"/>
  <c r="B177" i="28"/>
  <c r="A177" i="28"/>
  <c r="L176" i="28"/>
  <c r="K176" i="28"/>
  <c r="J176" i="28"/>
  <c r="I176" i="28"/>
  <c r="H176" i="28"/>
  <c r="G176" i="28"/>
  <c r="F176" i="28"/>
  <c r="E176" i="28"/>
  <c r="D176" i="28"/>
  <c r="C176" i="28"/>
  <c r="B176" i="28"/>
  <c r="A176" i="28"/>
  <c r="L175" i="28"/>
  <c r="K175" i="28"/>
  <c r="J175" i="28"/>
  <c r="I175" i="28"/>
  <c r="H175" i="28"/>
  <c r="G175" i="28"/>
  <c r="F175" i="28"/>
  <c r="E175" i="28"/>
  <c r="D175" i="28"/>
  <c r="C175" i="28"/>
  <c r="B175" i="28"/>
  <c r="A175" i="28"/>
  <c r="L174" i="28"/>
  <c r="K174" i="28"/>
  <c r="J174" i="28"/>
  <c r="I174" i="28"/>
  <c r="H174" i="28"/>
  <c r="G174" i="28"/>
  <c r="F174" i="28"/>
  <c r="E174" i="28"/>
  <c r="D174" i="28"/>
  <c r="C174" i="28"/>
  <c r="B174" i="28"/>
  <c r="A174" i="28"/>
  <c r="L173" i="28"/>
  <c r="K173" i="28"/>
  <c r="J173" i="28"/>
  <c r="I173" i="28"/>
  <c r="H173" i="28"/>
  <c r="G173" i="28"/>
  <c r="F173" i="28"/>
  <c r="E173" i="28"/>
  <c r="D173" i="28"/>
  <c r="C173" i="28"/>
  <c r="B173" i="28"/>
  <c r="A173" i="28"/>
  <c r="L172" i="28"/>
  <c r="K172" i="28"/>
  <c r="J172" i="28"/>
  <c r="I172" i="28"/>
  <c r="H172" i="28"/>
  <c r="G172" i="28"/>
  <c r="F172" i="28"/>
  <c r="E172" i="28"/>
  <c r="D172" i="28"/>
  <c r="C172" i="28"/>
  <c r="B172" i="28"/>
  <c r="A172" i="28"/>
  <c r="L171" i="28"/>
  <c r="K171" i="28"/>
  <c r="J171" i="28"/>
  <c r="I171" i="28"/>
  <c r="H171" i="28"/>
  <c r="G171" i="28"/>
  <c r="F171" i="28"/>
  <c r="E171" i="28"/>
  <c r="D171" i="28"/>
  <c r="C171" i="28"/>
  <c r="B171" i="28"/>
  <c r="A171" i="28"/>
  <c r="L170" i="28"/>
  <c r="K170" i="28"/>
  <c r="J170" i="28"/>
  <c r="I170" i="28"/>
  <c r="H170" i="28"/>
  <c r="G170" i="28"/>
  <c r="F170" i="28"/>
  <c r="E170" i="28"/>
  <c r="D170" i="28"/>
  <c r="C170" i="28"/>
  <c r="B170" i="28"/>
  <c r="A170" i="28"/>
  <c r="L169" i="28"/>
  <c r="K169" i="28"/>
  <c r="J169" i="28"/>
  <c r="I169" i="28"/>
  <c r="H169" i="28"/>
  <c r="G169" i="28"/>
  <c r="F169" i="28"/>
  <c r="E169" i="28"/>
  <c r="D169" i="28"/>
  <c r="C169" i="28"/>
  <c r="B169" i="28"/>
  <c r="A169" i="28"/>
  <c r="L168" i="28"/>
  <c r="K168" i="28"/>
  <c r="J168" i="28"/>
  <c r="I168" i="28"/>
  <c r="H168" i="28"/>
  <c r="G168" i="28"/>
  <c r="F168" i="28"/>
  <c r="E168" i="28"/>
  <c r="D168" i="28"/>
  <c r="C168" i="28"/>
  <c r="B168" i="28"/>
  <c r="A168" i="28"/>
  <c r="L167" i="28"/>
  <c r="K167" i="28"/>
  <c r="J167" i="28"/>
  <c r="I167" i="28"/>
  <c r="H167" i="28"/>
  <c r="G167" i="28"/>
  <c r="F167" i="28"/>
  <c r="E167" i="28"/>
  <c r="D167" i="28"/>
  <c r="C167" i="28"/>
  <c r="B167" i="28"/>
  <c r="A167" i="28"/>
  <c r="L166" i="28"/>
  <c r="K166" i="28"/>
  <c r="J166" i="28"/>
  <c r="I166" i="28"/>
  <c r="H166" i="28"/>
  <c r="G166" i="28"/>
  <c r="F166" i="28"/>
  <c r="E166" i="28"/>
  <c r="D166" i="28"/>
  <c r="C166" i="28"/>
  <c r="B166" i="28"/>
  <c r="A166" i="28"/>
  <c r="L165" i="28"/>
  <c r="K165" i="28"/>
  <c r="J165" i="28"/>
  <c r="I165" i="28"/>
  <c r="H165" i="28"/>
  <c r="G165" i="28"/>
  <c r="F165" i="28"/>
  <c r="E165" i="28"/>
  <c r="D165" i="28"/>
  <c r="C165" i="28"/>
  <c r="B165" i="28"/>
  <c r="A165" i="28"/>
  <c r="L164" i="28"/>
  <c r="K164" i="28"/>
  <c r="J164" i="28"/>
  <c r="I164" i="28"/>
  <c r="H164" i="28"/>
  <c r="G164" i="28"/>
  <c r="F164" i="28"/>
  <c r="E164" i="28"/>
  <c r="D164" i="28"/>
  <c r="C164" i="28"/>
  <c r="B164" i="28"/>
  <c r="A164" i="28"/>
  <c r="L163" i="28"/>
  <c r="K163" i="28"/>
  <c r="J163" i="28"/>
  <c r="I163" i="28"/>
  <c r="H163" i="28"/>
  <c r="G163" i="28"/>
  <c r="F163" i="28"/>
  <c r="E163" i="28"/>
  <c r="D163" i="28"/>
  <c r="C163" i="28"/>
  <c r="B163" i="28"/>
  <c r="A163" i="28"/>
  <c r="L162" i="28"/>
  <c r="K162" i="28"/>
  <c r="J162" i="28"/>
  <c r="I162" i="28"/>
  <c r="H162" i="28"/>
  <c r="G162" i="28"/>
  <c r="F162" i="28"/>
  <c r="E162" i="28"/>
  <c r="D162" i="28"/>
  <c r="C162" i="28"/>
  <c r="B162" i="28"/>
  <c r="A162" i="28"/>
  <c r="L161" i="28"/>
  <c r="K161" i="28"/>
  <c r="J161" i="28"/>
  <c r="I161" i="28"/>
  <c r="H161" i="28"/>
  <c r="G161" i="28"/>
  <c r="F161" i="28"/>
  <c r="E161" i="28"/>
  <c r="D161" i="28"/>
  <c r="C161" i="28"/>
  <c r="B161" i="28"/>
  <c r="A161" i="28"/>
  <c r="L160" i="28"/>
  <c r="K160" i="28"/>
  <c r="J160" i="28"/>
  <c r="I160" i="28"/>
  <c r="H160" i="28"/>
  <c r="G160" i="28"/>
  <c r="F160" i="28"/>
  <c r="E160" i="28"/>
  <c r="D160" i="28"/>
  <c r="C160" i="28"/>
  <c r="B160" i="28"/>
  <c r="A160" i="28"/>
  <c r="L159" i="28"/>
  <c r="K159" i="28"/>
  <c r="J159" i="28"/>
  <c r="I159" i="28"/>
  <c r="H159" i="28"/>
  <c r="G159" i="28"/>
  <c r="F159" i="28"/>
  <c r="E159" i="28"/>
  <c r="D159" i="28"/>
  <c r="C159" i="28"/>
  <c r="B159" i="28"/>
  <c r="A159" i="28"/>
  <c r="L158" i="28"/>
  <c r="K158" i="28"/>
  <c r="J158" i="28"/>
  <c r="I158" i="28"/>
  <c r="H158" i="28"/>
  <c r="G158" i="28"/>
  <c r="F158" i="28"/>
  <c r="E158" i="28"/>
  <c r="D158" i="28"/>
  <c r="C158" i="28"/>
  <c r="B158" i="28"/>
  <c r="A158" i="28"/>
  <c r="L157" i="28"/>
  <c r="K157" i="28"/>
  <c r="J157" i="28"/>
  <c r="I157" i="28"/>
  <c r="H157" i="28"/>
  <c r="G157" i="28"/>
  <c r="F157" i="28"/>
  <c r="E157" i="28"/>
  <c r="D157" i="28"/>
  <c r="C157" i="28"/>
  <c r="B157" i="28"/>
  <c r="A157" i="28"/>
  <c r="L156" i="28"/>
  <c r="K156" i="28"/>
  <c r="J156" i="28"/>
  <c r="I156" i="28"/>
  <c r="H156" i="28"/>
  <c r="G156" i="28"/>
  <c r="F156" i="28"/>
  <c r="E156" i="28"/>
  <c r="D156" i="28"/>
  <c r="C156" i="28"/>
  <c r="B156" i="28"/>
  <c r="A156" i="28"/>
  <c r="L155" i="28"/>
  <c r="K155" i="28"/>
  <c r="J155" i="28"/>
  <c r="I155" i="28"/>
  <c r="H155" i="28"/>
  <c r="G155" i="28"/>
  <c r="F155" i="28"/>
  <c r="E155" i="28"/>
  <c r="D155" i="28"/>
  <c r="C155" i="28"/>
  <c r="B155" i="28"/>
  <c r="A155" i="28"/>
  <c r="L154" i="28"/>
  <c r="K154" i="28"/>
  <c r="J154" i="28"/>
  <c r="I154" i="28"/>
  <c r="H154" i="28"/>
  <c r="G154" i="28"/>
  <c r="F154" i="28"/>
  <c r="E154" i="28"/>
  <c r="D154" i="28"/>
  <c r="C154" i="28"/>
  <c r="B154" i="28"/>
  <c r="A154" i="28"/>
  <c r="L153" i="28"/>
  <c r="K153" i="28"/>
  <c r="J153" i="28"/>
  <c r="I153" i="28"/>
  <c r="H153" i="28"/>
  <c r="G153" i="28"/>
  <c r="F153" i="28"/>
  <c r="E153" i="28"/>
  <c r="D153" i="28"/>
  <c r="C153" i="28"/>
  <c r="B153" i="28"/>
  <c r="A153" i="28"/>
  <c r="L152" i="28"/>
  <c r="K152" i="28"/>
  <c r="J152" i="28"/>
  <c r="I152" i="28"/>
  <c r="H152" i="28"/>
  <c r="G152" i="28"/>
  <c r="F152" i="28"/>
  <c r="E152" i="28"/>
  <c r="D152" i="28"/>
  <c r="C152" i="28"/>
  <c r="B152" i="28"/>
  <c r="A152" i="28"/>
  <c r="L151" i="28"/>
  <c r="K151" i="28"/>
  <c r="J151" i="28"/>
  <c r="I151" i="28"/>
  <c r="H151" i="28"/>
  <c r="G151" i="28"/>
  <c r="F151" i="28"/>
  <c r="E151" i="28"/>
  <c r="D151" i="28"/>
  <c r="C151" i="28"/>
  <c r="B151" i="28"/>
  <c r="A151" i="28"/>
  <c r="L150" i="28"/>
  <c r="K150" i="28"/>
  <c r="J150" i="28"/>
  <c r="I150" i="28"/>
  <c r="H150" i="28"/>
  <c r="G150" i="28"/>
  <c r="F150" i="28"/>
  <c r="E150" i="28"/>
  <c r="D150" i="28"/>
  <c r="C150" i="28"/>
  <c r="B150" i="28"/>
  <c r="A150" i="28"/>
  <c r="L149" i="28"/>
  <c r="K149" i="28"/>
  <c r="J149" i="28"/>
  <c r="I149" i="28"/>
  <c r="H149" i="28"/>
  <c r="G149" i="28"/>
  <c r="F149" i="28"/>
  <c r="E149" i="28"/>
  <c r="D149" i="28"/>
  <c r="C149" i="28"/>
  <c r="B149" i="28"/>
  <c r="A149" i="28"/>
  <c r="L148" i="28"/>
  <c r="K148" i="28"/>
  <c r="J148" i="28"/>
  <c r="I148" i="28"/>
  <c r="H148" i="28"/>
  <c r="G148" i="28"/>
  <c r="F148" i="28"/>
  <c r="E148" i="28"/>
  <c r="D148" i="28"/>
  <c r="C148" i="28"/>
  <c r="B148" i="28"/>
  <c r="A148" i="28"/>
  <c r="L147" i="28"/>
  <c r="K147" i="28"/>
  <c r="J147" i="28"/>
  <c r="I147" i="28"/>
  <c r="H147" i="28"/>
  <c r="G147" i="28"/>
  <c r="F147" i="28"/>
  <c r="E147" i="28"/>
  <c r="D147" i="28"/>
  <c r="C147" i="28"/>
  <c r="B147" i="28"/>
  <c r="A147" i="28"/>
  <c r="L146" i="28"/>
  <c r="K146" i="28"/>
  <c r="J146" i="28"/>
  <c r="I146" i="28"/>
  <c r="H146" i="28"/>
  <c r="G146" i="28"/>
  <c r="F146" i="28"/>
  <c r="E146" i="28"/>
  <c r="D146" i="28"/>
  <c r="C146" i="28"/>
  <c r="B146" i="28"/>
  <c r="A146" i="28"/>
  <c r="L145" i="28"/>
  <c r="K145" i="28"/>
  <c r="J145" i="28"/>
  <c r="I145" i="28"/>
  <c r="H145" i="28"/>
  <c r="G145" i="28"/>
  <c r="F145" i="28"/>
  <c r="E145" i="28"/>
  <c r="D145" i="28"/>
  <c r="C145" i="28"/>
  <c r="B145" i="28"/>
  <c r="A145" i="28"/>
  <c r="L144" i="28"/>
  <c r="K144" i="28"/>
  <c r="J144" i="28"/>
  <c r="I144" i="28"/>
  <c r="H144" i="28"/>
  <c r="G144" i="28"/>
  <c r="F144" i="28"/>
  <c r="E144" i="28"/>
  <c r="D144" i="28"/>
  <c r="C144" i="28"/>
  <c r="B144" i="28"/>
  <c r="A144" i="28"/>
  <c r="L143" i="28"/>
  <c r="K143" i="28"/>
  <c r="J143" i="28"/>
  <c r="I143" i="28"/>
  <c r="H143" i="28"/>
  <c r="G143" i="28"/>
  <c r="F143" i="28"/>
  <c r="E143" i="28"/>
  <c r="D143" i="28"/>
  <c r="C143" i="28"/>
  <c r="B143" i="28"/>
  <c r="A143" i="28"/>
  <c r="L142" i="28"/>
  <c r="K142" i="28"/>
  <c r="J142" i="28"/>
  <c r="I142" i="28"/>
  <c r="H142" i="28"/>
  <c r="G142" i="28"/>
  <c r="F142" i="28"/>
  <c r="E142" i="28"/>
  <c r="D142" i="28"/>
  <c r="C142" i="28"/>
  <c r="B142" i="28"/>
  <c r="A142" i="28"/>
  <c r="L141" i="28"/>
  <c r="K141" i="28"/>
  <c r="J141" i="28"/>
  <c r="I141" i="28"/>
  <c r="H141" i="28"/>
  <c r="G141" i="28"/>
  <c r="F141" i="28"/>
  <c r="E141" i="28"/>
  <c r="D141" i="28"/>
  <c r="C141" i="28"/>
  <c r="B141" i="28"/>
  <c r="A141" i="28"/>
  <c r="L140" i="28"/>
  <c r="K140" i="28"/>
  <c r="J140" i="28"/>
  <c r="I140" i="28"/>
  <c r="H140" i="28"/>
  <c r="G140" i="28"/>
  <c r="F140" i="28"/>
  <c r="E140" i="28"/>
  <c r="D140" i="28"/>
  <c r="C140" i="28"/>
  <c r="B140" i="28"/>
  <c r="A140" i="28"/>
  <c r="L139" i="28"/>
  <c r="K139" i="28"/>
  <c r="J139" i="28"/>
  <c r="I139" i="28"/>
  <c r="H139" i="28"/>
  <c r="G139" i="28"/>
  <c r="F139" i="28"/>
  <c r="E139" i="28"/>
  <c r="D139" i="28"/>
  <c r="C139" i="28"/>
  <c r="B139" i="28"/>
  <c r="A139" i="28"/>
  <c r="L138" i="28"/>
  <c r="K138" i="28"/>
  <c r="J138" i="28"/>
  <c r="I138" i="28"/>
  <c r="H138" i="28"/>
  <c r="G138" i="28"/>
  <c r="F138" i="28"/>
  <c r="E138" i="28"/>
  <c r="D138" i="28"/>
  <c r="C138" i="28"/>
  <c r="B138" i="28"/>
  <c r="A138" i="28"/>
  <c r="L137" i="28"/>
  <c r="K137" i="28"/>
  <c r="J137" i="28"/>
  <c r="I137" i="28"/>
  <c r="H137" i="28"/>
  <c r="G137" i="28"/>
  <c r="F137" i="28"/>
  <c r="E137" i="28"/>
  <c r="D137" i="28"/>
  <c r="C137" i="28"/>
  <c r="B137" i="28"/>
  <c r="A137" i="28"/>
  <c r="L136" i="28"/>
  <c r="K136" i="28"/>
  <c r="J136" i="28"/>
  <c r="I136" i="28"/>
  <c r="H136" i="28"/>
  <c r="G136" i="28"/>
  <c r="F136" i="28"/>
  <c r="E136" i="28"/>
  <c r="D136" i="28"/>
  <c r="C136" i="28"/>
  <c r="B136" i="28"/>
  <c r="A136" i="28"/>
  <c r="L135" i="28"/>
  <c r="K135" i="28"/>
  <c r="J135" i="28"/>
  <c r="I135" i="28"/>
  <c r="H135" i="28"/>
  <c r="G135" i="28"/>
  <c r="F135" i="28"/>
  <c r="E135" i="28"/>
  <c r="D135" i="28"/>
  <c r="C135" i="28"/>
  <c r="B135" i="28"/>
  <c r="A135" i="28"/>
  <c r="L134" i="28"/>
  <c r="K134" i="28"/>
  <c r="J134" i="28"/>
  <c r="I134" i="28"/>
  <c r="H134" i="28"/>
  <c r="G134" i="28"/>
  <c r="F134" i="28"/>
  <c r="E134" i="28"/>
  <c r="D134" i="28"/>
  <c r="C134" i="28"/>
  <c r="B134" i="28"/>
  <c r="A134" i="28"/>
  <c r="L133" i="28"/>
  <c r="K133" i="28"/>
  <c r="J133" i="28"/>
  <c r="I133" i="28"/>
  <c r="H133" i="28"/>
  <c r="G133" i="28"/>
  <c r="F133" i="28"/>
  <c r="E133" i="28"/>
  <c r="D133" i="28"/>
  <c r="C133" i="28"/>
  <c r="B133" i="28"/>
  <c r="A133" i="28"/>
  <c r="L132" i="28"/>
  <c r="K132" i="28"/>
  <c r="J132" i="28"/>
  <c r="I132" i="28"/>
  <c r="H132" i="28"/>
  <c r="G132" i="28"/>
  <c r="F132" i="28"/>
  <c r="E132" i="28"/>
  <c r="D132" i="28"/>
  <c r="C132" i="28"/>
  <c r="B132" i="28"/>
  <c r="A132" i="28"/>
  <c r="L131" i="28"/>
  <c r="K131" i="28"/>
  <c r="J131" i="28"/>
  <c r="I131" i="28"/>
  <c r="H131" i="28"/>
  <c r="G131" i="28"/>
  <c r="F131" i="28"/>
  <c r="E131" i="28"/>
  <c r="D131" i="28"/>
  <c r="C131" i="28"/>
  <c r="B131" i="28"/>
  <c r="A131" i="28"/>
  <c r="L130" i="28"/>
  <c r="K130" i="28"/>
  <c r="J130" i="28"/>
  <c r="I130" i="28"/>
  <c r="H130" i="28"/>
  <c r="G130" i="28"/>
  <c r="F130" i="28"/>
  <c r="E130" i="28"/>
  <c r="D130" i="28"/>
  <c r="C130" i="28"/>
  <c r="B130" i="28"/>
  <c r="A130" i="28"/>
  <c r="L129" i="28"/>
  <c r="K129" i="28"/>
  <c r="J129" i="28"/>
  <c r="I129" i="28"/>
  <c r="H129" i="28"/>
  <c r="G129" i="28"/>
  <c r="F129" i="28"/>
  <c r="E129" i="28"/>
  <c r="D129" i="28"/>
  <c r="C129" i="28"/>
  <c r="B129" i="28"/>
  <c r="A129" i="28"/>
  <c r="L128" i="28"/>
  <c r="K128" i="28"/>
  <c r="J128" i="28"/>
  <c r="I128" i="28"/>
  <c r="H128" i="28"/>
  <c r="G128" i="28"/>
  <c r="F128" i="28"/>
  <c r="E128" i="28"/>
  <c r="D128" i="28"/>
  <c r="C128" i="28"/>
  <c r="B128" i="28"/>
  <c r="A128" i="28"/>
  <c r="L127" i="28"/>
  <c r="K127" i="28"/>
  <c r="J127" i="28"/>
  <c r="I127" i="28"/>
  <c r="H127" i="28"/>
  <c r="G127" i="28"/>
  <c r="F127" i="28"/>
  <c r="E127" i="28"/>
  <c r="D127" i="28"/>
  <c r="C127" i="28"/>
  <c r="B127" i="28"/>
  <c r="A127" i="28"/>
  <c r="L126" i="28"/>
  <c r="K126" i="28"/>
  <c r="J126" i="28"/>
  <c r="I126" i="28"/>
  <c r="H126" i="28"/>
  <c r="G126" i="28"/>
  <c r="F126" i="28"/>
  <c r="E126" i="28"/>
  <c r="D126" i="28"/>
  <c r="C126" i="28"/>
  <c r="B126" i="28"/>
  <c r="A126" i="28"/>
  <c r="L125" i="28"/>
  <c r="K125" i="28"/>
  <c r="J125" i="28"/>
  <c r="I125" i="28"/>
  <c r="H125" i="28"/>
  <c r="G125" i="28"/>
  <c r="F125" i="28"/>
  <c r="E125" i="28"/>
  <c r="D125" i="28"/>
  <c r="C125" i="28"/>
  <c r="B125" i="28"/>
  <c r="A125" i="28"/>
  <c r="L124" i="28"/>
  <c r="K124" i="28"/>
  <c r="J124" i="28"/>
  <c r="I124" i="28"/>
  <c r="H124" i="28"/>
  <c r="G124" i="28"/>
  <c r="F124" i="28"/>
  <c r="E124" i="28"/>
  <c r="D124" i="28"/>
  <c r="C124" i="28"/>
  <c r="B124" i="28"/>
  <c r="A124" i="28"/>
  <c r="L123" i="28"/>
  <c r="K123" i="28"/>
  <c r="J123" i="28"/>
  <c r="I123" i="28"/>
  <c r="H123" i="28"/>
  <c r="G123" i="28"/>
  <c r="F123" i="28"/>
  <c r="E123" i="28"/>
  <c r="D123" i="28"/>
  <c r="C123" i="28"/>
  <c r="B123" i="28"/>
  <c r="A123" i="28"/>
  <c r="L122" i="28"/>
  <c r="K122" i="28"/>
  <c r="J122" i="28"/>
  <c r="I122" i="28"/>
  <c r="H122" i="28"/>
  <c r="G122" i="28"/>
  <c r="F122" i="28"/>
  <c r="E122" i="28"/>
  <c r="D122" i="28"/>
  <c r="C122" i="28"/>
  <c r="B122" i="28"/>
  <c r="A122" i="28"/>
  <c r="L121" i="28"/>
  <c r="K121" i="28"/>
  <c r="J121" i="28"/>
  <c r="I121" i="28"/>
  <c r="H121" i="28"/>
  <c r="G121" i="28"/>
  <c r="F121" i="28"/>
  <c r="E121" i="28"/>
  <c r="D121" i="28"/>
  <c r="C121" i="28"/>
  <c r="B121" i="28"/>
  <c r="A121" i="28"/>
  <c r="L120" i="28"/>
  <c r="K120" i="28"/>
  <c r="J120" i="28"/>
  <c r="I120" i="28"/>
  <c r="H120" i="28"/>
  <c r="G120" i="28"/>
  <c r="F120" i="28"/>
  <c r="E120" i="28"/>
  <c r="D120" i="28"/>
  <c r="C120" i="28"/>
  <c r="B120" i="28"/>
  <c r="A120" i="28"/>
  <c r="L119" i="28"/>
  <c r="K119" i="28"/>
  <c r="J119" i="28"/>
  <c r="I119" i="28"/>
  <c r="H119" i="28"/>
  <c r="G119" i="28"/>
  <c r="F119" i="28"/>
  <c r="E119" i="28"/>
  <c r="D119" i="28"/>
  <c r="C119" i="28"/>
  <c r="B119" i="28"/>
  <c r="A119" i="28"/>
  <c r="L118" i="28"/>
  <c r="K118" i="28"/>
  <c r="J118" i="28"/>
  <c r="I118" i="28"/>
  <c r="H118" i="28"/>
  <c r="G118" i="28"/>
  <c r="F118" i="28"/>
  <c r="E118" i="28"/>
  <c r="D118" i="28"/>
  <c r="C118" i="28"/>
  <c r="B118" i="28"/>
  <c r="A118" i="28"/>
  <c r="L117" i="28"/>
  <c r="K117" i="28"/>
  <c r="J117" i="28"/>
  <c r="I117" i="28"/>
  <c r="H117" i="28"/>
  <c r="G117" i="28"/>
  <c r="F117" i="28"/>
  <c r="E117" i="28"/>
  <c r="D117" i="28"/>
  <c r="C117" i="28"/>
  <c r="B117" i="28"/>
  <c r="A117" i="28"/>
  <c r="L116" i="28"/>
  <c r="K116" i="28"/>
  <c r="J116" i="28"/>
  <c r="I116" i="28"/>
  <c r="H116" i="28"/>
  <c r="G116" i="28"/>
  <c r="F116" i="28"/>
  <c r="E116" i="28"/>
  <c r="D116" i="28"/>
  <c r="C116" i="28"/>
  <c r="B116" i="28"/>
  <c r="A116" i="28"/>
  <c r="L115" i="28"/>
  <c r="K115" i="28"/>
  <c r="J115" i="28"/>
  <c r="I115" i="28"/>
  <c r="H115" i="28"/>
  <c r="G115" i="28"/>
  <c r="F115" i="28"/>
  <c r="E115" i="28"/>
  <c r="D115" i="28"/>
  <c r="C115" i="28"/>
  <c r="B115" i="28"/>
  <c r="A115" i="28"/>
  <c r="L114" i="28"/>
  <c r="K114" i="28"/>
  <c r="J114" i="28"/>
  <c r="I114" i="28"/>
  <c r="H114" i="28"/>
  <c r="G114" i="28"/>
  <c r="F114" i="28"/>
  <c r="E114" i="28"/>
  <c r="D114" i="28"/>
  <c r="C114" i="28"/>
  <c r="B114" i="28"/>
  <c r="A114" i="28"/>
  <c r="L113" i="28"/>
  <c r="K113" i="28"/>
  <c r="J113" i="28"/>
  <c r="I113" i="28"/>
  <c r="H113" i="28"/>
  <c r="G113" i="28"/>
  <c r="F113" i="28"/>
  <c r="E113" i="28"/>
  <c r="D113" i="28"/>
  <c r="C113" i="28"/>
  <c r="B113" i="28"/>
  <c r="A113" i="28"/>
  <c r="L112" i="28"/>
  <c r="K112" i="28"/>
  <c r="J112" i="28"/>
  <c r="I112" i="28"/>
  <c r="H112" i="28"/>
  <c r="G112" i="28"/>
  <c r="F112" i="28"/>
  <c r="E112" i="28"/>
  <c r="D112" i="28"/>
  <c r="C112" i="28"/>
  <c r="B112" i="28"/>
  <c r="A112" i="28"/>
  <c r="L111" i="28"/>
  <c r="K111" i="28"/>
  <c r="J111" i="28"/>
  <c r="I111" i="28"/>
  <c r="H111" i="28"/>
  <c r="G111" i="28"/>
  <c r="F111" i="28"/>
  <c r="E111" i="28"/>
  <c r="D111" i="28"/>
  <c r="C111" i="28"/>
  <c r="B111" i="28"/>
  <c r="A111" i="28"/>
  <c r="L110" i="28"/>
  <c r="K110" i="28"/>
  <c r="J110" i="28"/>
  <c r="I110" i="28"/>
  <c r="H110" i="28"/>
  <c r="G110" i="28"/>
  <c r="F110" i="28"/>
  <c r="E110" i="28"/>
  <c r="D110" i="28"/>
  <c r="C110" i="28"/>
  <c r="B110" i="28"/>
  <c r="A110" i="28"/>
  <c r="L109" i="28"/>
  <c r="K109" i="28"/>
  <c r="J109" i="28"/>
  <c r="I109" i="28"/>
  <c r="H109" i="28"/>
  <c r="G109" i="28"/>
  <c r="F109" i="28"/>
  <c r="E109" i="28"/>
  <c r="D109" i="28"/>
  <c r="C109" i="28"/>
  <c r="B109" i="28"/>
  <c r="A109" i="28"/>
  <c r="L108" i="28"/>
  <c r="K108" i="28"/>
  <c r="J108" i="28"/>
  <c r="I108" i="28"/>
  <c r="H108" i="28"/>
  <c r="G108" i="28"/>
  <c r="F108" i="28"/>
  <c r="E108" i="28"/>
  <c r="D108" i="28"/>
  <c r="C108" i="28"/>
  <c r="B108" i="28"/>
  <c r="A108" i="28"/>
  <c r="L107" i="28"/>
  <c r="K107" i="28"/>
  <c r="J107" i="28"/>
  <c r="I107" i="28"/>
  <c r="H107" i="28"/>
  <c r="G107" i="28"/>
  <c r="F107" i="28"/>
  <c r="E107" i="28"/>
  <c r="D107" i="28"/>
  <c r="C107" i="28"/>
  <c r="B107" i="28"/>
  <c r="A107" i="28"/>
  <c r="L106" i="28"/>
  <c r="K106" i="28"/>
  <c r="J106" i="28"/>
  <c r="I106" i="28"/>
  <c r="H106" i="28"/>
  <c r="G106" i="28"/>
  <c r="F106" i="28"/>
  <c r="E106" i="28"/>
  <c r="D106" i="28"/>
  <c r="C106" i="28"/>
  <c r="B106" i="28"/>
  <c r="A106" i="28"/>
  <c r="L105" i="28"/>
  <c r="K105" i="28"/>
  <c r="J105" i="28"/>
  <c r="I105" i="28"/>
  <c r="H105" i="28"/>
  <c r="G105" i="28"/>
  <c r="F105" i="28"/>
  <c r="E105" i="28"/>
  <c r="D105" i="28"/>
  <c r="C105" i="28"/>
  <c r="B105" i="28"/>
  <c r="A105" i="28"/>
  <c r="L104" i="28"/>
  <c r="K104" i="28"/>
  <c r="J104" i="28"/>
  <c r="I104" i="28"/>
  <c r="H104" i="28"/>
  <c r="G104" i="28"/>
  <c r="F104" i="28"/>
  <c r="E104" i="28"/>
  <c r="D104" i="28"/>
  <c r="C104" i="28"/>
  <c r="B104" i="28"/>
  <c r="A104" i="28"/>
  <c r="L103" i="28"/>
  <c r="K103" i="28"/>
  <c r="J103" i="28"/>
  <c r="I103" i="28"/>
  <c r="H103" i="28"/>
  <c r="G103" i="28"/>
  <c r="F103" i="28"/>
  <c r="E103" i="28"/>
  <c r="D103" i="28"/>
  <c r="C103" i="28"/>
  <c r="B103" i="28"/>
  <c r="A103" i="28"/>
  <c r="L102" i="28"/>
  <c r="K102" i="28"/>
  <c r="J102" i="28"/>
  <c r="I102" i="28"/>
  <c r="H102" i="28"/>
  <c r="G102" i="28"/>
  <c r="F102" i="28"/>
  <c r="E102" i="28"/>
  <c r="D102" i="28"/>
  <c r="C102" i="28"/>
  <c r="B102" i="28"/>
  <c r="A102" i="28"/>
  <c r="L101" i="28"/>
  <c r="K101" i="28"/>
  <c r="J101" i="28"/>
  <c r="I101" i="28"/>
  <c r="H101" i="28"/>
  <c r="G101" i="28"/>
  <c r="F101" i="28"/>
  <c r="E101" i="28"/>
  <c r="D101" i="28"/>
  <c r="C101" i="28"/>
  <c r="B101" i="28"/>
  <c r="A101" i="28"/>
  <c r="L100" i="28"/>
  <c r="K100" i="28"/>
  <c r="J100" i="28"/>
  <c r="I100" i="28"/>
  <c r="H100" i="28"/>
  <c r="G100" i="28"/>
  <c r="F100" i="28"/>
  <c r="E100" i="28"/>
  <c r="D100" i="28"/>
  <c r="C100" i="28"/>
  <c r="B100" i="28"/>
  <c r="A100" i="28"/>
  <c r="L99" i="28"/>
  <c r="K99" i="28"/>
  <c r="J99" i="28"/>
  <c r="I99" i="28"/>
  <c r="H99" i="28"/>
  <c r="G99" i="28"/>
  <c r="F99" i="28"/>
  <c r="E99" i="28"/>
  <c r="D99" i="28"/>
  <c r="C99" i="28"/>
  <c r="B99" i="28"/>
  <c r="A99" i="28"/>
  <c r="L98" i="28"/>
  <c r="K98" i="28"/>
  <c r="J98" i="28"/>
  <c r="I98" i="28"/>
  <c r="H98" i="28"/>
  <c r="G98" i="28"/>
  <c r="F98" i="28"/>
  <c r="E98" i="28"/>
  <c r="D98" i="28"/>
  <c r="C98" i="28"/>
  <c r="B98" i="28"/>
  <c r="A98" i="28"/>
  <c r="L97" i="28"/>
  <c r="K97" i="28"/>
  <c r="J97" i="28"/>
  <c r="I97" i="28"/>
  <c r="H97" i="28"/>
  <c r="G97" i="28"/>
  <c r="F97" i="28"/>
  <c r="E97" i="28"/>
  <c r="D97" i="28"/>
  <c r="C97" i="28"/>
  <c r="B97" i="28"/>
  <c r="A97" i="28"/>
  <c r="L96" i="28"/>
  <c r="K96" i="28"/>
  <c r="J96" i="28"/>
  <c r="I96" i="28"/>
  <c r="H96" i="28"/>
  <c r="G96" i="28"/>
  <c r="F96" i="28"/>
  <c r="E96" i="28"/>
  <c r="D96" i="28"/>
  <c r="C96" i="28"/>
  <c r="B96" i="28"/>
  <c r="A96" i="28"/>
  <c r="L95" i="28"/>
  <c r="K95" i="28"/>
  <c r="J95" i="28"/>
  <c r="I95" i="28"/>
  <c r="H95" i="28"/>
  <c r="G95" i="28"/>
  <c r="F95" i="28"/>
  <c r="E95" i="28"/>
  <c r="D95" i="28"/>
  <c r="C95" i="28"/>
  <c r="B95" i="28"/>
  <c r="A95" i="28"/>
  <c r="L94" i="28"/>
  <c r="K94" i="28"/>
  <c r="J94" i="28"/>
  <c r="I94" i="28"/>
  <c r="H94" i="28"/>
  <c r="G94" i="28"/>
  <c r="F94" i="28"/>
  <c r="E94" i="28"/>
  <c r="D94" i="28"/>
  <c r="C94" i="28"/>
  <c r="B94" i="28"/>
  <c r="A94" i="28"/>
  <c r="L93" i="28"/>
  <c r="K93" i="28"/>
  <c r="J93" i="28"/>
  <c r="I93" i="28"/>
  <c r="H93" i="28"/>
  <c r="G93" i="28"/>
  <c r="F93" i="28"/>
  <c r="E93" i="28"/>
  <c r="D93" i="28"/>
  <c r="C93" i="28"/>
  <c r="B93" i="28"/>
  <c r="A93" i="28"/>
  <c r="L92" i="28"/>
  <c r="K92" i="28"/>
  <c r="J92" i="28"/>
  <c r="I92" i="28"/>
  <c r="H92" i="28"/>
  <c r="G92" i="28"/>
  <c r="F92" i="28"/>
  <c r="E92" i="28"/>
  <c r="D92" i="28"/>
  <c r="C92" i="28"/>
  <c r="B92" i="28"/>
  <c r="A92" i="28"/>
  <c r="L91" i="28"/>
  <c r="K91" i="28"/>
  <c r="J91" i="28"/>
  <c r="I91" i="28"/>
  <c r="H91" i="28"/>
  <c r="G91" i="28"/>
  <c r="F91" i="28"/>
  <c r="E91" i="28"/>
  <c r="D91" i="28"/>
  <c r="C91" i="28"/>
  <c r="B91" i="28"/>
  <c r="A91" i="28"/>
  <c r="L90" i="28"/>
  <c r="K90" i="28"/>
  <c r="J90" i="28"/>
  <c r="I90" i="28"/>
  <c r="H90" i="28"/>
  <c r="G90" i="28"/>
  <c r="F90" i="28"/>
  <c r="E90" i="28"/>
  <c r="D90" i="28"/>
  <c r="C90" i="28"/>
  <c r="B90" i="28"/>
  <c r="A90" i="28"/>
  <c r="L89" i="28"/>
  <c r="K89" i="28"/>
  <c r="J89" i="28"/>
  <c r="I89" i="28"/>
  <c r="H89" i="28"/>
  <c r="G89" i="28"/>
  <c r="F89" i="28"/>
  <c r="E89" i="28"/>
  <c r="D89" i="28"/>
  <c r="C89" i="28"/>
  <c r="B89" i="28"/>
  <c r="A89" i="28"/>
  <c r="L88" i="28"/>
  <c r="K88" i="28"/>
  <c r="J88" i="28"/>
  <c r="I88" i="28"/>
  <c r="H88" i="28"/>
  <c r="G88" i="28"/>
  <c r="F88" i="28"/>
  <c r="E88" i="28"/>
  <c r="D88" i="28"/>
  <c r="C88" i="28"/>
  <c r="B88" i="28"/>
  <c r="A88" i="28"/>
  <c r="L87" i="28"/>
  <c r="K87" i="28"/>
  <c r="J87" i="28"/>
  <c r="I87" i="28"/>
  <c r="H87" i="28"/>
  <c r="G87" i="28"/>
  <c r="F87" i="28"/>
  <c r="E87" i="28"/>
  <c r="D87" i="28"/>
  <c r="C87" i="28"/>
  <c r="B87" i="28"/>
  <c r="A87" i="28"/>
  <c r="L86" i="28"/>
  <c r="K86" i="28"/>
  <c r="J86" i="28"/>
  <c r="I86" i="28"/>
  <c r="H86" i="28"/>
  <c r="G86" i="28"/>
  <c r="F86" i="28"/>
  <c r="E86" i="28"/>
  <c r="D86" i="28"/>
  <c r="C86" i="28"/>
  <c r="B86" i="28"/>
  <c r="A86" i="28"/>
  <c r="L85" i="28"/>
  <c r="K85" i="28"/>
  <c r="J85" i="28"/>
  <c r="I85" i="28"/>
  <c r="H85" i="28"/>
  <c r="G85" i="28"/>
  <c r="F85" i="28"/>
  <c r="E85" i="28"/>
  <c r="D85" i="28"/>
  <c r="C85" i="28"/>
  <c r="B85" i="28"/>
  <c r="A85" i="28"/>
  <c r="L84" i="28"/>
  <c r="K84" i="28"/>
  <c r="J84" i="28"/>
  <c r="I84" i="28"/>
  <c r="H84" i="28"/>
  <c r="G84" i="28"/>
  <c r="F84" i="28"/>
  <c r="E84" i="28"/>
  <c r="D84" i="28"/>
  <c r="C84" i="28"/>
  <c r="B84" i="28"/>
  <c r="A84" i="28"/>
  <c r="L83" i="28"/>
  <c r="K83" i="28"/>
  <c r="J83" i="28"/>
  <c r="I83" i="28"/>
  <c r="H83" i="28"/>
  <c r="G83" i="28"/>
  <c r="F83" i="28"/>
  <c r="E83" i="28"/>
  <c r="D83" i="28"/>
  <c r="C83" i="28"/>
  <c r="B83" i="28"/>
  <c r="A83" i="28"/>
  <c r="L82" i="28"/>
  <c r="K82" i="28"/>
  <c r="J82" i="28"/>
  <c r="I82" i="28"/>
  <c r="H82" i="28"/>
  <c r="G82" i="28"/>
  <c r="F82" i="28"/>
  <c r="E82" i="28"/>
  <c r="D82" i="28"/>
  <c r="C82" i="28"/>
  <c r="B82" i="28"/>
  <c r="A82" i="28"/>
  <c r="L81" i="28"/>
  <c r="K81" i="28"/>
  <c r="J81" i="28"/>
  <c r="I81" i="28"/>
  <c r="H81" i="28"/>
  <c r="G81" i="28"/>
  <c r="F81" i="28"/>
  <c r="E81" i="28"/>
  <c r="D81" i="28"/>
  <c r="C81" i="28"/>
  <c r="B81" i="28"/>
  <c r="A81" i="28"/>
  <c r="L80" i="28"/>
  <c r="K80" i="28"/>
  <c r="J80" i="28"/>
  <c r="I80" i="28"/>
  <c r="H80" i="28"/>
  <c r="G80" i="28"/>
  <c r="F80" i="28"/>
  <c r="E80" i="28"/>
  <c r="D80" i="28"/>
  <c r="C80" i="28"/>
  <c r="B80" i="28"/>
  <c r="A80" i="28"/>
  <c r="L79" i="28"/>
  <c r="K79" i="28"/>
  <c r="J79" i="28"/>
  <c r="I79" i="28"/>
  <c r="H79" i="28"/>
  <c r="G79" i="28"/>
  <c r="F79" i="28"/>
  <c r="E79" i="28"/>
  <c r="D79" i="28"/>
  <c r="C79" i="28"/>
  <c r="B79" i="28"/>
  <c r="A79" i="28"/>
  <c r="L78" i="28"/>
  <c r="K78" i="28"/>
  <c r="J78" i="28"/>
  <c r="I78" i="28"/>
  <c r="H78" i="28"/>
  <c r="G78" i="28"/>
  <c r="F78" i="28"/>
  <c r="E78" i="28"/>
  <c r="D78" i="28"/>
  <c r="C78" i="28"/>
  <c r="B78" i="28"/>
  <c r="A78" i="28"/>
  <c r="L77" i="28"/>
  <c r="K77" i="28"/>
  <c r="J77" i="28"/>
  <c r="I77" i="28"/>
  <c r="H77" i="28"/>
  <c r="G77" i="28"/>
  <c r="F77" i="28"/>
  <c r="E77" i="28"/>
  <c r="D77" i="28"/>
  <c r="C77" i="28"/>
  <c r="B77" i="28"/>
  <c r="A77" i="28"/>
  <c r="L76" i="28"/>
  <c r="K76" i="28"/>
  <c r="J76" i="28"/>
  <c r="I76" i="28"/>
  <c r="H76" i="28"/>
  <c r="G76" i="28"/>
  <c r="F76" i="28"/>
  <c r="E76" i="28"/>
  <c r="D76" i="28"/>
  <c r="C76" i="28"/>
  <c r="B76" i="28"/>
  <c r="A76" i="28"/>
  <c r="L75" i="28"/>
  <c r="K75" i="28"/>
  <c r="J75" i="28"/>
  <c r="I75" i="28"/>
  <c r="H75" i="28"/>
  <c r="G75" i="28"/>
  <c r="F75" i="28"/>
  <c r="E75" i="28"/>
  <c r="D75" i="28"/>
  <c r="C75" i="28"/>
  <c r="B75" i="28"/>
  <c r="A75" i="28"/>
  <c r="L74" i="28"/>
  <c r="K74" i="28"/>
  <c r="J74" i="28"/>
  <c r="I74" i="28"/>
  <c r="H74" i="28"/>
  <c r="G74" i="28"/>
  <c r="F74" i="28"/>
  <c r="E74" i="28"/>
  <c r="D74" i="28"/>
  <c r="C74" i="28"/>
  <c r="B74" i="28"/>
  <c r="A74" i="28"/>
  <c r="L73" i="28"/>
  <c r="K73" i="28"/>
  <c r="J73" i="28"/>
  <c r="I73" i="28"/>
  <c r="H73" i="28"/>
  <c r="G73" i="28"/>
  <c r="F73" i="28"/>
  <c r="E73" i="28"/>
  <c r="D73" i="28"/>
  <c r="C73" i="28"/>
  <c r="B73" i="28"/>
  <c r="A73" i="28"/>
  <c r="L72" i="28"/>
  <c r="K72" i="28"/>
  <c r="J72" i="28"/>
  <c r="I72" i="28"/>
  <c r="H72" i="28"/>
  <c r="G72" i="28"/>
  <c r="F72" i="28"/>
  <c r="E72" i="28"/>
  <c r="D72" i="28"/>
  <c r="C72" i="28"/>
  <c r="B72" i="28"/>
  <c r="A72" i="28"/>
  <c r="L71" i="28"/>
  <c r="K71" i="28"/>
  <c r="J71" i="28"/>
  <c r="I71" i="28"/>
  <c r="H71" i="28"/>
  <c r="G71" i="28"/>
  <c r="F71" i="28"/>
  <c r="E71" i="28"/>
  <c r="D71" i="28"/>
  <c r="C71" i="28"/>
  <c r="B71" i="28"/>
  <c r="A71" i="28"/>
  <c r="L70" i="28"/>
  <c r="K70" i="28"/>
  <c r="J70" i="28"/>
  <c r="I70" i="28"/>
  <c r="H70" i="28"/>
  <c r="G70" i="28"/>
  <c r="F70" i="28"/>
  <c r="E70" i="28"/>
  <c r="D70" i="28"/>
  <c r="C70" i="28"/>
  <c r="B70" i="28"/>
  <c r="A70" i="28"/>
  <c r="L69" i="28"/>
  <c r="K69" i="28"/>
  <c r="J69" i="28"/>
  <c r="I69" i="28"/>
  <c r="H69" i="28"/>
  <c r="G69" i="28"/>
  <c r="F69" i="28"/>
  <c r="E69" i="28"/>
  <c r="D69" i="28"/>
  <c r="C69" i="28"/>
  <c r="B69" i="28"/>
  <c r="A69" i="28"/>
  <c r="L68" i="28"/>
  <c r="K68" i="28"/>
  <c r="J68" i="28"/>
  <c r="I68" i="28"/>
  <c r="H68" i="28"/>
  <c r="G68" i="28"/>
  <c r="F68" i="28"/>
  <c r="E68" i="28"/>
  <c r="D68" i="28"/>
  <c r="C68" i="28"/>
  <c r="B68" i="28"/>
  <c r="A68" i="28"/>
  <c r="L67" i="28"/>
  <c r="K67" i="28"/>
  <c r="J67" i="28"/>
  <c r="I67" i="28"/>
  <c r="H67" i="28"/>
  <c r="G67" i="28"/>
  <c r="F67" i="28"/>
  <c r="E67" i="28"/>
  <c r="D67" i="28"/>
  <c r="C67" i="28"/>
  <c r="B67" i="28"/>
  <c r="A67" i="28"/>
  <c r="L66" i="28"/>
  <c r="K66" i="28"/>
  <c r="J66" i="28"/>
  <c r="I66" i="28"/>
  <c r="H66" i="28"/>
  <c r="G66" i="28"/>
  <c r="F66" i="28"/>
  <c r="E66" i="28"/>
  <c r="D66" i="28"/>
  <c r="C66" i="28"/>
  <c r="B66" i="28"/>
  <c r="A66" i="28"/>
  <c r="L65" i="28"/>
  <c r="K65" i="28"/>
  <c r="J65" i="28"/>
  <c r="I65" i="28"/>
  <c r="H65" i="28"/>
  <c r="G65" i="28"/>
  <c r="F65" i="28"/>
  <c r="E65" i="28"/>
  <c r="D65" i="28"/>
  <c r="C65" i="28"/>
  <c r="B65" i="28"/>
  <c r="A65" i="28"/>
  <c r="L64" i="28"/>
  <c r="K64" i="28"/>
  <c r="J64" i="28"/>
  <c r="I64" i="28"/>
  <c r="H64" i="28"/>
  <c r="G64" i="28"/>
  <c r="F64" i="28"/>
  <c r="E64" i="28"/>
  <c r="D64" i="28"/>
  <c r="C64" i="28"/>
  <c r="B64" i="28"/>
  <c r="A64" i="28"/>
  <c r="L63" i="28"/>
  <c r="K63" i="28"/>
  <c r="J63" i="28"/>
  <c r="I63" i="28"/>
  <c r="H63" i="28"/>
  <c r="G63" i="28"/>
  <c r="F63" i="28"/>
  <c r="E63" i="28"/>
  <c r="D63" i="28"/>
  <c r="C63" i="28"/>
  <c r="B63" i="28"/>
  <c r="A63" i="28"/>
  <c r="L62" i="28"/>
  <c r="K62" i="28"/>
  <c r="J62" i="28"/>
  <c r="I62" i="28"/>
  <c r="H62" i="28"/>
  <c r="G62" i="28"/>
  <c r="F62" i="28"/>
  <c r="E62" i="28"/>
  <c r="D62" i="28"/>
  <c r="C62" i="28"/>
  <c r="B62" i="28"/>
  <c r="A62" i="28"/>
  <c r="L61" i="28"/>
  <c r="K61" i="28"/>
  <c r="J61" i="28"/>
  <c r="I61" i="28"/>
  <c r="H61" i="28"/>
  <c r="G61" i="28"/>
  <c r="F61" i="28"/>
  <c r="E61" i="28"/>
  <c r="D61" i="28"/>
  <c r="C61" i="28"/>
  <c r="B61" i="28"/>
  <c r="A61" i="28"/>
  <c r="L60" i="28"/>
  <c r="K60" i="28"/>
  <c r="J60" i="28"/>
  <c r="I60" i="28"/>
  <c r="H60" i="28"/>
  <c r="G60" i="28"/>
  <c r="F60" i="28"/>
  <c r="E60" i="28"/>
  <c r="D60" i="28"/>
  <c r="C60" i="28"/>
  <c r="B60" i="28"/>
  <c r="A60" i="28"/>
  <c r="L59" i="28"/>
  <c r="K59" i="28"/>
  <c r="J59" i="28"/>
  <c r="I59" i="28"/>
  <c r="H59" i="28"/>
  <c r="G59" i="28"/>
  <c r="F59" i="28"/>
  <c r="E59" i="28"/>
  <c r="D59" i="28"/>
  <c r="C59" i="28"/>
  <c r="B59" i="28"/>
  <c r="A59" i="28"/>
  <c r="L58" i="28"/>
  <c r="K58" i="28"/>
  <c r="J58" i="28"/>
  <c r="I58" i="28"/>
  <c r="H58" i="28"/>
  <c r="G58" i="28"/>
  <c r="F58" i="28"/>
  <c r="E58" i="28"/>
  <c r="D58" i="28"/>
  <c r="C58" i="28"/>
  <c r="B58" i="28"/>
  <c r="A58" i="28"/>
  <c r="L57" i="28"/>
  <c r="K57" i="28"/>
  <c r="J57" i="28"/>
  <c r="I57" i="28"/>
  <c r="H57" i="28"/>
  <c r="G57" i="28"/>
  <c r="F57" i="28"/>
  <c r="E57" i="28"/>
  <c r="D57" i="28"/>
  <c r="C57" i="28"/>
  <c r="B57" i="28"/>
  <c r="A57" i="28"/>
  <c r="L56" i="28"/>
  <c r="K56" i="28"/>
  <c r="J56" i="28"/>
  <c r="I56" i="28"/>
  <c r="H56" i="28"/>
  <c r="G56" i="28"/>
  <c r="F56" i="28"/>
  <c r="E56" i="28"/>
  <c r="D56" i="28"/>
  <c r="C56" i="28"/>
  <c r="B56" i="28"/>
  <c r="A56" i="28"/>
  <c r="L55" i="28"/>
  <c r="K55" i="28"/>
  <c r="J55" i="28"/>
  <c r="I55" i="28"/>
  <c r="H55" i="28"/>
  <c r="G55" i="28"/>
  <c r="F55" i="28"/>
  <c r="E55" i="28"/>
  <c r="D55" i="28"/>
  <c r="C55" i="28"/>
  <c r="B55" i="28"/>
  <c r="A55" i="28"/>
  <c r="L54" i="28"/>
  <c r="K54" i="28"/>
  <c r="J54" i="28"/>
  <c r="I54" i="28"/>
  <c r="H54" i="28"/>
  <c r="G54" i="28"/>
  <c r="F54" i="28"/>
  <c r="E54" i="28"/>
  <c r="D54" i="28"/>
  <c r="C54" i="28"/>
  <c r="B54" i="28"/>
  <c r="A54" i="28"/>
  <c r="L53" i="28"/>
  <c r="K53" i="28"/>
  <c r="J53" i="28"/>
  <c r="I53" i="28"/>
  <c r="H53" i="28"/>
  <c r="G53" i="28"/>
  <c r="F53" i="28"/>
  <c r="E53" i="28"/>
  <c r="D53" i="28"/>
  <c r="C53" i="28"/>
  <c r="B53" i="28"/>
  <c r="A53" i="28"/>
  <c r="L52" i="28"/>
  <c r="K52" i="28"/>
  <c r="J52" i="28"/>
  <c r="I52" i="28"/>
  <c r="H52" i="28"/>
  <c r="G52" i="28"/>
  <c r="F52" i="28"/>
  <c r="E52" i="28"/>
  <c r="D52" i="28"/>
  <c r="C52" i="28"/>
  <c r="B52" i="28"/>
  <c r="A52" i="28"/>
  <c r="L51" i="28"/>
  <c r="K51" i="28"/>
  <c r="J51" i="28"/>
  <c r="I51" i="28"/>
  <c r="H51" i="28"/>
  <c r="G51" i="28"/>
  <c r="F51" i="28"/>
  <c r="E51" i="28"/>
  <c r="D51" i="28"/>
  <c r="C51" i="28"/>
  <c r="B51" i="28"/>
  <c r="A51" i="28"/>
  <c r="L50" i="28"/>
  <c r="K50" i="28"/>
  <c r="J50" i="28"/>
  <c r="I50" i="28"/>
  <c r="H50" i="28"/>
  <c r="G50" i="28"/>
  <c r="F50" i="28"/>
  <c r="E50" i="28"/>
  <c r="D50" i="28"/>
  <c r="C50" i="28"/>
  <c r="B50" i="28"/>
  <c r="A50" i="28"/>
  <c r="L49" i="28"/>
  <c r="K49" i="28"/>
  <c r="J49" i="28"/>
  <c r="I49" i="28"/>
  <c r="H49" i="28"/>
  <c r="G49" i="28"/>
  <c r="F49" i="28"/>
  <c r="E49" i="28"/>
  <c r="D49" i="28"/>
  <c r="C49" i="28"/>
  <c r="B49" i="28"/>
  <c r="A49" i="28"/>
  <c r="L48" i="28"/>
  <c r="K48" i="28"/>
  <c r="J48" i="28"/>
  <c r="I48" i="28"/>
  <c r="H48" i="28"/>
  <c r="G48" i="28"/>
  <c r="F48" i="28"/>
  <c r="E48" i="28"/>
  <c r="D48" i="28"/>
  <c r="C48" i="28"/>
  <c r="B48" i="28"/>
  <c r="A48" i="28"/>
  <c r="L47" i="28"/>
  <c r="K47" i="28"/>
  <c r="J47" i="28"/>
  <c r="I47" i="28"/>
  <c r="H47" i="28"/>
  <c r="G47" i="28"/>
  <c r="F47" i="28"/>
  <c r="E47" i="28"/>
  <c r="D47" i="28"/>
  <c r="C47" i="28"/>
  <c r="B47" i="28"/>
  <c r="A47" i="28"/>
  <c r="L46" i="28"/>
  <c r="K46" i="28"/>
  <c r="J46" i="28"/>
  <c r="I46" i="28"/>
  <c r="H46" i="28"/>
  <c r="G46" i="28"/>
  <c r="F46" i="28"/>
  <c r="E46" i="28"/>
  <c r="D46" i="28"/>
  <c r="C46" i="28"/>
  <c r="B46" i="28"/>
  <c r="A46" i="28"/>
  <c r="L45" i="28"/>
  <c r="K45" i="28"/>
  <c r="J45" i="28"/>
  <c r="I45" i="28"/>
  <c r="H45" i="28"/>
  <c r="G45" i="28"/>
  <c r="F45" i="28"/>
  <c r="E45" i="28"/>
  <c r="D45" i="28"/>
  <c r="C45" i="28"/>
  <c r="B45" i="28"/>
  <c r="A45" i="28"/>
  <c r="L44" i="28"/>
  <c r="K44" i="28"/>
  <c r="J44" i="28"/>
  <c r="I44" i="28"/>
  <c r="H44" i="28"/>
  <c r="G44" i="28"/>
  <c r="F44" i="28"/>
  <c r="E44" i="28"/>
  <c r="D44" i="28"/>
  <c r="C44" i="28"/>
  <c r="B44" i="28"/>
  <c r="A44" i="28"/>
  <c r="L43" i="28"/>
  <c r="K43" i="28"/>
  <c r="J43" i="28"/>
  <c r="I43" i="28"/>
  <c r="H43" i="28"/>
  <c r="G43" i="28"/>
  <c r="F43" i="28"/>
  <c r="E43" i="28"/>
  <c r="D43" i="28"/>
  <c r="C43" i="28"/>
  <c r="B43" i="28"/>
  <c r="A43" i="28"/>
  <c r="L42" i="28"/>
  <c r="K42" i="28"/>
  <c r="J42" i="28"/>
  <c r="I42" i="28"/>
  <c r="H42" i="28"/>
  <c r="G42" i="28"/>
  <c r="F42" i="28"/>
  <c r="E42" i="28"/>
  <c r="D42" i="28"/>
  <c r="C42" i="28"/>
  <c r="B42" i="28"/>
  <c r="A42" i="28"/>
  <c r="L41" i="28"/>
  <c r="K41" i="28"/>
  <c r="J41" i="28"/>
  <c r="I41" i="28"/>
  <c r="H41" i="28"/>
  <c r="G41" i="28"/>
  <c r="F41" i="28"/>
  <c r="E41" i="28"/>
  <c r="D41" i="28"/>
  <c r="C41" i="28"/>
  <c r="B41" i="28"/>
  <c r="A41" i="28"/>
  <c r="L40" i="28"/>
  <c r="K40" i="28"/>
  <c r="J40" i="28"/>
  <c r="I40" i="28"/>
  <c r="H40" i="28"/>
  <c r="G40" i="28"/>
  <c r="F40" i="28"/>
  <c r="E40" i="28"/>
  <c r="D40" i="28"/>
  <c r="C40" i="28"/>
  <c r="B40" i="28"/>
  <c r="A40" i="28"/>
  <c r="L39" i="28"/>
  <c r="K39" i="28"/>
  <c r="J39" i="28"/>
  <c r="I39" i="28"/>
  <c r="H39" i="28"/>
  <c r="G39" i="28"/>
  <c r="F39" i="28"/>
  <c r="E39" i="28"/>
  <c r="D39" i="28"/>
  <c r="C39" i="28"/>
  <c r="B39" i="28"/>
  <c r="A39" i="28"/>
  <c r="L38" i="28"/>
  <c r="K38" i="28"/>
  <c r="J38" i="28"/>
  <c r="I38" i="28"/>
  <c r="H38" i="28"/>
  <c r="G38" i="28"/>
  <c r="F38" i="28"/>
  <c r="E38" i="28"/>
  <c r="D38" i="28"/>
  <c r="C38" i="28"/>
  <c r="B38" i="28"/>
  <c r="A38" i="28"/>
  <c r="L37" i="28"/>
  <c r="K37" i="28"/>
  <c r="J37" i="28"/>
  <c r="I37" i="28"/>
  <c r="H37" i="28"/>
  <c r="G37" i="28"/>
  <c r="F37" i="28"/>
  <c r="E37" i="28"/>
  <c r="D37" i="28"/>
  <c r="C37" i="28"/>
  <c r="B37" i="28"/>
  <c r="A37" i="28"/>
  <c r="L36" i="28"/>
  <c r="K36" i="28"/>
  <c r="J36" i="28"/>
  <c r="I36" i="28"/>
  <c r="H36" i="28"/>
  <c r="G36" i="28"/>
  <c r="F36" i="28"/>
  <c r="E36" i="28"/>
  <c r="D36" i="28"/>
  <c r="C36" i="28"/>
  <c r="B36" i="28"/>
  <c r="A36" i="28"/>
  <c r="L35" i="28"/>
  <c r="K35" i="28"/>
  <c r="J35" i="28"/>
  <c r="I35" i="28"/>
  <c r="H35" i="28"/>
  <c r="G35" i="28"/>
  <c r="F35" i="28"/>
  <c r="E35" i="28"/>
  <c r="D35" i="28"/>
  <c r="C35" i="28"/>
  <c r="B35" i="28"/>
  <c r="A35" i="28"/>
  <c r="L34" i="28"/>
  <c r="K34" i="28"/>
  <c r="J34" i="28"/>
  <c r="I34" i="28"/>
  <c r="H34" i="28"/>
  <c r="G34" i="28"/>
  <c r="F34" i="28"/>
  <c r="E34" i="28"/>
  <c r="D34" i="28"/>
  <c r="C34" i="28"/>
  <c r="B34" i="28"/>
  <c r="A34" i="28"/>
  <c r="L33" i="28"/>
  <c r="K33" i="28"/>
  <c r="J33" i="28"/>
  <c r="I33" i="28"/>
  <c r="H33" i="28"/>
  <c r="G33" i="28"/>
  <c r="F33" i="28"/>
  <c r="E33" i="28"/>
  <c r="D33" i="28"/>
  <c r="C33" i="28"/>
  <c r="B33" i="28"/>
  <c r="A33" i="28"/>
  <c r="L32" i="28"/>
  <c r="K32" i="28"/>
  <c r="J32" i="28"/>
  <c r="I32" i="28"/>
  <c r="H32" i="28"/>
  <c r="G32" i="28"/>
  <c r="F32" i="28"/>
  <c r="E32" i="28"/>
  <c r="D32" i="28"/>
  <c r="C32" i="28"/>
  <c r="B32" i="28"/>
  <c r="A32" i="28"/>
  <c r="L31" i="28"/>
  <c r="K31" i="28"/>
  <c r="J31" i="28"/>
  <c r="I31" i="28"/>
  <c r="H31" i="28"/>
  <c r="G31" i="28"/>
  <c r="F31" i="28"/>
  <c r="E31" i="28"/>
  <c r="D31" i="28"/>
  <c r="C31" i="28"/>
  <c r="B31" i="28"/>
  <c r="A31" i="28"/>
  <c r="L30" i="28"/>
  <c r="K30" i="28"/>
  <c r="J30" i="28"/>
  <c r="I30" i="28"/>
  <c r="H30" i="28"/>
  <c r="G30" i="28"/>
  <c r="F30" i="28"/>
  <c r="E30" i="28"/>
  <c r="D30" i="28"/>
  <c r="C30" i="28"/>
  <c r="B30" i="28"/>
  <c r="A30" i="28"/>
  <c r="L29" i="28"/>
  <c r="K29" i="28"/>
  <c r="J29" i="28"/>
  <c r="I29" i="28"/>
  <c r="H29" i="28"/>
  <c r="G29" i="28"/>
  <c r="F29" i="28"/>
  <c r="E29" i="28"/>
  <c r="D29" i="28"/>
  <c r="C29" i="28"/>
  <c r="B29" i="28"/>
  <c r="A29" i="28"/>
  <c r="L28" i="28"/>
  <c r="K28" i="28"/>
  <c r="J28" i="28"/>
  <c r="I28" i="28"/>
  <c r="H28" i="28"/>
  <c r="G28" i="28"/>
  <c r="F28" i="28"/>
  <c r="E28" i="28"/>
  <c r="D28" i="28"/>
  <c r="C28" i="28"/>
  <c r="B28" i="28"/>
  <c r="A28" i="28"/>
  <c r="L27" i="28"/>
  <c r="K27" i="28"/>
  <c r="J27" i="28"/>
  <c r="I27" i="28"/>
  <c r="H27" i="28"/>
  <c r="G27" i="28"/>
  <c r="F27" i="28"/>
  <c r="E27" i="28"/>
  <c r="D27" i="28"/>
  <c r="C27" i="28"/>
  <c r="B27" i="28"/>
  <c r="A27" i="28"/>
  <c r="L26" i="28"/>
  <c r="K26" i="28"/>
  <c r="J26" i="28"/>
  <c r="I26" i="28"/>
  <c r="H26" i="28"/>
  <c r="G26" i="28"/>
  <c r="F26" i="28"/>
  <c r="E26" i="28"/>
  <c r="D26" i="28"/>
  <c r="C26" i="28"/>
  <c r="B26" i="28"/>
  <c r="A26" i="28"/>
  <c r="L25" i="28"/>
  <c r="K25" i="28"/>
  <c r="J25" i="28"/>
  <c r="I25" i="28"/>
  <c r="H25" i="28"/>
  <c r="G25" i="28"/>
  <c r="F25" i="28"/>
  <c r="E25" i="28"/>
  <c r="D25" i="28"/>
  <c r="C25" i="28"/>
  <c r="B25" i="28"/>
  <c r="A25" i="28"/>
  <c r="L24" i="28"/>
  <c r="K24" i="28"/>
  <c r="J24" i="28"/>
  <c r="I24" i="28"/>
  <c r="H24" i="28"/>
  <c r="G24" i="28"/>
  <c r="F24" i="28"/>
  <c r="E24" i="28"/>
  <c r="D24" i="28"/>
  <c r="C24" i="28"/>
  <c r="B24" i="28"/>
  <c r="A24" i="28"/>
  <c r="L23" i="28"/>
  <c r="K23" i="28"/>
  <c r="J23" i="28"/>
  <c r="I23" i="28"/>
  <c r="H23" i="28"/>
  <c r="G23" i="28"/>
  <c r="F23" i="28"/>
  <c r="E23" i="28"/>
  <c r="D23" i="28"/>
  <c r="C23" i="28"/>
  <c r="B23" i="28"/>
  <c r="A23" i="28"/>
  <c r="L22" i="28"/>
  <c r="K22" i="28"/>
  <c r="J22" i="28"/>
  <c r="I22" i="28"/>
  <c r="H22" i="28"/>
  <c r="G22" i="28"/>
  <c r="F22" i="28"/>
  <c r="E22" i="28"/>
  <c r="D22" i="28"/>
  <c r="C22" i="28"/>
  <c r="B22" i="28"/>
  <c r="A22" i="28"/>
  <c r="L21" i="28"/>
  <c r="K21" i="28"/>
  <c r="J21" i="28"/>
  <c r="I21" i="28"/>
  <c r="H21" i="28"/>
  <c r="G21" i="28"/>
  <c r="F21" i="28"/>
  <c r="E21" i="28"/>
  <c r="D21" i="28"/>
  <c r="C21" i="28"/>
  <c r="B21" i="28"/>
  <c r="A21" i="28"/>
  <c r="L20" i="28"/>
  <c r="K20" i="28"/>
  <c r="J20" i="28"/>
  <c r="I20" i="28"/>
  <c r="H20" i="28"/>
  <c r="G20" i="28"/>
  <c r="F20" i="28"/>
  <c r="E20" i="28"/>
  <c r="D20" i="28"/>
  <c r="C20" i="28"/>
  <c r="B20" i="28"/>
  <c r="A20" i="28"/>
  <c r="L19" i="28"/>
  <c r="K19" i="28"/>
  <c r="J19" i="28"/>
  <c r="I19" i="28"/>
  <c r="H19" i="28"/>
  <c r="G19" i="28"/>
  <c r="F19" i="28"/>
  <c r="E19" i="28"/>
  <c r="D19" i="28"/>
  <c r="C19" i="28"/>
  <c r="B19" i="28"/>
  <c r="A19" i="28"/>
  <c r="L18" i="28"/>
  <c r="K18" i="28"/>
  <c r="J18" i="28"/>
  <c r="I18" i="28"/>
  <c r="H18" i="28"/>
  <c r="G18" i="28"/>
  <c r="F18" i="28"/>
  <c r="E18" i="28"/>
  <c r="D18" i="28"/>
  <c r="C18" i="28"/>
  <c r="B18" i="28"/>
  <c r="A18" i="28"/>
  <c r="L17" i="28"/>
  <c r="K17" i="28"/>
  <c r="J17" i="28"/>
  <c r="I17" i="28"/>
  <c r="H17" i="28"/>
  <c r="G17" i="28"/>
  <c r="F17" i="28"/>
  <c r="E17" i="28"/>
  <c r="D17" i="28"/>
  <c r="C17" i="28"/>
  <c r="B17" i="28"/>
  <c r="A17" i="28"/>
  <c r="L16" i="28"/>
  <c r="K16" i="28"/>
  <c r="J16" i="28"/>
  <c r="I16" i="28"/>
  <c r="H16" i="28"/>
  <c r="G16" i="28"/>
  <c r="F16" i="28"/>
  <c r="E16" i="28"/>
  <c r="D16" i="28"/>
  <c r="C16" i="28"/>
  <c r="B16" i="28"/>
  <c r="A16" i="28"/>
  <c r="L15" i="28"/>
  <c r="K15" i="28"/>
  <c r="J15" i="28"/>
  <c r="I15" i="28"/>
  <c r="H15" i="28"/>
  <c r="G15" i="28"/>
  <c r="F15" i="28"/>
  <c r="E15" i="28"/>
  <c r="D15" i="28"/>
  <c r="C15" i="28"/>
  <c r="B15" i="28"/>
  <c r="A15" i="28"/>
  <c r="L14" i="28"/>
  <c r="K14" i="28"/>
  <c r="J14" i="28"/>
  <c r="I14" i="28"/>
  <c r="H14" i="28"/>
  <c r="G14" i="28"/>
  <c r="F14" i="28"/>
  <c r="E14" i="28"/>
  <c r="D14" i="28"/>
  <c r="C14" i="28"/>
  <c r="B14" i="28"/>
  <c r="A14" i="28"/>
  <c r="L13" i="28"/>
  <c r="K13" i="28"/>
  <c r="J13" i="28"/>
  <c r="I13" i="28"/>
  <c r="H13" i="28"/>
  <c r="G13" i="28"/>
  <c r="F13" i="28"/>
  <c r="E13" i="28"/>
  <c r="D13" i="28"/>
  <c r="C13" i="28"/>
  <c r="B13" i="28"/>
  <c r="A13" i="28"/>
  <c r="L12" i="28"/>
  <c r="K12" i="28"/>
  <c r="J12" i="28"/>
  <c r="I12" i="28"/>
  <c r="H12" i="28"/>
  <c r="G12" i="28"/>
  <c r="F12" i="28"/>
  <c r="E12" i="28"/>
  <c r="D12" i="28"/>
  <c r="C12" i="28"/>
  <c r="B12" i="28"/>
  <c r="A12" i="28"/>
  <c r="L11" i="28"/>
  <c r="K11" i="28"/>
  <c r="J11" i="28"/>
  <c r="I11" i="28"/>
  <c r="H11" i="28"/>
  <c r="G11" i="28"/>
  <c r="F11" i="28"/>
  <c r="E11" i="28"/>
  <c r="D11" i="28"/>
  <c r="C11" i="28"/>
  <c r="B11" i="28"/>
  <c r="A11" i="28"/>
  <c r="L10" i="28"/>
  <c r="K10" i="28"/>
  <c r="J10" i="28"/>
  <c r="I10" i="28"/>
  <c r="H10" i="28"/>
  <c r="G10" i="28"/>
  <c r="F10" i="28"/>
  <c r="E10" i="28"/>
  <c r="D10" i="28"/>
  <c r="C10" i="28"/>
  <c r="B10" i="28"/>
  <c r="A10" i="28"/>
  <c r="L9" i="28"/>
  <c r="K9" i="28"/>
  <c r="J9" i="28"/>
  <c r="I9" i="28"/>
  <c r="H9" i="28"/>
  <c r="G9" i="28"/>
  <c r="F9" i="28"/>
  <c r="E9" i="28"/>
  <c r="D9" i="28"/>
  <c r="C9" i="28"/>
  <c r="B9" i="28"/>
  <c r="A9" i="28"/>
  <c r="L8" i="28"/>
  <c r="K8" i="28"/>
  <c r="J8" i="28"/>
  <c r="I8" i="28"/>
  <c r="H8" i="28"/>
  <c r="G8" i="28"/>
  <c r="F8" i="28"/>
  <c r="E8" i="28"/>
  <c r="D8" i="28"/>
  <c r="C8" i="28"/>
  <c r="B8" i="28"/>
  <c r="A8" i="28"/>
  <c r="L7" i="28"/>
  <c r="K7" i="28"/>
  <c r="J7" i="28"/>
  <c r="I7" i="28"/>
  <c r="H7" i="28"/>
  <c r="G7" i="28"/>
  <c r="F7" i="28"/>
  <c r="E7" i="28"/>
  <c r="D7" i="28"/>
  <c r="C7" i="28"/>
  <c r="B7" i="28"/>
  <c r="A7" i="28"/>
  <c r="L6" i="28"/>
  <c r="K6" i="28"/>
  <c r="J6" i="28"/>
  <c r="I6" i="28"/>
  <c r="H6" i="28"/>
  <c r="G6" i="28"/>
  <c r="F6" i="28"/>
  <c r="E6" i="28"/>
  <c r="D6" i="28"/>
  <c r="C6" i="28"/>
  <c r="B6" i="28"/>
  <c r="A6" i="28"/>
  <c r="L5" i="28"/>
  <c r="K5" i="28"/>
  <c r="J5" i="28"/>
  <c r="I5" i="28"/>
  <c r="H5" i="28"/>
  <c r="G5" i="28"/>
  <c r="F5" i="28"/>
  <c r="E5" i="28"/>
  <c r="D5" i="28"/>
  <c r="C5" i="28"/>
  <c r="B5" i="28"/>
  <c r="A5" i="28"/>
  <c r="L4" i="28"/>
  <c r="K4" i="28"/>
  <c r="J4" i="28"/>
  <c r="I4" i="28"/>
  <c r="H4" i="28"/>
  <c r="G4" i="28"/>
  <c r="F4" i="28"/>
  <c r="E4" i="28"/>
  <c r="D4" i="28"/>
  <c r="C4" i="28"/>
  <c r="B4" i="28"/>
  <c r="A4" i="28"/>
  <c r="L3" i="28"/>
  <c r="L2" i="28" s="1"/>
  <c r="K3" i="28"/>
  <c r="K2" i="28" s="1"/>
  <c r="J3" i="28"/>
  <c r="J2" i="28" s="1"/>
  <c r="I3" i="28"/>
  <c r="I1" i="28" s="1"/>
  <c r="H3" i="28"/>
  <c r="H1" i="28" s="1"/>
  <c r="G3" i="28"/>
  <c r="G2" i="28" s="1"/>
  <c r="F3" i="28"/>
  <c r="F2" i="28" s="1"/>
  <c r="E3" i="28"/>
  <c r="E1" i="28" s="1"/>
  <c r="D3" i="28"/>
  <c r="D2" i="28" s="1"/>
  <c r="C3" i="28"/>
  <c r="C1" i="28" s="1"/>
  <c r="B3" i="28"/>
  <c r="B2" i="28" s="1"/>
  <c r="A3" i="28"/>
  <c r="A1" i="28" s="1"/>
  <c r="B1" i="28"/>
  <c r="L400" i="27"/>
  <c r="K400" i="27"/>
  <c r="J400" i="27"/>
  <c r="I400" i="27"/>
  <c r="H400" i="27"/>
  <c r="G400" i="27"/>
  <c r="F400" i="27"/>
  <c r="E400" i="27"/>
  <c r="D400" i="27"/>
  <c r="C400" i="27"/>
  <c r="B400" i="27"/>
  <c r="A400" i="27"/>
  <c r="L399" i="27"/>
  <c r="K399" i="27"/>
  <c r="J399" i="27"/>
  <c r="I399" i="27"/>
  <c r="H399" i="27"/>
  <c r="G399" i="27"/>
  <c r="F399" i="27"/>
  <c r="E399" i="27"/>
  <c r="D399" i="27"/>
  <c r="C399" i="27"/>
  <c r="B399" i="27"/>
  <c r="A399" i="27"/>
  <c r="L398" i="27"/>
  <c r="K398" i="27"/>
  <c r="J398" i="27"/>
  <c r="I398" i="27"/>
  <c r="H398" i="27"/>
  <c r="G398" i="27"/>
  <c r="F398" i="27"/>
  <c r="E398" i="27"/>
  <c r="D398" i="27"/>
  <c r="C398" i="27"/>
  <c r="B398" i="27"/>
  <c r="A398" i="27"/>
  <c r="L397" i="27"/>
  <c r="K397" i="27"/>
  <c r="J397" i="27"/>
  <c r="I397" i="27"/>
  <c r="H397" i="27"/>
  <c r="G397" i="27"/>
  <c r="F397" i="27"/>
  <c r="E397" i="27"/>
  <c r="D397" i="27"/>
  <c r="C397" i="27"/>
  <c r="B397" i="27"/>
  <c r="A397" i="27"/>
  <c r="L396" i="27"/>
  <c r="K396" i="27"/>
  <c r="J396" i="27"/>
  <c r="I396" i="27"/>
  <c r="H396" i="27"/>
  <c r="G396" i="27"/>
  <c r="F396" i="27"/>
  <c r="E396" i="27"/>
  <c r="D396" i="27"/>
  <c r="C396" i="27"/>
  <c r="B396" i="27"/>
  <c r="A396" i="27"/>
  <c r="L395" i="27"/>
  <c r="K395" i="27"/>
  <c r="J395" i="27"/>
  <c r="I395" i="27"/>
  <c r="H395" i="27"/>
  <c r="G395" i="27"/>
  <c r="F395" i="27"/>
  <c r="E395" i="27"/>
  <c r="D395" i="27"/>
  <c r="C395" i="27"/>
  <c r="B395" i="27"/>
  <c r="A395" i="27"/>
  <c r="L394" i="27"/>
  <c r="K394" i="27"/>
  <c r="J394" i="27"/>
  <c r="I394" i="27"/>
  <c r="H394" i="27"/>
  <c r="G394" i="27"/>
  <c r="F394" i="27"/>
  <c r="E394" i="27"/>
  <c r="D394" i="27"/>
  <c r="C394" i="27"/>
  <c r="B394" i="27"/>
  <c r="A394" i="27"/>
  <c r="L393" i="27"/>
  <c r="K393" i="27"/>
  <c r="J393" i="27"/>
  <c r="I393" i="27"/>
  <c r="H393" i="27"/>
  <c r="G393" i="27"/>
  <c r="F393" i="27"/>
  <c r="E393" i="27"/>
  <c r="D393" i="27"/>
  <c r="C393" i="27"/>
  <c r="B393" i="27"/>
  <c r="A393" i="27"/>
  <c r="L392" i="27"/>
  <c r="K392" i="27"/>
  <c r="J392" i="27"/>
  <c r="I392" i="27"/>
  <c r="H392" i="27"/>
  <c r="G392" i="27"/>
  <c r="F392" i="27"/>
  <c r="E392" i="27"/>
  <c r="D392" i="27"/>
  <c r="C392" i="27"/>
  <c r="B392" i="27"/>
  <c r="A392" i="27"/>
  <c r="L391" i="27"/>
  <c r="K391" i="27"/>
  <c r="J391" i="27"/>
  <c r="I391" i="27"/>
  <c r="H391" i="27"/>
  <c r="G391" i="27"/>
  <c r="F391" i="27"/>
  <c r="E391" i="27"/>
  <c r="D391" i="27"/>
  <c r="C391" i="27"/>
  <c r="B391" i="27"/>
  <c r="A391" i="27"/>
  <c r="L390" i="27"/>
  <c r="K390" i="27"/>
  <c r="J390" i="27"/>
  <c r="I390" i="27"/>
  <c r="H390" i="27"/>
  <c r="G390" i="27"/>
  <c r="F390" i="27"/>
  <c r="E390" i="27"/>
  <c r="D390" i="27"/>
  <c r="C390" i="27"/>
  <c r="B390" i="27"/>
  <c r="A390" i="27"/>
  <c r="L389" i="27"/>
  <c r="K389" i="27"/>
  <c r="J389" i="27"/>
  <c r="I389" i="27"/>
  <c r="H389" i="27"/>
  <c r="G389" i="27"/>
  <c r="F389" i="27"/>
  <c r="E389" i="27"/>
  <c r="D389" i="27"/>
  <c r="C389" i="27"/>
  <c r="B389" i="27"/>
  <c r="A389" i="27"/>
  <c r="L388" i="27"/>
  <c r="K388" i="27"/>
  <c r="J388" i="27"/>
  <c r="I388" i="27"/>
  <c r="H388" i="27"/>
  <c r="G388" i="27"/>
  <c r="F388" i="27"/>
  <c r="E388" i="27"/>
  <c r="D388" i="27"/>
  <c r="C388" i="27"/>
  <c r="B388" i="27"/>
  <c r="A388" i="27"/>
  <c r="L387" i="27"/>
  <c r="K387" i="27"/>
  <c r="J387" i="27"/>
  <c r="I387" i="27"/>
  <c r="H387" i="27"/>
  <c r="G387" i="27"/>
  <c r="F387" i="27"/>
  <c r="E387" i="27"/>
  <c r="D387" i="27"/>
  <c r="C387" i="27"/>
  <c r="B387" i="27"/>
  <c r="A387" i="27"/>
  <c r="L386" i="27"/>
  <c r="K386" i="27"/>
  <c r="J386" i="27"/>
  <c r="I386" i="27"/>
  <c r="H386" i="27"/>
  <c r="G386" i="27"/>
  <c r="F386" i="27"/>
  <c r="E386" i="27"/>
  <c r="D386" i="27"/>
  <c r="C386" i="27"/>
  <c r="B386" i="27"/>
  <c r="A386" i="27"/>
  <c r="L385" i="27"/>
  <c r="K385" i="27"/>
  <c r="J385" i="27"/>
  <c r="I385" i="27"/>
  <c r="H385" i="27"/>
  <c r="G385" i="27"/>
  <c r="F385" i="27"/>
  <c r="E385" i="27"/>
  <c r="D385" i="27"/>
  <c r="C385" i="27"/>
  <c r="B385" i="27"/>
  <c r="A385" i="27"/>
  <c r="L384" i="27"/>
  <c r="K384" i="27"/>
  <c r="J384" i="27"/>
  <c r="I384" i="27"/>
  <c r="H384" i="27"/>
  <c r="G384" i="27"/>
  <c r="F384" i="27"/>
  <c r="E384" i="27"/>
  <c r="D384" i="27"/>
  <c r="C384" i="27"/>
  <c r="B384" i="27"/>
  <c r="A384" i="27"/>
  <c r="L383" i="27"/>
  <c r="K383" i="27"/>
  <c r="J383" i="27"/>
  <c r="I383" i="27"/>
  <c r="H383" i="27"/>
  <c r="G383" i="27"/>
  <c r="F383" i="27"/>
  <c r="E383" i="27"/>
  <c r="D383" i="27"/>
  <c r="C383" i="27"/>
  <c r="B383" i="27"/>
  <c r="A383" i="27"/>
  <c r="L382" i="27"/>
  <c r="K382" i="27"/>
  <c r="J382" i="27"/>
  <c r="I382" i="27"/>
  <c r="H382" i="27"/>
  <c r="G382" i="27"/>
  <c r="F382" i="27"/>
  <c r="E382" i="27"/>
  <c r="D382" i="27"/>
  <c r="C382" i="27"/>
  <c r="B382" i="27"/>
  <c r="A382" i="27"/>
  <c r="L381" i="27"/>
  <c r="K381" i="27"/>
  <c r="J381" i="27"/>
  <c r="I381" i="27"/>
  <c r="H381" i="27"/>
  <c r="G381" i="27"/>
  <c r="F381" i="27"/>
  <c r="E381" i="27"/>
  <c r="D381" i="27"/>
  <c r="C381" i="27"/>
  <c r="B381" i="27"/>
  <c r="A381" i="27"/>
  <c r="L380" i="27"/>
  <c r="K380" i="27"/>
  <c r="J380" i="27"/>
  <c r="I380" i="27"/>
  <c r="H380" i="27"/>
  <c r="G380" i="27"/>
  <c r="F380" i="27"/>
  <c r="E380" i="27"/>
  <c r="D380" i="27"/>
  <c r="C380" i="27"/>
  <c r="B380" i="27"/>
  <c r="A380" i="27"/>
  <c r="L379" i="27"/>
  <c r="K379" i="27"/>
  <c r="J379" i="27"/>
  <c r="I379" i="27"/>
  <c r="H379" i="27"/>
  <c r="G379" i="27"/>
  <c r="F379" i="27"/>
  <c r="E379" i="27"/>
  <c r="D379" i="27"/>
  <c r="C379" i="27"/>
  <c r="B379" i="27"/>
  <c r="A379" i="27"/>
  <c r="L378" i="27"/>
  <c r="K378" i="27"/>
  <c r="J378" i="27"/>
  <c r="I378" i="27"/>
  <c r="H378" i="27"/>
  <c r="G378" i="27"/>
  <c r="F378" i="27"/>
  <c r="E378" i="27"/>
  <c r="D378" i="27"/>
  <c r="C378" i="27"/>
  <c r="B378" i="27"/>
  <c r="A378" i="27"/>
  <c r="L377" i="27"/>
  <c r="K377" i="27"/>
  <c r="J377" i="27"/>
  <c r="I377" i="27"/>
  <c r="H377" i="27"/>
  <c r="G377" i="27"/>
  <c r="F377" i="27"/>
  <c r="E377" i="27"/>
  <c r="D377" i="27"/>
  <c r="C377" i="27"/>
  <c r="B377" i="27"/>
  <c r="A377" i="27"/>
  <c r="L376" i="27"/>
  <c r="K376" i="27"/>
  <c r="J376" i="27"/>
  <c r="I376" i="27"/>
  <c r="H376" i="27"/>
  <c r="G376" i="27"/>
  <c r="F376" i="27"/>
  <c r="E376" i="27"/>
  <c r="D376" i="27"/>
  <c r="C376" i="27"/>
  <c r="B376" i="27"/>
  <c r="A376" i="27"/>
  <c r="L375" i="27"/>
  <c r="K375" i="27"/>
  <c r="J375" i="27"/>
  <c r="I375" i="27"/>
  <c r="H375" i="27"/>
  <c r="G375" i="27"/>
  <c r="F375" i="27"/>
  <c r="E375" i="27"/>
  <c r="D375" i="27"/>
  <c r="C375" i="27"/>
  <c r="B375" i="27"/>
  <c r="A375" i="27"/>
  <c r="L374" i="27"/>
  <c r="K374" i="27"/>
  <c r="J374" i="27"/>
  <c r="I374" i="27"/>
  <c r="H374" i="27"/>
  <c r="G374" i="27"/>
  <c r="F374" i="27"/>
  <c r="E374" i="27"/>
  <c r="D374" i="27"/>
  <c r="C374" i="27"/>
  <c r="B374" i="27"/>
  <c r="A374" i="27"/>
  <c r="L373" i="27"/>
  <c r="K373" i="27"/>
  <c r="J373" i="27"/>
  <c r="I373" i="27"/>
  <c r="H373" i="27"/>
  <c r="G373" i="27"/>
  <c r="F373" i="27"/>
  <c r="E373" i="27"/>
  <c r="D373" i="27"/>
  <c r="C373" i="27"/>
  <c r="B373" i="27"/>
  <c r="A373" i="27"/>
  <c r="L372" i="27"/>
  <c r="K372" i="27"/>
  <c r="J372" i="27"/>
  <c r="I372" i="27"/>
  <c r="H372" i="27"/>
  <c r="G372" i="27"/>
  <c r="F372" i="27"/>
  <c r="E372" i="27"/>
  <c r="D372" i="27"/>
  <c r="C372" i="27"/>
  <c r="B372" i="27"/>
  <c r="A372" i="27"/>
  <c r="L371" i="27"/>
  <c r="K371" i="27"/>
  <c r="J371" i="27"/>
  <c r="I371" i="27"/>
  <c r="H371" i="27"/>
  <c r="G371" i="27"/>
  <c r="F371" i="27"/>
  <c r="E371" i="27"/>
  <c r="D371" i="27"/>
  <c r="C371" i="27"/>
  <c r="B371" i="27"/>
  <c r="A371" i="27"/>
  <c r="L370" i="27"/>
  <c r="K370" i="27"/>
  <c r="J370" i="27"/>
  <c r="I370" i="27"/>
  <c r="H370" i="27"/>
  <c r="G370" i="27"/>
  <c r="F370" i="27"/>
  <c r="E370" i="27"/>
  <c r="D370" i="27"/>
  <c r="C370" i="27"/>
  <c r="B370" i="27"/>
  <c r="A370" i="27"/>
  <c r="L369" i="27"/>
  <c r="K369" i="27"/>
  <c r="J369" i="27"/>
  <c r="I369" i="27"/>
  <c r="H369" i="27"/>
  <c r="G369" i="27"/>
  <c r="F369" i="27"/>
  <c r="E369" i="27"/>
  <c r="D369" i="27"/>
  <c r="C369" i="27"/>
  <c r="B369" i="27"/>
  <c r="A369" i="27"/>
  <c r="L368" i="27"/>
  <c r="K368" i="27"/>
  <c r="J368" i="27"/>
  <c r="I368" i="27"/>
  <c r="H368" i="27"/>
  <c r="G368" i="27"/>
  <c r="F368" i="27"/>
  <c r="E368" i="27"/>
  <c r="D368" i="27"/>
  <c r="C368" i="27"/>
  <c r="B368" i="27"/>
  <c r="A368" i="27"/>
  <c r="L367" i="27"/>
  <c r="K367" i="27"/>
  <c r="J367" i="27"/>
  <c r="I367" i="27"/>
  <c r="H367" i="27"/>
  <c r="G367" i="27"/>
  <c r="F367" i="27"/>
  <c r="E367" i="27"/>
  <c r="D367" i="27"/>
  <c r="C367" i="27"/>
  <c r="B367" i="27"/>
  <c r="A367" i="27"/>
  <c r="L366" i="27"/>
  <c r="K366" i="27"/>
  <c r="J366" i="27"/>
  <c r="I366" i="27"/>
  <c r="H366" i="27"/>
  <c r="G366" i="27"/>
  <c r="F366" i="27"/>
  <c r="E366" i="27"/>
  <c r="D366" i="27"/>
  <c r="C366" i="27"/>
  <c r="B366" i="27"/>
  <c r="A366" i="27"/>
  <c r="L365" i="27"/>
  <c r="K365" i="27"/>
  <c r="J365" i="27"/>
  <c r="I365" i="27"/>
  <c r="H365" i="27"/>
  <c r="G365" i="27"/>
  <c r="F365" i="27"/>
  <c r="E365" i="27"/>
  <c r="D365" i="27"/>
  <c r="C365" i="27"/>
  <c r="B365" i="27"/>
  <c r="A365" i="27"/>
  <c r="L364" i="27"/>
  <c r="K364" i="27"/>
  <c r="J364" i="27"/>
  <c r="I364" i="27"/>
  <c r="H364" i="27"/>
  <c r="G364" i="27"/>
  <c r="F364" i="27"/>
  <c r="E364" i="27"/>
  <c r="D364" i="27"/>
  <c r="C364" i="27"/>
  <c r="B364" i="27"/>
  <c r="A364" i="27"/>
  <c r="L363" i="27"/>
  <c r="K363" i="27"/>
  <c r="J363" i="27"/>
  <c r="I363" i="27"/>
  <c r="H363" i="27"/>
  <c r="G363" i="27"/>
  <c r="F363" i="27"/>
  <c r="E363" i="27"/>
  <c r="D363" i="27"/>
  <c r="C363" i="27"/>
  <c r="B363" i="27"/>
  <c r="A363" i="27"/>
  <c r="L362" i="27"/>
  <c r="K362" i="27"/>
  <c r="J362" i="27"/>
  <c r="I362" i="27"/>
  <c r="H362" i="27"/>
  <c r="G362" i="27"/>
  <c r="F362" i="27"/>
  <c r="E362" i="27"/>
  <c r="D362" i="27"/>
  <c r="C362" i="27"/>
  <c r="B362" i="27"/>
  <c r="A362" i="27"/>
  <c r="L361" i="27"/>
  <c r="K361" i="27"/>
  <c r="J361" i="27"/>
  <c r="I361" i="27"/>
  <c r="H361" i="27"/>
  <c r="G361" i="27"/>
  <c r="F361" i="27"/>
  <c r="E361" i="27"/>
  <c r="D361" i="27"/>
  <c r="C361" i="27"/>
  <c r="B361" i="27"/>
  <c r="A361" i="27"/>
  <c r="L360" i="27"/>
  <c r="K360" i="27"/>
  <c r="J360" i="27"/>
  <c r="I360" i="27"/>
  <c r="H360" i="27"/>
  <c r="G360" i="27"/>
  <c r="F360" i="27"/>
  <c r="E360" i="27"/>
  <c r="D360" i="27"/>
  <c r="C360" i="27"/>
  <c r="B360" i="27"/>
  <c r="A360" i="27"/>
  <c r="L359" i="27"/>
  <c r="K359" i="27"/>
  <c r="J359" i="27"/>
  <c r="I359" i="27"/>
  <c r="H359" i="27"/>
  <c r="G359" i="27"/>
  <c r="F359" i="27"/>
  <c r="E359" i="27"/>
  <c r="D359" i="27"/>
  <c r="C359" i="27"/>
  <c r="B359" i="27"/>
  <c r="A359" i="27"/>
  <c r="L358" i="27"/>
  <c r="K358" i="27"/>
  <c r="J358" i="27"/>
  <c r="I358" i="27"/>
  <c r="H358" i="27"/>
  <c r="G358" i="27"/>
  <c r="F358" i="27"/>
  <c r="E358" i="27"/>
  <c r="D358" i="27"/>
  <c r="C358" i="27"/>
  <c r="B358" i="27"/>
  <c r="A358" i="27"/>
  <c r="L357" i="27"/>
  <c r="K357" i="27"/>
  <c r="J357" i="27"/>
  <c r="I357" i="27"/>
  <c r="H357" i="27"/>
  <c r="G357" i="27"/>
  <c r="F357" i="27"/>
  <c r="E357" i="27"/>
  <c r="D357" i="27"/>
  <c r="C357" i="27"/>
  <c r="B357" i="27"/>
  <c r="A357" i="27"/>
  <c r="L356" i="27"/>
  <c r="K356" i="27"/>
  <c r="J356" i="27"/>
  <c r="I356" i="27"/>
  <c r="H356" i="27"/>
  <c r="G356" i="27"/>
  <c r="F356" i="27"/>
  <c r="E356" i="27"/>
  <c r="D356" i="27"/>
  <c r="C356" i="27"/>
  <c r="B356" i="27"/>
  <c r="A356" i="27"/>
  <c r="L355" i="27"/>
  <c r="K355" i="27"/>
  <c r="J355" i="27"/>
  <c r="I355" i="27"/>
  <c r="H355" i="27"/>
  <c r="G355" i="27"/>
  <c r="F355" i="27"/>
  <c r="E355" i="27"/>
  <c r="D355" i="27"/>
  <c r="C355" i="27"/>
  <c r="B355" i="27"/>
  <c r="A355" i="27"/>
  <c r="L354" i="27"/>
  <c r="K354" i="27"/>
  <c r="J354" i="27"/>
  <c r="I354" i="27"/>
  <c r="H354" i="27"/>
  <c r="G354" i="27"/>
  <c r="F354" i="27"/>
  <c r="E354" i="27"/>
  <c r="D354" i="27"/>
  <c r="C354" i="27"/>
  <c r="B354" i="27"/>
  <c r="A354" i="27"/>
  <c r="L353" i="27"/>
  <c r="K353" i="27"/>
  <c r="J353" i="27"/>
  <c r="I353" i="27"/>
  <c r="H353" i="27"/>
  <c r="G353" i="27"/>
  <c r="F353" i="27"/>
  <c r="E353" i="27"/>
  <c r="D353" i="27"/>
  <c r="C353" i="27"/>
  <c r="B353" i="27"/>
  <c r="A353" i="27"/>
  <c r="L352" i="27"/>
  <c r="K352" i="27"/>
  <c r="J352" i="27"/>
  <c r="I352" i="27"/>
  <c r="H352" i="27"/>
  <c r="G352" i="27"/>
  <c r="F352" i="27"/>
  <c r="E352" i="27"/>
  <c r="D352" i="27"/>
  <c r="C352" i="27"/>
  <c r="B352" i="27"/>
  <c r="A352" i="27"/>
  <c r="L351" i="27"/>
  <c r="K351" i="27"/>
  <c r="J351" i="27"/>
  <c r="I351" i="27"/>
  <c r="H351" i="27"/>
  <c r="G351" i="27"/>
  <c r="F351" i="27"/>
  <c r="E351" i="27"/>
  <c r="D351" i="27"/>
  <c r="C351" i="27"/>
  <c r="B351" i="27"/>
  <c r="A351" i="27"/>
  <c r="L350" i="27"/>
  <c r="K350" i="27"/>
  <c r="J350" i="27"/>
  <c r="I350" i="27"/>
  <c r="H350" i="27"/>
  <c r="G350" i="27"/>
  <c r="F350" i="27"/>
  <c r="E350" i="27"/>
  <c r="D350" i="27"/>
  <c r="C350" i="27"/>
  <c r="B350" i="27"/>
  <c r="A350" i="27"/>
  <c r="L349" i="27"/>
  <c r="K349" i="27"/>
  <c r="J349" i="27"/>
  <c r="I349" i="27"/>
  <c r="H349" i="27"/>
  <c r="G349" i="27"/>
  <c r="F349" i="27"/>
  <c r="E349" i="27"/>
  <c r="D349" i="27"/>
  <c r="C349" i="27"/>
  <c r="B349" i="27"/>
  <c r="A349" i="27"/>
  <c r="L348" i="27"/>
  <c r="K348" i="27"/>
  <c r="J348" i="27"/>
  <c r="I348" i="27"/>
  <c r="H348" i="27"/>
  <c r="G348" i="27"/>
  <c r="F348" i="27"/>
  <c r="E348" i="27"/>
  <c r="D348" i="27"/>
  <c r="C348" i="27"/>
  <c r="B348" i="27"/>
  <c r="A348" i="27"/>
  <c r="L347" i="27"/>
  <c r="K347" i="27"/>
  <c r="J347" i="27"/>
  <c r="I347" i="27"/>
  <c r="H347" i="27"/>
  <c r="G347" i="27"/>
  <c r="F347" i="27"/>
  <c r="E347" i="27"/>
  <c r="D347" i="27"/>
  <c r="C347" i="27"/>
  <c r="B347" i="27"/>
  <c r="A347" i="27"/>
  <c r="L346" i="27"/>
  <c r="K346" i="27"/>
  <c r="J346" i="27"/>
  <c r="I346" i="27"/>
  <c r="H346" i="27"/>
  <c r="G346" i="27"/>
  <c r="F346" i="27"/>
  <c r="E346" i="27"/>
  <c r="D346" i="27"/>
  <c r="C346" i="27"/>
  <c r="B346" i="27"/>
  <c r="A346" i="27"/>
  <c r="L345" i="27"/>
  <c r="K345" i="27"/>
  <c r="J345" i="27"/>
  <c r="I345" i="27"/>
  <c r="H345" i="27"/>
  <c r="G345" i="27"/>
  <c r="F345" i="27"/>
  <c r="E345" i="27"/>
  <c r="D345" i="27"/>
  <c r="C345" i="27"/>
  <c r="B345" i="27"/>
  <c r="A345" i="27"/>
  <c r="L344" i="27"/>
  <c r="K344" i="27"/>
  <c r="J344" i="27"/>
  <c r="I344" i="27"/>
  <c r="H344" i="27"/>
  <c r="G344" i="27"/>
  <c r="F344" i="27"/>
  <c r="E344" i="27"/>
  <c r="D344" i="27"/>
  <c r="C344" i="27"/>
  <c r="B344" i="27"/>
  <c r="A344" i="27"/>
  <c r="L343" i="27"/>
  <c r="K343" i="27"/>
  <c r="J343" i="27"/>
  <c r="I343" i="27"/>
  <c r="H343" i="27"/>
  <c r="G343" i="27"/>
  <c r="F343" i="27"/>
  <c r="E343" i="27"/>
  <c r="D343" i="27"/>
  <c r="C343" i="27"/>
  <c r="B343" i="27"/>
  <c r="A343" i="27"/>
  <c r="L342" i="27"/>
  <c r="K342" i="27"/>
  <c r="J342" i="27"/>
  <c r="I342" i="27"/>
  <c r="H342" i="27"/>
  <c r="G342" i="27"/>
  <c r="F342" i="27"/>
  <c r="E342" i="27"/>
  <c r="D342" i="27"/>
  <c r="C342" i="27"/>
  <c r="B342" i="27"/>
  <c r="A342" i="27"/>
  <c r="L341" i="27"/>
  <c r="K341" i="27"/>
  <c r="J341" i="27"/>
  <c r="I341" i="27"/>
  <c r="H341" i="27"/>
  <c r="G341" i="27"/>
  <c r="F341" i="27"/>
  <c r="E341" i="27"/>
  <c r="D341" i="27"/>
  <c r="C341" i="27"/>
  <c r="B341" i="27"/>
  <c r="A341" i="27"/>
  <c r="L340" i="27"/>
  <c r="K340" i="27"/>
  <c r="J340" i="27"/>
  <c r="I340" i="27"/>
  <c r="H340" i="27"/>
  <c r="G340" i="27"/>
  <c r="F340" i="27"/>
  <c r="E340" i="27"/>
  <c r="D340" i="27"/>
  <c r="C340" i="27"/>
  <c r="B340" i="27"/>
  <c r="A340" i="27"/>
  <c r="L339" i="27"/>
  <c r="K339" i="27"/>
  <c r="J339" i="27"/>
  <c r="I339" i="27"/>
  <c r="H339" i="27"/>
  <c r="G339" i="27"/>
  <c r="F339" i="27"/>
  <c r="E339" i="27"/>
  <c r="D339" i="27"/>
  <c r="C339" i="27"/>
  <c r="B339" i="27"/>
  <c r="A339" i="27"/>
  <c r="L338" i="27"/>
  <c r="K338" i="27"/>
  <c r="J338" i="27"/>
  <c r="I338" i="27"/>
  <c r="H338" i="27"/>
  <c r="G338" i="27"/>
  <c r="F338" i="27"/>
  <c r="E338" i="27"/>
  <c r="D338" i="27"/>
  <c r="C338" i="27"/>
  <c r="B338" i="27"/>
  <c r="A338" i="27"/>
  <c r="L337" i="27"/>
  <c r="K337" i="27"/>
  <c r="J337" i="27"/>
  <c r="I337" i="27"/>
  <c r="H337" i="27"/>
  <c r="G337" i="27"/>
  <c r="F337" i="27"/>
  <c r="E337" i="27"/>
  <c r="D337" i="27"/>
  <c r="C337" i="27"/>
  <c r="B337" i="27"/>
  <c r="A337" i="27"/>
  <c r="L336" i="27"/>
  <c r="K336" i="27"/>
  <c r="J336" i="27"/>
  <c r="I336" i="27"/>
  <c r="H336" i="27"/>
  <c r="G336" i="27"/>
  <c r="F336" i="27"/>
  <c r="E336" i="27"/>
  <c r="D336" i="27"/>
  <c r="C336" i="27"/>
  <c r="B336" i="27"/>
  <c r="A336" i="27"/>
  <c r="L335" i="27"/>
  <c r="K335" i="27"/>
  <c r="J335" i="27"/>
  <c r="I335" i="27"/>
  <c r="H335" i="27"/>
  <c r="G335" i="27"/>
  <c r="F335" i="27"/>
  <c r="E335" i="27"/>
  <c r="D335" i="27"/>
  <c r="C335" i="27"/>
  <c r="B335" i="27"/>
  <c r="A335" i="27"/>
  <c r="L334" i="27"/>
  <c r="K334" i="27"/>
  <c r="J334" i="27"/>
  <c r="I334" i="27"/>
  <c r="H334" i="27"/>
  <c r="G334" i="27"/>
  <c r="F334" i="27"/>
  <c r="E334" i="27"/>
  <c r="D334" i="27"/>
  <c r="C334" i="27"/>
  <c r="B334" i="27"/>
  <c r="A334" i="27"/>
  <c r="L333" i="27"/>
  <c r="K333" i="27"/>
  <c r="J333" i="27"/>
  <c r="I333" i="27"/>
  <c r="H333" i="27"/>
  <c r="G333" i="27"/>
  <c r="F333" i="27"/>
  <c r="E333" i="27"/>
  <c r="D333" i="27"/>
  <c r="C333" i="27"/>
  <c r="B333" i="27"/>
  <c r="A333" i="27"/>
  <c r="L332" i="27"/>
  <c r="K332" i="27"/>
  <c r="J332" i="27"/>
  <c r="I332" i="27"/>
  <c r="H332" i="27"/>
  <c r="G332" i="27"/>
  <c r="F332" i="27"/>
  <c r="E332" i="27"/>
  <c r="D332" i="27"/>
  <c r="C332" i="27"/>
  <c r="B332" i="27"/>
  <c r="A332" i="27"/>
  <c r="L331" i="27"/>
  <c r="K331" i="27"/>
  <c r="J331" i="27"/>
  <c r="I331" i="27"/>
  <c r="H331" i="27"/>
  <c r="G331" i="27"/>
  <c r="F331" i="27"/>
  <c r="E331" i="27"/>
  <c r="D331" i="27"/>
  <c r="C331" i="27"/>
  <c r="B331" i="27"/>
  <c r="A331" i="27"/>
  <c r="L330" i="27"/>
  <c r="K330" i="27"/>
  <c r="J330" i="27"/>
  <c r="I330" i="27"/>
  <c r="H330" i="27"/>
  <c r="G330" i="27"/>
  <c r="F330" i="27"/>
  <c r="E330" i="27"/>
  <c r="D330" i="27"/>
  <c r="C330" i="27"/>
  <c r="B330" i="27"/>
  <c r="A330" i="27"/>
  <c r="L329" i="27"/>
  <c r="K329" i="27"/>
  <c r="J329" i="27"/>
  <c r="I329" i="27"/>
  <c r="H329" i="27"/>
  <c r="G329" i="27"/>
  <c r="F329" i="27"/>
  <c r="E329" i="27"/>
  <c r="D329" i="27"/>
  <c r="C329" i="27"/>
  <c r="B329" i="27"/>
  <c r="A329" i="27"/>
  <c r="L328" i="27"/>
  <c r="K328" i="27"/>
  <c r="J328" i="27"/>
  <c r="I328" i="27"/>
  <c r="H328" i="27"/>
  <c r="G328" i="27"/>
  <c r="F328" i="27"/>
  <c r="E328" i="27"/>
  <c r="D328" i="27"/>
  <c r="C328" i="27"/>
  <c r="B328" i="27"/>
  <c r="A328" i="27"/>
  <c r="L327" i="27"/>
  <c r="K327" i="27"/>
  <c r="J327" i="27"/>
  <c r="I327" i="27"/>
  <c r="H327" i="27"/>
  <c r="G327" i="27"/>
  <c r="F327" i="27"/>
  <c r="E327" i="27"/>
  <c r="D327" i="27"/>
  <c r="C327" i="27"/>
  <c r="B327" i="27"/>
  <c r="A327" i="27"/>
  <c r="L326" i="27"/>
  <c r="K326" i="27"/>
  <c r="J326" i="27"/>
  <c r="I326" i="27"/>
  <c r="H326" i="27"/>
  <c r="G326" i="27"/>
  <c r="F326" i="27"/>
  <c r="E326" i="27"/>
  <c r="D326" i="27"/>
  <c r="C326" i="27"/>
  <c r="B326" i="27"/>
  <c r="A326" i="27"/>
  <c r="L325" i="27"/>
  <c r="K325" i="27"/>
  <c r="J325" i="27"/>
  <c r="I325" i="27"/>
  <c r="H325" i="27"/>
  <c r="G325" i="27"/>
  <c r="F325" i="27"/>
  <c r="E325" i="27"/>
  <c r="D325" i="27"/>
  <c r="C325" i="27"/>
  <c r="B325" i="27"/>
  <c r="A325" i="27"/>
  <c r="L324" i="27"/>
  <c r="K324" i="27"/>
  <c r="J324" i="27"/>
  <c r="I324" i="27"/>
  <c r="H324" i="27"/>
  <c r="G324" i="27"/>
  <c r="F324" i="27"/>
  <c r="E324" i="27"/>
  <c r="D324" i="27"/>
  <c r="C324" i="27"/>
  <c r="B324" i="27"/>
  <c r="A324" i="27"/>
  <c r="L323" i="27"/>
  <c r="K323" i="27"/>
  <c r="J323" i="27"/>
  <c r="I323" i="27"/>
  <c r="H323" i="27"/>
  <c r="G323" i="27"/>
  <c r="F323" i="27"/>
  <c r="E323" i="27"/>
  <c r="D323" i="27"/>
  <c r="C323" i="27"/>
  <c r="B323" i="27"/>
  <c r="A323" i="27"/>
  <c r="L322" i="27"/>
  <c r="K322" i="27"/>
  <c r="J322" i="27"/>
  <c r="I322" i="27"/>
  <c r="H322" i="27"/>
  <c r="G322" i="27"/>
  <c r="F322" i="27"/>
  <c r="E322" i="27"/>
  <c r="D322" i="27"/>
  <c r="C322" i="27"/>
  <c r="B322" i="27"/>
  <c r="A322" i="27"/>
  <c r="L321" i="27"/>
  <c r="K321" i="27"/>
  <c r="J321" i="27"/>
  <c r="I321" i="27"/>
  <c r="H321" i="27"/>
  <c r="G321" i="27"/>
  <c r="F321" i="27"/>
  <c r="E321" i="27"/>
  <c r="D321" i="27"/>
  <c r="C321" i="27"/>
  <c r="B321" i="27"/>
  <c r="A321" i="27"/>
  <c r="L320" i="27"/>
  <c r="K320" i="27"/>
  <c r="J320" i="27"/>
  <c r="I320" i="27"/>
  <c r="H320" i="27"/>
  <c r="G320" i="27"/>
  <c r="F320" i="27"/>
  <c r="E320" i="27"/>
  <c r="D320" i="27"/>
  <c r="C320" i="27"/>
  <c r="B320" i="27"/>
  <c r="A320" i="27"/>
  <c r="L319" i="27"/>
  <c r="K319" i="27"/>
  <c r="J319" i="27"/>
  <c r="I319" i="27"/>
  <c r="H319" i="27"/>
  <c r="G319" i="27"/>
  <c r="F319" i="27"/>
  <c r="E319" i="27"/>
  <c r="D319" i="27"/>
  <c r="C319" i="27"/>
  <c r="B319" i="27"/>
  <c r="A319" i="27"/>
  <c r="L318" i="27"/>
  <c r="K318" i="27"/>
  <c r="J318" i="27"/>
  <c r="I318" i="27"/>
  <c r="H318" i="27"/>
  <c r="G318" i="27"/>
  <c r="F318" i="27"/>
  <c r="E318" i="27"/>
  <c r="D318" i="27"/>
  <c r="C318" i="27"/>
  <c r="B318" i="27"/>
  <c r="A318" i="27"/>
  <c r="L317" i="27"/>
  <c r="K317" i="27"/>
  <c r="J317" i="27"/>
  <c r="I317" i="27"/>
  <c r="H317" i="27"/>
  <c r="G317" i="27"/>
  <c r="F317" i="27"/>
  <c r="E317" i="27"/>
  <c r="D317" i="27"/>
  <c r="C317" i="27"/>
  <c r="B317" i="27"/>
  <c r="A317" i="27"/>
  <c r="L316" i="27"/>
  <c r="K316" i="27"/>
  <c r="J316" i="27"/>
  <c r="I316" i="27"/>
  <c r="H316" i="27"/>
  <c r="G316" i="27"/>
  <c r="F316" i="27"/>
  <c r="E316" i="27"/>
  <c r="D316" i="27"/>
  <c r="C316" i="27"/>
  <c r="B316" i="27"/>
  <c r="A316" i="27"/>
  <c r="L315" i="27"/>
  <c r="K315" i="27"/>
  <c r="J315" i="27"/>
  <c r="I315" i="27"/>
  <c r="H315" i="27"/>
  <c r="G315" i="27"/>
  <c r="F315" i="27"/>
  <c r="E315" i="27"/>
  <c r="D315" i="27"/>
  <c r="C315" i="27"/>
  <c r="B315" i="27"/>
  <c r="A315" i="27"/>
  <c r="L314" i="27"/>
  <c r="K314" i="27"/>
  <c r="J314" i="27"/>
  <c r="I314" i="27"/>
  <c r="H314" i="27"/>
  <c r="G314" i="27"/>
  <c r="F314" i="27"/>
  <c r="E314" i="27"/>
  <c r="D314" i="27"/>
  <c r="C314" i="27"/>
  <c r="B314" i="27"/>
  <c r="A314" i="27"/>
  <c r="L313" i="27"/>
  <c r="K313" i="27"/>
  <c r="J313" i="27"/>
  <c r="I313" i="27"/>
  <c r="H313" i="27"/>
  <c r="G313" i="27"/>
  <c r="F313" i="27"/>
  <c r="E313" i="27"/>
  <c r="D313" i="27"/>
  <c r="C313" i="27"/>
  <c r="B313" i="27"/>
  <c r="A313" i="27"/>
  <c r="L312" i="27"/>
  <c r="K312" i="27"/>
  <c r="J312" i="27"/>
  <c r="I312" i="27"/>
  <c r="H312" i="27"/>
  <c r="G312" i="27"/>
  <c r="F312" i="27"/>
  <c r="E312" i="27"/>
  <c r="D312" i="27"/>
  <c r="C312" i="27"/>
  <c r="B312" i="27"/>
  <c r="A312" i="27"/>
  <c r="L311" i="27"/>
  <c r="K311" i="27"/>
  <c r="J311" i="27"/>
  <c r="I311" i="27"/>
  <c r="H311" i="27"/>
  <c r="G311" i="27"/>
  <c r="F311" i="27"/>
  <c r="E311" i="27"/>
  <c r="D311" i="27"/>
  <c r="C311" i="27"/>
  <c r="B311" i="27"/>
  <c r="A311" i="27"/>
  <c r="L310" i="27"/>
  <c r="K310" i="27"/>
  <c r="J310" i="27"/>
  <c r="I310" i="27"/>
  <c r="H310" i="27"/>
  <c r="G310" i="27"/>
  <c r="F310" i="27"/>
  <c r="E310" i="27"/>
  <c r="D310" i="27"/>
  <c r="C310" i="27"/>
  <c r="B310" i="27"/>
  <c r="A310" i="27"/>
  <c r="L309" i="27"/>
  <c r="K309" i="27"/>
  <c r="J309" i="27"/>
  <c r="I309" i="27"/>
  <c r="H309" i="27"/>
  <c r="G309" i="27"/>
  <c r="F309" i="27"/>
  <c r="E309" i="27"/>
  <c r="D309" i="27"/>
  <c r="C309" i="27"/>
  <c r="B309" i="27"/>
  <c r="A309" i="27"/>
  <c r="L308" i="27"/>
  <c r="K308" i="27"/>
  <c r="J308" i="27"/>
  <c r="I308" i="27"/>
  <c r="H308" i="27"/>
  <c r="G308" i="27"/>
  <c r="F308" i="27"/>
  <c r="E308" i="27"/>
  <c r="D308" i="27"/>
  <c r="C308" i="27"/>
  <c r="B308" i="27"/>
  <c r="A308" i="27"/>
  <c r="L307" i="27"/>
  <c r="K307" i="27"/>
  <c r="J307" i="27"/>
  <c r="I307" i="27"/>
  <c r="H307" i="27"/>
  <c r="G307" i="27"/>
  <c r="F307" i="27"/>
  <c r="E307" i="27"/>
  <c r="D307" i="27"/>
  <c r="C307" i="27"/>
  <c r="B307" i="27"/>
  <c r="A307" i="27"/>
  <c r="L306" i="27"/>
  <c r="K306" i="27"/>
  <c r="J306" i="27"/>
  <c r="I306" i="27"/>
  <c r="H306" i="27"/>
  <c r="G306" i="27"/>
  <c r="F306" i="27"/>
  <c r="E306" i="27"/>
  <c r="D306" i="27"/>
  <c r="C306" i="27"/>
  <c r="B306" i="27"/>
  <c r="A306" i="27"/>
  <c r="L305" i="27"/>
  <c r="K305" i="27"/>
  <c r="J305" i="27"/>
  <c r="I305" i="27"/>
  <c r="H305" i="27"/>
  <c r="G305" i="27"/>
  <c r="F305" i="27"/>
  <c r="E305" i="27"/>
  <c r="D305" i="27"/>
  <c r="C305" i="27"/>
  <c r="B305" i="27"/>
  <c r="A305" i="27"/>
  <c r="L304" i="27"/>
  <c r="K304" i="27"/>
  <c r="J304" i="27"/>
  <c r="I304" i="27"/>
  <c r="H304" i="27"/>
  <c r="G304" i="27"/>
  <c r="F304" i="27"/>
  <c r="E304" i="27"/>
  <c r="D304" i="27"/>
  <c r="C304" i="27"/>
  <c r="B304" i="27"/>
  <c r="A304" i="27"/>
  <c r="L303" i="27"/>
  <c r="K303" i="27"/>
  <c r="J303" i="27"/>
  <c r="I303" i="27"/>
  <c r="H303" i="27"/>
  <c r="G303" i="27"/>
  <c r="F303" i="27"/>
  <c r="E303" i="27"/>
  <c r="D303" i="27"/>
  <c r="C303" i="27"/>
  <c r="B303" i="27"/>
  <c r="A303" i="27"/>
  <c r="L302" i="27"/>
  <c r="K302" i="27"/>
  <c r="J302" i="27"/>
  <c r="I302" i="27"/>
  <c r="H302" i="27"/>
  <c r="G302" i="27"/>
  <c r="F302" i="27"/>
  <c r="E302" i="27"/>
  <c r="D302" i="27"/>
  <c r="C302" i="27"/>
  <c r="B302" i="27"/>
  <c r="A302" i="27"/>
  <c r="L301" i="27"/>
  <c r="K301" i="27"/>
  <c r="J301" i="27"/>
  <c r="I301" i="27"/>
  <c r="H301" i="27"/>
  <c r="G301" i="27"/>
  <c r="F301" i="27"/>
  <c r="E301" i="27"/>
  <c r="D301" i="27"/>
  <c r="C301" i="27"/>
  <c r="B301" i="27"/>
  <c r="A301" i="27"/>
  <c r="L300" i="27"/>
  <c r="K300" i="27"/>
  <c r="J300" i="27"/>
  <c r="I300" i="27"/>
  <c r="H300" i="27"/>
  <c r="G300" i="27"/>
  <c r="F300" i="27"/>
  <c r="E300" i="27"/>
  <c r="D300" i="27"/>
  <c r="C300" i="27"/>
  <c r="B300" i="27"/>
  <c r="A300" i="27"/>
  <c r="L299" i="27"/>
  <c r="K299" i="27"/>
  <c r="J299" i="27"/>
  <c r="I299" i="27"/>
  <c r="H299" i="27"/>
  <c r="G299" i="27"/>
  <c r="F299" i="27"/>
  <c r="E299" i="27"/>
  <c r="D299" i="27"/>
  <c r="C299" i="27"/>
  <c r="B299" i="27"/>
  <c r="A299" i="27"/>
  <c r="L298" i="27"/>
  <c r="K298" i="27"/>
  <c r="J298" i="27"/>
  <c r="I298" i="27"/>
  <c r="H298" i="27"/>
  <c r="G298" i="27"/>
  <c r="F298" i="27"/>
  <c r="E298" i="27"/>
  <c r="D298" i="27"/>
  <c r="C298" i="27"/>
  <c r="B298" i="27"/>
  <c r="A298" i="27"/>
  <c r="L297" i="27"/>
  <c r="K297" i="27"/>
  <c r="J297" i="27"/>
  <c r="I297" i="27"/>
  <c r="H297" i="27"/>
  <c r="G297" i="27"/>
  <c r="F297" i="27"/>
  <c r="E297" i="27"/>
  <c r="D297" i="27"/>
  <c r="C297" i="27"/>
  <c r="B297" i="27"/>
  <c r="A297" i="27"/>
  <c r="L296" i="27"/>
  <c r="K296" i="27"/>
  <c r="J296" i="27"/>
  <c r="I296" i="27"/>
  <c r="H296" i="27"/>
  <c r="G296" i="27"/>
  <c r="F296" i="27"/>
  <c r="E296" i="27"/>
  <c r="D296" i="27"/>
  <c r="C296" i="27"/>
  <c r="B296" i="27"/>
  <c r="A296" i="27"/>
  <c r="L295" i="27"/>
  <c r="K295" i="27"/>
  <c r="J295" i="27"/>
  <c r="I295" i="27"/>
  <c r="H295" i="27"/>
  <c r="G295" i="27"/>
  <c r="F295" i="27"/>
  <c r="E295" i="27"/>
  <c r="D295" i="27"/>
  <c r="C295" i="27"/>
  <c r="B295" i="27"/>
  <c r="A295" i="27"/>
  <c r="L294" i="27"/>
  <c r="K294" i="27"/>
  <c r="J294" i="27"/>
  <c r="I294" i="27"/>
  <c r="H294" i="27"/>
  <c r="G294" i="27"/>
  <c r="F294" i="27"/>
  <c r="E294" i="27"/>
  <c r="D294" i="27"/>
  <c r="C294" i="27"/>
  <c r="B294" i="27"/>
  <c r="A294" i="27"/>
  <c r="L293" i="27"/>
  <c r="K293" i="27"/>
  <c r="J293" i="27"/>
  <c r="I293" i="27"/>
  <c r="H293" i="27"/>
  <c r="G293" i="27"/>
  <c r="F293" i="27"/>
  <c r="E293" i="27"/>
  <c r="D293" i="27"/>
  <c r="C293" i="27"/>
  <c r="B293" i="27"/>
  <c r="A293" i="27"/>
  <c r="L292" i="27"/>
  <c r="K292" i="27"/>
  <c r="J292" i="27"/>
  <c r="I292" i="27"/>
  <c r="H292" i="27"/>
  <c r="G292" i="27"/>
  <c r="F292" i="27"/>
  <c r="E292" i="27"/>
  <c r="D292" i="27"/>
  <c r="C292" i="27"/>
  <c r="B292" i="27"/>
  <c r="A292" i="27"/>
  <c r="L291" i="27"/>
  <c r="K291" i="27"/>
  <c r="J291" i="27"/>
  <c r="I291" i="27"/>
  <c r="H291" i="27"/>
  <c r="G291" i="27"/>
  <c r="F291" i="27"/>
  <c r="E291" i="27"/>
  <c r="D291" i="27"/>
  <c r="C291" i="27"/>
  <c r="B291" i="27"/>
  <c r="A291" i="27"/>
  <c r="L290" i="27"/>
  <c r="K290" i="27"/>
  <c r="J290" i="27"/>
  <c r="I290" i="27"/>
  <c r="H290" i="27"/>
  <c r="G290" i="27"/>
  <c r="F290" i="27"/>
  <c r="E290" i="27"/>
  <c r="D290" i="27"/>
  <c r="C290" i="27"/>
  <c r="B290" i="27"/>
  <c r="A290" i="27"/>
  <c r="L289" i="27"/>
  <c r="K289" i="27"/>
  <c r="J289" i="27"/>
  <c r="I289" i="27"/>
  <c r="H289" i="27"/>
  <c r="G289" i="27"/>
  <c r="F289" i="27"/>
  <c r="E289" i="27"/>
  <c r="D289" i="27"/>
  <c r="C289" i="27"/>
  <c r="B289" i="27"/>
  <c r="A289" i="27"/>
  <c r="L288" i="27"/>
  <c r="K288" i="27"/>
  <c r="J288" i="27"/>
  <c r="I288" i="27"/>
  <c r="H288" i="27"/>
  <c r="G288" i="27"/>
  <c r="F288" i="27"/>
  <c r="E288" i="27"/>
  <c r="D288" i="27"/>
  <c r="C288" i="27"/>
  <c r="B288" i="27"/>
  <c r="A288" i="27"/>
  <c r="L287" i="27"/>
  <c r="K287" i="27"/>
  <c r="J287" i="27"/>
  <c r="I287" i="27"/>
  <c r="H287" i="27"/>
  <c r="G287" i="27"/>
  <c r="F287" i="27"/>
  <c r="E287" i="27"/>
  <c r="D287" i="27"/>
  <c r="C287" i="27"/>
  <c r="B287" i="27"/>
  <c r="A287" i="27"/>
  <c r="L286" i="27"/>
  <c r="K286" i="27"/>
  <c r="J286" i="27"/>
  <c r="I286" i="27"/>
  <c r="H286" i="27"/>
  <c r="G286" i="27"/>
  <c r="F286" i="27"/>
  <c r="E286" i="27"/>
  <c r="D286" i="27"/>
  <c r="C286" i="27"/>
  <c r="B286" i="27"/>
  <c r="A286" i="27"/>
  <c r="L285" i="27"/>
  <c r="K285" i="27"/>
  <c r="J285" i="27"/>
  <c r="I285" i="27"/>
  <c r="H285" i="27"/>
  <c r="G285" i="27"/>
  <c r="F285" i="27"/>
  <c r="E285" i="27"/>
  <c r="D285" i="27"/>
  <c r="C285" i="27"/>
  <c r="B285" i="27"/>
  <c r="A285" i="27"/>
  <c r="L284" i="27"/>
  <c r="K284" i="27"/>
  <c r="J284" i="27"/>
  <c r="I284" i="27"/>
  <c r="H284" i="27"/>
  <c r="G284" i="27"/>
  <c r="F284" i="27"/>
  <c r="E284" i="27"/>
  <c r="D284" i="27"/>
  <c r="C284" i="27"/>
  <c r="B284" i="27"/>
  <c r="A284" i="27"/>
  <c r="L283" i="27"/>
  <c r="K283" i="27"/>
  <c r="J283" i="27"/>
  <c r="I283" i="27"/>
  <c r="H283" i="27"/>
  <c r="G283" i="27"/>
  <c r="F283" i="27"/>
  <c r="E283" i="27"/>
  <c r="D283" i="27"/>
  <c r="C283" i="27"/>
  <c r="B283" i="27"/>
  <c r="A283" i="27"/>
  <c r="L282" i="27"/>
  <c r="K282" i="27"/>
  <c r="J282" i="27"/>
  <c r="I282" i="27"/>
  <c r="H282" i="27"/>
  <c r="G282" i="27"/>
  <c r="F282" i="27"/>
  <c r="E282" i="27"/>
  <c r="D282" i="27"/>
  <c r="C282" i="27"/>
  <c r="B282" i="27"/>
  <c r="A282" i="27"/>
  <c r="L281" i="27"/>
  <c r="K281" i="27"/>
  <c r="J281" i="27"/>
  <c r="I281" i="27"/>
  <c r="H281" i="27"/>
  <c r="G281" i="27"/>
  <c r="F281" i="27"/>
  <c r="E281" i="27"/>
  <c r="D281" i="27"/>
  <c r="C281" i="27"/>
  <c r="B281" i="27"/>
  <c r="A281" i="27"/>
  <c r="L280" i="27"/>
  <c r="K280" i="27"/>
  <c r="J280" i="27"/>
  <c r="I280" i="27"/>
  <c r="H280" i="27"/>
  <c r="G280" i="27"/>
  <c r="F280" i="27"/>
  <c r="E280" i="27"/>
  <c r="D280" i="27"/>
  <c r="C280" i="27"/>
  <c r="B280" i="27"/>
  <c r="A280" i="27"/>
  <c r="L279" i="27"/>
  <c r="K279" i="27"/>
  <c r="J279" i="27"/>
  <c r="I279" i="27"/>
  <c r="H279" i="27"/>
  <c r="G279" i="27"/>
  <c r="F279" i="27"/>
  <c r="E279" i="27"/>
  <c r="D279" i="27"/>
  <c r="C279" i="27"/>
  <c r="B279" i="27"/>
  <c r="A279" i="27"/>
  <c r="L278" i="27"/>
  <c r="K278" i="27"/>
  <c r="J278" i="27"/>
  <c r="I278" i="27"/>
  <c r="H278" i="27"/>
  <c r="G278" i="27"/>
  <c r="F278" i="27"/>
  <c r="E278" i="27"/>
  <c r="D278" i="27"/>
  <c r="C278" i="27"/>
  <c r="B278" i="27"/>
  <c r="A278" i="27"/>
  <c r="L277" i="27"/>
  <c r="K277" i="27"/>
  <c r="J277" i="27"/>
  <c r="I277" i="27"/>
  <c r="H277" i="27"/>
  <c r="G277" i="27"/>
  <c r="F277" i="27"/>
  <c r="E277" i="27"/>
  <c r="D277" i="27"/>
  <c r="C277" i="27"/>
  <c r="B277" i="27"/>
  <c r="A277" i="27"/>
  <c r="L276" i="27"/>
  <c r="K276" i="27"/>
  <c r="J276" i="27"/>
  <c r="I276" i="27"/>
  <c r="H276" i="27"/>
  <c r="G276" i="27"/>
  <c r="F276" i="27"/>
  <c r="E276" i="27"/>
  <c r="D276" i="27"/>
  <c r="C276" i="27"/>
  <c r="B276" i="27"/>
  <c r="A276" i="27"/>
  <c r="L275" i="27"/>
  <c r="K275" i="27"/>
  <c r="J275" i="27"/>
  <c r="I275" i="27"/>
  <c r="H275" i="27"/>
  <c r="G275" i="27"/>
  <c r="F275" i="27"/>
  <c r="E275" i="27"/>
  <c r="D275" i="27"/>
  <c r="C275" i="27"/>
  <c r="B275" i="27"/>
  <c r="A275" i="27"/>
  <c r="L274" i="27"/>
  <c r="K274" i="27"/>
  <c r="J274" i="27"/>
  <c r="I274" i="27"/>
  <c r="H274" i="27"/>
  <c r="G274" i="27"/>
  <c r="F274" i="27"/>
  <c r="E274" i="27"/>
  <c r="D274" i="27"/>
  <c r="C274" i="27"/>
  <c r="B274" i="27"/>
  <c r="A274" i="27"/>
  <c r="L273" i="27"/>
  <c r="K273" i="27"/>
  <c r="J273" i="27"/>
  <c r="I273" i="27"/>
  <c r="H273" i="27"/>
  <c r="G273" i="27"/>
  <c r="F273" i="27"/>
  <c r="E273" i="27"/>
  <c r="D273" i="27"/>
  <c r="C273" i="27"/>
  <c r="B273" i="27"/>
  <c r="A273" i="27"/>
  <c r="L272" i="27"/>
  <c r="K272" i="27"/>
  <c r="J272" i="27"/>
  <c r="I272" i="27"/>
  <c r="H272" i="27"/>
  <c r="G272" i="27"/>
  <c r="F272" i="27"/>
  <c r="E272" i="27"/>
  <c r="D272" i="27"/>
  <c r="C272" i="27"/>
  <c r="B272" i="27"/>
  <c r="A272" i="27"/>
  <c r="L271" i="27"/>
  <c r="K271" i="27"/>
  <c r="J271" i="27"/>
  <c r="I271" i="27"/>
  <c r="H271" i="27"/>
  <c r="G271" i="27"/>
  <c r="F271" i="27"/>
  <c r="E271" i="27"/>
  <c r="D271" i="27"/>
  <c r="C271" i="27"/>
  <c r="B271" i="27"/>
  <c r="A271" i="27"/>
  <c r="L270" i="27"/>
  <c r="K270" i="27"/>
  <c r="J270" i="27"/>
  <c r="I270" i="27"/>
  <c r="H270" i="27"/>
  <c r="G270" i="27"/>
  <c r="F270" i="27"/>
  <c r="E270" i="27"/>
  <c r="D270" i="27"/>
  <c r="C270" i="27"/>
  <c r="B270" i="27"/>
  <c r="A270" i="27"/>
  <c r="L269" i="27"/>
  <c r="K269" i="27"/>
  <c r="J269" i="27"/>
  <c r="I269" i="27"/>
  <c r="H269" i="27"/>
  <c r="G269" i="27"/>
  <c r="F269" i="27"/>
  <c r="E269" i="27"/>
  <c r="D269" i="27"/>
  <c r="C269" i="27"/>
  <c r="B269" i="27"/>
  <c r="A269" i="27"/>
  <c r="L268" i="27"/>
  <c r="K268" i="27"/>
  <c r="J268" i="27"/>
  <c r="I268" i="27"/>
  <c r="H268" i="27"/>
  <c r="G268" i="27"/>
  <c r="F268" i="27"/>
  <c r="E268" i="27"/>
  <c r="D268" i="27"/>
  <c r="C268" i="27"/>
  <c r="B268" i="27"/>
  <c r="A268" i="27"/>
  <c r="L267" i="27"/>
  <c r="K267" i="27"/>
  <c r="J267" i="27"/>
  <c r="I267" i="27"/>
  <c r="H267" i="27"/>
  <c r="G267" i="27"/>
  <c r="F267" i="27"/>
  <c r="E267" i="27"/>
  <c r="D267" i="27"/>
  <c r="C267" i="27"/>
  <c r="B267" i="27"/>
  <c r="A267" i="27"/>
  <c r="L266" i="27"/>
  <c r="K266" i="27"/>
  <c r="J266" i="27"/>
  <c r="I266" i="27"/>
  <c r="H266" i="27"/>
  <c r="G266" i="27"/>
  <c r="F266" i="27"/>
  <c r="E266" i="27"/>
  <c r="D266" i="27"/>
  <c r="C266" i="27"/>
  <c r="B266" i="27"/>
  <c r="A266" i="27"/>
  <c r="L265" i="27"/>
  <c r="K265" i="27"/>
  <c r="J265" i="27"/>
  <c r="I265" i="27"/>
  <c r="H265" i="27"/>
  <c r="G265" i="27"/>
  <c r="F265" i="27"/>
  <c r="E265" i="27"/>
  <c r="D265" i="27"/>
  <c r="C265" i="27"/>
  <c r="B265" i="27"/>
  <c r="A265" i="27"/>
  <c r="L264" i="27"/>
  <c r="K264" i="27"/>
  <c r="J264" i="27"/>
  <c r="I264" i="27"/>
  <c r="H264" i="27"/>
  <c r="G264" i="27"/>
  <c r="F264" i="27"/>
  <c r="E264" i="27"/>
  <c r="D264" i="27"/>
  <c r="C264" i="27"/>
  <c r="B264" i="27"/>
  <c r="A264" i="27"/>
  <c r="L263" i="27"/>
  <c r="K263" i="27"/>
  <c r="J263" i="27"/>
  <c r="I263" i="27"/>
  <c r="H263" i="27"/>
  <c r="G263" i="27"/>
  <c r="F263" i="27"/>
  <c r="E263" i="27"/>
  <c r="D263" i="27"/>
  <c r="C263" i="27"/>
  <c r="B263" i="27"/>
  <c r="A263" i="27"/>
  <c r="L262" i="27"/>
  <c r="K262" i="27"/>
  <c r="J262" i="27"/>
  <c r="I262" i="27"/>
  <c r="H262" i="27"/>
  <c r="G262" i="27"/>
  <c r="F262" i="27"/>
  <c r="E262" i="27"/>
  <c r="D262" i="27"/>
  <c r="C262" i="27"/>
  <c r="B262" i="27"/>
  <c r="A262" i="27"/>
  <c r="L261" i="27"/>
  <c r="K261" i="27"/>
  <c r="J261" i="27"/>
  <c r="I261" i="27"/>
  <c r="H261" i="27"/>
  <c r="G261" i="27"/>
  <c r="F261" i="27"/>
  <c r="E261" i="27"/>
  <c r="D261" i="27"/>
  <c r="C261" i="27"/>
  <c r="B261" i="27"/>
  <c r="A261" i="27"/>
  <c r="L260" i="27"/>
  <c r="K260" i="27"/>
  <c r="J260" i="27"/>
  <c r="I260" i="27"/>
  <c r="H260" i="27"/>
  <c r="G260" i="27"/>
  <c r="F260" i="27"/>
  <c r="E260" i="27"/>
  <c r="D260" i="27"/>
  <c r="C260" i="27"/>
  <c r="B260" i="27"/>
  <c r="A260" i="27"/>
  <c r="L259" i="27"/>
  <c r="K259" i="27"/>
  <c r="J259" i="27"/>
  <c r="I259" i="27"/>
  <c r="H259" i="27"/>
  <c r="G259" i="27"/>
  <c r="F259" i="27"/>
  <c r="E259" i="27"/>
  <c r="D259" i="27"/>
  <c r="C259" i="27"/>
  <c r="B259" i="27"/>
  <c r="A259" i="27"/>
  <c r="L258" i="27"/>
  <c r="K258" i="27"/>
  <c r="J258" i="27"/>
  <c r="I258" i="27"/>
  <c r="H258" i="27"/>
  <c r="G258" i="27"/>
  <c r="F258" i="27"/>
  <c r="E258" i="27"/>
  <c r="D258" i="27"/>
  <c r="C258" i="27"/>
  <c r="B258" i="27"/>
  <c r="A258" i="27"/>
  <c r="L257" i="27"/>
  <c r="K257" i="27"/>
  <c r="J257" i="27"/>
  <c r="I257" i="27"/>
  <c r="H257" i="27"/>
  <c r="G257" i="27"/>
  <c r="F257" i="27"/>
  <c r="E257" i="27"/>
  <c r="D257" i="27"/>
  <c r="C257" i="27"/>
  <c r="B257" i="27"/>
  <c r="A257" i="27"/>
  <c r="L256" i="27"/>
  <c r="K256" i="27"/>
  <c r="J256" i="27"/>
  <c r="I256" i="27"/>
  <c r="H256" i="27"/>
  <c r="G256" i="27"/>
  <c r="F256" i="27"/>
  <c r="E256" i="27"/>
  <c r="D256" i="27"/>
  <c r="C256" i="27"/>
  <c r="B256" i="27"/>
  <c r="A256" i="27"/>
  <c r="L255" i="27"/>
  <c r="K255" i="27"/>
  <c r="J255" i="27"/>
  <c r="I255" i="27"/>
  <c r="H255" i="27"/>
  <c r="G255" i="27"/>
  <c r="F255" i="27"/>
  <c r="E255" i="27"/>
  <c r="D255" i="27"/>
  <c r="C255" i="27"/>
  <c r="B255" i="27"/>
  <c r="A255" i="27"/>
  <c r="L254" i="27"/>
  <c r="K254" i="27"/>
  <c r="J254" i="27"/>
  <c r="I254" i="27"/>
  <c r="H254" i="27"/>
  <c r="G254" i="27"/>
  <c r="F254" i="27"/>
  <c r="E254" i="27"/>
  <c r="D254" i="27"/>
  <c r="C254" i="27"/>
  <c r="B254" i="27"/>
  <c r="A254" i="27"/>
  <c r="L253" i="27"/>
  <c r="K253" i="27"/>
  <c r="J253" i="27"/>
  <c r="I253" i="27"/>
  <c r="H253" i="27"/>
  <c r="G253" i="27"/>
  <c r="F253" i="27"/>
  <c r="E253" i="27"/>
  <c r="D253" i="27"/>
  <c r="C253" i="27"/>
  <c r="B253" i="27"/>
  <c r="A253" i="27"/>
  <c r="L252" i="27"/>
  <c r="K252" i="27"/>
  <c r="J252" i="27"/>
  <c r="I252" i="27"/>
  <c r="H252" i="27"/>
  <c r="G252" i="27"/>
  <c r="F252" i="27"/>
  <c r="E252" i="27"/>
  <c r="D252" i="27"/>
  <c r="C252" i="27"/>
  <c r="B252" i="27"/>
  <c r="A252" i="27"/>
  <c r="L251" i="27"/>
  <c r="K251" i="27"/>
  <c r="J251" i="27"/>
  <c r="I251" i="27"/>
  <c r="H251" i="27"/>
  <c r="G251" i="27"/>
  <c r="F251" i="27"/>
  <c r="E251" i="27"/>
  <c r="D251" i="27"/>
  <c r="C251" i="27"/>
  <c r="B251" i="27"/>
  <c r="A251" i="27"/>
  <c r="L250" i="27"/>
  <c r="K250" i="27"/>
  <c r="J250" i="27"/>
  <c r="I250" i="27"/>
  <c r="H250" i="27"/>
  <c r="G250" i="27"/>
  <c r="F250" i="27"/>
  <c r="E250" i="27"/>
  <c r="D250" i="27"/>
  <c r="C250" i="27"/>
  <c r="B250" i="27"/>
  <c r="A250" i="27"/>
  <c r="L249" i="27"/>
  <c r="K249" i="27"/>
  <c r="J249" i="27"/>
  <c r="I249" i="27"/>
  <c r="H249" i="27"/>
  <c r="G249" i="27"/>
  <c r="F249" i="27"/>
  <c r="E249" i="27"/>
  <c r="D249" i="27"/>
  <c r="C249" i="27"/>
  <c r="B249" i="27"/>
  <c r="A249" i="27"/>
  <c r="L248" i="27"/>
  <c r="K248" i="27"/>
  <c r="J248" i="27"/>
  <c r="I248" i="27"/>
  <c r="H248" i="27"/>
  <c r="G248" i="27"/>
  <c r="F248" i="27"/>
  <c r="E248" i="27"/>
  <c r="D248" i="27"/>
  <c r="C248" i="27"/>
  <c r="B248" i="27"/>
  <c r="A248" i="27"/>
  <c r="L247" i="27"/>
  <c r="K247" i="27"/>
  <c r="J247" i="27"/>
  <c r="I247" i="27"/>
  <c r="H247" i="27"/>
  <c r="G247" i="27"/>
  <c r="F247" i="27"/>
  <c r="E247" i="27"/>
  <c r="D247" i="27"/>
  <c r="C247" i="27"/>
  <c r="B247" i="27"/>
  <c r="A247" i="27"/>
  <c r="L246" i="27"/>
  <c r="K246" i="27"/>
  <c r="J246" i="27"/>
  <c r="I246" i="27"/>
  <c r="H246" i="27"/>
  <c r="G246" i="27"/>
  <c r="F246" i="27"/>
  <c r="E246" i="27"/>
  <c r="D246" i="27"/>
  <c r="C246" i="27"/>
  <c r="B246" i="27"/>
  <c r="A246" i="27"/>
  <c r="L245" i="27"/>
  <c r="K245" i="27"/>
  <c r="J245" i="27"/>
  <c r="I245" i="27"/>
  <c r="H245" i="27"/>
  <c r="G245" i="27"/>
  <c r="F245" i="27"/>
  <c r="E245" i="27"/>
  <c r="D245" i="27"/>
  <c r="C245" i="27"/>
  <c r="B245" i="27"/>
  <c r="A245" i="27"/>
  <c r="L244" i="27"/>
  <c r="K244" i="27"/>
  <c r="J244" i="27"/>
  <c r="I244" i="27"/>
  <c r="H244" i="27"/>
  <c r="G244" i="27"/>
  <c r="F244" i="27"/>
  <c r="E244" i="27"/>
  <c r="D244" i="27"/>
  <c r="C244" i="27"/>
  <c r="B244" i="27"/>
  <c r="A244" i="27"/>
  <c r="L243" i="27"/>
  <c r="K243" i="27"/>
  <c r="J243" i="27"/>
  <c r="I243" i="27"/>
  <c r="H243" i="27"/>
  <c r="G243" i="27"/>
  <c r="F243" i="27"/>
  <c r="E243" i="27"/>
  <c r="D243" i="27"/>
  <c r="C243" i="27"/>
  <c r="B243" i="27"/>
  <c r="A243" i="27"/>
  <c r="L242" i="27"/>
  <c r="K242" i="27"/>
  <c r="J242" i="27"/>
  <c r="I242" i="27"/>
  <c r="H242" i="27"/>
  <c r="G242" i="27"/>
  <c r="F242" i="27"/>
  <c r="E242" i="27"/>
  <c r="D242" i="27"/>
  <c r="C242" i="27"/>
  <c r="B242" i="27"/>
  <c r="A242" i="27"/>
  <c r="L241" i="27"/>
  <c r="K241" i="27"/>
  <c r="J241" i="27"/>
  <c r="I241" i="27"/>
  <c r="H241" i="27"/>
  <c r="G241" i="27"/>
  <c r="F241" i="27"/>
  <c r="E241" i="27"/>
  <c r="D241" i="27"/>
  <c r="C241" i="27"/>
  <c r="B241" i="27"/>
  <c r="A241" i="27"/>
  <c r="L240" i="27"/>
  <c r="K240" i="27"/>
  <c r="J240" i="27"/>
  <c r="I240" i="27"/>
  <c r="H240" i="27"/>
  <c r="G240" i="27"/>
  <c r="F240" i="27"/>
  <c r="E240" i="27"/>
  <c r="D240" i="27"/>
  <c r="C240" i="27"/>
  <c r="B240" i="27"/>
  <c r="A240" i="27"/>
  <c r="L239" i="27"/>
  <c r="K239" i="27"/>
  <c r="J239" i="27"/>
  <c r="I239" i="27"/>
  <c r="H239" i="27"/>
  <c r="G239" i="27"/>
  <c r="F239" i="27"/>
  <c r="E239" i="27"/>
  <c r="D239" i="27"/>
  <c r="C239" i="27"/>
  <c r="B239" i="27"/>
  <c r="A239" i="27"/>
  <c r="L238" i="27"/>
  <c r="K238" i="27"/>
  <c r="J238" i="27"/>
  <c r="I238" i="27"/>
  <c r="H238" i="27"/>
  <c r="G238" i="27"/>
  <c r="F238" i="27"/>
  <c r="E238" i="27"/>
  <c r="D238" i="27"/>
  <c r="C238" i="27"/>
  <c r="B238" i="27"/>
  <c r="A238" i="27"/>
  <c r="L237" i="27"/>
  <c r="K237" i="27"/>
  <c r="J237" i="27"/>
  <c r="I237" i="27"/>
  <c r="H237" i="27"/>
  <c r="G237" i="27"/>
  <c r="F237" i="27"/>
  <c r="E237" i="27"/>
  <c r="D237" i="27"/>
  <c r="C237" i="27"/>
  <c r="B237" i="27"/>
  <c r="A237" i="27"/>
  <c r="L236" i="27"/>
  <c r="K236" i="27"/>
  <c r="J236" i="27"/>
  <c r="I236" i="27"/>
  <c r="H236" i="27"/>
  <c r="G236" i="27"/>
  <c r="F236" i="27"/>
  <c r="E236" i="27"/>
  <c r="D236" i="27"/>
  <c r="C236" i="27"/>
  <c r="B236" i="27"/>
  <c r="A236" i="27"/>
  <c r="L235" i="27"/>
  <c r="K235" i="27"/>
  <c r="J235" i="27"/>
  <c r="I235" i="27"/>
  <c r="H235" i="27"/>
  <c r="G235" i="27"/>
  <c r="F235" i="27"/>
  <c r="E235" i="27"/>
  <c r="D235" i="27"/>
  <c r="C235" i="27"/>
  <c r="B235" i="27"/>
  <c r="A235" i="27"/>
  <c r="L234" i="27"/>
  <c r="K234" i="27"/>
  <c r="J234" i="27"/>
  <c r="I234" i="27"/>
  <c r="H234" i="27"/>
  <c r="G234" i="27"/>
  <c r="F234" i="27"/>
  <c r="E234" i="27"/>
  <c r="D234" i="27"/>
  <c r="C234" i="27"/>
  <c r="B234" i="27"/>
  <c r="A234" i="27"/>
  <c r="L233" i="27"/>
  <c r="K233" i="27"/>
  <c r="J233" i="27"/>
  <c r="I233" i="27"/>
  <c r="H233" i="27"/>
  <c r="G233" i="27"/>
  <c r="F233" i="27"/>
  <c r="E233" i="27"/>
  <c r="D233" i="27"/>
  <c r="C233" i="27"/>
  <c r="B233" i="27"/>
  <c r="A233" i="27"/>
  <c r="L232" i="27"/>
  <c r="K232" i="27"/>
  <c r="J232" i="27"/>
  <c r="I232" i="27"/>
  <c r="H232" i="27"/>
  <c r="G232" i="27"/>
  <c r="F232" i="27"/>
  <c r="E232" i="27"/>
  <c r="D232" i="27"/>
  <c r="C232" i="27"/>
  <c r="B232" i="27"/>
  <c r="A232" i="27"/>
  <c r="L231" i="27"/>
  <c r="K231" i="27"/>
  <c r="J231" i="27"/>
  <c r="I231" i="27"/>
  <c r="H231" i="27"/>
  <c r="G231" i="27"/>
  <c r="F231" i="27"/>
  <c r="E231" i="27"/>
  <c r="D231" i="27"/>
  <c r="C231" i="27"/>
  <c r="B231" i="27"/>
  <c r="A231" i="27"/>
  <c r="L230" i="27"/>
  <c r="K230" i="27"/>
  <c r="J230" i="27"/>
  <c r="I230" i="27"/>
  <c r="H230" i="27"/>
  <c r="G230" i="27"/>
  <c r="F230" i="27"/>
  <c r="E230" i="27"/>
  <c r="D230" i="27"/>
  <c r="C230" i="27"/>
  <c r="B230" i="27"/>
  <c r="A230" i="27"/>
  <c r="L229" i="27"/>
  <c r="K229" i="27"/>
  <c r="J229" i="27"/>
  <c r="I229" i="27"/>
  <c r="H229" i="27"/>
  <c r="G229" i="27"/>
  <c r="F229" i="27"/>
  <c r="E229" i="27"/>
  <c r="D229" i="27"/>
  <c r="C229" i="27"/>
  <c r="B229" i="27"/>
  <c r="A229" i="27"/>
  <c r="L228" i="27"/>
  <c r="K228" i="27"/>
  <c r="J228" i="27"/>
  <c r="I228" i="27"/>
  <c r="H228" i="27"/>
  <c r="G228" i="27"/>
  <c r="F228" i="27"/>
  <c r="E228" i="27"/>
  <c r="D228" i="27"/>
  <c r="C228" i="27"/>
  <c r="B228" i="27"/>
  <c r="A228" i="27"/>
  <c r="L227" i="27"/>
  <c r="K227" i="27"/>
  <c r="J227" i="27"/>
  <c r="I227" i="27"/>
  <c r="H227" i="27"/>
  <c r="G227" i="27"/>
  <c r="F227" i="27"/>
  <c r="E227" i="27"/>
  <c r="D227" i="27"/>
  <c r="C227" i="27"/>
  <c r="B227" i="27"/>
  <c r="A227" i="27"/>
  <c r="L226" i="27"/>
  <c r="K226" i="27"/>
  <c r="J226" i="27"/>
  <c r="I226" i="27"/>
  <c r="H226" i="27"/>
  <c r="G226" i="27"/>
  <c r="F226" i="27"/>
  <c r="E226" i="27"/>
  <c r="D226" i="27"/>
  <c r="C226" i="27"/>
  <c r="B226" i="27"/>
  <c r="A226" i="27"/>
  <c r="L225" i="27"/>
  <c r="K225" i="27"/>
  <c r="J225" i="27"/>
  <c r="I225" i="27"/>
  <c r="H225" i="27"/>
  <c r="G225" i="27"/>
  <c r="F225" i="27"/>
  <c r="E225" i="27"/>
  <c r="D225" i="27"/>
  <c r="C225" i="27"/>
  <c r="B225" i="27"/>
  <c r="A225" i="27"/>
  <c r="L224" i="27"/>
  <c r="K224" i="27"/>
  <c r="J224" i="27"/>
  <c r="I224" i="27"/>
  <c r="H224" i="27"/>
  <c r="G224" i="27"/>
  <c r="F224" i="27"/>
  <c r="E224" i="27"/>
  <c r="D224" i="27"/>
  <c r="C224" i="27"/>
  <c r="B224" i="27"/>
  <c r="A224" i="27"/>
  <c r="L223" i="27"/>
  <c r="K223" i="27"/>
  <c r="J223" i="27"/>
  <c r="I223" i="27"/>
  <c r="H223" i="27"/>
  <c r="G223" i="27"/>
  <c r="F223" i="27"/>
  <c r="E223" i="27"/>
  <c r="D223" i="27"/>
  <c r="C223" i="27"/>
  <c r="B223" i="27"/>
  <c r="A223" i="27"/>
  <c r="L222" i="27"/>
  <c r="K222" i="27"/>
  <c r="J222" i="27"/>
  <c r="I222" i="27"/>
  <c r="H222" i="27"/>
  <c r="G222" i="27"/>
  <c r="F222" i="27"/>
  <c r="E222" i="27"/>
  <c r="D222" i="27"/>
  <c r="C222" i="27"/>
  <c r="B222" i="27"/>
  <c r="A222" i="27"/>
  <c r="L221" i="27"/>
  <c r="K221" i="27"/>
  <c r="J221" i="27"/>
  <c r="I221" i="27"/>
  <c r="H221" i="27"/>
  <c r="G221" i="27"/>
  <c r="F221" i="27"/>
  <c r="E221" i="27"/>
  <c r="D221" i="27"/>
  <c r="C221" i="27"/>
  <c r="B221" i="27"/>
  <c r="A221" i="27"/>
  <c r="L220" i="27"/>
  <c r="K220" i="27"/>
  <c r="J220" i="27"/>
  <c r="I220" i="27"/>
  <c r="H220" i="27"/>
  <c r="G220" i="27"/>
  <c r="F220" i="27"/>
  <c r="E220" i="27"/>
  <c r="D220" i="27"/>
  <c r="C220" i="27"/>
  <c r="B220" i="27"/>
  <c r="A220" i="27"/>
  <c r="L219" i="27"/>
  <c r="K219" i="27"/>
  <c r="J219" i="27"/>
  <c r="I219" i="27"/>
  <c r="H219" i="27"/>
  <c r="G219" i="27"/>
  <c r="F219" i="27"/>
  <c r="E219" i="27"/>
  <c r="D219" i="27"/>
  <c r="C219" i="27"/>
  <c r="B219" i="27"/>
  <c r="A219" i="27"/>
  <c r="L218" i="27"/>
  <c r="K218" i="27"/>
  <c r="J218" i="27"/>
  <c r="I218" i="27"/>
  <c r="H218" i="27"/>
  <c r="G218" i="27"/>
  <c r="F218" i="27"/>
  <c r="E218" i="27"/>
  <c r="D218" i="27"/>
  <c r="C218" i="27"/>
  <c r="B218" i="27"/>
  <c r="A218" i="27"/>
  <c r="L217" i="27"/>
  <c r="K217" i="27"/>
  <c r="J217" i="27"/>
  <c r="I217" i="27"/>
  <c r="H217" i="27"/>
  <c r="G217" i="27"/>
  <c r="F217" i="27"/>
  <c r="E217" i="27"/>
  <c r="D217" i="27"/>
  <c r="C217" i="27"/>
  <c r="B217" i="27"/>
  <c r="A217" i="27"/>
  <c r="L216" i="27"/>
  <c r="K216" i="27"/>
  <c r="J216" i="27"/>
  <c r="I216" i="27"/>
  <c r="H216" i="27"/>
  <c r="G216" i="27"/>
  <c r="F216" i="27"/>
  <c r="E216" i="27"/>
  <c r="D216" i="27"/>
  <c r="C216" i="27"/>
  <c r="B216" i="27"/>
  <c r="A216" i="27"/>
  <c r="L215" i="27"/>
  <c r="K215" i="27"/>
  <c r="J215" i="27"/>
  <c r="I215" i="27"/>
  <c r="H215" i="27"/>
  <c r="G215" i="27"/>
  <c r="F215" i="27"/>
  <c r="E215" i="27"/>
  <c r="D215" i="27"/>
  <c r="C215" i="27"/>
  <c r="B215" i="27"/>
  <c r="A215" i="27"/>
  <c r="L214" i="27"/>
  <c r="K214" i="27"/>
  <c r="J214" i="27"/>
  <c r="I214" i="27"/>
  <c r="H214" i="27"/>
  <c r="G214" i="27"/>
  <c r="F214" i="27"/>
  <c r="E214" i="27"/>
  <c r="D214" i="27"/>
  <c r="C214" i="27"/>
  <c r="B214" i="27"/>
  <c r="A214" i="27"/>
  <c r="L213" i="27"/>
  <c r="K213" i="27"/>
  <c r="J213" i="27"/>
  <c r="I213" i="27"/>
  <c r="H213" i="27"/>
  <c r="G213" i="27"/>
  <c r="F213" i="27"/>
  <c r="E213" i="27"/>
  <c r="D213" i="27"/>
  <c r="C213" i="27"/>
  <c r="B213" i="27"/>
  <c r="A213" i="27"/>
  <c r="L212" i="27"/>
  <c r="K212" i="27"/>
  <c r="J212" i="27"/>
  <c r="I212" i="27"/>
  <c r="H212" i="27"/>
  <c r="G212" i="27"/>
  <c r="F212" i="27"/>
  <c r="E212" i="27"/>
  <c r="D212" i="27"/>
  <c r="C212" i="27"/>
  <c r="B212" i="27"/>
  <c r="A212" i="27"/>
  <c r="L211" i="27"/>
  <c r="K211" i="27"/>
  <c r="J211" i="27"/>
  <c r="I211" i="27"/>
  <c r="H211" i="27"/>
  <c r="G211" i="27"/>
  <c r="F211" i="27"/>
  <c r="E211" i="27"/>
  <c r="D211" i="27"/>
  <c r="C211" i="27"/>
  <c r="B211" i="27"/>
  <c r="A211" i="27"/>
  <c r="L210" i="27"/>
  <c r="K210" i="27"/>
  <c r="J210" i="27"/>
  <c r="I210" i="27"/>
  <c r="H210" i="27"/>
  <c r="G210" i="27"/>
  <c r="F210" i="27"/>
  <c r="E210" i="27"/>
  <c r="D210" i="27"/>
  <c r="C210" i="27"/>
  <c r="B210" i="27"/>
  <c r="A210" i="27"/>
  <c r="L209" i="27"/>
  <c r="K209" i="27"/>
  <c r="J209" i="27"/>
  <c r="I209" i="27"/>
  <c r="H209" i="27"/>
  <c r="G209" i="27"/>
  <c r="F209" i="27"/>
  <c r="E209" i="27"/>
  <c r="D209" i="27"/>
  <c r="C209" i="27"/>
  <c r="B209" i="27"/>
  <c r="A209" i="27"/>
  <c r="L208" i="27"/>
  <c r="K208" i="27"/>
  <c r="J208" i="27"/>
  <c r="I208" i="27"/>
  <c r="H208" i="27"/>
  <c r="G208" i="27"/>
  <c r="F208" i="27"/>
  <c r="E208" i="27"/>
  <c r="D208" i="27"/>
  <c r="C208" i="27"/>
  <c r="B208" i="27"/>
  <c r="A208" i="27"/>
  <c r="L207" i="27"/>
  <c r="K207" i="27"/>
  <c r="J207" i="27"/>
  <c r="I207" i="27"/>
  <c r="H207" i="27"/>
  <c r="G207" i="27"/>
  <c r="F207" i="27"/>
  <c r="E207" i="27"/>
  <c r="D207" i="27"/>
  <c r="C207" i="27"/>
  <c r="B207" i="27"/>
  <c r="A207" i="27"/>
  <c r="L206" i="27"/>
  <c r="K206" i="27"/>
  <c r="J206" i="27"/>
  <c r="I206" i="27"/>
  <c r="H206" i="27"/>
  <c r="G206" i="27"/>
  <c r="F206" i="27"/>
  <c r="E206" i="27"/>
  <c r="D206" i="27"/>
  <c r="C206" i="27"/>
  <c r="B206" i="27"/>
  <c r="A206" i="27"/>
  <c r="L205" i="27"/>
  <c r="K205" i="27"/>
  <c r="J205" i="27"/>
  <c r="I205" i="27"/>
  <c r="H205" i="27"/>
  <c r="G205" i="27"/>
  <c r="F205" i="27"/>
  <c r="E205" i="27"/>
  <c r="D205" i="27"/>
  <c r="C205" i="27"/>
  <c r="B205" i="27"/>
  <c r="A205" i="27"/>
  <c r="L204" i="27"/>
  <c r="K204" i="27"/>
  <c r="J204" i="27"/>
  <c r="I204" i="27"/>
  <c r="H204" i="27"/>
  <c r="G204" i="27"/>
  <c r="F204" i="27"/>
  <c r="E204" i="27"/>
  <c r="D204" i="27"/>
  <c r="C204" i="27"/>
  <c r="B204" i="27"/>
  <c r="A204" i="27"/>
  <c r="L203" i="27"/>
  <c r="K203" i="27"/>
  <c r="J203" i="27"/>
  <c r="I203" i="27"/>
  <c r="H203" i="27"/>
  <c r="G203" i="27"/>
  <c r="F203" i="27"/>
  <c r="E203" i="27"/>
  <c r="D203" i="27"/>
  <c r="C203" i="27"/>
  <c r="B203" i="27"/>
  <c r="A203" i="27"/>
  <c r="L202" i="27"/>
  <c r="K202" i="27"/>
  <c r="J202" i="27"/>
  <c r="I202" i="27"/>
  <c r="H202" i="27"/>
  <c r="G202" i="27"/>
  <c r="F202" i="27"/>
  <c r="E202" i="27"/>
  <c r="D202" i="27"/>
  <c r="C202" i="27"/>
  <c r="B202" i="27"/>
  <c r="A202" i="27"/>
  <c r="L201" i="27"/>
  <c r="K201" i="27"/>
  <c r="J201" i="27"/>
  <c r="I201" i="27"/>
  <c r="H201" i="27"/>
  <c r="G201" i="27"/>
  <c r="F201" i="27"/>
  <c r="E201" i="27"/>
  <c r="D201" i="27"/>
  <c r="C201" i="27"/>
  <c r="B201" i="27"/>
  <c r="A201" i="27"/>
  <c r="L200" i="27"/>
  <c r="K200" i="27"/>
  <c r="J200" i="27"/>
  <c r="I200" i="27"/>
  <c r="H200" i="27"/>
  <c r="G200" i="27"/>
  <c r="F200" i="27"/>
  <c r="E200" i="27"/>
  <c r="D200" i="27"/>
  <c r="C200" i="27"/>
  <c r="B200" i="27"/>
  <c r="A200" i="27"/>
  <c r="L199" i="27"/>
  <c r="K199" i="27"/>
  <c r="J199" i="27"/>
  <c r="I199" i="27"/>
  <c r="H199" i="27"/>
  <c r="G199" i="27"/>
  <c r="F199" i="27"/>
  <c r="E199" i="27"/>
  <c r="D199" i="27"/>
  <c r="C199" i="27"/>
  <c r="B199" i="27"/>
  <c r="A199" i="27"/>
  <c r="L198" i="27"/>
  <c r="K198" i="27"/>
  <c r="J198" i="27"/>
  <c r="I198" i="27"/>
  <c r="H198" i="27"/>
  <c r="G198" i="27"/>
  <c r="F198" i="27"/>
  <c r="E198" i="27"/>
  <c r="D198" i="27"/>
  <c r="C198" i="27"/>
  <c r="B198" i="27"/>
  <c r="A198" i="27"/>
  <c r="L197" i="27"/>
  <c r="K197" i="27"/>
  <c r="J197" i="27"/>
  <c r="I197" i="27"/>
  <c r="H197" i="27"/>
  <c r="G197" i="27"/>
  <c r="F197" i="27"/>
  <c r="E197" i="27"/>
  <c r="D197" i="27"/>
  <c r="C197" i="27"/>
  <c r="B197" i="27"/>
  <c r="A197" i="27"/>
  <c r="L196" i="27"/>
  <c r="K196" i="27"/>
  <c r="J196" i="27"/>
  <c r="I196" i="27"/>
  <c r="H196" i="27"/>
  <c r="G196" i="27"/>
  <c r="F196" i="27"/>
  <c r="E196" i="27"/>
  <c r="D196" i="27"/>
  <c r="C196" i="27"/>
  <c r="B196" i="27"/>
  <c r="A196" i="27"/>
  <c r="L195" i="27"/>
  <c r="K195" i="27"/>
  <c r="J195" i="27"/>
  <c r="I195" i="27"/>
  <c r="H195" i="27"/>
  <c r="G195" i="27"/>
  <c r="F195" i="27"/>
  <c r="E195" i="27"/>
  <c r="D195" i="27"/>
  <c r="C195" i="27"/>
  <c r="B195" i="27"/>
  <c r="A195" i="27"/>
  <c r="L194" i="27"/>
  <c r="K194" i="27"/>
  <c r="J194" i="27"/>
  <c r="I194" i="27"/>
  <c r="H194" i="27"/>
  <c r="G194" i="27"/>
  <c r="F194" i="27"/>
  <c r="E194" i="27"/>
  <c r="D194" i="27"/>
  <c r="C194" i="27"/>
  <c r="B194" i="27"/>
  <c r="A194" i="27"/>
  <c r="L193" i="27"/>
  <c r="K193" i="27"/>
  <c r="J193" i="27"/>
  <c r="I193" i="27"/>
  <c r="H193" i="27"/>
  <c r="G193" i="27"/>
  <c r="F193" i="27"/>
  <c r="E193" i="27"/>
  <c r="D193" i="27"/>
  <c r="C193" i="27"/>
  <c r="B193" i="27"/>
  <c r="A193" i="27"/>
  <c r="L192" i="27"/>
  <c r="K192" i="27"/>
  <c r="J192" i="27"/>
  <c r="I192" i="27"/>
  <c r="H192" i="27"/>
  <c r="G192" i="27"/>
  <c r="F192" i="27"/>
  <c r="E192" i="27"/>
  <c r="D192" i="27"/>
  <c r="C192" i="27"/>
  <c r="B192" i="27"/>
  <c r="A192" i="27"/>
  <c r="L191" i="27"/>
  <c r="K191" i="27"/>
  <c r="J191" i="27"/>
  <c r="I191" i="27"/>
  <c r="H191" i="27"/>
  <c r="G191" i="27"/>
  <c r="F191" i="27"/>
  <c r="E191" i="27"/>
  <c r="D191" i="27"/>
  <c r="C191" i="27"/>
  <c r="B191" i="27"/>
  <c r="A191" i="27"/>
  <c r="L190" i="27"/>
  <c r="K190" i="27"/>
  <c r="J190" i="27"/>
  <c r="I190" i="27"/>
  <c r="H190" i="27"/>
  <c r="G190" i="27"/>
  <c r="F190" i="27"/>
  <c r="E190" i="27"/>
  <c r="D190" i="27"/>
  <c r="C190" i="27"/>
  <c r="B190" i="27"/>
  <c r="A190" i="27"/>
  <c r="L189" i="27"/>
  <c r="K189" i="27"/>
  <c r="J189" i="27"/>
  <c r="I189" i="27"/>
  <c r="H189" i="27"/>
  <c r="G189" i="27"/>
  <c r="F189" i="27"/>
  <c r="E189" i="27"/>
  <c r="D189" i="27"/>
  <c r="C189" i="27"/>
  <c r="B189" i="27"/>
  <c r="A189" i="27"/>
  <c r="L188" i="27"/>
  <c r="K188" i="27"/>
  <c r="J188" i="27"/>
  <c r="I188" i="27"/>
  <c r="H188" i="27"/>
  <c r="G188" i="27"/>
  <c r="F188" i="27"/>
  <c r="E188" i="27"/>
  <c r="D188" i="27"/>
  <c r="C188" i="27"/>
  <c r="B188" i="27"/>
  <c r="A188" i="27"/>
  <c r="L187" i="27"/>
  <c r="K187" i="27"/>
  <c r="J187" i="27"/>
  <c r="I187" i="27"/>
  <c r="H187" i="27"/>
  <c r="G187" i="27"/>
  <c r="F187" i="27"/>
  <c r="E187" i="27"/>
  <c r="D187" i="27"/>
  <c r="C187" i="27"/>
  <c r="B187" i="27"/>
  <c r="A187" i="27"/>
  <c r="L186" i="27"/>
  <c r="K186" i="27"/>
  <c r="J186" i="27"/>
  <c r="I186" i="27"/>
  <c r="H186" i="27"/>
  <c r="G186" i="27"/>
  <c r="F186" i="27"/>
  <c r="E186" i="27"/>
  <c r="D186" i="27"/>
  <c r="C186" i="27"/>
  <c r="B186" i="27"/>
  <c r="A186" i="27"/>
  <c r="L185" i="27"/>
  <c r="K185" i="27"/>
  <c r="J185" i="27"/>
  <c r="I185" i="27"/>
  <c r="H185" i="27"/>
  <c r="G185" i="27"/>
  <c r="F185" i="27"/>
  <c r="E185" i="27"/>
  <c r="D185" i="27"/>
  <c r="C185" i="27"/>
  <c r="B185" i="27"/>
  <c r="A185" i="27"/>
  <c r="L184" i="27"/>
  <c r="K184" i="27"/>
  <c r="J184" i="27"/>
  <c r="I184" i="27"/>
  <c r="H184" i="27"/>
  <c r="G184" i="27"/>
  <c r="F184" i="27"/>
  <c r="E184" i="27"/>
  <c r="D184" i="27"/>
  <c r="C184" i="27"/>
  <c r="B184" i="27"/>
  <c r="A184" i="27"/>
  <c r="L183" i="27"/>
  <c r="K183" i="27"/>
  <c r="J183" i="27"/>
  <c r="I183" i="27"/>
  <c r="H183" i="27"/>
  <c r="G183" i="27"/>
  <c r="F183" i="27"/>
  <c r="E183" i="27"/>
  <c r="D183" i="27"/>
  <c r="C183" i="27"/>
  <c r="B183" i="27"/>
  <c r="A183" i="27"/>
  <c r="L182" i="27"/>
  <c r="K182" i="27"/>
  <c r="J182" i="27"/>
  <c r="I182" i="27"/>
  <c r="H182" i="27"/>
  <c r="G182" i="27"/>
  <c r="F182" i="27"/>
  <c r="E182" i="27"/>
  <c r="D182" i="27"/>
  <c r="C182" i="27"/>
  <c r="B182" i="27"/>
  <c r="A182" i="27"/>
  <c r="L181" i="27"/>
  <c r="K181" i="27"/>
  <c r="J181" i="27"/>
  <c r="I181" i="27"/>
  <c r="H181" i="27"/>
  <c r="G181" i="27"/>
  <c r="F181" i="27"/>
  <c r="E181" i="27"/>
  <c r="D181" i="27"/>
  <c r="C181" i="27"/>
  <c r="B181" i="27"/>
  <c r="A181" i="27"/>
  <c r="L180" i="27"/>
  <c r="K180" i="27"/>
  <c r="J180" i="27"/>
  <c r="I180" i="27"/>
  <c r="H180" i="27"/>
  <c r="G180" i="27"/>
  <c r="F180" i="27"/>
  <c r="E180" i="27"/>
  <c r="D180" i="27"/>
  <c r="C180" i="27"/>
  <c r="B180" i="27"/>
  <c r="A180" i="27"/>
  <c r="L179" i="27"/>
  <c r="K179" i="27"/>
  <c r="J179" i="27"/>
  <c r="I179" i="27"/>
  <c r="H179" i="27"/>
  <c r="G179" i="27"/>
  <c r="F179" i="27"/>
  <c r="E179" i="27"/>
  <c r="D179" i="27"/>
  <c r="C179" i="27"/>
  <c r="B179" i="27"/>
  <c r="A179" i="27"/>
  <c r="L178" i="27"/>
  <c r="K178" i="27"/>
  <c r="J178" i="27"/>
  <c r="I178" i="27"/>
  <c r="H178" i="27"/>
  <c r="G178" i="27"/>
  <c r="F178" i="27"/>
  <c r="E178" i="27"/>
  <c r="D178" i="27"/>
  <c r="C178" i="27"/>
  <c r="B178" i="27"/>
  <c r="A178" i="27"/>
  <c r="L177" i="27"/>
  <c r="K177" i="27"/>
  <c r="J177" i="27"/>
  <c r="I177" i="27"/>
  <c r="H177" i="27"/>
  <c r="G177" i="27"/>
  <c r="F177" i="27"/>
  <c r="E177" i="27"/>
  <c r="D177" i="27"/>
  <c r="C177" i="27"/>
  <c r="B177" i="27"/>
  <c r="A177" i="27"/>
  <c r="L176" i="27"/>
  <c r="K176" i="27"/>
  <c r="J176" i="27"/>
  <c r="I176" i="27"/>
  <c r="H176" i="27"/>
  <c r="G176" i="27"/>
  <c r="F176" i="27"/>
  <c r="E176" i="27"/>
  <c r="D176" i="27"/>
  <c r="C176" i="27"/>
  <c r="B176" i="27"/>
  <c r="A176" i="27"/>
  <c r="L175" i="27"/>
  <c r="K175" i="27"/>
  <c r="J175" i="27"/>
  <c r="I175" i="27"/>
  <c r="H175" i="27"/>
  <c r="G175" i="27"/>
  <c r="F175" i="27"/>
  <c r="E175" i="27"/>
  <c r="D175" i="27"/>
  <c r="C175" i="27"/>
  <c r="B175" i="27"/>
  <c r="A175" i="27"/>
  <c r="L174" i="27"/>
  <c r="K174" i="27"/>
  <c r="J174" i="27"/>
  <c r="I174" i="27"/>
  <c r="H174" i="27"/>
  <c r="G174" i="27"/>
  <c r="F174" i="27"/>
  <c r="E174" i="27"/>
  <c r="D174" i="27"/>
  <c r="C174" i="27"/>
  <c r="B174" i="27"/>
  <c r="A174" i="27"/>
  <c r="L173" i="27"/>
  <c r="K173" i="27"/>
  <c r="J173" i="27"/>
  <c r="I173" i="27"/>
  <c r="H173" i="27"/>
  <c r="G173" i="27"/>
  <c r="F173" i="27"/>
  <c r="E173" i="27"/>
  <c r="D173" i="27"/>
  <c r="C173" i="27"/>
  <c r="B173" i="27"/>
  <c r="A173" i="27"/>
  <c r="L172" i="27"/>
  <c r="K172" i="27"/>
  <c r="J172" i="27"/>
  <c r="I172" i="27"/>
  <c r="H172" i="27"/>
  <c r="G172" i="27"/>
  <c r="F172" i="27"/>
  <c r="E172" i="27"/>
  <c r="D172" i="27"/>
  <c r="C172" i="27"/>
  <c r="B172" i="27"/>
  <c r="A172" i="27"/>
  <c r="L171" i="27"/>
  <c r="K171" i="27"/>
  <c r="J171" i="27"/>
  <c r="I171" i="27"/>
  <c r="H171" i="27"/>
  <c r="G171" i="27"/>
  <c r="F171" i="27"/>
  <c r="E171" i="27"/>
  <c r="D171" i="27"/>
  <c r="C171" i="27"/>
  <c r="B171" i="27"/>
  <c r="A171" i="27"/>
  <c r="L170" i="27"/>
  <c r="K170" i="27"/>
  <c r="J170" i="27"/>
  <c r="I170" i="27"/>
  <c r="H170" i="27"/>
  <c r="G170" i="27"/>
  <c r="F170" i="27"/>
  <c r="E170" i="27"/>
  <c r="D170" i="27"/>
  <c r="C170" i="27"/>
  <c r="B170" i="27"/>
  <c r="A170" i="27"/>
  <c r="L169" i="27"/>
  <c r="K169" i="27"/>
  <c r="J169" i="27"/>
  <c r="I169" i="27"/>
  <c r="H169" i="27"/>
  <c r="G169" i="27"/>
  <c r="F169" i="27"/>
  <c r="E169" i="27"/>
  <c r="D169" i="27"/>
  <c r="C169" i="27"/>
  <c r="B169" i="27"/>
  <c r="A169" i="27"/>
  <c r="L168" i="27"/>
  <c r="K168" i="27"/>
  <c r="J168" i="27"/>
  <c r="I168" i="27"/>
  <c r="H168" i="27"/>
  <c r="G168" i="27"/>
  <c r="F168" i="27"/>
  <c r="E168" i="27"/>
  <c r="D168" i="27"/>
  <c r="C168" i="27"/>
  <c r="B168" i="27"/>
  <c r="A168" i="27"/>
  <c r="L167" i="27"/>
  <c r="K167" i="27"/>
  <c r="J167" i="27"/>
  <c r="I167" i="27"/>
  <c r="H167" i="27"/>
  <c r="G167" i="27"/>
  <c r="F167" i="27"/>
  <c r="E167" i="27"/>
  <c r="D167" i="27"/>
  <c r="C167" i="27"/>
  <c r="B167" i="27"/>
  <c r="A167" i="27"/>
  <c r="L166" i="27"/>
  <c r="K166" i="27"/>
  <c r="J166" i="27"/>
  <c r="I166" i="27"/>
  <c r="H166" i="27"/>
  <c r="G166" i="27"/>
  <c r="F166" i="27"/>
  <c r="E166" i="27"/>
  <c r="D166" i="27"/>
  <c r="C166" i="27"/>
  <c r="B166" i="27"/>
  <c r="A166" i="27"/>
  <c r="L165" i="27"/>
  <c r="K165" i="27"/>
  <c r="J165" i="27"/>
  <c r="I165" i="27"/>
  <c r="H165" i="27"/>
  <c r="G165" i="27"/>
  <c r="F165" i="27"/>
  <c r="E165" i="27"/>
  <c r="D165" i="27"/>
  <c r="C165" i="27"/>
  <c r="B165" i="27"/>
  <c r="A165" i="27"/>
  <c r="L164" i="27"/>
  <c r="K164" i="27"/>
  <c r="J164" i="27"/>
  <c r="I164" i="27"/>
  <c r="H164" i="27"/>
  <c r="G164" i="27"/>
  <c r="F164" i="27"/>
  <c r="E164" i="27"/>
  <c r="D164" i="27"/>
  <c r="C164" i="27"/>
  <c r="B164" i="27"/>
  <c r="A164" i="27"/>
  <c r="L163" i="27"/>
  <c r="K163" i="27"/>
  <c r="J163" i="27"/>
  <c r="I163" i="27"/>
  <c r="H163" i="27"/>
  <c r="G163" i="27"/>
  <c r="F163" i="27"/>
  <c r="E163" i="27"/>
  <c r="D163" i="27"/>
  <c r="C163" i="27"/>
  <c r="B163" i="27"/>
  <c r="A163" i="27"/>
  <c r="L162" i="27"/>
  <c r="K162" i="27"/>
  <c r="J162" i="27"/>
  <c r="I162" i="27"/>
  <c r="H162" i="27"/>
  <c r="G162" i="27"/>
  <c r="F162" i="27"/>
  <c r="E162" i="27"/>
  <c r="D162" i="27"/>
  <c r="C162" i="27"/>
  <c r="B162" i="27"/>
  <c r="A162" i="27"/>
  <c r="L161" i="27"/>
  <c r="K161" i="27"/>
  <c r="J161" i="27"/>
  <c r="I161" i="27"/>
  <c r="H161" i="27"/>
  <c r="G161" i="27"/>
  <c r="F161" i="27"/>
  <c r="E161" i="27"/>
  <c r="D161" i="27"/>
  <c r="C161" i="27"/>
  <c r="B161" i="27"/>
  <c r="A161" i="27"/>
  <c r="L160" i="27"/>
  <c r="K160" i="27"/>
  <c r="J160" i="27"/>
  <c r="I160" i="27"/>
  <c r="H160" i="27"/>
  <c r="G160" i="27"/>
  <c r="F160" i="27"/>
  <c r="E160" i="27"/>
  <c r="D160" i="27"/>
  <c r="C160" i="27"/>
  <c r="B160" i="27"/>
  <c r="A160" i="27"/>
  <c r="L159" i="27"/>
  <c r="K159" i="27"/>
  <c r="J159" i="27"/>
  <c r="I159" i="27"/>
  <c r="H159" i="27"/>
  <c r="G159" i="27"/>
  <c r="F159" i="27"/>
  <c r="E159" i="27"/>
  <c r="D159" i="27"/>
  <c r="C159" i="27"/>
  <c r="B159" i="27"/>
  <c r="A159" i="27"/>
  <c r="L158" i="27"/>
  <c r="K158" i="27"/>
  <c r="J158" i="27"/>
  <c r="I158" i="27"/>
  <c r="H158" i="27"/>
  <c r="G158" i="27"/>
  <c r="F158" i="27"/>
  <c r="E158" i="27"/>
  <c r="D158" i="27"/>
  <c r="C158" i="27"/>
  <c r="B158" i="27"/>
  <c r="A158" i="27"/>
  <c r="L157" i="27"/>
  <c r="K157" i="27"/>
  <c r="J157" i="27"/>
  <c r="I157" i="27"/>
  <c r="H157" i="27"/>
  <c r="G157" i="27"/>
  <c r="F157" i="27"/>
  <c r="E157" i="27"/>
  <c r="D157" i="27"/>
  <c r="C157" i="27"/>
  <c r="B157" i="27"/>
  <c r="A157" i="27"/>
  <c r="L156" i="27"/>
  <c r="K156" i="27"/>
  <c r="J156" i="27"/>
  <c r="I156" i="27"/>
  <c r="H156" i="27"/>
  <c r="G156" i="27"/>
  <c r="F156" i="27"/>
  <c r="E156" i="27"/>
  <c r="D156" i="27"/>
  <c r="C156" i="27"/>
  <c r="B156" i="27"/>
  <c r="A156" i="27"/>
  <c r="L155" i="27"/>
  <c r="K155" i="27"/>
  <c r="J155" i="27"/>
  <c r="I155" i="27"/>
  <c r="H155" i="27"/>
  <c r="G155" i="27"/>
  <c r="F155" i="27"/>
  <c r="E155" i="27"/>
  <c r="D155" i="27"/>
  <c r="C155" i="27"/>
  <c r="B155" i="27"/>
  <c r="A155" i="27"/>
  <c r="L154" i="27"/>
  <c r="K154" i="27"/>
  <c r="J154" i="27"/>
  <c r="I154" i="27"/>
  <c r="H154" i="27"/>
  <c r="G154" i="27"/>
  <c r="F154" i="27"/>
  <c r="E154" i="27"/>
  <c r="D154" i="27"/>
  <c r="C154" i="27"/>
  <c r="B154" i="27"/>
  <c r="A154" i="27"/>
  <c r="L153" i="27"/>
  <c r="K153" i="27"/>
  <c r="J153" i="27"/>
  <c r="I153" i="27"/>
  <c r="H153" i="27"/>
  <c r="G153" i="27"/>
  <c r="F153" i="27"/>
  <c r="E153" i="27"/>
  <c r="D153" i="27"/>
  <c r="C153" i="27"/>
  <c r="B153" i="27"/>
  <c r="A153" i="27"/>
  <c r="L152" i="27"/>
  <c r="K152" i="27"/>
  <c r="J152" i="27"/>
  <c r="I152" i="27"/>
  <c r="H152" i="27"/>
  <c r="G152" i="27"/>
  <c r="F152" i="27"/>
  <c r="E152" i="27"/>
  <c r="D152" i="27"/>
  <c r="C152" i="27"/>
  <c r="B152" i="27"/>
  <c r="A152" i="27"/>
  <c r="L151" i="27"/>
  <c r="K151" i="27"/>
  <c r="J151" i="27"/>
  <c r="I151" i="27"/>
  <c r="H151" i="27"/>
  <c r="G151" i="27"/>
  <c r="F151" i="27"/>
  <c r="E151" i="27"/>
  <c r="D151" i="27"/>
  <c r="C151" i="27"/>
  <c r="B151" i="27"/>
  <c r="A151" i="27"/>
  <c r="L150" i="27"/>
  <c r="K150" i="27"/>
  <c r="J150" i="27"/>
  <c r="I150" i="27"/>
  <c r="H150" i="27"/>
  <c r="G150" i="27"/>
  <c r="F150" i="27"/>
  <c r="E150" i="27"/>
  <c r="D150" i="27"/>
  <c r="C150" i="27"/>
  <c r="B150" i="27"/>
  <c r="A150" i="27"/>
  <c r="L149" i="27"/>
  <c r="K149" i="27"/>
  <c r="J149" i="27"/>
  <c r="I149" i="27"/>
  <c r="H149" i="27"/>
  <c r="G149" i="27"/>
  <c r="F149" i="27"/>
  <c r="E149" i="27"/>
  <c r="D149" i="27"/>
  <c r="C149" i="27"/>
  <c r="B149" i="27"/>
  <c r="A149" i="27"/>
  <c r="L148" i="27"/>
  <c r="K148" i="27"/>
  <c r="J148" i="27"/>
  <c r="I148" i="27"/>
  <c r="H148" i="27"/>
  <c r="G148" i="27"/>
  <c r="F148" i="27"/>
  <c r="E148" i="27"/>
  <c r="D148" i="27"/>
  <c r="C148" i="27"/>
  <c r="B148" i="27"/>
  <c r="A148" i="27"/>
  <c r="L147" i="27"/>
  <c r="K147" i="27"/>
  <c r="J147" i="27"/>
  <c r="I147" i="27"/>
  <c r="H147" i="27"/>
  <c r="G147" i="27"/>
  <c r="F147" i="27"/>
  <c r="E147" i="27"/>
  <c r="D147" i="27"/>
  <c r="C147" i="27"/>
  <c r="B147" i="27"/>
  <c r="A147" i="27"/>
  <c r="L146" i="27"/>
  <c r="K146" i="27"/>
  <c r="J146" i="27"/>
  <c r="I146" i="27"/>
  <c r="H146" i="27"/>
  <c r="G146" i="27"/>
  <c r="F146" i="27"/>
  <c r="E146" i="27"/>
  <c r="D146" i="27"/>
  <c r="C146" i="27"/>
  <c r="B146" i="27"/>
  <c r="A146" i="27"/>
  <c r="L145" i="27"/>
  <c r="K145" i="27"/>
  <c r="J145" i="27"/>
  <c r="I145" i="27"/>
  <c r="H145" i="27"/>
  <c r="G145" i="27"/>
  <c r="F145" i="27"/>
  <c r="E145" i="27"/>
  <c r="D145" i="27"/>
  <c r="C145" i="27"/>
  <c r="B145" i="27"/>
  <c r="A145" i="27"/>
  <c r="L144" i="27"/>
  <c r="K144" i="27"/>
  <c r="J144" i="27"/>
  <c r="I144" i="27"/>
  <c r="H144" i="27"/>
  <c r="G144" i="27"/>
  <c r="F144" i="27"/>
  <c r="E144" i="27"/>
  <c r="D144" i="27"/>
  <c r="C144" i="27"/>
  <c r="B144" i="27"/>
  <c r="A144" i="27"/>
  <c r="L143" i="27"/>
  <c r="K143" i="27"/>
  <c r="J143" i="27"/>
  <c r="I143" i="27"/>
  <c r="H143" i="27"/>
  <c r="G143" i="27"/>
  <c r="F143" i="27"/>
  <c r="E143" i="27"/>
  <c r="D143" i="27"/>
  <c r="C143" i="27"/>
  <c r="B143" i="27"/>
  <c r="A143" i="27"/>
  <c r="L142" i="27"/>
  <c r="K142" i="27"/>
  <c r="J142" i="27"/>
  <c r="I142" i="27"/>
  <c r="H142" i="27"/>
  <c r="G142" i="27"/>
  <c r="F142" i="27"/>
  <c r="E142" i="27"/>
  <c r="D142" i="27"/>
  <c r="C142" i="27"/>
  <c r="B142" i="27"/>
  <c r="A142" i="27"/>
  <c r="L141" i="27"/>
  <c r="K141" i="27"/>
  <c r="J141" i="27"/>
  <c r="I141" i="27"/>
  <c r="H141" i="27"/>
  <c r="G141" i="27"/>
  <c r="F141" i="27"/>
  <c r="E141" i="27"/>
  <c r="D141" i="27"/>
  <c r="C141" i="27"/>
  <c r="B141" i="27"/>
  <c r="A141" i="27"/>
  <c r="L140" i="27"/>
  <c r="K140" i="27"/>
  <c r="J140" i="27"/>
  <c r="I140" i="27"/>
  <c r="H140" i="27"/>
  <c r="G140" i="27"/>
  <c r="F140" i="27"/>
  <c r="E140" i="27"/>
  <c r="D140" i="27"/>
  <c r="C140" i="27"/>
  <c r="B140" i="27"/>
  <c r="A140" i="27"/>
  <c r="L139" i="27"/>
  <c r="K139" i="27"/>
  <c r="J139" i="27"/>
  <c r="I139" i="27"/>
  <c r="H139" i="27"/>
  <c r="G139" i="27"/>
  <c r="F139" i="27"/>
  <c r="E139" i="27"/>
  <c r="D139" i="27"/>
  <c r="C139" i="27"/>
  <c r="B139" i="27"/>
  <c r="A139" i="27"/>
  <c r="L138" i="27"/>
  <c r="K138" i="27"/>
  <c r="J138" i="27"/>
  <c r="I138" i="27"/>
  <c r="H138" i="27"/>
  <c r="G138" i="27"/>
  <c r="F138" i="27"/>
  <c r="E138" i="27"/>
  <c r="D138" i="27"/>
  <c r="C138" i="27"/>
  <c r="B138" i="27"/>
  <c r="A138" i="27"/>
  <c r="L137" i="27"/>
  <c r="K137" i="27"/>
  <c r="J137" i="27"/>
  <c r="I137" i="27"/>
  <c r="H137" i="27"/>
  <c r="G137" i="27"/>
  <c r="F137" i="27"/>
  <c r="E137" i="27"/>
  <c r="D137" i="27"/>
  <c r="C137" i="27"/>
  <c r="B137" i="27"/>
  <c r="A137" i="27"/>
  <c r="L136" i="27"/>
  <c r="K136" i="27"/>
  <c r="J136" i="27"/>
  <c r="I136" i="27"/>
  <c r="H136" i="27"/>
  <c r="G136" i="27"/>
  <c r="F136" i="27"/>
  <c r="E136" i="27"/>
  <c r="D136" i="27"/>
  <c r="C136" i="27"/>
  <c r="B136" i="27"/>
  <c r="A136" i="27"/>
  <c r="L135" i="27"/>
  <c r="K135" i="27"/>
  <c r="J135" i="27"/>
  <c r="I135" i="27"/>
  <c r="H135" i="27"/>
  <c r="G135" i="27"/>
  <c r="F135" i="27"/>
  <c r="E135" i="27"/>
  <c r="D135" i="27"/>
  <c r="C135" i="27"/>
  <c r="B135" i="27"/>
  <c r="A135" i="27"/>
  <c r="L134" i="27"/>
  <c r="K134" i="27"/>
  <c r="J134" i="27"/>
  <c r="I134" i="27"/>
  <c r="H134" i="27"/>
  <c r="G134" i="27"/>
  <c r="F134" i="27"/>
  <c r="E134" i="27"/>
  <c r="D134" i="27"/>
  <c r="C134" i="27"/>
  <c r="B134" i="27"/>
  <c r="A134" i="27"/>
  <c r="L133" i="27"/>
  <c r="K133" i="27"/>
  <c r="J133" i="27"/>
  <c r="I133" i="27"/>
  <c r="H133" i="27"/>
  <c r="G133" i="27"/>
  <c r="F133" i="27"/>
  <c r="E133" i="27"/>
  <c r="D133" i="27"/>
  <c r="C133" i="27"/>
  <c r="B133" i="27"/>
  <c r="A133" i="27"/>
  <c r="L132" i="27"/>
  <c r="K132" i="27"/>
  <c r="J132" i="27"/>
  <c r="I132" i="27"/>
  <c r="H132" i="27"/>
  <c r="G132" i="27"/>
  <c r="F132" i="27"/>
  <c r="E132" i="27"/>
  <c r="D132" i="27"/>
  <c r="C132" i="27"/>
  <c r="B132" i="27"/>
  <c r="A132" i="27"/>
  <c r="L131" i="27"/>
  <c r="K131" i="27"/>
  <c r="J131" i="27"/>
  <c r="I131" i="27"/>
  <c r="H131" i="27"/>
  <c r="G131" i="27"/>
  <c r="F131" i="27"/>
  <c r="E131" i="27"/>
  <c r="D131" i="27"/>
  <c r="C131" i="27"/>
  <c r="B131" i="27"/>
  <c r="A131" i="27"/>
  <c r="L130" i="27"/>
  <c r="K130" i="27"/>
  <c r="J130" i="27"/>
  <c r="I130" i="27"/>
  <c r="H130" i="27"/>
  <c r="G130" i="27"/>
  <c r="F130" i="27"/>
  <c r="E130" i="27"/>
  <c r="D130" i="27"/>
  <c r="C130" i="27"/>
  <c r="B130" i="27"/>
  <c r="A130" i="27"/>
  <c r="L129" i="27"/>
  <c r="K129" i="27"/>
  <c r="J129" i="27"/>
  <c r="I129" i="27"/>
  <c r="H129" i="27"/>
  <c r="G129" i="27"/>
  <c r="F129" i="27"/>
  <c r="E129" i="27"/>
  <c r="D129" i="27"/>
  <c r="C129" i="27"/>
  <c r="B129" i="27"/>
  <c r="A129" i="27"/>
  <c r="L128" i="27"/>
  <c r="K128" i="27"/>
  <c r="J128" i="27"/>
  <c r="I128" i="27"/>
  <c r="H128" i="27"/>
  <c r="G128" i="27"/>
  <c r="F128" i="27"/>
  <c r="E128" i="27"/>
  <c r="D128" i="27"/>
  <c r="C128" i="27"/>
  <c r="B128" i="27"/>
  <c r="A128" i="27"/>
  <c r="L127" i="27"/>
  <c r="K127" i="27"/>
  <c r="J127" i="27"/>
  <c r="I127" i="27"/>
  <c r="H127" i="27"/>
  <c r="G127" i="27"/>
  <c r="F127" i="27"/>
  <c r="E127" i="27"/>
  <c r="D127" i="27"/>
  <c r="C127" i="27"/>
  <c r="B127" i="27"/>
  <c r="A127" i="27"/>
  <c r="L126" i="27"/>
  <c r="K126" i="27"/>
  <c r="J126" i="27"/>
  <c r="I126" i="27"/>
  <c r="H126" i="27"/>
  <c r="G126" i="27"/>
  <c r="F126" i="27"/>
  <c r="E126" i="27"/>
  <c r="D126" i="27"/>
  <c r="C126" i="27"/>
  <c r="B126" i="27"/>
  <c r="A126" i="27"/>
  <c r="L125" i="27"/>
  <c r="K125" i="27"/>
  <c r="J125" i="27"/>
  <c r="I125" i="27"/>
  <c r="H125" i="27"/>
  <c r="G125" i="27"/>
  <c r="F125" i="27"/>
  <c r="E125" i="27"/>
  <c r="D125" i="27"/>
  <c r="C125" i="27"/>
  <c r="B125" i="27"/>
  <c r="A125" i="27"/>
  <c r="L124" i="27"/>
  <c r="K124" i="27"/>
  <c r="J124" i="27"/>
  <c r="I124" i="27"/>
  <c r="H124" i="27"/>
  <c r="G124" i="27"/>
  <c r="F124" i="27"/>
  <c r="E124" i="27"/>
  <c r="D124" i="27"/>
  <c r="C124" i="27"/>
  <c r="B124" i="27"/>
  <c r="A124" i="27"/>
  <c r="L123" i="27"/>
  <c r="K123" i="27"/>
  <c r="J123" i="27"/>
  <c r="I123" i="27"/>
  <c r="H123" i="27"/>
  <c r="G123" i="27"/>
  <c r="F123" i="27"/>
  <c r="E123" i="27"/>
  <c r="D123" i="27"/>
  <c r="C123" i="27"/>
  <c r="B123" i="27"/>
  <c r="A123" i="27"/>
  <c r="L122" i="27"/>
  <c r="K122" i="27"/>
  <c r="J122" i="27"/>
  <c r="I122" i="27"/>
  <c r="H122" i="27"/>
  <c r="G122" i="27"/>
  <c r="F122" i="27"/>
  <c r="E122" i="27"/>
  <c r="D122" i="27"/>
  <c r="C122" i="27"/>
  <c r="B122" i="27"/>
  <c r="A122" i="27"/>
  <c r="L121" i="27"/>
  <c r="K121" i="27"/>
  <c r="J121" i="27"/>
  <c r="I121" i="27"/>
  <c r="H121" i="27"/>
  <c r="G121" i="27"/>
  <c r="F121" i="27"/>
  <c r="E121" i="27"/>
  <c r="D121" i="27"/>
  <c r="C121" i="27"/>
  <c r="B121" i="27"/>
  <c r="A121" i="27"/>
  <c r="L120" i="27"/>
  <c r="K120" i="27"/>
  <c r="J120" i="27"/>
  <c r="I120" i="27"/>
  <c r="H120" i="27"/>
  <c r="G120" i="27"/>
  <c r="F120" i="27"/>
  <c r="E120" i="27"/>
  <c r="D120" i="27"/>
  <c r="C120" i="27"/>
  <c r="B120" i="27"/>
  <c r="A120" i="27"/>
  <c r="L119" i="27"/>
  <c r="K119" i="27"/>
  <c r="J119" i="27"/>
  <c r="I119" i="27"/>
  <c r="H119" i="27"/>
  <c r="G119" i="27"/>
  <c r="F119" i="27"/>
  <c r="E119" i="27"/>
  <c r="D119" i="27"/>
  <c r="C119" i="27"/>
  <c r="B119" i="27"/>
  <c r="A119" i="27"/>
  <c r="L118" i="27"/>
  <c r="K118" i="27"/>
  <c r="J118" i="27"/>
  <c r="I118" i="27"/>
  <c r="H118" i="27"/>
  <c r="G118" i="27"/>
  <c r="F118" i="27"/>
  <c r="E118" i="27"/>
  <c r="D118" i="27"/>
  <c r="C118" i="27"/>
  <c r="B118" i="27"/>
  <c r="A118" i="27"/>
  <c r="L117" i="27"/>
  <c r="K117" i="27"/>
  <c r="J117" i="27"/>
  <c r="I117" i="27"/>
  <c r="H117" i="27"/>
  <c r="G117" i="27"/>
  <c r="F117" i="27"/>
  <c r="E117" i="27"/>
  <c r="D117" i="27"/>
  <c r="C117" i="27"/>
  <c r="B117" i="27"/>
  <c r="A117" i="27"/>
  <c r="L116" i="27"/>
  <c r="K116" i="27"/>
  <c r="J116" i="27"/>
  <c r="I116" i="27"/>
  <c r="H116" i="27"/>
  <c r="G116" i="27"/>
  <c r="F116" i="27"/>
  <c r="E116" i="27"/>
  <c r="D116" i="27"/>
  <c r="C116" i="27"/>
  <c r="B116" i="27"/>
  <c r="A116" i="27"/>
  <c r="L115" i="27"/>
  <c r="K115" i="27"/>
  <c r="J115" i="27"/>
  <c r="I115" i="27"/>
  <c r="H115" i="27"/>
  <c r="G115" i="27"/>
  <c r="F115" i="27"/>
  <c r="E115" i="27"/>
  <c r="D115" i="27"/>
  <c r="C115" i="27"/>
  <c r="B115" i="27"/>
  <c r="A115" i="27"/>
  <c r="L114" i="27"/>
  <c r="K114" i="27"/>
  <c r="J114" i="27"/>
  <c r="I114" i="27"/>
  <c r="H114" i="27"/>
  <c r="G114" i="27"/>
  <c r="F114" i="27"/>
  <c r="E114" i="27"/>
  <c r="D114" i="27"/>
  <c r="C114" i="27"/>
  <c r="B114" i="27"/>
  <c r="A114" i="27"/>
  <c r="L113" i="27"/>
  <c r="K113" i="27"/>
  <c r="J113" i="27"/>
  <c r="I113" i="27"/>
  <c r="H113" i="27"/>
  <c r="G113" i="27"/>
  <c r="F113" i="27"/>
  <c r="E113" i="27"/>
  <c r="D113" i="27"/>
  <c r="C113" i="27"/>
  <c r="B113" i="27"/>
  <c r="A113" i="27"/>
  <c r="L112" i="27"/>
  <c r="K112" i="27"/>
  <c r="J112" i="27"/>
  <c r="I112" i="27"/>
  <c r="H112" i="27"/>
  <c r="G112" i="27"/>
  <c r="F112" i="27"/>
  <c r="E112" i="27"/>
  <c r="D112" i="27"/>
  <c r="C112" i="27"/>
  <c r="B112" i="27"/>
  <c r="A112" i="27"/>
  <c r="L111" i="27"/>
  <c r="K111" i="27"/>
  <c r="J111" i="27"/>
  <c r="I111" i="27"/>
  <c r="H111" i="27"/>
  <c r="G111" i="27"/>
  <c r="F111" i="27"/>
  <c r="E111" i="27"/>
  <c r="D111" i="27"/>
  <c r="C111" i="27"/>
  <c r="B111" i="27"/>
  <c r="A111" i="27"/>
  <c r="L110" i="27"/>
  <c r="K110" i="27"/>
  <c r="J110" i="27"/>
  <c r="I110" i="27"/>
  <c r="H110" i="27"/>
  <c r="G110" i="27"/>
  <c r="F110" i="27"/>
  <c r="E110" i="27"/>
  <c r="D110" i="27"/>
  <c r="C110" i="27"/>
  <c r="B110" i="27"/>
  <c r="A110" i="27"/>
  <c r="L109" i="27"/>
  <c r="K109" i="27"/>
  <c r="J109" i="27"/>
  <c r="I109" i="27"/>
  <c r="H109" i="27"/>
  <c r="G109" i="27"/>
  <c r="F109" i="27"/>
  <c r="E109" i="27"/>
  <c r="D109" i="27"/>
  <c r="C109" i="27"/>
  <c r="B109" i="27"/>
  <c r="A109" i="27"/>
  <c r="L108" i="27"/>
  <c r="K108" i="27"/>
  <c r="J108" i="27"/>
  <c r="I108" i="27"/>
  <c r="H108" i="27"/>
  <c r="G108" i="27"/>
  <c r="F108" i="27"/>
  <c r="E108" i="27"/>
  <c r="D108" i="27"/>
  <c r="C108" i="27"/>
  <c r="B108" i="27"/>
  <c r="A108" i="27"/>
  <c r="L107" i="27"/>
  <c r="K107" i="27"/>
  <c r="J107" i="27"/>
  <c r="I107" i="27"/>
  <c r="H107" i="27"/>
  <c r="G107" i="27"/>
  <c r="F107" i="27"/>
  <c r="E107" i="27"/>
  <c r="D107" i="27"/>
  <c r="C107" i="27"/>
  <c r="B107" i="27"/>
  <c r="A107" i="27"/>
  <c r="L106" i="27"/>
  <c r="K106" i="27"/>
  <c r="J106" i="27"/>
  <c r="I106" i="27"/>
  <c r="H106" i="27"/>
  <c r="G106" i="27"/>
  <c r="F106" i="27"/>
  <c r="E106" i="27"/>
  <c r="D106" i="27"/>
  <c r="C106" i="27"/>
  <c r="B106" i="27"/>
  <c r="A106" i="27"/>
  <c r="L105" i="27"/>
  <c r="K105" i="27"/>
  <c r="J105" i="27"/>
  <c r="I105" i="27"/>
  <c r="H105" i="27"/>
  <c r="G105" i="27"/>
  <c r="F105" i="27"/>
  <c r="E105" i="27"/>
  <c r="D105" i="27"/>
  <c r="C105" i="27"/>
  <c r="B105" i="27"/>
  <c r="A105" i="27"/>
  <c r="L104" i="27"/>
  <c r="K104" i="27"/>
  <c r="J104" i="27"/>
  <c r="I104" i="27"/>
  <c r="H104" i="27"/>
  <c r="G104" i="27"/>
  <c r="F104" i="27"/>
  <c r="E104" i="27"/>
  <c r="D104" i="27"/>
  <c r="C104" i="27"/>
  <c r="B104" i="27"/>
  <c r="A104" i="27"/>
  <c r="L103" i="27"/>
  <c r="K103" i="27"/>
  <c r="J103" i="27"/>
  <c r="I103" i="27"/>
  <c r="H103" i="27"/>
  <c r="G103" i="27"/>
  <c r="F103" i="27"/>
  <c r="E103" i="27"/>
  <c r="D103" i="27"/>
  <c r="C103" i="27"/>
  <c r="B103" i="27"/>
  <c r="A103" i="27"/>
  <c r="L102" i="27"/>
  <c r="K102" i="27"/>
  <c r="J102" i="27"/>
  <c r="I102" i="27"/>
  <c r="H102" i="27"/>
  <c r="G102" i="27"/>
  <c r="F102" i="27"/>
  <c r="E102" i="27"/>
  <c r="D102" i="27"/>
  <c r="C102" i="27"/>
  <c r="B102" i="27"/>
  <c r="A102" i="27"/>
  <c r="L101" i="27"/>
  <c r="K101" i="27"/>
  <c r="J101" i="27"/>
  <c r="I101" i="27"/>
  <c r="H101" i="27"/>
  <c r="G101" i="27"/>
  <c r="F101" i="27"/>
  <c r="E101" i="27"/>
  <c r="D101" i="27"/>
  <c r="C101" i="27"/>
  <c r="B101" i="27"/>
  <c r="A101" i="27"/>
  <c r="L100" i="27"/>
  <c r="K100" i="27"/>
  <c r="J100" i="27"/>
  <c r="I100" i="27"/>
  <c r="H100" i="27"/>
  <c r="G100" i="27"/>
  <c r="F100" i="27"/>
  <c r="E100" i="27"/>
  <c r="D100" i="27"/>
  <c r="C100" i="27"/>
  <c r="B100" i="27"/>
  <c r="A100" i="27"/>
  <c r="L99" i="27"/>
  <c r="K99" i="27"/>
  <c r="J99" i="27"/>
  <c r="I99" i="27"/>
  <c r="H99" i="27"/>
  <c r="G99" i="27"/>
  <c r="F99" i="27"/>
  <c r="E99" i="27"/>
  <c r="D99" i="27"/>
  <c r="C99" i="27"/>
  <c r="B99" i="27"/>
  <c r="A99" i="27"/>
  <c r="L98" i="27"/>
  <c r="K98" i="27"/>
  <c r="J98" i="27"/>
  <c r="I98" i="27"/>
  <c r="H98" i="27"/>
  <c r="G98" i="27"/>
  <c r="F98" i="27"/>
  <c r="E98" i="27"/>
  <c r="D98" i="27"/>
  <c r="C98" i="27"/>
  <c r="B98" i="27"/>
  <c r="A98" i="27"/>
  <c r="L97" i="27"/>
  <c r="K97" i="27"/>
  <c r="J97" i="27"/>
  <c r="I97" i="27"/>
  <c r="H97" i="27"/>
  <c r="G97" i="27"/>
  <c r="F97" i="27"/>
  <c r="E97" i="27"/>
  <c r="D97" i="27"/>
  <c r="C97" i="27"/>
  <c r="B97" i="27"/>
  <c r="A97" i="27"/>
  <c r="L96" i="27"/>
  <c r="K96" i="27"/>
  <c r="J96" i="27"/>
  <c r="I96" i="27"/>
  <c r="H96" i="27"/>
  <c r="G96" i="27"/>
  <c r="F96" i="27"/>
  <c r="E96" i="27"/>
  <c r="D96" i="27"/>
  <c r="C96" i="27"/>
  <c r="B96" i="27"/>
  <c r="A96" i="27"/>
  <c r="L95" i="27"/>
  <c r="K95" i="27"/>
  <c r="J95" i="27"/>
  <c r="I95" i="27"/>
  <c r="H95" i="27"/>
  <c r="G95" i="27"/>
  <c r="F95" i="27"/>
  <c r="E95" i="27"/>
  <c r="D95" i="27"/>
  <c r="C95" i="27"/>
  <c r="B95" i="27"/>
  <c r="A95" i="27"/>
  <c r="L94" i="27"/>
  <c r="K94" i="27"/>
  <c r="J94" i="27"/>
  <c r="I94" i="27"/>
  <c r="H94" i="27"/>
  <c r="G94" i="27"/>
  <c r="F94" i="27"/>
  <c r="E94" i="27"/>
  <c r="D94" i="27"/>
  <c r="C94" i="27"/>
  <c r="B94" i="27"/>
  <c r="A94" i="27"/>
  <c r="L93" i="27"/>
  <c r="K93" i="27"/>
  <c r="J93" i="27"/>
  <c r="I93" i="27"/>
  <c r="H93" i="27"/>
  <c r="G93" i="27"/>
  <c r="F93" i="27"/>
  <c r="E93" i="27"/>
  <c r="D93" i="27"/>
  <c r="C93" i="27"/>
  <c r="B93" i="27"/>
  <c r="A93" i="27"/>
  <c r="L92" i="27"/>
  <c r="K92" i="27"/>
  <c r="J92" i="27"/>
  <c r="I92" i="27"/>
  <c r="H92" i="27"/>
  <c r="G92" i="27"/>
  <c r="F92" i="27"/>
  <c r="E92" i="27"/>
  <c r="D92" i="27"/>
  <c r="C92" i="27"/>
  <c r="B92" i="27"/>
  <c r="A92" i="27"/>
  <c r="L91" i="27"/>
  <c r="K91" i="27"/>
  <c r="J91" i="27"/>
  <c r="I91" i="27"/>
  <c r="H91" i="27"/>
  <c r="G91" i="27"/>
  <c r="F91" i="27"/>
  <c r="E91" i="27"/>
  <c r="D91" i="27"/>
  <c r="C91" i="27"/>
  <c r="B91" i="27"/>
  <c r="A91" i="27"/>
  <c r="L90" i="27"/>
  <c r="K90" i="27"/>
  <c r="J90" i="27"/>
  <c r="I90" i="27"/>
  <c r="H90" i="27"/>
  <c r="G90" i="27"/>
  <c r="F90" i="27"/>
  <c r="E90" i="27"/>
  <c r="D90" i="27"/>
  <c r="C90" i="27"/>
  <c r="B90" i="27"/>
  <c r="A90" i="27"/>
  <c r="L89" i="27"/>
  <c r="K89" i="27"/>
  <c r="J89" i="27"/>
  <c r="I89" i="27"/>
  <c r="H89" i="27"/>
  <c r="G89" i="27"/>
  <c r="F89" i="27"/>
  <c r="E89" i="27"/>
  <c r="D89" i="27"/>
  <c r="C89" i="27"/>
  <c r="B89" i="27"/>
  <c r="A89" i="27"/>
  <c r="L88" i="27"/>
  <c r="K88" i="27"/>
  <c r="J88" i="27"/>
  <c r="I88" i="27"/>
  <c r="H88" i="27"/>
  <c r="G88" i="27"/>
  <c r="F88" i="27"/>
  <c r="E88" i="27"/>
  <c r="D88" i="27"/>
  <c r="C88" i="27"/>
  <c r="B88" i="27"/>
  <c r="A88" i="27"/>
  <c r="L87" i="27"/>
  <c r="K87" i="27"/>
  <c r="J87" i="27"/>
  <c r="I87" i="27"/>
  <c r="H87" i="27"/>
  <c r="G87" i="27"/>
  <c r="F87" i="27"/>
  <c r="E87" i="27"/>
  <c r="D87" i="27"/>
  <c r="C87" i="27"/>
  <c r="B87" i="27"/>
  <c r="A87" i="27"/>
  <c r="L86" i="27"/>
  <c r="K86" i="27"/>
  <c r="J86" i="27"/>
  <c r="I86" i="27"/>
  <c r="H86" i="27"/>
  <c r="G86" i="27"/>
  <c r="F86" i="27"/>
  <c r="E86" i="27"/>
  <c r="D86" i="27"/>
  <c r="C86" i="27"/>
  <c r="B86" i="27"/>
  <c r="A86" i="27"/>
  <c r="L85" i="27"/>
  <c r="K85" i="27"/>
  <c r="J85" i="27"/>
  <c r="I85" i="27"/>
  <c r="H85" i="27"/>
  <c r="G85" i="27"/>
  <c r="F85" i="27"/>
  <c r="E85" i="27"/>
  <c r="D85" i="27"/>
  <c r="C85" i="27"/>
  <c r="B85" i="27"/>
  <c r="A85" i="27"/>
  <c r="L84" i="27"/>
  <c r="K84" i="27"/>
  <c r="J84" i="27"/>
  <c r="I84" i="27"/>
  <c r="H84" i="27"/>
  <c r="G84" i="27"/>
  <c r="F84" i="27"/>
  <c r="E84" i="27"/>
  <c r="D84" i="27"/>
  <c r="C84" i="27"/>
  <c r="B84" i="27"/>
  <c r="A84" i="27"/>
  <c r="L83" i="27"/>
  <c r="K83" i="27"/>
  <c r="J83" i="27"/>
  <c r="I83" i="27"/>
  <c r="H83" i="27"/>
  <c r="G83" i="27"/>
  <c r="F83" i="27"/>
  <c r="E83" i="27"/>
  <c r="D83" i="27"/>
  <c r="C83" i="27"/>
  <c r="B83" i="27"/>
  <c r="A83" i="27"/>
  <c r="L82" i="27"/>
  <c r="K82" i="27"/>
  <c r="J82" i="27"/>
  <c r="I82" i="27"/>
  <c r="H82" i="27"/>
  <c r="G82" i="27"/>
  <c r="F82" i="27"/>
  <c r="E82" i="27"/>
  <c r="D82" i="27"/>
  <c r="C82" i="27"/>
  <c r="B82" i="27"/>
  <c r="A82" i="27"/>
  <c r="L81" i="27"/>
  <c r="K81" i="27"/>
  <c r="J81" i="27"/>
  <c r="I81" i="27"/>
  <c r="H81" i="27"/>
  <c r="G81" i="27"/>
  <c r="F81" i="27"/>
  <c r="E81" i="27"/>
  <c r="D81" i="27"/>
  <c r="C81" i="27"/>
  <c r="B81" i="27"/>
  <c r="A81" i="27"/>
  <c r="L80" i="27"/>
  <c r="K80" i="27"/>
  <c r="J80" i="27"/>
  <c r="I80" i="27"/>
  <c r="H80" i="27"/>
  <c r="G80" i="27"/>
  <c r="F80" i="27"/>
  <c r="E80" i="27"/>
  <c r="D80" i="27"/>
  <c r="C80" i="27"/>
  <c r="B80" i="27"/>
  <c r="A80" i="27"/>
  <c r="L79" i="27"/>
  <c r="K79" i="27"/>
  <c r="J79" i="27"/>
  <c r="I79" i="27"/>
  <c r="H79" i="27"/>
  <c r="G79" i="27"/>
  <c r="F79" i="27"/>
  <c r="E79" i="27"/>
  <c r="D79" i="27"/>
  <c r="C79" i="27"/>
  <c r="B79" i="27"/>
  <c r="A79" i="27"/>
  <c r="L78" i="27"/>
  <c r="K78" i="27"/>
  <c r="J78" i="27"/>
  <c r="I78" i="27"/>
  <c r="H78" i="27"/>
  <c r="G78" i="27"/>
  <c r="F78" i="27"/>
  <c r="E78" i="27"/>
  <c r="D78" i="27"/>
  <c r="C78" i="27"/>
  <c r="B78" i="27"/>
  <c r="A78" i="27"/>
  <c r="L77" i="27"/>
  <c r="K77" i="27"/>
  <c r="J77" i="27"/>
  <c r="I77" i="27"/>
  <c r="H77" i="27"/>
  <c r="G77" i="27"/>
  <c r="F77" i="27"/>
  <c r="E77" i="27"/>
  <c r="D77" i="27"/>
  <c r="C77" i="27"/>
  <c r="B77" i="27"/>
  <c r="A77" i="27"/>
  <c r="L76" i="27"/>
  <c r="K76" i="27"/>
  <c r="J76" i="27"/>
  <c r="I76" i="27"/>
  <c r="H76" i="27"/>
  <c r="G76" i="27"/>
  <c r="F76" i="27"/>
  <c r="E76" i="27"/>
  <c r="D76" i="27"/>
  <c r="C76" i="27"/>
  <c r="B76" i="27"/>
  <c r="A76" i="27"/>
  <c r="L75" i="27"/>
  <c r="K75" i="27"/>
  <c r="J75" i="27"/>
  <c r="I75" i="27"/>
  <c r="H75" i="27"/>
  <c r="G75" i="27"/>
  <c r="F75" i="27"/>
  <c r="E75" i="27"/>
  <c r="D75" i="27"/>
  <c r="C75" i="27"/>
  <c r="B75" i="27"/>
  <c r="A75" i="27"/>
  <c r="L74" i="27"/>
  <c r="K74" i="27"/>
  <c r="J74" i="27"/>
  <c r="I74" i="27"/>
  <c r="H74" i="27"/>
  <c r="G74" i="27"/>
  <c r="F74" i="27"/>
  <c r="E74" i="27"/>
  <c r="D74" i="27"/>
  <c r="C74" i="27"/>
  <c r="B74" i="27"/>
  <c r="A74" i="27"/>
  <c r="L73" i="27"/>
  <c r="K73" i="27"/>
  <c r="J73" i="27"/>
  <c r="I73" i="27"/>
  <c r="H73" i="27"/>
  <c r="G73" i="27"/>
  <c r="F73" i="27"/>
  <c r="E73" i="27"/>
  <c r="D73" i="27"/>
  <c r="C73" i="27"/>
  <c r="B73" i="27"/>
  <c r="A73" i="27"/>
  <c r="L72" i="27"/>
  <c r="K72" i="27"/>
  <c r="J72" i="27"/>
  <c r="I72" i="27"/>
  <c r="H72" i="27"/>
  <c r="G72" i="27"/>
  <c r="F72" i="27"/>
  <c r="E72" i="27"/>
  <c r="D72" i="27"/>
  <c r="C72" i="27"/>
  <c r="B72" i="27"/>
  <c r="A72" i="27"/>
  <c r="L71" i="27"/>
  <c r="K71" i="27"/>
  <c r="J71" i="27"/>
  <c r="I71" i="27"/>
  <c r="H71" i="27"/>
  <c r="G71" i="27"/>
  <c r="F71" i="27"/>
  <c r="E71" i="27"/>
  <c r="D71" i="27"/>
  <c r="C71" i="27"/>
  <c r="B71" i="27"/>
  <c r="A71" i="27"/>
  <c r="L70" i="27"/>
  <c r="K70" i="27"/>
  <c r="J70" i="27"/>
  <c r="I70" i="27"/>
  <c r="H70" i="27"/>
  <c r="G70" i="27"/>
  <c r="F70" i="27"/>
  <c r="E70" i="27"/>
  <c r="D70" i="27"/>
  <c r="C70" i="27"/>
  <c r="B70" i="27"/>
  <c r="A70" i="27"/>
  <c r="L69" i="27"/>
  <c r="K69" i="27"/>
  <c r="J69" i="27"/>
  <c r="I69" i="27"/>
  <c r="H69" i="27"/>
  <c r="G69" i="27"/>
  <c r="F69" i="27"/>
  <c r="E69" i="27"/>
  <c r="D69" i="27"/>
  <c r="C69" i="27"/>
  <c r="B69" i="27"/>
  <c r="A69" i="27"/>
  <c r="L68" i="27"/>
  <c r="K68" i="27"/>
  <c r="J68" i="27"/>
  <c r="I68" i="27"/>
  <c r="H68" i="27"/>
  <c r="G68" i="27"/>
  <c r="F68" i="27"/>
  <c r="E68" i="27"/>
  <c r="D68" i="27"/>
  <c r="C68" i="27"/>
  <c r="B68" i="27"/>
  <c r="A68" i="27"/>
  <c r="L67" i="27"/>
  <c r="K67" i="27"/>
  <c r="J67" i="27"/>
  <c r="I67" i="27"/>
  <c r="H67" i="27"/>
  <c r="G67" i="27"/>
  <c r="F67" i="27"/>
  <c r="E67" i="27"/>
  <c r="D67" i="27"/>
  <c r="C67" i="27"/>
  <c r="B67" i="27"/>
  <c r="A67" i="27"/>
  <c r="L66" i="27"/>
  <c r="K66" i="27"/>
  <c r="J66" i="27"/>
  <c r="I66" i="27"/>
  <c r="H66" i="27"/>
  <c r="G66" i="27"/>
  <c r="F66" i="27"/>
  <c r="E66" i="27"/>
  <c r="D66" i="27"/>
  <c r="C66" i="27"/>
  <c r="B66" i="27"/>
  <c r="A66" i="27"/>
  <c r="L65" i="27"/>
  <c r="K65" i="27"/>
  <c r="J65" i="27"/>
  <c r="I65" i="27"/>
  <c r="H65" i="27"/>
  <c r="G65" i="27"/>
  <c r="F65" i="27"/>
  <c r="E65" i="27"/>
  <c r="D65" i="27"/>
  <c r="C65" i="27"/>
  <c r="B65" i="27"/>
  <c r="A65" i="27"/>
  <c r="L64" i="27"/>
  <c r="K64" i="27"/>
  <c r="J64" i="27"/>
  <c r="I64" i="27"/>
  <c r="H64" i="27"/>
  <c r="G64" i="27"/>
  <c r="F64" i="27"/>
  <c r="E64" i="27"/>
  <c r="D64" i="27"/>
  <c r="C64" i="27"/>
  <c r="B64" i="27"/>
  <c r="A64" i="27"/>
  <c r="L63" i="27"/>
  <c r="K63" i="27"/>
  <c r="J63" i="27"/>
  <c r="I63" i="27"/>
  <c r="H63" i="27"/>
  <c r="G63" i="27"/>
  <c r="F63" i="27"/>
  <c r="E63" i="27"/>
  <c r="D63" i="27"/>
  <c r="C63" i="27"/>
  <c r="B63" i="27"/>
  <c r="A63" i="27"/>
  <c r="L62" i="27"/>
  <c r="K62" i="27"/>
  <c r="J62" i="27"/>
  <c r="I62" i="27"/>
  <c r="H62" i="27"/>
  <c r="G62" i="27"/>
  <c r="F62" i="27"/>
  <c r="E62" i="27"/>
  <c r="D62" i="27"/>
  <c r="C62" i="27"/>
  <c r="B62" i="27"/>
  <c r="A62" i="27"/>
  <c r="L61" i="27"/>
  <c r="K61" i="27"/>
  <c r="J61" i="27"/>
  <c r="I61" i="27"/>
  <c r="H61" i="27"/>
  <c r="G61" i="27"/>
  <c r="F61" i="27"/>
  <c r="E61" i="27"/>
  <c r="D61" i="27"/>
  <c r="C61" i="27"/>
  <c r="B61" i="27"/>
  <c r="A61" i="27"/>
  <c r="L60" i="27"/>
  <c r="K60" i="27"/>
  <c r="J60" i="27"/>
  <c r="I60" i="27"/>
  <c r="H60" i="27"/>
  <c r="G60" i="27"/>
  <c r="F60" i="27"/>
  <c r="E60" i="27"/>
  <c r="D60" i="27"/>
  <c r="C60" i="27"/>
  <c r="B60" i="27"/>
  <c r="A60" i="27"/>
  <c r="L59" i="27"/>
  <c r="K59" i="27"/>
  <c r="J59" i="27"/>
  <c r="I59" i="27"/>
  <c r="H59" i="27"/>
  <c r="G59" i="27"/>
  <c r="F59" i="27"/>
  <c r="E59" i="27"/>
  <c r="D59" i="27"/>
  <c r="C59" i="27"/>
  <c r="B59" i="27"/>
  <c r="A59" i="27"/>
  <c r="L58" i="27"/>
  <c r="K58" i="27"/>
  <c r="J58" i="27"/>
  <c r="I58" i="27"/>
  <c r="H58" i="27"/>
  <c r="G58" i="27"/>
  <c r="F58" i="27"/>
  <c r="E58" i="27"/>
  <c r="D58" i="27"/>
  <c r="C58" i="27"/>
  <c r="B58" i="27"/>
  <c r="A58" i="27"/>
  <c r="L57" i="27"/>
  <c r="K57" i="27"/>
  <c r="J57" i="27"/>
  <c r="I57" i="27"/>
  <c r="H57" i="27"/>
  <c r="G57" i="27"/>
  <c r="F57" i="27"/>
  <c r="E57" i="27"/>
  <c r="D57" i="27"/>
  <c r="C57" i="27"/>
  <c r="B57" i="27"/>
  <c r="A57" i="27"/>
  <c r="L56" i="27"/>
  <c r="K56" i="27"/>
  <c r="J56" i="27"/>
  <c r="I56" i="27"/>
  <c r="H56" i="27"/>
  <c r="G56" i="27"/>
  <c r="F56" i="27"/>
  <c r="E56" i="27"/>
  <c r="D56" i="27"/>
  <c r="C56" i="27"/>
  <c r="B56" i="27"/>
  <c r="A56" i="27"/>
  <c r="L55" i="27"/>
  <c r="K55" i="27"/>
  <c r="J55" i="27"/>
  <c r="I55" i="27"/>
  <c r="H55" i="27"/>
  <c r="G55" i="27"/>
  <c r="F55" i="27"/>
  <c r="E55" i="27"/>
  <c r="D55" i="27"/>
  <c r="C55" i="27"/>
  <c r="B55" i="27"/>
  <c r="A55" i="27"/>
  <c r="L54" i="27"/>
  <c r="K54" i="27"/>
  <c r="J54" i="27"/>
  <c r="I54" i="27"/>
  <c r="H54" i="27"/>
  <c r="G54" i="27"/>
  <c r="F54" i="27"/>
  <c r="E54" i="27"/>
  <c r="D54" i="27"/>
  <c r="C54" i="27"/>
  <c r="B54" i="27"/>
  <c r="A54" i="27"/>
  <c r="L53" i="27"/>
  <c r="K53" i="27"/>
  <c r="J53" i="27"/>
  <c r="I53" i="27"/>
  <c r="H53" i="27"/>
  <c r="G53" i="27"/>
  <c r="F53" i="27"/>
  <c r="E53" i="27"/>
  <c r="D53" i="27"/>
  <c r="C53" i="27"/>
  <c r="B53" i="27"/>
  <c r="A53" i="27"/>
  <c r="L52" i="27"/>
  <c r="K52" i="27"/>
  <c r="J52" i="27"/>
  <c r="I52" i="27"/>
  <c r="H52" i="27"/>
  <c r="G52" i="27"/>
  <c r="F52" i="27"/>
  <c r="E52" i="27"/>
  <c r="D52" i="27"/>
  <c r="C52" i="27"/>
  <c r="B52" i="27"/>
  <c r="A52" i="27"/>
  <c r="L51" i="27"/>
  <c r="K51" i="27"/>
  <c r="J51" i="27"/>
  <c r="I51" i="27"/>
  <c r="H51" i="27"/>
  <c r="G51" i="27"/>
  <c r="F51" i="27"/>
  <c r="E51" i="27"/>
  <c r="D51" i="27"/>
  <c r="C51" i="27"/>
  <c r="B51" i="27"/>
  <c r="A51" i="27"/>
  <c r="L50" i="27"/>
  <c r="K50" i="27"/>
  <c r="J50" i="27"/>
  <c r="I50" i="27"/>
  <c r="H50" i="27"/>
  <c r="G50" i="27"/>
  <c r="F50" i="27"/>
  <c r="E50" i="27"/>
  <c r="D50" i="27"/>
  <c r="C50" i="27"/>
  <c r="B50" i="27"/>
  <c r="A50" i="27"/>
  <c r="L49" i="27"/>
  <c r="K49" i="27"/>
  <c r="J49" i="27"/>
  <c r="I49" i="27"/>
  <c r="H49" i="27"/>
  <c r="G49" i="27"/>
  <c r="F49" i="27"/>
  <c r="E49" i="27"/>
  <c r="D49" i="27"/>
  <c r="C49" i="27"/>
  <c r="B49" i="27"/>
  <c r="A49" i="27"/>
  <c r="L48" i="27"/>
  <c r="K48" i="27"/>
  <c r="J48" i="27"/>
  <c r="I48" i="27"/>
  <c r="H48" i="27"/>
  <c r="G48" i="27"/>
  <c r="F48" i="27"/>
  <c r="E48" i="27"/>
  <c r="D48" i="27"/>
  <c r="C48" i="27"/>
  <c r="B48" i="27"/>
  <c r="A48" i="27"/>
  <c r="L47" i="27"/>
  <c r="K47" i="27"/>
  <c r="J47" i="27"/>
  <c r="I47" i="27"/>
  <c r="H47" i="27"/>
  <c r="G47" i="27"/>
  <c r="F47" i="27"/>
  <c r="E47" i="27"/>
  <c r="D47" i="27"/>
  <c r="C47" i="27"/>
  <c r="B47" i="27"/>
  <c r="A47" i="27"/>
  <c r="L46" i="27"/>
  <c r="K46" i="27"/>
  <c r="J46" i="27"/>
  <c r="I46" i="27"/>
  <c r="H46" i="27"/>
  <c r="G46" i="27"/>
  <c r="F46" i="27"/>
  <c r="E46" i="27"/>
  <c r="D46" i="27"/>
  <c r="C46" i="27"/>
  <c r="B46" i="27"/>
  <c r="A46" i="27"/>
  <c r="L45" i="27"/>
  <c r="K45" i="27"/>
  <c r="J45" i="27"/>
  <c r="I45" i="27"/>
  <c r="H45" i="27"/>
  <c r="G45" i="27"/>
  <c r="F45" i="27"/>
  <c r="E45" i="27"/>
  <c r="D45" i="27"/>
  <c r="C45" i="27"/>
  <c r="B45" i="27"/>
  <c r="A45" i="27"/>
  <c r="L44" i="27"/>
  <c r="K44" i="27"/>
  <c r="J44" i="27"/>
  <c r="I44" i="27"/>
  <c r="H44" i="27"/>
  <c r="G44" i="27"/>
  <c r="F44" i="27"/>
  <c r="E44" i="27"/>
  <c r="D44" i="27"/>
  <c r="C44" i="27"/>
  <c r="B44" i="27"/>
  <c r="A44" i="27"/>
  <c r="L43" i="27"/>
  <c r="K43" i="27"/>
  <c r="J43" i="27"/>
  <c r="I43" i="27"/>
  <c r="H43" i="27"/>
  <c r="G43" i="27"/>
  <c r="F43" i="27"/>
  <c r="E43" i="27"/>
  <c r="D43" i="27"/>
  <c r="C43" i="27"/>
  <c r="B43" i="27"/>
  <c r="A43" i="27"/>
  <c r="L42" i="27"/>
  <c r="K42" i="27"/>
  <c r="J42" i="27"/>
  <c r="I42" i="27"/>
  <c r="H42" i="27"/>
  <c r="G42" i="27"/>
  <c r="F42" i="27"/>
  <c r="E42" i="27"/>
  <c r="D42" i="27"/>
  <c r="C42" i="27"/>
  <c r="B42" i="27"/>
  <c r="A42" i="27"/>
  <c r="L41" i="27"/>
  <c r="K41" i="27"/>
  <c r="J41" i="27"/>
  <c r="I41" i="27"/>
  <c r="H41" i="27"/>
  <c r="G41" i="27"/>
  <c r="F41" i="27"/>
  <c r="E41" i="27"/>
  <c r="D41" i="27"/>
  <c r="C41" i="27"/>
  <c r="B41" i="27"/>
  <c r="A41" i="27"/>
  <c r="L40" i="27"/>
  <c r="K40" i="27"/>
  <c r="J40" i="27"/>
  <c r="I40" i="27"/>
  <c r="H40" i="27"/>
  <c r="G40" i="27"/>
  <c r="F40" i="27"/>
  <c r="E40" i="27"/>
  <c r="D40" i="27"/>
  <c r="C40" i="27"/>
  <c r="B40" i="27"/>
  <c r="A40" i="27"/>
  <c r="L39" i="27"/>
  <c r="K39" i="27"/>
  <c r="J39" i="27"/>
  <c r="I39" i="27"/>
  <c r="H39" i="27"/>
  <c r="G39" i="27"/>
  <c r="F39" i="27"/>
  <c r="E39" i="27"/>
  <c r="D39" i="27"/>
  <c r="C39" i="27"/>
  <c r="B39" i="27"/>
  <c r="A39" i="27"/>
  <c r="L38" i="27"/>
  <c r="K38" i="27"/>
  <c r="J38" i="27"/>
  <c r="I38" i="27"/>
  <c r="H38" i="27"/>
  <c r="G38" i="27"/>
  <c r="F38" i="27"/>
  <c r="E38" i="27"/>
  <c r="D38" i="27"/>
  <c r="C38" i="27"/>
  <c r="B38" i="27"/>
  <c r="A38" i="27"/>
  <c r="L37" i="27"/>
  <c r="K37" i="27"/>
  <c r="J37" i="27"/>
  <c r="I37" i="27"/>
  <c r="H37" i="27"/>
  <c r="G37" i="27"/>
  <c r="F37" i="27"/>
  <c r="E37" i="27"/>
  <c r="D37" i="27"/>
  <c r="C37" i="27"/>
  <c r="B37" i="27"/>
  <c r="A37" i="27"/>
  <c r="L36" i="27"/>
  <c r="K36" i="27"/>
  <c r="J36" i="27"/>
  <c r="I36" i="27"/>
  <c r="H36" i="27"/>
  <c r="G36" i="27"/>
  <c r="F36" i="27"/>
  <c r="E36" i="27"/>
  <c r="D36" i="27"/>
  <c r="C36" i="27"/>
  <c r="B36" i="27"/>
  <c r="A36" i="27"/>
  <c r="L35" i="27"/>
  <c r="K35" i="27"/>
  <c r="J35" i="27"/>
  <c r="I35" i="27"/>
  <c r="H35" i="27"/>
  <c r="G35" i="27"/>
  <c r="F35" i="27"/>
  <c r="E35" i="27"/>
  <c r="D35" i="27"/>
  <c r="C35" i="27"/>
  <c r="B35" i="27"/>
  <c r="A35" i="27"/>
  <c r="L34" i="27"/>
  <c r="K34" i="27"/>
  <c r="J34" i="27"/>
  <c r="I34" i="27"/>
  <c r="H34" i="27"/>
  <c r="G34" i="27"/>
  <c r="F34" i="27"/>
  <c r="E34" i="27"/>
  <c r="D34" i="27"/>
  <c r="C34" i="27"/>
  <c r="B34" i="27"/>
  <c r="A34" i="27"/>
  <c r="L33" i="27"/>
  <c r="K33" i="27"/>
  <c r="J33" i="27"/>
  <c r="I33" i="27"/>
  <c r="H33" i="27"/>
  <c r="G33" i="27"/>
  <c r="F33" i="27"/>
  <c r="E33" i="27"/>
  <c r="D33" i="27"/>
  <c r="C33" i="27"/>
  <c r="B33" i="27"/>
  <c r="A33" i="27"/>
  <c r="L32" i="27"/>
  <c r="K32" i="27"/>
  <c r="J32" i="27"/>
  <c r="I32" i="27"/>
  <c r="H32" i="27"/>
  <c r="G32" i="27"/>
  <c r="F32" i="27"/>
  <c r="E32" i="27"/>
  <c r="D32" i="27"/>
  <c r="C32" i="27"/>
  <c r="B32" i="27"/>
  <c r="A32" i="27"/>
  <c r="L31" i="27"/>
  <c r="K31" i="27"/>
  <c r="J31" i="27"/>
  <c r="I31" i="27"/>
  <c r="H31" i="27"/>
  <c r="G31" i="27"/>
  <c r="F31" i="27"/>
  <c r="E31" i="27"/>
  <c r="D31" i="27"/>
  <c r="C31" i="27"/>
  <c r="B31" i="27"/>
  <c r="A31" i="27"/>
  <c r="L30" i="27"/>
  <c r="K30" i="27"/>
  <c r="J30" i="27"/>
  <c r="I30" i="27"/>
  <c r="H30" i="27"/>
  <c r="G30" i="27"/>
  <c r="F30" i="27"/>
  <c r="E30" i="27"/>
  <c r="D30" i="27"/>
  <c r="C30" i="27"/>
  <c r="B30" i="27"/>
  <c r="A30" i="27"/>
  <c r="L29" i="27"/>
  <c r="K29" i="27"/>
  <c r="J29" i="27"/>
  <c r="I29" i="27"/>
  <c r="H29" i="27"/>
  <c r="G29" i="27"/>
  <c r="F29" i="27"/>
  <c r="E29" i="27"/>
  <c r="D29" i="27"/>
  <c r="C29" i="27"/>
  <c r="B29" i="27"/>
  <c r="A29" i="27"/>
  <c r="L28" i="27"/>
  <c r="K28" i="27"/>
  <c r="J28" i="27"/>
  <c r="I28" i="27"/>
  <c r="H28" i="27"/>
  <c r="G28" i="27"/>
  <c r="F28" i="27"/>
  <c r="E28" i="27"/>
  <c r="D28" i="27"/>
  <c r="C28" i="27"/>
  <c r="B28" i="27"/>
  <c r="A28" i="27"/>
  <c r="L27" i="27"/>
  <c r="K27" i="27"/>
  <c r="J27" i="27"/>
  <c r="I27" i="27"/>
  <c r="H27" i="27"/>
  <c r="G27" i="27"/>
  <c r="F27" i="27"/>
  <c r="E27" i="27"/>
  <c r="D27" i="27"/>
  <c r="C27" i="27"/>
  <c r="B27" i="27"/>
  <c r="A27" i="27"/>
  <c r="L26" i="27"/>
  <c r="K26" i="27"/>
  <c r="J26" i="27"/>
  <c r="I26" i="27"/>
  <c r="H26" i="27"/>
  <c r="G26" i="27"/>
  <c r="F26" i="27"/>
  <c r="E26" i="27"/>
  <c r="D26" i="27"/>
  <c r="C26" i="27"/>
  <c r="B26" i="27"/>
  <c r="A26" i="27"/>
  <c r="L25" i="27"/>
  <c r="K25" i="27"/>
  <c r="J25" i="27"/>
  <c r="I25" i="27"/>
  <c r="H25" i="27"/>
  <c r="G25" i="27"/>
  <c r="F25" i="27"/>
  <c r="E25" i="27"/>
  <c r="D25" i="27"/>
  <c r="C25" i="27"/>
  <c r="B25" i="27"/>
  <c r="A25" i="27"/>
  <c r="L24" i="27"/>
  <c r="K24" i="27"/>
  <c r="J24" i="27"/>
  <c r="I24" i="27"/>
  <c r="H24" i="27"/>
  <c r="G24" i="27"/>
  <c r="F24" i="27"/>
  <c r="E24" i="27"/>
  <c r="D24" i="27"/>
  <c r="C24" i="27"/>
  <c r="B24" i="27"/>
  <c r="A24" i="27"/>
  <c r="L23" i="27"/>
  <c r="K23" i="27"/>
  <c r="J23" i="27"/>
  <c r="I23" i="27"/>
  <c r="H23" i="27"/>
  <c r="G23" i="27"/>
  <c r="F23" i="27"/>
  <c r="E23" i="27"/>
  <c r="D23" i="27"/>
  <c r="C23" i="27"/>
  <c r="B23" i="27"/>
  <c r="A23" i="27"/>
  <c r="L22" i="27"/>
  <c r="K22" i="27"/>
  <c r="J22" i="27"/>
  <c r="I22" i="27"/>
  <c r="H22" i="27"/>
  <c r="G22" i="27"/>
  <c r="F22" i="27"/>
  <c r="E22" i="27"/>
  <c r="D22" i="27"/>
  <c r="C22" i="27"/>
  <c r="B22" i="27"/>
  <c r="A22" i="27"/>
  <c r="L21" i="27"/>
  <c r="K21" i="27"/>
  <c r="J21" i="27"/>
  <c r="I21" i="27"/>
  <c r="H21" i="27"/>
  <c r="G21" i="27"/>
  <c r="F21" i="27"/>
  <c r="E21" i="27"/>
  <c r="D21" i="27"/>
  <c r="C21" i="27"/>
  <c r="B21" i="27"/>
  <c r="A21" i="27"/>
  <c r="L20" i="27"/>
  <c r="K20" i="27"/>
  <c r="J20" i="27"/>
  <c r="I20" i="27"/>
  <c r="H20" i="27"/>
  <c r="G20" i="27"/>
  <c r="F20" i="27"/>
  <c r="E20" i="27"/>
  <c r="D20" i="27"/>
  <c r="C20" i="27"/>
  <c r="B20" i="27"/>
  <c r="A20" i="27"/>
  <c r="L19" i="27"/>
  <c r="K19" i="27"/>
  <c r="J19" i="27"/>
  <c r="I19" i="27"/>
  <c r="H19" i="27"/>
  <c r="G19" i="27"/>
  <c r="F19" i="27"/>
  <c r="E19" i="27"/>
  <c r="D19" i="27"/>
  <c r="C19" i="27"/>
  <c r="B19" i="27"/>
  <c r="A19" i="27"/>
  <c r="L18" i="27"/>
  <c r="K18" i="27"/>
  <c r="J18" i="27"/>
  <c r="I18" i="27"/>
  <c r="H18" i="27"/>
  <c r="G18" i="27"/>
  <c r="F18" i="27"/>
  <c r="E18" i="27"/>
  <c r="D18" i="27"/>
  <c r="C18" i="27"/>
  <c r="B18" i="27"/>
  <c r="A18" i="27"/>
  <c r="L17" i="27"/>
  <c r="K17" i="27"/>
  <c r="J17" i="27"/>
  <c r="I17" i="27"/>
  <c r="H17" i="27"/>
  <c r="G17" i="27"/>
  <c r="F17" i="27"/>
  <c r="E17" i="27"/>
  <c r="D17" i="27"/>
  <c r="C17" i="27"/>
  <c r="B17" i="27"/>
  <c r="A17" i="27"/>
  <c r="L16" i="27"/>
  <c r="K16" i="27"/>
  <c r="J16" i="27"/>
  <c r="I16" i="27"/>
  <c r="H16" i="27"/>
  <c r="G16" i="27"/>
  <c r="F16" i="27"/>
  <c r="E16" i="27"/>
  <c r="D16" i="27"/>
  <c r="C16" i="27"/>
  <c r="B16" i="27"/>
  <c r="A16" i="27"/>
  <c r="L15" i="27"/>
  <c r="K15" i="27"/>
  <c r="J15" i="27"/>
  <c r="I15" i="27"/>
  <c r="H15" i="27"/>
  <c r="G15" i="27"/>
  <c r="F15" i="27"/>
  <c r="E15" i="27"/>
  <c r="D15" i="27"/>
  <c r="C15" i="27"/>
  <c r="B15" i="27"/>
  <c r="A15" i="27"/>
  <c r="L14" i="27"/>
  <c r="K14" i="27"/>
  <c r="J14" i="27"/>
  <c r="I14" i="27"/>
  <c r="H14" i="27"/>
  <c r="G14" i="27"/>
  <c r="F14" i="27"/>
  <c r="E14" i="27"/>
  <c r="D14" i="27"/>
  <c r="C14" i="27"/>
  <c r="B14" i="27"/>
  <c r="A14" i="27"/>
  <c r="L13" i="27"/>
  <c r="K13" i="27"/>
  <c r="J13" i="27"/>
  <c r="I13" i="27"/>
  <c r="H13" i="27"/>
  <c r="G13" i="27"/>
  <c r="F13" i="27"/>
  <c r="E13" i="27"/>
  <c r="D13" i="27"/>
  <c r="C13" i="27"/>
  <c r="B13" i="27"/>
  <c r="A13" i="27"/>
  <c r="L12" i="27"/>
  <c r="K12" i="27"/>
  <c r="J12" i="27"/>
  <c r="I12" i="27"/>
  <c r="H12" i="27"/>
  <c r="G12" i="27"/>
  <c r="F12" i="27"/>
  <c r="E12" i="27"/>
  <c r="D12" i="27"/>
  <c r="C12" i="27"/>
  <c r="B12" i="27"/>
  <c r="A12" i="27"/>
  <c r="L11" i="27"/>
  <c r="K11" i="27"/>
  <c r="J11" i="27"/>
  <c r="I11" i="27"/>
  <c r="H11" i="27"/>
  <c r="G11" i="27"/>
  <c r="F11" i="27"/>
  <c r="E11" i="27"/>
  <c r="D11" i="27"/>
  <c r="C11" i="27"/>
  <c r="B11" i="27"/>
  <c r="A11" i="27"/>
  <c r="L10" i="27"/>
  <c r="K10" i="27"/>
  <c r="J10" i="27"/>
  <c r="I10" i="27"/>
  <c r="H10" i="27"/>
  <c r="G10" i="27"/>
  <c r="F10" i="27"/>
  <c r="E10" i="27"/>
  <c r="D10" i="27"/>
  <c r="C10" i="27"/>
  <c r="B10" i="27"/>
  <c r="A10" i="27"/>
  <c r="L9" i="27"/>
  <c r="K9" i="27"/>
  <c r="J9" i="27"/>
  <c r="I9" i="27"/>
  <c r="H9" i="27"/>
  <c r="G9" i="27"/>
  <c r="F9" i="27"/>
  <c r="E9" i="27"/>
  <c r="D9" i="27"/>
  <c r="C9" i="27"/>
  <c r="B9" i="27"/>
  <c r="A9" i="27"/>
  <c r="L8" i="27"/>
  <c r="K8" i="27"/>
  <c r="J8" i="27"/>
  <c r="I8" i="27"/>
  <c r="H8" i="27"/>
  <c r="G8" i="27"/>
  <c r="F8" i="27"/>
  <c r="E8" i="27"/>
  <c r="D8" i="27"/>
  <c r="C8" i="27"/>
  <c r="B8" i="27"/>
  <c r="A8" i="27"/>
  <c r="L7" i="27"/>
  <c r="K7" i="27"/>
  <c r="J7" i="27"/>
  <c r="I7" i="27"/>
  <c r="H7" i="27"/>
  <c r="G7" i="27"/>
  <c r="F7" i="27"/>
  <c r="E7" i="27"/>
  <c r="D7" i="27"/>
  <c r="C7" i="27"/>
  <c r="B7" i="27"/>
  <c r="A7" i="27"/>
  <c r="L6" i="27"/>
  <c r="K6" i="27"/>
  <c r="J6" i="27"/>
  <c r="I6" i="27"/>
  <c r="H6" i="27"/>
  <c r="G6" i="27"/>
  <c r="F6" i="27"/>
  <c r="E6" i="27"/>
  <c r="D6" i="27"/>
  <c r="C6" i="27"/>
  <c r="B6" i="27"/>
  <c r="A6" i="27"/>
  <c r="L5" i="27"/>
  <c r="K5" i="27"/>
  <c r="J5" i="27"/>
  <c r="I5" i="27"/>
  <c r="H5" i="27"/>
  <c r="G5" i="27"/>
  <c r="F5" i="27"/>
  <c r="E5" i="27"/>
  <c r="D5" i="27"/>
  <c r="C5" i="27"/>
  <c r="B5" i="27"/>
  <c r="A5" i="27"/>
  <c r="L4" i="27"/>
  <c r="K4" i="27"/>
  <c r="J4" i="27"/>
  <c r="I4" i="27"/>
  <c r="H4" i="27"/>
  <c r="G4" i="27"/>
  <c r="F4" i="27"/>
  <c r="E4" i="27"/>
  <c r="D4" i="27"/>
  <c r="C4" i="27"/>
  <c r="B4" i="27"/>
  <c r="A4" i="27"/>
  <c r="L3" i="27"/>
  <c r="L1" i="27" s="1"/>
  <c r="K3" i="27"/>
  <c r="K2" i="27" s="1"/>
  <c r="J3" i="27"/>
  <c r="J1" i="27" s="1"/>
  <c r="I3" i="27"/>
  <c r="I1" i="27" s="1"/>
  <c r="H3" i="27"/>
  <c r="H2" i="27" s="1"/>
  <c r="G3" i="27"/>
  <c r="G2" i="27" s="1"/>
  <c r="F3" i="27"/>
  <c r="F1" i="27" s="1"/>
  <c r="E3" i="27"/>
  <c r="E1" i="27" s="1"/>
  <c r="D3" i="27"/>
  <c r="D1" i="27" s="1"/>
  <c r="C3" i="27"/>
  <c r="C2" i="27" s="1"/>
  <c r="B3" i="27"/>
  <c r="A3" i="27"/>
  <c r="A1" i="27" s="1"/>
  <c r="J2" i="27"/>
  <c r="G1" i="27"/>
  <c r="L400" i="26"/>
  <c r="K400" i="26"/>
  <c r="J400" i="26"/>
  <c r="I400" i="26"/>
  <c r="H400" i="26"/>
  <c r="G400" i="26"/>
  <c r="F400" i="26"/>
  <c r="E400" i="26"/>
  <c r="D400" i="26"/>
  <c r="C400" i="26"/>
  <c r="B400" i="26"/>
  <c r="A400" i="26"/>
  <c r="L399" i="26"/>
  <c r="K399" i="26"/>
  <c r="J399" i="26"/>
  <c r="I399" i="26"/>
  <c r="H399" i="26"/>
  <c r="G399" i="26"/>
  <c r="F399" i="26"/>
  <c r="E399" i="26"/>
  <c r="D399" i="26"/>
  <c r="C399" i="26"/>
  <c r="B399" i="26"/>
  <c r="A399" i="26"/>
  <c r="L398" i="26"/>
  <c r="K398" i="26"/>
  <c r="J398" i="26"/>
  <c r="I398" i="26"/>
  <c r="H398" i="26"/>
  <c r="G398" i="26"/>
  <c r="F398" i="26"/>
  <c r="E398" i="26"/>
  <c r="D398" i="26"/>
  <c r="C398" i="26"/>
  <c r="B398" i="26"/>
  <c r="A398" i="26"/>
  <c r="L397" i="26"/>
  <c r="K397" i="26"/>
  <c r="J397" i="26"/>
  <c r="I397" i="26"/>
  <c r="H397" i="26"/>
  <c r="G397" i="26"/>
  <c r="F397" i="26"/>
  <c r="E397" i="26"/>
  <c r="D397" i="26"/>
  <c r="C397" i="26"/>
  <c r="B397" i="26"/>
  <c r="A397" i="26"/>
  <c r="L396" i="26"/>
  <c r="K396" i="26"/>
  <c r="J396" i="26"/>
  <c r="I396" i="26"/>
  <c r="H396" i="26"/>
  <c r="G396" i="26"/>
  <c r="F396" i="26"/>
  <c r="E396" i="26"/>
  <c r="D396" i="26"/>
  <c r="C396" i="26"/>
  <c r="B396" i="26"/>
  <c r="A396" i="26"/>
  <c r="L395" i="26"/>
  <c r="K395" i="26"/>
  <c r="J395" i="26"/>
  <c r="I395" i="26"/>
  <c r="H395" i="26"/>
  <c r="G395" i="26"/>
  <c r="F395" i="26"/>
  <c r="E395" i="26"/>
  <c r="D395" i="26"/>
  <c r="C395" i="26"/>
  <c r="B395" i="26"/>
  <c r="A395" i="26"/>
  <c r="L394" i="26"/>
  <c r="K394" i="26"/>
  <c r="J394" i="26"/>
  <c r="I394" i="26"/>
  <c r="H394" i="26"/>
  <c r="G394" i="26"/>
  <c r="F394" i="26"/>
  <c r="E394" i="26"/>
  <c r="D394" i="26"/>
  <c r="C394" i="26"/>
  <c r="B394" i="26"/>
  <c r="A394" i="26"/>
  <c r="L393" i="26"/>
  <c r="K393" i="26"/>
  <c r="J393" i="26"/>
  <c r="I393" i="26"/>
  <c r="H393" i="26"/>
  <c r="G393" i="26"/>
  <c r="F393" i="26"/>
  <c r="E393" i="26"/>
  <c r="D393" i="26"/>
  <c r="C393" i="26"/>
  <c r="B393" i="26"/>
  <c r="A393" i="26"/>
  <c r="L392" i="26"/>
  <c r="K392" i="26"/>
  <c r="J392" i="26"/>
  <c r="I392" i="26"/>
  <c r="H392" i="26"/>
  <c r="G392" i="26"/>
  <c r="F392" i="26"/>
  <c r="E392" i="26"/>
  <c r="D392" i="26"/>
  <c r="C392" i="26"/>
  <c r="B392" i="26"/>
  <c r="A392" i="26"/>
  <c r="L391" i="26"/>
  <c r="K391" i="26"/>
  <c r="J391" i="26"/>
  <c r="I391" i="26"/>
  <c r="H391" i="26"/>
  <c r="G391" i="26"/>
  <c r="F391" i="26"/>
  <c r="E391" i="26"/>
  <c r="D391" i="26"/>
  <c r="C391" i="26"/>
  <c r="B391" i="26"/>
  <c r="A391" i="26"/>
  <c r="L390" i="26"/>
  <c r="K390" i="26"/>
  <c r="J390" i="26"/>
  <c r="I390" i="26"/>
  <c r="H390" i="26"/>
  <c r="G390" i="26"/>
  <c r="F390" i="26"/>
  <c r="E390" i="26"/>
  <c r="D390" i="26"/>
  <c r="C390" i="26"/>
  <c r="B390" i="26"/>
  <c r="A390" i="26"/>
  <c r="L389" i="26"/>
  <c r="K389" i="26"/>
  <c r="J389" i="26"/>
  <c r="I389" i="26"/>
  <c r="H389" i="26"/>
  <c r="G389" i="26"/>
  <c r="F389" i="26"/>
  <c r="E389" i="26"/>
  <c r="D389" i="26"/>
  <c r="C389" i="26"/>
  <c r="B389" i="26"/>
  <c r="A389" i="26"/>
  <c r="L388" i="26"/>
  <c r="K388" i="26"/>
  <c r="J388" i="26"/>
  <c r="I388" i="26"/>
  <c r="H388" i="26"/>
  <c r="G388" i="26"/>
  <c r="F388" i="26"/>
  <c r="E388" i="26"/>
  <c r="D388" i="26"/>
  <c r="C388" i="26"/>
  <c r="B388" i="26"/>
  <c r="A388" i="26"/>
  <c r="L387" i="26"/>
  <c r="K387" i="26"/>
  <c r="J387" i="26"/>
  <c r="I387" i="26"/>
  <c r="H387" i="26"/>
  <c r="G387" i="26"/>
  <c r="F387" i="26"/>
  <c r="E387" i="26"/>
  <c r="D387" i="26"/>
  <c r="C387" i="26"/>
  <c r="B387" i="26"/>
  <c r="A387" i="26"/>
  <c r="L386" i="26"/>
  <c r="K386" i="26"/>
  <c r="J386" i="26"/>
  <c r="I386" i="26"/>
  <c r="H386" i="26"/>
  <c r="G386" i="26"/>
  <c r="F386" i="26"/>
  <c r="E386" i="26"/>
  <c r="D386" i="26"/>
  <c r="C386" i="26"/>
  <c r="B386" i="26"/>
  <c r="A386" i="26"/>
  <c r="L385" i="26"/>
  <c r="K385" i="26"/>
  <c r="J385" i="26"/>
  <c r="I385" i="26"/>
  <c r="H385" i="26"/>
  <c r="G385" i="26"/>
  <c r="F385" i="26"/>
  <c r="E385" i="26"/>
  <c r="D385" i="26"/>
  <c r="C385" i="26"/>
  <c r="B385" i="26"/>
  <c r="A385" i="26"/>
  <c r="L384" i="26"/>
  <c r="K384" i="26"/>
  <c r="J384" i="26"/>
  <c r="I384" i="26"/>
  <c r="H384" i="26"/>
  <c r="G384" i="26"/>
  <c r="F384" i="26"/>
  <c r="E384" i="26"/>
  <c r="D384" i="26"/>
  <c r="C384" i="26"/>
  <c r="B384" i="26"/>
  <c r="A384" i="26"/>
  <c r="L383" i="26"/>
  <c r="K383" i="26"/>
  <c r="J383" i="26"/>
  <c r="I383" i="26"/>
  <c r="H383" i="26"/>
  <c r="G383" i="26"/>
  <c r="F383" i="26"/>
  <c r="E383" i="26"/>
  <c r="D383" i="26"/>
  <c r="C383" i="26"/>
  <c r="B383" i="26"/>
  <c r="A383" i="26"/>
  <c r="L382" i="26"/>
  <c r="K382" i="26"/>
  <c r="J382" i="26"/>
  <c r="I382" i="26"/>
  <c r="H382" i="26"/>
  <c r="G382" i="26"/>
  <c r="F382" i="26"/>
  <c r="E382" i="26"/>
  <c r="D382" i="26"/>
  <c r="C382" i="26"/>
  <c r="B382" i="26"/>
  <c r="A382" i="26"/>
  <c r="L381" i="26"/>
  <c r="K381" i="26"/>
  <c r="J381" i="26"/>
  <c r="I381" i="26"/>
  <c r="H381" i="26"/>
  <c r="G381" i="26"/>
  <c r="F381" i="26"/>
  <c r="E381" i="26"/>
  <c r="D381" i="26"/>
  <c r="C381" i="26"/>
  <c r="B381" i="26"/>
  <c r="A381" i="26"/>
  <c r="L380" i="26"/>
  <c r="K380" i="26"/>
  <c r="J380" i="26"/>
  <c r="I380" i="26"/>
  <c r="H380" i="26"/>
  <c r="G380" i="26"/>
  <c r="F380" i="26"/>
  <c r="E380" i="26"/>
  <c r="D380" i="26"/>
  <c r="C380" i="26"/>
  <c r="B380" i="26"/>
  <c r="A380" i="26"/>
  <c r="L379" i="26"/>
  <c r="K379" i="26"/>
  <c r="J379" i="26"/>
  <c r="I379" i="26"/>
  <c r="H379" i="26"/>
  <c r="G379" i="26"/>
  <c r="F379" i="26"/>
  <c r="E379" i="26"/>
  <c r="D379" i="26"/>
  <c r="C379" i="26"/>
  <c r="B379" i="26"/>
  <c r="A379" i="26"/>
  <c r="L378" i="26"/>
  <c r="K378" i="26"/>
  <c r="J378" i="26"/>
  <c r="I378" i="26"/>
  <c r="H378" i="26"/>
  <c r="G378" i="26"/>
  <c r="F378" i="26"/>
  <c r="E378" i="26"/>
  <c r="D378" i="26"/>
  <c r="C378" i="26"/>
  <c r="B378" i="26"/>
  <c r="A378" i="26"/>
  <c r="L377" i="26"/>
  <c r="K377" i="26"/>
  <c r="J377" i="26"/>
  <c r="I377" i="26"/>
  <c r="H377" i="26"/>
  <c r="G377" i="26"/>
  <c r="F377" i="26"/>
  <c r="E377" i="26"/>
  <c r="D377" i="26"/>
  <c r="C377" i="26"/>
  <c r="B377" i="26"/>
  <c r="A377" i="26"/>
  <c r="L376" i="26"/>
  <c r="K376" i="26"/>
  <c r="J376" i="26"/>
  <c r="I376" i="26"/>
  <c r="H376" i="26"/>
  <c r="G376" i="26"/>
  <c r="F376" i="26"/>
  <c r="E376" i="26"/>
  <c r="D376" i="26"/>
  <c r="C376" i="26"/>
  <c r="B376" i="26"/>
  <c r="A376" i="26"/>
  <c r="L375" i="26"/>
  <c r="K375" i="26"/>
  <c r="J375" i="26"/>
  <c r="I375" i="26"/>
  <c r="H375" i="26"/>
  <c r="G375" i="26"/>
  <c r="F375" i="26"/>
  <c r="E375" i="26"/>
  <c r="D375" i="26"/>
  <c r="C375" i="26"/>
  <c r="B375" i="26"/>
  <c r="A375" i="26"/>
  <c r="L374" i="26"/>
  <c r="K374" i="26"/>
  <c r="J374" i="26"/>
  <c r="I374" i="26"/>
  <c r="H374" i="26"/>
  <c r="G374" i="26"/>
  <c r="F374" i="26"/>
  <c r="E374" i="26"/>
  <c r="D374" i="26"/>
  <c r="C374" i="26"/>
  <c r="B374" i="26"/>
  <c r="A374" i="26"/>
  <c r="L373" i="26"/>
  <c r="K373" i="26"/>
  <c r="J373" i="26"/>
  <c r="I373" i="26"/>
  <c r="H373" i="26"/>
  <c r="G373" i="26"/>
  <c r="F373" i="26"/>
  <c r="E373" i="26"/>
  <c r="D373" i="26"/>
  <c r="C373" i="26"/>
  <c r="B373" i="26"/>
  <c r="A373" i="26"/>
  <c r="L372" i="26"/>
  <c r="K372" i="26"/>
  <c r="J372" i="26"/>
  <c r="I372" i="26"/>
  <c r="H372" i="26"/>
  <c r="G372" i="26"/>
  <c r="F372" i="26"/>
  <c r="E372" i="26"/>
  <c r="D372" i="26"/>
  <c r="C372" i="26"/>
  <c r="B372" i="26"/>
  <c r="A372" i="26"/>
  <c r="L371" i="26"/>
  <c r="K371" i="26"/>
  <c r="J371" i="26"/>
  <c r="I371" i="26"/>
  <c r="H371" i="26"/>
  <c r="G371" i="26"/>
  <c r="F371" i="26"/>
  <c r="E371" i="26"/>
  <c r="D371" i="26"/>
  <c r="C371" i="26"/>
  <c r="B371" i="26"/>
  <c r="A371" i="26"/>
  <c r="L370" i="26"/>
  <c r="K370" i="26"/>
  <c r="J370" i="26"/>
  <c r="I370" i="26"/>
  <c r="H370" i="26"/>
  <c r="G370" i="26"/>
  <c r="F370" i="26"/>
  <c r="E370" i="26"/>
  <c r="D370" i="26"/>
  <c r="C370" i="26"/>
  <c r="B370" i="26"/>
  <c r="A370" i="26"/>
  <c r="L369" i="26"/>
  <c r="K369" i="26"/>
  <c r="J369" i="26"/>
  <c r="I369" i="26"/>
  <c r="H369" i="26"/>
  <c r="G369" i="26"/>
  <c r="F369" i="26"/>
  <c r="E369" i="26"/>
  <c r="D369" i="26"/>
  <c r="C369" i="26"/>
  <c r="B369" i="26"/>
  <c r="A369" i="26"/>
  <c r="L368" i="26"/>
  <c r="K368" i="26"/>
  <c r="J368" i="26"/>
  <c r="I368" i="26"/>
  <c r="H368" i="26"/>
  <c r="G368" i="26"/>
  <c r="F368" i="26"/>
  <c r="E368" i="26"/>
  <c r="D368" i="26"/>
  <c r="C368" i="26"/>
  <c r="B368" i="26"/>
  <c r="A368" i="26"/>
  <c r="L367" i="26"/>
  <c r="K367" i="26"/>
  <c r="J367" i="26"/>
  <c r="I367" i="26"/>
  <c r="H367" i="26"/>
  <c r="G367" i="26"/>
  <c r="F367" i="26"/>
  <c r="E367" i="26"/>
  <c r="D367" i="26"/>
  <c r="C367" i="26"/>
  <c r="B367" i="26"/>
  <c r="A367" i="26"/>
  <c r="L366" i="26"/>
  <c r="K366" i="26"/>
  <c r="J366" i="26"/>
  <c r="I366" i="26"/>
  <c r="H366" i="26"/>
  <c r="G366" i="26"/>
  <c r="F366" i="26"/>
  <c r="E366" i="26"/>
  <c r="D366" i="26"/>
  <c r="C366" i="26"/>
  <c r="B366" i="26"/>
  <c r="A366" i="26"/>
  <c r="L365" i="26"/>
  <c r="K365" i="26"/>
  <c r="J365" i="26"/>
  <c r="I365" i="26"/>
  <c r="H365" i="26"/>
  <c r="G365" i="26"/>
  <c r="F365" i="26"/>
  <c r="E365" i="26"/>
  <c r="D365" i="26"/>
  <c r="C365" i="26"/>
  <c r="B365" i="26"/>
  <c r="A365" i="26"/>
  <c r="L364" i="26"/>
  <c r="K364" i="26"/>
  <c r="J364" i="26"/>
  <c r="I364" i="26"/>
  <c r="H364" i="26"/>
  <c r="G364" i="26"/>
  <c r="F364" i="26"/>
  <c r="E364" i="26"/>
  <c r="D364" i="26"/>
  <c r="C364" i="26"/>
  <c r="B364" i="26"/>
  <c r="A364" i="26"/>
  <c r="L363" i="26"/>
  <c r="K363" i="26"/>
  <c r="J363" i="26"/>
  <c r="I363" i="26"/>
  <c r="H363" i="26"/>
  <c r="G363" i="26"/>
  <c r="F363" i="26"/>
  <c r="E363" i="26"/>
  <c r="D363" i="26"/>
  <c r="C363" i="26"/>
  <c r="B363" i="26"/>
  <c r="A363" i="26"/>
  <c r="L362" i="26"/>
  <c r="K362" i="26"/>
  <c r="J362" i="26"/>
  <c r="I362" i="26"/>
  <c r="H362" i="26"/>
  <c r="G362" i="26"/>
  <c r="F362" i="26"/>
  <c r="E362" i="26"/>
  <c r="D362" i="26"/>
  <c r="C362" i="26"/>
  <c r="B362" i="26"/>
  <c r="A362" i="26"/>
  <c r="L361" i="26"/>
  <c r="K361" i="26"/>
  <c r="J361" i="26"/>
  <c r="I361" i="26"/>
  <c r="H361" i="26"/>
  <c r="G361" i="26"/>
  <c r="F361" i="26"/>
  <c r="E361" i="26"/>
  <c r="D361" i="26"/>
  <c r="C361" i="26"/>
  <c r="B361" i="26"/>
  <c r="A361" i="26"/>
  <c r="L360" i="26"/>
  <c r="K360" i="26"/>
  <c r="J360" i="26"/>
  <c r="I360" i="26"/>
  <c r="H360" i="26"/>
  <c r="G360" i="26"/>
  <c r="F360" i="26"/>
  <c r="E360" i="26"/>
  <c r="D360" i="26"/>
  <c r="C360" i="26"/>
  <c r="B360" i="26"/>
  <c r="A360" i="26"/>
  <c r="L359" i="26"/>
  <c r="K359" i="26"/>
  <c r="J359" i="26"/>
  <c r="I359" i="26"/>
  <c r="H359" i="26"/>
  <c r="G359" i="26"/>
  <c r="F359" i="26"/>
  <c r="E359" i="26"/>
  <c r="D359" i="26"/>
  <c r="C359" i="26"/>
  <c r="B359" i="26"/>
  <c r="A359" i="26"/>
  <c r="L358" i="26"/>
  <c r="K358" i="26"/>
  <c r="J358" i="26"/>
  <c r="I358" i="26"/>
  <c r="H358" i="26"/>
  <c r="G358" i="26"/>
  <c r="F358" i="26"/>
  <c r="E358" i="26"/>
  <c r="D358" i="26"/>
  <c r="C358" i="26"/>
  <c r="B358" i="26"/>
  <c r="A358" i="26"/>
  <c r="L357" i="26"/>
  <c r="K357" i="26"/>
  <c r="J357" i="26"/>
  <c r="I357" i="26"/>
  <c r="H357" i="26"/>
  <c r="G357" i="26"/>
  <c r="F357" i="26"/>
  <c r="E357" i="26"/>
  <c r="D357" i="26"/>
  <c r="C357" i="26"/>
  <c r="B357" i="26"/>
  <c r="A357" i="26"/>
  <c r="L356" i="26"/>
  <c r="K356" i="26"/>
  <c r="J356" i="26"/>
  <c r="I356" i="26"/>
  <c r="H356" i="26"/>
  <c r="G356" i="26"/>
  <c r="F356" i="26"/>
  <c r="E356" i="26"/>
  <c r="D356" i="26"/>
  <c r="C356" i="26"/>
  <c r="B356" i="26"/>
  <c r="A356" i="26"/>
  <c r="L355" i="26"/>
  <c r="K355" i="26"/>
  <c r="J355" i="26"/>
  <c r="I355" i="26"/>
  <c r="H355" i="26"/>
  <c r="G355" i="26"/>
  <c r="F355" i="26"/>
  <c r="E355" i="26"/>
  <c r="D355" i="26"/>
  <c r="C355" i="26"/>
  <c r="B355" i="26"/>
  <c r="A355" i="26"/>
  <c r="L354" i="26"/>
  <c r="K354" i="26"/>
  <c r="J354" i="26"/>
  <c r="I354" i="26"/>
  <c r="H354" i="26"/>
  <c r="G354" i="26"/>
  <c r="F354" i="26"/>
  <c r="E354" i="26"/>
  <c r="D354" i="26"/>
  <c r="C354" i="26"/>
  <c r="B354" i="26"/>
  <c r="A354" i="26"/>
  <c r="L353" i="26"/>
  <c r="K353" i="26"/>
  <c r="J353" i="26"/>
  <c r="I353" i="26"/>
  <c r="H353" i="26"/>
  <c r="G353" i="26"/>
  <c r="F353" i="26"/>
  <c r="E353" i="26"/>
  <c r="D353" i="26"/>
  <c r="C353" i="26"/>
  <c r="B353" i="26"/>
  <c r="A353" i="26"/>
  <c r="L352" i="26"/>
  <c r="K352" i="26"/>
  <c r="J352" i="26"/>
  <c r="I352" i="26"/>
  <c r="H352" i="26"/>
  <c r="G352" i="26"/>
  <c r="F352" i="26"/>
  <c r="E352" i="26"/>
  <c r="D352" i="26"/>
  <c r="C352" i="26"/>
  <c r="B352" i="26"/>
  <c r="A352" i="26"/>
  <c r="L351" i="26"/>
  <c r="K351" i="26"/>
  <c r="J351" i="26"/>
  <c r="I351" i="26"/>
  <c r="H351" i="26"/>
  <c r="G351" i="26"/>
  <c r="F351" i="26"/>
  <c r="E351" i="26"/>
  <c r="D351" i="26"/>
  <c r="C351" i="26"/>
  <c r="B351" i="26"/>
  <c r="A351" i="26"/>
  <c r="L350" i="26"/>
  <c r="K350" i="26"/>
  <c r="J350" i="26"/>
  <c r="I350" i="26"/>
  <c r="H350" i="26"/>
  <c r="G350" i="26"/>
  <c r="F350" i="26"/>
  <c r="E350" i="26"/>
  <c r="D350" i="26"/>
  <c r="C350" i="26"/>
  <c r="B350" i="26"/>
  <c r="A350" i="26"/>
  <c r="L349" i="26"/>
  <c r="K349" i="26"/>
  <c r="J349" i="26"/>
  <c r="I349" i="26"/>
  <c r="H349" i="26"/>
  <c r="G349" i="26"/>
  <c r="F349" i="26"/>
  <c r="E349" i="26"/>
  <c r="D349" i="26"/>
  <c r="C349" i="26"/>
  <c r="B349" i="26"/>
  <c r="A349" i="26"/>
  <c r="L348" i="26"/>
  <c r="K348" i="26"/>
  <c r="J348" i="26"/>
  <c r="I348" i="26"/>
  <c r="H348" i="26"/>
  <c r="G348" i="26"/>
  <c r="F348" i="26"/>
  <c r="E348" i="26"/>
  <c r="D348" i="26"/>
  <c r="C348" i="26"/>
  <c r="B348" i="26"/>
  <c r="A348" i="26"/>
  <c r="L347" i="26"/>
  <c r="K347" i="26"/>
  <c r="J347" i="26"/>
  <c r="I347" i="26"/>
  <c r="H347" i="26"/>
  <c r="G347" i="26"/>
  <c r="F347" i="26"/>
  <c r="E347" i="26"/>
  <c r="D347" i="26"/>
  <c r="C347" i="26"/>
  <c r="B347" i="26"/>
  <c r="A347" i="26"/>
  <c r="L346" i="26"/>
  <c r="K346" i="26"/>
  <c r="J346" i="26"/>
  <c r="I346" i="26"/>
  <c r="H346" i="26"/>
  <c r="G346" i="26"/>
  <c r="F346" i="26"/>
  <c r="E346" i="26"/>
  <c r="D346" i="26"/>
  <c r="C346" i="26"/>
  <c r="B346" i="26"/>
  <c r="A346" i="26"/>
  <c r="L345" i="26"/>
  <c r="K345" i="26"/>
  <c r="J345" i="26"/>
  <c r="I345" i="26"/>
  <c r="H345" i="26"/>
  <c r="G345" i="26"/>
  <c r="F345" i="26"/>
  <c r="E345" i="26"/>
  <c r="D345" i="26"/>
  <c r="C345" i="26"/>
  <c r="B345" i="26"/>
  <c r="A345" i="26"/>
  <c r="L344" i="26"/>
  <c r="K344" i="26"/>
  <c r="J344" i="26"/>
  <c r="I344" i="26"/>
  <c r="H344" i="26"/>
  <c r="G344" i="26"/>
  <c r="F344" i="26"/>
  <c r="E344" i="26"/>
  <c r="D344" i="26"/>
  <c r="C344" i="26"/>
  <c r="B344" i="26"/>
  <c r="A344" i="26"/>
  <c r="L343" i="26"/>
  <c r="K343" i="26"/>
  <c r="J343" i="26"/>
  <c r="I343" i="26"/>
  <c r="H343" i="26"/>
  <c r="G343" i="26"/>
  <c r="F343" i="26"/>
  <c r="E343" i="26"/>
  <c r="D343" i="26"/>
  <c r="C343" i="26"/>
  <c r="B343" i="26"/>
  <c r="A343" i="26"/>
  <c r="L342" i="26"/>
  <c r="K342" i="26"/>
  <c r="J342" i="26"/>
  <c r="I342" i="26"/>
  <c r="H342" i="26"/>
  <c r="G342" i="26"/>
  <c r="F342" i="26"/>
  <c r="E342" i="26"/>
  <c r="D342" i="26"/>
  <c r="C342" i="26"/>
  <c r="B342" i="26"/>
  <c r="A342" i="26"/>
  <c r="L341" i="26"/>
  <c r="K341" i="26"/>
  <c r="J341" i="26"/>
  <c r="I341" i="26"/>
  <c r="H341" i="26"/>
  <c r="G341" i="26"/>
  <c r="F341" i="26"/>
  <c r="E341" i="26"/>
  <c r="D341" i="26"/>
  <c r="C341" i="26"/>
  <c r="B341" i="26"/>
  <c r="A341" i="26"/>
  <c r="L340" i="26"/>
  <c r="K340" i="26"/>
  <c r="J340" i="26"/>
  <c r="I340" i="26"/>
  <c r="H340" i="26"/>
  <c r="G340" i="26"/>
  <c r="F340" i="26"/>
  <c r="E340" i="26"/>
  <c r="D340" i="26"/>
  <c r="C340" i="26"/>
  <c r="B340" i="26"/>
  <c r="A340" i="26"/>
  <c r="L339" i="26"/>
  <c r="K339" i="26"/>
  <c r="J339" i="26"/>
  <c r="I339" i="26"/>
  <c r="H339" i="26"/>
  <c r="G339" i="26"/>
  <c r="F339" i="26"/>
  <c r="E339" i="26"/>
  <c r="D339" i="26"/>
  <c r="C339" i="26"/>
  <c r="B339" i="26"/>
  <c r="A339" i="26"/>
  <c r="L338" i="26"/>
  <c r="K338" i="26"/>
  <c r="J338" i="26"/>
  <c r="I338" i="26"/>
  <c r="H338" i="26"/>
  <c r="G338" i="26"/>
  <c r="F338" i="26"/>
  <c r="E338" i="26"/>
  <c r="D338" i="26"/>
  <c r="C338" i="26"/>
  <c r="B338" i="26"/>
  <c r="A338" i="26"/>
  <c r="L337" i="26"/>
  <c r="K337" i="26"/>
  <c r="J337" i="26"/>
  <c r="I337" i="26"/>
  <c r="H337" i="26"/>
  <c r="G337" i="26"/>
  <c r="F337" i="26"/>
  <c r="E337" i="26"/>
  <c r="D337" i="26"/>
  <c r="C337" i="26"/>
  <c r="B337" i="26"/>
  <c r="A337" i="26"/>
  <c r="L336" i="26"/>
  <c r="K336" i="26"/>
  <c r="J336" i="26"/>
  <c r="I336" i="26"/>
  <c r="H336" i="26"/>
  <c r="G336" i="26"/>
  <c r="F336" i="26"/>
  <c r="E336" i="26"/>
  <c r="D336" i="26"/>
  <c r="C336" i="26"/>
  <c r="B336" i="26"/>
  <c r="A336" i="26"/>
  <c r="L335" i="26"/>
  <c r="K335" i="26"/>
  <c r="J335" i="26"/>
  <c r="I335" i="26"/>
  <c r="H335" i="26"/>
  <c r="G335" i="26"/>
  <c r="F335" i="26"/>
  <c r="E335" i="26"/>
  <c r="D335" i="26"/>
  <c r="C335" i="26"/>
  <c r="B335" i="26"/>
  <c r="A335" i="26"/>
  <c r="L334" i="26"/>
  <c r="K334" i="26"/>
  <c r="J334" i="26"/>
  <c r="I334" i="26"/>
  <c r="H334" i="26"/>
  <c r="G334" i="26"/>
  <c r="F334" i="26"/>
  <c r="E334" i="26"/>
  <c r="D334" i="26"/>
  <c r="C334" i="26"/>
  <c r="B334" i="26"/>
  <c r="A334" i="26"/>
  <c r="L333" i="26"/>
  <c r="K333" i="26"/>
  <c r="J333" i="26"/>
  <c r="I333" i="26"/>
  <c r="H333" i="26"/>
  <c r="G333" i="26"/>
  <c r="F333" i="26"/>
  <c r="E333" i="26"/>
  <c r="D333" i="26"/>
  <c r="C333" i="26"/>
  <c r="B333" i="26"/>
  <c r="A333" i="26"/>
  <c r="L332" i="26"/>
  <c r="K332" i="26"/>
  <c r="J332" i="26"/>
  <c r="I332" i="26"/>
  <c r="H332" i="26"/>
  <c r="G332" i="26"/>
  <c r="F332" i="26"/>
  <c r="E332" i="26"/>
  <c r="D332" i="26"/>
  <c r="C332" i="26"/>
  <c r="B332" i="26"/>
  <c r="A332" i="26"/>
  <c r="L331" i="26"/>
  <c r="K331" i="26"/>
  <c r="J331" i="26"/>
  <c r="I331" i="26"/>
  <c r="H331" i="26"/>
  <c r="G331" i="26"/>
  <c r="F331" i="26"/>
  <c r="E331" i="26"/>
  <c r="D331" i="26"/>
  <c r="C331" i="26"/>
  <c r="B331" i="26"/>
  <c r="A331" i="26"/>
  <c r="L330" i="26"/>
  <c r="K330" i="26"/>
  <c r="J330" i="26"/>
  <c r="I330" i="26"/>
  <c r="H330" i="26"/>
  <c r="G330" i="26"/>
  <c r="F330" i="26"/>
  <c r="E330" i="26"/>
  <c r="D330" i="26"/>
  <c r="C330" i="26"/>
  <c r="B330" i="26"/>
  <c r="A330" i="26"/>
  <c r="L329" i="26"/>
  <c r="K329" i="26"/>
  <c r="J329" i="26"/>
  <c r="I329" i="26"/>
  <c r="H329" i="26"/>
  <c r="G329" i="26"/>
  <c r="F329" i="26"/>
  <c r="E329" i="26"/>
  <c r="D329" i="26"/>
  <c r="C329" i="26"/>
  <c r="B329" i="26"/>
  <c r="A329" i="26"/>
  <c r="L328" i="26"/>
  <c r="K328" i="26"/>
  <c r="J328" i="26"/>
  <c r="I328" i="26"/>
  <c r="H328" i="26"/>
  <c r="G328" i="26"/>
  <c r="F328" i="26"/>
  <c r="E328" i="26"/>
  <c r="D328" i="26"/>
  <c r="C328" i="26"/>
  <c r="B328" i="26"/>
  <c r="A328" i="26"/>
  <c r="L327" i="26"/>
  <c r="K327" i="26"/>
  <c r="J327" i="26"/>
  <c r="I327" i="26"/>
  <c r="H327" i="26"/>
  <c r="G327" i="26"/>
  <c r="F327" i="26"/>
  <c r="E327" i="26"/>
  <c r="D327" i="26"/>
  <c r="C327" i="26"/>
  <c r="B327" i="26"/>
  <c r="A327" i="26"/>
  <c r="L326" i="26"/>
  <c r="K326" i="26"/>
  <c r="J326" i="26"/>
  <c r="I326" i="26"/>
  <c r="H326" i="26"/>
  <c r="G326" i="26"/>
  <c r="F326" i="26"/>
  <c r="E326" i="26"/>
  <c r="D326" i="26"/>
  <c r="C326" i="26"/>
  <c r="B326" i="26"/>
  <c r="A326" i="26"/>
  <c r="L325" i="26"/>
  <c r="K325" i="26"/>
  <c r="J325" i="26"/>
  <c r="I325" i="26"/>
  <c r="H325" i="26"/>
  <c r="G325" i="26"/>
  <c r="F325" i="26"/>
  <c r="E325" i="26"/>
  <c r="D325" i="26"/>
  <c r="C325" i="26"/>
  <c r="B325" i="26"/>
  <c r="A325" i="26"/>
  <c r="L324" i="26"/>
  <c r="K324" i="26"/>
  <c r="J324" i="26"/>
  <c r="I324" i="26"/>
  <c r="H324" i="26"/>
  <c r="G324" i="26"/>
  <c r="F324" i="26"/>
  <c r="E324" i="26"/>
  <c r="D324" i="26"/>
  <c r="C324" i="26"/>
  <c r="B324" i="26"/>
  <c r="A324" i="26"/>
  <c r="L323" i="26"/>
  <c r="K323" i="26"/>
  <c r="J323" i="26"/>
  <c r="I323" i="26"/>
  <c r="H323" i="26"/>
  <c r="G323" i="26"/>
  <c r="F323" i="26"/>
  <c r="E323" i="26"/>
  <c r="D323" i="26"/>
  <c r="C323" i="26"/>
  <c r="B323" i="26"/>
  <c r="A323" i="26"/>
  <c r="L322" i="26"/>
  <c r="K322" i="26"/>
  <c r="J322" i="26"/>
  <c r="I322" i="26"/>
  <c r="H322" i="26"/>
  <c r="G322" i="26"/>
  <c r="F322" i="26"/>
  <c r="E322" i="26"/>
  <c r="D322" i="26"/>
  <c r="C322" i="26"/>
  <c r="B322" i="26"/>
  <c r="A322" i="26"/>
  <c r="L321" i="26"/>
  <c r="K321" i="26"/>
  <c r="J321" i="26"/>
  <c r="I321" i="26"/>
  <c r="H321" i="26"/>
  <c r="G321" i="26"/>
  <c r="F321" i="26"/>
  <c r="E321" i="26"/>
  <c r="D321" i="26"/>
  <c r="C321" i="26"/>
  <c r="B321" i="26"/>
  <c r="A321" i="26"/>
  <c r="L320" i="26"/>
  <c r="K320" i="26"/>
  <c r="J320" i="26"/>
  <c r="I320" i="26"/>
  <c r="H320" i="26"/>
  <c r="G320" i="26"/>
  <c r="F320" i="26"/>
  <c r="E320" i="26"/>
  <c r="D320" i="26"/>
  <c r="C320" i="26"/>
  <c r="B320" i="26"/>
  <c r="A320" i="26"/>
  <c r="L319" i="26"/>
  <c r="K319" i="26"/>
  <c r="J319" i="26"/>
  <c r="I319" i="26"/>
  <c r="H319" i="26"/>
  <c r="G319" i="26"/>
  <c r="F319" i="26"/>
  <c r="E319" i="26"/>
  <c r="D319" i="26"/>
  <c r="C319" i="26"/>
  <c r="B319" i="26"/>
  <c r="A319" i="26"/>
  <c r="L318" i="26"/>
  <c r="K318" i="26"/>
  <c r="J318" i="26"/>
  <c r="I318" i="26"/>
  <c r="H318" i="26"/>
  <c r="G318" i="26"/>
  <c r="F318" i="26"/>
  <c r="E318" i="26"/>
  <c r="D318" i="26"/>
  <c r="C318" i="26"/>
  <c r="B318" i="26"/>
  <c r="A318" i="26"/>
  <c r="L317" i="26"/>
  <c r="K317" i="26"/>
  <c r="J317" i="26"/>
  <c r="I317" i="26"/>
  <c r="H317" i="26"/>
  <c r="G317" i="26"/>
  <c r="F317" i="26"/>
  <c r="E317" i="26"/>
  <c r="D317" i="26"/>
  <c r="C317" i="26"/>
  <c r="B317" i="26"/>
  <c r="A317" i="26"/>
  <c r="L316" i="26"/>
  <c r="K316" i="26"/>
  <c r="J316" i="26"/>
  <c r="I316" i="26"/>
  <c r="H316" i="26"/>
  <c r="G316" i="26"/>
  <c r="F316" i="26"/>
  <c r="E316" i="26"/>
  <c r="D316" i="26"/>
  <c r="C316" i="26"/>
  <c r="B316" i="26"/>
  <c r="A316" i="26"/>
  <c r="L315" i="26"/>
  <c r="K315" i="26"/>
  <c r="J315" i="26"/>
  <c r="I315" i="26"/>
  <c r="H315" i="26"/>
  <c r="G315" i="26"/>
  <c r="F315" i="26"/>
  <c r="E315" i="26"/>
  <c r="D315" i="26"/>
  <c r="C315" i="26"/>
  <c r="B315" i="26"/>
  <c r="A315" i="26"/>
  <c r="L314" i="26"/>
  <c r="K314" i="26"/>
  <c r="J314" i="26"/>
  <c r="I314" i="26"/>
  <c r="H314" i="26"/>
  <c r="G314" i="26"/>
  <c r="F314" i="26"/>
  <c r="E314" i="26"/>
  <c r="D314" i="26"/>
  <c r="C314" i="26"/>
  <c r="B314" i="26"/>
  <c r="A314" i="26"/>
  <c r="L313" i="26"/>
  <c r="K313" i="26"/>
  <c r="J313" i="26"/>
  <c r="I313" i="26"/>
  <c r="H313" i="26"/>
  <c r="G313" i="26"/>
  <c r="F313" i="26"/>
  <c r="E313" i="26"/>
  <c r="D313" i="26"/>
  <c r="C313" i="26"/>
  <c r="B313" i="26"/>
  <c r="A313" i="26"/>
  <c r="L312" i="26"/>
  <c r="K312" i="26"/>
  <c r="J312" i="26"/>
  <c r="I312" i="26"/>
  <c r="H312" i="26"/>
  <c r="G312" i="26"/>
  <c r="F312" i="26"/>
  <c r="E312" i="26"/>
  <c r="D312" i="26"/>
  <c r="C312" i="26"/>
  <c r="B312" i="26"/>
  <c r="A312" i="26"/>
  <c r="L311" i="26"/>
  <c r="K311" i="26"/>
  <c r="J311" i="26"/>
  <c r="I311" i="26"/>
  <c r="H311" i="26"/>
  <c r="G311" i="26"/>
  <c r="F311" i="26"/>
  <c r="E311" i="26"/>
  <c r="D311" i="26"/>
  <c r="C311" i="26"/>
  <c r="B311" i="26"/>
  <c r="A311" i="26"/>
  <c r="L310" i="26"/>
  <c r="K310" i="26"/>
  <c r="J310" i="26"/>
  <c r="I310" i="26"/>
  <c r="H310" i="26"/>
  <c r="G310" i="26"/>
  <c r="F310" i="26"/>
  <c r="E310" i="26"/>
  <c r="D310" i="26"/>
  <c r="C310" i="26"/>
  <c r="B310" i="26"/>
  <c r="A310" i="26"/>
  <c r="L309" i="26"/>
  <c r="K309" i="26"/>
  <c r="J309" i="26"/>
  <c r="I309" i="26"/>
  <c r="H309" i="26"/>
  <c r="G309" i="26"/>
  <c r="F309" i="26"/>
  <c r="E309" i="26"/>
  <c r="D309" i="26"/>
  <c r="C309" i="26"/>
  <c r="B309" i="26"/>
  <c r="A309" i="26"/>
  <c r="L308" i="26"/>
  <c r="K308" i="26"/>
  <c r="J308" i="26"/>
  <c r="I308" i="26"/>
  <c r="H308" i="26"/>
  <c r="G308" i="26"/>
  <c r="F308" i="26"/>
  <c r="E308" i="26"/>
  <c r="D308" i="26"/>
  <c r="C308" i="26"/>
  <c r="B308" i="26"/>
  <c r="A308" i="26"/>
  <c r="L307" i="26"/>
  <c r="K307" i="26"/>
  <c r="J307" i="26"/>
  <c r="I307" i="26"/>
  <c r="H307" i="26"/>
  <c r="G307" i="26"/>
  <c r="F307" i="26"/>
  <c r="E307" i="26"/>
  <c r="D307" i="26"/>
  <c r="C307" i="26"/>
  <c r="B307" i="26"/>
  <c r="A307" i="26"/>
  <c r="L306" i="26"/>
  <c r="K306" i="26"/>
  <c r="J306" i="26"/>
  <c r="I306" i="26"/>
  <c r="H306" i="26"/>
  <c r="G306" i="26"/>
  <c r="F306" i="26"/>
  <c r="E306" i="26"/>
  <c r="D306" i="26"/>
  <c r="C306" i="26"/>
  <c r="B306" i="26"/>
  <c r="A306" i="26"/>
  <c r="L305" i="26"/>
  <c r="K305" i="26"/>
  <c r="J305" i="26"/>
  <c r="I305" i="26"/>
  <c r="H305" i="26"/>
  <c r="G305" i="26"/>
  <c r="F305" i="26"/>
  <c r="E305" i="26"/>
  <c r="D305" i="26"/>
  <c r="C305" i="26"/>
  <c r="B305" i="26"/>
  <c r="A305" i="26"/>
  <c r="L304" i="26"/>
  <c r="K304" i="26"/>
  <c r="J304" i="26"/>
  <c r="I304" i="26"/>
  <c r="H304" i="26"/>
  <c r="G304" i="26"/>
  <c r="F304" i="26"/>
  <c r="E304" i="26"/>
  <c r="D304" i="26"/>
  <c r="C304" i="26"/>
  <c r="B304" i="26"/>
  <c r="A304" i="26"/>
  <c r="L303" i="26"/>
  <c r="K303" i="26"/>
  <c r="J303" i="26"/>
  <c r="I303" i="26"/>
  <c r="H303" i="26"/>
  <c r="G303" i="26"/>
  <c r="F303" i="26"/>
  <c r="E303" i="26"/>
  <c r="D303" i="26"/>
  <c r="C303" i="26"/>
  <c r="B303" i="26"/>
  <c r="A303" i="26"/>
  <c r="L302" i="26"/>
  <c r="K302" i="26"/>
  <c r="J302" i="26"/>
  <c r="I302" i="26"/>
  <c r="H302" i="26"/>
  <c r="G302" i="26"/>
  <c r="F302" i="26"/>
  <c r="E302" i="26"/>
  <c r="D302" i="26"/>
  <c r="C302" i="26"/>
  <c r="B302" i="26"/>
  <c r="A302" i="26"/>
  <c r="L301" i="26"/>
  <c r="K301" i="26"/>
  <c r="J301" i="26"/>
  <c r="I301" i="26"/>
  <c r="H301" i="26"/>
  <c r="G301" i="26"/>
  <c r="F301" i="26"/>
  <c r="E301" i="26"/>
  <c r="D301" i="26"/>
  <c r="C301" i="26"/>
  <c r="B301" i="26"/>
  <c r="A301" i="26"/>
  <c r="L300" i="26"/>
  <c r="K300" i="26"/>
  <c r="J300" i="26"/>
  <c r="I300" i="26"/>
  <c r="H300" i="26"/>
  <c r="G300" i="26"/>
  <c r="F300" i="26"/>
  <c r="E300" i="26"/>
  <c r="D300" i="26"/>
  <c r="C300" i="26"/>
  <c r="B300" i="26"/>
  <c r="A300" i="26"/>
  <c r="L299" i="26"/>
  <c r="K299" i="26"/>
  <c r="J299" i="26"/>
  <c r="I299" i="26"/>
  <c r="H299" i="26"/>
  <c r="G299" i="26"/>
  <c r="F299" i="26"/>
  <c r="E299" i="26"/>
  <c r="D299" i="26"/>
  <c r="C299" i="26"/>
  <c r="B299" i="26"/>
  <c r="A299" i="26"/>
  <c r="L298" i="26"/>
  <c r="K298" i="26"/>
  <c r="J298" i="26"/>
  <c r="I298" i="26"/>
  <c r="H298" i="26"/>
  <c r="G298" i="26"/>
  <c r="F298" i="26"/>
  <c r="E298" i="26"/>
  <c r="D298" i="26"/>
  <c r="C298" i="26"/>
  <c r="B298" i="26"/>
  <c r="A298" i="26"/>
  <c r="L297" i="26"/>
  <c r="K297" i="26"/>
  <c r="J297" i="26"/>
  <c r="I297" i="26"/>
  <c r="H297" i="26"/>
  <c r="G297" i="26"/>
  <c r="F297" i="26"/>
  <c r="E297" i="26"/>
  <c r="D297" i="26"/>
  <c r="C297" i="26"/>
  <c r="B297" i="26"/>
  <c r="A297" i="26"/>
  <c r="L296" i="26"/>
  <c r="K296" i="26"/>
  <c r="J296" i="26"/>
  <c r="I296" i="26"/>
  <c r="H296" i="26"/>
  <c r="G296" i="26"/>
  <c r="F296" i="26"/>
  <c r="E296" i="26"/>
  <c r="D296" i="26"/>
  <c r="C296" i="26"/>
  <c r="B296" i="26"/>
  <c r="A296" i="26"/>
  <c r="L295" i="26"/>
  <c r="K295" i="26"/>
  <c r="J295" i="26"/>
  <c r="I295" i="26"/>
  <c r="H295" i="26"/>
  <c r="G295" i="26"/>
  <c r="F295" i="26"/>
  <c r="E295" i="26"/>
  <c r="D295" i="26"/>
  <c r="C295" i="26"/>
  <c r="B295" i="26"/>
  <c r="A295" i="26"/>
  <c r="L294" i="26"/>
  <c r="K294" i="26"/>
  <c r="J294" i="26"/>
  <c r="I294" i="26"/>
  <c r="H294" i="26"/>
  <c r="G294" i="26"/>
  <c r="F294" i="26"/>
  <c r="E294" i="26"/>
  <c r="D294" i="26"/>
  <c r="C294" i="26"/>
  <c r="B294" i="26"/>
  <c r="A294" i="26"/>
  <c r="L293" i="26"/>
  <c r="K293" i="26"/>
  <c r="J293" i="26"/>
  <c r="I293" i="26"/>
  <c r="H293" i="26"/>
  <c r="G293" i="26"/>
  <c r="F293" i="26"/>
  <c r="E293" i="26"/>
  <c r="D293" i="26"/>
  <c r="C293" i="26"/>
  <c r="B293" i="26"/>
  <c r="A293" i="26"/>
  <c r="L292" i="26"/>
  <c r="K292" i="26"/>
  <c r="J292" i="26"/>
  <c r="I292" i="26"/>
  <c r="H292" i="26"/>
  <c r="G292" i="26"/>
  <c r="F292" i="26"/>
  <c r="E292" i="26"/>
  <c r="D292" i="26"/>
  <c r="C292" i="26"/>
  <c r="B292" i="26"/>
  <c r="A292" i="26"/>
  <c r="L291" i="26"/>
  <c r="K291" i="26"/>
  <c r="J291" i="26"/>
  <c r="I291" i="26"/>
  <c r="H291" i="26"/>
  <c r="G291" i="26"/>
  <c r="F291" i="26"/>
  <c r="E291" i="26"/>
  <c r="D291" i="26"/>
  <c r="C291" i="26"/>
  <c r="B291" i="26"/>
  <c r="A291" i="26"/>
  <c r="L290" i="26"/>
  <c r="K290" i="26"/>
  <c r="J290" i="26"/>
  <c r="I290" i="26"/>
  <c r="H290" i="26"/>
  <c r="G290" i="26"/>
  <c r="F290" i="26"/>
  <c r="E290" i="26"/>
  <c r="D290" i="26"/>
  <c r="C290" i="26"/>
  <c r="B290" i="26"/>
  <c r="A290" i="26"/>
  <c r="L289" i="26"/>
  <c r="K289" i="26"/>
  <c r="J289" i="26"/>
  <c r="I289" i="26"/>
  <c r="H289" i="26"/>
  <c r="G289" i="26"/>
  <c r="F289" i="26"/>
  <c r="E289" i="26"/>
  <c r="D289" i="26"/>
  <c r="C289" i="26"/>
  <c r="B289" i="26"/>
  <c r="A289" i="26"/>
  <c r="L288" i="26"/>
  <c r="K288" i="26"/>
  <c r="J288" i="26"/>
  <c r="I288" i="26"/>
  <c r="H288" i="26"/>
  <c r="G288" i="26"/>
  <c r="F288" i="26"/>
  <c r="E288" i="26"/>
  <c r="D288" i="26"/>
  <c r="C288" i="26"/>
  <c r="B288" i="26"/>
  <c r="A288" i="26"/>
  <c r="L287" i="26"/>
  <c r="K287" i="26"/>
  <c r="J287" i="26"/>
  <c r="I287" i="26"/>
  <c r="H287" i="26"/>
  <c r="G287" i="26"/>
  <c r="F287" i="26"/>
  <c r="E287" i="26"/>
  <c r="D287" i="26"/>
  <c r="C287" i="26"/>
  <c r="B287" i="26"/>
  <c r="A287" i="26"/>
  <c r="L286" i="26"/>
  <c r="K286" i="26"/>
  <c r="J286" i="26"/>
  <c r="I286" i="26"/>
  <c r="H286" i="26"/>
  <c r="G286" i="26"/>
  <c r="F286" i="26"/>
  <c r="E286" i="26"/>
  <c r="D286" i="26"/>
  <c r="C286" i="26"/>
  <c r="B286" i="26"/>
  <c r="A286" i="26"/>
  <c r="L285" i="26"/>
  <c r="K285" i="26"/>
  <c r="J285" i="26"/>
  <c r="I285" i="26"/>
  <c r="H285" i="26"/>
  <c r="G285" i="26"/>
  <c r="F285" i="26"/>
  <c r="E285" i="26"/>
  <c r="D285" i="26"/>
  <c r="C285" i="26"/>
  <c r="B285" i="26"/>
  <c r="A285" i="26"/>
  <c r="L284" i="26"/>
  <c r="K284" i="26"/>
  <c r="J284" i="26"/>
  <c r="I284" i="26"/>
  <c r="H284" i="26"/>
  <c r="G284" i="26"/>
  <c r="F284" i="26"/>
  <c r="E284" i="26"/>
  <c r="D284" i="26"/>
  <c r="C284" i="26"/>
  <c r="B284" i="26"/>
  <c r="A284" i="26"/>
  <c r="L283" i="26"/>
  <c r="K283" i="26"/>
  <c r="J283" i="26"/>
  <c r="I283" i="26"/>
  <c r="H283" i="26"/>
  <c r="G283" i="26"/>
  <c r="F283" i="26"/>
  <c r="E283" i="26"/>
  <c r="D283" i="26"/>
  <c r="C283" i="26"/>
  <c r="B283" i="26"/>
  <c r="A283" i="26"/>
  <c r="L282" i="26"/>
  <c r="K282" i="26"/>
  <c r="J282" i="26"/>
  <c r="I282" i="26"/>
  <c r="H282" i="26"/>
  <c r="G282" i="26"/>
  <c r="F282" i="26"/>
  <c r="E282" i="26"/>
  <c r="D282" i="26"/>
  <c r="C282" i="26"/>
  <c r="B282" i="26"/>
  <c r="A282" i="26"/>
  <c r="L281" i="26"/>
  <c r="K281" i="26"/>
  <c r="J281" i="26"/>
  <c r="I281" i="26"/>
  <c r="H281" i="26"/>
  <c r="G281" i="26"/>
  <c r="F281" i="26"/>
  <c r="E281" i="26"/>
  <c r="D281" i="26"/>
  <c r="C281" i="26"/>
  <c r="B281" i="26"/>
  <c r="A281" i="26"/>
  <c r="L280" i="26"/>
  <c r="K280" i="26"/>
  <c r="J280" i="26"/>
  <c r="I280" i="26"/>
  <c r="H280" i="26"/>
  <c r="G280" i="26"/>
  <c r="F280" i="26"/>
  <c r="E280" i="26"/>
  <c r="D280" i="26"/>
  <c r="C280" i="26"/>
  <c r="B280" i="26"/>
  <c r="A280" i="26"/>
  <c r="L279" i="26"/>
  <c r="K279" i="26"/>
  <c r="J279" i="26"/>
  <c r="I279" i="26"/>
  <c r="H279" i="26"/>
  <c r="G279" i="26"/>
  <c r="F279" i="26"/>
  <c r="E279" i="26"/>
  <c r="D279" i="26"/>
  <c r="C279" i="26"/>
  <c r="B279" i="26"/>
  <c r="A279" i="26"/>
  <c r="L278" i="26"/>
  <c r="K278" i="26"/>
  <c r="J278" i="26"/>
  <c r="I278" i="26"/>
  <c r="H278" i="26"/>
  <c r="G278" i="26"/>
  <c r="F278" i="26"/>
  <c r="E278" i="26"/>
  <c r="D278" i="26"/>
  <c r="C278" i="26"/>
  <c r="B278" i="26"/>
  <c r="A278" i="26"/>
  <c r="L277" i="26"/>
  <c r="K277" i="26"/>
  <c r="J277" i="26"/>
  <c r="I277" i="26"/>
  <c r="H277" i="26"/>
  <c r="G277" i="26"/>
  <c r="F277" i="26"/>
  <c r="E277" i="26"/>
  <c r="D277" i="26"/>
  <c r="C277" i="26"/>
  <c r="B277" i="26"/>
  <c r="A277" i="26"/>
  <c r="L276" i="26"/>
  <c r="K276" i="26"/>
  <c r="J276" i="26"/>
  <c r="I276" i="26"/>
  <c r="H276" i="26"/>
  <c r="G276" i="26"/>
  <c r="F276" i="26"/>
  <c r="E276" i="26"/>
  <c r="D276" i="26"/>
  <c r="C276" i="26"/>
  <c r="B276" i="26"/>
  <c r="A276" i="26"/>
  <c r="L275" i="26"/>
  <c r="K275" i="26"/>
  <c r="J275" i="26"/>
  <c r="I275" i="26"/>
  <c r="H275" i="26"/>
  <c r="G275" i="26"/>
  <c r="F275" i="26"/>
  <c r="E275" i="26"/>
  <c r="D275" i="26"/>
  <c r="C275" i="26"/>
  <c r="B275" i="26"/>
  <c r="A275" i="26"/>
  <c r="L274" i="26"/>
  <c r="K274" i="26"/>
  <c r="J274" i="26"/>
  <c r="I274" i="26"/>
  <c r="H274" i="26"/>
  <c r="G274" i="26"/>
  <c r="F274" i="26"/>
  <c r="E274" i="26"/>
  <c r="D274" i="26"/>
  <c r="C274" i="26"/>
  <c r="B274" i="26"/>
  <c r="A274" i="26"/>
  <c r="L273" i="26"/>
  <c r="K273" i="26"/>
  <c r="J273" i="26"/>
  <c r="I273" i="26"/>
  <c r="H273" i="26"/>
  <c r="G273" i="26"/>
  <c r="F273" i="26"/>
  <c r="E273" i="26"/>
  <c r="D273" i="26"/>
  <c r="C273" i="26"/>
  <c r="B273" i="26"/>
  <c r="A273" i="26"/>
  <c r="L272" i="26"/>
  <c r="K272" i="26"/>
  <c r="J272" i="26"/>
  <c r="I272" i="26"/>
  <c r="H272" i="26"/>
  <c r="G272" i="26"/>
  <c r="F272" i="26"/>
  <c r="E272" i="26"/>
  <c r="D272" i="26"/>
  <c r="C272" i="26"/>
  <c r="B272" i="26"/>
  <c r="A272" i="26"/>
  <c r="L271" i="26"/>
  <c r="K271" i="26"/>
  <c r="J271" i="26"/>
  <c r="I271" i="26"/>
  <c r="H271" i="26"/>
  <c r="G271" i="26"/>
  <c r="F271" i="26"/>
  <c r="E271" i="26"/>
  <c r="D271" i="26"/>
  <c r="C271" i="26"/>
  <c r="B271" i="26"/>
  <c r="A271" i="26"/>
  <c r="L270" i="26"/>
  <c r="K270" i="26"/>
  <c r="J270" i="26"/>
  <c r="I270" i="26"/>
  <c r="H270" i="26"/>
  <c r="G270" i="26"/>
  <c r="F270" i="26"/>
  <c r="E270" i="26"/>
  <c r="D270" i="26"/>
  <c r="C270" i="26"/>
  <c r="B270" i="26"/>
  <c r="A270" i="26"/>
  <c r="L269" i="26"/>
  <c r="K269" i="26"/>
  <c r="J269" i="26"/>
  <c r="I269" i="26"/>
  <c r="H269" i="26"/>
  <c r="G269" i="26"/>
  <c r="F269" i="26"/>
  <c r="E269" i="26"/>
  <c r="D269" i="26"/>
  <c r="C269" i="26"/>
  <c r="B269" i="26"/>
  <c r="A269" i="26"/>
  <c r="L268" i="26"/>
  <c r="K268" i="26"/>
  <c r="J268" i="26"/>
  <c r="I268" i="26"/>
  <c r="H268" i="26"/>
  <c r="G268" i="26"/>
  <c r="F268" i="26"/>
  <c r="E268" i="26"/>
  <c r="D268" i="26"/>
  <c r="C268" i="26"/>
  <c r="B268" i="26"/>
  <c r="A268" i="26"/>
  <c r="L267" i="26"/>
  <c r="K267" i="26"/>
  <c r="J267" i="26"/>
  <c r="I267" i="26"/>
  <c r="H267" i="26"/>
  <c r="G267" i="26"/>
  <c r="F267" i="26"/>
  <c r="E267" i="26"/>
  <c r="D267" i="26"/>
  <c r="C267" i="26"/>
  <c r="B267" i="26"/>
  <c r="A267" i="26"/>
  <c r="L266" i="26"/>
  <c r="K266" i="26"/>
  <c r="J266" i="26"/>
  <c r="I266" i="26"/>
  <c r="H266" i="26"/>
  <c r="G266" i="26"/>
  <c r="F266" i="26"/>
  <c r="E266" i="26"/>
  <c r="D266" i="26"/>
  <c r="C266" i="26"/>
  <c r="B266" i="26"/>
  <c r="A266" i="26"/>
  <c r="L265" i="26"/>
  <c r="K265" i="26"/>
  <c r="J265" i="26"/>
  <c r="I265" i="26"/>
  <c r="H265" i="26"/>
  <c r="G265" i="26"/>
  <c r="F265" i="26"/>
  <c r="E265" i="26"/>
  <c r="D265" i="26"/>
  <c r="C265" i="26"/>
  <c r="B265" i="26"/>
  <c r="A265" i="26"/>
  <c r="L264" i="26"/>
  <c r="K264" i="26"/>
  <c r="J264" i="26"/>
  <c r="I264" i="26"/>
  <c r="H264" i="26"/>
  <c r="G264" i="26"/>
  <c r="F264" i="26"/>
  <c r="E264" i="26"/>
  <c r="D264" i="26"/>
  <c r="C264" i="26"/>
  <c r="B264" i="26"/>
  <c r="A264" i="26"/>
  <c r="L263" i="26"/>
  <c r="K263" i="26"/>
  <c r="J263" i="26"/>
  <c r="I263" i="26"/>
  <c r="H263" i="26"/>
  <c r="G263" i="26"/>
  <c r="F263" i="26"/>
  <c r="E263" i="26"/>
  <c r="D263" i="26"/>
  <c r="C263" i="26"/>
  <c r="B263" i="26"/>
  <c r="A263" i="26"/>
  <c r="L262" i="26"/>
  <c r="K262" i="26"/>
  <c r="J262" i="26"/>
  <c r="I262" i="26"/>
  <c r="H262" i="26"/>
  <c r="G262" i="26"/>
  <c r="F262" i="26"/>
  <c r="E262" i="26"/>
  <c r="D262" i="26"/>
  <c r="C262" i="26"/>
  <c r="B262" i="26"/>
  <c r="A262" i="26"/>
  <c r="L261" i="26"/>
  <c r="K261" i="26"/>
  <c r="J261" i="26"/>
  <c r="I261" i="26"/>
  <c r="H261" i="26"/>
  <c r="G261" i="26"/>
  <c r="F261" i="26"/>
  <c r="E261" i="26"/>
  <c r="D261" i="26"/>
  <c r="C261" i="26"/>
  <c r="B261" i="26"/>
  <c r="A261" i="26"/>
  <c r="L260" i="26"/>
  <c r="K260" i="26"/>
  <c r="J260" i="26"/>
  <c r="I260" i="26"/>
  <c r="H260" i="26"/>
  <c r="G260" i="26"/>
  <c r="F260" i="26"/>
  <c r="E260" i="26"/>
  <c r="D260" i="26"/>
  <c r="C260" i="26"/>
  <c r="B260" i="26"/>
  <c r="A260" i="26"/>
  <c r="L259" i="26"/>
  <c r="K259" i="26"/>
  <c r="J259" i="26"/>
  <c r="I259" i="26"/>
  <c r="H259" i="26"/>
  <c r="G259" i="26"/>
  <c r="F259" i="26"/>
  <c r="E259" i="26"/>
  <c r="D259" i="26"/>
  <c r="C259" i="26"/>
  <c r="B259" i="26"/>
  <c r="A259" i="26"/>
  <c r="L258" i="26"/>
  <c r="K258" i="26"/>
  <c r="J258" i="26"/>
  <c r="I258" i="26"/>
  <c r="H258" i="26"/>
  <c r="G258" i="26"/>
  <c r="F258" i="26"/>
  <c r="E258" i="26"/>
  <c r="D258" i="26"/>
  <c r="C258" i="26"/>
  <c r="B258" i="26"/>
  <c r="A258" i="26"/>
  <c r="L257" i="26"/>
  <c r="K257" i="26"/>
  <c r="J257" i="26"/>
  <c r="I257" i="26"/>
  <c r="H257" i="26"/>
  <c r="G257" i="26"/>
  <c r="F257" i="26"/>
  <c r="E257" i="26"/>
  <c r="D257" i="26"/>
  <c r="C257" i="26"/>
  <c r="B257" i="26"/>
  <c r="A257" i="26"/>
  <c r="L256" i="26"/>
  <c r="K256" i="26"/>
  <c r="J256" i="26"/>
  <c r="I256" i="26"/>
  <c r="H256" i="26"/>
  <c r="G256" i="26"/>
  <c r="F256" i="26"/>
  <c r="E256" i="26"/>
  <c r="D256" i="26"/>
  <c r="C256" i="26"/>
  <c r="B256" i="26"/>
  <c r="A256" i="26"/>
  <c r="L255" i="26"/>
  <c r="K255" i="26"/>
  <c r="J255" i="26"/>
  <c r="I255" i="26"/>
  <c r="H255" i="26"/>
  <c r="G255" i="26"/>
  <c r="F255" i="26"/>
  <c r="E255" i="26"/>
  <c r="D255" i="26"/>
  <c r="C255" i="26"/>
  <c r="B255" i="26"/>
  <c r="A255" i="26"/>
  <c r="L254" i="26"/>
  <c r="K254" i="26"/>
  <c r="J254" i="26"/>
  <c r="I254" i="26"/>
  <c r="H254" i="26"/>
  <c r="G254" i="26"/>
  <c r="F254" i="26"/>
  <c r="E254" i="26"/>
  <c r="D254" i="26"/>
  <c r="C254" i="26"/>
  <c r="B254" i="26"/>
  <c r="A254" i="26"/>
  <c r="L253" i="26"/>
  <c r="K253" i="26"/>
  <c r="J253" i="26"/>
  <c r="I253" i="26"/>
  <c r="H253" i="26"/>
  <c r="G253" i="26"/>
  <c r="F253" i="26"/>
  <c r="E253" i="26"/>
  <c r="D253" i="26"/>
  <c r="C253" i="26"/>
  <c r="B253" i="26"/>
  <c r="A253" i="26"/>
  <c r="L252" i="26"/>
  <c r="K252" i="26"/>
  <c r="J252" i="26"/>
  <c r="I252" i="26"/>
  <c r="H252" i="26"/>
  <c r="G252" i="26"/>
  <c r="F252" i="26"/>
  <c r="E252" i="26"/>
  <c r="D252" i="26"/>
  <c r="C252" i="26"/>
  <c r="B252" i="26"/>
  <c r="A252" i="26"/>
  <c r="L251" i="26"/>
  <c r="K251" i="26"/>
  <c r="J251" i="26"/>
  <c r="I251" i="26"/>
  <c r="H251" i="26"/>
  <c r="G251" i="26"/>
  <c r="F251" i="26"/>
  <c r="E251" i="26"/>
  <c r="D251" i="26"/>
  <c r="C251" i="26"/>
  <c r="B251" i="26"/>
  <c r="A251" i="26"/>
  <c r="L250" i="26"/>
  <c r="K250" i="26"/>
  <c r="J250" i="26"/>
  <c r="I250" i="26"/>
  <c r="H250" i="26"/>
  <c r="G250" i="26"/>
  <c r="F250" i="26"/>
  <c r="E250" i="26"/>
  <c r="D250" i="26"/>
  <c r="C250" i="26"/>
  <c r="B250" i="26"/>
  <c r="A250" i="26"/>
  <c r="L249" i="26"/>
  <c r="K249" i="26"/>
  <c r="J249" i="26"/>
  <c r="I249" i="26"/>
  <c r="H249" i="26"/>
  <c r="G249" i="26"/>
  <c r="F249" i="26"/>
  <c r="E249" i="26"/>
  <c r="D249" i="26"/>
  <c r="C249" i="26"/>
  <c r="B249" i="26"/>
  <c r="A249" i="26"/>
  <c r="L248" i="26"/>
  <c r="K248" i="26"/>
  <c r="J248" i="26"/>
  <c r="I248" i="26"/>
  <c r="H248" i="26"/>
  <c r="G248" i="26"/>
  <c r="F248" i="26"/>
  <c r="E248" i="26"/>
  <c r="D248" i="26"/>
  <c r="C248" i="26"/>
  <c r="B248" i="26"/>
  <c r="A248" i="26"/>
  <c r="L247" i="26"/>
  <c r="K247" i="26"/>
  <c r="J247" i="26"/>
  <c r="I247" i="26"/>
  <c r="H247" i="26"/>
  <c r="G247" i="26"/>
  <c r="F247" i="26"/>
  <c r="E247" i="26"/>
  <c r="D247" i="26"/>
  <c r="C247" i="26"/>
  <c r="B247" i="26"/>
  <c r="A247" i="26"/>
  <c r="L246" i="26"/>
  <c r="K246" i="26"/>
  <c r="J246" i="26"/>
  <c r="I246" i="26"/>
  <c r="H246" i="26"/>
  <c r="G246" i="26"/>
  <c r="F246" i="26"/>
  <c r="E246" i="26"/>
  <c r="D246" i="26"/>
  <c r="C246" i="26"/>
  <c r="B246" i="26"/>
  <c r="A246" i="26"/>
  <c r="L245" i="26"/>
  <c r="K245" i="26"/>
  <c r="J245" i="26"/>
  <c r="I245" i="26"/>
  <c r="H245" i="26"/>
  <c r="G245" i="26"/>
  <c r="F245" i="26"/>
  <c r="E245" i="26"/>
  <c r="D245" i="26"/>
  <c r="C245" i="26"/>
  <c r="B245" i="26"/>
  <c r="A245" i="26"/>
  <c r="L244" i="26"/>
  <c r="K244" i="26"/>
  <c r="J244" i="26"/>
  <c r="I244" i="26"/>
  <c r="H244" i="26"/>
  <c r="G244" i="26"/>
  <c r="F244" i="26"/>
  <c r="E244" i="26"/>
  <c r="D244" i="26"/>
  <c r="C244" i="26"/>
  <c r="B244" i="26"/>
  <c r="A244" i="26"/>
  <c r="L243" i="26"/>
  <c r="K243" i="26"/>
  <c r="J243" i="26"/>
  <c r="I243" i="26"/>
  <c r="H243" i="26"/>
  <c r="G243" i="26"/>
  <c r="F243" i="26"/>
  <c r="E243" i="26"/>
  <c r="D243" i="26"/>
  <c r="C243" i="26"/>
  <c r="B243" i="26"/>
  <c r="A243" i="26"/>
  <c r="L242" i="26"/>
  <c r="K242" i="26"/>
  <c r="J242" i="26"/>
  <c r="I242" i="26"/>
  <c r="H242" i="26"/>
  <c r="G242" i="26"/>
  <c r="F242" i="26"/>
  <c r="E242" i="26"/>
  <c r="D242" i="26"/>
  <c r="C242" i="26"/>
  <c r="B242" i="26"/>
  <c r="A242" i="26"/>
  <c r="L241" i="26"/>
  <c r="K241" i="26"/>
  <c r="J241" i="26"/>
  <c r="I241" i="26"/>
  <c r="H241" i="26"/>
  <c r="G241" i="26"/>
  <c r="F241" i="26"/>
  <c r="E241" i="26"/>
  <c r="D241" i="26"/>
  <c r="C241" i="26"/>
  <c r="B241" i="26"/>
  <c r="A241" i="26"/>
  <c r="L240" i="26"/>
  <c r="K240" i="26"/>
  <c r="J240" i="26"/>
  <c r="I240" i="26"/>
  <c r="H240" i="26"/>
  <c r="G240" i="26"/>
  <c r="F240" i="26"/>
  <c r="E240" i="26"/>
  <c r="D240" i="26"/>
  <c r="C240" i="26"/>
  <c r="B240" i="26"/>
  <c r="A240" i="26"/>
  <c r="L239" i="26"/>
  <c r="K239" i="26"/>
  <c r="J239" i="26"/>
  <c r="I239" i="26"/>
  <c r="H239" i="26"/>
  <c r="G239" i="26"/>
  <c r="F239" i="26"/>
  <c r="E239" i="26"/>
  <c r="D239" i="26"/>
  <c r="C239" i="26"/>
  <c r="B239" i="26"/>
  <c r="A239" i="26"/>
  <c r="L238" i="26"/>
  <c r="K238" i="26"/>
  <c r="J238" i="26"/>
  <c r="I238" i="26"/>
  <c r="H238" i="26"/>
  <c r="G238" i="26"/>
  <c r="F238" i="26"/>
  <c r="E238" i="26"/>
  <c r="D238" i="26"/>
  <c r="C238" i="26"/>
  <c r="B238" i="26"/>
  <c r="A238" i="26"/>
  <c r="L237" i="26"/>
  <c r="K237" i="26"/>
  <c r="J237" i="26"/>
  <c r="I237" i="26"/>
  <c r="H237" i="26"/>
  <c r="G237" i="26"/>
  <c r="F237" i="26"/>
  <c r="E237" i="26"/>
  <c r="D237" i="26"/>
  <c r="C237" i="26"/>
  <c r="B237" i="26"/>
  <c r="A237" i="26"/>
  <c r="L236" i="26"/>
  <c r="K236" i="26"/>
  <c r="J236" i="26"/>
  <c r="I236" i="26"/>
  <c r="H236" i="26"/>
  <c r="G236" i="26"/>
  <c r="F236" i="26"/>
  <c r="E236" i="26"/>
  <c r="D236" i="26"/>
  <c r="C236" i="26"/>
  <c r="B236" i="26"/>
  <c r="A236" i="26"/>
  <c r="L235" i="26"/>
  <c r="K235" i="26"/>
  <c r="J235" i="26"/>
  <c r="I235" i="26"/>
  <c r="H235" i="26"/>
  <c r="G235" i="26"/>
  <c r="F235" i="26"/>
  <c r="E235" i="26"/>
  <c r="D235" i="26"/>
  <c r="C235" i="26"/>
  <c r="B235" i="26"/>
  <c r="A235" i="26"/>
  <c r="L234" i="26"/>
  <c r="K234" i="26"/>
  <c r="J234" i="26"/>
  <c r="I234" i="26"/>
  <c r="H234" i="26"/>
  <c r="G234" i="26"/>
  <c r="F234" i="26"/>
  <c r="E234" i="26"/>
  <c r="D234" i="26"/>
  <c r="C234" i="26"/>
  <c r="B234" i="26"/>
  <c r="A234" i="26"/>
  <c r="L233" i="26"/>
  <c r="K233" i="26"/>
  <c r="J233" i="26"/>
  <c r="I233" i="26"/>
  <c r="H233" i="26"/>
  <c r="G233" i="26"/>
  <c r="F233" i="26"/>
  <c r="E233" i="26"/>
  <c r="D233" i="26"/>
  <c r="C233" i="26"/>
  <c r="B233" i="26"/>
  <c r="A233" i="26"/>
  <c r="L232" i="26"/>
  <c r="K232" i="26"/>
  <c r="J232" i="26"/>
  <c r="I232" i="26"/>
  <c r="H232" i="26"/>
  <c r="G232" i="26"/>
  <c r="F232" i="26"/>
  <c r="E232" i="26"/>
  <c r="D232" i="26"/>
  <c r="C232" i="26"/>
  <c r="B232" i="26"/>
  <c r="A232" i="26"/>
  <c r="L231" i="26"/>
  <c r="K231" i="26"/>
  <c r="J231" i="26"/>
  <c r="I231" i="26"/>
  <c r="H231" i="26"/>
  <c r="G231" i="26"/>
  <c r="F231" i="26"/>
  <c r="E231" i="26"/>
  <c r="D231" i="26"/>
  <c r="C231" i="26"/>
  <c r="B231" i="26"/>
  <c r="A231" i="26"/>
  <c r="L230" i="26"/>
  <c r="K230" i="26"/>
  <c r="J230" i="26"/>
  <c r="I230" i="26"/>
  <c r="H230" i="26"/>
  <c r="G230" i="26"/>
  <c r="F230" i="26"/>
  <c r="E230" i="26"/>
  <c r="D230" i="26"/>
  <c r="C230" i="26"/>
  <c r="B230" i="26"/>
  <c r="A230" i="26"/>
  <c r="L229" i="26"/>
  <c r="K229" i="26"/>
  <c r="J229" i="26"/>
  <c r="I229" i="26"/>
  <c r="H229" i="26"/>
  <c r="G229" i="26"/>
  <c r="F229" i="26"/>
  <c r="E229" i="26"/>
  <c r="D229" i="26"/>
  <c r="C229" i="26"/>
  <c r="B229" i="26"/>
  <c r="A229" i="26"/>
  <c r="L228" i="26"/>
  <c r="K228" i="26"/>
  <c r="J228" i="26"/>
  <c r="I228" i="26"/>
  <c r="H228" i="26"/>
  <c r="G228" i="26"/>
  <c r="F228" i="26"/>
  <c r="E228" i="26"/>
  <c r="D228" i="26"/>
  <c r="C228" i="26"/>
  <c r="B228" i="26"/>
  <c r="A228" i="26"/>
  <c r="L227" i="26"/>
  <c r="K227" i="26"/>
  <c r="J227" i="26"/>
  <c r="I227" i="26"/>
  <c r="H227" i="26"/>
  <c r="G227" i="26"/>
  <c r="F227" i="26"/>
  <c r="E227" i="26"/>
  <c r="D227" i="26"/>
  <c r="C227" i="26"/>
  <c r="B227" i="26"/>
  <c r="A227" i="26"/>
  <c r="L226" i="26"/>
  <c r="K226" i="26"/>
  <c r="J226" i="26"/>
  <c r="I226" i="26"/>
  <c r="H226" i="26"/>
  <c r="G226" i="26"/>
  <c r="F226" i="26"/>
  <c r="E226" i="26"/>
  <c r="D226" i="26"/>
  <c r="C226" i="26"/>
  <c r="B226" i="26"/>
  <c r="A226" i="26"/>
  <c r="L225" i="26"/>
  <c r="K225" i="26"/>
  <c r="J225" i="26"/>
  <c r="I225" i="26"/>
  <c r="H225" i="26"/>
  <c r="G225" i="26"/>
  <c r="F225" i="26"/>
  <c r="E225" i="26"/>
  <c r="D225" i="26"/>
  <c r="C225" i="26"/>
  <c r="B225" i="26"/>
  <c r="A225" i="26"/>
  <c r="L224" i="26"/>
  <c r="K224" i="26"/>
  <c r="J224" i="26"/>
  <c r="I224" i="26"/>
  <c r="H224" i="26"/>
  <c r="G224" i="26"/>
  <c r="F224" i="26"/>
  <c r="E224" i="26"/>
  <c r="D224" i="26"/>
  <c r="C224" i="26"/>
  <c r="B224" i="26"/>
  <c r="A224" i="26"/>
  <c r="L223" i="26"/>
  <c r="K223" i="26"/>
  <c r="J223" i="26"/>
  <c r="I223" i="26"/>
  <c r="H223" i="26"/>
  <c r="G223" i="26"/>
  <c r="F223" i="26"/>
  <c r="E223" i="26"/>
  <c r="D223" i="26"/>
  <c r="C223" i="26"/>
  <c r="B223" i="26"/>
  <c r="A223" i="26"/>
  <c r="L222" i="26"/>
  <c r="K222" i="26"/>
  <c r="J222" i="26"/>
  <c r="I222" i="26"/>
  <c r="H222" i="26"/>
  <c r="G222" i="26"/>
  <c r="F222" i="26"/>
  <c r="E222" i="26"/>
  <c r="D222" i="26"/>
  <c r="C222" i="26"/>
  <c r="B222" i="26"/>
  <c r="A222" i="26"/>
  <c r="L221" i="26"/>
  <c r="K221" i="26"/>
  <c r="J221" i="26"/>
  <c r="I221" i="26"/>
  <c r="H221" i="26"/>
  <c r="G221" i="26"/>
  <c r="F221" i="26"/>
  <c r="E221" i="26"/>
  <c r="D221" i="26"/>
  <c r="C221" i="26"/>
  <c r="B221" i="26"/>
  <c r="A221" i="26"/>
  <c r="L220" i="26"/>
  <c r="K220" i="26"/>
  <c r="J220" i="26"/>
  <c r="I220" i="26"/>
  <c r="H220" i="26"/>
  <c r="G220" i="26"/>
  <c r="F220" i="26"/>
  <c r="E220" i="26"/>
  <c r="D220" i="26"/>
  <c r="C220" i="26"/>
  <c r="B220" i="26"/>
  <c r="A220" i="26"/>
  <c r="L219" i="26"/>
  <c r="K219" i="26"/>
  <c r="J219" i="26"/>
  <c r="I219" i="26"/>
  <c r="H219" i="26"/>
  <c r="G219" i="26"/>
  <c r="F219" i="26"/>
  <c r="E219" i="26"/>
  <c r="D219" i="26"/>
  <c r="C219" i="26"/>
  <c r="B219" i="26"/>
  <c r="A219" i="26"/>
  <c r="L218" i="26"/>
  <c r="K218" i="26"/>
  <c r="J218" i="26"/>
  <c r="I218" i="26"/>
  <c r="H218" i="26"/>
  <c r="G218" i="26"/>
  <c r="F218" i="26"/>
  <c r="E218" i="26"/>
  <c r="D218" i="26"/>
  <c r="C218" i="26"/>
  <c r="B218" i="26"/>
  <c r="A218" i="26"/>
  <c r="L217" i="26"/>
  <c r="K217" i="26"/>
  <c r="J217" i="26"/>
  <c r="I217" i="26"/>
  <c r="H217" i="26"/>
  <c r="G217" i="26"/>
  <c r="F217" i="26"/>
  <c r="E217" i="26"/>
  <c r="D217" i="26"/>
  <c r="C217" i="26"/>
  <c r="B217" i="26"/>
  <c r="A217" i="26"/>
  <c r="L216" i="26"/>
  <c r="K216" i="26"/>
  <c r="J216" i="26"/>
  <c r="I216" i="26"/>
  <c r="H216" i="26"/>
  <c r="G216" i="26"/>
  <c r="F216" i="26"/>
  <c r="E216" i="26"/>
  <c r="D216" i="26"/>
  <c r="C216" i="26"/>
  <c r="B216" i="26"/>
  <c r="A216" i="26"/>
  <c r="L215" i="26"/>
  <c r="K215" i="26"/>
  <c r="J215" i="26"/>
  <c r="I215" i="26"/>
  <c r="H215" i="26"/>
  <c r="G215" i="26"/>
  <c r="F215" i="26"/>
  <c r="E215" i="26"/>
  <c r="D215" i="26"/>
  <c r="C215" i="26"/>
  <c r="B215" i="26"/>
  <c r="A215" i="26"/>
  <c r="L214" i="26"/>
  <c r="K214" i="26"/>
  <c r="J214" i="26"/>
  <c r="I214" i="26"/>
  <c r="H214" i="26"/>
  <c r="G214" i="26"/>
  <c r="F214" i="26"/>
  <c r="E214" i="26"/>
  <c r="D214" i="26"/>
  <c r="C214" i="26"/>
  <c r="B214" i="26"/>
  <c r="A214" i="26"/>
  <c r="L213" i="26"/>
  <c r="K213" i="26"/>
  <c r="J213" i="26"/>
  <c r="I213" i="26"/>
  <c r="H213" i="26"/>
  <c r="G213" i="26"/>
  <c r="F213" i="26"/>
  <c r="E213" i="26"/>
  <c r="D213" i="26"/>
  <c r="C213" i="26"/>
  <c r="B213" i="26"/>
  <c r="A213" i="26"/>
  <c r="L212" i="26"/>
  <c r="K212" i="26"/>
  <c r="J212" i="26"/>
  <c r="I212" i="26"/>
  <c r="H212" i="26"/>
  <c r="G212" i="26"/>
  <c r="F212" i="26"/>
  <c r="E212" i="26"/>
  <c r="D212" i="26"/>
  <c r="C212" i="26"/>
  <c r="B212" i="26"/>
  <c r="A212" i="26"/>
  <c r="L211" i="26"/>
  <c r="K211" i="26"/>
  <c r="J211" i="26"/>
  <c r="I211" i="26"/>
  <c r="H211" i="26"/>
  <c r="G211" i="26"/>
  <c r="F211" i="26"/>
  <c r="E211" i="26"/>
  <c r="D211" i="26"/>
  <c r="C211" i="26"/>
  <c r="B211" i="26"/>
  <c r="A211" i="26"/>
  <c r="L210" i="26"/>
  <c r="K210" i="26"/>
  <c r="J210" i="26"/>
  <c r="I210" i="26"/>
  <c r="H210" i="26"/>
  <c r="G210" i="26"/>
  <c r="F210" i="26"/>
  <c r="E210" i="26"/>
  <c r="D210" i="26"/>
  <c r="C210" i="26"/>
  <c r="B210" i="26"/>
  <c r="A210" i="26"/>
  <c r="L209" i="26"/>
  <c r="K209" i="26"/>
  <c r="J209" i="26"/>
  <c r="I209" i="26"/>
  <c r="H209" i="26"/>
  <c r="G209" i="26"/>
  <c r="F209" i="26"/>
  <c r="E209" i="26"/>
  <c r="D209" i="26"/>
  <c r="C209" i="26"/>
  <c r="B209" i="26"/>
  <c r="A209" i="26"/>
  <c r="L208" i="26"/>
  <c r="K208" i="26"/>
  <c r="J208" i="26"/>
  <c r="I208" i="26"/>
  <c r="H208" i="26"/>
  <c r="G208" i="26"/>
  <c r="F208" i="26"/>
  <c r="E208" i="26"/>
  <c r="D208" i="26"/>
  <c r="C208" i="26"/>
  <c r="B208" i="26"/>
  <c r="A208" i="26"/>
  <c r="L207" i="26"/>
  <c r="K207" i="26"/>
  <c r="J207" i="26"/>
  <c r="I207" i="26"/>
  <c r="H207" i="26"/>
  <c r="G207" i="26"/>
  <c r="F207" i="26"/>
  <c r="E207" i="26"/>
  <c r="D207" i="26"/>
  <c r="C207" i="26"/>
  <c r="B207" i="26"/>
  <c r="A207" i="26"/>
  <c r="L206" i="26"/>
  <c r="K206" i="26"/>
  <c r="J206" i="26"/>
  <c r="I206" i="26"/>
  <c r="H206" i="26"/>
  <c r="G206" i="26"/>
  <c r="F206" i="26"/>
  <c r="E206" i="26"/>
  <c r="D206" i="26"/>
  <c r="C206" i="26"/>
  <c r="B206" i="26"/>
  <c r="A206" i="26"/>
  <c r="L205" i="26"/>
  <c r="K205" i="26"/>
  <c r="J205" i="26"/>
  <c r="I205" i="26"/>
  <c r="H205" i="26"/>
  <c r="G205" i="26"/>
  <c r="F205" i="26"/>
  <c r="E205" i="26"/>
  <c r="D205" i="26"/>
  <c r="C205" i="26"/>
  <c r="B205" i="26"/>
  <c r="A205" i="26"/>
  <c r="L204" i="26"/>
  <c r="K204" i="26"/>
  <c r="J204" i="26"/>
  <c r="I204" i="26"/>
  <c r="H204" i="26"/>
  <c r="G204" i="26"/>
  <c r="F204" i="26"/>
  <c r="E204" i="26"/>
  <c r="D204" i="26"/>
  <c r="C204" i="26"/>
  <c r="B204" i="26"/>
  <c r="A204" i="26"/>
  <c r="L203" i="26"/>
  <c r="K203" i="26"/>
  <c r="J203" i="26"/>
  <c r="I203" i="26"/>
  <c r="H203" i="26"/>
  <c r="G203" i="26"/>
  <c r="F203" i="26"/>
  <c r="E203" i="26"/>
  <c r="D203" i="26"/>
  <c r="C203" i="26"/>
  <c r="B203" i="26"/>
  <c r="A203" i="26"/>
  <c r="L202" i="26"/>
  <c r="K202" i="26"/>
  <c r="J202" i="26"/>
  <c r="I202" i="26"/>
  <c r="H202" i="26"/>
  <c r="G202" i="26"/>
  <c r="F202" i="26"/>
  <c r="E202" i="26"/>
  <c r="D202" i="26"/>
  <c r="C202" i="26"/>
  <c r="B202" i="26"/>
  <c r="A202" i="26"/>
  <c r="L201" i="26"/>
  <c r="K201" i="26"/>
  <c r="J201" i="26"/>
  <c r="I201" i="26"/>
  <c r="H201" i="26"/>
  <c r="G201" i="26"/>
  <c r="F201" i="26"/>
  <c r="E201" i="26"/>
  <c r="D201" i="26"/>
  <c r="C201" i="26"/>
  <c r="B201" i="26"/>
  <c r="A201" i="26"/>
  <c r="L200" i="26"/>
  <c r="K200" i="26"/>
  <c r="J200" i="26"/>
  <c r="I200" i="26"/>
  <c r="H200" i="26"/>
  <c r="G200" i="26"/>
  <c r="F200" i="26"/>
  <c r="E200" i="26"/>
  <c r="D200" i="26"/>
  <c r="C200" i="26"/>
  <c r="B200" i="26"/>
  <c r="A200" i="26"/>
  <c r="L199" i="26"/>
  <c r="K199" i="26"/>
  <c r="J199" i="26"/>
  <c r="I199" i="26"/>
  <c r="H199" i="26"/>
  <c r="G199" i="26"/>
  <c r="F199" i="26"/>
  <c r="E199" i="26"/>
  <c r="D199" i="26"/>
  <c r="C199" i="26"/>
  <c r="B199" i="26"/>
  <c r="A199" i="26"/>
  <c r="L198" i="26"/>
  <c r="K198" i="26"/>
  <c r="J198" i="26"/>
  <c r="I198" i="26"/>
  <c r="H198" i="26"/>
  <c r="G198" i="26"/>
  <c r="F198" i="26"/>
  <c r="E198" i="26"/>
  <c r="D198" i="26"/>
  <c r="C198" i="26"/>
  <c r="B198" i="26"/>
  <c r="A198" i="26"/>
  <c r="L197" i="26"/>
  <c r="K197" i="26"/>
  <c r="J197" i="26"/>
  <c r="I197" i="26"/>
  <c r="H197" i="26"/>
  <c r="G197" i="26"/>
  <c r="F197" i="26"/>
  <c r="E197" i="26"/>
  <c r="D197" i="26"/>
  <c r="C197" i="26"/>
  <c r="B197" i="26"/>
  <c r="A197" i="26"/>
  <c r="L196" i="26"/>
  <c r="K196" i="26"/>
  <c r="J196" i="26"/>
  <c r="I196" i="26"/>
  <c r="H196" i="26"/>
  <c r="G196" i="26"/>
  <c r="F196" i="26"/>
  <c r="E196" i="26"/>
  <c r="D196" i="26"/>
  <c r="C196" i="26"/>
  <c r="B196" i="26"/>
  <c r="A196" i="26"/>
  <c r="L195" i="26"/>
  <c r="K195" i="26"/>
  <c r="J195" i="26"/>
  <c r="I195" i="26"/>
  <c r="H195" i="26"/>
  <c r="G195" i="26"/>
  <c r="F195" i="26"/>
  <c r="E195" i="26"/>
  <c r="D195" i="26"/>
  <c r="C195" i="26"/>
  <c r="B195" i="26"/>
  <c r="A195" i="26"/>
  <c r="L194" i="26"/>
  <c r="K194" i="26"/>
  <c r="J194" i="26"/>
  <c r="I194" i="26"/>
  <c r="H194" i="26"/>
  <c r="G194" i="26"/>
  <c r="F194" i="26"/>
  <c r="E194" i="26"/>
  <c r="D194" i="26"/>
  <c r="C194" i="26"/>
  <c r="B194" i="26"/>
  <c r="A194" i="26"/>
  <c r="L193" i="26"/>
  <c r="K193" i="26"/>
  <c r="J193" i="26"/>
  <c r="I193" i="26"/>
  <c r="H193" i="26"/>
  <c r="G193" i="26"/>
  <c r="F193" i="26"/>
  <c r="E193" i="26"/>
  <c r="D193" i="26"/>
  <c r="C193" i="26"/>
  <c r="B193" i="26"/>
  <c r="A193" i="26"/>
  <c r="L192" i="26"/>
  <c r="K192" i="26"/>
  <c r="J192" i="26"/>
  <c r="I192" i="26"/>
  <c r="H192" i="26"/>
  <c r="G192" i="26"/>
  <c r="F192" i="26"/>
  <c r="E192" i="26"/>
  <c r="D192" i="26"/>
  <c r="C192" i="26"/>
  <c r="B192" i="26"/>
  <c r="A192" i="26"/>
  <c r="L191" i="26"/>
  <c r="K191" i="26"/>
  <c r="J191" i="26"/>
  <c r="I191" i="26"/>
  <c r="H191" i="26"/>
  <c r="G191" i="26"/>
  <c r="F191" i="26"/>
  <c r="E191" i="26"/>
  <c r="D191" i="26"/>
  <c r="C191" i="26"/>
  <c r="B191" i="26"/>
  <c r="A191" i="26"/>
  <c r="L190" i="26"/>
  <c r="K190" i="26"/>
  <c r="J190" i="26"/>
  <c r="I190" i="26"/>
  <c r="H190" i="26"/>
  <c r="G190" i="26"/>
  <c r="F190" i="26"/>
  <c r="E190" i="26"/>
  <c r="D190" i="26"/>
  <c r="C190" i="26"/>
  <c r="B190" i="26"/>
  <c r="A190" i="26"/>
  <c r="L189" i="26"/>
  <c r="K189" i="26"/>
  <c r="J189" i="26"/>
  <c r="I189" i="26"/>
  <c r="H189" i="26"/>
  <c r="G189" i="26"/>
  <c r="F189" i="26"/>
  <c r="E189" i="26"/>
  <c r="D189" i="26"/>
  <c r="C189" i="26"/>
  <c r="B189" i="26"/>
  <c r="A189" i="26"/>
  <c r="L188" i="26"/>
  <c r="K188" i="26"/>
  <c r="J188" i="26"/>
  <c r="I188" i="26"/>
  <c r="H188" i="26"/>
  <c r="G188" i="26"/>
  <c r="F188" i="26"/>
  <c r="E188" i="26"/>
  <c r="D188" i="26"/>
  <c r="C188" i="26"/>
  <c r="B188" i="26"/>
  <c r="A188" i="26"/>
  <c r="L187" i="26"/>
  <c r="K187" i="26"/>
  <c r="J187" i="26"/>
  <c r="I187" i="26"/>
  <c r="H187" i="26"/>
  <c r="G187" i="26"/>
  <c r="F187" i="26"/>
  <c r="E187" i="26"/>
  <c r="D187" i="26"/>
  <c r="C187" i="26"/>
  <c r="B187" i="26"/>
  <c r="A187" i="26"/>
  <c r="L186" i="26"/>
  <c r="K186" i="26"/>
  <c r="J186" i="26"/>
  <c r="I186" i="26"/>
  <c r="H186" i="26"/>
  <c r="G186" i="26"/>
  <c r="F186" i="26"/>
  <c r="E186" i="26"/>
  <c r="D186" i="26"/>
  <c r="C186" i="26"/>
  <c r="B186" i="26"/>
  <c r="A186" i="26"/>
  <c r="L185" i="26"/>
  <c r="K185" i="26"/>
  <c r="J185" i="26"/>
  <c r="I185" i="26"/>
  <c r="H185" i="26"/>
  <c r="G185" i="26"/>
  <c r="F185" i="26"/>
  <c r="E185" i="26"/>
  <c r="D185" i="26"/>
  <c r="C185" i="26"/>
  <c r="B185" i="26"/>
  <c r="A185" i="26"/>
  <c r="L184" i="26"/>
  <c r="K184" i="26"/>
  <c r="J184" i="26"/>
  <c r="I184" i="26"/>
  <c r="H184" i="26"/>
  <c r="G184" i="26"/>
  <c r="F184" i="26"/>
  <c r="E184" i="26"/>
  <c r="D184" i="26"/>
  <c r="C184" i="26"/>
  <c r="B184" i="26"/>
  <c r="A184" i="26"/>
  <c r="L183" i="26"/>
  <c r="K183" i="26"/>
  <c r="J183" i="26"/>
  <c r="I183" i="26"/>
  <c r="H183" i="26"/>
  <c r="G183" i="26"/>
  <c r="F183" i="26"/>
  <c r="E183" i="26"/>
  <c r="D183" i="26"/>
  <c r="C183" i="26"/>
  <c r="B183" i="26"/>
  <c r="A183" i="26"/>
  <c r="L182" i="26"/>
  <c r="K182" i="26"/>
  <c r="J182" i="26"/>
  <c r="I182" i="26"/>
  <c r="H182" i="26"/>
  <c r="G182" i="26"/>
  <c r="F182" i="26"/>
  <c r="E182" i="26"/>
  <c r="D182" i="26"/>
  <c r="C182" i="26"/>
  <c r="B182" i="26"/>
  <c r="A182" i="26"/>
  <c r="L181" i="26"/>
  <c r="K181" i="26"/>
  <c r="J181" i="26"/>
  <c r="I181" i="26"/>
  <c r="H181" i="26"/>
  <c r="G181" i="26"/>
  <c r="F181" i="26"/>
  <c r="E181" i="26"/>
  <c r="D181" i="26"/>
  <c r="C181" i="26"/>
  <c r="B181" i="26"/>
  <c r="A181" i="26"/>
  <c r="L180" i="26"/>
  <c r="K180" i="26"/>
  <c r="J180" i="26"/>
  <c r="I180" i="26"/>
  <c r="H180" i="26"/>
  <c r="G180" i="26"/>
  <c r="F180" i="26"/>
  <c r="E180" i="26"/>
  <c r="D180" i="26"/>
  <c r="C180" i="26"/>
  <c r="B180" i="26"/>
  <c r="A180" i="26"/>
  <c r="L179" i="26"/>
  <c r="K179" i="26"/>
  <c r="J179" i="26"/>
  <c r="I179" i="26"/>
  <c r="H179" i="26"/>
  <c r="G179" i="26"/>
  <c r="F179" i="26"/>
  <c r="E179" i="26"/>
  <c r="D179" i="26"/>
  <c r="C179" i="26"/>
  <c r="B179" i="26"/>
  <c r="A179" i="26"/>
  <c r="L178" i="26"/>
  <c r="K178" i="26"/>
  <c r="J178" i="26"/>
  <c r="I178" i="26"/>
  <c r="H178" i="26"/>
  <c r="G178" i="26"/>
  <c r="F178" i="26"/>
  <c r="E178" i="26"/>
  <c r="D178" i="26"/>
  <c r="C178" i="26"/>
  <c r="B178" i="26"/>
  <c r="A178" i="26"/>
  <c r="L177" i="26"/>
  <c r="K177" i="26"/>
  <c r="J177" i="26"/>
  <c r="I177" i="26"/>
  <c r="H177" i="26"/>
  <c r="G177" i="26"/>
  <c r="F177" i="26"/>
  <c r="E177" i="26"/>
  <c r="D177" i="26"/>
  <c r="C177" i="26"/>
  <c r="B177" i="26"/>
  <c r="A177" i="26"/>
  <c r="L176" i="26"/>
  <c r="K176" i="26"/>
  <c r="J176" i="26"/>
  <c r="I176" i="26"/>
  <c r="H176" i="26"/>
  <c r="G176" i="26"/>
  <c r="F176" i="26"/>
  <c r="E176" i="26"/>
  <c r="D176" i="26"/>
  <c r="C176" i="26"/>
  <c r="B176" i="26"/>
  <c r="A176" i="26"/>
  <c r="L175" i="26"/>
  <c r="K175" i="26"/>
  <c r="J175" i="26"/>
  <c r="I175" i="26"/>
  <c r="H175" i="26"/>
  <c r="G175" i="26"/>
  <c r="F175" i="26"/>
  <c r="E175" i="26"/>
  <c r="D175" i="26"/>
  <c r="C175" i="26"/>
  <c r="B175" i="26"/>
  <c r="A175" i="26"/>
  <c r="L174" i="26"/>
  <c r="K174" i="26"/>
  <c r="J174" i="26"/>
  <c r="I174" i="26"/>
  <c r="H174" i="26"/>
  <c r="G174" i="26"/>
  <c r="F174" i="26"/>
  <c r="E174" i="26"/>
  <c r="D174" i="26"/>
  <c r="C174" i="26"/>
  <c r="B174" i="26"/>
  <c r="A174" i="26"/>
  <c r="L173" i="26"/>
  <c r="K173" i="26"/>
  <c r="J173" i="26"/>
  <c r="I173" i="26"/>
  <c r="H173" i="26"/>
  <c r="G173" i="26"/>
  <c r="F173" i="26"/>
  <c r="E173" i="26"/>
  <c r="D173" i="26"/>
  <c r="C173" i="26"/>
  <c r="B173" i="26"/>
  <c r="A173" i="26"/>
  <c r="L172" i="26"/>
  <c r="K172" i="26"/>
  <c r="J172" i="26"/>
  <c r="I172" i="26"/>
  <c r="H172" i="26"/>
  <c r="G172" i="26"/>
  <c r="F172" i="26"/>
  <c r="E172" i="26"/>
  <c r="D172" i="26"/>
  <c r="C172" i="26"/>
  <c r="B172" i="26"/>
  <c r="A172" i="26"/>
  <c r="L171" i="26"/>
  <c r="K171" i="26"/>
  <c r="J171" i="26"/>
  <c r="I171" i="26"/>
  <c r="H171" i="26"/>
  <c r="G171" i="26"/>
  <c r="F171" i="26"/>
  <c r="E171" i="26"/>
  <c r="D171" i="26"/>
  <c r="C171" i="26"/>
  <c r="B171" i="26"/>
  <c r="A171" i="26"/>
  <c r="L170" i="26"/>
  <c r="K170" i="26"/>
  <c r="J170" i="26"/>
  <c r="I170" i="26"/>
  <c r="H170" i="26"/>
  <c r="G170" i="26"/>
  <c r="F170" i="26"/>
  <c r="E170" i="26"/>
  <c r="D170" i="26"/>
  <c r="C170" i="26"/>
  <c r="B170" i="26"/>
  <c r="A170" i="26"/>
  <c r="L169" i="26"/>
  <c r="K169" i="26"/>
  <c r="J169" i="26"/>
  <c r="I169" i="26"/>
  <c r="H169" i="26"/>
  <c r="G169" i="26"/>
  <c r="F169" i="26"/>
  <c r="E169" i="26"/>
  <c r="D169" i="26"/>
  <c r="C169" i="26"/>
  <c r="B169" i="26"/>
  <c r="A169" i="26"/>
  <c r="L168" i="26"/>
  <c r="K168" i="26"/>
  <c r="J168" i="26"/>
  <c r="I168" i="26"/>
  <c r="H168" i="26"/>
  <c r="G168" i="26"/>
  <c r="F168" i="26"/>
  <c r="E168" i="26"/>
  <c r="D168" i="26"/>
  <c r="C168" i="26"/>
  <c r="B168" i="26"/>
  <c r="A168" i="26"/>
  <c r="L167" i="26"/>
  <c r="K167" i="26"/>
  <c r="J167" i="26"/>
  <c r="I167" i="26"/>
  <c r="H167" i="26"/>
  <c r="G167" i="26"/>
  <c r="F167" i="26"/>
  <c r="E167" i="26"/>
  <c r="D167" i="26"/>
  <c r="C167" i="26"/>
  <c r="B167" i="26"/>
  <c r="A167" i="26"/>
  <c r="L166" i="26"/>
  <c r="K166" i="26"/>
  <c r="J166" i="26"/>
  <c r="I166" i="26"/>
  <c r="H166" i="26"/>
  <c r="G166" i="26"/>
  <c r="F166" i="26"/>
  <c r="E166" i="26"/>
  <c r="D166" i="26"/>
  <c r="C166" i="26"/>
  <c r="B166" i="26"/>
  <c r="A166" i="26"/>
  <c r="L165" i="26"/>
  <c r="K165" i="26"/>
  <c r="J165" i="26"/>
  <c r="I165" i="26"/>
  <c r="H165" i="26"/>
  <c r="G165" i="26"/>
  <c r="F165" i="26"/>
  <c r="E165" i="26"/>
  <c r="D165" i="26"/>
  <c r="C165" i="26"/>
  <c r="B165" i="26"/>
  <c r="A165" i="26"/>
  <c r="L164" i="26"/>
  <c r="K164" i="26"/>
  <c r="J164" i="26"/>
  <c r="I164" i="26"/>
  <c r="H164" i="26"/>
  <c r="G164" i="26"/>
  <c r="F164" i="26"/>
  <c r="E164" i="26"/>
  <c r="D164" i="26"/>
  <c r="C164" i="26"/>
  <c r="B164" i="26"/>
  <c r="A164" i="26"/>
  <c r="L163" i="26"/>
  <c r="K163" i="26"/>
  <c r="J163" i="26"/>
  <c r="I163" i="26"/>
  <c r="H163" i="26"/>
  <c r="G163" i="26"/>
  <c r="F163" i="26"/>
  <c r="E163" i="26"/>
  <c r="D163" i="26"/>
  <c r="C163" i="26"/>
  <c r="B163" i="26"/>
  <c r="A163" i="26"/>
  <c r="L162" i="26"/>
  <c r="K162" i="26"/>
  <c r="J162" i="26"/>
  <c r="I162" i="26"/>
  <c r="H162" i="26"/>
  <c r="G162" i="26"/>
  <c r="F162" i="26"/>
  <c r="E162" i="26"/>
  <c r="D162" i="26"/>
  <c r="C162" i="26"/>
  <c r="B162" i="26"/>
  <c r="A162" i="26"/>
  <c r="L161" i="26"/>
  <c r="K161" i="26"/>
  <c r="J161" i="26"/>
  <c r="I161" i="26"/>
  <c r="H161" i="26"/>
  <c r="G161" i="26"/>
  <c r="F161" i="26"/>
  <c r="E161" i="26"/>
  <c r="D161" i="26"/>
  <c r="C161" i="26"/>
  <c r="B161" i="26"/>
  <c r="A161" i="26"/>
  <c r="L160" i="26"/>
  <c r="K160" i="26"/>
  <c r="J160" i="26"/>
  <c r="I160" i="26"/>
  <c r="H160" i="26"/>
  <c r="G160" i="26"/>
  <c r="F160" i="26"/>
  <c r="E160" i="26"/>
  <c r="D160" i="26"/>
  <c r="C160" i="26"/>
  <c r="B160" i="26"/>
  <c r="A160" i="26"/>
  <c r="L159" i="26"/>
  <c r="K159" i="26"/>
  <c r="J159" i="26"/>
  <c r="I159" i="26"/>
  <c r="H159" i="26"/>
  <c r="G159" i="26"/>
  <c r="F159" i="26"/>
  <c r="E159" i="26"/>
  <c r="D159" i="26"/>
  <c r="C159" i="26"/>
  <c r="B159" i="26"/>
  <c r="A159" i="26"/>
  <c r="L158" i="26"/>
  <c r="K158" i="26"/>
  <c r="J158" i="26"/>
  <c r="I158" i="26"/>
  <c r="H158" i="26"/>
  <c r="G158" i="26"/>
  <c r="F158" i="26"/>
  <c r="E158" i="26"/>
  <c r="D158" i="26"/>
  <c r="C158" i="26"/>
  <c r="B158" i="26"/>
  <c r="A158" i="26"/>
  <c r="L157" i="26"/>
  <c r="K157" i="26"/>
  <c r="J157" i="26"/>
  <c r="I157" i="26"/>
  <c r="H157" i="26"/>
  <c r="G157" i="26"/>
  <c r="F157" i="26"/>
  <c r="E157" i="26"/>
  <c r="D157" i="26"/>
  <c r="C157" i="26"/>
  <c r="B157" i="26"/>
  <c r="A157" i="26"/>
  <c r="L156" i="26"/>
  <c r="K156" i="26"/>
  <c r="J156" i="26"/>
  <c r="I156" i="26"/>
  <c r="H156" i="26"/>
  <c r="G156" i="26"/>
  <c r="F156" i="26"/>
  <c r="E156" i="26"/>
  <c r="D156" i="26"/>
  <c r="C156" i="26"/>
  <c r="B156" i="26"/>
  <c r="A156" i="26"/>
  <c r="L155" i="26"/>
  <c r="K155" i="26"/>
  <c r="J155" i="26"/>
  <c r="I155" i="26"/>
  <c r="H155" i="26"/>
  <c r="G155" i="26"/>
  <c r="F155" i="26"/>
  <c r="E155" i="26"/>
  <c r="D155" i="26"/>
  <c r="C155" i="26"/>
  <c r="B155" i="26"/>
  <c r="A155" i="26"/>
  <c r="L154" i="26"/>
  <c r="K154" i="26"/>
  <c r="J154" i="26"/>
  <c r="I154" i="26"/>
  <c r="H154" i="26"/>
  <c r="G154" i="26"/>
  <c r="F154" i="26"/>
  <c r="E154" i="26"/>
  <c r="D154" i="26"/>
  <c r="C154" i="26"/>
  <c r="B154" i="26"/>
  <c r="A154" i="26"/>
  <c r="L153" i="26"/>
  <c r="K153" i="26"/>
  <c r="J153" i="26"/>
  <c r="I153" i="26"/>
  <c r="H153" i="26"/>
  <c r="G153" i="26"/>
  <c r="F153" i="26"/>
  <c r="E153" i="26"/>
  <c r="D153" i="26"/>
  <c r="C153" i="26"/>
  <c r="B153" i="26"/>
  <c r="A153" i="26"/>
  <c r="L152" i="26"/>
  <c r="K152" i="26"/>
  <c r="J152" i="26"/>
  <c r="I152" i="26"/>
  <c r="H152" i="26"/>
  <c r="G152" i="26"/>
  <c r="F152" i="26"/>
  <c r="E152" i="26"/>
  <c r="D152" i="26"/>
  <c r="C152" i="26"/>
  <c r="B152" i="26"/>
  <c r="A152" i="26"/>
  <c r="L151" i="26"/>
  <c r="K151" i="26"/>
  <c r="J151" i="26"/>
  <c r="I151" i="26"/>
  <c r="H151" i="26"/>
  <c r="G151" i="26"/>
  <c r="F151" i="26"/>
  <c r="E151" i="26"/>
  <c r="D151" i="26"/>
  <c r="C151" i="26"/>
  <c r="B151" i="26"/>
  <c r="A151" i="26"/>
  <c r="L150" i="26"/>
  <c r="K150" i="26"/>
  <c r="J150" i="26"/>
  <c r="I150" i="26"/>
  <c r="H150" i="26"/>
  <c r="G150" i="26"/>
  <c r="F150" i="26"/>
  <c r="E150" i="26"/>
  <c r="D150" i="26"/>
  <c r="C150" i="26"/>
  <c r="B150" i="26"/>
  <c r="A150" i="26"/>
  <c r="L149" i="26"/>
  <c r="K149" i="26"/>
  <c r="J149" i="26"/>
  <c r="I149" i="26"/>
  <c r="H149" i="26"/>
  <c r="G149" i="26"/>
  <c r="F149" i="26"/>
  <c r="E149" i="26"/>
  <c r="D149" i="26"/>
  <c r="C149" i="26"/>
  <c r="B149" i="26"/>
  <c r="A149" i="26"/>
  <c r="L148" i="26"/>
  <c r="K148" i="26"/>
  <c r="J148" i="26"/>
  <c r="I148" i="26"/>
  <c r="H148" i="26"/>
  <c r="G148" i="26"/>
  <c r="F148" i="26"/>
  <c r="E148" i="26"/>
  <c r="D148" i="26"/>
  <c r="C148" i="26"/>
  <c r="B148" i="26"/>
  <c r="A148" i="26"/>
  <c r="L147" i="26"/>
  <c r="K147" i="26"/>
  <c r="J147" i="26"/>
  <c r="I147" i="26"/>
  <c r="H147" i="26"/>
  <c r="G147" i="26"/>
  <c r="F147" i="26"/>
  <c r="E147" i="26"/>
  <c r="D147" i="26"/>
  <c r="C147" i="26"/>
  <c r="B147" i="26"/>
  <c r="A147" i="26"/>
  <c r="L146" i="26"/>
  <c r="K146" i="26"/>
  <c r="J146" i="26"/>
  <c r="I146" i="26"/>
  <c r="H146" i="26"/>
  <c r="G146" i="26"/>
  <c r="F146" i="26"/>
  <c r="E146" i="26"/>
  <c r="D146" i="26"/>
  <c r="C146" i="26"/>
  <c r="B146" i="26"/>
  <c r="A146" i="26"/>
  <c r="L145" i="26"/>
  <c r="K145" i="26"/>
  <c r="J145" i="26"/>
  <c r="I145" i="26"/>
  <c r="H145" i="26"/>
  <c r="G145" i="26"/>
  <c r="F145" i="26"/>
  <c r="E145" i="26"/>
  <c r="D145" i="26"/>
  <c r="C145" i="26"/>
  <c r="B145" i="26"/>
  <c r="A145" i="26"/>
  <c r="L144" i="26"/>
  <c r="K144" i="26"/>
  <c r="J144" i="26"/>
  <c r="I144" i="26"/>
  <c r="H144" i="26"/>
  <c r="G144" i="26"/>
  <c r="F144" i="26"/>
  <c r="E144" i="26"/>
  <c r="D144" i="26"/>
  <c r="C144" i="26"/>
  <c r="B144" i="26"/>
  <c r="A144" i="26"/>
  <c r="L143" i="26"/>
  <c r="K143" i="26"/>
  <c r="J143" i="26"/>
  <c r="I143" i="26"/>
  <c r="H143" i="26"/>
  <c r="G143" i="26"/>
  <c r="F143" i="26"/>
  <c r="E143" i="26"/>
  <c r="D143" i="26"/>
  <c r="C143" i="26"/>
  <c r="B143" i="26"/>
  <c r="A143" i="26"/>
  <c r="L142" i="26"/>
  <c r="K142" i="26"/>
  <c r="J142" i="26"/>
  <c r="I142" i="26"/>
  <c r="H142" i="26"/>
  <c r="G142" i="26"/>
  <c r="F142" i="26"/>
  <c r="E142" i="26"/>
  <c r="D142" i="26"/>
  <c r="C142" i="26"/>
  <c r="B142" i="26"/>
  <c r="A142" i="26"/>
  <c r="L141" i="26"/>
  <c r="K141" i="26"/>
  <c r="J141" i="26"/>
  <c r="I141" i="26"/>
  <c r="H141" i="26"/>
  <c r="G141" i="26"/>
  <c r="F141" i="26"/>
  <c r="E141" i="26"/>
  <c r="D141" i="26"/>
  <c r="C141" i="26"/>
  <c r="B141" i="26"/>
  <c r="A141" i="26"/>
  <c r="L140" i="26"/>
  <c r="K140" i="26"/>
  <c r="J140" i="26"/>
  <c r="I140" i="26"/>
  <c r="H140" i="26"/>
  <c r="G140" i="26"/>
  <c r="F140" i="26"/>
  <c r="E140" i="26"/>
  <c r="D140" i="26"/>
  <c r="C140" i="26"/>
  <c r="B140" i="26"/>
  <c r="A140" i="26"/>
  <c r="L139" i="26"/>
  <c r="K139" i="26"/>
  <c r="J139" i="26"/>
  <c r="I139" i="26"/>
  <c r="H139" i="26"/>
  <c r="G139" i="26"/>
  <c r="F139" i="26"/>
  <c r="E139" i="26"/>
  <c r="D139" i="26"/>
  <c r="C139" i="26"/>
  <c r="B139" i="26"/>
  <c r="A139" i="26"/>
  <c r="L138" i="26"/>
  <c r="K138" i="26"/>
  <c r="J138" i="26"/>
  <c r="I138" i="26"/>
  <c r="H138" i="26"/>
  <c r="G138" i="26"/>
  <c r="F138" i="26"/>
  <c r="E138" i="26"/>
  <c r="D138" i="26"/>
  <c r="C138" i="26"/>
  <c r="B138" i="26"/>
  <c r="A138" i="26"/>
  <c r="L137" i="26"/>
  <c r="K137" i="26"/>
  <c r="J137" i="26"/>
  <c r="I137" i="26"/>
  <c r="H137" i="26"/>
  <c r="G137" i="26"/>
  <c r="F137" i="26"/>
  <c r="E137" i="26"/>
  <c r="D137" i="26"/>
  <c r="C137" i="26"/>
  <c r="B137" i="26"/>
  <c r="A137" i="26"/>
  <c r="L136" i="26"/>
  <c r="K136" i="26"/>
  <c r="J136" i="26"/>
  <c r="I136" i="26"/>
  <c r="H136" i="26"/>
  <c r="G136" i="26"/>
  <c r="F136" i="26"/>
  <c r="E136" i="26"/>
  <c r="D136" i="26"/>
  <c r="C136" i="26"/>
  <c r="B136" i="26"/>
  <c r="A136" i="26"/>
  <c r="L135" i="26"/>
  <c r="K135" i="26"/>
  <c r="J135" i="26"/>
  <c r="I135" i="26"/>
  <c r="H135" i="26"/>
  <c r="G135" i="26"/>
  <c r="F135" i="26"/>
  <c r="E135" i="26"/>
  <c r="D135" i="26"/>
  <c r="C135" i="26"/>
  <c r="B135" i="26"/>
  <c r="A135" i="26"/>
  <c r="L134" i="26"/>
  <c r="K134" i="26"/>
  <c r="J134" i="26"/>
  <c r="I134" i="26"/>
  <c r="H134" i="26"/>
  <c r="G134" i="26"/>
  <c r="F134" i="26"/>
  <c r="E134" i="26"/>
  <c r="D134" i="26"/>
  <c r="C134" i="26"/>
  <c r="B134" i="26"/>
  <c r="A134" i="26"/>
  <c r="L133" i="26"/>
  <c r="K133" i="26"/>
  <c r="J133" i="26"/>
  <c r="I133" i="26"/>
  <c r="H133" i="26"/>
  <c r="G133" i="26"/>
  <c r="F133" i="26"/>
  <c r="E133" i="26"/>
  <c r="D133" i="26"/>
  <c r="C133" i="26"/>
  <c r="B133" i="26"/>
  <c r="A133" i="26"/>
  <c r="L132" i="26"/>
  <c r="K132" i="26"/>
  <c r="J132" i="26"/>
  <c r="I132" i="26"/>
  <c r="H132" i="26"/>
  <c r="G132" i="26"/>
  <c r="F132" i="26"/>
  <c r="E132" i="26"/>
  <c r="D132" i="26"/>
  <c r="C132" i="26"/>
  <c r="B132" i="26"/>
  <c r="A132" i="26"/>
  <c r="L131" i="26"/>
  <c r="K131" i="26"/>
  <c r="J131" i="26"/>
  <c r="I131" i="26"/>
  <c r="H131" i="26"/>
  <c r="G131" i="26"/>
  <c r="F131" i="26"/>
  <c r="E131" i="26"/>
  <c r="D131" i="26"/>
  <c r="C131" i="26"/>
  <c r="B131" i="26"/>
  <c r="A131" i="26"/>
  <c r="L130" i="26"/>
  <c r="K130" i="26"/>
  <c r="J130" i="26"/>
  <c r="I130" i="26"/>
  <c r="H130" i="26"/>
  <c r="G130" i="26"/>
  <c r="F130" i="26"/>
  <c r="E130" i="26"/>
  <c r="D130" i="26"/>
  <c r="C130" i="26"/>
  <c r="B130" i="26"/>
  <c r="A130" i="26"/>
  <c r="L129" i="26"/>
  <c r="K129" i="26"/>
  <c r="J129" i="26"/>
  <c r="I129" i="26"/>
  <c r="H129" i="26"/>
  <c r="G129" i="26"/>
  <c r="F129" i="26"/>
  <c r="E129" i="26"/>
  <c r="D129" i="26"/>
  <c r="C129" i="26"/>
  <c r="B129" i="26"/>
  <c r="A129" i="26"/>
  <c r="L128" i="26"/>
  <c r="K128" i="26"/>
  <c r="J128" i="26"/>
  <c r="I128" i="26"/>
  <c r="H128" i="26"/>
  <c r="G128" i="26"/>
  <c r="F128" i="26"/>
  <c r="E128" i="26"/>
  <c r="D128" i="26"/>
  <c r="C128" i="26"/>
  <c r="B128" i="26"/>
  <c r="A128" i="26"/>
  <c r="L127" i="26"/>
  <c r="K127" i="26"/>
  <c r="J127" i="26"/>
  <c r="I127" i="26"/>
  <c r="H127" i="26"/>
  <c r="G127" i="26"/>
  <c r="F127" i="26"/>
  <c r="E127" i="26"/>
  <c r="D127" i="26"/>
  <c r="C127" i="26"/>
  <c r="B127" i="26"/>
  <c r="A127" i="26"/>
  <c r="L126" i="26"/>
  <c r="K126" i="26"/>
  <c r="J126" i="26"/>
  <c r="I126" i="26"/>
  <c r="H126" i="26"/>
  <c r="G126" i="26"/>
  <c r="F126" i="26"/>
  <c r="E126" i="26"/>
  <c r="D126" i="26"/>
  <c r="C126" i="26"/>
  <c r="B126" i="26"/>
  <c r="A126" i="26"/>
  <c r="L125" i="26"/>
  <c r="K125" i="26"/>
  <c r="J125" i="26"/>
  <c r="I125" i="26"/>
  <c r="H125" i="26"/>
  <c r="G125" i="26"/>
  <c r="F125" i="26"/>
  <c r="E125" i="26"/>
  <c r="D125" i="26"/>
  <c r="C125" i="26"/>
  <c r="B125" i="26"/>
  <c r="A125" i="26"/>
  <c r="L124" i="26"/>
  <c r="K124" i="26"/>
  <c r="J124" i="26"/>
  <c r="I124" i="26"/>
  <c r="H124" i="26"/>
  <c r="G124" i="26"/>
  <c r="F124" i="26"/>
  <c r="E124" i="26"/>
  <c r="D124" i="26"/>
  <c r="C124" i="26"/>
  <c r="B124" i="26"/>
  <c r="A124" i="26"/>
  <c r="L123" i="26"/>
  <c r="K123" i="26"/>
  <c r="J123" i="26"/>
  <c r="I123" i="26"/>
  <c r="H123" i="26"/>
  <c r="G123" i="26"/>
  <c r="F123" i="26"/>
  <c r="E123" i="26"/>
  <c r="D123" i="26"/>
  <c r="C123" i="26"/>
  <c r="B123" i="26"/>
  <c r="A123" i="26"/>
  <c r="L122" i="26"/>
  <c r="K122" i="26"/>
  <c r="J122" i="26"/>
  <c r="I122" i="26"/>
  <c r="H122" i="26"/>
  <c r="G122" i="26"/>
  <c r="F122" i="26"/>
  <c r="E122" i="26"/>
  <c r="D122" i="26"/>
  <c r="C122" i="26"/>
  <c r="B122" i="26"/>
  <c r="A122" i="26"/>
  <c r="L121" i="26"/>
  <c r="K121" i="26"/>
  <c r="J121" i="26"/>
  <c r="I121" i="26"/>
  <c r="H121" i="26"/>
  <c r="G121" i="26"/>
  <c r="F121" i="26"/>
  <c r="E121" i="26"/>
  <c r="D121" i="26"/>
  <c r="C121" i="26"/>
  <c r="B121" i="26"/>
  <c r="A121" i="26"/>
  <c r="L120" i="26"/>
  <c r="K120" i="26"/>
  <c r="J120" i="26"/>
  <c r="I120" i="26"/>
  <c r="H120" i="26"/>
  <c r="G120" i="26"/>
  <c r="F120" i="26"/>
  <c r="E120" i="26"/>
  <c r="D120" i="26"/>
  <c r="C120" i="26"/>
  <c r="B120" i="26"/>
  <c r="A120" i="26"/>
  <c r="L119" i="26"/>
  <c r="K119" i="26"/>
  <c r="J119" i="26"/>
  <c r="I119" i="26"/>
  <c r="H119" i="26"/>
  <c r="G119" i="26"/>
  <c r="F119" i="26"/>
  <c r="E119" i="26"/>
  <c r="D119" i="26"/>
  <c r="C119" i="26"/>
  <c r="B119" i="26"/>
  <c r="A119" i="26"/>
  <c r="L118" i="26"/>
  <c r="K118" i="26"/>
  <c r="J118" i="26"/>
  <c r="I118" i="26"/>
  <c r="H118" i="26"/>
  <c r="G118" i="26"/>
  <c r="F118" i="26"/>
  <c r="E118" i="26"/>
  <c r="D118" i="26"/>
  <c r="C118" i="26"/>
  <c r="B118" i="26"/>
  <c r="A118" i="26"/>
  <c r="L117" i="26"/>
  <c r="K117" i="26"/>
  <c r="J117" i="26"/>
  <c r="I117" i="26"/>
  <c r="H117" i="26"/>
  <c r="G117" i="26"/>
  <c r="F117" i="26"/>
  <c r="E117" i="26"/>
  <c r="D117" i="26"/>
  <c r="C117" i="26"/>
  <c r="B117" i="26"/>
  <c r="A117" i="26"/>
  <c r="L116" i="26"/>
  <c r="K116" i="26"/>
  <c r="J116" i="26"/>
  <c r="I116" i="26"/>
  <c r="H116" i="26"/>
  <c r="G116" i="26"/>
  <c r="F116" i="26"/>
  <c r="E116" i="26"/>
  <c r="D116" i="26"/>
  <c r="C116" i="26"/>
  <c r="B116" i="26"/>
  <c r="A116" i="26"/>
  <c r="L115" i="26"/>
  <c r="K115" i="26"/>
  <c r="J115" i="26"/>
  <c r="I115" i="26"/>
  <c r="H115" i="26"/>
  <c r="G115" i="26"/>
  <c r="F115" i="26"/>
  <c r="E115" i="26"/>
  <c r="D115" i="26"/>
  <c r="C115" i="26"/>
  <c r="B115" i="26"/>
  <c r="A115" i="26"/>
  <c r="L114" i="26"/>
  <c r="K114" i="26"/>
  <c r="J114" i="26"/>
  <c r="I114" i="26"/>
  <c r="H114" i="26"/>
  <c r="G114" i="26"/>
  <c r="F114" i="26"/>
  <c r="E114" i="26"/>
  <c r="D114" i="26"/>
  <c r="C114" i="26"/>
  <c r="B114" i="26"/>
  <c r="A114" i="26"/>
  <c r="L113" i="26"/>
  <c r="K113" i="26"/>
  <c r="J113" i="26"/>
  <c r="I113" i="26"/>
  <c r="H113" i="26"/>
  <c r="G113" i="26"/>
  <c r="F113" i="26"/>
  <c r="E113" i="26"/>
  <c r="D113" i="26"/>
  <c r="C113" i="26"/>
  <c r="B113" i="26"/>
  <c r="A113" i="26"/>
  <c r="L112" i="26"/>
  <c r="K112" i="26"/>
  <c r="J112" i="26"/>
  <c r="I112" i="26"/>
  <c r="H112" i="26"/>
  <c r="G112" i="26"/>
  <c r="F112" i="26"/>
  <c r="E112" i="26"/>
  <c r="D112" i="26"/>
  <c r="C112" i="26"/>
  <c r="B112" i="26"/>
  <c r="A112" i="26"/>
  <c r="L111" i="26"/>
  <c r="K111" i="26"/>
  <c r="J111" i="26"/>
  <c r="I111" i="26"/>
  <c r="H111" i="26"/>
  <c r="G111" i="26"/>
  <c r="F111" i="26"/>
  <c r="E111" i="26"/>
  <c r="D111" i="26"/>
  <c r="C111" i="26"/>
  <c r="B111" i="26"/>
  <c r="A111" i="26"/>
  <c r="L110" i="26"/>
  <c r="K110" i="26"/>
  <c r="J110" i="26"/>
  <c r="I110" i="26"/>
  <c r="H110" i="26"/>
  <c r="G110" i="26"/>
  <c r="F110" i="26"/>
  <c r="E110" i="26"/>
  <c r="D110" i="26"/>
  <c r="C110" i="26"/>
  <c r="B110" i="26"/>
  <c r="A110" i="26"/>
  <c r="L109" i="26"/>
  <c r="K109" i="26"/>
  <c r="J109" i="26"/>
  <c r="I109" i="26"/>
  <c r="H109" i="26"/>
  <c r="G109" i="26"/>
  <c r="F109" i="26"/>
  <c r="E109" i="26"/>
  <c r="D109" i="26"/>
  <c r="C109" i="26"/>
  <c r="B109" i="26"/>
  <c r="A109" i="26"/>
  <c r="L108" i="26"/>
  <c r="K108" i="26"/>
  <c r="J108" i="26"/>
  <c r="I108" i="26"/>
  <c r="H108" i="26"/>
  <c r="G108" i="26"/>
  <c r="F108" i="26"/>
  <c r="E108" i="26"/>
  <c r="D108" i="26"/>
  <c r="C108" i="26"/>
  <c r="B108" i="26"/>
  <c r="A108" i="26"/>
  <c r="L107" i="26"/>
  <c r="K107" i="26"/>
  <c r="J107" i="26"/>
  <c r="I107" i="26"/>
  <c r="H107" i="26"/>
  <c r="G107" i="26"/>
  <c r="F107" i="26"/>
  <c r="E107" i="26"/>
  <c r="D107" i="26"/>
  <c r="C107" i="26"/>
  <c r="B107" i="26"/>
  <c r="A107" i="26"/>
  <c r="L106" i="26"/>
  <c r="K106" i="26"/>
  <c r="J106" i="26"/>
  <c r="I106" i="26"/>
  <c r="H106" i="26"/>
  <c r="G106" i="26"/>
  <c r="F106" i="26"/>
  <c r="E106" i="26"/>
  <c r="D106" i="26"/>
  <c r="C106" i="26"/>
  <c r="B106" i="26"/>
  <c r="A106" i="26"/>
  <c r="L105" i="26"/>
  <c r="K105" i="26"/>
  <c r="J105" i="26"/>
  <c r="I105" i="26"/>
  <c r="H105" i="26"/>
  <c r="G105" i="26"/>
  <c r="F105" i="26"/>
  <c r="E105" i="26"/>
  <c r="D105" i="26"/>
  <c r="C105" i="26"/>
  <c r="B105" i="26"/>
  <c r="A105" i="26"/>
  <c r="L104" i="26"/>
  <c r="K104" i="26"/>
  <c r="J104" i="26"/>
  <c r="I104" i="26"/>
  <c r="H104" i="26"/>
  <c r="G104" i="26"/>
  <c r="F104" i="26"/>
  <c r="E104" i="26"/>
  <c r="D104" i="26"/>
  <c r="C104" i="26"/>
  <c r="B104" i="26"/>
  <c r="A104" i="26"/>
  <c r="L103" i="26"/>
  <c r="K103" i="26"/>
  <c r="J103" i="26"/>
  <c r="I103" i="26"/>
  <c r="H103" i="26"/>
  <c r="G103" i="26"/>
  <c r="F103" i="26"/>
  <c r="E103" i="26"/>
  <c r="D103" i="26"/>
  <c r="C103" i="26"/>
  <c r="B103" i="26"/>
  <c r="A103" i="26"/>
  <c r="L102" i="26"/>
  <c r="K102" i="26"/>
  <c r="J102" i="26"/>
  <c r="I102" i="26"/>
  <c r="H102" i="26"/>
  <c r="G102" i="26"/>
  <c r="F102" i="26"/>
  <c r="E102" i="26"/>
  <c r="D102" i="26"/>
  <c r="C102" i="26"/>
  <c r="B102" i="26"/>
  <c r="A102" i="26"/>
  <c r="L101" i="26"/>
  <c r="K101" i="26"/>
  <c r="J101" i="26"/>
  <c r="I101" i="26"/>
  <c r="H101" i="26"/>
  <c r="G101" i="26"/>
  <c r="F101" i="26"/>
  <c r="E101" i="26"/>
  <c r="D101" i="26"/>
  <c r="C101" i="26"/>
  <c r="B101" i="26"/>
  <c r="A101" i="26"/>
  <c r="L100" i="26"/>
  <c r="K100" i="26"/>
  <c r="J100" i="26"/>
  <c r="I100" i="26"/>
  <c r="H100" i="26"/>
  <c r="G100" i="26"/>
  <c r="F100" i="26"/>
  <c r="E100" i="26"/>
  <c r="D100" i="26"/>
  <c r="C100" i="26"/>
  <c r="B100" i="26"/>
  <c r="A100" i="26"/>
  <c r="L99" i="26"/>
  <c r="K99" i="26"/>
  <c r="J99" i="26"/>
  <c r="I99" i="26"/>
  <c r="H99" i="26"/>
  <c r="G99" i="26"/>
  <c r="F99" i="26"/>
  <c r="E99" i="26"/>
  <c r="D99" i="26"/>
  <c r="C99" i="26"/>
  <c r="B99" i="26"/>
  <c r="A99" i="26"/>
  <c r="L98" i="26"/>
  <c r="K98" i="26"/>
  <c r="J98" i="26"/>
  <c r="I98" i="26"/>
  <c r="H98" i="26"/>
  <c r="G98" i="26"/>
  <c r="F98" i="26"/>
  <c r="E98" i="26"/>
  <c r="D98" i="26"/>
  <c r="C98" i="26"/>
  <c r="B98" i="26"/>
  <c r="A98" i="26"/>
  <c r="L97" i="26"/>
  <c r="K97" i="26"/>
  <c r="J97" i="26"/>
  <c r="I97" i="26"/>
  <c r="H97" i="26"/>
  <c r="G97" i="26"/>
  <c r="F97" i="26"/>
  <c r="E97" i="26"/>
  <c r="D97" i="26"/>
  <c r="C97" i="26"/>
  <c r="B97" i="26"/>
  <c r="A97" i="26"/>
  <c r="L96" i="26"/>
  <c r="K96" i="26"/>
  <c r="J96" i="26"/>
  <c r="I96" i="26"/>
  <c r="H96" i="26"/>
  <c r="G96" i="26"/>
  <c r="F96" i="26"/>
  <c r="E96" i="26"/>
  <c r="D96" i="26"/>
  <c r="C96" i="26"/>
  <c r="B96" i="26"/>
  <c r="A96" i="26"/>
  <c r="L95" i="26"/>
  <c r="K95" i="26"/>
  <c r="J95" i="26"/>
  <c r="I95" i="26"/>
  <c r="H95" i="26"/>
  <c r="G95" i="26"/>
  <c r="F95" i="26"/>
  <c r="E95" i="26"/>
  <c r="D95" i="26"/>
  <c r="C95" i="26"/>
  <c r="B95" i="26"/>
  <c r="A95" i="26"/>
  <c r="L94" i="26"/>
  <c r="K94" i="26"/>
  <c r="J94" i="26"/>
  <c r="I94" i="26"/>
  <c r="H94" i="26"/>
  <c r="G94" i="26"/>
  <c r="F94" i="26"/>
  <c r="E94" i="26"/>
  <c r="D94" i="26"/>
  <c r="C94" i="26"/>
  <c r="B94" i="26"/>
  <c r="A94" i="26"/>
  <c r="L93" i="26"/>
  <c r="K93" i="26"/>
  <c r="J93" i="26"/>
  <c r="I93" i="26"/>
  <c r="H93" i="26"/>
  <c r="G93" i="26"/>
  <c r="F93" i="26"/>
  <c r="E93" i="26"/>
  <c r="D93" i="26"/>
  <c r="C93" i="26"/>
  <c r="B93" i="26"/>
  <c r="A93" i="26"/>
  <c r="L92" i="26"/>
  <c r="K92" i="26"/>
  <c r="J92" i="26"/>
  <c r="I92" i="26"/>
  <c r="H92" i="26"/>
  <c r="G92" i="26"/>
  <c r="F92" i="26"/>
  <c r="E92" i="26"/>
  <c r="D92" i="26"/>
  <c r="C92" i="26"/>
  <c r="B92" i="26"/>
  <c r="A92" i="26"/>
  <c r="L91" i="26"/>
  <c r="K91" i="26"/>
  <c r="J91" i="26"/>
  <c r="I91" i="26"/>
  <c r="H91" i="26"/>
  <c r="G91" i="26"/>
  <c r="F91" i="26"/>
  <c r="E91" i="26"/>
  <c r="D91" i="26"/>
  <c r="C91" i="26"/>
  <c r="B91" i="26"/>
  <c r="A91" i="26"/>
  <c r="L90" i="26"/>
  <c r="K90" i="26"/>
  <c r="J90" i="26"/>
  <c r="I90" i="26"/>
  <c r="H90" i="26"/>
  <c r="G90" i="26"/>
  <c r="F90" i="26"/>
  <c r="E90" i="26"/>
  <c r="D90" i="26"/>
  <c r="C90" i="26"/>
  <c r="B90" i="26"/>
  <c r="A90" i="26"/>
  <c r="L89" i="26"/>
  <c r="K89" i="26"/>
  <c r="J89" i="26"/>
  <c r="I89" i="26"/>
  <c r="H89" i="26"/>
  <c r="G89" i="26"/>
  <c r="F89" i="26"/>
  <c r="E89" i="26"/>
  <c r="D89" i="26"/>
  <c r="C89" i="26"/>
  <c r="B89" i="26"/>
  <c r="A89" i="26"/>
  <c r="L88" i="26"/>
  <c r="K88" i="26"/>
  <c r="J88" i="26"/>
  <c r="I88" i="26"/>
  <c r="H88" i="26"/>
  <c r="G88" i="26"/>
  <c r="F88" i="26"/>
  <c r="E88" i="26"/>
  <c r="D88" i="26"/>
  <c r="C88" i="26"/>
  <c r="B88" i="26"/>
  <c r="A88" i="26"/>
  <c r="L87" i="26"/>
  <c r="K87" i="26"/>
  <c r="J87" i="26"/>
  <c r="I87" i="26"/>
  <c r="H87" i="26"/>
  <c r="G87" i="26"/>
  <c r="F87" i="26"/>
  <c r="E87" i="26"/>
  <c r="D87" i="26"/>
  <c r="C87" i="26"/>
  <c r="B87" i="26"/>
  <c r="A87" i="26"/>
  <c r="L86" i="26"/>
  <c r="K86" i="26"/>
  <c r="J86" i="26"/>
  <c r="I86" i="26"/>
  <c r="H86" i="26"/>
  <c r="G86" i="26"/>
  <c r="F86" i="26"/>
  <c r="E86" i="26"/>
  <c r="D86" i="26"/>
  <c r="C86" i="26"/>
  <c r="B86" i="26"/>
  <c r="A86" i="26"/>
  <c r="L85" i="26"/>
  <c r="K85" i="26"/>
  <c r="J85" i="26"/>
  <c r="I85" i="26"/>
  <c r="H85" i="26"/>
  <c r="G85" i="26"/>
  <c r="F85" i="26"/>
  <c r="E85" i="26"/>
  <c r="D85" i="26"/>
  <c r="C85" i="26"/>
  <c r="B85" i="26"/>
  <c r="A85" i="26"/>
  <c r="L84" i="26"/>
  <c r="K84" i="26"/>
  <c r="J84" i="26"/>
  <c r="I84" i="26"/>
  <c r="H84" i="26"/>
  <c r="G84" i="26"/>
  <c r="F84" i="26"/>
  <c r="E84" i="26"/>
  <c r="D84" i="26"/>
  <c r="C84" i="26"/>
  <c r="B84" i="26"/>
  <c r="A84" i="26"/>
  <c r="L83" i="26"/>
  <c r="K83" i="26"/>
  <c r="J83" i="26"/>
  <c r="I83" i="26"/>
  <c r="H83" i="26"/>
  <c r="G83" i="26"/>
  <c r="F83" i="26"/>
  <c r="E83" i="26"/>
  <c r="D83" i="26"/>
  <c r="C83" i="26"/>
  <c r="B83" i="26"/>
  <c r="A83" i="26"/>
  <c r="L82" i="26"/>
  <c r="K82" i="26"/>
  <c r="J82" i="26"/>
  <c r="I82" i="26"/>
  <c r="H82" i="26"/>
  <c r="G82" i="26"/>
  <c r="F82" i="26"/>
  <c r="E82" i="26"/>
  <c r="D82" i="26"/>
  <c r="C82" i="26"/>
  <c r="B82" i="26"/>
  <c r="A82" i="26"/>
  <c r="L81" i="26"/>
  <c r="K81" i="26"/>
  <c r="J81" i="26"/>
  <c r="I81" i="26"/>
  <c r="H81" i="26"/>
  <c r="G81" i="26"/>
  <c r="F81" i="26"/>
  <c r="E81" i="26"/>
  <c r="D81" i="26"/>
  <c r="C81" i="26"/>
  <c r="B81" i="26"/>
  <c r="A81" i="26"/>
  <c r="L80" i="26"/>
  <c r="K80" i="26"/>
  <c r="J80" i="26"/>
  <c r="I80" i="26"/>
  <c r="H80" i="26"/>
  <c r="G80" i="26"/>
  <c r="F80" i="26"/>
  <c r="E80" i="26"/>
  <c r="D80" i="26"/>
  <c r="C80" i="26"/>
  <c r="B80" i="26"/>
  <c r="A80" i="26"/>
  <c r="L79" i="26"/>
  <c r="K79" i="26"/>
  <c r="J79" i="26"/>
  <c r="I79" i="26"/>
  <c r="H79" i="26"/>
  <c r="G79" i="26"/>
  <c r="F79" i="26"/>
  <c r="E79" i="26"/>
  <c r="D79" i="26"/>
  <c r="C79" i="26"/>
  <c r="B79" i="26"/>
  <c r="A79" i="26"/>
  <c r="L78" i="26"/>
  <c r="K78" i="26"/>
  <c r="J78" i="26"/>
  <c r="I78" i="26"/>
  <c r="H78" i="26"/>
  <c r="G78" i="26"/>
  <c r="F78" i="26"/>
  <c r="E78" i="26"/>
  <c r="D78" i="26"/>
  <c r="C78" i="26"/>
  <c r="B78" i="26"/>
  <c r="A78" i="26"/>
  <c r="L77" i="26"/>
  <c r="K77" i="26"/>
  <c r="J77" i="26"/>
  <c r="I77" i="26"/>
  <c r="H77" i="26"/>
  <c r="G77" i="26"/>
  <c r="F77" i="26"/>
  <c r="E77" i="26"/>
  <c r="D77" i="26"/>
  <c r="C77" i="26"/>
  <c r="B77" i="26"/>
  <c r="A77" i="26"/>
  <c r="L76" i="26"/>
  <c r="K76" i="26"/>
  <c r="J76" i="26"/>
  <c r="I76" i="26"/>
  <c r="H76" i="26"/>
  <c r="G76" i="26"/>
  <c r="F76" i="26"/>
  <c r="E76" i="26"/>
  <c r="D76" i="26"/>
  <c r="C76" i="26"/>
  <c r="B76" i="26"/>
  <c r="A76" i="26"/>
  <c r="L75" i="26"/>
  <c r="K75" i="26"/>
  <c r="J75" i="26"/>
  <c r="I75" i="26"/>
  <c r="H75" i="26"/>
  <c r="G75" i="26"/>
  <c r="F75" i="26"/>
  <c r="E75" i="26"/>
  <c r="D75" i="26"/>
  <c r="C75" i="26"/>
  <c r="B75" i="26"/>
  <c r="A75" i="26"/>
  <c r="L74" i="26"/>
  <c r="K74" i="26"/>
  <c r="J74" i="26"/>
  <c r="I74" i="26"/>
  <c r="H74" i="26"/>
  <c r="G74" i="26"/>
  <c r="F74" i="26"/>
  <c r="E74" i="26"/>
  <c r="D74" i="26"/>
  <c r="C74" i="26"/>
  <c r="B74" i="26"/>
  <c r="A74" i="26"/>
  <c r="L73" i="26"/>
  <c r="K73" i="26"/>
  <c r="J73" i="26"/>
  <c r="I73" i="26"/>
  <c r="H73" i="26"/>
  <c r="G73" i="26"/>
  <c r="F73" i="26"/>
  <c r="E73" i="26"/>
  <c r="D73" i="26"/>
  <c r="C73" i="26"/>
  <c r="B73" i="26"/>
  <c r="A73" i="26"/>
  <c r="L72" i="26"/>
  <c r="K72" i="26"/>
  <c r="J72" i="26"/>
  <c r="I72" i="26"/>
  <c r="H72" i="26"/>
  <c r="G72" i="26"/>
  <c r="F72" i="26"/>
  <c r="E72" i="26"/>
  <c r="D72" i="26"/>
  <c r="C72" i="26"/>
  <c r="B72" i="26"/>
  <c r="A72" i="26"/>
  <c r="L71" i="26"/>
  <c r="K71" i="26"/>
  <c r="J71" i="26"/>
  <c r="I71" i="26"/>
  <c r="H71" i="26"/>
  <c r="G71" i="26"/>
  <c r="F71" i="26"/>
  <c r="E71" i="26"/>
  <c r="D71" i="26"/>
  <c r="C71" i="26"/>
  <c r="B71" i="26"/>
  <c r="A71" i="26"/>
  <c r="L70" i="26"/>
  <c r="K70" i="26"/>
  <c r="J70" i="26"/>
  <c r="I70" i="26"/>
  <c r="H70" i="26"/>
  <c r="G70" i="26"/>
  <c r="F70" i="26"/>
  <c r="E70" i="26"/>
  <c r="D70" i="26"/>
  <c r="C70" i="26"/>
  <c r="B70" i="26"/>
  <c r="A70" i="26"/>
  <c r="L69" i="26"/>
  <c r="K69" i="26"/>
  <c r="J69" i="26"/>
  <c r="I69" i="26"/>
  <c r="H69" i="26"/>
  <c r="G69" i="26"/>
  <c r="F69" i="26"/>
  <c r="E69" i="26"/>
  <c r="D69" i="26"/>
  <c r="C69" i="26"/>
  <c r="B69" i="26"/>
  <c r="A69" i="26"/>
  <c r="L68" i="26"/>
  <c r="K68" i="26"/>
  <c r="J68" i="26"/>
  <c r="I68" i="26"/>
  <c r="H68" i="26"/>
  <c r="G68" i="26"/>
  <c r="F68" i="26"/>
  <c r="E68" i="26"/>
  <c r="D68" i="26"/>
  <c r="C68" i="26"/>
  <c r="B68" i="26"/>
  <c r="A68" i="26"/>
  <c r="L67" i="26"/>
  <c r="K67" i="26"/>
  <c r="J67" i="26"/>
  <c r="I67" i="26"/>
  <c r="H67" i="26"/>
  <c r="G67" i="26"/>
  <c r="F67" i="26"/>
  <c r="E67" i="26"/>
  <c r="D67" i="26"/>
  <c r="C67" i="26"/>
  <c r="B67" i="26"/>
  <c r="A67" i="26"/>
  <c r="L66" i="26"/>
  <c r="K66" i="26"/>
  <c r="J66" i="26"/>
  <c r="I66" i="26"/>
  <c r="H66" i="26"/>
  <c r="G66" i="26"/>
  <c r="F66" i="26"/>
  <c r="E66" i="26"/>
  <c r="D66" i="26"/>
  <c r="C66" i="26"/>
  <c r="B66" i="26"/>
  <c r="A66" i="26"/>
  <c r="L65" i="26"/>
  <c r="K65" i="26"/>
  <c r="J65" i="26"/>
  <c r="I65" i="26"/>
  <c r="H65" i="26"/>
  <c r="G65" i="26"/>
  <c r="F65" i="26"/>
  <c r="E65" i="26"/>
  <c r="D65" i="26"/>
  <c r="C65" i="26"/>
  <c r="B65" i="26"/>
  <c r="A65" i="26"/>
  <c r="L64" i="26"/>
  <c r="K64" i="26"/>
  <c r="J64" i="26"/>
  <c r="I64" i="26"/>
  <c r="H64" i="26"/>
  <c r="G64" i="26"/>
  <c r="F64" i="26"/>
  <c r="E64" i="26"/>
  <c r="D64" i="26"/>
  <c r="C64" i="26"/>
  <c r="B64" i="26"/>
  <c r="A64" i="26"/>
  <c r="L63" i="26"/>
  <c r="K63" i="26"/>
  <c r="J63" i="26"/>
  <c r="I63" i="26"/>
  <c r="H63" i="26"/>
  <c r="G63" i="26"/>
  <c r="F63" i="26"/>
  <c r="E63" i="26"/>
  <c r="D63" i="26"/>
  <c r="C63" i="26"/>
  <c r="B63" i="26"/>
  <c r="A63" i="26"/>
  <c r="L62" i="26"/>
  <c r="K62" i="26"/>
  <c r="J62" i="26"/>
  <c r="I62" i="26"/>
  <c r="H62" i="26"/>
  <c r="G62" i="26"/>
  <c r="F62" i="26"/>
  <c r="E62" i="26"/>
  <c r="D62" i="26"/>
  <c r="C62" i="26"/>
  <c r="B62" i="26"/>
  <c r="A62" i="26"/>
  <c r="L61" i="26"/>
  <c r="K61" i="26"/>
  <c r="J61" i="26"/>
  <c r="I61" i="26"/>
  <c r="H61" i="26"/>
  <c r="G61" i="26"/>
  <c r="F61" i="26"/>
  <c r="E61" i="26"/>
  <c r="D61" i="26"/>
  <c r="C61" i="26"/>
  <c r="B61" i="26"/>
  <c r="A61" i="26"/>
  <c r="L60" i="26"/>
  <c r="K60" i="26"/>
  <c r="J60" i="26"/>
  <c r="I60" i="26"/>
  <c r="H60" i="26"/>
  <c r="G60" i="26"/>
  <c r="F60" i="26"/>
  <c r="E60" i="26"/>
  <c r="D60" i="26"/>
  <c r="C60" i="26"/>
  <c r="B60" i="26"/>
  <c r="A60" i="26"/>
  <c r="L59" i="26"/>
  <c r="K59" i="26"/>
  <c r="J59" i="26"/>
  <c r="I59" i="26"/>
  <c r="H59" i="26"/>
  <c r="G59" i="26"/>
  <c r="F59" i="26"/>
  <c r="E59" i="26"/>
  <c r="D59" i="26"/>
  <c r="C59" i="26"/>
  <c r="B59" i="26"/>
  <c r="A59" i="26"/>
  <c r="L58" i="26"/>
  <c r="K58" i="26"/>
  <c r="J58" i="26"/>
  <c r="I58" i="26"/>
  <c r="H58" i="26"/>
  <c r="G58" i="26"/>
  <c r="F58" i="26"/>
  <c r="E58" i="26"/>
  <c r="D58" i="26"/>
  <c r="C58" i="26"/>
  <c r="B58" i="26"/>
  <c r="A58" i="26"/>
  <c r="L57" i="26"/>
  <c r="K57" i="26"/>
  <c r="J57" i="26"/>
  <c r="I57" i="26"/>
  <c r="H57" i="26"/>
  <c r="G57" i="26"/>
  <c r="F57" i="26"/>
  <c r="E57" i="26"/>
  <c r="D57" i="26"/>
  <c r="C57" i="26"/>
  <c r="B57" i="26"/>
  <c r="A57" i="26"/>
  <c r="L56" i="26"/>
  <c r="K56" i="26"/>
  <c r="J56" i="26"/>
  <c r="I56" i="26"/>
  <c r="H56" i="26"/>
  <c r="G56" i="26"/>
  <c r="F56" i="26"/>
  <c r="E56" i="26"/>
  <c r="D56" i="26"/>
  <c r="C56" i="26"/>
  <c r="B56" i="26"/>
  <c r="A56" i="26"/>
  <c r="L55" i="26"/>
  <c r="K55" i="26"/>
  <c r="J55" i="26"/>
  <c r="I55" i="26"/>
  <c r="H55" i="26"/>
  <c r="G55" i="26"/>
  <c r="F55" i="26"/>
  <c r="E55" i="26"/>
  <c r="D55" i="26"/>
  <c r="C55" i="26"/>
  <c r="B55" i="26"/>
  <c r="A55" i="26"/>
  <c r="L54" i="26"/>
  <c r="K54" i="26"/>
  <c r="J54" i="26"/>
  <c r="I54" i="26"/>
  <c r="H54" i="26"/>
  <c r="G54" i="26"/>
  <c r="F54" i="26"/>
  <c r="E54" i="26"/>
  <c r="D54" i="26"/>
  <c r="C54" i="26"/>
  <c r="B54" i="26"/>
  <c r="A54" i="26"/>
  <c r="L53" i="26"/>
  <c r="K53" i="26"/>
  <c r="J53" i="26"/>
  <c r="I53" i="26"/>
  <c r="H53" i="26"/>
  <c r="G53" i="26"/>
  <c r="F53" i="26"/>
  <c r="E53" i="26"/>
  <c r="D53" i="26"/>
  <c r="C53" i="26"/>
  <c r="B53" i="26"/>
  <c r="A53" i="26"/>
  <c r="L52" i="26"/>
  <c r="K52" i="26"/>
  <c r="J52" i="26"/>
  <c r="I52" i="26"/>
  <c r="H52" i="26"/>
  <c r="G52" i="26"/>
  <c r="F52" i="26"/>
  <c r="E52" i="26"/>
  <c r="D52" i="26"/>
  <c r="C52" i="26"/>
  <c r="B52" i="26"/>
  <c r="A52" i="26"/>
  <c r="L51" i="26"/>
  <c r="K51" i="26"/>
  <c r="J51" i="26"/>
  <c r="I51" i="26"/>
  <c r="H51" i="26"/>
  <c r="G51" i="26"/>
  <c r="F51" i="26"/>
  <c r="E51" i="26"/>
  <c r="D51" i="26"/>
  <c r="C51" i="26"/>
  <c r="B51" i="26"/>
  <c r="A51" i="26"/>
  <c r="L50" i="26"/>
  <c r="K50" i="26"/>
  <c r="J50" i="26"/>
  <c r="I50" i="26"/>
  <c r="H50" i="26"/>
  <c r="G50" i="26"/>
  <c r="F50" i="26"/>
  <c r="E50" i="26"/>
  <c r="D50" i="26"/>
  <c r="C50" i="26"/>
  <c r="B50" i="26"/>
  <c r="A50" i="26"/>
  <c r="L49" i="26"/>
  <c r="K49" i="26"/>
  <c r="J49" i="26"/>
  <c r="I49" i="26"/>
  <c r="H49" i="26"/>
  <c r="G49" i="26"/>
  <c r="F49" i="26"/>
  <c r="E49" i="26"/>
  <c r="D49" i="26"/>
  <c r="C49" i="26"/>
  <c r="B49" i="26"/>
  <c r="A49" i="26"/>
  <c r="L48" i="26"/>
  <c r="K48" i="26"/>
  <c r="J48" i="26"/>
  <c r="I48" i="26"/>
  <c r="H48" i="26"/>
  <c r="G48" i="26"/>
  <c r="F48" i="26"/>
  <c r="E48" i="26"/>
  <c r="D48" i="26"/>
  <c r="C48" i="26"/>
  <c r="B48" i="26"/>
  <c r="A48" i="26"/>
  <c r="L47" i="26"/>
  <c r="K47" i="26"/>
  <c r="J47" i="26"/>
  <c r="I47" i="26"/>
  <c r="H47" i="26"/>
  <c r="G47" i="26"/>
  <c r="F47" i="26"/>
  <c r="E47" i="26"/>
  <c r="D47" i="26"/>
  <c r="C47" i="26"/>
  <c r="B47" i="26"/>
  <c r="A47" i="26"/>
  <c r="L46" i="26"/>
  <c r="K46" i="26"/>
  <c r="J46" i="26"/>
  <c r="I46" i="26"/>
  <c r="H46" i="26"/>
  <c r="G46" i="26"/>
  <c r="F46" i="26"/>
  <c r="E46" i="26"/>
  <c r="D46" i="26"/>
  <c r="C46" i="26"/>
  <c r="B46" i="26"/>
  <c r="A46" i="26"/>
  <c r="L45" i="26"/>
  <c r="K45" i="26"/>
  <c r="J45" i="26"/>
  <c r="I45" i="26"/>
  <c r="H45" i="26"/>
  <c r="G45" i="26"/>
  <c r="F45" i="26"/>
  <c r="E45" i="26"/>
  <c r="D45" i="26"/>
  <c r="C45" i="26"/>
  <c r="B45" i="26"/>
  <c r="A45" i="26"/>
  <c r="L44" i="26"/>
  <c r="K44" i="26"/>
  <c r="J44" i="26"/>
  <c r="I44" i="26"/>
  <c r="H44" i="26"/>
  <c r="G44" i="26"/>
  <c r="F44" i="26"/>
  <c r="E44" i="26"/>
  <c r="D44" i="26"/>
  <c r="C44" i="26"/>
  <c r="B44" i="26"/>
  <c r="A44" i="26"/>
  <c r="L43" i="26"/>
  <c r="K43" i="26"/>
  <c r="J43" i="26"/>
  <c r="I43" i="26"/>
  <c r="H43" i="26"/>
  <c r="G43" i="26"/>
  <c r="F43" i="26"/>
  <c r="E43" i="26"/>
  <c r="D43" i="26"/>
  <c r="C43" i="26"/>
  <c r="B43" i="26"/>
  <c r="A43" i="26"/>
  <c r="L42" i="26"/>
  <c r="K42" i="26"/>
  <c r="J42" i="26"/>
  <c r="I42" i="26"/>
  <c r="H42" i="26"/>
  <c r="G42" i="26"/>
  <c r="F42" i="26"/>
  <c r="E42" i="26"/>
  <c r="D42" i="26"/>
  <c r="C42" i="26"/>
  <c r="B42" i="26"/>
  <c r="A42" i="26"/>
  <c r="L41" i="26"/>
  <c r="K41" i="26"/>
  <c r="J41" i="26"/>
  <c r="I41" i="26"/>
  <c r="H41" i="26"/>
  <c r="G41" i="26"/>
  <c r="F41" i="26"/>
  <c r="E41" i="26"/>
  <c r="D41" i="26"/>
  <c r="C41" i="26"/>
  <c r="B41" i="26"/>
  <c r="A41" i="26"/>
  <c r="L40" i="26"/>
  <c r="K40" i="26"/>
  <c r="J40" i="26"/>
  <c r="I40" i="26"/>
  <c r="H40" i="26"/>
  <c r="G40" i="26"/>
  <c r="F40" i="26"/>
  <c r="E40" i="26"/>
  <c r="D40" i="26"/>
  <c r="C40" i="26"/>
  <c r="B40" i="26"/>
  <c r="A40" i="26"/>
  <c r="L39" i="26"/>
  <c r="K39" i="26"/>
  <c r="J39" i="26"/>
  <c r="I39" i="26"/>
  <c r="H39" i="26"/>
  <c r="G39" i="26"/>
  <c r="F39" i="26"/>
  <c r="E39" i="26"/>
  <c r="D39" i="26"/>
  <c r="C39" i="26"/>
  <c r="B39" i="26"/>
  <c r="A39" i="26"/>
  <c r="L38" i="26"/>
  <c r="K38" i="26"/>
  <c r="J38" i="26"/>
  <c r="I38" i="26"/>
  <c r="H38" i="26"/>
  <c r="G38" i="26"/>
  <c r="F38" i="26"/>
  <c r="E38" i="26"/>
  <c r="D38" i="26"/>
  <c r="C38" i="26"/>
  <c r="B38" i="26"/>
  <c r="A38" i="26"/>
  <c r="L37" i="26"/>
  <c r="K37" i="26"/>
  <c r="J37" i="26"/>
  <c r="I37" i="26"/>
  <c r="H37" i="26"/>
  <c r="G37" i="26"/>
  <c r="F37" i="26"/>
  <c r="E37" i="26"/>
  <c r="D37" i="26"/>
  <c r="C37" i="26"/>
  <c r="B37" i="26"/>
  <c r="A37" i="26"/>
  <c r="L36" i="26"/>
  <c r="K36" i="26"/>
  <c r="J36" i="26"/>
  <c r="I36" i="26"/>
  <c r="H36" i="26"/>
  <c r="G36" i="26"/>
  <c r="F36" i="26"/>
  <c r="E36" i="26"/>
  <c r="D36" i="26"/>
  <c r="C36" i="26"/>
  <c r="B36" i="26"/>
  <c r="A36" i="26"/>
  <c r="L35" i="26"/>
  <c r="K35" i="26"/>
  <c r="J35" i="26"/>
  <c r="I35" i="26"/>
  <c r="H35" i="26"/>
  <c r="G35" i="26"/>
  <c r="F35" i="26"/>
  <c r="E35" i="26"/>
  <c r="D35" i="26"/>
  <c r="C35" i="26"/>
  <c r="B35" i="26"/>
  <c r="A35" i="26"/>
  <c r="L34" i="26"/>
  <c r="K34" i="26"/>
  <c r="J34" i="26"/>
  <c r="I34" i="26"/>
  <c r="H34" i="26"/>
  <c r="G34" i="26"/>
  <c r="F34" i="26"/>
  <c r="E34" i="26"/>
  <c r="D34" i="26"/>
  <c r="C34" i="26"/>
  <c r="B34" i="26"/>
  <c r="A34" i="26"/>
  <c r="L33" i="26"/>
  <c r="K33" i="26"/>
  <c r="J33" i="26"/>
  <c r="I33" i="26"/>
  <c r="H33" i="26"/>
  <c r="G33" i="26"/>
  <c r="F33" i="26"/>
  <c r="E33" i="26"/>
  <c r="D33" i="26"/>
  <c r="C33" i="26"/>
  <c r="B33" i="26"/>
  <c r="A33" i="26"/>
  <c r="L32" i="26"/>
  <c r="K32" i="26"/>
  <c r="J32" i="26"/>
  <c r="I32" i="26"/>
  <c r="H32" i="26"/>
  <c r="G32" i="26"/>
  <c r="F32" i="26"/>
  <c r="E32" i="26"/>
  <c r="D32" i="26"/>
  <c r="C32" i="26"/>
  <c r="B32" i="26"/>
  <c r="A32" i="26"/>
  <c r="L31" i="26"/>
  <c r="K31" i="26"/>
  <c r="J31" i="26"/>
  <c r="I31" i="26"/>
  <c r="H31" i="26"/>
  <c r="G31" i="26"/>
  <c r="F31" i="26"/>
  <c r="E31" i="26"/>
  <c r="D31" i="26"/>
  <c r="C31" i="26"/>
  <c r="B31" i="26"/>
  <c r="A31" i="26"/>
  <c r="L30" i="26"/>
  <c r="K30" i="26"/>
  <c r="J30" i="26"/>
  <c r="I30" i="26"/>
  <c r="H30" i="26"/>
  <c r="G30" i="26"/>
  <c r="F30" i="26"/>
  <c r="E30" i="26"/>
  <c r="D30" i="26"/>
  <c r="C30" i="26"/>
  <c r="B30" i="26"/>
  <c r="A30" i="26"/>
  <c r="L29" i="26"/>
  <c r="K29" i="26"/>
  <c r="J29" i="26"/>
  <c r="I29" i="26"/>
  <c r="H29" i="26"/>
  <c r="G29" i="26"/>
  <c r="F29" i="26"/>
  <c r="E29" i="26"/>
  <c r="D29" i="26"/>
  <c r="C29" i="26"/>
  <c r="B29" i="26"/>
  <c r="A29" i="26"/>
  <c r="L28" i="26"/>
  <c r="K28" i="26"/>
  <c r="J28" i="26"/>
  <c r="I28" i="26"/>
  <c r="H28" i="26"/>
  <c r="G28" i="26"/>
  <c r="F28" i="26"/>
  <c r="E28" i="26"/>
  <c r="D28" i="26"/>
  <c r="C28" i="26"/>
  <c r="B28" i="26"/>
  <c r="A28" i="26"/>
  <c r="L27" i="26"/>
  <c r="K27" i="26"/>
  <c r="J27" i="26"/>
  <c r="I27" i="26"/>
  <c r="H27" i="26"/>
  <c r="G27" i="26"/>
  <c r="F27" i="26"/>
  <c r="E27" i="26"/>
  <c r="D27" i="26"/>
  <c r="C27" i="26"/>
  <c r="B27" i="26"/>
  <c r="A27" i="26"/>
  <c r="L26" i="26"/>
  <c r="K26" i="26"/>
  <c r="J26" i="26"/>
  <c r="I26" i="26"/>
  <c r="H26" i="26"/>
  <c r="G26" i="26"/>
  <c r="F26" i="26"/>
  <c r="E26" i="26"/>
  <c r="D26" i="26"/>
  <c r="C26" i="26"/>
  <c r="B26" i="26"/>
  <c r="A26" i="26"/>
  <c r="L25" i="26"/>
  <c r="K25" i="26"/>
  <c r="J25" i="26"/>
  <c r="I25" i="26"/>
  <c r="H25" i="26"/>
  <c r="G25" i="26"/>
  <c r="F25" i="26"/>
  <c r="E25" i="26"/>
  <c r="D25" i="26"/>
  <c r="C25" i="26"/>
  <c r="B25" i="26"/>
  <c r="A25" i="26"/>
  <c r="L24" i="26"/>
  <c r="K24" i="26"/>
  <c r="J24" i="26"/>
  <c r="I24" i="26"/>
  <c r="H24" i="26"/>
  <c r="G24" i="26"/>
  <c r="F24" i="26"/>
  <c r="E24" i="26"/>
  <c r="D24" i="26"/>
  <c r="C24" i="26"/>
  <c r="B24" i="26"/>
  <c r="A24" i="26"/>
  <c r="L23" i="26"/>
  <c r="K23" i="26"/>
  <c r="J23" i="26"/>
  <c r="I23" i="26"/>
  <c r="H23" i="26"/>
  <c r="G23" i="26"/>
  <c r="F23" i="26"/>
  <c r="E23" i="26"/>
  <c r="D23" i="26"/>
  <c r="C23" i="26"/>
  <c r="B23" i="26"/>
  <c r="A23" i="26"/>
  <c r="L22" i="26"/>
  <c r="K22" i="26"/>
  <c r="J22" i="26"/>
  <c r="I22" i="26"/>
  <c r="H22" i="26"/>
  <c r="G22" i="26"/>
  <c r="F22" i="26"/>
  <c r="E22" i="26"/>
  <c r="D22" i="26"/>
  <c r="C22" i="26"/>
  <c r="B22" i="26"/>
  <c r="A22" i="26"/>
  <c r="L21" i="26"/>
  <c r="K21" i="26"/>
  <c r="J21" i="26"/>
  <c r="I21" i="26"/>
  <c r="H21" i="26"/>
  <c r="G21" i="26"/>
  <c r="F21" i="26"/>
  <c r="E21" i="26"/>
  <c r="D21" i="26"/>
  <c r="C21" i="26"/>
  <c r="B21" i="26"/>
  <c r="A21" i="26"/>
  <c r="L20" i="26"/>
  <c r="K20" i="26"/>
  <c r="J20" i="26"/>
  <c r="I20" i="26"/>
  <c r="H20" i="26"/>
  <c r="G20" i="26"/>
  <c r="F20" i="26"/>
  <c r="E20" i="26"/>
  <c r="D20" i="26"/>
  <c r="C20" i="26"/>
  <c r="B20" i="26"/>
  <c r="A20" i="26"/>
  <c r="L19" i="26"/>
  <c r="K19" i="26"/>
  <c r="J19" i="26"/>
  <c r="I19" i="26"/>
  <c r="H19" i="26"/>
  <c r="G19" i="26"/>
  <c r="F19" i="26"/>
  <c r="E19" i="26"/>
  <c r="D19" i="26"/>
  <c r="C19" i="26"/>
  <c r="B19" i="26"/>
  <c r="A19" i="26"/>
  <c r="L18" i="26"/>
  <c r="K18" i="26"/>
  <c r="J18" i="26"/>
  <c r="I18" i="26"/>
  <c r="H18" i="26"/>
  <c r="G18" i="26"/>
  <c r="F18" i="26"/>
  <c r="E18" i="26"/>
  <c r="D18" i="26"/>
  <c r="C18" i="26"/>
  <c r="B18" i="26"/>
  <c r="A18" i="26"/>
  <c r="L17" i="26"/>
  <c r="K17" i="26"/>
  <c r="J17" i="26"/>
  <c r="I17" i="26"/>
  <c r="H17" i="26"/>
  <c r="G17" i="26"/>
  <c r="F17" i="26"/>
  <c r="E17" i="26"/>
  <c r="D17" i="26"/>
  <c r="C17" i="26"/>
  <c r="B17" i="26"/>
  <c r="A17" i="26"/>
  <c r="L16" i="26"/>
  <c r="K16" i="26"/>
  <c r="J16" i="26"/>
  <c r="I16" i="26"/>
  <c r="H16" i="26"/>
  <c r="G16" i="26"/>
  <c r="F16" i="26"/>
  <c r="E16" i="26"/>
  <c r="D16" i="26"/>
  <c r="C16" i="26"/>
  <c r="B16" i="26"/>
  <c r="A16" i="26"/>
  <c r="L15" i="26"/>
  <c r="K15" i="26"/>
  <c r="J15" i="26"/>
  <c r="I15" i="26"/>
  <c r="H15" i="26"/>
  <c r="G15" i="26"/>
  <c r="F15" i="26"/>
  <c r="E15" i="26"/>
  <c r="D15" i="26"/>
  <c r="C15" i="26"/>
  <c r="B15" i="26"/>
  <c r="A15" i="26"/>
  <c r="L14" i="26"/>
  <c r="K14" i="26"/>
  <c r="J14" i="26"/>
  <c r="I14" i="26"/>
  <c r="H14" i="26"/>
  <c r="G14" i="26"/>
  <c r="F14" i="26"/>
  <c r="E14" i="26"/>
  <c r="D14" i="26"/>
  <c r="C14" i="26"/>
  <c r="B14" i="26"/>
  <c r="A14" i="26"/>
  <c r="L13" i="26"/>
  <c r="K13" i="26"/>
  <c r="J13" i="26"/>
  <c r="I13" i="26"/>
  <c r="H13" i="26"/>
  <c r="G13" i="26"/>
  <c r="F13" i="26"/>
  <c r="E13" i="26"/>
  <c r="D13" i="26"/>
  <c r="C13" i="26"/>
  <c r="B13" i="26"/>
  <c r="A13" i="26"/>
  <c r="L12" i="26"/>
  <c r="K12" i="26"/>
  <c r="J12" i="26"/>
  <c r="I12" i="26"/>
  <c r="H12" i="26"/>
  <c r="G12" i="26"/>
  <c r="F12" i="26"/>
  <c r="E12" i="26"/>
  <c r="D12" i="26"/>
  <c r="C12" i="26"/>
  <c r="B12" i="26"/>
  <c r="A12" i="26"/>
  <c r="L11" i="26"/>
  <c r="K11" i="26"/>
  <c r="J11" i="26"/>
  <c r="I11" i="26"/>
  <c r="H11" i="26"/>
  <c r="G11" i="26"/>
  <c r="F11" i="26"/>
  <c r="E11" i="26"/>
  <c r="D11" i="26"/>
  <c r="C11" i="26"/>
  <c r="B11" i="26"/>
  <c r="A11" i="26"/>
  <c r="L10" i="26"/>
  <c r="K10" i="26"/>
  <c r="J10" i="26"/>
  <c r="I10" i="26"/>
  <c r="H10" i="26"/>
  <c r="G10" i="26"/>
  <c r="F10" i="26"/>
  <c r="E10" i="26"/>
  <c r="D10" i="26"/>
  <c r="C10" i="26"/>
  <c r="B10" i="26"/>
  <c r="A10" i="26"/>
  <c r="L9" i="26"/>
  <c r="K9" i="26"/>
  <c r="J9" i="26"/>
  <c r="I9" i="26"/>
  <c r="H9" i="26"/>
  <c r="G9" i="26"/>
  <c r="F9" i="26"/>
  <c r="E9" i="26"/>
  <c r="D9" i="26"/>
  <c r="C9" i="26"/>
  <c r="B9" i="26"/>
  <c r="A9" i="26"/>
  <c r="L8" i="26"/>
  <c r="K8" i="26"/>
  <c r="J8" i="26"/>
  <c r="I8" i="26"/>
  <c r="H8" i="26"/>
  <c r="G8" i="26"/>
  <c r="F8" i="26"/>
  <c r="E8" i="26"/>
  <c r="D8" i="26"/>
  <c r="C8" i="26"/>
  <c r="B8" i="26"/>
  <c r="A8" i="26"/>
  <c r="L7" i="26"/>
  <c r="K7" i="26"/>
  <c r="J7" i="26"/>
  <c r="I7" i="26"/>
  <c r="H7" i="26"/>
  <c r="G7" i="26"/>
  <c r="F7" i="26"/>
  <c r="E7" i="26"/>
  <c r="D7" i="26"/>
  <c r="C7" i="26"/>
  <c r="B7" i="26"/>
  <c r="A7" i="26"/>
  <c r="L6" i="26"/>
  <c r="K6" i="26"/>
  <c r="J6" i="26"/>
  <c r="I6" i="26"/>
  <c r="H6" i="26"/>
  <c r="G6" i="26"/>
  <c r="F6" i="26"/>
  <c r="E6" i="26"/>
  <c r="D6" i="26"/>
  <c r="C6" i="26"/>
  <c r="B6" i="26"/>
  <c r="A6" i="26"/>
  <c r="L5" i="26"/>
  <c r="K5" i="26"/>
  <c r="J5" i="26"/>
  <c r="I5" i="26"/>
  <c r="H5" i="26"/>
  <c r="G5" i="26"/>
  <c r="F5" i="26"/>
  <c r="E5" i="26"/>
  <c r="D5" i="26"/>
  <c r="C5" i="26"/>
  <c r="B5" i="26"/>
  <c r="A5" i="26"/>
  <c r="L4" i="26"/>
  <c r="K4" i="26"/>
  <c r="J4" i="26"/>
  <c r="I4" i="26"/>
  <c r="H4" i="26"/>
  <c r="G4" i="26"/>
  <c r="F4" i="26"/>
  <c r="E4" i="26"/>
  <c r="D4" i="26"/>
  <c r="C4" i="26"/>
  <c r="B4" i="26"/>
  <c r="A4" i="26"/>
  <c r="L3" i="26"/>
  <c r="K3" i="26"/>
  <c r="K1" i="26" s="1"/>
  <c r="J3" i="26"/>
  <c r="J2" i="26" s="1"/>
  <c r="I3" i="26"/>
  <c r="I2" i="26" s="1"/>
  <c r="H3" i="26"/>
  <c r="G3" i="26"/>
  <c r="G1" i="26" s="1"/>
  <c r="F3" i="26"/>
  <c r="F1" i="26" s="1"/>
  <c r="E3" i="26"/>
  <c r="E2" i="26" s="1"/>
  <c r="D3" i="26"/>
  <c r="D2" i="26" s="1"/>
  <c r="C3" i="26"/>
  <c r="C1" i="26" s="1"/>
  <c r="B3" i="26"/>
  <c r="B2" i="26" s="1"/>
  <c r="A3" i="26"/>
  <c r="A1" i="26" s="1"/>
  <c r="L2" i="26"/>
  <c r="H2" i="26"/>
  <c r="A2" i="26"/>
  <c r="L1" i="26"/>
  <c r="H1" i="26"/>
  <c r="D1" i="26"/>
  <c r="L400" i="25"/>
  <c r="K400" i="25"/>
  <c r="J400" i="25"/>
  <c r="I400" i="25"/>
  <c r="H400" i="25"/>
  <c r="G400" i="25"/>
  <c r="F400" i="25"/>
  <c r="E400" i="25"/>
  <c r="D400" i="25"/>
  <c r="C400" i="25"/>
  <c r="B400" i="25"/>
  <c r="A400" i="25"/>
  <c r="L399" i="25"/>
  <c r="K399" i="25"/>
  <c r="J399" i="25"/>
  <c r="I399" i="25"/>
  <c r="H399" i="25"/>
  <c r="G399" i="25"/>
  <c r="F399" i="25"/>
  <c r="E399" i="25"/>
  <c r="D399" i="25"/>
  <c r="C399" i="25"/>
  <c r="B399" i="25"/>
  <c r="A399" i="25"/>
  <c r="L398" i="25"/>
  <c r="K398" i="25"/>
  <c r="J398" i="25"/>
  <c r="I398" i="25"/>
  <c r="H398" i="25"/>
  <c r="G398" i="25"/>
  <c r="F398" i="25"/>
  <c r="E398" i="25"/>
  <c r="D398" i="25"/>
  <c r="C398" i="25"/>
  <c r="B398" i="25"/>
  <c r="A398" i="25"/>
  <c r="L397" i="25"/>
  <c r="K397" i="25"/>
  <c r="J397" i="25"/>
  <c r="I397" i="25"/>
  <c r="H397" i="25"/>
  <c r="G397" i="25"/>
  <c r="F397" i="25"/>
  <c r="E397" i="25"/>
  <c r="D397" i="25"/>
  <c r="C397" i="25"/>
  <c r="B397" i="25"/>
  <c r="A397" i="25"/>
  <c r="L396" i="25"/>
  <c r="K396" i="25"/>
  <c r="J396" i="25"/>
  <c r="I396" i="25"/>
  <c r="H396" i="25"/>
  <c r="G396" i="25"/>
  <c r="F396" i="25"/>
  <c r="E396" i="25"/>
  <c r="D396" i="25"/>
  <c r="C396" i="25"/>
  <c r="B396" i="25"/>
  <c r="A396" i="25"/>
  <c r="L395" i="25"/>
  <c r="K395" i="25"/>
  <c r="J395" i="25"/>
  <c r="I395" i="25"/>
  <c r="H395" i="25"/>
  <c r="G395" i="25"/>
  <c r="F395" i="25"/>
  <c r="E395" i="25"/>
  <c r="D395" i="25"/>
  <c r="C395" i="25"/>
  <c r="B395" i="25"/>
  <c r="A395" i="25"/>
  <c r="L394" i="25"/>
  <c r="K394" i="25"/>
  <c r="J394" i="25"/>
  <c r="I394" i="25"/>
  <c r="H394" i="25"/>
  <c r="G394" i="25"/>
  <c r="F394" i="25"/>
  <c r="E394" i="25"/>
  <c r="D394" i="25"/>
  <c r="C394" i="25"/>
  <c r="B394" i="25"/>
  <c r="A394" i="25"/>
  <c r="L393" i="25"/>
  <c r="K393" i="25"/>
  <c r="J393" i="25"/>
  <c r="I393" i="25"/>
  <c r="H393" i="25"/>
  <c r="G393" i="25"/>
  <c r="F393" i="25"/>
  <c r="E393" i="25"/>
  <c r="D393" i="25"/>
  <c r="C393" i="25"/>
  <c r="B393" i="25"/>
  <c r="A393" i="25"/>
  <c r="L392" i="25"/>
  <c r="K392" i="25"/>
  <c r="J392" i="25"/>
  <c r="I392" i="25"/>
  <c r="H392" i="25"/>
  <c r="G392" i="25"/>
  <c r="F392" i="25"/>
  <c r="E392" i="25"/>
  <c r="D392" i="25"/>
  <c r="C392" i="25"/>
  <c r="B392" i="25"/>
  <c r="A392" i="25"/>
  <c r="L391" i="25"/>
  <c r="K391" i="25"/>
  <c r="J391" i="25"/>
  <c r="I391" i="25"/>
  <c r="H391" i="25"/>
  <c r="G391" i="25"/>
  <c r="F391" i="25"/>
  <c r="E391" i="25"/>
  <c r="D391" i="25"/>
  <c r="C391" i="25"/>
  <c r="B391" i="25"/>
  <c r="A391" i="25"/>
  <c r="L390" i="25"/>
  <c r="K390" i="25"/>
  <c r="J390" i="25"/>
  <c r="I390" i="25"/>
  <c r="H390" i="25"/>
  <c r="G390" i="25"/>
  <c r="F390" i="25"/>
  <c r="E390" i="25"/>
  <c r="D390" i="25"/>
  <c r="C390" i="25"/>
  <c r="B390" i="25"/>
  <c r="A390" i="25"/>
  <c r="L389" i="25"/>
  <c r="K389" i="25"/>
  <c r="J389" i="25"/>
  <c r="I389" i="25"/>
  <c r="H389" i="25"/>
  <c r="G389" i="25"/>
  <c r="F389" i="25"/>
  <c r="E389" i="25"/>
  <c r="D389" i="25"/>
  <c r="C389" i="25"/>
  <c r="B389" i="25"/>
  <c r="A389" i="25"/>
  <c r="L388" i="25"/>
  <c r="K388" i="25"/>
  <c r="J388" i="25"/>
  <c r="I388" i="25"/>
  <c r="H388" i="25"/>
  <c r="G388" i="25"/>
  <c r="F388" i="25"/>
  <c r="E388" i="25"/>
  <c r="D388" i="25"/>
  <c r="C388" i="25"/>
  <c r="B388" i="25"/>
  <c r="A388" i="25"/>
  <c r="L387" i="25"/>
  <c r="K387" i="25"/>
  <c r="J387" i="25"/>
  <c r="I387" i="25"/>
  <c r="H387" i="25"/>
  <c r="G387" i="25"/>
  <c r="F387" i="25"/>
  <c r="E387" i="25"/>
  <c r="D387" i="25"/>
  <c r="C387" i="25"/>
  <c r="B387" i="25"/>
  <c r="A387" i="25"/>
  <c r="L386" i="25"/>
  <c r="K386" i="25"/>
  <c r="J386" i="25"/>
  <c r="I386" i="25"/>
  <c r="H386" i="25"/>
  <c r="G386" i="25"/>
  <c r="F386" i="25"/>
  <c r="E386" i="25"/>
  <c r="D386" i="25"/>
  <c r="C386" i="25"/>
  <c r="B386" i="25"/>
  <c r="A386" i="25"/>
  <c r="L385" i="25"/>
  <c r="K385" i="25"/>
  <c r="J385" i="25"/>
  <c r="I385" i="25"/>
  <c r="H385" i="25"/>
  <c r="G385" i="25"/>
  <c r="F385" i="25"/>
  <c r="E385" i="25"/>
  <c r="D385" i="25"/>
  <c r="C385" i="25"/>
  <c r="B385" i="25"/>
  <c r="A385" i="25"/>
  <c r="L384" i="25"/>
  <c r="K384" i="25"/>
  <c r="J384" i="25"/>
  <c r="I384" i="25"/>
  <c r="H384" i="25"/>
  <c r="G384" i="25"/>
  <c r="F384" i="25"/>
  <c r="E384" i="25"/>
  <c r="D384" i="25"/>
  <c r="C384" i="25"/>
  <c r="B384" i="25"/>
  <c r="A384" i="25"/>
  <c r="L383" i="25"/>
  <c r="K383" i="25"/>
  <c r="J383" i="25"/>
  <c r="I383" i="25"/>
  <c r="H383" i="25"/>
  <c r="G383" i="25"/>
  <c r="F383" i="25"/>
  <c r="E383" i="25"/>
  <c r="D383" i="25"/>
  <c r="C383" i="25"/>
  <c r="B383" i="25"/>
  <c r="A383" i="25"/>
  <c r="L382" i="25"/>
  <c r="K382" i="25"/>
  <c r="J382" i="25"/>
  <c r="I382" i="25"/>
  <c r="H382" i="25"/>
  <c r="G382" i="25"/>
  <c r="F382" i="25"/>
  <c r="E382" i="25"/>
  <c r="D382" i="25"/>
  <c r="C382" i="25"/>
  <c r="B382" i="25"/>
  <c r="A382" i="25"/>
  <c r="L381" i="25"/>
  <c r="K381" i="25"/>
  <c r="J381" i="25"/>
  <c r="I381" i="25"/>
  <c r="H381" i="25"/>
  <c r="G381" i="25"/>
  <c r="F381" i="25"/>
  <c r="E381" i="25"/>
  <c r="D381" i="25"/>
  <c r="C381" i="25"/>
  <c r="B381" i="25"/>
  <c r="A381" i="25"/>
  <c r="L380" i="25"/>
  <c r="K380" i="25"/>
  <c r="J380" i="25"/>
  <c r="I380" i="25"/>
  <c r="H380" i="25"/>
  <c r="G380" i="25"/>
  <c r="F380" i="25"/>
  <c r="E380" i="25"/>
  <c r="D380" i="25"/>
  <c r="C380" i="25"/>
  <c r="B380" i="25"/>
  <c r="A380" i="25"/>
  <c r="L379" i="25"/>
  <c r="K379" i="25"/>
  <c r="J379" i="25"/>
  <c r="I379" i="25"/>
  <c r="H379" i="25"/>
  <c r="G379" i="25"/>
  <c r="F379" i="25"/>
  <c r="E379" i="25"/>
  <c r="D379" i="25"/>
  <c r="C379" i="25"/>
  <c r="B379" i="25"/>
  <c r="A379" i="25"/>
  <c r="L378" i="25"/>
  <c r="K378" i="25"/>
  <c r="J378" i="25"/>
  <c r="I378" i="25"/>
  <c r="H378" i="25"/>
  <c r="G378" i="25"/>
  <c r="F378" i="25"/>
  <c r="E378" i="25"/>
  <c r="D378" i="25"/>
  <c r="C378" i="25"/>
  <c r="B378" i="25"/>
  <c r="A378" i="25"/>
  <c r="L377" i="25"/>
  <c r="K377" i="25"/>
  <c r="J377" i="25"/>
  <c r="I377" i="25"/>
  <c r="H377" i="25"/>
  <c r="G377" i="25"/>
  <c r="F377" i="25"/>
  <c r="E377" i="25"/>
  <c r="D377" i="25"/>
  <c r="C377" i="25"/>
  <c r="B377" i="25"/>
  <c r="A377" i="25"/>
  <c r="L376" i="25"/>
  <c r="K376" i="25"/>
  <c r="J376" i="25"/>
  <c r="I376" i="25"/>
  <c r="H376" i="25"/>
  <c r="G376" i="25"/>
  <c r="F376" i="25"/>
  <c r="E376" i="25"/>
  <c r="D376" i="25"/>
  <c r="C376" i="25"/>
  <c r="B376" i="25"/>
  <c r="A376" i="25"/>
  <c r="L375" i="25"/>
  <c r="K375" i="25"/>
  <c r="J375" i="25"/>
  <c r="I375" i="25"/>
  <c r="H375" i="25"/>
  <c r="G375" i="25"/>
  <c r="F375" i="25"/>
  <c r="E375" i="25"/>
  <c r="D375" i="25"/>
  <c r="C375" i="25"/>
  <c r="B375" i="25"/>
  <c r="A375" i="25"/>
  <c r="L374" i="25"/>
  <c r="K374" i="25"/>
  <c r="J374" i="25"/>
  <c r="I374" i="25"/>
  <c r="H374" i="25"/>
  <c r="G374" i="25"/>
  <c r="F374" i="25"/>
  <c r="E374" i="25"/>
  <c r="D374" i="25"/>
  <c r="C374" i="25"/>
  <c r="B374" i="25"/>
  <c r="A374" i="25"/>
  <c r="L373" i="25"/>
  <c r="K373" i="25"/>
  <c r="J373" i="25"/>
  <c r="I373" i="25"/>
  <c r="H373" i="25"/>
  <c r="G373" i="25"/>
  <c r="F373" i="25"/>
  <c r="E373" i="25"/>
  <c r="D373" i="25"/>
  <c r="C373" i="25"/>
  <c r="B373" i="25"/>
  <c r="A373" i="25"/>
  <c r="L372" i="25"/>
  <c r="K372" i="25"/>
  <c r="J372" i="25"/>
  <c r="I372" i="25"/>
  <c r="H372" i="25"/>
  <c r="G372" i="25"/>
  <c r="F372" i="25"/>
  <c r="E372" i="25"/>
  <c r="D372" i="25"/>
  <c r="C372" i="25"/>
  <c r="B372" i="25"/>
  <c r="A372" i="25"/>
  <c r="L371" i="25"/>
  <c r="K371" i="25"/>
  <c r="J371" i="25"/>
  <c r="I371" i="25"/>
  <c r="H371" i="25"/>
  <c r="G371" i="25"/>
  <c r="F371" i="25"/>
  <c r="E371" i="25"/>
  <c r="D371" i="25"/>
  <c r="C371" i="25"/>
  <c r="B371" i="25"/>
  <c r="A371" i="25"/>
  <c r="L370" i="25"/>
  <c r="K370" i="25"/>
  <c r="J370" i="25"/>
  <c r="I370" i="25"/>
  <c r="H370" i="25"/>
  <c r="G370" i="25"/>
  <c r="F370" i="25"/>
  <c r="E370" i="25"/>
  <c r="D370" i="25"/>
  <c r="C370" i="25"/>
  <c r="B370" i="25"/>
  <c r="A370" i="25"/>
  <c r="L369" i="25"/>
  <c r="K369" i="25"/>
  <c r="J369" i="25"/>
  <c r="I369" i="25"/>
  <c r="H369" i="25"/>
  <c r="G369" i="25"/>
  <c r="F369" i="25"/>
  <c r="E369" i="25"/>
  <c r="D369" i="25"/>
  <c r="C369" i="25"/>
  <c r="B369" i="25"/>
  <c r="A369" i="25"/>
  <c r="L368" i="25"/>
  <c r="K368" i="25"/>
  <c r="J368" i="25"/>
  <c r="I368" i="25"/>
  <c r="H368" i="25"/>
  <c r="G368" i="25"/>
  <c r="F368" i="25"/>
  <c r="E368" i="25"/>
  <c r="D368" i="25"/>
  <c r="C368" i="25"/>
  <c r="B368" i="25"/>
  <c r="A368" i="25"/>
  <c r="L367" i="25"/>
  <c r="K367" i="25"/>
  <c r="J367" i="25"/>
  <c r="I367" i="25"/>
  <c r="H367" i="25"/>
  <c r="G367" i="25"/>
  <c r="F367" i="25"/>
  <c r="E367" i="25"/>
  <c r="D367" i="25"/>
  <c r="C367" i="25"/>
  <c r="B367" i="25"/>
  <c r="A367" i="25"/>
  <c r="L366" i="25"/>
  <c r="K366" i="25"/>
  <c r="J366" i="25"/>
  <c r="I366" i="25"/>
  <c r="H366" i="25"/>
  <c r="G366" i="25"/>
  <c r="F366" i="25"/>
  <c r="E366" i="25"/>
  <c r="D366" i="25"/>
  <c r="C366" i="25"/>
  <c r="B366" i="25"/>
  <c r="A366" i="25"/>
  <c r="L365" i="25"/>
  <c r="K365" i="25"/>
  <c r="J365" i="25"/>
  <c r="I365" i="25"/>
  <c r="H365" i="25"/>
  <c r="G365" i="25"/>
  <c r="F365" i="25"/>
  <c r="E365" i="25"/>
  <c r="D365" i="25"/>
  <c r="C365" i="25"/>
  <c r="B365" i="25"/>
  <c r="A365" i="25"/>
  <c r="L364" i="25"/>
  <c r="K364" i="25"/>
  <c r="J364" i="25"/>
  <c r="I364" i="25"/>
  <c r="H364" i="25"/>
  <c r="G364" i="25"/>
  <c r="F364" i="25"/>
  <c r="E364" i="25"/>
  <c r="D364" i="25"/>
  <c r="C364" i="25"/>
  <c r="B364" i="25"/>
  <c r="A364" i="25"/>
  <c r="L363" i="25"/>
  <c r="K363" i="25"/>
  <c r="J363" i="25"/>
  <c r="I363" i="25"/>
  <c r="H363" i="25"/>
  <c r="G363" i="25"/>
  <c r="F363" i="25"/>
  <c r="E363" i="25"/>
  <c r="D363" i="25"/>
  <c r="C363" i="25"/>
  <c r="B363" i="25"/>
  <c r="A363" i="25"/>
  <c r="L362" i="25"/>
  <c r="K362" i="25"/>
  <c r="J362" i="25"/>
  <c r="I362" i="25"/>
  <c r="H362" i="25"/>
  <c r="G362" i="25"/>
  <c r="F362" i="25"/>
  <c r="E362" i="25"/>
  <c r="D362" i="25"/>
  <c r="C362" i="25"/>
  <c r="B362" i="25"/>
  <c r="A362" i="25"/>
  <c r="L361" i="25"/>
  <c r="K361" i="25"/>
  <c r="J361" i="25"/>
  <c r="I361" i="25"/>
  <c r="H361" i="25"/>
  <c r="G361" i="25"/>
  <c r="F361" i="25"/>
  <c r="E361" i="25"/>
  <c r="D361" i="25"/>
  <c r="C361" i="25"/>
  <c r="B361" i="25"/>
  <c r="A361" i="25"/>
  <c r="L360" i="25"/>
  <c r="K360" i="25"/>
  <c r="J360" i="25"/>
  <c r="I360" i="25"/>
  <c r="H360" i="25"/>
  <c r="G360" i="25"/>
  <c r="F360" i="25"/>
  <c r="E360" i="25"/>
  <c r="D360" i="25"/>
  <c r="C360" i="25"/>
  <c r="B360" i="25"/>
  <c r="A360" i="25"/>
  <c r="L359" i="25"/>
  <c r="K359" i="25"/>
  <c r="J359" i="25"/>
  <c r="I359" i="25"/>
  <c r="H359" i="25"/>
  <c r="G359" i="25"/>
  <c r="F359" i="25"/>
  <c r="E359" i="25"/>
  <c r="D359" i="25"/>
  <c r="C359" i="25"/>
  <c r="B359" i="25"/>
  <c r="A359" i="25"/>
  <c r="L358" i="25"/>
  <c r="K358" i="25"/>
  <c r="J358" i="25"/>
  <c r="I358" i="25"/>
  <c r="H358" i="25"/>
  <c r="G358" i="25"/>
  <c r="F358" i="25"/>
  <c r="E358" i="25"/>
  <c r="D358" i="25"/>
  <c r="C358" i="25"/>
  <c r="B358" i="25"/>
  <c r="A358" i="25"/>
  <c r="L357" i="25"/>
  <c r="K357" i="25"/>
  <c r="J357" i="25"/>
  <c r="I357" i="25"/>
  <c r="H357" i="25"/>
  <c r="G357" i="25"/>
  <c r="F357" i="25"/>
  <c r="E357" i="25"/>
  <c r="D357" i="25"/>
  <c r="C357" i="25"/>
  <c r="B357" i="25"/>
  <c r="A357" i="25"/>
  <c r="L356" i="25"/>
  <c r="K356" i="25"/>
  <c r="J356" i="25"/>
  <c r="I356" i="25"/>
  <c r="H356" i="25"/>
  <c r="G356" i="25"/>
  <c r="F356" i="25"/>
  <c r="E356" i="25"/>
  <c r="D356" i="25"/>
  <c r="C356" i="25"/>
  <c r="B356" i="25"/>
  <c r="A356" i="25"/>
  <c r="L355" i="25"/>
  <c r="K355" i="25"/>
  <c r="J355" i="25"/>
  <c r="I355" i="25"/>
  <c r="H355" i="25"/>
  <c r="G355" i="25"/>
  <c r="F355" i="25"/>
  <c r="E355" i="25"/>
  <c r="D355" i="25"/>
  <c r="C355" i="25"/>
  <c r="B355" i="25"/>
  <c r="A355" i="25"/>
  <c r="L354" i="25"/>
  <c r="K354" i="25"/>
  <c r="J354" i="25"/>
  <c r="I354" i="25"/>
  <c r="H354" i="25"/>
  <c r="G354" i="25"/>
  <c r="F354" i="25"/>
  <c r="E354" i="25"/>
  <c r="D354" i="25"/>
  <c r="C354" i="25"/>
  <c r="B354" i="25"/>
  <c r="A354" i="25"/>
  <c r="L353" i="25"/>
  <c r="K353" i="25"/>
  <c r="J353" i="25"/>
  <c r="I353" i="25"/>
  <c r="H353" i="25"/>
  <c r="G353" i="25"/>
  <c r="F353" i="25"/>
  <c r="E353" i="25"/>
  <c r="D353" i="25"/>
  <c r="C353" i="25"/>
  <c r="B353" i="25"/>
  <c r="A353" i="25"/>
  <c r="L352" i="25"/>
  <c r="K352" i="25"/>
  <c r="J352" i="25"/>
  <c r="I352" i="25"/>
  <c r="H352" i="25"/>
  <c r="G352" i="25"/>
  <c r="F352" i="25"/>
  <c r="E352" i="25"/>
  <c r="D352" i="25"/>
  <c r="C352" i="25"/>
  <c r="B352" i="25"/>
  <c r="A352" i="25"/>
  <c r="L351" i="25"/>
  <c r="K351" i="25"/>
  <c r="J351" i="25"/>
  <c r="I351" i="25"/>
  <c r="H351" i="25"/>
  <c r="G351" i="25"/>
  <c r="F351" i="25"/>
  <c r="E351" i="25"/>
  <c r="D351" i="25"/>
  <c r="C351" i="25"/>
  <c r="B351" i="25"/>
  <c r="A351" i="25"/>
  <c r="L350" i="25"/>
  <c r="K350" i="25"/>
  <c r="J350" i="25"/>
  <c r="I350" i="25"/>
  <c r="H350" i="25"/>
  <c r="G350" i="25"/>
  <c r="F350" i="25"/>
  <c r="E350" i="25"/>
  <c r="D350" i="25"/>
  <c r="C350" i="25"/>
  <c r="B350" i="25"/>
  <c r="A350" i="25"/>
  <c r="L349" i="25"/>
  <c r="K349" i="25"/>
  <c r="J349" i="25"/>
  <c r="I349" i="25"/>
  <c r="H349" i="25"/>
  <c r="G349" i="25"/>
  <c r="F349" i="25"/>
  <c r="E349" i="25"/>
  <c r="D349" i="25"/>
  <c r="C349" i="25"/>
  <c r="B349" i="25"/>
  <c r="A349" i="25"/>
  <c r="L348" i="25"/>
  <c r="K348" i="25"/>
  <c r="J348" i="25"/>
  <c r="I348" i="25"/>
  <c r="H348" i="25"/>
  <c r="G348" i="25"/>
  <c r="F348" i="25"/>
  <c r="E348" i="25"/>
  <c r="D348" i="25"/>
  <c r="C348" i="25"/>
  <c r="B348" i="25"/>
  <c r="A348" i="25"/>
  <c r="L347" i="25"/>
  <c r="K347" i="25"/>
  <c r="J347" i="25"/>
  <c r="I347" i="25"/>
  <c r="H347" i="25"/>
  <c r="G347" i="25"/>
  <c r="F347" i="25"/>
  <c r="E347" i="25"/>
  <c r="D347" i="25"/>
  <c r="C347" i="25"/>
  <c r="B347" i="25"/>
  <c r="A347" i="25"/>
  <c r="L346" i="25"/>
  <c r="K346" i="25"/>
  <c r="J346" i="25"/>
  <c r="I346" i="25"/>
  <c r="H346" i="25"/>
  <c r="G346" i="25"/>
  <c r="F346" i="25"/>
  <c r="E346" i="25"/>
  <c r="D346" i="25"/>
  <c r="C346" i="25"/>
  <c r="B346" i="25"/>
  <c r="A346" i="25"/>
  <c r="L345" i="25"/>
  <c r="K345" i="25"/>
  <c r="J345" i="25"/>
  <c r="I345" i="25"/>
  <c r="H345" i="25"/>
  <c r="G345" i="25"/>
  <c r="F345" i="25"/>
  <c r="E345" i="25"/>
  <c r="D345" i="25"/>
  <c r="C345" i="25"/>
  <c r="B345" i="25"/>
  <c r="A345" i="25"/>
  <c r="L344" i="25"/>
  <c r="K344" i="25"/>
  <c r="J344" i="25"/>
  <c r="I344" i="25"/>
  <c r="H344" i="25"/>
  <c r="G344" i="25"/>
  <c r="F344" i="25"/>
  <c r="E344" i="25"/>
  <c r="D344" i="25"/>
  <c r="C344" i="25"/>
  <c r="B344" i="25"/>
  <c r="A344" i="25"/>
  <c r="L343" i="25"/>
  <c r="K343" i="25"/>
  <c r="J343" i="25"/>
  <c r="I343" i="25"/>
  <c r="H343" i="25"/>
  <c r="G343" i="25"/>
  <c r="F343" i="25"/>
  <c r="E343" i="25"/>
  <c r="D343" i="25"/>
  <c r="C343" i="25"/>
  <c r="B343" i="25"/>
  <c r="A343" i="25"/>
  <c r="L342" i="25"/>
  <c r="K342" i="25"/>
  <c r="J342" i="25"/>
  <c r="I342" i="25"/>
  <c r="H342" i="25"/>
  <c r="G342" i="25"/>
  <c r="F342" i="25"/>
  <c r="E342" i="25"/>
  <c r="D342" i="25"/>
  <c r="C342" i="25"/>
  <c r="B342" i="25"/>
  <c r="A342" i="25"/>
  <c r="L341" i="25"/>
  <c r="K341" i="25"/>
  <c r="J341" i="25"/>
  <c r="I341" i="25"/>
  <c r="H341" i="25"/>
  <c r="G341" i="25"/>
  <c r="F341" i="25"/>
  <c r="E341" i="25"/>
  <c r="D341" i="25"/>
  <c r="C341" i="25"/>
  <c r="B341" i="25"/>
  <c r="A341" i="25"/>
  <c r="L340" i="25"/>
  <c r="K340" i="25"/>
  <c r="J340" i="25"/>
  <c r="I340" i="25"/>
  <c r="H340" i="25"/>
  <c r="G340" i="25"/>
  <c r="F340" i="25"/>
  <c r="E340" i="25"/>
  <c r="D340" i="25"/>
  <c r="C340" i="25"/>
  <c r="B340" i="25"/>
  <c r="A340" i="25"/>
  <c r="L339" i="25"/>
  <c r="K339" i="25"/>
  <c r="J339" i="25"/>
  <c r="I339" i="25"/>
  <c r="H339" i="25"/>
  <c r="G339" i="25"/>
  <c r="F339" i="25"/>
  <c r="E339" i="25"/>
  <c r="D339" i="25"/>
  <c r="C339" i="25"/>
  <c r="B339" i="25"/>
  <c r="A339" i="25"/>
  <c r="L338" i="25"/>
  <c r="K338" i="25"/>
  <c r="J338" i="25"/>
  <c r="I338" i="25"/>
  <c r="H338" i="25"/>
  <c r="G338" i="25"/>
  <c r="F338" i="25"/>
  <c r="E338" i="25"/>
  <c r="D338" i="25"/>
  <c r="C338" i="25"/>
  <c r="B338" i="25"/>
  <c r="A338" i="25"/>
  <c r="L337" i="25"/>
  <c r="K337" i="25"/>
  <c r="J337" i="25"/>
  <c r="I337" i="25"/>
  <c r="H337" i="25"/>
  <c r="G337" i="25"/>
  <c r="F337" i="25"/>
  <c r="E337" i="25"/>
  <c r="D337" i="25"/>
  <c r="C337" i="25"/>
  <c r="B337" i="25"/>
  <c r="A337" i="25"/>
  <c r="L336" i="25"/>
  <c r="K336" i="25"/>
  <c r="J336" i="25"/>
  <c r="I336" i="25"/>
  <c r="H336" i="25"/>
  <c r="G336" i="25"/>
  <c r="F336" i="25"/>
  <c r="E336" i="25"/>
  <c r="D336" i="25"/>
  <c r="C336" i="25"/>
  <c r="B336" i="25"/>
  <c r="A336" i="25"/>
  <c r="L335" i="25"/>
  <c r="K335" i="25"/>
  <c r="J335" i="25"/>
  <c r="I335" i="25"/>
  <c r="H335" i="25"/>
  <c r="G335" i="25"/>
  <c r="F335" i="25"/>
  <c r="E335" i="25"/>
  <c r="D335" i="25"/>
  <c r="C335" i="25"/>
  <c r="B335" i="25"/>
  <c r="A335" i="25"/>
  <c r="L334" i="25"/>
  <c r="K334" i="25"/>
  <c r="J334" i="25"/>
  <c r="I334" i="25"/>
  <c r="H334" i="25"/>
  <c r="G334" i="25"/>
  <c r="F334" i="25"/>
  <c r="E334" i="25"/>
  <c r="D334" i="25"/>
  <c r="C334" i="25"/>
  <c r="B334" i="25"/>
  <c r="A334" i="25"/>
  <c r="L333" i="25"/>
  <c r="K333" i="25"/>
  <c r="J333" i="25"/>
  <c r="I333" i="25"/>
  <c r="H333" i="25"/>
  <c r="G333" i="25"/>
  <c r="F333" i="25"/>
  <c r="E333" i="25"/>
  <c r="D333" i="25"/>
  <c r="C333" i="25"/>
  <c r="B333" i="25"/>
  <c r="A333" i="25"/>
  <c r="L332" i="25"/>
  <c r="K332" i="25"/>
  <c r="J332" i="25"/>
  <c r="I332" i="25"/>
  <c r="H332" i="25"/>
  <c r="G332" i="25"/>
  <c r="F332" i="25"/>
  <c r="E332" i="25"/>
  <c r="D332" i="25"/>
  <c r="C332" i="25"/>
  <c r="B332" i="25"/>
  <c r="A332" i="25"/>
  <c r="L331" i="25"/>
  <c r="K331" i="25"/>
  <c r="J331" i="25"/>
  <c r="I331" i="25"/>
  <c r="H331" i="25"/>
  <c r="G331" i="25"/>
  <c r="F331" i="25"/>
  <c r="E331" i="25"/>
  <c r="D331" i="25"/>
  <c r="C331" i="25"/>
  <c r="B331" i="25"/>
  <c r="A331" i="25"/>
  <c r="L330" i="25"/>
  <c r="K330" i="25"/>
  <c r="J330" i="25"/>
  <c r="I330" i="25"/>
  <c r="H330" i="25"/>
  <c r="G330" i="25"/>
  <c r="F330" i="25"/>
  <c r="E330" i="25"/>
  <c r="D330" i="25"/>
  <c r="C330" i="25"/>
  <c r="B330" i="25"/>
  <c r="A330" i="25"/>
  <c r="L329" i="25"/>
  <c r="K329" i="25"/>
  <c r="J329" i="25"/>
  <c r="I329" i="25"/>
  <c r="H329" i="25"/>
  <c r="G329" i="25"/>
  <c r="F329" i="25"/>
  <c r="E329" i="25"/>
  <c r="D329" i="25"/>
  <c r="C329" i="25"/>
  <c r="B329" i="25"/>
  <c r="A329" i="25"/>
  <c r="L328" i="25"/>
  <c r="K328" i="25"/>
  <c r="J328" i="25"/>
  <c r="I328" i="25"/>
  <c r="H328" i="25"/>
  <c r="G328" i="25"/>
  <c r="F328" i="25"/>
  <c r="E328" i="25"/>
  <c r="D328" i="25"/>
  <c r="C328" i="25"/>
  <c r="B328" i="25"/>
  <c r="A328" i="25"/>
  <c r="L327" i="25"/>
  <c r="K327" i="25"/>
  <c r="J327" i="25"/>
  <c r="I327" i="25"/>
  <c r="H327" i="25"/>
  <c r="G327" i="25"/>
  <c r="F327" i="25"/>
  <c r="E327" i="25"/>
  <c r="D327" i="25"/>
  <c r="C327" i="25"/>
  <c r="B327" i="25"/>
  <c r="A327" i="25"/>
  <c r="L326" i="25"/>
  <c r="K326" i="25"/>
  <c r="J326" i="25"/>
  <c r="I326" i="25"/>
  <c r="H326" i="25"/>
  <c r="G326" i="25"/>
  <c r="F326" i="25"/>
  <c r="E326" i="25"/>
  <c r="D326" i="25"/>
  <c r="C326" i="25"/>
  <c r="B326" i="25"/>
  <c r="A326" i="25"/>
  <c r="L325" i="25"/>
  <c r="K325" i="25"/>
  <c r="J325" i="25"/>
  <c r="I325" i="25"/>
  <c r="H325" i="25"/>
  <c r="G325" i="25"/>
  <c r="F325" i="25"/>
  <c r="E325" i="25"/>
  <c r="D325" i="25"/>
  <c r="C325" i="25"/>
  <c r="B325" i="25"/>
  <c r="A325" i="25"/>
  <c r="L324" i="25"/>
  <c r="K324" i="25"/>
  <c r="J324" i="25"/>
  <c r="I324" i="25"/>
  <c r="H324" i="25"/>
  <c r="G324" i="25"/>
  <c r="F324" i="25"/>
  <c r="E324" i="25"/>
  <c r="D324" i="25"/>
  <c r="C324" i="25"/>
  <c r="B324" i="25"/>
  <c r="A324" i="25"/>
  <c r="L323" i="25"/>
  <c r="K323" i="25"/>
  <c r="J323" i="25"/>
  <c r="I323" i="25"/>
  <c r="H323" i="25"/>
  <c r="G323" i="25"/>
  <c r="F323" i="25"/>
  <c r="E323" i="25"/>
  <c r="D323" i="25"/>
  <c r="C323" i="25"/>
  <c r="B323" i="25"/>
  <c r="A323" i="25"/>
  <c r="L322" i="25"/>
  <c r="K322" i="25"/>
  <c r="J322" i="25"/>
  <c r="I322" i="25"/>
  <c r="H322" i="25"/>
  <c r="G322" i="25"/>
  <c r="F322" i="25"/>
  <c r="E322" i="25"/>
  <c r="D322" i="25"/>
  <c r="C322" i="25"/>
  <c r="B322" i="25"/>
  <c r="A322" i="25"/>
  <c r="L321" i="25"/>
  <c r="K321" i="25"/>
  <c r="J321" i="25"/>
  <c r="I321" i="25"/>
  <c r="H321" i="25"/>
  <c r="G321" i="25"/>
  <c r="F321" i="25"/>
  <c r="E321" i="25"/>
  <c r="D321" i="25"/>
  <c r="C321" i="25"/>
  <c r="B321" i="25"/>
  <c r="A321" i="25"/>
  <c r="L320" i="25"/>
  <c r="K320" i="25"/>
  <c r="J320" i="25"/>
  <c r="I320" i="25"/>
  <c r="H320" i="25"/>
  <c r="G320" i="25"/>
  <c r="F320" i="25"/>
  <c r="E320" i="25"/>
  <c r="D320" i="25"/>
  <c r="C320" i="25"/>
  <c r="B320" i="25"/>
  <c r="A320" i="25"/>
  <c r="L319" i="25"/>
  <c r="K319" i="25"/>
  <c r="J319" i="25"/>
  <c r="I319" i="25"/>
  <c r="H319" i="25"/>
  <c r="G319" i="25"/>
  <c r="F319" i="25"/>
  <c r="E319" i="25"/>
  <c r="D319" i="25"/>
  <c r="C319" i="25"/>
  <c r="B319" i="25"/>
  <c r="A319" i="25"/>
  <c r="L318" i="25"/>
  <c r="K318" i="25"/>
  <c r="J318" i="25"/>
  <c r="I318" i="25"/>
  <c r="H318" i="25"/>
  <c r="G318" i="25"/>
  <c r="F318" i="25"/>
  <c r="E318" i="25"/>
  <c r="D318" i="25"/>
  <c r="C318" i="25"/>
  <c r="B318" i="25"/>
  <c r="A318" i="25"/>
  <c r="L317" i="25"/>
  <c r="K317" i="25"/>
  <c r="J317" i="25"/>
  <c r="I317" i="25"/>
  <c r="H317" i="25"/>
  <c r="G317" i="25"/>
  <c r="F317" i="25"/>
  <c r="E317" i="25"/>
  <c r="D317" i="25"/>
  <c r="C317" i="25"/>
  <c r="B317" i="25"/>
  <c r="A317" i="25"/>
  <c r="L316" i="25"/>
  <c r="K316" i="25"/>
  <c r="J316" i="25"/>
  <c r="I316" i="25"/>
  <c r="H316" i="25"/>
  <c r="G316" i="25"/>
  <c r="F316" i="25"/>
  <c r="E316" i="25"/>
  <c r="D316" i="25"/>
  <c r="C316" i="25"/>
  <c r="B316" i="25"/>
  <c r="A316" i="25"/>
  <c r="L315" i="25"/>
  <c r="K315" i="25"/>
  <c r="J315" i="25"/>
  <c r="I315" i="25"/>
  <c r="H315" i="25"/>
  <c r="G315" i="25"/>
  <c r="F315" i="25"/>
  <c r="E315" i="25"/>
  <c r="D315" i="25"/>
  <c r="C315" i="25"/>
  <c r="B315" i="25"/>
  <c r="A315" i="25"/>
  <c r="L314" i="25"/>
  <c r="K314" i="25"/>
  <c r="J314" i="25"/>
  <c r="I314" i="25"/>
  <c r="H314" i="25"/>
  <c r="G314" i="25"/>
  <c r="F314" i="25"/>
  <c r="E314" i="25"/>
  <c r="D314" i="25"/>
  <c r="C314" i="25"/>
  <c r="B314" i="25"/>
  <c r="A314" i="25"/>
  <c r="L313" i="25"/>
  <c r="K313" i="25"/>
  <c r="J313" i="25"/>
  <c r="I313" i="25"/>
  <c r="H313" i="25"/>
  <c r="G313" i="25"/>
  <c r="F313" i="25"/>
  <c r="E313" i="25"/>
  <c r="D313" i="25"/>
  <c r="C313" i="25"/>
  <c r="B313" i="25"/>
  <c r="A313" i="25"/>
  <c r="L312" i="25"/>
  <c r="K312" i="25"/>
  <c r="J312" i="25"/>
  <c r="I312" i="25"/>
  <c r="H312" i="25"/>
  <c r="G312" i="25"/>
  <c r="F312" i="25"/>
  <c r="E312" i="25"/>
  <c r="D312" i="25"/>
  <c r="C312" i="25"/>
  <c r="B312" i="25"/>
  <c r="A312" i="25"/>
  <c r="L311" i="25"/>
  <c r="K311" i="25"/>
  <c r="J311" i="25"/>
  <c r="I311" i="25"/>
  <c r="H311" i="25"/>
  <c r="G311" i="25"/>
  <c r="F311" i="25"/>
  <c r="E311" i="25"/>
  <c r="D311" i="25"/>
  <c r="C311" i="25"/>
  <c r="B311" i="25"/>
  <c r="A311" i="25"/>
  <c r="L310" i="25"/>
  <c r="K310" i="25"/>
  <c r="J310" i="25"/>
  <c r="I310" i="25"/>
  <c r="H310" i="25"/>
  <c r="G310" i="25"/>
  <c r="F310" i="25"/>
  <c r="E310" i="25"/>
  <c r="D310" i="25"/>
  <c r="C310" i="25"/>
  <c r="B310" i="25"/>
  <c r="A310" i="25"/>
  <c r="L309" i="25"/>
  <c r="K309" i="25"/>
  <c r="J309" i="25"/>
  <c r="I309" i="25"/>
  <c r="H309" i="25"/>
  <c r="G309" i="25"/>
  <c r="F309" i="25"/>
  <c r="E309" i="25"/>
  <c r="D309" i="25"/>
  <c r="C309" i="25"/>
  <c r="B309" i="25"/>
  <c r="A309" i="25"/>
  <c r="L308" i="25"/>
  <c r="K308" i="25"/>
  <c r="J308" i="25"/>
  <c r="I308" i="25"/>
  <c r="H308" i="25"/>
  <c r="G308" i="25"/>
  <c r="F308" i="25"/>
  <c r="E308" i="25"/>
  <c r="D308" i="25"/>
  <c r="C308" i="25"/>
  <c r="B308" i="25"/>
  <c r="A308" i="25"/>
  <c r="L307" i="25"/>
  <c r="K307" i="25"/>
  <c r="J307" i="25"/>
  <c r="I307" i="25"/>
  <c r="H307" i="25"/>
  <c r="G307" i="25"/>
  <c r="F307" i="25"/>
  <c r="E307" i="25"/>
  <c r="D307" i="25"/>
  <c r="C307" i="25"/>
  <c r="B307" i="25"/>
  <c r="A307" i="25"/>
  <c r="L306" i="25"/>
  <c r="K306" i="25"/>
  <c r="J306" i="25"/>
  <c r="I306" i="25"/>
  <c r="H306" i="25"/>
  <c r="G306" i="25"/>
  <c r="F306" i="25"/>
  <c r="E306" i="25"/>
  <c r="D306" i="25"/>
  <c r="C306" i="25"/>
  <c r="B306" i="25"/>
  <c r="A306" i="25"/>
  <c r="L305" i="25"/>
  <c r="K305" i="25"/>
  <c r="J305" i="25"/>
  <c r="I305" i="25"/>
  <c r="H305" i="25"/>
  <c r="G305" i="25"/>
  <c r="F305" i="25"/>
  <c r="E305" i="25"/>
  <c r="D305" i="25"/>
  <c r="C305" i="25"/>
  <c r="B305" i="25"/>
  <c r="A305" i="25"/>
  <c r="L304" i="25"/>
  <c r="K304" i="25"/>
  <c r="J304" i="25"/>
  <c r="I304" i="25"/>
  <c r="H304" i="25"/>
  <c r="G304" i="25"/>
  <c r="F304" i="25"/>
  <c r="E304" i="25"/>
  <c r="D304" i="25"/>
  <c r="C304" i="25"/>
  <c r="B304" i="25"/>
  <c r="A304" i="25"/>
  <c r="L303" i="25"/>
  <c r="K303" i="25"/>
  <c r="J303" i="25"/>
  <c r="I303" i="25"/>
  <c r="H303" i="25"/>
  <c r="G303" i="25"/>
  <c r="F303" i="25"/>
  <c r="E303" i="25"/>
  <c r="D303" i="25"/>
  <c r="C303" i="25"/>
  <c r="B303" i="25"/>
  <c r="A303" i="25"/>
  <c r="L302" i="25"/>
  <c r="K302" i="25"/>
  <c r="J302" i="25"/>
  <c r="I302" i="25"/>
  <c r="H302" i="25"/>
  <c r="G302" i="25"/>
  <c r="F302" i="25"/>
  <c r="E302" i="25"/>
  <c r="D302" i="25"/>
  <c r="C302" i="25"/>
  <c r="B302" i="25"/>
  <c r="A302" i="25"/>
  <c r="L301" i="25"/>
  <c r="K301" i="25"/>
  <c r="J301" i="25"/>
  <c r="I301" i="25"/>
  <c r="H301" i="25"/>
  <c r="G301" i="25"/>
  <c r="F301" i="25"/>
  <c r="E301" i="25"/>
  <c r="D301" i="25"/>
  <c r="C301" i="25"/>
  <c r="B301" i="25"/>
  <c r="A301" i="25"/>
  <c r="L300" i="25"/>
  <c r="K300" i="25"/>
  <c r="J300" i="25"/>
  <c r="I300" i="25"/>
  <c r="H300" i="25"/>
  <c r="G300" i="25"/>
  <c r="F300" i="25"/>
  <c r="E300" i="25"/>
  <c r="D300" i="25"/>
  <c r="C300" i="25"/>
  <c r="B300" i="25"/>
  <c r="A300" i="25"/>
  <c r="L299" i="25"/>
  <c r="K299" i="25"/>
  <c r="J299" i="25"/>
  <c r="I299" i="25"/>
  <c r="H299" i="25"/>
  <c r="G299" i="25"/>
  <c r="F299" i="25"/>
  <c r="E299" i="25"/>
  <c r="D299" i="25"/>
  <c r="C299" i="25"/>
  <c r="B299" i="25"/>
  <c r="A299" i="25"/>
  <c r="L298" i="25"/>
  <c r="K298" i="25"/>
  <c r="J298" i="25"/>
  <c r="I298" i="25"/>
  <c r="H298" i="25"/>
  <c r="G298" i="25"/>
  <c r="F298" i="25"/>
  <c r="E298" i="25"/>
  <c r="D298" i="25"/>
  <c r="C298" i="25"/>
  <c r="B298" i="25"/>
  <c r="A298" i="25"/>
  <c r="L297" i="25"/>
  <c r="K297" i="25"/>
  <c r="J297" i="25"/>
  <c r="I297" i="25"/>
  <c r="H297" i="25"/>
  <c r="G297" i="25"/>
  <c r="F297" i="25"/>
  <c r="E297" i="25"/>
  <c r="D297" i="25"/>
  <c r="C297" i="25"/>
  <c r="B297" i="25"/>
  <c r="A297" i="25"/>
  <c r="L296" i="25"/>
  <c r="K296" i="25"/>
  <c r="J296" i="25"/>
  <c r="I296" i="25"/>
  <c r="H296" i="25"/>
  <c r="G296" i="25"/>
  <c r="F296" i="25"/>
  <c r="E296" i="25"/>
  <c r="D296" i="25"/>
  <c r="C296" i="25"/>
  <c r="B296" i="25"/>
  <c r="A296" i="25"/>
  <c r="L295" i="25"/>
  <c r="K295" i="25"/>
  <c r="J295" i="25"/>
  <c r="I295" i="25"/>
  <c r="H295" i="25"/>
  <c r="G295" i="25"/>
  <c r="F295" i="25"/>
  <c r="E295" i="25"/>
  <c r="D295" i="25"/>
  <c r="C295" i="25"/>
  <c r="B295" i="25"/>
  <c r="A295" i="25"/>
  <c r="L294" i="25"/>
  <c r="K294" i="25"/>
  <c r="J294" i="25"/>
  <c r="I294" i="25"/>
  <c r="H294" i="25"/>
  <c r="G294" i="25"/>
  <c r="F294" i="25"/>
  <c r="E294" i="25"/>
  <c r="D294" i="25"/>
  <c r="C294" i="25"/>
  <c r="B294" i="25"/>
  <c r="A294" i="25"/>
  <c r="L293" i="25"/>
  <c r="K293" i="25"/>
  <c r="J293" i="25"/>
  <c r="I293" i="25"/>
  <c r="H293" i="25"/>
  <c r="G293" i="25"/>
  <c r="F293" i="25"/>
  <c r="E293" i="25"/>
  <c r="D293" i="25"/>
  <c r="C293" i="25"/>
  <c r="B293" i="25"/>
  <c r="A293" i="25"/>
  <c r="L292" i="25"/>
  <c r="K292" i="25"/>
  <c r="J292" i="25"/>
  <c r="I292" i="25"/>
  <c r="H292" i="25"/>
  <c r="G292" i="25"/>
  <c r="F292" i="25"/>
  <c r="E292" i="25"/>
  <c r="D292" i="25"/>
  <c r="C292" i="25"/>
  <c r="B292" i="25"/>
  <c r="A292" i="25"/>
  <c r="L291" i="25"/>
  <c r="K291" i="25"/>
  <c r="J291" i="25"/>
  <c r="I291" i="25"/>
  <c r="H291" i="25"/>
  <c r="G291" i="25"/>
  <c r="F291" i="25"/>
  <c r="E291" i="25"/>
  <c r="D291" i="25"/>
  <c r="C291" i="25"/>
  <c r="B291" i="25"/>
  <c r="A291" i="25"/>
  <c r="L290" i="25"/>
  <c r="K290" i="25"/>
  <c r="J290" i="25"/>
  <c r="I290" i="25"/>
  <c r="H290" i="25"/>
  <c r="G290" i="25"/>
  <c r="F290" i="25"/>
  <c r="E290" i="25"/>
  <c r="D290" i="25"/>
  <c r="C290" i="25"/>
  <c r="B290" i="25"/>
  <c r="A290" i="25"/>
  <c r="L289" i="25"/>
  <c r="K289" i="25"/>
  <c r="J289" i="25"/>
  <c r="I289" i="25"/>
  <c r="H289" i="25"/>
  <c r="G289" i="25"/>
  <c r="F289" i="25"/>
  <c r="E289" i="25"/>
  <c r="D289" i="25"/>
  <c r="C289" i="25"/>
  <c r="B289" i="25"/>
  <c r="A289" i="25"/>
  <c r="L288" i="25"/>
  <c r="K288" i="25"/>
  <c r="J288" i="25"/>
  <c r="I288" i="25"/>
  <c r="H288" i="25"/>
  <c r="G288" i="25"/>
  <c r="F288" i="25"/>
  <c r="E288" i="25"/>
  <c r="D288" i="25"/>
  <c r="C288" i="25"/>
  <c r="B288" i="25"/>
  <c r="A288" i="25"/>
  <c r="L287" i="25"/>
  <c r="K287" i="25"/>
  <c r="J287" i="25"/>
  <c r="I287" i="25"/>
  <c r="H287" i="25"/>
  <c r="G287" i="25"/>
  <c r="F287" i="25"/>
  <c r="E287" i="25"/>
  <c r="D287" i="25"/>
  <c r="C287" i="25"/>
  <c r="B287" i="25"/>
  <c r="A287" i="25"/>
  <c r="L286" i="25"/>
  <c r="K286" i="25"/>
  <c r="J286" i="25"/>
  <c r="I286" i="25"/>
  <c r="H286" i="25"/>
  <c r="G286" i="25"/>
  <c r="F286" i="25"/>
  <c r="E286" i="25"/>
  <c r="D286" i="25"/>
  <c r="C286" i="25"/>
  <c r="B286" i="25"/>
  <c r="A286" i="25"/>
  <c r="L285" i="25"/>
  <c r="K285" i="25"/>
  <c r="J285" i="25"/>
  <c r="I285" i="25"/>
  <c r="H285" i="25"/>
  <c r="G285" i="25"/>
  <c r="F285" i="25"/>
  <c r="E285" i="25"/>
  <c r="D285" i="25"/>
  <c r="C285" i="25"/>
  <c r="B285" i="25"/>
  <c r="A285" i="25"/>
  <c r="L284" i="25"/>
  <c r="K284" i="25"/>
  <c r="J284" i="25"/>
  <c r="I284" i="25"/>
  <c r="H284" i="25"/>
  <c r="G284" i="25"/>
  <c r="F284" i="25"/>
  <c r="E284" i="25"/>
  <c r="D284" i="25"/>
  <c r="C284" i="25"/>
  <c r="B284" i="25"/>
  <c r="A284" i="25"/>
  <c r="L283" i="25"/>
  <c r="K283" i="25"/>
  <c r="J283" i="25"/>
  <c r="I283" i="25"/>
  <c r="H283" i="25"/>
  <c r="G283" i="25"/>
  <c r="F283" i="25"/>
  <c r="E283" i="25"/>
  <c r="D283" i="25"/>
  <c r="C283" i="25"/>
  <c r="B283" i="25"/>
  <c r="A283" i="25"/>
  <c r="L282" i="25"/>
  <c r="K282" i="25"/>
  <c r="J282" i="25"/>
  <c r="I282" i="25"/>
  <c r="H282" i="25"/>
  <c r="G282" i="25"/>
  <c r="F282" i="25"/>
  <c r="E282" i="25"/>
  <c r="D282" i="25"/>
  <c r="C282" i="25"/>
  <c r="B282" i="25"/>
  <c r="A282" i="25"/>
  <c r="L281" i="25"/>
  <c r="K281" i="25"/>
  <c r="J281" i="25"/>
  <c r="I281" i="25"/>
  <c r="H281" i="25"/>
  <c r="G281" i="25"/>
  <c r="F281" i="25"/>
  <c r="E281" i="25"/>
  <c r="D281" i="25"/>
  <c r="C281" i="25"/>
  <c r="B281" i="25"/>
  <c r="A281" i="25"/>
  <c r="L280" i="25"/>
  <c r="K280" i="25"/>
  <c r="J280" i="25"/>
  <c r="I280" i="25"/>
  <c r="H280" i="25"/>
  <c r="G280" i="25"/>
  <c r="F280" i="25"/>
  <c r="E280" i="25"/>
  <c r="D280" i="25"/>
  <c r="C280" i="25"/>
  <c r="B280" i="25"/>
  <c r="A280" i="25"/>
  <c r="L279" i="25"/>
  <c r="K279" i="25"/>
  <c r="J279" i="25"/>
  <c r="I279" i="25"/>
  <c r="H279" i="25"/>
  <c r="G279" i="25"/>
  <c r="F279" i="25"/>
  <c r="E279" i="25"/>
  <c r="D279" i="25"/>
  <c r="C279" i="25"/>
  <c r="B279" i="25"/>
  <c r="A279" i="25"/>
  <c r="L278" i="25"/>
  <c r="K278" i="25"/>
  <c r="J278" i="25"/>
  <c r="I278" i="25"/>
  <c r="H278" i="25"/>
  <c r="G278" i="25"/>
  <c r="F278" i="25"/>
  <c r="E278" i="25"/>
  <c r="D278" i="25"/>
  <c r="C278" i="25"/>
  <c r="B278" i="25"/>
  <c r="A278" i="25"/>
  <c r="L277" i="25"/>
  <c r="K277" i="25"/>
  <c r="J277" i="25"/>
  <c r="I277" i="25"/>
  <c r="H277" i="25"/>
  <c r="G277" i="25"/>
  <c r="F277" i="25"/>
  <c r="E277" i="25"/>
  <c r="D277" i="25"/>
  <c r="C277" i="25"/>
  <c r="B277" i="25"/>
  <c r="A277" i="25"/>
  <c r="L276" i="25"/>
  <c r="K276" i="25"/>
  <c r="J276" i="25"/>
  <c r="I276" i="25"/>
  <c r="H276" i="25"/>
  <c r="G276" i="25"/>
  <c r="F276" i="25"/>
  <c r="E276" i="25"/>
  <c r="D276" i="25"/>
  <c r="C276" i="25"/>
  <c r="B276" i="25"/>
  <c r="A276" i="25"/>
  <c r="L275" i="25"/>
  <c r="K275" i="25"/>
  <c r="J275" i="25"/>
  <c r="I275" i="25"/>
  <c r="H275" i="25"/>
  <c r="G275" i="25"/>
  <c r="F275" i="25"/>
  <c r="E275" i="25"/>
  <c r="D275" i="25"/>
  <c r="C275" i="25"/>
  <c r="B275" i="25"/>
  <c r="A275" i="25"/>
  <c r="L274" i="25"/>
  <c r="K274" i="25"/>
  <c r="J274" i="25"/>
  <c r="I274" i="25"/>
  <c r="H274" i="25"/>
  <c r="G274" i="25"/>
  <c r="F274" i="25"/>
  <c r="E274" i="25"/>
  <c r="D274" i="25"/>
  <c r="C274" i="25"/>
  <c r="B274" i="25"/>
  <c r="A274" i="25"/>
  <c r="L273" i="25"/>
  <c r="K273" i="25"/>
  <c r="J273" i="25"/>
  <c r="I273" i="25"/>
  <c r="H273" i="25"/>
  <c r="G273" i="25"/>
  <c r="F273" i="25"/>
  <c r="E273" i="25"/>
  <c r="D273" i="25"/>
  <c r="C273" i="25"/>
  <c r="B273" i="25"/>
  <c r="A273" i="25"/>
  <c r="L272" i="25"/>
  <c r="K272" i="25"/>
  <c r="J272" i="25"/>
  <c r="I272" i="25"/>
  <c r="H272" i="25"/>
  <c r="G272" i="25"/>
  <c r="F272" i="25"/>
  <c r="E272" i="25"/>
  <c r="D272" i="25"/>
  <c r="C272" i="25"/>
  <c r="B272" i="25"/>
  <c r="A272" i="25"/>
  <c r="L271" i="25"/>
  <c r="K271" i="25"/>
  <c r="J271" i="25"/>
  <c r="I271" i="25"/>
  <c r="H271" i="25"/>
  <c r="G271" i="25"/>
  <c r="F271" i="25"/>
  <c r="E271" i="25"/>
  <c r="D271" i="25"/>
  <c r="C271" i="25"/>
  <c r="B271" i="25"/>
  <c r="A271" i="25"/>
  <c r="L270" i="25"/>
  <c r="K270" i="25"/>
  <c r="J270" i="25"/>
  <c r="I270" i="25"/>
  <c r="H270" i="25"/>
  <c r="G270" i="25"/>
  <c r="F270" i="25"/>
  <c r="E270" i="25"/>
  <c r="D270" i="25"/>
  <c r="C270" i="25"/>
  <c r="B270" i="25"/>
  <c r="A270" i="25"/>
  <c r="L269" i="25"/>
  <c r="K269" i="25"/>
  <c r="J269" i="25"/>
  <c r="I269" i="25"/>
  <c r="H269" i="25"/>
  <c r="G269" i="25"/>
  <c r="F269" i="25"/>
  <c r="E269" i="25"/>
  <c r="D269" i="25"/>
  <c r="C269" i="25"/>
  <c r="B269" i="25"/>
  <c r="A269" i="25"/>
  <c r="L268" i="25"/>
  <c r="K268" i="25"/>
  <c r="J268" i="25"/>
  <c r="I268" i="25"/>
  <c r="H268" i="25"/>
  <c r="G268" i="25"/>
  <c r="F268" i="25"/>
  <c r="E268" i="25"/>
  <c r="D268" i="25"/>
  <c r="C268" i="25"/>
  <c r="B268" i="25"/>
  <c r="A268" i="25"/>
  <c r="L267" i="25"/>
  <c r="K267" i="25"/>
  <c r="J267" i="25"/>
  <c r="I267" i="25"/>
  <c r="H267" i="25"/>
  <c r="G267" i="25"/>
  <c r="F267" i="25"/>
  <c r="E267" i="25"/>
  <c r="D267" i="25"/>
  <c r="C267" i="25"/>
  <c r="B267" i="25"/>
  <c r="A267" i="25"/>
  <c r="L266" i="25"/>
  <c r="K266" i="25"/>
  <c r="J266" i="25"/>
  <c r="I266" i="25"/>
  <c r="H266" i="25"/>
  <c r="G266" i="25"/>
  <c r="F266" i="25"/>
  <c r="E266" i="25"/>
  <c r="D266" i="25"/>
  <c r="C266" i="25"/>
  <c r="B266" i="25"/>
  <c r="A266" i="25"/>
  <c r="L265" i="25"/>
  <c r="K265" i="25"/>
  <c r="J265" i="25"/>
  <c r="I265" i="25"/>
  <c r="H265" i="25"/>
  <c r="G265" i="25"/>
  <c r="F265" i="25"/>
  <c r="E265" i="25"/>
  <c r="D265" i="25"/>
  <c r="C265" i="25"/>
  <c r="B265" i="25"/>
  <c r="A265" i="25"/>
  <c r="L264" i="25"/>
  <c r="K264" i="25"/>
  <c r="J264" i="25"/>
  <c r="I264" i="25"/>
  <c r="H264" i="25"/>
  <c r="G264" i="25"/>
  <c r="F264" i="25"/>
  <c r="E264" i="25"/>
  <c r="D264" i="25"/>
  <c r="C264" i="25"/>
  <c r="B264" i="25"/>
  <c r="A264" i="25"/>
  <c r="L263" i="25"/>
  <c r="K263" i="25"/>
  <c r="J263" i="25"/>
  <c r="I263" i="25"/>
  <c r="H263" i="25"/>
  <c r="G263" i="25"/>
  <c r="F263" i="25"/>
  <c r="E263" i="25"/>
  <c r="D263" i="25"/>
  <c r="C263" i="25"/>
  <c r="B263" i="25"/>
  <c r="A263" i="25"/>
  <c r="L262" i="25"/>
  <c r="K262" i="25"/>
  <c r="J262" i="25"/>
  <c r="I262" i="25"/>
  <c r="H262" i="25"/>
  <c r="G262" i="25"/>
  <c r="F262" i="25"/>
  <c r="E262" i="25"/>
  <c r="D262" i="25"/>
  <c r="C262" i="25"/>
  <c r="B262" i="25"/>
  <c r="A262" i="25"/>
  <c r="L261" i="25"/>
  <c r="K261" i="25"/>
  <c r="J261" i="25"/>
  <c r="I261" i="25"/>
  <c r="H261" i="25"/>
  <c r="G261" i="25"/>
  <c r="F261" i="25"/>
  <c r="E261" i="25"/>
  <c r="D261" i="25"/>
  <c r="C261" i="25"/>
  <c r="B261" i="25"/>
  <c r="A261" i="25"/>
  <c r="L260" i="25"/>
  <c r="K260" i="25"/>
  <c r="J260" i="25"/>
  <c r="I260" i="25"/>
  <c r="H260" i="25"/>
  <c r="G260" i="25"/>
  <c r="F260" i="25"/>
  <c r="E260" i="25"/>
  <c r="D260" i="25"/>
  <c r="C260" i="25"/>
  <c r="B260" i="25"/>
  <c r="A260" i="25"/>
  <c r="L259" i="25"/>
  <c r="K259" i="25"/>
  <c r="J259" i="25"/>
  <c r="I259" i="25"/>
  <c r="H259" i="25"/>
  <c r="G259" i="25"/>
  <c r="F259" i="25"/>
  <c r="E259" i="25"/>
  <c r="D259" i="25"/>
  <c r="C259" i="25"/>
  <c r="B259" i="25"/>
  <c r="A259" i="25"/>
  <c r="L258" i="25"/>
  <c r="K258" i="25"/>
  <c r="J258" i="25"/>
  <c r="I258" i="25"/>
  <c r="H258" i="25"/>
  <c r="G258" i="25"/>
  <c r="F258" i="25"/>
  <c r="E258" i="25"/>
  <c r="D258" i="25"/>
  <c r="C258" i="25"/>
  <c r="B258" i="25"/>
  <c r="A258" i="25"/>
  <c r="L257" i="25"/>
  <c r="K257" i="25"/>
  <c r="J257" i="25"/>
  <c r="I257" i="25"/>
  <c r="H257" i="25"/>
  <c r="G257" i="25"/>
  <c r="F257" i="25"/>
  <c r="E257" i="25"/>
  <c r="D257" i="25"/>
  <c r="C257" i="25"/>
  <c r="B257" i="25"/>
  <c r="A257" i="25"/>
  <c r="L256" i="25"/>
  <c r="K256" i="25"/>
  <c r="J256" i="25"/>
  <c r="I256" i="25"/>
  <c r="H256" i="25"/>
  <c r="G256" i="25"/>
  <c r="F256" i="25"/>
  <c r="E256" i="25"/>
  <c r="D256" i="25"/>
  <c r="C256" i="25"/>
  <c r="B256" i="25"/>
  <c r="A256" i="25"/>
  <c r="L255" i="25"/>
  <c r="K255" i="25"/>
  <c r="J255" i="25"/>
  <c r="I255" i="25"/>
  <c r="H255" i="25"/>
  <c r="G255" i="25"/>
  <c r="F255" i="25"/>
  <c r="E255" i="25"/>
  <c r="D255" i="25"/>
  <c r="C255" i="25"/>
  <c r="B255" i="25"/>
  <c r="A255" i="25"/>
  <c r="L254" i="25"/>
  <c r="K254" i="25"/>
  <c r="J254" i="25"/>
  <c r="I254" i="25"/>
  <c r="H254" i="25"/>
  <c r="G254" i="25"/>
  <c r="F254" i="25"/>
  <c r="E254" i="25"/>
  <c r="D254" i="25"/>
  <c r="C254" i="25"/>
  <c r="B254" i="25"/>
  <c r="A254" i="25"/>
  <c r="L253" i="25"/>
  <c r="K253" i="25"/>
  <c r="J253" i="25"/>
  <c r="I253" i="25"/>
  <c r="H253" i="25"/>
  <c r="G253" i="25"/>
  <c r="F253" i="25"/>
  <c r="E253" i="25"/>
  <c r="D253" i="25"/>
  <c r="C253" i="25"/>
  <c r="B253" i="25"/>
  <c r="A253" i="25"/>
  <c r="L252" i="25"/>
  <c r="K252" i="25"/>
  <c r="J252" i="25"/>
  <c r="I252" i="25"/>
  <c r="H252" i="25"/>
  <c r="G252" i="25"/>
  <c r="F252" i="25"/>
  <c r="E252" i="25"/>
  <c r="D252" i="25"/>
  <c r="C252" i="25"/>
  <c r="B252" i="25"/>
  <c r="A252" i="25"/>
  <c r="L251" i="25"/>
  <c r="K251" i="25"/>
  <c r="J251" i="25"/>
  <c r="I251" i="25"/>
  <c r="H251" i="25"/>
  <c r="G251" i="25"/>
  <c r="F251" i="25"/>
  <c r="E251" i="25"/>
  <c r="D251" i="25"/>
  <c r="C251" i="25"/>
  <c r="B251" i="25"/>
  <c r="A251" i="25"/>
  <c r="L250" i="25"/>
  <c r="K250" i="25"/>
  <c r="J250" i="25"/>
  <c r="I250" i="25"/>
  <c r="H250" i="25"/>
  <c r="G250" i="25"/>
  <c r="F250" i="25"/>
  <c r="E250" i="25"/>
  <c r="D250" i="25"/>
  <c r="C250" i="25"/>
  <c r="B250" i="25"/>
  <c r="A250" i="25"/>
  <c r="L249" i="25"/>
  <c r="K249" i="25"/>
  <c r="J249" i="25"/>
  <c r="I249" i="25"/>
  <c r="H249" i="25"/>
  <c r="G249" i="25"/>
  <c r="F249" i="25"/>
  <c r="E249" i="25"/>
  <c r="D249" i="25"/>
  <c r="C249" i="25"/>
  <c r="B249" i="25"/>
  <c r="A249" i="25"/>
  <c r="L248" i="25"/>
  <c r="K248" i="25"/>
  <c r="J248" i="25"/>
  <c r="I248" i="25"/>
  <c r="H248" i="25"/>
  <c r="G248" i="25"/>
  <c r="F248" i="25"/>
  <c r="E248" i="25"/>
  <c r="D248" i="25"/>
  <c r="C248" i="25"/>
  <c r="B248" i="25"/>
  <c r="A248" i="25"/>
  <c r="L247" i="25"/>
  <c r="K247" i="25"/>
  <c r="J247" i="25"/>
  <c r="I247" i="25"/>
  <c r="H247" i="25"/>
  <c r="G247" i="25"/>
  <c r="F247" i="25"/>
  <c r="E247" i="25"/>
  <c r="D247" i="25"/>
  <c r="C247" i="25"/>
  <c r="B247" i="25"/>
  <c r="A247" i="25"/>
  <c r="L246" i="25"/>
  <c r="K246" i="25"/>
  <c r="J246" i="25"/>
  <c r="I246" i="25"/>
  <c r="H246" i="25"/>
  <c r="G246" i="25"/>
  <c r="F246" i="25"/>
  <c r="E246" i="25"/>
  <c r="D246" i="25"/>
  <c r="C246" i="25"/>
  <c r="B246" i="25"/>
  <c r="A246" i="25"/>
  <c r="L245" i="25"/>
  <c r="K245" i="25"/>
  <c r="J245" i="25"/>
  <c r="I245" i="25"/>
  <c r="H245" i="25"/>
  <c r="G245" i="25"/>
  <c r="F245" i="25"/>
  <c r="E245" i="25"/>
  <c r="D245" i="25"/>
  <c r="C245" i="25"/>
  <c r="B245" i="25"/>
  <c r="A245" i="25"/>
  <c r="L244" i="25"/>
  <c r="K244" i="25"/>
  <c r="J244" i="25"/>
  <c r="I244" i="25"/>
  <c r="H244" i="25"/>
  <c r="G244" i="25"/>
  <c r="F244" i="25"/>
  <c r="E244" i="25"/>
  <c r="D244" i="25"/>
  <c r="C244" i="25"/>
  <c r="B244" i="25"/>
  <c r="A244" i="25"/>
  <c r="L243" i="25"/>
  <c r="K243" i="25"/>
  <c r="J243" i="25"/>
  <c r="I243" i="25"/>
  <c r="H243" i="25"/>
  <c r="G243" i="25"/>
  <c r="F243" i="25"/>
  <c r="E243" i="25"/>
  <c r="D243" i="25"/>
  <c r="C243" i="25"/>
  <c r="B243" i="25"/>
  <c r="A243" i="25"/>
  <c r="L242" i="25"/>
  <c r="K242" i="25"/>
  <c r="J242" i="25"/>
  <c r="I242" i="25"/>
  <c r="H242" i="25"/>
  <c r="G242" i="25"/>
  <c r="F242" i="25"/>
  <c r="E242" i="25"/>
  <c r="D242" i="25"/>
  <c r="C242" i="25"/>
  <c r="B242" i="25"/>
  <c r="A242" i="25"/>
  <c r="L241" i="25"/>
  <c r="K241" i="25"/>
  <c r="J241" i="25"/>
  <c r="I241" i="25"/>
  <c r="H241" i="25"/>
  <c r="G241" i="25"/>
  <c r="F241" i="25"/>
  <c r="E241" i="25"/>
  <c r="D241" i="25"/>
  <c r="C241" i="25"/>
  <c r="B241" i="25"/>
  <c r="A241" i="25"/>
  <c r="L240" i="25"/>
  <c r="K240" i="25"/>
  <c r="J240" i="25"/>
  <c r="I240" i="25"/>
  <c r="H240" i="25"/>
  <c r="G240" i="25"/>
  <c r="F240" i="25"/>
  <c r="E240" i="25"/>
  <c r="D240" i="25"/>
  <c r="C240" i="25"/>
  <c r="B240" i="25"/>
  <c r="A240" i="25"/>
  <c r="L239" i="25"/>
  <c r="K239" i="25"/>
  <c r="J239" i="25"/>
  <c r="I239" i="25"/>
  <c r="H239" i="25"/>
  <c r="G239" i="25"/>
  <c r="F239" i="25"/>
  <c r="E239" i="25"/>
  <c r="D239" i="25"/>
  <c r="C239" i="25"/>
  <c r="B239" i="25"/>
  <c r="A239" i="25"/>
  <c r="L238" i="25"/>
  <c r="K238" i="25"/>
  <c r="J238" i="25"/>
  <c r="I238" i="25"/>
  <c r="H238" i="25"/>
  <c r="G238" i="25"/>
  <c r="F238" i="25"/>
  <c r="E238" i="25"/>
  <c r="D238" i="25"/>
  <c r="C238" i="25"/>
  <c r="B238" i="25"/>
  <c r="A238" i="25"/>
  <c r="L237" i="25"/>
  <c r="K237" i="25"/>
  <c r="J237" i="25"/>
  <c r="I237" i="25"/>
  <c r="H237" i="25"/>
  <c r="G237" i="25"/>
  <c r="F237" i="25"/>
  <c r="E237" i="25"/>
  <c r="D237" i="25"/>
  <c r="C237" i="25"/>
  <c r="B237" i="25"/>
  <c r="A237" i="25"/>
  <c r="L236" i="25"/>
  <c r="K236" i="25"/>
  <c r="J236" i="25"/>
  <c r="I236" i="25"/>
  <c r="H236" i="25"/>
  <c r="G236" i="25"/>
  <c r="F236" i="25"/>
  <c r="E236" i="25"/>
  <c r="D236" i="25"/>
  <c r="C236" i="25"/>
  <c r="B236" i="25"/>
  <c r="A236" i="25"/>
  <c r="L235" i="25"/>
  <c r="K235" i="25"/>
  <c r="J235" i="25"/>
  <c r="I235" i="25"/>
  <c r="H235" i="25"/>
  <c r="G235" i="25"/>
  <c r="F235" i="25"/>
  <c r="E235" i="25"/>
  <c r="D235" i="25"/>
  <c r="C235" i="25"/>
  <c r="B235" i="25"/>
  <c r="A235" i="25"/>
  <c r="L234" i="25"/>
  <c r="K234" i="25"/>
  <c r="J234" i="25"/>
  <c r="I234" i="25"/>
  <c r="H234" i="25"/>
  <c r="G234" i="25"/>
  <c r="F234" i="25"/>
  <c r="E234" i="25"/>
  <c r="D234" i="25"/>
  <c r="C234" i="25"/>
  <c r="B234" i="25"/>
  <c r="A234" i="25"/>
  <c r="L233" i="25"/>
  <c r="K233" i="25"/>
  <c r="J233" i="25"/>
  <c r="I233" i="25"/>
  <c r="H233" i="25"/>
  <c r="G233" i="25"/>
  <c r="F233" i="25"/>
  <c r="E233" i="25"/>
  <c r="D233" i="25"/>
  <c r="C233" i="25"/>
  <c r="B233" i="25"/>
  <c r="A233" i="25"/>
  <c r="L232" i="25"/>
  <c r="K232" i="25"/>
  <c r="J232" i="25"/>
  <c r="I232" i="25"/>
  <c r="H232" i="25"/>
  <c r="G232" i="25"/>
  <c r="F232" i="25"/>
  <c r="E232" i="25"/>
  <c r="D232" i="25"/>
  <c r="C232" i="25"/>
  <c r="B232" i="25"/>
  <c r="A232" i="25"/>
  <c r="L231" i="25"/>
  <c r="K231" i="25"/>
  <c r="J231" i="25"/>
  <c r="I231" i="25"/>
  <c r="H231" i="25"/>
  <c r="G231" i="25"/>
  <c r="F231" i="25"/>
  <c r="E231" i="25"/>
  <c r="D231" i="25"/>
  <c r="C231" i="25"/>
  <c r="B231" i="25"/>
  <c r="A231" i="25"/>
  <c r="L230" i="25"/>
  <c r="K230" i="25"/>
  <c r="J230" i="25"/>
  <c r="I230" i="25"/>
  <c r="H230" i="25"/>
  <c r="G230" i="25"/>
  <c r="F230" i="25"/>
  <c r="E230" i="25"/>
  <c r="D230" i="25"/>
  <c r="C230" i="25"/>
  <c r="B230" i="25"/>
  <c r="A230" i="25"/>
  <c r="L229" i="25"/>
  <c r="K229" i="25"/>
  <c r="J229" i="25"/>
  <c r="I229" i="25"/>
  <c r="H229" i="25"/>
  <c r="G229" i="25"/>
  <c r="F229" i="25"/>
  <c r="E229" i="25"/>
  <c r="D229" i="25"/>
  <c r="C229" i="25"/>
  <c r="B229" i="25"/>
  <c r="A229" i="25"/>
  <c r="L228" i="25"/>
  <c r="K228" i="25"/>
  <c r="J228" i="25"/>
  <c r="I228" i="25"/>
  <c r="H228" i="25"/>
  <c r="G228" i="25"/>
  <c r="F228" i="25"/>
  <c r="E228" i="25"/>
  <c r="D228" i="25"/>
  <c r="C228" i="25"/>
  <c r="B228" i="25"/>
  <c r="A228" i="25"/>
  <c r="L227" i="25"/>
  <c r="K227" i="25"/>
  <c r="J227" i="25"/>
  <c r="I227" i="25"/>
  <c r="H227" i="25"/>
  <c r="G227" i="25"/>
  <c r="F227" i="25"/>
  <c r="E227" i="25"/>
  <c r="D227" i="25"/>
  <c r="C227" i="25"/>
  <c r="B227" i="25"/>
  <c r="A227" i="25"/>
  <c r="L226" i="25"/>
  <c r="K226" i="25"/>
  <c r="J226" i="25"/>
  <c r="I226" i="25"/>
  <c r="H226" i="25"/>
  <c r="G226" i="25"/>
  <c r="F226" i="25"/>
  <c r="E226" i="25"/>
  <c r="D226" i="25"/>
  <c r="C226" i="25"/>
  <c r="B226" i="25"/>
  <c r="A226" i="25"/>
  <c r="L225" i="25"/>
  <c r="K225" i="25"/>
  <c r="J225" i="25"/>
  <c r="I225" i="25"/>
  <c r="H225" i="25"/>
  <c r="G225" i="25"/>
  <c r="F225" i="25"/>
  <c r="E225" i="25"/>
  <c r="D225" i="25"/>
  <c r="C225" i="25"/>
  <c r="B225" i="25"/>
  <c r="A225" i="25"/>
  <c r="L224" i="25"/>
  <c r="K224" i="25"/>
  <c r="J224" i="25"/>
  <c r="I224" i="25"/>
  <c r="H224" i="25"/>
  <c r="G224" i="25"/>
  <c r="F224" i="25"/>
  <c r="E224" i="25"/>
  <c r="D224" i="25"/>
  <c r="C224" i="25"/>
  <c r="B224" i="25"/>
  <c r="A224" i="25"/>
  <c r="L223" i="25"/>
  <c r="K223" i="25"/>
  <c r="J223" i="25"/>
  <c r="I223" i="25"/>
  <c r="H223" i="25"/>
  <c r="G223" i="25"/>
  <c r="F223" i="25"/>
  <c r="E223" i="25"/>
  <c r="D223" i="25"/>
  <c r="C223" i="25"/>
  <c r="B223" i="25"/>
  <c r="A223" i="25"/>
  <c r="L222" i="25"/>
  <c r="K222" i="25"/>
  <c r="J222" i="25"/>
  <c r="I222" i="25"/>
  <c r="H222" i="25"/>
  <c r="G222" i="25"/>
  <c r="F222" i="25"/>
  <c r="E222" i="25"/>
  <c r="D222" i="25"/>
  <c r="C222" i="25"/>
  <c r="B222" i="25"/>
  <c r="A222" i="25"/>
  <c r="L221" i="25"/>
  <c r="K221" i="25"/>
  <c r="J221" i="25"/>
  <c r="I221" i="25"/>
  <c r="H221" i="25"/>
  <c r="G221" i="25"/>
  <c r="F221" i="25"/>
  <c r="E221" i="25"/>
  <c r="D221" i="25"/>
  <c r="C221" i="25"/>
  <c r="B221" i="25"/>
  <c r="A221" i="25"/>
  <c r="L220" i="25"/>
  <c r="K220" i="25"/>
  <c r="J220" i="25"/>
  <c r="I220" i="25"/>
  <c r="H220" i="25"/>
  <c r="G220" i="25"/>
  <c r="F220" i="25"/>
  <c r="E220" i="25"/>
  <c r="D220" i="25"/>
  <c r="C220" i="25"/>
  <c r="B220" i="25"/>
  <c r="A220" i="25"/>
  <c r="L219" i="25"/>
  <c r="K219" i="25"/>
  <c r="J219" i="25"/>
  <c r="I219" i="25"/>
  <c r="H219" i="25"/>
  <c r="G219" i="25"/>
  <c r="F219" i="25"/>
  <c r="E219" i="25"/>
  <c r="D219" i="25"/>
  <c r="C219" i="25"/>
  <c r="B219" i="25"/>
  <c r="A219" i="25"/>
  <c r="L218" i="25"/>
  <c r="K218" i="25"/>
  <c r="J218" i="25"/>
  <c r="I218" i="25"/>
  <c r="H218" i="25"/>
  <c r="G218" i="25"/>
  <c r="F218" i="25"/>
  <c r="E218" i="25"/>
  <c r="D218" i="25"/>
  <c r="C218" i="25"/>
  <c r="B218" i="25"/>
  <c r="A218" i="25"/>
  <c r="L217" i="25"/>
  <c r="K217" i="25"/>
  <c r="J217" i="25"/>
  <c r="I217" i="25"/>
  <c r="H217" i="25"/>
  <c r="G217" i="25"/>
  <c r="F217" i="25"/>
  <c r="E217" i="25"/>
  <c r="D217" i="25"/>
  <c r="C217" i="25"/>
  <c r="B217" i="25"/>
  <c r="A217" i="25"/>
  <c r="L216" i="25"/>
  <c r="K216" i="25"/>
  <c r="J216" i="25"/>
  <c r="I216" i="25"/>
  <c r="H216" i="25"/>
  <c r="G216" i="25"/>
  <c r="F216" i="25"/>
  <c r="E216" i="25"/>
  <c r="D216" i="25"/>
  <c r="C216" i="25"/>
  <c r="B216" i="25"/>
  <c r="A216" i="25"/>
  <c r="L215" i="25"/>
  <c r="K215" i="25"/>
  <c r="J215" i="25"/>
  <c r="I215" i="25"/>
  <c r="H215" i="25"/>
  <c r="G215" i="25"/>
  <c r="F215" i="25"/>
  <c r="E215" i="25"/>
  <c r="D215" i="25"/>
  <c r="C215" i="25"/>
  <c r="B215" i="25"/>
  <c r="A215" i="25"/>
  <c r="L214" i="25"/>
  <c r="K214" i="25"/>
  <c r="J214" i="25"/>
  <c r="I214" i="25"/>
  <c r="H214" i="25"/>
  <c r="G214" i="25"/>
  <c r="F214" i="25"/>
  <c r="E214" i="25"/>
  <c r="D214" i="25"/>
  <c r="C214" i="25"/>
  <c r="B214" i="25"/>
  <c r="A214" i="25"/>
  <c r="L213" i="25"/>
  <c r="K213" i="25"/>
  <c r="J213" i="25"/>
  <c r="I213" i="25"/>
  <c r="H213" i="25"/>
  <c r="G213" i="25"/>
  <c r="F213" i="25"/>
  <c r="E213" i="25"/>
  <c r="D213" i="25"/>
  <c r="C213" i="25"/>
  <c r="B213" i="25"/>
  <c r="A213" i="25"/>
  <c r="L212" i="25"/>
  <c r="K212" i="25"/>
  <c r="J212" i="25"/>
  <c r="I212" i="25"/>
  <c r="H212" i="25"/>
  <c r="G212" i="25"/>
  <c r="F212" i="25"/>
  <c r="E212" i="25"/>
  <c r="D212" i="25"/>
  <c r="C212" i="25"/>
  <c r="B212" i="25"/>
  <c r="A212" i="25"/>
  <c r="L211" i="25"/>
  <c r="K211" i="25"/>
  <c r="J211" i="25"/>
  <c r="I211" i="25"/>
  <c r="H211" i="25"/>
  <c r="G211" i="25"/>
  <c r="F211" i="25"/>
  <c r="E211" i="25"/>
  <c r="D211" i="25"/>
  <c r="C211" i="25"/>
  <c r="B211" i="25"/>
  <c r="A211" i="25"/>
  <c r="L210" i="25"/>
  <c r="K210" i="25"/>
  <c r="J210" i="25"/>
  <c r="I210" i="25"/>
  <c r="H210" i="25"/>
  <c r="G210" i="25"/>
  <c r="F210" i="25"/>
  <c r="E210" i="25"/>
  <c r="D210" i="25"/>
  <c r="C210" i="25"/>
  <c r="B210" i="25"/>
  <c r="A210" i="25"/>
  <c r="L209" i="25"/>
  <c r="K209" i="25"/>
  <c r="J209" i="25"/>
  <c r="I209" i="25"/>
  <c r="H209" i="25"/>
  <c r="G209" i="25"/>
  <c r="F209" i="25"/>
  <c r="E209" i="25"/>
  <c r="D209" i="25"/>
  <c r="C209" i="25"/>
  <c r="B209" i="25"/>
  <c r="A209" i="25"/>
  <c r="L208" i="25"/>
  <c r="K208" i="25"/>
  <c r="J208" i="25"/>
  <c r="I208" i="25"/>
  <c r="H208" i="25"/>
  <c r="G208" i="25"/>
  <c r="F208" i="25"/>
  <c r="E208" i="25"/>
  <c r="D208" i="25"/>
  <c r="C208" i="25"/>
  <c r="B208" i="25"/>
  <c r="A208" i="25"/>
  <c r="L207" i="25"/>
  <c r="K207" i="25"/>
  <c r="J207" i="25"/>
  <c r="I207" i="25"/>
  <c r="H207" i="25"/>
  <c r="G207" i="25"/>
  <c r="F207" i="25"/>
  <c r="E207" i="25"/>
  <c r="D207" i="25"/>
  <c r="C207" i="25"/>
  <c r="B207" i="25"/>
  <c r="A207" i="25"/>
  <c r="L206" i="25"/>
  <c r="K206" i="25"/>
  <c r="J206" i="25"/>
  <c r="I206" i="25"/>
  <c r="H206" i="25"/>
  <c r="G206" i="25"/>
  <c r="F206" i="25"/>
  <c r="E206" i="25"/>
  <c r="D206" i="25"/>
  <c r="C206" i="25"/>
  <c r="B206" i="25"/>
  <c r="A206" i="25"/>
  <c r="L205" i="25"/>
  <c r="K205" i="25"/>
  <c r="J205" i="25"/>
  <c r="I205" i="25"/>
  <c r="H205" i="25"/>
  <c r="G205" i="25"/>
  <c r="F205" i="25"/>
  <c r="E205" i="25"/>
  <c r="D205" i="25"/>
  <c r="C205" i="25"/>
  <c r="B205" i="25"/>
  <c r="A205" i="25"/>
  <c r="L204" i="25"/>
  <c r="K204" i="25"/>
  <c r="J204" i="25"/>
  <c r="I204" i="25"/>
  <c r="H204" i="25"/>
  <c r="G204" i="25"/>
  <c r="F204" i="25"/>
  <c r="E204" i="25"/>
  <c r="D204" i="25"/>
  <c r="C204" i="25"/>
  <c r="B204" i="25"/>
  <c r="A204" i="25"/>
  <c r="L203" i="25"/>
  <c r="K203" i="25"/>
  <c r="J203" i="25"/>
  <c r="I203" i="25"/>
  <c r="H203" i="25"/>
  <c r="G203" i="25"/>
  <c r="F203" i="25"/>
  <c r="E203" i="25"/>
  <c r="D203" i="25"/>
  <c r="C203" i="25"/>
  <c r="B203" i="25"/>
  <c r="A203" i="25"/>
  <c r="L202" i="25"/>
  <c r="K202" i="25"/>
  <c r="J202" i="25"/>
  <c r="I202" i="25"/>
  <c r="H202" i="25"/>
  <c r="G202" i="25"/>
  <c r="F202" i="25"/>
  <c r="E202" i="25"/>
  <c r="D202" i="25"/>
  <c r="C202" i="25"/>
  <c r="B202" i="25"/>
  <c r="A202" i="25"/>
  <c r="L201" i="25"/>
  <c r="K201" i="25"/>
  <c r="J201" i="25"/>
  <c r="I201" i="25"/>
  <c r="H201" i="25"/>
  <c r="G201" i="25"/>
  <c r="F201" i="25"/>
  <c r="E201" i="25"/>
  <c r="D201" i="25"/>
  <c r="C201" i="25"/>
  <c r="B201" i="25"/>
  <c r="A201" i="25"/>
  <c r="L200" i="25"/>
  <c r="K200" i="25"/>
  <c r="J200" i="25"/>
  <c r="I200" i="25"/>
  <c r="H200" i="25"/>
  <c r="G200" i="25"/>
  <c r="F200" i="25"/>
  <c r="E200" i="25"/>
  <c r="D200" i="25"/>
  <c r="C200" i="25"/>
  <c r="B200" i="25"/>
  <c r="A200" i="25"/>
  <c r="L199" i="25"/>
  <c r="K199" i="25"/>
  <c r="J199" i="25"/>
  <c r="I199" i="25"/>
  <c r="H199" i="25"/>
  <c r="G199" i="25"/>
  <c r="F199" i="25"/>
  <c r="E199" i="25"/>
  <c r="D199" i="25"/>
  <c r="C199" i="25"/>
  <c r="B199" i="25"/>
  <c r="A199" i="25"/>
  <c r="L198" i="25"/>
  <c r="K198" i="25"/>
  <c r="J198" i="25"/>
  <c r="I198" i="25"/>
  <c r="H198" i="25"/>
  <c r="G198" i="25"/>
  <c r="F198" i="25"/>
  <c r="E198" i="25"/>
  <c r="D198" i="25"/>
  <c r="C198" i="25"/>
  <c r="B198" i="25"/>
  <c r="A198" i="25"/>
  <c r="L197" i="25"/>
  <c r="K197" i="25"/>
  <c r="J197" i="25"/>
  <c r="I197" i="25"/>
  <c r="H197" i="25"/>
  <c r="G197" i="25"/>
  <c r="F197" i="25"/>
  <c r="E197" i="25"/>
  <c r="D197" i="25"/>
  <c r="C197" i="25"/>
  <c r="B197" i="25"/>
  <c r="A197" i="25"/>
  <c r="L196" i="25"/>
  <c r="K196" i="25"/>
  <c r="J196" i="25"/>
  <c r="I196" i="25"/>
  <c r="H196" i="25"/>
  <c r="G196" i="25"/>
  <c r="F196" i="25"/>
  <c r="E196" i="25"/>
  <c r="D196" i="25"/>
  <c r="C196" i="25"/>
  <c r="B196" i="25"/>
  <c r="A196" i="25"/>
  <c r="L195" i="25"/>
  <c r="K195" i="25"/>
  <c r="J195" i="25"/>
  <c r="I195" i="25"/>
  <c r="H195" i="25"/>
  <c r="G195" i="25"/>
  <c r="F195" i="25"/>
  <c r="E195" i="25"/>
  <c r="D195" i="25"/>
  <c r="C195" i="25"/>
  <c r="B195" i="25"/>
  <c r="A195" i="25"/>
  <c r="L194" i="25"/>
  <c r="K194" i="25"/>
  <c r="J194" i="25"/>
  <c r="I194" i="25"/>
  <c r="H194" i="25"/>
  <c r="G194" i="25"/>
  <c r="F194" i="25"/>
  <c r="E194" i="25"/>
  <c r="D194" i="25"/>
  <c r="C194" i="25"/>
  <c r="B194" i="25"/>
  <c r="A194" i="25"/>
  <c r="L193" i="25"/>
  <c r="K193" i="25"/>
  <c r="J193" i="25"/>
  <c r="I193" i="25"/>
  <c r="H193" i="25"/>
  <c r="G193" i="25"/>
  <c r="F193" i="25"/>
  <c r="E193" i="25"/>
  <c r="D193" i="25"/>
  <c r="C193" i="25"/>
  <c r="B193" i="25"/>
  <c r="A193" i="25"/>
  <c r="L192" i="25"/>
  <c r="K192" i="25"/>
  <c r="J192" i="25"/>
  <c r="I192" i="25"/>
  <c r="H192" i="25"/>
  <c r="G192" i="25"/>
  <c r="F192" i="25"/>
  <c r="E192" i="25"/>
  <c r="D192" i="25"/>
  <c r="C192" i="25"/>
  <c r="B192" i="25"/>
  <c r="A192" i="25"/>
  <c r="L191" i="25"/>
  <c r="K191" i="25"/>
  <c r="J191" i="25"/>
  <c r="I191" i="25"/>
  <c r="H191" i="25"/>
  <c r="G191" i="25"/>
  <c r="F191" i="25"/>
  <c r="E191" i="25"/>
  <c r="D191" i="25"/>
  <c r="C191" i="25"/>
  <c r="B191" i="25"/>
  <c r="A191" i="25"/>
  <c r="L190" i="25"/>
  <c r="K190" i="25"/>
  <c r="J190" i="25"/>
  <c r="I190" i="25"/>
  <c r="H190" i="25"/>
  <c r="G190" i="25"/>
  <c r="F190" i="25"/>
  <c r="E190" i="25"/>
  <c r="D190" i="25"/>
  <c r="C190" i="25"/>
  <c r="B190" i="25"/>
  <c r="A190" i="25"/>
  <c r="L189" i="25"/>
  <c r="K189" i="25"/>
  <c r="J189" i="25"/>
  <c r="I189" i="25"/>
  <c r="H189" i="25"/>
  <c r="G189" i="25"/>
  <c r="F189" i="25"/>
  <c r="E189" i="25"/>
  <c r="D189" i="25"/>
  <c r="C189" i="25"/>
  <c r="B189" i="25"/>
  <c r="A189" i="25"/>
  <c r="L188" i="25"/>
  <c r="K188" i="25"/>
  <c r="J188" i="25"/>
  <c r="I188" i="25"/>
  <c r="H188" i="25"/>
  <c r="G188" i="25"/>
  <c r="F188" i="25"/>
  <c r="E188" i="25"/>
  <c r="D188" i="25"/>
  <c r="C188" i="25"/>
  <c r="B188" i="25"/>
  <c r="A188" i="25"/>
  <c r="L187" i="25"/>
  <c r="K187" i="25"/>
  <c r="J187" i="25"/>
  <c r="I187" i="25"/>
  <c r="H187" i="25"/>
  <c r="G187" i="25"/>
  <c r="F187" i="25"/>
  <c r="E187" i="25"/>
  <c r="D187" i="25"/>
  <c r="C187" i="25"/>
  <c r="B187" i="25"/>
  <c r="A187" i="25"/>
  <c r="L186" i="25"/>
  <c r="K186" i="25"/>
  <c r="J186" i="25"/>
  <c r="I186" i="25"/>
  <c r="H186" i="25"/>
  <c r="G186" i="25"/>
  <c r="F186" i="25"/>
  <c r="E186" i="25"/>
  <c r="D186" i="25"/>
  <c r="C186" i="25"/>
  <c r="B186" i="25"/>
  <c r="A186" i="25"/>
  <c r="L185" i="25"/>
  <c r="K185" i="25"/>
  <c r="J185" i="25"/>
  <c r="I185" i="25"/>
  <c r="H185" i="25"/>
  <c r="G185" i="25"/>
  <c r="F185" i="25"/>
  <c r="E185" i="25"/>
  <c r="D185" i="25"/>
  <c r="C185" i="25"/>
  <c r="B185" i="25"/>
  <c r="A185" i="25"/>
  <c r="L184" i="25"/>
  <c r="K184" i="25"/>
  <c r="J184" i="25"/>
  <c r="I184" i="25"/>
  <c r="H184" i="25"/>
  <c r="G184" i="25"/>
  <c r="F184" i="25"/>
  <c r="E184" i="25"/>
  <c r="D184" i="25"/>
  <c r="C184" i="25"/>
  <c r="B184" i="25"/>
  <c r="A184" i="25"/>
  <c r="L183" i="25"/>
  <c r="K183" i="25"/>
  <c r="J183" i="25"/>
  <c r="I183" i="25"/>
  <c r="H183" i="25"/>
  <c r="G183" i="25"/>
  <c r="F183" i="25"/>
  <c r="E183" i="25"/>
  <c r="D183" i="25"/>
  <c r="C183" i="25"/>
  <c r="B183" i="25"/>
  <c r="A183" i="25"/>
  <c r="L182" i="25"/>
  <c r="K182" i="25"/>
  <c r="J182" i="25"/>
  <c r="I182" i="25"/>
  <c r="H182" i="25"/>
  <c r="G182" i="25"/>
  <c r="F182" i="25"/>
  <c r="E182" i="25"/>
  <c r="D182" i="25"/>
  <c r="C182" i="25"/>
  <c r="B182" i="25"/>
  <c r="A182" i="25"/>
  <c r="L181" i="25"/>
  <c r="K181" i="25"/>
  <c r="J181" i="25"/>
  <c r="I181" i="25"/>
  <c r="H181" i="25"/>
  <c r="G181" i="25"/>
  <c r="F181" i="25"/>
  <c r="E181" i="25"/>
  <c r="D181" i="25"/>
  <c r="C181" i="25"/>
  <c r="B181" i="25"/>
  <c r="A181" i="25"/>
  <c r="L180" i="25"/>
  <c r="K180" i="25"/>
  <c r="J180" i="25"/>
  <c r="I180" i="25"/>
  <c r="H180" i="25"/>
  <c r="G180" i="25"/>
  <c r="F180" i="25"/>
  <c r="E180" i="25"/>
  <c r="D180" i="25"/>
  <c r="C180" i="25"/>
  <c r="B180" i="25"/>
  <c r="A180" i="25"/>
  <c r="L179" i="25"/>
  <c r="K179" i="25"/>
  <c r="J179" i="25"/>
  <c r="I179" i="25"/>
  <c r="H179" i="25"/>
  <c r="G179" i="25"/>
  <c r="F179" i="25"/>
  <c r="E179" i="25"/>
  <c r="D179" i="25"/>
  <c r="C179" i="25"/>
  <c r="B179" i="25"/>
  <c r="A179" i="25"/>
  <c r="L178" i="25"/>
  <c r="K178" i="25"/>
  <c r="J178" i="25"/>
  <c r="I178" i="25"/>
  <c r="H178" i="25"/>
  <c r="G178" i="25"/>
  <c r="F178" i="25"/>
  <c r="E178" i="25"/>
  <c r="D178" i="25"/>
  <c r="C178" i="25"/>
  <c r="B178" i="25"/>
  <c r="A178" i="25"/>
  <c r="L177" i="25"/>
  <c r="K177" i="25"/>
  <c r="J177" i="25"/>
  <c r="I177" i="25"/>
  <c r="H177" i="25"/>
  <c r="G177" i="25"/>
  <c r="F177" i="25"/>
  <c r="E177" i="25"/>
  <c r="D177" i="25"/>
  <c r="C177" i="25"/>
  <c r="B177" i="25"/>
  <c r="A177" i="25"/>
  <c r="L176" i="25"/>
  <c r="K176" i="25"/>
  <c r="J176" i="25"/>
  <c r="I176" i="25"/>
  <c r="H176" i="25"/>
  <c r="G176" i="25"/>
  <c r="F176" i="25"/>
  <c r="E176" i="25"/>
  <c r="D176" i="25"/>
  <c r="C176" i="25"/>
  <c r="B176" i="25"/>
  <c r="A176" i="25"/>
  <c r="L175" i="25"/>
  <c r="K175" i="25"/>
  <c r="J175" i="25"/>
  <c r="I175" i="25"/>
  <c r="H175" i="25"/>
  <c r="G175" i="25"/>
  <c r="F175" i="25"/>
  <c r="E175" i="25"/>
  <c r="D175" i="25"/>
  <c r="C175" i="25"/>
  <c r="B175" i="25"/>
  <c r="A175" i="25"/>
  <c r="L174" i="25"/>
  <c r="K174" i="25"/>
  <c r="J174" i="25"/>
  <c r="I174" i="25"/>
  <c r="H174" i="25"/>
  <c r="G174" i="25"/>
  <c r="F174" i="25"/>
  <c r="E174" i="25"/>
  <c r="D174" i="25"/>
  <c r="C174" i="25"/>
  <c r="B174" i="25"/>
  <c r="A174" i="25"/>
  <c r="L173" i="25"/>
  <c r="K173" i="25"/>
  <c r="J173" i="25"/>
  <c r="I173" i="25"/>
  <c r="H173" i="25"/>
  <c r="G173" i="25"/>
  <c r="F173" i="25"/>
  <c r="E173" i="25"/>
  <c r="D173" i="25"/>
  <c r="C173" i="25"/>
  <c r="B173" i="25"/>
  <c r="A173" i="25"/>
  <c r="L172" i="25"/>
  <c r="K172" i="25"/>
  <c r="J172" i="25"/>
  <c r="I172" i="25"/>
  <c r="H172" i="25"/>
  <c r="G172" i="25"/>
  <c r="F172" i="25"/>
  <c r="E172" i="25"/>
  <c r="D172" i="25"/>
  <c r="C172" i="25"/>
  <c r="B172" i="25"/>
  <c r="A172" i="25"/>
  <c r="L171" i="25"/>
  <c r="K171" i="25"/>
  <c r="J171" i="25"/>
  <c r="I171" i="25"/>
  <c r="H171" i="25"/>
  <c r="G171" i="25"/>
  <c r="F171" i="25"/>
  <c r="E171" i="25"/>
  <c r="D171" i="25"/>
  <c r="C171" i="25"/>
  <c r="B171" i="25"/>
  <c r="A171" i="25"/>
  <c r="L170" i="25"/>
  <c r="K170" i="25"/>
  <c r="J170" i="25"/>
  <c r="I170" i="25"/>
  <c r="H170" i="25"/>
  <c r="G170" i="25"/>
  <c r="F170" i="25"/>
  <c r="E170" i="25"/>
  <c r="D170" i="25"/>
  <c r="C170" i="25"/>
  <c r="B170" i="25"/>
  <c r="A170" i="25"/>
  <c r="L169" i="25"/>
  <c r="K169" i="25"/>
  <c r="J169" i="25"/>
  <c r="I169" i="25"/>
  <c r="H169" i="25"/>
  <c r="G169" i="25"/>
  <c r="F169" i="25"/>
  <c r="E169" i="25"/>
  <c r="D169" i="25"/>
  <c r="C169" i="25"/>
  <c r="B169" i="25"/>
  <c r="A169" i="25"/>
  <c r="L168" i="25"/>
  <c r="K168" i="25"/>
  <c r="J168" i="25"/>
  <c r="I168" i="25"/>
  <c r="H168" i="25"/>
  <c r="G168" i="25"/>
  <c r="F168" i="25"/>
  <c r="E168" i="25"/>
  <c r="D168" i="25"/>
  <c r="C168" i="25"/>
  <c r="B168" i="25"/>
  <c r="A168" i="25"/>
  <c r="L167" i="25"/>
  <c r="K167" i="25"/>
  <c r="J167" i="25"/>
  <c r="I167" i="25"/>
  <c r="H167" i="25"/>
  <c r="G167" i="25"/>
  <c r="F167" i="25"/>
  <c r="E167" i="25"/>
  <c r="D167" i="25"/>
  <c r="C167" i="25"/>
  <c r="B167" i="25"/>
  <c r="A167" i="25"/>
  <c r="L166" i="25"/>
  <c r="K166" i="25"/>
  <c r="J166" i="25"/>
  <c r="I166" i="25"/>
  <c r="H166" i="25"/>
  <c r="G166" i="25"/>
  <c r="F166" i="25"/>
  <c r="E166" i="25"/>
  <c r="D166" i="25"/>
  <c r="C166" i="25"/>
  <c r="B166" i="25"/>
  <c r="A166" i="25"/>
  <c r="L165" i="25"/>
  <c r="K165" i="25"/>
  <c r="J165" i="25"/>
  <c r="I165" i="25"/>
  <c r="H165" i="25"/>
  <c r="G165" i="25"/>
  <c r="F165" i="25"/>
  <c r="E165" i="25"/>
  <c r="D165" i="25"/>
  <c r="C165" i="25"/>
  <c r="B165" i="25"/>
  <c r="A165" i="25"/>
  <c r="L164" i="25"/>
  <c r="K164" i="25"/>
  <c r="J164" i="25"/>
  <c r="I164" i="25"/>
  <c r="H164" i="25"/>
  <c r="G164" i="25"/>
  <c r="F164" i="25"/>
  <c r="E164" i="25"/>
  <c r="D164" i="25"/>
  <c r="C164" i="25"/>
  <c r="B164" i="25"/>
  <c r="A164" i="25"/>
  <c r="L163" i="25"/>
  <c r="K163" i="25"/>
  <c r="J163" i="25"/>
  <c r="I163" i="25"/>
  <c r="H163" i="25"/>
  <c r="G163" i="25"/>
  <c r="F163" i="25"/>
  <c r="E163" i="25"/>
  <c r="D163" i="25"/>
  <c r="C163" i="25"/>
  <c r="B163" i="25"/>
  <c r="A163" i="25"/>
  <c r="L162" i="25"/>
  <c r="K162" i="25"/>
  <c r="J162" i="25"/>
  <c r="I162" i="25"/>
  <c r="H162" i="25"/>
  <c r="G162" i="25"/>
  <c r="F162" i="25"/>
  <c r="E162" i="25"/>
  <c r="D162" i="25"/>
  <c r="C162" i="25"/>
  <c r="B162" i="25"/>
  <c r="A162" i="25"/>
  <c r="L161" i="25"/>
  <c r="K161" i="25"/>
  <c r="J161" i="25"/>
  <c r="I161" i="25"/>
  <c r="H161" i="25"/>
  <c r="G161" i="25"/>
  <c r="F161" i="25"/>
  <c r="E161" i="25"/>
  <c r="D161" i="25"/>
  <c r="C161" i="25"/>
  <c r="B161" i="25"/>
  <c r="A161" i="25"/>
  <c r="L160" i="25"/>
  <c r="K160" i="25"/>
  <c r="J160" i="25"/>
  <c r="I160" i="25"/>
  <c r="H160" i="25"/>
  <c r="G160" i="25"/>
  <c r="F160" i="25"/>
  <c r="E160" i="25"/>
  <c r="D160" i="25"/>
  <c r="C160" i="25"/>
  <c r="B160" i="25"/>
  <c r="A160" i="25"/>
  <c r="L159" i="25"/>
  <c r="K159" i="25"/>
  <c r="J159" i="25"/>
  <c r="I159" i="25"/>
  <c r="H159" i="25"/>
  <c r="G159" i="25"/>
  <c r="F159" i="25"/>
  <c r="E159" i="25"/>
  <c r="D159" i="25"/>
  <c r="C159" i="25"/>
  <c r="B159" i="25"/>
  <c r="A159" i="25"/>
  <c r="L158" i="25"/>
  <c r="K158" i="25"/>
  <c r="J158" i="25"/>
  <c r="I158" i="25"/>
  <c r="H158" i="25"/>
  <c r="G158" i="25"/>
  <c r="F158" i="25"/>
  <c r="E158" i="25"/>
  <c r="D158" i="25"/>
  <c r="C158" i="25"/>
  <c r="B158" i="25"/>
  <c r="A158" i="25"/>
  <c r="L157" i="25"/>
  <c r="K157" i="25"/>
  <c r="J157" i="25"/>
  <c r="I157" i="25"/>
  <c r="H157" i="25"/>
  <c r="G157" i="25"/>
  <c r="F157" i="25"/>
  <c r="E157" i="25"/>
  <c r="D157" i="25"/>
  <c r="C157" i="25"/>
  <c r="B157" i="25"/>
  <c r="A157" i="25"/>
  <c r="L156" i="25"/>
  <c r="K156" i="25"/>
  <c r="J156" i="25"/>
  <c r="I156" i="25"/>
  <c r="H156" i="25"/>
  <c r="G156" i="25"/>
  <c r="F156" i="25"/>
  <c r="E156" i="25"/>
  <c r="D156" i="25"/>
  <c r="C156" i="25"/>
  <c r="B156" i="25"/>
  <c r="A156" i="25"/>
  <c r="L155" i="25"/>
  <c r="K155" i="25"/>
  <c r="J155" i="25"/>
  <c r="I155" i="25"/>
  <c r="H155" i="25"/>
  <c r="G155" i="25"/>
  <c r="F155" i="25"/>
  <c r="E155" i="25"/>
  <c r="D155" i="25"/>
  <c r="C155" i="25"/>
  <c r="B155" i="25"/>
  <c r="A155" i="25"/>
  <c r="L154" i="25"/>
  <c r="K154" i="25"/>
  <c r="J154" i="25"/>
  <c r="I154" i="25"/>
  <c r="H154" i="25"/>
  <c r="G154" i="25"/>
  <c r="F154" i="25"/>
  <c r="E154" i="25"/>
  <c r="D154" i="25"/>
  <c r="C154" i="25"/>
  <c r="B154" i="25"/>
  <c r="A154" i="25"/>
  <c r="L153" i="25"/>
  <c r="K153" i="25"/>
  <c r="J153" i="25"/>
  <c r="I153" i="25"/>
  <c r="H153" i="25"/>
  <c r="G153" i="25"/>
  <c r="F153" i="25"/>
  <c r="E153" i="25"/>
  <c r="D153" i="25"/>
  <c r="C153" i="25"/>
  <c r="B153" i="25"/>
  <c r="A153" i="25"/>
  <c r="L152" i="25"/>
  <c r="K152" i="25"/>
  <c r="J152" i="25"/>
  <c r="I152" i="25"/>
  <c r="H152" i="25"/>
  <c r="G152" i="25"/>
  <c r="F152" i="25"/>
  <c r="E152" i="25"/>
  <c r="D152" i="25"/>
  <c r="C152" i="25"/>
  <c r="B152" i="25"/>
  <c r="A152" i="25"/>
  <c r="L151" i="25"/>
  <c r="K151" i="25"/>
  <c r="J151" i="25"/>
  <c r="I151" i="25"/>
  <c r="H151" i="25"/>
  <c r="G151" i="25"/>
  <c r="F151" i="25"/>
  <c r="E151" i="25"/>
  <c r="D151" i="25"/>
  <c r="C151" i="25"/>
  <c r="B151" i="25"/>
  <c r="A151" i="25"/>
  <c r="L150" i="25"/>
  <c r="K150" i="25"/>
  <c r="J150" i="25"/>
  <c r="I150" i="25"/>
  <c r="H150" i="25"/>
  <c r="G150" i="25"/>
  <c r="F150" i="25"/>
  <c r="E150" i="25"/>
  <c r="D150" i="25"/>
  <c r="C150" i="25"/>
  <c r="B150" i="25"/>
  <c r="A150" i="25"/>
  <c r="L149" i="25"/>
  <c r="K149" i="25"/>
  <c r="J149" i="25"/>
  <c r="I149" i="25"/>
  <c r="H149" i="25"/>
  <c r="G149" i="25"/>
  <c r="F149" i="25"/>
  <c r="E149" i="25"/>
  <c r="D149" i="25"/>
  <c r="C149" i="25"/>
  <c r="B149" i="25"/>
  <c r="A149" i="25"/>
  <c r="L148" i="25"/>
  <c r="K148" i="25"/>
  <c r="J148" i="25"/>
  <c r="I148" i="25"/>
  <c r="H148" i="25"/>
  <c r="G148" i="25"/>
  <c r="F148" i="25"/>
  <c r="E148" i="25"/>
  <c r="D148" i="25"/>
  <c r="C148" i="25"/>
  <c r="B148" i="25"/>
  <c r="A148" i="25"/>
  <c r="L147" i="25"/>
  <c r="K147" i="25"/>
  <c r="J147" i="25"/>
  <c r="I147" i="25"/>
  <c r="H147" i="25"/>
  <c r="G147" i="25"/>
  <c r="F147" i="25"/>
  <c r="E147" i="25"/>
  <c r="D147" i="25"/>
  <c r="C147" i="25"/>
  <c r="B147" i="25"/>
  <c r="A147" i="25"/>
  <c r="L146" i="25"/>
  <c r="K146" i="25"/>
  <c r="J146" i="25"/>
  <c r="I146" i="25"/>
  <c r="H146" i="25"/>
  <c r="G146" i="25"/>
  <c r="F146" i="25"/>
  <c r="E146" i="25"/>
  <c r="D146" i="25"/>
  <c r="C146" i="25"/>
  <c r="B146" i="25"/>
  <c r="A146" i="25"/>
  <c r="L145" i="25"/>
  <c r="K145" i="25"/>
  <c r="J145" i="25"/>
  <c r="I145" i="25"/>
  <c r="H145" i="25"/>
  <c r="G145" i="25"/>
  <c r="F145" i="25"/>
  <c r="E145" i="25"/>
  <c r="D145" i="25"/>
  <c r="C145" i="25"/>
  <c r="B145" i="25"/>
  <c r="A145" i="25"/>
  <c r="L144" i="25"/>
  <c r="K144" i="25"/>
  <c r="J144" i="25"/>
  <c r="I144" i="25"/>
  <c r="H144" i="25"/>
  <c r="G144" i="25"/>
  <c r="F144" i="25"/>
  <c r="E144" i="25"/>
  <c r="D144" i="25"/>
  <c r="C144" i="25"/>
  <c r="B144" i="25"/>
  <c r="A144" i="25"/>
  <c r="L143" i="25"/>
  <c r="K143" i="25"/>
  <c r="J143" i="25"/>
  <c r="I143" i="25"/>
  <c r="H143" i="25"/>
  <c r="G143" i="25"/>
  <c r="F143" i="25"/>
  <c r="E143" i="25"/>
  <c r="D143" i="25"/>
  <c r="C143" i="25"/>
  <c r="B143" i="25"/>
  <c r="A143" i="25"/>
  <c r="L142" i="25"/>
  <c r="K142" i="25"/>
  <c r="J142" i="25"/>
  <c r="I142" i="25"/>
  <c r="H142" i="25"/>
  <c r="G142" i="25"/>
  <c r="F142" i="25"/>
  <c r="E142" i="25"/>
  <c r="D142" i="25"/>
  <c r="C142" i="25"/>
  <c r="B142" i="25"/>
  <c r="A142" i="25"/>
  <c r="L141" i="25"/>
  <c r="K141" i="25"/>
  <c r="J141" i="25"/>
  <c r="I141" i="25"/>
  <c r="H141" i="25"/>
  <c r="G141" i="25"/>
  <c r="F141" i="25"/>
  <c r="E141" i="25"/>
  <c r="D141" i="25"/>
  <c r="C141" i="25"/>
  <c r="B141" i="25"/>
  <c r="A141" i="25"/>
  <c r="L140" i="25"/>
  <c r="K140" i="25"/>
  <c r="J140" i="25"/>
  <c r="I140" i="25"/>
  <c r="H140" i="25"/>
  <c r="G140" i="25"/>
  <c r="F140" i="25"/>
  <c r="E140" i="25"/>
  <c r="D140" i="25"/>
  <c r="C140" i="25"/>
  <c r="B140" i="25"/>
  <c r="A140" i="25"/>
  <c r="L139" i="25"/>
  <c r="K139" i="25"/>
  <c r="J139" i="25"/>
  <c r="I139" i="25"/>
  <c r="H139" i="25"/>
  <c r="G139" i="25"/>
  <c r="F139" i="25"/>
  <c r="E139" i="25"/>
  <c r="D139" i="25"/>
  <c r="C139" i="25"/>
  <c r="B139" i="25"/>
  <c r="A139" i="25"/>
  <c r="L138" i="25"/>
  <c r="K138" i="25"/>
  <c r="J138" i="25"/>
  <c r="I138" i="25"/>
  <c r="H138" i="25"/>
  <c r="G138" i="25"/>
  <c r="F138" i="25"/>
  <c r="E138" i="25"/>
  <c r="D138" i="25"/>
  <c r="C138" i="25"/>
  <c r="B138" i="25"/>
  <c r="A138" i="25"/>
  <c r="L137" i="25"/>
  <c r="K137" i="25"/>
  <c r="J137" i="25"/>
  <c r="I137" i="25"/>
  <c r="H137" i="25"/>
  <c r="G137" i="25"/>
  <c r="F137" i="25"/>
  <c r="E137" i="25"/>
  <c r="D137" i="25"/>
  <c r="C137" i="25"/>
  <c r="B137" i="25"/>
  <c r="A137" i="25"/>
  <c r="L136" i="25"/>
  <c r="K136" i="25"/>
  <c r="J136" i="25"/>
  <c r="I136" i="25"/>
  <c r="H136" i="25"/>
  <c r="G136" i="25"/>
  <c r="F136" i="25"/>
  <c r="E136" i="25"/>
  <c r="D136" i="25"/>
  <c r="C136" i="25"/>
  <c r="B136" i="25"/>
  <c r="A136" i="25"/>
  <c r="L135" i="25"/>
  <c r="K135" i="25"/>
  <c r="J135" i="25"/>
  <c r="I135" i="25"/>
  <c r="H135" i="25"/>
  <c r="G135" i="25"/>
  <c r="F135" i="25"/>
  <c r="E135" i="25"/>
  <c r="D135" i="25"/>
  <c r="C135" i="25"/>
  <c r="B135" i="25"/>
  <c r="A135" i="25"/>
  <c r="L134" i="25"/>
  <c r="K134" i="25"/>
  <c r="J134" i="25"/>
  <c r="I134" i="25"/>
  <c r="H134" i="25"/>
  <c r="G134" i="25"/>
  <c r="F134" i="25"/>
  <c r="E134" i="25"/>
  <c r="D134" i="25"/>
  <c r="C134" i="25"/>
  <c r="B134" i="25"/>
  <c r="A134" i="25"/>
  <c r="L133" i="25"/>
  <c r="K133" i="25"/>
  <c r="J133" i="25"/>
  <c r="I133" i="25"/>
  <c r="H133" i="25"/>
  <c r="G133" i="25"/>
  <c r="F133" i="25"/>
  <c r="E133" i="25"/>
  <c r="D133" i="25"/>
  <c r="C133" i="25"/>
  <c r="B133" i="25"/>
  <c r="A133" i="25"/>
  <c r="L132" i="25"/>
  <c r="K132" i="25"/>
  <c r="J132" i="25"/>
  <c r="I132" i="25"/>
  <c r="H132" i="25"/>
  <c r="G132" i="25"/>
  <c r="F132" i="25"/>
  <c r="E132" i="25"/>
  <c r="D132" i="25"/>
  <c r="C132" i="25"/>
  <c r="B132" i="25"/>
  <c r="A132" i="25"/>
  <c r="L131" i="25"/>
  <c r="K131" i="25"/>
  <c r="J131" i="25"/>
  <c r="I131" i="25"/>
  <c r="H131" i="25"/>
  <c r="G131" i="25"/>
  <c r="F131" i="25"/>
  <c r="E131" i="25"/>
  <c r="D131" i="25"/>
  <c r="C131" i="25"/>
  <c r="B131" i="25"/>
  <c r="A131" i="25"/>
  <c r="L130" i="25"/>
  <c r="K130" i="25"/>
  <c r="J130" i="25"/>
  <c r="I130" i="25"/>
  <c r="H130" i="25"/>
  <c r="G130" i="25"/>
  <c r="F130" i="25"/>
  <c r="E130" i="25"/>
  <c r="D130" i="25"/>
  <c r="C130" i="25"/>
  <c r="B130" i="25"/>
  <c r="A130" i="25"/>
  <c r="L129" i="25"/>
  <c r="K129" i="25"/>
  <c r="J129" i="25"/>
  <c r="I129" i="25"/>
  <c r="H129" i="25"/>
  <c r="G129" i="25"/>
  <c r="F129" i="25"/>
  <c r="E129" i="25"/>
  <c r="D129" i="25"/>
  <c r="C129" i="25"/>
  <c r="B129" i="25"/>
  <c r="A129" i="25"/>
  <c r="L128" i="25"/>
  <c r="K128" i="25"/>
  <c r="J128" i="25"/>
  <c r="I128" i="25"/>
  <c r="H128" i="25"/>
  <c r="G128" i="25"/>
  <c r="F128" i="25"/>
  <c r="E128" i="25"/>
  <c r="D128" i="25"/>
  <c r="C128" i="25"/>
  <c r="B128" i="25"/>
  <c r="A128" i="25"/>
  <c r="L127" i="25"/>
  <c r="K127" i="25"/>
  <c r="J127" i="25"/>
  <c r="I127" i="25"/>
  <c r="H127" i="25"/>
  <c r="G127" i="25"/>
  <c r="F127" i="25"/>
  <c r="E127" i="25"/>
  <c r="D127" i="25"/>
  <c r="C127" i="25"/>
  <c r="B127" i="25"/>
  <c r="A127" i="25"/>
  <c r="L126" i="25"/>
  <c r="K126" i="25"/>
  <c r="J126" i="25"/>
  <c r="I126" i="25"/>
  <c r="H126" i="25"/>
  <c r="G126" i="25"/>
  <c r="F126" i="25"/>
  <c r="E126" i="25"/>
  <c r="D126" i="25"/>
  <c r="C126" i="25"/>
  <c r="B126" i="25"/>
  <c r="A126" i="25"/>
  <c r="L125" i="25"/>
  <c r="K125" i="25"/>
  <c r="J125" i="25"/>
  <c r="I125" i="25"/>
  <c r="H125" i="25"/>
  <c r="G125" i="25"/>
  <c r="F125" i="25"/>
  <c r="E125" i="25"/>
  <c r="D125" i="25"/>
  <c r="C125" i="25"/>
  <c r="B125" i="25"/>
  <c r="A125" i="25"/>
  <c r="L124" i="25"/>
  <c r="K124" i="25"/>
  <c r="J124" i="25"/>
  <c r="I124" i="25"/>
  <c r="H124" i="25"/>
  <c r="G124" i="25"/>
  <c r="F124" i="25"/>
  <c r="E124" i="25"/>
  <c r="D124" i="25"/>
  <c r="C124" i="25"/>
  <c r="B124" i="25"/>
  <c r="A124" i="25"/>
  <c r="L123" i="25"/>
  <c r="K123" i="25"/>
  <c r="J123" i="25"/>
  <c r="I123" i="25"/>
  <c r="H123" i="25"/>
  <c r="G123" i="25"/>
  <c r="F123" i="25"/>
  <c r="E123" i="25"/>
  <c r="D123" i="25"/>
  <c r="C123" i="25"/>
  <c r="B123" i="25"/>
  <c r="A123" i="25"/>
  <c r="L122" i="25"/>
  <c r="K122" i="25"/>
  <c r="J122" i="25"/>
  <c r="I122" i="25"/>
  <c r="H122" i="25"/>
  <c r="G122" i="25"/>
  <c r="F122" i="25"/>
  <c r="E122" i="25"/>
  <c r="D122" i="25"/>
  <c r="C122" i="25"/>
  <c r="B122" i="25"/>
  <c r="A122" i="25"/>
  <c r="L121" i="25"/>
  <c r="K121" i="25"/>
  <c r="J121" i="25"/>
  <c r="I121" i="25"/>
  <c r="H121" i="25"/>
  <c r="G121" i="25"/>
  <c r="F121" i="25"/>
  <c r="E121" i="25"/>
  <c r="D121" i="25"/>
  <c r="C121" i="25"/>
  <c r="B121" i="25"/>
  <c r="A121" i="25"/>
  <c r="L120" i="25"/>
  <c r="K120" i="25"/>
  <c r="J120" i="25"/>
  <c r="I120" i="25"/>
  <c r="H120" i="25"/>
  <c r="G120" i="25"/>
  <c r="F120" i="25"/>
  <c r="E120" i="25"/>
  <c r="D120" i="25"/>
  <c r="C120" i="25"/>
  <c r="B120" i="25"/>
  <c r="A120" i="25"/>
  <c r="L119" i="25"/>
  <c r="K119" i="25"/>
  <c r="J119" i="25"/>
  <c r="I119" i="25"/>
  <c r="H119" i="25"/>
  <c r="G119" i="25"/>
  <c r="F119" i="25"/>
  <c r="E119" i="25"/>
  <c r="D119" i="25"/>
  <c r="C119" i="25"/>
  <c r="B119" i="25"/>
  <c r="A119" i="25"/>
  <c r="L118" i="25"/>
  <c r="K118" i="25"/>
  <c r="J118" i="25"/>
  <c r="I118" i="25"/>
  <c r="H118" i="25"/>
  <c r="G118" i="25"/>
  <c r="F118" i="25"/>
  <c r="E118" i="25"/>
  <c r="D118" i="25"/>
  <c r="C118" i="25"/>
  <c r="B118" i="25"/>
  <c r="A118" i="25"/>
  <c r="L117" i="25"/>
  <c r="K117" i="25"/>
  <c r="J117" i="25"/>
  <c r="I117" i="25"/>
  <c r="H117" i="25"/>
  <c r="G117" i="25"/>
  <c r="F117" i="25"/>
  <c r="E117" i="25"/>
  <c r="D117" i="25"/>
  <c r="C117" i="25"/>
  <c r="B117" i="25"/>
  <c r="A117" i="25"/>
  <c r="L116" i="25"/>
  <c r="K116" i="25"/>
  <c r="J116" i="25"/>
  <c r="I116" i="25"/>
  <c r="H116" i="25"/>
  <c r="G116" i="25"/>
  <c r="F116" i="25"/>
  <c r="E116" i="25"/>
  <c r="D116" i="25"/>
  <c r="C116" i="25"/>
  <c r="B116" i="25"/>
  <c r="A116" i="25"/>
  <c r="L115" i="25"/>
  <c r="K115" i="25"/>
  <c r="J115" i="25"/>
  <c r="I115" i="25"/>
  <c r="H115" i="25"/>
  <c r="G115" i="25"/>
  <c r="F115" i="25"/>
  <c r="E115" i="25"/>
  <c r="D115" i="25"/>
  <c r="C115" i="25"/>
  <c r="B115" i="25"/>
  <c r="A115" i="25"/>
  <c r="L114" i="25"/>
  <c r="K114" i="25"/>
  <c r="J114" i="25"/>
  <c r="I114" i="25"/>
  <c r="H114" i="25"/>
  <c r="G114" i="25"/>
  <c r="F114" i="25"/>
  <c r="E114" i="25"/>
  <c r="D114" i="25"/>
  <c r="C114" i="25"/>
  <c r="B114" i="25"/>
  <c r="A114" i="25"/>
  <c r="L113" i="25"/>
  <c r="K113" i="25"/>
  <c r="J113" i="25"/>
  <c r="I113" i="25"/>
  <c r="H113" i="25"/>
  <c r="G113" i="25"/>
  <c r="F113" i="25"/>
  <c r="E113" i="25"/>
  <c r="D113" i="25"/>
  <c r="C113" i="25"/>
  <c r="B113" i="25"/>
  <c r="A113" i="25"/>
  <c r="L112" i="25"/>
  <c r="K112" i="25"/>
  <c r="J112" i="25"/>
  <c r="I112" i="25"/>
  <c r="H112" i="25"/>
  <c r="G112" i="25"/>
  <c r="F112" i="25"/>
  <c r="E112" i="25"/>
  <c r="D112" i="25"/>
  <c r="C112" i="25"/>
  <c r="B112" i="25"/>
  <c r="A112" i="25"/>
  <c r="L111" i="25"/>
  <c r="K111" i="25"/>
  <c r="J111" i="25"/>
  <c r="I111" i="25"/>
  <c r="H111" i="25"/>
  <c r="G111" i="25"/>
  <c r="F111" i="25"/>
  <c r="E111" i="25"/>
  <c r="D111" i="25"/>
  <c r="C111" i="25"/>
  <c r="B111" i="25"/>
  <c r="A111" i="25"/>
  <c r="L110" i="25"/>
  <c r="K110" i="25"/>
  <c r="J110" i="25"/>
  <c r="I110" i="25"/>
  <c r="H110" i="25"/>
  <c r="G110" i="25"/>
  <c r="F110" i="25"/>
  <c r="E110" i="25"/>
  <c r="D110" i="25"/>
  <c r="C110" i="25"/>
  <c r="B110" i="25"/>
  <c r="A110" i="25"/>
  <c r="L109" i="25"/>
  <c r="K109" i="25"/>
  <c r="J109" i="25"/>
  <c r="I109" i="25"/>
  <c r="H109" i="25"/>
  <c r="G109" i="25"/>
  <c r="F109" i="25"/>
  <c r="E109" i="25"/>
  <c r="D109" i="25"/>
  <c r="C109" i="25"/>
  <c r="B109" i="25"/>
  <c r="A109" i="25"/>
  <c r="L108" i="25"/>
  <c r="K108" i="25"/>
  <c r="J108" i="25"/>
  <c r="I108" i="25"/>
  <c r="H108" i="25"/>
  <c r="G108" i="25"/>
  <c r="F108" i="25"/>
  <c r="E108" i="25"/>
  <c r="D108" i="25"/>
  <c r="C108" i="25"/>
  <c r="B108" i="25"/>
  <c r="A108" i="25"/>
  <c r="L107" i="25"/>
  <c r="K107" i="25"/>
  <c r="J107" i="25"/>
  <c r="I107" i="25"/>
  <c r="H107" i="25"/>
  <c r="G107" i="25"/>
  <c r="F107" i="25"/>
  <c r="E107" i="25"/>
  <c r="D107" i="25"/>
  <c r="C107" i="25"/>
  <c r="B107" i="25"/>
  <c r="A107" i="25"/>
  <c r="L106" i="25"/>
  <c r="K106" i="25"/>
  <c r="J106" i="25"/>
  <c r="I106" i="25"/>
  <c r="H106" i="25"/>
  <c r="G106" i="25"/>
  <c r="F106" i="25"/>
  <c r="E106" i="25"/>
  <c r="D106" i="25"/>
  <c r="C106" i="25"/>
  <c r="B106" i="25"/>
  <c r="A106" i="25"/>
  <c r="L105" i="25"/>
  <c r="K105" i="25"/>
  <c r="J105" i="25"/>
  <c r="I105" i="25"/>
  <c r="H105" i="25"/>
  <c r="G105" i="25"/>
  <c r="F105" i="25"/>
  <c r="E105" i="25"/>
  <c r="D105" i="25"/>
  <c r="C105" i="25"/>
  <c r="B105" i="25"/>
  <c r="A105" i="25"/>
  <c r="L104" i="25"/>
  <c r="K104" i="25"/>
  <c r="J104" i="25"/>
  <c r="I104" i="25"/>
  <c r="H104" i="25"/>
  <c r="G104" i="25"/>
  <c r="F104" i="25"/>
  <c r="E104" i="25"/>
  <c r="D104" i="25"/>
  <c r="C104" i="25"/>
  <c r="B104" i="25"/>
  <c r="A104" i="25"/>
  <c r="L103" i="25"/>
  <c r="K103" i="25"/>
  <c r="J103" i="25"/>
  <c r="I103" i="25"/>
  <c r="H103" i="25"/>
  <c r="G103" i="25"/>
  <c r="F103" i="25"/>
  <c r="E103" i="25"/>
  <c r="D103" i="25"/>
  <c r="C103" i="25"/>
  <c r="B103" i="25"/>
  <c r="A103" i="25"/>
  <c r="L102" i="25"/>
  <c r="K102" i="25"/>
  <c r="J102" i="25"/>
  <c r="I102" i="25"/>
  <c r="H102" i="25"/>
  <c r="G102" i="25"/>
  <c r="F102" i="25"/>
  <c r="E102" i="25"/>
  <c r="D102" i="25"/>
  <c r="C102" i="25"/>
  <c r="B102" i="25"/>
  <c r="A102" i="25"/>
  <c r="L101" i="25"/>
  <c r="K101" i="25"/>
  <c r="J101" i="25"/>
  <c r="I101" i="25"/>
  <c r="H101" i="25"/>
  <c r="G101" i="25"/>
  <c r="F101" i="25"/>
  <c r="E101" i="25"/>
  <c r="D101" i="25"/>
  <c r="C101" i="25"/>
  <c r="B101" i="25"/>
  <c r="A101" i="25"/>
  <c r="L100" i="25"/>
  <c r="K100" i="25"/>
  <c r="J100" i="25"/>
  <c r="I100" i="25"/>
  <c r="H100" i="25"/>
  <c r="G100" i="25"/>
  <c r="F100" i="25"/>
  <c r="E100" i="25"/>
  <c r="D100" i="25"/>
  <c r="C100" i="25"/>
  <c r="B100" i="25"/>
  <c r="A100" i="25"/>
  <c r="L99" i="25"/>
  <c r="K99" i="25"/>
  <c r="J99" i="25"/>
  <c r="I99" i="25"/>
  <c r="H99" i="25"/>
  <c r="G99" i="25"/>
  <c r="F99" i="25"/>
  <c r="E99" i="25"/>
  <c r="D99" i="25"/>
  <c r="C99" i="25"/>
  <c r="B99" i="25"/>
  <c r="A99" i="25"/>
  <c r="L98" i="25"/>
  <c r="K98" i="25"/>
  <c r="J98" i="25"/>
  <c r="I98" i="25"/>
  <c r="H98" i="25"/>
  <c r="G98" i="25"/>
  <c r="F98" i="25"/>
  <c r="E98" i="25"/>
  <c r="D98" i="25"/>
  <c r="C98" i="25"/>
  <c r="B98" i="25"/>
  <c r="A98" i="25"/>
  <c r="L97" i="25"/>
  <c r="K97" i="25"/>
  <c r="J97" i="25"/>
  <c r="I97" i="25"/>
  <c r="H97" i="25"/>
  <c r="G97" i="25"/>
  <c r="F97" i="25"/>
  <c r="E97" i="25"/>
  <c r="D97" i="25"/>
  <c r="C97" i="25"/>
  <c r="B97" i="25"/>
  <c r="A97" i="25"/>
  <c r="L96" i="25"/>
  <c r="K96" i="25"/>
  <c r="J96" i="25"/>
  <c r="I96" i="25"/>
  <c r="H96" i="25"/>
  <c r="G96" i="25"/>
  <c r="F96" i="25"/>
  <c r="E96" i="25"/>
  <c r="D96" i="25"/>
  <c r="C96" i="25"/>
  <c r="B96" i="25"/>
  <c r="A96" i="25"/>
  <c r="L95" i="25"/>
  <c r="K95" i="25"/>
  <c r="J95" i="25"/>
  <c r="I95" i="25"/>
  <c r="H95" i="25"/>
  <c r="G95" i="25"/>
  <c r="F95" i="25"/>
  <c r="E95" i="25"/>
  <c r="D95" i="25"/>
  <c r="C95" i="25"/>
  <c r="B95" i="25"/>
  <c r="A95" i="25"/>
  <c r="L94" i="25"/>
  <c r="K94" i="25"/>
  <c r="J94" i="25"/>
  <c r="I94" i="25"/>
  <c r="H94" i="25"/>
  <c r="G94" i="25"/>
  <c r="F94" i="25"/>
  <c r="E94" i="25"/>
  <c r="D94" i="25"/>
  <c r="C94" i="25"/>
  <c r="B94" i="25"/>
  <c r="A94" i="25"/>
  <c r="L93" i="25"/>
  <c r="K93" i="25"/>
  <c r="J93" i="25"/>
  <c r="I93" i="25"/>
  <c r="H93" i="25"/>
  <c r="G93" i="25"/>
  <c r="F93" i="25"/>
  <c r="E93" i="25"/>
  <c r="D93" i="25"/>
  <c r="C93" i="25"/>
  <c r="B93" i="25"/>
  <c r="A93" i="25"/>
  <c r="L92" i="25"/>
  <c r="K92" i="25"/>
  <c r="J92" i="25"/>
  <c r="I92" i="25"/>
  <c r="H92" i="25"/>
  <c r="G92" i="25"/>
  <c r="F92" i="25"/>
  <c r="E92" i="25"/>
  <c r="D92" i="25"/>
  <c r="C92" i="25"/>
  <c r="B92" i="25"/>
  <c r="A92" i="25"/>
  <c r="L91" i="25"/>
  <c r="K91" i="25"/>
  <c r="J91" i="25"/>
  <c r="I91" i="25"/>
  <c r="H91" i="25"/>
  <c r="G91" i="25"/>
  <c r="F91" i="25"/>
  <c r="E91" i="25"/>
  <c r="D91" i="25"/>
  <c r="C91" i="25"/>
  <c r="B91" i="25"/>
  <c r="A91" i="25"/>
  <c r="L90" i="25"/>
  <c r="K90" i="25"/>
  <c r="J90" i="25"/>
  <c r="I90" i="25"/>
  <c r="H90" i="25"/>
  <c r="G90" i="25"/>
  <c r="F90" i="25"/>
  <c r="E90" i="25"/>
  <c r="D90" i="25"/>
  <c r="C90" i="25"/>
  <c r="B90" i="25"/>
  <c r="A90" i="25"/>
  <c r="L89" i="25"/>
  <c r="K89" i="25"/>
  <c r="J89" i="25"/>
  <c r="I89" i="25"/>
  <c r="H89" i="25"/>
  <c r="G89" i="25"/>
  <c r="F89" i="25"/>
  <c r="E89" i="25"/>
  <c r="D89" i="25"/>
  <c r="C89" i="25"/>
  <c r="B89" i="25"/>
  <c r="A89" i="25"/>
  <c r="L88" i="25"/>
  <c r="K88" i="25"/>
  <c r="J88" i="25"/>
  <c r="I88" i="25"/>
  <c r="H88" i="25"/>
  <c r="G88" i="25"/>
  <c r="F88" i="25"/>
  <c r="E88" i="25"/>
  <c r="D88" i="25"/>
  <c r="C88" i="25"/>
  <c r="B88" i="25"/>
  <c r="A88" i="25"/>
  <c r="L87" i="25"/>
  <c r="K87" i="25"/>
  <c r="J87" i="25"/>
  <c r="I87" i="25"/>
  <c r="H87" i="25"/>
  <c r="G87" i="25"/>
  <c r="F87" i="25"/>
  <c r="E87" i="25"/>
  <c r="D87" i="25"/>
  <c r="C87" i="25"/>
  <c r="B87" i="25"/>
  <c r="A87" i="25"/>
  <c r="L86" i="25"/>
  <c r="K86" i="25"/>
  <c r="J86" i="25"/>
  <c r="I86" i="25"/>
  <c r="H86" i="25"/>
  <c r="G86" i="25"/>
  <c r="F86" i="25"/>
  <c r="E86" i="25"/>
  <c r="D86" i="25"/>
  <c r="C86" i="25"/>
  <c r="B86" i="25"/>
  <c r="A86" i="25"/>
  <c r="L85" i="25"/>
  <c r="K85" i="25"/>
  <c r="J85" i="25"/>
  <c r="I85" i="25"/>
  <c r="H85" i="25"/>
  <c r="G85" i="25"/>
  <c r="F85" i="25"/>
  <c r="E85" i="25"/>
  <c r="D85" i="25"/>
  <c r="C85" i="25"/>
  <c r="B85" i="25"/>
  <c r="A85" i="25"/>
  <c r="L84" i="25"/>
  <c r="K84" i="25"/>
  <c r="J84" i="25"/>
  <c r="I84" i="25"/>
  <c r="H84" i="25"/>
  <c r="G84" i="25"/>
  <c r="F84" i="25"/>
  <c r="E84" i="25"/>
  <c r="D84" i="25"/>
  <c r="C84" i="25"/>
  <c r="B84" i="25"/>
  <c r="A84" i="25"/>
  <c r="L83" i="25"/>
  <c r="K83" i="25"/>
  <c r="J83" i="25"/>
  <c r="I83" i="25"/>
  <c r="H83" i="25"/>
  <c r="G83" i="25"/>
  <c r="F83" i="25"/>
  <c r="E83" i="25"/>
  <c r="D83" i="25"/>
  <c r="C83" i="25"/>
  <c r="B83" i="25"/>
  <c r="A83" i="25"/>
  <c r="L82" i="25"/>
  <c r="K82" i="25"/>
  <c r="J82" i="25"/>
  <c r="I82" i="25"/>
  <c r="H82" i="25"/>
  <c r="G82" i="25"/>
  <c r="F82" i="25"/>
  <c r="E82" i="25"/>
  <c r="D82" i="25"/>
  <c r="C82" i="25"/>
  <c r="B82" i="25"/>
  <c r="A82" i="25"/>
  <c r="L81" i="25"/>
  <c r="K81" i="25"/>
  <c r="J81" i="25"/>
  <c r="I81" i="25"/>
  <c r="H81" i="25"/>
  <c r="G81" i="25"/>
  <c r="F81" i="25"/>
  <c r="E81" i="25"/>
  <c r="D81" i="25"/>
  <c r="C81" i="25"/>
  <c r="B81" i="25"/>
  <c r="A81" i="25"/>
  <c r="L80" i="25"/>
  <c r="K80" i="25"/>
  <c r="J80" i="25"/>
  <c r="I80" i="25"/>
  <c r="H80" i="25"/>
  <c r="G80" i="25"/>
  <c r="F80" i="25"/>
  <c r="E80" i="25"/>
  <c r="D80" i="25"/>
  <c r="C80" i="25"/>
  <c r="B80" i="25"/>
  <c r="A80" i="25"/>
  <c r="L79" i="25"/>
  <c r="K79" i="25"/>
  <c r="J79" i="25"/>
  <c r="I79" i="25"/>
  <c r="H79" i="25"/>
  <c r="G79" i="25"/>
  <c r="F79" i="25"/>
  <c r="E79" i="25"/>
  <c r="D79" i="25"/>
  <c r="C79" i="25"/>
  <c r="B79" i="25"/>
  <c r="A79" i="25"/>
  <c r="L78" i="25"/>
  <c r="K78" i="25"/>
  <c r="J78" i="25"/>
  <c r="I78" i="25"/>
  <c r="H78" i="25"/>
  <c r="G78" i="25"/>
  <c r="F78" i="25"/>
  <c r="E78" i="25"/>
  <c r="D78" i="25"/>
  <c r="C78" i="25"/>
  <c r="B78" i="25"/>
  <c r="A78" i="25"/>
  <c r="L77" i="25"/>
  <c r="K77" i="25"/>
  <c r="J77" i="25"/>
  <c r="I77" i="25"/>
  <c r="H77" i="25"/>
  <c r="G77" i="25"/>
  <c r="F77" i="25"/>
  <c r="E77" i="25"/>
  <c r="D77" i="25"/>
  <c r="C77" i="25"/>
  <c r="B77" i="25"/>
  <c r="A77" i="25"/>
  <c r="L76" i="25"/>
  <c r="K76" i="25"/>
  <c r="J76" i="25"/>
  <c r="I76" i="25"/>
  <c r="H76" i="25"/>
  <c r="G76" i="25"/>
  <c r="F76" i="25"/>
  <c r="E76" i="25"/>
  <c r="D76" i="25"/>
  <c r="C76" i="25"/>
  <c r="B76" i="25"/>
  <c r="A76" i="25"/>
  <c r="L75" i="25"/>
  <c r="K75" i="25"/>
  <c r="J75" i="25"/>
  <c r="I75" i="25"/>
  <c r="H75" i="25"/>
  <c r="G75" i="25"/>
  <c r="F75" i="25"/>
  <c r="E75" i="25"/>
  <c r="D75" i="25"/>
  <c r="C75" i="25"/>
  <c r="B75" i="25"/>
  <c r="A75" i="25"/>
  <c r="L74" i="25"/>
  <c r="K74" i="25"/>
  <c r="J74" i="25"/>
  <c r="I74" i="25"/>
  <c r="H74" i="25"/>
  <c r="G74" i="25"/>
  <c r="F74" i="25"/>
  <c r="E74" i="25"/>
  <c r="D74" i="25"/>
  <c r="C74" i="25"/>
  <c r="B74" i="25"/>
  <c r="A74" i="25"/>
  <c r="L73" i="25"/>
  <c r="K73" i="25"/>
  <c r="J73" i="25"/>
  <c r="I73" i="25"/>
  <c r="H73" i="25"/>
  <c r="G73" i="25"/>
  <c r="F73" i="25"/>
  <c r="E73" i="25"/>
  <c r="D73" i="25"/>
  <c r="C73" i="25"/>
  <c r="B73" i="25"/>
  <c r="A73" i="25"/>
  <c r="L72" i="25"/>
  <c r="K72" i="25"/>
  <c r="J72" i="25"/>
  <c r="I72" i="25"/>
  <c r="H72" i="25"/>
  <c r="G72" i="25"/>
  <c r="F72" i="25"/>
  <c r="E72" i="25"/>
  <c r="D72" i="25"/>
  <c r="C72" i="25"/>
  <c r="B72" i="25"/>
  <c r="A72" i="25"/>
  <c r="L71" i="25"/>
  <c r="K71" i="25"/>
  <c r="J71" i="25"/>
  <c r="I71" i="25"/>
  <c r="H71" i="25"/>
  <c r="G71" i="25"/>
  <c r="F71" i="25"/>
  <c r="E71" i="25"/>
  <c r="D71" i="25"/>
  <c r="C71" i="25"/>
  <c r="B71" i="25"/>
  <c r="A71" i="25"/>
  <c r="L70" i="25"/>
  <c r="K70" i="25"/>
  <c r="J70" i="25"/>
  <c r="I70" i="25"/>
  <c r="H70" i="25"/>
  <c r="G70" i="25"/>
  <c r="F70" i="25"/>
  <c r="E70" i="25"/>
  <c r="D70" i="25"/>
  <c r="C70" i="25"/>
  <c r="B70" i="25"/>
  <c r="A70" i="25"/>
  <c r="L69" i="25"/>
  <c r="K69" i="25"/>
  <c r="J69" i="25"/>
  <c r="I69" i="25"/>
  <c r="H69" i="25"/>
  <c r="G69" i="25"/>
  <c r="F69" i="25"/>
  <c r="E69" i="25"/>
  <c r="D69" i="25"/>
  <c r="C69" i="25"/>
  <c r="B69" i="25"/>
  <c r="A69" i="25"/>
  <c r="L68" i="25"/>
  <c r="K68" i="25"/>
  <c r="J68" i="25"/>
  <c r="I68" i="25"/>
  <c r="H68" i="25"/>
  <c r="G68" i="25"/>
  <c r="F68" i="25"/>
  <c r="E68" i="25"/>
  <c r="D68" i="25"/>
  <c r="C68" i="25"/>
  <c r="B68" i="25"/>
  <c r="A68" i="25"/>
  <c r="L67" i="25"/>
  <c r="K67" i="25"/>
  <c r="J67" i="25"/>
  <c r="I67" i="25"/>
  <c r="H67" i="25"/>
  <c r="G67" i="25"/>
  <c r="F67" i="25"/>
  <c r="E67" i="25"/>
  <c r="D67" i="25"/>
  <c r="C67" i="25"/>
  <c r="B67" i="25"/>
  <c r="A67" i="25"/>
  <c r="L66" i="25"/>
  <c r="K66" i="25"/>
  <c r="J66" i="25"/>
  <c r="I66" i="25"/>
  <c r="H66" i="25"/>
  <c r="G66" i="25"/>
  <c r="F66" i="25"/>
  <c r="E66" i="25"/>
  <c r="D66" i="25"/>
  <c r="C66" i="25"/>
  <c r="B66" i="25"/>
  <c r="A66" i="25"/>
  <c r="L65" i="25"/>
  <c r="K65" i="25"/>
  <c r="J65" i="25"/>
  <c r="I65" i="25"/>
  <c r="H65" i="25"/>
  <c r="G65" i="25"/>
  <c r="F65" i="25"/>
  <c r="E65" i="25"/>
  <c r="D65" i="25"/>
  <c r="C65" i="25"/>
  <c r="B65" i="25"/>
  <c r="A65" i="25"/>
  <c r="L64" i="25"/>
  <c r="K64" i="25"/>
  <c r="J64" i="25"/>
  <c r="I64" i="25"/>
  <c r="H64" i="25"/>
  <c r="G64" i="25"/>
  <c r="F64" i="25"/>
  <c r="E64" i="25"/>
  <c r="D64" i="25"/>
  <c r="C64" i="25"/>
  <c r="B64" i="25"/>
  <c r="A64" i="25"/>
  <c r="L63" i="25"/>
  <c r="K63" i="25"/>
  <c r="J63" i="25"/>
  <c r="I63" i="25"/>
  <c r="H63" i="25"/>
  <c r="G63" i="25"/>
  <c r="F63" i="25"/>
  <c r="E63" i="25"/>
  <c r="D63" i="25"/>
  <c r="C63" i="25"/>
  <c r="B63" i="25"/>
  <c r="A63" i="25"/>
  <c r="L62" i="25"/>
  <c r="K62" i="25"/>
  <c r="J62" i="25"/>
  <c r="I62" i="25"/>
  <c r="H62" i="25"/>
  <c r="G62" i="25"/>
  <c r="F62" i="25"/>
  <c r="E62" i="25"/>
  <c r="D62" i="25"/>
  <c r="C62" i="25"/>
  <c r="B62" i="25"/>
  <c r="A62" i="25"/>
  <c r="L61" i="25"/>
  <c r="K61" i="25"/>
  <c r="J61" i="25"/>
  <c r="I61" i="25"/>
  <c r="H61" i="25"/>
  <c r="G61" i="25"/>
  <c r="F61" i="25"/>
  <c r="E61" i="25"/>
  <c r="D61" i="25"/>
  <c r="C61" i="25"/>
  <c r="B61" i="25"/>
  <c r="A61" i="25"/>
  <c r="L60" i="25"/>
  <c r="K60" i="25"/>
  <c r="J60" i="25"/>
  <c r="I60" i="25"/>
  <c r="H60" i="25"/>
  <c r="G60" i="25"/>
  <c r="F60" i="25"/>
  <c r="E60" i="25"/>
  <c r="D60" i="25"/>
  <c r="C60" i="25"/>
  <c r="B60" i="25"/>
  <c r="A60" i="25"/>
  <c r="L59" i="25"/>
  <c r="K59" i="25"/>
  <c r="J59" i="25"/>
  <c r="I59" i="25"/>
  <c r="H59" i="25"/>
  <c r="G59" i="25"/>
  <c r="F59" i="25"/>
  <c r="E59" i="25"/>
  <c r="D59" i="25"/>
  <c r="C59" i="25"/>
  <c r="B59" i="25"/>
  <c r="A59" i="25"/>
  <c r="L58" i="25"/>
  <c r="K58" i="25"/>
  <c r="J58" i="25"/>
  <c r="I58" i="25"/>
  <c r="H58" i="25"/>
  <c r="G58" i="25"/>
  <c r="F58" i="25"/>
  <c r="E58" i="25"/>
  <c r="D58" i="25"/>
  <c r="C58" i="25"/>
  <c r="B58" i="25"/>
  <c r="A58" i="25"/>
  <c r="L57" i="25"/>
  <c r="K57" i="25"/>
  <c r="J57" i="25"/>
  <c r="I57" i="25"/>
  <c r="H57" i="25"/>
  <c r="G57" i="25"/>
  <c r="F57" i="25"/>
  <c r="E57" i="25"/>
  <c r="D57" i="25"/>
  <c r="C57" i="25"/>
  <c r="B57" i="25"/>
  <c r="A57" i="25"/>
  <c r="L56" i="25"/>
  <c r="K56" i="25"/>
  <c r="J56" i="25"/>
  <c r="I56" i="25"/>
  <c r="H56" i="25"/>
  <c r="G56" i="25"/>
  <c r="F56" i="25"/>
  <c r="E56" i="25"/>
  <c r="D56" i="25"/>
  <c r="C56" i="25"/>
  <c r="B56" i="25"/>
  <c r="A56" i="25"/>
  <c r="L55" i="25"/>
  <c r="K55" i="25"/>
  <c r="J55" i="25"/>
  <c r="I55" i="25"/>
  <c r="H55" i="25"/>
  <c r="G55" i="25"/>
  <c r="F55" i="25"/>
  <c r="E55" i="25"/>
  <c r="D55" i="25"/>
  <c r="C55" i="25"/>
  <c r="B55" i="25"/>
  <c r="A55" i="25"/>
  <c r="L54" i="25"/>
  <c r="K54" i="25"/>
  <c r="J54" i="25"/>
  <c r="I54" i="25"/>
  <c r="H54" i="25"/>
  <c r="G54" i="25"/>
  <c r="F54" i="25"/>
  <c r="E54" i="25"/>
  <c r="D54" i="25"/>
  <c r="C54" i="25"/>
  <c r="B54" i="25"/>
  <c r="A54" i="25"/>
  <c r="L53" i="25"/>
  <c r="K53" i="25"/>
  <c r="J53" i="25"/>
  <c r="I53" i="25"/>
  <c r="H53" i="25"/>
  <c r="G53" i="25"/>
  <c r="F53" i="25"/>
  <c r="E53" i="25"/>
  <c r="D53" i="25"/>
  <c r="C53" i="25"/>
  <c r="B53" i="25"/>
  <c r="A53" i="25"/>
  <c r="L52" i="25"/>
  <c r="K52" i="25"/>
  <c r="J52" i="25"/>
  <c r="I52" i="25"/>
  <c r="H52" i="25"/>
  <c r="G52" i="25"/>
  <c r="F52" i="25"/>
  <c r="E52" i="25"/>
  <c r="D52" i="25"/>
  <c r="C52" i="25"/>
  <c r="B52" i="25"/>
  <c r="A52" i="25"/>
  <c r="L51" i="25"/>
  <c r="K51" i="25"/>
  <c r="J51" i="25"/>
  <c r="I51" i="25"/>
  <c r="H51" i="25"/>
  <c r="G51" i="25"/>
  <c r="F51" i="25"/>
  <c r="E51" i="25"/>
  <c r="D51" i="25"/>
  <c r="C51" i="25"/>
  <c r="B51" i="25"/>
  <c r="A51" i="25"/>
  <c r="L50" i="25"/>
  <c r="K50" i="25"/>
  <c r="J50" i="25"/>
  <c r="I50" i="25"/>
  <c r="H50" i="25"/>
  <c r="G50" i="25"/>
  <c r="F50" i="25"/>
  <c r="E50" i="25"/>
  <c r="D50" i="25"/>
  <c r="C50" i="25"/>
  <c r="B50" i="25"/>
  <c r="A50" i="25"/>
  <c r="L49" i="25"/>
  <c r="K49" i="25"/>
  <c r="J49" i="25"/>
  <c r="I49" i="25"/>
  <c r="H49" i="25"/>
  <c r="G49" i="25"/>
  <c r="F49" i="25"/>
  <c r="E49" i="25"/>
  <c r="D49" i="25"/>
  <c r="C49" i="25"/>
  <c r="B49" i="25"/>
  <c r="A49" i="25"/>
  <c r="L48" i="25"/>
  <c r="K48" i="25"/>
  <c r="J48" i="25"/>
  <c r="I48" i="25"/>
  <c r="H48" i="25"/>
  <c r="G48" i="25"/>
  <c r="F48" i="25"/>
  <c r="E48" i="25"/>
  <c r="D48" i="25"/>
  <c r="C48" i="25"/>
  <c r="B48" i="25"/>
  <c r="A48" i="25"/>
  <c r="L47" i="25"/>
  <c r="K47" i="25"/>
  <c r="J47" i="25"/>
  <c r="I47" i="25"/>
  <c r="H47" i="25"/>
  <c r="G47" i="25"/>
  <c r="F47" i="25"/>
  <c r="E47" i="25"/>
  <c r="D47" i="25"/>
  <c r="C47" i="25"/>
  <c r="B47" i="25"/>
  <c r="A47" i="25"/>
  <c r="L46" i="25"/>
  <c r="K46" i="25"/>
  <c r="J46" i="25"/>
  <c r="I46" i="25"/>
  <c r="H46" i="25"/>
  <c r="G46" i="25"/>
  <c r="F46" i="25"/>
  <c r="E46" i="25"/>
  <c r="D46" i="25"/>
  <c r="C46" i="25"/>
  <c r="B46" i="25"/>
  <c r="A46" i="25"/>
  <c r="L45" i="25"/>
  <c r="K45" i="25"/>
  <c r="J45" i="25"/>
  <c r="I45" i="25"/>
  <c r="H45" i="25"/>
  <c r="G45" i="25"/>
  <c r="F45" i="25"/>
  <c r="E45" i="25"/>
  <c r="D45" i="25"/>
  <c r="C45" i="25"/>
  <c r="B45" i="25"/>
  <c r="A45" i="25"/>
  <c r="L44" i="25"/>
  <c r="K44" i="25"/>
  <c r="J44" i="25"/>
  <c r="I44" i="25"/>
  <c r="H44" i="25"/>
  <c r="G44" i="25"/>
  <c r="F44" i="25"/>
  <c r="E44" i="25"/>
  <c r="D44" i="25"/>
  <c r="C44" i="25"/>
  <c r="B44" i="25"/>
  <c r="A44" i="25"/>
  <c r="L43" i="25"/>
  <c r="K43" i="25"/>
  <c r="J43" i="25"/>
  <c r="I43" i="25"/>
  <c r="H43" i="25"/>
  <c r="G43" i="25"/>
  <c r="F43" i="25"/>
  <c r="E43" i="25"/>
  <c r="D43" i="25"/>
  <c r="C43" i="25"/>
  <c r="B43" i="25"/>
  <c r="A43" i="25"/>
  <c r="L42" i="25"/>
  <c r="K42" i="25"/>
  <c r="J42" i="25"/>
  <c r="I42" i="25"/>
  <c r="H42" i="25"/>
  <c r="G42" i="25"/>
  <c r="F42" i="25"/>
  <c r="E42" i="25"/>
  <c r="D42" i="25"/>
  <c r="C42" i="25"/>
  <c r="B42" i="25"/>
  <c r="A42" i="25"/>
  <c r="L41" i="25"/>
  <c r="K41" i="25"/>
  <c r="J41" i="25"/>
  <c r="I41" i="25"/>
  <c r="H41" i="25"/>
  <c r="G41" i="25"/>
  <c r="F41" i="25"/>
  <c r="E41" i="25"/>
  <c r="D41" i="25"/>
  <c r="C41" i="25"/>
  <c r="B41" i="25"/>
  <c r="A41" i="25"/>
  <c r="L40" i="25"/>
  <c r="K40" i="25"/>
  <c r="J40" i="25"/>
  <c r="I40" i="25"/>
  <c r="H40" i="25"/>
  <c r="G40" i="25"/>
  <c r="F40" i="25"/>
  <c r="E40" i="25"/>
  <c r="D40" i="25"/>
  <c r="C40" i="25"/>
  <c r="B40" i="25"/>
  <c r="A40" i="25"/>
  <c r="L39" i="25"/>
  <c r="K39" i="25"/>
  <c r="J39" i="25"/>
  <c r="I39" i="25"/>
  <c r="H39" i="25"/>
  <c r="G39" i="25"/>
  <c r="F39" i="25"/>
  <c r="E39" i="25"/>
  <c r="D39" i="25"/>
  <c r="C39" i="25"/>
  <c r="B39" i="25"/>
  <c r="A39" i="25"/>
  <c r="L38" i="25"/>
  <c r="K38" i="25"/>
  <c r="J38" i="25"/>
  <c r="I38" i="25"/>
  <c r="H38" i="25"/>
  <c r="G38" i="25"/>
  <c r="F38" i="25"/>
  <c r="E38" i="25"/>
  <c r="D38" i="25"/>
  <c r="C38" i="25"/>
  <c r="B38" i="25"/>
  <c r="A38" i="25"/>
  <c r="L37" i="25"/>
  <c r="K37" i="25"/>
  <c r="J37" i="25"/>
  <c r="I37" i="25"/>
  <c r="H37" i="25"/>
  <c r="G37" i="25"/>
  <c r="F37" i="25"/>
  <c r="E37" i="25"/>
  <c r="D37" i="25"/>
  <c r="C37" i="25"/>
  <c r="B37" i="25"/>
  <c r="A37" i="25"/>
  <c r="L36" i="25"/>
  <c r="K36" i="25"/>
  <c r="J36" i="25"/>
  <c r="I36" i="25"/>
  <c r="H36" i="25"/>
  <c r="G36" i="25"/>
  <c r="F36" i="25"/>
  <c r="E36" i="25"/>
  <c r="D36" i="25"/>
  <c r="C36" i="25"/>
  <c r="B36" i="25"/>
  <c r="A36" i="25"/>
  <c r="L35" i="25"/>
  <c r="K35" i="25"/>
  <c r="J35" i="25"/>
  <c r="I35" i="25"/>
  <c r="H35" i="25"/>
  <c r="G35" i="25"/>
  <c r="F35" i="25"/>
  <c r="E35" i="25"/>
  <c r="D35" i="25"/>
  <c r="C35" i="25"/>
  <c r="B35" i="25"/>
  <c r="A35" i="25"/>
  <c r="L34" i="25"/>
  <c r="K34" i="25"/>
  <c r="J34" i="25"/>
  <c r="I34" i="25"/>
  <c r="H34" i="25"/>
  <c r="G34" i="25"/>
  <c r="F34" i="25"/>
  <c r="E34" i="25"/>
  <c r="D34" i="25"/>
  <c r="C34" i="25"/>
  <c r="B34" i="25"/>
  <c r="A34" i="25"/>
  <c r="L33" i="25"/>
  <c r="K33" i="25"/>
  <c r="J33" i="25"/>
  <c r="I33" i="25"/>
  <c r="H33" i="25"/>
  <c r="G33" i="25"/>
  <c r="F33" i="25"/>
  <c r="E33" i="25"/>
  <c r="D33" i="25"/>
  <c r="C33" i="25"/>
  <c r="B33" i="25"/>
  <c r="A33" i="25"/>
  <c r="L32" i="25"/>
  <c r="K32" i="25"/>
  <c r="J32" i="25"/>
  <c r="I32" i="25"/>
  <c r="H32" i="25"/>
  <c r="G32" i="25"/>
  <c r="F32" i="25"/>
  <c r="E32" i="25"/>
  <c r="D32" i="25"/>
  <c r="C32" i="25"/>
  <c r="B32" i="25"/>
  <c r="A32" i="25"/>
  <c r="L31" i="25"/>
  <c r="K31" i="25"/>
  <c r="J31" i="25"/>
  <c r="I31" i="25"/>
  <c r="H31" i="25"/>
  <c r="G31" i="25"/>
  <c r="F31" i="25"/>
  <c r="E31" i="25"/>
  <c r="D31" i="25"/>
  <c r="C31" i="25"/>
  <c r="B31" i="25"/>
  <c r="A31" i="25"/>
  <c r="L30" i="25"/>
  <c r="K30" i="25"/>
  <c r="J30" i="25"/>
  <c r="I30" i="25"/>
  <c r="H30" i="25"/>
  <c r="G30" i="25"/>
  <c r="F30" i="25"/>
  <c r="E30" i="25"/>
  <c r="D30" i="25"/>
  <c r="C30" i="25"/>
  <c r="B30" i="25"/>
  <c r="A30" i="25"/>
  <c r="L29" i="25"/>
  <c r="K29" i="25"/>
  <c r="J29" i="25"/>
  <c r="I29" i="25"/>
  <c r="H29" i="25"/>
  <c r="G29" i="25"/>
  <c r="F29" i="25"/>
  <c r="E29" i="25"/>
  <c r="D29" i="25"/>
  <c r="C29" i="25"/>
  <c r="B29" i="25"/>
  <c r="A29" i="25"/>
  <c r="L28" i="25"/>
  <c r="K28" i="25"/>
  <c r="J28" i="25"/>
  <c r="I28" i="25"/>
  <c r="H28" i="25"/>
  <c r="G28" i="25"/>
  <c r="F28" i="25"/>
  <c r="E28" i="25"/>
  <c r="D28" i="25"/>
  <c r="C28" i="25"/>
  <c r="B28" i="25"/>
  <c r="A28" i="25"/>
  <c r="L27" i="25"/>
  <c r="K27" i="25"/>
  <c r="J27" i="25"/>
  <c r="I27" i="25"/>
  <c r="H27" i="25"/>
  <c r="G27" i="25"/>
  <c r="F27" i="25"/>
  <c r="E27" i="25"/>
  <c r="D27" i="25"/>
  <c r="C27" i="25"/>
  <c r="B27" i="25"/>
  <c r="A27" i="25"/>
  <c r="L26" i="25"/>
  <c r="K26" i="25"/>
  <c r="J26" i="25"/>
  <c r="I26" i="25"/>
  <c r="H26" i="25"/>
  <c r="G26" i="25"/>
  <c r="F26" i="25"/>
  <c r="E26" i="25"/>
  <c r="D26" i="25"/>
  <c r="C26" i="25"/>
  <c r="B26" i="25"/>
  <c r="A26" i="25"/>
  <c r="L25" i="25"/>
  <c r="K25" i="25"/>
  <c r="J25" i="25"/>
  <c r="I25" i="25"/>
  <c r="H25" i="25"/>
  <c r="G25" i="25"/>
  <c r="F25" i="25"/>
  <c r="E25" i="25"/>
  <c r="D25" i="25"/>
  <c r="C25" i="25"/>
  <c r="B25" i="25"/>
  <c r="A25" i="25"/>
  <c r="L24" i="25"/>
  <c r="K24" i="25"/>
  <c r="J24" i="25"/>
  <c r="I24" i="25"/>
  <c r="H24" i="25"/>
  <c r="G24" i="25"/>
  <c r="F24" i="25"/>
  <c r="E24" i="25"/>
  <c r="D24" i="25"/>
  <c r="C24" i="25"/>
  <c r="B24" i="25"/>
  <c r="A24" i="25"/>
  <c r="L23" i="25"/>
  <c r="K23" i="25"/>
  <c r="J23" i="25"/>
  <c r="I23" i="25"/>
  <c r="H23" i="25"/>
  <c r="G23" i="25"/>
  <c r="F23" i="25"/>
  <c r="E23" i="25"/>
  <c r="D23" i="25"/>
  <c r="C23" i="25"/>
  <c r="B23" i="25"/>
  <c r="A23" i="25"/>
  <c r="L22" i="25"/>
  <c r="K22" i="25"/>
  <c r="J22" i="25"/>
  <c r="I22" i="25"/>
  <c r="H22" i="25"/>
  <c r="G22" i="25"/>
  <c r="F22" i="25"/>
  <c r="E22" i="25"/>
  <c r="D22" i="25"/>
  <c r="C22" i="25"/>
  <c r="B22" i="25"/>
  <c r="A22" i="25"/>
  <c r="L21" i="25"/>
  <c r="K21" i="25"/>
  <c r="J21" i="25"/>
  <c r="I21" i="25"/>
  <c r="H21" i="25"/>
  <c r="G21" i="25"/>
  <c r="F21" i="25"/>
  <c r="E21" i="25"/>
  <c r="D21" i="25"/>
  <c r="C21" i="25"/>
  <c r="B21" i="25"/>
  <c r="A21" i="25"/>
  <c r="L20" i="25"/>
  <c r="K20" i="25"/>
  <c r="J20" i="25"/>
  <c r="I20" i="25"/>
  <c r="H20" i="25"/>
  <c r="G20" i="25"/>
  <c r="F20" i="25"/>
  <c r="E20" i="25"/>
  <c r="D20" i="25"/>
  <c r="C20" i="25"/>
  <c r="B20" i="25"/>
  <c r="A20" i="25"/>
  <c r="L19" i="25"/>
  <c r="K19" i="25"/>
  <c r="J19" i="25"/>
  <c r="I19" i="25"/>
  <c r="H19" i="25"/>
  <c r="G19" i="25"/>
  <c r="F19" i="25"/>
  <c r="E19" i="25"/>
  <c r="D19" i="25"/>
  <c r="C19" i="25"/>
  <c r="B19" i="25"/>
  <c r="A19" i="25"/>
  <c r="L18" i="25"/>
  <c r="K18" i="25"/>
  <c r="J18" i="25"/>
  <c r="I18" i="25"/>
  <c r="H18" i="25"/>
  <c r="G18" i="25"/>
  <c r="F18" i="25"/>
  <c r="E18" i="25"/>
  <c r="D18" i="25"/>
  <c r="C18" i="25"/>
  <c r="B18" i="25"/>
  <c r="A18" i="25"/>
  <c r="L17" i="25"/>
  <c r="K17" i="25"/>
  <c r="J17" i="25"/>
  <c r="I17" i="25"/>
  <c r="H17" i="25"/>
  <c r="G17" i="25"/>
  <c r="F17" i="25"/>
  <c r="E17" i="25"/>
  <c r="D17" i="25"/>
  <c r="C17" i="25"/>
  <c r="B17" i="25"/>
  <c r="A17" i="25"/>
  <c r="L16" i="25"/>
  <c r="K16" i="25"/>
  <c r="J16" i="25"/>
  <c r="I16" i="25"/>
  <c r="H16" i="25"/>
  <c r="G16" i="25"/>
  <c r="F16" i="25"/>
  <c r="E16" i="25"/>
  <c r="D16" i="25"/>
  <c r="C16" i="25"/>
  <c r="B16" i="25"/>
  <c r="A16" i="25"/>
  <c r="L15" i="25"/>
  <c r="K15" i="25"/>
  <c r="J15" i="25"/>
  <c r="I15" i="25"/>
  <c r="H15" i="25"/>
  <c r="G15" i="25"/>
  <c r="F15" i="25"/>
  <c r="E15" i="25"/>
  <c r="D15" i="25"/>
  <c r="C15" i="25"/>
  <c r="B15" i="25"/>
  <c r="A15" i="25"/>
  <c r="L14" i="25"/>
  <c r="K14" i="25"/>
  <c r="J14" i="25"/>
  <c r="I14" i="25"/>
  <c r="H14" i="25"/>
  <c r="G14" i="25"/>
  <c r="F14" i="25"/>
  <c r="E14" i="25"/>
  <c r="D14" i="25"/>
  <c r="C14" i="25"/>
  <c r="B14" i="25"/>
  <c r="A14" i="25"/>
  <c r="L13" i="25"/>
  <c r="K13" i="25"/>
  <c r="J13" i="25"/>
  <c r="I13" i="25"/>
  <c r="H13" i="25"/>
  <c r="G13" i="25"/>
  <c r="F13" i="25"/>
  <c r="E13" i="25"/>
  <c r="D13" i="25"/>
  <c r="C13" i="25"/>
  <c r="B13" i="25"/>
  <c r="A13" i="25"/>
  <c r="L12" i="25"/>
  <c r="K12" i="25"/>
  <c r="J12" i="25"/>
  <c r="I12" i="25"/>
  <c r="H12" i="25"/>
  <c r="G12" i="25"/>
  <c r="F12" i="25"/>
  <c r="E12" i="25"/>
  <c r="D12" i="25"/>
  <c r="C12" i="25"/>
  <c r="B12" i="25"/>
  <c r="A12" i="25"/>
  <c r="L11" i="25"/>
  <c r="K11" i="25"/>
  <c r="J11" i="25"/>
  <c r="I11" i="25"/>
  <c r="H11" i="25"/>
  <c r="G11" i="25"/>
  <c r="F11" i="25"/>
  <c r="E11" i="25"/>
  <c r="D11" i="25"/>
  <c r="C11" i="25"/>
  <c r="B11" i="25"/>
  <c r="A11" i="25"/>
  <c r="L10" i="25"/>
  <c r="K10" i="25"/>
  <c r="J10" i="25"/>
  <c r="I10" i="25"/>
  <c r="H10" i="25"/>
  <c r="G10" i="25"/>
  <c r="F10" i="25"/>
  <c r="E10" i="25"/>
  <c r="D10" i="25"/>
  <c r="C10" i="25"/>
  <c r="B10" i="25"/>
  <c r="A10" i="25"/>
  <c r="L9" i="25"/>
  <c r="K9" i="25"/>
  <c r="J9" i="25"/>
  <c r="I9" i="25"/>
  <c r="H9" i="25"/>
  <c r="G9" i="25"/>
  <c r="F9" i="25"/>
  <c r="E9" i="25"/>
  <c r="D9" i="25"/>
  <c r="C9" i="25"/>
  <c r="B9" i="25"/>
  <c r="A9" i="25"/>
  <c r="L8" i="25"/>
  <c r="K8" i="25"/>
  <c r="J8" i="25"/>
  <c r="I8" i="25"/>
  <c r="H8" i="25"/>
  <c r="G8" i="25"/>
  <c r="F8" i="25"/>
  <c r="E8" i="25"/>
  <c r="D8" i="25"/>
  <c r="C8" i="25"/>
  <c r="B8" i="25"/>
  <c r="A8" i="25"/>
  <c r="L7" i="25"/>
  <c r="K7" i="25"/>
  <c r="J7" i="25"/>
  <c r="I7" i="25"/>
  <c r="H7" i="25"/>
  <c r="G7" i="25"/>
  <c r="F7" i="25"/>
  <c r="E7" i="25"/>
  <c r="D7" i="25"/>
  <c r="C7" i="25"/>
  <c r="B7" i="25"/>
  <c r="A7" i="25"/>
  <c r="L6" i="25"/>
  <c r="K6" i="25"/>
  <c r="J6" i="25"/>
  <c r="I6" i="25"/>
  <c r="H6" i="25"/>
  <c r="G6" i="25"/>
  <c r="F6" i="25"/>
  <c r="E6" i="25"/>
  <c r="D6" i="25"/>
  <c r="C6" i="25"/>
  <c r="B6" i="25"/>
  <c r="A6" i="25"/>
  <c r="L5" i="25"/>
  <c r="K5" i="25"/>
  <c r="J5" i="25"/>
  <c r="I5" i="25"/>
  <c r="H5" i="25"/>
  <c r="G5" i="25"/>
  <c r="F5" i="25"/>
  <c r="E5" i="25"/>
  <c r="D5" i="25"/>
  <c r="C5" i="25"/>
  <c r="B5" i="25"/>
  <c r="A5" i="25"/>
  <c r="L4" i="25"/>
  <c r="K4" i="25"/>
  <c r="J4" i="25"/>
  <c r="I4" i="25"/>
  <c r="H4" i="25"/>
  <c r="G4" i="25"/>
  <c r="F4" i="25"/>
  <c r="E4" i="25"/>
  <c r="D4" i="25"/>
  <c r="C4" i="25"/>
  <c r="B4" i="25"/>
  <c r="A4" i="25"/>
  <c r="L3" i="25"/>
  <c r="L2" i="25" s="1"/>
  <c r="K3" i="25"/>
  <c r="K2" i="25" s="1"/>
  <c r="J3" i="25"/>
  <c r="J2" i="25" s="1"/>
  <c r="I3" i="25"/>
  <c r="I2" i="25" s="1"/>
  <c r="H3" i="25"/>
  <c r="H2" i="25" s="1"/>
  <c r="G3" i="25"/>
  <c r="G1" i="25" s="1"/>
  <c r="F3" i="25"/>
  <c r="E3" i="25"/>
  <c r="E2" i="25" s="1"/>
  <c r="D3" i="25"/>
  <c r="D1" i="25" s="1"/>
  <c r="C3" i="25"/>
  <c r="C2" i="25" s="1"/>
  <c r="B3" i="25"/>
  <c r="B2" i="25" s="1"/>
  <c r="A3" i="25"/>
  <c r="A2" i="25" s="1"/>
  <c r="L1" i="25"/>
  <c r="L400" i="24"/>
  <c r="K400" i="24"/>
  <c r="J400" i="24"/>
  <c r="I400" i="24"/>
  <c r="H400" i="24"/>
  <c r="G400" i="24"/>
  <c r="F400" i="24"/>
  <c r="E400" i="24"/>
  <c r="D400" i="24"/>
  <c r="C400" i="24"/>
  <c r="B400" i="24"/>
  <c r="A400" i="24"/>
  <c r="L399" i="24"/>
  <c r="K399" i="24"/>
  <c r="J399" i="24"/>
  <c r="I399" i="24"/>
  <c r="H399" i="24"/>
  <c r="G399" i="24"/>
  <c r="F399" i="24"/>
  <c r="E399" i="24"/>
  <c r="D399" i="24"/>
  <c r="C399" i="24"/>
  <c r="B399" i="24"/>
  <c r="A399" i="24"/>
  <c r="L398" i="24"/>
  <c r="K398" i="24"/>
  <c r="J398" i="24"/>
  <c r="I398" i="24"/>
  <c r="H398" i="24"/>
  <c r="G398" i="24"/>
  <c r="F398" i="24"/>
  <c r="E398" i="24"/>
  <c r="D398" i="24"/>
  <c r="C398" i="24"/>
  <c r="B398" i="24"/>
  <c r="A398" i="24"/>
  <c r="L397" i="24"/>
  <c r="K397" i="24"/>
  <c r="J397" i="24"/>
  <c r="I397" i="24"/>
  <c r="H397" i="24"/>
  <c r="G397" i="24"/>
  <c r="F397" i="24"/>
  <c r="E397" i="24"/>
  <c r="D397" i="24"/>
  <c r="C397" i="24"/>
  <c r="B397" i="24"/>
  <c r="A397" i="24"/>
  <c r="L396" i="24"/>
  <c r="K396" i="24"/>
  <c r="J396" i="24"/>
  <c r="I396" i="24"/>
  <c r="H396" i="24"/>
  <c r="G396" i="24"/>
  <c r="F396" i="24"/>
  <c r="E396" i="24"/>
  <c r="D396" i="24"/>
  <c r="C396" i="24"/>
  <c r="B396" i="24"/>
  <c r="A396" i="24"/>
  <c r="L395" i="24"/>
  <c r="K395" i="24"/>
  <c r="J395" i="24"/>
  <c r="I395" i="24"/>
  <c r="H395" i="24"/>
  <c r="G395" i="24"/>
  <c r="F395" i="24"/>
  <c r="E395" i="24"/>
  <c r="D395" i="24"/>
  <c r="C395" i="24"/>
  <c r="B395" i="24"/>
  <c r="A395" i="24"/>
  <c r="L394" i="24"/>
  <c r="K394" i="24"/>
  <c r="J394" i="24"/>
  <c r="I394" i="24"/>
  <c r="H394" i="24"/>
  <c r="G394" i="24"/>
  <c r="F394" i="24"/>
  <c r="E394" i="24"/>
  <c r="D394" i="24"/>
  <c r="C394" i="24"/>
  <c r="B394" i="24"/>
  <c r="A394" i="24"/>
  <c r="L393" i="24"/>
  <c r="K393" i="24"/>
  <c r="J393" i="24"/>
  <c r="I393" i="24"/>
  <c r="H393" i="24"/>
  <c r="G393" i="24"/>
  <c r="F393" i="24"/>
  <c r="E393" i="24"/>
  <c r="D393" i="24"/>
  <c r="C393" i="24"/>
  <c r="B393" i="24"/>
  <c r="A393" i="24"/>
  <c r="L392" i="24"/>
  <c r="K392" i="24"/>
  <c r="J392" i="24"/>
  <c r="I392" i="24"/>
  <c r="H392" i="24"/>
  <c r="G392" i="24"/>
  <c r="F392" i="24"/>
  <c r="E392" i="24"/>
  <c r="D392" i="24"/>
  <c r="C392" i="24"/>
  <c r="B392" i="24"/>
  <c r="A392" i="24"/>
  <c r="L391" i="24"/>
  <c r="K391" i="24"/>
  <c r="J391" i="24"/>
  <c r="I391" i="24"/>
  <c r="H391" i="24"/>
  <c r="G391" i="24"/>
  <c r="F391" i="24"/>
  <c r="E391" i="24"/>
  <c r="D391" i="24"/>
  <c r="C391" i="24"/>
  <c r="B391" i="24"/>
  <c r="A391" i="24"/>
  <c r="L390" i="24"/>
  <c r="K390" i="24"/>
  <c r="J390" i="24"/>
  <c r="I390" i="24"/>
  <c r="H390" i="24"/>
  <c r="G390" i="24"/>
  <c r="F390" i="24"/>
  <c r="E390" i="24"/>
  <c r="D390" i="24"/>
  <c r="C390" i="24"/>
  <c r="B390" i="24"/>
  <c r="A390" i="24"/>
  <c r="L389" i="24"/>
  <c r="K389" i="24"/>
  <c r="J389" i="24"/>
  <c r="I389" i="24"/>
  <c r="H389" i="24"/>
  <c r="G389" i="24"/>
  <c r="F389" i="24"/>
  <c r="E389" i="24"/>
  <c r="D389" i="24"/>
  <c r="C389" i="24"/>
  <c r="B389" i="24"/>
  <c r="A389" i="24"/>
  <c r="L388" i="24"/>
  <c r="K388" i="24"/>
  <c r="J388" i="24"/>
  <c r="I388" i="24"/>
  <c r="H388" i="24"/>
  <c r="G388" i="24"/>
  <c r="F388" i="24"/>
  <c r="E388" i="24"/>
  <c r="D388" i="24"/>
  <c r="C388" i="24"/>
  <c r="B388" i="24"/>
  <c r="A388" i="24"/>
  <c r="L387" i="24"/>
  <c r="K387" i="24"/>
  <c r="J387" i="24"/>
  <c r="I387" i="24"/>
  <c r="H387" i="24"/>
  <c r="G387" i="24"/>
  <c r="F387" i="24"/>
  <c r="E387" i="24"/>
  <c r="D387" i="24"/>
  <c r="C387" i="24"/>
  <c r="B387" i="24"/>
  <c r="A387" i="24"/>
  <c r="L386" i="24"/>
  <c r="K386" i="24"/>
  <c r="J386" i="24"/>
  <c r="I386" i="24"/>
  <c r="H386" i="24"/>
  <c r="G386" i="24"/>
  <c r="F386" i="24"/>
  <c r="E386" i="24"/>
  <c r="D386" i="24"/>
  <c r="C386" i="24"/>
  <c r="B386" i="24"/>
  <c r="A386" i="24"/>
  <c r="L385" i="24"/>
  <c r="K385" i="24"/>
  <c r="J385" i="24"/>
  <c r="I385" i="24"/>
  <c r="H385" i="24"/>
  <c r="G385" i="24"/>
  <c r="F385" i="24"/>
  <c r="E385" i="24"/>
  <c r="D385" i="24"/>
  <c r="C385" i="24"/>
  <c r="B385" i="24"/>
  <c r="A385" i="24"/>
  <c r="L384" i="24"/>
  <c r="K384" i="24"/>
  <c r="J384" i="24"/>
  <c r="I384" i="24"/>
  <c r="H384" i="24"/>
  <c r="G384" i="24"/>
  <c r="F384" i="24"/>
  <c r="E384" i="24"/>
  <c r="D384" i="24"/>
  <c r="C384" i="24"/>
  <c r="B384" i="24"/>
  <c r="A384" i="24"/>
  <c r="L383" i="24"/>
  <c r="K383" i="24"/>
  <c r="J383" i="24"/>
  <c r="I383" i="24"/>
  <c r="H383" i="24"/>
  <c r="G383" i="24"/>
  <c r="F383" i="24"/>
  <c r="E383" i="24"/>
  <c r="D383" i="24"/>
  <c r="C383" i="24"/>
  <c r="B383" i="24"/>
  <c r="A383" i="24"/>
  <c r="L382" i="24"/>
  <c r="K382" i="24"/>
  <c r="J382" i="24"/>
  <c r="I382" i="24"/>
  <c r="H382" i="24"/>
  <c r="G382" i="24"/>
  <c r="F382" i="24"/>
  <c r="E382" i="24"/>
  <c r="D382" i="24"/>
  <c r="C382" i="24"/>
  <c r="B382" i="24"/>
  <c r="A382" i="24"/>
  <c r="L381" i="24"/>
  <c r="K381" i="24"/>
  <c r="J381" i="24"/>
  <c r="I381" i="24"/>
  <c r="H381" i="24"/>
  <c r="G381" i="24"/>
  <c r="F381" i="24"/>
  <c r="E381" i="24"/>
  <c r="D381" i="24"/>
  <c r="C381" i="24"/>
  <c r="B381" i="24"/>
  <c r="A381" i="24"/>
  <c r="L380" i="24"/>
  <c r="K380" i="24"/>
  <c r="J380" i="24"/>
  <c r="I380" i="24"/>
  <c r="H380" i="24"/>
  <c r="G380" i="24"/>
  <c r="F380" i="24"/>
  <c r="E380" i="24"/>
  <c r="D380" i="24"/>
  <c r="C380" i="24"/>
  <c r="B380" i="24"/>
  <c r="A380" i="24"/>
  <c r="L379" i="24"/>
  <c r="K379" i="24"/>
  <c r="J379" i="24"/>
  <c r="I379" i="24"/>
  <c r="H379" i="24"/>
  <c r="G379" i="24"/>
  <c r="F379" i="24"/>
  <c r="E379" i="24"/>
  <c r="D379" i="24"/>
  <c r="C379" i="24"/>
  <c r="B379" i="24"/>
  <c r="A379" i="24"/>
  <c r="L378" i="24"/>
  <c r="K378" i="24"/>
  <c r="J378" i="24"/>
  <c r="I378" i="24"/>
  <c r="H378" i="24"/>
  <c r="G378" i="24"/>
  <c r="F378" i="24"/>
  <c r="E378" i="24"/>
  <c r="D378" i="24"/>
  <c r="C378" i="24"/>
  <c r="B378" i="24"/>
  <c r="A378" i="24"/>
  <c r="L377" i="24"/>
  <c r="K377" i="24"/>
  <c r="J377" i="24"/>
  <c r="I377" i="24"/>
  <c r="H377" i="24"/>
  <c r="G377" i="24"/>
  <c r="F377" i="24"/>
  <c r="E377" i="24"/>
  <c r="D377" i="24"/>
  <c r="C377" i="24"/>
  <c r="B377" i="24"/>
  <c r="A377" i="24"/>
  <c r="L376" i="24"/>
  <c r="K376" i="24"/>
  <c r="J376" i="24"/>
  <c r="I376" i="24"/>
  <c r="H376" i="24"/>
  <c r="G376" i="24"/>
  <c r="F376" i="24"/>
  <c r="E376" i="24"/>
  <c r="D376" i="24"/>
  <c r="C376" i="24"/>
  <c r="B376" i="24"/>
  <c r="A376" i="24"/>
  <c r="L375" i="24"/>
  <c r="K375" i="24"/>
  <c r="J375" i="24"/>
  <c r="I375" i="24"/>
  <c r="H375" i="24"/>
  <c r="G375" i="24"/>
  <c r="F375" i="24"/>
  <c r="E375" i="24"/>
  <c r="D375" i="24"/>
  <c r="C375" i="24"/>
  <c r="B375" i="24"/>
  <c r="A375" i="24"/>
  <c r="L374" i="24"/>
  <c r="K374" i="24"/>
  <c r="J374" i="24"/>
  <c r="I374" i="24"/>
  <c r="H374" i="24"/>
  <c r="G374" i="24"/>
  <c r="F374" i="24"/>
  <c r="E374" i="24"/>
  <c r="D374" i="24"/>
  <c r="C374" i="24"/>
  <c r="B374" i="24"/>
  <c r="A374" i="24"/>
  <c r="L373" i="24"/>
  <c r="K373" i="24"/>
  <c r="J373" i="24"/>
  <c r="I373" i="24"/>
  <c r="H373" i="24"/>
  <c r="G373" i="24"/>
  <c r="F373" i="24"/>
  <c r="E373" i="24"/>
  <c r="D373" i="24"/>
  <c r="C373" i="24"/>
  <c r="B373" i="24"/>
  <c r="A373" i="24"/>
  <c r="L372" i="24"/>
  <c r="K372" i="24"/>
  <c r="J372" i="24"/>
  <c r="I372" i="24"/>
  <c r="H372" i="24"/>
  <c r="G372" i="24"/>
  <c r="F372" i="24"/>
  <c r="E372" i="24"/>
  <c r="D372" i="24"/>
  <c r="C372" i="24"/>
  <c r="B372" i="24"/>
  <c r="A372" i="24"/>
  <c r="L371" i="24"/>
  <c r="K371" i="24"/>
  <c r="J371" i="24"/>
  <c r="I371" i="24"/>
  <c r="H371" i="24"/>
  <c r="G371" i="24"/>
  <c r="F371" i="24"/>
  <c r="E371" i="24"/>
  <c r="D371" i="24"/>
  <c r="C371" i="24"/>
  <c r="B371" i="24"/>
  <c r="A371" i="24"/>
  <c r="L370" i="24"/>
  <c r="K370" i="24"/>
  <c r="J370" i="24"/>
  <c r="I370" i="24"/>
  <c r="H370" i="24"/>
  <c r="G370" i="24"/>
  <c r="F370" i="24"/>
  <c r="E370" i="24"/>
  <c r="D370" i="24"/>
  <c r="C370" i="24"/>
  <c r="B370" i="24"/>
  <c r="A370" i="24"/>
  <c r="L369" i="24"/>
  <c r="K369" i="24"/>
  <c r="J369" i="24"/>
  <c r="I369" i="24"/>
  <c r="H369" i="24"/>
  <c r="G369" i="24"/>
  <c r="F369" i="24"/>
  <c r="E369" i="24"/>
  <c r="D369" i="24"/>
  <c r="C369" i="24"/>
  <c r="B369" i="24"/>
  <c r="A369" i="24"/>
  <c r="L368" i="24"/>
  <c r="K368" i="24"/>
  <c r="J368" i="24"/>
  <c r="I368" i="24"/>
  <c r="H368" i="24"/>
  <c r="G368" i="24"/>
  <c r="F368" i="24"/>
  <c r="E368" i="24"/>
  <c r="D368" i="24"/>
  <c r="C368" i="24"/>
  <c r="B368" i="24"/>
  <c r="A368" i="24"/>
  <c r="L367" i="24"/>
  <c r="K367" i="24"/>
  <c r="J367" i="24"/>
  <c r="I367" i="24"/>
  <c r="H367" i="24"/>
  <c r="G367" i="24"/>
  <c r="F367" i="24"/>
  <c r="E367" i="24"/>
  <c r="D367" i="24"/>
  <c r="C367" i="24"/>
  <c r="B367" i="24"/>
  <c r="A367" i="24"/>
  <c r="L366" i="24"/>
  <c r="K366" i="24"/>
  <c r="J366" i="24"/>
  <c r="I366" i="24"/>
  <c r="H366" i="24"/>
  <c r="G366" i="24"/>
  <c r="F366" i="24"/>
  <c r="E366" i="24"/>
  <c r="D366" i="24"/>
  <c r="C366" i="24"/>
  <c r="B366" i="24"/>
  <c r="A366" i="24"/>
  <c r="L365" i="24"/>
  <c r="K365" i="24"/>
  <c r="J365" i="24"/>
  <c r="I365" i="24"/>
  <c r="H365" i="24"/>
  <c r="G365" i="24"/>
  <c r="F365" i="24"/>
  <c r="E365" i="24"/>
  <c r="D365" i="24"/>
  <c r="C365" i="24"/>
  <c r="B365" i="24"/>
  <c r="A365" i="24"/>
  <c r="L364" i="24"/>
  <c r="K364" i="24"/>
  <c r="J364" i="24"/>
  <c r="I364" i="24"/>
  <c r="H364" i="24"/>
  <c r="G364" i="24"/>
  <c r="F364" i="24"/>
  <c r="E364" i="24"/>
  <c r="D364" i="24"/>
  <c r="C364" i="24"/>
  <c r="B364" i="24"/>
  <c r="A364" i="24"/>
  <c r="L363" i="24"/>
  <c r="K363" i="24"/>
  <c r="J363" i="24"/>
  <c r="I363" i="24"/>
  <c r="H363" i="24"/>
  <c r="G363" i="24"/>
  <c r="F363" i="24"/>
  <c r="E363" i="24"/>
  <c r="D363" i="24"/>
  <c r="C363" i="24"/>
  <c r="B363" i="24"/>
  <c r="A363" i="24"/>
  <c r="L362" i="24"/>
  <c r="K362" i="24"/>
  <c r="J362" i="24"/>
  <c r="I362" i="24"/>
  <c r="H362" i="24"/>
  <c r="G362" i="24"/>
  <c r="F362" i="24"/>
  <c r="E362" i="24"/>
  <c r="D362" i="24"/>
  <c r="C362" i="24"/>
  <c r="B362" i="24"/>
  <c r="A362" i="24"/>
  <c r="L361" i="24"/>
  <c r="K361" i="24"/>
  <c r="J361" i="24"/>
  <c r="I361" i="24"/>
  <c r="H361" i="24"/>
  <c r="G361" i="24"/>
  <c r="F361" i="24"/>
  <c r="E361" i="24"/>
  <c r="D361" i="24"/>
  <c r="C361" i="24"/>
  <c r="B361" i="24"/>
  <c r="A361" i="24"/>
  <c r="L360" i="24"/>
  <c r="K360" i="24"/>
  <c r="J360" i="24"/>
  <c r="I360" i="24"/>
  <c r="H360" i="24"/>
  <c r="G360" i="24"/>
  <c r="F360" i="24"/>
  <c r="E360" i="24"/>
  <c r="D360" i="24"/>
  <c r="C360" i="24"/>
  <c r="B360" i="24"/>
  <c r="A360" i="24"/>
  <c r="L359" i="24"/>
  <c r="K359" i="24"/>
  <c r="J359" i="24"/>
  <c r="I359" i="24"/>
  <c r="H359" i="24"/>
  <c r="G359" i="24"/>
  <c r="F359" i="24"/>
  <c r="E359" i="24"/>
  <c r="D359" i="24"/>
  <c r="C359" i="24"/>
  <c r="B359" i="24"/>
  <c r="A359" i="24"/>
  <c r="L358" i="24"/>
  <c r="K358" i="24"/>
  <c r="J358" i="24"/>
  <c r="I358" i="24"/>
  <c r="H358" i="24"/>
  <c r="G358" i="24"/>
  <c r="F358" i="24"/>
  <c r="E358" i="24"/>
  <c r="D358" i="24"/>
  <c r="C358" i="24"/>
  <c r="B358" i="24"/>
  <c r="A358" i="24"/>
  <c r="L357" i="24"/>
  <c r="K357" i="24"/>
  <c r="J357" i="24"/>
  <c r="I357" i="24"/>
  <c r="H357" i="24"/>
  <c r="G357" i="24"/>
  <c r="F357" i="24"/>
  <c r="E357" i="24"/>
  <c r="D357" i="24"/>
  <c r="C357" i="24"/>
  <c r="B357" i="24"/>
  <c r="A357" i="24"/>
  <c r="L356" i="24"/>
  <c r="K356" i="24"/>
  <c r="J356" i="24"/>
  <c r="I356" i="24"/>
  <c r="H356" i="24"/>
  <c r="G356" i="24"/>
  <c r="F356" i="24"/>
  <c r="E356" i="24"/>
  <c r="D356" i="24"/>
  <c r="C356" i="24"/>
  <c r="B356" i="24"/>
  <c r="A356" i="24"/>
  <c r="L355" i="24"/>
  <c r="K355" i="24"/>
  <c r="J355" i="24"/>
  <c r="I355" i="24"/>
  <c r="H355" i="24"/>
  <c r="G355" i="24"/>
  <c r="F355" i="24"/>
  <c r="E355" i="24"/>
  <c r="D355" i="24"/>
  <c r="C355" i="24"/>
  <c r="B355" i="24"/>
  <c r="A355" i="24"/>
  <c r="L354" i="24"/>
  <c r="K354" i="24"/>
  <c r="J354" i="24"/>
  <c r="I354" i="24"/>
  <c r="H354" i="24"/>
  <c r="G354" i="24"/>
  <c r="F354" i="24"/>
  <c r="E354" i="24"/>
  <c r="D354" i="24"/>
  <c r="C354" i="24"/>
  <c r="B354" i="24"/>
  <c r="A354" i="24"/>
  <c r="L353" i="24"/>
  <c r="K353" i="24"/>
  <c r="J353" i="24"/>
  <c r="I353" i="24"/>
  <c r="H353" i="24"/>
  <c r="G353" i="24"/>
  <c r="F353" i="24"/>
  <c r="E353" i="24"/>
  <c r="D353" i="24"/>
  <c r="C353" i="24"/>
  <c r="B353" i="24"/>
  <c r="A353" i="24"/>
  <c r="L352" i="24"/>
  <c r="K352" i="24"/>
  <c r="J352" i="24"/>
  <c r="I352" i="24"/>
  <c r="H352" i="24"/>
  <c r="G352" i="24"/>
  <c r="F352" i="24"/>
  <c r="E352" i="24"/>
  <c r="D352" i="24"/>
  <c r="C352" i="24"/>
  <c r="B352" i="24"/>
  <c r="A352" i="24"/>
  <c r="L351" i="24"/>
  <c r="K351" i="24"/>
  <c r="J351" i="24"/>
  <c r="I351" i="24"/>
  <c r="H351" i="24"/>
  <c r="G351" i="24"/>
  <c r="F351" i="24"/>
  <c r="E351" i="24"/>
  <c r="D351" i="24"/>
  <c r="C351" i="24"/>
  <c r="B351" i="24"/>
  <c r="A351" i="24"/>
  <c r="L350" i="24"/>
  <c r="K350" i="24"/>
  <c r="J350" i="24"/>
  <c r="I350" i="24"/>
  <c r="H350" i="24"/>
  <c r="G350" i="24"/>
  <c r="F350" i="24"/>
  <c r="E350" i="24"/>
  <c r="D350" i="24"/>
  <c r="C350" i="24"/>
  <c r="B350" i="24"/>
  <c r="A350" i="24"/>
  <c r="L349" i="24"/>
  <c r="K349" i="24"/>
  <c r="J349" i="24"/>
  <c r="I349" i="24"/>
  <c r="H349" i="24"/>
  <c r="G349" i="24"/>
  <c r="F349" i="24"/>
  <c r="E349" i="24"/>
  <c r="D349" i="24"/>
  <c r="C349" i="24"/>
  <c r="B349" i="24"/>
  <c r="A349" i="24"/>
  <c r="L348" i="24"/>
  <c r="K348" i="24"/>
  <c r="J348" i="24"/>
  <c r="I348" i="24"/>
  <c r="H348" i="24"/>
  <c r="G348" i="24"/>
  <c r="F348" i="24"/>
  <c r="E348" i="24"/>
  <c r="D348" i="24"/>
  <c r="C348" i="24"/>
  <c r="B348" i="24"/>
  <c r="A348" i="24"/>
  <c r="L347" i="24"/>
  <c r="K347" i="24"/>
  <c r="J347" i="24"/>
  <c r="I347" i="24"/>
  <c r="H347" i="24"/>
  <c r="G347" i="24"/>
  <c r="F347" i="24"/>
  <c r="E347" i="24"/>
  <c r="D347" i="24"/>
  <c r="C347" i="24"/>
  <c r="B347" i="24"/>
  <c r="A347" i="24"/>
  <c r="L346" i="24"/>
  <c r="K346" i="24"/>
  <c r="J346" i="24"/>
  <c r="I346" i="24"/>
  <c r="H346" i="24"/>
  <c r="G346" i="24"/>
  <c r="F346" i="24"/>
  <c r="E346" i="24"/>
  <c r="D346" i="24"/>
  <c r="C346" i="24"/>
  <c r="B346" i="24"/>
  <c r="A346" i="24"/>
  <c r="L345" i="24"/>
  <c r="K345" i="24"/>
  <c r="J345" i="24"/>
  <c r="I345" i="24"/>
  <c r="H345" i="24"/>
  <c r="G345" i="24"/>
  <c r="F345" i="24"/>
  <c r="E345" i="24"/>
  <c r="D345" i="24"/>
  <c r="C345" i="24"/>
  <c r="B345" i="24"/>
  <c r="A345" i="24"/>
  <c r="L344" i="24"/>
  <c r="K344" i="24"/>
  <c r="J344" i="24"/>
  <c r="I344" i="24"/>
  <c r="H344" i="24"/>
  <c r="G344" i="24"/>
  <c r="F344" i="24"/>
  <c r="E344" i="24"/>
  <c r="D344" i="24"/>
  <c r="C344" i="24"/>
  <c r="B344" i="24"/>
  <c r="A344" i="24"/>
  <c r="L343" i="24"/>
  <c r="K343" i="24"/>
  <c r="J343" i="24"/>
  <c r="I343" i="24"/>
  <c r="H343" i="24"/>
  <c r="G343" i="24"/>
  <c r="F343" i="24"/>
  <c r="E343" i="24"/>
  <c r="D343" i="24"/>
  <c r="C343" i="24"/>
  <c r="B343" i="24"/>
  <c r="A343" i="24"/>
  <c r="L342" i="24"/>
  <c r="K342" i="24"/>
  <c r="J342" i="24"/>
  <c r="I342" i="24"/>
  <c r="H342" i="24"/>
  <c r="G342" i="24"/>
  <c r="F342" i="24"/>
  <c r="E342" i="24"/>
  <c r="D342" i="24"/>
  <c r="C342" i="24"/>
  <c r="B342" i="24"/>
  <c r="A342" i="24"/>
  <c r="L341" i="24"/>
  <c r="K341" i="24"/>
  <c r="J341" i="24"/>
  <c r="I341" i="24"/>
  <c r="H341" i="24"/>
  <c r="G341" i="24"/>
  <c r="F341" i="24"/>
  <c r="E341" i="24"/>
  <c r="D341" i="24"/>
  <c r="C341" i="24"/>
  <c r="B341" i="24"/>
  <c r="A341" i="24"/>
  <c r="L340" i="24"/>
  <c r="K340" i="24"/>
  <c r="J340" i="24"/>
  <c r="I340" i="24"/>
  <c r="H340" i="24"/>
  <c r="G340" i="24"/>
  <c r="F340" i="24"/>
  <c r="E340" i="24"/>
  <c r="D340" i="24"/>
  <c r="C340" i="24"/>
  <c r="B340" i="24"/>
  <c r="A340" i="24"/>
  <c r="L339" i="24"/>
  <c r="K339" i="24"/>
  <c r="J339" i="24"/>
  <c r="I339" i="24"/>
  <c r="H339" i="24"/>
  <c r="G339" i="24"/>
  <c r="F339" i="24"/>
  <c r="E339" i="24"/>
  <c r="D339" i="24"/>
  <c r="C339" i="24"/>
  <c r="B339" i="24"/>
  <c r="A339" i="24"/>
  <c r="L338" i="24"/>
  <c r="K338" i="24"/>
  <c r="J338" i="24"/>
  <c r="I338" i="24"/>
  <c r="H338" i="24"/>
  <c r="G338" i="24"/>
  <c r="F338" i="24"/>
  <c r="E338" i="24"/>
  <c r="D338" i="24"/>
  <c r="C338" i="24"/>
  <c r="B338" i="24"/>
  <c r="A338" i="24"/>
  <c r="L337" i="24"/>
  <c r="K337" i="24"/>
  <c r="J337" i="24"/>
  <c r="I337" i="24"/>
  <c r="H337" i="24"/>
  <c r="G337" i="24"/>
  <c r="F337" i="24"/>
  <c r="E337" i="24"/>
  <c r="D337" i="24"/>
  <c r="C337" i="24"/>
  <c r="B337" i="24"/>
  <c r="A337" i="24"/>
  <c r="L336" i="24"/>
  <c r="K336" i="24"/>
  <c r="J336" i="24"/>
  <c r="I336" i="24"/>
  <c r="H336" i="24"/>
  <c r="G336" i="24"/>
  <c r="F336" i="24"/>
  <c r="E336" i="24"/>
  <c r="D336" i="24"/>
  <c r="C336" i="24"/>
  <c r="B336" i="24"/>
  <c r="A336" i="24"/>
  <c r="L335" i="24"/>
  <c r="K335" i="24"/>
  <c r="J335" i="24"/>
  <c r="I335" i="24"/>
  <c r="H335" i="24"/>
  <c r="G335" i="24"/>
  <c r="F335" i="24"/>
  <c r="E335" i="24"/>
  <c r="D335" i="24"/>
  <c r="C335" i="24"/>
  <c r="B335" i="24"/>
  <c r="A335" i="24"/>
  <c r="L334" i="24"/>
  <c r="K334" i="24"/>
  <c r="J334" i="24"/>
  <c r="I334" i="24"/>
  <c r="H334" i="24"/>
  <c r="G334" i="24"/>
  <c r="F334" i="24"/>
  <c r="E334" i="24"/>
  <c r="D334" i="24"/>
  <c r="C334" i="24"/>
  <c r="B334" i="24"/>
  <c r="A334" i="24"/>
  <c r="L333" i="24"/>
  <c r="K333" i="24"/>
  <c r="J333" i="24"/>
  <c r="I333" i="24"/>
  <c r="H333" i="24"/>
  <c r="G333" i="24"/>
  <c r="F333" i="24"/>
  <c r="E333" i="24"/>
  <c r="D333" i="24"/>
  <c r="C333" i="24"/>
  <c r="B333" i="24"/>
  <c r="A333" i="24"/>
  <c r="L332" i="24"/>
  <c r="K332" i="24"/>
  <c r="J332" i="24"/>
  <c r="I332" i="24"/>
  <c r="H332" i="24"/>
  <c r="G332" i="24"/>
  <c r="F332" i="24"/>
  <c r="E332" i="24"/>
  <c r="D332" i="24"/>
  <c r="C332" i="24"/>
  <c r="B332" i="24"/>
  <c r="A332" i="24"/>
  <c r="L331" i="24"/>
  <c r="K331" i="24"/>
  <c r="J331" i="24"/>
  <c r="I331" i="24"/>
  <c r="H331" i="24"/>
  <c r="G331" i="24"/>
  <c r="F331" i="24"/>
  <c r="E331" i="24"/>
  <c r="D331" i="24"/>
  <c r="C331" i="24"/>
  <c r="B331" i="24"/>
  <c r="A331" i="24"/>
  <c r="L330" i="24"/>
  <c r="K330" i="24"/>
  <c r="J330" i="24"/>
  <c r="I330" i="24"/>
  <c r="H330" i="24"/>
  <c r="G330" i="24"/>
  <c r="F330" i="24"/>
  <c r="E330" i="24"/>
  <c r="D330" i="24"/>
  <c r="C330" i="24"/>
  <c r="B330" i="24"/>
  <c r="A330" i="24"/>
  <c r="L329" i="24"/>
  <c r="K329" i="24"/>
  <c r="J329" i="24"/>
  <c r="I329" i="24"/>
  <c r="H329" i="24"/>
  <c r="G329" i="24"/>
  <c r="F329" i="24"/>
  <c r="E329" i="24"/>
  <c r="D329" i="24"/>
  <c r="C329" i="24"/>
  <c r="B329" i="24"/>
  <c r="A329" i="24"/>
  <c r="L328" i="24"/>
  <c r="K328" i="24"/>
  <c r="J328" i="24"/>
  <c r="I328" i="24"/>
  <c r="H328" i="24"/>
  <c r="G328" i="24"/>
  <c r="F328" i="24"/>
  <c r="E328" i="24"/>
  <c r="D328" i="24"/>
  <c r="C328" i="24"/>
  <c r="B328" i="24"/>
  <c r="A328" i="24"/>
  <c r="L327" i="24"/>
  <c r="K327" i="24"/>
  <c r="J327" i="24"/>
  <c r="I327" i="24"/>
  <c r="H327" i="24"/>
  <c r="G327" i="24"/>
  <c r="F327" i="24"/>
  <c r="E327" i="24"/>
  <c r="D327" i="24"/>
  <c r="C327" i="24"/>
  <c r="B327" i="24"/>
  <c r="A327" i="24"/>
  <c r="L326" i="24"/>
  <c r="K326" i="24"/>
  <c r="J326" i="24"/>
  <c r="I326" i="24"/>
  <c r="H326" i="24"/>
  <c r="G326" i="24"/>
  <c r="F326" i="24"/>
  <c r="E326" i="24"/>
  <c r="D326" i="24"/>
  <c r="C326" i="24"/>
  <c r="B326" i="24"/>
  <c r="A326" i="24"/>
  <c r="L325" i="24"/>
  <c r="K325" i="24"/>
  <c r="J325" i="24"/>
  <c r="I325" i="24"/>
  <c r="H325" i="24"/>
  <c r="G325" i="24"/>
  <c r="F325" i="24"/>
  <c r="E325" i="24"/>
  <c r="D325" i="24"/>
  <c r="C325" i="24"/>
  <c r="B325" i="24"/>
  <c r="A325" i="24"/>
  <c r="L324" i="24"/>
  <c r="K324" i="24"/>
  <c r="J324" i="24"/>
  <c r="I324" i="24"/>
  <c r="H324" i="24"/>
  <c r="G324" i="24"/>
  <c r="F324" i="24"/>
  <c r="E324" i="24"/>
  <c r="D324" i="24"/>
  <c r="C324" i="24"/>
  <c r="B324" i="24"/>
  <c r="A324" i="24"/>
  <c r="L323" i="24"/>
  <c r="K323" i="24"/>
  <c r="J323" i="24"/>
  <c r="I323" i="24"/>
  <c r="H323" i="24"/>
  <c r="G323" i="24"/>
  <c r="F323" i="24"/>
  <c r="E323" i="24"/>
  <c r="D323" i="24"/>
  <c r="C323" i="24"/>
  <c r="B323" i="24"/>
  <c r="A323" i="24"/>
  <c r="L322" i="24"/>
  <c r="K322" i="24"/>
  <c r="J322" i="24"/>
  <c r="I322" i="24"/>
  <c r="H322" i="24"/>
  <c r="G322" i="24"/>
  <c r="F322" i="24"/>
  <c r="E322" i="24"/>
  <c r="D322" i="24"/>
  <c r="C322" i="24"/>
  <c r="B322" i="24"/>
  <c r="A322" i="24"/>
  <c r="L321" i="24"/>
  <c r="K321" i="24"/>
  <c r="J321" i="24"/>
  <c r="I321" i="24"/>
  <c r="H321" i="24"/>
  <c r="G321" i="24"/>
  <c r="F321" i="24"/>
  <c r="E321" i="24"/>
  <c r="D321" i="24"/>
  <c r="C321" i="24"/>
  <c r="B321" i="24"/>
  <c r="A321" i="24"/>
  <c r="L320" i="24"/>
  <c r="K320" i="24"/>
  <c r="J320" i="24"/>
  <c r="I320" i="24"/>
  <c r="H320" i="24"/>
  <c r="G320" i="24"/>
  <c r="F320" i="24"/>
  <c r="E320" i="24"/>
  <c r="D320" i="24"/>
  <c r="C320" i="24"/>
  <c r="B320" i="24"/>
  <c r="A320" i="24"/>
  <c r="L319" i="24"/>
  <c r="K319" i="24"/>
  <c r="J319" i="24"/>
  <c r="I319" i="24"/>
  <c r="H319" i="24"/>
  <c r="G319" i="24"/>
  <c r="F319" i="24"/>
  <c r="E319" i="24"/>
  <c r="D319" i="24"/>
  <c r="C319" i="24"/>
  <c r="B319" i="24"/>
  <c r="A319" i="24"/>
  <c r="L318" i="24"/>
  <c r="K318" i="24"/>
  <c r="J318" i="24"/>
  <c r="I318" i="24"/>
  <c r="H318" i="24"/>
  <c r="G318" i="24"/>
  <c r="F318" i="24"/>
  <c r="E318" i="24"/>
  <c r="D318" i="24"/>
  <c r="C318" i="24"/>
  <c r="B318" i="24"/>
  <c r="A318" i="24"/>
  <c r="L317" i="24"/>
  <c r="K317" i="24"/>
  <c r="J317" i="24"/>
  <c r="I317" i="24"/>
  <c r="H317" i="24"/>
  <c r="G317" i="24"/>
  <c r="F317" i="24"/>
  <c r="E317" i="24"/>
  <c r="D317" i="24"/>
  <c r="C317" i="24"/>
  <c r="B317" i="24"/>
  <c r="A317" i="24"/>
  <c r="L316" i="24"/>
  <c r="K316" i="24"/>
  <c r="J316" i="24"/>
  <c r="I316" i="24"/>
  <c r="H316" i="24"/>
  <c r="G316" i="24"/>
  <c r="F316" i="24"/>
  <c r="E316" i="24"/>
  <c r="D316" i="24"/>
  <c r="C316" i="24"/>
  <c r="B316" i="24"/>
  <c r="A316" i="24"/>
  <c r="L315" i="24"/>
  <c r="K315" i="24"/>
  <c r="J315" i="24"/>
  <c r="I315" i="24"/>
  <c r="H315" i="24"/>
  <c r="G315" i="24"/>
  <c r="F315" i="24"/>
  <c r="E315" i="24"/>
  <c r="D315" i="24"/>
  <c r="C315" i="24"/>
  <c r="B315" i="24"/>
  <c r="A315" i="24"/>
  <c r="L314" i="24"/>
  <c r="K314" i="24"/>
  <c r="J314" i="24"/>
  <c r="I314" i="24"/>
  <c r="H314" i="24"/>
  <c r="G314" i="24"/>
  <c r="F314" i="24"/>
  <c r="E314" i="24"/>
  <c r="D314" i="24"/>
  <c r="C314" i="24"/>
  <c r="B314" i="24"/>
  <c r="A314" i="24"/>
  <c r="L313" i="24"/>
  <c r="K313" i="24"/>
  <c r="J313" i="24"/>
  <c r="I313" i="24"/>
  <c r="H313" i="24"/>
  <c r="G313" i="24"/>
  <c r="F313" i="24"/>
  <c r="E313" i="24"/>
  <c r="D313" i="24"/>
  <c r="C313" i="24"/>
  <c r="B313" i="24"/>
  <c r="A313" i="24"/>
  <c r="L312" i="24"/>
  <c r="K312" i="24"/>
  <c r="J312" i="24"/>
  <c r="I312" i="24"/>
  <c r="H312" i="24"/>
  <c r="G312" i="24"/>
  <c r="F312" i="24"/>
  <c r="E312" i="24"/>
  <c r="D312" i="24"/>
  <c r="C312" i="24"/>
  <c r="B312" i="24"/>
  <c r="A312" i="24"/>
  <c r="L311" i="24"/>
  <c r="K311" i="24"/>
  <c r="J311" i="24"/>
  <c r="I311" i="24"/>
  <c r="H311" i="24"/>
  <c r="G311" i="24"/>
  <c r="F311" i="24"/>
  <c r="E311" i="24"/>
  <c r="D311" i="24"/>
  <c r="C311" i="24"/>
  <c r="B311" i="24"/>
  <c r="A311" i="24"/>
  <c r="L310" i="24"/>
  <c r="K310" i="24"/>
  <c r="J310" i="24"/>
  <c r="I310" i="24"/>
  <c r="H310" i="24"/>
  <c r="G310" i="24"/>
  <c r="F310" i="24"/>
  <c r="E310" i="24"/>
  <c r="D310" i="24"/>
  <c r="C310" i="24"/>
  <c r="B310" i="24"/>
  <c r="A310" i="24"/>
  <c r="L309" i="24"/>
  <c r="K309" i="24"/>
  <c r="J309" i="24"/>
  <c r="I309" i="24"/>
  <c r="H309" i="24"/>
  <c r="G309" i="24"/>
  <c r="F309" i="24"/>
  <c r="E309" i="24"/>
  <c r="D309" i="24"/>
  <c r="C309" i="24"/>
  <c r="B309" i="24"/>
  <c r="A309" i="24"/>
  <c r="L308" i="24"/>
  <c r="K308" i="24"/>
  <c r="J308" i="24"/>
  <c r="I308" i="24"/>
  <c r="H308" i="24"/>
  <c r="G308" i="24"/>
  <c r="F308" i="24"/>
  <c r="E308" i="24"/>
  <c r="D308" i="24"/>
  <c r="C308" i="24"/>
  <c r="B308" i="24"/>
  <c r="A308" i="24"/>
  <c r="L307" i="24"/>
  <c r="K307" i="24"/>
  <c r="J307" i="24"/>
  <c r="I307" i="24"/>
  <c r="H307" i="24"/>
  <c r="G307" i="24"/>
  <c r="F307" i="24"/>
  <c r="E307" i="24"/>
  <c r="D307" i="24"/>
  <c r="C307" i="24"/>
  <c r="B307" i="24"/>
  <c r="A307" i="24"/>
  <c r="L306" i="24"/>
  <c r="K306" i="24"/>
  <c r="J306" i="24"/>
  <c r="I306" i="24"/>
  <c r="H306" i="24"/>
  <c r="G306" i="24"/>
  <c r="F306" i="24"/>
  <c r="E306" i="24"/>
  <c r="D306" i="24"/>
  <c r="C306" i="24"/>
  <c r="B306" i="24"/>
  <c r="A306" i="24"/>
  <c r="L305" i="24"/>
  <c r="K305" i="24"/>
  <c r="J305" i="24"/>
  <c r="I305" i="24"/>
  <c r="H305" i="24"/>
  <c r="G305" i="24"/>
  <c r="F305" i="24"/>
  <c r="E305" i="24"/>
  <c r="D305" i="24"/>
  <c r="C305" i="24"/>
  <c r="B305" i="24"/>
  <c r="A305" i="24"/>
  <c r="L304" i="24"/>
  <c r="K304" i="24"/>
  <c r="J304" i="24"/>
  <c r="I304" i="24"/>
  <c r="H304" i="24"/>
  <c r="G304" i="24"/>
  <c r="F304" i="24"/>
  <c r="E304" i="24"/>
  <c r="D304" i="24"/>
  <c r="C304" i="24"/>
  <c r="B304" i="24"/>
  <c r="A304" i="24"/>
  <c r="L303" i="24"/>
  <c r="K303" i="24"/>
  <c r="J303" i="24"/>
  <c r="I303" i="24"/>
  <c r="H303" i="24"/>
  <c r="G303" i="24"/>
  <c r="F303" i="24"/>
  <c r="E303" i="24"/>
  <c r="D303" i="24"/>
  <c r="C303" i="24"/>
  <c r="B303" i="24"/>
  <c r="A303" i="24"/>
  <c r="L302" i="24"/>
  <c r="K302" i="24"/>
  <c r="J302" i="24"/>
  <c r="I302" i="24"/>
  <c r="H302" i="24"/>
  <c r="G302" i="24"/>
  <c r="F302" i="24"/>
  <c r="E302" i="24"/>
  <c r="D302" i="24"/>
  <c r="C302" i="24"/>
  <c r="B302" i="24"/>
  <c r="A302" i="24"/>
  <c r="L301" i="24"/>
  <c r="K301" i="24"/>
  <c r="J301" i="24"/>
  <c r="I301" i="24"/>
  <c r="H301" i="24"/>
  <c r="G301" i="24"/>
  <c r="F301" i="24"/>
  <c r="E301" i="24"/>
  <c r="D301" i="24"/>
  <c r="C301" i="24"/>
  <c r="B301" i="24"/>
  <c r="A301" i="24"/>
  <c r="L300" i="24"/>
  <c r="K300" i="24"/>
  <c r="J300" i="24"/>
  <c r="I300" i="24"/>
  <c r="H300" i="24"/>
  <c r="G300" i="24"/>
  <c r="F300" i="24"/>
  <c r="E300" i="24"/>
  <c r="D300" i="24"/>
  <c r="C300" i="24"/>
  <c r="B300" i="24"/>
  <c r="A300" i="24"/>
  <c r="L299" i="24"/>
  <c r="K299" i="24"/>
  <c r="J299" i="24"/>
  <c r="I299" i="24"/>
  <c r="H299" i="24"/>
  <c r="G299" i="24"/>
  <c r="F299" i="24"/>
  <c r="E299" i="24"/>
  <c r="D299" i="24"/>
  <c r="C299" i="24"/>
  <c r="B299" i="24"/>
  <c r="A299" i="24"/>
  <c r="L298" i="24"/>
  <c r="K298" i="24"/>
  <c r="J298" i="24"/>
  <c r="I298" i="24"/>
  <c r="H298" i="24"/>
  <c r="G298" i="24"/>
  <c r="F298" i="24"/>
  <c r="E298" i="24"/>
  <c r="D298" i="24"/>
  <c r="C298" i="24"/>
  <c r="B298" i="24"/>
  <c r="A298" i="24"/>
  <c r="L297" i="24"/>
  <c r="K297" i="24"/>
  <c r="J297" i="24"/>
  <c r="I297" i="24"/>
  <c r="H297" i="24"/>
  <c r="G297" i="24"/>
  <c r="F297" i="24"/>
  <c r="E297" i="24"/>
  <c r="D297" i="24"/>
  <c r="C297" i="24"/>
  <c r="B297" i="24"/>
  <c r="A297" i="24"/>
  <c r="L296" i="24"/>
  <c r="K296" i="24"/>
  <c r="J296" i="24"/>
  <c r="I296" i="24"/>
  <c r="H296" i="24"/>
  <c r="G296" i="24"/>
  <c r="F296" i="24"/>
  <c r="E296" i="24"/>
  <c r="D296" i="24"/>
  <c r="C296" i="24"/>
  <c r="B296" i="24"/>
  <c r="A296" i="24"/>
  <c r="L295" i="24"/>
  <c r="K295" i="24"/>
  <c r="J295" i="24"/>
  <c r="I295" i="24"/>
  <c r="H295" i="24"/>
  <c r="G295" i="24"/>
  <c r="F295" i="24"/>
  <c r="E295" i="24"/>
  <c r="D295" i="24"/>
  <c r="C295" i="24"/>
  <c r="B295" i="24"/>
  <c r="A295" i="24"/>
  <c r="L294" i="24"/>
  <c r="K294" i="24"/>
  <c r="J294" i="24"/>
  <c r="I294" i="24"/>
  <c r="H294" i="24"/>
  <c r="G294" i="24"/>
  <c r="F294" i="24"/>
  <c r="E294" i="24"/>
  <c r="D294" i="24"/>
  <c r="C294" i="24"/>
  <c r="B294" i="24"/>
  <c r="A294" i="24"/>
  <c r="L293" i="24"/>
  <c r="K293" i="24"/>
  <c r="J293" i="24"/>
  <c r="I293" i="24"/>
  <c r="H293" i="24"/>
  <c r="G293" i="24"/>
  <c r="F293" i="24"/>
  <c r="E293" i="24"/>
  <c r="D293" i="24"/>
  <c r="C293" i="24"/>
  <c r="B293" i="24"/>
  <c r="A293" i="24"/>
  <c r="L292" i="24"/>
  <c r="K292" i="24"/>
  <c r="J292" i="24"/>
  <c r="I292" i="24"/>
  <c r="H292" i="24"/>
  <c r="G292" i="24"/>
  <c r="F292" i="24"/>
  <c r="E292" i="24"/>
  <c r="D292" i="24"/>
  <c r="C292" i="24"/>
  <c r="B292" i="24"/>
  <c r="A292" i="24"/>
  <c r="L291" i="24"/>
  <c r="K291" i="24"/>
  <c r="J291" i="24"/>
  <c r="I291" i="24"/>
  <c r="H291" i="24"/>
  <c r="G291" i="24"/>
  <c r="F291" i="24"/>
  <c r="E291" i="24"/>
  <c r="D291" i="24"/>
  <c r="C291" i="24"/>
  <c r="B291" i="24"/>
  <c r="A291" i="24"/>
  <c r="L290" i="24"/>
  <c r="K290" i="24"/>
  <c r="J290" i="24"/>
  <c r="I290" i="24"/>
  <c r="H290" i="24"/>
  <c r="G290" i="24"/>
  <c r="F290" i="24"/>
  <c r="E290" i="24"/>
  <c r="D290" i="24"/>
  <c r="C290" i="24"/>
  <c r="B290" i="24"/>
  <c r="A290" i="24"/>
  <c r="L289" i="24"/>
  <c r="K289" i="24"/>
  <c r="J289" i="24"/>
  <c r="I289" i="24"/>
  <c r="H289" i="24"/>
  <c r="G289" i="24"/>
  <c r="F289" i="24"/>
  <c r="E289" i="24"/>
  <c r="D289" i="24"/>
  <c r="C289" i="24"/>
  <c r="B289" i="24"/>
  <c r="A289" i="24"/>
  <c r="L288" i="24"/>
  <c r="K288" i="24"/>
  <c r="J288" i="24"/>
  <c r="I288" i="24"/>
  <c r="H288" i="24"/>
  <c r="G288" i="24"/>
  <c r="F288" i="24"/>
  <c r="E288" i="24"/>
  <c r="D288" i="24"/>
  <c r="C288" i="24"/>
  <c r="B288" i="24"/>
  <c r="A288" i="24"/>
  <c r="L287" i="24"/>
  <c r="K287" i="24"/>
  <c r="J287" i="24"/>
  <c r="I287" i="24"/>
  <c r="H287" i="24"/>
  <c r="G287" i="24"/>
  <c r="F287" i="24"/>
  <c r="E287" i="24"/>
  <c r="D287" i="24"/>
  <c r="C287" i="24"/>
  <c r="B287" i="24"/>
  <c r="A287" i="24"/>
  <c r="L286" i="24"/>
  <c r="K286" i="24"/>
  <c r="J286" i="24"/>
  <c r="I286" i="24"/>
  <c r="H286" i="24"/>
  <c r="G286" i="24"/>
  <c r="F286" i="24"/>
  <c r="E286" i="24"/>
  <c r="D286" i="24"/>
  <c r="C286" i="24"/>
  <c r="B286" i="24"/>
  <c r="A286" i="24"/>
  <c r="L285" i="24"/>
  <c r="K285" i="24"/>
  <c r="J285" i="24"/>
  <c r="I285" i="24"/>
  <c r="H285" i="24"/>
  <c r="G285" i="24"/>
  <c r="F285" i="24"/>
  <c r="E285" i="24"/>
  <c r="D285" i="24"/>
  <c r="C285" i="24"/>
  <c r="B285" i="24"/>
  <c r="A285" i="24"/>
  <c r="L284" i="24"/>
  <c r="K284" i="24"/>
  <c r="J284" i="24"/>
  <c r="I284" i="24"/>
  <c r="H284" i="24"/>
  <c r="G284" i="24"/>
  <c r="F284" i="24"/>
  <c r="E284" i="24"/>
  <c r="D284" i="24"/>
  <c r="C284" i="24"/>
  <c r="B284" i="24"/>
  <c r="A284" i="24"/>
  <c r="L283" i="24"/>
  <c r="K283" i="24"/>
  <c r="J283" i="24"/>
  <c r="I283" i="24"/>
  <c r="H283" i="24"/>
  <c r="G283" i="24"/>
  <c r="F283" i="24"/>
  <c r="E283" i="24"/>
  <c r="D283" i="24"/>
  <c r="C283" i="24"/>
  <c r="B283" i="24"/>
  <c r="A283" i="24"/>
  <c r="L282" i="24"/>
  <c r="K282" i="24"/>
  <c r="J282" i="24"/>
  <c r="I282" i="24"/>
  <c r="H282" i="24"/>
  <c r="G282" i="24"/>
  <c r="F282" i="24"/>
  <c r="E282" i="24"/>
  <c r="D282" i="24"/>
  <c r="C282" i="24"/>
  <c r="B282" i="24"/>
  <c r="A282" i="24"/>
  <c r="L281" i="24"/>
  <c r="K281" i="24"/>
  <c r="J281" i="24"/>
  <c r="I281" i="24"/>
  <c r="H281" i="24"/>
  <c r="G281" i="24"/>
  <c r="F281" i="24"/>
  <c r="E281" i="24"/>
  <c r="D281" i="24"/>
  <c r="C281" i="24"/>
  <c r="B281" i="24"/>
  <c r="A281" i="24"/>
  <c r="L280" i="24"/>
  <c r="K280" i="24"/>
  <c r="J280" i="24"/>
  <c r="I280" i="24"/>
  <c r="H280" i="24"/>
  <c r="G280" i="24"/>
  <c r="F280" i="24"/>
  <c r="E280" i="24"/>
  <c r="D280" i="24"/>
  <c r="C280" i="24"/>
  <c r="B280" i="24"/>
  <c r="A280" i="24"/>
  <c r="L279" i="24"/>
  <c r="K279" i="24"/>
  <c r="J279" i="24"/>
  <c r="I279" i="24"/>
  <c r="H279" i="24"/>
  <c r="G279" i="24"/>
  <c r="F279" i="24"/>
  <c r="E279" i="24"/>
  <c r="D279" i="24"/>
  <c r="C279" i="24"/>
  <c r="B279" i="24"/>
  <c r="A279" i="24"/>
  <c r="L278" i="24"/>
  <c r="K278" i="24"/>
  <c r="J278" i="24"/>
  <c r="I278" i="24"/>
  <c r="H278" i="24"/>
  <c r="G278" i="24"/>
  <c r="F278" i="24"/>
  <c r="E278" i="24"/>
  <c r="D278" i="24"/>
  <c r="C278" i="24"/>
  <c r="B278" i="24"/>
  <c r="A278" i="24"/>
  <c r="L277" i="24"/>
  <c r="K277" i="24"/>
  <c r="J277" i="24"/>
  <c r="I277" i="24"/>
  <c r="H277" i="24"/>
  <c r="G277" i="24"/>
  <c r="F277" i="24"/>
  <c r="E277" i="24"/>
  <c r="D277" i="24"/>
  <c r="C277" i="24"/>
  <c r="B277" i="24"/>
  <c r="A277" i="24"/>
  <c r="L276" i="24"/>
  <c r="K276" i="24"/>
  <c r="J276" i="24"/>
  <c r="I276" i="24"/>
  <c r="H276" i="24"/>
  <c r="G276" i="24"/>
  <c r="F276" i="24"/>
  <c r="E276" i="24"/>
  <c r="D276" i="24"/>
  <c r="C276" i="24"/>
  <c r="B276" i="24"/>
  <c r="A276" i="24"/>
  <c r="L275" i="24"/>
  <c r="K275" i="24"/>
  <c r="J275" i="24"/>
  <c r="I275" i="24"/>
  <c r="H275" i="24"/>
  <c r="G275" i="24"/>
  <c r="F275" i="24"/>
  <c r="E275" i="24"/>
  <c r="D275" i="24"/>
  <c r="C275" i="24"/>
  <c r="B275" i="24"/>
  <c r="A275" i="24"/>
  <c r="L274" i="24"/>
  <c r="K274" i="24"/>
  <c r="J274" i="24"/>
  <c r="I274" i="24"/>
  <c r="H274" i="24"/>
  <c r="G274" i="24"/>
  <c r="F274" i="24"/>
  <c r="E274" i="24"/>
  <c r="D274" i="24"/>
  <c r="C274" i="24"/>
  <c r="B274" i="24"/>
  <c r="A274" i="24"/>
  <c r="L273" i="24"/>
  <c r="K273" i="24"/>
  <c r="J273" i="24"/>
  <c r="I273" i="24"/>
  <c r="H273" i="24"/>
  <c r="G273" i="24"/>
  <c r="F273" i="24"/>
  <c r="E273" i="24"/>
  <c r="D273" i="24"/>
  <c r="C273" i="24"/>
  <c r="B273" i="24"/>
  <c r="A273" i="24"/>
  <c r="L272" i="24"/>
  <c r="K272" i="24"/>
  <c r="J272" i="24"/>
  <c r="I272" i="24"/>
  <c r="H272" i="24"/>
  <c r="G272" i="24"/>
  <c r="F272" i="24"/>
  <c r="E272" i="24"/>
  <c r="D272" i="24"/>
  <c r="C272" i="24"/>
  <c r="B272" i="24"/>
  <c r="A272" i="24"/>
  <c r="L271" i="24"/>
  <c r="K271" i="24"/>
  <c r="J271" i="24"/>
  <c r="I271" i="24"/>
  <c r="H271" i="24"/>
  <c r="G271" i="24"/>
  <c r="F271" i="24"/>
  <c r="E271" i="24"/>
  <c r="D271" i="24"/>
  <c r="C271" i="24"/>
  <c r="B271" i="24"/>
  <c r="A271" i="24"/>
  <c r="L270" i="24"/>
  <c r="K270" i="24"/>
  <c r="J270" i="24"/>
  <c r="I270" i="24"/>
  <c r="H270" i="24"/>
  <c r="G270" i="24"/>
  <c r="F270" i="24"/>
  <c r="E270" i="24"/>
  <c r="D270" i="24"/>
  <c r="C270" i="24"/>
  <c r="B270" i="24"/>
  <c r="A270" i="24"/>
  <c r="L269" i="24"/>
  <c r="K269" i="24"/>
  <c r="J269" i="24"/>
  <c r="I269" i="24"/>
  <c r="H269" i="24"/>
  <c r="G269" i="24"/>
  <c r="F269" i="24"/>
  <c r="E269" i="24"/>
  <c r="D269" i="24"/>
  <c r="C269" i="24"/>
  <c r="B269" i="24"/>
  <c r="A269" i="24"/>
  <c r="L268" i="24"/>
  <c r="K268" i="24"/>
  <c r="J268" i="24"/>
  <c r="I268" i="24"/>
  <c r="H268" i="24"/>
  <c r="G268" i="24"/>
  <c r="F268" i="24"/>
  <c r="E268" i="24"/>
  <c r="D268" i="24"/>
  <c r="C268" i="24"/>
  <c r="B268" i="24"/>
  <c r="A268" i="24"/>
  <c r="L267" i="24"/>
  <c r="K267" i="24"/>
  <c r="J267" i="24"/>
  <c r="I267" i="24"/>
  <c r="H267" i="24"/>
  <c r="G267" i="24"/>
  <c r="F267" i="24"/>
  <c r="E267" i="24"/>
  <c r="D267" i="24"/>
  <c r="C267" i="24"/>
  <c r="B267" i="24"/>
  <c r="A267" i="24"/>
  <c r="L266" i="24"/>
  <c r="K266" i="24"/>
  <c r="J266" i="24"/>
  <c r="I266" i="24"/>
  <c r="H266" i="24"/>
  <c r="G266" i="24"/>
  <c r="F266" i="24"/>
  <c r="E266" i="24"/>
  <c r="D266" i="24"/>
  <c r="C266" i="24"/>
  <c r="B266" i="24"/>
  <c r="A266" i="24"/>
  <c r="L265" i="24"/>
  <c r="K265" i="24"/>
  <c r="J265" i="24"/>
  <c r="I265" i="24"/>
  <c r="H265" i="24"/>
  <c r="G265" i="24"/>
  <c r="F265" i="24"/>
  <c r="E265" i="24"/>
  <c r="D265" i="24"/>
  <c r="C265" i="24"/>
  <c r="B265" i="24"/>
  <c r="A265" i="24"/>
  <c r="L264" i="24"/>
  <c r="K264" i="24"/>
  <c r="J264" i="24"/>
  <c r="I264" i="24"/>
  <c r="H264" i="24"/>
  <c r="G264" i="24"/>
  <c r="F264" i="24"/>
  <c r="E264" i="24"/>
  <c r="D264" i="24"/>
  <c r="C264" i="24"/>
  <c r="B264" i="24"/>
  <c r="A264" i="24"/>
  <c r="L263" i="24"/>
  <c r="K263" i="24"/>
  <c r="J263" i="24"/>
  <c r="I263" i="24"/>
  <c r="H263" i="24"/>
  <c r="G263" i="24"/>
  <c r="F263" i="24"/>
  <c r="E263" i="24"/>
  <c r="D263" i="24"/>
  <c r="C263" i="24"/>
  <c r="B263" i="24"/>
  <c r="A263" i="24"/>
  <c r="L262" i="24"/>
  <c r="K262" i="24"/>
  <c r="J262" i="24"/>
  <c r="I262" i="24"/>
  <c r="H262" i="24"/>
  <c r="G262" i="24"/>
  <c r="F262" i="24"/>
  <c r="E262" i="24"/>
  <c r="D262" i="24"/>
  <c r="C262" i="24"/>
  <c r="B262" i="24"/>
  <c r="A262" i="24"/>
  <c r="L261" i="24"/>
  <c r="K261" i="24"/>
  <c r="J261" i="24"/>
  <c r="I261" i="24"/>
  <c r="H261" i="24"/>
  <c r="G261" i="24"/>
  <c r="F261" i="24"/>
  <c r="E261" i="24"/>
  <c r="D261" i="24"/>
  <c r="C261" i="24"/>
  <c r="B261" i="24"/>
  <c r="A261" i="24"/>
  <c r="L260" i="24"/>
  <c r="K260" i="24"/>
  <c r="J260" i="24"/>
  <c r="I260" i="24"/>
  <c r="H260" i="24"/>
  <c r="G260" i="24"/>
  <c r="F260" i="24"/>
  <c r="E260" i="24"/>
  <c r="D260" i="24"/>
  <c r="C260" i="24"/>
  <c r="B260" i="24"/>
  <c r="A260" i="24"/>
  <c r="L259" i="24"/>
  <c r="K259" i="24"/>
  <c r="J259" i="24"/>
  <c r="I259" i="24"/>
  <c r="H259" i="24"/>
  <c r="G259" i="24"/>
  <c r="F259" i="24"/>
  <c r="E259" i="24"/>
  <c r="D259" i="24"/>
  <c r="C259" i="24"/>
  <c r="B259" i="24"/>
  <c r="A259" i="24"/>
  <c r="L258" i="24"/>
  <c r="K258" i="24"/>
  <c r="J258" i="24"/>
  <c r="I258" i="24"/>
  <c r="H258" i="24"/>
  <c r="G258" i="24"/>
  <c r="F258" i="24"/>
  <c r="E258" i="24"/>
  <c r="D258" i="24"/>
  <c r="C258" i="24"/>
  <c r="B258" i="24"/>
  <c r="A258" i="24"/>
  <c r="L257" i="24"/>
  <c r="K257" i="24"/>
  <c r="J257" i="24"/>
  <c r="I257" i="24"/>
  <c r="H257" i="24"/>
  <c r="G257" i="24"/>
  <c r="F257" i="24"/>
  <c r="E257" i="24"/>
  <c r="D257" i="24"/>
  <c r="C257" i="24"/>
  <c r="B257" i="24"/>
  <c r="A257" i="24"/>
  <c r="L256" i="24"/>
  <c r="K256" i="24"/>
  <c r="J256" i="24"/>
  <c r="I256" i="24"/>
  <c r="H256" i="24"/>
  <c r="G256" i="24"/>
  <c r="F256" i="24"/>
  <c r="E256" i="24"/>
  <c r="D256" i="24"/>
  <c r="C256" i="24"/>
  <c r="B256" i="24"/>
  <c r="A256" i="24"/>
  <c r="L255" i="24"/>
  <c r="K255" i="24"/>
  <c r="J255" i="24"/>
  <c r="I255" i="24"/>
  <c r="H255" i="24"/>
  <c r="G255" i="24"/>
  <c r="F255" i="24"/>
  <c r="E255" i="24"/>
  <c r="D255" i="24"/>
  <c r="C255" i="24"/>
  <c r="B255" i="24"/>
  <c r="A255" i="24"/>
  <c r="L254" i="24"/>
  <c r="K254" i="24"/>
  <c r="J254" i="24"/>
  <c r="I254" i="24"/>
  <c r="H254" i="24"/>
  <c r="G254" i="24"/>
  <c r="F254" i="24"/>
  <c r="E254" i="24"/>
  <c r="D254" i="24"/>
  <c r="C254" i="24"/>
  <c r="B254" i="24"/>
  <c r="A254" i="24"/>
  <c r="L253" i="24"/>
  <c r="K253" i="24"/>
  <c r="J253" i="24"/>
  <c r="I253" i="24"/>
  <c r="H253" i="24"/>
  <c r="G253" i="24"/>
  <c r="F253" i="24"/>
  <c r="E253" i="24"/>
  <c r="D253" i="24"/>
  <c r="C253" i="24"/>
  <c r="B253" i="24"/>
  <c r="A253" i="24"/>
  <c r="L252" i="24"/>
  <c r="K252" i="24"/>
  <c r="J252" i="24"/>
  <c r="I252" i="24"/>
  <c r="H252" i="24"/>
  <c r="G252" i="24"/>
  <c r="F252" i="24"/>
  <c r="E252" i="24"/>
  <c r="D252" i="24"/>
  <c r="C252" i="24"/>
  <c r="B252" i="24"/>
  <c r="A252" i="24"/>
  <c r="L251" i="24"/>
  <c r="K251" i="24"/>
  <c r="J251" i="24"/>
  <c r="I251" i="24"/>
  <c r="H251" i="24"/>
  <c r="G251" i="24"/>
  <c r="F251" i="24"/>
  <c r="E251" i="24"/>
  <c r="D251" i="24"/>
  <c r="C251" i="24"/>
  <c r="B251" i="24"/>
  <c r="A251" i="24"/>
  <c r="L250" i="24"/>
  <c r="K250" i="24"/>
  <c r="J250" i="24"/>
  <c r="I250" i="24"/>
  <c r="H250" i="24"/>
  <c r="G250" i="24"/>
  <c r="F250" i="24"/>
  <c r="E250" i="24"/>
  <c r="D250" i="24"/>
  <c r="C250" i="24"/>
  <c r="B250" i="24"/>
  <c r="A250" i="24"/>
  <c r="L249" i="24"/>
  <c r="K249" i="24"/>
  <c r="J249" i="24"/>
  <c r="I249" i="24"/>
  <c r="H249" i="24"/>
  <c r="G249" i="24"/>
  <c r="F249" i="24"/>
  <c r="E249" i="24"/>
  <c r="D249" i="24"/>
  <c r="C249" i="24"/>
  <c r="B249" i="24"/>
  <c r="A249" i="24"/>
  <c r="L248" i="24"/>
  <c r="K248" i="24"/>
  <c r="J248" i="24"/>
  <c r="I248" i="24"/>
  <c r="H248" i="24"/>
  <c r="G248" i="24"/>
  <c r="F248" i="24"/>
  <c r="E248" i="24"/>
  <c r="D248" i="24"/>
  <c r="C248" i="24"/>
  <c r="B248" i="24"/>
  <c r="A248" i="24"/>
  <c r="L247" i="24"/>
  <c r="K247" i="24"/>
  <c r="J247" i="24"/>
  <c r="I247" i="24"/>
  <c r="H247" i="24"/>
  <c r="G247" i="24"/>
  <c r="F247" i="24"/>
  <c r="E247" i="24"/>
  <c r="D247" i="24"/>
  <c r="C247" i="24"/>
  <c r="B247" i="24"/>
  <c r="A247" i="24"/>
  <c r="L246" i="24"/>
  <c r="K246" i="24"/>
  <c r="J246" i="24"/>
  <c r="I246" i="24"/>
  <c r="H246" i="24"/>
  <c r="G246" i="24"/>
  <c r="F246" i="24"/>
  <c r="E246" i="24"/>
  <c r="D246" i="24"/>
  <c r="C246" i="24"/>
  <c r="B246" i="24"/>
  <c r="A246" i="24"/>
  <c r="L245" i="24"/>
  <c r="K245" i="24"/>
  <c r="J245" i="24"/>
  <c r="I245" i="24"/>
  <c r="H245" i="24"/>
  <c r="G245" i="24"/>
  <c r="F245" i="24"/>
  <c r="E245" i="24"/>
  <c r="D245" i="24"/>
  <c r="C245" i="24"/>
  <c r="B245" i="24"/>
  <c r="A245" i="24"/>
  <c r="L244" i="24"/>
  <c r="K244" i="24"/>
  <c r="J244" i="24"/>
  <c r="I244" i="24"/>
  <c r="H244" i="24"/>
  <c r="G244" i="24"/>
  <c r="F244" i="24"/>
  <c r="E244" i="24"/>
  <c r="D244" i="24"/>
  <c r="C244" i="24"/>
  <c r="B244" i="24"/>
  <c r="A244" i="24"/>
  <c r="L243" i="24"/>
  <c r="K243" i="24"/>
  <c r="J243" i="24"/>
  <c r="I243" i="24"/>
  <c r="H243" i="24"/>
  <c r="G243" i="24"/>
  <c r="F243" i="24"/>
  <c r="E243" i="24"/>
  <c r="D243" i="24"/>
  <c r="C243" i="24"/>
  <c r="B243" i="24"/>
  <c r="A243" i="24"/>
  <c r="L242" i="24"/>
  <c r="K242" i="24"/>
  <c r="J242" i="24"/>
  <c r="I242" i="24"/>
  <c r="H242" i="24"/>
  <c r="G242" i="24"/>
  <c r="F242" i="24"/>
  <c r="E242" i="24"/>
  <c r="D242" i="24"/>
  <c r="C242" i="24"/>
  <c r="B242" i="24"/>
  <c r="A242" i="24"/>
  <c r="L241" i="24"/>
  <c r="K241" i="24"/>
  <c r="J241" i="24"/>
  <c r="I241" i="24"/>
  <c r="H241" i="24"/>
  <c r="G241" i="24"/>
  <c r="F241" i="24"/>
  <c r="E241" i="24"/>
  <c r="D241" i="24"/>
  <c r="C241" i="24"/>
  <c r="B241" i="24"/>
  <c r="A241" i="24"/>
  <c r="L240" i="24"/>
  <c r="K240" i="24"/>
  <c r="J240" i="24"/>
  <c r="I240" i="24"/>
  <c r="H240" i="24"/>
  <c r="G240" i="24"/>
  <c r="F240" i="24"/>
  <c r="E240" i="24"/>
  <c r="D240" i="24"/>
  <c r="C240" i="24"/>
  <c r="B240" i="24"/>
  <c r="A240" i="24"/>
  <c r="L239" i="24"/>
  <c r="K239" i="24"/>
  <c r="J239" i="24"/>
  <c r="I239" i="24"/>
  <c r="H239" i="24"/>
  <c r="G239" i="24"/>
  <c r="F239" i="24"/>
  <c r="E239" i="24"/>
  <c r="D239" i="24"/>
  <c r="C239" i="24"/>
  <c r="B239" i="24"/>
  <c r="A239" i="24"/>
  <c r="L238" i="24"/>
  <c r="K238" i="24"/>
  <c r="J238" i="24"/>
  <c r="I238" i="24"/>
  <c r="H238" i="24"/>
  <c r="G238" i="24"/>
  <c r="F238" i="24"/>
  <c r="E238" i="24"/>
  <c r="D238" i="24"/>
  <c r="C238" i="24"/>
  <c r="B238" i="24"/>
  <c r="A238" i="24"/>
  <c r="L237" i="24"/>
  <c r="K237" i="24"/>
  <c r="J237" i="24"/>
  <c r="I237" i="24"/>
  <c r="H237" i="24"/>
  <c r="G237" i="24"/>
  <c r="F237" i="24"/>
  <c r="E237" i="24"/>
  <c r="D237" i="24"/>
  <c r="C237" i="24"/>
  <c r="B237" i="24"/>
  <c r="A237" i="24"/>
  <c r="L236" i="24"/>
  <c r="K236" i="24"/>
  <c r="J236" i="24"/>
  <c r="I236" i="24"/>
  <c r="H236" i="24"/>
  <c r="G236" i="24"/>
  <c r="F236" i="24"/>
  <c r="E236" i="24"/>
  <c r="D236" i="24"/>
  <c r="C236" i="24"/>
  <c r="B236" i="24"/>
  <c r="A236" i="24"/>
  <c r="L235" i="24"/>
  <c r="K235" i="24"/>
  <c r="J235" i="24"/>
  <c r="I235" i="24"/>
  <c r="H235" i="24"/>
  <c r="G235" i="24"/>
  <c r="F235" i="24"/>
  <c r="E235" i="24"/>
  <c r="D235" i="24"/>
  <c r="C235" i="24"/>
  <c r="B235" i="24"/>
  <c r="A235" i="24"/>
  <c r="L234" i="24"/>
  <c r="K234" i="24"/>
  <c r="J234" i="24"/>
  <c r="I234" i="24"/>
  <c r="H234" i="24"/>
  <c r="G234" i="24"/>
  <c r="F234" i="24"/>
  <c r="E234" i="24"/>
  <c r="D234" i="24"/>
  <c r="C234" i="24"/>
  <c r="B234" i="24"/>
  <c r="A234" i="24"/>
  <c r="L233" i="24"/>
  <c r="K233" i="24"/>
  <c r="J233" i="24"/>
  <c r="I233" i="24"/>
  <c r="H233" i="24"/>
  <c r="G233" i="24"/>
  <c r="F233" i="24"/>
  <c r="E233" i="24"/>
  <c r="D233" i="24"/>
  <c r="C233" i="24"/>
  <c r="B233" i="24"/>
  <c r="A233" i="24"/>
  <c r="L232" i="24"/>
  <c r="K232" i="24"/>
  <c r="J232" i="24"/>
  <c r="I232" i="24"/>
  <c r="H232" i="24"/>
  <c r="G232" i="24"/>
  <c r="F232" i="24"/>
  <c r="E232" i="24"/>
  <c r="D232" i="24"/>
  <c r="C232" i="24"/>
  <c r="B232" i="24"/>
  <c r="A232" i="24"/>
  <c r="L231" i="24"/>
  <c r="K231" i="24"/>
  <c r="J231" i="24"/>
  <c r="I231" i="24"/>
  <c r="H231" i="24"/>
  <c r="G231" i="24"/>
  <c r="F231" i="24"/>
  <c r="E231" i="24"/>
  <c r="D231" i="24"/>
  <c r="C231" i="24"/>
  <c r="B231" i="24"/>
  <c r="A231" i="24"/>
  <c r="L230" i="24"/>
  <c r="K230" i="24"/>
  <c r="J230" i="24"/>
  <c r="I230" i="24"/>
  <c r="H230" i="24"/>
  <c r="G230" i="24"/>
  <c r="F230" i="24"/>
  <c r="E230" i="24"/>
  <c r="D230" i="24"/>
  <c r="C230" i="24"/>
  <c r="B230" i="24"/>
  <c r="A230" i="24"/>
  <c r="L229" i="24"/>
  <c r="K229" i="24"/>
  <c r="J229" i="24"/>
  <c r="I229" i="24"/>
  <c r="H229" i="24"/>
  <c r="G229" i="24"/>
  <c r="F229" i="24"/>
  <c r="E229" i="24"/>
  <c r="D229" i="24"/>
  <c r="C229" i="24"/>
  <c r="B229" i="24"/>
  <c r="A229" i="24"/>
  <c r="L228" i="24"/>
  <c r="K228" i="24"/>
  <c r="J228" i="24"/>
  <c r="I228" i="24"/>
  <c r="H228" i="24"/>
  <c r="G228" i="24"/>
  <c r="F228" i="24"/>
  <c r="E228" i="24"/>
  <c r="D228" i="24"/>
  <c r="C228" i="24"/>
  <c r="B228" i="24"/>
  <c r="A228" i="24"/>
  <c r="L227" i="24"/>
  <c r="K227" i="24"/>
  <c r="J227" i="24"/>
  <c r="I227" i="24"/>
  <c r="H227" i="24"/>
  <c r="G227" i="24"/>
  <c r="F227" i="24"/>
  <c r="E227" i="24"/>
  <c r="D227" i="24"/>
  <c r="C227" i="24"/>
  <c r="B227" i="24"/>
  <c r="A227" i="24"/>
  <c r="L226" i="24"/>
  <c r="K226" i="24"/>
  <c r="J226" i="24"/>
  <c r="I226" i="24"/>
  <c r="H226" i="24"/>
  <c r="G226" i="24"/>
  <c r="F226" i="24"/>
  <c r="E226" i="24"/>
  <c r="D226" i="24"/>
  <c r="C226" i="24"/>
  <c r="B226" i="24"/>
  <c r="A226" i="24"/>
  <c r="L225" i="24"/>
  <c r="K225" i="24"/>
  <c r="J225" i="24"/>
  <c r="I225" i="24"/>
  <c r="H225" i="24"/>
  <c r="G225" i="24"/>
  <c r="F225" i="24"/>
  <c r="E225" i="24"/>
  <c r="D225" i="24"/>
  <c r="C225" i="24"/>
  <c r="B225" i="24"/>
  <c r="A225" i="24"/>
  <c r="L224" i="24"/>
  <c r="K224" i="24"/>
  <c r="J224" i="24"/>
  <c r="I224" i="24"/>
  <c r="H224" i="24"/>
  <c r="G224" i="24"/>
  <c r="F224" i="24"/>
  <c r="E224" i="24"/>
  <c r="D224" i="24"/>
  <c r="C224" i="24"/>
  <c r="B224" i="24"/>
  <c r="A224" i="24"/>
  <c r="L223" i="24"/>
  <c r="K223" i="24"/>
  <c r="J223" i="24"/>
  <c r="I223" i="24"/>
  <c r="H223" i="24"/>
  <c r="G223" i="24"/>
  <c r="F223" i="24"/>
  <c r="E223" i="24"/>
  <c r="D223" i="24"/>
  <c r="C223" i="24"/>
  <c r="B223" i="24"/>
  <c r="A223" i="24"/>
  <c r="L222" i="24"/>
  <c r="K222" i="24"/>
  <c r="J222" i="24"/>
  <c r="I222" i="24"/>
  <c r="H222" i="24"/>
  <c r="G222" i="24"/>
  <c r="F222" i="24"/>
  <c r="E222" i="24"/>
  <c r="D222" i="24"/>
  <c r="C222" i="24"/>
  <c r="B222" i="24"/>
  <c r="A222" i="24"/>
  <c r="L221" i="24"/>
  <c r="K221" i="24"/>
  <c r="J221" i="24"/>
  <c r="I221" i="24"/>
  <c r="H221" i="24"/>
  <c r="G221" i="24"/>
  <c r="F221" i="24"/>
  <c r="E221" i="24"/>
  <c r="D221" i="24"/>
  <c r="C221" i="24"/>
  <c r="B221" i="24"/>
  <c r="A221" i="24"/>
  <c r="L220" i="24"/>
  <c r="K220" i="24"/>
  <c r="J220" i="24"/>
  <c r="I220" i="24"/>
  <c r="H220" i="24"/>
  <c r="G220" i="24"/>
  <c r="F220" i="24"/>
  <c r="E220" i="24"/>
  <c r="D220" i="24"/>
  <c r="C220" i="24"/>
  <c r="B220" i="24"/>
  <c r="A220" i="24"/>
  <c r="L219" i="24"/>
  <c r="K219" i="24"/>
  <c r="J219" i="24"/>
  <c r="I219" i="24"/>
  <c r="H219" i="24"/>
  <c r="G219" i="24"/>
  <c r="F219" i="24"/>
  <c r="E219" i="24"/>
  <c r="D219" i="24"/>
  <c r="C219" i="24"/>
  <c r="B219" i="24"/>
  <c r="A219" i="24"/>
  <c r="L218" i="24"/>
  <c r="K218" i="24"/>
  <c r="J218" i="24"/>
  <c r="I218" i="24"/>
  <c r="H218" i="24"/>
  <c r="G218" i="24"/>
  <c r="F218" i="24"/>
  <c r="E218" i="24"/>
  <c r="D218" i="24"/>
  <c r="C218" i="24"/>
  <c r="B218" i="24"/>
  <c r="A218" i="24"/>
  <c r="L217" i="24"/>
  <c r="K217" i="24"/>
  <c r="J217" i="24"/>
  <c r="I217" i="24"/>
  <c r="H217" i="24"/>
  <c r="G217" i="24"/>
  <c r="F217" i="24"/>
  <c r="E217" i="24"/>
  <c r="D217" i="24"/>
  <c r="C217" i="24"/>
  <c r="B217" i="24"/>
  <c r="A217" i="24"/>
  <c r="L216" i="24"/>
  <c r="K216" i="24"/>
  <c r="J216" i="24"/>
  <c r="I216" i="24"/>
  <c r="H216" i="24"/>
  <c r="G216" i="24"/>
  <c r="F216" i="24"/>
  <c r="E216" i="24"/>
  <c r="D216" i="24"/>
  <c r="C216" i="24"/>
  <c r="B216" i="24"/>
  <c r="A216" i="24"/>
  <c r="L215" i="24"/>
  <c r="K215" i="24"/>
  <c r="J215" i="24"/>
  <c r="I215" i="24"/>
  <c r="H215" i="24"/>
  <c r="G215" i="24"/>
  <c r="F215" i="24"/>
  <c r="E215" i="24"/>
  <c r="D215" i="24"/>
  <c r="C215" i="24"/>
  <c r="B215" i="24"/>
  <c r="A215" i="24"/>
  <c r="L214" i="24"/>
  <c r="K214" i="24"/>
  <c r="J214" i="24"/>
  <c r="I214" i="24"/>
  <c r="H214" i="24"/>
  <c r="G214" i="24"/>
  <c r="F214" i="24"/>
  <c r="E214" i="24"/>
  <c r="D214" i="24"/>
  <c r="C214" i="24"/>
  <c r="B214" i="24"/>
  <c r="A214" i="24"/>
  <c r="L213" i="24"/>
  <c r="K213" i="24"/>
  <c r="J213" i="24"/>
  <c r="I213" i="24"/>
  <c r="H213" i="24"/>
  <c r="G213" i="24"/>
  <c r="F213" i="24"/>
  <c r="E213" i="24"/>
  <c r="D213" i="24"/>
  <c r="C213" i="24"/>
  <c r="B213" i="24"/>
  <c r="A213" i="24"/>
  <c r="L212" i="24"/>
  <c r="K212" i="24"/>
  <c r="J212" i="24"/>
  <c r="I212" i="24"/>
  <c r="H212" i="24"/>
  <c r="G212" i="24"/>
  <c r="F212" i="24"/>
  <c r="E212" i="24"/>
  <c r="D212" i="24"/>
  <c r="C212" i="24"/>
  <c r="B212" i="24"/>
  <c r="A212" i="24"/>
  <c r="L211" i="24"/>
  <c r="K211" i="24"/>
  <c r="J211" i="24"/>
  <c r="I211" i="24"/>
  <c r="H211" i="24"/>
  <c r="G211" i="24"/>
  <c r="F211" i="24"/>
  <c r="E211" i="24"/>
  <c r="D211" i="24"/>
  <c r="C211" i="24"/>
  <c r="B211" i="24"/>
  <c r="A211" i="24"/>
  <c r="L210" i="24"/>
  <c r="K210" i="24"/>
  <c r="J210" i="24"/>
  <c r="I210" i="24"/>
  <c r="H210" i="24"/>
  <c r="G210" i="24"/>
  <c r="F210" i="24"/>
  <c r="E210" i="24"/>
  <c r="D210" i="24"/>
  <c r="C210" i="24"/>
  <c r="B210" i="24"/>
  <c r="A210" i="24"/>
  <c r="L209" i="24"/>
  <c r="K209" i="24"/>
  <c r="J209" i="24"/>
  <c r="I209" i="24"/>
  <c r="H209" i="24"/>
  <c r="G209" i="24"/>
  <c r="F209" i="24"/>
  <c r="E209" i="24"/>
  <c r="D209" i="24"/>
  <c r="C209" i="24"/>
  <c r="B209" i="24"/>
  <c r="A209" i="24"/>
  <c r="L208" i="24"/>
  <c r="K208" i="24"/>
  <c r="J208" i="24"/>
  <c r="I208" i="24"/>
  <c r="H208" i="24"/>
  <c r="G208" i="24"/>
  <c r="F208" i="24"/>
  <c r="E208" i="24"/>
  <c r="D208" i="24"/>
  <c r="C208" i="24"/>
  <c r="B208" i="24"/>
  <c r="A208" i="24"/>
  <c r="L207" i="24"/>
  <c r="K207" i="24"/>
  <c r="J207" i="24"/>
  <c r="I207" i="24"/>
  <c r="H207" i="24"/>
  <c r="G207" i="24"/>
  <c r="F207" i="24"/>
  <c r="E207" i="24"/>
  <c r="D207" i="24"/>
  <c r="C207" i="24"/>
  <c r="B207" i="24"/>
  <c r="A207" i="24"/>
  <c r="L206" i="24"/>
  <c r="K206" i="24"/>
  <c r="J206" i="24"/>
  <c r="I206" i="24"/>
  <c r="H206" i="24"/>
  <c r="G206" i="24"/>
  <c r="F206" i="24"/>
  <c r="E206" i="24"/>
  <c r="D206" i="24"/>
  <c r="C206" i="24"/>
  <c r="B206" i="24"/>
  <c r="A206" i="24"/>
  <c r="L205" i="24"/>
  <c r="K205" i="24"/>
  <c r="J205" i="24"/>
  <c r="I205" i="24"/>
  <c r="H205" i="24"/>
  <c r="G205" i="24"/>
  <c r="F205" i="24"/>
  <c r="E205" i="24"/>
  <c r="D205" i="24"/>
  <c r="C205" i="24"/>
  <c r="B205" i="24"/>
  <c r="A205" i="24"/>
  <c r="L204" i="24"/>
  <c r="K204" i="24"/>
  <c r="J204" i="24"/>
  <c r="I204" i="24"/>
  <c r="H204" i="24"/>
  <c r="G204" i="24"/>
  <c r="F204" i="24"/>
  <c r="E204" i="24"/>
  <c r="D204" i="24"/>
  <c r="C204" i="24"/>
  <c r="B204" i="24"/>
  <c r="A204" i="24"/>
  <c r="L203" i="24"/>
  <c r="K203" i="24"/>
  <c r="J203" i="24"/>
  <c r="I203" i="24"/>
  <c r="H203" i="24"/>
  <c r="G203" i="24"/>
  <c r="F203" i="24"/>
  <c r="E203" i="24"/>
  <c r="D203" i="24"/>
  <c r="C203" i="24"/>
  <c r="B203" i="24"/>
  <c r="A203" i="24"/>
  <c r="L202" i="24"/>
  <c r="K202" i="24"/>
  <c r="J202" i="24"/>
  <c r="I202" i="24"/>
  <c r="H202" i="24"/>
  <c r="G202" i="24"/>
  <c r="F202" i="24"/>
  <c r="E202" i="24"/>
  <c r="D202" i="24"/>
  <c r="C202" i="24"/>
  <c r="B202" i="24"/>
  <c r="A202" i="24"/>
  <c r="L201" i="24"/>
  <c r="K201" i="24"/>
  <c r="J201" i="24"/>
  <c r="I201" i="24"/>
  <c r="H201" i="24"/>
  <c r="G201" i="24"/>
  <c r="F201" i="24"/>
  <c r="E201" i="24"/>
  <c r="D201" i="24"/>
  <c r="C201" i="24"/>
  <c r="B201" i="24"/>
  <c r="A201" i="24"/>
  <c r="L200" i="24"/>
  <c r="K200" i="24"/>
  <c r="J200" i="24"/>
  <c r="I200" i="24"/>
  <c r="H200" i="24"/>
  <c r="G200" i="24"/>
  <c r="F200" i="24"/>
  <c r="E200" i="24"/>
  <c r="D200" i="24"/>
  <c r="C200" i="24"/>
  <c r="B200" i="24"/>
  <c r="A200" i="24"/>
  <c r="L199" i="24"/>
  <c r="K199" i="24"/>
  <c r="J199" i="24"/>
  <c r="I199" i="24"/>
  <c r="H199" i="24"/>
  <c r="G199" i="24"/>
  <c r="F199" i="24"/>
  <c r="E199" i="24"/>
  <c r="D199" i="24"/>
  <c r="C199" i="24"/>
  <c r="B199" i="24"/>
  <c r="A199" i="24"/>
  <c r="L198" i="24"/>
  <c r="K198" i="24"/>
  <c r="J198" i="24"/>
  <c r="I198" i="24"/>
  <c r="H198" i="24"/>
  <c r="G198" i="24"/>
  <c r="F198" i="24"/>
  <c r="E198" i="24"/>
  <c r="D198" i="24"/>
  <c r="C198" i="24"/>
  <c r="B198" i="24"/>
  <c r="A198" i="24"/>
  <c r="L197" i="24"/>
  <c r="K197" i="24"/>
  <c r="J197" i="24"/>
  <c r="I197" i="24"/>
  <c r="H197" i="24"/>
  <c r="G197" i="24"/>
  <c r="F197" i="24"/>
  <c r="E197" i="24"/>
  <c r="D197" i="24"/>
  <c r="C197" i="24"/>
  <c r="B197" i="24"/>
  <c r="A197" i="24"/>
  <c r="L196" i="24"/>
  <c r="K196" i="24"/>
  <c r="J196" i="24"/>
  <c r="I196" i="24"/>
  <c r="H196" i="24"/>
  <c r="G196" i="24"/>
  <c r="F196" i="24"/>
  <c r="E196" i="24"/>
  <c r="D196" i="24"/>
  <c r="C196" i="24"/>
  <c r="B196" i="24"/>
  <c r="A196" i="24"/>
  <c r="L195" i="24"/>
  <c r="K195" i="24"/>
  <c r="J195" i="24"/>
  <c r="I195" i="24"/>
  <c r="H195" i="24"/>
  <c r="G195" i="24"/>
  <c r="F195" i="24"/>
  <c r="E195" i="24"/>
  <c r="D195" i="24"/>
  <c r="C195" i="24"/>
  <c r="B195" i="24"/>
  <c r="A195" i="24"/>
  <c r="L194" i="24"/>
  <c r="K194" i="24"/>
  <c r="J194" i="24"/>
  <c r="I194" i="24"/>
  <c r="H194" i="24"/>
  <c r="G194" i="24"/>
  <c r="F194" i="24"/>
  <c r="E194" i="24"/>
  <c r="D194" i="24"/>
  <c r="C194" i="24"/>
  <c r="B194" i="24"/>
  <c r="A194" i="24"/>
  <c r="L193" i="24"/>
  <c r="K193" i="24"/>
  <c r="J193" i="24"/>
  <c r="I193" i="24"/>
  <c r="H193" i="24"/>
  <c r="G193" i="24"/>
  <c r="F193" i="24"/>
  <c r="E193" i="24"/>
  <c r="D193" i="24"/>
  <c r="C193" i="24"/>
  <c r="B193" i="24"/>
  <c r="A193" i="24"/>
  <c r="L192" i="24"/>
  <c r="K192" i="24"/>
  <c r="J192" i="24"/>
  <c r="I192" i="24"/>
  <c r="H192" i="24"/>
  <c r="G192" i="24"/>
  <c r="F192" i="24"/>
  <c r="E192" i="24"/>
  <c r="D192" i="24"/>
  <c r="C192" i="24"/>
  <c r="B192" i="24"/>
  <c r="A192" i="24"/>
  <c r="L191" i="24"/>
  <c r="K191" i="24"/>
  <c r="J191" i="24"/>
  <c r="I191" i="24"/>
  <c r="H191" i="24"/>
  <c r="G191" i="24"/>
  <c r="F191" i="24"/>
  <c r="E191" i="24"/>
  <c r="D191" i="24"/>
  <c r="C191" i="24"/>
  <c r="B191" i="24"/>
  <c r="A191" i="24"/>
  <c r="L190" i="24"/>
  <c r="K190" i="24"/>
  <c r="J190" i="24"/>
  <c r="I190" i="24"/>
  <c r="H190" i="24"/>
  <c r="G190" i="24"/>
  <c r="F190" i="24"/>
  <c r="E190" i="24"/>
  <c r="D190" i="24"/>
  <c r="C190" i="24"/>
  <c r="B190" i="24"/>
  <c r="A190" i="24"/>
  <c r="L189" i="24"/>
  <c r="K189" i="24"/>
  <c r="J189" i="24"/>
  <c r="I189" i="24"/>
  <c r="H189" i="24"/>
  <c r="G189" i="24"/>
  <c r="F189" i="24"/>
  <c r="E189" i="24"/>
  <c r="D189" i="24"/>
  <c r="C189" i="24"/>
  <c r="B189" i="24"/>
  <c r="A189" i="24"/>
  <c r="L188" i="24"/>
  <c r="K188" i="24"/>
  <c r="J188" i="24"/>
  <c r="I188" i="24"/>
  <c r="H188" i="24"/>
  <c r="G188" i="24"/>
  <c r="F188" i="24"/>
  <c r="E188" i="24"/>
  <c r="D188" i="24"/>
  <c r="C188" i="24"/>
  <c r="B188" i="24"/>
  <c r="A188" i="24"/>
  <c r="L187" i="24"/>
  <c r="K187" i="24"/>
  <c r="J187" i="24"/>
  <c r="I187" i="24"/>
  <c r="H187" i="24"/>
  <c r="G187" i="24"/>
  <c r="F187" i="24"/>
  <c r="E187" i="24"/>
  <c r="D187" i="24"/>
  <c r="C187" i="24"/>
  <c r="B187" i="24"/>
  <c r="A187" i="24"/>
  <c r="L186" i="24"/>
  <c r="K186" i="24"/>
  <c r="J186" i="24"/>
  <c r="I186" i="24"/>
  <c r="H186" i="24"/>
  <c r="G186" i="24"/>
  <c r="F186" i="24"/>
  <c r="E186" i="24"/>
  <c r="D186" i="24"/>
  <c r="C186" i="24"/>
  <c r="B186" i="24"/>
  <c r="A186" i="24"/>
  <c r="L185" i="24"/>
  <c r="K185" i="24"/>
  <c r="J185" i="24"/>
  <c r="I185" i="24"/>
  <c r="H185" i="24"/>
  <c r="G185" i="24"/>
  <c r="F185" i="24"/>
  <c r="E185" i="24"/>
  <c r="D185" i="24"/>
  <c r="C185" i="24"/>
  <c r="B185" i="24"/>
  <c r="A185" i="24"/>
  <c r="L184" i="24"/>
  <c r="K184" i="24"/>
  <c r="J184" i="24"/>
  <c r="I184" i="24"/>
  <c r="H184" i="24"/>
  <c r="G184" i="24"/>
  <c r="F184" i="24"/>
  <c r="E184" i="24"/>
  <c r="D184" i="24"/>
  <c r="C184" i="24"/>
  <c r="B184" i="24"/>
  <c r="A184" i="24"/>
  <c r="L183" i="24"/>
  <c r="K183" i="24"/>
  <c r="J183" i="24"/>
  <c r="I183" i="24"/>
  <c r="H183" i="24"/>
  <c r="G183" i="24"/>
  <c r="F183" i="24"/>
  <c r="E183" i="24"/>
  <c r="D183" i="24"/>
  <c r="C183" i="24"/>
  <c r="B183" i="24"/>
  <c r="A183" i="24"/>
  <c r="L182" i="24"/>
  <c r="K182" i="24"/>
  <c r="J182" i="24"/>
  <c r="I182" i="24"/>
  <c r="H182" i="24"/>
  <c r="G182" i="24"/>
  <c r="F182" i="24"/>
  <c r="E182" i="24"/>
  <c r="D182" i="24"/>
  <c r="C182" i="24"/>
  <c r="B182" i="24"/>
  <c r="A182" i="24"/>
  <c r="L181" i="24"/>
  <c r="K181" i="24"/>
  <c r="J181" i="24"/>
  <c r="I181" i="24"/>
  <c r="H181" i="24"/>
  <c r="G181" i="24"/>
  <c r="F181" i="24"/>
  <c r="E181" i="24"/>
  <c r="D181" i="24"/>
  <c r="C181" i="24"/>
  <c r="B181" i="24"/>
  <c r="A181" i="24"/>
  <c r="L180" i="24"/>
  <c r="K180" i="24"/>
  <c r="J180" i="24"/>
  <c r="I180" i="24"/>
  <c r="H180" i="24"/>
  <c r="G180" i="24"/>
  <c r="F180" i="24"/>
  <c r="E180" i="24"/>
  <c r="D180" i="24"/>
  <c r="C180" i="24"/>
  <c r="B180" i="24"/>
  <c r="A180" i="24"/>
  <c r="L179" i="24"/>
  <c r="K179" i="24"/>
  <c r="J179" i="24"/>
  <c r="I179" i="24"/>
  <c r="H179" i="24"/>
  <c r="G179" i="24"/>
  <c r="F179" i="24"/>
  <c r="E179" i="24"/>
  <c r="D179" i="24"/>
  <c r="C179" i="24"/>
  <c r="B179" i="24"/>
  <c r="A179" i="24"/>
  <c r="L178" i="24"/>
  <c r="K178" i="24"/>
  <c r="J178" i="24"/>
  <c r="I178" i="24"/>
  <c r="H178" i="24"/>
  <c r="G178" i="24"/>
  <c r="F178" i="24"/>
  <c r="E178" i="24"/>
  <c r="D178" i="24"/>
  <c r="C178" i="24"/>
  <c r="B178" i="24"/>
  <c r="A178" i="24"/>
  <c r="L177" i="24"/>
  <c r="K177" i="24"/>
  <c r="J177" i="24"/>
  <c r="I177" i="24"/>
  <c r="H177" i="24"/>
  <c r="G177" i="24"/>
  <c r="F177" i="24"/>
  <c r="E177" i="24"/>
  <c r="D177" i="24"/>
  <c r="C177" i="24"/>
  <c r="B177" i="24"/>
  <c r="A177" i="24"/>
  <c r="L176" i="24"/>
  <c r="K176" i="24"/>
  <c r="J176" i="24"/>
  <c r="I176" i="24"/>
  <c r="H176" i="24"/>
  <c r="G176" i="24"/>
  <c r="F176" i="24"/>
  <c r="E176" i="24"/>
  <c r="D176" i="24"/>
  <c r="C176" i="24"/>
  <c r="B176" i="24"/>
  <c r="A176" i="24"/>
  <c r="L175" i="24"/>
  <c r="K175" i="24"/>
  <c r="J175" i="24"/>
  <c r="I175" i="24"/>
  <c r="H175" i="24"/>
  <c r="G175" i="24"/>
  <c r="F175" i="24"/>
  <c r="E175" i="24"/>
  <c r="D175" i="24"/>
  <c r="C175" i="24"/>
  <c r="B175" i="24"/>
  <c r="A175" i="24"/>
  <c r="L174" i="24"/>
  <c r="K174" i="24"/>
  <c r="J174" i="24"/>
  <c r="I174" i="24"/>
  <c r="H174" i="24"/>
  <c r="G174" i="24"/>
  <c r="F174" i="24"/>
  <c r="E174" i="24"/>
  <c r="D174" i="24"/>
  <c r="C174" i="24"/>
  <c r="B174" i="24"/>
  <c r="A174" i="24"/>
  <c r="L173" i="24"/>
  <c r="K173" i="24"/>
  <c r="J173" i="24"/>
  <c r="I173" i="24"/>
  <c r="H173" i="24"/>
  <c r="G173" i="24"/>
  <c r="F173" i="24"/>
  <c r="E173" i="24"/>
  <c r="D173" i="24"/>
  <c r="C173" i="24"/>
  <c r="B173" i="24"/>
  <c r="A173" i="24"/>
  <c r="L172" i="24"/>
  <c r="K172" i="24"/>
  <c r="J172" i="24"/>
  <c r="I172" i="24"/>
  <c r="H172" i="24"/>
  <c r="G172" i="24"/>
  <c r="F172" i="24"/>
  <c r="E172" i="24"/>
  <c r="D172" i="24"/>
  <c r="C172" i="24"/>
  <c r="B172" i="24"/>
  <c r="A172" i="24"/>
  <c r="L171" i="24"/>
  <c r="K171" i="24"/>
  <c r="J171" i="24"/>
  <c r="I171" i="24"/>
  <c r="H171" i="24"/>
  <c r="G171" i="24"/>
  <c r="F171" i="24"/>
  <c r="E171" i="24"/>
  <c r="D171" i="24"/>
  <c r="C171" i="24"/>
  <c r="B171" i="24"/>
  <c r="A171" i="24"/>
  <c r="L170" i="24"/>
  <c r="K170" i="24"/>
  <c r="J170" i="24"/>
  <c r="I170" i="24"/>
  <c r="H170" i="24"/>
  <c r="G170" i="24"/>
  <c r="F170" i="24"/>
  <c r="E170" i="24"/>
  <c r="D170" i="24"/>
  <c r="C170" i="24"/>
  <c r="B170" i="24"/>
  <c r="A170" i="24"/>
  <c r="L169" i="24"/>
  <c r="K169" i="24"/>
  <c r="J169" i="24"/>
  <c r="I169" i="24"/>
  <c r="H169" i="24"/>
  <c r="G169" i="24"/>
  <c r="F169" i="24"/>
  <c r="E169" i="24"/>
  <c r="D169" i="24"/>
  <c r="C169" i="24"/>
  <c r="B169" i="24"/>
  <c r="A169" i="24"/>
  <c r="L168" i="24"/>
  <c r="K168" i="24"/>
  <c r="J168" i="24"/>
  <c r="I168" i="24"/>
  <c r="H168" i="24"/>
  <c r="G168" i="24"/>
  <c r="F168" i="24"/>
  <c r="E168" i="24"/>
  <c r="D168" i="24"/>
  <c r="C168" i="24"/>
  <c r="B168" i="24"/>
  <c r="A168" i="24"/>
  <c r="L167" i="24"/>
  <c r="K167" i="24"/>
  <c r="J167" i="24"/>
  <c r="I167" i="24"/>
  <c r="H167" i="24"/>
  <c r="G167" i="24"/>
  <c r="F167" i="24"/>
  <c r="E167" i="24"/>
  <c r="D167" i="24"/>
  <c r="C167" i="24"/>
  <c r="B167" i="24"/>
  <c r="A167" i="24"/>
  <c r="L166" i="24"/>
  <c r="K166" i="24"/>
  <c r="J166" i="24"/>
  <c r="I166" i="24"/>
  <c r="H166" i="24"/>
  <c r="G166" i="24"/>
  <c r="F166" i="24"/>
  <c r="E166" i="24"/>
  <c r="D166" i="24"/>
  <c r="C166" i="24"/>
  <c r="B166" i="24"/>
  <c r="A166" i="24"/>
  <c r="L165" i="24"/>
  <c r="K165" i="24"/>
  <c r="J165" i="24"/>
  <c r="I165" i="24"/>
  <c r="H165" i="24"/>
  <c r="G165" i="24"/>
  <c r="F165" i="24"/>
  <c r="E165" i="24"/>
  <c r="D165" i="24"/>
  <c r="C165" i="24"/>
  <c r="B165" i="24"/>
  <c r="A165" i="24"/>
  <c r="L164" i="24"/>
  <c r="K164" i="24"/>
  <c r="J164" i="24"/>
  <c r="I164" i="24"/>
  <c r="H164" i="24"/>
  <c r="G164" i="24"/>
  <c r="F164" i="24"/>
  <c r="E164" i="24"/>
  <c r="D164" i="24"/>
  <c r="C164" i="24"/>
  <c r="B164" i="24"/>
  <c r="A164" i="24"/>
  <c r="L163" i="24"/>
  <c r="K163" i="24"/>
  <c r="J163" i="24"/>
  <c r="I163" i="24"/>
  <c r="H163" i="24"/>
  <c r="G163" i="24"/>
  <c r="F163" i="24"/>
  <c r="E163" i="24"/>
  <c r="D163" i="24"/>
  <c r="C163" i="24"/>
  <c r="B163" i="24"/>
  <c r="A163" i="24"/>
  <c r="L162" i="24"/>
  <c r="K162" i="24"/>
  <c r="J162" i="24"/>
  <c r="I162" i="24"/>
  <c r="H162" i="24"/>
  <c r="G162" i="24"/>
  <c r="F162" i="24"/>
  <c r="E162" i="24"/>
  <c r="D162" i="24"/>
  <c r="C162" i="24"/>
  <c r="B162" i="24"/>
  <c r="A162" i="24"/>
  <c r="L161" i="24"/>
  <c r="K161" i="24"/>
  <c r="J161" i="24"/>
  <c r="I161" i="24"/>
  <c r="H161" i="24"/>
  <c r="G161" i="24"/>
  <c r="F161" i="24"/>
  <c r="E161" i="24"/>
  <c r="D161" i="24"/>
  <c r="C161" i="24"/>
  <c r="B161" i="24"/>
  <c r="A161" i="24"/>
  <c r="L160" i="24"/>
  <c r="K160" i="24"/>
  <c r="J160" i="24"/>
  <c r="I160" i="24"/>
  <c r="H160" i="24"/>
  <c r="G160" i="24"/>
  <c r="F160" i="24"/>
  <c r="E160" i="24"/>
  <c r="D160" i="24"/>
  <c r="C160" i="24"/>
  <c r="B160" i="24"/>
  <c r="A160" i="24"/>
  <c r="L159" i="24"/>
  <c r="K159" i="24"/>
  <c r="J159" i="24"/>
  <c r="I159" i="24"/>
  <c r="H159" i="24"/>
  <c r="G159" i="24"/>
  <c r="F159" i="24"/>
  <c r="E159" i="24"/>
  <c r="D159" i="24"/>
  <c r="C159" i="24"/>
  <c r="B159" i="24"/>
  <c r="A159" i="24"/>
  <c r="L158" i="24"/>
  <c r="K158" i="24"/>
  <c r="J158" i="24"/>
  <c r="I158" i="24"/>
  <c r="H158" i="24"/>
  <c r="G158" i="24"/>
  <c r="F158" i="24"/>
  <c r="E158" i="24"/>
  <c r="D158" i="24"/>
  <c r="C158" i="24"/>
  <c r="B158" i="24"/>
  <c r="A158" i="24"/>
  <c r="L157" i="24"/>
  <c r="K157" i="24"/>
  <c r="J157" i="24"/>
  <c r="I157" i="24"/>
  <c r="H157" i="24"/>
  <c r="G157" i="24"/>
  <c r="F157" i="24"/>
  <c r="E157" i="24"/>
  <c r="D157" i="24"/>
  <c r="C157" i="24"/>
  <c r="B157" i="24"/>
  <c r="A157" i="24"/>
  <c r="L156" i="24"/>
  <c r="K156" i="24"/>
  <c r="J156" i="24"/>
  <c r="I156" i="24"/>
  <c r="H156" i="24"/>
  <c r="G156" i="24"/>
  <c r="F156" i="24"/>
  <c r="E156" i="24"/>
  <c r="D156" i="24"/>
  <c r="C156" i="24"/>
  <c r="B156" i="24"/>
  <c r="A156" i="24"/>
  <c r="L155" i="24"/>
  <c r="K155" i="24"/>
  <c r="J155" i="24"/>
  <c r="I155" i="24"/>
  <c r="H155" i="24"/>
  <c r="G155" i="24"/>
  <c r="F155" i="24"/>
  <c r="E155" i="24"/>
  <c r="D155" i="24"/>
  <c r="C155" i="24"/>
  <c r="B155" i="24"/>
  <c r="A155" i="24"/>
  <c r="L154" i="24"/>
  <c r="K154" i="24"/>
  <c r="J154" i="24"/>
  <c r="I154" i="24"/>
  <c r="H154" i="24"/>
  <c r="G154" i="24"/>
  <c r="F154" i="24"/>
  <c r="E154" i="24"/>
  <c r="D154" i="24"/>
  <c r="C154" i="24"/>
  <c r="B154" i="24"/>
  <c r="A154" i="24"/>
  <c r="L153" i="24"/>
  <c r="K153" i="24"/>
  <c r="J153" i="24"/>
  <c r="I153" i="24"/>
  <c r="H153" i="24"/>
  <c r="G153" i="24"/>
  <c r="F153" i="24"/>
  <c r="E153" i="24"/>
  <c r="D153" i="24"/>
  <c r="C153" i="24"/>
  <c r="B153" i="24"/>
  <c r="A153" i="24"/>
  <c r="L152" i="24"/>
  <c r="K152" i="24"/>
  <c r="J152" i="24"/>
  <c r="I152" i="24"/>
  <c r="H152" i="24"/>
  <c r="G152" i="24"/>
  <c r="F152" i="24"/>
  <c r="E152" i="24"/>
  <c r="D152" i="24"/>
  <c r="C152" i="24"/>
  <c r="B152" i="24"/>
  <c r="A152" i="24"/>
  <c r="L151" i="24"/>
  <c r="K151" i="24"/>
  <c r="J151" i="24"/>
  <c r="I151" i="24"/>
  <c r="H151" i="24"/>
  <c r="G151" i="24"/>
  <c r="F151" i="24"/>
  <c r="E151" i="24"/>
  <c r="D151" i="24"/>
  <c r="C151" i="24"/>
  <c r="B151" i="24"/>
  <c r="A151" i="24"/>
  <c r="L150" i="24"/>
  <c r="K150" i="24"/>
  <c r="J150" i="24"/>
  <c r="I150" i="24"/>
  <c r="H150" i="24"/>
  <c r="G150" i="24"/>
  <c r="F150" i="24"/>
  <c r="E150" i="24"/>
  <c r="D150" i="24"/>
  <c r="C150" i="24"/>
  <c r="B150" i="24"/>
  <c r="A150" i="24"/>
  <c r="L149" i="24"/>
  <c r="K149" i="24"/>
  <c r="J149" i="24"/>
  <c r="I149" i="24"/>
  <c r="H149" i="24"/>
  <c r="G149" i="24"/>
  <c r="F149" i="24"/>
  <c r="E149" i="24"/>
  <c r="D149" i="24"/>
  <c r="C149" i="24"/>
  <c r="B149" i="24"/>
  <c r="A149" i="24"/>
  <c r="L148" i="24"/>
  <c r="K148" i="24"/>
  <c r="J148" i="24"/>
  <c r="I148" i="24"/>
  <c r="H148" i="24"/>
  <c r="G148" i="24"/>
  <c r="F148" i="24"/>
  <c r="E148" i="24"/>
  <c r="D148" i="24"/>
  <c r="C148" i="24"/>
  <c r="B148" i="24"/>
  <c r="A148" i="24"/>
  <c r="L147" i="24"/>
  <c r="K147" i="24"/>
  <c r="J147" i="24"/>
  <c r="I147" i="24"/>
  <c r="H147" i="24"/>
  <c r="G147" i="24"/>
  <c r="F147" i="24"/>
  <c r="E147" i="24"/>
  <c r="D147" i="24"/>
  <c r="C147" i="24"/>
  <c r="B147" i="24"/>
  <c r="A147" i="24"/>
  <c r="L146" i="24"/>
  <c r="K146" i="24"/>
  <c r="J146" i="24"/>
  <c r="I146" i="24"/>
  <c r="H146" i="24"/>
  <c r="G146" i="24"/>
  <c r="F146" i="24"/>
  <c r="E146" i="24"/>
  <c r="D146" i="24"/>
  <c r="C146" i="24"/>
  <c r="B146" i="24"/>
  <c r="A146" i="24"/>
  <c r="L145" i="24"/>
  <c r="K145" i="24"/>
  <c r="J145" i="24"/>
  <c r="I145" i="24"/>
  <c r="H145" i="24"/>
  <c r="G145" i="24"/>
  <c r="F145" i="24"/>
  <c r="E145" i="24"/>
  <c r="D145" i="24"/>
  <c r="C145" i="24"/>
  <c r="B145" i="24"/>
  <c r="A145" i="24"/>
  <c r="L144" i="24"/>
  <c r="K144" i="24"/>
  <c r="J144" i="24"/>
  <c r="I144" i="24"/>
  <c r="H144" i="24"/>
  <c r="G144" i="24"/>
  <c r="F144" i="24"/>
  <c r="E144" i="24"/>
  <c r="D144" i="24"/>
  <c r="C144" i="24"/>
  <c r="B144" i="24"/>
  <c r="A144" i="24"/>
  <c r="L143" i="24"/>
  <c r="K143" i="24"/>
  <c r="J143" i="24"/>
  <c r="I143" i="24"/>
  <c r="H143" i="24"/>
  <c r="G143" i="24"/>
  <c r="F143" i="24"/>
  <c r="E143" i="24"/>
  <c r="D143" i="24"/>
  <c r="C143" i="24"/>
  <c r="B143" i="24"/>
  <c r="A143" i="24"/>
  <c r="L142" i="24"/>
  <c r="K142" i="24"/>
  <c r="J142" i="24"/>
  <c r="I142" i="24"/>
  <c r="H142" i="24"/>
  <c r="G142" i="24"/>
  <c r="F142" i="24"/>
  <c r="E142" i="24"/>
  <c r="D142" i="24"/>
  <c r="C142" i="24"/>
  <c r="B142" i="24"/>
  <c r="A142" i="24"/>
  <c r="L141" i="24"/>
  <c r="K141" i="24"/>
  <c r="J141" i="24"/>
  <c r="I141" i="24"/>
  <c r="H141" i="24"/>
  <c r="G141" i="24"/>
  <c r="F141" i="24"/>
  <c r="E141" i="24"/>
  <c r="D141" i="24"/>
  <c r="C141" i="24"/>
  <c r="B141" i="24"/>
  <c r="A141" i="24"/>
  <c r="L140" i="24"/>
  <c r="K140" i="24"/>
  <c r="J140" i="24"/>
  <c r="I140" i="24"/>
  <c r="H140" i="24"/>
  <c r="G140" i="24"/>
  <c r="F140" i="24"/>
  <c r="E140" i="24"/>
  <c r="D140" i="24"/>
  <c r="C140" i="24"/>
  <c r="B140" i="24"/>
  <c r="A140" i="24"/>
  <c r="L139" i="24"/>
  <c r="K139" i="24"/>
  <c r="J139" i="24"/>
  <c r="I139" i="24"/>
  <c r="H139" i="24"/>
  <c r="G139" i="24"/>
  <c r="F139" i="24"/>
  <c r="E139" i="24"/>
  <c r="D139" i="24"/>
  <c r="C139" i="24"/>
  <c r="B139" i="24"/>
  <c r="A139" i="24"/>
  <c r="L138" i="24"/>
  <c r="K138" i="24"/>
  <c r="J138" i="24"/>
  <c r="I138" i="24"/>
  <c r="H138" i="24"/>
  <c r="G138" i="24"/>
  <c r="F138" i="24"/>
  <c r="E138" i="24"/>
  <c r="D138" i="24"/>
  <c r="C138" i="24"/>
  <c r="B138" i="24"/>
  <c r="A138" i="24"/>
  <c r="L137" i="24"/>
  <c r="K137" i="24"/>
  <c r="J137" i="24"/>
  <c r="I137" i="24"/>
  <c r="H137" i="24"/>
  <c r="G137" i="24"/>
  <c r="F137" i="24"/>
  <c r="E137" i="24"/>
  <c r="D137" i="24"/>
  <c r="C137" i="24"/>
  <c r="B137" i="24"/>
  <c r="A137" i="24"/>
  <c r="L136" i="24"/>
  <c r="K136" i="24"/>
  <c r="J136" i="24"/>
  <c r="I136" i="24"/>
  <c r="H136" i="24"/>
  <c r="G136" i="24"/>
  <c r="F136" i="24"/>
  <c r="E136" i="24"/>
  <c r="D136" i="24"/>
  <c r="C136" i="24"/>
  <c r="B136" i="24"/>
  <c r="A136" i="24"/>
  <c r="L135" i="24"/>
  <c r="K135" i="24"/>
  <c r="J135" i="24"/>
  <c r="I135" i="24"/>
  <c r="H135" i="24"/>
  <c r="G135" i="24"/>
  <c r="F135" i="24"/>
  <c r="E135" i="24"/>
  <c r="D135" i="24"/>
  <c r="C135" i="24"/>
  <c r="B135" i="24"/>
  <c r="A135" i="24"/>
  <c r="L134" i="24"/>
  <c r="K134" i="24"/>
  <c r="J134" i="24"/>
  <c r="I134" i="24"/>
  <c r="H134" i="24"/>
  <c r="G134" i="24"/>
  <c r="F134" i="24"/>
  <c r="E134" i="24"/>
  <c r="D134" i="24"/>
  <c r="C134" i="24"/>
  <c r="B134" i="24"/>
  <c r="A134" i="24"/>
  <c r="L133" i="24"/>
  <c r="K133" i="24"/>
  <c r="J133" i="24"/>
  <c r="I133" i="24"/>
  <c r="H133" i="24"/>
  <c r="G133" i="24"/>
  <c r="F133" i="24"/>
  <c r="E133" i="24"/>
  <c r="D133" i="24"/>
  <c r="C133" i="24"/>
  <c r="B133" i="24"/>
  <c r="A133" i="24"/>
  <c r="L132" i="24"/>
  <c r="K132" i="24"/>
  <c r="J132" i="24"/>
  <c r="I132" i="24"/>
  <c r="H132" i="24"/>
  <c r="G132" i="24"/>
  <c r="F132" i="24"/>
  <c r="E132" i="24"/>
  <c r="D132" i="24"/>
  <c r="C132" i="24"/>
  <c r="B132" i="24"/>
  <c r="A132" i="24"/>
  <c r="L131" i="24"/>
  <c r="K131" i="24"/>
  <c r="J131" i="24"/>
  <c r="I131" i="24"/>
  <c r="H131" i="24"/>
  <c r="G131" i="24"/>
  <c r="F131" i="24"/>
  <c r="E131" i="24"/>
  <c r="D131" i="24"/>
  <c r="C131" i="24"/>
  <c r="B131" i="24"/>
  <c r="A131" i="24"/>
  <c r="L130" i="24"/>
  <c r="K130" i="24"/>
  <c r="J130" i="24"/>
  <c r="I130" i="24"/>
  <c r="H130" i="24"/>
  <c r="G130" i="24"/>
  <c r="F130" i="24"/>
  <c r="E130" i="24"/>
  <c r="D130" i="24"/>
  <c r="C130" i="24"/>
  <c r="B130" i="24"/>
  <c r="A130" i="24"/>
  <c r="L129" i="24"/>
  <c r="K129" i="24"/>
  <c r="J129" i="24"/>
  <c r="I129" i="24"/>
  <c r="H129" i="24"/>
  <c r="G129" i="24"/>
  <c r="F129" i="24"/>
  <c r="E129" i="24"/>
  <c r="D129" i="24"/>
  <c r="C129" i="24"/>
  <c r="B129" i="24"/>
  <c r="A129" i="24"/>
  <c r="L128" i="24"/>
  <c r="K128" i="24"/>
  <c r="J128" i="24"/>
  <c r="I128" i="24"/>
  <c r="H128" i="24"/>
  <c r="G128" i="24"/>
  <c r="F128" i="24"/>
  <c r="E128" i="24"/>
  <c r="D128" i="24"/>
  <c r="C128" i="24"/>
  <c r="B128" i="24"/>
  <c r="A128" i="24"/>
  <c r="L127" i="24"/>
  <c r="K127" i="24"/>
  <c r="J127" i="24"/>
  <c r="I127" i="24"/>
  <c r="H127" i="24"/>
  <c r="G127" i="24"/>
  <c r="F127" i="24"/>
  <c r="E127" i="24"/>
  <c r="D127" i="24"/>
  <c r="C127" i="24"/>
  <c r="B127" i="24"/>
  <c r="A127" i="24"/>
  <c r="L126" i="24"/>
  <c r="K126" i="24"/>
  <c r="J126" i="24"/>
  <c r="I126" i="24"/>
  <c r="H126" i="24"/>
  <c r="G126" i="24"/>
  <c r="F126" i="24"/>
  <c r="E126" i="24"/>
  <c r="D126" i="24"/>
  <c r="C126" i="24"/>
  <c r="B126" i="24"/>
  <c r="A126" i="24"/>
  <c r="L125" i="24"/>
  <c r="K125" i="24"/>
  <c r="J125" i="24"/>
  <c r="I125" i="24"/>
  <c r="H125" i="24"/>
  <c r="G125" i="24"/>
  <c r="F125" i="24"/>
  <c r="E125" i="24"/>
  <c r="D125" i="24"/>
  <c r="C125" i="24"/>
  <c r="B125" i="24"/>
  <c r="A125" i="24"/>
  <c r="L124" i="24"/>
  <c r="K124" i="24"/>
  <c r="J124" i="24"/>
  <c r="I124" i="24"/>
  <c r="H124" i="24"/>
  <c r="G124" i="24"/>
  <c r="F124" i="24"/>
  <c r="E124" i="24"/>
  <c r="D124" i="24"/>
  <c r="C124" i="24"/>
  <c r="B124" i="24"/>
  <c r="A124" i="24"/>
  <c r="L123" i="24"/>
  <c r="K123" i="24"/>
  <c r="J123" i="24"/>
  <c r="I123" i="24"/>
  <c r="H123" i="24"/>
  <c r="G123" i="24"/>
  <c r="F123" i="24"/>
  <c r="E123" i="24"/>
  <c r="D123" i="24"/>
  <c r="C123" i="24"/>
  <c r="B123" i="24"/>
  <c r="A123" i="24"/>
  <c r="L122" i="24"/>
  <c r="K122" i="24"/>
  <c r="J122" i="24"/>
  <c r="I122" i="24"/>
  <c r="H122" i="24"/>
  <c r="G122" i="24"/>
  <c r="F122" i="24"/>
  <c r="E122" i="24"/>
  <c r="D122" i="24"/>
  <c r="C122" i="24"/>
  <c r="B122" i="24"/>
  <c r="A122" i="24"/>
  <c r="L121" i="24"/>
  <c r="K121" i="24"/>
  <c r="J121" i="24"/>
  <c r="I121" i="24"/>
  <c r="H121" i="24"/>
  <c r="G121" i="24"/>
  <c r="F121" i="24"/>
  <c r="E121" i="24"/>
  <c r="D121" i="24"/>
  <c r="C121" i="24"/>
  <c r="B121" i="24"/>
  <c r="A121" i="24"/>
  <c r="L120" i="24"/>
  <c r="K120" i="24"/>
  <c r="J120" i="24"/>
  <c r="I120" i="24"/>
  <c r="H120" i="24"/>
  <c r="G120" i="24"/>
  <c r="F120" i="24"/>
  <c r="E120" i="24"/>
  <c r="D120" i="24"/>
  <c r="C120" i="24"/>
  <c r="B120" i="24"/>
  <c r="A120" i="24"/>
  <c r="L119" i="24"/>
  <c r="K119" i="24"/>
  <c r="J119" i="24"/>
  <c r="I119" i="24"/>
  <c r="H119" i="24"/>
  <c r="G119" i="24"/>
  <c r="F119" i="24"/>
  <c r="E119" i="24"/>
  <c r="D119" i="24"/>
  <c r="C119" i="24"/>
  <c r="B119" i="24"/>
  <c r="A119" i="24"/>
  <c r="L118" i="24"/>
  <c r="K118" i="24"/>
  <c r="J118" i="24"/>
  <c r="I118" i="24"/>
  <c r="H118" i="24"/>
  <c r="G118" i="24"/>
  <c r="F118" i="24"/>
  <c r="E118" i="24"/>
  <c r="D118" i="24"/>
  <c r="C118" i="24"/>
  <c r="B118" i="24"/>
  <c r="A118" i="24"/>
  <c r="L117" i="24"/>
  <c r="K117" i="24"/>
  <c r="J117" i="24"/>
  <c r="I117" i="24"/>
  <c r="H117" i="24"/>
  <c r="G117" i="24"/>
  <c r="F117" i="24"/>
  <c r="E117" i="24"/>
  <c r="D117" i="24"/>
  <c r="C117" i="24"/>
  <c r="B117" i="24"/>
  <c r="A117" i="24"/>
  <c r="L116" i="24"/>
  <c r="K116" i="24"/>
  <c r="J116" i="24"/>
  <c r="I116" i="24"/>
  <c r="H116" i="24"/>
  <c r="G116" i="24"/>
  <c r="F116" i="24"/>
  <c r="E116" i="24"/>
  <c r="D116" i="24"/>
  <c r="C116" i="24"/>
  <c r="B116" i="24"/>
  <c r="A116" i="24"/>
  <c r="L115" i="24"/>
  <c r="K115" i="24"/>
  <c r="J115" i="24"/>
  <c r="I115" i="24"/>
  <c r="H115" i="24"/>
  <c r="G115" i="24"/>
  <c r="F115" i="24"/>
  <c r="E115" i="24"/>
  <c r="D115" i="24"/>
  <c r="C115" i="24"/>
  <c r="B115" i="24"/>
  <c r="A115" i="24"/>
  <c r="L114" i="24"/>
  <c r="K114" i="24"/>
  <c r="J114" i="24"/>
  <c r="I114" i="24"/>
  <c r="H114" i="24"/>
  <c r="G114" i="24"/>
  <c r="F114" i="24"/>
  <c r="E114" i="24"/>
  <c r="D114" i="24"/>
  <c r="C114" i="24"/>
  <c r="B114" i="24"/>
  <c r="A114" i="24"/>
  <c r="L113" i="24"/>
  <c r="K113" i="24"/>
  <c r="J113" i="24"/>
  <c r="I113" i="24"/>
  <c r="H113" i="24"/>
  <c r="G113" i="24"/>
  <c r="F113" i="24"/>
  <c r="E113" i="24"/>
  <c r="D113" i="24"/>
  <c r="C113" i="24"/>
  <c r="B113" i="24"/>
  <c r="A113" i="24"/>
  <c r="L112" i="24"/>
  <c r="K112" i="24"/>
  <c r="J112" i="24"/>
  <c r="I112" i="24"/>
  <c r="H112" i="24"/>
  <c r="G112" i="24"/>
  <c r="F112" i="24"/>
  <c r="E112" i="24"/>
  <c r="D112" i="24"/>
  <c r="C112" i="24"/>
  <c r="B112" i="24"/>
  <c r="A112" i="24"/>
  <c r="L111" i="24"/>
  <c r="K111" i="24"/>
  <c r="J111" i="24"/>
  <c r="I111" i="24"/>
  <c r="H111" i="24"/>
  <c r="G111" i="24"/>
  <c r="F111" i="24"/>
  <c r="E111" i="24"/>
  <c r="D111" i="24"/>
  <c r="C111" i="24"/>
  <c r="B111" i="24"/>
  <c r="A111" i="24"/>
  <c r="L110" i="24"/>
  <c r="K110" i="24"/>
  <c r="J110" i="24"/>
  <c r="I110" i="24"/>
  <c r="H110" i="24"/>
  <c r="G110" i="24"/>
  <c r="F110" i="24"/>
  <c r="E110" i="24"/>
  <c r="D110" i="24"/>
  <c r="C110" i="24"/>
  <c r="B110" i="24"/>
  <c r="A110" i="24"/>
  <c r="L109" i="24"/>
  <c r="K109" i="24"/>
  <c r="J109" i="24"/>
  <c r="I109" i="24"/>
  <c r="H109" i="24"/>
  <c r="G109" i="24"/>
  <c r="F109" i="24"/>
  <c r="E109" i="24"/>
  <c r="D109" i="24"/>
  <c r="C109" i="24"/>
  <c r="B109" i="24"/>
  <c r="A109" i="24"/>
  <c r="L108" i="24"/>
  <c r="K108" i="24"/>
  <c r="J108" i="24"/>
  <c r="I108" i="24"/>
  <c r="H108" i="24"/>
  <c r="G108" i="24"/>
  <c r="F108" i="24"/>
  <c r="E108" i="24"/>
  <c r="D108" i="24"/>
  <c r="C108" i="24"/>
  <c r="B108" i="24"/>
  <c r="A108" i="24"/>
  <c r="L107" i="24"/>
  <c r="K107" i="24"/>
  <c r="J107" i="24"/>
  <c r="I107" i="24"/>
  <c r="H107" i="24"/>
  <c r="G107" i="24"/>
  <c r="F107" i="24"/>
  <c r="E107" i="24"/>
  <c r="D107" i="24"/>
  <c r="C107" i="24"/>
  <c r="B107" i="24"/>
  <c r="A107" i="24"/>
  <c r="L106" i="24"/>
  <c r="K106" i="24"/>
  <c r="J106" i="24"/>
  <c r="I106" i="24"/>
  <c r="H106" i="24"/>
  <c r="G106" i="24"/>
  <c r="F106" i="24"/>
  <c r="E106" i="24"/>
  <c r="D106" i="24"/>
  <c r="C106" i="24"/>
  <c r="B106" i="24"/>
  <c r="A106" i="24"/>
  <c r="L105" i="24"/>
  <c r="K105" i="24"/>
  <c r="J105" i="24"/>
  <c r="I105" i="24"/>
  <c r="H105" i="24"/>
  <c r="G105" i="24"/>
  <c r="F105" i="24"/>
  <c r="E105" i="24"/>
  <c r="D105" i="24"/>
  <c r="C105" i="24"/>
  <c r="B105" i="24"/>
  <c r="A105" i="24"/>
  <c r="L104" i="24"/>
  <c r="K104" i="24"/>
  <c r="J104" i="24"/>
  <c r="I104" i="24"/>
  <c r="H104" i="24"/>
  <c r="G104" i="24"/>
  <c r="F104" i="24"/>
  <c r="E104" i="24"/>
  <c r="D104" i="24"/>
  <c r="C104" i="24"/>
  <c r="B104" i="24"/>
  <c r="A104" i="24"/>
  <c r="L103" i="24"/>
  <c r="K103" i="24"/>
  <c r="J103" i="24"/>
  <c r="I103" i="24"/>
  <c r="H103" i="24"/>
  <c r="G103" i="24"/>
  <c r="F103" i="24"/>
  <c r="E103" i="24"/>
  <c r="D103" i="24"/>
  <c r="C103" i="24"/>
  <c r="B103" i="24"/>
  <c r="A103" i="24"/>
  <c r="L102" i="24"/>
  <c r="K102" i="24"/>
  <c r="J102" i="24"/>
  <c r="I102" i="24"/>
  <c r="H102" i="24"/>
  <c r="G102" i="24"/>
  <c r="F102" i="24"/>
  <c r="E102" i="24"/>
  <c r="D102" i="24"/>
  <c r="C102" i="24"/>
  <c r="B102" i="24"/>
  <c r="A102" i="24"/>
  <c r="L101" i="24"/>
  <c r="K101" i="24"/>
  <c r="J101" i="24"/>
  <c r="I101" i="24"/>
  <c r="H101" i="24"/>
  <c r="G101" i="24"/>
  <c r="F101" i="24"/>
  <c r="E101" i="24"/>
  <c r="D101" i="24"/>
  <c r="C101" i="24"/>
  <c r="B101" i="24"/>
  <c r="A101" i="24"/>
  <c r="L100" i="24"/>
  <c r="K100" i="24"/>
  <c r="J100" i="24"/>
  <c r="I100" i="24"/>
  <c r="H100" i="24"/>
  <c r="G100" i="24"/>
  <c r="F100" i="24"/>
  <c r="E100" i="24"/>
  <c r="D100" i="24"/>
  <c r="C100" i="24"/>
  <c r="B100" i="24"/>
  <c r="A100" i="24"/>
  <c r="L99" i="24"/>
  <c r="K99" i="24"/>
  <c r="J99" i="24"/>
  <c r="I99" i="24"/>
  <c r="H99" i="24"/>
  <c r="G99" i="24"/>
  <c r="F99" i="24"/>
  <c r="E99" i="24"/>
  <c r="D99" i="24"/>
  <c r="C99" i="24"/>
  <c r="B99" i="24"/>
  <c r="A99" i="24"/>
  <c r="L98" i="24"/>
  <c r="K98" i="24"/>
  <c r="J98" i="24"/>
  <c r="I98" i="24"/>
  <c r="H98" i="24"/>
  <c r="G98" i="24"/>
  <c r="F98" i="24"/>
  <c r="E98" i="24"/>
  <c r="D98" i="24"/>
  <c r="C98" i="24"/>
  <c r="B98" i="24"/>
  <c r="A98" i="24"/>
  <c r="L97" i="24"/>
  <c r="K97" i="24"/>
  <c r="J97" i="24"/>
  <c r="I97" i="24"/>
  <c r="H97" i="24"/>
  <c r="G97" i="24"/>
  <c r="F97" i="24"/>
  <c r="E97" i="24"/>
  <c r="D97" i="24"/>
  <c r="C97" i="24"/>
  <c r="B97" i="24"/>
  <c r="A97" i="24"/>
  <c r="L96" i="24"/>
  <c r="K96" i="24"/>
  <c r="J96" i="24"/>
  <c r="I96" i="24"/>
  <c r="H96" i="24"/>
  <c r="G96" i="24"/>
  <c r="F96" i="24"/>
  <c r="E96" i="24"/>
  <c r="D96" i="24"/>
  <c r="C96" i="24"/>
  <c r="B96" i="24"/>
  <c r="A96" i="24"/>
  <c r="L95" i="24"/>
  <c r="K95" i="24"/>
  <c r="J95" i="24"/>
  <c r="I95" i="24"/>
  <c r="H95" i="24"/>
  <c r="G95" i="24"/>
  <c r="F95" i="24"/>
  <c r="E95" i="24"/>
  <c r="D95" i="24"/>
  <c r="C95" i="24"/>
  <c r="B95" i="24"/>
  <c r="A95" i="24"/>
  <c r="L94" i="24"/>
  <c r="K94" i="24"/>
  <c r="J94" i="24"/>
  <c r="I94" i="24"/>
  <c r="H94" i="24"/>
  <c r="G94" i="24"/>
  <c r="F94" i="24"/>
  <c r="E94" i="24"/>
  <c r="D94" i="24"/>
  <c r="C94" i="24"/>
  <c r="B94" i="24"/>
  <c r="A94" i="24"/>
  <c r="L93" i="24"/>
  <c r="K93" i="24"/>
  <c r="J93" i="24"/>
  <c r="I93" i="24"/>
  <c r="H93" i="24"/>
  <c r="G93" i="24"/>
  <c r="F93" i="24"/>
  <c r="E93" i="24"/>
  <c r="D93" i="24"/>
  <c r="C93" i="24"/>
  <c r="B93" i="24"/>
  <c r="A93" i="24"/>
  <c r="L92" i="24"/>
  <c r="K92" i="24"/>
  <c r="J92" i="24"/>
  <c r="I92" i="24"/>
  <c r="H92" i="24"/>
  <c r="G92" i="24"/>
  <c r="F92" i="24"/>
  <c r="E92" i="24"/>
  <c r="D92" i="24"/>
  <c r="C92" i="24"/>
  <c r="B92" i="24"/>
  <c r="A92" i="24"/>
  <c r="L91" i="24"/>
  <c r="K91" i="24"/>
  <c r="J91" i="24"/>
  <c r="I91" i="24"/>
  <c r="H91" i="24"/>
  <c r="G91" i="24"/>
  <c r="F91" i="24"/>
  <c r="E91" i="24"/>
  <c r="D91" i="24"/>
  <c r="C91" i="24"/>
  <c r="B91" i="24"/>
  <c r="A91" i="24"/>
  <c r="L90" i="24"/>
  <c r="K90" i="24"/>
  <c r="J90" i="24"/>
  <c r="I90" i="24"/>
  <c r="H90" i="24"/>
  <c r="G90" i="24"/>
  <c r="F90" i="24"/>
  <c r="E90" i="24"/>
  <c r="D90" i="24"/>
  <c r="C90" i="24"/>
  <c r="B90" i="24"/>
  <c r="A90" i="24"/>
  <c r="L89" i="24"/>
  <c r="K89" i="24"/>
  <c r="J89" i="24"/>
  <c r="I89" i="24"/>
  <c r="H89" i="24"/>
  <c r="G89" i="24"/>
  <c r="F89" i="24"/>
  <c r="E89" i="24"/>
  <c r="D89" i="24"/>
  <c r="C89" i="24"/>
  <c r="B89" i="24"/>
  <c r="A89" i="24"/>
  <c r="L88" i="24"/>
  <c r="K88" i="24"/>
  <c r="J88" i="24"/>
  <c r="I88" i="24"/>
  <c r="H88" i="24"/>
  <c r="G88" i="24"/>
  <c r="F88" i="24"/>
  <c r="E88" i="24"/>
  <c r="D88" i="24"/>
  <c r="C88" i="24"/>
  <c r="B88" i="24"/>
  <c r="A88" i="24"/>
  <c r="L87" i="24"/>
  <c r="K87" i="24"/>
  <c r="J87" i="24"/>
  <c r="I87" i="24"/>
  <c r="H87" i="24"/>
  <c r="G87" i="24"/>
  <c r="F87" i="24"/>
  <c r="E87" i="24"/>
  <c r="D87" i="24"/>
  <c r="C87" i="24"/>
  <c r="B87" i="24"/>
  <c r="A87" i="24"/>
  <c r="L86" i="24"/>
  <c r="K86" i="24"/>
  <c r="J86" i="24"/>
  <c r="I86" i="24"/>
  <c r="H86" i="24"/>
  <c r="G86" i="24"/>
  <c r="F86" i="24"/>
  <c r="E86" i="24"/>
  <c r="D86" i="24"/>
  <c r="C86" i="24"/>
  <c r="B86" i="24"/>
  <c r="A86" i="24"/>
  <c r="L85" i="24"/>
  <c r="K85" i="24"/>
  <c r="J85" i="24"/>
  <c r="I85" i="24"/>
  <c r="H85" i="24"/>
  <c r="G85" i="24"/>
  <c r="F85" i="24"/>
  <c r="E85" i="24"/>
  <c r="D85" i="24"/>
  <c r="C85" i="24"/>
  <c r="B85" i="24"/>
  <c r="A85" i="24"/>
  <c r="L84" i="24"/>
  <c r="K84" i="24"/>
  <c r="J84" i="24"/>
  <c r="I84" i="24"/>
  <c r="H84" i="24"/>
  <c r="G84" i="24"/>
  <c r="F84" i="24"/>
  <c r="E84" i="24"/>
  <c r="D84" i="24"/>
  <c r="C84" i="24"/>
  <c r="B84" i="24"/>
  <c r="A84" i="24"/>
  <c r="L83" i="24"/>
  <c r="K83" i="24"/>
  <c r="J83" i="24"/>
  <c r="I83" i="24"/>
  <c r="H83" i="24"/>
  <c r="G83" i="24"/>
  <c r="F83" i="24"/>
  <c r="E83" i="24"/>
  <c r="D83" i="24"/>
  <c r="C83" i="24"/>
  <c r="B83" i="24"/>
  <c r="A83" i="24"/>
  <c r="L82" i="24"/>
  <c r="K82" i="24"/>
  <c r="J82" i="24"/>
  <c r="I82" i="24"/>
  <c r="H82" i="24"/>
  <c r="G82" i="24"/>
  <c r="F82" i="24"/>
  <c r="E82" i="24"/>
  <c r="D82" i="24"/>
  <c r="C82" i="24"/>
  <c r="B82" i="24"/>
  <c r="A82" i="24"/>
  <c r="L81" i="24"/>
  <c r="K81" i="24"/>
  <c r="J81" i="24"/>
  <c r="I81" i="24"/>
  <c r="H81" i="24"/>
  <c r="G81" i="24"/>
  <c r="F81" i="24"/>
  <c r="E81" i="24"/>
  <c r="D81" i="24"/>
  <c r="C81" i="24"/>
  <c r="B81" i="24"/>
  <c r="A81" i="24"/>
  <c r="L80" i="24"/>
  <c r="K80" i="24"/>
  <c r="J80" i="24"/>
  <c r="I80" i="24"/>
  <c r="H80" i="24"/>
  <c r="G80" i="24"/>
  <c r="F80" i="24"/>
  <c r="E80" i="24"/>
  <c r="D80" i="24"/>
  <c r="C80" i="24"/>
  <c r="B80" i="24"/>
  <c r="A80" i="24"/>
  <c r="L79" i="24"/>
  <c r="K79" i="24"/>
  <c r="J79" i="24"/>
  <c r="I79" i="24"/>
  <c r="H79" i="24"/>
  <c r="G79" i="24"/>
  <c r="F79" i="24"/>
  <c r="E79" i="24"/>
  <c r="D79" i="24"/>
  <c r="C79" i="24"/>
  <c r="B79" i="24"/>
  <c r="A79" i="24"/>
  <c r="L78" i="24"/>
  <c r="K78" i="24"/>
  <c r="J78" i="24"/>
  <c r="I78" i="24"/>
  <c r="H78" i="24"/>
  <c r="G78" i="24"/>
  <c r="F78" i="24"/>
  <c r="E78" i="24"/>
  <c r="D78" i="24"/>
  <c r="C78" i="24"/>
  <c r="B78" i="24"/>
  <c r="A78" i="24"/>
  <c r="L77" i="24"/>
  <c r="K77" i="24"/>
  <c r="J77" i="24"/>
  <c r="I77" i="24"/>
  <c r="H77" i="24"/>
  <c r="G77" i="24"/>
  <c r="F77" i="24"/>
  <c r="E77" i="24"/>
  <c r="D77" i="24"/>
  <c r="C77" i="24"/>
  <c r="B77" i="24"/>
  <c r="A77" i="24"/>
  <c r="L76" i="24"/>
  <c r="K76" i="24"/>
  <c r="J76" i="24"/>
  <c r="I76" i="24"/>
  <c r="H76" i="24"/>
  <c r="G76" i="24"/>
  <c r="F76" i="24"/>
  <c r="E76" i="24"/>
  <c r="D76" i="24"/>
  <c r="C76" i="24"/>
  <c r="B76" i="24"/>
  <c r="A76" i="24"/>
  <c r="L75" i="24"/>
  <c r="K75" i="24"/>
  <c r="J75" i="24"/>
  <c r="I75" i="24"/>
  <c r="H75" i="24"/>
  <c r="G75" i="24"/>
  <c r="F75" i="24"/>
  <c r="E75" i="24"/>
  <c r="D75" i="24"/>
  <c r="C75" i="24"/>
  <c r="B75" i="24"/>
  <c r="A75" i="24"/>
  <c r="L74" i="24"/>
  <c r="K74" i="24"/>
  <c r="J74" i="24"/>
  <c r="I74" i="24"/>
  <c r="H74" i="24"/>
  <c r="G74" i="24"/>
  <c r="F74" i="24"/>
  <c r="E74" i="24"/>
  <c r="D74" i="24"/>
  <c r="C74" i="24"/>
  <c r="B74" i="24"/>
  <c r="A74" i="24"/>
  <c r="L73" i="24"/>
  <c r="K73" i="24"/>
  <c r="J73" i="24"/>
  <c r="I73" i="24"/>
  <c r="H73" i="24"/>
  <c r="G73" i="24"/>
  <c r="F73" i="24"/>
  <c r="E73" i="24"/>
  <c r="D73" i="24"/>
  <c r="C73" i="24"/>
  <c r="B73" i="24"/>
  <c r="A73" i="24"/>
  <c r="L72" i="24"/>
  <c r="K72" i="24"/>
  <c r="J72" i="24"/>
  <c r="I72" i="24"/>
  <c r="H72" i="24"/>
  <c r="G72" i="24"/>
  <c r="F72" i="24"/>
  <c r="E72" i="24"/>
  <c r="D72" i="24"/>
  <c r="C72" i="24"/>
  <c r="B72" i="24"/>
  <c r="A72" i="24"/>
  <c r="L71" i="24"/>
  <c r="K71" i="24"/>
  <c r="J71" i="24"/>
  <c r="I71" i="24"/>
  <c r="H71" i="24"/>
  <c r="G71" i="24"/>
  <c r="F71" i="24"/>
  <c r="E71" i="24"/>
  <c r="D71" i="24"/>
  <c r="C71" i="24"/>
  <c r="B71" i="24"/>
  <c r="A71" i="24"/>
  <c r="L70" i="24"/>
  <c r="K70" i="24"/>
  <c r="J70" i="24"/>
  <c r="I70" i="24"/>
  <c r="H70" i="24"/>
  <c r="G70" i="24"/>
  <c r="F70" i="24"/>
  <c r="E70" i="24"/>
  <c r="D70" i="24"/>
  <c r="C70" i="24"/>
  <c r="B70" i="24"/>
  <c r="A70" i="24"/>
  <c r="L69" i="24"/>
  <c r="K69" i="24"/>
  <c r="J69" i="24"/>
  <c r="I69" i="24"/>
  <c r="H69" i="24"/>
  <c r="G69" i="24"/>
  <c r="F69" i="24"/>
  <c r="E69" i="24"/>
  <c r="D69" i="24"/>
  <c r="C69" i="24"/>
  <c r="B69" i="24"/>
  <c r="A69" i="24"/>
  <c r="L68" i="24"/>
  <c r="K68" i="24"/>
  <c r="J68" i="24"/>
  <c r="I68" i="24"/>
  <c r="H68" i="24"/>
  <c r="G68" i="24"/>
  <c r="F68" i="24"/>
  <c r="E68" i="24"/>
  <c r="D68" i="24"/>
  <c r="C68" i="24"/>
  <c r="B68" i="24"/>
  <c r="A68" i="24"/>
  <c r="L67" i="24"/>
  <c r="K67" i="24"/>
  <c r="J67" i="24"/>
  <c r="I67" i="24"/>
  <c r="H67" i="24"/>
  <c r="G67" i="24"/>
  <c r="F67" i="24"/>
  <c r="E67" i="24"/>
  <c r="D67" i="24"/>
  <c r="C67" i="24"/>
  <c r="B67" i="24"/>
  <c r="A67" i="24"/>
  <c r="L66" i="24"/>
  <c r="K66" i="24"/>
  <c r="J66" i="24"/>
  <c r="I66" i="24"/>
  <c r="H66" i="24"/>
  <c r="G66" i="24"/>
  <c r="F66" i="24"/>
  <c r="E66" i="24"/>
  <c r="D66" i="24"/>
  <c r="C66" i="24"/>
  <c r="B66" i="24"/>
  <c r="A66" i="24"/>
  <c r="L65" i="24"/>
  <c r="K65" i="24"/>
  <c r="J65" i="24"/>
  <c r="I65" i="24"/>
  <c r="H65" i="24"/>
  <c r="G65" i="24"/>
  <c r="F65" i="24"/>
  <c r="E65" i="24"/>
  <c r="D65" i="24"/>
  <c r="C65" i="24"/>
  <c r="B65" i="24"/>
  <c r="A65" i="24"/>
  <c r="L64" i="24"/>
  <c r="K64" i="24"/>
  <c r="J64" i="24"/>
  <c r="I64" i="24"/>
  <c r="H64" i="24"/>
  <c r="G64" i="24"/>
  <c r="F64" i="24"/>
  <c r="E64" i="24"/>
  <c r="D64" i="24"/>
  <c r="C64" i="24"/>
  <c r="B64" i="24"/>
  <c r="A64" i="24"/>
  <c r="L63" i="24"/>
  <c r="K63" i="24"/>
  <c r="J63" i="24"/>
  <c r="I63" i="24"/>
  <c r="H63" i="24"/>
  <c r="G63" i="24"/>
  <c r="F63" i="24"/>
  <c r="E63" i="24"/>
  <c r="D63" i="24"/>
  <c r="C63" i="24"/>
  <c r="B63" i="24"/>
  <c r="A63" i="24"/>
  <c r="L62" i="24"/>
  <c r="K62" i="24"/>
  <c r="J62" i="24"/>
  <c r="I62" i="24"/>
  <c r="H62" i="24"/>
  <c r="G62" i="24"/>
  <c r="F62" i="24"/>
  <c r="E62" i="24"/>
  <c r="D62" i="24"/>
  <c r="C62" i="24"/>
  <c r="B62" i="24"/>
  <c r="A62" i="24"/>
  <c r="L61" i="24"/>
  <c r="K61" i="24"/>
  <c r="J61" i="24"/>
  <c r="I61" i="24"/>
  <c r="H61" i="24"/>
  <c r="G61" i="24"/>
  <c r="F61" i="24"/>
  <c r="E61" i="24"/>
  <c r="D61" i="24"/>
  <c r="C61" i="24"/>
  <c r="B61" i="24"/>
  <c r="A61" i="24"/>
  <c r="L60" i="24"/>
  <c r="K60" i="24"/>
  <c r="J60" i="24"/>
  <c r="I60" i="24"/>
  <c r="H60" i="24"/>
  <c r="G60" i="24"/>
  <c r="F60" i="24"/>
  <c r="E60" i="24"/>
  <c r="D60" i="24"/>
  <c r="C60" i="24"/>
  <c r="B60" i="24"/>
  <c r="A60" i="24"/>
  <c r="L59" i="24"/>
  <c r="K59" i="24"/>
  <c r="J59" i="24"/>
  <c r="I59" i="24"/>
  <c r="H59" i="24"/>
  <c r="G59" i="24"/>
  <c r="F59" i="24"/>
  <c r="E59" i="24"/>
  <c r="D59" i="24"/>
  <c r="C59" i="24"/>
  <c r="B59" i="24"/>
  <c r="A59" i="24"/>
  <c r="L58" i="24"/>
  <c r="K58" i="24"/>
  <c r="J58" i="24"/>
  <c r="I58" i="24"/>
  <c r="H58" i="24"/>
  <c r="G58" i="24"/>
  <c r="F58" i="24"/>
  <c r="E58" i="24"/>
  <c r="D58" i="24"/>
  <c r="C58" i="24"/>
  <c r="B58" i="24"/>
  <c r="A58" i="24"/>
  <c r="L57" i="24"/>
  <c r="K57" i="24"/>
  <c r="J57" i="24"/>
  <c r="I57" i="24"/>
  <c r="H57" i="24"/>
  <c r="G57" i="24"/>
  <c r="F57" i="24"/>
  <c r="E57" i="24"/>
  <c r="D57" i="24"/>
  <c r="C57" i="24"/>
  <c r="B57" i="24"/>
  <c r="A57" i="24"/>
  <c r="L56" i="24"/>
  <c r="K56" i="24"/>
  <c r="J56" i="24"/>
  <c r="I56" i="24"/>
  <c r="H56" i="24"/>
  <c r="G56" i="24"/>
  <c r="F56" i="24"/>
  <c r="E56" i="24"/>
  <c r="D56" i="24"/>
  <c r="C56" i="24"/>
  <c r="B56" i="24"/>
  <c r="A56" i="24"/>
  <c r="L55" i="24"/>
  <c r="K55" i="24"/>
  <c r="J55" i="24"/>
  <c r="I55" i="24"/>
  <c r="H55" i="24"/>
  <c r="G55" i="24"/>
  <c r="F55" i="24"/>
  <c r="E55" i="24"/>
  <c r="D55" i="24"/>
  <c r="C55" i="24"/>
  <c r="B55" i="24"/>
  <c r="A55" i="24"/>
  <c r="L54" i="24"/>
  <c r="K54" i="24"/>
  <c r="J54" i="24"/>
  <c r="I54" i="24"/>
  <c r="H54" i="24"/>
  <c r="G54" i="24"/>
  <c r="F54" i="24"/>
  <c r="E54" i="24"/>
  <c r="D54" i="24"/>
  <c r="C54" i="24"/>
  <c r="B54" i="24"/>
  <c r="A54" i="24"/>
  <c r="L53" i="24"/>
  <c r="K53" i="24"/>
  <c r="J53" i="24"/>
  <c r="I53" i="24"/>
  <c r="H53" i="24"/>
  <c r="G53" i="24"/>
  <c r="F53" i="24"/>
  <c r="E53" i="24"/>
  <c r="D53" i="24"/>
  <c r="C53" i="24"/>
  <c r="B53" i="24"/>
  <c r="A53" i="24"/>
  <c r="L52" i="24"/>
  <c r="K52" i="24"/>
  <c r="J52" i="24"/>
  <c r="I52" i="24"/>
  <c r="H52" i="24"/>
  <c r="G52" i="24"/>
  <c r="F52" i="24"/>
  <c r="E52" i="24"/>
  <c r="D52" i="24"/>
  <c r="C52" i="24"/>
  <c r="B52" i="24"/>
  <c r="A52" i="24"/>
  <c r="L51" i="24"/>
  <c r="K51" i="24"/>
  <c r="J51" i="24"/>
  <c r="I51" i="24"/>
  <c r="H51" i="24"/>
  <c r="G51" i="24"/>
  <c r="F51" i="24"/>
  <c r="E51" i="24"/>
  <c r="D51" i="24"/>
  <c r="C51" i="24"/>
  <c r="B51" i="24"/>
  <c r="A51" i="24"/>
  <c r="L50" i="24"/>
  <c r="K50" i="24"/>
  <c r="J50" i="24"/>
  <c r="I50" i="24"/>
  <c r="H50" i="24"/>
  <c r="G50" i="24"/>
  <c r="F50" i="24"/>
  <c r="E50" i="24"/>
  <c r="D50" i="24"/>
  <c r="C50" i="24"/>
  <c r="B50" i="24"/>
  <c r="A50" i="24"/>
  <c r="L49" i="24"/>
  <c r="K49" i="24"/>
  <c r="J49" i="24"/>
  <c r="I49" i="24"/>
  <c r="H49" i="24"/>
  <c r="G49" i="24"/>
  <c r="F49" i="24"/>
  <c r="E49" i="24"/>
  <c r="D49" i="24"/>
  <c r="C49" i="24"/>
  <c r="B49" i="24"/>
  <c r="A49" i="24"/>
  <c r="L48" i="24"/>
  <c r="K48" i="24"/>
  <c r="J48" i="24"/>
  <c r="I48" i="24"/>
  <c r="H48" i="24"/>
  <c r="G48" i="24"/>
  <c r="F48" i="24"/>
  <c r="E48" i="24"/>
  <c r="D48" i="24"/>
  <c r="C48" i="24"/>
  <c r="B48" i="24"/>
  <c r="A48" i="24"/>
  <c r="L47" i="24"/>
  <c r="K47" i="24"/>
  <c r="J47" i="24"/>
  <c r="I47" i="24"/>
  <c r="H47" i="24"/>
  <c r="G47" i="24"/>
  <c r="F47" i="24"/>
  <c r="E47" i="24"/>
  <c r="D47" i="24"/>
  <c r="C47" i="24"/>
  <c r="B47" i="24"/>
  <c r="A47" i="24"/>
  <c r="L46" i="24"/>
  <c r="K46" i="24"/>
  <c r="J46" i="24"/>
  <c r="I46" i="24"/>
  <c r="H46" i="24"/>
  <c r="G46" i="24"/>
  <c r="F46" i="24"/>
  <c r="E46" i="24"/>
  <c r="D46" i="24"/>
  <c r="C46" i="24"/>
  <c r="B46" i="24"/>
  <c r="A46" i="24"/>
  <c r="L45" i="24"/>
  <c r="K45" i="24"/>
  <c r="J45" i="24"/>
  <c r="I45" i="24"/>
  <c r="H45" i="24"/>
  <c r="G45" i="24"/>
  <c r="F45" i="24"/>
  <c r="E45" i="24"/>
  <c r="D45" i="24"/>
  <c r="C45" i="24"/>
  <c r="B45" i="24"/>
  <c r="A45" i="24"/>
  <c r="L44" i="24"/>
  <c r="K44" i="24"/>
  <c r="J44" i="24"/>
  <c r="I44" i="24"/>
  <c r="H44" i="24"/>
  <c r="G44" i="24"/>
  <c r="F44" i="24"/>
  <c r="E44" i="24"/>
  <c r="D44" i="24"/>
  <c r="C44" i="24"/>
  <c r="B44" i="24"/>
  <c r="A44" i="24"/>
  <c r="L43" i="24"/>
  <c r="K43" i="24"/>
  <c r="J43" i="24"/>
  <c r="I43" i="24"/>
  <c r="H43" i="24"/>
  <c r="G43" i="24"/>
  <c r="F43" i="24"/>
  <c r="E43" i="24"/>
  <c r="D43" i="24"/>
  <c r="C43" i="24"/>
  <c r="B43" i="24"/>
  <c r="A43" i="24"/>
  <c r="L42" i="24"/>
  <c r="K42" i="24"/>
  <c r="J42" i="24"/>
  <c r="I42" i="24"/>
  <c r="H42" i="24"/>
  <c r="G42" i="24"/>
  <c r="F42" i="24"/>
  <c r="E42" i="24"/>
  <c r="D42" i="24"/>
  <c r="C42" i="24"/>
  <c r="B42" i="24"/>
  <c r="A42" i="24"/>
  <c r="L41" i="24"/>
  <c r="K41" i="24"/>
  <c r="J41" i="24"/>
  <c r="I41" i="24"/>
  <c r="H41" i="24"/>
  <c r="G41" i="24"/>
  <c r="F41" i="24"/>
  <c r="E41" i="24"/>
  <c r="D41" i="24"/>
  <c r="C41" i="24"/>
  <c r="B41" i="24"/>
  <c r="A41" i="24"/>
  <c r="L40" i="24"/>
  <c r="K40" i="24"/>
  <c r="J40" i="24"/>
  <c r="I40" i="24"/>
  <c r="H40" i="24"/>
  <c r="G40" i="24"/>
  <c r="F40" i="24"/>
  <c r="E40" i="24"/>
  <c r="D40" i="24"/>
  <c r="C40" i="24"/>
  <c r="B40" i="24"/>
  <c r="A40" i="24"/>
  <c r="L39" i="24"/>
  <c r="K39" i="24"/>
  <c r="J39" i="24"/>
  <c r="I39" i="24"/>
  <c r="H39" i="24"/>
  <c r="G39" i="24"/>
  <c r="F39" i="24"/>
  <c r="E39" i="24"/>
  <c r="D39" i="24"/>
  <c r="C39" i="24"/>
  <c r="B39" i="24"/>
  <c r="A39" i="24"/>
  <c r="L38" i="24"/>
  <c r="K38" i="24"/>
  <c r="J38" i="24"/>
  <c r="I38" i="24"/>
  <c r="H38" i="24"/>
  <c r="G38" i="24"/>
  <c r="F38" i="24"/>
  <c r="E38" i="24"/>
  <c r="D38" i="24"/>
  <c r="C38" i="24"/>
  <c r="B38" i="24"/>
  <c r="A38" i="24"/>
  <c r="L37" i="24"/>
  <c r="K37" i="24"/>
  <c r="J37" i="24"/>
  <c r="I37" i="24"/>
  <c r="H37" i="24"/>
  <c r="G37" i="24"/>
  <c r="F37" i="24"/>
  <c r="E37" i="24"/>
  <c r="D37" i="24"/>
  <c r="C37" i="24"/>
  <c r="B37" i="24"/>
  <c r="A37" i="24"/>
  <c r="L36" i="24"/>
  <c r="K36" i="24"/>
  <c r="J36" i="24"/>
  <c r="I36" i="24"/>
  <c r="H36" i="24"/>
  <c r="G36" i="24"/>
  <c r="F36" i="24"/>
  <c r="E36" i="24"/>
  <c r="D36" i="24"/>
  <c r="C36" i="24"/>
  <c r="B36" i="24"/>
  <c r="A36" i="24"/>
  <c r="L35" i="24"/>
  <c r="K35" i="24"/>
  <c r="J35" i="24"/>
  <c r="I35" i="24"/>
  <c r="H35" i="24"/>
  <c r="G35" i="24"/>
  <c r="F35" i="24"/>
  <c r="E35" i="24"/>
  <c r="D35" i="24"/>
  <c r="C35" i="24"/>
  <c r="B35" i="24"/>
  <c r="A35" i="24"/>
  <c r="L34" i="24"/>
  <c r="K34" i="24"/>
  <c r="J34" i="24"/>
  <c r="I34" i="24"/>
  <c r="H34" i="24"/>
  <c r="G34" i="24"/>
  <c r="F34" i="24"/>
  <c r="E34" i="24"/>
  <c r="D34" i="24"/>
  <c r="C34" i="24"/>
  <c r="B34" i="24"/>
  <c r="A34" i="24"/>
  <c r="L33" i="24"/>
  <c r="K33" i="24"/>
  <c r="J33" i="24"/>
  <c r="I33" i="24"/>
  <c r="H33" i="24"/>
  <c r="G33" i="24"/>
  <c r="F33" i="24"/>
  <c r="E33" i="24"/>
  <c r="D33" i="24"/>
  <c r="C33" i="24"/>
  <c r="B33" i="24"/>
  <c r="A33" i="24"/>
  <c r="L32" i="24"/>
  <c r="K32" i="24"/>
  <c r="J32" i="24"/>
  <c r="I32" i="24"/>
  <c r="H32" i="24"/>
  <c r="G32" i="24"/>
  <c r="F32" i="24"/>
  <c r="E32" i="24"/>
  <c r="D32" i="24"/>
  <c r="C32" i="24"/>
  <c r="B32" i="24"/>
  <c r="A32" i="24"/>
  <c r="L31" i="24"/>
  <c r="K31" i="24"/>
  <c r="J31" i="24"/>
  <c r="I31" i="24"/>
  <c r="H31" i="24"/>
  <c r="G31" i="24"/>
  <c r="F31" i="24"/>
  <c r="E31" i="24"/>
  <c r="D31" i="24"/>
  <c r="C31" i="24"/>
  <c r="B31" i="24"/>
  <c r="A31" i="24"/>
  <c r="L30" i="24"/>
  <c r="K30" i="24"/>
  <c r="J30" i="24"/>
  <c r="I30" i="24"/>
  <c r="H30" i="24"/>
  <c r="G30" i="24"/>
  <c r="F30" i="24"/>
  <c r="E30" i="24"/>
  <c r="D30" i="24"/>
  <c r="C30" i="24"/>
  <c r="B30" i="24"/>
  <c r="A30" i="24"/>
  <c r="L29" i="24"/>
  <c r="K29" i="24"/>
  <c r="J29" i="24"/>
  <c r="I29" i="24"/>
  <c r="H29" i="24"/>
  <c r="G29" i="24"/>
  <c r="F29" i="24"/>
  <c r="E29" i="24"/>
  <c r="D29" i="24"/>
  <c r="C29" i="24"/>
  <c r="B29" i="24"/>
  <c r="A29" i="24"/>
  <c r="L28" i="24"/>
  <c r="K28" i="24"/>
  <c r="J28" i="24"/>
  <c r="I28" i="24"/>
  <c r="H28" i="24"/>
  <c r="G28" i="24"/>
  <c r="F28" i="24"/>
  <c r="E28" i="24"/>
  <c r="D28" i="24"/>
  <c r="C28" i="24"/>
  <c r="B28" i="24"/>
  <c r="A28" i="24"/>
  <c r="L27" i="24"/>
  <c r="K27" i="24"/>
  <c r="J27" i="24"/>
  <c r="I27" i="24"/>
  <c r="H27" i="24"/>
  <c r="G27" i="24"/>
  <c r="F27" i="24"/>
  <c r="E27" i="24"/>
  <c r="D27" i="24"/>
  <c r="C27" i="24"/>
  <c r="B27" i="24"/>
  <c r="A27" i="24"/>
  <c r="L26" i="24"/>
  <c r="K26" i="24"/>
  <c r="J26" i="24"/>
  <c r="I26" i="24"/>
  <c r="H26" i="24"/>
  <c r="G26" i="24"/>
  <c r="F26" i="24"/>
  <c r="E26" i="24"/>
  <c r="D26" i="24"/>
  <c r="C26" i="24"/>
  <c r="B26" i="24"/>
  <c r="A26" i="24"/>
  <c r="L25" i="24"/>
  <c r="K25" i="24"/>
  <c r="J25" i="24"/>
  <c r="I25" i="24"/>
  <c r="H25" i="24"/>
  <c r="G25" i="24"/>
  <c r="F25" i="24"/>
  <c r="E25" i="24"/>
  <c r="D25" i="24"/>
  <c r="C25" i="24"/>
  <c r="B25" i="24"/>
  <c r="A25" i="24"/>
  <c r="L24" i="24"/>
  <c r="K24" i="24"/>
  <c r="J24" i="24"/>
  <c r="I24" i="24"/>
  <c r="H24" i="24"/>
  <c r="G24" i="24"/>
  <c r="F24" i="24"/>
  <c r="E24" i="24"/>
  <c r="D24" i="24"/>
  <c r="C24" i="24"/>
  <c r="B24" i="24"/>
  <c r="A24" i="24"/>
  <c r="L23" i="24"/>
  <c r="K23" i="24"/>
  <c r="J23" i="24"/>
  <c r="I23" i="24"/>
  <c r="H23" i="24"/>
  <c r="G23" i="24"/>
  <c r="F23" i="24"/>
  <c r="E23" i="24"/>
  <c r="D23" i="24"/>
  <c r="C23" i="24"/>
  <c r="B23" i="24"/>
  <c r="A23" i="24"/>
  <c r="L22" i="24"/>
  <c r="K22" i="24"/>
  <c r="J22" i="24"/>
  <c r="I22" i="24"/>
  <c r="H22" i="24"/>
  <c r="G22" i="24"/>
  <c r="F22" i="24"/>
  <c r="E22" i="24"/>
  <c r="D22" i="24"/>
  <c r="C22" i="24"/>
  <c r="B22" i="24"/>
  <c r="A22" i="24"/>
  <c r="L21" i="24"/>
  <c r="K21" i="24"/>
  <c r="J21" i="24"/>
  <c r="I21" i="24"/>
  <c r="H21" i="24"/>
  <c r="G21" i="24"/>
  <c r="F21" i="24"/>
  <c r="E21" i="24"/>
  <c r="D21" i="24"/>
  <c r="C21" i="24"/>
  <c r="B21" i="24"/>
  <c r="A21" i="24"/>
  <c r="L20" i="24"/>
  <c r="K20" i="24"/>
  <c r="J20" i="24"/>
  <c r="I20" i="24"/>
  <c r="H20" i="24"/>
  <c r="G20" i="24"/>
  <c r="F20" i="24"/>
  <c r="E20" i="24"/>
  <c r="D20" i="24"/>
  <c r="C20" i="24"/>
  <c r="B20" i="24"/>
  <c r="A20" i="24"/>
  <c r="L19" i="24"/>
  <c r="K19" i="24"/>
  <c r="J19" i="24"/>
  <c r="I19" i="24"/>
  <c r="H19" i="24"/>
  <c r="G19" i="24"/>
  <c r="F19" i="24"/>
  <c r="E19" i="24"/>
  <c r="D19" i="24"/>
  <c r="C19" i="24"/>
  <c r="B19" i="24"/>
  <c r="A19" i="24"/>
  <c r="L18" i="24"/>
  <c r="K18" i="24"/>
  <c r="J18" i="24"/>
  <c r="I18" i="24"/>
  <c r="H18" i="24"/>
  <c r="G18" i="24"/>
  <c r="F18" i="24"/>
  <c r="E18" i="24"/>
  <c r="D18" i="24"/>
  <c r="C18" i="24"/>
  <c r="B18" i="24"/>
  <c r="A18" i="24"/>
  <c r="L17" i="24"/>
  <c r="K17" i="24"/>
  <c r="J17" i="24"/>
  <c r="I17" i="24"/>
  <c r="H17" i="24"/>
  <c r="G17" i="24"/>
  <c r="F17" i="24"/>
  <c r="E17" i="24"/>
  <c r="D17" i="24"/>
  <c r="C17" i="24"/>
  <c r="B17" i="24"/>
  <c r="A17" i="24"/>
  <c r="L16" i="24"/>
  <c r="K16" i="24"/>
  <c r="J16" i="24"/>
  <c r="I16" i="24"/>
  <c r="H16" i="24"/>
  <c r="G16" i="24"/>
  <c r="F16" i="24"/>
  <c r="E16" i="24"/>
  <c r="D16" i="24"/>
  <c r="C16" i="24"/>
  <c r="B16" i="24"/>
  <c r="A16" i="24"/>
  <c r="L15" i="24"/>
  <c r="K15" i="24"/>
  <c r="J15" i="24"/>
  <c r="I15" i="24"/>
  <c r="H15" i="24"/>
  <c r="G15" i="24"/>
  <c r="F15" i="24"/>
  <c r="E15" i="24"/>
  <c r="D15" i="24"/>
  <c r="C15" i="24"/>
  <c r="B15" i="24"/>
  <c r="A15" i="24"/>
  <c r="L14" i="24"/>
  <c r="K14" i="24"/>
  <c r="J14" i="24"/>
  <c r="I14" i="24"/>
  <c r="H14" i="24"/>
  <c r="G14" i="24"/>
  <c r="F14" i="24"/>
  <c r="E14" i="24"/>
  <c r="D14" i="24"/>
  <c r="C14" i="24"/>
  <c r="B14" i="24"/>
  <c r="A14" i="24"/>
  <c r="L13" i="24"/>
  <c r="K13" i="24"/>
  <c r="J13" i="24"/>
  <c r="I13" i="24"/>
  <c r="H13" i="24"/>
  <c r="G13" i="24"/>
  <c r="F13" i="24"/>
  <c r="E13" i="24"/>
  <c r="D13" i="24"/>
  <c r="C13" i="24"/>
  <c r="B13" i="24"/>
  <c r="A13" i="24"/>
  <c r="L12" i="24"/>
  <c r="K12" i="24"/>
  <c r="J12" i="24"/>
  <c r="I12" i="24"/>
  <c r="H12" i="24"/>
  <c r="G12" i="24"/>
  <c r="F12" i="24"/>
  <c r="E12" i="24"/>
  <c r="D12" i="24"/>
  <c r="C12" i="24"/>
  <c r="B12" i="24"/>
  <c r="A12" i="24"/>
  <c r="L11" i="24"/>
  <c r="K11" i="24"/>
  <c r="J11" i="24"/>
  <c r="I11" i="24"/>
  <c r="H11" i="24"/>
  <c r="G11" i="24"/>
  <c r="F11" i="24"/>
  <c r="E11" i="24"/>
  <c r="D11" i="24"/>
  <c r="C11" i="24"/>
  <c r="B11" i="24"/>
  <c r="A11" i="24"/>
  <c r="L10" i="24"/>
  <c r="K10" i="24"/>
  <c r="J10" i="24"/>
  <c r="I10" i="24"/>
  <c r="H10" i="24"/>
  <c r="G10" i="24"/>
  <c r="F10" i="24"/>
  <c r="E10" i="24"/>
  <c r="D10" i="24"/>
  <c r="C10" i="24"/>
  <c r="B10" i="24"/>
  <c r="A10" i="24"/>
  <c r="L9" i="24"/>
  <c r="K9" i="24"/>
  <c r="J9" i="24"/>
  <c r="I9" i="24"/>
  <c r="H9" i="24"/>
  <c r="G9" i="24"/>
  <c r="F9" i="24"/>
  <c r="E9" i="24"/>
  <c r="D9" i="24"/>
  <c r="C9" i="24"/>
  <c r="B9" i="24"/>
  <c r="A9" i="24"/>
  <c r="L8" i="24"/>
  <c r="K8" i="24"/>
  <c r="J8" i="24"/>
  <c r="I8" i="24"/>
  <c r="H8" i="24"/>
  <c r="G8" i="24"/>
  <c r="F8" i="24"/>
  <c r="E8" i="24"/>
  <c r="D8" i="24"/>
  <c r="C8" i="24"/>
  <c r="B8" i="24"/>
  <c r="A8" i="24"/>
  <c r="L7" i="24"/>
  <c r="K7" i="24"/>
  <c r="J7" i="24"/>
  <c r="I7" i="24"/>
  <c r="H7" i="24"/>
  <c r="G7" i="24"/>
  <c r="F7" i="24"/>
  <c r="E7" i="24"/>
  <c r="D7" i="24"/>
  <c r="C7" i="24"/>
  <c r="B7" i="24"/>
  <c r="A7" i="24"/>
  <c r="L6" i="24"/>
  <c r="K6" i="24"/>
  <c r="J6" i="24"/>
  <c r="I6" i="24"/>
  <c r="H6" i="24"/>
  <c r="G6" i="24"/>
  <c r="F6" i="24"/>
  <c r="E6" i="24"/>
  <c r="D6" i="24"/>
  <c r="C6" i="24"/>
  <c r="B6" i="24"/>
  <c r="A6" i="24"/>
  <c r="L5" i="24"/>
  <c r="K5" i="24"/>
  <c r="J5" i="24"/>
  <c r="I5" i="24"/>
  <c r="H5" i="24"/>
  <c r="G5" i="24"/>
  <c r="F5" i="24"/>
  <c r="E5" i="24"/>
  <c r="D5" i="24"/>
  <c r="C5" i="24"/>
  <c r="B5" i="24"/>
  <c r="A5" i="24"/>
  <c r="L4" i="24"/>
  <c r="K4" i="24"/>
  <c r="J4" i="24"/>
  <c r="I4" i="24"/>
  <c r="H4" i="24"/>
  <c r="G4" i="24"/>
  <c r="F4" i="24"/>
  <c r="E4" i="24"/>
  <c r="D4" i="24"/>
  <c r="C4" i="24"/>
  <c r="B4" i="24"/>
  <c r="A4" i="24"/>
  <c r="L3" i="24"/>
  <c r="K3" i="24"/>
  <c r="J3" i="24"/>
  <c r="I3" i="24"/>
  <c r="H3" i="24"/>
  <c r="G3" i="24"/>
  <c r="F3" i="24"/>
  <c r="E3" i="24"/>
  <c r="D3" i="24"/>
  <c r="C3" i="24"/>
  <c r="B3" i="24"/>
  <c r="A3" i="24"/>
  <c r="U1" i="30" l="1"/>
  <c r="H2" i="28"/>
  <c r="E2" i="27"/>
  <c r="H1" i="27"/>
  <c r="B1" i="25"/>
  <c r="D1" i="28"/>
  <c r="K1" i="27"/>
  <c r="C1" i="27"/>
  <c r="I2" i="27"/>
  <c r="F2" i="27"/>
  <c r="F2" i="25"/>
  <c r="F1" i="25"/>
  <c r="J1" i="25"/>
  <c r="F1" i="28"/>
  <c r="L1" i="28"/>
  <c r="D2" i="27"/>
  <c r="L2" i="27"/>
  <c r="C2" i="28"/>
  <c r="G1" i="28"/>
  <c r="K1" i="28"/>
  <c r="A2" i="28"/>
  <c r="E2" i="28"/>
  <c r="I2" i="28"/>
  <c r="B2" i="27"/>
  <c r="A2" i="27"/>
  <c r="B1" i="26"/>
  <c r="J1" i="26"/>
  <c r="F2" i="26"/>
  <c r="C2" i="26"/>
  <c r="G2" i="25"/>
  <c r="D2" i="25"/>
  <c r="C1" i="25"/>
  <c r="H1" i="25"/>
  <c r="J1" i="28"/>
  <c r="B1" i="27"/>
  <c r="E1" i="26"/>
  <c r="I1" i="26"/>
  <c r="G2" i="26"/>
  <c r="K2" i="26"/>
  <c r="E1" i="25"/>
  <c r="I1" i="25"/>
  <c r="A1" i="25"/>
  <c r="K1" i="25"/>
  <c r="BZ12" i="22"/>
  <c r="BZ13" i="22"/>
  <c r="BZ15" i="22"/>
  <c r="BZ10" i="22"/>
  <c r="BZ11" i="22"/>
  <c r="BZ14" i="22"/>
  <c r="AO2" i="30" l="1"/>
  <c r="AK2" i="30"/>
  <c r="BJ13" i="22" s="1"/>
  <c r="AG2" i="30"/>
  <c r="BD13" i="22" s="1"/>
  <c r="Y2" i="30"/>
  <c r="AR13" i="22" s="1"/>
  <c r="Q2" i="30"/>
  <c r="AF13" i="22" s="1"/>
  <c r="I2" i="30"/>
  <c r="T13" i="22" s="1"/>
  <c r="G13" i="22"/>
  <c r="AS2" i="30"/>
  <c r="BV13" i="22" s="1"/>
  <c r="AC2" i="30"/>
  <c r="AX13" i="22" s="1"/>
  <c r="U2" i="30"/>
  <c r="AL13" i="22" s="1"/>
  <c r="M2" i="30"/>
  <c r="Z13" i="22" s="1"/>
  <c r="BU13" i="22"/>
  <c r="BI13" i="22"/>
  <c r="BC13" i="22"/>
  <c r="AW13" i="22"/>
  <c r="AK13" i="22"/>
  <c r="AE13" i="22"/>
  <c r="Y13" i="22"/>
  <c r="M13" i="22"/>
  <c r="D13" i="22"/>
  <c r="C13" i="22"/>
  <c r="BP13" i="22" l="1"/>
  <c r="A2" i="30"/>
  <c r="H13" i="22" s="1"/>
  <c r="AQ13" i="22"/>
  <c r="BO13" i="22"/>
  <c r="E2" i="30"/>
  <c r="N13" i="22" s="1"/>
  <c r="CA13" i="22"/>
  <c r="CB13" i="22"/>
  <c r="S13" i="22"/>
  <c r="C12" i="22"/>
  <c r="BY11" i="22"/>
  <c r="C11" i="22"/>
  <c r="D11" i="22"/>
  <c r="C14" i="22"/>
  <c r="D10" i="22"/>
  <c r="BY10" i="22"/>
  <c r="C15" i="22"/>
  <c r="D15" i="22"/>
  <c r="BY15" i="22"/>
  <c r="BY14" i="22"/>
  <c r="D14" i="22"/>
  <c r="C10" i="22"/>
  <c r="BY12" i="22"/>
  <c r="D12" i="22"/>
  <c r="X9" i="22" l="1"/>
  <c r="W9" i="22"/>
  <c r="BV14" i="22"/>
  <c r="BI14" i="22"/>
  <c r="AX14" i="22"/>
  <c r="AR14" i="22"/>
  <c r="AK14" i="22"/>
  <c r="AF14" i="22"/>
  <c r="Z14" i="22"/>
  <c r="T14" i="22"/>
  <c r="N14" i="22"/>
  <c r="H14" i="22"/>
  <c r="BU15" i="22"/>
  <c r="BO15" i="22"/>
  <c r="BI15" i="22"/>
  <c r="BC15" i="22"/>
  <c r="AW15" i="22"/>
  <c r="AQ15" i="22"/>
  <c r="AK15" i="22"/>
  <c r="AE15" i="22"/>
  <c r="Y15" i="22"/>
  <c r="S15" i="22"/>
  <c r="M15" i="22"/>
  <c r="H15" i="22"/>
  <c r="BV15" i="22"/>
  <c r="BD15" i="22"/>
  <c r="AX15" i="22"/>
  <c r="AR15" i="22"/>
  <c r="AL15" i="22"/>
  <c r="AF15" i="22"/>
  <c r="Z15" i="22"/>
  <c r="T15" i="22"/>
  <c r="N15" i="22"/>
  <c r="BD14" i="22"/>
  <c r="BU12" i="22"/>
  <c r="BI12" i="22"/>
  <c r="BD12" i="22"/>
  <c r="AX12" i="22"/>
  <c r="AQ12" i="22"/>
  <c r="AK12" i="22"/>
  <c r="AF12" i="22"/>
  <c r="Z12" i="22"/>
  <c r="T12" i="22"/>
  <c r="N12" i="22"/>
  <c r="G12" i="22"/>
  <c r="BV12" i="22"/>
  <c r="AL12" i="22"/>
  <c r="BU11" i="22"/>
  <c r="BO11" i="22"/>
  <c r="AW11" i="22"/>
  <c r="AR11" i="22"/>
  <c r="AK11" i="22"/>
  <c r="AF11" i="22"/>
  <c r="Y11" i="22"/>
  <c r="T11" i="22"/>
  <c r="N11" i="22"/>
  <c r="BV11" i="22"/>
  <c r="AX11" i="22"/>
  <c r="AL11" i="22"/>
  <c r="Z11" i="22"/>
  <c r="G15" i="22" l="1"/>
  <c r="AQ14" i="22"/>
  <c r="AL14" i="22"/>
  <c r="BC14" i="22"/>
  <c r="S14" i="22"/>
  <c r="H12" i="22"/>
  <c r="BP11" i="22"/>
  <c r="B1" i="24"/>
  <c r="M10" i="22" s="1"/>
  <c r="F1" i="24"/>
  <c r="AK10" i="22" s="1"/>
  <c r="AK9" i="22" s="1"/>
  <c r="J1" i="24"/>
  <c r="BI10" i="22" s="1"/>
  <c r="CA11" i="22"/>
  <c r="CA12" i="22"/>
  <c r="CA14" i="22"/>
  <c r="CA15" i="22"/>
  <c r="CA10" i="22"/>
  <c r="BP15" i="22"/>
  <c r="BP14" i="22"/>
  <c r="BO14" i="22"/>
  <c r="Y14" i="22"/>
  <c r="BU14" i="22"/>
  <c r="G14" i="22"/>
  <c r="AE14" i="22"/>
  <c r="AW14" i="22"/>
  <c r="M14" i="22"/>
  <c r="M12" i="22"/>
  <c r="BP12" i="22"/>
  <c r="S12" i="22"/>
  <c r="BO12" i="22"/>
  <c r="Y12" i="22"/>
  <c r="AW12" i="22"/>
  <c r="AE12" i="22"/>
  <c r="BC12" i="22"/>
  <c r="BD11" i="22"/>
  <c r="C1" i="24"/>
  <c r="S10" i="22" s="1"/>
  <c r="G1" i="24"/>
  <c r="AQ10" i="22" s="1"/>
  <c r="K1" i="24"/>
  <c r="BO10" i="22" s="1"/>
  <c r="A1" i="24"/>
  <c r="G10" i="22" s="1"/>
  <c r="D1" i="24"/>
  <c r="Y10" i="22" s="1"/>
  <c r="H1" i="24"/>
  <c r="AW10" i="22" s="1"/>
  <c r="L1" i="24"/>
  <c r="BU10" i="22" s="1"/>
  <c r="E1" i="24"/>
  <c r="AE10" i="22" s="1"/>
  <c r="I1" i="24"/>
  <c r="BC10" i="22" s="1"/>
  <c r="B2" i="24"/>
  <c r="N10" i="22" s="1"/>
  <c r="N9" i="22" s="1"/>
  <c r="F2" i="24"/>
  <c r="AL10" i="22" s="1"/>
  <c r="J2" i="24"/>
  <c r="BJ10" i="22" s="1"/>
  <c r="G11" i="22"/>
  <c r="AE11" i="22"/>
  <c r="BC11" i="22"/>
  <c r="M11" i="22"/>
  <c r="BI11" i="22"/>
  <c r="S11" i="22"/>
  <c r="AQ11" i="22"/>
  <c r="H11" i="22"/>
  <c r="AR12" i="22"/>
  <c r="K2" i="24"/>
  <c r="G2" i="24"/>
  <c r="AR10" i="22" s="1"/>
  <c r="C2" i="24"/>
  <c r="T10" i="22" s="1"/>
  <c r="T9" i="22" s="1"/>
  <c r="I2" i="24"/>
  <c r="BD10" i="22" s="1"/>
  <c r="E2" i="24"/>
  <c r="AF10" i="22" s="1"/>
  <c r="AF9" i="22" s="1"/>
  <c r="L2" i="24"/>
  <c r="BV10" i="22" s="1"/>
  <c r="BV9" i="22" s="1"/>
  <c r="H2" i="24"/>
  <c r="AX10" i="22" s="1"/>
  <c r="AX9" i="22" s="1"/>
  <c r="D2" i="24"/>
  <c r="Z10" i="22" s="1"/>
  <c r="Z9" i="22" s="1"/>
  <c r="A2" i="24"/>
  <c r="M8" i="23"/>
  <c r="N8" i="23"/>
  <c r="M9" i="23"/>
  <c r="N9" i="23"/>
  <c r="M10" i="23"/>
  <c r="N10" i="23"/>
  <c r="M11" i="23"/>
  <c r="N11" i="23"/>
  <c r="M12" i="23"/>
  <c r="N12" i="23"/>
  <c r="M13" i="23"/>
  <c r="N13" i="23"/>
  <c r="M14" i="23"/>
  <c r="N14" i="23"/>
  <c r="M15" i="23"/>
  <c r="N15" i="23"/>
  <c r="M16" i="23"/>
  <c r="N16" i="23"/>
  <c r="M17" i="23"/>
  <c r="N17" i="23"/>
  <c r="M18" i="23"/>
  <c r="N18" i="23"/>
  <c r="M19" i="23"/>
  <c r="N19" i="23"/>
  <c r="M20" i="23"/>
  <c r="N20" i="23"/>
  <c r="M21" i="23"/>
  <c r="N21" i="23"/>
  <c r="M22" i="23"/>
  <c r="N22" i="23"/>
  <c r="M23" i="23"/>
  <c r="N23" i="23"/>
  <c r="M24" i="23"/>
  <c r="N24" i="23"/>
  <c r="M25" i="23"/>
  <c r="N25" i="23"/>
  <c r="M26" i="23"/>
  <c r="N26" i="23"/>
  <c r="M27" i="23"/>
  <c r="N27" i="23"/>
  <c r="M28" i="23"/>
  <c r="N28" i="23"/>
  <c r="M29" i="23"/>
  <c r="N29" i="23"/>
  <c r="M30" i="23"/>
  <c r="N30" i="23"/>
  <c r="M31" i="23"/>
  <c r="N31" i="23"/>
  <c r="M32" i="23"/>
  <c r="N32" i="23"/>
  <c r="M33" i="23"/>
  <c r="N33" i="23"/>
  <c r="M34" i="23"/>
  <c r="N34" i="23"/>
  <c r="M35" i="23"/>
  <c r="N35" i="23"/>
  <c r="M36" i="23"/>
  <c r="N36" i="23"/>
  <c r="M37" i="23"/>
  <c r="N37" i="23"/>
  <c r="M38" i="23"/>
  <c r="N38" i="23"/>
  <c r="M39" i="23"/>
  <c r="N39" i="23"/>
  <c r="M40" i="23"/>
  <c r="N40" i="23"/>
  <c r="M41" i="23"/>
  <c r="N41" i="23"/>
  <c r="M42" i="23"/>
  <c r="N42" i="23"/>
  <c r="M43" i="23"/>
  <c r="N43" i="23"/>
  <c r="M44" i="23"/>
  <c r="N44" i="23"/>
  <c r="M45" i="23"/>
  <c r="N45" i="23"/>
  <c r="M46" i="23"/>
  <c r="N46" i="23"/>
  <c r="M47" i="23"/>
  <c r="N47" i="23"/>
  <c r="M48" i="23"/>
  <c r="N48" i="23"/>
  <c r="M49" i="23"/>
  <c r="N49" i="23"/>
  <c r="M50" i="23"/>
  <c r="N50" i="23"/>
  <c r="M51" i="23"/>
  <c r="N51" i="23"/>
  <c r="M52" i="23"/>
  <c r="N52" i="23"/>
  <c r="M53" i="23"/>
  <c r="N53" i="23"/>
  <c r="M54" i="23"/>
  <c r="N54" i="23"/>
  <c r="M55" i="23"/>
  <c r="N55" i="23"/>
  <c r="M56" i="23"/>
  <c r="N56" i="23"/>
  <c r="M57" i="23"/>
  <c r="N57" i="23"/>
  <c r="M58" i="23"/>
  <c r="N58" i="23"/>
  <c r="M59" i="23"/>
  <c r="N59" i="23"/>
  <c r="M60" i="23"/>
  <c r="N60" i="23"/>
  <c r="M61" i="23"/>
  <c r="N61" i="23"/>
  <c r="M62" i="23"/>
  <c r="N62" i="23"/>
  <c r="M63" i="23"/>
  <c r="N63" i="23"/>
  <c r="M64" i="23"/>
  <c r="N64" i="23"/>
  <c r="M65" i="23"/>
  <c r="N65" i="23"/>
  <c r="M66" i="23"/>
  <c r="N66" i="23"/>
  <c r="M67" i="23"/>
  <c r="N67" i="23"/>
  <c r="M68" i="23"/>
  <c r="N68" i="23"/>
  <c r="M69" i="23"/>
  <c r="N69" i="23"/>
  <c r="M70" i="23"/>
  <c r="N70" i="23"/>
  <c r="M71" i="23"/>
  <c r="N71" i="23"/>
  <c r="M72" i="23"/>
  <c r="N72" i="23"/>
  <c r="M73" i="23"/>
  <c r="N73" i="23"/>
  <c r="M74" i="23"/>
  <c r="N74" i="23"/>
  <c r="M75" i="23"/>
  <c r="N75" i="23"/>
  <c r="M76" i="23"/>
  <c r="N76" i="23"/>
  <c r="M77" i="23"/>
  <c r="N77" i="23"/>
  <c r="M78" i="23"/>
  <c r="N78" i="23"/>
  <c r="M79" i="23"/>
  <c r="N79" i="23"/>
  <c r="M80" i="23"/>
  <c r="N80" i="23"/>
  <c r="M81" i="23"/>
  <c r="N81" i="23"/>
  <c r="M82" i="23"/>
  <c r="N82" i="23"/>
  <c r="M83" i="23"/>
  <c r="N83" i="23"/>
  <c r="M84" i="23"/>
  <c r="N84" i="23"/>
  <c r="M85" i="23"/>
  <c r="N85" i="23"/>
  <c r="M86" i="23"/>
  <c r="N86" i="23"/>
  <c r="M87" i="23"/>
  <c r="N87" i="23"/>
  <c r="M88" i="23"/>
  <c r="N88" i="23"/>
  <c r="M89" i="23"/>
  <c r="N89" i="23"/>
  <c r="M90" i="23"/>
  <c r="N90" i="23"/>
  <c r="M91" i="23"/>
  <c r="N91" i="23"/>
  <c r="M92" i="23"/>
  <c r="N92" i="23"/>
  <c r="M93" i="23"/>
  <c r="N93" i="23"/>
  <c r="M94" i="23"/>
  <c r="N94" i="23"/>
  <c r="M95" i="23"/>
  <c r="N95" i="23"/>
  <c r="M96" i="23"/>
  <c r="N96" i="23"/>
  <c r="M97" i="23"/>
  <c r="N97" i="23"/>
  <c r="M98" i="23"/>
  <c r="N98" i="23"/>
  <c r="M99" i="23"/>
  <c r="N99" i="23"/>
  <c r="M100" i="23"/>
  <c r="N100" i="23"/>
  <c r="M101" i="23"/>
  <c r="N101" i="23"/>
  <c r="M102" i="23"/>
  <c r="N102" i="23"/>
  <c r="M103" i="23"/>
  <c r="N103" i="23"/>
  <c r="M104" i="23"/>
  <c r="N104" i="23"/>
  <c r="M105" i="23"/>
  <c r="N105" i="23"/>
  <c r="M106" i="23"/>
  <c r="N106" i="23"/>
  <c r="M107" i="23"/>
  <c r="N107" i="23"/>
  <c r="M108" i="23"/>
  <c r="N108" i="23"/>
  <c r="M109" i="23"/>
  <c r="N109" i="23"/>
  <c r="M110" i="23"/>
  <c r="N110" i="23"/>
  <c r="M111" i="23"/>
  <c r="N111" i="23"/>
  <c r="M112" i="23"/>
  <c r="N112" i="23"/>
  <c r="M113" i="23"/>
  <c r="N113" i="23"/>
  <c r="M114" i="23"/>
  <c r="N114" i="23"/>
  <c r="M115" i="23"/>
  <c r="N115" i="23"/>
  <c r="M116" i="23"/>
  <c r="N116" i="23"/>
  <c r="M117" i="23"/>
  <c r="N117" i="23"/>
  <c r="M118" i="23"/>
  <c r="N118" i="23"/>
  <c r="M119" i="23"/>
  <c r="N119" i="23"/>
  <c r="M120" i="23"/>
  <c r="N120" i="23"/>
  <c r="M121" i="23"/>
  <c r="N121" i="23"/>
  <c r="M122" i="23"/>
  <c r="N122" i="23"/>
  <c r="M123" i="23"/>
  <c r="N123" i="23"/>
  <c r="M124" i="23"/>
  <c r="N124" i="23"/>
  <c r="M125" i="23"/>
  <c r="N125" i="23"/>
  <c r="M126" i="23"/>
  <c r="N126" i="23"/>
  <c r="M127" i="23"/>
  <c r="N127" i="23"/>
  <c r="M128" i="23"/>
  <c r="N128" i="23"/>
  <c r="M129" i="23"/>
  <c r="N129" i="23"/>
  <c r="M130" i="23"/>
  <c r="N130" i="23"/>
  <c r="M131" i="23"/>
  <c r="N131" i="23"/>
  <c r="M132" i="23"/>
  <c r="N132" i="23"/>
  <c r="M133" i="23"/>
  <c r="N133" i="23"/>
  <c r="M134" i="23"/>
  <c r="N134" i="23"/>
  <c r="M135" i="23"/>
  <c r="N135" i="23"/>
  <c r="M136" i="23"/>
  <c r="N136" i="23"/>
  <c r="M137" i="23"/>
  <c r="N137" i="23"/>
  <c r="M138" i="23"/>
  <c r="N138" i="23"/>
  <c r="M139" i="23"/>
  <c r="N139" i="23"/>
  <c r="M140" i="23"/>
  <c r="N140" i="23"/>
  <c r="M141" i="23"/>
  <c r="N141" i="23"/>
  <c r="M142" i="23"/>
  <c r="N142" i="23"/>
  <c r="M143" i="23"/>
  <c r="N143" i="23"/>
  <c r="M144" i="23"/>
  <c r="N144" i="23"/>
  <c r="M145" i="23"/>
  <c r="N145" i="23"/>
  <c r="M146" i="23"/>
  <c r="N146" i="23"/>
  <c r="M147" i="23"/>
  <c r="N147" i="23"/>
  <c r="M148" i="23"/>
  <c r="N148" i="23"/>
  <c r="M149" i="23"/>
  <c r="N149" i="23"/>
  <c r="M150" i="23"/>
  <c r="N150" i="23"/>
  <c r="M151" i="23"/>
  <c r="N151" i="23"/>
  <c r="M152" i="23"/>
  <c r="N152" i="23"/>
  <c r="M153" i="23"/>
  <c r="N153" i="23"/>
  <c r="M154" i="23"/>
  <c r="N154" i="23"/>
  <c r="M155" i="23"/>
  <c r="N155" i="23"/>
  <c r="M156" i="23"/>
  <c r="N156" i="23"/>
  <c r="M157" i="23"/>
  <c r="N157" i="23"/>
  <c r="M158" i="23"/>
  <c r="N158" i="23"/>
  <c r="M159" i="23"/>
  <c r="N159" i="23"/>
  <c r="M160" i="23"/>
  <c r="N160" i="23"/>
  <c r="M161" i="23"/>
  <c r="N161" i="23"/>
  <c r="M162" i="23"/>
  <c r="N162" i="23"/>
  <c r="M163" i="23"/>
  <c r="N163" i="23"/>
  <c r="M164" i="23"/>
  <c r="N164" i="23"/>
  <c r="M165" i="23"/>
  <c r="N165" i="23"/>
  <c r="M166" i="23"/>
  <c r="N166" i="23"/>
  <c r="M167" i="23"/>
  <c r="N167" i="23"/>
  <c r="M168" i="23"/>
  <c r="N168" i="23"/>
  <c r="M169" i="23"/>
  <c r="N169" i="23"/>
  <c r="M170" i="23"/>
  <c r="N170" i="23"/>
  <c r="M171" i="23"/>
  <c r="N171" i="23"/>
  <c r="M172" i="23"/>
  <c r="N172" i="23"/>
  <c r="M173" i="23"/>
  <c r="N173" i="23"/>
  <c r="M174" i="23"/>
  <c r="N174" i="23"/>
  <c r="M175" i="23"/>
  <c r="N175" i="23"/>
  <c r="M176" i="23"/>
  <c r="N176" i="23"/>
  <c r="M177" i="23"/>
  <c r="N177" i="23"/>
  <c r="M178" i="23"/>
  <c r="N178" i="23"/>
  <c r="M179" i="23"/>
  <c r="N179" i="23"/>
  <c r="M180" i="23"/>
  <c r="N180" i="23"/>
  <c r="M181" i="23"/>
  <c r="N181" i="23"/>
  <c r="M182" i="23"/>
  <c r="N182" i="23"/>
  <c r="M183" i="23"/>
  <c r="N183" i="23"/>
  <c r="M184" i="23"/>
  <c r="N184" i="23"/>
  <c r="M185" i="23"/>
  <c r="N185" i="23"/>
  <c r="M186" i="23"/>
  <c r="N186" i="23"/>
  <c r="M187" i="23"/>
  <c r="N187" i="23"/>
  <c r="M188" i="23"/>
  <c r="N188" i="23"/>
  <c r="M189" i="23"/>
  <c r="N189" i="23"/>
  <c r="M190" i="23"/>
  <c r="N190" i="23"/>
  <c r="M191" i="23"/>
  <c r="N191" i="23"/>
  <c r="M192" i="23"/>
  <c r="N192" i="23"/>
  <c r="M193" i="23"/>
  <c r="N193" i="23"/>
  <c r="M194" i="23"/>
  <c r="N194" i="23"/>
  <c r="M195" i="23"/>
  <c r="N195" i="23"/>
  <c r="M196" i="23"/>
  <c r="N196" i="23"/>
  <c r="M197" i="23"/>
  <c r="N197" i="23"/>
  <c r="M198" i="23"/>
  <c r="N198" i="23"/>
  <c r="M199" i="23"/>
  <c r="N199" i="23"/>
  <c r="M200" i="23"/>
  <c r="N200" i="23"/>
  <c r="M201" i="23"/>
  <c r="N201" i="23"/>
  <c r="M202" i="23"/>
  <c r="N202" i="23"/>
  <c r="M203" i="23"/>
  <c r="N203" i="23"/>
  <c r="M204" i="23"/>
  <c r="N204" i="23"/>
  <c r="M205" i="23"/>
  <c r="N205" i="23"/>
  <c r="M206" i="23"/>
  <c r="N206" i="23"/>
  <c r="M207" i="23"/>
  <c r="N207" i="23"/>
  <c r="M208" i="23"/>
  <c r="N208" i="23"/>
  <c r="M209" i="23"/>
  <c r="N209" i="23"/>
  <c r="M210" i="23"/>
  <c r="N210" i="23"/>
  <c r="M211" i="23"/>
  <c r="N211" i="23"/>
  <c r="M212" i="23"/>
  <c r="N212" i="23"/>
  <c r="M213" i="23"/>
  <c r="N213" i="23"/>
  <c r="M214" i="23"/>
  <c r="N214" i="23"/>
  <c r="M215" i="23"/>
  <c r="N215" i="23"/>
  <c r="M216" i="23"/>
  <c r="N216" i="23"/>
  <c r="M217" i="23"/>
  <c r="N217" i="23"/>
  <c r="M218" i="23"/>
  <c r="N218" i="23"/>
  <c r="M219" i="23"/>
  <c r="N219" i="23"/>
  <c r="M220" i="23"/>
  <c r="N220" i="23"/>
  <c r="M221" i="23"/>
  <c r="N221" i="23"/>
  <c r="M222" i="23"/>
  <c r="N222" i="23"/>
  <c r="M223" i="23"/>
  <c r="N223" i="23"/>
  <c r="M224" i="23"/>
  <c r="N224" i="23"/>
  <c r="M225" i="23"/>
  <c r="N225" i="23"/>
  <c r="M226" i="23"/>
  <c r="N226" i="23"/>
  <c r="M227" i="23"/>
  <c r="N227" i="23"/>
  <c r="M228" i="23"/>
  <c r="N228" i="23"/>
  <c r="M229" i="23"/>
  <c r="N229" i="23"/>
  <c r="M230" i="23"/>
  <c r="N230" i="23"/>
  <c r="M231" i="23"/>
  <c r="N231" i="23"/>
  <c r="M232" i="23"/>
  <c r="N232" i="23"/>
  <c r="M233" i="23"/>
  <c r="N233" i="23"/>
  <c r="M234" i="23"/>
  <c r="N234" i="23"/>
  <c r="M235" i="23"/>
  <c r="N235" i="23"/>
  <c r="M236" i="23"/>
  <c r="N236" i="23"/>
  <c r="M237" i="23"/>
  <c r="N237" i="23"/>
  <c r="M238" i="23"/>
  <c r="N238" i="23"/>
  <c r="M239" i="23"/>
  <c r="N239" i="23"/>
  <c r="M240" i="23"/>
  <c r="N240" i="23"/>
  <c r="M241" i="23"/>
  <c r="N241" i="23"/>
  <c r="M242" i="23"/>
  <c r="N242" i="23"/>
  <c r="M243" i="23"/>
  <c r="N243" i="23"/>
  <c r="M244" i="23"/>
  <c r="N244" i="23"/>
  <c r="M245" i="23"/>
  <c r="N245" i="23"/>
  <c r="M246" i="23"/>
  <c r="N246" i="23"/>
  <c r="M247" i="23"/>
  <c r="N247" i="23"/>
  <c r="M248" i="23"/>
  <c r="N248" i="23"/>
  <c r="M249" i="23"/>
  <c r="N249" i="23"/>
  <c r="M250" i="23"/>
  <c r="N250" i="23"/>
  <c r="M251" i="23"/>
  <c r="N251" i="23"/>
  <c r="M252" i="23"/>
  <c r="N252" i="23"/>
  <c r="M253" i="23"/>
  <c r="N253" i="23"/>
  <c r="M254" i="23"/>
  <c r="N254" i="23"/>
  <c r="M255" i="23"/>
  <c r="N255" i="23"/>
  <c r="M256" i="23"/>
  <c r="N256" i="23"/>
  <c r="M257" i="23"/>
  <c r="N257" i="23"/>
  <c r="M258" i="23"/>
  <c r="N258" i="23"/>
  <c r="M259" i="23"/>
  <c r="N259" i="23"/>
  <c r="M260" i="23"/>
  <c r="N260" i="23"/>
  <c r="M261" i="23"/>
  <c r="N261" i="23"/>
  <c r="M262" i="23"/>
  <c r="N262" i="23"/>
  <c r="M263" i="23"/>
  <c r="N263" i="23"/>
  <c r="M264" i="23"/>
  <c r="N264" i="23"/>
  <c r="M265" i="23"/>
  <c r="N265" i="23"/>
  <c r="M266" i="23"/>
  <c r="N266" i="23"/>
  <c r="M267" i="23"/>
  <c r="N267" i="23"/>
  <c r="M268" i="23"/>
  <c r="N268" i="23"/>
  <c r="M269" i="23"/>
  <c r="N269" i="23"/>
  <c r="M270" i="23"/>
  <c r="N270" i="23"/>
  <c r="M271" i="23"/>
  <c r="N271" i="23"/>
  <c r="M272" i="23"/>
  <c r="N272" i="23"/>
  <c r="M273" i="23"/>
  <c r="N273" i="23"/>
  <c r="M274" i="23"/>
  <c r="N274" i="23"/>
  <c r="M275" i="23"/>
  <c r="N275" i="23"/>
  <c r="M276" i="23"/>
  <c r="N276" i="23"/>
  <c r="M277" i="23"/>
  <c r="N277" i="23"/>
  <c r="M278" i="23"/>
  <c r="N278" i="23"/>
  <c r="M279" i="23"/>
  <c r="N279" i="23"/>
  <c r="M280" i="23"/>
  <c r="N280" i="23"/>
  <c r="M281" i="23"/>
  <c r="N281" i="23"/>
  <c r="M282" i="23"/>
  <c r="N282" i="23"/>
  <c r="M283" i="23"/>
  <c r="N283" i="23"/>
  <c r="M284" i="23"/>
  <c r="N284" i="23"/>
  <c r="M285" i="23"/>
  <c r="N285" i="23"/>
  <c r="M286" i="23"/>
  <c r="N286" i="23"/>
  <c r="M287" i="23"/>
  <c r="N287" i="23"/>
  <c r="M288" i="23"/>
  <c r="N288" i="23"/>
  <c r="M289" i="23"/>
  <c r="N289" i="23"/>
  <c r="M290" i="23"/>
  <c r="N290" i="23"/>
  <c r="M291" i="23"/>
  <c r="N291" i="23"/>
  <c r="M292" i="23"/>
  <c r="N292" i="23"/>
  <c r="M293" i="23"/>
  <c r="N293" i="23"/>
  <c r="M294" i="23"/>
  <c r="N294" i="23"/>
  <c r="M295" i="23"/>
  <c r="N295" i="23"/>
  <c r="M296" i="23"/>
  <c r="N296" i="23"/>
  <c r="M297" i="23"/>
  <c r="N297" i="23"/>
  <c r="M298" i="23"/>
  <c r="N298" i="23"/>
  <c r="M299" i="23"/>
  <c r="N299" i="23"/>
  <c r="M300" i="23"/>
  <c r="N300" i="23"/>
  <c r="M301" i="23"/>
  <c r="N301" i="23"/>
  <c r="M302" i="23"/>
  <c r="N302" i="23"/>
  <c r="M303" i="23"/>
  <c r="N303" i="23"/>
  <c r="M304" i="23"/>
  <c r="N304" i="23"/>
  <c r="M305" i="23"/>
  <c r="N305" i="23"/>
  <c r="M306" i="23"/>
  <c r="N306" i="23"/>
  <c r="M307" i="23"/>
  <c r="N307" i="23"/>
  <c r="M308" i="23"/>
  <c r="N308" i="23"/>
  <c r="M309" i="23"/>
  <c r="N309" i="23"/>
  <c r="M310" i="23"/>
  <c r="N310" i="23"/>
  <c r="M311" i="23"/>
  <c r="N311" i="23"/>
  <c r="M312" i="23"/>
  <c r="N312" i="23"/>
  <c r="M313" i="23"/>
  <c r="N313" i="23"/>
  <c r="M314" i="23"/>
  <c r="N314" i="23"/>
  <c r="M315" i="23"/>
  <c r="N315" i="23"/>
  <c r="M316" i="23"/>
  <c r="N316" i="23"/>
  <c r="M317" i="23"/>
  <c r="N317" i="23"/>
  <c r="M318" i="23"/>
  <c r="N318" i="23"/>
  <c r="M319" i="23"/>
  <c r="N319" i="23"/>
  <c r="M320" i="23"/>
  <c r="N320" i="23"/>
  <c r="M321" i="23"/>
  <c r="N321" i="23"/>
  <c r="M322" i="23"/>
  <c r="N322" i="23"/>
  <c r="M323" i="23"/>
  <c r="N323" i="23"/>
  <c r="M324" i="23"/>
  <c r="N324" i="23"/>
  <c r="M325" i="23"/>
  <c r="N325" i="23"/>
  <c r="M326" i="23"/>
  <c r="N326" i="23"/>
  <c r="M327" i="23"/>
  <c r="N327" i="23"/>
  <c r="M328" i="23"/>
  <c r="N328" i="23"/>
  <c r="M329" i="23"/>
  <c r="N329" i="23"/>
  <c r="M330" i="23"/>
  <c r="N330" i="23"/>
  <c r="M331" i="23"/>
  <c r="N331" i="23"/>
  <c r="M332" i="23"/>
  <c r="N332" i="23"/>
  <c r="M333" i="23"/>
  <c r="N333" i="23"/>
  <c r="M334" i="23"/>
  <c r="N334" i="23"/>
  <c r="M335" i="23"/>
  <c r="N335" i="23"/>
  <c r="M336" i="23"/>
  <c r="N336" i="23"/>
  <c r="M337" i="23"/>
  <c r="N337" i="23"/>
  <c r="M338" i="23"/>
  <c r="N338" i="23"/>
  <c r="M339" i="23"/>
  <c r="N339" i="23"/>
  <c r="M340" i="23"/>
  <c r="N340" i="23"/>
  <c r="M341" i="23"/>
  <c r="N341" i="23"/>
  <c r="M342" i="23"/>
  <c r="N342" i="23"/>
  <c r="M343" i="23"/>
  <c r="N343" i="23"/>
  <c r="M344" i="23"/>
  <c r="N344" i="23"/>
  <c r="M345" i="23"/>
  <c r="N345" i="23"/>
  <c r="M346" i="23"/>
  <c r="N346" i="23"/>
  <c r="M347" i="23"/>
  <c r="N347" i="23"/>
  <c r="M348" i="23"/>
  <c r="N348" i="23"/>
  <c r="M349" i="23"/>
  <c r="N349" i="23"/>
  <c r="M350" i="23"/>
  <c r="N350" i="23"/>
  <c r="M351" i="23"/>
  <c r="N351" i="23"/>
  <c r="M352" i="23"/>
  <c r="N352" i="23"/>
  <c r="M353" i="23"/>
  <c r="N353" i="23"/>
  <c r="M354" i="23"/>
  <c r="N354" i="23"/>
  <c r="M355" i="23"/>
  <c r="N355" i="23"/>
  <c r="M356" i="23"/>
  <c r="N356" i="23"/>
  <c r="M357" i="23"/>
  <c r="N357" i="23"/>
  <c r="M358" i="23"/>
  <c r="N358" i="23"/>
  <c r="M359" i="23"/>
  <c r="N359" i="23"/>
  <c r="M360" i="23"/>
  <c r="N360" i="23"/>
  <c r="N7" i="23"/>
  <c r="M7" i="23"/>
  <c r="AL9" i="22" l="1"/>
  <c r="BI9" i="22"/>
  <c r="M9" i="22"/>
  <c r="H10" i="22"/>
  <c r="H9" i="22" s="1"/>
  <c r="Y9" i="22"/>
  <c r="G9" i="22"/>
  <c r="AW9" i="22"/>
  <c r="BO9" i="22"/>
  <c r="AR9" i="22"/>
  <c r="S9" i="22"/>
  <c r="AE9" i="22"/>
  <c r="AQ9" i="22"/>
  <c r="BZ9" i="22"/>
  <c r="BP10" i="22"/>
  <c r="BP9" i="22" s="1"/>
  <c r="BJ9" i="22"/>
  <c r="BY9" i="22"/>
  <c r="C9" i="22"/>
  <c r="CB15" i="22" l="1"/>
  <c r="CB14" i="22"/>
  <c r="CB12" i="22"/>
  <c r="CB11" i="22"/>
  <c r="CB10" i="22"/>
  <c r="CA9" i="22"/>
  <c r="D9" i="22"/>
  <c r="CB9" i="22" s="1"/>
</calcChain>
</file>

<file path=xl/comments1.xml><?xml version="1.0" encoding="utf-8"?>
<comments xmlns="http://schemas.openxmlformats.org/spreadsheetml/2006/main">
  <authors>
    <author>Hai</author>
  </authors>
  <commentList>
    <comment ref="B1" authorId="0" shapeId="0">
      <text>
        <r>
          <rPr>
            <sz val="9"/>
            <color indexed="81"/>
            <rFont val="Tahoma"/>
            <family val="2"/>
          </rPr>
          <t>Đếm số dòng có công việc được thực hiện trực tiếp, tương đương với số công việc đã thực hiện</t>
        </r>
      </text>
    </comment>
    <comment ref="C1" authorId="0" shapeId="0">
      <text>
        <r>
          <rPr>
            <sz val="9"/>
            <color indexed="81"/>
            <rFont val="Tahoma"/>
            <family val="2"/>
          </rPr>
          <t>Đếm số lần giá trị trong cột D thay đổi so với dòng ngay phía trên, đồng thời bỏ qua các ô trống và ô có giá trị 0.
Ý nghĩa của nó là xác định xem có bao nhiêu lần thực hiện công việc có cấp 5. Mỗi lần thực hiện thì thường đi theo mảng</t>
        </r>
      </text>
    </comment>
    <comment ref="A2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  <comment ref="A3" authorId="0" shapeId="0">
      <text>
        <r>
          <rPr>
            <sz val="9"/>
            <color indexed="81"/>
            <rFont val="Tahoma"/>
            <family val="2"/>
          </rPr>
          <t>Tìm tháng 1 lấy thành tiền</t>
        </r>
      </text>
    </comment>
    <comment ref="B3" authorId="0" shapeId="0">
      <text>
        <r>
          <rPr>
            <sz val="9"/>
            <color indexed="81"/>
            <rFont val="Tahoma"/>
            <charset val="1"/>
          </rPr>
          <t xml:space="preserve">Tìm trong 4 ô XT!U3, XT!Y3, XT!AC3, XT!AG3 ô nào có tháng bằng 1 (tháng 1), rồi trả về số ngày của ô đó. Nếu không có ô nào thuộc tháng 1 thì trả về chuỗi rỗng ""
</t>
        </r>
      </text>
    </comment>
    <comment ref="C3" authorId="0" shapeId="0">
      <text>
        <r>
          <rPr>
            <sz val="9"/>
            <color indexed="81"/>
            <rFont val="Tahoma"/>
            <family val="2"/>
          </rPr>
          <t>Tìm cấp độ, nếu cấp độ &gt;0 thì lấy giá trị cột B. Ý nghĩa là xác định công việc thực hiện trực tiếp, không có chi tiết</t>
        </r>
      </text>
    </comment>
    <comment ref="D3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Nếu cấp độ =0 thì đó là chi tiết (tức cấp5) thì lấygiá trị ngày trong tháng</t>
        </r>
      </text>
    </comment>
  </commentList>
</comments>
</file>

<file path=xl/comments2.xml><?xml version="1.0" encoding="utf-8"?>
<comments xmlns="http://schemas.openxmlformats.org/spreadsheetml/2006/main">
  <authors>
    <author>Hai</author>
  </authors>
  <commentList>
    <comment ref="E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3.xml><?xml version="1.0" encoding="utf-8"?>
<comments xmlns="http://schemas.openxmlformats.org/spreadsheetml/2006/main">
  <authors>
    <author>Hai</author>
  </authors>
  <commentList>
    <comment ref="E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4.xml><?xml version="1.0" encoding="utf-8"?>
<comments xmlns="http://schemas.openxmlformats.org/spreadsheetml/2006/main">
  <authors>
    <author>Hai</author>
  </authors>
  <commentList>
    <comment ref="E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5.xml><?xml version="1.0" encoding="utf-8"?>
<comments xmlns="http://schemas.openxmlformats.org/spreadsheetml/2006/main">
  <authors>
    <author>Hai</author>
  </authors>
  <commentList>
    <comment ref="E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6.xml><?xml version="1.0" encoding="utf-8"?>
<comments xmlns="http://schemas.openxmlformats.org/spreadsheetml/2006/main">
  <authors>
    <author>Hai</author>
  </authors>
  <commentList>
    <comment ref="E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sharedStrings.xml><?xml version="1.0" encoding="utf-8"?>
<sst xmlns="http://schemas.openxmlformats.org/spreadsheetml/2006/main" count="160" uniqueCount="52">
  <si>
    <t>Ghi chú</t>
  </si>
  <si>
    <t>Đơn vị thực hiện</t>
  </si>
  <si>
    <t>Đơn vị</t>
  </si>
  <si>
    <t>Số lượng</t>
  </si>
  <si>
    <t>TT</t>
  </si>
  <si>
    <t>NỘI DUNG CÔNG VIỆC</t>
  </si>
  <si>
    <t>Thời gian thực hiện</t>
  </si>
  <si>
    <t>Năm phân bổ</t>
  </si>
  <si>
    <t>Ước TH 2025</t>
  </si>
  <si>
    <t>KH 2026</t>
  </si>
  <si>
    <t>Kế hoạch năm 2025</t>
  </si>
  <si>
    <t>Chi phí phân bổ 2026</t>
  </si>
  <si>
    <t>Cấp độ Công việc</t>
  </si>
  <si>
    <t>Chi phí cấp độ 1</t>
  </si>
  <si>
    <t>Chi phí cấp độ 2</t>
  </si>
  <si>
    <t>PHỤ LỤC 06: KẾ HOẠCH BẢO DƯỠNG - SỬA CHỮA  NĂM 2026</t>
  </si>
  <si>
    <t>Năm 2025</t>
  </si>
  <si>
    <t>Chi phí kế hoạch 2026</t>
  </si>
  <si>
    <t>TRẠM NẠP LPG HÀ NỘI</t>
  </si>
  <si>
    <t>TRẠM NẠP LPG NAM ĐỊNH</t>
  </si>
  <si>
    <t>SL</t>
  </si>
  <si>
    <t>BÁO CÁO TỔNG HỢP 
KẾT QUẢ THỰC HIỆN CÔNG TÁC BẢO DƯỠNG SỬA CHỮA TẠI CHI NHÁNH MIỀN BẮC</t>
  </si>
  <si>
    <t>Lũy kế từ 01/01 đến tháng báo cáo</t>
  </si>
  <si>
    <t>So sánh % LKTH so với KH</t>
  </si>
  <si>
    <t>Kế hoạch</t>
  </si>
  <si>
    <t>Thực hiện</t>
  </si>
  <si>
    <t>%</t>
  </si>
  <si>
    <t>Giá trị (VNĐ)</t>
  </si>
  <si>
    <t>Giá trị</t>
  </si>
  <si>
    <t>%SL</t>
  </si>
  <si>
    <t>%Giá trị</t>
  </si>
  <si>
    <t>CỘNG</t>
  </si>
  <si>
    <t>TTSSKĐ NAM ĐỊNH</t>
  </si>
  <si>
    <t>BẢO DƯỠNG XE Ô TÔ</t>
  </si>
  <si>
    <t xml:space="preserve">KHO LPG HẢI PHÒNG </t>
  </si>
  <si>
    <t>(Ban hành kèm theo Quyết định số …….…/QĐ-CNMB ngày …….…tháng …...… năm 2026 của Giám đốc Chi nhánh)</t>
  </si>
  <si>
    <r>
      <t>(Ban hành kèm theo Quyết định số …</t>
    </r>
    <r>
      <rPr>
        <sz val="12"/>
        <rFont val="Times New Roman"/>
        <family val="1"/>
      </rPr>
      <t>….…</t>
    </r>
    <r>
      <rPr>
        <i/>
        <sz val="12"/>
        <rFont val="Times New Roman"/>
        <family val="1"/>
      </rPr>
      <t>/QĐ-CNMB ngày …</t>
    </r>
    <r>
      <rPr>
        <sz val="12"/>
        <rFont val="Times New Roman"/>
        <family val="1"/>
      </rPr>
      <t>….</t>
    </r>
    <r>
      <rPr>
        <i/>
        <sz val="12"/>
        <rFont val="Times New Roman"/>
        <family val="1"/>
      </rPr>
      <t xml:space="preserve">…tháng </t>
    </r>
    <r>
      <rPr>
        <sz val="12"/>
        <rFont val="Times New Roman"/>
        <family val="1"/>
      </rPr>
      <t>…...</t>
    </r>
    <r>
      <rPr>
        <i/>
        <sz val="12"/>
        <rFont val="Times New Roman"/>
        <family val="1"/>
      </rPr>
      <t>…  năm 202... của Giám đốc Chi nhánh)</t>
    </r>
  </si>
  <si>
    <t>Tháng 01/2026</t>
  </si>
  <si>
    <t>Tháng 02/2026</t>
  </si>
  <si>
    <t>Tháng 03/2026</t>
  </si>
  <si>
    <t>Tháng 04/2026</t>
  </si>
  <si>
    <t>Tháng 05/2026</t>
  </si>
  <si>
    <t>Tháng 06/2026</t>
  </si>
  <si>
    <t>Tháng 07/2026</t>
  </si>
  <si>
    <t>Tháng 08/2026</t>
  </si>
  <si>
    <t>Tháng 09/2026</t>
  </si>
  <si>
    <t>Tháng 10/2026</t>
  </si>
  <si>
    <t>Tháng 11/2026</t>
  </si>
  <si>
    <t>Tháng 12/2026</t>
  </si>
  <si>
    <t>NĂM 2026</t>
  </si>
  <si>
    <t>Chi phí KH 2026</t>
  </si>
  <si>
    <t xml:space="preserve">KHO LPG MIỀN BẮC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</si>
</sst>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(* #,##0.00_);_(* \(#,##0.00\);_(* &quot;-&quot;??_);_(@_)"/>
    <numFmt numFmtId="164" formatCode="_-* #,##0.00\ _₫_-;\-* #,##0.00\ _₫_-;_-* &quot;-&quot;??\ _₫_-;_-@_-"/>
    <numFmt numFmtId="165" formatCode="_-* #,##0.00_-;\-* #,##0.00_-;_-* &quot;-&quot;??_-;_-@_-"/>
    <numFmt numFmtId="166" formatCode="_-* #,##0\ _₫_-;\-* #,##0\ _₫_-;_-* &quot;-&quot;??\ _₫_-;_-@_-"/>
    <numFmt numFmtId="167" formatCode="_(* #,##0_);_(* \(#,##0\);_(* &quot;-&quot;??_);_(@_)"/>
    <numFmt numFmtId="168" formatCode="0.0"/>
  </numFmts>
  <fonts count="46">
    <font>
      <sz val="10"/>
      <color theme="1"/>
      <name val="Times New Roman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.VnTime"/>
      <family val="2"/>
    </font>
    <font>
      <sz val="12"/>
      <name val="Times New Roman"/>
      <family val="1"/>
    </font>
    <font>
      <sz val="10"/>
      <name val="Arial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b/>
      <sz val="14"/>
      <name val="Times New Roman"/>
      <family val="1"/>
    </font>
    <font>
      <b/>
      <sz val="12"/>
      <name val="Times New Roman"/>
      <family val="1"/>
    </font>
    <font>
      <i/>
      <sz val="12"/>
      <name val="Times New Roman"/>
      <family val="1"/>
    </font>
    <font>
      <sz val="10"/>
      <color theme="1"/>
      <name val="VnBravo Times"/>
      <family val="2"/>
    </font>
    <font>
      <sz val="10"/>
      <name val="Times New Roman"/>
      <family val="1"/>
    </font>
    <font>
      <sz val="11"/>
      <name val="Times New Roman"/>
      <family val="1"/>
    </font>
    <font>
      <sz val="10"/>
      <name val="VnBravo Times"/>
      <family val="1"/>
    </font>
    <font>
      <sz val="11"/>
      <color indexed="8"/>
      <name val="Calibri"/>
      <family val="2"/>
    </font>
    <font>
      <sz val="12"/>
      <color theme="1"/>
      <name val="Tahoma"/>
      <family val="2"/>
    </font>
    <font>
      <sz val="12"/>
      <color indexed="8"/>
      <name val="Tahoma"/>
      <family val="2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8"/>
      <name val="Times New Roman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Times New Roman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Times New Roman"/>
      <family val="1"/>
    </font>
    <font>
      <sz val="9"/>
      <color indexed="81"/>
      <name val="Tahoma"/>
      <charset val="1"/>
    </font>
  </fonts>
  <fills count="3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 diagonalUp="1" diagonalDown="1"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3">
    <xf numFmtId="0" fontId="0" fillId="0" borderId="0"/>
    <xf numFmtId="164" fontId="6" fillId="0" borderId="0" applyFont="0" applyFill="0" applyBorder="0" applyAlignment="0" applyProtection="0"/>
    <xf numFmtId="0" fontId="3" fillId="0" borderId="0"/>
    <xf numFmtId="0" fontId="5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65" fontId="5" fillId="0" borderId="0" applyFont="0" applyFill="0" applyBorder="0" applyAlignment="0" applyProtection="0">
      <alignment vertical="center"/>
    </xf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1" fillId="0" borderId="0"/>
    <xf numFmtId="167" fontId="12" fillId="0" borderId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14" fillId="0" borderId="0"/>
    <xf numFmtId="43" fontId="5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5" fillId="0" borderId="1" quotePrefix="1">
      <alignment horizontal="justify" vertical="justify" textRotation="127" wrapText="1" justifyLastLine="1"/>
      <protection hidden="1"/>
    </xf>
    <xf numFmtId="43" fontId="5" fillId="0" borderId="0" applyFont="0" applyFill="0" applyBorder="0" applyAlignment="0" applyProtection="0"/>
    <xf numFmtId="0" fontId="15" fillId="0" borderId="0"/>
    <xf numFmtId="0" fontId="2" fillId="0" borderId="0"/>
    <xf numFmtId="0" fontId="12" fillId="0" borderId="0"/>
    <xf numFmtId="0" fontId="5" fillId="0" borderId="0"/>
    <xf numFmtId="43" fontId="5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6" fillId="0" borderId="0"/>
    <xf numFmtId="0" fontId="12" fillId="0" borderId="0"/>
    <xf numFmtId="0" fontId="5" fillId="0" borderId="0"/>
    <xf numFmtId="0" fontId="11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7" fontId="12" fillId="0" borderId="0" applyFill="0" applyBorder="0" applyAlignment="0" applyProtection="0"/>
    <xf numFmtId="43" fontId="17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6" fillId="0" borderId="0"/>
    <xf numFmtId="0" fontId="11" fillId="0" borderId="0"/>
    <xf numFmtId="43" fontId="2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10" applyNumberFormat="0" applyFill="0" applyAlignment="0" applyProtection="0"/>
    <xf numFmtId="0" fontId="27" fillId="0" borderId="11" applyNumberFormat="0" applyFill="0" applyAlignment="0" applyProtection="0"/>
    <xf numFmtId="0" fontId="28" fillId="0" borderId="12" applyNumberFormat="0" applyFill="0" applyAlignment="0" applyProtection="0"/>
    <xf numFmtId="0" fontId="28" fillId="0" borderId="0" applyNumberFormat="0" applyFill="0" applyBorder="0" applyAlignment="0" applyProtection="0"/>
    <xf numFmtId="0" fontId="29" fillId="4" borderId="0" applyNumberFormat="0" applyBorder="0" applyAlignment="0" applyProtection="0"/>
    <xf numFmtId="0" fontId="30" fillId="5" borderId="0" applyNumberFormat="0" applyBorder="0" applyAlignment="0" applyProtection="0"/>
    <xf numFmtId="0" fontId="31" fillId="6" borderId="0" applyNumberFormat="0" applyBorder="0" applyAlignment="0" applyProtection="0"/>
    <xf numFmtId="0" fontId="32" fillId="7" borderId="13" applyNumberFormat="0" applyAlignment="0" applyProtection="0"/>
    <xf numFmtId="0" fontId="33" fillId="8" borderId="14" applyNumberFormat="0" applyAlignment="0" applyProtection="0"/>
    <xf numFmtId="0" fontId="34" fillId="8" borderId="13" applyNumberFormat="0" applyAlignment="0" applyProtection="0"/>
    <xf numFmtId="0" fontId="35" fillId="0" borderId="15" applyNumberFormat="0" applyFill="0" applyAlignment="0" applyProtection="0"/>
    <xf numFmtId="0" fontId="36" fillId="9" borderId="16" applyNumberFormat="0" applyAlignment="0" applyProtection="0"/>
    <xf numFmtId="0" fontId="37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18" applyNumberFormat="0" applyFill="0" applyAlignment="0" applyProtection="0"/>
    <xf numFmtId="0" fontId="40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40" fillId="14" borderId="0" applyNumberFormat="0" applyBorder="0" applyAlignment="0" applyProtection="0"/>
    <xf numFmtId="0" fontId="40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40" fillId="18" borderId="0" applyNumberFormat="0" applyBorder="0" applyAlignment="0" applyProtection="0"/>
    <xf numFmtId="0" fontId="40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40" fillId="22" borderId="0" applyNumberFormat="0" applyBorder="0" applyAlignment="0" applyProtection="0"/>
    <xf numFmtId="0" fontId="40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40" fillId="34" borderId="0" applyNumberFormat="0" applyBorder="0" applyAlignment="0" applyProtection="0"/>
    <xf numFmtId="0" fontId="1" fillId="0" borderId="0"/>
    <xf numFmtId="0" fontId="1" fillId="10" borderId="17" applyNumberFormat="0" applyFont="0" applyAlignment="0" applyProtection="0"/>
    <xf numFmtId="9" fontId="41" fillId="0" borderId="0" applyFont="0" applyFill="0" applyBorder="0" applyAlignment="0" applyProtection="0"/>
  </cellStyleXfs>
  <cellXfs count="71">
    <xf numFmtId="0" fontId="0" fillId="0" borderId="0" xfId="0"/>
    <xf numFmtId="0" fontId="4" fillId="0" borderId="0" xfId="23" applyFont="1"/>
    <xf numFmtId="0" fontId="4" fillId="0" borderId="0" xfId="23" applyFont="1" applyAlignment="1">
      <alignment horizontal="center" vertical="center"/>
    </xf>
    <xf numFmtId="0" fontId="4" fillId="0" borderId="0" xfId="23" applyFont="1" applyAlignment="1">
      <alignment horizontal="center"/>
    </xf>
    <xf numFmtId="0" fontId="4" fillId="0" borderId="0" xfId="23" applyFont="1" applyAlignment="1">
      <alignment horizontal="right"/>
    </xf>
    <xf numFmtId="0" fontId="4" fillId="0" borderId="0" xfId="0" applyFont="1"/>
    <xf numFmtId="3" fontId="9" fillId="0" borderId="2" xfId="23" applyNumberFormat="1" applyFont="1" applyBorder="1" applyAlignment="1" applyProtection="1">
      <alignment horizontal="center" vertical="center" wrapText="1"/>
      <protection locked="0"/>
    </xf>
    <xf numFmtId="0" fontId="9" fillId="0" borderId="2" xfId="23" applyFont="1" applyBorder="1" applyAlignment="1">
      <alignment horizontal="center" vertical="center" wrapText="1"/>
    </xf>
    <xf numFmtId="167" fontId="9" fillId="0" borderId="2" xfId="25" applyNumberFormat="1" applyFont="1" applyFill="1" applyBorder="1" applyAlignment="1" applyProtection="1">
      <alignment horizontal="center" vertical="center" wrapText="1"/>
      <protection locked="0"/>
    </xf>
    <xf numFmtId="4" fontId="9" fillId="0" borderId="2" xfId="23" applyNumberFormat="1" applyFont="1" applyBorder="1" applyAlignment="1" applyProtection="1">
      <alignment horizontal="center" vertical="center" wrapText="1"/>
      <protection locked="0"/>
    </xf>
    <xf numFmtId="0" fontId="13" fillId="0" borderId="0" xfId="0" applyFont="1"/>
    <xf numFmtId="0" fontId="9" fillId="0" borderId="3" xfId="23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 wrapText="1"/>
    </xf>
    <xf numFmtId="166" fontId="4" fillId="0" borderId="0" xfId="1" applyNumberFormat="1" applyFont="1"/>
    <xf numFmtId="0" fontId="20" fillId="0" borderId="0" xfId="0" applyFont="1"/>
    <xf numFmtId="0" fontId="20" fillId="0" borderId="5" xfId="0" applyFont="1" applyBorder="1" applyAlignment="1">
      <alignment wrapText="1"/>
    </xf>
    <xf numFmtId="0" fontId="20" fillId="0" borderId="5" xfId="0" applyFont="1" applyBorder="1" applyAlignment="1">
      <alignment vertical="center" wrapText="1"/>
    </xf>
    <xf numFmtId="0" fontId="18" fillId="0" borderId="5" xfId="0" applyFont="1" applyBorder="1" applyAlignment="1">
      <alignment horizontal="right" wrapText="1"/>
    </xf>
    <xf numFmtId="0" fontId="19" fillId="0" borderId="7" xfId="0" applyFont="1" applyBorder="1" applyAlignment="1">
      <alignment vertical="center" wrapText="1"/>
    </xf>
    <xf numFmtId="0" fontId="19" fillId="0" borderId="8" xfId="0" applyFont="1" applyBorder="1" applyAlignment="1">
      <alignment vertical="center" wrapText="1"/>
    </xf>
    <xf numFmtId="0" fontId="20" fillId="0" borderId="9" xfId="0" applyFont="1" applyBorder="1" applyAlignment="1">
      <alignment wrapText="1"/>
    </xf>
    <xf numFmtId="0" fontId="20" fillId="0" borderId="9" xfId="0" applyFont="1" applyBorder="1" applyAlignment="1">
      <alignment vertical="center" wrapText="1"/>
    </xf>
    <xf numFmtId="0" fontId="20" fillId="2" borderId="4" xfId="0" applyFont="1" applyFill="1" applyBorder="1" applyAlignment="1">
      <alignment vertical="center" wrapText="1"/>
    </xf>
    <xf numFmtId="0" fontId="19" fillId="2" borderId="4" xfId="0" applyFont="1" applyFill="1" applyBorder="1" applyAlignment="1">
      <alignment vertical="center" wrapText="1"/>
    </xf>
    <xf numFmtId="0" fontId="19" fillId="2" borderId="4" xfId="0" applyFont="1" applyFill="1" applyBorder="1" applyAlignment="1">
      <alignment horizontal="right" vertical="center" wrapText="1"/>
    </xf>
    <xf numFmtId="0" fontId="18" fillId="0" borderId="4" xfId="0" applyFont="1" applyBorder="1" applyAlignment="1">
      <alignment wrapText="1"/>
    </xf>
    <xf numFmtId="0" fontId="18" fillId="0" borderId="4" xfId="0" applyFont="1" applyBorder="1" applyAlignment="1">
      <alignment horizontal="right" vertical="center" wrapText="1"/>
    </xf>
    <xf numFmtId="0" fontId="20" fillId="0" borderId="4" xfId="0" applyFont="1" applyBorder="1" applyAlignment="1">
      <alignment vertical="center" wrapText="1"/>
    </xf>
    <xf numFmtId="166" fontId="23" fillId="0" borderId="4" xfId="1" applyNumberFormat="1" applyFont="1" applyBorder="1" applyAlignment="1">
      <alignment horizontal="right" vertical="center" wrapText="1"/>
    </xf>
    <xf numFmtId="166" fontId="22" fillId="2" borderId="4" xfId="1" applyNumberFormat="1" applyFont="1" applyFill="1" applyBorder="1" applyAlignment="1">
      <alignment horizontal="right" vertical="center" wrapText="1"/>
    </xf>
    <xf numFmtId="0" fontId="20" fillId="0" borderId="4" xfId="0" applyFont="1" applyBorder="1" applyAlignment="1">
      <alignment wrapText="1"/>
    </xf>
    <xf numFmtId="166" fontId="0" fillId="0" borderId="3" xfId="1" applyNumberFormat="1" applyFont="1" applyBorder="1"/>
    <xf numFmtId="166" fontId="9" fillId="0" borderId="3" xfId="1" applyNumberFormat="1" applyFont="1" applyBorder="1" applyAlignment="1">
      <alignment horizontal="center" vertical="center" wrapText="1"/>
    </xf>
    <xf numFmtId="166" fontId="0" fillId="0" borderId="0" xfId="1" applyNumberFormat="1" applyFont="1"/>
    <xf numFmtId="0" fontId="0" fillId="0" borderId="0" xfId="0" applyAlignment="1">
      <alignment horizontal="center" vertical="center"/>
    </xf>
    <xf numFmtId="166" fontId="0" fillId="0" borderId="0" xfId="1" applyNumberFormat="1" applyFont="1" applyAlignment="1">
      <alignment vertical="center"/>
    </xf>
    <xf numFmtId="0" fontId="0" fillId="0" borderId="0" xfId="0" applyAlignment="1">
      <alignment vertical="center"/>
    </xf>
    <xf numFmtId="166" fontId="18" fillId="0" borderId="4" xfId="1" applyNumberFormat="1" applyFont="1" applyBorder="1" applyAlignment="1">
      <alignment horizontal="right" vertical="center" wrapText="1"/>
    </xf>
    <xf numFmtId="9" fontId="18" fillId="0" borderId="4" xfId="82" applyFont="1" applyBorder="1" applyAlignment="1">
      <alignment horizontal="right" vertical="center" wrapText="1"/>
    </xf>
    <xf numFmtId="0" fontId="44" fillId="0" borderId="0" xfId="0" applyFont="1"/>
    <xf numFmtId="9" fontId="19" fillId="2" borderId="4" xfId="82" applyFont="1" applyFill="1" applyBorder="1" applyAlignment="1">
      <alignment horizontal="right" vertical="center" wrapText="1"/>
    </xf>
    <xf numFmtId="166" fontId="19" fillId="2" borderId="4" xfId="1" applyNumberFormat="1" applyFont="1" applyFill="1" applyBorder="1" applyAlignment="1">
      <alignment horizontal="right" vertical="center" wrapText="1"/>
    </xf>
    <xf numFmtId="0" fontId="0" fillId="0" borderId="0" xfId="0" applyNumberFormat="1" applyAlignment="1">
      <alignment vertical="center"/>
    </xf>
    <xf numFmtId="0" fontId="0" fillId="0" borderId="0" xfId="0" applyNumberFormat="1" applyAlignment="1">
      <alignment horizontal="center" vertical="center"/>
    </xf>
    <xf numFmtId="0" fontId="0" fillId="0" borderId="0" xfId="1" applyNumberFormat="1" applyFont="1" applyAlignment="1">
      <alignment vertical="center"/>
    </xf>
    <xf numFmtId="0" fontId="0" fillId="0" borderId="0" xfId="0" applyNumberFormat="1" applyAlignment="1">
      <alignment vertical="center" wrapText="1"/>
    </xf>
    <xf numFmtId="0" fontId="0" fillId="35" borderId="0" xfId="0" applyNumberFormat="1" applyFill="1" applyAlignment="1">
      <alignment vertical="center"/>
    </xf>
    <xf numFmtId="0" fontId="0" fillId="0" borderId="0" xfId="0" applyNumberFormat="1" applyFill="1"/>
    <xf numFmtId="14" fontId="0" fillId="0" borderId="0" xfId="0" applyNumberFormat="1" applyFill="1"/>
    <xf numFmtId="0" fontId="44" fillId="36" borderId="0" xfId="0" applyFont="1" applyFill="1"/>
    <xf numFmtId="0" fontId="0" fillId="0" borderId="0" xfId="0" quotePrefix="1"/>
    <xf numFmtId="9" fontId="0" fillId="0" borderId="0" xfId="0" applyNumberFormat="1"/>
    <xf numFmtId="14" fontId="0" fillId="0" borderId="0" xfId="0" applyNumberFormat="1"/>
    <xf numFmtId="16" fontId="0" fillId="0" borderId="0" xfId="0" applyNumberFormat="1" applyFill="1"/>
    <xf numFmtId="0" fontId="8" fillId="0" borderId="0" xfId="23" applyFont="1" applyAlignment="1">
      <alignment horizontal="center" vertical="center" wrapText="1"/>
    </xf>
    <xf numFmtId="0" fontId="10" fillId="0" borderId="0" xfId="23" applyFont="1" applyAlignment="1">
      <alignment horizontal="center" vertical="center" wrapText="1"/>
    </xf>
    <xf numFmtId="168" fontId="9" fillId="0" borderId="3" xfId="23" applyNumberFormat="1" applyFont="1" applyBorder="1" applyAlignment="1" applyProtection="1">
      <alignment horizontal="center" vertical="center" wrapText="1"/>
      <protection locked="0"/>
    </xf>
    <xf numFmtId="0" fontId="9" fillId="0" borderId="3" xfId="23" applyFont="1" applyBorder="1" applyAlignment="1">
      <alignment horizontal="center" vertical="center"/>
    </xf>
    <xf numFmtId="0" fontId="9" fillId="0" borderId="3" xfId="23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0" fontId="20" fillId="0" borderId="6" xfId="0" applyFont="1" applyBorder="1" applyAlignment="1">
      <alignment vertical="center" wrapText="1"/>
    </xf>
    <xf numFmtId="0" fontId="20" fillId="0" borderId="7" xfId="0" applyFont="1" applyBorder="1" applyAlignment="1">
      <alignment vertical="center" wrapText="1"/>
    </xf>
    <xf numFmtId="0" fontId="20" fillId="0" borderId="8" xfId="0" applyFont="1" applyBorder="1" applyAlignment="1">
      <alignment vertical="center" wrapText="1"/>
    </xf>
    <xf numFmtId="0" fontId="19" fillId="3" borderId="4" xfId="0" applyFont="1" applyFill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 wrapText="1"/>
    </xf>
    <xf numFmtId="0" fontId="19" fillId="0" borderId="8" xfId="0" applyFont="1" applyBorder="1" applyAlignment="1">
      <alignment horizontal="center" vertical="center" wrapText="1"/>
    </xf>
    <xf numFmtId="0" fontId="21" fillId="0" borderId="6" xfId="0" applyFont="1" applyBorder="1" applyAlignment="1">
      <alignment horizontal="center" vertical="center" wrapText="1"/>
    </xf>
    <xf numFmtId="0" fontId="21" fillId="0" borderId="7" xfId="0" applyFont="1" applyBorder="1" applyAlignment="1">
      <alignment horizontal="center" vertical="center" wrapText="1"/>
    </xf>
    <xf numFmtId="0" fontId="21" fillId="0" borderId="8" xfId="0" applyFont="1" applyBorder="1" applyAlignment="1">
      <alignment horizontal="center" vertical="center" wrapText="1"/>
    </xf>
  </cellXfs>
  <cellStyles count="83">
    <cellStyle name="20% - Accent1" xfId="57" builtinId="30" customBuiltin="1"/>
    <cellStyle name="20% - Accent2" xfId="61" builtinId="34" customBuiltin="1"/>
    <cellStyle name="20% - Accent3" xfId="65" builtinId="38" customBuiltin="1"/>
    <cellStyle name="20% - Accent4" xfId="69" builtinId="42" customBuiltin="1"/>
    <cellStyle name="20% - Accent5" xfId="73" builtinId="46" customBuiltin="1"/>
    <cellStyle name="20% - Accent6" xfId="77" builtinId="50" customBuiltin="1"/>
    <cellStyle name="40% - Accent1" xfId="58" builtinId="31" customBuiltin="1"/>
    <cellStyle name="40% - Accent2" xfId="62" builtinId="35" customBuiltin="1"/>
    <cellStyle name="40% - Accent3" xfId="66" builtinId="39" customBuiltin="1"/>
    <cellStyle name="40% - Accent4" xfId="70" builtinId="43" customBuiltin="1"/>
    <cellStyle name="40% - Accent5" xfId="74" builtinId="47" customBuiltin="1"/>
    <cellStyle name="40% - Accent6" xfId="78" builtinId="51" customBuiltin="1"/>
    <cellStyle name="60% - Accent1" xfId="59" builtinId="32" customBuiltin="1"/>
    <cellStyle name="60% - Accent2" xfId="63" builtinId="36" customBuiltin="1"/>
    <cellStyle name="60% - Accent3" xfId="67" builtinId="40" customBuiltin="1"/>
    <cellStyle name="60% - Accent4" xfId="71" builtinId="44" customBuiltin="1"/>
    <cellStyle name="60% - Accent5" xfId="75" builtinId="48" customBuiltin="1"/>
    <cellStyle name="60% - Accent6" xfId="79" builtinId="52" customBuiltin="1"/>
    <cellStyle name="Accent1" xfId="56" builtinId="29" customBuiltin="1"/>
    <cellStyle name="Accent2" xfId="60" builtinId="33" customBuiltin="1"/>
    <cellStyle name="Accent3" xfId="64" builtinId="37" customBuiltin="1"/>
    <cellStyle name="Accent4" xfId="68" builtinId="41" customBuiltin="1"/>
    <cellStyle name="Accent5" xfId="72" builtinId="45" customBuiltin="1"/>
    <cellStyle name="Accent6" xfId="76" builtinId="49" customBuiltin="1"/>
    <cellStyle name="Bad" xfId="46" builtinId="27" customBuiltin="1"/>
    <cellStyle name="C:\Data\MS\Excel 2" xfId="19"/>
    <cellStyle name="Calculation" xfId="50" builtinId="22" customBuiltin="1"/>
    <cellStyle name="Check Cell" xfId="52" builtinId="23" customBuiltin="1"/>
    <cellStyle name="Comma" xfId="1" builtinId="3"/>
    <cellStyle name="Comma 10 2" xfId="15"/>
    <cellStyle name="Comma 14 2" xfId="25"/>
    <cellStyle name="Comma 15" xfId="16"/>
    <cellStyle name="Comma 2" xfId="8"/>
    <cellStyle name="Comma 2 2 2 2" xfId="33"/>
    <cellStyle name="Comma 2 6" xfId="35"/>
    <cellStyle name="Comma 22 2" xfId="32"/>
    <cellStyle name="Comma 24 2" xfId="13"/>
    <cellStyle name="Comma 3" xfId="20"/>
    <cellStyle name="Comma 3 17 2 2" xfId="5"/>
    <cellStyle name="Comma 3 18 2" xfId="4"/>
    <cellStyle name="Comma 3 2" xfId="36"/>
    <cellStyle name="Comma 4" xfId="39"/>
    <cellStyle name="Comma 7" xfId="26"/>
    <cellStyle name="Comma 70" xfId="6"/>
    <cellStyle name="Comma 8" xfId="34"/>
    <cellStyle name="Comma 9" xfId="11"/>
    <cellStyle name="Explanatory Text" xfId="54" builtinId="53" customBuiltin="1"/>
    <cellStyle name="Good" xfId="45" builtinId="26" customBuiltin="1"/>
    <cellStyle name="Heading 1" xfId="41" builtinId="16" customBuiltin="1"/>
    <cellStyle name="Heading 2" xfId="42" builtinId="17" customBuiltin="1"/>
    <cellStyle name="Heading 3" xfId="43" builtinId="18" customBuiltin="1"/>
    <cellStyle name="Heading 4" xfId="44" builtinId="19" customBuiltin="1"/>
    <cellStyle name="Input" xfId="48" builtinId="20" customBuiltin="1"/>
    <cellStyle name="Linked Cell" xfId="51" builtinId="24" customBuiltin="1"/>
    <cellStyle name="Neutral" xfId="47" builtinId="28" customBuiltin="1"/>
    <cellStyle name="Normal" xfId="0" builtinId="0"/>
    <cellStyle name="Normal 100" xfId="24"/>
    <cellStyle name="Normal 11" xfId="7"/>
    <cellStyle name="Normal 11 3" xfId="2"/>
    <cellStyle name="Normal 2" xfId="10"/>
    <cellStyle name="Normal 2 2" xfId="38"/>
    <cellStyle name="Normal 2 2 2" xfId="21"/>
    <cellStyle name="Normal 3" xfId="37"/>
    <cellStyle name="Normal 3 2" xfId="3"/>
    <cellStyle name="Normal 3 3" xfId="30"/>
    <cellStyle name="Normal 38 2" xfId="12"/>
    <cellStyle name="Normal 4" xfId="22"/>
    <cellStyle name="Normal 5" xfId="80"/>
    <cellStyle name="Normal 53 2" xfId="27"/>
    <cellStyle name="Normal 54" xfId="18"/>
    <cellStyle name="Normal 6" xfId="28"/>
    <cellStyle name="Normal 60" xfId="14"/>
    <cellStyle name="Normal 71" xfId="29"/>
    <cellStyle name="Normal 74" xfId="31"/>
    <cellStyle name="Normal_Sheet1" xfId="23"/>
    <cellStyle name="Note 2" xfId="81"/>
    <cellStyle name="Output" xfId="49" builtinId="21" customBuiltin="1"/>
    <cellStyle name="Percent" xfId="82" builtinId="5"/>
    <cellStyle name="Percent 12" xfId="17"/>
    <cellStyle name="Percent 2" xfId="9"/>
    <cellStyle name="Title" xfId="40" builtinId="15" customBuiltin="1"/>
    <cellStyle name="Total" xfId="55" builtinId="25" customBuiltin="1"/>
    <cellStyle name="Warning Text" xfId="5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4.xml"/><Relationship Id="rId26" Type="http://schemas.openxmlformats.org/officeDocument/2006/relationships/externalLink" Target="externalLinks/externalLink12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7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5" Type="http://schemas.openxmlformats.org/officeDocument/2006/relationships/externalLink" Target="externalLinks/externalLink11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externalLink" Target="externalLinks/externalLink6.xml"/><Relationship Id="rId29" Type="http://schemas.openxmlformats.org/officeDocument/2006/relationships/externalLink" Target="externalLinks/externalLink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0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externalLink" Target="externalLinks/externalLink9.xml"/><Relationship Id="rId28" Type="http://schemas.openxmlformats.org/officeDocument/2006/relationships/externalLink" Target="externalLinks/externalLink14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5.xml"/><Relationship Id="rId31" Type="http://schemas.openxmlformats.org/officeDocument/2006/relationships/externalLink" Target="externalLinks/externalLink1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8.xml"/><Relationship Id="rId27" Type="http://schemas.openxmlformats.org/officeDocument/2006/relationships/externalLink" Target="externalLinks/externalLink13.xml"/><Relationship Id="rId30" Type="http://schemas.openxmlformats.org/officeDocument/2006/relationships/externalLink" Target="externalLinks/externalLink16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ownloads\Users\Administrator\Downloads\Documents%20and%20Settings\Administrator\My%20Documents\Downloads\Chi%20Dung\Ke%20hoach%20lao%20dong%20tien%20luong%20201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dtt02\C\My%20Documents\LuuQuocThai\KiemtoanThanhNhan\CP%20Thanh%20Nhan\HDBH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ownloads\Mr%20HA\THI%20TRUONG\Boot%20thi%20truong%20Thang%2008%20-%202007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ownloads\DOCUME~1\ADMINI~1\LOCALS~1\Temp\Rar$DI01.563\Hang%20ton%20kho(2)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--TIT--\Downloads\My%20Document\Luong%20thang%2007%20CNCT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--TIT--\Downloads\DLIEU%20CN%20CAN%20THO\Luong\My%20Documents\DOANH%20NGHIEP\TRUNG%20THIEN\BAO%20CAO%20THUE%20TT%202001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ownloads\Documents%20and%20Settings\Administrator\My%20Documents\Downloads\Chi%20Dung\Ke%20hoach%20lao%20dong%20tien%20luong%202010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--TIT--\Downloads\DLIEU%20CN%20CAN%20THO\Luong\WINDOWS\TEMP\Rar$DI0v.g8j\BCAO03hh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ung\G\Huy\DUC%20LOC\mo%20ba%20(thue)\THAIBAO\THU%20VIEN%20TN\dt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HP\Downloads\LUONG%20KDH%202018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THO\DOCUMENT\CONG%20TAC%20NHAN%20SU\L&#431;&#416;NG\LUONG%20NAM%202018\B&#7842;NG%20T&#205;NH%20L&#431;&#416;NG%20M&#7898;I%202018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dtt02\C\My%20Documents\LuuQuocThai\KiemtoanThanhNhan\Nam2001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Dung%20Quat\Goi3\PNT-P3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WINDOWS\TEMP\IBASE2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CS3408\Standard\RPT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ownloads\Documents%20and%20Settings\User\My%20Documents\Downloads\Hang%20ton%20kho(2)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ownloads\Documents%20and%20Settings\User\My%20Documents\Downloads\nhap%20LPG%202012-BAN%20CHUAN-16-01-2013%20chi%20lam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O CAO ĐBLĐ"/>
      <sheetName val="Sheet3"/>
      <sheetName val="00000000"/>
      <sheetName val="XL4Poppy"/>
    </sheetNames>
    <sheetDataSet>
      <sheetData sheetId="0" refreshError="1"/>
      <sheetData sheetId="1" refreshError="1"/>
      <sheetData sheetId="2" refreshError="1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T"/>
      <sheetName val="Mahang"/>
      <sheetName val="1999"/>
      <sheetName val="PT1999"/>
      <sheetName val="PT2000"/>
      <sheetName val="KH00"/>
      <sheetName val="Sheet5"/>
      <sheetName val="KH01"/>
      <sheetName val="PT2001"/>
      <sheetName val="156Nhap00"/>
      <sheetName val="2000"/>
      <sheetName val="NXT00"/>
      <sheetName val="156nhap01"/>
      <sheetName val="2001"/>
      <sheetName val="NXT01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5">
          <cell r="G5">
            <v>0</v>
          </cell>
          <cell r="K5" t="str">
            <v xml:space="preserve"> </v>
          </cell>
        </row>
        <row r="6">
          <cell r="G6" t="str">
            <v>WFT110</v>
          </cell>
          <cell r="J6">
            <v>150</v>
          </cell>
          <cell r="K6">
            <v>963600000</v>
          </cell>
        </row>
        <row r="7">
          <cell r="G7" t="str">
            <v>FLF100</v>
          </cell>
          <cell r="J7">
            <v>100</v>
          </cell>
          <cell r="K7">
            <v>670800000</v>
          </cell>
        </row>
        <row r="8">
          <cell r="G8" t="str">
            <v>TBïn</v>
          </cell>
          <cell r="J8">
            <v>144.69999999999999</v>
          </cell>
          <cell r="K8">
            <v>20258000</v>
          </cell>
        </row>
        <row r="9">
          <cell r="G9" t="str">
            <v>Thep II</v>
          </cell>
          <cell r="J9">
            <v>305.68700000000001</v>
          </cell>
          <cell r="K9">
            <v>928173290</v>
          </cell>
        </row>
        <row r="10">
          <cell r="G10" t="str">
            <v>TBïn</v>
          </cell>
          <cell r="J10">
            <v>149.5</v>
          </cell>
          <cell r="K10">
            <v>20972000</v>
          </cell>
        </row>
        <row r="11">
          <cell r="G11">
            <v>0</v>
          </cell>
          <cell r="K11" t="str">
            <v xml:space="preserve"> </v>
          </cell>
        </row>
        <row r="12">
          <cell r="G12">
            <v>0</v>
          </cell>
          <cell r="K12" t="str">
            <v xml:space="preserve"> </v>
          </cell>
        </row>
        <row r="13">
          <cell r="G13" t="str">
            <v>BE 110</v>
          </cell>
          <cell r="J13">
            <v>4</v>
          </cell>
          <cell r="K13">
            <v>22400000</v>
          </cell>
        </row>
        <row r="14">
          <cell r="G14" t="str">
            <v>WFT110</v>
          </cell>
          <cell r="J14">
            <v>96</v>
          </cell>
          <cell r="K14">
            <v>537600000</v>
          </cell>
        </row>
        <row r="15">
          <cell r="G15" t="str">
            <v>TBïn</v>
          </cell>
          <cell r="J15">
            <v>150.5</v>
          </cell>
          <cell r="K15">
            <v>21070000</v>
          </cell>
        </row>
        <row r="16">
          <cell r="G16" t="str">
            <v>BP nhùa</v>
          </cell>
          <cell r="J16">
            <v>1998</v>
          </cell>
          <cell r="K16">
            <v>10534909</v>
          </cell>
        </row>
        <row r="17">
          <cell r="G17" t="str">
            <v>BP s¾t</v>
          </cell>
          <cell r="J17">
            <v>7992</v>
          </cell>
          <cell r="K17">
            <v>52311272</v>
          </cell>
        </row>
        <row r="18">
          <cell r="G18" t="str">
            <v>WFT110</v>
          </cell>
          <cell r="J18">
            <v>21</v>
          </cell>
          <cell r="K18">
            <v>111300000</v>
          </cell>
        </row>
        <row r="19">
          <cell r="G19" t="str">
            <v>BE 110</v>
          </cell>
          <cell r="J19">
            <v>500</v>
          </cell>
          <cell r="K19">
            <v>2650000000</v>
          </cell>
        </row>
        <row r="20">
          <cell r="G20">
            <v>0</v>
          </cell>
          <cell r="K20" t="str">
            <v xml:space="preserve"> </v>
          </cell>
        </row>
        <row r="21">
          <cell r="G21">
            <v>0</v>
          </cell>
          <cell r="K21" t="str">
            <v xml:space="preserve"> </v>
          </cell>
        </row>
        <row r="22">
          <cell r="G22" t="str">
            <v>TBïn</v>
          </cell>
          <cell r="J22">
            <v>150.1</v>
          </cell>
          <cell r="K22">
            <v>24766500</v>
          </cell>
        </row>
        <row r="23">
          <cell r="G23" t="str">
            <v>BE 110</v>
          </cell>
          <cell r="J23">
            <v>200</v>
          </cell>
          <cell r="K23">
            <v>1128000000</v>
          </cell>
        </row>
        <row r="24">
          <cell r="G24" t="str">
            <v>BOM</v>
          </cell>
          <cell r="J24">
            <v>2</v>
          </cell>
          <cell r="K24">
            <v>1165238646</v>
          </cell>
        </row>
        <row r="25">
          <cell r="G25" t="str">
            <v>QUICK 100</v>
          </cell>
          <cell r="J25">
            <v>50</v>
          </cell>
          <cell r="K25">
            <v>284400000</v>
          </cell>
        </row>
        <row r="26">
          <cell r="G26" t="str">
            <v>BE 110</v>
          </cell>
          <cell r="J26">
            <v>1</v>
          </cell>
          <cell r="K26">
            <v>5300000</v>
          </cell>
        </row>
        <row r="27">
          <cell r="G27" t="str">
            <v>FTE</v>
          </cell>
          <cell r="J27">
            <v>35</v>
          </cell>
          <cell r="K27">
            <v>185500000</v>
          </cell>
        </row>
        <row r="28">
          <cell r="G28" t="str">
            <v>BP s¾t</v>
          </cell>
          <cell r="J28">
            <v>5184</v>
          </cell>
          <cell r="K28">
            <v>30632727</v>
          </cell>
        </row>
        <row r="29">
          <cell r="G29" t="str">
            <v>BP nhùa</v>
          </cell>
          <cell r="J29">
            <v>8352</v>
          </cell>
          <cell r="K29">
            <v>41380364</v>
          </cell>
        </row>
        <row r="30">
          <cell r="G30" t="str">
            <v>dao</v>
          </cell>
          <cell r="J30">
            <v>1920</v>
          </cell>
          <cell r="K30">
            <v>5672727</v>
          </cell>
        </row>
        <row r="31">
          <cell r="G31" t="str">
            <v>bang</v>
          </cell>
          <cell r="J31">
            <v>1728</v>
          </cell>
          <cell r="K31">
            <v>7461818</v>
          </cell>
        </row>
        <row r="32">
          <cell r="G32" t="str">
            <v>QUICK 100</v>
          </cell>
          <cell r="J32">
            <v>10</v>
          </cell>
          <cell r="K32">
            <v>58600000</v>
          </cell>
        </row>
        <row r="33">
          <cell r="G33">
            <v>0</v>
          </cell>
          <cell r="K33" t="str">
            <v xml:space="preserve"> </v>
          </cell>
        </row>
        <row r="34">
          <cell r="G34">
            <v>0</v>
          </cell>
          <cell r="K34" t="str">
            <v xml:space="preserve"> </v>
          </cell>
        </row>
        <row r="35">
          <cell r="G35" t="str">
            <v>FTE</v>
          </cell>
          <cell r="J35">
            <v>10</v>
          </cell>
          <cell r="K35">
            <v>53000000</v>
          </cell>
        </row>
        <row r="36">
          <cell r="G36" t="str">
            <v>FTE</v>
          </cell>
          <cell r="J36">
            <v>7</v>
          </cell>
          <cell r="K36">
            <v>37100000</v>
          </cell>
        </row>
        <row r="37">
          <cell r="G37" t="str">
            <v>QUICK 100</v>
          </cell>
          <cell r="J37">
            <v>42</v>
          </cell>
          <cell r="K37">
            <v>222600000</v>
          </cell>
        </row>
        <row r="38">
          <cell r="G38" t="str">
            <v>HB supra</v>
          </cell>
          <cell r="K38">
            <v>1341455</v>
          </cell>
        </row>
        <row r="39">
          <cell r="G39" t="str">
            <v>Supra</v>
          </cell>
          <cell r="K39">
            <v>2572182</v>
          </cell>
        </row>
        <row r="40">
          <cell r="G40" t="str">
            <v>NCuèn</v>
          </cell>
          <cell r="K40">
            <v>6506364</v>
          </cell>
        </row>
        <row r="41">
          <cell r="G41" t="str">
            <v>Thep silic</v>
          </cell>
          <cell r="J41">
            <v>62.44</v>
          </cell>
          <cell r="K41">
            <v>336083651</v>
          </cell>
        </row>
        <row r="42">
          <cell r="G42" t="str">
            <v>San</v>
          </cell>
          <cell r="J42">
            <v>1</v>
          </cell>
          <cell r="K42">
            <v>158574000</v>
          </cell>
        </row>
        <row r="43">
          <cell r="G43" t="str">
            <v>BOM</v>
          </cell>
          <cell r="J43">
            <v>3</v>
          </cell>
          <cell r="K43">
            <v>229125000</v>
          </cell>
        </row>
        <row r="44">
          <cell r="G44" t="str">
            <v>BOM</v>
          </cell>
          <cell r="K44">
            <v>11272500</v>
          </cell>
        </row>
        <row r="45">
          <cell r="G45" t="str">
            <v>Xuc KO</v>
          </cell>
          <cell r="J45">
            <v>1</v>
          </cell>
          <cell r="K45">
            <v>336604400</v>
          </cell>
        </row>
        <row r="46">
          <cell r="G46" t="str">
            <v>Xóc lËt</v>
          </cell>
          <cell r="J46">
            <v>1</v>
          </cell>
          <cell r="K46">
            <v>126599000</v>
          </cell>
        </row>
        <row r="47">
          <cell r="G47">
            <v>0</v>
          </cell>
          <cell r="K47" t="str">
            <v xml:space="preserve"> </v>
          </cell>
        </row>
        <row r="48">
          <cell r="G48" t="str">
            <v>TBïn</v>
          </cell>
          <cell r="J48">
            <v>149.19999999999999</v>
          </cell>
          <cell r="K48">
            <v>24618000</v>
          </cell>
        </row>
        <row r="49">
          <cell r="G49" t="str">
            <v>Thep day</v>
          </cell>
          <cell r="J49">
            <v>324.76</v>
          </cell>
          <cell r="K49">
            <v>921512995</v>
          </cell>
        </row>
        <row r="50">
          <cell r="G50" t="str">
            <v>BE 110</v>
          </cell>
          <cell r="J50">
            <v>50</v>
          </cell>
          <cell r="K50">
            <v>282000000</v>
          </cell>
        </row>
        <row r="51">
          <cell r="G51" t="str">
            <v>V®á</v>
          </cell>
          <cell r="J51">
            <v>11760</v>
          </cell>
          <cell r="K51">
            <v>619376562</v>
          </cell>
        </row>
        <row r="52">
          <cell r="G52" t="str">
            <v>Lu W</v>
          </cell>
          <cell r="J52">
            <v>1</v>
          </cell>
          <cell r="K52">
            <v>69659700</v>
          </cell>
        </row>
        <row r="53">
          <cell r="G53" t="str">
            <v>UI</v>
          </cell>
          <cell r="J53">
            <v>1</v>
          </cell>
          <cell r="K53">
            <v>226088500</v>
          </cell>
        </row>
        <row r="54">
          <cell r="G54" t="str">
            <v>San g¹t</v>
          </cell>
          <cell r="J54">
            <v>1</v>
          </cell>
          <cell r="K54">
            <v>217056000</v>
          </cell>
        </row>
        <row r="55">
          <cell r="G55" t="str">
            <v>Lu 70</v>
          </cell>
          <cell r="J55">
            <v>1</v>
          </cell>
          <cell r="K55">
            <v>182598500</v>
          </cell>
        </row>
        <row r="56">
          <cell r="G56" t="str">
            <v>Lu 70</v>
          </cell>
          <cell r="K56">
            <v>9124125</v>
          </cell>
        </row>
        <row r="57">
          <cell r="G57" t="str">
            <v>Thep day</v>
          </cell>
          <cell r="J57">
            <v>312.68</v>
          </cell>
          <cell r="K57">
            <v>873614162</v>
          </cell>
        </row>
        <row r="58">
          <cell r="G58">
            <v>0</v>
          </cell>
          <cell r="K58" t="str">
            <v xml:space="preserve"> </v>
          </cell>
        </row>
        <row r="59">
          <cell r="G59">
            <v>0</v>
          </cell>
          <cell r="K59" t="str">
            <v xml:space="preserve"> </v>
          </cell>
        </row>
        <row r="60">
          <cell r="G60" t="str">
            <v>ac 35,94</v>
          </cell>
          <cell r="J60">
            <v>1</v>
          </cell>
          <cell r="K60">
            <v>209678086</v>
          </cell>
        </row>
        <row r="61">
          <cell r="G61" t="str">
            <v>ac 35,95</v>
          </cell>
          <cell r="J61">
            <v>1</v>
          </cell>
          <cell r="K61">
            <v>209678086</v>
          </cell>
        </row>
        <row r="62">
          <cell r="G62" t="str">
            <v>Hun 31</v>
          </cell>
          <cell r="J62">
            <v>1</v>
          </cell>
          <cell r="K62">
            <v>209678086</v>
          </cell>
        </row>
        <row r="63">
          <cell r="G63" t="str">
            <v>Hun 35</v>
          </cell>
          <cell r="J63">
            <v>1</v>
          </cell>
          <cell r="K63">
            <v>209678086</v>
          </cell>
        </row>
        <row r="64">
          <cell r="G64" t="str">
            <v>aa 43</v>
          </cell>
          <cell r="J64">
            <v>1</v>
          </cell>
          <cell r="K64">
            <v>251767686</v>
          </cell>
        </row>
        <row r="65">
          <cell r="G65" t="str">
            <v>aa 47</v>
          </cell>
          <cell r="J65">
            <v>1</v>
          </cell>
          <cell r="K65">
            <v>251767686</v>
          </cell>
        </row>
        <row r="66">
          <cell r="G66" t="str">
            <v>aa 46</v>
          </cell>
          <cell r="J66">
            <v>1</v>
          </cell>
          <cell r="K66">
            <v>251767686</v>
          </cell>
        </row>
        <row r="67">
          <cell r="G67" t="str">
            <v>Hun 47</v>
          </cell>
          <cell r="J67">
            <v>2</v>
          </cell>
          <cell r="K67">
            <v>503535312</v>
          </cell>
        </row>
        <row r="68">
          <cell r="G68" t="str">
            <v>Hun 46</v>
          </cell>
          <cell r="J68">
            <v>1</v>
          </cell>
          <cell r="K68">
            <v>251767686</v>
          </cell>
        </row>
        <row r="69">
          <cell r="G69" t="str">
            <v>Deowoo44</v>
          </cell>
          <cell r="J69">
            <v>2</v>
          </cell>
          <cell r="K69">
            <v>502174236</v>
          </cell>
        </row>
        <row r="70">
          <cell r="G70" t="str">
            <v>Deowoo46</v>
          </cell>
          <cell r="J70">
            <v>17</v>
          </cell>
          <cell r="K70">
            <v>4268481006</v>
          </cell>
        </row>
        <row r="71">
          <cell r="G71" t="str">
            <v>aa 42</v>
          </cell>
          <cell r="J71">
            <v>1</v>
          </cell>
          <cell r="K71">
            <v>251767686</v>
          </cell>
        </row>
        <row r="72">
          <cell r="G72" t="str">
            <v>ac 31,94</v>
          </cell>
          <cell r="J72">
            <v>1</v>
          </cell>
          <cell r="K72">
            <v>209082918</v>
          </cell>
        </row>
        <row r="73">
          <cell r="G73" t="str">
            <v>Hun 35</v>
          </cell>
          <cell r="J73">
            <v>1</v>
          </cell>
          <cell r="K73">
            <v>209082918</v>
          </cell>
        </row>
        <row r="74">
          <cell r="G74" t="str">
            <v>Hun 44</v>
          </cell>
          <cell r="J74">
            <v>2</v>
          </cell>
          <cell r="K74">
            <v>239833600</v>
          </cell>
        </row>
        <row r="75">
          <cell r="G75" t="str">
            <v>Hun 44</v>
          </cell>
          <cell r="K75">
            <v>244573200</v>
          </cell>
        </row>
        <row r="76">
          <cell r="G76" t="str">
            <v>Hun 44 Spa</v>
          </cell>
          <cell r="J76">
            <v>5</v>
          </cell>
          <cell r="K76">
            <v>600609000</v>
          </cell>
        </row>
        <row r="77">
          <cell r="G77" t="str">
            <v>Hun 44 Spa</v>
          </cell>
          <cell r="K77">
            <v>611433000</v>
          </cell>
        </row>
        <row r="78">
          <cell r="G78" t="str">
            <v>Xi</v>
          </cell>
          <cell r="J78">
            <v>4284</v>
          </cell>
          <cell r="K78">
            <v>58571000</v>
          </cell>
        </row>
        <row r="79">
          <cell r="G79" t="str">
            <v>Xi</v>
          </cell>
          <cell r="K79">
            <v>23095044</v>
          </cell>
        </row>
        <row r="80">
          <cell r="G80" t="str">
            <v>BOM</v>
          </cell>
          <cell r="J80">
            <v>2</v>
          </cell>
          <cell r="K80">
            <v>773240272</v>
          </cell>
        </row>
        <row r="81">
          <cell r="G81" t="str">
            <v>INOX</v>
          </cell>
          <cell r="J81">
            <v>63.37</v>
          </cell>
          <cell r="K81">
            <v>1098411221</v>
          </cell>
        </row>
        <row r="82">
          <cell r="G82">
            <v>0</v>
          </cell>
          <cell r="K82" t="str">
            <v xml:space="preserve"> </v>
          </cell>
        </row>
        <row r="83">
          <cell r="G83">
            <v>0</v>
          </cell>
          <cell r="K83" t="str">
            <v xml:space="preserve"> </v>
          </cell>
        </row>
        <row r="84">
          <cell r="G84" t="str">
            <v>Tl¸</v>
          </cell>
          <cell r="J84">
            <v>220</v>
          </cell>
          <cell r="K84">
            <v>3447369000</v>
          </cell>
        </row>
        <row r="85">
          <cell r="G85" t="str">
            <v>Tl¸</v>
          </cell>
          <cell r="K85">
            <v>1040502000</v>
          </cell>
        </row>
        <row r="86">
          <cell r="K86">
            <v>29820543850</v>
          </cell>
        </row>
      </sheetData>
      <sheetData sheetId="13">
        <row r="9">
          <cell r="F9" t="str">
            <v>Thep II</v>
          </cell>
          <cell r="G9">
            <v>305.68700000000001</v>
          </cell>
        </row>
        <row r="11">
          <cell r="F11" t="str">
            <v>V®á</v>
          </cell>
          <cell r="G11">
            <v>12</v>
          </cell>
        </row>
        <row r="13">
          <cell r="F13" t="str">
            <v>TBïn</v>
          </cell>
          <cell r="G13">
            <v>445</v>
          </cell>
        </row>
        <row r="14">
          <cell r="F14" t="str">
            <v>TBïn</v>
          </cell>
          <cell r="G14">
            <v>150.1</v>
          </cell>
        </row>
        <row r="15">
          <cell r="F15" t="str">
            <v>TBïn</v>
          </cell>
          <cell r="G15">
            <v>149.19999999999999</v>
          </cell>
        </row>
        <row r="17">
          <cell r="F17" t="str">
            <v>V®á</v>
          </cell>
          <cell r="G17">
            <v>24</v>
          </cell>
        </row>
        <row r="18">
          <cell r="F18" t="str">
            <v>V®á</v>
          </cell>
          <cell r="G18">
            <v>322</v>
          </cell>
        </row>
        <row r="20">
          <cell r="F20" t="str">
            <v>DL</v>
          </cell>
        </row>
        <row r="22">
          <cell r="F22" t="str">
            <v>WARE 110</v>
          </cell>
          <cell r="G22">
            <v>8</v>
          </cell>
        </row>
        <row r="24">
          <cell r="F24" t="str">
            <v>V®á</v>
          </cell>
          <cell r="G24">
            <v>30</v>
          </cell>
        </row>
        <row r="25">
          <cell r="F25" t="str">
            <v>V®á</v>
          </cell>
          <cell r="G25">
            <v>240</v>
          </cell>
        </row>
        <row r="27">
          <cell r="F27" t="str">
            <v>DL</v>
          </cell>
          <cell r="G27">
            <v>1</v>
          </cell>
        </row>
        <row r="28">
          <cell r="F28" t="str">
            <v>V®á</v>
          </cell>
          <cell r="G28">
            <v>150</v>
          </cell>
        </row>
        <row r="30">
          <cell r="F30" t="str">
            <v>V®á</v>
          </cell>
          <cell r="G30">
            <v>120</v>
          </cell>
        </row>
        <row r="31">
          <cell r="F31" t="str">
            <v>DL</v>
          </cell>
        </row>
        <row r="33">
          <cell r="F33" t="str">
            <v>V®á</v>
          </cell>
          <cell r="G33">
            <v>60</v>
          </cell>
        </row>
        <row r="34">
          <cell r="F34" t="str">
            <v>V®á</v>
          </cell>
          <cell r="G34">
            <v>60</v>
          </cell>
        </row>
        <row r="35">
          <cell r="F35" t="str">
            <v>V®á</v>
          </cell>
          <cell r="G35">
            <v>120</v>
          </cell>
        </row>
        <row r="36">
          <cell r="F36" t="str">
            <v>DL</v>
          </cell>
        </row>
        <row r="38">
          <cell r="F38" t="str">
            <v>DL</v>
          </cell>
        </row>
        <row r="40">
          <cell r="F40" t="str">
            <v>DL</v>
          </cell>
        </row>
        <row r="42">
          <cell r="F42" t="str">
            <v>FLF100</v>
          </cell>
          <cell r="G42">
            <v>8</v>
          </cell>
        </row>
        <row r="44">
          <cell r="F44" t="str">
            <v>DL</v>
          </cell>
        </row>
        <row r="45">
          <cell r="F45" t="str">
            <v>V®á</v>
          </cell>
          <cell r="G45">
            <v>300</v>
          </cell>
        </row>
        <row r="47">
          <cell r="F47" t="str">
            <v>V®á</v>
          </cell>
          <cell r="G47">
            <v>240</v>
          </cell>
        </row>
        <row r="48">
          <cell r="F48" t="str">
            <v>V®á</v>
          </cell>
          <cell r="G48">
            <v>300</v>
          </cell>
        </row>
        <row r="50">
          <cell r="F50" t="str">
            <v>BE 110</v>
          </cell>
          <cell r="G50">
            <v>2</v>
          </cell>
        </row>
        <row r="52">
          <cell r="F52" t="str">
            <v>V®á</v>
          </cell>
          <cell r="G52">
            <v>210</v>
          </cell>
        </row>
        <row r="54">
          <cell r="F54" t="str">
            <v>V®á</v>
          </cell>
          <cell r="G54">
            <v>3500</v>
          </cell>
        </row>
        <row r="56">
          <cell r="F56" t="str">
            <v>V®á</v>
          </cell>
          <cell r="G56">
            <v>30</v>
          </cell>
        </row>
        <row r="58">
          <cell r="F58" t="str">
            <v>V®á</v>
          </cell>
          <cell r="G58">
            <v>360</v>
          </cell>
        </row>
        <row r="60">
          <cell r="F60" t="str">
            <v>WFT110</v>
          </cell>
          <cell r="G60">
            <v>10</v>
          </cell>
        </row>
        <row r="62">
          <cell r="F62" t="str">
            <v>FLF100</v>
          </cell>
          <cell r="G62">
            <v>3</v>
          </cell>
        </row>
        <row r="63">
          <cell r="F63" t="str">
            <v>WFT110</v>
          </cell>
          <cell r="G63">
            <v>4</v>
          </cell>
        </row>
        <row r="65">
          <cell r="F65" t="str">
            <v>BE 110</v>
          </cell>
          <cell r="G65">
            <v>4</v>
          </cell>
        </row>
        <row r="66">
          <cell r="F66" t="str">
            <v>WFT110</v>
          </cell>
          <cell r="G66">
            <v>1</v>
          </cell>
        </row>
        <row r="68">
          <cell r="F68" t="str">
            <v>HB supra</v>
          </cell>
          <cell r="G68">
            <v>65</v>
          </cell>
        </row>
        <row r="70">
          <cell r="F70" t="str">
            <v>DL</v>
          </cell>
        </row>
        <row r="71">
          <cell r="F71" t="str">
            <v>DL</v>
          </cell>
        </row>
        <row r="73">
          <cell r="F73" t="str">
            <v>V®á</v>
          </cell>
          <cell r="G73">
            <v>30</v>
          </cell>
        </row>
        <row r="75">
          <cell r="F75" t="str">
            <v>Thep silic</v>
          </cell>
          <cell r="G75">
            <v>62.442999999999998</v>
          </cell>
        </row>
        <row r="77">
          <cell r="F77" t="str">
            <v>BE 110</v>
          </cell>
          <cell r="G77">
            <v>36</v>
          </cell>
        </row>
        <row r="79">
          <cell r="F79" t="str">
            <v>V®á</v>
          </cell>
          <cell r="G79">
            <v>24</v>
          </cell>
        </row>
        <row r="81">
          <cell r="F81" t="str">
            <v>V®á</v>
          </cell>
          <cell r="G81">
            <v>200</v>
          </cell>
        </row>
        <row r="83">
          <cell r="F83" t="str">
            <v>BE 110</v>
          </cell>
          <cell r="G83">
            <v>40</v>
          </cell>
        </row>
        <row r="84">
          <cell r="F84" t="str">
            <v>BE 110</v>
          </cell>
          <cell r="G84">
            <v>44</v>
          </cell>
        </row>
        <row r="86">
          <cell r="F86" t="str">
            <v>HNL101</v>
          </cell>
          <cell r="G86">
            <v>48</v>
          </cell>
        </row>
        <row r="88">
          <cell r="F88" t="str">
            <v>FLF100</v>
          </cell>
          <cell r="G88">
            <v>1</v>
          </cell>
        </row>
        <row r="89">
          <cell r="F89" t="str">
            <v>FLF100</v>
          </cell>
          <cell r="G89">
            <v>1</v>
          </cell>
        </row>
        <row r="90">
          <cell r="F90" t="str">
            <v>FLF100</v>
          </cell>
          <cell r="G90">
            <v>1</v>
          </cell>
        </row>
        <row r="91">
          <cell r="F91" t="str">
            <v>FLF100</v>
          </cell>
          <cell r="G91">
            <v>1</v>
          </cell>
        </row>
        <row r="92">
          <cell r="F92" t="str">
            <v>FLF100</v>
          </cell>
          <cell r="G92">
            <v>1</v>
          </cell>
        </row>
        <row r="93">
          <cell r="F93" t="str">
            <v>WFT110</v>
          </cell>
          <cell r="G93">
            <v>1</v>
          </cell>
        </row>
        <row r="94">
          <cell r="F94" t="str">
            <v>WFT110</v>
          </cell>
          <cell r="G94">
            <v>1</v>
          </cell>
        </row>
        <row r="95">
          <cell r="F95" t="str">
            <v>WFT110</v>
          </cell>
          <cell r="G95">
            <v>1</v>
          </cell>
        </row>
        <row r="96">
          <cell r="F96" t="str">
            <v>WFT110</v>
          </cell>
          <cell r="G96">
            <v>1</v>
          </cell>
        </row>
        <row r="97">
          <cell r="F97" t="str">
            <v>WFT110</v>
          </cell>
          <cell r="G97">
            <v>1</v>
          </cell>
        </row>
        <row r="98">
          <cell r="F98" t="str">
            <v>WFT110</v>
          </cell>
          <cell r="G98">
            <v>1</v>
          </cell>
        </row>
        <row r="99">
          <cell r="F99" t="str">
            <v>WFT110</v>
          </cell>
          <cell r="G99">
            <v>1</v>
          </cell>
        </row>
        <row r="100">
          <cell r="F100" t="str">
            <v>WFT110</v>
          </cell>
          <cell r="G100">
            <v>1</v>
          </cell>
        </row>
        <row r="101">
          <cell r="F101" t="str">
            <v>WFT110</v>
          </cell>
          <cell r="G101">
            <v>1</v>
          </cell>
        </row>
        <row r="102">
          <cell r="F102" t="str">
            <v>WFT110</v>
          </cell>
          <cell r="G102">
            <v>1</v>
          </cell>
        </row>
        <row r="103">
          <cell r="F103" t="str">
            <v>WFT110</v>
          </cell>
          <cell r="G103">
            <v>1</v>
          </cell>
        </row>
        <row r="104">
          <cell r="F104" t="str">
            <v>WFT110</v>
          </cell>
          <cell r="G104">
            <v>1</v>
          </cell>
        </row>
        <row r="105">
          <cell r="F105" t="str">
            <v>WFT110</v>
          </cell>
          <cell r="G105">
            <v>1</v>
          </cell>
        </row>
        <row r="106">
          <cell r="F106" t="str">
            <v>WFT110</v>
          </cell>
          <cell r="G106">
            <v>1</v>
          </cell>
        </row>
        <row r="107">
          <cell r="F107" t="str">
            <v>FLF100</v>
          </cell>
          <cell r="G107">
            <v>1</v>
          </cell>
        </row>
        <row r="108">
          <cell r="F108" t="str">
            <v>WFT110</v>
          </cell>
          <cell r="G108">
            <v>1</v>
          </cell>
        </row>
        <row r="109">
          <cell r="F109" t="str">
            <v>WFT110</v>
          </cell>
          <cell r="G109">
            <v>1</v>
          </cell>
        </row>
        <row r="110">
          <cell r="F110" t="str">
            <v>WFT110</v>
          </cell>
          <cell r="G110">
            <v>1</v>
          </cell>
        </row>
        <row r="111">
          <cell r="F111" t="str">
            <v>WFT110</v>
          </cell>
          <cell r="G111">
            <v>1</v>
          </cell>
        </row>
        <row r="112">
          <cell r="F112" t="str">
            <v>WFT110</v>
          </cell>
          <cell r="G112">
            <v>1</v>
          </cell>
        </row>
        <row r="113">
          <cell r="F113" t="str">
            <v>WFT110</v>
          </cell>
          <cell r="G113">
            <v>1</v>
          </cell>
        </row>
        <row r="114">
          <cell r="F114" t="str">
            <v>WFT110</v>
          </cell>
          <cell r="G114">
            <v>1</v>
          </cell>
        </row>
        <row r="115">
          <cell r="F115" t="str">
            <v>WFT110</v>
          </cell>
          <cell r="G115">
            <v>1</v>
          </cell>
        </row>
        <row r="116">
          <cell r="F116" t="str">
            <v>FLF100</v>
          </cell>
          <cell r="G116">
            <v>1</v>
          </cell>
        </row>
        <row r="117">
          <cell r="F117" t="str">
            <v>FLF100</v>
          </cell>
          <cell r="G117">
            <v>1</v>
          </cell>
        </row>
        <row r="118">
          <cell r="F118" t="str">
            <v>FLF100</v>
          </cell>
          <cell r="G118">
            <v>1</v>
          </cell>
        </row>
        <row r="119">
          <cell r="F119" t="str">
            <v>FLF100</v>
          </cell>
          <cell r="G119">
            <v>1</v>
          </cell>
        </row>
        <row r="120">
          <cell r="F120" t="str">
            <v>WFT110</v>
          </cell>
          <cell r="G120">
            <v>1</v>
          </cell>
        </row>
        <row r="121">
          <cell r="F121" t="str">
            <v>WFT110</v>
          </cell>
          <cell r="G121">
            <v>1</v>
          </cell>
        </row>
        <row r="122">
          <cell r="F122" t="str">
            <v>WFT110</v>
          </cell>
          <cell r="G122">
            <v>1</v>
          </cell>
        </row>
        <row r="123">
          <cell r="F123" t="str">
            <v>FLF100</v>
          </cell>
          <cell r="G123">
            <v>1</v>
          </cell>
        </row>
        <row r="124">
          <cell r="F124" t="str">
            <v>FLF100</v>
          </cell>
          <cell r="G124">
            <v>1</v>
          </cell>
        </row>
        <row r="125">
          <cell r="F125" t="str">
            <v>FLF100</v>
          </cell>
          <cell r="G125">
            <v>1</v>
          </cell>
        </row>
        <row r="126">
          <cell r="F126" t="str">
            <v>FLF100</v>
          </cell>
          <cell r="G126">
            <v>1</v>
          </cell>
        </row>
        <row r="127">
          <cell r="F127" t="str">
            <v>FLF100</v>
          </cell>
          <cell r="G127">
            <v>1</v>
          </cell>
        </row>
        <row r="128">
          <cell r="F128" t="str">
            <v>FLF100</v>
          </cell>
          <cell r="G128">
            <v>1</v>
          </cell>
        </row>
        <row r="129">
          <cell r="F129" t="str">
            <v>FLF100</v>
          </cell>
          <cell r="G129">
            <v>1</v>
          </cell>
        </row>
        <row r="130">
          <cell r="F130" t="str">
            <v>FLF100</v>
          </cell>
          <cell r="G130">
            <v>1</v>
          </cell>
        </row>
        <row r="131">
          <cell r="F131" t="str">
            <v>FLF100</v>
          </cell>
          <cell r="G131">
            <v>1</v>
          </cell>
        </row>
        <row r="132">
          <cell r="F132" t="str">
            <v>FLF100</v>
          </cell>
          <cell r="G132">
            <v>1</v>
          </cell>
        </row>
        <row r="133">
          <cell r="F133" t="str">
            <v>FLF100</v>
          </cell>
          <cell r="G133">
            <v>1</v>
          </cell>
        </row>
        <row r="134">
          <cell r="F134" t="str">
            <v>FLF100</v>
          </cell>
          <cell r="G134">
            <v>1</v>
          </cell>
        </row>
        <row r="135">
          <cell r="F135" t="str">
            <v>WFT110</v>
          </cell>
          <cell r="G135">
            <v>1</v>
          </cell>
        </row>
        <row r="136">
          <cell r="F136" t="str">
            <v>FLF100</v>
          </cell>
          <cell r="G136">
            <v>1</v>
          </cell>
        </row>
        <row r="137">
          <cell r="F137" t="str">
            <v>WFT110</v>
          </cell>
          <cell r="G137">
            <v>1</v>
          </cell>
        </row>
        <row r="138">
          <cell r="F138" t="str">
            <v>WFT110</v>
          </cell>
          <cell r="G138">
            <v>1</v>
          </cell>
        </row>
        <row r="139">
          <cell r="F139" t="str">
            <v>WFT110</v>
          </cell>
          <cell r="G139">
            <v>1</v>
          </cell>
        </row>
        <row r="140">
          <cell r="F140" t="str">
            <v>WFT110</v>
          </cell>
          <cell r="G140">
            <v>1</v>
          </cell>
        </row>
        <row r="141">
          <cell r="F141" t="str">
            <v>WFT110</v>
          </cell>
          <cell r="G141">
            <v>1</v>
          </cell>
        </row>
        <row r="142">
          <cell r="F142" t="str">
            <v>FLF100</v>
          </cell>
          <cell r="G142">
            <v>1</v>
          </cell>
        </row>
        <row r="143">
          <cell r="F143" t="str">
            <v>FLF100</v>
          </cell>
          <cell r="G143">
            <v>1</v>
          </cell>
        </row>
        <row r="144">
          <cell r="F144" t="str">
            <v>FLF100</v>
          </cell>
          <cell r="G144">
            <v>1</v>
          </cell>
        </row>
        <row r="145">
          <cell r="F145" t="str">
            <v>FLF100</v>
          </cell>
          <cell r="G145">
            <v>1</v>
          </cell>
        </row>
        <row r="146">
          <cell r="F146" t="str">
            <v>FLF100</v>
          </cell>
          <cell r="G146">
            <v>1</v>
          </cell>
        </row>
        <row r="147">
          <cell r="F147" t="str">
            <v>FLF100</v>
          </cell>
          <cell r="G147">
            <v>1</v>
          </cell>
        </row>
        <row r="148">
          <cell r="F148" t="str">
            <v>WFT110</v>
          </cell>
          <cell r="G148">
            <v>1</v>
          </cell>
        </row>
        <row r="149">
          <cell r="F149" t="str">
            <v>WFT110</v>
          </cell>
          <cell r="G149">
            <v>1</v>
          </cell>
        </row>
        <row r="150">
          <cell r="F150" t="str">
            <v>WFT110</v>
          </cell>
          <cell r="G150">
            <v>1</v>
          </cell>
        </row>
        <row r="151">
          <cell r="F151" t="str">
            <v>WFT110</v>
          </cell>
          <cell r="G151">
            <v>1</v>
          </cell>
        </row>
        <row r="152">
          <cell r="F152" t="str">
            <v>WFT110</v>
          </cell>
          <cell r="G152">
            <v>1</v>
          </cell>
        </row>
        <row r="153">
          <cell r="F153" t="str">
            <v>FLF100</v>
          </cell>
          <cell r="G153">
            <v>1</v>
          </cell>
        </row>
        <row r="154">
          <cell r="F154" t="str">
            <v>FLF100</v>
          </cell>
          <cell r="G154">
            <v>1</v>
          </cell>
        </row>
        <row r="155">
          <cell r="F155" t="str">
            <v>FLF100</v>
          </cell>
          <cell r="G155">
            <v>1</v>
          </cell>
        </row>
        <row r="156">
          <cell r="F156" t="str">
            <v>WFT110</v>
          </cell>
          <cell r="G156">
            <v>1</v>
          </cell>
        </row>
        <row r="157">
          <cell r="F157" t="str">
            <v>FLF100</v>
          </cell>
          <cell r="G157">
            <v>1</v>
          </cell>
        </row>
        <row r="158">
          <cell r="F158" t="str">
            <v>WFT110</v>
          </cell>
          <cell r="G158">
            <v>1</v>
          </cell>
        </row>
        <row r="159">
          <cell r="F159" t="str">
            <v>FLF100</v>
          </cell>
          <cell r="G159">
            <v>1</v>
          </cell>
        </row>
        <row r="160">
          <cell r="F160" t="str">
            <v>FLF100</v>
          </cell>
          <cell r="G160">
            <v>1</v>
          </cell>
        </row>
        <row r="161">
          <cell r="F161" t="str">
            <v>WFT110</v>
          </cell>
          <cell r="G161">
            <v>1</v>
          </cell>
        </row>
        <row r="162">
          <cell r="F162" t="str">
            <v>FLF100</v>
          </cell>
          <cell r="G162">
            <v>1</v>
          </cell>
        </row>
        <row r="163">
          <cell r="F163" t="str">
            <v>FLF100</v>
          </cell>
          <cell r="G163">
            <v>1</v>
          </cell>
        </row>
        <row r="164">
          <cell r="F164" t="str">
            <v>FLF100</v>
          </cell>
          <cell r="G164">
            <v>1</v>
          </cell>
        </row>
        <row r="165">
          <cell r="F165" t="str">
            <v>FLF100</v>
          </cell>
          <cell r="G165">
            <v>1</v>
          </cell>
        </row>
        <row r="166">
          <cell r="F166" t="str">
            <v>FLF100</v>
          </cell>
          <cell r="G166">
            <v>1</v>
          </cell>
        </row>
        <row r="167">
          <cell r="F167" t="str">
            <v>FLF100</v>
          </cell>
          <cell r="G167">
            <v>1</v>
          </cell>
        </row>
        <row r="168">
          <cell r="F168" t="str">
            <v>WFT110</v>
          </cell>
          <cell r="G168">
            <v>1</v>
          </cell>
        </row>
        <row r="169">
          <cell r="F169" t="str">
            <v>FLF100</v>
          </cell>
          <cell r="G169">
            <v>1</v>
          </cell>
        </row>
        <row r="170">
          <cell r="F170" t="str">
            <v>FLF100</v>
          </cell>
          <cell r="G170">
            <v>1</v>
          </cell>
        </row>
        <row r="171">
          <cell r="F171" t="str">
            <v>FLF100</v>
          </cell>
          <cell r="G171">
            <v>1</v>
          </cell>
        </row>
        <row r="172">
          <cell r="F172" t="str">
            <v>FLF100</v>
          </cell>
          <cell r="G172">
            <v>1</v>
          </cell>
        </row>
        <row r="173">
          <cell r="F173" t="str">
            <v>FLF100</v>
          </cell>
          <cell r="G173">
            <v>1</v>
          </cell>
        </row>
        <row r="174">
          <cell r="F174" t="str">
            <v>WFT110</v>
          </cell>
          <cell r="G174">
            <v>1</v>
          </cell>
        </row>
        <row r="175">
          <cell r="F175" t="str">
            <v>FLF100</v>
          </cell>
          <cell r="G175">
            <v>1</v>
          </cell>
        </row>
        <row r="176">
          <cell r="F176" t="str">
            <v>WFT110</v>
          </cell>
          <cell r="G176">
            <v>1</v>
          </cell>
        </row>
        <row r="177">
          <cell r="F177" t="str">
            <v>WFT110</v>
          </cell>
          <cell r="G177">
            <v>1</v>
          </cell>
        </row>
        <row r="178">
          <cell r="F178" t="str">
            <v>WFT110</v>
          </cell>
          <cell r="G178">
            <v>1</v>
          </cell>
        </row>
        <row r="179">
          <cell r="F179" t="str">
            <v>FLF100</v>
          </cell>
          <cell r="G179">
            <v>1</v>
          </cell>
        </row>
        <row r="180">
          <cell r="F180" t="str">
            <v>WFT110</v>
          </cell>
          <cell r="G180">
            <v>1</v>
          </cell>
        </row>
        <row r="181">
          <cell r="F181" t="str">
            <v>FLF100</v>
          </cell>
          <cell r="G181">
            <v>1</v>
          </cell>
        </row>
        <row r="182">
          <cell r="F182" t="str">
            <v>FLF100</v>
          </cell>
          <cell r="G182">
            <v>1</v>
          </cell>
        </row>
        <row r="183">
          <cell r="F183" t="str">
            <v>WFT110</v>
          </cell>
          <cell r="G183">
            <v>1</v>
          </cell>
        </row>
        <row r="184">
          <cell r="F184" t="str">
            <v>WFT110</v>
          </cell>
          <cell r="G184">
            <v>1</v>
          </cell>
        </row>
        <row r="185">
          <cell r="F185" t="str">
            <v>FLF100</v>
          </cell>
          <cell r="G185">
            <v>1</v>
          </cell>
        </row>
        <row r="186">
          <cell r="F186" t="str">
            <v>WFT110</v>
          </cell>
          <cell r="G186">
            <v>1</v>
          </cell>
        </row>
        <row r="187">
          <cell r="F187" t="str">
            <v>WFT110</v>
          </cell>
          <cell r="G187">
            <v>1</v>
          </cell>
        </row>
        <row r="188">
          <cell r="F188" t="str">
            <v>WFT110</v>
          </cell>
          <cell r="G188">
            <v>1</v>
          </cell>
        </row>
        <row r="189">
          <cell r="F189" t="str">
            <v>WFT110</v>
          </cell>
          <cell r="G189">
            <v>1</v>
          </cell>
        </row>
        <row r="190">
          <cell r="F190" t="str">
            <v>WFT110</v>
          </cell>
          <cell r="G190">
            <v>1</v>
          </cell>
        </row>
        <row r="191">
          <cell r="F191" t="str">
            <v>WFT110</v>
          </cell>
          <cell r="G191">
            <v>1</v>
          </cell>
        </row>
        <row r="192">
          <cell r="F192" t="str">
            <v>WFT110</v>
          </cell>
          <cell r="G192">
            <v>1</v>
          </cell>
        </row>
        <row r="193">
          <cell r="F193" t="str">
            <v>WFT110</v>
          </cell>
          <cell r="G193">
            <v>1</v>
          </cell>
        </row>
        <row r="194">
          <cell r="F194" t="str">
            <v>WFT110</v>
          </cell>
          <cell r="G194">
            <v>1</v>
          </cell>
        </row>
        <row r="195">
          <cell r="F195" t="str">
            <v>WFT110</v>
          </cell>
          <cell r="G195">
            <v>1</v>
          </cell>
        </row>
        <row r="196">
          <cell r="F196" t="str">
            <v>WFT110</v>
          </cell>
          <cell r="G196">
            <v>1</v>
          </cell>
        </row>
        <row r="197">
          <cell r="F197" t="str">
            <v>WFT110</v>
          </cell>
          <cell r="G197">
            <v>1</v>
          </cell>
        </row>
        <row r="198">
          <cell r="F198" t="str">
            <v>WFT110</v>
          </cell>
          <cell r="G198">
            <v>1</v>
          </cell>
        </row>
        <row r="199">
          <cell r="F199" t="str">
            <v>WFT110</v>
          </cell>
          <cell r="G199">
            <v>1</v>
          </cell>
        </row>
        <row r="200">
          <cell r="F200" t="str">
            <v>FLF100</v>
          </cell>
          <cell r="G200">
            <v>1</v>
          </cell>
        </row>
        <row r="201">
          <cell r="F201" t="str">
            <v>WFT110</v>
          </cell>
          <cell r="G201">
            <v>1</v>
          </cell>
        </row>
        <row r="202">
          <cell r="F202" t="str">
            <v>WFT110</v>
          </cell>
          <cell r="G202">
            <v>1</v>
          </cell>
        </row>
        <row r="203">
          <cell r="F203" t="str">
            <v>FLF100</v>
          </cell>
          <cell r="G203">
            <v>1</v>
          </cell>
        </row>
        <row r="204">
          <cell r="F204" t="str">
            <v>WFT110</v>
          </cell>
          <cell r="G204">
            <v>1</v>
          </cell>
        </row>
        <row r="205">
          <cell r="F205" t="str">
            <v>WFT110</v>
          </cell>
          <cell r="G205">
            <v>1</v>
          </cell>
        </row>
        <row r="206">
          <cell r="F206" t="str">
            <v>WFT110</v>
          </cell>
          <cell r="G206">
            <v>1</v>
          </cell>
        </row>
        <row r="207">
          <cell r="F207" t="str">
            <v>WFT110</v>
          </cell>
          <cell r="G207">
            <v>1</v>
          </cell>
        </row>
        <row r="208">
          <cell r="F208" t="str">
            <v>WFT110</v>
          </cell>
          <cell r="G208">
            <v>1</v>
          </cell>
        </row>
        <row r="209">
          <cell r="F209" t="str">
            <v>WFT110</v>
          </cell>
          <cell r="G209">
            <v>1</v>
          </cell>
        </row>
        <row r="210">
          <cell r="F210" t="str">
            <v>WFT110</v>
          </cell>
          <cell r="G210">
            <v>1</v>
          </cell>
        </row>
        <row r="211">
          <cell r="F211" t="str">
            <v>FLF100</v>
          </cell>
          <cell r="G211">
            <v>1</v>
          </cell>
        </row>
        <row r="212">
          <cell r="F212" t="str">
            <v>FLF100</v>
          </cell>
          <cell r="G212">
            <v>1</v>
          </cell>
        </row>
        <row r="213">
          <cell r="F213" t="str">
            <v>WFT110</v>
          </cell>
          <cell r="G213">
            <v>1</v>
          </cell>
        </row>
        <row r="214">
          <cell r="F214" t="str">
            <v>WFT110</v>
          </cell>
          <cell r="G214">
            <v>1</v>
          </cell>
        </row>
        <row r="215">
          <cell r="F215" t="str">
            <v>WFT110</v>
          </cell>
          <cell r="G215">
            <v>1</v>
          </cell>
        </row>
        <row r="216">
          <cell r="F216" t="str">
            <v>WFT110</v>
          </cell>
          <cell r="G216">
            <v>1</v>
          </cell>
        </row>
        <row r="217">
          <cell r="F217" t="str">
            <v>WFT110</v>
          </cell>
          <cell r="G217">
            <v>1</v>
          </cell>
        </row>
        <row r="218">
          <cell r="F218" t="str">
            <v>WFT110</v>
          </cell>
          <cell r="G218">
            <v>1</v>
          </cell>
        </row>
        <row r="219">
          <cell r="F219" t="str">
            <v>WFT110</v>
          </cell>
          <cell r="G219">
            <v>1</v>
          </cell>
        </row>
        <row r="220">
          <cell r="F220" t="str">
            <v>WFT110</v>
          </cell>
          <cell r="G220">
            <v>1</v>
          </cell>
        </row>
        <row r="221">
          <cell r="F221" t="str">
            <v>WFT110</v>
          </cell>
          <cell r="G221">
            <v>1</v>
          </cell>
        </row>
        <row r="222">
          <cell r="F222" t="str">
            <v>WFT110</v>
          </cell>
          <cell r="G222">
            <v>1</v>
          </cell>
        </row>
        <row r="223">
          <cell r="F223" t="str">
            <v>WFT110</v>
          </cell>
          <cell r="G223">
            <v>1</v>
          </cell>
        </row>
        <row r="224">
          <cell r="F224" t="str">
            <v>WFT110</v>
          </cell>
          <cell r="G224">
            <v>1</v>
          </cell>
        </row>
        <row r="225">
          <cell r="F225" t="str">
            <v>WFT110</v>
          </cell>
          <cell r="G225">
            <v>1</v>
          </cell>
        </row>
        <row r="226">
          <cell r="F226" t="str">
            <v>WFT110</v>
          </cell>
          <cell r="G226">
            <v>1</v>
          </cell>
        </row>
        <row r="227">
          <cell r="F227" t="str">
            <v>WFT110</v>
          </cell>
          <cell r="G227">
            <v>1</v>
          </cell>
        </row>
        <row r="228">
          <cell r="F228" t="str">
            <v>WFT110</v>
          </cell>
          <cell r="G228">
            <v>1</v>
          </cell>
        </row>
        <row r="229">
          <cell r="F229" t="str">
            <v>WFT110</v>
          </cell>
          <cell r="G229">
            <v>1</v>
          </cell>
        </row>
        <row r="230">
          <cell r="F230" t="str">
            <v>WFT110</v>
          </cell>
          <cell r="G230">
            <v>1</v>
          </cell>
        </row>
        <row r="231">
          <cell r="F231" t="str">
            <v>WFT110</v>
          </cell>
          <cell r="G231">
            <v>1</v>
          </cell>
        </row>
        <row r="232">
          <cell r="F232" t="str">
            <v>WFT110</v>
          </cell>
          <cell r="G232">
            <v>1</v>
          </cell>
        </row>
        <row r="233">
          <cell r="F233" t="str">
            <v>WFT110</v>
          </cell>
          <cell r="G233">
            <v>1</v>
          </cell>
        </row>
        <row r="234">
          <cell r="F234" t="str">
            <v>WFT110</v>
          </cell>
          <cell r="G234">
            <v>1</v>
          </cell>
        </row>
        <row r="235">
          <cell r="F235" t="str">
            <v>WFT110</v>
          </cell>
          <cell r="G235">
            <v>1</v>
          </cell>
        </row>
        <row r="236">
          <cell r="F236" t="str">
            <v>WFT110</v>
          </cell>
          <cell r="G236">
            <v>1</v>
          </cell>
        </row>
        <row r="237">
          <cell r="F237" t="str">
            <v>BE 110</v>
          </cell>
          <cell r="G237">
            <v>1</v>
          </cell>
        </row>
        <row r="238">
          <cell r="F238" t="str">
            <v>Majet100</v>
          </cell>
          <cell r="G238">
            <v>1</v>
          </cell>
        </row>
        <row r="239">
          <cell r="F239" t="str">
            <v>WFT110</v>
          </cell>
          <cell r="G239">
            <v>1</v>
          </cell>
        </row>
        <row r="240">
          <cell r="F240" t="str">
            <v>WFT110</v>
          </cell>
          <cell r="G240">
            <v>1</v>
          </cell>
        </row>
        <row r="241">
          <cell r="F241" t="str">
            <v>WFT110</v>
          </cell>
          <cell r="G241">
            <v>1</v>
          </cell>
        </row>
        <row r="242">
          <cell r="F242" t="str">
            <v>BE 110</v>
          </cell>
          <cell r="G242">
            <v>1</v>
          </cell>
        </row>
        <row r="243">
          <cell r="F243" t="str">
            <v>BE 110</v>
          </cell>
          <cell r="G243">
            <v>1</v>
          </cell>
        </row>
        <row r="244">
          <cell r="F244" t="str">
            <v>BE 110</v>
          </cell>
          <cell r="G244">
            <v>1</v>
          </cell>
        </row>
        <row r="245">
          <cell r="F245" t="str">
            <v>BE 110</v>
          </cell>
          <cell r="G245">
            <v>1</v>
          </cell>
        </row>
        <row r="246">
          <cell r="F246" t="str">
            <v>BE 110</v>
          </cell>
          <cell r="G246">
            <v>1</v>
          </cell>
        </row>
        <row r="247">
          <cell r="F247" t="str">
            <v>BE 110</v>
          </cell>
          <cell r="G247">
            <v>1</v>
          </cell>
        </row>
        <row r="248">
          <cell r="F248" t="str">
            <v>BE 110</v>
          </cell>
          <cell r="G248">
            <v>1</v>
          </cell>
        </row>
        <row r="249">
          <cell r="F249" t="str">
            <v>BE 110</v>
          </cell>
          <cell r="G249">
            <v>1</v>
          </cell>
        </row>
        <row r="250">
          <cell r="F250" t="str">
            <v>BE 110</v>
          </cell>
          <cell r="G250">
            <v>1</v>
          </cell>
        </row>
        <row r="251">
          <cell r="F251" t="str">
            <v>BE 110</v>
          </cell>
          <cell r="G251">
            <v>1</v>
          </cell>
        </row>
        <row r="252">
          <cell r="F252" t="str">
            <v>BE 110</v>
          </cell>
          <cell r="G252">
            <v>1</v>
          </cell>
        </row>
        <row r="253">
          <cell r="F253" t="str">
            <v>BE 110</v>
          </cell>
          <cell r="G253">
            <v>1</v>
          </cell>
        </row>
        <row r="254">
          <cell r="F254" t="str">
            <v>WFT110</v>
          </cell>
          <cell r="G254">
            <v>1</v>
          </cell>
        </row>
        <row r="255">
          <cell r="F255" t="str">
            <v>BE 110</v>
          </cell>
          <cell r="G255">
            <v>1</v>
          </cell>
        </row>
        <row r="256">
          <cell r="F256" t="str">
            <v>BE 110</v>
          </cell>
          <cell r="G256">
            <v>1</v>
          </cell>
        </row>
        <row r="257">
          <cell r="F257" t="str">
            <v>BE 110</v>
          </cell>
          <cell r="G257">
            <v>1</v>
          </cell>
        </row>
        <row r="258">
          <cell r="F258" t="str">
            <v>BE 110</v>
          </cell>
          <cell r="G258">
            <v>1</v>
          </cell>
        </row>
        <row r="259">
          <cell r="F259" t="str">
            <v>BE 110</v>
          </cell>
          <cell r="G259">
            <v>1</v>
          </cell>
        </row>
        <row r="260">
          <cell r="F260" t="str">
            <v>BE 110</v>
          </cell>
          <cell r="G260">
            <v>1</v>
          </cell>
        </row>
        <row r="261">
          <cell r="F261" t="str">
            <v>WFT110</v>
          </cell>
          <cell r="G261">
            <v>1</v>
          </cell>
        </row>
        <row r="262">
          <cell r="F262" t="str">
            <v>WFT110</v>
          </cell>
          <cell r="G262">
            <v>1</v>
          </cell>
        </row>
        <row r="263">
          <cell r="F263" t="str">
            <v>BE 110</v>
          </cell>
          <cell r="G263">
            <v>1</v>
          </cell>
        </row>
        <row r="264">
          <cell r="F264" t="str">
            <v>BE 110</v>
          </cell>
          <cell r="G264">
            <v>1</v>
          </cell>
        </row>
        <row r="265">
          <cell r="F265" t="str">
            <v>BE 110</v>
          </cell>
          <cell r="G265">
            <v>1</v>
          </cell>
        </row>
        <row r="266">
          <cell r="F266" t="str">
            <v>BE 110</v>
          </cell>
          <cell r="G266">
            <v>1</v>
          </cell>
        </row>
        <row r="267">
          <cell r="F267" t="str">
            <v>BE 110</v>
          </cell>
          <cell r="G267">
            <v>1</v>
          </cell>
        </row>
        <row r="268">
          <cell r="F268" t="str">
            <v>BE 110</v>
          </cell>
          <cell r="G268">
            <v>1</v>
          </cell>
        </row>
        <row r="269">
          <cell r="F269" t="str">
            <v>BE 110</v>
          </cell>
          <cell r="G269">
            <v>1</v>
          </cell>
        </row>
        <row r="270">
          <cell r="F270" t="str">
            <v>BE 110</v>
          </cell>
          <cell r="G270">
            <v>1</v>
          </cell>
        </row>
        <row r="271">
          <cell r="F271" t="str">
            <v>WFT110</v>
          </cell>
          <cell r="G271">
            <v>1</v>
          </cell>
        </row>
        <row r="272">
          <cell r="F272" t="str">
            <v>BE 110</v>
          </cell>
          <cell r="G272">
            <v>1</v>
          </cell>
        </row>
        <row r="273">
          <cell r="F273" t="str">
            <v xml:space="preserve">SKY </v>
          </cell>
          <cell r="G273">
            <v>1</v>
          </cell>
        </row>
        <row r="274">
          <cell r="F274" t="str">
            <v>BE 110</v>
          </cell>
          <cell r="G274">
            <v>1</v>
          </cell>
        </row>
        <row r="275">
          <cell r="F275" t="str">
            <v>WARE 110</v>
          </cell>
          <cell r="G275">
            <v>1</v>
          </cell>
        </row>
        <row r="276">
          <cell r="F276" t="str">
            <v>WARE 110</v>
          </cell>
          <cell r="G276">
            <v>1</v>
          </cell>
        </row>
        <row r="277">
          <cell r="F277" t="str">
            <v>WARE 110</v>
          </cell>
          <cell r="G277">
            <v>1</v>
          </cell>
        </row>
        <row r="278">
          <cell r="F278" t="str">
            <v>BE 110</v>
          </cell>
          <cell r="G278">
            <v>1</v>
          </cell>
        </row>
        <row r="279">
          <cell r="F279" t="str">
            <v>BE 110</v>
          </cell>
          <cell r="G279">
            <v>1</v>
          </cell>
        </row>
        <row r="280">
          <cell r="F280" t="str">
            <v>BE 110</v>
          </cell>
          <cell r="G280">
            <v>1</v>
          </cell>
        </row>
        <row r="281">
          <cell r="F281" t="str">
            <v>BE 110</v>
          </cell>
          <cell r="G281">
            <v>1</v>
          </cell>
        </row>
        <row r="282">
          <cell r="F282" t="str">
            <v>BE 110</v>
          </cell>
          <cell r="G282">
            <v>1</v>
          </cell>
        </row>
        <row r="283">
          <cell r="F283" t="str">
            <v>WFT110</v>
          </cell>
          <cell r="G283">
            <v>1</v>
          </cell>
        </row>
        <row r="284">
          <cell r="F284" t="str">
            <v>WFT110</v>
          </cell>
          <cell r="G284">
            <v>1</v>
          </cell>
        </row>
        <row r="285">
          <cell r="F285" t="str">
            <v>FLF100</v>
          </cell>
          <cell r="G285">
            <v>1</v>
          </cell>
        </row>
        <row r="286">
          <cell r="F286" t="str">
            <v>BE 110</v>
          </cell>
          <cell r="G286">
            <v>1</v>
          </cell>
        </row>
        <row r="287">
          <cell r="F287" t="str">
            <v>BE 110</v>
          </cell>
          <cell r="G287">
            <v>1</v>
          </cell>
        </row>
        <row r="288">
          <cell r="F288" t="str">
            <v>BE 110</v>
          </cell>
          <cell r="G288">
            <v>1</v>
          </cell>
        </row>
        <row r="289">
          <cell r="F289" t="str">
            <v>BE 110</v>
          </cell>
          <cell r="G289">
            <v>1</v>
          </cell>
        </row>
        <row r="290">
          <cell r="F290" t="str">
            <v>BE 110</v>
          </cell>
          <cell r="G290">
            <v>1</v>
          </cell>
        </row>
        <row r="291">
          <cell r="F291" t="str">
            <v>BE 110</v>
          </cell>
          <cell r="G291">
            <v>1</v>
          </cell>
        </row>
        <row r="292">
          <cell r="F292" t="str">
            <v>BE 110</v>
          </cell>
          <cell r="G292">
            <v>1</v>
          </cell>
        </row>
        <row r="293">
          <cell r="F293" t="str">
            <v>WARE 110</v>
          </cell>
          <cell r="G293">
            <v>1</v>
          </cell>
        </row>
        <row r="294">
          <cell r="F294" t="str">
            <v>WARE 110</v>
          </cell>
          <cell r="G294">
            <v>1</v>
          </cell>
        </row>
        <row r="295">
          <cell r="F295" t="str">
            <v>BE 110</v>
          </cell>
          <cell r="G295">
            <v>1</v>
          </cell>
        </row>
        <row r="296">
          <cell r="F296" t="str">
            <v>BE 110</v>
          </cell>
          <cell r="G296">
            <v>1</v>
          </cell>
        </row>
        <row r="297">
          <cell r="F297" t="str">
            <v>BE 110</v>
          </cell>
          <cell r="G297">
            <v>1</v>
          </cell>
        </row>
        <row r="298">
          <cell r="F298" t="str">
            <v>WARE 110</v>
          </cell>
          <cell r="G298">
            <v>1</v>
          </cell>
        </row>
        <row r="299">
          <cell r="F299" t="str">
            <v>WARE 110</v>
          </cell>
          <cell r="G299">
            <v>1</v>
          </cell>
        </row>
        <row r="300">
          <cell r="F300" t="str">
            <v>WARE 110</v>
          </cell>
          <cell r="G300">
            <v>1</v>
          </cell>
        </row>
        <row r="301">
          <cell r="F301" t="str">
            <v>WARE 110</v>
          </cell>
          <cell r="G301">
            <v>1</v>
          </cell>
        </row>
        <row r="302">
          <cell r="F302" t="str">
            <v>WARE 110</v>
          </cell>
          <cell r="G302">
            <v>1</v>
          </cell>
        </row>
        <row r="303">
          <cell r="F303" t="str">
            <v>BE 110</v>
          </cell>
          <cell r="G303">
            <v>1</v>
          </cell>
        </row>
        <row r="304">
          <cell r="F304" t="str">
            <v>BE 110</v>
          </cell>
          <cell r="G304">
            <v>1</v>
          </cell>
        </row>
        <row r="305">
          <cell r="F305" t="str">
            <v>BE 110</v>
          </cell>
          <cell r="G305">
            <v>1</v>
          </cell>
        </row>
        <row r="306">
          <cell r="F306" t="str">
            <v>WARE 110</v>
          </cell>
          <cell r="G306">
            <v>1</v>
          </cell>
        </row>
        <row r="307">
          <cell r="F307" t="str">
            <v>BE 110</v>
          </cell>
          <cell r="G307">
            <v>1</v>
          </cell>
        </row>
        <row r="308">
          <cell r="F308" t="str">
            <v xml:space="preserve">SKY </v>
          </cell>
          <cell r="G308">
            <v>1</v>
          </cell>
        </row>
        <row r="309">
          <cell r="F309" t="str">
            <v>BE 110</v>
          </cell>
          <cell r="G309">
            <v>1</v>
          </cell>
        </row>
        <row r="310">
          <cell r="F310" t="str">
            <v>BE 110</v>
          </cell>
          <cell r="G310">
            <v>1</v>
          </cell>
        </row>
        <row r="311">
          <cell r="F311" t="str">
            <v>BE 110</v>
          </cell>
          <cell r="G311">
            <v>1</v>
          </cell>
        </row>
        <row r="312">
          <cell r="F312" t="str">
            <v>BE 110</v>
          </cell>
          <cell r="G312">
            <v>1</v>
          </cell>
        </row>
        <row r="313">
          <cell r="F313" t="str">
            <v>BE 110</v>
          </cell>
          <cell r="G313">
            <v>1</v>
          </cell>
        </row>
        <row r="314">
          <cell r="F314" t="str">
            <v>BE 110</v>
          </cell>
          <cell r="G314">
            <v>1</v>
          </cell>
        </row>
        <row r="315">
          <cell r="F315" t="str">
            <v>WARE 110</v>
          </cell>
          <cell r="G315">
            <v>1</v>
          </cell>
        </row>
        <row r="316">
          <cell r="F316" t="str">
            <v>BE 110</v>
          </cell>
          <cell r="G316">
            <v>1</v>
          </cell>
        </row>
        <row r="317">
          <cell r="F317" t="str">
            <v>BE 110</v>
          </cell>
          <cell r="G317">
            <v>1</v>
          </cell>
        </row>
        <row r="318">
          <cell r="F318" t="str">
            <v>BE 110</v>
          </cell>
          <cell r="G318">
            <v>1</v>
          </cell>
        </row>
        <row r="319">
          <cell r="F319" t="str">
            <v>BE 110</v>
          </cell>
          <cell r="G319">
            <v>1</v>
          </cell>
        </row>
        <row r="320">
          <cell r="F320" t="str">
            <v>BE 110</v>
          </cell>
          <cell r="G320">
            <v>1</v>
          </cell>
        </row>
        <row r="321">
          <cell r="F321" t="str">
            <v>BE 110</v>
          </cell>
          <cell r="G321">
            <v>1</v>
          </cell>
        </row>
        <row r="322">
          <cell r="F322" t="str">
            <v>WARE 110</v>
          </cell>
          <cell r="G322">
            <v>1</v>
          </cell>
        </row>
        <row r="323">
          <cell r="F323" t="str">
            <v>BE 110</v>
          </cell>
          <cell r="G323">
            <v>1</v>
          </cell>
        </row>
        <row r="324">
          <cell r="F324" t="str">
            <v>BE 110</v>
          </cell>
          <cell r="G324">
            <v>1</v>
          </cell>
        </row>
        <row r="325">
          <cell r="F325" t="str">
            <v>BE 110</v>
          </cell>
          <cell r="G325">
            <v>1</v>
          </cell>
        </row>
        <row r="326">
          <cell r="F326" t="str">
            <v>BE 110</v>
          </cell>
          <cell r="G326">
            <v>1</v>
          </cell>
        </row>
        <row r="327">
          <cell r="F327" t="str">
            <v>BE 110</v>
          </cell>
          <cell r="G327">
            <v>1</v>
          </cell>
        </row>
        <row r="328">
          <cell r="F328" t="str">
            <v>BE 110</v>
          </cell>
          <cell r="G328">
            <v>1</v>
          </cell>
        </row>
        <row r="329">
          <cell r="F329" t="str">
            <v>QUICK 100</v>
          </cell>
          <cell r="G329">
            <v>1</v>
          </cell>
        </row>
        <row r="330">
          <cell r="F330" t="str">
            <v>QUICK 100</v>
          </cell>
          <cell r="G330">
            <v>1</v>
          </cell>
        </row>
        <row r="331">
          <cell r="F331" t="str">
            <v>QUICK 100</v>
          </cell>
          <cell r="G331">
            <v>1</v>
          </cell>
        </row>
        <row r="332">
          <cell r="F332" t="str">
            <v>QUICK 100</v>
          </cell>
          <cell r="G332">
            <v>1</v>
          </cell>
        </row>
        <row r="333">
          <cell r="F333" t="str">
            <v>QUICK 100</v>
          </cell>
          <cell r="G333">
            <v>1</v>
          </cell>
        </row>
        <row r="334">
          <cell r="F334" t="str">
            <v>QUICK 100</v>
          </cell>
          <cell r="G334">
            <v>1</v>
          </cell>
        </row>
        <row r="335">
          <cell r="F335" t="str">
            <v>QUICK 100</v>
          </cell>
          <cell r="G335">
            <v>1</v>
          </cell>
        </row>
        <row r="336">
          <cell r="F336" t="str">
            <v>WARE 110</v>
          </cell>
          <cell r="G336">
            <v>1</v>
          </cell>
        </row>
        <row r="337">
          <cell r="F337" t="str">
            <v>QUICK 100</v>
          </cell>
          <cell r="G337">
            <v>1</v>
          </cell>
        </row>
        <row r="338">
          <cell r="F338" t="str">
            <v>BE 110</v>
          </cell>
          <cell r="G338">
            <v>1</v>
          </cell>
        </row>
        <row r="339">
          <cell r="F339" t="str">
            <v>WARE 110</v>
          </cell>
          <cell r="G339">
            <v>1</v>
          </cell>
        </row>
        <row r="340">
          <cell r="F340" t="str">
            <v>QUICK 100</v>
          </cell>
          <cell r="G340">
            <v>1</v>
          </cell>
        </row>
        <row r="341">
          <cell r="F341" t="str">
            <v>WFT110</v>
          </cell>
          <cell r="G341">
            <v>1</v>
          </cell>
        </row>
        <row r="342">
          <cell r="F342" t="str">
            <v>BE 110</v>
          </cell>
          <cell r="G342">
            <v>1</v>
          </cell>
        </row>
        <row r="343">
          <cell r="F343" t="str">
            <v>BE 110</v>
          </cell>
          <cell r="G343">
            <v>1</v>
          </cell>
        </row>
        <row r="344">
          <cell r="F344" t="str">
            <v>BE 110</v>
          </cell>
          <cell r="G344">
            <v>1</v>
          </cell>
        </row>
        <row r="345">
          <cell r="F345" t="str">
            <v>BE 110</v>
          </cell>
          <cell r="G345">
            <v>1</v>
          </cell>
        </row>
        <row r="346">
          <cell r="F346" t="str">
            <v>BE 110</v>
          </cell>
          <cell r="G346">
            <v>1</v>
          </cell>
        </row>
        <row r="347">
          <cell r="F347" t="str">
            <v>BE 110</v>
          </cell>
          <cell r="G347">
            <v>1</v>
          </cell>
        </row>
        <row r="348">
          <cell r="F348" t="str">
            <v>BE 110</v>
          </cell>
          <cell r="G348">
            <v>1</v>
          </cell>
        </row>
        <row r="349">
          <cell r="F349" t="str">
            <v>BE 110</v>
          </cell>
          <cell r="G349">
            <v>1</v>
          </cell>
        </row>
        <row r="350">
          <cell r="F350" t="str">
            <v>BE 110</v>
          </cell>
          <cell r="G350">
            <v>1</v>
          </cell>
        </row>
        <row r="351">
          <cell r="F351" t="str">
            <v>BE 110</v>
          </cell>
          <cell r="G351">
            <v>1</v>
          </cell>
        </row>
        <row r="352">
          <cell r="F352" t="str">
            <v>BE 110</v>
          </cell>
          <cell r="G352">
            <v>1</v>
          </cell>
        </row>
        <row r="353">
          <cell r="F353" t="str">
            <v>BE 110</v>
          </cell>
          <cell r="G353">
            <v>1</v>
          </cell>
        </row>
        <row r="354">
          <cell r="F354" t="str">
            <v>BE 110</v>
          </cell>
          <cell r="G354">
            <v>1</v>
          </cell>
        </row>
        <row r="355">
          <cell r="F355" t="str">
            <v>BE 110</v>
          </cell>
          <cell r="G355">
            <v>1</v>
          </cell>
        </row>
        <row r="356">
          <cell r="F356" t="str">
            <v>BE 110</v>
          </cell>
          <cell r="G356">
            <v>1</v>
          </cell>
        </row>
        <row r="357">
          <cell r="F357" t="str">
            <v>BE 110</v>
          </cell>
          <cell r="G357">
            <v>1</v>
          </cell>
        </row>
        <row r="358">
          <cell r="F358" t="str">
            <v>BE 110</v>
          </cell>
          <cell r="G358">
            <v>1</v>
          </cell>
        </row>
        <row r="359">
          <cell r="F359" t="str">
            <v>BE 110</v>
          </cell>
          <cell r="G359">
            <v>1</v>
          </cell>
        </row>
        <row r="360">
          <cell r="F360" t="str">
            <v>BE 110</v>
          </cell>
          <cell r="G360">
            <v>1</v>
          </cell>
        </row>
        <row r="361">
          <cell r="F361" t="str">
            <v>WFT110</v>
          </cell>
          <cell r="G361">
            <v>1</v>
          </cell>
        </row>
        <row r="362">
          <cell r="F362" t="str">
            <v>WFT110</v>
          </cell>
          <cell r="G362">
            <v>1</v>
          </cell>
        </row>
        <row r="363">
          <cell r="F363" t="str">
            <v>BE 110</v>
          </cell>
          <cell r="G363">
            <v>1</v>
          </cell>
        </row>
        <row r="364">
          <cell r="F364" t="str">
            <v>BE 110</v>
          </cell>
          <cell r="G364">
            <v>1</v>
          </cell>
        </row>
        <row r="365">
          <cell r="F365" t="str">
            <v>QUICK 100</v>
          </cell>
          <cell r="G365">
            <v>1</v>
          </cell>
        </row>
        <row r="366">
          <cell r="F366" t="str">
            <v>QUICK 100</v>
          </cell>
          <cell r="G366">
            <v>1</v>
          </cell>
        </row>
        <row r="367">
          <cell r="F367" t="str">
            <v>QUICK 100</v>
          </cell>
          <cell r="G367">
            <v>1</v>
          </cell>
        </row>
        <row r="368">
          <cell r="F368" t="str">
            <v>QUICK 100</v>
          </cell>
          <cell r="G368">
            <v>1</v>
          </cell>
        </row>
        <row r="369">
          <cell r="F369" t="str">
            <v>QUICK 100</v>
          </cell>
          <cell r="G369">
            <v>1</v>
          </cell>
        </row>
        <row r="370">
          <cell r="F370" t="str">
            <v>QUICK 100</v>
          </cell>
          <cell r="G370">
            <v>1</v>
          </cell>
        </row>
        <row r="371">
          <cell r="F371" t="str">
            <v>QUICK 100</v>
          </cell>
          <cell r="G371">
            <v>1</v>
          </cell>
        </row>
        <row r="372">
          <cell r="F372" t="str">
            <v>QUICK 100</v>
          </cell>
          <cell r="G372">
            <v>1</v>
          </cell>
        </row>
        <row r="373">
          <cell r="F373" t="str">
            <v>WFT110</v>
          </cell>
          <cell r="G373">
            <v>1</v>
          </cell>
        </row>
        <row r="374">
          <cell r="F374" t="str">
            <v>WFT110</v>
          </cell>
          <cell r="G374">
            <v>1</v>
          </cell>
        </row>
        <row r="375">
          <cell r="F375" t="str">
            <v>BE 110</v>
          </cell>
          <cell r="G375">
            <v>1</v>
          </cell>
        </row>
        <row r="376">
          <cell r="F376" t="str">
            <v>BE 110</v>
          </cell>
          <cell r="G376">
            <v>1</v>
          </cell>
        </row>
        <row r="377">
          <cell r="F377" t="str">
            <v>QUICK 100</v>
          </cell>
          <cell r="G377">
            <v>1</v>
          </cell>
        </row>
        <row r="378">
          <cell r="F378" t="str">
            <v>BE 110</v>
          </cell>
          <cell r="G378">
            <v>1</v>
          </cell>
        </row>
        <row r="379">
          <cell r="F379" t="str">
            <v>BE 110</v>
          </cell>
          <cell r="G379">
            <v>1</v>
          </cell>
        </row>
        <row r="380">
          <cell r="F380" t="str">
            <v>BE 110</v>
          </cell>
          <cell r="G380">
            <v>1</v>
          </cell>
        </row>
        <row r="381">
          <cell r="F381" t="str">
            <v>BE 110</v>
          </cell>
          <cell r="G381">
            <v>1</v>
          </cell>
        </row>
        <row r="382">
          <cell r="F382" t="str">
            <v>WFT110</v>
          </cell>
          <cell r="G382">
            <v>1</v>
          </cell>
        </row>
        <row r="383">
          <cell r="F383" t="str">
            <v>QUICK 100</v>
          </cell>
          <cell r="G383">
            <v>1</v>
          </cell>
        </row>
        <row r="384">
          <cell r="F384" t="str">
            <v>WFT110</v>
          </cell>
          <cell r="G384">
            <v>1</v>
          </cell>
        </row>
        <row r="385">
          <cell r="F385" t="str">
            <v>QUICK 100</v>
          </cell>
          <cell r="G385">
            <v>1</v>
          </cell>
        </row>
        <row r="386">
          <cell r="F386" t="str">
            <v>QUICK 100</v>
          </cell>
          <cell r="G386">
            <v>1</v>
          </cell>
        </row>
        <row r="387">
          <cell r="F387" t="str">
            <v>BE 110</v>
          </cell>
          <cell r="G387">
            <v>1</v>
          </cell>
        </row>
        <row r="388">
          <cell r="F388" t="str">
            <v>QUICK 100</v>
          </cell>
          <cell r="G388">
            <v>1</v>
          </cell>
        </row>
        <row r="389">
          <cell r="F389" t="str">
            <v>BE 110</v>
          </cell>
          <cell r="G389">
            <v>1</v>
          </cell>
        </row>
        <row r="390">
          <cell r="F390" t="str">
            <v>WARE 110</v>
          </cell>
          <cell r="G390">
            <v>1</v>
          </cell>
        </row>
        <row r="391">
          <cell r="F391" t="str">
            <v>WARE 110</v>
          </cell>
          <cell r="G391">
            <v>1</v>
          </cell>
        </row>
        <row r="392">
          <cell r="F392" t="str">
            <v>WFT110</v>
          </cell>
          <cell r="G392">
            <v>1</v>
          </cell>
        </row>
        <row r="393">
          <cell r="F393" t="str">
            <v>BE 110</v>
          </cell>
          <cell r="G393">
            <v>1</v>
          </cell>
        </row>
        <row r="394">
          <cell r="F394" t="str">
            <v>WARE 110</v>
          </cell>
          <cell r="G394">
            <v>1</v>
          </cell>
        </row>
        <row r="395">
          <cell r="F395" t="str">
            <v>BE 110</v>
          </cell>
          <cell r="G395">
            <v>1</v>
          </cell>
        </row>
        <row r="396">
          <cell r="F396" t="str">
            <v>BE 110</v>
          </cell>
          <cell r="G396">
            <v>1</v>
          </cell>
        </row>
        <row r="397">
          <cell r="F397" t="str">
            <v>BE 110</v>
          </cell>
          <cell r="G397">
            <v>1</v>
          </cell>
        </row>
        <row r="398">
          <cell r="F398" t="str">
            <v>BE 110</v>
          </cell>
          <cell r="G398">
            <v>1</v>
          </cell>
        </row>
        <row r="399">
          <cell r="F399" t="str">
            <v>BE 110</v>
          </cell>
          <cell r="G399">
            <v>1</v>
          </cell>
        </row>
        <row r="400">
          <cell r="F400" t="str">
            <v>BE 110</v>
          </cell>
          <cell r="G400">
            <v>1</v>
          </cell>
        </row>
        <row r="401">
          <cell r="F401" t="str">
            <v>BE 110</v>
          </cell>
          <cell r="G401">
            <v>1</v>
          </cell>
        </row>
        <row r="402">
          <cell r="F402" t="str">
            <v>WFT110</v>
          </cell>
          <cell r="G402">
            <v>1</v>
          </cell>
        </row>
        <row r="403">
          <cell r="F403" t="str">
            <v>WFT110</v>
          </cell>
          <cell r="G403">
            <v>1</v>
          </cell>
        </row>
        <row r="404">
          <cell r="F404" t="str">
            <v>BE 110</v>
          </cell>
          <cell r="G404">
            <v>1</v>
          </cell>
        </row>
        <row r="405">
          <cell r="F405" t="str">
            <v>BE 110</v>
          </cell>
          <cell r="G405">
            <v>1</v>
          </cell>
        </row>
        <row r="406">
          <cell r="F406" t="str">
            <v>BE 110</v>
          </cell>
          <cell r="G406">
            <v>1</v>
          </cell>
        </row>
        <row r="407">
          <cell r="F407" t="str">
            <v>BE 110</v>
          </cell>
          <cell r="G407">
            <v>1</v>
          </cell>
        </row>
        <row r="408">
          <cell r="F408" t="str">
            <v>WFT110</v>
          </cell>
          <cell r="G408">
            <v>1</v>
          </cell>
        </row>
        <row r="409">
          <cell r="F409" t="str">
            <v>FLF100</v>
          </cell>
          <cell r="G409">
            <v>1</v>
          </cell>
        </row>
        <row r="410">
          <cell r="F410" t="str">
            <v>BE 110</v>
          </cell>
          <cell r="G410">
            <v>1</v>
          </cell>
        </row>
        <row r="411">
          <cell r="F411" t="str">
            <v>BE 110</v>
          </cell>
          <cell r="G411">
            <v>1</v>
          </cell>
        </row>
        <row r="412">
          <cell r="F412" t="str">
            <v>FLF100</v>
          </cell>
          <cell r="G412">
            <v>1</v>
          </cell>
        </row>
        <row r="413">
          <cell r="F413" t="str">
            <v>BE 110</v>
          </cell>
          <cell r="G413">
            <v>1</v>
          </cell>
        </row>
        <row r="414">
          <cell r="F414" t="str">
            <v>BE 110</v>
          </cell>
          <cell r="G414">
            <v>1</v>
          </cell>
        </row>
        <row r="415">
          <cell r="F415" t="str">
            <v>BE 110</v>
          </cell>
          <cell r="G415">
            <v>1</v>
          </cell>
        </row>
        <row r="416">
          <cell r="F416" t="str">
            <v>BE 110</v>
          </cell>
          <cell r="G416">
            <v>1</v>
          </cell>
        </row>
        <row r="417">
          <cell r="F417" t="str">
            <v>BE 110</v>
          </cell>
          <cell r="G417">
            <v>1</v>
          </cell>
        </row>
        <row r="418">
          <cell r="F418" t="str">
            <v>BE 110</v>
          </cell>
          <cell r="G418">
            <v>1</v>
          </cell>
        </row>
        <row r="419">
          <cell r="F419" t="str">
            <v>WFT110</v>
          </cell>
          <cell r="G419">
            <v>1</v>
          </cell>
        </row>
        <row r="420">
          <cell r="F420" t="str">
            <v>WFT110</v>
          </cell>
          <cell r="G420">
            <v>1</v>
          </cell>
        </row>
        <row r="421">
          <cell r="F421" t="str">
            <v>BE 110</v>
          </cell>
          <cell r="G421">
            <v>1</v>
          </cell>
        </row>
        <row r="422">
          <cell r="F422" t="str">
            <v>BE 110</v>
          </cell>
          <cell r="G422">
            <v>1</v>
          </cell>
        </row>
        <row r="423">
          <cell r="F423" t="str">
            <v>WFT110</v>
          </cell>
          <cell r="G423">
            <v>1</v>
          </cell>
        </row>
        <row r="424">
          <cell r="F424" t="str">
            <v>BE 110</v>
          </cell>
          <cell r="G424">
            <v>1</v>
          </cell>
        </row>
        <row r="425">
          <cell r="F425" t="str">
            <v>BE 110</v>
          </cell>
          <cell r="G425">
            <v>1</v>
          </cell>
        </row>
        <row r="426">
          <cell r="F426" t="str">
            <v>FTE</v>
          </cell>
          <cell r="G426">
            <v>1</v>
          </cell>
        </row>
        <row r="427">
          <cell r="F427" t="str">
            <v>BE 110</v>
          </cell>
          <cell r="G427">
            <v>1</v>
          </cell>
        </row>
        <row r="428">
          <cell r="F428" t="str">
            <v>BE 110</v>
          </cell>
          <cell r="G428">
            <v>1</v>
          </cell>
        </row>
        <row r="429">
          <cell r="F429" t="str">
            <v>BE 110</v>
          </cell>
          <cell r="G429">
            <v>1</v>
          </cell>
        </row>
        <row r="430">
          <cell r="F430" t="str">
            <v>BE 110</v>
          </cell>
          <cell r="G430">
            <v>1</v>
          </cell>
        </row>
        <row r="431">
          <cell r="F431" t="str">
            <v>BE 110</v>
          </cell>
          <cell r="G431">
            <v>1</v>
          </cell>
        </row>
        <row r="432">
          <cell r="F432" t="str">
            <v>BE 110</v>
          </cell>
          <cell r="G432">
            <v>1</v>
          </cell>
        </row>
        <row r="433">
          <cell r="F433" t="str">
            <v>BE 110</v>
          </cell>
          <cell r="G433">
            <v>1</v>
          </cell>
        </row>
        <row r="434">
          <cell r="F434" t="str">
            <v>BE 110</v>
          </cell>
          <cell r="G434">
            <v>1</v>
          </cell>
        </row>
        <row r="435">
          <cell r="F435" t="str">
            <v>BE 110</v>
          </cell>
          <cell r="G435">
            <v>1</v>
          </cell>
        </row>
        <row r="436">
          <cell r="F436" t="str">
            <v>BE 110</v>
          </cell>
          <cell r="G436">
            <v>1</v>
          </cell>
        </row>
        <row r="437">
          <cell r="F437" t="str">
            <v>BE 110</v>
          </cell>
          <cell r="G437">
            <v>1</v>
          </cell>
        </row>
        <row r="438">
          <cell r="F438" t="str">
            <v>BE 110</v>
          </cell>
          <cell r="G438">
            <v>1</v>
          </cell>
        </row>
        <row r="439">
          <cell r="F439" t="str">
            <v>BE 110</v>
          </cell>
          <cell r="G439">
            <v>1</v>
          </cell>
        </row>
        <row r="440">
          <cell r="F440" t="str">
            <v>BE 110</v>
          </cell>
          <cell r="G440">
            <v>1</v>
          </cell>
        </row>
        <row r="441">
          <cell r="F441" t="str">
            <v>BE 110</v>
          </cell>
          <cell r="G441">
            <v>1</v>
          </cell>
        </row>
        <row r="442">
          <cell r="F442" t="str">
            <v>WFT110</v>
          </cell>
          <cell r="G442">
            <v>1</v>
          </cell>
        </row>
        <row r="443">
          <cell r="F443" t="str">
            <v>BE 110</v>
          </cell>
          <cell r="G443">
            <v>1</v>
          </cell>
        </row>
        <row r="444">
          <cell r="F444" t="str">
            <v>BE 110</v>
          </cell>
          <cell r="G444">
            <v>1</v>
          </cell>
        </row>
        <row r="445">
          <cell r="F445" t="str">
            <v>BE 110</v>
          </cell>
          <cell r="G445">
            <v>1</v>
          </cell>
        </row>
        <row r="446">
          <cell r="F446" t="str">
            <v>BE 110</v>
          </cell>
          <cell r="G446">
            <v>1</v>
          </cell>
        </row>
        <row r="447">
          <cell r="F447" t="str">
            <v>BE 110</v>
          </cell>
          <cell r="G447">
            <v>1</v>
          </cell>
        </row>
        <row r="448">
          <cell r="F448" t="str">
            <v>BE 110</v>
          </cell>
          <cell r="G448">
            <v>1</v>
          </cell>
        </row>
        <row r="449">
          <cell r="F449" t="str">
            <v>BE 110</v>
          </cell>
          <cell r="G449">
            <v>1</v>
          </cell>
        </row>
        <row r="450">
          <cell r="F450" t="str">
            <v>BE 110</v>
          </cell>
          <cell r="G450">
            <v>1</v>
          </cell>
        </row>
        <row r="451">
          <cell r="F451" t="str">
            <v>BE 110</v>
          </cell>
          <cell r="G451">
            <v>1</v>
          </cell>
        </row>
        <row r="452">
          <cell r="F452" t="str">
            <v>BE 110</v>
          </cell>
          <cell r="G452">
            <v>1</v>
          </cell>
        </row>
        <row r="453">
          <cell r="F453" t="str">
            <v>BE 110</v>
          </cell>
          <cell r="G453">
            <v>1</v>
          </cell>
        </row>
        <row r="454">
          <cell r="F454" t="str">
            <v>QUICK 100</v>
          </cell>
          <cell r="G454">
            <v>1</v>
          </cell>
        </row>
        <row r="455">
          <cell r="F455" t="str">
            <v>QUICK 100</v>
          </cell>
          <cell r="G455">
            <v>1</v>
          </cell>
        </row>
        <row r="456">
          <cell r="F456" t="str">
            <v>QUICK 100</v>
          </cell>
          <cell r="G456">
            <v>1</v>
          </cell>
        </row>
        <row r="457">
          <cell r="F457" t="str">
            <v>QUICK 100</v>
          </cell>
          <cell r="G457">
            <v>1</v>
          </cell>
        </row>
        <row r="458">
          <cell r="F458" t="str">
            <v>QUICK 100</v>
          </cell>
          <cell r="G458">
            <v>1</v>
          </cell>
        </row>
        <row r="459">
          <cell r="F459" t="str">
            <v>BE 110</v>
          </cell>
          <cell r="G459">
            <v>1</v>
          </cell>
        </row>
        <row r="460">
          <cell r="F460" t="str">
            <v>BE 110</v>
          </cell>
          <cell r="G460">
            <v>1</v>
          </cell>
        </row>
        <row r="461">
          <cell r="F461" t="str">
            <v>FLF100</v>
          </cell>
          <cell r="G461">
            <v>1</v>
          </cell>
        </row>
        <row r="462">
          <cell r="F462" t="str">
            <v>BE 110</v>
          </cell>
          <cell r="G462">
            <v>1</v>
          </cell>
        </row>
        <row r="463">
          <cell r="F463" t="str">
            <v>BE 110</v>
          </cell>
          <cell r="G463">
            <v>1</v>
          </cell>
        </row>
        <row r="465">
          <cell r="F465" t="str">
            <v>Inox</v>
          </cell>
          <cell r="G465">
            <v>63.37</v>
          </cell>
        </row>
        <row r="467">
          <cell r="F467" t="str">
            <v>WFT110</v>
          </cell>
          <cell r="G467">
            <v>2</v>
          </cell>
        </row>
        <row r="469">
          <cell r="F469" t="str">
            <v>WFT110</v>
          </cell>
          <cell r="G469">
            <v>5</v>
          </cell>
        </row>
        <row r="470">
          <cell r="F470" t="str">
            <v>QUICK 100</v>
          </cell>
          <cell r="G470">
            <v>16</v>
          </cell>
        </row>
        <row r="472">
          <cell r="F472" t="str">
            <v>KS</v>
          </cell>
        </row>
        <row r="473">
          <cell r="F473" t="str">
            <v>KS</v>
          </cell>
        </row>
        <row r="474">
          <cell r="F474" t="str">
            <v>KS</v>
          </cell>
        </row>
        <row r="475">
          <cell r="F475" t="str">
            <v>KS</v>
          </cell>
          <cell r="G475">
            <v>1</v>
          </cell>
        </row>
        <row r="476">
          <cell r="F476" t="str">
            <v>KS</v>
          </cell>
          <cell r="G476">
            <v>1</v>
          </cell>
        </row>
        <row r="477">
          <cell r="F477" t="str">
            <v>KS</v>
          </cell>
          <cell r="G477">
            <v>2</v>
          </cell>
        </row>
        <row r="478">
          <cell r="F478" t="str">
            <v>KS</v>
          </cell>
          <cell r="G478">
            <v>1</v>
          </cell>
        </row>
        <row r="479">
          <cell r="F479" t="str">
            <v>KS</v>
          </cell>
          <cell r="G479">
            <v>2</v>
          </cell>
        </row>
        <row r="480">
          <cell r="F480" t="str">
            <v>KS</v>
          </cell>
          <cell r="G480">
            <v>1</v>
          </cell>
        </row>
        <row r="481">
          <cell r="F481" t="str">
            <v>KS</v>
          </cell>
          <cell r="G481">
            <v>1</v>
          </cell>
        </row>
        <row r="482">
          <cell r="F482" t="str">
            <v>KS</v>
          </cell>
          <cell r="G482">
            <v>1</v>
          </cell>
        </row>
        <row r="483">
          <cell r="F483" t="str">
            <v>KS</v>
          </cell>
          <cell r="G483">
            <v>1</v>
          </cell>
        </row>
        <row r="484">
          <cell r="F484" t="str">
            <v>KS</v>
          </cell>
          <cell r="G484">
            <v>3</v>
          </cell>
        </row>
        <row r="485">
          <cell r="F485" t="str">
            <v>KS</v>
          </cell>
          <cell r="G485">
            <v>2</v>
          </cell>
        </row>
        <row r="486">
          <cell r="F486" t="str">
            <v>KS</v>
          </cell>
          <cell r="G486">
            <v>1</v>
          </cell>
        </row>
        <row r="487">
          <cell r="F487" t="str">
            <v>KS</v>
          </cell>
          <cell r="G487">
            <v>1</v>
          </cell>
        </row>
        <row r="488">
          <cell r="F488" t="str">
            <v>KS</v>
          </cell>
          <cell r="G488">
            <v>1</v>
          </cell>
        </row>
        <row r="489">
          <cell r="F489" t="str">
            <v>KS</v>
          </cell>
          <cell r="G489">
            <v>1</v>
          </cell>
        </row>
        <row r="490">
          <cell r="F490" t="str">
            <v>KS</v>
          </cell>
          <cell r="G490">
            <v>1</v>
          </cell>
        </row>
        <row r="491">
          <cell r="F491" t="str">
            <v>KS</v>
          </cell>
          <cell r="G491">
            <v>1</v>
          </cell>
        </row>
        <row r="492">
          <cell r="F492" t="str">
            <v>KS</v>
          </cell>
          <cell r="G492">
            <v>1</v>
          </cell>
        </row>
        <row r="493">
          <cell r="F493" t="str">
            <v>KS</v>
          </cell>
          <cell r="G493">
            <v>2</v>
          </cell>
        </row>
        <row r="494">
          <cell r="F494" t="str">
            <v>KS</v>
          </cell>
          <cell r="G494">
            <v>1</v>
          </cell>
        </row>
        <row r="495">
          <cell r="F495" t="str">
            <v>KS</v>
          </cell>
          <cell r="G495">
            <v>1</v>
          </cell>
        </row>
        <row r="496">
          <cell r="F496" t="str">
            <v>KS</v>
          </cell>
          <cell r="G496">
            <v>2</v>
          </cell>
        </row>
        <row r="497">
          <cell r="F497" t="str">
            <v>KS</v>
          </cell>
          <cell r="G497">
            <v>1</v>
          </cell>
        </row>
        <row r="498">
          <cell r="F498" t="str">
            <v>KS</v>
          </cell>
          <cell r="G498">
            <v>1</v>
          </cell>
        </row>
        <row r="499">
          <cell r="F499" t="str">
            <v>KS</v>
          </cell>
          <cell r="G499">
            <v>0</v>
          </cell>
        </row>
        <row r="500">
          <cell r="F500" t="str">
            <v>KS</v>
          </cell>
          <cell r="G500">
            <v>1</v>
          </cell>
        </row>
        <row r="501">
          <cell r="F501" t="str">
            <v>KS</v>
          </cell>
          <cell r="G501">
            <v>1</v>
          </cell>
        </row>
        <row r="502">
          <cell r="F502" t="str">
            <v>KS</v>
          </cell>
          <cell r="G502">
            <v>1</v>
          </cell>
        </row>
        <row r="503">
          <cell r="F503" t="str">
            <v>KS</v>
          </cell>
          <cell r="G503">
            <v>1</v>
          </cell>
        </row>
        <row r="504">
          <cell r="F504" t="str">
            <v>KS</v>
          </cell>
          <cell r="G504">
            <v>1</v>
          </cell>
        </row>
        <row r="505">
          <cell r="F505" t="str">
            <v>KS</v>
          </cell>
          <cell r="G505">
            <v>1</v>
          </cell>
        </row>
        <row r="506">
          <cell r="F506" t="str">
            <v>KS</v>
          </cell>
          <cell r="G506">
            <v>3</v>
          </cell>
        </row>
        <row r="507">
          <cell r="F507" t="str">
            <v>KS</v>
          </cell>
          <cell r="G507">
            <v>1</v>
          </cell>
        </row>
        <row r="508">
          <cell r="F508" t="str">
            <v>KS</v>
          </cell>
          <cell r="G508">
            <v>1</v>
          </cell>
        </row>
        <row r="509">
          <cell r="F509" t="str">
            <v>KS</v>
          </cell>
          <cell r="G509">
            <v>1</v>
          </cell>
        </row>
        <row r="510">
          <cell r="F510" t="str">
            <v>KS</v>
          </cell>
          <cell r="G510">
            <v>11</v>
          </cell>
        </row>
        <row r="511">
          <cell r="F511" t="str">
            <v>KS</v>
          </cell>
          <cell r="G511">
            <v>1</v>
          </cell>
        </row>
        <row r="512">
          <cell r="F512" t="str">
            <v>KS</v>
          </cell>
          <cell r="G512">
            <v>1</v>
          </cell>
        </row>
        <row r="513">
          <cell r="F513" t="str">
            <v>KS</v>
          </cell>
          <cell r="G513">
            <v>1</v>
          </cell>
        </row>
        <row r="514">
          <cell r="F514" t="str">
            <v>KS</v>
          </cell>
          <cell r="G514">
            <v>1</v>
          </cell>
        </row>
        <row r="515">
          <cell r="F515" t="str">
            <v>KS</v>
          </cell>
          <cell r="G515">
            <v>1</v>
          </cell>
        </row>
        <row r="516">
          <cell r="F516" t="str">
            <v>KS</v>
          </cell>
          <cell r="G516">
            <v>1</v>
          </cell>
        </row>
        <row r="517">
          <cell r="F517" t="str">
            <v>KS</v>
          </cell>
          <cell r="G517">
            <v>1</v>
          </cell>
        </row>
        <row r="518">
          <cell r="F518" t="str">
            <v>KS</v>
          </cell>
          <cell r="G518">
            <v>1</v>
          </cell>
        </row>
        <row r="519">
          <cell r="F519" t="str">
            <v>KS</v>
          </cell>
          <cell r="G519">
            <v>1</v>
          </cell>
        </row>
        <row r="520">
          <cell r="F520" t="str">
            <v>KS</v>
          </cell>
          <cell r="G520">
            <v>1</v>
          </cell>
        </row>
        <row r="521">
          <cell r="F521" t="str">
            <v>KS</v>
          </cell>
          <cell r="G521">
            <v>2</v>
          </cell>
        </row>
        <row r="522">
          <cell r="F522" t="str">
            <v>KS</v>
          </cell>
          <cell r="G522">
            <v>1</v>
          </cell>
        </row>
        <row r="523">
          <cell r="F523" t="str">
            <v>KS</v>
          </cell>
          <cell r="G523">
            <v>1</v>
          </cell>
        </row>
        <row r="524">
          <cell r="F524" t="str">
            <v>KS</v>
          </cell>
          <cell r="G524">
            <v>1</v>
          </cell>
        </row>
        <row r="525">
          <cell r="F525" t="str">
            <v>KS</v>
          </cell>
          <cell r="G525">
            <v>1</v>
          </cell>
        </row>
        <row r="526">
          <cell r="F526" t="str">
            <v>KS</v>
          </cell>
        </row>
        <row r="527">
          <cell r="F527" t="str">
            <v>KS</v>
          </cell>
        </row>
        <row r="528">
          <cell r="F528" t="str">
            <v>KS</v>
          </cell>
        </row>
        <row r="529">
          <cell r="F529" t="str">
            <v>KS</v>
          </cell>
        </row>
        <row r="530">
          <cell r="F530" t="str">
            <v>KS</v>
          </cell>
        </row>
        <row r="531">
          <cell r="F531" t="str">
            <v>KS</v>
          </cell>
        </row>
        <row r="532">
          <cell r="F532" t="str">
            <v>KS</v>
          </cell>
        </row>
        <row r="533">
          <cell r="F533" t="str">
            <v>KS</v>
          </cell>
        </row>
        <row r="534">
          <cell r="F534" t="str">
            <v>KS</v>
          </cell>
        </row>
        <row r="535">
          <cell r="F535" t="str">
            <v>KS</v>
          </cell>
          <cell r="G535">
            <v>1</v>
          </cell>
        </row>
        <row r="536">
          <cell r="F536" t="str">
            <v>KS</v>
          </cell>
        </row>
        <row r="537">
          <cell r="F537" t="str">
            <v>KS</v>
          </cell>
        </row>
        <row r="538">
          <cell r="F538" t="str">
            <v>KS</v>
          </cell>
        </row>
        <row r="539">
          <cell r="F539" t="str">
            <v>KS</v>
          </cell>
        </row>
        <row r="540">
          <cell r="F540" t="str">
            <v>KS</v>
          </cell>
        </row>
        <row r="541">
          <cell r="F541" t="str">
            <v>KS</v>
          </cell>
        </row>
        <row r="542">
          <cell r="F542" t="str">
            <v>KS</v>
          </cell>
        </row>
        <row r="543">
          <cell r="F543" t="str">
            <v>KS</v>
          </cell>
        </row>
        <row r="544">
          <cell r="F544" t="str">
            <v>KS</v>
          </cell>
        </row>
        <row r="545">
          <cell r="F545" t="str">
            <v>KS</v>
          </cell>
        </row>
        <row r="546">
          <cell r="F546" t="str">
            <v>KS</v>
          </cell>
        </row>
        <row r="547">
          <cell r="F547" t="str">
            <v>KS</v>
          </cell>
        </row>
        <row r="548">
          <cell r="F548" t="str">
            <v>KS</v>
          </cell>
        </row>
        <row r="549">
          <cell r="F549" t="str">
            <v>KS</v>
          </cell>
        </row>
        <row r="550">
          <cell r="F550" t="str">
            <v>KS</v>
          </cell>
        </row>
        <row r="551">
          <cell r="F551" t="str">
            <v>KS</v>
          </cell>
        </row>
        <row r="552">
          <cell r="F552" t="str">
            <v>KS</v>
          </cell>
        </row>
        <row r="553">
          <cell r="F553" t="str">
            <v>KS</v>
          </cell>
        </row>
        <row r="554">
          <cell r="F554" t="str">
            <v>KS</v>
          </cell>
        </row>
        <row r="555">
          <cell r="F555" t="str">
            <v>KS</v>
          </cell>
        </row>
        <row r="556">
          <cell r="F556" t="str">
            <v>KS</v>
          </cell>
        </row>
        <row r="557">
          <cell r="F557" t="str">
            <v>KS</v>
          </cell>
          <cell r="G557">
            <v>3</v>
          </cell>
        </row>
        <row r="558">
          <cell r="F558" t="str">
            <v>KS</v>
          </cell>
        </row>
        <row r="559">
          <cell r="F559" t="str">
            <v>KS</v>
          </cell>
        </row>
        <row r="560">
          <cell r="F560" t="str">
            <v>KS</v>
          </cell>
        </row>
        <row r="561">
          <cell r="F561" t="str">
            <v>KS</v>
          </cell>
        </row>
        <row r="562">
          <cell r="F562" t="str">
            <v>KS</v>
          </cell>
        </row>
        <row r="563">
          <cell r="F563" t="str">
            <v>KS</v>
          </cell>
        </row>
        <row r="564">
          <cell r="F564" t="str">
            <v>KS</v>
          </cell>
        </row>
        <row r="565">
          <cell r="F565" t="str">
            <v>KS</v>
          </cell>
        </row>
        <row r="566">
          <cell r="F566" t="str">
            <v>KS</v>
          </cell>
        </row>
        <row r="567">
          <cell r="F567" t="str">
            <v>KS</v>
          </cell>
        </row>
        <row r="568">
          <cell r="F568" t="str">
            <v>KS</v>
          </cell>
        </row>
        <row r="569">
          <cell r="F569" t="str">
            <v>KS</v>
          </cell>
        </row>
        <row r="570">
          <cell r="F570" t="str">
            <v>KS</v>
          </cell>
        </row>
        <row r="571">
          <cell r="F571" t="str">
            <v>KS</v>
          </cell>
        </row>
        <row r="572">
          <cell r="F572" t="str">
            <v>KS</v>
          </cell>
        </row>
        <row r="573">
          <cell r="F573" t="str">
            <v>KS</v>
          </cell>
        </row>
        <row r="574">
          <cell r="F574" t="str">
            <v>KS</v>
          </cell>
        </row>
        <row r="575">
          <cell r="F575" t="str">
            <v>KS</v>
          </cell>
        </row>
        <row r="576">
          <cell r="F576" t="str">
            <v>KS</v>
          </cell>
          <cell r="G576">
            <v>1</v>
          </cell>
        </row>
        <row r="577">
          <cell r="F577" t="str">
            <v>KS</v>
          </cell>
        </row>
        <row r="578">
          <cell r="F578" t="str">
            <v>KS</v>
          </cell>
        </row>
        <row r="579">
          <cell r="F579" t="str">
            <v>KS</v>
          </cell>
        </row>
        <row r="580">
          <cell r="F580" t="str">
            <v>KS</v>
          </cell>
        </row>
        <row r="581">
          <cell r="F581" t="str">
            <v>KS</v>
          </cell>
        </row>
        <row r="582">
          <cell r="F582" t="str">
            <v>KS</v>
          </cell>
        </row>
        <row r="583">
          <cell r="F583" t="str">
            <v>KS</v>
          </cell>
        </row>
        <row r="584">
          <cell r="F584" t="str">
            <v>KS</v>
          </cell>
        </row>
        <row r="585">
          <cell r="F585" t="str">
            <v>KS</v>
          </cell>
        </row>
        <row r="586">
          <cell r="F586" t="str">
            <v>KS</v>
          </cell>
        </row>
        <row r="587">
          <cell r="F587" t="str">
            <v>KS</v>
          </cell>
        </row>
        <row r="588">
          <cell r="F588" t="str">
            <v>KS</v>
          </cell>
        </row>
        <row r="589">
          <cell r="F589" t="str">
            <v>KS</v>
          </cell>
        </row>
        <row r="590">
          <cell r="F590" t="str">
            <v>KS</v>
          </cell>
        </row>
        <row r="591">
          <cell r="F591" t="str">
            <v>KS</v>
          </cell>
        </row>
        <row r="592">
          <cell r="F592" t="str">
            <v>KS</v>
          </cell>
        </row>
        <row r="593">
          <cell r="F593" t="str">
            <v>KS</v>
          </cell>
        </row>
        <row r="594">
          <cell r="F594" t="str">
            <v>KS</v>
          </cell>
        </row>
        <row r="595">
          <cell r="F595" t="str">
            <v>KS</v>
          </cell>
        </row>
        <row r="596">
          <cell r="F596" t="str">
            <v>KS</v>
          </cell>
        </row>
        <row r="597">
          <cell r="F597" t="str">
            <v>KS</v>
          </cell>
        </row>
        <row r="598">
          <cell r="F598" t="str">
            <v>KS</v>
          </cell>
          <cell r="G598">
            <v>1</v>
          </cell>
        </row>
        <row r="599">
          <cell r="F599" t="str">
            <v>KS</v>
          </cell>
        </row>
        <row r="600">
          <cell r="F600" t="str">
            <v>KS</v>
          </cell>
        </row>
        <row r="601">
          <cell r="F601" t="str">
            <v>KS</v>
          </cell>
        </row>
        <row r="602">
          <cell r="F602" t="str">
            <v>KS</v>
          </cell>
        </row>
        <row r="603">
          <cell r="F603" t="str">
            <v>KS</v>
          </cell>
        </row>
        <row r="604">
          <cell r="F604" t="str">
            <v>KS</v>
          </cell>
        </row>
        <row r="605">
          <cell r="F605" t="str">
            <v>KS</v>
          </cell>
        </row>
        <row r="606">
          <cell r="F606" t="str">
            <v>KS</v>
          </cell>
        </row>
        <row r="607">
          <cell r="F607" t="str">
            <v>KS</v>
          </cell>
        </row>
        <row r="608">
          <cell r="F608" t="str">
            <v>KS</v>
          </cell>
        </row>
        <row r="609">
          <cell r="F609" t="str">
            <v>KS</v>
          </cell>
        </row>
        <row r="610">
          <cell r="F610" t="str">
            <v>KS</v>
          </cell>
        </row>
        <row r="611">
          <cell r="F611" t="str">
            <v>KS</v>
          </cell>
        </row>
        <row r="612">
          <cell r="F612" t="str">
            <v>KS</v>
          </cell>
        </row>
        <row r="613">
          <cell r="F613" t="str">
            <v>KS</v>
          </cell>
        </row>
        <row r="614">
          <cell r="F614" t="str">
            <v>KS</v>
          </cell>
        </row>
        <row r="615">
          <cell r="F615" t="str">
            <v>KS</v>
          </cell>
        </row>
        <row r="616">
          <cell r="F616" t="str">
            <v>KS</v>
          </cell>
        </row>
        <row r="617">
          <cell r="F617" t="str">
            <v>KS</v>
          </cell>
        </row>
        <row r="618">
          <cell r="F618" t="str">
            <v>KS</v>
          </cell>
        </row>
        <row r="619">
          <cell r="F619" t="str">
            <v>KS</v>
          </cell>
        </row>
        <row r="620">
          <cell r="F620" t="str">
            <v>KS</v>
          </cell>
        </row>
        <row r="621">
          <cell r="F621" t="str">
            <v>KS</v>
          </cell>
          <cell r="G621">
            <v>1</v>
          </cell>
        </row>
        <row r="622">
          <cell r="F622" t="str">
            <v>KS</v>
          </cell>
        </row>
        <row r="623">
          <cell r="F623" t="str">
            <v>KS</v>
          </cell>
        </row>
        <row r="624">
          <cell r="F624" t="str">
            <v>KS</v>
          </cell>
        </row>
        <row r="625">
          <cell r="F625" t="str">
            <v>KS</v>
          </cell>
        </row>
        <row r="626">
          <cell r="F626" t="str">
            <v>KS</v>
          </cell>
        </row>
        <row r="627">
          <cell r="F627" t="str">
            <v>KS</v>
          </cell>
        </row>
        <row r="628">
          <cell r="F628" t="str">
            <v>KS</v>
          </cell>
        </row>
        <row r="629">
          <cell r="F629" t="str">
            <v>KS</v>
          </cell>
        </row>
        <row r="630">
          <cell r="F630" t="str">
            <v>KS</v>
          </cell>
        </row>
        <row r="631">
          <cell r="F631" t="str">
            <v>KS</v>
          </cell>
        </row>
        <row r="632">
          <cell r="F632" t="str">
            <v>KS</v>
          </cell>
        </row>
        <row r="633">
          <cell r="F633" t="str">
            <v>KS</v>
          </cell>
        </row>
        <row r="634">
          <cell r="F634" t="str">
            <v>KS</v>
          </cell>
        </row>
        <row r="635">
          <cell r="F635" t="str">
            <v>KS</v>
          </cell>
        </row>
        <row r="636">
          <cell r="F636" t="str">
            <v>KS</v>
          </cell>
        </row>
        <row r="637">
          <cell r="F637" t="str">
            <v>KS</v>
          </cell>
        </row>
        <row r="638">
          <cell r="F638" t="str">
            <v>KS</v>
          </cell>
        </row>
        <row r="639">
          <cell r="F639" t="str">
            <v>KS</v>
          </cell>
        </row>
        <row r="640">
          <cell r="F640" t="str">
            <v>KS</v>
          </cell>
        </row>
        <row r="641">
          <cell r="F641" t="str">
            <v>KS</v>
          </cell>
        </row>
        <row r="642">
          <cell r="F642" t="str">
            <v>KS</v>
          </cell>
        </row>
        <row r="643">
          <cell r="F643" t="str">
            <v>KS</v>
          </cell>
        </row>
        <row r="644">
          <cell r="F644" t="str">
            <v>KS</v>
          </cell>
        </row>
        <row r="645">
          <cell r="F645" t="str">
            <v>KS</v>
          </cell>
        </row>
        <row r="646">
          <cell r="F646" t="str">
            <v>KS</v>
          </cell>
        </row>
        <row r="647">
          <cell r="F647" t="str">
            <v>KS</v>
          </cell>
        </row>
        <row r="648">
          <cell r="F648" t="str">
            <v>KS</v>
          </cell>
        </row>
        <row r="649">
          <cell r="F649" t="str">
            <v>KS</v>
          </cell>
        </row>
        <row r="650">
          <cell r="F650" t="str">
            <v>KS</v>
          </cell>
        </row>
        <row r="651">
          <cell r="F651" t="str">
            <v>KS</v>
          </cell>
        </row>
        <row r="652">
          <cell r="F652" t="str">
            <v>KS</v>
          </cell>
        </row>
        <row r="653">
          <cell r="F653" t="str">
            <v>KS</v>
          </cell>
        </row>
        <row r="654">
          <cell r="F654" t="str">
            <v>KS</v>
          </cell>
        </row>
        <row r="655">
          <cell r="F655" t="str">
            <v>KS</v>
          </cell>
        </row>
        <row r="656">
          <cell r="F656" t="str">
            <v>KS</v>
          </cell>
        </row>
        <row r="657">
          <cell r="F657" t="str">
            <v>KS</v>
          </cell>
        </row>
        <row r="658">
          <cell r="F658" t="str">
            <v>KS</v>
          </cell>
          <cell r="G658">
            <v>1</v>
          </cell>
        </row>
        <row r="659">
          <cell r="F659" t="str">
            <v>KS</v>
          </cell>
        </row>
        <row r="660">
          <cell r="F660" t="str">
            <v>KS</v>
          </cell>
        </row>
        <row r="661">
          <cell r="F661" t="str">
            <v>KS</v>
          </cell>
        </row>
        <row r="662">
          <cell r="F662" t="str">
            <v>KS</v>
          </cell>
        </row>
        <row r="663">
          <cell r="F663" t="str">
            <v>KS</v>
          </cell>
        </row>
        <row r="664">
          <cell r="F664" t="str">
            <v>KS</v>
          </cell>
        </row>
        <row r="665">
          <cell r="F665" t="str">
            <v>KS</v>
          </cell>
        </row>
        <row r="666">
          <cell r="F666" t="str">
            <v>KS</v>
          </cell>
        </row>
        <row r="667">
          <cell r="F667" t="str">
            <v>KS</v>
          </cell>
        </row>
        <row r="668">
          <cell r="F668" t="str">
            <v>KS</v>
          </cell>
        </row>
        <row r="669">
          <cell r="F669" t="str">
            <v>KS</v>
          </cell>
        </row>
        <row r="670">
          <cell r="F670" t="str">
            <v>KS</v>
          </cell>
        </row>
        <row r="671">
          <cell r="F671" t="str">
            <v>KS</v>
          </cell>
        </row>
        <row r="672">
          <cell r="F672" t="str">
            <v>KS</v>
          </cell>
        </row>
        <row r="673">
          <cell r="F673" t="str">
            <v>KS</v>
          </cell>
        </row>
        <row r="674">
          <cell r="F674" t="str">
            <v>KS</v>
          </cell>
        </row>
        <row r="675">
          <cell r="F675" t="str">
            <v>KS</v>
          </cell>
        </row>
        <row r="676">
          <cell r="F676" t="str">
            <v>KS</v>
          </cell>
        </row>
        <row r="677">
          <cell r="F677" t="str">
            <v>KS</v>
          </cell>
        </row>
        <row r="678">
          <cell r="F678" t="str">
            <v>KS</v>
          </cell>
        </row>
        <row r="679">
          <cell r="F679" t="str">
            <v>KS</v>
          </cell>
        </row>
        <row r="680">
          <cell r="F680" t="str">
            <v>KS</v>
          </cell>
        </row>
        <row r="681">
          <cell r="F681" t="str">
            <v>KS</v>
          </cell>
          <cell r="G681">
            <v>1</v>
          </cell>
        </row>
        <row r="682">
          <cell r="F682" t="str">
            <v>KS</v>
          </cell>
        </row>
        <row r="683">
          <cell r="F683" t="str">
            <v>KS</v>
          </cell>
        </row>
        <row r="684">
          <cell r="F684" t="str">
            <v>KS</v>
          </cell>
        </row>
        <row r="685">
          <cell r="F685" t="str">
            <v>KS</v>
          </cell>
        </row>
        <row r="686">
          <cell r="F686" t="str">
            <v>KS</v>
          </cell>
        </row>
        <row r="687">
          <cell r="F687" t="str">
            <v>KS</v>
          </cell>
        </row>
        <row r="688">
          <cell r="F688" t="str">
            <v>KS</v>
          </cell>
        </row>
        <row r="689">
          <cell r="F689" t="str">
            <v>KS</v>
          </cell>
        </row>
        <row r="690">
          <cell r="F690" t="str">
            <v>KS</v>
          </cell>
        </row>
        <row r="691">
          <cell r="F691" t="str">
            <v>KS</v>
          </cell>
        </row>
        <row r="692">
          <cell r="F692" t="str">
            <v>KS</v>
          </cell>
        </row>
        <row r="693">
          <cell r="F693" t="str">
            <v>KS</v>
          </cell>
        </row>
        <row r="694">
          <cell r="F694" t="str">
            <v>KS</v>
          </cell>
        </row>
        <row r="695">
          <cell r="F695" t="str">
            <v>KS</v>
          </cell>
        </row>
        <row r="696">
          <cell r="F696" t="str">
            <v>KS</v>
          </cell>
        </row>
        <row r="697">
          <cell r="F697" t="str">
            <v>KS</v>
          </cell>
        </row>
        <row r="698">
          <cell r="F698" t="str">
            <v>KS</v>
          </cell>
        </row>
        <row r="699">
          <cell r="F699" t="str">
            <v>KS</v>
          </cell>
        </row>
        <row r="700">
          <cell r="F700" t="str">
            <v>KS</v>
          </cell>
          <cell r="G700">
            <v>1</v>
          </cell>
        </row>
        <row r="701">
          <cell r="F701" t="str">
            <v>KS</v>
          </cell>
        </row>
        <row r="702">
          <cell r="F702" t="str">
            <v>KS</v>
          </cell>
        </row>
        <row r="703">
          <cell r="F703" t="str">
            <v>KS</v>
          </cell>
        </row>
        <row r="704">
          <cell r="F704" t="str">
            <v>KS</v>
          </cell>
        </row>
        <row r="705">
          <cell r="F705" t="str">
            <v>KS</v>
          </cell>
        </row>
        <row r="706">
          <cell r="F706" t="str">
            <v>KS</v>
          </cell>
        </row>
        <row r="707">
          <cell r="F707" t="str">
            <v>KS</v>
          </cell>
        </row>
        <row r="708">
          <cell r="F708" t="str">
            <v>KS</v>
          </cell>
        </row>
        <row r="709">
          <cell r="F709" t="str">
            <v>KS</v>
          </cell>
        </row>
        <row r="710">
          <cell r="F710" t="str">
            <v>KS</v>
          </cell>
        </row>
        <row r="711">
          <cell r="F711" t="str">
            <v>KS</v>
          </cell>
        </row>
        <row r="712">
          <cell r="F712" t="str">
            <v>KS</v>
          </cell>
        </row>
        <row r="713">
          <cell r="F713" t="str">
            <v>KS</v>
          </cell>
        </row>
        <row r="714">
          <cell r="F714" t="str">
            <v>KS</v>
          </cell>
        </row>
        <row r="715">
          <cell r="F715" t="str">
            <v>KS</v>
          </cell>
        </row>
        <row r="716">
          <cell r="F716" t="str">
            <v>KS</v>
          </cell>
        </row>
        <row r="717">
          <cell r="F717" t="str">
            <v>KS</v>
          </cell>
        </row>
        <row r="718">
          <cell r="F718" t="str">
            <v>KS</v>
          </cell>
        </row>
        <row r="719">
          <cell r="F719" t="str">
            <v>KS</v>
          </cell>
        </row>
        <row r="720">
          <cell r="F720" t="str">
            <v>KS</v>
          </cell>
        </row>
        <row r="721">
          <cell r="F721" t="str">
            <v>KS</v>
          </cell>
        </row>
        <row r="722">
          <cell r="F722" t="str">
            <v>KS</v>
          </cell>
          <cell r="G722">
            <v>1</v>
          </cell>
        </row>
        <row r="723">
          <cell r="F723" t="str">
            <v>KS</v>
          </cell>
        </row>
        <row r="724">
          <cell r="F724" t="str">
            <v>KS</v>
          </cell>
        </row>
        <row r="725">
          <cell r="F725" t="str">
            <v>KS</v>
          </cell>
        </row>
        <row r="726">
          <cell r="F726" t="str">
            <v>KS</v>
          </cell>
        </row>
        <row r="727">
          <cell r="F727" t="str">
            <v>KS</v>
          </cell>
        </row>
        <row r="728">
          <cell r="F728" t="str">
            <v>KS</v>
          </cell>
        </row>
        <row r="729">
          <cell r="F729" t="str">
            <v>KS</v>
          </cell>
        </row>
        <row r="730">
          <cell r="F730" t="str">
            <v>KS</v>
          </cell>
        </row>
        <row r="731">
          <cell r="F731" t="str">
            <v>KS</v>
          </cell>
        </row>
        <row r="732">
          <cell r="F732" t="str">
            <v>KS</v>
          </cell>
        </row>
        <row r="733">
          <cell r="F733" t="str">
            <v>KS</v>
          </cell>
        </row>
        <row r="734">
          <cell r="F734" t="str">
            <v>KS</v>
          </cell>
          <cell r="G734">
            <v>1</v>
          </cell>
        </row>
        <row r="735">
          <cell r="F735" t="str">
            <v>KS</v>
          </cell>
          <cell r="G735">
            <v>1</v>
          </cell>
        </row>
        <row r="737">
          <cell r="F737" t="str">
            <v>BE 110</v>
          </cell>
          <cell r="G737">
            <v>10</v>
          </cell>
        </row>
        <row r="739">
          <cell r="F739" t="str">
            <v>WFT110</v>
          </cell>
          <cell r="G739">
            <v>20</v>
          </cell>
        </row>
        <row r="740">
          <cell r="F740" t="str">
            <v>FLF100</v>
          </cell>
          <cell r="G740">
            <v>40</v>
          </cell>
        </row>
        <row r="741">
          <cell r="F741" t="str">
            <v>WFT110</v>
          </cell>
          <cell r="G741">
            <v>2</v>
          </cell>
        </row>
        <row r="742">
          <cell r="F742" t="str">
            <v>FLF100</v>
          </cell>
          <cell r="G742">
            <v>32</v>
          </cell>
        </row>
        <row r="743">
          <cell r="F743" t="str">
            <v>FLF100</v>
          </cell>
          <cell r="G743">
            <v>10</v>
          </cell>
        </row>
        <row r="744">
          <cell r="F744" t="str">
            <v>WFT110</v>
          </cell>
          <cell r="G744">
            <v>5</v>
          </cell>
        </row>
        <row r="745">
          <cell r="F745" t="str">
            <v>WFT110</v>
          </cell>
          <cell r="G745">
            <v>20</v>
          </cell>
        </row>
        <row r="746">
          <cell r="F746" t="str">
            <v>WFT110</v>
          </cell>
          <cell r="G746">
            <v>7</v>
          </cell>
        </row>
        <row r="747">
          <cell r="F747" t="str">
            <v>WFT110</v>
          </cell>
          <cell r="G747">
            <v>47</v>
          </cell>
        </row>
        <row r="748">
          <cell r="F748" t="str">
            <v>BE 110</v>
          </cell>
          <cell r="G748">
            <v>73</v>
          </cell>
        </row>
        <row r="749">
          <cell r="F749" t="str">
            <v>BE 110</v>
          </cell>
          <cell r="G749">
            <v>5</v>
          </cell>
        </row>
        <row r="750">
          <cell r="F750" t="str">
            <v>BE 110</v>
          </cell>
          <cell r="G750">
            <v>20</v>
          </cell>
        </row>
        <row r="751">
          <cell r="F751" t="str">
            <v>BE 110</v>
          </cell>
          <cell r="G751">
            <v>38</v>
          </cell>
        </row>
        <row r="753">
          <cell r="F753" t="str">
            <v>V®á</v>
          </cell>
          <cell r="G753">
            <v>360</v>
          </cell>
        </row>
        <row r="755">
          <cell r="F755" t="str">
            <v>BE 110</v>
          </cell>
          <cell r="G755">
            <v>7</v>
          </cell>
        </row>
        <row r="756">
          <cell r="F756" t="str">
            <v>QUICK 100</v>
          </cell>
          <cell r="G756">
            <v>9</v>
          </cell>
        </row>
        <row r="757">
          <cell r="F757" t="str">
            <v>FTE</v>
          </cell>
          <cell r="G757">
            <v>7</v>
          </cell>
        </row>
        <row r="758">
          <cell r="F758" t="str">
            <v>BE 110</v>
          </cell>
          <cell r="G758">
            <v>3</v>
          </cell>
        </row>
        <row r="759">
          <cell r="F759" t="str">
            <v>QUICK 100</v>
          </cell>
          <cell r="G759">
            <v>3</v>
          </cell>
        </row>
        <row r="760">
          <cell r="F760" t="str">
            <v>QUICK 100</v>
          </cell>
          <cell r="G760">
            <v>14</v>
          </cell>
        </row>
        <row r="761">
          <cell r="F761" t="str">
            <v>BE 110</v>
          </cell>
          <cell r="G761">
            <v>2</v>
          </cell>
        </row>
        <row r="762">
          <cell r="F762" t="str">
            <v>BE 110</v>
          </cell>
          <cell r="G762">
            <v>2</v>
          </cell>
        </row>
        <row r="763">
          <cell r="F763" t="str">
            <v>QUICK 100</v>
          </cell>
          <cell r="G763">
            <v>5</v>
          </cell>
        </row>
        <row r="765">
          <cell r="F765" t="str">
            <v>aa 43</v>
          </cell>
          <cell r="G765">
            <v>1</v>
          </cell>
        </row>
        <row r="766">
          <cell r="F766" t="str">
            <v>aa 47</v>
          </cell>
          <cell r="G766">
            <v>1</v>
          </cell>
        </row>
        <row r="767">
          <cell r="F767" t="str">
            <v>aa 46</v>
          </cell>
          <cell r="G767">
            <v>1</v>
          </cell>
        </row>
        <row r="768">
          <cell r="F768" t="str">
            <v>Hun 47</v>
          </cell>
          <cell r="G768">
            <v>2</v>
          </cell>
        </row>
        <row r="769">
          <cell r="F769" t="str">
            <v>Hun 46</v>
          </cell>
          <cell r="G769">
            <v>1</v>
          </cell>
        </row>
        <row r="770">
          <cell r="F770" t="str">
            <v>ac 35,94</v>
          </cell>
          <cell r="G770">
            <v>1</v>
          </cell>
        </row>
        <row r="771">
          <cell r="F771" t="str">
            <v>ac 35,95</v>
          </cell>
          <cell r="G771">
            <v>1</v>
          </cell>
        </row>
        <row r="772">
          <cell r="F772" t="str">
            <v>Hun 31</v>
          </cell>
          <cell r="G772">
            <v>1</v>
          </cell>
        </row>
        <row r="773">
          <cell r="F773" t="str">
            <v>Hun 35</v>
          </cell>
          <cell r="G773">
            <v>1</v>
          </cell>
        </row>
        <row r="774">
          <cell r="F774" t="str">
            <v>Hun 44</v>
          </cell>
          <cell r="G774">
            <v>2</v>
          </cell>
        </row>
        <row r="775">
          <cell r="F775" t="str">
            <v>Hun 44 Spa</v>
          </cell>
          <cell r="G775">
            <v>5</v>
          </cell>
        </row>
        <row r="777">
          <cell r="F777" t="str">
            <v>WFT110</v>
          </cell>
          <cell r="G777">
            <v>2</v>
          </cell>
        </row>
        <row r="779">
          <cell r="F779" t="str">
            <v>WFT110</v>
          </cell>
          <cell r="G779">
            <v>28</v>
          </cell>
        </row>
        <row r="781">
          <cell r="F781" t="str">
            <v>V®á</v>
          </cell>
          <cell r="G781">
            <v>120</v>
          </cell>
        </row>
        <row r="783">
          <cell r="F783" t="str">
            <v>BE 110</v>
          </cell>
          <cell r="G783">
            <v>2</v>
          </cell>
        </row>
        <row r="785">
          <cell r="F785" t="str">
            <v>BE 110</v>
          </cell>
          <cell r="G785">
            <v>8</v>
          </cell>
        </row>
        <row r="787">
          <cell r="F787" t="str">
            <v>Xi</v>
          </cell>
          <cell r="G787">
            <v>4284</v>
          </cell>
        </row>
        <row r="789">
          <cell r="F789" t="str">
            <v>BE 110</v>
          </cell>
          <cell r="G789">
            <v>10</v>
          </cell>
        </row>
        <row r="790">
          <cell r="F790" t="str">
            <v>BE 110</v>
          </cell>
          <cell r="G790">
            <v>36</v>
          </cell>
        </row>
        <row r="792">
          <cell r="F792" t="str">
            <v>UI</v>
          </cell>
          <cell r="G792">
            <v>1</v>
          </cell>
        </row>
        <row r="794">
          <cell r="F794" t="str">
            <v>WFT110</v>
          </cell>
          <cell r="G794">
            <v>18</v>
          </cell>
        </row>
        <row r="796">
          <cell r="F796" t="str">
            <v>V®á</v>
          </cell>
          <cell r="G796">
            <v>120</v>
          </cell>
        </row>
        <row r="798">
          <cell r="F798" t="str">
            <v>V®á</v>
          </cell>
          <cell r="G798">
            <v>720</v>
          </cell>
        </row>
        <row r="800">
          <cell r="F800" t="str">
            <v>WFT110</v>
          </cell>
          <cell r="G800">
            <v>40</v>
          </cell>
        </row>
        <row r="801">
          <cell r="F801" t="str">
            <v>FLF100</v>
          </cell>
          <cell r="G801">
            <v>30</v>
          </cell>
        </row>
        <row r="802">
          <cell r="F802" t="str">
            <v>BE 110</v>
          </cell>
          <cell r="G802">
            <v>10</v>
          </cell>
        </row>
        <row r="803">
          <cell r="F803" t="str">
            <v>WFT110</v>
          </cell>
          <cell r="G803">
            <v>52</v>
          </cell>
        </row>
        <row r="804">
          <cell r="F804" t="str">
            <v>FLF100</v>
          </cell>
          <cell r="G804">
            <v>150</v>
          </cell>
        </row>
        <row r="805">
          <cell r="F805" t="str">
            <v>FLF100</v>
          </cell>
          <cell r="G805">
            <v>15</v>
          </cell>
        </row>
        <row r="807">
          <cell r="F807" t="str">
            <v>BE 110</v>
          </cell>
          <cell r="G807">
            <v>50</v>
          </cell>
        </row>
        <row r="808">
          <cell r="F808" t="str">
            <v>QUICK 100</v>
          </cell>
          <cell r="G808">
            <v>50</v>
          </cell>
        </row>
        <row r="809">
          <cell r="F809" t="str">
            <v>FTE</v>
          </cell>
          <cell r="G809">
            <v>35</v>
          </cell>
        </row>
        <row r="810">
          <cell r="F810" t="str">
            <v>BE 110</v>
          </cell>
          <cell r="G810">
            <v>1</v>
          </cell>
        </row>
        <row r="811">
          <cell r="F811" t="str">
            <v>BE 110</v>
          </cell>
          <cell r="G811">
            <v>20</v>
          </cell>
        </row>
        <row r="812">
          <cell r="F812" t="str">
            <v>BE 110</v>
          </cell>
          <cell r="G812">
            <v>30</v>
          </cell>
        </row>
        <row r="814">
          <cell r="F814" t="str">
            <v>BE 110</v>
          </cell>
          <cell r="G814">
            <v>7</v>
          </cell>
        </row>
        <row r="816">
          <cell r="F816" t="str">
            <v>WFT110</v>
          </cell>
          <cell r="G816">
            <v>10</v>
          </cell>
        </row>
        <row r="818">
          <cell r="F818" t="str">
            <v>V®á</v>
          </cell>
          <cell r="G818">
            <v>24</v>
          </cell>
        </row>
        <row r="820">
          <cell r="F820" t="str">
            <v>BE 110</v>
          </cell>
          <cell r="G820">
            <v>5</v>
          </cell>
        </row>
        <row r="822">
          <cell r="F822" t="str">
            <v>V®á</v>
          </cell>
          <cell r="G822">
            <v>120</v>
          </cell>
        </row>
        <row r="823">
          <cell r="F823" t="str">
            <v>V®á</v>
          </cell>
          <cell r="G823">
            <v>504</v>
          </cell>
        </row>
        <row r="825">
          <cell r="F825" t="str">
            <v>Thep day</v>
          </cell>
          <cell r="G825">
            <v>637.44000000000005</v>
          </cell>
        </row>
        <row r="827">
          <cell r="F827" t="str">
            <v>FLF100</v>
          </cell>
          <cell r="G827">
            <v>15</v>
          </cell>
        </row>
        <row r="828">
          <cell r="F828" t="str">
            <v>WFT110</v>
          </cell>
          <cell r="G828">
            <v>10</v>
          </cell>
        </row>
        <row r="830">
          <cell r="F830" t="str">
            <v>BOM</v>
          </cell>
          <cell r="G830">
            <v>1</v>
          </cell>
        </row>
        <row r="831">
          <cell r="F831" t="str">
            <v>BOM</v>
          </cell>
          <cell r="G831">
            <v>1</v>
          </cell>
        </row>
        <row r="832">
          <cell r="F832" t="str">
            <v>Xuc KO</v>
          </cell>
          <cell r="G832">
            <v>1</v>
          </cell>
        </row>
        <row r="833">
          <cell r="F833" t="str">
            <v>San</v>
          </cell>
          <cell r="G833">
            <v>1</v>
          </cell>
        </row>
        <row r="834">
          <cell r="F834" t="str">
            <v>BOM</v>
          </cell>
          <cell r="G834">
            <v>3</v>
          </cell>
        </row>
        <row r="835">
          <cell r="F835" t="str">
            <v>Xóc lËt</v>
          </cell>
          <cell r="G835">
            <v>1</v>
          </cell>
        </row>
        <row r="836">
          <cell r="F836" t="str">
            <v>Lu W</v>
          </cell>
          <cell r="G836">
            <v>1</v>
          </cell>
        </row>
        <row r="837">
          <cell r="F837" t="str">
            <v>Lu 70</v>
          </cell>
          <cell r="G837">
            <v>1</v>
          </cell>
        </row>
        <row r="838">
          <cell r="F838" t="str">
            <v>San g¹t</v>
          </cell>
          <cell r="G838">
            <v>1</v>
          </cell>
        </row>
        <row r="839">
          <cell r="F839" t="str">
            <v>BOM</v>
          </cell>
          <cell r="G839">
            <v>2</v>
          </cell>
        </row>
        <row r="841">
          <cell r="F841" t="str">
            <v>BP s¾t</v>
          </cell>
          <cell r="G841">
            <v>528</v>
          </cell>
        </row>
        <row r="842">
          <cell r="F842" t="str">
            <v>BP nhùa</v>
          </cell>
          <cell r="G842">
            <v>240</v>
          </cell>
        </row>
        <row r="843">
          <cell r="F843" t="str">
            <v>BP s¾t</v>
          </cell>
          <cell r="G843">
            <v>528</v>
          </cell>
        </row>
        <row r="844">
          <cell r="F844" t="str">
            <v>BP nhùa</v>
          </cell>
          <cell r="G844">
            <v>240</v>
          </cell>
        </row>
        <row r="845">
          <cell r="F845" t="str">
            <v>BP s¾t</v>
          </cell>
          <cell r="G845">
            <v>720</v>
          </cell>
        </row>
        <row r="846">
          <cell r="F846" t="str">
            <v>BP s¾t</v>
          </cell>
          <cell r="G846">
            <v>600</v>
          </cell>
        </row>
        <row r="847">
          <cell r="F847" t="str">
            <v>BP nhùa</v>
          </cell>
          <cell r="G847">
            <v>96</v>
          </cell>
        </row>
        <row r="848">
          <cell r="F848" t="str">
            <v>BP s¾t</v>
          </cell>
          <cell r="G848">
            <v>528</v>
          </cell>
        </row>
        <row r="849">
          <cell r="F849" t="str">
            <v>BP nhùa</v>
          </cell>
          <cell r="G849">
            <v>96</v>
          </cell>
        </row>
        <row r="850">
          <cell r="F850" t="str">
            <v>BP s¾t</v>
          </cell>
          <cell r="G850">
            <v>360</v>
          </cell>
        </row>
        <row r="851">
          <cell r="F851" t="str">
            <v>BP nhùa</v>
          </cell>
          <cell r="G851">
            <v>240</v>
          </cell>
        </row>
        <row r="852">
          <cell r="F852" t="str">
            <v>BP s¾t</v>
          </cell>
          <cell r="G852">
            <v>600</v>
          </cell>
        </row>
        <row r="853">
          <cell r="F853" t="str">
            <v>BP nhùa</v>
          </cell>
          <cell r="G853">
            <v>240</v>
          </cell>
        </row>
        <row r="854">
          <cell r="F854" t="str">
            <v>BP nhùa</v>
          </cell>
          <cell r="G854">
            <v>200</v>
          </cell>
        </row>
        <row r="855">
          <cell r="F855" t="str">
            <v>BP s¾t</v>
          </cell>
          <cell r="G855">
            <v>234</v>
          </cell>
        </row>
        <row r="856">
          <cell r="F856" t="str">
            <v>BP s¾t</v>
          </cell>
          <cell r="G856">
            <v>360</v>
          </cell>
        </row>
        <row r="857">
          <cell r="F857" t="str">
            <v>BP nhùa</v>
          </cell>
          <cell r="G857">
            <v>240</v>
          </cell>
        </row>
        <row r="858">
          <cell r="F858" t="str">
            <v>BP s¾t</v>
          </cell>
          <cell r="G858">
            <v>600</v>
          </cell>
        </row>
        <row r="859">
          <cell r="F859" t="str">
            <v>BP nhùa</v>
          </cell>
          <cell r="G859">
            <v>240</v>
          </cell>
        </row>
        <row r="860">
          <cell r="F860" t="str">
            <v>BP s¾t</v>
          </cell>
          <cell r="G860">
            <v>600</v>
          </cell>
        </row>
        <row r="861">
          <cell r="F861" t="str">
            <v>BP nhùa</v>
          </cell>
          <cell r="G861">
            <v>96</v>
          </cell>
        </row>
        <row r="862">
          <cell r="F862" t="str">
            <v>BP s¾t</v>
          </cell>
          <cell r="G862">
            <v>600</v>
          </cell>
        </row>
        <row r="863">
          <cell r="F863" t="str">
            <v>BP nhùa</v>
          </cell>
          <cell r="G863">
            <v>240</v>
          </cell>
        </row>
        <row r="865">
          <cell r="F865" t="str">
            <v>FLF100</v>
          </cell>
          <cell r="G865">
            <v>21</v>
          </cell>
        </row>
        <row r="866">
          <cell r="F866" t="str">
            <v>FLF100</v>
          </cell>
          <cell r="G866">
            <v>15</v>
          </cell>
        </row>
        <row r="867">
          <cell r="F867" t="str">
            <v>BE 110</v>
          </cell>
          <cell r="G867">
            <v>10</v>
          </cell>
        </row>
        <row r="868">
          <cell r="F868" t="str">
            <v>BE 110</v>
          </cell>
          <cell r="G868">
            <v>10</v>
          </cell>
        </row>
        <row r="869">
          <cell r="F869" t="str">
            <v>BE 110</v>
          </cell>
          <cell r="G869">
            <v>5</v>
          </cell>
        </row>
        <row r="870">
          <cell r="F870" t="str">
            <v>BE 110</v>
          </cell>
          <cell r="G870">
            <v>4</v>
          </cell>
        </row>
        <row r="871">
          <cell r="F871" t="str">
            <v>BE 110</v>
          </cell>
          <cell r="G871">
            <v>5</v>
          </cell>
        </row>
        <row r="872">
          <cell r="F872" t="str">
            <v>BE 110</v>
          </cell>
          <cell r="G872">
            <v>9</v>
          </cell>
        </row>
        <row r="874">
          <cell r="F874" t="str">
            <v>DL</v>
          </cell>
          <cell r="G874">
            <v>1</v>
          </cell>
        </row>
        <row r="876">
          <cell r="F876" t="str">
            <v>BE 110</v>
          </cell>
          <cell r="G876">
            <v>30</v>
          </cell>
        </row>
        <row r="877">
          <cell r="F877" t="str">
            <v>FTE</v>
          </cell>
          <cell r="G877">
            <v>10</v>
          </cell>
        </row>
        <row r="879">
          <cell r="F879" t="str">
            <v>Tl¸</v>
          </cell>
          <cell r="G879">
            <v>220</v>
          </cell>
        </row>
      </sheetData>
      <sheetData sheetId="14"/>
      <sheetData sheetId="1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INHPHUC"/>
      <sheetName val="NAMDINH"/>
      <sheetName val="HANAM"/>
      <sheetName val="NINH BINH"/>
      <sheetName val="THAIBINH"/>
      <sheetName val="00000000"/>
      <sheetName val="10000000"/>
    </sheetNames>
    <sheetDataSet>
      <sheetData sheetId="0" refreshError="1">
        <row r="1">
          <cell r="A1" t="str">
            <v>Tên Phụ Tr thị trường</v>
          </cell>
          <cell r="B1" t="str">
            <v>Tỉnh</v>
          </cell>
          <cell r="C1" t="str">
            <v xml:space="preserve">Ngày/tháng </v>
          </cell>
          <cell r="D1" t="str">
            <v>Hãng gas</v>
          </cell>
          <cell r="E1" t="str">
            <v>Giá gas Bình 12kg (Đ/bình )</v>
          </cell>
          <cell r="F1" t="str">
            <v>Giá bán lẻ Bình12 kg ( Đ/Bình)</v>
          </cell>
          <cell r="G1" t="str">
            <v>Giá vỏ Bình 12kg (Đ/Vỏ)</v>
          </cell>
          <cell r="H1" t="str">
            <v>Giá vỏ trôi nổi (Đ/Vỏ)</v>
          </cell>
          <cell r="I1" t="str">
            <v>Sản lượng (Tấn)</v>
          </cell>
          <cell r="J1" t="str">
            <v>Thị phần %</v>
          </cell>
          <cell r="K1" t="str">
            <v>Triết khấu cao nhất (Đ/kg)</v>
          </cell>
          <cell r="L1" t="str">
            <v>Triết khấu thấp nhất (Đ/kg)</v>
          </cell>
          <cell r="M1" t="str">
            <v>Đơn giá hỗ trợ vận tải (Đ/kg)</v>
          </cell>
          <cell r="N1" t="str">
            <v>Khuyến mại</v>
          </cell>
        </row>
        <row r="2">
          <cell r="A2" t="str">
            <v>Hứa cao Huy</v>
          </cell>
          <cell r="B2" t="str">
            <v>Vĩnh phúc</v>
          </cell>
          <cell r="D2" t="str">
            <v>Shell gas</v>
          </cell>
        </row>
        <row r="3">
          <cell r="D3" t="str">
            <v>Total gas</v>
          </cell>
        </row>
        <row r="4">
          <cell r="D4" t="str">
            <v>Hồng hà gas</v>
          </cell>
        </row>
        <row r="5">
          <cell r="D5" t="str">
            <v>Vạn lộc gas</v>
          </cell>
        </row>
        <row r="6">
          <cell r="D6" t="str">
            <v>Thăng long gas</v>
          </cell>
        </row>
        <row r="7">
          <cell r="D7" t="str">
            <v>Gia định gas</v>
          </cell>
        </row>
        <row r="8">
          <cell r="D8" t="str">
            <v>Petrolimex</v>
          </cell>
        </row>
        <row r="9">
          <cell r="D9" t="str">
            <v>Pvgas.N</v>
          </cell>
        </row>
      </sheetData>
      <sheetData sheetId="1">
        <row r="7">
          <cell r="B7" t="str">
            <v>Pvgas.N</v>
          </cell>
        </row>
        <row r="8">
          <cell r="G8">
            <v>10</v>
          </cell>
        </row>
        <row r="9">
          <cell r="G9">
            <v>5</v>
          </cell>
        </row>
        <row r="10">
          <cell r="G10">
            <v>20</v>
          </cell>
        </row>
        <row r="11">
          <cell r="G11">
            <v>8</v>
          </cell>
        </row>
        <row r="12">
          <cell r="G12">
            <v>45</v>
          </cell>
        </row>
        <row r="13">
          <cell r="G13">
            <v>50</v>
          </cell>
        </row>
        <row r="14">
          <cell r="G14">
            <v>26</v>
          </cell>
        </row>
        <row r="15">
          <cell r="G15">
            <v>50</v>
          </cell>
        </row>
        <row r="16">
          <cell r="G16">
            <v>20</v>
          </cell>
        </row>
        <row r="17">
          <cell r="G17">
            <v>5</v>
          </cell>
        </row>
        <row r="18">
          <cell r="G18">
            <v>5</v>
          </cell>
        </row>
        <row r="19">
          <cell r="G19">
            <v>20</v>
          </cell>
        </row>
      </sheetData>
      <sheetData sheetId="2">
        <row r="11">
          <cell r="G11">
            <v>15</v>
          </cell>
        </row>
        <row r="12">
          <cell r="G12">
            <v>7</v>
          </cell>
        </row>
        <row r="13">
          <cell r="G13">
            <v>36</v>
          </cell>
        </row>
        <row r="14">
          <cell r="G14">
            <v>20</v>
          </cell>
        </row>
        <row r="15">
          <cell r="G15">
            <v>10</v>
          </cell>
        </row>
        <row r="16">
          <cell r="G16">
            <v>28</v>
          </cell>
        </row>
        <row r="17">
          <cell r="G17">
            <v>8</v>
          </cell>
        </row>
        <row r="18">
          <cell r="G18">
            <v>20</v>
          </cell>
        </row>
        <row r="19">
          <cell r="G19">
            <v>22</v>
          </cell>
        </row>
        <row r="20">
          <cell r="G20">
            <v>17</v>
          </cell>
        </row>
      </sheetData>
      <sheetData sheetId="3">
        <row r="8">
          <cell r="G8">
            <v>13</v>
          </cell>
        </row>
        <row r="9">
          <cell r="G9">
            <v>24</v>
          </cell>
        </row>
        <row r="10">
          <cell r="G10">
            <v>10</v>
          </cell>
        </row>
        <row r="11">
          <cell r="G11">
            <v>30</v>
          </cell>
        </row>
        <row r="12">
          <cell r="G12">
            <v>40</v>
          </cell>
        </row>
        <row r="13">
          <cell r="G13">
            <v>25</v>
          </cell>
        </row>
        <row r="14">
          <cell r="G14">
            <v>20</v>
          </cell>
        </row>
        <row r="15">
          <cell r="G15">
            <v>15</v>
          </cell>
        </row>
        <row r="16">
          <cell r="G16">
            <v>10</v>
          </cell>
        </row>
        <row r="17">
          <cell r="G17">
            <v>20</v>
          </cell>
        </row>
        <row r="18">
          <cell r="G18">
            <v>20</v>
          </cell>
        </row>
        <row r="19">
          <cell r="G19">
            <v>15</v>
          </cell>
        </row>
        <row r="20">
          <cell r="G20">
            <v>45</v>
          </cell>
        </row>
      </sheetData>
      <sheetData sheetId="4">
        <row r="8">
          <cell r="G8">
            <v>10</v>
          </cell>
        </row>
      </sheetData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NXT HH năm 2011"/>
      <sheetName val="Tổng hợp chênh lệch"/>
      <sheetName val="So sánh SL LPG xuất bán và NXT "/>
      <sheetName val="Provision"/>
      <sheetName val="Tháng 1"/>
      <sheetName val="Test tỷ lệ hao hụt"/>
      <sheetName val="Tickmarks"/>
    </sheetNames>
    <sheetDataSet>
      <sheetData sheetId="0">
        <row r="11">
          <cell r="T11">
            <v>17728823234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ua vu thang 0709"/>
      <sheetName val="Luong thang 0709"/>
    </sheetNames>
    <sheetDataSet>
      <sheetData sheetId="0" refreshError="1"/>
      <sheetData sheetId="1" refreshError="1">
        <row r="2">
          <cell r="AO2" t="str">
            <v>BẢNG LƯƠNG CỦA CB.CNV</v>
          </cell>
        </row>
        <row r="8">
          <cell r="AB8" t="str">
            <v>PC trách nhiệm và chức vụ</v>
          </cell>
          <cell r="AL8" t="str">
            <v>Truy lĩnh
Phụ cấp</v>
          </cell>
          <cell r="AS8" t="str">
            <v>BHTN (1%)</v>
          </cell>
          <cell r="AT8" t="str">
            <v>Giảm trừ gia cảnh NPT</v>
          </cell>
          <cell r="AZ8" t="str">
            <v>Trả Vay tài chính</v>
          </cell>
        </row>
        <row r="9">
          <cell r="AB9">
            <v>611591</v>
          </cell>
          <cell r="AL9">
            <v>0</v>
          </cell>
          <cell r="AS9">
            <v>61555</v>
          </cell>
          <cell r="AT9">
            <v>3200000</v>
          </cell>
          <cell r="AZ9">
            <v>14818000</v>
          </cell>
        </row>
        <row r="10">
          <cell r="AB10">
            <v>339773</v>
          </cell>
          <cell r="AS10">
            <v>26520</v>
          </cell>
          <cell r="AT10">
            <v>1600000</v>
          </cell>
          <cell r="AZ10">
            <v>14818000</v>
          </cell>
        </row>
        <row r="11">
          <cell r="AB11">
            <v>271818</v>
          </cell>
          <cell r="AS11">
            <v>35035</v>
          </cell>
          <cell r="AT11">
            <v>1600000</v>
          </cell>
        </row>
        <row r="12">
          <cell r="AB12">
            <v>277955</v>
          </cell>
          <cell r="AL12">
            <v>0</v>
          </cell>
          <cell r="AS12">
            <v>43615</v>
          </cell>
          <cell r="AT12">
            <v>3200000</v>
          </cell>
          <cell r="AZ12">
            <v>8270000</v>
          </cell>
        </row>
        <row r="13">
          <cell r="AB13">
            <v>0</v>
          </cell>
          <cell r="AS13">
            <v>15210</v>
          </cell>
          <cell r="AT13">
            <v>0</v>
          </cell>
          <cell r="AZ13">
            <v>1843000</v>
          </cell>
        </row>
        <row r="14">
          <cell r="AB14">
            <v>0</v>
          </cell>
          <cell r="AS14">
            <v>11700</v>
          </cell>
          <cell r="AT14">
            <v>0</v>
          </cell>
          <cell r="AZ14">
            <v>3044000</v>
          </cell>
        </row>
        <row r="15">
          <cell r="AB15">
            <v>277955</v>
          </cell>
          <cell r="AS15">
            <v>16705</v>
          </cell>
          <cell r="AT15">
            <v>3200000</v>
          </cell>
          <cell r="AZ15">
            <v>3383000</v>
          </cell>
        </row>
        <row r="16">
          <cell r="AB16">
            <v>313636</v>
          </cell>
          <cell r="AL16">
            <v>0</v>
          </cell>
          <cell r="AS16">
            <v>49075</v>
          </cell>
          <cell r="AZ16">
            <v>9580000</v>
          </cell>
        </row>
        <row r="17">
          <cell r="AB17">
            <v>135909</v>
          </cell>
          <cell r="AS17">
            <v>17225</v>
          </cell>
          <cell r="AT17">
            <v>4800000</v>
          </cell>
          <cell r="AZ17">
            <v>6660000</v>
          </cell>
        </row>
        <row r="18">
          <cell r="AB18">
            <v>0</v>
          </cell>
          <cell r="AS18">
            <v>15210</v>
          </cell>
          <cell r="AT18">
            <v>0</v>
          </cell>
        </row>
        <row r="19">
          <cell r="AB19">
            <v>177727</v>
          </cell>
          <cell r="AS19">
            <v>16640</v>
          </cell>
          <cell r="AT19">
            <v>3200000</v>
          </cell>
          <cell r="AZ19">
            <v>2920000</v>
          </cell>
        </row>
        <row r="20">
          <cell r="AB20">
            <v>1593638</v>
          </cell>
          <cell r="AL20">
            <v>0</v>
          </cell>
          <cell r="AS20">
            <v>245375</v>
          </cell>
          <cell r="AT20">
            <v>35200000</v>
          </cell>
          <cell r="AZ20">
            <v>7372000</v>
          </cell>
        </row>
        <row r="21">
          <cell r="AB21">
            <v>203864</v>
          </cell>
          <cell r="AS21">
            <v>15210</v>
          </cell>
          <cell r="AT21">
            <v>0</v>
          </cell>
          <cell r="AZ21">
            <v>1986000</v>
          </cell>
        </row>
        <row r="22">
          <cell r="AB22">
            <v>0</v>
          </cell>
          <cell r="AS22">
            <v>17875</v>
          </cell>
          <cell r="AT22">
            <v>0</v>
          </cell>
        </row>
        <row r="23">
          <cell r="AB23">
            <v>210000</v>
          </cell>
          <cell r="AS23">
            <v>14170</v>
          </cell>
          <cell r="AT23">
            <v>1600000</v>
          </cell>
          <cell r="AZ23">
            <v>1698000</v>
          </cell>
        </row>
        <row r="24">
          <cell r="AB24">
            <v>0</v>
          </cell>
          <cell r="AS24">
            <v>12935</v>
          </cell>
          <cell r="AT24">
            <v>0</v>
          </cell>
        </row>
        <row r="25">
          <cell r="AB25">
            <v>0</v>
          </cell>
          <cell r="AS25">
            <v>12025</v>
          </cell>
          <cell r="AT25">
            <v>1600000</v>
          </cell>
        </row>
        <row r="26">
          <cell r="AB26">
            <v>315000</v>
          </cell>
          <cell r="AS26">
            <v>16315</v>
          </cell>
          <cell r="AT26">
            <v>3200000</v>
          </cell>
        </row>
        <row r="27">
          <cell r="AB27">
            <v>315000</v>
          </cell>
          <cell r="AS27">
            <v>16315</v>
          </cell>
          <cell r="AT27">
            <v>1600000</v>
          </cell>
        </row>
        <row r="28">
          <cell r="AB28">
            <v>210000</v>
          </cell>
          <cell r="AS28">
            <v>15275</v>
          </cell>
          <cell r="AT28">
            <v>3200000</v>
          </cell>
        </row>
        <row r="29">
          <cell r="AB29">
            <v>0</v>
          </cell>
          <cell r="AS29">
            <v>0</v>
          </cell>
          <cell r="AT29">
            <v>1600000</v>
          </cell>
        </row>
        <row r="30">
          <cell r="AB30">
            <v>135909</v>
          </cell>
          <cell r="AS30">
            <v>15210</v>
          </cell>
          <cell r="AT30">
            <v>1600000</v>
          </cell>
        </row>
        <row r="31">
          <cell r="AB31">
            <v>0</v>
          </cell>
          <cell r="AS31">
            <v>11700</v>
          </cell>
          <cell r="AT31">
            <v>0</v>
          </cell>
        </row>
        <row r="32">
          <cell r="AB32">
            <v>67955</v>
          </cell>
          <cell r="AS32">
            <v>11700</v>
          </cell>
          <cell r="AT32">
            <v>1600000</v>
          </cell>
        </row>
        <row r="33">
          <cell r="AB33">
            <v>0</v>
          </cell>
          <cell r="AS33">
            <v>17680</v>
          </cell>
          <cell r="AT33">
            <v>4800000</v>
          </cell>
          <cell r="AZ33">
            <v>2612000</v>
          </cell>
        </row>
        <row r="34">
          <cell r="AB34">
            <v>67955</v>
          </cell>
          <cell r="AS34">
            <v>17225</v>
          </cell>
          <cell r="AT34">
            <v>4800000</v>
          </cell>
          <cell r="AZ34">
            <v>1076000</v>
          </cell>
        </row>
        <row r="35">
          <cell r="AB35">
            <v>67955</v>
          </cell>
          <cell r="AS35">
            <v>12935</v>
          </cell>
          <cell r="AT35">
            <v>0</v>
          </cell>
        </row>
        <row r="36">
          <cell r="AB36">
            <v>0</v>
          </cell>
          <cell r="AS36">
            <v>12935</v>
          </cell>
          <cell r="AT36">
            <v>3200000</v>
          </cell>
        </row>
        <row r="37">
          <cell r="AB37">
            <v>0</v>
          </cell>
          <cell r="AS37">
            <v>12935</v>
          </cell>
          <cell r="AT37">
            <v>3200000</v>
          </cell>
        </row>
        <row r="38">
          <cell r="AB38">
            <v>0</v>
          </cell>
          <cell r="AS38">
            <v>12935</v>
          </cell>
          <cell r="AT38">
            <v>3200000</v>
          </cell>
        </row>
        <row r="39">
          <cell r="AB39">
            <v>177727</v>
          </cell>
          <cell r="AL39">
            <v>0</v>
          </cell>
          <cell r="AS39">
            <v>84045</v>
          </cell>
          <cell r="AT39">
            <v>3200000</v>
          </cell>
          <cell r="AZ39">
            <v>2354000</v>
          </cell>
        </row>
        <row r="40">
          <cell r="AB40">
            <v>177727</v>
          </cell>
          <cell r="AS40">
            <v>12025</v>
          </cell>
          <cell r="AT40">
            <v>0</v>
          </cell>
        </row>
        <row r="41">
          <cell r="AB41">
            <v>0</v>
          </cell>
          <cell r="AS41">
            <v>14300</v>
          </cell>
          <cell r="AT41">
            <v>3200000</v>
          </cell>
        </row>
        <row r="42">
          <cell r="AB42">
            <v>0</v>
          </cell>
          <cell r="AS42">
            <v>14820</v>
          </cell>
          <cell r="AT42">
            <v>0</v>
          </cell>
          <cell r="AZ42">
            <v>2354000</v>
          </cell>
        </row>
        <row r="43">
          <cell r="AB43">
            <v>0</v>
          </cell>
          <cell r="AS43">
            <v>14300</v>
          </cell>
          <cell r="AT43">
            <v>0</v>
          </cell>
        </row>
        <row r="44">
          <cell r="AB44">
            <v>0</v>
          </cell>
          <cell r="AS44">
            <v>14300</v>
          </cell>
          <cell r="AT44">
            <v>0</v>
          </cell>
        </row>
        <row r="45">
          <cell r="AB45">
            <v>0</v>
          </cell>
          <cell r="AS45">
            <v>14300</v>
          </cell>
          <cell r="AT45">
            <v>0</v>
          </cell>
        </row>
        <row r="46">
          <cell r="AB46">
            <v>656260</v>
          </cell>
          <cell r="AL46">
            <v>470909</v>
          </cell>
          <cell r="AS46">
            <v>230230</v>
          </cell>
          <cell r="AT46">
            <v>19200000</v>
          </cell>
          <cell r="AZ46">
            <v>9320000</v>
          </cell>
        </row>
        <row r="47">
          <cell r="AB47">
            <v>135909</v>
          </cell>
          <cell r="AS47">
            <v>15210</v>
          </cell>
          <cell r="AT47">
            <v>1600000</v>
          </cell>
          <cell r="AZ47">
            <v>2742000</v>
          </cell>
        </row>
        <row r="48">
          <cell r="AB48">
            <v>67955</v>
          </cell>
          <cell r="AS48">
            <v>17225</v>
          </cell>
          <cell r="AT48">
            <v>4800000</v>
          </cell>
        </row>
        <row r="49">
          <cell r="AB49">
            <v>0</v>
          </cell>
          <cell r="AS49">
            <v>17615</v>
          </cell>
          <cell r="AT49">
            <v>0</v>
          </cell>
        </row>
        <row r="50">
          <cell r="AB50">
            <v>0</v>
          </cell>
          <cell r="AS50">
            <v>17615</v>
          </cell>
          <cell r="AT50">
            <v>1600000</v>
          </cell>
        </row>
        <row r="51">
          <cell r="AB51">
            <v>0</v>
          </cell>
          <cell r="AS51">
            <v>17615</v>
          </cell>
          <cell r="AT51">
            <v>0</v>
          </cell>
          <cell r="AZ51">
            <v>1435000</v>
          </cell>
        </row>
        <row r="52">
          <cell r="AB52">
            <v>0</v>
          </cell>
          <cell r="AS52">
            <v>14560</v>
          </cell>
          <cell r="AT52">
            <v>1600000</v>
          </cell>
        </row>
        <row r="53">
          <cell r="AB53">
            <v>177727</v>
          </cell>
          <cell r="AL53">
            <v>470909</v>
          </cell>
          <cell r="AS53">
            <v>15210</v>
          </cell>
          <cell r="AT53">
            <v>3200000</v>
          </cell>
        </row>
        <row r="54">
          <cell r="AB54">
            <v>0</v>
          </cell>
          <cell r="AS54">
            <v>12025</v>
          </cell>
          <cell r="AT54">
            <v>1600000</v>
          </cell>
        </row>
        <row r="55">
          <cell r="AB55">
            <v>96942</v>
          </cell>
          <cell r="AS55">
            <v>17615</v>
          </cell>
          <cell r="AT55">
            <v>1600000</v>
          </cell>
          <cell r="AZ55">
            <v>1410000</v>
          </cell>
        </row>
        <row r="56">
          <cell r="AB56">
            <v>0</v>
          </cell>
          <cell r="AS56">
            <v>17615</v>
          </cell>
          <cell r="AT56">
            <v>1600000</v>
          </cell>
          <cell r="AZ56">
            <v>1816000</v>
          </cell>
        </row>
        <row r="57">
          <cell r="AB57">
            <v>0</v>
          </cell>
          <cell r="AS57">
            <v>14560</v>
          </cell>
          <cell r="AT57">
            <v>0</v>
          </cell>
          <cell r="AZ57">
            <v>1917000</v>
          </cell>
        </row>
        <row r="58">
          <cell r="AB58">
            <v>0</v>
          </cell>
          <cell r="AS58">
            <v>17615</v>
          </cell>
          <cell r="AT58">
            <v>1600000</v>
          </cell>
        </row>
        <row r="59">
          <cell r="AB59">
            <v>177727</v>
          </cell>
          <cell r="AS59">
            <v>12025</v>
          </cell>
          <cell r="AT59">
            <v>0</v>
          </cell>
        </row>
        <row r="60">
          <cell r="AB60">
            <v>0</v>
          </cell>
          <cell r="AS60">
            <v>12025</v>
          </cell>
          <cell r="AT60">
            <v>0</v>
          </cell>
        </row>
        <row r="61">
          <cell r="AB61">
            <v>0</v>
          </cell>
          <cell r="AS61">
            <v>11700</v>
          </cell>
          <cell r="AT61">
            <v>0</v>
          </cell>
        </row>
        <row r="62">
          <cell r="AB62">
            <v>0</v>
          </cell>
          <cell r="AS62">
            <v>14300</v>
          </cell>
          <cell r="AT62">
            <v>0</v>
          </cell>
        </row>
        <row r="65">
          <cell r="AB65">
            <v>3630807</v>
          </cell>
          <cell r="AL65">
            <v>470909</v>
          </cell>
          <cell r="AS65">
            <v>728195</v>
          </cell>
          <cell r="AT65">
            <v>72000000</v>
          </cell>
          <cell r="AZ65">
            <v>51714000</v>
          </cell>
        </row>
        <row r="68">
          <cell r="AS68" t="str">
            <v>KẾ TOÁN TRƯỞNG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 GNNS"/>
      <sheetName val="HD.Q"/>
      <sheetName val="R12"/>
      <sheetName val="V12"/>
      <sheetName val="TK12"/>
      <sheetName val="HD12"/>
      <sheetName val="NXT12"/>
      <sheetName val="HDKT12"/>
      <sheetName val="R11"/>
      <sheetName val="V11"/>
      <sheetName val="TK11"/>
      <sheetName val="HD11"/>
      <sheetName val="NXT11"/>
      <sheetName val="HDKT11"/>
      <sheetName val="R6"/>
      <sheetName val="V6"/>
      <sheetName val="TK6"/>
      <sheetName val="BL6"/>
      <sheetName val="HD6"/>
      <sheetName val="QII"/>
      <sheetName val="R7"/>
      <sheetName val="V7"/>
      <sheetName val="TK7"/>
      <sheetName val="BL7"/>
      <sheetName val="HD7"/>
      <sheetName val="R8"/>
      <sheetName val="V8"/>
      <sheetName val="TK8"/>
      <sheetName val="BL8"/>
      <sheetName val="HD8"/>
      <sheetName val="R9"/>
      <sheetName val="V9"/>
      <sheetName val="TK9"/>
      <sheetName val="HD9"/>
      <sheetName val="NXT9"/>
      <sheetName val="HDQ3"/>
      <sheetName val="HDKT"/>
      <sheetName val="R10"/>
      <sheetName val="V10"/>
      <sheetName val="TK10"/>
      <sheetName val="HD10"/>
      <sheetName val="NXT10"/>
      <sheetName val="HDKT10"/>
      <sheetName val="XL4Popp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O CAO ĐBLĐ"/>
      <sheetName val="Sheet3"/>
      <sheetName val="00000000"/>
      <sheetName val="XL4Poppy"/>
    </sheetNames>
    <sheetDataSet>
      <sheetData sheetId="0" refreshError="1"/>
      <sheetData sheetId="1" refreshError="1"/>
      <sheetData sheetId="2" refreshError="1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MUC"/>
      <sheetName val="tuan1+2"/>
      <sheetName val="tuan3+4"/>
      <sheetName val="th0203"/>
      <sheetName val="INBC-THANG"/>
      <sheetName val="INBC-TUAN"/>
      <sheetName val="TTOAN"/>
      <sheetName val="THONGSO"/>
      <sheetName val="IN-TP"/>
      <sheetName val="IN-MP"/>
      <sheetName val="PNK"/>
      <sheetName val="XL4Poppy"/>
    </sheetNames>
    <sheetDataSet>
      <sheetData sheetId="0">
        <row r="1">
          <cell r="N1" t="str">
            <v>DANH BAÏ VAÄT TÖ</v>
          </cell>
        </row>
        <row r="2">
          <cell r="N2" t="str">
            <v>Maõ</v>
          </cell>
          <cell r="O2" t="str">
            <v>Barcode</v>
          </cell>
          <cell r="P2" t="str">
            <v>Teân haøng</v>
          </cell>
          <cell r="Q2" t="str">
            <v>Q.caùch</v>
          </cell>
          <cell r="R2" t="str">
            <v>Ñôn giaù</v>
          </cell>
          <cell r="S2" t="str">
            <v>Giaù voán</v>
          </cell>
          <cell r="T2" t="str">
            <v>ÑVT</v>
          </cell>
        </row>
        <row r="3">
          <cell r="N3" t="str">
            <v>032</v>
          </cell>
          <cell r="O3" t="str">
            <v>4075700047323</v>
          </cell>
          <cell r="P3" t="str">
            <v>El-Lecithin</v>
          </cell>
          <cell r="Q3" t="str">
            <v>250ml/12</v>
          </cell>
          <cell r="R3">
            <v>16000</v>
          </cell>
          <cell r="S3">
            <v>14545</v>
          </cell>
          <cell r="T3" t="str">
            <v>chai</v>
          </cell>
        </row>
        <row r="4">
          <cell r="N4" t="str">
            <v>033</v>
          </cell>
          <cell r="O4" t="str">
            <v>4075700047330</v>
          </cell>
          <cell r="P4" t="str">
            <v>Iris 7-Krauter</v>
          </cell>
          <cell r="Q4" t="str">
            <v>250ml/12</v>
          </cell>
          <cell r="R4">
            <v>16000</v>
          </cell>
          <cell r="S4">
            <v>14545</v>
          </cell>
          <cell r="T4" t="str">
            <v>chai</v>
          </cell>
        </row>
        <row r="5">
          <cell r="N5" t="str">
            <v>034</v>
          </cell>
          <cell r="O5" t="str">
            <v>4075700047347</v>
          </cell>
          <cell r="P5" t="str">
            <v>Iris Jojoba</v>
          </cell>
          <cell r="Q5" t="str">
            <v>250ml/12</v>
          </cell>
          <cell r="R5">
            <v>16000</v>
          </cell>
          <cell r="S5">
            <v>14545</v>
          </cell>
          <cell r="T5" t="str">
            <v>chai</v>
          </cell>
        </row>
        <row r="6">
          <cell r="N6" t="str">
            <v>035</v>
          </cell>
          <cell r="O6" t="str">
            <v>4075700047354</v>
          </cell>
          <cell r="P6" t="str">
            <v>Iris Aloe Vera</v>
          </cell>
          <cell r="Q6" t="str">
            <v>250ml/12</v>
          </cell>
          <cell r="R6">
            <v>16000</v>
          </cell>
          <cell r="S6">
            <v>14545</v>
          </cell>
          <cell r="T6" t="str">
            <v>chai</v>
          </cell>
        </row>
        <row r="7">
          <cell r="N7" t="str">
            <v>036</v>
          </cell>
          <cell r="O7" t="str">
            <v>4075700047361</v>
          </cell>
          <cell r="P7" t="str">
            <v>Iris Protein</v>
          </cell>
          <cell r="Q7" t="str">
            <v>250ml/12</v>
          </cell>
          <cell r="R7">
            <v>16000</v>
          </cell>
          <cell r="S7">
            <v>14545</v>
          </cell>
          <cell r="T7" t="str">
            <v>chai</v>
          </cell>
        </row>
        <row r="8">
          <cell r="N8" t="str">
            <v>037</v>
          </cell>
          <cell r="O8" t="str">
            <v>4075700047378</v>
          </cell>
          <cell r="P8" t="str">
            <v>Iris Tag fur Tag</v>
          </cell>
          <cell r="Q8" t="str">
            <v>250ml/12</v>
          </cell>
          <cell r="R8">
            <v>16000</v>
          </cell>
          <cell r="S8">
            <v>14545</v>
          </cell>
          <cell r="T8" t="str">
            <v>chai</v>
          </cell>
        </row>
        <row r="9">
          <cell r="N9" t="str">
            <v>667</v>
          </cell>
          <cell r="O9" t="str">
            <v>4075700046678</v>
          </cell>
          <cell r="P9" t="str">
            <v>Iris Cream Spulung</v>
          </cell>
          <cell r="Q9" t="str">
            <v>250ml/12</v>
          </cell>
          <cell r="R9">
            <v>20000</v>
          </cell>
          <cell r="S9">
            <v>18182</v>
          </cell>
          <cell r="T9" t="str">
            <v>chai</v>
          </cell>
        </row>
        <row r="10">
          <cell r="N10" t="str">
            <v>541</v>
          </cell>
          <cell r="O10" t="str">
            <v>4075700055410</v>
          </cell>
          <cell r="P10" t="str">
            <v>Unicef Super Duschgel</v>
          </cell>
          <cell r="Q10" t="str">
            <v>300ml/12</v>
          </cell>
          <cell r="R10">
            <v>26900</v>
          </cell>
          <cell r="S10">
            <v>24455</v>
          </cell>
          <cell r="T10" t="str">
            <v>chai</v>
          </cell>
        </row>
        <row r="11">
          <cell r="N11" t="str">
            <v>542</v>
          </cell>
          <cell r="O11" t="str">
            <v>4075700055427</v>
          </cell>
          <cell r="P11" t="str">
            <v>Unicef Super Erdbeer</v>
          </cell>
          <cell r="Q11" t="str">
            <v>300ml/12</v>
          </cell>
          <cell r="R11">
            <v>26900</v>
          </cell>
          <cell r="S11">
            <v>24455</v>
          </cell>
          <cell r="T11" t="str">
            <v>chai</v>
          </cell>
        </row>
        <row r="12">
          <cell r="N12" t="str">
            <v>543</v>
          </cell>
          <cell r="O12" t="str">
            <v>4075700055434</v>
          </cell>
          <cell r="P12" t="str">
            <v xml:space="preserve">Unicef Super Fruch </v>
          </cell>
          <cell r="Q12" t="str">
            <v>300ml/12</v>
          </cell>
          <cell r="R12">
            <v>26900</v>
          </cell>
          <cell r="S12">
            <v>24455</v>
          </cell>
          <cell r="T12" t="str">
            <v>chai</v>
          </cell>
        </row>
        <row r="13">
          <cell r="N13" t="str">
            <v>544</v>
          </cell>
          <cell r="O13" t="str">
            <v>4075700055441</v>
          </cell>
          <cell r="P13" t="str">
            <v>Unicef Super Schaubad</v>
          </cell>
          <cell r="Q13" t="str">
            <v>300ml/12</v>
          </cell>
          <cell r="R13">
            <v>26900</v>
          </cell>
          <cell r="S13">
            <v>24455</v>
          </cell>
          <cell r="T13" t="str">
            <v>chai</v>
          </cell>
        </row>
        <row r="14">
          <cell r="N14" t="str">
            <v>545</v>
          </cell>
          <cell r="O14" t="str">
            <v>4075700055458</v>
          </cell>
          <cell r="P14" t="str">
            <v>Unicef Familien Duschgel</v>
          </cell>
          <cell r="Q14" t="str">
            <v>500ml/12</v>
          </cell>
          <cell r="R14">
            <v>38700</v>
          </cell>
          <cell r="S14">
            <v>35182</v>
          </cell>
          <cell r="T14" t="str">
            <v>chai</v>
          </cell>
        </row>
        <row r="15">
          <cell r="N15" t="str">
            <v>546</v>
          </cell>
          <cell r="O15" t="str">
            <v>4075700055465</v>
          </cell>
          <cell r="P15" t="str">
            <v xml:space="preserve">Unicef Familien </v>
          </cell>
          <cell r="Q15" t="str">
            <v>500ml/12</v>
          </cell>
          <cell r="R15">
            <v>38700</v>
          </cell>
          <cell r="S15">
            <v>35182</v>
          </cell>
          <cell r="T15" t="str">
            <v>chai</v>
          </cell>
        </row>
        <row r="16">
          <cell r="N16" t="str">
            <v>547</v>
          </cell>
          <cell r="O16" t="str">
            <v>4075700055472</v>
          </cell>
          <cell r="P16" t="str">
            <v>Unicef  Familien Schaumbad</v>
          </cell>
          <cell r="Q16" t="str">
            <v>500ml/12</v>
          </cell>
          <cell r="R16">
            <v>38700</v>
          </cell>
          <cell r="S16">
            <v>35182</v>
          </cell>
          <cell r="T16" t="str">
            <v>chai</v>
          </cell>
        </row>
        <row r="17">
          <cell r="N17" t="str">
            <v>562</v>
          </cell>
          <cell r="O17" t="str">
            <v>4075700055625</v>
          </cell>
          <cell r="P17" t="str">
            <v xml:space="preserve">Almisan Super Erdbeer </v>
          </cell>
          <cell r="Q17" t="str">
            <v>300ml/12</v>
          </cell>
          <cell r="R17">
            <v>25600</v>
          </cell>
          <cell r="S17">
            <v>23273</v>
          </cell>
          <cell r="T17" t="str">
            <v>chai</v>
          </cell>
        </row>
        <row r="18">
          <cell r="N18" t="str">
            <v>563</v>
          </cell>
          <cell r="O18" t="str">
            <v>4075700055632</v>
          </cell>
          <cell r="P18" t="str">
            <v>Almisan Super Fruch</v>
          </cell>
          <cell r="Q18" t="str">
            <v>300ml/12</v>
          </cell>
          <cell r="R18">
            <v>25600</v>
          </cell>
          <cell r="S18">
            <v>23273</v>
          </cell>
          <cell r="T18" t="str">
            <v>chai</v>
          </cell>
        </row>
        <row r="19">
          <cell r="N19" t="str">
            <v>564</v>
          </cell>
          <cell r="O19" t="str">
            <v>4075700055649</v>
          </cell>
          <cell r="P19" t="str">
            <v>Almisan Super Fruch</v>
          </cell>
          <cell r="Q19" t="str">
            <v>300ml/12</v>
          </cell>
          <cell r="R19">
            <v>25600</v>
          </cell>
          <cell r="S19">
            <v>23273</v>
          </cell>
          <cell r="T19" t="str">
            <v>chai</v>
          </cell>
        </row>
        <row r="20">
          <cell r="N20" t="str">
            <v>595</v>
          </cell>
          <cell r="O20" t="str">
            <v>4075700055953</v>
          </cell>
          <cell r="P20" t="str">
            <v>KIDS thieân nga</v>
          </cell>
          <cell r="Q20" t="str">
            <v>500ml/12</v>
          </cell>
          <cell r="R20">
            <v>33880</v>
          </cell>
          <cell r="S20">
            <v>30800</v>
          </cell>
          <cell r="T20" t="str">
            <v>chai</v>
          </cell>
        </row>
        <row r="21">
          <cell r="N21" t="str">
            <v>596</v>
          </cell>
          <cell r="O21" t="str">
            <v>4075700055960</v>
          </cell>
          <cell r="P21" t="str">
            <v>KIDS chim caùnh cuït</v>
          </cell>
          <cell r="Q21" t="str">
            <v>500ml/12</v>
          </cell>
          <cell r="R21">
            <v>33880</v>
          </cell>
          <cell r="S21">
            <v>30800</v>
          </cell>
          <cell r="T21" t="str">
            <v>chai</v>
          </cell>
        </row>
        <row r="22">
          <cell r="N22" t="str">
            <v>597</v>
          </cell>
          <cell r="O22" t="str">
            <v>4075700055977</v>
          </cell>
          <cell r="P22" t="str">
            <v>KIDS con vòt</v>
          </cell>
          <cell r="Q22" t="str">
            <v>500ml/12</v>
          </cell>
          <cell r="R22">
            <v>33880</v>
          </cell>
          <cell r="S22">
            <v>30800</v>
          </cell>
          <cell r="T22" t="str">
            <v>chai</v>
          </cell>
        </row>
        <row r="23">
          <cell r="N23" t="str">
            <v>598</v>
          </cell>
          <cell r="O23" t="str">
            <v>4075700055984</v>
          </cell>
          <cell r="P23" t="str">
            <v>KIDS con caù</v>
          </cell>
          <cell r="Q23" t="str">
            <v>500ml/12</v>
          </cell>
          <cell r="R23">
            <v>33880</v>
          </cell>
          <cell r="S23">
            <v>30800</v>
          </cell>
          <cell r="T23" t="str">
            <v>chai</v>
          </cell>
        </row>
        <row r="24">
          <cell r="N24" t="str">
            <v>704</v>
          </cell>
          <cell r="O24" t="str">
            <v>4075700047040</v>
          </cell>
          <cell r="P24" t="str">
            <v xml:space="preserve">Elegance Lady </v>
          </cell>
          <cell r="Q24" t="str">
            <v>250ml/12</v>
          </cell>
          <cell r="R24">
            <v>26500</v>
          </cell>
          <cell r="S24">
            <v>24091</v>
          </cell>
          <cell r="T24" t="str">
            <v>chai</v>
          </cell>
        </row>
        <row r="25">
          <cell r="N25" t="str">
            <v>705</v>
          </cell>
          <cell r="O25" t="str">
            <v>4075700047057</v>
          </cell>
          <cell r="P25" t="str">
            <v xml:space="preserve">Elegance Fresh </v>
          </cell>
          <cell r="Q25" t="str">
            <v>250ml/12</v>
          </cell>
          <cell r="R25">
            <v>26500</v>
          </cell>
          <cell r="S25">
            <v>24091</v>
          </cell>
          <cell r="T25" t="str">
            <v>chai</v>
          </cell>
        </row>
        <row r="26">
          <cell r="N26" t="str">
            <v>706</v>
          </cell>
          <cell r="O26" t="str">
            <v>4075700047064</v>
          </cell>
          <cell r="P26" t="str">
            <v xml:space="preserve">Elegance Men </v>
          </cell>
          <cell r="Q26" t="str">
            <v>250ml/12</v>
          </cell>
          <cell r="R26">
            <v>26500</v>
          </cell>
          <cell r="S26">
            <v>24091</v>
          </cell>
          <cell r="T26" t="str">
            <v>chai</v>
          </cell>
        </row>
        <row r="27">
          <cell r="N27" t="str">
            <v>361</v>
          </cell>
          <cell r="O27" t="str">
            <v>4075700053614</v>
          </cell>
          <cell r="P27" t="str">
            <v xml:space="preserve">Almisan Kiwi </v>
          </cell>
          <cell r="Q27" t="str">
            <v>300ml/12</v>
          </cell>
          <cell r="R27">
            <v>27000</v>
          </cell>
          <cell r="S27">
            <v>24545</v>
          </cell>
          <cell r="T27" t="str">
            <v>chai</v>
          </cell>
        </row>
        <row r="28">
          <cell r="N28" t="str">
            <v>363</v>
          </cell>
          <cell r="O28" t="str">
            <v>4075700053638</v>
          </cell>
          <cell r="P28" t="str">
            <v xml:space="preserve">Almisan Grapefruit </v>
          </cell>
          <cell r="Q28" t="str">
            <v>300ml/12</v>
          </cell>
          <cell r="R28">
            <v>27000</v>
          </cell>
          <cell r="S28">
            <v>24545</v>
          </cell>
          <cell r="T28" t="str">
            <v>chai</v>
          </cell>
        </row>
        <row r="29">
          <cell r="N29" t="str">
            <v>364</v>
          </cell>
          <cell r="O29" t="str">
            <v>4075700053645</v>
          </cell>
          <cell r="P29" t="str">
            <v xml:space="preserve">Almisan Pfirsich </v>
          </cell>
          <cell r="Q29" t="str">
            <v>300ml/12</v>
          </cell>
          <cell r="R29">
            <v>27000</v>
          </cell>
          <cell r="S29">
            <v>24545</v>
          </cell>
          <cell r="T29" t="str">
            <v>chai</v>
          </cell>
        </row>
        <row r="30">
          <cell r="N30" t="str">
            <v>366</v>
          </cell>
          <cell r="O30" t="str">
            <v>4075700053669</v>
          </cell>
          <cell r="P30" t="str">
            <v>Almisan Algen</v>
          </cell>
          <cell r="Q30" t="str">
            <v>300ml/12</v>
          </cell>
          <cell r="R30">
            <v>27000</v>
          </cell>
          <cell r="S30">
            <v>24545</v>
          </cell>
          <cell r="T30" t="str">
            <v>chai</v>
          </cell>
        </row>
        <row r="31">
          <cell r="N31" t="str">
            <v>807</v>
          </cell>
          <cell r="O31" t="str">
            <v>4075700048078</v>
          </cell>
          <cell r="P31" t="str">
            <v>Trefleur Wellness</v>
          </cell>
          <cell r="Q31" t="str">
            <v>300ml/12</v>
          </cell>
          <cell r="R31">
            <v>26000</v>
          </cell>
          <cell r="S31">
            <v>23636</v>
          </cell>
          <cell r="T31" t="str">
            <v>chai</v>
          </cell>
        </row>
        <row r="32">
          <cell r="N32" t="str">
            <v>808</v>
          </cell>
          <cell r="O32" t="str">
            <v>4075700048085</v>
          </cell>
          <cell r="P32" t="str">
            <v>Trefleur Exotic</v>
          </cell>
          <cell r="Q32" t="str">
            <v>300ml/12</v>
          </cell>
          <cell r="R32">
            <v>26000</v>
          </cell>
          <cell r="S32">
            <v>23636</v>
          </cell>
          <cell r="T32" t="str">
            <v>chai</v>
          </cell>
        </row>
        <row r="33">
          <cell r="N33" t="str">
            <v>809</v>
          </cell>
          <cell r="O33" t="str">
            <v>4075700048092</v>
          </cell>
          <cell r="P33" t="str">
            <v>Trefleur Meeresfrische</v>
          </cell>
          <cell r="Q33" t="str">
            <v>300ml/12</v>
          </cell>
          <cell r="R33">
            <v>26000</v>
          </cell>
          <cell r="S33">
            <v>23636</v>
          </cell>
          <cell r="T33" t="str">
            <v>chai</v>
          </cell>
        </row>
        <row r="34">
          <cell r="N34" t="str">
            <v>615</v>
          </cell>
          <cell r="O34" t="str">
            <v>4031818100182</v>
          </cell>
          <cell r="P34" t="str">
            <v>Thukosan Rose 10018/4</v>
          </cell>
          <cell r="Q34" t="str">
            <v>500ml/12</v>
          </cell>
          <cell r="R34">
            <v>33000</v>
          </cell>
          <cell r="S34">
            <v>30000</v>
          </cell>
          <cell r="T34" t="str">
            <v>chai</v>
          </cell>
        </row>
        <row r="35">
          <cell r="N35" t="str">
            <v>617</v>
          </cell>
          <cell r="O35" t="str">
            <v>4031818100182</v>
          </cell>
          <cell r="P35" t="str">
            <v>Thukosan Apfel 10018/1</v>
          </cell>
          <cell r="Q35" t="str">
            <v>500ml/12</v>
          </cell>
          <cell r="R35">
            <v>33000</v>
          </cell>
          <cell r="S35">
            <v>30000</v>
          </cell>
          <cell r="T35" t="str">
            <v>chai</v>
          </cell>
        </row>
        <row r="36">
          <cell r="N36" t="str">
            <v>618</v>
          </cell>
          <cell r="O36" t="str">
            <v>4031818100182</v>
          </cell>
          <cell r="P36" t="str">
            <v>Thukosan Cocos 10018/2</v>
          </cell>
          <cell r="Q36" t="str">
            <v>500ml/12</v>
          </cell>
          <cell r="R36">
            <v>33000</v>
          </cell>
          <cell r="S36">
            <v>30000</v>
          </cell>
          <cell r="T36" t="str">
            <v>chai</v>
          </cell>
        </row>
        <row r="37">
          <cell r="N37" t="str">
            <v>619</v>
          </cell>
          <cell r="O37" t="str">
            <v>4031818100182</v>
          </cell>
          <cell r="P37" t="str">
            <v>Thukosan Flieder 10018/3</v>
          </cell>
          <cell r="Q37" t="str">
            <v>500ml/12</v>
          </cell>
          <cell r="R37">
            <v>33000</v>
          </cell>
          <cell r="S37">
            <v>30000</v>
          </cell>
          <cell r="T37" t="str">
            <v>chai</v>
          </cell>
        </row>
        <row r="38">
          <cell r="N38" t="str">
            <v>00041</v>
          </cell>
          <cell r="O38" t="str">
            <v>8801068360394</v>
          </cell>
          <cell r="P38" t="str">
            <v>Mì töôi HS &amp; rong bieån</v>
          </cell>
          <cell r="Q38" t="str">
            <v>660gm/10</v>
          </cell>
          <cell r="R38">
            <v>23540</v>
          </cell>
          <cell r="S38">
            <v>21400</v>
          </cell>
          <cell r="T38" t="str">
            <v>bòch</v>
          </cell>
        </row>
        <row r="39">
          <cell r="N39" t="str">
            <v>00042</v>
          </cell>
          <cell r="O39" t="str">
            <v>8801068360356</v>
          </cell>
          <cell r="P39" t="str">
            <v xml:space="preserve">Mì töôi haûi saûn </v>
          </cell>
          <cell r="Q39" t="str">
            <v>642gm/10</v>
          </cell>
          <cell r="R39">
            <v>23540</v>
          </cell>
          <cell r="S39">
            <v>21400</v>
          </cell>
          <cell r="T39" t="str">
            <v>bòch</v>
          </cell>
        </row>
        <row r="40">
          <cell r="N40" t="str">
            <v>00043</v>
          </cell>
          <cell r="O40" t="str">
            <v>8801068360387</v>
          </cell>
          <cell r="P40" t="str">
            <v>Mì töôi HS &amp; rong bieån</v>
          </cell>
          <cell r="Q40" t="str">
            <v>220gm/20</v>
          </cell>
          <cell r="R40">
            <v>9800</v>
          </cell>
          <cell r="S40">
            <v>8909</v>
          </cell>
          <cell r="T40" t="str">
            <v>goùi</v>
          </cell>
        </row>
        <row r="41">
          <cell r="N41" t="str">
            <v>00044</v>
          </cell>
          <cell r="O41" t="str">
            <v>8801068360332</v>
          </cell>
          <cell r="P41" t="str">
            <v xml:space="preserve">Mì töôi haûi saûn </v>
          </cell>
          <cell r="Q41" t="str">
            <v>214gm/20</v>
          </cell>
          <cell r="R41">
            <v>9800</v>
          </cell>
          <cell r="S41">
            <v>8909</v>
          </cell>
          <cell r="T41" t="str">
            <v>goùi</v>
          </cell>
        </row>
        <row r="42">
          <cell r="N42" t="str">
            <v>00045</v>
          </cell>
          <cell r="O42" t="str">
            <v>8801068360226</v>
          </cell>
          <cell r="P42" t="str">
            <v>Mì töôi</v>
          </cell>
          <cell r="Q42" t="str">
            <v>200gm/30</v>
          </cell>
          <cell r="R42">
            <v>6500</v>
          </cell>
          <cell r="S42">
            <v>5909</v>
          </cell>
          <cell r="T42" t="str">
            <v>goùi</v>
          </cell>
        </row>
        <row r="43">
          <cell r="N43" t="str">
            <v>00046</v>
          </cell>
          <cell r="O43" t="str">
            <v>8801068134902</v>
          </cell>
          <cell r="P43" t="str">
            <v>Boät chieân toâm</v>
          </cell>
          <cell r="Q43" t="str">
            <v>200gm/24</v>
          </cell>
          <cell r="R43">
            <v>9600</v>
          </cell>
          <cell r="S43">
            <v>8727</v>
          </cell>
          <cell r="T43" t="str">
            <v>goùi</v>
          </cell>
        </row>
        <row r="44">
          <cell r="N44" t="str">
            <v>00053</v>
          </cell>
          <cell r="O44" t="str">
            <v>8801387000032</v>
          </cell>
          <cell r="P44" t="str">
            <v>Nöôùc saâm töôi</v>
          </cell>
          <cell r="Q44" t="str">
            <v>190ml/30</v>
          </cell>
          <cell r="R44">
            <v>7300</v>
          </cell>
          <cell r="S44">
            <v>6636</v>
          </cell>
          <cell r="T44" t="str">
            <v>lon</v>
          </cell>
        </row>
        <row r="45">
          <cell r="N45" t="str">
            <v>00169</v>
          </cell>
          <cell r="O45" t="str">
            <v>8801961004067</v>
          </cell>
          <cell r="P45" t="str">
            <v xml:space="preserve">Chaùo gaø saâm aên lieàn </v>
          </cell>
          <cell r="Q45" t="str">
            <v>900gm/12</v>
          </cell>
          <cell r="R45">
            <v>74700</v>
          </cell>
          <cell r="S45">
            <v>67909</v>
          </cell>
          <cell r="T45" t="str">
            <v>bòch</v>
          </cell>
        </row>
        <row r="46">
          <cell r="N46" t="str">
            <v>00170</v>
          </cell>
          <cell r="O46" t="str">
            <v>8801961001158</v>
          </cell>
          <cell r="P46" t="str">
            <v xml:space="preserve">Chaùo gaø insam aên lieàn </v>
          </cell>
          <cell r="Q46" t="str">
            <v>280gm/30</v>
          </cell>
          <cell r="R46">
            <v>25000</v>
          </cell>
          <cell r="S46">
            <v>22727</v>
          </cell>
          <cell r="T46" t="str">
            <v>bòch</v>
          </cell>
        </row>
        <row r="47">
          <cell r="N47" t="str">
            <v>00171</v>
          </cell>
          <cell r="O47" t="str">
            <v>8801961004050</v>
          </cell>
          <cell r="P47" t="str">
            <v>Gaø quay haàm tieâu ñoû</v>
          </cell>
          <cell r="Q47" t="str">
            <v>500gm/12</v>
          </cell>
          <cell r="R47">
            <v>62000</v>
          </cell>
          <cell r="S47">
            <v>56364</v>
          </cell>
          <cell r="T47" t="str">
            <v>bòch</v>
          </cell>
        </row>
        <row r="48">
          <cell r="N48" t="str">
            <v>00167</v>
          </cell>
          <cell r="O48" t="str">
            <v>8850620888258</v>
          </cell>
          <cell r="P48" t="str">
            <v xml:space="preserve">Nöôùc maém caù côm </v>
          </cell>
          <cell r="Q48" t="str">
            <v>725ml/12</v>
          </cell>
          <cell r="R48">
            <v>18400</v>
          </cell>
          <cell r="S48">
            <v>16727</v>
          </cell>
          <cell r="T48" t="str">
            <v>chai</v>
          </cell>
        </row>
        <row r="49">
          <cell r="N49" t="str">
            <v>00165</v>
          </cell>
          <cell r="O49" t="str">
            <v>8850620888289</v>
          </cell>
          <cell r="P49" t="str">
            <v>Nöôùc maém caù möïc (nhöïa)</v>
          </cell>
          <cell r="Q49" t="str">
            <v>725ml/12</v>
          </cell>
          <cell r="R49">
            <v>18400</v>
          </cell>
          <cell r="S49">
            <v>16727</v>
          </cell>
          <cell r="T49" t="str">
            <v>chai</v>
          </cell>
        </row>
        <row r="50">
          <cell r="N50" t="str">
            <v>00168</v>
          </cell>
          <cell r="O50" t="str">
            <v>8850620888203</v>
          </cell>
          <cell r="P50" t="str">
            <v>Nöôùc maém caù möïc (t.tinh)</v>
          </cell>
          <cell r="Q50" t="str">
            <v>725ml/12</v>
          </cell>
          <cell r="R50">
            <v>18400</v>
          </cell>
          <cell r="S50">
            <v>16727</v>
          </cell>
          <cell r="T50" t="str">
            <v>chai</v>
          </cell>
        </row>
        <row r="51">
          <cell r="N51" t="str">
            <v>00166</v>
          </cell>
          <cell r="O51" t="str">
            <v>8850620888241</v>
          </cell>
          <cell r="P51" t="str">
            <v>Nöôùc maém toâm</v>
          </cell>
          <cell r="Q51" t="str">
            <v>725ml/12</v>
          </cell>
          <cell r="R51">
            <v>18400</v>
          </cell>
          <cell r="S51">
            <v>16727</v>
          </cell>
          <cell r="T51" t="str">
            <v>chai</v>
          </cell>
        </row>
        <row r="52">
          <cell r="N52" t="str">
            <v>0820</v>
          </cell>
          <cell r="O52" t="str">
            <v>8801111180030</v>
          </cell>
          <cell r="P52" t="str">
            <v>Crown Couque d'asse white</v>
          </cell>
          <cell r="Q52" t="str">
            <v>144gm/16</v>
          </cell>
          <cell r="R52">
            <v>20800</v>
          </cell>
          <cell r="S52">
            <v>18909</v>
          </cell>
          <cell r="T52" t="str">
            <v>hoäp</v>
          </cell>
        </row>
        <row r="53">
          <cell r="N53" t="str">
            <v>0821</v>
          </cell>
          <cell r="O53" t="str">
            <v>8801111180047</v>
          </cell>
          <cell r="P53" t="str">
            <v>Crown Couque d'asse coffee</v>
          </cell>
          <cell r="Q53" t="str">
            <v>144gm/16</v>
          </cell>
          <cell r="R53">
            <v>20800</v>
          </cell>
          <cell r="S53">
            <v>18909</v>
          </cell>
          <cell r="T53" t="str">
            <v>hoäp</v>
          </cell>
        </row>
        <row r="54">
          <cell r="N54" t="str">
            <v>0101</v>
          </cell>
          <cell r="O54" t="str">
            <v>8801111116145</v>
          </cell>
          <cell r="P54" t="str">
            <v>Crown cheese</v>
          </cell>
          <cell r="Q54" t="str">
            <v>184gm/12</v>
          </cell>
          <cell r="R54">
            <v>20800</v>
          </cell>
          <cell r="S54">
            <v>18909</v>
          </cell>
          <cell r="T54" t="str">
            <v>hoäp</v>
          </cell>
        </row>
        <row r="55">
          <cell r="N55" t="str">
            <v>1114</v>
          </cell>
          <cell r="O55" t="str">
            <v>8801111113953</v>
          </cell>
          <cell r="P55" t="str">
            <v>Crown Heim white</v>
          </cell>
          <cell r="Q55" t="str">
            <v>135gm/20</v>
          </cell>
          <cell r="R55">
            <v>24200</v>
          </cell>
          <cell r="S55">
            <v>22000</v>
          </cell>
          <cell r="T55" t="str">
            <v>hoäp</v>
          </cell>
        </row>
        <row r="56">
          <cell r="N56" t="str">
            <v>1113</v>
          </cell>
          <cell r="O56" t="str">
            <v>8801111113960</v>
          </cell>
          <cell r="P56" t="str">
            <v>Crown Heim choco</v>
          </cell>
          <cell r="Q56" t="str">
            <v>135gm/20</v>
          </cell>
          <cell r="R56">
            <v>24200</v>
          </cell>
          <cell r="S56">
            <v>22000</v>
          </cell>
          <cell r="T56" t="str">
            <v>hoäp</v>
          </cell>
        </row>
        <row r="57">
          <cell r="N57" t="str">
            <v>1201</v>
          </cell>
          <cell r="O57" t="str">
            <v>8801111112680</v>
          </cell>
          <cell r="P57" t="str">
            <v>Crown butter waffles</v>
          </cell>
          <cell r="Q57" t="str">
            <v>142gm/12</v>
          </cell>
          <cell r="R57">
            <v>20800</v>
          </cell>
          <cell r="S57">
            <v>18909</v>
          </cell>
          <cell r="T57" t="str">
            <v>hoäp</v>
          </cell>
        </row>
        <row r="58">
          <cell r="N58" t="str">
            <v>NS034</v>
          </cell>
          <cell r="O58" t="str">
            <v>0311462001390</v>
          </cell>
          <cell r="P58" t="str">
            <v>Nongshim shrimp cracker</v>
          </cell>
          <cell r="Q58" t="str">
            <v>75gm/30</v>
          </cell>
          <cell r="R58">
            <v>8500</v>
          </cell>
          <cell r="S58">
            <v>7727</v>
          </cell>
          <cell r="T58" t="str">
            <v>bòch</v>
          </cell>
        </row>
        <row r="59">
          <cell r="N59" t="str">
            <v>NS035</v>
          </cell>
          <cell r="O59" t="str">
            <v>0311462120020</v>
          </cell>
          <cell r="P59" t="str">
            <v>Nongshim potato snack</v>
          </cell>
          <cell r="Q59" t="str">
            <v>55gm/30</v>
          </cell>
          <cell r="R59">
            <v>8500</v>
          </cell>
          <cell r="S59">
            <v>7727</v>
          </cell>
          <cell r="T59" t="str">
            <v>bòch</v>
          </cell>
        </row>
        <row r="60">
          <cell r="N60" t="str">
            <v>NS036</v>
          </cell>
          <cell r="O60" t="str">
            <v>0311462011050</v>
          </cell>
          <cell r="P60" t="str">
            <v>Nongshim tako chips</v>
          </cell>
          <cell r="Q60" t="str">
            <v>70gm/30</v>
          </cell>
          <cell r="R60">
            <v>9300</v>
          </cell>
          <cell r="S60">
            <v>8455</v>
          </cell>
          <cell r="T60" t="str">
            <v>bòch</v>
          </cell>
        </row>
        <row r="61">
          <cell r="N61" t="str">
            <v>NS037</v>
          </cell>
          <cell r="O61" t="str">
            <v>0311462021190</v>
          </cell>
          <cell r="P61" t="str">
            <v>Nongshim onion rings</v>
          </cell>
          <cell r="Q61" t="str">
            <v>50gm/20</v>
          </cell>
          <cell r="R61">
            <v>9600</v>
          </cell>
          <cell r="S61">
            <v>8727</v>
          </cell>
          <cell r="T61" t="str">
            <v>bòch</v>
          </cell>
        </row>
        <row r="62">
          <cell r="N62" t="str">
            <v>NS038</v>
          </cell>
          <cell r="O62" t="str">
            <v>0311462157680</v>
          </cell>
          <cell r="P62" t="str">
            <v>Nongshim cuttlefish snack</v>
          </cell>
          <cell r="Q62" t="str">
            <v>55gm/30</v>
          </cell>
          <cell r="R62">
            <v>10000</v>
          </cell>
          <cell r="S62">
            <v>9091</v>
          </cell>
          <cell r="T62" t="str">
            <v>bòch</v>
          </cell>
        </row>
        <row r="63">
          <cell r="N63" t="str">
            <v>NS039</v>
          </cell>
          <cell r="O63" t="str">
            <v>0311462052020</v>
          </cell>
          <cell r="P63" t="str">
            <v>Nongshim honey twist snack</v>
          </cell>
          <cell r="Q63" t="str">
            <v>75gm/20</v>
          </cell>
          <cell r="R63">
            <v>9300</v>
          </cell>
          <cell r="S63">
            <v>8455</v>
          </cell>
          <cell r="T63" t="str">
            <v>bòch</v>
          </cell>
        </row>
        <row r="64">
          <cell r="N64" t="str">
            <v>NS040</v>
          </cell>
          <cell r="O64" t="str">
            <v>0311462156900</v>
          </cell>
          <cell r="P64" t="str">
            <v>Nongshim shrimp hot</v>
          </cell>
          <cell r="Q64" t="str">
            <v>75gm/30</v>
          </cell>
          <cell r="R64">
            <v>9300</v>
          </cell>
          <cell r="S64">
            <v>8455</v>
          </cell>
          <cell r="T64" t="str">
            <v>bòch</v>
          </cell>
        </row>
        <row r="65">
          <cell r="N65" t="str">
            <v>K041</v>
          </cell>
          <cell r="O65" t="str">
            <v>880253405504</v>
          </cell>
          <cell r="P65" t="str">
            <v>Sun flower Seed chocoballs</v>
          </cell>
          <cell r="Q65" t="str">
            <v>20gx20g/6h</v>
          </cell>
          <cell r="R65">
            <v>88000</v>
          </cell>
          <cell r="S65">
            <v>80000</v>
          </cell>
          <cell r="T65" t="str">
            <v>hop</v>
          </cell>
        </row>
        <row r="66">
          <cell r="N66" t="str">
            <v>K042</v>
          </cell>
          <cell r="O66" t="str">
            <v>8802534100407</v>
          </cell>
          <cell r="P66" t="str">
            <v>Panut Balls</v>
          </cell>
          <cell r="Q66" t="str">
            <v>40gx12g/6h</v>
          </cell>
          <cell r="R66">
            <v>68400</v>
          </cell>
          <cell r="S66">
            <v>62182</v>
          </cell>
          <cell r="T66" t="str">
            <v>hop</v>
          </cell>
        </row>
        <row r="67">
          <cell r="N67" t="str">
            <v>K043</v>
          </cell>
          <cell r="O67" t="str">
            <v>8802534100308</v>
          </cell>
          <cell r="P67" t="str">
            <v>Hi -Dino</v>
          </cell>
          <cell r="Q67" t="str">
            <v>40gx12g/6h</v>
          </cell>
          <cell r="R67">
            <v>68400</v>
          </cell>
          <cell r="S67">
            <v>62182</v>
          </cell>
          <cell r="T67" t="str">
            <v>hop</v>
          </cell>
        </row>
        <row r="68">
          <cell r="N68" t="str">
            <v>K044</v>
          </cell>
          <cell r="O68" t="str">
            <v>8802534100506</v>
          </cell>
          <cell r="P68" t="str">
            <v>Fun Stone</v>
          </cell>
          <cell r="Q68" t="str">
            <v>40gx15g/6h</v>
          </cell>
          <cell r="R68">
            <v>85500</v>
          </cell>
          <cell r="S68">
            <v>77727</v>
          </cell>
          <cell r="T68" t="str">
            <v>hop</v>
          </cell>
        </row>
        <row r="69">
          <cell r="N69" t="str">
            <v>00220</v>
          </cell>
          <cell r="O69">
            <v>2700042273</v>
          </cell>
          <cell r="P69" t="str">
            <v>Soát mì Classic Italia four cheese</v>
          </cell>
          <cell r="Q69" t="str">
            <v>737gr/12</v>
          </cell>
          <cell r="R69">
            <v>28700</v>
          </cell>
          <cell r="S69">
            <v>26091</v>
          </cell>
          <cell r="T69" t="str">
            <v>Hoäp saét</v>
          </cell>
        </row>
        <row r="70">
          <cell r="N70" t="str">
            <v>00221</v>
          </cell>
          <cell r="O70">
            <v>2700042274</v>
          </cell>
          <cell r="P70" t="str">
            <v>Soát mì Classic Italia garlic &amp; herb</v>
          </cell>
          <cell r="Q70" t="str">
            <v>737gr/12</v>
          </cell>
          <cell r="R70">
            <v>28700</v>
          </cell>
          <cell r="S70">
            <v>26091</v>
          </cell>
          <cell r="T70" t="str">
            <v>Hoäp saét</v>
          </cell>
        </row>
        <row r="71">
          <cell r="N71" t="str">
            <v>00222</v>
          </cell>
          <cell r="O71">
            <v>2700042239</v>
          </cell>
          <cell r="P71" t="str">
            <v>Soát mì Original Style with Muchroom</v>
          </cell>
          <cell r="Q71" t="str">
            <v>751gr/12</v>
          </cell>
          <cell r="R71">
            <v>28700</v>
          </cell>
          <cell r="S71">
            <v>26091</v>
          </cell>
          <cell r="T71" t="str">
            <v>Hoäp saét</v>
          </cell>
        </row>
        <row r="72">
          <cell r="N72" t="str">
            <v>00223</v>
          </cell>
          <cell r="O72">
            <v>2700042315</v>
          </cell>
          <cell r="P72" t="str">
            <v>Soát mì Garlic lovers chunky tomato mushroom &amp; garlic</v>
          </cell>
          <cell r="Q72" t="str">
            <v>730gr/12</v>
          </cell>
          <cell r="R72">
            <v>37800</v>
          </cell>
          <cell r="S72">
            <v>34364</v>
          </cell>
          <cell r="T72" t="str">
            <v>Loï thuûy tinh</v>
          </cell>
        </row>
        <row r="73">
          <cell r="N73" t="str">
            <v>00224</v>
          </cell>
          <cell r="O73">
            <v>2700042307</v>
          </cell>
          <cell r="P73" t="str">
            <v>Soát mì Harvest roasted garlic &amp; Romano Cheese</v>
          </cell>
          <cell r="Q73" t="str">
            <v>737gr/12</v>
          </cell>
          <cell r="R73">
            <v>37800</v>
          </cell>
          <cell r="S73">
            <v>34364</v>
          </cell>
          <cell r="T73" t="str">
            <v>Loï thuûy tinh</v>
          </cell>
        </row>
        <row r="74">
          <cell r="N74" t="str">
            <v>00225</v>
          </cell>
          <cell r="O74">
            <v>2700042308</v>
          </cell>
          <cell r="P74" t="str">
            <v>Soát mì Harvest roasted sun dried Tomato &amp; Herb</v>
          </cell>
          <cell r="Q74" t="str">
            <v>737gr/12</v>
          </cell>
          <cell r="R74">
            <v>37800</v>
          </cell>
          <cell r="S74">
            <v>34364</v>
          </cell>
          <cell r="T74" t="str">
            <v>Loï thuûy tinh</v>
          </cell>
        </row>
        <row r="75">
          <cell r="N75" t="str">
            <v>00226</v>
          </cell>
          <cell r="O75">
            <v>1570005551</v>
          </cell>
          <cell r="P75" t="str">
            <v xml:space="preserve">  Söõa Socola  SM Diet (20 Calories) with calcium 8 envelopes</v>
          </cell>
          <cell r="Q75" t="str">
            <v>66gr/12</v>
          </cell>
          <cell r="R75">
            <v>27300</v>
          </cell>
          <cell r="S75">
            <v>24818</v>
          </cell>
          <cell r="T75" t="str">
            <v xml:space="preserve">Hoäp giaáy </v>
          </cell>
        </row>
        <row r="76">
          <cell r="N76" t="str">
            <v>00227</v>
          </cell>
          <cell r="O76">
            <v>1570005201</v>
          </cell>
          <cell r="P76" t="str">
            <v>Söõa Socola Rich Chocolate 10           envelopes</v>
          </cell>
          <cell r="Q76" t="str">
            <v>283gr/12</v>
          </cell>
          <cell r="R76">
            <v>27300</v>
          </cell>
          <cell r="S76">
            <v>24818</v>
          </cell>
          <cell r="T76" t="str">
            <v xml:space="preserve">Hoäp giaáy </v>
          </cell>
        </row>
        <row r="77">
          <cell r="N77" t="str">
            <v>00228</v>
          </cell>
          <cell r="O77">
            <v>1570007277</v>
          </cell>
          <cell r="P77" t="str">
            <v>Söõa Boät Milk chocolate with marsmallows 10 envelopes</v>
          </cell>
          <cell r="Q77" t="str">
            <v>283gr/12</v>
          </cell>
          <cell r="R77">
            <v>27300</v>
          </cell>
          <cell r="S77">
            <v>24818</v>
          </cell>
          <cell r="T77" t="str">
            <v xml:space="preserve">Hoäp giaáy </v>
          </cell>
        </row>
        <row r="78">
          <cell r="N78" t="str">
            <v>00229</v>
          </cell>
          <cell r="O78">
            <v>1570005593</v>
          </cell>
          <cell r="P78" t="str">
            <v>Söõa khoâng beùo Fat free with  calcium 8 envelopes</v>
          </cell>
          <cell r="Q78" t="str">
            <v>125gr/12</v>
          </cell>
          <cell r="R78">
            <v>27300</v>
          </cell>
          <cell r="S78">
            <v>24818</v>
          </cell>
          <cell r="T78" t="str">
            <v xml:space="preserve">Hoäp giaáy </v>
          </cell>
        </row>
        <row r="79">
          <cell r="N79" t="str">
            <v>00230</v>
          </cell>
          <cell r="O79">
            <v>1570005202</v>
          </cell>
          <cell r="P79" t="str">
            <v>Söõa boät Milk chocolate super value pack 30 envelopes</v>
          </cell>
          <cell r="Q79" t="str">
            <v>454gr/8</v>
          </cell>
          <cell r="R79">
            <v>41800</v>
          </cell>
          <cell r="S79">
            <v>38000</v>
          </cell>
          <cell r="T79" t="str">
            <v xml:space="preserve">Hoäp giaáy </v>
          </cell>
        </row>
        <row r="80">
          <cell r="N80" t="str">
            <v>00231</v>
          </cell>
          <cell r="O80">
            <v>1570005569</v>
          </cell>
          <cell r="P80" t="str">
            <v>Söõa boät Milk chocolate with marshmallows16 envelops</v>
          </cell>
          <cell r="Q80" t="str">
            <v>454gr/8</v>
          </cell>
          <cell r="R80">
            <v>41800</v>
          </cell>
          <cell r="S80">
            <v>38000</v>
          </cell>
          <cell r="T80" t="str">
            <v xml:space="preserve">Hoäp giaáy </v>
          </cell>
        </row>
        <row r="81">
          <cell r="N81" t="str">
            <v>00232</v>
          </cell>
          <cell r="O81">
            <v>1570005577</v>
          </cell>
          <cell r="P81" t="str">
            <v>Söõa boät  Milk chocolate super valua pack 30 envelops</v>
          </cell>
          <cell r="Q81" t="str">
            <v>850gr/12</v>
          </cell>
          <cell r="R81">
            <v>63500</v>
          </cell>
          <cell r="S81">
            <v>57727</v>
          </cell>
          <cell r="T81" t="str">
            <v xml:space="preserve">Hoäp giaáy </v>
          </cell>
        </row>
        <row r="82">
          <cell r="N82" t="str">
            <v>00233</v>
          </cell>
          <cell r="O82">
            <v>1570005230</v>
          </cell>
          <cell r="P82" t="str">
            <v xml:space="preserve"> Söõa boät  Milk chocolate canister</v>
          </cell>
          <cell r="Q82" t="str">
            <v>737gr/12</v>
          </cell>
          <cell r="R82">
            <v>63500</v>
          </cell>
          <cell r="S82">
            <v>57727</v>
          </cell>
          <cell r="T82" t="str">
            <v xml:space="preserve">Hoäp giaáy </v>
          </cell>
        </row>
        <row r="83">
          <cell r="N83" t="str">
            <v>00234</v>
          </cell>
          <cell r="O83">
            <v>1570005232</v>
          </cell>
          <cell r="P83" t="str">
            <v>Söõa boät Chocolate W/ marshmallows</v>
          </cell>
          <cell r="Q83" t="str">
            <v>737gr/12</v>
          </cell>
          <cell r="R83">
            <v>63500</v>
          </cell>
          <cell r="S83">
            <v>57727</v>
          </cell>
          <cell r="T83" t="str">
            <v xml:space="preserve">Hoäp giaáy </v>
          </cell>
        </row>
        <row r="84">
          <cell r="N84" t="str">
            <v>00235</v>
          </cell>
          <cell r="O84">
            <v>2700065088</v>
          </cell>
          <cell r="P84" t="str">
            <v>Daàu ngoâ(Corn oil)</v>
          </cell>
          <cell r="Q84" t="str">
            <v>0.710L/15</v>
          </cell>
          <cell r="R84">
            <v>31500</v>
          </cell>
          <cell r="S84">
            <v>28636</v>
          </cell>
          <cell r="T84" t="str">
            <v>Chai nhöïa</v>
          </cell>
        </row>
        <row r="85">
          <cell r="N85" t="str">
            <v>00236</v>
          </cell>
          <cell r="O85">
            <v>2700065083</v>
          </cell>
          <cell r="P85" t="str">
            <v>Daàu ngoâ(Corn oil)</v>
          </cell>
          <cell r="Q85" t="str">
            <v>1.42L/8</v>
          </cell>
          <cell r="R85">
            <v>62000</v>
          </cell>
          <cell r="S85">
            <v>56364</v>
          </cell>
          <cell r="T85" t="str">
            <v>Chai nhöïa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ongia"/>
      <sheetName val="ptdg"/>
      <sheetName val="gia vt,nc,may"/>
      <sheetName val="XL4Poppy"/>
    </sheetNames>
    <sheetDataSet>
      <sheetData sheetId="0" refreshError="1"/>
      <sheetData sheetId="1" refreshError="1"/>
      <sheetData sheetId="2" refreshError="1">
        <row r="7">
          <cell r="B7" t="str">
            <v>A dao</v>
          </cell>
          <cell r="C7">
            <v>1</v>
          </cell>
          <cell r="E7" t="str">
            <v>Nhaân coâng 2,7/7</v>
          </cell>
          <cell r="F7">
            <v>1</v>
          </cell>
          <cell r="H7" t="str">
            <v>Maùy troän 250 lít</v>
          </cell>
          <cell r="I7">
            <v>1</v>
          </cell>
        </row>
        <row r="8">
          <cell r="B8" t="str">
            <v>Baät saét 20x4x250</v>
          </cell>
          <cell r="C8">
            <v>2</v>
          </cell>
          <cell r="E8" t="str">
            <v>Nhaân coâng 3/7</v>
          </cell>
          <cell r="F8">
            <v>2</v>
          </cell>
          <cell r="H8" t="str">
            <v>Maùy ñaàm baøn 1kw</v>
          </cell>
          <cell r="I8">
            <v>2</v>
          </cell>
        </row>
        <row r="9">
          <cell r="B9" t="str">
            <v>Baät saét d = 10mm</v>
          </cell>
          <cell r="C9">
            <v>3</v>
          </cell>
          <cell r="E9" t="str">
            <v>Nhaân coâng 3,5/7</v>
          </cell>
          <cell r="F9">
            <v>3</v>
          </cell>
          <cell r="H9" t="str">
            <v>Maùy ñaàm duøi 1,5Kw</v>
          </cell>
          <cell r="I9">
            <v>3</v>
          </cell>
        </row>
        <row r="10">
          <cell r="B10" t="str">
            <v>Baät saét d=10mm</v>
          </cell>
          <cell r="C10">
            <v>4</v>
          </cell>
          <cell r="E10" t="str">
            <v>Nhaân coâng 3,7/7</v>
          </cell>
          <cell r="F10">
            <v>4</v>
          </cell>
          <cell r="H10" t="str">
            <v>Maùy caét uoán</v>
          </cell>
          <cell r="I10">
            <v>4</v>
          </cell>
        </row>
        <row r="11">
          <cell r="B11" t="str">
            <v>Boä ñieàu toác quaït(32V400FM/K) Uùc</v>
          </cell>
          <cell r="C11">
            <v>5</v>
          </cell>
          <cell r="E11" t="str">
            <v>Nhaân coâng 4/7</v>
          </cell>
          <cell r="F11">
            <v>5</v>
          </cell>
          <cell r="H11" t="str">
            <v>Maùy haøn 23Kw</v>
          </cell>
          <cell r="I11">
            <v>5</v>
          </cell>
        </row>
        <row r="12">
          <cell r="B12" t="str">
            <v>Boàn inox 3m3 ngang Dapha</v>
          </cell>
          <cell r="C12">
            <v>6</v>
          </cell>
          <cell r="E12" t="str">
            <v>Nhaân coâng 4,5/7</v>
          </cell>
          <cell r="F12">
            <v>6</v>
          </cell>
          <cell r="H12" t="str">
            <v>Maùy vaän thaêng 0,8T</v>
          </cell>
          <cell r="I12">
            <v>6</v>
          </cell>
        </row>
        <row r="13">
          <cell r="B13" t="str">
            <v>Boàn inox 5m3 ngang Dapha</v>
          </cell>
          <cell r="C13">
            <v>7</v>
          </cell>
          <cell r="H13" t="str">
            <v>Maùy troän vöõa 80 lít</v>
          </cell>
          <cell r="I13">
            <v>7</v>
          </cell>
        </row>
        <row r="14">
          <cell r="B14" t="str">
            <v>Boät maøu</v>
          </cell>
          <cell r="C14">
            <v>8</v>
          </cell>
          <cell r="H14" t="str">
            <v>Maùy haøn 15Kw</v>
          </cell>
          <cell r="I14">
            <v>8</v>
          </cell>
        </row>
        <row r="15">
          <cell r="B15" t="str">
            <v>Bu long M20x80</v>
          </cell>
          <cell r="C15">
            <v>9</v>
          </cell>
          <cell r="H15" t="str">
            <v>Maùy khoan 4,5Kw</v>
          </cell>
          <cell r="I15">
            <v>9</v>
          </cell>
        </row>
        <row r="16">
          <cell r="B16" t="str">
            <v>Bulong M20x80</v>
          </cell>
          <cell r="C16">
            <v>10</v>
          </cell>
          <cell r="H16" t="str">
            <v>Maùy haøn 14Kw</v>
          </cell>
          <cell r="I16">
            <v>10</v>
          </cell>
        </row>
        <row r="17">
          <cell r="B17" t="str">
            <v>Caàn caåu 10T</v>
          </cell>
          <cell r="C17">
            <v>11</v>
          </cell>
          <cell r="H17" t="str">
            <v>Khoan caàm tay</v>
          </cell>
          <cell r="I17">
            <v>11</v>
          </cell>
        </row>
        <row r="18">
          <cell r="B18" t="str">
            <v>Caàu dao ñaûo 4 cöïc 250A(5LBC4250) uùc</v>
          </cell>
          <cell r="C18">
            <v>12</v>
          </cell>
        </row>
        <row r="19">
          <cell r="B19" t="str">
            <v>Caàu thu raùc oáng xoái</v>
          </cell>
          <cell r="C19">
            <v>13</v>
          </cell>
        </row>
        <row r="20">
          <cell r="B20" t="str">
            <v>Caây choáng</v>
          </cell>
          <cell r="C20">
            <v>14</v>
          </cell>
        </row>
        <row r="21">
          <cell r="B21" t="str">
            <v>Caùp cv 22</v>
          </cell>
          <cell r="C21">
            <v>15</v>
          </cell>
        </row>
        <row r="22">
          <cell r="B22" t="str">
            <v>Caùp ñoàng traàn C50</v>
          </cell>
          <cell r="C22">
            <v>16</v>
          </cell>
        </row>
        <row r="23">
          <cell r="B23" t="str">
            <v>Caùt</v>
          </cell>
          <cell r="C23">
            <v>17</v>
          </cell>
        </row>
        <row r="24">
          <cell r="B24" t="str">
            <v>Caùt vaøng</v>
          </cell>
          <cell r="C24">
            <v>18</v>
          </cell>
        </row>
        <row r="25">
          <cell r="B25" t="str">
            <v>CB 100A 3P ABE103a LG</v>
          </cell>
          <cell r="C25">
            <v>19</v>
          </cell>
        </row>
        <row r="26">
          <cell r="B26" t="str">
            <v>CB 10A 2P ABE32a LG</v>
          </cell>
          <cell r="C26">
            <v>20</v>
          </cell>
        </row>
        <row r="27">
          <cell r="B27" t="str">
            <v>CB 125A 2P ABE202a LG</v>
          </cell>
          <cell r="C27">
            <v>21</v>
          </cell>
        </row>
        <row r="28">
          <cell r="B28" t="str">
            <v>CB 150A 2P ABE202a LG</v>
          </cell>
          <cell r="C28">
            <v>22</v>
          </cell>
        </row>
        <row r="29">
          <cell r="B29" t="str">
            <v>CB 150A 3P ABS203a LG</v>
          </cell>
          <cell r="C29">
            <v>23</v>
          </cell>
        </row>
        <row r="30">
          <cell r="B30" t="str">
            <v>CB 250A 3P ABS 403a LG</v>
          </cell>
          <cell r="C30">
            <v>24</v>
          </cell>
        </row>
        <row r="31">
          <cell r="B31" t="str">
            <v>CB 30A 3P ABE33a LG</v>
          </cell>
          <cell r="C31">
            <v>25</v>
          </cell>
        </row>
        <row r="32">
          <cell r="B32" t="str">
            <v>CB 40A 2P ABE52a LG</v>
          </cell>
          <cell r="C32">
            <v>26</v>
          </cell>
        </row>
        <row r="33">
          <cell r="B33" t="str">
            <v>CB 50A 3P ABE53a LG</v>
          </cell>
          <cell r="C33">
            <v>27</v>
          </cell>
        </row>
        <row r="34">
          <cell r="B34" t="str">
            <v>CB 60A 3P ABE63a LG</v>
          </cell>
          <cell r="C34">
            <v>28</v>
          </cell>
        </row>
        <row r="35">
          <cell r="B35" t="str">
            <v>CB 75A 3P ABE103a LG</v>
          </cell>
          <cell r="C35">
            <v>29</v>
          </cell>
        </row>
        <row r="36">
          <cell r="B36" t="str">
            <v>Chao chuïp</v>
          </cell>
          <cell r="C36">
            <v>30</v>
          </cell>
        </row>
        <row r="37">
          <cell r="B37" t="str">
            <v>Co PVC Þ34-21</v>
          </cell>
          <cell r="C37">
            <v>31</v>
          </cell>
        </row>
        <row r="38">
          <cell r="B38" t="str">
            <v>Co PVC Þ60</v>
          </cell>
          <cell r="C38">
            <v>32</v>
          </cell>
        </row>
        <row r="39">
          <cell r="B39" t="str">
            <v>Coân PVC Þ34/27/21</v>
          </cell>
          <cell r="C39">
            <v>33</v>
          </cell>
        </row>
        <row r="40">
          <cell r="B40" t="str">
            <v>Coân PVC Þ60/34</v>
          </cell>
          <cell r="C40">
            <v>34</v>
          </cell>
        </row>
        <row r="41">
          <cell r="B41" t="str">
            <v>Coàn röûa</v>
          </cell>
          <cell r="C41">
            <v>35</v>
          </cell>
        </row>
        <row r="42">
          <cell r="B42" t="str">
            <v>Coïc ñoàng Þ16 L = 2,4m Cadivi</v>
          </cell>
          <cell r="C42">
            <v>36</v>
          </cell>
        </row>
        <row r="43">
          <cell r="B43" t="str">
            <v>Con taéc 2 daây aâm ( 30/1/2M-1D) uùc</v>
          </cell>
          <cell r="C43">
            <v>37</v>
          </cell>
        </row>
        <row r="44">
          <cell r="B44" t="str">
            <v>Con taéc 3 daây aâm( 30M) Uùc</v>
          </cell>
          <cell r="C44">
            <v>38</v>
          </cell>
        </row>
        <row r="45">
          <cell r="B45" t="str">
            <v>Cöûa nhöïa NVS</v>
          </cell>
          <cell r="C45">
            <v>39</v>
          </cell>
        </row>
        <row r="46">
          <cell r="B46" t="str">
            <v>Cöûa ñi saét kính</v>
          </cell>
          <cell r="C46">
            <v>40</v>
          </cell>
        </row>
        <row r="47">
          <cell r="B47" t="str">
            <v>Cöûa soå luøa saét kính</v>
          </cell>
          <cell r="C47">
            <v>41</v>
          </cell>
        </row>
        <row r="48">
          <cell r="B48" t="str">
            <v>Daây daãn</v>
          </cell>
          <cell r="C48">
            <v>42</v>
          </cell>
        </row>
        <row r="49">
          <cell r="B49" t="str">
            <v>Daây ñieän ñôn vc 1,5</v>
          </cell>
          <cell r="C49">
            <v>43</v>
          </cell>
        </row>
        <row r="50">
          <cell r="B50" t="str">
            <v>Daây theùp</v>
          </cell>
          <cell r="C50">
            <v>44</v>
          </cell>
        </row>
        <row r="51">
          <cell r="B51" t="str">
            <v>Flinkote</v>
          </cell>
          <cell r="C51">
            <v>45</v>
          </cell>
        </row>
        <row r="52">
          <cell r="B52" t="str">
            <v>Gaïch 20x10</v>
          </cell>
          <cell r="C52">
            <v>46</v>
          </cell>
        </row>
        <row r="53">
          <cell r="B53" t="str">
            <v>Gaïch boäng</v>
          </cell>
          <cell r="C53">
            <v>47</v>
          </cell>
        </row>
        <row r="54">
          <cell r="B54" t="str">
            <v>Gaïch Ceramic 20x15</v>
          </cell>
          <cell r="C54">
            <v>48</v>
          </cell>
        </row>
        <row r="55">
          <cell r="B55" t="str">
            <v>Gaïch Ceramic 30x30</v>
          </cell>
          <cell r="C55">
            <v>49</v>
          </cell>
        </row>
        <row r="56">
          <cell r="B56" t="str">
            <v>Gaïch Ceramic nhaùm 20x20</v>
          </cell>
          <cell r="C56">
            <v>50</v>
          </cell>
        </row>
        <row r="57">
          <cell r="B57" t="str">
            <v>Gaïch men 15x30</v>
          </cell>
          <cell r="C57">
            <v>51</v>
          </cell>
        </row>
        <row r="58">
          <cell r="B58" t="str">
            <v>Gaïch oáng 10x10x20</v>
          </cell>
          <cell r="C58">
            <v>52</v>
          </cell>
        </row>
        <row r="59">
          <cell r="B59" t="str">
            <v>Gaïch oáng 8x8x19</v>
          </cell>
          <cell r="C59">
            <v>53</v>
          </cell>
        </row>
        <row r="60">
          <cell r="B60" t="str">
            <v>Gaïch theû 4x8x19</v>
          </cell>
          <cell r="C60">
            <v>54</v>
          </cell>
        </row>
        <row r="61">
          <cell r="B61" t="str">
            <v>Gaïch xi maêng 20x20</v>
          </cell>
          <cell r="C61">
            <v>55</v>
          </cell>
        </row>
        <row r="62">
          <cell r="B62" t="str">
            <v>Giaù ñôõ maùy</v>
          </cell>
          <cell r="C62">
            <v>56</v>
          </cell>
        </row>
        <row r="63">
          <cell r="B63" t="str">
            <v>Giaùy nhaùm</v>
          </cell>
          <cell r="C63">
            <v>57</v>
          </cell>
        </row>
        <row r="64">
          <cell r="B64" t="str">
            <v>Goã caàu coâng taùc</v>
          </cell>
          <cell r="C64">
            <v>58</v>
          </cell>
        </row>
        <row r="65">
          <cell r="B65" t="str">
            <v>Goã cheøn</v>
          </cell>
          <cell r="C65">
            <v>59</v>
          </cell>
        </row>
        <row r="66">
          <cell r="B66" t="str">
            <v>Goã choáng</v>
          </cell>
          <cell r="C66">
            <v>60</v>
          </cell>
        </row>
        <row r="67">
          <cell r="B67" t="str">
            <v>Goã ñaø neïp</v>
          </cell>
          <cell r="C67">
            <v>61</v>
          </cell>
        </row>
        <row r="68">
          <cell r="B68" t="str">
            <v>Goã vaùn</v>
          </cell>
          <cell r="C68">
            <v>62</v>
          </cell>
        </row>
        <row r="69">
          <cell r="B69" t="str">
            <v>Goã xeû</v>
          </cell>
          <cell r="C69">
            <v>63</v>
          </cell>
        </row>
        <row r="70">
          <cell r="B70" t="str">
            <v>Hoá ñaáu daây 4CB54 cty Nam vieät</v>
          </cell>
          <cell r="C70">
            <v>64</v>
          </cell>
        </row>
        <row r="71">
          <cell r="B71" t="str">
            <v>Hoäp con taéc S/Wbox1</v>
          </cell>
          <cell r="C71">
            <v>65</v>
          </cell>
        </row>
        <row r="72">
          <cell r="B72" t="str">
            <v>Hoäp gaén oå ñieän thoaïi</v>
          </cell>
          <cell r="C72">
            <v>66</v>
          </cell>
        </row>
        <row r="73">
          <cell r="B73" t="str">
            <v>Hoäp noái caùp ñieän thoaïi</v>
          </cell>
          <cell r="C73">
            <v>67</v>
          </cell>
        </row>
        <row r="74">
          <cell r="B74" t="str">
            <v>Hoäp noái caùp tieáp ñaát kho saùch</v>
          </cell>
          <cell r="C74">
            <v>68</v>
          </cell>
        </row>
        <row r="75">
          <cell r="B75" t="str">
            <v>Hoäp soá</v>
          </cell>
          <cell r="C75">
            <v>69</v>
          </cell>
        </row>
        <row r="76">
          <cell r="B76" t="str">
            <v>Hoäp tole</v>
          </cell>
          <cell r="C76">
            <v>70</v>
          </cell>
        </row>
        <row r="77">
          <cell r="B77" t="str">
            <v>Keõm buoäc</v>
          </cell>
          <cell r="C77">
            <v>71</v>
          </cell>
        </row>
        <row r="78">
          <cell r="B78" t="str">
            <v>Khung goã</v>
          </cell>
          <cell r="C78">
            <v>72</v>
          </cell>
        </row>
        <row r="79">
          <cell r="B79" t="str">
            <v>Khung saét kính cheát</v>
          </cell>
          <cell r="C79">
            <v>73</v>
          </cell>
        </row>
        <row r="80">
          <cell r="B80" t="str">
            <v>Kim thu seùt S 4,5 Phaùp</v>
          </cell>
          <cell r="C80">
            <v>74</v>
          </cell>
        </row>
        <row r="81">
          <cell r="B81" t="str">
            <v>Maêng soâng Þ114</v>
          </cell>
          <cell r="C81">
            <v>75</v>
          </cell>
        </row>
        <row r="82">
          <cell r="B82" t="str">
            <v>Maêng soâng Þ21</v>
          </cell>
          <cell r="C82">
            <v>76</v>
          </cell>
        </row>
        <row r="83">
          <cell r="B83" t="str">
            <v>Maêng soâng Þ27</v>
          </cell>
          <cell r="C83">
            <v>77</v>
          </cell>
        </row>
        <row r="84">
          <cell r="B84" t="str">
            <v>Maêng soâng Þ34</v>
          </cell>
          <cell r="C84">
            <v>78</v>
          </cell>
        </row>
        <row r="85">
          <cell r="B85" t="str">
            <v>Maêng soâng Þ60</v>
          </cell>
          <cell r="C85">
            <v>79</v>
          </cell>
        </row>
        <row r="86">
          <cell r="B86" t="str">
            <v>Maêng soâng Þ75</v>
          </cell>
          <cell r="C86">
            <v>80</v>
          </cell>
        </row>
        <row r="87">
          <cell r="B87" t="str">
            <v>Maêng soâng Þ90</v>
          </cell>
          <cell r="C87">
            <v>81</v>
          </cell>
        </row>
        <row r="88">
          <cell r="B88" t="str">
            <v>Matit</v>
          </cell>
          <cell r="C88">
            <v>82</v>
          </cell>
        </row>
        <row r="89">
          <cell r="B89" t="str">
            <v>Moùc saét</v>
          </cell>
          <cell r="C89">
            <v>83</v>
          </cell>
        </row>
        <row r="90">
          <cell r="B90" t="str">
            <v>Moùc saét ñeäm</v>
          </cell>
          <cell r="C90">
            <v>84</v>
          </cell>
        </row>
        <row r="91">
          <cell r="B91" t="str">
            <v>Ñaát ñeøn</v>
          </cell>
          <cell r="C91">
            <v>85</v>
          </cell>
        </row>
        <row r="92">
          <cell r="B92" t="str">
            <v>Ñaù 1x2</v>
          </cell>
          <cell r="C92">
            <v>86</v>
          </cell>
        </row>
        <row r="93">
          <cell r="B93" t="str">
            <v>Ñaù 4x6</v>
          </cell>
          <cell r="C93">
            <v>87</v>
          </cell>
        </row>
        <row r="94">
          <cell r="B94" t="str">
            <v>Neïp goã</v>
          </cell>
          <cell r="C94">
            <v>88</v>
          </cell>
        </row>
        <row r="95">
          <cell r="B95" t="str">
            <v>Ñeøn 1,2*2 maùng taùn quang VN</v>
          </cell>
          <cell r="C95">
            <v>89</v>
          </cell>
        </row>
        <row r="96">
          <cell r="B96" t="str">
            <v>Ñeøn 1,2*3 maùng taùn quang VN</v>
          </cell>
          <cell r="C96">
            <v>90</v>
          </cell>
        </row>
        <row r="97">
          <cell r="B97" t="str">
            <v>Ñeøn aùp töôøng 40W</v>
          </cell>
          <cell r="C97">
            <v>91</v>
          </cell>
        </row>
        <row r="98">
          <cell r="B98" t="str">
            <v>Ñeøn choáng noå boùng troøn 100W VN</v>
          </cell>
          <cell r="C98">
            <v>92</v>
          </cell>
        </row>
        <row r="99">
          <cell r="B99" t="str">
            <v>Ñeøn chuøm</v>
          </cell>
          <cell r="C99">
            <v>93</v>
          </cell>
        </row>
        <row r="100">
          <cell r="B100" t="str">
            <v>Ñeøn chuøm aùp traàn ñeá vuoâng VN</v>
          </cell>
          <cell r="C100">
            <v>94</v>
          </cell>
        </row>
        <row r="101">
          <cell r="B101" t="str">
            <v>Ñeøn kieåu maét eách D100 boùng troøn 40W</v>
          </cell>
          <cell r="C101">
            <v>95</v>
          </cell>
        </row>
        <row r="102">
          <cell r="B102" t="str">
            <v>Ñeøn neon troøn 32W ñeá vuoâng</v>
          </cell>
          <cell r="C102">
            <v>96</v>
          </cell>
        </row>
        <row r="103">
          <cell r="B103" t="str">
            <v>Ñeøn söï coá li oa</v>
          </cell>
          <cell r="C103">
            <v>97</v>
          </cell>
        </row>
        <row r="104">
          <cell r="B104" t="str">
            <v>Ñeøn troøn 60W chuïp baùn tieâu VN</v>
          </cell>
          <cell r="C104">
            <v>98</v>
          </cell>
        </row>
        <row r="105">
          <cell r="B105" t="str">
            <v>Nhöïa daùn</v>
          </cell>
          <cell r="C105">
            <v>99</v>
          </cell>
        </row>
        <row r="106">
          <cell r="B106" t="str">
            <v>Ñinh</v>
          </cell>
          <cell r="C106">
            <v>100</v>
          </cell>
        </row>
        <row r="107">
          <cell r="B107" t="str">
            <v>Ñinh caùc loaïi</v>
          </cell>
          <cell r="C107">
            <v>101</v>
          </cell>
        </row>
        <row r="108">
          <cell r="B108" t="str">
            <v>Ñinh ñæa</v>
          </cell>
          <cell r="C108">
            <v>102</v>
          </cell>
        </row>
        <row r="109">
          <cell r="B109" t="str">
            <v>Ñinh vít</v>
          </cell>
          <cell r="C109">
            <v>103</v>
          </cell>
        </row>
        <row r="110">
          <cell r="B110" t="str">
            <v>nöôùc</v>
          </cell>
          <cell r="C110">
            <v>104</v>
          </cell>
        </row>
        <row r="111">
          <cell r="B111" t="str">
            <v>OÅ caém aâm 3 cöïc(E426UEST2) Uùc</v>
          </cell>
          <cell r="C111">
            <v>105</v>
          </cell>
        </row>
        <row r="112">
          <cell r="B112" t="str">
            <v>OÅ caém ñieän thoaïi 3301AV Uùc</v>
          </cell>
          <cell r="C112">
            <v>106</v>
          </cell>
        </row>
        <row r="113">
          <cell r="B113" t="str">
            <v>OÂ xy</v>
          </cell>
          <cell r="C113">
            <v>107</v>
          </cell>
        </row>
        <row r="114">
          <cell r="B114" t="str">
            <v>OÁng xoaén ruoät gaø Þ16 cty Nam Vieät</v>
          </cell>
          <cell r="C114">
            <v>107</v>
          </cell>
        </row>
        <row r="115">
          <cell r="B115" t="str">
            <v>OÁng luoàn xoaén ruoät gaø 19 cty Nam Vieät</v>
          </cell>
          <cell r="C115">
            <v>108</v>
          </cell>
        </row>
        <row r="116">
          <cell r="B116" t="str">
            <v>OÁng luoàn xoaén ruoät gaø 28 cty Nam Vieät</v>
          </cell>
          <cell r="C116">
            <v>109</v>
          </cell>
        </row>
        <row r="117">
          <cell r="B117" t="str">
            <v>OÁng luoàn xoaén ruoät gaø 34 cty Nam Vieät</v>
          </cell>
          <cell r="C117">
            <v>110</v>
          </cell>
        </row>
        <row r="118">
          <cell r="B118" t="str">
            <v>OÁng thoaùt Nöôùc ML PVC D21</v>
          </cell>
          <cell r="C118">
            <v>110</v>
          </cell>
        </row>
        <row r="119">
          <cell r="B119" t="str">
            <v>OÁng PVC Þ114</v>
          </cell>
          <cell r="C119">
            <v>111</v>
          </cell>
        </row>
        <row r="120">
          <cell r="B120" t="str">
            <v>OÁng PVC Þ168</v>
          </cell>
          <cell r="C120">
            <v>112</v>
          </cell>
        </row>
        <row r="121">
          <cell r="B121" t="str">
            <v>OÁng PVC Þ21</v>
          </cell>
          <cell r="C121">
            <v>113</v>
          </cell>
        </row>
        <row r="122">
          <cell r="B122" t="str">
            <v>OÁng PVC Þ27</v>
          </cell>
          <cell r="C122">
            <v>114</v>
          </cell>
        </row>
        <row r="123">
          <cell r="B123" t="str">
            <v>OÁng PVC Þ34</v>
          </cell>
          <cell r="C123">
            <v>115</v>
          </cell>
        </row>
        <row r="124">
          <cell r="B124" t="str">
            <v>OÁng PVC Þ60</v>
          </cell>
          <cell r="C124">
            <v>116</v>
          </cell>
        </row>
        <row r="125">
          <cell r="B125" t="str">
            <v>OÁng PVC Þ75</v>
          </cell>
          <cell r="C125">
            <v>117</v>
          </cell>
        </row>
        <row r="126">
          <cell r="B126" t="str">
            <v>OÁng PVC Þ90</v>
          </cell>
          <cell r="C126">
            <v>118</v>
          </cell>
        </row>
        <row r="127">
          <cell r="B127" t="str">
            <v>OÁng vaø daây daãn ñieän</v>
          </cell>
          <cell r="C127">
            <v>119</v>
          </cell>
        </row>
        <row r="128">
          <cell r="B128" t="str">
            <v>Pheãu thu nöôùc 200x200 inox</v>
          </cell>
          <cell r="C128">
            <v>120</v>
          </cell>
        </row>
        <row r="129">
          <cell r="B129" t="str">
            <v>Quaït huùt gioù aùp töôøng Þ250VN</v>
          </cell>
          <cell r="C129">
            <v>121</v>
          </cell>
        </row>
        <row r="130">
          <cell r="B130" t="str">
            <v>Quaït ñaûo traàn Sali ÑL</v>
          </cell>
          <cell r="C130">
            <v>122</v>
          </cell>
        </row>
        <row r="131">
          <cell r="B131" t="str">
            <v>Quaït traàn 80W MP</v>
          </cell>
          <cell r="C131">
            <v>123</v>
          </cell>
        </row>
        <row r="132">
          <cell r="B132" t="str">
            <v>Que haøn</v>
          </cell>
          <cell r="C132">
            <v>124</v>
          </cell>
        </row>
        <row r="133">
          <cell r="B133" t="str">
            <v>Saét troøn</v>
          </cell>
          <cell r="C133">
            <v>125</v>
          </cell>
        </row>
        <row r="134">
          <cell r="B134" t="str">
            <v>Sôn</v>
          </cell>
          <cell r="C134">
            <v>126</v>
          </cell>
        </row>
        <row r="135">
          <cell r="B135" t="str">
            <v>Sôn daàu</v>
          </cell>
          <cell r="C135">
            <v>127</v>
          </cell>
        </row>
        <row r="136">
          <cell r="B136" t="str">
            <v>Sôn nöôùc</v>
          </cell>
          <cell r="C136">
            <v>128</v>
          </cell>
        </row>
        <row r="137">
          <cell r="B137" t="str">
            <v>Taám nhöïa</v>
          </cell>
          <cell r="C137">
            <v>129</v>
          </cell>
        </row>
        <row r="138">
          <cell r="B138" t="str">
            <v>Teâ PVC Þ34-21</v>
          </cell>
          <cell r="C138">
            <v>130</v>
          </cell>
        </row>
        <row r="139">
          <cell r="B139" t="str">
            <v>Teâ PVC Þ60</v>
          </cell>
          <cell r="C139">
            <v>131</v>
          </cell>
        </row>
        <row r="140">
          <cell r="B140" t="str">
            <v>Theùp hình</v>
          </cell>
          <cell r="C140">
            <v>132</v>
          </cell>
        </row>
        <row r="141">
          <cell r="B141" t="str">
            <v>Theùp taám</v>
          </cell>
          <cell r="C141">
            <v>133</v>
          </cell>
        </row>
        <row r="142">
          <cell r="B142" t="str">
            <v>Theùp troøn</v>
          </cell>
          <cell r="C142">
            <v>134</v>
          </cell>
        </row>
        <row r="143">
          <cell r="B143" t="str">
            <v>Theùp troøn hoaëc theùp deïp</v>
          </cell>
          <cell r="C143">
            <v>135</v>
          </cell>
        </row>
        <row r="144">
          <cell r="B144" t="str">
            <v>Theùp troøn Þ&lt;=10</v>
          </cell>
          <cell r="C144">
            <v>136</v>
          </cell>
        </row>
        <row r="145">
          <cell r="B145" t="str">
            <v>Theùp troøn Þ&lt;=18</v>
          </cell>
          <cell r="C145">
            <v>137</v>
          </cell>
        </row>
        <row r="146">
          <cell r="B146" t="str">
            <v>Theùp troøn Þ&lt;10</v>
          </cell>
          <cell r="C146">
            <v>138</v>
          </cell>
        </row>
        <row r="147">
          <cell r="B147" t="str">
            <v>Theùp troøn Þ&lt;18</v>
          </cell>
          <cell r="C147">
            <v>139</v>
          </cell>
        </row>
        <row r="148">
          <cell r="B148" t="str">
            <v>Theùp troøn Þ&gt;18</v>
          </cell>
          <cell r="C148">
            <v>140</v>
          </cell>
        </row>
        <row r="149">
          <cell r="B149" t="str">
            <v>Tieåu nam ( wall Urinal VF-0412)</v>
          </cell>
          <cell r="C149">
            <v>141</v>
          </cell>
        </row>
        <row r="150">
          <cell r="B150" t="str">
            <v>Toân muùi</v>
          </cell>
          <cell r="C150">
            <v>142</v>
          </cell>
        </row>
        <row r="151">
          <cell r="B151" t="str">
            <v>Toân uùp noùc</v>
          </cell>
          <cell r="C151">
            <v>143</v>
          </cell>
        </row>
        <row r="152">
          <cell r="B152" t="str">
            <v>Tole muùi</v>
          </cell>
          <cell r="C152">
            <v>144</v>
          </cell>
        </row>
        <row r="153">
          <cell r="B153" t="str">
            <v>Tole uùp noùc</v>
          </cell>
          <cell r="C153">
            <v>145</v>
          </cell>
        </row>
        <row r="154">
          <cell r="B154" t="str">
            <v>Voâi cuïc</v>
          </cell>
          <cell r="C154">
            <v>146</v>
          </cell>
        </row>
        <row r="155">
          <cell r="B155" t="str">
            <v>Xaêng</v>
          </cell>
          <cell r="C155">
            <v>147</v>
          </cell>
        </row>
        <row r="156">
          <cell r="B156" t="str">
            <v>Xí beät American VF3000</v>
          </cell>
          <cell r="C156">
            <v>148</v>
          </cell>
        </row>
        <row r="157">
          <cell r="B157" t="str">
            <v>Xi maêng PC 30</v>
          </cell>
          <cell r="C157">
            <v>149</v>
          </cell>
        </row>
        <row r="158">
          <cell r="B158" t="str">
            <v>Xi maêng PC.30</v>
          </cell>
          <cell r="C158">
            <v>150</v>
          </cell>
        </row>
        <row r="159">
          <cell r="B159" t="str">
            <v>Xi maêng traéng</v>
          </cell>
          <cell r="C159">
            <v>151</v>
          </cell>
        </row>
      </sheetData>
      <sheetData sheetId="3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HUONG QUY 4"/>
      <sheetName val="luong thang 1"/>
      <sheetName val="THUONG TET AL"/>
      <sheetName val="THUONG QUY 4 (2)"/>
      <sheetName val="luong thang 2-NDD"/>
      <sheetName val="luong thang 2 -CNV"/>
      <sheetName val="truy lanh"/>
      <sheetName val="truy lanh (2)"/>
      <sheetName val="luong thang 03-CNV"/>
      <sheetName val="luong thang 03-NDD"/>
      <sheetName val="THUONG 28-03"/>
      <sheetName val="THUONG 28-03 NĐD"/>
      <sheetName val="luong thang 04-CNV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6">
          <cell r="I6" t="str">
            <v>Mức lương chức danh</v>
          </cell>
        </row>
        <row r="7">
          <cell r="I7">
            <v>57525000</v>
          </cell>
        </row>
        <row r="8">
          <cell r="I8">
            <v>57525000</v>
          </cell>
        </row>
        <row r="9">
          <cell r="I9">
            <v>49471500</v>
          </cell>
        </row>
        <row r="10">
          <cell r="I10">
            <v>44869500</v>
          </cell>
        </row>
        <row r="11">
          <cell r="I11">
            <v>49471500</v>
          </cell>
        </row>
        <row r="12">
          <cell r="I12">
            <v>44869500</v>
          </cell>
        </row>
        <row r="13">
          <cell r="I13">
            <v>44869500</v>
          </cell>
        </row>
        <row r="14">
          <cell r="I14">
            <v>42185000</v>
          </cell>
        </row>
        <row r="15">
          <cell r="I15">
            <v>44869500</v>
          </cell>
        </row>
        <row r="16">
          <cell r="I16">
            <v>435656000</v>
          </cell>
        </row>
      </sheetData>
      <sheetData sheetId="5" refreshError="1"/>
      <sheetData sheetId="6" refreshError="1"/>
      <sheetData sheetId="7" refreshError="1"/>
      <sheetData sheetId="8" refreshError="1">
        <row r="2">
          <cell r="I2" t="str">
            <v xml:space="preserve">BẢNG DỮ LIỆU LƯƠNG CB.CNV </v>
          </cell>
        </row>
        <row r="5">
          <cell r="G5" t="str">
            <v>Hệ số lương chức danh</v>
          </cell>
          <cell r="H5" t="str">
            <v>Mức lương cơ bản</v>
          </cell>
          <cell r="AQ5" t="str">
            <v>Thuế thu nhập còn phải nộp</v>
          </cell>
        </row>
        <row r="6">
          <cell r="G6">
            <v>13.37</v>
          </cell>
          <cell r="H6">
            <v>2800000</v>
          </cell>
          <cell r="AQ6">
            <v>8906910</v>
          </cell>
        </row>
        <row r="7">
          <cell r="G7">
            <v>9.6</v>
          </cell>
          <cell r="H7">
            <v>2800000</v>
          </cell>
          <cell r="AQ7">
            <v>6254500</v>
          </cell>
        </row>
        <row r="8">
          <cell r="G8">
            <v>9.6</v>
          </cell>
          <cell r="H8">
            <v>2800000</v>
          </cell>
          <cell r="AQ8">
            <v>7120900</v>
          </cell>
        </row>
        <row r="9">
          <cell r="G9">
            <v>4.18</v>
          </cell>
          <cell r="H9">
            <v>2800000</v>
          </cell>
          <cell r="AQ9">
            <v>261591</v>
          </cell>
        </row>
        <row r="10">
          <cell r="G10">
            <v>3.13</v>
          </cell>
          <cell r="H10">
            <v>2800000</v>
          </cell>
          <cell r="AQ10">
            <v>599693</v>
          </cell>
        </row>
        <row r="11">
          <cell r="G11">
            <v>8.9600000000000009</v>
          </cell>
          <cell r="H11">
            <v>2800000</v>
          </cell>
          <cell r="AQ11">
            <v>5360000</v>
          </cell>
        </row>
        <row r="12">
          <cell r="G12">
            <v>8.9600000000000009</v>
          </cell>
          <cell r="H12">
            <v>2800000</v>
          </cell>
          <cell r="AQ12">
            <v>4518000</v>
          </cell>
        </row>
        <row r="13">
          <cell r="G13">
            <v>6.29</v>
          </cell>
          <cell r="H13">
            <v>2800000</v>
          </cell>
          <cell r="AQ13">
            <v>1129024</v>
          </cell>
        </row>
        <row r="14">
          <cell r="G14">
            <v>3.46</v>
          </cell>
          <cell r="H14">
            <v>2800000</v>
          </cell>
          <cell r="AQ14">
            <v>312982</v>
          </cell>
        </row>
        <row r="15">
          <cell r="G15">
            <v>2.13</v>
          </cell>
          <cell r="H15">
            <v>2800000</v>
          </cell>
          <cell r="AQ15">
            <v>65290</v>
          </cell>
        </row>
        <row r="16">
          <cell r="G16">
            <v>3.46</v>
          </cell>
          <cell r="H16">
            <v>2800000</v>
          </cell>
          <cell r="AQ16">
            <v>106093</v>
          </cell>
        </row>
        <row r="17">
          <cell r="G17">
            <v>4.1399999999999997</v>
          </cell>
          <cell r="H17">
            <v>2800000</v>
          </cell>
          <cell r="AQ17">
            <v>307968</v>
          </cell>
        </row>
        <row r="18">
          <cell r="G18">
            <v>3.93</v>
          </cell>
          <cell r="H18">
            <v>2800000</v>
          </cell>
          <cell r="AQ18">
            <v>615048</v>
          </cell>
        </row>
        <row r="19">
          <cell r="G19">
            <v>4.18</v>
          </cell>
          <cell r="H19">
            <v>2800000</v>
          </cell>
          <cell r="AQ19">
            <v>411269</v>
          </cell>
        </row>
        <row r="20">
          <cell r="G20">
            <v>3.71</v>
          </cell>
          <cell r="H20">
            <v>2800000</v>
          </cell>
          <cell r="AQ20">
            <v>165734</v>
          </cell>
        </row>
        <row r="21">
          <cell r="G21">
            <v>3.46</v>
          </cell>
          <cell r="H21">
            <v>2800000</v>
          </cell>
          <cell r="AQ21">
            <v>322186</v>
          </cell>
        </row>
        <row r="22">
          <cell r="G22">
            <v>6.75</v>
          </cell>
          <cell r="H22">
            <v>2800000</v>
          </cell>
          <cell r="AQ22">
            <v>3434325</v>
          </cell>
        </row>
        <row r="23">
          <cell r="G23">
            <v>6.29</v>
          </cell>
          <cell r="H23">
            <v>2800000</v>
          </cell>
          <cell r="AQ23">
            <v>2565389</v>
          </cell>
        </row>
        <row r="24">
          <cell r="G24">
            <v>3.61</v>
          </cell>
          <cell r="H24">
            <v>2800000</v>
          </cell>
          <cell r="AQ24">
            <v>777610</v>
          </cell>
        </row>
        <row r="25">
          <cell r="G25">
            <v>3.61</v>
          </cell>
          <cell r="H25">
            <v>2800000</v>
          </cell>
          <cell r="AQ25">
            <v>662778</v>
          </cell>
        </row>
        <row r="26">
          <cell r="G26">
            <v>10.8</v>
          </cell>
          <cell r="H26">
            <v>2800000</v>
          </cell>
          <cell r="AQ26">
            <v>5924500</v>
          </cell>
        </row>
        <row r="27">
          <cell r="G27">
            <v>8.9600000000000009</v>
          </cell>
          <cell r="H27">
            <v>2800000</v>
          </cell>
          <cell r="AQ27">
            <v>5297280</v>
          </cell>
        </row>
        <row r="28">
          <cell r="G28">
            <v>3.61</v>
          </cell>
          <cell r="H28">
            <v>2800000</v>
          </cell>
          <cell r="AQ28">
            <v>375142</v>
          </cell>
        </row>
        <row r="29">
          <cell r="G29">
            <v>3.89</v>
          </cell>
          <cell r="H29">
            <v>2800000</v>
          </cell>
          <cell r="AQ29">
            <v>0</v>
          </cell>
        </row>
        <row r="30">
          <cell r="G30">
            <v>3.61</v>
          </cell>
          <cell r="H30">
            <v>2800000</v>
          </cell>
          <cell r="AQ30">
            <v>243331</v>
          </cell>
        </row>
        <row r="31">
          <cell r="G31">
            <v>3.61</v>
          </cell>
          <cell r="H31">
            <v>2800000</v>
          </cell>
          <cell r="AQ31">
            <v>833399</v>
          </cell>
        </row>
        <row r="32">
          <cell r="G32">
            <v>3.61</v>
          </cell>
          <cell r="H32">
            <v>2800000</v>
          </cell>
          <cell r="AQ32">
            <v>0</v>
          </cell>
        </row>
        <row r="33">
          <cell r="G33">
            <v>3.34</v>
          </cell>
          <cell r="H33">
            <v>2800000</v>
          </cell>
          <cell r="AQ33">
            <v>601587</v>
          </cell>
        </row>
        <row r="34">
          <cell r="AQ34">
            <v>0</v>
          </cell>
        </row>
        <row r="35">
          <cell r="G35">
            <v>3.64</v>
          </cell>
          <cell r="H35">
            <v>2800000</v>
          </cell>
          <cell r="AQ35">
            <v>830571</v>
          </cell>
        </row>
        <row r="36">
          <cell r="G36">
            <v>3.61</v>
          </cell>
          <cell r="H36">
            <v>2800000</v>
          </cell>
          <cell r="AQ36">
            <v>777610</v>
          </cell>
        </row>
        <row r="37">
          <cell r="G37">
            <v>3.34</v>
          </cell>
          <cell r="H37">
            <v>2800000</v>
          </cell>
          <cell r="AQ37">
            <v>430254</v>
          </cell>
        </row>
        <row r="38">
          <cell r="G38">
            <v>3.34</v>
          </cell>
          <cell r="H38">
            <v>2800000</v>
          </cell>
          <cell r="AQ38">
            <v>214953</v>
          </cell>
        </row>
        <row r="39">
          <cell r="G39">
            <v>3.34</v>
          </cell>
          <cell r="H39">
            <v>2800000</v>
          </cell>
          <cell r="AQ39">
            <v>694873</v>
          </cell>
        </row>
        <row r="40">
          <cell r="G40">
            <v>3.61</v>
          </cell>
          <cell r="H40">
            <v>2800000</v>
          </cell>
          <cell r="AQ40">
            <v>224000</v>
          </cell>
        </row>
        <row r="41">
          <cell r="G41">
            <v>10.28</v>
          </cell>
          <cell r="H41">
            <v>2800000</v>
          </cell>
          <cell r="AQ41">
            <v>5322640</v>
          </cell>
        </row>
        <row r="42">
          <cell r="G42">
            <v>8.9600000000000009</v>
          </cell>
          <cell r="H42">
            <v>2800000</v>
          </cell>
          <cell r="AQ42">
            <v>6354080</v>
          </cell>
        </row>
        <row r="43">
          <cell r="G43">
            <v>8.9600000000000009</v>
          </cell>
          <cell r="H43">
            <v>2800000</v>
          </cell>
          <cell r="AQ43">
            <v>2279044</v>
          </cell>
        </row>
        <row r="44">
          <cell r="G44">
            <v>3.89</v>
          </cell>
          <cell r="H44">
            <v>2800000</v>
          </cell>
          <cell r="AQ44">
            <v>898840</v>
          </cell>
        </row>
        <row r="45">
          <cell r="G45">
            <v>6.29</v>
          </cell>
          <cell r="H45">
            <v>2800000</v>
          </cell>
          <cell r="AQ45">
            <v>2487336</v>
          </cell>
        </row>
        <row r="46">
          <cell r="G46">
            <v>3.89</v>
          </cell>
          <cell r="H46">
            <v>2800000</v>
          </cell>
          <cell r="AQ46">
            <v>0</v>
          </cell>
        </row>
        <row r="47">
          <cell r="G47">
            <v>5.86</v>
          </cell>
          <cell r="H47">
            <v>2800000</v>
          </cell>
          <cell r="AQ47">
            <v>1302461</v>
          </cell>
        </row>
        <row r="48">
          <cell r="G48">
            <v>3.89</v>
          </cell>
          <cell r="H48">
            <v>2800000</v>
          </cell>
          <cell r="AQ48">
            <v>131069</v>
          </cell>
        </row>
        <row r="49">
          <cell r="G49">
            <v>4.18</v>
          </cell>
          <cell r="H49">
            <v>2800000</v>
          </cell>
          <cell r="AQ49">
            <v>988874</v>
          </cell>
        </row>
        <row r="50">
          <cell r="G50">
            <v>4.8</v>
          </cell>
          <cell r="H50">
            <v>2800000</v>
          </cell>
          <cell r="AQ50">
            <v>1375080</v>
          </cell>
        </row>
        <row r="51">
          <cell r="G51">
            <v>4.18</v>
          </cell>
          <cell r="H51">
            <v>2800000</v>
          </cell>
          <cell r="AQ51">
            <v>918754</v>
          </cell>
        </row>
        <row r="52">
          <cell r="G52">
            <v>6.29</v>
          </cell>
          <cell r="H52">
            <v>2800000</v>
          </cell>
          <cell r="AQ52">
            <v>3015365</v>
          </cell>
        </row>
        <row r="53">
          <cell r="G53">
            <v>3.89</v>
          </cell>
          <cell r="H53">
            <v>2800000</v>
          </cell>
          <cell r="AQ53">
            <v>883319</v>
          </cell>
        </row>
        <row r="54">
          <cell r="G54">
            <v>3.34</v>
          </cell>
          <cell r="H54">
            <v>2800000</v>
          </cell>
          <cell r="AQ54">
            <v>466026</v>
          </cell>
        </row>
        <row r="55">
          <cell r="G55">
            <v>3.34</v>
          </cell>
          <cell r="H55">
            <v>2800000</v>
          </cell>
          <cell r="AQ55">
            <v>444941</v>
          </cell>
        </row>
        <row r="56">
          <cell r="AQ56">
            <v>0</v>
          </cell>
        </row>
        <row r="57">
          <cell r="G57">
            <v>12.44</v>
          </cell>
          <cell r="H57">
            <v>2800000</v>
          </cell>
          <cell r="AQ57">
            <v>7901860</v>
          </cell>
        </row>
        <row r="58">
          <cell r="G58">
            <v>9.6</v>
          </cell>
          <cell r="H58">
            <v>2800000</v>
          </cell>
          <cell r="AQ58">
            <v>6952900</v>
          </cell>
        </row>
        <row r="59">
          <cell r="G59">
            <v>4.18</v>
          </cell>
          <cell r="H59">
            <v>2800000</v>
          </cell>
          <cell r="AQ59">
            <v>911293</v>
          </cell>
        </row>
        <row r="60">
          <cell r="G60">
            <v>3.61</v>
          </cell>
          <cell r="H60">
            <v>2800000</v>
          </cell>
          <cell r="AQ60">
            <v>230444</v>
          </cell>
        </row>
        <row r="61">
          <cell r="G61">
            <v>4.18</v>
          </cell>
          <cell r="H61">
            <v>2800000</v>
          </cell>
          <cell r="AQ61">
            <v>604913</v>
          </cell>
        </row>
        <row r="62">
          <cell r="G62">
            <v>5.14</v>
          </cell>
          <cell r="H62">
            <v>2800000</v>
          </cell>
          <cell r="AQ62">
            <v>689617</v>
          </cell>
        </row>
        <row r="63">
          <cell r="G63">
            <v>3.93</v>
          </cell>
          <cell r="H63">
            <v>2800000</v>
          </cell>
          <cell r="AQ63">
            <v>0</v>
          </cell>
        </row>
        <row r="64">
          <cell r="G64">
            <v>3.34</v>
          </cell>
          <cell r="H64">
            <v>2800000</v>
          </cell>
          <cell r="AQ64">
            <v>401497</v>
          </cell>
        </row>
        <row r="65">
          <cell r="G65">
            <v>10.8</v>
          </cell>
          <cell r="H65">
            <v>2800000</v>
          </cell>
          <cell r="AQ65">
            <v>4461280</v>
          </cell>
        </row>
        <row r="66">
          <cell r="G66">
            <v>10.28</v>
          </cell>
          <cell r="H66">
            <v>2800000</v>
          </cell>
          <cell r="AQ66">
            <v>6294600</v>
          </cell>
        </row>
        <row r="67">
          <cell r="G67">
            <v>3.61</v>
          </cell>
          <cell r="H67">
            <v>2800000</v>
          </cell>
          <cell r="AQ67">
            <v>784881</v>
          </cell>
        </row>
        <row r="68">
          <cell r="G68">
            <v>5.93</v>
          </cell>
          <cell r="H68">
            <v>2800000</v>
          </cell>
          <cell r="AQ68">
            <v>1712552</v>
          </cell>
        </row>
        <row r="69">
          <cell r="G69">
            <v>3.89</v>
          </cell>
          <cell r="H69">
            <v>2800000</v>
          </cell>
          <cell r="AQ69">
            <v>567550</v>
          </cell>
        </row>
        <row r="70">
          <cell r="G70">
            <v>14.64</v>
          </cell>
          <cell r="H70">
            <v>2800000</v>
          </cell>
          <cell r="AQ70">
            <v>13021224</v>
          </cell>
        </row>
        <row r="71">
          <cell r="G71">
            <v>3.34</v>
          </cell>
          <cell r="H71">
            <v>2800000</v>
          </cell>
          <cell r="AQ71">
            <v>612852</v>
          </cell>
        </row>
        <row r="72">
          <cell r="G72">
            <v>356.08</v>
          </cell>
          <cell r="H72">
            <v>179200000</v>
          </cell>
        </row>
        <row r="75">
          <cell r="G75" t="str">
            <v>TRƯỞNG PHÒNG TCHC</v>
          </cell>
        </row>
      </sheetData>
      <sheetData sheetId="9" refreshError="1">
        <row r="5">
          <cell r="AQ5" t="str">
            <v>Thuế thu nhập còn phải nộp</v>
          </cell>
        </row>
        <row r="6">
          <cell r="AQ6">
            <v>23681663</v>
          </cell>
        </row>
        <row r="7">
          <cell r="AQ7">
            <v>23681663</v>
          </cell>
        </row>
        <row r="8">
          <cell r="AQ8">
            <v>19332400</v>
          </cell>
        </row>
        <row r="9">
          <cell r="AQ9">
            <v>15336092</v>
          </cell>
        </row>
        <row r="10">
          <cell r="AQ10">
            <v>18083486</v>
          </cell>
        </row>
        <row r="11">
          <cell r="AQ11">
            <v>14256092</v>
          </cell>
        </row>
        <row r="12">
          <cell r="AQ12">
            <v>15336092</v>
          </cell>
        </row>
        <row r="13">
          <cell r="AQ13">
            <v>13733445</v>
          </cell>
        </row>
        <row r="14">
          <cell r="AQ14">
            <v>13176092</v>
          </cell>
        </row>
        <row r="15">
          <cell r="AQ15">
            <v>156617025</v>
          </cell>
        </row>
      </sheetData>
      <sheetData sheetId="10" refreshError="1"/>
      <sheetData sheetId="11" refreshError="1"/>
      <sheetData sheetId="1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uong thang 12"/>
      <sheetName val="BÀNG LƯƠNG MỚI 2018"/>
      <sheetName val="luong thang 03"/>
    </sheetNames>
    <sheetDataSet>
      <sheetData sheetId="0">
        <row r="2">
          <cell r="G2" t="str">
            <v>Hệ số lương chức danh</v>
          </cell>
          <cell r="I2" t="str">
            <v>Tiền lương chính</v>
          </cell>
          <cell r="M2" t="str">
            <v>Tổng lương đóng BHXH</v>
          </cell>
          <cell r="X2" t="str">
            <v>Lương cơ bản</v>
          </cell>
        </row>
        <row r="3">
          <cell r="G3">
            <v>21</v>
          </cell>
          <cell r="I3">
            <v>58800000</v>
          </cell>
          <cell r="M3">
            <v>58800000</v>
          </cell>
          <cell r="X3">
            <v>58800000</v>
          </cell>
        </row>
        <row r="4">
          <cell r="G4">
            <v>21</v>
          </cell>
          <cell r="I4">
            <v>58800000</v>
          </cell>
          <cell r="M4">
            <v>58800000</v>
          </cell>
          <cell r="X4">
            <v>58800000</v>
          </cell>
        </row>
        <row r="5">
          <cell r="G5">
            <v>19</v>
          </cell>
          <cell r="I5">
            <v>53200000</v>
          </cell>
          <cell r="M5">
            <v>53200000</v>
          </cell>
          <cell r="X5">
            <v>53200000</v>
          </cell>
        </row>
        <row r="6">
          <cell r="G6">
            <v>18</v>
          </cell>
          <cell r="I6">
            <v>50400000</v>
          </cell>
          <cell r="M6">
            <v>50400000</v>
          </cell>
          <cell r="X6">
            <v>50400000</v>
          </cell>
        </row>
        <row r="7">
          <cell r="G7">
            <v>19</v>
          </cell>
          <cell r="I7">
            <v>53200000</v>
          </cell>
          <cell r="M7">
            <v>53200000</v>
          </cell>
          <cell r="X7">
            <v>53200000</v>
          </cell>
        </row>
        <row r="8">
          <cell r="G8">
            <v>21</v>
          </cell>
          <cell r="I8">
            <v>58800000</v>
          </cell>
          <cell r="M8">
            <v>58800000</v>
          </cell>
          <cell r="X8">
            <v>58800000</v>
          </cell>
        </row>
        <row r="9">
          <cell r="G9">
            <v>21</v>
          </cell>
          <cell r="I9">
            <v>58800000</v>
          </cell>
          <cell r="M9">
            <v>58800000</v>
          </cell>
          <cell r="X9">
            <v>58800000</v>
          </cell>
        </row>
        <row r="10">
          <cell r="G10">
            <v>23</v>
          </cell>
          <cell r="I10">
            <v>64400000</v>
          </cell>
          <cell r="M10">
            <v>64400000</v>
          </cell>
          <cell r="X10">
            <v>64400000</v>
          </cell>
        </row>
        <row r="11">
          <cell r="G11">
            <v>19</v>
          </cell>
          <cell r="I11">
            <v>53200000</v>
          </cell>
          <cell r="M11">
            <v>53200000</v>
          </cell>
          <cell r="X11">
            <v>53200000</v>
          </cell>
        </row>
        <row r="12">
          <cell r="G12">
            <v>4.2</v>
          </cell>
          <cell r="I12">
            <v>11760000</v>
          </cell>
          <cell r="M12">
            <v>11760000</v>
          </cell>
          <cell r="X12">
            <v>11760000</v>
          </cell>
        </row>
        <row r="13">
          <cell r="G13">
            <v>1.75</v>
          </cell>
          <cell r="I13">
            <v>4900000</v>
          </cell>
          <cell r="M13">
            <v>4900000</v>
          </cell>
          <cell r="X13">
            <v>4900000</v>
          </cell>
        </row>
        <row r="14">
          <cell r="G14">
            <v>13</v>
          </cell>
          <cell r="I14">
            <v>36400000</v>
          </cell>
          <cell r="M14">
            <v>36400000</v>
          </cell>
          <cell r="X14">
            <v>36400000</v>
          </cell>
        </row>
        <row r="15">
          <cell r="G15">
            <v>13</v>
          </cell>
          <cell r="I15">
            <v>36400000</v>
          </cell>
          <cell r="M15">
            <v>36400000</v>
          </cell>
          <cell r="X15">
            <v>36400000</v>
          </cell>
        </row>
        <row r="16">
          <cell r="G16">
            <v>13</v>
          </cell>
          <cell r="I16">
            <v>36400000</v>
          </cell>
          <cell r="M16">
            <v>36400000</v>
          </cell>
          <cell r="X16">
            <v>36400000</v>
          </cell>
        </row>
        <row r="17">
          <cell r="G17">
            <v>8</v>
          </cell>
          <cell r="I17">
            <v>22400000</v>
          </cell>
          <cell r="M17">
            <v>22400000</v>
          </cell>
          <cell r="X17">
            <v>22400000</v>
          </cell>
        </row>
        <row r="18">
          <cell r="I18">
            <v>0</v>
          </cell>
          <cell r="M18">
            <v>0</v>
          </cell>
          <cell r="X18">
            <v>0</v>
          </cell>
        </row>
        <row r="19">
          <cell r="G19">
            <v>2.95</v>
          </cell>
          <cell r="I19">
            <v>8260000.0000000009</v>
          </cell>
          <cell r="M19">
            <v>8560000</v>
          </cell>
          <cell r="X19">
            <v>8260000</v>
          </cell>
        </row>
        <row r="20">
          <cell r="G20">
            <v>0.6</v>
          </cell>
          <cell r="I20">
            <v>1680000</v>
          </cell>
          <cell r="M20">
            <v>1680000</v>
          </cell>
          <cell r="X20">
            <v>1680000</v>
          </cell>
        </row>
        <row r="21">
          <cell r="I21">
            <v>0</v>
          </cell>
          <cell r="M21">
            <v>0</v>
          </cell>
          <cell r="X21">
            <v>0</v>
          </cell>
        </row>
        <row r="22">
          <cell r="G22">
            <v>2.95</v>
          </cell>
          <cell r="I22">
            <v>8260000.0000000009</v>
          </cell>
          <cell r="M22">
            <v>8560000</v>
          </cell>
          <cell r="X22">
            <v>8260000</v>
          </cell>
        </row>
        <row r="23">
          <cell r="G23">
            <v>3.5</v>
          </cell>
          <cell r="I23">
            <v>9800000</v>
          </cell>
          <cell r="M23">
            <v>10100000</v>
          </cell>
          <cell r="X23">
            <v>9800000</v>
          </cell>
        </row>
        <row r="24">
          <cell r="G24">
            <v>2.95</v>
          </cell>
          <cell r="I24">
            <v>8260000.0000000009</v>
          </cell>
          <cell r="M24">
            <v>8260000.0000000009</v>
          </cell>
          <cell r="X24">
            <v>8260000</v>
          </cell>
        </row>
        <row r="25">
          <cell r="I25">
            <v>0</v>
          </cell>
          <cell r="M25">
            <v>0</v>
          </cell>
          <cell r="X25">
            <v>0</v>
          </cell>
        </row>
        <row r="26">
          <cell r="G26">
            <v>3.7</v>
          </cell>
          <cell r="I26">
            <v>10360000</v>
          </cell>
          <cell r="M26">
            <v>10360000</v>
          </cell>
          <cell r="X26">
            <v>10360000</v>
          </cell>
        </row>
        <row r="27">
          <cell r="G27">
            <v>2.95</v>
          </cell>
          <cell r="I27">
            <v>8260000.0000000009</v>
          </cell>
          <cell r="M27">
            <v>8560000</v>
          </cell>
          <cell r="X27">
            <v>8260000</v>
          </cell>
        </row>
        <row r="28">
          <cell r="G28">
            <v>21</v>
          </cell>
          <cell r="I28">
            <v>58800000</v>
          </cell>
          <cell r="M28">
            <v>58800000</v>
          </cell>
          <cell r="X28">
            <v>58800000</v>
          </cell>
        </row>
        <row r="29">
          <cell r="G29">
            <v>13</v>
          </cell>
          <cell r="I29">
            <v>36400000</v>
          </cell>
          <cell r="M29">
            <v>36400000</v>
          </cell>
          <cell r="X29">
            <v>36400000</v>
          </cell>
        </row>
        <row r="30">
          <cell r="G30">
            <v>8</v>
          </cell>
          <cell r="I30">
            <v>22400000</v>
          </cell>
          <cell r="M30">
            <v>22400000</v>
          </cell>
          <cell r="X30">
            <v>22400000</v>
          </cell>
        </row>
        <row r="31">
          <cell r="I31">
            <v>0</v>
          </cell>
          <cell r="M31">
            <v>0</v>
          </cell>
          <cell r="X31">
            <v>0</v>
          </cell>
        </row>
        <row r="32">
          <cell r="G32">
            <v>8</v>
          </cell>
          <cell r="I32">
            <v>22400000</v>
          </cell>
          <cell r="M32">
            <v>22400000</v>
          </cell>
          <cell r="X32">
            <v>22400000</v>
          </cell>
        </row>
        <row r="33">
          <cell r="G33">
            <v>16</v>
          </cell>
          <cell r="I33">
            <v>44800000</v>
          </cell>
          <cell r="M33">
            <v>44800000</v>
          </cell>
          <cell r="X33">
            <v>44800000</v>
          </cell>
        </row>
        <row r="34">
          <cell r="G34">
            <v>3.7</v>
          </cell>
          <cell r="I34">
            <v>10360000</v>
          </cell>
          <cell r="M34">
            <v>10360000</v>
          </cell>
          <cell r="X34">
            <v>10360000</v>
          </cell>
        </row>
        <row r="35">
          <cell r="G35">
            <v>4.2</v>
          </cell>
          <cell r="I35">
            <v>11760000</v>
          </cell>
          <cell r="M35">
            <v>11760000</v>
          </cell>
          <cell r="X35">
            <v>11760000</v>
          </cell>
        </row>
        <row r="36">
          <cell r="G36">
            <v>3.7</v>
          </cell>
          <cell r="I36">
            <v>10360000</v>
          </cell>
          <cell r="M36">
            <v>10360000</v>
          </cell>
          <cell r="X36">
            <v>10360000</v>
          </cell>
        </row>
        <row r="37">
          <cell r="G37">
            <v>13</v>
          </cell>
          <cell r="I37">
            <v>36400000</v>
          </cell>
          <cell r="M37">
            <v>36400000</v>
          </cell>
          <cell r="X37">
            <v>36400000</v>
          </cell>
        </row>
        <row r="38">
          <cell r="G38">
            <v>3.7</v>
          </cell>
          <cell r="I38">
            <v>10360000</v>
          </cell>
          <cell r="M38">
            <v>10360000</v>
          </cell>
          <cell r="X38">
            <v>10360000</v>
          </cell>
        </row>
        <row r="39">
          <cell r="G39">
            <v>3.7</v>
          </cell>
          <cell r="I39">
            <v>10360000</v>
          </cell>
          <cell r="M39">
            <v>10360000</v>
          </cell>
          <cell r="X39">
            <v>10360000</v>
          </cell>
        </row>
        <row r="40">
          <cell r="G40">
            <v>3.7</v>
          </cell>
          <cell r="I40">
            <v>10360000</v>
          </cell>
          <cell r="M40">
            <v>10360000</v>
          </cell>
          <cell r="X40">
            <v>10360000</v>
          </cell>
        </row>
        <row r="41">
          <cell r="G41">
            <v>3.7</v>
          </cell>
          <cell r="I41">
            <v>10360000</v>
          </cell>
          <cell r="M41">
            <v>10360000</v>
          </cell>
          <cell r="X41">
            <v>10360000</v>
          </cell>
        </row>
        <row r="42">
          <cell r="G42">
            <v>3.7</v>
          </cell>
          <cell r="I42">
            <v>10360000</v>
          </cell>
          <cell r="M42">
            <v>10360000</v>
          </cell>
          <cell r="X42">
            <v>10360000</v>
          </cell>
        </row>
        <row r="43">
          <cell r="I43">
            <v>0</v>
          </cell>
          <cell r="M43">
            <v>0</v>
          </cell>
          <cell r="X43">
            <v>0</v>
          </cell>
        </row>
        <row r="44">
          <cell r="G44">
            <v>4</v>
          </cell>
          <cell r="I44">
            <v>11200000</v>
          </cell>
          <cell r="M44">
            <v>11200000</v>
          </cell>
          <cell r="X44">
            <v>11200000</v>
          </cell>
        </row>
        <row r="45">
          <cell r="G45">
            <v>1.75</v>
          </cell>
          <cell r="I45">
            <v>4900000</v>
          </cell>
          <cell r="M45">
            <v>4900000</v>
          </cell>
          <cell r="X45">
            <v>4900000</v>
          </cell>
        </row>
        <row r="46">
          <cell r="G46">
            <v>3.7</v>
          </cell>
          <cell r="I46">
            <v>10360000</v>
          </cell>
          <cell r="M46">
            <v>10360000</v>
          </cell>
          <cell r="X46">
            <v>10360000</v>
          </cell>
        </row>
        <row r="47">
          <cell r="G47">
            <v>8</v>
          </cell>
          <cell r="I47">
            <v>22400000</v>
          </cell>
          <cell r="M47">
            <v>22400000</v>
          </cell>
          <cell r="X47">
            <v>22400000</v>
          </cell>
        </row>
        <row r="48">
          <cell r="G48">
            <v>4.2</v>
          </cell>
          <cell r="I48">
            <v>11760000</v>
          </cell>
          <cell r="M48">
            <v>11760000</v>
          </cell>
          <cell r="X48">
            <v>11760000</v>
          </cell>
        </row>
        <row r="49">
          <cell r="G49">
            <v>3.7</v>
          </cell>
          <cell r="I49">
            <v>10360000</v>
          </cell>
          <cell r="M49">
            <v>10360000</v>
          </cell>
          <cell r="X49">
            <v>10360000</v>
          </cell>
        </row>
        <row r="50">
          <cell r="G50">
            <v>3.7</v>
          </cell>
          <cell r="I50">
            <v>10360000</v>
          </cell>
          <cell r="M50">
            <v>10360000</v>
          </cell>
          <cell r="X50">
            <v>10360000</v>
          </cell>
        </row>
        <row r="51">
          <cell r="G51">
            <v>4.2</v>
          </cell>
          <cell r="I51">
            <v>11760000</v>
          </cell>
          <cell r="M51">
            <v>12060000</v>
          </cell>
          <cell r="X51">
            <v>11760000</v>
          </cell>
        </row>
        <row r="52">
          <cell r="G52">
            <v>5</v>
          </cell>
          <cell r="I52">
            <v>14000000</v>
          </cell>
          <cell r="M52">
            <v>14000000</v>
          </cell>
          <cell r="X52">
            <v>14000000</v>
          </cell>
        </row>
        <row r="53">
          <cell r="G53">
            <v>4.2</v>
          </cell>
          <cell r="I53">
            <v>11760000</v>
          </cell>
          <cell r="M53">
            <v>11760000</v>
          </cell>
          <cell r="X53">
            <v>11760000</v>
          </cell>
        </row>
        <row r="54">
          <cell r="G54">
            <v>14</v>
          </cell>
          <cell r="I54">
            <v>39200000</v>
          </cell>
          <cell r="M54">
            <v>39200000</v>
          </cell>
          <cell r="X54">
            <v>39200000</v>
          </cell>
        </row>
        <row r="55">
          <cell r="G55">
            <v>8</v>
          </cell>
          <cell r="I55">
            <v>22400000</v>
          </cell>
          <cell r="M55">
            <v>22400000</v>
          </cell>
          <cell r="X55">
            <v>22400000</v>
          </cell>
        </row>
        <row r="56">
          <cell r="I56">
            <v>0</v>
          </cell>
          <cell r="M56">
            <v>0</v>
          </cell>
          <cell r="X56">
            <v>0</v>
          </cell>
        </row>
        <row r="57">
          <cell r="G57">
            <v>13</v>
          </cell>
          <cell r="I57">
            <v>36400000</v>
          </cell>
          <cell r="M57">
            <v>36400000</v>
          </cell>
          <cell r="X57">
            <v>36400000</v>
          </cell>
        </row>
        <row r="58">
          <cell r="G58">
            <v>15</v>
          </cell>
          <cell r="I58">
            <v>42000000</v>
          </cell>
          <cell r="M58">
            <v>42000000</v>
          </cell>
          <cell r="X58">
            <v>42000000</v>
          </cell>
        </row>
        <row r="59">
          <cell r="G59">
            <v>3.7</v>
          </cell>
          <cell r="I59">
            <v>10360000</v>
          </cell>
          <cell r="M59">
            <v>10360000</v>
          </cell>
          <cell r="X59">
            <v>10360000</v>
          </cell>
        </row>
        <row r="60">
          <cell r="G60">
            <v>4.5999999999999996</v>
          </cell>
          <cell r="I60">
            <v>12879999.999999998</v>
          </cell>
          <cell r="M60">
            <v>12879999.999999998</v>
          </cell>
          <cell r="X60">
            <v>12880000</v>
          </cell>
        </row>
        <row r="61">
          <cell r="G61">
            <v>3.7</v>
          </cell>
          <cell r="I61">
            <v>10360000</v>
          </cell>
          <cell r="M61">
            <v>10360000</v>
          </cell>
          <cell r="X61">
            <v>10360000</v>
          </cell>
        </row>
        <row r="62">
          <cell r="G62">
            <v>4.5999999999999996</v>
          </cell>
          <cell r="I62">
            <v>12879999.999999998</v>
          </cell>
          <cell r="M62">
            <v>12879999.999999998</v>
          </cell>
          <cell r="X62">
            <v>12880000</v>
          </cell>
        </row>
        <row r="63">
          <cell r="G63">
            <v>17.5</v>
          </cell>
          <cell r="I63">
            <v>49000000</v>
          </cell>
          <cell r="M63">
            <v>49000000</v>
          </cell>
          <cell r="X63">
            <v>49000000</v>
          </cell>
        </row>
        <row r="64">
          <cell r="G64">
            <v>14</v>
          </cell>
          <cell r="I64">
            <v>39200000</v>
          </cell>
          <cell r="M64">
            <v>39200000</v>
          </cell>
          <cell r="X64">
            <v>39200000</v>
          </cell>
        </row>
        <row r="65">
          <cell r="G65">
            <v>7.5</v>
          </cell>
          <cell r="I65">
            <v>21000000</v>
          </cell>
          <cell r="M65">
            <v>21500000</v>
          </cell>
          <cell r="X65">
            <v>21000000</v>
          </cell>
        </row>
        <row r="66">
          <cell r="G66">
            <v>3.5</v>
          </cell>
          <cell r="I66">
            <v>9800000</v>
          </cell>
          <cell r="M66">
            <v>9800000</v>
          </cell>
          <cell r="X66">
            <v>9800000</v>
          </cell>
        </row>
        <row r="67">
          <cell r="G67">
            <v>16</v>
          </cell>
          <cell r="I67">
            <v>44800000</v>
          </cell>
          <cell r="M67">
            <v>44800000</v>
          </cell>
          <cell r="X67">
            <v>44800000</v>
          </cell>
        </row>
        <row r="68">
          <cell r="G68">
            <v>6</v>
          </cell>
          <cell r="I68">
            <v>16800000</v>
          </cell>
          <cell r="M68">
            <v>16800000</v>
          </cell>
          <cell r="X68">
            <v>16800000</v>
          </cell>
        </row>
        <row r="69">
          <cell r="G69">
            <v>13</v>
          </cell>
          <cell r="I69">
            <v>36400000</v>
          </cell>
          <cell r="M69">
            <v>36400000</v>
          </cell>
          <cell r="X69">
            <v>36400000</v>
          </cell>
        </row>
        <row r="70">
          <cell r="I70">
            <v>0</v>
          </cell>
          <cell r="M70">
            <v>0</v>
          </cell>
          <cell r="X70">
            <v>0</v>
          </cell>
        </row>
        <row r="71">
          <cell r="G71">
            <v>13</v>
          </cell>
          <cell r="I71">
            <v>36400000</v>
          </cell>
          <cell r="M71">
            <v>36400000</v>
          </cell>
          <cell r="X71">
            <v>36400000</v>
          </cell>
        </row>
        <row r="72">
          <cell r="G72">
            <v>13</v>
          </cell>
          <cell r="I72">
            <v>36400000</v>
          </cell>
          <cell r="M72">
            <v>36400000</v>
          </cell>
          <cell r="X72">
            <v>36400000</v>
          </cell>
        </row>
        <row r="73">
          <cell r="G73">
            <v>13</v>
          </cell>
          <cell r="I73">
            <v>36400000</v>
          </cell>
          <cell r="M73">
            <v>36400000</v>
          </cell>
          <cell r="X73">
            <v>36400000</v>
          </cell>
        </row>
        <row r="74">
          <cell r="G74">
            <v>17.5</v>
          </cell>
          <cell r="I74">
            <v>49000000</v>
          </cell>
          <cell r="M74">
            <v>49000000</v>
          </cell>
          <cell r="X74">
            <v>49000000</v>
          </cell>
        </row>
        <row r="75">
          <cell r="G75">
            <v>13</v>
          </cell>
          <cell r="I75">
            <v>36400000</v>
          </cell>
          <cell r="M75">
            <v>36400000</v>
          </cell>
          <cell r="X75">
            <v>36400000</v>
          </cell>
        </row>
        <row r="76">
          <cell r="G76">
            <v>13</v>
          </cell>
          <cell r="I76">
            <v>36400000</v>
          </cell>
          <cell r="M76">
            <v>36400000</v>
          </cell>
          <cell r="X76">
            <v>36400000</v>
          </cell>
        </row>
        <row r="77">
          <cell r="G77">
            <v>13</v>
          </cell>
          <cell r="I77">
            <v>36400000</v>
          </cell>
          <cell r="M77">
            <v>36400000</v>
          </cell>
          <cell r="X77">
            <v>36400000</v>
          </cell>
        </row>
        <row r="78">
          <cell r="G78">
            <v>2.4500000000000002</v>
          </cell>
          <cell r="I78">
            <v>6860000.0000000009</v>
          </cell>
          <cell r="M78">
            <v>7160000.0000000009</v>
          </cell>
          <cell r="X78">
            <v>6860000</v>
          </cell>
        </row>
        <row r="79">
          <cell r="G79">
            <v>3.7</v>
          </cell>
          <cell r="I79">
            <v>10360000</v>
          </cell>
          <cell r="M79">
            <v>10360000</v>
          </cell>
          <cell r="X79">
            <v>10360000</v>
          </cell>
        </row>
        <row r="80">
          <cell r="G80">
            <v>13</v>
          </cell>
          <cell r="I80">
            <v>36400000</v>
          </cell>
          <cell r="M80">
            <v>36400000</v>
          </cell>
          <cell r="X80">
            <v>36400000</v>
          </cell>
        </row>
        <row r="81">
          <cell r="G81">
            <v>21</v>
          </cell>
          <cell r="I81">
            <v>58800000</v>
          </cell>
          <cell r="M81">
            <v>58800000</v>
          </cell>
          <cell r="X81">
            <v>58800000</v>
          </cell>
        </row>
        <row r="82">
          <cell r="G82">
            <v>3.7</v>
          </cell>
          <cell r="I82">
            <v>10360000</v>
          </cell>
          <cell r="M82">
            <v>10360000</v>
          </cell>
          <cell r="X82">
            <v>10360000</v>
          </cell>
        </row>
        <row r="83">
          <cell r="G83">
            <v>13</v>
          </cell>
          <cell r="I83">
            <v>36400000</v>
          </cell>
          <cell r="M83">
            <v>36400000</v>
          </cell>
          <cell r="X83">
            <v>36400000</v>
          </cell>
        </row>
        <row r="84">
          <cell r="G84">
            <v>3.7</v>
          </cell>
          <cell r="I84">
            <v>10360000</v>
          </cell>
          <cell r="M84">
            <v>10360000</v>
          </cell>
          <cell r="X84">
            <v>10360000</v>
          </cell>
        </row>
        <row r="85">
          <cell r="G85">
            <v>3.7</v>
          </cell>
          <cell r="I85">
            <v>10360000</v>
          </cell>
          <cell r="M85">
            <v>10360000</v>
          </cell>
          <cell r="X85">
            <v>10360000</v>
          </cell>
        </row>
        <row r="86">
          <cell r="G86">
            <v>3.7</v>
          </cell>
          <cell r="I86">
            <v>10360000</v>
          </cell>
          <cell r="M86">
            <v>10360000</v>
          </cell>
          <cell r="X86">
            <v>10360000</v>
          </cell>
        </row>
        <row r="87">
          <cell r="G87">
            <v>3.7</v>
          </cell>
          <cell r="I87">
            <v>10360000</v>
          </cell>
          <cell r="M87">
            <v>10360000</v>
          </cell>
          <cell r="X87" t="b">
            <v>0</v>
          </cell>
        </row>
        <row r="88">
          <cell r="G88">
            <v>3.7</v>
          </cell>
          <cell r="I88">
            <v>10360000</v>
          </cell>
          <cell r="M88">
            <v>10360000</v>
          </cell>
          <cell r="X88">
            <v>10360000</v>
          </cell>
        </row>
        <row r="90">
          <cell r="G90">
            <v>721.05000000000018</v>
          </cell>
          <cell r="X90">
            <v>2008580000</v>
          </cell>
        </row>
      </sheetData>
      <sheetData sheetId="1" refreshError="1"/>
      <sheetData sheetId="2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TM"/>
      <sheetName val="TSC§"/>
      <sheetName val="Vonqui"/>
      <sheetName val="Sheet3"/>
      <sheetName val="SCT99"/>
      <sheetName val="SCTOO"/>
      <sheetName val="SCT01"/>
      <sheetName val="CDKT99"/>
      <sheetName val="CDKT00"/>
      <sheetName val="CDKT01"/>
      <sheetName val="THCN99"/>
      <sheetName val="BTDC "/>
      <sheetName val="THCN00"/>
      <sheetName val="CTPT"/>
      <sheetName val="MaKH"/>
      <sheetName val="THCN01"/>
      <sheetName val="CT99"/>
      <sheetName val="CT00"/>
      <sheetName val="CT01"/>
      <sheetName val="CDPS01"/>
      <sheetName val="CDPS99"/>
      <sheetName val="CDPS00"/>
      <sheetName val="Sheet1"/>
      <sheetName val="HH"/>
      <sheetName val="QTthuÕTNDN"/>
      <sheetName val="000000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>
        <row r="6">
          <cell r="L6">
            <v>30000000</v>
          </cell>
          <cell r="S6" t="str">
            <v>331nk5</v>
          </cell>
          <cell r="T6" t="str">
            <v>111</v>
          </cell>
        </row>
        <row r="7">
          <cell r="L7">
            <v>227273</v>
          </cell>
          <cell r="S7" t="str">
            <v xml:space="preserve">111 </v>
          </cell>
          <cell r="T7" t="str">
            <v>511ks</v>
          </cell>
        </row>
        <row r="8">
          <cell r="L8">
            <v>22727</v>
          </cell>
          <cell r="S8" t="str">
            <v xml:space="preserve">111 </v>
          </cell>
          <cell r="T8" t="str">
            <v>3333331</v>
          </cell>
        </row>
        <row r="9">
          <cell r="L9">
            <v>936363</v>
          </cell>
          <cell r="S9" t="str">
            <v xml:space="preserve">111 </v>
          </cell>
          <cell r="T9" t="str">
            <v>511ks</v>
          </cell>
        </row>
        <row r="10">
          <cell r="L10">
            <v>93637</v>
          </cell>
          <cell r="S10" t="str">
            <v xml:space="preserve">111 </v>
          </cell>
          <cell r="T10" t="str">
            <v>3333331</v>
          </cell>
        </row>
        <row r="11">
          <cell r="L11">
            <v>1009091</v>
          </cell>
          <cell r="S11" t="str">
            <v xml:space="preserve">111 </v>
          </cell>
          <cell r="T11" t="str">
            <v>511ks</v>
          </cell>
        </row>
        <row r="12">
          <cell r="L12">
            <v>100909</v>
          </cell>
          <cell r="S12" t="str">
            <v xml:space="preserve">111 </v>
          </cell>
          <cell r="T12" t="str">
            <v>3333331</v>
          </cell>
        </row>
        <row r="13">
          <cell r="L13">
            <v>65000000</v>
          </cell>
          <cell r="S13" t="str">
            <v>331nk5</v>
          </cell>
          <cell r="T13" t="str">
            <v>111</v>
          </cell>
        </row>
        <row r="14">
          <cell r="L14">
            <v>65000000</v>
          </cell>
          <cell r="S14" t="str">
            <v xml:space="preserve">111 </v>
          </cell>
          <cell r="T14" t="str">
            <v>131hasa</v>
          </cell>
        </row>
        <row r="15">
          <cell r="L15">
            <v>285000</v>
          </cell>
          <cell r="S15" t="str">
            <v>642bv</v>
          </cell>
          <cell r="T15" t="str">
            <v>111</v>
          </cell>
        </row>
        <row r="16">
          <cell r="L16">
            <v>189000</v>
          </cell>
          <cell r="S16" t="str">
            <v>642sc</v>
          </cell>
          <cell r="T16" t="str">
            <v>111</v>
          </cell>
        </row>
        <row r="17">
          <cell r="L17">
            <v>4000</v>
          </cell>
          <cell r="S17" t="str">
            <v xml:space="preserve">133 </v>
          </cell>
          <cell r="T17" t="str">
            <v>111</v>
          </cell>
        </row>
        <row r="18">
          <cell r="L18">
            <v>227273</v>
          </cell>
          <cell r="S18" t="str">
            <v xml:space="preserve">111 </v>
          </cell>
          <cell r="T18" t="str">
            <v>511ks</v>
          </cell>
        </row>
        <row r="19">
          <cell r="L19">
            <v>22727</v>
          </cell>
          <cell r="S19" t="str">
            <v xml:space="preserve">111 </v>
          </cell>
          <cell r="T19" t="str">
            <v>3333331</v>
          </cell>
        </row>
        <row r="20">
          <cell r="L20">
            <v>30000000</v>
          </cell>
          <cell r="S20" t="str">
            <v xml:space="preserve">111 </v>
          </cell>
          <cell r="T20" t="str">
            <v>131hasa</v>
          </cell>
        </row>
        <row r="21">
          <cell r="L21">
            <v>230000</v>
          </cell>
          <cell r="S21" t="str">
            <v>641ks</v>
          </cell>
          <cell r="T21" t="str">
            <v>111</v>
          </cell>
        </row>
        <row r="22">
          <cell r="L22">
            <v>3700000</v>
          </cell>
          <cell r="S22" t="str">
            <v xml:space="preserve">334 </v>
          </cell>
          <cell r="T22" t="str">
            <v>111</v>
          </cell>
        </row>
        <row r="23">
          <cell r="L23">
            <v>902160</v>
          </cell>
          <cell r="S23" t="str">
            <v>338qldd</v>
          </cell>
          <cell r="T23" t="str">
            <v>111</v>
          </cell>
        </row>
        <row r="24">
          <cell r="L24">
            <v>2418182</v>
          </cell>
          <cell r="S24" t="str">
            <v xml:space="preserve">111 </v>
          </cell>
          <cell r="T24" t="str">
            <v>511ks</v>
          </cell>
        </row>
        <row r="25">
          <cell r="L25">
            <v>241818</v>
          </cell>
          <cell r="S25" t="str">
            <v xml:space="preserve">111 </v>
          </cell>
          <cell r="T25" t="str">
            <v>3333331</v>
          </cell>
        </row>
        <row r="26">
          <cell r="L26">
            <v>118182</v>
          </cell>
          <cell r="S26" t="str">
            <v xml:space="preserve">111 </v>
          </cell>
          <cell r="T26" t="str">
            <v>511ks</v>
          </cell>
        </row>
        <row r="27">
          <cell r="L27">
            <v>11818</v>
          </cell>
          <cell r="S27" t="str">
            <v xml:space="preserve">111 </v>
          </cell>
          <cell r="T27" t="str">
            <v>3333331</v>
          </cell>
        </row>
        <row r="28">
          <cell r="L28">
            <v>1021818</v>
          </cell>
          <cell r="S28" t="str">
            <v xml:space="preserve">111 </v>
          </cell>
          <cell r="T28" t="str">
            <v>511ks</v>
          </cell>
        </row>
        <row r="29">
          <cell r="L29">
            <v>102182</v>
          </cell>
          <cell r="S29" t="str">
            <v xml:space="preserve">111 </v>
          </cell>
          <cell r="T29" t="str">
            <v>3333331</v>
          </cell>
        </row>
        <row r="30">
          <cell r="L30">
            <v>37000</v>
          </cell>
          <cell r="S30" t="str">
            <v xml:space="preserve">111 </v>
          </cell>
          <cell r="T30" t="str">
            <v>641ks</v>
          </cell>
        </row>
        <row r="31">
          <cell r="L31">
            <v>872675</v>
          </cell>
          <cell r="S31" t="str">
            <v>642®t</v>
          </cell>
          <cell r="T31" t="str">
            <v>111</v>
          </cell>
        </row>
        <row r="32">
          <cell r="L32">
            <v>67868</v>
          </cell>
          <cell r="S32" t="str">
            <v xml:space="preserve">133 </v>
          </cell>
          <cell r="T32" t="str">
            <v>111</v>
          </cell>
        </row>
        <row r="33">
          <cell r="L33">
            <v>309091</v>
          </cell>
          <cell r="S33" t="str">
            <v xml:space="preserve">111 </v>
          </cell>
          <cell r="T33" t="str">
            <v>511ks</v>
          </cell>
        </row>
        <row r="34">
          <cell r="L34">
            <v>30909</v>
          </cell>
          <cell r="S34" t="str">
            <v xml:space="preserve">111 </v>
          </cell>
          <cell r="T34" t="str">
            <v>3333331</v>
          </cell>
        </row>
        <row r="35">
          <cell r="L35">
            <v>327273</v>
          </cell>
          <cell r="S35" t="str">
            <v>642vs</v>
          </cell>
          <cell r="T35" t="str">
            <v>111</v>
          </cell>
        </row>
        <row r="36">
          <cell r="L36">
            <v>32727</v>
          </cell>
          <cell r="S36" t="str">
            <v xml:space="preserve">133 </v>
          </cell>
          <cell r="T36" t="str">
            <v>111</v>
          </cell>
        </row>
        <row r="37">
          <cell r="L37">
            <v>1654545</v>
          </cell>
          <cell r="S37" t="str">
            <v xml:space="preserve">111 </v>
          </cell>
          <cell r="T37" t="str">
            <v>511ks</v>
          </cell>
        </row>
        <row r="38">
          <cell r="L38">
            <v>165455</v>
          </cell>
          <cell r="S38" t="str">
            <v xml:space="preserve">111 </v>
          </cell>
          <cell r="T38" t="str">
            <v>3333331</v>
          </cell>
        </row>
        <row r="39">
          <cell r="L39">
            <v>500000</v>
          </cell>
          <cell r="S39" t="str">
            <v xml:space="preserve">111 </v>
          </cell>
          <cell r="T39" t="str">
            <v>511ks</v>
          </cell>
        </row>
        <row r="40">
          <cell r="L40">
            <v>50000</v>
          </cell>
          <cell r="S40" t="str">
            <v xml:space="preserve">111 </v>
          </cell>
          <cell r="T40" t="str">
            <v>3333331</v>
          </cell>
        </row>
        <row r="41">
          <cell r="L41">
            <v>926363</v>
          </cell>
          <cell r="S41" t="str">
            <v xml:space="preserve">111 </v>
          </cell>
          <cell r="T41" t="str">
            <v>511ks</v>
          </cell>
        </row>
        <row r="42">
          <cell r="L42">
            <v>92637</v>
          </cell>
          <cell r="S42" t="str">
            <v xml:space="preserve">111 </v>
          </cell>
          <cell r="T42" t="str">
            <v>3333331</v>
          </cell>
        </row>
        <row r="43">
          <cell r="L43">
            <v>5000000</v>
          </cell>
          <cell r="S43" t="str">
            <v>641®t</v>
          </cell>
          <cell r="T43" t="str">
            <v>111</v>
          </cell>
        </row>
        <row r="44">
          <cell r="L44">
            <v>603479</v>
          </cell>
          <cell r="S44" t="str">
            <v>642®t</v>
          </cell>
          <cell r="T44" t="str">
            <v>111</v>
          </cell>
        </row>
        <row r="45">
          <cell r="L45">
            <v>35348</v>
          </cell>
          <cell r="S45" t="str">
            <v xml:space="preserve">133 </v>
          </cell>
          <cell r="T45" t="str">
            <v>111</v>
          </cell>
        </row>
        <row r="46">
          <cell r="L46">
            <v>710000</v>
          </cell>
          <cell r="S46" t="str">
            <v xml:space="preserve">153 </v>
          </cell>
          <cell r="T46" t="str">
            <v>111</v>
          </cell>
        </row>
        <row r="47">
          <cell r="L47">
            <v>945454</v>
          </cell>
          <cell r="S47" t="str">
            <v xml:space="preserve">111 </v>
          </cell>
          <cell r="T47" t="str">
            <v>511ks</v>
          </cell>
        </row>
        <row r="48">
          <cell r="L48">
            <v>94546</v>
          </cell>
          <cell r="S48" t="str">
            <v xml:space="preserve">111 </v>
          </cell>
          <cell r="T48" t="str">
            <v>3333331</v>
          </cell>
        </row>
        <row r="49">
          <cell r="L49">
            <v>122000000</v>
          </cell>
          <cell r="S49" t="str">
            <v>112ct</v>
          </cell>
          <cell r="T49" t="str">
            <v>131klm</v>
          </cell>
        </row>
        <row r="50">
          <cell r="L50">
            <v>185000000</v>
          </cell>
          <cell r="S50" t="str">
            <v>331nk5</v>
          </cell>
          <cell r="T50" t="str">
            <v>112ct</v>
          </cell>
        </row>
        <row r="51">
          <cell r="L51">
            <v>388000</v>
          </cell>
          <cell r="S51" t="str">
            <v>642sc</v>
          </cell>
          <cell r="T51" t="str">
            <v>111</v>
          </cell>
        </row>
        <row r="52">
          <cell r="L52">
            <v>2216150</v>
          </cell>
          <cell r="S52" t="str">
            <v>642dn</v>
          </cell>
          <cell r="T52" t="str">
            <v>111</v>
          </cell>
        </row>
        <row r="53">
          <cell r="L53">
            <v>1000000</v>
          </cell>
          <cell r="S53" t="str">
            <v xml:space="preserve">153 </v>
          </cell>
          <cell r="T53" t="str">
            <v>111</v>
          </cell>
        </row>
        <row r="54">
          <cell r="L54">
            <v>321615</v>
          </cell>
          <cell r="S54" t="str">
            <v xml:space="preserve">133 </v>
          </cell>
          <cell r="T54" t="str">
            <v>111</v>
          </cell>
        </row>
        <row r="55">
          <cell r="L55">
            <v>300000</v>
          </cell>
          <cell r="S55" t="str">
            <v>642bv</v>
          </cell>
          <cell r="T55" t="str">
            <v>111</v>
          </cell>
        </row>
        <row r="56">
          <cell r="L56">
            <v>320000</v>
          </cell>
          <cell r="S56" t="str">
            <v>642bv</v>
          </cell>
          <cell r="T56" t="str">
            <v>111</v>
          </cell>
        </row>
        <row r="57">
          <cell r="L57">
            <v>527273</v>
          </cell>
          <cell r="S57" t="str">
            <v xml:space="preserve">111 </v>
          </cell>
          <cell r="T57" t="str">
            <v>511ks</v>
          </cell>
        </row>
        <row r="58">
          <cell r="L58">
            <v>52727</v>
          </cell>
          <cell r="S58" t="str">
            <v xml:space="preserve">111 </v>
          </cell>
          <cell r="T58" t="str">
            <v>3333331</v>
          </cell>
        </row>
        <row r="59">
          <cell r="L59">
            <v>481818</v>
          </cell>
          <cell r="S59" t="str">
            <v xml:space="preserve">111 </v>
          </cell>
          <cell r="T59" t="str">
            <v>511ks</v>
          </cell>
        </row>
        <row r="60">
          <cell r="L60">
            <v>48182</v>
          </cell>
          <cell r="S60" t="str">
            <v xml:space="preserve">111 </v>
          </cell>
          <cell r="T60" t="str">
            <v>3333331</v>
          </cell>
        </row>
        <row r="61">
          <cell r="L61">
            <v>368182</v>
          </cell>
          <cell r="S61" t="str">
            <v xml:space="preserve">111 </v>
          </cell>
          <cell r="T61" t="str">
            <v>511ks</v>
          </cell>
        </row>
        <row r="62">
          <cell r="L62">
            <v>36818</v>
          </cell>
          <cell r="S62" t="str">
            <v xml:space="preserve">111 </v>
          </cell>
          <cell r="T62" t="str">
            <v>3333331</v>
          </cell>
        </row>
        <row r="63">
          <cell r="L63">
            <v>671000</v>
          </cell>
          <cell r="S63" t="str">
            <v>642sc</v>
          </cell>
          <cell r="T63" t="str">
            <v>111</v>
          </cell>
        </row>
        <row r="64">
          <cell r="L64">
            <v>345455</v>
          </cell>
          <cell r="S64" t="str">
            <v xml:space="preserve">111 </v>
          </cell>
          <cell r="T64" t="str">
            <v>511ks</v>
          </cell>
        </row>
        <row r="65">
          <cell r="L65">
            <v>34545</v>
          </cell>
          <cell r="S65" t="str">
            <v xml:space="preserve">111 </v>
          </cell>
          <cell r="T65" t="str">
            <v>3333331</v>
          </cell>
        </row>
        <row r="66">
          <cell r="L66">
            <v>3653584</v>
          </cell>
          <cell r="S66" t="str">
            <v>3333331</v>
          </cell>
          <cell r="T66" t="str">
            <v>111</v>
          </cell>
        </row>
        <row r="67">
          <cell r="L67">
            <v>850000</v>
          </cell>
          <cell r="S67" t="str">
            <v>3333338</v>
          </cell>
          <cell r="T67" t="str">
            <v>111</v>
          </cell>
        </row>
        <row r="68">
          <cell r="L68">
            <v>199000</v>
          </cell>
          <cell r="S68" t="str">
            <v>642vp</v>
          </cell>
          <cell r="T68" t="str">
            <v>111</v>
          </cell>
        </row>
        <row r="69">
          <cell r="L69">
            <v>2700</v>
          </cell>
          <cell r="S69" t="str">
            <v xml:space="preserve">133 </v>
          </cell>
          <cell r="T69" t="str">
            <v>111</v>
          </cell>
        </row>
        <row r="70">
          <cell r="L70">
            <v>250000</v>
          </cell>
          <cell r="S70" t="str">
            <v>642k</v>
          </cell>
          <cell r="T70" t="str">
            <v>111</v>
          </cell>
        </row>
        <row r="71">
          <cell r="L71">
            <v>504547</v>
          </cell>
          <cell r="S71" t="str">
            <v xml:space="preserve">111 </v>
          </cell>
          <cell r="T71" t="str">
            <v>511ks</v>
          </cell>
        </row>
        <row r="72">
          <cell r="L72">
            <v>50453</v>
          </cell>
          <cell r="S72" t="str">
            <v xml:space="preserve">111 </v>
          </cell>
          <cell r="T72" t="str">
            <v>3333331</v>
          </cell>
        </row>
        <row r="73">
          <cell r="L73">
            <v>172727</v>
          </cell>
          <cell r="S73" t="str">
            <v xml:space="preserve">111 </v>
          </cell>
          <cell r="T73" t="str">
            <v>511ks</v>
          </cell>
        </row>
        <row r="74">
          <cell r="L74">
            <v>17273</v>
          </cell>
          <cell r="S74" t="str">
            <v xml:space="preserve">111 </v>
          </cell>
          <cell r="T74" t="str">
            <v>3333331</v>
          </cell>
        </row>
        <row r="75">
          <cell r="L75">
            <v>712560</v>
          </cell>
          <cell r="S75" t="str">
            <v xml:space="preserve">111 </v>
          </cell>
          <cell r="T75" t="str">
            <v>141§µo</v>
          </cell>
        </row>
        <row r="76">
          <cell r="L76">
            <v>3950000</v>
          </cell>
          <cell r="S76" t="str">
            <v xml:space="preserve">334 </v>
          </cell>
          <cell r="T76" t="str">
            <v>111</v>
          </cell>
        </row>
        <row r="77">
          <cell r="L77">
            <v>578400</v>
          </cell>
          <cell r="S77" t="str">
            <v>642sc</v>
          </cell>
          <cell r="T77" t="str">
            <v>111</v>
          </cell>
        </row>
        <row r="78">
          <cell r="L78">
            <v>57840</v>
          </cell>
          <cell r="S78" t="str">
            <v xml:space="preserve">133 </v>
          </cell>
          <cell r="T78" t="str">
            <v>111</v>
          </cell>
        </row>
        <row r="79">
          <cell r="L79">
            <v>336363</v>
          </cell>
          <cell r="S79" t="str">
            <v xml:space="preserve">111 </v>
          </cell>
          <cell r="T79" t="str">
            <v>511ks</v>
          </cell>
        </row>
        <row r="80">
          <cell r="L80">
            <v>33637</v>
          </cell>
          <cell r="S80" t="str">
            <v xml:space="preserve">111 </v>
          </cell>
          <cell r="T80" t="str">
            <v>3333331</v>
          </cell>
        </row>
        <row r="81">
          <cell r="L81">
            <v>7600</v>
          </cell>
          <cell r="S81" t="str">
            <v>642vp</v>
          </cell>
          <cell r="T81" t="str">
            <v>112ct</v>
          </cell>
        </row>
        <row r="82">
          <cell r="L82">
            <v>604850</v>
          </cell>
          <cell r="S82" t="str">
            <v xml:space="preserve">153 </v>
          </cell>
          <cell r="T82" t="str">
            <v>111</v>
          </cell>
        </row>
        <row r="83">
          <cell r="L83">
            <v>5400000</v>
          </cell>
          <cell r="S83" t="str">
            <v xml:space="preserve">334 </v>
          </cell>
          <cell r="T83" t="str">
            <v>111</v>
          </cell>
        </row>
        <row r="84">
          <cell r="L84">
            <v>9300000</v>
          </cell>
          <cell r="S84" t="str">
            <v xml:space="preserve">334 </v>
          </cell>
          <cell r="T84" t="str">
            <v>111</v>
          </cell>
        </row>
        <row r="85">
          <cell r="L85">
            <v>250000</v>
          </cell>
          <cell r="S85" t="str">
            <v>642k</v>
          </cell>
          <cell r="T85" t="str">
            <v>111</v>
          </cell>
        </row>
        <row r="86">
          <cell r="L86">
            <v>98100</v>
          </cell>
          <cell r="S86" t="str">
            <v>642tk</v>
          </cell>
          <cell r="T86" t="str">
            <v>111</v>
          </cell>
        </row>
        <row r="87">
          <cell r="L87">
            <v>624300</v>
          </cell>
          <cell r="S87" t="str">
            <v>642k</v>
          </cell>
          <cell r="T87" t="str">
            <v>111</v>
          </cell>
        </row>
        <row r="88">
          <cell r="L88">
            <v>654000</v>
          </cell>
          <cell r="S88" t="str">
            <v>642k</v>
          </cell>
          <cell r="T88" t="str">
            <v>111</v>
          </cell>
        </row>
        <row r="89">
          <cell r="L89">
            <v>16499068</v>
          </cell>
          <cell r="S89" t="str">
            <v>338k</v>
          </cell>
          <cell r="T89" t="str">
            <v>111</v>
          </cell>
        </row>
        <row r="90">
          <cell r="L90">
            <v>792632</v>
          </cell>
          <cell r="S90" t="str">
            <v xml:space="preserve">133 </v>
          </cell>
          <cell r="T90" t="str">
            <v>111</v>
          </cell>
        </row>
        <row r="91">
          <cell r="L91">
            <v>1500000</v>
          </cell>
          <cell r="S91" t="str">
            <v>141tþ</v>
          </cell>
          <cell r="T91" t="str">
            <v>111</v>
          </cell>
        </row>
        <row r="92">
          <cell r="L92">
            <v>127272</v>
          </cell>
          <cell r="S92" t="str">
            <v xml:space="preserve">111 </v>
          </cell>
          <cell r="T92" t="str">
            <v>511ks</v>
          </cell>
        </row>
        <row r="93">
          <cell r="L93">
            <v>12728</v>
          </cell>
          <cell r="S93" t="str">
            <v xml:space="preserve">111 </v>
          </cell>
          <cell r="T93" t="str">
            <v>3333331</v>
          </cell>
        </row>
        <row r="94">
          <cell r="L94">
            <v>90909</v>
          </cell>
          <cell r="S94" t="str">
            <v xml:space="preserve">111 </v>
          </cell>
          <cell r="T94" t="str">
            <v>511ks</v>
          </cell>
        </row>
        <row r="95">
          <cell r="L95">
            <v>9091</v>
          </cell>
          <cell r="S95" t="str">
            <v xml:space="preserve">111 </v>
          </cell>
          <cell r="T95" t="str">
            <v>3333331</v>
          </cell>
        </row>
        <row r="96">
          <cell r="L96">
            <v>1007528</v>
          </cell>
          <cell r="S96" t="str">
            <v xml:space="preserve">111 </v>
          </cell>
          <cell r="T96" t="str">
            <v>3333332</v>
          </cell>
        </row>
        <row r="97">
          <cell r="L97">
            <v>1523455</v>
          </cell>
          <cell r="S97" t="str">
            <v xml:space="preserve">111 </v>
          </cell>
          <cell r="T97" t="str">
            <v>511ks</v>
          </cell>
        </row>
        <row r="98">
          <cell r="L98">
            <v>152345</v>
          </cell>
          <cell r="S98" t="str">
            <v xml:space="preserve">111 </v>
          </cell>
          <cell r="T98" t="str">
            <v>3333331</v>
          </cell>
        </row>
        <row r="99">
          <cell r="L99">
            <v>10000000</v>
          </cell>
          <cell r="S99" t="str">
            <v xml:space="preserve">111 </v>
          </cell>
          <cell r="T99" t="str">
            <v>112ct</v>
          </cell>
        </row>
        <row r="100">
          <cell r="L100">
            <v>1374600</v>
          </cell>
          <cell r="S100" t="str">
            <v xml:space="preserve">111 </v>
          </cell>
          <cell r="T100" t="str">
            <v>642dn</v>
          </cell>
        </row>
        <row r="101">
          <cell r="L101">
            <v>484273</v>
          </cell>
          <cell r="S101" t="str">
            <v xml:space="preserve">111 </v>
          </cell>
          <cell r="T101" t="str">
            <v>511ks</v>
          </cell>
        </row>
        <row r="102">
          <cell r="L102">
            <v>48427</v>
          </cell>
          <cell r="S102" t="str">
            <v xml:space="preserve">111 </v>
          </cell>
          <cell r="T102" t="str">
            <v>3333331</v>
          </cell>
        </row>
        <row r="103">
          <cell r="L103">
            <v>4545455</v>
          </cell>
          <cell r="S103" t="str">
            <v xml:space="preserve">111 </v>
          </cell>
          <cell r="T103" t="str">
            <v>511ch</v>
          </cell>
        </row>
        <row r="104">
          <cell r="L104">
            <v>454545</v>
          </cell>
          <cell r="S104" t="str">
            <v xml:space="preserve">111 </v>
          </cell>
          <cell r="T104" t="str">
            <v>3333331</v>
          </cell>
        </row>
        <row r="105">
          <cell r="L105">
            <v>3850000</v>
          </cell>
          <cell r="S105" t="str">
            <v xml:space="preserve">334 </v>
          </cell>
          <cell r="T105" t="str">
            <v>111</v>
          </cell>
        </row>
        <row r="106">
          <cell r="L106">
            <v>902160</v>
          </cell>
          <cell r="S106" t="str">
            <v>338qldd</v>
          </cell>
          <cell r="T106" t="str">
            <v>111</v>
          </cell>
        </row>
        <row r="107">
          <cell r="L107">
            <v>3100000</v>
          </cell>
          <cell r="S107" t="str">
            <v>141tþ</v>
          </cell>
          <cell r="T107" t="str">
            <v>111</v>
          </cell>
        </row>
        <row r="108">
          <cell r="L108">
            <v>439000</v>
          </cell>
          <cell r="S108" t="str">
            <v>642k</v>
          </cell>
          <cell r="T108" t="str">
            <v>111</v>
          </cell>
        </row>
        <row r="109">
          <cell r="L109">
            <v>200000</v>
          </cell>
          <cell r="S109" t="str">
            <v>141l©m</v>
          </cell>
          <cell r="T109" t="str">
            <v>111</v>
          </cell>
        </row>
        <row r="110">
          <cell r="L110">
            <v>2972727</v>
          </cell>
          <cell r="S110" t="str">
            <v xml:space="preserve">111 </v>
          </cell>
          <cell r="T110" t="str">
            <v>511ks</v>
          </cell>
        </row>
        <row r="111">
          <cell r="L111">
            <v>297273</v>
          </cell>
          <cell r="S111" t="str">
            <v xml:space="preserve">111 </v>
          </cell>
          <cell r="T111" t="str">
            <v>3333331</v>
          </cell>
        </row>
        <row r="112">
          <cell r="L112">
            <v>26000000</v>
          </cell>
          <cell r="S112" t="str">
            <v xml:space="preserve">111 </v>
          </cell>
          <cell r="T112" t="str">
            <v>131klm</v>
          </cell>
        </row>
        <row r="113">
          <cell r="L113">
            <v>200000</v>
          </cell>
          <cell r="S113" t="str">
            <v xml:space="preserve">111 </v>
          </cell>
          <cell r="T113" t="str">
            <v>511ks</v>
          </cell>
        </row>
        <row r="114">
          <cell r="L114">
            <v>20000</v>
          </cell>
          <cell r="S114" t="str">
            <v xml:space="preserve">111 </v>
          </cell>
          <cell r="T114" t="str">
            <v>3333331</v>
          </cell>
        </row>
        <row r="115">
          <cell r="L115">
            <v>1113636</v>
          </cell>
          <cell r="S115" t="str">
            <v xml:space="preserve">111 </v>
          </cell>
          <cell r="T115" t="str">
            <v>511ks</v>
          </cell>
        </row>
        <row r="116">
          <cell r="L116">
            <v>111364</v>
          </cell>
          <cell r="S116" t="str">
            <v xml:space="preserve">111 </v>
          </cell>
          <cell r="T116" t="str">
            <v>3333331</v>
          </cell>
        </row>
        <row r="117">
          <cell r="L117">
            <v>250000</v>
          </cell>
          <cell r="S117" t="str">
            <v>642k</v>
          </cell>
          <cell r="T117" t="str">
            <v>111</v>
          </cell>
        </row>
        <row r="118">
          <cell r="L118">
            <v>800000</v>
          </cell>
          <cell r="S118" t="str">
            <v>141huyks</v>
          </cell>
          <cell r="T118" t="str">
            <v>111</v>
          </cell>
        </row>
        <row r="119">
          <cell r="L119">
            <v>400000</v>
          </cell>
          <cell r="S119" t="str">
            <v>141tuên</v>
          </cell>
          <cell r="T119" t="str">
            <v>111</v>
          </cell>
        </row>
        <row r="120">
          <cell r="L120">
            <v>643000</v>
          </cell>
          <cell r="S120" t="str">
            <v>642k</v>
          </cell>
          <cell r="T120" t="str">
            <v>111</v>
          </cell>
        </row>
        <row r="121">
          <cell r="L121">
            <v>272727</v>
          </cell>
          <cell r="S121" t="str">
            <v xml:space="preserve">111 </v>
          </cell>
          <cell r="T121" t="str">
            <v>511ks</v>
          </cell>
        </row>
        <row r="122">
          <cell r="L122">
            <v>27273</v>
          </cell>
          <cell r="S122" t="str">
            <v xml:space="preserve">111 </v>
          </cell>
          <cell r="T122" t="str">
            <v>3333331</v>
          </cell>
        </row>
        <row r="123">
          <cell r="L123">
            <v>1054545</v>
          </cell>
          <cell r="S123" t="str">
            <v xml:space="preserve">111 </v>
          </cell>
          <cell r="T123" t="str">
            <v>511ks</v>
          </cell>
        </row>
        <row r="124">
          <cell r="L124">
            <v>105455</v>
          </cell>
          <cell r="S124" t="str">
            <v xml:space="preserve">111 </v>
          </cell>
          <cell r="T124" t="str">
            <v>3333331</v>
          </cell>
        </row>
        <row r="125">
          <cell r="L125">
            <v>554546</v>
          </cell>
          <cell r="S125" t="str">
            <v xml:space="preserve">111 </v>
          </cell>
          <cell r="T125" t="str">
            <v>511ks</v>
          </cell>
        </row>
        <row r="126">
          <cell r="L126">
            <v>55454</v>
          </cell>
          <cell r="S126" t="str">
            <v xml:space="preserve">111 </v>
          </cell>
          <cell r="T126" t="str">
            <v>3333331</v>
          </cell>
        </row>
        <row r="127">
          <cell r="L127">
            <v>12000000</v>
          </cell>
          <cell r="S127" t="str">
            <v xml:space="preserve">111 </v>
          </cell>
          <cell r="T127" t="str">
            <v>131klm</v>
          </cell>
        </row>
        <row r="128">
          <cell r="L128">
            <v>982728</v>
          </cell>
          <cell r="S128" t="str">
            <v>642ct</v>
          </cell>
          <cell r="T128" t="str">
            <v>111</v>
          </cell>
        </row>
        <row r="129">
          <cell r="L129">
            <v>27272</v>
          </cell>
          <cell r="S129" t="str">
            <v xml:space="preserve">133 </v>
          </cell>
          <cell r="T129" t="str">
            <v>111</v>
          </cell>
        </row>
        <row r="130">
          <cell r="L130">
            <v>854546</v>
          </cell>
          <cell r="S130" t="str">
            <v xml:space="preserve">111 </v>
          </cell>
          <cell r="T130" t="str">
            <v>511ks</v>
          </cell>
        </row>
        <row r="131">
          <cell r="L131">
            <v>85454</v>
          </cell>
          <cell r="S131" t="str">
            <v xml:space="preserve">111 </v>
          </cell>
          <cell r="T131" t="str">
            <v>3333331</v>
          </cell>
        </row>
        <row r="132">
          <cell r="L132">
            <v>400000</v>
          </cell>
          <cell r="S132" t="str">
            <v xml:space="preserve">111 </v>
          </cell>
          <cell r="T132" t="str">
            <v>141tuên</v>
          </cell>
        </row>
        <row r="133">
          <cell r="L133">
            <v>180000</v>
          </cell>
          <cell r="S133" t="str">
            <v>641ks</v>
          </cell>
          <cell r="T133" t="str">
            <v>111</v>
          </cell>
        </row>
        <row r="134">
          <cell r="L134">
            <v>573500</v>
          </cell>
          <cell r="S134" t="str">
            <v>642vp</v>
          </cell>
          <cell r="T134" t="str">
            <v>111</v>
          </cell>
        </row>
        <row r="135">
          <cell r="L135">
            <v>1898650</v>
          </cell>
          <cell r="S135" t="str">
            <v>641ks</v>
          </cell>
          <cell r="T135" t="str">
            <v>111</v>
          </cell>
        </row>
        <row r="136">
          <cell r="L136">
            <v>189865</v>
          </cell>
          <cell r="S136" t="str">
            <v xml:space="preserve">133 </v>
          </cell>
          <cell r="T136" t="str">
            <v>111</v>
          </cell>
        </row>
        <row r="137">
          <cell r="L137">
            <v>4500000</v>
          </cell>
          <cell r="S137" t="str">
            <v>641®t</v>
          </cell>
          <cell r="T137" t="str">
            <v>111</v>
          </cell>
        </row>
        <row r="138">
          <cell r="L138">
            <v>607494</v>
          </cell>
          <cell r="S138" t="str">
            <v>642®t</v>
          </cell>
          <cell r="T138" t="str">
            <v>111</v>
          </cell>
        </row>
        <row r="139">
          <cell r="L139">
            <v>60749</v>
          </cell>
          <cell r="S139" t="str">
            <v xml:space="preserve">133 </v>
          </cell>
          <cell r="T139" t="str">
            <v>111</v>
          </cell>
        </row>
        <row r="140">
          <cell r="L140">
            <v>657274</v>
          </cell>
          <cell r="S140" t="str">
            <v xml:space="preserve">111 </v>
          </cell>
          <cell r="T140" t="str">
            <v>511ks</v>
          </cell>
        </row>
        <row r="141">
          <cell r="L141">
            <v>65726</v>
          </cell>
          <cell r="S141" t="str">
            <v xml:space="preserve">111 </v>
          </cell>
          <cell r="T141" t="str">
            <v>3333331</v>
          </cell>
        </row>
        <row r="142">
          <cell r="L142">
            <v>1009091</v>
          </cell>
          <cell r="S142" t="str">
            <v xml:space="preserve">111 </v>
          </cell>
          <cell r="T142" t="str">
            <v>511ks</v>
          </cell>
        </row>
        <row r="143">
          <cell r="L143">
            <v>100909</v>
          </cell>
          <cell r="S143" t="str">
            <v xml:space="preserve">111 </v>
          </cell>
          <cell r="T143" t="str">
            <v>3333331</v>
          </cell>
        </row>
        <row r="144">
          <cell r="L144">
            <v>1178294</v>
          </cell>
          <cell r="S144" t="str">
            <v xml:space="preserve">111 </v>
          </cell>
          <cell r="T144" t="str">
            <v>642k</v>
          </cell>
        </row>
        <row r="145">
          <cell r="L145">
            <v>1800000</v>
          </cell>
          <cell r="S145" t="str">
            <v>141hoµ</v>
          </cell>
          <cell r="T145" t="str">
            <v>111</v>
          </cell>
        </row>
        <row r="146">
          <cell r="L146">
            <v>2200000</v>
          </cell>
          <cell r="S146" t="str">
            <v>141trý</v>
          </cell>
          <cell r="T146" t="str">
            <v>111</v>
          </cell>
        </row>
        <row r="147">
          <cell r="L147">
            <v>20000000</v>
          </cell>
          <cell r="S147" t="str">
            <v>112ct</v>
          </cell>
          <cell r="T147" t="str">
            <v>111</v>
          </cell>
        </row>
        <row r="148">
          <cell r="L148">
            <v>811440</v>
          </cell>
          <cell r="S148" t="str">
            <v>642®t</v>
          </cell>
          <cell r="T148" t="str">
            <v>111</v>
          </cell>
        </row>
        <row r="149">
          <cell r="L149">
            <v>63644</v>
          </cell>
          <cell r="S149" t="str">
            <v xml:space="preserve">133 </v>
          </cell>
          <cell r="T149" t="str">
            <v>111</v>
          </cell>
        </row>
        <row r="150">
          <cell r="L150">
            <v>860800</v>
          </cell>
          <cell r="S150" t="str">
            <v>642tk</v>
          </cell>
          <cell r="T150" t="str">
            <v>111</v>
          </cell>
        </row>
        <row r="151">
          <cell r="L151">
            <v>40800</v>
          </cell>
          <cell r="S151" t="str">
            <v xml:space="preserve">133 </v>
          </cell>
          <cell r="T151" t="str">
            <v>111</v>
          </cell>
        </row>
        <row r="152">
          <cell r="L152">
            <v>300000</v>
          </cell>
          <cell r="S152" t="str">
            <v>642bv</v>
          </cell>
          <cell r="T152" t="str">
            <v>111</v>
          </cell>
        </row>
        <row r="153">
          <cell r="L153">
            <v>972727</v>
          </cell>
          <cell r="S153" t="str">
            <v xml:space="preserve">111 </v>
          </cell>
          <cell r="T153" t="str">
            <v>511ks</v>
          </cell>
        </row>
        <row r="154">
          <cell r="L154">
            <v>97273</v>
          </cell>
          <cell r="S154" t="str">
            <v xml:space="preserve">111 </v>
          </cell>
          <cell r="T154" t="str">
            <v>3333331</v>
          </cell>
        </row>
        <row r="155">
          <cell r="L155">
            <v>901600</v>
          </cell>
          <cell r="S155" t="str">
            <v xml:space="preserve">111 </v>
          </cell>
          <cell r="T155" t="str">
            <v>141tþ</v>
          </cell>
        </row>
        <row r="156">
          <cell r="L156">
            <v>528134</v>
          </cell>
          <cell r="S156" t="str">
            <v>112ct</v>
          </cell>
          <cell r="T156" t="str">
            <v>711ct</v>
          </cell>
        </row>
        <row r="157">
          <cell r="L157">
            <v>2229349</v>
          </cell>
          <cell r="S157" t="str">
            <v>3333331</v>
          </cell>
          <cell r="T157" t="str">
            <v>111</v>
          </cell>
        </row>
        <row r="158">
          <cell r="L158">
            <v>3850000</v>
          </cell>
          <cell r="S158" t="str">
            <v xml:space="preserve">334 </v>
          </cell>
          <cell r="T158" t="str">
            <v>111</v>
          </cell>
        </row>
        <row r="159">
          <cell r="L159">
            <v>427273</v>
          </cell>
          <cell r="S159" t="str">
            <v xml:space="preserve">111 </v>
          </cell>
          <cell r="T159" t="str">
            <v>511ks</v>
          </cell>
        </row>
        <row r="160">
          <cell r="L160">
            <v>42727</v>
          </cell>
          <cell r="S160" t="str">
            <v xml:space="preserve">111 </v>
          </cell>
          <cell r="T160" t="str">
            <v>3333331</v>
          </cell>
        </row>
        <row r="161">
          <cell r="L161">
            <v>358992</v>
          </cell>
          <cell r="S161" t="str">
            <v>111</v>
          </cell>
          <cell r="T161" t="str">
            <v>338qldd</v>
          </cell>
        </row>
        <row r="162">
          <cell r="L162">
            <v>168480</v>
          </cell>
          <cell r="S162" t="str">
            <v>111</v>
          </cell>
          <cell r="T162" t="str">
            <v>338qldd</v>
          </cell>
        </row>
        <row r="163">
          <cell r="L163">
            <v>1032727</v>
          </cell>
          <cell r="S163" t="str">
            <v xml:space="preserve">111 </v>
          </cell>
          <cell r="T163" t="str">
            <v>511ks</v>
          </cell>
        </row>
        <row r="164">
          <cell r="L164">
            <v>103273</v>
          </cell>
          <cell r="S164" t="str">
            <v xml:space="preserve">111 </v>
          </cell>
          <cell r="T164" t="str">
            <v>3333331</v>
          </cell>
        </row>
        <row r="165">
          <cell r="L165">
            <v>4545455</v>
          </cell>
          <cell r="S165" t="str">
            <v xml:space="preserve">111 </v>
          </cell>
          <cell r="T165" t="str">
            <v>511ch</v>
          </cell>
        </row>
        <row r="166">
          <cell r="L166">
            <v>454545</v>
          </cell>
          <cell r="S166" t="str">
            <v xml:space="preserve">111 </v>
          </cell>
          <cell r="T166" t="str">
            <v>3333331</v>
          </cell>
        </row>
        <row r="167">
          <cell r="L167">
            <v>2536364</v>
          </cell>
          <cell r="S167" t="str">
            <v xml:space="preserve">111 </v>
          </cell>
          <cell r="T167" t="str">
            <v>511ks</v>
          </cell>
        </row>
        <row r="168">
          <cell r="L168">
            <v>253636</v>
          </cell>
          <cell r="S168" t="str">
            <v xml:space="preserve">111 </v>
          </cell>
          <cell r="T168" t="str">
            <v>3333331</v>
          </cell>
        </row>
        <row r="169">
          <cell r="L169">
            <v>272727</v>
          </cell>
          <cell r="S169" t="str">
            <v xml:space="preserve">111 </v>
          </cell>
          <cell r="T169" t="str">
            <v>511ks</v>
          </cell>
        </row>
        <row r="170">
          <cell r="L170">
            <v>27273</v>
          </cell>
          <cell r="S170" t="str">
            <v xml:space="preserve">111 </v>
          </cell>
          <cell r="T170" t="str">
            <v>3333331</v>
          </cell>
        </row>
        <row r="171">
          <cell r="L171">
            <v>813273</v>
          </cell>
          <cell r="S171" t="str">
            <v xml:space="preserve">111 </v>
          </cell>
          <cell r="T171" t="str">
            <v>511ks</v>
          </cell>
        </row>
        <row r="172">
          <cell r="L172">
            <v>81327</v>
          </cell>
          <cell r="S172" t="str">
            <v xml:space="preserve">111 </v>
          </cell>
          <cell r="T172" t="str">
            <v>3333331</v>
          </cell>
        </row>
        <row r="173">
          <cell r="L173">
            <v>1400350</v>
          </cell>
          <cell r="S173" t="str">
            <v xml:space="preserve">111 </v>
          </cell>
          <cell r="T173" t="str">
            <v>642dn</v>
          </cell>
        </row>
        <row r="174">
          <cell r="L174">
            <v>1266667</v>
          </cell>
          <cell r="S174" t="str">
            <v xml:space="preserve">111 </v>
          </cell>
          <cell r="T174" t="str">
            <v>3333332</v>
          </cell>
        </row>
        <row r="175">
          <cell r="L175">
            <v>145455</v>
          </cell>
          <cell r="S175" t="str">
            <v xml:space="preserve">111 </v>
          </cell>
          <cell r="T175" t="str">
            <v>511ks</v>
          </cell>
        </row>
        <row r="176">
          <cell r="L176">
            <v>14545</v>
          </cell>
          <cell r="S176" t="str">
            <v xml:space="preserve">111 </v>
          </cell>
          <cell r="T176" t="str">
            <v>3333331</v>
          </cell>
        </row>
        <row r="177">
          <cell r="L177">
            <v>60000</v>
          </cell>
          <cell r="S177" t="str">
            <v xml:space="preserve">111 </v>
          </cell>
          <cell r="T177" t="str">
            <v>511ks</v>
          </cell>
        </row>
        <row r="178">
          <cell r="L178">
            <v>6000</v>
          </cell>
          <cell r="S178" t="str">
            <v xml:space="preserve">111 </v>
          </cell>
          <cell r="T178" t="str">
            <v>3333331</v>
          </cell>
        </row>
        <row r="179">
          <cell r="L179">
            <v>450000</v>
          </cell>
          <cell r="S179" t="str">
            <v>642bv</v>
          </cell>
          <cell r="T179" t="str">
            <v>111</v>
          </cell>
        </row>
        <row r="180">
          <cell r="L180">
            <v>600000</v>
          </cell>
          <cell r="S180" t="str">
            <v>642l</v>
          </cell>
          <cell r="T180" t="str">
            <v>111</v>
          </cell>
        </row>
        <row r="181">
          <cell r="L181">
            <v>387503</v>
          </cell>
          <cell r="S181" t="str">
            <v>641ks</v>
          </cell>
          <cell r="T181" t="str">
            <v>111</v>
          </cell>
        </row>
        <row r="182">
          <cell r="L182">
            <v>1091538</v>
          </cell>
          <cell r="S182" t="str">
            <v>642vp</v>
          </cell>
          <cell r="T182" t="str">
            <v>111</v>
          </cell>
        </row>
        <row r="183">
          <cell r="L183">
            <v>146368</v>
          </cell>
          <cell r="S183" t="str">
            <v xml:space="preserve">133 </v>
          </cell>
          <cell r="T183" t="str">
            <v>111</v>
          </cell>
        </row>
        <row r="184">
          <cell r="L184">
            <v>120500</v>
          </cell>
          <cell r="S184" t="str">
            <v>642vp</v>
          </cell>
          <cell r="T184" t="str">
            <v>111</v>
          </cell>
        </row>
        <row r="185">
          <cell r="L185">
            <v>1800000</v>
          </cell>
          <cell r="S185" t="str">
            <v>642k</v>
          </cell>
          <cell r="T185" t="str">
            <v>111</v>
          </cell>
        </row>
        <row r="186">
          <cell r="L186">
            <v>418182</v>
          </cell>
          <cell r="S186" t="str">
            <v xml:space="preserve">111 </v>
          </cell>
          <cell r="T186" t="str">
            <v>511ks</v>
          </cell>
        </row>
        <row r="187">
          <cell r="L187">
            <v>41818</v>
          </cell>
          <cell r="S187" t="str">
            <v xml:space="preserve">111 </v>
          </cell>
          <cell r="T187" t="str">
            <v>3333331</v>
          </cell>
        </row>
        <row r="188">
          <cell r="L188">
            <v>654545</v>
          </cell>
          <cell r="S188" t="str">
            <v xml:space="preserve">111 </v>
          </cell>
          <cell r="T188" t="str">
            <v>511ks</v>
          </cell>
        </row>
        <row r="189">
          <cell r="L189">
            <v>65455</v>
          </cell>
          <cell r="S189" t="str">
            <v xml:space="preserve">111 </v>
          </cell>
          <cell r="T189" t="str">
            <v>3333331</v>
          </cell>
        </row>
        <row r="190">
          <cell r="L190">
            <v>830000</v>
          </cell>
          <cell r="S190" t="str">
            <v xml:space="preserve">111 </v>
          </cell>
          <cell r="T190" t="str">
            <v>141tþ</v>
          </cell>
        </row>
        <row r="191">
          <cell r="L191">
            <v>1800000</v>
          </cell>
          <cell r="S191" t="str">
            <v xml:space="preserve">111 </v>
          </cell>
          <cell r="T191" t="str">
            <v>141hoµ</v>
          </cell>
        </row>
        <row r="192">
          <cell r="L192">
            <v>801545</v>
          </cell>
          <cell r="S192" t="str">
            <v>642vp</v>
          </cell>
          <cell r="T192" t="str">
            <v>111</v>
          </cell>
        </row>
        <row r="193">
          <cell r="L193">
            <v>80155</v>
          </cell>
          <cell r="S193" t="str">
            <v xml:space="preserve">133 </v>
          </cell>
          <cell r="T193" t="str">
            <v>111</v>
          </cell>
        </row>
        <row r="194">
          <cell r="L194">
            <v>309000</v>
          </cell>
          <cell r="S194" t="str">
            <v>642vp</v>
          </cell>
          <cell r="T194" t="str">
            <v>111</v>
          </cell>
        </row>
        <row r="195">
          <cell r="L195">
            <v>212000</v>
          </cell>
          <cell r="S195" t="str">
            <v>641ks</v>
          </cell>
          <cell r="T195" t="str">
            <v>111</v>
          </cell>
        </row>
        <row r="196">
          <cell r="L196">
            <v>350000</v>
          </cell>
          <cell r="S196" t="str">
            <v xml:space="preserve">111 </v>
          </cell>
          <cell r="T196" t="str">
            <v>511ks</v>
          </cell>
        </row>
        <row r="197">
          <cell r="L197">
            <v>35000</v>
          </cell>
          <cell r="S197" t="str">
            <v xml:space="preserve">111 </v>
          </cell>
          <cell r="T197" t="str">
            <v>3333331</v>
          </cell>
        </row>
        <row r="198">
          <cell r="L198">
            <v>209091</v>
          </cell>
          <cell r="S198" t="str">
            <v xml:space="preserve">111 </v>
          </cell>
          <cell r="T198" t="str">
            <v>511ks</v>
          </cell>
        </row>
        <row r="199">
          <cell r="L199">
            <v>20909</v>
          </cell>
          <cell r="S199" t="str">
            <v xml:space="preserve">111 </v>
          </cell>
          <cell r="T199" t="str">
            <v>3333331</v>
          </cell>
        </row>
        <row r="200">
          <cell r="L200">
            <v>200000</v>
          </cell>
          <cell r="S200" t="str">
            <v>642k</v>
          </cell>
          <cell r="T200" t="str">
            <v>111</v>
          </cell>
        </row>
        <row r="201">
          <cell r="L201">
            <v>200000</v>
          </cell>
          <cell r="S201" t="str">
            <v xml:space="preserve">111 </v>
          </cell>
          <cell r="T201" t="str">
            <v>141l©m</v>
          </cell>
        </row>
        <row r="202">
          <cell r="L202">
            <v>727000</v>
          </cell>
          <cell r="S202" t="str">
            <v>642tk</v>
          </cell>
          <cell r="T202" t="str">
            <v>111</v>
          </cell>
        </row>
        <row r="203">
          <cell r="L203">
            <v>73000</v>
          </cell>
          <cell r="S203" t="str">
            <v xml:space="preserve">133 </v>
          </cell>
          <cell r="T203" t="str">
            <v>111</v>
          </cell>
        </row>
        <row r="204">
          <cell r="L204">
            <v>281800</v>
          </cell>
          <cell r="S204" t="str">
            <v xml:space="preserve">153 </v>
          </cell>
          <cell r="T204" t="str">
            <v>111</v>
          </cell>
        </row>
        <row r="205">
          <cell r="L205">
            <v>28200</v>
          </cell>
          <cell r="S205" t="str">
            <v xml:space="preserve">133 </v>
          </cell>
          <cell r="T205" t="str">
            <v>111</v>
          </cell>
        </row>
        <row r="206">
          <cell r="L206">
            <v>9000000</v>
          </cell>
          <cell r="S206" t="str">
            <v xml:space="preserve">111 </v>
          </cell>
          <cell r="T206" t="str">
            <v>511§t</v>
          </cell>
        </row>
        <row r="207">
          <cell r="L207">
            <v>5090909</v>
          </cell>
          <cell r="S207" t="str">
            <v xml:space="preserve">111 </v>
          </cell>
          <cell r="T207" t="str">
            <v>511§t</v>
          </cell>
        </row>
        <row r="208">
          <cell r="L208">
            <v>509091</v>
          </cell>
          <cell r="S208" t="str">
            <v xml:space="preserve">111 </v>
          </cell>
          <cell r="T208" t="str">
            <v>3333331</v>
          </cell>
        </row>
        <row r="209">
          <cell r="L209">
            <v>381818</v>
          </cell>
          <cell r="S209" t="str">
            <v xml:space="preserve">111 </v>
          </cell>
          <cell r="T209" t="str">
            <v>511ks</v>
          </cell>
        </row>
        <row r="210">
          <cell r="L210">
            <v>38182</v>
          </cell>
          <cell r="S210" t="str">
            <v xml:space="preserve">111 </v>
          </cell>
          <cell r="T210" t="str">
            <v>3333331</v>
          </cell>
        </row>
        <row r="211">
          <cell r="L211">
            <v>80000</v>
          </cell>
          <cell r="S211" t="str">
            <v xml:space="preserve">111 </v>
          </cell>
          <cell r="T211" t="str">
            <v>3333331</v>
          </cell>
        </row>
        <row r="212">
          <cell r="L212">
            <v>8727900</v>
          </cell>
          <cell r="S212" t="str">
            <v xml:space="preserve">211 </v>
          </cell>
          <cell r="T212" t="str">
            <v>111</v>
          </cell>
        </row>
        <row r="213">
          <cell r="L213">
            <v>436395</v>
          </cell>
          <cell r="S213" t="str">
            <v xml:space="preserve">133 </v>
          </cell>
          <cell r="T213" t="str">
            <v>111</v>
          </cell>
        </row>
        <row r="214">
          <cell r="L214">
            <v>798381</v>
          </cell>
          <cell r="S214" t="str">
            <v>642®t</v>
          </cell>
          <cell r="T214" t="str">
            <v>111</v>
          </cell>
        </row>
        <row r="215">
          <cell r="L215">
            <v>79838</v>
          </cell>
          <cell r="S215" t="str">
            <v xml:space="preserve">133 </v>
          </cell>
          <cell r="T215" t="str">
            <v>111</v>
          </cell>
        </row>
        <row r="216">
          <cell r="L216">
            <v>1025800</v>
          </cell>
          <cell r="S216" t="str">
            <v xml:space="preserve">111 </v>
          </cell>
          <cell r="T216" t="str">
            <v>141trý</v>
          </cell>
        </row>
        <row r="217">
          <cell r="L217">
            <v>2654092</v>
          </cell>
          <cell r="S217" t="str">
            <v xml:space="preserve">111 </v>
          </cell>
          <cell r="T217" t="str">
            <v>511ks</v>
          </cell>
        </row>
        <row r="218">
          <cell r="L218">
            <v>265408</v>
          </cell>
          <cell r="S218" t="str">
            <v xml:space="preserve">111 </v>
          </cell>
          <cell r="T218" t="str">
            <v>3333331</v>
          </cell>
        </row>
        <row r="219">
          <cell r="L219">
            <v>378597933</v>
          </cell>
          <cell r="S219" t="str">
            <v>331nk5</v>
          </cell>
          <cell r="T219" t="str">
            <v>112ct</v>
          </cell>
        </row>
        <row r="220">
          <cell r="L220">
            <v>100000000</v>
          </cell>
          <cell r="S220" t="str">
            <v>331nk5</v>
          </cell>
          <cell r="T220" t="str">
            <v>112ct</v>
          </cell>
        </row>
        <row r="221">
          <cell r="L221">
            <v>7398400</v>
          </cell>
          <cell r="S221" t="str">
            <v xml:space="preserve">211 </v>
          </cell>
          <cell r="T221" t="str">
            <v>111</v>
          </cell>
        </row>
        <row r="222">
          <cell r="L222">
            <v>688900</v>
          </cell>
          <cell r="S222" t="str">
            <v xml:space="preserve">133 </v>
          </cell>
          <cell r="T222" t="str">
            <v>111</v>
          </cell>
        </row>
        <row r="223">
          <cell r="L223">
            <v>3850000</v>
          </cell>
          <cell r="S223" t="str">
            <v xml:space="preserve">334 </v>
          </cell>
          <cell r="T223" t="str">
            <v>111</v>
          </cell>
        </row>
        <row r="224">
          <cell r="L224">
            <v>4500000</v>
          </cell>
          <cell r="S224" t="str">
            <v>641®t</v>
          </cell>
          <cell r="T224" t="str">
            <v>111</v>
          </cell>
        </row>
        <row r="225">
          <cell r="L225">
            <v>817920</v>
          </cell>
          <cell r="S225" t="str">
            <v>338qldd</v>
          </cell>
          <cell r="T225" t="str">
            <v>111</v>
          </cell>
        </row>
        <row r="226">
          <cell r="L226">
            <v>440000</v>
          </cell>
          <cell r="S226" t="str">
            <v>641ks</v>
          </cell>
          <cell r="T226" t="str">
            <v>111</v>
          </cell>
        </row>
        <row r="227">
          <cell r="L227">
            <v>1000000</v>
          </cell>
          <cell r="S227" t="str">
            <v xml:space="preserve">111 </v>
          </cell>
          <cell r="T227" t="str">
            <v>511ks</v>
          </cell>
        </row>
        <row r="228">
          <cell r="L228">
            <v>100000</v>
          </cell>
          <cell r="S228" t="str">
            <v xml:space="preserve">111 </v>
          </cell>
          <cell r="T228" t="str">
            <v>3333331</v>
          </cell>
        </row>
        <row r="229">
          <cell r="L229">
            <v>31000</v>
          </cell>
          <cell r="S229" t="str">
            <v xml:space="preserve">111 </v>
          </cell>
          <cell r="T229" t="str">
            <v>641ks</v>
          </cell>
        </row>
        <row r="230">
          <cell r="L230">
            <v>239547</v>
          </cell>
          <cell r="S230" t="str">
            <v>642vp</v>
          </cell>
          <cell r="T230" t="str">
            <v>111</v>
          </cell>
        </row>
        <row r="231">
          <cell r="L231">
            <v>745365</v>
          </cell>
          <cell r="S231" t="str">
            <v>641ks</v>
          </cell>
          <cell r="T231" t="str">
            <v>111</v>
          </cell>
        </row>
        <row r="232">
          <cell r="L232">
            <v>85990</v>
          </cell>
          <cell r="S232" t="str">
            <v xml:space="preserve">133 </v>
          </cell>
          <cell r="T232" t="str">
            <v>111</v>
          </cell>
        </row>
        <row r="233">
          <cell r="L233">
            <v>156400</v>
          </cell>
          <cell r="S233" t="str">
            <v>642vp</v>
          </cell>
          <cell r="T233" t="str">
            <v>111</v>
          </cell>
        </row>
        <row r="234">
          <cell r="L234">
            <v>632272</v>
          </cell>
          <cell r="S234" t="str">
            <v xml:space="preserve">153 </v>
          </cell>
          <cell r="T234" t="str">
            <v>111</v>
          </cell>
        </row>
        <row r="235">
          <cell r="L235">
            <v>46728</v>
          </cell>
          <cell r="S235" t="str">
            <v xml:space="preserve">133 </v>
          </cell>
          <cell r="T235" t="str">
            <v>111</v>
          </cell>
        </row>
        <row r="236">
          <cell r="L236">
            <v>418182</v>
          </cell>
          <cell r="S236" t="str">
            <v xml:space="preserve">111 </v>
          </cell>
          <cell r="T236" t="str">
            <v>511ks</v>
          </cell>
        </row>
        <row r="237">
          <cell r="L237">
            <v>41818</v>
          </cell>
          <cell r="S237" t="str">
            <v xml:space="preserve">111 </v>
          </cell>
          <cell r="T237" t="str">
            <v>3333331</v>
          </cell>
        </row>
        <row r="238">
          <cell r="L238">
            <v>346000</v>
          </cell>
          <cell r="S238" t="str">
            <v>642tk</v>
          </cell>
          <cell r="T238" t="str">
            <v>111</v>
          </cell>
        </row>
        <row r="239">
          <cell r="L239">
            <v>35000</v>
          </cell>
          <cell r="S239" t="str">
            <v xml:space="preserve">133 </v>
          </cell>
          <cell r="T239" t="str">
            <v>111</v>
          </cell>
        </row>
        <row r="240">
          <cell r="L240">
            <v>86000000</v>
          </cell>
          <cell r="S240" t="str">
            <v>112ct</v>
          </cell>
          <cell r="T240" t="str">
            <v>131klm</v>
          </cell>
        </row>
        <row r="241">
          <cell r="L241">
            <v>1236364</v>
          </cell>
          <cell r="S241" t="str">
            <v xml:space="preserve">111 </v>
          </cell>
          <cell r="T241" t="str">
            <v>511ks</v>
          </cell>
        </row>
        <row r="242">
          <cell r="L242">
            <v>123636</v>
          </cell>
          <cell r="S242" t="str">
            <v xml:space="preserve">111 </v>
          </cell>
          <cell r="T242" t="str">
            <v>3333331</v>
          </cell>
        </row>
        <row r="243">
          <cell r="L243">
            <v>250000</v>
          </cell>
          <cell r="S243" t="str">
            <v>642k</v>
          </cell>
          <cell r="T243" t="str">
            <v>111</v>
          </cell>
        </row>
        <row r="244">
          <cell r="L244">
            <v>10000000</v>
          </cell>
          <cell r="S244" t="str">
            <v xml:space="preserve">111 </v>
          </cell>
          <cell r="T244" t="str">
            <v>131klm</v>
          </cell>
        </row>
        <row r="245">
          <cell r="L245">
            <v>408206</v>
          </cell>
          <cell r="S245" t="str">
            <v>642®t</v>
          </cell>
          <cell r="T245" t="str">
            <v>111</v>
          </cell>
        </row>
        <row r="246">
          <cell r="L246">
            <v>34821</v>
          </cell>
          <cell r="S246" t="str">
            <v xml:space="preserve">133 </v>
          </cell>
          <cell r="T246" t="str">
            <v>111</v>
          </cell>
        </row>
        <row r="247">
          <cell r="L247">
            <v>160000</v>
          </cell>
          <cell r="S247" t="str">
            <v>141l©m</v>
          </cell>
          <cell r="T247" t="str">
            <v>111</v>
          </cell>
        </row>
        <row r="248">
          <cell r="L248">
            <v>1109091</v>
          </cell>
          <cell r="S248" t="str">
            <v xml:space="preserve">111 </v>
          </cell>
          <cell r="T248" t="str">
            <v>511ks</v>
          </cell>
        </row>
        <row r="249">
          <cell r="L249">
            <v>110909</v>
          </cell>
          <cell r="S249" t="str">
            <v xml:space="preserve">111 </v>
          </cell>
          <cell r="T249" t="str">
            <v>3333331</v>
          </cell>
        </row>
        <row r="250">
          <cell r="L250">
            <v>15000000</v>
          </cell>
          <cell r="S250" t="str">
            <v xml:space="preserve">111 </v>
          </cell>
          <cell r="T250" t="str">
            <v>131klm</v>
          </cell>
        </row>
        <row r="251">
          <cell r="L251">
            <v>1818182</v>
          </cell>
          <cell r="S251" t="str">
            <v xml:space="preserve">111 </v>
          </cell>
          <cell r="T251" t="str">
            <v>511ks</v>
          </cell>
        </row>
        <row r="252">
          <cell r="L252">
            <v>181818</v>
          </cell>
          <cell r="S252" t="str">
            <v xml:space="preserve">111 </v>
          </cell>
          <cell r="T252" t="str">
            <v>3333331</v>
          </cell>
        </row>
        <row r="253">
          <cell r="L253">
            <v>100000000</v>
          </cell>
          <cell r="S253" t="str">
            <v>331nk5</v>
          </cell>
          <cell r="T253" t="str">
            <v>112ct</v>
          </cell>
        </row>
        <row r="254">
          <cell r="L254">
            <v>300000</v>
          </cell>
          <cell r="S254" t="str">
            <v>642bv</v>
          </cell>
          <cell r="T254" t="str">
            <v>111</v>
          </cell>
        </row>
        <row r="255">
          <cell r="L255">
            <v>2030000</v>
          </cell>
          <cell r="S255" t="str">
            <v xml:space="preserve">153 </v>
          </cell>
          <cell r="T255" t="str">
            <v>111</v>
          </cell>
        </row>
        <row r="256">
          <cell r="L256">
            <v>4000000</v>
          </cell>
          <cell r="S256" t="str">
            <v>141hµ</v>
          </cell>
          <cell r="T256" t="str">
            <v>111</v>
          </cell>
        </row>
        <row r="257">
          <cell r="L257">
            <v>100000000</v>
          </cell>
          <cell r="S257" t="str">
            <v>112ct</v>
          </cell>
          <cell r="T257" t="str">
            <v>111</v>
          </cell>
        </row>
        <row r="258">
          <cell r="L258">
            <v>65000000</v>
          </cell>
          <cell r="S258" t="str">
            <v xml:space="preserve">111 </v>
          </cell>
          <cell r="T258" t="str">
            <v>131klm</v>
          </cell>
        </row>
        <row r="259">
          <cell r="L259">
            <v>3186430</v>
          </cell>
          <cell r="S259" t="str">
            <v>642dn</v>
          </cell>
          <cell r="T259" t="str">
            <v>111</v>
          </cell>
        </row>
        <row r="260">
          <cell r="L260">
            <v>318643</v>
          </cell>
          <cell r="S260" t="str">
            <v xml:space="preserve">133 </v>
          </cell>
          <cell r="T260" t="str">
            <v>111</v>
          </cell>
        </row>
        <row r="261">
          <cell r="L261">
            <v>54000</v>
          </cell>
          <cell r="S261" t="str">
            <v>641ks</v>
          </cell>
          <cell r="T261" t="str">
            <v>111</v>
          </cell>
        </row>
        <row r="262">
          <cell r="L262">
            <v>390909</v>
          </cell>
          <cell r="S262" t="str">
            <v xml:space="preserve">111 </v>
          </cell>
          <cell r="T262" t="str">
            <v>511ks</v>
          </cell>
        </row>
        <row r="263">
          <cell r="L263">
            <v>39091</v>
          </cell>
          <cell r="S263" t="str">
            <v xml:space="preserve">111 </v>
          </cell>
          <cell r="T263" t="str">
            <v>3333331</v>
          </cell>
        </row>
        <row r="264">
          <cell r="L264">
            <v>490910</v>
          </cell>
          <cell r="S264" t="str">
            <v xml:space="preserve">111 </v>
          </cell>
          <cell r="T264" t="str">
            <v>511ks</v>
          </cell>
        </row>
        <row r="265">
          <cell r="L265">
            <v>49090</v>
          </cell>
          <cell r="S265" t="str">
            <v xml:space="preserve">111 </v>
          </cell>
          <cell r="T265" t="str">
            <v>3333331</v>
          </cell>
        </row>
        <row r="266">
          <cell r="L266">
            <v>1770189</v>
          </cell>
          <cell r="S266" t="str">
            <v>3333331</v>
          </cell>
          <cell r="T266" t="str">
            <v>111</v>
          </cell>
        </row>
        <row r="267">
          <cell r="L267">
            <v>48000</v>
          </cell>
          <cell r="S267" t="str">
            <v>641ks</v>
          </cell>
          <cell r="T267" t="str">
            <v>111</v>
          </cell>
        </row>
        <row r="268">
          <cell r="L268">
            <v>105500</v>
          </cell>
          <cell r="S268" t="str">
            <v>642vp</v>
          </cell>
          <cell r="T268" t="str">
            <v>111</v>
          </cell>
        </row>
        <row r="269">
          <cell r="L269">
            <v>1818182</v>
          </cell>
          <cell r="S269" t="str">
            <v>641kd</v>
          </cell>
          <cell r="T269" t="str">
            <v>111</v>
          </cell>
        </row>
        <row r="270">
          <cell r="L270">
            <v>181818</v>
          </cell>
          <cell r="S270" t="str">
            <v xml:space="preserve">133 </v>
          </cell>
          <cell r="T270" t="str">
            <v>111</v>
          </cell>
        </row>
        <row r="271">
          <cell r="L271">
            <v>459000</v>
          </cell>
          <cell r="S271" t="str">
            <v>642tk</v>
          </cell>
          <cell r="T271" t="str">
            <v>111</v>
          </cell>
        </row>
        <row r="272">
          <cell r="L272">
            <v>46000</v>
          </cell>
          <cell r="S272" t="str">
            <v xml:space="preserve">133 </v>
          </cell>
          <cell r="T272" t="str">
            <v>111</v>
          </cell>
        </row>
        <row r="273">
          <cell r="L273">
            <v>1561091</v>
          </cell>
          <cell r="S273" t="str">
            <v xml:space="preserve">111 </v>
          </cell>
          <cell r="T273" t="str">
            <v>511ks</v>
          </cell>
        </row>
        <row r="274">
          <cell r="L274">
            <v>156109</v>
          </cell>
          <cell r="S274" t="str">
            <v xml:space="preserve">111 </v>
          </cell>
          <cell r="T274" t="str">
            <v>3333331</v>
          </cell>
        </row>
        <row r="275">
          <cell r="L275">
            <v>120000000</v>
          </cell>
          <cell r="S275" t="str">
            <v>112ct</v>
          </cell>
          <cell r="T275" t="str">
            <v>131klm</v>
          </cell>
        </row>
        <row r="276">
          <cell r="L276">
            <v>13000000</v>
          </cell>
          <cell r="S276" t="str">
            <v xml:space="preserve">111 </v>
          </cell>
          <cell r="T276" t="str">
            <v>131klm</v>
          </cell>
        </row>
        <row r="277">
          <cell r="L277">
            <v>497385</v>
          </cell>
          <cell r="S277" t="str">
            <v>112ct</v>
          </cell>
          <cell r="T277" t="str">
            <v>711ct</v>
          </cell>
        </row>
        <row r="278">
          <cell r="L278">
            <v>180000000</v>
          </cell>
          <cell r="S278" t="str">
            <v>331nk5</v>
          </cell>
          <cell r="T278" t="str">
            <v>112ct</v>
          </cell>
        </row>
        <row r="279">
          <cell r="L279">
            <v>553954</v>
          </cell>
          <cell r="S279" t="str">
            <v>642vp</v>
          </cell>
          <cell r="T279" t="str">
            <v>111</v>
          </cell>
        </row>
        <row r="280">
          <cell r="L280">
            <v>41046</v>
          </cell>
          <cell r="S280" t="str">
            <v xml:space="preserve">133 </v>
          </cell>
          <cell r="T280" t="str">
            <v>111</v>
          </cell>
        </row>
        <row r="281">
          <cell r="L281">
            <v>3249713</v>
          </cell>
          <cell r="S281" t="str">
            <v xml:space="preserve">334 </v>
          </cell>
          <cell r="T281" t="str">
            <v>111</v>
          </cell>
        </row>
        <row r="282">
          <cell r="L282">
            <v>436364</v>
          </cell>
          <cell r="S282" t="str">
            <v xml:space="preserve">111 </v>
          </cell>
          <cell r="T282" t="str">
            <v>511ks</v>
          </cell>
        </row>
        <row r="283">
          <cell r="L283">
            <v>43636</v>
          </cell>
          <cell r="S283" t="str">
            <v xml:space="preserve">111 </v>
          </cell>
          <cell r="T283" t="str">
            <v>3333331</v>
          </cell>
        </row>
        <row r="284">
          <cell r="L284">
            <v>2227273</v>
          </cell>
          <cell r="S284" t="str">
            <v xml:space="preserve">111 </v>
          </cell>
          <cell r="T284" t="str">
            <v>511ks</v>
          </cell>
        </row>
        <row r="285">
          <cell r="L285">
            <v>222727</v>
          </cell>
          <cell r="S285" t="str">
            <v xml:space="preserve">111 </v>
          </cell>
          <cell r="T285" t="str">
            <v>3333331</v>
          </cell>
        </row>
        <row r="286">
          <cell r="L286">
            <v>83500</v>
          </cell>
          <cell r="S286" t="str">
            <v xml:space="preserve">111 </v>
          </cell>
          <cell r="T286" t="str">
            <v>641ks</v>
          </cell>
        </row>
        <row r="287">
          <cell r="L287">
            <v>895455</v>
          </cell>
          <cell r="S287" t="str">
            <v xml:space="preserve">111 </v>
          </cell>
          <cell r="T287" t="str">
            <v>511ks</v>
          </cell>
        </row>
        <row r="288">
          <cell r="L288">
            <v>89545</v>
          </cell>
          <cell r="S288" t="str">
            <v xml:space="preserve">111 </v>
          </cell>
          <cell r="T288" t="str">
            <v>3333331</v>
          </cell>
        </row>
        <row r="289">
          <cell r="L289">
            <v>61500</v>
          </cell>
          <cell r="S289" t="str">
            <v>642tk</v>
          </cell>
          <cell r="T289" t="str">
            <v>111</v>
          </cell>
        </row>
        <row r="290">
          <cell r="L290">
            <v>630400</v>
          </cell>
          <cell r="S290" t="str">
            <v xml:space="preserve">111 </v>
          </cell>
          <cell r="T290" t="str">
            <v>642dn</v>
          </cell>
        </row>
        <row r="291">
          <cell r="L291">
            <v>81818</v>
          </cell>
          <cell r="S291" t="str">
            <v xml:space="preserve">111 </v>
          </cell>
          <cell r="T291" t="str">
            <v>511ks</v>
          </cell>
        </row>
        <row r="292">
          <cell r="L292">
            <v>8182</v>
          </cell>
          <cell r="S292" t="str">
            <v xml:space="preserve">111 </v>
          </cell>
          <cell r="T292" t="str">
            <v>3333331</v>
          </cell>
        </row>
        <row r="293">
          <cell r="L293">
            <v>22000000</v>
          </cell>
          <cell r="S293" t="str">
            <v xml:space="preserve">111 </v>
          </cell>
          <cell r="T293" t="str">
            <v>131klm</v>
          </cell>
        </row>
        <row r="294">
          <cell r="L294">
            <v>1078909</v>
          </cell>
          <cell r="S294" t="str">
            <v xml:space="preserve">111 </v>
          </cell>
          <cell r="T294" t="str">
            <v>511ks</v>
          </cell>
        </row>
        <row r="295">
          <cell r="L295">
            <v>107891</v>
          </cell>
          <cell r="S295" t="str">
            <v xml:space="preserve">111 </v>
          </cell>
          <cell r="T295" t="str">
            <v>3333331</v>
          </cell>
        </row>
        <row r="296">
          <cell r="L296">
            <v>500285</v>
          </cell>
          <cell r="S296" t="str">
            <v xml:space="preserve">111 </v>
          </cell>
          <cell r="T296" t="str">
            <v>3333332</v>
          </cell>
        </row>
        <row r="297">
          <cell r="L297">
            <v>800000</v>
          </cell>
          <cell r="S297" t="str">
            <v xml:space="preserve">111 </v>
          </cell>
          <cell r="T297" t="str">
            <v>511ks</v>
          </cell>
        </row>
        <row r="298">
          <cell r="L298">
            <v>100000000</v>
          </cell>
          <cell r="S298" t="str">
            <v xml:space="preserve">111 </v>
          </cell>
          <cell r="T298" t="str">
            <v>131klm</v>
          </cell>
        </row>
        <row r="299">
          <cell r="L299">
            <v>390000</v>
          </cell>
          <cell r="S299" t="str">
            <v>642bv</v>
          </cell>
          <cell r="T299" t="str">
            <v>111</v>
          </cell>
        </row>
        <row r="300">
          <cell r="L300">
            <v>1000000</v>
          </cell>
          <cell r="S300" t="str">
            <v>141hµ</v>
          </cell>
          <cell r="T300" t="str">
            <v>111</v>
          </cell>
        </row>
        <row r="301">
          <cell r="L301">
            <v>120000000</v>
          </cell>
          <cell r="S301" t="str">
            <v>112ct</v>
          </cell>
          <cell r="T301" t="str">
            <v>111</v>
          </cell>
        </row>
        <row r="302">
          <cell r="L302">
            <v>418182</v>
          </cell>
          <cell r="S302" t="str">
            <v xml:space="preserve">111 </v>
          </cell>
          <cell r="T302" t="str">
            <v>511ks</v>
          </cell>
        </row>
        <row r="303">
          <cell r="L303">
            <v>41818</v>
          </cell>
          <cell r="S303" t="str">
            <v xml:space="preserve">111 </v>
          </cell>
          <cell r="T303" t="str">
            <v>3333331</v>
          </cell>
        </row>
        <row r="304">
          <cell r="L304">
            <v>103000</v>
          </cell>
          <cell r="S304" t="str">
            <v>642vp</v>
          </cell>
          <cell r="T304" t="str">
            <v>111</v>
          </cell>
        </row>
        <row r="305">
          <cell r="L305">
            <v>6500000</v>
          </cell>
          <cell r="S305" t="str">
            <v>641®t</v>
          </cell>
          <cell r="T305" t="str">
            <v>111</v>
          </cell>
        </row>
        <row r="306">
          <cell r="L306">
            <v>2150000</v>
          </cell>
          <cell r="S306" t="str">
            <v>141l©m</v>
          </cell>
          <cell r="T306" t="str">
            <v>111</v>
          </cell>
        </row>
        <row r="307">
          <cell r="L307">
            <v>4545455</v>
          </cell>
          <cell r="S307" t="str">
            <v xml:space="preserve">111 </v>
          </cell>
          <cell r="T307" t="str">
            <v>511ch</v>
          </cell>
        </row>
        <row r="308">
          <cell r="L308">
            <v>454545</v>
          </cell>
          <cell r="S308" t="str">
            <v xml:space="preserve">111 </v>
          </cell>
          <cell r="T308" t="str">
            <v>3333331</v>
          </cell>
        </row>
        <row r="309">
          <cell r="L309">
            <v>2909091</v>
          </cell>
          <cell r="S309" t="str">
            <v xml:space="preserve">111 </v>
          </cell>
          <cell r="T309" t="str">
            <v>511ks</v>
          </cell>
        </row>
        <row r="310">
          <cell r="L310">
            <v>290909</v>
          </cell>
          <cell r="S310" t="str">
            <v xml:space="preserve">111 </v>
          </cell>
          <cell r="T310" t="str">
            <v>3333331</v>
          </cell>
        </row>
        <row r="311">
          <cell r="L311">
            <v>717000</v>
          </cell>
          <cell r="S311" t="str">
            <v xml:space="preserve">111 </v>
          </cell>
          <cell r="T311" t="str">
            <v>642dn</v>
          </cell>
        </row>
        <row r="312">
          <cell r="L312">
            <v>495273</v>
          </cell>
          <cell r="S312" t="str">
            <v xml:space="preserve">111 </v>
          </cell>
          <cell r="T312" t="str">
            <v>511ks</v>
          </cell>
        </row>
        <row r="313">
          <cell r="L313">
            <v>49527</v>
          </cell>
          <cell r="S313" t="str">
            <v xml:space="preserve">111 </v>
          </cell>
          <cell r="T313" t="str">
            <v>3333331</v>
          </cell>
        </row>
        <row r="314">
          <cell r="L314">
            <v>140000000</v>
          </cell>
          <cell r="S314" t="str">
            <v>331nk5</v>
          </cell>
          <cell r="T314" t="str">
            <v>112ct</v>
          </cell>
        </row>
        <row r="315">
          <cell r="L315">
            <v>291636</v>
          </cell>
          <cell r="S315" t="str">
            <v>641ks</v>
          </cell>
          <cell r="T315" t="str">
            <v>111</v>
          </cell>
        </row>
        <row r="316">
          <cell r="L316">
            <v>11364</v>
          </cell>
          <cell r="S316" t="str">
            <v xml:space="preserve">133 </v>
          </cell>
          <cell r="T316" t="str">
            <v>111</v>
          </cell>
        </row>
        <row r="317">
          <cell r="L317">
            <v>4686000</v>
          </cell>
          <cell r="S317" t="str">
            <v>641®t</v>
          </cell>
          <cell r="T317" t="str">
            <v>111</v>
          </cell>
        </row>
        <row r="318">
          <cell r="L318">
            <v>2310000</v>
          </cell>
          <cell r="S318" t="str">
            <v xml:space="preserve">111 </v>
          </cell>
          <cell r="T318" t="str">
            <v>141l©m</v>
          </cell>
        </row>
        <row r="319">
          <cell r="L319">
            <v>70000000</v>
          </cell>
          <cell r="S319" t="str">
            <v>112ct</v>
          </cell>
          <cell r="T319" t="str">
            <v>111</v>
          </cell>
        </row>
        <row r="320">
          <cell r="L320">
            <v>872728</v>
          </cell>
          <cell r="S320" t="str">
            <v xml:space="preserve">111 </v>
          </cell>
          <cell r="T320" t="str">
            <v>511ks</v>
          </cell>
        </row>
        <row r="321">
          <cell r="L321">
            <v>87272</v>
          </cell>
          <cell r="S321" t="str">
            <v xml:space="preserve">111 </v>
          </cell>
          <cell r="T321" t="str">
            <v>3333331</v>
          </cell>
        </row>
        <row r="322">
          <cell r="L322">
            <v>1318182</v>
          </cell>
          <cell r="S322" t="str">
            <v xml:space="preserve">111 </v>
          </cell>
          <cell r="T322" t="str">
            <v>511ks</v>
          </cell>
        </row>
        <row r="323">
          <cell r="L323">
            <v>131818</v>
          </cell>
          <cell r="S323" t="str">
            <v xml:space="preserve">111 </v>
          </cell>
          <cell r="T323" t="str">
            <v>3333331</v>
          </cell>
        </row>
        <row r="324">
          <cell r="L324">
            <v>336364</v>
          </cell>
          <cell r="S324" t="str">
            <v xml:space="preserve">111 </v>
          </cell>
          <cell r="T324" t="str">
            <v>511ks</v>
          </cell>
        </row>
        <row r="325">
          <cell r="L325">
            <v>33636</v>
          </cell>
          <cell r="S325" t="str">
            <v xml:space="preserve">111 </v>
          </cell>
          <cell r="T325" t="str">
            <v>3333331</v>
          </cell>
        </row>
        <row r="326">
          <cell r="L326">
            <v>41000</v>
          </cell>
          <cell r="S326" t="str">
            <v xml:space="preserve">111 </v>
          </cell>
          <cell r="T326" t="str">
            <v>641ks</v>
          </cell>
        </row>
        <row r="327">
          <cell r="L327">
            <v>1174200</v>
          </cell>
          <cell r="S327" t="str">
            <v xml:space="preserve">111 </v>
          </cell>
          <cell r="T327" t="str">
            <v>141trý</v>
          </cell>
        </row>
        <row r="328">
          <cell r="L328">
            <v>50000000</v>
          </cell>
          <cell r="S328" t="str">
            <v>112ct</v>
          </cell>
          <cell r="T328" t="str">
            <v>131klm</v>
          </cell>
        </row>
        <row r="329">
          <cell r="L329">
            <v>350000</v>
          </cell>
          <cell r="S329" t="str">
            <v>141dòng</v>
          </cell>
          <cell r="T329" t="str">
            <v>111</v>
          </cell>
        </row>
        <row r="330">
          <cell r="L330">
            <v>1500000</v>
          </cell>
          <cell r="S330" t="str">
            <v>141l©m</v>
          </cell>
          <cell r="T330" t="str">
            <v>111</v>
          </cell>
        </row>
        <row r="331">
          <cell r="L331">
            <v>766000</v>
          </cell>
          <cell r="S331" t="str">
            <v>642tk</v>
          </cell>
          <cell r="T331" t="str">
            <v>111</v>
          </cell>
        </row>
        <row r="332">
          <cell r="L332">
            <v>100000</v>
          </cell>
          <cell r="S332" t="str">
            <v>642tk</v>
          </cell>
          <cell r="T332" t="str">
            <v>111</v>
          </cell>
        </row>
        <row r="333">
          <cell r="L333">
            <v>936552</v>
          </cell>
          <cell r="S333" t="str">
            <v>642®t</v>
          </cell>
          <cell r="T333" t="str">
            <v>111</v>
          </cell>
        </row>
        <row r="334">
          <cell r="L334">
            <v>93655</v>
          </cell>
          <cell r="S334" t="str">
            <v xml:space="preserve">133 </v>
          </cell>
          <cell r="T334" t="str">
            <v>111</v>
          </cell>
        </row>
        <row r="335">
          <cell r="L335">
            <v>107000000</v>
          </cell>
          <cell r="S335" t="str">
            <v>331nk5</v>
          </cell>
          <cell r="T335" t="str">
            <v>111</v>
          </cell>
        </row>
        <row r="336">
          <cell r="L336">
            <v>200000</v>
          </cell>
          <cell r="S336" t="str">
            <v>141l©m</v>
          </cell>
          <cell r="T336" t="str">
            <v>111</v>
          </cell>
        </row>
        <row r="337">
          <cell r="L337">
            <v>700000</v>
          </cell>
          <cell r="S337" t="str">
            <v>141l©m</v>
          </cell>
          <cell r="T337" t="str">
            <v>111</v>
          </cell>
        </row>
        <row r="338">
          <cell r="L338">
            <v>23500000</v>
          </cell>
          <cell r="S338" t="str">
            <v>141dòng</v>
          </cell>
          <cell r="T338" t="str">
            <v>111</v>
          </cell>
        </row>
        <row r="339">
          <cell r="L339">
            <v>866000</v>
          </cell>
          <cell r="S339" t="str">
            <v xml:space="preserve">111 </v>
          </cell>
          <cell r="T339" t="str">
            <v>141tþ</v>
          </cell>
        </row>
        <row r="340">
          <cell r="L340">
            <v>107000000</v>
          </cell>
          <cell r="S340" t="str">
            <v xml:space="preserve">111 </v>
          </cell>
          <cell r="T340" t="str">
            <v>131klm</v>
          </cell>
        </row>
        <row r="341">
          <cell r="L341">
            <v>390909</v>
          </cell>
          <cell r="S341" t="str">
            <v xml:space="preserve">111 </v>
          </cell>
          <cell r="T341" t="str">
            <v>511ks</v>
          </cell>
        </row>
        <row r="342">
          <cell r="L342">
            <v>39091</v>
          </cell>
          <cell r="S342" t="str">
            <v xml:space="preserve">111 </v>
          </cell>
          <cell r="T342" t="str">
            <v>3333331</v>
          </cell>
        </row>
        <row r="343">
          <cell r="L343">
            <v>20000000</v>
          </cell>
          <cell r="S343" t="str">
            <v xml:space="preserve">111 </v>
          </cell>
          <cell r="T343" t="str">
            <v>131klm</v>
          </cell>
        </row>
        <row r="344">
          <cell r="L344">
            <v>4100000</v>
          </cell>
          <cell r="S344" t="str">
            <v xml:space="preserve">334 </v>
          </cell>
          <cell r="T344" t="str">
            <v>111</v>
          </cell>
        </row>
        <row r="345">
          <cell r="L345">
            <v>733680</v>
          </cell>
          <cell r="S345" t="str">
            <v>338qldd</v>
          </cell>
          <cell r="T345" t="str">
            <v>111</v>
          </cell>
        </row>
        <row r="346">
          <cell r="L346">
            <v>65000000</v>
          </cell>
          <cell r="S346" t="str">
            <v xml:space="preserve">111 </v>
          </cell>
          <cell r="T346" t="str">
            <v>131klm</v>
          </cell>
        </row>
        <row r="347">
          <cell r="L347">
            <v>4000000</v>
          </cell>
          <cell r="S347" t="str">
            <v xml:space="preserve">111 </v>
          </cell>
          <cell r="T347" t="str">
            <v>511§t</v>
          </cell>
        </row>
        <row r="348">
          <cell r="L348">
            <v>50000000</v>
          </cell>
          <cell r="S348" t="str">
            <v>331nk5</v>
          </cell>
          <cell r="T348" t="str">
            <v>112ct</v>
          </cell>
        </row>
        <row r="349">
          <cell r="L349">
            <v>1260000</v>
          </cell>
          <cell r="S349" t="str">
            <v>641®t</v>
          </cell>
          <cell r="T349" t="str">
            <v>111</v>
          </cell>
        </row>
        <row r="350">
          <cell r="L350">
            <v>18500000</v>
          </cell>
          <cell r="S350" t="str">
            <v xml:space="preserve">111 </v>
          </cell>
          <cell r="T350" t="str">
            <v>131klm</v>
          </cell>
        </row>
        <row r="351">
          <cell r="L351">
            <v>1845454</v>
          </cell>
          <cell r="S351" t="str">
            <v xml:space="preserve">153 </v>
          </cell>
          <cell r="T351" t="str">
            <v>111</v>
          </cell>
        </row>
        <row r="352">
          <cell r="L352">
            <v>184546</v>
          </cell>
          <cell r="S352" t="str">
            <v xml:space="preserve">133 </v>
          </cell>
          <cell r="T352" t="str">
            <v>111</v>
          </cell>
        </row>
        <row r="353">
          <cell r="L353">
            <v>299500</v>
          </cell>
          <cell r="S353" t="str">
            <v>642sc</v>
          </cell>
          <cell r="T353" t="str">
            <v>111</v>
          </cell>
        </row>
        <row r="354">
          <cell r="L354">
            <v>4700</v>
          </cell>
          <cell r="S354" t="str">
            <v xml:space="preserve">133 </v>
          </cell>
          <cell r="T354" t="str">
            <v>111</v>
          </cell>
        </row>
        <row r="355">
          <cell r="L355">
            <v>218000</v>
          </cell>
          <cell r="S355" t="str">
            <v>642vp</v>
          </cell>
          <cell r="T355" t="str">
            <v>111</v>
          </cell>
        </row>
        <row r="356">
          <cell r="L356">
            <v>77000</v>
          </cell>
          <cell r="S356" t="str">
            <v>642vp</v>
          </cell>
          <cell r="T356" t="str">
            <v>111</v>
          </cell>
        </row>
        <row r="357">
          <cell r="L357">
            <v>507000</v>
          </cell>
          <cell r="S357" t="str">
            <v>641®t</v>
          </cell>
          <cell r="T357" t="str">
            <v>111</v>
          </cell>
        </row>
        <row r="358">
          <cell r="L358">
            <v>2015000</v>
          </cell>
          <cell r="S358" t="str">
            <v>642vp</v>
          </cell>
          <cell r="T358" t="str">
            <v>111</v>
          </cell>
        </row>
        <row r="359">
          <cell r="L359">
            <v>201500</v>
          </cell>
          <cell r="S359" t="str">
            <v xml:space="preserve">133 </v>
          </cell>
          <cell r="T359" t="str">
            <v>111</v>
          </cell>
        </row>
        <row r="360">
          <cell r="L360">
            <v>674508</v>
          </cell>
          <cell r="S360" t="str">
            <v>642®t</v>
          </cell>
          <cell r="T360" t="str">
            <v>111</v>
          </cell>
        </row>
        <row r="361">
          <cell r="L361">
            <v>67451</v>
          </cell>
          <cell r="S361" t="str">
            <v xml:space="preserve">133 </v>
          </cell>
          <cell r="T361" t="str">
            <v>111</v>
          </cell>
        </row>
        <row r="362">
          <cell r="L362">
            <v>254546</v>
          </cell>
          <cell r="S362" t="str">
            <v xml:space="preserve">111 </v>
          </cell>
          <cell r="T362" t="str">
            <v>511ks</v>
          </cell>
        </row>
        <row r="363">
          <cell r="L363">
            <v>25454</v>
          </cell>
          <cell r="S363" t="str">
            <v xml:space="preserve">111 </v>
          </cell>
          <cell r="T363" t="str">
            <v>3333331</v>
          </cell>
        </row>
        <row r="364">
          <cell r="L364">
            <v>200000</v>
          </cell>
          <cell r="S364" t="str">
            <v xml:space="preserve">111 </v>
          </cell>
          <cell r="T364" t="str">
            <v>141l©m</v>
          </cell>
        </row>
        <row r="365">
          <cell r="L365">
            <v>28000000</v>
          </cell>
          <cell r="S365" t="str">
            <v xml:space="preserve">111 </v>
          </cell>
          <cell r="T365" t="str">
            <v>131klm</v>
          </cell>
        </row>
        <row r="366">
          <cell r="L366">
            <v>70000000</v>
          </cell>
          <cell r="S366" t="str">
            <v>331nk5</v>
          </cell>
          <cell r="T366" t="str">
            <v>112ct</v>
          </cell>
        </row>
        <row r="367">
          <cell r="L367">
            <v>50000000</v>
          </cell>
          <cell r="S367" t="str">
            <v>112ct</v>
          </cell>
          <cell r="T367" t="str">
            <v>111</v>
          </cell>
        </row>
        <row r="368">
          <cell r="L368">
            <v>500000</v>
          </cell>
          <cell r="S368" t="str">
            <v>141dòng</v>
          </cell>
          <cell r="T368" t="str">
            <v>111</v>
          </cell>
        </row>
        <row r="369">
          <cell r="L369">
            <v>2000000</v>
          </cell>
          <cell r="S369" t="str">
            <v>141hoµ</v>
          </cell>
          <cell r="T369" t="str">
            <v>111</v>
          </cell>
        </row>
        <row r="370">
          <cell r="L370">
            <v>300000</v>
          </cell>
          <cell r="S370" t="str">
            <v>642bv</v>
          </cell>
          <cell r="T370" t="str">
            <v>111</v>
          </cell>
        </row>
        <row r="371">
          <cell r="L371">
            <v>345454</v>
          </cell>
          <cell r="S371" t="str">
            <v xml:space="preserve">111 </v>
          </cell>
          <cell r="T371" t="str">
            <v>511ks</v>
          </cell>
        </row>
        <row r="372">
          <cell r="L372">
            <v>34546</v>
          </cell>
          <cell r="S372" t="str">
            <v xml:space="preserve">111 </v>
          </cell>
          <cell r="T372" t="str">
            <v>3333331</v>
          </cell>
        </row>
        <row r="373">
          <cell r="L373">
            <v>140000</v>
          </cell>
          <cell r="S373" t="str">
            <v>641ks</v>
          </cell>
          <cell r="T373" t="str">
            <v>111</v>
          </cell>
        </row>
        <row r="374">
          <cell r="L374">
            <v>1590911</v>
          </cell>
          <cell r="S374" t="str">
            <v xml:space="preserve">111 </v>
          </cell>
          <cell r="T374" t="str">
            <v>511ks</v>
          </cell>
        </row>
        <row r="375">
          <cell r="L375">
            <v>159089</v>
          </cell>
          <cell r="S375" t="str">
            <v xml:space="preserve">111 </v>
          </cell>
          <cell r="T375" t="str">
            <v>3333331</v>
          </cell>
        </row>
        <row r="376">
          <cell r="L376">
            <v>448182</v>
          </cell>
          <cell r="S376" t="str">
            <v>642vp</v>
          </cell>
          <cell r="T376" t="str">
            <v>111</v>
          </cell>
        </row>
        <row r="377">
          <cell r="L377">
            <v>1418</v>
          </cell>
          <cell r="S377" t="str">
            <v xml:space="preserve">133 </v>
          </cell>
          <cell r="T377" t="str">
            <v>111</v>
          </cell>
        </row>
        <row r="378">
          <cell r="L378">
            <v>23000000</v>
          </cell>
          <cell r="S378" t="str">
            <v>141dòng</v>
          </cell>
          <cell r="T378" t="str">
            <v>111</v>
          </cell>
        </row>
        <row r="379">
          <cell r="L379">
            <v>350000</v>
          </cell>
          <cell r="S379" t="str">
            <v xml:space="preserve">111 </v>
          </cell>
          <cell r="T379" t="str">
            <v>141dòng</v>
          </cell>
        </row>
        <row r="380">
          <cell r="L380">
            <v>21500000</v>
          </cell>
          <cell r="S380" t="str">
            <v xml:space="preserve">111 </v>
          </cell>
          <cell r="T380" t="str">
            <v>131klm</v>
          </cell>
        </row>
        <row r="381">
          <cell r="L381">
            <v>50000000</v>
          </cell>
          <cell r="S381" t="str">
            <v>331nk5</v>
          </cell>
          <cell r="T381" t="str">
            <v>112ct</v>
          </cell>
        </row>
        <row r="382">
          <cell r="L382">
            <v>890910</v>
          </cell>
          <cell r="S382" t="str">
            <v xml:space="preserve">111 </v>
          </cell>
          <cell r="T382" t="str">
            <v>511ks</v>
          </cell>
        </row>
        <row r="383">
          <cell r="L383">
            <v>89090</v>
          </cell>
          <cell r="S383" t="str">
            <v xml:space="preserve">111 </v>
          </cell>
          <cell r="T383" t="str">
            <v>3333331</v>
          </cell>
        </row>
        <row r="384">
          <cell r="L384">
            <v>96820</v>
          </cell>
          <cell r="S384" t="str">
            <v>112ct</v>
          </cell>
          <cell r="T384" t="str">
            <v>711ct</v>
          </cell>
        </row>
        <row r="385">
          <cell r="L385">
            <v>2677160</v>
          </cell>
          <cell r="S385" t="str">
            <v>642dn</v>
          </cell>
          <cell r="T385" t="str">
            <v>111</v>
          </cell>
        </row>
        <row r="386">
          <cell r="L386">
            <v>267716</v>
          </cell>
          <cell r="S386" t="str">
            <v xml:space="preserve">133 </v>
          </cell>
          <cell r="T386" t="str">
            <v>111</v>
          </cell>
        </row>
        <row r="387">
          <cell r="L387">
            <v>91000000</v>
          </cell>
          <cell r="S387" t="str">
            <v>112ct</v>
          </cell>
          <cell r="T387" t="str">
            <v>111</v>
          </cell>
        </row>
        <row r="388">
          <cell r="L388">
            <v>91000000</v>
          </cell>
          <cell r="S388" t="str">
            <v xml:space="preserve">111 </v>
          </cell>
          <cell r="T388" t="str">
            <v>131klm</v>
          </cell>
        </row>
        <row r="389">
          <cell r="L389">
            <v>100000000</v>
          </cell>
          <cell r="S389" t="str">
            <v>331nk5</v>
          </cell>
          <cell r="T389" t="str">
            <v>112ct</v>
          </cell>
        </row>
        <row r="390">
          <cell r="L390">
            <v>3200000</v>
          </cell>
          <cell r="S390" t="str">
            <v xml:space="preserve">334 </v>
          </cell>
          <cell r="T390" t="str">
            <v>111</v>
          </cell>
        </row>
        <row r="391">
          <cell r="L391">
            <v>3173384</v>
          </cell>
          <cell r="S391" t="str">
            <v xml:space="preserve">334 </v>
          </cell>
          <cell r="T391" t="str">
            <v>111</v>
          </cell>
        </row>
        <row r="392">
          <cell r="L392">
            <v>150000000</v>
          </cell>
          <cell r="S392" t="str">
            <v>331nk5</v>
          </cell>
          <cell r="T392" t="str">
            <v>111</v>
          </cell>
        </row>
        <row r="393">
          <cell r="L393">
            <v>22950000</v>
          </cell>
          <cell r="S393" t="str">
            <v xml:space="preserve">111 </v>
          </cell>
          <cell r="T393" t="str">
            <v>511§t</v>
          </cell>
        </row>
        <row r="394">
          <cell r="L394">
            <v>150000000</v>
          </cell>
          <cell r="S394" t="str">
            <v xml:space="preserve">111 </v>
          </cell>
          <cell r="T394" t="str">
            <v>131klm</v>
          </cell>
        </row>
        <row r="395">
          <cell r="L395">
            <v>1205777</v>
          </cell>
          <cell r="S395" t="str">
            <v>3333331</v>
          </cell>
          <cell r="T395" t="str">
            <v>111</v>
          </cell>
        </row>
        <row r="396">
          <cell r="L396">
            <v>125000</v>
          </cell>
          <cell r="S396" t="str">
            <v>642vp</v>
          </cell>
          <cell r="T396" t="str">
            <v>111</v>
          </cell>
        </row>
        <row r="397">
          <cell r="L397">
            <v>313300</v>
          </cell>
          <cell r="S397" t="str">
            <v>642vp</v>
          </cell>
          <cell r="T397" t="str">
            <v>111</v>
          </cell>
        </row>
        <row r="398">
          <cell r="L398">
            <v>1278359</v>
          </cell>
          <cell r="S398" t="str">
            <v xml:space="preserve">111 </v>
          </cell>
          <cell r="T398" t="str">
            <v>3333332</v>
          </cell>
        </row>
        <row r="399">
          <cell r="L399">
            <v>597272</v>
          </cell>
          <cell r="S399" t="str">
            <v xml:space="preserve">111 </v>
          </cell>
          <cell r="T399" t="str">
            <v>511ks</v>
          </cell>
        </row>
        <row r="400">
          <cell r="L400">
            <v>59728</v>
          </cell>
          <cell r="S400" t="str">
            <v xml:space="preserve">111 </v>
          </cell>
          <cell r="T400" t="str">
            <v>3333331</v>
          </cell>
        </row>
        <row r="401">
          <cell r="L401">
            <v>694650</v>
          </cell>
          <cell r="S401" t="str">
            <v xml:space="preserve">111 </v>
          </cell>
          <cell r="T401" t="str">
            <v>641ks</v>
          </cell>
        </row>
        <row r="402">
          <cell r="L402">
            <v>59000</v>
          </cell>
          <cell r="S402" t="str">
            <v>642tk</v>
          </cell>
          <cell r="T402" t="str">
            <v>111</v>
          </cell>
        </row>
        <row r="403">
          <cell r="L403">
            <v>4545455</v>
          </cell>
          <cell r="S403" t="str">
            <v xml:space="preserve">111 </v>
          </cell>
          <cell r="T403" t="str">
            <v>511ch</v>
          </cell>
        </row>
        <row r="404">
          <cell r="L404">
            <v>454545</v>
          </cell>
          <cell r="S404" t="str">
            <v xml:space="preserve">111 </v>
          </cell>
          <cell r="T404" t="str">
            <v>3333331</v>
          </cell>
        </row>
        <row r="405">
          <cell r="L405">
            <v>2909091</v>
          </cell>
          <cell r="S405" t="str">
            <v xml:space="preserve">111 </v>
          </cell>
          <cell r="T405" t="str">
            <v>511ks</v>
          </cell>
        </row>
        <row r="406">
          <cell r="L406">
            <v>290909</v>
          </cell>
          <cell r="S406" t="str">
            <v xml:space="preserve">111 </v>
          </cell>
          <cell r="T406" t="str">
            <v>3333331</v>
          </cell>
        </row>
        <row r="407">
          <cell r="L407">
            <v>667500</v>
          </cell>
          <cell r="S407" t="str">
            <v xml:space="preserve">111 </v>
          </cell>
          <cell r="T407" t="str">
            <v>642dn</v>
          </cell>
        </row>
        <row r="408">
          <cell r="L408">
            <v>763909</v>
          </cell>
          <cell r="S408" t="str">
            <v xml:space="preserve">111 </v>
          </cell>
          <cell r="T408" t="str">
            <v>511ks</v>
          </cell>
        </row>
        <row r="409">
          <cell r="L409">
            <v>76391</v>
          </cell>
          <cell r="S409" t="str">
            <v xml:space="preserve">111 </v>
          </cell>
          <cell r="T409" t="str">
            <v>3333331</v>
          </cell>
        </row>
        <row r="410">
          <cell r="L410">
            <v>74358</v>
          </cell>
          <cell r="S410" t="str">
            <v xml:space="preserve">111 </v>
          </cell>
          <cell r="T410" t="str">
            <v>3383384</v>
          </cell>
        </row>
        <row r="411">
          <cell r="L411">
            <v>495720</v>
          </cell>
          <cell r="S411" t="str">
            <v xml:space="preserve">111 </v>
          </cell>
          <cell r="T411" t="str">
            <v>3383383</v>
          </cell>
        </row>
        <row r="412">
          <cell r="L412">
            <v>49572</v>
          </cell>
          <cell r="S412" t="str">
            <v xml:space="preserve">111 </v>
          </cell>
          <cell r="T412" t="str">
            <v>3383382</v>
          </cell>
        </row>
        <row r="413">
          <cell r="L413">
            <v>109091</v>
          </cell>
          <cell r="S413" t="str">
            <v xml:space="preserve">111 </v>
          </cell>
          <cell r="T413" t="str">
            <v>511ks</v>
          </cell>
        </row>
        <row r="414">
          <cell r="L414">
            <v>10909</v>
          </cell>
          <cell r="S414" t="str">
            <v xml:space="preserve">111 </v>
          </cell>
          <cell r="T414" t="str">
            <v>3333331</v>
          </cell>
        </row>
        <row r="415">
          <cell r="L415">
            <v>325000</v>
          </cell>
          <cell r="S415" t="str">
            <v>642bv</v>
          </cell>
          <cell r="T415" t="str">
            <v>111</v>
          </cell>
        </row>
        <row r="416">
          <cell r="L416">
            <v>16800000</v>
          </cell>
          <cell r="S416" t="str">
            <v xml:space="preserve">111 </v>
          </cell>
          <cell r="T416" t="str">
            <v>511§t</v>
          </cell>
        </row>
        <row r="417">
          <cell r="L417">
            <v>1681273</v>
          </cell>
          <cell r="S417" t="str">
            <v xml:space="preserve">111 </v>
          </cell>
          <cell r="T417" t="str">
            <v>511ks</v>
          </cell>
        </row>
        <row r="418">
          <cell r="L418">
            <v>168127</v>
          </cell>
          <cell r="S418" t="str">
            <v xml:space="preserve">111 </v>
          </cell>
          <cell r="T418" t="str">
            <v>3333331</v>
          </cell>
        </row>
        <row r="419">
          <cell r="L419">
            <v>1154545</v>
          </cell>
          <cell r="S419" t="str">
            <v xml:space="preserve">111 </v>
          </cell>
          <cell r="T419" t="str">
            <v>511ks</v>
          </cell>
        </row>
        <row r="420">
          <cell r="L420">
            <v>115455</v>
          </cell>
          <cell r="S420" t="str">
            <v xml:space="preserve">111 </v>
          </cell>
          <cell r="T420" t="str">
            <v>3333331</v>
          </cell>
        </row>
        <row r="421">
          <cell r="L421">
            <v>32500</v>
          </cell>
          <cell r="S421" t="str">
            <v xml:space="preserve">111 </v>
          </cell>
          <cell r="T421" t="str">
            <v>641ks</v>
          </cell>
        </row>
        <row r="422">
          <cell r="L422">
            <v>1000000</v>
          </cell>
          <cell r="S422" t="str">
            <v>641®t</v>
          </cell>
          <cell r="T422" t="str">
            <v>111</v>
          </cell>
        </row>
        <row r="423">
          <cell r="L423">
            <v>72000</v>
          </cell>
          <cell r="S423" t="str">
            <v>641ks</v>
          </cell>
          <cell r="T423" t="str">
            <v>111</v>
          </cell>
        </row>
        <row r="424">
          <cell r="L424">
            <v>1500000</v>
          </cell>
          <cell r="S424" t="str">
            <v xml:space="preserve">153 </v>
          </cell>
          <cell r="T424" t="str">
            <v>111</v>
          </cell>
        </row>
        <row r="425">
          <cell r="L425">
            <v>150000</v>
          </cell>
          <cell r="S425" t="str">
            <v xml:space="preserve">133 </v>
          </cell>
          <cell r="T425" t="str">
            <v>111</v>
          </cell>
        </row>
        <row r="426">
          <cell r="L426">
            <v>185000</v>
          </cell>
          <cell r="S426" t="str">
            <v>641ks</v>
          </cell>
          <cell r="T426" t="str">
            <v>111</v>
          </cell>
        </row>
        <row r="427">
          <cell r="L427">
            <v>15000</v>
          </cell>
          <cell r="S427" t="str">
            <v xml:space="preserve">133 </v>
          </cell>
          <cell r="T427" t="str">
            <v>111</v>
          </cell>
        </row>
        <row r="428">
          <cell r="L428">
            <v>5000000</v>
          </cell>
          <cell r="S428" t="str">
            <v>141hµ</v>
          </cell>
          <cell r="T428" t="str">
            <v>111</v>
          </cell>
        </row>
        <row r="429">
          <cell r="L429">
            <v>661819</v>
          </cell>
          <cell r="S429" t="str">
            <v xml:space="preserve">111 </v>
          </cell>
          <cell r="T429" t="str">
            <v>511ks</v>
          </cell>
        </row>
        <row r="430">
          <cell r="L430">
            <v>66181</v>
          </cell>
          <cell r="S430" t="str">
            <v xml:space="preserve">111 </v>
          </cell>
          <cell r="T430" t="str">
            <v>3333331</v>
          </cell>
        </row>
        <row r="431">
          <cell r="L431">
            <v>1009092</v>
          </cell>
          <cell r="S431" t="str">
            <v xml:space="preserve">111 </v>
          </cell>
          <cell r="T431" t="str">
            <v>511ks</v>
          </cell>
        </row>
        <row r="432">
          <cell r="L432">
            <v>100908</v>
          </cell>
          <cell r="S432" t="str">
            <v xml:space="preserve">111 </v>
          </cell>
          <cell r="T432" t="str">
            <v>3333331</v>
          </cell>
        </row>
        <row r="433">
          <cell r="L433">
            <v>951518</v>
          </cell>
          <cell r="S433" t="str">
            <v>642vp</v>
          </cell>
          <cell r="T433" t="str">
            <v>111</v>
          </cell>
        </row>
        <row r="434">
          <cell r="L434">
            <v>94982</v>
          </cell>
          <cell r="S434" t="str">
            <v xml:space="preserve">133 </v>
          </cell>
          <cell r="T434" t="str">
            <v>111</v>
          </cell>
        </row>
        <row r="435">
          <cell r="L435">
            <v>73000</v>
          </cell>
          <cell r="S435" t="str">
            <v>642sc</v>
          </cell>
          <cell r="T435" t="str">
            <v>111</v>
          </cell>
        </row>
        <row r="436">
          <cell r="L436">
            <v>38500</v>
          </cell>
          <cell r="S436" t="str">
            <v>642sc</v>
          </cell>
          <cell r="T436" t="str">
            <v>111</v>
          </cell>
        </row>
        <row r="437">
          <cell r="L437">
            <v>701000</v>
          </cell>
          <cell r="S437" t="str">
            <v>642tk</v>
          </cell>
          <cell r="T437" t="str">
            <v>111</v>
          </cell>
        </row>
        <row r="438">
          <cell r="L438">
            <v>57000000</v>
          </cell>
          <cell r="S438" t="str">
            <v xml:space="preserve">111 </v>
          </cell>
          <cell r="T438" t="str">
            <v>131klm</v>
          </cell>
        </row>
        <row r="439">
          <cell r="L439">
            <v>60000000</v>
          </cell>
          <cell r="S439" t="str">
            <v>331nk5</v>
          </cell>
          <cell r="T439" t="str">
            <v>111</v>
          </cell>
        </row>
        <row r="440">
          <cell r="L440">
            <v>4363635</v>
          </cell>
          <cell r="S440" t="str">
            <v xml:space="preserve">153 </v>
          </cell>
          <cell r="T440" t="str">
            <v>111</v>
          </cell>
        </row>
        <row r="441">
          <cell r="L441">
            <v>436364</v>
          </cell>
          <cell r="S441" t="str">
            <v xml:space="preserve">133 </v>
          </cell>
          <cell r="T441" t="str">
            <v>111</v>
          </cell>
        </row>
        <row r="442">
          <cell r="L442">
            <v>440000</v>
          </cell>
          <cell r="S442" t="str">
            <v>141dòng</v>
          </cell>
          <cell r="T442" t="str">
            <v>111</v>
          </cell>
        </row>
        <row r="443">
          <cell r="L443">
            <v>627273</v>
          </cell>
          <cell r="S443" t="str">
            <v xml:space="preserve">111 </v>
          </cell>
          <cell r="T443" t="str">
            <v>511ks</v>
          </cell>
        </row>
        <row r="444">
          <cell r="L444">
            <v>62727</v>
          </cell>
          <cell r="S444" t="str">
            <v xml:space="preserve">111 </v>
          </cell>
          <cell r="T444" t="str">
            <v>3333331</v>
          </cell>
        </row>
        <row r="445">
          <cell r="L445">
            <v>481500</v>
          </cell>
          <cell r="S445" t="str">
            <v>641dl</v>
          </cell>
          <cell r="T445" t="str">
            <v>111</v>
          </cell>
        </row>
        <row r="446">
          <cell r="L446">
            <v>440000</v>
          </cell>
          <cell r="S446" t="str">
            <v xml:space="preserve">111 </v>
          </cell>
          <cell r="T446" t="str">
            <v>141dòng</v>
          </cell>
        </row>
        <row r="447">
          <cell r="L447">
            <v>95000</v>
          </cell>
          <cell r="S447" t="str">
            <v>642vp</v>
          </cell>
          <cell r="T447" t="str">
            <v>111</v>
          </cell>
        </row>
        <row r="448">
          <cell r="L448">
            <v>85800</v>
          </cell>
          <cell r="S448" t="str">
            <v>642vp</v>
          </cell>
          <cell r="T448" t="str">
            <v>111</v>
          </cell>
        </row>
        <row r="449">
          <cell r="L449">
            <v>50000000</v>
          </cell>
          <cell r="S449" t="str">
            <v>112ct</v>
          </cell>
          <cell r="T449" t="str">
            <v>111</v>
          </cell>
        </row>
        <row r="450">
          <cell r="L450">
            <v>645455</v>
          </cell>
          <cell r="S450" t="str">
            <v xml:space="preserve">111 </v>
          </cell>
          <cell r="T450" t="str">
            <v>511ks</v>
          </cell>
        </row>
        <row r="451">
          <cell r="L451">
            <v>64545</v>
          </cell>
          <cell r="S451" t="str">
            <v xml:space="preserve">111 </v>
          </cell>
          <cell r="T451" t="str">
            <v>3333331</v>
          </cell>
        </row>
        <row r="452">
          <cell r="L452">
            <v>43000000</v>
          </cell>
          <cell r="S452" t="str">
            <v xml:space="preserve">111 </v>
          </cell>
          <cell r="T452" t="str">
            <v>131klm</v>
          </cell>
        </row>
        <row r="453">
          <cell r="L453">
            <v>436364</v>
          </cell>
          <cell r="S453" t="str">
            <v xml:space="preserve">111 </v>
          </cell>
          <cell r="T453" t="str">
            <v>511ks</v>
          </cell>
        </row>
        <row r="454">
          <cell r="L454">
            <v>43636</v>
          </cell>
          <cell r="S454" t="str">
            <v xml:space="preserve">111 </v>
          </cell>
          <cell r="T454" t="str">
            <v>3333331</v>
          </cell>
        </row>
        <row r="455">
          <cell r="L455">
            <v>120000</v>
          </cell>
          <cell r="S455" t="str">
            <v>641ks</v>
          </cell>
          <cell r="T455" t="str">
            <v>111</v>
          </cell>
        </row>
        <row r="456">
          <cell r="L456">
            <v>190000</v>
          </cell>
          <cell r="S456" t="str">
            <v>641ks</v>
          </cell>
          <cell r="T456" t="str">
            <v>111</v>
          </cell>
        </row>
        <row r="457">
          <cell r="L457">
            <v>252382</v>
          </cell>
          <cell r="S457" t="str">
            <v>642ct</v>
          </cell>
          <cell r="T457" t="str">
            <v>111</v>
          </cell>
        </row>
        <row r="458">
          <cell r="L458">
            <v>7618</v>
          </cell>
          <cell r="S458" t="str">
            <v xml:space="preserve">133 </v>
          </cell>
          <cell r="T458" t="str">
            <v>111</v>
          </cell>
        </row>
        <row r="459">
          <cell r="L459">
            <v>333400</v>
          </cell>
          <cell r="S459" t="str">
            <v>641®t</v>
          </cell>
          <cell r="T459" t="str">
            <v>111</v>
          </cell>
        </row>
        <row r="460">
          <cell r="L460">
            <v>16600</v>
          </cell>
          <cell r="S460" t="str">
            <v xml:space="preserve">133 </v>
          </cell>
          <cell r="T460" t="str">
            <v>111</v>
          </cell>
        </row>
        <row r="461">
          <cell r="L461">
            <v>412000</v>
          </cell>
          <cell r="S461" t="str">
            <v>642tk</v>
          </cell>
          <cell r="T461" t="str">
            <v>111</v>
          </cell>
        </row>
        <row r="462">
          <cell r="L462">
            <v>1000000</v>
          </cell>
          <cell r="S462" t="str">
            <v>141hµ</v>
          </cell>
          <cell r="T462" t="str">
            <v>111</v>
          </cell>
        </row>
        <row r="463">
          <cell r="L463">
            <v>1610272</v>
          </cell>
          <cell r="S463" t="str">
            <v xml:space="preserve">111 </v>
          </cell>
          <cell r="T463" t="str">
            <v>511ks</v>
          </cell>
        </row>
        <row r="464">
          <cell r="L464">
            <v>161028</v>
          </cell>
          <cell r="S464" t="str">
            <v xml:space="preserve">111 </v>
          </cell>
          <cell r="T464" t="str">
            <v>3333331</v>
          </cell>
        </row>
        <row r="465">
          <cell r="L465">
            <v>4378246</v>
          </cell>
          <cell r="S465" t="str">
            <v xml:space="preserve">334 </v>
          </cell>
          <cell r="T465" t="str">
            <v>111</v>
          </cell>
        </row>
        <row r="466">
          <cell r="L466">
            <v>796860</v>
          </cell>
          <cell r="S466" t="str">
            <v>338qldd</v>
          </cell>
          <cell r="T466" t="str">
            <v>111</v>
          </cell>
        </row>
        <row r="467">
          <cell r="L467">
            <v>666364</v>
          </cell>
          <cell r="S467" t="str">
            <v xml:space="preserve">111 </v>
          </cell>
          <cell r="T467" t="str">
            <v>511ks</v>
          </cell>
        </row>
        <row r="468">
          <cell r="L468">
            <v>66636</v>
          </cell>
          <cell r="S468" t="str">
            <v xml:space="preserve">111 </v>
          </cell>
          <cell r="T468" t="str">
            <v>3333331</v>
          </cell>
        </row>
        <row r="469">
          <cell r="L469">
            <v>672000</v>
          </cell>
          <cell r="S469" t="str">
            <v xml:space="preserve">111 </v>
          </cell>
          <cell r="T469" t="str">
            <v>141dòng</v>
          </cell>
        </row>
        <row r="470">
          <cell r="L470">
            <v>1421377</v>
          </cell>
          <cell r="S470" t="str">
            <v>642®t</v>
          </cell>
          <cell r="T470" t="str">
            <v>111</v>
          </cell>
        </row>
        <row r="471">
          <cell r="L471">
            <v>142138</v>
          </cell>
          <cell r="S471" t="str">
            <v xml:space="preserve">133 </v>
          </cell>
          <cell r="T471" t="str">
            <v>111</v>
          </cell>
        </row>
        <row r="472">
          <cell r="L472">
            <v>714000</v>
          </cell>
          <cell r="S472" t="str">
            <v>642tk</v>
          </cell>
          <cell r="T472" t="str">
            <v>111</v>
          </cell>
        </row>
        <row r="473">
          <cell r="L473">
            <v>165300</v>
          </cell>
          <cell r="S473" t="str">
            <v>642vp</v>
          </cell>
          <cell r="T473" t="str">
            <v>111</v>
          </cell>
        </row>
        <row r="474">
          <cell r="L474">
            <v>136364</v>
          </cell>
          <cell r="S474" t="str">
            <v xml:space="preserve">111 </v>
          </cell>
          <cell r="T474" t="str">
            <v>511ks</v>
          </cell>
        </row>
        <row r="475">
          <cell r="L475">
            <v>13636</v>
          </cell>
          <cell r="S475" t="str">
            <v xml:space="preserve">111 </v>
          </cell>
          <cell r="T475" t="str">
            <v>3333331</v>
          </cell>
        </row>
        <row r="476">
          <cell r="L476">
            <v>4461000</v>
          </cell>
          <cell r="S476" t="str">
            <v>642sc</v>
          </cell>
          <cell r="T476" t="str">
            <v>111</v>
          </cell>
        </row>
        <row r="477">
          <cell r="L477">
            <v>47700</v>
          </cell>
          <cell r="S477" t="str">
            <v xml:space="preserve">133 </v>
          </cell>
          <cell r="T477" t="str">
            <v>111</v>
          </cell>
        </row>
        <row r="478">
          <cell r="L478">
            <v>670001</v>
          </cell>
          <cell r="S478" t="str">
            <v xml:space="preserve">111 </v>
          </cell>
          <cell r="T478" t="str">
            <v>511ks</v>
          </cell>
        </row>
        <row r="479">
          <cell r="L479">
            <v>66999</v>
          </cell>
          <cell r="S479" t="str">
            <v xml:space="preserve">111 </v>
          </cell>
          <cell r="T479" t="str">
            <v>3333331</v>
          </cell>
        </row>
        <row r="480">
          <cell r="L480">
            <v>2200000</v>
          </cell>
          <cell r="S480" t="str">
            <v xml:space="preserve">111 </v>
          </cell>
          <cell r="T480" t="str">
            <v>141l©m</v>
          </cell>
        </row>
        <row r="481">
          <cell r="L481">
            <v>1050000</v>
          </cell>
          <cell r="S481" t="str">
            <v xml:space="preserve">153 </v>
          </cell>
          <cell r="T481" t="str">
            <v>111</v>
          </cell>
        </row>
        <row r="482">
          <cell r="L482">
            <v>10000000</v>
          </cell>
          <cell r="S482" t="str">
            <v xml:space="preserve">111 </v>
          </cell>
          <cell r="T482" t="str">
            <v>131vib</v>
          </cell>
        </row>
        <row r="483">
          <cell r="L483">
            <v>2418000</v>
          </cell>
          <cell r="S483" t="str">
            <v xml:space="preserve">111 </v>
          </cell>
          <cell r="T483" t="str">
            <v>131vib</v>
          </cell>
        </row>
        <row r="484">
          <cell r="L484">
            <v>25820000</v>
          </cell>
          <cell r="S484" t="str">
            <v xml:space="preserve">111 </v>
          </cell>
          <cell r="T484" t="str">
            <v>131vib</v>
          </cell>
        </row>
        <row r="485">
          <cell r="L485">
            <v>256365</v>
          </cell>
          <cell r="S485" t="str">
            <v>642®t</v>
          </cell>
          <cell r="T485" t="str">
            <v>111</v>
          </cell>
        </row>
        <row r="486">
          <cell r="L486">
            <v>1185544</v>
          </cell>
          <cell r="S486" t="str">
            <v>642®t</v>
          </cell>
          <cell r="T486" t="str">
            <v>111</v>
          </cell>
        </row>
        <row r="487">
          <cell r="L487">
            <v>144193</v>
          </cell>
          <cell r="S487" t="str">
            <v xml:space="preserve">133 </v>
          </cell>
          <cell r="T487" t="str">
            <v>111</v>
          </cell>
        </row>
        <row r="488">
          <cell r="L488">
            <v>60000</v>
          </cell>
          <cell r="S488" t="str">
            <v>642vp</v>
          </cell>
          <cell r="T488" t="str">
            <v>111</v>
          </cell>
        </row>
        <row r="489">
          <cell r="L489">
            <v>170200</v>
          </cell>
          <cell r="S489" t="str">
            <v>642vp</v>
          </cell>
          <cell r="T489" t="str">
            <v>111</v>
          </cell>
        </row>
        <row r="490">
          <cell r="L490">
            <v>270000</v>
          </cell>
          <cell r="S490" t="str">
            <v>642tk</v>
          </cell>
          <cell r="T490" t="str">
            <v>111</v>
          </cell>
        </row>
        <row r="491">
          <cell r="L491">
            <v>915070</v>
          </cell>
          <cell r="S491" t="str">
            <v>642vp</v>
          </cell>
          <cell r="T491" t="str">
            <v>111</v>
          </cell>
        </row>
        <row r="492">
          <cell r="L492">
            <v>91507</v>
          </cell>
          <cell r="S492" t="str">
            <v xml:space="preserve">133 </v>
          </cell>
          <cell r="T492" t="str">
            <v>111</v>
          </cell>
        </row>
        <row r="493">
          <cell r="L493">
            <v>300000</v>
          </cell>
          <cell r="S493" t="str">
            <v>642bv</v>
          </cell>
          <cell r="T493" t="str">
            <v>111</v>
          </cell>
        </row>
        <row r="494">
          <cell r="L494">
            <v>16000000</v>
          </cell>
          <cell r="S494" t="str">
            <v xml:space="preserve">111 </v>
          </cell>
          <cell r="T494" t="str">
            <v>131klm</v>
          </cell>
        </row>
        <row r="495">
          <cell r="L495">
            <v>50000000</v>
          </cell>
          <cell r="S495" t="str">
            <v>331nk5</v>
          </cell>
          <cell r="T495" t="str">
            <v>112ct</v>
          </cell>
        </row>
        <row r="496">
          <cell r="L496">
            <v>1750000</v>
          </cell>
          <cell r="S496" t="str">
            <v xml:space="preserve">153 </v>
          </cell>
          <cell r="T496" t="str">
            <v>111</v>
          </cell>
        </row>
        <row r="497">
          <cell r="L497">
            <v>80000</v>
          </cell>
          <cell r="S497" t="str">
            <v>642dc</v>
          </cell>
          <cell r="T497" t="str">
            <v>111</v>
          </cell>
        </row>
        <row r="498">
          <cell r="L498">
            <v>345912</v>
          </cell>
          <cell r="S498" t="str">
            <v>642vp</v>
          </cell>
          <cell r="T498" t="str">
            <v>111</v>
          </cell>
        </row>
        <row r="499">
          <cell r="L499">
            <v>34591</v>
          </cell>
          <cell r="S499" t="str">
            <v xml:space="preserve">133 </v>
          </cell>
          <cell r="T499" t="str">
            <v>111</v>
          </cell>
        </row>
        <row r="500">
          <cell r="L500">
            <v>150000</v>
          </cell>
          <cell r="S500" t="str">
            <v>641ks</v>
          </cell>
          <cell r="T500" t="str">
            <v>111</v>
          </cell>
        </row>
        <row r="501">
          <cell r="L501">
            <v>11090476</v>
          </cell>
          <cell r="S501" t="str">
            <v>641dl</v>
          </cell>
          <cell r="T501" t="str">
            <v>111</v>
          </cell>
        </row>
        <row r="502">
          <cell r="L502">
            <v>554524</v>
          </cell>
          <cell r="S502" t="str">
            <v xml:space="preserve">133 </v>
          </cell>
          <cell r="T502" t="str">
            <v>111</v>
          </cell>
        </row>
        <row r="503">
          <cell r="L503">
            <v>1002192</v>
          </cell>
          <cell r="S503" t="str">
            <v>642tk</v>
          </cell>
          <cell r="T503" t="str">
            <v>111</v>
          </cell>
        </row>
        <row r="504">
          <cell r="L504">
            <v>11808</v>
          </cell>
          <cell r="S504" t="str">
            <v xml:space="preserve">133 </v>
          </cell>
          <cell r="T504" t="str">
            <v>111</v>
          </cell>
        </row>
        <row r="505">
          <cell r="L505">
            <v>3000000</v>
          </cell>
          <cell r="S505" t="str">
            <v>141hµ</v>
          </cell>
          <cell r="T505" t="str">
            <v>111</v>
          </cell>
        </row>
        <row r="506">
          <cell r="L506">
            <v>206182</v>
          </cell>
          <cell r="S506" t="str">
            <v xml:space="preserve">111 </v>
          </cell>
          <cell r="T506" t="str">
            <v>511ks</v>
          </cell>
        </row>
        <row r="507">
          <cell r="L507">
            <v>20618</v>
          </cell>
          <cell r="S507" t="str">
            <v xml:space="preserve">111 </v>
          </cell>
          <cell r="T507" t="str">
            <v>3333331</v>
          </cell>
        </row>
        <row r="508">
          <cell r="L508">
            <v>1000000</v>
          </cell>
          <cell r="S508" t="str">
            <v xml:space="preserve">111 </v>
          </cell>
          <cell r="T508" t="str">
            <v>141hµ</v>
          </cell>
        </row>
        <row r="509">
          <cell r="L509">
            <v>5000000</v>
          </cell>
          <cell r="S509" t="str">
            <v xml:space="preserve">111 </v>
          </cell>
          <cell r="T509" t="str">
            <v>141hµ</v>
          </cell>
        </row>
        <row r="510">
          <cell r="L510">
            <v>218182</v>
          </cell>
          <cell r="S510" t="str">
            <v xml:space="preserve">111 </v>
          </cell>
          <cell r="T510" t="str">
            <v>511ks</v>
          </cell>
        </row>
        <row r="511">
          <cell r="L511">
            <v>21818</v>
          </cell>
          <cell r="S511" t="str">
            <v xml:space="preserve">111 </v>
          </cell>
          <cell r="T511" t="str">
            <v>3333331</v>
          </cell>
        </row>
        <row r="512">
          <cell r="L512">
            <v>2727272</v>
          </cell>
          <cell r="S512" t="str">
            <v>641kd</v>
          </cell>
          <cell r="T512" t="str">
            <v>111</v>
          </cell>
        </row>
        <row r="513">
          <cell r="L513">
            <v>272728</v>
          </cell>
          <cell r="S513" t="str">
            <v xml:space="preserve">133 </v>
          </cell>
          <cell r="T513" t="str">
            <v>111</v>
          </cell>
        </row>
        <row r="514">
          <cell r="L514">
            <v>3700780</v>
          </cell>
          <cell r="S514" t="str">
            <v>642®t</v>
          </cell>
          <cell r="T514" t="str">
            <v>111</v>
          </cell>
        </row>
        <row r="515">
          <cell r="L515">
            <v>370078</v>
          </cell>
          <cell r="S515" t="str">
            <v xml:space="preserve">133 </v>
          </cell>
          <cell r="T515" t="str">
            <v>111</v>
          </cell>
        </row>
        <row r="516">
          <cell r="L516">
            <v>118182</v>
          </cell>
          <cell r="S516" t="str">
            <v xml:space="preserve">111 </v>
          </cell>
          <cell r="T516" t="str">
            <v>511ks</v>
          </cell>
        </row>
        <row r="517">
          <cell r="L517">
            <v>11818</v>
          </cell>
          <cell r="S517" t="str">
            <v xml:space="preserve">111 </v>
          </cell>
          <cell r="T517" t="str">
            <v>3333331</v>
          </cell>
        </row>
        <row r="518">
          <cell r="L518">
            <v>185000000</v>
          </cell>
          <cell r="S518" t="str">
            <v xml:space="preserve">111 </v>
          </cell>
          <cell r="T518" t="str">
            <v>131kan</v>
          </cell>
        </row>
        <row r="519">
          <cell r="L519">
            <v>1000000</v>
          </cell>
          <cell r="S519" t="str">
            <v>641®t</v>
          </cell>
          <cell r="T519" t="str">
            <v>111</v>
          </cell>
        </row>
        <row r="520">
          <cell r="L520">
            <v>145455</v>
          </cell>
          <cell r="S520" t="str">
            <v xml:space="preserve">111 </v>
          </cell>
          <cell r="T520" t="str">
            <v>511ks</v>
          </cell>
        </row>
        <row r="521">
          <cell r="L521">
            <v>14545</v>
          </cell>
          <cell r="S521" t="str">
            <v xml:space="preserve">111 </v>
          </cell>
          <cell r="T521" t="str">
            <v>3333331</v>
          </cell>
        </row>
        <row r="522">
          <cell r="L522">
            <v>5000000</v>
          </cell>
          <cell r="S522" t="str">
            <v xml:space="preserve">111 </v>
          </cell>
          <cell r="T522" t="str">
            <v>131thå</v>
          </cell>
        </row>
        <row r="523">
          <cell r="L523">
            <v>70000000</v>
          </cell>
          <cell r="S523" t="str">
            <v xml:space="preserve">111 </v>
          </cell>
          <cell r="T523" t="str">
            <v>131vietdo</v>
          </cell>
        </row>
        <row r="524">
          <cell r="L524">
            <v>300000000</v>
          </cell>
          <cell r="S524" t="str">
            <v>112ct</v>
          </cell>
          <cell r="T524" t="str">
            <v>111</v>
          </cell>
        </row>
        <row r="525">
          <cell r="L525">
            <v>15000000</v>
          </cell>
          <cell r="S525" t="str">
            <v xml:space="preserve">111 </v>
          </cell>
          <cell r="T525" t="str">
            <v>131vietdo</v>
          </cell>
        </row>
        <row r="526">
          <cell r="L526">
            <v>90909</v>
          </cell>
          <cell r="S526" t="str">
            <v xml:space="preserve">111 </v>
          </cell>
          <cell r="T526" t="str">
            <v>511ks</v>
          </cell>
        </row>
        <row r="527">
          <cell r="L527">
            <v>9091</v>
          </cell>
          <cell r="S527" t="str">
            <v xml:space="preserve">111 </v>
          </cell>
          <cell r="T527" t="str">
            <v>3333331</v>
          </cell>
        </row>
        <row r="528">
          <cell r="L528">
            <v>48500</v>
          </cell>
          <cell r="S528" t="str">
            <v>642vp</v>
          </cell>
          <cell r="T528" t="str">
            <v>111</v>
          </cell>
        </row>
        <row r="529">
          <cell r="L529">
            <v>113700</v>
          </cell>
          <cell r="S529" t="str">
            <v>642vp</v>
          </cell>
          <cell r="T529" t="str">
            <v>111</v>
          </cell>
        </row>
        <row r="530">
          <cell r="L530">
            <v>20000000</v>
          </cell>
          <cell r="S530" t="str">
            <v>641®t</v>
          </cell>
          <cell r="T530" t="str">
            <v>111</v>
          </cell>
        </row>
        <row r="531">
          <cell r="L531">
            <v>220000000</v>
          </cell>
          <cell r="S531" t="str">
            <v>112ct</v>
          </cell>
          <cell r="T531" t="str">
            <v>111</v>
          </cell>
        </row>
        <row r="532">
          <cell r="L532">
            <v>175714</v>
          </cell>
          <cell r="S532" t="str">
            <v>642vp</v>
          </cell>
          <cell r="T532" t="str">
            <v>111</v>
          </cell>
        </row>
        <row r="533">
          <cell r="L533">
            <v>8786</v>
          </cell>
          <cell r="S533" t="str">
            <v xml:space="preserve">133 </v>
          </cell>
          <cell r="T533" t="str">
            <v>111</v>
          </cell>
        </row>
        <row r="534">
          <cell r="L534">
            <v>215000000</v>
          </cell>
          <cell r="S534" t="str">
            <v xml:space="preserve">111 </v>
          </cell>
          <cell r="T534" t="str">
            <v>131kan</v>
          </cell>
        </row>
        <row r="535">
          <cell r="L535">
            <v>240000</v>
          </cell>
          <cell r="S535" t="str">
            <v>642tk</v>
          </cell>
          <cell r="T535" t="str">
            <v>111</v>
          </cell>
        </row>
        <row r="536">
          <cell r="L536">
            <v>690000</v>
          </cell>
          <cell r="S536" t="str">
            <v>642vp</v>
          </cell>
          <cell r="T536" t="str">
            <v>111</v>
          </cell>
        </row>
        <row r="537">
          <cell r="L537">
            <v>18600000</v>
          </cell>
          <cell r="S537" t="str">
            <v xml:space="preserve">111 </v>
          </cell>
          <cell r="T537" t="str">
            <v>511§t</v>
          </cell>
        </row>
        <row r="538">
          <cell r="L538">
            <v>4500000</v>
          </cell>
          <cell r="S538" t="str">
            <v>112ct</v>
          </cell>
          <cell r="T538" t="str">
            <v>511ch</v>
          </cell>
        </row>
        <row r="539">
          <cell r="L539">
            <v>450000</v>
          </cell>
          <cell r="S539" t="str">
            <v>112ct</v>
          </cell>
          <cell r="T539" t="str">
            <v>3333331</v>
          </cell>
        </row>
        <row r="540">
          <cell r="L540">
            <v>59239</v>
          </cell>
          <cell r="S540" t="str">
            <v>112ct</v>
          </cell>
          <cell r="T540" t="str">
            <v>711ct</v>
          </cell>
        </row>
        <row r="541">
          <cell r="L541">
            <v>50000000</v>
          </cell>
          <cell r="S541" t="str">
            <v>131kan</v>
          </cell>
          <cell r="T541" t="str">
            <v>111</v>
          </cell>
        </row>
        <row r="542">
          <cell r="L542">
            <v>1260000</v>
          </cell>
          <cell r="S542" t="str">
            <v>642vp</v>
          </cell>
          <cell r="T542" t="str">
            <v>111</v>
          </cell>
        </row>
        <row r="543">
          <cell r="L543">
            <v>2442546</v>
          </cell>
          <cell r="S543" t="str">
            <v>642ct</v>
          </cell>
          <cell r="T543" t="str">
            <v>111</v>
          </cell>
        </row>
        <row r="544">
          <cell r="L544">
            <v>105454</v>
          </cell>
          <cell r="S544" t="str">
            <v xml:space="preserve">133 </v>
          </cell>
          <cell r="T544" t="str">
            <v>111</v>
          </cell>
        </row>
        <row r="545">
          <cell r="L545">
            <v>802000</v>
          </cell>
          <cell r="S545" t="str">
            <v>642tk</v>
          </cell>
          <cell r="T545" t="str">
            <v>111</v>
          </cell>
        </row>
        <row r="546">
          <cell r="L546">
            <v>60000</v>
          </cell>
          <cell r="S546" t="str">
            <v>642vp</v>
          </cell>
          <cell r="T546" t="str">
            <v>111</v>
          </cell>
        </row>
        <row r="547">
          <cell r="L547">
            <v>95000</v>
          </cell>
          <cell r="S547" t="str">
            <v>642vp</v>
          </cell>
          <cell r="T547" t="str">
            <v>111</v>
          </cell>
        </row>
        <row r="548">
          <cell r="L548">
            <v>169000</v>
          </cell>
          <cell r="S548" t="str">
            <v>642tk</v>
          </cell>
          <cell r="T548" t="str">
            <v>111</v>
          </cell>
        </row>
        <row r="549">
          <cell r="L549">
            <v>3350000</v>
          </cell>
          <cell r="S549" t="str">
            <v xml:space="preserve">111 </v>
          </cell>
          <cell r="T549" t="str">
            <v>141hµ</v>
          </cell>
        </row>
        <row r="550">
          <cell r="L550">
            <v>55000000</v>
          </cell>
          <cell r="S550" t="str">
            <v xml:space="preserve">111 </v>
          </cell>
          <cell r="T550" t="str">
            <v>112ct</v>
          </cell>
        </row>
        <row r="551">
          <cell r="L551">
            <v>5577092</v>
          </cell>
          <cell r="S551" t="str">
            <v xml:space="preserve">334 </v>
          </cell>
          <cell r="T551" t="str">
            <v>111</v>
          </cell>
        </row>
        <row r="552">
          <cell r="L552">
            <v>480000</v>
          </cell>
          <cell r="S552" t="str">
            <v>511§t</v>
          </cell>
          <cell r="T552" t="str">
            <v>111</v>
          </cell>
        </row>
        <row r="553">
          <cell r="L553">
            <v>72200</v>
          </cell>
          <cell r="S553" t="str">
            <v>642tk</v>
          </cell>
          <cell r="T553" t="str">
            <v>111</v>
          </cell>
        </row>
        <row r="554">
          <cell r="L554">
            <v>112000</v>
          </cell>
          <cell r="S554" t="str">
            <v>642vp</v>
          </cell>
          <cell r="T554" t="str">
            <v>111</v>
          </cell>
        </row>
        <row r="555">
          <cell r="L555">
            <v>6000</v>
          </cell>
          <cell r="S555" t="str">
            <v xml:space="preserve">133 </v>
          </cell>
          <cell r="T555" t="str">
            <v>111</v>
          </cell>
        </row>
        <row r="556">
          <cell r="L556">
            <v>200000</v>
          </cell>
          <cell r="S556" t="str">
            <v xml:space="preserve">111 </v>
          </cell>
          <cell r="T556" t="str">
            <v>511ks</v>
          </cell>
        </row>
        <row r="557">
          <cell r="L557">
            <v>20000</v>
          </cell>
          <cell r="S557" t="str">
            <v xml:space="preserve">111 </v>
          </cell>
          <cell r="T557" t="str">
            <v>3333331</v>
          </cell>
        </row>
        <row r="558">
          <cell r="L558">
            <v>7454545</v>
          </cell>
          <cell r="S558" t="str">
            <v xml:space="preserve">111 </v>
          </cell>
          <cell r="T558" t="str">
            <v>511ch</v>
          </cell>
        </row>
        <row r="559">
          <cell r="L559">
            <v>745455</v>
          </cell>
          <cell r="S559" t="str">
            <v xml:space="preserve">111 </v>
          </cell>
          <cell r="T559" t="str">
            <v>3333331</v>
          </cell>
        </row>
        <row r="560">
          <cell r="L560">
            <v>909500</v>
          </cell>
          <cell r="S560" t="str">
            <v xml:space="preserve">111 </v>
          </cell>
          <cell r="T560" t="str">
            <v>642dn</v>
          </cell>
        </row>
        <row r="561">
          <cell r="L561">
            <v>158254</v>
          </cell>
          <cell r="S561" t="str">
            <v>642®t</v>
          </cell>
          <cell r="T561" t="str">
            <v>111</v>
          </cell>
        </row>
        <row r="562">
          <cell r="L562">
            <v>15825</v>
          </cell>
          <cell r="S562" t="str">
            <v xml:space="preserve">133 </v>
          </cell>
          <cell r="T562" t="str">
            <v>111</v>
          </cell>
        </row>
        <row r="563">
          <cell r="L563">
            <v>16000000</v>
          </cell>
          <cell r="S563" t="str">
            <v>141tuên-dl</v>
          </cell>
          <cell r="T563" t="str">
            <v>111</v>
          </cell>
        </row>
        <row r="564">
          <cell r="L564">
            <v>120000</v>
          </cell>
          <cell r="S564" t="str">
            <v>641ks</v>
          </cell>
          <cell r="T564" t="str">
            <v>111</v>
          </cell>
        </row>
        <row r="565">
          <cell r="L565">
            <v>310000</v>
          </cell>
          <cell r="S565" t="str">
            <v>642bv</v>
          </cell>
          <cell r="T565" t="str">
            <v>111</v>
          </cell>
        </row>
        <row r="566">
          <cell r="L566">
            <v>1409091</v>
          </cell>
          <cell r="S566" t="str">
            <v xml:space="preserve">111 </v>
          </cell>
          <cell r="T566" t="str">
            <v>511ks</v>
          </cell>
        </row>
        <row r="567">
          <cell r="L567">
            <v>140909</v>
          </cell>
          <cell r="S567" t="str">
            <v xml:space="preserve">111 </v>
          </cell>
          <cell r="T567" t="str">
            <v>3333331</v>
          </cell>
        </row>
        <row r="568">
          <cell r="L568">
            <v>681823</v>
          </cell>
          <cell r="S568" t="str">
            <v xml:space="preserve">111 </v>
          </cell>
          <cell r="T568" t="str">
            <v>511ks</v>
          </cell>
        </row>
        <row r="569">
          <cell r="L569">
            <v>68177</v>
          </cell>
          <cell r="S569" t="str">
            <v xml:space="preserve">111 </v>
          </cell>
          <cell r="T569" t="str">
            <v>3333331</v>
          </cell>
        </row>
        <row r="570">
          <cell r="L570">
            <v>3000000</v>
          </cell>
          <cell r="S570" t="str">
            <v xml:space="preserve">111 </v>
          </cell>
          <cell r="T570" t="str">
            <v>131bk</v>
          </cell>
        </row>
        <row r="571">
          <cell r="L571">
            <v>295806000</v>
          </cell>
          <cell r="S571" t="str">
            <v>331t&amp;t</v>
          </cell>
          <cell r="T571" t="str">
            <v>112ct</v>
          </cell>
        </row>
        <row r="572">
          <cell r="L572">
            <v>147903</v>
          </cell>
          <cell r="S572" t="str">
            <v>331t&amp;t</v>
          </cell>
          <cell r="T572" t="str">
            <v>112ct</v>
          </cell>
        </row>
        <row r="573">
          <cell r="L573">
            <v>1200000000</v>
          </cell>
          <cell r="S573" t="str">
            <v>112ct</v>
          </cell>
          <cell r="T573" t="str">
            <v>311nk2</v>
          </cell>
        </row>
        <row r="574">
          <cell r="L574">
            <v>400000</v>
          </cell>
          <cell r="S574" t="str">
            <v>641®t</v>
          </cell>
          <cell r="T574" t="str">
            <v>111</v>
          </cell>
        </row>
        <row r="575">
          <cell r="L575">
            <v>3142857</v>
          </cell>
          <cell r="S575" t="str">
            <v>641dl</v>
          </cell>
          <cell r="T575" t="str">
            <v>111</v>
          </cell>
        </row>
        <row r="576">
          <cell r="L576">
            <v>157143</v>
          </cell>
          <cell r="S576" t="str">
            <v xml:space="preserve">133 </v>
          </cell>
          <cell r="T576" t="str">
            <v>111</v>
          </cell>
        </row>
        <row r="577">
          <cell r="L577">
            <v>250000</v>
          </cell>
          <cell r="S577" t="str">
            <v>642sc</v>
          </cell>
          <cell r="T577" t="str">
            <v>111</v>
          </cell>
        </row>
        <row r="578">
          <cell r="L578">
            <v>112000</v>
          </cell>
          <cell r="S578" t="str">
            <v>642tk</v>
          </cell>
          <cell r="T578" t="str">
            <v>111</v>
          </cell>
        </row>
        <row r="579">
          <cell r="L579">
            <v>80000</v>
          </cell>
          <cell r="S579" t="str">
            <v>642vp</v>
          </cell>
          <cell r="T579" t="str">
            <v>111</v>
          </cell>
        </row>
        <row r="580">
          <cell r="L580">
            <v>111000</v>
          </cell>
          <cell r="S580" t="str">
            <v>642vp</v>
          </cell>
          <cell r="T580" t="str">
            <v>111</v>
          </cell>
        </row>
        <row r="581">
          <cell r="L581">
            <v>900000</v>
          </cell>
          <cell r="S581" t="str">
            <v>642®t</v>
          </cell>
          <cell r="T581" t="str">
            <v>111</v>
          </cell>
        </row>
        <row r="582">
          <cell r="L582">
            <v>300000</v>
          </cell>
          <cell r="S582" t="str">
            <v>642ct</v>
          </cell>
          <cell r="T582" t="str">
            <v>111</v>
          </cell>
        </row>
        <row r="583">
          <cell r="L583">
            <v>400000</v>
          </cell>
          <cell r="S583" t="str">
            <v>641®t</v>
          </cell>
          <cell r="T583" t="str">
            <v>111</v>
          </cell>
        </row>
        <row r="584">
          <cell r="L584">
            <v>153471</v>
          </cell>
          <cell r="S584" t="str">
            <v>642®t</v>
          </cell>
          <cell r="T584" t="str">
            <v>111</v>
          </cell>
        </row>
        <row r="585">
          <cell r="L585">
            <v>15347</v>
          </cell>
          <cell r="S585" t="str">
            <v xml:space="preserve">133 </v>
          </cell>
          <cell r="T585" t="str">
            <v>111</v>
          </cell>
        </row>
        <row r="586">
          <cell r="L586">
            <v>231900</v>
          </cell>
          <cell r="S586" t="str">
            <v>642vp</v>
          </cell>
          <cell r="T586" t="str">
            <v>111</v>
          </cell>
        </row>
        <row r="587">
          <cell r="L587">
            <v>254546</v>
          </cell>
          <cell r="S587" t="str">
            <v xml:space="preserve">111 </v>
          </cell>
          <cell r="T587" t="str">
            <v>511ks</v>
          </cell>
        </row>
        <row r="588">
          <cell r="L588">
            <v>25454</v>
          </cell>
          <cell r="S588" t="str">
            <v xml:space="preserve">111 </v>
          </cell>
          <cell r="T588" t="str">
            <v>3333331</v>
          </cell>
        </row>
        <row r="589">
          <cell r="L589">
            <v>8400000</v>
          </cell>
          <cell r="S589" t="str">
            <v xml:space="preserve">111 </v>
          </cell>
          <cell r="T589" t="str">
            <v>511§t</v>
          </cell>
        </row>
        <row r="590">
          <cell r="L590">
            <v>4200000</v>
          </cell>
          <cell r="S590" t="str">
            <v xml:space="preserve">111 </v>
          </cell>
          <cell r="T590" t="str">
            <v>141tuên-dl</v>
          </cell>
        </row>
        <row r="591">
          <cell r="L591">
            <v>7273</v>
          </cell>
          <cell r="S591" t="str">
            <v>642k</v>
          </cell>
          <cell r="T591" t="str">
            <v>112cntec</v>
          </cell>
        </row>
        <row r="592">
          <cell r="L592">
            <v>727</v>
          </cell>
          <cell r="S592" t="str">
            <v>133</v>
          </cell>
          <cell r="T592" t="str">
            <v>112cntec</v>
          </cell>
        </row>
        <row r="593">
          <cell r="L593">
            <v>120000</v>
          </cell>
          <cell r="S593" t="str">
            <v>641ks</v>
          </cell>
          <cell r="T593" t="str">
            <v>111</v>
          </cell>
        </row>
        <row r="594">
          <cell r="L594">
            <v>1690911</v>
          </cell>
          <cell r="S594" t="str">
            <v xml:space="preserve">111 </v>
          </cell>
          <cell r="T594" t="str">
            <v>511ks</v>
          </cell>
        </row>
        <row r="595">
          <cell r="L595">
            <v>169089</v>
          </cell>
          <cell r="S595" t="str">
            <v xml:space="preserve">111 </v>
          </cell>
          <cell r="T595" t="str">
            <v>3333331</v>
          </cell>
        </row>
        <row r="596">
          <cell r="L596">
            <v>12108000</v>
          </cell>
          <cell r="S596" t="str">
            <v xml:space="preserve">111 </v>
          </cell>
          <cell r="T596" t="str">
            <v>131thå</v>
          </cell>
        </row>
        <row r="597">
          <cell r="L597">
            <v>513636</v>
          </cell>
          <cell r="S597" t="str">
            <v>641dl</v>
          </cell>
          <cell r="T597" t="str">
            <v>111</v>
          </cell>
        </row>
        <row r="598">
          <cell r="L598">
            <v>24364</v>
          </cell>
          <cell r="S598" t="str">
            <v xml:space="preserve">133 </v>
          </cell>
          <cell r="T598" t="str">
            <v>111</v>
          </cell>
        </row>
        <row r="599">
          <cell r="L599">
            <v>260000</v>
          </cell>
          <cell r="S599" t="str">
            <v>642tk</v>
          </cell>
          <cell r="T599" t="str">
            <v>111</v>
          </cell>
        </row>
        <row r="600">
          <cell r="L600">
            <v>26000</v>
          </cell>
          <cell r="S600" t="str">
            <v xml:space="preserve">133 </v>
          </cell>
          <cell r="T600" t="str">
            <v>111</v>
          </cell>
        </row>
        <row r="601">
          <cell r="L601">
            <v>463637</v>
          </cell>
          <cell r="S601" t="str">
            <v xml:space="preserve">111 </v>
          </cell>
          <cell r="T601" t="str">
            <v>511ks</v>
          </cell>
        </row>
        <row r="602">
          <cell r="L602">
            <v>46363</v>
          </cell>
          <cell r="S602" t="str">
            <v xml:space="preserve">111 </v>
          </cell>
          <cell r="T602" t="str">
            <v>3333331</v>
          </cell>
        </row>
        <row r="603">
          <cell r="L603">
            <v>3990000</v>
          </cell>
          <cell r="S603" t="str">
            <v>141dòng</v>
          </cell>
          <cell r="T603" t="str">
            <v>111</v>
          </cell>
        </row>
        <row r="604">
          <cell r="L604">
            <v>1100000</v>
          </cell>
          <cell r="S604" t="str">
            <v>641dl</v>
          </cell>
          <cell r="T604" t="str">
            <v>111</v>
          </cell>
        </row>
        <row r="605">
          <cell r="L605">
            <v>3000000</v>
          </cell>
          <cell r="S605" t="str">
            <v>641®t</v>
          </cell>
          <cell r="T605" t="str">
            <v>111</v>
          </cell>
        </row>
        <row r="606">
          <cell r="L606">
            <v>380000</v>
          </cell>
          <cell r="S606" t="str">
            <v>641ks</v>
          </cell>
          <cell r="T606" t="str">
            <v>111</v>
          </cell>
        </row>
        <row r="607">
          <cell r="L607">
            <v>114545</v>
          </cell>
          <cell r="S607" t="str">
            <v xml:space="preserve">111 </v>
          </cell>
          <cell r="T607" t="str">
            <v>511ks</v>
          </cell>
        </row>
        <row r="608">
          <cell r="L608">
            <v>11455</v>
          </cell>
          <cell r="S608" t="str">
            <v xml:space="preserve">111 </v>
          </cell>
          <cell r="T608" t="str">
            <v>3333331</v>
          </cell>
        </row>
        <row r="609">
          <cell r="L609">
            <v>5000000</v>
          </cell>
          <cell r="S609" t="str">
            <v xml:space="preserve">111 </v>
          </cell>
          <cell r="T609" t="str">
            <v>131gvtri</v>
          </cell>
        </row>
        <row r="610">
          <cell r="L610">
            <v>90000</v>
          </cell>
          <cell r="S610" t="str">
            <v>642ct</v>
          </cell>
          <cell r="T610" t="str">
            <v>111</v>
          </cell>
        </row>
        <row r="611">
          <cell r="L611">
            <v>90000</v>
          </cell>
          <cell r="S611" t="str">
            <v>642ct</v>
          </cell>
          <cell r="T611" t="str">
            <v>111</v>
          </cell>
        </row>
        <row r="612">
          <cell r="L612">
            <v>180000</v>
          </cell>
          <cell r="S612" t="str">
            <v>642ct</v>
          </cell>
          <cell r="T612" t="str">
            <v>111</v>
          </cell>
        </row>
        <row r="613">
          <cell r="L613">
            <v>1994316</v>
          </cell>
          <cell r="S613" t="str">
            <v>642®t</v>
          </cell>
          <cell r="T613" t="str">
            <v>111</v>
          </cell>
        </row>
        <row r="614">
          <cell r="L614">
            <v>199432</v>
          </cell>
          <cell r="S614" t="str">
            <v xml:space="preserve">133 </v>
          </cell>
          <cell r="T614" t="str">
            <v>111</v>
          </cell>
        </row>
        <row r="615">
          <cell r="L615">
            <v>920134</v>
          </cell>
          <cell r="S615" t="str">
            <v>642vp</v>
          </cell>
          <cell r="T615" t="str">
            <v>111</v>
          </cell>
        </row>
        <row r="616">
          <cell r="L616">
            <v>90974</v>
          </cell>
          <cell r="S616" t="str">
            <v xml:space="preserve">133 </v>
          </cell>
          <cell r="T616" t="str">
            <v>111</v>
          </cell>
        </row>
        <row r="617">
          <cell r="L617">
            <v>136364</v>
          </cell>
          <cell r="S617" t="str">
            <v xml:space="preserve">111 </v>
          </cell>
          <cell r="T617" t="str">
            <v>511ks</v>
          </cell>
        </row>
        <row r="618">
          <cell r="L618">
            <v>13636</v>
          </cell>
          <cell r="S618" t="str">
            <v xml:space="preserve">111 </v>
          </cell>
          <cell r="T618" t="str">
            <v>3333331</v>
          </cell>
        </row>
        <row r="619">
          <cell r="L619">
            <v>180000</v>
          </cell>
          <cell r="S619" t="str">
            <v xml:space="preserve">111 </v>
          </cell>
          <cell r="T619" t="str">
            <v>141dòng</v>
          </cell>
        </row>
        <row r="620">
          <cell r="L620">
            <v>90000</v>
          </cell>
          <cell r="S620" t="str">
            <v xml:space="preserve">111 </v>
          </cell>
          <cell r="T620" t="str">
            <v>141hµ</v>
          </cell>
        </row>
        <row r="621">
          <cell r="L621">
            <v>796860</v>
          </cell>
          <cell r="S621" t="str">
            <v>338qldd</v>
          </cell>
          <cell r="T621" t="str">
            <v>111</v>
          </cell>
        </row>
        <row r="622">
          <cell r="L622">
            <v>6038167</v>
          </cell>
          <cell r="S622" t="str">
            <v xml:space="preserve">334 </v>
          </cell>
          <cell r="T622" t="str">
            <v>111</v>
          </cell>
        </row>
        <row r="623">
          <cell r="L623">
            <v>16083000</v>
          </cell>
          <cell r="S623" t="str">
            <v>141dòng</v>
          </cell>
          <cell r="T623" t="str">
            <v>111</v>
          </cell>
        </row>
        <row r="624">
          <cell r="L624">
            <v>354546</v>
          </cell>
          <cell r="S624" t="str">
            <v xml:space="preserve">111 </v>
          </cell>
          <cell r="T624" t="str">
            <v>511ks</v>
          </cell>
        </row>
        <row r="625">
          <cell r="L625">
            <v>35454</v>
          </cell>
          <cell r="S625" t="str">
            <v xml:space="preserve">111 </v>
          </cell>
          <cell r="T625" t="str">
            <v>3333331</v>
          </cell>
        </row>
        <row r="626">
          <cell r="L626">
            <v>50000000</v>
          </cell>
          <cell r="S626" t="str">
            <v xml:space="preserve">111 </v>
          </cell>
          <cell r="T626" t="str">
            <v>131klm</v>
          </cell>
        </row>
        <row r="627">
          <cell r="L627">
            <v>50000000</v>
          </cell>
          <cell r="S627" t="str">
            <v>331t&amp;t</v>
          </cell>
          <cell r="T627" t="str">
            <v>111</v>
          </cell>
        </row>
        <row r="628">
          <cell r="L628">
            <v>107200</v>
          </cell>
          <cell r="S628" t="str">
            <v>642vp</v>
          </cell>
          <cell r="T628" t="str">
            <v>111</v>
          </cell>
        </row>
        <row r="629">
          <cell r="L629">
            <v>500000</v>
          </cell>
          <cell r="S629" t="str">
            <v>641®t</v>
          </cell>
          <cell r="T629" t="str">
            <v>111</v>
          </cell>
        </row>
        <row r="630">
          <cell r="L630">
            <v>109091</v>
          </cell>
          <cell r="S630" t="str">
            <v xml:space="preserve">111 </v>
          </cell>
          <cell r="T630" t="str">
            <v>511ks</v>
          </cell>
        </row>
        <row r="631">
          <cell r="L631">
            <v>10909</v>
          </cell>
          <cell r="S631" t="str">
            <v xml:space="preserve">111 </v>
          </cell>
          <cell r="T631" t="str">
            <v>3333331</v>
          </cell>
        </row>
        <row r="632">
          <cell r="L632">
            <v>20000000</v>
          </cell>
          <cell r="S632" t="str">
            <v xml:space="preserve">111 </v>
          </cell>
          <cell r="T632" t="str">
            <v>131klm</v>
          </cell>
        </row>
        <row r="633">
          <cell r="L633">
            <v>2000000</v>
          </cell>
          <cell r="S633" t="str">
            <v>641®t</v>
          </cell>
          <cell r="T633" t="str">
            <v>111</v>
          </cell>
        </row>
        <row r="634">
          <cell r="L634">
            <v>2080000</v>
          </cell>
          <cell r="S634" t="str">
            <v>641®t</v>
          </cell>
          <cell r="T634" t="str">
            <v>111</v>
          </cell>
        </row>
        <row r="635">
          <cell r="L635">
            <v>201000</v>
          </cell>
          <cell r="S635" t="str">
            <v xml:space="preserve">133 </v>
          </cell>
          <cell r="T635" t="str">
            <v>111</v>
          </cell>
        </row>
        <row r="636">
          <cell r="L636">
            <v>681799</v>
          </cell>
          <cell r="S636" t="str">
            <v>642®t</v>
          </cell>
          <cell r="T636" t="str">
            <v>111</v>
          </cell>
        </row>
        <row r="637">
          <cell r="L637">
            <v>601041</v>
          </cell>
          <cell r="S637" t="str">
            <v>642®t</v>
          </cell>
          <cell r="T637" t="str">
            <v>111</v>
          </cell>
        </row>
        <row r="638">
          <cell r="L638">
            <v>128284</v>
          </cell>
          <cell r="S638" t="str">
            <v xml:space="preserve">133 </v>
          </cell>
          <cell r="T638" t="str">
            <v>111</v>
          </cell>
        </row>
        <row r="639">
          <cell r="L639">
            <v>35000</v>
          </cell>
          <cell r="S639" t="str">
            <v>642vp</v>
          </cell>
          <cell r="T639" t="str">
            <v>111</v>
          </cell>
        </row>
        <row r="640">
          <cell r="L640">
            <v>42000000</v>
          </cell>
          <cell r="S640" t="str">
            <v>331nk5</v>
          </cell>
          <cell r="T640" t="str">
            <v>111</v>
          </cell>
        </row>
        <row r="641">
          <cell r="L641">
            <v>218182</v>
          </cell>
          <cell r="S641" t="str">
            <v xml:space="preserve">111 </v>
          </cell>
          <cell r="T641" t="str">
            <v>511ks</v>
          </cell>
        </row>
        <row r="642">
          <cell r="L642">
            <v>21818</v>
          </cell>
          <cell r="S642" t="str">
            <v xml:space="preserve">111 </v>
          </cell>
          <cell r="T642" t="str">
            <v>3333331</v>
          </cell>
        </row>
        <row r="643">
          <cell r="L643">
            <v>60000000</v>
          </cell>
          <cell r="S643" t="str">
            <v xml:space="preserve">111 </v>
          </cell>
          <cell r="T643" t="str">
            <v>131klm</v>
          </cell>
        </row>
        <row r="644">
          <cell r="L644">
            <v>69000000</v>
          </cell>
          <cell r="S644" t="str">
            <v xml:space="preserve">111 </v>
          </cell>
          <cell r="T644" t="str">
            <v>131hs¬n</v>
          </cell>
        </row>
        <row r="645">
          <cell r="L645">
            <v>363637</v>
          </cell>
          <cell r="S645" t="str">
            <v xml:space="preserve">111 </v>
          </cell>
          <cell r="T645" t="str">
            <v>511ks</v>
          </cell>
        </row>
        <row r="646">
          <cell r="L646">
            <v>36363</v>
          </cell>
          <cell r="S646" t="str">
            <v xml:space="preserve">111 </v>
          </cell>
          <cell r="T646" t="str">
            <v>3333331</v>
          </cell>
        </row>
        <row r="647">
          <cell r="L647">
            <v>83000</v>
          </cell>
          <cell r="S647" t="str">
            <v>642ct</v>
          </cell>
          <cell r="T647" t="str">
            <v>111</v>
          </cell>
        </row>
        <row r="648">
          <cell r="L648">
            <v>90000000</v>
          </cell>
          <cell r="S648" t="str">
            <v>141dòngkt</v>
          </cell>
          <cell r="T648" t="str">
            <v>111</v>
          </cell>
        </row>
        <row r="649">
          <cell r="L649">
            <v>300000</v>
          </cell>
          <cell r="S649" t="str">
            <v>642bv</v>
          </cell>
          <cell r="T649" t="str">
            <v>111</v>
          </cell>
        </row>
        <row r="650">
          <cell r="L650">
            <v>12496000</v>
          </cell>
          <cell r="S650" t="str">
            <v xml:space="preserve">111 </v>
          </cell>
          <cell r="T650" t="str">
            <v>131vt</v>
          </cell>
        </row>
        <row r="651">
          <cell r="L651">
            <v>218182</v>
          </cell>
          <cell r="S651" t="str">
            <v xml:space="preserve">111 </v>
          </cell>
          <cell r="T651" t="str">
            <v>511ks</v>
          </cell>
        </row>
        <row r="652">
          <cell r="L652">
            <v>21818</v>
          </cell>
          <cell r="S652" t="str">
            <v xml:space="preserve">111 </v>
          </cell>
          <cell r="T652" t="str">
            <v>3333331</v>
          </cell>
        </row>
        <row r="653">
          <cell r="L653">
            <v>83000</v>
          </cell>
          <cell r="S653" t="str">
            <v xml:space="preserve">111 </v>
          </cell>
          <cell r="T653" t="str">
            <v>141dòng</v>
          </cell>
        </row>
        <row r="654">
          <cell r="L654">
            <v>188462</v>
          </cell>
          <cell r="S654" t="str">
            <v>642®t</v>
          </cell>
          <cell r="T654" t="str">
            <v>111</v>
          </cell>
        </row>
        <row r="655">
          <cell r="L655">
            <v>18846</v>
          </cell>
          <cell r="S655" t="str">
            <v xml:space="preserve">133 </v>
          </cell>
          <cell r="T655" t="str">
            <v>111</v>
          </cell>
        </row>
        <row r="656">
          <cell r="L656">
            <v>125000</v>
          </cell>
          <cell r="S656" t="str">
            <v>642vp</v>
          </cell>
          <cell r="T656" t="str">
            <v>111</v>
          </cell>
        </row>
        <row r="657">
          <cell r="L657">
            <v>3281680</v>
          </cell>
          <cell r="S657" t="str">
            <v>642dn</v>
          </cell>
          <cell r="T657" t="str">
            <v>111</v>
          </cell>
        </row>
        <row r="658">
          <cell r="L658">
            <v>328168</v>
          </cell>
          <cell r="S658" t="str">
            <v xml:space="preserve">133 </v>
          </cell>
          <cell r="T658" t="str">
            <v>111</v>
          </cell>
        </row>
        <row r="659">
          <cell r="L659">
            <v>90909</v>
          </cell>
          <cell r="S659" t="str">
            <v xml:space="preserve">111 </v>
          </cell>
          <cell r="T659" t="str">
            <v>511ks</v>
          </cell>
        </row>
        <row r="660">
          <cell r="L660">
            <v>9091</v>
          </cell>
          <cell r="S660" t="str">
            <v xml:space="preserve">111 </v>
          </cell>
          <cell r="T660" t="str">
            <v>3333331</v>
          </cell>
        </row>
        <row r="661">
          <cell r="L661">
            <v>3457000</v>
          </cell>
          <cell r="S661" t="str">
            <v xml:space="preserve">111 </v>
          </cell>
          <cell r="T661" t="str">
            <v>131vib</v>
          </cell>
        </row>
        <row r="662">
          <cell r="L662">
            <v>71818</v>
          </cell>
          <cell r="S662" t="str">
            <v xml:space="preserve">111 </v>
          </cell>
          <cell r="T662" t="str">
            <v>511ks</v>
          </cell>
        </row>
        <row r="663">
          <cell r="L663">
            <v>7182</v>
          </cell>
          <cell r="S663" t="str">
            <v xml:space="preserve">111 </v>
          </cell>
          <cell r="T663" t="str">
            <v>3333331</v>
          </cell>
        </row>
        <row r="664">
          <cell r="L664">
            <v>400000</v>
          </cell>
          <cell r="S664" t="str">
            <v>642tk</v>
          </cell>
          <cell r="T664" t="str">
            <v>111</v>
          </cell>
        </row>
        <row r="665">
          <cell r="L665">
            <v>4000000</v>
          </cell>
          <cell r="S665" t="str">
            <v>141kú</v>
          </cell>
          <cell r="T665" t="str">
            <v>111</v>
          </cell>
        </row>
        <row r="666">
          <cell r="L666">
            <v>210909</v>
          </cell>
          <cell r="S666" t="str">
            <v xml:space="preserve">111 </v>
          </cell>
          <cell r="T666" t="str">
            <v>511ks</v>
          </cell>
        </row>
        <row r="667">
          <cell r="L667">
            <v>21091</v>
          </cell>
          <cell r="S667" t="str">
            <v xml:space="preserve">111 </v>
          </cell>
          <cell r="T667" t="str">
            <v>3333331</v>
          </cell>
        </row>
        <row r="668">
          <cell r="L668">
            <v>90909</v>
          </cell>
          <cell r="S668" t="str">
            <v xml:space="preserve">111 </v>
          </cell>
          <cell r="T668" t="str">
            <v>511ks</v>
          </cell>
        </row>
        <row r="669">
          <cell r="L669">
            <v>9091</v>
          </cell>
          <cell r="S669" t="str">
            <v xml:space="preserve">111 </v>
          </cell>
          <cell r="T669" t="str">
            <v>3333331</v>
          </cell>
        </row>
        <row r="670">
          <cell r="L670">
            <v>672728</v>
          </cell>
          <cell r="S670" t="str">
            <v xml:space="preserve">111 </v>
          </cell>
          <cell r="T670" t="str">
            <v>511ks</v>
          </cell>
        </row>
        <row r="671">
          <cell r="L671">
            <v>67272</v>
          </cell>
          <cell r="S671" t="str">
            <v xml:space="preserve">111 </v>
          </cell>
          <cell r="T671" t="str">
            <v>3333331</v>
          </cell>
        </row>
        <row r="672">
          <cell r="L672">
            <v>3878000</v>
          </cell>
          <cell r="S672" t="str">
            <v>141dòng</v>
          </cell>
          <cell r="T672" t="str">
            <v>111</v>
          </cell>
        </row>
        <row r="673">
          <cell r="L673">
            <v>142000</v>
          </cell>
          <cell r="S673" t="str">
            <v>642vp</v>
          </cell>
          <cell r="T673" t="str">
            <v>111</v>
          </cell>
        </row>
        <row r="674">
          <cell r="L674">
            <v>2000000</v>
          </cell>
          <cell r="S674" t="str">
            <v>141kú</v>
          </cell>
          <cell r="T674" t="str">
            <v>111</v>
          </cell>
        </row>
        <row r="675">
          <cell r="L675">
            <v>100000</v>
          </cell>
          <cell r="S675" t="str">
            <v>641dl</v>
          </cell>
          <cell r="T675" t="str">
            <v>111</v>
          </cell>
        </row>
        <row r="676">
          <cell r="L676">
            <v>3000000</v>
          </cell>
          <cell r="S676" t="str">
            <v xml:space="preserve">111 </v>
          </cell>
          <cell r="T676" t="str">
            <v>131vt</v>
          </cell>
        </row>
        <row r="677">
          <cell r="L677">
            <v>50000000</v>
          </cell>
          <cell r="S677" t="str">
            <v xml:space="preserve">111 </v>
          </cell>
          <cell r="T677" t="str">
            <v>131hasa</v>
          </cell>
        </row>
        <row r="678">
          <cell r="L678">
            <v>2000000</v>
          </cell>
          <cell r="S678" t="str">
            <v xml:space="preserve">111 </v>
          </cell>
          <cell r="T678" t="str">
            <v>131bk</v>
          </cell>
        </row>
        <row r="679">
          <cell r="L679">
            <v>21366500</v>
          </cell>
          <cell r="S679" t="str">
            <v xml:space="preserve">111 </v>
          </cell>
          <cell r="T679" t="str">
            <v>131kan</v>
          </cell>
        </row>
        <row r="680">
          <cell r="L680">
            <v>295848000</v>
          </cell>
          <cell r="S680" t="str">
            <v xml:space="preserve">144 </v>
          </cell>
          <cell r="T680" t="str">
            <v>112ct</v>
          </cell>
        </row>
        <row r="681">
          <cell r="L681">
            <v>2682355</v>
          </cell>
          <cell r="S681" t="str">
            <v>331t&amp;t</v>
          </cell>
          <cell r="T681" t="str">
            <v>112ct</v>
          </cell>
        </row>
        <row r="682">
          <cell r="L682">
            <v>295848000</v>
          </cell>
          <cell r="S682" t="str">
            <v>112ct</v>
          </cell>
          <cell r="T682" t="str">
            <v>144</v>
          </cell>
        </row>
        <row r="683">
          <cell r="L683">
            <v>73946</v>
          </cell>
          <cell r="S683" t="str">
            <v>112ct</v>
          </cell>
          <cell r="T683" t="str">
            <v>711ct</v>
          </cell>
        </row>
        <row r="684">
          <cell r="L684">
            <v>80000</v>
          </cell>
          <cell r="S684" t="str">
            <v>641ks</v>
          </cell>
          <cell r="T684" t="str">
            <v>111</v>
          </cell>
        </row>
        <row r="685">
          <cell r="L685">
            <v>71000</v>
          </cell>
          <cell r="S685" t="str">
            <v>642vp</v>
          </cell>
          <cell r="T685" t="str">
            <v>111</v>
          </cell>
        </row>
        <row r="686">
          <cell r="L686">
            <v>363636</v>
          </cell>
          <cell r="S686" t="str">
            <v xml:space="preserve">111 </v>
          </cell>
          <cell r="T686" t="str">
            <v>511ks</v>
          </cell>
        </row>
        <row r="687">
          <cell r="L687">
            <v>36364</v>
          </cell>
          <cell r="S687" t="str">
            <v xml:space="preserve">111 </v>
          </cell>
          <cell r="T687" t="str">
            <v>3333331</v>
          </cell>
        </row>
        <row r="688">
          <cell r="L688">
            <v>20000000</v>
          </cell>
          <cell r="S688" t="str">
            <v xml:space="preserve">111 </v>
          </cell>
          <cell r="T688" t="str">
            <v>131klm</v>
          </cell>
        </row>
        <row r="689">
          <cell r="L689">
            <v>190000000</v>
          </cell>
          <cell r="S689" t="str">
            <v>311nk2</v>
          </cell>
          <cell r="T689" t="str">
            <v>112ct</v>
          </cell>
        </row>
        <row r="690">
          <cell r="L690">
            <v>1900229</v>
          </cell>
          <cell r="S690" t="str">
            <v>112ct</v>
          </cell>
          <cell r="T690" t="str">
            <v>711ct</v>
          </cell>
        </row>
        <row r="691">
          <cell r="L691">
            <v>30182</v>
          </cell>
          <cell r="S691" t="str">
            <v>642vp</v>
          </cell>
          <cell r="T691" t="str">
            <v>111</v>
          </cell>
        </row>
        <row r="692">
          <cell r="L692">
            <v>3018</v>
          </cell>
          <cell r="S692" t="str">
            <v xml:space="preserve">133 </v>
          </cell>
          <cell r="T692" t="str">
            <v>111</v>
          </cell>
        </row>
        <row r="693">
          <cell r="L693">
            <v>49000</v>
          </cell>
          <cell r="S693" t="str">
            <v>642vp</v>
          </cell>
          <cell r="T693" t="str">
            <v>111</v>
          </cell>
        </row>
        <row r="694">
          <cell r="L694">
            <v>5400000</v>
          </cell>
          <cell r="S694" t="str">
            <v>141dòngkt</v>
          </cell>
          <cell r="T694" t="str">
            <v>111</v>
          </cell>
        </row>
        <row r="695">
          <cell r="L695">
            <v>90000000</v>
          </cell>
          <cell r="S695" t="str">
            <v>112tec</v>
          </cell>
          <cell r="T695" t="str">
            <v>111</v>
          </cell>
        </row>
        <row r="696">
          <cell r="L696">
            <v>6304000</v>
          </cell>
          <cell r="S696" t="str">
            <v>141nhung</v>
          </cell>
          <cell r="T696" t="str">
            <v>111</v>
          </cell>
        </row>
        <row r="697">
          <cell r="L697">
            <v>50000000</v>
          </cell>
          <cell r="S697" t="str">
            <v>331t&amp;t</v>
          </cell>
          <cell r="T697" t="str">
            <v>111</v>
          </cell>
        </row>
        <row r="698">
          <cell r="L698">
            <v>8474693</v>
          </cell>
          <cell r="S698" t="str">
            <v xml:space="preserve">334 </v>
          </cell>
          <cell r="T698" t="str">
            <v>111</v>
          </cell>
        </row>
        <row r="699">
          <cell r="L699">
            <v>65000000</v>
          </cell>
          <cell r="S699" t="str">
            <v>112tec</v>
          </cell>
          <cell r="T699" t="str">
            <v>111</v>
          </cell>
        </row>
        <row r="700">
          <cell r="L700">
            <v>7500000</v>
          </cell>
          <cell r="S700" t="str">
            <v>141huyòn</v>
          </cell>
          <cell r="T700" t="str">
            <v>111</v>
          </cell>
        </row>
        <row r="701">
          <cell r="L701">
            <v>104100</v>
          </cell>
          <cell r="S701" t="str">
            <v>642tk</v>
          </cell>
          <cell r="T701" t="str">
            <v>111</v>
          </cell>
        </row>
        <row r="702">
          <cell r="L702">
            <v>45000000</v>
          </cell>
          <cell r="S702" t="str">
            <v xml:space="preserve">111 </v>
          </cell>
          <cell r="T702" t="str">
            <v>131klm</v>
          </cell>
        </row>
        <row r="703">
          <cell r="L703">
            <v>800000</v>
          </cell>
          <cell r="S703" t="str">
            <v xml:space="preserve">111 </v>
          </cell>
          <cell r="T703" t="str">
            <v>721k</v>
          </cell>
        </row>
        <row r="704">
          <cell r="L704">
            <v>20000000</v>
          </cell>
          <cell r="S704" t="str">
            <v xml:space="preserve">111 </v>
          </cell>
          <cell r="T704" t="str">
            <v>131klm</v>
          </cell>
        </row>
        <row r="705">
          <cell r="L705">
            <v>98000000</v>
          </cell>
          <cell r="S705" t="str">
            <v xml:space="preserve">111 </v>
          </cell>
          <cell r="T705" t="str">
            <v>311tiõn</v>
          </cell>
        </row>
        <row r="706">
          <cell r="L706">
            <v>7454545</v>
          </cell>
          <cell r="S706" t="str">
            <v xml:space="preserve">111 </v>
          </cell>
          <cell r="T706" t="str">
            <v>511ch</v>
          </cell>
        </row>
        <row r="707">
          <cell r="L707">
            <v>745455</v>
          </cell>
          <cell r="S707" t="str">
            <v xml:space="preserve">111 </v>
          </cell>
          <cell r="T707" t="str">
            <v>3333331</v>
          </cell>
        </row>
        <row r="708">
          <cell r="L708">
            <v>295000</v>
          </cell>
          <cell r="S708" t="str">
            <v>642bv</v>
          </cell>
          <cell r="T708" t="str">
            <v>111</v>
          </cell>
        </row>
        <row r="709">
          <cell r="L709">
            <v>2692000</v>
          </cell>
          <cell r="S709" t="str">
            <v>141h­¬ng</v>
          </cell>
          <cell r="T709" t="str">
            <v>111</v>
          </cell>
        </row>
        <row r="710">
          <cell r="L710">
            <v>1500000</v>
          </cell>
          <cell r="S710" t="str">
            <v>141kú</v>
          </cell>
          <cell r="T710" t="str">
            <v>111</v>
          </cell>
        </row>
        <row r="711">
          <cell r="L711">
            <v>520000</v>
          </cell>
          <cell r="S711" t="str">
            <v>141thu</v>
          </cell>
          <cell r="T711" t="str">
            <v>111</v>
          </cell>
        </row>
        <row r="712">
          <cell r="L712">
            <v>3000000</v>
          </cell>
          <cell r="S712" t="str">
            <v xml:space="preserve">111 </v>
          </cell>
          <cell r="T712" t="str">
            <v>131bk</v>
          </cell>
        </row>
        <row r="713">
          <cell r="L713">
            <v>1127271</v>
          </cell>
          <cell r="S713" t="str">
            <v xml:space="preserve">111 </v>
          </cell>
          <cell r="T713" t="str">
            <v>511ks</v>
          </cell>
        </row>
        <row r="714">
          <cell r="L714">
            <v>112729</v>
          </cell>
          <cell r="S714" t="str">
            <v xml:space="preserve">111 </v>
          </cell>
          <cell r="T714" t="str">
            <v>3333331</v>
          </cell>
        </row>
        <row r="715">
          <cell r="L715">
            <v>300000</v>
          </cell>
          <cell r="S715" t="str">
            <v xml:space="preserve">111 </v>
          </cell>
          <cell r="T715" t="str">
            <v>141hµ</v>
          </cell>
        </row>
        <row r="716">
          <cell r="L716">
            <v>300000</v>
          </cell>
          <cell r="S716" t="str">
            <v xml:space="preserve">111 </v>
          </cell>
          <cell r="T716" t="str">
            <v>141dòng</v>
          </cell>
        </row>
        <row r="717">
          <cell r="L717">
            <v>35000000</v>
          </cell>
          <cell r="S717" t="str">
            <v xml:space="preserve">111 </v>
          </cell>
          <cell r="T717" t="str">
            <v>131klm</v>
          </cell>
        </row>
        <row r="718">
          <cell r="L718">
            <v>172727</v>
          </cell>
          <cell r="S718" t="str">
            <v xml:space="preserve">111 </v>
          </cell>
          <cell r="T718" t="str">
            <v>511ks</v>
          </cell>
        </row>
        <row r="719">
          <cell r="L719">
            <v>17273</v>
          </cell>
          <cell r="S719" t="str">
            <v xml:space="preserve">111 </v>
          </cell>
          <cell r="T719" t="str">
            <v>3333331</v>
          </cell>
        </row>
        <row r="720">
          <cell r="L720">
            <v>820091</v>
          </cell>
          <cell r="S720" t="str">
            <v xml:space="preserve">111 </v>
          </cell>
          <cell r="T720" t="str">
            <v>511ks</v>
          </cell>
        </row>
        <row r="721">
          <cell r="L721">
            <v>82009</v>
          </cell>
          <cell r="S721" t="str">
            <v xml:space="preserve">111 </v>
          </cell>
          <cell r="T721" t="str">
            <v>3333331</v>
          </cell>
        </row>
        <row r="722">
          <cell r="L722">
            <v>27540</v>
          </cell>
          <cell r="S722" t="str">
            <v xml:space="preserve">111 </v>
          </cell>
          <cell r="T722" t="str">
            <v>3383382</v>
          </cell>
        </row>
        <row r="723">
          <cell r="L723">
            <v>275400</v>
          </cell>
          <cell r="S723" t="str">
            <v xml:space="preserve">111 </v>
          </cell>
          <cell r="T723" t="str">
            <v>3383383</v>
          </cell>
        </row>
        <row r="724">
          <cell r="L724">
            <v>41310</v>
          </cell>
          <cell r="S724" t="str">
            <v xml:space="preserve">111 </v>
          </cell>
          <cell r="T724" t="str">
            <v>3383384</v>
          </cell>
        </row>
        <row r="725">
          <cell r="L725">
            <v>1665892</v>
          </cell>
          <cell r="S725" t="str">
            <v>642vp</v>
          </cell>
          <cell r="T725" t="str">
            <v>111</v>
          </cell>
        </row>
        <row r="726">
          <cell r="L726">
            <v>104108</v>
          </cell>
          <cell r="S726" t="str">
            <v xml:space="preserve">133 </v>
          </cell>
          <cell r="T726" t="str">
            <v>111</v>
          </cell>
        </row>
        <row r="727">
          <cell r="L727">
            <v>363637</v>
          </cell>
          <cell r="S727" t="str">
            <v xml:space="preserve">111 </v>
          </cell>
          <cell r="T727" t="str">
            <v>511ks</v>
          </cell>
        </row>
        <row r="728">
          <cell r="L728">
            <v>36363</v>
          </cell>
          <cell r="S728" t="str">
            <v xml:space="preserve">111 </v>
          </cell>
          <cell r="T728" t="str">
            <v>3333331</v>
          </cell>
        </row>
        <row r="729">
          <cell r="L729">
            <v>16000000</v>
          </cell>
          <cell r="S729" t="str">
            <v>141dòng</v>
          </cell>
          <cell r="T729" t="str">
            <v>111</v>
          </cell>
        </row>
        <row r="730">
          <cell r="L730">
            <v>98000</v>
          </cell>
          <cell r="S730" t="str">
            <v>642sc</v>
          </cell>
          <cell r="T730" t="str">
            <v>111</v>
          </cell>
        </row>
        <row r="731">
          <cell r="L731">
            <v>500000</v>
          </cell>
          <cell r="S731" t="str">
            <v>141thu</v>
          </cell>
          <cell r="T731" t="str">
            <v>111</v>
          </cell>
        </row>
        <row r="732">
          <cell r="L732">
            <v>1000000</v>
          </cell>
          <cell r="S732" t="str">
            <v>141ninh</v>
          </cell>
          <cell r="T732" t="str">
            <v>111</v>
          </cell>
        </row>
        <row r="733">
          <cell r="L733">
            <v>95000</v>
          </cell>
          <cell r="S733" t="str">
            <v>641ks</v>
          </cell>
          <cell r="T733" t="str">
            <v>111</v>
          </cell>
        </row>
        <row r="734">
          <cell r="L734">
            <v>7724000</v>
          </cell>
          <cell r="S734" t="str">
            <v>141tuên-dl</v>
          </cell>
          <cell r="T734" t="str">
            <v>111</v>
          </cell>
        </row>
        <row r="735">
          <cell r="L735">
            <v>18000000</v>
          </cell>
          <cell r="S735" t="str">
            <v xml:space="preserve">111 </v>
          </cell>
          <cell r="T735" t="str">
            <v>131xdhh</v>
          </cell>
        </row>
        <row r="736">
          <cell r="L736">
            <v>476637</v>
          </cell>
          <cell r="S736" t="str">
            <v xml:space="preserve">111 </v>
          </cell>
          <cell r="T736" t="str">
            <v>511ks</v>
          </cell>
        </row>
        <row r="737">
          <cell r="L737">
            <v>47663</v>
          </cell>
          <cell r="S737" t="str">
            <v xml:space="preserve">111 </v>
          </cell>
          <cell r="T737" t="str">
            <v>3333331</v>
          </cell>
        </row>
        <row r="738">
          <cell r="L738">
            <v>14980000</v>
          </cell>
          <cell r="S738" t="str">
            <v xml:space="preserve">111 </v>
          </cell>
          <cell r="T738" t="str">
            <v>511§t</v>
          </cell>
        </row>
        <row r="739">
          <cell r="L739">
            <v>2500000</v>
          </cell>
          <cell r="S739" t="str">
            <v xml:space="preserve">111 </v>
          </cell>
          <cell r="T739" t="str">
            <v>511§t</v>
          </cell>
        </row>
        <row r="740">
          <cell r="L740">
            <v>109091</v>
          </cell>
          <cell r="S740" t="str">
            <v xml:space="preserve">111 </v>
          </cell>
          <cell r="T740" t="str">
            <v>511ks</v>
          </cell>
        </row>
        <row r="741">
          <cell r="L741">
            <v>10909</v>
          </cell>
          <cell r="S741" t="str">
            <v xml:space="preserve">111 </v>
          </cell>
          <cell r="T741" t="str">
            <v>3333331</v>
          </cell>
        </row>
        <row r="742">
          <cell r="L742">
            <v>520000</v>
          </cell>
          <cell r="S742" t="str">
            <v xml:space="preserve">111 </v>
          </cell>
          <cell r="T742" t="str">
            <v>141thu</v>
          </cell>
        </row>
        <row r="743">
          <cell r="L743">
            <v>600000000</v>
          </cell>
          <cell r="S743" t="str">
            <v>112ct</v>
          </cell>
          <cell r="T743" t="str">
            <v>311nk2</v>
          </cell>
        </row>
        <row r="744">
          <cell r="L744">
            <v>400000</v>
          </cell>
          <cell r="S744" t="str">
            <v>641®t</v>
          </cell>
          <cell r="T744" t="str">
            <v>111</v>
          </cell>
        </row>
        <row r="745">
          <cell r="L745">
            <v>300000</v>
          </cell>
          <cell r="S745" t="str">
            <v>141chung</v>
          </cell>
          <cell r="T745" t="str">
            <v>111</v>
          </cell>
        </row>
        <row r="746">
          <cell r="L746">
            <v>520000</v>
          </cell>
          <cell r="S746" t="str">
            <v>642tk</v>
          </cell>
          <cell r="T746" t="str">
            <v>111</v>
          </cell>
        </row>
        <row r="747">
          <cell r="L747">
            <v>9000000</v>
          </cell>
          <cell r="S747" t="str">
            <v>141ninh</v>
          </cell>
          <cell r="T747" t="str">
            <v>111</v>
          </cell>
        </row>
        <row r="748">
          <cell r="L748">
            <v>637000000</v>
          </cell>
          <cell r="S748" t="str">
            <v>141dòngkt</v>
          </cell>
          <cell r="T748" t="str">
            <v>111</v>
          </cell>
        </row>
        <row r="749">
          <cell r="L749">
            <v>12100000</v>
          </cell>
          <cell r="S749" t="str">
            <v>141dòng</v>
          </cell>
          <cell r="T749" t="str">
            <v>111</v>
          </cell>
        </row>
        <row r="750">
          <cell r="L750">
            <v>1477274</v>
          </cell>
          <cell r="S750" t="str">
            <v xml:space="preserve">111 </v>
          </cell>
          <cell r="T750" t="str">
            <v>511ks</v>
          </cell>
        </row>
        <row r="751">
          <cell r="L751">
            <v>147726</v>
          </cell>
          <cell r="S751" t="str">
            <v xml:space="preserve">111 </v>
          </cell>
          <cell r="T751" t="str">
            <v>3333331</v>
          </cell>
        </row>
        <row r="752">
          <cell r="L752">
            <v>5485000</v>
          </cell>
          <cell r="S752" t="str">
            <v xml:space="preserve">111 </v>
          </cell>
          <cell r="T752" t="str">
            <v>131bk</v>
          </cell>
        </row>
        <row r="753">
          <cell r="L753">
            <v>28000000</v>
          </cell>
          <cell r="S753" t="str">
            <v xml:space="preserve">111 </v>
          </cell>
          <cell r="T753" t="str">
            <v>131klm</v>
          </cell>
        </row>
        <row r="754">
          <cell r="L754">
            <v>600000000</v>
          </cell>
          <cell r="S754" t="str">
            <v xml:space="preserve">111 </v>
          </cell>
          <cell r="T754" t="str">
            <v>112ct</v>
          </cell>
        </row>
        <row r="755">
          <cell r="L755">
            <v>313638</v>
          </cell>
          <cell r="S755" t="str">
            <v xml:space="preserve">111 </v>
          </cell>
          <cell r="T755" t="str">
            <v>511ks</v>
          </cell>
        </row>
        <row r="756">
          <cell r="L756">
            <v>31362</v>
          </cell>
          <cell r="S756" t="str">
            <v xml:space="preserve">111 </v>
          </cell>
          <cell r="T756" t="str">
            <v>3333331</v>
          </cell>
        </row>
        <row r="757">
          <cell r="L757">
            <v>1242500</v>
          </cell>
          <cell r="S757" t="str">
            <v xml:space="preserve">111 </v>
          </cell>
          <cell r="T757" t="str">
            <v>141huyòn</v>
          </cell>
        </row>
        <row r="758">
          <cell r="L758">
            <v>347272</v>
          </cell>
          <cell r="S758" t="str">
            <v xml:space="preserve">111 </v>
          </cell>
          <cell r="T758" t="str">
            <v>511ks</v>
          </cell>
        </row>
        <row r="759">
          <cell r="L759">
            <v>34728</v>
          </cell>
          <cell r="S759" t="str">
            <v xml:space="preserve">111 </v>
          </cell>
          <cell r="T759" t="str">
            <v>3333331</v>
          </cell>
        </row>
        <row r="760">
          <cell r="L760">
            <v>16000</v>
          </cell>
          <cell r="S760" t="str">
            <v>112tec</v>
          </cell>
          <cell r="T760" t="str">
            <v>711tec</v>
          </cell>
        </row>
        <row r="761">
          <cell r="L761">
            <v>366500</v>
          </cell>
          <cell r="S761" t="str">
            <v>642sc</v>
          </cell>
          <cell r="T761" t="str">
            <v>111</v>
          </cell>
        </row>
        <row r="762">
          <cell r="L762">
            <v>60000</v>
          </cell>
          <cell r="S762" t="str">
            <v>642dn</v>
          </cell>
          <cell r="T762" t="str">
            <v>111</v>
          </cell>
        </row>
        <row r="763">
          <cell r="L763">
            <v>252000000</v>
          </cell>
          <cell r="S763" t="str">
            <v>311nk2</v>
          </cell>
          <cell r="T763" t="str">
            <v>111</v>
          </cell>
        </row>
        <row r="764">
          <cell r="L764">
            <v>509092</v>
          </cell>
          <cell r="S764" t="str">
            <v xml:space="preserve">111 </v>
          </cell>
          <cell r="T764" t="str">
            <v>511ks</v>
          </cell>
        </row>
        <row r="765">
          <cell r="L765">
            <v>50908</v>
          </cell>
          <cell r="S765" t="str">
            <v xml:space="preserve">111 </v>
          </cell>
          <cell r="T765" t="str">
            <v>3333331</v>
          </cell>
        </row>
        <row r="766">
          <cell r="L766">
            <v>1711000</v>
          </cell>
          <cell r="S766" t="str">
            <v xml:space="preserve">111 </v>
          </cell>
          <cell r="T766" t="str">
            <v>141tuên-dl</v>
          </cell>
        </row>
        <row r="767">
          <cell r="L767">
            <v>3000000</v>
          </cell>
          <cell r="S767" t="str">
            <v xml:space="preserve">111 </v>
          </cell>
          <cell r="T767" t="str">
            <v>131bk</v>
          </cell>
        </row>
        <row r="768">
          <cell r="L768">
            <v>95400000</v>
          </cell>
          <cell r="S768" t="str">
            <v xml:space="preserve">111 </v>
          </cell>
          <cell r="T768" t="str">
            <v>141dòngkt</v>
          </cell>
        </row>
        <row r="769">
          <cell r="L769">
            <v>428000</v>
          </cell>
          <cell r="S769" t="str">
            <v>642vp</v>
          </cell>
          <cell r="T769" t="str">
            <v>111</v>
          </cell>
        </row>
        <row r="770">
          <cell r="L770">
            <v>8800000</v>
          </cell>
          <cell r="S770" t="str">
            <v>641®t</v>
          </cell>
          <cell r="T770" t="str">
            <v>111</v>
          </cell>
        </row>
        <row r="771">
          <cell r="L771">
            <v>300000</v>
          </cell>
          <cell r="S771" t="str">
            <v>642®t</v>
          </cell>
          <cell r="T771" t="str">
            <v>111</v>
          </cell>
        </row>
        <row r="772">
          <cell r="L772">
            <v>94000</v>
          </cell>
          <cell r="S772" t="str">
            <v>641dl</v>
          </cell>
          <cell r="T772" t="str">
            <v>111</v>
          </cell>
        </row>
        <row r="773">
          <cell r="L773">
            <v>4524000</v>
          </cell>
          <cell r="S773" t="str">
            <v xml:space="preserve">111 </v>
          </cell>
          <cell r="T773" t="str">
            <v>131vt</v>
          </cell>
        </row>
        <row r="774">
          <cell r="L774">
            <v>300000</v>
          </cell>
          <cell r="S774" t="str">
            <v xml:space="preserve">111 </v>
          </cell>
          <cell r="T774" t="str">
            <v>511ks</v>
          </cell>
        </row>
        <row r="775">
          <cell r="L775">
            <v>30000</v>
          </cell>
          <cell r="S775" t="str">
            <v xml:space="preserve">111 </v>
          </cell>
          <cell r="T775" t="str">
            <v>3333331</v>
          </cell>
        </row>
        <row r="776">
          <cell r="L776">
            <v>8088000</v>
          </cell>
          <cell r="S776" t="str">
            <v xml:space="preserve">334 </v>
          </cell>
          <cell r="T776" t="str">
            <v>111</v>
          </cell>
        </row>
        <row r="777">
          <cell r="L777">
            <v>796860</v>
          </cell>
          <cell r="S777" t="str">
            <v>338qldd</v>
          </cell>
          <cell r="T777" t="str">
            <v>111</v>
          </cell>
        </row>
        <row r="778">
          <cell r="L778">
            <v>5700000</v>
          </cell>
          <cell r="S778" t="str">
            <v>141h­¬ng</v>
          </cell>
          <cell r="T778" t="str">
            <v>111</v>
          </cell>
        </row>
        <row r="779">
          <cell r="L779">
            <v>43000</v>
          </cell>
          <cell r="S779" t="str">
            <v>642tk</v>
          </cell>
          <cell r="T779" t="str">
            <v>111</v>
          </cell>
        </row>
        <row r="780">
          <cell r="L780">
            <v>136364</v>
          </cell>
          <cell r="S780" t="str">
            <v xml:space="preserve">111 </v>
          </cell>
          <cell r="T780" t="str">
            <v>511ks</v>
          </cell>
        </row>
        <row r="781">
          <cell r="L781">
            <v>13636</v>
          </cell>
          <cell r="S781" t="str">
            <v xml:space="preserve">111 </v>
          </cell>
          <cell r="T781" t="str">
            <v>3333331</v>
          </cell>
        </row>
        <row r="782">
          <cell r="L782">
            <v>486000</v>
          </cell>
          <cell r="S782" t="str">
            <v xml:space="preserve">111 </v>
          </cell>
          <cell r="T782" t="str">
            <v>141tuên-dl</v>
          </cell>
        </row>
        <row r="783">
          <cell r="L783">
            <v>2524148</v>
          </cell>
          <cell r="S783" t="str">
            <v>642®t</v>
          </cell>
          <cell r="T783" t="str">
            <v>111</v>
          </cell>
        </row>
        <row r="784">
          <cell r="L784">
            <v>252415</v>
          </cell>
          <cell r="S784" t="str">
            <v xml:space="preserve">133 </v>
          </cell>
          <cell r="T784" t="str">
            <v>111</v>
          </cell>
        </row>
        <row r="785">
          <cell r="L785">
            <v>536690</v>
          </cell>
          <cell r="S785" t="str">
            <v>642ct</v>
          </cell>
          <cell r="T785" t="str">
            <v>111</v>
          </cell>
        </row>
        <row r="786">
          <cell r="L786">
            <v>23310</v>
          </cell>
          <cell r="S786" t="str">
            <v xml:space="preserve">133 </v>
          </cell>
          <cell r="T786" t="str">
            <v>111</v>
          </cell>
        </row>
        <row r="787">
          <cell r="L787">
            <v>180000</v>
          </cell>
          <cell r="S787" t="str">
            <v>641®t</v>
          </cell>
          <cell r="T787" t="str">
            <v>111</v>
          </cell>
        </row>
        <row r="788">
          <cell r="L788">
            <v>4410000</v>
          </cell>
          <cell r="S788" t="str">
            <v>641®t</v>
          </cell>
          <cell r="T788" t="str">
            <v>111</v>
          </cell>
        </row>
        <row r="789">
          <cell r="L789">
            <v>3144000</v>
          </cell>
          <cell r="S789" t="str">
            <v>141dòng</v>
          </cell>
          <cell r="T789" t="str">
            <v>111</v>
          </cell>
        </row>
        <row r="790">
          <cell r="L790">
            <v>1799991</v>
          </cell>
          <cell r="S790" t="str">
            <v xml:space="preserve">111 </v>
          </cell>
          <cell r="T790" t="str">
            <v>511ks</v>
          </cell>
        </row>
        <row r="791">
          <cell r="L791">
            <v>180009</v>
          </cell>
          <cell r="S791" t="str">
            <v xml:space="preserve">111 </v>
          </cell>
          <cell r="T791" t="str">
            <v>3333331</v>
          </cell>
        </row>
        <row r="792">
          <cell r="L792">
            <v>350000</v>
          </cell>
          <cell r="S792" t="str">
            <v>641®t</v>
          </cell>
          <cell r="T792" t="str">
            <v>111</v>
          </cell>
        </row>
        <row r="793">
          <cell r="L793">
            <v>3123355</v>
          </cell>
          <cell r="S793" t="str">
            <v>642®t</v>
          </cell>
          <cell r="T793" t="str">
            <v>111</v>
          </cell>
        </row>
        <row r="794">
          <cell r="L794">
            <v>312336</v>
          </cell>
          <cell r="S794" t="str">
            <v xml:space="preserve">133 </v>
          </cell>
          <cell r="T794" t="str">
            <v>111</v>
          </cell>
        </row>
        <row r="795">
          <cell r="L795">
            <v>3000000</v>
          </cell>
          <cell r="S795" t="str">
            <v xml:space="preserve">111 </v>
          </cell>
          <cell r="T795" t="str">
            <v>131bk</v>
          </cell>
        </row>
        <row r="796">
          <cell r="L796">
            <v>1090000</v>
          </cell>
          <cell r="S796" t="str">
            <v xml:space="preserve">111 </v>
          </cell>
          <cell r="T796" t="str">
            <v>131bk</v>
          </cell>
        </row>
        <row r="797">
          <cell r="L797">
            <v>20000000</v>
          </cell>
          <cell r="S797" t="str">
            <v xml:space="preserve">111 </v>
          </cell>
          <cell r="T797" t="str">
            <v>131hasa</v>
          </cell>
        </row>
        <row r="798">
          <cell r="L798">
            <v>300000</v>
          </cell>
          <cell r="S798" t="str">
            <v xml:space="preserve">111 </v>
          </cell>
          <cell r="T798" t="str">
            <v>141dòng</v>
          </cell>
        </row>
        <row r="799">
          <cell r="L799">
            <v>8400000</v>
          </cell>
          <cell r="S799" t="str">
            <v xml:space="preserve">111 </v>
          </cell>
          <cell r="T799" t="str">
            <v>511§t</v>
          </cell>
        </row>
        <row r="800">
          <cell r="L800">
            <v>2700000</v>
          </cell>
          <cell r="S800" t="str">
            <v>641®t</v>
          </cell>
          <cell r="T800" t="str">
            <v>111</v>
          </cell>
        </row>
        <row r="801">
          <cell r="L801">
            <v>461000</v>
          </cell>
          <cell r="S801" t="str">
            <v>642sc</v>
          </cell>
          <cell r="T801" t="str">
            <v>111</v>
          </cell>
        </row>
        <row r="802">
          <cell r="L802">
            <v>381819</v>
          </cell>
          <cell r="S802" t="str">
            <v xml:space="preserve">111 </v>
          </cell>
          <cell r="T802" t="str">
            <v>511ks</v>
          </cell>
        </row>
        <row r="803">
          <cell r="L803">
            <v>38181</v>
          </cell>
          <cell r="S803" t="str">
            <v xml:space="preserve">111 </v>
          </cell>
          <cell r="T803" t="str">
            <v>3333331</v>
          </cell>
        </row>
        <row r="804">
          <cell r="L804">
            <v>200000</v>
          </cell>
          <cell r="S804" t="str">
            <v xml:space="preserve">111 </v>
          </cell>
          <cell r="T804" t="str">
            <v>511§t</v>
          </cell>
        </row>
        <row r="805">
          <cell r="L805">
            <v>185455</v>
          </cell>
          <cell r="S805" t="str">
            <v>641ks</v>
          </cell>
          <cell r="T805" t="str">
            <v>111</v>
          </cell>
        </row>
        <row r="806">
          <cell r="L806">
            <v>18545</v>
          </cell>
          <cell r="S806" t="str">
            <v xml:space="preserve">133 </v>
          </cell>
          <cell r="T806" t="str">
            <v>111</v>
          </cell>
        </row>
        <row r="807">
          <cell r="L807">
            <v>801046</v>
          </cell>
          <cell r="S807" t="str">
            <v>3383382</v>
          </cell>
          <cell r="T807" t="str">
            <v>111</v>
          </cell>
        </row>
        <row r="808">
          <cell r="L808">
            <v>40909</v>
          </cell>
          <cell r="S808" t="str">
            <v xml:space="preserve">111 </v>
          </cell>
          <cell r="T808" t="str">
            <v>511ks</v>
          </cell>
        </row>
        <row r="809">
          <cell r="L809">
            <v>4091</v>
          </cell>
          <cell r="S809" t="str">
            <v xml:space="preserve">111 </v>
          </cell>
          <cell r="T809" t="str">
            <v>3333331</v>
          </cell>
        </row>
        <row r="810">
          <cell r="L810">
            <v>300000</v>
          </cell>
          <cell r="S810" t="str">
            <v>642bv</v>
          </cell>
          <cell r="T810" t="str">
            <v>111</v>
          </cell>
        </row>
        <row r="811">
          <cell r="L811">
            <v>1000000</v>
          </cell>
          <cell r="S811" t="str">
            <v>141kú</v>
          </cell>
          <cell r="T811" t="str">
            <v>111</v>
          </cell>
        </row>
        <row r="812">
          <cell r="L812">
            <v>736365</v>
          </cell>
          <cell r="S812" t="str">
            <v xml:space="preserve">111 </v>
          </cell>
          <cell r="T812" t="str">
            <v>511ks</v>
          </cell>
        </row>
        <row r="813">
          <cell r="L813">
            <v>73635</v>
          </cell>
          <cell r="S813" t="str">
            <v xml:space="preserve">111 </v>
          </cell>
          <cell r="T813" t="str">
            <v>3333331</v>
          </cell>
        </row>
        <row r="814">
          <cell r="L814">
            <v>616727</v>
          </cell>
          <cell r="S814" t="str">
            <v xml:space="preserve">111 </v>
          </cell>
          <cell r="T814" t="str">
            <v>511ks</v>
          </cell>
        </row>
        <row r="815">
          <cell r="L815">
            <v>61673</v>
          </cell>
          <cell r="S815" t="str">
            <v xml:space="preserve">111 </v>
          </cell>
          <cell r="T815" t="str">
            <v>3333331</v>
          </cell>
        </row>
        <row r="816">
          <cell r="L816">
            <v>200000000</v>
          </cell>
          <cell r="S816" t="str">
            <v>112tec</v>
          </cell>
          <cell r="T816" t="str">
            <v>131namminh</v>
          </cell>
        </row>
        <row r="817">
          <cell r="L817">
            <v>8252280</v>
          </cell>
          <cell r="S817" t="str">
            <v>3383383</v>
          </cell>
          <cell r="T817" t="str">
            <v>112ct</v>
          </cell>
        </row>
        <row r="818">
          <cell r="L818">
            <v>1183896000</v>
          </cell>
          <cell r="S818" t="str">
            <v>331t&amp;t</v>
          </cell>
          <cell r="T818" t="str">
            <v>112ct</v>
          </cell>
        </row>
        <row r="819">
          <cell r="L819">
            <v>6526931</v>
          </cell>
          <cell r="S819" t="str">
            <v>331t&amp;t</v>
          </cell>
          <cell r="T819" t="str">
            <v>112ct</v>
          </cell>
        </row>
        <row r="820">
          <cell r="L820">
            <v>750000</v>
          </cell>
          <cell r="S820" t="str">
            <v xml:space="preserve">111 </v>
          </cell>
          <cell r="T820" t="str">
            <v>141tuên-dl</v>
          </cell>
        </row>
        <row r="821">
          <cell r="L821">
            <v>1638074</v>
          </cell>
          <cell r="S821" t="str">
            <v>112ct</v>
          </cell>
          <cell r="T821" t="str">
            <v>711ct</v>
          </cell>
        </row>
        <row r="822">
          <cell r="L822">
            <v>120000</v>
          </cell>
          <cell r="S822" t="str">
            <v>642ct</v>
          </cell>
          <cell r="T822" t="str">
            <v>111</v>
          </cell>
        </row>
        <row r="823">
          <cell r="L823">
            <v>63000</v>
          </cell>
          <cell r="S823" t="str">
            <v>642k</v>
          </cell>
          <cell r="T823" t="str">
            <v>111</v>
          </cell>
        </row>
        <row r="824">
          <cell r="L824">
            <v>4810760</v>
          </cell>
          <cell r="S824" t="str">
            <v>642dn</v>
          </cell>
          <cell r="T824" t="str">
            <v>111</v>
          </cell>
        </row>
        <row r="825">
          <cell r="L825">
            <v>481076</v>
          </cell>
          <cell r="S825" t="str">
            <v xml:space="preserve">133 </v>
          </cell>
          <cell r="T825" t="str">
            <v>111</v>
          </cell>
        </row>
        <row r="826">
          <cell r="L826">
            <v>3150000</v>
          </cell>
          <cell r="S826" t="str">
            <v xml:space="preserve">111 </v>
          </cell>
          <cell r="T826" t="str">
            <v>131bk</v>
          </cell>
        </row>
        <row r="827">
          <cell r="L827">
            <v>136364</v>
          </cell>
          <cell r="S827" t="str">
            <v xml:space="preserve">111 </v>
          </cell>
          <cell r="T827" t="str">
            <v>511ks</v>
          </cell>
        </row>
        <row r="828">
          <cell r="L828">
            <v>13636</v>
          </cell>
          <cell r="S828" t="str">
            <v xml:space="preserve">111 </v>
          </cell>
          <cell r="T828" t="str">
            <v>3333331</v>
          </cell>
        </row>
        <row r="829">
          <cell r="L829">
            <v>148008000</v>
          </cell>
          <cell r="S829" t="str">
            <v xml:space="preserve">144 </v>
          </cell>
          <cell r="T829" t="str">
            <v>112tec</v>
          </cell>
        </row>
        <row r="830">
          <cell r="L830">
            <v>1601818</v>
          </cell>
          <cell r="S830" t="str">
            <v>331t&amp;t</v>
          </cell>
          <cell r="T830" t="str">
            <v>112tec</v>
          </cell>
        </row>
        <row r="831">
          <cell r="L831">
            <v>160182</v>
          </cell>
          <cell r="S831" t="str">
            <v xml:space="preserve">133 </v>
          </cell>
          <cell r="T831" t="str">
            <v>112tec</v>
          </cell>
        </row>
        <row r="832">
          <cell r="L832">
            <v>400000000</v>
          </cell>
          <cell r="S832" t="str">
            <v>311nk2</v>
          </cell>
          <cell r="T832" t="str">
            <v>111</v>
          </cell>
        </row>
        <row r="833">
          <cell r="L833">
            <v>115000000</v>
          </cell>
          <cell r="S833" t="str">
            <v>331unimex</v>
          </cell>
          <cell r="T833" t="str">
            <v>111</v>
          </cell>
        </row>
        <row r="834">
          <cell r="L834">
            <v>148008000</v>
          </cell>
          <cell r="S834" t="str">
            <v xml:space="preserve">144 </v>
          </cell>
          <cell r="T834" t="str">
            <v>112tec</v>
          </cell>
        </row>
        <row r="835">
          <cell r="L835">
            <v>55000</v>
          </cell>
          <cell r="S835" t="str">
            <v>642dn</v>
          </cell>
          <cell r="T835" t="str">
            <v>111</v>
          </cell>
        </row>
        <row r="836">
          <cell r="L836">
            <v>100000000</v>
          </cell>
          <cell r="S836" t="str">
            <v>112tec</v>
          </cell>
          <cell r="T836" t="str">
            <v>111</v>
          </cell>
        </row>
        <row r="837">
          <cell r="L837">
            <v>350722000</v>
          </cell>
          <cell r="S837" t="str">
            <v xml:space="preserve">111 </v>
          </cell>
          <cell r="T837" t="str">
            <v>131hs¬n</v>
          </cell>
        </row>
        <row r="838">
          <cell r="L838">
            <v>16000000</v>
          </cell>
          <cell r="S838" t="str">
            <v xml:space="preserve">111 </v>
          </cell>
          <cell r="T838" t="str">
            <v>131klm</v>
          </cell>
        </row>
        <row r="839">
          <cell r="L839">
            <v>138000</v>
          </cell>
          <cell r="S839" t="str">
            <v xml:space="preserve">111 </v>
          </cell>
          <cell r="T839" t="str">
            <v>141hµ</v>
          </cell>
        </row>
        <row r="840">
          <cell r="L840">
            <v>2000</v>
          </cell>
          <cell r="S840" t="str">
            <v>642k</v>
          </cell>
          <cell r="T840" t="str">
            <v>112ct</v>
          </cell>
        </row>
        <row r="841">
          <cell r="L841">
            <v>186500</v>
          </cell>
          <cell r="S841" t="str">
            <v>642vp</v>
          </cell>
          <cell r="T841" t="str">
            <v>111</v>
          </cell>
        </row>
        <row r="842">
          <cell r="L842">
            <v>103000000</v>
          </cell>
          <cell r="S842" t="str">
            <v xml:space="preserve">111 </v>
          </cell>
          <cell r="T842" t="str">
            <v>131hïng</v>
          </cell>
        </row>
        <row r="843">
          <cell r="L843">
            <v>572728</v>
          </cell>
          <cell r="S843" t="str">
            <v xml:space="preserve">111 </v>
          </cell>
          <cell r="T843" t="str">
            <v>511ks</v>
          </cell>
        </row>
        <row r="844">
          <cell r="L844">
            <v>57272</v>
          </cell>
          <cell r="S844" t="str">
            <v xml:space="preserve">111 </v>
          </cell>
          <cell r="T844" t="str">
            <v>3333331</v>
          </cell>
        </row>
        <row r="845">
          <cell r="L845">
            <v>3463636</v>
          </cell>
          <cell r="S845" t="str">
            <v xml:space="preserve">111 </v>
          </cell>
          <cell r="T845" t="str">
            <v>511ks</v>
          </cell>
        </row>
        <row r="846">
          <cell r="L846">
            <v>346364</v>
          </cell>
          <cell r="S846" t="str">
            <v xml:space="preserve">111 </v>
          </cell>
          <cell r="T846" t="str">
            <v>3333331</v>
          </cell>
        </row>
        <row r="847">
          <cell r="L847">
            <v>311000</v>
          </cell>
          <cell r="S847" t="str">
            <v>112tec</v>
          </cell>
          <cell r="T847" t="str">
            <v>711tec</v>
          </cell>
        </row>
        <row r="848">
          <cell r="L848">
            <v>7100950</v>
          </cell>
          <cell r="S848" t="str">
            <v xml:space="preserve">334 </v>
          </cell>
          <cell r="T848" t="str">
            <v>111</v>
          </cell>
        </row>
        <row r="849">
          <cell r="L849">
            <v>355500</v>
          </cell>
          <cell r="S849" t="str">
            <v xml:space="preserve">111 </v>
          </cell>
          <cell r="T849" t="str">
            <v>141h­¬ng</v>
          </cell>
        </row>
        <row r="850">
          <cell r="L850">
            <v>74000000</v>
          </cell>
          <cell r="S850" t="str">
            <v xml:space="preserve">111 </v>
          </cell>
          <cell r="T850" t="str">
            <v>131binh</v>
          </cell>
        </row>
        <row r="851">
          <cell r="L851">
            <v>2800000</v>
          </cell>
          <cell r="S851" t="str">
            <v xml:space="preserve">111 </v>
          </cell>
          <cell r="T851" t="str">
            <v>131hais¬n</v>
          </cell>
        </row>
        <row r="852">
          <cell r="L852">
            <v>10471000</v>
          </cell>
          <cell r="S852" t="str">
            <v xml:space="preserve">111 </v>
          </cell>
          <cell r="T852" t="str">
            <v>131binh</v>
          </cell>
        </row>
        <row r="853">
          <cell r="L853">
            <v>100000000</v>
          </cell>
          <cell r="S853" t="str">
            <v xml:space="preserve">111 </v>
          </cell>
          <cell r="T853" t="str">
            <v>131h­¬ng</v>
          </cell>
        </row>
        <row r="854">
          <cell r="L854">
            <v>15000000</v>
          </cell>
          <cell r="S854" t="str">
            <v xml:space="preserve">111 </v>
          </cell>
          <cell r="T854" t="str">
            <v>131binh</v>
          </cell>
        </row>
        <row r="855">
          <cell r="L855">
            <v>61225000</v>
          </cell>
          <cell r="S855" t="str">
            <v xml:space="preserve">111 </v>
          </cell>
          <cell r="T855" t="str">
            <v>131hïng</v>
          </cell>
        </row>
        <row r="856">
          <cell r="L856">
            <v>130000000</v>
          </cell>
          <cell r="S856" t="str">
            <v xml:space="preserve">111 </v>
          </cell>
          <cell r="T856" t="str">
            <v>131hais¬n</v>
          </cell>
        </row>
        <row r="857">
          <cell r="L857">
            <v>704000</v>
          </cell>
          <cell r="S857" t="str">
            <v xml:space="preserve">111 </v>
          </cell>
          <cell r="T857" t="str">
            <v>511ks</v>
          </cell>
        </row>
        <row r="858">
          <cell r="L858">
            <v>70400</v>
          </cell>
          <cell r="S858" t="str">
            <v xml:space="preserve">111 </v>
          </cell>
          <cell r="T858" t="str">
            <v>3333331</v>
          </cell>
        </row>
        <row r="859">
          <cell r="L859">
            <v>7454545</v>
          </cell>
          <cell r="S859" t="str">
            <v xml:space="preserve">111 </v>
          </cell>
          <cell r="T859" t="str">
            <v>511ch</v>
          </cell>
        </row>
        <row r="860">
          <cell r="L860">
            <v>745455</v>
          </cell>
          <cell r="S860" t="str">
            <v xml:space="preserve">111 </v>
          </cell>
          <cell r="T860" t="str">
            <v>3333331</v>
          </cell>
        </row>
        <row r="861">
          <cell r="L861">
            <v>7900000</v>
          </cell>
          <cell r="S861" t="str">
            <v xml:space="preserve">111 </v>
          </cell>
          <cell r="T861" t="str">
            <v>131hs¬n</v>
          </cell>
        </row>
        <row r="862">
          <cell r="L862">
            <v>175000000</v>
          </cell>
          <cell r="S862" t="str">
            <v xml:space="preserve">111 </v>
          </cell>
          <cell r="T862" t="str">
            <v>131h­¬ng</v>
          </cell>
        </row>
        <row r="863">
          <cell r="L863">
            <v>10000000</v>
          </cell>
          <cell r="S863" t="str">
            <v xml:space="preserve">111 </v>
          </cell>
          <cell r="T863" t="str">
            <v>131hais¬n</v>
          </cell>
        </row>
        <row r="864">
          <cell r="L864">
            <v>40000000</v>
          </cell>
          <cell r="S864" t="str">
            <v xml:space="preserve">111 </v>
          </cell>
          <cell r="T864" t="str">
            <v>131hais¬n</v>
          </cell>
        </row>
        <row r="865">
          <cell r="L865">
            <v>6365600</v>
          </cell>
          <cell r="S865" t="str">
            <v xml:space="preserve">111 </v>
          </cell>
          <cell r="T865" t="str">
            <v>131vcb</v>
          </cell>
        </row>
        <row r="866">
          <cell r="L866">
            <v>150000000</v>
          </cell>
          <cell r="S866" t="str">
            <v>331nk5</v>
          </cell>
          <cell r="T866" t="str">
            <v>111</v>
          </cell>
        </row>
        <row r="867">
          <cell r="L867">
            <v>351500</v>
          </cell>
          <cell r="S867" t="str">
            <v>641ks</v>
          </cell>
          <cell r="T867" t="str">
            <v>111</v>
          </cell>
        </row>
        <row r="868">
          <cell r="L868">
            <v>200000000</v>
          </cell>
          <cell r="S868" t="str">
            <v>311nk2</v>
          </cell>
          <cell r="T868" t="str">
            <v>111</v>
          </cell>
        </row>
        <row r="869">
          <cell r="L869">
            <v>355000</v>
          </cell>
          <cell r="S869" t="str">
            <v>642bv</v>
          </cell>
          <cell r="T869" t="str">
            <v>111</v>
          </cell>
        </row>
        <row r="870">
          <cell r="L870">
            <v>332000</v>
          </cell>
          <cell r="S870" t="str">
            <v>642sc</v>
          </cell>
          <cell r="T870" t="str">
            <v>111</v>
          </cell>
        </row>
        <row r="871">
          <cell r="L871">
            <v>40000000</v>
          </cell>
          <cell r="S871" t="str">
            <v>331nk5</v>
          </cell>
          <cell r="T871" t="str">
            <v>111</v>
          </cell>
        </row>
        <row r="872">
          <cell r="L872">
            <v>39000000</v>
          </cell>
          <cell r="S872" t="str">
            <v>331nk5</v>
          </cell>
          <cell r="T872" t="str">
            <v>111</v>
          </cell>
        </row>
        <row r="873">
          <cell r="L873">
            <v>418182</v>
          </cell>
          <cell r="S873" t="str">
            <v xml:space="preserve">111 </v>
          </cell>
          <cell r="T873" t="str">
            <v>511ks</v>
          </cell>
        </row>
        <row r="874">
          <cell r="L874">
            <v>41818</v>
          </cell>
          <cell r="S874" t="str">
            <v xml:space="preserve">111 </v>
          </cell>
          <cell r="T874" t="str">
            <v>3333331</v>
          </cell>
        </row>
        <row r="875">
          <cell r="L875">
            <v>64000000</v>
          </cell>
          <cell r="S875" t="str">
            <v xml:space="preserve">111 </v>
          </cell>
          <cell r="T875" t="str">
            <v>131h­¬ng</v>
          </cell>
        </row>
        <row r="876">
          <cell r="L876">
            <v>47000000</v>
          </cell>
          <cell r="S876" t="str">
            <v xml:space="preserve">111 </v>
          </cell>
          <cell r="T876" t="str">
            <v>131vcb</v>
          </cell>
        </row>
        <row r="877">
          <cell r="L877">
            <v>5165000</v>
          </cell>
          <cell r="S877" t="str">
            <v xml:space="preserve">111 </v>
          </cell>
          <cell r="T877" t="str">
            <v>131binh</v>
          </cell>
        </row>
        <row r="878">
          <cell r="L878">
            <v>200000000</v>
          </cell>
          <cell r="S878" t="str">
            <v xml:space="preserve">111 </v>
          </cell>
          <cell r="T878" t="str">
            <v>131h­¬ng</v>
          </cell>
        </row>
        <row r="879">
          <cell r="L879">
            <v>270662000</v>
          </cell>
          <cell r="S879" t="str">
            <v xml:space="preserve">144 </v>
          </cell>
          <cell r="T879" t="str">
            <v>112tec</v>
          </cell>
        </row>
        <row r="880">
          <cell r="L880">
            <v>1200000000</v>
          </cell>
          <cell r="S880" t="str">
            <v>112tec</v>
          </cell>
          <cell r="T880" t="str">
            <v>311vietro</v>
          </cell>
        </row>
        <row r="881">
          <cell r="L881">
            <v>100000000</v>
          </cell>
          <cell r="S881" t="str">
            <v>112tec</v>
          </cell>
          <cell r="T881" t="str">
            <v>111</v>
          </cell>
        </row>
        <row r="882">
          <cell r="L882">
            <v>732364</v>
          </cell>
          <cell r="S882" t="str">
            <v xml:space="preserve">111 </v>
          </cell>
          <cell r="T882" t="str">
            <v>511ks</v>
          </cell>
        </row>
        <row r="883">
          <cell r="L883">
            <v>73236</v>
          </cell>
          <cell r="S883" t="str">
            <v xml:space="preserve">111 </v>
          </cell>
          <cell r="T883" t="str">
            <v>3333331</v>
          </cell>
        </row>
        <row r="884">
          <cell r="L884">
            <v>1486593</v>
          </cell>
          <cell r="S884" t="str">
            <v>331bacson</v>
          </cell>
          <cell r="T884" t="str">
            <v>112tec</v>
          </cell>
        </row>
        <row r="885">
          <cell r="L885">
            <v>148659</v>
          </cell>
          <cell r="S885" t="str">
            <v xml:space="preserve">133 </v>
          </cell>
          <cell r="T885" t="str">
            <v>112tec</v>
          </cell>
        </row>
        <row r="886">
          <cell r="L886">
            <v>200000000</v>
          </cell>
          <cell r="S886" t="str">
            <v>311vietro</v>
          </cell>
          <cell r="T886" t="str">
            <v>111</v>
          </cell>
        </row>
        <row r="887">
          <cell r="L887">
            <v>923414</v>
          </cell>
          <cell r="S887" t="str">
            <v>642k</v>
          </cell>
          <cell r="T887" t="str">
            <v>111</v>
          </cell>
        </row>
        <row r="888">
          <cell r="L888">
            <v>91341</v>
          </cell>
          <cell r="S888" t="str">
            <v xml:space="preserve">133 </v>
          </cell>
          <cell r="T888" t="str">
            <v>111</v>
          </cell>
        </row>
        <row r="889">
          <cell r="L889">
            <v>390000000</v>
          </cell>
          <cell r="S889" t="str">
            <v>311vietro</v>
          </cell>
          <cell r="T889" t="str">
            <v>111</v>
          </cell>
        </row>
        <row r="890">
          <cell r="L890">
            <v>1480500000</v>
          </cell>
          <cell r="S890" t="str">
            <v>331t&amp;t</v>
          </cell>
          <cell r="T890" t="str">
            <v>112tec</v>
          </cell>
        </row>
        <row r="891">
          <cell r="L891">
            <v>672955</v>
          </cell>
          <cell r="S891" t="str">
            <v>331t&amp;t</v>
          </cell>
          <cell r="T891" t="str">
            <v>112tec</v>
          </cell>
        </row>
        <row r="892">
          <cell r="L892">
            <v>67295</v>
          </cell>
          <cell r="S892" t="str">
            <v xml:space="preserve">133 </v>
          </cell>
          <cell r="T892" t="str">
            <v>112tec</v>
          </cell>
        </row>
        <row r="893">
          <cell r="L893">
            <v>296016000</v>
          </cell>
          <cell r="S893" t="str">
            <v>112tec</v>
          </cell>
          <cell r="T893" t="str">
            <v>144</v>
          </cell>
        </row>
        <row r="894">
          <cell r="L894">
            <v>2326500</v>
          </cell>
          <cell r="S894" t="str">
            <v>641kd</v>
          </cell>
          <cell r="T894" t="str">
            <v>111</v>
          </cell>
        </row>
        <row r="895">
          <cell r="L895">
            <v>4000000</v>
          </cell>
          <cell r="S895" t="str">
            <v>141tuên</v>
          </cell>
          <cell r="T895" t="str">
            <v>111</v>
          </cell>
        </row>
        <row r="896">
          <cell r="L896">
            <v>33000000</v>
          </cell>
          <cell r="S896" t="str">
            <v>331nk5</v>
          </cell>
          <cell r="T896" t="str">
            <v>111</v>
          </cell>
        </row>
        <row r="897">
          <cell r="L897">
            <v>82691329</v>
          </cell>
          <cell r="S897" t="str">
            <v>331nk5</v>
          </cell>
          <cell r="T897" t="str">
            <v>111</v>
          </cell>
        </row>
        <row r="898">
          <cell r="L898">
            <v>200000000</v>
          </cell>
          <cell r="S898" t="str">
            <v xml:space="preserve">111 </v>
          </cell>
          <cell r="T898" t="str">
            <v>131h­¬ng</v>
          </cell>
        </row>
        <row r="899">
          <cell r="L899">
            <v>11560000</v>
          </cell>
          <cell r="S899" t="str">
            <v xml:space="preserve">111 </v>
          </cell>
          <cell r="T899" t="str">
            <v>131vthu</v>
          </cell>
        </row>
        <row r="900">
          <cell r="L900">
            <v>290000000</v>
          </cell>
          <cell r="S900" t="str">
            <v xml:space="preserve">111 </v>
          </cell>
          <cell r="T900" t="str">
            <v>131namminh</v>
          </cell>
        </row>
        <row r="901">
          <cell r="L901">
            <v>10000000</v>
          </cell>
          <cell r="S901" t="str">
            <v xml:space="preserve">111 </v>
          </cell>
          <cell r="T901" t="str">
            <v>131hais¬n</v>
          </cell>
        </row>
        <row r="902">
          <cell r="L902">
            <v>815909</v>
          </cell>
          <cell r="S902" t="str">
            <v xml:space="preserve">111 </v>
          </cell>
          <cell r="T902" t="str">
            <v>511ks</v>
          </cell>
        </row>
        <row r="903">
          <cell r="L903">
            <v>81591</v>
          </cell>
          <cell r="S903" t="str">
            <v xml:space="preserve">111 </v>
          </cell>
          <cell r="T903" t="str">
            <v>3333331</v>
          </cell>
        </row>
        <row r="904">
          <cell r="L904">
            <v>35691329</v>
          </cell>
          <cell r="S904" t="str">
            <v xml:space="preserve">111 </v>
          </cell>
          <cell r="T904" t="str">
            <v>131vietdo</v>
          </cell>
        </row>
        <row r="905">
          <cell r="L905">
            <v>20000000</v>
          </cell>
          <cell r="S905" t="str">
            <v xml:space="preserve">111 </v>
          </cell>
          <cell r="T905" t="str">
            <v>131vietdo</v>
          </cell>
        </row>
        <row r="906">
          <cell r="L906">
            <v>27000000</v>
          </cell>
          <cell r="S906" t="str">
            <v xml:space="preserve">111 </v>
          </cell>
          <cell r="T906" t="str">
            <v>131vietdo</v>
          </cell>
        </row>
        <row r="907">
          <cell r="L907">
            <v>10000000</v>
          </cell>
          <cell r="S907" t="str">
            <v>311vietro</v>
          </cell>
          <cell r="T907" t="str">
            <v>111</v>
          </cell>
        </row>
        <row r="908">
          <cell r="L908">
            <v>200000</v>
          </cell>
          <cell r="S908" t="str">
            <v xml:space="preserve">111 </v>
          </cell>
          <cell r="T908" t="str">
            <v>511ks</v>
          </cell>
        </row>
        <row r="909">
          <cell r="L909">
            <v>20000</v>
          </cell>
          <cell r="S909" t="str">
            <v xml:space="preserve">111 </v>
          </cell>
          <cell r="T909" t="str">
            <v>3333331</v>
          </cell>
        </row>
        <row r="910">
          <cell r="L910">
            <v>40000000</v>
          </cell>
          <cell r="S910" t="str">
            <v xml:space="preserve">111 </v>
          </cell>
          <cell r="T910" t="str">
            <v>131klm</v>
          </cell>
        </row>
        <row r="911">
          <cell r="L911">
            <v>39000000</v>
          </cell>
          <cell r="S911" t="str">
            <v xml:space="preserve">111 </v>
          </cell>
          <cell r="T911" t="str">
            <v>131klm</v>
          </cell>
        </row>
        <row r="912">
          <cell r="L912">
            <v>33000000</v>
          </cell>
          <cell r="S912" t="str">
            <v xml:space="preserve">111 </v>
          </cell>
          <cell r="T912" t="str">
            <v>131klm</v>
          </cell>
        </row>
        <row r="913">
          <cell r="L913">
            <v>24650000</v>
          </cell>
          <cell r="S913" t="str">
            <v xml:space="preserve">111 </v>
          </cell>
          <cell r="T913" t="str">
            <v>131hïng</v>
          </cell>
        </row>
        <row r="914">
          <cell r="L914">
            <v>10000000</v>
          </cell>
          <cell r="S914" t="str">
            <v xml:space="preserve">111 </v>
          </cell>
          <cell r="T914" t="str">
            <v>131hïng</v>
          </cell>
        </row>
        <row r="915">
          <cell r="L915">
            <v>60000000</v>
          </cell>
          <cell r="S915" t="str">
            <v xml:space="preserve">111 </v>
          </cell>
          <cell r="T915" t="str">
            <v>131vietdo</v>
          </cell>
        </row>
        <row r="916">
          <cell r="L916">
            <v>15000000</v>
          </cell>
          <cell r="S916" t="str">
            <v xml:space="preserve">111 </v>
          </cell>
          <cell r="T916" t="str">
            <v>131hïng</v>
          </cell>
        </row>
        <row r="917">
          <cell r="L917">
            <v>69204000</v>
          </cell>
          <cell r="S917" t="str">
            <v xml:space="preserve">111 </v>
          </cell>
          <cell r="T917" t="str">
            <v>131klm</v>
          </cell>
        </row>
        <row r="918">
          <cell r="L918">
            <v>197600000</v>
          </cell>
          <cell r="S918" t="str">
            <v xml:space="preserve">111 </v>
          </cell>
          <cell r="T918" t="str">
            <v>131namminh</v>
          </cell>
        </row>
        <row r="919">
          <cell r="L919">
            <v>395200000</v>
          </cell>
          <cell r="S919" t="str">
            <v xml:space="preserve">111 </v>
          </cell>
          <cell r="T919" t="str">
            <v>131tmdda</v>
          </cell>
        </row>
        <row r="920">
          <cell r="L920">
            <v>100000000</v>
          </cell>
          <cell r="S920" t="str">
            <v xml:space="preserve">111 </v>
          </cell>
          <cell r="T920" t="str">
            <v>131h­¬ng</v>
          </cell>
        </row>
        <row r="921">
          <cell r="L921">
            <v>500000000</v>
          </cell>
          <cell r="S921" t="str">
            <v xml:space="preserve">111 </v>
          </cell>
          <cell r="T921" t="str">
            <v>131hais¬n</v>
          </cell>
        </row>
        <row r="922">
          <cell r="L922">
            <v>500000000</v>
          </cell>
          <cell r="S922" t="str">
            <v xml:space="preserve">111 </v>
          </cell>
          <cell r="T922" t="str">
            <v>131hais¬n</v>
          </cell>
        </row>
        <row r="923">
          <cell r="L923">
            <v>80000000</v>
          </cell>
          <cell r="S923" t="str">
            <v xml:space="preserve">111 </v>
          </cell>
          <cell r="T923" t="str">
            <v>131vietdo</v>
          </cell>
        </row>
        <row r="924">
          <cell r="L924">
            <v>60000000</v>
          </cell>
          <cell r="S924" t="str">
            <v xml:space="preserve">111 </v>
          </cell>
          <cell r="T924" t="str">
            <v>131vietdo</v>
          </cell>
        </row>
        <row r="925">
          <cell r="L925">
            <v>276315000</v>
          </cell>
          <cell r="S925" t="str">
            <v xml:space="preserve">111 </v>
          </cell>
          <cell r="T925" t="str">
            <v>131hais¬n</v>
          </cell>
        </row>
        <row r="926">
          <cell r="L926">
            <v>1580492</v>
          </cell>
          <cell r="S926" t="str">
            <v xml:space="preserve">111 </v>
          </cell>
          <cell r="T926" t="str">
            <v>131thh­¬ng</v>
          </cell>
        </row>
        <row r="927">
          <cell r="L927">
            <v>41000000</v>
          </cell>
          <cell r="S927" t="str">
            <v xml:space="preserve">111 </v>
          </cell>
          <cell r="T927" t="str">
            <v>131h­¬ng</v>
          </cell>
        </row>
        <row r="928">
          <cell r="L928">
            <v>15070000</v>
          </cell>
          <cell r="S928" t="str">
            <v xml:space="preserve">111 </v>
          </cell>
          <cell r="T928" t="str">
            <v>131binh</v>
          </cell>
        </row>
        <row r="929">
          <cell r="L929">
            <v>244920000</v>
          </cell>
          <cell r="S929" t="str">
            <v xml:space="preserve">111 </v>
          </cell>
          <cell r="T929" t="str">
            <v>131namminh</v>
          </cell>
        </row>
        <row r="930">
          <cell r="L930">
            <v>200000000</v>
          </cell>
          <cell r="S930" t="str">
            <v xml:space="preserve">111 </v>
          </cell>
          <cell r="T930" t="str">
            <v>131namminh</v>
          </cell>
        </row>
        <row r="931">
          <cell r="L931">
            <v>280000000</v>
          </cell>
          <cell r="S931" t="str">
            <v xml:space="preserve">111 </v>
          </cell>
          <cell r="T931" t="str">
            <v>131vcb</v>
          </cell>
        </row>
        <row r="932">
          <cell r="L932">
            <v>204820000</v>
          </cell>
          <cell r="S932" t="str">
            <v xml:space="preserve">111 </v>
          </cell>
          <cell r="T932" t="str">
            <v>131namminh</v>
          </cell>
        </row>
        <row r="933">
          <cell r="L933">
            <v>1000000000</v>
          </cell>
          <cell r="S933" t="str">
            <v xml:space="preserve">111 </v>
          </cell>
          <cell r="T933" t="str">
            <v>131tmdda</v>
          </cell>
        </row>
        <row r="934">
          <cell r="L934">
            <v>386400000</v>
          </cell>
          <cell r="S934" t="str">
            <v xml:space="preserve">111 </v>
          </cell>
          <cell r="T934" t="str">
            <v>131namminh</v>
          </cell>
        </row>
        <row r="935">
          <cell r="L935">
            <v>90000000</v>
          </cell>
          <cell r="S935" t="str">
            <v xml:space="preserve">111 </v>
          </cell>
          <cell r="T935" t="str">
            <v>131vietdo</v>
          </cell>
        </row>
        <row r="936">
          <cell r="L936">
            <v>22000000</v>
          </cell>
          <cell r="S936" t="str">
            <v xml:space="preserve">111 </v>
          </cell>
          <cell r="T936" t="str">
            <v>131klm</v>
          </cell>
        </row>
        <row r="937">
          <cell r="L937">
            <v>53500000</v>
          </cell>
          <cell r="S937" t="str">
            <v xml:space="preserve">111 </v>
          </cell>
          <cell r="T937" t="str">
            <v>131hs¬n</v>
          </cell>
        </row>
        <row r="938">
          <cell r="L938">
            <v>340000000</v>
          </cell>
          <cell r="S938" t="str">
            <v xml:space="preserve">111 </v>
          </cell>
          <cell r="T938" t="str">
            <v>131hais¬n</v>
          </cell>
        </row>
        <row r="939">
          <cell r="L939">
            <v>142000000</v>
          </cell>
          <cell r="S939" t="str">
            <v xml:space="preserve">111 </v>
          </cell>
          <cell r="T939" t="str">
            <v>131namminh</v>
          </cell>
        </row>
        <row r="940">
          <cell r="L940">
            <v>86000000</v>
          </cell>
          <cell r="S940" t="str">
            <v xml:space="preserve">111 </v>
          </cell>
          <cell r="T940" t="str">
            <v>131binh</v>
          </cell>
        </row>
        <row r="941">
          <cell r="L941">
            <v>2651776</v>
          </cell>
          <cell r="S941" t="str">
            <v>642®t</v>
          </cell>
          <cell r="T941" t="str">
            <v>111</v>
          </cell>
        </row>
        <row r="942">
          <cell r="L942">
            <v>265177</v>
          </cell>
          <cell r="S942" t="str">
            <v xml:space="preserve">133 </v>
          </cell>
          <cell r="T942" t="str">
            <v>111</v>
          </cell>
        </row>
        <row r="943">
          <cell r="L943">
            <v>180000</v>
          </cell>
          <cell r="S943" t="str">
            <v>641®t</v>
          </cell>
          <cell r="T943" t="str">
            <v>111</v>
          </cell>
        </row>
        <row r="944">
          <cell r="L944">
            <v>1660000</v>
          </cell>
          <cell r="S944" t="str">
            <v>141nghüa</v>
          </cell>
          <cell r="T944" t="str">
            <v>111</v>
          </cell>
        </row>
        <row r="945">
          <cell r="L945">
            <v>600000</v>
          </cell>
          <cell r="S945" t="str">
            <v>141kú</v>
          </cell>
          <cell r="T945" t="str">
            <v>111</v>
          </cell>
        </row>
        <row r="946">
          <cell r="L946">
            <v>7765400</v>
          </cell>
          <cell r="S946" t="str">
            <v xml:space="preserve">334 </v>
          </cell>
          <cell r="T946" t="str">
            <v>111</v>
          </cell>
        </row>
        <row r="947">
          <cell r="L947">
            <v>796860</v>
          </cell>
          <cell r="S947" t="str">
            <v>338qldd</v>
          </cell>
          <cell r="T947" t="str">
            <v>111</v>
          </cell>
        </row>
        <row r="948">
          <cell r="L948">
            <v>80000000</v>
          </cell>
          <cell r="S948" t="str">
            <v>331nk5</v>
          </cell>
          <cell r="T948" t="str">
            <v>111</v>
          </cell>
        </row>
        <row r="949">
          <cell r="L949">
            <v>29204000</v>
          </cell>
          <cell r="S949" t="str">
            <v>331nk5</v>
          </cell>
          <cell r="T949" t="str">
            <v>111</v>
          </cell>
        </row>
        <row r="950">
          <cell r="L950">
            <v>40000000</v>
          </cell>
          <cell r="S950" t="str">
            <v>331nk5</v>
          </cell>
          <cell r="T950" t="str">
            <v>111</v>
          </cell>
        </row>
        <row r="951">
          <cell r="L951">
            <v>4500000</v>
          </cell>
          <cell r="S951" t="str">
            <v>141chung</v>
          </cell>
          <cell r="T951" t="str">
            <v>111</v>
          </cell>
        </row>
        <row r="952">
          <cell r="L952">
            <v>300000</v>
          </cell>
          <cell r="S952" t="str">
            <v xml:space="preserve">111 </v>
          </cell>
          <cell r="T952" t="str">
            <v>141dòng</v>
          </cell>
        </row>
        <row r="953">
          <cell r="L953">
            <v>55000000</v>
          </cell>
          <cell r="S953" t="str">
            <v>331nk5</v>
          </cell>
          <cell r="T953" t="str">
            <v>112ct</v>
          </cell>
        </row>
        <row r="954">
          <cell r="L954">
            <v>600000000</v>
          </cell>
          <cell r="S954" t="str">
            <v>112ct</v>
          </cell>
          <cell r="T954" t="str">
            <v>311vietro</v>
          </cell>
        </row>
        <row r="955">
          <cell r="L955">
            <v>916955</v>
          </cell>
          <cell r="S955" t="str">
            <v>642vp</v>
          </cell>
          <cell r="T955" t="str">
            <v>111</v>
          </cell>
        </row>
        <row r="956">
          <cell r="L956">
            <v>91695</v>
          </cell>
          <cell r="S956" t="str">
            <v xml:space="preserve">133 </v>
          </cell>
          <cell r="T956" t="str">
            <v>111</v>
          </cell>
        </row>
        <row r="957">
          <cell r="L957">
            <v>1890000</v>
          </cell>
          <cell r="S957" t="str">
            <v>641®t</v>
          </cell>
          <cell r="T957" t="str">
            <v>111</v>
          </cell>
        </row>
        <row r="958">
          <cell r="L958">
            <v>60000</v>
          </cell>
          <cell r="S958" t="str">
            <v>641®t</v>
          </cell>
          <cell r="T958" t="str">
            <v>111</v>
          </cell>
        </row>
        <row r="959">
          <cell r="L959">
            <v>620000000</v>
          </cell>
          <cell r="S959" t="str">
            <v>112tec</v>
          </cell>
          <cell r="T959" t="str">
            <v>111</v>
          </cell>
        </row>
        <row r="960">
          <cell r="L960">
            <v>400000</v>
          </cell>
          <cell r="S960" t="str">
            <v xml:space="preserve">111 </v>
          </cell>
          <cell r="T960" t="str">
            <v>721k</v>
          </cell>
        </row>
        <row r="961">
          <cell r="L961">
            <v>1059817</v>
          </cell>
          <cell r="S961" t="str">
            <v xml:space="preserve">111 </v>
          </cell>
          <cell r="T961" t="str">
            <v>511ks</v>
          </cell>
        </row>
        <row r="962">
          <cell r="L962">
            <v>105983</v>
          </cell>
          <cell r="S962" t="str">
            <v xml:space="preserve">111 </v>
          </cell>
          <cell r="T962" t="str">
            <v>3333331</v>
          </cell>
        </row>
        <row r="963">
          <cell r="L963">
            <v>550000000</v>
          </cell>
          <cell r="S963" t="str">
            <v xml:space="preserve">111 </v>
          </cell>
          <cell r="T963" t="str">
            <v>112ct</v>
          </cell>
        </row>
        <row r="964">
          <cell r="L964">
            <v>180200</v>
          </cell>
          <cell r="S964" t="str">
            <v>642vp</v>
          </cell>
          <cell r="T964" t="str">
            <v>111</v>
          </cell>
        </row>
        <row r="965">
          <cell r="L965">
            <v>660000</v>
          </cell>
          <cell r="S965" t="str">
            <v>642vp</v>
          </cell>
          <cell r="T965" t="str">
            <v>111</v>
          </cell>
        </row>
        <row r="966">
          <cell r="L966">
            <v>10480000</v>
          </cell>
          <cell r="S966" t="str">
            <v xml:space="preserve">111 </v>
          </cell>
          <cell r="T966" t="str">
            <v>511§t</v>
          </cell>
        </row>
        <row r="968">
          <cell r="L968">
            <v>636000000</v>
          </cell>
          <cell r="S968" t="str">
            <v>141chung</v>
          </cell>
          <cell r="T968" t="str">
            <v>111</v>
          </cell>
        </row>
        <row r="969">
          <cell r="L969">
            <v>700000</v>
          </cell>
          <cell r="S969" t="str">
            <v>141ph­¬ng</v>
          </cell>
          <cell r="T969" t="str">
            <v>111</v>
          </cell>
        </row>
        <row r="970">
          <cell r="L970">
            <v>500000000</v>
          </cell>
          <cell r="S970" t="str">
            <v>112tec</v>
          </cell>
          <cell r="T970" t="str">
            <v>111</v>
          </cell>
        </row>
        <row r="971">
          <cell r="L971">
            <v>7000000</v>
          </cell>
          <cell r="S971" t="str">
            <v>141ninh</v>
          </cell>
          <cell r="T971" t="str">
            <v>111</v>
          </cell>
        </row>
        <row r="972">
          <cell r="L972">
            <v>190909</v>
          </cell>
          <cell r="S972" t="str">
            <v xml:space="preserve">111 </v>
          </cell>
          <cell r="T972" t="str">
            <v>511ks</v>
          </cell>
        </row>
        <row r="973">
          <cell r="L973">
            <v>19091</v>
          </cell>
          <cell r="S973" t="str">
            <v xml:space="preserve">111 </v>
          </cell>
          <cell r="T973" t="str">
            <v>3333331</v>
          </cell>
        </row>
        <row r="974">
          <cell r="L974">
            <v>500000000</v>
          </cell>
          <cell r="S974" t="str">
            <v>112tec</v>
          </cell>
          <cell r="T974" t="str">
            <v>111</v>
          </cell>
        </row>
        <row r="975">
          <cell r="L975">
            <v>541786000</v>
          </cell>
          <cell r="S975" t="str">
            <v xml:space="preserve">144 </v>
          </cell>
          <cell r="T975" t="str">
            <v>112tec</v>
          </cell>
        </row>
        <row r="976">
          <cell r="L976">
            <v>1898302</v>
          </cell>
          <cell r="S976" t="str">
            <v>331t&amp;t</v>
          </cell>
          <cell r="T976" t="str">
            <v>112tec</v>
          </cell>
        </row>
        <row r="977">
          <cell r="L977">
            <v>189830</v>
          </cell>
          <cell r="S977" t="str">
            <v xml:space="preserve">133 </v>
          </cell>
          <cell r="T977" t="str">
            <v>112tec</v>
          </cell>
        </row>
        <row r="978">
          <cell r="L978">
            <v>414400</v>
          </cell>
          <cell r="S978" t="str">
            <v>641dl</v>
          </cell>
          <cell r="T978" t="str">
            <v>111</v>
          </cell>
        </row>
        <row r="979">
          <cell r="L979">
            <v>75000</v>
          </cell>
          <cell r="S979" t="str">
            <v>642k</v>
          </cell>
          <cell r="T979" t="str">
            <v>111</v>
          </cell>
        </row>
        <row r="980">
          <cell r="L980">
            <v>20600</v>
          </cell>
          <cell r="S980" t="str">
            <v xml:space="preserve">133 </v>
          </cell>
          <cell r="T980" t="str">
            <v>111</v>
          </cell>
        </row>
        <row r="981">
          <cell r="L981">
            <v>2745475</v>
          </cell>
          <cell r="S981" t="str">
            <v>641kd</v>
          </cell>
          <cell r="T981" t="str">
            <v>111</v>
          </cell>
        </row>
        <row r="982">
          <cell r="L982">
            <v>274548</v>
          </cell>
          <cell r="S982" t="str">
            <v xml:space="preserve">133 </v>
          </cell>
          <cell r="T982" t="str">
            <v>111</v>
          </cell>
        </row>
        <row r="983">
          <cell r="L983">
            <v>13954854</v>
          </cell>
          <cell r="S983" t="str">
            <v>641dl</v>
          </cell>
          <cell r="T983" t="str">
            <v>111</v>
          </cell>
        </row>
        <row r="984">
          <cell r="L984">
            <v>1205106</v>
          </cell>
          <cell r="S984" t="str">
            <v xml:space="preserve">133 </v>
          </cell>
          <cell r="T984" t="str">
            <v>111</v>
          </cell>
        </row>
        <row r="985">
          <cell r="L985">
            <v>2693536</v>
          </cell>
          <cell r="S985" t="str">
            <v>331t&amp;t</v>
          </cell>
          <cell r="T985" t="str">
            <v>112tec</v>
          </cell>
        </row>
        <row r="986">
          <cell r="L986">
            <v>269354</v>
          </cell>
          <cell r="S986" t="str">
            <v xml:space="preserve">133 </v>
          </cell>
          <cell r="T986" t="str">
            <v>112tec</v>
          </cell>
        </row>
        <row r="987">
          <cell r="L987">
            <v>34145571</v>
          </cell>
          <cell r="S987" t="str">
            <v>641dl</v>
          </cell>
          <cell r="T987" t="str">
            <v>111</v>
          </cell>
        </row>
        <row r="988">
          <cell r="L988">
            <v>2609929</v>
          </cell>
          <cell r="S988" t="str">
            <v xml:space="preserve">133 </v>
          </cell>
          <cell r="T988" t="str">
            <v>111</v>
          </cell>
        </row>
        <row r="989">
          <cell r="L989">
            <v>36755500</v>
          </cell>
          <cell r="S989" t="str">
            <v xml:space="preserve">111 </v>
          </cell>
          <cell r="T989" t="str">
            <v>141dòng</v>
          </cell>
        </row>
        <row r="990">
          <cell r="L990">
            <v>418182</v>
          </cell>
          <cell r="S990" t="str">
            <v xml:space="preserve">111 </v>
          </cell>
          <cell r="T990" t="str">
            <v>511ks</v>
          </cell>
        </row>
        <row r="991">
          <cell r="L991">
            <v>41818</v>
          </cell>
          <cell r="S991" t="str">
            <v xml:space="preserve">111 </v>
          </cell>
          <cell r="T991" t="str">
            <v>3333331</v>
          </cell>
        </row>
        <row r="992">
          <cell r="L992">
            <v>300000000</v>
          </cell>
          <cell r="S992" t="str">
            <v>112cntec</v>
          </cell>
          <cell r="T992" t="str">
            <v>111</v>
          </cell>
        </row>
        <row r="993">
          <cell r="L993">
            <v>140000000</v>
          </cell>
          <cell r="S993" t="str">
            <v>331nk5</v>
          </cell>
          <cell r="T993" t="str">
            <v>111</v>
          </cell>
        </row>
        <row r="994">
          <cell r="L994">
            <v>3928110</v>
          </cell>
          <cell r="S994" t="str">
            <v>642dn</v>
          </cell>
          <cell r="T994" t="str">
            <v>111</v>
          </cell>
        </row>
        <row r="995">
          <cell r="L995">
            <v>392811</v>
          </cell>
          <cell r="S995" t="str">
            <v xml:space="preserve">133 </v>
          </cell>
          <cell r="T995" t="str">
            <v>111</v>
          </cell>
        </row>
        <row r="996">
          <cell r="L996">
            <v>1000000</v>
          </cell>
          <cell r="S996" t="str">
            <v xml:space="preserve">111 </v>
          </cell>
          <cell r="T996" t="str">
            <v>141tiõn</v>
          </cell>
        </row>
        <row r="997">
          <cell r="L997">
            <v>15159960</v>
          </cell>
          <cell r="S997" t="str">
            <v xml:space="preserve">111 </v>
          </cell>
          <cell r="T997" t="str">
            <v>141tuên-dl</v>
          </cell>
        </row>
        <row r="998">
          <cell r="L998">
            <v>4090908</v>
          </cell>
          <cell r="S998" t="str">
            <v>641kd</v>
          </cell>
          <cell r="T998" t="str">
            <v>111</v>
          </cell>
        </row>
        <row r="999">
          <cell r="L999">
            <v>409092</v>
          </cell>
          <cell r="S999" t="str">
            <v xml:space="preserve">133 </v>
          </cell>
          <cell r="T999" t="str">
            <v>111</v>
          </cell>
        </row>
        <row r="1000">
          <cell r="L1000">
            <v>86000000</v>
          </cell>
          <cell r="S1000" t="str">
            <v>112tec</v>
          </cell>
          <cell r="T1000" t="str">
            <v>111</v>
          </cell>
        </row>
        <row r="1001">
          <cell r="L1001">
            <v>7235845</v>
          </cell>
          <cell r="S1001" t="str">
            <v>641dl</v>
          </cell>
          <cell r="T1001" t="str">
            <v>111</v>
          </cell>
        </row>
        <row r="1002">
          <cell r="L1002">
            <v>515155</v>
          </cell>
          <cell r="S1002" t="str">
            <v xml:space="preserve">133 </v>
          </cell>
          <cell r="T1002" t="str">
            <v>111</v>
          </cell>
        </row>
        <row r="1003">
          <cell r="L1003">
            <v>300000</v>
          </cell>
          <cell r="S1003" t="str">
            <v>642bv</v>
          </cell>
          <cell r="T1003" t="str">
            <v>111</v>
          </cell>
        </row>
        <row r="1004">
          <cell r="L1004">
            <v>6257500</v>
          </cell>
          <cell r="S1004" t="str">
            <v xml:space="preserve">111 </v>
          </cell>
          <cell r="T1004" t="str">
            <v>141huyòn</v>
          </cell>
        </row>
        <row r="1005">
          <cell r="L1005">
            <v>55500</v>
          </cell>
          <cell r="S1005" t="str">
            <v>642dn</v>
          </cell>
          <cell r="T1005" t="str">
            <v>111</v>
          </cell>
        </row>
        <row r="1006">
          <cell r="L1006">
            <v>1417040</v>
          </cell>
          <cell r="S1006" t="str">
            <v xml:space="preserve">111 </v>
          </cell>
          <cell r="T1006" t="str">
            <v>141tuên-dl</v>
          </cell>
        </row>
        <row r="1007">
          <cell r="L1007">
            <v>76460</v>
          </cell>
          <cell r="S1007" t="str">
            <v xml:space="preserve">111 </v>
          </cell>
          <cell r="T1007" t="str">
            <v>141dòng</v>
          </cell>
        </row>
        <row r="1008">
          <cell r="L1008">
            <v>500000000</v>
          </cell>
          <cell r="S1008" t="str">
            <v>112cntec</v>
          </cell>
          <cell r="T1008" t="str">
            <v>111</v>
          </cell>
        </row>
        <row r="1009">
          <cell r="L1009">
            <v>758000000</v>
          </cell>
          <cell r="S1009" t="str">
            <v>311nk2</v>
          </cell>
          <cell r="T1009" t="str">
            <v>112cntec</v>
          </cell>
        </row>
        <row r="1010">
          <cell r="L1010">
            <v>542170000</v>
          </cell>
          <cell r="S1010" t="str">
            <v xml:space="preserve">144 </v>
          </cell>
          <cell r="T1010" t="str">
            <v>112tec</v>
          </cell>
        </row>
        <row r="1011">
          <cell r="L1011">
            <v>1899647</v>
          </cell>
          <cell r="S1011" t="str">
            <v>331t&amp;t</v>
          </cell>
          <cell r="T1011" t="str">
            <v>112tec</v>
          </cell>
        </row>
        <row r="1012">
          <cell r="L1012">
            <v>189965</v>
          </cell>
          <cell r="S1012" t="str">
            <v xml:space="preserve">133 </v>
          </cell>
          <cell r="T1012" t="str">
            <v>112tec</v>
          </cell>
        </row>
        <row r="1013">
          <cell r="L1013">
            <v>2592762</v>
          </cell>
          <cell r="S1013" t="str">
            <v>331bacson</v>
          </cell>
          <cell r="T1013" t="str">
            <v>112tec</v>
          </cell>
        </row>
        <row r="1014">
          <cell r="L1014">
            <v>259276</v>
          </cell>
          <cell r="S1014" t="str">
            <v xml:space="preserve">133 </v>
          </cell>
          <cell r="T1014" t="str">
            <v>112tec</v>
          </cell>
        </row>
        <row r="1015">
          <cell r="L1015">
            <v>1355424000</v>
          </cell>
          <cell r="S1015" t="str">
            <v>331bacson</v>
          </cell>
          <cell r="T1015" t="str">
            <v>112tec</v>
          </cell>
        </row>
        <row r="1016">
          <cell r="L1016">
            <v>270662000</v>
          </cell>
          <cell r="S1016" t="str">
            <v>112tec</v>
          </cell>
          <cell r="T1016" t="str">
            <v>144</v>
          </cell>
        </row>
        <row r="1017">
          <cell r="L1017">
            <v>615455</v>
          </cell>
          <cell r="S1017" t="str">
            <v>331bacson</v>
          </cell>
          <cell r="T1017" t="str">
            <v>112tec</v>
          </cell>
        </row>
        <row r="1018">
          <cell r="L1018">
            <v>61545</v>
          </cell>
          <cell r="S1018" t="str">
            <v xml:space="preserve">133 </v>
          </cell>
          <cell r="T1018" t="str">
            <v>112tec</v>
          </cell>
        </row>
        <row r="1019">
          <cell r="L1019">
            <v>545000000</v>
          </cell>
          <cell r="S1019" t="str">
            <v>112tec</v>
          </cell>
          <cell r="T1019" t="str">
            <v>111</v>
          </cell>
        </row>
        <row r="1020">
          <cell r="L1020">
            <v>432000000</v>
          </cell>
          <cell r="S1020" t="str">
            <v>311vietro</v>
          </cell>
          <cell r="T1020" t="str">
            <v>111</v>
          </cell>
        </row>
        <row r="1021">
          <cell r="L1021">
            <v>6327273</v>
          </cell>
          <cell r="S1021" t="str">
            <v xml:space="preserve">111 </v>
          </cell>
          <cell r="T1021" t="str">
            <v>511ks</v>
          </cell>
        </row>
        <row r="1022">
          <cell r="L1022">
            <v>632727</v>
          </cell>
          <cell r="S1022" t="str">
            <v xml:space="preserve">111 </v>
          </cell>
          <cell r="T1022" t="str">
            <v>3333331</v>
          </cell>
        </row>
        <row r="1023">
          <cell r="L1023">
            <v>537000000</v>
          </cell>
          <cell r="S1023" t="str">
            <v xml:space="preserve">111 </v>
          </cell>
          <cell r="T1023" t="str">
            <v>131h­¬ng</v>
          </cell>
        </row>
        <row r="1024">
          <cell r="L1024">
            <v>36000</v>
          </cell>
          <cell r="S1024" t="str">
            <v>112cntec</v>
          </cell>
          <cell r="T1024" t="str">
            <v>711cntec</v>
          </cell>
        </row>
        <row r="1025">
          <cell r="L1025">
            <v>1818</v>
          </cell>
          <cell r="S1025" t="str">
            <v>642k</v>
          </cell>
          <cell r="T1025" t="str">
            <v>112cntec</v>
          </cell>
        </row>
        <row r="1026">
          <cell r="L1026">
            <v>182</v>
          </cell>
          <cell r="S1026" t="str">
            <v xml:space="preserve">133 </v>
          </cell>
          <cell r="T1026" t="str">
            <v>112cntec</v>
          </cell>
        </row>
        <row r="1027">
          <cell r="L1027">
            <v>142000</v>
          </cell>
          <cell r="S1027" t="str">
            <v>112cntec</v>
          </cell>
          <cell r="T1027" t="str">
            <v>711cntec</v>
          </cell>
        </row>
        <row r="1028">
          <cell r="L1028">
            <v>100000</v>
          </cell>
          <cell r="S1028" t="str">
            <v>641®t</v>
          </cell>
          <cell r="T1028" t="str">
            <v>111</v>
          </cell>
        </row>
        <row r="1029">
          <cell r="L1029">
            <v>61600</v>
          </cell>
          <cell r="S1029" t="str">
            <v>642vp</v>
          </cell>
          <cell r="T1029" t="str">
            <v>111</v>
          </cell>
        </row>
        <row r="1030">
          <cell r="L1030">
            <v>1386400000</v>
          </cell>
          <cell r="S1030" t="str">
            <v>112tec</v>
          </cell>
          <cell r="T1030" t="str">
            <v>111</v>
          </cell>
        </row>
        <row r="1031">
          <cell r="L1031">
            <v>109091</v>
          </cell>
          <cell r="S1031" t="str">
            <v xml:space="preserve">111 </v>
          </cell>
          <cell r="T1031" t="str">
            <v>511ks</v>
          </cell>
        </row>
        <row r="1032">
          <cell r="L1032">
            <v>10909</v>
          </cell>
          <cell r="S1032" t="str">
            <v xml:space="preserve">111 </v>
          </cell>
          <cell r="T1032" t="str">
            <v>3333331</v>
          </cell>
        </row>
        <row r="1033">
          <cell r="L1033">
            <v>65684</v>
          </cell>
          <cell r="S1033" t="str">
            <v>112ct</v>
          </cell>
          <cell r="T1033" t="str">
            <v>711ct</v>
          </cell>
        </row>
        <row r="1034">
          <cell r="L1034">
            <v>6932050</v>
          </cell>
          <cell r="S1034" t="str">
            <v xml:space="preserve">334 </v>
          </cell>
          <cell r="T1034" t="str">
            <v>111</v>
          </cell>
        </row>
        <row r="1035">
          <cell r="L1035">
            <v>300000</v>
          </cell>
          <cell r="S1035" t="str">
            <v>642®t</v>
          </cell>
          <cell r="T1035" t="str">
            <v>111</v>
          </cell>
        </row>
        <row r="1036">
          <cell r="L1036">
            <v>22000000</v>
          </cell>
          <cell r="S1036" t="str">
            <v>331nk5</v>
          </cell>
          <cell r="T1036" t="str">
            <v>111</v>
          </cell>
        </row>
        <row r="1037">
          <cell r="L1037">
            <v>845454</v>
          </cell>
          <cell r="S1037" t="str">
            <v>641dl</v>
          </cell>
          <cell r="T1037" t="str">
            <v>111</v>
          </cell>
        </row>
        <row r="1038">
          <cell r="L1038">
            <v>84546</v>
          </cell>
          <cell r="S1038" t="str">
            <v xml:space="preserve">133 </v>
          </cell>
          <cell r="T1038" t="str">
            <v>111</v>
          </cell>
        </row>
        <row r="1039">
          <cell r="L1039">
            <v>70000000</v>
          </cell>
          <cell r="S1039" t="str">
            <v>331nk5</v>
          </cell>
          <cell r="T1039" t="str">
            <v>111</v>
          </cell>
        </row>
        <row r="1040">
          <cell r="L1040">
            <v>67000000</v>
          </cell>
          <cell r="S1040" t="str">
            <v>331unimex</v>
          </cell>
          <cell r="T1040" t="str">
            <v>111</v>
          </cell>
        </row>
        <row r="1041">
          <cell r="L1041">
            <v>15800</v>
          </cell>
          <cell r="S1041" t="str">
            <v>642vp</v>
          </cell>
          <cell r="T1041" t="str">
            <v>111</v>
          </cell>
        </row>
        <row r="1042">
          <cell r="L1042">
            <v>111000</v>
          </cell>
          <cell r="S1042" t="str">
            <v>642tk</v>
          </cell>
          <cell r="T1042" t="str">
            <v>111</v>
          </cell>
        </row>
        <row r="1043">
          <cell r="L1043">
            <v>100000</v>
          </cell>
          <cell r="S1043" t="str">
            <v>642bv</v>
          </cell>
          <cell r="T1043" t="str">
            <v>111</v>
          </cell>
        </row>
        <row r="1044">
          <cell r="L1044">
            <v>16000000</v>
          </cell>
          <cell r="S1044" t="str">
            <v xml:space="preserve">334 </v>
          </cell>
          <cell r="T1044" t="str">
            <v>111</v>
          </cell>
        </row>
        <row r="1045">
          <cell r="L1045">
            <v>295000</v>
          </cell>
          <cell r="S1045" t="str">
            <v>642bv</v>
          </cell>
          <cell r="T1045" t="str">
            <v>111</v>
          </cell>
        </row>
        <row r="1046">
          <cell r="L1046">
            <v>315000</v>
          </cell>
          <cell r="S1046" t="str">
            <v>642k</v>
          </cell>
          <cell r="T1046" t="str">
            <v>111</v>
          </cell>
        </row>
        <row r="1047">
          <cell r="L1047">
            <v>7454545</v>
          </cell>
          <cell r="S1047" t="str">
            <v xml:space="preserve">111 </v>
          </cell>
          <cell r="T1047" t="str">
            <v>511ch</v>
          </cell>
        </row>
        <row r="1048">
          <cell r="L1048">
            <v>745455</v>
          </cell>
          <cell r="S1048" t="str">
            <v xml:space="preserve">111 </v>
          </cell>
          <cell r="T1048" t="str">
            <v>3333331</v>
          </cell>
        </row>
        <row r="1049">
          <cell r="L1049">
            <v>1542000</v>
          </cell>
          <cell r="S1049" t="str">
            <v>112tec</v>
          </cell>
          <cell r="T1049" t="str">
            <v>711tec</v>
          </cell>
        </row>
        <row r="1050">
          <cell r="L1050">
            <v>61480000</v>
          </cell>
          <cell r="S1050" t="str">
            <v xml:space="preserve">111 </v>
          </cell>
          <cell r="T1050" t="str">
            <v>131hïng</v>
          </cell>
        </row>
        <row r="1051">
          <cell r="L1051">
            <v>58800000</v>
          </cell>
          <cell r="S1051" t="str">
            <v xml:space="preserve">111 </v>
          </cell>
          <cell r="T1051" t="str">
            <v>131h­¬ng</v>
          </cell>
        </row>
        <row r="1052">
          <cell r="L1052">
            <v>200000000</v>
          </cell>
          <cell r="S1052" t="str">
            <v xml:space="preserve">111 </v>
          </cell>
          <cell r="T1052" t="str">
            <v>131hais¬n</v>
          </cell>
        </row>
        <row r="1053">
          <cell r="L1053">
            <v>39000000</v>
          </cell>
          <cell r="S1053" t="str">
            <v xml:space="preserve">111 </v>
          </cell>
          <cell r="T1053" t="str">
            <v>131h­¬ng</v>
          </cell>
        </row>
        <row r="1054">
          <cell r="L1054">
            <v>120000000</v>
          </cell>
          <cell r="S1054" t="str">
            <v xml:space="preserve">111 </v>
          </cell>
          <cell r="T1054" t="str">
            <v>131vcb</v>
          </cell>
        </row>
        <row r="1055">
          <cell r="L1055">
            <v>35000000</v>
          </cell>
          <cell r="S1055" t="str">
            <v xml:space="preserve">111 </v>
          </cell>
          <cell r="T1055" t="str">
            <v>131vietdo</v>
          </cell>
        </row>
        <row r="1056">
          <cell r="L1056">
            <v>100000000</v>
          </cell>
          <cell r="S1056" t="str">
            <v xml:space="preserve">111 </v>
          </cell>
          <cell r="T1056" t="str">
            <v>131hs¬n</v>
          </cell>
        </row>
        <row r="1057">
          <cell r="L1057">
            <v>100000000</v>
          </cell>
          <cell r="S1057" t="str">
            <v xml:space="preserve">111 </v>
          </cell>
          <cell r="T1057" t="str">
            <v>131hais¬n</v>
          </cell>
        </row>
        <row r="1058">
          <cell r="L1058">
            <v>1230000</v>
          </cell>
          <cell r="S1058" t="str">
            <v xml:space="preserve">111 </v>
          </cell>
          <cell r="T1058" t="str">
            <v>131hïng</v>
          </cell>
        </row>
        <row r="1059">
          <cell r="L1059">
            <v>3000000</v>
          </cell>
          <cell r="S1059" t="str">
            <v xml:space="preserve">111 </v>
          </cell>
          <cell r="T1059" t="str">
            <v>131h­¬ng</v>
          </cell>
        </row>
        <row r="1060">
          <cell r="L1060">
            <v>1736175</v>
          </cell>
          <cell r="S1060" t="str">
            <v xml:space="preserve">111 </v>
          </cell>
          <cell r="T1060" t="str">
            <v>131thh­¬ng</v>
          </cell>
        </row>
        <row r="1061">
          <cell r="L1061">
            <v>3000000</v>
          </cell>
          <cell r="S1061" t="str">
            <v xml:space="preserve">111 </v>
          </cell>
          <cell r="T1061" t="str">
            <v>131h­¬ng</v>
          </cell>
        </row>
        <row r="1062">
          <cell r="L1062">
            <v>96000000</v>
          </cell>
          <cell r="S1062" t="str">
            <v xml:space="preserve">111 </v>
          </cell>
          <cell r="T1062" t="str">
            <v>131hais¬n</v>
          </cell>
        </row>
        <row r="1063">
          <cell r="L1063">
            <v>74000000</v>
          </cell>
          <cell r="S1063" t="str">
            <v xml:space="preserve">111 </v>
          </cell>
          <cell r="T1063" t="str">
            <v>131klm</v>
          </cell>
        </row>
        <row r="1064">
          <cell r="L1064">
            <v>39000000</v>
          </cell>
          <cell r="S1064" t="str">
            <v xml:space="preserve">111 </v>
          </cell>
          <cell r="T1064" t="str">
            <v>131h­¬ng</v>
          </cell>
        </row>
        <row r="1065">
          <cell r="L1065">
            <v>45000000</v>
          </cell>
          <cell r="S1065" t="str">
            <v xml:space="preserve">111 </v>
          </cell>
          <cell r="T1065" t="str">
            <v>131klm</v>
          </cell>
        </row>
        <row r="1066">
          <cell r="L1066">
            <v>70000000</v>
          </cell>
          <cell r="S1066" t="str">
            <v xml:space="preserve">111 </v>
          </cell>
          <cell r="T1066" t="str">
            <v>131vietdo</v>
          </cell>
        </row>
        <row r="1067">
          <cell r="L1067">
            <v>10000000</v>
          </cell>
          <cell r="S1067" t="str">
            <v>112cntec</v>
          </cell>
          <cell r="T1067" t="str">
            <v>111</v>
          </cell>
        </row>
        <row r="1068">
          <cell r="L1068">
            <v>136000000</v>
          </cell>
          <cell r="S1068" t="str">
            <v>311vietro</v>
          </cell>
          <cell r="T1068" t="str">
            <v>111</v>
          </cell>
        </row>
        <row r="1069">
          <cell r="L1069">
            <v>600000</v>
          </cell>
          <cell r="S1069" t="str">
            <v>642tk</v>
          </cell>
          <cell r="T1069" t="str">
            <v>111</v>
          </cell>
        </row>
        <row r="1070">
          <cell r="L1070">
            <v>54800</v>
          </cell>
          <cell r="S1070" t="str">
            <v>642tk</v>
          </cell>
          <cell r="T1070" t="str">
            <v>111</v>
          </cell>
        </row>
        <row r="1071">
          <cell r="L1071">
            <v>270000000</v>
          </cell>
          <cell r="S1071" t="str">
            <v>112tec</v>
          </cell>
          <cell r="T1071" t="str">
            <v>111</v>
          </cell>
        </row>
        <row r="1072">
          <cell r="L1072">
            <v>228000000</v>
          </cell>
          <cell r="S1072" t="str">
            <v>311vietro</v>
          </cell>
          <cell r="T1072" t="str">
            <v>111</v>
          </cell>
        </row>
        <row r="1073">
          <cell r="L1073">
            <v>271354000</v>
          </cell>
          <cell r="S1073" t="str">
            <v xml:space="preserve">144 </v>
          </cell>
          <cell r="T1073" t="str">
            <v>112tec</v>
          </cell>
        </row>
        <row r="1074">
          <cell r="L1074">
            <v>1490389</v>
          </cell>
          <cell r="S1074" t="str">
            <v>331t&amp;t</v>
          </cell>
          <cell r="T1074" t="str">
            <v>112tec</v>
          </cell>
        </row>
        <row r="1075">
          <cell r="L1075">
            <v>149039</v>
          </cell>
          <cell r="S1075" t="str">
            <v xml:space="preserve">133 </v>
          </cell>
          <cell r="T1075" t="str">
            <v>112tec</v>
          </cell>
        </row>
        <row r="1076">
          <cell r="L1076">
            <v>226128000</v>
          </cell>
          <cell r="S1076" t="str">
            <v xml:space="preserve">144 </v>
          </cell>
          <cell r="T1076" t="str">
            <v>112tec</v>
          </cell>
        </row>
        <row r="1077">
          <cell r="L1077">
            <v>1284818</v>
          </cell>
          <cell r="S1077" t="str">
            <v>331t&amp;t</v>
          </cell>
          <cell r="T1077" t="str">
            <v>112tec</v>
          </cell>
        </row>
        <row r="1078">
          <cell r="L1078">
            <v>128482</v>
          </cell>
          <cell r="S1078" t="str">
            <v xml:space="preserve">133 </v>
          </cell>
          <cell r="T1078" t="str">
            <v>112tec</v>
          </cell>
        </row>
        <row r="1079">
          <cell r="L1079">
            <v>1237600</v>
          </cell>
          <cell r="S1079" t="str">
            <v>642vp</v>
          </cell>
          <cell r="T1079" t="str">
            <v>111</v>
          </cell>
        </row>
        <row r="1080">
          <cell r="L1080">
            <v>12200</v>
          </cell>
          <cell r="S1080" t="str">
            <v xml:space="preserve">133 </v>
          </cell>
          <cell r="T1080" t="str">
            <v>111</v>
          </cell>
        </row>
        <row r="1081">
          <cell r="L1081">
            <v>180000</v>
          </cell>
          <cell r="S1081" t="str">
            <v>641®t</v>
          </cell>
          <cell r="T1081" t="str">
            <v>111</v>
          </cell>
        </row>
        <row r="1082">
          <cell r="L1082">
            <v>70000000</v>
          </cell>
          <cell r="S1082" t="str">
            <v>112tec</v>
          </cell>
          <cell r="T1082" t="str">
            <v>111</v>
          </cell>
        </row>
        <row r="1083">
          <cell r="L1083">
            <v>50000000</v>
          </cell>
          <cell r="S1083" t="str">
            <v xml:space="preserve">111 </v>
          </cell>
          <cell r="T1083" t="str">
            <v>112cntec</v>
          </cell>
        </row>
        <row r="1084">
          <cell r="L1084">
            <v>972274</v>
          </cell>
          <cell r="S1084" t="str">
            <v xml:space="preserve">111 </v>
          </cell>
          <cell r="T1084" t="str">
            <v>511ks</v>
          </cell>
        </row>
        <row r="1085">
          <cell r="L1085">
            <v>97226</v>
          </cell>
          <cell r="S1085" t="str">
            <v xml:space="preserve">111 </v>
          </cell>
          <cell r="T1085" t="str">
            <v>3333331</v>
          </cell>
        </row>
        <row r="1086">
          <cell r="L1086">
            <v>200000000</v>
          </cell>
          <cell r="S1086" t="str">
            <v>112tec</v>
          </cell>
          <cell r="T1086" t="str">
            <v>111</v>
          </cell>
        </row>
        <row r="1087">
          <cell r="L1087">
            <v>40000000</v>
          </cell>
          <cell r="S1087" t="str">
            <v>311vietro</v>
          </cell>
          <cell r="T1087" t="str">
            <v>111</v>
          </cell>
        </row>
        <row r="1088">
          <cell r="L1088">
            <v>3000000</v>
          </cell>
          <cell r="S1088" t="str">
            <v xml:space="preserve">334 </v>
          </cell>
          <cell r="T1088" t="str">
            <v>111</v>
          </cell>
        </row>
        <row r="1089">
          <cell r="L1089">
            <v>170000</v>
          </cell>
          <cell r="S1089" t="str">
            <v>641®t</v>
          </cell>
          <cell r="T1089" t="str">
            <v>111</v>
          </cell>
        </row>
        <row r="1090">
          <cell r="L1090">
            <v>610500</v>
          </cell>
          <cell r="S1090" t="str">
            <v>642dc</v>
          </cell>
          <cell r="T1090" t="str">
            <v>111</v>
          </cell>
        </row>
        <row r="1091">
          <cell r="L1091">
            <v>2854630</v>
          </cell>
          <cell r="S1091" t="str">
            <v>642®t</v>
          </cell>
          <cell r="T1091" t="str">
            <v>111</v>
          </cell>
        </row>
        <row r="1092">
          <cell r="L1092">
            <v>285463</v>
          </cell>
          <cell r="S1092" t="str">
            <v xml:space="preserve">133 </v>
          </cell>
          <cell r="T1092" t="str">
            <v>111</v>
          </cell>
        </row>
        <row r="1093">
          <cell r="L1093">
            <v>6160000</v>
          </cell>
          <cell r="S1093" t="str">
            <v xml:space="preserve">111 </v>
          </cell>
          <cell r="T1093" t="str">
            <v>511§t</v>
          </cell>
        </row>
        <row r="1094">
          <cell r="L1094">
            <v>0</v>
          </cell>
          <cell r="S1094" t="str">
            <v xml:space="preserve">111 </v>
          </cell>
          <cell r="T1094" t="str">
            <v>3333331</v>
          </cell>
        </row>
        <row r="1095">
          <cell r="L1095">
            <v>362902</v>
          </cell>
          <cell r="S1095" t="str">
            <v xml:space="preserve">111 </v>
          </cell>
          <cell r="T1095" t="str">
            <v>511ks</v>
          </cell>
        </row>
        <row r="1096">
          <cell r="L1096">
            <v>36298</v>
          </cell>
          <cell r="S1096" t="str">
            <v xml:space="preserve">111 </v>
          </cell>
          <cell r="T1096" t="str">
            <v>3333331</v>
          </cell>
        </row>
        <row r="1097">
          <cell r="L1097">
            <v>40000</v>
          </cell>
          <cell r="S1097" t="str">
            <v>641®t</v>
          </cell>
          <cell r="T1097" t="str">
            <v>111</v>
          </cell>
        </row>
        <row r="1098">
          <cell r="L1098">
            <v>32000000</v>
          </cell>
          <cell r="S1098" t="str">
            <v>311vietro</v>
          </cell>
          <cell r="T1098" t="str">
            <v>111</v>
          </cell>
        </row>
        <row r="1099">
          <cell r="L1099">
            <v>327273</v>
          </cell>
          <cell r="S1099" t="str">
            <v xml:space="preserve">111 </v>
          </cell>
          <cell r="T1099" t="str">
            <v>511ks</v>
          </cell>
        </row>
        <row r="1100">
          <cell r="L1100">
            <v>32727</v>
          </cell>
          <cell r="S1100" t="str">
            <v xml:space="preserve">111 </v>
          </cell>
          <cell r="T1100" t="str">
            <v>3333331</v>
          </cell>
        </row>
        <row r="1101">
          <cell r="L1101">
            <v>7861365</v>
          </cell>
          <cell r="S1101" t="str">
            <v xml:space="preserve">334 </v>
          </cell>
          <cell r="T1101" t="str">
            <v>111</v>
          </cell>
        </row>
        <row r="1102">
          <cell r="L1102">
            <v>796860</v>
          </cell>
          <cell r="S1102" t="str">
            <v>338qldd</v>
          </cell>
          <cell r="T1102" t="str">
            <v>111</v>
          </cell>
        </row>
        <row r="1103">
          <cell r="L1103">
            <v>120000</v>
          </cell>
          <cell r="S1103" t="str">
            <v>641ks</v>
          </cell>
          <cell r="T1103" t="str">
            <v>111</v>
          </cell>
        </row>
        <row r="1104">
          <cell r="L1104">
            <v>1161818</v>
          </cell>
          <cell r="S1104" t="str">
            <v xml:space="preserve">111 </v>
          </cell>
          <cell r="T1104" t="str">
            <v>511ks</v>
          </cell>
        </row>
        <row r="1105">
          <cell r="L1105">
            <v>116182</v>
          </cell>
          <cell r="S1105" t="str">
            <v xml:space="preserve">111 </v>
          </cell>
          <cell r="T1105" t="str">
            <v>3333331</v>
          </cell>
        </row>
        <row r="1106">
          <cell r="L1106">
            <v>1000000000</v>
          </cell>
          <cell r="S1106" t="str">
            <v>112tec</v>
          </cell>
          <cell r="T1106" t="str">
            <v>112ct</v>
          </cell>
        </row>
        <row r="1107">
          <cell r="L1107">
            <v>507453</v>
          </cell>
          <cell r="S1107" t="str">
            <v xml:space="preserve">111 </v>
          </cell>
          <cell r="T1107" t="str">
            <v>511ks</v>
          </cell>
        </row>
        <row r="1108">
          <cell r="L1108">
            <v>50747</v>
          </cell>
          <cell r="S1108" t="str">
            <v xml:space="preserve">111 </v>
          </cell>
          <cell r="T1108" t="str">
            <v>3333331</v>
          </cell>
        </row>
        <row r="1109">
          <cell r="L1109">
            <v>3625984000</v>
          </cell>
          <cell r="S1109" t="str">
            <v>331t&amp;t</v>
          </cell>
          <cell r="T1109" t="str">
            <v>112tec</v>
          </cell>
        </row>
        <row r="1110">
          <cell r="L1110">
            <v>909091</v>
          </cell>
          <cell r="S1110" t="str">
            <v>331t&amp;t</v>
          </cell>
          <cell r="T1110" t="str">
            <v>112tec</v>
          </cell>
        </row>
        <row r="1111">
          <cell r="L1111">
            <v>90909</v>
          </cell>
          <cell r="S1111" t="str">
            <v xml:space="preserve">133 </v>
          </cell>
          <cell r="T1111" t="str">
            <v>112tec</v>
          </cell>
        </row>
        <row r="1112">
          <cell r="L1112">
            <v>541786000</v>
          </cell>
          <cell r="S1112" t="str">
            <v>112tec</v>
          </cell>
          <cell r="T1112" t="str">
            <v>144</v>
          </cell>
        </row>
        <row r="1113">
          <cell r="L1113">
            <v>33148802</v>
          </cell>
          <cell r="S1113" t="str">
            <v xml:space="preserve">144 </v>
          </cell>
          <cell r="T1113" t="str">
            <v>112tec</v>
          </cell>
        </row>
        <row r="1114">
          <cell r="L1114">
            <v>542170000</v>
          </cell>
          <cell r="S1114" t="str">
            <v>112tec</v>
          </cell>
          <cell r="T1114" t="str">
            <v>144</v>
          </cell>
        </row>
        <row r="1115">
          <cell r="L1115">
            <v>558835</v>
          </cell>
          <cell r="S1115" t="str">
            <v>331tet</v>
          </cell>
          <cell r="T1115" t="str">
            <v>112tec</v>
          </cell>
        </row>
        <row r="1116">
          <cell r="L1116">
            <v>55883</v>
          </cell>
          <cell r="S1116" t="str">
            <v xml:space="preserve">133 </v>
          </cell>
          <cell r="T1116" t="str">
            <v>112tec</v>
          </cell>
        </row>
        <row r="1117">
          <cell r="L1117">
            <v>693000000</v>
          </cell>
          <cell r="S1117" t="str">
            <v>112ct</v>
          </cell>
          <cell r="T1117" t="str">
            <v>131hasa</v>
          </cell>
        </row>
        <row r="1118">
          <cell r="L1118">
            <v>440000000</v>
          </cell>
          <cell r="S1118" t="str">
            <v>331nk5</v>
          </cell>
          <cell r="T1118" t="str">
            <v>112ct</v>
          </cell>
        </row>
        <row r="1119">
          <cell r="L1119">
            <v>1000000000</v>
          </cell>
          <cell r="S1119" t="str">
            <v>112ct</v>
          </cell>
          <cell r="T1119" t="str">
            <v>131hais¬n</v>
          </cell>
        </row>
        <row r="1120">
          <cell r="L1120">
            <v>100000</v>
          </cell>
          <cell r="S1120" t="str">
            <v>642vp</v>
          </cell>
          <cell r="T1120" t="str">
            <v>111</v>
          </cell>
        </row>
        <row r="1121">
          <cell r="L1121">
            <v>25000</v>
          </cell>
          <cell r="S1121" t="str">
            <v>642vp</v>
          </cell>
          <cell r="T1121" t="str">
            <v>111</v>
          </cell>
        </row>
        <row r="1122">
          <cell r="L1122">
            <v>6008000</v>
          </cell>
          <cell r="S1122" t="str">
            <v>641kd</v>
          </cell>
          <cell r="T1122" t="str">
            <v>111</v>
          </cell>
        </row>
        <row r="1123">
          <cell r="L1123">
            <v>295400</v>
          </cell>
          <cell r="S1123" t="str">
            <v xml:space="preserve">133 </v>
          </cell>
          <cell r="T1123" t="str">
            <v>111</v>
          </cell>
        </row>
        <row r="1124">
          <cell r="L1124">
            <v>120000000</v>
          </cell>
          <cell r="S1124" t="str">
            <v>311vietro</v>
          </cell>
          <cell r="T1124" t="str">
            <v>111</v>
          </cell>
        </row>
        <row r="1125">
          <cell r="L1125">
            <v>45000000</v>
          </cell>
          <cell r="S1125" t="str">
            <v>112tec</v>
          </cell>
          <cell r="T1125" t="str">
            <v>111</v>
          </cell>
        </row>
        <row r="1126">
          <cell r="L1126">
            <v>6303400</v>
          </cell>
          <cell r="S1126" t="str">
            <v xml:space="preserve">111 </v>
          </cell>
          <cell r="T1126" t="str">
            <v>141ninh</v>
          </cell>
        </row>
        <row r="1127">
          <cell r="L1127">
            <v>85000000</v>
          </cell>
          <cell r="S1127" t="str">
            <v xml:space="preserve">111 </v>
          </cell>
          <cell r="T1127" t="str">
            <v>112ct</v>
          </cell>
        </row>
        <row r="1128">
          <cell r="L1128">
            <v>124000</v>
          </cell>
          <cell r="S1128" t="str">
            <v>642vp</v>
          </cell>
          <cell r="T1128" t="str">
            <v>111</v>
          </cell>
        </row>
        <row r="1129">
          <cell r="L1129">
            <v>118000</v>
          </cell>
          <cell r="S1129" t="str">
            <v>642vp</v>
          </cell>
          <cell r="T1129" t="str">
            <v>111</v>
          </cell>
        </row>
        <row r="1130">
          <cell r="L1130">
            <v>520000</v>
          </cell>
          <cell r="S1130" t="str">
            <v>642vp</v>
          </cell>
          <cell r="T1130" t="str">
            <v>111</v>
          </cell>
        </row>
        <row r="1131">
          <cell r="L1131">
            <v>109091</v>
          </cell>
          <cell r="S1131" t="str">
            <v xml:space="preserve">111 </v>
          </cell>
          <cell r="T1131" t="str">
            <v>511ks</v>
          </cell>
        </row>
        <row r="1132">
          <cell r="L1132">
            <v>10909</v>
          </cell>
          <cell r="S1132" t="str">
            <v xml:space="preserve">111 </v>
          </cell>
          <cell r="T1132" t="str">
            <v>3333331</v>
          </cell>
        </row>
        <row r="1133">
          <cell r="L1133">
            <v>600000</v>
          </cell>
          <cell r="S1133" t="str">
            <v xml:space="preserve">111 </v>
          </cell>
          <cell r="T1133" t="str">
            <v>511§t</v>
          </cell>
        </row>
        <row r="1134">
          <cell r="L1134">
            <v>2520000</v>
          </cell>
          <cell r="S1134" t="str">
            <v>641®t</v>
          </cell>
          <cell r="T1134" t="str">
            <v>111</v>
          </cell>
        </row>
        <row r="1135">
          <cell r="L1135">
            <v>50000000</v>
          </cell>
          <cell r="S1135" t="str">
            <v>112tec</v>
          </cell>
          <cell r="T1135" t="str">
            <v>112ct</v>
          </cell>
        </row>
        <row r="1136">
          <cell r="L1136">
            <v>3636</v>
          </cell>
          <cell r="S1136" t="str">
            <v>642k</v>
          </cell>
          <cell r="T1136" t="str">
            <v>112ct</v>
          </cell>
        </row>
        <row r="1137">
          <cell r="L1137">
            <v>364</v>
          </cell>
          <cell r="S1137" t="str">
            <v xml:space="preserve">133 </v>
          </cell>
          <cell r="T1137" t="str">
            <v>112ct</v>
          </cell>
        </row>
        <row r="1138">
          <cell r="L1138">
            <v>750140</v>
          </cell>
          <cell r="S1138" t="str">
            <v>642ct</v>
          </cell>
          <cell r="T1138" t="str">
            <v>111</v>
          </cell>
        </row>
        <row r="1139">
          <cell r="L1139">
            <v>25460</v>
          </cell>
          <cell r="S1139" t="str">
            <v xml:space="preserve">133 </v>
          </cell>
          <cell r="T1139" t="str">
            <v>111</v>
          </cell>
        </row>
        <row r="1140">
          <cell r="L1140">
            <v>410600</v>
          </cell>
          <cell r="S1140" t="str">
            <v>642ct</v>
          </cell>
          <cell r="T1140" t="str">
            <v>111</v>
          </cell>
        </row>
        <row r="1141">
          <cell r="L1141">
            <v>4027170</v>
          </cell>
          <cell r="S1141" t="str">
            <v>642dn</v>
          </cell>
          <cell r="T1141" t="str">
            <v>111</v>
          </cell>
        </row>
        <row r="1142">
          <cell r="L1142">
            <v>402717</v>
          </cell>
          <cell r="S1142" t="str">
            <v xml:space="preserve">133 </v>
          </cell>
          <cell r="T1142" t="str">
            <v>111</v>
          </cell>
        </row>
        <row r="1143">
          <cell r="L1143">
            <v>4077000</v>
          </cell>
          <cell r="S1143" t="str">
            <v xml:space="preserve">111 </v>
          </cell>
          <cell r="T1143" t="str">
            <v>721k</v>
          </cell>
        </row>
        <row r="1144">
          <cell r="L1144">
            <v>1186200</v>
          </cell>
          <cell r="S1144" t="str">
            <v xml:space="preserve">111 </v>
          </cell>
          <cell r="T1144" t="str">
            <v>141nghüa</v>
          </cell>
        </row>
        <row r="1145">
          <cell r="L1145">
            <v>750000000</v>
          </cell>
          <cell r="S1145" t="str">
            <v>112tec</v>
          </cell>
          <cell r="T1145" t="str">
            <v>131hais¬n</v>
          </cell>
        </row>
        <row r="1146">
          <cell r="L1146">
            <v>2709764</v>
          </cell>
          <cell r="S1146" t="str">
            <v>331t&amp;t</v>
          </cell>
          <cell r="T1146" t="str">
            <v>112tec</v>
          </cell>
        </row>
        <row r="1147">
          <cell r="L1147">
            <v>270976</v>
          </cell>
          <cell r="S1147" t="str">
            <v xml:space="preserve">133 </v>
          </cell>
          <cell r="T1147" t="str">
            <v>112tec</v>
          </cell>
        </row>
        <row r="1148">
          <cell r="L1148">
            <v>300000</v>
          </cell>
          <cell r="S1148" t="str">
            <v>642bv</v>
          </cell>
          <cell r="T1148" t="str">
            <v>111</v>
          </cell>
        </row>
        <row r="1149">
          <cell r="L1149">
            <v>3807003</v>
          </cell>
          <cell r="S1149" t="str">
            <v>642®t</v>
          </cell>
          <cell r="T1149" t="str">
            <v>111</v>
          </cell>
        </row>
        <row r="1150">
          <cell r="L1150">
            <v>861091</v>
          </cell>
          <cell r="S1150" t="str">
            <v>642®t</v>
          </cell>
          <cell r="T1150" t="str">
            <v>111</v>
          </cell>
        </row>
        <row r="1151">
          <cell r="L1151">
            <v>466810</v>
          </cell>
          <cell r="S1151" t="str">
            <v xml:space="preserve">133 </v>
          </cell>
          <cell r="T1151" t="str">
            <v>111</v>
          </cell>
        </row>
        <row r="1152">
          <cell r="L1152">
            <v>150000000</v>
          </cell>
          <cell r="S1152" t="str">
            <v>112tec</v>
          </cell>
          <cell r="T1152" t="str">
            <v>111</v>
          </cell>
        </row>
        <row r="1153">
          <cell r="L1153">
            <v>59000</v>
          </cell>
          <cell r="S1153" t="str">
            <v>642dn</v>
          </cell>
          <cell r="T1153" t="str">
            <v>111</v>
          </cell>
        </row>
        <row r="1154">
          <cell r="L1154">
            <v>25000</v>
          </cell>
          <cell r="S1154" t="str">
            <v>641kd</v>
          </cell>
          <cell r="T1154" t="str">
            <v>111</v>
          </cell>
        </row>
        <row r="1155">
          <cell r="L1155">
            <v>974999</v>
          </cell>
          <cell r="S1155" t="str">
            <v>641kd</v>
          </cell>
          <cell r="T1155" t="str">
            <v>111</v>
          </cell>
        </row>
        <row r="1156">
          <cell r="L1156">
            <v>100001</v>
          </cell>
          <cell r="S1156" t="str">
            <v xml:space="preserve">133 </v>
          </cell>
          <cell r="T1156" t="str">
            <v>111</v>
          </cell>
        </row>
        <row r="1157">
          <cell r="L1157">
            <v>245455</v>
          </cell>
          <cell r="S1157" t="str">
            <v xml:space="preserve">111 </v>
          </cell>
          <cell r="T1157" t="str">
            <v>511ks</v>
          </cell>
        </row>
        <row r="1158">
          <cell r="L1158">
            <v>24545</v>
          </cell>
          <cell r="S1158" t="str">
            <v xml:space="preserve">111 </v>
          </cell>
          <cell r="T1158" t="str">
            <v>3333331</v>
          </cell>
        </row>
        <row r="1159">
          <cell r="L1159">
            <v>460000</v>
          </cell>
          <cell r="S1159" t="str">
            <v>642vp</v>
          </cell>
          <cell r="T1159" t="str">
            <v>111</v>
          </cell>
        </row>
        <row r="1160">
          <cell r="L1160">
            <v>4773000</v>
          </cell>
          <cell r="S1160" t="str">
            <v>641kd</v>
          </cell>
          <cell r="T1160" t="str">
            <v>111</v>
          </cell>
        </row>
        <row r="1161">
          <cell r="L1161">
            <v>232950</v>
          </cell>
          <cell r="S1161" t="str">
            <v xml:space="preserve">133 </v>
          </cell>
          <cell r="T1161" t="str">
            <v>111</v>
          </cell>
        </row>
        <row r="1162">
          <cell r="L1162">
            <v>2230000</v>
          </cell>
          <cell r="S1162" t="str">
            <v>112tec</v>
          </cell>
          <cell r="T1162" t="str">
            <v>711tec</v>
          </cell>
        </row>
        <row r="1163">
          <cell r="L1163">
            <v>244588</v>
          </cell>
          <cell r="S1163" t="str">
            <v>112ct</v>
          </cell>
          <cell r="T1163" t="str">
            <v>711ct</v>
          </cell>
        </row>
        <row r="1164">
          <cell r="L1164">
            <v>3316667</v>
          </cell>
          <cell r="S1164" t="str">
            <v>3333332</v>
          </cell>
          <cell r="T1164" t="str">
            <v>111</v>
          </cell>
        </row>
        <row r="1165">
          <cell r="L1165">
            <v>308572</v>
          </cell>
          <cell r="S1165" t="str">
            <v>641kd</v>
          </cell>
          <cell r="T1165" t="str">
            <v>111</v>
          </cell>
        </row>
        <row r="1166">
          <cell r="L1166">
            <v>15428</v>
          </cell>
          <cell r="S1166" t="str">
            <v xml:space="preserve">133 </v>
          </cell>
          <cell r="T1166" t="str">
            <v>111</v>
          </cell>
        </row>
        <row r="1167">
          <cell r="L1167">
            <v>8227064</v>
          </cell>
          <cell r="S1167" t="str">
            <v xml:space="preserve">334 </v>
          </cell>
          <cell r="T1167" t="str">
            <v>111</v>
          </cell>
        </row>
        <row r="1168">
          <cell r="L1168">
            <v>4656954</v>
          </cell>
          <cell r="S1168" t="str">
            <v xml:space="preserve">111 </v>
          </cell>
          <cell r="T1168" t="str">
            <v>511ks</v>
          </cell>
        </row>
        <row r="1169">
          <cell r="L1169">
            <v>465696</v>
          </cell>
          <cell r="S1169" t="str">
            <v xml:space="preserve">111 </v>
          </cell>
          <cell r="T1169" t="str">
            <v>3333331</v>
          </cell>
        </row>
        <row r="1170">
          <cell r="L1170">
            <v>27540</v>
          </cell>
          <cell r="S1170" t="str">
            <v xml:space="preserve">111 </v>
          </cell>
          <cell r="T1170" t="str">
            <v>3383382</v>
          </cell>
        </row>
        <row r="1171">
          <cell r="L1171">
            <v>275400</v>
          </cell>
          <cell r="S1171" t="str">
            <v xml:space="preserve">111 </v>
          </cell>
          <cell r="T1171" t="str">
            <v>3383383</v>
          </cell>
        </row>
        <row r="1172">
          <cell r="L1172">
            <v>41310</v>
          </cell>
          <cell r="S1172" t="str">
            <v xml:space="preserve">111 </v>
          </cell>
          <cell r="T1172" t="str">
            <v>3383384</v>
          </cell>
        </row>
        <row r="1173">
          <cell r="L1173">
            <v>28000</v>
          </cell>
          <cell r="S1173" t="str">
            <v>112cntec</v>
          </cell>
          <cell r="T1173" t="str">
            <v>711cntec</v>
          </cell>
        </row>
        <row r="1174">
          <cell r="L1174">
            <v>300000</v>
          </cell>
          <cell r="S1174" t="str">
            <v xml:space="preserve">111 </v>
          </cell>
          <cell r="T1174" t="str">
            <v>141dòng</v>
          </cell>
        </row>
        <row r="1175">
          <cell r="L1175">
            <v>701364</v>
          </cell>
          <cell r="S1175" t="str">
            <v xml:space="preserve">111 </v>
          </cell>
          <cell r="T1175" t="str">
            <v>511ks</v>
          </cell>
        </row>
        <row r="1176">
          <cell r="L1176">
            <v>70136</v>
          </cell>
          <cell r="S1176" t="str">
            <v xml:space="preserve">111 </v>
          </cell>
          <cell r="T1176" t="str">
            <v>3333331</v>
          </cell>
        </row>
        <row r="1177">
          <cell r="L1177">
            <v>7454545</v>
          </cell>
          <cell r="S1177" t="str">
            <v xml:space="preserve">111 </v>
          </cell>
          <cell r="T1177" t="str">
            <v>511ch</v>
          </cell>
        </row>
        <row r="1178">
          <cell r="L1178">
            <v>745455</v>
          </cell>
          <cell r="S1178" t="str">
            <v xml:space="preserve">111 </v>
          </cell>
          <cell r="T1178" t="str">
            <v>3333331</v>
          </cell>
        </row>
        <row r="1179">
          <cell r="L1179">
            <v>50000000</v>
          </cell>
          <cell r="S1179" t="str">
            <v xml:space="preserve">111 </v>
          </cell>
          <cell r="T1179" t="str">
            <v>112ct</v>
          </cell>
        </row>
        <row r="1180">
          <cell r="L1180">
            <v>6000000</v>
          </cell>
          <cell r="S1180" t="str">
            <v>141ninh</v>
          </cell>
          <cell r="T1180" t="str">
            <v>111</v>
          </cell>
        </row>
        <row r="1181">
          <cell r="L1181">
            <v>45000000</v>
          </cell>
          <cell r="S1181" t="str">
            <v>331nk5</v>
          </cell>
          <cell r="T1181" t="str">
            <v>111</v>
          </cell>
        </row>
        <row r="1182">
          <cell r="L1182">
            <v>74000000</v>
          </cell>
          <cell r="S1182" t="str">
            <v>331nk5</v>
          </cell>
          <cell r="T1182" t="str">
            <v>111</v>
          </cell>
        </row>
        <row r="1183">
          <cell r="L1183">
            <v>1047186</v>
          </cell>
          <cell r="S1183" t="str">
            <v>642ct</v>
          </cell>
          <cell r="T1183" t="str">
            <v>111</v>
          </cell>
        </row>
        <row r="1184">
          <cell r="L1184">
            <v>22814</v>
          </cell>
          <cell r="S1184" t="str">
            <v xml:space="preserve">133 </v>
          </cell>
          <cell r="T1184" t="str">
            <v>111</v>
          </cell>
        </row>
        <row r="1185">
          <cell r="L1185">
            <v>1226539</v>
          </cell>
          <cell r="S1185" t="str">
            <v>642ct</v>
          </cell>
          <cell r="T1185" t="str">
            <v>111</v>
          </cell>
        </row>
        <row r="1186">
          <cell r="L1186">
            <v>65461</v>
          </cell>
          <cell r="S1186" t="str">
            <v xml:space="preserve">133 </v>
          </cell>
          <cell r="T1186" t="str">
            <v>111</v>
          </cell>
        </row>
        <row r="1187">
          <cell r="L1187">
            <v>285000</v>
          </cell>
          <cell r="S1187" t="str">
            <v>642bv</v>
          </cell>
          <cell r="T1187" t="str">
            <v>111</v>
          </cell>
        </row>
        <row r="1188">
          <cell r="L1188">
            <v>111400</v>
          </cell>
          <cell r="S1188" t="str">
            <v>642vp</v>
          </cell>
          <cell r="T1188" t="str">
            <v>111</v>
          </cell>
        </row>
        <row r="1189">
          <cell r="L1189">
            <v>1116092</v>
          </cell>
          <cell r="S1189" t="str">
            <v xml:space="preserve">111 </v>
          </cell>
          <cell r="T1189" t="str">
            <v>511ks</v>
          </cell>
        </row>
        <row r="1190">
          <cell r="L1190">
            <v>111608</v>
          </cell>
          <cell r="S1190" t="str">
            <v xml:space="preserve">111 </v>
          </cell>
          <cell r="T1190" t="str">
            <v>3333331</v>
          </cell>
        </row>
        <row r="1191">
          <cell r="L1191">
            <v>40000000</v>
          </cell>
          <cell r="S1191" t="str">
            <v>311vietro</v>
          </cell>
          <cell r="T1191" t="str">
            <v>111</v>
          </cell>
        </row>
        <row r="1192">
          <cell r="L1192">
            <v>40000000</v>
          </cell>
          <cell r="S1192" t="str">
            <v>311vietro</v>
          </cell>
          <cell r="T1192" t="str">
            <v>111</v>
          </cell>
        </row>
        <row r="1193">
          <cell r="L1193">
            <v>39600</v>
          </cell>
          <cell r="S1193" t="str">
            <v>642tk</v>
          </cell>
          <cell r="T1193" t="str">
            <v>111</v>
          </cell>
        </row>
        <row r="1194">
          <cell r="L1194">
            <v>5329950</v>
          </cell>
          <cell r="S1194" t="str">
            <v xml:space="preserve">111 </v>
          </cell>
          <cell r="T1194" t="str">
            <v>141ninh</v>
          </cell>
        </row>
        <row r="1195">
          <cell r="L1195">
            <v>472727</v>
          </cell>
          <cell r="S1195" t="str">
            <v xml:space="preserve">111 </v>
          </cell>
          <cell r="T1195" t="str">
            <v>511ks</v>
          </cell>
        </row>
        <row r="1196">
          <cell r="L1196">
            <v>47273</v>
          </cell>
          <cell r="S1196" t="str">
            <v xml:space="preserve">111 </v>
          </cell>
          <cell r="T1196" t="str">
            <v>3333331</v>
          </cell>
        </row>
        <row r="1197">
          <cell r="L1197">
            <v>300000000</v>
          </cell>
          <cell r="S1197" t="str">
            <v>112tec</v>
          </cell>
          <cell r="T1197" t="str">
            <v>111</v>
          </cell>
        </row>
        <row r="1198">
          <cell r="L1198">
            <v>300000</v>
          </cell>
          <cell r="S1198" t="str">
            <v>642®t</v>
          </cell>
          <cell r="T1198" t="str">
            <v>111</v>
          </cell>
        </row>
        <row r="1199">
          <cell r="L1199">
            <v>2617185</v>
          </cell>
          <cell r="S1199" t="str">
            <v>331t&amp;t</v>
          </cell>
          <cell r="T1199" t="str">
            <v>112tec</v>
          </cell>
        </row>
        <row r="1200">
          <cell r="L1200">
            <v>261719</v>
          </cell>
          <cell r="S1200" t="str">
            <v xml:space="preserve">133 </v>
          </cell>
          <cell r="T1200" t="str">
            <v>112tec</v>
          </cell>
        </row>
        <row r="1201">
          <cell r="L1201">
            <v>271354000</v>
          </cell>
          <cell r="S1201" t="str">
            <v>112tec</v>
          </cell>
          <cell r="T1201" t="str">
            <v>144</v>
          </cell>
        </row>
        <row r="1202">
          <cell r="L1202">
            <v>69000000</v>
          </cell>
          <cell r="S1202" t="str">
            <v>331nk5</v>
          </cell>
          <cell r="T1202" t="str">
            <v>112ct</v>
          </cell>
        </row>
        <row r="1203">
          <cell r="L1203">
            <v>1292000</v>
          </cell>
          <cell r="S1203" t="str">
            <v xml:space="preserve">111 </v>
          </cell>
          <cell r="T1203" t="str">
            <v>141kú</v>
          </cell>
        </row>
        <row r="1204">
          <cell r="L1204">
            <v>150000</v>
          </cell>
          <cell r="S1204" t="str">
            <v xml:space="preserve">111 </v>
          </cell>
          <cell r="T1204" t="str">
            <v>511ks</v>
          </cell>
        </row>
        <row r="1205">
          <cell r="L1205">
            <v>15000</v>
          </cell>
          <cell r="S1205" t="str">
            <v xml:space="preserve">111 </v>
          </cell>
          <cell r="T1205" t="str">
            <v>3333331</v>
          </cell>
        </row>
        <row r="1206">
          <cell r="L1206">
            <v>947454</v>
          </cell>
          <cell r="S1206" t="str">
            <v xml:space="preserve">111 </v>
          </cell>
          <cell r="T1206" t="str">
            <v>511ks</v>
          </cell>
        </row>
        <row r="1207">
          <cell r="L1207">
            <v>94746</v>
          </cell>
          <cell r="S1207" t="str">
            <v xml:space="preserve">111 </v>
          </cell>
          <cell r="T1207" t="str">
            <v>3333331</v>
          </cell>
        </row>
        <row r="1208">
          <cell r="L1208">
            <v>225000000</v>
          </cell>
          <cell r="S1208" t="str">
            <v>112tec</v>
          </cell>
          <cell r="T1208" t="str">
            <v>111</v>
          </cell>
        </row>
        <row r="1209">
          <cell r="L1209">
            <v>2238000</v>
          </cell>
          <cell r="S1209" t="str">
            <v>641®t</v>
          </cell>
          <cell r="T1209" t="str">
            <v>111</v>
          </cell>
        </row>
        <row r="1210">
          <cell r="L1210">
            <v>840909</v>
          </cell>
          <cell r="S1210" t="str">
            <v xml:space="preserve">111 </v>
          </cell>
          <cell r="T1210" t="str">
            <v>511ks</v>
          </cell>
        </row>
        <row r="1211">
          <cell r="L1211">
            <v>84091</v>
          </cell>
          <cell r="S1211" t="str">
            <v xml:space="preserve">111 </v>
          </cell>
          <cell r="T1211" t="str">
            <v>3333331</v>
          </cell>
        </row>
        <row r="1212">
          <cell r="L1212">
            <v>685536000</v>
          </cell>
          <cell r="S1212" t="str">
            <v>331t&amp;t</v>
          </cell>
          <cell r="T1212" t="str">
            <v>112tec</v>
          </cell>
        </row>
        <row r="1213">
          <cell r="L1213">
            <v>407878210</v>
          </cell>
          <cell r="S1213" t="str">
            <v>331t&amp;t</v>
          </cell>
          <cell r="T1213" t="str">
            <v>112tec</v>
          </cell>
        </row>
        <row r="1214">
          <cell r="L1214">
            <v>334785790</v>
          </cell>
          <cell r="S1214" t="str">
            <v>331tet</v>
          </cell>
          <cell r="T1214" t="str">
            <v>112tec</v>
          </cell>
        </row>
        <row r="1215">
          <cell r="L1215">
            <v>649091</v>
          </cell>
          <cell r="S1215" t="str">
            <v>331t&amp;t</v>
          </cell>
          <cell r="T1215" t="str">
            <v>112tec</v>
          </cell>
        </row>
        <row r="1216">
          <cell r="L1216">
            <v>64909</v>
          </cell>
          <cell r="S1216" t="str">
            <v xml:space="preserve">133 </v>
          </cell>
          <cell r="T1216" t="str">
            <v>112tec</v>
          </cell>
        </row>
        <row r="1217">
          <cell r="L1217">
            <v>284410000</v>
          </cell>
          <cell r="S1217" t="str">
            <v>112tec</v>
          </cell>
          <cell r="T1217" t="str">
            <v>131hphat</v>
          </cell>
        </row>
        <row r="1218">
          <cell r="L1218">
            <v>2208764</v>
          </cell>
          <cell r="S1218" t="str">
            <v>331t&amp;t</v>
          </cell>
          <cell r="T1218" t="str">
            <v>112tec</v>
          </cell>
        </row>
        <row r="1219">
          <cell r="L1219">
            <v>220876</v>
          </cell>
          <cell r="S1219" t="str">
            <v xml:space="preserve">133 </v>
          </cell>
          <cell r="T1219" t="str">
            <v>112tec</v>
          </cell>
        </row>
        <row r="1220">
          <cell r="L1220">
            <v>739026</v>
          </cell>
          <cell r="S1220" t="str">
            <v>331tet</v>
          </cell>
          <cell r="T1220" t="str">
            <v>112tec</v>
          </cell>
        </row>
        <row r="1221">
          <cell r="L1221">
            <v>73903</v>
          </cell>
          <cell r="S1221" t="str">
            <v xml:space="preserve">133 </v>
          </cell>
          <cell r="T1221" t="str">
            <v>112tec</v>
          </cell>
        </row>
        <row r="1222">
          <cell r="L1222">
            <v>259276802</v>
          </cell>
          <cell r="S1222" t="str">
            <v>112tec</v>
          </cell>
          <cell r="T1222" t="str">
            <v>144</v>
          </cell>
        </row>
        <row r="1223">
          <cell r="L1223">
            <v>32000000</v>
          </cell>
          <cell r="S1223" t="str">
            <v>311vietro</v>
          </cell>
          <cell r="T1223" t="str">
            <v>111</v>
          </cell>
        </row>
        <row r="1224">
          <cell r="L1224">
            <v>5940000</v>
          </cell>
          <cell r="S1224" t="str">
            <v>642k</v>
          </cell>
          <cell r="T1224" t="str">
            <v>111</v>
          </cell>
        </row>
        <row r="1225">
          <cell r="L1225">
            <v>690000</v>
          </cell>
          <cell r="S1225" t="str">
            <v>642vp</v>
          </cell>
          <cell r="T1225" t="str">
            <v>111</v>
          </cell>
        </row>
        <row r="1226">
          <cell r="L1226">
            <v>8192500</v>
          </cell>
          <cell r="S1226" t="str">
            <v xml:space="preserve">334 </v>
          </cell>
          <cell r="T1226" t="str">
            <v>111</v>
          </cell>
        </row>
        <row r="1227">
          <cell r="L1227">
            <v>60000000</v>
          </cell>
          <cell r="S1227" t="str">
            <v>311vietro</v>
          </cell>
          <cell r="T1227" t="str">
            <v>111</v>
          </cell>
        </row>
        <row r="1228">
          <cell r="L1228">
            <v>109091</v>
          </cell>
          <cell r="S1228" t="str">
            <v xml:space="preserve">111 </v>
          </cell>
          <cell r="T1228" t="str">
            <v>511ks</v>
          </cell>
        </row>
        <row r="1229">
          <cell r="L1229">
            <v>10909</v>
          </cell>
          <cell r="S1229" t="str">
            <v xml:space="preserve">111 </v>
          </cell>
          <cell r="T1229" t="str">
            <v>3333331</v>
          </cell>
        </row>
        <row r="1230">
          <cell r="L1230">
            <v>700000</v>
          </cell>
          <cell r="S1230" t="str">
            <v xml:space="preserve">111 </v>
          </cell>
          <cell r="T1230" t="str">
            <v>141ph­¬ng</v>
          </cell>
        </row>
        <row r="1231">
          <cell r="L1231">
            <v>60000000</v>
          </cell>
          <cell r="S1231" t="str">
            <v xml:space="preserve">111 </v>
          </cell>
          <cell r="T1231" t="str">
            <v>141thuû</v>
          </cell>
        </row>
        <row r="1232">
          <cell r="L1232">
            <v>796860</v>
          </cell>
          <cell r="S1232" t="str">
            <v>338qldd</v>
          </cell>
          <cell r="T1232" t="str">
            <v>111</v>
          </cell>
        </row>
        <row r="1233">
          <cell r="L1233">
            <v>150000</v>
          </cell>
          <cell r="S1233" t="str">
            <v xml:space="preserve">111 </v>
          </cell>
          <cell r="T1233" t="str">
            <v>511ks</v>
          </cell>
        </row>
        <row r="1234">
          <cell r="L1234">
            <v>15000</v>
          </cell>
          <cell r="S1234" t="str">
            <v xml:space="preserve">111 </v>
          </cell>
          <cell r="T1234" t="str">
            <v>3333331</v>
          </cell>
        </row>
        <row r="1235">
          <cell r="L1235">
            <v>1695168</v>
          </cell>
          <cell r="S1235" t="str">
            <v>642vp</v>
          </cell>
          <cell r="T1235" t="str">
            <v>111</v>
          </cell>
        </row>
        <row r="1236">
          <cell r="L1236">
            <v>93505</v>
          </cell>
          <cell r="S1236" t="str">
            <v xml:space="preserve">133 </v>
          </cell>
          <cell r="T1236" t="str">
            <v>111</v>
          </cell>
        </row>
        <row r="1237">
          <cell r="L1237">
            <v>327273</v>
          </cell>
          <cell r="S1237" t="str">
            <v xml:space="preserve">111 </v>
          </cell>
          <cell r="T1237" t="str">
            <v>511ks</v>
          </cell>
        </row>
        <row r="1238">
          <cell r="L1238">
            <v>32727</v>
          </cell>
          <cell r="S1238" t="str">
            <v xml:space="preserve">111 </v>
          </cell>
          <cell r="T1238" t="str">
            <v>3333331</v>
          </cell>
        </row>
        <row r="1239">
          <cell r="L1239">
            <v>573160</v>
          </cell>
          <cell r="S1239" t="str">
            <v>642vp</v>
          </cell>
          <cell r="T1239" t="str">
            <v>111</v>
          </cell>
        </row>
        <row r="1240">
          <cell r="L1240">
            <v>57316</v>
          </cell>
          <cell r="S1240" t="str">
            <v xml:space="preserve">133 </v>
          </cell>
          <cell r="T1240" t="str">
            <v>111</v>
          </cell>
        </row>
        <row r="1241">
          <cell r="L1241">
            <v>231818</v>
          </cell>
          <cell r="S1241" t="str">
            <v xml:space="preserve">111 </v>
          </cell>
          <cell r="T1241" t="str">
            <v>511ks</v>
          </cell>
        </row>
        <row r="1242">
          <cell r="L1242">
            <v>23182</v>
          </cell>
          <cell r="S1242" t="str">
            <v xml:space="preserve">111 </v>
          </cell>
          <cell r="T1242" t="str">
            <v>3333331</v>
          </cell>
        </row>
        <row r="1243">
          <cell r="L1243">
            <v>300000</v>
          </cell>
          <cell r="S1243" t="str">
            <v>642bv</v>
          </cell>
          <cell r="T1243" t="str">
            <v>111</v>
          </cell>
        </row>
        <row r="1244">
          <cell r="L1244">
            <v>50000000</v>
          </cell>
          <cell r="S1244" t="str">
            <v>112tec</v>
          </cell>
          <cell r="T1244" t="str">
            <v>111</v>
          </cell>
        </row>
        <row r="1245">
          <cell r="L1245">
            <v>40000000</v>
          </cell>
          <cell r="S1245" t="str">
            <v>311vietro</v>
          </cell>
          <cell r="T1245" t="str">
            <v>111</v>
          </cell>
        </row>
        <row r="1246">
          <cell r="L1246">
            <v>109091</v>
          </cell>
          <cell r="S1246" t="str">
            <v xml:space="preserve">111 </v>
          </cell>
          <cell r="T1246" t="str">
            <v>511ks</v>
          </cell>
        </row>
        <row r="1247">
          <cell r="L1247">
            <v>10909</v>
          </cell>
          <cell r="S1247" t="str">
            <v xml:space="preserve">111 </v>
          </cell>
          <cell r="T1247" t="str">
            <v>3333331</v>
          </cell>
        </row>
        <row r="1248">
          <cell r="L1248">
            <v>40000000</v>
          </cell>
          <cell r="S1248" t="str">
            <v xml:space="preserve">111 </v>
          </cell>
          <cell r="T1248" t="str">
            <v>141dòngkt</v>
          </cell>
        </row>
        <row r="1249">
          <cell r="L1249">
            <v>2426970</v>
          </cell>
          <cell r="S1249" t="str">
            <v>642dn</v>
          </cell>
          <cell r="T1249" t="str">
            <v>111</v>
          </cell>
        </row>
        <row r="1250">
          <cell r="L1250">
            <v>242697</v>
          </cell>
          <cell r="S1250" t="str">
            <v xml:space="preserve">133 </v>
          </cell>
          <cell r="T1250" t="str">
            <v>111</v>
          </cell>
        </row>
        <row r="1251">
          <cell r="L1251">
            <v>5450309</v>
          </cell>
          <cell r="S1251" t="str">
            <v>642dn</v>
          </cell>
          <cell r="T1251" t="str">
            <v>111</v>
          </cell>
        </row>
        <row r="1252">
          <cell r="L1252">
            <v>545031</v>
          </cell>
          <cell r="S1252" t="str">
            <v xml:space="preserve">133 </v>
          </cell>
          <cell r="T1252" t="str">
            <v>111</v>
          </cell>
        </row>
        <row r="1253">
          <cell r="L1253">
            <v>40011</v>
          </cell>
          <cell r="S1253" t="str">
            <v>112ct</v>
          </cell>
          <cell r="T1253" t="str">
            <v>711ct</v>
          </cell>
        </row>
        <row r="1254">
          <cell r="L1254">
            <v>1555210000</v>
          </cell>
          <cell r="S1254" t="str">
            <v>112ct</v>
          </cell>
          <cell r="T1254" t="str">
            <v>311nk2</v>
          </cell>
        </row>
        <row r="1255">
          <cell r="L1255">
            <v>1491667</v>
          </cell>
          <cell r="S1255" t="str">
            <v>3333332</v>
          </cell>
          <cell r="T1255" t="str">
            <v>111</v>
          </cell>
        </row>
        <row r="1256">
          <cell r="L1256">
            <v>1491667</v>
          </cell>
          <cell r="S1256" t="str">
            <v xml:space="preserve">111 </v>
          </cell>
          <cell r="T1256" t="str">
            <v>131thh­¬ng</v>
          </cell>
        </row>
        <row r="1257">
          <cell r="L1257">
            <v>1540000000</v>
          </cell>
          <cell r="S1257" t="str">
            <v xml:space="preserve">111 </v>
          </cell>
          <cell r="T1257" t="str">
            <v>112ct</v>
          </cell>
        </row>
        <row r="1258">
          <cell r="L1258">
            <v>109091</v>
          </cell>
          <cell r="S1258" t="str">
            <v xml:space="preserve">111 </v>
          </cell>
          <cell r="T1258" t="str">
            <v>511ks</v>
          </cell>
        </row>
        <row r="1259">
          <cell r="L1259">
            <v>10909</v>
          </cell>
          <cell r="S1259" t="str">
            <v xml:space="preserve">111 </v>
          </cell>
          <cell r="T1259" t="str">
            <v>3333331</v>
          </cell>
        </row>
        <row r="1260">
          <cell r="L1260">
            <v>882059341</v>
          </cell>
          <cell r="S1260" t="str">
            <v>331t&amp;t</v>
          </cell>
          <cell r="T1260" t="str">
            <v>112tec</v>
          </cell>
        </row>
        <row r="1261">
          <cell r="L1261">
            <v>400935</v>
          </cell>
          <cell r="S1261" t="str">
            <v>331t&amp;t</v>
          </cell>
          <cell r="T1261" t="str">
            <v>112tec</v>
          </cell>
        </row>
        <row r="1262">
          <cell r="L1262">
            <v>40094</v>
          </cell>
          <cell r="S1262" t="str">
            <v xml:space="preserve">133 </v>
          </cell>
          <cell r="T1262" t="str">
            <v>112tec</v>
          </cell>
        </row>
        <row r="1263">
          <cell r="L1263">
            <v>9120000</v>
          </cell>
          <cell r="S1263" t="str">
            <v xml:space="preserve">111 </v>
          </cell>
          <cell r="T1263" t="str">
            <v>511§t</v>
          </cell>
        </row>
        <row r="1264">
          <cell r="L1264">
            <v>16000000</v>
          </cell>
          <cell r="S1264" t="str">
            <v xml:space="preserve">111 </v>
          </cell>
          <cell r="T1264" t="str">
            <v>112ct</v>
          </cell>
        </row>
        <row r="1265">
          <cell r="L1265">
            <v>54500</v>
          </cell>
          <cell r="S1265" t="str">
            <v>642dn</v>
          </cell>
          <cell r="T1265" t="str">
            <v>111</v>
          </cell>
        </row>
        <row r="1266">
          <cell r="L1266">
            <v>16000000</v>
          </cell>
          <cell r="S1266" t="str">
            <v>112tec</v>
          </cell>
          <cell r="T1266" t="str">
            <v>111</v>
          </cell>
        </row>
        <row r="1267">
          <cell r="L1267">
            <v>473750</v>
          </cell>
          <cell r="S1267" t="str">
            <v>642vp</v>
          </cell>
          <cell r="T1267" t="str">
            <v>111</v>
          </cell>
        </row>
        <row r="1268">
          <cell r="L1268">
            <v>27275</v>
          </cell>
          <cell r="S1268" t="str">
            <v xml:space="preserve">133 </v>
          </cell>
          <cell r="T1268" t="str">
            <v>111</v>
          </cell>
        </row>
        <row r="1269">
          <cell r="L1269">
            <v>7007588</v>
          </cell>
          <cell r="S1269" t="str">
            <v xml:space="preserve">334 </v>
          </cell>
          <cell r="T1269" t="str">
            <v>111</v>
          </cell>
        </row>
        <row r="1270">
          <cell r="L1270">
            <v>2482782</v>
          </cell>
          <cell r="S1270" t="str">
            <v>331t&amp;t</v>
          </cell>
          <cell r="T1270" t="str">
            <v>112tec</v>
          </cell>
        </row>
        <row r="1271">
          <cell r="L1271">
            <v>248278</v>
          </cell>
          <cell r="S1271" t="str">
            <v xml:space="preserve">133 </v>
          </cell>
          <cell r="T1271" t="str">
            <v>112tec</v>
          </cell>
        </row>
        <row r="1272">
          <cell r="L1272">
            <v>7365088</v>
          </cell>
          <cell r="S1272" t="str">
            <v xml:space="preserve">334 </v>
          </cell>
          <cell r="T1272" t="str">
            <v>111</v>
          </cell>
        </row>
        <row r="1273">
          <cell r="L1273">
            <v>889440</v>
          </cell>
          <cell r="S1273" t="str">
            <v xml:space="preserve">111 </v>
          </cell>
          <cell r="T1273" t="str">
            <v>642®t</v>
          </cell>
        </row>
        <row r="1274">
          <cell r="L1274">
            <v>1492000</v>
          </cell>
          <cell r="S1274" t="str">
            <v>112tec</v>
          </cell>
          <cell r="T1274" t="str">
            <v>711tec</v>
          </cell>
        </row>
        <row r="1275">
          <cell r="L1275">
            <v>4000000</v>
          </cell>
          <cell r="S1275" t="str">
            <v>641kd</v>
          </cell>
          <cell r="T1275" t="str">
            <v>111</v>
          </cell>
        </row>
        <row r="1276">
          <cell r="L1276">
            <v>669000</v>
          </cell>
          <cell r="S1276" t="str">
            <v>641ks</v>
          </cell>
          <cell r="T1276" t="str">
            <v>111</v>
          </cell>
        </row>
        <row r="1277">
          <cell r="L1277">
            <v>55600</v>
          </cell>
          <cell r="S1277" t="str">
            <v xml:space="preserve">133 </v>
          </cell>
          <cell r="T1277" t="str">
            <v>111</v>
          </cell>
        </row>
        <row r="1278">
          <cell r="L1278">
            <v>804544</v>
          </cell>
          <cell r="S1278" t="str">
            <v xml:space="preserve">111 </v>
          </cell>
          <cell r="T1278" t="str">
            <v>511ks</v>
          </cell>
        </row>
        <row r="1279">
          <cell r="L1279">
            <v>80456</v>
          </cell>
          <cell r="S1279" t="str">
            <v xml:space="preserve">111 </v>
          </cell>
          <cell r="T1279" t="str">
            <v>3333331</v>
          </cell>
        </row>
        <row r="1280">
          <cell r="L1280">
            <v>7535000</v>
          </cell>
          <cell r="S1280" t="str">
            <v xml:space="preserve">111 </v>
          </cell>
          <cell r="T1280" t="str">
            <v>141ninh</v>
          </cell>
        </row>
        <row r="1281">
          <cell r="L1281">
            <v>7454545</v>
          </cell>
          <cell r="S1281" t="str">
            <v xml:space="preserve">111 </v>
          </cell>
          <cell r="T1281" t="str">
            <v>511ch</v>
          </cell>
        </row>
        <row r="1282">
          <cell r="L1282">
            <v>745455</v>
          </cell>
          <cell r="S1282" t="str">
            <v xml:space="preserve">111 </v>
          </cell>
          <cell r="T1282" t="str">
            <v>3333331</v>
          </cell>
        </row>
        <row r="1283">
          <cell r="L1283">
            <v>50000000</v>
          </cell>
          <cell r="S1283" t="str">
            <v xml:space="preserve">111 </v>
          </cell>
          <cell r="T1283" t="str">
            <v>131vcb</v>
          </cell>
        </row>
        <row r="1284">
          <cell r="L1284">
            <v>967015</v>
          </cell>
          <cell r="S1284" t="str">
            <v xml:space="preserve">111 </v>
          </cell>
          <cell r="T1284" t="str">
            <v>131hs¬n</v>
          </cell>
        </row>
        <row r="1285">
          <cell r="L1285">
            <v>71750000</v>
          </cell>
          <cell r="S1285" t="str">
            <v xml:space="preserve">111 </v>
          </cell>
          <cell r="T1285" t="str">
            <v>131hïng</v>
          </cell>
        </row>
        <row r="1286">
          <cell r="L1286">
            <v>50842000</v>
          </cell>
          <cell r="S1286" t="str">
            <v xml:space="preserve">111 </v>
          </cell>
          <cell r="T1286" t="str">
            <v>131vcb</v>
          </cell>
        </row>
        <row r="1287">
          <cell r="L1287">
            <v>35000000</v>
          </cell>
          <cell r="S1287" t="str">
            <v xml:space="preserve">111 </v>
          </cell>
          <cell r="T1287" t="str">
            <v>131vietdo</v>
          </cell>
        </row>
        <row r="1288">
          <cell r="L1288">
            <v>190000000</v>
          </cell>
          <cell r="S1288" t="str">
            <v xml:space="preserve">111 </v>
          </cell>
          <cell r="T1288" t="str">
            <v>131hais¬n</v>
          </cell>
        </row>
        <row r="1289">
          <cell r="L1289">
            <v>227000000</v>
          </cell>
          <cell r="S1289" t="str">
            <v xml:space="preserve">111 </v>
          </cell>
          <cell r="T1289" t="str">
            <v>131hïng</v>
          </cell>
        </row>
        <row r="1290">
          <cell r="L1290">
            <v>35000000</v>
          </cell>
          <cell r="S1290" t="str">
            <v xml:space="preserve">111 </v>
          </cell>
          <cell r="T1290" t="str">
            <v>131hasa</v>
          </cell>
        </row>
        <row r="1291">
          <cell r="L1291">
            <v>100000000</v>
          </cell>
          <cell r="S1291" t="str">
            <v xml:space="preserve">111 </v>
          </cell>
          <cell r="T1291" t="str">
            <v>131hs¬n</v>
          </cell>
        </row>
        <row r="1292">
          <cell r="L1292">
            <v>70000000</v>
          </cell>
          <cell r="S1292" t="str">
            <v xml:space="preserve">111 </v>
          </cell>
          <cell r="T1292" t="str">
            <v>131hasa</v>
          </cell>
        </row>
        <row r="1293">
          <cell r="L1293">
            <v>144809604</v>
          </cell>
          <cell r="S1293" t="str">
            <v xml:space="preserve">111 </v>
          </cell>
          <cell r="T1293" t="str">
            <v>131hais¬n</v>
          </cell>
        </row>
        <row r="1294">
          <cell r="L1294">
            <v>6000000</v>
          </cell>
          <cell r="S1294" t="str">
            <v xml:space="preserve">111 </v>
          </cell>
          <cell r="T1294" t="str">
            <v>131h­¬ng</v>
          </cell>
        </row>
        <row r="1295">
          <cell r="L1295">
            <v>60000000</v>
          </cell>
          <cell r="S1295" t="str">
            <v xml:space="preserve">111 </v>
          </cell>
          <cell r="T1295" t="str">
            <v>131h­¬ng</v>
          </cell>
        </row>
        <row r="1296">
          <cell r="L1296">
            <v>68000000</v>
          </cell>
          <cell r="S1296" t="str">
            <v xml:space="preserve">111 </v>
          </cell>
          <cell r="T1296" t="str">
            <v>131hais¬n</v>
          </cell>
        </row>
        <row r="1297">
          <cell r="L1297">
            <v>60000000</v>
          </cell>
          <cell r="S1297" t="str">
            <v xml:space="preserve">111 </v>
          </cell>
          <cell r="T1297" t="str">
            <v>131h­¬ng</v>
          </cell>
        </row>
        <row r="1298">
          <cell r="L1298">
            <v>29000000</v>
          </cell>
          <cell r="S1298" t="str">
            <v xml:space="preserve">111 </v>
          </cell>
          <cell r="T1298" t="str">
            <v>131h­¬ng</v>
          </cell>
        </row>
        <row r="1299">
          <cell r="L1299">
            <v>100000000</v>
          </cell>
          <cell r="S1299" t="str">
            <v xml:space="preserve">111 </v>
          </cell>
          <cell r="T1299" t="str">
            <v>131h­¬ng</v>
          </cell>
        </row>
        <row r="1300">
          <cell r="L1300">
            <v>75000000</v>
          </cell>
          <cell r="S1300" t="str">
            <v xml:space="preserve">111 </v>
          </cell>
          <cell r="T1300" t="str">
            <v>131hïng</v>
          </cell>
        </row>
        <row r="1301">
          <cell r="L1301">
            <v>5000000</v>
          </cell>
          <cell r="S1301" t="str">
            <v xml:space="preserve">111 </v>
          </cell>
          <cell r="T1301" t="str">
            <v>131hïng</v>
          </cell>
        </row>
        <row r="1302">
          <cell r="L1302">
            <v>150150000</v>
          </cell>
          <cell r="S1302" t="str">
            <v xml:space="preserve">111 </v>
          </cell>
          <cell r="T1302" t="str">
            <v>131hais¬n</v>
          </cell>
        </row>
        <row r="1303">
          <cell r="L1303">
            <v>38500000</v>
          </cell>
          <cell r="S1303" t="str">
            <v xml:space="preserve">111 </v>
          </cell>
          <cell r="T1303" t="str">
            <v>131hais¬n</v>
          </cell>
        </row>
        <row r="1304">
          <cell r="L1304">
            <v>200000000</v>
          </cell>
          <cell r="S1304" t="str">
            <v xml:space="preserve">111 </v>
          </cell>
          <cell r="T1304" t="str">
            <v>131hais¬n</v>
          </cell>
        </row>
        <row r="1305">
          <cell r="L1305">
            <v>10000000</v>
          </cell>
          <cell r="S1305" t="str">
            <v xml:space="preserve">111 </v>
          </cell>
          <cell r="T1305" t="str">
            <v>131hais¬n</v>
          </cell>
        </row>
        <row r="1306">
          <cell r="L1306">
            <v>75000000</v>
          </cell>
          <cell r="S1306" t="str">
            <v xml:space="preserve">111 </v>
          </cell>
          <cell r="T1306" t="str">
            <v>131h­¬ng</v>
          </cell>
        </row>
        <row r="1307">
          <cell r="L1307">
            <v>170000000</v>
          </cell>
          <cell r="S1307" t="str">
            <v xml:space="preserve">111 </v>
          </cell>
          <cell r="T1307" t="str">
            <v>131vcb</v>
          </cell>
        </row>
        <row r="1308">
          <cell r="L1308">
            <v>330905000</v>
          </cell>
          <cell r="S1308" t="str">
            <v xml:space="preserve">111 </v>
          </cell>
          <cell r="T1308" t="str">
            <v>131tmdda</v>
          </cell>
        </row>
        <row r="1309">
          <cell r="L1309">
            <v>50000000</v>
          </cell>
          <cell r="S1309" t="str">
            <v>331nk5</v>
          </cell>
          <cell r="T1309" t="str">
            <v>111</v>
          </cell>
        </row>
        <row r="1310">
          <cell r="L1310">
            <v>205000000</v>
          </cell>
          <cell r="S1310" t="str">
            <v>331nk5</v>
          </cell>
          <cell r="T1310" t="str">
            <v>111</v>
          </cell>
        </row>
        <row r="1311">
          <cell r="L1311">
            <v>14000000</v>
          </cell>
          <cell r="S1311" t="str">
            <v>141dòngkt</v>
          </cell>
          <cell r="T1311" t="str">
            <v>111</v>
          </cell>
        </row>
        <row r="1312">
          <cell r="L1312">
            <v>107460840</v>
          </cell>
          <cell r="S1312" t="str">
            <v>331nk5</v>
          </cell>
          <cell r="T1312" t="str">
            <v>111</v>
          </cell>
        </row>
        <row r="1313">
          <cell r="L1313">
            <v>7500000</v>
          </cell>
          <cell r="S1313" t="str">
            <v>331nk5</v>
          </cell>
          <cell r="T1313" t="str">
            <v>111</v>
          </cell>
        </row>
        <row r="1314">
          <cell r="L1314">
            <v>29848764</v>
          </cell>
          <cell r="S1314" t="str">
            <v>331nk5</v>
          </cell>
          <cell r="T1314" t="str">
            <v>111</v>
          </cell>
        </row>
        <row r="1315">
          <cell r="L1315">
            <v>60000000</v>
          </cell>
          <cell r="S1315" t="str">
            <v>141thuû</v>
          </cell>
          <cell r="T1315" t="str">
            <v>111</v>
          </cell>
        </row>
        <row r="1316">
          <cell r="L1316">
            <v>320000000</v>
          </cell>
          <cell r="S1316" t="str">
            <v>141dòngkt</v>
          </cell>
          <cell r="T1316" t="str">
            <v>111</v>
          </cell>
        </row>
        <row r="1317">
          <cell r="L1317">
            <v>175000000</v>
          </cell>
          <cell r="S1317" t="str">
            <v>141dòngkt</v>
          </cell>
          <cell r="T1317" t="str">
            <v>111</v>
          </cell>
        </row>
        <row r="1318">
          <cell r="L1318">
            <v>150000000</v>
          </cell>
          <cell r="S1318" t="str">
            <v>331unimex</v>
          </cell>
          <cell r="T1318" t="str">
            <v>111</v>
          </cell>
        </row>
        <row r="1319">
          <cell r="L1319">
            <v>12500000</v>
          </cell>
          <cell r="S1319" t="str">
            <v>141dòngkt</v>
          </cell>
          <cell r="T1319" t="str">
            <v>111</v>
          </cell>
        </row>
        <row r="1320">
          <cell r="L1320">
            <v>100000000</v>
          </cell>
          <cell r="S1320" t="str">
            <v>141dòngkt</v>
          </cell>
          <cell r="T1320" t="str">
            <v>111</v>
          </cell>
        </row>
        <row r="1321">
          <cell r="L1321">
            <v>650000</v>
          </cell>
          <cell r="S1321" t="str">
            <v>141chung</v>
          </cell>
          <cell r="T1321" t="str">
            <v>111</v>
          </cell>
        </row>
        <row r="1322">
          <cell r="L1322">
            <v>1575000000</v>
          </cell>
          <cell r="S1322" t="str">
            <v>141dòngkt</v>
          </cell>
          <cell r="T1322" t="str">
            <v>111</v>
          </cell>
        </row>
        <row r="1323">
          <cell r="L1323">
            <v>150000000</v>
          </cell>
          <cell r="S1323" t="str">
            <v>331unimex</v>
          </cell>
          <cell r="T1323" t="str">
            <v>111</v>
          </cell>
        </row>
        <row r="1324">
          <cell r="L1324">
            <v>3535000</v>
          </cell>
          <cell r="S1324" t="str">
            <v>331nk5</v>
          </cell>
          <cell r="T1324" t="str">
            <v>111</v>
          </cell>
        </row>
        <row r="1325">
          <cell r="L1325">
            <v>8000</v>
          </cell>
          <cell r="S1325" t="str">
            <v>112tec</v>
          </cell>
          <cell r="T1325" t="str">
            <v>711tec</v>
          </cell>
        </row>
        <row r="1326">
          <cell r="L1326">
            <v>6544512</v>
          </cell>
          <cell r="S1326" t="str">
            <v>3383383</v>
          </cell>
          <cell r="T1326" t="str">
            <v>112ct</v>
          </cell>
        </row>
        <row r="1327">
          <cell r="L1327">
            <v>4039920</v>
          </cell>
          <cell r="S1327" t="str">
            <v>3383383</v>
          </cell>
          <cell r="T1327" t="str">
            <v>112ct</v>
          </cell>
        </row>
        <row r="1328">
          <cell r="L1328">
            <v>3635928</v>
          </cell>
          <cell r="S1328" t="str">
            <v>3383384</v>
          </cell>
          <cell r="T1328" t="str">
            <v>112ct</v>
          </cell>
        </row>
        <row r="1329">
          <cell r="L1329">
            <v>9000</v>
          </cell>
          <cell r="S1329" t="str">
            <v>112cntec</v>
          </cell>
          <cell r="T1329" t="str">
            <v>711cntec</v>
          </cell>
        </row>
        <row r="1330">
          <cell r="L1330">
            <v>16777967</v>
          </cell>
          <cell r="S1330" t="str">
            <v>3333333</v>
          </cell>
          <cell r="T1330" t="str">
            <v>112ct</v>
          </cell>
        </row>
        <row r="1331">
          <cell r="L1331">
            <v>16777967</v>
          </cell>
          <cell r="S1331" t="str">
            <v>156thep</v>
          </cell>
          <cell r="T1331" t="str">
            <v>3333333</v>
          </cell>
        </row>
        <row r="1332">
          <cell r="L1332">
            <v>18182</v>
          </cell>
          <cell r="S1332" t="str">
            <v>641kd</v>
          </cell>
          <cell r="T1332" t="str">
            <v>112ct</v>
          </cell>
        </row>
        <row r="1333">
          <cell r="L1333">
            <v>1818</v>
          </cell>
          <cell r="S1333" t="str">
            <v xml:space="preserve">133 </v>
          </cell>
          <cell r="T1333" t="str">
            <v>112ct</v>
          </cell>
        </row>
        <row r="1334">
          <cell r="L1334">
            <v>166058</v>
          </cell>
          <cell r="S1334" t="str">
            <v>112ct</v>
          </cell>
          <cell r="T1334" t="str">
            <v>711ct</v>
          </cell>
        </row>
        <row r="1335">
          <cell r="L1335">
            <v>1818</v>
          </cell>
          <cell r="S1335" t="str">
            <v>641kd</v>
          </cell>
          <cell r="T1335" t="str">
            <v>112ct</v>
          </cell>
        </row>
        <row r="1336">
          <cell r="L1336">
            <v>182</v>
          </cell>
          <cell r="S1336" t="str">
            <v xml:space="preserve">133 </v>
          </cell>
          <cell r="T1336" t="str">
            <v>112ct</v>
          </cell>
        </row>
        <row r="1337">
          <cell r="L1337">
            <v>7223040</v>
          </cell>
          <cell r="S1337" t="str">
            <v>3383383</v>
          </cell>
          <cell r="T1337" t="str">
            <v>112ct</v>
          </cell>
        </row>
        <row r="1338">
          <cell r="L1338">
            <v>1160000000</v>
          </cell>
          <cell r="S1338" t="str">
            <v>331tlong</v>
          </cell>
          <cell r="T1338" t="str">
            <v>112ct</v>
          </cell>
        </row>
        <row r="1339">
          <cell r="L1339">
            <v>1818</v>
          </cell>
          <cell r="S1339" t="str">
            <v>641kd</v>
          </cell>
          <cell r="T1339" t="str">
            <v>112ct</v>
          </cell>
        </row>
        <row r="1340">
          <cell r="L1340">
            <v>182</v>
          </cell>
          <cell r="S1340" t="str">
            <v xml:space="preserve">133 </v>
          </cell>
          <cell r="T1340" t="str">
            <v>112ct</v>
          </cell>
        </row>
        <row r="1341">
          <cell r="L1341">
            <v>305000</v>
          </cell>
          <cell r="S1341" t="str">
            <v>642bv</v>
          </cell>
          <cell r="T1341" t="str">
            <v>111</v>
          </cell>
        </row>
        <row r="1342">
          <cell r="L1342">
            <v>1000000</v>
          </cell>
          <cell r="S1342" t="str">
            <v>141thuû</v>
          </cell>
          <cell r="T1342" t="str">
            <v>111</v>
          </cell>
        </row>
        <row r="1343">
          <cell r="L1343">
            <v>44148000</v>
          </cell>
          <cell r="S1343" t="str">
            <v>141thuû</v>
          </cell>
          <cell r="T1343" t="str">
            <v>111</v>
          </cell>
        </row>
        <row r="1344">
          <cell r="L1344">
            <v>127400</v>
          </cell>
          <cell r="S1344" t="str">
            <v>642tk</v>
          </cell>
          <cell r="T1344" t="str">
            <v>111</v>
          </cell>
        </row>
        <row r="1345">
          <cell r="L1345">
            <v>550000000</v>
          </cell>
          <cell r="S1345" t="str">
            <v>311nk2</v>
          </cell>
          <cell r="T1345" t="str">
            <v>111</v>
          </cell>
        </row>
        <row r="1346">
          <cell r="L1346">
            <v>300000000</v>
          </cell>
          <cell r="S1346" t="str">
            <v>311nk2</v>
          </cell>
          <cell r="T1346" t="str">
            <v>111</v>
          </cell>
        </row>
        <row r="1347">
          <cell r="L1347">
            <v>400000</v>
          </cell>
          <cell r="S1347" t="str">
            <v>641®t</v>
          </cell>
          <cell r="T1347" t="str">
            <v>111</v>
          </cell>
        </row>
        <row r="1348">
          <cell r="L1348">
            <v>100000000</v>
          </cell>
          <cell r="S1348" t="str">
            <v>331nk5</v>
          </cell>
          <cell r="T1348" t="str">
            <v>111</v>
          </cell>
        </row>
        <row r="1349">
          <cell r="L1349">
            <v>60000000</v>
          </cell>
          <cell r="S1349" t="str">
            <v>331unimex</v>
          </cell>
          <cell r="T1349" t="str">
            <v>111</v>
          </cell>
        </row>
        <row r="1350">
          <cell r="L1350">
            <v>60087615</v>
          </cell>
          <cell r="S1350" t="str">
            <v>331unimex</v>
          </cell>
          <cell r="T1350" t="str">
            <v>111</v>
          </cell>
        </row>
        <row r="1351">
          <cell r="L1351">
            <v>1800000</v>
          </cell>
          <cell r="S1351" t="str">
            <v>641®t</v>
          </cell>
          <cell r="T1351" t="str">
            <v>111</v>
          </cell>
        </row>
        <row r="1352">
          <cell r="L1352">
            <v>2500000</v>
          </cell>
          <cell r="S1352" t="str">
            <v>642vp</v>
          </cell>
          <cell r="T1352" t="str">
            <v>111</v>
          </cell>
        </row>
        <row r="1353">
          <cell r="L1353">
            <v>25000000</v>
          </cell>
          <cell r="S1353" t="str">
            <v>112ct</v>
          </cell>
          <cell r="T1353" t="str">
            <v>111</v>
          </cell>
        </row>
        <row r="1354">
          <cell r="L1354">
            <v>22100000</v>
          </cell>
          <cell r="S1354" t="str">
            <v>141chung</v>
          </cell>
          <cell r="T1354" t="str">
            <v>111</v>
          </cell>
        </row>
        <row r="1355">
          <cell r="L1355">
            <v>4000000</v>
          </cell>
          <cell r="S1355" t="str">
            <v>141dòng</v>
          </cell>
          <cell r="T1355" t="str">
            <v>111</v>
          </cell>
        </row>
        <row r="1356">
          <cell r="L1356">
            <v>170000000</v>
          </cell>
          <cell r="S1356" t="str">
            <v>331nk5</v>
          </cell>
          <cell r="T1356" t="str">
            <v>111</v>
          </cell>
        </row>
        <row r="1357">
          <cell r="L1357">
            <v>400000000</v>
          </cell>
          <cell r="S1357" t="str">
            <v>331tlong</v>
          </cell>
          <cell r="T1357" t="str">
            <v>111</v>
          </cell>
        </row>
        <row r="1358">
          <cell r="L1358">
            <v>20831000</v>
          </cell>
          <cell r="S1358" t="str">
            <v>642lai</v>
          </cell>
          <cell r="T1358" t="str">
            <v>111</v>
          </cell>
        </row>
        <row r="1359">
          <cell r="L1359">
            <v>1200000</v>
          </cell>
          <cell r="S1359" t="str">
            <v>642dc</v>
          </cell>
          <cell r="T1359" t="str">
            <v>111</v>
          </cell>
        </row>
        <row r="1360">
          <cell r="L1360">
            <v>583534000</v>
          </cell>
          <cell r="S1360" t="str">
            <v>141dòngkt</v>
          </cell>
          <cell r="T1360" t="str">
            <v>111</v>
          </cell>
        </row>
        <row r="1361">
          <cell r="L1361">
            <v>102500</v>
          </cell>
          <cell r="S1361" t="str">
            <v>642vp</v>
          </cell>
          <cell r="T1361" t="str">
            <v>111</v>
          </cell>
        </row>
        <row r="1362">
          <cell r="L1362">
            <v>20000000</v>
          </cell>
          <cell r="S1362" t="str">
            <v>331nk5</v>
          </cell>
          <cell r="T1362" t="str">
            <v>111</v>
          </cell>
        </row>
        <row r="1363">
          <cell r="L1363">
            <v>60000000</v>
          </cell>
          <cell r="S1363" t="str">
            <v>331nk5</v>
          </cell>
          <cell r="T1363" t="str">
            <v>111</v>
          </cell>
        </row>
        <row r="1364">
          <cell r="L1364">
            <v>110000000</v>
          </cell>
          <cell r="S1364" t="str">
            <v>331unimex</v>
          </cell>
          <cell r="T1364" t="str">
            <v>111</v>
          </cell>
        </row>
        <row r="1365">
          <cell r="L1365">
            <v>22100000</v>
          </cell>
          <cell r="S1365" t="str">
            <v>141chung</v>
          </cell>
          <cell r="T1365" t="str">
            <v>111</v>
          </cell>
        </row>
        <row r="1366">
          <cell r="L1366">
            <v>30000000</v>
          </cell>
          <cell r="S1366" t="str">
            <v>112ct</v>
          </cell>
          <cell r="T1366" t="str">
            <v>111</v>
          </cell>
        </row>
        <row r="1367">
          <cell r="L1367">
            <v>2744197</v>
          </cell>
          <cell r="S1367" t="str">
            <v>642®t</v>
          </cell>
          <cell r="T1367" t="str">
            <v>111</v>
          </cell>
        </row>
        <row r="1368">
          <cell r="L1368">
            <v>274420</v>
          </cell>
          <cell r="S1368" t="str">
            <v xml:space="preserve">133 </v>
          </cell>
          <cell r="T1368" t="str">
            <v>111</v>
          </cell>
        </row>
        <row r="1369">
          <cell r="L1369">
            <v>7977500</v>
          </cell>
          <cell r="S1369" t="str">
            <v xml:space="preserve">334 </v>
          </cell>
          <cell r="T1369" t="str">
            <v>111</v>
          </cell>
        </row>
        <row r="1370">
          <cell r="L1370">
            <v>796860</v>
          </cell>
          <cell r="S1370" t="str">
            <v>338qldd</v>
          </cell>
          <cell r="T1370" t="str">
            <v>111</v>
          </cell>
        </row>
        <row r="1371">
          <cell r="L1371">
            <v>490000000</v>
          </cell>
          <cell r="S1371" t="str">
            <v>331tlong</v>
          </cell>
          <cell r="T1371" t="str">
            <v>111</v>
          </cell>
        </row>
        <row r="1372">
          <cell r="L1372">
            <v>262000</v>
          </cell>
          <cell r="S1372" t="str">
            <v>642ct</v>
          </cell>
          <cell r="T1372" t="str">
            <v>111</v>
          </cell>
        </row>
        <row r="1373">
          <cell r="L1373">
            <v>927000</v>
          </cell>
          <cell r="S1373" t="str">
            <v>642®t</v>
          </cell>
          <cell r="T1373" t="str">
            <v>111</v>
          </cell>
        </row>
        <row r="1374">
          <cell r="L1374">
            <v>300000</v>
          </cell>
          <cell r="S1374" t="str">
            <v>642tk</v>
          </cell>
          <cell r="T1374" t="str">
            <v>111</v>
          </cell>
        </row>
        <row r="1375">
          <cell r="L1375">
            <v>400000</v>
          </cell>
          <cell r="S1375" t="str">
            <v>642tk</v>
          </cell>
          <cell r="T1375" t="str">
            <v>111</v>
          </cell>
        </row>
        <row r="1376">
          <cell r="L1376">
            <v>716251800</v>
          </cell>
          <cell r="S1376" t="str">
            <v>331tlong</v>
          </cell>
          <cell r="T1376" t="str">
            <v>111</v>
          </cell>
        </row>
        <row r="1377">
          <cell r="L1377">
            <v>180000000</v>
          </cell>
          <cell r="S1377" t="str">
            <v>311nk2</v>
          </cell>
          <cell r="T1377" t="str">
            <v>111</v>
          </cell>
        </row>
        <row r="1378">
          <cell r="L1378">
            <v>1068564</v>
          </cell>
          <cell r="S1378" t="str">
            <v>642vp</v>
          </cell>
          <cell r="T1378" t="str">
            <v>111</v>
          </cell>
        </row>
        <row r="1379">
          <cell r="L1379">
            <v>31456</v>
          </cell>
          <cell r="S1379" t="str">
            <v xml:space="preserve">133 </v>
          </cell>
          <cell r="T1379" t="str">
            <v>111</v>
          </cell>
        </row>
        <row r="1380">
          <cell r="L1380">
            <v>751520000</v>
          </cell>
          <cell r="S1380" t="str">
            <v>331tlong</v>
          </cell>
          <cell r="T1380" t="str">
            <v>111</v>
          </cell>
        </row>
        <row r="1381">
          <cell r="L1381">
            <v>828130</v>
          </cell>
          <cell r="S1381" t="str">
            <v>3383382</v>
          </cell>
          <cell r="T1381" t="str">
            <v>111</v>
          </cell>
        </row>
        <row r="1382">
          <cell r="L1382">
            <v>135000</v>
          </cell>
          <cell r="S1382" t="str">
            <v>641®t</v>
          </cell>
          <cell r="T1382" t="str">
            <v>111</v>
          </cell>
        </row>
        <row r="1383">
          <cell r="L1383">
            <v>256000</v>
          </cell>
          <cell r="S1383" t="str">
            <v>642k</v>
          </cell>
          <cell r="T1383" t="str">
            <v>111</v>
          </cell>
        </row>
        <row r="1384">
          <cell r="L1384">
            <v>367000</v>
          </cell>
          <cell r="S1384" t="str">
            <v>642vp</v>
          </cell>
          <cell r="T1384" t="str">
            <v>111</v>
          </cell>
        </row>
        <row r="1385">
          <cell r="L1385">
            <v>2926057</v>
          </cell>
          <cell r="S1385" t="str">
            <v>642dn</v>
          </cell>
          <cell r="T1385" t="str">
            <v>111</v>
          </cell>
        </row>
        <row r="1386">
          <cell r="L1386">
            <v>292605</v>
          </cell>
          <cell r="S1386" t="str">
            <v xml:space="preserve">133 </v>
          </cell>
          <cell r="T1386" t="str">
            <v>111</v>
          </cell>
        </row>
        <row r="1387">
          <cell r="L1387">
            <v>93000000</v>
          </cell>
          <cell r="S1387" t="str">
            <v>331nk2</v>
          </cell>
          <cell r="T1387" t="str">
            <v>111</v>
          </cell>
        </row>
        <row r="1388">
          <cell r="L1388">
            <v>550000000</v>
          </cell>
          <cell r="S1388" t="str">
            <v>112ct</v>
          </cell>
          <cell r="T1388" t="str">
            <v>111</v>
          </cell>
        </row>
        <row r="1389">
          <cell r="L1389">
            <v>1818640</v>
          </cell>
          <cell r="S1389" t="str">
            <v>642dn</v>
          </cell>
          <cell r="T1389" t="str">
            <v>111</v>
          </cell>
        </row>
        <row r="1390">
          <cell r="L1390">
            <v>181864</v>
          </cell>
          <cell r="S1390" t="str">
            <v xml:space="preserve">133 </v>
          </cell>
          <cell r="T1390" t="str">
            <v>111</v>
          </cell>
        </row>
        <row r="1391">
          <cell r="L1391">
            <v>100000000</v>
          </cell>
          <cell r="S1391" t="str">
            <v>331tlong</v>
          </cell>
          <cell r="T1391" t="str">
            <v>111</v>
          </cell>
        </row>
        <row r="1392">
          <cell r="L1392">
            <v>450000000</v>
          </cell>
          <cell r="S1392" t="str">
            <v>112ct</v>
          </cell>
          <cell r="T1392" t="str">
            <v>111</v>
          </cell>
        </row>
        <row r="1393">
          <cell r="L1393">
            <v>126000</v>
          </cell>
          <cell r="S1393" t="str">
            <v>641®t</v>
          </cell>
          <cell r="T1393" t="str">
            <v>111</v>
          </cell>
        </row>
        <row r="1394">
          <cell r="L1394">
            <v>300000</v>
          </cell>
          <cell r="S1394" t="str">
            <v>642bv</v>
          </cell>
          <cell r="T1394" t="str">
            <v>111</v>
          </cell>
        </row>
        <row r="1395">
          <cell r="L1395">
            <v>1458333</v>
          </cell>
          <cell r="S1395" t="str">
            <v>3333332</v>
          </cell>
          <cell r="T1395" t="str">
            <v>111</v>
          </cell>
        </row>
        <row r="1396">
          <cell r="L1396">
            <v>51000</v>
          </cell>
          <cell r="S1396" t="str">
            <v>642dn</v>
          </cell>
          <cell r="T1396" t="str">
            <v>111</v>
          </cell>
        </row>
        <row r="1397">
          <cell r="L1397">
            <v>2000000</v>
          </cell>
          <cell r="S1397" t="str">
            <v>141dòng</v>
          </cell>
          <cell r="T1397" t="str">
            <v>111</v>
          </cell>
        </row>
        <row r="1398">
          <cell r="L1398">
            <v>700000000</v>
          </cell>
          <cell r="S1398" t="str">
            <v>331tlong</v>
          </cell>
          <cell r="T1398" t="str">
            <v>111</v>
          </cell>
        </row>
        <row r="1399">
          <cell r="L1399">
            <v>350000</v>
          </cell>
          <cell r="S1399" t="str">
            <v>641®t</v>
          </cell>
          <cell r="T1399" t="str">
            <v>111</v>
          </cell>
        </row>
        <row r="1400">
          <cell r="L1400">
            <v>3120000</v>
          </cell>
          <cell r="S1400" t="str">
            <v>641®t</v>
          </cell>
          <cell r="T1400" t="str">
            <v>111</v>
          </cell>
        </row>
        <row r="1401">
          <cell r="L1401">
            <v>231200</v>
          </cell>
          <cell r="S1401" t="str">
            <v>642sc</v>
          </cell>
          <cell r="T1401" t="str">
            <v>111</v>
          </cell>
        </row>
        <row r="1402">
          <cell r="L1402">
            <v>161167000</v>
          </cell>
          <cell r="S1402" t="str">
            <v>112ct</v>
          </cell>
          <cell r="T1402" t="str">
            <v>111</v>
          </cell>
        </row>
        <row r="1403">
          <cell r="L1403">
            <v>300000000</v>
          </cell>
          <cell r="S1403" t="str">
            <v>222tl©m</v>
          </cell>
          <cell r="T1403" t="str">
            <v>111</v>
          </cell>
        </row>
        <row r="1404">
          <cell r="L1404">
            <v>300000</v>
          </cell>
          <cell r="S1404" t="str">
            <v xml:space="preserve">111 </v>
          </cell>
          <cell r="T1404" t="str">
            <v>141dòng</v>
          </cell>
        </row>
        <row r="1405">
          <cell r="L1405">
            <v>2465000</v>
          </cell>
          <cell r="S1405" t="str">
            <v xml:space="preserve">111 </v>
          </cell>
          <cell r="T1405" t="str">
            <v>141ninh</v>
          </cell>
        </row>
        <row r="1406">
          <cell r="L1406">
            <v>481819</v>
          </cell>
          <cell r="S1406" t="str">
            <v xml:space="preserve">111 </v>
          </cell>
          <cell r="T1406" t="str">
            <v>511ks</v>
          </cell>
        </row>
        <row r="1407">
          <cell r="L1407">
            <v>48181</v>
          </cell>
          <cell r="S1407" t="str">
            <v xml:space="preserve">111 </v>
          </cell>
          <cell r="T1407" t="str">
            <v>3333331</v>
          </cell>
        </row>
        <row r="1408">
          <cell r="L1408">
            <v>218182</v>
          </cell>
          <cell r="S1408" t="str">
            <v xml:space="preserve">111 </v>
          </cell>
          <cell r="T1408" t="str">
            <v>511ks</v>
          </cell>
        </row>
        <row r="1409">
          <cell r="L1409">
            <v>21818</v>
          </cell>
          <cell r="S1409" t="str">
            <v xml:space="preserve">111 </v>
          </cell>
          <cell r="T1409" t="str">
            <v>3333331</v>
          </cell>
        </row>
        <row r="1410">
          <cell r="L1410">
            <v>404543</v>
          </cell>
          <cell r="S1410" t="str">
            <v xml:space="preserve">111 </v>
          </cell>
          <cell r="T1410" t="str">
            <v>511ks</v>
          </cell>
        </row>
        <row r="1411">
          <cell r="L1411">
            <v>40457</v>
          </cell>
          <cell r="S1411" t="str">
            <v xml:space="preserve">111 </v>
          </cell>
          <cell r="T1411" t="str">
            <v>3333331</v>
          </cell>
        </row>
        <row r="1412">
          <cell r="L1412">
            <v>668183</v>
          </cell>
          <cell r="S1412" t="str">
            <v xml:space="preserve">111 </v>
          </cell>
          <cell r="T1412" t="str">
            <v>511ks</v>
          </cell>
        </row>
        <row r="1413">
          <cell r="L1413">
            <v>66817</v>
          </cell>
          <cell r="S1413" t="str">
            <v xml:space="preserve">111 </v>
          </cell>
          <cell r="T1413" t="str">
            <v>3333331</v>
          </cell>
        </row>
        <row r="1414">
          <cell r="L1414">
            <v>600000</v>
          </cell>
          <cell r="S1414" t="str">
            <v xml:space="preserve">111 </v>
          </cell>
          <cell r="T1414" t="str">
            <v>511§t</v>
          </cell>
        </row>
        <row r="1415">
          <cell r="L1415">
            <v>473800</v>
          </cell>
          <cell r="S1415" t="str">
            <v xml:space="preserve">111 </v>
          </cell>
          <cell r="T1415" t="str">
            <v>141nghüa</v>
          </cell>
        </row>
        <row r="1416">
          <cell r="L1416">
            <v>6304000</v>
          </cell>
          <cell r="S1416" t="str">
            <v xml:space="preserve">111 </v>
          </cell>
          <cell r="T1416" t="str">
            <v>141nhung</v>
          </cell>
        </row>
        <row r="1417">
          <cell r="L1417">
            <v>6973000</v>
          </cell>
          <cell r="S1417" t="str">
            <v xml:space="preserve">111 </v>
          </cell>
          <cell r="T1417" t="str">
            <v>141h­¬ng</v>
          </cell>
        </row>
        <row r="1418">
          <cell r="L1418">
            <v>1252728</v>
          </cell>
          <cell r="S1418" t="str">
            <v xml:space="preserve">111 </v>
          </cell>
          <cell r="T1418" t="str">
            <v>511ks</v>
          </cell>
        </row>
        <row r="1419">
          <cell r="L1419">
            <v>125272</v>
          </cell>
          <cell r="S1419" t="str">
            <v xml:space="preserve">111 </v>
          </cell>
          <cell r="T1419" t="str">
            <v>3333331</v>
          </cell>
        </row>
        <row r="1420">
          <cell r="L1420">
            <v>672727</v>
          </cell>
          <cell r="S1420" t="str">
            <v xml:space="preserve">111 </v>
          </cell>
          <cell r="T1420" t="str">
            <v>511ks</v>
          </cell>
        </row>
        <row r="1421">
          <cell r="L1421">
            <v>67273</v>
          </cell>
          <cell r="S1421" t="str">
            <v xml:space="preserve">111 </v>
          </cell>
          <cell r="T1421" t="str">
            <v>3333331</v>
          </cell>
        </row>
        <row r="1422">
          <cell r="L1422">
            <v>15375000</v>
          </cell>
          <cell r="S1422" t="str">
            <v xml:space="preserve">111 </v>
          </cell>
          <cell r="T1422" t="str">
            <v>131vthu</v>
          </cell>
        </row>
        <row r="1423">
          <cell r="L1423">
            <v>677545</v>
          </cell>
          <cell r="S1423" t="str">
            <v xml:space="preserve">111 </v>
          </cell>
          <cell r="T1423" t="str">
            <v>511ks</v>
          </cell>
        </row>
        <row r="1424">
          <cell r="L1424">
            <v>67755</v>
          </cell>
          <cell r="S1424" t="str">
            <v xml:space="preserve">111 </v>
          </cell>
          <cell r="T1424" t="str">
            <v>3333331</v>
          </cell>
        </row>
        <row r="1425">
          <cell r="L1425">
            <v>450000</v>
          </cell>
          <cell r="S1425" t="str">
            <v xml:space="preserve">111 </v>
          </cell>
          <cell r="T1425" t="str">
            <v>511§t</v>
          </cell>
        </row>
        <row r="1426">
          <cell r="L1426">
            <v>518187</v>
          </cell>
          <cell r="S1426" t="str">
            <v xml:space="preserve">111 </v>
          </cell>
          <cell r="T1426" t="str">
            <v>511ks</v>
          </cell>
        </row>
        <row r="1427">
          <cell r="L1427">
            <v>51813</v>
          </cell>
          <cell r="S1427" t="str">
            <v xml:space="preserve">111 </v>
          </cell>
          <cell r="T1427" t="str">
            <v>3333331</v>
          </cell>
        </row>
        <row r="1428">
          <cell r="L1428">
            <v>3000000</v>
          </cell>
          <cell r="S1428" t="str">
            <v xml:space="preserve">111 </v>
          </cell>
          <cell r="T1428" t="str">
            <v>511§t</v>
          </cell>
        </row>
        <row r="1429">
          <cell r="L1429">
            <v>773636</v>
          </cell>
          <cell r="S1429" t="str">
            <v xml:space="preserve">111 </v>
          </cell>
          <cell r="T1429" t="str">
            <v>511ks</v>
          </cell>
        </row>
        <row r="1430">
          <cell r="L1430">
            <v>77364</v>
          </cell>
          <cell r="S1430" t="str">
            <v xml:space="preserve">111 </v>
          </cell>
          <cell r="T1430" t="str">
            <v>3333331</v>
          </cell>
        </row>
        <row r="1431">
          <cell r="L1431">
            <v>381864</v>
          </cell>
          <cell r="S1431" t="str">
            <v xml:space="preserve">111 </v>
          </cell>
          <cell r="T1431" t="str">
            <v>511ks</v>
          </cell>
        </row>
        <row r="1432">
          <cell r="L1432">
            <v>38136</v>
          </cell>
          <cell r="S1432" t="str">
            <v xml:space="preserve">111 </v>
          </cell>
          <cell r="T1432" t="str">
            <v>3333331</v>
          </cell>
        </row>
        <row r="1433">
          <cell r="L1433">
            <v>300000</v>
          </cell>
          <cell r="S1433" t="str">
            <v xml:space="preserve">111 </v>
          </cell>
          <cell r="T1433" t="str">
            <v>511§t</v>
          </cell>
        </row>
        <row r="1434">
          <cell r="L1434">
            <v>720681325</v>
          </cell>
          <cell r="S1434" t="str">
            <v xml:space="preserve">111 </v>
          </cell>
          <cell r="T1434" t="str">
            <v>141dòngkt</v>
          </cell>
        </row>
        <row r="1435">
          <cell r="L1435">
            <v>401818</v>
          </cell>
          <cell r="S1435" t="str">
            <v xml:space="preserve">111 </v>
          </cell>
          <cell r="T1435" t="str">
            <v>511ks</v>
          </cell>
        </row>
        <row r="1436">
          <cell r="L1436">
            <v>40182</v>
          </cell>
          <cell r="S1436" t="str">
            <v xml:space="preserve">111 </v>
          </cell>
          <cell r="T1436" t="str">
            <v>3333331</v>
          </cell>
        </row>
        <row r="1437">
          <cell r="L1437">
            <v>130000000</v>
          </cell>
          <cell r="S1437" t="str">
            <v xml:space="preserve">111 </v>
          </cell>
          <cell r="T1437" t="str">
            <v>311tuên</v>
          </cell>
        </row>
        <row r="1438">
          <cell r="L1438">
            <v>213646</v>
          </cell>
          <cell r="S1438" t="str">
            <v xml:space="preserve">111 </v>
          </cell>
          <cell r="T1438" t="str">
            <v>511ks</v>
          </cell>
        </row>
        <row r="1439">
          <cell r="L1439">
            <v>21354</v>
          </cell>
          <cell r="S1439" t="str">
            <v xml:space="preserve">111 </v>
          </cell>
          <cell r="T1439" t="str">
            <v>3333331</v>
          </cell>
        </row>
        <row r="1440">
          <cell r="L1440">
            <v>450000</v>
          </cell>
          <cell r="S1440" t="str">
            <v xml:space="preserve">111 </v>
          </cell>
          <cell r="T1440" t="str">
            <v>511§t</v>
          </cell>
        </row>
        <row r="1441">
          <cell r="L1441">
            <v>300000</v>
          </cell>
          <cell r="S1441" t="str">
            <v xml:space="preserve">111 </v>
          </cell>
          <cell r="T1441" t="str">
            <v>141dòng</v>
          </cell>
        </row>
        <row r="1442">
          <cell r="L1442">
            <v>7454545</v>
          </cell>
          <cell r="S1442" t="str">
            <v xml:space="preserve">111 </v>
          </cell>
          <cell r="T1442" t="str">
            <v>511ch</v>
          </cell>
        </row>
        <row r="1443">
          <cell r="L1443">
            <v>745455</v>
          </cell>
          <cell r="S1443" t="str">
            <v xml:space="preserve">111 </v>
          </cell>
          <cell r="T1443" t="str">
            <v>3333331</v>
          </cell>
        </row>
        <row r="1444">
          <cell r="L1444">
            <v>100000000</v>
          </cell>
          <cell r="S1444" t="str">
            <v xml:space="preserve">111 </v>
          </cell>
          <cell r="T1444" t="str">
            <v>311tiõn</v>
          </cell>
        </row>
        <row r="1445">
          <cell r="L1445">
            <v>16750000</v>
          </cell>
          <cell r="S1445" t="str">
            <v xml:space="preserve">111 </v>
          </cell>
          <cell r="T1445" t="str">
            <v>131hphat</v>
          </cell>
        </row>
        <row r="1446">
          <cell r="L1446">
            <v>155566000</v>
          </cell>
          <cell r="S1446" t="str">
            <v xml:space="preserve">111 </v>
          </cell>
          <cell r="T1446" t="str">
            <v>131vcb</v>
          </cell>
        </row>
        <row r="1447">
          <cell r="L1447">
            <v>44148000</v>
          </cell>
          <cell r="S1447" t="str">
            <v xml:space="preserve">111 </v>
          </cell>
          <cell r="T1447" t="str">
            <v>131hs¬n</v>
          </cell>
        </row>
        <row r="1448">
          <cell r="L1448">
            <v>66000000</v>
          </cell>
          <cell r="S1448" t="str">
            <v xml:space="preserve">111 </v>
          </cell>
          <cell r="T1448" t="str">
            <v>131hais¬n</v>
          </cell>
        </row>
        <row r="1449">
          <cell r="L1449">
            <v>100000000</v>
          </cell>
          <cell r="S1449" t="str">
            <v xml:space="preserve">111 </v>
          </cell>
          <cell r="T1449" t="str">
            <v>131hïng</v>
          </cell>
        </row>
        <row r="1450">
          <cell r="L1450">
            <v>132000000</v>
          </cell>
          <cell r="S1450" t="str">
            <v xml:space="preserve">111 </v>
          </cell>
          <cell r="T1450" t="str">
            <v>131hais¬n</v>
          </cell>
        </row>
        <row r="1451">
          <cell r="L1451">
            <v>65880000</v>
          </cell>
          <cell r="S1451" t="str">
            <v xml:space="preserve">111 </v>
          </cell>
          <cell r="T1451" t="str">
            <v>131h­¬ng</v>
          </cell>
        </row>
        <row r="1452">
          <cell r="L1452">
            <v>64900000</v>
          </cell>
          <cell r="S1452" t="str">
            <v xml:space="preserve">111 </v>
          </cell>
          <cell r="T1452" t="str">
            <v>131hais¬n</v>
          </cell>
        </row>
        <row r="1453">
          <cell r="L1453">
            <v>3000000</v>
          </cell>
          <cell r="S1453" t="str">
            <v xml:space="preserve">111 </v>
          </cell>
          <cell r="T1453" t="str">
            <v>131vthu</v>
          </cell>
        </row>
        <row r="1454">
          <cell r="L1454">
            <v>44000000</v>
          </cell>
          <cell r="S1454" t="str">
            <v xml:space="preserve">111 </v>
          </cell>
          <cell r="T1454" t="str">
            <v>131hais¬n</v>
          </cell>
        </row>
        <row r="1455">
          <cell r="L1455">
            <v>6000000</v>
          </cell>
          <cell r="S1455" t="str">
            <v xml:space="preserve">111 </v>
          </cell>
          <cell r="T1455" t="str">
            <v>131h­¬ng</v>
          </cell>
        </row>
        <row r="1456">
          <cell r="L1456">
            <v>120000000</v>
          </cell>
          <cell r="S1456" t="str">
            <v xml:space="preserve">111 </v>
          </cell>
          <cell r="T1456" t="str">
            <v>131vietdo</v>
          </cell>
        </row>
        <row r="1457">
          <cell r="L1457">
            <v>30000000</v>
          </cell>
          <cell r="S1457" t="str">
            <v xml:space="preserve">111 </v>
          </cell>
          <cell r="T1457" t="str">
            <v>131vietdo</v>
          </cell>
        </row>
        <row r="1458">
          <cell r="L1458">
            <v>20000000</v>
          </cell>
          <cell r="S1458" t="str">
            <v xml:space="preserve">111 </v>
          </cell>
          <cell r="T1458" t="str">
            <v>131vietdo</v>
          </cell>
        </row>
        <row r="1459">
          <cell r="L1459">
            <v>6000000</v>
          </cell>
          <cell r="S1459" t="str">
            <v xml:space="preserve">111 </v>
          </cell>
          <cell r="T1459" t="str">
            <v>131hïng</v>
          </cell>
        </row>
        <row r="1460">
          <cell r="L1460">
            <v>405700000</v>
          </cell>
          <cell r="S1460" t="str">
            <v xml:space="preserve">111 </v>
          </cell>
          <cell r="T1460" t="str">
            <v>131trungkien</v>
          </cell>
        </row>
        <row r="1461">
          <cell r="L1461">
            <v>38400000</v>
          </cell>
          <cell r="S1461" t="str">
            <v xml:space="preserve">111 </v>
          </cell>
          <cell r="T1461" t="str">
            <v>131h­¬ng</v>
          </cell>
        </row>
        <row r="1462">
          <cell r="L1462">
            <v>8000000</v>
          </cell>
          <cell r="S1462" t="str">
            <v xml:space="preserve">111 </v>
          </cell>
          <cell r="T1462" t="str">
            <v>131vthu</v>
          </cell>
        </row>
        <row r="1463">
          <cell r="L1463">
            <v>583534000</v>
          </cell>
          <cell r="S1463" t="str">
            <v xml:space="preserve">111 </v>
          </cell>
          <cell r="T1463" t="str">
            <v>131hais¬n</v>
          </cell>
        </row>
        <row r="1464">
          <cell r="L1464">
            <v>4072000</v>
          </cell>
          <cell r="S1464" t="str">
            <v xml:space="preserve">111 </v>
          </cell>
          <cell r="T1464" t="str">
            <v>131vietdo</v>
          </cell>
        </row>
        <row r="1465">
          <cell r="L1465">
            <v>10775000</v>
          </cell>
          <cell r="S1465" t="str">
            <v xml:space="preserve">111 </v>
          </cell>
          <cell r="T1465" t="str">
            <v>131hïng</v>
          </cell>
        </row>
        <row r="1466">
          <cell r="L1466">
            <v>38500000</v>
          </cell>
          <cell r="S1466" t="str">
            <v xml:space="preserve">111 </v>
          </cell>
          <cell r="T1466" t="str">
            <v>131hais¬n</v>
          </cell>
        </row>
        <row r="1467">
          <cell r="L1467">
            <v>55000000</v>
          </cell>
          <cell r="S1467" t="str">
            <v xml:space="preserve">111 </v>
          </cell>
          <cell r="T1467" t="str">
            <v>131hasa</v>
          </cell>
        </row>
        <row r="1468">
          <cell r="L1468">
            <v>198970200</v>
          </cell>
          <cell r="S1468" t="str">
            <v xml:space="preserve">111 </v>
          </cell>
          <cell r="T1468" t="str">
            <v>131hïng</v>
          </cell>
        </row>
        <row r="1469">
          <cell r="L1469">
            <v>158000000</v>
          </cell>
          <cell r="S1469" t="str">
            <v xml:space="preserve">111 </v>
          </cell>
          <cell r="T1469" t="str">
            <v>131hs¬n</v>
          </cell>
        </row>
        <row r="1470">
          <cell r="L1470">
            <v>20000000</v>
          </cell>
          <cell r="S1470" t="str">
            <v xml:space="preserve">111 </v>
          </cell>
          <cell r="T1470" t="str">
            <v>131klm</v>
          </cell>
        </row>
        <row r="1471">
          <cell r="L1471">
            <v>82650000</v>
          </cell>
          <cell r="S1471" t="str">
            <v xml:space="preserve">111 </v>
          </cell>
          <cell r="T1471" t="str">
            <v>131namminh</v>
          </cell>
        </row>
        <row r="1472">
          <cell r="L1472">
            <v>15900000</v>
          </cell>
          <cell r="S1472" t="str">
            <v xml:space="preserve">111 </v>
          </cell>
          <cell r="T1472" t="str">
            <v>131hais¬n</v>
          </cell>
        </row>
        <row r="1473">
          <cell r="L1473">
            <v>161167000</v>
          </cell>
          <cell r="S1473" t="str">
            <v xml:space="preserve">111 </v>
          </cell>
          <cell r="T1473" t="str">
            <v>131pcuong</v>
          </cell>
        </row>
        <row r="1474">
          <cell r="L1474">
            <v>319000000</v>
          </cell>
          <cell r="S1474" t="str">
            <v xml:space="preserve">111 </v>
          </cell>
          <cell r="T1474" t="str">
            <v>131namminh</v>
          </cell>
        </row>
        <row r="1475">
          <cell r="L1475">
            <v>5200000</v>
          </cell>
          <cell r="S1475" t="str">
            <v xml:space="preserve">111 </v>
          </cell>
          <cell r="T1475" t="str">
            <v>131hphat</v>
          </cell>
        </row>
        <row r="1476">
          <cell r="L1476">
            <v>313760700</v>
          </cell>
          <cell r="S1476" t="str">
            <v xml:space="preserve">111 </v>
          </cell>
          <cell r="T1476" t="str">
            <v>131hais¬n</v>
          </cell>
        </row>
        <row r="1477">
          <cell r="L1477">
            <v>206622900</v>
          </cell>
          <cell r="S1477" t="str">
            <v xml:space="preserve">111 </v>
          </cell>
          <cell r="T1477" t="str">
            <v>131hïng</v>
          </cell>
        </row>
        <row r="1478">
          <cell r="L1478">
            <v>50000000</v>
          </cell>
          <cell r="S1478" t="str">
            <v xml:space="preserve">111 </v>
          </cell>
          <cell r="T1478" t="str">
            <v>131pcuong</v>
          </cell>
        </row>
        <row r="1479">
          <cell r="L1479">
            <v>20000000</v>
          </cell>
          <cell r="S1479" t="str">
            <v xml:space="preserve">111 </v>
          </cell>
          <cell r="T1479" t="str">
            <v>131hs¬n</v>
          </cell>
        </row>
        <row r="1480">
          <cell r="L1480">
            <v>317024400</v>
          </cell>
          <cell r="S1480" t="str">
            <v xml:space="preserve">111 </v>
          </cell>
          <cell r="T1480" t="str">
            <v>131hïng</v>
          </cell>
        </row>
        <row r="1481">
          <cell r="L1481">
            <v>271735200</v>
          </cell>
          <cell r="S1481" t="str">
            <v xml:space="preserve">111 </v>
          </cell>
          <cell r="T1481" t="str">
            <v>131hïng</v>
          </cell>
        </row>
        <row r="1482">
          <cell r="L1482">
            <v>150000000</v>
          </cell>
          <cell r="S1482" t="str">
            <v xml:space="preserve">111 </v>
          </cell>
          <cell r="T1482" t="str">
            <v>131hais¬n</v>
          </cell>
        </row>
        <row r="1483">
          <cell r="L1483">
            <v>66620000</v>
          </cell>
          <cell r="S1483" t="str">
            <v xml:space="preserve">111 </v>
          </cell>
          <cell r="T1483" t="str">
            <v>131vthu</v>
          </cell>
        </row>
        <row r="1484">
          <cell r="L1484">
            <v>35000000</v>
          </cell>
          <cell r="S1484" t="str">
            <v xml:space="preserve">111 </v>
          </cell>
          <cell r="T1484" t="str">
            <v>131h­¬ng</v>
          </cell>
        </row>
        <row r="1485">
          <cell r="L1485">
            <v>66620000</v>
          </cell>
          <cell r="S1485" t="str">
            <v xml:space="preserve">111 </v>
          </cell>
          <cell r="T1485" t="str">
            <v>131vthu</v>
          </cell>
        </row>
        <row r="1486">
          <cell r="L1486">
            <v>10250000</v>
          </cell>
          <cell r="S1486" t="str">
            <v xml:space="preserve">111 </v>
          </cell>
          <cell r="T1486" t="str">
            <v>131vthu</v>
          </cell>
        </row>
        <row r="1487">
          <cell r="L1487">
            <v>166060400</v>
          </cell>
          <cell r="S1487" t="str">
            <v xml:space="preserve">111 </v>
          </cell>
          <cell r="T1487" t="str">
            <v>131hïng</v>
          </cell>
        </row>
        <row r="1488">
          <cell r="L1488">
            <v>80000000</v>
          </cell>
          <cell r="S1488" t="str">
            <v xml:space="preserve">111 </v>
          </cell>
          <cell r="T1488" t="str">
            <v>131anphu</v>
          </cell>
        </row>
        <row r="1489">
          <cell r="L1489">
            <v>50000000</v>
          </cell>
          <cell r="S1489" t="str">
            <v xml:space="preserve">111 </v>
          </cell>
          <cell r="T1489" t="str">
            <v>131pcuong</v>
          </cell>
        </row>
        <row r="1490">
          <cell r="L1490">
            <v>40000000</v>
          </cell>
          <cell r="S1490" t="str">
            <v xml:space="preserve">111 </v>
          </cell>
          <cell r="T1490" t="str">
            <v>131hïng</v>
          </cell>
        </row>
        <row r="1491">
          <cell r="L1491">
            <v>50000000</v>
          </cell>
          <cell r="S1491" t="str">
            <v xml:space="preserve">111 </v>
          </cell>
          <cell r="T1491" t="str">
            <v>131pcuong</v>
          </cell>
        </row>
        <row r="1492">
          <cell r="L1492">
            <v>50000000</v>
          </cell>
          <cell r="S1492" t="str">
            <v xml:space="preserve">111 </v>
          </cell>
          <cell r="T1492" t="str">
            <v>131h­¬ng</v>
          </cell>
        </row>
        <row r="1493">
          <cell r="L1493">
            <v>50000000</v>
          </cell>
          <cell r="S1493" t="str">
            <v xml:space="preserve">111 </v>
          </cell>
          <cell r="T1493" t="str">
            <v>131h­¬ng</v>
          </cell>
        </row>
        <row r="1494">
          <cell r="L1494">
            <v>20000000</v>
          </cell>
          <cell r="S1494" t="str">
            <v xml:space="preserve">111 </v>
          </cell>
          <cell r="T1494" t="str">
            <v>131hs¬n</v>
          </cell>
        </row>
        <row r="1495">
          <cell r="L1495">
            <v>7884000</v>
          </cell>
          <cell r="S1495" t="str">
            <v xml:space="preserve">111 </v>
          </cell>
          <cell r="T1495" t="str">
            <v>131vcb</v>
          </cell>
        </row>
        <row r="1496">
          <cell r="L1496">
            <v>206480000</v>
          </cell>
          <cell r="S1496" t="str">
            <v xml:space="preserve">111 </v>
          </cell>
          <cell r="T1496" t="str">
            <v>131namminh</v>
          </cell>
        </row>
        <row r="1497">
          <cell r="L1497">
            <v>162280000</v>
          </cell>
          <cell r="S1497" t="str">
            <v xml:space="preserve">111 </v>
          </cell>
          <cell r="T1497" t="str">
            <v>131namminh</v>
          </cell>
        </row>
        <row r="1498">
          <cell r="L1498">
            <v>1458333</v>
          </cell>
          <cell r="S1498" t="str">
            <v xml:space="preserve">111 </v>
          </cell>
          <cell r="T1498" t="str">
            <v>131thh­¬ng</v>
          </cell>
        </row>
        <row r="1499">
          <cell r="L1499">
            <v>60000000</v>
          </cell>
          <cell r="S1499" t="str">
            <v xml:space="preserve">111 </v>
          </cell>
          <cell r="T1499" t="str">
            <v>131hïng</v>
          </cell>
        </row>
        <row r="1500">
          <cell r="L1500">
            <v>21461000</v>
          </cell>
          <cell r="S1500" t="str">
            <v xml:space="preserve">111 </v>
          </cell>
          <cell r="T1500" t="str">
            <v>131hïng</v>
          </cell>
        </row>
        <row r="1501">
          <cell r="L1501">
            <v>73000000</v>
          </cell>
          <cell r="S1501" t="str">
            <v xml:space="preserve">111 </v>
          </cell>
          <cell r="T1501" t="str">
            <v>131h­¬ng</v>
          </cell>
        </row>
        <row r="1502">
          <cell r="L1502">
            <v>405720000</v>
          </cell>
          <cell r="S1502" t="str">
            <v xml:space="preserve">111 </v>
          </cell>
          <cell r="T1502" t="str">
            <v>131trungkien</v>
          </cell>
        </row>
        <row r="1503">
          <cell r="L1503">
            <v>25000000</v>
          </cell>
          <cell r="S1503" t="str">
            <v xml:space="preserve">111 </v>
          </cell>
          <cell r="T1503" t="str">
            <v>131hs¬n</v>
          </cell>
        </row>
        <row r="1504">
          <cell r="L1504">
            <v>110000000</v>
          </cell>
          <cell r="S1504" t="str">
            <v xml:space="preserve">111 </v>
          </cell>
          <cell r="T1504" t="str">
            <v>131pcuong</v>
          </cell>
        </row>
        <row r="1505">
          <cell r="L1505">
            <v>3000000</v>
          </cell>
          <cell r="S1505" t="str">
            <v>141dòng</v>
          </cell>
          <cell r="T1505" t="str">
            <v>111</v>
          </cell>
        </row>
        <row r="1506">
          <cell r="L1506">
            <v>917088710</v>
          </cell>
          <cell r="S1506" t="str">
            <v>331bacson</v>
          </cell>
          <cell r="T1506" t="str">
            <v>111</v>
          </cell>
        </row>
        <row r="1507">
          <cell r="L1507">
            <v>800000000</v>
          </cell>
          <cell r="S1507" t="str">
            <v>331tlong</v>
          </cell>
          <cell r="T1507" t="str">
            <v>112cntec</v>
          </cell>
        </row>
        <row r="1508">
          <cell r="L1508">
            <v>3636</v>
          </cell>
          <cell r="S1508" t="str">
            <v>642k</v>
          </cell>
          <cell r="T1508" t="str">
            <v>112cntec</v>
          </cell>
        </row>
        <row r="1509">
          <cell r="L1509">
            <v>364</v>
          </cell>
          <cell r="S1509" t="str">
            <v xml:space="preserve">133 </v>
          </cell>
          <cell r="T1509" t="str">
            <v>112cntec</v>
          </cell>
        </row>
        <row r="1510">
          <cell r="L1510">
            <v>218000</v>
          </cell>
          <cell r="S1510" t="str">
            <v>112cntec</v>
          </cell>
          <cell r="T1510" t="str">
            <v>711cntec</v>
          </cell>
        </row>
        <row r="1511">
          <cell r="L1511">
            <v>300000000</v>
          </cell>
          <cell r="S1511" t="str">
            <v>112ct</v>
          </cell>
          <cell r="T1511" t="str">
            <v>311nk2</v>
          </cell>
        </row>
        <row r="1512">
          <cell r="L1512">
            <v>86212</v>
          </cell>
          <cell r="S1512" t="str">
            <v>112ct</v>
          </cell>
          <cell r="T1512" t="str">
            <v>711ct</v>
          </cell>
        </row>
        <row r="1513">
          <cell r="L1513">
            <v>800000000</v>
          </cell>
          <cell r="S1513" t="str">
            <v>112ct</v>
          </cell>
          <cell r="T1513" t="str">
            <v>311nk2</v>
          </cell>
        </row>
        <row r="1514">
          <cell r="L1514">
            <v>9014250</v>
          </cell>
          <cell r="S1514" t="str">
            <v>3333337</v>
          </cell>
          <cell r="T1514" t="str">
            <v>112ct</v>
          </cell>
        </row>
        <row r="1515">
          <cell r="L1515">
            <v>2000</v>
          </cell>
          <cell r="S1515" t="str">
            <v>642k</v>
          </cell>
          <cell r="T1515" t="str">
            <v>112ct</v>
          </cell>
        </row>
        <row r="1516">
          <cell r="L1516">
            <v>200</v>
          </cell>
          <cell r="S1516" t="str">
            <v xml:space="preserve">133 </v>
          </cell>
          <cell r="T1516" t="str">
            <v>112ct</v>
          </cell>
        </row>
        <row r="1517">
          <cell r="L1517">
            <v>7781760</v>
          </cell>
          <cell r="S1517" t="str">
            <v>3383383</v>
          </cell>
          <cell r="T1517" t="str">
            <v>112ct</v>
          </cell>
        </row>
        <row r="1518">
          <cell r="L1518">
            <v>2000</v>
          </cell>
          <cell r="S1518" t="str">
            <v>642k</v>
          </cell>
          <cell r="T1518" t="str">
            <v>112ct</v>
          </cell>
        </row>
        <row r="1519">
          <cell r="L1519">
            <v>200</v>
          </cell>
          <cell r="S1519" t="str">
            <v xml:space="preserve">133 </v>
          </cell>
          <cell r="T1519" t="str">
            <v>112ct</v>
          </cell>
        </row>
        <row r="1520">
          <cell r="L1520">
            <v>800000000</v>
          </cell>
          <cell r="S1520" t="str">
            <v>331tlong</v>
          </cell>
          <cell r="T1520" t="str">
            <v>112ct</v>
          </cell>
        </row>
        <row r="1521">
          <cell r="L1521">
            <v>2000</v>
          </cell>
          <cell r="S1521" t="str">
            <v>642k</v>
          </cell>
          <cell r="T1521" t="str">
            <v>112ct</v>
          </cell>
        </row>
        <row r="1522">
          <cell r="L1522">
            <v>200</v>
          </cell>
          <cell r="S1522" t="str">
            <v xml:space="preserve">133 </v>
          </cell>
          <cell r="T1522" t="str">
            <v>112ct</v>
          </cell>
        </row>
        <row r="1523">
          <cell r="L1523">
            <v>748967</v>
          </cell>
          <cell r="S1523" t="str">
            <v>112ct</v>
          </cell>
          <cell r="T1523" t="str">
            <v>711ct</v>
          </cell>
        </row>
        <row r="1524">
          <cell r="L1524">
            <v>400000000</v>
          </cell>
          <cell r="S1524" t="str">
            <v>331tlong</v>
          </cell>
          <cell r="T1524" t="str">
            <v>111</v>
          </cell>
        </row>
        <row r="1525">
          <cell r="L1525">
            <v>1300000</v>
          </cell>
          <cell r="S1525" t="str">
            <v>642tk</v>
          </cell>
          <cell r="T1525" t="str">
            <v>111</v>
          </cell>
        </row>
        <row r="1526">
          <cell r="L1526">
            <v>52000</v>
          </cell>
          <cell r="S1526" t="str">
            <v xml:space="preserve">133 </v>
          </cell>
          <cell r="T1526" t="str">
            <v>111</v>
          </cell>
        </row>
        <row r="1527">
          <cell r="L1527">
            <v>200000000</v>
          </cell>
          <cell r="S1527" t="str">
            <v>331tlong</v>
          </cell>
          <cell r="T1527" t="str">
            <v>111</v>
          </cell>
        </row>
        <row r="1528">
          <cell r="L1528">
            <v>360000</v>
          </cell>
          <cell r="S1528" t="str">
            <v>642bv</v>
          </cell>
          <cell r="T1528" t="str">
            <v>111</v>
          </cell>
        </row>
        <row r="1529">
          <cell r="L1529">
            <v>150730</v>
          </cell>
          <cell r="S1529" t="str">
            <v>642vp</v>
          </cell>
          <cell r="T1529" t="str">
            <v>111</v>
          </cell>
        </row>
        <row r="1530">
          <cell r="L1530">
            <v>15070</v>
          </cell>
          <cell r="S1530" t="str">
            <v xml:space="preserve">133 </v>
          </cell>
          <cell r="T1530" t="str">
            <v>111</v>
          </cell>
        </row>
        <row r="1531">
          <cell r="L1531">
            <v>200000000</v>
          </cell>
          <cell r="S1531" t="str">
            <v>331unimex</v>
          </cell>
          <cell r="T1531" t="str">
            <v>111</v>
          </cell>
        </row>
        <row r="1532">
          <cell r="L1532">
            <v>70000000</v>
          </cell>
          <cell r="S1532" t="str">
            <v>141ninh</v>
          </cell>
          <cell r="T1532" t="str">
            <v>111</v>
          </cell>
        </row>
        <row r="1533">
          <cell r="L1533">
            <v>800000000</v>
          </cell>
          <cell r="S1533" t="str">
            <v>112cntec</v>
          </cell>
          <cell r="T1533" t="str">
            <v>111</v>
          </cell>
        </row>
        <row r="1534">
          <cell r="L1534">
            <v>47000000</v>
          </cell>
          <cell r="S1534" t="str">
            <v>331tlong</v>
          </cell>
          <cell r="T1534" t="str">
            <v>111</v>
          </cell>
        </row>
        <row r="1535">
          <cell r="L1535">
            <v>510500</v>
          </cell>
          <cell r="S1535" t="str">
            <v>642vp</v>
          </cell>
          <cell r="T1535" t="str">
            <v>111</v>
          </cell>
        </row>
        <row r="1536">
          <cell r="L1536">
            <v>43600</v>
          </cell>
          <cell r="S1536" t="str">
            <v xml:space="preserve">133 </v>
          </cell>
          <cell r="T1536" t="str">
            <v>111</v>
          </cell>
        </row>
        <row r="1537">
          <cell r="L1537">
            <v>151000</v>
          </cell>
          <cell r="S1537" t="str">
            <v>642tk</v>
          </cell>
          <cell r="T1537" t="str">
            <v>111</v>
          </cell>
        </row>
        <row r="1538">
          <cell r="L1538">
            <v>19818000</v>
          </cell>
          <cell r="S1538" t="str">
            <v xml:space="preserve">211 </v>
          </cell>
          <cell r="T1538" t="str">
            <v>111</v>
          </cell>
        </row>
        <row r="1539">
          <cell r="L1539">
            <v>1981800</v>
          </cell>
          <cell r="S1539" t="str">
            <v xml:space="preserve">133 </v>
          </cell>
          <cell r="T1539" t="str">
            <v>111</v>
          </cell>
        </row>
        <row r="1540">
          <cell r="L1540">
            <v>500000000</v>
          </cell>
          <cell r="S1540" t="str">
            <v>311nk2</v>
          </cell>
          <cell r="T1540" t="str">
            <v>111</v>
          </cell>
        </row>
        <row r="1541">
          <cell r="L1541">
            <v>20000000</v>
          </cell>
          <cell r="S1541" t="str">
            <v>131vcb</v>
          </cell>
          <cell r="T1541" t="str">
            <v>111</v>
          </cell>
        </row>
        <row r="1542">
          <cell r="L1542">
            <v>500000000</v>
          </cell>
          <cell r="S1542" t="str">
            <v>331tlong</v>
          </cell>
          <cell r="T1542" t="str">
            <v>111</v>
          </cell>
        </row>
        <row r="1543">
          <cell r="L1543">
            <v>25210000</v>
          </cell>
          <cell r="S1543" t="str">
            <v>311nk2</v>
          </cell>
          <cell r="T1543" t="str">
            <v>111</v>
          </cell>
        </row>
        <row r="1544">
          <cell r="L1544">
            <v>15717898</v>
          </cell>
          <cell r="S1544" t="str">
            <v>642lai</v>
          </cell>
          <cell r="T1544" t="str">
            <v>111</v>
          </cell>
        </row>
        <row r="1545">
          <cell r="L1545">
            <v>399727</v>
          </cell>
          <cell r="S1545" t="str">
            <v>642®t</v>
          </cell>
          <cell r="T1545" t="str">
            <v>111</v>
          </cell>
        </row>
        <row r="1546">
          <cell r="L1546">
            <v>27673</v>
          </cell>
          <cell r="S1546" t="str">
            <v xml:space="preserve">133 </v>
          </cell>
          <cell r="T1546" t="str">
            <v>111</v>
          </cell>
        </row>
        <row r="1547">
          <cell r="L1547">
            <v>21812000</v>
          </cell>
          <cell r="S1547" t="str">
            <v xml:space="preserve">211 </v>
          </cell>
          <cell r="T1547" t="str">
            <v>111</v>
          </cell>
        </row>
        <row r="1548">
          <cell r="L1548">
            <v>2181200</v>
          </cell>
          <cell r="S1548" t="str">
            <v xml:space="preserve">133 </v>
          </cell>
          <cell r="T1548" t="str">
            <v>111</v>
          </cell>
        </row>
        <row r="1549">
          <cell r="L1549">
            <v>109000000</v>
          </cell>
          <cell r="S1549" t="str">
            <v>131vcb</v>
          </cell>
          <cell r="T1549" t="str">
            <v>111</v>
          </cell>
        </row>
        <row r="1550">
          <cell r="L1550">
            <v>4900000</v>
          </cell>
          <cell r="S1550" t="str">
            <v>641®t</v>
          </cell>
          <cell r="T1550" t="str">
            <v>111</v>
          </cell>
        </row>
        <row r="1551">
          <cell r="L1551">
            <v>44677776</v>
          </cell>
          <cell r="S1551" t="str">
            <v>331unimex</v>
          </cell>
          <cell r="T1551" t="str">
            <v>111</v>
          </cell>
        </row>
        <row r="1552">
          <cell r="L1552">
            <v>1500000</v>
          </cell>
          <cell r="S1552" t="str">
            <v>141l©m</v>
          </cell>
          <cell r="T1552" t="str">
            <v>111</v>
          </cell>
        </row>
        <row r="1553">
          <cell r="L1553">
            <v>200000000</v>
          </cell>
          <cell r="S1553" t="str">
            <v>331tlong</v>
          </cell>
          <cell r="T1553" t="str">
            <v>111</v>
          </cell>
        </row>
        <row r="1554">
          <cell r="L1554">
            <v>7446700</v>
          </cell>
          <cell r="S1554" t="str">
            <v xml:space="preserve">334 </v>
          </cell>
          <cell r="T1554" t="str">
            <v>111</v>
          </cell>
        </row>
        <row r="1555">
          <cell r="L1555">
            <v>900000000</v>
          </cell>
          <cell r="S1555" t="str">
            <v>331tlong</v>
          </cell>
          <cell r="T1555" t="str">
            <v>111</v>
          </cell>
        </row>
        <row r="1556">
          <cell r="L1556">
            <v>100000000</v>
          </cell>
          <cell r="S1556" t="str">
            <v>331tlong</v>
          </cell>
          <cell r="T1556" t="str">
            <v>111</v>
          </cell>
        </row>
        <row r="1557">
          <cell r="L1557">
            <v>8375000</v>
          </cell>
          <cell r="S1557" t="str">
            <v>141dòng</v>
          </cell>
          <cell r="T1557" t="str">
            <v>111</v>
          </cell>
        </row>
        <row r="1558">
          <cell r="L1558">
            <v>300000000</v>
          </cell>
          <cell r="S1558" t="str">
            <v>331tlong</v>
          </cell>
          <cell r="T1558" t="str">
            <v>111</v>
          </cell>
        </row>
        <row r="1559">
          <cell r="L1559">
            <v>800000</v>
          </cell>
          <cell r="S1559" t="str">
            <v>642tk</v>
          </cell>
          <cell r="T1559" t="str">
            <v>111</v>
          </cell>
        </row>
        <row r="1560">
          <cell r="L1560">
            <v>796860</v>
          </cell>
          <cell r="S1560" t="str">
            <v>338qldd</v>
          </cell>
          <cell r="T1560" t="str">
            <v>111</v>
          </cell>
        </row>
        <row r="1561">
          <cell r="L1561">
            <v>500000</v>
          </cell>
          <cell r="S1561" t="str">
            <v>642sc</v>
          </cell>
          <cell r="T1561" t="str">
            <v>111</v>
          </cell>
        </row>
        <row r="1562">
          <cell r="L1562">
            <v>34956000</v>
          </cell>
          <cell r="S1562" t="str">
            <v>642lai</v>
          </cell>
          <cell r="T1562" t="str">
            <v>111</v>
          </cell>
        </row>
        <row r="1563">
          <cell r="L1563">
            <v>700000</v>
          </cell>
          <cell r="S1563" t="str">
            <v>141ninh</v>
          </cell>
          <cell r="T1563" t="str">
            <v>111</v>
          </cell>
        </row>
        <row r="1564">
          <cell r="L1564">
            <v>5717937</v>
          </cell>
          <cell r="S1564" t="str">
            <v>642®t</v>
          </cell>
          <cell r="T1564" t="str">
            <v>111</v>
          </cell>
        </row>
        <row r="1565">
          <cell r="L1565">
            <v>571795</v>
          </cell>
          <cell r="S1565" t="str">
            <v xml:space="preserve">133 </v>
          </cell>
          <cell r="T1565" t="str">
            <v>111</v>
          </cell>
        </row>
        <row r="1566">
          <cell r="L1566">
            <v>119245500</v>
          </cell>
          <cell r="S1566" t="str">
            <v>331tlong</v>
          </cell>
          <cell r="T1566" t="str">
            <v>111</v>
          </cell>
        </row>
        <row r="1567">
          <cell r="L1567">
            <v>300000</v>
          </cell>
          <cell r="S1567" t="str">
            <v>141tþ</v>
          </cell>
          <cell r="T1567" t="str">
            <v>111</v>
          </cell>
        </row>
        <row r="1568">
          <cell r="L1568">
            <v>600000000</v>
          </cell>
          <cell r="S1568" t="str">
            <v>331tlong</v>
          </cell>
          <cell r="T1568" t="str">
            <v>111</v>
          </cell>
        </row>
        <row r="1569">
          <cell r="L1569">
            <v>7776000</v>
          </cell>
          <cell r="S1569" t="str">
            <v>642vp</v>
          </cell>
          <cell r="T1569" t="str">
            <v>111</v>
          </cell>
        </row>
        <row r="1570">
          <cell r="L1570">
            <v>752400</v>
          </cell>
          <cell r="S1570" t="str">
            <v xml:space="preserve">133 </v>
          </cell>
          <cell r="T1570" t="str">
            <v>111</v>
          </cell>
        </row>
        <row r="1571">
          <cell r="L1571">
            <v>221300000</v>
          </cell>
          <cell r="S1571" t="str">
            <v>331t&amp;t</v>
          </cell>
          <cell r="T1571" t="str">
            <v>111</v>
          </cell>
        </row>
        <row r="1572">
          <cell r="L1572">
            <v>200000</v>
          </cell>
          <cell r="S1572" t="str">
            <v>642®t</v>
          </cell>
          <cell r="T1572" t="str">
            <v>111</v>
          </cell>
        </row>
        <row r="1573">
          <cell r="L1573">
            <v>300000</v>
          </cell>
          <cell r="S1573" t="str">
            <v>642®t</v>
          </cell>
          <cell r="T1573" t="str">
            <v>111</v>
          </cell>
        </row>
        <row r="1574">
          <cell r="L1574">
            <v>310000000</v>
          </cell>
          <cell r="S1574" t="str">
            <v>331tlong</v>
          </cell>
          <cell r="T1574" t="str">
            <v>111</v>
          </cell>
        </row>
        <row r="1575">
          <cell r="L1575">
            <v>300000</v>
          </cell>
          <cell r="S1575" t="str">
            <v>141thuû</v>
          </cell>
          <cell r="T1575" t="str">
            <v>111</v>
          </cell>
        </row>
        <row r="1576">
          <cell r="L1576">
            <v>2213610</v>
          </cell>
          <cell r="S1576" t="str">
            <v>642dn</v>
          </cell>
          <cell r="T1576" t="str">
            <v>111</v>
          </cell>
        </row>
        <row r="1577">
          <cell r="L1577">
            <v>221361</v>
          </cell>
          <cell r="S1577" t="str">
            <v xml:space="preserve">133 </v>
          </cell>
          <cell r="T1577" t="str">
            <v>111</v>
          </cell>
        </row>
        <row r="1578">
          <cell r="L1578">
            <v>1693283</v>
          </cell>
          <cell r="S1578" t="str">
            <v>3333332</v>
          </cell>
          <cell r="T1578" t="str">
            <v>111</v>
          </cell>
        </row>
        <row r="1579">
          <cell r="L1579">
            <v>1250000</v>
          </cell>
          <cell r="S1579" t="str">
            <v>141h¹p</v>
          </cell>
          <cell r="T1579" t="str">
            <v>111</v>
          </cell>
        </row>
        <row r="1580">
          <cell r="L1580">
            <v>235000</v>
          </cell>
          <cell r="S1580" t="str">
            <v>642tk</v>
          </cell>
          <cell r="T1580" t="str">
            <v>111</v>
          </cell>
        </row>
        <row r="1581">
          <cell r="L1581">
            <v>300000</v>
          </cell>
          <cell r="S1581" t="str">
            <v>642bv</v>
          </cell>
          <cell r="T1581" t="str">
            <v>111</v>
          </cell>
        </row>
        <row r="1582">
          <cell r="L1582">
            <v>58500</v>
          </cell>
          <cell r="S1582" t="str">
            <v>642dn</v>
          </cell>
          <cell r="T1582" t="str">
            <v>111</v>
          </cell>
        </row>
        <row r="1583">
          <cell r="L1583">
            <v>6498496</v>
          </cell>
          <cell r="S1583" t="str">
            <v xml:space="preserve">334 </v>
          </cell>
          <cell r="T1583" t="str">
            <v>111</v>
          </cell>
        </row>
        <row r="1584">
          <cell r="L1584">
            <v>5184994</v>
          </cell>
          <cell r="S1584" t="str">
            <v>642k</v>
          </cell>
          <cell r="T1584" t="str">
            <v>111</v>
          </cell>
        </row>
        <row r="1585">
          <cell r="L1585">
            <v>400000000</v>
          </cell>
          <cell r="S1585" t="str">
            <v>331tlong</v>
          </cell>
          <cell r="T1585" t="str">
            <v>111</v>
          </cell>
        </row>
        <row r="1586">
          <cell r="L1586">
            <v>1363635</v>
          </cell>
          <cell r="S1586" t="str">
            <v>641kd</v>
          </cell>
          <cell r="T1586" t="str">
            <v>111</v>
          </cell>
        </row>
        <row r="1587">
          <cell r="L1587">
            <v>136365</v>
          </cell>
          <cell r="S1587" t="str">
            <v xml:space="preserve">133 </v>
          </cell>
          <cell r="T1587" t="str">
            <v>111</v>
          </cell>
        </row>
        <row r="1588">
          <cell r="L1588">
            <v>20000000</v>
          </cell>
          <cell r="S1588" t="str">
            <v>331nk5</v>
          </cell>
          <cell r="T1588" t="str">
            <v>111</v>
          </cell>
        </row>
        <row r="1589">
          <cell r="L1589">
            <v>15000000</v>
          </cell>
          <cell r="S1589" t="str">
            <v>331nk5</v>
          </cell>
          <cell r="T1589" t="str">
            <v>111</v>
          </cell>
        </row>
        <row r="1590">
          <cell r="L1590">
            <v>12600000</v>
          </cell>
          <cell r="S1590" t="str">
            <v>642k</v>
          </cell>
          <cell r="T1590" t="str">
            <v>111</v>
          </cell>
        </row>
        <row r="1591">
          <cell r="L1591">
            <v>747510</v>
          </cell>
          <cell r="S1591" t="str">
            <v>3383382</v>
          </cell>
          <cell r="T1591" t="str">
            <v>111</v>
          </cell>
        </row>
        <row r="1592">
          <cell r="L1592">
            <v>56000</v>
          </cell>
          <cell r="S1592" t="str">
            <v>642tk</v>
          </cell>
          <cell r="T1592" t="str">
            <v>111</v>
          </cell>
        </row>
        <row r="1593">
          <cell r="L1593">
            <v>120400</v>
          </cell>
          <cell r="S1593" t="str">
            <v>642vp</v>
          </cell>
          <cell r="T1593" t="str">
            <v>111</v>
          </cell>
        </row>
        <row r="1594">
          <cell r="L1594">
            <v>270940811</v>
          </cell>
          <cell r="S1594" t="str">
            <v>331t&amp;t</v>
          </cell>
          <cell r="T1594" t="str">
            <v>111</v>
          </cell>
        </row>
        <row r="1595">
          <cell r="L1595">
            <v>1033034860</v>
          </cell>
          <cell r="S1595" t="str">
            <v>331t&amp;t</v>
          </cell>
          <cell r="T1595" t="str">
            <v>111</v>
          </cell>
        </row>
        <row r="1596">
          <cell r="L1596">
            <v>4761905</v>
          </cell>
          <cell r="S1596" t="str">
            <v>642ct</v>
          </cell>
          <cell r="T1596" t="str">
            <v>111</v>
          </cell>
        </row>
        <row r="1597">
          <cell r="L1597">
            <v>238095</v>
          </cell>
          <cell r="S1597" t="str">
            <v xml:space="preserve">133 </v>
          </cell>
          <cell r="T1597" t="str">
            <v>111</v>
          </cell>
        </row>
        <row r="1598">
          <cell r="L1598">
            <v>2980040</v>
          </cell>
          <cell r="S1598" t="str">
            <v>642ct</v>
          </cell>
          <cell r="T1598" t="str">
            <v>111</v>
          </cell>
        </row>
        <row r="1599">
          <cell r="L1599">
            <v>133960</v>
          </cell>
          <cell r="S1599" t="str">
            <v xml:space="preserve">133 </v>
          </cell>
          <cell r="T1599" t="str">
            <v>111</v>
          </cell>
        </row>
        <row r="1600">
          <cell r="L1600">
            <v>11083900</v>
          </cell>
          <cell r="S1600" t="str">
            <v>642ct</v>
          </cell>
          <cell r="T1600" t="str">
            <v>111</v>
          </cell>
        </row>
        <row r="1601">
          <cell r="L1601">
            <v>1041490</v>
          </cell>
          <cell r="S1601" t="str">
            <v xml:space="preserve">133 </v>
          </cell>
          <cell r="T1601" t="str">
            <v>111</v>
          </cell>
        </row>
        <row r="1602">
          <cell r="L1602">
            <v>8813818</v>
          </cell>
          <cell r="S1602" t="str">
            <v>642ct</v>
          </cell>
          <cell r="T1602" t="str">
            <v>111</v>
          </cell>
        </row>
        <row r="1603">
          <cell r="L1603">
            <v>143682</v>
          </cell>
          <cell r="S1603" t="str">
            <v xml:space="preserve">133 </v>
          </cell>
          <cell r="T1603" t="str">
            <v>111</v>
          </cell>
        </row>
        <row r="1604">
          <cell r="L1604">
            <v>1355143</v>
          </cell>
          <cell r="S1604" t="str">
            <v>641kd</v>
          </cell>
          <cell r="T1604" t="str">
            <v>111</v>
          </cell>
        </row>
        <row r="1605">
          <cell r="L1605">
            <v>53957</v>
          </cell>
          <cell r="S1605" t="str">
            <v xml:space="preserve">133 </v>
          </cell>
          <cell r="T1605" t="str">
            <v>111</v>
          </cell>
        </row>
        <row r="1606">
          <cell r="L1606">
            <v>5756900</v>
          </cell>
          <cell r="S1606" t="str">
            <v>642tk</v>
          </cell>
          <cell r="T1606" t="str">
            <v>111</v>
          </cell>
        </row>
        <row r="1607">
          <cell r="L1607">
            <v>115100</v>
          </cell>
          <cell r="S1607" t="str">
            <v xml:space="preserve">133 </v>
          </cell>
          <cell r="T1607" t="str">
            <v>111</v>
          </cell>
        </row>
        <row r="1608">
          <cell r="L1608">
            <v>1737376796</v>
          </cell>
          <cell r="S1608" t="str">
            <v>331t&amp;t</v>
          </cell>
          <cell r="T1608" t="str">
            <v>111</v>
          </cell>
        </row>
        <row r="1609">
          <cell r="L1609">
            <v>2331280</v>
          </cell>
          <cell r="S1609" t="str">
            <v xml:space="preserve">334 </v>
          </cell>
          <cell r="T1609" t="str">
            <v>111</v>
          </cell>
        </row>
        <row r="1610">
          <cell r="L1610">
            <v>8998390</v>
          </cell>
          <cell r="S1610" t="str">
            <v xml:space="preserve">334 </v>
          </cell>
          <cell r="T1610" t="str">
            <v>111</v>
          </cell>
        </row>
        <row r="1611">
          <cell r="L1611">
            <v>18613420</v>
          </cell>
          <cell r="S1611" t="str">
            <v xml:space="preserve">334 </v>
          </cell>
          <cell r="T1611" t="str">
            <v>111</v>
          </cell>
        </row>
        <row r="1612">
          <cell r="L1612">
            <v>32858700</v>
          </cell>
          <cell r="S1612" t="str">
            <v xml:space="preserve">334 </v>
          </cell>
          <cell r="T1612" t="str">
            <v>111</v>
          </cell>
        </row>
        <row r="1613">
          <cell r="L1613">
            <v>1300000</v>
          </cell>
          <cell r="S1613" t="str">
            <v xml:space="preserve">334 </v>
          </cell>
          <cell r="T1613" t="str">
            <v>111</v>
          </cell>
        </row>
        <row r="1614">
          <cell r="L1614">
            <v>70000000</v>
          </cell>
          <cell r="S1614" t="str">
            <v xml:space="preserve">111 </v>
          </cell>
          <cell r="T1614" t="str">
            <v>131pcuong</v>
          </cell>
        </row>
        <row r="1615">
          <cell r="L1615">
            <v>12000000</v>
          </cell>
          <cell r="S1615" t="str">
            <v xml:space="preserve">111 </v>
          </cell>
          <cell r="T1615" t="str">
            <v>131tanphat</v>
          </cell>
        </row>
        <row r="1616">
          <cell r="L1616">
            <v>195000000</v>
          </cell>
          <cell r="S1616" t="str">
            <v xml:space="preserve">111 </v>
          </cell>
          <cell r="T1616" t="str">
            <v>311tiõn</v>
          </cell>
        </row>
        <row r="1617">
          <cell r="L1617">
            <v>65000000</v>
          </cell>
          <cell r="S1617" t="str">
            <v xml:space="preserve">111 </v>
          </cell>
          <cell r="T1617" t="str">
            <v>131vthu</v>
          </cell>
        </row>
        <row r="1618">
          <cell r="L1618">
            <v>170000000</v>
          </cell>
          <cell r="S1618" t="str">
            <v xml:space="preserve">111 </v>
          </cell>
          <cell r="T1618" t="str">
            <v>131trungkien</v>
          </cell>
        </row>
        <row r="1619">
          <cell r="L1619">
            <v>180000000</v>
          </cell>
          <cell r="S1619" t="str">
            <v xml:space="preserve">111 </v>
          </cell>
          <cell r="T1619" t="str">
            <v>131pcuong</v>
          </cell>
        </row>
        <row r="1620">
          <cell r="L1620">
            <v>61110000</v>
          </cell>
          <cell r="S1620" t="str">
            <v xml:space="preserve">111 </v>
          </cell>
          <cell r="T1620" t="str">
            <v>131vcb</v>
          </cell>
        </row>
        <row r="1621">
          <cell r="L1621">
            <v>147682000</v>
          </cell>
          <cell r="S1621" t="str">
            <v xml:space="preserve">111 </v>
          </cell>
          <cell r="T1621" t="str">
            <v>131hais¬n</v>
          </cell>
        </row>
        <row r="1622">
          <cell r="L1622">
            <v>518183</v>
          </cell>
          <cell r="S1622" t="str">
            <v xml:space="preserve">111 </v>
          </cell>
          <cell r="T1622" t="str">
            <v>511ks</v>
          </cell>
        </row>
        <row r="1623">
          <cell r="L1623">
            <v>51817</v>
          </cell>
          <cell r="S1623" t="str">
            <v xml:space="preserve">111 </v>
          </cell>
          <cell r="T1623" t="str">
            <v>3333331</v>
          </cell>
        </row>
        <row r="1624">
          <cell r="L1624">
            <v>405720000</v>
          </cell>
          <cell r="S1624" t="str">
            <v xml:space="preserve">111 </v>
          </cell>
          <cell r="T1624" t="str">
            <v>131namminh</v>
          </cell>
        </row>
        <row r="1625">
          <cell r="L1625">
            <v>39965000</v>
          </cell>
          <cell r="S1625" t="str">
            <v xml:space="preserve">111 </v>
          </cell>
          <cell r="T1625" t="str">
            <v>131vthu</v>
          </cell>
        </row>
        <row r="1626">
          <cell r="L1626">
            <v>270455</v>
          </cell>
          <cell r="S1626" t="str">
            <v xml:space="preserve">111 </v>
          </cell>
          <cell r="T1626" t="str">
            <v>511ks</v>
          </cell>
        </row>
        <row r="1627">
          <cell r="L1627">
            <v>27045</v>
          </cell>
          <cell r="S1627" t="str">
            <v xml:space="preserve">111 </v>
          </cell>
          <cell r="T1627" t="str">
            <v>3333331</v>
          </cell>
        </row>
        <row r="1628">
          <cell r="L1628">
            <v>13000000</v>
          </cell>
          <cell r="S1628" t="str">
            <v xml:space="preserve">111 </v>
          </cell>
          <cell r="T1628" t="str">
            <v>131anphu</v>
          </cell>
        </row>
        <row r="1629">
          <cell r="L1629">
            <v>203700000</v>
          </cell>
          <cell r="S1629" t="str">
            <v xml:space="preserve">111 </v>
          </cell>
          <cell r="T1629" t="str">
            <v>131hais¬n</v>
          </cell>
        </row>
        <row r="1630">
          <cell r="L1630">
            <v>12000000</v>
          </cell>
          <cell r="S1630" t="str">
            <v xml:space="preserve">111 </v>
          </cell>
          <cell r="T1630" t="str">
            <v>131tanphat</v>
          </cell>
        </row>
        <row r="1631">
          <cell r="L1631">
            <v>30000000</v>
          </cell>
          <cell r="S1631" t="str">
            <v xml:space="preserve">111 </v>
          </cell>
          <cell r="T1631" t="str">
            <v>131hïng</v>
          </cell>
        </row>
        <row r="1632">
          <cell r="L1632">
            <v>200000000</v>
          </cell>
          <cell r="S1632" t="str">
            <v xml:space="preserve">111 </v>
          </cell>
          <cell r="T1632" t="str">
            <v>131trungkien</v>
          </cell>
        </row>
        <row r="1633">
          <cell r="L1633">
            <v>139000000</v>
          </cell>
          <cell r="S1633" t="str">
            <v xml:space="preserve">111 </v>
          </cell>
          <cell r="T1633" t="str">
            <v>131vcb</v>
          </cell>
        </row>
        <row r="1634">
          <cell r="L1634">
            <v>336364</v>
          </cell>
          <cell r="S1634" t="str">
            <v xml:space="preserve">111 </v>
          </cell>
          <cell r="T1634" t="str">
            <v>511ks</v>
          </cell>
        </row>
        <row r="1635">
          <cell r="L1635">
            <v>33636</v>
          </cell>
          <cell r="S1635" t="str">
            <v xml:space="preserve">111 </v>
          </cell>
          <cell r="T1635" t="str">
            <v>3333331</v>
          </cell>
        </row>
        <row r="1636">
          <cell r="L1636">
            <v>88755000</v>
          </cell>
          <cell r="S1636" t="str">
            <v xml:space="preserve">111 </v>
          </cell>
          <cell r="T1636" t="str">
            <v>131binh</v>
          </cell>
        </row>
        <row r="1637">
          <cell r="L1637">
            <v>272728</v>
          </cell>
          <cell r="S1637" t="str">
            <v xml:space="preserve">111 </v>
          </cell>
          <cell r="T1637" t="str">
            <v>511ks</v>
          </cell>
        </row>
        <row r="1638">
          <cell r="L1638">
            <v>27272</v>
          </cell>
          <cell r="S1638" t="str">
            <v xml:space="preserve">111 </v>
          </cell>
          <cell r="T1638" t="str">
            <v>3333331</v>
          </cell>
        </row>
        <row r="1639">
          <cell r="L1639">
            <v>30000000</v>
          </cell>
          <cell r="S1639" t="str">
            <v xml:space="preserve">111 </v>
          </cell>
          <cell r="T1639" t="str">
            <v>131hs¬n</v>
          </cell>
        </row>
        <row r="1640">
          <cell r="L1640">
            <v>92500000</v>
          </cell>
          <cell r="S1640" t="str">
            <v xml:space="preserve">111 </v>
          </cell>
          <cell r="T1640" t="str">
            <v>131pcuong</v>
          </cell>
        </row>
        <row r="1641">
          <cell r="L1641">
            <v>400000000</v>
          </cell>
          <cell r="S1641" t="str">
            <v xml:space="preserve">111 </v>
          </cell>
          <cell r="T1641" t="str">
            <v>131trungkien</v>
          </cell>
        </row>
        <row r="1642">
          <cell r="L1642">
            <v>8766000</v>
          </cell>
          <cell r="S1642" t="str">
            <v xml:space="preserve">111 </v>
          </cell>
          <cell r="T1642" t="str">
            <v>131binh</v>
          </cell>
        </row>
        <row r="1643">
          <cell r="L1643">
            <v>40000000</v>
          </cell>
          <cell r="S1643" t="str">
            <v xml:space="preserve">111 </v>
          </cell>
          <cell r="T1643" t="str">
            <v>131hïng</v>
          </cell>
        </row>
        <row r="1644">
          <cell r="L1644">
            <v>18000000</v>
          </cell>
          <cell r="S1644" t="str">
            <v xml:space="preserve">111 </v>
          </cell>
          <cell r="T1644" t="str">
            <v>131hais¬n</v>
          </cell>
        </row>
        <row r="1645">
          <cell r="L1645">
            <v>15000000</v>
          </cell>
          <cell r="S1645" t="str">
            <v xml:space="preserve">111 </v>
          </cell>
          <cell r="T1645" t="str">
            <v>131tanphat</v>
          </cell>
        </row>
        <row r="1646">
          <cell r="L1646">
            <v>150000000</v>
          </cell>
          <cell r="S1646" t="str">
            <v xml:space="preserve">111 </v>
          </cell>
          <cell r="T1646" t="str">
            <v>131trungkien</v>
          </cell>
        </row>
        <row r="1647">
          <cell r="L1647">
            <v>36180000</v>
          </cell>
          <cell r="S1647" t="str">
            <v xml:space="preserve">111 </v>
          </cell>
          <cell r="T1647" t="str">
            <v>131h­¬ng</v>
          </cell>
        </row>
        <row r="1648">
          <cell r="L1648">
            <v>154460000</v>
          </cell>
          <cell r="S1648" t="str">
            <v xml:space="preserve">111 </v>
          </cell>
          <cell r="T1648" t="str">
            <v>131h­¬ng</v>
          </cell>
        </row>
        <row r="1649">
          <cell r="L1649">
            <v>30000000</v>
          </cell>
          <cell r="S1649" t="str">
            <v xml:space="preserve">111 </v>
          </cell>
          <cell r="T1649" t="str">
            <v>131hïng</v>
          </cell>
        </row>
        <row r="1650">
          <cell r="L1650">
            <v>10000000</v>
          </cell>
          <cell r="S1650" t="str">
            <v xml:space="preserve">111 </v>
          </cell>
          <cell r="T1650" t="str">
            <v>131hïng</v>
          </cell>
        </row>
        <row r="1651">
          <cell r="L1651">
            <v>45000000</v>
          </cell>
          <cell r="S1651" t="str">
            <v xml:space="preserve">111 </v>
          </cell>
          <cell r="T1651" t="str">
            <v>131hïng</v>
          </cell>
        </row>
        <row r="1652">
          <cell r="L1652">
            <v>87000000</v>
          </cell>
          <cell r="S1652" t="str">
            <v xml:space="preserve">111 </v>
          </cell>
          <cell r="T1652" t="str">
            <v>131tthu</v>
          </cell>
        </row>
        <row r="1653">
          <cell r="L1653">
            <v>181818</v>
          </cell>
          <cell r="S1653" t="str">
            <v xml:space="preserve">111 </v>
          </cell>
          <cell r="T1653" t="str">
            <v>511ks</v>
          </cell>
        </row>
        <row r="1654">
          <cell r="L1654">
            <v>18182</v>
          </cell>
          <cell r="S1654" t="str">
            <v xml:space="preserve">111 </v>
          </cell>
          <cell r="T1654" t="str">
            <v>3333331</v>
          </cell>
        </row>
        <row r="1655">
          <cell r="L1655">
            <v>44148000</v>
          </cell>
          <cell r="S1655" t="str">
            <v xml:space="preserve">111 </v>
          </cell>
          <cell r="T1655" t="str">
            <v>141thuû</v>
          </cell>
        </row>
        <row r="1656">
          <cell r="L1656">
            <v>900000000</v>
          </cell>
          <cell r="S1656" t="str">
            <v xml:space="preserve">111 </v>
          </cell>
          <cell r="T1656" t="str">
            <v>311nk2</v>
          </cell>
        </row>
        <row r="1657">
          <cell r="L1657">
            <v>72500000</v>
          </cell>
          <cell r="S1657" t="str">
            <v xml:space="preserve">111 </v>
          </cell>
          <cell r="T1657" t="str">
            <v>131tanphat</v>
          </cell>
        </row>
        <row r="1658">
          <cell r="L1658">
            <v>220000000</v>
          </cell>
          <cell r="S1658" t="str">
            <v xml:space="preserve">111 </v>
          </cell>
          <cell r="T1658" t="str">
            <v>131pcuong</v>
          </cell>
        </row>
        <row r="1659">
          <cell r="L1659">
            <v>24650000</v>
          </cell>
          <cell r="S1659" t="str">
            <v xml:space="preserve">111 </v>
          </cell>
          <cell r="T1659" t="str">
            <v>131tanphat</v>
          </cell>
        </row>
        <row r="1660">
          <cell r="L1660">
            <v>39000000</v>
          </cell>
          <cell r="S1660" t="str">
            <v xml:space="preserve">111 </v>
          </cell>
          <cell r="T1660" t="str">
            <v>131hais¬n</v>
          </cell>
        </row>
        <row r="1661">
          <cell r="L1661">
            <v>15320000</v>
          </cell>
          <cell r="S1661" t="str">
            <v xml:space="preserve">111 </v>
          </cell>
          <cell r="T1661" t="str">
            <v>131hïng</v>
          </cell>
        </row>
        <row r="1662">
          <cell r="L1662">
            <v>5000000</v>
          </cell>
          <cell r="S1662" t="str">
            <v xml:space="preserve">111 </v>
          </cell>
          <cell r="T1662" t="str">
            <v>131hais¬n</v>
          </cell>
        </row>
        <row r="1663">
          <cell r="L1663">
            <v>300000000</v>
          </cell>
          <cell r="S1663" t="str">
            <v xml:space="preserve">111 </v>
          </cell>
          <cell r="T1663" t="str">
            <v>112ct</v>
          </cell>
        </row>
        <row r="1664">
          <cell r="L1664">
            <v>200000</v>
          </cell>
          <cell r="S1664" t="str">
            <v xml:space="preserve">111 </v>
          </cell>
          <cell r="T1664" t="str">
            <v>511ks</v>
          </cell>
        </row>
        <row r="1665">
          <cell r="L1665">
            <v>20000</v>
          </cell>
          <cell r="S1665" t="str">
            <v xml:space="preserve">111 </v>
          </cell>
          <cell r="T1665" t="str">
            <v>3333331</v>
          </cell>
        </row>
        <row r="1666">
          <cell r="L1666">
            <v>205155000</v>
          </cell>
          <cell r="S1666" t="str">
            <v xml:space="preserve">111 </v>
          </cell>
          <cell r="T1666" t="str">
            <v>131hais¬n</v>
          </cell>
        </row>
        <row r="1667">
          <cell r="L1667">
            <v>12000000</v>
          </cell>
          <cell r="S1667" t="str">
            <v xml:space="preserve">111 </v>
          </cell>
          <cell r="T1667" t="str">
            <v>131hs¬n</v>
          </cell>
        </row>
        <row r="1668">
          <cell r="L1668">
            <v>1749542</v>
          </cell>
          <cell r="S1668" t="str">
            <v xml:space="preserve">111 </v>
          </cell>
          <cell r="T1668" t="str">
            <v>141tþ</v>
          </cell>
        </row>
        <row r="1669">
          <cell r="L1669">
            <v>800000</v>
          </cell>
          <cell r="S1669" t="str">
            <v xml:space="preserve">111 </v>
          </cell>
          <cell r="T1669" t="str">
            <v>141huyks</v>
          </cell>
        </row>
        <row r="1670">
          <cell r="L1670">
            <v>40000000</v>
          </cell>
          <cell r="S1670" t="str">
            <v xml:space="preserve">111 </v>
          </cell>
          <cell r="T1670" t="str">
            <v>131namminh</v>
          </cell>
        </row>
        <row r="1671">
          <cell r="L1671">
            <v>25000000</v>
          </cell>
          <cell r="S1671" t="str">
            <v xml:space="preserve">111 </v>
          </cell>
          <cell r="T1671" t="str">
            <v>131hïng</v>
          </cell>
        </row>
        <row r="1672">
          <cell r="L1672">
            <v>529776</v>
          </cell>
          <cell r="S1672" t="str">
            <v xml:space="preserve">111 </v>
          </cell>
          <cell r="T1672" t="str">
            <v>141thuû</v>
          </cell>
        </row>
        <row r="1673">
          <cell r="L1673">
            <v>163298</v>
          </cell>
          <cell r="S1673" t="str">
            <v xml:space="preserve">111 </v>
          </cell>
          <cell r="T1673" t="str">
            <v>141tþ</v>
          </cell>
        </row>
        <row r="1674">
          <cell r="L1674">
            <v>100000000</v>
          </cell>
          <cell r="S1674" t="str">
            <v xml:space="preserve">111 </v>
          </cell>
          <cell r="T1674" t="str">
            <v>131hs¬n</v>
          </cell>
        </row>
        <row r="1675">
          <cell r="L1675">
            <v>318182</v>
          </cell>
          <cell r="S1675" t="str">
            <v xml:space="preserve">111 </v>
          </cell>
          <cell r="T1675" t="str">
            <v>511ks</v>
          </cell>
        </row>
        <row r="1676">
          <cell r="L1676">
            <v>31818</v>
          </cell>
          <cell r="S1676" t="str">
            <v xml:space="preserve">111 </v>
          </cell>
          <cell r="T1676" t="str">
            <v>3333331</v>
          </cell>
        </row>
        <row r="1677">
          <cell r="L1677">
            <v>119740500</v>
          </cell>
          <cell r="S1677" t="str">
            <v xml:space="preserve">111 </v>
          </cell>
          <cell r="T1677" t="str">
            <v>131hïng</v>
          </cell>
        </row>
        <row r="1678">
          <cell r="L1678">
            <v>27540</v>
          </cell>
          <cell r="S1678" t="str">
            <v xml:space="preserve">111 </v>
          </cell>
          <cell r="T1678" t="str">
            <v>3383382</v>
          </cell>
        </row>
        <row r="1679">
          <cell r="L1679">
            <v>275400</v>
          </cell>
          <cell r="S1679" t="str">
            <v xml:space="preserve">111 </v>
          </cell>
          <cell r="T1679" t="str">
            <v>3383383</v>
          </cell>
        </row>
        <row r="1680">
          <cell r="L1680">
            <v>41310</v>
          </cell>
          <cell r="S1680" t="str">
            <v xml:space="preserve">111 </v>
          </cell>
          <cell r="T1680" t="str">
            <v>3383384</v>
          </cell>
        </row>
        <row r="1681">
          <cell r="L1681">
            <v>80000000</v>
          </cell>
          <cell r="S1681" t="str">
            <v xml:space="preserve">111 </v>
          </cell>
          <cell r="T1681" t="str">
            <v>131h­¬ng</v>
          </cell>
        </row>
        <row r="1682">
          <cell r="L1682">
            <v>245455</v>
          </cell>
          <cell r="S1682" t="str">
            <v xml:space="preserve">111 </v>
          </cell>
          <cell r="T1682" t="str">
            <v>511ks</v>
          </cell>
        </row>
        <row r="1683">
          <cell r="L1683">
            <v>24545</v>
          </cell>
          <cell r="S1683" t="str">
            <v xml:space="preserve">111 </v>
          </cell>
          <cell r="T1683" t="str">
            <v>3333331</v>
          </cell>
        </row>
        <row r="1684">
          <cell r="L1684">
            <v>100000000</v>
          </cell>
          <cell r="S1684" t="str">
            <v xml:space="preserve">111 </v>
          </cell>
          <cell r="T1684" t="str">
            <v>311ninh</v>
          </cell>
        </row>
        <row r="1685">
          <cell r="L1685">
            <v>62100000</v>
          </cell>
          <cell r="S1685" t="str">
            <v xml:space="preserve">111 </v>
          </cell>
          <cell r="T1685" t="str">
            <v>131hs¬n</v>
          </cell>
        </row>
        <row r="1686">
          <cell r="L1686">
            <v>40000000</v>
          </cell>
          <cell r="S1686" t="str">
            <v xml:space="preserve">111 </v>
          </cell>
          <cell r="T1686" t="str">
            <v>131hïng</v>
          </cell>
        </row>
        <row r="1687">
          <cell r="L1687">
            <v>159200000</v>
          </cell>
          <cell r="S1687" t="str">
            <v xml:space="preserve">111 </v>
          </cell>
          <cell r="T1687" t="str">
            <v>131hs¬n</v>
          </cell>
        </row>
        <row r="1688">
          <cell r="L1688">
            <v>8500000</v>
          </cell>
          <cell r="S1688" t="str">
            <v xml:space="preserve">111 </v>
          </cell>
          <cell r="T1688" t="str">
            <v>131binh</v>
          </cell>
        </row>
        <row r="1689">
          <cell r="L1689">
            <v>18500000</v>
          </cell>
          <cell r="S1689" t="str">
            <v xml:space="preserve">111 </v>
          </cell>
          <cell r="T1689" t="str">
            <v>131h­¬ng</v>
          </cell>
        </row>
        <row r="1690">
          <cell r="L1690">
            <v>336339</v>
          </cell>
          <cell r="S1690" t="str">
            <v xml:space="preserve">111 </v>
          </cell>
          <cell r="T1690" t="str">
            <v>511ks</v>
          </cell>
        </row>
        <row r="1691">
          <cell r="L1691">
            <v>33661</v>
          </cell>
          <cell r="S1691" t="str">
            <v xml:space="preserve">111 </v>
          </cell>
          <cell r="T1691" t="str">
            <v>3333331</v>
          </cell>
        </row>
        <row r="1692">
          <cell r="L1692">
            <v>120000000</v>
          </cell>
          <cell r="S1692" t="str">
            <v xml:space="preserve">111 </v>
          </cell>
          <cell r="T1692" t="str">
            <v>131trungkien</v>
          </cell>
        </row>
        <row r="1693">
          <cell r="L1693">
            <v>7600000</v>
          </cell>
          <cell r="S1693" t="str">
            <v xml:space="preserve">111 </v>
          </cell>
          <cell r="T1693" t="str">
            <v>141dòng</v>
          </cell>
        </row>
        <row r="1694">
          <cell r="L1694">
            <v>576818</v>
          </cell>
          <cell r="S1694" t="str">
            <v xml:space="preserve">111 </v>
          </cell>
          <cell r="T1694" t="str">
            <v>511ks</v>
          </cell>
        </row>
        <row r="1695">
          <cell r="L1695">
            <v>57682</v>
          </cell>
          <cell r="S1695" t="str">
            <v xml:space="preserve">111 </v>
          </cell>
          <cell r="T1695" t="str">
            <v>3333331</v>
          </cell>
        </row>
        <row r="1696">
          <cell r="L1696">
            <v>60000000</v>
          </cell>
          <cell r="S1696" t="str">
            <v xml:space="preserve">111 </v>
          </cell>
          <cell r="T1696" t="str">
            <v>131hs¬n</v>
          </cell>
        </row>
        <row r="1697">
          <cell r="L1697">
            <v>40000000</v>
          </cell>
          <cell r="S1697" t="str">
            <v xml:space="preserve">111 </v>
          </cell>
          <cell r="T1697" t="str">
            <v>131hïng</v>
          </cell>
        </row>
        <row r="1698">
          <cell r="L1698">
            <v>313636</v>
          </cell>
          <cell r="S1698" t="str">
            <v xml:space="preserve">111 </v>
          </cell>
          <cell r="T1698" t="str">
            <v>511ks</v>
          </cell>
        </row>
        <row r="1699">
          <cell r="L1699">
            <v>31364</v>
          </cell>
          <cell r="S1699" t="str">
            <v xml:space="preserve">111 </v>
          </cell>
          <cell r="T1699" t="str">
            <v>3333331</v>
          </cell>
        </row>
        <row r="1700">
          <cell r="L1700">
            <v>1693283</v>
          </cell>
          <cell r="S1700" t="str">
            <v xml:space="preserve">111 </v>
          </cell>
          <cell r="T1700" t="str">
            <v>131thh­¬ng</v>
          </cell>
        </row>
        <row r="1701">
          <cell r="L1701">
            <v>538000</v>
          </cell>
          <cell r="S1701" t="str">
            <v xml:space="preserve">111 </v>
          </cell>
          <cell r="T1701" t="str">
            <v>141h¹p</v>
          </cell>
        </row>
        <row r="1702">
          <cell r="L1702">
            <v>7776000</v>
          </cell>
          <cell r="S1702" t="str">
            <v xml:space="preserve">111 </v>
          </cell>
          <cell r="T1702" t="str">
            <v>141dòng</v>
          </cell>
        </row>
        <row r="1703">
          <cell r="L1703">
            <v>89560</v>
          </cell>
          <cell r="S1703" t="str">
            <v xml:space="preserve">111 </v>
          </cell>
          <cell r="T1703" t="str">
            <v>141tþ</v>
          </cell>
        </row>
        <row r="1704">
          <cell r="L1704">
            <v>1100000</v>
          </cell>
          <cell r="S1704" t="str">
            <v xml:space="preserve">111 </v>
          </cell>
          <cell r="T1704" t="str">
            <v>511ks</v>
          </cell>
        </row>
        <row r="1705">
          <cell r="L1705">
            <v>110000</v>
          </cell>
          <cell r="S1705" t="str">
            <v xml:space="preserve">111 </v>
          </cell>
          <cell r="T1705" t="str">
            <v>3333331</v>
          </cell>
        </row>
        <row r="1706">
          <cell r="L1706">
            <v>218182</v>
          </cell>
          <cell r="S1706" t="str">
            <v xml:space="preserve">111 </v>
          </cell>
          <cell r="T1706" t="str">
            <v>511ks</v>
          </cell>
        </row>
        <row r="1707">
          <cell r="L1707">
            <v>21818</v>
          </cell>
          <cell r="S1707" t="str">
            <v xml:space="preserve">111 </v>
          </cell>
          <cell r="T1707" t="str">
            <v>3333331</v>
          </cell>
        </row>
        <row r="1708">
          <cell r="L1708">
            <v>111500000</v>
          </cell>
          <cell r="S1708" t="str">
            <v xml:space="preserve">111 </v>
          </cell>
          <cell r="T1708" t="str">
            <v>131namminh</v>
          </cell>
        </row>
        <row r="1709">
          <cell r="L1709">
            <v>40000000</v>
          </cell>
          <cell r="S1709" t="str">
            <v xml:space="preserve">111 </v>
          </cell>
          <cell r="T1709" t="str">
            <v>131hïng</v>
          </cell>
        </row>
        <row r="1710">
          <cell r="L1710">
            <v>381818</v>
          </cell>
          <cell r="S1710" t="str">
            <v xml:space="preserve">111 </v>
          </cell>
          <cell r="T1710" t="str">
            <v>511ks</v>
          </cell>
        </row>
        <row r="1711">
          <cell r="L1711">
            <v>38182</v>
          </cell>
          <cell r="S1711" t="str">
            <v xml:space="preserve">111 </v>
          </cell>
          <cell r="T1711" t="str">
            <v>3333331</v>
          </cell>
        </row>
        <row r="1712">
          <cell r="L1712">
            <v>134000000</v>
          </cell>
          <cell r="S1712" t="str">
            <v xml:space="preserve">111 </v>
          </cell>
          <cell r="T1712" t="str">
            <v>131hïng</v>
          </cell>
        </row>
        <row r="1713">
          <cell r="L1713">
            <v>92334000</v>
          </cell>
          <cell r="S1713" t="str">
            <v xml:space="preserve">111 </v>
          </cell>
          <cell r="T1713" t="str">
            <v>131tanh</v>
          </cell>
        </row>
        <row r="1714">
          <cell r="L1714">
            <v>67666000</v>
          </cell>
          <cell r="S1714" t="str">
            <v xml:space="preserve">111 </v>
          </cell>
          <cell r="T1714" t="str">
            <v>131tanphat</v>
          </cell>
        </row>
        <row r="1715">
          <cell r="L1715">
            <v>50000000</v>
          </cell>
          <cell r="S1715" t="str">
            <v xml:space="preserve">111 </v>
          </cell>
          <cell r="T1715" t="str">
            <v>131hasa</v>
          </cell>
        </row>
        <row r="1716">
          <cell r="L1716">
            <v>218182</v>
          </cell>
          <cell r="S1716" t="str">
            <v xml:space="preserve">111 </v>
          </cell>
          <cell r="T1716" t="str">
            <v>511ks</v>
          </cell>
        </row>
        <row r="1717">
          <cell r="L1717">
            <v>21818</v>
          </cell>
          <cell r="S1717" t="str">
            <v xml:space="preserve">111 </v>
          </cell>
          <cell r="T1717" t="str">
            <v>3333331</v>
          </cell>
        </row>
        <row r="1718">
          <cell r="L1718">
            <v>284000</v>
          </cell>
          <cell r="S1718" t="str">
            <v xml:space="preserve">111 </v>
          </cell>
          <cell r="T1718" t="str">
            <v>141dòng</v>
          </cell>
        </row>
        <row r="1719">
          <cell r="L1719">
            <v>40000000</v>
          </cell>
          <cell r="S1719" t="str">
            <v xml:space="preserve">111 </v>
          </cell>
          <cell r="T1719" t="str">
            <v>131hs¬n</v>
          </cell>
        </row>
        <row r="1720">
          <cell r="L1720">
            <v>667975671</v>
          </cell>
          <cell r="S1720" t="str">
            <v xml:space="preserve">111 </v>
          </cell>
          <cell r="T1720" t="str">
            <v>141dòngkt</v>
          </cell>
        </row>
        <row r="1721">
          <cell r="L1721">
            <v>636000000</v>
          </cell>
          <cell r="S1721" t="str">
            <v xml:space="preserve">111 </v>
          </cell>
          <cell r="T1721" t="str">
            <v>141chung</v>
          </cell>
        </row>
        <row r="1722">
          <cell r="L1722">
            <v>104300000</v>
          </cell>
          <cell r="S1722" t="str">
            <v xml:space="preserve">111 </v>
          </cell>
          <cell r="T1722" t="str">
            <v>131trungkien</v>
          </cell>
        </row>
        <row r="1723">
          <cell r="L1723">
            <v>7454545</v>
          </cell>
          <cell r="S1723" t="str">
            <v xml:space="preserve">111 </v>
          </cell>
          <cell r="T1723" t="str">
            <v>511ch</v>
          </cell>
        </row>
        <row r="1724">
          <cell r="L1724">
            <v>745455</v>
          </cell>
          <cell r="S1724" t="str">
            <v xml:space="preserve">111 </v>
          </cell>
          <cell r="T1724" t="str">
            <v>3333331</v>
          </cell>
        </row>
        <row r="1725">
          <cell r="L1725">
            <v>245455</v>
          </cell>
          <cell r="S1725" t="str">
            <v xml:space="preserve">111 </v>
          </cell>
          <cell r="T1725" t="str">
            <v>511ks</v>
          </cell>
        </row>
        <row r="1726">
          <cell r="L1726">
            <v>24545</v>
          </cell>
          <cell r="S1726" t="str">
            <v xml:space="preserve">111 </v>
          </cell>
          <cell r="T1726" t="str">
            <v>3333331</v>
          </cell>
        </row>
        <row r="1727">
          <cell r="L1727">
            <v>41500000</v>
          </cell>
          <cell r="S1727" t="str">
            <v xml:space="preserve">111 </v>
          </cell>
          <cell r="T1727" t="str">
            <v>131h­¬ng</v>
          </cell>
        </row>
        <row r="1728">
          <cell r="L1728">
            <v>7000000</v>
          </cell>
          <cell r="S1728" t="str">
            <v xml:space="preserve">111 </v>
          </cell>
          <cell r="T1728" t="str">
            <v>131hïng</v>
          </cell>
        </row>
        <row r="1729">
          <cell r="L1729">
            <v>67000000</v>
          </cell>
          <cell r="S1729" t="str">
            <v xml:space="preserve">111 </v>
          </cell>
          <cell r="T1729" t="str">
            <v>131vthu</v>
          </cell>
        </row>
        <row r="1730">
          <cell r="L1730">
            <v>1737376796</v>
          </cell>
          <cell r="S1730" t="str">
            <v xml:space="preserve">111 </v>
          </cell>
          <cell r="T1730" t="str">
            <v>141dòngkt</v>
          </cell>
        </row>
        <row r="1731">
          <cell r="L1731">
            <v>8000</v>
          </cell>
          <cell r="S1731" t="str">
            <v>112tec</v>
          </cell>
          <cell r="T1731" t="str">
            <v>711tec</v>
          </cell>
        </row>
        <row r="1732">
          <cell r="L1732">
            <v>274084043</v>
          </cell>
          <cell r="S1732" t="str">
            <v>156hutbui</v>
          </cell>
          <cell r="T1732" t="str">
            <v>331nk5</v>
          </cell>
        </row>
        <row r="1733">
          <cell r="L1733">
            <v>158731100</v>
          </cell>
          <cell r="S1733" t="str">
            <v>156hutbui</v>
          </cell>
          <cell r="T1733" t="str">
            <v>331nk5</v>
          </cell>
        </row>
        <row r="1734">
          <cell r="L1734">
            <v>47619330</v>
          </cell>
          <cell r="S1734" t="str">
            <v>133</v>
          </cell>
          <cell r="T1734" t="str">
            <v>331nk5</v>
          </cell>
        </row>
        <row r="1735">
          <cell r="L1735">
            <v>507320880</v>
          </cell>
          <cell r="S1735" t="str">
            <v>156giæt</v>
          </cell>
          <cell r="T1735" t="str">
            <v>331nk5</v>
          </cell>
        </row>
        <row r="1736">
          <cell r="L1736">
            <v>291228026</v>
          </cell>
          <cell r="S1736" t="str">
            <v>156giæt</v>
          </cell>
          <cell r="T1736" t="str">
            <v>331nk5</v>
          </cell>
        </row>
        <row r="1737">
          <cell r="L1737">
            <v>87369907</v>
          </cell>
          <cell r="S1737" t="str">
            <v>133</v>
          </cell>
          <cell r="T1737" t="str">
            <v>331nk5</v>
          </cell>
        </row>
        <row r="1738">
          <cell r="L1738">
            <v>1713772361</v>
          </cell>
          <cell r="S1738" t="str">
            <v>156hopkim</v>
          </cell>
          <cell r="T1738" t="str">
            <v>331nk5</v>
          </cell>
        </row>
        <row r="1739">
          <cell r="L1739">
            <v>50384333</v>
          </cell>
          <cell r="S1739" t="str">
            <v>156hopkim</v>
          </cell>
          <cell r="T1739" t="str">
            <v>331nk5</v>
          </cell>
        </row>
        <row r="1740">
          <cell r="L1740">
            <v>88134712</v>
          </cell>
          <cell r="S1740" t="str">
            <v>133hopkim</v>
          </cell>
          <cell r="T1740" t="str">
            <v>331nk5</v>
          </cell>
        </row>
        <row r="1741">
          <cell r="L1741">
            <v>1600000000</v>
          </cell>
          <cell r="S1741" t="str">
            <v>156majtq</v>
          </cell>
          <cell r="T1741" t="str">
            <v>331t&amp;t</v>
          </cell>
        </row>
        <row r="1742">
          <cell r="L1742">
            <v>160000000</v>
          </cell>
          <cell r="S1742" t="str">
            <v>133majtq</v>
          </cell>
          <cell r="T1742" t="str">
            <v>331t&amp;t</v>
          </cell>
        </row>
        <row r="1743">
          <cell r="L1743">
            <v>1500000000</v>
          </cell>
          <cell r="S1743" t="str">
            <v>156majtq</v>
          </cell>
          <cell r="T1743" t="str">
            <v>331t&amp;t</v>
          </cell>
        </row>
        <row r="1744">
          <cell r="L1744">
            <v>150000000</v>
          </cell>
          <cell r="S1744" t="str">
            <v>133majtq</v>
          </cell>
          <cell r="T1744" t="str">
            <v>331t&amp;t</v>
          </cell>
        </row>
        <row r="1745">
          <cell r="L1745">
            <v>340000000</v>
          </cell>
          <cell r="S1745" t="str">
            <v>156waytq</v>
          </cell>
          <cell r="T1745" t="str">
            <v>331t&amp;t</v>
          </cell>
        </row>
        <row r="1746">
          <cell r="L1746">
            <v>34000000</v>
          </cell>
          <cell r="S1746" t="str">
            <v>133waytq</v>
          </cell>
          <cell r="T1746" t="str">
            <v>331t&amp;t</v>
          </cell>
        </row>
        <row r="1747">
          <cell r="L1747">
            <v>1360000000</v>
          </cell>
          <cell r="S1747" t="str">
            <v>156fan</v>
          </cell>
          <cell r="T1747" t="str">
            <v>331t&amp;t</v>
          </cell>
        </row>
        <row r="1748">
          <cell r="L1748">
            <v>136000000</v>
          </cell>
          <cell r="S1748" t="str">
            <v>133fan</v>
          </cell>
          <cell r="T1748" t="str">
            <v>331t&amp;t</v>
          </cell>
        </row>
        <row r="1749">
          <cell r="L1749">
            <v>690000000</v>
          </cell>
          <cell r="S1749" t="str">
            <v>156dioa</v>
          </cell>
          <cell r="T1749" t="str">
            <v>331bacson</v>
          </cell>
        </row>
        <row r="1750">
          <cell r="L1750">
            <v>69000000</v>
          </cell>
          <cell r="S1750" t="str">
            <v>133dioa</v>
          </cell>
          <cell r="T1750" t="str">
            <v>331bacson</v>
          </cell>
        </row>
        <row r="1751">
          <cell r="L1751">
            <v>1380000000</v>
          </cell>
          <cell r="S1751" t="str">
            <v>156waytq</v>
          </cell>
          <cell r="T1751" t="str">
            <v>331bacson</v>
          </cell>
        </row>
        <row r="1752">
          <cell r="L1752">
            <v>138000000</v>
          </cell>
          <cell r="S1752" t="str">
            <v>133waytq</v>
          </cell>
          <cell r="T1752" t="str">
            <v>331bacson</v>
          </cell>
        </row>
        <row r="1753">
          <cell r="L1753">
            <v>680000000</v>
          </cell>
          <cell r="S1753" t="str">
            <v>156fan</v>
          </cell>
          <cell r="T1753" t="str">
            <v>331t&amp;t</v>
          </cell>
        </row>
        <row r="1754">
          <cell r="L1754">
            <v>68000000</v>
          </cell>
          <cell r="S1754" t="str">
            <v>133fan</v>
          </cell>
          <cell r="T1754" t="str">
            <v>331t&amp;t</v>
          </cell>
        </row>
        <row r="1755">
          <cell r="L1755">
            <v>335000000</v>
          </cell>
          <cell r="S1755" t="str">
            <v>156fan</v>
          </cell>
          <cell r="T1755" t="str">
            <v>331t&amp;t</v>
          </cell>
        </row>
        <row r="1756">
          <cell r="L1756">
            <v>33500000</v>
          </cell>
          <cell r="S1756" t="str">
            <v>133fan</v>
          </cell>
          <cell r="T1756" t="str">
            <v>331t&amp;t</v>
          </cell>
        </row>
        <row r="1757">
          <cell r="L1757">
            <v>340000000</v>
          </cell>
          <cell r="S1757" t="str">
            <v>156waytq</v>
          </cell>
          <cell r="T1757" t="str">
            <v>331t&amp;t</v>
          </cell>
        </row>
        <row r="1758">
          <cell r="L1758">
            <v>34000000</v>
          </cell>
          <cell r="S1758" t="str">
            <v>133waytq</v>
          </cell>
          <cell r="T1758" t="str">
            <v>331t&amp;t</v>
          </cell>
        </row>
        <row r="1759">
          <cell r="L1759">
            <v>335000000</v>
          </cell>
          <cell r="S1759" t="str">
            <v>156fan</v>
          </cell>
          <cell r="T1759" t="str">
            <v>331t&amp;t</v>
          </cell>
        </row>
        <row r="1760">
          <cell r="L1760">
            <v>33500000</v>
          </cell>
          <cell r="S1760" t="str">
            <v>133fan</v>
          </cell>
          <cell r="T1760" t="str">
            <v>331t&amp;t</v>
          </cell>
        </row>
        <row r="1761">
          <cell r="L1761">
            <v>790000000</v>
          </cell>
          <cell r="S1761" t="str">
            <v>156majtq</v>
          </cell>
          <cell r="T1761" t="str">
            <v>331t&amp;t</v>
          </cell>
        </row>
        <row r="1762">
          <cell r="L1762">
            <v>79000000</v>
          </cell>
          <cell r="S1762" t="str">
            <v>133majtq</v>
          </cell>
          <cell r="T1762" t="str">
            <v>331t&amp;t</v>
          </cell>
        </row>
        <row r="1763">
          <cell r="L1763">
            <v>378121815</v>
          </cell>
          <cell r="S1763" t="str">
            <v>156pvc</v>
          </cell>
          <cell r="T1763" t="str">
            <v>331nk5</v>
          </cell>
        </row>
        <row r="1764">
          <cell r="L1764">
            <v>35870601</v>
          </cell>
          <cell r="S1764" t="str">
            <v>133pvc</v>
          </cell>
          <cell r="T1764" t="str">
            <v>331nk5</v>
          </cell>
        </row>
        <row r="1765">
          <cell r="L1765">
            <v>1294727</v>
          </cell>
          <cell r="S1765" t="str">
            <v>156pvc</v>
          </cell>
          <cell r="T1765" t="str">
            <v>331nk5</v>
          </cell>
        </row>
        <row r="1766">
          <cell r="L1766">
            <v>129473</v>
          </cell>
          <cell r="S1766" t="str">
            <v>133pvc</v>
          </cell>
          <cell r="T1766" t="str">
            <v>331nk5</v>
          </cell>
        </row>
        <row r="1767">
          <cell r="L1767">
            <v>723611284</v>
          </cell>
          <cell r="S1767" t="str">
            <v>156</v>
          </cell>
          <cell r="T1767" t="str">
            <v>331nk5</v>
          </cell>
        </row>
        <row r="1768">
          <cell r="L1768">
            <v>36233443</v>
          </cell>
          <cell r="S1768" t="str">
            <v>133</v>
          </cell>
          <cell r="T1768" t="str">
            <v>331nk5</v>
          </cell>
        </row>
        <row r="1769">
          <cell r="L1769">
            <v>1360000000</v>
          </cell>
          <cell r="S1769" t="str">
            <v>156majtq</v>
          </cell>
          <cell r="T1769" t="str">
            <v>331t&amp;t</v>
          </cell>
        </row>
        <row r="1770">
          <cell r="L1770">
            <v>136000000</v>
          </cell>
          <cell r="S1770" t="str">
            <v>133majtq</v>
          </cell>
          <cell r="T1770" t="str">
            <v>331t&amp;t</v>
          </cell>
        </row>
        <row r="1771">
          <cell r="L1771">
            <v>335000000</v>
          </cell>
          <cell r="S1771" t="str">
            <v>156fan</v>
          </cell>
          <cell r="T1771" t="str">
            <v>331t&amp;t</v>
          </cell>
        </row>
        <row r="1772">
          <cell r="L1772">
            <v>33500000</v>
          </cell>
          <cell r="S1772" t="str">
            <v>133fan</v>
          </cell>
          <cell r="T1772" t="str">
            <v>331t&amp;t</v>
          </cell>
        </row>
        <row r="1773">
          <cell r="L1773">
            <v>580027624</v>
          </cell>
          <cell r="S1773" t="str">
            <v>156pe</v>
          </cell>
          <cell r="T1773" t="str">
            <v>331unimex</v>
          </cell>
        </row>
        <row r="1774">
          <cell r="L1774">
            <v>58002762</v>
          </cell>
          <cell r="S1774" t="str">
            <v>133pe</v>
          </cell>
          <cell r="T1774" t="str">
            <v>331unimex</v>
          </cell>
        </row>
        <row r="1775">
          <cell r="L1775">
            <v>62640000</v>
          </cell>
          <cell r="S1775" t="str">
            <v>156sky</v>
          </cell>
          <cell r="T1775" t="str">
            <v>331namminh</v>
          </cell>
        </row>
        <row r="1776">
          <cell r="L1776">
            <v>6264000</v>
          </cell>
          <cell r="S1776" t="str">
            <v>133sky</v>
          </cell>
          <cell r="T1776" t="str">
            <v>331namminh</v>
          </cell>
        </row>
        <row r="1777">
          <cell r="L1777">
            <v>193956000</v>
          </cell>
          <cell r="S1777" t="str">
            <v>156waytq</v>
          </cell>
          <cell r="T1777" t="str">
            <v>331tlong</v>
          </cell>
        </row>
        <row r="1778">
          <cell r="L1778">
            <v>19395600</v>
          </cell>
          <cell r="S1778" t="str">
            <v>133waytq</v>
          </cell>
          <cell r="T1778" t="str">
            <v>331tlong</v>
          </cell>
        </row>
        <row r="1779">
          <cell r="L1779">
            <v>457182000</v>
          </cell>
          <cell r="S1779" t="str">
            <v>156fan</v>
          </cell>
          <cell r="T1779" t="str">
            <v>331tlong</v>
          </cell>
        </row>
        <row r="1780">
          <cell r="L1780">
            <v>45718200</v>
          </cell>
          <cell r="S1780" t="str">
            <v>133fan</v>
          </cell>
          <cell r="T1780" t="str">
            <v>331tlong</v>
          </cell>
        </row>
        <row r="1781">
          <cell r="L1781">
            <v>220800000</v>
          </cell>
          <cell r="S1781" t="str">
            <v>156waytq</v>
          </cell>
          <cell r="T1781" t="str">
            <v>331tlong</v>
          </cell>
        </row>
        <row r="1782">
          <cell r="L1782">
            <v>22080000</v>
          </cell>
          <cell r="S1782" t="str">
            <v>133waytq</v>
          </cell>
          <cell r="T1782" t="str">
            <v>331tlong</v>
          </cell>
        </row>
        <row r="1783">
          <cell r="L1783">
            <v>462400000</v>
          </cell>
          <cell r="S1783" t="str">
            <v>156fan</v>
          </cell>
          <cell r="T1783" t="str">
            <v>331tlong</v>
          </cell>
        </row>
        <row r="1784">
          <cell r="L1784">
            <v>46240000</v>
          </cell>
          <cell r="S1784" t="str">
            <v>133fan</v>
          </cell>
          <cell r="T1784" t="str">
            <v>331tlong</v>
          </cell>
        </row>
        <row r="1785">
          <cell r="L1785">
            <v>692500000</v>
          </cell>
          <cell r="S1785" t="str">
            <v>156fan</v>
          </cell>
          <cell r="T1785" t="str">
            <v>331tlong</v>
          </cell>
        </row>
        <row r="1786">
          <cell r="L1786">
            <v>69250000</v>
          </cell>
          <cell r="S1786" t="str">
            <v>133fan</v>
          </cell>
          <cell r="T1786" t="str">
            <v>331tlong</v>
          </cell>
        </row>
        <row r="1787">
          <cell r="L1787">
            <v>346250000</v>
          </cell>
          <cell r="S1787" t="str">
            <v>156waytq</v>
          </cell>
          <cell r="T1787" t="str">
            <v>331tlong</v>
          </cell>
        </row>
        <row r="1788">
          <cell r="L1788">
            <v>34625000</v>
          </cell>
          <cell r="S1788" t="str">
            <v>133waytq</v>
          </cell>
          <cell r="T1788" t="str">
            <v>331tlong</v>
          </cell>
        </row>
        <row r="1789">
          <cell r="L1789">
            <v>451494720</v>
          </cell>
          <cell r="S1789" t="str">
            <v>156pph</v>
          </cell>
          <cell r="T1789" t="str">
            <v>331unimex</v>
          </cell>
        </row>
        <row r="1790">
          <cell r="L1790">
            <v>45149472</v>
          </cell>
          <cell r="S1790" t="str">
            <v>133pph</v>
          </cell>
          <cell r="T1790" t="str">
            <v>331unimex</v>
          </cell>
        </row>
        <row r="1791">
          <cell r="L1791">
            <v>670800000</v>
          </cell>
          <cell r="S1791" t="str">
            <v>156fan</v>
          </cell>
          <cell r="T1791" t="str">
            <v>331tlong</v>
          </cell>
        </row>
        <row r="1792">
          <cell r="L1792">
            <v>67080000</v>
          </cell>
          <cell r="S1792" t="str">
            <v>133fan</v>
          </cell>
          <cell r="T1792" t="str">
            <v>331tlong</v>
          </cell>
        </row>
        <row r="1793">
          <cell r="L1793">
            <v>335400000</v>
          </cell>
          <cell r="S1793" t="str">
            <v>156waytq</v>
          </cell>
          <cell r="T1793" t="str">
            <v>331tlong</v>
          </cell>
        </row>
        <row r="1794">
          <cell r="L1794">
            <v>33540000</v>
          </cell>
          <cell r="S1794" t="str">
            <v>133waytq</v>
          </cell>
          <cell r="T1794" t="str">
            <v>331tlong</v>
          </cell>
        </row>
        <row r="1795">
          <cell r="L1795">
            <v>1731250000</v>
          </cell>
          <cell r="S1795" t="str">
            <v>156fan</v>
          </cell>
          <cell r="T1795" t="str">
            <v>331tlong</v>
          </cell>
        </row>
        <row r="1796">
          <cell r="L1796">
            <v>173125000</v>
          </cell>
          <cell r="S1796" t="str">
            <v>133fan</v>
          </cell>
          <cell r="T1796" t="str">
            <v>331tlong</v>
          </cell>
        </row>
        <row r="1797">
          <cell r="L1797">
            <v>692500000</v>
          </cell>
          <cell r="S1797" t="str">
            <v>156waytq</v>
          </cell>
          <cell r="T1797" t="str">
            <v>331tlong</v>
          </cell>
        </row>
        <row r="1798">
          <cell r="L1798">
            <v>69250000</v>
          </cell>
          <cell r="S1798" t="str">
            <v>133waytq</v>
          </cell>
          <cell r="T1798" t="str">
            <v>331tlong</v>
          </cell>
        </row>
        <row r="1799">
          <cell r="L1799">
            <v>72270000</v>
          </cell>
          <cell r="S1799" t="str">
            <v>156fan</v>
          </cell>
          <cell r="T1799" t="str">
            <v>331tlong</v>
          </cell>
        </row>
        <row r="1800">
          <cell r="L1800">
            <v>7227000</v>
          </cell>
          <cell r="S1800" t="str">
            <v>133fan</v>
          </cell>
          <cell r="T1800" t="str">
            <v>331tlong</v>
          </cell>
        </row>
        <row r="1801">
          <cell r="L1801">
            <v>36135000</v>
          </cell>
          <cell r="S1801" t="str">
            <v>156waytq</v>
          </cell>
          <cell r="T1801" t="str">
            <v>331tlong</v>
          </cell>
        </row>
        <row r="1802">
          <cell r="L1802">
            <v>3613500</v>
          </cell>
          <cell r="S1802" t="str">
            <v>133waytq</v>
          </cell>
          <cell r="T1802" t="str">
            <v>331tlong</v>
          </cell>
        </row>
        <row r="1803">
          <cell r="L1803">
            <v>52800000</v>
          </cell>
          <cell r="S1803" t="str">
            <v>156waytq</v>
          </cell>
          <cell r="T1803" t="str">
            <v>331nthh</v>
          </cell>
        </row>
        <row r="1804">
          <cell r="L1804">
            <v>5280000</v>
          </cell>
          <cell r="S1804" t="str">
            <v>133waytq</v>
          </cell>
          <cell r="T1804" t="str">
            <v>331nthh</v>
          </cell>
        </row>
        <row r="1805">
          <cell r="L1805">
            <v>14254000</v>
          </cell>
          <cell r="S1805" t="str">
            <v>156fan</v>
          </cell>
          <cell r="T1805" t="str">
            <v>331tlong</v>
          </cell>
        </row>
        <row r="1806">
          <cell r="L1806">
            <v>1425400</v>
          </cell>
          <cell r="S1806" t="str">
            <v>133fan</v>
          </cell>
          <cell r="T1806" t="str">
            <v>331tlong</v>
          </cell>
        </row>
        <row r="1807">
          <cell r="L1807">
            <v>1341600000</v>
          </cell>
          <cell r="S1807" t="str">
            <v>156fan</v>
          </cell>
          <cell r="T1807" t="str">
            <v>331tlong</v>
          </cell>
        </row>
        <row r="1808">
          <cell r="L1808">
            <v>134160000</v>
          </cell>
          <cell r="S1808" t="str">
            <v>133fan</v>
          </cell>
          <cell r="T1808" t="str">
            <v>331tlong</v>
          </cell>
        </row>
        <row r="1809">
          <cell r="L1809">
            <v>670800000</v>
          </cell>
          <cell r="S1809" t="str">
            <v>156waytq</v>
          </cell>
          <cell r="T1809" t="str">
            <v>331tlong</v>
          </cell>
        </row>
        <row r="1810">
          <cell r="L1810">
            <v>67080000</v>
          </cell>
          <cell r="S1810" t="str">
            <v>133waytq</v>
          </cell>
          <cell r="T1810" t="str">
            <v>331tlong</v>
          </cell>
        </row>
        <row r="1811">
          <cell r="L1811">
            <v>670800000</v>
          </cell>
          <cell r="S1811" t="str">
            <v>156fan</v>
          </cell>
          <cell r="T1811" t="str">
            <v>331tlong</v>
          </cell>
        </row>
        <row r="1812">
          <cell r="L1812">
            <v>67080000</v>
          </cell>
          <cell r="S1812" t="str">
            <v>133fan</v>
          </cell>
          <cell r="T1812" t="str">
            <v>331tlong</v>
          </cell>
        </row>
        <row r="1813">
          <cell r="L1813">
            <v>1006200000</v>
          </cell>
          <cell r="S1813" t="str">
            <v>156waytq</v>
          </cell>
          <cell r="T1813" t="str">
            <v>331tlong</v>
          </cell>
        </row>
        <row r="1814">
          <cell r="L1814">
            <v>100620000</v>
          </cell>
          <cell r="S1814" t="str">
            <v>133waytq</v>
          </cell>
          <cell r="T1814" t="str">
            <v>331tlong</v>
          </cell>
        </row>
        <row r="1815">
          <cell r="L1815">
            <v>2040000000</v>
          </cell>
          <cell r="S1815" t="str">
            <v>156waytq</v>
          </cell>
          <cell r="T1815" t="str">
            <v>331t&amp;t</v>
          </cell>
        </row>
        <row r="1816">
          <cell r="L1816">
            <v>204000000</v>
          </cell>
          <cell r="S1816" t="str">
            <v>133waytq</v>
          </cell>
          <cell r="T1816" t="str">
            <v>331t&amp;t</v>
          </cell>
        </row>
        <row r="1817">
          <cell r="L1817">
            <v>2010000000</v>
          </cell>
          <cell r="S1817" t="str">
            <v>156fan</v>
          </cell>
          <cell r="T1817" t="str">
            <v>331t&amp;t</v>
          </cell>
        </row>
        <row r="1818">
          <cell r="L1818">
            <v>201000000</v>
          </cell>
          <cell r="S1818" t="str">
            <v>133fan</v>
          </cell>
          <cell r="T1818" t="str">
            <v>331t&amp;t</v>
          </cell>
        </row>
        <row r="1819">
          <cell r="L1819">
            <v>2716793</v>
          </cell>
          <cell r="S1819" t="str">
            <v>3333331</v>
          </cell>
          <cell r="T1819" t="str">
            <v>133</v>
          </cell>
        </row>
        <row r="1820">
          <cell r="L1820">
            <v>141772445</v>
          </cell>
          <cell r="S1820" t="str">
            <v>3333331</v>
          </cell>
          <cell r="T1820" t="str">
            <v>133</v>
          </cell>
        </row>
        <row r="1821">
          <cell r="L1821">
            <v>1150936101</v>
          </cell>
          <cell r="S1821" t="str">
            <v>3333331</v>
          </cell>
          <cell r="T1821" t="str">
            <v>133</v>
          </cell>
        </row>
        <row r="1822">
          <cell r="L1822">
            <v>1280196058</v>
          </cell>
          <cell r="S1822" t="str">
            <v>3333331</v>
          </cell>
          <cell r="T1822" t="str">
            <v>133</v>
          </cell>
        </row>
        <row r="1823">
          <cell r="L1823">
            <v>186300000</v>
          </cell>
          <cell r="S1823" t="str">
            <v>156</v>
          </cell>
          <cell r="T1823" t="str">
            <v>632kd</v>
          </cell>
        </row>
        <row r="1824">
          <cell r="L1824">
            <v>189270000</v>
          </cell>
          <cell r="S1824" t="str">
            <v>531</v>
          </cell>
          <cell r="T1824" t="str">
            <v>131h­¬ng</v>
          </cell>
        </row>
        <row r="1825">
          <cell r="L1825">
            <v>18927000</v>
          </cell>
          <cell r="S1825" t="str">
            <v>3333331</v>
          </cell>
          <cell r="T1825" t="str">
            <v>131h­¬ng</v>
          </cell>
        </row>
        <row r="1826">
          <cell r="L1826">
            <v>15768011</v>
          </cell>
          <cell r="S1826" t="str">
            <v>642dc</v>
          </cell>
          <cell r="T1826" t="str">
            <v>153</v>
          </cell>
        </row>
        <row r="1827">
          <cell r="L1827">
            <v>1829790000</v>
          </cell>
          <cell r="S1827" t="str">
            <v>632kd</v>
          </cell>
          <cell r="T1827" t="str">
            <v>156</v>
          </cell>
        </row>
        <row r="1828">
          <cell r="L1828">
            <v>11695592388</v>
          </cell>
          <cell r="S1828" t="str">
            <v>632kd</v>
          </cell>
          <cell r="T1828" t="str">
            <v>156</v>
          </cell>
        </row>
        <row r="1829">
          <cell r="L1829">
            <v>13013708162</v>
          </cell>
          <cell r="S1829" t="str">
            <v>632kd</v>
          </cell>
          <cell r="T1829" t="str">
            <v>156</v>
          </cell>
        </row>
        <row r="1830">
          <cell r="L1830">
            <v>1164189</v>
          </cell>
          <cell r="S1830" t="str">
            <v>632ks</v>
          </cell>
          <cell r="T1830" t="str">
            <v>156</v>
          </cell>
        </row>
        <row r="1831">
          <cell r="L1831">
            <v>16499068</v>
          </cell>
          <cell r="S1831" t="str">
            <v>336colimex</v>
          </cell>
          <cell r="T1831" t="str">
            <v>338k</v>
          </cell>
        </row>
        <row r="1832">
          <cell r="L1832">
            <v>37149713</v>
          </cell>
          <cell r="S1832" t="str">
            <v>642l</v>
          </cell>
          <cell r="T1832" t="str">
            <v>334</v>
          </cell>
        </row>
        <row r="1833">
          <cell r="L1833">
            <v>34941582</v>
          </cell>
          <cell r="S1833" t="str">
            <v>642l</v>
          </cell>
          <cell r="T1833" t="str">
            <v>334</v>
          </cell>
        </row>
        <row r="1834">
          <cell r="L1834">
            <v>64974829</v>
          </cell>
          <cell r="S1834" t="str">
            <v>642l</v>
          </cell>
          <cell r="T1834" t="str">
            <v>334</v>
          </cell>
        </row>
        <row r="1835">
          <cell r="L1835">
            <v>108589662</v>
          </cell>
          <cell r="S1835" t="str">
            <v>642l</v>
          </cell>
          <cell r="T1835" t="str">
            <v>334</v>
          </cell>
        </row>
        <row r="1836">
          <cell r="L1836">
            <v>490499</v>
          </cell>
          <cell r="S1836" t="str">
            <v>642bh</v>
          </cell>
          <cell r="T1836" t="str">
            <v>3383382</v>
          </cell>
        </row>
        <row r="1837">
          <cell r="L1837">
            <v>540071</v>
          </cell>
          <cell r="S1837" t="str">
            <v>642bh</v>
          </cell>
          <cell r="T1837" t="str">
            <v>3383384</v>
          </cell>
        </row>
        <row r="1838">
          <cell r="L1838">
            <v>8519861</v>
          </cell>
          <cell r="S1838" t="str">
            <v>642bh</v>
          </cell>
          <cell r="T1838" t="str">
            <v>3383383</v>
          </cell>
        </row>
        <row r="1839">
          <cell r="L1839">
            <v>512531</v>
          </cell>
          <cell r="S1839" t="str">
            <v>642bh</v>
          </cell>
          <cell r="T1839" t="str">
            <v>3383382</v>
          </cell>
        </row>
        <row r="1840">
          <cell r="L1840">
            <v>540071</v>
          </cell>
          <cell r="S1840" t="str">
            <v>642bh</v>
          </cell>
          <cell r="T1840" t="str">
            <v>3383384</v>
          </cell>
        </row>
        <row r="1841">
          <cell r="L1841">
            <v>8497829</v>
          </cell>
          <cell r="S1841" t="str">
            <v>642bh</v>
          </cell>
          <cell r="T1841" t="str">
            <v>3383383</v>
          </cell>
        </row>
        <row r="1842">
          <cell r="L1842">
            <v>512531</v>
          </cell>
          <cell r="S1842" t="str">
            <v>642bh</v>
          </cell>
          <cell r="T1842" t="str">
            <v>3383382</v>
          </cell>
        </row>
        <row r="1843">
          <cell r="L1843">
            <v>540071</v>
          </cell>
          <cell r="S1843" t="str">
            <v>642bh</v>
          </cell>
          <cell r="T1843" t="str">
            <v>3383384</v>
          </cell>
        </row>
        <row r="1844">
          <cell r="L1844">
            <v>8497829</v>
          </cell>
          <cell r="S1844" t="str">
            <v>642bh</v>
          </cell>
          <cell r="T1844" t="str">
            <v>3383383</v>
          </cell>
        </row>
        <row r="1845">
          <cell r="L1845">
            <v>512433</v>
          </cell>
          <cell r="S1845" t="str">
            <v>642bh</v>
          </cell>
          <cell r="T1845" t="str">
            <v>3383382</v>
          </cell>
        </row>
        <row r="1846">
          <cell r="L1846">
            <v>1396227</v>
          </cell>
          <cell r="S1846" t="str">
            <v>642bh</v>
          </cell>
          <cell r="T1846" t="str">
            <v>3383384</v>
          </cell>
        </row>
        <row r="1847">
          <cell r="L1847">
            <v>3845073</v>
          </cell>
          <cell r="S1847" t="str">
            <v>642bh</v>
          </cell>
          <cell r="T1847" t="str">
            <v>3383383</v>
          </cell>
        </row>
        <row r="1848">
          <cell r="L1848">
            <v>25993000</v>
          </cell>
          <cell r="S1848" t="str">
            <v>338cpcp</v>
          </cell>
          <cell r="T1848" t="str">
            <v>336colimex</v>
          </cell>
        </row>
        <row r="1851">
          <cell r="L1851">
            <v>18695000</v>
          </cell>
          <cell r="S1851" t="str">
            <v>642k</v>
          </cell>
          <cell r="T1851" t="str">
            <v>335k</v>
          </cell>
        </row>
        <row r="1852">
          <cell r="L1852">
            <v>13800000</v>
          </cell>
          <cell r="S1852" t="str">
            <v>642kh</v>
          </cell>
          <cell r="T1852" t="str">
            <v>214</v>
          </cell>
        </row>
        <row r="1853">
          <cell r="L1853">
            <v>13800000</v>
          </cell>
          <cell r="S1853" t="str">
            <v>642kh</v>
          </cell>
          <cell r="T1853" t="str">
            <v>214</v>
          </cell>
        </row>
        <row r="1854">
          <cell r="L1854">
            <v>13800000</v>
          </cell>
          <cell r="S1854" t="str">
            <v>642kh</v>
          </cell>
          <cell r="T1854" t="str">
            <v>214</v>
          </cell>
        </row>
        <row r="1855">
          <cell r="L1855">
            <v>13800000</v>
          </cell>
          <cell r="S1855" t="str">
            <v>642kh</v>
          </cell>
          <cell r="T1855" t="str">
            <v>214</v>
          </cell>
        </row>
        <row r="1856">
          <cell r="L1856">
            <v>75381394</v>
          </cell>
          <cell r="S1856" t="str">
            <v>511</v>
          </cell>
          <cell r="T1856" t="str">
            <v>911</v>
          </cell>
        </row>
        <row r="1857">
          <cell r="L1857">
            <v>2107909731</v>
          </cell>
          <cell r="S1857" t="str">
            <v>511</v>
          </cell>
          <cell r="T1857" t="str">
            <v>911</v>
          </cell>
        </row>
        <row r="1858">
          <cell r="L1858">
            <v>12063495177</v>
          </cell>
          <cell r="S1858" t="str">
            <v>511</v>
          </cell>
          <cell r="T1858" t="str">
            <v>911</v>
          </cell>
        </row>
        <row r="1859">
          <cell r="L1859">
            <v>13174297632</v>
          </cell>
          <cell r="S1859" t="str">
            <v>511</v>
          </cell>
          <cell r="T1859" t="str">
            <v>911</v>
          </cell>
        </row>
        <row r="1860">
          <cell r="L1860">
            <v>7959950</v>
          </cell>
          <cell r="S1860" t="str">
            <v>511</v>
          </cell>
          <cell r="T1860" t="str">
            <v>3333332</v>
          </cell>
        </row>
        <row r="1861">
          <cell r="L1861">
            <v>22715811</v>
          </cell>
          <cell r="S1861" t="str">
            <v>911</v>
          </cell>
          <cell r="T1861" t="str">
            <v>641</v>
          </cell>
        </row>
        <row r="1862">
          <cell r="L1862">
            <v>78520236</v>
          </cell>
          <cell r="S1862" t="str">
            <v>911</v>
          </cell>
          <cell r="T1862" t="str">
            <v>641</v>
          </cell>
        </row>
        <row r="1863">
          <cell r="L1863">
            <v>25727214</v>
          </cell>
          <cell r="S1863" t="str">
            <v>911</v>
          </cell>
          <cell r="T1863" t="str">
            <v>641</v>
          </cell>
        </row>
        <row r="1864">
          <cell r="L1864">
            <v>77954695</v>
          </cell>
          <cell r="S1864" t="str">
            <v>911</v>
          </cell>
          <cell r="T1864" t="str">
            <v>641</v>
          </cell>
        </row>
        <row r="1865">
          <cell r="L1865">
            <v>80329329</v>
          </cell>
          <cell r="S1865" t="str">
            <v>911</v>
          </cell>
          <cell r="T1865" t="str">
            <v>642</v>
          </cell>
        </row>
        <row r="1866">
          <cell r="L1866">
            <v>87493018</v>
          </cell>
          <cell r="S1866" t="str">
            <v>911</v>
          </cell>
          <cell r="T1866" t="str">
            <v>642</v>
          </cell>
        </row>
        <row r="1867">
          <cell r="L1867">
            <v>99280842</v>
          </cell>
          <cell r="S1867" t="str">
            <v>911</v>
          </cell>
          <cell r="T1867" t="str">
            <v>642</v>
          </cell>
        </row>
        <row r="1868">
          <cell r="L1868">
            <v>402902677</v>
          </cell>
          <cell r="S1868" t="str">
            <v>911</v>
          </cell>
          <cell r="T1868" t="str">
            <v>642</v>
          </cell>
        </row>
        <row r="1869">
          <cell r="L1869">
            <v>1829790000</v>
          </cell>
          <cell r="S1869" t="str">
            <v>911</v>
          </cell>
          <cell r="T1869" t="str">
            <v>632</v>
          </cell>
        </row>
        <row r="1870">
          <cell r="L1870">
            <v>11695592388</v>
          </cell>
          <cell r="S1870" t="str">
            <v>911</v>
          </cell>
          <cell r="T1870" t="str">
            <v>632</v>
          </cell>
        </row>
        <row r="1871">
          <cell r="L1871">
            <v>12828572351</v>
          </cell>
          <cell r="S1871" t="str">
            <v>911</v>
          </cell>
          <cell r="T1871" t="str">
            <v>632</v>
          </cell>
        </row>
        <row r="1872">
          <cell r="L1872">
            <v>1774486</v>
          </cell>
          <cell r="S1872" t="str">
            <v>711</v>
          </cell>
          <cell r="T1872" t="str">
            <v>911</v>
          </cell>
        </row>
        <row r="1873">
          <cell r="L1873">
            <v>2946234</v>
          </cell>
          <cell r="S1873" t="str">
            <v>711</v>
          </cell>
          <cell r="T1873" t="str">
            <v>911</v>
          </cell>
        </row>
        <row r="1874">
          <cell r="L1874">
            <v>6237346</v>
          </cell>
          <cell r="S1874" t="str">
            <v>711</v>
          </cell>
          <cell r="T1874" t="str">
            <v>911</v>
          </cell>
        </row>
        <row r="1875">
          <cell r="L1875">
            <v>1227281</v>
          </cell>
          <cell r="S1875" t="str">
            <v>711</v>
          </cell>
          <cell r="T1875" t="str">
            <v>911</v>
          </cell>
        </row>
        <row r="1876">
          <cell r="L1876">
            <v>5277000</v>
          </cell>
          <cell r="S1876" t="str">
            <v>721</v>
          </cell>
          <cell r="T1876" t="str">
            <v>911</v>
          </cell>
        </row>
        <row r="1877">
          <cell r="S1877" t="str">
            <v/>
          </cell>
          <cell r="T1877" t="str">
            <v/>
          </cell>
        </row>
        <row r="1878">
          <cell r="L1878">
            <v>189270000</v>
          </cell>
          <cell r="S1878" t="str">
            <v>511kd</v>
          </cell>
          <cell r="T1878" t="str">
            <v>531</v>
          </cell>
        </row>
        <row r="1879">
          <cell r="L1879">
            <v>27067554</v>
          </cell>
          <cell r="S1879" t="str">
            <v>421</v>
          </cell>
          <cell r="T1879" t="str">
            <v>911</v>
          </cell>
        </row>
        <row r="1880">
          <cell r="L1880">
            <v>116231005</v>
          </cell>
          <cell r="S1880" t="str">
            <v>911</v>
          </cell>
          <cell r="T1880" t="str">
            <v>421</v>
          </cell>
        </row>
        <row r="1881">
          <cell r="L1881">
            <v>145157154</v>
          </cell>
          <cell r="S1881" t="str">
            <v>911</v>
          </cell>
          <cell r="T1881" t="str">
            <v>421</v>
          </cell>
        </row>
        <row r="1882">
          <cell r="L1882">
            <v>24652885</v>
          </cell>
          <cell r="S1882" t="str">
            <v>421</v>
          </cell>
          <cell r="T1882" t="str">
            <v>911</v>
          </cell>
        </row>
        <row r="1883">
          <cell r="L1883">
            <v>850000</v>
          </cell>
          <cell r="S1883" t="str">
            <v>642t</v>
          </cell>
          <cell r="T1883" t="str">
            <v>3333338</v>
          </cell>
        </row>
        <row r="1884">
          <cell r="L1884">
            <v>9014250</v>
          </cell>
          <cell r="S1884" t="str">
            <v>642t</v>
          </cell>
          <cell r="T1884" t="str">
            <v>3333337</v>
          </cell>
        </row>
        <row r="1885">
          <cell r="L1885">
            <v>65102115</v>
          </cell>
          <cell r="S1885" t="str">
            <v>421</v>
          </cell>
          <cell r="T1885" t="str">
            <v>3333334</v>
          </cell>
        </row>
        <row r="1886">
          <cell r="L1886">
            <v>24609083</v>
          </cell>
          <cell r="S1886" t="str">
            <v>131xdhh</v>
          </cell>
          <cell r="T1886" t="str">
            <v>511dl</v>
          </cell>
        </row>
        <row r="1887">
          <cell r="L1887">
            <v>37904545</v>
          </cell>
          <cell r="S1887" t="str">
            <v>131vib</v>
          </cell>
          <cell r="T1887" t="str">
            <v>511dl</v>
          </cell>
        </row>
        <row r="1888">
          <cell r="L1888">
            <v>81333327</v>
          </cell>
          <cell r="S1888" t="str">
            <v>131thh­¬ng</v>
          </cell>
          <cell r="T1888" t="str">
            <v>511ms</v>
          </cell>
        </row>
        <row r="1889">
          <cell r="L1889">
            <v>1313448385</v>
          </cell>
          <cell r="S1889" t="str">
            <v>131hasa</v>
          </cell>
          <cell r="T1889" t="str">
            <v>511kd</v>
          </cell>
        </row>
        <row r="1890">
          <cell r="L1890">
            <v>2400413311</v>
          </cell>
          <cell r="S1890" t="str">
            <v>131hïng</v>
          </cell>
          <cell r="T1890" t="str">
            <v>511kd</v>
          </cell>
        </row>
        <row r="1891">
          <cell r="L1891">
            <v>121914000</v>
          </cell>
          <cell r="S1891" t="str">
            <v>131tthu</v>
          </cell>
          <cell r="T1891" t="str">
            <v>511kd</v>
          </cell>
        </row>
        <row r="1892">
          <cell r="L1892">
            <v>1031740000</v>
          </cell>
          <cell r="S1892" t="str">
            <v>131vcb</v>
          </cell>
          <cell r="T1892" t="str">
            <v>511kd</v>
          </cell>
        </row>
        <row r="1893">
          <cell r="L1893">
            <v>1703944000</v>
          </cell>
          <cell r="S1893" t="str">
            <v>131tmdda</v>
          </cell>
          <cell r="T1893" t="str">
            <v>511kd</v>
          </cell>
        </row>
        <row r="1894">
          <cell r="L1894">
            <v>1794323000</v>
          </cell>
          <cell r="S1894" t="str">
            <v>131trungkien</v>
          </cell>
          <cell r="T1894" t="str">
            <v>511kd</v>
          </cell>
        </row>
        <row r="1895">
          <cell r="L1895">
            <v>3289051000</v>
          </cell>
          <cell r="S1895" t="str">
            <v>131namminh</v>
          </cell>
          <cell r="T1895" t="str">
            <v>511kd</v>
          </cell>
        </row>
        <row r="1896">
          <cell r="L1896">
            <v>346228000</v>
          </cell>
          <cell r="S1896" t="str">
            <v>131vthu</v>
          </cell>
          <cell r="T1896" t="str">
            <v>511kd</v>
          </cell>
        </row>
        <row r="1897">
          <cell r="L1897">
            <v>339400000</v>
          </cell>
          <cell r="S1897" t="str">
            <v>131binh</v>
          </cell>
          <cell r="T1897" t="str">
            <v>511kd</v>
          </cell>
        </row>
        <row r="1898">
          <cell r="L1898">
            <v>729123528</v>
          </cell>
          <cell r="S1898" t="str">
            <v>131vietdo</v>
          </cell>
          <cell r="T1898" t="str">
            <v>511kd</v>
          </cell>
        </row>
        <row r="1899">
          <cell r="L1899">
            <v>1812507166</v>
          </cell>
          <cell r="S1899" t="str">
            <v>131klm</v>
          </cell>
          <cell r="T1899" t="str">
            <v>511kd</v>
          </cell>
        </row>
        <row r="1900">
          <cell r="L1900">
            <v>165276000</v>
          </cell>
          <cell r="S1900" t="str">
            <v>131tanh</v>
          </cell>
          <cell r="T1900" t="str">
            <v>511kd</v>
          </cell>
        </row>
        <row r="1901">
          <cell r="L1901">
            <v>2834258000</v>
          </cell>
          <cell r="S1901" t="str">
            <v>131h­¬ng</v>
          </cell>
          <cell r="T1901" t="str">
            <v>511kd</v>
          </cell>
        </row>
        <row r="1902">
          <cell r="L1902">
            <v>265810000</v>
          </cell>
          <cell r="S1902" t="str">
            <v>131tanphat</v>
          </cell>
          <cell r="T1902" t="str">
            <v>511kd</v>
          </cell>
        </row>
        <row r="1903">
          <cell r="L1903">
            <v>916214000</v>
          </cell>
          <cell r="S1903" t="str">
            <v>131pcuong</v>
          </cell>
          <cell r="T1903" t="str">
            <v>511kd</v>
          </cell>
        </row>
        <row r="1904">
          <cell r="L1904">
            <v>383627000</v>
          </cell>
          <cell r="S1904" t="str">
            <v>131kan</v>
          </cell>
          <cell r="T1904" t="str">
            <v>511kd</v>
          </cell>
        </row>
        <row r="1905">
          <cell r="L1905">
            <v>6699597750</v>
          </cell>
          <cell r="S1905" t="str">
            <v>131hais¬n</v>
          </cell>
          <cell r="T1905" t="str">
            <v>511kd</v>
          </cell>
        </row>
        <row r="1906">
          <cell r="L1906">
            <v>971571241</v>
          </cell>
          <cell r="S1906" t="str">
            <v>131hs¬n</v>
          </cell>
          <cell r="T1906" t="str">
            <v>511kd</v>
          </cell>
        </row>
        <row r="1907">
          <cell r="L1907">
            <v>2460917</v>
          </cell>
          <cell r="S1907" t="str">
            <v>131xdhh</v>
          </cell>
          <cell r="T1907" t="str">
            <v>3333331</v>
          </cell>
        </row>
        <row r="1908">
          <cell r="L1908">
            <v>3790455</v>
          </cell>
          <cell r="S1908" t="str">
            <v>131vib</v>
          </cell>
          <cell r="T1908" t="str">
            <v>3333331</v>
          </cell>
        </row>
        <row r="1909">
          <cell r="L1909">
            <v>131344839</v>
          </cell>
          <cell r="S1909" t="str">
            <v>131hasa</v>
          </cell>
          <cell r="T1909" t="str">
            <v>3333331</v>
          </cell>
        </row>
        <row r="1910">
          <cell r="L1910">
            <v>228217009</v>
          </cell>
          <cell r="S1910" t="str">
            <v>131hïng</v>
          </cell>
          <cell r="T1910" t="str">
            <v>3333331</v>
          </cell>
        </row>
        <row r="1911">
          <cell r="L1911">
            <v>12191400</v>
          </cell>
          <cell r="S1911" t="str">
            <v>131tthu</v>
          </cell>
          <cell r="T1911" t="str">
            <v>3333331</v>
          </cell>
        </row>
        <row r="1912">
          <cell r="L1912">
            <v>103174000</v>
          </cell>
          <cell r="S1912" t="str">
            <v>131vcb</v>
          </cell>
          <cell r="T1912" t="str">
            <v>3333331</v>
          </cell>
        </row>
        <row r="1913">
          <cell r="L1913">
            <v>170394400</v>
          </cell>
          <cell r="S1913" t="str">
            <v>131tmdda</v>
          </cell>
          <cell r="T1913" t="str">
            <v>3333331</v>
          </cell>
        </row>
        <row r="1914">
          <cell r="L1914">
            <v>179432300</v>
          </cell>
          <cell r="S1914" t="str">
            <v>131trungkien</v>
          </cell>
          <cell r="T1914" t="str">
            <v>3333331</v>
          </cell>
        </row>
        <row r="1915">
          <cell r="L1915">
            <v>328905100</v>
          </cell>
          <cell r="S1915" t="str">
            <v>131namminh</v>
          </cell>
          <cell r="T1915" t="str">
            <v>3333331</v>
          </cell>
        </row>
        <row r="1916">
          <cell r="L1916">
            <v>34622800</v>
          </cell>
          <cell r="S1916" t="str">
            <v>131vthu</v>
          </cell>
          <cell r="T1916" t="str">
            <v>3333331</v>
          </cell>
        </row>
        <row r="1917">
          <cell r="L1917">
            <v>33940000</v>
          </cell>
          <cell r="S1917" t="str">
            <v>131binh</v>
          </cell>
          <cell r="T1917" t="str">
            <v>3333331</v>
          </cell>
        </row>
        <row r="1918">
          <cell r="L1918">
            <v>36456701</v>
          </cell>
          <cell r="S1918" t="str">
            <v>131vietdo</v>
          </cell>
          <cell r="T1918" t="str">
            <v>3333331</v>
          </cell>
        </row>
        <row r="1919">
          <cell r="L1919">
            <v>90625357</v>
          </cell>
          <cell r="S1919" t="str">
            <v>131klm</v>
          </cell>
          <cell r="T1919" t="str">
            <v>3333331</v>
          </cell>
        </row>
        <row r="1920">
          <cell r="L1920">
            <v>16527600</v>
          </cell>
          <cell r="S1920" t="str">
            <v>131tanh</v>
          </cell>
          <cell r="T1920" t="str">
            <v>3333331</v>
          </cell>
        </row>
        <row r="1921">
          <cell r="L1921">
            <v>283425800</v>
          </cell>
          <cell r="S1921" t="str">
            <v>131h­¬ng</v>
          </cell>
          <cell r="T1921" t="str">
            <v>3333331</v>
          </cell>
        </row>
        <row r="1922">
          <cell r="L1922">
            <v>26581000</v>
          </cell>
          <cell r="S1922" t="str">
            <v>131tanphat</v>
          </cell>
          <cell r="T1922" t="str">
            <v>3333331</v>
          </cell>
        </row>
        <row r="1923">
          <cell r="L1923">
            <v>91621400</v>
          </cell>
          <cell r="S1923" t="str">
            <v>131pcuong</v>
          </cell>
          <cell r="T1923" t="str">
            <v>3333331</v>
          </cell>
        </row>
        <row r="1924">
          <cell r="L1924">
            <v>38362700</v>
          </cell>
          <cell r="S1924" t="str">
            <v>131kan</v>
          </cell>
          <cell r="T1924" t="str">
            <v>3333331</v>
          </cell>
        </row>
        <row r="1925">
          <cell r="L1925">
            <v>669959850</v>
          </cell>
          <cell r="S1925" t="str">
            <v>131hais¬n</v>
          </cell>
          <cell r="T1925" t="str">
            <v>3333331</v>
          </cell>
        </row>
        <row r="1926">
          <cell r="L1926">
            <v>97157189</v>
          </cell>
          <cell r="S1926" t="str">
            <v>131hs¬n</v>
          </cell>
          <cell r="T1926" t="str">
            <v>3333331</v>
          </cell>
        </row>
        <row r="1927">
          <cell r="L1927">
            <v>-16777967</v>
          </cell>
          <cell r="S1927" t="str">
            <v>156thep</v>
          </cell>
          <cell r="T1927" t="str">
            <v>3333333</v>
          </cell>
        </row>
        <row r="1928">
          <cell r="L1928">
            <v>-16777967</v>
          </cell>
          <cell r="S1928" t="str">
            <v>3333333</v>
          </cell>
          <cell r="T1928" t="str">
            <v>112ct</v>
          </cell>
        </row>
        <row r="1929">
          <cell r="L1929">
            <v>16777967</v>
          </cell>
          <cell r="S1929" t="str">
            <v>133</v>
          </cell>
          <cell r="T1929" t="str">
            <v>33333312</v>
          </cell>
        </row>
        <row r="1930">
          <cell r="L1930">
            <v>16777967</v>
          </cell>
          <cell r="S1930" t="str">
            <v>33333312</v>
          </cell>
          <cell r="T1930" t="str">
            <v>112ct</v>
          </cell>
        </row>
        <row r="1931">
          <cell r="L1931">
            <v>16777967</v>
          </cell>
          <cell r="S1931" t="str">
            <v>3333331</v>
          </cell>
          <cell r="T1931" t="str">
            <v>133</v>
          </cell>
        </row>
        <row r="1932">
          <cell r="L1932">
            <v>-9821609</v>
          </cell>
          <cell r="S1932" t="str">
            <v>3333331</v>
          </cell>
          <cell r="T1932" t="str">
            <v>133</v>
          </cell>
        </row>
        <row r="1933">
          <cell r="L1933">
            <v>71504898</v>
          </cell>
          <cell r="S1933" t="str">
            <v>811lvay</v>
          </cell>
          <cell r="T1933" t="str">
            <v>642lai</v>
          </cell>
        </row>
        <row r="1934">
          <cell r="L1934">
            <v>299746</v>
          </cell>
          <cell r="S1934" t="str">
            <v>642k</v>
          </cell>
          <cell r="T1934" t="str">
            <v>133</v>
          </cell>
        </row>
        <row r="1935">
          <cell r="L1935">
            <v>1339860</v>
          </cell>
          <cell r="S1935" t="str">
            <v>642k</v>
          </cell>
          <cell r="T1935" t="str">
            <v>133</v>
          </cell>
        </row>
        <row r="1936">
          <cell r="L1936">
            <v>422011</v>
          </cell>
          <cell r="S1936" t="str">
            <v>133</v>
          </cell>
          <cell r="T1936" t="str">
            <v>642k</v>
          </cell>
        </row>
        <row r="1937">
          <cell r="L1937">
            <v>58002762</v>
          </cell>
          <cell r="S1937" t="str">
            <v>632kd</v>
          </cell>
          <cell r="T1937" t="str">
            <v>133</v>
          </cell>
        </row>
        <row r="1938">
          <cell r="L1938">
            <v>188000</v>
          </cell>
          <cell r="S1938" t="str">
            <v>641ks</v>
          </cell>
          <cell r="T1938" t="str">
            <v>721®b</v>
          </cell>
        </row>
        <row r="1939">
          <cell r="L1939">
            <v>6089524</v>
          </cell>
          <cell r="S1939" t="str">
            <v>642dn</v>
          </cell>
          <cell r="T1939" t="str">
            <v>721n</v>
          </cell>
        </row>
        <row r="1940">
          <cell r="L1940">
            <v>304476</v>
          </cell>
          <cell r="S1940" t="str">
            <v>642dn</v>
          </cell>
          <cell r="T1940" t="str">
            <v>3333331</v>
          </cell>
        </row>
        <row r="1941">
          <cell r="L1941">
            <v>1178294</v>
          </cell>
          <cell r="S1941" t="str">
            <v>642k</v>
          </cell>
          <cell r="T1941" t="str">
            <v>721k</v>
          </cell>
        </row>
        <row r="1942">
          <cell r="L1942">
            <v>4545455</v>
          </cell>
          <cell r="S1942" t="str">
            <v>131gvtri</v>
          </cell>
          <cell r="T1942" t="str">
            <v>511dl</v>
          </cell>
        </row>
        <row r="1943">
          <cell r="L1943">
            <v>454545</v>
          </cell>
          <cell r="S1943" t="str">
            <v>131gvtri</v>
          </cell>
          <cell r="T1943" t="str">
            <v>3333331</v>
          </cell>
        </row>
        <row r="1944">
          <cell r="L1944">
            <v>18200000</v>
          </cell>
          <cell r="S1944" t="str">
            <v>131vt</v>
          </cell>
          <cell r="T1944" t="str">
            <v>511dl</v>
          </cell>
        </row>
        <row r="1945">
          <cell r="L1945">
            <v>1820000</v>
          </cell>
          <cell r="S1945" t="str">
            <v>131vt</v>
          </cell>
          <cell r="T1945" t="str">
            <v>3333331</v>
          </cell>
        </row>
        <row r="1946">
          <cell r="L1946">
            <v>4545455</v>
          </cell>
          <cell r="S1946" t="str">
            <v>131glqt</v>
          </cell>
          <cell r="T1946" t="str">
            <v>511dl</v>
          </cell>
        </row>
        <row r="1947">
          <cell r="L1947">
            <v>454545</v>
          </cell>
          <cell r="S1947" t="str">
            <v>131glqt</v>
          </cell>
          <cell r="T1947" t="str">
            <v>3333331</v>
          </cell>
        </row>
        <row r="1948">
          <cell r="L1948">
            <v>15552727</v>
          </cell>
          <cell r="S1948" t="str">
            <v>131thå</v>
          </cell>
          <cell r="T1948" t="str">
            <v>511dl</v>
          </cell>
        </row>
        <row r="1949">
          <cell r="L1949">
            <v>1555273</v>
          </cell>
          <cell r="S1949" t="str">
            <v>131thå</v>
          </cell>
          <cell r="T1949" t="str">
            <v>3333331</v>
          </cell>
        </row>
        <row r="1950">
          <cell r="L1950">
            <v>21568182</v>
          </cell>
          <cell r="S1950" t="str">
            <v>131bk</v>
          </cell>
          <cell r="T1950" t="str">
            <v>511dl</v>
          </cell>
        </row>
        <row r="1951">
          <cell r="L1951">
            <v>2156818</v>
          </cell>
          <cell r="S1951" t="str">
            <v>131bk</v>
          </cell>
          <cell r="T1951" t="str">
            <v>3333331</v>
          </cell>
        </row>
        <row r="1952">
          <cell r="L1952">
            <v>-220320</v>
          </cell>
          <cell r="S1952" t="str">
            <v>138bh</v>
          </cell>
          <cell r="T1952" t="str">
            <v>3383383</v>
          </cell>
        </row>
        <row r="1953">
          <cell r="L1953">
            <v>6549138</v>
          </cell>
          <cell r="S1953" t="str">
            <v>334</v>
          </cell>
          <cell r="T1953" t="str">
            <v>3383383</v>
          </cell>
        </row>
        <row r="1954">
          <cell r="L1954">
            <v>3159000</v>
          </cell>
          <cell r="S1954" t="str">
            <v>338qldd</v>
          </cell>
          <cell r="T1954" t="str">
            <v>3383383</v>
          </cell>
        </row>
        <row r="1955">
          <cell r="L1955">
            <v>-12872178</v>
          </cell>
          <cell r="S1955" t="str">
            <v>642bh</v>
          </cell>
          <cell r="T1955" t="str">
            <v>3383383</v>
          </cell>
        </row>
        <row r="1956">
          <cell r="L1956">
            <v>-34654306</v>
          </cell>
          <cell r="S1956" t="str">
            <v>642l</v>
          </cell>
          <cell r="T1956" t="str">
            <v>334</v>
          </cell>
        </row>
        <row r="1957">
          <cell r="L1957" t="str">
            <v/>
          </cell>
          <cell r="S1957" t="str">
            <v/>
          </cell>
          <cell r="T1957" t="str">
            <v/>
          </cell>
        </row>
        <row r="1958">
          <cell r="L1958">
            <v>23991502</v>
          </cell>
          <cell r="S1958" t="str">
            <v>131klm</v>
          </cell>
          <cell r="T1958" t="str">
            <v>711klm</v>
          </cell>
        </row>
        <row r="1959">
          <cell r="L1959">
            <v>1202962</v>
          </cell>
          <cell r="S1959" t="str">
            <v>131hs¬n</v>
          </cell>
          <cell r="T1959" t="str">
            <v>711hs¬n</v>
          </cell>
        </row>
        <row r="1960">
          <cell r="L1960">
            <v>74369840.159999996</v>
          </cell>
          <cell r="S1960" t="str">
            <v>131hasa</v>
          </cell>
          <cell r="T1960" t="str">
            <v>711hasa</v>
          </cell>
        </row>
        <row r="1961">
          <cell r="L1961">
            <v>8707700</v>
          </cell>
          <cell r="S1961" t="str">
            <v>131hs¬n</v>
          </cell>
          <cell r="T1961" t="str">
            <v>711hs¬n</v>
          </cell>
        </row>
        <row r="1962">
          <cell r="L1962">
            <v>7238801</v>
          </cell>
          <cell r="S1962" t="str">
            <v>131vietdo</v>
          </cell>
          <cell r="T1962" t="str">
            <v>711vietdo</v>
          </cell>
        </row>
        <row r="1963">
          <cell r="L1963">
            <v>13091313</v>
          </cell>
          <cell r="S1963" t="str">
            <v>131hs¬n</v>
          </cell>
          <cell r="T1963" t="str">
            <v>711hs¬n</v>
          </cell>
        </row>
        <row r="1964">
          <cell r="L1964">
            <v>3807692</v>
          </cell>
          <cell r="S1964" t="str">
            <v>131tl©m</v>
          </cell>
          <cell r="T1964" t="str">
            <v>711tl©m</v>
          </cell>
        </row>
        <row r="1965">
          <cell r="L1965">
            <v>6124740</v>
          </cell>
          <cell r="S1965" t="str">
            <v>131vcb</v>
          </cell>
          <cell r="T1965" t="str">
            <v>711vcb</v>
          </cell>
        </row>
        <row r="1966">
          <cell r="L1966" t="str">
            <v/>
          </cell>
          <cell r="S1966" t="str">
            <v/>
          </cell>
          <cell r="T1966" t="str">
            <v/>
          </cell>
        </row>
        <row r="1967">
          <cell r="L1967">
            <v>29577000</v>
          </cell>
          <cell r="S1967" t="str">
            <v>811vietro</v>
          </cell>
          <cell r="T1967" t="str">
            <v>335lvay</v>
          </cell>
        </row>
        <row r="1968">
          <cell r="L1968">
            <v>6000000</v>
          </cell>
          <cell r="S1968" t="str">
            <v>811colimex</v>
          </cell>
          <cell r="T1968" t="str">
            <v>331colimex</v>
          </cell>
        </row>
        <row r="1969">
          <cell r="L1969">
            <v>12385000</v>
          </cell>
          <cell r="S1969" t="str">
            <v>811nk2</v>
          </cell>
          <cell r="T1969" t="str">
            <v>338lvay</v>
          </cell>
        </row>
        <row r="1970">
          <cell r="L1970">
            <v>20436136</v>
          </cell>
          <cell r="S1970" t="str">
            <v>811nk5</v>
          </cell>
          <cell r="T1970" t="str">
            <v>331nk5</v>
          </cell>
        </row>
        <row r="1971">
          <cell r="L1971">
            <v>29202354</v>
          </cell>
          <cell r="S1971" t="str">
            <v>811nk5</v>
          </cell>
          <cell r="T1971" t="str">
            <v>331nk5</v>
          </cell>
        </row>
        <row r="1972">
          <cell r="L1972">
            <v>8804858</v>
          </cell>
          <cell r="S1972" t="str">
            <v>811unimex</v>
          </cell>
          <cell r="T1972" t="str">
            <v>331unimex</v>
          </cell>
        </row>
        <row r="1973">
          <cell r="L1973">
            <v>4238117</v>
          </cell>
          <cell r="S1973" t="str">
            <v>811nk5</v>
          </cell>
          <cell r="T1973" t="str">
            <v>331nk5</v>
          </cell>
        </row>
        <row r="1974">
          <cell r="L1974">
            <v>12078351</v>
          </cell>
          <cell r="S1974" t="str">
            <v>811nk5</v>
          </cell>
          <cell r="T1974" t="str">
            <v>331nk5</v>
          </cell>
        </row>
        <row r="1975">
          <cell r="L1975">
            <v>300000000</v>
          </cell>
          <cell r="S1975" t="str">
            <v>138tl©m</v>
          </cell>
          <cell r="T1975" t="str">
            <v>222</v>
          </cell>
        </row>
        <row r="1976">
          <cell r="L1976">
            <v>-81333327</v>
          </cell>
          <cell r="S1976" t="str">
            <v>131thh­¬ng</v>
          </cell>
          <cell r="T1976" t="str">
            <v>511</v>
          </cell>
        </row>
        <row r="1977">
          <cell r="L1977">
            <v>-7959950</v>
          </cell>
          <cell r="S1977" t="str">
            <v>511ms</v>
          </cell>
          <cell r="T1977" t="str">
            <v>3333332</v>
          </cell>
        </row>
        <row r="1978">
          <cell r="L1978">
            <v>7959950</v>
          </cell>
          <cell r="S1978" t="str">
            <v>131thh­¬ng</v>
          </cell>
          <cell r="T1978" t="str">
            <v>3333332</v>
          </cell>
        </row>
        <row r="1979">
          <cell r="L1979">
            <v>9986000</v>
          </cell>
          <cell r="S1979" t="str">
            <v>632kd</v>
          </cell>
          <cell r="T1979" t="str">
            <v>156</v>
          </cell>
        </row>
        <row r="1980">
          <cell r="L1980">
            <v>-16677921.598400265</v>
          </cell>
          <cell r="S1980" t="str">
            <v>421</v>
          </cell>
          <cell r="T1980" t="str">
            <v>3333334</v>
          </cell>
        </row>
        <row r="1981">
          <cell r="L1981">
            <v>188000</v>
          </cell>
          <cell r="S1981" t="str">
            <v>911</v>
          </cell>
          <cell r="T1981" t="str">
            <v>641</v>
          </cell>
        </row>
        <row r="1982">
          <cell r="L1982">
            <v>-110241493</v>
          </cell>
          <cell r="S1982" t="str">
            <v>911</v>
          </cell>
          <cell r="T1982" t="str">
            <v>642</v>
          </cell>
        </row>
        <row r="1983">
          <cell r="L1983">
            <v>7455818</v>
          </cell>
          <cell r="S1983" t="str">
            <v>721</v>
          </cell>
          <cell r="T1983" t="str">
            <v>911</v>
          </cell>
        </row>
        <row r="1984">
          <cell r="L1984">
            <v>-8961558</v>
          </cell>
          <cell r="S1984" t="str">
            <v>511</v>
          </cell>
          <cell r="T1984" t="str">
            <v>911</v>
          </cell>
        </row>
        <row r="1985">
          <cell r="L1985">
            <v>138534550.16</v>
          </cell>
          <cell r="S1985" t="str">
            <v>711</v>
          </cell>
          <cell r="T1985" t="str">
            <v>911</v>
          </cell>
        </row>
        <row r="1986">
          <cell r="L1986">
            <v>194226714</v>
          </cell>
          <cell r="S1986" t="str">
            <v>911</v>
          </cell>
          <cell r="T1986" t="str">
            <v>811</v>
          </cell>
        </row>
        <row r="1987">
          <cell r="L1987">
            <v>67988762</v>
          </cell>
          <cell r="S1987" t="str">
            <v>911</v>
          </cell>
          <cell r="T1987" t="str">
            <v>632</v>
          </cell>
        </row>
        <row r="1988">
          <cell r="L1988">
            <v>15133172.840000004</v>
          </cell>
          <cell r="S1988" t="str">
            <v>421</v>
          </cell>
          <cell r="T1988" t="str">
            <v>911</v>
          </cell>
        </row>
        <row r="1989">
          <cell r="L1989" t="str">
            <v/>
          </cell>
          <cell r="S1989" t="str">
            <v/>
          </cell>
          <cell r="T1989" t="str">
            <v/>
          </cell>
        </row>
        <row r="1990">
          <cell r="S1990" t="str">
            <v/>
          </cell>
          <cell r="T1990" t="str">
            <v/>
          </cell>
        </row>
        <row r="1991">
          <cell r="S1991" t="str">
            <v/>
          </cell>
          <cell r="T1991" t="str">
            <v/>
          </cell>
        </row>
        <row r="1992">
          <cell r="S1992" t="str">
            <v/>
          </cell>
          <cell r="T1992" t="str">
            <v/>
          </cell>
        </row>
        <row r="1993">
          <cell r="S1993" t="str">
            <v/>
          </cell>
          <cell r="T1993" t="str">
            <v/>
          </cell>
        </row>
        <row r="1994">
          <cell r="S1994" t="str">
            <v/>
          </cell>
          <cell r="T1994" t="str">
            <v/>
          </cell>
        </row>
        <row r="1995">
          <cell r="S1995" t="str">
            <v/>
          </cell>
          <cell r="T1995" t="str">
            <v/>
          </cell>
        </row>
        <row r="1996">
          <cell r="S1996" t="str">
            <v/>
          </cell>
          <cell r="T1996" t="str">
            <v/>
          </cell>
        </row>
        <row r="1997">
          <cell r="S1997" t="str">
            <v/>
          </cell>
          <cell r="T1997" t="str">
            <v/>
          </cell>
        </row>
        <row r="1998">
          <cell r="S1998" t="str">
            <v/>
          </cell>
          <cell r="T1998" t="str">
            <v/>
          </cell>
        </row>
        <row r="1999">
          <cell r="S1999" t="str">
            <v/>
          </cell>
          <cell r="T1999" t="str">
            <v/>
          </cell>
        </row>
        <row r="2000">
          <cell r="S2000" t="str">
            <v/>
          </cell>
          <cell r="T2000" t="str">
            <v/>
          </cell>
        </row>
        <row r="2001">
          <cell r="S2001" t="str">
            <v/>
          </cell>
          <cell r="T2001" t="str">
            <v/>
          </cell>
        </row>
        <row r="2002">
          <cell r="S2002" t="str">
            <v/>
          </cell>
          <cell r="T2002" t="str">
            <v/>
          </cell>
        </row>
        <row r="2003">
          <cell r="S2003" t="str">
            <v/>
          </cell>
          <cell r="T2003" t="str">
            <v/>
          </cell>
        </row>
        <row r="2004">
          <cell r="S2004" t="str">
            <v/>
          </cell>
          <cell r="T2004" t="str">
            <v/>
          </cell>
        </row>
        <row r="2005">
          <cell r="S2005" t="str">
            <v/>
          </cell>
          <cell r="T2005" t="str">
            <v/>
          </cell>
        </row>
        <row r="2006">
          <cell r="S2006" t="str">
            <v/>
          </cell>
          <cell r="T2006" t="str">
            <v/>
          </cell>
        </row>
        <row r="2007">
          <cell r="S2007" t="str">
            <v/>
          </cell>
          <cell r="T2007" t="str">
            <v/>
          </cell>
        </row>
        <row r="2008">
          <cell r="S2008" t="str">
            <v/>
          </cell>
          <cell r="T2008" t="str">
            <v/>
          </cell>
        </row>
        <row r="2009">
          <cell r="S2009" t="str">
            <v/>
          </cell>
          <cell r="T2009" t="str">
            <v/>
          </cell>
        </row>
        <row r="2010">
          <cell r="S2010" t="str">
            <v/>
          </cell>
          <cell r="T2010" t="str">
            <v/>
          </cell>
        </row>
        <row r="2011">
          <cell r="S2011" t="str">
            <v/>
          </cell>
          <cell r="T2011" t="str">
            <v/>
          </cell>
        </row>
        <row r="2012">
          <cell r="S2012" t="str">
            <v/>
          </cell>
          <cell r="T2012" t="str">
            <v/>
          </cell>
        </row>
        <row r="2013">
          <cell r="S2013" t="str">
            <v/>
          </cell>
          <cell r="T2013" t="str">
            <v/>
          </cell>
        </row>
        <row r="2014">
          <cell r="S2014" t="str">
            <v/>
          </cell>
          <cell r="T2014" t="str">
            <v/>
          </cell>
        </row>
        <row r="2015">
          <cell r="S2015" t="str">
            <v/>
          </cell>
          <cell r="T2015" t="str">
            <v/>
          </cell>
        </row>
        <row r="2016">
          <cell r="S2016" t="str">
            <v/>
          </cell>
          <cell r="T2016" t="str">
            <v/>
          </cell>
        </row>
        <row r="2017">
          <cell r="S2017" t="str">
            <v/>
          </cell>
          <cell r="T2017" t="str">
            <v/>
          </cell>
        </row>
        <row r="2018">
          <cell r="S2018" t="str">
            <v/>
          </cell>
          <cell r="T2018" t="str">
            <v/>
          </cell>
        </row>
        <row r="2019">
          <cell r="S2019" t="str">
            <v/>
          </cell>
          <cell r="T2019" t="str">
            <v/>
          </cell>
        </row>
        <row r="2020">
          <cell r="S2020" t="str">
            <v/>
          </cell>
          <cell r="T2020" t="str">
            <v/>
          </cell>
        </row>
        <row r="2021">
          <cell r="S2021" t="str">
            <v/>
          </cell>
          <cell r="T2021" t="str">
            <v/>
          </cell>
        </row>
        <row r="2022">
          <cell r="S2022" t="str">
            <v/>
          </cell>
          <cell r="T2022" t="str">
            <v/>
          </cell>
        </row>
        <row r="2023">
          <cell r="S2023" t="str">
            <v/>
          </cell>
          <cell r="T2023" t="str">
            <v/>
          </cell>
        </row>
        <row r="2024">
          <cell r="S2024" t="str">
            <v/>
          </cell>
          <cell r="T2024" t="str">
            <v/>
          </cell>
        </row>
        <row r="2025">
          <cell r="S2025" t="str">
            <v/>
          </cell>
          <cell r="T2025" t="str">
            <v/>
          </cell>
        </row>
        <row r="2026">
          <cell r="S2026" t="str">
            <v/>
          </cell>
          <cell r="T2026" t="str">
            <v/>
          </cell>
        </row>
        <row r="2027">
          <cell r="S2027" t="str">
            <v/>
          </cell>
          <cell r="T2027" t="str">
            <v/>
          </cell>
        </row>
        <row r="2028">
          <cell r="S2028" t="str">
            <v/>
          </cell>
          <cell r="T2028" t="str">
            <v/>
          </cell>
        </row>
        <row r="2029">
          <cell r="S2029" t="str">
            <v/>
          </cell>
          <cell r="T2029" t="str">
            <v/>
          </cell>
        </row>
        <row r="2030">
          <cell r="S2030" t="str">
            <v/>
          </cell>
          <cell r="T2030" t="str">
            <v/>
          </cell>
        </row>
        <row r="2031">
          <cell r="S2031" t="str">
            <v/>
          </cell>
          <cell r="T2031" t="str">
            <v/>
          </cell>
        </row>
        <row r="2032">
          <cell r="S2032" t="str">
            <v/>
          </cell>
          <cell r="T2032" t="str">
            <v/>
          </cell>
        </row>
        <row r="2033">
          <cell r="S2033" t="str">
            <v/>
          </cell>
          <cell r="T2033" t="str">
            <v/>
          </cell>
        </row>
        <row r="2034">
          <cell r="S2034" t="str">
            <v/>
          </cell>
          <cell r="T2034" t="str">
            <v/>
          </cell>
        </row>
        <row r="2035">
          <cell r="S2035" t="str">
            <v/>
          </cell>
          <cell r="T2035" t="str">
            <v/>
          </cell>
        </row>
        <row r="2036">
          <cell r="S2036" t="str">
            <v/>
          </cell>
          <cell r="T2036" t="str">
            <v/>
          </cell>
        </row>
        <row r="2037">
          <cell r="S2037" t="str">
            <v/>
          </cell>
          <cell r="T2037" t="str">
            <v/>
          </cell>
        </row>
        <row r="2038">
          <cell r="S2038" t="str">
            <v/>
          </cell>
          <cell r="T2038" t="str">
            <v/>
          </cell>
        </row>
        <row r="2039">
          <cell r="S2039" t="str">
            <v/>
          </cell>
          <cell r="T2039" t="str">
            <v/>
          </cell>
        </row>
        <row r="2040">
          <cell r="S2040" t="str">
            <v/>
          </cell>
          <cell r="T2040" t="str">
            <v/>
          </cell>
        </row>
        <row r="2041">
          <cell r="S2041" t="str">
            <v/>
          </cell>
          <cell r="T2041" t="str">
            <v/>
          </cell>
        </row>
        <row r="2042">
          <cell r="S2042" t="str">
            <v/>
          </cell>
          <cell r="T2042" t="str">
            <v/>
          </cell>
        </row>
        <row r="2043">
          <cell r="S2043" t="str">
            <v/>
          </cell>
          <cell r="T2043" t="str">
            <v/>
          </cell>
        </row>
        <row r="2044">
          <cell r="S2044" t="str">
            <v/>
          </cell>
          <cell r="T2044" t="str">
            <v/>
          </cell>
        </row>
        <row r="2045">
          <cell r="S2045" t="str">
            <v/>
          </cell>
          <cell r="T2045" t="str">
            <v/>
          </cell>
        </row>
        <row r="2046">
          <cell r="S2046" t="str">
            <v/>
          </cell>
          <cell r="T2046" t="str">
            <v/>
          </cell>
        </row>
        <row r="2047">
          <cell r="S2047" t="str">
            <v/>
          </cell>
          <cell r="T2047" t="str">
            <v/>
          </cell>
        </row>
        <row r="2048">
          <cell r="S2048" t="str">
            <v/>
          </cell>
          <cell r="T2048" t="str">
            <v/>
          </cell>
        </row>
        <row r="2049">
          <cell r="S2049" t="str">
            <v/>
          </cell>
          <cell r="T2049" t="str">
            <v/>
          </cell>
        </row>
        <row r="2050">
          <cell r="S2050" t="str">
            <v/>
          </cell>
          <cell r="T2050" t="str">
            <v/>
          </cell>
        </row>
        <row r="2051">
          <cell r="S2051" t="str">
            <v/>
          </cell>
          <cell r="T2051" t="str">
            <v/>
          </cell>
        </row>
        <row r="2052">
          <cell r="S2052" t="str">
            <v/>
          </cell>
          <cell r="T2052" t="str">
            <v/>
          </cell>
        </row>
        <row r="2053">
          <cell r="S2053" t="str">
            <v/>
          </cell>
          <cell r="T2053" t="str">
            <v/>
          </cell>
        </row>
        <row r="2054">
          <cell r="S2054" t="str">
            <v/>
          </cell>
          <cell r="T2054" t="str">
            <v/>
          </cell>
        </row>
        <row r="2055">
          <cell r="S2055" t="str">
            <v/>
          </cell>
          <cell r="T2055" t="str">
            <v/>
          </cell>
        </row>
        <row r="2056">
          <cell r="S2056" t="str">
            <v/>
          </cell>
          <cell r="T2056" t="str">
            <v/>
          </cell>
        </row>
        <row r="2057">
          <cell r="S2057" t="str">
            <v/>
          </cell>
          <cell r="T2057" t="str">
            <v/>
          </cell>
        </row>
        <row r="2058">
          <cell r="S2058" t="str">
            <v/>
          </cell>
          <cell r="T2058" t="str">
            <v/>
          </cell>
        </row>
        <row r="2059">
          <cell r="S2059" t="str">
            <v/>
          </cell>
          <cell r="T2059" t="str">
            <v/>
          </cell>
        </row>
        <row r="2060">
          <cell r="S2060" t="str">
            <v/>
          </cell>
          <cell r="T2060" t="str">
            <v/>
          </cell>
        </row>
        <row r="2061">
          <cell r="S2061" t="str">
            <v/>
          </cell>
          <cell r="T2061" t="str">
            <v/>
          </cell>
        </row>
        <row r="2062">
          <cell r="S2062" t="str">
            <v/>
          </cell>
          <cell r="T2062" t="str">
            <v/>
          </cell>
        </row>
        <row r="2063">
          <cell r="S2063" t="str">
            <v/>
          </cell>
          <cell r="T2063" t="str">
            <v/>
          </cell>
        </row>
        <row r="2064">
          <cell r="S2064" t="str">
            <v/>
          </cell>
          <cell r="T2064" t="str">
            <v/>
          </cell>
        </row>
        <row r="2065">
          <cell r="S2065" t="str">
            <v/>
          </cell>
          <cell r="T2065" t="str">
            <v/>
          </cell>
        </row>
        <row r="2066">
          <cell r="S2066" t="str">
            <v/>
          </cell>
          <cell r="T2066" t="str">
            <v/>
          </cell>
        </row>
        <row r="2067">
          <cell r="S2067" t="str">
            <v/>
          </cell>
          <cell r="T2067" t="str">
            <v/>
          </cell>
        </row>
        <row r="2068">
          <cell r="S2068" t="str">
            <v/>
          </cell>
          <cell r="T2068" t="str">
            <v/>
          </cell>
        </row>
        <row r="2069">
          <cell r="S2069" t="str">
            <v/>
          </cell>
          <cell r="T2069" t="str">
            <v/>
          </cell>
        </row>
        <row r="2070">
          <cell r="S2070" t="str">
            <v/>
          </cell>
          <cell r="T2070" t="str">
            <v/>
          </cell>
        </row>
        <row r="2071">
          <cell r="S2071" t="str">
            <v/>
          </cell>
          <cell r="T2071" t="str">
            <v/>
          </cell>
        </row>
        <row r="2072">
          <cell r="S2072" t="str">
            <v/>
          </cell>
          <cell r="T2072" t="str">
            <v/>
          </cell>
        </row>
        <row r="2073">
          <cell r="S2073" t="str">
            <v/>
          </cell>
          <cell r="T2073" t="str">
            <v/>
          </cell>
        </row>
        <row r="2074">
          <cell r="S2074" t="str">
            <v/>
          </cell>
          <cell r="T2074" t="str">
            <v/>
          </cell>
        </row>
        <row r="2075">
          <cell r="S2075" t="str">
            <v/>
          </cell>
          <cell r="T2075" t="str">
            <v/>
          </cell>
        </row>
        <row r="2076">
          <cell r="S2076" t="str">
            <v/>
          </cell>
          <cell r="T2076" t="str">
            <v/>
          </cell>
        </row>
        <row r="2077">
          <cell r="S2077" t="str">
            <v/>
          </cell>
          <cell r="T2077" t="str">
            <v/>
          </cell>
        </row>
        <row r="2078">
          <cell r="S2078" t="str">
            <v/>
          </cell>
          <cell r="T2078" t="str">
            <v/>
          </cell>
        </row>
        <row r="2079">
          <cell r="S2079" t="str">
            <v/>
          </cell>
          <cell r="T2079" t="str">
            <v/>
          </cell>
        </row>
        <row r="2080">
          <cell r="S2080" t="str">
            <v/>
          </cell>
          <cell r="T2080" t="str">
            <v/>
          </cell>
        </row>
        <row r="2081">
          <cell r="S2081" t="str">
            <v/>
          </cell>
          <cell r="T2081" t="str">
            <v/>
          </cell>
        </row>
        <row r="2082">
          <cell r="S2082" t="str">
            <v/>
          </cell>
          <cell r="T2082" t="str">
            <v/>
          </cell>
        </row>
        <row r="2083">
          <cell r="S2083" t="str">
            <v/>
          </cell>
          <cell r="T2083" t="str">
            <v/>
          </cell>
        </row>
        <row r="2084">
          <cell r="S2084" t="str">
            <v/>
          </cell>
          <cell r="T2084" t="str">
            <v/>
          </cell>
        </row>
        <row r="2085">
          <cell r="S2085" t="str">
            <v/>
          </cell>
          <cell r="T2085" t="str">
            <v/>
          </cell>
        </row>
        <row r="2086">
          <cell r="S2086" t="str">
            <v/>
          </cell>
          <cell r="T2086" t="str">
            <v/>
          </cell>
        </row>
        <row r="2087">
          <cell r="S2087" t="str">
            <v/>
          </cell>
          <cell r="T2087" t="str">
            <v/>
          </cell>
        </row>
        <row r="2088">
          <cell r="S2088" t="str">
            <v/>
          </cell>
          <cell r="T2088" t="str">
            <v/>
          </cell>
        </row>
        <row r="2089">
          <cell r="S2089" t="str">
            <v/>
          </cell>
          <cell r="T2089" t="str">
            <v/>
          </cell>
        </row>
        <row r="2090">
          <cell r="S2090" t="str">
            <v/>
          </cell>
          <cell r="T2090" t="str">
            <v/>
          </cell>
        </row>
        <row r="2091">
          <cell r="S2091" t="str">
            <v/>
          </cell>
          <cell r="T2091" t="str">
            <v/>
          </cell>
        </row>
        <row r="2092">
          <cell r="S2092" t="str">
            <v/>
          </cell>
          <cell r="T2092" t="str">
            <v/>
          </cell>
        </row>
        <row r="2093">
          <cell r="S2093" t="str">
            <v/>
          </cell>
          <cell r="T2093" t="str">
            <v/>
          </cell>
        </row>
        <row r="2094">
          <cell r="S2094" t="str">
            <v/>
          </cell>
          <cell r="T2094" t="str">
            <v/>
          </cell>
        </row>
        <row r="2095">
          <cell r="S2095" t="str">
            <v/>
          </cell>
          <cell r="T2095" t="str">
            <v/>
          </cell>
        </row>
        <row r="2096">
          <cell r="S2096" t="str">
            <v/>
          </cell>
          <cell r="T2096" t="str">
            <v/>
          </cell>
        </row>
        <row r="2097">
          <cell r="S2097" t="str">
            <v/>
          </cell>
          <cell r="T2097" t="str">
            <v/>
          </cell>
        </row>
        <row r="2098">
          <cell r="S2098" t="str">
            <v/>
          </cell>
          <cell r="T2098" t="str">
            <v/>
          </cell>
        </row>
        <row r="2099">
          <cell r="S2099" t="str">
            <v/>
          </cell>
          <cell r="T2099" t="str">
            <v/>
          </cell>
        </row>
        <row r="2100">
          <cell r="S2100" t="str">
            <v/>
          </cell>
          <cell r="T2100" t="str">
            <v/>
          </cell>
        </row>
        <row r="2101">
          <cell r="S2101" t="str">
            <v/>
          </cell>
          <cell r="T2101" t="str">
            <v/>
          </cell>
        </row>
        <row r="2102">
          <cell r="S2102" t="str">
            <v/>
          </cell>
          <cell r="T2102" t="str">
            <v/>
          </cell>
        </row>
        <row r="2103">
          <cell r="S2103" t="str">
            <v/>
          </cell>
          <cell r="T2103" t="str">
            <v/>
          </cell>
        </row>
        <row r="2104">
          <cell r="S2104" t="str">
            <v/>
          </cell>
          <cell r="T2104" t="str">
            <v/>
          </cell>
        </row>
        <row r="2105">
          <cell r="S2105" t="str">
            <v/>
          </cell>
          <cell r="T2105" t="str">
            <v/>
          </cell>
        </row>
        <row r="2106">
          <cell r="S2106" t="str">
            <v/>
          </cell>
          <cell r="T2106" t="str">
            <v/>
          </cell>
        </row>
        <row r="2107">
          <cell r="S2107" t="str">
            <v/>
          </cell>
          <cell r="T2107" t="str">
            <v/>
          </cell>
        </row>
        <row r="2108">
          <cell r="S2108" t="str">
            <v/>
          </cell>
          <cell r="T2108" t="str">
            <v/>
          </cell>
        </row>
        <row r="2109">
          <cell r="S2109" t="str">
            <v/>
          </cell>
          <cell r="T2109" t="str">
            <v/>
          </cell>
        </row>
        <row r="2110">
          <cell r="S2110" t="str">
            <v/>
          </cell>
          <cell r="T2110" t="str">
            <v/>
          </cell>
        </row>
        <row r="2111">
          <cell r="S2111" t="str">
            <v/>
          </cell>
          <cell r="T2111" t="str">
            <v/>
          </cell>
        </row>
        <row r="2112">
          <cell r="S2112" t="str">
            <v/>
          </cell>
          <cell r="T2112" t="str">
            <v/>
          </cell>
        </row>
        <row r="2113">
          <cell r="S2113" t="str">
            <v/>
          </cell>
          <cell r="T2113" t="str">
            <v/>
          </cell>
        </row>
        <row r="2114">
          <cell r="S2114" t="str">
            <v/>
          </cell>
          <cell r="T2114" t="str">
            <v/>
          </cell>
        </row>
        <row r="2115">
          <cell r="S2115" t="str">
            <v/>
          </cell>
          <cell r="T2115" t="str">
            <v/>
          </cell>
        </row>
        <row r="2116">
          <cell r="S2116" t="str">
            <v/>
          </cell>
          <cell r="T2116" t="str">
            <v/>
          </cell>
        </row>
        <row r="2117">
          <cell r="S2117" t="str">
            <v/>
          </cell>
          <cell r="T2117" t="str">
            <v/>
          </cell>
        </row>
        <row r="2118">
          <cell r="S2118" t="str">
            <v/>
          </cell>
          <cell r="T2118" t="str">
            <v/>
          </cell>
        </row>
        <row r="2119">
          <cell r="S2119" t="str">
            <v/>
          </cell>
          <cell r="T2119" t="str">
            <v/>
          </cell>
        </row>
        <row r="2120">
          <cell r="S2120" t="str">
            <v/>
          </cell>
          <cell r="T2120" t="str">
            <v/>
          </cell>
        </row>
        <row r="2121">
          <cell r="S2121" t="str">
            <v/>
          </cell>
          <cell r="T2121" t="str">
            <v/>
          </cell>
        </row>
        <row r="2122">
          <cell r="S2122" t="str">
            <v/>
          </cell>
          <cell r="T2122" t="str">
            <v/>
          </cell>
        </row>
        <row r="2123">
          <cell r="S2123" t="str">
            <v/>
          </cell>
          <cell r="T2123" t="str">
            <v/>
          </cell>
        </row>
        <row r="2124">
          <cell r="S2124" t="str">
            <v/>
          </cell>
          <cell r="T2124" t="str">
            <v/>
          </cell>
        </row>
        <row r="2125">
          <cell r="S2125" t="str">
            <v/>
          </cell>
          <cell r="T2125" t="str">
            <v/>
          </cell>
        </row>
        <row r="2126">
          <cell r="S2126" t="str">
            <v/>
          </cell>
          <cell r="T2126" t="str">
            <v/>
          </cell>
        </row>
        <row r="2127">
          <cell r="S2127" t="str">
            <v/>
          </cell>
          <cell r="T2127" t="str">
            <v/>
          </cell>
        </row>
        <row r="2128">
          <cell r="S2128" t="str">
            <v/>
          </cell>
          <cell r="T2128" t="str">
            <v/>
          </cell>
        </row>
        <row r="2129">
          <cell r="S2129" t="str">
            <v/>
          </cell>
          <cell r="T2129" t="str">
            <v/>
          </cell>
        </row>
        <row r="2130">
          <cell r="S2130" t="str">
            <v/>
          </cell>
          <cell r="T2130" t="str">
            <v/>
          </cell>
        </row>
        <row r="2131">
          <cell r="S2131" t="str">
            <v/>
          </cell>
          <cell r="T2131" t="str">
            <v/>
          </cell>
        </row>
        <row r="2132">
          <cell r="S2132" t="str">
            <v/>
          </cell>
          <cell r="T2132" t="str">
            <v/>
          </cell>
        </row>
        <row r="2133">
          <cell r="S2133" t="str">
            <v/>
          </cell>
          <cell r="T2133" t="str">
            <v/>
          </cell>
        </row>
        <row r="2134">
          <cell r="S2134" t="str">
            <v/>
          </cell>
          <cell r="T2134" t="str">
            <v/>
          </cell>
        </row>
        <row r="2135">
          <cell r="S2135" t="str">
            <v/>
          </cell>
          <cell r="T2135" t="str">
            <v/>
          </cell>
        </row>
        <row r="2136">
          <cell r="S2136" t="str">
            <v/>
          </cell>
          <cell r="T2136" t="str">
            <v/>
          </cell>
        </row>
        <row r="2137">
          <cell r="S2137" t="str">
            <v/>
          </cell>
          <cell r="T2137" t="str">
            <v/>
          </cell>
        </row>
        <row r="2138">
          <cell r="S2138" t="str">
            <v/>
          </cell>
          <cell r="T2138" t="str">
            <v/>
          </cell>
        </row>
        <row r="2139">
          <cell r="S2139" t="str">
            <v/>
          </cell>
          <cell r="T2139" t="str">
            <v/>
          </cell>
        </row>
        <row r="2140">
          <cell r="S2140" t="str">
            <v/>
          </cell>
          <cell r="T2140" t="str">
            <v/>
          </cell>
        </row>
        <row r="2141">
          <cell r="S2141" t="str">
            <v/>
          </cell>
          <cell r="T2141" t="str">
            <v/>
          </cell>
        </row>
        <row r="2142">
          <cell r="S2142" t="str">
            <v/>
          </cell>
          <cell r="T2142" t="str">
            <v/>
          </cell>
        </row>
        <row r="2143">
          <cell r="S2143" t="str">
            <v/>
          </cell>
          <cell r="T2143" t="str">
            <v/>
          </cell>
        </row>
        <row r="2144">
          <cell r="S2144" t="str">
            <v/>
          </cell>
          <cell r="T2144" t="str">
            <v/>
          </cell>
        </row>
        <row r="2145">
          <cell r="S2145" t="str">
            <v/>
          </cell>
          <cell r="T2145" t="str">
            <v/>
          </cell>
        </row>
        <row r="2146">
          <cell r="S2146" t="str">
            <v/>
          </cell>
          <cell r="T2146" t="str">
            <v/>
          </cell>
        </row>
        <row r="2147">
          <cell r="S2147" t="str">
            <v/>
          </cell>
          <cell r="T2147" t="str">
            <v/>
          </cell>
        </row>
        <row r="2148">
          <cell r="S2148" t="str">
            <v/>
          </cell>
          <cell r="T2148" t="str">
            <v/>
          </cell>
        </row>
        <row r="2149">
          <cell r="S2149" t="str">
            <v/>
          </cell>
          <cell r="T2149" t="str">
            <v/>
          </cell>
        </row>
        <row r="2150">
          <cell r="S2150" t="str">
            <v/>
          </cell>
          <cell r="T2150" t="str">
            <v/>
          </cell>
        </row>
        <row r="2151">
          <cell r="S2151" t="str">
            <v/>
          </cell>
          <cell r="T2151" t="str">
            <v/>
          </cell>
        </row>
        <row r="2152">
          <cell r="S2152" t="str">
            <v/>
          </cell>
          <cell r="T2152" t="str">
            <v/>
          </cell>
        </row>
        <row r="2153">
          <cell r="S2153" t="str">
            <v/>
          </cell>
          <cell r="T2153" t="str">
            <v/>
          </cell>
        </row>
        <row r="2154">
          <cell r="S2154" t="str">
            <v/>
          </cell>
          <cell r="T2154" t="str">
            <v/>
          </cell>
        </row>
        <row r="2155">
          <cell r="S2155" t="str">
            <v/>
          </cell>
          <cell r="T2155" t="str">
            <v/>
          </cell>
        </row>
        <row r="2156">
          <cell r="S2156" t="str">
            <v/>
          </cell>
          <cell r="T2156" t="str">
            <v/>
          </cell>
        </row>
        <row r="2157">
          <cell r="S2157" t="str">
            <v/>
          </cell>
          <cell r="T2157" t="str">
            <v/>
          </cell>
        </row>
        <row r="2158">
          <cell r="S2158" t="str">
            <v/>
          </cell>
          <cell r="T2158" t="str">
            <v/>
          </cell>
        </row>
        <row r="2159">
          <cell r="S2159" t="str">
            <v/>
          </cell>
          <cell r="T2159" t="str">
            <v/>
          </cell>
        </row>
        <row r="2160">
          <cell r="S2160" t="str">
            <v/>
          </cell>
          <cell r="T2160" t="str">
            <v/>
          </cell>
        </row>
        <row r="2161">
          <cell r="S2161" t="str">
            <v/>
          </cell>
          <cell r="T2161" t="str">
            <v/>
          </cell>
        </row>
        <row r="2162">
          <cell r="S2162" t="str">
            <v/>
          </cell>
          <cell r="T2162" t="str">
            <v/>
          </cell>
        </row>
        <row r="2163">
          <cell r="S2163" t="str">
            <v/>
          </cell>
          <cell r="T2163" t="str">
            <v/>
          </cell>
        </row>
        <row r="2164">
          <cell r="S2164" t="str">
            <v/>
          </cell>
          <cell r="T2164" t="str">
            <v/>
          </cell>
        </row>
        <row r="2165">
          <cell r="S2165" t="str">
            <v/>
          </cell>
          <cell r="T2165" t="str">
            <v/>
          </cell>
        </row>
        <row r="2166">
          <cell r="S2166" t="str">
            <v/>
          </cell>
          <cell r="T2166" t="str">
            <v/>
          </cell>
        </row>
        <row r="2167">
          <cell r="S2167" t="str">
            <v/>
          </cell>
          <cell r="T2167" t="str">
            <v/>
          </cell>
        </row>
        <row r="2168">
          <cell r="S2168" t="str">
            <v/>
          </cell>
          <cell r="T2168" t="str">
            <v/>
          </cell>
        </row>
        <row r="2169">
          <cell r="S2169" t="str">
            <v/>
          </cell>
          <cell r="T2169" t="str">
            <v/>
          </cell>
        </row>
        <row r="2170">
          <cell r="S2170" t="str">
            <v/>
          </cell>
          <cell r="T2170" t="str">
            <v/>
          </cell>
        </row>
        <row r="2171">
          <cell r="S2171" t="str">
            <v/>
          </cell>
          <cell r="T2171" t="str">
            <v/>
          </cell>
        </row>
        <row r="2172">
          <cell r="S2172" t="str">
            <v/>
          </cell>
          <cell r="T2172" t="str">
            <v/>
          </cell>
        </row>
        <row r="2173">
          <cell r="S2173" t="str">
            <v/>
          </cell>
          <cell r="T2173" t="str">
            <v/>
          </cell>
        </row>
        <row r="2174">
          <cell r="S2174" t="str">
            <v/>
          </cell>
          <cell r="T2174" t="str">
            <v/>
          </cell>
        </row>
        <row r="2175">
          <cell r="S2175" t="str">
            <v/>
          </cell>
          <cell r="T2175" t="str">
            <v/>
          </cell>
        </row>
        <row r="2176">
          <cell r="S2176" t="str">
            <v/>
          </cell>
          <cell r="T2176" t="str">
            <v/>
          </cell>
        </row>
        <row r="2177">
          <cell r="S2177" t="str">
            <v/>
          </cell>
          <cell r="T2177" t="str">
            <v/>
          </cell>
        </row>
        <row r="2178">
          <cell r="S2178" t="str">
            <v/>
          </cell>
          <cell r="T2178" t="str">
            <v/>
          </cell>
        </row>
        <row r="2179">
          <cell r="S2179" t="str">
            <v/>
          </cell>
          <cell r="T2179" t="str">
            <v/>
          </cell>
        </row>
        <row r="2180">
          <cell r="S2180" t="str">
            <v/>
          </cell>
          <cell r="T2180" t="str">
            <v/>
          </cell>
        </row>
        <row r="2181">
          <cell r="S2181" t="str">
            <v/>
          </cell>
          <cell r="T2181" t="str">
            <v/>
          </cell>
        </row>
        <row r="2182">
          <cell r="S2182" t="str">
            <v/>
          </cell>
          <cell r="T2182" t="str">
            <v/>
          </cell>
        </row>
        <row r="2183">
          <cell r="S2183" t="str">
            <v/>
          </cell>
          <cell r="T2183" t="str">
            <v/>
          </cell>
        </row>
        <row r="2184">
          <cell r="S2184" t="str">
            <v/>
          </cell>
          <cell r="T2184" t="str">
            <v/>
          </cell>
        </row>
        <row r="2185">
          <cell r="S2185" t="str">
            <v/>
          </cell>
          <cell r="T2185" t="str">
            <v/>
          </cell>
        </row>
        <row r="2186">
          <cell r="S2186" t="str">
            <v/>
          </cell>
          <cell r="T2186" t="str">
            <v/>
          </cell>
        </row>
        <row r="2187">
          <cell r="S2187" t="str">
            <v/>
          </cell>
          <cell r="T2187" t="str">
            <v/>
          </cell>
        </row>
        <row r="2188">
          <cell r="S2188" t="str">
            <v/>
          </cell>
          <cell r="T2188" t="str">
            <v/>
          </cell>
        </row>
        <row r="2189">
          <cell r="S2189" t="str">
            <v/>
          </cell>
          <cell r="T2189" t="str">
            <v/>
          </cell>
        </row>
        <row r="2190">
          <cell r="S2190" t="str">
            <v/>
          </cell>
          <cell r="T2190" t="str">
            <v/>
          </cell>
        </row>
        <row r="2191">
          <cell r="S2191" t="str">
            <v/>
          </cell>
          <cell r="T2191" t="str">
            <v/>
          </cell>
        </row>
        <row r="2192">
          <cell r="S2192" t="str">
            <v/>
          </cell>
          <cell r="T2192" t="str">
            <v/>
          </cell>
        </row>
        <row r="2193">
          <cell r="S2193" t="str">
            <v/>
          </cell>
          <cell r="T2193" t="str">
            <v/>
          </cell>
        </row>
        <row r="2194">
          <cell r="S2194" t="str">
            <v/>
          </cell>
          <cell r="T2194" t="str">
            <v/>
          </cell>
        </row>
        <row r="2195">
          <cell r="S2195" t="str">
            <v/>
          </cell>
          <cell r="T2195" t="str">
            <v/>
          </cell>
        </row>
        <row r="2196">
          <cell r="S2196" t="str">
            <v/>
          </cell>
          <cell r="T2196" t="str">
            <v/>
          </cell>
        </row>
        <row r="2197">
          <cell r="S2197" t="str">
            <v/>
          </cell>
          <cell r="T2197" t="str">
            <v/>
          </cell>
        </row>
        <row r="2198">
          <cell r="S2198" t="str">
            <v/>
          </cell>
          <cell r="T2198" t="str">
            <v/>
          </cell>
        </row>
        <row r="2199">
          <cell r="S2199" t="str">
            <v/>
          </cell>
          <cell r="T2199" t="str">
            <v/>
          </cell>
        </row>
        <row r="2200">
          <cell r="S2200" t="str">
            <v/>
          </cell>
          <cell r="T2200" t="str">
            <v/>
          </cell>
        </row>
        <row r="2201">
          <cell r="S2201" t="str">
            <v/>
          </cell>
          <cell r="T2201" t="str">
            <v/>
          </cell>
        </row>
        <row r="2202">
          <cell r="S2202" t="str">
            <v/>
          </cell>
          <cell r="T2202" t="str">
            <v/>
          </cell>
        </row>
        <row r="2203">
          <cell r="S2203" t="str">
            <v/>
          </cell>
          <cell r="T2203" t="str">
            <v/>
          </cell>
        </row>
        <row r="2204">
          <cell r="S2204" t="str">
            <v/>
          </cell>
          <cell r="T2204" t="str">
            <v/>
          </cell>
        </row>
        <row r="2205">
          <cell r="S2205" t="str">
            <v/>
          </cell>
          <cell r="T2205" t="str">
            <v/>
          </cell>
        </row>
        <row r="2206">
          <cell r="S2206" t="str">
            <v/>
          </cell>
          <cell r="T2206" t="str">
            <v/>
          </cell>
        </row>
        <row r="2207">
          <cell r="S2207" t="str">
            <v/>
          </cell>
          <cell r="T2207" t="str">
            <v/>
          </cell>
        </row>
        <row r="2208">
          <cell r="S2208" t="str">
            <v/>
          </cell>
          <cell r="T2208" t="str">
            <v/>
          </cell>
        </row>
        <row r="2209">
          <cell r="S2209" t="str">
            <v/>
          </cell>
          <cell r="T2209" t="str">
            <v/>
          </cell>
        </row>
        <row r="2210">
          <cell r="S2210" t="str">
            <v/>
          </cell>
          <cell r="T2210" t="str">
            <v/>
          </cell>
        </row>
        <row r="2211">
          <cell r="S2211" t="str">
            <v/>
          </cell>
          <cell r="T2211" t="str">
            <v/>
          </cell>
        </row>
        <row r="2212">
          <cell r="S2212" t="str">
            <v/>
          </cell>
          <cell r="T2212" t="str">
            <v/>
          </cell>
        </row>
        <row r="2213">
          <cell r="S2213" t="str">
            <v/>
          </cell>
          <cell r="T2213" t="str">
            <v/>
          </cell>
        </row>
        <row r="2214">
          <cell r="S2214" t="str">
            <v/>
          </cell>
          <cell r="T2214" t="str">
            <v/>
          </cell>
        </row>
        <row r="2215">
          <cell r="S2215" t="str">
            <v/>
          </cell>
          <cell r="T2215" t="str">
            <v/>
          </cell>
        </row>
        <row r="2216">
          <cell r="S2216" t="str">
            <v/>
          </cell>
          <cell r="T2216" t="str">
            <v/>
          </cell>
        </row>
        <row r="2217">
          <cell r="S2217" t="str">
            <v/>
          </cell>
          <cell r="T2217" t="str">
            <v/>
          </cell>
        </row>
        <row r="2218">
          <cell r="S2218" t="str">
            <v/>
          </cell>
          <cell r="T2218" t="str">
            <v/>
          </cell>
        </row>
        <row r="2219">
          <cell r="S2219" t="str">
            <v/>
          </cell>
          <cell r="T2219" t="str">
            <v/>
          </cell>
        </row>
        <row r="2220">
          <cell r="S2220" t="str">
            <v/>
          </cell>
          <cell r="T2220" t="str">
            <v/>
          </cell>
        </row>
        <row r="2221">
          <cell r="S2221" t="str">
            <v/>
          </cell>
          <cell r="T2221" t="str">
            <v/>
          </cell>
        </row>
        <row r="2222">
          <cell r="S2222" t="str">
            <v/>
          </cell>
          <cell r="T2222" t="str">
            <v/>
          </cell>
        </row>
        <row r="2223">
          <cell r="S2223" t="str">
            <v/>
          </cell>
          <cell r="T2223" t="str">
            <v/>
          </cell>
        </row>
        <row r="2224">
          <cell r="S2224" t="str">
            <v/>
          </cell>
          <cell r="T2224" t="str">
            <v/>
          </cell>
        </row>
        <row r="2225">
          <cell r="S2225" t="str">
            <v/>
          </cell>
          <cell r="T2225" t="str">
            <v/>
          </cell>
        </row>
        <row r="2226">
          <cell r="S2226" t="str">
            <v/>
          </cell>
          <cell r="T2226" t="str">
            <v/>
          </cell>
        </row>
        <row r="2227">
          <cell r="S2227" t="str">
            <v/>
          </cell>
          <cell r="T2227" t="str">
            <v/>
          </cell>
        </row>
        <row r="2228">
          <cell r="S2228" t="str">
            <v/>
          </cell>
          <cell r="T2228" t="str">
            <v/>
          </cell>
        </row>
        <row r="2229">
          <cell r="S2229" t="str">
            <v/>
          </cell>
          <cell r="T2229" t="str">
            <v/>
          </cell>
        </row>
        <row r="2230">
          <cell r="S2230" t="str">
            <v/>
          </cell>
          <cell r="T2230" t="str">
            <v/>
          </cell>
        </row>
        <row r="2231">
          <cell r="S2231" t="str">
            <v/>
          </cell>
          <cell r="T2231" t="str">
            <v/>
          </cell>
        </row>
        <row r="2232">
          <cell r="S2232" t="str">
            <v/>
          </cell>
          <cell r="T2232" t="str">
            <v/>
          </cell>
        </row>
        <row r="2233">
          <cell r="S2233" t="str">
            <v/>
          </cell>
          <cell r="T2233" t="str">
            <v/>
          </cell>
        </row>
        <row r="2234">
          <cell r="S2234" t="str">
            <v/>
          </cell>
          <cell r="T2234" t="str">
            <v/>
          </cell>
        </row>
        <row r="2235">
          <cell r="S2235" t="str">
            <v/>
          </cell>
          <cell r="T2235" t="str">
            <v/>
          </cell>
        </row>
        <row r="2236">
          <cell r="S2236" t="str">
            <v/>
          </cell>
          <cell r="T2236" t="str">
            <v/>
          </cell>
        </row>
        <row r="2237">
          <cell r="S2237" t="str">
            <v/>
          </cell>
          <cell r="T2237" t="str">
            <v/>
          </cell>
        </row>
        <row r="2238">
          <cell r="S2238" t="str">
            <v/>
          </cell>
          <cell r="T2238" t="str">
            <v/>
          </cell>
        </row>
        <row r="2239">
          <cell r="S2239" t="str">
            <v/>
          </cell>
          <cell r="T2239" t="str">
            <v/>
          </cell>
        </row>
        <row r="2240">
          <cell r="S2240" t="str">
            <v/>
          </cell>
          <cell r="T2240" t="str">
            <v/>
          </cell>
        </row>
        <row r="2241">
          <cell r="S2241" t="str">
            <v/>
          </cell>
          <cell r="T2241" t="str">
            <v/>
          </cell>
        </row>
        <row r="2242">
          <cell r="S2242" t="str">
            <v/>
          </cell>
          <cell r="T2242" t="str">
            <v/>
          </cell>
        </row>
        <row r="2243">
          <cell r="S2243" t="str">
            <v/>
          </cell>
          <cell r="T2243" t="str">
            <v/>
          </cell>
        </row>
        <row r="2244">
          <cell r="S2244" t="str">
            <v/>
          </cell>
          <cell r="T2244" t="str">
            <v/>
          </cell>
        </row>
        <row r="2245">
          <cell r="S2245" t="str">
            <v/>
          </cell>
          <cell r="T2245" t="str">
            <v/>
          </cell>
        </row>
        <row r="2246">
          <cell r="S2246" t="str">
            <v/>
          </cell>
          <cell r="T2246" t="str">
            <v/>
          </cell>
        </row>
        <row r="2247">
          <cell r="S2247" t="str">
            <v/>
          </cell>
          <cell r="T2247" t="str">
            <v/>
          </cell>
        </row>
        <row r="2248">
          <cell r="S2248" t="str">
            <v/>
          </cell>
          <cell r="T2248" t="str">
            <v/>
          </cell>
        </row>
        <row r="2249">
          <cell r="S2249" t="str">
            <v/>
          </cell>
          <cell r="T2249" t="str">
            <v/>
          </cell>
        </row>
        <row r="2250">
          <cell r="S2250" t="str">
            <v/>
          </cell>
          <cell r="T2250" t="str">
            <v/>
          </cell>
        </row>
        <row r="2251">
          <cell r="S2251" t="str">
            <v/>
          </cell>
          <cell r="T2251" t="str">
            <v/>
          </cell>
        </row>
        <row r="2252">
          <cell r="S2252" t="str">
            <v/>
          </cell>
          <cell r="T2252" t="str">
            <v/>
          </cell>
        </row>
        <row r="2253">
          <cell r="S2253" t="str">
            <v/>
          </cell>
          <cell r="T2253" t="str">
            <v/>
          </cell>
        </row>
        <row r="2254">
          <cell r="S2254" t="str">
            <v/>
          </cell>
          <cell r="T2254" t="str">
            <v/>
          </cell>
        </row>
        <row r="2255">
          <cell r="S2255" t="str">
            <v/>
          </cell>
          <cell r="T2255" t="str">
            <v/>
          </cell>
        </row>
        <row r="2256">
          <cell r="S2256" t="str">
            <v/>
          </cell>
          <cell r="T2256" t="str">
            <v/>
          </cell>
        </row>
        <row r="2257">
          <cell r="S2257" t="str">
            <v/>
          </cell>
          <cell r="T2257" t="str">
            <v/>
          </cell>
        </row>
        <row r="2258">
          <cell r="S2258" t="str">
            <v/>
          </cell>
          <cell r="T2258" t="str">
            <v/>
          </cell>
        </row>
        <row r="2259">
          <cell r="S2259" t="str">
            <v/>
          </cell>
          <cell r="T2259" t="str">
            <v/>
          </cell>
        </row>
        <row r="2260">
          <cell r="S2260" t="str">
            <v/>
          </cell>
          <cell r="T2260" t="str">
            <v/>
          </cell>
        </row>
        <row r="2261">
          <cell r="S2261" t="str">
            <v/>
          </cell>
          <cell r="T2261" t="str">
            <v/>
          </cell>
        </row>
        <row r="2262">
          <cell r="S2262" t="str">
            <v/>
          </cell>
          <cell r="T2262" t="str">
            <v/>
          </cell>
        </row>
        <row r="2263">
          <cell r="S2263" t="str">
            <v/>
          </cell>
          <cell r="T2263" t="str">
            <v/>
          </cell>
        </row>
        <row r="2264">
          <cell r="S2264" t="str">
            <v/>
          </cell>
          <cell r="T2264" t="str">
            <v/>
          </cell>
        </row>
        <row r="2265">
          <cell r="S2265" t="str">
            <v/>
          </cell>
          <cell r="T2265" t="str">
            <v/>
          </cell>
        </row>
        <row r="2266">
          <cell r="S2266" t="str">
            <v/>
          </cell>
          <cell r="T2266" t="str">
            <v/>
          </cell>
        </row>
        <row r="2267">
          <cell r="S2267" t="str">
            <v/>
          </cell>
          <cell r="T2267" t="str">
            <v/>
          </cell>
        </row>
        <row r="2268">
          <cell r="S2268" t="str">
            <v/>
          </cell>
          <cell r="T2268" t="str">
            <v/>
          </cell>
        </row>
        <row r="2269">
          <cell r="S2269" t="str">
            <v/>
          </cell>
          <cell r="T2269" t="str">
            <v/>
          </cell>
        </row>
        <row r="2270">
          <cell r="S2270" t="str">
            <v/>
          </cell>
          <cell r="T2270" t="str">
            <v/>
          </cell>
        </row>
        <row r="2271">
          <cell r="S2271" t="str">
            <v/>
          </cell>
          <cell r="T2271" t="str">
            <v/>
          </cell>
        </row>
        <row r="2272">
          <cell r="S2272" t="str">
            <v/>
          </cell>
          <cell r="T2272" t="str">
            <v/>
          </cell>
        </row>
        <row r="2273">
          <cell r="S2273" t="str">
            <v/>
          </cell>
          <cell r="T2273" t="str">
            <v/>
          </cell>
        </row>
        <row r="2274">
          <cell r="S2274" t="str">
            <v/>
          </cell>
          <cell r="T2274" t="str">
            <v/>
          </cell>
        </row>
        <row r="2275">
          <cell r="S2275" t="str">
            <v/>
          </cell>
          <cell r="T2275" t="str">
            <v/>
          </cell>
        </row>
        <row r="2276">
          <cell r="S2276" t="str">
            <v/>
          </cell>
          <cell r="T2276" t="str">
            <v/>
          </cell>
        </row>
        <row r="2277">
          <cell r="S2277" t="str">
            <v/>
          </cell>
          <cell r="T2277" t="str">
            <v/>
          </cell>
        </row>
        <row r="2278">
          <cell r="S2278" t="str">
            <v/>
          </cell>
          <cell r="T2278" t="str">
            <v/>
          </cell>
        </row>
        <row r="2279">
          <cell r="S2279" t="str">
            <v/>
          </cell>
          <cell r="T2279" t="str">
            <v/>
          </cell>
        </row>
        <row r="2280">
          <cell r="S2280" t="str">
            <v/>
          </cell>
          <cell r="T2280" t="str">
            <v/>
          </cell>
        </row>
        <row r="2281">
          <cell r="S2281" t="str">
            <v/>
          </cell>
          <cell r="T2281" t="str">
            <v/>
          </cell>
        </row>
        <row r="2282">
          <cell r="S2282" t="str">
            <v/>
          </cell>
          <cell r="T2282" t="str">
            <v/>
          </cell>
        </row>
        <row r="2283">
          <cell r="S2283" t="str">
            <v/>
          </cell>
          <cell r="T2283" t="str">
            <v/>
          </cell>
        </row>
        <row r="2284">
          <cell r="S2284" t="str">
            <v/>
          </cell>
          <cell r="T2284" t="str">
            <v/>
          </cell>
        </row>
        <row r="2285">
          <cell r="S2285" t="str">
            <v/>
          </cell>
          <cell r="T2285" t="str">
            <v/>
          </cell>
        </row>
        <row r="2286">
          <cell r="S2286" t="str">
            <v/>
          </cell>
          <cell r="T2286" t="str">
            <v/>
          </cell>
        </row>
        <row r="2287">
          <cell r="S2287" t="str">
            <v/>
          </cell>
          <cell r="T2287" t="str">
            <v/>
          </cell>
        </row>
        <row r="2288">
          <cell r="S2288" t="str">
            <v/>
          </cell>
          <cell r="T2288" t="str">
            <v/>
          </cell>
        </row>
        <row r="2289">
          <cell r="S2289" t="str">
            <v/>
          </cell>
          <cell r="T2289" t="str">
            <v/>
          </cell>
        </row>
        <row r="2290">
          <cell r="S2290" t="str">
            <v/>
          </cell>
          <cell r="T2290" t="str">
            <v/>
          </cell>
        </row>
        <row r="2291">
          <cell r="S2291" t="str">
            <v/>
          </cell>
          <cell r="T2291" t="str">
            <v/>
          </cell>
        </row>
        <row r="2292">
          <cell r="S2292" t="str">
            <v/>
          </cell>
          <cell r="T2292" t="str">
            <v/>
          </cell>
        </row>
        <row r="2293">
          <cell r="S2293" t="str">
            <v/>
          </cell>
          <cell r="T2293" t="str">
            <v/>
          </cell>
        </row>
        <row r="2294">
          <cell r="S2294" t="str">
            <v/>
          </cell>
          <cell r="T2294" t="str">
            <v/>
          </cell>
        </row>
        <row r="2295">
          <cell r="S2295" t="str">
            <v/>
          </cell>
          <cell r="T2295" t="str">
            <v/>
          </cell>
        </row>
        <row r="2296">
          <cell r="S2296" t="str">
            <v/>
          </cell>
          <cell r="T2296" t="str">
            <v/>
          </cell>
        </row>
        <row r="2297">
          <cell r="S2297" t="str">
            <v/>
          </cell>
          <cell r="T2297" t="str">
            <v/>
          </cell>
        </row>
        <row r="2298">
          <cell r="S2298" t="str">
            <v/>
          </cell>
          <cell r="T2298" t="str">
            <v/>
          </cell>
        </row>
        <row r="2299">
          <cell r="S2299" t="str">
            <v/>
          </cell>
          <cell r="T2299" t="str">
            <v/>
          </cell>
        </row>
        <row r="2300">
          <cell r="S2300" t="str">
            <v/>
          </cell>
          <cell r="T2300" t="str">
            <v/>
          </cell>
        </row>
        <row r="2301">
          <cell r="S2301" t="str">
            <v/>
          </cell>
          <cell r="T2301" t="str">
            <v/>
          </cell>
        </row>
        <row r="2302">
          <cell r="S2302" t="str">
            <v/>
          </cell>
          <cell r="T2302" t="str">
            <v/>
          </cell>
        </row>
        <row r="2303">
          <cell r="S2303" t="str">
            <v/>
          </cell>
          <cell r="T2303" t="str">
            <v/>
          </cell>
        </row>
        <row r="2304">
          <cell r="S2304" t="str">
            <v/>
          </cell>
          <cell r="T2304" t="str">
            <v/>
          </cell>
        </row>
        <row r="2305">
          <cell r="S2305" t="str">
            <v/>
          </cell>
          <cell r="T2305" t="str">
            <v/>
          </cell>
        </row>
        <row r="2306">
          <cell r="S2306" t="str">
            <v/>
          </cell>
          <cell r="T2306" t="str">
            <v/>
          </cell>
        </row>
        <row r="2307">
          <cell r="S2307" t="str">
            <v/>
          </cell>
          <cell r="T2307" t="str">
            <v/>
          </cell>
        </row>
        <row r="2308">
          <cell r="S2308" t="str">
            <v/>
          </cell>
          <cell r="T2308" t="str">
            <v/>
          </cell>
        </row>
        <row r="2309">
          <cell r="S2309" t="str">
            <v/>
          </cell>
          <cell r="T2309" t="str">
            <v/>
          </cell>
        </row>
        <row r="2310">
          <cell r="S2310" t="str">
            <v/>
          </cell>
          <cell r="T2310" t="str">
            <v/>
          </cell>
        </row>
        <row r="2311">
          <cell r="S2311" t="str">
            <v/>
          </cell>
          <cell r="T2311" t="str">
            <v/>
          </cell>
        </row>
        <row r="2312">
          <cell r="S2312" t="str">
            <v/>
          </cell>
          <cell r="T2312" t="str">
            <v/>
          </cell>
        </row>
        <row r="2313">
          <cell r="S2313" t="str">
            <v/>
          </cell>
          <cell r="T2313" t="str">
            <v/>
          </cell>
        </row>
        <row r="2314">
          <cell r="S2314" t="str">
            <v/>
          </cell>
          <cell r="T2314" t="str">
            <v/>
          </cell>
        </row>
        <row r="2315">
          <cell r="S2315" t="str">
            <v/>
          </cell>
          <cell r="T2315" t="str">
            <v/>
          </cell>
        </row>
        <row r="2316">
          <cell r="S2316" t="str">
            <v/>
          </cell>
          <cell r="T2316" t="str">
            <v/>
          </cell>
        </row>
        <row r="2317">
          <cell r="S2317" t="str">
            <v/>
          </cell>
          <cell r="T2317" t="str">
            <v/>
          </cell>
        </row>
        <row r="2318">
          <cell r="S2318" t="str">
            <v/>
          </cell>
          <cell r="T2318" t="str">
            <v/>
          </cell>
        </row>
        <row r="2319">
          <cell r="S2319" t="str">
            <v/>
          </cell>
          <cell r="T2319" t="str">
            <v/>
          </cell>
        </row>
        <row r="2320">
          <cell r="S2320" t="str">
            <v/>
          </cell>
          <cell r="T2320" t="str">
            <v/>
          </cell>
        </row>
        <row r="2321">
          <cell r="S2321" t="str">
            <v/>
          </cell>
          <cell r="T2321" t="str">
            <v/>
          </cell>
        </row>
        <row r="2322">
          <cell r="S2322" t="str">
            <v/>
          </cell>
          <cell r="T2322" t="str">
            <v/>
          </cell>
        </row>
        <row r="2323">
          <cell r="S2323" t="str">
            <v/>
          </cell>
          <cell r="T2323" t="str">
            <v/>
          </cell>
        </row>
        <row r="2324">
          <cell r="S2324" t="str">
            <v/>
          </cell>
          <cell r="T2324" t="str">
            <v/>
          </cell>
        </row>
        <row r="2325">
          <cell r="S2325" t="str">
            <v/>
          </cell>
          <cell r="T2325" t="str">
            <v/>
          </cell>
        </row>
        <row r="2326">
          <cell r="S2326" t="str">
            <v/>
          </cell>
          <cell r="T2326" t="str">
            <v/>
          </cell>
        </row>
        <row r="2327">
          <cell r="S2327" t="str">
            <v/>
          </cell>
          <cell r="T2327" t="str">
            <v/>
          </cell>
        </row>
        <row r="2328">
          <cell r="S2328" t="str">
            <v/>
          </cell>
          <cell r="T2328" t="str">
            <v/>
          </cell>
        </row>
        <row r="2329">
          <cell r="S2329" t="str">
            <v/>
          </cell>
          <cell r="T2329" t="str">
            <v/>
          </cell>
        </row>
        <row r="2330">
          <cell r="S2330" t="str">
            <v/>
          </cell>
          <cell r="T2330" t="str">
            <v/>
          </cell>
        </row>
        <row r="2331">
          <cell r="S2331" t="str">
            <v/>
          </cell>
          <cell r="T2331" t="str">
            <v/>
          </cell>
        </row>
        <row r="2332">
          <cell r="S2332" t="str">
            <v/>
          </cell>
          <cell r="T2332" t="str">
            <v/>
          </cell>
        </row>
        <row r="2333">
          <cell r="S2333" t="str">
            <v/>
          </cell>
          <cell r="T2333" t="str">
            <v/>
          </cell>
        </row>
        <row r="2334">
          <cell r="S2334" t="str">
            <v/>
          </cell>
          <cell r="T2334" t="str">
            <v/>
          </cell>
        </row>
        <row r="2335">
          <cell r="S2335" t="str">
            <v/>
          </cell>
          <cell r="T2335" t="str">
            <v/>
          </cell>
        </row>
        <row r="2336">
          <cell r="S2336" t="str">
            <v/>
          </cell>
          <cell r="T2336" t="str">
            <v/>
          </cell>
        </row>
        <row r="2337">
          <cell r="S2337" t="str">
            <v/>
          </cell>
          <cell r="T2337" t="str">
            <v/>
          </cell>
        </row>
        <row r="2338">
          <cell r="S2338" t="str">
            <v/>
          </cell>
          <cell r="T2338" t="str">
            <v/>
          </cell>
        </row>
        <row r="2339">
          <cell r="S2339" t="str">
            <v/>
          </cell>
          <cell r="T2339" t="str">
            <v/>
          </cell>
        </row>
        <row r="2340">
          <cell r="S2340" t="str">
            <v/>
          </cell>
          <cell r="T2340" t="str">
            <v/>
          </cell>
        </row>
        <row r="2341">
          <cell r="S2341" t="str">
            <v/>
          </cell>
          <cell r="T2341" t="str">
            <v/>
          </cell>
        </row>
        <row r="2342">
          <cell r="S2342" t="str">
            <v/>
          </cell>
          <cell r="T2342" t="str">
            <v/>
          </cell>
        </row>
        <row r="2343">
          <cell r="S2343" t="str">
            <v/>
          </cell>
          <cell r="T2343" t="str">
            <v/>
          </cell>
        </row>
        <row r="2344">
          <cell r="S2344" t="str">
            <v/>
          </cell>
          <cell r="T2344" t="str">
            <v/>
          </cell>
        </row>
        <row r="2345">
          <cell r="S2345" t="str">
            <v/>
          </cell>
          <cell r="T2345" t="str">
            <v/>
          </cell>
        </row>
        <row r="2346">
          <cell r="S2346" t="str">
            <v/>
          </cell>
          <cell r="T2346" t="str">
            <v/>
          </cell>
        </row>
        <row r="2347">
          <cell r="S2347" t="str">
            <v/>
          </cell>
          <cell r="T2347" t="str">
            <v/>
          </cell>
        </row>
        <row r="2348">
          <cell r="S2348" t="str">
            <v/>
          </cell>
          <cell r="T2348" t="str">
            <v/>
          </cell>
        </row>
        <row r="2349">
          <cell r="S2349" t="str">
            <v/>
          </cell>
          <cell r="T2349" t="str">
            <v/>
          </cell>
        </row>
        <row r="2350">
          <cell r="S2350" t="str">
            <v/>
          </cell>
          <cell r="T2350" t="str">
            <v/>
          </cell>
        </row>
        <row r="2351">
          <cell r="S2351" t="str">
            <v/>
          </cell>
          <cell r="T2351" t="str">
            <v/>
          </cell>
        </row>
        <row r="2352">
          <cell r="S2352" t="str">
            <v/>
          </cell>
          <cell r="T2352" t="str">
            <v/>
          </cell>
        </row>
        <row r="2353">
          <cell r="S2353" t="str">
            <v/>
          </cell>
          <cell r="T2353" t="str">
            <v/>
          </cell>
        </row>
        <row r="2354">
          <cell r="S2354" t="str">
            <v/>
          </cell>
          <cell r="T2354" t="str">
            <v/>
          </cell>
        </row>
        <row r="2355">
          <cell r="S2355" t="str">
            <v/>
          </cell>
          <cell r="T2355" t="str">
            <v/>
          </cell>
        </row>
        <row r="2356">
          <cell r="S2356" t="str">
            <v/>
          </cell>
          <cell r="T2356" t="str">
            <v/>
          </cell>
        </row>
        <row r="2357">
          <cell r="S2357" t="str">
            <v/>
          </cell>
          <cell r="T2357" t="str">
            <v/>
          </cell>
        </row>
        <row r="2358">
          <cell r="S2358" t="str">
            <v/>
          </cell>
          <cell r="T2358" t="str">
            <v/>
          </cell>
        </row>
        <row r="2359">
          <cell r="S2359" t="str">
            <v/>
          </cell>
          <cell r="T2359" t="str">
            <v/>
          </cell>
        </row>
        <row r="2360">
          <cell r="S2360" t="str">
            <v/>
          </cell>
          <cell r="T2360" t="str">
            <v/>
          </cell>
        </row>
        <row r="2361">
          <cell r="S2361" t="str">
            <v/>
          </cell>
          <cell r="T2361" t="str">
            <v/>
          </cell>
        </row>
        <row r="2362">
          <cell r="S2362" t="str">
            <v/>
          </cell>
          <cell r="T2362" t="str">
            <v/>
          </cell>
        </row>
        <row r="2363">
          <cell r="S2363" t="str">
            <v/>
          </cell>
          <cell r="T2363" t="str">
            <v/>
          </cell>
        </row>
        <row r="2364">
          <cell r="S2364" t="str">
            <v/>
          </cell>
          <cell r="T2364" t="str">
            <v/>
          </cell>
        </row>
        <row r="2365">
          <cell r="S2365" t="str">
            <v/>
          </cell>
          <cell r="T2365" t="str">
            <v/>
          </cell>
        </row>
        <row r="2366">
          <cell r="S2366" t="str">
            <v/>
          </cell>
          <cell r="T2366" t="str">
            <v/>
          </cell>
        </row>
        <row r="2367">
          <cell r="S2367" t="str">
            <v/>
          </cell>
          <cell r="T2367" t="str">
            <v/>
          </cell>
        </row>
        <row r="2368">
          <cell r="S2368" t="str">
            <v/>
          </cell>
          <cell r="T2368" t="str">
            <v/>
          </cell>
        </row>
        <row r="2369">
          <cell r="S2369" t="str">
            <v/>
          </cell>
          <cell r="T2369" t="str">
            <v/>
          </cell>
        </row>
        <row r="2370">
          <cell r="S2370" t="str">
            <v/>
          </cell>
          <cell r="T2370" t="str">
            <v/>
          </cell>
        </row>
        <row r="2371">
          <cell r="S2371" t="str">
            <v/>
          </cell>
          <cell r="T2371" t="str">
            <v/>
          </cell>
        </row>
        <row r="2372">
          <cell r="S2372" t="str">
            <v/>
          </cell>
          <cell r="T2372" t="str">
            <v/>
          </cell>
        </row>
        <row r="2373">
          <cell r="S2373" t="str">
            <v/>
          </cell>
          <cell r="T2373" t="str">
            <v/>
          </cell>
        </row>
        <row r="2374">
          <cell r="S2374" t="str">
            <v/>
          </cell>
          <cell r="T2374" t="str">
            <v/>
          </cell>
        </row>
        <row r="2375">
          <cell r="S2375" t="str">
            <v/>
          </cell>
          <cell r="T2375" t="str">
            <v/>
          </cell>
        </row>
        <row r="2376">
          <cell r="S2376" t="str">
            <v/>
          </cell>
          <cell r="T2376" t="str">
            <v/>
          </cell>
        </row>
        <row r="2377">
          <cell r="S2377" t="str">
            <v/>
          </cell>
          <cell r="T2377" t="str">
            <v/>
          </cell>
        </row>
        <row r="2378">
          <cell r="S2378" t="str">
            <v/>
          </cell>
          <cell r="T2378" t="str">
            <v/>
          </cell>
        </row>
        <row r="2379">
          <cell r="S2379" t="str">
            <v/>
          </cell>
          <cell r="T2379" t="str">
            <v/>
          </cell>
        </row>
        <row r="2380">
          <cell r="S2380" t="str">
            <v/>
          </cell>
          <cell r="T2380" t="str">
            <v/>
          </cell>
        </row>
        <row r="2381">
          <cell r="S2381" t="str">
            <v/>
          </cell>
          <cell r="T2381" t="str">
            <v/>
          </cell>
        </row>
        <row r="2382">
          <cell r="S2382" t="str">
            <v/>
          </cell>
          <cell r="T2382" t="str">
            <v/>
          </cell>
        </row>
        <row r="2383">
          <cell r="S2383" t="str">
            <v/>
          </cell>
          <cell r="T2383" t="str">
            <v/>
          </cell>
        </row>
        <row r="2384">
          <cell r="S2384" t="str">
            <v/>
          </cell>
          <cell r="T2384" t="str">
            <v/>
          </cell>
        </row>
        <row r="2385">
          <cell r="S2385" t="str">
            <v/>
          </cell>
          <cell r="T2385" t="str">
            <v/>
          </cell>
        </row>
        <row r="2386">
          <cell r="S2386" t="str">
            <v/>
          </cell>
          <cell r="T2386" t="str">
            <v/>
          </cell>
        </row>
        <row r="2387">
          <cell r="S2387" t="str">
            <v/>
          </cell>
          <cell r="T2387" t="str">
            <v/>
          </cell>
        </row>
        <row r="2388">
          <cell r="S2388" t="str">
            <v/>
          </cell>
          <cell r="T2388" t="str">
            <v/>
          </cell>
        </row>
        <row r="2389">
          <cell r="S2389" t="str">
            <v/>
          </cell>
          <cell r="T2389" t="str">
            <v/>
          </cell>
        </row>
        <row r="2390">
          <cell r="S2390" t="str">
            <v/>
          </cell>
          <cell r="T2390" t="str">
            <v/>
          </cell>
        </row>
        <row r="2391">
          <cell r="S2391" t="str">
            <v/>
          </cell>
          <cell r="T2391" t="str">
            <v/>
          </cell>
        </row>
        <row r="2392">
          <cell r="S2392" t="str">
            <v/>
          </cell>
          <cell r="T2392" t="str">
            <v/>
          </cell>
        </row>
        <row r="2393">
          <cell r="S2393" t="str">
            <v/>
          </cell>
          <cell r="T2393" t="str">
            <v/>
          </cell>
        </row>
        <row r="2394">
          <cell r="S2394" t="str">
            <v/>
          </cell>
          <cell r="T2394" t="str">
            <v/>
          </cell>
        </row>
        <row r="2395">
          <cell r="S2395" t="str">
            <v/>
          </cell>
          <cell r="T2395" t="str">
            <v/>
          </cell>
        </row>
        <row r="2396">
          <cell r="S2396" t="str">
            <v/>
          </cell>
          <cell r="T2396" t="str">
            <v/>
          </cell>
        </row>
        <row r="2397">
          <cell r="S2397" t="str">
            <v/>
          </cell>
          <cell r="T2397" t="str">
            <v/>
          </cell>
        </row>
        <row r="2398">
          <cell r="S2398" t="str">
            <v/>
          </cell>
          <cell r="T2398" t="str">
            <v/>
          </cell>
        </row>
        <row r="2399">
          <cell r="S2399" t="str">
            <v/>
          </cell>
          <cell r="T2399" t="str">
            <v/>
          </cell>
        </row>
        <row r="2400">
          <cell r="S2400" t="str">
            <v/>
          </cell>
          <cell r="T2400" t="str">
            <v/>
          </cell>
        </row>
        <row r="2401">
          <cell r="S2401" t="str">
            <v/>
          </cell>
          <cell r="T2401" t="str">
            <v/>
          </cell>
        </row>
        <row r="2402">
          <cell r="S2402" t="str">
            <v/>
          </cell>
          <cell r="T2402" t="str">
            <v/>
          </cell>
        </row>
        <row r="2403">
          <cell r="S2403" t="str">
            <v/>
          </cell>
          <cell r="T2403" t="str">
            <v/>
          </cell>
        </row>
        <row r="2404">
          <cell r="S2404" t="str">
            <v/>
          </cell>
          <cell r="T2404" t="str">
            <v/>
          </cell>
        </row>
        <row r="2405">
          <cell r="S2405" t="str">
            <v/>
          </cell>
          <cell r="T2405" t="str">
            <v/>
          </cell>
        </row>
        <row r="2406">
          <cell r="S2406" t="str">
            <v/>
          </cell>
          <cell r="T2406" t="str">
            <v/>
          </cell>
        </row>
        <row r="2407">
          <cell r="S2407" t="str">
            <v/>
          </cell>
          <cell r="T2407" t="str">
            <v/>
          </cell>
        </row>
        <row r="2408">
          <cell r="S2408" t="str">
            <v/>
          </cell>
          <cell r="T2408" t="str">
            <v/>
          </cell>
        </row>
        <row r="2409">
          <cell r="S2409" t="str">
            <v/>
          </cell>
          <cell r="T2409" t="str">
            <v/>
          </cell>
        </row>
        <row r="2410">
          <cell r="S2410" t="str">
            <v/>
          </cell>
          <cell r="T2410" t="str">
            <v/>
          </cell>
        </row>
        <row r="2411">
          <cell r="S2411" t="str">
            <v/>
          </cell>
          <cell r="T2411" t="str">
            <v/>
          </cell>
        </row>
        <row r="2412">
          <cell r="S2412" t="str">
            <v/>
          </cell>
          <cell r="T2412" t="str">
            <v/>
          </cell>
        </row>
        <row r="2413">
          <cell r="S2413" t="str">
            <v/>
          </cell>
          <cell r="T2413" t="str">
            <v/>
          </cell>
        </row>
        <row r="2414">
          <cell r="S2414" t="str">
            <v/>
          </cell>
          <cell r="T2414" t="str">
            <v/>
          </cell>
        </row>
        <row r="2415">
          <cell r="S2415" t="str">
            <v/>
          </cell>
          <cell r="T2415" t="str">
            <v/>
          </cell>
        </row>
        <row r="2416">
          <cell r="S2416" t="str">
            <v/>
          </cell>
          <cell r="T2416" t="str">
            <v/>
          </cell>
        </row>
        <row r="2417">
          <cell r="S2417" t="str">
            <v/>
          </cell>
          <cell r="T2417" t="str">
            <v/>
          </cell>
        </row>
        <row r="2418">
          <cell r="S2418" t="str">
            <v/>
          </cell>
          <cell r="T2418" t="str">
            <v/>
          </cell>
        </row>
        <row r="2419">
          <cell r="S2419" t="str">
            <v/>
          </cell>
          <cell r="T2419" t="str">
            <v/>
          </cell>
        </row>
        <row r="2420">
          <cell r="S2420" t="str">
            <v/>
          </cell>
          <cell r="T2420" t="str">
            <v/>
          </cell>
        </row>
        <row r="2421">
          <cell r="S2421" t="str">
            <v/>
          </cell>
          <cell r="T2421" t="str">
            <v/>
          </cell>
        </row>
        <row r="2422">
          <cell r="S2422" t="str">
            <v/>
          </cell>
          <cell r="T2422" t="str">
            <v/>
          </cell>
        </row>
        <row r="2423">
          <cell r="S2423" t="str">
            <v/>
          </cell>
          <cell r="T2423" t="str">
            <v/>
          </cell>
        </row>
        <row r="2424">
          <cell r="S2424" t="str">
            <v/>
          </cell>
          <cell r="T2424" t="str">
            <v/>
          </cell>
        </row>
        <row r="2425">
          <cell r="S2425" t="str">
            <v/>
          </cell>
          <cell r="T2425" t="str">
            <v/>
          </cell>
        </row>
        <row r="2426">
          <cell r="S2426" t="str">
            <v/>
          </cell>
          <cell r="T2426" t="str">
            <v/>
          </cell>
        </row>
        <row r="2427">
          <cell r="S2427" t="str">
            <v/>
          </cell>
          <cell r="T2427" t="str">
            <v/>
          </cell>
        </row>
        <row r="2428">
          <cell r="S2428" t="str">
            <v/>
          </cell>
          <cell r="T2428" t="str">
            <v/>
          </cell>
        </row>
        <row r="2429">
          <cell r="S2429" t="str">
            <v/>
          </cell>
          <cell r="T2429" t="str">
            <v/>
          </cell>
        </row>
        <row r="2430">
          <cell r="S2430" t="str">
            <v/>
          </cell>
          <cell r="T2430" t="str">
            <v/>
          </cell>
        </row>
        <row r="2431">
          <cell r="S2431" t="str">
            <v/>
          </cell>
          <cell r="T2431" t="str">
            <v/>
          </cell>
        </row>
        <row r="2432">
          <cell r="S2432" t="str">
            <v/>
          </cell>
          <cell r="T2432" t="str">
            <v/>
          </cell>
        </row>
        <row r="2433">
          <cell r="S2433" t="str">
            <v/>
          </cell>
          <cell r="T2433" t="str">
            <v/>
          </cell>
        </row>
        <row r="2434">
          <cell r="S2434" t="str">
            <v/>
          </cell>
          <cell r="T2434" t="str">
            <v/>
          </cell>
        </row>
        <row r="2435">
          <cell r="S2435" t="str">
            <v/>
          </cell>
          <cell r="T2435" t="str">
            <v/>
          </cell>
        </row>
        <row r="2436">
          <cell r="S2436" t="str">
            <v/>
          </cell>
          <cell r="T2436" t="str">
            <v/>
          </cell>
        </row>
        <row r="2437">
          <cell r="S2437" t="str">
            <v/>
          </cell>
          <cell r="T2437" t="str">
            <v/>
          </cell>
        </row>
        <row r="2438">
          <cell r="S2438" t="str">
            <v/>
          </cell>
          <cell r="T2438" t="str">
            <v/>
          </cell>
        </row>
        <row r="2439">
          <cell r="S2439" t="str">
            <v/>
          </cell>
          <cell r="T2439" t="str">
            <v/>
          </cell>
        </row>
        <row r="2440">
          <cell r="S2440" t="str">
            <v/>
          </cell>
          <cell r="T2440" t="str">
            <v/>
          </cell>
        </row>
        <row r="2441">
          <cell r="S2441" t="str">
            <v/>
          </cell>
          <cell r="T2441" t="str">
            <v/>
          </cell>
        </row>
        <row r="2442">
          <cell r="S2442" t="str">
            <v/>
          </cell>
          <cell r="T2442" t="str">
            <v/>
          </cell>
        </row>
        <row r="2443">
          <cell r="S2443" t="str">
            <v/>
          </cell>
          <cell r="T2443" t="str">
            <v/>
          </cell>
        </row>
        <row r="2444">
          <cell r="S2444" t="str">
            <v/>
          </cell>
          <cell r="T2444" t="str">
            <v/>
          </cell>
        </row>
        <row r="2445">
          <cell r="S2445" t="str">
            <v/>
          </cell>
          <cell r="T2445" t="str">
            <v/>
          </cell>
        </row>
        <row r="2446">
          <cell r="S2446" t="str">
            <v/>
          </cell>
          <cell r="T2446" t="str">
            <v/>
          </cell>
        </row>
        <row r="2447">
          <cell r="S2447" t="str">
            <v/>
          </cell>
          <cell r="T2447" t="str">
            <v/>
          </cell>
        </row>
        <row r="2448">
          <cell r="S2448" t="str">
            <v/>
          </cell>
          <cell r="T2448" t="str">
            <v/>
          </cell>
        </row>
        <row r="2449">
          <cell r="S2449" t="str">
            <v/>
          </cell>
          <cell r="T2449" t="str">
            <v/>
          </cell>
        </row>
        <row r="2450">
          <cell r="S2450" t="str">
            <v/>
          </cell>
          <cell r="T2450" t="str">
            <v/>
          </cell>
        </row>
        <row r="2451">
          <cell r="S2451" t="str">
            <v/>
          </cell>
          <cell r="T2451" t="str">
            <v/>
          </cell>
        </row>
        <row r="2452">
          <cell r="S2452" t="str">
            <v/>
          </cell>
          <cell r="T2452" t="str">
            <v/>
          </cell>
        </row>
        <row r="2453">
          <cell r="S2453" t="str">
            <v/>
          </cell>
          <cell r="T2453" t="str">
            <v/>
          </cell>
        </row>
        <row r="2454">
          <cell r="S2454" t="str">
            <v/>
          </cell>
          <cell r="T2454" t="str">
            <v/>
          </cell>
        </row>
        <row r="2455">
          <cell r="S2455" t="str">
            <v/>
          </cell>
          <cell r="T2455" t="str">
            <v/>
          </cell>
        </row>
        <row r="2456">
          <cell r="S2456" t="str">
            <v/>
          </cell>
          <cell r="T2456" t="str">
            <v/>
          </cell>
        </row>
        <row r="2457">
          <cell r="S2457" t="str">
            <v/>
          </cell>
          <cell r="T2457" t="str">
            <v/>
          </cell>
        </row>
        <row r="2458">
          <cell r="S2458" t="str">
            <v/>
          </cell>
          <cell r="T2458" t="str">
            <v/>
          </cell>
        </row>
        <row r="2459">
          <cell r="S2459" t="str">
            <v/>
          </cell>
          <cell r="T2459" t="str">
            <v/>
          </cell>
        </row>
        <row r="2460">
          <cell r="S2460" t="str">
            <v/>
          </cell>
          <cell r="T2460" t="str">
            <v/>
          </cell>
        </row>
        <row r="2461">
          <cell r="S2461" t="str">
            <v/>
          </cell>
          <cell r="T2461" t="str">
            <v/>
          </cell>
        </row>
        <row r="2462">
          <cell r="S2462" t="str">
            <v/>
          </cell>
          <cell r="T2462" t="str">
            <v/>
          </cell>
        </row>
        <row r="2463">
          <cell r="S2463" t="str">
            <v/>
          </cell>
          <cell r="T2463" t="str">
            <v/>
          </cell>
        </row>
        <row r="2464">
          <cell r="S2464" t="str">
            <v/>
          </cell>
          <cell r="T2464" t="str">
            <v/>
          </cell>
        </row>
        <row r="2465">
          <cell r="S2465" t="str">
            <v/>
          </cell>
          <cell r="T2465" t="str">
            <v/>
          </cell>
        </row>
        <row r="2466">
          <cell r="S2466" t="str">
            <v/>
          </cell>
          <cell r="T2466" t="str">
            <v/>
          </cell>
        </row>
        <row r="2467">
          <cell r="S2467" t="str">
            <v/>
          </cell>
          <cell r="T2467" t="str">
            <v/>
          </cell>
        </row>
        <row r="2468">
          <cell r="S2468" t="str">
            <v/>
          </cell>
          <cell r="T2468" t="str">
            <v/>
          </cell>
        </row>
        <row r="2469">
          <cell r="S2469" t="str">
            <v/>
          </cell>
          <cell r="T2469" t="str">
            <v/>
          </cell>
        </row>
        <row r="2470">
          <cell r="S2470" t="str">
            <v/>
          </cell>
          <cell r="T2470" t="str">
            <v/>
          </cell>
        </row>
        <row r="2471">
          <cell r="S2471" t="str">
            <v/>
          </cell>
          <cell r="T2471" t="str">
            <v/>
          </cell>
        </row>
        <row r="2472">
          <cell r="S2472" t="str">
            <v/>
          </cell>
          <cell r="T2472" t="str">
            <v/>
          </cell>
        </row>
        <row r="2473">
          <cell r="S2473" t="str">
            <v/>
          </cell>
          <cell r="T2473" t="str">
            <v/>
          </cell>
        </row>
        <row r="2474">
          <cell r="S2474" t="str">
            <v/>
          </cell>
          <cell r="T2474" t="str">
            <v/>
          </cell>
        </row>
        <row r="2475">
          <cell r="S2475" t="str">
            <v/>
          </cell>
          <cell r="T2475" t="str">
            <v/>
          </cell>
        </row>
        <row r="2476">
          <cell r="S2476" t="str">
            <v/>
          </cell>
          <cell r="T2476" t="str">
            <v/>
          </cell>
        </row>
        <row r="2477">
          <cell r="S2477" t="str">
            <v/>
          </cell>
          <cell r="T2477" t="str">
            <v/>
          </cell>
        </row>
        <row r="2478">
          <cell r="S2478" t="str">
            <v/>
          </cell>
          <cell r="T2478" t="str">
            <v/>
          </cell>
        </row>
        <row r="2479">
          <cell r="S2479" t="str">
            <v/>
          </cell>
          <cell r="T2479" t="str">
            <v/>
          </cell>
        </row>
        <row r="2480">
          <cell r="S2480" t="str">
            <v/>
          </cell>
          <cell r="T2480" t="str">
            <v/>
          </cell>
        </row>
        <row r="2481">
          <cell r="S2481" t="str">
            <v/>
          </cell>
          <cell r="T2481" t="str">
            <v/>
          </cell>
        </row>
        <row r="2482">
          <cell r="S2482" t="str">
            <v/>
          </cell>
          <cell r="T2482" t="str">
            <v/>
          </cell>
        </row>
        <row r="2483">
          <cell r="S2483" t="str">
            <v/>
          </cell>
          <cell r="T2483" t="str">
            <v/>
          </cell>
        </row>
        <row r="2484">
          <cell r="S2484" t="str">
            <v/>
          </cell>
          <cell r="T2484" t="str">
            <v/>
          </cell>
        </row>
        <row r="2485">
          <cell r="S2485" t="str">
            <v/>
          </cell>
          <cell r="T2485" t="str">
            <v/>
          </cell>
        </row>
        <row r="2486">
          <cell r="S2486" t="str">
            <v/>
          </cell>
          <cell r="T2486" t="str">
            <v/>
          </cell>
        </row>
        <row r="2487">
          <cell r="S2487" t="str">
            <v/>
          </cell>
          <cell r="T2487" t="str">
            <v/>
          </cell>
        </row>
        <row r="2488">
          <cell r="S2488" t="str">
            <v/>
          </cell>
          <cell r="T2488" t="str">
            <v/>
          </cell>
        </row>
        <row r="2489">
          <cell r="S2489" t="str">
            <v/>
          </cell>
          <cell r="T2489" t="str">
            <v/>
          </cell>
        </row>
        <row r="2490">
          <cell r="S2490" t="str">
            <v/>
          </cell>
          <cell r="T2490" t="str">
            <v/>
          </cell>
        </row>
        <row r="2491">
          <cell r="S2491" t="str">
            <v/>
          </cell>
          <cell r="T2491" t="str">
            <v/>
          </cell>
        </row>
        <row r="2492">
          <cell r="S2492" t="str">
            <v/>
          </cell>
          <cell r="T2492" t="str">
            <v/>
          </cell>
        </row>
        <row r="2493">
          <cell r="S2493" t="str">
            <v/>
          </cell>
          <cell r="T2493" t="str">
            <v/>
          </cell>
        </row>
        <row r="2494">
          <cell r="S2494" t="str">
            <v/>
          </cell>
          <cell r="T2494" t="str">
            <v/>
          </cell>
        </row>
        <row r="2495">
          <cell r="S2495" t="str">
            <v/>
          </cell>
          <cell r="T2495" t="str">
            <v/>
          </cell>
        </row>
        <row r="2496">
          <cell r="S2496" t="str">
            <v/>
          </cell>
          <cell r="T2496" t="str">
            <v/>
          </cell>
        </row>
        <row r="2497">
          <cell r="S2497" t="str">
            <v/>
          </cell>
          <cell r="T2497" t="str">
            <v/>
          </cell>
        </row>
        <row r="2498">
          <cell r="S2498" t="str">
            <v/>
          </cell>
          <cell r="T2498" t="str">
            <v/>
          </cell>
        </row>
        <row r="2499">
          <cell r="S2499" t="str">
            <v/>
          </cell>
          <cell r="T2499" t="str">
            <v/>
          </cell>
        </row>
        <row r="2500">
          <cell r="S2500" t="str">
            <v/>
          </cell>
          <cell r="T2500" t="str">
            <v/>
          </cell>
        </row>
        <row r="2501">
          <cell r="S2501" t="str">
            <v/>
          </cell>
          <cell r="T2501" t="str">
            <v/>
          </cell>
        </row>
        <row r="2502">
          <cell r="S2502" t="str">
            <v/>
          </cell>
          <cell r="T2502" t="str">
            <v/>
          </cell>
        </row>
        <row r="2503">
          <cell r="S2503" t="str">
            <v/>
          </cell>
          <cell r="T2503" t="str">
            <v/>
          </cell>
        </row>
        <row r="2504">
          <cell r="S2504" t="str">
            <v/>
          </cell>
          <cell r="T2504" t="str">
            <v/>
          </cell>
        </row>
        <row r="2505">
          <cell r="S2505" t="str">
            <v/>
          </cell>
          <cell r="T2505" t="str">
            <v/>
          </cell>
        </row>
        <row r="2506">
          <cell r="S2506" t="str">
            <v/>
          </cell>
          <cell r="T2506" t="str">
            <v/>
          </cell>
        </row>
        <row r="2507">
          <cell r="S2507" t="str">
            <v/>
          </cell>
          <cell r="T2507" t="str">
            <v/>
          </cell>
        </row>
        <row r="2508">
          <cell r="S2508" t="str">
            <v/>
          </cell>
          <cell r="T2508" t="str">
            <v/>
          </cell>
        </row>
        <row r="2509">
          <cell r="S2509" t="str">
            <v/>
          </cell>
          <cell r="T2509" t="str">
            <v/>
          </cell>
        </row>
        <row r="2510">
          <cell r="S2510" t="str">
            <v/>
          </cell>
          <cell r="T2510" t="str">
            <v/>
          </cell>
        </row>
        <row r="2511">
          <cell r="S2511" t="str">
            <v/>
          </cell>
          <cell r="T2511" t="str">
            <v/>
          </cell>
        </row>
        <row r="2512">
          <cell r="S2512" t="str">
            <v/>
          </cell>
          <cell r="T2512" t="str">
            <v/>
          </cell>
        </row>
        <row r="2513">
          <cell r="S2513" t="str">
            <v/>
          </cell>
          <cell r="T2513" t="str">
            <v/>
          </cell>
        </row>
        <row r="2514">
          <cell r="S2514" t="str">
            <v/>
          </cell>
          <cell r="T2514" t="str">
            <v/>
          </cell>
        </row>
        <row r="2515">
          <cell r="S2515" t="str">
            <v/>
          </cell>
          <cell r="T2515" t="str">
            <v/>
          </cell>
        </row>
        <row r="2516">
          <cell r="S2516" t="str">
            <v/>
          </cell>
          <cell r="T2516" t="str">
            <v/>
          </cell>
        </row>
        <row r="2517">
          <cell r="S2517" t="str">
            <v/>
          </cell>
          <cell r="T2517" t="str">
            <v/>
          </cell>
        </row>
        <row r="2518">
          <cell r="S2518" t="str">
            <v/>
          </cell>
          <cell r="T2518" t="str">
            <v/>
          </cell>
        </row>
        <row r="2519">
          <cell r="S2519" t="str">
            <v/>
          </cell>
          <cell r="T2519" t="str">
            <v/>
          </cell>
        </row>
        <row r="2520">
          <cell r="S2520" t="str">
            <v/>
          </cell>
          <cell r="T2520" t="str">
            <v/>
          </cell>
        </row>
        <row r="2521">
          <cell r="S2521" t="str">
            <v/>
          </cell>
          <cell r="T2521" t="str">
            <v/>
          </cell>
        </row>
        <row r="2522">
          <cell r="S2522" t="str">
            <v/>
          </cell>
          <cell r="T2522" t="str">
            <v/>
          </cell>
        </row>
        <row r="2523">
          <cell r="S2523" t="str">
            <v/>
          </cell>
          <cell r="T2523" t="str">
            <v/>
          </cell>
        </row>
        <row r="2524">
          <cell r="S2524" t="str">
            <v/>
          </cell>
          <cell r="T2524" t="str">
            <v/>
          </cell>
        </row>
        <row r="2525">
          <cell r="S2525" t="str">
            <v/>
          </cell>
          <cell r="T2525" t="str">
            <v/>
          </cell>
        </row>
        <row r="2526">
          <cell r="S2526" t="str">
            <v/>
          </cell>
          <cell r="T2526" t="str">
            <v/>
          </cell>
        </row>
        <row r="2527">
          <cell r="S2527" t="str">
            <v/>
          </cell>
          <cell r="T2527" t="str">
            <v/>
          </cell>
        </row>
        <row r="2528">
          <cell r="S2528" t="str">
            <v/>
          </cell>
          <cell r="T2528" t="str">
            <v/>
          </cell>
        </row>
        <row r="2529">
          <cell r="S2529" t="str">
            <v/>
          </cell>
          <cell r="T2529" t="str">
            <v/>
          </cell>
        </row>
        <row r="2530">
          <cell r="S2530" t="str">
            <v/>
          </cell>
          <cell r="T2530" t="str">
            <v/>
          </cell>
        </row>
      </sheetData>
      <sheetData sheetId="19" refreshError="1">
        <row r="6">
          <cell r="L6">
            <v>13000000</v>
          </cell>
          <cell r="Q6" t="str">
            <v>1110</v>
          </cell>
          <cell r="R6" t="str">
            <v>131hïng</v>
          </cell>
        </row>
        <row r="7">
          <cell r="L7">
            <v>380000</v>
          </cell>
          <cell r="Q7" t="str">
            <v>642bv</v>
          </cell>
          <cell r="R7" t="str">
            <v>1110</v>
          </cell>
        </row>
        <row r="8">
          <cell r="L8">
            <v>300000</v>
          </cell>
          <cell r="Q8" t="str">
            <v>1110</v>
          </cell>
          <cell r="R8" t="str">
            <v>141tþ</v>
          </cell>
        </row>
        <row r="9">
          <cell r="L9">
            <v>19500000</v>
          </cell>
          <cell r="Q9" t="str">
            <v>311nk2</v>
          </cell>
          <cell r="R9" t="str">
            <v>1110</v>
          </cell>
        </row>
        <row r="10">
          <cell r="L10">
            <v>1846455</v>
          </cell>
          <cell r="Q10" t="str">
            <v>642vp</v>
          </cell>
          <cell r="R10" t="str">
            <v>1110</v>
          </cell>
        </row>
        <row r="11">
          <cell r="L11">
            <v>184645</v>
          </cell>
          <cell r="Q11" t="str">
            <v>1331331</v>
          </cell>
          <cell r="R11" t="str">
            <v>1110</v>
          </cell>
        </row>
        <row r="12">
          <cell r="L12">
            <v>480000</v>
          </cell>
          <cell r="Q12" t="str">
            <v>1110</v>
          </cell>
          <cell r="R12" t="str">
            <v>511ks</v>
          </cell>
        </row>
        <row r="13">
          <cell r="L13">
            <v>48000</v>
          </cell>
          <cell r="Q13" t="str">
            <v>1110</v>
          </cell>
          <cell r="R13" t="str">
            <v>3333331</v>
          </cell>
        </row>
        <row r="14">
          <cell r="L14">
            <v>41600000</v>
          </cell>
          <cell r="Q14" t="str">
            <v>1110</v>
          </cell>
          <cell r="R14" t="str">
            <v>131h­¬ng</v>
          </cell>
        </row>
        <row r="15">
          <cell r="L15">
            <v>147175000</v>
          </cell>
          <cell r="Q15" t="str">
            <v>1110</v>
          </cell>
          <cell r="R15" t="str">
            <v>131hais¬n</v>
          </cell>
        </row>
        <row r="16">
          <cell r="L16">
            <v>41600000</v>
          </cell>
          <cell r="Q16" t="str">
            <v>311nk2</v>
          </cell>
          <cell r="R16" t="str">
            <v>1110</v>
          </cell>
        </row>
        <row r="17">
          <cell r="L17">
            <v>2385000</v>
          </cell>
          <cell r="Q17" t="str">
            <v>642dc</v>
          </cell>
          <cell r="R17" t="str">
            <v>1110</v>
          </cell>
        </row>
        <row r="18">
          <cell r="L18">
            <v>112000000</v>
          </cell>
          <cell r="Q18" t="str">
            <v>311nk2</v>
          </cell>
          <cell r="R18" t="str">
            <v>1110</v>
          </cell>
        </row>
        <row r="19">
          <cell r="L19">
            <v>554546</v>
          </cell>
          <cell r="Q19" t="str">
            <v>1110</v>
          </cell>
          <cell r="R19" t="str">
            <v>511ks</v>
          </cell>
        </row>
        <row r="20">
          <cell r="L20">
            <v>55454</v>
          </cell>
          <cell r="Q20" t="str">
            <v>1110</v>
          </cell>
          <cell r="R20" t="str">
            <v>3333331</v>
          </cell>
        </row>
        <row r="21">
          <cell r="L21">
            <v>30000000</v>
          </cell>
          <cell r="Q21" t="str">
            <v>1110</v>
          </cell>
          <cell r="R21" t="str">
            <v>131hs¬n</v>
          </cell>
        </row>
        <row r="22">
          <cell r="L22">
            <v>12800000</v>
          </cell>
          <cell r="Q22" t="str">
            <v>1110</v>
          </cell>
          <cell r="R22" t="str">
            <v>131h­¬ng</v>
          </cell>
        </row>
        <row r="23">
          <cell r="L23">
            <v>12800000</v>
          </cell>
          <cell r="Q23" t="str">
            <v>311nk2</v>
          </cell>
          <cell r="R23" t="str">
            <v>1110</v>
          </cell>
        </row>
        <row r="24">
          <cell r="L24">
            <v>15000000</v>
          </cell>
          <cell r="Q24" t="str">
            <v>1110</v>
          </cell>
          <cell r="R24" t="str">
            <v>131hïng</v>
          </cell>
        </row>
        <row r="25">
          <cell r="L25">
            <v>21900000</v>
          </cell>
          <cell r="Q25" t="str">
            <v>1110</v>
          </cell>
          <cell r="R25" t="str">
            <v>131h­¬ng</v>
          </cell>
        </row>
        <row r="26">
          <cell r="L26">
            <v>340909</v>
          </cell>
          <cell r="Q26" t="str">
            <v>111</v>
          </cell>
          <cell r="R26" t="str">
            <v>511ks</v>
          </cell>
        </row>
        <row r="27">
          <cell r="L27">
            <v>34091</v>
          </cell>
          <cell r="Q27" t="str">
            <v>1110</v>
          </cell>
          <cell r="R27" t="str">
            <v>3333331</v>
          </cell>
        </row>
        <row r="28">
          <cell r="L28">
            <v>60000000</v>
          </cell>
          <cell r="Q28" t="str">
            <v>311nk2</v>
          </cell>
          <cell r="R28" t="str">
            <v>1110</v>
          </cell>
        </row>
        <row r="29">
          <cell r="L29">
            <v>15000000</v>
          </cell>
          <cell r="Q29" t="str">
            <v>311nk2</v>
          </cell>
          <cell r="R29" t="str">
            <v>1110</v>
          </cell>
        </row>
        <row r="30">
          <cell r="L30">
            <v>72000</v>
          </cell>
          <cell r="Q30" t="str">
            <v>641dl</v>
          </cell>
          <cell r="R30" t="str">
            <v>1110</v>
          </cell>
        </row>
        <row r="31">
          <cell r="L31">
            <v>100000</v>
          </cell>
          <cell r="Q31" t="str">
            <v>641dl</v>
          </cell>
          <cell r="R31" t="str">
            <v>1110</v>
          </cell>
        </row>
        <row r="32">
          <cell r="L32">
            <v>23009160</v>
          </cell>
          <cell r="Q32" t="str">
            <v>112ct</v>
          </cell>
          <cell r="R32" t="str">
            <v>131ctxl</v>
          </cell>
        </row>
        <row r="33">
          <cell r="L33">
            <v>20917329</v>
          </cell>
          <cell r="Q33" t="str">
            <v>131ctxl</v>
          </cell>
          <cell r="R33" t="str">
            <v>511ch</v>
          </cell>
        </row>
        <row r="34">
          <cell r="L34">
            <v>2091831</v>
          </cell>
          <cell r="Q34" t="str">
            <v>131ctxl</v>
          </cell>
          <cell r="R34" t="str">
            <v>3333331</v>
          </cell>
        </row>
        <row r="35">
          <cell r="L35">
            <v>1999000</v>
          </cell>
          <cell r="Q35" t="str">
            <v>1110</v>
          </cell>
          <cell r="R35" t="str">
            <v>141dòng</v>
          </cell>
        </row>
        <row r="36">
          <cell r="L36">
            <v>2827855</v>
          </cell>
          <cell r="Q36" t="str">
            <v>642®t</v>
          </cell>
          <cell r="R36" t="str">
            <v>1110</v>
          </cell>
        </row>
        <row r="37">
          <cell r="L37">
            <v>282785</v>
          </cell>
          <cell r="Q37" t="str">
            <v>1331331</v>
          </cell>
          <cell r="R37" t="str">
            <v>1110</v>
          </cell>
        </row>
        <row r="38">
          <cell r="L38">
            <v>2000000</v>
          </cell>
          <cell r="Q38" t="str">
            <v>141l©m</v>
          </cell>
          <cell r="R38" t="str">
            <v>1110</v>
          </cell>
        </row>
        <row r="39">
          <cell r="L39">
            <v>436362</v>
          </cell>
          <cell r="Q39" t="str">
            <v>111</v>
          </cell>
          <cell r="R39" t="str">
            <v>511ks</v>
          </cell>
        </row>
        <row r="40">
          <cell r="L40">
            <v>43638</v>
          </cell>
          <cell r="Q40" t="str">
            <v>1110</v>
          </cell>
          <cell r="R40" t="str">
            <v>3333331</v>
          </cell>
        </row>
        <row r="41">
          <cell r="L41">
            <v>150000</v>
          </cell>
          <cell r="Q41" t="str">
            <v>641ks</v>
          </cell>
          <cell r="R41" t="str">
            <v>1110</v>
          </cell>
        </row>
        <row r="42">
          <cell r="L42">
            <v>18000000</v>
          </cell>
          <cell r="Q42" t="str">
            <v>141ninh</v>
          </cell>
          <cell r="R42" t="str">
            <v>1110</v>
          </cell>
        </row>
        <row r="43">
          <cell r="L43">
            <v>22050000</v>
          </cell>
          <cell r="Q43" t="str">
            <v>331cuaong</v>
          </cell>
          <cell r="R43" t="str">
            <v>112ct</v>
          </cell>
        </row>
        <row r="44">
          <cell r="L44">
            <v>18182</v>
          </cell>
          <cell r="Q44" t="str">
            <v>641kd</v>
          </cell>
          <cell r="R44" t="str">
            <v>112ct</v>
          </cell>
        </row>
        <row r="45">
          <cell r="L45">
            <v>1818</v>
          </cell>
          <cell r="Q45" t="str">
            <v>1331331</v>
          </cell>
          <cell r="R45" t="str">
            <v>112ct</v>
          </cell>
        </row>
        <row r="46">
          <cell r="L46">
            <v>40000000</v>
          </cell>
          <cell r="Q46" t="str">
            <v>1110</v>
          </cell>
          <cell r="R46" t="str">
            <v>131hïng</v>
          </cell>
        </row>
        <row r="47">
          <cell r="L47">
            <v>250000</v>
          </cell>
          <cell r="Q47" t="str">
            <v>642vp</v>
          </cell>
          <cell r="R47" t="str">
            <v>1110</v>
          </cell>
        </row>
        <row r="48">
          <cell r="L48">
            <v>400000000</v>
          </cell>
          <cell r="Q48" t="str">
            <v>1110</v>
          </cell>
          <cell r="R48" t="str">
            <v>131anphu</v>
          </cell>
        </row>
        <row r="49">
          <cell r="L49">
            <v>29942000</v>
          </cell>
          <cell r="Q49" t="str">
            <v>1110</v>
          </cell>
          <cell r="R49" t="str">
            <v>131binh</v>
          </cell>
        </row>
        <row r="50">
          <cell r="L50">
            <v>165000000</v>
          </cell>
          <cell r="Q50" t="str">
            <v>1110</v>
          </cell>
          <cell r="R50" t="str">
            <v>131hïng</v>
          </cell>
        </row>
        <row r="51">
          <cell r="L51">
            <v>23525000</v>
          </cell>
          <cell r="Q51" t="str">
            <v>1110</v>
          </cell>
          <cell r="R51" t="str">
            <v>131ducha</v>
          </cell>
        </row>
        <row r="52">
          <cell r="L52">
            <v>450000000</v>
          </cell>
          <cell r="Q52" t="str">
            <v>331nk2</v>
          </cell>
          <cell r="R52" t="str">
            <v>1110</v>
          </cell>
        </row>
        <row r="53">
          <cell r="L53">
            <v>587910</v>
          </cell>
          <cell r="Q53" t="str">
            <v>1110</v>
          </cell>
          <cell r="R53" t="str">
            <v>511ks</v>
          </cell>
        </row>
        <row r="54">
          <cell r="L54">
            <v>58790</v>
          </cell>
          <cell r="Q54" t="str">
            <v>1110</v>
          </cell>
          <cell r="R54" t="str">
            <v>3333331</v>
          </cell>
        </row>
        <row r="55">
          <cell r="L55">
            <v>4000000</v>
          </cell>
          <cell r="Q55" t="str">
            <v>1110</v>
          </cell>
          <cell r="R55" t="str">
            <v>141tuên</v>
          </cell>
        </row>
        <row r="56">
          <cell r="L56">
            <v>102375</v>
          </cell>
          <cell r="Q56" t="str">
            <v>1110</v>
          </cell>
          <cell r="R56" t="str">
            <v>3383383</v>
          </cell>
        </row>
        <row r="57">
          <cell r="L57">
            <v>20475</v>
          </cell>
          <cell r="Q57" t="str">
            <v>1110</v>
          </cell>
          <cell r="R57" t="str">
            <v>3383384</v>
          </cell>
        </row>
        <row r="58">
          <cell r="L58">
            <v>669360</v>
          </cell>
          <cell r="Q58" t="str">
            <v>1110</v>
          </cell>
          <cell r="R58" t="str">
            <v>3383383</v>
          </cell>
        </row>
        <row r="59">
          <cell r="L59">
            <v>133872</v>
          </cell>
          <cell r="Q59" t="str">
            <v>1110</v>
          </cell>
          <cell r="R59" t="str">
            <v>3383384</v>
          </cell>
        </row>
        <row r="60">
          <cell r="L60">
            <v>75040000</v>
          </cell>
          <cell r="Q60" t="str">
            <v>1110</v>
          </cell>
          <cell r="R60" t="str">
            <v>131hs¬n</v>
          </cell>
        </row>
        <row r="61">
          <cell r="L61">
            <v>88800000</v>
          </cell>
          <cell r="Q61" t="str">
            <v>1110</v>
          </cell>
          <cell r="R61" t="str">
            <v>131trungkien</v>
          </cell>
        </row>
        <row r="62">
          <cell r="L62">
            <v>16077000</v>
          </cell>
          <cell r="Q62" t="str">
            <v>3340</v>
          </cell>
          <cell r="R62" t="str">
            <v>1110</v>
          </cell>
        </row>
        <row r="63">
          <cell r="L63">
            <v>18300000</v>
          </cell>
          <cell r="Q63" t="str">
            <v>642k</v>
          </cell>
          <cell r="R63" t="str">
            <v>1110</v>
          </cell>
        </row>
        <row r="64">
          <cell r="L64">
            <v>600000</v>
          </cell>
          <cell r="Q64" t="str">
            <v>641kd</v>
          </cell>
          <cell r="R64" t="str">
            <v>1110</v>
          </cell>
        </row>
        <row r="65">
          <cell r="L65">
            <v>1291218</v>
          </cell>
          <cell r="Q65" t="str">
            <v>642vp</v>
          </cell>
          <cell r="R65" t="str">
            <v>1110</v>
          </cell>
        </row>
        <row r="66">
          <cell r="L66">
            <v>129122</v>
          </cell>
          <cell r="Q66" t="str">
            <v>1331331</v>
          </cell>
          <cell r="R66" t="str">
            <v>1110</v>
          </cell>
        </row>
        <row r="67">
          <cell r="L67">
            <v>611000</v>
          </cell>
          <cell r="Q67" t="str">
            <v>642vp</v>
          </cell>
          <cell r="R67" t="str">
            <v>1110</v>
          </cell>
        </row>
        <row r="68">
          <cell r="L68">
            <v>520000</v>
          </cell>
          <cell r="Q68" t="str">
            <v>642sc</v>
          </cell>
          <cell r="R68" t="str">
            <v>1110</v>
          </cell>
        </row>
        <row r="69">
          <cell r="L69">
            <v>2123182</v>
          </cell>
          <cell r="Q69" t="str">
            <v>642®t</v>
          </cell>
          <cell r="R69" t="str">
            <v>1110</v>
          </cell>
        </row>
        <row r="70">
          <cell r="L70">
            <v>212318</v>
          </cell>
          <cell r="Q70" t="str">
            <v>1331331</v>
          </cell>
          <cell r="R70" t="str">
            <v>1110</v>
          </cell>
        </row>
        <row r="71">
          <cell r="L71">
            <v>624000</v>
          </cell>
          <cell r="Q71" t="str">
            <v>642sc</v>
          </cell>
          <cell r="R71" t="str">
            <v>1110</v>
          </cell>
        </row>
        <row r="72">
          <cell r="L72">
            <v>4600162</v>
          </cell>
          <cell r="Q72" t="str">
            <v>642sc</v>
          </cell>
          <cell r="R72" t="str">
            <v>1110</v>
          </cell>
        </row>
        <row r="73">
          <cell r="L73">
            <v>297916</v>
          </cell>
          <cell r="Q73" t="str">
            <v>1331331</v>
          </cell>
          <cell r="R73" t="str">
            <v>1110</v>
          </cell>
        </row>
        <row r="74">
          <cell r="L74">
            <v>750000</v>
          </cell>
          <cell r="Q74" t="str">
            <v>642vp</v>
          </cell>
          <cell r="R74" t="str">
            <v>1110</v>
          </cell>
        </row>
        <row r="75">
          <cell r="L75">
            <v>582480</v>
          </cell>
          <cell r="Q75" t="str">
            <v>642vp</v>
          </cell>
          <cell r="R75" t="str">
            <v>1110</v>
          </cell>
        </row>
        <row r="76">
          <cell r="L76">
            <v>58248</v>
          </cell>
          <cell r="Q76" t="str">
            <v>1331331</v>
          </cell>
          <cell r="R76" t="str">
            <v>1110</v>
          </cell>
        </row>
        <row r="77">
          <cell r="L77">
            <v>16000000</v>
          </cell>
          <cell r="Q77" t="str">
            <v>141dòngkt</v>
          </cell>
          <cell r="R77" t="str">
            <v>1110</v>
          </cell>
        </row>
        <row r="78">
          <cell r="L78">
            <v>2068600</v>
          </cell>
          <cell r="Q78" t="str">
            <v>642vp</v>
          </cell>
          <cell r="R78" t="str">
            <v>1110</v>
          </cell>
        </row>
        <row r="79">
          <cell r="L79">
            <v>193560</v>
          </cell>
          <cell r="Q79" t="str">
            <v>1331331</v>
          </cell>
          <cell r="R79" t="str">
            <v>1110</v>
          </cell>
        </row>
        <row r="80">
          <cell r="L80">
            <v>498000</v>
          </cell>
          <cell r="Q80" t="str">
            <v>641dl</v>
          </cell>
          <cell r="R80" t="str">
            <v>1110</v>
          </cell>
        </row>
        <row r="81">
          <cell r="L81">
            <v>11000</v>
          </cell>
          <cell r="Q81" t="str">
            <v>1331331</v>
          </cell>
          <cell r="R81" t="str">
            <v>1110</v>
          </cell>
        </row>
        <row r="82">
          <cell r="L82">
            <v>20066650</v>
          </cell>
          <cell r="Q82" t="str">
            <v>1110</v>
          </cell>
          <cell r="R82" t="str">
            <v>141ninh</v>
          </cell>
        </row>
        <row r="83">
          <cell r="L83">
            <v>75000</v>
          </cell>
          <cell r="Q83" t="str">
            <v>642vp</v>
          </cell>
          <cell r="R83" t="str">
            <v>1110</v>
          </cell>
        </row>
        <row r="84">
          <cell r="L84">
            <v>850000</v>
          </cell>
          <cell r="Q84" t="str">
            <v>3333338</v>
          </cell>
          <cell r="R84" t="str">
            <v>1110</v>
          </cell>
        </row>
        <row r="85">
          <cell r="L85">
            <v>427273</v>
          </cell>
          <cell r="Q85" t="str">
            <v>641kd</v>
          </cell>
          <cell r="R85" t="str">
            <v>1110</v>
          </cell>
        </row>
        <row r="86">
          <cell r="L86">
            <v>12727</v>
          </cell>
          <cell r="Q86" t="str">
            <v>1331331</v>
          </cell>
          <cell r="R86" t="str">
            <v>1110</v>
          </cell>
        </row>
        <row r="87">
          <cell r="L87">
            <v>85000</v>
          </cell>
          <cell r="Q87" t="str">
            <v>642sc</v>
          </cell>
          <cell r="R87" t="str">
            <v>1110</v>
          </cell>
        </row>
        <row r="88">
          <cell r="L88">
            <v>20000000</v>
          </cell>
          <cell r="Q88" t="str">
            <v>311nk2</v>
          </cell>
          <cell r="R88" t="str">
            <v>1110</v>
          </cell>
        </row>
        <row r="89">
          <cell r="L89">
            <v>30947911</v>
          </cell>
          <cell r="Q89" t="str">
            <v>641kd</v>
          </cell>
          <cell r="R89" t="str">
            <v>1110</v>
          </cell>
        </row>
        <row r="90">
          <cell r="L90">
            <v>790757</v>
          </cell>
          <cell r="Q90" t="str">
            <v>1331331</v>
          </cell>
          <cell r="R90" t="str">
            <v>1110</v>
          </cell>
        </row>
        <row r="91">
          <cell r="L91">
            <v>149000000</v>
          </cell>
          <cell r="Q91" t="str">
            <v>1110</v>
          </cell>
          <cell r="R91" t="str">
            <v>131hais¬n</v>
          </cell>
        </row>
        <row r="92">
          <cell r="L92">
            <v>13770000</v>
          </cell>
          <cell r="Q92" t="str">
            <v>1110</v>
          </cell>
          <cell r="R92" t="str">
            <v>131anphu</v>
          </cell>
        </row>
        <row r="93">
          <cell r="L93">
            <v>563400</v>
          </cell>
          <cell r="Q93" t="str">
            <v>1110</v>
          </cell>
          <cell r="R93" t="str">
            <v>642dn</v>
          </cell>
        </row>
        <row r="94">
          <cell r="L94">
            <v>153636</v>
          </cell>
          <cell r="Q94" t="str">
            <v>1110</v>
          </cell>
          <cell r="R94" t="str">
            <v>511ks</v>
          </cell>
        </row>
        <row r="95">
          <cell r="L95">
            <v>15364</v>
          </cell>
          <cell r="Q95" t="str">
            <v>1110</v>
          </cell>
          <cell r="R95" t="str">
            <v>3333331</v>
          </cell>
        </row>
        <row r="96">
          <cell r="L96">
            <v>70000000</v>
          </cell>
          <cell r="Q96" t="str">
            <v>311nk2</v>
          </cell>
          <cell r="R96" t="str">
            <v>1110</v>
          </cell>
        </row>
        <row r="97">
          <cell r="L97">
            <v>902160</v>
          </cell>
          <cell r="Q97" t="str">
            <v>338qldd</v>
          </cell>
          <cell r="R97" t="str">
            <v>1110</v>
          </cell>
        </row>
        <row r="98">
          <cell r="L98">
            <v>150000000</v>
          </cell>
          <cell r="Q98" t="str">
            <v>311nk2</v>
          </cell>
          <cell r="R98" t="str">
            <v>1110</v>
          </cell>
        </row>
        <row r="99">
          <cell r="L99">
            <v>719363</v>
          </cell>
          <cell r="Q99" t="str">
            <v>1110</v>
          </cell>
          <cell r="R99" t="str">
            <v>511ks</v>
          </cell>
        </row>
        <row r="100">
          <cell r="L100">
            <v>71937</v>
          </cell>
          <cell r="Q100" t="str">
            <v>1110</v>
          </cell>
          <cell r="R100" t="str">
            <v>3333331</v>
          </cell>
        </row>
        <row r="101">
          <cell r="L101">
            <v>218182</v>
          </cell>
          <cell r="Q101" t="str">
            <v>1110</v>
          </cell>
          <cell r="R101" t="str">
            <v>511ks</v>
          </cell>
        </row>
        <row r="102">
          <cell r="L102">
            <v>21818</v>
          </cell>
          <cell r="Q102" t="str">
            <v>1110</v>
          </cell>
          <cell r="R102" t="str">
            <v>3333331</v>
          </cell>
        </row>
        <row r="103">
          <cell r="L103">
            <v>6617</v>
          </cell>
          <cell r="Q103" t="str">
            <v>112ct</v>
          </cell>
          <cell r="R103" t="str">
            <v>711ct</v>
          </cell>
        </row>
        <row r="104">
          <cell r="L104">
            <v>300000</v>
          </cell>
          <cell r="Q104" t="str">
            <v>1110</v>
          </cell>
          <cell r="R104" t="str">
            <v>511ks</v>
          </cell>
        </row>
        <row r="105">
          <cell r="L105">
            <v>30000</v>
          </cell>
          <cell r="Q105" t="str">
            <v>1110</v>
          </cell>
          <cell r="R105" t="str">
            <v>3333331</v>
          </cell>
        </row>
        <row r="106">
          <cell r="L106">
            <v>300000</v>
          </cell>
          <cell r="Q106" t="str">
            <v>642bv</v>
          </cell>
          <cell r="R106" t="str">
            <v>1110</v>
          </cell>
        </row>
        <row r="107">
          <cell r="L107">
            <v>3563732000</v>
          </cell>
          <cell r="Q107" t="str">
            <v>632kd</v>
          </cell>
          <cell r="R107" t="str">
            <v>1560</v>
          </cell>
        </row>
        <row r="108">
          <cell r="L108">
            <v>8000</v>
          </cell>
          <cell r="Q108" t="str">
            <v>112tec</v>
          </cell>
          <cell r="R108" t="str">
            <v>711tec</v>
          </cell>
        </row>
        <row r="109">
          <cell r="L109">
            <v>209091</v>
          </cell>
          <cell r="Q109" t="str">
            <v>1110</v>
          </cell>
          <cell r="R109" t="str">
            <v>511ks</v>
          </cell>
        </row>
        <row r="110">
          <cell r="L110">
            <v>20909</v>
          </cell>
          <cell r="Q110" t="str">
            <v>1110</v>
          </cell>
          <cell r="R110" t="str">
            <v>3333331</v>
          </cell>
        </row>
        <row r="111">
          <cell r="L111">
            <v>109091</v>
          </cell>
          <cell r="Q111" t="str">
            <v>1110</v>
          </cell>
          <cell r="R111" t="str">
            <v>511ks</v>
          </cell>
        </row>
        <row r="112">
          <cell r="L112">
            <v>10909</v>
          </cell>
          <cell r="Q112" t="str">
            <v>1110</v>
          </cell>
          <cell r="R112" t="str">
            <v>3333331</v>
          </cell>
        </row>
        <row r="113">
          <cell r="L113">
            <v>7081818</v>
          </cell>
          <cell r="Q113" t="str">
            <v>1110</v>
          </cell>
          <cell r="R113" t="str">
            <v>511ch</v>
          </cell>
        </row>
        <row r="114">
          <cell r="L114">
            <v>708182</v>
          </cell>
          <cell r="Q114" t="str">
            <v>1110</v>
          </cell>
          <cell r="R114" t="str">
            <v>3333331</v>
          </cell>
        </row>
        <row r="115">
          <cell r="L115">
            <v>97000000</v>
          </cell>
          <cell r="Q115" t="str">
            <v>311nk2</v>
          </cell>
          <cell r="R115" t="str">
            <v>1110</v>
          </cell>
        </row>
        <row r="116">
          <cell r="L116">
            <v>64000000</v>
          </cell>
          <cell r="Q116" t="str">
            <v>311nk2</v>
          </cell>
          <cell r="R116" t="str">
            <v>1110</v>
          </cell>
        </row>
        <row r="117">
          <cell r="L117">
            <v>26000000</v>
          </cell>
          <cell r="Q117" t="str">
            <v>311nk2</v>
          </cell>
          <cell r="R117" t="str">
            <v>1110</v>
          </cell>
        </row>
        <row r="118">
          <cell r="L118">
            <v>318000</v>
          </cell>
          <cell r="Q118" t="str">
            <v>642tk</v>
          </cell>
          <cell r="R118" t="str">
            <v>1110</v>
          </cell>
        </row>
        <row r="119">
          <cell r="L119">
            <v>792000</v>
          </cell>
          <cell r="Q119" t="str">
            <v>642vp</v>
          </cell>
          <cell r="R119" t="str">
            <v>1110</v>
          </cell>
        </row>
        <row r="120">
          <cell r="L120">
            <v>79200</v>
          </cell>
          <cell r="Q120" t="str">
            <v>1331331</v>
          </cell>
          <cell r="R120" t="str">
            <v>1110</v>
          </cell>
        </row>
        <row r="121">
          <cell r="L121">
            <v>2976880</v>
          </cell>
          <cell r="Q121" t="str">
            <v>642dn</v>
          </cell>
          <cell r="R121" t="str">
            <v>1110</v>
          </cell>
        </row>
        <row r="122">
          <cell r="L122">
            <v>297688</v>
          </cell>
          <cell r="Q122" t="str">
            <v>1331331</v>
          </cell>
          <cell r="R122" t="str">
            <v>1110</v>
          </cell>
        </row>
        <row r="123">
          <cell r="L123">
            <v>734150</v>
          </cell>
          <cell r="Q123" t="str">
            <v>642vp</v>
          </cell>
          <cell r="R123" t="str">
            <v>1110</v>
          </cell>
        </row>
        <row r="124">
          <cell r="L124">
            <v>30966</v>
          </cell>
          <cell r="Q124" t="str">
            <v>1331331</v>
          </cell>
          <cell r="R124" t="str">
            <v>1110</v>
          </cell>
        </row>
        <row r="125">
          <cell r="L125">
            <v>1012900</v>
          </cell>
          <cell r="Q125" t="str">
            <v>1331331</v>
          </cell>
          <cell r="R125" t="str">
            <v>331cuaong</v>
          </cell>
        </row>
        <row r="126">
          <cell r="L126">
            <v>163440000</v>
          </cell>
          <cell r="Q126" t="str">
            <v>1331331</v>
          </cell>
          <cell r="R126" t="str">
            <v>331tlong</v>
          </cell>
        </row>
        <row r="127">
          <cell r="L127">
            <v>963600000</v>
          </cell>
          <cell r="Q127" t="str">
            <v>156waytq</v>
          </cell>
          <cell r="R127" t="str">
            <v>331tlong</v>
          </cell>
        </row>
        <row r="128">
          <cell r="L128">
            <v>670800000</v>
          </cell>
          <cell r="Q128" t="str">
            <v>156fan</v>
          </cell>
          <cell r="R128" t="str">
            <v>331tlong</v>
          </cell>
        </row>
        <row r="129">
          <cell r="L129">
            <v>20258000</v>
          </cell>
          <cell r="Q129" t="str">
            <v>156than</v>
          </cell>
          <cell r="R129" t="str">
            <v>331cuaong</v>
          </cell>
        </row>
        <row r="130">
          <cell r="L130">
            <v>327273</v>
          </cell>
          <cell r="Q130" t="str">
            <v>1110</v>
          </cell>
          <cell r="R130" t="str">
            <v>511ks</v>
          </cell>
        </row>
        <row r="131">
          <cell r="L131">
            <v>32727</v>
          </cell>
          <cell r="Q131" t="str">
            <v>1110</v>
          </cell>
          <cell r="R131" t="str">
            <v>3333331</v>
          </cell>
        </row>
        <row r="132">
          <cell r="L132">
            <v>60000000</v>
          </cell>
          <cell r="Q132" t="str">
            <v>1110</v>
          </cell>
          <cell r="R132" t="str">
            <v>131hïng</v>
          </cell>
        </row>
        <row r="133">
          <cell r="L133">
            <v>25000000</v>
          </cell>
          <cell r="Q133" t="str">
            <v>112ct</v>
          </cell>
          <cell r="R133" t="str">
            <v>1110</v>
          </cell>
        </row>
        <row r="134">
          <cell r="L134">
            <v>50500</v>
          </cell>
          <cell r="Q134" t="str">
            <v>642tk</v>
          </cell>
          <cell r="R134" t="str">
            <v>1110</v>
          </cell>
        </row>
        <row r="135">
          <cell r="L135">
            <v>30909</v>
          </cell>
          <cell r="Q135" t="str">
            <v>642vp</v>
          </cell>
          <cell r="R135" t="str">
            <v>1110</v>
          </cell>
        </row>
        <row r="136">
          <cell r="L136">
            <v>3091</v>
          </cell>
          <cell r="Q136" t="str">
            <v>1331331</v>
          </cell>
          <cell r="R136" t="str">
            <v>1110</v>
          </cell>
        </row>
        <row r="137">
          <cell r="L137">
            <v>159000000</v>
          </cell>
          <cell r="Q137" t="str">
            <v>1110</v>
          </cell>
          <cell r="R137" t="str">
            <v>2220</v>
          </cell>
        </row>
        <row r="138">
          <cell r="L138">
            <v>250000</v>
          </cell>
          <cell r="Q138" t="str">
            <v>642vp</v>
          </cell>
          <cell r="R138" t="str">
            <v>1110</v>
          </cell>
        </row>
        <row r="139">
          <cell r="L139">
            <v>25000</v>
          </cell>
          <cell r="Q139" t="str">
            <v>1331331</v>
          </cell>
          <cell r="R139" t="str">
            <v>1110</v>
          </cell>
        </row>
        <row r="140">
          <cell r="L140">
            <v>159000000</v>
          </cell>
          <cell r="Q140" t="str">
            <v>331unimex</v>
          </cell>
          <cell r="R140" t="str">
            <v>1110</v>
          </cell>
        </row>
        <row r="141">
          <cell r="L141">
            <v>22050000</v>
          </cell>
          <cell r="Q141" t="str">
            <v>331cuaong</v>
          </cell>
          <cell r="R141" t="str">
            <v>112ct</v>
          </cell>
        </row>
        <row r="142">
          <cell r="L142">
            <v>18182</v>
          </cell>
          <cell r="Q142" t="str">
            <v>642k</v>
          </cell>
          <cell r="R142" t="str">
            <v>112ct</v>
          </cell>
        </row>
        <row r="143">
          <cell r="L143">
            <v>1818</v>
          </cell>
          <cell r="Q143" t="str">
            <v>1331331</v>
          </cell>
          <cell r="R143" t="str">
            <v>112ct</v>
          </cell>
        </row>
        <row r="144">
          <cell r="L144">
            <v>43650000</v>
          </cell>
          <cell r="Q144" t="str">
            <v>1110</v>
          </cell>
          <cell r="R144" t="str">
            <v>131vcb</v>
          </cell>
        </row>
        <row r="145">
          <cell r="L145">
            <v>252000</v>
          </cell>
          <cell r="Q145" t="str">
            <v>642ct</v>
          </cell>
          <cell r="R145" t="str">
            <v>1110</v>
          </cell>
        </row>
        <row r="146">
          <cell r="L146">
            <v>6000000</v>
          </cell>
          <cell r="Q146" t="str">
            <v>141tþ</v>
          </cell>
          <cell r="R146" t="str">
            <v>1110</v>
          </cell>
        </row>
        <row r="147">
          <cell r="L147">
            <v>64000</v>
          </cell>
          <cell r="Q147" t="str">
            <v>642dn</v>
          </cell>
          <cell r="R147" t="str">
            <v>1110</v>
          </cell>
        </row>
        <row r="148">
          <cell r="L148">
            <v>926000</v>
          </cell>
          <cell r="Q148" t="str">
            <v>141ninh</v>
          </cell>
          <cell r="R148" t="str">
            <v>1110</v>
          </cell>
        </row>
        <row r="149">
          <cell r="L149">
            <v>299000</v>
          </cell>
          <cell r="Q149" t="str">
            <v>1110</v>
          </cell>
          <cell r="R149" t="str">
            <v>141dòngkt</v>
          </cell>
        </row>
        <row r="150">
          <cell r="L150">
            <v>45000000</v>
          </cell>
          <cell r="Q150" t="str">
            <v>1110</v>
          </cell>
          <cell r="R150" t="str">
            <v>131hasa</v>
          </cell>
        </row>
        <row r="151">
          <cell r="L151">
            <v>595454</v>
          </cell>
          <cell r="Q151" t="str">
            <v>1110</v>
          </cell>
          <cell r="R151" t="str">
            <v>511ks</v>
          </cell>
        </row>
        <row r="152">
          <cell r="L152">
            <v>59546</v>
          </cell>
          <cell r="Q152" t="str">
            <v>1110</v>
          </cell>
          <cell r="R152" t="str">
            <v>3333331</v>
          </cell>
        </row>
        <row r="153">
          <cell r="L153">
            <v>47265400</v>
          </cell>
          <cell r="Q153" t="str">
            <v>1110</v>
          </cell>
          <cell r="R153" t="str">
            <v>131vcb</v>
          </cell>
        </row>
        <row r="154">
          <cell r="L154">
            <v>18035300</v>
          </cell>
          <cell r="Q154" t="str">
            <v>1110</v>
          </cell>
          <cell r="R154" t="str">
            <v>131trungkien</v>
          </cell>
        </row>
        <row r="155">
          <cell r="L155">
            <v>34699300</v>
          </cell>
          <cell r="Q155" t="str">
            <v>1110</v>
          </cell>
          <cell r="R155" t="str">
            <v>131namminh</v>
          </cell>
        </row>
        <row r="156">
          <cell r="L156">
            <v>50000000</v>
          </cell>
          <cell r="Q156" t="str">
            <v>1110</v>
          </cell>
          <cell r="R156" t="str">
            <v>131anphu</v>
          </cell>
        </row>
        <row r="157">
          <cell r="L157">
            <v>46360748</v>
          </cell>
          <cell r="Q157" t="str">
            <v>331nk2</v>
          </cell>
          <cell r="R157" t="str">
            <v>1110</v>
          </cell>
        </row>
        <row r="158">
          <cell r="L158">
            <v>109800</v>
          </cell>
          <cell r="Q158" t="str">
            <v>642tk</v>
          </cell>
          <cell r="R158" t="str">
            <v>1110</v>
          </cell>
        </row>
        <row r="159">
          <cell r="L159">
            <v>365000</v>
          </cell>
          <cell r="Q159" t="str">
            <v>642bv</v>
          </cell>
          <cell r="R159" t="str">
            <v>1110</v>
          </cell>
        </row>
        <row r="160">
          <cell r="L160">
            <v>70000000</v>
          </cell>
          <cell r="Q160" t="str">
            <v>1110</v>
          </cell>
          <cell r="R160" t="str">
            <v>131tanh</v>
          </cell>
        </row>
        <row r="161">
          <cell r="L161">
            <v>290909</v>
          </cell>
          <cell r="Q161" t="str">
            <v>1110</v>
          </cell>
          <cell r="R161" t="str">
            <v>511ks</v>
          </cell>
        </row>
        <row r="162">
          <cell r="L162">
            <v>29091</v>
          </cell>
          <cell r="Q162" t="str">
            <v>1110</v>
          </cell>
          <cell r="R162" t="str">
            <v>3333331</v>
          </cell>
        </row>
        <row r="163">
          <cell r="L163">
            <v>12000000</v>
          </cell>
          <cell r="Q163" t="str">
            <v>1110</v>
          </cell>
          <cell r="R163" t="str">
            <v>311thh­¬ng</v>
          </cell>
        </row>
        <row r="164">
          <cell r="L164">
            <v>100000000</v>
          </cell>
          <cell r="Q164" t="str">
            <v>1110</v>
          </cell>
          <cell r="R164" t="str">
            <v>131anphu</v>
          </cell>
        </row>
        <row r="165">
          <cell r="L165">
            <v>40000000</v>
          </cell>
          <cell r="Q165" t="str">
            <v>331nk2</v>
          </cell>
          <cell r="R165" t="str">
            <v>1110</v>
          </cell>
        </row>
        <row r="166">
          <cell r="L166">
            <v>321300</v>
          </cell>
          <cell r="Q166" t="str">
            <v>1110</v>
          </cell>
          <cell r="R166" t="str">
            <v>3383383</v>
          </cell>
        </row>
        <row r="167">
          <cell r="L167">
            <v>48195</v>
          </cell>
          <cell r="Q167" t="str">
            <v>1110</v>
          </cell>
          <cell r="R167" t="str">
            <v>3383384</v>
          </cell>
        </row>
        <row r="168">
          <cell r="L168">
            <v>80500000</v>
          </cell>
          <cell r="Q168" t="str">
            <v>1110</v>
          </cell>
          <cell r="R168" t="str">
            <v>311tiõn</v>
          </cell>
        </row>
        <row r="169">
          <cell r="L169">
            <v>418182</v>
          </cell>
          <cell r="Q169" t="str">
            <v>1110</v>
          </cell>
          <cell r="R169" t="str">
            <v>511ks</v>
          </cell>
        </row>
        <row r="170">
          <cell r="L170">
            <v>41818</v>
          </cell>
          <cell r="Q170" t="str">
            <v>1110</v>
          </cell>
          <cell r="R170" t="str">
            <v>3333331</v>
          </cell>
        </row>
        <row r="171">
          <cell r="L171">
            <v>109091</v>
          </cell>
          <cell r="Q171" t="str">
            <v>641ks</v>
          </cell>
          <cell r="R171" t="str">
            <v>1110</v>
          </cell>
        </row>
        <row r="172">
          <cell r="L172">
            <v>215500</v>
          </cell>
          <cell r="Q172" t="str">
            <v>642vp</v>
          </cell>
          <cell r="R172" t="str">
            <v>1110</v>
          </cell>
        </row>
        <row r="173">
          <cell r="L173">
            <v>10909</v>
          </cell>
          <cell r="Q173" t="str">
            <v>1331331</v>
          </cell>
          <cell r="R173" t="str">
            <v>1110</v>
          </cell>
        </row>
        <row r="174">
          <cell r="L174">
            <v>393000</v>
          </cell>
          <cell r="Q174" t="str">
            <v>642ct</v>
          </cell>
          <cell r="R174" t="str">
            <v>1110</v>
          </cell>
        </row>
        <row r="175">
          <cell r="L175">
            <v>450500000</v>
          </cell>
          <cell r="Q175" t="str">
            <v>311nk2</v>
          </cell>
          <cell r="R175" t="str">
            <v>1110</v>
          </cell>
        </row>
        <row r="176">
          <cell r="L176">
            <v>450000</v>
          </cell>
          <cell r="Q176" t="str">
            <v>642dc</v>
          </cell>
          <cell r="R176" t="str">
            <v>1110</v>
          </cell>
        </row>
        <row r="177">
          <cell r="L177">
            <v>45000</v>
          </cell>
          <cell r="Q177" t="str">
            <v>1331331</v>
          </cell>
          <cell r="R177" t="str">
            <v>1110</v>
          </cell>
        </row>
        <row r="178">
          <cell r="L178">
            <v>1956500</v>
          </cell>
          <cell r="Q178" t="str">
            <v>1110</v>
          </cell>
          <cell r="R178" t="str">
            <v>141l©m</v>
          </cell>
        </row>
        <row r="179">
          <cell r="L179">
            <v>5000000</v>
          </cell>
          <cell r="Q179" t="str">
            <v>141dòng</v>
          </cell>
          <cell r="R179" t="str">
            <v>1110</v>
          </cell>
        </row>
        <row r="180">
          <cell r="L180">
            <v>9600000</v>
          </cell>
          <cell r="Q180" t="str">
            <v>311nk2</v>
          </cell>
          <cell r="R180" t="str">
            <v>1110</v>
          </cell>
        </row>
        <row r="181">
          <cell r="L181">
            <v>102375</v>
          </cell>
          <cell r="Q181" t="str">
            <v>1110</v>
          </cell>
          <cell r="R181" t="str">
            <v>3383383</v>
          </cell>
        </row>
        <row r="182">
          <cell r="L182">
            <v>20475</v>
          </cell>
          <cell r="Q182" t="str">
            <v>1110</v>
          </cell>
          <cell r="R182" t="str">
            <v>3383384</v>
          </cell>
        </row>
        <row r="183">
          <cell r="L183">
            <v>309091</v>
          </cell>
          <cell r="Q183" t="str">
            <v>1110</v>
          </cell>
          <cell r="R183" t="str">
            <v>511ks</v>
          </cell>
        </row>
        <row r="184">
          <cell r="L184">
            <v>30909</v>
          </cell>
          <cell r="Q184" t="str">
            <v>1110</v>
          </cell>
          <cell r="R184" t="str">
            <v>3333331</v>
          </cell>
        </row>
        <row r="185">
          <cell r="L185">
            <v>2500000</v>
          </cell>
          <cell r="Q185" t="str">
            <v>141tuên-dl</v>
          </cell>
          <cell r="R185" t="str">
            <v>1110</v>
          </cell>
        </row>
        <row r="186">
          <cell r="L186">
            <v>7661500</v>
          </cell>
          <cell r="Q186" t="str">
            <v>3340</v>
          </cell>
          <cell r="R186" t="str">
            <v>1110</v>
          </cell>
        </row>
        <row r="187">
          <cell r="L187">
            <v>902160</v>
          </cell>
          <cell r="Q187" t="str">
            <v>338qldd</v>
          </cell>
          <cell r="R187" t="str">
            <v>1110</v>
          </cell>
        </row>
        <row r="188">
          <cell r="L188">
            <v>880000</v>
          </cell>
          <cell r="Q188" t="str">
            <v>642k</v>
          </cell>
          <cell r="R188" t="str">
            <v>1110</v>
          </cell>
        </row>
        <row r="189">
          <cell r="L189">
            <v>322727</v>
          </cell>
          <cell r="Q189" t="str">
            <v>1110</v>
          </cell>
          <cell r="R189" t="str">
            <v>511ks</v>
          </cell>
        </row>
        <row r="190">
          <cell r="L190">
            <v>32273</v>
          </cell>
          <cell r="Q190" t="str">
            <v>1110</v>
          </cell>
          <cell r="R190" t="str">
            <v>3333331</v>
          </cell>
        </row>
        <row r="191">
          <cell r="L191">
            <v>136364</v>
          </cell>
          <cell r="Q191" t="str">
            <v>1110</v>
          </cell>
          <cell r="R191" t="str">
            <v>511ks</v>
          </cell>
        </row>
        <row r="192">
          <cell r="L192">
            <v>13636</v>
          </cell>
          <cell r="Q192" t="str">
            <v>1110</v>
          </cell>
          <cell r="R192" t="str">
            <v>3333331</v>
          </cell>
        </row>
        <row r="193">
          <cell r="L193">
            <v>327273</v>
          </cell>
          <cell r="Q193" t="str">
            <v>642vs</v>
          </cell>
          <cell r="R193" t="str">
            <v>1110</v>
          </cell>
        </row>
        <row r="194">
          <cell r="L194">
            <v>32727</v>
          </cell>
          <cell r="Q194" t="str">
            <v>1331331</v>
          </cell>
          <cell r="R194" t="str">
            <v>1110</v>
          </cell>
        </row>
        <row r="195">
          <cell r="L195">
            <v>603250</v>
          </cell>
          <cell r="Q195" t="str">
            <v>1110</v>
          </cell>
          <cell r="R195" t="str">
            <v>642dn</v>
          </cell>
        </row>
        <row r="196">
          <cell r="L196">
            <v>6352000</v>
          </cell>
          <cell r="Q196" t="str">
            <v>1110</v>
          </cell>
          <cell r="R196" t="str">
            <v>131trungkien</v>
          </cell>
        </row>
        <row r="197">
          <cell r="L197">
            <v>636364</v>
          </cell>
          <cell r="Q197" t="str">
            <v>1110</v>
          </cell>
          <cell r="R197" t="str">
            <v>511ks</v>
          </cell>
        </row>
        <row r="198">
          <cell r="L198">
            <v>63636</v>
          </cell>
          <cell r="Q198" t="str">
            <v>1110</v>
          </cell>
          <cell r="R198" t="str">
            <v>3333331</v>
          </cell>
        </row>
        <row r="199">
          <cell r="L199">
            <v>285090</v>
          </cell>
          <cell r="Q199" t="str">
            <v>642vp</v>
          </cell>
          <cell r="R199" t="str">
            <v>1110</v>
          </cell>
        </row>
        <row r="200">
          <cell r="L200">
            <v>13910</v>
          </cell>
          <cell r="Q200" t="str">
            <v>1331331</v>
          </cell>
          <cell r="R200" t="str">
            <v>1110</v>
          </cell>
        </row>
        <row r="201">
          <cell r="L201">
            <v>31000000</v>
          </cell>
          <cell r="Q201" t="str">
            <v>1110</v>
          </cell>
          <cell r="R201" t="str">
            <v>131h­¬ng</v>
          </cell>
        </row>
        <row r="202">
          <cell r="L202">
            <v>29600000</v>
          </cell>
          <cell r="Q202" t="str">
            <v>1110</v>
          </cell>
          <cell r="R202" t="str">
            <v>131tanphat</v>
          </cell>
        </row>
        <row r="203">
          <cell r="L203">
            <v>93900000</v>
          </cell>
          <cell r="Q203" t="str">
            <v>311nk2</v>
          </cell>
          <cell r="R203" t="str">
            <v>1110</v>
          </cell>
        </row>
        <row r="204">
          <cell r="L204">
            <v>18695000</v>
          </cell>
          <cell r="Q204" t="str">
            <v>335k</v>
          </cell>
          <cell r="R204" t="str">
            <v>1110</v>
          </cell>
        </row>
        <row r="205">
          <cell r="L205">
            <v>29000000</v>
          </cell>
          <cell r="Q205" t="str">
            <v>331unimex</v>
          </cell>
          <cell r="R205" t="str">
            <v>1110</v>
          </cell>
        </row>
        <row r="206">
          <cell r="L206">
            <v>100000000</v>
          </cell>
          <cell r="Q206" t="str">
            <v>1110</v>
          </cell>
          <cell r="R206" t="str">
            <v>131anphu</v>
          </cell>
        </row>
        <row r="207">
          <cell r="L207">
            <v>93900000</v>
          </cell>
          <cell r="Q207" t="str">
            <v>1110</v>
          </cell>
          <cell r="R207" t="str">
            <v>131hïng</v>
          </cell>
        </row>
        <row r="208">
          <cell r="L208">
            <v>70000000</v>
          </cell>
          <cell r="Q208" t="str">
            <v>1110</v>
          </cell>
          <cell r="R208" t="str">
            <v>131anphu</v>
          </cell>
        </row>
        <row r="209">
          <cell r="L209">
            <v>3059430</v>
          </cell>
          <cell r="Q209" t="str">
            <v>642dn</v>
          </cell>
          <cell r="R209" t="str">
            <v>1110</v>
          </cell>
        </row>
        <row r="210">
          <cell r="L210">
            <v>305943</v>
          </cell>
          <cell r="Q210" t="str">
            <v>1331331</v>
          </cell>
          <cell r="R210" t="str">
            <v>1110</v>
          </cell>
        </row>
        <row r="211">
          <cell r="L211">
            <v>2130782</v>
          </cell>
          <cell r="Q211" t="str">
            <v>642®t</v>
          </cell>
          <cell r="R211" t="str">
            <v>1110</v>
          </cell>
        </row>
        <row r="212">
          <cell r="L212">
            <v>213078</v>
          </cell>
          <cell r="Q212" t="str">
            <v>1331331</v>
          </cell>
          <cell r="R212" t="str">
            <v>1110</v>
          </cell>
        </row>
        <row r="213">
          <cell r="L213">
            <v>1536615</v>
          </cell>
          <cell r="Q213" t="str">
            <v>642®t</v>
          </cell>
          <cell r="R213" t="str">
            <v>1110</v>
          </cell>
        </row>
        <row r="214">
          <cell r="L214">
            <v>153662</v>
          </cell>
          <cell r="Q214" t="str">
            <v>1331331</v>
          </cell>
          <cell r="R214" t="str">
            <v>1110</v>
          </cell>
        </row>
        <row r="215">
          <cell r="L215">
            <v>218182</v>
          </cell>
          <cell r="Q215" t="str">
            <v>1110</v>
          </cell>
          <cell r="R215" t="str">
            <v>511ks</v>
          </cell>
        </row>
        <row r="216">
          <cell r="L216">
            <v>21818</v>
          </cell>
          <cell r="Q216" t="str">
            <v>1110</v>
          </cell>
          <cell r="R216" t="str">
            <v>3333331</v>
          </cell>
        </row>
        <row r="217">
          <cell r="L217">
            <v>25500000</v>
          </cell>
          <cell r="Q217" t="str">
            <v>1110</v>
          </cell>
          <cell r="R217" t="str">
            <v>131vcb</v>
          </cell>
        </row>
        <row r="218">
          <cell r="L218">
            <v>2015000</v>
          </cell>
          <cell r="Q218" t="str">
            <v>641ks</v>
          </cell>
          <cell r="R218" t="str">
            <v>1110</v>
          </cell>
        </row>
        <row r="219">
          <cell r="L219">
            <v>201500</v>
          </cell>
          <cell r="Q219" t="str">
            <v>1331331</v>
          </cell>
          <cell r="R219" t="str">
            <v>1110</v>
          </cell>
        </row>
        <row r="220">
          <cell r="L220">
            <v>41650000</v>
          </cell>
          <cell r="Q220" t="str">
            <v>141dòngkt</v>
          </cell>
          <cell r="R220" t="str">
            <v>1110</v>
          </cell>
        </row>
        <row r="221">
          <cell r="L221">
            <v>120000000</v>
          </cell>
          <cell r="Q221" t="str">
            <v>112ct</v>
          </cell>
          <cell r="R221" t="str">
            <v>131viettra</v>
          </cell>
        </row>
        <row r="222">
          <cell r="L222">
            <v>38368</v>
          </cell>
          <cell r="Q222" t="str">
            <v>112ct</v>
          </cell>
          <cell r="R222" t="str">
            <v>711ct</v>
          </cell>
        </row>
        <row r="223">
          <cell r="L223">
            <v>250000</v>
          </cell>
          <cell r="Q223" t="str">
            <v>1110</v>
          </cell>
          <cell r="R223" t="str">
            <v>141dòng</v>
          </cell>
        </row>
        <row r="224">
          <cell r="L224">
            <v>5148471</v>
          </cell>
          <cell r="Q224" t="str">
            <v>3383384</v>
          </cell>
          <cell r="R224" t="str">
            <v>1110</v>
          </cell>
        </row>
        <row r="225">
          <cell r="L225">
            <v>1628091</v>
          </cell>
          <cell r="Q225" t="str">
            <v>1110</v>
          </cell>
          <cell r="R225" t="str">
            <v>511ks</v>
          </cell>
        </row>
        <row r="226">
          <cell r="L226">
            <v>162809</v>
          </cell>
          <cell r="Q226" t="str">
            <v>1110</v>
          </cell>
          <cell r="R226" t="str">
            <v>3333331</v>
          </cell>
        </row>
        <row r="227">
          <cell r="L227">
            <v>597030</v>
          </cell>
          <cell r="Q227" t="str">
            <v>1110</v>
          </cell>
          <cell r="R227" t="str">
            <v>3383383</v>
          </cell>
        </row>
        <row r="228">
          <cell r="L228">
            <v>119406</v>
          </cell>
          <cell r="Q228" t="str">
            <v>1110</v>
          </cell>
          <cell r="R228" t="str">
            <v>3383384</v>
          </cell>
        </row>
        <row r="229">
          <cell r="L229">
            <v>120000</v>
          </cell>
          <cell r="Q229" t="str">
            <v>641ks</v>
          </cell>
          <cell r="R229" t="str">
            <v>1110</v>
          </cell>
        </row>
        <row r="230">
          <cell r="L230">
            <v>173000000</v>
          </cell>
          <cell r="Q230" t="str">
            <v>331unimex</v>
          </cell>
          <cell r="R230" t="str">
            <v>1110</v>
          </cell>
        </row>
        <row r="231">
          <cell r="L231">
            <v>140000</v>
          </cell>
          <cell r="Q231" t="str">
            <v>642k</v>
          </cell>
          <cell r="R231" t="str">
            <v>1110</v>
          </cell>
        </row>
        <row r="232">
          <cell r="L232">
            <v>7661500</v>
          </cell>
          <cell r="Q232" t="str">
            <v>3340</v>
          </cell>
          <cell r="R232" t="str">
            <v>1110</v>
          </cell>
        </row>
        <row r="233">
          <cell r="L233">
            <v>7000</v>
          </cell>
          <cell r="Q233" t="str">
            <v>112tec</v>
          </cell>
          <cell r="R233" t="str">
            <v>711tec</v>
          </cell>
        </row>
        <row r="234">
          <cell r="L234">
            <v>381818</v>
          </cell>
          <cell r="Q234" t="str">
            <v>1110</v>
          </cell>
          <cell r="R234" t="str">
            <v>511ks</v>
          </cell>
        </row>
        <row r="235">
          <cell r="L235">
            <v>38182</v>
          </cell>
          <cell r="Q235" t="str">
            <v>1110</v>
          </cell>
          <cell r="R235" t="str">
            <v>3333331</v>
          </cell>
        </row>
        <row r="236">
          <cell r="L236">
            <v>70000000</v>
          </cell>
          <cell r="Q236" t="str">
            <v>1110</v>
          </cell>
          <cell r="R236" t="str">
            <v>131hïng</v>
          </cell>
        </row>
        <row r="237">
          <cell r="L237">
            <v>14987000</v>
          </cell>
          <cell r="Q237" t="str">
            <v>1110</v>
          </cell>
          <cell r="R237" t="str">
            <v>131binh</v>
          </cell>
        </row>
        <row r="238">
          <cell r="L238">
            <v>13883500</v>
          </cell>
          <cell r="Q238" t="str">
            <v>1110</v>
          </cell>
          <cell r="R238" t="str">
            <v>131hs¬n</v>
          </cell>
        </row>
        <row r="239">
          <cell r="L239">
            <v>43290600</v>
          </cell>
          <cell r="Q239" t="str">
            <v>1110</v>
          </cell>
          <cell r="R239" t="str">
            <v>131bæng</v>
          </cell>
        </row>
        <row r="240">
          <cell r="L240">
            <v>120000000</v>
          </cell>
          <cell r="Q240" t="str">
            <v>1110</v>
          </cell>
          <cell r="R240" t="str">
            <v>112ct</v>
          </cell>
        </row>
        <row r="241">
          <cell r="L241">
            <v>363636</v>
          </cell>
          <cell r="Q241" t="str">
            <v>1110</v>
          </cell>
          <cell r="R241" t="str">
            <v>511ks</v>
          </cell>
        </row>
        <row r="242">
          <cell r="L242">
            <v>36364</v>
          </cell>
          <cell r="Q242" t="str">
            <v>1110</v>
          </cell>
          <cell r="R242" t="str">
            <v>3333331</v>
          </cell>
        </row>
        <row r="243">
          <cell r="L243">
            <v>7454545</v>
          </cell>
          <cell r="Q243" t="str">
            <v>1110</v>
          </cell>
          <cell r="R243" t="str">
            <v>511ch</v>
          </cell>
        </row>
        <row r="244">
          <cell r="L244">
            <v>745455</v>
          </cell>
          <cell r="Q244" t="str">
            <v>1110</v>
          </cell>
          <cell r="R244" t="str">
            <v>3333331</v>
          </cell>
        </row>
        <row r="245">
          <cell r="L245">
            <v>70000000</v>
          </cell>
          <cell r="Q245" t="str">
            <v>331nk5</v>
          </cell>
          <cell r="R245" t="str">
            <v>1110</v>
          </cell>
        </row>
        <row r="246">
          <cell r="L246">
            <v>132000000</v>
          </cell>
          <cell r="Q246" t="str">
            <v>4210</v>
          </cell>
          <cell r="R246" t="str">
            <v>1110</v>
          </cell>
        </row>
        <row r="247">
          <cell r="L247">
            <v>66500</v>
          </cell>
          <cell r="Q247" t="str">
            <v>642dn</v>
          </cell>
          <cell r="R247" t="str">
            <v>1110</v>
          </cell>
        </row>
        <row r="248">
          <cell r="L248">
            <v>12000000</v>
          </cell>
          <cell r="Q248" t="str">
            <v>311thh­¬ng</v>
          </cell>
          <cell r="R248" t="str">
            <v>1110</v>
          </cell>
        </row>
        <row r="249">
          <cell r="L249">
            <v>90000000</v>
          </cell>
          <cell r="Q249" t="str">
            <v>331tlong</v>
          </cell>
          <cell r="R249" t="str">
            <v>1110</v>
          </cell>
        </row>
        <row r="250">
          <cell r="L250">
            <v>50000000</v>
          </cell>
          <cell r="Q250" t="str">
            <v>141dòngkt</v>
          </cell>
          <cell r="R250" t="str">
            <v>1110</v>
          </cell>
        </row>
        <row r="251">
          <cell r="L251">
            <v>25900</v>
          </cell>
          <cell r="Q251" t="str">
            <v>641ks</v>
          </cell>
          <cell r="R251" t="str">
            <v>1110</v>
          </cell>
        </row>
        <row r="252">
          <cell r="L252">
            <v>285500</v>
          </cell>
          <cell r="Q252" t="str">
            <v>642dc</v>
          </cell>
          <cell r="R252" t="str">
            <v>1110</v>
          </cell>
        </row>
        <row r="253">
          <cell r="L253">
            <v>42000</v>
          </cell>
          <cell r="Q253" t="str">
            <v>642vp</v>
          </cell>
          <cell r="R253" t="str">
            <v>1110</v>
          </cell>
        </row>
        <row r="254">
          <cell r="L254">
            <v>94000</v>
          </cell>
          <cell r="Q254" t="str">
            <v>641dl</v>
          </cell>
          <cell r="R254" t="str">
            <v>1110</v>
          </cell>
        </row>
        <row r="255">
          <cell r="L255">
            <v>6400</v>
          </cell>
          <cell r="Q255" t="str">
            <v>1331331</v>
          </cell>
          <cell r="R255" t="str">
            <v>1110</v>
          </cell>
        </row>
        <row r="256">
          <cell r="L256">
            <v>300000</v>
          </cell>
          <cell r="Q256" t="str">
            <v>642bv</v>
          </cell>
          <cell r="R256" t="str">
            <v>1110</v>
          </cell>
        </row>
        <row r="257">
          <cell r="L257">
            <v>46360748</v>
          </cell>
          <cell r="Q257" t="str">
            <v>1331331</v>
          </cell>
          <cell r="R257" t="str">
            <v>331nk2</v>
          </cell>
        </row>
        <row r="258">
          <cell r="L258">
            <v>1048600</v>
          </cell>
          <cell r="Q258" t="str">
            <v>1331331</v>
          </cell>
          <cell r="R258" t="str">
            <v>331cuaong</v>
          </cell>
        </row>
        <row r="259">
          <cell r="L259">
            <v>928173290</v>
          </cell>
          <cell r="Q259" t="str">
            <v>156thep</v>
          </cell>
          <cell r="R259" t="str">
            <v>331nk2</v>
          </cell>
        </row>
        <row r="260">
          <cell r="L260">
            <v>20972000</v>
          </cell>
          <cell r="Q260" t="str">
            <v>156than</v>
          </cell>
          <cell r="R260" t="str">
            <v>331cuaong</v>
          </cell>
        </row>
        <row r="261">
          <cell r="L261">
            <v>965425720</v>
          </cell>
          <cell r="Q261" t="str">
            <v>632kd</v>
          </cell>
          <cell r="R261" t="str">
            <v>1560</v>
          </cell>
        </row>
        <row r="262">
          <cell r="L262">
            <v>20000000</v>
          </cell>
          <cell r="Q262" t="str">
            <v>1110</v>
          </cell>
          <cell r="R262" t="str">
            <v>131hasa</v>
          </cell>
        </row>
        <row r="263">
          <cell r="L263">
            <v>160000000</v>
          </cell>
          <cell r="Q263" t="str">
            <v>1110</v>
          </cell>
          <cell r="R263" t="str">
            <v>131anphu</v>
          </cell>
        </row>
        <row r="264">
          <cell r="L264">
            <v>5000000</v>
          </cell>
          <cell r="Q264" t="str">
            <v>1110</v>
          </cell>
          <cell r="R264" t="str">
            <v>131hphat</v>
          </cell>
        </row>
        <row r="265">
          <cell r="L265">
            <v>227273</v>
          </cell>
          <cell r="Q265" t="str">
            <v>1110</v>
          </cell>
          <cell r="R265" t="str">
            <v>511ks</v>
          </cell>
        </row>
        <row r="266">
          <cell r="L266">
            <v>22727</v>
          </cell>
          <cell r="Q266" t="str">
            <v>1110</v>
          </cell>
          <cell r="R266" t="str">
            <v>3333331</v>
          </cell>
        </row>
        <row r="267">
          <cell r="L267">
            <v>10000000</v>
          </cell>
          <cell r="Q267" t="str">
            <v>311nk2</v>
          </cell>
          <cell r="R267" t="str">
            <v>1110</v>
          </cell>
        </row>
        <row r="268">
          <cell r="L268">
            <v>20000000</v>
          </cell>
          <cell r="Q268" t="str">
            <v>331hoasua</v>
          </cell>
          <cell r="R268" t="str">
            <v>1110</v>
          </cell>
        </row>
        <row r="269">
          <cell r="L269">
            <v>100000000</v>
          </cell>
          <cell r="Q269" t="str">
            <v>141dòngkt</v>
          </cell>
          <cell r="R269" t="str">
            <v>1110</v>
          </cell>
        </row>
        <row r="270">
          <cell r="L270">
            <v>1650000</v>
          </cell>
          <cell r="Q270" t="str">
            <v>1110</v>
          </cell>
          <cell r="R270" t="str">
            <v>511ks</v>
          </cell>
        </row>
        <row r="271">
          <cell r="L271">
            <v>165000</v>
          </cell>
          <cell r="Q271" t="str">
            <v>1110</v>
          </cell>
          <cell r="R271" t="str">
            <v>3333331</v>
          </cell>
        </row>
        <row r="272">
          <cell r="L272">
            <v>7560000</v>
          </cell>
          <cell r="Q272" t="str">
            <v>1110</v>
          </cell>
          <cell r="R272" t="str">
            <v>131binh</v>
          </cell>
        </row>
        <row r="273">
          <cell r="L273">
            <v>430000</v>
          </cell>
          <cell r="Q273" t="str">
            <v>642bv</v>
          </cell>
          <cell r="R273" t="str">
            <v>1110</v>
          </cell>
        </row>
        <row r="274">
          <cell r="L274">
            <v>40900</v>
          </cell>
          <cell r="Q274" t="str">
            <v>642tk</v>
          </cell>
          <cell r="R274" t="str">
            <v>1110</v>
          </cell>
        </row>
        <row r="275">
          <cell r="L275">
            <v>6500000</v>
          </cell>
          <cell r="Q275" t="str">
            <v>311nk2</v>
          </cell>
          <cell r="R275" t="str">
            <v>1110</v>
          </cell>
        </row>
        <row r="276">
          <cell r="L276">
            <v>20000000</v>
          </cell>
          <cell r="Q276" t="str">
            <v>112ct</v>
          </cell>
          <cell r="R276" t="str">
            <v>1110</v>
          </cell>
        </row>
        <row r="277">
          <cell r="L277">
            <v>4000000</v>
          </cell>
          <cell r="Q277" t="str">
            <v>141dòng</v>
          </cell>
          <cell r="R277" t="str">
            <v>1110</v>
          </cell>
        </row>
        <row r="278">
          <cell r="L278">
            <v>3000000</v>
          </cell>
          <cell r="Q278" t="str">
            <v>141hoµ</v>
          </cell>
          <cell r="R278" t="str">
            <v>1110</v>
          </cell>
        </row>
        <row r="279">
          <cell r="L279">
            <v>22050000</v>
          </cell>
          <cell r="Q279" t="str">
            <v>331cuaong</v>
          </cell>
          <cell r="R279" t="str">
            <v>112ct</v>
          </cell>
        </row>
        <row r="280">
          <cell r="L280">
            <v>18182</v>
          </cell>
          <cell r="Q280" t="str">
            <v>642k</v>
          </cell>
          <cell r="R280" t="str">
            <v>112ct</v>
          </cell>
        </row>
        <row r="281">
          <cell r="L281">
            <v>1818</v>
          </cell>
          <cell r="Q281" t="str">
            <v>1331331</v>
          </cell>
          <cell r="R281" t="str">
            <v>112ct</v>
          </cell>
        </row>
        <row r="282">
          <cell r="L282">
            <v>7560000</v>
          </cell>
          <cell r="Q282" t="str">
            <v>1110</v>
          </cell>
          <cell r="R282" t="str">
            <v>131trungkien</v>
          </cell>
        </row>
        <row r="283">
          <cell r="L283">
            <v>10000000</v>
          </cell>
          <cell r="Q283" t="str">
            <v>311nk2</v>
          </cell>
          <cell r="R283" t="str">
            <v>1110</v>
          </cell>
        </row>
        <row r="284">
          <cell r="L284">
            <v>90000</v>
          </cell>
          <cell r="Q284" t="str">
            <v>642sc</v>
          </cell>
          <cell r="R284" t="str">
            <v>1110</v>
          </cell>
        </row>
        <row r="285">
          <cell r="L285">
            <v>8200000</v>
          </cell>
          <cell r="Q285" t="str">
            <v>311nk2</v>
          </cell>
          <cell r="R285" t="str">
            <v>1110</v>
          </cell>
        </row>
        <row r="286">
          <cell r="L286">
            <v>7500000</v>
          </cell>
          <cell r="Q286" t="str">
            <v>311nk2</v>
          </cell>
          <cell r="R286" t="str">
            <v>1110</v>
          </cell>
        </row>
        <row r="287">
          <cell r="L287">
            <v>122728</v>
          </cell>
          <cell r="Q287" t="str">
            <v>1110</v>
          </cell>
          <cell r="R287" t="str">
            <v>511ks</v>
          </cell>
        </row>
        <row r="288">
          <cell r="L288">
            <v>12272</v>
          </cell>
          <cell r="Q288" t="str">
            <v>1110</v>
          </cell>
          <cell r="R288" t="str">
            <v>3333331</v>
          </cell>
        </row>
        <row r="289">
          <cell r="L289">
            <v>900000</v>
          </cell>
          <cell r="Q289" t="str">
            <v>642®t</v>
          </cell>
          <cell r="R289" t="str">
            <v>1110</v>
          </cell>
        </row>
        <row r="290">
          <cell r="L290">
            <v>1346400</v>
          </cell>
          <cell r="Q290" t="str">
            <v>1110</v>
          </cell>
          <cell r="R290" t="str">
            <v>141dòng</v>
          </cell>
        </row>
        <row r="291">
          <cell r="L291">
            <v>1063500</v>
          </cell>
          <cell r="Q291" t="str">
            <v>1110</v>
          </cell>
          <cell r="R291" t="str">
            <v>141h­¬ng</v>
          </cell>
        </row>
        <row r="292">
          <cell r="L292">
            <v>500000</v>
          </cell>
          <cell r="Q292" t="str">
            <v>1110</v>
          </cell>
          <cell r="R292" t="str">
            <v>141thu</v>
          </cell>
        </row>
        <row r="293">
          <cell r="L293">
            <v>63506750</v>
          </cell>
          <cell r="Q293" t="str">
            <v>1110</v>
          </cell>
          <cell r="R293" t="str">
            <v>131vcb</v>
          </cell>
        </row>
        <row r="294">
          <cell r="L294">
            <v>596607</v>
          </cell>
          <cell r="Q294" t="str">
            <v>642k</v>
          </cell>
          <cell r="R294" t="str">
            <v>1110</v>
          </cell>
        </row>
        <row r="295">
          <cell r="L295">
            <v>43393</v>
          </cell>
          <cell r="Q295" t="str">
            <v>1331331</v>
          </cell>
          <cell r="R295" t="str">
            <v>1110</v>
          </cell>
        </row>
        <row r="296">
          <cell r="L296">
            <v>48000000</v>
          </cell>
          <cell r="Q296" t="str">
            <v>311nk2</v>
          </cell>
          <cell r="R296" t="str">
            <v>1110</v>
          </cell>
        </row>
        <row r="297">
          <cell r="L297">
            <v>600000</v>
          </cell>
          <cell r="Q297" t="str">
            <v>141thu</v>
          </cell>
          <cell r="R297" t="str">
            <v>1110</v>
          </cell>
        </row>
        <row r="298">
          <cell r="L298">
            <v>241000000</v>
          </cell>
          <cell r="Q298" t="str">
            <v>112ct</v>
          </cell>
          <cell r="R298" t="str">
            <v>131vanloi</v>
          </cell>
        </row>
        <row r="299">
          <cell r="L299">
            <v>770224</v>
          </cell>
          <cell r="Q299" t="str">
            <v>1110</v>
          </cell>
          <cell r="R299" t="str">
            <v>141thuû</v>
          </cell>
        </row>
        <row r="300">
          <cell r="L300">
            <v>616362</v>
          </cell>
          <cell r="Q300" t="str">
            <v>1110</v>
          </cell>
          <cell r="R300" t="str">
            <v>642dn</v>
          </cell>
        </row>
        <row r="301">
          <cell r="L301">
            <v>381818</v>
          </cell>
          <cell r="Q301" t="str">
            <v>1110</v>
          </cell>
          <cell r="R301" t="str">
            <v>511ks</v>
          </cell>
        </row>
        <row r="302">
          <cell r="L302">
            <v>38182</v>
          </cell>
          <cell r="Q302" t="str">
            <v>1110</v>
          </cell>
          <cell r="R302" t="str">
            <v>3333331</v>
          </cell>
        </row>
        <row r="303">
          <cell r="L303">
            <v>1513600</v>
          </cell>
          <cell r="Q303" t="str">
            <v>642vp</v>
          </cell>
          <cell r="R303" t="str">
            <v>1110</v>
          </cell>
        </row>
        <row r="304">
          <cell r="L304">
            <v>36370000</v>
          </cell>
          <cell r="Q304" t="str">
            <v>1110</v>
          </cell>
          <cell r="R304" t="str">
            <v>131tthu</v>
          </cell>
        </row>
        <row r="305">
          <cell r="L305">
            <v>44800000</v>
          </cell>
          <cell r="Q305" t="str">
            <v>311nk2</v>
          </cell>
          <cell r="R305" t="str">
            <v>1110</v>
          </cell>
        </row>
        <row r="306">
          <cell r="L306">
            <v>3035156</v>
          </cell>
          <cell r="Q306" t="str">
            <v>331unimex</v>
          </cell>
          <cell r="R306" t="str">
            <v>1110</v>
          </cell>
        </row>
        <row r="307">
          <cell r="L307">
            <v>1499938</v>
          </cell>
          <cell r="Q307" t="str">
            <v>642®t</v>
          </cell>
          <cell r="R307" t="str">
            <v>1110</v>
          </cell>
        </row>
        <row r="308">
          <cell r="L308">
            <v>149994</v>
          </cell>
          <cell r="Q308" t="str">
            <v>1331331</v>
          </cell>
          <cell r="R308" t="str">
            <v>1110</v>
          </cell>
        </row>
        <row r="309">
          <cell r="L309">
            <v>102375</v>
          </cell>
          <cell r="Q309" t="str">
            <v>1110</v>
          </cell>
          <cell r="R309" t="str">
            <v>3383383</v>
          </cell>
        </row>
        <row r="310">
          <cell r="L310">
            <v>90909</v>
          </cell>
          <cell r="Q310" t="str">
            <v>1110</v>
          </cell>
          <cell r="R310" t="str">
            <v>511ks</v>
          </cell>
        </row>
        <row r="311">
          <cell r="L311">
            <v>9091</v>
          </cell>
          <cell r="Q311" t="str">
            <v>1110</v>
          </cell>
          <cell r="R311" t="str">
            <v>3333331</v>
          </cell>
        </row>
        <row r="312">
          <cell r="L312">
            <v>20000000</v>
          </cell>
          <cell r="Q312" t="str">
            <v>1110</v>
          </cell>
          <cell r="R312" t="str">
            <v>131anphu</v>
          </cell>
        </row>
        <row r="313">
          <cell r="L313">
            <v>7700000</v>
          </cell>
          <cell r="Q313" t="str">
            <v>3340</v>
          </cell>
          <cell r="R313" t="str">
            <v>1110</v>
          </cell>
        </row>
        <row r="314">
          <cell r="L314">
            <v>902160</v>
          </cell>
          <cell r="Q314" t="str">
            <v>338qldd</v>
          </cell>
          <cell r="R314" t="str">
            <v>1110</v>
          </cell>
        </row>
        <row r="315">
          <cell r="L315">
            <v>1914938</v>
          </cell>
          <cell r="Q315" t="str">
            <v>642®t</v>
          </cell>
          <cell r="R315" t="str">
            <v>1110</v>
          </cell>
        </row>
        <row r="316">
          <cell r="L316">
            <v>191493</v>
          </cell>
          <cell r="Q316" t="str">
            <v>1331331</v>
          </cell>
          <cell r="R316" t="str">
            <v>1110</v>
          </cell>
        </row>
        <row r="317">
          <cell r="L317">
            <v>20475</v>
          </cell>
          <cell r="Q317" t="str">
            <v>1110</v>
          </cell>
          <cell r="R317" t="str">
            <v>3383384</v>
          </cell>
        </row>
        <row r="318">
          <cell r="L318">
            <v>90909</v>
          </cell>
          <cell r="Q318" t="str">
            <v>1110</v>
          </cell>
          <cell r="R318" t="str">
            <v>511ks</v>
          </cell>
        </row>
        <row r="319">
          <cell r="L319">
            <v>9091</v>
          </cell>
          <cell r="Q319" t="str">
            <v>1110</v>
          </cell>
          <cell r="R319" t="str">
            <v>3333331</v>
          </cell>
        </row>
        <row r="320">
          <cell r="L320">
            <v>6600000</v>
          </cell>
          <cell r="Q320" t="str">
            <v>1110</v>
          </cell>
          <cell r="R320" t="str">
            <v>4210</v>
          </cell>
        </row>
        <row r="321">
          <cell r="L321">
            <v>11093000</v>
          </cell>
          <cell r="Q321" t="str">
            <v>1110</v>
          </cell>
          <cell r="R321" t="str">
            <v>131anphu</v>
          </cell>
        </row>
        <row r="322">
          <cell r="L322">
            <v>8000000</v>
          </cell>
          <cell r="Q322" t="str">
            <v>112ct</v>
          </cell>
          <cell r="R322" t="str">
            <v>131anphu</v>
          </cell>
        </row>
        <row r="323">
          <cell r="L323">
            <v>6600000</v>
          </cell>
          <cell r="Q323" t="str">
            <v>421</v>
          </cell>
          <cell r="R323" t="str">
            <v>112ct</v>
          </cell>
        </row>
        <row r="324">
          <cell r="L324">
            <v>200000</v>
          </cell>
          <cell r="Q324" t="str">
            <v>1110</v>
          </cell>
          <cell r="R324" t="str">
            <v>511ks</v>
          </cell>
        </row>
        <row r="325">
          <cell r="L325">
            <v>20000</v>
          </cell>
          <cell r="Q325" t="str">
            <v>1110</v>
          </cell>
          <cell r="R325" t="str">
            <v>3333331</v>
          </cell>
        </row>
        <row r="326">
          <cell r="L326">
            <v>459091</v>
          </cell>
          <cell r="Q326" t="str">
            <v>1110</v>
          </cell>
          <cell r="R326" t="str">
            <v>511ks</v>
          </cell>
        </row>
        <row r="327">
          <cell r="L327">
            <v>45909</v>
          </cell>
          <cell r="Q327" t="str">
            <v>1110</v>
          </cell>
          <cell r="R327" t="str">
            <v>3333331</v>
          </cell>
        </row>
        <row r="328">
          <cell r="L328">
            <v>32000000</v>
          </cell>
          <cell r="Q328" t="str">
            <v>1110</v>
          </cell>
          <cell r="R328" t="str">
            <v>131vthu</v>
          </cell>
        </row>
        <row r="329">
          <cell r="L329">
            <v>678000</v>
          </cell>
          <cell r="Q329" t="str">
            <v>641®t</v>
          </cell>
          <cell r="R329" t="str">
            <v>1110</v>
          </cell>
        </row>
        <row r="330">
          <cell r="L330">
            <v>50000000</v>
          </cell>
          <cell r="Q330" t="str">
            <v>331nk5</v>
          </cell>
          <cell r="R330" t="str">
            <v>1110</v>
          </cell>
        </row>
        <row r="331">
          <cell r="L331">
            <v>32000000</v>
          </cell>
          <cell r="Q331" t="str">
            <v>311nk2</v>
          </cell>
          <cell r="R331" t="str">
            <v>1110</v>
          </cell>
        </row>
        <row r="332">
          <cell r="L332">
            <v>29000000</v>
          </cell>
          <cell r="Q332" t="str">
            <v>311nk2</v>
          </cell>
          <cell r="R332" t="str">
            <v>112ct</v>
          </cell>
        </row>
        <row r="333">
          <cell r="L333">
            <v>1949091</v>
          </cell>
          <cell r="Q333" t="str">
            <v>642vp</v>
          </cell>
          <cell r="R333" t="str">
            <v>1110</v>
          </cell>
        </row>
        <row r="334">
          <cell r="L334">
            <v>194909</v>
          </cell>
          <cell r="Q334" t="str">
            <v>1331331</v>
          </cell>
          <cell r="R334" t="str">
            <v>1110</v>
          </cell>
        </row>
        <row r="335">
          <cell r="L335">
            <v>2454000</v>
          </cell>
          <cell r="Q335" t="str">
            <v>141l©m</v>
          </cell>
          <cell r="R335" t="str">
            <v>1110</v>
          </cell>
        </row>
        <row r="336">
          <cell r="L336">
            <v>270000</v>
          </cell>
          <cell r="Q336" t="str">
            <v>1110</v>
          </cell>
          <cell r="R336" t="str">
            <v>141thu</v>
          </cell>
        </row>
        <row r="337">
          <cell r="L337">
            <v>270000</v>
          </cell>
          <cell r="Q337" t="str">
            <v>641dl</v>
          </cell>
          <cell r="R337" t="str">
            <v>1110</v>
          </cell>
        </row>
        <row r="338">
          <cell r="L338">
            <v>418182</v>
          </cell>
          <cell r="Q338" t="str">
            <v>642dc</v>
          </cell>
          <cell r="R338" t="str">
            <v>1110</v>
          </cell>
        </row>
        <row r="339">
          <cell r="L339">
            <v>41818</v>
          </cell>
          <cell r="Q339" t="str">
            <v>1331331</v>
          </cell>
          <cell r="R339" t="str">
            <v>1110</v>
          </cell>
        </row>
        <row r="340">
          <cell r="L340">
            <v>2454000</v>
          </cell>
          <cell r="Q340" t="str">
            <v>1110</v>
          </cell>
          <cell r="R340" t="str">
            <v>141l©m</v>
          </cell>
        </row>
        <row r="341">
          <cell r="L341">
            <v>290909</v>
          </cell>
          <cell r="Q341" t="str">
            <v>1110</v>
          </cell>
          <cell r="R341" t="str">
            <v>511ks</v>
          </cell>
        </row>
        <row r="342">
          <cell r="L342">
            <v>29091</v>
          </cell>
          <cell r="Q342" t="str">
            <v>1110</v>
          </cell>
          <cell r="R342" t="str">
            <v>3333331</v>
          </cell>
        </row>
        <row r="343">
          <cell r="L343">
            <v>2774950</v>
          </cell>
          <cell r="Q343" t="str">
            <v>642dn</v>
          </cell>
          <cell r="R343" t="str">
            <v>112ct</v>
          </cell>
        </row>
        <row r="344">
          <cell r="L344">
            <v>277495</v>
          </cell>
          <cell r="Q344" t="str">
            <v>1331331</v>
          </cell>
          <cell r="R344" t="str">
            <v>112ct</v>
          </cell>
        </row>
        <row r="345">
          <cell r="L345">
            <v>205000000</v>
          </cell>
          <cell r="Q345" t="str">
            <v>112tec</v>
          </cell>
          <cell r="R345" t="str">
            <v>112ct</v>
          </cell>
        </row>
        <row r="346">
          <cell r="L346">
            <v>3000000</v>
          </cell>
          <cell r="Q346" t="str">
            <v>1110</v>
          </cell>
          <cell r="R346" t="str">
            <v>141hoµ</v>
          </cell>
        </row>
        <row r="347">
          <cell r="L347">
            <v>2230909</v>
          </cell>
          <cell r="Q347" t="str">
            <v>642vp</v>
          </cell>
          <cell r="R347" t="str">
            <v>1110</v>
          </cell>
        </row>
        <row r="348">
          <cell r="L348">
            <v>223091</v>
          </cell>
          <cell r="Q348" t="str">
            <v>1331331</v>
          </cell>
          <cell r="R348" t="str">
            <v>1110</v>
          </cell>
        </row>
        <row r="349">
          <cell r="L349">
            <v>395000</v>
          </cell>
          <cell r="Q349" t="str">
            <v>642vp</v>
          </cell>
          <cell r="R349" t="str">
            <v>1110</v>
          </cell>
        </row>
        <row r="350">
          <cell r="L350">
            <v>39500</v>
          </cell>
          <cell r="Q350" t="str">
            <v>1331331</v>
          </cell>
          <cell r="R350" t="str">
            <v>1110</v>
          </cell>
        </row>
        <row r="351">
          <cell r="L351">
            <v>2634000</v>
          </cell>
          <cell r="Q351" t="str">
            <v>642vp</v>
          </cell>
          <cell r="R351" t="str">
            <v>1110</v>
          </cell>
        </row>
        <row r="352">
          <cell r="L352">
            <v>263400</v>
          </cell>
          <cell r="Q352" t="str">
            <v>1331331</v>
          </cell>
          <cell r="R352" t="str">
            <v>1110</v>
          </cell>
        </row>
        <row r="353">
          <cell r="L353">
            <v>2000</v>
          </cell>
          <cell r="Q353" t="str">
            <v>642k</v>
          </cell>
          <cell r="R353" t="str">
            <v>112ct</v>
          </cell>
        </row>
        <row r="354">
          <cell r="L354">
            <v>200</v>
          </cell>
          <cell r="Q354" t="str">
            <v>1331331</v>
          </cell>
          <cell r="R354" t="str">
            <v>112ct</v>
          </cell>
        </row>
        <row r="355">
          <cell r="L355">
            <v>200000</v>
          </cell>
          <cell r="Q355" t="str">
            <v>1110</v>
          </cell>
          <cell r="R355" t="str">
            <v>511ks</v>
          </cell>
        </row>
        <row r="356">
          <cell r="L356">
            <v>20000</v>
          </cell>
          <cell r="Q356" t="str">
            <v>1110</v>
          </cell>
          <cell r="R356" t="str">
            <v>3333331</v>
          </cell>
        </row>
        <row r="357">
          <cell r="L357">
            <v>218182</v>
          </cell>
          <cell r="Q357" t="str">
            <v>1110</v>
          </cell>
          <cell r="R357" t="str">
            <v>511ks</v>
          </cell>
        </row>
        <row r="358">
          <cell r="L358">
            <v>21818</v>
          </cell>
          <cell r="Q358" t="str">
            <v>1110</v>
          </cell>
          <cell r="R358" t="str">
            <v>3333331</v>
          </cell>
        </row>
        <row r="359">
          <cell r="L359">
            <v>3000000000</v>
          </cell>
          <cell r="Q359" t="str">
            <v>112ct</v>
          </cell>
          <cell r="R359" t="str">
            <v>311nk2</v>
          </cell>
        </row>
        <row r="360">
          <cell r="L360">
            <v>238461</v>
          </cell>
          <cell r="Q360" t="str">
            <v>112ct</v>
          </cell>
          <cell r="R360" t="str">
            <v>711ct</v>
          </cell>
        </row>
        <row r="361">
          <cell r="L361">
            <v>26000000</v>
          </cell>
          <cell r="Q361" t="str">
            <v>331cuaong</v>
          </cell>
          <cell r="R361" t="str">
            <v>112ct</v>
          </cell>
        </row>
        <row r="362">
          <cell r="L362">
            <v>18182</v>
          </cell>
          <cell r="Q362" t="str">
            <v>642k</v>
          </cell>
          <cell r="R362" t="str">
            <v>112ct</v>
          </cell>
        </row>
        <row r="363">
          <cell r="L363">
            <v>1818</v>
          </cell>
          <cell r="Q363" t="str">
            <v>1331331</v>
          </cell>
          <cell r="R363" t="str">
            <v>112ct</v>
          </cell>
        </row>
        <row r="364">
          <cell r="L364">
            <v>80000000</v>
          </cell>
          <cell r="Q364" t="str">
            <v>1110</v>
          </cell>
          <cell r="R364" t="str">
            <v>112ct</v>
          </cell>
        </row>
        <row r="365">
          <cell r="L365">
            <v>50000000</v>
          </cell>
          <cell r="Q365" t="str">
            <v>1110</v>
          </cell>
          <cell r="R365" t="str">
            <v>112ct</v>
          </cell>
        </row>
        <row r="366">
          <cell r="L366">
            <v>300000</v>
          </cell>
          <cell r="Q366" t="str">
            <v>642bv</v>
          </cell>
          <cell r="R366" t="str">
            <v>1110</v>
          </cell>
        </row>
        <row r="367">
          <cell r="L367">
            <v>175000</v>
          </cell>
          <cell r="Q367" t="str">
            <v>641dl</v>
          </cell>
          <cell r="R367" t="str">
            <v>1110</v>
          </cell>
        </row>
        <row r="368">
          <cell r="L368">
            <v>17500</v>
          </cell>
          <cell r="Q368" t="str">
            <v>1331331</v>
          </cell>
          <cell r="R368" t="str">
            <v>1110</v>
          </cell>
        </row>
        <row r="369">
          <cell r="L369">
            <v>49130800</v>
          </cell>
          <cell r="Q369" t="str">
            <v>331hoasua</v>
          </cell>
          <cell r="R369" t="str">
            <v>1110</v>
          </cell>
        </row>
        <row r="370">
          <cell r="L370">
            <v>57600000</v>
          </cell>
          <cell r="Q370" t="str">
            <v>311nk2</v>
          </cell>
          <cell r="R370" t="str">
            <v>1110</v>
          </cell>
        </row>
        <row r="371">
          <cell r="L371">
            <v>7600</v>
          </cell>
          <cell r="Q371" t="str">
            <v>642vp</v>
          </cell>
          <cell r="R371" t="str">
            <v>112ct</v>
          </cell>
        </row>
        <row r="372">
          <cell r="L372">
            <v>90909</v>
          </cell>
          <cell r="Q372" t="str">
            <v>1110</v>
          </cell>
          <cell r="R372" t="str">
            <v>511ks</v>
          </cell>
        </row>
        <row r="373">
          <cell r="L373">
            <v>9091</v>
          </cell>
          <cell r="Q373" t="str">
            <v>1110</v>
          </cell>
          <cell r="R373" t="str">
            <v>3333331</v>
          </cell>
        </row>
        <row r="374">
          <cell r="L374">
            <v>2800000000</v>
          </cell>
          <cell r="Q374" t="str">
            <v>331xnkmt</v>
          </cell>
          <cell r="R374" t="str">
            <v>112ct</v>
          </cell>
        </row>
        <row r="375">
          <cell r="L375">
            <v>2000</v>
          </cell>
          <cell r="Q375" t="str">
            <v>642k</v>
          </cell>
          <cell r="R375" t="str">
            <v>112ct</v>
          </cell>
        </row>
        <row r="376">
          <cell r="L376">
            <v>200</v>
          </cell>
          <cell r="Q376" t="str">
            <v>1331331</v>
          </cell>
          <cell r="R376" t="str">
            <v>112ct</v>
          </cell>
        </row>
        <row r="377">
          <cell r="L377">
            <v>63500000</v>
          </cell>
          <cell r="Q377" t="str">
            <v>1110</v>
          </cell>
          <cell r="R377" t="str">
            <v>131h­¬ng</v>
          </cell>
        </row>
        <row r="378">
          <cell r="L378">
            <v>5000</v>
          </cell>
          <cell r="Q378" t="str">
            <v>112cntec</v>
          </cell>
          <cell r="R378" t="str">
            <v>711cntec</v>
          </cell>
        </row>
        <row r="379">
          <cell r="L379">
            <v>50000000</v>
          </cell>
          <cell r="Q379" t="str">
            <v>1110</v>
          </cell>
          <cell r="R379" t="str">
            <v>112ct</v>
          </cell>
        </row>
        <row r="380">
          <cell r="L380">
            <v>641760</v>
          </cell>
          <cell r="Q380" t="str">
            <v>1110</v>
          </cell>
          <cell r="R380" t="str">
            <v>3383383</v>
          </cell>
        </row>
        <row r="381">
          <cell r="L381">
            <v>128352</v>
          </cell>
          <cell r="Q381" t="str">
            <v>1110</v>
          </cell>
          <cell r="R381" t="str">
            <v>3383384</v>
          </cell>
        </row>
        <row r="382">
          <cell r="L382">
            <v>232108</v>
          </cell>
          <cell r="Q382" t="str">
            <v>1110</v>
          </cell>
          <cell r="R382" t="str">
            <v>141dòng</v>
          </cell>
        </row>
        <row r="383">
          <cell r="L383">
            <v>274296</v>
          </cell>
          <cell r="Q383" t="str">
            <v>1110</v>
          </cell>
          <cell r="R383" t="str">
            <v>141thu</v>
          </cell>
        </row>
        <row r="384">
          <cell r="L384">
            <v>7942300</v>
          </cell>
          <cell r="Q384" t="str">
            <v>3340</v>
          </cell>
          <cell r="R384" t="str">
            <v>1110</v>
          </cell>
        </row>
        <row r="385">
          <cell r="L385">
            <v>5300000</v>
          </cell>
          <cell r="Q385" t="str">
            <v>642k</v>
          </cell>
          <cell r="R385" t="str">
            <v>1110</v>
          </cell>
        </row>
        <row r="386">
          <cell r="L386">
            <v>309000</v>
          </cell>
          <cell r="Q386" t="str">
            <v>641®t</v>
          </cell>
          <cell r="R386" t="str">
            <v>1110</v>
          </cell>
        </row>
        <row r="387">
          <cell r="L387">
            <v>1210132790</v>
          </cell>
          <cell r="Q387" t="str">
            <v>632kd</v>
          </cell>
          <cell r="R387" t="str">
            <v>1560</v>
          </cell>
        </row>
        <row r="388">
          <cell r="L388">
            <v>90000</v>
          </cell>
          <cell r="Q388" t="str">
            <v>112tec</v>
          </cell>
          <cell r="R388" t="str">
            <v>711tec</v>
          </cell>
        </row>
        <row r="389">
          <cell r="L389">
            <v>1154544</v>
          </cell>
          <cell r="Q389" t="str">
            <v>1110</v>
          </cell>
          <cell r="R389" t="str">
            <v>511ks</v>
          </cell>
        </row>
        <row r="390">
          <cell r="L390">
            <v>115456</v>
          </cell>
          <cell r="Q390" t="str">
            <v>1110</v>
          </cell>
          <cell r="R390" t="str">
            <v>3333331</v>
          </cell>
        </row>
        <row r="391">
          <cell r="L391">
            <v>64300</v>
          </cell>
          <cell r="Q391" t="str">
            <v>642tk</v>
          </cell>
          <cell r="R391" t="str">
            <v>1110</v>
          </cell>
        </row>
        <row r="392">
          <cell r="L392">
            <v>594506752</v>
          </cell>
          <cell r="Q392" t="str">
            <v>3333331</v>
          </cell>
          <cell r="R392" t="str">
            <v>1331331</v>
          </cell>
        </row>
        <row r="393">
          <cell r="L393">
            <v>47042300</v>
          </cell>
          <cell r="Q393" t="str">
            <v>642l</v>
          </cell>
          <cell r="R393" t="str">
            <v>3340</v>
          </cell>
        </row>
        <row r="394">
          <cell r="L394">
            <v>1322261</v>
          </cell>
          <cell r="Q394" t="str">
            <v>4210</v>
          </cell>
          <cell r="R394" t="str">
            <v>9110</v>
          </cell>
        </row>
        <row r="395">
          <cell r="L395">
            <v>5930731890</v>
          </cell>
          <cell r="Q395" t="str">
            <v>5110</v>
          </cell>
          <cell r="R395" t="str">
            <v>9110</v>
          </cell>
        </row>
        <row r="396">
          <cell r="L396">
            <v>5739290510</v>
          </cell>
          <cell r="Q396" t="str">
            <v>9110</v>
          </cell>
          <cell r="R396" t="str">
            <v>6320</v>
          </cell>
        </row>
        <row r="397">
          <cell r="L397">
            <v>393446</v>
          </cell>
          <cell r="Q397" t="str">
            <v>7110</v>
          </cell>
          <cell r="R397" t="str">
            <v>9110</v>
          </cell>
        </row>
        <row r="398">
          <cell r="L398">
            <v>56000000</v>
          </cell>
          <cell r="Q398" t="str">
            <v>1331331</v>
          </cell>
          <cell r="R398" t="str">
            <v>331nthh</v>
          </cell>
        </row>
        <row r="399">
          <cell r="L399">
            <v>22400000</v>
          </cell>
          <cell r="Q399" t="str">
            <v>156sutq</v>
          </cell>
          <cell r="R399" t="str">
            <v>331nthh</v>
          </cell>
        </row>
        <row r="400">
          <cell r="L400">
            <v>537600000</v>
          </cell>
          <cell r="Q400" t="str">
            <v>156waytq</v>
          </cell>
          <cell r="R400" t="str">
            <v>331nthh</v>
          </cell>
        </row>
        <row r="401">
          <cell r="L401">
            <v>13800000</v>
          </cell>
          <cell r="Q401" t="str">
            <v>642kh</v>
          </cell>
          <cell r="R401" t="str">
            <v>2140</v>
          </cell>
        </row>
        <row r="402">
          <cell r="L402">
            <v>14592000</v>
          </cell>
          <cell r="Q402" t="str">
            <v>1110</v>
          </cell>
          <cell r="R402" t="str">
            <v>131hïng</v>
          </cell>
        </row>
        <row r="403">
          <cell r="L403">
            <v>3000000</v>
          </cell>
          <cell r="Q403" t="str">
            <v>641dl</v>
          </cell>
          <cell r="R403" t="str">
            <v>1110</v>
          </cell>
        </row>
        <row r="404">
          <cell r="L404">
            <v>40000000</v>
          </cell>
          <cell r="Q404" t="str">
            <v>1110</v>
          </cell>
          <cell r="R404" t="str">
            <v>131ptrinh</v>
          </cell>
        </row>
        <row r="405">
          <cell r="L405">
            <v>61100000</v>
          </cell>
          <cell r="Q405" t="str">
            <v>1110</v>
          </cell>
          <cell r="R405" t="str">
            <v>131h­¬ng</v>
          </cell>
        </row>
        <row r="406">
          <cell r="L406">
            <v>500000</v>
          </cell>
          <cell r="Q406" t="str">
            <v>1110</v>
          </cell>
          <cell r="R406" t="str">
            <v>511ks</v>
          </cell>
        </row>
        <row r="407">
          <cell r="L407">
            <v>50000</v>
          </cell>
          <cell r="Q407" t="str">
            <v>1110</v>
          </cell>
          <cell r="R407" t="str">
            <v>3333331</v>
          </cell>
        </row>
        <row r="408">
          <cell r="L408">
            <v>110000000</v>
          </cell>
          <cell r="Q408" t="str">
            <v>112cntec</v>
          </cell>
          <cell r="R408" t="str">
            <v>1110</v>
          </cell>
        </row>
        <row r="409">
          <cell r="L409">
            <v>2017000</v>
          </cell>
          <cell r="Q409" t="str">
            <v>4310</v>
          </cell>
          <cell r="R409" t="str">
            <v>1110</v>
          </cell>
        </row>
        <row r="410">
          <cell r="L410">
            <v>500000</v>
          </cell>
          <cell r="Q410" t="str">
            <v>141hióu</v>
          </cell>
          <cell r="R410" t="str">
            <v>1110</v>
          </cell>
        </row>
        <row r="411">
          <cell r="L411">
            <v>105000000</v>
          </cell>
          <cell r="Q411" t="str">
            <v>144</v>
          </cell>
          <cell r="R411" t="str">
            <v>112cntec</v>
          </cell>
        </row>
        <row r="412">
          <cell r="L412">
            <v>1214096</v>
          </cell>
          <cell r="Q412" t="str">
            <v>641kd</v>
          </cell>
          <cell r="R412" t="str">
            <v>112cntec</v>
          </cell>
        </row>
        <row r="413">
          <cell r="L413">
            <v>121410</v>
          </cell>
          <cell r="Q413" t="str">
            <v>1331331</v>
          </cell>
          <cell r="R413" t="str">
            <v>112cntec</v>
          </cell>
        </row>
        <row r="414">
          <cell r="L414">
            <v>200000000</v>
          </cell>
          <cell r="Q414" t="str">
            <v>112ct</v>
          </cell>
          <cell r="R414" t="str">
            <v>131vanloi</v>
          </cell>
        </row>
        <row r="415">
          <cell r="L415">
            <v>5000000</v>
          </cell>
          <cell r="Q415" t="str">
            <v>1110</v>
          </cell>
          <cell r="R415" t="str">
            <v>131ct2</v>
          </cell>
        </row>
        <row r="416">
          <cell r="L416">
            <v>207500</v>
          </cell>
          <cell r="Q416" t="str">
            <v>642vp</v>
          </cell>
          <cell r="R416" t="str">
            <v>1110</v>
          </cell>
        </row>
        <row r="417">
          <cell r="L417">
            <v>2018000</v>
          </cell>
          <cell r="Q417" t="str">
            <v>642k</v>
          </cell>
          <cell r="R417" t="str">
            <v>1110</v>
          </cell>
        </row>
        <row r="418">
          <cell r="L418">
            <v>7500000</v>
          </cell>
          <cell r="Q418" t="str">
            <v>141hióu</v>
          </cell>
          <cell r="R418" t="str">
            <v>1110</v>
          </cell>
        </row>
        <row r="419">
          <cell r="L419">
            <v>100000</v>
          </cell>
          <cell r="Q419" t="str">
            <v>642tk</v>
          </cell>
          <cell r="R419" t="str">
            <v>1110</v>
          </cell>
        </row>
        <row r="420">
          <cell r="L420">
            <v>344000</v>
          </cell>
          <cell r="Q420" t="str">
            <v>641kd</v>
          </cell>
          <cell r="R420" t="str">
            <v>1110</v>
          </cell>
        </row>
        <row r="421">
          <cell r="L421">
            <v>1000000</v>
          </cell>
          <cell r="Q421" t="str">
            <v>141ninh</v>
          </cell>
          <cell r="R421" t="str">
            <v>1110</v>
          </cell>
        </row>
        <row r="422">
          <cell r="L422">
            <v>181818</v>
          </cell>
          <cell r="Q422" t="str">
            <v>1110</v>
          </cell>
          <cell r="R422" t="str">
            <v>511ks</v>
          </cell>
        </row>
        <row r="423">
          <cell r="L423">
            <v>18182</v>
          </cell>
          <cell r="Q423" t="str">
            <v>1110</v>
          </cell>
          <cell r="R423" t="str">
            <v>3333331</v>
          </cell>
        </row>
        <row r="424">
          <cell r="L424">
            <v>7454545</v>
          </cell>
          <cell r="Q424" t="str">
            <v>1110</v>
          </cell>
          <cell r="R424" t="str">
            <v>511ch</v>
          </cell>
        </row>
        <row r="425">
          <cell r="L425">
            <v>745455</v>
          </cell>
          <cell r="Q425" t="str">
            <v>1110</v>
          </cell>
          <cell r="R425" t="str">
            <v>3333331</v>
          </cell>
        </row>
        <row r="426">
          <cell r="L426">
            <v>150000</v>
          </cell>
          <cell r="Q426" t="str">
            <v>642ct</v>
          </cell>
          <cell r="R426" t="str">
            <v>1110</v>
          </cell>
        </row>
        <row r="427">
          <cell r="L427">
            <v>22000</v>
          </cell>
          <cell r="Q427" t="str">
            <v>642k</v>
          </cell>
          <cell r="R427" t="str">
            <v>1110</v>
          </cell>
        </row>
        <row r="428">
          <cell r="L428">
            <v>61500</v>
          </cell>
          <cell r="Q428" t="str">
            <v>642dn</v>
          </cell>
          <cell r="R428" t="str">
            <v>1110</v>
          </cell>
        </row>
        <row r="429">
          <cell r="L429">
            <v>7275000</v>
          </cell>
          <cell r="Q429" t="str">
            <v>1110</v>
          </cell>
          <cell r="R429" t="str">
            <v>131vthu</v>
          </cell>
        </row>
        <row r="430">
          <cell r="L430">
            <v>1100000</v>
          </cell>
          <cell r="Q430" t="str">
            <v>1110</v>
          </cell>
          <cell r="R430" t="str">
            <v>511ks</v>
          </cell>
        </row>
        <row r="431">
          <cell r="L431">
            <v>110000</v>
          </cell>
          <cell r="Q431" t="str">
            <v>1110</v>
          </cell>
          <cell r="R431" t="str">
            <v>3333331</v>
          </cell>
        </row>
        <row r="432">
          <cell r="L432">
            <v>420000</v>
          </cell>
          <cell r="Q432" t="str">
            <v>642bv</v>
          </cell>
          <cell r="R432" t="str">
            <v>1110</v>
          </cell>
        </row>
        <row r="433">
          <cell r="L433">
            <v>136364</v>
          </cell>
          <cell r="Q433" t="str">
            <v>1110</v>
          </cell>
          <cell r="R433" t="str">
            <v>511ks</v>
          </cell>
        </row>
        <row r="434">
          <cell r="L434">
            <v>13636</v>
          </cell>
          <cell r="Q434" t="str">
            <v>1110</v>
          </cell>
          <cell r="R434" t="str">
            <v>3333331</v>
          </cell>
        </row>
        <row r="435">
          <cell r="L435">
            <v>30000000</v>
          </cell>
          <cell r="Q435" t="str">
            <v>1110</v>
          </cell>
          <cell r="R435" t="str">
            <v>131viettra</v>
          </cell>
        </row>
        <row r="436">
          <cell r="L436">
            <v>70000000</v>
          </cell>
          <cell r="Q436" t="str">
            <v>1110</v>
          </cell>
          <cell r="R436" t="str">
            <v>131ptrinh</v>
          </cell>
        </row>
        <row r="437">
          <cell r="L437">
            <v>4965000</v>
          </cell>
          <cell r="Q437" t="str">
            <v>1110</v>
          </cell>
          <cell r="R437" t="str">
            <v>131h­¬ng</v>
          </cell>
        </row>
        <row r="438">
          <cell r="L438">
            <v>53000000</v>
          </cell>
          <cell r="Q438" t="str">
            <v>144</v>
          </cell>
          <cell r="R438" t="str">
            <v>112cntec</v>
          </cell>
        </row>
        <row r="439">
          <cell r="L439">
            <v>18447000</v>
          </cell>
          <cell r="Q439" t="str">
            <v>112ct</v>
          </cell>
          <cell r="R439" t="str">
            <v>131thh­¬ng</v>
          </cell>
        </row>
        <row r="440">
          <cell r="L440">
            <v>1677000</v>
          </cell>
          <cell r="Q440" t="str">
            <v>131thh­¬ng</v>
          </cell>
          <cell r="R440" t="str">
            <v>3333331</v>
          </cell>
        </row>
        <row r="441">
          <cell r="L441">
            <v>851820</v>
          </cell>
          <cell r="Q441" t="str">
            <v>1110</v>
          </cell>
          <cell r="R441" t="str">
            <v>642dn</v>
          </cell>
        </row>
        <row r="442">
          <cell r="L442">
            <v>30000000</v>
          </cell>
          <cell r="Q442" t="str">
            <v>1110</v>
          </cell>
          <cell r="R442" t="str">
            <v>131hïng</v>
          </cell>
        </row>
        <row r="443">
          <cell r="L443">
            <v>41888000</v>
          </cell>
          <cell r="Q443" t="str">
            <v>1110</v>
          </cell>
          <cell r="R443" t="str">
            <v>131lthinh</v>
          </cell>
        </row>
        <row r="444">
          <cell r="L444">
            <v>17000000</v>
          </cell>
          <cell r="Q444" t="str">
            <v>1110</v>
          </cell>
          <cell r="R444" t="str">
            <v>131namminh</v>
          </cell>
        </row>
        <row r="445">
          <cell r="L445">
            <v>76538000</v>
          </cell>
          <cell r="Q445" t="str">
            <v>1110</v>
          </cell>
          <cell r="R445" t="str">
            <v>131shiep</v>
          </cell>
        </row>
        <row r="446">
          <cell r="L446">
            <v>2302025</v>
          </cell>
          <cell r="Q446" t="str">
            <v>641dl</v>
          </cell>
          <cell r="R446" t="str">
            <v>1110</v>
          </cell>
        </row>
        <row r="447">
          <cell r="L447">
            <v>146475</v>
          </cell>
          <cell r="Q447" t="str">
            <v>1331331</v>
          </cell>
          <cell r="R447" t="str">
            <v>1110</v>
          </cell>
        </row>
        <row r="448">
          <cell r="L448">
            <v>2514608</v>
          </cell>
          <cell r="Q448" t="str">
            <v>641dl</v>
          </cell>
          <cell r="R448" t="str">
            <v>1110</v>
          </cell>
        </row>
        <row r="449">
          <cell r="L449">
            <v>86392</v>
          </cell>
          <cell r="Q449" t="str">
            <v>1331331</v>
          </cell>
          <cell r="R449" t="str">
            <v>1110</v>
          </cell>
        </row>
        <row r="450">
          <cell r="L450">
            <v>4300550</v>
          </cell>
          <cell r="Q450" t="str">
            <v>641kd</v>
          </cell>
          <cell r="R450" t="str">
            <v>1110</v>
          </cell>
        </row>
        <row r="451">
          <cell r="L451">
            <v>52000000</v>
          </cell>
          <cell r="Q451" t="str">
            <v>112cntec</v>
          </cell>
          <cell r="R451" t="str">
            <v>1110</v>
          </cell>
        </row>
        <row r="452">
          <cell r="L452">
            <v>1742480</v>
          </cell>
          <cell r="Q452" t="str">
            <v>642vp</v>
          </cell>
          <cell r="R452" t="str">
            <v>1110</v>
          </cell>
        </row>
        <row r="453">
          <cell r="L453">
            <v>174250</v>
          </cell>
          <cell r="Q453" t="str">
            <v>1331331</v>
          </cell>
          <cell r="R453" t="str">
            <v>1110</v>
          </cell>
        </row>
        <row r="454">
          <cell r="L454">
            <v>150000</v>
          </cell>
          <cell r="Q454" t="str">
            <v>642sc</v>
          </cell>
          <cell r="R454" t="str">
            <v>1110</v>
          </cell>
        </row>
        <row r="455">
          <cell r="L455">
            <v>41712376</v>
          </cell>
          <cell r="Q455" t="str">
            <v>331nk5</v>
          </cell>
          <cell r="R455" t="str">
            <v>1110</v>
          </cell>
        </row>
        <row r="456">
          <cell r="L456">
            <v>500000</v>
          </cell>
          <cell r="Q456" t="str">
            <v>1110</v>
          </cell>
          <cell r="R456" t="str">
            <v>141hióu</v>
          </cell>
        </row>
        <row r="457">
          <cell r="L457">
            <v>2590636</v>
          </cell>
          <cell r="Q457" t="str">
            <v>642®t</v>
          </cell>
          <cell r="R457" t="str">
            <v>1110</v>
          </cell>
        </row>
        <row r="458">
          <cell r="L458">
            <v>259064</v>
          </cell>
          <cell r="Q458" t="str">
            <v>1331331</v>
          </cell>
          <cell r="R458" t="str">
            <v>1110</v>
          </cell>
        </row>
        <row r="459">
          <cell r="L459">
            <v>5136428</v>
          </cell>
          <cell r="Q459" t="str">
            <v>641dl</v>
          </cell>
          <cell r="R459" t="str">
            <v>1110</v>
          </cell>
        </row>
        <row r="460">
          <cell r="L460">
            <v>263572</v>
          </cell>
          <cell r="Q460" t="str">
            <v>641dl</v>
          </cell>
          <cell r="R460" t="str">
            <v>1110</v>
          </cell>
        </row>
        <row r="461">
          <cell r="L461">
            <v>500000</v>
          </cell>
          <cell r="Q461" t="str">
            <v>141hoµn</v>
          </cell>
          <cell r="R461" t="str">
            <v>1110</v>
          </cell>
        </row>
        <row r="462">
          <cell r="L462">
            <v>1804323</v>
          </cell>
          <cell r="Q462" t="str">
            <v>642®t</v>
          </cell>
          <cell r="R462" t="str">
            <v>1110</v>
          </cell>
        </row>
        <row r="463">
          <cell r="L463">
            <v>180432</v>
          </cell>
          <cell r="Q463" t="str">
            <v>1331331</v>
          </cell>
          <cell r="R463" t="str">
            <v>1110</v>
          </cell>
        </row>
        <row r="464">
          <cell r="L464">
            <v>758160</v>
          </cell>
          <cell r="Q464" t="str">
            <v>338qldd</v>
          </cell>
          <cell r="R464" t="str">
            <v>1110</v>
          </cell>
        </row>
        <row r="465">
          <cell r="L465">
            <v>8650000</v>
          </cell>
          <cell r="Q465" t="str">
            <v>3340</v>
          </cell>
          <cell r="R465" t="str">
            <v>1110</v>
          </cell>
        </row>
        <row r="466">
          <cell r="L466">
            <v>21210</v>
          </cell>
          <cell r="Q466" t="str">
            <v>1110</v>
          </cell>
          <cell r="R466" t="str">
            <v>3383383</v>
          </cell>
        </row>
        <row r="467">
          <cell r="L467">
            <v>4242</v>
          </cell>
          <cell r="Q467" t="str">
            <v>1110</v>
          </cell>
          <cell r="R467" t="str">
            <v>3383384</v>
          </cell>
        </row>
        <row r="468">
          <cell r="L468">
            <v>73710</v>
          </cell>
          <cell r="Q468" t="str">
            <v>1110</v>
          </cell>
          <cell r="R468" t="str">
            <v>3383383</v>
          </cell>
        </row>
        <row r="469">
          <cell r="L469">
            <v>14742</v>
          </cell>
          <cell r="Q469" t="str">
            <v>1110</v>
          </cell>
          <cell r="R469" t="str">
            <v>3383384</v>
          </cell>
        </row>
        <row r="470">
          <cell r="L470">
            <v>2500000</v>
          </cell>
          <cell r="Q470" t="str">
            <v>1110</v>
          </cell>
          <cell r="R470" t="str">
            <v>141tuên</v>
          </cell>
        </row>
        <row r="471">
          <cell r="L471">
            <v>126800000</v>
          </cell>
          <cell r="Q471" t="str">
            <v>1110</v>
          </cell>
          <cell r="R471" t="str">
            <v>131namminh</v>
          </cell>
        </row>
        <row r="472">
          <cell r="L472">
            <v>20000000</v>
          </cell>
          <cell r="Q472" t="str">
            <v>1110</v>
          </cell>
          <cell r="R472" t="str">
            <v>131viettra</v>
          </cell>
        </row>
        <row r="473">
          <cell r="L473">
            <v>50000000</v>
          </cell>
          <cell r="Q473" t="str">
            <v>1110</v>
          </cell>
          <cell r="R473" t="str">
            <v>131hphat</v>
          </cell>
        </row>
        <row r="474">
          <cell r="L474">
            <v>250000</v>
          </cell>
          <cell r="Q474" t="str">
            <v>1110</v>
          </cell>
          <cell r="R474" t="str">
            <v>141dòng</v>
          </cell>
        </row>
        <row r="475">
          <cell r="L475">
            <v>109440000</v>
          </cell>
          <cell r="Q475" t="str">
            <v>1110</v>
          </cell>
          <cell r="R475" t="str">
            <v>131hlong</v>
          </cell>
        </row>
        <row r="476">
          <cell r="L476">
            <v>500000</v>
          </cell>
          <cell r="Q476" t="str">
            <v>1110</v>
          </cell>
          <cell r="R476" t="str">
            <v>141hoµn</v>
          </cell>
        </row>
        <row r="477">
          <cell r="L477">
            <v>963000</v>
          </cell>
          <cell r="Q477" t="str">
            <v>642k</v>
          </cell>
          <cell r="R477" t="str">
            <v>1110</v>
          </cell>
        </row>
        <row r="478">
          <cell r="L478">
            <v>160000000</v>
          </cell>
          <cell r="Q478" t="str">
            <v>331nk2</v>
          </cell>
          <cell r="R478" t="str">
            <v>1110</v>
          </cell>
        </row>
        <row r="479">
          <cell r="L479">
            <v>586363</v>
          </cell>
          <cell r="Q479" t="str">
            <v>1110</v>
          </cell>
          <cell r="R479" t="str">
            <v>511ks</v>
          </cell>
        </row>
        <row r="480">
          <cell r="L480">
            <v>58637</v>
          </cell>
          <cell r="Q480" t="str">
            <v>1110</v>
          </cell>
          <cell r="R480" t="str">
            <v>3333331</v>
          </cell>
        </row>
        <row r="481">
          <cell r="L481">
            <v>10895000</v>
          </cell>
          <cell r="Q481" t="str">
            <v>1110</v>
          </cell>
          <cell r="R481" t="str">
            <v>131ct2</v>
          </cell>
        </row>
        <row r="482">
          <cell r="L482">
            <v>100000000</v>
          </cell>
          <cell r="Q482" t="str">
            <v>331nthh</v>
          </cell>
          <cell r="R482" t="str">
            <v>1110</v>
          </cell>
        </row>
        <row r="483">
          <cell r="L483">
            <v>159091</v>
          </cell>
          <cell r="Q483" t="str">
            <v>642ct</v>
          </cell>
          <cell r="R483" t="str">
            <v>1110</v>
          </cell>
        </row>
        <row r="484">
          <cell r="L484">
            <v>10909</v>
          </cell>
          <cell r="Q484" t="str">
            <v>1331331</v>
          </cell>
          <cell r="R484" t="str">
            <v>1110</v>
          </cell>
        </row>
        <row r="485">
          <cell r="L485">
            <v>2891400</v>
          </cell>
          <cell r="Q485" t="str">
            <v>331nk2</v>
          </cell>
          <cell r="R485" t="str">
            <v>1110</v>
          </cell>
        </row>
        <row r="486">
          <cell r="L486">
            <v>200000000</v>
          </cell>
          <cell r="Q486" t="str">
            <v>331nk2</v>
          </cell>
          <cell r="R486" t="str">
            <v>1110</v>
          </cell>
        </row>
        <row r="487">
          <cell r="L487">
            <v>240000</v>
          </cell>
          <cell r="Q487" t="str">
            <v>642vp</v>
          </cell>
          <cell r="R487" t="str">
            <v>1110</v>
          </cell>
        </row>
        <row r="488">
          <cell r="L488">
            <v>309091</v>
          </cell>
          <cell r="Q488" t="str">
            <v>1110</v>
          </cell>
          <cell r="R488" t="str">
            <v>511ks</v>
          </cell>
        </row>
        <row r="489">
          <cell r="L489">
            <v>30909</v>
          </cell>
          <cell r="Q489" t="str">
            <v>1110</v>
          </cell>
          <cell r="R489" t="str">
            <v>3333331</v>
          </cell>
        </row>
        <row r="490">
          <cell r="L490">
            <v>500000</v>
          </cell>
          <cell r="Q490" t="str">
            <v>1110</v>
          </cell>
          <cell r="R490" t="str">
            <v>131bk</v>
          </cell>
        </row>
        <row r="491">
          <cell r="L491">
            <v>210000000</v>
          </cell>
          <cell r="Q491" t="str">
            <v>1110</v>
          </cell>
          <cell r="R491" t="str">
            <v>131namminh</v>
          </cell>
        </row>
        <row r="492">
          <cell r="L492">
            <v>141000000</v>
          </cell>
          <cell r="Q492" t="str">
            <v>1110</v>
          </cell>
          <cell r="R492" t="str">
            <v>2220</v>
          </cell>
        </row>
        <row r="493">
          <cell r="L493">
            <v>40000000</v>
          </cell>
          <cell r="Q493" t="str">
            <v>1110</v>
          </cell>
          <cell r="R493" t="str">
            <v>131namminh</v>
          </cell>
        </row>
        <row r="494">
          <cell r="L494">
            <v>9000000</v>
          </cell>
          <cell r="Q494" t="str">
            <v>1110</v>
          </cell>
          <cell r="R494" t="str">
            <v>711tl©m</v>
          </cell>
        </row>
        <row r="495">
          <cell r="L495">
            <v>500000</v>
          </cell>
          <cell r="Q495" t="str">
            <v>141tuên</v>
          </cell>
          <cell r="R495" t="str">
            <v>1110</v>
          </cell>
        </row>
        <row r="496">
          <cell r="L496">
            <v>400000000</v>
          </cell>
          <cell r="Q496" t="str">
            <v>311nk2</v>
          </cell>
          <cell r="R496" t="str">
            <v>1110</v>
          </cell>
        </row>
        <row r="497">
          <cell r="L497">
            <v>20000000</v>
          </cell>
          <cell r="Q497" t="str">
            <v>1110</v>
          </cell>
          <cell r="R497" t="str">
            <v>112ct</v>
          </cell>
        </row>
        <row r="498">
          <cell r="L498">
            <v>50000000</v>
          </cell>
          <cell r="Q498" t="str">
            <v>1110</v>
          </cell>
          <cell r="R498" t="str">
            <v>131hasa</v>
          </cell>
        </row>
        <row r="499">
          <cell r="L499">
            <v>8047000</v>
          </cell>
          <cell r="Q499" t="str">
            <v>1110</v>
          </cell>
          <cell r="R499" t="str">
            <v>131hïng</v>
          </cell>
        </row>
        <row r="500">
          <cell r="L500">
            <v>2774950</v>
          </cell>
          <cell r="Q500" t="str">
            <v>642dn</v>
          </cell>
          <cell r="R500" t="str">
            <v>1110</v>
          </cell>
        </row>
        <row r="501">
          <cell r="L501">
            <v>277495</v>
          </cell>
          <cell r="Q501" t="str">
            <v>1331331</v>
          </cell>
          <cell r="R501" t="str">
            <v>1110</v>
          </cell>
        </row>
        <row r="502">
          <cell r="L502">
            <v>7500000</v>
          </cell>
          <cell r="Q502" t="str">
            <v>1110</v>
          </cell>
          <cell r="R502" t="str">
            <v>141hióu</v>
          </cell>
        </row>
        <row r="503">
          <cell r="L503">
            <v>763636</v>
          </cell>
          <cell r="Q503" t="str">
            <v>1110</v>
          </cell>
          <cell r="R503" t="str">
            <v>511ks</v>
          </cell>
        </row>
        <row r="504">
          <cell r="L504">
            <v>76364</v>
          </cell>
          <cell r="Q504" t="str">
            <v>1110</v>
          </cell>
          <cell r="R504" t="str">
            <v>3333331</v>
          </cell>
        </row>
        <row r="505">
          <cell r="L505">
            <v>100000000</v>
          </cell>
          <cell r="Q505" t="str">
            <v>1110</v>
          </cell>
          <cell r="R505" t="str">
            <v>131viettra</v>
          </cell>
        </row>
        <row r="506">
          <cell r="L506">
            <v>6607818</v>
          </cell>
          <cell r="Q506" t="str">
            <v>641dl</v>
          </cell>
          <cell r="R506" t="str">
            <v>1110</v>
          </cell>
        </row>
        <row r="507">
          <cell r="L507">
            <v>628182</v>
          </cell>
          <cell r="Q507" t="str">
            <v>1331331</v>
          </cell>
          <cell r="R507" t="str">
            <v>1110</v>
          </cell>
        </row>
        <row r="508">
          <cell r="L508">
            <v>782129</v>
          </cell>
          <cell r="Q508" t="str">
            <v>3383382</v>
          </cell>
          <cell r="R508" t="str">
            <v>1110</v>
          </cell>
        </row>
        <row r="509">
          <cell r="L509">
            <v>131540750</v>
          </cell>
          <cell r="Q509" t="str">
            <v>311nk2</v>
          </cell>
          <cell r="R509" t="str">
            <v>1110</v>
          </cell>
        </row>
        <row r="510">
          <cell r="L510">
            <v>900000000</v>
          </cell>
          <cell r="Q510" t="str">
            <v>112ct</v>
          </cell>
          <cell r="R510" t="str">
            <v>311nk2</v>
          </cell>
        </row>
        <row r="511">
          <cell r="L511">
            <v>55704</v>
          </cell>
          <cell r="Q511" t="str">
            <v>1110</v>
          </cell>
          <cell r="R511" t="str">
            <v>141thu</v>
          </cell>
        </row>
        <row r="512">
          <cell r="L512">
            <v>633150</v>
          </cell>
          <cell r="Q512" t="str">
            <v>1110</v>
          </cell>
          <cell r="R512" t="str">
            <v>3383383</v>
          </cell>
        </row>
        <row r="513">
          <cell r="L513">
            <v>126630</v>
          </cell>
          <cell r="Q513" t="str">
            <v>1110</v>
          </cell>
          <cell r="R513" t="str">
            <v>3383384</v>
          </cell>
        </row>
        <row r="514">
          <cell r="L514">
            <v>8100000</v>
          </cell>
          <cell r="Q514" t="str">
            <v>3340</v>
          </cell>
          <cell r="R514" t="str">
            <v>1110</v>
          </cell>
        </row>
        <row r="515">
          <cell r="L515">
            <v>1089500</v>
          </cell>
          <cell r="Q515" t="str">
            <v>311nk2</v>
          </cell>
          <cell r="R515" t="str">
            <v>1110</v>
          </cell>
        </row>
        <row r="516">
          <cell r="L516">
            <v>3000000</v>
          </cell>
          <cell r="Q516" t="str">
            <v>141dòngkt</v>
          </cell>
          <cell r="R516" t="str">
            <v>1110</v>
          </cell>
        </row>
        <row r="517">
          <cell r="L517">
            <v>8261800</v>
          </cell>
          <cell r="Q517" t="str">
            <v>3340</v>
          </cell>
          <cell r="R517" t="str">
            <v>1110</v>
          </cell>
        </row>
        <row r="518">
          <cell r="L518">
            <v>395807</v>
          </cell>
          <cell r="Q518" t="str">
            <v>112ct</v>
          </cell>
          <cell r="R518" t="str">
            <v>711ct</v>
          </cell>
        </row>
        <row r="519">
          <cell r="L519">
            <v>26573500</v>
          </cell>
          <cell r="Q519" t="str">
            <v>1110</v>
          </cell>
          <cell r="R519" t="str">
            <v>131bæng</v>
          </cell>
        </row>
        <row r="520">
          <cell r="L520">
            <v>50000000</v>
          </cell>
          <cell r="Q520" t="str">
            <v>1110</v>
          </cell>
          <cell r="R520" t="str">
            <v>131tiendung</v>
          </cell>
        </row>
        <row r="521">
          <cell r="L521">
            <v>181818</v>
          </cell>
          <cell r="Q521" t="str">
            <v>1110</v>
          </cell>
          <cell r="R521" t="str">
            <v>511ks</v>
          </cell>
        </row>
        <row r="522">
          <cell r="L522">
            <v>18182</v>
          </cell>
          <cell r="Q522" t="str">
            <v>1110</v>
          </cell>
          <cell r="R522" t="str">
            <v>3333331</v>
          </cell>
        </row>
        <row r="523">
          <cell r="L523">
            <v>420000</v>
          </cell>
          <cell r="Q523" t="str">
            <v>3340</v>
          </cell>
          <cell r="R523" t="str">
            <v>1110</v>
          </cell>
        </row>
        <row r="524">
          <cell r="L524">
            <v>97500</v>
          </cell>
          <cell r="Q524" t="str">
            <v>642vp</v>
          </cell>
          <cell r="R524" t="str">
            <v>1110</v>
          </cell>
        </row>
        <row r="525">
          <cell r="L525">
            <v>1163360</v>
          </cell>
          <cell r="Q525" t="str">
            <v>642ct</v>
          </cell>
          <cell r="R525" t="str">
            <v>1110</v>
          </cell>
        </row>
        <row r="526">
          <cell r="L526">
            <v>24640</v>
          </cell>
          <cell r="Q526" t="str">
            <v>1331331</v>
          </cell>
          <cell r="R526" t="str">
            <v>1110</v>
          </cell>
        </row>
        <row r="527">
          <cell r="L527">
            <v>28000</v>
          </cell>
          <cell r="Q527" t="str">
            <v>112cntec</v>
          </cell>
          <cell r="R527" t="str">
            <v>711cntec</v>
          </cell>
        </row>
        <row r="528">
          <cell r="L528">
            <v>622000</v>
          </cell>
          <cell r="Q528" t="str">
            <v>112tec</v>
          </cell>
          <cell r="R528" t="str">
            <v>711tec</v>
          </cell>
        </row>
        <row r="529">
          <cell r="L529">
            <v>810000000</v>
          </cell>
          <cell r="Q529" t="str">
            <v>331xnkmt</v>
          </cell>
          <cell r="R529" t="str">
            <v>112ct</v>
          </cell>
        </row>
        <row r="530">
          <cell r="L530">
            <v>2000</v>
          </cell>
          <cell r="Q530" t="str">
            <v>642k</v>
          </cell>
          <cell r="R530" t="str">
            <v>112ct</v>
          </cell>
        </row>
        <row r="531">
          <cell r="L531">
            <v>200</v>
          </cell>
          <cell r="Q531" t="str">
            <v>1331331</v>
          </cell>
          <cell r="R531" t="str">
            <v>112ct</v>
          </cell>
        </row>
        <row r="532">
          <cell r="L532">
            <v>800000</v>
          </cell>
          <cell r="Q532" t="str">
            <v>1110</v>
          </cell>
          <cell r="R532" t="str">
            <v>131stra</v>
          </cell>
        </row>
        <row r="533">
          <cell r="L533">
            <v>139250000</v>
          </cell>
          <cell r="Q533" t="str">
            <v>1110</v>
          </cell>
          <cell r="R533" t="str">
            <v>131hïng</v>
          </cell>
        </row>
        <row r="534">
          <cell r="L534">
            <v>107935000</v>
          </cell>
          <cell r="Q534" t="str">
            <v>1110</v>
          </cell>
          <cell r="R534" t="str">
            <v>131trungkien</v>
          </cell>
        </row>
        <row r="535">
          <cell r="L535">
            <v>112065000</v>
          </cell>
          <cell r="Q535" t="str">
            <v>1110</v>
          </cell>
          <cell r="R535" t="str">
            <v>131hïng</v>
          </cell>
        </row>
        <row r="536">
          <cell r="L536">
            <v>56318140</v>
          </cell>
          <cell r="Q536" t="str">
            <v>1110</v>
          </cell>
          <cell r="R536" t="str">
            <v>141dòng</v>
          </cell>
        </row>
        <row r="537">
          <cell r="L537">
            <v>43835460</v>
          </cell>
          <cell r="Q537" t="str">
            <v>1110</v>
          </cell>
          <cell r="R537" t="str">
            <v>131hs¬n</v>
          </cell>
        </row>
        <row r="538">
          <cell r="L538">
            <v>232108</v>
          </cell>
          <cell r="Q538" t="str">
            <v>1110</v>
          </cell>
          <cell r="R538" t="str">
            <v>141dòng</v>
          </cell>
        </row>
        <row r="539">
          <cell r="L539">
            <v>300000</v>
          </cell>
          <cell r="Q539" t="str">
            <v>642bv</v>
          </cell>
          <cell r="R539" t="str">
            <v>1110</v>
          </cell>
        </row>
        <row r="540">
          <cell r="L540">
            <v>2000000</v>
          </cell>
          <cell r="Q540" t="str">
            <v>141tuên</v>
          </cell>
          <cell r="R540" t="str">
            <v>1110</v>
          </cell>
        </row>
        <row r="541">
          <cell r="L541">
            <v>220000000</v>
          </cell>
          <cell r="Q541" t="str">
            <v>331nthh</v>
          </cell>
          <cell r="R541" t="str">
            <v>1110</v>
          </cell>
        </row>
        <row r="542">
          <cell r="L542">
            <v>239250000</v>
          </cell>
          <cell r="Q542" t="str">
            <v>331unimex</v>
          </cell>
          <cell r="R542" t="str">
            <v>1110</v>
          </cell>
        </row>
        <row r="543">
          <cell r="L543">
            <v>145700000</v>
          </cell>
          <cell r="Q543" t="str">
            <v>112tec</v>
          </cell>
          <cell r="R543" t="str">
            <v>1110</v>
          </cell>
        </row>
        <row r="544">
          <cell r="L544">
            <v>1745451</v>
          </cell>
          <cell r="Q544" t="str">
            <v>1110</v>
          </cell>
          <cell r="R544" t="str">
            <v>511ks</v>
          </cell>
        </row>
        <row r="545">
          <cell r="L545">
            <v>174549</v>
          </cell>
          <cell r="Q545" t="str">
            <v>1110</v>
          </cell>
          <cell r="R545" t="str">
            <v>3333331</v>
          </cell>
        </row>
        <row r="546">
          <cell r="L546">
            <v>7454545</v>
          </cell>
          <cell r="Q546" t="str">
            <v>1110</v>
          </cell>
          <cell r="R546" t="str">
            <v>511ch</v>
          </cell>
        </row>
        <row r="547">
          <cell r="L547">
            <v>745455</v>
          </cell>
          <cell r="Q547" t="str">
            <v>1110</v>
          </cell>
          <cell r="R547" t="str">
            <v>3333331</v>
          </cell>
        </row>
        <row r="548">
          <cell r="L548">
            <v>42500</v>
          </cell>
          <cell r="Q548" t="str">
            <v>642vp</v>
          </cell>
          <cell r="R548" t="str">
            <v>1110</v>
          </cell>
        </row>
        <row r="549">
          <cell r="L549">
            <v>600000</v>
          </cell>
          <cell r="Q549" t="str">
            <v>642dc</v>
          </cell>
          <cell r="R549" t="str">
            <v>1110</v>
          </cell>
        </row>
        <row r="550">
          <cell r="L550">
            <v>84634</v>
          </cell>
          <cell r="Q550" t="str">
            <v>642tk</v>
          </cell>
          <cell r="R550" t="str">
            <v>1110</v>
          </cell>
        </row>
        <row r="551">
          <cell r="L551">
            <v>9000000</v>
          </cell>
          <cell r="Q551" t="str">
            <v>7110</v>
          </cell>
          <cell r="R551" t="str">
            <v>9110</v>
          </cell>
        </row>
        <row r="552">
          <cell r="L552">
            <v>6284619</v>
          </cell>
          <cell r="Q552" t="str">
            <v>1331331</v>
          </cell>
          <cell r="R552" t="str">
            <v>331hoasua</v>
          </cell>
        </row>
        <row r="553">
          <cell r="L553">
            <v>11130000</v>
          </cell>
          <cell r="Q553" t="str">
            <v>1331331</v>
          </cell>
          <cell r="R553" t="str">
            <v>331nthh</v>
          </cell>
        </row>
        <row r="554">
          <cell r="L554">
            <v>265000000</v>
          </cell>
          <cell r="Q554" t="str">
            <v>1331331</v>
          </cell>
          <cell r="R554" t="str">
            <v>331xnkmt</v>
          </cell>
        </row>
        <row r="555">
          <cell r="L555">
            <v>1053500</v>
          </cell>
          <cell r="Q555" t="str">
            <v>1331331</v>
          </cell>
          <cell r="R555" t="str">
            <v>331cuaong</v>
          </cell>
        </row>
        <row r="556">
          <cell r="L556">
            <v>21070000</v>
          </cell>
          <cell r="Q556" t="str">
            <v>156than</v>
          </cell>
          <cell r="R556" t="str">
            <v>331cuaong</v>
          </cell>
        </row>
        <row r="557">
          <cell r="L557">
            <v>62846181</v>
          </cell>
          <cell r="Q557" t="str">
            <v>156bpnhua</v>
          </cell>
          <cell r="R557" t="str">
            <v>331hoasua</v>
          </cell>
        </row>
        <row r="558">
          <cell r="L558">
            <v>111300000</v>
          </cell>
          <cell r="Q558" t="str">
            <v>156waytq</v>
          </cell>
          <cell r="R558" t="str">
            <v>331nthh</v>
          </cell>
        </row>
        <row r="559">
          <cell r="L559">
            <v>2650000000</v>
          </cell>
          <cell r="Q559" t="str">
            <v>156sutq</v>
          </cell>
          <cell r="R559" t="str">
            <v>331xnkmt</v>
          </cell>
        </row>
        <row r="560">
          <cell r="L560">
            <v>1036686251</v>
          </cell>
          <cell r="Q560" t="str">
            <v>632kd</v>
          </cell>
          <cell r="R560" t="str">
            <v>1560</v>
          </cell>
        </row>
        <row r="561">
          <cell r="L561">
            <v>490000</v>
          </cell>
          <cell r="Q561" t="str">
            <v>642bv</v>
          </cell>
          <cell r="R561" t="str">
            <v>1110</v>
          </cell>
        </row>
        <row r="562">
          <cell r="L562">
            <v>53000</v>
          </cell>
          <cell r="Q562" t="str">
            <v>642dn</v>
          </cell>
          <cell r="R562" t="str">
            <v>1110</v>
          </cell>
        </row>
        <row r="563">
          <cell r="L563">
            <v>55090056</v>
          </cell>
          <cell r="Q563" t="str">
            <v>331unimex</v>
          </cell>
          <cell r="R563" t="str">
            <v>1110</v>
          </cell>
        </row>
        <row r="564">
          <cell r="L564">
            <v>20000000</v>
          </cell>
          <cell r="Q564" t="str">
            <v>1110</v>
          </cell>
          <cell r="R564" t="str">
            <v>131hasa</v>
          </cell>
        </row>
        <row r="565">
          <cell r="L565">
            <v>1350000</v>
          </cell>
          <cell r="Q565" t="str">
            <v>1110</v>
          </cell>
          <cell r="R565" t="str">
            <v>131bk</v>
          </cell>
        </row>
        <row r="566">
          <cell r="L566">
            <v>7100000</v>
          </cell>
          <cell r="Q566" t="str">
            <v>1110</v>
          </cell>
          <cell r="R566" t="str">
            <v>131tiendung</v>
          </cell>
        </row>
        <row r="567">
          <cell r="L567">
            <v>5362560</v>
          </cell>
          <cell r="Q567" t="str">
            <v>1110</v>
          </cell>
          <cell r="R567" t="str">
            <v>131vpp</v>
          </cell>
        </row>
        <row r="568">
          <cell r="L568">
            <v>5362560</v>
          </cell>
          <cell r="Q568" t="str">
            <v>1110</v>
          </cell>
          <cell r="R568" t="str">
            <v>131vpp</v>
          </cell>
        </row>
        <row r="569">
          <cell r="L569">
            <v>5342400</v>
          </cell>
          <cell r="Q569" t="str">
            <v>1110</v>
          </cell>
          <cell r="R569" t="str">
            <v>131vpp</v>
          </cell>
        </row>
        <row r="570">
          <cell r="L570">
            <v>5029920</v>
          </cell>
          <cell r="Q570" t="str">
            <v>1110</v>
          </cell>
          <cell r="R570" t="str">
            <v>131vpp</v>
          </cell>
        </row>
        <row r="571">
          <cell r="L571">
            <v>4495680</v>
          </cell>
          <cell r="Q571" t="str">
            <v>1110</v>
          </cell>
          <cell r="R571" t="str">
            <v>131vpp</v>
          </cell>
        </row>
        <row r="572">
          <cell r="L572">
            <v>4116000</v>
          </cell>
          <cell r="Q572" t="str">
            <v>1110</v>
          </cell>
          <cell r="R572" t="str">
            <v>131vpp</v>
          </cell>
        </row>
        <row r="573">
          <cell r="L573">
            <v>5290880</v>
          </cell>
          <cell r="Q573" t="str">
            <v>1110</v>
          </cell>
          <cell r="R573" t="str">
            <v>131vpp</v>
          </cell>
        </row>
        <row r="574">
          <cell r="L574">
            <v>290909</v>
          </cell>
          <cell r="Q574" t="str">
            <v>1110</v>
          </cell>
          <cell r="R574" t="str">
            <v>511ks</v>
          </cell>
        </row>
        <row r="575">
          <cell r="L575">
            <v>29091</v>
          </cell>
          <cell r="Q575" t="str">
            <v>1110</v>
          </cell>
          <cell r="R575" t="str">
            <v>3333331</v>
          </cell>
        </row>
        <row r="576">
          <cell r="L576">
            <v>165000</v>
          </cell>
          <cell r="Q576" t="str">
            <v>642vp</v>
          </cell>
          <cell r="R576" t="str">
            <v>1110</v>
          </cell>
        </row>
        <row r="577">
          <cell r="L577">
            <v>131000</v>
          </cell>
          <cell r="Q577" t="str">
            <v>642vp</v>
          </cell>
          <cell r="R577" t="str">
            <v>1110</v>
          </cell>
        </row>
        <row r="578">
          <cell r="L578">
            <v>8981088</v>
          </cell>
          <cell r="Q578" t="str">
            <v>3383383</v>
          </cell>
          <cell r="R578" t="str">
            <v>112ct</v>
          </cell>
        </row>
        <row r="579">
          <cell r="L579">
            <v>280000000</v>
          </cell>
          <cell r="Q579" t="str">
            <v>331unimex</v>
          </cell>
          <cell r="R579" t="str">
            <v>112ct</v>
          </cell>
        </row>
        <row r="580">
          <cell r="L580">
            <v>4000</v>
          </cell>
          <cell r="Q580" t="str">
            <v>641kd</v>
          </cell>
          <cell r="R580" t="str">
            <v>112ct</v>
          </cell>
        </row>
        <row r="581">
          <cell r="L581">
            <v>400</v>
          </cell>
          <cell r="Q581" t="str">
            <v>1331331</v>
          </cell>
          <cell r="R581" t="str">
            <v>112ct</v>
          </cell>
        </row>
        <row r="582">
          <cell r="L582">
            <v>263640</v>
          </cell>
          <cell r="Q582" t="str">
            <v>642dc</v>
          </cell>
          <cell r="R582" t="str">
            <v>1110</v>
          </cell>
        </row>
        <row r="583">
          <cell r="L583">
            <v>26360</v>
          </cell>
          <cell r="Q583" t="str">
            <v>1331331</v>
          </cell>
          <cell r="R583" t="str">
            <v>1110</v>
          </cell>
        </row>
        <row r="584">
          <cell r="L584">
            <v>80000000</v>
          </cell>
          <cell r="Q584" t="str">
            <v>112ct</v>
          </cell>
          <cell r="R584" t="str">
            <v>1110</v>
          </cell>
        </row>
        <row r="585">
          <cell r="L585">
            <v>811180</v>
          </cell>
          <cell r="Q585" t="str">
            <v>1110</v>
          </cell>
          <cell r="R585" t="str">
            <v>642dn</v>
          </cell>
        </row>
        <row r="586">
          <cell r="L586">
            <v>30000000</v>
          </cell>
          <cell r="Q586" t="str">
            <v>1110</v>
          </cell>
          <cell r="R586" t="str">
            <v>131hïng</v>
          </cell>
        </row>
        <row r="587">
          <cell r="L587">
            <v>120000000</v>
          </cell>
          <cell r="Q587" t="str">
            <v>1110</v>
          </cell>
          <cell r="R587" t="str">
            <v>131tiendung</v>
          </cell>
        </row>
        <row r="588">
          <cell r="L588">
            <v>2400000</v>
          </cell>
          <cell r="Q588" t="str">
            <v>141tuên-dl</v>
          </cell>
          <cell r="R588" t="str">
            <v>1110</v>
          </cell>
        </row>
        <row r="589">
          <cell r="L589">
            <v>396000</v>
          </cell>
          <cell r="Q589" t="str">
            <v>642vp</v>
          </cell>
          <cell r="R589" t="str">
            <v>1110</v>
          </cell>
        </row>
        <row r="590">
          <cell r="L590">
            <v>39600</v>
          </cell>
          <cell r="Q590" t="str">
            <v>1331331</v>
          </cell>
          <cell r="R590" t="str">
            <v>1110</v>
          </cell>
        </row>
        <row r="591">
          <cell r="L591">
            <v>60952384</v>
          </cell>
          <cell r="Q591" t="str">
            <v>641dl</v>
          </cell>
          <cell r="R591" t="str">
            <v>1110</v>
          </cell>
        </row>
        <row r="592">
          <cell r="L592">
            <v>3047616</v>
          </cell>
          <cell r="Q592" t="str">
            <v>1331331</v>
          </cell>
          <cell r="R592" t="str">
            <v>1110</v>
          </cell>
        </row>
        <row r="593">
          <cell r="L593">
            <v>26000000</v>
          </cell>
          <cell r="Q593" t="str">
            <v>331cuaong</v>
          </cell>
          <cell r="R593" t="str">
            <v>112ct</v>
          </cell>
        </row>
        <row r="594">
          <cell r="L594">
            <v>11818</v>
          </cell>
          <cell r="Q594" t="str">
            <v>641kd</v>
          </cell>
          <cell r="R594" t="str">
            <v>112ct</v>
          </cell>
        </row>
        <row r="595">
          <cell r="L595">
            <v>1182</v>
          </cell>
          <cell r="Q595" t="str">
            <v>1331331</v>
          </cell>
          <cell r="R595" t="str">
            <v>112ct</v>
          </cell>
        </row>
        <row r="596">
          <cell r="L596">
            <v>1200000</v>
          </cell>
          <cell r="Q596" t="str">
            <v>141hióu</v>
          </cell>
          <cell r="R596" t="str">
            <v>1110</v>
          </cell>
        </row>
        <row r="597">
          <cell r="L597">
            <v>30000000</v>
          </cell>
          <cell r="Q597" t="str">
            <v>112ct</v>
          </cell>
          <cell r="R597" t="str">
            <v>1110</v>
          </cell>
        </row>
        <row r="598">
          <cell r="L598">
            <v>100000</v>
          </cell>
          <cell r="Q598" t="str">
            <v>642vp</v>
          </cell>
          <cell r="R598" t="str">
            <v>1110</v>
          </cell>
        </row>
        <row r="599">
          <cell r="L599">
            <v>1969259</v>
          </cell>
          <cell r="Q599" t="str">
            <v>642®t</v>
          </cell>
          <cell r="R599" t="str">
            <v>1110</v>
          </cell>
        </row>
        <row r="600">
          <cell r="L600">
            <v>196926</v>
          </cell>
          <cell r="Q600" t="str">
            <v>1331331</v>
          </cell>
          <cell r="R600" t="str">
            <v>1110</v>
          </cell>
        </row>
        <row r="601">
          <cell r="L601">
            <v>35000000</v>
          </cell>
          <cell r="Q601" t="str">
            <v>141hióu</v>
          </cell>
          <cell r="R601" t="str">
            <v>1110</v>
          </cell>
        </row>
        <row r="602">
          <cell r="L602">
            <v>2620505</v>
          </cell>
          <cell r="Q602" t="str">
            <v>642®t</v>
          </cell>
          <cell r="R602" t="str">
            <v>1110</v>
          </cell>
        </row>
        <row r="603">
          <cell r="L603">
            <v>262051</v>
          </cell>
          <cell r="Q603" t="str">
            <v>1331331</v>
          </cell>
          <cell r="R603" t="str">
            <v>1110</v>
          </cell>
        </row>
        <row r="604">
          <cell r="L604">
            <v>571190</v>
          </cell>
          <cell r="Q604" t="str">
            <v>642ct</v>
          </cell>
          <cell r="R604" t="str">
            <v>1110</v>
          </cell>
        </row>
        <row r="605">
          <cell r="L605">
            <v>23810</v>
          </cell>
          <cell r="Q605" t="str">
            <v>1331331</v>
          </cell>
          <cell r="R605" t="str">
            <v>1110</v>
          </cell>
        </row>
        <row r="606">
          <cell r="L606">
            <v>30000000</v>
          </cell>
          <cell r="Q606" t="str">
            <v>1110</v>
          </cell>
          <cell r="R606" t="str">
            <v>131hasa</v>
          </cell>
        </row>
        <row r="607">
          <cell r="L607">
            <v>363636</v>
          </cell>
          <cell r="Q607" t="str">
            <v>111</v>
          </cell>
          <cell r="R607" t="str">
            <v>511ks</v>
          </cell>
        </row>
        <row r="608">
          <cell r="L608">
            <v>36364</v>
          </cell>
          <cell r="Q608" t="str">
            <v>1110</v>
          </cell>
          <cell r="R608" t="str">
            <v>3333331</v>
          </cell>
        </row>
        <row r="609">
          <cell r="L609">
            <v>926000</v>
          </cell>
          <cell r="Q609" t="str">
            <v>1110</v>
          </cell>
          <cell r="R609" t="str">
            <v>141ninh</v>
          </cell>
        </row>
        <row r="610">
          <cell r="L610">
            <v>841818</v>
          </cell>
          <cell r="Q610" t="str">
            <v>641kd</v>
          </cell>
          <cell r="R610" t="str">
            <v>1110</v>
          </cell>
        </row>
        <row r="611">
          <cell r="L611">
            <v>84182</v>
          </cell>
          <cell r="Q611" t="str">
            <v>1331331</v>
          </cell>
          <cell r="R611" t="str">
            <v>1110</v>
          </cell>
        </row>
        <row r="612">
          <cell r="L612">
            <v>100000000</v>
          </cell>
          <cell r="Q612" t="str">
            <v>112ct</v>
          </cell>
          <cell r="R612" t="str">
            <v>131vanloi</v>
          </cell>
        </row>
        <row r="613">
          <cell r="L613">
            <v>720000</v>
          </cell>
          <cell r="Q613" t="str">
            <v>1110</v>
          </cell>
          <cell r="R613" t="str">
            <v>141ninh</v>
          </cell>
        </row>
        <row r="614">
          <cell r="L614">
            <v>5180500</v>
          </cell>
          <cell r="Q614" t="str">
            <v>1110</v>
          </cell>
          <cell r="R614" t="str">
            <v>131viettra</v>
          </cell>
        </row>
        <row r="615">
          <cell r="L615">
            <v>100000000</v>
          </cell>
          <cell r="Q615" t="str">
            <v>1110</v>
          </cell>
          <cell r="R615" t="str">
            <v>131viettra</v>
          </cell>
        </row>
        <row r="616">
          <cell r="L616">
            <v>5000000</v>
          </cell>
          <cell r="Q616" t="str">
            <v>1110</v>
          </cell>
          <cell r="R616" t="str">
            <v>131bk</v>
          </cell>
        </row>
        <row r="617">
          <cell r="L617">
            <v>200000000</v>
          </cell>
          <cell r="Q617" t="str">
            <v>112ct</v>
          </cell>
          <cell r="R617" t="str">
            <v>131viettra</v>
          </cell>
        </row>
        <row r="618">
          <cell r="L618">
            <v>35000000</v>
          </cell>
          <cell r="Q618" t="str">
            <v>331hoasua</v>
          </cell>
          <cell r="R618" t="str">
            <v>112ct</v>
          </cell>
        </row>
        <row r="619">
          <cell r="L619">
            <v>73710</v>
          </cell>
          <cell r="Q619" t="str">
            <v>1110</v>
          </cell>
          <cell r="R619" t="str">
            <v>3383383</v>
          </cell>
        </row>
        <row r="620">
          <cell r="L620">
            <v>14742</v>
          </cell>
          <cell r="Q620" t="str">
            <v>1110</v>
          </cell>
          <cell r="R620" t="str">
            <v>3383384</v>
          </cell>
        </row>
        <row r="621">
          <cell r="L621">
            <v>181818</v>
          </cell>
          <cell r="Q621" t="str">
            <v>1110</v>
          </cell>
          <cell r="R621" t="str">
            <v>511ks</v>
          </cell>
        </row>
        <row r="622">
          <cell r="L622">
            <v>18182</v>
          </cell>
          <cell r="Q622" t="str">
            <v>1110</v>
          </cell>
          <cell r="R622" t="str">
            <v>3333331</v>
          </cell>
        </row>
        <row r="623">
          <cell r="L623">
            <v>300000</v>
          </cell>
          <cell r="Q623" t="str">
            <v>141thu</v>
          </cell>
          <cell r="R623" t="str">
            <v>1110</v>
          </cell>
        </row>
        <row r="624">
          <cell r="L624">
            <v>758160</v>
          </cell>
          <cell r="Q624" t="str">
            <v>338qldd</v>
          </cell>
          <cell r="R624" t="str">
            <v>1110</v>
          </cell>
        </row>
        <row r="625">
          <cell r="L625">
            <v>350000000</v>
          </cell>
          <cell r="Q625" t="str">
            <v>311nk2</v>
          </cell>
          <cell r="R625" t="str">
            <v>112ct</v>
          </cell>
        </row>
        <row r="626">
          <cell r="L626">
            <v>2000</v>
          </cell>
          <cell r="Q626" t="str">
            <v>642k</v>
          </cell>
          <cell r="R626" t="str">
            <v>112ct</v>
          </cell>
        </row>
        <row r="627">
          <cell r="L627">
            <v>200</v>
          </cell>
          <cell r="Q627" t="str">
            <v>1331331</v>
          </cell>
          <cell r="R627" t="str">
            <v>112ct</v>
          </cell>
        </row>
        <row r="628">
          <cell r="L628">
            <v>210000000</v>
          </cell>
          <cell r="Q628" t="str">
            <v>1110</v>
          </cell>
          <cell r="R628" t="str">
            <v>131namminh</v>
          </cell>
        </row>
        <row r="629">
          <cell r="L629">
            <v>24360000</v>
          </cell>
          <cell r="Q629" t="str">
            <v>1110</v>
          </cell>
          <cell r="R629" t="str">
            <v>131cthinh</v>
          </cell>
        </row>
        <row r="630">
          <cell r="L630">
            <v>11921000</v>
          </cell>
          <cell r="Q630" t="str">
            <v>3340</v>
          </cell>
          <cell r="R630" t="str">
            <v>1110</v>
          </cell>
        </row>
        <row r="631">
          <cell r="L631">
            <v>600000</v>
          </cell>
          <cell r="Q631" t="str">
            <v>642l</v>
          </cell>
          <cell r="R631" t="str">
            <v>1110</v>
          </cell>
        </row>
        <row r="632">
          <cell r="L632">
            <v>350000000</v>
          </cell>
          <cell r="Q632" t="str">
            <v>311nk2</v>
          </cell>
          <cell r="R632" t="str">
            <v>1110</v>
          </cell>
        </row>
        <row r="633">
          <cell r="L633">
            <v>7590921</v>
          </cell>
          <cell r="Q633" t="str">
            <v>1110</v>
          </cell>
          <cell r="R633" t="str">
            <v>141dòngkt</v>
          </cell>
        </row>
        <row r="634">
          <cell r="L634">
            <v>350000</v>
          </cell>
          <cell r="Q634" t="str">
            <v>1110</v>
          </cell>
          <cell r="R634" t="str">
            <v>141dòng</v>
          </cell>
        </row>
        <row r="635">
          <cell r="L635">
            <v>185300000</v>
          </cell>
          <cell r="Q635" t="str">
            <v>1110</v>
          </cell>
          <cell r="R635" t="str">
            <v>131viettra</v>
          </cell>
        </row>
        <row r="636">
          <cell r="L636">
            <v>34000000</v>
          </cell>
          <cell r="Q636" t="str">
            <v>1110</v>
          </cell>
          <cell r="R636" t="str">
            <v>131viettra</v>
          </cell>
        </row>
        <row r="637">
          <cell r="L637">
            <v>454545</v>
          </cell>
          <cell r="Q637" t="str">
            <v>1110</v>
          </cell>
          <cell r="R637" t="str">
            <v>511ks</v>
          </cell>
        </row>
        <row r="638">
          <cell r="L638">
            <v>45455</v>
          </cell>
          <cell r="Q638" t="str">
            <v>1110</v>
          </cell>
          <cell r="R638" t="str">
            <v>3333331</v>
          </cell>
        </row>
        <row r="639">
          <cell r="L639">
            <v>200000</v>
          </cell>
          <cell r="Q639" t="str">
            <v>641dl</v>
          </cell>
          <cell r="R639" t="str">
            <v>1110</v>
          </cell>
        </row>
        <row r="640">
          <cell r="L640">
            <v>20000</v>
          </cell>
          <cell r="Q640" t="str">
            <v>1331331</v>
          </cell>
          <cell r="R640" t="str">
            <v>1110</v>
          </cell>
        </row>
        <row r="641">
          <cell r="L641">
            <v>7032873</v>
          </cell>
          <cell r="Q641" t="str">
            <v>642ct</v>
          </cell>
          <cell r="R641" t="str">
            <v>1110</v>
          </cell>
        </row>
        <row r="642">
          <cell r="L642">
            <v>558048</v>
          </cell>
          <cell r="Q642" t="str">
            <v>1331331</v>
          </cell>
          <cell r="R642" t="str">
            <v>1110</v>
          </cell>
        </row>
        <row r="643">
          <cell r="L643">
            <v>30000000</v>
          </cell>
          <cell r="Q643" t="str">
            <v>331nk5</v>
          </cell>
          <cell r="R643" t="str">
            <v>1110</v>
          </cell>
        </row>
        <row r="644">
          <cell r="L644">
            <v>50000000</v>
          </cell>
          <cell r="Q644" t="str">
            <v>1110</v>
          </cell>
          <cell r="R644" t="str">
            <v>131hïng</v>
          </cell>
        </row>
        <row r="645">
          <cell r="L645">
            <v>57768000</v>
          </cell>
          <cell r="Q645" t="str">
            <v>1110</v>
          </cell>
          <cell r="R645" t="str">
            <v>131vthu</v>
          </cell>
        </row>
        <row r="646">
          <cell r="L646">
            <v>500000</v>
          </cell>
          <cell r="Q646" t="str">
            <v>641dl</v>
          </cell>
          <cell r="R646" t="str">
            <v>1110</v>
          </cell>
        </row>
        <row r="647">
          <cell r="L647">
            <v>1700000</v>
          </cell>
          <cell r="Q647" t="str">
            <v>1110</v>
          </cell>
          <cell r="R647" t="str">
            <v>141tuên-dl</v>
          </cell>
        </row>
        <row r="648">
          <cell r="L648">
            <v>35000000</v>
          </cell>
          <cell r="Q648" t="str">
            <v>1110</v>
          </cell>
          <cell r="R648" t="str">
            <v>131hïng</v>
          </cell>
        </row>
        <row r="649">
          <cell r="L649">
            <v>470326</v>
          </cell>
          <cell r="Q649" t="str">
            <v>641kd</v>
          </cell>
          <cell r="R649" t="str">
            <v>112tec</v>
          </cell>
        </row>
        <row r="650">
          <cell r="L650">
            <v>47033</v>
          </cell>
          <cell r="Q650" t="str">
            <v>1331331</v>
          </cell>
          <cell r="R650" t="str">
            <v>112tec</v>
          </cell>
        </row>
        <row r="651">
          <cell r="L651">
            <v>33753000</v>
          </cell>
          <cell r="Q651" t="str">
            <v>144</v>
          </cell>
          <cell r="R651" t="str">
            <v>112tec</v>
          </cell>
        </row>
        <row r="652">
          <cell r="L652">
            <v>200000</v>
          </cell>
          <cell r="Q652" t="str">
            <v>1110</v>
          </cell>
          <cell r="R652" t="str">
            <v>511ks</v>
          </cell>
        </row>
        <row r="653">
          <cell r="L653">
            <v>20000</v>
          </cell>
          <cell r="Q653" t="str">
            <v>1110</v>
          </cell>
          <cell r="R653" t="str">
            <v>3333331</v>
          </cell>
        </row>
        <row r="654">
          <cell r="L654">
            <v>3448050</v>
          </cell>
          <cell r="Q654" t="str">
            <v>642dn</v>
          </cell>
          <cell r="R654" t="str">
            <v>1110</v>
          </cell>
        </row>
        <row r="655">
          <cell r="L655">
            <v>344805</v>
          </cell>
          <cell r="Q655" t="str">
            <v>1331331</v>
          </cell>
          <cell r="R655" t="str">
            <v>1110</v>
          </cell>
        </row>
        <row r="656">
          <cell r="L656">
            <v>3000000</v>
          </cell>
          <cell r="Q656" t="str">
            <v>141hióu</v>
          </cell>
          <cell r="R656" t="str">
            <v>1110</v>
          </cell>
        </row>
        <row r="657">
          <cell r="L657">
            <v>1700000</v>
          </cell>
          <cell r="Q657" t="str">
            <v>641dl</v>
          </cell>
          <cell r="R657" t="str">
            <v>1110</v>
          </cell>
        </row>
        <row r="658">
          <cell r="L658">
            <v>250000000</v>
          </cell>
          <cell r="Q658" t="str">
            <v>331xnkm</v>
          </cell>
          <cell r="R658" t="str">
            <v>1110</v>
          </cell>
        </row>
        <row r="659">
          <cell r="L659">
            <v>34000000</v>
          </cell>
          <cell r="Q659" t="str">
            <v>112tec</v>
          </cell>
          <cell r="R659" t="str">
            <v>1110</v>
          </cell>
        </row>
        <row r="660">
          <cell r="L660">
            <v>450000</v>
          </cell>
          <cell r="Q660" t="str">
            <v>641dl</v>
          </cell>
          <cell r="R660" t="str">
            <v>1110</v>
          </cell>
        </row>
        <row r="661">
          <cell r="L661">
            <v>250000</v>
          </cell>
          <cell r="Q661" t="str">
            <v>1110</v>
          </cell>
          <cell r="R661" t="str">
            <v>141dòng</v>
          </cell>
        </row>
        <row r="662">
          <cell r="L662">
            <v>30000000</v>
          </cell>
          <cell r="Q662" t="str">
            <v>1110</v>
          </cell>
          <cell r="R662" t="str">
            <v>131hïng</v>
          </cell>
        </row>
        <row r="663">
          <cell r="L663">
            <v>79750000</v>
          </cell>
          <cell r="Q663" t="str">
            <v>1110</v>
          </cell>
          <cell r="R663" t="str">
            <v>131namminh</v>
          </cell>
        </row>
        <row r="664">
          <cell r="L664">
            <v>304545</v>
          </cell>
          <cell r="Q664" t="str">
            <v>641dl</v>
          </cell>
          <cell r="R664" t="str">
            <v>1110</v>
          </cell>
        </row>
        <row r="665">
          <cell r="L665">
            <v>30455</v>
          </cell>
          <cell r="Q665" t="str">
            <v>1331331</v>
          </cell>
          <cell r="R665" t="str">
            <v>1110</v>
          </cell>
        </row>
        <row r="666">
          <cell r="L666">
            <v>350000</v>
          </cell>
          <cell r="Q666" t="str">
            <v>642tk</v>
          </cell>
          <cell r="R666" t="str">
            <v>1110</v>
          </cell>
        </row>
        <row r="667">
          <cell r="L667">
            <v>180000000</v>
          </cell>
          <cell r="Q667" t="str">
            <v>331xnkm</v>
          </cell>
          <cell r="R667" t="str">
            <v>1110</v>
          </cell>
        </row>
        <row r="668">
          <cell r="L668">
            <v>239833600</v>
          </cell>
          <cell r="Q668" t="str">
            <v>331hado</v>
          </cell>
          <cell r="R668" t="str">
            <v>112cntec</v>
          </cell>
        </row>
        <row r="669">
          <cell r="L669">
            <v>109000</v>
          </cell>
          <cell r="Q669" t="str">
            <v>641kd</v>
          </cell>
          <cell r="R669" t="str">
            <v>112cntec</v>
          </cell>
        </row>
        <row r="670">
          <cell r="L670">
            <v>10900</v>
          </cell>
          <cell r="Q670" t="str">
            <v>1331331</v>
          </cell>
          <cell r="R670" t="str">
            <v>112cntec</v>
          </cell>
        </row>
        <row r="671">
          <cell r="L671">
            <v>36000000</v>
          </cell>
          <cell r="Q671" t="str">
            <v>112cntec</v>
          </cell>
          <cell r="R671" t="str">
            <v>144</v>
          </cell>
        </row>
        <row r="672">
          <cell r="L672">
            <v>2000000</v>
          </cell>
          <cell r="Q672" t="str">
            <v>1110</v>
          </cell>
          <cell r="R672" t="str">
            <v>141hoµ</v>
          </cell>
        </row>
        <row r="673">
          <cell r="L673">
            <v>181817</v>
          </cell>
          <cell r="Q673" t="str">
            <v>1110</v>
          </cell>
          <cell r="R673" t="str">
            <v>511ks</v>
          </cell>
        </row>
        <row r="674">
          <cell r="L674">
            <v>18183</v>
          </cell>
          <cell r="Q674" t="str">
            <v>1110</v>
          </cell>
          <cell r="R674" t="str">
            <v>3333331</v>
          </cell>
        </row>
        <row r="675">
          <cell r="L675">
            <v>493600</v>
          </cell>
          <cell r="Q675" t="str">
            <v>1110</v>
          </cell>
          <cell r="R675" t="str">
            <v>141dòngkt</v>
          </cell>
        </row>
        <row r="676">
          <cell r="L676">
            <v>15000000</v>
          </cell>
          <cell r="Q676" t="str">
            <v>1110</v>
          </cell>
          <cell r="R676" t="str">
            <v>131hasa</v>
          </cell>
        </row>
        <row r="677">
          <cell r="L677">
            <v>940000</v>
          </cell>
          <cell r="Q677" t="str">
            <v>338cpdt</v>
          </cell>
          <cell r="R677" t="str">
            <v>1110</v>
          </cell>
        </row>
        <row r="678">
          <cell r="L678">
            <v>272727</v>
          </cell>
          <cell r="Q678" t="str">
            <v>642®t</v>
          </cell>
          <cell r="R678" t="str">
            <v>1110</v>
          </cell>
        </row>
        <row r="679">
          <cell r="L679">
            <v>27273</v>
          </cell>
          <cell r="Q679" t="str">
            <v>1331331</v>
          </cell>
          <cell r="R679" t="str">
            <v>1110</v>
          </cell>
        </row>
        <row r="680">
          <cell r="L680">
            <v>300000</v>
          </cell>
          <cell r="Q680" t="str">
            <v>642bv</v>
          </cell>
          <cell r="R680" t="str">
            <v>1110</v>
          </cell>
        </row>
        <row r="681">
          <cell r="L681">
            <v>170000000</v>
          </cell>
          <cell r="Q681" t="str">
            <v>112cntec</v>
          </cell>
          <cell r="R681" t="str">
            <v>1110</v>
          </cell>
        </row>
        <row r="682">
          <cell r="L682">
            <v>30000000</v>
          </cell>
          <cell r="Q682" t="str">
            <v>112cntec</v>
          </cell>
          <cell r="R682" t="str">
            <v>1110</v>
          </cell>
        </row>
        <row r="683">
          <cell r="L683">
            <v>260153</v>
          </cell>
          <cell r="Q683" t="str">
            <v>112ct</v>
          </cell>
          <cell r="R683" t="str">
            <v>711ct</v>
          </cell>
        </row>
        <row r="684">
          <cell r="L684">
            <v>4000000</v>
          </cell>
          <cell r="Q684" t="str">
            <v>1110</v>
          </cell>
          <cell r="R684" t="str">
            <v>131stra</v>
          </cell>
        </row>
        <row r="685">
          <cell r="L685">
            <v>3200000</v>
          </cell>
          <cell r="Q685" t="str">
            <v>1110</v>
          </cell>
          <cell r="R685" t="str">
            <v>141tuên-dl</v>
          </cell>
        </row>
        <row r="686">
          <cell r="L686">
            <v>1200000</v>
          </cell>
          <cell r="Q686" t="str">
            <v>1110</v>
          </cell>
          <cell r="R686" t="str">
            <v>141hióu</v>
          </cell>
        </row>
        <row r="687">
          <cell r="L687">
            <v>300000</v>
          </cell>
          <cell r="Q687" t="str">
            <v>1110</v>
          </cell>
          <cell r="R687" t="str">
            <v>141thu</v>
          </cell>
        </row>
        <row r="688">
          <cell r="L688">
            <v>38000000</v>
          </cell>
          <cell r="Q688" t="str">
            <v>1110</v>
          </cell>
          <cell r="R688" t="str">
            <v>131hïng</v>
          </cell>
        </row>
        <row r="689">
          <cell r="L689">
            <v>20000000</v>
          </cell>
          <cell r="Q689" t="str">
            <v>1110</v>
          </cell>
          <cell r="R689" t="str">
            <v>131hïng</v>
          </cell>
        </row>
        <row r="690">
          <cell r="L690">
            <v>68000000</v>
          </cell>
          <cell r="Q690" t="str">
            <v>1110</v>
          </cell>
          <cell r="R690" t="str">
            <v>131vanloi</v>
          </cell>
        </row>
        <row r="691">
          <cell r="L691">
            <v>4190476</v>
          </cell>
          <cell r="Q691" t="str">
            <v>641dl</v>
          </cell>
          <cell r="R691" t="str">
            <v>1110</v>
          </cell>
        </row>
        <row r="692">
          <cell r="L692">
            <v>209524</v>
          </cell>
          <cell r="Q692" t="str">
            <v>1331331</v>
          </cell>
          <cell r="R692" t="str">
            <v>1110</v>
          </cell>
        </row>
        <row r="693">
          <cell r="L693">
            <v>270000</v>
          </cell>
          <cell r="Q693" t="str">
            <v>641dl</v>
          </cell>
          <cell r="R693" t="str">
            <v>1110</v>
          </cell>
        </row>
        <row r="694">
          <cell r="L694">
            <v>138000</v>
          </cell>
          <cell r="Q694" t="str">
            <v>641dl</v>
          </cell>
          <cell r="R694" t="str">
            <v>1110</v>
          </cell>
        </row>
        <row r="695">
          <cell r="L695">
            <v>296000</v>
          </cell>
          <cell r="Q695" t="str">
            <v>642ct</v>
          </cell>
          <cell r="R695" t="str">
            <v>1110</v>
          </cell>
        </row>
        <row r="696">
          <cell r="L696">
            <v>502946</v>
          </cell>
          <cell r="Q696" t="str">
            <v>641kd</v>
          </cell>
          <cell r="R696" t="str">
            <v>112cntec</v>
          </cell>
        </row>
        <row r="697">
          <cell r="L697">
            <v>50295</v>
          </cell>
          <cell r="Q697" t="str">
            <v>1331331</v>
          </cell>
          <cell r="R697" t="str">
            <v>112cntec</v>
          </cell>
        </row>
        <row r="698">
          <cell r="L698">
            <v>24650000</v>
          </cell>
          <cell r="Q698" t="str">
            <v>1110</v>
          </cell>
          <cell r="R698" t="str">
            <v>131trungkien</v>
          </cell>
        </row>
        <row r="699">
          <cell r="L699">
            <v>556282000</v>
          </cell>
          <cell r="Q699" t="str">
            <v>331t&amp;t</v>
          </cell>
          <cell r="R699" t="str">
            <v>112tec</v>
          </cell>
        </row>
        <row r="700">
          <cell r="L700">
            <v>252727</v>
          </cell>
          <cell r="Q700" t="str">
            <v>641kd</v>
          </cell>
          <cell r="R700" t="str">
            <v>112tec</v>
          </cell>
        </row>
        <row r="701">
          <cell r="L701">
            <v>25273</v>
          </cell>
          <cell r="Q701" t="str">
            <v>1331331</v>
          </cell>
          <cell r="R701" t="str">
            <v>112tec</v>
          </cell>
        </row>
        <row r="702">
          <cell r="L702">
            <v>57000000</v>
          </cell>
          <cell r="Q702" t="str">
            <v>1110</v>
          </cell>
          <cell r="R702" t="str">
            <v>131namminh</v>
          </cell>
        </row>
        <row r="703">
          <cell r="L703">
            <v>23300000</v>
          </cell>
          <cell r="Q703" t="str">
            <v>1110</v>
          </cell>
          <cell r="R703" t="str">
            <v>131vthu</v>
          </cell>
        </row>
        <row r="704">
          <cell r="L704">
            <v>34850000</v>
          </cell>
          <cell r="Q704" t="str">
            <v>1110</v>
          </cell>
          <cell r="R704" t="str">
            <v>131namminh</v>
          </cell>
        </row>
        <row r="705">
          <cell r="L705">
            <v>25000000</v>
          </cell>
          <cell r="Q705" t="str">
            <v>1110</v>
          </cell>
          <cell r="R705" t="str">
            <v>131hasa</v>
          </cell>
        </row>
        <row r="706">
          <cell r="L706">
            <v>50000000</v>
          </cell>
          <cell r="Q706" t="str">
            <v>1110</v>
          </cell>
          <cell r="R706" t="str">
            <v>131vanloi</v>
          </cell>
        </row>
        <row r="707">
          <cell r="L707">
            <v>139000</v>
          </cell>
          <cell r="Q707" t="str">
            <v>642tk</v>
          </cell>
          <cell r="R707" t="str">
            <v>1110</v>
          </cell>
        </row>
        <row r="708">
          <cell r="L708">
            <v>353500</v>
          </cell>
          <cell r="Q708" t="str">
            <v>642vp</v>
          </cell>
          <cell r="R708" t="str">
            <v>1110</v>
          </cell>
        </row>
        <row r="709">
          <cell r="L709">
            <v>50000000</v>
          </cell>
          <cell r="Q709" t="str">
            <v>112qt</v>
          </cell>
          <cell r="R709" t="str">
            <v>1110</v>
          </cell>
        </row>
        <row r="710">
          <cell r="L710">
            <v>201400000</v>
          </cell>
          <cell r="Q710" t="str">
            <v>112tec</v>
          </cell>
          <cell r="R710" t="str">
            <v>1110</v>
          </cell>
        </row>
        <row r="711">
          <cell r="L711">
            <v>25000000</v>
          </cell>
          <cell r="Q711" t="str">
            <v>112cntec</v>
          </cell>
          <cell r="R711" t="str">
            <v>1110</v>
          </cell>
        </row>
        <row r="712">
          <cell r="L712">
            <v>210000000</v>
          </cell>
          <cell r="Q712" t="str">
            <v>112cntec</v>
          </cell>
          <cell r="R712" t="str">
            <v>1110</v>
          </cell>
        </row>
        <row r="713">
          <cell r="L713">
            <v>32000000</v>
          </cell>
          <cell r="Q713" t="str">
            <v>144</v>
          </cell>
          <cell r="R713" t="str">
            <v>112qt</v>
          </cell>
        </row>
        <row r="714">
          <cell r="L714">
            <v>439470</v>
          </cell>
          <cell r="Q714" t="str">
            <v>641kd</v>
          </cell>
          <cell r="R714" t="str">
            <v>112qt</v>
          </cell>
        </row>
        <row r="715">
          <cell r="L715">
            <v>219163</v>
          </cell>
          <cell r="Q715" t="str">
            <v>641kd</v>
          </cell>
          <cell r="R715" t="str">
            <v>112qt</v>
          </cell>
        </row>
        <row r="716">
          <cell r="L716">
            <v>21916</v>
          </cell>
          <cell r="Q716" t="str">
            <v>1331331</v>
          </cell>
          <cell r="R716" t="str">
            <v>112qt</v>
          </cell>
        </row>
        <row r="717">
          <cell r="L717">
            <v>1145285</v>
          </cell>
          <cell r="Q717" t="str">
            <v>641kd</v>
          </cell>
          <cell r="R717" t="str">
            <v>112tec</v>
          </cell>
        </row>
        <row r="718">
          <cell r="L718">
            <v>114529</v>
          </cell>
          <cell r="Q718" t="str">
            <v>1331331</v>
          </cell>
          <cell r="R718" t="str">
            <v>112tec</v>
          </cell>
        </row>
        <row r="719">
          <cell r="L719">
            <v>600609000</v>
          </cell>
          <cell r="Q719" t="str">
            <v>331hado</v>
          </cell>
          <cell r="R719" t="str">
            <v>112cntec</v>
          </cell>
        </row>
        <row r="720">
          <cell r="L720">
            <v>272727</v>
          </cell>
          <cell r="Q720" t="str">
            <v>641kd</v>
          </cell>
          <cell r="R720" t="str">
            <v>112cntec</v>
          </cell>
        </row>
        <row r="721">
          <cell r="L721">
            <v>27273</v>
          </cell>
          <cell r="Q721" t="str">
            <v>1331331</v>
          </cell>
          <cell r="R721" t="str">
            <v>112cntec</v>
          </cell>
        </row>
        <row r="722">
          <cell r="L722">
            <v>90000000</v>
          </cell>
          <cell r="Q722" t="str">
            <v>112cntec</v>
          </cell>
          <cell r="R722" t="str">
            <v>144</v>
          </cell>
        </row>
        <row r="723">
          <cell r="L723">
            <v>655530</v>
          </cell>
          <cell r="Q723" t="str">
            <v>1110</v>
          </cell>
          <cell r="R723" t="str">
            <v>3383383</v>
          </cell>
        </row>
        <row r="724">
          <cell r="L724">
            <v>138558</v>
          </cell>
          <cell r="Q724" t="str">
            <v>1110</v>
          </cell>
          <cell r="R724" t="str">
            <v>3383384</v>
          </cell>
        </row>
        <row r="725">
          <cell r="L725">
            <v>250000000</v>
          </cell>
          <cell r="Q725" t="str">
            <v>1110</v>
          </cell>
          <cell r="R725" t="str">
            <v>131viettra</v>
          </cell>
        </row>
        <row r="726">
          <cell r="L726">
            <v>401400000</v>
          </cell>
          <cell r="Q726" t="str">
            <v>1110</v>
          </cell>
          <cell r="R726" t="str">
            <v>131hïng</v>
          </cell>
        </row>
        <row r="727">
          <cell r="L727">
            <v>25000000</v>
          </cell>
          <cell r="Q727" t="str">
            <v>1110</v>
          </cell>
          <cell r="R727" t="str">
            <v>131hïng</v>
          </cell>
        </row>
        <row r="728">
          <cell r="L728">
            <v>180000000</v>
          </cell>
          <cell r="Q728" t="str">
            <v>1110</v>
          </cell>
          <cell r="R728" t="str">
            <v>311tiõn</v>
          </cell>
        </row>
        <row r="729">
          <cell r="L729">
            <v>90909</v>
          </cell>
          <cell r="Q729" t="str">
            <v>1110</v>
          </cell>
          <cell r="R729" t="str">
            <v>511ks</v>
          </cell>
        </row>
        <row r="730">
          <cell r="L730">
            <v>9091</v>
          </cell>
          <cell r="Q730" t="str">
            <v>1110</v>
          </cell>
          <cell r="R730" t="str">
            <v>3333331</v>
          </cell>
        </row>
        <row r="731">
          <cell r="L731">
            <v>20000000</v>
          </cell>
          <cell r="Q731" t="str">
            <v>1110</v>
          </cell>
          <cell r="R731" t="str">
            <v>131hasa</v>
          </cell>
        </row>
        <row r="732">
          <cell r="L732">
            <v>280000000</v>
          </cell>
          <cell r="Q732" t="str">
            <v>112cntec</v>
          </cell>
          <cell r="R732" t="str">
            <v>1110</v>
          </cell>
        </row>
        <row r="733">
          <cell r="L733">
            <v>250000</v>
          </cell>
          <cell r="Q733" t="str">
            <v>112tec</v>
          </cell>
          <cell r="R733" t="str">
            <v>1110</v>
          </cell>
        </row>
        <row r="734">
          <cell r="L734">
            <v>8725000</v>
          </cell>
          <cell r="Q734" t="str">
            <v>3340</v>
          </cell>
          <cell r="R734" t="str">
            <v>1110</v>
          </cell>
        </row>
        <row r="735">
          <cell r="L735">
            <v>600000</v>
          </cell>
          <cell r="Q735" t="str">
            <v>642dc</v>
          </cell>
          <cell r="R735" t="str">
            <v>1110</v>
          </cell>
        </row>
        <row r="736">
          <cell r="L736">
            <v>3140000</v>
          </cell>
          <cell r="Q736" t="str">
            <v>141dòngkt</v>
          </cell>
          <cell r="R736" t="str">
            <v>1110</v>
          </cell>
        </row>
        <row r="737">
          <cell r="L737">
            <v>2000000</v>
          </cell>
          <cell r="Q737" t="str">
            <v>112tec</v>
          </cell>
          <cell r="R737" t="str">
            <v>1110</v>
          </cell>
        </row>
        <row r="738">
          <cell r="L738">
            <v>200000000</v>
          </cell>
          <cell r="Q738" t="str">
            <v>331xnkm</v>
          </cell>
          <cell r="R738" t="str">
            <v>1110</v>
          </cell>
        </row>
        <row r="739">
          <cell r="L739">
            <v>40000000</v>
          </cell>
          <cell r="Q739" t="str">
            <v>141hoµn</v>
          </cell>
          <cell r="R739" t="str">
            <v>1110</v>
          </cell>
        </row>
        <row r="740">
          <cell r="L740">
            <v>1764923073</v>
          </cell>
          <cell r="Q740" t="str">
            <v>632kd</v>
          </cell>
          <cell r="R740" t="str">
            <v>1560</v>
          </cell>
        </row>
        <row r="741">
          <cell r="L741">
            <v>1158603</v>
          </cell>
          <cell r="Q741" t="str">
            <v>641kd</v>
          </cell>
          <cell r="R741" t="str">
            <v>112cntec</v>
          </cell>
        </row>
        <row r="742">
          <cell r="L742">
            <v>115860</v>
          </cell>
          <cell r="Q742" t="str">
            <v>1331331</v>
          </cell>
          <cell r="R742" t="str">
            <v>112cntec</v>
          </cell>
        </row>
        <row r="743">
          <cell r="L743">
            <v>24000</v>
          </cell>
          <cell r="Q743" t="str">
            <v>112cntec</v>
          </cell>
          <cell r="R743" t="str">
            <v>711cntec</v>
          </cell>
        </row>
        <row r="744">
          <cell r="L744">
            <v>679000</v>
          </cell>
          <cell r="Q744" t="str">
            <v>112tec</v>
          </cell>
          <cell r="R744" t="str">
            <v>711tec</v>
          </cell>
        </row>
        <row r="745">
          <cell r="L745">
            <v>90909</v>
          </cell>
          <cell r="Q745" t="str">
            <v>1110</v>
          </cell>
          <cell r="R745" t="str">
            <v>511ks</v>
          </cell>
        </row>
        <row r="746">
          <cell r="L746">
            <v>9091</v>
          </cell>
          <cell r="Q746" t="str">
            <v>1110</v>
          </cell>
          <cell r="R746" t="str">
            <v>3333331</v>
          </cell>
        </row>
        <row r="747">
          <cell r="L747">
            <v>7454545</v>
          </cell>
          <cell r="Q747" t="str">
            <v>1110</v>
          </cell>
          <cell r="R747" t="str">
            <v>511ch</v>
          </cell>
        </row>
        <row r="748">
          <cell r="L748">
            <v>745455</v>
          </cell>
          <cell r="Q748" t="str">
            <v>1110</v>
          </cell>
          <cell r="R748" t="str">
            <v>3333331</v>
          </cell>
        </row>
        <row r="749">
          <cell r="L749">
            <v>55000</v>
          </cell>
          <cell r="Q749" t="str">
            <v>642dn</v>
          </cell>
          <cell r="R749" t="str">
            <v>1110</v>
          </cell>
        </row>
        <row r="750">
          <cell r="L750">
            <v>1238325</v>
          </cell>
          <cell r="Q750" t="str">
            <v>1331331</v>
          </cell>
          <cell r="R750" t="str">
            <v>331cuaong</v>
          </cell>
        </row>
        <row r="751">
          <cell r="L751">
            <v>58261932</v>
          </cell>
          <cell r="Q751" t="str">
            <v>1331331</v>
          </cell>
          <cell r="R751" t="str">
            <v>331unimex</v>
          </cell>
        </row>
        <row r="752">
          <cell r="L752">
            <v>112800000</v>
          </cell>
          <cell r="Q752" t="str">
            <v>1331331</v>
          </cell>
          <cell r="R752" t="str">
            <v>331xnkm</v>
          </cell>
        </row>
        <row r="753">
          <cell r="L753">
            <v>24766500</v>
          </cell>
          <cell r="Q753" t="str">
            <v>156than</v>
          </cell>
          <cell r="R753" t="str">
            <v>331cuaong</v>
          </cell>
        </row>
        <row r="754">
          <cell r="L754">
            <v>1128000000</v>
          </cell>
          <cell r="Q754" t="str">
            <v>156sutq</v>
          </cell>
          <cell r="R754" t="str">
            <v>331xnkm</v>
          </cell>
        </row>
        <row r="755">
          <cell r="L755">
            <v>1165238646</v>
          </cell>
          <cell r="Q755" t="str">
            <v>156xelu</v>
          </cell>
          <cell r="R755" t="str">
            <v>331unimex</v>
          </cell>
        </row>
        <row r="756">
          <cell r="L756">
            <v>3900000</v>
          </cell>
          <cell r="Q756" t="str">
            <v>642dc</v>
          </cell>
          <cell r="R756" t="str">
            <v>1110</v>
          </cell>
        </row>
        <row r="757">
          <cell r="L757">
            <v>258300</v>
          </cell>
          <cell r="Q757" t="str">
            <v>112ct</v>
          </cell>
          <cell r="R757" t="str">
            <v>3383383</v>
          </cell>
        </row>
        <row r="758">
          <cell r="L758">
            <v>340000000</v>
          </cell>
          <cell r="Q758" t="str">
            <v>112ct</v>
          </cell>
          <cell r="R758" t="str">
            <v>131tan</v>
          </cell>
        </row>
        <row r="759">
          <cell r="L759">
            <v>300000000</v>
          </cell>
          <cell r="Q759" t="str">
            <v>311nk2</v>
          </cell>
          <cell r="R759" t="str">
            <v>112ct</v>
          </cell>
        </row>
        <row r="760">
          <cell r="L760">
            <v>200000</v>
          </cell>
          <cell r="Q760" t="str">
            <v>1110</v>
          </cell>
          <cell r="R760" t="str">
            <v>131stra</v>
          </cell>
        </row>
        <row r="761">
          <cell r="L761">
            <v>282108</v>
          </cell>
          <cell r="Q761" t="str">
            <v>1110</v>
          </cell>
          <cell r="R761" t="str">
            <v>141dòng</v>
          </cell>
        </row>
        <row r="762">
          <cell r="L762">
            <v>4900000</v>
          </cell>
          <cell r="Q762" t="str">
            <v>1110</v>
          </cell>
          <cell r="R762" t="str">
            <v>141dòng</v>
          </cell>
        </row>
        <row r="763">
          <cell r="L763">
            <v>34000000</v>
          </cell>
          <cell r="Q763" t="str">
            <v>1110</v>
          </cell>
          <cell r="R763" t="str">
            <v>131viettra</v>
          </cell>
        </row>
        <row r="764">
          <cell r="L764">
            <v>4666667</v>
          </cell>
          <cell r="Q764" t="str">
            <v>641dl</v>
          </cell>
          <cell r="R764" t="str">
            <v>1110</v>
          </cell>
        </row>
        <row r="765">
          <cell r="L765">
            <v>233333</v>
          </cell>
          <cell r="Q765" t="str">
            <v>1331331</v>
          </cell>
          <cell r="R765" t="str">
            <v>1110</v>
          </cell>
        </row>
        <row r="766">
          <cell r="L766">
            <v>32380940</v>
          </cell>
          <cell r="Q766" t="str">
            <v>641kd</v>
          </cell>
          <cell r="R766" t="str">
            <v>1110</v>
          </cell>
        </row>
        <row r="767">
          <cell r="L767">
            <v>1619060</v>
          </cell>
          <cell r="Q767" t="str">
            <v>1331331</v>
          </cell>
          <cell r="R767" t="str">
            <v>1110</v>
          </cell>
        </row>
        <row r="768">
          <cell r="L768">
            <v>512400</v>
          </cell>
          <cell r="Q768" t="str">
            <v>642sc</v>
          </cell>
          <cell r="R768" t="str">
            <v>1110</v>
          </cell>
        </row>
        <row r="769">
          <cell r="L769">
            <v>51240</v>
          </cell>
          <cell r="Q769" t="str">
            <v>1331331</v>
          </cell>
          <cell r="R769" t="str">
            <v>1110</v>
          </cell>
        </row>
        <row r="770">
          <cell r="L770">
            <v>1578000</v>
          </cell>
          <cell r="Q770" t="str">
            <v>141hoµn</v>
          </cell>
          <cell r="R770" t="str">
            <v>1110</v>
          </cell>
        </row>
        <row r="771">
          <cell r="L771">
            <v>40000000</v>
          </cell>
          <cell r="Q771" t="str">
            <v>1110</v>
          </cell>
          <cell r="R771" t="str">
            <v>141hoµn</v>
          </cell>
        </row>
        <row r="772">
          <cell r="L772">
            <v>258300</v>
          </cell>
          <cell r="Q772" t="str">
            <v>3383383</v>
          </cell>
          <cell r="R772" t="str">
            <v>1110</v>
          </cell>
        </row>
        <row r="773">
          <cell r="L773">
            <v>77840000</v>
          </cell>
          <cell r="Q773" t="str">
            <v>1110</v>
          </cell>
          <cell r="R773" t="str">
            <v>131namminh</v>
          </cell>
        </row>
        <row r="774">
          <cell r="L774">
            <v>87000000</v>
          </cell>
          <cell r="Q774" t="str">
            <v>1110</v>
          </cell>
          <cell r="R774" t="str">
            <v>131hïng</v>
          </cell>
        </row>
        <row r="775">
          <cell r="L775">
            <v>470000</v>
          </cell>
          <cell r="Q775" t="str">
            <v>642bv</v>
          </cell>
          <cell r="R775" t="str">
            <v>1110</v>
          </cell>
        </row>
        <row r="776">
          <cell r="L776">
            <v>258000</v>
          </cell>
          <cell r="Q776" t="str">
            <v>641dl</v>
          </cell>
          <cell r="R776" t="str">
            <v>1110</v>
          </cell>
        </row>
        <row r="777">
          <cell r="L777">
            <v>60000000</v>
          </cell>
          <cell r="Q777" t="str">
            <v>112qt</v>
          </cell>
          <cell r="R777" t="str">
            <v>1110</v>
          </cell>
        </row>
        <row r="778">
          <cell r="L778">
            <v>800000000</v>
          </cell>
          <cell r="Q778" t="str">
            <v>112qt</v>
          </cell>
          <cell r="R778" t="str">
            <v>311qt</v>
          </cell>
        </row>
        <row r="779">
          <cell r="L779">
            <v>70000000</v>
          </cell>
          <cell r="Q779" t="str">
            <v>144</v>
          </cell>
          <cell r="R779" t="str">
            <v>112qt</v>
          </cell>
        </row>
        <row r="780">
          <cell r="L780">
            <v>624389</v>
          </cell>
          <cell r="Q780" t="str">
            <v>641kd</v>
          </cell>
          <cell r="R780" t="str">
            <v>112qt</v>
          </cell>
        </row>
        <row r="781">
          <cell r="L781">
            <v>62439</v>
          </cell>
          <cell r="Q781" t="str">
            <v>1331331</v>
          </cell>
          <cell r="R781" t="str">
            <v>112qt</v>
          </cell>
        </row>
        <row r="782">
          <cell r="L782">
            <v>441690</v>
          </cell>
          <cell r="Q782" t="str">
            <v>641kd</v>
          </cell>
          <cell r="R782" t="str">
            <v>112qt</v>
          </cell>
        </row>
        <row r="783">
          <cell r="L783">
            <v>150000000</v>
          </cell>
          <cell r="Q783" t="str">
            <v>331tlong</v>
          </cell>
          <cell r="R783" t="str">
            <v>112qt</v>
          </cell>
        </row>
        <row r="784">
          <cell r="L784">
            <v>3636</v>
          </cell>
          <cell r="Q784" t="str">
            <v>641kd</v>
          </cell>
          <cell r="R784" t="str">
            <v>112qt</v>
          </cell>
        </row>
        <row r="785">
          <cell r="L785">
            <v>364</v>
          </cell>
          <cell r="Q785" t="str">
            <v>1331331</v>
          </cell>
          <cell r="R785" t="str">
            <v>112qt</v>
          </cell>
        </row>
        <row r="786">
          <cell r="L786">
            <v>3636</v>
          </cell>
          <cell r="Q786" t="str">
            <v>641kd</v>
          </cell>
          <cell r="R786" t="str">
            <v>112qt</v>
          </cell>
        </row>
        <row r="787">
          <cell r="L787">
            <v>364</v>
          </cell>
          <cell r="Q787" t="str">
            <v>1331331</v>
          </cell>
          <cell r="R787" t="str">
            <v>112qt</v>
          </cell>
        </row>
        <row r="788">
          <cell r="L788">
            <v>800000000</v>
          </cell>
          <cell r="Q788" t="str">
            <v>112ct</v>
          </cell>
          <cell r="R788" t="str">
            <v>112qt</v>
          </cell>
        </row>
        <row r="789">
          <cell r="L789">
            <v>122727</v>
          </cell>
          <cell r="Q789" t="str">
            <v>1110</v>
          </cell>
          <cell r="R789" t="str">
            <v>511ks</v>
          </cell>
        </row>
        <row r="790">
          <cell r="L790">
            <v>12273</v>
          </cell>
          <cell r="Q790" t="str">
            <v>1110</v>
          </cell>
          <cell r="R790" t="str">
            <v>3333331</v>
          </cell>
        </row>
        <row r="791">
          <cell r="L791">
            <v>20000000</v>
          </cell>
          <cell r="Q791" t="str">
            <v>1110</v>
          </cell>
          <cell r="R791" t="str">
            <v>131hasa</v>
          </cell>
        </row>
        <row r="792">
          <cell r="L792">
            <v>40000000</v>
          </cell>
          <cell r="Q792" t="str">
            <v>1110</v>
          </cell>
          <cell r="R792" t="str">
            <v>131bnguyet</v>
          </cell>
        </row>
        <row r="793">
          <cell r="L793">
            <v>417500</v>
          </cell>
          <cell r="Q793" t="str">
            <v>642vp</v>
          </cell>
          <cell r="R793" t="str">
            <v>1110</v>
          </cell>
        </row>
        <row r="794">
          <cell r="L794">
            <v>20000</v>
          </cell>
          <cell r="Q794" t="str">
            <v>1331331</v>
          </cell>
          <cell r="R794" t="str">
            <v>1110</v>
          </cell>
        </row>
        <row r="795">
          <cell r="L795">
            <v>199000</v>
          </cell>
          <cell r="Q795" t="str">
            <v>642vp</v>
          </cell>
          <cell r="R795" t="str">
            <v>1110</v>
          </cell>
        </row>
        <row r="796">
          <cell r="L796">
            <v>19900</v>
          </cell>
          <cell r="Q796" t="str">
            <v>1331331</v>
          </cell>
          <cell r="R796" t="str">
            <v>1110</v>
          </cell>
        </row>
        <row r="797">
          <cell r="L797">
            <v>1288000</v>
          </cell>
          <cell r="Q797" t="str">
            <v>642dc</v>
          </cell>
          <cell r="R797" t="str">
            <v>1110</v>
          </cell>
        </row>
        <row r="798">
          <cell r="L798">
            <v>7000000</v>
          </cell>
          <cell r="Q798" t="str">
            <v>141tuên-dl</v>
          </cell>
          <cell r="R798" t="str">
            <v>1110</v>
          </cell>
        </row>
        <row r="799">
          <cell r="L799">
            <v>150000000</v>
          </cell>
          <cell r="Q799" t="str">
            <v>112qt</v>
          </cell>
          <cell r="R799" t="str">
            <v>1110</v>
          </cell>
        </row>
        <row r="800">
          <cell r="L800">
            <v>550000</v>
          </cell>
          <cell r="Q800" t="str">
            <v>1110</v>
          </cell>
          <cell r="R800" t="str">
            <v>511ks</v>
          </cell>
        </row>
        <row r="801">
          <cell r="L801">
            <v>55000</v>
          </cell>
          <cell r="Q801" t="str">
            <v>1110</v>
          </cell>
          <cell r="R801" t="str">
            <v>3333331</v>
          </cell>
        </row>
        <row r="802">
          <cell r="L802">
            <v>300000</v>
          </cell>
          <cell r="Q802" t="str">
            <v>641dl</v>
          </cell>
          <cell r="R802" t="str">
            <v>1110</v>
          </cell>
        </row>
        <row r="803">
          <cell r="L803">
            <v>58662400</v>
          </cell>
          <cell r="Q803" t="str">
            <v>331hoasua</v>
          </cell>
          <cell r="R803" t="str">
            <v>1110</v>
          </cell>
        </row>
        <row r="804">
          <cell r="L804">
            <v>800000000</v>
          </cell>
          <cell r="Q804" t="str">
            <v>311nk2</v>
          </cell>
          <cell r="R804" t="str">
            <v>112ct</v>
          </cell>
        </row>
        <row r="805">
          <cell r="L805">
            <v>1287430</v>
          </cell>
          <cell r="Q805" t="str">
            <v>1110</v>
          </cell>
          <cell r="R805" t="str">
            <v>642dn</v>
          </cell>
        </row>
        <row r="806">
          <cell r="L806">
            <v>952381</v>
          </cell>
          <cell r="Q806" t="str">
            <v>641kd</v>
          </cell>
          <cell r="R806" t="str">
            <v>1110</v>
          </cell>
        </row>
        <row r="807">
          <cell r="L807">
            <v>47619</v>
          </cell>
          <cell r="Q807" t="str">
            <v>1331331</v>
          </cell>
          <cell r="R807" t="str">
            <v>1110</v>
          </cell>
        </row>
        <row r="808">
          <cell r="L808">
            <v>91619</v>
          </cell>
          <cell r="Q808" t="str">
            <v>641dl</v>
          </cell>
          <cell r="R808" t="str">
            <v>1110</v>
          </cell>
        </row>
        <row r="809">
          <cell r="L809">
            <v>2381</v>
          </cell>
          <cell r="Q809" t="str">
            <v>1331331</v>
          </cell>
          <cell r="R809" t="str">
            <v>1110</v>
          </cell>
        </row>
        <row r="810">
          <cell r="L810">
            <v>4000000</v>
          </cell>
          <cell r="Q810" t="str">
            <v>141hoµn</v>
          </cell>
          <cell r="R810" t="str">
            <v>1110</v>
          </cell>
        </row>
        <row r="811">
          <cell r="L811">
            <v>3248000</v>
          </cell>
          <cell r="Q811" t="str">
            <v>1110</v>
          </cell>
          <cell r="R811" t="str">
            <v>131cthinh</v>
          </cell>
        </row>
        <row r="812">
          <cell r="L812">
            <v>45000000</v>
          </cell>
          <cell r="Q812" t="str">
            <v>1110</v>
          </cell>
          <cell r="R812" t="str">
            <v>131hïng</v>
          </cell>
        </row>
        <row r="813">
          <cell r="L813">
            <v>50000000</v>
          </cell>
          <cell r="Q813" t="str">
            <v>1110</v>
          </cell>
          <cell r="R813" t="str">
            <v>131namminh</v>
          </cell>
        </row>
        <row r="814">
          <cell r="L814">
            <v>25000000</v>
          </cell>
          <cell r="Q814" t="str">
            <v>1110</v>
          </cell>
          <cell r="R814" t="str">
            <v>131hphuong</v>
          </cell>
        </row>
        <row r="815">
          <cell r="L815">
            <v>30000000</v>
          </cell>
          <cell r="Q815" t="str">
            <v>1110</v>
          </cell>
          <cell r="R815" t="str">
            <v>131ptrinh</v>
          </cell>
        </row>
        <row r="816">
          <cell r="L816">
            <v>409091</v>
          </cell>
          <cell r="Q816" t="str">
            <v>1110</v>
          </cell>
          <cell r="R816" t="str">
            <v>511ks</v>
          </cell>
        </row>
        <row r="817">
          <cell r="L817">
            <v>40909</v>
          </cell>
          <cell r="Q817" t="str">
            <v>1110</v>
          </cell>
          <cell r="R817" t="str">
            <v>3333331</v>
          </cell>
        </row>
        <row r="818">
          <cell r="L818">
            <v>160000000</v>
          </cell>
          <cell r="Q818" t="str">
            <v>331nk5</v>
          </cell>
          <cell r="R818" t="str">
            <v>1110</v>
          </cell>
        </row>
        <row r="819">
          <cell r="L819">
            <v>40000000</v>
          </cell>
          <cell r="Q819" t="str">
            <v>331nk5</v>
          </cell>
          <cell r="R819" t="str">
            <v>112ct</v>
          </cell>
        </row>
        <row r="820">
          <cell r="L820">
            <v>120000000</v>
          </cell>
          <cell r="Q820" t="str">
            <v>1110</v>
          </cell>
          <cell r="R820" t="str">
            <v>131hphuong</v>
          </cell>
        </row>
        <row r="821">
          <cell r="L821">
            <v>218182</v>
          </cell>
          <cell r="Q821" t="str">
            <v>1110</v>
          </cell>
          <cell r="R821" t="str">
            <v>511ks</v>
          </cell>
        </row>
        <row r="822">
          <cell r="L822">
            <v>21818</v>
          </cell>
          <cell r="Q822" t="str">
            <v>1110</v>
          </cell>
          <cell r="R822" t="str">
            <v>3333331</v>
          </cell>
        </row>
        <row r="823">
          <cell r="L823">
            <v>7716443</v>
          </cell>
          <cell r="Q823" t="str">
            <v>642k</v>
          </cell>
          <cell r="R823" t="str">
            <v>1110</v>
          </cell>
        </row>
        <row r="824">
          <cell r="L824">
            <v>120000000</v>
          </cell>
          <cell r="Q824" t="str">
            <v>331xnkm</v>
          </cell>
          <cell r="R824" t="str">
            <v>1110</v>
          </cell>
        </row>
        <row r="825">
          <cell r="L825">
            <v>4500000</v>
          </cell>
          <cell r="Q825" t="str">
            <v>141huy</v>
          </cell>
          <cell r="R825" t="str">
            <v>1110</v>
          </cell>
        </row>
        <row r="826">
          <cell r="L826">
            <v>73710</v>
          </cell>
          <cell r="Q826" t="str">
            <v>1110</v>
          </cell>
          <cell r="R826" t="str">
            <v>3383383</v>
          </cell>
        </row>
        <row r="827">
          <cell r="L827">
            <v>14742</v>
          </cell>
          <cell r="Q827" t="str">
            <v>1110</v>
          </cell>
          <cell r="R827" t="str">
            <v>3383384</v>
          </cell>
        </row>
        <row r="828">
          <cell r="L828">
            <v>758160</v>
          </cell>
          <cell r="Q828" t="str">
            <v>338qldd</v>
          </cell>
          <cell r="R828" t="str">
            <v>1110</v>
          </cell>
        </row>
        <row r="829">
          <cell r="L829">
            <v>10620800</v>
          </cell>
          <cell r="Q829" t="str">
            <v>3340</v>
          </cell>
          <cell r="R829" t="str">
            <v>1110</v>
          </cell>
        </row>
        <row r="830">
          <cell r="L830">
            <v>600000</v>
          </cell>
          <cell r="Q830" t="str">
            <v>642l</v>
          </cell>
          <cell r="R830" t="str">
            <v>1110</v>
          </cell>
        </row>
        <row r="831">
          <cell r="L831">
            <v>900000</v>
          </cell>
          <cell r="Q831" t="str">
            <v>642®t</v>
          </cell>
          <cell r="R831" t="str">
            <v>1110</v>
          </cell>
        </row>
        <row r="832">
          <cell r="L832">
            <v>381000</v>
          </cell>
          <cell r="Q832" t="str">
            <v>642tk</v>
          </cell>
          <cell r="R832" t="str">
            <v>1110</v>
          </cell>
        </row>
        <row r="833">
          <cell r="L833">
            <v>39000</v>
          </cell>
          <cell r="Q833" t="str">
            <v>1331331</v>
          </cell>
          <cell r="R833" t="str">
            <v>1110</v>
          </cell>
        </row>
        <row r="834">
          <cell r="L834">
            <v>2178889</v>
          </cell>
          <cell r="Q834" t="str">
            <v>642®t</v>
          </cell>
          <cell r="R834" t="str">
            <v>1110</v>
          </cell>
        </row>
        <row r="835">
          <cell r="L835">
            <v>217889</v>
          </cell>
          <cell r="Q835" t="str">
            <v>1331331</v>
          </cell>
          <cell r="R835" t="str">
            <v>1110</v>
          </cell>
        </row>
        <row r="836">
          <cell r="L836">
            <v>2470020</v>
          </cell>
          <cell r="Q836" t="str">
            <v>642®t</v>
          </cell>
          <cell r="R836" t="str">
            <v>1110</v>
          </cell>
        </row>
        <row r="837">
          <cell r="L837">
            <v>247002</v>
          </cell>
          <cell r="Q837" t="str">
            <v>1331331</v>
          </cell>
          <cell r="R837" t="str">
            <v>1110</v>
          </cell>
        </row>
        <row r="838">
          <cell r="L838">
            <v>230000</v>
          </cell>
          <cell r="Q838" t="str">
            <v>642tk</v>
          </cell>
          <cell r="R838" t="str">
            <v>1110</v>
          </cell>
        </row>
        <row r="839">
          <cell r="L839">
            <v>200000000</v>
          </cell>
          <cell r="Q839" t="str">
            <v>112ct</v>
          </cell>
          <cell r="R839" t="str">
            <v>131viettra</v>
          </cell>
        </row>
        <row r="840">
          <cell r="L840">
            <v>7000000</v>
          </cell>
          <cell r="Q840" t="str">
            <v>1110</v>
          </cell>
          <cell r="R840" t="str">
            <v>131cuaong</v>
          </cell>
        </row>
        <row r="841">
          <cell r="L841">
            <v>34600000</v>
          </cell>
          <cell r="Q841" t="str">
            <v>1110</v>
          </cell>
          <cell r="R841" t="str">
            <v>131hïng</v>
          </cell>
        </row>
        <row r="842">
          <cell r="L842">
            <v>58000000</v>
          </cell>
          <cell r="Q842" t="str">
            <v>1110</v>
          </cell>
          <cell r="R842" t="str">
            <v>131hïng</v>
          </cell>
        </row>
        <row r="843">
          <cell r="L843">
            <v>15110000</v>
          </cell>
          <cell r="Q843" t="str">
            <v>1110</v>
          </cell>
          <cell r="R843" t="str">
            <v>131tiendung</v>
          </cell>
        </row>
        <row r="844">
          <cell r="L844">
            <v>155000</v>
          </cell>
          <cell r="Q844" t="str">
            <v>641dl</v>
          </cell>
          <cell r="R844" t="str">
            <v>1110</v>
          </cell>
        </row>
        <row r="845">
          <cell r="L845">
            <v>7000000</v>
          </cell>
          <cell r="Q845" t="str">
            <v>141huy</v>
          </cell>
          <cell r="R845" t="str">
            <v>1110</v>
          </cell>
        </row>
        <row r="846">
          <cell r="L846">
            <v>122727</v>
          </cell>
          <cell r="Q846" t="str">
            <v>1110</v>
          </cell>
          <cell r="R846" t="str">
            <v>511ks</v>
          </cell>
        </row>
        <row r="847">
          <cell r="L847">
            <v>12273</v>
          </cell>
          <cell r="Q847" t="str">
            <v>1110</v>
          </cell>
          <cell r="R847" t="str">
            <v>3333331</v>
          </cell>
        </row>
        <row r="848">
          <cell r="L848">
            <v>22373000</v>
          </cell>
          <cell r="Q848" t="str">
            <v>1110</v>
          </cell>
          <cell r="R848" t="str">
            <v>131ploc</v>
          </cell>
        </row>
        <row r="849">
          <cell r="L849">
            <v>29275000</v>
          </cell>
          <cell r="Q849" t="str">
            <v>1110</v>
          </cell>
          <cell r="R849" t="str">
            <v>131ducha</v>
          </cell>
        </row>
        <row r="850">
          <cell r="L850">
            <v>17952000</v>
          </cell>
          <cell r="Q850" t="str">
            <v>1110</v>
          </cell>
          <cell r="R850" t="str">
            <v>131lthinh</v>
          </cell>
        </row>
        <row r="851">
          <cell r="L851">
            <v>104400000</v>
          </cell>
          <cell r="Q851" t="str">
            <v>1110</v>
          </cell>
          <cell r="R851" t="str">
            <v>131hlong</v>
          </cell>
        </row>
        <row r="852">
          <cell r="L852">
            <v>110000000</v>
          </cell>
          <cell r="Q852" t="str">
            <v>1110</v>
          </cell>
          <cell r="R852" t="str">
            <v>131tan</v>
          </cell>
        </row>
        <row r="853">
          <cell r="L853">
            <v>140000000</v>
          </cell>
          <cell r="Q853" t="str">
            <v>1110</v>
          </cell>
          <cell r="R853" t="str">
            <v>131hy</v>
          </cell>
        </row>
        <row r="854">
          <cell r="L854">
            <v>170803</v>
          </cell>
          <cell r="Q854" t="str">
            <v>112ct</v>
          </cell>
          <cell r="R854" t="str">
            <v>711ct</v>
          </cell>
        </row>
        <row r="855">
          <cell r="L855">
            <v>4970000</v>
          </cell>
          <cell r="Q855" t="str">
            <v>1110</v>
          </cell>
          <cell r="R855" t="str">
            <v>141dòng</v>
          </cell>
        </row>
        <row r="856">
          <cell r="L856">
            <v>50000000</v>
          </cell>
          <cell r="Q856" t="str">
            <v>331nk2</v>
          </cell>
          <cell r="R856" t="str">
            <v>1110</v>
          </cell>
        </row>
        <row r="857">
          <cell r="L857">
            <v>90000000</v>
          </cell>
          <cell r="Q857" t="str">
            <v>141dòngkt</v>
          </cell>
          <cell r="R857" t="str">
            <v>1110</v>
          </cell>
        </row>
        <row r="858">
          <cell r="L858">
            <v>400000</v>
          </cell>
          <cell r="Q858" t="str">
            <v>1110</v>
          </cell>
          <cell r="R858" t="str">
            <v>511ks</v>
          </cell>
        </row>
        <row r="859">
          <cell r="L859">
            <v>40000</v>
          </cell>
          <cell r="Q859" t="str">
            <v>1110</v>
          </cell>
          <cell r="R859" t="str">
            <v>3333331</v>
          </cell>
        </row>
        <row r="860">
          <cell r="L860">
            <v>8915000</v>
          </cell>
          <cell r="Q860" t="str">
            <v>1110</v>
          </cell>
          <cell r="R860" t="str">
            <v>131bk</v>
          </cell>
        </row>
        <row r="861">
          <cell r="L861">
            <v>25000000</v>
          </cell>
          <cell r="Q861" t="str">
            <v>1110</v>
          </cell>
          <cell r="R861" t="str">
            <v>131hasa</v>
          </cell>
        </row>
        <row r="862">
          <cell r="L862">
            <v>200000000</v>
          </cell>
          <cell r="Q862" t="str">
            <v>1110</v>
          </cell>
          <cell r="R862" t="str">
            <v>112ct</v>
          </cell>
        </row>
        <row r="863">
          <cell r="L863">
            <v>3665220</v>
          </cell>
          <cell r="Q863" t="str">
            <v>642dn</v>
          </cell>
          <cell r="R863" t="str">
            <v>1110</v>
          </cell>
        </row>
        <row r="864">
          <cell r="L864">
            <v>366522</v>
          </cell>
          <cell r="Q864" t="str">
            <v>1331331</v>
          </cell>
          <cell r="R864" t="str">
            <v>1110</v>
          </cell>
        </row>
        <row r="865">
          <cell r="L865">
            <v>485000</v>
          </cell>
          <cell r="Q865" t="str">
            <v>642vp</v>
          </cell>
          <cell r="R865" t="str">
            <v>1110</v>
          </cell>
        </row>
        <row r="866">
          <cell r="L866">
            <v>40300</v>
          </cell>
          <cell r="Q866" t="str">
            <v>1331331</v>
          </cell>
          <cell r="R866" t="str">
            <v>1110</v>
          </cell>
        </row>
        <row r="867">
          <cell r="L867">
            <v>6666667</v>
          </cell>
          <cell r="Q867" t="str">
            <v>641dl</v>
          </cell>
          <cell r="R867" t="str">
            <v>1110</v>
          </cell>
        </row>
        <row r="868">
          <cell r="L868">
            <v>300000000</v>
          </cell>
          <cell r="Q868" t="str">
            <v>112qt</v>
          </cell>
          <cell r="R868" t="str">
            <v>1110</v>
          </cell>
        </row>
        <row r="869">
          <cell r="L869">
            <v>200000000</v>
          </cell>
          <cell r="Q869" t="str">
            <v>331nthh</v>
          </cell>
          <cell r="R869" t="str">
            <v>1110</v>
          </cell>
        </row>
        <row r="870">
          <cell r="L870">
            <v>333333</v>
          </cell>
          <cell r="Q870" t="str">
            <v>1331331</v>
          </cell>
          <cell r="R870" t="str">
            <v>1110</v>
          </cell>
        </row>
        <row r="871">
          <cell r="L871">
            <v>300000000</v>
          </cell>
          <cell r="Q871" t="str">
            <v>331unimex</v>
          </cell>
          <cell r="R871" t="str">
            <v>112qt</v>
          </cell>
        </row>
        <row r="872">
          <cell r="L872">
            <v>3636</v>
          </cell>
          <cell r="Q872" t="str">
            <v>641kd</v>
          </cell>
          <cell r="R872" t="str">
            <v>112qt</v>
          </cell>
        </row>
        <row r="873">
          <cell r="L873">
            <v>364</v>
          </cell>
          <cell r="Q873" t="str">
            <v>1331331</v>
          </cell>
          <cell r="R873" t="str">
            <v>112qt</v>
          </cell>
        </row>
        <row r="874">
          <cell r="L874">
            <v>2143091</v>
          </cell>
          <cell r="Q874" t="str">
            <v>642vp</v>
          </cell>
          <cell r="R874" t="str">
            <v>1110</v>
          </cell>
        </row>
        <row r="875">
          <cell r="L875">
            <v>214309</v>
          </cell>
          <cell r="Q875" t="str">
            <v>1331331</v>
          </cell>
          <cell r="R875" t="str">
            <v>1110</v>
          </cell>
        </row>
        <row r="876">
          <cell r="L876">
            <v>55000000</v>
          </cell>
          <cell r="Q876" t="str">
            <v>331nk5</v>
          </cell>
          <cell r="R876" t="str">
            <v>1110</v>
          </cell>
        </row>
        <row r="877">
          <cell r="L877">
            <v>5000000</v>
          </cell>
          <cell r="Q877" t="str">
            <v>1110</v>
          </cell>
          <cell r="R877" t="str">
            <v>141tuên-dl</v>
          </cell>
        </row>
        <row r="878">
          <cell r="L878">
            <v>2755000</v>
          </cell>
          <cell r="Q878" t="str">
            <v>1110</v>
          </cell>
          <cell r="R878" t="str">
            <v>141dòngkt</v>
          </cell>
        </row>
        <row r="879">
          <cell r="L879">
            <v>200000</v>
          </cell>
          <cell r="Q879" t="str">
            <v>641dl</v>
          </cell>
          <cell r="R879" t="str">
            <v>1110</v>
          </cell>
        </row>
        <row r="880">
          <cell r="L880">
            <v>2727000</v>
          </cell>
          <cell r="Q880" t="str">
            <v>642tk</v>
          </cell>
          <cell r="R880" t="str">
            <v>1110</v>
          </cell>
        </row>
        <row r="881">
          <cell r="L881">
            <v>28000</v>
          </cell>
          <cell r="Q881" t="str">
            <v>1331331</v>
          </cell>
          <cell r="R881" t="str">
            <v>1110</v>
          </cell>
        </row>
        <row r="882">
          <cell r="L882">
            <v>27505825</v>
          </cell>
          <cell r="Q882" t="str">
            <v>1110</v>
          </cell>
          <cell r="R882" t="str">
            <v>131bæng</v>
          </cell>
        </row>
        <row r="883">
          <cell r="L883">
            <v>6000000</v>
          </cell>
          <cell r="Q883" t="str">
            <v>1110</v>
          </cell>
          <cell r="R883" t="str">
            <v>141tþ</v>
          </cell>
        </row>
        <row r="884">
          <cell r="L884">
            <v>3000000</v>
          </cell>
          <cell r="Q884" t="str">
            <v>641dl</v>
          </cell>
          <cell r="R884" t="str">
            <v>112cntec</v>
          </cell>
        </row>
        <row r="885">
          <cell r="L885">
            <v>22727</v>
          </cell>
          <cell r="Q885" t="str">
            <v>641kd</v>
          </cell>
          <cell r="R885" t="str">
            <v>112cntec</v>
          </cell>
        </row>
        <row r="886">
          <cell r="L886">
            <v>2273</v>
          </cell>
          <cell r="Q886" t="str">
            <v>1331331</v>
          </cell>
          <cell r="R886" t="str">
            <v>112cntec</v>
          </cell>
        </row>
        <row r="887">
          <cell r="L887">
            <v>72000000</v>
          </cell>
          <cell r="Q887" t="str">
            <v>112ct</v>
          </cell>
          <cell r="R887" t="str">
            <v>131viettra</v>
          </cell>
        </row>
        <row r="888">
          <cell r="L888">
            <v>75000000</v>
          </cell>
          <cell r="Q888" t="str">
            <v>1110</v>
          </cell>
          <cell r="R888" t="str">
            <v>131namminh</v>
          </cell>
        </row>
        <row r="889">
          <cell r="L889">
            <v>22676000</v>
          </cell>
          <cell r="Q889" t="str">
            <v>1110</v>
          </cell>
          <cell r="R889" t="str">
            <v>131vthu</v>
          </cell>
        </row>
        <row r="890">
          <cell r="L890">
            <v>88000000</v>
          </cell>
          <cell r="Q890" t="str">
            <v>1110</v>
          </cell>
          <cell r="R890" t="str">
            <v>131hïng</v>
          </cell>
        </row>
        <row r="891">
          <cell r="L891">
            <v>35000000</v>
          </cell>
          <cell r="Q891" t="str">
            <v>1110</v>
          </cell>
          <cell r="R891" t="str">
            <v>131trungkien</v>
          </cell>
        </row>
        <row r="892">
          <cell r="L892">
            <v>29000000</v>
          </cell>
          <cell r="Q892" t="str">
            <v>1110</v>
          </cell>
          <cell r="R892" t="str">
            <v>131viettra</v>
          </cell>
        </row>
        <row r="893">
          <cell r="L893">
            <v>12714000</v>
          </cell>
          <cell r="Q893" t="str">
            <v>1110</v>
          </cell>
          <cell r="R893" t="str">
            <v>131viettra</v>
          </cell>
        </row>
        <row r="894">
          <cell r="L894">
            <v>25000000</v>
          </cell>
          <cell r="Q894" t="str">
            <v>1110</v>
          </cell>
          <cell r="R894" t="str">
            <v>131hasa</v>
          </cell>
        </row>
        <row r="895">
          <cell r="L895">
            <v>31500000</v>
          </cell>
          <cell r="Q895" t="str">
            <v>1110</v>
          </cell>
          <cell r="R895" t="str">
            <v>131hïng</v>
          </cell>
        </row>
        <row r="896">
          <cell r="L896">
            <v>1000000</v>
          </cell>
          <cell r="Q896" t="str">
            <v>141h­ng</v>
          </cell>
          <cell r="R896" t="str">
            <v>1110</v>
          </cell>
        </row>
        <row r="897">
          <cell r="L897">
            <v>39858</v>
          </cell>
          <cell r="Q897" t="str">
            <v>112qt</v>
          </cell>
          <cell r="R897" t="str">
            <v>711qt</v>
          </cell>
        </row>
        <row r="898">
          <cell r="L898">
            <v>4080000</v>
          </cell>
          <cell r="Q898" t="str">
            <v>811qt</v>
          </cell>
          <cell r="R898" t="str">
            <v>112qt</v>
          </cell>
        </row>
        <row r="899">
          <cell r="L899">
            <v>381818</v>
          </cell>
          <cell r="Q899" t="str">
            <v>1110</v>
          </cell>
          <cell r="R899" t="str">
            <v>511ks</v>
          </cell>
        </row>
        <row r="900">
          <cell r="L900">
            <v>38182</v>
          </cell>
          <cell r="Q900" t="str">
            <v>1110</v>
          </cell>
          <cell r="R900" t="str">
            <v>3333331</v>
          </cell>
        </row>
        <row r="901">
          <cell r="L901">
            <v>9750000</v>
          </cell>
          <cell r="Q901" t="str">
            <v>141tþ</v>
          </cell>
          <cell r="R901" t="str">
            <v>1110</v>
          </cell>
        </row>
        <row r="902">
          <cell r="L902">
            <v>70000000</v>
          </cell>
          <cell r="Q902" t="str">
            <v>112qt</v>
          </cell>
          <cell r="R902" t="str">
            <v>1110</v>
          </cell>
        </row>
        <row r="903">
          <cell r="L903">
            <v>200000000</v>
          </cell>
          <cell r="Q903" t="str">
            <v>112tec</v>
          </cell>
          <cell r="R903" t="str">
            <v>1110</v>
          </cell>
        </row>
        <row r="904">
          <cell r="L904">
            <v>100000000</v>
          </cell>
          <cell r="Q904" t="str">
            <v>112qt</v>
          </cell>
          <cell r="R904" t="str">
            <v>1110</v>
          </cell>
        </row>
        <row r="905">
          <cell r="L905">
            <v>1000000</v>
          </cell>
          <cell r="Q905" t="str">
            <v>141ninh</v>
          </cell>
          <cell r="R905" t="str">
            <v>1110</v>
          </cell>
        </row>
        <row r="906">
          <cell r="L906">
            <v>12920000</v>
          </cell>
          <cell r="Q906" t="str">
            <v>141tþ</v>
          </cell>
          <cell r="R906" t="str">
            <v>1110</v>
          </cell>
        </row>
        <row r="907">
          <cell r="L907">
            <v>31500000</v>
          </cell>
          <cell r="Q907" t="str">
            <v>141dòngkt</v>
          </cell>
          <cell r="R907" t="str">
            <v>1110</v>
          </cell>
        </row>
        <row r="908">
          <cell r="L908">
            <v>300000</v>
          </cell>
          <cell r="Q908" t="str">
            <v>642bv</v>
          </cell>
          <cell r="R908" t="str">
            <v>1110</v>
          </cell>
        </row>
        <row r="909">
          <cell r="L909">
            <v>320000</v>
          </cell>
          <cell r="Q909" t="str">
            <v>641dl</v>
          </cell>
          <cell r="R909" t="str">
            <v>1110</v>
          </cell>
        </row>
        <row r="910">
          <cell r="L910">
            <v>32000000</v>
          </cell>
          <cell r="Q910" t="str">
            <v>1110</v>
          </cell>
          <cell r="R910" t="str">
            <v>131thanh</v>
          </cell>
        </row>
        <row r="911">
          <cell r="L911">
            <v>70000000</v>
          </cell>
          <cell r="Q911" t="str">
            <v>1110</v>
          </cell>
          <cell r="R911" t="str">
            <v>112ct</v>
          </cell>
        </row>
        <row r="912">
          <cell r="L912">
            <v>1248000</v>
          </cell>
          <cell r="Q912" t="str">
            <v>3340</v>
          </cell>
          <cell r="R912" t="str">
            <v>1110</v>
          </cell>
        </row>
        <row r="913">
          <cell r="L913">
            <v>300000</v>
          </cell>
          <cell r="Q913" t="str">
            <v>141thiöu</v>
          </cell>
          <cell r="R913" t="str">
            <v>1110</v>
          </cell>
        </row>
        <row r="914">
          <cell r="L914">
            <v>229125000</v>
          </cell>
          <cell r="Q914" t="str">
            <v>331shim</v>
          </cell>
          <cell r="R914" t="str">
            <v>112tec</v>
          </cell>
        </row>
        <row r="915">
          <cell r="L915">
            <v>103636</v>
          </cell>
          <cell r="Q915" t="str">
            <v>641kd</v>
          </cell>
          <cell r="R915" t="str">
            <v>112tec</v>
          </cell>
        </row>
        <row r="916">
          <cell r="L916">
            <v>10364</v>
          </cell>
          <cell r="Q916" t="str">
            <v>1331331</v>
          </cell>
          <cell r="R916" t="str">
            <v>112tec</v>
          </cell>
        </row>
        <row r="917">
          <cell r="L917">
            <v>33753000</v>
          </cell>
          <cell r="Q917" t="str">
            <v>112tec</v>
          </cell>
          <cell r="R917" t="str">
            <v>144</v>
          </cell>
        </row>
        <row r="918">
          <cell r="L918">
            <v>291871</v>
          </cell>
          <cell r="Q918" t="str">
            <v>641kd</v>
          </cell>
          <cell r="R918" t="str">
            <v>112qt</v>
          </cell>
        </row>
        <row r="919">
          <cell r="L919">
            <v>14346</v>
          </cell>
          <cell r="Q919" t="str">
            <v>1331331</v>
          </cell>
          <cell r="R919" t="str">
            <v>112qt</v>
          </cell>
        </row>
        <row r="920">
          <cell r="L920">
            <v>50000000</v>
          </cell>
          <cell r="Q920" t="str">
            <v>1110</v>
          </cell>
          <cell r="R920" t="str">
            <v>131hphuong</v>
          </cell>
        </row>
        <row r="921">
          <cell r="L921">
            <v>25000000</v>
          </cell>
          <cell r="Q921" t="str">
            <v>1110</v>
          </cell>
          <cell r="R921" t="str">
            <v>131hïng</v>
          </cell>
        </row>
        <row r="922">
          <cell r="L922">
            <v>2875512</v>
          </cell>
          <cell r="Q922" t="str">
            <v>1110</v>
          </cell>
          <cell r="R922" t="str">
            <v>141dòngkt</v>
          </cell>
        </row>
        <row r="923">
          <cell r="L923">
            <v>20000000</v>
          </cell>
          <cell r="Q923" t="str">
            <v>1110</v>
          </cell>
          <cell r="R923" t="str">
            <v>131hasa</v>
          </cell>
        </row>
        <row r="924">
          <cell r="L924">
            <v>17000000</v>
          </cell>
          <cell r="Q924" t="str">
            <v>1110</v>
          </cell>
          <cell r="R924" t="str">
            <v>131viettra</v>
          </cell>
        </row>
        <row r="925">
          <cell r="L925">
            <v>31500000</v>
          </cell>
          <cell r="Q925" t="str">
            <v>1110</v>
          </cell>
          <cell r="R925" t="str">
            <v>141dòngkt</v>
          </cell>
        </row>
        <row r="926">
          <cell r="L926">
            <v>127710900</v>
          </cell>
          <cell r="Q926" t="str">
            <v>1110</v>
          </cell>
          <cell r="R926" t="str">
            <v>131viettra</v>
          </cell>
        </row>
        <row r="927">
          <cell r="L927">
            <v>642465</v>
          </cell>
          <cell r="Q927" t="str">
            <v>642®t</v>
          </cell>
          <cell r="R927" t="str">
            <v>1110</v>
          </cell>
        </row>
        <row r="928">
          <cell r="L928">
            <v>64247</v>
          </cell>
          <cell r="Q928" t="str">
            <v>1331331</v>
          </cell>
          <cell r="R928" t="str">
            <v>1110</v>
          </cell>
        </row>
        <row r="929">
          <cell r="L929">
            <v>23095044</v>
          </cell>
          <cell r="Q929" t="str">
            <v>3333333</v>
          </cell>
          <cell r="R929" t="str">
            <v>1110</v>
          </cell>
        </row>
        <row r="930">
          <cell r="L930">
            <v>8083265</v>
          </cell>
          <cell r="Q930" t="str">
            <v>33333312</v>
          </cell>
          <cell r="R930" t="str">
            <v>1110</v>
          </cell>
        </row>
        <row r="931">
          <cell r="L931">
            <v>250000000</v>
          </cell>
          <cell r="Q931" t="str">
            <v>331xnkm</v>
          </cell>
          <cell r="R931" t="str">
            <v>1110</v>
          </cell>
        </row>
        <row r="932">
          <cell r="L932">
            <v>30000000</v>
          </cell>
          <cell r="Q932" t="str">
            <v>141dòngkt</v>
          </cell>
          <cell r="R932" t="str">
            <v>1110</v>
          </cell>
        </row>
        <row r="933">
          <cell r="L933">
            <v>40000000</v>
          </cell>
          <cell r="Q933" t="str">
            <v>311qt</v>
          </cell>
          <cell r="R933" t="str">
            <v>112qt</v>
          </cell>
        </row>
        <row r="934">
          <cell r="L934">
            <v>655620</v>
          </cell>
          <cell r="Q934" t="str">
            <v>1110</v>
          </cell>
          <cell r="R934" t="str">
            <v>3383383</v>
          </cell>
        </row>
        <row r="935">
          <cell r="L935">
            <v>131124</v>
          </cell>
          <cell r="Q935" t="str">
            <v>1110</v>
          </cell>
          <cell r="R935" t="str">
            <v>3383384</v>
          </cell>
        </row>
        <row r="936">
          <cell r="L936">
            <v>100000000</v>
          </cell>
          <cell r="Q936" t="str">
            <v>1110</v>
          </cell>
          <cell r="R936" t="str">
            <v>131tan</v>
          </cell>
        </row>
        <row r="937">
          <cell r="L937">
            <v>40000000</v>
          </cell>
          <cell r="Q937" t="str">
            <v>1110</v>
          </cell>
          <cell r="R937" t="str">
            <v>131hasa</v>
          </cell>
        </row>
        <row r="938">
          <cell r="L938">
            <v>10657700</v>
          </cell>
          <cell r="Q938" t="str">
            <v>3340</v>
          </cell>
          <cell r="R938" t="str">
            <v>1110</v>
          </cell>
        </row>
        <row r="939">
          <cell r="L939">
            <v>600000</v>
          </cell>
          <cell r="Q939" t="str">
            <v>642l</v>
          </cell>
          <cell r="R939" t="str">
            <v>1110</v>
          </cell>
        </row>
        <row r="940">
          <cell r="L940">
            <v>5523810</v>
          </cell>
          <cell r="Q940" t="str">
            <v>641dl</v>
          </cell>
          <cell r="R940" t="str">
            <v>1110</v>
          </cell>
        </row>
        <row r="941">
          <cell r="L941">
            <v>276190</v>
          </cell>
          <cell r="Q941" t="str">
            <v>1331331</v>
          </cell>
          <cell r="R941" t="str">
            <v>1110</v>
          </cell>
        </row>
        <row r="942">
          <cell r="L942">
            <v>6000</v>
          </cell>
          <cell r="Q942" t="str">
            <v>112cntec</v>
          </cell>
          <cell r="R942" t="str">
            <v>711cntec</v>
          </cell>
        </row>
        <row r="943">
          <cell r="L943">
            <v>90909</v>
          </cell>
          <cell r="Q943" t="str">
            <v>1110</v>
          </cell>
          <cell r="R943" t="str">
            <v>511ks</v>
          </cell>
        </row>
        <row r="944">
          <cell r="L944">
            <v>9091</v>
          </cell>
          <cell r="Q944" t="str">
            <v>1110</v>
          </cell>
          <cell r="R944" t="str">
            <v>3333331</v>
          </cell>
        </row>
        <row r="945">
          <cell r="L945">
            <v>40000000</v>
          </cell>
          <cell r="Q945" t="str">
            <v>1110</v>
          </cell>
          <cell r="R945" t="str">
            <v>131tiendung</v>
          </cell>
        </row>
        <row r="946">
          <cell r="L946">
            <v>381818</v>
          </cell>
          <cell r="Q946" t="str">
            <v>1110</v>
          </cell>
          <cell r="R946" t="str">
            <v>511ks</v>
          </cell>
        </row>
        <row r="947">
          <cell r="L947">
            <v>38182</v>
          </cell>
          <cell r="Q947" t="str">
            <v>1110</v>
          </cell>
          <cell r="R947" t="str">
            <v>3333331</v>
          </cell>
        </row>
        <row r="948">
          <cell r="L948">
            <v>200000</v>
          </cell>
          <cell r="Q948" t="str">
            <v>1110</v>
          </cell>
          <cell r="R948" t="str">
            <v>511ks</v>
          </cell>
        </row>
        <row r="949">
          <cell r="L949">
            <v>20000</v>
          </cell>
          <cell r="Q949" t="str">
            <v>1110</v>
          </cell>
          <cell r="R949" t="str">
            <v>3333331</v>
          </cell>
        </row>
        <row r="950">
          <cell r="L950">
            <v>321300</v>
          </cell>
          <cell r="Q950" t="str">
            <v>1110</v>
          </cell>
          <cell r="R950" t="str">
            <v>3383383</v>
          </cell>
        </row>
        <row r="951">
          <cell r="L951">
            <v>48195</v>
          </cell>
          <cell r="Q951" t="str">
            <v>1110</v>
          </cell>
          <cell r="R951" t="str">
            <v>3383384</v>
          </cell>
        </row>
        <row r="952">
          <cell r="L952">
            <v>10699000</v>
          </cell>
          <cell r="Q952" t="str">
            <v>1110</v>
          </cell>
          <cell r="R952" t="str">
            <v>141huy</v>
          </cell>
        </row>
        <row r="953">
          <cell r="L953">
            <v>7454545</v>
          </cell>
          <cell r="Q953" t="str">
            <v>1110</v>
          </cell>
          <cell r="R953" t="str">
            <v>511ch</v>
          </cell>
        </row>
        <row r="954">
          <cell r="L954">
            <v>745455</v>
          </cell>
          <cell r="Q954" t="str">
            <v>1110</v>
          </cell>
          <cell r="R954" t="str">
            <v>3333331</v>
          </cell>
        </row>
        <row r="955">
          <cell r="L955">
            <v>294608</v>
          </cell>
          <cell r="Q955" t="str">
            <v>1110</v>
          </cell>
          <cell r="R955" t="str">
            <v>141dòng</v>
          </cell>
        </row>
        <row r="956">
          <cell r="L956">
            <v>593840</v>
          </cell>
          <cell r="Q956" t="str">
            <v>642vp</v>
          </cell>
          <cell r="R956" t="str">
            <v>1110</v>
          </cell>
        </row>
        <row r="957">
          <cell r="L957">
            <v>59384</v>
          </cell>
          <cell r="Q957" t="str">
            <v>1331331</v>
          </cell>
          <cell r="R957" t="str">
            <v>1110</v>
          </cell>
        </row>
        <row r="958">
          <cell r="L958">
            <v>2450000</v>
          </cell>
          <cell r="Q958" t="str">
            <v>331nk5</v>
          </cell>
          <cell r="R958" t="str">
            <v>1110</v>
          </cell>
        </row>
        <row r="959">
          <cell r="L959">
            <v>9931252</v>
          </cell>
          <cell r="Q959" t="str">
            <v>641dl</v>
          </cell>
          <cell r="R959" t="str">
            <v>1110</v>
          </cell>
        </row>
        <row r="960">
          <cell r="L960">
            <v>767778</v>
          </cell>
          <cell r="Q960" t="str">
            <v>1331331</v>
          </cell>
          <cell r="R960" t="str">
            <v>1110</v>
          </cell>
        </row>
        <row r="961">
          <cell r="L961">
            <v>50000</v>
          </cell>
          <cell r="Q961" t="str">
            <v>642tk</v>
          </cell>
          <cell r="R961" t="str">
            <v>1110</v>
          </cell>
        </row>
        <row r="962">
          <cell r="L962">
            <v>529598586</v>
          </cell>
          <cell r="Q962" t="str">
            <v>3333331</v>
          </cell>
          <cell r="R962" t="str">
            <v>1331331</v>
          </cell>
        </row>
        <row r="963">
          <cell r="L963">
            <v>68604300</v>
          </cell>
          <cell r="Q963" t="str">
            <v>642l</v>
          </cell>
          <cell r="R963" t="str">
            <v>3340</v>
          </cell>
        </row>
        <row r="964">
          <cell r="L964">
            <v>12013594</v>
          </cell>
          <cell r="Q964" t="str">
            <v>642bh</v>
          </cell>
          <cell r="R964" t="str">
            <v>3383383</v>
          </cell>
        </row>
        <row r="965">
          <cell r="L965">
            <v>1601812</v>
          </cell>
          <cell r="Q965" t="str">
            <v>642bh</v>
          </cell>
          <cell r="R965" t="str">
            <v>3383384</v>
          </cell>
        </row>
        <row r="966">
          <cell r="L966">
            <v>1601812</v>
          </cell>
          <cell r="Q966" t="str">
            <v>642bh</v>
          </cell>
          <cell r="R966" t="str">
            <v>3383382</v>
          </cell>
        </row>
        <row r="967">
          <cell r="L967">
            <v>75978001</v>
          </cell>
          <cell r="Q967" t="str">
            <v>9110</v>
          </cell>
          <cell r="R967" t="str">
            <v>4210</v>
          </cell>
        </row>
        <row r="968">
          <cell r="L968">
            <v>6083748643</v>
          </cell>
          <cell r="Q968" t="str">
            <v>5110</v>
          </cell>
          <cell r="R968" t="str">
            <v>9110</v>
          </cell>
        </row>
        <row r="969">
          <cell r="L969">
            <v>5689115147</v>
          </cell>
          <cell r="Q969" t="str">
            <v>9110</v>
          </cell>
          <cell r="R969" t="str">
            <v>6320</v>
          </cell>
        </row>
        <row r="970">
          <cell r="L970">
            <v>4080000</v>
          </cell>
          <cell r="Q970" t="str">
            <v>9110</v>
          </cell>
          <cell r="R970" t="str">
            <v>8110</v>
          </cell>
        </row>
        <row r="971">
          <cell r="L971">
            <v>2225621</v>
          </cell>
          <cell r="Q971" t="str">
            <v>7110</v>
          </cell>
          <cell r="R971" t="str">
            <v>9110</v>
          </cell>
        </row>
        <row r="972">
          <cell r="L972">
            <v>28440000</v>
          </cell>
          <cell r="Q972" t="str">
            <v>1331331</v>
          </cell>
          <cell r="R972" t="str">
            <v>331tlong</v>
          </cell>
        </row>
        <row r="973">
          <cell r="L973">
            <v>19080000</v>
          </cell>
          <cell r="Q973" t="str">
            <v>1331331</v>
          </cell>
          <cell r="R973" t="str">
            <v>331nthh</v>
          </cell>
        </row>
        <row r="974">
          <cell r="L974">
            <v>8514764</v>
          </cell>
          <cell r="Q974" t="str">
            <v>1331331</v>
          </cell>
          <cell r="R974" t="str">
            <v>331hoasua</v>
          </cell>
        </row>
        <row r="975">
          <cell r="L975">
            <v>5860000</v>
          </cell>
          <cell r="Q975" t="str">
            <v>1331331</v>
          </cell>
          <cell r="R975" t="str">
            <v>331tlong</v>
          </cell>
        </row>
        <row r="976">
          <cell r="L976">
            <v>284400000</v>
          </cell>
          <cell r="Q976" t="str">
            <v xml:space="preserve">156qukk </v>
          </cell>
          <cell r="R976" t="str">
            <v>331tlong</v>
          </cell>
        </row>
        <row r="977">
          <cell r="L977">
            <v>5300000</v>
          </cell>
          <cell r="Q977" t="str">
            <v>156sutq</v>
          </cell>
          <cell r="R977" t="str">
            <v>331nthh</v>
          </cell>
        </row>
        <row r="978">
          <cell r="L978">
            <v>185500000</v>
          </cell>
          <cell r="Q978" t="str">
            <v>156facter</v>
          </cell>
          <cell r="R978" t="str">
            <v>331nthh</v>
          </cell>
        </row>
        <row r="979">
          <cell r="L979">
            <v>85147638</v>
          </cell>
          <cell r="Q979" t="str">
            <v>156bpsat</v>
          </cell>
          <cell r="R979" t="str">
            <v>331hoasua</v>
          </cell>
        </row>
        <row r="980">
          <cell r="L980">
            <v>58600000</v>
          </cell>
          <cell r="Q980" t="str">
            <v xml:space="preserve">156qukk </v>
          </cell>
          <cell r="R980" t="str">
            <v>331tlong</v>
          </cell>
        </row>
        <row r="981">
          <cell r="L981">
            <v>2887505823</v>
          </cell>
          <cell r="Q981" t="str">
            <v>632kd</v>
          </cell>
          <cell r="R981" t="str">
            <v>1560</v>
          </cell>
        </row>
        <row r="982">
          <cell r="L982">
            <v>13800000</v>
          </cell>
          <cell r="Q982" t="str">
            <v>642kh</v>
          </cell>
          <cell r="R982" t="str">
            <v>2140</v>
          </cell>
        </row>
        <row r="983">
          <cell r="L983">
            <v>550566</v>
          </cell>
          <cell r="Q983" t="str">
            <v>641kd</v>
          </cell>
          <cell r="R983" t="str">
            <v>112tec</v>
          </cell>
        </row>
        <row r="984">
          <cell r="L984">
            <v>55057</v>
          </cell>
          <cell r="Q984" t="str">
            <v>1331331</v>
          </cell>
          <cell r="R984" t="str">
            <v>112tec</v>
          </cell>
        </row>
        <row r="985">
          <cell r="L985">
            <v>44000</v>
          </cell>
          <cell r="Q985" t="str">
            <v>112tec</v>
          </cell>
          <cell r="R985" t="str">
            <v>711tec</v>
          </cell>
        </row>
        <row r="986">
          <cell r="L986">
            <v>445590</v>
          </cell>
          <cell r="Q986" t="str">
            <v>641kd</v>
          </cell>
          <cell r="R986" t="str">
            <v>112qt</v>
          </cell>
        </row>
        <row r="987">
          <cell r="L987">
            <v>128000000</v>
          </cell>
          <cell r="Q987" t="str">
            <v>144</v>
          </cell>
          <cell r="R987" t="str">
            <v>112qt</v>
          </cell>
        </row>
        <row r="988">
          <cell r="L988">
            <v>44000000</v>
          </cell>
          <cell r="Q988" t="str">
            <v>144</v>
          </cell>
          <cell r="R988" t="str">
            <v>112qt</v>
          </cell>
        </row>
        <row r="989">
          <cell r="L989">
            <v>90000000</v>
          </cell>
          <cell r="Q989" t="str">
            <v>1110</v>
          </cell>
          <cell r="R989" t="str">
            <v>131vanloi</v>
          </cell>
        </row>
        <row r="990">
          <cell r="L990">
            <v>110000000</v>
          </cell>
          <cell r="Q990" t="str">
            <v>331unimex</v>
          </cell>
          <cell r="R990" t="str">
            <v>112tec</v>
          </cell>
        </row>
        <row r="991">
          <cell r="L991">
            <v>3636</v>
          </cell>
          <cell r="Q991" t="str">
            <v>641kd</v>
          </cell>
          <cell r="R991" t="str">
            <v>112tec</v>
          </cell>
        </row>
        <row r="992">
          <cell r="L992">
            <v>364</v>
          </cell>
          <cell r="Q992" t="str">
            <v>1331331</v>
          </cell>
          <cell r="R992" t="str">
            <v>112tec</v>
          </cell>
        </row>
        <row r="993">
          <cell r="L993">
            <v>160000000</v>
          </cell>
          <cell r="Q993" t="str">
            <v>112qt</v>
          </cell>
          <cell r="R993" t="str">
            <v>144</v>
          </cell>
        </row>
        <row r="994">
          <cell r="L994">
            <v>111000000</v>
          </cell>
          <cell r="Q994" t="str">
            <v>112tec</v>
          </cell>
          <cell r="R994" t="str">
            <v>131hvu</v>
          </cell>
        </row>
        <row r="995">
          <cell r="L995">
            <v>20000</v>
          </cell>
          <cell r="Q995" t="str">
            <v>112tec</v>
          </cell>
          <cell r="R995" t="str">
            <v>711tec</v>
          </cell>
        </row>
        <row r="996">
          <cell r="L996">
            <v>148600</v>
          </cell>
          <cell r="Q996" t="str">
            <v>641kd</v>
          </cell>
          <cell r="R996" t="str">
            <v>112qt</v>
          </cell>
        </row>
        <row r="997">
          <cell r="L997">
            <v>399465</v>
          </cell>
          <cell r="Q997" t="str">
            <v>641kd</v>
          </cell>
          <cell r="R997" t="str">
            <v>112qt</v>
          </cell>
        </row>
        <row r="998">
          <cell r="L998">
            <v>39947</v>
          </cell>
          <cell r="Q998" t="str">
            <v>1331331</v>
          </cell>
          <cell r="R998" t="str">
            <v>112qt</v>
          </cell>
        </row>
        <row r="999">
          <cell r="L999">
            <v>288316</v>
          </cell>
          <cell r="Q999" t="str">
            <v>641kd</v>
          </cell>
          <cell r="R999" t="str">
            <v>112qt</v>
          </cell>
        </row>
        <row r="1000">
          <cell r="L1000">
            <v>28832</v>
          </cell>
          <cell r="Q1000" t="str">
            <v>1331331</v>
          </cell>
          <cell r="R1000" t="str">
            <v>112qt</v>
          </cell>
        </row>
        <row r="1001">
          <cell r="L1001">
            <v>158574000</v>
          </cell>
          <cell r="Q1001" t="str">
            <v>331taihei</v>
          </cell>
          <cell r="R1001" t="str">
            <v>112qt</v>
          </cell>
        </row>
        <row r="1002">
          <cell r="L1002">
            <v>25000000</v>
          </cell>
          <cell r="Q1002" t="str">
            <v>1110</v>
          </cell>
          <cell r="R1002" t="str">
            <v>131viettra</v>
          </cell>
        </row>
        <row r="1003">
          <cell r="L1003">
            <v>24083000</v>
          </cell>
          <cell r="Q1003" t="str">
            <v>1110</v>
          </cell>
          <cell r="R1003" t="str">
            <v>131viettra</v>
          </cell>
        </row>
        <row r="1004">
          <cell r="L1004">
            <v>45000000</v>
          </cell>
          <cell r="Q1004" t="str">
            <v>112qt</v>
          </cell>
          <cell r="R1004" t="str">
            <v>1110</v>
          </cell>
        </row>
        <row r="1005">
          <cell r="L1005">
            <v>420000</v>
          </cell>
          <cell r="Q1005" t="str">
            <v>642bv</v>
          </cell>
          <cell r="R1005" t="str">
            <v>1110</v>
          </cell>
        </row>
        <row r="1006">
          <cell r="L1006">
            <v>1000000</v>
          </cell>
          <cell r="Q1006" t="str">
            <v>141h­ng</v>
          </cell>
          <cell r="R1006" t="str">
            <v>1110</v>
          </cell>
        </row>
        <row r="1007">
          <cell r="L1007">
            <v>217500</v>
          </cell>
          <cell r="Q1007" t="str">
            <v>642vp</v>
          </cell>
          <cell r="R1007" t="str">
            <v>1110</v>
          </cell>
        </row>
        <row r="1008">
          <cell r="L1008">
            <v>70000000</v>
          </cell>
          <cell r="Q1008" t="str">
            <v>141thuû</v>
          </cell>
          <cell r="R1008" t="str">
            <v>1110</v>
          </cell>
        </row>
        <row r="1009">
          <cell r="L1009">
            <v>160000000</v>
          </cell>
          <cell r="Q1009" t="str">
            <v>331unimex</v>
          </cell>
          <cell r="R1009" t="str">
            <v>1110</v>
          </cell>
        </row>
        <row r="1010">
          <cell r="L1010">
            <v>52500</v>
          </cell>
          <cell r="Q1010" t="str">
            <v>642dn</v>
          </cell>
          <cell r="R1010" t="str">
            <v>1110</v>
          </cell>
        </row>
        <row r="1011">
          <cell r="L1011">
            <v>76000000</v>
          </cell>
          <cell r="Q1011" t="str">
            <v>141hoµn</v>
          </cell>
          <cell r="R1011" t="str">
            <v>112qt</v>
          </cell>
        </row>
        <row r="1012">
          <cell r="L1012">
            <v>34545</v>
          </cell>
          <cell r="Q1012" t="str">
            <v>641kd</v>
          </cell>
          <cell r="R1012" t="str">
            <v>112qt</v>
          </cell>
        </row>
        <row r="1013">
          <cell r="L1013">
            <v>3455</v>
          </cell>
          <cell r="Q1013" t="str">
            <v>1331331</v>
          </cell>
          <cell r="R1013" t="str">
            <v>112qt</v>
          </cell>
        </row>
        <row r="1014">
          <cell r="L1014">
            <v>70000000</v>
          </cell>
          <cell r="Q1014" t="str">
            <v>1110</v>
          </cell>
          <cell r="R1014" t="str">
            <v>141thuû</v>
          </cell>
        </row>
        <row r="1015">
          <cell r="L1015">
            <v>8100000</v>
          </cell>
          <cell r="Q1015" t="str">
            <v>642k</v>
          </cell>
          <cell r="R1015" t="str">
            <v>1110</v>
          </cell>
        </row>
        <row r="1016">
          <cell r="L1016">
            <v>23000000</v>
          </cell>
          <cell r="Q1016" t="str">
            <v>112qt</v>
          </cell>
          <cell r="R1016" t="str">
            <v>1110</v>
          </cell>
        </row>
        <row r="1017">
          <cell r="L1017">
            <v>151000000</v>
          </cell>
          <cell r="Q1017" t="str">
            <v>112qt</v>
          </cell>
          <cell r="R1017" t="str">
            <v>131hphuong</v>
          </cell>
        </row>
        <row r="1018">
          <cell r="L1018">
            <v>537000</v>
          </cell>
          <cell r="Q1018" t="str">
            <v>1110</v>
          </cell>
          <cell r="R1018" t="str">
            <v>131viettra</v>
          </cell>
        </row>
        <row r="1019">
          <cell r="L1019">
            <v>20000000</v>
          </cell>
          <cell r="Q1019" t="str">
            <v>1110</v>
          </cell>
          <cell r="R1019" t="str">
            <v>131vpp</v>
          </cell>
        </row>
        <row r="1020">
          <cell r="L1020">
            <v>5500000</v>
          </cell>
          <cell r="Q1020" t="str">
            <v>141tþ</v>
          </cell>
          <cell r="R1020" t="str">
            <v>1110</v>
          </cell>
        </row>
        <row r="1021">
          <cell r="L1021">
            <v>29000000</v>
          </cell>
          <cell r="Q1021" t="str">
            <v>141tþ</v>
          </cell>
          <cell r="R1021" t="str">
            <v>1110</v>
          </cell>
        </row>
        <row r="1022">
          <cell r="L1022">
            <v>785440</v>
          </cell>
          <cell r="Q1022" t="str">
            <v>641ks</v>
          </cell>
          <cell r="R1022" t="str">
            <v>1110</v>
          </cell>
        </row>
        <row r="1023">
          <cell r="L1023">
            <v>78544</v>
          </cell>
          <cell r="Q1023" t="str">
            <v>1331331</v>
          </cell>
          <cell r="R1023" t="str">
            <v>1110</v>
          </cell>
        </row>
        <row r="1024">
          <cell r="L1024">
            <v>50000000</v>
          </cell>
          <cell r="Q1024" t="str">
            <v>112qt</v>
          </cell>
          <cell r="R1024" t="str">
            <v>1110</v>
          </cell>
        </row>
        <row r="1025">
          <cell r="L1025">
            <v>50000000</v>
          </cell>
          <cell r="Q1025" t="str">
            <v>141dòngkt</v>
          </cell>
          <cell r="R1025" t="str">
            <v>1110</v>
          </cell>
        </row>
        <row r="1026">
          <cell r="L1026">
            <v>516536</v>
          </cell>
          <cell r="Q1026" t="str">
            <v>641kd</v>
          </cell>
          <cell r="R1026" t="str">
            <v>1110</v>
          </cell>
        </row>
        <row r="1027">
          <cell r="L1027">
            <v>20464</v>
          </cell>
          <cell r="Q1027" t="str">
            <v>1331331</v>
          </cell>
          <cell r="R1027" t="str">
            <v>1110</v>
          </cell>
        </row>
        <row r="1028">
          <cell r="L1028">
            <v>500000000</v>
          </cell>
          <cell r="Q1028" t="str">
            <v>331§l¾c</v>
          </cell>
          <cell r="R1028" t="str">
            <v>112qt</v>
          </cell>
        </row>
        <row r="1029">
          <cell r="L1029">
            <v>227273</v>
          </cell>
          <cell r="Q1029" t="str">
            <v>641kd</v>
          </cell>
          <cell r="R1029" t="str">
            <v>112qt</v>
          </cell>
        </row>
        <row r="1030">
          <cell r="L1030">
            <v>22727</v>
          </cell>
          <cell r="Q1030" t="str">
            <v>1331331</v>
          </cell>
          <cell r="R1030" t="str">
            <v>112qt</v>
          </cell>
        </row>
        <row r="1031">
          <cell r="L1031">
            <v>20000000</v>
          </cell>
          <cell r="Q1031" t="str">
            <v>1110</v>
          </cell>
          <cell r="R1031" t="str">
            <v>131hasa</v>
          </cell>
        </row>
        <row r="1032">
          <cell r="L1032">
            <v>25000000</v>
          </cell>
          <cell r="Q1032" t="str">
            <v>1110</v>
          </cell>
          <cell r="R1032" t="str">
            <v>131viettra</v>
          </cell>
        </row>
        <row r="1033">
          <cell r="L1033">
            <v>60000000</v>
          </cell>
          <cell r="Q1033" t="str">
            <v>112qt</v>
          </cell>
          <cell r="R1033" t="str">
            <v>1110</v>
          </cell>
        </row>
        <row r="1034">
          <cell r="L1034">
            <v>20000000</v>
          </cell>
          <cell r="Q1034" t="str">
            <v>1110</v>
          </cell>
          <cell r="R1034" t="str">
            <v>131hasa</v>
          </cell>
        </row>
        <row r="1035">
          <cell r="L1035">
            <v>20000000</v>
          </cell>
          <cell r="Q1035" t="str">
            <v>112ct</v>
          </cell>
          <cell r="R1035" t="str">
            <v>131xmls</v>
          </cell>
        </row>
        <row r="1036">
          <cell r="L1036">
            <v>32000000</v>
          </cell>
          <cell r="Q1036" t="str">
            <v>144</v>
          </cell>
          <cell r="R1036" t="str">
            <v>112qt</v>
          </cell>
        </row>
        <row r="1037">
          <cell r="L1037">
            <v>286936</v>
          </cell>
          <cell r="Q1037" t="str">
            <v>641kd</v>
          </cell>
          <cell r="R1037" t="str">
            <v>112qt</v>
          </cell>
        </row>
        <row r="1038">
          <cell r="L1038">
            <v>28694</v>
          </cell>
          <cell r="Q1038" t="str">
            <v>1331331</v>
          </cell>
          <cell r="R1038" t="str">
            <v>112qt</v>
          </cell>
        </row>
        <row r="1039">
          <cell r="L1039">
            <v>446160</v>
          </cell>
          <cell r="Q1039" t="str">
            <v>641kd</v>
          </cell>
          <cell r="R1039" t="str">
            <v>112qt</v>
          </cell>
        </row>
        <row r="1040">
          <cell r="L1040">
            <v>27000000</v>
          </cell>
          <cell r="Q1040" t="str">
            <v>144</v>
          </cell>
          <cell r="R1040" t="str">
            <v>112qt</v>
          </cell>
        </row>
        <row r="1041">
          <cell r="L1041">
            <v>237775</v>
          </cell>
          <cell r="Q1041" t="str">
            <v>641kd</v>
          </cell>
          <cell r="R1041" t="str">
            <v>112qt</v>
          </cell>
        </row>
        <row r="1042">
          <cell r="L1042">
            <v>23777</v>
          </cell>
          <cell r="Q1042" t="str">
            <v>1331331</v>
          </cell>
          <cell r="R1042" t="str">
            <v>112qt</v>
          </cell>
        </row>
        <row r="1043">
          <cell r="L1043">
            <v>446160</v>
          </cell>
          <cell r="Q1043" t="str">
            <v>641kd</v>
          </cell>
          <cell r="R1043" t="str">
            <v>112qt</v>
          </cell>
        </row>
        <row r="1044">
          <cell r="L1044">
            <v>9500000</v>
          </cell>
          <cell r="Q1044" t="str">
            <v>1110</v>
          </cell>
          <cell r="R1044" t="str">
            <v>131h­¬ng</v>
          </cell>
        </row>
        <row r="1045">
          <cell r="L1045">
            <v>50000000</v>
          </cell>
          <cell r="Q1045" t="str">
            <v>1110</v>
          </cell>
          <cell r="R1045" t="str">
            <v>131ptrinh</v>
          </cell>
        </row>
        <row r="1046">
          <cell r="L1046">
            <v>70000000</v>
          </cell>
          <cell r="Q1046" t="str">
            <v>1110</v>
          </cell>
          <cell r="R1046" t="str">
            <v>131hïng</v>
          </cell>
        </row>
        <row r="1047">
          <cell r="L1047">
            <v>30000000</v>
          </cell>
          <cell r="Q1047" t="str">
            <v>1110</v>
          </cell>
          <cell r="R1047" t="str">
            <v>131hïng</v>
          </cell>
        </row>
        <row r="1048">
          <cell r="L1048">
            <v>1872726</v>
          </cell>
          <cell r="Q1048" t="str">
            <v>1110</v>
          </cell>
          <cell r="R1048" t="str">
            <v>511ks</v>
          </cell>
        </row>
        <row r="1049">
          <cell r="L1049">
            <v>187274</v>
          </cell>
          <cell r="Q1049" t="str">
            <v>1110</v>
          </cell>
          <cell r="R1049" t="str">
            <v>3333331</v>
          </cell>
        </row>
        <row r="1050">
          <cell r="L1050">
            <v>92000000</v>
          </cell>
          <cell r="Q1050" t="str">
            <v>311qt</v>
          </cell>
          <cell r="R1050" t="str">
            <v>1110</v>
          </cell>
        </row>
        <row r="1051">
          <cell r="L1051">
            <v>31000000</v>
          </cell>
          <cell r="Q1051" t="str">
            <v>112qt</v>
          </cell>
          <cell r="R1051" t="str">
            <v>1110</v>
          </cell>
        </row>
        <row r="1052">
          <cell r="L1052">
            <v>63500</v>
          </cell>
          <cell r="Q1052" t="str">
            <v>642k</v>
          </cell>
          <cell r="R1052" t="str">
            <v>1110</v>
          </cell>
        </row>
        <row r="1053">
          <cell r="L1053">
            <v>120000</v>
          </cell>
          <cell r="Q1053" t="str">
            <v>641dl</v>
          </cell>
          <cell r="R1053" t="str">
            <v>1110</v>
          </cell>
        </row>
        <row r="1054">
          <cell r="L1054">
            <v>350000</v>
          </cell>
          <cell r="Q1054" t="str">
            <v>642k</v>
          </cell>
          <cell r="R1054" t="str">
            <v>1110</v>
          </cell>
        </row>
        <row r="1055">
          <cell r="L1055">
            <v>238000</v>
          </cell>
          <cell r="Q1055" t="str">
            <v>641dl</v>
          </cell>
          <cell r="R1055" t="str">
            <v>1110</v>
          </cell>
        </row>
        <row r="1056">
          <cell r="L1056">
            <v>31000000</v>
          </cell>
          <cell r="Q1056" t="str">
            <v>144</v>
          </cell>
          <cell r="R1056" t="str">
            <v>112qt</v>
          </cell>
        </row>
        <row r="1057">
          <cell r="L1057">
            <v>280060</v>
          </cell>
          <cell r="Q1057" t="str">
            <v>641kd</v>
          </cell>
          <cell r="R1057" t="str">
            <v>112qt</v>
          </cell>
        </row>
        <row r="1058">
          <cell r="L1058">
            <v>28006</v>
          </cell>
          <cell r="Q1058" t="str">
            <v>1331331</v>
          </cell>
          <cell r="R1058" t="str">
            <v>112qt</v>
          </cell>
        </row>
        <row r="1059">
          <cell r="L1059">
            <v>446520</v>
          </cell>
          <cell r="Q1059" t="str">
            <v>641kd</v>
          </cell>
          <cell r="R1059" t="str">
            <v>112qt</v>
          </cell>
        </row>
        <row r="1060">
          <cell r="L1060">
            <v>181818</v>
          </cell>
          <cell r="Q1060" t="str">
            <v>1110</v>
          </cell>
          <cell r="R1060" t="str">
            <v>511ks</v>
          </cell>
        </row>
        <row r="1061">
          <cell r="L1061">
            <v>18182</v>
          </cell>
          <cell r="Q1061" t="str">
            <v>1110</v>
          </cell>
          <cell r="R1061" t="str">
            <v>3333331</v>
          </cell>
        </row>
        <row r="1062">
          <cell r="L1062">
            <v>15812500</v>
          </cell>
          <cell r="Q1062" t="str">
            <v>1110</v>
          </cell>
          <cell r="R1062" t="str">
            <v>131hïng</v>
          </cell>
        </row>
        <row r="1063">
          <cell r="L1063">
            <v>15675000</v>
          </cell>
          <cell r="Q1063" t="str">
            <v>1110</v>
          </cell>
          <cell r="R1063" t="str">
            <v>131vthu</v>
          </cell>
        </row>
        <row r="1064">
          <cell r="L1064">
            <v>7000000</v>
          </cell>
          <cell r="Q1064" t="str">
            <v>1110</v>
          </cell>
          <cell r="R1064" t="str">
            <v>131tanphat</v>
          </cell>
        </row>
        <row r="1065">
          <cell r="L1065">
            <v>27848000</v>
          </cell>
          <cell r="Q1065" t="str">
            <v>1110</v>
          </cell>
          <cell r="R1065" t="str">
            <v>131hïng</v>
          </cell>
        </row>
        <row r="1066">
          <cell r="L1066">
            <v>80000000</v>
          </cell>
          <cell r="Q1066" t="str">
            <v>331xnkm</v>
          </cell>
          <cell r="R1066" t="str">
            <v>1110</v>
          </cell>
        </row>
        <row r="1067">
          <cell r="L1067">
            <v>10000000</v>
          </cell>
          <cell r="Q1067" t="str">
            <v>141tþ</v>
          </cell>
          <cell r="R1067" t="str">
            <v>1110</v>
          </cell>
        </row>
        <row r="1068">
          <cell r="L1068">
            <v>210000000</v>
          </cell>
          <cell r="Q1068" t="str">
            <v>112qt</v>
          </cell>
          <cell r="R1068" t="str">
            <v>131viettra</v>
          </cell>
        </row>
        <row r="1069">
          <cell r="L1069">
            <v>20000000</v>
          </cell>
          <cell r="Q1069" t="str">
            <v>1110</v>
          </cell>
          <cell r="R1069" t="str">
            <v>131vthu</v>
          </cell>
        </row>
        <row r="1070">
          <cell r="L1070">
            <v>20000000</v>
          </cell>
          <cell r="Q1070" t="str">
            <v>1110</v>
          </cell>
          <cell r="R1070" t="str">
            <v>131hasa</v>
          </cell>
        </row>
        <row r="1071">
          <cell r="L1071">
            <v>16000000</v>
          </cell>
          <cell r="Q1071" t="str">
            <v>141ph­¬ng</v>
          </cell>
          <cell r="R1071" t="str">
            <v>1110</v>
          </cell>
        </row>
        <row r="1072">
          <cell r="L1072">
            <v>23000000</v>
          </cell>
          <cell r="Q1072" t="str">
            <v>141tþ</v>
          </cell>
          <cell r="R1072" t="str">
            <v>1110</v>
          </cell>
        </row>
        <row r="1073">
          <cell r="L1073">
            <v>24000000</v>
          </cell>
          <cell r="Q1073" t="str">
            <v>311nk2</v>
          </cell>
          <cell r="R1073" t="str">
            <v>1110</v>
          </cell>
        </row>
        <row r="1074">
          <cell r="L1074">
            <v>19200000</v>
          </cell>
          <cell r="Q1074" t="str">
            <v>311nk2</v>
          </cell>
          <cell r="R1074" t="str">
            <v>1110</v>
          </cell>
        </row>
        <row r="1075">
          <cell r="L1075">
            <v>891250</v>
          </cell>
          <cell r="Q1075" t="str">
            <v>3383382</v>
          </cell>
          <cell r="R1075" t="str">
            <v>1110</v>
          </cell>
        </row>
        <row r="1076">
          <cell r="L1076">
            <v>150000000</v>
          </cell>
          <cell r="Q1076" t="str">
            <v>112qt</v>
          </cell>
          <cell r="R1076" t="str">
            <v>131viettra</v>
          </cell>
        </row>
        <row r="1077">
          <cell r="L1077">
            <v>100000000</v>
          </cell>
          <cell r="Q1077" t="str">
            <v>112ct</v>
          </cell>
          <cell r="R1077" t="str">
            <v>131coc6</v>
          </cell>
        </row>
        <row r="1078">
          <cell r="L1078">
            <v>463203400</v>
          </cell>
          <cell r="Q1078" t="str">
            <v>331ony</v>
          </cell>
          <cell r="R1078" t="str">
            <v>112qt</v>
          </cell>
        </row>
        <row r="1079">
          <cell r="L1079">
            <v>210547</v>
          </cell>
          <cell r="Q1079" t="str">
            <v>641kd</v>
          </cell>
          <cell r="R1079" t="str">
            <v>112qt</v>
          </cell>
        </row>
        <row r="1080">
          <cell r="L1080">
            <v>21055</v>
          </cell>
          <cell r="Q1080" t="str">
            <v>1331331</v>
          </cell>
          <cell r="R1080" t="str">
            <v>112qt</v>
          </cell>
        </row>
        <row r="1081">
          <cell r="L1081">
            <v>842188</v>
          </cell>
          <cell r="Q1081" t="str">
            <v>641kd</v>
          </cell>
          <cell r="R1081" t="str">
            <v>112qt</v>
          </cell>
        </row>
        <row r="1082">
          <cell r="L1082">
            <v>84219</v>
          </cell>
          <cell r="Q1082" t="str">
            <v>1331331</v>
          </cell>
          <cell r="R1082" t="str">
            <v>112qt</v>
          </cell>
        </row>
        <row r="1083">
          <cell r="L1083">
            <v>148940</v>
          </cell>
          <cell r="Q1083" t="str">
            <v>641kd</v>
          </cell>
          <cell r="R1083" t="str">
            <v>112qt</v>
          </cell>
        </row>
        <row r="1084">
          <cell r="L1084">
            <v>801000</v>
          </cell>
          <cell r="Q1084" t="str">
            <v>1110</v>
          </cell>
          <cell r="R1084" t="str">
            <v>141huy</v>
          </cell>
        </row>
        <row r="1085">
          <cell r="L1085">
            <v>73710</v>
          </cell>
          <cell r="Q1085" t="str">
            <v>1110</v>
          </cell>
          <cell r="R1085" t="str">
            <v>3383383</v>
          </cell>
        </row>
        <row r="1086">
          <cell r="L1086">
            <v>14742</v>
          </cell>
          <cell r="Q1086" t="str">
            <v>1110</v>
          </cell>
          <cell r="R1086" t="str">
            <v>3383384</v>
          </cell>
        </row>
        <row r="1087">
          <cell r="L1087">
            <v>24000000</v>
          </cell>
          <cell r="Q1087" t="str">
            <v>1110</v>
          </cell>
          <cell r="R1087" t="str">
            <v>112ct</v>
          </cell>
        </row>
        <row r="1088">
          <cell r="L1088">
            <v>27619049</v>
          </cell>
          <cell r="Q1088" t="str">
            <v>641dl</v>
          </cell>
          <cell r="R1088" t="str">
            <v>1110</v>
          </cell>
        </row>
        <row r="1089">
          <cell r="L1089">
            <v>1380951</v>
          </cell>
          <cell r="Q1089" t="str">
            <v>1331331</v>
          </cell>
          <cell r="R1089" t="str">
            <v>1110</v>
          </cell>
        </row>
        <row r="1090">
          <cell r="L1090">
            <v>3806311</v>
          </cell>
          <cell r="Q1090" t="str">
            <v>642®t</v>
          </cell>
          <cell r="R1090" t="str">
            <v>1110</v>
          </cell>
        </row>
        <row r="1091">
          <cell r="L1091">
            <v>380631</v>
          </cell>
          <cell r="Q1091" t="str">
            <v>1331331</v>
          </cell>
          <cell r="R1091" t="str">
            <v>1110</v>
          </cell>
        </row>
        <row r="1092">
          <cell r="L1092">
            <v>600000</v>
          </cell>
          <cell r="Q1092" t="str">
            <v>642l</v>
          </cell>
          <cell r="R1092" t="str">
            <v>1110</v>
          </cell>
        </row>
        <row r="1093">
          <cell r="L1093">
            <v>758160</v>
          </cell>
          <cell r="Q1093" t="str">
            <v>338qldd</v>
          </cell>
          <cell r="R1093" t="str">
            <v>1110</v>
          </cell>
        </row>
        <row r="1094">
          <cell r="L1094">
            <v>10550000</v>
          </cell>
          <cell r="Q1094" t="str">
            <v>3340</v>
          </cell>
          <cell r="R1094" t="str">
            <v>1110</v>
          </cell>
        </row>
        <row r="1095">
          <cell r="L1095">
            <v>1000000</v>
          </cell>
          <cell r="Q1095" t="str">
            <v>641dl</v>
          </cell>
          <cell r="R1095" t="str">
            <v>1110</v>
          </cell>
        </row>
        <row r="1096">
          <cell r="L1096">
            <v>70000000</v>
          </cell>
          <cell r="Q1096" t="str">
            <v>112qt</v>
          </cell>
          <cell r="R1096" t="str">
            <v>144</v>
          </cell>
        </row>
        <row r="1097">
          <cell r="L1097">
            <v>100000000</v>
          </cell>
          <cell r="Q1097" t="str">
            <v>1110</v>
          </cell>
          <cell r="R1097" t="str">
            <v>112ct</v>
          </cell>
        </row>
        <row r="1098">
          <cell r="L1098">
            <v>654545</v>
          </cell>
          <cell r="Q1098" t="str">
            <v>1110</v>
          </cell>
          <cell r="R1098" t="str">
            <v>511ks</v>
          </cell>
        </row>
        <row r="1099">
          <cell r="L1099">
            <v>65455</v>
          </cell>
          <cell r="Q1099" t="str">
            <v>1110</v>
          </cell>
          <cell r="R1099" t="str">
            <v>3333331</v>
          </cell>
        </row>
        <row r="1100">
          <cell r="L1100">
            <v>20000000</v>
          </cell>
          <cell r="Q1100" t="str">
            <v>1110</v>
          </cell>
          <cell r="R1100" t="str">
            <v>131hasa</v>
          </cell>
        </row>
        <row r="1101">
          <cell r="L1101">
            <v>30000000</v>
          </cell>
          <cell r="Q1101" t="str">
            <v>1110</v>
          </cell>
          <cell r="R1101" t="str">
            <v>131ptrinh</v>
          </cell>
        </row>
        <row r="1102">
          <cell r="L1102">
            <v>50000000</v>
          </cell>
          <cell r="Q1102" t="str">
            <v>1110</v>
          </cell>
          <cell r="R1102" t="str">
            <v>131hy</v>
          </cell>
        </row>
        <row r="1103">
          <cell r="L1103">
            <v>300000</v>
          </cell>
          <cell r="Q1103" t="str">
            <v>1110</v>
          </cell>
          <cell r="R1103" t="str">
            <v>141thiöu</v>
          </cell>
        </row>
        <row r="1104">
          <cell r="L1104">
            <v>24000000</v>
          </cell>
          <cell r="Q1104" t="str">
            <v>311nk2</v>
          </cell>
          <cell r="R1104" t="str">
            <v>1110</v>
          </cell>
        </row>
        <row r="1105">
          <cell r="L1105">
            <v>12000000</v>
          </cell>
          <cell r="Q1105" t="str">
            <v>311qt</v>
          </cell>
          <cell r="R1105" t="str">
            <v>1110</v>
          </cell>
        </row>
        <row r="1106">
          <cell r="L1106">
            <v>770000000</v>
          </cell>
          <cell r="Q1106" t="str">
            <v>112ct</v>
          </cell>
          <cell r="R1106" t="str">
            <v>311nk2</v>
          </cell>
        </row>
        <row r="1107">
          <cell r="L1107">
            <v>975000</v>
          </cell>
          <cell r="Q1107" t="str">
            <v>1110</v>
          </cell>
          <cell r="R1107" t="str">
            <v>141dòng</v>
          </cell>
        </row>
        <row r="1108">
          <cell r="L1108">
            <v>100000000</v>
          </cell>
          <cell r="Q1108" t="str">
            <v>1110</v>
          </cell>
          <cell r="R1108" t="str">
            <v>131vanloi</v>
          </cell>
        </row>
        <row r="1109">
          <cell r="L1109">
            <v>3334885</v>
          </cell>
          <cell r="Q1109" t="str">
            <v>1110</v>
          </cell>
          <cell r="R1109" t="str">
            <v>131viettra</v>
          </cell>
        </row>
        <row r="1110">
          <cell r="L1110">
            <v>24000000</v>
          </cell>
          <cell r="Q1110" t="str">
            <v>311nk2</v>
          </cell>
          <cell r="R1110" t="str">
            <v>1110</v>
          </cell>
        </row>
        <row r="1111">
          <cell r="L1111">
            <v>88000000</v>
          </cell>
          <cell r="Q1111" t="str">
            <v>311qt</v>
          </cell>
          <cell r="R1111" t="str">
            <v>1110</v>
          </cell>
        </row>
        <row r="1112">
          <cell r="L1112">
            <v>3173271</v>
          </cell>
          <cell r="Q1112" t="str">
            <v>641kd</v>
          </cell>
          <cell r="R1112" t="str">
            <v>1110</v>
          </cell>
        </row>
        <row r="1113">
          <cell r="L1113">
            <v>161614</v>
          </cell>
          <cell r="Q1113" t="str">
            <v>1331331</v>
          </cell>
          <cell r="R1113" t="str">
            <v>1110</v>
          </cell>
        </row>
        <row r="1114">
          <cell r="L1114">
            <v>44000000</v>
          </cell>
          <cell r="Q1114" t="str">
            <v>112qt</v>
          </cell>
          <cell r="R1114" t="str">
            <v>144</v>
          </cell>
        </row>
        <row r="1115">
          <cell r="L1115">
            <v>82000000</v>
          </cell>
          <cell r="Q1115" t="str">
            <v>331unimex</v>
          </cell>
          <cell r="R1115" t="str">
            <v>112qt</v>
          </cell>
        </row>
        <row r="1116">
          <cell r="L1116">
            <v>295748200</v>
          </cell>
          <cell r="Q1116" t="str">
            <v>331yan</v>
          </cell>
          <cell r="R1116" t="str">
            <v>112qt</v>
          </cell>
        </row>
        <row r="1117">
          <cell r="L1117">
            <v>37273</v>
          </cell>
          <cell r="Q1117" t="str">
            <v>641kd</v>
          </cell>
          <cell r="R1117" t="str">
            <v>112qt</v>
          </cell>
        </row>
        <row r="1118">
          <cell r="L1118">
            <v>3727</v>
          </cell>
          <cell r="Q1118" t="str">
            <v>1331331</v>
          </cell>
          <cell r="R1118" t="str">
            <v>112qt</v>
          </cell>
        </row>
        <row r="1119">
          <cell r="L1119">
            <v>540364</v>
          </cell>
          <cell r="Q1119" t="str">
            <v>641kd</v>
          </cell>
          <cell r="R1119" t="str">
            <v>112qt</v>
          </cell>
        </row>
        <row r="1120">
          <cell r="L1120">
            <v>54036</v>
          </cell>
          <cell r="Q1120" t="str">
            <v>1331331</v>
          </cell>
          <cell r="R1120" t="str">
            <v>112qt</v>
          </cell>
        </row>
        <row r="1121">
          <cell r="L1121">
            <v>149180</v>
          </cell>
          <cell r="Q1121" t="str">
            <v>641kd</v>
          </cell>
          <cell r="R1121" t="str">
            <v>112qt</v>
          </cell>
        </row>
        <row r="1122">
          <cell r="L1122">
            <v>30000000</v>
          </cell>
          <cell r="Q1122" t="str">
            <v>1110</v>
          </cell>
          <cell r="R1122" t="str">
            <v>131hasa</v>
          </cell>
        </row>
        <row r="1123">
          <cell r="L1123">
            <v>550000000</v>
          </cell>
          <cell r="Q1123" t="str">
            <v>1110</v>
          </cell>
          <cell r="R1123" t="str">
            <v>112ct</v>
          </cell>
        </row>
        <row r="1124">
          <cell r="L1124">
            <v>100000000</v>
          </cell>
          <cell r="Q1124" t="str">
            <v>1110</v>
          </cell>
          <cell r="R1124" t="str">
            <v>311tcçu</v>
          </cell>
        </row>
        <row r="1125">
          <cell r="L1125">
            <v>250000000</v>
          </cell>
          <cell r="Q1125" t="str">
            <v>1110</v>
          </cell>
          <cell r="R1125" t="str">
            <v>311tiõn</v>
          </cell>
        </row>
        <row r="1126">
          <cell r="L1126">
            <v>50000000</v>
          </cell>
          <cell r="Q1126" t="str">
            <v>1110</v>
          </cell>
          <cell r="R1126" t="str">
            <v>131ptrinh</v>
          </cell>
        </row>
        <row r="1127">
          <cell r="L1127">
            <v>24000000</v>
          </cell>
          <cell r="Q1127" t="str">
            <v>311nk2</v>
          </cell>
          <cell r="R1127" t="str">
            <v>1110</v>
          </cell>
        </row>
        <row r="1128">
          <cell r="L1128">
            <v>52800000</v>
          </cell>
          <cell r="Q1128" t="str">
            <v>311nk2</v>
          </cell>
          <cell r="R1128" t="str">
            <v>1110</v>
          </cell>
        </row>
        <row r="1129">
          <cell r="L1129">
            <v>100000000</v>
          </cell>
          <cell r="Q1129" t="str">
            <v>331unimex</v>
          </cell>
          <cell r="R1129" t="str">
            <v>1110</v>
          </cell>
        </row>
        <row r="1130">
          <cell r="L1130">
            <v>180000000</v>
          </cell>
          <cell r="Q1130" t="str">
            <v>331nthh</v>
          </cell>
          <cell r="R1130" t="str">
            <v>1110</v>
          </cell>
        </row>
        <row r="1131">
          <cell r="L1131">
            <v>330000000</v>
          </cell>
          <cell r="Q1131" t="str">
            <v>112qt</v>
          </cell>
          <cell r="R1131" t="str">
            <v>1110</v>
          </cell>
        </row>
        <row r="1132">
          <cell r="L1132">
            <v>45000000</v>
          </cell>
          <cell r="Q1132" t="str">
            <v>141tþ</v>
          </cell>
          <cell r="R1132" t="str">
            <v>1110</v>
          </cell>
        </row>
        <row r="1133">
          <cell r="L1133">
            <v>100000000</v>
          </cell>
          <cell r="Q1133" t="str">
            <v>112qt</v>
          </cell>
          <cell r="R1133" t="str">
            <v>1110</v>
          </cell>
        </row>
        <row r="1134">
          <cell r="L1134">
            <v>5000000</v>
          </cell>
          <cell r="Q1134" t="str">
            <v>112qt</v>
          </cell>
          <cell r="R1134" t="str">
            <v>1110</v>
          </cell>
        </row>
        <row r="1135">
          <cell r="L1135">
            <v>100000000</v>
          </cell>
          <cell r="Q1135" t="str">
            <v>311tcÇu</v>
          </cell>
          <cell r="R1135" t="str">
            <v>1110</v>
          </cell>
        </row>
        <row r="1136">
          <cell r="L1136">
            <v>250000000</v>
          </cell>
          <cell r="Q1136" t="str">
            <v>112qt</v>
          </cell>
          <cell r="R1136" t="str">
            <v>1110</v>
          </cell>
        </row>
        <row r="1137">
          <cell r="L1137">
            <v>35000000</v>
          </cell>
          <cell r="Q1137" t="str">
            <v>112qt</v>
          </cell>
          <cell r="R1137" t="str">
            <v>1110</v>
          </cell>
        </row>
        <row r="1138">
          <cell r="L1138">
            <v>50000000</v>
          </cell>
          <cell r="Q1138" t="str">
            <v>311tiÕn</v>
          </cell>
          <cell r="R1138" t="str">
            <v>1110</v>
          </cell>
        </row>
        <row r="1139">
          <cell r="L1139">
            <v>620030</v>
          </cell>
          <cell r="Q1139" t="str">
            <v>641ks</v>
          </cell>
          <cell r="R1139" t="str">
            <v>1110</v>
          </cell>
        </row>
        <row r="1140">
          <cell r="L1140">
            <v>62002</v>
          </cell>
          <cell r="Q1140" t="str">
            <v>1331331</v>
          </cell>
          <cell r="R1140" t="str">
            <v>1110</v>
          </cell>
        </row>
        <row r="1141">
          <cell r="L1141">
            <v>300000</v>
          </cell>
          <cell r="Q1141" t="str">
            <v>642vp</v>
          </cell>
          <cell r="R1141" t="str">
            <v>1110</v>
          </cell>
        </row>
        <row r="1142">
          <cell r="L1142">
            <v>30000</v>
          </cell>
          <cell r="Q1142" t="str">
            <v>1331331</v>
          </cell>
          <cell r="R1142" t="str">
            <v>1110</v>
          </cell>
        </row>
        <row r="1143">
          <cell r="L1143">
            <v>437500</v>
          </cell>
          <cell r="Q1143" t="str">
            <v>641dl</v>
          </cell>
          <cell r="R1143" t="str">
            <v>1110</v>
          </cell>
        </row>
        <row r="1144">
          <cell r="L1144">
            <v>1271350</v>
          </cell>
          <cell r="Q1144" t="str">
            <v>642vp</v>
          </cell>
          <cell r="R1144" t="str">
            <v>1110</v>
          </cell>
        </row>
        <row r="1145">
          <cell r="L1145">
            <v>127135</v>
          </cell>
          <cell r="Q1145" t="str">
            <v>1331331</v>
          </cell>
          <cell r="R1145" t="str">
            <v>1110</v>
          </cell>
        </row>
        <row r="1146">
          <cell r="L1146">
            <v>4831080</v>
          </cell>
          <cell r="Q1146" t="str">
            <v>642dn</v>
          </cell>
          <cell r="R1146" t="str">
            <v>1110</v>
          </cell>
        </row>
        <row r="1147">
          <cell r="L1147">
            <v>483108</v>
          </cell>
          <cell r="Q1147" t="str">
            <v>1331331</v>
          </cell>
          <cell r="R1147" t="str">
            <v>1110</v>
          </cell>
        </row>
        <row r="1148">
          <cell r="L1148">
            <v>220000000</v>
          </cell>
          <cell r="Q1148" t="str">
            <v>1110</v>
          </cell>
          <cell r="R1148" t="str">
            <v>112ct</v>
          </cell>
        </row>
        <row r="1149">
          <cell r="L1149">
            <v>4545000</v>
          </cell>
          <cell r="Q1149" t="str">
            <v>1110</v>
          </cell>
          <cell r="R1149" t="str">
            <v>131xd56</v>
          </cell>
        </row>
        <row r="1150">
          <cell r="L1150">
            <v>142000</v>
          </cell>
          <cell r="Q1150" t="str">
            <v>641ks</v>
          </cell>
          <cell r="R1150" t="str">
            <v>1110</v>
          </cell>
        </row>
        <row r="1151">
          <cell r="L1151">
            <v>48000000</v>
          </cell>
          <cell r="Q1151" t="str">
            <v>311nk2</v>
          </cell>
          <cell r="R1151" t="str">
            <v>1110</v>
          </cell>
        </row>
        <row r="1152">
          <cell r="L1152">
            <v>28000000</v>
          </cell>
          <cell r="Q1152" t="str">
            <v>311qt</v>
          </cell>
          <cell r="R1152" t="str">
            <v>1110</v>
          </cell>
        </row>
        <row r="1153">
          <cell r="L1153">
            <v>124500</v>
          </cell>
          <cell r="Q1153" t="str">
            <v>642vp</v>
          </cell>
          <cell r="R1153" t="str">
            <v>1110</v>
          </cell>
        </row>
        <row r="1154">
          <cell r="L1154">
            <v>40360500</v>
          </cell>
          <cell r="Q1154" t="str">
            <v>1110</v>
          </cell>
          <cell r="R1154" t="str">
            <v>131vthu</v>
          </cell>
        </row>
        <row r="1155">
          <cell r="L1155">
            <v>581818</v>
          </cell>
          <cell r="Q1155" t="str">
            <v>1110</v>
          </cell>
          <cell r="R1155" t="str">
            <v>511ks</v>
          </cell>
        </row>
        <row r="1156">
          <cell r="L1156">
            <v>58182</v>
          </cell>
          <cell r="Q1156" t="str">
            <v>1110</v>
          </cell>
          <cell r="R1156" t="str">
            <v>3333331</v>
          </cell>
        </row>
        <row r="1157">
          <cell r="L1157">
            <v>97518</v>
          </cell>
          <cell r="Q1157" t="str">
            <v>112qt</v>
          </cell>
          <cell r="R1157" t="str">
            <v>711qt</v>
          </cell>
        </row>
        <row r="1158">
          <cell r="L1158">
            <v>5799268</v>
          </cell>
          <cell r="Q1158" t="str">
            <v>811qt</v>
          </cell>
          <cell r="R1158" t="str">
            <v>112qt</v>
          </cell>
        </row>
        <row r="1159">
          <cell r="L1159">
            <v>300000</v>
          </cell>
          <cell r="Q1159" t="str">
            <v>642bv</v>
          </cell>
          <cell r="R1159" t="str">
            <v>1110</v>
          </cell>
        </row>
        <row r="1160">
          <cell r="L1160">
            <v>2111612</v>
          </cell>
          <cell r="Q1160" t="str">
            <v>642®t</v>
          </cell>
          <cell r="R1160" t="str">
            <v>1110</v>
          </cell>
        </row>
        <row r="1161">
          <cell r="L1161">
            <v>211161</v>
          </cell>
          <cell r="Q1161" t="str">
            <v>1331331</v>
          </cell>
          <cell r="R1161" t="str">
            <v>1110</v>
          </cell>
        </row>
        <row r="1162">
          <cell r="L1162">
            <v>3000000</v>
          </cell>
          <cell r="Q1162" t="str">
            <v>141tþ</v>
          </cell>
          <cell r="R1162" t="str">
            <v>1110</v>
          </cell>
        </row>
        <row r="1163">
          <cell r="L1163">
            <v>96917</v>
          </cell>
          <cell r="Q1163" t="str">
            <v>112ct</v>
          </cell>
          <cell r="R1163" t="str">
            <v>711ct</v>
          </cell>
        </row>
        <row r="1164">
          <cell r="L1164">
            <v>381818</v>
          </cell>
          <cell r="Q1164" t="str">
            <v>1110</v>
          </cell>
          <cell r="R1164" t="str">
            <v>511ks</v>
          </cell>
        </row>
        <row r="1165">
          <cell r="L1165">
            <v>38182</v>
          </cell>
          <cell r="Q1165" t="str">
            <v>1110</v>
          </cell>
          <cell r="R1165" t="str">
            <v>3333331</v>
          </cell>
        </row>
        <row r="1166">
          <cell r="L1166">
            <v>19200000</v>
          </cell>
          <cell r="Q1166" t="str">
            <v>311nk2</v>
          </cell>
          <cell r="R1166" t="str">
            <v>1110</v>
          </cell>
        </row>
        <row r="1167">
          <cell r="L1167">
            <v>200000</v>
          </cell>
          <cell r="Q1167" t="str">
            <v>642k</v>
          </cell>
          <cell r="R1167" t="str">
            <v>1110</v>
          </cell>
        </row>
        <row r="1168">
          <cell r="L1168">
            <v>80000000</v>
          </cell>
          <cell r="Q1168" t="str">
            <v>331§l¾c</v>
          </cell>
          <cell r="R1168" t="str">
            <v>112qt</v>
          </cell>
        </row>
        <row r="1169">
          <cell r="L1169">
            <v>36364</v>
          </cell>
          <cell r="Q1169" t="str">
            <v>641kd</v>
          </cell>
          <cell r="R1169" t="str">
            <v>112qt</v>
          </cell>
        </row>
        <row r="1170">
          <cell r="L1170">
            <v>3636</v>
          </cell>
          <cell r="Q1170" t="str">
            <v>1331331</v>
          </cell>
          <cell r="R1170" t="str">
            <v>112qt</v>
          </cell>
        </row>
        <row r="1171">
          <cell r="L1171">
            <v>655620</v>
          </cell>
          <cell r="Q1171" t="str">
            <v>1110</v>
          </cell>
          <cell r="R1171" t="str">
            <v>3383383</v>
          </cell>
        </row>
        <row r="1172">
          <cell r="L1172">
            <v>131124</v>
          </cell>
          <cell r="Q1172" t="str">
            <v>1110</v>
          </cell>
          <cell r="R1172" t="str">
            <v>3383384</v>
          </cell>
        </row>
        <row r="1173">
          <cell r="L1173">
            <v>100000000</v>
          </cell>
          <cell r="Q1173" t="str">
            <v>1110</v>
          </cell>
          <cell r="R1173" t="str">
            <v>131vanloi</v>
          </cell>
        </row>
        <row r="1174">
          <cell r="L1174">
            <v>10868570</v>
          </cell>
          <cell r="Q1174" t="str">
            <v>1110</v>
          </cell>
          <cell r="R1174" t="str">
            <v>131viettra</v>
          </cell>
        </row>
        <row r="1175">
          <cell r="L1175">
            <v>50000000</v>
          </cell>
          <cell r="Q1175" t="str">
            <v>1110</v>
          </cell>
          <cell r="R1175" t="str">
            <v>131tiendung</v>
          </cell>
        </row>
        <row r="1176">
          <cell r="L1176">
            <v>10607600</v>
          </cell>
          <cell r="Q1176" t="str">
            <v>3340</v>
          </cell>
          <cell r="R1176" t="str">
            <v>1110</v>
          </cell>
        </row>
        <row r="1177">
          <cell r="L1177">
            <v>600000</v>
          </cell>
          <cell r="Q1177" t="str">
            <v>642l</v>
          </cell>
          <cell r="R1177" t="str">
            <v>1110</v>
          </cell>
        </row>
        <row r="1178">
          <cell r="L1178">
            <v>102000000</v>
          </cell>
          <cell r="Q1178" t="str">
            <v>112qt</v>
          </cell>
          <cell r="R1178" t="str">
            <v>1110</v>
          </cell>
        </row>
        <row r="1179">
          <cell r="L1179">
            <v>28000000</v>
          </cell>
          <cell r="Q1179" t="str">
            <v>311qt</v>
          </cell>
          <cell r="R1179" t="str">
            <v>1110</v>
          </cell>
        </row>
        <row r="1180">
          <cell r="L1180">
            <v>10343400</v>
          </cell>
          <cell r="Q1180" t="str">
            <v>641kd</v>
          </cell>
          <cell r="R1180" t="str">
            <v>1110</v>
          </cell>
        </row>
        <row r="1181">
          <cell r="L1181">
            <v>525170</v>
          </cell>
          <cell r="Q1181" t="str">
            <v>1331331</v>
          </cell>
          <cell r="R1181" t="str">
            <v>1110</v>
          </cell>
        </row>
        <row r="1182">
          <cell r="L1182">
            <v>1500000</v>
          </cell>
          <cell r="Q1182" t="str">
            <v>642k</v>
          </cell>
          <cell r="R1182" t="str">
            <v>1110</v>
          </cell>
        </row>
        <row r="1183">
          <cell r="L1183">
            <v>1319477151</v>
          </cell>
          <cell r="Q1183" t="str">
            <v>632kd</v>
          </cell>
          <cell r="R1183" t="str">
            <v>1560</v>
          </cell>
        </row>
        <row r="1184">
          <cell r="L1184">
            <v>11272500</v>
          </cell>
          <cell r="Q1184" t="str">
            <v>3333333</v>
          </cell>
          <cell r="R1184" t="str">
            <v>112qt</v>
          </cell>
        </row>
        <row r="1185">
          <cell r="L1185">
            <v>11836125</v>
          </cell>
          <cell r="Q1185" t="str">
            <v>33333312</v>
          </cell>
          <cell r="R1185" t="str">
            <v>112qt</v>
          </cell>
        </row>
        <row r="1186">
          <cell r="L1186">
            <v>27273</v>
          </cell>
          <cell r="Q1186" t="str">
            <v>641kd</v>
          </cell>
          <cell r="R1186" t="str">
            <v>112qt</v>
          </cell>
        </row>
        <row r="1187">
          <cell r="L1187">
            <v>2727</v>
          </cell>
          <cell r="Q1187" t="str">
            <v>1331331</v>
          </cell>
          <cell r="R1187" t="str">
            <v>112qt</v>
          </cell>
        </row>
        <row r="1188">
          <cell r="L1188">
            <v>12920000</v>
          </cell>
          <cell r="Q1188" t="str">
            <v>1110</v>
          </cell>
          <cell r="R1188" t="str">
            <v>141tþ</v>
          </cell>
        </row>
        <row r="1189">
          <cell r="L1189">
            <v>357108</v>
          </cell>
          <cell r="Q1189" t="str">
            <v>1110</v>
          </cell>
          <cell r="R1189" t="str">
            <v>141dòng</v>
          </cell>
        </row>
        <row r="1190">
          <cell r="L1190">
            <v>20000000</v>
          </cell>
          <cell r="Q1190" t="str">
            <v>1110</v>
          </cell>
          <cell r="R1190" t="str">
            <v>131hïng</v>
          </cell>
        </row>
        <row r="1191">
          <cell r="L1191">
            <v>128000000</v>
          </cell>
          <cell r="Q1191" t="str">
            <v>1110</v>
          </cell>
          <cell r="R1191" t="str">
            <v>311tiõn</v>
          </cell>
        </row>
        <row r="1192">
          <cell r="L1192">
            <v>590909</v>
          </cell>
          <cell r="Q1192" t="str">
            <v>1110</v>
          </cell>
          <cell r="R1192" t="str">
            <v>511ks</v>
          </cell>
        </row>
        <row r="1193">
          <cell r="L1193">
            <v>59091</v>
          </cell>
          <cell r="Q1193" t="str">
            <v>1110</v>
          </cell>
          <cell r="R1193" t="str">
            <v>3333331</v>
          </cell>
        </row>
        <row r="1194">
          <cell r="L1194">
            <v>7454545</v>
          </cell>
          <cell r="Q1194" t="str">
            <v>1110</v>
          </cell>
          <cell r="R1194" t="str">
            <v>511ch</v>
          </cell>
        </row>
        <row r="1195">
          <cell r="L1195">
            <v>745455</v>
          </cell>
          <cell r="Q1195" t="str">
            <v>1110</v>
          </cell>
          <cell r="R1195" t="str">
            <v>3333331</v>
          </cell>
        </row>
        <row r="1196">
          <cell r="L1196">
            <v>13360000</v>
          </cell>
          <cell r="Q1196" t="str">
            <v>1110</v>
          </cell>
          <cell r="R1196" t="str">
            <v>131h­¬ng</v>
          </cell>
        </row>
        <row r="1197">
          <cell r="L1197">
            <v>27348360</v>
          </cell>
          <cell r="Q1197" t="str">
            <v>1110</v>
          </cell>
          <cell r="R1197" t="str">
            <v>131bæng</v>
          </cell>
        </row>
        <row r="1198">
          <cell r="L1198">
            <v>7000000</v>
          </cell>
          <cell r="Q1198" t="str">
            <v>141ninh</v>
          </cell>
          <cell r="R1198" t="str">
            <v>1110</v>
          </cell>
        </row>
        <row r="1199">
          <cell r="L1199">
            <v>20000000</v>
          </cell>
          <cell r="Q1199" t="str">
            <v>331nthh</v>
          </cell>
          <cell r="R1199" t="str">
            <v>1110</v>
          </cell>
        </row>
        <row r="1200">
          <cell r="L1200">
            <v>48000000</v>
          </cell>
          <cell r="Q1200" t="str">
            <v>311nk2</v>
          </cell>
          <cell r="R1200" t="str">
            <v>1110</v>
          </cell>
        </row>
        <row r="1201">
          <cell r="L1201">
            <v>14564000</v>
          </cell>
          <cell r="Q1201" t="str">
            <v>4310</v>
          </cell>
          <cell r="R1201" t="str">
            <v>1110</v>
          </cell>
        </row>
        <row r="1202">
          <cell r="L1202">
            <v>70000000</v>
          </cell>
          <cell r="Q1202" t="str">
            <v>331nthh</v>
          </cell>
          <cell r="R1202" t="str">
            <v>1110</v>
          </cell>
        </row>
        <row r="1203">
          <cell r="L1203">
            <v>8000000</v>
          </cell>
          <cell r="Q1203" t="str">
            <v>112qt</v>
          </cell>
          <cell r="R1203" t="str">
            <v>1110</v>
          </cell>
        </row>
        <row r="1204">
          <cell r="L1204">
            <v>2000000</v>
          </cell>
          <cell r="Q1204" t="str">
            <v>141ninh</v>
          </cell>
          <cell r="R1204" t="str">
            <v>1110</v>
          </cell>
        </row>
        <row r="1205">
          <cell r="L1205">
            <v>10476190</v>
          </cell>
          <cell r="Q1205" t="str">
            <v>641dl</v>
          </cell>
          <cell r="R1205" t="str">
            <v>1110</v>
          </cell>
        </row>
        <row r="1206">
          <cell r="L1206">
            <v>523810</v>
          </cell>
          <cell r="Q1206" t="str">
            <v>1331331</v>
          </cell>
          <cell r="R1206" t="str">
            <v>1110</v>
          </cell>
        </row>
        <row r="1207">
          <cell r="L1207">
            <v>53000000</v>
          </cell>
          <cell r="Q1207" t="str">
            <v>156facter</v>
          </cell>
          <cell r="R1207" t="str">
            <v>331nthh</v>
          </cell>
        </row>
        <row r="1208">
          <cell r="L1208">
            <v>5300000</v>
          </cell>
          <cell r="Q1208" t="str">
            <v>1331331</v>
          </cell>
          <cell r="R1208" t="str">
            <v>331nthh</v>
          </cell>
        </row>
        <row r="1209">
          <cell r="L1209">
            <v>37100000</v>
          </cell>
          <cell r="Q1209" t="str">
            <v>156facter</v>
          </cell>
          <cell r="R1209" t="str">
            <v>331nthh</v>
          </cell>
        </row>
        <row r="1210">
          <cell r="L1210">
            <v>222600000</v>
          </cell>
          <cell r="Q1210" t="str">
            <v xml:space="preserve">156qukk </v>
          </cell>
          <cell r="R1210" t="str">
            <v>331nthh</v>
          </cell>
        </row>
        <row r="1211">
          <cell r="L1211">
            <v>25970000</v>
          </cell>
          <cell r="Q1211" t="str">
            <v>1331331</v>
          </cell>
          <cell r="R1211" t="str">
            <v>331nthh</v>
          </cell>
        </row>
        <row r="1212">
          <cell r="L1212">
            <v>1341455</v>
          </cell>
          <cell r="Q1212" t="str">
            <v>156hutbui</v>
          </cell>
          <cell r="R1212" t="str">
            <v>331nk5</v>
          </cell>
        </row>
        <row r="1213">
          <cell r="L1213">
            <v>2572182</v>
          </cell>
          <cell r="Q1213" t="str">
            <v>156maygiat</v>
          </cell>
          <cell r="R1213" t="str">
            <v>331nk5</v>
          </cell>
        </row>
        <row r="1214">
          <cell r="L1214">
            <v>6506364</v>
          </cell>
          <cell r="Q1214" t="str">
            <v>156nhom</v>
          </cell>
          <cell r="R1214" t="str">
            <v>331nk5</v>
          </cell>
        </row>
        <row r="1215">
          <cell r="L1215">
            <v>1041999</v>
          </cell>
          <cell r="Q1215" t="str">
            <v>1331331</v>
          </cell>
          <cell r="R1215" t="str">
            <v>331nk5</v>
          </cell>
        </row>
        <row r="1216">
          <cell r="L1216">
            <v>336083651</v>
          </cell>
          <cell r="Q1216" t="str">
            <v>156thep</v>
          </cell>
          <cell r="R1216" t="str">
            <v>331tet</v>
          </cell>
        </row>
        <row r="1217">
          <cell r="L1217">
            <v>16777967</v>
          </cell>
          <cell r="Q1217" t="str">
            <v>1331331</v>
          </cell>
          <cell r="R1217" t="str">
            <v>33333312</v>
          </cell>
        </row>
        <row r="1218">
          <cell r="L1218">
            <v>158574000</v>
          </cell>
          <cell r="Q1218" t="str">
            <v>156maysan</v>
          </cell>
          <cell r="R1218" t="str">
            <v>331taihei</v>
          </cell>
        </row>
        <row r="1219">
          <cell r="L1219">
            <v>7768800</v>
          </cell>
          <cell r="Q1219" t="str">
            <v>1331331</v>
          </cell>
          <cell r="R1219" t="str">
            <v>33333312</v>
          </cell>
        </row>
        <row r="1220">
          <cell r="L1220">
            <v>229125000</v>
          </cell>
          <cell r="Q1220" t="str">
            <v>156xelu</v>
          </cell>
          <cell r="R1220" t="str">
            <v>331shim</v>
          </cell>
        </row>
        <row r="1221">
          <cell r="L1221">
            <v>11272500</v>
          </cell>
          <cell r="Q1221" t="str">
            <v>156xelu</v>
          </cell>
          <cell r="R1221" t="str">
            <v>3333333</v>
          </cell>
        </row>
        <row r="1222">
          <cell r="L1222">
            <v>11836125</v>
          </cell>
          <cell r="Q1222" t="str">
            <v>1331331</v>
          </cell>
          <cell r="R1222" t="str">
            <v>33333312</v>
          </cell>
        </row>
        <row r="1223">
          <cell r="L1223">
            <v>336604400</v>
          </cell>
          <cell r="Q1223" t="str">
            <v>156xuc</v>
          </cell>
          <cell r="R1223" t="str">
            <v>331ony</v>
          </cell>
        </row>
        <row r="1224">
          <cell r="L1224">
            <v>23136845</v>
          </cell>
          <cell r="Q1224" t="str">
            <v>1331331</v>
          </cell>
          <cell r="R1224" t="str">
            <v>33333312</v>
          </cell>
        </row>
        <row r="1225">
          <cell r="L1225">
            <v>126599000</v>
          </cell>
          <cell r="Q1225" t="str">
            <v>156xuclat</v>
          </cell>
          <cell r="R1225" t="str">
            <v>331ony</v>
          </cell>
        </row>
        <row r="1226">
          <cell r="L1226">
            <v>673336</v>
          </cell>
          <cell r="Q1226" t="str">
            <v>641kd</v>
          </cell>
          <cell r="R1226" t="str">
            <v>112cntec</v>
          </cell>
        </row>
        <row r="1227">
          <cell r="L1227">
            <v>1000</v>
          </cell>
          <cell r="Q1227" t="str">
            <v>112cntec</v>
          </cell>
          <cell r="R1227" t="str">
            <v>711cntec</v>
          </cell>
        </row>
        <row r="1228">
          <cell r="L1228">
            <v>340523</v>
          </cell>
          <cell r="Q1228" t="str">
            <v>641kd</v>
          </cell>
          <cell r="R1228" t="str">
            <v>112cntec</v>
          </cell>
        </row>
        <row r="1229">
          <cell r="L1229">
            <v>34052</v>
          </cell>
          <cell r="Q1229" t="str">
            <v>1331331</v>
          </cell>
          <cell r="R1229" t="str">
            <v>112cntec</v>
          </cell>
        </row>
        <row r="1230">
          <cell r="L1230">
            <v>32000000</v>
          </cell>
          <cell r="Q1230" t="str">
            <v>112cntec</v>
          </cell>
          <cell r="R1230" t="str">
            <v>144</v>
          </cell>
        </row>
        <row r="1231">
          <cell r="L1231">
            <v>16000000</v>
          </cell>
          <cell r="Q1231" t="str">
            <v>1110</v>
          </cell>
          <cell r="R1231" t="str">
            <v>141ph­¬ng</v>
          </cell>
        </row>
        <row r="1232">
          <cell r="L1232">
            <v>240589</v>
          </cell>
          <cell r="Q1232" t="str">
            <v>642vp</v>
          </cell>
          <cell r="R1232" t="str">
            <v>1110</v>
          </cell>
        </row>
        <row r="1233">
          <cell r="L1233">
            <v>22911</v>
          </cell>
          <cell r="Q1233" t="str">
            <v>1331331</v>
          </cell>
          <cell r="R1233" t="str">
            <v>1110</v>
          </cell>
        </row>
        <row r="1234">
          <cell r="L1234">
            <v>360000</v>
          </cell>
          <cell r="Q1234" t="str">
            <v>642bv</v>
          </cell>
          <cell r="R1234" t="str">
            <v>1110</v>
          </cell>
        </row>
        <row r="1235">
          <cell r="L1235">
            <v>57000</v>
          </cell>
          <cell r="Q1235" t="str">
            <v>642dn</v>
          </cell>
          <cell r="R1235" t="str">
            <v>1110</v>
          </cell>
        </row>
        <row r="1236">
          <cell r="L1236">
            <v>161504</v>
          </cell>
          <cell r="Q1236" t="str">
            <v>641kd</v>
          </cell>
          <cell r="R1236" t="str">
            <v>112qt</v>
          </cell>
        </row>
        <row r="1237">
          <cell r="L1237">
            <v>16150</v>
          </cell>
          <cell r="Q1237" t="str">
            <v>1331331</v>
          </cell>
          <cell r="R1237" t="str">
            <v>112qt</v>
          </cell>
        </row>
        <row r="1238">
          <cell r="L1238">
            <v>149570</v>
          </cell>
          <cell r="Q1238" t="str">
            <v>641kd</v>
          </cell>
          <cell r="R1238" t="str">
            <v>112qt</v>
          </cell>
        </row>
        <row r="1239">
          <cell r="L1239">
            <v>10000000</v>
          </cell>
          <cell r="Q1239" t="str">
            <v>141tþ</v>
          </cell>
          <cell r="R1239" t="str">
            <v>1110</v>
          </cell>
        </row>
        <row r="1240">
          <cell r="L1240">
            <v>42000000</v>
          </cell>
          <cell r="Q1240" t="str">
            <v>141tþ</v>
          </cell>
          <cell r="R1240" t="str">
            <v>1110</v>
          </cell>
        </row>
        <row r="1241">
          <cell r="L1241">
            <v>25000000</v>
          </cell>
          <cell r="Q1241" t="str">
            <v>112qt</v>
          </cell>
          <cell r="R1241" t="str">
            <v>1110</v>
          </cell>
        </row>
        <row r="1242">
          <cell r="L1242">
            <v>59000000</v>
          </cell>
          <cell r="Q1242" t="str">
            <v>112qt</v>
          </cell>
          <cell r="R1242" t="str">
            <v>131vanloi</v>
          </cell>
        </row>
        <row r="1243">
          <cell r="L1243">
            <v>115500000</v>
          </cell>
          <cell r="Q1243" t="str">
            <v>112ct</v>
          </cell>
          <cell r="R1243" t="str">
            <v>131caoson</v>
          </cell>
        </row>
        <row r="1244">
          <cell r="L1244">
            <v>8835540</v>
          </cell>
          <cell r="Q1244" t="str">
            <v>3383383</v>
          </cell>
          <cell r="R1244" t="str">
            <v>112ct</v>
          </cell>
        </row>
        <row r="1245">
          <cell r="L1245">
            <v>2000</v>
          </cell>
          <cell r="Q1245" t="str">
            <v>641kd</v>
          </cell>
          <cell r="R1245" t="str">
            <v>112ct</v>
          </cell>
        </row>
        <row r="1246">
          <cell r="L1246">
            <v>200</v>
          </cell>
          <cell r="Q1246" t="str">
            <v>1331331</v>
          </cell>
          <cell r="R1246" t="str">
            <v>112ct</v>
          </cell>
        </row>
        <row r="1247">
          <cell r="L1247">
            <v>23809524</v>
          </cell>
          <cell r="Q1247" t="str">
            <v>641kd</v>
          </cell>
          <cell r="R1247" t="str">
            <v>112qt</v>
          </cell>
        </row>
        <row r="1248">
          <cell r="L1248">
            <v>1190476</v>
          </cell>
          <cell r="Q1248" t="str">
            <v>1331331</v>
          </cell>
          <cell r="R1248" t="str">
            <v>112qt</v>
          </cell>
        </row>
        <row r="1249">
          <cell r="L1249">
            <v>3636</v>
          </cell>
          <cell r="Q1249" t="str">
            <v>641kd</v>
          </cell>
          <cell r="R1249" t="str">
            <v>112qt</v>
          </cell>
        </row>
        <row r="1250">
          <cell r="L1250">
            <v>364</v>
          </cell>
          <cell r="Q1250" t="str">
            <v>1331331</v>
          </cell>
          <cell r="R1250" t="str">
            <v>112qt</v>
          </cell>
        </row>
        <row r="1251">
          <cell r="L1251">
            <v>7873</v>
          </cell>
          <cell r="Q1251" t="str">
            <v>642vp</v>
          </cell>
          <cell r="R1251" t="str">
            <v>112qt</v>
          </cell>
        </row>
        <row r="1252">
          <cell r="L1252">
            <v>127</v>
          </cell>
          <cell r="Q1252" t="str">
            <v>1331331</v>
          </cell>
          <cell r="R1252" t="str">
            <v>112qt</v>
          </cell>
        </row>
        <row r="1253">
          <cell r="L1253">
            <v>1589690</v>
          </cell>
          <cell r="Q1253" t="str">
            <v>1110</v>
          </cell>
          <cell r="R1253" t="str">
            <v>642dn</v>
          </cell>
        </row>
        <row r="1254">
          <cell r="L1254">
            <v>46000000</v>
          </cell>
          <cell r="Q1254" t="str">
            <v>1110</v>
          </cell>
          <cell r="R1254" t="str">
            <v>112qt</v>
          </cell>
        </row>
        <row r="1255">
          <cell r="L1255">
            <v>14400000</v>
          </cell>
          <cell r="Q1255" t="str">
            <v>311nk2</v>
          </cell>
          <cell r="R1255" t="str">
            <v>1110</v>
          </cell>
        </row>
        <row r="1256">
          <cell r="L1256">
            <v>7768800</v>
          </cell>
          <cell r="Q1256" t="str">
            <v>33333312</v>
          </cell>
          <cell r="R1256" t="str">
            <v>112qt</v>
          </cell>
        </row>
        <row r="1257">
          <cell r="L1257">
            <v>27273</v>
          </cell>
          <cell r="Q1257" t="str">
            <v>641kd</v>
          </cell>
          <cell r="R1257" t="str">
            <v>112qt</v>
          </cell>
        </row>
        <row r="1258">
          <cell r="L1258">
            <v>2727</v>
          </cell>
          <cell r="Q1258" t="str">
            <v>1331331</v>
          </cell>
          <cell r="R1258" t="str">
            <v>112qt</v>
          </cell>
        </row>
        <row r="1259">
          <cell r="L1259">
            <v>20000000</v>
          </cell>
          <cell r="Q1259" t="str">
            <v>1110</v>
          </cell>
          <cell r="R1259" t="str">
            <v>112ct</v>
          </cell>
        </row>
        <row r="1260">
          <cell r="L1260">
            <v>207500</v>
          </cell>
          <cell r="Q1260" t="str">
            <v>642vp</v>
          </cell>
          <cell r="R1260" t="str">
            <v>1110</v>
          </cell>
        </row>
        <row r="1261">
          <cell r="L1261">
            <v>80000</v>
          </cell>
          <cell r="Q1261" t="str">
            <v>641dl</v>
          </cell>
          <cell r="R1261" t="str">
            <v>1110</v>
          </cell>
        </row>
        <row r="1262">
          <cell r="L1262">
            <v>350000</v>
          </cell>
          <cell r="Q1262" t="str">
            <v>642k</v>
          </cell>
          <cell r="R1262" t="str">
            <v>1110</v>
          </cell>
        </row>
        <row r="1263">
          <cell r="L1263">
            <v>52800000</v>
          </cell>
          <cell r="Q1263" t="str">
            <v>311nk2</v>
          </cell>
          <cell r="R1263" t="str">
            <v>1110</v>
          </cell>
        </row>
        <row r="1264">
          <cell r="L1264">
            <v>50000</v>
          </cell>
          <cell r="Q1264" t="str">
            <v>641ks</v>
          </cell>
          <cell r="R1264" t="str">
            <v>1110</v>
          </cell>
        </row>
        <row r="1265">
          <cell r="L1265">
            <v>160000000</v>
          </cell>
          <cell r="Q1265" t="str">
            <v>112qt</v>
          </cell>
          <cell r="R1265" t="str">
            <v>131vanloi</v>
          </cell>
        </row>
        <row r="1266">
          <cell r="L1266">
            <v>80000000</v>
          </cell>
          <cell r="Q1266" t="str">
            <v>311qt</v>
          </cell>
          <cell r="R1266" t="str">
            <v>112ct</v>
          </cell>
        </row>
        <row r="1267">
          <cell r="L1267">
            <v>2000</v>
          </cell>
          <cell r="Q1267" t="str">
            <v>641kd</v>
          </cell>
          <cell r="R1267" t="str">
            <v>112ct</v>
          </cell>
        </row>
        <row r="1268">
          <cell r="L1268">
            <v>200</v>
          </cell>
          <cell r="Q1268" t="str">
            <v>1331331</v>
          </cell>
          <cell r="R1268" t="str">
            <v>112ct</v>
          </cell>
        </row>
        <row r="1269">
          <cell r="L1269">
            <v>340228</v>
          </cell>
          <cell r="Q1269" t="str">
            <v>641kd</v>
          </cell>
          <cell r="R1269" t="str">
            <v>112qt</v>
          </cell>
        </row>
        <row r="1270">
          <cell r="L1270">
            <v>19051</v>
          </cell>
          <cell r="Q1270" t="str">
            <v>1331331</v>
          </cell>
          <cell r="R1270" t="str">
            <v>112qt</v>
          </cell>
        </row>
        <row r="1271">
          <cell r="L1271">
            <v>636210</v>
          </cell>
          <cell r="Q1271" t="str">
            <v>1110</v>
          </cell>
          <cell r="R1271" t="str">
            <v>141ninh</v>
          </cell>
        </row>
        <row r="1272">
          <cell r="L1272">
            <v>170000000</v>
          </cell>
          <cell r="Q1272" t="str">
            <v>1110</v>
          </cell>
          <cell r="R1272" t="str">
            <v>131tan</v>
          </cell>
        </row>
        <row r="1273">
          <cell r="L1273">
            <v>20000000</v>
          </cell>
          <cell r="Q1273" t="str">
            <v>1110</v>
          </cell>
          <cell r="R1273" t="str">
            <v>131hïng</v>
          </cell>
        </row>
        <row r="1274">
          <cell r="L1274">
            <v>2000000</v>
          </cell>
          <cell r="Q1274" t="str">
            <v>1110</v>
          </cell>
          <cell r="R1274" t="str">
            <v>141ninh</v>
          </cell>
        </row>
        <row r="1275">
          <cell r="L1275">
            <v>6860000</v>
          </cell>
          <cell r="Q1275" t="str">
            <v>642k</v>
          </cell>
          <cell r="R1275" t="str">
            <v>1110</v>
          </cell>
        </row>
        <row r="1276">
          <cell r="L1276">
            <v>136000000</v>
          </cell>
          <cell r="Q1276" t="str">
            <v>331nthh</v>
          </cell>
          <cell r="R1276" t="str">
            <v>1110</v>
          </cell>
        </row>
        <row r="1277">
          <cell r="L1277">
            <v>30000000</v>
          </cell>
          <cell r="Q1277" t="str">
            <v>331nthh</v>
          </cell>
          <cell r="R1277" t="str">
            <v>1110</v>
          </cell>
        </row>
        <row r="1278">
          <cell r="L1278">
            <v>636210</v>
          </cell>
          <cell r="Q1278" t="str">
            <v>641kd</v>
          </cell>
          <cell r="R1278" t="str">
            <v>1110</v>
          </cell>
        </row>
        <row r="1279">
          <cell r="L1279">
            <v>18000000</v>
          </cell>
          <cell r="Q1279" t="str">
            <v>112qt</v>
          </cell>
          <cell r="R1279" t="str">
            <v>1110</v>
          </cell>
        </row>
        <row r="1280">
          <cell r="L1280">
            <v>185000000</v>
          </cell>
          <cell r="Q1280" t="str">
            <v>331unimex</v>
          </cell>
          <cell r="R1280" t="str">
            <v>112qt</v>
          </cell>
        </row>
        <row r="1281">
          <cell r="L1281">
            <v>3636</v>
          </cell>
          <cell r="Q1281" t="str">
            <v>641kd</v>
          </cell>
          <cell r="R1281" t="str">
            <v>112qt</v>
          </cell>
        </row>
        <row r="1282">
          <cell r="L1282">
            <v>364</v>
          </cell>
          <cell r="Q1282" t="str">
            <v>1331331</v>
          </cell>
          <cell r="R1282" t="str">
            <v>112qt</v>
          </cell>
        </row>
        <row r="1283">
          <cell r="L1283">
            <v>52000000</v>
          </cell>
          <cell r="Q1283" t="str">
            <v>1110</v>
          </cell>
          <cell r="R1283" t="str">
            <v>141tþ</v>
          </cell>
        </row>
        <row r="1284">
          <cell r="L1284">
            <v>6710387</v>
          </cell>
          <cell r="Q1284" t="str">
            <v>641dl</v>
          </cell>
          <cell r="R1284" t="str">
            <v>1110</v>
          </cell>
        </row>
        <row r="1285">
          <cell r="L1285">
            <v>599613</v>
          </cell>
          <cell r="Q1285" t="str">
            <v>1331331</v>
          </cell>
          <cell r="R1285" t="str">
            <v>1110</v>
          </cell>
        </row>
        <row r="1286">
          <cell r="L1286">
            <v>20217000</v>
          </cell>
          <cell r="Q1286" t="str">
            <v>1110</v>
          </cell>
          <cell r="R1286" t="str">
            <v>131vthu</v>
          </cell>
        </row>
        <row r="1287">
          <cell r="L1287">
            <v>50000000</v>
          </cell>
          <cell r="Q1287" t="str">
            <v>1110</v>
          </cell>
          <cell r="R1287" t="str">
            <v>131hy</v>
          </cell>
        </row>
        <row r="1288">
          <cell r="L1288">
            <v>20000000</v>
          </cell>
          <cell r="Q1288" t="str">
            <v>1110</v>
          </cell>
          <cell r="R1288" t="str">
            <v>131namminh</v>
          </cell>
        </row>
        <row r="1289">
          <cell r="L1289">
            <v>9317000</v>
          </cell>
          <cell r="Q1289" t="str">
            <v>1110</v>
          </cell>
          <cell r="R1289" t="str">
            <v>131binh</v>
          </cell>
        </row>
        <row r="1290">
          <cell r="L1290">
            <v>7200000</v>
          </cell>
          <cell r="Q1290" t="str">
            <v>1110</v>
          </cell>
          <cell r="R1290" t="str">
            <v>131sxtm</v>
          </cell>
        </row>
        <row r="1291">
          <cell r="L1291">
            <v>100000000</v>
          </cell>
          <cell r="Q1291" t="str">
            <v>331unimex</v>
          </cell>
          <cell r="R1291" t="str">
            <v>1110</v>
          </cell>
        </row>
        <row r="1292">
          <cell r="L1292">
            <v>73710</v>
          </cell>
          <cell r="Q1292" t="str">
            <v>1110</v>
          </cell>
          <cell r="R1292" t="str">
            <v>3383383</v>
          </cell>
        </row>
        <row r="1293">
          <cell r="L1293">
            <v>14742</v>
          </cell>
          <cell r="Q1293" t="str">
            <v>1110</v>
          </cell>
          <cell r="R1293" t="str">
            <v>3383384</v>
          </cell>
        </row>
        <row r="1294">
          <cell r="L1294">
            <v>35000000</v>
          </cell>
          <cell r="Q1294" t="str">
            <v>1110</v>
          </cell>
          <cell r="R1294" t="str">
            <v>141hióu</v>
          </cell>
        </row>
        <row r="1295">
          <cell r="L1295">
            <v>11700000</v>
          </cell>
          <cell r="Q1295" t="str">
            <v>1110</v>
          </cell>
          <cell r="R1295" t="str">
            <v>131cuaong</v>
          </cell>
        </row>
        <row r="1296">
          <cell r="L1296">
            <v>30000000</v>
          </cell>
          <cell r="Q1296" t="str">
            <v>1110</v>
          </cell>
          <cell r="R1296" t="str">
            <v>112cntec</v>
          </cell>
        </row>
        <row r="1297">
          <cell r="L1297">
            <v>80000000</v>
          </cell>
          <cell r="Q1297" t="str">
            <v>1110</v>
          </cell>
          <cell r="R1297" t="str">
            <v>131vanloi</v>
          </cell>
        </row>
        <row r="1298">
          <cell r="L1298">
            <v>600000</v>
          </cell>
          <cell r="Q1298" t="str">
            <v>642l</v>
          </cell>
          <cell r="R1298" t="str">
            <v>1110</v>
          </cell>
        </row>
        <row r="1299">
          <cell r="L1299">
            <v>758160</v>
          </cell>
          <cell r="Q1299" t="str">
            <v>338qldd</v>
          </cell>
          <cell r="R1299" t="str">
            <v>1110</v>
          </cell>
        </row>
        <row r="1300">
          <cell r="L1300">
            <v>9935800</v>
          </cell>
          <cell r="Q1300" t="str">
            <v>3340</v>
          </cell>
          <cell r="R1300" t="str">
            <v>1110</v>
          </cell>
        </row>
        <row r="1301">
          <cell r="L1301">
            <v>33134509</v>
          </cell>
          <cell r="Q1301" t="str">
            <v>641dl</v>
          </cell>
          <cell r="R1301" t="str">
            <v>1110</v>
          </cell>
        </row>
        <row r="1302">
          <cell r="L1302">
            <v>1861561</v>
          </cell>
          <cell r="Q1302" t="str">
            <v>1331331</v>
          </cell>
          <cell r="R1302" t="str">
            <v>1110</v>
          </cell>
        </row>
        <row r="1303">
          <cell r="L1303">
            <v>6000000</v>
          </cell>
          <cell r="Q1303" t="str">
            <v>641dl</v>
          </cell>
          <cell r="R1303" t="str">
            <v>1110</v>
          </cell>
        </row>
        <row r="1304">
          <cell r="L1304">
            <v>100000000</v>
          </cell>
          <cell r="Q1304" t="str">
            <v>1110</v>
          </cell>
          <cell r="R1304" t="str">
            <v>131vanloi</v>
          </cell>
        </row>
        <row r="1305">
          <cell r="L1305">
            <v>16200000</v>
          </cell>
          <cell r="Q1305" t="str">
            <v>1110</v>
          </cell>
          <cell r="R1305" t="str">
            <v>131damai</v>
          </cell>
        </row>
        <row r="1306">
          <cell r="L1306">
            <v>1552270</v>
          </cell>
          <cell r="Q1306" t="str">
            <v>1110</v>
          </cell>
          <cell r="R1306" t="str">
            <v>511ks</v>
          </cell>
        </row>
        <row r="1307">
          <cell r="L1307">
            <v>155230</v>
          </cell>
          <cell r="Q1307" t="str">
            <v>1110</v>
          </cell>
          <cell r="R1307" t="str">
            <v>3333331</v>
          </cell>
        </row>
        <row r="1308">
          <cell r="L1308">
            <v>100000000</v>
          </cell>
          <cell r="Q1308" t="str">
            <v>1110</v>
          </cell>
          <cell r="R1308" t="str">
            <v>131vanloi</v>
          </cell>
        </row>
        <row r="1309">
          <cell r="L1309">
            <v>273000</v>
          </cell>
          <cell r="Q1309" t="str">
            <v>641kd</v>
          </cell>
          <cell r="R1309" t="str">
            <v>1110</v>
          </cell>
        </row>
        <row r="1310">
          <cell r="L1310">
            <v>110000000</v>
          </cell>
          <cell r="Q1310" t="str">
            <v>331unimex</v>
          </cell>
          <cell r="R1310" t="str">
            <v>1110</v>
          </cell>
        </row>
        <row r="1311">
          <cell r="L1311">
            <v>2769600</v>
          </cell>
          <cell r="Q1311" t="str">
            <v>642®t</v>
          </cell>
          <cell r="R1311" t="str">
            <v>1110</v>
          </cell>
        </row>
        <row r="1312">
          <cell r="L1312">
            <v>276960</v>
          </cell>
          <cell r="Q1312" t="str">
            <v>1331331</v>
          </cell>
          <cell r="R1312" t="str">
            <v>1110</v>
          </cell>
        </row>
        <row r="1313">
          <cell r="L1313">
            <v>3613234</v>
          </cell>
          <cell r="Q1313" t="str">
            <v>642®t</v>
          </cell>
          <cell r="R1313" t="str">
            <v>1110</v>
          </cell>
        </row>
        <row r="1314">
          <cell r="L1314">
            <v>361323</v>
          </cell>
          <cell r="Q1314" t="str">
            <v>1331331</v>
          </cell>
          <cell r="R1314" t="str">
            <v>1110</v>
          </cell>
        </row>
        <row r="1315">
          <cell r="L1315">
            <v>2331400</v>
          </cell>
          <cell r="Q1315" t="str">
            <v>642vp</v>
          </cell>
          <cell r="R1315" t="str">
            <v>1110</v>
          </cell>
        </row>
        <row r="1316">
          <cell r="L1316">
            <v>233140</v>
          </cell>
          <cell r="Q1316" t="str">
            <v>1331331</v>
          </cell>
          <cell r="R1316" t="str">
            <v>1110</v>
          </cell>
        </row>
        <row r="1317">
          <cell r="L1317">
            <v>17000000</v>
          </cell>
          <cell r="Q1317" t="str">
            <v>141tþ</v>
          </cell>
          <cell r="R1317" t="str">
            <v>1110</v>
          </cell>
        </row>
        <row r="1318">
          <cell r="L1318">
            <v>474182</v>
          </cell>
          <cell r="Q1318" t="str">
            <v>642vp</v>
          </cell>
          <cell r="R1318" t="str">
            <v>1110</v>
          </cell>
        </row>
        <row r="1319">
          <cell r="L1319">
            <v>31818</v>
          </cell>
          <cell r="Q1319" t="str">
            <v>1331331</v>
          </cell>
          <cell r="R1319" t="str">
            <v>1110</v>
          </cell>
        </row>
        <row r="1320">
          <cell r="L1320">
            <v>100000000</v>
          </cell>
          <cell r="Q1320" t="str">
            <v>331unimex</v>
          </cell>
          <cell r="R1320" t="str">
            <v>1110</v>
          </cell>
        </row>
        <row r="1321">
          <cell r="L1321">
            <v>100000000</v>
          </cell>
          <cell r="Q1321" t="str">
            <v>331xnkm</v>
          </cell>
          <cell r="R1321" t="str">
            <v>1110</v>
          </cell>
        </row>
        <row r="1322">
          <cell r="L1322">
            <v>15822000</v>
          </cell>
          <cell r="Q1322" t="str">
            <v>1110</v>
          </cell>
          <cell r="R1322" t="str">
            <v>131vthu</v>
          </cell>
        </row>
        <row r="1323">
          <cell r="L1323">
            <v>70000000</v>
          </cell>
          <cell r="Q1323" t="str">
            <v>1110</v>
          </cell>
          <cell r="R1323" t="str">
            <v>131hphuong</v>
          </cell>
        </row>
        <row r="1324">
          <cell r="L1324">
            <v>900000</v>
          </cell>
          <cell r="Q1324" t="str">
            <v>641dl</v>
          </cell>
          <cell r="R1324" t="str">
            <v>1110</v>
          </cell>
        </row>
        <row r="1325">
          <cell r="L1325">
            <v>100000</v>
          </cell>
          <cell r="Q1325" t="str">
            <v>641kd</v>
          </cell>
          <cell r="R1325" t="str">
            <v>1110</v>
          </cell>
        </row>
        <row r="1326">
          <cell r="L1326">
            <v>841900</v>
          </cell>
          <cell r="Q1326" t="str">
            <v>642tk</v>
          </cell>
          <cell r="R1326" t="str">
            <v>1110</v>
          </cell>
        </row>
        <row r="1327">
          <cell r="L1327">
            <v>84100</v>
          </cell>
          <cell r="Q1327" t="str">
            <v>1331331</v>
          </cell>
          <cell r="R1327" t="str">
            <v>1110</v>
          </cell>
        </row>
        <row r="1328">
          <cell r="L1328">
            <v>19200000</v>
          </cell>
          <cell r="Q1328" t="str">
            <v>311nk2</v>
          </cell>
          <cell r="R1328" t="str">
            <v>1110</v>
          </cell>
        </row>
        <row r="1329">
          <cell r="L1329">
            <v>144000000</v>
          </cell>
          <cell r="Q1329" t="str">
            <v>311nk2</v>
          </cell>
          <cell r="R1329" t="str">
            <v>1110</v>
          </cell>
        </row>
        <row r="1330">
          <cell r="L1330">
            <v>1000000</v>
          </cell>
          <cell r="Q1330" t="str">
            <v>141thuû</v>
          </cell>
          <cell r="R1330" t="str">
            <v>1110</v>
          </cell>
        </row>
        <row r="1331">
          <cell r="L1331">
            <v>2862580</v>
          </cell>
          <cell r="Q1331" t="str">
            <v>642dn</v>
          </cell>
          <cell r="R1331" t="str">
            <v>1110</v>
          </cell>
        </row>
        <row r="1332">
          <cell r="L1332">
            <v>286258</v>
          </cell>
          <cell r="Q1332" t="str">
            <v>1331331</v>
          </cell>
          <cell r="R1332" t="str">
            <v>1110</v>
          </cell>
        </row>
        <row r="1333">
          <cell r="L1333">
            <v>7200000</v>
          </cell>
          <cell r="Q1333" t="str">
            <v>1110</v>
          </cell>
          <cell r="R1333" t="str">
            <v>131coc6</v>
          </cell>
        </row>
        <row r="1334">
          <cell r="L1334">
            <v>3000000</v>
          </cell>
          <cell r="Q1334" t="str">
            <v>141h­ng</v>
          </cell>
          <cell r="R1334" t="str">
            <v>1110</v>
          </cell>
        </row>
        <row r="1335">
          <cell r="L1335">
            <v>9317000</v>
          </cell>
          <cell r="Q1335" t="str">
            <v>1110</v>
          </cell>
          <cell r="R1335" t="str">
            <v>131cthinh</v>
          </cell>
        </row>
        <row r="1336">
          <cell r="L1336">
            <v>85000000</v>
          </cell>
          <cell r="Q1336" t="str">
            <v>1110</v>
          </cell>
          <cell r="R1336" t="str">
            <v>131tan</v>
          </cell>
        </row>
        <row r="1337">
          <cell r="L1337">
            <v>6000000</v>
          </cell>
          <cell r="Q1337" t="str">
            <v>3383383</v>
          </cell>
          <cell r="R1337" t="str">
            <v>112ct</v>
          </cell>
        </row>
        <row r="1338">
          <cell r="L1338">
            <v>636363</v>
          </cell>
          <cell r="Q1338" t="str">
            <v>1110</v>
          </cell>
          <cell r="R1338" t="str">
            <v>511ks</v>
          </cell>
        </row>
        <row r="1339">
          <cell r="L1339">
            <v>63637</v>
          </cell>
          <cell r="Q1339" t="str">
            <v>1110</v>
          </cell>
          <cell r="R1339" t="str">
            <v>3333331</v>
          </cell>
        </row>
        <row r="1340">
          <cell r="L1340">
            <v>36000000</v>
          </cell>
          <cell r="Q1340" t="str">
            <v>1110</v>
          </cell>
          <cell r="R1340" t="str">
            <v>131vanloi</v>
          </cell>
        </row>
        <row r="1341">
          <cell r="L1341">
            <v>36000000</v>
          </cell>
          <cell r="Q1341" t="str">
            <v>331unimex</v>
          </cell>
          <cell r="R1341" t="str">
            <v>1110</v>
          </cell>
        </row>
        <row r="1342">
          <cell r="L1342">
            <v>1800000</v>
          </cell>
          <cell r="Q1342" t="str">
            <v>1110</v>
          </cell>
          <cell r="R1342" t="str">
            <v>131heri</v>
          </cell>
        </row>
        <row r="1343">
          <cell r="L1343">
            <v>13000000</v>
          </cell>
          <cell r="Q1343" t="str">
            <v>1110</v>
          </cell>
          <cell r="R1343" t="str">
            <v>131colimex</v>
          </cell>
        </row>
        <row r="1344">
          <cell r="L1344">
            <v>135000000</v>
          </cell>
          <cell r="Q1344" t="str">
            <v>1110</v>
          </cell>
          <cell r="R1344" t="str">
            <v>131vanloi</v>
          </cell>
        </row>
        <row r="1345">
          <cell r="L1345">
            <v>12000000</v>
          </cell>
          <cell r="Q1345" t="str">
            <v>141huy</v>
          </cell>
          <cell r="R1345" t="str">
            <v>1110</v>
          </cell>
        </row>
        <row r="1346">
          <cell r="L1346">
            <v>630000</v>
          </cell>
          <cell r="Q1346" t="str">
            <v>642tk</v>
          </cell>
          <cell r="R1346" t="str">
            <v>1110</v>
          </cell>
        </row>
        <row r="1347">
          <cell r="L1347">
            <v>63000</v>
          </cell>
          <cell r="Q1347" t="str">
            <v>1331331</v>
          </cell>
          <cell r="R1347" t="str">
            <v>1110</v>
          </cell>
        </row>
        <row r="1348">
          <cell r="L1348">
            <v>138193</v>
          </cell>
          <cell r="Q1348" t="str">
            <v>641kd</v>
          </cell>
          <cell r="R1348" t="str">
            <v>1110</v>
          </cell>
        </row>
        <row r="1349">
          <cell r="L1349">
            <v>3636</v>
          </cell>
          <cell r="Q1349" t="str">
            <v>1331331</v>
          </cell>
          <cell r="R1349" t="str">
            <v>1110</v>
          </cell>
        </row>
        <row r="1350">
          <cell r="L1350">
            <v>86000000</v>
          </cell>
          <cell r="Q1350" t="str">
            <v>331unimex</v>
          </cell>
          <cell r="R1350" t="str">
            <v>1110</v>
          </cell>
        </row>
        <row r="1351">
          <cell r="L1351">
            <v>300000</v>
          </cell>
          <cell r="Q1351" t="str">
            <v>642bv</v>
          </cell>
          <cell r="R1351" t="str">
            <v>1110</v>
          </cell>
        </row>
        <row r="1352">
          <cell r="L1352">
            <v>30016</v>
          </cell>
          <cell r="Q1352" t="str">
            <v>112ct</v>
          </cell>
          <cell r="R1352" t="str">
            <v>711ct</v>
          </cell>
        </row>
        <row r="1353">
          <cell r="L1353">
            <v>108300</v>
          </cell>
          <cell r="Q1353" t="str">
            <v>1110</v>
          </cell>
          <cell r="R1353" t="str">
            <v>141dòng</v>
          </cell>
        </row>
        <row r="1354">
          <cell r="L1354">
            <v>21411</v>
          </cell>
          <cell r="Q1354" t="str">
            <v>112qt</v>
          </cell>
          <cell r="R1354" t="str">
            <v>711qt</v>
          </cell>
        </row>
        <row r="1355">
          <cell r="L1355">
            <v>2000</v>
          </cell>
          <cell r="Q1355" t="str">
            <v>641kd</v>
          </cell>
          <cell r="R1355" t="str">
            <v>112ct</v>
          </cell>
        </row>
        <row r="1356">
          <cell r="L1356">
            <v>200</v>
          </cell>
          <cell r="Q1356" t="str">
            <v>1331331</v>
          </cell>
          <cell r="R1356" t="str">
            <v>112ct</v>
          </cell>
        </row>
        <row r="1357">
          <cell r="L1357">
            <v>181818</v>
          </cell>
          <cell r="Q1357" t="str">
            <v>1110</v>
          </cell>
          <cell r="R1357" t="str">
            <v>511ks</v>
          </cell>
        </row>
        <row r="1358">
          <cell r="L1358">
            <v>18182</v>
          </cell>
          <cell r="Q1358" t="str">
            <v>1110</v>
          </cell>
          <cell r="R1358" t="str">
            <v>3333331</v>
          </cell>
        </row>
        <row r="1359">
          <cell r="L1359">
            <v>6500000</v>
          </cell>
          <cell r="Q1359" t="str">
            <v>1110</v>
          </cell>
          <cell r="R1359" t="str">
            <v>131hïng</v>
          </cell>
        </row>
        <row r="1360">
          <cell r="L1360">
            <v>50000</v>
          </cell>
          <cell r="Q1360" t="str">
            <v>641dl</v>
          </cell>
          <cell r="R1360" t="str">
            <v>1110</v>
          </cell>
        </row>
        <row r="1361">
          <cell r="L1361">
            <v>3000000</v>
          </cell>
          <cell r="Q1361" t="str">
            <v>331unimex</v>
          </cell>
          <cell r="R1361" t="str">
            <v>1110</v>
          </cell>
        </row>
        <row r="1362">
          <cell r="L1362">
            <v>40300</v>
          </cell>
          <cell r="Q1362" t="str">
            <v>642tk</v>
          </cell>
          <cell r="R1362" t="str">
            <v>1110</v>
          </cell>
        </row>
        <row r="1363">
          <cell r="L1363">
            <v>4200000</v>
          </cell>
          <cell r="Q1363" t="str">
            <v>311nk2</v>
          </cell>
          <cell r="R1363" t="str">
            <v>1110</v>
          </cell>
        </row>
        <row r="1364">
          <cell r="L1364">
            <v>4115134</v>
          </cell>
          <cell r="Q1364" t="str">
            <v>811qt</v>
          </cell>
          <cell r="R1364" t="str">
            <v>1110</v>
          </cell>
        </row>
        <row r="1365">
          <cell r="L1365">
            <v>9000000</v>
          </cell>
          <cell r="Q1365" t="str">
            <v>112ct</v>
          </cell>
          <cell r="R1365" t="str">
            <v>131caoson</v>
          </cell>
        </row>
        <row r="1366">
          <cell r="L1366">
            <v>9000000</v>
          </cell>
          <cell r="Q1366" t="str">
            <v>1110</v>
          </cell>
          <cell r="R1366" t="str">
            <v>131cthinh</v>
          </cell>
        </row>
        <row r="1367">
          <cell r="L1367">
            <v>5500000</v>
          </cell>
          <cell r="Q1367" t="str">
            <v>1110</v>
          </cell>
          <cell r="R1367" t="str">
            <v>141tþ</v>
          </cell>
        </row>
        <row r="1368">
          <cell r="L1368">
            <v>47000000</v>
          </cell>
          <cell r="Q1368" t="str">
            <v>1110</v>
          </cell>
          <cell r="R1368" t="str">
            <v>131vanloi</v>
          </cell>
        </row>
        <row r="1369">
          <cell r="L1369">
            <v>140000</v>
          </cell>
          <cell r="Q1369" t="str">
            <v>642sc</v>
          </cell>
          <cell r="R1369" t="str">
            <v>1110</v>
          </cell>
        </row>
        <row r="1370">
          <cell r="L1370">
            <v>3772727</v>
          </cell>
          <cell r="Q1370" t="str">
            <v>641dl</v>
          </cell>
          <cell r="R1370" t="str">
            <v>1110</v>
          </cell>
        </row>
        <row r="1371">
          <cell r="L1371">
            <v>290773</v>
          </cell>
          <cell r="Q1371" t="str">
            <v>1331331</v>
          </cell>
          <cell r="R1371" t="str">
            <v>1110</v>
          </cell>
        </row>
        <row r="1372">
          <cell r="L1372">
            <v>47000000</v>
          </cell>
          <cell r="Q1372" t="str">
            <v>331unimex</v>
          </cell>
          <cell r="R1372" t="str">
            <v>1110</v>
          </cell>
        </row>
        <row r="1373">
          <cell r="L1373">
            <v>160500</v>
          </cell>
          <cell r="Q1373" t="str">
            <v>642vp</v>
          </cell>
          <cell r="R1373" t="str">
            <v>1110</v>
          </cell>
        </row>
        <row r="1374">
          <cell r="L1374">
            <v>210000000</v>
          </cell>
          <cell r="Q1374" t="str">
            <v>112ct</v>
          </cell>
          <cell r="R1374" t="str">
            <v>131deonai</v>
          </cell>
        </row>
        <row r="1375">
          <cell r="L1375">
            <v>640710</v>
          </cell>
          <cell r="Q1375" t="str">
            <v>1110</v>
          </cell>
          <cell r="R1375" t="str">
            <v>3383383</v>
          </cell>
        </row>
        <row r="1376">
          <cell r="L1376">
            <v>128142</v>
          </cell>
          <cell r="Q1376" t="str">
            <v>1110</v>
          </cell>
          <cell r="R1376" t="str">
            <v>3383384</v>
          </cell>
        </row>
        <row r="1377">
          <cell r="L1377">
            <v>130000</v>
          </cell>
          <cell r="Q1377" t="str">
            <v>1110</v>
          </cell>
          <cell r="R1377" t="str">
            <v>3340</v>
          </cell>
        </row>
        <row r="1378">
          <cell r="L1378">
            <v>10213000</v>
          </cell>
          <cell r="Q1378" t="str">
            <v>3340</v>
          </cell>
          <cell r="R1378" t="str">
            <v>1110</v>
          </cell>
        </row>
        <row r="1379">
          <cell r="L1379">
            <v>600000</v>
          </cell>
          <cell r="Q1379" t="str">
            <v>642l</v>
          </cell>
          <cell r="R1379" t="str">
            <v>1110</v>
          </cell>
        </row>
        <row r="1380">
          <cell r="L1380">
            <v>2200000</v>
          </cell>
          <cell r="Q1380" t="str">
            <v>141h­ng</v>
          </cell>
          <cell r="R1380" t="str">
            <v>1110</v>
          </cell>
        </row>
        <row r="1381">
          <cell r="L1381">
            <v>100000</v>
          </cell>
          <cell r="Q1381" t="str">
            <v>642tk</v>
          </cell>
          <cell r="R1381" t="str">
            <v>1110</v>
          </cell>
        </row>
        <row r="1382">
          <cell r="L1382">
            <v>60000</v>
          </cell>
          <cell r="Q1382" t="str">
            <v>641dl</v>
          </cell>
          <cell r="R1382" t="str">
            <v>1110</v>
          </cell>
        </row>
        <row r="1383">
          <cell r="L1383">
            <v>705551833</v>
          </cell>
          <cell r="Q1383" t="str">
            <v>632kd</v>
          </cell>
          <cell r="R1383" t="str">
            <v>1560</v>
          </cell>
        </row>
        <row r="1384">
          <cell r="L1384">
            <v>13000</v>
          </cell>
          <cell r="Q1384" t="str">
            <v>112tec</v>
          </cell>
          <cell r="R1384" t="str">
            <v>711tec</v>
          </cell>
        </row>
        <row r="1385">
          <cell r="L1385">
            <v>10000000</v>
          </cell>
          <cell r="Q1385" t="str">
            <v>1110</v>
          </cell>
          <cell r="R1385" t="str">
            <v>112ct</v>
          </cell>
        </row>
        <row r="1386">
          <cell r="L1386">
            <v>7454545</v>
          </cell>
          <cell r="Q1386" t="str">
            <v>1110</v>
          </cell>
          <cell r="R1386" t="str">
            <v>511ch</v>
          </cell>
        </row>
        <row r="1387">
          <cell r="L1387">
            <v>745455</v>
          </cell>
          <cell r="Q1387" t="str">
            <v>1110</v>
          </cell>
          <cell r="R1387" t="str">
            <v>3333331</v>
          </cell>
        </row>
        <row r="1388">
          <cell r="L1388">
            <v>12000000</v>
          </cell>
          <cell r="Q1388" t="str">
            <v>1110</v>
          </cell>
          <cell r="R1388" t="str">
            <v>131hatay</v>
          </cell>
        </row>
        <row r="1389">
          <cell r="L1389">
            <v>5500000</v>
          </cell>
          <cell r="Q1389" t="str">
            <v>141tþ</v>
          </cell>
          <cell r="R1389" t="str">
            <v>1110</v>
          </cell>
        </row>
        <row r="1390">
          <cell r="L1390">
            <v>500000</v>
          </cell>
          <cell r="Q1390" t="str">
            <v>642k</v>
          </cell>
          <cell r="R1390" t="str">
            <v>1110</v>
          </cell>
        </row>
        <row r="1391">
          <cell r="L1391">
            <v>13400000</v>
          </cell>
          <cell r="Q1391" t="str">
            <v>141dòngkt</v>
          </cell>
          <cell r="R1391" t="str">
            <v>1110</v>
          </cell>
        </row>
        <row r="1392">
          <cell r="L1392">
            <v>52000</v>
          </cell>
          <cell r="Q1392" t="str">
            <v>642dn</v>
          </cell>
          <cell r="R1392" t="str">
            <v>1110</v>
          </cell>
        </row>
        <row r="1393">
          <cell r="L1393">
            <v>11200000</v>
          </cell>
          <cell r="Q1393" t="str">
            <v>3340</v>
          </cell>
          <cell r="R1393" t="str">
            <v>1110</v>
          </cell>
        </row>
        <row r="1394">
          <cell r="L1394">
            <v>5100000</v>
          </cell>
          <cell r="Q1394" t="str">
            <v>642k</v>
          </cell>
          <cell r="R1394" t="str">
            <v>1110</v>
          </cell>
        </row>
        <row r="1395">
          <cell r="L1395">
            <v>24618000</v>
          </cell>
          <cell r="Q1395" t="str">
            <v>156than</v>
          </cell>
          <cell r="R1395" t="str">
            <v>331cuaong</v>
          </cell>
        </row>
        <row r="1396">
          <cell r="L1396">
            <v>1230900</v>
          </cell>
          <cell r="Q1396" t="str">
            <v>1331331</v>
          </cell>
          <cell r="R1396" t="str">
            <v>331cuaong</v>
          </cell>
        </row>
        <row r="1397">
          <cell r="L1397">
            <v>921512995</v>
          </cell>
          <cell r="Q1397" t="str">
            <v>156thep</v>
          </cell>
          <cell r="R1397" t="str">
            <v>331unimex</v>
          </cell>
        </row>
        <row r="1398">
          <cell r="L1398">
            <v>46075650</v>
          </cell>
          <cell r="Q1398" t="str">
            <v>1331331</v>
          </cell>
          <cell r="R1398" t="str">
            <v>331unimex</v>
          </cell>
        </row>
        <row r="1399">
          <cell r="L1399">
            <v>282000000</v>
          </cell>
          <cell r="Q1399" t="str">
            <v>156sutq</v>
          </cell>
          <cell r="R1399" t="str">
            <v>331xnkm</v>
          </cell>
        </row>
        <row r="1400">
          <cell r="L1400">
            <v>28200000</v>
          </cell>
          <cell r="Q1400" t="str">
            <v>1331331</v>
          </cell>
          <cell r="R1400" t="str">
            <v>331xnkm</v>
          </cell>
        </row>
        <row r="1401">
          <cell r="L1401">
            <v>619376562</v>
          </cell>
          <cell r="Q1401" t="str">
            <v>156v®á</v>
          </cell>
          <cell r="R1401" t="str">
            <v>331xk2</v>
          </cell>
        </row>
        <row r="1402">
          <cell r="L1402">
            <v>45470000</v>
          </cell>
          <cell r="Q1402" t="str">
            <v>1110</v>
          </cell>
          <cell r="R1402" t="str">
            <v>131tan</v>
          </cell>
        </row>
        <row r="1403">
          <cell r="L1403">
            <v>12000000</v>
          </cell>
          <cell r="Q1403" t="str">
            <v>1110</v>
          </cell>
          <cell r="R1403" t="str">
            <v>131hongai</v>
          </cell>
        </row>
        <row r="1404">
          <cell r="L1404">
            <v>36000000</v>
          </cell>
          <cell r="Q1404" t="str">
            <v>1110</v>
          </cell>
          <cell r="R1404" t="str">
            <v>131namminh</v>
          </cell>
        </row>
        <row r="1405">
          <cell r="L1405">
            <v>67200000</v>
          </cell>
          <cell r="Q1405" t="str">
            <v>311nk2</v>
          </cell>
          <cell r="R1405" t="str">
            <v>1110</v>
          </cell>
        </row>
        <row r="1406">
          <cell r="L1406">
            <v>15000000</v>
          </cell>
          <cell r="Q1406" t="str">
            <v>141tþ</v>
          </cell>
          <cell r="R1406" t="str">
            <v>1110</v>
          </cell>
        </row>
        <row r="1407">
          <cell r="L1407">
            <v>345000</v>
          </cell>
          <cell r="Q1407" t="str">
            <v>642bv</v>
          </cell>
          <cell r="R1407" t="str">
            <v>1110</v>
          </cell>
        </row>
        <row r="1408">
          <cell r="L1408">
            <v>221667</v>
          </cell>
          <cell r="Q1408" t="str">
            <v>641dl</v>
          </cell>
          <cell r="R1408" t="str">
            <v>1110</v>
          </cell>
        </row>
        <row r="1409">
          <cell r="L1409">
            <v>5333</v>
          </cell>
          <cell r="Q1409" t="str">
            <v>1331331</v>
          </cell>
          <cell r="R1409" t="str">
            <v>1110</v>
          </cell>
        </row>
        <row r="1410">
          <cell r="L1410">
            <v>350000000</v>
          </cell>
          <cell r="Q1410" t="str">
            <v>112tec</v>
          </cell>
          <cell r="R1410" t="str">
            <v>311tec</v>
          </cell>
        </row>
        <row r="1411">
          <cell r="L1411">
            <v>31000000</v>
          </cell>
          <cell r="Q1411" t="str">
            <v>112qt</v>
          </cell>
          <cell r="R1411" t="str">
            <v>144</v>
          </cell>
        </row>
        <row r="1412">
          <cell r="L1412">
            <v>217056000</v>
          </cell>
          <cell r="Q1412" t="str">
            <v>331yan</v>
          </cell>
          <cell r="R1412" t="str">
            <v>112qt</v>
          </cell>
        </row>
        <row r="1413">
          <cell r="L1413">
            <v>394647</v>
          </cell>
          <cell r="Q1413" t="str">
            <v>641kd</v>
          </cell>
          <cell r="R1413" t="str">
            <v>112qt</v>
          </cell>
        </row>
        <row r="1414">
          <cell r="L1414">
            <v>39465</v>
          </cell>
          <cell r="Q1414" t="str">
            <v>1331331</v>
          </cell>
          <cell r="R1414" t="str">
            <v>112qt</v>
          </cell>
        </row>
        <row r="1415">
          <cell r="L1415">
            <v>149990</v>
          </cell>
          <cell r="Q1415" t="str">
            <v>641kd</v>
          </cell>
          <cell r="R1415" t="str">
            <v>112qt</v>
          </cell>
        </row>
        <row r="1416">
          <cell r="L1416">
            <v>210000000</v>
          </cell>
          <cell r="Q1416" t="str">
            <v>1110</v>
          </cell>
          <cell r="R1416" t="str">
            <v>112ct</v>
          </cell>
        </row>
        <row r="1417">
          <cell r="L1417">
            <v>6700000</v>
          </cell>
          <cell r="Q1417" t="str">
            <v>1110</v>
          </cell>
          <cell r="R1417" t="str">
            <v>131h­¬ng</v>
          </cell>
        </row>
        <row r="1418">
          <cell r="L1418">
            <v>27500000</v>
          </cell>
          <cell r="Q1418" t="str">
            <v>141tþ</v>
          </cell>
          <cell r="R1418" t="str">
            <v>1110</v>
          </cell>
        </row>
        <row r="1419">
          <cell r="L1419">
            <v>210000000</v>
          </cell>
          <cell r="Q1419" t="str">
            <v>112qt</v>
          </cell>
          <cell r="R1419" t="str">
            <v>1110</v>
          </cell>
        </row>
        <row r="1420">
          <cell r="L1420">
            <v>3636</v>
          </cell>
          <cell r="Q1420" t="str">
            <v>641kd</v>
          </cell>
          <cell r="R1420" t="str">
            <v>112tec</v>
          </cell>
        </row>
        <row r="1421">
          <cell r="L1421">
            <v>364</v>
          </cell>
          <cell r="Q1421" t="str">
            <v>1331331</v>
          </cell>
          <cell r="R1421" t="str">
            <v>112tec</v>
          </cell>
        </row>
        <row r="1422">
          <cell r="L1422">
            <v>350000000</v>
          </cell>
          <cell r="Q1422" t="str">
            <v>331viettra</v>
          </cell>
          <cell r="R1422" t="str">
            <v>112tec</v>
          </cell>
        </row>
        <row r="1423">
          <cell r="L1423">
            <v>160000000</v>
          </cell>
          <cell r="Q1423" t="str">
            <v>112qt</v>
          </cell>
          <cell r="R1423" t="str">
            <v>131viettra</v>
          </cell>
        </row>
        <row r="1424">
          <cell r="L1424">
            <v>27000000</v>
          </cell>
          <cell r="Q1424" t="str">
            <v>112qt</v>
          </cell>
          <cell r="R1424" t="str">
            <v>144</v>
          </cell>
        </row>
        <row r="1425">
          <cell r="L1425">
            <v>32000000</v>
          </cell>
          <cell r="Q1425" t="str">
            <v>112qt</v>
          </cell>
          <cell r="R1425" t="str">
            <v>144</v>
          </cell>
        </row>
        <row r="1426">
          <cell r="L1426">
            <v>150020</v>
          </cell>
          <cell r="Q1426" t="str">
            <v>641kd</v>
          </cell>
          <cell r="R1426" t="str">
            <v>112qt</v>
          </cell>
        </row>
        <row r="1427">
          <cell r="L1427">
            <v>331997</v>
          </cell>
          <cell r="Q1427" t="str">
            <v>641kd</v>
          </cell>
          <cell r="R1427" t="str">
            <v>112qt</v>
          </cell>
        </row>
        <row r="1428">
          <cell r="L1428">
            <v>33200</v>
          </cell>
          <cell r="Q1428" t="str">
            <v>1331331</v>
          </cell>
          <cell r="R1428" t="str">
            <v>112qt</v>
          </cell>
        </row>
        <row r="1429">
          <cell r="L1429">
            <v>182598500</v>
          </cell>
          <cell r="Q1429" t="str">
            <v>331eikoh</v>
          </cell>
          <cell r="R1429" t="str">
            <v>112qt</v>
          </cell>
        </row>
        <row r="1430">
          <cell r="L1430">
            <v>24000000</v>
          </cell>
          <cell r="Q1430" t="str">
            <v>311qt</v>
          </cell>
          <cell r="R1430" t="str">
            <v>112qt</v>
          </cell>
        </row>
        <row r="1431">
          <cell r="L1431">
            <v>363636</v>
          </cell>
          <cell r="Q1431" t="str">
            <v>1110</v>
          </cell>
          <cell r="R1431" t="str">
            <v>511ks</v>
          </cell>
        </row>
        <row r="1432">
          <cell r="L1432">
            <v>36364</v>
          </cell>
          <cell r="Q1432" t="str">
            <v>1110</v>
          </cell>
          <cell r="R1432" t="str">
            <v>3333331</v>
          </cell>
        </row>
        <row r="1433">
          <cell r="L1433">
            <v>17000000</v>
          </cell>
          <cell r="Q1433" t="str">
            <v>1110</v>
          </cell>
          <cell r="R1433" t="str">
            <v>141tþ</v>
          </cell>
        </row>
        <row r="1434">
          <cell r="L1434">
            <v>190000000</v>
          </cell>
          <cell r="Q1434" t="str">
            <v>1110</v>
          </cell>
          <cell r="R1434" t="str">
            <v>131viettra</v>
          </cell>
        </row>
        <row r="1435">
          <cell r="L1435">
            <v>10000000</v>
          </cell>
          <cell r="Q1435" t="str">
            <v>141ninh</v>
          </cell>
          <cell r="R1435" t="str">
            <v>1110</v>
          </cell>
        </row>
        <row r="1436">
          <cell r="L1436">
            <v>950000</v>
          </cell>
          <cell r="Q1436" t="str">
            <v>641dl</v>
          </cell>
          <cell r="R1436" t="str">
            <v>1110</v>
          </cell>
        </row>
        <row r="1437">
          <cell r="L1437">
            <v>190000000</v>
          </cell>
          <cell r="Q1437" t="str">
            <v>331xnkm</v>
          </cell>
          <cell r="R1437" t="str">
            <v>1110</v>
          </cell>
        </row>
        <row r="1438">
          <cell r="L1438">
            <v>50000000</v>
          </cell>
          <cell r="Q1438" t="str">
            <v>331unimex</v>
          </cell>
          <cell r="R1438" t="str">
            <v>1110</v>
          </cell>
        </row>
        <row r="1439">
          <cell r="L1439">
            <v>4900000</v>
          </cell>
          <cell r="Q1439" t="str">
            <v>141hoµn</v>
          </cell>
          <cell r="R1439" t="str">
            <v>1110</v>
          </cell>
        </row>
        <row r="1440">
          <cell r="L1440">
            <v>252434</v>
          </cell>
          <cell r="Q1440" t="str">
            <v>642®t</v>
          </cell>
          <cell r="R1440" t="str">
            <v>1110</v>
          </cell>
        </row>
        <row r="1441">
          <cell r="L1441">
            <v>25243</v>
          </cell>
          <cell r="Q1441" t="str">
            <v>1331331</v>
          </cell>
          <cell r="R1441" t="str">
            <v>1110</v>
          </cell>
        </row>
        <row r="1442">
          <cell r="L1442">
            <v>4800000</v>
          </cell>
          <cell r="Q1442" t="str">
            <v>311nk2</v>
          </cell>
          <cell r="R1442" t="str">
            <v>1110</v>
          </cell>
        </row>
        <row r="1443">
          <cell r="L1443">
            <v>21600000</v>
          </cell>
          <cell r="Q1443" t="str">
            <v>112ct</v>
          </cell>
          <cell r="R1443" t="str">
            <v>131nuibeo</v>
          </cell>
        </row>
        <row r="1444">
          <cell r="L1444">
            <v>10000000</v>
          </cell>
          <cell r="Q1444" t="str">
            <v>1110</v>
          </cell>
          <cell r="R1444" t="str">
            <v>141ninh</v>
          </cell>
        </row>
        <row r="1445">
          <cell r="L1445">
            <v>4465000</v>
          </cell>
          <cell r="Q1445" t="str">
            <v>1110</v>
          </cell>
          <cell r="R1445" t="str">
            <v>131colimex</v>
          </cell>
        </row>
        <row r="1446">
          <cell r="L1446">
            <v>18000000</v>
          </cell>
          <cell r="Q1446" t="str">
            <v>1110</v>
          </cell>
          <cell r="R1446" t="str">
            <v>131cuaong</v>
          </cell>
        </row>
        <row r="1447">
          <cell r="L1447">
            <v>6097532</v>
          </cell>
          <cell r="Q1447" t="str">
            <v>641kd</v>
          </cell>
          <cell r="R1447" t="str">
            <v>1110</v>
          </cell>
        </row>
        <row r="1448">
          <cell r="L1448">
            <v>77420</v>
          </cell>
          <cell r="Q1448" t="str">
            <v>1331331</v>
          </cell>
          <cell r="R1448" t="str">
            <v>1110</v>
          </cell>
        </row>
        <row r="1449">
          <cell r="L1449">
            <v>150000</v>
          </cell>
          <cell r="Q1449" t="str">
            <v>642sc</v>
          </cell>
          <cell r="R1449" t="str">
            <v>1110</v>
          </cell>
        </row>
        <row r="1450">
          <cell r="L1450">
            <v>3000000</v>
          </cell>
          <cell r="Q1450" t="str">
            <v>141l©m</v>
          </cell>
          <cell r="R1450" t="str">
            <v>1110</v>
          </cell>
        </row>
        <row r="1451">
          <cell r="L1451">
            <v>15000000</v>
          </cell>
          <cell r="Q1451" t="str">
            <v>311nk2</v>
          </cell>
          <cell r="R1451" t="str">
            <v>1110</v>
          </cell>
        </row>
        <row r="1452">
          <cell r="L1452">
            <v>436363</v>
          </cell>
          <cell r="Q1452" t="str">
            <v>1110</v>
          </cell>
          <cell r="R1452" t="str">
            <v>511ks</v>
          </cell>
        </row>
        <row r="1453">
          <cell r="L1453">
            <v>43637</v>
          </cell>
          <cell r="Q1453" t="str">
            <v>1110</v>
          </cell>
          <cell r="R1453" t="str">
            <v>3333331</v>
          </cell>
        </row>
        <row r="1454">
          <cell r="L1454">
            <v>16578000</v>
          </cell>
          <cell r="Q1454" t="str">
            <v>1110</v>
          </cell>
          <cell r="R1454" t="str">
            <v>131colimex</v>
          </cell>
        </row>
        <row r="1455">
          <cell r="L1455">
            <v>100000000</v>
          </cell>
          <cell r="Q1455" t="str">
            <v>1110</v>
          </cell>
          <cell r="R1455" t="str">
            <v>131tloc</v>
          </cell>
        </row>
        <row r="1456">
          <cell r="L1456">
            <v>350000</v>
          </cell>
          <cell r="Q1456" t="str">
            <v>642k</v>
          </cell>
          <cell r="R1456" t="str">
            <v>1110</v>
          </cell>
        </row>
        <row r="1457">
          <cell r="L1457">
            <v>15750000</v>
          </cell>
          <cell r="Q1457" t="str">
            <v>331nthh</v>
          </cell>
          <cell r="R1457" t="str">
            <v>1110</v>
          </cell>
        </row>
        <row r="1458">
          <cell r="L1458">
            <v>500000000</v>
          </cell>
          <cell r="Q1458" t="str">
            <v>331unimex</v>
          </cell>
          <cell r="R1458" t="str">
            <v>112tec</v>
          </cell>
        </row>
        <row r="1459">
          <cell r="L1459">
            <v>3636</v>
          </cell>
          <cell r="Q1459" t="str">
            <v>641kd</v>
          </cell>
          <cell r="R1459" t="str">
            <v>112tec</v>
          </cell>
        </row>
        <row r="1460">
          <cell r="L1460">
            <v>364</v>
          </cell>
          <cell r="Q1460" t="str">
            <v>1331331</v>
          </cell>
          <cell r="R1460" t="str">
            <v>112tec</v>
          </cell>
        </row>
        <row r="1461">
          <cell r="L1461">
            <v>500000000</v>
          </cell>
          <cell r="Q1461" t="str">
            <v>112tec</v>
          </cell>
          <cell r="R1461" t="str">
            <v>311tec</v>
          </cell>
        </row>
        <row r="1462">
          <cell r="L1462">
            <v>21600000</v>
          </cell>
          <cell r="Q1462" t="str">
            <v>112qt</v>
          </cell>
          <cell r="R1462" t="str">
            <v>131doluong</v>
          </cell>
        </row>
        <row r="1463">
          <cell r="L1463">
            <v>48000000</v>
          </cell>
          <cell r="Q1463" t="str">
            <v>311qt</v>
          </cell>
          <cell r="R1463" t="str">
            <v>112qt</v>
          </cell>
        </row>
        <row r="1464">
          <cell r="L1464">
            <v>12000000</v>
          </cell>
          <cell r="Q1464" t="str">
            <v>1110</v>
          </cell>
          <cell r="R1464" t="str">
            <v>141huy</v>
          </cell>
        </row>
        <row r="1465">
          <cell r="L1465">
            <v>272727</v>
          </cell>
          <cell r="Q1465" t="str">
            <v>1110</v>
          </cell>
          <cell r="R1465" t="str">
            <v>511ks</v>
          </cell>
        </row>
        <row r="1466">
          <cell r="L1466">
            <v>27273</v>
          </cell>
          <cell r="Q1466" t="str">
            <v>1110</v>
          </cell>
          <cell r="R1466" t="str">
            <v>3333331</v>
          </cell>
        </row>
        <row r="1467">
          <cell r="L1467">
            <v>12000000</v>
          </cell>
          <cell r="Q1467" t="str">
            <v>112qt</v>
          </cell>
          <cell r="R1467" t="str">
            <v>1110</v>
          </cell>
        </row>
        <row r="1468">
          <cell r="L1468">
            <v>48000000</v>
          </cell>
          <cell r="Q1468" t="str">
            <v>311nk2</v>
          </cell>
          <cell r="R1468" t="str">
            <v>1110</v>
          </cell>
        </row>
        <row r="1469">
          <cell r="L1469">
            <v>28450910</v>
          </cell>
          <cell r="Q1469" t="str">
            <v>641dl</v>
          </cell>
          <cell r="R1469" t="str">
            <v>1110</v>
          </cell>
        </row>
        <row r="1470">
          <cell r="L1470">
            <v>2845090</v>
          </cell>
          <cell r="Q1470" t="str">
            <v>1331331</v>
          </cell>
          <cell r="R1470" t="str">
            <v>1110</v>
          </cell>
        </row>
        <row r="1471">
          <cell r="L1471">
            <v>1876101</v>
          </cell>
          <cell r="Q1471" t="str">
            <v>642®t</v>
          </cell>
          <cell r="R1471" t="str">
            <v>1110</v>
          </cell>
        </row>
        <row r="1472">
          <cell r="L1472">
            <v>187610</v>
          </cell>
          <cell r="Q1472" t="str">
            <v>1331331</v>
          </cell>
          <cell r="R1472" t="str">
            <v>1110</v>
          </cell>
        </row>
        <row r="1473">
          <cell r="L1473">
            <v>25000000</v>
          </cell>
          <cell r="Q1473" t="str">
            <v>1110</v>
          </cell>
          <cell r="R1473" t="str">
            <v>131hïng</v>
          </cell>
        </row>
        <row r="1474">
          <cell r="L1474">
            <v>25000000</v>
          </cell>
          <cell r="Q1474" t="str">
            <v>1110</v>
          </cell>
          <cell r="R1474" t="str">
            <v>131tan</v>
          </cell>
        </row>
        <row r="1475">
          <cell r="L1475">
            <v>952381</v>
          </cell>
          <cell r="Q1475" t="str">
            <v>642ct</v>
          </cell>
          <cell r="R1475" t="str">
            <v>1110</v>
          </cell>
        </row>
        <row r="1476">
          <cell r="L1476">
            <v>47619</v>
          </cell>
          <cell r="Q1476" t="str">
            <v>1331331</v>
          </cell>
          <cell r="R1476" t="str">
            <v>1110</v>
          </cell>
        </row>
        <row r="1477">
          <cell r="L1477">
            <v>50000000</v>
          </cell>
          <cell r="Q1477" t="str">
            <v>1110</v>
          </cell>
          <cell r="R1477" t="str">
            <v>131tloc</v>
          </cell>
        </row>
        <row r="1478">
          <cell r="L1478">
            <v>10033800</v>
          </cell>
          <cell r="Q1478" t="str">
            <v>3340</v>
          </cell>
          <cell r="R1478" t="str">
            <v>1110</v>
          </cell>
        </row>
        <row r="1479">
          <cell r="L1479">
            <v>600000</v>
          </cell>
          <cell r="Q1479" t="str">
            <v>642l</v>
          </cell>
          <cell r="R1479" t="str">
            <v>1110</v>
          </cell>
        </row>
        <row r="1480">
          <cell r="L1480">
            <v>758160</v>
          </cell>
          <cell r="Q1480" t="str">
            <v>338qldd</v>
          </cell>
          <cell r="R1480" t="str">
            <v>1110</v>
          </cell>
        </row>
        <row r="1481">
          <cell r="L1481">
            <v>38000000</v>
          </cell>
          <cell r="Q1481" t="str">
            <v>141h­ng</v>
          </cell>
          <cell r="R1481" t="str">
            <v>1110</v>
          </cell>
        </row>
        <row r="1482">
          <cell r="L1482">
            <v>38000000</v>
          </cell>
          <cell r="Q1482" t="str">
            <v>1110</v>
          </cell>
          <cell r="R1482" t="str">
            <v>141h­ng</v>
          </cell>
        </row>
        <row r="1483">
          <cell r="L1483">
            <v>73710</v>
          </cell>
          <cell r="Q1483" t="str">
            <v>1110</v>
          </cell>
          <cell r="R1483" t="str">
            <v>3383383</v>
          </cell>
        </row>
        <row r="1484">
          <cell r="L1484">
            <v>14742</v>
          </cell>
          <cell r="Q1484" t="str">
            <v>1110</v>
          </cell>
          <cell r="R1484" t="str">
            <v>3383384</v>
          </cell>
        </row>
        <row r="1485">
          <cell r="L1485">
            <v>37472925</v>
          </cell>
          <cell r="Q1485" t="str">
            <v>33333312</v>
          </cell>
          <cell r="R1485" t="str">
            <v>1110</v>
          </cell>
        </row>
        <row r="1486">
          <cell r="L1486">
            <v>3014285</v>
          </cell>
          <cell r="Q1486" t="str">
            <v>642®t</v>
          </cell>
          <cell r="R1486" t="str">
            <v>1110</v>
          </cell>
        </row>
        <row r="1487">
          <cell r="L1487">
            <v>301428</v>
          </cell>
          <cell r="Q1487" t="str">
            <v>1331331</v>
          </cell>
          <cell r="R1487" t="str">
            <v>1110</v>
          </cell>
        </row>
        <row r="1488">
          <cell r="L1488">
            <v>115544</v>
          </cell>
          <cell r="Q1488" t="str">
            <v>641kd</v>
          </cell>
          <cell r="R1488" t="str">
            <v>1110</v>
          </cell>
        </row>
        <row r="1489">
          <cell r="L1489">
            <v>43000000</v>
          </cell>
          <cell r="Q1489" t="str">
            <v>1110</v>
          </cell>
          <cell r="R1489" t="str">
            <v>131hphuong</v>
          </cell>
        </row>
        <row r="1490">
          <cell r="L1490">
            <v>1800000</v>
          </cell>
          <cell r="Q1490" t="str">
            <v>112ct</v>
          </cell>
          <cell r="R1490" t="str">
            <v>131dhuy</v>
          </cell>
        </row>
        <row r="1491">
          <cell r="L1491">
            <v>1150000</v>
          </cell>
          <cell r="Q1491" t="str">
            <v>1110</v>
          </cell>
          <cell r="R1491" t="str">
            <v>131viettra</v>
          </cell>
        </row>
        <row r="1492">
          <cell r="L1492">
            <v>98850000</v>
          </cell>
          <cell r="Q1492" t="str">
            <v>1110</v>
          </cell>
          <cell r="R1492" t="str">
            <v>131tloc</v>
          </cell>
        </row>
        <row r="1493">
          <cell r="L1493">
            <v>54570000</v>
          </cell>
          <cell r="Q1493" t="str">
            <v>1110</v>
          </cell>
          <cell r="R1493" t="str">
            <v>131hvu</v>
          </cell>
        </row>
        <row r="1494">
          <cell r="L1494">
            <v>131000000</v>
          </cell>
          <cell r="Q1494" t="str">
            <v>331xnkm</v>
          </cell>
          <cell r="R1494" t="str">
            <v>1110</v>
          </cell>
        </row>
        <row r="1495">
          <cell r="L1495">
            <v>50000000</v>
          </cell>
          <cell r="Q1495" t="str">
            <v>331unimex</v>
          </cell>
          <cell r="R1495" t="str">
            <v>1110</v>
          </cell>
        </row>
        <row r="1496">
          <cell r="L1496">
            <v>272727</v>
          </cell>
          <cell r="Q1496" t="str">
            <v>1110</v>
          </cell>
          <cell r="R1496" t="str">
            <v>511ks</v>
          </cell>
        </row>
        <row r="1497">
          <cell r="L1497">
            <v>27273</v>
          </cell>
          <cell r="Q1497" t="str">
            <v>1110</v>
          </cell>
          <cell r="R1497" t="str">
            <v>3333331</v>
          </cell>
        </row>
        <row r="1498">
          <cell r="L1498">
            <v>50000000</v>
          </cell>
          <cell r="Q1498" t="str">
            <v>331tlong</v>
          </cell>
          <cell r="R1498" t="str">
            <v>1110</v>
          </cell>
        </row>
        <row r="1499">
          <cell r="L1499">
            <v>2649220</v>
          </cell>
          <cell r="Q1499" t="str">
            <v>642dn</v>
          </cell>
          <cell r="R1499" t="str">
            <v>1110</v>
          </cell>
        </row>
        <row r="1500">
          <cell r="L1500">
            <v>264922</v>
          </cell>
          <cell r="Q1500" t="str">
            <v>1331331</v>
          </cell>
          <cell r="R1500" t="str">
            <v>1110</v>
          </cell>
        </row>
        <row r="1501">
          <cell r="L1501">
            <v>50000000</v>
          </cell>
          <cell r="Q1501" t="str">
            <v>1110</v>
          </cell>
          <cell r="R1501" t="str">
            <v>131sonha</v>
          </cell>
        </row>
        <row r="1502">
          <cell r="L1502">
            <v>14700000</v>
          </cell>
          <cell r="Q1502" t="str">
            <v>1110</v>
          </cell>
          <cell r="R1502" t="str">
            <v>131dbac</v>
          </cell>
        </row>
        <row r="1503">
          <cell r="L1503">
            <v>20000000</v>
          </cell>
          <cell r="Q1503" t="str">
            <v>1110</v>
          </cell>
          <cell r="R1503" t="str">
            <v>112ct</v>
          </cell>
        </row>
        <row r="1504">
          <cell r="L1504">
            <v>126000000</v>
          </cell>
          <cell r="Q1504" t="str">
            <v>311nk2</v>
          </cell>
          <cell r="R1504" t="str">
            <v>1110</v>
          </cell>
        </row>
        <row r="1505">
          <cell r="L1505">
            <v>64000000</v>
          </cell>
          <cell r="Q1505" t="str">
            <v>1110</v>
          </cell>
          <cell r="R1505" t="str">
            <v>131tan</v>
          </cell>
        </row>
        <row r="1506">
          <cell r="L1506">
            <v>15000000</v>
          </cell>
          <cell r="Q1506" t="str">
            <v>1110</v>
          </cell>
          <cell r="R1506" t="str">
            <v>131tan</v>
          </cell>
        </row>
        <row r="1507">
          <cell r="L1507">
            <v>1900000</v>
          </cell>
          <cell r="Q1507" t="str">
            <v>642®t</v>
          </cell>
          <cell r="R1507" t="str">
            <v>1110</v>
          </cell>
        </row>
        <row r="1508">
          <cell r="L1508">
            <v>45000000</v>
          </cell>
          <cell r="Q1508" t="str">
            <v>112tec</v>
          </cell>
          <cell r="R1508" t="str">
            <v>1110</v>
          </cell>
        </row>
        <row r="1509">
          <cell r="L1509">
            <v>369000</v>
          </cell>
          <cell r="Q1509" t="str">
            <v>641dl</v>
          </cell>
          <cell r="R1509" t="str">
            <v>1110</v>
          </cell>
        </row>
        <row r="1510">
          <cell r="L1510">
            <v>135000</v>
          </cell>
          <cell r="Q1510" t="str">
            <v>641dl</v>
          </cell>
          <cell r="R1510" t="str">
            <v>1110</v>
          </cell>
        </row>
        <row r="1511">
          <cell r="L1511">
            <v>300000</v>
          </cell>
          <cell r="Q1511" t="str">
            <v>642bv</v>
          </cell>
          <cell r="R1511" t="str">
            <v>1110</v>
          </cell>
        </row>
        <row r="1512">
          <cell r="L1512">
            <v>350000</v>
          </cell>
          <cell r="Q1512" t="str">
            <v>641dl</v>
          </cell>
          <cell r="R1512" t="str">
            <v>1110</v>
          </cell>
        </row>
        <row r="1513">
          <cell r="L1513">
            <v>45338000</v>
          </cell>
          <cell r="Q1513" t="str">
            <v>144</v>
          </cell>
          <cell r="R1513" t="str">
            <v>112tec</v>
          </cell>
        </row>
        <row r="1514">
          <cell r="L1514">
            <v>20909</v>
          </cell>
          <cell r="Q1514" t="str">
            <v>641kd</v>
          </cell>
          <cell r="R1514" t="str">
            <v>112tec</v>
          </cell>
        </row>
        <row r="1515">
          <cell r="L1515">
            <v>2091</v>
          </cell>
          <cell r="Q1515" t="str">
            <v>1331331</v>
          </cell>
          <cell r="R1515" t="str">
            <v>112tec</v>
          </cell>
        </row>
        <row r="1516">
          <cell r="L1516">
            <v>684818</v>
          </cell>
          <cell r="Q1516" t="str">
            <v>641kd</v>
          </cell>
          <cell r="R1516" t="str">
            <v>112tec</v>
          </cell>
        </row>
        <row r="1517">
          <cell r="L1517">
            <v>68482</v>
          </cell>
          <cell r="Q1517" t="str">
            <v>1331331</v>
          </cell>
          <cell r="R1517" t="str">
            <v>112tec</v>
          </cell>
        </row>
        <row r="1518">
          <cell r="L1518">
            <v>318182</v>
          </cell>
          <cell r="Q1518" t="str">
            <v>1110</v>
          </cell>
          <cell r="R1518" t="str">
            <v>511ks</v>
          </cell>
        </row>
        <row r="1519">
          <cell r="L1519">
            <v>31818</v>
          </cell>
          <cell r="Q1519" t="str">
            <v>1110</v>
          </cell>
          <cell r="R1519" t="str">
            <v>3333331</v>
          </cell>
        </row>
        <row r="1520">
          <cell r="L1520">
            <v>164000000</v>
          </cell>
          <cell r="Q1520" t="str">
            <v>1110</v>
          </cell>
          <cell r="R1520" t="str">
            <v>131vanloi</v>
          </cell>
        </row>
        <row r="1521">
          <cell r="L1521">
            <v>64000000</v>
          </cell>
          <cell r="Q1521" t="str">
            <v>1110</v>
          </cell>
          <cell r="R1521" t="str">
            <v>131vanloi</v>
          </cell>
        </row>
        <row r="1522">
          <cell r="L1522">
            <v>3046633</v>
          </cell>
          <cell r="Q1522" t="str">
            <v>1110</v>
          </cell>
          <cell r="R1522" t="str">
            <v>141dòngkt</v>
          </cell>
        </row>
        <row r="1523">
          <cell r="L1523">
            <v>31000000</v>
          </cell>
          <cell r="Q1523" t="str">
            <v>1110</v>
          </cell>
          <cell r="R1523" t="str">
            <v>131vthu</v>
          </cell>
        </row>
        <row r="1524">
          <cell r="L1524">
            <v>39000000</v>
          </cell>
          <cell r="Q1524" t="str">
            <v>1110</v>
          </cell>
          <cell r="R1524" t="str">
            <v>131vanloi</v>
          </cell>
        </row>
        <row r="1525">
          <cell r="L1525">
            <v>60000000</v>
          </cell>
          <cell r="Q1525" t="str">
            <v>1110</v>
          </cell>
          <cell r="R1525" t="str">
            <v>311tiõn</v>
          </cell>
        </row>
        <row r="1526">
          <cell r="L1526">
            <v>5000000</v>
          </cell>
          <cell r="Q1526" t="str">
            <v>1110</v>
          </cell>
          <cell r="R1526" t="str">
            <v>131tan</v>
          </cell>
        </row>
        <row r="1527">
          <cell r="L1527">
            <v>20000000</v>
          </cell>
          <cell r="Q1527" t="str">
            <v>1110</v>
          </cell>
          <cell r="R1527" t="str">
            <v>131vthu</v>
          </cell>
        </row>
        <row r="1528">
          <cell r="L1528">
            <v>21000000</v>
          </cell>
          <cell r="Q1528" t="str">
            <v>1110</v>
          </cell>
          <cell r="R1528" t="str">
            <v>112qt</v>
          </cell>
        </row>
        <row r="1529">
          <cell r="L1529">
            <v>164000000</v>
          </cell>
          <cell r="Q1529" t="str">
            <v>331unimex</v>
          </cell>
          <cell r="R1529" t="str">
            <v>1110</v>
          </cell>
        </row>
        <row r="1530">
          <cell r="L1530">
            <v>64000000</v>
          </cell>
          <cell r="Q1530" t="str">
            <v>331unimex</v>
          </cell>
          <cell r="R1530" t="str">
            <v>1110</v>
          </cell>
        </row>
        <row r="1531">
          <cell r="L1531">
            <v>1000000</v>
          </cell>
          <cell r="Q1531" t="str">
            <v>642tk</v>
          </cell>
          <cell r="R1531" t="str">
            <v>1110</v>
          </cell>
        </row>
        <row r="1532">
          <cell r="L1532">
            <v>1141038</v>
          </cell>
          <cell r="Q1532" t="str">
            <v>642ct</v>
          </cell>
          <cell r="R1532" t="str">
            <v>1110</v>
          </cell>
        </row>
        <row r="1533">
          <cell r="L1533">
            <v>97962</v>
          </cell>
          <cell r="Q1533" t="str">
            <v>1331331</v>
          </cell>
          <cell r="R1533" t="str">
            <v>1110</v>
          </cell>
        </row>
        <row r="1534">
          <cell r="L1534">
            <v>18000000</v>
          </cell>
          <cell r="Q1534" t="str">
            <v>311nk2</v>
          </cell>
          <cell r="R1534" t="str">
            <v>1110</v>
          </cell>
        </row>
        <row r="1535">
          <cell r="L1535">
            <v>2196182</v>
          </cell>
          <cell r="Q1535" t="str">
            <v>642vp</v>
          </cell>
          <cell r="R1535" t="str">
            <v>1110</v>
          </cell>
        </row>
        <row r="1536">
          <cell r="L1536">
            <v>219618</v>
          </cell>
          <cell r="Q1536" t="str">
            <v>1331331</v>
          </cell>
          <cell r="R1536" t="str">
            <v>1110</v>
          </cell>
        </row>
        <row r="1537">
          <cell r="L1537">
            <v>130000000</v>
          </cell>
          <cell r="Q1537" t="str">
            <v>331unimex</v>
          </cell>
          <cell r="R1537" t="str">
            <v>1110</v>
          </cell>
        </row>
        <row r="1538">
          <cell r="L1538">
            <v>5000000</v>
          </cell>
          <cell r="Q1538" t="str">
            <v>141dòngkt</v>
          </cell>
          <cell r="R1538" t="str">
            <v>1110</v>
          </cell>
        </row>
        <row r="1539">
          <cell r="L1539">
            <v>20000000</v>
          </cell>
          <cell r="Q1539" t="str">
            <v>311qt</v>
          </cell>
          <cell r="R1539" t="str">
            <v>1110</v>
          </cell>
        </row>
        <row r="1540">
          <cell r="L1540">
            <v>979000</v>
          </cell>
          <cell r="Q1540" t="str">
            <v>641kd</v>
          </cell>
          <cell r="R1540" t="str">
            <v>1110</v>
          </cell>
        </row>
        <row r="1541">
          <cell r="L1541">
            <v>500000</v>
          </cell>
          <cell r="Q1541" t="str">
            <v>641dl</v>
          </cell>
          <cell r="R1541" t="str">
            <v>1110</v>
          </cell>
        </row>
        <row r="1542">
          <cell r="L1542">
            <v>26823</v>
          </cell>
          <cell r="Q1542" t="str">
            <v>112qt</v>
          </cell>
          <cell r="R1542" t="str">
            <v>711qt</v>
          </cell>
        </row>
        <row r="1543">
          <cell r="L1543">
            <v>98000</v>
          </cell>
          <cell r="Q1543" t="str">
            <v>641kd</v>
          </cell>
          <cell r="R1543" t="str">
            <v>1110</v>
          </cell>
        </row>
        <row r="1544">
          <cell r="L1544">
            <v>20000</v>
          </cell>
          <cell r="Q1544" t="str">
            <v>642vp</v>
          </cell>
          <cell r="R1544" t="str">
            <v>1110</v>
          </cell>
        </row>
        <row r="1545">
          <cell r="L1545">
            <v>104515</v>
          </cell>
          <cell r="Q1545" t="str">
            <v>112ct</v>
          </cell>
          <cell r="R1545" t="str">
            <v>711ct</v>
          </cell>
        </row>
        <row r="1546">
          <cell r="L1546">
            <v>200000000</v>
          </cell>
          <cell r="Q1546" t="str">
            <v>1110</v>
          </cell>
          <cell r="R1546" t="str">
            <v>131viettra</v>
          </cell>
        </row>
        <row r="1547">
          <cell r="L1547">
            <v>26380000</v>
          </cell>
          <cell r="Q1547" t="str">
            <v>1110</v>
          </cell>
          <cell r="R1547" t="str">
            <v>131hphuong</v>
          </cell>
        </row>
        <row r="1548">
          <cell r="L1548">
            <v>98380000</v>
          </cell>
          <cell r="Q1548" t="str">
            <v>331unimex</v>
          </cell>
          <cell r="R1548" t="str">
            <v>1110</v>
          </cell>
        </row>
        <row r="1549">
          <cell r="L1549">
            <v>28000000</v>
          </cell>
          <cell r="Q1549" t="str">
            <v>311qt</v>
          </cell>
          <cell r="R1549" t="str">
            <v>1110</v>
          </cell>
        </row>
        <row r="1550">
          <cell r="L1550">
            <v>153600000</v>
          </cell>
          <cell r="Q1550" t="str">
            <v>311nk2</v>
          </cell>
          <cell r="R1550" t="str">
            <v>1110</v>
          </cell>
        </row>
        <row r="1551">
          <cell r="L1551">
            <v>210000</v>
          </cell>
          <cell r="Q1551" t="str">
            <v>642k</v>
          </cell>
          <cell r="R1551" t="str">
            <v>1110</v>
          </cell>
        </row>
        <row r="1552">
          <cell r="L1552">
            <v>3292334</v>
          </cell>
          <cell r="Q1552" t="str">
            <v>811qt</v>
          </cell>
          <cell r="R1552" t="str">
            <v>1110</v>
          </cell>
        </row>
        <row r="1553">
          <cell r="L1553">
            <v>5000000</v>
          </cell>
          <cell r="Q1553" t="str">
            <v>1110</v>
          </cell>
          <cell r="R1553" t="str">
            <v>141dòngkt</v>
          </cell>
        </row>
        <row r="1554">
          <cell r="L1554">
            <v>79630171</v>
          </cell>
          <cell r="Q1554" t="str">
            <v>1110</v>
          </cell>
          <cell r="R1554" t="str">
            <v>141hoµn</v>
          </cell>
        </row>
        <row r="1555">
          <cell r="L1555">
            <v>321300</v>
          </cell>
          <cell r="Q1555" t="str">
            <v>1110</v>
          </cell>
          <cell r="R1555" t="str">
            <v>3383383</v>
          </cell>
        </row>
        <row r="1556">
          <cell r="L1556">
            <v>48195</v>
          </cell>
          <cell r="Q1556" t="str">
            <v>1110</v>
          </cell>
          <cell r="R1556" t="str">
            <v>3383384</v>
          </cell>
        </row>
        <row r="1557">
          <cell r="L1557">
            <v>7107416</v>
          </cell>
          <cell r="Q1557" t="str">
            <v>642ct</v>
          </cell>
          <cell r="R1557" t="str">
            <v>1110</v>
          </cell>
        </row>
        <row r="1558">
          <cell r="L1558">
            <v>201784</v>
          </cell>
          <cell r="Q1558" t="str">
            <v>1331331</v>
          </cell>
          <cell r="R1558" t="str">
            <v>1110</v>
          </cell>
        </row>
        <row r="1559">
          <cell r="L1559">
            <v>79630171</v>
          </cell>
          <cell r="Q1559" t="str">
            <v>331unimex</v>
          </cell>
          <cell r="R1559" t="str">
            <v>1110</v>
          </cell>
        </row>
        <row r="1560">
          <cell r="L1560">
            <v>100000000</v>
          </cell>
          <cell r="Q1560" t="str">
            <v>331unimex</v>
          </cell>
          <cell r="R1560" t="str">
            <v>1110</v>
          </cell>
        </row>
        <row r="1561">
          <cell r="L1561">
            <v>3000000</v>
          </cell>
          <cell r="Q1561" t="str">
            <v>641dl</v>
          </cell>
          <cell r="R1561" t="str">
            <v>1110</v>
          </cell>
        </row>
        <row r="1562">
          <cell r="L1562">
            <v>2533000</v>
          </cell>
          <cell r="Q1562" t="str">
            <v>811tec</v>
          </cell>
          <cell r="R1562" t="str">
            <v>112tec</v>
          </cell>
        </row>
        <row r="1563">
          <cell r="L1563">
            <v>2333000</v>
          </cell>
          <cell r="Q1563" t="str">
            <v>811tec</v>
          </cell>
          <cell r="R1563" t="str">
            <v>112tec</v>
          </cell>
        </row>
        <row r="1564">
          <cell r="L1564">
            <v>15000</v>
          </cell>
          <cell r="Q1564" t="str">
            <v>112tec</v>
          </cell>
          <cell r="R1564" t="str">
            <v>711tec</v>
          </cell>
        </row>
        <row r="1565">
          <cell r="L1565">
            <v>130000</v>
          </cell>
          <cell r="Q1565" t="str">
            <v>1110</v>
          </cell>
          <cell r="R1565" t="str">
            <v>3340</v>
          </cell>
        </row>
        <row r="1566">
          <cell r="L1566">
            <v>669480</v>
          </cell>
          <cell r="Q1566" t="str">
            <v>1110</v>
          </cell>
          <cell r="R1566" t="str">
            <v>3383383</v>
          </cell>
        </row>
        <row r="1567">
          <cell r="L1567">
            <v>133896</v>
          </cell>
          <cell r="Q1567" t="str">
            <v>1110</v>
          </cell>
          <cell r="R1567" t="str">
            <v>3383384</v>
          </cell>
        </row>
        <row r="1568">
          <cell r="L1568">
            <v>3585000</v>
          </cell>
          <cell r="Q1568" t="str">
            <v>1110</v>
          </cell>
          <cell r="R1568" t="str">
            <v>131khle</v>
          </cell>
        </row>
        <row r="1569">
          <cell r="L1569">
            <v>7454545</v>
          </cell>
          <cell r="Q1569" t="str">
            <v>1110</v>
          </cell>
          <cell r="R1569" t="str">
            <v>511ch</v>
          </cell>
        </row>
        <row r="1570">
          <cell r="L1570">
            <v>745455</v>
          </cell>
          <cell r="Q1570" t="str">
            <v>1110</v>
          </cell>
          <cell r="R1570" t="str">
            <v>3333331</v>
          </cell>
        </row>
        <row r="1571">
          <cell r="L1571">
            <v>125065500</v>
          </cell>
          <cell r="Q1571" t="str">
            <v>1110</v>
          </cell>
          <cell r="R1571" t="str">
            <v>131coc6</v>
          </cell>
        </row>
        <row r="1572">
          <cell r="L1572">
            <v>381818</v>
          </cell>
          <cell r="Q1572" t="str">
            <v>1110</v>
          </cell>
          <cell r="R1572" t="str">
            <v>511ks</v>
          </cell>
        </row>
        <row r="1573">
          <cell r="L1573">
            <v>38182</v>
          </cell>
          <cell r="Q1573" t="str">
            <v>1110</v>
          </cell>
          <cell r="R1573" t="str">
            <v>3333331</v>
          </cell>
        </row>
        <row r="1574">
          <cell r="L1574">
            <v>150000000</v>
          </cell>
          <cell r="Q1574" t="str">
            <v>1110</v>
          </cell>
          <cell r="R1574" t="str">
            <v>131tan</v>
          </cell>
        </row>
        <row r="1575">
          <cell r="L1575">
            <v>600000</v>
          </cell>
          <cell r="Q1575" t="str">
            <v>642l</v>
          </cell>
          <cell r="R1575" t="str">
            <v>1110</v>
          </cell>
        </row>
        <row r="1576">
          <cell r="L1576">
            <v>10062500</v>
          </cell>
          <cell r="Q1576" t="str">
            <v>3340</v>
          </cell>
          <cell r="R1576" t="str">
            <v>1110</v>
          </cell>
        </row>
        <row r="1577">
          <cell r="L1577">
            <v>50000</v>
          </cell>
          <cell r="Q1577" t="str">
            <v>642dn</v>
          </cell>
          <cell r="R1577" t="str">
            <v>1110</v>
          </cell>
        </row>
        <row r="1578">
          <cell r="L1578">
            <v>259874503</v>
          </cell>
          <cell r="Q1578" t="str">
            <v>3333331</v>
          </cell>
          <cell r="R1578" t="str">
            <v>1331331</v>
          </cell>
        </row>
        <row r="1579">
          <cell r="L1579">
            <v>72342700</v>
          </cell>
          <cell r="Q1579" t="str">
            <v>642l</v>
          </cell>
          <cell r="R1579" t="str">
            <v>3340</v>
          </cell>
        </row>
        <row r="1580">
          <cell r="L1580">
            <v>343087369</v>
          </cell>
          <cell r="Q1580" t="str">
            <v>9110</v>
          </cell>
          <cell r="R1580" t="str">
            <v>4210</v>
          </cell>
        </row>
        <row r="1581">
          <cell r="L1581">
            <v>4975163441</v>
          </cell>
          <cell r="Q1581" t="str">
            <v>5110</v>
          </cell>
          <cell r="R1581" t="str">
            <v>9110</v>
          </cell>
        </row>
        <row r="1582">
          <cell r="L1582">
            <v>4269027749</v>
          </cell>
          <cell r="Q1582" t="str">
            <v>9110</v>
          </cell>
          <cell r="R1582" t="str">
            <v>6320</v>
          </cell>
        </row>
        <row r="1583">
          <cell r="L1583">
            <v>18072736</v>
          </cell>
          <cell r="Q1583" t="str">
            <v>9110</v>
          </cell>
          <cell r="R1583" t="str">
            <v>8110</v>
          </cell>
        </row>
        <row r="1584">
          <cell r="L1584">
            <v>470200</v>
          </cell>
          <cell r="Q1584" t="str">
            <v>7110</v>
          </cell>
          <cell r="R1584" t="str">
            <v>9110</v>
          </cell>
        </row>
        <row r="1585">
          <cell r="L1585">
            <v>34613661</v>
          </cell>
          <cell r="Q1585" t="str">
            <v>1331331</v>
          </cell>
          <cell r="R1585" t="str">
            <v>33333312</v>
          </cell>
        </row>
        <row r="1586">
          <cell r="L1586">
            <v>69659700</v>
          </cell>
          <cell r="Q1586" t="str">
            <v>156xelu</v>
          </cell>
          <cell r="R1586" t="str">
            <v>331yan</v>
          </cell>
        </row>
        <row r="1587">
          <cell r="L1587">
            <v>226088500</v>
          </cell>
          <cell r="Q1587" t="str">
            <v>156ui</v>
          </cell>
          <cell r="R1587" t="str">
            <v>331yan</v>
          </cell>
        </row>
        <row r="1588">
          <cell r="L1588">
            <v>217056000</v>
          </cell>
          <cell r="Q1588" t="str">
            <v>156maysan</v>
          </cell>
          <cell r="R1588" t="str">
            <v>331yan</v>
          </cell>
        </row>
        <row r="1589">
          <cell r="L1589">
            <v>182598500</v>
          </cell>
          <cell r="Q1589" t="str">
            <v>156xuc</v>
          </cell>
          <cell r="R1589" t="str">
            <v>331eikoh</v>
          </cell>
        </row>
        <row r="1590">
          <cell r="L1590">
            <v>9124125</v>
          </cell>
          <cell r="Q1590" t="str">
            <v>156xuc</v>
          </cell>
          <cell r="R1590" t="str">
            <v>3333333</v>
          </cell>
        </row>
        <row r="1591">
          <cell r="L1591">
            <v>873614162</v>
          </cell>
          <cell r="Q1591" t="str">
            <v>156thep</v>
          </cell>
          <cell r="R1591" t="str">
            <v>331unimex</v>
          </cell>
        </row>
        <row r="1592">
          <cell r="L1592">
            <v>43680708</v>
          </cell>
          <cell r="Q1592" t="str">
            <v>1331331</v>
          </cell>
          <cell r="R1592" t="str">
            <v>331unimex</v>
          </cell>
        </row>
        <row r="1593">
          <cell r="L1593">
            <v>2243998765</v>
          </cell>
          <cell r="Q1593" t="str">
            <v>632kd</v>
          </cell>
          <cell r="R1593" t="str">
            <v>1560</v>
          </cell>
        </row>
        <row r="1594">
          <cell r="L1594">
            <v>13800000</v>
          </cell>
          <cell r="Q1594" t="str">
            <v>642kh</v>
          </cell>
          <cell r="R1594" t="str">
            <v>2140</v>
          </cell>
        </row>
        <row r="1595">
          <cell r="L1595">
            <v>6915000</v>
          </cell>
          <cell r="Q1595" t="str">
            <v>1110</v>
          </cell>
          <cell r="R1595" t="str">
            <v>131cc</v>
          </cell>
        </row>
        <row r="1596">
          <cell r="L1596">
            <v>62400000</v>
          </cell>
          <cell r="Q1596" t="str">
            <v>311nk2</v>
          </cell>
          <cell r="R1596" t="str">
            <v>1110</v>
          </cell>
        </row>
        <row r="1597">
          <cell r="L1597">
            <v>120000</v>
          </cell>
          <cell r="Q1597" t="str">
            <v>641dl</v>
          </cell>
          <cell r="R1597" t="str">
            <v>1110</v>
          </cell>
        </row>
        <row r="1598">
          <cell r="L1598">
            <v>1512000</v>
          </cell>
          <cell r="Q1598" t="str">
            <v>1110</v>
          </cell>
          <cell r="R1598" t="str">
            <v>131tvn</v>
          </cell>
        </row>
        <row r="1599">
          <cell r="L1599">
            <v>5000000</v>
          </cell>
          <cell r="Q1599" t="str">
            <v>141tiõn</v>
          </cell>
          <cell r="R1599" t="str">
            <v>1110</v>
          </cell>
        </row>
        <row r="1600">
          <cell r="L1600">
            <v>180000000</v>
          </cell>
          <cell r="Q1600" t="str">
            <v>112tec</v>
          </cell>
          <cell r="R1600" t="str">
            <v>1110</v>
          </cell>
        </row>
        <row r="1601">
          <cell r="L1601">
            <v>4778027</v>
          </cell>
          <cell r="Q1601" t="str">
            <v>641dl</v>
          </cell>
          <cell r="R1601" t="str">
            <v>1110</v>
          </cell>
        </row>
        <row r="1602">
          <cell r="L1602">
            <v>183973</v>
          </cell>
          <cell r="Q1602" t="str">
            <v>1331331</v>
          </cell>
          <cell r="R1602" t="str">
            <v>1110</v>
          </cell>
        </row>
        <row r="1603">
          <cell r="L1603">
            <v>2000000</v>
          </cell>
          <cell r="Q1603" t="str">
            <v>338qldd</v>
          </cell>
          <cell r="R1603" t="str">
            <v>1110</v>
          </cell>
        </row>
        <row r="1604">
          <cell r="L1604">
            <v>2000000</v>
          </cell>
          <cell r="Q1604" t="str">
            <v>338qldd</v>
          </cell>
          <cell r="R1604" t="str">
            <v>1110</v>
          </cell>
        </row>
        <row r="1605">
          <cell r="L1605">
            <v>295000</v>
          </cell>
          <cell r="Q1605" t="str">
            <v>642bv</v>
          </cell>
          <cell r="R1605" t="str">
            <v>1110</v>
          </cell>
        </row>
        <row r="1606">
          <cell r="L1606">
            <v>9124125</v>
          </cell>
          <cell r="Q1606" t="str">
            <v>3333333</v>
          </cell>
          <cell r="R1606" t="str">
            <v>112qt</v>
          </cell>
        </row>
        <row r="1607">
          <cell r="L1607">
            <v>9580331</v>
          </cell>
          <cell r="Q1607" t="str">
            <v>33333312</v>
          </cell>
          <cell r="R1607" t="str">
            <v>112qt</v>
          </cell>
        </row>
        <row r="1608">
          <cell r="L1608">
            <v>10697250</v>
          </cell>
          <cell r="Q1608" t="str">
            <v>33333312</v>
          </cell>
          <cell r="R1608" t="str">
            <v>112qt</v>
          </cell>
        </row>
        <row r="1609">
          <cell r="L1609">
            <v>54546</v>
          </cell>
          <cell r="Q1609" t="str">
            <v>641kd</v>
          </cell>
          <cell r="R1609" t="str">
            <v>112qt</v>
          </cell>
        </row>
        <row r="1610">
          <cell r="L1610">
            <v>5454</v>
          </cell>
          <cell r="Q1610" t="str">
            <v>1331331</v>
          </cell>
          <cell r="R1610" t="str">
            <v>112qt</v>
          </cell>
        </row>
        <row r="1611">
          <cell r="L1611">
            <v>40000000</v>
          </cell>
          <cell r="Q1611" t="str">
            <v>1110</v>
          </cell>
          <cell r="R1611" t="str">
            <v>131ploc</v>
          </cell>
        </row>
        <row r="1612">
          <cell r="L1612">
            <v>181818</v>
          </cell>
          <cell r="Q1612" t="str">
            <v>1110</v>
          </cell>
          <cell r="R1612" t="str">
            <v>511ks</v>
          </cell>
        </row>
        <row r="1613">
          <cell r="L1613">
            <v>18182</v>
          </cell>
          <cell r="Q1613" t="str">
            <v>1110</v>
          </cell>
          <cell r="R1613" t="str">
            <v>3333331</v>
          </cell>
        </row>
        <row r="1614">
          <cell r="L1614">
            <v>228160</v>
          </cell>
          <cell r="Q1614" t="str">
            <v>1110</v>
          </cell>
          <cell r="R1614" t="str">
            <v>141dòng</v>
          </cell>
        </row>
        <row r="1615">
          <cell r="L1615">
            <v>1100000</v>
          </cell>
          <cell r="Q1615" t="str">
            <v>1110</v>
          </cell>
          <cell r="R1615" t="str">
            <v>641dl</v>
          </cell>
        </row>
        <row r="1616">
          <cell r="L1616">
            <v>30000000</v>
          </cell>
          <cell r="Q1616" t="str">
            <v>112qt</v>
          </cell>
          <cell r="R1616" t="str">
            <v>1110</v>
          </cell>
        </row>
        <row r="1617">
          <cell r="L1617">
            <v>70000000</v>
          </cell>
          <cell r="Q1617" t="str">
            <v>331unimex</v>
          </cell>
          <cell r="R1617" t="str">
            <v>1110</v>
          </cell>
        </row>
        <row r="1618">
          <cell r="L1618">
            <v>980000</v>
          </cell>
          <cell r="Q1618" t="str">
            <v>338cpdt</v>
          </cell>
          <cell r="R1618" t="str">
            <v>1110</v>
          </cell>
        </row>
        <row r="1619">
          <cell r="L1619">
            <v>350000</v>
          </cell>
          <cell r="Q1619" t="str">
            <v>642k</v>
          </cell>
          <cell r="R1619" t="str">
            <v>1110</v>
          </cell>
        </row>
        <row r="1620">
          <cell r="L1620">
            <v>5500000</v>
          </cell>
          <cell r="Q1620" t="str">
            <v>1110</v>
          </cell>
          <cell r="R1620" t="str">
            <v>141tþ</v>
          </cell>
        </row>
        <row r="1621">
          <cell r="L1621">
            <v>1300410</v>
          </cell>
          <cell r="Q1621" t="str">
            <v>3383382</v>
          </cell>
          <cell r="R1621" t="str">
            <v>1110</v>
          </cell>
        </row>
        <row r="1622">
          <cell r="L1622">
            <v>43500</v>
          </cell>
          <cell r="Q1622" t="str">
            <v>642tk</v>
          </cell>
          <cell r="R1622" t="str">
            <v>1110</v>
          </cell>
        </row>
        <row r="1623">
          <cell r="L1623">
            <v>15000</v>
          </cell>
          <cell r="Q1623" t="str">
            <v>641ks</v>
          </cell>
          <cell r="R1623" t="str">
            <v>1110</v>
          </cell>
        </row>
        <row r="1624">
          <cell r="L1624">
            <v>233500</v>
          </cell>
          <cell r="Q1624" t="str">
            <v>642tk</v>
          </cell>
          <cell r="R1624" t="str">
            <v>1110</v>
          </cell>
        </row>
        <row r="1625">
          <cell r="L1625">
            <v>50000000</v>
          </cell>
          <cell r="Q1625" t="str">
            <v>1110</v>
          </cell>
          <cell r="R1625" t="str">
            <v>131viettra</v>
          </cell>
        </row>
        <row r="1626">
          <cell r="L1626">
            <v>19000000</v>
          </cell>
          <cell r="Q1626" t="str">
            <v>1110</v>
          </cell>
          <cell r="R1626" t="str">
            <v>131hphuong</v>
          </cell>
        </row>
        <row r="1627">
          <cell r="L1627">
            <v>272726</v>
          </cell>
          <cell r="Q1627" t="str">
            <v>1110</v>
          </cell>
          <cell r="R1627" t="str">
            <v>511ks</v>
          </cell>
        </row>
        <row r="1628">
          <cell r="L1628">
            <v>27274</v>
          </cell>
          <cell r="Q1628" t="str">
            <v>1110</v>
          </cell>
          <cell r="R1628" t="str">
            <v>3333331</v>
          </cell>
        </row>
        <row r="1629">
          <cell r="L1629">
            <v>5620800</v>
          </cell>
          <cell r="Q1629" t="str">
            <v>1110</v>
          </cell>
          <cell r="R1629" t="str">
            <v>131viettra</v>
          </cell>
        </row>
        <row r="1630">
          <cell r="L1630">
            <v>64000000</v>
          </cell>
          <cell r="Q1630" t="str">
            <v>1110</v>
          </cell>
          <cell r="R1630" t="str">
            <v>131hïng</v>
          </cell>
        </row>
        <row r="1631">
          <cell r="L1631">
            <v>5357581</v>
          </cell>
          <cell r="Q1631" t="str">
            <v>641kd</v>
          </cell>
          <cell r="R1631" t="str">
            <v>1110</v>
          </cell>
        </row>
        <row r="1632">
          <cell r="L1632">
            <v>263219</v>
          </cell>
          <cell r="Q1632" t="str">
            <v>1331331</v>
          </cell>
          <cell r="R1632" t="str">
            <v>1110</v>
          </cell>
        </row>
        <row r="1633">
          <cell r="L1633">
            <v>120000000</v>
          </cell>
          <cell r="Q1633" t="str">
            <v>311qt</v>
          </cell>
          <cell r="R1633" t="str">
            <v>1110</v>
          </cell>
        </row>
        <row r="1634">
          <cell r="L1634">
            <v>24000000</v>
          </cell>
          <cell r="Q1634" t="str">
            <v>311nk2</v>
          </cell>
          <cell r="R1634" t="str">
            <v>1110</v>
          </cell>
        </row>
        <row r="1635">
          <cell r="L1635">
            <v>40000000</v>
          </cell>
          <cell r="Q1635" t="str">
            <v>311qt</v>
          </cell>
          <cell r="R1635" t="str">
            <v>1110</v>
          </cell>
        </row>
        <row r="1636">
          <cell r="L1636">
            <v>2700000</v>
          </cell>
          <cell r="Q1636" t="str">
            <v>1110</v>
          </cell>
          <cell r="R1636" t="str">
            <v>641dl</v>
          </cell>
        </row>
        <row r="1637">
          <cell r="L1637">
            <v>52000000</v>
          </cell>
          <cell r="Q1637" t="str">
            <v>1110</v>
          </cell>
          <cell r="R1637" t="str">
            <v>131tanphat</v>
          </cell>
        </row>
        <row r="1638">
          <cell r="L1638">
            <v>100000000</v>
          </cell>
          <cell r="Q1638" t="str">
            <v>1110</v>
          </cell>
          <cell r="R1638" t="str">
            <v>131viettra</v>
          </cell>
        </row>
        <row r="1639">
          <cell r="L1639">
            <v>1535664</v>
          </cell>
          <cell r="Q1639" t="str">
            <v>642®t</v>
          </cell>
          <cell r="R1639" t="str">
            <v>1110</v>
          </cell>
        </row>
        <row r="1640">
          <cell r="L1640">
            <v>153566</v>
          </cell>
          <cell r="Q1640" t="str">
            <v>1331331</v>
          </cell>
          <cell r="R1640" t="str">
            <v>1110</v>
          </cell>
        </row>
        <row r="1641">
          <cell r="L1641">
            <v>24000000</v>
          </cell>
          <cell r="Q1641" t="str">
            <v>311nk2</v>
          </cell>
          <cell r="R1641" t="str">
            <v>1110</v>
          </cell>
        </row>
        <row r="1642">
          <cell r="L1642">
            <v>37122600</v>
          </cell>
          <cell r="Q1642" t="str">
            <v>1110</v>
          </cell>
          <cell r="R1642" t="str">
            <v>131hatay</v>
          </cell>
        </row>
        <row r="1643">
          <cell r="L1643">
            <v>600000</v>
          </cell>
          <cell r="Q1643" t="str">
            <v>642l</v>
          </cell>
          <cell r="R1643" t="str">
            <v>1110</v>
          </cell>
        </row>
        <row r="1644">
          <cell r="L1644">
            <v>9650100</v>
          </cell>
          <cell r="Q1644" t="str">
            <v>3340</v>
          </cell>
          <cell r="R1644" t="str">
            <v>1110</v>
          </cell>
        </row>
        <row r="1645">
          <cell r="L1645">
            <v>415271</v>
          </cell>
          <cell r="Q1645" t="str">
            <v>641dl</v>
          </cell>
          <cell r="R1645" t="str">
            <v>1110</v>
          </cell>
        </row>
        <row r="1646">
          <cell r="L1646">
            <v>22729</v>
          </cell>
          <cell r="Q1646" t="str">
            <v>1331331</v>
          </cell>
          <cell r="R1646" t="str">
            <v>1110</v>
          </cell>
        </row>
        <row r="1647">
          <cell r="L1647">
            <v>100000000</v>
          </cell>
          <cell r="Q1647" t="str">
            <v>112qt</v>
          </cell>
          <cell r="R1647" t="str">
            <v>1110</v>
          </cell>
        </row>
        <row r="1648">
          <cell r="L1648">
            <v>48000000</v>
          </cell>
          <cell r="Q1648" t="str">
            <v>311nk2</v>
          </cell>
          <cell r="R1648" t="str">
            <v>1110</v>
          </cell>
        </row>
        <row r="1649">
          <cell r="L1649">
            <v>1000000</v>
          </cell>
          <cell r="Q1649" t="str">
            <v>141huy</v>
          </cell>
          <cell r="R1649" t="str">
            <v>1110</v>
          </cell>
        </row>
        <row r="1650">
          <cell r="L1650">
            <v>156500</v>
          </cell>
          <cell r="Q1650" t="str">
            <v>641kd</v>
          </cell>
          <cell r="R1650" t="str">
            <v>1110</v>
          </cell>
        </row>
        <row r="1651">
          <cell r="L1651">
            <v>80000</v>
          </cell>
          <cell r="Q1651" t="str">
            <v>641kd</v>
          </cell>
          <cell r="R1651" t="str">
            <v>1110</v>
          </cell>
        </row>
        <row r="1652">
          <cell r="L1652">
            <v>58571000</v>
          </cell>
          <cell r="Q1652" t="str">
            <v>331chen</v>
          </cell>
          <cell r="R1652" t="str">
            <v>112tec</v>
          </cell>
        </row>
        <row r="1653">
          <cell r="L1653">
            <v>26364</v>
          </cell>
          <cell r="Q1653" t="str">
            <v>641kd</v>
          </cell>
          <cell r="R1653" t="str">
            <v>112tec</v>
          </cell>
        </row>
        <row r="1654">
          <cell r="L1654">
            <v>2636</v>
          </cell>
          <cell r="Q1654" t="str">
            <v>1331331</v>
          </cell>
          <cell r="R1654" t="str">
            <v>112tec</v>
          </cell>
        </row>
        <row r="1655">
          <cell r="L1655">
            <v>204914</v>
          </cell>
          <cell r="Q1655" t="str">
            <v>641kd</v>
          </cell>
          <cell r="R1655" t="str">
            <v>112tec</v>
          </cell>
        </row>
        <row r="1656">
          <cell r="L1656">
            <v>20491</v>
          </cell>
          <cell r="Q1656" t="str">
            <v>1331331</v>
          </cell>
          <cell r="R1656" t="str">
            <v>112tec</v>
          </cell>
        </row>
        <row r="1657">
          <cell r="L1657">
            <v>45360000</v>
          </cell>
          <cell r="Q1657" t="str">
            <v>112ct</v>
          </cell>
          <cell r="R1657" t="str">
            <v>131tongthan</v>
          </cell>
        </row>
        <row r="1658">
          <cell r="L1658">
            <v>100000000</v>
          </cell>
          <cell r="Q1658" t="str">
            <v>311qt</v>
          </cell>
          <cell r="R1658" t="str">
            <v>112qt</v>
          </cell>
        </row>
        <row r="1659">
          <cell r="L1659">
            <v>254545</v>
          </cell>
          <cell r="Q1659" t="str">
            <v>1110</v>
          </cell>
          <cell r="R1659" t="str">
            <v>511ks</v>
          </cell>
        </row>
        <row r="1660">
          <cell r="L1660">
            <v>25455</v>
          </cell>
          <cell r="Q1660" t="str">
            <v>1110</v>
          </cell>
          <cell r="R1660" t="str">
            <v>3333331</v>
          </cell>
        </row>
        <row r="1661">
          <cell r="L1661">
            <v>2196000</v>
          </cell>
          <cell r="Q1661" t="str">
            <v>1110</v>
          </cell>
          <cell r="R1661" t="str">
            <v>131khle</v>
          </cell>
        </row>
        <row r="1662">
          <cell r="L1662">
            <v>59925000</v>
          </cell>
          <cell r="Q1662" t="str">
            <v>1110</v>
          </cell>
          <cell r="R1662" t="str">
            <v>131thanh</v>
          </cell>
        </row>
        <row r="1663">
          <cell r="L1663">
            <v>150500</v>
          </cell>
          <cell r="Q1663" t="str">
            <v>642vp</v>
          </cell>
          <cell r="R1663" t="str">
            <v>1110</v>
          </cell>
        </row>
        <row r="1664">
          <cell r="L1664">
            <v>906000</v>
          </cell>
          <cell r="Q1664" t="str">
            <v>641kd</v>
          </cell>
          <cell r="R1664" t="str">
            <v>1110</v>
          </cell>
        </row>
        <row r="1665">
          <cell r="L1665">
            <v>59925000</v>
          </cell>
          <cell r="Q1665" t="str">
            <v>112tec</v>
          </cell>
          <cell r="R1665" t="str">
            <v>1110</v>
          </cell>
        </row>
        <row r="1666">
          <cell r="L1666">
            <v>1567400</v>
          </cell>
          <cell r="Q1666" t="str">
            <v>811qt</v>
          </cell>
          <cell r="R1666" t="str">
            <v>112qt</v>
          </cell>
        </row>
        <row r="1667">
          <cell r="L1667">
            <v>100000000</v>
          </cell>
          <cell r="Q1667" t="str">
            <v>1110</v>
          </cell>
          <cell r="R1667" t="str">
            <v>131viettra</v>
          </cell>
        </row>
        <row r="1668">
          <cell r="L1668">
            <v>52000000</v>
          </cell>
          <cell r="Q1668" t="str">
            <v>311qt</v>
          </cell>
          <cell r="R1668" t="str">
            <v>1110</v>
          </cell>
        </row>
        <row r="1669">
          <cell r="L1669">
            <v>1500000</v>
          </cell>
          <cell r="Q1669" t="str">
            <v>141ph­¬ng</v>
          </cell>
          <cell r="R1669" t="str">
            <v>1110</v>
          </cell>
        </row>
        <row r="1670">
          <cell r="L1670">
            <v>50000000</v>
          </cell>
          <cell r="Q1670" t="str">
            <v>331xnkm</v>
          </cell>
          <cell r="R1670" t="str">
            <v>1110</v>
          </cell>
        </row>
        <row r="1671">
          <cell r="L1671">
            <v>2000000</v>
          </cell>
          <cell r="Q1671" t="str">
            <v>112qt</v>
          </cell>
          <cell r="R1671" t="str">
            <v>1110</v>
          </cell>
        </row>
        <row r="1672">
          <cell r="L1672">
            <v>909091</v>
          </cell>
          <cell r="Q1672" t="str">
            <v>641kd</v>
          </cell>
          <cell r="R1672" t="str">
            <v>112tec</v>
          </cell>
        </row>
        <row r="1673">
          <cell r="L1673">
            <v>90909</v>
          </cell>
          <cell r="Q1673" t="str">
            <v>1331331</v>
          </cell>
          <cell r="R1673" t="str">
            <v>112tec</v>
          </cell>
        </row>
        <row r="1674">
          <cell r="L1674">
            <v>665000</v>
          </cell>
          <cell r="Q1674" t="str">
            <v>1110</v>
          </cell>
          <cell r="R1674" t="str">
            <v>131thanh</v>
          </cell>
        </row>
        <row r="1675">
          <cell r="L1675">
            <v>17330795</v>
          </cell>
          <cell r="Q1675" t="str">
            <v>1110</v>
          </cell>
          <cell r="R1675" t="str">
            <v>131ptrinh</v>
          </cell>
        </row>
        <row r="1676">
          <cell r="L1676">
            <v>2602389</v>
          </cell>
          <cell r="Q1676" t="str">
            <v>642®t</v>
          </cell>
          <cell r="R1676" t="str">
            <v>1110</v>
          </cell>
        </row>
        <row r="1677">
          <cell r="L1677">
            <v>260239</v>
          </cell>
          <cell r="Q1677" t="str">
            <v>1331331</v>
          </cell>
          <cell r="R1677" t="str">
            <v>1110</v>
          </cell>
        </row>
        <row r="1678">
          <cell r="L1678">
            <v>15946823</v>
          </cell>
          <cell r="Q1678" t="str">
            <v>641kd</v>
          </cell>
          <cell r="R1678" t="str">
            <v>1110</v>
          </cell>
        </row>
        <row r="1679">
          <cell r="L1679">
            <v>1383972</v>
          </cell>
          <cell r="Q1679" t="str">
            <v>1331331</v>
          </cell>
          <cell r="R1679" t="str">
            <v>1110</v>
          </cell>
        </row>
        <row r="1680">
          <cell r="L1680">
            <v>2073910</v>
          </cell>
          <cell r="Q1680" t="str">
            <v>642dn</v>
          </cell>
          <cell r="R1680" t="str">
            <v>1110</v>
          </cell>
        </row>
        <row r="1681">
          <cell r="L1681">
            <v>207390</v>
          </cell>
          <cell r="Q1681" t="str">
            <v>1331331</v>
          </cell>
          <cell r="R1681" t="str">
            <v>1110</v>
          </cell>
        </row>
        <row r="1682">
          <cell r="L1682">
            <v>53500</v>
          </cell>
          <cell r="Q1682" t="str">
            <v>641kd</v>
          </cell>
          <cell r="R1682" t="str">
            <v>1110</v>
          </cell>
        </row>
        <row r="1683">
          <cell r="L1683">
            <v>150000</v>
          </cell>
          <cell r="Q1683" t="str">
            <v>641dl</v>
          </cell>
          <cell r="R1683" t="str">
            <v>1110</v>
          </cell>
        </row>
        <row r="1684">
          <cell r="L1684">
            <v>1395455</v>
          </cell>
          <cell r="Q1684" t="str">
            <v>641kd</v>
          </cell>
          <cell r="R1684" t="str">
            <v>1110</v>
          </cell>
        </row>
        <row r="1685">
          <cell r="L1685">
            <v>74545</v>
          </cell>
          <cell r="Q1685" t="str">
            <v>1331331</v>
          </cell>
          <cell r="R1685" t="str">
            <v>1110</v>
          </cell>
        </row>
        <row r="1686">
          <cell r="L1686">
            <v>882400</v>
          </cell>
          <cell r="Q1686" t="str">
            <v>642tk</v>
          </cell>
          <cell r="R1686" t="str">
            <v>1110</v>
          </cell>
        </row>
        <row r="1687">
          <cell r="L1687">
            <v>20600</v>
          </cell>
          <cell r="Q1687" t="str">
            <v>1331331</v>
          </cell>
          <cell r="R1687" t="str">
            <v>1110</v>
          </cell>
        </row>
        <row r="1688">
          <cell r="L1688">
            <v>1552200</v>
          </cell>
          <cell r="Q1688" t="str">
            <v>642vp</v>
          </cell>
          <cell r="R1688" t="str">
            <v>1110</v>
          </cell>
        </row>
        <row r="1689">
          <cell r="L1689">
            <v>155220</v>
          </cell>
          <cell r="Q1689" t="str">
            <v>1331331</v>
          </cell>
          <cell r="R1689" t="str">
            <v>1110</v>
          </cell>
        </row>
        <row r="1690">
          <cell r="L1690">
            <v>45000000</v>
          </cell>
          <cell r="Q1690" t="str">
            <v>1110</v>
          </cell>
          <cell r="R1690" t="str">
            <v>112ct</v>
          </cell>
        </row>
        <row r="1691">
          <cell r="L1691">
            <v>1470000</v>
          </cell>
          <cell r="Q1691" t="str">
            <v>1110</v>
          </cell>
          <cell r="R1691" t="str">
            <v>141ninh</v>
          </cell>
        </row>
        <row r="1692">
          <cell r="L1692">
            <v>200000</v>
          </cell>
          <cell r="Q1692" t="str">
            <v>1110</v>
          </cell>
          <cell r="R1692" t="str">
            <v>511ks</v>
          </cell>
        </row>
        <row r="1693">
          <cell r="L1693">
            <v>20000</v>
          </cell>
          <cell r="Q1693" t="str">
            <v>1110</v>
          </cell>
          <cell r="R1693" t="str">
            <v>3333331</v>
          </cell>
        </row>
        <row r="1694">
          <cell r="L1694">
            <v>952381</v>
          </cell>
          <cell r="Q1694" t="str">
            <v>642ct</v>
          </cell>
          <cell r="R1694" t="str">
            <v>1110</v>
          </cell>
        </row>
        <row r="1695">
          <cell r="L1695">
            <v>47619</v>
          </cell>
          <cell r="Q1695" t="str">
            <v>1331331</v>
          </cell>
          <cell r="R1695" t="str">
            <v>1110</v>
          </cell>
        </row>
        <row r="1696">
          <cell r="L1696">
            <v>31000000</v>
          </cell>
          <cell r="Q1696" t="str">
            <v>141huy</v>
          </cell>
          <cell r="R1696" t="str">
            <v>1110</v>
          </cell>
        </row>
        <row r="1697">
          <cell r="L1697">
            <v>500000</v>
          </cell>
          <cell r="Q1697" t="str">
            <v>642tk</v>
          </cell>
          <cell r="R1697" t="str">
            <v>1110</v>
          </cell>
        </row>
        <row r="1698">
          <cell r="L1698">
            <v>100000000</v>
          </cell>
          <cell r="Q1698" t="str">
            <v>1110</v>
          </cell>
          <cell r="R1698" t="str">
            <v>131xnkhy</v>
          </cell>
        </row>
        <row r="1699">
          <cell r="L1699">
            <v>5075000</v>
          </cell>
          <cell r="Q1699" t="str">
            <v>1110</v>
          </cell>
          <cell r="R1699" t="str">
            <v>131hatay</v>
          </cell>
        </row>
        <row r="1700">
          <cell r="L1700">
            <v>300000</v>
          </cell>
          <cell r="Q1700" t="str">
            <v>642bv</v>
          </cell>
          <cell r="R1700" t="str">
            <v>1110</v>
          </cell>
        </row>
        <row r="1701">
          <cell r="L1701">
            <v>100000000</v>
          </cell>
          <cell r="Q1701" t="str">
            <v>112tec</v>
          </cell>
          <cell r="R1701" t="str">
            <v>1110</v>
          </cell>
        </row>
        <row r="1702">
          <cell r="L1702">
            <v>1300000</v>
          </cell>
          <cell r="Q1702" t="str">
            <v>141ninh</v>
          </cell>
          <cell r="R1702" t="str">
            <v>1110</v>
          </cell>
        </row>
        <row r="1703">
          <cell r="L1703">
            <v>200000000</v>
          </cell>
          <cell r="Q1703" t="str">
            <v>1110</v>
          </cell>
          <cell r="R1703" t="str">
            <v>131xnkhy</v>
          </cell>
        </row>
        <row r="1704">
          <cell r="L1704">
            <v>200000000</v>
          </cell>
          <cell r="Q1704" t="str">
            <v>1110</v>
          </cell>
          <cell r="R1704" t="str">
            <v>131viettra</v>
          </cell>
        </row>
        <row r="1705">
          <cell r="L1705">
            <v>3000000</v>
          </cell>
          <cell r="Q1705" t="str">
            <v>1110</v>
          </cell>
          <cell r="R1705" t="str">
            <v>141hióu</v>
          </cell>
        </row>
        <row r="1706">
          <cell r="L1706">
            <v>2000000</v>
          </cell>
          <cell r="Q1706" t="str">
            <v>1110</v>
          </cell>
          <cell r="R1706" t="str">
            <v>141tuên-dl</v>
          </cell>
        </row>
        <row r="1707">
          <cell r="L1707">
            <v>3142427</v>
          </cell>
          <cell r="Q1707" t="str">
            <v>641kd</v>
          </cell>
          <cell r="R1707" t="str">
            <v>112tec</v>
          </cell>
        </row>
        <row r="1708">
          <cell r="L1708">
            <v>314243</v>
          </cell>
          <cell r="Q1708" t="str">
            <v>1331331</v>
          </cell>
          <cell r="R1708" t="str">
            <v>112tec</v>
          </cell>
        </row>
        <row r="1709">
          <cell r="L1709">
            <v>143636</v>
          </cell>
          <cell r="Q1709" t="str">
            <v>641kd</v>
          </cell>
          <cell r="R1709" t="str">
            <v>112tec</v>
          </cell>
        </row>
        <row r="1710">
          <cell r="L1710">
            <v>14364</v>
          </cell>
          <cell r="Q1710" t="str">
            <v>1331331</v>
          </cell>
          <cell r="R1710" t="str">
            <v>112tec</v>
          </cell>
        </row>
        <row r="1711">
          <cell r="L1711">
            <v>315609000</v>
          </cell>
          <cell r="Q1711" t="str">
            <v>144</v>
          </cell>
          <cell r="R1711" t="str">
            <v>112tec</v>
          </cell>
        </row>
        <row r="1712">
          <cell r="L1712">
            <v>16873</v>
          </cell>
          <cell r="Q1712" t="str">
            <v>112ct</v>
          </cell>
          <cell r="R1712" t="str">
            <v>711ct</v>
          </cell>
        </row>
        <row r="1713">
          <cell r="L1713">
            <v>200000</v>
          </cell>
          <cell r="Q1713" t="str">
            <v>1110</v>
          </cell>
          <cell r="R1713" t="str">
            <v>511ks</v>
          </cell>
        </row>
        <row r="1714">
          <cell r="L1714">
            <v>20000</v>
          </cell>
          <cell r="Q1714" t="str">
            <v>1110</v>
          </cell>
          <cell r="R1714" t="str">
            <v>3333331</v>
          </cell>
        </row>
        <row r="1715">
          <cell r="L1715">
            <v>7035</v>
          </cell>
          <cell r="Q1715" t="str">
            <v>112qt</v>
          </cell>
          <cell r="R1715" t="str">
            <v>711qt</v>
          </cell>
        </row>
        <row r="1716">
          <cell r="L1716">
            <v>120000000</v>
          </cell>
          <cell r="Q1716" t="str">
            <v>331xk2</v>
          </cell>
          <cell r="R1716" t="str">
            <v>1110</v>
          </cell>
        </row>
        <row r="1717">
          <cell r="L1717">
            <v>19200000</v>
          </cell>
          <cell r="Q1717" t="str">
            <v>311nk2</v>
          </cell>
          <cell r="R1717" t="str">
            <v>1110</v>
          </cell>
        </row>
        <row r="1718">
          <cell r="L1718">
            <v>2893000</v>
          </cell>
          <cell r="Q1718" t="str">
            <v>811tec</v>
          </cell>
          <cell r="R1718" t="str">
            <v>112tec</v>
          </cell>
        </row>
        <row r="1719">
          <cell r="L1719">
            <v>4133000</v>
          </cell>
          <cell r="Q1719" t="str">
            <v>811tec</v>
          </cell>
          <cell r="R1719" t="str">
            <v>112tec</v>
          </cell>
        </row>
        <row r="1720">
          <cell r="L1720">
            <v>8103000</v>
          </cell>
          <cell r="Q1720" t="str">
            <v>811tec</v>
          </cell>
          <cell r="R1720" t="str">
            <v>112tec</v>
          </cell>
        </row>
        <row r="1721">
          <cell r="L1721">
            <v>16800000</v>
          </cell>
          <cell r="Q1721" t="str">
            <v>112ct</v>
          </cell>
          <cell r="R1721" t="str">
            <v>131cangkd</v>
          </cell>
        </row>
        <row r="1722">
          <cell r="L1722">
            <v>4758000</v>
          </cell>
          <cell r="Q1722" t="str">
            <v>1110</v>
          </cell>
          <cell r="R1722" t="str">
            <v>131khle</v>
          </cell>
        </row>
        <row r="1723">
          <cell r="L1723">
            <v>15000000</v>
          </cell>
          <cell r="Q1723" t="str">
            <v>1110</v>
          </cell>
          <cell r="R1723" t="str">
            <v>141tþ</v>
          </cell>
        </row>
        <row r="1724">
          <cell r="L1724">
            <v>3790000</v>
          </cell>
          <cell r="Q1724" t="str">
            <v>1110</v>
          </cell>
          <cell r="R1724" t="str">
            <v>131ptrinh</v>
          </cell>
        </row>
        <row r="1725">
          <cell r="L1725">
            <v>454545</v>
          </cell>
          <cell r="Q1725" t="str">
            <v>1110</v>
          </cell>
          <cell r="R1725" t="str">
            <v>511ks</v>
          </cell>
        </row>
        <row r="1726">
          <cell r="L1726">
            <v>45455</v>
          </cell>
          <cell r="Q1726" t="str">
            <v>1110</v>
          </cell>
          <cell r="R1726" t="str">
            <v>3333331</v>
          </cell>
        </row>
        <row r="1727">
          <cell r="L1727">
            <v>1464000</v>
          </cell>
          <cell r="Q1727" t="str">
            <v>1110</v>
          </cell>
          <cell r="R1727" t="str">
            <v>131khle</v>
          </cell>
        </row>
        <row r="1728">
          <cell r="L1728">
            <v>1125000</v>
          </cell>
          <cell r="Q1728" t="str">
            <v>4310</v>
          </cell>
          <cell r="R1728" t="str">
            <v>1110</v>
          </cell>
        </row>
        <row r="1729">
          <cell r="L1729">
            <v>9081799</v>
          </cell>
          <cell r="Q1729" t="str">
            <v>3333332</v>
          </cell>
          <cell r="R1729" t="str">
            <v>1110</v>
          </cell>
        </row>
        <row r="1730">
          <cell r="L1730">
            <v>13491912</v>
          </cell>
          <cell r="Q1730" t="str">
            <v>641dl</v>
          </cell>
          <cell r="R1730" t="str">
            <v>1110</v>
          </cell>
        </row>
        <row r="1731">
          <cell r="L1731">
            <v>404088</v>
          </cell>
          <cell r="Q1731" t="str">
            <v>1331331</v>
          </cell>
          <cell r="R1731" t="str">
            <v>1110</v>
          </cell>
        </row>
        <row r="1732">
          <cell r="L1732">
            <v>15129999</v>
          </cell>
          <cell r="Q1732" t="str">
            <v>112tec</v>
          </cell>
          <cell r="R1732" t="str">
            <v>1110</v>
          </cell>
        </row>
        <row r="1733">
          <cell r="L1733">
            <v>2000000</v>
          </cell>
          <cell r="Q1733" t="str">
            <v>642tk</v>
          </cell>
          <cell r="R1733" t="str">
            <v>1110</v>
          </cell>
        </row>
        <row r="1734">
          <cell r="L1734">
            <v>3527591</v>
          </cell>
          <cell r="Q1734" t="str">
            <v>641kd</v>
          </cell>
          <cell r="R1734" t="str">
            <v>1110</v>
          </cell>
        </row>
        <row r="1735">
          <cell r="L1735">
            <v>262409</v>
          </cell>
          <cell r="Q1735" t="str">
            <v>1331331</v>
          </cell>
          <cell r="R1735" t="str">
            <v>1110</v>
          </cell>
        </row>
        <row r="1736">
          <cell r="L1736">
            <v>4800000</v>
          </cell>
          <cell r="Q1736" t="str">
            <v>311nk2</v>
          </cell>
          <cell r="R1736" t="str">
            <v>1110</v>
          </cell>
        </row>
        <row r="1737">
          <cell r="L1737">
            <v>672420</v>
          </cell>
          <cell r="Q1737" t="str">
            <v>1110</v>
          </cell>
          <cell r="R1737" t="str">
            <v>3383383</v>
          </cell>
        </row>
        <row r="1738">
          <cell r="L1738">
            <v>134484</v>
          </cell>
          <cell r="Q1738" t="str">
            <v>1110</v>
          </cell>
          <cell r="R1738" t="str">
            <v>3383384</v>
          </cell>
        </row>
        <row r="1739">
          <cell r="L1739">
            <v>272727</v>
          </cell>
          <cell r="Q1739" t="str">
            <v>1110</v>
          </cell>
          <cell r="R1739" t="str">
            <v>511ks</v>
          </cell>
        </row>
        <row r="1740">
          <cell r="L1740">
            <v>27273</v>
          </cell>
          <cell r="Q1740" t="str">
            <v>1110</v>
          </cell>
          <cell r="R1740" t="str">
            <v>3333331</v>
          </cell>
        </row>
        <row r="1741">
          <cell r="L1741">
            <v>9852000</v>
          </cell>
          <cell r="Q1741" t="str">
            <v>3340</v>
          </cell>
          <cell r="R1741" t="str">
            <v>1110</v>
          </cell>
        </row>
        <row r="1742">
          <cell r="L1742">
            <v>600000</v>
          </cell>
          <cell r="Q1742" t="str">
            <v>642l</v>
          </cell>
          <cell r="R1742" t="str">
            <v>1110</v>
          </cell>
        </row>
        <row r="1743">
          <cell r="L1743">
            <v>40000000</v>
          </cell>
          <cell r="Q1743" t="str">
            <v>112tec</v>
          </cell>
          <cell r="R1743" t="str">
            <v>1110</v>
          </cell>
        </row>
        <row r="1744">
          <cell r="L1744">
            <v>3436969929</v>
          </cell>
          <cell r="Q1744" t="str">
            <v>632kd</v>
          </cell>
          <cell r="R1744" t="str">
            <v>1560</v>
          </cell>
        </row>
        <row r="1745">
          <cell r="L1745">
            <v>27000</v>
          </cell>
          <cell r="Q1745" t="str">
            <v>112tec</v>
          </cell>
          <cell r="R1745" t="str">
            <v>711tec</v>
          </cell>
        </row>
        <row r="1746">
          <cell r="L1746">
            <v>1500000</v>
          </cell>
          <cell r="Q1746" t="str">
            <v>1110</v>
          </cell>
          <cell r="R1746" t="str">
            <v>141ph­¬ng</v>
          </cell>
        </row>
        <row r="1747">
          <cell r="L1747">
            <v>7454545</v>
          </cell>
          <cell r="Q1747" t="str">
            <v>1110</v>
          </cell>
          <cell r="R1747" t="str">
            <v>511ch</v>
          </cell>
        </row>
        <row r="1748">
          <cell r="L1748">
            <v>745455</v>
          </cell>
          <cell r="Q1748" t="str">
            <v>1110</v>
          </cell>
          <cell r="R1748" t="str">
            <v>3333331</v>
          </cell>
        </row>
        <row r="1749">
          <cell r="L1749">
            <v>20000000</v>
          </cell>
          <cell r="Q1749" t="str">
            <v>1110</v>
          </cell>
          <cell r="R1749" t="str">
            <v>131vcb</v>
          </cell>
        </row>
        <row r="1750">
          <cell r="L1750">
            <v>323500</v>
          </cell>
          <cell r="Q1750" t="str">
            <v>642vp</v>
          </cell>
          <cell r="R1750" t="str">
            <v>1110</v>
          </cell>
        </row>
        <row r="1751">
          <cell r="L1751">
            <v>800000</v>
          </cell>
          <cell r="Q1751" t="str">
            <v>642®t</v>
          </cell>
          <cell r="R1751" t="str">
            <v>1110</v>
          </cell>
        </row>
        <row r="1752">
          <cell r="L1752">
            <v>120000</v>
          </cell>
          <cell r="Q1752" t="str">
            <v>642tk</v>
          </cell>
          <cell r="R1752" t="str">
            <v>1110</v>
          </cell>
        </row>
        <row r="1753">
          <cell r="L1753">
            <v>46000</v>
          </cell>
          <cell r="Q1753" t="str">
            <v>642dn</v>
          </cell>
          <cell r="R1753" t="str">
            <v>1110</v>
          </cell>
        </row>
        <row r="1754">
          <cell r="L1754">
            <v>271995412</v>
          </cell>
          <cell r="Q1754" t="str">
            <v>1331331</v>
          </cell>
          <cell r="R1754" t="str">
            <v>331§l¾c</v>
          </cell>
        </row>
        <row r="1755">
          <cell r="L1755">
            <v>117465920</v>
          </cell>
          <cell r="Q1755" t="str">
            <v>1331331</v>
          </cell>
          <cell r="R1755" t="str">
            <v>331§l¾c</v>
          </cell>
        </row>
        <row r="1756">
          <cell r="L1756">
            <v>209678086</v>
          </cell>
          <cell r="Q1756" t="str">
            <v>156asia35</v>
          </cell>
          <cell r="R1756" t="str">
            <v>331§l¾c</v>
          </cell>
        </row>
        <row r="1757">
          <cell r="L1757">
            <v>209678086</v>
          </cell>
          <cell r="Q1757" t="str">
            <v>156asia35</v>
          </cell>
          <cell r="R1757" t="str">
            <v>331§l¾c</v>
          </cell>
        </row>
        <row r="1758">
          <cell r="L1758">
            <v>419356172</v>
          </cell>
          <cell r="Q1758" t="str">
            <v>156hundai31</v>
          </cell>
          <cell r="R1758" t="str">
            <v>331§l¾c</v>
          </cell>
        </row>
        <row r="1759">
          <cell r="L1759">
            <v>251767686</v>
          </cell>
          <cell r="Q1759" t="str">
            <v>156asia43</v>
          </cell>
          <cell r="R1759" t="str">
            <v>331§l¾c</v>
          </cell>
        </row>
        <row r="1760">
          <cell r="L1760">
            <v>251767686</v>
          </cell>
          <cell r="Q1760" t="str">
            <v>156asia41</v>
          </cell>
          <cell r="R1760" t="str">
            <v>331§l¾c</v>
          </cell>
        </row>
        <row r="1761">
          <cell r="L1761">
            <v>251767686</v>
          </cell>
          <cell r="Q1761" t="str">
            <v>156asia46</v>
          </cell>
          <cell r="R1761" t="str">
            <v>331§l¾c</v>
          </cell>
        </row>
        <row r="1762">
          <cell r="L1762">
            <v>503535312</v>
          </cell>
          <cell r="Q1762" t="str">
            <v>156hundai47</v>
          </cell>
          <cell r="R1762" t="str">
            <v>331§l¾c</v>
          </cell>
        </row>
        <row r="1763">
          <cell r="L1763">
            <v>251767686</v>
          </cell>
          <cell r="Q1763" t="str">
            <v>156hundai46</v>
          </cell>
          <cell r="R1763" t="str">
            <v>331§l¾c</v>
          </cell>
        </row>
        <row r="1764">
          <cell r="L1764">
            <v>502174236</v>
          </cell>
          <cell r="Q1764" t="str">
            <v>156deowoo46</v>
          </cell>
          <cell r="R1764" t="str">
            <v>331§l¾c</v>
          </cell>
        </row>
        <row r="1765">
          <cell r="L1765">
            <v>4268481006</v>
          </cell>
          <cell r="Q1765" t="str">
            <v>156deowoo46</v>
          </cell>
          <cell r="R1765" t="str">
            <v>331§l¾c</v>
          </cell>
        </row>
        <row r="1766">
          <cell r="L1766">
            <v>251087118</v>
          </cell>
          <cell r="Q1766" t="str">
            <v>156asia42</v>
          </cell>
          <cell r="R1766" t="str">
            <v>331§l¾c</v>
          </cell>
        </row>
        <row r="1767">
          <cell r="L1767">
            <v>209082918</v>
          </cell>
          <cell r="Q1767" t="str">
            <v>156asia31</v>
          </cell>
          <cell r="R1767" t="str">
            <v>331§l¾c</v>
          </cell>
        </row>
        <row r="1768">
          <cell r="L1768">
            <v>209082918</v>
          </cell>
          <cell r="Q1768" t="str">
            <v>156hundai35</v>
          </cell>
          <cell r="R1768" t="str">
            <v>331§l¾c</v>
          </cell>
        </row>
        <row r="1769">
          <cell r="L1769">
            <v>239833600</v>
          </cell>
          <cell r="Q1769" t="str">
            <v>156hundai44</v>
          </cell>
          <cell r="R1769" t="str">
            <v>331hado</v>
          </cell>
        </row>
        <row r="1770">
          <cell r="L1770">
            <v>244573200</v>
          </cell>
          <cell r="Q1770" t="str">
            <v>156hundai44</v>
          </cell>
          <cell r="R1770" t="str">
            <v>3333333</v>
          </cell>
        </row>
        <row r="1771">
          <cell r="L1771">
            <v>600609000</v>
          </cell>
          <cell r="Q1771" t="str">
            <v>156hundai44</v>
          </cell>
          <cell r="R1771" t="str">
            <v>331hado</v>
          </cell>
        </row>
        <row r="1772">
          <cell r="L1772">
            <v>611433000</v>
          </cell>
          <cell r="Q1772" t="str">
            <v>156hundai44</v>
          </cell>
          <cell r="R1772" t="str">
            <v>3333333</v>
          </cell>
        </row>
        <row r="1773">
          <cell r="L1773">
            <v>58571000</v>
          </cell>
          <cell r="Q1773" t="str">
            <v>156tbvs</v>
          </cell>
          <cell r="R1773" t="str">
            <v>331chen</v>
          </cell>
        </row>
        <row r="1774">
          <cell r="L1774">
            <v>23095044</v>
          </cell>
          <cell r="Q1774" t="str">
            <v>156tbvs</v>
          </cell>
          <cell r="R1774" t="str">
            <v>3333333</v>
          </cell>
        </row>
        <row r="1775">
          <cell r="L1775">
            <v>71200000</v>
          </cell>
          <cell r="Q1775" t="str">
            <v>1110</v>
          </cell>
          <cell r="R1775" t="str">
            <v>131hïng</v>
          </cell>
        </row>
        <row r="1776">
          <cell r="L1776">
            <v>26800000</v>
          </cell>
          <cell r="Q1776" t="str">
            <v>1110</v>
          </cell>
          <cell r="R1776" t="str">
            <v>131hasa</v>
          </cell>
        </row>
        <row r="1777">
          <cell r="L1777">
            <v>300000</v>
          </cell>
          <cell r="Q1777" t="str">
            <v>642bv</v>
          </cell>
          <cell r="R1777" t="str">
            <v>1110</v>
          </cell>
        </row>
        <row r="1778">
          <cell r="L1778">
            <v>51500</v>
          </cell>
          <cell r="Q1778" t="str">
            <v>642tk</v>
          </cell>
          <cell r="R1778" t="str">
            <v>1110</v>
          </cell>
        </row>
        <row r="1779">
          <cell r="L1779">
            <v>31000</v>
          </cell>
          <cell r="Q1779" t="str">
            <v>642vp</v>
          </cell>
          <cell r="R1779" t="str">
            <v>1110</v>
          </cell>
        </row>
        <row r="1780">
          <cell r="L1780">
            <v>2000000</v>
          </cell>
          <cell r="Q1780" t="str">
            <v>141h­ng</v>
          </cell>
          <cell r="R1780" t="str">
            <v>1110</v>
          </cell>
        </row>
        <row r="1781">
          <cell r="L1781">
            <v>98000000</v>
          </cell>
          <cell r="Q1781" t="str">
            <v>311nk2</v>
          </cell>
          <cell r="R1781" t="str">
            <v>1110</v>
          </cell>
        </row>
        <row r="1782">
          <cell r="L1782">
            <v>3636</v>
          </cell>
          <cell r="Q1782" t="str">
            <v>641kd</v>
          </cell>
          <cell r="R1782" t="str">
            <v>112qt</v>
          </cell>
        </row>
        <row r="1783">
          <cell r="L1783">
            <v>364</v>
          </cell>
          <cell r="Q1783" t="str">
            <v>1331331</v>
          </cell>
          <cell r="R1783" t="str">
            <v>112qt</v>
          </cell>
        </row>
        <row r="1784">
          <cell r="L1784">
            <v>2123745</v>
          </cell>
          <cell r="Q1784" t="str">
            <v>642ct</v>
          </cell>
          <cell r="R1784" t="str">
            <v>1110</v>
          </cell>
        </row>
        <row r="1785">
          <cell r="L1785">
            <v>144755</v>
          </cell>
          <cell r="Q1785" t="str">
            <v>1331331</v>
          </cell>
          <cell r="R1785" t="str">
            <v>1110</v>
          </cell>
        </row>
        <row r="1786">
          <cell r="L1786">
            <v>5850000</v>
          </cell>
          <cell r="Q1786" t="str">
            <v>641kd</v>
          </cell>
          <cell r="R1786" t="str">
            <v>1110</v>
          </cell>
        </row>
        <row r="1787">
          <cell r="L1787">
            <v>164546</v>
          </cell>
          <cell r="Q1787" t="str">
            <v>641kd</v>
          </cell>
          <cell r="R1787" t="str">
            <v>1110</v>
          </cell>
        </row>
        <row r="1788">
          <cell r="L1788">
            <v>16454</v>
          </cell>
          <cell r="Q1788" t="str">
            <v>1331331</v>
          </cell>
          <cell r="R1788" t="str">
            <v>1110</v>
          </cell>
        </row>
        <row r="1789">
          <cell r="L1789">
            <v>546000</v>
          </cell>
          <cell r="Q1789" t="str">
            <v>3340</v>
          </cell>
          <cell r="R1789" t="str">
            <v>1110</v>
          </cell>
        </row>
        <row r="1790">
          <cell r="L1790">
            <v>500000000</v>
          </cell>
          <cell r="Q1790" t="str">
            <v>112tec</v>
          </cell>
          <cell r="R1790" t="str">
            <v>131viettra</v>
          </cell>
        </row>
        <row r="1791">
          <cell r="L1791">
            <v>350000000</v>
          </cell>
          <cell r="Q1791" t="str">
            <v>311tec</v>
          </cell>
          <cell r="R1791" t="str">
            <v>112tec</v>
          </cell>
        </row>
        <row r="1792">
          <cell r="L1792">
            <v>560000</v>
          </cell>
          <cell r="Q1792" t="str">
            <v>811tec</v>
          </cell>
          <cell r="R1792" t="str">
            <v>112tec</v>
          </cell>
        </row>
        <row r="1793">
          <cell r="L1793">
            <v>856000000</v>
          </cell>
          <cell r="Q1793" t="str">
            <v>112qt</v>
          </cell>
          <cell r="R1793" t="str">
            <v>131hvu</v>
          </cell>
        </row>
        <row r="1794">
          <cell r="L1794">
            <v>181818</v>
          </cell>
          <cell r="Q1794" t="str">
            <v>1110</v>
          </cell>
          <cell r="R1794" t="str">
            <v>511ks</v>
          </cell>
        </row>
        <row r="1795">
          <cell r="L1795">
            <v>18182</v>
          </cell>
          <cell r="Q1795" t="str">
            <v>1110</v>
          </cell>
          <cell r="R1795" t="str">
            <v>3333331</v>
          </cell>
        </row>
        <row r="1796">
          <cell r="L1796">
            <v>1000000</v>
          </cell>
          <cell r="Q1796" t="str">
            <v>1110</v>
          </cell>
          <cell r="R1796" t="str">
            <v>141thuû</v>
          </cell>
        </row>
        <row r="1797">
          <cell r="L1797">
            <v>3000000</v>
          </cell>
          <cell r="Q1797" t="str">
            <v>1110</v>
          </cell>
          <cell r="R1797" t="str">
            <v>141hoµn</v>
          </cell>
        </row>
        <row r="1798">
          <cell r="L1798">
            <v>2989000</v>
          </cell>
          <cell r="Q1798" t="str">
            <v>141hióu</v>
          </cell>
          <cell r="R1798" t="str">
            <v>1110</v>
          </cell>
        </row>
        <row r="1799">
          <cell r="L1799">
            <v>350000</v>
          </cell>
          <cell r="Q1799" t="str">
            <v>642k</v>
          </cell>
          <cell r="R1799" t="str">
            <v>1110</v>
          </cell>
        </row>
        <row r="1800">
          <cell r="L1800">
            <v>5000000</v>
          </cell>
          <cell r="Q1800" t="str">
            <v>112ba</v>
          </cell>
          <cell r="R1800" t="str">
            <v>1110</v>
          </cell>
        </row>
        <row r="1801">
          <cell r="L1801">
            <v>90000000</v>
          </cell>
          <cell r="Q1801" t="str">
            <v>311nk2</v>
          </cell>
          <cell r="R1801" t="str">
            <v>112qt</v>
          </cell>
        </row>
        <row r="1802">
          <cell r="L1802">
            <v>400000000</v>
          </cell>
          <cell r="Q1802" t="str">
            <v>331unimex</v>
          </cell>
          <cell r="R1802" t="str">
            <v>112qt</v>
          </cell>
        </row>
        <row r="1803">
          <cell r="L1803">
            <v>350000000</v>
          </cell>
          <cell r="Q1803" t="str">
            <v>112tec</v>
          </cell>
          <cell r="R1803" t="str">
            <v>112qt</v>
          </cell>
        </row>
        <row r="1804">
          <cell r="L1804">
            <v>10908</v>
          </cell>
          <cell r="Q1804" t="str">
            <v>641kd</v>
          </cell>
          <cell r="R1804" t="str">
            <v>112qt</v>
          </cell>
        </row>
        <row r="1805">
          <cell r="L1805">
            <v>1092</v>
          </cell>
          <cell r="Q1805" t="str">
            <v>1331331</v>
          </cell>
          <cell r="R1805" t="str">
            <v>112qt</v>
          </cell>
        </row>
        <row r="1806">
          <cell r="L1806">
            <v>3000000</v>
          </cell>
          <cell r="Q1806" t="str">
            <v>1110</v>
          </cell>
          <cell r="R1806" t="str">
            <v>141l©m</v>
          </cell>
        </row>
        <row r="1807">
          <cell r="L1807">
            <v>220000000</v>
          </cell>
          <cell r="Q1807" t="str">
            <v>311tec</v>
          </cell>
          <cell r="R1807" t="str">
            <v>112tec</v>
          </cell>
        </row>
        <row r="1808">
          <cell r="L1808">
            <v>1545500</v>
          </cell>
          <cell r="Q1808" t="str">
            <v>641kd</v>
          </cell>
          <cell r="R1808" t="str">
            <v>1110</v>
          </cell>
        </row>
        <row r="1809">
          <cell r="L1809">
            <v>89100</v>
          </cell>
          <cell r="Q1809" t="str">
            <v>1331331</v>
          </cell>
          <cell r="R1809" t="str">
            <v>1110</v>
          </cell>
        </row>
        <row r="1810">
          <cell r="L1810">
            <v>2727273</v>
          </cell>
          <cell r="Q1810" t="str">
            <v>642vp</v>
          </cell>
          <cell r="R1810" t="str">
            <v>1110</v>
          </cell>
        </row>
        <row r="1811">
          <cell r="L1811">
            <v>272727</v>
          </cell>
          <cell r="Q1811" t="str">
            <v>1331331</v>
          </cell>
          <cell r="R1811" t="str">
            <v>1110</v>
          </cell>
        </row>
        <row r="1812">
          <cell r="L1812">
            <v>5000000</v>
          </cell>
          <cell r="Q1812" t="str">
            <v>141ninh</v>
          </cell>
          <cell r="R1812" t="str">
            <v>1110</v>
          </cell>
        </row>
        <row r="1813">
          <cell r="L1813">
            <v>86003344</v>
          </cell>
          <cell r="Q1813" t="str">
            <v>331unimex</v>
          </cell>
          <cell r="R1813" t="str">
            <v>112tec</v>
          </cell>
        </row>
        <row r="1814">
          <cell r="L1814">
            <v>3636</v>
          </cell>
          <cell r="Q1814" t="str">
            <v>641kd</v>
          </cell>
          <cell r="R1814" t="str">
            <v>112tec</v>
          </cell>
        </row>
        <row r="1815">
          <cell r="L1815">
            <v>364</v>
          </cell>
          <cell r="Q1815" t="str">
            <v>1331331</v>
          </cell>
          <cell r="R1815" t="str">
            <v>112tec</v>
          </cell>
        </row>
        <row r="1816">
          <cell r="L1816">
            <v>9014250</v>
          </cell>
          <cell r="Q1816" t="str">
            <v>3333337</v>
          </cell>
          <cell r="R1816" t="str">
            <v>112ct</v>
          </cell>
        </row>
        <row r="1817">
          <cell r="L1817">
            <v>2000</v>
          </cell>
          <cell r="Q1817" t="str">
            <v>641kd</v>
          </cell>
          <cell r="R1817" t="str">
            <v>112ct</v>
          </cell>
        </row>
        <row r="1818">
          <cell r="L1818">
            <v>200</v>
          </cell>
          <cell r="Q1818" t="str">
            <v>1331331</v>
          </cell>
          <cell r="R1818" t="str">
            <v>112ct</v>
          </cell>
        </row>
        <row r="1819">
          <cell r="L1819">
            <v>21000</v>
          </cell>
          <cell r="Q1819" t="str">
            <v>642tk</v>
          </cell>
          <cell r="R1819" t="str">
            <v>1110</v>
          </cell>
        </row>
        <row r="1820">
          <cell r="L1820">
            <v>20000</v>
          </cell>
          <cell r="Q1820" t="str">
            <v>642k</v>
          </cell>
          <cell r="R1820" t="str">
            <v>1110</v>
          </cell>
        </row>
        <row r="1821">
          <cell r="L1821">
            <v>300000000</v>
          </cell>
          <cell r="Q1821" t="str">
            <v>112ba</v>
          </cell>
          <cell r="R1821" t="str">
            <v>131sonha</v>
          </cell>
        </row>
        <row r="1822">
          <cell r="L1822">
            <v>15000000</v>
          </cell>
          <cell r="Q1822" t="str">
            <v>1110</v>
          </cell>
          <cell r="R1822" t="str">
            <v>112qt</v>
          </cell>
        </row>
        <row r="1823">
          <cell r="L1823">
            <v>270000000</v>
          </cell>
          <cell r="Q1823" t="str">
            <v>112tec</v>
          </cell>
          <cell r="R1823" t="str">
            <v>131ptrinh</v>
          </cell>
        </row>
        <row r="1824">
          <cell r="L1824">
            <v>136364</v>
          </cell>
          <cell r="Q1824" t="str">
            <v>1110</v>
          </cell>
          <cell r="R1824" t="str">
            <v>511ks</v>
          </cell>
        </row>
        <row r="1825">
          <cell r="L1825">
            <v>13636</v>
          </cell>
          <cell r="Q1825" t="str">
            <v>1110</v>
          </cell>
          <cell r="R1825" t="str">
            <v>3333331</v>
          </cell>
        </row>
        <row r="1826">
          <cell r="L1826">
            <v>7241800</v>
          </cell>
          <cell r="Q1826" t="str">
            <v>1110</v>
          </cell>
          <cell r="R1826" t="str">
            <v>131viettra</v>
          </cell>
        </row>
        <row r="1827">
          <cell r="L1827">
            <v>600000</v>
          </cell>
          <cell r="Q1827" t="str">
            <v>642l</v>
          </cell>
          <cell r="R1827" t="str">
            <v>1110</v>
          </cell>
        </row>
        <row r="1828">
          <cell r="L1828">
            <v>9875000</v>
          </cell>
          <cell r="Q1828" t="str">
            <v>3340</v>
          </cell>
          <cell r="R1828" t="str">
            <v>1110</v>
          </cell>
        </row>
        <row r="1829">
          <cell r="L1829">
            <v>120000</v>
          </cell>
          <cell r="Q1829" t="str">
            <v>641kd</v>
          </cell>
          <cell r="R1829" t="str">
            <v>1110</v>
          </cell>
        </row>
        <row r="1830">
          <cell r="L1830">
            <v>1675775</v>
          </cell>
          <cell r="Q1830" t="str">
            <v>642®t</v>
          </cell>
          <cell r="R1830" t="str">
            <v>1110</v>
          </cell>
        </row>
        <row r="1831">
          <cell r="L1831">
            <v>167578</v>
          </cell>
          <cell r="Q1831" t="str">
            <v>1331331</v>
          </cell>
          <cell r="R1831" t="str">
            <v>1110</v>
          </cell>
        </row>
        <row r="1832">
          <cell r="L1832">
            <v>7241800</v>
          </cell>
          <cell r="Q1832" t="str">
            <v>331unimex</v>
          </cell>
          <cell r="R1832" t="str">
            <v>1110</v>
          </cell>
        </row>
        <row r="1833">
          <cell r="L1833">
            <v>426773000</v>
          </cell>
          <cell r="Q1833" t="str">
            <v>331nox</v>
          </cell>
          <cell r="R1833" t="str">
            <v>112tec</v>
          </cell>
        </row>
        <row r="1834">
          <cell r="L1834">
            <v>193636</v>
          </cell>
          <cell r="Q1834" t="str">
            <v>641kd</v>
          </cell>
          <cell r="R1834" t="str">
            <v>112tec</v>
          </cell>
        </row>
        <row r="1835">
          <cell r="L1835">
            <v>19364</v>
          </cell>
          <cell r="Q1835" t="str">
            <v>1331331</v>
          </cell>
          <cell r="R1835" t="str">
            <v>112tec</v>
          </cell>
        </row>
        <row r="1836">
          <cell r="L1836">
            <v>995607</v>
          </cell>
          <cell r="Q1836" t="str">
            <v>641kd</v>
          </cell>
          <cell r="R1836" t="str">
            <v>112tec</v>
          </cell>
        </row>
        <row r="1837">
          <cell r="L1837">
            <v>99561</v>
          </cell>
          <cell r="Q1837" t="str">
            <v>1331331</v>
          </cell>
          <cell r="R1837" t="str">
            <v>112tec</v>
          </cell>
        </row>
        <row r="1838">
          <cell r="L1838">
            <v>3000000</v>
          </cell>
          <cell r="Q1838" t="str">
            <v>642k</v>
          </cell>
          <cell r="R1838" t="str">
            <v>112ct</v>
          </cell>
        </row>
        <row r="1839">
          <cell r="L1839">
            <v>2000</v>
          </cell>
          <cell r="Q1839" t="str">
            <v>641kd</v>
          </cell>
          <cell r="R1839" t="str">
            <v>112ct</v>
          </cell>
        </row>
        <row r="1840">
          <cell r="L1840">
            <v>200</v>
          </cell>
          <cell r="Q1840" t="str">
            <v>1331331</v>
          </cell>
          <cell r="R1840" t="str">
            <v>112ct</v>
          </cell>
        </row>
        <row r="1841">
          <cell r="L1841">
            <v>100000000</v>
          </cell>
          <cell r="Q1841" t="str">
            <v>1110</v>
          </cell>
          <cell r="R1841" t="str">
            <v>131viettra</v>
          </cell>
        </row>
        <row r="1842">
          <cell r="L1842">
            <v>40000000</v>
          </cell>
          <cell r="Q1842" t="str">
            <v>1110</v>
          </cell>
          <cell r="R1842" t="str">
            <v>131xnkhy</v>
          </cell>
        </row>
        <row r="1843">
          <cell r="L1843">
            <v>219052</v>
          </cell>
          <cell r="Q1843" t="str">
            <v>331unimex</v>
          </cell>
          <cell r="R1843" t="str">
            <v>1110</v>
          </cell>
        </row>
        <row r="1844">
          <cell r="L1844">
            <v>272846</v>
          </cell>
          <cell r="Q1844" t="str">
            <v>331unimex</v>
          </cell>
          <cell r="R1844" t="str">
            <v>1110</v>
          </cell>
        </row>
        <row r="1845">
          <cell r="L1845">
            <v>1328300</v>
          </cell>
          <cell r="Q1845" t="str">
            <v>642tk</v>
          </cell>
          <cell r="R1845" t="str">
            <v>1110</v>
          </cell>
        </row>
        <row r="1846">
          <cell r="L1846">
            <v>72700</v>
          </cell>
          <cell r="Q1846" t="str">
            <v>1331331</v>
          </cell>
          <cell r="R1846" t="str">
            <v>1110</v>
          </cell>
        </row>
        <row r="1847">
          <cell r="L1847">
            <v>84000</v>
          </cell>
          <cell r="Q1847" t="str">
            <v>642vp</v>
          </cell>
          <cell r="R1847" t="str">
            <v>1110</v>
          </cell>
        </row>
        <row r="1848">
          <cell r="L1848">
            <v>28000000</v>
          </cell>
          <cell r="Q1848" t="str">
            <v>311qt</v>
          </cell>
          <cell r="R1848" t="str">
            <v>1110</v>
          </cell>
        </row>
        <row r="1849">
          <cell r="L1849">
            <v>60000000</v>
          </cell>
          <cell r="Q1849" t="str">
            <v>311nk2</v>
          </cell>
          <cell r="R1849" t="str">
            <v>1110</v>
          </cell>
        </row>
        <row r="1850">
          <cell r="L1850">
            <v>3172987</v>
          </cell>
          <cell r="Q1850" t="str">
            <v>642®t</v>
          </cell>
          <cell r="R1850" t="str">
            <v>1110</v>
          </cell>
        </row>
        <row r="1851">
          <cell r="L1851">
            <v>317299</v>
          </cell>
          <cell r="Q1851" t="str">
            <v>1331331</v>
          </cell>
          <cell r="R1851" t="str">
            <v>1110</v>
          </cell>
        </row>
        <row r="1852">
          <cell r="L1852">
            <v>123500</v>
          </cell>
          <cell r="Q1852" t="str">
            <v>642vp</v>
          </cell>
          <cell r="R1852" t="str">
            <v>1110</v>
          </cell>
        </row>
        <row r="1853">
          <cell r="L1853">
            <v>15000</v>
          </cell>
          <cell r="Q1853" t="str">
            <v>1331331</v>
          </cell>
          <cell r="R1853" t="str">
            <v>1110</v>
          </cell>
        </row>
        <row r="1854">
          <cell r="L1854">
            <v>150000</v>
          </cell>
          <cell r="Q1854" t="str">
            <v>642vp</v>
          </cell>
          <cell r="R1854" t="str">
            <v>1110</v>
          </cell>
        </row>
        <row r="1855">
          <cell r="L1855">
            <v>25000000</v>
          </cell>
          <cell r="Q1855" t="str">
            <v>141hoµn</v>
          </cell>
          <cell r="R1855" t="str">
            <v>1110</v>
          </cell>
        </row>
        <row r="1856">
          <cell r="L1856">
            <v>928000</v>
          </cell>
          <cell r="Q1856" t="str">
            <v>141h­ng</v>
          </cell>
          <cell r="R1856" t="str">
            <v>1110</v>
          </cell>
        </row>
        <row r="1857">
          <cell r="L1857">
            <v>20000000</v>
          </cell>
          <cell r="Q1857" t="str">
            <v>1110</v>
          </cell>
          <cell r="R1857" t="str">
            <v>141hoµn</v>
          </cell>
        </row>
        <row r="1858">
          <cell r="L1858">
            <v>30000000</v>
          </cell>
          <cell r="Q1858" t="str">
            <v>1110</v>
          </cell>
          <cell r="R1858" t="str">
            <v>112tec</v>
          </cell>
        </row>
        <row r="1859">
          <cell r="L1859">
            <v>30000000</v>
          </cell>
          <cell r="Q1859" t="str">
            <v>1110</v>
          </cell>
          <cell r="R1859" t="str">
            <v>131hïng</v>
          </cell>
        </row>
        <row r="1860">
          <cell r="L1860">
            <v>1987415</v>
          </cell>
          <cell r="Q1860" t="str">
            <v>1110</v>
          </cell>
          <cell r="R1860" t="str">
            <v>642®t</v>
          </cell>
        </row>
        <row r="1861">
          <cell r="L1861">
            <v>1766570</v>
          </cell>
          <cell r="Q1861" t="str">
            <v>642dn</v>
          </cell>
          <cell r="R1861" t="str">
            <v>1110</v>
          </cell>
        </row>
        <row r="1862">
          <cell r="L1862">
            <v>176657</v>
          </cell>
          <cell r="Q1862" t="str">
            <v>1331331</v>
          </cell>
          <cell r="R1862" t="str">
            <v>1110</v>
          </cell>
        </row>
        <row r="1863">
          <cell r="L1863">
            <v>260000</v>
          </cell>
          <cell r="Q1863" t="str">
            <v>641dl</v>
          </cell>
          <cell r="R1863" t="str">
            <v>1110</v>
          </cell>
        </row>
        <row r="1864">
          <cell r="L1864">
            <v>92000000</v>
          </cell>
          <cell r="Q1864" t="str">
            <v>311qt</v>
          </cell>
          <cell r="R1864" t="str">
            <v>1110</v>
          </cell>
        </row>
        <row r="1865">
          <cell r="L1865">
            <v>560000000</v>
          </cell>
          <cell r="Q1865" t="str">
            <v>112tec</v>
          </cell>
          <cell r="R1865" t="str">
            <v>131ptrinh</v>
          </cell>
        </row>
        <row r="1866">
          <cell r="L1866">
            <v>3636</v>
          </cell>
          <cell r="Q1866" t="str">
            <v>641kd</v>
          </cell>
          <cell r="R1866" t="str">
            <v>112tec</v>
          </cell>
        </row>
        <row r="1867">
          <cell r="L1867">
            <v>364</v>
          </cell>
          <cell r="Q1867" t="str">
            <v>1331331</v>
          </cell>
          <cell r="R1867" t="str">
            <v>112tec</v>
          </cell>
        </row>
        <row r="1868">
          <cell r="L1868">
            <v>100000000</v>
          </cell>
          <cell r="Q1868" t="str">
            <v>1110</v>
          </cell>
          <cell r="R1868" t="str">
            <v>131hvu</v>
          </cell>
        </row>
        <row r="1869">
          <cell r="L1869">
            <v>12000000</v>
          </cell>
          <cell r="Q1869" t="str">
            <v>311qt</v>
          </cell>
          <cell r="R1869" t="str">
            <v>1110</v>
          </cell>
        </row>
        <row r="1870">
          <cell r="L1870">
            <v>42581034</v>
          </cell>
          <cell r="Q1870" t="str">
            <v>1110</v>
          </cell>
          <cell r="R1870" t="str">
            <v>131hvu</v>
          </cell>
        </row>
        <row r="1871">
          <cell r="L1871">
            <v>16000000</v>
          </cell>
          <cell r="Q1871" t="str">
            <v>141dòngkt</v>
          </cell>
          <cell r="R1871" t="str">
            <v>1110</v>
          </cell>
        </row>
        <row r="1872">
          <cell r="L1872">
            <v>300000</v>
          </cell>
          <cell r="Q1872" t="str">
            <v>642bv</v>
          </cell>
          <cell r="R1872" t="str">
            <v>1110</v>
          </cell>
        </row>
        <row r="1873">
          <cell r="L1873">
            <v>3909524</v>
          </cell>
          <cell r="Q1873" t="str">
            <v>642ct</v>
          </cell>
          <cell r="R1873" t="str">
            <v>1110</v>
          </cell>
        </row>
        <row r="1874">
          <cell r="L1874">
            <v>190476</v>
          </cell>
          <cell r="Q1874" t="str">
            <v>1331331</v>
          </cell>
          <cell r="R1874" t="str">
            <v>1110</v>
          </cell>
        </row>
        <row r="1875">
          <cell r="L1875">
            <v>21398966</v>
          </cell>
          <cell r="Q1875" t="str">
            <v>1110</v>
          </cell>
          <cell r="R1875" t="str">
            <v>711hvu</v>
          </cell>
        </row>
        <row r="1876">
          <cell r="L1876">
            <v>499590000</v>
          </cell>
          <cell r="Q1876" t="str">
            <v>3333333</v>
          </cell>
          <cell r="R1876" t="str">
            <v>112tec</v>
          </cell>
        </row>
        <row r="1877">
          <cell r="L1877">
            <v>227273</v>
          </cell>
          <cell r="Q1877" t="str">
            <v>641kd</v>
          </cell>
          <cell r="R1877" t="str">
            <v>112tec</v>
          </cell>
        </row>
        <row r="1878">
          <cell r="L1878">
            <v>22727</v>
          </cell>
          <cell r="Q1878" t="str">
            <v>1331331</v>
          </cell>
          <cell r="R1878" t="str">
            <v>112tec</v>
          </cell>
        </row>
        <row r="1879">
          <cell r="L1879">
            <v>53391</v>
          </cell>
          <cell r="Q1879" t="str">
            <v>112qt</v>
          </cell>
          <cell r="R1879" t="str">
            <v>711qt</v>
          </cell>
        </row>
        <row r="1880">
          <cell r="L1880">
            <v>2755133</v>
          </cell>
          <cell r="Q1880" t="str">
            <v>811qt</v>
          </cell>
          <cell r="R1880" t="str">
            <v>112qt</v>
          </cell>
        </row>
        <row r="1881">
          <cell r="L1881">
            <v>30000000</v>
          </cell>
          <cell r="Q1881" t="str">
            <v>1110</v>
          </cell>
          <cell r="R1881" t="str">
            <v>131ploc</v>
          </cell>
        </row>
        <row r="1882">
          <cell r="L1882">
            <v>60000000</v>
          </cell>
          <cell r="Q1882" t="str">
            <v>311nk2</v>
          </cell>
          <cell r="R1882" t="str">
            <v>1110</v>
          </cell>
        </row>
        <row r="1883">
          <cell r="L1883">
            <v>267300</v>
          </cell>
          <cell r="Q1883" t="str">
            <v>642vp</v>
          </cell>
          <cell r="R1883" t="str">
            <v>1110</v>
          </cell>
        </row>
        <row r="1884">
          <cell r="L1884">
            <v>26700</v>
          </cell>
          <cell r="Q1884" t="str">
            <v>1331331</v>
          </cell>
          <cell r="R1884" t="str">
            <v>1110</v>
          </cell>
        </row>
        <row r="1885">
          <cell r="L1885">
            <v>40000000</v>
          </cell>
          <cell r="Q1885" t="str">
            <v>112tec</v>
          </cell>
          <cell r="R1885" t="str">
            <v>1110</v>
          </cell>
        </row>
        <row r="1886">
          <cell r="L1886">
            <v>29613</v>
          </cell>
          <cell r="Q1886" t="str">
            <v>112ct</v>
          </cell>
          <cell r="R1886" t="str">
            <v>711ct</v>
          </cell>
        </row>
        <row r="1887">
          <cell r="L1887">
            <v>500000</v>
          </cell>
          <cell r="Q1887" t="str">
            <v>642tk</v>
          </cell>
          <cell r="R1887" t="str">
            <v>1110</v>
          </cell>
        </row>
        <row r="1888">
          <cell r="L1888">
            <v>800000</v>
          </cell>
          <cell r="Q1888" t="str">
            <v>642dn</v>
          </cell>
          <cell r="R1888" t="str">
            <v>1110</v>
          </cell>
        </row>
        <row r="1889">
          <cell r="L1889">
            <v>8000000</v>
          </cell>
          <cell r="Q1889" t="str">
            <v>141dòngkt</v>
          </cell>
          <cell r="R1889" t="str">
            <v>1110</v>
          </cell>
        </row>
        <row r="1890">
          <cell r="L1890">
            <v>3000000</v>
          </cell>
          <cell r="Q1890" t="str">
            <v>141h­ng</v>
          </cell>
          <cell r="R1890" t="str">
            <v>1110</v>
          </cell>
        </row>
        <row r="1891">
          <cell r="L1891">
            <v>38115000</v>
          </cell>
          <cell r="Q1891" t="str">
            <v>811nk2</v>
          </cell>
          <cell r="R1891" t="str">
            <v>1110</v>
          </cell>
        </row>
        <row r="1892">
          <cell r="L1892">
            <v>18861017</v>
          </cell>
          <cell r="Q1892" t="str">
            <v>811ba</v>
          </cell>
          <cell r="R1892" t="str">
            <v>1110</v>
          </cell>
        </row>
        <row r="1893">
          <cell r="L1893">
            <v>48000000</v>
          </cell>
          <cell r="Q1893" t="str">
            <v>1110</v>
          </cell>
          <cell r="R1893" t="str">
            <v>131sonha</v>
          </cell>
        </row>
        <row r="1894">
          <cell r="L1894">
            <v>672420</v>
          </cell>
          <cell r="Q1894" t="str">
            <v>1110</v>
          </cell>
          <cell r="R1894" t="str">
            <v>3383383</v>
          </cell>
        </row>
        <row r="1895">
          <cell r="L1895">
            <v>134484</v>
          </cell>
          <cell r="Q1895" t="str">
            <v>1110</v>
          </cell>
          <cell r="R1895" t="str">
            <v>3383384</v>
          </cell>
        </row>
        <row r="1896">
          <cell r="L1896">
            <v>600000</v>
          </cell>
          <cell r="Q1896" t="str">
            <v>642l</v>
          </cell>
          <cell r="R1896" t="str">
            <v>1110</v>
          </cell>
        </row>
        <row r="1897">
          <cell r="L1897">
            <v>9538494</v>
          </cell>
          <cell r="Q1897" t="str">
            <v>3340</v>
          </cell>
          <cell r="R1897" t="str">
            <v>1110</v>
          </cell>
        </row>
        <row r="1898">
          <cell r="L1898">
            <v>342000</v>
          </cell>
          <cell r="Q1898" t="str">
            <v>112tec</v>
          </cell>
          <cell r="R1898" t="str">
            <v>711tec</v>
          </cell>
        </row>
        <row r="1899">
          <cell r="L1899">
            <v>100000000</v>
          </cell>
          <cell r="Q1899" t="str">
            <v>331unimex</v>
          </cell>
          <cell r="R1899" t="str">
            <v>112tec</v>
          </cell>
        </row>
        <row r="1900">
          <cell r="L1900">
            <v>3636</v>
          </cell>
          <cell r="Q1900" t="str">
            <v>641kd</v>
          </cell>
          <cell r="R1900" t="str">
            <v>112tec</v>
          </cell>
        </row>
        <row r="1901">
          <cell r="L1901">
            <v>364</v>
          </cell>
          <cell r="Q1901" t="str">
            <v>1331331</v>
          </cell>
          <cell r="R1901" t="str">
            <v>112tec</v>
          </cell>
        </row>
        <row r="1902">
          <cell r="L1902">
            <v>4000000</v>
          </cell>
          <cell r="Q1902" t="str">
            <v>811tec</v>
          </cell>
          <cell r="R1902" t="str">
            <v>112tec</v>
          </cell>
        </row>
        <row r="1903">
          <cell r="L1903">
            <v>853000</v>
          </cell>
          <cell r="Q1903" t="str">
            <v>811tec</v>
          </cell>
          <cell r="R1903" t="str">
            <v>112tec</v>
          </cell>
        </row>
        <row r="1904">
          <cell r="L1904">
            <v>17329000</v>
          </cell>
          <cell r="Q1904" t="str">
            <v>811tec</v>
          </cell>
          <cell r="R1904" t="str">
            <v>112tec</v>
          </cell>
        </row>
        <row r="1905">
          <cell r="L1905">
            <v>8000000</v>
          </cell>
          <cell r="Q1905" t="str">
            <v>1110</v>
          </cell>
          <cell r="R1905" t="str">
            <v>141dòngkt</v>
          </cell>
        </row>
        <row r="1906">
          <cell r="L1906">
            <v>818182</v>
          </cell>
          <cell r="Q1906" t="str">
            <v>1110</v>
          </cell>
          <cell r="R1906" t="str">
            <v>511ks</v>
          </cell>
        </row>
        <row r="1907">
          <cell r="L1907">
            <v>81818</v>
          </cell>
          <cell r="Q1907" t="str">
            <v>1110</v>
          </cell>
          <cell r="R1907" t="str">
            <v>3333331</v>
          </cell>
        </row>
        <row r="1908">
          <cell r="L1908">
            <v>7454545</v>
          </cell>
          <cell r="Q1908" t="str">
            <v>1110</v>
          </cell>
          <cell r="R1908" t="str">
            <v>511ch</v>
          </cell>
        </row>
        <row r="1909">
          <cell r="L1909">
            <v>745455</v>
          </cell>
          <cell r="Q1909" t="str">
            <v>1110</v>
          </cell>
          <cell r="R1909" t="str">
            <v>3333331</v>
          </cell>
        </row>
        <row r="1910">
          <cell r="L1910">
            <v>10000000</v>
          </cell>
          <cell r="Q1910" t="str">
            <v>1110</v>
          </cell>
          <cell r="R1910" t="str">
            <v>131vcb</v>
          </cell>
        </row>
        <row r="1911">
          <cell r="L1911">
            <v>65000000</v>
          </cell>
          <cell r="Q1911" t="str">
            <v>1110</v>
          </cell>
          <cell r="R1911" t="str">
            <v>131ptrinh</v>
          </cell>
        </row>
        <row r="1912">
          <cell r="L1912">
            <v>50500</v>
          </cell>
          <cell r="Q1912" t="str">
            <v>642tk</v>
          </cell>
          <cell r="R1912" t="str">
            <v>1110</v>
          </cell>
        </row>
        <row r="1913">
          <cell r="L1913">
            <v>60000000</v>
          </cell>
          <cell r="Q1913" t="str">
            <v>331unimex</v>
          </cell>
          <cell r="R1913" t="str">
            <v>1110</v>
          </cell>
        </row>
        <row r="1914">
          <cell r="L1914">
            <v>1729818</v>
          </cell>
          <cell r="Q1914" t="str">
            <v>642sc</v>
          </cell>
          <cell r="R1914" t="str">
            <v>1110</v>
          </cell>
        </row>
        <row r="1915">
          <cell r="L1915">
            <v>138182</v>
          </cell>
          <cell r="Q1915" t="str">
            <v>1331331</v>
          </cell>
          <cell r="R1915" t="str">
            <v>1110</v>
          </cell>
        </row>
        <row r="1916">
          <cell r="L1916">
            <v>50000</v>
          </cell>
          <cell r="Q1916" t="str">
            <v>642dn</v>
          </cell>
          <cell r="R1916" t="str">
            <v>1110</v>
          </cell>
        </row>
        <row r="1917">
          <cell r="L1917">
            <v>190500</v>
          </cell>
          <cell r="Q1917" t="str">
            <v>642vp</v>
          </cell>
          <cell r="R1917" t="str">
            <v>1110</v>
          </cell>
        </row>
        <row r="1918">
          <cell r="L1918">
            <v>16000000</v>
          </cell>
          <cell r="Q1918" t="str">
            <v>112tec</v>
          </cell>
          <cell r="R1918" t="str">
            <v>1110</v>
          </cell>
        </row>
        <row r="1919">
          <cell r="L1919">
            <v>93582575</v>
          </cell>
          <cell r="Q1919" t="str">
            <v>1331331</v>
          </cell>
          <cell r="R1919" t="str">
            <v>331unimex</v>
          </cell>
        </row>
        <row r="1920">
          <cell r="L1920">
            <v>773240272</v>
          </cell>
          <cell r="Q1920" t="str">
            <v>156xelu</v>
          </cell>
          <cell r="R1920" t="str">
            <v>331unimex</v>
          </cell>
        </row>
        <row r="1921">
          <cell r="L1921">
            <v>1098411221</v>
          </cell>
          <cell r="Q1921" t="str">
            <v>156inox</v>
          </cell>
          <cell r="R1921" t="str">
            <v>331unimex</v>
          </cell>
        </row>
        <row r="1922">
          <cell r="L1922">
            <v>3194838165</v>
          </cell>
          <cell r="Q1922" t="str">
            <v>632kd</v>
          </cell>
          <cell r="R1922" t="str">
            <v>1560</v>
          </cell>
        </row>
        <row r="1923">
          <cell r="L1923">
            <v>6667</v>
          </cell>
          <cell r="Q1923" t="str">
            <v>112ba</v>
          </cell>
          <cell r="R1923" t="str">
            <v>711ba</v>
          </cell>
        </row>
        <row r="1924">
          <cell r="L1924">
            <v>500000</v>
          </cell>
          <cell r="Q1924" t="str">
            <v>641kd</v>
          </cell>
          <cell r="R1924" t="str">
            <v>112tec</v>
          </cell>
        </row>
        <row r="1925">
          <cell r="L1925">
            <v>50000</v>
          </cell>
          <cell r="Q1925" t="str">
            <v>1331331</v>
          </cell>
          <cell r="R1925" t="str">
            <v>112tec</v>
          </cell>
        </row>
        <row r="1926">
          <cell r="L1926">
            <v>300000</v>
          </cell>
          <cell r="Q1926" t="str">
            <v>1110</v>
          </cell>
          <cell r="R1926" t="str">
            <v>642sc</v>
          </cell>
        </row>
        <row r="1927">
          <cell r="L1927">
            <v>111433000</v>
          </cell>
          <cell r="Q1927" t="str">
            <v>1110</v>
          </cell>
          <cell r="R1927" t="str">
            <v>131ptrinh</v>
          </cell>
        </row>
        <row r="1928">
          <cell r="L1928">
            <v>61143300</v>
          </cell>
          <cell r="Q1928" t="str">
            <v>1110</v>
          </cell>
          <cell r="R1928" t="str">
            <v>131ptrinh</v>
          </cell>
        </row>
        <row r="1929">
          <cell r="L1929">
            <v>204030520</v>
          </cell>
          <cell r="Q1929" t="str">
            <v>1110</v>
          </cell>
          <cell r="R1929" t="str">
            <v>131ptrinh</v>
          </cell>
        </row>
        <row r="1930">
          <cell r="L1930">
            <v>40542680</v>
          </cell>
          <cell r="Q1930" t="str">
            <v>3333333</v>
          </cell>
          <cell r="R1930" t="str">
            <v>1110</v>
          </cell>
        </row>
        <row r="1931">
          <cell r="L1931">
            <v>24457320</v>
          </cell>
          <cell r="Q1931" t="str">
            <v>33333312</v>
          </cell>
          <cell r="R1931" t="str">
            <v>1110</v>
          </cell>
        </row>
        <row r="1932">
          <cell r="L1932">
            <v>111433000</v>
          </cell>
          <cell r="Q1932" t="str">
            <v>3333333</v>
          </cell>
          <cell r="R1932" t="str">
            <v>1110</v>
          </cell>
        </row>
        <row r="1933">
          <cell r="L1933">
            <v>61143300</v>
          </cell>
          <cell r="Q1933" t="str">
            <v>33333312</v>
          </cell>
          <cell r="R1933" t="str">
            <v>1110</v>
          </cell>
        </row>
        <row r="1934">
          <cell r="L1934">
            <v>204030520</v>
          </cell>
          <cell r="Q1934" t="str">
            <v>3333333</v>
          </cell>
          <cell r="R1934" t="str">
            <v>1110</v>
          </cell>
        </row>
        <row r="1935">
          <cell r="L1935">
            <v>280000</v>
          </cell>
          <cell r="Q1935" t="str">
            <v>642bv</v>
          </cell>
          <cell r="R1935" t="str">
            <v>1110</v>
          </cell>
        </row>
        <row r="1936">
          <cell r="L1936">
            <v>5500000</v>
          </cell>
          <cell r="Q1936" t="str">
            <v>1110</v>
          </cell>
          <cell r="R1936" t="str">
            <v>131hasa</v>
          </cell>
        </row>
        <row r="1937">
          <cell r="L1937">
            <v>763637</v>
          </cell>
          <cell r="Q1937" t="str">
            <v>1110</v>
          </cell>
          <cell r="R1937" t="str">
            <v>511ks</v>
          </cell>
        </row>
        <row r="1938">
          <cell r="L1938">
            <v>76363</v>
          </cell>
          <cell r="Q1938" t="str">
            <v>1110</v>
          </cell>
          <cell r="R1938" t="str">
            <v>3333331</v>
          </cell>
        </row>
        <row r="1939">
          <cell r="L1939">
            <v>20000000</v>
          </cell>
          <cell r="Q1939" t="str">
            <v>811unimex</v>
          </cell>
          <cell r="R1939" t="str">
            <v>1110</v>
          </cell>
        </row>
        <row r="1940">
          <cell r="L1940">
            <v>4999995</v>
          </cell>
          <cell r="Q1940" t="str">
            <v>641kd</v>
          </cell>
          <cell r="R1940" t="str">
            <v>1110</v>
          </cell>
        </row>
        <row r="1941">
          <cell r="L1941">
            <v>500005</v>
          </cell>
          <cell r="Q1941" t="str">
            <v>1331331</v>
          </cell>
          <cell r="R1941" t="str">
            <v>1110</v>
          </cell>
        </row>
        <row r="1942">
          <cell r="L1942">
            <v>350000</v>
          </cell>
          <cell r="Q1942" t="str">
            <v>642k</v>
          </cell>
          <cell r="R1942" t="str">
            <v>1110</v>
          </cell>
        </row>
        <row r="1943">
          <cell r="L1943">
            <v>50000000</v>
          </cell>
          <cell r="Q1943" t="str">
            <v>1110</v>
          </cell>
          <cell r="R1943" t="str">
            <v>131viettra</v>
          </cell>
        </row>
        <row r="1944">
          <cell r="L1944">
            <v>977381</v>
          </cell>
          <cell r="Q1944" t="str">
            <v>642ct</v>
          </cell>
          <cell r="R1944" t="str">
            <v>1110</v>
          </cell>
        </row>
        <row r="1945">
          <cell r="L1945">
            <v>47619</v>
          </cell>
          <cell r="Q1945" t="str">
            <v>1331331</v>
          </cell>
          <cell r="R1945" t="str">
            <v>1110</v>
          </cell>
        </row>
        <row r="1946">
          <cell r="L1946">
            <v>909090</v>
          </cell>
          <cell r="Q1946" t="str">
            <v>642k</v>
          </cell>
          <cell r="R1946" t="str">
            <v>1110</v>
          </cell>
        </row>
        <row r="1947">
          <cell r="L1947">
            <v>90910</v>
          </cell>
          <cell r="Q1947" t="str">
            <v>1331331</v>
          </cell>
          <cell r="R1947" t="str">
            <v>1110</v>
          </cell>
        </row>
        <row r="1948">
          <cell r="L1948">
            <v>100000000</v>
          </cell>
          <cell r="Q1948" t="str">
            <v>1110</v>
          </cell>
          <cell r="R1948" t="str">
            <v>131viettra</v>
          </cell>
        </row>
        <row r="1949">
          <cell r="L1949">
            <v>300000000</v>
          </cell>
          <cell r="Q1949" t="str">
            <v>1110</v>
          </cell>
          <cell r="R1949" t="str">
            <v>112ba</v>
          </cell>
        </row>
        <row r="1950">
          <cell r="L1950">
            <v>258000</v>
          </cell>
          <cell r="Q1950" t="str">
            <v>1110</v>
          </cell>
          <cell r="R1950" t="str">
            <v>642sc</v>
          </cell>
        </row>
        <row r="1951">
          <cell r="L1951">
            <v>36000000</v>
          </cell>
          <cell r="Q1951" t="str">
            <v>311qt</v>
          </cell>
          <cell r="R1951" t="str">
            <v>1110</v>
          </cell>
        </row>
        <row r="1952">
          <cell r="L1952">
            <v>1686161</v>
          </cell>
          <cell r="Q1952" t="str">
            <v>642®t</v>
          </cell>
          <cell r="R1952" t="str">
            <v>1110</v>
          </cell>
        </row>
        <row r="1953">
          <cell r="L1953">
            <v>168616</v>
          </cell>
          <cell r="Q1953" t="str">
            <v>1331331</v>
          </cell>
          <cell r="R1953" t="str">
            <v>1110</v>
          </cell>
        </row>
        <row r="1954">
          <cell r="L1954">
            <v>7350000</v>
          </cell>
          <cell r="Q1954" t="str">
            <v>642k</v>
          </cell>
          <cell r="R1954" t="str">
            <v>1110</v>
          </cell>
        </row>
        <row r="1955">
          <cell r="L1955">
            <v>1035000</v>
          </cell>
          <cell r="Q1955" t="str">
            <v>1331331</v>
          </cell>
          <cell r="R1955" t="str">
            <v>1110</v>
          </cell>
        </row>
        <row r="1956">
          <cell r="L1956">
            <v>600000</v>
          </cell>
          <cell r="Q1956" t="str">
            <v>642l</v>
          </cell>
          <cell r="R1956" t="str">
            <v>1110</v>
          </cell>
        </row>
        <row r="1957">
          <cell r="L1957">
            <v>8907400</v>
          </cell>
          <cell r="Q1957" t="str">
            <v>3340</v>
          </cell>
          <cell r="R1957" t="str">
            <v>1110</v>
          </cell>
        </row>
        <row r="1958">
          <cell r="L1958">
            <v>350000</v>
          </cell>
          <cell r="Q1958" t="str">
            <v>642vp</v>
          </cell>
          <cell r="R1958" t="str">
            <v>1110</v>
          </cell>
        </row>
        <row r="1959">
          <cell r="L1959">
            <v>354000</v>
          </cell>
          <cell r="Q1959" t="str">
            <v>641kd</v>
          </cell>
          <cell r="R1959" t="str">
            <v>1110</v>
          </cell>
        </row>
        <row r="1960">
          <cell r="L1960">
            <v>750000</v>
          </cell>
          <cell r="Q1960" t="str">
            <v>642k</v>
          </cell>
          <cell r="R1960" t="str">
            <v>1110</v>
          </cell>
        </row>
        <row r="1961">
          <cell r="L1961">
            <v>31500</v>
          </cell>
          <cell r="Q1961" t="str">
            <v>642tk</v>
          </cell>
          <cell r="R1961" t="str">
            <v>1110</v>
          </cell>
        </row>
        <row r="1962">
          <cell r="L1962">
            <v>300000000</v>
          </cell>
          <cell r="Q1962" t="str">
            <v>331tlong</v>
          </cell>
          <cell r="R1962" t="str">
            <v>1110</v>
          </cell>
        </row>
        <row r="1963">
          <cell r="L1963">
            <v>181818</v>
          </cell>
          <cell r="Q1963" t="str">
            <v>1110</v>
          </cell>
          <cell r="R1963" t="str">
            <v>511ks</v>
          </cell>
        </row>
        <row r="1964">
          <cell r="L1964">
            <v>18182</v>
          </cell>
          <cell r="Q1964" t="str">
            <v>1110</v>
          </cell>
          <cell r="R1964" t="str">
            <v>3333331</v>
          </cell>
        </row>
        <row r="1965">
          <cell r="L1965">
            <v>60000000</v>
          </cell>
          <cell r="Q1965" t="str">
            <v>112qt</v>
          </cell>
          <cell r="R1965" t="str">
            <v>131ptrinh</v>
          </cell>
        </row>
        <row r="1966">
          <cell r="L1966">
            <v>23590764</v>
          </cell>
          <cell r="Q1966" t="str">
            <v>1110</v>
          </cell>
          <cell r="R1966" t="str">
            <v>131sonha</v>
          </cell>
        </row>
        <row r="1967">
          <cell r="L1967">
            <v>158200</v>
          </cell>
          <cell r="Q1967" t="str">
            <v>641ks</v>
          </cell>
          <cell r="R1967" t="str">
            <v>1110</v>
          </cell>
        </row>
        <row r="1968">
          <cell r="L1968">
            <v>800000</v>
          </cell>
          <cell r="Q1968" t="str">
            <v>642k</v>
          </cell>
          <cell r="R1968" t="str">
            <v>1110</v>
          </cell>
        </row>
        <row r="1969">
          <cell r="L1969">
            <v>15800</v>
          </cell>
          <cell r="Q1969" t="str">
            <v>1331331</v>
          </cell>
          <cell r="R1969" t="str">
            <v>1110</v>
          </cell>
        </row>
        <row r="1970">
          <cell r="L1970">
            <v>290500</v>
          </cell>
          <cell r="Q1970" t="str">
            <v>642vp</v>
          </cell>
          <cell r="R1970" t="str">
            <v>1110</v>
          </cell>
        </row>
        <row r="1971">
          <cell r="L1971">
            <v>1430535</v>
          </cell>
          <cell r="Q1971" t="str">
            <v>642®t</v>
          </cell>
          <cell r="R1971" t="str">
            <v>1110</v>
          </cell>
        </row>
        <row r="1972">
          <cell r="L1972">
            <v>143054</v>
          </cell>
          <cell r="Q1972" t="str">
            <v>1331331</v>
          </cell>
          <cell r="R1972" t="str">
            <v>1110</v>
          </cell>
        </row>
        <row r="1973">
          <cell r="L1973">
            <v>1300000</v>
          </cell>
          <cell r="Q1973" t="str">
            <v>1110</v>
          </cell>
          <cell r="R1973" t="str">
            <v>721k</v>
          </cell>
        </row>
        <row r="1974">
          <cell r="L1974">
            <v>40000000</v>
          </cell>
          <cell r="Q1974" t="str">
            <v>311qt</v>
          </cell>
          <cell r="R1974" t="str">
            <v>1110</v>
          </cell>
        </row>
        <row r="1975">
          <cell r="L1975">
            <v>16482</v>
          </cell>
          <cell r="Q1975" t="str">
            <v>112ct</v>
          </cell>
          <cell r="R1975" t="str">
            <v>711ct</v>
          </cell>
        </row>
        <row r="1976">
          <cell r="L1976">
            <v>3279564</v>
          </cell>
          <cell r="Q1976" t="str">
            <v>3383383</v>
          </cell>
          <cell r="R1976" t="str">
            <v>112ct</v>
          </cell>
        </row>
        <row r="1977">
          <cell r="L1977">
            <v>27273</v>
          </cell>
          <cell r="Q1977" t="str">
            <v>641kd</v>
          </cell>
          <cell r="R1977" t="str">
            <v>112qt</v>
          </cell>
        </row>
        <row r="1978">
          <cell r="L1978">
            <v>2727</v>
          </cell>
          <cell r="Q1978" t="str">
            <v>1331331</v>
          </cell>
          <cell r="R1978" t="str">
            <v>112qt</v>
          </cell>
        </row>
        <row r="1979">
          <cell r="L1979">
            <v>23590764</v>
          </cell>
          <cell r="Q1979" t="str">
            <v>33333312</v>
          </cell>
          <cell r="R1979" t="str">
            <v>112qt</v>
          </cell>
        </row>
        <row r="1980">
          <cell r="L1980">
            <v>19627000</v>
          </cell>
          <cell r="Q1980" t="str">
            <v>1110</v>
          </cell>
          <cell r="R1980" t="str">
            <v>131hasa</v>
          </cell>
        </row>
        <row r="1981">
          <cell r="L1981">
            <v>100000000</v>
          </cell>
          <cell r="Q1981" t="str">
            <v>1110</v>
          </cell>
          <cell r="R1981" t="str">
            <v>131viettra</v>
          </cell>
        </row>
        <row r="1982">
          <cell r="L1982">
            <v>2000000</v>
          </cell>
          <cell r="Q1982" t="str">
            <v>642tk</v>
          </cell>
          <cell r="R1982" t="str">
            <v>1110</v>
          </cell>
        </row>
        <row r="1983">
          <cell r="L1983">
            <v>13000000</v>
          </cell>
          <cell r="Q1983" t="str">
            <v>141dòngkt</v>
          </cell>
          <cell r="R1983" t="str">
            <v>1110</v>
          </cell>
        </row>
        <row r="1984">
          <cell r="L1984">
            <v>1545590</v>
          </cell>
          <cell r="Q1984" t="str">
            <v>642dn</v>
          </cell>
          <cell r="R1984" t="str">
            <v>1110</v>
          </cell>
        </row>
        <row r="1985">
          <cell r="L1985">
            <v>154559</v>
          </cell>
          <cell r="Q1985" t="str">
            <v>1331331</v>
          </cell>
          <cell r="R1985" t="str">
            <v>1110</v>
          </cell>
        </row>
        <row r="1986">
          <cell r="L1986">
            <v>1750000</v>
          </cell>
          <cell r="Q1986" t="str">
            <v>642dc</v>
          </cell>
          <cell r="R1986" t="str">
            <v>1110</v>
          </cell>
        </row>
        <row r="1987">
          <cell r="L1987">
            <v>175000</v>
          </cell>
          <cell r="Q1987" t="str">
            <v>1331331</v>
          </cell>
          <cell r="R1987" t="str">
            <v>1110</v>
          </cell>
        </row>
        <row r="1988">
          <cell r="L1988">
            <v>2700000</v>
          </cell>
          <cell r="Q1988" t="str">
            <v>141hoµn</v>
          </cell>
          <cell r="R1988" t="str">
            <v>1110</v>
          </cell>
        </row>
        <row r="1989">
          <cell r="L1989">
            <v>2311636</v>
          </cell>
          <cell r="Q1989" t="str">
            <v>642vp</v>
          </cell>
          <cell r="R1989" t="str">
            <v>1110</v>
          </cell>
        </row>
        <row r="1990">
          <cell r="L1990">
            <v>231164</v>
          </cell>
          <cell r="Q1990" t="str">
            <v>1331331</v>
          </cell>
          <cell r="R1990" t="str">
            <v>1110</v>
          </cell>
        </row>
        <row r="1991">
          <cell r="L1991">
            <v>900001</v>
          </cell>
          <cell r="Q1991" t="str">
            <v>1110</v>
          </cell>
          <cell r="R1991" t="str">
            <v>511ks</v>
          </cell>
        </row>
        <row r="1992">
          <cell r="L1992">
            <v>89999</v>
          </cell>
          <cell r="Q1992" t="str">
            <v>1110</v>
          </cell>
          <cell r="R1992" t="str">
            <v>3333331</v>
          </cell>
        </row>
        <row r="1993">
          <cell r="L1993">
            <v>50297305</v>
          </cell>
          <cell r="Q1993" t="str">
            <v>811unimex</v>
          </cell>
          <cell r="R1993" t="str">
            <v>1110</v>
          </cell>
        </row>
        <row r="1994">
          <cell r="L1994">
            <v>300000</v>
          </cell>
          <cell r="Q1994" t="str">
            <v>642bv</v>
          </cell>
          <cell r="R1994" t="str">
            <v>1110</v>
          </cell>
        </row>
        <row r="1995">
          <cell r="L1995">
            <v>200000</v>
          </cell>
          <cell r="Q1995" t="str">
            <v>4310</v>
          </cell>
          <cell r="R1995" t="str">
            <v>1110</v>
          </cell>
        </row>
        <row r="1996">
          <cell r="L1996">
            <v>100000000</v>
          </cell>
          <cell r="Q1996" t="str">
            <v>1110</v>
          </cell>
          <cell r="R1996" t="str">
            <v>131namminh</v>
          </cell>
        </row>
        <row r="1997">
          <cell r="L1997">
            <v>1204500</v>
          </cell>
          <cell r="Q1997" t="str">
            <v>1110</v>
          </cell>
          <cell r="R1997" t="str">
            <v>141dòngkt</v>
          </cell>
        </row>
        <row r="1998">
          <cell r="L1998">
            <v>35000000</v>
          </cell>
          <cell r="Q1998" t="str">
            <v>1110</v>
          </cell>
          <cell r="R1998" t="str">
            <v>112qt</v>
          </cell>
        </row>
        <row r="1999">
          <cell r="L1999">
            <v>100000000</v>
          </cell>
          <cell r="Q1999" t="str">
            <v>311ninh</v>
          </cell>
          <cell r="R1999" t="str">
            <v>1110</v>
          </cell>
        </row>
        <row r="2000">
          <cell r="L2000">
            <v>6600000</v>
          </cell>
          <cell r="Q2000" t="str">
            <v>811ninh</v>
          </cell>
          <cell r="R2000" t="str">
            <v>1110</v>
          </cell>
        </row>
        <row r="2001">
          <cell r="L2001">
            <v>1331800</v>
          </cell>
          <cell r="Q2001" t="str">
            <v>642tk</v>
          </cell>
          <cell r="R2001" t="str">
            <v>1110</v>
          </cell>
        </row>
        <row r="2002">
          <cell r="L2002">
            <v>133100</v>
          </cell>
          <cell r="Q2002" t="str">
            <v>1331331</v>
          </cell>
          <cell r="R2002" t="str">
            <v>1110</v>
          </cell>
        </row>
        <row r="2003">
          <cell r="L2003">
            <v>11691262</v>
          </cell>
          <cell r="Q2003" t="str">
            <v>641dl</v>
          </cell>
          <cell r="R2003" t="str">
            <v>1110</v>
          </cell>
        </row>
        <row r="2004">
          <cell r="L2004">
            <v>1017738</v>
          </cell>
          <cell r="Q2004" t="str">
            <v>1331331</v>
          </cell>
          <cell r="R2004" t="str">
            <v>1110</v>
          </cell>
        </row>
        <row r="2005">
          <cell r="L2005">
            <v>108000</v>
          </cell>
          <cell r="Q2005" t="str">
            <v>642tk</v>
          </cell>
          <cell r="R2005" t="str">
            <v>1110</v>
          </cell>
        </row>
        <row r="2006">
          <cell r="L2006">
            <v>2500000</v>
          </cell>
          <cell r="Q2006" t="str">
            <v>141hoµn</v>
          </cell>
          <cell r="R2006" t="str">
            <v>1110</v>
          </cell>
        </row>
        <row r="2007">
          <cell r="L2007">
            <v>33337665</v>
          </cell>
          <cell r="Q2007" t="str">
            <v>811tec</v>
          </cell>
          <cell r="R2007" t="str">
            <v>1110</v>
          </cell>
        </row>
        <row r="2008">
          <cell r="L2008">
            <v>206000</v>
          </cell>
          <cell r="Q2008" t="str">
            <v>642sc</v>
          </cell>
          <cell r="R2008" t="str">
            <v>1110</v>
          </cell>
        </row>
        <row r="2009">
          <cell r="L2009">
            <v>20600</v>
          </cell>
          <cell r="Q2009" t="str">
            <v>1331331</v>
          </cell>
          <cell r="R2009" t="str">
            <v>1110</v>
          </cell>
        </row>
        <row r="2010">
          <cell r="L2010">
            <v>132000</v>
          </cell>
          <cell r="Q2010" t="str">
            <v>642tk</v>
          </cell>
          <cell r="R2010" t="str">
            <v>1110</v>
          </cell>
        </row>
        <row r="2011">
          <cell r="L2011">
            <v>47572833</v>
          </cell>
          <cell r="Q2011" t="str">
            <v>811ba</v>
          </cell>
          <cell r="R2011" t="str">
            <v>1110</v>
          </cell>
        </row>
        <row r="2012">
          <cell r="L2012">
            <v>600000</v>
          </cell>
          <cell r="Q2012" t="str">
            <v>642l</v>
          </cell>
          <cell r="R2012" t="str">
            <v>1110</v>
          </cell>
        </row>
        <row r="2013">
          <cell r="L2013">
            <v>9288600</v>
          </cell>
          <cell r="Q2013" t="str">
            <v>3340</v>
          </cell>
          <cell r="R2013" t="str">
            <v>1110</v>
          </cell>
        </row>
        <row r="2014">
          <cell r="L2014">
            <v>12750000</v>
          </cell>
          <cell r="Q2014" t="str">
            <v>1110</v>
          </cell>
          <cell r="R2014" t="str">
            <v>141tþ</v>
          </cell>
        </row>
        <row r="2015">
          <cell r="L2015">
            <v>661290</v>
          </cell>
          <cell r="Q2015" t="str">
            <v>1110</v>
          </cell>
          <cell r="R2015" t="str">
            <v>3383383</v>
          </cell>
        </row>
        <row r="2016">
          <cell r="L2016">
            <v>132258</v>
          </cell>
          <cell r="Q2016" t="str">
            <v>1110</v>
          </cell>
          <cell r="R2016" t="str">
            <v>3383384</v>
          </cell>
        </row>
        <row r="2017">
          <cell r="L2017">
            <v>210000</v>
          </cell>
          <cell r="Q2017" t="str">
            <v>3340</v>
          </cell>
          <cell r="R2017" t="str">
            <v>1110</v>
          </cell>
        </row>
        <row r="2018">
          <cell r="L2018">
            <v>8100000</v>
          </cell>
          <cell r="Q2018" t="str">
            <v>3340</v>
          </cell>
          <cell r="R2018" t="str">
            <v>1110</v>
          </cell>
        </row>
        <row r="2019">
          <cell r="L2019">
            <v>12013594</v>
          </cell>
          <cell r="Q2019" t="str">
            <v>642bh</v>
          </cell>
          <cell r="R2019" t="str">
            <v>3383383</v>
          </cell>
        </row>
        <row r="2020">
          <cell r="L2020">
            <v>1601812</v>
          </cell>
          <cell r="Q2020" t="str">
            <v>642bh</v>
          </cell>
          <cell r="R2020" t="str">
            <v>3383384</v>
          </cell>
        </row>
        <row r="2021">
          <cell r="L2021">
            <v>1601812</v>
          </cell>
          <cell r="Q2021" t="str">
            <v>642bh</v>
          </cell>
          <cell r="R2021" t="str">
            <v>3383382</v>
          </cell>
        </row>
        <row r="2022">
          <cell r="L2022">
            <v>295429420</v>
          </cell>
          <cell r="Q2022" t="str">
            <v>9110</v>
          </cell>
          <cell r="R2022" t="str">
            <v>8110</v>
          </cell>
        </row>
        <row r="2023">
          <cell r="L2023">
            <v>12300</v>
          </cell>
          <cell r="Q2023" t="str">
            <v>9110</v>
          </cell>
          <cell r="R2023" t="str">
            <v>8210</v>
          </cell>
        </row>
        <row r="2024">
          <cell r="L2024">
            <v>4977799310</v>
          </cell>
          <cell r="Q2024" t="str">
            <v>632kd</v>
          </cell>
          <cell r="R2024" t="str">
            <v>1560</v>
          </cell>
        </row>
        <row r="2025">
          <cell r="L2025">
            <v>2927000000</v>
          </cell>
          <cell r="Q2025" t="str">
            <v>331§l¾c</v>
          </cell>
          <cell r="R2025" t="str">
            <v>112ba</v>
          </cell>
        </row>
        <row r="2026">
          <cell r="L2026">
            <v>200000000</v>
          </cell>
          <cell r="Q2026" t="str">
            <v>331unimex</v>
          </cell>
          <cell r="R2026" t="str">
            <v>112ba</v>
          </cell>
        </row>
        <row r="2027">
          <cell r="L2027">
            <v>2927000000</v>
          </cell>
          <cell r="Q2027" t="str">
            <v>112ba</v>
          </cell>
          <cell r="R2027" t="str">
            <v>311ba</v>
          </cell>
        </row>
        <row r="2028">
          <cell r="L2028">
            <v>770000000</v>
          </cell>
          <cell r="Q2028" t="str">
            <v>311nk2</v>
          </cell>
          <cell r="R2028" t="str">
            <v>112ba</v>
          </cell>
        </row>
        <row r="2029">
          <cell r="L2029">
            <v>970000000</v>
          </cell>
          <cell r="Q2029" t="str">
            <v>112ba</v>
          </cell>
          <cell r="R2029" t="str">
            <v>311ba</v>
          </cell>
        </row>
        <row r="2030">
          <cell r="L2030">
            <v>7000000000</v>
          </cell>
          <cell r="Q2030" t="str">
            <v>331tlong</v>
          </cell>
          <cell r="R2030" t="str">
            <v>112ba</v>
          </cell>
        </row>
        <row r="2031">
          <cell r="L2031">
            <v>7000000000</v>
          </cell>
          <cell r="Q2031" t="str">
            <v>112ba</v>
          </cell>
          <cell r="R2031" t="str">
            <v>311ba</v>
          </cell>
        </row>
        <row r="2032">
          <cell r="L2032">
            <v>2200000000</v>
          </cell>
          <cell r="Q2032" t="str">
            <v>112tec</v>
          </cell>
          <cell r="R2032" t="str">
            <v>311tec</v>
          </cell>
        </row>
        <row r="2033">
          <cell r="L2033">
            <v>400000000</v>
          </cell>
          <cell r="Q2033" t="str">
            <v>112tec</v>
          </cell>
          <cell r="R2033" t="str">
            <v>311tec</v>
          </cell>
        </row>
        <row r="2034">
          <cell r="L2034">
            <v>1100000000</v>
          </cell>
          <cell r="Q2034" t="str">
            <v>112tec</v>
          </cell>
          <cell r="R2034" t="str">
            <v>311tec</v>
          </cell>
        </row>
        <row r="2035">
          <cell r="L2035">
            <v>500000000</v>
          </cell>
          <cell r="Q2035" t="str">
            <v>112qt</v>
          </cell>
          <cell r="R2035" t="str">
            <v>311qt</v>
          </cell>
        </row>
        <row r="2036">
          <cell r="L2036">
            <v>2200000000</v>
          </cell>
          <cell r="Q2036" t="str">
            <v>331§l¾c</v>
          </cell>
          <cell r="R2036" t="str">
            <v>112tec</v>
          </cell>
        </row>
        <row r="2037">
          <cell r="L2037">
            <v>400000000</v>
          </cell>
          <cell r="Q2037" t="str">
            <v>331unimex</v>
          </cell>
          <cell r="R2037" t="str">
            <v>112tec</v>
          </cell>
        </row>
        <row r="2038">
          <cell r="L2038">
            <v>1100000000</v>
          </cell>
          <cell r="Q2038" t="str">
            <v>331§l¾c</v>
          </cell>
          <cell r="R2038" t="str">
            <v>112tec</v>
          </cell>
        </row>
        <row r="2039">
          <cell r="L2039">
            <v>500000000</v>
          </cell>
          <cell r="Q2039" t="str">
            <v>311nk2</v>
          </cell>
          <cell r="R2039" t="str">
            <v>112qt</v>
          </cell>
        </row>
        <row r="2040">
          <cell r="L2040">
            <v>763636</v>
          </cell>
          <cell r="Q2040" t="str">
            <v>1110</v>
          </cell>
          <cell r="R2040" t="str">
            <v>511ks</v>
          </cell>
        </row>
        <row r="2041">
          <cell r="L2041">
            <v>76364</v>
          </cell>
          <cell r="Q2041" t="str">
            <v>1110</v>
          </cell>
          <cell r="R2041" t="str">
            <v>3333331</v>
          </cell>
        </row>
        <row r="2042">
          <cell r="L2042">
            <v>80000000</v>
          </cell>
          <cell r="Q2042" t="str">
            <v>1110</v>
          </cell>
          <cell r="R2042" t="str">
            <v>131ploc</v>
          </cell>
        </row>
        <row r="2043">
          <cell r="L2043">
            <v>90909</v>
          </cell>
          <cell r="Q2043" t="str">
            <v>1110</v>
          </cell>
          <cell r="R2043" t="str">
            <v>511ks</v>
          </cell>
        </row>
        <row r="2044">
          <cell r="L2044">
            <v>9091</v>
          </cell>
          <cell r="Q2044" t="str">
            <v>1110</v>
          </cell>
          <cell r="R2044" t="str">
            <v>3333331</v>
          </cell>
        </row>
        <row r="2045">
          <cell r="L2045">
            <v>141614000</v>
          </cell>
          <cell r="Q2045" t="str">
            <v>1110</v>
          </cell>
          <cell r="R2045" t="str">
            <v>131kien</v>
          </cell>
        </row>
        <row r="2046">
          <cell r="L2046">
            <v>69684704</v>
          </cell>
          <cell r="Q2046" t="str">
            <v>1110</v>
          </cell>
          <cell r="R2046" t="str">
            <v>131vthu</v>
          </cell>
        </row>
        <row r="2047">
          <cell r="L2047">
            <v>288701296</v>
          </cell>
          <cell r="Q2047" t="str">
            <v>1110</v>
          </cell>
          <cell r="R2047" t="str">
            <v>131hais¬n</v>
          </cell>
        </row>
        <row r="2048">
          <cell r="L2048">
            <v>100000000</v>
          </cell>
          <cell r="Q2048" t="str">
            <v>1110</v>
          </cell>
          <cell r="R2048" t="str">
            <v>131ploc</v>
          </cell>
        </row>
        <row r="2049">
          <cell r="L2049">
            <v>50000000</v>
          </cell>
          <cell r="Q2049" t="str">
            <v>1110</v>
          </cell>
          <cell r="R2049" t="str">
            <v>131vthu</v>
          </cell>
        </row>
        <row r="2050">
          <cell r="L2050">
            <v>15180000</v>
          </cell>
          <cell r="Q2050" t="str">
            <v>1110</v>
          </cell>
          <cell r="R2050" t="str">
            <v>131qminh</v>
          </cell>
        </row>
        <row r="2051">
          <cell r="L2051">
            <v>21539600</v>
          </cell>
          <cell r="Q2051" t="str">
            <v>1110</v>
          </cell>
          <cell r="R2051" t="str">
            <v>131namminh</v>
          </cell>
        </row>
        <row r="2052">
          <cell r="L2052">
            <v>50248000</v>
          </cell>
          <cell r="Q2052" t="str">
            <v>1110</v>
          </cell>
          <cell r="R2052" t="str">
            <v>131taydo</v>
          </cell>
        </row>
        <row r="2053">
          <cell r="L2053">
            <v>81942400</v>
          </cell>
          <cell r="Q2053" t="str">
            <v>1110</v>
          </cell>
          <cell r="R2053" t="str">
            <v>131tthu</v>
          </cell>
        </row>
        <row r="2054">
          <cell r="L2054">
            <v>7000000</v>
          </cell>
          <cell r="Q2054" t="str">
            <v>1110</v>
          </cell>
          <cell r="R2054" t="str">
            <v>131hïng</v>
          </cell>
        </row>
        <row r="2055">
          <cell r="L2055">
            <v>4090000</v>
          </cell>
          <cell r="Q2055" t="str">
            <v>1110</v>
          </cell>
          <cell r="R2055" t="str">
            <v>131hy</v>
          </cell>
        </row>
        <row r="2056">
          <cell r="L2056">
            <v>50000000</v>
          </cell>
          <cell r="Q2056" t="str">
            <v>1110</v>
          </cell>
          <cell r="R2056" t="str">
            <v>131namminh</v>
          </cell>
        </row>
        <row r="2057">
          <cell r="L2057">
            <v>1265945000</v>
          </cell>
          <cell r="Q2057" t="str">
            <v>1110</v>
          </cell>
          <cell r="R2057" t="str">
            <v>131xnkhy</v>
          </cell>
        </row>
        <row r="2058">
          <cell r="L2058">
            <v>78442000</v>
          </cell>
          <cell r="Q2058" t="str">
            <v>1110</v>
          </cell>
          <cell r="R2058" t="str">
            <v>131vthu</v>
          </cell>
        </row>
        <row r="2059">
          <cell r="L2059">
            <v>96558000</v>
          </cell>
          <cell r="Q2059" t="str">
            <v>1110</v>
          </cell>
          <cell r="R2059" t="str">
            <v>131shiep</v>
          </cell>
        </row>
        <row r="2060">
          <cell r="L2060">
            <v>2989800</v>
          </cell>
          <cell r="Q2060" t="str">
            <v>1110</v>
          </cell>
          <cell r="R2060" t="str">
            <v>141hoµn</v>
          </cell>
        </row>
        <row r="2061">
          <cell r="L2061">
            <v>712000</v>
          </cell>
          <cell r="Q2061" t="str">
            <v>1110</v>
          </cell>
          <cell r="R2061" t="str">
            <v>141h¹p</v>
          </cell>
        </row>
        <row r="2062">
          <cell r="L2062">
            <v>180000000</v>
          </cell>
          <cell r="Q2062" t="str">
            <v>1110</v>
          </cell>
          <cell r="R2062" t="str">
            <v>131tmdda</v>
          </cell>
        </row>
        <row r="2063">
          <cell r="L2063">
            <v>102140800</v>
          </cell>
          <cell r="Q2063" t="str">
            <v>1110</v>
          </cell>
          <cell r="R2063" t="str">
            <v>131tmdda</v>
          </cell>
        </row>
        <row r="2064">
          <cell r="L2064">
            <v>163576200</v>
          </cell>
          <cell r="Q2064" t="str">
            <v>1110</v>
          </cell>
          <cell r="R2064" t="str">
            <v>131trungkien</v>
          </cell>
        </row>
        <row r="2065">
          <cell r="L2065">
            <v>34283000</v>
          </cell>
          <cell r="Q2065" t="str">
            <v>1110</v>
          </cell>
          <cell r="R2065" t="str">
            <v>131tan</v>
          </cell>
        </row>
        <row r="2066">
          <cell r="L2066">
            <v>50000000</v>
          </cell>
          <cell r="Q2066" t="str">
            <v>1110</v>
          </cell>
          <cell r="R2066" t="str">
            <v>131h­¬ng</v>
          </cell>
        </row>
        <row r="2067">
          <cell r="L2067">
            <v>50000000</v>
          </cell>
          <cell r="Q2067" t="str">
            <v>1110</v>
          </cell>
          <cell r="R2067" t="str">
            <v>131vcb</v>
          </cell>
        </row>
        <row r="2068">
          <cell r="L2068">
            <v>7454545</v>
          </cell>
          <cell r="Q2068" t="str">
            <v>1110</v>
          </cell>
          <cell r="R2068" t="str">
            <v>511ch</v>
          </cell>
        </row>
        <row r="2069">
          <cell r="L2069">
            <v>745455</v>
          </cell>
          <cell r="Q2069" t="str">
            <v>1110</v>
          </cell>
          <cell r="R2069" t="str">
            <v>3333331</v>
          </cell>
        </row>
        <row r="2070">
          <cell r="L2070">
            <v>131624900</v>
          </cell>
          <cell r="Q2070" t="str">
            <v>1110</v>
          </cell>
          <cell r="R2070" t="str">
            <v>141tþ</v>
          </cell>
        </row>
        <row r="2071">
          <cell r="L2071">
            <v>28263000</v>
          </cell>
          <cell r="Q2071" t="str">
            <v>1110</v>
          </cell>
          <cell r="R2071" t="str">
            <v>141huy</v>
          </cell>
        </row>
        <row r="2072">
          <cell r="L2072">
            <v>2989000</v>
          </cell>
          <cell r="Q2072" t="str">
            <v>1110</v>
          </cell>
          <cell r="R2072" t="str">
            <v>141hióu</v>
          </cell>
        </row>
        <row r="2073">
          <cell r="L2073">
            <v>14112500</v>
          </cell>
          <cell r="Q2073" t="str">
            <v>1110</v>
          </cell>
          <cell r="R2073" t="str">
            <v>131hatay</v>
          </cell>
        </row>
        <row r="2074">
          <cell r="L2074">
            <v>15000000</v>
          </cell>
          <cell r="Q2074" t="str">
            <v>1110</v>
          </cell>
          <cell r="R2074" t="str">
            <v>131viettra</v>
          </cell>
        </row>
        <row r="2075">
          <cell r="L2075">
            <v>15345000</v>
          </cell>
          <cell r="Q2075" t="str">
            <v>1110</v>
          </cell>
          <cell r="R2075" t="str">
            <v>131khminh</v>
          </cell>
        </row>
        <row r="2076">
          <cell r="L2076">
            <v>674000000</v>
          </cell>
          <cell r="Q2076" t="str">
            <v>1110</v>
          </cell>
          <cell r="R2076" t="str">
            <v>131namminh</v>
          </cell>
        </row>
        <row r="2077">
          <cell r="L2077">
            <v>595190334</v>
          </cell>
          <cell r="Q2077" t="str">
            <v>1110</v>
          </cell>
          <cell r="R2077" t="str">
            <v>141dòngkt</v>
          </cell>
        </row>
        <row r="2078">
          <cell r="L2078">
            <v>1715461060</v>
          </cell>
          <cell r="Q2078" t="str">
            <v>1110</v>
          </cell>
          <cell r="R2078" t="str">
            <v>131trungkien</v>
          </cell>
        </row>
        <row r="2079">
          <cell r="L2079">
            <v>49636000</v>
          </cell>
          <cell r="Q2079" t="str">
            <v>1110</v>
          </cell>
          <cell r="R2079" t="str">
            <v>131vcb</v>
          </cell>
        </row>
        <row r="2080">
          <cell r="L2080">
            <v>13680000</v>
          </cell>
          <cell r="Q2080" t="str">
            <v>1110</v>
          </cell>
          <cell r="R2080" t="str">
            <v>131bnguyet</v>
          </cell>
        </row>
        <row r="2081">
          <cell r="L2081">
            <v>135569000</v>
          </cell>
          <cell r="Q2081" t="str">
            <v>1110</v>
          </cell>
          <cell r="R2081" t="str">
            <v>131hïng</v>
          </cell>
        </row>
        <row r="2082">
          <cell r="L2082">
            <v>30910000</v>
          </cell>
          <cell r="Q2082" t="str">
            <v>1110</v>
          </cell>
          <cell r="R2082" t="str">
            <v>131uynguyet</v>
          </cell>
        </row>
        <row r="2083">
          <cell r="L2083">
            <v>22300000</v>
          </cell>
          <cell r="Q2083" t="str">
            <v>1110</v>
          </cell>
          <cell r="R2083" t="str">
            <v>131hphuong</v>
          </cell>
        </row>
        <row r="2084">
          <cell r="L2084">
            <v>695000000</v>
          </cell>
          <cell r="Q2084" t="str">
            <v>1110</v>
          </cell>
          <cell r="R2084" t="str">
            <v>331xnkmt</v>
          </cell>
        </row>
        <row r="2085">
          <cell r="L2085">
            <v>50649600</v>
          </cell>
          <cell r="Q2085" t="str">
            <v>1110</v>
          </cell>
          <cell r="R2085" t="str">
            <v>131kan</v>
          </cell>
        </row>
        <row r="2086">
          <cell r="L2086">
            <v>19469600</v>
          </cell>
          <cell r="Q2086" t="str">
            <v>1110</v>
          </cell>
          <cell r="R2086" t="str">
            <v>131tanh</v>
          </cell>
        </row>
        <row r="2087">
          <cell r="L2087">
            <v>24168400</v>
          </cell>
          <cell r="Q2087" t="str">
            <v>1110</v>
          </cell>
          <cell r="R2087" t="str">
            <v>131pcuong</v>
          </cell>
        </row>
        <row r="2088">
          <cell r="L2088">
            <v>74503000</v>
          </cell>
          <cell r="Q2088" t="str">
            <v>1110</v>
          </cell>
          <cell r="R2088" t="str">
            <v>131®­cgiang</v>
          </cell>
        </row>
        <row r="2089">
          <cell r="L2089">
            <v>42000000</v>
          </cell>
          <cell r="Q2089" t="str">
            <v>1110</v>
          </cell>
          <cell r="R2089" t="str">
            <v>141chung</v>
          </cell>
        </row>
        <row r="2090">
          <cell r="L2090">
            <v>7808000</v>
          </cell>
          <cell r="Q2090" t="str">
            <v>1110</v>
          </cell>
          <cell r="R2090" t="str">
            <v>141kú</v>
          </cell>
        </row>
        <row r="2091">
          <cell r="L2091">
            <v>12364000</v>
          </cell>
          <cell r="Q2091" t="str">
            <v>1110</v>
          </cell>
          <cell r="R2091" t="str">
            <v>131taxi</v>
          </cell>
        </row>
        <row r="2092">
          <cell r="L2092">
            <v>43274000</v>
          </cell>
          <cell r="Q2092" t="str">
            <v>1110</v>
          </cell>
          <cell r="R2092" t="str">
            <v>131ttgiang</v>
          </cell>
        </row>
        <row r="2093">
          <cell r="L2093">
            <v>12562000</v>
          </cell>
          <cell r="Q2093" t="str">
            <v>1110</v>
          </cell>
          <cell r="R2093" t="str">
            <v>131dattin</v>
          </cell>
        </row>
        <row r="2094">
          <cell r="L2094">
            <v>47000</v>
          </cell>
          <cell r="Q2094" t="str">
            <v>642tk</v>
          </cell>
          <cell r="R2094" t="str">
            <v>1110</v>
          </cell>
        </row>
        <row r="2095">
          <cell r="L2095">
            <v>245000</v>
          </cell>
          <cell r="Q2095" t="str">
            <v>641kd</v>
          </cell>
          <cell r="R2095" t="str">
            <v>1110</v>
          </cell>
        </row>
        <row r="2096">
          <cell r="L2096">
            <v>12000</v>
          </cell>
          <cell r="Q2096" t="str">
            <v>1331331</v>
          </cell>
          <cell r="R2096" t="str">
            <v>1110</v>
          </cell>
        </row>
        <row r="2097">
          <cell r="L2097">
            <v>80000000</v>
          </cell>
          <cell r="Q2097" t="str">
            <v>311qt</v>
          </cell>
          <cell r="R2097" t="str">
            <v>1110</v>
          </cell>
        </row>
        <row r="2098">
          <cell r="L2098">
            <v>2000000</v>
          </cell>
          <cell r="Q2098" t="str">
            <v>112qt</v>
          </cell>
          <cell r="R2098" t="str">
            <v>1110</v>
          </cell>
        </row>
        <row r="2099">
          <cell r="L2099">
            <v>130000000</v>
          </cell>
          <cell r="Q2099" t="str">
            <v>311tiÕn</v>
          </cell>
          <cell r="R2099" t="str">
            <v>1110</v>
          </cell>
        </row>
        <row r="2100">
          <cell r="L2100">
            <v>8580000</v>
          </cell>
          <cell r="Q2100" t="str">
            <v>811tuên</v>
          </cell>
          <cell r="R2100" t="str">
            <v>1110</v>
          </cell>
        </row>
        <row r="2101">
          <cell r="L2101">
            <v>1040502000</v>
          </cell>
          <cell r="Q2101" t="str">
            <v>3333333</v>
          </cell>
          <cell r="R2101" t="str">
            <v>1110</v>
          </cell>
        </row>
        <row r="2102">
          <cell r="L2102">
            <v>225443000</v>
          </cell>
          <cell r="Q2102" t="str">
            <v>33333312</v>
          </cell>
          <cell r="R2102" t="str">
            <v>1110</v>
          </cell>
        </row>
        <row r="2103">
          <cell r="L2103">
            <v>148000000</v>
          </cell>
          <cell r="Q2103" t="str">
            <v>311tiÕn</v>
          </cell>
          <cell r="R2103" t="str">
            <v>1110</v>
          </cell>
        </row>
        <row r="2104">
          <cell r="L2104">
            <v>13644000</v>
          </cell>
          <cell r="Q2104" t="str">
            <v>811tiõn</v>
          </cell>
          <cell r="R2104" t="str">
            <v>1110</v>
          </cell>
        </row>
        <row r="2105">
          <cell r="L2105">
            <v>2718000</v>
          </cell>
          <cell r="Q2105" t="str">
            <v>642sc</v>
          </cell>
          <cell r="R2105" t="str">
            <v>1110</v>
          </cell>
        </row>
        <row r="2106">
          <cell r="L2106">
            <v>271800</v>
          </cell>
          <cell r="Q2106" t="str">
            <v>1331331</v>
          </cell>
          <cell r="R2106" t="str">
            <v>1110</v>
          </cell>
        </row>
        <row r="2107">
          <cell r="L2107">
            <v>712000</v>
          </cell>
          <cell r="Q2107" t="str">
            <v>641dl</v>
          </cell>
          <cell r="R2107" t="str">
            <v>1110</v>
          </cell>
        </row>
        <row r="2108">
          <cell r="L2108">
            <v>195000000</v>
          </cell>
          <cell r="Q2108" t="str">
            <v>311tiÕn</v>
          </cell>
          <cell r="R2108" t="str">
            <v>1110</v>
          </cell>
        </row>
        <row r="2109">
          <cell r="L2109">
            <v>12870000</v>
          </cell>
          <cell r="Q2109" t="str">
            <v>811tiõn</v>
          </cell>
          <cell r="R2109" t="str">
            <v>1110</v>
          </cell>
        </row>
        <row r="2110">
          <cell r="L2110">
            <v>125028561</v>
          </cell>
          <cell r="Q2110" t="str">
            <v>641dl</v>
          </cell>
          <cell r="R2110" t="str">
            <v>1110</v>
          </cell>
        </row>
        <row r="2111">
          <cell r="L2111">
            <v>6596339</v>
          </cell>
          <cell r="Q2111" t="str">
            <v>1331331</v>
          </cell>
          <cell r="R2111" t="str">
            <v>1110</v>
          </cell>
        </row>
        <row r="2112">
          <cell r="L2112">
            <v>415454</v>
          </cell>
          <cell r="Q2112" t="str">
            <v>641dl</v>
          </cell>
          <cell r="R2112" t="str">
            <v>1110</v>
          </cell>
        </row>
        <row r="2113">
          <cell r="L2113">
            <v>14456</v>
          </cell>
          <cell r="Q2113" t="str">
            <v>1331331</v>
          </cell>
          <cell r="R2113" t="str">
            <v>1110</v>
          </cell>
        </row>
        <row r="2114">
          <cell r="L2114">
            <v>26243387</v>
          </cell>
          <cell r="Q2114" t="str">
            <v>641dl</v>
          </cell>
          <cell r="R2114" t="str">
            <v>1110</v>
          </cell>
        </row>
        <row r="2115">
          <cell r="L2115">
            <v>1589613</v>
          </cell>
          <cell r="Q2115" t="str">
            <v>1331331</v>
          </cell>
          <cell r="R2115" t="str">
            <v>1110</v>
          </cell>
        </row>
        <row r="2116">
          <cell r="L2116">
            <v>14150000</v>
          </cell>
          <cell r="Q2116" t="str">
            <v>3340</v>
          </cell>
          <cell r="R2116" t="str">
            <v>1110</v>
          </cell>
        </row>
        <row r="2117">
          <cell r="L2117">
            <v>29975000</v>
          </cell>
          <cell r="Q2117" t="str">
            <v>3340</v>
          </cell>
          <cell r="R2117" t="str">
            <v>1110</v>
          </cell>
        </row>
        <row r="2118">
          <cell r="L2118">
            <v>1137980934</v>
          </cell>
          <cell r="Q2118" t="str">
            <v>331t&amp;t</v>
          </cell>
          <cell r="R2118" t="str">
            <v>1110</v>
          </cell>
        </row>
        <row r="2119">
          <cell r="L2119">
            <v>721159060</v>
          </cell>
          <cell r="Q2119" t="str">
            <v>331t&amp;t</v>
          </cell>
          <cell r="R2119" t="str">
            <v>1110</v>
          </cell>
        </row>
        <row r="2120">
          <cell r="L2120">
            <v>148750000</v>
          </cell>
          <cell r="Q2120" t="str">
            <v>331tlong</v>
          </cell>
          <cell r="R2120" t="str">
            <v>1110</v>
          </cell>
        </row>
        <row r="2121">
          <cell r="L2121">
            <v>259960000</v>
          </cell>
          <cell r="Q2121" t="str">
            <v>331tlong</v>
          </cell>
          <cell r="R2121" t="str">
            <v>1110</v>
          </cell>
        </row>
        <row r="2122">
          <cell r="L2122">
            <v>1966040000</v>
          </cell>
          <cell r="Q2122" t="str">
            <v>331tlong</v>
          </cell>
          <cell r="R2122" t="str">
            <v>1110</v>
          </cell>
        </row>
        <row r="2123">
          <cell r="L2123">
            <v>5000</v>
          </cell>
          <cell r="Q2123" t="str">
            <v>8210</v>
          </cell>
          <cell r="R2123" t="str">
            <v>131tan</v>
          </cell>
        </row>
        <row r="2124">
          <cell r="L2124">
            <v>7000</v>
          </cell>
          <cell r="Q2124" t="str">
            <v>8210</v>
          </cell>
          <cell r="R2124" t="str">
            <v>131tthu</v>
          </cell>
        </row>
        <row r="2125">
          <cell r="L2125">
            <v>300</v>
          </cell>
          <cell r="Q2125" t="str">
            <v>8210</v>
          </cell>
          <cell r="R2125" t="str">
            <v>131kan</v>
          </cell>
        </row>
        <row r="2126">
          <cell r="L2126">
            <v>258000</v>
          </cell>
          <cell r="Q2126" t="str">
            <v>131tiendung</v>
          </cell>
          <cell r="R2126" t="str">
            <v>711tiendung</v>
          </cell>
        </row>
        <row r="2127">
          <cell r="L2127">
            <v>25000</v>
          </cell>
          <cell r="Q2127" t="str">
            <v>131tanphat</v>
          </cell>
          <cell r="R2127" t="str">
            <v>711tanphat</v>
          </cell>
        </row>
        <row r="2128">
          <cell r="L2128">
            <v>193000</v>
          </cell>
          <cell r="Q2128" t="str">
            <v>131binh</v>
          </cell>
          <cell r="R2128" t="str">
            <v>711binh</v>
          </cell>
        </row>
        <row r="2129">
          <cell r="L2129">
            <v>694400</v>
          </cell>
          <cell r="Q2129" t="str">
            <v>131taydo</v>
          </cell>
          <cell r="R2129" t="str">
            <v>711taydo</v>
          </cell>
        </row>
        <row r="2130">
          <cell r="L2130">
            <v>75492056</v>
          </cell>
          <cell r="Q2130" t="str">
            <v>131hasa</v>
          </cell>
          <cell r="R2130" t="str">
            <v>711hasa</v>
          </cell>
        </row>
        <row r="2131">
          <cell r="L2131">
            <v>8880025</v>
          </cell>
          <cell r="Q2131" t="str">
            <v>131hs¬n</v>
          </cell>
          <cell r="R2131" t="str">
            <v>711hs¬n</v>
          </cell>
        </row>
        <row r="2132">
          <cell r="L2132">
            <v>6183100</v>
          </cell>
          <cell r="Q2132" t="str">
            <v>131vietdo</v>
          </cell>
          <cell r="R2132" t="str">
            <v>711vietdo</v>
          </cell>
        </row>
        <row r="2133">
          <cell r="L2133">
            <v>4370498</v>
          </cell>
          <cell r="Q2133" t="str">
            <v>131anphu</v>
          </cell>
          <cell r="R2133" t="str">
            <v>711anphu</v>
          </cell>
        </row>
        <row r="2134">
          <cell r="L2134">
            <v>4469153</v>
          </cell>
          <cell r="Q2134" t="str">
            <v>131hphat</v>
          </cell>
          <cell r="R2134" t="str">
            <v>711hphat</v>
          </cell>
        </row>
        <row r="2135">
          <cell r="L2135">
            <v>46799558</v>
          </cell>
          <cell r="Q2135" t="str">
            <v>131vanloi</v>
          </cell>
          <cell r="R2135" t="str">
            <v>711vanloi</v>
          </cell>
        </row>
        <row r="2136">
          <cell r="L2136">
            <v>823600</v>
          </cell>
          <cell r="Q2136" t="str">
            <v>131thanh</v>
          </cell>
          <cell r="R2136" t="str">
            <v>711thanh</v>
          </cell>
        </row>
        <row r="2137">
          <cell r="L2137">
            <v>470</v>
          </cell>
          <cell r="Q2137" t="str">
            <v>131hvu</v>
          </cell>
          <cell r="R2137" t="str">
            <v>711hvu</v>
          </cell>
        </row>
        <row r="2138">
          <cell r="L2138">
            <v>499181254</v>
          </cell>
          <cell r="Q2138" t="str">
            <v>3333331</v>
          </cell>
          <cell r="R2138" t="str">
            <v>1331331</v>
          </cell>
        </row>
        <row r="2139">
          <cell r="L2139">
            <v>32551058</v>
          </cell>
          <cell r="Q2139" t="str">
            <v>3333334</v>
          </cell>
          <cell r="R2139" t="str">
            <v>4210</v>
          </cell>
        </row>
        <row r="2140">
          <cell r="L2140">
            <v>33433443</v>
          </cell>
          <cell r="Q2140" t="str">
            <v>4210</v>
          </cell>
          <cell r="R2140" t="str">
            <v>3333334</v>
          </cell>
        </row>
        <row r="2141">
          <cell r="L2141">
            <v>850000</v>
          </cell>
          <cell r="Q2141" t="str">
            <v>642t</v>
          </cell>
          <cell r="R2141" t="str">
            <v>3333338</v>
          </cell>
        </row>
        <row r="2142">
          <cell r="L2142">
            <v>9081799</v>
          </cell>
          <cell r="Q2142" t="str">
            <v>511642c</v>
          </cell>
          <cell r="R2142" t="str">
            <v>3333332</v>
          </cell>
        </row>
        <row r="2143">
          <cell r="L2143">
            <v>110092594</v>
          </cell>
          <cell r="Q2143" t="str">
            <v>642l</v>
          </cell>
          <cell r="R2143" t="str">
            <v>3340</v>
          </cell>
        </row>
        <row r="2144">
          <cell r="L2144">
            <v>34123737</v>
          </cell>
          <cell r="Q2144" t="str">
            <v>642k</v>
          </cell>
          <cell r="R2144" t="str">
            <v>335k</v>
          </cell>
        </row>
        <row r="2145">
          <cell r="Q2145" t="str">
            <v/>
          </cell>
          <cell r="R2145" t="str">
            <v/>
          </cell>
        </row>
        <row r="2146">
          <cell r="L2146">
            <v>258549390</v>
          </cell>
          <cell r="Q2146" t="str">
            <v>4210</v>
          </cell>
          <cell r="R2146" t="str">
            <v>9110</v>
          </cell>
        </row>
        <row r="2147">
          <cell r="L2147">
            <v>11941046031</v>
          </cell>
          <cell r="Q2147" t="str">
            <v>5110</v>
          </cell>
          <cell r="R2147" t="str">
            <v>9110</v>
          </cell>
        </row>
        <row r="2148">
          <cell r="L2148">
            <v>11609607404</v>
          </cell>
          <cell r="Q2148" t="str">
            <v>9110</v>
          </cell>
          <cell r="R2148" t="str">
            <v>6320</v>
          </cell>
        </row>
        <row r="2149">
          <cell r="L2149">
            <v>401666142</v>
          </cell>
          <cell r="Q2149" t="str">
            <v>9110</v>
          </cell>
          <cell r="R2149" t="str">
            <v>641</v>
          </cell>
        </row>
        <row r="2150">
          <cell r="L2150">
            <v>198185989</v>
          </cell>
          <cell r="Q2150" t="str">
            <v>9110</v>
          </cell>
          <cell r="R2150" t="str">
            <v>641</v>
          </cell>
        </row>
        <row r="2151">
          <cell r="L2151">
            <v>4495661</v>
          </cell>
          <cell r="Q2151" t="str">
            <v>9110</v>
          </cell>
          <cell r="R2151" t="str">
            <v>641</v>
          </cell>
        </row>
        <row r="2152">
          <cell r="L2152">
            <v>987000</v>
          </cell>
          <cell r="Q2152" t="str">
            <v>9110</v>
          </cell>
          <cell r="R2152" t="str">
            <v>641</v>
          </cell>
        </row>
        <row r="2153">
          <cell r="L2153">
            <v>1300000</v>
          </cell>
          <cell r="Q2153" t="str">
            <v>7210</v>
          </cell>
          <cell r="R2153" t="str">
            <v>9110</v>
          </cell>
        </row>
        <row r="2154">
          <cell r="L2154">
            <v>170098578</v>
          </cell>
          <cell r="Q2154" t="str">
            <v>7110</v>
          </cell>
          <cell r="R2154" t="str">
            <v>9110</v>
          </cell>
        </row>
        <row r="2155">
          <cell r="L2155">
            <v>28073</v>
          </cell>
          <cell r="Q2155" t="str">
            <v>112qt</v>
          </cell>
          <cell r="R2155" t="str">
            <v>711qt</v>
          </cell>
        </row>
        <row r="2156">
          <cell r="L2156">
            <v>3358067</v>
          </cell>
          <cell r="Q2156" t="str">
            <v>811qt</v>
          </cell>
          <cell r="R2156" t="str">
            <v>112qt</v>
          </cell>
        </row>
        <row r="2157">
          <cell r="L2157">
            <v>225443000</v>
          </cell>
          <cell r="Q2157" t="str">
            <v>1331331</v>
          </cell>
          <cell r="R2157" t="str">
            <v>33333312</v>
          </cell>
        </row>
        <row r="2158">
          <cell r="L2158">
            <v>3447369000</v>
          </cell>
          <cell r="Q2158" t="str">
            <v>156tl¸</v>
          </cell>
          <cell r="R2158" t="str">
            <v>331yun</v>
          </cell>
        </row>
        <row r="2159">
          <cell r="L2159">
            <v>1040502000</v>
          </cell>
          <cell r="Q2159" t="str">
            <v>156tl¸</v>
          </cell>
          <cell r="R2159" t="str">
            <v>3333333</v>
          </cell>
        </row>
        <row r="2160">
          <cell r="L2160">
            <v>13800000</v>
          </cell>
          <cell r="Q2160" t="str">
            <v>642kh</v>
          </cell>
          <cell r="R2160" t="str">
            <v>2140</v>
          </cell>
        </row>
        <row r="2161">
          <cell r="L2161">
            <v>350000000</v>
          </cell>
          <cell r="Q2161" t="str">
            <v>131viettra</v>
          </cell>
          <cell r="R2161" t="str">
            <v>331viettra</v>
          </cell>
        </row>
        <row r="2162">
          <cell r="L2162">
            <v>153238650</v>
          </cell>
          <cell r="Q2162" t="str">
            <v>911</v>
          </cell>
          <cell r="R2162" t="str">
            <v>642</v>
          </cell>
        </row>
        <row r="2163">
          <cell r="L2163">
            <v>189392632</v>
          </cell>
          <cell r="Q2163" t="str">
            <v>911</v>
          </cell>
          <cell r="R2163" t="str">
            <v>642</v>
          </cell>
        </row>
        <row r="2164">
          <cell r="L2164">
            <v>164993489</v>
          </cell>
          <cell r="Q2164" t="str">
            <v>911</v>
          </cell>
          <cell r="R2164" t="str">
            <v>642</v>
          </cell>
        </row>
        <row r="2165">
          <cell r="L2165">
            <v>233101256</v>
          </cell>
          <cell r="Q2165" t="str">
            <v>911</v>
          </cell>
          <cell r="R2165" t="str">
            <v>642</v>
          </cell>
        </row>
        <row r="2166">
          <cell r="L2166">
            <v>33431996</v>
          </cell>
          <cell r="Q2166" t="str">
            <v>421</v>
          </cell>
          <cell r="R2166" t="str">
            <v>414</v>
          </cell>
        </row>
        <row r="2167">
          <cell r="L2167">
            <v>24000000</v>
          </cell>
          <cell r="Q2167" t="str">
            <v>421</v>
          </cell>
          <cell r="R2167" t="str">
            <v>415</v>
          </cell>
        </row>
        <row r="2168">
          <cell r="L2168">
            <v>10011</v>
          </cell>
          <cell r="Q2168" t="str">
            <v>112ba</v>
          </cell>
          <cell r="R2168" t="str">
            <v>711ba</v>
          </cell>
        </row>
        <row r="2169">
          <cell r="L2169">
            <v>2000</v>
          </cell>
          <cell r="Q2169" t="str">
            <v>641kd</v>
          </cell>
          <cell r="R2169" t="str">
            <v>112ct</v>
          </cell>
        </row>
        <row r="2170">
          <cell r="L2170">
            <v>200</v>
          </cell>
          <cell r="Q2170" t="str">
            <v>133</v>
          </cell>
          <cell r="R2170" t="str">
            <v>112ct</v>
          </cell>
        </row>
        <row r="2171">
          <cell r="L2171">
            <v>45338000</v>
          </cell>
          <cell r="Q2171" t="str">
            <v>331nox</v>
          </cell>
          <cell r="R2171" t="str">
            <v>144</v>
          </cell>
        </row>
        <row r="2172">
          <cell r="L2172">
            <v>972850002</v>
          </cell>
          <cell r="Q2172" t="str">
            <v>131anphu</v>
          </cell>
          <cell r="R2172" t="str">
            <v>511kd</v>
          </cell>
        </row>
        <row r="2173">
          <cell r="L2173">
            <v>763632</v>
          </cell>
          <cell r="Q2173" t="str">
            <v>131ba</v>
          </cell>
          <cell r="R2173" t="str">
            <v>511kd</v>
          </cell>
        </row>
        <row r="2174">
          <cell r="L2174">
            <v>118613795</v>
          </cell>
          <cell r="Q2174" t="str">
            <v>131bæng</v>
          </cell>
          <cell r="R2174" t="str">
            <v>511kd</v>
          </cell>
        </row>
        <row r="2175">
          <cell r="L2175">
            <v>21533418</v>
          </cell>
          <cell r="Q2175" t="str">
            <v>131bdong</v>
          </cell>
          <cell r="R2175" t="str">
            <v>511kd</v>
          </cell>
        </row>
        <row r="2176">
          <cell r="L2176">
            <v>12650000</v>
          </cell>
          <cell r="Q2176" t="str">
            <v>131bk</v>
          </cell>
          <cell r="R2176" t="str">
            <v>511dl</v>
          </cell>
        </row>
        <row r="2177">
          <cell r="L2177">
            <v>48800000</v>
          </cell>
          <cell r="Q2177" t="str">
            <v>131bnguyet</v>
          </cell>
          <cell r="R2177" t="str">
            <v>511kd</v>
          </cell>
        </row>
        <row r="2178">
          <cell r="L2178">
            <v>17714370</v>
          </cell>
          <cell r="Q2178" t="str">
            <v>131cangkd</v>
          </cell>
          <cell r="R2178" t="str">
            <v>511kd</v>
          </cell>
        </row>
        <row r="2179">
          <cell r="L2179">
            <v>105000000</v>
          </cell>
          <cell r="Q2179" t="str">
            <v>131caoson</v>
          </cell>
          <cell r="R2179" t="str">
            <v>511dl</v>
          </cell>
        </row>
        <row r="2180">
          <cell r="L2180">
            <v>8571450</v>
          </cell>
          <cell r="Q2180" t="str">
            <v>131caoson</v>
          </cell>
          <cell r="R2180" t="str">
            <v>511kd</v>
          </cell>
        </row>
        <row r="2181">
          <cell r="L2181">
            <v>204605000</v>
          </cell>
          <cell r="Q2181" t="str">
            <v>131coc6</v>
          </cell>
          <cell r="R2181" t="str">
            <v>511dl</v>
          </cell>
        </row>
        <row r="2182">
          <cell r="L2182">
            <v>6857160</v>
          </cell>
          <cell r="Q2182" t="str">
            <v>131coc6</v>
          </cell>
          <cell r="R2182" t="str">
            <v>511kd</v>
          </cell>
        </row>
        <row r="2183">
          <cell r="L2183">
            <v>30948100</v>
          </cell>
          <cell r="Q2183" t="str">
            <v>131colimex</v>
          </cell>
          <cell r="R2183" t="str">
            <v>511dl</v>
          </cell>
        </row>
        <row r="2184">
          <cell r="L2184">
            <v>13942800</v>
          </cell>
          <cell r="Q2184" t="str">
            <v>131colimex</v>
          </cell>
          <cell r="R2184" t="str">
            <v>511kd</v>
          </cell>
        </row>
        <row r="2185">
          <cell r="L2185">
            <v>13440909</v>
          </cell>
          <cell r="Q2185" t="str">
            <v>131cc</v>
          </cell>
          <cell r="R2185" t="str">
            <v>511dl</v>
          </cell>
        </row>
        <row r="2186">
          <cell r="L2186">
            <v>14450000</v>
          </cell>
          <cell r="Q2186" t="str">
            <v>131ct2</v>
          </cell>
          <cell r="R2186" t="str">
            <v>511dl</v>
          </cell>
        </row>
        <row r="2187">
          <cell r="L2187">
            <v>54184000</v>
          </cell>
          <cell r="Q2187" t="str">
            <v>131cthinh</v>
          </cell>
          <cell r="R2187" t="str">
            <v>511kd</v>
          </cell>
        </row>
        <row r="2188">
          <cell r="L2188">
            <v>17000000</v>
          </cell>
          <cell r="Q2188" t="str">
            <v>131cuaong</v>
          </cell>
          <cell r="R2188" t="str">
            <v>511dl</v>
          </cell>
        </row>
        <row r="2189">
          <cell r="L2189">
            <v>17142900</v>
          </cell>
          <cell r="Q2189" t="str">
            <v>131cuaong</v>
          </cell>
          <cell r="R2189" t="str">
            <v>511kd</v>
          </cell>
        </row>
        <row r="2190">
          <cell r="L2190">
            <v>36000080</v>
          </cell>
          <cell r="Q2190" t="str">
            <v>131damai</v>
          </cell>
          <cell r="R2190" t="str">
            <v>511kd</v>
          </cell>
        </row>
        <row r="2191">
          <cell r="L2191">
            <v>11420000</v>
          </cell>
          <cell r="Q2191" t="str">
            <v>131dattin</v>
          </cell>
          <cell r="R2191" t="str">
            <v>511kd</v>
          </cell>
        </row>
        <row r="2192">
          <cell r="L2192">
            <v>14000000</v>
          </cell>
          <cell r="Q2192" t="str">
            <v>131dbac</v>
          </cell>
          <cell r="R2192" t="str">
            <v>511kd</v>
          </cell>
        </row>
        <row r="2193">
          <cell r="L2193">
            <v>200000500</v>
          </cell>
          <cell r="Q2193" t="str">
            <v>131deonai</v>
          </cell>
          <cell r="R2193" t="str">
            <v>511kd</v>
          </cell>
        </row>
        <row r="2194">
          <cell r="L2194">
            <v>1714290</v>
          </cell>
          <cell r="Q2194" t="str">
            <v>131dhuy</v>
          </cell>
          <cell r="R2194" t="str">
            <v>511kd</v>
          </cell>
        </row>
        <row r="2195">
          <cell r="L2195">
            <v>20571480</v>
          </cell>
          <cell r="Q2195" t="str">
            <v>131doluong</v>
          </cell>
          <cell r="R2195" t="str">
            <v>511kd</v>
          </cell>
        </row>
        <row r="2196">
          <cell r="L2196">
            <v>67730000</v>
          </cell>
          <cell r="Q2196" t="str">
            <v>131®­cgiang</v>
          </cell>
          <cell r="R2196" t="str">
            <v>511kd</v>
          </cell>
        </row>
        <row r="2197">
          <cell r="L2197">
            <v>48000000</v>
          </cell>
          <cell r="Q2197" t="str">
            <v>131ducha</v>
          </cell>
          <cell r="R2197" t="str">
            <v>511kd</v>
          </cell>
        </row>
        <row r="2198">
          <cell r="L2198">
            <v>28000000</v>
          </cell>
          <cell r="Q2198" t="str">
            <v>131nthh</v>
          </cell>
          <cell r="R2198" t="str">
            <v>511kd</v>
          </cell>
        </row>
        <row r="2199">
          <cell r="L2199">
            <v>58765200</v>
          </cell>
          <cell r="Q2199" t="str">
            <v>131hasa</v>
          </cell>
          <cell r="R2199" t="str">
            <v>511kd</v>
          </cell>
        </row>
        <row r="2200">
          <cell r="L2200">
            <v>62099545</v>
          </cell>
          <cell r="Q2200" t="str">
            <v>131hatay</v>
          </cell>
          <cell r="R2200" t="str">
            <v>511dl</v>
          </cell>
        </row>
        <row r="2201">
          <cell r="L2201">
            <v>1714290</v>
          </cell>
          <cell r="Q2201" t="str">
            <v>131heri</v>
          </cell>
          <cell r="R2201" t="str">
            <v>511kd</v>
          </cell>
        </row>
        <row r="2202">
          <cell r="L2202">
            <v>339895950</v>
          </cell>
          <cell r="Q2202" t="str">
            <v>131hphat</v>
          </cell>
          <cell r="R2202" t="str">
            <v>511kd</v>
          </cell>
        </row>
        <row r="2203">
          <cell r="L2203">
            <v>194400000</v>
          </cell>
          <cell r="Q2203" t="str">
            <v>131hlong</v>
          </cell>
          <cell r="R2203" t="str">
            <v>511kd</v>
          </cell>
        </row>
        <row r="2204">
          <cell r="L2204">
            <v>1371432</v>
          </cell>
          <cell r="Q2204" t="str">
            <v>131hoachat</v>
          </cell>
          <cell r="R2204" t="str">
            <v>511kd</v>
          </cell>
        </row>
        <row r="2205">
          <cell r="L2205">
            <v>11428600</v>
          </cell>
          <cell r="Q2205" t="str">
            <v>131hongai</v>
          </cell>
          <cell r="R2205" t="str">
            <v>511kd</v>
          </cell>
        </row>
        <row r="2206">
          <cell r="L2206">
            <v>478800000</v>
          </cell>
          <cell r="Q2206" t="str">
            <v>131hphuong</v>
          </cell>
          <cell r="R2206" t="str">
            <v>511kd</v>
          </cell>
        </row>
        <row r="2207">
          <cell r="L2207">
            <v>452443200</v>
          </cell>
          <cell r="Q2207" t="str">
            <v>131hs¬n</v>
          </cell>
          <cell r="R2207" t="str">
            <v>511kd</v>
          </cell>
        </row>
        <row r="2208">
          <cell r="L2208">
            <v>2314729047</v>
          </cell>
          <cell r="Q2208" t="str">
            <v>131hïng</v>
          </cell>
          <cell r="R2208" t="str">
            <v>511kd</v>
          </cell>
        </row>
        <row r="2209">
          <cell r="L2209">
            <v>1108714802</v>
          </cell>
          <cell r="Q2209" t="str">
            <v>131hvu</v>
          </cell>
          <cell r="R2209" t="str">
            <v>511kd</v>
          </cell>
        </row>
        <row r="2210">
          <cell r="L2210">
            <v>13950000</v>
          </cell>
          <cell r="Q2210" t="str">
            <v>131khminh</v>
          </cell>
          <cell r="R2210" t="str">
            <v>511kd</v>
          </cell>
        </row>
        <row r="2211">
          <cell r="L2211">
            <v>128740000</v>
          </cell>
          <cell r="Q2211" t="str">
            <v>131kien</v>
          </cell>
          <cell r="R2211" t="str">
            <v>511kd</v>
          </cell>
        </row>
        <row r="2212">
          <cell r="Q2212" t="str">
            <v>131ks</v>
          </cell>
          <cell r="R2212" t="str">
            <v>511kd</v>
          </cell>
        </row>
        <row r="2213">
          <cell r="L2213">
            <v>54400000</v>
          </cell>
          <cell r="Q2213" t="str">
            <v>131lthinh</v>
          </cell>
          <cell r="R2213" t="str">
            <v>511kd</v>
          </cell>
        </row>
        <row r="2214">
          <cell r="L2214">
            <v>1945932000</v>
          </cell>
          <cell r="Q2214" t="str">
            <v>131namminh</v>
          </cell>
          <cell r="R2214" t="str">
            <v>511kd</v>
          </cell>
        </row>
        <row r="2215">
          <cell r="L2215">
            <v>20571480</v>
          </cell>
          <cell r="Q2215" t="str">
            <v>131nuibeo</v>
          </cell>
          <cell r="R2215" t="str">
            <v>511kd</v>
          </cell>
        </row>
        <row r="2216">
          <cell r="L2216">
            <v>296290000</v>
          </cell>
          <cell r="Q2216" t="str">
            <v>131ploc</v>
          </cell>
          <cell r="R2216" t="str">
            <v>511kd</v>
          </cell>
        </row>
        <row r="2217">
          <cell r="L2217">
            <v>4121028902</v>
          </cell>
          <cell r="Q2217" t="str">
            <v>131ptrinh</v>
          </cell>
          <cell r="R2217" t="str">
            <v>511kd</v>
          </cell>
        </row>
        <row r="2218">
          <cell r="L2218">
            <v>13800000</v>
          </cell>
          <cell r="Q2218" t="str">
            <v>131qminh</v>
          </cell>
          <cell r="R2218" t="str">
            <v>511kd</v>
          </cell>
        </row>
        <row r="2219">
          <cell r="L2219">
            <v>157360000</v>
          </cell>
          <cell r="Q2219" t="str">
            <v>131shiep</v>
          </cell>
          <cell r="R2219" t="str">
            <v>511kd</v>
          </cell>
        </row>
        <row r="2220">
          <cell r="L2220">
            <v>6857160</v>
          </cell>
          <cell r="Q2220" t="str">
            <v>131sxtm</v>
          </cell>
          <cell r="R2220" t="str">
            <v>511kd</v>
          </cell>
        </row>
        <row r="2221">
          <cell r="L2221">
            <v>11240000</v>
          </cell>
          <cell r="Q2221" t="str">
            <v>131taxi</v>
          </cell>
          <cell r="R2221" t="str">
            <v>511kd</v>
          </cell>
        </row>
        <row r="2222">
          <cell r="L2222">
            <v>45680000</v>
          </cell>
          <cell r="Q2222" t="str">
            <v>131taydo</v>
          </cell>
          <cell r="R2222" t="str">
            <v>511kd</v>
          </cell>
        </row>
        <row r="2223">
          <cell r="L2223">
            <v>83424000</v>
          </cell>
          <cell r="Q2223" t="str">
            <v>131thanh</v>
          </cell>
          <cell r="R2223" t="str">
            <v>511kd</v>
          </cell>
        </row>
        <row r="2224">
          <cell r="L2224">
            <v>256320000</v>
          </cell>
          <cell r="Q2224" t="str">
            <v>131tiendung</v>
          </cell>
          <cell r="R2224" t="str">
            <v>511kd</v>
          </cell>
        </row>
        <row r="2225">
          <cell r="L2225">
            <v>122004000</v>
          </cell>
          <cell r="Q2225" t="str">
            <v>131tmdda</v>
          </cell>
          <cell r="R2225" t="str">
            <v>511kd</v>
          </cell>
        </row>
        <row r="2226">
          <cell r="L2226">
            <v>6857160</v>
          </cell>
          <cell r="Q2226" t="str">
            <v>131tnhat</v>
          </cell>
          <cell r="R2226" t="str">
            <v>511kd</v>
          </cell>
        </row>
        <row r="2227">
          <cell r="L2227">
            <v>43200000</v>
          </cell>
          <cell r="Q2227" t="str">
            <v>131tongthan</v>
          </cell>
          <cell r="R2227" t="str">
            <v>511kd</v>
          </cell>
        </row>
        <row r="2228">
          <cell r="L2228">
            <v>2004091000</v>
          </cell>
          <cell r="Q2228" t="str">
            <v>131trungkien</v>
          </cell>
          <cell r="R2228" t="str">
            <v>511kd</v>
          </cell>
        </row>
        <row r="2229">
          <cell r="L2229">
            <v>1039780000</v>
          </cell>
          <cell r="Q2229" t="str">
            <v>131tan</v>
          </cell>
          <cell r="R2229" t="str">
            <v>511kd</v>
          </cell>
        </row>
        <row r="2230">
          <cell r="L2230">
            <v>39340000</v>
          </cell>
          <cell r="Q2230" t="str">
            <v>131ttgiang</v>
          </cell>
          <cell r="R2230" t="str">
            <v>511kd</v>
          </cell>
        </row>
        <row r="2231">
          <cell r="L2231">
            <v>64740000</v>
          </cell>
          <cell r="Q2231" t="str">
            <v>131tthu</v>
          </cell>
          <cell r="R2231" t="str">
            <v>511kd</v>
          </cell>
        </row>
        <row r="2232">
          <cell r="L2232">
            <v>1440000</v>
          </cell>
          <cell r="Q2232" t="str">
            <v>131tvn</v>
          </cell>
          <cell r="R2232" t="str">
            <v>511kd</v>
          </cell>
        </row>
        <row r="2233">
          <cell r="L2233">
            <v>28100000</v>
          </cell>
          <cell r="Q2233" t="str">
            <v>131uynguyet</v>
          </cell>
          <cell r="R2233" t="str">
            <v>511kd</v>
          </cell>
        </row>
        <row r="2234">
          <cell r="L2234">
            <v>40457328</v>
          </cell>
          <cell r="Q2234" t="str">
            <v>131vangdanh</v>
          </cell>
          <cell r="R2234" t="str">
            <v>511kd</v>
          </cell>
        </row>
        <row r="2235">
          <cell r="L2235">
            <v>1796119712</v>
          </cell>
          <cell r="Q2235" t="str">
            <v>131vanloi</v>
          </cell>
          <cell r="R2235" t="str">
            <v>511kd</v>
          </cell>
        </row>
        <row r="2236">
          <cell r="L2236">
            <v>171420000</v>
          </cell>
          <cell r="Q2236" t="str">
            <v>131vcb</v>
          </cell>
          <cell r="R2236" t="str">
            <v>511kd</v>
          </cell>
        </row>
        <row r="2237">
          <cell r="L2237">
            <v>3609532971</v>
          </cell>
          <cell r="Q2237" t="str">
            <v>131viettra</v>
          </cell>
          <cell r="R2237" t="str">
            <v>511kd</v>
          </cell>
        </row>
        <row r="2238">
          <cell r="L2238">
            <v>237000000</v>
          </cell>
          <cell r="Q2238" t="str">
            <v>131tloc</v>
          </cell>
          <cell r="R2238" t="str">
            <v>511kd</v>
          </cell>
        </row>
        <row r="2239">
          <cell r="L2239">
            <v>54133944</v>
          </cell>
          <cell r="Q2239" t="str">
            <v>131vpp</v>
          </cell>
          <cell r="R2239" t="str">
            <v>511kd</v>
          </cell>
        </row>
        <row r="2240">
          <cell r="L2240">
            <v>488068000</v>
          </cell>
          <cell r="Q2240" t="str">
            <v>131vthu</v>
          </cell>
          <cell r="R2240" t="str">
            <v>511kd</v>
          </cell>
        </row>
        <row r="2241">
          <cell r="L2241">
            <v>16645435</v>
          </cell>
          <cell r="Q2241" t="str">
            <v>131xmls</v>
          </cell>
          <cell r="R2241" t="str">
            <v>511dl</v>
          </cell>
        </row>
        <row r="2242">
          <cell r="L2242">
            <v>221900000</v>
          </cell>
          <cell r="Q2242" t="str">
            <v>131hy</v>
          </cell>
          <cell r="R2242" t="str">
            <v>511kd</v>
          </cell>
        </row>
        <row r="2243">
          <cell r="L2243">
            <v>4508840700</v>
          </cell>
          <cell r="Q2243" t="str">
            <v>131xnkhy</v>
          </cell>
          <cell r="R2243" t="str">
            <v>511kd</v>
          </cell>
        </row>
        <row r="2244">
          <cell r="L2244">
            <v>48642500</v>
          </cell>
          <cell r="Q2244" t="str">
            <v>131anphu</v>
          </cell>
          <cell r="R2244" t="str">
            <v>3333331</v>
          </cell>
        </row>
        <row r="2245">
          <cell r="L2245">
            <v>76368</v>
          </cell>
          <cell r="Q2245" t="str">
            <v>131ba</v>
          </cell>
          <cell r="R2245" t="str">
            <v>3333331</v>
          </cell>
        </row>
        <row r="2246">
          <cell r="L2246">
            <v>6105390</v>
          </cell>
          <cell r="Q2246" t="str">
            <v>131bæng</v>
          </cell>
          <cell r="R2246" t="str">
            <v>3333331</v>
          </cell>
        </row>
        <row r="2247">
          <cell r="L2247">
            <v>1076582</v>
          </cell>
          <cell r="Q2247" t="str">
            <v>131bdong</v>
          </cell>
          <cell r="R2247" t="str">
            <v>3333331</v>
          </cell>
        </row>
        <row r="2248">
          <cell r="L2248">
            <v>1265000</v>
          </cell>
          <cell r="Q2248" t="str">
            <v>131bk</v>
          </cell>
          <cell r="R2248" t="str">
            <v>3333331</v>
          </cell>
        </row>
        <row r="2249">
          <cell r="L2249">
            <v>4880000</v>
          </cell>
          <cell r="Q2249" t="str">
            <v>131bnguyet</v>
          </cell>
          <cell r="R2249" t="str">
            <v>3333331</v>
          </cell>
        </row>
        <row r="2250">
          <cell r="L2250">
            <v>885630</v>
          </cell>
          <cell r="Q2250" t="str">
            <v>131cangkd</v>
          </cell>
          <cell r="R2250" t="str">
            <v>3333331</v>
          </cell>
        </row>
        <row r="2251">
          <cell r="L2251">
            <v>10928550</v>
          </cell>
          <cell r="Q2251" t="str">
            <v>131caoson</v>
          </cell>
          <cell r="R2251" t="str">
            <v>3333331</v>
          </cell>
        </row>
        <row r="2252">
          <cell r="L2252">
            <v>20803340</v>
          </cell>
          <cell r="Q2252" t="str">
            <v>131coc6</v>
          </cell>
          <cell r="R2252" t="str">
            <v>3333331</v>
          </cell>
        </row>
        <row r="2253">
          <cell r="L2253">
            <v>3792100</v>
          </cell>
          <cell r="Q2253" t="str">
            <v>131colimex</v>
          </cell>
          <cell r="R2253" t="str">
            <v>3333331</v>
          </cell>
        </row>
        <row r="2254">
          <cell r="L2254">
            <v>1344091</v>
          </cell>
          <cell r="Q2254" t="str">
            <v>131cc</v>
          </cell>
          <cell r="R2254" t="str">
            <v>3333331</v>
          </cell>
        </row>
        <row r="2255">
          <cell r="L2255">
            <v>1445000</v>
          </cell>
          <cell r="Q2255" t="str">
            <v>131ct2</v>
          </cell>
          <cell r="R2255" t="str">
            <v>3333331</v>
          </cell>
        </row>
        <row r="2256">
          <cell r="L2256">
            <v>5418400</v>
          </cell>
          <cell r="Q2256" t="str">
            <v>131cthinh</v>
          </cell>
          <cell r="R2256" t="str">
            <v>3333331</v>
          </cell>
        </row>
        <row r="2257">
          <cell r="L2257">
            <v>2557100</v>
          </cell>
          <cell r="Q2257" t="str">
            <v>131cuaong</v>
          </cell>
          <cell r="R2257" t="str">
            <v>3333331</v>
          </cell>
        </row>
        <row r="2258">
          <cell r="L2258">
            <v>1799920</v>
          </cell>
          <cell r="Q2258" t="str">
            <v>131damai</v>
          </cell>
          <cell r="R2258" t="str">
            <v>3333331</v>
          </cell>
        </row>
        <row r="2259">
          <cell r="L2259">
            <v>1142000</v>
          </cell>
          <cell r="Q2259" t="str">
            <v>131dattin</v>
          </cell>
          <cell r="R2259" t="str">
            <v>3333331</v>
          </cell>
        </row>
        <row r="2260">
          <cell r="L2260">
            <v>700000</v>
          </cell>
          <cell r="Q2260" t="str">
            <v>131dbac</v>
          </cell>
          <cell r="R2260" t="str">
            <v>3333331</v>
          </cell>
        </row>
        <row r="2261">
          <cell r="L2261">
            <v>9999500</v>
          </cell>
          <cell r="Q2261" t="str">
            <v>131deonai</v>
          </cell>
          <cell r="R2261" t="str">
            <v>3333331</v>
          </cell>
        </row>
        <row r="2262">
          <cell r="L2262">
            <v>85710</v>
          </cell>
          <cell r="Q2262" t="str">
            <v>131dhuy</v>
          </cell>
          <cell r="R2262" t="str">
            <v>3333331</v>
          </cell>
        </row>
        <row r="2263">
          <cell r="L2263">
            <v>1028520</v>
          </cell>
          <cell r="Q2263" t="str">
            <v>131doluong</v>
          </cell>
          <cell r="R2263" t="str">
            <v>3333331</v>
          </cell>
        </row>
        <row r="2264">
          <cell r="L2264">
            <v>6773000</v>
          </cell>
          <cell r="Q2264" t="str">
            <v>131®­cgiang</v>
          </cell>
          <cell r="R2264" t="str">
            <v>3333331</v>
          </cell>
        </row>
        <row r="2265">
          <cell r="L2265">
            <v>4800000</v>
          </cell>
          <cell r="Q2265" t="str">
            <v>131ducha</v>
          </cell>
          <cell r="R2265" t="str">
            <v>3333331</v>
          </cell>
        </row>
        <row r="2266">
          <cell r="L2266">
            <v>2800000</v>
          </cell>
          <cell r="Q2266" t="str">
            <v>131nthh</v>
          </cell>
          <cell r="R2266" t="str">
            <v>3333331</v>
          </cell>
        </row>
        <row r="2267">
          <cell r="L2267">
            <v>5876520</v>
          </cell>
          <cell r="Q2267" t="str">
            <v>131hasa</v>
          </cell>
          <cell r="R2267" t="str">
            <v>3333331</v>
          </cell>
        </row>
        <row r="2268">
          <cell r="L2268">
            <v>6209955</v>
          </cell>
          <cell r="Q2268" t="str">
            <v>131hatay</v>
          </cell>
          <cell r="R2268" t="str">
            <v>3333331</v>
          </cell>
        </row>
        <row r="2269">
          <cell r="L2269">
            <v>85710</v>
          </cell>
          <cell r="Q2269" t="str">
            <v>131heri</v>
          </cell>
          <cell r="R2269" t="str">
            <v>3333331</v>
          </cell>
        </row>
        <row r="2270">
          <cell r="L2270">
            <v>16994797</v>
          </cell>
          <cell r="Q2270" t="str">
            <v>131hphat</v>
          </cell>
          <cell r="R2270" t="str">
            <v>3333331</v>
          </cell>
        </row>
        <row r="2271">
          <cell r="L2271">
            <v>19440000</v>
          </cell>
          <cell r="Q2271" t="str">
            <v>131hlong</v>
          </cell>
          <cell r="R2271" t="str">
            <v>3333331</v>
          </cell>
        </row>
        <row r="2272">
          <cell r="L2272">
            <v>68568</v>
          </cell>
          <cell r="Q2272" t="str">
            <v>131hoachat</v>
          </cell>
          <cell r="R2272" t="str">
            <v>3333331</v>
          </cell>
        </row>
        <row r="2273">
          <cell r="L2273">
            <v>571400</v>
          </cell>
          <cell r="Q2273" t="str">
            <v>131hongai</v>
          </cell>
          <cell r="R2273" t="str">
            <v>3333331</v>
          </cell>
        </row>
        <row r="2274">
          <cell r="L2274">
            <v>47880000</v>
          </cell>
          <cell r="Q2274" t="str">
            <v>131hphuong</v>
          </cell>
          <cell r="R2274" t="str">
            <v>3333331</v>
          </cell>
        </row>
        <row r="2275">
          <cell r="L2275">
            <v>45244320</v>
          </cell>
          <cell r="Q2275" t="str">
            <v>131hs¬n</v>
          </cell>
          <cell r="R2275" t="str">
            <v>3333331</v>
          </cell>
        </row>
        <row r="2276">
          <cell r="L2276">
            <v>234406356.19999999</v>
          </cell>
          <cell r="Q2276" t="str">
            <v>131hïng</v>
          </cell>
          <cell r="R2276" t="str">
            <v>3333331</v>
          </cell>
        </row>
        <row r="2277">
          <cell r="L2277">
            <v>55435762</v>
          </cell>
          <cell r="Q2277" t="str">
            <v>131hvu</v>
          </cell>
          <cell r="R2277" t="str">
            <v>3333331</v>
          </cell>
        </row>
        <row r="2278">
          <cell r="L2278">
            <v>1395000</v>
          </cell>
          <cell r="Q2278" t="str">
            <v>131khminh</v>
          </cell>
          <cell r="R2278" t="str">
            <v>3333331</v>
          </cell>
        </row>
        <row r="2279">
          <cell r="L2279">
            <v>12874000</v>
          </cell>
          <cell r="Q2279" t="str">
            <v>131kien</v>
          </cell>
          <cell r="R2279" t="str">
            <v>3333331</v>
          </cell>
        </row>
        <row r="2280">
          <cell r="L2280">
            <v>0</v>
          </cell>
          <cell r="Q2280" t="str">
            <v>131ks</v>
          </cell>
          <cell r="R2280" t="str">
            <v>3333331</v>
          </cell>
        </row>
        <row r="2281">
          <cell r="L2281">
            <v>5440000</v>
          </cell>
          <cell r="Q2281" t="str">
            <v>131lthinh</v>
          </cell>
          <cell r="R2281" t="str">
            <v>3333331</v>
          </cell>
        </row>
        <row r="2282">
          <cell r="L2282">
            <v>194593200</v>
          </cell>
          <cell r="Q2282" t="str">
            <v>131namminh</v>
          </cell>
          <cell r="R2282" t="str">
            <v>3333331</v>
          </cell>
        </row>
        <row r="2283">
          <cell r="L2283">
            <v>1028520</v>
          </cell>
          <cell r="Q2283" t="str">
            <v>131nuibeo</v>
          </cell>
          <cell r="R2283" t="str">
            <v>3333331</v>
          </cell>
        </row>
        <row r="2284">
          <cell r="L2284">
            <v>29629000</v>
          </cell>
          <cell r="Q2284" t="str">
            <v>131ploc</v>
          </cell>
          <cell r="R2284" t="str">
            <v>3333331</v>
          </cell>
        </row>
        <row r="2285">
          <cell r="L2285">
            <v>206051445</v>
          </cell>
          <cell r="Q2285" t="str">
            <v>131ptrinh</v>
          </cell>
          <cell r="R2285" t="str">
            <v>3333331</v>
          </cell>
        </row>
        <row r="2286">
          <cell r="L2286">
            <v>1380000</v>
          </cell>
          <cell r="Q2286" t="str">
            <v>131qminh</v>
          </cell>
          <cell r="R2286" t="str">
            <v>3333331</v>
          </cell>
        </row>
        <row r="2287">
          <cell r="L2287">
            <v>15736000</v>
          </cell>
          <cell r="Q2287" t="str">
            <v>131shiep</v>
          </cell>
          <cell r="R2287" t="str">
            <v>3333331</v>
          </cell>
        </row>
        <row r="2288">
          <cell r="L2288">
            <v>342840</v>
          </cell>
          <cell r="Q2288" t="str">
            <v>131sxtm</v>
          </cell>
          <cell r="R2288" t="str">
            <v>3333331</v>
          </cell>
        </row>
        <row r="2289">
          <cell r="L2289">
            <v>1124000</v>
          </cell>
          <cell r="Q2289" t="str">
            <v>131taxi</v>
          </cell>
          <cell r="R2289" t="str">
            <v>3333331</v>
          </cell>
        </row>
        <row r="2290">
          <cell r="L2290">
            <v>4568000</v>
          </cell>
          <cell r="Q2290" t="str">
            <v>131taydo</v>
          </cell>
          <cell r="R2290" t="str">
            <v>3333331</v>
          </cell>
        </row>
        <row r="2291">
          <cell r="L2291">
            <v>8342400</v>
          </cell>
          <cell r="Q2291" t="str">
            <v>131thanh</v>
          </cell>
          <cell r="R2291" t="str">
            <v>3333331</v>
          </cell>
        </row>
        <row r="2292">
          <cell r="L2292">
            <v>25632000</v>
          </cell>
          <cell r="Q2292" t="str">
            <v>131tiendung</v>
          </cell>
          <cell r="R2292" t="str">
            <v>3333331</v>
          </cell>
        </row>
        <row r="2293">
          <cell r="L2293">
            <v>12200400</v>
          </cell>
          <cell r="Q2293" t="str">
            <v>131tmdda</v>
          </cell>
          <cell r="R2293" t="str">
            <v>3333331</v>
          </cell>
        </row>
        <row r="2294">
          <cell r="L2294">
            <v>342840</v>
          </cell>
          <cell r="Q2294" t="str">
            <v>131tnhat</v>
          </cell>
          <cell r="R2294" t="str">
            <v>3333331</v>
          </cell>
        </row>
        <row r="2295">
          <cell r="L2295">
            <v>2160000</v>
          </cell>
          <cell r="Q2295" t="str">
            <v>131tongthan</v>
          </cell>
          <cell r="R2295" t="str">
            <v>3333331</v>
          </cell>
        </row>
        <row r="2296">
          <cell r="L2296">
            <v>200409100</v>
          </cell>
          <cell r="Q2296" t="str">
            <v>131trungkien</v>
          </cell>
          <cell r="R2296" t="str">
            <v>3333331</v>
          </cell>
        </row>
        <row r="2297">
          <cell r="L2297">
            <v>103978000</v>
          </cell>
          <cell r="Q2297" t="str">
            <v>131tan</v>
          </cell>
          <cell r="R2297" t="str">
            <v>3333331</v>
          </cell>
        </row>
        <row r="2298">
          <cell r="L2298">
            <v>3934000</v>
          </cell>
          <cell r="Q2298" t="str">
            <v>131ttgiang</v>
          </cell>
          <cell r="R2298" t="str">
            <v>3333331</v>
          </cell>
        </row>
        <row r="2299">
          <cell r="L2299">
            <v>6474000</v>
          </cell>
          <cell r="Q2299" t="str">
            <v>131tthu</v>
          </cell>
          <cell r="R2299" t="str">
            <v>3333331</v>
          </cell>
        </row>
        <row r="2300">
          <cell r="L2300">
            <v>72000</v>
          </cell>
          <cell r="Q2300" t="str">
            <v>131tvn</v>
          </cell>
          <cell r="R2300" t="str">
            <v>3333331</v>
          </cell>
        </row>
        <row r="2301">
          <cell r="L2301">
            <v>2810000</v>
          </cell>
          <cell r="Q2301" t="str">
            <v>131uynguyet</v>
          </cell>
          <cell r="R2301" t="str">
            <v>3333331</v>
          </cell>
        </row>
        <row r="2302">
          <cell r="L2302">
            <v>2022672</v>
          </cell>
          <cell r="Q2302" t="str">
            <v>131vangdanh</v>
          </cell>
          <cell r="R2302" t="str">
            <v>3333331</v>
          </cell>
        </row>
        <row r="2303">
          <cell r="L2303">
            <v>90080730</v>
          </cell>
          <cell r="Q2303" t="str">
            <v>131vanloi</v>
          </cell>
          <cell r="R2303" t="str">
            <v>3333331</v>
          </cell>
        </row>
        <row r="2304">
          <cell r="L2304">
            <v>17142000</v>
          </cell>
          <cell r="Q2304" t="str">
            <v>131vcb</v>
          </cell>
          <cell r="R2304" t="str">
            <v>3333331</v>
          </cell>
        </row>
        <row r="2305">
          <cell r="L2305">
            <v>180476660</v>
          </cell>
          <cell r="Q2305" t="str">
            <v>131viettra</v>
          </cell>
          <cell r="R2305" t="str">
            <v>3333331</v>
          </cell>
        </row>
        <row r="2306">
          <cell r="L2306">
            <v>11850000</v>
          </cell>
          <cell r="Q2306" t="str">
            <v>131tloc</v>
          </cell>
          <cell r="R2306" t="str">
            <v>3333331</v>
          </cell>
        </row>
        <row r="2307">
          <cell r="L2307">
            <v>5415332</v>
          </cell>
          <cell r="Q2307" t="str">
            <v>131vpp</v>
          </cell>
          <cell r="R2307" t="str">
            <v>3333331</v>
          </cell>
        </row>
        <row r="2308">
          <cell r="L2308">
            <v>48806800</v>
          </cell>
          <cell r="Q2308" t="str">
            <v>131vthu</v>
          </cell>
          <cell r="R2308" t="str">
            <v>3333331</v>
          </cell>
        </row>
        <row r="2309">
          <cell r="L2309">
            <v>1664565</v>
          </cell>
          <cell r="Q2309" t="str">
            <v>131xmls</v>
          </cell>
          <cell r="R2309" t="str">
            <v>3333331</v>
          </cell>
        </row>
        <row r="2310">
          <cell r="L2310">
            <v>22190000</v>
          </cell>
          <cell r="Q2310" t="str">
            <v>131hy</v>
          </cell>
          <cell r="R2310" t="str">
            <v>3333331</v>
          </cell>
        </row>
        <row r="2311">
          <cell r="L2311">
            <v>225443000</v>
          </cell>
          <cell r="Q2311" t="str">
            <v>131xnkhy</v>
          </cell>
          <cell r="R2311" t="str">
            <v>3333331</v>
          </cell>
        </row>
        <row r="2312">
          <cell r="L2312">
            <v>16770000</v>
          </cell>
          <cell r="Q2312" t="str">
            <v>131thh­¬ng</v>
          </cell>
          <cell r="R2312" t="str">
            <v>511ch</v>
          </cell>
        </row>
        <row r="2313">
          <cell r="L2313">
            <v>6002000</v>
          </cell>
          <cell r="Q2313" t="str">
            <v>911</v>
          </cell>
          <cell r="R2313" t="str">
            <v>641</v>
          </cell>
        </row>
        <row r="2314">
          <cell r="L2314">
            <v>-25224232</v>
          </cell>
          <cell r="Q2314" t="str">
            <v>911</v>
          </cell>
          <cell r="R2314" t="str">
            <v>642</v>
          </cell>
        </row>
        <row r="2315">
          <cell r="L2315">
            <v>26393</v>
          </cell>
          <cell r="Q2315" t="str">
            <v>711</v>
          </cell>
          <cell r="R2315" t="str">
            <v>911</v>
          </cell>
        </row>
        <row r="2316">
          <cell r="L2316">
            <v>6630155</v>
          </cell>
          <cell r="Q2316" t="str">
            <v>511</v>
          </cell>
          <cell r="R2316" t="str">
            <v>911</v>
          </cell>
        </row>
        <row r="2317">
          <cell r="L2317">
            <v>10166826</v>
          </cell>
          <cell r="Q2317" t="str">
            <v>911</v>
          </cell>
          <cell r="R2317" t="str">
            <v>421</v>
          </cell>
        </row>
        <row r="2318">
          <cell r="L2318">
            <v>43649543</v>
          </cell>
          <cell r="Q2318" t="str">
            <v>421</v>
          </cell>
          <cell r="R2318" t="str">
            <v>431</v>
          </cell>
        </row>
        <row r="2319">
          <cell r="L2319">
            <v>9014250</v>
          </cell>
          <cell r="Q2319" t="str">
            <v>642t</v>
          </cell>
          <cell r="R2319" t="str">
            <v>3333337</v>
          </cell>
        </row>
        <row r="2320">
          <cell r="L2320">
            <v>100496682</v>
          </cell>
          <cell r="Q2320" t="str">
            <v>133</v>
          </cell>
          <cell r="R2320" t="str">
            <v>33333312</v>
          </cell>
        </row>
        <row r="2321">
          <cell r="L2321">
            <v>124033524</v>
          </cell>
          <cell r="Q2321" t="str">
            <v>3333331</v>
          </cell>
          <cell r="R2321" t="str">
            <v>133</v>
          </cell>
        </row>
        <row r="2322">
          <cell r="L2322">
            <v>3625528</v>
          </cell>
          <cell r="Q2322" t="str">
            <v>642k</v>
          </cell>
          <cell r="R2322" t="str">
            <v>133</v>
          </cell>
        </row>
        <row r="2323">
          <cell r="L2323">
            <v>9183443</v>
          </cell>
          <cell r="Q2323" t="str">
            <v>641kd</v>
          </cell>
          <cell r="R2323" t="str">
            <v>133</v>
          </cell>
        </row>
        <row r="2324">
          <cell r="L2324">
            <v>7293431</v>
          </cell>
          <cell r="Q2324" t="str">
            <v>641kd</v>
          </cell>
          <cell r="R2324" t="str">
            <v>133</v>
          </cell>
        </row>
        <row r="2325">
          <cell r="L2325">
            <v>1236592</v>
          </cell>
          <cell r="Q2325" t="str">
            <v>133</v>
          </cell>
          <cell r="R2325" t="str">
            <v>641kd</v>
          </cell>
        </row>
        <row r="2326">
          <cell r="L2326">
            <v>300000000</v>
          </cell>
          <cell r="Q2326" t="str">
            <v>222</v>
          </cell>
          <cell r="R2326" t="str">
            <v>138tl©m</v>
          </cell>
        </row>
        <row r="2327">
          <cell r="L2327">
            <v>5748302</v>
          </cell>
          <cell r="Q2327" t="str">
            <v>642dn</v>
          </cell>
          <cell r="R2327" t="str">
            <v>721®</v>
          </cell>
        </row>
        <row r="2328">
          <cell r="L2328">
            <v>574830</v>
          </cell>
          <cell r="Q2328" t="str">
            <v>642dn</v>
          </cell>
          <cell r="R2328" t="str">
            <v>3333331</v>
          </cell>
        </row>
        <row r="2329">
          <cell r="L2329">
            <v>1681818</v>
          </cell>
          <cell r="Q2329" t="str">
            <v>131bk</v>
          </cell>
          <cell r="R2329" t="str">
            <v>511dl</v>
          </cell>
        </row>
        <row r="2330">
          <cell r="L2330">
            <v>168182</v>
          </cell>
          <cell r="Q2330" t="str">
            <v>131bk</v>
          </cell>
          <cell r="R2330" t="str">
            <v>3333331</v>
          </cell>
        </row>
        <row r="2331">
          <cell r="L2331">
            <v>4131818</v>
          </cell>
          <cell r="Q2331" t="str">
            <v>131xd56</v>
          </cell>
          <cell r="R2331" t="str">
            <v>511dl</v>
          </cell>
        </row>
        <row r="2332">
          <cell r="L2332">
            <v>413182</v>
          </cell>
          <cell r="Q2332" t="str">
            <v>131xd56</v>
          </cell>
          <cell r="R2332" t="str">
            <v>3333331</v>
          </cell>
        </row>
        <row r="2333">
          <cell r="L2333">
            <v>1536364</v>
          </cell>
          <cell r="Q2333" t="str">
            <v>131xmls</v>
          </cell>
          <cell r="R2333" t="str">
            <v>511dl</v>
          </cell>
        </row>
        <row r="2334">
          <cell r="L2334">
            <v>153636</v>
          </cell>
          <cell r="Q2334" t="str">
            <v>131xmls</v>
          </cell>
          <cell r="R2334" t="str">
            <v>3333331</v>
          </cell>
        </row>
        <row r="2335">
          <cell r="L2335">
            <v>4545455</v>
          </cell>
          <cell r="Q2335" t="str">
            <v>131stra</v>
          </cell>
          <cell r="R2335" t="str">
            <v>511dl</v>
          </cell>
        </row>
        <row r="2336">
          <cell r="L2336">
            <v>454545</v>
          </cell>
          <cell r="Q2336" t="str">
            <v>131stra</v>
          </cell>
          <cell r="R2336" t="str">
            <v>3333331</v>
          </cell>
        </row>
        <row r="2337">
          <cell r="L2337">
            <v>19256953</v>
          </cell>
          <cell r="Q2337" t="str">
            <v>131hïng</v>
          </cell>
          <cell r="R2337" t="str">
            <v>511kd</v>
          </cell>
        </row>
        <row r="2338">
          <cell r="L2338">
            <v>-1007756</v>
          </cell>
          <cell r="Q2338" t="str">
            <v>131hïng</v>
          </cell>
          <cell r="R2338" t="str">
            <v>3333331</v>
          </cell>
        </row>
        <row r="2339">
          <cell r="L2339">
            <v>-19520</v>
          </cell>
          <cell r="Q2339" t="str">
            <v>131hs¬n</v>
          </cell>
          <cell r="R2339" t="str">
            <v>3333331</v>
          </cell>
        </row>
        <row r="2340">
          <cell r="L2340">
            <v>30782418</v>
          </cell>
          <cell r="Q2340" t="str">
            <v>3333331</v>
          </cell>
          <cell r="R2340" t="str">
            <v>133</v>
          </cell>
        </row>
        <row r="2341">
          <cell r="L2341">
            <v>5733</v>
          </cell>
          <cell r="Q2341" t="str">
            <v>334bh</v>
          </cell>
          <cell r="R2341" t="str">
            <v>3383383</v>
          </cell>
        </row>
        <row r="2342">
          <cell r="L2342">
            <v>2248155</v>
          </cell>
          <cell r="Q2342" t="str">
            <v>338qldd</v>
          </cell>
          <cell r="R2342" t="str">
            <v>3383383</v>
          </cell>
        </row>
        <row r="2343">
          <cell r="L2343">
            <v>-473189</v>
          </cell>
          <cell r="Q2343" t="str">
            <v>642bh</v>
          </cell>
          <cell r="R2343" t="str">
            <v>3383383</v>
          </cell>
        </row>
        <row r="2344">
          <cell r="L2344">
            <v>24643481</v>
          </cell>
          <cell r="Q2344" t="str">
            <v>642l</v>
          </cell>
          <cell r="R2344" t="str">
            <v>334</v>
          </cell>
        </row>
        <row r="2345">
          <cell r="L2345" t="str">
            <v/>
          </cell>
          <cell r="Q2345" t="str">
            <v/>
          </cell>
          <cell r="R2345" t="str">
            <v/>
          </cell>
        </row>
        <row r="2346">
          <cell r="L2346">
            <v>-61748668</v>
          </cell>
          <cell r="Q2346" t="str">
            <v>131hasa</v>
          </cell>
          <cell r="R2346" t="str">
            <v>711hasa</v>
          </cell>
        </row>
        <row r="2347">
          <cell r="L2347">
            <v>-8617438</v>
          </cell>
          <cell r="Q2347" t="str">
            <v>131hs¬n</v>
          </cell>
          <cell r="R2347" t="str">
            <v>711hs¬n</v>
          </cell>
        </row>
        <row r="2348">
          <cell r="L2348">
            <v>-6183100</v>
          </cell>
          <cell r="Q2348" t="str">
            <v>131vietdo</v>
          </cell>
          <cell r="R2348" t="str">
            <v>711vietdo</v>
          </cell>
        </row>
        <row r="2349">
          <cell r="L2349">
            <v>1335456</v>
          </cell>
          <cell r="Q2349" t="str">
            <v>131anphu</v>
          </cell>
          <cell r="R2349" t="str">
            <v>711anphu</v>
          </cell>
        </row>
        <row r="2350">
          <cell r="L2350">
            <v>-8461033</v>
          </cell>
          <cell r="Q2350" t="str">
            <v>131vanloi</v>
          </cell>
          <cell r="R2350" t="str">
            <v>711vanloi</v>
          </cell>
        </row>
        <row r="2351">
          <cell r="L2351">
            <v>-3807692</v>
          </cell>
          <cell r="Q2351" t="str">
            <v>131tl©m</v>
          </cell>
          <cell r="R2351" t="str">
            <v>711tl©m</v>
          </cell>
        </row>
        <row r="2352">
          <cell r="L2352">
            <v>69255750</v>
          </cell>
          <cell r="Q2352" t="str">
            <v>131ptrinh</v>
          </cell>
          <cell r="R2352" t="str">
            <v>711ptrinh</v>
          </cell>
        </row>
        <row r="2353">
          <cell r="L2353">
            <v>572700</v>
          </cell>
          <cell r="Q2353" t="str">
            <v>131hy</v>
          </cell>
          <cell r="R2353" t="str">
            <v>711hy</v>
          </cell>
        </row>
        <row r="2354">
          <cell r="L2354">
            <v>79930134</v>
          </cell>
          <cell r="Q2354" t="str">
            <v>131ptrinh</v>
          </cell>
          <cell r="R2354" t="str">
            <v>711ptrinh</v>
          </cell>
        </row>
        <row r="2355">
          <cell r="L2355">
            <v>119887171</v>
          </cell>
          <cell r="Q2355" t="str">
            <v>131ptrinh</v>
          </cell>
          <cell r="R2355" t="str">
            <v>711ptrinh</v>
          </cell>
        </row>
        <row r="2356">
          <cell r="L2356">
            <v>44420000</v>
          </cell>
          <cell r="Q2356" t="str">
            <v>131xnkhy</v>
          </cell>
          <cell r="R2356" t="str">
            <v>511kd</v>
          </cell>
        </row>
        <row r="2357">
          <cell r="L2357">
            <v>4442000</v>
          </cell>
          <cell r="Q2357" t="str">
            <v>131xnkhy</v>
          </cell>
          <cell r="R2357" t="str">
            <v>3333331</v>
          </cell>
        </row>
        <row r="2358">
          <cell r="L2358">
            <v>23800000</v>
          </cell>
          <cell r="Q2358" t="str">
            <v>131tlong</v>
          </cell>
          <cell r="R2358" t="str">
            <v>711tlong</v>
          </cell>
        </row>
        <row r="2359">
          <cell r="L2359">
            <v>2453400</v>
          </cell>
          <cell r="Q2359" t="str">
            <v>131hlong</v>
          </cell>
          <cell r="R2359" t="str">
            <v>711hlong</v>
          </cell>
        </row>
        <row r="2360">
          <cell r="L2360">
            <v>102545000</v>
          </cell>
          <cell r="Q2360" t="str">
            <v>131ptrinh</v>
          </cell>
          <cell r="R2360" t="str">
            <v>711ptrinh</v>
          </cell>
        </row>
        <row r="2361">
          <cell r="L2361" t="str">
            <v/>
          </cell>
          <cell r="Q2361" t="str">
            <v/>
          </cell>
          <cell r="R2361" t="str">
            <v/>
          </cell>
        </row>
        <row r="2362">
          <cell r="L2362">
            <v>24668234</v>
          </cell>
          <cell r="Q2362" t="str">
            <v>811tiõn</v>
          </cell>
          <cell r="R2362" t="str">
            <v>335lvay</v>
          </cell>
        </row>
        <row r="2363">
          <cell r="L2363">
            <v>149947633</v>
          </cell>
          <cell r="Q2363" t="str">
            <v>811nk2</v>
          </cell>
          <cell r="R2363" t="str">
            <v>338lvay</v>
          </cell>
        </row>
        <row r="2364">
          <cell r="L2364">
            <v>30745250</v>
          </cell>
          <cell r="Q2364" t="str">
            <v>811nk2</v>
          </cell>
          <cell r="R2364" t="str">
            <v>338lvay</v>
          </cell>
        </row>
        <row r="2365">
          <cell r="L2365">
            <v>1639767</v>
          </cell>
          <cell r="Q2365" t="str">
            <v>811nk5</v>
          </cell>
          <cell r="R2365" t="str">
            <v>331nk5</v>
          </cell>
        </row>
        <row r="2366">
          <cell r="L2366">
            <v>6299087</v>
          </cell>
          <cell r="Q2366" t="str">
            <v>811xk2</v>
          </cell>
          <cell r="R2366" t="str">
            <v>331xk2</v>
          </cell>
        </row>
        <row r="2367">
          <cell r="L2367">
            <v>127173653</v>
          </cell>
          <cell r="Q2367" t="str">
            <v>632kd</v>
          </cell>
          <cell r="R2367" t="str">
            <v>156</v>
          </cell>
        </row>
        <row r="2368">
          <cell r="L2368">
            <v>33801000</v>
          </cell>
          <cell r="Q2368" t="str">
            <v>413</v>
          </cell>
          <cell r="R2368" t="str">
            <v>331yun</v>
          </cell>
        </row>
        <row r="2369">
          <cell r="L2369">
            <v>552467.09999996424</v>
          </cell>
          <cell r="Q2369" t="str">
            <v>331nox</v>
          </cell>
          <cell r="R2369" t="str">
            <v>413</v>
          </cell>
        </row>
        <row r="2370">
          <cell r="L2370">
            <v>-9081799</v>
          </cell>
          <cell r="Q2370" t="str">
            <v>511ms</v>
          </cell>
          <cell r="R2370" t="str">
            <v>3333332</v>
          </cell>
        </row>
        <row r="2371">
          <cell r="L2371">
            <v>9081799</v>
          </cell>
          <cell r="Q2371" t="str">
            <v>131thh­¬ng</v>
          </cell>
          <cell r="R2371" t="str">
            <v>3333332</v>
          </cell>
        </row>
        <row r="2372">
          <cell r="L2372">
            <v>1067717.3200000003</v>
          </cell>
          <cell r="Q2372" t="str">
            <v>421</v>
          </cell>
          <cell r="R2372" t="str">
            <v>3333334</v>
          </cell>
        </row>
        <row r="2373">
          <cell r="L2373">
            <v>-33431996</v>
          </cell>
          <cell r="Q2373" t="str">
            <v>421</v>
          </cell>
          <cell r="R2373" t="str">
            <v>414</v>
          </cell>
        </row>
        <row r="2374">
          <cell r="L2374">
            <v>-12000000</v>
          </cell>
          <cell r="Q2374" t="str">
            <v>421</v>
          </cell>
          <cell r="R2374" t="str">
            <v>415</v>
          </cell>
        </row>
        <row r="2375">
          <cell r="L2375">
            <v>-42552939.241599739</v>
          </cell>
          <cell r="Q2375" t="str">
            <v>421</v>
          </cell>
          <cell r="R2375" t="str">
            <v>431</v>
          </cell>
        </row>
        <row r="2376">
          <cell r="L2376">
            <v>15240282</v>
          </cell>
          <cell r="Q2376" t="str">
            <v>911</v>
          </cell>
          <cell r="R2376" t="str">
            <v>641</v>
          </cell>
        </row>
        <row r="2377">
          <cell r="L2377">
            <v>34118952</v>
          </cell>
          <cell r="Q2377" t="str">
            <v>911</v>
          </cell>
          <cell r="R2377" t="str">
            <v>642</v>
          </cell>
        </row>
        <row r="2378">
          <cell r="L2378">
            <v>5748302</v>
          </cell>
          <cell r="Q2378" t="str">
            <v>721</v>
          </cell>
          <cell r="R2378" t="str">
            <v>911</v>
          </cell>
        </row>
        <row r="2379">
          <cell r="L2379">
            <v>84654207</v>
          </cell>
          <cell r="Q2379" t="str">
            <v>511</v>
          </cell>
          <cell r="R2379" t="str">
            <v>911</v>
          </cell>
        </row>
        <row r="2380">
          <cell r="L2380">
            <v>310961680</v>
          </cell>
          <cell r="Q2380" t="str">
            <v>711</v>
          </cell>
          <cell r="R2380" t="str">
            <v>911</v>
          </cell>
        </row>
        <row r="2381">
          <cell r="L2381">
            <v>213299971</v>
          </cell>
          <cell r="Q2381" t="str">
            <v>911</v>
          </cell>
          <cell r="R2381" t="str">
            <v>811</v>
          </cell>
        </row>
        <row r="2382">
          <cell r="L2382">
            <v>127173653</v>
          </cell>
          <cell r="Q2382" t="str">
            <v>911</v>
          </cell>
          <cell r="R2382" t="str">
            <v>632</v>
          </cell>
        </row>
        <row r="2383">
          <cell r="L2383">
            <v>-11531331</v>
          </cell>
          <cell r="Q2383" t="str">
            <v>421</v>
          </cell>
          <cell r="R2383" t="str">
            <v>911</v>
          </cell>
        </row>
        <row r="2384">
          <cell r="L2384">
            <v>-32551058</v>
          </cell>
          <cell r="Q2384" t="str">
            <v>3333334</v>
          </cell>
          <cell r="R2384" t="str">
            <v>421</v>
          </cell>
        </row>
        <row r="2385">
          <cell r="Q2385" t="str">
            <v/>
          </cell>
          <cell r="R2385" t="str">
            <v/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NT-QUOT-#3"/>
      <sheetName val="COAT&amp;WRAP-QIOT-#3"/>
      <sheetName val="XL4Poppy"/>
      <sheetName val="tmt4"/>
      <sheetName val="Sheet1"/>
      <sheetName val="t3-01"/>
      <sheetName val="t4-01"/>
      <sheetName val="t5-01"/>
      <sheetName val="t6-01"/>
      <sheetName val="t7-01"/>
      <sheetName val="t8-01"/>
      <sheetName val="t9-01"/>
      <sheetName val="t10-01"/>
      <sheetName val="t11-01"/>
      <sheetName val="t12-"/>
      <sheetName val="t1"/>
      <sheetName val="t2"/>
      <sheetName val="t3"/>
      <sheetName val="t4"/>
      <sheetName val="t5"/>
      <sheetName val="t06"/>
      <sheetName val="t07"/>
      <sheetName val="t08"/>
      <sheetName val="t09"/>
      <sheetName val="t10"/>
      <sheetName val="t11"/>
      <sheetName val="t12"/>
      <sheetName val="0103"/>
      <sheetName val="0203"/>
      <sheetName val="th-nop"/>
      <sheetName val="th"/>
      <sheetName val="00000000"/>
      <sheetName val="CVden ngoai TCT (1)"/>
      <sheetName val="CV den ngoai TCT (2)"/>
      <sheetName val="CV den ngoai TCT (3)"/>
      <sheetName val="QDcua TGD"/>
      <sheetName val="QD cua HDQT"/>
      <sheetName val="QD cua HDQT (2)"/>
      <sheetName val="CV di ngoai tong"/>
      <sheetName val="CV di ngoai tong (2)"/>
      <sheetName val="Chart1"/>
      <sheetName val="To trinh"/>
      <sheetName val="Giao nhiem vu"/>
      <sheetName val="QDcua TGD (2)"/>
      <sheetName val="Thong tu"/>
      <sheetName val="CV di trong  tong"/>
      <sheetName val="nghi dinh-CP"/>
      <sheetName val="CV den trong tong"/>
      <sheetName val="Sheet2"/>
      <sheetName val="Sheet3"/>
      <sheetName val="So Do"/>
      <sheetName val="KTTSCD - DLNA"/>
      <sheetName val="quÝ1"/>
      <sheetName val="10000000"/>
      <sheetName val="20000000"/>
      <sheetName val="30000000"/>
      <sheetName val="40000000"/>
      <sheetName val="50000000"/>
      <sheetName val="60000000"/>
      <sheetName val="Muatb"/>
      <sheetName val="lapdat TB "/>
      <sheetName val="TNghiªm TB "/>
      <sheetName val="VËt liÖu"/>
      <sheetName val="vc-TBA"/>
      <sheetName val="Lap ®at ®iÖn"/>
      <sheetName val="TNghiÖm VL"/>
      <sheetName val="tt-TBA"/>
      <sheetName val="TDT"/>
      <sheetName val="TDT-TBA"/>
      <sheetName val="KSTK"/>
      <sheetName val="th "/>
      <sheetName val="tien luong"/>
      <sheetName val="dutoan"/>
      <sheetName val="CLech"/>
      <sheetName val="mong"/>
      <sheetName val="T6"/>
      <sheetName val="T.7"/>
      <sheetName val="T.8"/>
      <sheetName val="T8 (2)"/>
      <sheetName val="T.9"/>
      <sheetName val="T.10"/>
      <sheetName val="T.11"/>
      <sheetName val="T.12"/>
      <sheetName val="T11 "/>
      <sheetName val="5 nam (tach)"/>
      <sheetName val="5 nam (tach) (2)"/>
      <sheetName val="KH 2003"/>
      <sheetName val="Tuongchan"/>
      <sheetName val="Matduong"/>
      <sheetName val="Km274"/>
      <sheetName val="Km275"/>
      <sheetName val="Km276"/>
      <sheetName val="Km277 "/>
      <sheetName val="Km278"/>
      <sheetName val="Km279"/>
      <sheetName val="Km280"/>
      <sheetName val="Km281"/>
      <sheetName val="Km282"/>
      <sheetName val="Km283"/>
      <sheetName val="Km284"/>
      <sheetName val="Op mai 274"/>
      <sheetName val="Op mai 275"/>
      <sheetName val="Op mai 276"/>
      <sheetName val="Op mai 277"/>
      <sheetName val="Op mai 278"/>
      <sheetName val="Op mai 279"/>
      <sheetName val="Op mai 280"/>
      <sheetName val="Op mai 281"/>
      <sheetName val="Op mai 282"/>
      <sheetName val="Op mai 283"/>
      <sheetName val="Op mai 284"/>
      <sheetName val="Op mai"/>
      <sheetName val="XXXXXXXX"/>
      <sheetName val="fOOD"/>
      <sheetName val="FORM hc"/>
      <sheetName val="FORM pc"/>
      <sheetName val="CamPha"/>
      <sheetName val="MongCai"/>
      <sheetName val="70000000"/>
      <sheetName val="PNT_QUOT__3"/>
      <sheetName val="COAT_WRAP_QIOT__3"/>
      <sheetName val="Cong"/>
      <sheetName val="Cong cu"/>
      <sheetName val="Cong D75"/>
      <sheetName val="Cong D100"/>
      <sheetName val="Cong D150"/>
      <sheetName val="Cong 2D150"/>
      <sheetName val="Cong ban 0,7x0,7"/>
      <sheetName val="Cong ban 0,8x0,8"/>
      <sheetName val="Cong ban 1x1"/>
      <sheetName val="Cong ban 1x1,2"/>
      <sheetName val="Cong ban 1,5x1,5"/>
      <sheetName val="Cong ban 2x1,5"/>
      <sheetName val="Cong ban 2x2"/>
      <sheetName val="Dinhhinh"/>
      <sheetName val="Cot thep"/>
      <sheetName val="Tong hop"/>
      <sheetName val="Tong hop (2)"/>
      <sheetName val="Km274 - Km275"/>
      <sheetName val="Km275 - Km276"/>
      <sheetName val="Km276 - Km277"/>
      <sheetName val="Km277 - Km278"/>
      <sheetName val="Km278 - Km279"/>
      <sheetName val="Km279 - Km280"/>
      <sheetName val="Km280 - Km281"/>
      <sheetName val="Km281 - Km282"/>
      <sheetName val="Km282 - Km283"/>
      <sheetName val="Km283 - Km284"/>
      <sheetName val="Km284 - Km285"/>
      <sheetName val="Tong hop Op mai"/>
      <sheetName val="Km277 - Km278 "/>
      <sheetName val="Tong hop Matduong"/>
      <sheetName val="Kluong phu"/>
      <sheetName val="Lan can"/>
      <sheetName val="Ho lan"/>
      <sheetName val="Coc tieu"/>
      <sheetName val="Bien bao"/>
      <sheetName val="Ranh"/>
      <sheetName val="TH Ky Anh"/>
      <sheetName val="Sheet2 (2)"/>
      <sheetName val="LuongT1"/>
      <sheetName val="LuongT2"/>
      <sheetName val="luongthang12"/>
      <sheetName val="LuongT11"/>
      <sheetName val="thang5"/>
      <sheetName val="T7"/>
      <sheetName val="T9"/>
      <sheetName val="T8"/>
      <sheetName val="thang6"/>
      <sheetName val="thang4"/>
      <sheetName val="LuongT3"/>
      <sheetName val="NKC"/>
      <sheetName val="SoquyTM"/>
      <sheetName val="TK 112"/>
      <sheetName val="TK 131"/>
      <sheetName val="TK133"/>
      <sheetName val="TK 141"/>
      <sheetName val="TK 153"/>
      <sheetName val="TK214"/>
      <sheetName val="TK 211"/>
      <sheetName val="TK 242"/>
      <sheetName val="TK33311"/>
      <sheetName val="TK331"/>
      <sheetName val="TK333"/>
      <sheetName val="TK 334"/>
      <sheetName val="TK711"/>
      <sheetName val="TK411"/>
      <sheetName val="TK421"/>
      <sheetName val="TK 511"/>
      <sheetName val="TK 515"/>
      <sheetName val="TK642"/>
      <sheetName val="TK 911"/>
      <sheetName val="TK811"/>
      <sheetName val="CDKT"/>
      <sheetName val="CDPS1"/>
      <sheetName val="KQKD"/>
      <sheetName val="KHTSCD1"/>
      <sheetName val="KHTSCD2"/>
      <sheetName val="SoCaiTM"/>
      <sheetName val="NK"/>
      <sheetName val="TK 154"/>
      <sheetName val="TK 632"/>
      <sheetName val="Bia"/>
      <sheetName val="Tm"/>
      <sheetName val="THKP"/>
      <sheetName val="DGi"/>
      <sheetName val="TM01"/>
      <sheetName val="CDKTKT02"/>
      <sheetName val="KQKD02-2"/>
      <sheetName val="KQKD02-2 (2)"/>
      <sheetName val="CDKTKT03"/>
      <sheetName val="DC02"/>
      <sheetName val="CDPS02"/>
      <sheetName val="KQKDKT'02-1"/>
      <sheetName val="KQKDKT'03-1"/>
      <sheetName val="DC03"/>
      <sheetName val="CDKTKT04"/>
      <sheetName val="CCPS03"/>
      <sheetName val="CDPS04"/>
      <sheetName val="KQKDKT'04-1"/>
      <sheetName val="DC04"/>
      <sheetName val="TSCD"/>
      <sheetName val="DC2002"/>
      <sheetName val="CDKTKT2002"/>
      <sheetName val="KQKD-2"/>
      <sheetName val="KQKD-2 (2)"/>
      <sheetName val="DC2003"/>
      <sheetName val="CDPS03"/>
      <sheetName val="KQKD thu2004"/>
      <sheetName val="tæng hîp"/>
      <sheetName val="GS01-chi TM"/>
      <sheetName val="GS02-thu TM"/>
      <sheetName val="GS03-thu TGNH"/>
      <sheetName val="GS04-chi TGNH"/>
      <sheetName val="GS05-l­¬ng"/>
      <sheetName val="GS06-X.kho"/>
      <sheetName val="06"/>
      <sheetName val="GS08-B.hµng"/>
      <sheetName val="GS09-k.c VAT DV"/>
      <sheetName val="GS10-lai tien vay"/>
      <sheetName val="GS11- tÝnh KHTSC§"/>
      <sheetName val="Sheet16"/>
      <sheetName val="PTH"/>
      <sheetName val="phan tich DG"/>
      <sheetName val="gia vat lieu"/>
      <sheetName val="gia xe may"/>
      <sheetName val="gia nhan cong"/>
      <sheetName val="XL4Test5"/>
      <sheetName val="T_x000b_331"/>
      <sheetName val="TH  goi 4-x"/>
      <sheetName val="XLÇ_x0015_oppy"/>
      <sheetName val="ȴ0000000"/>
      <sheetName val="Shedt1"/>
      <sheetName val="_x0012_0000000"/>
      <sheetName val="Macro1"/>
      <sheetName val="Macro2"/>
      <sheetName val="Macro3"/>
      <sheetName val="BangTH"/>
      <sheetName val="Xaylap "/>
      <sheetName val="Nhan cong"/>
      <sheetName val="Thietbi"/>
      <sheetName val="Diengiai"/>
      <sheetName val="Vanchuyen"/>
      <sheetName val="Coc 6"/>
      <sheetName val="Deo nai"/>
      <sheetName val="CKD than"/>
      <sheetName val="CTT Thong nhat"/>
      <sheetName val="CTT Nui beo"/>
      <sheetName val="CTT cao son"/>
      <sheetName val="CTT Khe cham"/>
      <sheetName val="XNxlva sxthanKCII"/>
      <sheetName val="Cam Y ut KC"/>
      <sheetName val="CTxay lap mo CP"/>
      <sheetName val="CTdo luong GDSP"/>
      <sheetName val="Dong bac"/>
      <sheetName val="Cac cang UT mua than Dong bac"/>
      <sheetName val="cua hang vtu"/>
      <sheetName val="Khach hang le "/>
      <sheetName val="nhat ky 5"/>
      <sheetName val="cac cong ty van tai"/>
      <sheetName val="XNT1MC"/>
      <sheetName val="XNT2MC"/>
      <sheetName val="XNT3MC"/>
      <sheetName val="XNT4MC"/>
      <sheetName val="xnt 1 CP"/>
      <sheetName val="xnt 2 cp"/>
      <sheetName val="xnt 3 CP"/>
      <sheetName val="xnt 4 CP"/>
      <sheetName val="BC tuan1"/>
      <sheetName val="BC tuan2"/>
      <sheetName val="BC tuan3"/>
      <sheetName val="BC tuan4"/>
      <sheetName val="DSo NVBH"/>
      <sheetName val="kl m m d"/>
      <sheetName val="kl vt tho"/>
      <sheetName val="kl dat"/>
      <sheetName val="Sheet4"/>
      <sheetName val="xin kinh phi"/>
      <sheetName val="lan trai"/>
      <sheetName val="thuoc no"/>
      <sheetName val="so thuc pham"/>
      <sheetName val="CV den trong to聮g"/>
      <sheetName val="SOLIEU"/>
      <sheetName val="TINHTOAN"/>
      <sheetName val="Tong hopQ48-1"/>
      <sheetName val="Tong hop QL48 - 2"/>
      <sheetName val="Tong hop QL47"/>
      <sheetName val="Tong hop QL48 - 3"/>
      <sheetName val="Chi tiet don gia khoi phuc"/>
      <sheetName val="Du toan chi tiet coc nuoc"/>
      <sheetName val="Du toan chi tiet coc"/>
      <sheetName val="Phan tich don gia chi tiet"/>
      <sheetName val="Nhap don gia VL dia phuong"/>
      <sheetName val="Luong mot ngay cong xay lap"/>
      <sheetName val="Luong mot ngay cong khao sat"/>
      <sheetName val="PNT-QUOT-D150#3"/>
      <sheetName val="PNT-QUOT-H153#3"/>
      <sheetName val="PNT-QUOT-K152#3"/>
      <sheetName val="PNT-QUOT-H146#3"/>
      <sheetName val="DGTL"/>
      <sheetName val="XN 1"/>
      <sheetName val="CT.XN1"/>
      <sheetName val="XCK"/>
      <sheetName val="CT.XNCK"/>
      <sheetName val="Hoasen"/>
      <sheetName val="S.hai"/>
      <sheetName val="HPC1"/>
      <sheetName val="No2"/>
      <sheetName val="CT N02"/>
      <sheetName val="C.Sap CT3"/>
      <sheetName val="CT.Csap.CT3"/>
      <sheetName val="CTVPCP"/>
      <sheetName val="Quan trac"/>
      <sheetName val="CS LB"/>
      <sheetName val="88 HBT"/>
      <sheetName val="69II"/>
      <sheetName val="CT 69II"/>
      <sheetName val="37 HV"/>
      <sheetName val="VPCP"/>
      <sheetName val="CT VPCP 6tang"/>
      <sheetName val="Son nha kinh VPCP"/>
      <sheetName val="CT VPCP son"/>
      <sheetName val="HMVPCP"/>
      <sheetName val="CT.HMVPCP"/>
      <sheetName val="xdcb 01-2003"/>
      <sheetName val="Oð mai 279"/>
      <sheetName val="Km27' - Km278"/>
      <sheetName val="p0000000"/>
      <sheetName val="mau kiem ke"/>
      <sheetName val="quyet toan HD 2000"/>
      <sheetName val="quyet toan hoa don 2001"/>
      <sheetName val="kiem ke hoa don 2001"/>
      <sheetName val="QUY III 02"/>
      <sheetName val="QUY IV 02"/>
      <sheetName val="QUYET TOAN 02"/>
      <sheetName val="Sheet15"/>
      <sheetName val="Bao cao KQTH quy hoach 135"/>
      <sheetName val="Sheet5"/>
      <sheetName val="Sheet6"/>
      <sheetName val="Sheet7"/>
      <sheetName val="Sheet8"/>
      <sheetName val="Sheet9"/>
      <sheetName val="Sheet10"/>
      <sheetName val="Thang06-2002"/>
      <sheetName val="Thang07-2002"/>
      <sheetName val="Thang08-2002"/>
      <sheetName val="Thang09-2002"/>
      <sheetName val="Thang10-2002 "/>
      <sheetName val="Thang11-2002"/>
      <sheetName val="Thang12-2002"/>
      <sheetName val="Sheet1 (3)"/>
      <sheetName val="BKLBD"/>
      <sheetName val="PTDG"/>
      <sheetName val="DTCT"/>
      <sheetName val="vlct"/>
      <sheetName val="Sheet11"/>
      <sheetName val="Sheet12"/>
      <sheetName val="Sheet13"/>
      <sheetName val="Sheet14"/>
      <sheetName val="Cong ban 1,5_x0013__x0000_"/>
      <sheetName val="0304"/>
      <sheetName val="0904"/>
      <sheetName val="1204"/>
      <sheetName val="80000000"/>
      <sheetName val="90000000"/>
      <sheetName val="a0000000"/>
      <sheetName val="b0000000"/>
      <sheetName val="c0000000"/>
      <sheetName val="Km283 - Jm284"/>
      <sheetName val="XXXXX\XX"/>
      <sheetName val="cocB40 5B"/>
      <sheetName val="cocD50 9A"/>
      <sheetName val="cocD75 16"/>
      <sheetName val="coc B80 TD25"/>
      <sheetName val="P27 B80"/>
      <sheetName val="Coc23 B80"/>
      <sheetName val="cong B80 C4"/>
      <sheetName val="ADKT"/>
      <sheetName val="Khac DP"/>
      <sheetName val="Khoi than "/>
      <sheetName val="B3_208_than"/>
      <sheetName val="B3_208_TU"/>
      <sheetName val="B3_208_TW"/>
      <sheetName val="B3_208_DP"/>
      <sheetName val="B3_208_khac"/>
      <sheetName val="Thang8-02"/>
      <sheetName val="Thang9-02"/>
      <sheetName val="Thang10-02"/>
      <sheetName val="Thang11-02"/>
      <sheetName val="Thang12-02"/>
      <sheetName val="Thang01-03"/>
      <sheetName val="Thang02-03"/>
      <sheetName val="Song ban 0,7x0,7"/>
      <sheetName val="Cong ban 0,8x ,8"/>
      <sheetName val="Kѭ284"/>
      <sheetName val="VÃt liÖu"/>
      <sheetName val="Mix-Tarpaulin"/>
      <sheetName val="Tarpaulin"/>
      <sheetName val="Price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Monthly"/>
      <sheetName val="For Summary"/>
      <sheetName val="For Summary(KG)"/>
      <sheetName val="PP Cloth"/>
      <sheetName val="Mix-PP Cloth"/>
      <sheetName val="Material Price-PP"/>
      <sheetName val="GS02-thu0TM"/>
      <sheetName val="gìIÏÝ_x001c_Ã_x0008_ç¾{è"/>
      <sheetName val="30100000"/>
      <sheetName val="Ton 31.1"/>
      <sheetName val="NhapT.2"/>
      <sheetName val="Xuat T.2"/>
      <sheetName val="Ton 28.2"/>
      <sheetName val="H.Tra"/>
      <sheetName val="Hang CTY TRA LAI"/>
      <sheetName val="Hang NV Tra Lai"/>
      <sheetName val="gìIÏÝ_x001c_齘_x0013_龜_x0013_ꗃ〒"/>
      <sheetName val="SoCaiT_x0000_"/>
      <sheetName val="K43"/>
      <sheetName val="THKL"/>
      <sheetName val="PL43"/>
      <sheetName val="K43+0.00 - 338 Trai"/>
      <sheetName val="Km&quot;80"/>
      <sheetName val="Lap ®at ®hÖn"/>
      <sheetName val="TAU"/>
      <sheetName val="KHACH"/>
      <sheetName val="BC1"/>
      <sheetName val="BC2"/>
      <sheetName val="BAO CAO AN"/>
      <sheetName val="BANGKEKHACH"/>
      <sheetName val="chieudayvo"/>
      <sheetName val="So lieu"/>
      <sheetName val="Input"/>
      <sheetName val="tt chu dong"/>
      <sheetName val="Tinh j+cvi"/>
      <sheetName val="Tinh MoP"/>
      <sheetName val="giaihe1"/>
      <sheetName val="Mp,Np"/>
      <sheetName val="khangluc"/>
      <sheetName val="Ms,Ns"/>
      <sheetName val="MoS"/>
      <sheetName val="giai he 2"/>
      <sheetName val="OK"/>
      <sheetName val="Dhp+dhs"/>
      <sheetName val="ktra"/>
      <sheetName val="ADKTKT02"/>
      <sheetName val="Baocao"/>
      <sheetName val="UT"/>
      <sheetName val="TongHopHD"/>
      <sheetName val="Áo"/>
      <sheetName val="ct luong "/>
      <sheetName val="Nhap 6T"/>
      <sheetName val="baocaochinh(qui1.05) (DC)"/>
      <sheetName val="Ctuluongq.1.05"/>
      <sheetName val="BANG PHAN BO qui1.05(DC)"/>
      <sheetName val="BANG PHAN BO quiII.05"/>
      <sheetName val="bao cac cinh Qui II-2005"/>
      <sheetName val="TL33-13.14"/>
      <sheetName val="tlđm190337,8"/>
      <sheetName val="GC190337,8"/>
      <sheetName val="033,7,8"/>
      <sheetName val="TL033 ,2,4"/>
      <sheetName val="TL 0331,2"/>
      <sheetName val="033-1,4"/>
      <sheetName val="TL033,19,5"/>
      <sheetName val="[PNT-P3.xlsUTong hop (2)"/>
      <sheetName val="Km276 - Ke277"/>
      <sheetName val="[PNT-P3.xlsUKm279 - Km280"/>
      <sheetName val="7000 000"/>
      <sheetName val="_x000b_luong phu"/>
      <sheetName val="32"/>
      <sheetName val="33"/>
      <sheetName val="34"/>
      <sheetName val="35"/>
      <sheetName val="36"/>
      <sheetName val="37"/>
      <sheetName val="38"/>
      <sheetName val="PN1"/>
      <sheetName val="PN2"/>
      <sheetName val="PG1"/>
      <sheetName val="PG2"/>
      <sheetName val="TT"/>
      <sheetName val="HFO"/>
      <sheetName val="HFA"/>
      <sheetName val="FA2"/>
      <sheetName val="T_pn1"/>
      <sheetName val="T_pn2"/>
      <sheetName val="T_pg1"/>
      <sheetName val="T_pg2"/>
      <sheetName val="T_tt"/>
      <sheetName val="T_hfo"/>
      <sheetName val="T_p2"/>
      <sheetName val="T_hfa"/>
      <sheetName val="tong"/>
      <sheetName val="dt1,2,10"/>
      <sheetName val="13b"/>
      <sheetName val="pn1_TT"/>
      <sheetName val="pn2_TT"/>
      <sheetName val="PG1_TT"/>
      <sheetName val="PG2_TT"/>
      <sheetName val="tuathang"/>
      <sheetName val="hpho_TT"/>
      <sheetName val="Ban pha 2"/>
      <sheetName val="Huoipha"/>
      <sheetName val=""/>
      <sheetName val="gVL"/>
      <sheetName val="mua vao"/>
      <sheetName val="chi phi "/>
      <sheetName val="ban ra 10%"/>
      <sheetName val="??-BLDG"/>
      <sheetName val="ESTI."/>
      <sheetName val="DI-ESTI"/>
      <sheetName val="TNghiªm T_x0002_ "/>
      <sheetName val="tt-_x0014_BA"/>
      <sheetName val="TD_x0014_"/>
      <sheetName val="_x0014_.12"/>
      <sheetName val="QD c5a HDQT (2)"/>
      <sheetName val="_x0003_hart1"/>
      <sheetName val="BCDSPS"/>
      <sheetName val="BCDKT"/>
      <sheetName val="Don gia"/>
      <sheetName val="Nhap du lieu"/>
      <sheetName val="Km266"/>
      <sheetName val="ၔong hop QL48 - 2"/>
      <sheetName val="Dong$bac"/>
      <sheetName val="Cac cang UT mua thal Dong bac"/>
      <sheetName val="XNxlva sxthanKCIÉ"/>
      <sheetName val="Du tnan chi tiet coc nuoc"/>
      <sheetName val="Package1"/>
      <sheetName val="So TSCD"/>
      <sheetName val="Bang phan bo KH TSCD"/>
      <sheetName val="The TSCD"/>
      <sheetName val="BTH- P.Chi "/>
      <sheetName val="BTH NVL"/>
      <sheetName val="NK-SC"/>
      <sheetName val="NK SO CAI"/>
      <sheetName val="The tinh Z"/>
      <sheetName val="So CFSXKD"/>
      <sheetName val="So TGNH 2002"/>
      <sheetName val="So quy TM 2002"/>
      <sheetName val="SCT NVL"/>
      <sheetName val="SCT TK 131"/>
      <sheetName val="So theo doi thue GTGT 2002"/>
      <sheetName val="BTH- P.Thu"/>
      <sheetName val="Mp mai 275"/>
      <sheetName val="T[ 131"/>
      <sheetName val="_x0014_M01"/>
      <sheetName val="Giao nhÿÿÿÿvu"/>
      <sheetName val="⁋㌱Ա_x0000_䭔㌱س_x0000_䭔ㄠㄴ_x0006_牴湯⁧琠湯౧_x0000_杮楨搠湩⵨偃_x0006_匀敨瑥"/>
      <sheetName val="Thang 07"/>
      <sheetName val="T10-05"/>
      <sheetName val="T9-05"/>
      <sheetName val="t805"/>
      <sheetName val="11T"/>
      <sheetName val="9T"/>
      <sheetName val="CV den trong to?g"/>
      <sheetName val="?0000000"/>
      <sheetName val="TDT-TBࡁ"/>
      <sheetName val="Op mai 2_x000c__x0000_"/>
      <sheetName val="_x0000_bÑi_x0003__x0000__x0000__x0000__x0000_²r_x0013__x0000_"/>
      <sheetName val="K?284"/>
      <sheetName val="QD cua "/>
      <sheetName val="_x0003_har"/>
      <sheetName val="Tong (op"/>
      <sheetName val="Coc 4ieu"/>
      <sheetName val="Diem mon hoc"/>
      <sheetName val="Tong hop diem"/>
      <sheetName val="HoTen-khong duoc xoa"/>
      <sheetName val="Sÿÿÿÿ"/>
      <sheetName val="quÿÿ"/>
      <sheetName val="bc"/>
      <sheetName val="K.O"/>
      <sheetName val="xang _clc"/>
      <sheetName val="X¡NG_td"/>
      <sheetName val="MaZUT"/>
      <sheetName val="DIESEL"/>
      <sheetName val="CDPS3"/>
      <sheetName val="tldm190337,8"/>
      <sheetName val="?ong hop QL48 - 2"/>
      <sheetName val="120"/>
      <sheetName val="IFAD"/>
      <sheetName val="CVHN"/>
      <sheetName val="TCVM"/>
      <sheetName val="RIDP"/>
      <sheetName val="LDNN"/>
      <sheetName val="TNghiÖ- VL"/>
      <sheetName val="thaß26"/>
      <sheetName val="Km_x0012_77 "/>
      <sheetName val="k, vt tho"/>
      <sheetName val="Km280 ࠭ Km281"/>
      <sheetName val="_x0000__x000a__x0000__x0000__x0000_âO"/>
      <sheetName val="_x0000__x000f__x0000__x0000__x0000_½"/>
      <sheetName val="_x0000__x0000_²r"/>
      <sheetName val="_x0000__x0000__x0000__x0000__x0000_M pc_x0006__x0000__x0000_CamPh_x0000__x0000_"/>
      <sheetName val="Cong ban 1,5„—_x0013__x0000_"/>
      <sheetName val="K-280 - Km281"/>
      <sheetName val="Xa9lap "/>
      <sheetName val="Shaet13"/>
      <sheetName val="Km27%"/>
      <sheetName val="O0 mai 279"/>
      <sheetName val="Op_x0000_mai 280"/>
      <sheetName val="Op mai 28_x0011_"/>
      <sheetName val="5 nam (tac`) (2)"/>
      <sheetName val="D%o nai"/>
      <sheetName val="CTT cao so."/>
      <sheetName val="XNxlva sxdhanKCII"/>
      <sheetName val="CTxay lap mo C_x0010_"/>
      <sheetName val="PNT-P3"/>
      <sheetName val="Thue NK"/>
      <sheetName val="Hang NK"/>
      <sheetName val="Jet1- CP 32"/>
      <sheetName val="Jet2- Binh Minh 01"/>
      <sheetName val="Jet3"/>
      <sheetName val="Jet4"/>
      <sheetName val="Jet5"/>
      <sheetName val="Jet6"/>
      <sheetName val="Jet7"/>
      <sheetName val="Jet8"/>
      <sheetName val="Jet9"/>
      <sheetName val="Jet10"/>
      <sheetName val="Jet11"/>
      <sheetName val="Diesel1"/>
      <sheetName val="Diesel2"/>
      <sheetName val="Diezel3"/>
      <sheetName val="Mogas1"/>
      <sheetName val="Mogas2"/>
      <sheetName val="Mogas3"/>
      <sheetName val="DG "/>
      <sheetName val="P210-TP20"/>
      <sheetName val="CB32"/>
      <sheetName val="Dimu"/>
      <sheetName val="Klct"/>
      <sheetName val="Covi"/>
      <sheetName val="Nlvt"/>
      <sheetName val="Innl"/>
      <sheetName val="Invt"/>
      <sheetName val="Chon"/>
      <sheetName val="Qtnv"/>
      <sheetName val="Bqtn"/>
      <sheetName val="Bqtv"/>
      <sheetName val="Giao"/>
      <sheetName val="Dcap"/>
      <sheetName val="Nlie"/>
      <sheetName val="Mnli"/>
      <sheetName val="CVden nw8ai TCT (1)"/>
      <sheetName val="gia x_x0000_ may"/>
      <sheetName val="Bang VL"/>
      <sheetName val="VL(No V-c)"/>
      <sheetName val="He so"/>
      <sheetName val="PL Vua"/>
      <sheetName val="Chitieu-dam cac loai"/>
      <sheetName val="DG Dam"/>
      <sheetName val="DG chung"/>
      <sheetName val="DGdg"/>
      <sheetName val="VL-dac chung"/>
      <sheetName val="CocKN1m"/>
      <sheetName val="Coc40x40cm"/>
      <sheetName val="CT 1md &amp; dau cong"/>
      <sheetName val="CT cong"/>
      <sheetName val="dg cong"/>
      <sheetName val="Giao nhie- vu"/>
      <sheetName val="t01.06"/>
      <sheetName val="Khach iang le "/>
      <sheetName val="CDKTJT03"/>
      <sheetName val="tuong"/>
      <sheetName val="_x0000__x000d__x0000__x0000__x0000_âO"/>
      <sheetName val="MTL$-INTER"/>
      <sheetName val="[PNT-P3.xlsѝKQKDKT'04-1"/>
      <sheetName val="GS08)B.hµng"/>
      <sheetName val="Cong baj 2x1,5"/>
      <sheetName val="CDÕTKT2002"/>
      <sheetName val="DC2@ï4"/>
      <sheetName val="Giao nhiem fu"/>
      <sheetName val="QDcea TGD (2)"/>
      <sheetName val="tt chu don"/>
      <sheetName val="Tong hopQ48­1"/>
      <sheetName val="nam2004"/>
      <sheetName val="_x000c__x0000__x0000__x0000__x0000__x0000__x0000__x0000__x000d__x0000__x0000__x0000_"/>
      <sheetName val="_x0000__x000f__x0000__x0000__x0000_‚ž½"/>
      <sheetName val="_x0000__x000d__x0000__x0000__x0000_âOŽ"/>
      <sheetName val="FORM jc"/>
      <sheetName val="_x000c__x0000__x0000__x0000__x0000__x0000__x0000__x0000__x000a__x0000__x0000__x0000_"/>
      <sheetName val="_x0000__x000a__x0000__x0000__x0000_âOŽ"/>
      <sheetName val="Tong hnp QL47"/>
      <sheetName val="QD cua HDQ²_x0000__x0000_)"/>
      <sheetName val="CTT NuiC_x000f_eo"/>
      <sheetName val="TDT-TB?"/>
      <sheetName val="Km280 ? Km281"/>
      <sheetName val="Kluo-_x0008_ phu"/>
      <sheetName val="QD cua HDQ²_x0000__x0000_€)"/>
      <sheetName val="DŃ02"/>
      <sheetName val="Cong ban 0,7p0,7"/>
      <sheetName val="Km275 - Ke276"/>
      <sheetName val="Cm276 - Ke277"/>
      <sheetName val="P201-TP20"/>
      <sheetName val="Km280 - Km2(1"/>
      <sheetName val="Km282 - Kl283"/>
      <sheetName val="Tong hop Op m!i"/>
      <sheetName val="???????-BLDG"/>
      <sheetName val="Ho la "/>
      <sheetName val="chie԰_x0000__x0000__x0000_Ȁ_x0000_"/>
      <sheetName val="HNI"/>
      <sheetName val="bÑi_x0003_"/>
      <sheetName val="Tong hop$Op mai"/>
      <sheetName val="PNT_QUO"/>
      <sheetName val="PNghiÖm VL"/>
      <sheetName val="FUONDER TAN UYEN T12"/>
      <sheetName val=" CHIEU XA  T01"/>
      <sheetName val="ANH KHANH DONG NAI T12 (2)"/>
      <sheetName val="XANG DAU K5"/>
      <sheetName val="ANH HAI T01"/>
      <sheetName val="NAVITRAN T1"/>
      <sheetName val="VAN PHU T01"/>
      <sheetName val="DUONG BDT 11  823282ms Hao"/>
      <sheetName val="CKTANDINHT1 782346 Huong (2)"/>
      <sheetName val="UNZAT01743972- Phuong(vp) (2)"/>
      <sheetName val="LONGVANT12 759469 Ms Van (2)"/>
      <sheetName val="GO THUAN AN T 01 784026 (2)"/>
      <sheetName val="COMPOSIITE SAI SON T 1(2)"/>
      <sheetName val="PEMARAT01 (2)"/>
      <sheetName val="gìIÏÝ_x001c_齘_x0013_龜_x0013_䀀ኀ"/>
      <sheetName val="Cong ban 1,5_x0013_?"/>
      <sheetName val="Op?mai 280"/>
      <sheetName val="⁋㌱Ա?䭔㌱س?䭔ㄠㄴ_x0006_牴湯⁧琠湯౧?杮楨搠湩⵨偃_x0006_匀敨瑥"/>
      <sheetName val="Op mai 2_x000c_?"/>
      <sheetName val="?bÑi_x0003_????²r_x0013_?"/>
      <sheetName val="?_x000d_???âO"/>
      <sheetName val="?_x000f_???½"/>
      <sheetName val="??²r"/>
      <sheetName val="?????M pc_x0006_??CamPh??"/>
      <sheetName val="Cong ban 1,5„—_x0013_?"/>
      <sheetName val="_x000c_???????_x000d_???"/>
      <sheetName val="?_x000f_???‚ž½"/>
      <sheetName val="?_x000d_???âOŽ"/>
      <sheetName val="gia x? may"/>
      <sheetName val="TH Ky Afh"/>
      <sheetName val="KHTS_x0000__x000d_2"/>
      <sheetName val="L_x0010_V ®at ®iÖn"/>
      <sheetName val="Tkng hop QL48 - 2"/>
      <sheetName val="COAT&amp;WRAP-QIOT_x0002__x0000__x0000_"/>
      <sheetName val="_x0000__x0000__x0005__x0000__x0000__x0000_!._x0001__x0001_ _x0004__x0008__x0002_"/>
      <sheetName val="chieud_x0005__x0000__x0000__x0000_"/>
      <sheetName val="chieud"/>
      <sheetName val="ListBox"/>
      <sheetName val="Tong hop xuat kho nvl"/>
      <sheetName val="Xuat kho"/>
      <sheetName val="Tong hop so lieu tai nhap kho"/>
      <sheetName val="tai nhap kho"/>
      <sheetName val="Nhap kho"/>
      <sheetName val="Tong ket nhap kho"/>
      <sheetName val="Tong ket"/>
      <sheetName val="cac ma can huy"/>
      <sheetName val="Hang hong"/>
      <sheetName val="Tham khao"/>
      <sheetName val="hang khong co packing"/>
      <sheetName val="01"/>
      <sheetName val="02"/>
      <sheetName val="03"/>
      <sheetName val="04"/>
      <sheetName val="05"/>
      <sheetName val="07"/>
      <sheetName val="08"/>
      <sheetName val="09"/>
      <sheetName val="PHEPNAM"/>
      <sheetName val="KHONGLUONG"/>
      <sheetName val="d0000000"/>
      <sheetName val="e0000000"/>
      <sheetName val="f0000000"/>
      <sheetName val="g0000000"/>
      <sheetName val="h0000000"/>
      <sheetName val="i0000000"/>
      <sheetName val="XXXXXXX0"/>
      <sheetName val="XXXXXXX1"/>
      <sheetName val="XXXXXXX2"/>
      <sheetName val="XXXXXXX3"/>
      <sheetName val="XXXXXXX4"/>
      <sheetName val="XXXXXXX5"/>
      <sheetName val="XXXXXXX6"/>
      <sheetName val="XXXXXXX7"/>
      <sheetName val="XXXXXXX8"/>
      <sheetName val="XXXXXXX9"/>
      <sheetName val="XXXXXXXA"/>
      <sheetName val="XXXXXXXB"/>
      <sheetName val="XXXXXXXC"/>
      <sheetName val="XXXXXXXD"/>
      <sheetName val="XXXXXXXE"/>
      <sheetName val="XXXXXXXF"/>
      <sheetName val="XXXXXXXG"/>
      <sheetName val="XXXXXXXH"/>
      <sheetName val="XXXXXXXI"/>
      <sheetName val="XXXXXXXJ"/>
      <sheetName val="XXXXXXXK"/>
      <sheetName val="XXXXXXXL"/>
      <sheetName val="XXXXXXXM"/>
      <sheetName val="XXXXXXXN"/>
      <sheetName val="XXXXXXXO"/>
      <sheetName val="XXXXXXXP"/>
      <sheetName val="XXXXXXXQ"/>
      <sheetName val="XXXXXXXR"/>
      <sheetName val="XXXXXXXS"/>
      <sheetName val="XXXXXXXT"/>
      <sheetName val="XXXXXXXU"/>
      <sheetName val="XXXXXXXV"/>
      <sheetName val="XXXXXXXW"/>
      <sheetName val="XXXXXXXY"/>
      <sheetName val="XXXXXXXZ"/>
      <sheetName val="XXXXXX0X"/>
      <sheetName val="XXXXXX00"/>
      <sheetName val="XXXXXX01"/>
      <sheetName val="XXXXXX02"/>
      <sheetName val="XXXXXX03"/>
      <sheetName val="XXXXXX04"/>
      <sheetName val="XXXXXX05"/>
      <sheetName val="XXXXXX06"/>
      <sheetName val="XXXXXX07"/>
      <sheetName val="Du lich"/>
      <sheetName val="XXXXXX08"/>
      <sheetName val="XXXXXX09"/>
      <sheetName val="XXXXXX0A"/>
      <sheetName val="XXXXXX0B"/>
      <sheetName val="XXXXXX0C"/>
      <sheetName val="XXXXXX0D"/>
      <sheetName val="XXXXXX0E"/>
      <sheetName val="XXXXXX0F"/>
      <sheetName val="XXXXXX0G"/>
      <sheetName val="SYSTEMT1 780851-Ms thao (2)"/>
      <sheetName val="PUKYONG T1"/>
      <sheetName val="ASIAPAINT T11"/>
      <sheetName val="SEUNGBO T11 782173 Ms Suong (2)"/>
      <sheetName val="KONICAT12(2)"/>
      <sheetName val=" CHAN NUOIT12750622 Ms Tinh (2)"/>
      <sheetName val="NS t01784465 Ms quyen (2)"/>
      <sheetName val="POMINAT01  (2)"/>
      <sheetName val="COTTOT01 711018 Ms nuong (2)"/>
      <sheetName val="SuBINHDUONGT 01 "/>
      <sheetName val="MHET1 784028 lan anh (2)"/>
      <sheetName val="UNZA(xuong)T11743972 phuong (2)"/>
      <sheetName val="JEBSENT12(2)"/>
      <sheetName val="KIKIT1 784453Ms Chau  (2)"/>
      <sheetName val="ASEFOODT 01(vp) (2)"/>
      <sheetName val="NAMKIMT12  MS (2)"/>
      <sheetName val="KORYOT T 12 (2)"/>
      <sheetName val="NHAT DONG T1 817035 msDung (2)"/>
      <sheetName val=" COMPASST 01784933 ms Dung (2)"/>
      <sheetName val="HA LONG T12(2)"/>
      <sheetName val="MBT T01 (2)"/>
      <sheetName val="CLARIAN T1 (2)"/>
      <sheetName val="URCT 1 767025 Ms Mai (2)"/>
      <sheetName val="bao cao t 01 (2)"/>
      <sheetName val="VISON T 01(2)"/>
      <sheetName val="178 t 12"/>
      <sheetName val="Be tong 620 t01"/>
      <sheetName val="XE DAP T1"/>
      <sheetName val="WAY WAY T01"/>
      <sheetName val="DON VI K5 T01"/>
      <sheetName val="ETECH VINA T1"/>
      <sheetName val="MINH DUONG T11"/>
      <sheetName val="EVERICH T01"/>
      <sheetName val="DAILYMANY T01"/>
      <sheetName val="UNITED GARMENT T11"/>
      <sheetName val="HA PHAT T1"/>
      <sheetName val="CA PHE MIEN BAC T1"/>
      <sheetName val="THEO DOI SO XERI T11"/>
      <sheetName val="ILJUNG T12"/>
      <sheetName val="LIENHIEP T12"/>
      <sheetName val="buu chinh binh duong t12"/>
      <sheetName val="TSUCHIYA TSCO T12"/>
      <sheetName val="B-TECH T12"/>
      <sheetName val="MY DUNG T1 (WTJ)"/>
      <sheetName val="HSIANG JIUH T1"/>
      <sheetName val="VIET HONG T12"/>
      <sheetName val="SHUAN HWA T01"/>
      <sheetName val="KHAI HONG T12"/>
      <sheetName val="ANH LY DONG NAI T01"/>
      <sheetName val="THEP VIET T01"/>
      <sheetName val="BUU CHINH BINH T11 (2)"/>
      <sheetName val="Tong hop ၑL48 - 2"/>
      <sheetName val="Du_lich"/>
      <sheetName val="So_Do"/>
      <sheetName val="KTTSCD_-_DLNA"/>
      <sheetName val="lapdat_TB_"/>
      <sheetName val="TNghiªm_TB_"/>
      <sheetName val="VËt_liÖu"/>
      <sheetName val="Lap_®at_®iÖn"/>
      <sheetName val="TNghiÖm_VL"/>
      <sheetName val="th_"/>
      <sheetName val="tien_luong"/>
      <sheetName val="T_7"/>
      <sheetName val="T_8"/>
      <sheetName val="[PNT-P3.xls]XXXXX\XX"/>
      <sheetName val="tra-vat-lieu"/>
      <sheetName val="CDKTKD2002"/>
      <sheetName val="Chuc danh"/>
      <sheetName val="⁋㌱Ա"/>
      <sheetName val="Op"/>
      <sheetName val="gia x"/>
      <sheetName val="_x000c_"/>
      <sheetName val="QD cua HDQ²"/>
      <sheetName val="chie԰"/>
      <sheetName val="KHTS"/>
      <sheetName val="Trunggian"/>
      <sheetName val="2001"/>
      <sheetName val="156nhap01"/>
      <sheetName val="TUVAN1"/>
      <sheetName val="XXXXX_XX"/>
      <sheetName val="7 nam (tach)"/>
      <sheetName val="KQKD02-0 (2)"/>
      <sheetName val="TK42ı"/>
      <sheetName val="???_x0000_???_x0000_???_x0006_??????_x0000_??????_x0006_???"/>
      <sheetName val="Tong hop ?L48 - 2"/>
      <sheetName val="xnt 1ãµP"/>
      <sheetName val="XL4Toppy"/>
      <sheetName val="TK42?"/>
      <sheetName val="tlðm190337,8"/>
      <sheetName val="AA"/>
      <sheetName val="Shee_x0005__x0000__x0000_"/>
      <sheetName val="Shee"/>
      <sheetName val="Cong ban"/>
      <sheetName val="20_x0000__x0000__x0000__x0000__x0000__x0000__x0000__x0000__x0000__x0000__x0000_瀐ϔ_x0000__x0004__x0000__x0000__x0000__x0000__x0000__x0000_좔ϑ_x0000__x0000__x0000__x0000__x0000__x0000_"/>
      <sheetName val="Shee薘,헾"/>
      <sheetName val="NOTE"/>
      <sheetName val="tÿ-01"/>
      <sheetName val="CV di ngoai toþg (2)"/>
      <sheetName val="Gia"/>
      <sheetName val="tv©`2_x0000__x0000__x0000_&lt;"/>
      <sheetName val="KQKDKT'04-_x0011_"/>
      <sheetName val="Lap ®ۨ_x0000_ ®iÖn"/>
      <sheetName val="FORM (c"/>
      <sheetName val="Cong ban 1,_x0005__x0000__x0000__x0000_"/>
      <sheetName val="Op mai_x0000_276"/>
      <sheetName val="Op mai_x0000_281"/>
      <sheetName val="COAT]WRAP_QIOT__3"/>
      <sheetName val="t6_x000d_01"/>
      <sheetName val="412-"/>
      <sheetName val="I"/>
      <sheetName val="Cong ban`1,5x1,5"/>
      <sheetName val="gia!he1"/>
      <sheetName val="k angluc"/>
      <sheetName val="giai he  "/>
      <sheetName val="S2_x0000__x0000_1"/>
      <sheetName val="Cong ban 1,5_x0013_"/>
      <sheetName val="_x0000__x0000_"/>
      <sheetName val="bÑi_x0003__x0000_²r_x0013__x0000_"/>
      <sheetName val="_x000f__x0000_½"/>
      <sheetName val="M pc_x0006__x0000_CamPh_x0000_"/>
      <sheetName val="_x000d_âO"/>
      <sheetName val="Op mai 2_x000c_"/>
      <sheetName val="_x000c__x0000__x000d_"/>
      <sheetName val="_x000f__x0000_‚ž½"/>
      <sheetName val="_x000d_âOŽ"/>
      <sheetName val="Cong ban 1,5„—_x0013_"/>
      <sheetName val="_x000a_âO"/>
      <sheetName val="_x000c__x0000__x000a_"/>
      <sheetName val="_x000a_âOŽ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 refreshError="1"/>
      <sheetData sheetId="243"/>
      <sheetData sheetId="244"/>
      <sheetData sheetId="245"/>
      <sheetData sheetId="246"/>
      <sheetData sheetId="247"/>
      <sheetData sheetId="248" refreshError="1"/>
      <sheetData sheetId="249"/>
      <sheetData sheetId="250" refreshError="1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 refreshError="1"/>
      <sheetData sheetId="346" refreshError="1"/>
      <sheetData sheetId="347" refreshError="1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 refreshError="1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 refreshError="1"/>
      <sheetData sheetId="390"/>
      <sheetData sheetId="391"/>
      <sheetData sheetId="392"/>
      <sheetData sheetId="393"/>
      <sheetData sheetId="394"/>
      <sheetData sheetId="395"/>
      <sheetData sheetId="396"/>
      <sheetData sheetId="397" refreshError="1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 refreshError="1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 refreshError="1"/>
      <sheetData sheetId="468"/>
      <sheetData sheetId="469"/>
      <sheetData sheetId="470"/>
      <sheetData sheetId="471"/>
      <sheetData sheetId="472" refreshError="1"/>
      <sheetData sheetId="473" refreshError="1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 refreshError="1"/>
      <sheetData sheetId="516" refreshError="1"/>
      <sheetData sheetId="517" refreshError="1"/>
      <sheetData sheetId="518"/>
      <sheetData sheetId="519" refreshError="1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 refreshError="1"/>
      <sheetData sheetId="555" refreshError="1"/>
      <sheetData sheetId="556"/>
      <sheetData sheetId="557"/>
      <sheetData sheetId="558"/>
      <sheetData sheetId="559" refreshError="1"/>
      <sheetData sheetId="560" refreshError="1"/>
      <sheetData sheetId="561" refreshError="1"/>
      <sheetData sheetId="562"/>
      <sheetData sheetId="563"/>
      <sheetData sheetId="564"/>
      <sheetData sheetId="565"/>
      <sheetData sheetId="566"/>
      <sheetData sheetId="567" refreshError="1"/>
      <sheetData sheetId="568"/>
      <sheetData sheetId="569"/>
      <sheetData sheetId="570"/>
      <sheetData sheetId="571"/>
      <sheetData sheetId="572" refreshError="1"/>
      <sheetData sheetId="573"/>
      <sheetData sheetId="574" refreshError="1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/>
      <sheetData sheetId="597"/>
      <sheetData sheetId="598" refreshError="1"/>
      <sheetData sheetId="599"/>
      <sheetData sheetId="600"/>
      <sheetData sheetId="601"/>
      <sheetData sheetId="602"/>
      <sheetData sheetId="603"/>
      <sheetData sheetId="604"/>
      <sheetData sheetId="605" refreshError="1"/>
      <sheetData sheetId="606" refreshError="1"/>
      <sheetData sheetId="607"/>
      <sheetData sheetId="608"/>
      <sheetData sheetId="609" refreshError="1"/>
      <sheetData sheetId="610" refreshError="1"/>
      <sheetData sheetId="611"/>
      <sheetData sheetId="612"/>
      <sheetData sheetId="613" refreshError="1"/>
      <sheetData sheetId="614" refreshError="1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 refreshError="1"/>
      <sheetData sheetId="627" refreshError="1"/>
      <sheetData sheetId="628" refreshError="1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 refreshError="1"/>
      <sheetData sheetId="638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/>
      <sheetData sheetId="645" refreshError="1"/>
      <sheetData sheetId="646"/>
      <sheetData sheetId="647"/>
      <sheetData sheetId="648" refreshError="1"/>
      <sheetData sheetId="649" refreshError="1"/>
      <sheetData sheetId="650" refreshError="1"/>
      <sheetData sheetId="651" refreshError="1"/>
      <sheetData sheetId="652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 refreshError="1"/>
      <sheetData sheetId="691" refreshError="1"/>
      <sheetData sheetId="692" refreshError="1"/>
      <sheetData sheetId="693" refreshError="1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 refreshError="1"/>
      <sheetData sheetId="713"/>
      <sheetData sheetId="714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/>
      <sheetData sheetId="734" refreshError="1"/>
      <sheetData sheetId="735" refreshError="1"/>
      <sheetData sheetId="736" refreshError="1"/>
      <sheetData sheetId="737" refreshError="1"/>
      <sheetData sheetId="738"/>
      <sheetData sheetId="739"/>
      <sheetData sheetId="740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 refreshError="1"/>
      <sheetData sheetId="811" refreshError="1"/>
      <sheetData sheetId="812"/>
      <sheetData sheetId="813"/>
      <sheetData sheetId="814"/>
      <sheetData sheetId="815" refreshError="1"/>
      <sheetData sheetId="816" refreshError="1"/>
      <sheetData sheetId="817" refreshError="1"/>
      <sheetData sheetId="818"/>
      <sheetData sheetId="819"/>
      <sheetData sheetId="820"/>
      <sheetData sheetId="821"/>
      <sheetData sheetId="822"/>
      <sheetData sheetId="823" refreshError="1"/>
      <sheetData sheetId="824"/>
      <sheetData sheetId="825"/>
      <sheetData sheetId="826"/>
      <sheetData sheetId="827"/>
      <sheetData sheetId="828" refreshError="1"/>
      <sheetData sheetId="829"/>
      <sheetData sheetId="830" refreshError="1"/>
      <sheetData sheetId="831" refreshError="1"/>
      <sheetData sheetId="832" refreshError="1"/>
      <sheetData sheetId="833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/>
      <sheetData sheetId="853"/>
      <sheetData sheetId="854" refreshError="1"/>
      <sheetData sheetId="855"/>
      <sheetData sheetId="856"/>
      <sheetData sheetId="857"/>
      <sheetData sheetId="858"/>
      <sheetData sheetId="859"/>
      <sheetData sheetId="860"/>
      <sheetData sheetId="861" refreshError="1"/>
      <sheetData sheetId="862" refreshError="1"/>
      <sheetData sheetId="863"/>
      <sheetData sheetId="864" refreshError="1"/>
      <sheetData sheetId="865" refreshError="1"/>
      <sheetData sheetId="866" refreshError="1"/>
      <sheetData sheetId="867"/>
      <sheetData sheetId="868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/>
      <sheetData sheetId="956"/>
      <sheetData sheetId="957" refreshError="1"/>
      <sheetData sheetId="958" refreshError="1"/>
      <sheetData sheetId="959" refreshError="1"/>
      <sheetData sheetId="960"/>
      <sheetData sheetId="961"/>
      <sheetData sheetId="962" refreshError="1"/>
      <sheetData sheetId="963" refreshError="1"/>
      <sheetData sheetId="964"/>
      <sheetData sheetId="965"/>
      <sheetData sheetId="966"/>
      <sheetData sheetId="967" refreshError="1"/>
      <sheetData sheetId="968"/>
      <sheetData sheetId="969"/>
      <sheetData sheetId="970" refreshError="1"/>
      <sheetData sheetId="971"/>
      <sheetData sheetId="972"/>
      <sheetData sheetId="973" refreshError="1"/>
      <sheetData sheetId="974" refreshError="1"/>
      <sheetData sheetId="975"/>
      <sheetData sheetId="976"/>
      <sheetData sheetId="977"/>
      <sheetData sheetId="978" refreshError="1"/>
      <sheetData sheetId="979" refreshError="1"/>
      <sheetData sheetId="980" refreshError="1"/>
      <sheetData sheetId="981"/>
      <sheetData sheetId="982"/>
      <sheetData sheetId="983"/>
      <sheetData sheetId="984" refreshError="1"/>
      <sheetData sheetId="985"/>
      <sheetData sheetId="986"/>
      <sheetData sheetId="987"/>
      <sheetData sheetId="988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/>
      <sheetData sheetId="997" refreshError="1"/>
      <sheetData sheetId="998" refreshError="1"/>
      <sheetData sheetId="999" refreshError="1"/>
      <sheetData sheetId="1000"/>
      <sheetData sheetId="1001" refreshError="1"/>
      <sheetData sheetId="1002" refreshError="1"/>
      <sheetData sheetId="1003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BASE"/>
      <sheetName val="T03 - 03"/>
      <sheetName val="AncaT03"/>
      <sheetName val="THL T03"/>
      <sheetName val="TTBC T03"/>
      <sheetName val="Luong noi Bo - T3"/>
      <sheetName val="Tong hop - T3"/>
      <sheetName val="Thuong Quy 3"/>
      <sheetName val="LBS"/>
      <sheetName val="Phu cap trach nhiem"/>
      <sheetName val="00000000"/>
      <sheetName val="XL4Poppy"/>
      <sheetName val="tmt4"/>
      <sheetName val="Sheet1"/>
      <sheetName val="t3-01"/>
      <sheetName val="t4-01"/>
      <sheetName val="t5-01"/>
      <sheetName val="t6-01"/>
      <sheetName val="t7-01"/>
      <sheetName val="t8-01"/>
      <sheetName val="t9-01"/>
      <sheetName val="t10-01"/>
      <sheetName val="t11-01"/>
      <sheetName val="t12-"/>
      <sheetName val="t1"/>
      <sheetName val="t2"/>
      <sheetName val="t3"/>
      <sheetName val="t4"/>
      <sheetName val="t5"/>
      <sheetName val="t06"/>
      <sheetName val="t07"/>
      <sheetName val="t08"/>
      <sheetName val="t09"/>
      <sheetName val="t10"/>
      <sheetName val="t11"/>
      <sheetName val="t12"/>
      <sheetName val="0103"/>
      <sheetName val="0203"/>
      <sheetName val="th-nop"/>
      <sheetName val="th"/>
      <sheetName val="T3-99"/>
      <sheetName val="T4-99"/>
      <sheetName val="T5-99"/>
      <sheetName val="T6-99"/>
      <sheetName val="T7-99"/>
      <sheetName val="T8-99"/>
      <sheetName val="T9-99"/>
      <sheetName val="T10-99"/>
      <sheetName val="T11-99"/>
      <sheetName val="T12-99"/>
      <sheetName val="CVden ngoai TCT (1)"/>
      <sheetName val="CV den ngoai TCT (2)"/>
      <sheetName val="CV den ngoai TCT (3)"/>
      <sheetName val="QDcua TGD"/>
      <sheetName val="QD cua HDQT"/>
      <sheetName val="QD cua HDQT (2)"/>
      <sheetName val="CV di ngoai tong"/>
      <sheetName val="CV di ngoai tong (2)"/>
      <sheetName val="Chart1"/>
      <sheetName val="To trinh"/>
      <sheetName val="Giao nhiem vu"/>
      <sheetName val="QDcua TGD (2)"/>
      <sheetName val="Thong tu"/>
      <sheetName val="CV di trong  tong"/>
      <sheetName val="nghi dinh-CP"/>
      <sheetName val="CV den trong tong"/>
      <sheetName val="Sheet2"/>
      <sheetName val="KHQ2"/>
      <sheetName val="KHT4,5-02"/>
      <sheetName val="KHVt "/>
      <sheetName val="KHVtt4"/>
      <sheetName val="KHVt XL"/>
      <sheetName val="KHVt XLT4"/>
      <sheetName val="TNHNoi"/>
      <sheetName val="Sheet3"/>
      <sheetName val="Song trai"/>
      <sheetName val="Dinh+ha nha"/>
      <sheetName val="PTLK"/>
      <sheetName val="NG k"/>
      <sheetName val="THcong"/>
      <sheetName val="BHXH"/>
      <sheetName val="BHXH12"/>
      <sheetName val="Sheet8"/>
      <sheetName val="Sheet9"/>
      <sheetName val="Muatb"/>
      <sheetName val="lapdat TB "/>
      <sheetName val="TNghiªm TB "/>
      <sheetName val="VËt liÖu"/>
      <sheetName val="vc-TBA"/>
      <sheetName val="Lap ®at ®iÖn"/>
      <sheetName val="TNghiÖm VL"/>
      <sheetName val="tt-TBA"/>
      <sheetName val="TDT"/>
      <sheetName val="TDT-TBA"/>
      <sheetName val="KSTK"/>
      <sheetName val="th "/>
      <sheetName val="tien luong"/>
      <sheetName val="dutoan"/>
      <sheetName val="CLech"/>
      <sheetName val="mong"/>
      <sheetName val="km248"/>
      <sheetName val="D1"/>
      <sheetName val="D2"/>
      <sheetName val="D3"/>
      <sheetName val="D4"/>
      <sheetName val="D5"/>
      <sheetName val="D6"/>
      <sheetName val="Tay ninh"/>
      <sheetName val="A.Duc"/>
      <sheetName val="TH2003"/>
      <sheetName val="TBA"/>
      <sheetName val="Netbook"/>
      <sheetName val="DZ"/>
      <sheetName val="PA_coso"/>
      <sheetName val="PA_von"/>
      <sheetName val="PA_nhucau"/>
      <sheetName val="PA_TH"/>
      <sheetName val="THDT"/>
      <sheetName val="XL35"/>
      <sheetName val="DZ-35"/>
      <sheetName val="TN_35"/>
      <sheetName val="CT-DZ"/>
      <sheetName val="VC"/>
      <sheetName val="TC"/>
      <sheetName val="TH_BA"/>
      <sheetName val="TNT"/>
      <sheetName val="CT_TBA"/>
      <sheetName val="KB"/>
      <sheetName val="CT_BT"/>
      <sheetName val="KS"/>
      <sheetName val="BT"/>
      <sheetName val="CP_BT"/>
      <sheetName val="Sheet4"/>
      <sheetName val="Sheet5"/>
      <sheetName val="DB"/>
      <sheetName val="XXXXXXXX"/>
      <sheetName val="Thep be"/>
      <sheetName val="Thep than"/>
      <sheetName val="Thep xa mu"/>
      <sheetName val="142201-T1-th"/>
      <sheetName val="142201-T1 "/>
      <sheetName val="142201-T2-th "/>
      <sheetName val="142201-T2"/>
      <sheetName val="142201-T3-th "/>
      <sheetName val="142201-T3"/>
      <sheetName val="142201-T4-th  "/>
      <sheetName val="142201-T4"/>
      <sheetName val="142201-T6"/>
      <sheetName val="142201-T10"/>
      <sheetName val="Sheet6"/>
      <sheetName val="Kluong phu"/>
      <sheetName val="Lan can"/>
      <sheetName val="Ho lan"/>
      <sheetName val="Coc tieu"/>
      <sheetName val="Bien bao"/>
      <sheetName val="Ranh"/>
      <sheetName val="Tuongchan"/>
      <sheetName val="Op mai 274"/>
      <sheetName val="Op mai 275"/>
      <sheetName val="Op mai 276"/>
      <sheetName val="Op mai 277"/>
      <sheetName val="Op mai 278"/>
      <sheetName val="Op mai 279"/>
      <sheetName val="Op mai 280"/>
      <sheetName val="Op mai 281"/>
      <sheetName val="Op mai 282"/>
      <sheetName val="Op mai 283"/>
      <sheetName val="Km274-Km275"/>
      <sheetName val="Km275-Km276"/>
      <sheetName val="Km276-Km277"/>
      <sheetName val="Km277-Km278"/>
      <sheetName val="Km278-Km279"/>
      <sheetName val="Km279-Km280"/>
      <sheetName val="Km280-Km281"/>
      <sheetName val="Km281-Km282"/>
      <sheetName val="Km282-Km283"/>
      <sheetName val="Km283-Km284"/>
      <sheetName val="Km284-Km285"/>
      <sheetName val="Nenduong"/>
      <sheetName val="Op mai 284"/>
      <sheetName val="Op mai"/>
      <sheetName val="T.so thay doi"/>
      <sheetName val="BTHDT_DZcaothe"/>
      <sheetName val="BTHDT_TBA"/>
      <sheetName val="THXL_DZcaothe"/>
      <sheetName val="TN_DZcaothe"/>
      <sheetName val="b.THchitietDZCT"/>
      <sheetName val="tr_tinhDZcaothe"/>
      <sheetName val="THXL_TBA"/>
      <sheetName val="TN_TBA"/>
      <sheetName val="b.THchitietTBA"/>
      <sheetName val="tr_tinhTBA"/>
      <sheetName val="Khao sat"/>
      <sheetName val="TT khao sat"/>
      <sheetName val="Congty"/>
      <sheetName val="VPPN"/>
      <sheetName val="XN74"/>
      <sheetName val="XN54"/>
      <sheetName val="XN33"/>
      <sheetName val="NK96"/>
      <sheetName val="XL4Test5"/>
      <sheetName val="KM"/>
      <sheetName val="KHOANMUC"/>
      <sheetName val="QTNC"/>
      <sheetName val="CPQL"/>
      <sheetName val="SANLUONG"/>
      <sheetName val="SSCP-SL"/>
      <sheetName val="CPSX"/>
      <sheetName val="KQKD"/>
      <sheetName val="CDSL (2)"/>
      <sheetName val="VtuHaTheSauTramBT3"/>
      <sheetName val="VtuHaTheSauTRamBT9"/>
      <sheetName val="VtuHaTheSautramLienThang"/>
      <sheetName val="VTuHaTheSautramBT5"/>
      <sheetName val="VTuHaTheSautramBT2"/>
      <sheetName val="VtuHaTheSautramTTCocSoi"/>
      <sheetName val="VtuHaTheSauTBAKhoi13"/>
      <sheetName val="VtuHaTheSauTBAKhoi12"/>
      <sheetName val="VtuHaTheSauTBANgDu4"/>
      <sheetName val="VtuHaTheSauTBAHungThuy"/>
      <sheetName val="VtuHaTheSauTBAHaiSan"/>
      <sheetName val="VtuHaTheSauTBANgVanTroi1"/>
      <sheetName val="VtuHaTheSauTBANgVanTroi2"/>
      <sheetName val="VtuHaTheSauTBANguyenDu2"/>
      <sheetName val="VtuHaTheSauTBANguyenDu6"/>
      <sheetName val="VtuHaTheSauTBABenThuy1"/>
      <sheetName val="VatTuThuHoi"/>
      <sheetName val="VtuHaTheSauTBABenThuy1 (2)"/>
      <sheetName val=" t5"/>
      <sheetName val="t.4"/>
      <sheetName val=" t3 "/>
      <sheetName val="t"/>
      <sheetName val=" TH331"/>
      <sheetName val=" Minh ha"/>
      <sheetName val="HTay03"/>
      <sheetName val=" Ha Tay"/>
      <sheetName val="tw2"/>
      <sheetName val=" Vinhphuc"/>
      <sheetName val=" Nbinh"/>
      <sheetName val=" QVinh"/>
      <sheetName val=" TW1"/>
      <sheetName val="10000000"/>
      <sheetName val="GVL"/>
      <sheetName val="giai thich"/>
      <sheetName val="Heso"/>
      <sheetName val="CTDG"/>
      <sheetName val="DT - Ro"/>
      <sheetName val="TH - Ro "/>
      <sheetName val="GDT - Ro"/>
      <sheetName val="DT - TB"/>
      <sheetName val="TH - TB"/>
      <sheetName val="GDT - TB"/>
      <sheetName val="DT - NT"/>
      <sheetName val="TH - NT"/>
      <sheetName val="GDT - NT"/>
      <sheetName val="THGT"/>
      <sheetName val="CamPha"/>
      <sheetName val="MongCai"/>
      <sheetName val="20000000"/>
      <sheetName val="30000000"/>
      <sheetName val="40000000"/>
      <sheetName val="50000000"/>
      <sheetName val="60000000"/>
      <sheetName val="70000000"/>
      <sheetName val="BC TH CK (2)"/>
      <sheetName val="BC TH CK"/>
      <sheetName val="BC6tT19 food"/>
      <sheetName val="BC6tT19"/>
      <sheetName val="BC6tT18"/>
      <sheetName val="BC6tT18 - Food"/>
      <sheetName val="CTTH"/>
      <sheetName val="BC6tT17"/>
      <sheetName val="BCCK 4"/>
      <sheetName val="BCFood- T16"/>
      <sheetName val="BC6tT16"/>
      <sheetName val="BCFood- T15"/>
      <sheetName val="BC6tT15"/>
      <sheetName val="BCFood- T14"/>
      <sheetName val="BC6tT14"/>
      <sheetName val="BCFood- T13"/>
      <sheetName val="BC6tT13"/>
      <sheetName val="THCK3"/>
      <sheetName val="BC6tT12"/>
      <sheetName val="BC6tT11"/>
      <sheetName val="BC6tT10"/>
      <sheetName val="BC6tT9"/>
      <sheetName val="TH CK2"/>
      <sheetName val="BC6tT8"/>
      <sheetName val="BC6tT7"/>
      <sheetName val="BC6tT5"/>
      <sheetName val="BC6tT52 (3)"/>
      <sheetName val="BCTH"/>
      <sheetName val="BC6tT4"/>
      <sheetName val="BC6tT3"/>
      <sheetName val="BC6tT2"/>
      <sheetName val="BC6tT1"/>
      <sheetName val="BC6tT52 (2)"/>
      <sheetName val="BC6tT52"/>
      <sheetName val="BC6tT51"/>
      <sheetName val="BC6tT50"/>
      <sheetName val="BC6tT49"/>
      <sheetName val="TCK 12"/>
      <sheetName val="BC6tT48"/>
      <sheetName val="BC6tT47"/>
      <sheetName val="BC6tT46"/>
      <sheetName val="BC6tT45"/>
      <sheetName val="Tong CK"/>
      <sheetName val="BC6tT44"/>
      <sheetName val="BC6tT43"/>
      <sheetName val="BC6t"/>
      <sheetName val="T42"/>
      <sheetName val="T41"/>
      <sheetName val="T40"/>
      <sheetName val="Nhap lieu"/>
      <sheetName val="PGT"/>
      <sheetName val="Tien dien"/>
      <sheetName val="Thue GTGT"/>
      <sheetName val="Km274 - Km275"/>
      <sheetName val="Km275 - Km276"/>
      <sheetName val="Km276 - Km277"/>
      <sheetName val="Km277 - Km278 "/>
      <sheetName val="Km278 - Km279"/>
      <sheetName val="Km279 - Km280"/>
      <sheetName val="Km280 - Km281"/>
      <sheetName val="Km281 - Km282"/>
      <sheetName val="Km282 - Km283"/>
      <sheetName val="Km283 - Km284"/>
      <sheetName val="Km284 - Km285"/>
      <sheetName val="Tong hop Matduong"/>
      <sheetName val="Cong D75"/>
      <sheetName val="Cong D100"/>
      <sheetName val="Cong D150"/>
      <sheetName val="Cong 2D150"/>
      <sheetName val="Cong ban 0,7x0,7"/>
      <sheetName val="Cong ban 0,8x0,8"/>
      <sheetName val="Cong ban 1x1"/>
      <sheetName val="Cong ban 1x1,2"/>
      <sheetName val="Cong ban 1,5x1,5"/>
      <sheetName val="Cong ban 2x1,5"/>
      <sheetName val="Cong ban 2x2"/>
      <sheetName val="Tong hop"/>
      <sheetName val="Tong hop (2)"/>
      <sheetName val="Cong"/>
      <sheetName val="Cong cu"/>
      <sheetName val="Dinhhinh"/>
      <sheetName val="Cot thep"/>
      <sheetName val="Cong tron D75"/>
      <sheetName val="Cong tron D100"/>
      <sheetName val="Cong tron D150"/>
      <sheetName val="Cong tron 2D150"/>
      <sheetName val="Cong ban 1,0x1,0"/>
      <sheetName val="Cong ban 1,0x1,2"/>
      <sheetName val="Cong hop 1,5x1,5"/>
      <sheetName val="Cong hop 2,0x1,5"/>
      <sheetName val="Cong hop 2,0x2,0"/>
      <sheetName val="thkl"/>
      <sheetName val="thkl (2)"/>
      <sheetName val="kht8"/>
      <sheetName val="long tec"/>
      <sheetName val="nlongt"/>
      <sheetName val="tuanb"/>
      <sheetName val="ntuanb"/>
      <sheetName val="nbinh"/>
      <sheetName val="nque"/>
      <sheetName val="ntien"/>
      <sheetName val="ntuanH"/>
      <sheetName val="nmuoi"/>
      <sheetName val="nnghia"/>
      <sheetName val="ntuanM"/>
      <sheetName val="nthi"/>
      <sheetName val="nchung"/>
      <sheetName val="nanh"/>
      <sheetName val="nthang"/>
      <sheetName val="nnguyen"/>
      <sheetName val="ntuc"/>
      <sheetName val="nngan"/>
      <sheetName val="nloi"/>
      <sheetName val="nphuock"/>
      <sheetName val="nphuoch"/>
      <sheetName val="nsonpd"/>
      <sheetName val="nphuock04"/>
      <sheetName val="nphuoch04"/>
      <sheetName val="nphuocpd04"/>
      <sheetName val="nphuocd04"/>
      <sheetName val="nphuoctr04"/>
      <sheetName val="nphuocb04"/>
      <sheetName val="L-THANG03"/>
      <sheetName val="L-THANG04"/>
      <sheetName val="luongthuong"/>
      <sheetName val="tkcb-cnv"/>
      <sheetName val="KETQUAHOC"/>
      <sheetName val="KHACHSAN"/>
      <sheetName val="THANHTOAN"/>
      <sheetName val="BC-BANHANG"/>
      <sheetName val="DOANH SO"/>
      <sheetName val="BD-SINH VIEN"/>
      <sheetName val="luongsanpham"/>
      <sheetName val="TUYENSINH02"/>
      <sheetName val="cuocphi"/>
      <sheetName val="banhang"/>
      <sheetName val="bh-thang4"/>
      <sheetName val="Trich Ngang"/>
      <sheetName val="Danh sach Rieng"/>
      <sheetName val="Dia Diem Thuc Tap"/>
      <sheetName val="De Tai Thuc Tap"/>
      <sheetName val="socai2003-6tc"/>
      <sheetName val="SCT Cong trinh"/>
      <sheetName val="06-2003 (2)"/>
      <sheetName val="CDPS 6tc"/>
      <sheetName val="SCT Nha thau"/>
      <sheetName val="socai2003 (6tc)dp"/>
      <sheetName val="socai2003 (6tc)"/>
      <sheetName val="CDPS 6tc (2)"/>
      <sheetName val="tb1"/>
      <sheetName val="Thau"/>
      <sheetName val="CT-BT"/>
      <sheetName val="Xa"/>
      <sheetName val="Don gia CPM"/>
      <sheetName val="Tong Thieu HD cac CT-2001"/>
      <sheetName val="VL thieu HD - 2001"/>
      <sheetName val="Tong thieu HD cac CT - 2002"/>
      <sheetName val="Lan trai"/>
      <sheetName val="Van chuyen"/>
      <sheetName val="Vchuyen(C)"/>
      <sheetName val="HDong VC"/>
      <sheetName val="ThieuHD nam 2001"/>
      <sheetName val="CPChung"/>
      <sheetName val="Bang TH"/>
      <sheetName val="Tong Chinh"/>
      <sheetName val="000000000000"/>
      <sheetName val="100000000000"/>
      <sheetName val="200000000000"/>
      <sheetName val="300000000000"/>
      <sheetName val="LuongT1"/>
      <sheetName val="LuongT2"/>
      <sheetName val="luongthang12"/>
      <sheetName val="LuongT11"/>
      <sheetName val="thang5"/>
      <sheetName val="T7"/>
      <sheetName val="T9"/>
      <sheetName val="T8"/>
      <sheetName val="thang6"/>
      <sheetName val="thang4"/>
      <sheetName val="LuongT3"/>
      <sheetName val="NKC"/>
      <sheetName val="SoquyTM"/>
      <sheetName val="TK 112"/>
      <sheetName val="TK 131"/>
      <sheetName val="TK133"/>
      <sheetName val="TK 141"/>
      <sheetName val="TK 153"/>
      <sheetName val="TK214"/>
      <sheetName val="TK 211"/>
      <sheetName val="TK 242"/>
      <sheetName val="TK33311"/>
      <sheetName val="TK331"/>
      <sheetName val="TK333"/>
      <sheetName val="TK 334"/>
      <sheetName val="TK711"/>
      <sheetName val="TK411"/>
      <sheetName val="TK421"/>
      <sheetName val="TK 511"/>
      <sheetName val="TK 515"/>
      <sheetName val="TK642"/>
      <sheetName val="TK 911"/>
      <sheetName val="TK811"/>
      <sheetName val="CDKT"/>
      <sheetName val="CDPS1"/>
      <sheetName val="KHTSCD1"/>
      <sheetName val="KHTSCD2"/>
      <sheetName val="SoCaiTM"/>
      <sheetName val="NK"/>
      <sheetName val="PhieuKT"/>
      <sheetName val="Tonghop"/>
      <sheetName val="Sheet7"/>
      <sheetName val="Thi_sinh"/>
      <sheetName val="Luong"/>
      <sheetName val="HethongDebai"/>
      <sheetName val="TH131"/>
      <sheetName val="TH155&amp;156"/>
      <sheetName val="TH152"/>
      <sheetName val="TH153"/>
      <sheetName val="TH331"/>
      <sheetName val="KhoDL"/>
      <sheetName val="THSPHH"/>
      <sheetName val="THVL"/>
      <sheetName val="Chamcong"/>
      <sheetName val="DMTK"/>
      <sheetName val="DMKH"/>
      <sheetName val="DMNB"/>
      <sheetName val="DMNV"/>
      <sheetName val="[IBASE2.XLSѝTNHNoi"/>
      <sheetName val="Sheet10"/>
      <sheetName val="Ctieucnghe(12-03"/>
      <sheetName val="DmdbTVN"/>
      <sheetName val="Hsdancach"/>
      <sheetName val="TanLap"/>
      <sheetName val="CaoThang"/>
      <sheetName val="GiapKhau"/>
      <sheetName val="917"/>
      <sheetName val="CBTT"/>
      <sheetName val="TramKCS"/>
      <sheetName val="Tohop1(LD"/>
      <sheetName val="Tohop2(QL&amp;an"/>
      <sheetName val="ThunhapBQ"/>
      <sheetName val="QDgiao1"/>
      <sheetName val="So sanh"/>
      <sheetName val="NCxdcb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THVDT"/>
      <sheetName val="NCLD"/>
      <sheetName val="MMTB"/>
      <sheetName val="CFSX"/>
      <sheetName val="KQ"/>
      <sheetName val="DTSL"/>
      <sheetName val="XDCBK"/>
      <sheetName val="KHTSCD"/>
      <sheetName val="XDCB"/>
      <sheetName val="bcth 05-04"/>
      <sheetName val="baocao 05-04"/>
      <sheetName val="bcth04-04"/>
      <sheetName val="baocao04-04"/>
      <sheetName val="bcth03-04"/>
      <sheetName val="baocao03-04"/>
      <sheetName val="bcth02-04"/>
      <sheetName val="baocao02-04"/>
      <sheetName val="bcth01-04"/>
      <sheetName val="baocao01-04"/>
      <sheetName val="CV di trong  dong"/>
      <sheetName val="TM01"/>
      <sheetName val="CDKTKT02"/>
      <sheetName val="KQKD02-2"/>
      <sheetName val="KQKD02-2 (2)"/>
      <sheetName val="CDKTKT03"/>
      <sheetName val="DC02"/>
      <sheetName val="CDPS02"/>
      <sheetName val="KQKDKT'02-1"/>
      <sheetName val="KQKDKT'03-1"/>
      <sheetName val="DC03"/>
      <sheetName val="CDKTKT04"/>
      <sheetName val="CCPS03"/>
      <sheetName val="CDPS04"/>
      <sheetName val="KQKDKT'04-1"/>
      <sheetName val="DC04"/>
      <sheetName val="TSCD"/>
      <sheetName val="DC2002"/>
      <sheetName val="CDKTKT2002"/>
      <sheetName val="KQKD-2"/>
      <sheetName val="KQKD-2 (2)"/>
      <sheetName val="DC2003"/>
      <sheetName val="CDPS03"/>
      <sheetName val="KQKD thu2004"/>
      <sheetName val="Co~g hop 1,5x1,5"/>
      <sheetName val="TH du toan "/>
      <sheetName val="Du toan "/>
      <sheetName val="C.Tinh"/>
      <sheetName val="TK_cap"/>
      <sheetName val="F ThanhTri"/>
      <sheetName val="F Gialam"/>
      <sheetName val="DG"/>
      <sheetName val="TH dam"/>
      <sheetName val="SX dam"/>
      <sheetName val="LD dam"/>
      <sheetName val="Bang gia VL"/>
      <sheetName val="Gia NC"/>
      <sheetName val="Gia may"/>
      <sheetName val="phan tich DG"/>
      <sheetName val="gia vat lieu"/>
      <sheetName val="gia xe may"/>
      <sheetName val="gia nhan cong"/>
      <sheetName val="XXXXXX_xda24_X"/>
      <sheetName val="HHVt "/>
      <sheetName val="Napheo-SPP"/>
      <sheetName val="VPLaichau"/>
      <sheetName val="VPTruongson"/>
      <sheetName val="D9"/>
      <sheetName val="TLNamChim"/>
      <sheetName val="Dancau-Q.Ninh"/>
      <sheetName val="D91"/>
      <sheetName val="Kenhta-himlam"/>
      <sheetName val="TCQ5-"/>
      <sheetName val="HDkhoanduoc"/>
      <sheetName val="TCQ1-4"/>
      <sheetName val="Khac"/>
      <sheetName val="BaTrieu-L.son"/>
      <sheetName val="SBayDBien"/>
      <sheetName val="QL32YB(12)"/>
      <sheetName val="QL32AYB"/>
      <sheetName val="THSonNam"/>
      <sheetName val="Coquan"/>
      <sheetName val="Quoclo6mchau"/>
      <sheetName val="QLo4B-LS"/>
      <sheetName val="Phanthiet"/>
      <sheetName val="Muongnhe"/>
      <sheetName val="Co quan TCT"/>
      <sheetName val="BOT"/>
      <sheetName val="BOT (PA chon)"/>
      <sheetName val="Yaly &amp; Ri Ninh"/>
      <sheetName val="Thuy dien Na Loi"/>
      <sheetName val="bang so sanh tong hop"/>
      <sheetName val="bang so sanh tong hop (ty le)"/>
      <sheetName val="thu nhap binh quan (2)"/>
      <sheetName val="dang huong"/>
      <sheetName val="phuong an 1"/>
      <sheetName val="phuong an 1 (2)"/>
      <sheetName val="phuong an2"/>
      <sheetName val="tong hop BQ"/>
      <sheetName val="Binhquan3"/>
      <sheetName val="tong hop BQ-1"/>
      <sheetName val="phuong an chon"/>
      <sheetName val="bang so sanh tong hop ( PA chon"/>
      <sheetName val="dang ap dung"/>
      <sheetName val="bang tong hop (dang huong)"/>
      <sheetName val="BangTH"/>
      <sheetName val="Xaylap "/>
      <sheetName val="Nhan cong"/>
      <sheetName val="Thietbi"/>
      <sheetName val="Diengiai"/>
      <sheetName val="Vanchuyen"/>
      <sheetName val="Heso 3-2004 (3)"/>
      <sheetName val="Luong (2)"/>
      <sheetName val="heso T3"/>
      <sheetName val="heso T4"/>
      <sheetName val="heso T5"/>
      <sheetName val="Heso T6"/>
      <sheetName val="Heso T7"/>
      <sheetName val="Heso T8"/>
      <sheetName val="Heso T9"/>
      <sheetName val="Heso 2-2004"/>
      <sheetName val="Heso 3-2004"/>
      <sheetName val="Baocao"/>
      <sheetName val="Heso 3-2004 (2)"/>
      <sheetName val="T.K H.T.T5"/>
      <sheetName val="T.K T7"/>
      <sheetName val="TK T6"/>
      <sheetName val="T.K T5"/>
      <sheetName val="Bang thong ke hang ton"/>
      <sheetName val="thong ke "/>
      <sheetName val="T.KT04"/>
      <sheetName val="HD1"/>
      <sheetName val="HD4"/>
      <sheetName val="HD3"/>
      <sheetName val="HD5"/>
      <sheetName val="HD7"/>
      <sheetName val="HD6"/>
      <sheetName val="HD2"/>
      <sheetName val=" KQTH quy hoach 135"/>
      <sheetName val="Bao cao KQTH quy hoach 135"/>
      <sheetName val="cn"/>
      <sheetName val="ct"/>
      <sheetName val="Nc"/>
      <sheetName val="pt"/>
      <sheetName val="ql"/>
      <sheetName val="ql (2)"/>
      <sheetName val="4"/>
      <sheetName val="Sheet13"/>
      <sheetName val="Sheet14"/>
      <sheetName val="Sheet15"/>
      <sheetName val="Sheet16"/>
      <sheetName val="CT 03"/>
      <sheetName val="TH 03"/>
      <sheetName val="GIA NUOC"/>
      <sheetName val="GIA DIEN THOAI"/>
      <sheetName val="GIA DIEN"/>
      <sheetName val="chiet tinh XD"/>
      <sheetName val="Triet T"/>
      <sheetName val="Phan tich gia"/>
      <sheetName val="pHAN CONG"/>
      <sheetName val="GIA XD"/>
      <sheetName val="TH_BQ"/>
      <sheetName val="Coc 6"/>
      <sheetName val="Deo nai"/>
      <sheetName val="CKD than"/>
      <sheetName val="CTT Thong nhat"/>
      <sheetName val="CTT Nui beo"/>
      <sheetName val="CTT cao son"/>
      <sheetName val="CTT Khe cham"/>
      <sheetName val="XNxlva sxthanKCII"/>
      <sheetName val="Cam Y ut KC"/>
      <sheetName val="CTxay lap mo CP"/>
      <sheetName val="CTdo luong GDSP"/>
      <sheetName val="Dong bac"/>
      <sheetName val="Sheet12"/>
      <sheetName val="bg+th45"/>
      <sheetName val="4-5"/>
      <sheetName val="bg+th34"/>
      <sheetName val="3-4"/>
      <sheetName val="BT1"/>
      <sheetName val="BT2"/>
      <sheetName val="Cac cang UT mua than Dong bac"/>
      <sheetName val="cua hang vtu"/>
      <sheetName val="Khach hang le "/>
      <sheetName val="nhat ky 5"/>
      <sheetName val="cac cong ty van tai"/>
      <sheetName val="Sheed5"/>
      <sheetName val="TL"/>
      <sheetName val="GK"/>
      <sheetName val="CB"/>
      <sheetName val="VP"/>
      <sheetName val="Km274-Km274"/>
      <sheetName val="Km27'-Km278"/>
      <sheetName val="BT3"/>
      <sheetName val="BT4"/>
      <sheetName val="BT5"/>
      <sheetName val="BT6"/>
      <sheetName val="chi phi cap tien"/>
      <sheetName val="Tkedotuoi"/>
      <sheetName val="Tkebactho"/>
      <sheetName val="nhan su"/>
      <sheetName val="2020"/>
      <sheetName val="luong cty"/>
      <sheetName val="bangluong"/>
      <sheetName val="Tkecong"/>
      <sheetName val="thunhap03"/>
      <sheetName val="thungoaiSCTX"/>
      <sheetName val="TRICH73"/>
      <sheetName val="BaTrieu-L.con"/>
      <sheetName val="EDT - Ro"/>
      <sheetName val="Nhap_lieu"/>
      <sheetName val="Khoiluong"/>
      <sheetName val="Vattu"/>
      <sheetName val="Trungchuyen"/>
      <sheetName val="Bu"/>
      <sheetName val="Chitiet"/>
      <sheetName val=".tuanM"/>
      <sheetName val="Dinh_ha nha"/>
      <sheetName val="20+590"/>
      <sheetName val="20+1218"/>
      <sheetName val="22+456"/>
      <sheetName val="23+200"/>
      <sheetName val="23+327"/>
      <sheetName val="23+468"/>
      <sheetName val="23+563"/>
      <sheetName val="24+520"/>
      <sheetName val="25"/>
      <sheetName val="Luu goc"/>
      <sheetName val="km22+93.86-km22+121.86"/>
      <sheetName val="km22+177.14-km22+205.64"/>
      <sheetName val="Bang 20-25"/>
      <sheetName val="km22+267.96-km22+283.96"/>
      <sheetName val="km22+304.31-km22+344.31"/>
      <sheetName val="km22+460.92-km22+614.57"/>
      <sheetName val="km22+671.78-km22+713.32"/>
      <sheetName val="Km282-Km_x0003__x0000_3"/>
      <sheetName val="[IBASE2.XLS}BHXH"/>
      <sheetName val="ɾT"/>
      <sheetName val="DTCT"/>
      <sheetName val="PTVT"/>
      <sheetName val="THVT"/>
      <sheetName val="THQI"/>
      <sheetName val="T6"/>
      <sheetName val="THQII"/>
      <sheetName val="Trung"/>
      <sheetName val="THQIII"/>
      <sheetName val="THT nam 04"/>
      <sheetName val="DATA"/>
      <sheetName val="142201ȭT4"/>
      <sheetName val="THU T12"/>
      <sheetName val="CHI T12"/>
      <sheetName val="THU T11"/>
      <sheetName val="CHI T11"/>
      <sheetName val="THU T10"/>
      <sheetName val="CHI T10"/>
      <sheetName val="THU T9"/>
      <sheetName val="CHI T9"/>
      <sheetName val="THU T8"/>
      <sheetName val="CHI T8"/>
      <sheetName val="THU T7"/>
      <sheetName val="CHI T7"/>
      <sheetName val="THU T6"/>
      <sheetName val="CHI T6"/>
      <sheetName val="THU T5"/>
      <sheetName val="CHI T5"/>
      <sheetName val="THU T4"/>
      <sheetName val="CHI T4"/>
      <sheetName val="THU T3"/>
      <sheetName val="CHI T3"/>
      <sheetName val="THU T2"/>
      <sheetName val="CHI T2"/>
      <sheetName val="THU T1"/>
      <sheetName val="CHI T1"/>
      <sheetName val="0304"/>
      <sheetName val="0904"/>
      <sheetName val="1204"/>
      <sheetName val="80000000"/>
      <sheetName val="90000000"/>
      <sheetName val="a0000000"/>
      <sheetName val="b0000000"/>
      <sheetName val="c0000000"/>
      <sheetName val="T8-9)"/>
      <sheetName val="tô rôiDY"/>
      <sheetName val="ATCANING"/>
      <sheetName val="KNH"/>
      <sheetName val="KVF"/>
      <sheetName val="Hoada"/>
      <sheetName val="Nguphuc"/>
      <sheetName val="TCH"/>
      <sheetName val="TTT"/>
      <sheetName val="TVK"/>
      <sheetName val="Tuichuom"/>
      <sheetName val="NKDT"/>
      <sheetName val="Vitagin"/>
      <sheetName val="Bia1"/>
      <sheetName val="Bia"/>
      <sheetName val="THTBO"/>
      <sheetName val="XLAP"/>
      <sheetName val="th22"/>
      <sheetName val="CT22"/>
      <sheetName val="MuaVL_DZ"/>
      <sheetName val="LD&amp;TNTB"/>
      <sheetName val="TH_TBA"/>
      <sheetName val="MuaVL_bu"/>
      <sheetName val="MuaVL_TBA"/>
      <sheetName val="TBi"/>
      <sheetName val="XL_TN"/>
      <sheetName val="TN"/>
      <sheetName val="lietke_TBA"/>
      <sheetName val="lietke_DZ"/>
      <sheetName val="vc_Bocdo"/>
      <sheetName val="m3"/>
      <sheetName val="TK_TD"/>
      <sheetName val="Cap_dat"/>
      <sheetName val="TK _TK"/>
      <sheetName val="Cuoc89"/>
      <sheetName val="CongNo"/>
      <sheetName val="31.12.01"/>
      <sheetName val="KHVô XL"/>
      <sheetName val="tr_tinhDZc!othe"/>
      <sheetName val="t2_tinhTBA"/>
      <sheetName val="Cone"/>
      <sheetName val="XXXXXX_x005f_xda24_X"/>
      <sheetName val="HD CTrinh1"/>
      <sheetName val="HD benA"/>
      <sheetName val="KHTC"/>
      <sheetName val="BCTC"/>
      <sheetName val="Soqui"/>
      <sheetName val="Tienvay"/>
      <sheetName val="CTthanhtoan"/>
      <sheetName val="CTietHD"/>
      <sheetName val="Theodoi HD"/>
      <sheetName val="Theodoi HD (2)"/>
      <sheetName val="VLieu"/>
      <sheetName val="May"/>
      <sheetName val="NCong"/>
      <sheetName val=" GT CPhi tung dot"/>
      <sheetName val="Km282-Km_x0003_?3"/>
      <sheetName val="200000000헾】_x0005_"/>
      <sheetName val="200000000_x0000__x0000__x0005_"/>
      <sheetName val="200000000"/>
      <sheetName val="MTL$-INTER"/>
      <sheetName val="paint price"/>
      <sheetName val="mat."/>
      <sheetName val="Tien luong (2)"/>
      <sheetName val="DTX-NGG.XLS"/>
      <sheetName val="chenh lech"/>
      <sheetName val="CL Hµ t©y"/>
      <sheetName val="CL Bæ tóc"/>
      <sheetName val="DT Ph­¬ng mai 1"/>
      <sheetName val=""/>
      <sheetName val="01"/>
      <sheetName val="Tonf hop"/>
      <sheetName val="CoquyTM"/>
      <sheetName val="DataSheet"/>
      <sheetName val="Detail"/>
      <sheetName val="SAPLING"/>
      <sheetName val="THANG1"/>
      <sheetName val="THANG2"/>
      <sheetName val="THANG3"/>
      <sheetName val="THANG7 "/>
      <sheetName val="THANG8"/>
      <sheetName val="THANG9"/>
      <sheetName val="THANG10"/>
      <sheetName val="THANG 11"/>
      <sheetName val="THANG 12"/>
      <sheetName val="bg+th23"/>
      <sheetName val="2-3"/>
      <sheetName val="bg+th12"/>
      <sheetName val="1-2"/>
      <sheetName val="bg+th"/>
      <sheetName val="ptvl"/>
      <sheetName val="0-1"/>
      <sheetName val="L]gngT2"/>
      <sheetName val="[IBASE2.XLS䁝BC6tT17"/>
      <sheetName val="TK13_x0005_"/>
      <sheetName val="Chart3"/>
      <sheetName val="Chart2"/>
      <sheetName val="BT7"/>
      <sheetName val="bt08"/>
      <sheetName val="bt9"/>
      <sheetName val="BT10"/>
      <sheetName val="bt11"/>
      <sheetName val="BT12"/>
      <sheetName val="BT13"/>
      <sheetName val="BT14"/>
      <sheetName val="bt15"/>
      <sheetName val="BT16"/>
      <sheetName val="BT18"/>
      <sheetName val="De Tai Vhuc Tap"/>
      <sheetName val="TD khao sat"/>
      <sheetName val="02.1"/>
      <sheetName val="2.1"/>
      <sheetName val="2.3"/>
      <sheetName val="02.3"/>
      <sheetName val="05"/>
      <sheetName val="03"/>
      <sheetName val="06"/>
      <sheetName val="B 01"/>
      <sheetName val="B 03"/>
      <sheetName val="D 13"/>
      <sheetName val="Q-03"/>
      <sheetName val="Q-04"/>
      <sheetName val="Q-05"/>
      <sheetName val="D15"/>
      <sheetName val="D20"/>
      <sheetName val="D19"/>
      <sheetName val="BANG LUONG Mẫu"/>
      <sheetName val="PXKT1"/>
      <sheetName val="PXKT2"/>
      <sheetName val="PXKT3"/>
      <sheetName val="PXKT4"/>
      <sheetName val="PXKT5"/>
      <sheetName val="May khau"/>
      <sheetName val="PXKT6Via 11"/>
      <sheetName val="PXKT7"/>
      <sheetName val="PXKTLo Thien V 14A"/>
      <sheetName val="V14 phu"/>
      <sheetName val="V15"/>
      <sheetName val="V7"/>
      <sheetName val="V9"/>
      <sheetName val="Via 16 Lthien"/>
      <sheetName val="V6a"/>
      <sheetName val="PXKT8"/>
      <sheetName val="XXXXXXX0"/>
      <sheetName val="Wood Mckenzie"/>
      <sheetName val="Km282-Km_x0003_"/>
      <sheetName val="Trunggian"/>
      <sheetName val="det VP"/>
      <sheetName val="det hn"/>
      <sheetName val="19-5"/>
      <sheetName val="X26-2"/>
      <sheetName val="x26"/>
      <sheetName val="chi Hieu"/>
      <sheetName val="c thoa"/>
      <sheetName val="A thanh - DL"/>
      <sheetName val="A Tuyen"/>
      <sheetName val="A Tien -laphu"/>
      <sheetName val="A Thang- laphu"/>
      <sheetName val="DMHN"/>
      <sheetName val="A Dong"/>
      <sheetName val="27-7 NB"/>
      <sheetName val="ATuan-PN"/>
      <sheetName val="X20"/>
      <sheetName val="xn 5"/>
      <sheetName val="PKD X20"/>
      <sheetName val="da giay SG"/>
      <sheetName val="dagiay XK"/>
      <sheetName val="DK Dong xuan"/>
      <sheetName val="chu Ton"/>
      <sheetName val="minh tri"/>
      <sheetName val="viet huy"/>
      <sheetName val="thanh ha"/>
      <sheetName val="O Su"/>
      <sheetName val="A Ha-DL"/>
      <sheetName val="Vinh oanh"/>
      <sheetName val="chi Thuy"/>
      <sheetName val="chu Hong"/>
      <sheetName val="thuy- may"/>
      <sheetName val="CHuong(VT)"/>
      <sheetName val="XNK-hnam"/>
      <sheetName val="7-5HQ"/>
      <sheetName val="vu yen"/>
      <sheetName val="Dữ liệu nhóm vận chuyển"/>
      <sheetName val="NK9"/>
      <sheetName val="BTHDT_TBA_x000d__x0000__x0000_THXL_DZcaothe"/>
      <sheetName val="02"/>
      <sheetName val="04"/>
      <sheetName val="07"/>
      <sheetName val="08"/>
      <sheetName val="09"/>
      <sheetName val="10"/>
      <sheetName val="PHEPNAM"/>
      <sheetName val="KHONGLUONG"/>
      <sheetName val="d0000000"/>
      <sheetName val="e0000000"/>
      <sheetName val="f0000000"/>
      <sheetName val="g0000000"/>
      <sheetName val="h0000000"/>
      <sheetName val="i0000000"/>
      <sheetName val="XXXXXXX1"/>
      <sheetName val="XXXXXXX2"/>
      <sheetName val="XXXXXXX3"/>
      <sheetName val="XXXXXXX4"/>
      <sheetName val="XXXXXXX5"/>
      <sheetName val="XXXXXXX6"/>
      <sheetName val="XXXXXXX7"/>
      <sheetName val="XXXXXXX8"/>
      <sheetName val="XXXXXXX9"/>
      <sheetName val="XXXXXXXA"/>
      <sheetName val="XXXXXXXB"/>
      <sheetName val="XXXXXXXC"/>
      <sheetName val="XXXXXXXD"/>
      <sheetName val="XXXXXXXE"/>
      <sheetName val="XXXXXXXF"/>
      <sheetName val="XXXXXXXG"/>
      <sheetName val="XXXXXXXH"/>
      <sheetName val="XXXXXXXI"/>
      <sheetName val="XXXXXXXJ"/>
      <sheetName val="XXXXXXXK"/>
      <sheetName val="XXXXXXXL"/>
      <sheetName val="XXXXXXXM"/>
      <sheetName val="XXXXXXXN"/>
      <sheetName val="XXXXXXXO"/>
      <sheetName val="XXXXXXXP"/>
      <sheetName val="XXXXXXXQ"/>
      <sheetName val="XXXXXXXR"/>
      <sheetName val="XXXXXXXS"/>
      <sheetName val="XXXXXXXT"/>
      <sheetName val="XXXXXXXU"/>
      <sheetName val="XXXXXXXV"/>
      <sheetName val="XXXXXXXW"/>
      <sheetName val="XXXXXXXY"/>
      <sheetName val="XXXXXXXZ"/>
      <sheetName val="XXXXXX0X"/>
      <sheetName val="XXXXXX00"/>
      <sheetName val="XXXXXX01"/>
      <sheetName val="XXXXXX02"/>
      <sheetName val="XXXXXX03"/>
      <sheetName val="XXXXXX04"/>
      <sheetName val="XXXXXX05"/>
      <sheetName val="XXXXXX06"/>
      <sheetName val="XXXXXX07"/>
      <sheetName val="SANNUONG"/>
      <sheetName val="thkn (2)"/>
      <sheetName val="Vchuygn(C)"/>
      <sheetName val="BTHDT_TBA_x000d_"/>
      <sheetName val="Tuan 1.01"/>
      <sheetName val="Tuan 3.01 "/>
      <sheetName val="Tuan 5.06 "/>
      <sheetName val="Tuan 6.06  "/>
      <sheetName val="Tuan 7.06 "/>
      <sheetName val="Tuan 7.06  (2)"/>
      <sheetName val="Tuan8,06"/>
      <sheetName val="Tuan9,06"/>
      <sheetName val="Tuan10,06 "/>
      <sheetName val="Tuan11,06  "/>
      <sheetName val="Tuan12,06"/>
      <sheetName val="Bao cao DD 31.3.06"/>
      <sheetName val="Bao cao DD 30.4.06"/>
      <sheetName val="Bao cao DD 31.5.06 "/>
      <sheetName val="Bao cao Quy I-06"/>
      <sheetName val="Bao cao DD 30.6.06"/>
      <sheetName val="Bao cao DD 31.7.06"/>
      <sheetName val="Cong hop 2,0ࡸ2,0"/>
      <sheetName val="IBASE2"/>
      <sheetName val="Klukng phu"/>
      <sheetName val="THA"/>
      <sheetName val="BC§ 2001"/>
      <sheetName val="BBC§ 2002"/>
      <sheetName val="TSC§ 2001"/>
      <sheetName val="TSc® 2002"/>
      <sheetName val="Qheet10"/>
      <sheetName val="Ca.D"/>
      <sheetName val="H.long"/>
      <sheetName val="C.Mong"/>
      <sheetName val="M.Phu"/>
      <sheetName val="T.Son"/>
      <sheetName val="V.Don"/>
      <sheetName val="Y.Kien"/>
      <sheetName val="V.Quang"/>
      <sheetName val="Q.Lam"/>
      <sheetName val="Pthu"/>
      <sheetName val="T.Coc"/>
      <sheetName val="D.Nghia"/>
      <sheetName val="P.Phu"/>
      <sheetName val="P.Lai"/>
      <sheetName val="N.Xuyen"/>
      <sheetName val="H.quan"/>
      <sheetName val="S.Dang"/>
      <sheetName val="TT.DH"/>
      <sheetName val="N.Quan"/>
      <sheetName val="C.Dam"/>
      <sheetName val="M.Luong"/>
      <sheetName val="B.luan"/>
      <sheetName val="lapdap TB "/>
      <sheetName val="NEW-PANEL"/>
      <sheetName val="MTO REV.2(ARMOR)"/>
      <sheetName val="[IBASE2.XLS_Tong hop Matduong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THPT.4"/>
      <sheetName val="THPT.5"/>
      <sheetName val="THPT.6"/>
      <sheetName val="DH,CD,THCN.1"/>
      <sheetName val="DH,CD,THCN.2"/>
      <sheetName val="DH,CD,THCN.3"/>
      <sheetName val="GDKCQ.1"/>
      <sheetName val="GDKCQ.2"/>
      <sheetName val="TAICHINH"/>
      <sheetName val="Khac DP"/>
      <sheetName val="Khoi than "/>
      <sheetName val="B3_208_than"/>
      <sheetName val="B3_208_TU"/>
      <sheetName val="B3_208_TW"/>
      <sheetName val="B3_208_DP"/>
      <sheetName val="B3_208_khac"/>
      <sheetName val="Sheet11"/>
      <sheetName val="CCPS_x0005__x0000_"/>
      <sheetName val="BTH Phieu thu"/>
      <sheetName val="BTH Phieu chi"/>
      <sheetName val="NK-SC"/>
      <sheetName val="SCT NVL"/>
      <sheetName val="NK SO CAI"/>
      <sheetName val="SCT TK 331"/>
      <sheetName val="So CFSXKD"/>
      <sheetName val="SCT  TK 131"/>
      <sheetName val="So TGNH 2003"/>
      <sheetName val="BK-C T"/>
      <sheetName val="tien _x0000_uong"/>
      <sheetName val="10000ူ000000"/>
      <sheetName val="gia nhaj cong"/>
      <sheetName val="B.luong V2"/>
      <sheetName val="CHITIET VL-NC"/>
      <sheetName val="DON GIA"/>
      <sheetName val="Cong tron D7'"/>
      <sheetName val="ketcaucap"/>
      <sheetName val="So.g trai"/>
      <sheetName val="_x0013_heet9"/>
      <sheetName val="De _x0014_ai Thuc Tap"/>
      <sheetName val="tuan&quot;"/>
      <sheetName val="nt5anM"/>
      <sheetName val=".ngan"/>
      <sheetName val=".loi"/>
      <sheetName val="chuong phu"/>
      <sheetName val="VtuHaTheSauTBABenThuy1 Ш2)"/>
      <sheetName val="K252 K9и"/>
      <sheetName val="Cong bal 2x2"/>
      <sheetName val="K"/>
      <sheetName val="btraR,f"/>
      <sheetName val="KQKDKT#04-1"/>
      <sheetName val="BTH"/>
      <sheetName val="luongt 13"/>
      <sheetName val="LUONG 1"/>
      <sheetName val="LUONG 2"/>
      <sheetName val="LUONG 3"/>
      <sheetName val="Luong 4"/>
      <sheetName val="CTP 4"/>
      <sheetName val="Thuno"/>
      <sheetName val="Anca 4"/>
      <sheetName val="THUONG TET"/>
      <sheetName val="thuong"/>
      <sheetName val="Thep"/>
      <sheetName val="ESTI."/>
      <sheetName val="DI-ESTI"/>
      <sheetName val="TH vat tu"/>
      <sheetName val="Quantity"/>
      <sheetName val="Cong tron D100_x000e__x0000__x0000_Cong tron D150"/>
      <sheetName val="_IBASE2.XLSѝTNHNoi"/>
      <sheetName val="Cong tron D7_"/>
      <sheetName val="Cong tron D100_x000e_"/>
      <sheetName val="CDSM (2)"/>
      <sheetName val="_IBASE2.XLS}BHXH"/>
      <sheetName val="Muo"/>
      <sheetName val="Parem"/>
      <sheetName val="Labor+Equi"/>
      <sheetName val="Material (2)"/>
      <sheetName val="Muongðe"/>
      <sheetName val="GiaVL"/>
      <sheetName val="CV dej ngoai TCT (2)"/>
      <sheetName val="CV di ngoai to.g (2)"/>
      <sheetName val="chieudayvo"/>
      <sheetName val="So lieu"/>
      <sheetName val="Input"/>
      <sheetName val="tt chu dong"/>
      <sheetName val="Tinh j+cvi"/>
      <sheetName val="Tinh MoP"/>
      <sheetName val="giaihe1"/>
      <sheetName val="Mp,Np"/>
      <sheetName val="khangluc"/>
      <sheetName val="Ms,Ns"/>
      <sheetName val="MoS"/>
      <sheetName val="giai he 2"/>
      <sheetName val="OK"/>
      <sheetName val="Dhp+dhs"/>
      <sheetName val="ktra"/>
      <sheetName val="So quy TM 2002"/>
      <sheetName val="The tinh Z"/>
      <sheetName val="So kho nguyen vat lieu"/>
      <sheetName val="BTH NVL"/>
      <sheetName val="So theo doi thue GTGT"/>
      <sheetName val="BC thanh QT hoa don nam 2003"/>
      <sheetName val="VP-MM"/>
      <sheetName val="Tong_ke"/>
      <sheetName val="NuocGN"/>
      <sheetName val="NNgung"/>
      <sheetName val="Bia-thau"/>
      <sheetName val="1.NTCT"/>
      <sheetName val="°:nh"/>
      <sheetName val="Process"/>
      <sheetName val="M+MC"/>
      <sheetName val="T6-99_x0000__x0000__x0000__x0000__x0000__x0000__x0000__x0000__x0000__x0000__x0009__x0000__x0012_[IBASE2.XLS]T"/>
      <sheetName val="BCDSPS"/>
      <sheetName val="Bang VL"/>
      <sheetName val="VL(No V-c)"/>
      <sheetName val="He so"/>
      <sheetName val="PL Vua"/>
      <sheetName val="Chitieu-dam cac loai"/>
      <sheetName val="DG Dam"/>
      <sheetName val="DG chung"/>
      <sheetName val="DGdg"/>
      <sheetName val="VL-dac chung"/>
      <sheetName val="CocKN1m"/>
      <sheetName val="Coc40x40cm"/>
      <sheetName val="CT 1md &amp; dau cong"/>
      <sheetName val="CT cong"/>
      <sheetName val="dg cong"/>
      <sheetName val="QLo4԰_x0000__x0000__x0000_"/>
      <sheetName val="Sat tron"/>
      <sheetName val="Noiluc"/>
      <sheetName val="Ctinh 10kV"/>
      <sheetName val="BCDKT"/>
      <sheetName val="HAT1"/>
      <sheetName val="HAT2"/>
      <sheetName val="HAT3"/>
      <sheetName val="HAT4"/>
      <sheetName val="HAT5"/>
      <sheetName val="SBay"/>
      <sheetName val="So quy"/>
      <sheetName val="Thang 10"/>
      <sheetName val="Thang 9"/>
      <sheetName val="Thang 8"/>
      <sheetName val="Thang 7"/>
      <sheetName val="Thang 6"/>
      <sheetName val="Thang 5"/>
      <sheetName val="Thang 4"/>
      <sheetName val="Thang 3"/>
      <sheetName val="Thang 2"/>
      <sheetName val="Thang 1"/>
      <sheetName val="Khau hao"/>
      <sheetName val="lo hang 1"/>
      <sheetName val="lo hang 2"/>
      <sheetName val="Phan bo 142"/>
      <sheetName val="Xuat hang"/>
      <sheetName val="Can doi"/>
      <sheetName val="?ԂĀC"/>
      <sheetName val="NEW_PANEL"/>
      <sheetName val="DTC_x0008_"/>
      <sheetName val="DTC0"/>
      <sheetName val="tai trong &amp; he so phan bo ngang"/>
      <sheetName val="gioi thieu"/>
      <sheetName val="VTuHaVheSautramBT2"/>
      <sheetName val="GVT"/>
      <sheetName val="CV di trůng  tong"/>
      <sheetName val="CF_DT"/>
      <sheetName val="DHKK"/>
      <sheetName val="Du toan"/>
      <sheetName val="BL2"/>
      <sheetName val="KG2"/>
      <sheetName val="BL3"/>
      <sheetName val="KG4"/>
      <sheetName val="BL4"/>
      <sheetName val="Nham"/>
      <sheetName val="Thai"/>
      <sheetName val="Linh"/>
      <sheetName val="Linh (2)"/>
      <sheetName val="KG6"/>
      <sheetName val="tien "/>
      <sheetName val="Bang can doi "/>
      <sheetName val="Tinh hinh cat lang"/>
      <sheetName val="Tinh hinh SX phu"/>
      <sheetName val="Tinh hinh do xop"/>
      <sheetName val="[IBASE2.XLS뭝êm283-Km284"/>
      <sheetName val="PNT-QUOT-#3"/>
      <sheetName val="COAT&amp;WRAP-QIOT-#3"/>
      <sheetName val="Dimu"/>
      <sheetName val="Klct"/>
      <sheetName val="Covi"/>
      <sheetName val="Nlvt"/>
      <sheetName val="Innl"/>
      <sheetName val="Invt"/>
      <sheetName val="Chon"/>
      <sheetName val="Qtnv"/>
      <sheetName val="Bqtn"/>
      <sheetName val="Bqtv"/>
      <sheetName val="Giao"/>
      <sheetName val="Dcap"/>
      <sheetName val="Nlie"/>
      <sheetName val="Mnli"/>
      <sheetName val="THXHTBA"/>
      <sheetName val="Mix-Tarpaulin"/>
      <sheetName val="Tarpaulin"/>
      <sheetName val="Price"/>
      <sheetName val="1"/>
      <sheetName val="2"/>
      <sheetName val="3"/>
      <sheetName val="5"/>
      <sheetName val="6"/>
      <sheetName val="7"/>
      <sheetName val="8"/>
      <sheetName val="9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6"/>
      <sheetName val="27"/>
      <sheetName val="28"/>
      <sheetName val="29"/>
      <sheetName val="30"/>
      <sheetName val="31"/>
      <sheetName val="Monthly"/>
      <sheetName val="For Summary"/>
      <sheetName val="For Summary(KG)"/>
      <sheetName val="PP Cloth"/>
      <sheetName val="Mix-PP Cloth"/>
      <sheetName val="Material Price-PP"/>
      <sheetName val="΄Cxdcb"/>
      <sheetName val="Bieu 2a"/>
      <sheetName val="Sat L"/>
      <sheetName val="Sum"/>
      <sheetName val="Dieuchinh"/>
      <sheetName val="細目"/>
      <sheetName val="III.10. Road"/>
      <sheetName val="PHU LUC2"/>
      <sheetName val="Hoan thanh"/>
      <sheetName val="Khoach"/>
      <sheetName val="hoan th 15"/>
      <sheetName val="Khoach 15"/>
      <sheetName val="HT 22"/>
      <sheetName val="KH 22"/>
      <sheetName val="KH29"/>
      <sheetName val="KH T8"/>
      <sheetName val="Kh48"/>
      <sheetName val="Ht 48"/>
      <sheetName val="Ht128"/>
      <sheetName val="ht12"/>
      <sheetName val="Kh 12"/>
      <sheetName val="ht 20-10"/>
      <sheetName val="kh20-10"/>
      <sheetName val="Kh 6-10"/>
      <sheetName val="06-10"/>
      <sheetName val="29-9"/>
      <sheetName val="22-9"/>
      <sheetName val="16-9"/>
      <sheetName val="8-9"/>
      <sheetName val="1-9"/>
      <sheetName val="26-8"/>
      <sheetName val="n198"/>
      <sheetName val="kh128"/>
      <sheetName val="HT29"/>
      <sheetName val="Phantich"/>
      <sheetName val="Toan_DA"/>
      <sheetName val="2004"/>
      <sheetName val="2005"/>
      <sheetName val="TH1"/>
      <sheetName val="TH2"/>
      <sheetName val="TH3"/>
      <sheetName val="TH4"/>
      <sheetName val="TH5"/>
      <sheetName val="ChiaT1"/>
      <sheetName val="ChiaT2"/>
      <sheetName val="ChiaT3"/>
      <sheetName val="ChiaT4"/>
      <sheetName val="ChiaT5"/>
      <sheetName val="MauTH"/>
      <sheetName val="KE PHI"/>
      <sheetName val="KE THUE"/>
      <sheetName val="KE CHI PHI"/>
      <sheetName val="TINH GIA THANH"/>
      <sheetName val="TONG HOP KHAU HAO"/>
      <sheetName val="TONG HOP CHI PHI"/>
      <sheetName val="DA SAN XUAT TRONG THANG"/>
      <sheetName val="THANH TOAN TIEN UNG"/>
      <sheetName val="KHAU HAO DAY CHUYEN DA"/>
      <sheetName val="q2"/>
      <sheetName val="q3"/>
      <sheetName val="bang chuan"/>
      <sheetName val="bien &lt;200 m2"/>
      <sheetName val="&lt;200"/>
      <sheetName val="bang chuan (2)"/>
      <sheetName val="thue (chinh thuc)"/>
      <sheetName val="thue"/>
      <sheetName val="thue (2)"/>
      <sheetName val="bang doi chieu"/>
      <sheetName val="Cover"/>
      <sheetName val="explain"/>
      <sheetName val="kp chi tiet"/>
      <sheetName val="Vat lieu"/>
      <sheetName val="KHOAN"/>
      <sheetName val="CAPVATU"/>
      <sheetName val="to trinh mua VT"/>
      <sheetName val="Denghi tam ung"/>
      <sheetName val="KTRVATU "/>
      <sheetName val="MAU GNHH"/>
      <sheetName val="T.toan1"/>
      <sheetName val="Bang quyet toan VT"/>
      <sheetName val="01-03"/>
      <sheetName val="Gia Ban"/>
      <sheetName val="GiaCK"/>
      <sheetName val="Gia DSRs"/>
      <sheetName val="Gia NTD"/>
      <sheetName val="GiaVon"/>
      <sheetName val="Q1-02"/>
      <sheetName val="Q2-02"/>
      <sheetName val="Q3-02"/>
      <sheetName val="KHNH T3-T10"/>
      <sheetName val="KHNH T4-T10"/>
      <sheetName val="Luong T2-06"/>
      <sheetName val="Thang3-06"/>
      <sheetName val="luong T1-06"/>
      <sheetName val="mau (2)"/>
      <sheetName val="T4-06"/>
      <sheetName val="T6-06"/>
      <sheetName val="T5-06"/>
      <sheetName val="Luong T hop T2+T1-2006"/>
      <sheetName val="luong T12"/>
      <sheetName val="THT"/>
      <sheetName val="TH#"/>
      <sheetName val="T.LBD"/>
      <sheetName val="CL BD"/>
      <sheetName val="CVBD"/>
      <sheetName val="T.L Dien"/>
      <sheetName val="T.LSan"/>
      <sheetName val="CLSan"/>
      <sheetName val="CVSan"/>
      <sheetName val="T.LWC"/>
      <sheetName val="CLWC"/>
      <sheetName val="CVWC"/>
      <sheetName val="TK 711"/>
      <sheetName val="TK 632"/>
      <sheetName val="TK627"/>
      <sheetName val="TK623"/>
      <sheetName val="TK622"/>
      <sheetName val="TK621"/>
      <sheetName val="Chi tiet 511"/>
      <sheetName val="TK 342 ( thue T.C )"/>
      <sheetName val="TK338"/>
      <sheetName val="Phat sinh 2005"/>
      <sheetName val="TK334"/>
      <sheetName val="TK 341vay dai han "/>
      <sheetName val="TK311"/>
      <sheetName val="TK 214"/>
      <sheetName val="TK 212"/>
      <sheetName val="Chi tiet 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33"/>
      <sheetName val="Chi tiet TK131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THTRAO"/>
      <sheetName val="THNHA "/>
      <sheetName val="T-HOP"/>
      <sheetName val="BiaNgoai"/>
      <sheetName val="BiaTrong"/>
      <sheetName val="dq"/>
      <sheetName val="NTRE"/>
      <sheetName val="MGIAO"/>
      <sheetName val="Tieuhoc"/>
      <sheetName val="THCoso"/>
      <sheetName val="THPT"/>
      <sheetName val="GVien"/>
      <sheetName val="Vinh"/>
      <sheetName val="Hanh"/>
      <sheetName val="Chinh"/>
      <sheetName val="Triet"/>
      <sheetName val="Hien"/>
      <sheetName val="Tong"/>
      <sheetName val="Thuchi "/>
      <sheetName val="Summary (USD)"/>
      <sheetName val="Summary (VND)"/>
      <sheetName val="A"/>
      <sheetName val="B"/>
      <sheetName val="C"/>
      <sheetName val="D"/>
      <sheetName val="E"/>
      <sheetName val="F1"/>
      <sheetName val="F2"/>
      <sheetName val="G"/>
      <sheetName val="H"/>
      <sheetName val="3rd party"/>
      <sheetName val="interco "/>
      <sheetName val="Outlets"/>
      <sheetName val="PGs"/>
      <sheetName val="bang thong ke"/>
      <sheetName val="SQ"/>
      <sheetName val="QNCN"/>
      <sheetName val="CNVQP"/>
      <sheetName val="thanh toan"/>
      <sheetName val="lt"/>
      <sheetName val="Thu NH T4-03"/>
      <sheetName val="thuBHYT"/>
      <sheetName val="THU NH T5-03"/>
      <sheetName val="THU NH T6-03"/>
      <sheetName val="THU NH T7-03"/>
      <sheetName val="THU NH T8-03"/>
      <sheetName val="THU NH T9-03"/>
      <sheetName val="THU TM T9-03"/>
      <sheetName val="THU NH T10 - 03"/>
      <sheetName val="BD"/>
      <sheetName val="Sheet2 (2)"/>
      <sheetName val="TTDN"/>
      <sheetName val="Cong ban 11yx1,2"/>
      <sheetName val="PL1"/>
      <sheetName val="PL2"/>
      <sheetName val="PL3"/>
      <sheetName val="PL4"/>
      <sheetName val="SP10"/>
      <sheetName val="IBASE2.XLS"/>
      <sheetName val="qui1-05"/>
      <sheetName val="qui 2-05"/>
      <sheetName val="qui 3-05"/>
      <sheetName val="T1-04"/>
      <sheetName val="T2-04 "/>
      <sheetName val="T3-04"/>
      <sheetName val="T4-04 "/>
      <sheetName val="T5-04  "/>
      <sheetName val="T6-04  "/>
      <sheetName val="QUY II"/>
      <sheetName val="QUY III"/>
      <sheetName val="QUY IV"/>
      <sheetName val="QUY I"/>
      <sheetName val="CA NAM 04"/>
      <sheetName val="finishes"/>
      <sheetName val="GENREQ's"/>
      <sheetName val="masonry"/>
      <sheetName val="PAD-F"/>
      <sheetName val="MSVT"/>
      <sheetName val="Abutment"/>
      <sheetName val="XXXXXX?X"/>
      <sheetName val="[IBASE2.XLS?TNHNoi"/>
      <sheetName val="T11.06"/>
      <sheetName val="FAB별"/>
      <sheetName val="B-B"/>
      <sheetName val="D送1"/>
      <sheetName val="K送nht送-hi送lam"/>
      <sheetName val="CVden_ngoai_TCT_(1)"/>
      <sheetName val="CV_den_ngoai_TCT_(2)"/>
      <sheetName val="CV_den_ngoai_TCT_(3)"/>
      <sheetName val="QDcua_TGD"/>
      <sheetName val="QD_cua_HDQT"/>
      <sheetName val="QD_cua_HDQT_(2)"/>
      <sheetName val="CV_di_ngoai_tong"/>
      <sheetName val="CV_di_ngoai_tong_(2)"/>
      <sheetName val="To_trinh"/>
      <sheetName val="Giao_nhiem_vu"/>
      <sheetName val="QDcua_TGD_(2)"/>
      <sheetName val="Thong_tu"/>
      <sheetName val="CV_di_trong__tong"/>
      <sheetName val="nghi_dinh-CP"/>
      <sheetName val="CV_den_trong_tong"/>
      <sheetName val="KHVt_"/>
      <sheetName val="KHVt_XL"/>
      <sheetName val="KHVt_XLT4"/>
      <sheetName val="142201-T1_"/>
      <sheetName val="142201-T2-th_"/>
      <sheetName val="142201-T3-th_"/>
      <sheetName val="142201-T4-th__"/>
      <sheetName val="Thep_be"/>
      <sheetName val="Thep_than"/>
      <sheetName val="Thep_xa_mu"/>
      <sheetName val="lapdat_TB_"/>
      <sheetName val="TNghiªm_TB_"/>
      <sheetName val="VËt_liÖu"/>
      <sheetName val="Lap_®at_®iÖn"/>
      <sheetName val="TNghiÖm_VL"/>
      <sheetName val="th_"/>
      <sheetName val="tien_luong"/>
      <sheetName val="Kluong_phu"/>
      <sheetName val="Lan_can"/>
      <sheetName val="Ho_lan"/>
      <sheetName val="Coc_tieu"/>
      <sheetName val="Bien_bao"/>
      <sheetName val="Op_mai_274"/>
      <sheetName val="Op_mai_275"/>
      <sheetName val="Op_mai_276"/>
      <sheetName val="Op_mai_277"/>
      <sheetName val="Op_mai_278"/>
      <sheetName val="Op_mai_279"/>
      <sheetName val="Op_mai_280"/>
      <sheetName val="Op_mai_281"/>
      <sheetName val="Op_mai_282"/>
      <sheetName val="Op_mai_283"/>
      <sheetName val="Op_mai_284"/>
      <sheetName val="Op_mai"/>
      <sheetName val="Km274_-_Km275"/>
      <sheetName val="Km275_-_Km276"/>
      <sheetName val="Km276_-_Km277"/>
      <sheetName val="Km277_-_Km278_"/>
      <sheetName val="Km278_-_Km279"/>
      <sheetName val="Km279_-_Km280"/>
      <sheetName val="Km280_-_Km281"/>
      <sheetName val="Km281_-_Km282"/>
      <sheetName val="Km282_-_Km283"/>
      <sheetName val="Km283_-_Km284"/>
      <sheetName val="Km284_-_Km285"/>
      <sheetName val="Tong_hop_Matduong"/>
      <sheetName val="Cong_D75"/>
      <sheetName val="Cong_D100"/>
      <sheetName val="Cong_D150"/>
      <sheetName val="Cong_2D150"/>
      <sheetName val="Cong_ban_0,7x0,7"/>
      <sheetName val="Cong_ban_0,8x0,8"/>
      <sheetName val="Cong_ban_1x1"/>
      <sheetName val="Cong_ban_1x1,2"/>
      <sheetName val="Cong_ban_1,5x1,5"/>
      <sheetName val="Cong_ban_2x1,5"/>
      <sheetName val="Cong_ban_2x2"/>
      <sheetName val="Tong_hop"/>
      <sheetName val="Tong_hop_(2)"/>
      <sheetName val="Cong_cu"/>
      <sheetName val="Cot_thep"/>
      <sheetName val="Cong_tron_D75"/>
      <sheetName val="Cong_tron_D100"/>
      <sheetName val="Cong_tron_D150"/>
      <sheetName val="Cong_tron_2D150"/>
      <sheetName val="Cong_ban_1,0x1,0"/>
      <sheetName val="Cong_ban_1,0x1,2"/>
      <sheetName val="Cong_hop_1,5x1,5"/>
      <sheetName val="Cong_hop_2,0x1,5"/>
      <sheetName val="Cong_hop_2,0x2,0"/>
      <sheetName val="Song_trai"/>
      <sheetName val="Dinh+ha_nha"/>
      <sheetName val="NG_k"/>
      <sheetName val="_t5"/>
      <sheetName val="t_4"/>
      <sheetName val="_t3_"/>
      <sheetName val="_TH331"/>
      <sheetName val="_Minh_ha"/>
      <sheetName val="_Ha_Tay"/>
      <sheetName val="_Vinhphuc"/>
      <sheetName val="_Nbinh"/>
      <sheetName val="_QVinh"/>
      <sheetName val="_TW1"/>
      <sheetName val="VtuHaTheSauTBABenThuy1_(2)"/>
      <sheetName val="T_so_thay_doi"/>
      <sheetName val="b_THchitietDZCT"/>
      <sheetName val="b_THchitietTBA"/>
      <sheetName val="Khao_sat"/>
      <sheetName val="TT_khao_sat"/>
      <sheetName val="thkl_(2)"/>
      <sheetName val="long_tec"/>
      <sheetName val="TK_112"/>
      <sheetName val="TK_131"/>
      <sheetName val="TK_141"/>
      <sheetName val="TK_153"/>
      <sheetName val="TK_211"/>
      <sheetName val="TK_242"/>
      <sheetName val="TK_334"/>
      <sheetName val="TK_511"/>
      <sheetName val="TK_515"/>
      <sheetName val="TK_911"/>
      <sheetName val="CDSL_(2)"/>
      <sheetName val="KQKD02-2_(2)"/>
      <sheetName val="KQKD-2_(2)"/>
      <sheetName val="KQKD_thu2004"/>
      <sheetName val="F_ThanhTri"/>
      <sheetName val="F_Gialam"/>
      <sheetName val="TH_dam"/>
      <sheetName val="SX_dam"/>
      <sheetName val="LD_dam"/>
      <sheetName val="Bang_gia_VL"/>
      <sheetName val="Gia_NC"/>
      <sheetName val="Gia_may"/>
      <sheetName val="phan_tich_DG"/>
      <sheetName val="gia_vat_lieu"/>
      <sheetName val="gia_xe_may"/>
      <sheetName val="gia_nhan_cong"/>
      <sheetName val="Trich_Ngang"/>
      <sheetName val="Danh_sach_Rieng"/>
      <sheetName val="Dia_Diem_Thuc_Tap"/>
      <sheetName val="De_Tai_Thuc_Tap"/>
      <sheetName val="K249_K98"/>
      <sheetName val="K249_K98_(2)"/>
      <sheetName val="K251_K98"/>
      <sheetName val="K251_SBase"/>
      <sheetName val="K251_AC"/>
      <sheetName val="K252_K98"/>
      <sheetName val="K252_SBase"/>
      <sheetName val="K252_AC"/>
      <sheetName val="K253_K98"/>
      <sheetName val="K253_Subbase"/>
      <sheetName val="K253_Base_"/>
      <sheetName val="K253_SBase"/>
      <sheetName val="K253_AC"/>
      <sheetName val="K255_SBase"/>
      <sheetName val="K259_K98"/>
      <sheetName val="K259_Subbase"/>
      <sheetName val="K259_Base_"/>
      <sheetName val="K259_AC"/>
      <sheetName val="K260_K98"/>
      <sheetName val="K260_Subbase"/>
      <sheetName val="K260_Base"/>
      <sheetName val="K260_AC"/>
      <sheetName val="K261_K98"/>
      <sheetName val="K261_Base"/>
      <sheetName val="K261_AC"/>
      <sheetName val="SCT_Cong_trinh"/>
      <sheetName val="06-2003_(2)"/>
      <sheetName val="CDPS_6tc"/>
      <sheetName val="SCT_Nha_thau"/>
      <sheetName val="socai2003_(6tc)dp"/>
      <sheetName val="socai2003_(6tc)"/>
      <sheetName val="CDPS_6tc_(2)"/>
      <sheetName val="Dancau-Q_Ninh"/>
      <sheetName val="BaTrieu-L_son"/>
      <sheetName val="Tay_ninh"/>
      <sheetName val="A_Duc"/>
      <sheetName val="giai_thich"/>
      <sheetName val="DT_-_Ro"/>
      <sheetName val="TH_-_Ro_"/>
      <sheetName val="GDT_-_Ro"/>
      <sheetName val="DT_-_TB"/>
      <sheetName val="TH_-_TB"/>
      <sheetName val="GDT_-_TB"/>
      <sheetName val="DT_-_NT"/>
      <sheetName val="TH_-_NT"/>
      <sheetName val="GDT_-_NT"/>
      <sheetName val="Don_gia_CPM"/>
      <sheetName val="Tong_Thieu_HD_cac_CT-2001"/>
      <sheetName val="VL_thieu_HD_-_2001"/>
      <sheetName val="Tong_thieu_HD_cac_CT_-_2002"/>
      <sheetName val="Lan_trai"/>
      <sheetName val="Van_chuyen"/>
      <sheetName val="HDong_VC"/>
      <sheetName val="ThieuHD_nam_2001"/>
      <sheetName val="Bang_TH"/>
      <sheetName val="Tong_Chinh"/>
      <sheetName val="TH_du_toan_"/>
      <sheetName val="Du_toan_"/>
      <sheetName val="C_Tinh"/>
      <sheetName val="HHVt_"/>
      <sheetName val="ql_(2)"/>
      <sheetName val="Xaylap_"/>
      <sheetName val="Nhan_cong"/>
      <sheetName val="Co_quan_TCT"/>
      <sheetName val="BOT_(PA_chon)"/>
      <sheetName val="Yaly_&amp;_Ri_Ninh"/>
      <sheetName val="Thuy_dien_Na_Loi"/>
      <sheetName val="bang_so_sanh_tong_hop"/>
      <sheetName val="bang_so_sanh_tong_hop_(ty_le)"/>
      <sheetName val="thu_nhap_binh_quan_(2)"/>
      <sheetName val="dang_huong"/>
      <sheetName val="phuong_an_1"/>
      <sheetName val="phuong_an_1_(2)"/>
      <sheetName val="phuong_an2"/>
      <sheetName val="tong_hop_BQ"/>
      <sheetName val="tong_hop_BQ-1"/>
      <sheetName val="phuong_an_chon"/>
      <sheetName val="bang_so_sanh_tong_hop_(_PA_chon"/>
      <sheetName val="dang_ap_dung"/>
      <sheetName val="bang_tong_hop_(dang_huong)"/>
      <sheetName val="So_sanh"/>
      <sheetName val="DOANH_SO"/>
      <sheetName val="BD-SINH_VIEN"/>
      <sheetName val="T03_-_03"/>
      <sheetName val="THL_T03"/>
      <sheetName val="TTBC_T03"/>
      <sheetName val="Luong_noi_Bo_-_T3"/>
      <sheetName val="Tong_hop_-_T3"/>
      <sheetName val="Thuong_Quy_3"/>
      <sheetName val="Phu_cap_trach_nhiem"/>
      <sheetName val="Heso_3-2004_(3)"/>
      <sheetName val="Luong_(2)"/>
      <sheetName val="heso_T3"/>
      <sheetName val="heso_T4"/>
      <sheetName val="heso_T5"/>
      <sheetName val="Heso_T6"/>
      <sheetName val="Heso_T7"/>
      <sheetName val="Heso_T8"/>
      <sheetName val="Heso_T9"/>
      <sheetName val="Heso_2-2004"/>
      <sheetName val="Heso_3-2004"/>
      <sheetName val="Heso_3-2004_(2)"/>
      <sheetName val="[IBASE2_XLSѝTNHNoi"/>
      <sheetName val="Co~g_hop_1,5x1,5"/>
      <sheetName val="CV_di_trong__dong"/>
      <sheetName val="GIA_NUOC"/>
      <sheetName val="GIA_DIEN_THOAI"/>
      <sheetName val="GIA_DIEN"/>
      <sheetName val="chiet_tinh_XD"/>
      <sheetName val="Triet_T"/>
      <sheetName val="Phan_tich_gia"/>
      <sheetName val="pHAN_CONG"/>
      <sheetName val="GIA_XD"/>
      <sheetName val="THT_nam_04"/>
      <sheetName val="CT_03"/>
      <sheetName val="TH_03"/>
      <sheetName val="BC_TH_CK_(2)"/>
      <sheetName val="BC_TH_CK"/>
      <sheetName val="BC6tT19_food"/>
      <sheetName val="BC6tT18_-_Food"/>
      <sheetName val="BCCK_4"/>
      <sheetName val="BCFood-_T16"/>
      <sheetName val="BCFood-_T15"/>
      <sheetName val="BCFood-_T14"/>
      <sheetName val="BCFood-_T13"/>
      <sheetName val="TH_CK2"/>
      <sheetName val="BC6tT52_(3)"/>
      <sheetName val="BC6tT52_(2)"/>
      <sheetName val="TCK_12"/>
      <sheetName val="Tong_CK"/>
      <sheetName val="T_K_H_T_T5"/>
      <sheetName val="T_K_T7"/>
      <sheetName val="TK_T6"/>
      <sheetName val="T_K_T5"/>
      <sheetName val="Bang_thong_ke_hang_ton"/>
      <sheetName val="thong_ke_"/>
      <sheetName val="T_KT04"/>
      <sheetName val="Tien_dien"/>
      <sheetName val="Thue_GTGT"/>
      <sheetName val="_KQTH_quy_hoach_135"/>
      <sheetName val="Bao_cao_KQTH_quy_hoach_135"/>
      <sheetName val="nhan_su"/>
      <sheetName val="luong_cty"/>
      <sheetName val="Coc_6"/>
      <sheetName val="Deo_nai"/>
      <sheetName val="CKD_than"/>
      <sheetName val="CTT_Thong_nhat"/>
      <sheetName val="CTT_Nui_beo"/>
      <sheetName val="CTT_cao_son"/>
      <sheetName val="CTT_Khe_cham"/>
      <sheetName val="XNxlva_sxthanKCII"/>
      <sheetName val="Cam_Y_ut_KC"/>
      <sheetName val="CTxay_lap_mo_CP"/>
      <sheetName val="THU_T12"/>
      <sheetName val="BC6tT52 ("/>
      <sheetName val="DM-AGC"/>
      <sheetName val="F6"/>
      <sheetName val="DM-BXD"/>
      <sheetName val="6F-W3"/>
      <sheetName val="Tuan"/>
      <sheetName val="Phiếu luân chuyển"/>
      <sheetName val="IPC 0      2"/>
      <sheetName val="ngày"/>
      <sheetName val="IPC"/>
      <sheetName val="GIA TRI-AGC"/>
      <sheetName val="THKL NC"/>
      <sheetName val="GTKT NTTD"/>
      <sheetName val="XNKL"/>
      <sheetName val="SS NHÂN CÔNG"/>
      <sheetName val="KL NC"/>
      <sheetName val="GTKT"/>
      <sheetName val="KLKT"/>
      <sheetName val="THPLCN"/>
      <sheetName val="Rate"/>
      <sheetName val="INDEX"/>
      <sheetName val="Tiến độ  Rev1 (phói hợp)"/>
      <sheetName val="XXXXXX_x005f_x005f_x005f_xda24_X"/>
      <sheetName val="FitOutConfCentre"/>
      <sheetName val="HÈp"/>
      <sheetName val="HÆX"/>
      <sheetName val="H§µ"/>
      <sheetName val="H_x0005_"/>
      <sheetName val="BC-BANHALG"/>
      <sheetName val="CONG TY"/>
      <sheetName val="GTHAU"/>
      <sheetName val="Hhp"/>
      <sheetName val="H@W"/>
      <sheetName val="OFFICE TOWER"/>
      <sheetName val="KL HSMT tinh thieu"/>
      <sheetName val="TNHCHINH"/>
      <sheetName val="Bang tra"/>
      <sheetName val="6MONTHS"/>
      <sheetName val="DINHMUC"/>
      <sheetName val="VtuHaTheSauTBANg⤤yenDu6"/>
      <sheetName val="_x0003_"/>
      <sheetName val="櫘"/>
      <sheetName val="Bal Sheet"/>
      <sheetName val="CAL."/>
      <sheetName val="TYPE-B 평균H"/>
      <sheetName val="BM"/>
      <sheetName val="ELEMENT SUM"/>
      <sheetName val="TOSHIBA-Structure"/>
      <sheetName val="tô_rôiDY"/>
      <sheetName val="bcth_05-04"/>
      <sheetName val="baocao_05-04"/>
      <sheetName val="HD_CTrinh1"/>
      <sheetName val="HD_benA"/>
      <sheetName val="Theodoi_HD"/>
      <sheetName val="Theodoi_HD_(2)"/>
      <sheetName val="_GT_CPhi_tung_dot"/>
      <sheetName val="pile and pile cap"/>
      <sheetName val="XXXXXX_x005f_x005f_x005f_x005f_x005f_x005f_x005f_xda24_"/>
      <sheetName val="CVden_ngoai_TCT_(1)1"/>
      <sheetName val="CV_den_ngoai_TCT_(2)1"/>
      <sheetName val="CV_den_ngoai_TCT_(3)1"/>
      <sheetName val="QDcua_TGD1"/>
      <sheetName val="QD_cua_HDQT1"/>
      <sheetName val="QD_cua_HDQT_(2)1"/>
      <sheetName val="CV_di_ngoai_tong1"/>
      <sheetName val="CV_di_ngoai_tong_(2)1"/>
      <sheetName val="To_trinh1"/>
      <sheetName val="Giao_nhiem_vu1"/>
      <sheetName val="QDcua_TGD_(2)1"/>
      <sheetName val="Thong_tu1"/>
      <sheetName val="CV_di_trong__tong1"/>
      <sheetName val="nghi_dinh-CP1"/>
      <sheetName val="CV_den_trong_tong1"/>
      <sheetName val="KHVt_1"/>
      <sheetName val="KHVt_XL1"/>
      <sheetName val="KHVt_XLT41"/>
      <sheetName val="142201-T1_1"/>
      <sheetName val="142201-T2-th_1"/>
      <sheetName val="142201-T3-th_1"/>
      <sheetName val="142201-T4-th__1"/>
      <sheetName val="Thep_be1"/>
      <sheetName val="Thep_than1"/>
      <sheetName val="Thep_xa_mu1"/>
      <sheetName val="lapdat_TB_1"/>
      <sheetName val="TNghiªm_TB_1"/>
      <sheetName val="VËt_liÖu1"/>
      <sheetName val="Lap_®at_®iÖn1"/>
      <sheetName val="TNghiÖm_VL1"/>
      <sheetName val="th_1"/>
      <sheetName val="tien_luong1"/>
      <sheetName val="_t51"/>
      <sheetName val="t_41"/>
      <sheetName val="_t3_1"/>
      <sheetName val="_TH3311"/>
      <sheetName val="_Minh_ha1"/>
      <sheetName val="_Ha_Tay1"/>
      <sheetName val="_Vinhphuc1"/>
      <sheetName val="_Nbinh1"/>
      <sheetName val="_QVinh1"/>
      <sheetName val="_TW11"/>
      <sheetName val="TK_1121"/>
      <sheetName val="TK_1311"/>
      <sheetName val="TK_1411"/>
      <sheetName val="TK_1531"/>
      <sheetName val="TK_2111"/>
      <sheetName val="TK_2421"/>
      <sheetName val="TK_3341"/>
      <sheetName val="TK_5111"/>
      <sheetName val="TK_5151"/>
      <sheetName val="TK_9111"/>
      <sheetName val="Kluong_phu1"/>
      <sheetName val="Lan_can1"/>
      <sheetName val="Ho_lan1"/>
      <sheetName val="Coc_tieu1"/>
      <sheetName val="Bien_bao1"/>
      <sheetName val="Op_mai_2741"/>
      <sheetName val="Op_mai_2751"/>
      <sheetName val="Op_mai_2761"/>
      <sheetName val="Op_mai_2771"/>
      <sheetName val="Op_mai_2781"/>
      <sheetName val="Op_mai_2791"/>
      <sheetName val="Op_mai_2801"/>
      <sheetName val="Op_mai_2811"/>
      <sheetName val="Op_mai_2821"/>
      <sheetName val="Op_mai_2831"/>
      <sheetName val="Op_mai_2841"/>
      <sheetName val="Op_mai1"/>
      <sheetName val="CDSL_(2)1"/>
      <sheetName val="KQKD02-2_(2)1"/>
      <sheetName val="KQKD-2_(2)1"/>
      <sheetName val="KQKD_thu20041"/>
      <sheetName val="Song_trai1"/>
      <sheetName val="Dinh+ha_nha1"/>
      <sheetName val="NG_k1"/>
      <sheetName val="VtuHaTheSauTBABenThuy1_(2)1"/>
      <sheetName val="T_so_thay_doi1"/>
      <sheetName val="b_THchitietDZCT1"/>
      <sheetName val="b_THchitietTBA1"/>
      <sheetName val="Khao_sat1"/>
      <sheetName val="TT_khao_sat1"/>
      <sheetName val="thkl_(2)1"/>
      <sheetName val="long_tec1"/>
      <sheetName val="Km274_-_Km2751"/>
      <sheetName val="Km275_-_Km2761"/>
      <sheetName val="Km276_-_Km2771"/>
      <sheetName val="Km277_-_Km278_1"/>
      <sheetName val="Km278_-_Km2791"/>
      <sheetName val="Km279_-_Km2801"/>
      <sheetName val="Km280_-_Km2811"/>
      <sheetName val="Km281_-_Km2821"/>
      <sheetName val="Km282_-_Km2831"/>
      <sheetName val="Km283_-_Km2841"/>
      <sheetName val="Km284_-_Km2851"/>
      <sheetName val="Tong_hop_Matduong1"/>
      <sheetName val="Cong_D751"/>
      <sheetName val="Cong_D1001"/>
      <sheetName val="Cong_D1501"/>
      <sheetName val="Cong_2D1501"/>
      <sheetName val="Cong_ban_0,7x0,71"/>
      <sheetName val="Cong_ban_0,8x0,81"/>
      <sheetName val="Cong_ban_1x11"/>
      <sheetName val="Cong_ban_1x1,21"/>
      <sheetName val="Cong_ban_1,5x1,51"/>
      <sheetName val="Cong_ban_2x1,51"/>
      <sheetName val="Cong_ban_2x21"/>
      <sheetName val="Tong_hop1"/>
      <sheetName val="Tong_hop_(2)1"/>
      <sheetName val="Cong_cu1"/>
      <sheetName val="Cot_thep1"/>
      <sheetName val="Cong_tron_D751"/>
      <sheetName val="Cong_tron_D1001"/>
      <sheetName val="Cong_tron_D1501"/>
      <sheetName val="Cong_tron_2D1501"/>
      <sheetName val="Cong_ban_1,0x1,01"/>
      <sheetName val="Cong_ban_1,0x1,21"/>
      <sheetName val="Cong_hop_1,5x1,51"/>
      <sheetName val="Cong_hop_2,0x1,51"/>
      <sheetName val="Cong_hop_2,0x2,01"/>
      <sheetName val="F_ThanhTri1"/>
      <sheetName val="F_Gialam1"/>
      <sheetName val="TH_dam1"/>
      <sheetName val="SX_dam1"/>
      <sheetName val="LD_dam1"/>
      <sheetName val="Bang_gia_VL1"/>
      <sheetName val="Gia_NC1"/>
      <sheetName val="Gia_may1"/>
      <sheetName val="phan_tich_DG1"/>
      <sheetName val="gia_vat_lieu1"/>
      <sheetName val="gia_xe_may1"/>
      <sheetName val="gia_nhan_cong1"/>
      <sheetName val="Trich_Ngang1"/>
      <sheetName val="Danh_sach_Rieng1"/>
      <sheetName val="Dia_Diem_Thuc_Tap1"/>
      <sheetName val="De_Tai_Thuc_Tap1"/>
      <sheetName val="SCT_Cong_trinh1"/>
      <sheetName val="06-2003_(2)1"/>
      <sheetName val="CDPS_6tc1"/>
      <sheetName val="SCT_Nha_thau1"/>
      <sheetName val="socai2003_(6tc)dp1"/>
      <sheetName val="socai2003_(6tc)1"/>
      <sheetName val="CDPS_6tc_(2)1"/>
      <sheetName val="Dancau-Q_Ninh1"/>
      <sheetName val="BaTrieu-L_son1"/>
      <sheetName val="K249_K981"/>
      <sheetName val="K249_K98_(2)1"/>
      <sheetName val="K251_K981"/>
      <sheetName val="K251_SBase1"/>
      <sheetName val="K251_AC1"/>
      <sheetName val="K252_K981"/>
      <sheetName val="K252_SBase1"/>
      <sheetName val="K252_AC1"/>
      <sheetName val="K253_K981"/>
      <sheetName val="K253_Subbase1"/>
      <sheetName val="K253_Base_1"/>
      <sheetName val="K253_SBase1"/>
      <sheetName val="K253_AC1"/>
      <sheetName val="K255_SBase1"/>
      <sheetName val="K259_K981"/>
      <sheetName val="K259_Subbase1"/>
      <sheetName val="K259_Base_1"/>
      <sheetName val="K259_AC1"/>
      <sheetName val="K260_K981"/>
      <sheetName val="K260_Subbase1"/>
      <sheetName val="K260_Base1"/>
      <sheetName val="K260_AC1"/>
      <sheetName val="K261_K981"/>
      <sheetName val="K261_Base1"/>
      <sheetName val="K261_AC1"/>
      <sheetName val="TH_du_toan_1"/>
      <sheetName val="Du_toan_1"/>
      <sheetName val="C_Tinh1"/>
      <sheetName val="giai_thich1"/>
      <sheetName val="DT_-_Ro1"/>
      <sheetName val="TH_-_Ro_1"/>
      <sheetName val="GDT_-_Ro1"/>
      <sheetName val="DT_-_TB1"/>
      <sheetName val="TH_-_TB1"/>
      <sheetName val="GDT_-_TB1"/>
      <sheetName val="DT_-_NT1"/>
      <sheetName val="TH_-_NT1"/>
      <sheetName val="GDT_-_NT1"/>
      <sheetName val="Tay_ninh1"/>
      <sheetName val="A_Duc1"/>
      <sheetName val="DOANH_SO1"/>
      <sheetName val="BD-SINH_VIEN1"/>
      <sheetName val="Nhap_lieu1"/>
      <sheetName val="Tien_dien1"/>
      <sheetName val="Thue_GTGT1"/>
      <sheetName val="GIA_NUOC1"/>
      <sheetName val="GIA_DIEN_THOAI1"/>
      <sheetName val="GIA_DIEN1"/>
      <sheetName val="chiet_tinh_XD1"/>
      <sheetName val="Triet_T1"/>
      <sheetName val="Phan_tich_gia1"/>
      <sheetName val="pHAN_CONG1"/>
      <sheetName val="GIA_XD1"/>
      <sheetName val="HHVt_1"/>
      <sheetName val="T03_-_031"/>
      <sheetName val="THL_T031"/>
      <sheetName val="TTBC_T031"/>
      <sheetName val="Luong_noi_Bo_-_T31"/>
      <sheetName val="Tong_hop_-_T31"/>
      <sheetName val="Thuong_Quy_31"/>
      <sheetName val="Phu_cap_trach_nhiem1"/>
      <sheetName val="CV_di_trong__dong1"/>
      <sheetName val="Don_gia_CPM1"/>
      <sheetName val="Tong_Thieu_HD_cac_CT-20011"/>
      <sheetName val="VL_thieu_HD_-_20011"/>
      <sheetName val="Tong_thieu_HD_cac_CT_-_20021"/>
      <sheetName val="Lan_trai1"/>
      <sheetName val="Van_chuyen1"/>
      <sheetName val="HDong_VC1"/>
      <sheetName val="ThieuHD_nam_20011"/>
      <sheetName val="Bang_TH1"/>
      <sheetName val="Tong_Chinh1"/>
      <sheetName val="BC_TH_CK_(2)1"/>
      <sheetName val="BC_TH_CK1"/>
      <sheetName val="BC6tT19_food1"/>
      <sheetName val="BC6tT18_-_Food1"/>
      <sheetName val="BCCK_41"/>
      <sheetName val="BCFood-_T161"/>
      <sheetName val="BCFood-_T151"/>
      <sheetName val="BCFood-_T141"/>
      <sheetName val="BCFood-_T131"/>
      <sheetName val="TH_CK21"/>
      <sheetName val="BC6tT52_(3)1"/>
      <sheetName val="BC6tT52_(2)1"/>
      <sheetName val="TCK_121"/>
      <sheetName val="Tong_CK1"/>
      <sheetName val="[IBASE2_XLSѝTNHNoi1"/>
      <sheetName val="So_sanh1"/>
      <sheetName val="Heso_3-2004_(3)1"/>
      <sheetName val="Luong_(2)1"/>
      <sheetName val="heso_T31"/>
      <sheetName val="heso_T41"/>
      <sheetName val="heso_T51"/>
      <sheetName val="Heso_T61"/>
      <sheetName val="Heso_T71"/>
      <sheetName val="Heso_T81"/>
      <sheetName val="Heso_T91"/>
      <sheetName val="Heso_2-20041"/>
      <sheetName val="Heso_3-20041"/>
      <sheetName val="Heso_3-2004_(2)1"/>
      <sheetName val="Co~g_hop_1,5x1,51"/>
      <sheetName val="_KQTH_quy_hoach_1351"/>
      <sheetName val="Bao_cao_KQTH_quy_hoach_1351"/>
      <sheetName val="T_K_H_T_T51"/>
      <sheetName val="T_K_T71"/>
      <sheetName val="TK_T61"/>
      <sheetName val="T_K_T51"/>
      <sheetName val="Bang_thong_ke_hang_ton1"/>
      <sheetName val="thong_ke_1"/>
      <sheetName val="T_KT041"/>
      <sheetName val="Xaylap_1"/>
      <sheetName val="Nhan_cong1"/>
      <sheetName val="Co_quan_TCT1"/>
      <sheetName val="BOT_(PA_chon)1"/>
      <sheetName val="Yaly_&amp;_Ri_Ninh1"/>
      <sheetName val="Thuy_dien_Na_Loi1"/>
      <sheetName val="bang_so_sanh_tong_hop1"/>
      <sheetName val="bang_so_sanh_tong_hop_(ty_le)1"/>
      <sheetName val="thu_nhap_binh_quan_(2)1"/>
      <sheetName val="dang_huong1"/>
      <sheetName val="phuong_an_11"/>
      <sheetName val="phuong_an_1_(2)1"/>
      <sheetName val="phuong_an21"/>
      <sheetName val="tong_hop_BQ1"/>
      <sheetName val="tong_hop_BQ-11"/>
      <sheetName val="phuong_an_chon1"/>
      <sheetName val="bang_so_sanh_tong_hop_(_PA_cho1"/>
      <sheetName val="dang_ap_dung1"/>
      <sheetName val="bang_tong_hop_(dang_huong)1"/>
      <sheetName val="CT_031"/>
      <sheetName val="TH_031"/>
      <sheetName val="ql_(2)1"/>
      <sheetName val="bcth_05-041"/>
      <sheetName val="baocao_05-041"/>
      <sheetName val="THT_nam_041"/>
      <sheetName val="Coc_61"/>
      <sheetName val="Deo_nai1"/>
      <sheetName val="CKD_than1"/>
      <sheetName val="nhan_su1"/>
      <sheetName val="luong_cty1"/>
      <sheetName val="CTT_Thong_nhat1"/>
      <sheetName val="CTT_Nui_beo1"/>
      <sheetName val="CTT_cao_son1"/>
      <sheetName val="CTT_Khe_cham1"/>
      <sheetName val="XNxlva_sxthanKCII1"/>
      <sheetName val="Cam_Y_ut_KC1"/>
      <sheetName val="CTxay_lap_mo_CP1"/>
      <sheetName val="CTdo_luong_GDSP"/>
      <sheetName val="Dong_bac"/>
      <sheetName val="Cac_cang_UT_mua_than_Dong_bac"/>
      <sheetName val="cua_hang_vtu"/>
      <sheetName val="Khach_hang_le_"/>
      <sheetName val="nhat_ky_5"/>
      <sheetName val="cac_cong_ty_van_tai"/>
      <sheetName val="BC§_2001"/>
      <sheetName val="BBC§_2002"/>
      <sheetName val="TSC§_2001"/>
      <sheetName val="TSc®_2002"/>
      <sheetName val="tô_rôiDY1"/>
      <sheetName val="Km282-Km3"/>
      <sheetName val="02_1"/>
      <sheetName val="2_1"/>
      <sheetName val="2_3"/>
      <sheetName val="02_3"/>
      <sheetName val="B_01"/>
      <sheetName val="B_03"/>
      <sheetName val="D_13"/>
      <sheetName val="THU_T121"/>
      <sheetName val="CHI_T12"/>
      <sheetName val="THU_T11"/>
      <sheetName val="CHI_T11"/>
      <sheetName val="THU_T10"/>
      <sheetName val="CHI_T10"/>
      <sheetName val="THU_T9"/>
      <sheetName val="CHI_T9"/>
      <sheetName val="THU_T8"/>
      <sheetName val="CHI_T8"/>
      <sheetName val="THU_T7"/>
      <sheetName val="CHI_T7"/>
      <sheetName val="THU_T6"/>
      <sheetName val="CHI_T6"/>
      <sheetName val="THU_T5"/>
      <sheetName val="CHI_T5"/>
      <sheetName val="THU_T4"/>
      <sheetName val="CHI_T4"/>
      <sheetName val="THU_T3"/>
      <sheetName val="CHI_T3"/>
      <sheetName val="Dinh_ha_nha"/>
      <sheetName val="[IBASE2_XLS}BHXH"/>
      <sheetName val="Luu_goc"/>
      <sheetName val="km22+93_86-km22+121_86"/>
      <sheetName val="km22+177_14-km22+205_64"/>
      <sheetName val="Bang_20-25"/>
      <sheetName val="km22+267_96-km22+283_96"/>
      <sheetName val="km22+304_31-km22+344_31"/>
      <sheetName val="km22+460_92-km22+614_57"/>
      <sheetName val="km22+671_78-km22+713_32"/>
      <sheetName val="TK__TK"/>
      <sheetName val="KHVô_XL"/>
      <sheetName val="lapdap_TB_"/>
      <sheetName val="BaTrieu-L_con"/>
      <sheetName val="EDT_-_Ro"/>
      <sheetName val="[IBASE2_XLS_Tong_hop_Matduong"/>
      <sheetName val="[IBASE2_XLS䁝BC6tT17"/>
      <sheetName val="_tuanM"/>
      <sheetName val="[IBASE2_XLS뭝êm283-Km284"/>
      <sheetName val="HD_CTrinh11"/>
      <sheetName val="HD_benA1"/>
      <sheetName val="Theodoi_HD1"/>
      <sheetName val="Theodoi_HD_(2)1"/>
      <sheetName val="May_khau"/>
      <sheetName val="PXKT6Via_11"/>
      <sheetName val="PXKTLo_Thien_V_14A"/>
      <sheetName val="V14_phu"/>
      <sheetName val="Via_16_Lthien"/>
      <sheetName val="CV_dej_ngoai_TCT_(2)"/>
      <sheetName val="CV_di_ngoai_to_g_(2)"/>
      <sheetName val="So_g_trai"/>
      <sheetName val="heet9"/>
      <sheetName val="De_ai_Thuc_Tap"/>
      <sheetName val="_ngan"/>
      <sheetName val="_loi"/>
      <sheetName val="GDMN_1"/>
      <sheetName val="VtuHaTheSauTBABenThuy1_Ш2)"/>
      <sheetName val="K252_K9и"/>
      <sheetName val="Cong_tron_D7'"/>
      <sheetName val="GDMN_2"/>
      <sheetName val="GDMN_3"/>
      <sheetName val="GDMN_4"/>
      <sheetName val="GDMN_5"/>
      <sheetName val="GDTH_1"/>
      <sheetName val="GDTH_2"/>
      <sheetName val="GDTH_3"/>
      <sheetName val="GDTH_4"/>
      <sheetName val="GDTH_5"/>
      <sheetName val="THCS_1"/>
      <sheetName val="THCS_2"/>
      <sheetName val="THCS_3"/>
      <sheetName val="THCS_4"/>
      <sheetName val="THCS_5"/>
      <sheetName val="THCS_6"/>
      <sheetName val="THPT_1"/>
      <sheetName val="THPT_2"/>
      <sheetName val="THPT_3"/>
      <sheetName val="THPT_4"/>
      <sheetName val="THPT_5"/>
      <sheetName val="THPT_6"/>
      <sheetName val="DH,CD,THCN_1"/>
      <sheetName val="DH,CD,THCN_2"/>
      <sheetName val="DH,CD,THCN_3"/>
      <sheetName val="GDKCQ_1"/>
      <sheetName val="GDKCQ_2"/>
      <sheetName val="Material_(2)"/>
      <sheetName val="Tonf_hop"/>
      <sheetName val="Bieu_2a"/>
      <sheetName val="Sat_tron"/>
      <sheetName val="luongt_13"/>
      <sheetName val="LUONG_1"/>
      <sheetName val="LUONG_2"/>
      <sheetName val="LUONG_3"/>
      <sheetName val="Luong_4"/>
      <sheetName val="CTP_4"/>
      <sheetName val="Anca_4"/>
      <sheetName val="THUONG_TET"/>
      <sheetName val="Cong_hop_2,0ࡸ2,0"/>
      <sheetName val="Cong_tron_D100Cong_tron_D150"/>
      <sheetName val="Tuan_1_01"/>
      <sheetName val="Tuan_3_01_"/>
      <sheetName val="Tuan_5_06_"/>
      <sheetName val="Tuan_6_06__"/>
      <sheetName val="Tuan_7_06_"/>
      <sheetName val="Tuan_7_06__(2)"/>
      <sheetName val="Tuan10,06_"/>
      <sheetName val="Tuan11,06__"/>
      <sheetName val="Bao_cao_DD_31_3_06"/>
      <sheetName val="Bao_cao_DD_30_4_06"/>
      <sheetName val="Bao_cao_DD_31_5_06_"/>
      <sheetName val="_GT_CPhi_tung_dot1"/>
      <sheetName val="Sat_L"/>
      <sheetName val="So_lieu"/>
      <sheetName val="tt_chu_dong"/>
      <sheetName val="Tinh_j+cvi"/>
      <sheetName val="Tinh_MoP"/>
      <sheetName val="III_10__Road"/>
      <sheetName val="PHU_LUC2"/>
      <sheetName val="For_Summary"/>
      <sheetName val="For_Summary(KG)"/>
      <sheetName val="PP_Cloth"/>
      <sheetName val="Mix-PP_Cloth"/>
      <sheetName val="Material_Price-PP"/>
      <sheetName val="Hoan_thanh"/>
      <sheetName val="hoan_th_15"/>
      <sheetName val="Khoach_15"/>
      <sheetName val="HT_22"/>
      <sheetName val="KH_22"/>
      <sheetName val="KH_T8"/>
      <sheetName val="Ht_48"/>
      <sheetName val="Kh_12"/>
      <sheetName val="ht_20-10"/>
      <sheetName val="Kh_6-10"/>
      <sheetName val="KE_PHI"/>
      <sheetName val="KE_THUE"/>
      <sheetName val="KE_CHI_PHI"/>
      <sheetName val="TINH_GIA_THANH"/>
      <sheetName val="TONG_HOP_KHAU_HAO"/>
      <sheetName val="TONG_HOP_CHI_PHI"/>
      <sheetName val="DA_SAN_XUAT_TRONG_THANG"/>
      <sheetName val="THANH_TOAN_TIEN_UNG"/>
      <sheetName val="KHAU_HAO_DAY_CHUYEN_DA"/>
      <sheetName val="bang_chuan"/>
      <sheetName val="bien_&lt;200_m2"/>
      <sheetName val="bang_chuan_(2)"/>
      <sheetName val="thue_(chinh_thuc)"/>
      <sheetName val="thue_(2)"/>
      <sheetName val="bang_doi_chieu"/>
      <sheetName val="kp_chi_tiet"/>
      <sheetName val="Vat_lieu"/>
      <sheetName val="to_trinh_mua_VT"/>
      <sheetName val="Denghi_tam_ung"/>
      <sheetName val="KTRVATU_"/>
      <sheetName val="MAU_GNHH"/>
      <sheetName val="T_toan1"/>
      <sheetName val="Bang_quyet_toan_VT"/>
      <sheetName val="Gia_Ban"/>
      <sheetName val="Gia_DSRs"/>
      <sheetName val="Gia_NTD"/>
      <sheetName val="17㏘ĳ⣬ĳ"/>
      <sheetName val="KHNH_T3-T10"/>
      <sheetName val="KHNH_T4-T10"/>
      <sheetName val="Luong_T2-06"/>
      <sheetName val="luong_T1-06"/>
      <sheetName val="mau_(2)"/>
      <sheetName val="Luong_T_hop_T2+T1-2006"/>
      <sheetName val="luong_T12"/>
      <sheetName val="T_LBD"/>
      <sheetName val="CL_BD"/>
      <sheetName val="T_L_Dien"/>
      <sheetName val="T_LSan"/>
      <sheetName val="T_LWC"/>
      <sheetName val="TK_711"/>
      <sheetName val="TK_632"/>
      <sheetName val="Chi_tiet_511"/>
      <sheetName val="TK_342_(_thue_T_C_)"/>
      <sheetName val="Phat_sinh_2005"/>
      <sheetName val="TK_341vay_dai_han_"/>
      <sheetName val="TK_214"/>
      <sheetName val="TK_212"/>
      <sheetName val="Chi_tiet_TK_211"/>
      <sheetName val="TK_154"/>
      <sheetName val="Chi_tiet_TK_152"/>
      <sheetName val="Can_Doi_TK"/>
      <sheetName val="TK_152"/>
      <sheetName val="Chung_tu_ghi_so_"/>
      <sheetName val="TK_142"/>
      <sheetName val="TK_133"/>
      <sheetName val="Chi_tiet_TK131"/>
      <sheetName val="TK_111"/>
      <sheetName val="Phieu_thu"/>
      <sheetName val="Phieu_chi_"/>
      <sheetName val="Phieu_nhap_VTu_"/>
      <sheetName val="Phieu_xuat_VTu"/>
      <sheetName val="Can_doi_vat_tu_nhap_xuat_"/>
      <sheetName val="Vat_tu_nhapxuat_nam_2005"/>
      <sheetName val="Ca_may_can_dung_nam_2005"/>
      <sheetName val="Vat_Tu_can_cho_CT_nam_2005"/>
      <sheetName val="HD_thu_mua_hang_NLS_"/>
      <sheetName val="HD_thu_mua_cat_soi_"/>
      <sheetName val="TLy_HD_mua_ban_"/>
      <sheetName val="Bien_ban_Nthu_GK"/>
      <sheetName val="T__Ly_HD_giao_khoan_"/>
      <sheetName val="Hop_dong_giao_khoan"/>
      <sheetName val="giay_tam_ung_"/>
      <sheetName val="Bang_ke_T_toan_"/>
      <sheetName val="Hoa_don_ban_hang_"/>
      <sheetName val="Bang_phan_bo_tien_luong_2005"/>
      <sheetName val="Bang_cham_cong_"/>
      <sheetName val="Bang_T_T_Luong_CB_chu_Chot2005"/>
      <sheetName val="Bang_T_T_luong_CN_lai_xe"/>
      <sheetName val="Bang_thanh_toan_luong_2005"/>
      <sheetName val="Nhan_cong_cho_CT_nam_2005"/>
      <sheetName val="Dinh_Muc_tieu_hao_VL_2005"/>
      <sheetName val="Dang_Ky_chi_tiet_KH_2005"/>
      <sheetName val="Bang_phan_bo_NVL_nam_2005"/>
      <sheetName val="Bang_phan_bo_K_Hao_2005"/>
      <sheetName val="Dang_Ky_Khau_hao_2005"/>
      <sheetName val="Phu_luc_so_3(_TNDN)"/>
      <sheetName val="PhuLuc_so_1(TNDN)"/>
      <sheetName val="Mau_so_04_TNDN"/>
      <sheetName val="Mau_so_02C"/>
      <sheetName val="Mau_so_02B"/>
      <sheetName val="Mau_so_02A"/>
      <sheetName val="Mau_01B"/>
      <sheetName val="To_khai_Mau_11"/>
      <sheetName val="Don_xin_khat_nop_thue_nam_04"/>
      <sheetName val="Su_dung_hoa_don_mau_26"/>
      <sheetName val="QToan_hoa_don_"/>
      <sheetName val="Mau_so_01"/>
      <sheetName val="Mau_so_02"/>
      <sheetName val="Chi_tiet_Mau_03_(_mua_vao_)"/>
      <sheetName val="Mau_so_03"/>
      <sheetName val="Mau_so_04"/>
      <sheetName val="Mau_05"/>
      <sheetName val="De_nghi_giai_dap_ve_thue_"/>
      <sheetName val="the_duc"/>
      <sheetName val="Bao_cao_thong_ke_"/>
      <sheetName val="Phieu_DTra_Van_Tai_(_01_TKe_)"/>
      <sheetName val="THNHA_"/>
      <sheetName val="Thuchi_"/>
      <sheetName val="Summary_(USD)"/>
      <sheetName val="Summary_(VND)"/>
      <sheetName val="3rd_party"/>
      <sheetName val="interco_"/>
      <sheetName val="bang_thong_ke"/>
      <sheetName val="thanh_toan"/>
      <sheetName val="Thu_NH_T4-03"/>
      <sheetName val="THU_NH_T5-03"/>
      <sheetName val="THU_NH_T6-03"/>
      <sheetName val="THU_NH_T7-03"/>
      <sheetName val="THU_NH_T8-03"/>
      <sheetName val="THU_NH_T9-03"/>
      <sheetName val="THU_TM_T9-03"/>
      <sheetName val="THU_NH_T10_-_03"/>
      <sheetName val="Sheet2_(2)"/>
      <sheetName val="Cong_ban_11yx1,2"/>
      <sheetName val="det_VP"/>
      <sheetName val="det_hn"/>
      <sheetName val="chi_Hieu"/>
      <sheetName val="c_thoa"/>
      <sheetName val="A_thanh_-_DL"/>
      <sheetName val="A_Tuyen"/>
      <sheetName val="Bao_cao_Quy_I-06"/>
      <sheetName val="Bao_cao_DD_30_6_06"/>
      <sheetName val="Bao_cao_DD_31_7_06"/>
      <sheetName val="_IBASE2_XLSѝTNHNoi"/>
      <sheetName val="_IBASE2_XLS}BHXH"/>
      <sheetName val="CDSM_(2)"/>
      <sheetName val="THU_T2"/>
      <sheetName val="CHI_T2"/>
      <sheetName val="THU_T1"/>
      <sheetName val="CHI_T1"/>
      <sheetName val="IBASE2_XLS"/>
      <sheetName val="qui_2-05"/>
      <sheetName val="qui_3-05"/>
      <sheetName val="T2-04_"/>
      <sheetName val="T4-04_"/>
      <sheetName val="T5-04__"/>
      <sheetName val="T6-04__"/>
      <sheetName val="QUY_II"/>
      <sheetName val="QUY_III"/>
      <sheetName val="QUY_IV"/>
      <sheetName val="QUY_I"/>
      <sheetName val="CA_NAM_04"/>
      <sheetName val="De_Tai_Vhuc_Tap"/>
      <sheetName val="TD_khao_sat"/>
      <sheetName val="So_quy"/>
      <sheetName val="Thang_12"/>
      <sheetName val="Thang_11"/>
      <sheetName val="Thang_10"/>
      <sheetName val="Thang_9"/>
      <sheetName val="Thang_8"/>
      <sheetName val="Thang_7"/>
      <sheetName val="Thang_6"/>
      <sheetName val="Thang_5"/>
      <sheetName val="Thang_4"/>
      <sheetName val="Thang_3"/>
      <sheetName val="Thang_2"/>
      <sheetName val="Thang_1"/>
      <sheetName val="Khau_hao"/>
      <sheetName val="lo_hang_1"/>
      <sheetName val="lo_hang_2"/>
      <sheetName val="Phan_bo_142"/>
      <sheetName val="Xuat_hang"/>
      <sheetName val="Can_doi"/>
      <sheetName val="Khac_DP"/>
      <sheetName val="Khoi_than_"/>
      <sheetName val="DTC"/>
      <sheetName val="Tien_luong_(2)"/>
      <sheetName val="DTX-NGG_XLS"/>
      <sheetName val="chenh_lech"/>
      <sheetName val="CL_Hµ_t©y"/>
      <sheetName val="CL_Bæ_tóc"/>
      <sheetName val="DT_Ph­¬ng_mai_1"/>
      <sheetName val="Km282-Km?3"/>
      <sheetName val="tai_trong_&amp;_he_so_phan_bo_ngang"/>
      <sheetName val="gioi_thieu"/>
      <sheetName val="CV_di_trůng__tong"/>
      <sheetName val="Du_toan"/>
      <sheetName val="Linh_(2)"/>
      <sheetName val="tien_uong"/>
      <sheetName val="Bang_can_doi_"/>
      <sheetName val="Tinh_hinh_cat_lang"/>
      <sheetName val="Tinh_hinh_SX_phu"/>
      <sheetName val="Tinh_hinh_do_xop"/>
      <sheetName val="giai_he_2"/>
      <sheetName val="CHITIET_VL-NC"/>
      <sheetName val="DON_GIA"/>
      <sheetName val="Km282-Km"/>
      <sheetName val="BTHDT_TBA_x000a_THXL_DZcaothe"/>
      <sheetName val="[IBASE2_XLS?TNHNoi"/>
      <sheetName val="T11_06"/>
      <sheetName val="BC6tT52_("/>
      <sheetName val="chi_phi_cap_tien"/>
      <sheetName val="Phiếu_luân_chuyển"/>
      <sheetName val="IPC_0______2"/>
      <sheetName val="GIA_TRI-AGC"/>
      <sheetName val="THKL_NC"/>
      <sheetName val="GTKT_NTTD"/>
      <sheetName val="SS_NHÂN_CÔNG"/>
      <sheetName val="KL_NC"/>
      <sheetName val="Tiến_độ__Rev1_(phói_hợp)"/>
      <sheetName val="QDcua_TGD_(2)䚼˰"/>
      <sheetName val="CONG_TY"/>
      <sheetName val="OFFICE_TOWER"/>
      <sheetName val="KL_HSMT_tinh_thieu"/>
      <sheetName val="Bang_tra"/>
      <sheetName val="TK13"/>
      <sheetName val="CAL_"/>
      <sheetName val="TYPE-B_평균H"/>
      <sheetName val="ELEMENT_SUM"/>
      <sheetName val="pile_and_pile_cap"/>
      <sheetName val="tien_"/>
      <sheetName val="BTHDT_TBA_x000a_"/>
      <sheetName val="200000000헾】"/>
      <sheetName val="TH07-07-04"/>
      <sheetName val="TH04-08-04"/>
      <sheetName val="TH10-08-04"/>
      <sheetName val="TH03-09-04 "/>
      <sheetName val="TH 20-09-04  "/>
      <sheetName val="TH 05-11-04 "/>
      <sheetName val="TH 20-11-04"/>
      <sheetName val="TH 03-12-04 "/>
      <sheetName val="TH 21-12-04"/>
      <sheetName val="TH 30-12-04"/>
      <sheetName val="TH 17-01-05"/>
      <sheetName val="nphuocb 4"/>
      <sheetName val="_x0000__x0000__x0005__x0000__x0000_"/>
      <sheetName val="QDcua TGD (2)_x0000__x0000__x0000__x0000__x0000__x0000__x0000__x0000__x0000__x0000__x0000__x0000_䚼˰_x0000__x0004__x0000__x0000_"/>
      <sheetName val="17_x0000__x0000__x0000__x0000__x0000__x0000__x0000__x0000__x0000__x0000__x0000_㏘ĳ_x0000__x0004__x0000__x0000__x0000__x0000__x0000__x0000_⣬ĳ_x0000__x0000__x0000__x0000__x0000__x0000_"/>
      <sheetName val="NKC6"/>
      <sheetName val="Formulas"/>
      <sheetName val="149-2"/>
      <sheetName val="bcth 05-0"/>
      <sheetName val="VL"/>
      <sheetName val="ND"/>
      <sheetName val="OAR-FS"/>
      <sheetName val="TB Grouping"/>
      <sheetName val="BT@"/>
      <sheetName val="Balance Sheet"/>
      <sheetName val="Journal"/>
      <sheetName val="DREAM-Thang9"/>
      <sheetName val="BT_x0016_"/>
      <sheetName val="NK_x0016_"/>
      <sheetName val="NK"/>
      <sheetName val="BT"/>
      <sheetName val="BTÜ"/>
      <sheetName val="ct luong "/>
      <sheetName val="Nhap 6T"/>
      <sheetName val="KPI"/>
      <sheetName val="Ranking data"/>
      <sheetName val="QԘ"/>
      <sheetName val="PHAT-SINH"/>
      <sheetName val="Package1"/>
      <sheetName val="Temp"/>
      <sheetName val="pHAN CON_x0005_"/>
      <sheetName val="Tke"/>
      <sheetName val="Sheet"/>
      <sheetName val="TLG Type"/>
      <sheetName val="KABPREIS"/>
      <sheetName val="DSTP"/>
      <sheetName val="General"/>
      <sheetName val="PTDM"/>
      <sheetName val="KABPREIS.XLS"/>
      <sheetName val="dg-VTu"/>
      <sheetName val="Tong hop xuat kho nvl"/>
      <sheetName val="Xuat kho"/>
      <sheetName val="Tong hop so lieu tai nhap kho"/>
      <sheetName val="tai nhap kho"/>
      <sheetName val="Nhap kho"/>
      <sheetName val="Tong ket nhap kho"/>
      <sheetName val="Tong ket"/>
      <sheetName val="cac ma can huy"/>
      <sheetName val="Hang hong"/>
      <sheetName val="Tham khao"/>
      <sheetName val="hang khong co packing"/>
      <sheetName val="Thang_x0005_"/>
      <sheetName val="電線リスト"/>
      <sheetName val="Table1"/>
      <sheetName val="phuong aL 1"/>
      <sheetName val="socai200_x0013_-6tc"/>
      <sheetName val="Other(data)"/>
      <sheetName val="ChiTie_x001c_"/>
      <sheetName val="assy1"/>
      <sheetName val="Sales"/>
      <sheetName val="負荷15XX"/>
      <sheetName val="?_x0000__x0000_0_x0000__x0000__x0000__x0000__x0000__x0000__x0000__x0000__x0000__x0000__x0000__x0000__x0000__x0000__x0000__x001d_[IBASE2.XLS"/>
      <sheetName val="BTHDT_TBA_x000d_??THXL_DZcaothe"/>
      <sheetName val="ESTI_1"/>
      <sheetName val="Km282-Km_x0003__x0000__x0005_"/>
      <sheetName val="Thangþ"/>
      <sheetName val="Thang_x001c_"/>
      <sheetName val="schedule"/>
      <sheetName val="Thang("/>
      <sheetName val="#REF"/>
      <sheetName val="K25_x0005__x0000__x0000__x0000_"/>
      <sheetName val="K25"/>
      <sheetName val="dtxl"/>
      <sheetName val="_x0016_PPN"/>
      <sheetName val="OPERATING HEAD"/>
      <sheetName val="Packing type 2"/>
      <sheetName val="BASE"/>
      <sheetName val="TABLE"/>
      <sheetName val="GIA"/>
      <sheetName val="Mercer Sub Family"/>
      <sheetName val="Instructions"/>
      <sheetName val="Price list"/>
      <sheetName val="Thông tin khách hàng"/>
      <sheetName val="Master list"/>
      <sheetName val="Tables"/>
      <sheetName val="Local Supplỉer list"/>
      <sheetName val="Information"/>
      <sheetName val="Danh muc NVL"/>
      <sheetName val="DOTBud"/>
      <sheetName val="511-FAST"/>
      <sheetName val="NPL_FUJI"/>
      <sheetName val="生Ｄａｔａ１"/>
      <sheetName val="2002"/>
      <sheetName val="OIL"/>
      <sheetName val="Original+CC"/>
      <sheetName val="head_code"/>
      <sheetName val="SUMMARY"/>
      <sheetName val="資料_700部品点数設定"/>
      <sheetName val="Config"/>
      <sheetName val="(9.30) IP"/>
      <sheetName val="Original_CC"/>
      <sheetName val="CTdo_luong_GDSP1"/>
      <sheetName val="Dong_bac1"/>
      <sheetName val="Cac_cang_UT_mua_than_Dong_bac1"/>
      <sheetName val="cua_hang_vtu1"/>
      <sheetName val="Khach_hang_le_1"/>
      <sheetName val="nhat_ky_51"/>
      <sheetName val="cac_cong_ty_van_tai1"/>
      <sheetName val="chuong_phu"/>
      <sheetName val="THANG7_"/>
      <sheetName val="phuong_aL_1"/>
      <sheetName val="socai200-6tc"/>
      <sheetName val="ChiTie"/>
      <sheetName val="Thang"/>
      <sheetName val="?0[IBASE2_XLS"/>
      <sheetName val="BTHDT_TBA_x000a_??THXL_DZcaothe"/>
      <sheetName val="TK1#3"/>
      <sheetName val="2.74"/>
      <sheetName val="karylengkap"/>
      <sheetName val="Thang "/>
      <sheetName val="CN-QV FG"/>
      <sheetName val="CN-QV RM"/>
      <sheetName val="PHAV R.M"/>
      <sheetName val="PHAV F.G"/>
      <sheetName val="TOA R.M"/>
      <sheetName val="TOA F.G"/>
      <sheetName val="CVN R.M"/>
      <sheetName val="CVN F.G"/>
      <sheetName val="DENSO R.M"/>
      <sheetName val="DENSO F.G"/>
      <sheetName val="SATO RM"/>
      <sheetName val="SATO F.G"/>
      <sheetName val="TOTAL"/>
      <sheetName val="Sept.01 (2)"/>
      <sheetName val="Aug."/>
      <sheetName val="List"/>
      <sheetName val="SoqѵyTM"/>
      <sheetName val="SoCѡiTM"/>
      <sheetName val="KHT⑓CD2"/>
      <sheetName val="T12.06"/>
      <sheetName val="bangluonU"/>
      <sheetName val="bangluon_x0005_"/>
      <sheetName val="Strt Archi"/>
      <sheetName val="OB12 % Margin"/>
      <sheetName val="NHAP"/>
      <sheetName val="TT04"/>
      <sheetName val="Weight Bridge"/>
      <sheetName val="Fax message"/>
      <sheetName val="U.P List"/>
      <sheetName val="静圧"/>
      <sheetName val="C. NEW BLDG-PLUMBING WORK"/>
      <sheetName val="LEGEND"/>
      <sheetName val="PART_DISCOUNT"/>
      <sheetName val="QDcua TGD (0)"/>
      <sheetName val="NKChung "/>
      <sheetName val="Packing_type_2"/>
      <sheetName val="Bang_can_doi_1"/>
      <sheetName val="Tinh_hinh_cat_lang1"/>
      <sheetName val="Tinh_hinh_SX_phu1"/>
      <sheetName val="Tinh_hinh_do_xop1"/>
      <sheetName val="Khac_DP1"/>
      <sheetName val="Khoi_than_1"/>
      <sheetName val="Luu_goc1"/>
      <sheetName val="km22+93_86-km22+121_861"/>
      <sheetName val="km22+177_14-km22+205_641"/>
      <sheetName val="Bang_20-251"/>
      <sheetName val="km22+267_96-km22+283_961"/>
      <sheetName val="km22+304_31-km22+344_311"/>
      <sheetName val="km22+460_92-km22+614_571"/>
      <sheetName val="km22+671_78-km22+713_321"/>
      <sheetName val="Packing_type_21"/>
      <sheetName val="CVden_ngoai_TCT_(1)2"/>
      <sheetName val="CV_den_ngoai_TCT_(2)2"/>
      <sheetName val="CV_den_ngoai_TCT_(3)2"/>
      <sheetName val="QDcua_TGD2"/>
      <sheetName val="QD_cua_HDQT2"/>
      <sheetName val="QD_cua_HDQT_(2)2"/>
      <sheetName val="CV_di_ngoai_tong2"/>
      <sheetName val="CV_di_ngoai_tong_(2)2"/>
      <sheetName val="To_trinh2"/>
      <sheetName val="Giao_nhiem_vu2"/>
      <sheetName val="QDcua_TGD_(2)2"/>
      <sheetName val="Thong_tu2"/>
      <sheetName val="CV_di_trong__tong2"/>
      <sheetName val="nghi_dinh-CP2"/>
      <sheetName val="CV_den_trong_tong2"/>
      <sheetName val="lapdat_TB_2"/>
      <sheetName val="TNghiªm_TB_2"/>
      <sheetName val="VËt_liÖu2"/>
      <sheetName val="Lap_®at_®iÖn2"/>
      <sheetName val="TNghiÖm_VL2"/>
      <sheetName val="th_2"/>
      <sheetName val="tien_luong2"/>
      <sheetName val="KHVt_2"/>
      <sheetName val="KHVt_XL2"/>
      <sheetName val="KHVt_XLT42"/>
      <sheetName val="142201-T1_2"/>
      <sheetName val="142201-T2-th_2"/>
      <sheetName val="142201-T3-th_2"/>
      <sheetName val="142201-T4-th__2"/>
      <sheetName val="Thep_be2"/>
      <sheetName val="Thep_than2"/>
      <sheetName val="Thep_xa_mu2"/>
      <sheetName val="T_K_H_T_T52"/>
      <sheetName val="T_K_T72"/>
      <sheetName val="TK_T62"/>
      <sheetName val="T_K_T52"/>
      <sheetName val="Bang_thong_ke_hang_ton2"/>
      <sheetName val="thong_ke_2"/>
      <sheetName val="T_KT042"/>
      <sheetName val="Kluong_phu2"/>
      <sheetName val="Lan_can2"/>
      <sheetName val="Ho_lan2"/>
      <sheetName val="Coc_tieu2"/>
      <sheetName val="Bien_bao2"/>
      <sheetName val="Op_mai_2742"/>
      <sheetName val="Op_mai_2752"/>
      <sheetName val="Op_mai_2762"/>
      <sheetName val="Op_mai_2772"/>
      <sheetName val="Op_mai_2782"/>
      <sheetName val="Op_mai_2792"/>
      <sheetName val="Op_mai_2802"/>
      <sheetName val="Op_mai_2812"/>
      <sheetName val="Op_mai_2822"/>
      <sheetName val="Op_mai_2832"/>
      <sheetName val="Op_mai_2842"/>
      <sheetName val="Op_mai2"/>
      <sheetName val="thkl_(2)2"/>
      <sheetName val="long_tec2"/>
      <sheetName val="TK_1122"/>
      <sheetName val="TK_1312"/>
      <sheetName val="TK_1412"/>
      <sheetName val="TK_1532"/>
      <sheetName val="TK_2112"/>
      <sheetName val="TK_2422"/>
      <sheetName val="TK_3342"/>
      <sheetName val="TK_5112"/>
      <sheetName val="TK_5152"/>
      <sheetName val="TK_9112"/>
      <sheetName val="Song_trai2"/>
      <sheetName val="Dinh+ha_nha2"/>
      <sheetName val="NG_k2"/>
      <sheetName val="VtuHaTheSauTBABenThuy1_(2)2"/>
      <sheetName val="T_so_thay_doi2"/>
      <sheetName val="b_THchitietDZCT2"/>
      <sheetName val="b_THchitietTBA2"/>
      <sheetName val="Khao_sat2"/>
      <sheetName val="TT_khao_sat2"/>
      <sheetName val="_t52"/>
      <sheetName val="t_42"/>
      <sheetName val="_t3_2"/>
      <sheetName val="_TH3312"/>
      <sheetName val="_Minh_ha2"/>
      <sheetName val="_Ha_Tay2"/>
      <sheetName val="_Vinhphuc2"/>
      <sheetName val="_Nbinh2"/>
      <sheetName val="_QVinh2"/>
      <sheetName val="_TW12"/>
      <sheetName val="Km274_-_Km2752"/>
      <sheetName val="Km275_-_Km2762"/>
      <sheetName val="Km276_-_Km2772"/>
      <sheetName val="Km277_-_Km278_2"/>
      <sheetName val="Km278_-_Km2792"/>
      <sheetName val="Km279_-_Km2802"/>
      <sheetName val="Km280_-_Km2812"/>
      <sheetName val="Km281_-_Km2822"/>
      <sheetName val="Km282_-_Km2832"/>
      <sheetName val="Km283_-_Km2842"/>
      <sheetName val="Km284_-_Km2852"/>
      <sheetName val="Tong_hop_Matduong2"/>
      <sheetName val="Cong_D752"/>
      <sheetName val="Cong_D1002"/>
      <sheetName val="Cong_D1502"/>
      <sheetName val="Cong_2D1502"/>
      <sheetName val="Cong_ban_0,7x0,72"/>
      <sheetName val="Cong_ban_0,8x0,82"/>
      <sheetName val="Cong_ban_1x12"/>
      <sheetName val="Cong_ban_1x1,22"/>
      <sheetName val="Cong_ban_1,5x1,52"/>
      <sheetName val="Cong_ban_2x1,52"/>
      <sheetName val="Cong_ban_2x22"/>
      <sheetName val="Tong_hop2"/>
      <sheetName val="Tong_hop_(2)2"/>
      <sheetName val="Cong_cu2"/>
      <sheetName val="Cot_thep2"/>
      <sheetName val="Cong_tron_D752"/>
      <sheetName val="Cong_tron_D1002"/>
      <sheetName val="Cong_tron_D1502"/>
      <sheetName val="Cong_tron_2D1502"/>
      <sheetName val="Cong_ban_1,0x1,02"/>
      <sheetName val="Cong_ban_1,0x1,22"/>
      <sheetName val="Cong_hop_1,5x1,52"/>
      <sheetName val="Cong_hop_2,0x1,52"/>
      <sheetName val="Cong_hop_2,0x2,02"/>
      <sheetName val="CDSL_(2)2"/>
      <sheetName val="KQKD02-2_(2)2"/>
      <sheetName val="KQKD-2_(2)2"/>
      <sheetName val="KQKD_thu20042"/>
      <sheetName val="phan_tich_DG2"/>
      <sheetName val="gia_vat_lieu2"/>
      <sheetName val="gia_xe_may2"/>
      <sheetName val="gia_nhan_cong2"/>
      <sheetName val="HHVt_2"/>
      <sheetName val="F_ThanhTri2"/>
      <sheetName val="F_Gialam2"/>
      <sheetName val="TH_dam2"/>
      <sheetName val="SX_dam2"/>
      <sheetName val="LD_dam2"/>
      <sheetName val="Bang_gia_VL2"/>
      <sheetName val="Gia_NC2"/>
      <sheetName val="Gia_may2"/>
      <sheetName val="Trich_Ngang2"/>
      <sheetName val="Danh_sach_Rieng2"/>
      <sheetName val="Dia_Diem_Thuc_Tap2"/>
      <sheetName val="De_Tai_Thuc_Tap2"/>
      <sheetName val="Dancau-Q_Ninh2"/>
      <sheetName val="BaTrieu-L_son2"/>
      <sheetName val="K249_K982"/>
      <sheetName val="K249_K98_(2)2"/>
      <sheetName val="K251_K982"/>
      <sheetName val="K251_SBase2"/>
      <sheetName val="K251_AC2"/>
      <sheetName val="K252_K982"/>
      <sheetName val="K252_SBase2"/>
      <sheetName val="K252_AC2"/>
      <sheetName val="K253_K982"/>
      <sheetName val="K253_Subbase2"/>
      <sheetName val="K253_Base_2"/>
      <sheetName val="K253_SBase2"/>
      <sheetName val="K253_AC2"/>
      <sheetName val="K255_SBase2"/>
      <sheetName val="K259_K982"/>
      <sheetName val="K259_Subbase2"/>
      <sheetName val="K259_Base_2"/>
      <sheetName val="K259_AC2"/>
      <sheetName val="K260_K982"/>
      <sheetName val="K260_Subbase2"/>
      <sheetName val="K260_Base2"/>
      <sheetName val="K260_AC2"/>
      <sheetName val="K261_K982"/>
      <sheetName val="K261_Base2"/>
      <sheetName val="K261_AC2"/>
      <sheetName val="Tay_ninh2"/>
      <sheetName val="A_Duc2"/>
      <sheetName val="giai_thich2"/>
      <sheetName val="DT_-_Ro2"/>
      <sheetName val="TH_-_Ro_2"/>
      <sheetName val="GDT_-_Ro2"/>
      <sheetName val="DT_-_TB2"/>
      <sheetName val="TH_-_TB2"/>
      <sheetName val="GDT_-_TB2"/>
      <sheetName val="DT_-_NT2"/>
      <sheetName val="TH_-_NT2"/>
      <sheetName val="GDT_-_NT2"/>
      <sheetName val="SCT_Cong_trinh2"/>
      <sheetName val="06-2003_(2)2"/>
      <sheetName val="CDPS_6tc2"/>
      <sheetName val="SCT_Nha_thau2"/>
      <sheetName val="socai2003_(6tc)dp2"/>
      <sheetName val="socai2003_(6tc)2"/>
      <sheetName val="CDPS_6tc_(2)2"/>
      <sheetName val="TH_du_toan_2"/>
      <sheetName val="Du_toan_2"/>
      <sheetName val="C_Tinh2"/>
      <sheetName val="CT_032"/>
      <sheetName val="TH_032"/>
      <sheetName val="Don_gia_CPM2"/>
      <sheetName val="Tong_Thieu_HD_cac_CT-20012"/>
      <sheetName val="VL_thieu_HD_-_20012"/>
      <sheetName val="Tong_thieu_HD_cac_CT_-_20022"/>
      <sheetName val="Lan_trai2"/>
      <sheetName val="Van_chuyen2"/>
      <sheetName val="HDong_VC2"/>
      <sheetName val="ThieuHD_nam_20012"/>
      <sheetName val="Bang_TH2"/>
      <sheetName val="Tong_Chinh2"/>
      <sheetName val="So_sanh2"/>
      <sheetName val="Xaylap_2"/>
      <sheetName val="Nhan_cong2"/>
      <sheetName val="_KQTH_quy_hoach_1352"/>
      <sheetName val="Bao_cao_KQTH_quy_hoach_1352"/>
      <sheetName val="Co~g_hop_1,5x1,52"/>
      <sheetName val="T03_-_032"/>
      <sheetName val="THL_T032"/>
      <sheetName val="TTBC_T032"/>
      <sheetName val="Luong_noi_Bo_-_T32"/>
      <sheetName val="Tong_hop_-_T32"/>
      <sheetName val="Thuong_Quy_32"/>
      <sheetName val="Phu_cap_trach_nhiem2"/>
      <sheetName val="CV_di_trong__dong2"/>
      <sheetName val="BC_TH_CK_(2)2"/>
      <sheetName val="BC_TH_CK2"/>
      <sheetName val="BC6tT19_food2"/>
      <sheetName val="BC6tT18_-_Food2"/>
      <sheetName val="BCCK_42"/>
      <sheetName val="BCFood-_T162"/>
      <sheetName val="BCFood-_T152"/>
      <sheetName val="BCFood-_T142"/>
      <sheetName val="BCFood-_T132"/>
      <sheetName val="TH_CK22"/>
      <sheetName val="BC6tT52_(3)2"/>
      <sheetName val="BC6tT52_(2)2"/>
      <sheetName val="TCK_122"/>
      <sheetName val="Tong_CK2"/>
      <sheetName val="DOANH_SO2"/>
      <sheetName val="BD-SINH_VIEN2"/>
      <sheetName val="[IBASE2_XLSѝTNHNoi2"/>
      <sheetName val="ql_(2)2"/>
      <sheetName val="Co_quan_TCT2"/>
      <sheetName val="BOT_(PA_chon)2"/>
      <sheetName val="Yaly_&amp;_Ri_Ninh2"/>
      <sheetName val="Thuy_dien_Na_Loi2"/>
      <sheetName val="bang_so_sanh_tong_hop2"/>
      <sheetName val="bang_so_sanh_tong_hop_(ty_le)2"/>
      <sheetName val="thu_nhap_binh_quan_(2)2"/>
      <sheetName val="dang_huong2"/>
      <sheetName val="phuong_an_12"/>
      <sheetName val="phuong_an_1_(2)2"/>
      <sheetName val="phuong_an22"/>
      <sheetName val="tong_hop_BQ2"/>
      <sheetName val="tong_hop_BQ-12"/>
      <sheetName val="phuong_an_chon2"/>
      <sheetName val="bang_so_sanh_tong_hop_(_PA_cho2"/>
      <sheetName val="dang_ap_dung2"/>
      <sheetName val="bang_tong_hop_(dang_huong)2"/>
      <sheetName val="Heso_3-2004_(3)2"/>
      <sheetName val="Luong_(2)2"/>
      <sheetName val="heso_T32"/>
      <sheetName val="heso_T42"/>
      <sheetName val="heso_T52"/>
      <sheetName val="Heso_T62"/>
      <sheetName val="Heso_T72"/>
      <sheetName val="Heso_T82"/>
      <sheetName val="Heso_T92"/>
      <sheetName val="Heso_2-20042"/>
      <sheetName val="Heso_3-20042"/>
      <sheetName val="Heso_3-2004_(2)2"/>
      <sheetName val="GIA_NUOC2"/>
      <sheetName val="GIA_DIEN_THOAI2"/>
      <sheetName val="GIA_DIEN2"/>
      <sheetName val="chiet_tinh_XD2"/>
      <sheetName val="Triet_T2"/>
      <sheetName val="Phan_tich_gia2"/>
      <sheetName val="pHAN_CONG2"/>
      <sheetName val="GIA_XD2"/>
      <sheetName val="Nhap_lieu2"/>
      <sheetName val="Tien_dien2"/>
      <sheetName val="Thue_GTGT2"/>
      <sheetName val="THT_nam_042"/>
      <sheetName val="nhan_su2"/>
      <sheetName val="luong_cty2"/>
      <sheetName val="Coc_62"/>
      <sheetName val="Deo_nai2"/>
      <sheetName val="CKD_than2"/>
      <sheetName val="CTT_Thong_nhat2"/>
      <sheetName val="CTT_Nui_beo2"/>
      <sheetName val="CTT_cao_son2"/>
      <sheetName val="CTT_Khe_cham2"/>
      <sheetName val="XNxlva_sxthanKCII2"/>
      <sheetName val="Cam_Y_ut_KC2"/>
      <sheetName val="CTxay_lap_mo_CP2"/>
      <sheetName val="CTdo_luong_GDSP2"/>
      <sheetName val="Bang_can_doi_2"/>
      <sheetName val="Tinh_hinh_cat_lang2"/>
      <sheetName val="Tinh_hinh_SX_phu2"/>
      <sheetName val="Tinh_hinh_do_xop2"/>
      <sheetName val="bcth_05-042"/>
      <sheetName val="baocao_05-042"/>
      <sheetName val="Dong_bac2"/>
      <sheetName val="Cac_cang_UT_mua_than_Dong_bac2"/>
      <sheetName val="cua_hang_vtu2"/>
      <sheetName val="Khach_hang_le_2"/>
      <sheetName val="nhat_ky_52"/>
      <sheetName val="cac_cong_ty_van_tai2"/>
      <sheetName val="Khac_DP2"/>
      <sheetName val="Khoi_than_2"/>
      <sheetName val="tô_rôiDY2"/>
      <sheetName val="Luu_goc2"/>
      <sheetName val="km22+93_86-km22+121_862"/>
      <sheetName val="km22+177_14-km22+205_642"/>
      <sheetName val="Bang_20-252"/>
      <sheetName val="km22+267_96-km22+283_962"/>
      <sheetName val="km22+304_31-km22+344_312"/>
      <sheetName val="km22+460_92-km22+614_572"/>
      <sheetName val="km22+671_78-km22+713_322"/>
      <sheetName val="Packing_type_22"/>
      <sheetName val="FD"/>
      <sheetName val="GI"/>
      <sheetName val="EE (3)"/>
      <sheetName val="PAVEMENT"/>
      <sheetName val="TRAFFIC"/>
      <sheetName val="O6"/>
      <sheetName val="Bill of Qty MEP"/>
      <sheetName val="ctTBA"/>
      <sheetName val="Ｎｏ.13"/>
      <sheetName val="차액보증"/>
      <sheetName val="VE Estimate"/>
      <sheetName val="Base M&amp;E"/>
      <sheetName val="Villa A"/>
      <sheetName val="_IBASE2.XLS䁝BC6tT17"/>
      <sheetName val="DI_ESTI"/>
      <sheetName val="TTTram"/>
      <sheetName val="HRG BHN"/>
      <sheetName val="전기"/>
      <sheetName val="Thuc thanh"/>
      <sheetName val="個案9411"/>
      <sheetName val="_x0000_Y_BA"/>
      <sheetName val="I-KAMAR"/>
      <sheetName val="DON GIA TRAM (3)"/>
      <sheetName val="HaoPhi"/>
      <sheetName val="갑지"/>
      <sheetName val="Generalofact"/>
      <sheetName val="cover page format"/>
      <sheetName val="00-Pipe Schedule for QS rev01"/>
      <sheetName val="Gtable(19)"/>
      <sheetName val="KH-Q1,Q2,01"/>
      <sheetName val="Furnitures"/>
      <sheetName val="Project Management"/>
      <sheetName val="Breakdown"/>
      <sheetName val="Price Schedule_ABB"/>
      <sheetName val="Du_lieu"/>
      <sheetName val="DM"/>
      <sheetName val="CableSum"/>
      <sheetName val="XXXXXXÿÿ"/>
      <sheetName val="KHT4ÿÿ-02"/>
      <sheetName val="ÿÿÿÿ "/>
      <sheetName val="DM đoi tac"/>
      <sheetName val="MATK"/>
      <sheetName val="P.M(Monitoring Sche)"/>
      <sheetName val="Lab Sche (Summary)."/>
      <sheetName val="?"/>
      <sheetName val="Settings"/>
      <sheetName val="Translation"/>
      <sheetName val="Official"/>
      <sheetName val="BTÐ"/>
      <sheetName val="0803 by Dept"/>
      <sheetName val="FP_PT"/>
      <sheetName val="CD2000"/>
      <sheetName val="ngoc"/>
      <sheetName val="TongHopNX"/>
      <sheetName val="DMKhachHang"/>
      <sheetName val="DTNV"/>
      <sheetName val="FCTCalculationSheet"/>
      <sheetName val="Data Sheet"/>
      <sheetName val="gia vt,nc,may"/>
      <sheetName val="P.BAN"/>
      <sheetName val="Makekup"/>
      <sheetName val="TH gia dt"/>
      <sheetName val="TH VL, NC, DDHT Thanhphuoc"/>
      <sheetName val="CANDOI"/>
      <sheetName val="Nhap VT oto"/>
    </sheetNames>
    <sheetDataSet>
      <sheetData sheetId="0" refreshError="1">
        <row r="7">
          <cell r="AH7" t="str">
            <v>SP1</v>
          </cell>
          <cell r="AI7" t="str">
            <v>SOLVENT CLEANING   (SSPC-SP-1)</v>
          </cell>
          <cell r="AJ7">
            <v>60</v>
          </cell>
          <cell r="AK7">
            <v>60</v>
          </cell>
          <cell r="AL7">
            <v>60</v>
          </cell>
        </row>
        <row r="8">
          <cell r="AH8" t="str">
            <v>SP2</v>
          </cell>
          <cell r="AI8" t="str">
            <v>HAND CLEANING   (SSPC-SP-2)</v>
          </cell>
          <cell r="AJ8">
            <v>50</v>
          </cell>
          <cell r="AK8">
            <v>50</v>
          </cell>
          <cell r="AL8">
            <v>50</v>
          </cell>
        </row>
        <row r="9">
          <cell r="AH9" t="str">
            <v>SP3</v>
          </cell>
          <cell r="AI9" t="str">
            <v>POWER CLEANING   (SSPC-SP-3)</v>
          </cell>
          <cell r="AJ9">
            <v>50</v>
          </cell>
          <cell r="AK9">
            <v>50</v>
          </cell>
          <cell r="AL9">
            <v>50</v>
          </cell>
        </row>
        <row r="10">
          <cell r="AH10" t="str">
            <v>SP5</v>
          </cell>
          <cell r="AI10" t="str">
            <v>WHITE METAL BLAST   (SSPC-SP-5)</v>
          </cell>
          <cell r="AJ10">
            <v>90</v>
          </cell>
          <cell r="AK10">
            <v>90</v>
          </cell>
          <cell r="AL10">
            <v>90</v>
          </cell>
        </row>
        <row r="11">
          <cell r="AH11" t="str">
            <v>SP6</v>
          </cell>
          <cell r="AI11" t="str">
            <v>COMMERCIAL BLAST (SSPC-SP-6)</v>
          </cell>
          <cell r="AJ11">
            <v>70</v>
          </cell>
          <cell r="AK11">
            <v>70</v>
          </cell>
          <cell r="AL11">
            <v>70</v>
          </cell>
        </row>
        <row r="12">
          <cell r="AH12" t="str">
            <v>SP7</v>
          </cell>
          <cell r="AI12" t="str">
            <v>BRUSH OFF BLAST CLEANING (SSPC-SP7)</v>
          </cell>
          <cell r="AJ12">
            <v>50</v>
          </cell>
          <cell r="AK12">
            <v>50</v>
          </cell>
          <cell r="AL12">
            <v>50</v>
          </cell>
        </row>
        <row r="13">
          <cell r="AH13" t="str">
            <v>SP8</v>
          </cell>
          <cell r="AI13" t="str">
            <v>PICKLING  (SSPC-SP-8)</v>
          </cell>
          <cell r="AJ13">
            <v>350</v>
          </cell>
          <cell r="AK13">
            <v>350</v>
          </cell>
          <cell r="AL13">
            <v>350</v>
          </cell>
        </row>
        <row r="14">
          <cell r="AH14" t="str">
            <v>SP10</v>
          </cell>
          <cell r="AI14" t="str">
            <v>NEAR WHITE BLAST (SSPC-SP-10)</v>
          </cell>
          <cell r="AJ14">
            <v>80</v>
          </cell>
          <cell r="AK14">
            <v>80</v>
          </cell>
          <cell r="AL14">
            <v>80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7">
          <cell r="AI7">
            <v>10000</v>
          </cell>
        </row>
      </sheetData>
      <sheetData sheetId="12"/>
      <sheetData sheetId="13">
        <row r="7">
          <cell r="AI7">
            <v>10000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>
        <row r="7">
          <cell r="AI7">
            <v>10000</v>
          </cell>
        </row>
      </sheetData>
      <sheetData sheetId="41">
        <row r="7">
          <cell r="AI7">
            <v>10000</v>
          </cell>
        </row>
      </sheetData>
      <sheetData sheetId="42">
        <row r="7">
          <cell r="AI7">
            <v>10000</v>
          </cell>
        </row>
      </sheetData>
      <sheetData sheetId="43">
        <row r="7">
          <cell r="AI7">
            <v>10000</v>
          </cell>
        </row>
      </sheetData>
      <sheetData sheetId="44">
        <row r="7">
          <cell r="AI7">
            <v>10000</v>
          </cell>
        </row>
      </sheetData>
      <sheetData sheetId="45">
        <row r="7">
          <cell r="AI7">
            <v>10000</v>
          </cell>
        </row>
      </sheetData>
      <sheetData sheetId="46">
        <row r="7">
          <cell r="AI7">
            <v>10000</v>
          </cell>
        </row>
      </sheetData>
      <sheetData sheetId="47">
        <row r="7">
          <cell r="AI7">
            <v>10000</v>
          </cell>
        </row>
      </sheetData>
      <sheetData sheetId="48">
        <row r="7">
          <cell r="AI7">
            <v>10000</v>
          </cell>
        </row>
      </sheetData>
      <sheetData sheetId="49">
        <row r="7">
          <cell r="AI7">
            <v>10000</v>
          </cell>
        </row>
      </sheetData>
      <sheetData sheetId="50">
        <row r="7">
          <cell r="AI7">
            <v>10000</v>
          </cell>
        </row>
      </sheetData>
      <sheetData sheetId="51">
        <row r="7">
          <cell r="AI7">
            <v>10000</v>
          </cell>
        </row>
      </sheetData>
      <sheetData sheetId="52">
        <row r="7">
          <cell r="AI7">
            <v>10000</v>
          </cell>
        </row>
      </sheetData>
      <sheetData sheetId="53">
        <row r="7">
          <cell r="AI7">
            <v>10000</v>
          </cell>
        </row>
      </sheetData>
      <sheetData sheetId="54">
        <row r="7">
          <cell r="AI7">
            <v>10000</v>
          </cell>
        </row>
      </sheetData>
      <sheetData sheetId="55">
        <row r="7">
          <cell r="AI7">
            <v>10000</v>
          </cell>
        </row>
      </sheetData>
      <sheetData sheetId="56">
        <row r="7">
          <cell r="AI7">
            <v>10000</v>
          </cell>
        </row>
      </sheetData>
      <sheetData sheetId="57">
        <row r="7">
          <cell r="AI7">
            <v>10000</v>
          </cell>
        </row>
      </sheetData>
      <sheetData sheetId="58" refreshError="1"/>
      <sheetData sheetId="59">
        <row r="7">
          <cell r="AI7">
            <v>10000</v>
          </cell>
        </row>
      </sheetData>
      <sheetData sheetId="60">
        <row r="7">
          <cell r="AI7">
            <v>10000</v>
          </cell>
        </row>
      </sheetData>
      <sheetData sheetId="61">
        <row r="7">
          <cell r="AI7">
            <v>10000</v>
          </cell>
        </row>
      </sheetData>
      <sheetData sheetId="62">
        <row r="7">
          <cell r="AI7">
            <v>10000</v>
          </cell>
        </row>
      </sheetData>
      <sheetData sheetId="63">
        <row r="7">
          <cell r="AI7">
            <v>10000</v>
          </cell>
        </row>
      </sheetData>
      <sheetData sheetId="64">
        <row r="7">
          <cell r="AI7">
            <v>10000</v>
          </cell>
        </row>
      </sheetData>
      <sheetData sheetId="65">
        <row r="7">
          <cell r="AI7">
            <v>10000</v>
          </cell>
        </row>
      </sheetData>
      <sheetData sheetId="66">
        <row r="7">
          <cell r="AI7">
            <v>10000</v>
          </cell>
        </row>
      </sheetData>
      <sheetData sheetId="67">
        <row r="7">
          <cell r="AI7">
            <v>10000</v>
          </cell>
        </row>
      </sheetData>
      <sheetData sheetId="68">
        <row r="7">
          <cell r="AI7">
            <v>10000</v>
          </cell>
        </row>
      </sheetData>
      <sheetData sheetId="69">
        <row r="7">
          <cell r="AI7">
            <v>10000</v>
          </cell>
        </row>
      </sheetData>
      <sheetData sheetId="70">
        <row r="7">
          <cell r="AI7">
            <v>10000</v>
          </cell>
        </row>
      </sheetData>
      <sheetData sheetId="71">
        <row r="7">
          <cell r="AI7">
            <v>10000</v>
          </cell>
        </row>
      </sheetData>
      <sheetData sheetId="72">
        <row r="7">
          <cell r="AI7">
            <v>10000</v>
          </cell>
        </row>
      </sheetData>
      <sheetData sheetId="73">
        <row r="7">
          <cell r="AI7">
            <v>10000</v>
          </cell>
        </row>
      </sheetData>
      <sheetData sheetId="74">
        <row r="7">
          <cell r="AI7">
            <v>10000</v>
          </cell>
        </row>
      </sheetData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>
        <row r="7">
          <cell r="AI7">
            <v>10000</v>
          </cell>
        </row>
      </sheetData>
      <sheetData sheetId="150">
        <row r="7">
          <cell r="AI7">
            <v>10000</v>
          </cell>
        </row>
      </sheetData>
      <sheetData sheetId="151">
        <row r="7">
          <cell r="AI7">
            <v>10000</v>
          </cell>
        </row>
      </sheetData>
      <sheetData sheetId="152">
        <row r="7">
          <cell r="AI7">
            <v>10000</v>
          </cell>
        </row>
      </sheetData>
      <sheetData sheetId="153">
        <row r="7">
          <cell r="AI7">
            <v>10000</v>
          </cell>
        </row>
      </sheetData>
      <sheetData sheetId="154">
        <row r="7">
          <cell r="AI7">
            <v>10000</v>
          </cell>
        </row>
      </sheetData>
      <sheetData sheetId="155">
        <row r="7">
          <cell r="AI7">
            <v>10000</v>
          </cell>
        </row>
      </sheetData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>
        <row r="7">
          <cell r="AI7">
            <v>10000</v>
          </cell>
        </row>
      </sheetData>
      <sheetData sheetId="195">
        <row r="7">
          <cell r="AI7">
            <v>10000</v>
          </cell>
        </row>
      </sheetData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>
        <row r="7">
          <cell r="AI7">
            <v>10000</v>
          </cell>
        </row>
      </sheetData>
      <sheetData sheetId="253">
        <row r="7">
          <cell r="AI7">
            <v>10000</v>
          </cell>
        </row>
      </sheetData>
      <sheetData sheetId="254">
        <row r="7">
          <cell r="AI7">
            <v>10000</v>
          </cell>
        </row>
      </sheetData>
      <sheetData sheetId="255">
        <row r="7">
          <cell r="AI7">
            <v>10000</v>
          </cell>
        </row>
      </sheetData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>
        <row r="7">
          <cell r="AI7">
            <v>10000</v>
          </cell>
        </row>
      </sheetData>
      <sheetData sheetId="265">
        <row r="7">
          <cell r="AI7">
            <v>10000</v>
          </cell>
        </row>
      </sheetData>
      <sheetData sheetId="266">
        <row r="7">
          <cell r="AI7">
            <v>10000</v>
          </cell>
        </row>
      </sheetData>
      <sheetData sheetId="267">
        <row r="7">
          <cell r="AI7">
            <v>10000</v>
          </cell>
        </row>
      </sheetData>
      <sheetData sheetId="268">
        <row r="7">
          <cell r="AI7">
            <v>10000</v>
          </cell>
        </row>
      </sheetData>
      <sheetData sheetId="269"/>
      <sheetData sheetId="270">
        <row r="7">
          <cell r="AI7">
            <v>10000</v>
          </cell>
        </row>
      </sheetData>
      <sheetData sheetId="271">
        <row r="7">
          <cell r="AI7">
            <v>10000</v>
          </cell>
        </row>
      </sheetData>
      <sheetData sheetId="272">
        <row r="7">
          <cell r="AI7">
            <v>10000</v>
          </cell>
        </row>
      </sheetData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/>
      <sheetData sheetId="336"/>
      <sheetData sheetId="337"/>
      <sheetData sheetId="338"/>
      <sheetData sheetId="339"/>
      <sheetData sheetId="340"/>
      <sheetData sheetId="341"/>
      <sheetData sheetId="342" refreshError="1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>
        <row r="7">
          <cell r="AI7">
            <v>10000</v>
          </cell>
        </row>
      </sheetData>
      <sheetData sheetId="415"/>
      <sheetData sheetId="416"/>
      <sheetData sheetId="417"/>
      <sheetData sheetId="418"/>
      <sheetData sheetId="419"/>
      <sheetData sheetId="420">
        <row r="7">
          <cell r="AI7">
            <v>10000</v>
          </cell>
        </row>
      </sheetData>
      <sheetData sheetId="421">
        <row r="7">
          <cell r="AI7">
            <v>10000</v>
          </cell>
        </row>
      </sheetData>
      <sheetData sheetId="422">
        <row r="7">
          <cell r="AI7">
            <v>10000</v>
          </cell>
        </row>
      </sheetData>
      <sheetData sheetId="423">
        <row r="7">
          <cell r="AI7">
            <v>10000</v>
          </cell>
        </row>
      </sheetData>
      <sheetData sheetId="424">
        <row r="7">
          <cell r="AI7">
            <v>10000</v>
          </cell>
        </row>
      </sheetData>
      <sheetData sheetId="425">
        <row r="7">
          <cell r="AI7">
            <v>10000</v>
          </cell>
        </row>
      </sheetData>
      <sheetData sheetId="426">
        <row r="7">
          <cell r="AI7">
            <v>10000</v>
          </cell>
        </row>
      </sheetData>
      <sheetData sheetId="427">
        <row r="7">
          <cell r="AI7">
            <v>10000</v>
          </cell>
        </row>
      </sheetData>
      <sheetData sheetId="428">
        <row r="7">
          <cell r="AI7">
            <v>10000</v>
          </cell>
        </row>
      </sheetData>
      <sheetData sheetId="429">
        <row r="7">
          <cell r="AI7">
            <v>10000</v>
          </cell>
        </row>
      </sheetData>
      <sheetData sheetId="430">
        <row r="7">
          <cell r="AI7">
            <v>10000</v>
          </cell>
        </row>
      </sheetData>
      <sheetData sheetId="431">
        <row r="7">
          <cell r="AI7">
            <v>10000</v>
          </cell>
        </row>
      </sheetData>
      <sheetData sheetId="432">
        <row r="7">
          <cell r="AI7">
            <v>10000</v>
          </cell>
        </row>
      </sheetData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>
        <row r="7">
          <cell r="AI7">
            <v>10000</v>
          </cell>
        </row>
      </sheetData>
      <sheetData sheetId="474">
        <row r="7">
          <cell r="AI7">
            <v>10000</v>
          </cell>
        </row>
      </sheetData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/>
      <sheetData sheetId="509"/>
      <sheetData sheetId="510"/>
      <sheetData sheetId="511"/>
      <sheetData sheetId="512"/>
      <sheetData sheetId="513"/>
      <sheetData sheetId="514"/>
      <sheetData sheetId="515">
        <row r="7">
          <cell r="AI7">
            <v>10000</v>
          </cell>
        </row>
      </sheetData>
      <sheetData sheetId="516"/>
      <sheetData sheetId="517"/>
      <sheetData sheetId="518"/>
      <sheetData sheetId="519"/>
      <sheetData sheetId="520"/>
      <sheetData sheetId="521"/>
      <sheetData sheetId="522"/>
      <sheetData sheetId="523">
        <row r="7">
          <cell r="AI7">
            <v>10000</v>
          </cell>
        </row>
      </sheetData>
      <sheetData sheetId="524">
        <row r="7">
          <cell r="AI7">
            <v>10000</v>
          </cell>
        </row>
      </sheetData>
      <sheetData sheetId="525">
        <row r="7">
          <cell r="AI7">
            <v>10000</v>
          </cell>
        </row>
      </sheetData>
      <sheetData sheetId="526">
        <row r="7">
          <cell r="AI7">
            <v>10000</v>
          </cell>
        </row>
      </sheetData>
      <sheetData sheetId="527">
        <row r="7">
          <cell r="AI7">
            <v>10000</v>
          </cell>
        </row>
      </sheetData>
      <sheetData sheetId="528">
        <row r="7">
          <cell r="AI7">
            <v>10000</v>
          </cell>
        </row>
      </sheetData>
      <sheetData sheetId="529">
        <row r="7">
          <cell r="AI7">
            <v>10000</v>
          </cell>
        </row>
      </sheetData>
      <sheetData sheetId="530">
        <row r="7">
          <cell r="AI7">
            <v>10000</v>
          </cell>
        </row>
      </sheetData>
      <sheetData sheetId="531">
        <row r="7">
          <cell r="AI7">
            <v>10000</v>
          </cell>
        </row>
      </sheetData>
      <sheetData sheetId="532">
        <row r="7">
          <cell r="AI7">
            <v>10000</v>
          </cell>
        </row>
      </sheetData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>
        <row r="7">
          <cell r="AI7">
            <v>10000</v>
          </cell>
        </row>
      </sheetData>
      <sheetData sheetId="646">
        <row r="7">
          <cell r="AI7">
            <v>10000</v>
          </cell>
        </row>
      </sheetData>
      <sheetData sheetId="647"/>
      <sheetData sheetId="648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/>
      <sheetData sheetId="662"/>
      <sheetData sheetId="663"/>
      <sheetData sheetId="664"/>
      <sheetData sheetId="665"/>
      <sheetData sheetId="666"/>
      <sheetData sheetId="667"/>
      <sheetData sheetId="668">
        <row r="7">
          <cell r="AI7">
            <v>10000</v>
          </cell>
        </row>
      </sheetData>
      <sheetData sheetId="669"/>
      <sheetData sheetId="670"/>
      <sheetData sheetId="671"/>
      <sheetData sheetId="672"/>
      <sheetData sheetId="673"/>
      <sheetData sheetId="674"/>
      <sheetData sheetId="675" refreshError="1"/>
      <sheetData sheetId="676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/>
      <sheetData sheetId="714"/>
      <sheetData sheetId="715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/>
      <sheetData sheetId="722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/>
      <sheetData sheetId="771"/>
      <sheetData sheetId="772" refreshError="1"/>
      <sheetData sheetId="773" refreshError="1"/>
      <sheetData sheetId="774" refreshError="1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/>
      <sheetData sheetId="860">
        <row r="7">
          <cell r="AI7">
            <v>10000</v>
          </cell>
        </row>
      </sheetData>
      <sheetData sheetId="861">
        <row r="7">
          <cell r="AI7">
            <v>10000</v>
          </cell>
        </row>
      </sheetData>
      <sheetData sheetId="862">
        <row r="7">
          <cell r="AI7">
            <v>10000</v>
          </cell>
        </row>
      </sheetData>
      <sheetData sheetId="863">
        <row r="7">
          <cell r="AI7">
            <v>10000</v>
          </cell>
        </row>
      </sheetData>
      <sheetData sheetId="864"/>
      <sheetData sheetId="865"/>
      <sheetData sheetId="866"/>
      <sheetData sheetId="867"/>
      <sheetData sheetId="868"/>
      <sheetData sheetId="869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/>
      <sheetData sheetId="888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/>
      <sheetData sheetId="904"/>
      <sheetData sheetId="905"/>
      <sheetData sheetId="906"/>
      <sheetData sheetId="907"/>
      <sheetData sheetId="908"/>
      <sheetData sheetId="909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/>
      <sheetData sheetId="916"/>
      <sheetData sheetId="917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 refreshError="1"/>
      <sheetData sheetId="963" refreshError="1"/>
      <sheetData sheetId="964" refreshError="1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 refreshError="1"/>
      <sheetData sheetId="1001"/>
      <sheetData sheetId="1002" refreshError="1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 refreshError="1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 refreshError="1"/>
      <sheetData sheetId="1113" refreshError="1"/>
      <sheetData sheetId="1114" refreshError="1"/>
      <sheetData sheetId="1115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/>
      <sheetData sheetId="1145"/>
      <sheetData sheetId="1146"/>
      <sheetData sheetId="1147"/>
      <sheetData sheetId="1148"/>
      <sheetData sheetId="1149"/>
      <sheetData sheetId="1150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/>
      <sheetData sheetId="1166" refreshError="1"/>
      <sheetData sheetId="1167" refreshError="1"/>
      <sheetData sheetId="1168" refreshError="1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 refreshError="1"/>
      <sheetData sheetId="1183" refreshError="1"/>
      <sheetData sheetId="1184" refreshError="1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/>
      <sheetData sheetId="1214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/>
      <sheetData sheetId="1232"/>
      <sheetData sheetId="1233"/>
      <sheetData sheetId="1234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/>
      <sheetData sheetId="1243" refreshError="1"/>
      <sheetData sheetId="1244" refreshError="1"/>
      <sheetData sheetId="1245" refreshError="1"/>
      <sheetData sheetId="1246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/>
      <sheetData sheetId="1266"/>
      <sheetData sheetId="1267"/>
      <sheetData sheetId="1268"/>
      <sheetData sheetId="1269"/>
      <sheetData sheetId="1270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/>
      <sheetData sheetId="1293" refreshError="1"/>
      <sheetData sheetId="1294" refreshError="1"/>
      <sheetData sheetId="1295"/>
      <sheetData sheetId="1296" refreshError="1"/>
      <sheetData sheetId="1297"/>
      <sheetData sheetId="1298" refreshError="1"/>
      <sheetData sheetId="1299" refreshError="1"/>
      <sheetData sheetId="1300" refreshError="1"/>
      <sheetData sheetId="1301" refreshError="1"/>
      <sheetData sheetId="1302"/>
      <sheetData sheetId="1303"/>
      <sheetData sheetId="1304"/>
      <sheetData sheetId="1305"/>
      <sheetData sheetId="1306"/>
      <sheetData sheetId="1307" refreshError="1"/>
      <sheetData sheetId="1308" refreshError="1"/>
      <sheetData sheetId="1309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/>
      <sheetData sheetId="1318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 refreshError="1"/>
      <sheetData sheetId="1372" refreshError="1"/>
      <sheetData sheetId="1373"/>
      <sheetData sheetId="1374" refreshError="1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 refreshError="1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 refreshError="1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 refreshError="1"/>
      <sheetData sheetId="1551" refreshError="1"/>
      <sheetData sheetId="1552" refreshError="1"/>
      <sheetData sheetId="1553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/>
      <sheetData sheetId="1638"/>
      <sheetData sheetId="1639"/>
      <sheetData sheetId="1640" refreshError="1"/>
      <sheetData sheetId="1641" refreshError="1"/>
      <sheetData sheetId="1642" refreshError="1"/>
      <sheetData sheetId="1643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/>
      <sheetData sheetId="1796"/>
      <sheetData sheetId="1797"/>
      <sheetData sheetId="1798"/>
      <sheetData sheetId="1799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/>
      <sheetData sheetId="1983"/>
      <sheetData sheetId="1984"/>
      <sheetData sheetId="1985"/>
      <sheetData sheetId="1986"/>
      <sheetData sheetId="1987" refreshError="1"/>
      <sheetData sheetId="1988"/>
      <sheetData sheetId="1989" refreshError="1"/>
      <sheetData sheetId="1990" refreshError="1"/>
      <sheetData sheetId="1991" refreshError="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 refreshError="1"/>
      <sheetData sheetId="2672" refreshError="1"/>
      <sheetData sheetId="2673"/>
      <sheetData sheetId="2674"/>
      <sheetData sheetId="2675" refreshError="1"/>
      <sheetData sheetId="2676"/>
      <sheetData sheetId="2677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/>
      <sheetData sheetId="2736" refreshError="1"/>
      <sheetData sheetId="2737" refreshError="1"/>
      <sheetData sheetId="2738" refreshError="1"/>
      <sheetData sheetId="2739" refreshError="1"/>
      <sheetData sheetId="2740"/>
      <sheetData sheetId="274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 refreshError="1"/>
      <sheetData sheetId="2783" refreshError="1"/>
      <sheetData sheetId="2784" refreshError="1"/>
      <sheetData sheetId="2785" refreshError="1"/>
      <sheetData sheetId="2786"/>
      <sheetData sheetId="2787" refreshError="1"/>
      <sheetData sheetId="2788" refreshError="1"/>
      <sheetData sheetId="2789" refreshError="1"/>
      <sheetData sheetId="2790"/>
      <sheetData sheetId="2791"/>
      <sheetData sheetId="2792" refreshError="1"/>
      <sheetData sheetId="2793" refreshError="1"/>
      <sheetData sheetId="2794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/>
      <sheetData sheetId="2810"/>
      <sheetData sheetId="2811"/>
      <sheetData sheetId="2812"/>
      <sheetData sheetId="2813" refreshError="1"/>
      <sheetData sheetId="2814" refreshError="1"/>
      <sheetData sheetId="2815"/>
      <sheetData sheetId="2816" refreshError="1"/>
      <sheetData sheetId="2817"/>
      <sheetData sheetId="2818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/>
      <sheetData sheetId="2826"/>
      <sheetData sheetId="2827" refreshError="1"/>
      <sheetData sheetId="2828" refreshError="1"/>
      <sheetData sheetId="2829"/>
      <sheetData sheetId="2830"/>
      <sheetData sheetId="2831"/>
      <sheetData sheetId="2832"/>
      <sheetData sheetId="2833"/>
      <sheetData sheetId="2834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/>
      <sheetData sheetId="2915" refreshError="1"/>
      <sheetData sheetId="2916" refreshError="1"/>
      <sheetData sheetId="2917" refreshError="1"/>
      <sheetData sheetId="2918"/>
      <sheetData sheetId="2919" refreshError="1"/>
      <sheetData sheetId="2920" refreshError="1"/>
      <sheetData sheetId="2921" refreshError="1"/>
      <sheetData sheetId="2922" refreshError="1"/>
      <sheetData sheetId="2923"/>
      <sheetData sheetId="2924" refreshError="1"/>
      <sheetData sheetId="2925" refreshError="1"/>
      <sheetData sheetId="2926"/>
      <sheetData sheetId="2927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/>
      <sheetData sheetId="3191" refreshError="1"/>
      <sheetData sheetId="3192"/>
      <sheetData sheetId="3193"/>
      <sheetData sheetId="3194"/>
      <sheetData sheetId="3195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切割 MTL"/>
      <sheetName val="切割 DI"/>
      <sheetName val="ESTI."/>
      <sheetName val="DI-ESTI"/>
      <sheetName val="MAU_A"/>
      <sheetName val="MAU_B"/>
      <sheetName val="MAU_C"/>
      <sheetName val="MAU E -XCD"/>
      <sheetName val="MAU E -TDS1"/>
      <sheetName val="MAU E- NDH"/>
      <sheetName val="00000000"/>
      <sheetName val="XL4Poppy"/>
      <sheetName val="__ MTL"/>
      <sheetName val="__ DI"/>
      <sheetName val="CAN DOI"/>
      <sheetName val="GIA TRI"/>
      <sheetName val="NO-DIEN"/>
      <sheetName val="NO-KHUONG"/>
      <sheetName val="NO-DUNG"/>
      <sheetName val="NO-DU"/>
      <sheetName val="TC NV"/>
      <sheetName val="NHAP"/>
      <sheetName val="khuong"/>
      <sheetName val="du"/>
      <sheetName val="dien"/>
      <sheetName val="dung"/>
      <sheetName val="NO-BANG"/>
      <sheetName val="ton kho"/>
      <sheetName val="bang"/>
      <sheetName val="10000000"/>
      <sheetName val="Sheet1"/>
      <sheetName val="Sheet2"/>
      <sheetName val="Sheet3"/>
      <sheetName val="Giao"/>
      <sheetName val="CHIET TINH"/>
      <sheetName val="Bang gia Ca May"/>
      <sheetName val="Bang Gia VL"/>
      <sheetName val="Tong Hop KP"/>
      <sheetName val=" DON GIA"/>
      <sheetName val="CHIET TINH THEO KH.SAT"/>
      <sheetName val="TCT DIEN LUC (EVN)"/>
      <sheetName val="415"/>
      <sheetName val="421"/>
      <sheetName val="511.BT"/>
      <sheetName val="631.BT"/>
      <sheetName val="642"/>
      <sheetName val="NKSC1"/>
      <sheetName val="CDKT"/>
      <sheetName val="BCDTCP"/>
      <sheetName val="20000000"/>
      <sheetName val="ESTI_"/>
      <sheetName val="DI_ESTI"/>
      <sheetName val="CTP"/>
      <sheetName val="LUONG"/>
      <sheetName val="lphi"/>
      <sheetName val="PLTT"/>
      <sheetName val="KTPLVP"/>
      <sheetName val="KTPL2"/>
      <sheetName val="KHKPHT7-02"/>
      <sheetName val="KHKPHT9-02"/>
      <sheetName val="KHKPHT8-02"/>
      <sheetName val="KHKPHT10-02 "/>
      <sheetName val="lptinh"/>
      <sheetName val="UHNN"/>
      <sheetName val="BHYT02"/>
      <sheetName val="TLL"/>
      <sheetName val="TLL (2)"/>
      <sheetName val="TLLhuyen"/>
      <sheetName val="Dsach"/>
      <sheetName val="TCONG"/>
      <sheetName val="KHKPHT1-02"/>
      <sheetName val="ththdt"/>
      <sheetName val="CPTHU"/>
      <sheetName val="THKPCHD"/>
      <sheetName val="QD100"/>
      <sheetName val="KHKPHT-T6-02"/>
      <sheetName val="thang 1"/>
      <sheetName val="thang2"/>
      <sheetName val="Thang 3"/>
      <sheetName val="thang5"/>
      <sheetName val="thang4"/>
      <sheetName val="00000001"/>
      <sheetName val="giao nv TH chong qua tai dot 3"/>
      <sheetName val="ton tai cac tram dong dien"/>
      <sheetName val="chong qua tai dot 3"/>
      <sheetName val="cac du an"/>
      <sheetName val="Chong qua tai dot 3 moi"/>
      <sheetName val="H.so tram chong qua tai dot 3"/>
      <sheetName val="cac tram dong dien"/>
      <sheetName val="Bieu ngang"/>
      <sheetName val="T.van gs"/>
      <sheetName val="23 tram von WB"/>
      <sheetName val="Chi phi den bu A"/>
      <sheetName val="Daily"/>
      <sheetName val="Data-input"/>
      <sheetName val="Data"/>
      <sheetName val="TK12"/>
      <sheetName val="XXXXXXXX"/>
      <sheetName val="canh (2)"/>
      <sheetName val="canh"/>
      <sheetName val="Bang Don gia II"/>
      <sheetName val="THKP"/>
      <sheetName val="HTchieusang"/>
      <sheetName val="HTdien"/>
      <sheetName val="CUNG CAP VAT TU"/>
      <sheetName val="TH.LIST CAP"/>
      <sheetName val="S3LIST CAP&amp;ONGDL"/>
      <sheetName val="S2LIST CAP&amp;ONGDL"/>
      <sheetName val="S1LIST CAP&amp;ONGDL"/>
      <sheetName val="NGUONGOCVATTU"/>
      <sheetName val="capdongluc"/>
      <sheetName val="KLMOI THAU"/>
      <sheetName val="30000000"/>
      <sheetName val="40000000"/>
      <sheetName val="50000000"/>
      <sheetName val="60000000"/>
      <sheetName val="XXXXXXX0"/>
      <sheetName val="TH9"/>
      <sheetName val="TH12"/>
      <sheetName val="general"/>
      <sheetName val="nghiviecQ402"/>
      <sheetName val="nhansu_phong"/>
      <sheetName val="dieudong2003"/>
      <sheetName val="lylich03"/>
      <sheetName val="bdns02"/>
      <sheetName val="bdns03"/>
      <sheetName val="PET-NB"/>
      <sheetName val="Sheet4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Chart1"/>
      <sheetName val="Chart2"/>
      <sheetName val="lienbao1"/>
      <sheetName val="bangrap"/>
      <sheetName val="Lie Bao2"/>
      <sheetName val="lien bao"/>
      <sheetName val="duong BR"/>
      <sheetName val="nhakhoBR"/>
      <sheetName val="trung 5"/>
      <sheetName val="QLoi"/>
      <sheetName val="PTHT"/>
      <sheetName val="Yenlac"/>
      <sheetName val="telo"/>
      <sheetName val="IBASE"/>
      <sheetName val="cham cong XL (2)"/>
      <sheetName val="cham cong XL"/>
      <sheetName val="chamcong"/>
      <sheetName val="Luong XD"/>
      <sheetName val="L.KHOAN 2 "/>
      <sheetName val="L.KHOAN 2"/>
      <sheetName val="CONGTRINHNHD"/>
      <sheetName val="L. KHOAN"/>
      <sheetName val="Luong XL"/>
      <sheetName val="PHANBOXL"/>
      <sheetName val="PHAN BO"/>
      <sheetName val="Luong XD thang 3"/>
      <sheetName val="CONGTRINHNHD thang3"/>
      <sheetName val="luong QL"/>
      <sheetName val="CONGDOAN "/>
      <sheetName val="CTACPHI"/>
      <sheetName val="TINHNEN"/>
      <sheetName val="Nen VN"/>
      <sheetName val="CTA NCS cond.2012"/>
      <sheetName val="KEM NGHIEN GIA CONG"/>
      <sheetName val="MTL$-INTER"/>
      <sheetName val="Khe uoc vay"/>
      <sheetName val="Tom tat"/>
      <sheetName val="TH tien vay"/>
      <sheetName val="KH tra no vay NH "/>
      <sheetName val="vay NHNo LS"/>
      <sheetName val="tr.han No LS"/>
      <sheetName val="NHNo Thanh hoa"/>
      <sheetName val="vay NHCT"/>
      <sheetName val="vay NHDT"/>
      <sheetName val="Dai han HTPT"/>
      <sheetName val="Lai quy 3 "/>
      <sheetName val="Tr.han NHCT"/>
      <sheetName val="Tr.han NHDT"/>
      <sheetName val="Von tu co HTPT"/>
      <sheetName val="KH NH"/>
      <sheetName val="HDTD BKLS"/>
      <sheetName val="Bthkl"/>
      <sheetName val="KM247"/>
      <sheetName val="km248"/>
      <sheetName val="DTOAN"/>
      <sheetName val="THOP-KL"/>
      <sheetName val="CPHI KKS"/>
      <sheetName val="DG-KSAT"/>
      <sheetName val="TMDAUTU"/>
      <sheetName val="GTXLCHINH"/>
      <sheetName val="CPHI-TT"/>
      <sheetName val="CPHIBUVL"/>
      <sheetName val="CHENH VLCHINH"/>
      <sheetName val="GVLHT"/>
      <sheetName val="DGCT-QCH2"/>
      <sheetName val="VL"/>
      <sheetName val="NHAN CONG"/>
      <sheetName val="MAY"/>
      <sheetName val="VUA"/>
      <sheetName val="DG CAU"/>
      <sheetName val="THOP CAU"/>
      <sheetName val="TLP CAU"/>
      <sheetName val="DAKT1"/>
      <sheetName val="XL4Test5"/>
      <sheetName val="XL4Poppy (2)"/>
      <sheetName val="Gia VL"/>
      <sheetName val="Bang luong CB"/>
      <sheetName val="Bang P.tich CT"/>
      <sheetName val="D.toan chi tiet"/>
      <sheetName val="Bang TH Dtoan"/>
      <sheetName val="Congty"/>
      <sheetName val="VPPN"/>
      <sheetName val="XN74"/>
      <sheetName val="XN54"/>
      <sheetName val="XN33"/>
      <sheetName val="NK96"/>
      <sheetName val="Cauchinh"/>
      <sheetName val="Dongnai"/>
      <sheetName val="TKenh"/>
      <sheetName val="Mhang"/>
      <sheetName val="Duong"/>
      <sheetName val="Chop"/>
      <sheetName val="Huydong"/>
      <sheetName val="THop"/>
      <sheetName val="CtinhCT"/>
      <sheetName val="DBT(h)"/>
      <sheetName val="BP"/>
      <sheetName val="CTduong"/>
      <sheetName val="CTCHop"/>
      <sheetName val="asphal"/>
      <sheetName val="Gvua"/>
      <sheetName val="Cmay"/>
      <sheetName val="VL (2)"/>
      <sheetName val="May (2)"/>
      <sheetName val="GVLBo"/>
      <sheetName val="TH"/>
      <sheetName val="XL"/>
      <sheetName val="1E"/>
      <sheetName val="2E"/>
      <sheetName val="3E"/>
      <sheetName val="7D"/>
      <sheetName val="8D"/>
      <sheetName val="14D"/>
      <sheetName val="10D"/>
      <sheetName val="20D"/>
      <sheetName val="22D"/>
      <sheetName val="24D"/>
      <sheetName val="26P"/>
      <sheetName val="28P"/>
      <sheetName val="33P"/>
      <sheetName val="PTro"/>
      <sheetName val="PT"/>
      <sheetName val="KSTK"/>
      <sheetName val="A6-II"/>
      <sheetName val="km338+00-km338+100(2)"/>
      <sheetName val="km337+136-km337-350"/>
      <sheetName val="km346+600-km346+820 (2)"/>
      <sheetName val="km346+330-km346+600 (2)"/>
      <sheetName val="km346+00-km346+240 (2)"/>
      <sheetName val="km345+400-km345+500 (6)"/>
      <sheetName val="km345+400-km345+5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37+00-km337+34 (3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cong ty so 9 VINACONEX"/>
      <sheetName val="cong ty so 9 VINACONEX (2)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THANG 09"/>
      <sheetName val="THANG 10"/>
      <sheetName val="Du an nut So"/>
      <sheetName val="Du an nut vong"/>
      <sheetName val="Du an nut Nam cau Tlong"/>
      <sheetName val="Duong kim lien 0 cho dua"/>
      <sheetName val="Du an KTDC Nam trung yen"/>
      <sheetName val="QTNC-2002"/>
      <sheetName val="QTNC2003"/>
      <sheetName val="QTNC-Tong hop"/>
      <sheetName val="QTVT-Tong hop"/>
      <sheetName val="GTQT-Tong hop"/>
      <sheetName val="QT - Duet"/>
      <sheetName val="tong hop"/>
      <sheetName val="phan tich DG"/>
      <sheetName val="gia vat lieu"/>
      <sheetName val="gia xe may"/>
      <sheetName val="gia nhan cong"/>
      <sheetName val="TK331A"/>
      <sheetName val="TK131B"/>
      <sheetName val="TK131A"/>
      <sheetName val="TK 331c1"/>
      <sheetName val="TK331C"/>
      <sheetName val="CT331-2003"/>
      <sheetName val="CT 331"/>
      <sheetName val="CT131-2003"/>
      <sheetName val="CT 131"/>
      <sheetName val="TK331B"/>
      <sheetName val="Tuan 1.01"/>
      <sheetName val="Tuan 3.01 "/>
      <sheetName val="Tuan 5.06 "/>
      <sheetName val="Tuan 6.06  "/>
      <sheetName val="Tuan 7.06 "/>
      <sheetName val="Tuan 7.06  (2)"/>
      <sheetName val="Tuan8,06"/>
      <sheetName val="Tuan9,06"/>
      <sheetName val="Tuan10,06 "/>
      <sheetName val="Tuan11,06  "/>
      <sheetName val="Tuan12,06"/>
      <sheetName val="Bao cao DD 31.3.06"/>
      <sheetName val="Bao cao DD 30.4.06"/>
      <sheetName val="Bao cao DD 31.5.06 "/>
      <sheetName val="Bao cao Quy I-06"/>
      <sheetName val="Bao cao DD 30.6.06"/>
      <sheetName val="Bao cao DD 31.7.06"/>
      <sheetName val="caodothietke"/>
      <sheetName val="m361 Base"/>
      <sheetName val="GTXLC@INH"/>
      <sheetName val="DTCT"/>
      <sheetName val="PTVT"/>
      <sheetName val="THDT"/>
      <sheetName val="THVT"/>
      <sheetName val="THGT"/>
      <sheetName val="切割 II"/>
      <sheetName val="gVL"/>
      <sheetName val="Thang 8"/>
      <sheetName val="Macro1"/>
      <sheetName val="Macro2"/>
      <sheetName val="Macro3"/>
      <sheetName val="RPT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C47-456"/>
      <sheetName val="C46"/>
      <sheetName val="C47-PII"/>
      <sheetName val="rptDSTHEOTUNGNVVATUNGKHchitiet"/>
      <sheetName val="rptHangHoaNhapXuatTonTuNgayDenN"/>
      <sheetName val="Outlets"/>
      <sheetName val="PGs"/>
      <sheetName val="Cto"/>
      <sheetName val="B×a QTo¸n"/>
      <sheetName val="TDuyÖt QT "/>
      <sheetName val="B×a QTo¸n "/>
      <sheetName val="TMQT"/>
      <sheetName val="THQTo¸n"/>
      <sheetName val="TH.HangMuc"/>
      <sheetName val="NC«ng "/>
      <sheetName val="VËt t­ "/>
      <sheetName val="ThÝ nghiÖm "/>
      <sheetName val="THVT­ "/>
      <sheetName val="Thèng Kª nghiÖm thu"/>
      <sheetName val="VChuyÓn "/>
      <sheetName val="QT Thu håi "/>
      <sheetName val="Thu håi B3 "/>
      <sheetName val="Thu håi B4  "/>
      <sheetName val="Thu håi Õ"/>
      <sheetName val="BB¶n ®gi¸ VTThu håi "/>
      <sheetName val="CaM¸y "/>
      <sheetName val="BB"/>
      <sheetName val="BB¶n"/>
      <sheetName val="BVe Duoica 2"/>
      <sheetName val="BVe 242 MK"/>
      <sheetName val="BVe LTam-6"/>
      <sheetName val="Sheet5"/>
      <sheetName val="?? MTL"/>
      <sheetName val="?? DI"/>
      <sheetName val="특외대"/>
      <sheetName val="SILICATE"/>
      <sheetName val="Main"/>
      <sheetName val="Reference"/>
      <sheetName val="11"/>
      <sheetName val="10"/>
      <sheetName val="9"/>
      <sheetName val="8"/>
      <sheetName val="7"/>
      <sheetName val="6"/>
      <sheetName val="5"/>
      <sheetName val="4"/>
      <sheetName val="3"/>
      <sheetName val="2"/>
      <sheetName val="1"/>
      <sheetName val="1N"/>
      <sheetName val="XD"/>
      <sheetName val="GTGT1"/>
      <sheetName val="NHAHAT"/>
      <sheetName val="TGTGT2"/>
      <sheetName val="CAU"/>
      <sheetName val="KL"/>
      <sheetName val="MD1"/>
      <sheetName val="Duong con' vu hcm (8)"/>
      <sheetName val="TRUC TIEP"/>
      <sheetName val="GIAN TIEP"/>
      <sheetName val="HOP DONG"/>
      <sheetName val="CON LINH"/>
      <sheetName val="Qheet3"/>
      <sheetName val="Duong co_x0000_g vu hcm (4)"/>
      <sheetName val="km346+00-km346_x000b_240 (2)"/>
      <sheetName val="km342+297._x0015_8-km342+376.41"/>
      <sheetName val="km341+1077 -km34_x0011_+1177.61"/>
      <sheetName val="Bang 聧ia ca may"/>
      <sheetName val="tienluong"/>
      <sheetName val="giamay"/>
      <sheetName val="TSO_CHUNG"/>
      <sheetName val="km337+533î60-km3ó4 (2)"/>
      <sheetName val="[RPT.xlsၝCmay"/>
      <sheetName val="[RPT.x"/>
      <sheetName val="THChi"/>
      <sheetName val="THthu"/>
      <sheetName val="BCD"/>
      <sheetName val="111"/>
      <sheetName val="112"/>
      <sheetName val="131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1"/>
      <sheetName val="3331"/>
      <sheetName val="3334"/>
      <sheetName val="334"/>
      <sheetName val="411"/>
      <sheetName val="511"/>
      <sheetName val="621"/>
      <sheetName val="622"/>
      <sheetName val="623"/>
      <sheetName val="627b"/>
      <sheetName val="632"/>
      <sheetName val="711"/>
      <sheetName val="811"/>
      <sheetName val="911"/>
      <sheetName val="009"/>
      <sheetName val=" quy I-2005"/>
      <sheetName val="Quy 2- 2005 "/>
      <sheetName val="Quy III- 2005 "/>
      <sheetName val="Quy 4- 2005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THPT.4"/>
      <sheetName val="THPT.5"/>
      <sheetName val="THPT.6"/>
      <sheetName val="DH,CD,THCN.1"/>
      <sheetName val="DH,CD,THCN.2"/>
      <sheetName val="DH,CD,THCN.3"/>
      <sheetName val="GDKCQ.1"/>
      <sheetName val="GDKCQ.2"/>
      <sheetName val="TAICHINH"/>
      <sheetName val="_x0010_p_x0000_Ё"/>
      <sheetName val="K259†Base "/>
      <sheetName val="_x0010_p?Ё"/>
      <sheetName val="km345+400-km345ÿÿ00 (6)"/>
      <sheetName val=""/>
      <sheetName val="N_x0008_AN CONG"/>
      <sheetName val="K251 _x0001_C"/>
      <sheetName val="Duïng cong vu hcm (13;) (2)"/>
      <sheetName val="pt0-1"/>
      <sheetName val="kp0-1"/>
      <sheetName val="0-1"/>
      <sheetName val="pt2-3"/>
      <sheetName val="thkp2-3"/>
      <sheetName val="clvl"/>
      <sheetName val="2-3"/>
      <sheetName val="cl1-2"/>
      <sheetName val="thkp1-2"/>
      <sheetName val="clvl1-2"/>
      <sheetName val="1-2"/>
      <sheetName val="_x0010_p_x0000_?"/>
      <sheetName val="K259Base "/>
      <sheetName val="_x0010_p??"/>
      <sheetName val="Duong co?g vu hcm (4)"/>
      <sheetName val="Disch"/>
      <sheetName val="Pack"/>
      <sheetName val="Delivery"/>
      <sheetName val="M50"/>
      <sheetName val="M48"/>
      <sheetName val="M45"/>
      <sheetName val="M38"/>
      <sheetName val="D.Order"/>
      <sheetName val="Report"/>
      <sheetName val="Report.Delivery"/>
      <sheetName val="Monthly"/>
      <sheetName val="DMTK"/>
      <sheetName val="PIPERACK"/>
      <sheetName val="MONG T,V,E"/>
      <sheetName val="tk12A-B&amp;13A-B"/>
      <sheetName val="TAM-tk12A-B&amp;13A-B"/>
      <sheetName val="tk15&amp;11A-B"/>
      <sheetName val="TAM-tk15&amp;11A-B"/>
      <sheetName val="V31"/>
      <sheetName val="T-V31"/>
      <sheetName val="V51"/>
      <sheetName val="T-V51"/>
      <sheetName val="V11"/>
      <sheetName val="v12"/>
      <sheetName val="V13"/>
      <sheetName val="v22"/>
      <sheetName val="V23"/>
      <sheetName val="v24"/>
      <sheetName val="V25"/>
      <sheetName val="V52"/>
      <sheetName val="V61"/>
      <sheetName val="E-01"/>
      <sheetName val="E-02"/>
      <sheetName val="C-01"/>
      <sheetName val="pr-B"/>
      <sheetName val="pr-C"/>
      <sheetName val="pr-D"/>
      <sheetName val="pr-E"/>
      <sheetName val="S-SA"/>
      <sheetName val="S-SB"/>
      <sheetName val="S-SC1"/>
      <sheetName val="S-SC2"/>
      <sheetName val="S-SD1"/>
      <sheetName val="S-SD2"/>
      <sheetName val="S-SD3"/>
      <sheetName val="S-SE1"/>
      <sheetName val="S-SE2"/>
      <sheetName val="sum-sl"/>
      <sheetName val="sum-steel"/>
      <sheetName val="sum-T"/>
      <sheetName val="sum-E"/>
      <sheetName val="sum-pr"/>
      <sheetName val="Corporate"/>
      <sheetName val="PNT-QUOT-#3"/>
      <sheetName val="COAT&amp;WRAP-QIOT-#3"/>
      <sheetName val="NEW-PANEL"/>
      <sheetName val="Overhead &amp; Profit B-1"/>
      <sheetName val="B-2  (DPP)"/>
      <sheetName val="RP 14E Table"/>
      <sheetName val="AG"/>
      <sheetName val="Guidelines"/>
      <sheetName val="b1"/>
      <sheetName val="2.. (2)"/>
      <sheetName val="Callout"/>
      <sheetName val="MTO REV.0"/>
      <sheetName val="предприятия"/>
      <sheetName val="ЦФО"/>
      <sheetName val="LIGHTING &amp; GROUNDING"/>
      <sheetName val="Quantity"/>
      <sheetName val="[RPT.xls]Duong cong vu hcm (8;)"/>
      <sheetName val="Duofg cong vu hcm (7;) (2)"/>
      <sheetName val="Bang ?ia ca may"/>
      <sheetName val="[RPT.xls?Cmay"/>
      <sheetName val="_x0010_p"/>
      <sheetName val="thang6"/>
      <sheetName val="Ë261"/>
      <sheetName val="K261_x0000_Base"/>
      <sheetName val="K2_x0016_1 AC"/>
      <sheetName val="T HOP"/>
      <sheetName val="LONG"/>
      <sheetName val="HAI"/>
      <sheetName val="HIEP"/>
      <sheetName val="TUAN"/>
      <sheetName val="nguyen"/>
      <sheetName val="VE"/>
      <sheetName val="VU"/>
      <sheetName val="LUAN"/>
      <sheetName val="HIEN&gt;"/>
      <sheetName val="HIEN"/>
      <sheetName val="PHU"/>
      <sheetName val="CHAN"/>
      <sheetName val="BANBGIAO"/>
      <sheetName val="DLIEU"/>
      <sheetName val="GOC"/>
      <sheetName val="Duong cong vu hcm (¶)"/>
      <sheetName val="HDKT"/>
      <sheetName val="Visual inspection record-07"/>
      <sheetName val="Fitup inspection record-06"/>
      <sheetName val="WELD MONITORING"/>
      <sheetName val="CHECK LIST"/>
      <sheetName val="MATERIAL B"/>
      <sheetName val="MATERIAL"/>
      <sheetName val="BENDING REPORT"/>
      <sheetName val="INPS RELEASE"/>
      <sheetName val="PAINTING REPORT"/>
      <sheetName val="hydro test"/>
      <sheetName val="刃割 MTL"/>
      <sheetName val="Km346+60_x0010_-km346+820 (2)"/>
      <sheetName val="km346+00-km3_x0014_6+240 (_x0012_)"/>
      <sheetName val="km345+6_x0016_1-km345+000"/>
      <sheetName val="km342+_x0013_76.41- km342+520.29"/>
      <sheetName val="km342+29_x0017_.58-km3_x0014_2+376.41"/>
      <sheetName val="XL²_x0000__x0000_t5"/>
      <sheetName val="切割 MၔL"/>
      <sheetName val="CON(LINH"/>
      <sheetName val="DG1kSAT"/>
      <sheetName val="?"/>
      <sheetName val="K261?Base"/>
      <sheetName val="CHEKe VLCHINH"/>
      <sheetName val="Con'ty"/>
      <sheetName val="Thuc thanh"/>
      <sheetName val="T1"/>
      <sheetName val="T2"/>
      <sheetName val="T3"/>
      <sheetName val="T4"/>
      <sheetName val="km338+00-km33Oé100(2)"/>
      <sheetName val="Ho=Ðdong giao khoan"/>
      <sheetName val="Mau so 04 TFDN"/>
      <sheetName val="K_x0000_5_x0001_ @9_x0008_"/>
      <sheetName val="K219 Subbase"/>
      <sheetName val="Duong cojg vu hcm (13;) (2)"/>
      <sheetName val="km342+520-km342+690 (2_x0009_"/>
      <sheetName val="Don gia"/>
      <sheetName val="K2_x0015_1 AC"/>
      <sheetName val="959 K98"/>
      <sheetName val="soktmay"/>
      <sheetName val="XL²??t5"/>
      <sheetName val="Son"/>
      <sheetName val="km342+520-km342+690 (2 "/>
      <sheetName val="MTL(AG)"/>
      <sheetName val="T-5230"/>
      <sheetName val="150"/>
      <sheetName val="gia vt,nc,may"/>
      <sheetName val="Duong cong vu hcm (8;) (:)"/>
      <sheetName val="Thang_x0000__x0000_"/>
      <sheetName val="cot_xa"/>
      <sheetName val="Quet rac"/>
      <sheetName val="May no"/>
      <sheetName val="Sua chua "/>
      <sheetName val="BC luan chuyen"/>
      <sheetName val="k-337+533.60-km338 (2)"/>
      <sheetName val="km341+275-km341)350"/>
      <sheetName val="chi tiet z"/>
      <sheetName val="000000000000"/>
      <sheetName val="100000000000"/>
      <sheetName val="200000000000"/>
      <sheetName val="300000000000"/>
      <sheetName val="400000000000"/>
      <sheetName val="C²_x0000__x0000_iet TK131"/>
      <sheetName val="_RPT.x"/>
      <sheetName val="Du a. nut Nam cau Tlong"/>
      <sheetName val="km338+00-km338+100,2)"/>
      <sheetName val="km″42+297.58-km342+376.41"/>
      <sheetName val="Sheet04"/>
      <sheetName val="K?5_x0001_ @9_x0008_"/>
      <sheetName val="K251 K)8"/>
      <sheetName val="km337+136-km337ý350"/>
      <sheetName val="Bang ke T.toan`"/>
      <sheetName val="D"/>
      <sheetName val="ÇÐ¸î MTL"/>
      <sheetName val="ÇÐ¸î DI"/>
      <sheetName val="¤Á³Î MTL"/>
      <sheetName val="¤Á³Î DI"/>
      <sheetName val="km341+1077 -km341+1!77.61"/>
      <sheetName val="km3;7+00-km337+34 (3)"/>
      <sheetName val="Duong cong vu hcm`(2)"/>
      <sheetName val="Duong cong vu_x0000_hcm (9)"/>
      <sheetName val="Duong cong vu_x0000_hcm (4;) (2)"/>
      <sheetName val="Duong cong ve hcm (6)"/>
      <sheetName val="Duong colg vu hcm (3)"/>
      <sheetName val="Duong cnng vu hcm (7;) (2)"/>
      <sheetName val="Duong cong vu hcm(_x0000_Lmat;0)!(2)"/>
      <sheetName val="CTduo~g"/>
      <sheetName val="km345+661-km345;000"/>
      <sheetName val="TNHCHINH"/>
      <sheetName val="Macro2_x0000__x0000__x0000__x0000__x0000__x0000__x0000__x0000__x0000__x0000__x0000__x0000_뻰Ŏ_x0000__x0004__x0000__x0000__x0000__x0000__x0000__x0000_뱤ŏ_x0000_"/>
      <sheetName val="MAIN GATE HOUSE"/>
      <sheetName val="Vat tu"/>
      <sheetName val="MI2A-A"/>
      <sheetName val="MI3"/>
      <sheetName val="MI20(1)"/>
      <sheetName val="Dthu"/>
      <sheetName val="THAYCTO "/>
      <sheetName val="BS"/>
      <sheetName val="LM"/>
      <sheetName val="NSL"/>
      <sheetName val="T11-2007"/>
      <sheetName val="T11-2007 (2)"/>
      <sheetName val="ng02"/>
      <sheetName val="ng3"/>
      <sheetName val="ng4"/>
      <sheetName val="ng5"/>
      <sheetName val="ng06"/>
      <sheetName val="ng7"/>
      <sheetName val="ng8"/>
      <sheetName val="ng9"/>
      <sheetName val="ng10"/>
      <sheetName val="ng11"/>
      <sheetName val="ng12"/>
      <sheetName val="ng13"/>
      <sheetName val="ng14"/>
      <sheetName val="ng16"/>
      <sheetName val="ng17"/>
      <sheetName val="ng18"/>
      <sheetName val="ng19"/>
      <sheetName val="XXXXXXX1"/>
      <sheetName val="dongia (2)"/>
      <sheetName val="gtrinh"/>
      <sheetName val="lam-moi"/>
      <sheetName val="chitiet"/>
      <sheetName val="giathanh1"/>
      <sheetName val="DONGIA"/>
      <sheetName val="thao-go"/>
      <sheetName val="#REF"/>
      <sheetName val="TH XL"/>
      <sheetName val="VC"/>
      <sheetName val="Tiepdia"/>
      <sheetName val="CHITIET VL-NC"/>
      <sheetName val="bluong"/>
      <sheetName val="banggia1"/>
      <sheetName val="dg"/>
      <sheetName val="thang 03"/>
      <sheetName val="BT-DSPK"/>
      <sheetName val="HT mua USD"/>
      <sheetName val="Phi"/>
      <sheetName val="PRTN CAP"/>
      <sheetName val="BXLDL"/>
      <sheetName val="Master"/>
      <sheetName val="tohop"/>
      <sheetName val="Phu luc XL2"/>
      <sheetName val="NN Tang Giam"/>
      <sheetName val="Phu luc XL1"/>
      <sheetName val="Gia vat tu"/>
      <sheetName val="Duong co"/>
      <sheetName val="BTH Phieu thu"/>
      <sheetName val="BTH Phieu chi"/>
      <sheetName val="NK-SC"/>
      <sheetName val="SCT NVL"/>
      <sheetName val="NK SO CAI"/>
      <sheetName val="SCT TK 331"/>
      <sheetName val="So CFSXKD"/>
      <sheetName val="SCT  TK 131"/>
      <sheetName val="So TGNH 2003"/>
      <sheetName val="So quy TM 2002"/>
      <sheetName val="The tinh Z"/>
      <sheetName val="So kho nguyen vat lieu"/>
      <sheetName val="BTH NVL"/>
      <sheetName val="So theo doi thue GTGT"/>
      <sheetName val="BC thanh QT hoa don nam 2003"/>
      <sheetName val="Cash2"/>
      <sheetName val="Z"/>
      <sheetName val="単価表"/>
      <sheetName val="금액내역서"/>
      <sheetName val="실행철강하도"/>
      <sheetName val="切割_MTL2"/>
      <sheetName val="切割_DI2"/>
      <sheetName val="ESTI_3"/>
      <sheetName val="CUNG_CAP_VAT_TU2"/>
      <sheetName val="TH_LIST_CAP2"/>
      <sheetName val="S3LIST_CAP&amp;ONGDL2"/>
      <sheetName val="S2LIST_CAP&amp;ONGDL2"/>
      <sheetName val="S1LIST_CAP&amp;ONGDL2"/>
      <sheetName val="KLMOI_THAU2"/>
      <sheetName val="CHIET_TINH2"/>
      <sheetName val="Bang_gia_Ca_May2"/>
      <sheetName val="Bang_Gia_VL2"/>
      <sheetName val="Tong_Hop_KP2"/>
      <sheetName val="_DON_GIA2"/>
      <sheetName val="CHIET_TINH_THEO_KH_SAT2"/>
      <sheetName val="TCT_DIEN_LUC_(EVN)2"/>
      <sheetName val="giao_nv_TH_chong_qua_tai_dot_32"/>
      <sheetName val="ton_tai_cac_tram_dong_dien2"/>
      <sheetName val="chong_qua_tai_dot_32"/>
      <sheetName val="cac_du_an2"/>
      <sheetName val="Chong_qua_tai_dot_3_moi2"/>
      <sheetName val="H_so_tram_chong_qua_tai_dot_32"/>
      <sheetName val="cac_tram_dong_dien2"/>
      <sheetName val="Bieu_ngang2"/>
      <sheetName val="T_van_gs2"/>
      <sheetName val="23_tram_von_WB2"/>
      <sheetName val="Chi_phi_den_bu_A2"/>
      <sheetName val="MAU_E_-XCD2"/>
      <sheetName val="MAU_E_-TDS12"/>
      <sheetName val="MAU_E-_NDH2"/>
      <sheetName val="cham_cong_XL_(2)2"/>
      <sheetName val="cham_cong_XL2"/>
      <sheetName val="Luong_XD2"/>
      <sheetName val="L_KHOAN_2_2"/>
      <sheetName val="L_KHOAN_22"/>
      <sheetName val="L__KHOAN2"/>
      <sheetName val="Luong_XL2"/>
      <sheetName val="PHAN_BO2"/>
      <sheetName val="Luong_XD_thang_32"/>
      <sheetName val="CONGTRINHNHD_thang32"/>
      <sheetName val="luong_QL2"/>
      <sheetName val="CONGDOAN_2"/>
      <sheetName val="___MTL2"/>
      <sheetName val="___DI2"/>
      <sheetName val="CAN_DOI2"/>
      <sheetName val="GIA_TRI2"/>
      <sheetName val="TC_NV2"/>
      <sheetName val="ton_kho2"/>
      <sheetName val="thang_12"/>
      <sheetName val="Thang_32"/>
      <sheetName val="KHKPHT10-02_2"/>
      <sheetName val="TLL_(2)2"/>
      <sheetName val="canh_(2)2"/>
      <sheetName val="Bang_Don_gia_II2"/>
      <sheetName val="Nen_VN2"/>
      <sheetName val="BTH_Phieu_thu2"/>
      <sheetName val="BTH_Phieu_chi2"/>
      <sheetName val="SCT_NVL2"/>
      <sheetName val="NK_SO_CAI2"/>
      <sheetName val="SCT_TK_3312"/>
      <sheetName val="So_CFSXKD2"/>
      <sheetName val="SCT__TK_1312"/>
      <sheetName val="So_TGNH_20032"/>
      <sheetName val="So_quy_TM_20022"/>
      <sheetName val="The_tinh_Z2"/>
      <sheetName val="So_kho_nguyen_vat_lieu2"/>
      <sheetName val="BTH_NVL2"/>
      <sheetName val="So_theo_doi_thue_GTGT2"/>
      <sheetName val="BC_thanh_QT_hoa_don_nam_20032"/>
      <sheetName val="GDMN_12"/>
      <sheetName val="GDMN_22"/>
      <sheetName val="GDMN_32"/>
      <sheetName val="GDMN_42"/>
      <sheetName val="GDMN_52"/>
      <sheetName val="GDTH_12"/>
      <sheetName val="GDTH_22"/>
      <sheetName val="GDTH_32"/>
      <sheetName val="GDTH_42"/>
      <sheetName val="GDTH_52"/>
      <sheetName val="THCS_12"/>
      <sheetName val="THCS_22"/>
      <sheetName val="THCS_32"/>
      <sheetName val="THCS_42"/>
      <sheetName val="THCS_52"/>
      <sheetName val="THCS_62"/>
      <sheetName val="THPT_12"/>
      <sheetName val="THPT_22"/>
      <sheetName val="THPT_32"/>
      <sheetName val="THPT_42"/>
      <sheetName val="THPT_52"/>
      <sheetName val="THPT_62"/>
      <sheetName val="DH,CD,THCN_12"/>
      <sheetName val="DH,CD,THCN_22"/>
      <sheetName val="DH,CD,THCN_32"/>
      <sheetName val="GDKCQ_12"/>
      <sheetName val="GDKCQ_22"/>
      <sheetName val="Lie_Bao22"/>
      <sheetName val="lien_bao2"/>
      <sheetName val="duong_BR2"/>
      <sheetName val="trung_52"/>
      <sheetName val="???"/>
      <sheetName val="Schedule"/>
      <sheetName val="MMTB"/>
      <sheetName val="DGNC"/>
      <sheetName val="F04-CPNC"/>
      <sheetName val="F05-CFVT"/>
      <sheetName val="VLP"/>
      <sheetName val="PVGC"/>
      <sheetName val="T03-02"/>
      <sheetName val="T02-02"/>
      <sheetName val="Mau"/>
      <sheetName val="切割_MTL"/>
      <sheetName val="切割_DI"/>
      <sheetName val="切割_MTL1"/>
      <sheetName val="切割_DI1"/>
      <sheetName val="ESTI_1"/>
      <sheetName val="C²??iet TK131"/>
      <sheetName val="Dir01"/>
      <sheetName val="chamcongDHbo"/>
      <sheetName val="1-TH"/>
      <sheetName val="thang lương"/>
      <sheetName val="vs"/>
      <sheetName val="DTCP NB"/>
      <sheetName val="XL²"/>
      <sheetName val="K"/>
      <sheetName val="C²"/>
      <sheetName val="Duong cong vu"/>
      <sheetName val="Duong cong vu hcm("/>
      <sheetName val="CSD1"/>
      <sheetName val="TPH1"/>
      <sheetName val="DN1"/>
      <sheetName val="CSD2"/>
      <sheetName val="TPH2"/>
      <sheetName val="DN2"/>
      <sheetName val="DN3TD"/>
      <sheetName val="TRUC TI԰_x0000_"/>
      <sheetName val="dhang"/>
      <sheetName val="tke"/>
      <sheetName val="xt"/>
      <sheetName val="ct"/>
      <sheetName val="dchieu"/>
      <sheetName val="vtu"/>
      <sheetName val="Danh"/>
      <sheetName val="vinh"/>
      <sheetName val="tbi"/>
      <sheetName val="nthuXD"/>
      <sheetName val="lmoi"/>
      <sheetName val="thoi"/>
      <sheetName val="T222"/>
      <sheetName val="T101"/>
      <sheetName val="T125"/>
      <sheetName val="T126"/>
      <sheetName val="T127"/>
      <sheetName val="T128"/>
      <sheetName val="T226"/>
      <sheetName val="T243"/>
      <sheetName val="T245"/>
      <sheetName val="T104"/>
      <sheetName val="T205"/>
      <sheetName val="T215"/>
      <sheetName val="T218"/>
      <sheetName val="T118"/>
      <sheetName val="T219"/>
      <sheetName val="T225"/>
      <sheetName val="T229"/>
      <sheetName val="T246"/>
      <sheetName val="T247"/>
      <sheetName val="T311"/>
      <sheetName val="T341"/>
      <sheetName val="T131"/>
      <sheetName val="N_x000b_96"/>
      <sheetName val="WUA"/>
      <sheetName val="km337+136-km33×¶350"/>
      <sheetName val="GIA_THEO_KB"/>
      <sheetName val="ESTI_2"/>
      <sheetName val="切割_MTL3"/>
      <sheetName val="切割_DI3"/>
      <sheetName val="??_MTL"/>
      <sheetName val="??_DI"/>
      <sheetName val="___MTL"/>
      <sheetName val="___DI"/>
      <sheetName val="切割_MTL4"/>
      <sheetName val="切割_DI4"/>
      <sheetName val="ESTI_4"/>
      <sheetName val="CAN_DOI"/>
      <sheetName val="GIA_TRI"/>
      <sheetName val="TC_NV"/>
      <sheetName val="ton_kho"/>
      <sheetName val="giao_nv_TH_chong_qua_tai_dot_3"/>
      <sheetName val="ton_tai_cac_tram_dong_dien"/>
      <sheetName val="chong_qua_tai_dot_3"/>
      <sheetName val="cac_du_an"/>
      <sheetName val="Chong_qua_tai_dot_3_moi"/>
      <sheetName val="H_so_tram_chong_qua_tai_dot_3"/>
      <sheetName val="cac_tram_dong_dien"/>
      <sheetName val="Bieu_ngang"/>
      <sheetName val="T_van_gs"/>
      <sheetName val="23_tram_von_WB"/>
      <sheetName val="Chi_phi_den_bu_A"/>
      <sheetName val="CHIET_TINH"/>
      <sheetName val="Bang_gia_Ca_May"/>
      <sheetName val="Bang_Gia_VL"/>
      <sheetName val="Tong_Hop_KP"/>
      <sheetName val="_DON_GIA"/>
      <sheetName val="CHIET_TINH_THEO_KH_SAT"/>
      <sheetName val="canh_(2)"/>
      <sheetName val="Bang_Don_gia_II"/>
      <sheetName val="thang_1"/>
      <sheetName val="Thang_3"/>
      <sheetName val="KHKPHT10-02_"/>
      <sheetName val="TLL_(2)"/>
      <sheetName val="CUNG_CAP_VAT_TU"/>
      <sheetName val="TH_LIST_CAP"/>
      <sheetName val="S3LIST_CAP&amp;ONGDL"/>
      <sheetName val="S2LIST_CAP&amp;ONGDL"/>
      <sheetName val="S1LIST_CAP&amp;ONGDL"/>
      <sheetName val="KLMOI_THAU"/>
      <sheetName val="MAU_E_-XCD"/>
      <sheetName val="MAU_E_-TDS1"/>
      <sheetName val="MAU_E-_NDH"/>
      <sheetName val="Lie_Bao2"/>
      <sheetName val="lien_bao"/>
      <sheetName val="duong_BR"/>
      <sheetName val="trung_5"/>
      <sheetName val="cham_cong_XL_(2)"/>
      <sheetName val="cham_cong_XL"/>
      <sheetName val="Luong_XD"/>
      <sheetName val="L_KHOAN_2_"/>
      <sheetName val="L_KHOAN_2"/>
      <sheetName val="L__KHOAN"/>
      <sheetName val="Luong_XL"/>
      <sheetName val="PHAN_BO"/>
      <sheetName val="Luong_XD_thang_3"/>
      <sheetName val="CONGTRINHNHD_thang3"/>
      <sheetName val="luong_QL"/>
      <sheetName val="CONGDOAN_"/>
      <sheetName val="Nen_VN"/>
      <sheetName val="CTA_NCS_cond_2012"/>
      <sheetName val="TCT_DIEN_LUC_(EVN)"/>
      <sheetName val="511_BT"/>
      <sheetName val="631_BT"/>
      <sheetName val="KEM_NGHIEN_GIA_CONG"/>
      <sheetName val="Khe_uoc_vay"/>
      <sheetName val="Tom_tat"/>
      <sheetName val="TH_tien_vay"/>
      <sheetName val="KH_tra_no_vay_NH_"/>
      <sheetName val="vay_NHNo_LS"/>
      <sheetName val="tr_han_No_LS"/>
      <sheetName val="NHNo_Thanh_hoa"/>
      <sheetName val="vay_NHCT"/>
      <sheetName val="vay_NHDT"/>
      <sheetName val="Dai_han_HTPT"/>
      <sheetName val="Lai_quy_3_"/>
      <sheetName val="Tr_han_NHCT"/>
      <sheetName val="Tr_han_NHDT"/>
      <sheetName val="Von_tu_co_HTPT"/>
      <sheetName val="KH_NH"/>
      <sheetName val="HDTD_BKLS"/>
      <sheetName val="CPHI_KKS"/>
      <sheetName val="CHENH_VLCHINH"/>
      <sheetName val="NHAN_CONG"/>
      <sheetName val="DG_CAU"/>
      <sheetName val="THOP_CAU"/>
      <sheetName val="TLP_CAU"/>
      <sheetName val="XL4Poppy_(2)"/>
      <sheetName val="Gia_VL"/>
      <sheetName val="Bang_luong_CB"/>
      <sheetName val="Bang_P_tich_CT"/>
      <sheetName val="D_toan_chi_tiet"/>
      <sheetName val="Bang_TH_Dtoan"/>
      <sheetName val="VL_(2)"/>
      <sheetName val="May_(2)"/>
      <sheetName val="km346+600-km346+820_(2)"/>
      <sheetName val="km346+330-km346+600_(2)"/>
      <sheetName val="km346+00-km346+240_(2)"/>
      <sheetName val="km345+400-km345+500_(6)"/>
      <sheetName val="km345+400-km345+500_(2)"/>
      <sheetName val="km342+376_41-_km342+520_29"/>
      <sheetName val="km338+439-km388+571_89"/>
      <sheetName val="km342+297_58-km342+376_41"/>
      <sheetName val="km338+571_89-km338+652"/>
      <sheetName val="km337+533_60-km338_(2)"/>
      <sheetName val="km341+1077_-km341+1177_61"/>
      <sheetName val="km337+00-km337+34_(3)"/>
      <sheetName val="km342+520-km342+690_(2)"/>
      <sheetName val="km341_26-km341+200_(2)"/>
      <sheetName val="Duong_cong_vu_hcm_(2)"/>
      <sheetName val="Duong_cong_vu_hcm_(4)"/>
      <sheetName val="Duong_cong_vu_hcm_(5)"/>
      <sheetName val="Duong_cong_vu_hcm_(9)"/>
      <sheetName val="Duong_cong_vu_hcm_(4;)_(2)"/>
      <sheetName val="Duong_cong_vu_hcm_(7)"/>
      <sheetName val="Duong_cong_vu_hcm_(8)"/>
      <sheetName val="Duong_cong_vu_hcm_(6)"/>
      <sheetName val="Duong_cong_vu_hcm_(3)"/>
      <sheetName val="Duong_cong_vu_hcm_(2;)_(2)"/>
      <sheetName val="Duong_cong_vu_hcm_(9;)_(2)"/>
      <sheetName val="Duong_cong_vu_hcm_(8;)_(2)"/>
      <sheetName val="Duong_cong_vu_hcm_(7;)_(2)"/>
      <sheetName val="Duong_cong_vu_hcm_(13;)_(2)"/>
      <sheetName val="Duong_cong_vu_hcm(_Lmat;0)_(2)"/>
      <sheetName val="Duong_cong_vu_hcm(_Lmat;1)_(2)"/>
      <sheetName val="Duong_cong_vu_hcm(_Lmat;2)"/>
      <sheetName val="cong_ty_so_9_VINACONEX"/>
      <sheetName val="cong_ty_so_9_VINACONEX_(2)"/>
      <sheetName val="K249_K98"/>
      <sheetName val="K249_K98_(2)"/>
      <sheetName val="K251_K98"/>
      <sheetName val="K251_SBase"/>
      <sheetName val="K251_AC"/>
      <sheetName val="K252_K98"/>
      <sheetName val="K252_SBase"/>
      <sheetName val="K252_AC"/>
      <sheetName val="K253_K98"/>
      <sheetName val="K253_Subbase"/>
      <sheetName val="K253_Base_"/>
      <sheetName val="K253_SBase"/>
      <sheetName val="K253_AC"/>
      <sheetName val="K255_SBase"/>
      <sheetName val="K259_K98"/>
      <sheetName val="K259_Subbase"/>
      <sheetName val="K259_Base_"/>
      <sheetName val="K259_AC"/>
      <sheetName val="K260_K98"/>
      <sheetName val="K260_Subbase"/>
      <sheetName val="K260_Base"/>
      <sheetName val="K260_AC"/>
      <sheetName val="K261_K98"/>
      <sheetName val="K261_Base"/>
      <sheetName val="K261_AC"/>
      <sheetName val="Quang_Tri"/>
      <sheetName val="Da_Nang"/>
      <sheetName val="Quang_Nam"/>
      <sheetName val="Quang_Ngai"/>
      <sheetName val="TH_DH-QN"/>
      <sheetName val="KP_HD"/>
      <sheetName val="DB_HD"/>
      <sheetName val="THANG_09"/>
      <sheetName val="THANG_10"/>
      <sheetName val="Du_an_nut_So"/>
      <sheetName val="Du_an_nut_vong"/>
      <sheetName val="Du_an_nut_Nam_cau_Tlong"/>
      <sheetName val="Duong_kim_lien_0_cho_dua"/>
      <sheetName val="Du_an_KTDC_Nam_trung_yen"/>
      <sheetName val="QTNC-Tong_hop"/>
      <sheetName val="QTVT-Tong_hop"/>
      <sheetName val="GTQT-Tong_hop"/>
      <sheetName val="QT_-_Duet"/>
      <sheetName val="tong_hop"/>
      <sheetName val="phan_tich_DG"/>
      <sheetName val="gia_vat_lieu"/>
      <sheetName val="gia_xe_may"/>
      <sheetName val="gia_nhan_cong"/>
      <sheetName val="TK_331c1"/>
      <sheetName val="CT_331"/>
      <sheetName val="CT_131"/>
      <sheetName val="Tuan_1_01"/>
      <sheetName val="Tuan_3_01_"/>
      <sheetName val="Tuan_5_06_"/>
      <sheetName val="Tuan_6_06__"/>
      <sheetName val="Tuan_7_06_"/>
      <sheetName val="Tuan_7_06__(2)"/>
      <sheetName val="Tuan10,06_"/>
      <sheetName val="Tuan11,06__"/>
      <sheetName val="Bao_cao_DD_31_3_06"/>
      <sheetName val="Bao_cao_DD_30_4_06"/>
      <sheetName val="Bao_cao_DD_31_5_06_"/>
      <sheetName val="Bao_cao_Quy_I-06"/>
      <sheetName val="Bao_cao_DD_30_6_06"/>
      <sheetName val="Bao_cao_DD_31_7_06"/>
      <sheetName val="m361_Base"/>
      <sheetName val="切割_II"/>
      <sheetName val="Thang_8"/>
      <sheetName val="TK_911"/>
      <sheetName val="TK_711"/>
      <sheetName val="TK_632"/>
      <sheetName val="Chi_tiet_511"/>
      <sheetName val="TK_511"/>
      <sheetName val="TK_342_(_thue_T_C_)"/>
      <sheetName val="Phat_sinh_2005"/>
      <sheetName val="TK_341vay_dai_han_"/>
      <sheetName val="TK_214"/>
      <sheetName val="TK_212"/>
      <sheetName val="Chi_tiet_TK_211"/>
      <sheetName val="TK_211"/>
      <sheetName val="TK_154"/>
      <sheetName val="Chi_tiet_TK_152"/>
      <sheetName val="Can_Doi_TK"/>
      <sheetName val="TK_152"/>
      <sheetName val="Chung_tu_ghi_so_"/>
      <sheetName val="TK_142"/>
      <sheetName val="TK_141"/>
      <sheetName val="TK_133"/>
      <sheetName val="Chi_tiet_TK131"/>
      <sheetName val="TK_131"/>
      <sheetName val="TK_112"/>
      <sheetName val="TK_111"/>
      <sheetName val="Phieu_thu"/>
      <sheetName val="Phieu_chi_"/>
      <sheetName val="Phieu_nhap_VTu_"/>
      <sheetName val="Phieu_xuat_VTu"/>
      <sheetName val="Can_doi_vat_tu_nhap_xuat_"/>
      <sheetName val="Vat_tu_nhapxuat_nam_2005"/>
      <sheetName val="Ca_may_can_dung_nam_2005"/>
      <sheetName val="Vat_Tu_can_cho_CT_nam_2005"/>
      <sheetName val="HD_thu_mua_hang_NLS_"/>
      <sheetName val="HD_thu_mua_cat_soi_"/>
      <sheetName val="TLy_HD_mua_ban_"/>
      <sheetName val="Bien_ban_Nthu_GK"/>
      <sheetName val="T__Ly_HD_giao_khoan_"/>
      <sheetName val="Hop_dong_giao_khoan"/>
      <sheetName val="giay_tam_ung_"/>
      <sheetName val="Bang_ke_T_toan_"/>
      <sheetName val="Hoa_don_ban_hang_"/>
      <sheetName val="Bang_phan_bo_tien_luong_2005"/>
      <sheetName val="Bang_cham_cong_"/>
      <sheetName val="Bang_T_T_Luong_CB_chu_Chot2005"/>
      <sheetName val="Bang_T_T_luong_CN_lai_xe"/>
      <sheetName val="Bang_thanh_toan_luong_2005"/>
      <sheetName val="Nhan_cong_cho_CT_nam_2005"/>
      <sheetName val="Dinh_Muc_tieu_hao_VL_2005"/>
      <sheetName val="Dang_Ky_chi_tiet_KH_2005"/>
      <sheetName val="Bang_phan_bo_NVL_nam_2005"/>
      <sheetName val="Bang_phan_bo_K_Hao_2005"/>
      <sheetName val="Dang_Ky_Khau_hao_2005"/>
      <sheetName val="Phu_luc_so_3(_TNDN)"/>
      <sheetName val="PhuLuc_so_1(TNDN)"/>
      <sheetName val="Mau_so_04_TNDN"/>
      <sheetName val="Mau_so_02C"/>
      <sheetName val="Mau_so_02B"/>
      <sheetName val="Mau_so_02A"/>
      <sheetName val="Mau_01B"/>
      <sheetName val="To_khai_Mau_11"/>
      <sheetName val="Don_xin_khat_nop_thue_nam_04"/>
      <sheetName val="Su_dung_hoa_don_mau_26"/>
      <sheetName val="QToan_hoa_don_"/>
      <sheetName val="Mau_so_01"/>
      <sheetName val="Mau_so_02"/>
      <sheetName val="Chi_tiet_Mau_03_(_mua_vao_)"/>
      <sheetName val="Mau_so_03"/>
      <sheetName val="Mau_so_04"/>
      <sheetName val="Mau_05"/>
      <sheetName val="De_nghi_giai_dap_ve_thue_"/>
      <sheetName val="the_duc"/>
      <sheetName val="Bao_cao_thong_ke_"/>
      <sheetName val="Phieu_DTra_Van_Tai_(_01_TKe_)"/>
      <sheetName val="B×a_QTo¸n"/>
      <sheetName val="TDuyÖt_QT_"/>
      <sheetName val="B×a_QTo¸n_"/>
      <sheetName val="TH_HangMuc"/>
      <sheetName val="NC«ng_"/>
      <sheetName val="VËt_t­_"/>
      <sheetName val="ThÝ_nghiÖm_"/>
      <sheetName val="THVT­_"/>
      <sheetName val="Thèng_Kª_nghiÖm_thu"/>
      <sheetName val="VChuyÓn_"/>
      <sheetName val="QT_Thu_håi_"/>
      <sheetName val="Thu_håi_B3_"/>
      <sheetName val="Thu_håi_B4__"/>
      <sheetName val="Thu_håi_Õ"/>
      <sheetName val="BB¶n_®gi¸_VTThu_håi_"/>
      <sheetName val="CaM¸y_"/>
      <sheetName val="BVe_Duoica_2"/>
      <sheetName val="BVe_242_MK"/>
      <sheetName val="BVe_LTam-6"/>
      <sheetName val="MONG_T,V,E"/>
      <sheetName val="Sheet2 (2)"/>
      <sheetName val="sum-trench"/>
      <sheetName val="Biểu tổng hợp"/>
      <sheetName val="LEGEND"/>
      <sheetName val="切割_MTL5"/>
      <sheetName val="切割_DI5"/>
      <sheetName val="ESTI_5"/>
      <sheetName val="___MTL1"/>
      <sheetName val="___DI1"/>
      <sheetName val="CAN_DOI1"/>
      <sheetName val="GIA_TRI1"/>
      <sheetName val="TC_NV1"/>
      <sheetName val="ton_kho1"/>
      <sheetName val="giao_nv_TH_chong_qua_tai_dot_31"/>
      <sheetName val="ton_tai_cac_tram_dong_dien1"/>
      <sheetName val="chong_qua_tai_dot_31"/>
      <sheetName val="cac_du_an1"/>
      <sheetName val="Chong_qua_tai_dot_3_moi1"/>
      <sheetName val="H_so_tram_chong_qua_tai_dot_31"/>
      <sheetName val="cac_tram_dong_dien1"/>
      <sheetName val="Bieu_ngang1"/>
      <sheetName val="T_van_gs1"/>
      <sheetName val="23_tram_von_WB1"/>
      <sheetName val="Chi_phi_den_bu_A1"/>
      <sheetName val="CHIET_TINH1"/>
      <sheetName val="Bang_gia_Ca_May1"/>
      <sheetName val="Bang_Gia_VL1"/>
      <sheetName val="Tong_Hop_KP1"/>
      <sheetName val="_DON_GIA1"/>
      <sheetName val="CHIET_TINH_THEO_KH_SAT1"/>
      <sheetName val="canh_(2)1"/>
      <sheetName val="Bang_Don_gia_II1"/>
      <sheetName val="thang_11"/>
      <sheetName val="Thang_31"/>
      <sheetName val="KHKPHT10-02_1"/>
      <sheetName val="TLL_(2)1"/>
      <sheetName val="CUNG_CAP_VAT_TU1"/>
      <sheetName val="TH_LIST_CAP1"/>
      <sheetName val="S3LIST_CAP&amp;ONGDL1"/>
      <sheetName val="S2LIST_CAP&amp;ONGDL1"/>
      <sheetName val="S1LIST_CAP&amp;ONGDL1"/>
      <sheetName val="KLMOI_THAU1"/>
      <sheetName val="MAU_E_-XCD1"/>
      <sheetName val="MAU_E_-TDS11"/>
      <sheetName val="MAU_E-_NDH1"/>
      <sheetName val="Lie_Bao21"/>
      <sheetName val="lien_bao1"/>
      <sheetName val="duong_BR1"/>
      <sheetName val="trung_51"/>
      <sheetName val="cham_cong_XL_(2)1"/>
      <sheetName val="cham_cong_XL1"/>
      <sheetName val="Luong_XD1"/>
      <sheetName val="L_KHOAN_2_1"/>
      <sheetName val="L_KHOAN_21"/>
      <sheetName val="L__KHOAN1"/>
      <sheetName val="Luong_XL1"/>
      <sheetName val="PHAN_BO1"/>
      <sheetName val="Luong_XD_thang_31"/>
      <sheetName val="CONGTRINHNHD_thang31"/>
      <sheetName val="luong_QL1"/>
      <sheetName val="CONGDOAN_1"/>
      <sheetName val="Nen_VN1"/>
      <sheetName val="CTA_NCS_cond_20121"/>
      <sheetName val="TCT_DIEN_LUC_(EVN)1"/>
      <sheetName val="511_BT1"/>
      <sheetName val="631_BT1"/>
      <sheetName val="KEM_NGHIEN_GIA_CONG1"/>
      <sheetName val="Khe_uoc_vay1"/>
      <sheetName val="Tom_tat1"/>
      <sheetName val="TH_tien_vay1"/>
      <sheetName val="KH_tra_no_vay_NH_1"/>
      <sheetName val="vay_NHNo_LS1"/>
      <sheetName val="tr_han_No_LS1"/>
      <sheetName val="NHNo_Thanh_hoa1"/>
      <sheetName val="vay_NHCT1"/>
      <sheetName val="vay_NHDT1"/>
      <sheetName val="Dai_han_HTPT1"/>
      <sheetName val="Lai_quy_3_1"/>
      <sheetName val="Tr_han_NHCT1"/>
      <sheetName val="Tr_han_NHDT1"/>
      <sheetName val="Von_tu_co_HTPT1"/>
      <sheetName val="KH_NH1"/>
      <sheetName val="HDTD_BKLS1"/>
      <sheetName val="CPHI_KKS1"/>
      <sheetName val="CHENH_VLCHINH1"/>
      <sheetName val="NHAN_CONG1"/>
      <sheetName val="DG_CAU1"/>
      <sheetName val="THOP_CAU1"/>
      <sheetName val="TLP_CAU1"/>
      <sheetName val="XL4Poppy_(2)1"/>
      <sheetName val="Gia_VL1"/>
      <sheetName val="Bang_luong_CB1"/>
      <sheetName val="Bang_P_tich_CT1"/>
      <sheetName val="D_toan_chi_tiet1"/>
      <sheetName val="Bang_TH_Dtoan1"/>
      <sheetName val="VL_(2)1"/>
      <sheetName val="May_(2)1"/>
      <sheetName val="km346+600-km346+820_(2)1"/>
      <sheetName val="km346+330-km346+600_(2)1"/>
      <sheetName val="km346+00-km346+240_(2)1"/>
      <sheetName val="km345+400-km345+500_(6)1"/>
      <sheetName val="km345+400-km345+500_(2)1"/>
      <sheetName val="km342+376_41-_km342+520_291"/>
      <sheetName val="km338+439-km388+571_891"/>
      <sheetName val="km342+297_58-km342+376_411"/>
      <sheetName val="km338+571_89-km338+6521"/>
      <sheetName val="km337+533_60-km338_(2)1"/>
      <sheetName val="km341+1077_-km341+1177_611"/>
      <sheetName val="km337+00-km337+34_(3)1"/>
      <sheetName val="km342+520-km342+690_(2)1"/>
      <sheetName val="km341_26-km341+200_(2)1"/>
      <sheetName val="Duong_cong_vu_hcm_(2)1"/>
      <sheetName val="Duong_cong_vu_hcm_(4)1"/>
      <sheetName val="Duong_cong_vu_hcm_(5)1"/>
      <sheetName val="Duong_cong_vu_hcm_(9)1"/>
      <sheetName val="Duong_cong_vu_hcm_(4;)_(2)1"/>
      <sheetName val="Duong_cong_vu_hcm_(7)1"/>
      <sheetName val="Duong_cong_vu_hcm_(8)1"/>
      <sheetName val="Duong_cong_vu_hcm_(6)1"/>
      <sheetName val="Duong_cong_vu_hcm_(3)1"/>
      <sheetName val="Duong_cong_vu_hcm_(2;)_(2)1"/>
      <sheetName val="Duong_cong_vu_hcm_(9;)_(2)1"/>
      <sheetName val="Duong_cong_vu_hcm_(8;)_(2)1"/>
      <sheetName val="Duong_cong_vu_hcm_(7;)_(2)1"/>
      <sheetName val="Duong_cong_vu_hcm_(13;)_(2)1"/>
      <sheetName val="Duong_cong_vu_hcm(_Lmat;0)_(2)1"/>
      <sheetName val="Duong_cong_vu_hcm(_Lmat;1)_(2)1"/>
      <sheetName val="Duong_cong_vu_hcm(_Lmat;2)1"/>
      <sheetName val="cong_ty_so_9_VINACONEX1"/>
      <sheetName val="cong_ty_so_9_VINACONEX_(2)1"/>
      <sheetName val="K249_K981"/>
      <sheetName val="K249_K98_(2)1"/>
      <sheetName val="K251_K981"/>
      <sheetName val="K251_SBase1"/>
      <sheetName val="K251_AC1"/>
      <sheetName val="K252_K981"/>
      <sheetName val="K252_SBase1"/>
      <sheetName val="K252_AC1"/>
      <sheetName val="K253_K981"/>
      <sheetName val="K253_Subbase1"/>
      <sheetName val="K253_Base_1"/>
      <sheetName val="K253_SBase1"/>
      <sheetName val="K253_AC1"/>
      <sheetName val="K255_SBase1"/>
      <sheetName val="K259_K981"/>
      <sheetName val="K259_Subbase1"/>
      <sheetName val="K259_Base_1"/>
      <sheetName val="K259_AC1"/>
      <sheetName val="K260_K981"/>
      <sheetName val="K260_Subbase1"/>
      <sheetName val="K260_Base1"/>
      <sheetName val="K260_AC1"/>
      <sheetName val="K261_K981"/>
      <sheetName val="K261_Base1"/>
      <sheetName val="K261_AC1"/>
      <sheetName val="Quang_Tri1"/>
      <sheetName val="Da_Nang1"/>
      <sheetName val="Quang_Nam1"/>
      <sheetName val="Quang_Ngai1"/>
      <sheetName val="TH_DH-QN1"/>
      <sheetName val="KP_HD1"/>
      <sheetName val="DB_HD1"/>
      <sheetName val="THANG_091"/>
      <sheetName val="THANG_101"/>
      <sheetName val="Du_an_nut_So1"/>
      <sheetName val="Du_an_nut_vong1"/>
      <sheetName val="Du_an_nut_Nam_cau_Tlong1"/>
      <sheetName val="Duong_kim_lien_0_cho_dua1"/>
      <sheetName val="Du_an_KTDC_Nam_trung_yen1"/>
      <sheetName val="QTNC-Tong_hop1"/>
      <sheetName val="QTVT-Tong_hop1"/>
      <sheetName val="GTQT-Tong_hop1"/>
      <sheetName val="QT_-_Duet1"/>
      <sheetName val="tong_hop1"/>
      <sheetName val="phan_tich_DG1"/>
      <sheetName val="gia_vat_lieu1"/>
      <sheetName val="gia_xe_may1"/>
      <sheetName val="gia_nhan_cong1"/>
      <sheetName val="TK_331c11"/>
      <sheetName val="CT_3311"/>
      <sheetName val="CT_1311"/>
      <sheetName val="Tuan_1_011"/>
      <sheetName val="Tuan_3_01_1"/>
      <sheetName val="Tuan_5_06_1"/>
      <sheetName val="Tuan_6_06__1"/>
      <sheetName val="Tuan_7_06_1"/>
      <sheetName val="Tuan_7_06__(2)1"/>
      <sheetName val="Tuan10,06_1"/>
      <sheetName val="Tuan11,06__1"/>
      <sheetName val="Bao_cao_DD_31_3_061"/>
      <sheetName val="Bao_cao_DD_30_4_061"/>
      <sheetName val="Bao_cao_DD_31_5_06_1"/>
      <sheetName val="Bao_cao_Quy_I-061"/>
      <sheetName val="Bao_cao_DD_30_6_061"/>
      <sheetName val="Bao_cao_DD_31_7_061"/>
      <sheetName val="m361_Base1"/>
      <sheetName val="切割_II1"/>
      <sheetName val="Thang_81"/>
      <sheetName val="TK_9111"/>
      <sheetName val="TK_7111"/>
      <sheetName val="TK_6321"/>
      <sheetName val="Chi_tiet_5111"/>
      <sheetName val="TK_5111"/>
      <sheetName val="TK_342_(_thue_T_C_)1"/>
      <sheetName val="Phat_sinh_20051"/>
      <sheetName val="TK_341vay_dai_han_1"/>
      <sheetName val="TK_2141"/>
      <sheetName val="TK_2121"/>
      <sheetName val="Chi_tiet_TK_2111"/>
      <sheetName val="TK_2111"/>
      <sheetName val="TK_1541"/>
      <sheetName val="Chi_tiet_TK_1521"/>
      <sheetName val="Can_Doi_TK1"/>
      <sheetName val="TK_1521"/>
      <sheetName val="Chung_tu_ghi_so_1"/>
      <sheetName val="TK_1421"/>
      <sheetName val="TK_1411"/>
      <sheetName val="TK_1331"/>
      <sheetName val="Chi_tiet_TK1311"/>
      <sheetName val="TK_1311"/>
      <sheetName val="TK_1121"/>
      <sheetName val="TK_1111"/>
      <sheetName val="Phieu_thu1"/>
      <sheetName val="Phieu_chi_1"/>
      <sheetName val="Phieu_nhap_VTu_1"/>
      <sheetName val="Phieu_xuat_VTu1"/>
      <sheetName val="Can_doi_vat_tu_nhap_xuat_1"/>
      <sheetName val="Vat_tu_nhapxuat_nam_20051"/>
      <sheetName val="Ca_may_can_dung_nam_20051"/>
      <sheetName val="Vat_Tu_can_cho_CT_nam_20051"/>
      <sheetName val="HD_thu_mua_hang_NLS_1"/>
      <sheetName val="HD_thu_mua_cat_soi_1"/>
      <sheetName val="TLy_HD_mua_ban_1"/>
      <sheetName val="Bien_ban_Nthu_GK1"/>
      <sheetName val="T__Ly_HD_giao_khoan_1"/>
      <sheetName val="Hop_dong_giao_khoan1"/>
      <sheetName val="giay_tam_ung_1"/>
      <sheetName val="Bang_ke_T_toan_1"/>
      <sheetName val="Hoa_don_ban_hang_1"/>
      <sheetName val="Bang_phan_bo_tien_luong_20051"/>
      <sheetName val="Bang_cham_cong_1"/>
      <sheetName val="Bang_T_T_Luong_CB_chu_Chot20051"/>
      <sheetName val="Bang_T_T_luong_CN_lai_xe1"/>
      <sheetName val="Bang_thanh_toan_luong_20051"/>
      <sheetName val="Nhan_cong_cho_CT_nam_20051"/>
      <sheetName val="Dinh_Muc_tieu_hao_VL_20051"/>
      <sheetName val="Dang_Ky_chi_tiet_KH_20051"/>
      <sheetName val="Bang_phan_bo_NVL_nam_20051"/>
      <sheetName val="Bang_phan_bo_K_Hao_20051"/>
      <sheetName val="Dang_Ky_Khau_hao_20051"/>
      <sheetName val="Phu_luc_so_3(_TNDN)1"/>
      <sheetName val="PhuLuc_so_1(TNDN)1"/>
      <sheetName val="Mau_so_04_TNDN1"/>
      <sheetName val="Mau_so_02C1"/>
      <sheetName val="Mau_so_02B1"/>
      <sheetName val="Mau_so_02A1"/>
      <sheetName val="Mau_01B1"/>
      <sheetName val="To_khai_Mau_111"/>
      <sheetName val="Don_xin_khat_nop_thue_nam_041"/>
      <sheetName val="Su_dung_hoa_don_mau_261"/>
      <sheetName val="QToan_hoa_don_1"/>
      <sheetName val="Mau_so_011"/>
      <sheetName val="Mau_so_021"/>
      <sheetName val="Chi_tiet_Mau_03_(_mua_vao_)1"/>
      <sheetName val="Mau_so_031"/>
      <sheetName val="Mau_so_041"/>
      <sheetName val="Mau_051"/>
      <sheetName val="De_nghi_giai_dap_ve_thue_1"/>
      <sheetName val="the_duc1"/>
      <sheetName val="Bao_cao_thong_ke_1"/>
      <sheetName val="Phieu_DTra_Van_Tai_(_01_TKe_)1"/>
      <sheetName val="B×a_QTo¸n1"/>
      <sheetName val="TDuyÖt_QT_1"/>
      <sheetName val="B×a_QTo¸n_1"/>
      <sheetName val="TH_HangMuc1"/>
      <sheetName val="NC«ng_1"/>
      <sheetName val="VËt_t­_1"/>
      <sheetName val="ThÝ_nghiÖm_1"/>
      <sheetName val="THVT­_1"/>
      <sheetName val="Thèng_Kª_nghiÖm_thu1"/>
      <sheetName val="VChuyÓn_1"/>
      <sheetName val="QT_Thu_håi_1"/>
      <sheetName val="Thu_håi_B3_1"/>
      <sheetName val="Thu_håi_B4__1"/>
      <sheetName val="Thu_håi_Õ1"/>
      <sheetName val="BB¶n_®gi¸_VTThu_håi_1"/>
      <sheetName val="CaM¸y_1"/>
      <sheetName val="BVe_Duoica_21"/>
      <sheetName val="BVe_242_MK1"/>
      <sheetName val="BVe_LTam-61"/>
      <sheetName val="??_MTL1"/>
      <sheetName val="??_DI1"/>
      <sheetName val="MONG_T,V,E1"/>
      <sheetName val="Input"/>
      <sheetName val="BCDSPS"/>
      <sheetName val="_x0000__x0006__x0000__x0006__x0000__x0006__x0000__x0006__x0000__x0006__x0000__x0006_"/>
      <sheetName val="Đầu ra sản phẩm"/>
      <sheetName val="Tổng quan và Input"/>
      <sheetName val="Đầu vào sản xuất"/>
      <sheetName val="Giá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Config"/>
      <sheetName val="CT00"/>
      <sheetName val="CT01"/>
      <sheetName val="ADD1-B3 Resi-Facade"/>
      <sheetName val="UTSBSPC1"/>
      <sheetName val="MAHANG"/>
      <sheetName val="Tenant List"/>
      <sheetName val="2.Them Gio"/>
      <sheetName val="KHQT-00-01"/>
      <sheetName val="Tongke"/>
      <sheetName val="TDTKP"/>
      <sheetName val="DK-KH"/>
      <sheetName val="dieuchinh"/>
      <sheetName val="DG3285"/>
      <sheetName val="Danh mục"/>
      <sheetName val="KH-Q1,Q2,01"/>
      <sheetName val="Sheet1-THSS"/>
      <sheetName val="BS print"/>
      <sheetName val="Sheet1ĵ"/>
      <sheetName val="MCY"/>
      <sheetName val="Macro2????????????뻰Ŏ?_x0004_??????뱤ŏ?"/>
      <sheetName val="TRUC TI԰?"/>
      <sheetName val="RM cost"/>
      <sheetName val="Sort Codes"/>
      <sheetName val="SUMMARY"/>
      <sheetName val="PHAITRA2004"/>
      <sheetName val="TONDONG2004-5"/>
      <sheetName val="TONDONG2004-4"/>
      <sheetName val="TONDONG2004-1"/>
      <sheetName val="01.2005"/>
      <sheetName val="02.2005"/>
      <sheetName val="03.2005"/>
      <sheetName val="04.2005"/>
      <sheetName val="05.2005"/>
      <sheetName val="NAM2005"/>
      <sheetName val="06.2005"/>
      <sheetName val="DL1"/>
      <sheetName val="DL2"/>
      <sheetName val="_x0000__x0000__x0000__x0000__x0000__x0000__x0000__x0000_ (2)"/>
      <sheetName val="SK'11"/>
      <sheetName val="Duong_x0000_cong vu hcm (13;) (2)"/>
      <sheetName val="?? M?L"/>
      <sheetName val="CHITIET VL-NCHT1 (2)"/>
      <sheetName val="tonghopshop1"/>
      <sheetName val="CT Thang Mo"/>
      <sheetName val="CT  PL"/>
      <sheetName val="BC"/>
      <sheetName val="QT04"/>
      <sheetName val="QT05"/>
      <sheetName val="䈇割 DI"/>
      <sheetName val="T_x0008_OP-KL"/>
      <sheetName val="DG%KSAT"/>
      <sheetName val="NKChungTu"/>
      <sheetName val="DSHD DH"/>
      <sheetName val="Data_2012"/>
      <sheetName val="Building"/>
      <sheetName val="20%"/>
      <sheetName val="Noi"/>
      <sheetName val="nhi"/>
      <sheetName val="Lay"/>
      <sheetName val="c cuu"/>
      <sheetName val="ngoai"/>
      <sheetName val="san"/>
      <sheetName val="C, khoa"/>
      <sheetName val="Y hoc"/>
      <sheetName val="Ў`"/>
      <sheetName val="_RPT.xlsၝCmay"/>
      <sheetName val="?? II"/>
      <sheetName val="Thang??"/>
      <sheetName val="DAF-2"/>
      <sheetName val="DM.ChiPhi"/>
      <sheetName val="DCV"/>
      <sheetName val="NK96_x0000_ʘ_x0000__x0000__x0000__x0000__x0000__x0000__x0000__x0000__x0000__x0000_弌ʘ_x0000__x0004_"/>
      <sheetName val="Eau so 04 TNDN"/>
      <sheetName val="Drop Down List"/>
      <sheetName val="FAB별"/>
      <sheetName val="cover page format"/>
      <sheetName val="Comparison"/>
      <sheetName val="4641"/>
      <sheetName val="DT"/>
      <sheetName val="Parem"/>
      <sheetName val="Analisa"/>
      <sheetName val="NKC6"/>
      <sheetName val="BQ ARS"/>
      <sheetName val="CHITIET VL-NC-TT1p"/>
      <sheetName val="Pre-TB"/>
      <sheetName val="TL rieng"/>
      <sheetName val="BANG PTVT"/>
      <sheetName val="BANG TIEN LUONG"/>
      <sheetName val="Khoi luong"/>
      <sheetName val="ca"/>
      <sheetName val="SC07"/>
      <sheetName val="SCTHH"/>
      <sheetName val="예적금"/>
      <sheetName val="WE'T"/>
      <sheetName val="BASE"/>
      <sheetName val="Final(1)summary"/>
      <sheetName val="Contents"/>
      <sheetName val="V-VESSEL (WITH DEMISTER)"/>
      <sheetName val="Piping Design Data"/>
      <sheetName val="D-3"/>
      <sheetName val="BATCH"/>
      <sheetName val="General Data"/>
      <sheetName val="ASME B 36.10 M"/>
      <sheetName val="Building List for reference"/>
      <sheetName val="노임단가"/>
      <sheetName val="steam table"/>
      <sheetName val="예산M12A"/>
      <sheetName val="BM "/>
      <sheetName val="DWG LIST"/>
      <sheetName val="REDUCER"/>
      <sheetName val="VAE264_VALVES"/>
      <sheetName val="작성방법"/>
      <sheetName val="BUGIA_VT"/>
      <sheetName val="Phu_luc_XL22"/>
      <sheetName val="NN_Tang_Giam2"/>
      <sheetName val="Phu_luc_XL12"/>
      <sheetName val="CPHI_KKS2"/>
      <sheetName val="CHENH_VLCHINH2"/>
      <sheetName val="Gia_VL2"/>
      <sheetName val="Bang_luong_CB2"/>
      <sheetName val="Bang_P_tich_CT2"/>
      <sheetName val="D_toan_chi_tiet2"/>
      <sheetName val="Bang_TH_Dtoan2"/>
      <sheetName val="THANG_092"/>
      <sheetName val="THANG_102"/>
      <sheetName val="VL_(2)2"/>
      <sheetName val="May_(2)2"/>
      <sheetName val="NHAN_CONG2"/>
      <sheetName val="DG_CAU2"/>
      <sheetName val="THOP_CAU2"/>
      <sheetName val="TLP_CAU2"/>
      <sheetName val="XL4Poppy_(2)2"/>
      <sheetName val="km346+600-km346+820_(2)2"/>
      <sheetName val="km346+330-km346+600_(2)2"/>
      <sheetName val="km346+00-km346+240_(2)2"/>
      <sheetName val="km345+400-km345+500_(6)2"/>
      <sheetName val="km345+400-km345+500_(2)2"/>
      <sheetName val="km342+376_41-_km342+520_292"/>
      <sheetName val="km338+439-km388+571_892"/>
      <sheetName val="km342+297_58-km342+376_412"/>
      <sheetName val="km338+571_89-km338+6522"/>
      <sheetName val="km337+533_60-km338_(2)2"/>
      <sheetName val="km341+1077_-km341+1177_612"/>
      <sheetName val="km337+00-km337+34_(3)2"/>
      <sheetName val="km342+520-km342+690_(2)2"/>
      <sheetName val="km341_26-km341+200_(2)2"/>
      <sheetName val="Duong_cong_vu_hcm_(2)2"/>
      <sheetName val="Duong_cong_vu_hcm_(4)2"/>
      <sheetName val="Duong_cong_vu_hcm_(5)2"/>
      <sheetName val="Duong_cong_vu_hcm_(9)2"/>
      <sheetName val="Duong_cong_vu_hcm_(4;)_(2)2"/>
      <sheetName val="Duong_cong_vu_hcm_(7)2"/>
      <sheetName val="Duong_cong_vu_hcm_(8)2"/>
      <sheetName val="Duong_cong_vu_hcm_(6)2"/>
      <sheetName val="Duong_cong_vu_hcm_(3)2"/>
      <sheetName val="Duong_cong_vu_hcm_(2;)_(2)2"/>
      <sheetName val="Duong_cong_vu_hcm_(9;)_(2)2"/>
      <sheetName val="Duong_cong_vu_hcm_(8;)_(2)2"/>
      <sheetName val="Duong_cong_vu_hcm_(7;)_(2)2"/>
      <sheetName val="Duong_cong_vu_hcm_(13;)_(2)2"/>
      <sheetName val="Duong_cong_vu_hcm(_Lmat;0)_(2)2"/>
      <sheetName val="Duong_cong_vu_hcm(_Lmat;1)_(2)2"/>
      <sheetName val="Duong_cong_vu_hcm(_Lmat;2)2"/>
      <sheetName val="cong_ty_so_9_VINACONEX2"/>
      <sheetName val="cong_ty_so_9_VINACONEX_(2)2"/>
      <sheetName val="QTNC-Tong_hop2"/>
      <sheetName val="QTVT-Tong_hop2"/>
      <sheetName val="GTQT-Tong_hop2"/>
      <sheetName val="QT_-_Duet2"/>
      <sheetName val="K249_K982"/>
      <sheetName val="K249_K98_(2)2"/>
      <sheetName val="K251_K982"/>
      <sheetName val="K251_SBase2"/>
      <sheetName val="K251_AC2"/>
      <sheetName val="K252_K982"/>
      <sheetName val="K252_SBase2"/>
      <sheetName val="K252_AC2"/>
      <sheetName val="K253_K982"/>
      <sheetName val="K253_Subbase2"/>
      <sheetName val="K253_Base_2"/>
      <sheetName val="K253_SBase2"/>
      <sheetName val="K253_AC2"/>
      <sheetName val="K255_SBase2"/>
      <sheetName val="K259_K982"/>
      <sheetName val="K259_Subbase2"/>
      <sheetName val="K259_Base_2"/>
      <sheetName val="K259_AC2"/>
      <sheetName val="K260_K982"/>
      <sheetName val="K260_Subbase2"/>
      <sheetName val="K260_Base2"/>
      <sheetName val="K260_AC2"/>
      <sheetName val="K261_K982"/>
      <sheetName val="K261_Base2"/>
      <sheetName val="K261_AC2"/>
      <sheetName val="Du_an_nut_So2"/>
      <sheetName val="Du_an_nut_vong2"/>
      <sheetName val="Du_an_nut_Nam_cau_Tlong2"/>
      <sheetName val="Duong_kim_lien_0_cho_dua2"/>
      <sheetName val="Du_an_KTDC_Nam_trung_yen2"/>
      <sheetName val="tong_hop2"/>
      <sheetName val="phan_tich_DG2"/>
      <sheetName val="gia_vat_lieu2"/>
      <sheetName val="gia_xe_may2"/>
      <sheetName val="gia_nhan_cong2"/>
      <sheetName val="Quang_Tri2"/>
      <sheetName val="Da_Nang2"/>
      <sheetName val="Quang_Nam2"/>
      <sheetName val="Quang_Ngai2"/>
      <sheetName val="TH_DH-QN2"/>
      <sheetName val="KP_HD2"/>
      <sheetName val="DB_HD2"/>
      <sheetName val="TK_331c12"/>
      <sheetName val="CT_3312"/>
      <sheetName val="CT_1312"/>
      <sheetName val="Tuan_1_012"/>
      <sheetName val="Tuan_3_01_2"/>
      <sheetName val="Tuan_5_06_2"/>
      <sheetName val="Tuan_6_06__2"/>
      <sheetName val="Tuan_7_06_2"/>
      <sheetName val="Tuan_7_06__(2)2"/>
      <sheetName val="Tuan10,06_2"/>
      <sheetName val="Tuan11,06__2"/>
      <sheetName val="Bao_cao_DD_31_3_062"/>
      <sheetName val="Bao_cao_DD_30_4_062"/>
      <sheetName val="Bao_cao_DD_31_5_06_2"/>
      <sheetName val="Bao_cao_Quy_I-062"/>
      <sheetName val="Bao_cao_DD_30_6_062"/>
      <sheetName val="Bao_cao_DD_31_7_062"/>
      <sheetName val="Thang_82"/>
      <sheetName val="Duong_con'_vu_hcm_(8)2"/>
      <sheetName val="TK_9112"/>
      <sheetName val="TK_7112"/>
      <sheetName val="TK_6322"/>
      <sheetName val="Chi_tiet_5112"/>
      <sheetName val="TK_5112"/>
      <sheetName val="TK_342_(_thue_T_C_)2"/>
      <sheetName val="Phat_sinh_20052"/>
      <sheetName val="TK_341vay_dai_han_2"/>
      <sheetName val="TK_2142"/>
      <sheetName val="TK_2122"/>
      <sheetName val="Chi_tiet_TK_2112"/>
      <sheetName val="TK_2112"/>
      <sheetName val="TK_1542"/>
      <sheetName val="Chi_tiet_TK_1522"/>
      <sheetName val="Can_Doi_TK2"/>
      <sheetName val="TK_1522"/>
      <sheetName val="Chung_tu_ghi_so_2"/>
      <sheetName val="TK_1422"/>
      <sheetName val="TK_1412"/>
      <sheetName val="TK_1332"/>
      <sheetName val="Chi_tiet_TK1312"/>
      <sheetName val="TK_1312"/>
      <sheetName val="TK_1122"/>
      <sheetName val="TK_1112"/>
      <sheetName val="Phieu_thu2"/>
      <sheetName val="Phieu_chi_2"/>
      <sheetName val="Phieu_nhap_VTu_2"/>
      <sheetName val="Phieu_xuat_VTu2"/>
      <sheetName val="Can_doi_vat_tu_nhap_xuat_2"/>
      <sheetName val="Vat_tu_nhapxuat_nam_20052"/>
      <sheetName val="Ca_may_can_dung_nam_20052"/>
      <sheetName val="Vat_Tu_can_cho_CT_nam_20052"/>
      <sheetName val="HD_thu_mua_hang_NLS_2"/>
      <sheetName val="HD_thu_mua_cat_soi_2"/>
      <sheetName val="TLy_HD_mua_ban_2"/>
      <sheetName val="Bien_ban_Nthu_GK2"/>
      <sheetName val="T__Ly_HD_giao_khoan_2"/>
      <sheetName val="Hop_dong_giao_khoan2"/>
      <sheetName val="giay_tam_ung_2"/>
      <sheetName val="Bang_ke_T_toan_2"/>
      <sheetName val="Hoa_don_ban_hang_2"/>
      <sheetName val="Bang_phan_bo_tien_luong_20052"/>
      <sheetName val="Bang_cham_cong_2"/>
      <sheetName val="Bang_T_T_Luong_CB_chu_Chot20052"/>
      <sheetName val="Bang_T_T_luong_CN_lai_xe2"/>
      <sheetName val="Bang_thanh_toan_luong_20052"/>
      <sheetName val="Nhan_cong_cho_CT_nam_20052"/>
      <sheetName val="Dinh_Muc_tieu_hao_VL_20052"/>
      <sheetName val="Dang_Ky_chi_tiet_KH_20052"/>
      <sheetName val="Bang_phan_bo_NVL_nam_20052"/>
      <sheetName val="Bang_phan_bo_K_Hao_20052"/>
      <sheetName val="Dang_Ky_Khau_hao_20052"/>
      <sheetName val="Phu_luc_so_3(_TNDN)2"/>
      <sheetName val="PhuLuc_so_1(TNDN)2"/>
      <sheetName val="Mau_so_04_TNDN2"/>
      <sheetName val="Mau_so_02C2"/>
      <sheetName val="Mau_so_02B2"/>
      <sheetName val="Mau_so_02A2"/>
      <sheetName val="Mau_01B2"/>
      <sheetName val="To_khai_Mau_112"/>
      <sheetName val="Don_xin_khat_nop_thue_nam_042"/>
      <sheetName val="Su_dung_hoa_don_mau_262"/>
      <sheetName val="QToan_hoa_don_2"/>
      <sheetName val="Mau_so_012"/>
      <sheetName val="Mau_so_022"/>
      <sheetName val="Chi_tiet_Mau_03_(_mua_vao_)2"/>
      <sheetName val="Mau_so_032"/>
      <sheetName val="Mau_so_042"/>
      <sheetName val="Mau_052"/>
      <sheetName val="De_nghi_giai_dap_ve_thue_2"/>
      <sheetName val="the_duc2"/>
      <sheetName val="Bao_cao_thong_ke_2"/>
      <sheetName val="Phieu_DTra_Van_Tai_(_01_TKe_)2"/>
      <sheetName val="TRUC_TIEP2"/>
      <sheetName val="GIAN_TIEP2"/>
      <sheetName val="HOP_DONG2"/>
      <sheetName val="CON_LINH2"/>
      <sheetName val="[RPT_xlsၝCmay2"/>
      <sheetName val="Bang_聧ia_ca_may2"/>
      <sheetName val="[RPT_x2"/>
      <sheetName val="_quy_I-20052"/>
      <sheetName val="Quy_2-_2005_2"/>
      <sheetName val="Quy_III-_2005_2"/>
      <sheetName val="Quy_4-_20052"/>
      <sheetName val="MONG_T,V,E2"/>
      <sheetName val="Visual_inspection_record-072"/>
      <sheetName val="Fitup_inspection_record-062"/>
      <sheetName val="WELD_MONITORING2"/>
      <sheetName val="CHECK_LIST2"/>
      <sheetName val="MATERIAL_B2"/>
      <sheetName val="BENDING_REPORT2"/>
      <sheetName val="INPS_RELEASE2"/>
      <sheetName val="PAINTING_REPORT2"/>
      <sheetName val="hydro_test2"/>
      <sheetName val="??_MTL2"/>
      <sheetName val="??_DI2"/>
      <sheetName val="[RPT_xls?Cmay2"/>
      <sheetName val="Bang_?ia_ca_may2"/>
      <sheetName val="km346+00-km346240_(2)"/>
      <sheetName val="km342+297_8-km342+376_41"/>
      <sheetName val="km341+1077_-km34+1177_61"/>
      <sheetName val="V-VESSEL_(WITH_DEMISTER)2"/>
      <sheetName val="Piping_Design_Data2"/>
      <sheetName val="General_Data2"/>
      <sheetName val="ASME_B_36_10_M2"/>
      <sheetName val="Building_List_for_reference2"/>
      <sheetName val="steam_table2"/>
      <sheetName val="BM_2"/>
      <sheetName val="DWG_LIST2"/>
      <sheetName val="m361_Base2"/>
      <sheetName val="km337+533î60-km3ó4_(2)2"/>
      <sheetName val="Quet_rac2"/>
      <sheetName val="Duïng_cong_vu_hcm_(13;)_(2)2"/>
      <sheetName val="Duong_cong_vu_hcm_(8;)_(:)2"/>
      <sheetName val="Duofg_cong_vu_hcm_(7;)_(2)2"/>
      <sheetName val="切割_II2"/>
      <sheetName val="Mau_so_04_TFDN2"/>
      <sheetName val="NAN_CONG"/>
      <sheetName val="K251_C"/>
      <sheetName val="km345+400-km345ÿÿ00_(6)2"/>
      <sheetName val="Duong_cong_vu_hcm_(¶)2"/>
      <sheetName val="刃割_MTL2"/>
      <sheetName val="Ho=Ðdong_giao_khoan2"/>
      <sheetName val="Km346+60-km346+820_(2)"/>
      <sheetName val="km346+00-km36+240_()"/>
      <sheetName val="km345+61-km345+000"/>
      <sheetName val="km342+76_41-_km342+520_29"/>
      <sheetName val="km342+29_58-km32+376_41"/>
      <sheetName val="K21_AC"/>
      <sheetName val="K5_@9"/>
      <sheetName val="CHEKe_VLCHINH2"/>
      <sheetName val="pЁ"/>
      <sheetName val="K259†Base_2"/>
      <sheetName val="Phu_luc_XL2"/>
      <sheetName val="NN_Tang_Giam"/>
      <sheetName val="Phu_luc_XL1"/>
      <sheetName val="Duong_con'_vu_hcm_(8)"/>
      <sheetName val="TRUC_TIEP"/>
      <sheetName val="GIAN_TIEP"/>
      <sheetName val="HOP_DONG"/>
      <sheetName val="CON_LINH"/>
      <sheetName val="[RPT_xlsၝCmay"/>
      <sheetName val="Bang_聧ia_ca_may"/>
      <sheetName val="[RPT_x"/>
      <sheetName val="_quy_I-2005"/>
      <sheetName val="Quy_2-_2005_"/>
      <sheetName val="Quy_III-_2005_"/>
      <sheetName val="Quy_4-_2005"/>
      <sheetName val="Visual_inspection_record-07"/>
      <sheetName val="Fitup_inspection_record-06"/>
      <sheetName val="WELD_MONITORING"/>
      <sheetName val="CHECK_LIST"/>
      <sheetName val="MATERIAL_B"/>
      <sheetName val="BENDING_REPORT"/>
      <sheetName val="INPS_RELEASE"/>
      <sheetName val="PAINTING_REPORT"/>
      <sheetName val="hydro_test"/>
      <sheetName val="GDMN_1"/>
      <sheetName val="GDMN_2"/>
      <sheetName val="GDMN_3"/>
      <sheetName val="GDMN_4"/>
      <sheetName val="GDMN_5"/>
      <sheetName val="GDTH_1"/>
      <sheetName val="GDTH_2"/>
      <sheetName val="GDTH_3"/>
      <sheetName val="GDTH_4"/>
      <sheetName val="GDTH_5"/>
      <sheetName val="THCS_1"/>
      <sheetName val="THCS_2"/>
      <sheetName val="THCS_3"/>
      <sheetName val="THCS_4"/>
      <sheetName val="THCS_5"/>
      <sheetName val="THCS_6"/>
      <sheetName val="THPT_1"/>
      <sheetName val="THPT_2"/>
      <sheetName val="THPT_3"/>
      <sheetName val="THPT_4"/>
      <sheetName val="THPT_5"/>
      <sheetName val="THPT_6"/>
      <sheetName val="DH,CD,THCN_1"/>
      <sheetName val="DH,CD,THCN_2"/>
      <sheetName val="DH,CD,THCN_3"/>
      <sheetName val="GDKCQ_1"/>
      <sheetName val="GDKCQ_2"/>
      <sheetName val="[RPT_xls?Cmay"/>
      <sheetName val="Bang_?ia_ca_may"/>
      <sheetName val="V-VESSEL_(WITH_DEMISTER)"/>
      <sheetName val="Piping_Design_Data"/>
      <sheetName val="General_Data"/>
      <sheetName val="ASME_B_36_10_M"/>
      <sheetName val="Building_List_for_reference"/>
      <sheetName val="steam_table"/>
      <sheetName val="BM_"/>
      <sheetName val="DWG_LIST"/>
      <sheetName val="km337+533î60-km3ó4_(2)"/>
      <sheetName val="Quet_rac"/>
      <sheetName val="Duïng_cong_vu_hcm_(13;)_(2)"/>
      <sheetName val="Duong_cong_vu_hcm_(8;)_(:)"/>
      <sheetName val="Duofg_cong_vu_hcm_(7;)_(2)"/>
      <sheetName val="Mau_so_04_TFDN"/>
      <sheetName val="km345+400-km345ÿÿ00_(6)"/>
      <sheetName val="Duong_cong_vu_hcm_(¶)"/>
      <sheetName val="刃割_MTL"/>
      <sheetName val="Ho=Ðdong_giao_khoan"/>
      <sheetName val="CHEKe_VLCHINH"/>
      <sheetName val="K259†Base_"/>
      <sheetName val="Phu_luc_XL21"/>
      <sheetName val="NN_Tang_Giam1"/>
      <sheetName val="Phu_luc_XL11"/>
      <sheetName val="Duong_con'_vu_hcm_(8)1"/>
      <sheetName val="TRUC_TIEP1"/>
      <sheetName val="GIAN_TIEP1"/>
      <sheetName val="HOP_DONG1"/>
      <sheetName val="CON_LINH1"/>
      <sheetName val="[RPT_xlsၝCmay1"/>
      <sheetName val="Bang_聧ia_ca_may1"/>
      <sheetName val="[RPT_x1"/>
      <sheetName val="_quy_I-20051"/>
      <sheetName val="Quy_2-_2005_1"/>
      <sheetName val="Quy_III-_2005_1"/>
      <sheetName val="Quy_4-_20051"/>
      <sheetName val="Visual_inspection_record-071"/>
      <sheetName val="Fitup_inspection_record-061"/>
      <sheetName val="WELD_MONITORING1"/>
      <sheetName val="CHECK_LIST1"/>
      <sheetName val="MATERIAL_B1"/>
      <sheetName val="BENDING_REPORT1"/>
      <sheetName val="INPS_RELEASE1"/>
      <sheetName val="PAINTING_REPORT1"/>
      <sheetName val="hydro_test1"/>
      <sheetName val="GDMN_11"/>
      <sheetName val="GDMN_21"/>
      <sheetName val="GDMN_31"/>
      <sheetName val="GDMN_41"/>
      <sheetName val="GDMN_51"/>
      <sheetName val="GDTH_11"/>
      <sheetName val="GDTH_21"/>
      <sheetName val="GDTH_31"/>
      <sheetName val="GDTH_41"/>
      <sheetName val="GDTH_51"/>
      <sheetName val="THCS_11"/>
      <sheetName val="THCS_21"/>
      <sheetName val="THCS_31"/>
      <sheetName val="THCS_41"/>
      <sheetName val="THCS_51"/>
      <sheetName val="THCS_61"/>
      <sheetName val="THPT_11"/>
      <sheetName val="THPT_21"/>
      <sheetName val="THPT_31"/>
      <sheetName val="THPT_41"/>
      <sheetName val="THPT_51"/>
      <sheetName val="THPT_61"/>
      <sheetName val="DH,CD,THCN_11"/>
      <sheetName val="DH,CD,THCN_21"/>
      <sheetName val="DH,CD,THCN_31"/>
      <sheetName val="GDKCQ_11"/>
      <sheetName val="GDKCQ_21"/>
      <sheetName val="[RPT_xls?Cmay1"/>
      <sheetName val="Bang_?ia_ca_may1"/>
      <sheetName val="V-VESSEL_(WITH_DEMISTER)1"/>
      <sheetName val="Piping_Design_Data1"/>
      <sheetName val="General_Data1"/>
      <sheetName val="ASME_B_36_10_M1"/>
      <sheetName val="Building_List_for_reference1"/>
      <sheetName val="steam_table1"/>
      <sheetName val="BM_1"/>
      <sheetName val="DWG_LIST1"/>
      <sheetName val="km337+533î60-km3ó4_(2)1"/>
      <sheetName val="Quet_rac1"/>
      <sheetName val="Duïng_cong_vu_hcm_(13;)_(2)1"/>
      <sheetName val="Duong_cong_vu_hcm_(8;)_(:)1"/>
      <sheetName val="Duofg_cong_vu_hcm_(7;)_(2)1"/>
      <sheetName val="Mau_so_04_TFDN1"/>
      <sheetName val="km345+400-km345ÿÿ00_(6)1"/>
      <sheetName val="Duong_cong_vu_hcm_(¶)1"/>
      <sheetName val="刃割_MTL1"/>
      <sheetName val="Ho=Ðdong_giao_khoan1"/>
      <sheetName val="CHEKe_VLCHINH1"/>
      <sheetName val="K259†Base_1"/>
      <sheetName val="180VanDinh"/>
      <sheetName val="TONGDUTOAN"/>
      <sheetName val="TDT"/>
      <sheetName val="TDT35KV"/>
      <sheetName val="THVLNC-MTC-35"/>
      <sheetName val="160Nhien"/>
      <sheetName val="75A.xanh"/>
      <sheetName val="CT-35"/>
      <sheetName val="CT-BETONG"/>
      <sheetName val="CTVL"/>
      <sheetName val="CT-0.4KV"/>
      <sheetName val="TDT-tram"/>
      <sheetName val="TH_0.4KV"/>
      <sheetName val="TH-10"/>
      <sheetName val="TH-35Re"/>
      <sheetName val="TH-Cap"/>
      <sheetName val="TDT35re"/>
      <sheetName val="TDT10kV"/>
      <sheetName val="직원동원계획"/>
      <sheetName val="98TSON4A"/>
      <sheetName val="LKVL-CK-HT-GD1"/>
      <sheetName val="MOB-MAN1"/>
      <sheetName val="_RPT.xls_Cmay"/>
      <sheetName val="Bang _ia ca may"/>
      <sheetName val="Duong cong vu hcm (8;) (_)"/>
      <sheetName val="_RPT_xlsၝCmay2"/>
      <sheetName val="_RPT_x2"/>
      <sheetName val="_RPT_xls_Cmay2"/>
      <sheetName val="Bang__ia_ca_may2"/>
      <sheetName val="Duong_cong_vu_hcm_(8;)_(_)2"/>
      <sheetName val="_RPT_xlsၝCmay"/>
      <sheetName val="_RPT_x"/>
      <sheetName val="_RPT_xls_Cmay"/>
      <sheetName val="Bang__ia_ca_may"/>
      <sheetName val="Duong_cong_vu_hcm_(8;)_(_)"/>
      <sheetName val="_RPT_xlsၝCmay1"/>
      <sheetName val="_RPT_x1"/>
      <sheetName val="_RPT_xls_Cmay1"/>
      <sheetName val="Bang__ia_ca_may1"/>
      <sheetName val="Duong_cong_vu_hcm_(8;)_(_)1"/>
      <sheetName val="_x0010_p_Ё"/>
      <sheetName val="_"/>
      <sheetName val="XL²__t5"/>
      <sheetName val="Xeo 1"/>
      <sheetName val="17 KPI GHTT"/>
      <sheetName val="10A KPI TDV"/>
      <sheetName val="ns2004"/>
      <sheetName val="cay"/>
      <sheetName val="thop dotII"/>
      <sheetName val="n s 2005"/>
      <sheetName val="xd04-05"/>
      <sheetName val="vc05"/>
      <sheetName val="day hoc"/>
      <sheetName val="PHuynh"/>
      <sheetName val="KT"/>
      <sheetName val="Doi"/>
      <sheetName val="thue den TV"/>
      <sheetName val="tvien"/>
      <sheetName val="ttam"/>
      <sheetName val="kvinh"/>
      <sheetName val="kxuyen"/>
      <sheetName val="d1"/>
      <sheetName val="hslop1"/>
      <sheetName val="giu%cong trinh"/>
      <sheetName val="ung"/>
      <sheetName val="Sheet17"/>
      <sheetName val="Sheet18"/>
      <sheetName val="Sheet19"/>
      <sheetName val="Sheet20"/>
      <sheetName val="Sheet21"/>
      <sheetName val="Sheet22"/>
      <sheetName val="Sheet23"/>
      <sheetName val="Sheet24"/>
      <sheetName val="3. Tong hop khoi luong"/>
      <sheetName val="SCOPE OF WORK"/>
      <sheetName val="Database"/>
      <sheetName val="chitimc"/>
      <sheetName val="Pick List"/>
      <sheetName val="tonsp (2)"/>
      <sheetName val="Internal"/>
      <sheetName val="VP-MM"/>
      <sheetName val="511_BT2"/>
      <sheetName val="631_BT2"/>
      <sheetName val="KEM_NGHIEN_GIA_CONG2"/>
      <sheetName val="Pick_List"/>
      <sheetName val="tonsp_(2)"/>
      <sheetName val="HelpData"/>
      <sheetName val="PC_PH00010001"/>
      <sheetName val="PP1PXDM"/>
      <sheetName val="PP3PXDM"/>
      <sheetName val="VC2012"/>
      <sheetName val="Simulation"/>
      <sheetName val="BDMTK"/>
      <sheetName val="ctTBA"/>
      <sheetName val="giai thich - matec"/>
      <sheetName val="tra-vat-lieu"/>
      <sheetName val="QMCT"/>
      <sheetName val="KL HSMT tinh thieu"/>
      <sheetName val="Bang tra"/>
      <sheetName val="dg-VTu"/>
      <sheetName val="Chiet tinh dz35"/>
      <sheetName val="Chiet tinh dz22"/>
      <sheetName val="dnc4"/>
      <sheetName val="T6"/>
      <sheetName val="bk"/>
      <sheetName val="T5"/>
      <sheetName val="BS 5"/>
      <sheetName val="BS 6"/>
      <sheetName val="BS 7"/>
      <sheetName val="thu"/>
      <sheetName val="20-09"/>
      <sheetName val="HD"/>
      <sheetName val="INCHITIET"/>
      <sheetName val="T7"/>
      <sheetName val="T1-05"/>
      <sheetName val="T2-05"/>
      <sheetName val="T03-05"/>
      <sheetName val="T03-05 (2)"/>
      <sheetName val="T03-05 (3)"/>
      <sheetName val="BO SUNG T02-04"/>
      <sheetName val="T03-04"/>
      <sheetName val="04-04"/>
      <sheetName val="T05-04"/>
      <sheetName val="T8"/>
      <sheetName val="T9"/>
      <sheetName val="T10"/>
      <sheetName val="T11"/>
      <sheetName val="T12"/>
      <sheetName val="KLUONG"/>
      <sheetName val="du toan tuong rao chinh (2)"/>
      <sheetName val="du toan cong (2)"/>
      <sheetName val="du toan ke da&amp;tuong rao (2)"/>
      <sheetName val="cap dien nha DH (2)"/>
      <sheetName val="TDT-Cap"/>
      <sheetName val="TDT0.4KV"/>
      <sheetName val="TDT_CTo"/>
      <sheetName val="TH_CTo"/>
      <sheetName val="BCKT35KV"/>
      <sheetName val="Don gia khao sat"/>
      <sheetName val="Chiet tinh tu van"/>
      <sheetName val="TDT-TBA"/>
      <sheetName val="THVLNC_MTC 9TBA"/>
      <sheetName val="chiet tinh tram"/>
      <sheetName val="TDT-XDTBA"/>
      <sheetName val="Tinh chi phi thiet bÞ 9 TBA"/>
      <sheetName val="Chi tiet van chuyen"/>
      <sheetName val="Khoi luong van chuyen "/>
      <sheetName val="DENBU"/>
      <sheetName val="Mong"/>
      <sheetName val="bTH-Tram75 (2)"/>
      <sheetName val="bVTuThuHoi"/>
      <sheetName val="bVon"/>
      <sheetName val="b1600"/>
      <sheetName val="hinhhoc"/>
      <sheetName val="Links"/>
      <sheetName val="PIPE내역(FCN)"/>
      <sheetName val="phuluc1"/>
      <sheetName val="phuluc2"/>
      <sheetName val="phuluc3A"/>
      <sheetName val="phuluc3b"/>
      <sheetName val="Phuluc4"/>
      <sheetName val="phuluc5"/>
      <sheetName val="phuluc9"/>
      <sheetName val="phuluc10"/>
      <sheetName val="PHULUC11"/>
      <sheetName val="phuluc12"/>
      <sheetName val="CCDN"/>
      <sheetName val="TONGKE3p"/>
      <sheetName val="YTD_LC"/>
      <sheetName val="01pl"/>
      <sheetName val="TONGKE1P"/>
      <sheetName val="TLg CN&amp;Laixe"/>
      <sheetName val="TLg CN&amp;Laixe (2)"/>
      <sheetName val="TLg Laitau"/>
      <sheetName val="TLg Laitau (2)"/>
      <sheetName val="Dinh nghia"/>
      <sheetName val="QUAN CHóE"/>
      <sheetName val="TIEP LAI CHAU"/>
      <sheetName val="AANH NGAN"/>
      <sheetName val="LIEN DA"/>
      <sheetName val="HAO DIUEN CHAU"/>
      <sheetName val="n"/>
      <sheetName val="KHANH LAN"/>
      <sheetName val="TRUONG HA NAM"/>
      <sheetName val="TOAN GIALAI"/>
      <sheetName val="TUAN LINH"/>
      <sheetName val="HUE FU XUYEN"/>
      <sheetName val="LONG TUYET"/>
      <sheetName val="NGAN CANH"/>
      <sheetName val="DoNG"/>
      <sheetName val="DIEN LINHTHAI BINH"/>
      <sheetName val="DIEU LINH"/>
      <sheetName val="TRONG NAM DINH"/>
      <sheetName val="THE HONG LINH"/>
      <sheetName val="PHUNG"/>
      <sheetName val="HUY BO"/>
      <sheetName val="VI GáU"/>
      <sheetName val="LAM XINH"/>
      <sheetName val="ANH NGAN"/>
      <sheetName val=" KHANH LAN"/>
      <sheetName val="CHINH MAI"/>
      <sheetName val="CANH phuong"/>
      <sheetName val="TOAN GIA LAI"/>
      <sheetName val="NGOC DIEN BIEN"/>
      <sheetName val="hoang thom"/>
      <sheetName val="CHI QUYEN"/>
      <sheetName val="ngäc NAM"/>
      <sheetName val="kim anh"/>
      <sheetName val="THANG OANH"/>
      <sheetName val="TUAN DIEN BIEN"/>
      <sheetName val="TUAN TRUONG"/>
      <sheetName val="FUC QUYET"/>
      <sheetName val="XL²_x0000__x0000_€t5"/>
      <sheetName val="_x0000_"/>
      <sheetName val="Duong cog vu hcm (4)"/>
      <sheetName val="_x0010_p?"/>
      <sheetName val="K261Base"/>
      <sheetName val="K5_x0001_ @9_x0008_"/>
      <sheetName val="Thang"/>
      <sheetName val="Duong cong vuhcm (9)"/>
      <sheetName val="Duong cong vuhcm (4;) (2)"/>
      <sheetName val="Duong cong vu hcm(Lmat;0)!(2)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STATISTICAL ESTIMATION OF FITTINGS AND VALVES FOR PIPING WORK</v>
          </cell>
        </row>
        <row r="8">
          <cell r="A8">
            <v>3</v>
          </cell>
          <cell r="B8" t="str">
            <v>5S</v>
          </cell>
          <cell r="C8">
            <v>0.5</v>
          </cell>
          <cell r="D8">
            <v>1.65</v>
          </cell>
          <cell r="E8">
            <v>1</v>
          </cell>
          <cell r="F8">
            <v>0</v>
          </cell>
          <cell r="G8">
            <v>0</v>
          </cell>
          <cell r="H8">
            <v>0</v>
          </cell>
          <cell r="I8">
            <v>7.0000000000000007E-2</v>
          </cell>
          <cell r="J8">
            <v>0</v>
          </cell>
          <cell r="K8">
            <v>7.0000000000000007E-2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2</v>
          </cell>
          <cell r="Q8">
            <v>0</v>
          </cell>
          <cell r="R8">
            <v>0</v>
          </cell>
        </row>
        <row r="9">
          <cell r="A9">
            <v>4</v>
          </cell>
          <cell r="B9" t="str">
            <v>5S</v>
          </cell>
          <cell r="C9">
            <v>0.5</v>
          </cell>
          <cell r="D9">
            <v>1.65</v>
          </cell>
          <cell r="E9">
            <v>1</v>
          </cell>
          <cell r="F9">
            <v>0</v>
          </cell>
          <cell r="G9">
            <v>0</v>
          </cell>
          <cell r="H9">
            <v>0</v>
          </cell>
          <cell r="I9">
            <v>7.0000000000000007E-2</v>
          </cell>
          <cell r="J9">
            <v>0</v>
          </cell>
          <cell r="K9">
            <v>7.0000000000000007E-2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2</v>
          </cell>
          <cell r="Q9">
            <v>0</v>
          </cell>
          <cell r="R9">
            <v>0</v>
          </cell>
        </row>
        <row r="10">
          <cell r="A10" t="str">
            <v>5S</v>
          </cell>
          <cell r="B10" t="str">
            <v>5S</v>
          </cell>
          <cell r="C10">
            <v>0.5</v>
          </cell>
          <cell r="D10">
            <v>1.65</v>
          </cell>
          <cell r="E10">
            <v>1</v>
          </cell>
          <cell r="F10">
            <v>0</v>
          </cell>
          <cell r="G10">
            <v>0</v>
          </cell>
          <cell r="H10">
            <v>0</v>
          </cell>
          <cell r="I10">
            <v>7.0000000000000007E-2</v>
          </cell>
          <cell r="J10">
            <v>0</v>
          </cell>
          <cell r="K10">
            <v>7.0000000000000007E-2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2</v>
          </cell>
          <cell r="Q10">
            <v>0</v>
          </cell>
          <cell r="R10">
            <v>0</v>
          </cell>
        </row>
        <row r="11">
          <cell r="A11">
            <v>6</v>
          </cell>
          <cell r="B11" t="str">
            <v>5S</v>
          </cell>
          <cell r="C11">
            <v>0.75</v>
          </cell>
          <cell r="D11">
            <v>1.65</v>
          </cell>
          <cell r="E11">
            <v>1</v>
          </cell>
          <cell r="F11">
            <v>0</v>
          </cell>
          <cell r="G11">
            <v>0</v>
          </cell>
          <cell r="H11">
            <v>0</v>
          </cell>
          <cell r="I11">
            <v>7.0000000000000007E-2</v>
          </cell>
          <cell r="J11">
            <v>0</v>
          </cell>
          <cell r="K11">
            <v>7.0000000000000007E-2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2</v>
          </cell>
          <cell r="Q11">
            <v>0</v>
          </cell>
          <cell r="R11">
            <v>0</v>
          </cell>
        </row>
        <row r="12">
          <cell r="A12">
            <v>7</v>
          </cell>
          <cell r="B12" t="str">
            <v>5S</v>
          </cell>
          <cell r="C12">
            <v>0.75</v>
          </cell>
          <cell r="D12">
            <v>1.65</v>
          </cell>
          <cell r="E12">
            <v>1</v>
          </cell>
          <cell r="F12">
            <v>0</v>
          </cell>
          <cell r="G12">
            <v>0</v>
          </cell>
          <cell r="H12">
            <v>0</v>
          </cell>
          <cell r="I12">
            <v>7.0000000000000007E-2</v>
          </cell>
          <cell r="J12">
            <v>0</v>
          </cell>
          <cell r="K12">
            <v>7.0000000000000007E-2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2</v>
          </cell>
          <cell r="Q12">
            <v>0</v>
          </cell>
          <cell r="R12">
            <v>0</v>
          </cell>
        </row>
        <row r="13">
          <cell r="A13">
            <v>8</v>
          </cell>
          <cell r="B13" t="str">
            <v>5S</v>
          </cell>
          <cell r="C13">
            <v>0.75</v>
          </cell>
          <cell r="D13">
            <v>1.65</v>
          </cell>
          <cell r="E13">
            <v>1</v>
          </cell>
          <cell r="F13">
            <v>0</v>
          </cell>
          <cell r="G13">
            <v>0</v>
          </cell>
          <cell r="H13">
            <v>0</v>
          </cell>
          <cell r="I13">
            <v>7.0000000000000007E-2</v>
          </cell>
          <cell r="J13">
            <v>0</v>
          </cell>
          <cell r="K13">
            <v>7.0000000000000007E-2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2</v>
          </cell>
          <cell r="Q13">
            <v>0</v>
          </cell>
          <cell r="R13">
            <v>0</v>
          </cell>
        </row>
        <row r="14">
          <cell r="A14">
            <v>9</v>
          </cell>
          <cell r="B14" t="str">
            <v>5S</v>
          </cell>
          <cell r="C14">
            <v>1</v>
          </cell>
          <cell r="D14">
            <v>1.65</v>
          </cell>
          <cell r="E14">
            <v>1</v>
          </cell>
          <cell r="F14">
            <v>0</v>
          </cell>
          <cell r="G14">
            <v>0</v>
          </cell>
          <cell r="H14">
            <v>0</v>
          </cell>
          <cell r="I14">
            <v>0.12</v>
          </cell>
          <cell r="J14">
            <v>0</v>
          </cell>
          <cell r="K14">
            <v>0.12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2</v>
          </cell>
          <cell r="Q14">
            <v>0</v>
          </cell>
          <cell r="R14">
            <v>0</v>
          </cell>
        </row>
        <row r="15">
          <cell r="A15">
            <v>10</v>
          </cell>
          <cell r="B15" t="str">
            <v>5S</v>
          </cell>
          <cell r="C15">
            <v>1</v>
          </cell>
          <cell r="D15">
            <v>1.65</v>
          </cell>
          <cell r="E15">
            <v>1</v>
          </cell>
          <cell r="F15">
            <v>0</v>
          </cell>
          <cell r="G15">
            <v>0</v>
          </cell>
          <cell r="H15">
            <v>0</v>
          </cell>
          <cell r="I15">
            <v>0.12</v>
          </cell>
          <cell r="J15">
            <v>0</v>
          </cell>
          <cell r="K15">
            <v>0.12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2</v>
          </cell>
          <cell r="Q15">
            <v>0</v>
          </cell>
          <cell r="R15">
            <v>0</v>
          </cell>
        </row>
        <row r="16">
          <cell r="A16">
            <v>11</v>
          </cell>
          <cell r="B16" t="str">
            <v>5S</v>
          </cell>
          <cell r="C16">
            <v>1</v>
          </cell>
          <cell r="D16">
            <v>1.65</v>
          </cell>
          <cell r="E16">
            <v>1</v>
          </cell>
          <cell r="F16">
            <v>0</v>
          </cell>
          <cell r="G16">
            <v>0</v>
          </cell>
          <cell r="H16">
            <v>0</v>
          </cell>
          <cell r="I16">
            <v>0.12</v>
          </cell>
          <cell r="J16">
            <v>0</v>
          </cell>
          <cell r="K16">
            <v>0.12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2</v>
          </cell>
          <cell r="Q16">
            <v>0</v>
          </cell>
          <cell r="R16">
            <v>0</v>
          </cell>
        </row>
        <row r="17">
          <cell r="A17">
            <v>12</v>
          </cell>
          <cell r="B17" t="str">
            <v>5S</v>
          </cell>
          <cell r="C17">
            <v>1.25</v>
          </cell>
          <cell r="D17">
            <v>1.65</v>
          </cell>
          <cell r="E17">
            <v>1</v>
          </cell>
          <cell r="F17">
            <v>0</v>
          </cell>
          <cell r="G17">
            <v>0</v>
          </cell>
          <cell r="H17">
            <v>0</v>
          </cell>
          <cell r="I17">
            <v>0.15</v>
          </cell>
          <cell r="J17">
            <v>0</v>
          </cell>
          <cell r="K17">
            <v>0.15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2</v>
          </cell>
          <cell r="Q17">
            <v>0</v>
          </cell>
          <cell r="R17">
            <v>0</v>
          </cell>
        </row>
        <row r="18">
          <cell r="A18">
            <v>13</v>
          </cell>
          <cell r="B18" t="str">
            <v>5S</v>
          </cell>
          <cell r="C18">
            <v>1.25</v>
          </cell>
          <cell r="D18">
            <v>1.65</v>
          </cell>
          <cell r="E18">
            <v>1</v>
          </cell>
          <cell r="F18">
            <v>0</v>
          </cell>
          <cell r="G18">
            <v>0</v>
          </cell>
          <cell r="H18">
            <v>0</v>
          </cell>
          <cell r="I18">
            <v>0.15</v>
          </cell>
          <cell r="J18">
            <v>0</v>
          </cell>
          <cell r="K18">
            <v>0.15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2</v>
          </cell>
          <cell r="Q18">
            <v>0</v>
          </cell>
          <cell r="R18">
            <v>0</v>
          </cell>
        </row>
        <row r="19">
          <cell r="A19">
            <v>14</v>
          </cell>
          <cell r="B19" t="str">
            <v>5S</v>
          </cell>
          <cell r="C19">
            <v>1.25</v>
          </cell>
          <cell r="D19">
            <v>1.65</v>
          </cell>
          <cell r="E19">
            <v>1</v>
          </cell>
          <cell r="F19">
            <v>0</v>
          </cell>
          <cell r="G19">
            <v>0</v>
          </cell>
          <cell r="H19">
            <v>0</v>
          </cell>
          <cell r="I19">
            <v>0.15</v>
          </cell>
          <cell r="J19">
            <v>0</v>
          </cell>
          <cell r="K19">
            <v>0.15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2</v>
          </cell>
          <cell r="Q19">
            <v>0</v>
          </cell>
          <cell r="R19">
            <v>0</v>
          </cell>
        </row>
        <row r="20">
          <cell r="A20">
            <v>15</v>
          </cell>
          <cell r="B20" t="str">
            <v>5S</v>
          </cell>
          <cell r="C20">
            <v>1.5</v>
          </cell>
          <cell r="D20">
            <v>1.65</v>
          </cell>
          <cell r="E20">
            <v>1</v>
          </cell>
          <cell r="F20">
            <v>0</v>
          </cell>
          <cell r="G20">
            <v>0</v>
          </cell>
          <cell r="H20">
            <v>0</v>
          </cell>
          <cell r="I20">
            <v>0.15</v>
          </cell>
          <cell r="J20">
            <v>0</v>
          </cell>
          <cell r="K20">
            <v>0.15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2</v>
          </cell>
          <cell r="Q20">
            <v>0</v>
          </cell>
          <cell r="R20">
            <v>0</v>
          </cell>
        </row>
        <row r="21">
          <cell r="A21">
            <v>16</v>
          </cell>
          <cell r="B21" t="str">
            <v>5S</v>
          </cell>
          <cell r="C21">
            <v>1.5</v>
          </cell>
          <cell r="D21">
            <v>1.65</v>
          </cell>
          <cell r="E21">
            <v>1</v>
          </cell>
          <cell r="F21">
            <v>0</v>
          </cell>
          <cell r="G21">
            <v>0</v>
          </cell>
          <cell r="H21">
            <v>0</v>
          </cell>
          <cell r="I21">
            <v>0.15</v>
          </cell>
          <cell r="J21">
            <v>0</v>
          </cell>
          <cell r="K21">
            <v>0.15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2</v>
          </cell>
          <cell r="Q21">
            <v>0</v>
          </cell>
          <cell r="R21">
            <v>0</v>
          </cell>
        </row>
        <row r="22">
          <cell r="A22">
            <v>17</v>
          </cell>
          <cell r="B22" t="str">
            <v>5S</v>
          </cell>
          <cell r="C22">
            <v>1.5</v>
          </cell>
          <cell r="D22">
            <v>1.65</v>
          </cell>
          <cell r="E22">
            <v>1</v>
          </cell>
          <cell r="F22">
            <v>0</v>
          </cell>
          <cell r="G22">
            <v>0</v>
          </cell>
          <cell r="H22">
            <v>0</v>
          </cell>
          <cell r="I22">
            <v>0.15</v>
          </cell>
          <cell r="J22">
            <v>0</v>
          </cell>
          <cell r="K22">
            <v>0.15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2</v>
          </cell>
          <cell r="Q22">
            <v>0</v>
          </cell>
          <cell r="R22">
            <v>0</v>
          </cell>
        </row>
        <row r="23">
          <cell r="A23">
            <v>18</v>
          </cell>
          <cell r="B23" t="str">
            <v>5S</v>
          </cell>
          <cell r="C23">
            <v>2</v>
          </cell>
          <cell r="D23">
            <v>1.65</v>
          </cell>
          <cell r="E23">
            <v>1</v>
          </cell>
          <cell r="F23">
            <v>0</v>
          </cell>
          <cell r="G23">
            <v>0</v>
          </cell>
          <cell r="H23">
            <v>0</v>
          </cell>
          <cell r="I23">
            <v>0.15</v>
          </cell>
          <cell r="J23">
            <v>0</v>
          </cell>
          <cell r="K23">
            <v>0.15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2</v>
          </cell>
          <cell r="Q23">
            <v>0</v>
          </cell>
          <cell r="R23">
            <v>0</v>
          </cell>
        </row>
        <row r="24">
          <cell r="A24">
            <v>19</v>
          </cell>
          <cell r="B24" t="str">
            <v>5S</v>
          </cell>
          <cell r="C24">
            <v>2</v>
          </cell>
          <cell r="D24">
            <v>1.65</v>
          </cell>
          <cell r="E24">
            <v>1</v>
          </cell>
          <cell r="F24">
            <v>0</v>
          </cell>
          <cell r="G24">
            <v>0</v>
          </cell>
          <cell r="H24">
            <v>0</v>
          </cell>
          <cell r="I24">
            <v>0.15</v>
          </cell>
          <cell r="J24">
            <v>0</v>
          </cell>
          <cell r="K24">
            <v>0.15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2</v>
          </cell>
          <cell r="Q24">
            <v>0</v>
          </cell>
          <cell r="R24">
            <v>0</v>
          </cell>
        </row>
        <row r="25">
          <cell r="A25">
            <v>20</v>
          </cell>
          <cell r="B25" t="str">
            <v>5S</v>
          </cell>
          <cell r="C25">
            <v>2</v>
          </cell>
          <cell r="D25">
            <v>1.65</v>
          </cell>
          <cell r="E25">
            <v>1</v>
          </cell>
          <cell r="F25">
            <v>0</v>
          </cell>
          <cell r="G25">
            <v>0</v>
          </cell>
          <cell r="H25">
            <v>0</v>
          </cell>
          <cell r="I25">
            <v>0.15</v>
          </cell>
          <cell r="J25">
            <v>0</v>
          </cell>
          <cell r="K25">
            <v>0.15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2</v>
          </cell>
          <cell r="Q25">
            <v>0</v>
          </cell>
          <cell r="R25">
            <v>0</v>
          </cell>
        </row>
        <row r="26">
          <cell r="A26">
            <v>21</v>
          </cell>
          <cell r="B26" t="str">
            <v>5S</v>
          </cell>
          <cell r="C26">
            <v>2.5</v>
          </cell>
          <cell r="D26">
            <v>2.11</v>
          </cell>
          <cell r="E26">
            <v>1</v>
          </cell>
          <cell r="F26">
            <v>0</v>
          </cell>
          <cell r="G26">
            <v>0</v>
          </cell>
          <cell r="H26">
            <v>0</v>
          </cell>
          <cell r="I26">
            <v>0.15</v>
          </cell>
          <cell r="J26">
            <v>0</v>
          </cell>
          <cell r="K26">
            <v>0.15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2</v>
          </cell>
          <cell r="Q26">
            <v>0</v>
          </cell>
          <cell r="R26">
            <v>0</v>
          </cell>
        </row>
        <row r="27">
          <cell r="A27">
            <v>22</v>
          </cell>
          <cell r="B27" t="str">
            <v>5S</v>
          </cell>
          <cell r="C27">
            <v>3</v>
          </cell>
          <cell r="D27">
            <v>2.11</v>
          </cell>
          <cell r="E27">
            <v>1</v>
          </cell>
          <cell r="F27">
            <v>0</v>
          </cell>
          <cell r="G27">
            <v>0</v>
          </cell>
          <cell r="H27">
            <v>0</v>
          </cell>
          <cell r="I27">
            <v>0.3</v>
          </cell>
          <cell r="J27">
            <v>0</v>
          </cell>
          <cell r="K27">
            <v>0.3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2</v>
          </cell>
          <cell r="Q27">
            <v>0</v>
          </cell>
          <cell r="R27">
            <v>0</v>
          </cell>
        </row>
        <row r="28">
          <cell r="A28">
            <v>23</v>
          </cell>
          <cell r="B28" t="str">
            <v>5S</v>
          </cell>
          <cell r="C28">
            <v>3.5</v>
          </cell>
          <cell r="D28">
            <v>2.11</v>
          </cell>
          <cell r="E28">
            <v>1</v>
          </cell>
          <cell r="F28">
            <v>0</v>
          </cell>
          <cell r="G28">
            <v>0</v>
          </cell>
          <cell r="H28">
            <v>0</v>
          </cell>
          <cell r="I28">
            <v>0.3</v>
          </cell>
          <cell r="J28">
            <v>0</v>
          </cell>
          <cell r="K28">
            <v>0.3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3</v>
          </cell>
          <cell r="Q28">
            <v>0</v>
          </cell>
          <cell r="R28">
            <v>0</v>
          </cell>
        </row>
        <row r="29">
          <cell r="A29">
            <v>24</v>
          </cell>
          <cell r="B29" t="str">
            <v>5S</v>
          </cell>
          <cell r="C29">
            <v>4</v>
          </cell>
          <cell r="D29">
            <v>2.11</v>
          </cell>
          <cell r="E29">
            <v>1</v>
          </cell>
          <cell r="F29">
            <v>0</v>
          </cell>
          <cell r="G29">
            <v>0</v>
          </cell>
          <cell r="H29">
            <v>0</v>
          </cell>
          <cell r="I29">
            <v>0.3</v>
          </cell>
          <cell r="J29">
            <v>0</v>
          </cell>
          <cell r="K29">
            <v>0.3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3</v>
          </cell>
          <cell r="Q29">
            <v>0</v>
          </cell>
          <cell r="R29">
            <v>0</v>
          </cell>
        </row>
        <row r="30">
          <cell r="A30">
            <v>25</v>
          </cell>
          <cell r="B30" t="str">
            <v>5S</v>
          </cell>
          <cell r="C30">
            <v>5</v>
          </cell>
          <cell r="D30">
            <v>2.77</v>
          </cell>
          <cell r="E30">
            <v>1</v>
          </cell>
          <cell r="F30">
            <v>0</v>
          </cell>
          <cell r="G30">
            <v>0</v>
          </cell>
          <cell r="H30">
            <v>0</v>
          </cell>
          <cell r="I30">
            <v>0.3</v>
          </cell>
          <cell r="J30">
            <v>0</v>
          </cell>
          <cell r="K30">
            <v>0.3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4</v>
          </cell>
          <cell r="Q30">
            <v>0</v>
          </cell>
          <cell r="R30">
            <v>0</v>
          </cell>
        </row>
        <row r="31">
          <cell r="A31" t="str">
            <v>5S</v>
          </cell>
          <cell r="B31" t="str">
            <v>5S</v>
          </cell>
          <cell r="C31">
            <v>6</v>
          </cell>
          <cell r="D31">
            <v>2.77</v>
          </cell>
          <cell r="E31">
            <v>1</v>
          </cell>
          <cell r="F31">
            <v>0</v>
          </cell>
          <cell r="G31">
            <v>0</v>
          </cell>
          <cell r="H31">
            <v>0</v>
          </cell>
          <cell r="I31">
            <v>0.45</v>
          </cell>
          <cell r="J31">
            <v>0</v>
          </cell>
          <cell r="K31">
            <v>0.45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4</v>
          </cell>
          <cell r="Q31">
            <v>0</v>
          </cell>
          <cell r="R31">
            <v>0</v>
          </cell>
        </row>
        <row r="32">
          <cell r="A32">
            <v>27</v>
          </cell>
          <cell r="B32" t="str">
            <v>5S</v>
          </cell>
          <cell r="C32">
            <v>8</v>
          </cell>
          <cell r="D32">
            <v>2.77</v>
          </cell>
          <cell r="E32">
            <v>1</v>
          </cell>
          <cell r="F32">
            <v>0</v>
          </cell>
          <cell r="G32">
            <v>0</v>
          </cell>
          <cell r="H32">
            <v>0</v>
          </cell>
          <cell r="I32">
            <v>0.45</v>
          </cell>
          <cell r="J32">
            <v>0</v>
          </cell>
          <cell r="K32">
            <v>0.45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4</v>
          </cell>
          <cell r="Q32">
            <v>0</v>
          </cell>
          <cell r="R32">
            <v>0</v>
          </cell>
        </row>
        <row r="33">
          <cell r="A33">
            <v>28</v>
          </cell>
          <cell r="B33" t="str">
            <v>5S</v>
          </cell>
          <cell r="C33">
            <v>10</v>
          </cell>
          <cell r="D33">
            <v>3.4</v>
          </cell>
          <cell r="E33">
            <v>1</v>
          </cell>
          <cell r="F33">
            <v>0</v>
          </cell>
          <cell r="G33">
            <v>0</v>
          </cell>
          <cell r="H33">
            <v>0</v>
          </cell>
          <cell r="I33">
            <v>0.9</v>
          </cell>
          <cell r="J33">
            <v>0</v>
          </cell>
          <cell r="K33">
            <v>0.9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4</v>
          </cell>
          <cell r="Q33">
            <v>0</v>
          </cell>
          <cell r="R33">
            <v>0</v>
          </cell>
        </row>
        <row r="34">
          <cell r="A34">
            <v>29</v>
          </cell>
          <cell r="B34" t="str">
            <v>5S</v>
          </cell>
          <cell r="C34">
            <v>12</v>
          </cell>
          <cell r="D34">
            <v>3.96</v>
          </cell>
          <cell r="E34">
            <v>1</v>
          </cell>
          <cell r="F34">
            <v>0</v>
          </cell>
          <cell r="G34">
            <v>0</v>
          </cell>
          <cell r="H34">
            <v>0</v>
          </cell>
          <cell r="I34">
            <v>1.2</v>
          </cell>
          <cell r="J34">
            <v>0</v>
          </cell>
          <cell r="K34">
            <v>1.2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6</v>
          </cell>
          <cell r="Q34">
            <v>0</v>
          </cell>
          <cell r="R34">
            <v>0</v>
          </cell>
        </row>
        <row r="35">
          <cell r="A35">
            <v>30</v>
          </cell>
          <cell r="B35" t="str">
            <v>5S</v>
          </cell>
          <cell r="C35">
            <v>14</v>
          </cell>
          <cell r="D35">
            <v>3.96</v>
          </cell>
          <cell r="E35">
            <v>1</v>
          </cell>
          <cell r="F35">
            <v>0</v>
          </cell>
          <cell r="G35">
            <v>0</v>
          </cell>
          <cell r="H35">
            <v>0</v>
          </cell>
          <cell r="I35">
            <v>1.34</v>
          </cell>
          <cell r="J35">
            <v>0</v>
          </cell>
          <cell r="K35">
            <v>1.34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6</v>
          </cell>
          <cell r="Q35">
            <v>0</v>
          </cell>
          <cell r="R35">
            <v>0</v>
          </cell>
        </row>
        <row r="36">
          <cell r="A36">
            <v>31</v>
          </cell>
          <cell r="B36" t="str">
            <v>5S</v>
          </cell>
          <cell r="C36">
            <v>16</v>
          </cell>
          <cell r="D36">
            <v>4.1900000000000004</v>
          </cell>
          <cell r="E36">
            <v>1</v>
          </cell>
          <cell r="F36">
            <v>0</v>
          </cell>
          <cell r="G36">
            <v>0</v>
          </cell>
          <cell r="H36">
            <v>0</v>
          </cell>
          <cell r="I36">
            <v>1.65</v>
          </cell>
          <cell r="J36">
            <v>0</v>
          </cell>
          <cell r="K36">
            <v>1.65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6</v>
          </cell>
          <cell r="Q36">
            <v>0</v>
          </cell>
          <cell r="R36">
            <v>0</v>
          </cell>
        </row>
        <row r="37">
          <cell r="A37">
            <v>32</v>
          </cell>
          <cell r="B37" t="str">
            <v>5S</v>
          </cell>
          <cell r="C37">
            <v>18</v>
          </cell>
          <cell r="D37">
            <v>4.1900000000000004</v>
          </cell>
          <cell r="E37">
            <v>1</v>
          </cell>
          <cell r="F37">
            <v>0</v>
          </cell>
          <cell r="G37">
            <v>0</v>
          </cell>
          <cell r="H37">
            <v>0</v>
          </cell>
          <cell r="I37">
            <v>1.8</v>
          </cell>
          <cell r="J37">
            <v>0</v>
          </cell>
          <cell r="K37">
            <v>1.8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6</v>
          </cell>
          <cell r="Q37">
            <v>0</v>
          </cell>
          <cell r="R37">
            <v>0</v>
          </cell>
        </row>
        <row r="38">
          <cell r="A38">
            <v>33</v>
          </cell>
          <cell r="B38" t="str">
            <v>5S</v>
          </cell>
          <cell r="C38">
            <v>20</v>
          </cell>
          <cell r="D38">
            <v>4.78</v>
          </cell>
          <cell r="E38">
            <v>1</v>
          </cell>
          <cell r="F38">
            <v>0</v>
          </cell>
          <cell r="G38">
            <v>0</v>
          </cell>
          <cell r="H38">
            <v>0</v>
          </cell>
          <cell r="I38">
            <v>2.54</v>
          </cell>
          <cell r="J38">
            <v>0</v>
          </cell>
          <cell r="K38">
            <v>2.54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7</v>
          </cell>
          <cell r="Q38">
            <v>0</v>
          </cell>
          <cell r="R38">
            <v>0</v>
          </cell>
        </row>
        <row r="39">
          <cell r="A39">
            <v>34</v>
          </cell>
          <cell r="B39" t="str">
            <v>5S</v>
          </cell>
          <cell r="C39">
            <v>22</v>
          </cell>
          <cell r="D39">
            <v>4.78</v>
          </cell>
          <cell r="E39">
            <v>1</v>
          </cell>
          <cell r="F39">
            <v>0</v>
          </cell>
          <cell r="G39">
            <v>0</v>
          </cell>
          <cell r="H39">
            <v>0</v>
          </cell>
          <cell r="I39">
            <v>2.69</v>
          </cell>
          <cell r="J39">
            <v>0</v>
          </cell>
          <cell r="K39">
            <v>2.69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8</v>
          </cell>
          <cell r="Q39">
            <v>0</v>
          </cell>
          <cell r="R39">
            <v>0</v>
          </cell>
        </row>
        <row r="40">
          <cell r="A40">
            <v>35</v>
          </cell>
          <cell r="B40" t="str">
            <v>5S</v>
          </cell>
          <cell r="C40">
            <v>24</v>
          </cell>
          <cell r="D40">
            <v>5.54</v>
          </cell>
          <cell r="E40">
            <v>1</v>
          </cell>
          <cell r="F40">
            <v>0</v>
          </cell>
          <cell r="G40">
            <v>0</v>
          </cell>
          <cell r="H40">
            <v>0</v>
          </cell>
          <cell r="I40">
            <v>2.4300000000000002</v>
          </cell>
          <cell r="J40">
            <v>1.47</v>
          </cell>
          <cell r="K40">
            <v>3.9000000000000004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8</v>
          </cell>
          <cell r="Q40">
            <v>0</v>
          </cell>
          <cell r="R40">
            <v>0</v>
          </cell>
        </row>
        <row r="41">
          <cell r="A41">
            <v>36</v>
          </cell>
          <cell r="B41" t="str">
            <v>5S</v>
          </cell>
          <cell r="C41">
            <v>30</v>
          </cell>
          <cell r="D41">
            <v>6.35</v>
          </cell>
          <cell r="E41">
            <v>1</v>
          </cell>
          <cell r="F41">
            <v>0</v>
          </cell>
          <cell r="G41">
            <v>0</v>
          </cell>
          <cell r="H41">
            <v>0</v>
          </cell>
          <cell r="I41">
            <v>3.04</v>
          </cell>
          <cell r="J41">
            <v>3.11</v>
          </cell>
          <cell r="K41">
            <v>6.15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10</v>
          </cell>
          <cell r="Q41">
            <v>0</v>
          </cell>
          <cell r="R41">
            <v>0</v>
          </cell>
        </row>
        <row r="42">
          <cell r="A42">
            <v>37</v>
          </cell>
          <cell r="B42">
            <v>10</v>
          </cell>
          <cell r="C42">
            <v>14</v>
          </cell>
          <cell r="D42">
            <v>6.35</v>
          </cell>
          <cell r="E42">
            <v>1</v>
          </cell>
          <cell r="F42">
            <v>0</v>
          </cell>
          <cell r="G42">
            <v>0</v>
          </cell>
          <cell r="H42">
            <v>0</v>
          </cell>
          <cell r="I42">
            <v>1.42</v>
          </cell>
          <cell r="J42">
            <v>1.27</v>
          </cell>
          <cell r="K42">
            <v>2.69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6</v>
          </cell>
          <cell r="Q42">
            <v>0</v>
          </cell>
          <cell r="R42">
            <v>0</v>
          </cell>
        </row>
        <row r="43">
          <cell r="A43">
            <v>38</v>
          </cell>
          <cell r="B43">
            <v>10</v>
          </cell>
          <cell r="C43">
            <v>16</v>
          </cell>
          <cell r="D43">
            <v>6.35</v>
          </cell>
          <cell r="E43">
            <v>1</v>
          </cell>
          <cell r="F43">
            <v>0</v>
          </cell>
          <cell r="G43">
            <v>0</v>
          </cell>
          <cell r="H43">
            <v>0</v>
          </cell>
          <cell r="I43">
            <v>1.62</v>
          </cell>
          <cell r="J43">
            <v>1.38</v>
          </cell>
          <cell r="K43">
            <v>3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6</v>
          </cell>
          <cell r="Q43">
            <v>0</v>
          </cell>
          <cell r="R43">
            <v>0</v>
          </cell>
        </row>
        <row r="44">
          <cell r="A44">
            <v>39</v>
          </cell>
          <cell r="B44">
            <v>10</v>
          </cell>
          <cell r="C44">
            <v>18</v>
          </cell>
          <cell r="D44">
            <v>6.35</v>
          </cell>
          <cell r="E44">
            <v>1</v>
          </cell>
          <cell r="F44">
            <v>0</v>
          </cell>
          <cell r="G44">
            <v>0</v>
          </cell>
          <cell r="H44">
            <v>0</v>
          </cell>
          <cell r="I44">
            <v>1.82</v>
          </cell>
          <cell r="J44">
            <v>1.48</v>
          </cell>
          <cell r="K44">
            <v>3.3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6</v>
          </cell>
          <cell r="Q44">
            <v>0</v>
          </cell>
          <cell r="R44">
            <v>0</v>
          </cell>
        </row>
        <row r="45">
          <cell r="A45" t="str">
            <v>AVE.</v>
          </cell>
          <cell r="B45">
            <v>10</v>
          </cell>
          <cell r="C45">
            <v>20</v>
          </cell>
          <cell r="D45">
            <v>6.35</v>
          </cell>
          <cell r="E45">
            <v>1</v>
          </cell>
          <cell r="F45">
            <v>0</v>
          </cell>
          <cell r="G45">
            <v>0</v>
          </cell>
          <cell r="H45">
            <v>0</v>
          </cell>
          <cell r="I45">
            <v>2.0299999999999998</v>
          </cell>
          <cell r="J45">
            <v>1.72</v>
          </cell>
          <cell r="K45">
            <v>3.75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7</v>
          </cell>
          <cell r="Q45">
            <v>0</v>
          </cell>
          <cell r="R45">
            <v>0</v>
          </cell>
        </row>
        <row r="46">
          <cell r="B46">
            <v>10</v>
          </cell>
          <cell r="C46">
            <v>22</v>
          </cell>
          <cell r="D46">
            <v>6.35</v>
          </cell>
          <cell r="E46">
            <v>1</v>
          </cell>
          <cell r="F46">
            <v>0</v>
          </cell>
          <cell r="G46">
            <v>0</v>
          </cell>
          <cell r="H46">
            <v>0</v>
          </cell>
          <cell r="I46">
            <v>2.23</v>
          </cell>
          <cell r="J46">
            <v>2.27</v>
          </cell>
          <cell r="K46">
            <v>4.5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8</v>
          </cell>
        </row>
        <row r="47">
          <cell r="A47" t="str">
            <v>*** Reference Paper : Predict Fittings For Piping Systems ***</v>
          </cell>
          <cell r="B47">
            <v>10</v>
          </cell>
          <cell r="C47">
            <v>24</v>
          </cell>
          <cell r="D47">
            <v>6.35</v>
          </cell>
          <cell r="E47">
            <v>1</v>
          </cell>
          <cell r="F47">
            <v>0</v>
          </cell>
          <cell r="G47">
            <v>0</v>
          </cell>
          <cell r="H47">
            <v>0</v>
          </cell>
          <cell r="I47">
            <v>2.4300000000000002</v>
          </cell>
          <cell r="J47">
            <v>2.0699999999999998</v>
          </cell>
          <cell r="K47">
            <v>4.5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8</v>
          </cell>
          <cell r="R47" t="str">
            <v>Fc = 2.00  Manifold Type Piping</v>
          </cell>
        </row>
        <row r="48">
          <cell r="B48">
            <v>10</v>
          </cell>
          <cell r="C48">
            <v>26</v>
          </cell>
          <cell r="D48">
            <v>7.92</v>
          </cell>
          <cell r="E48">
            <v>1</v>
          </cell>
          <cell r="F48">
            <v>0</v>
          </cell>
          <cell r="G48">
            <v>0</v>
          </cell>
          <cell r="H48">
            <v>0</v>
          </cell>
          <cell r="I48">
            <v>2.64</v>
          </cell>
          <cell r="J48">
            <v>4.8600000000000003</v>
          </cell>
          <cell r="K48">
            <v>7.5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9</v>
          </cell>
          <cell r="R48" t="str">
            <v xml:space="preserve">        (PIPE JOINT FACTOR Fp = 0%)</v>
          </cell>
        </row>
        <row r="49">
          <cell r="B49">
            <v>10</v>
          </cell>
          <cell r="C49">
            <v>28</v>
          </cell>
          <cell r="D49">
            <v>7.92</v>
          </cell>
          <cell r="E49">
            <v>1</v>
          </cell>
          <cell r="F49">
            <v>0</v>
          </cell>
          <cell r="G49">
            <v>0</v>
          </cell>
          <cell r="H49">
            <v>0</v>
          </cell>
          <cell r="I49">
            <v>2.84</v>
          </cell>
          <cell r="J49">
            <v>5.26</v>
          </cell>
          <cell r="K49">
            <v>8.1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9</v>
          </cell>
          <cell r="R49" t="str">
            <v>Fc = 4.00  Very Complex Manifolds</v>
          </cell>
        </row>
        <row r="50">
          <cell r="A50" t="str">
            <v>The number and types of pipe fittings can be estimated by this method</v>
          </cell>
          <cell r="B50">
            <v>10</v>
          </cell>
          <cell r="C50">
            <v>30</v>
          </cell>
          <cell r="D50">
            <v>7.92</v>
          </cell>
          <cell r="E50">
            <v>1</v>
          </cell>
          <cell r="F50">
            <v>0</v>
          </cell>
          <cell r="G50">
            <v>0</v>
          </cell>
          <cell r="H50">
            <v>0</v>
          </cell>
          <cell r="I50">
            <v>3.04</v>
          </cell>
          <cell r="J50">
            <v>5.66</v>
          </cell>
          <cell r="K50">
            <v>8.6999999999999993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10</v>
          </cell>
          <cell r="R50" t="str">
            <v xml:space="preserve">        (PIPE JOINT FACTOR Fp = 0%)</v>
          </cell>
        </row>
        <row r="51">
          <cell r="A51" t="str">
            <v>long before the piping isometrics are done. Pipe size and a general idea</v>
          </cell>
          <cell r="B51">
            <v>10</v>
          </cell>
          <cell r="C51">
            <v>32</v>
          </cell>
          <cell r="D51">
            <v>7.92</v>
          </cell>
          <cell r="E51">
            <v>1</v>
          </cell>
          <cell r="F51">
            <v>0</v>
          </cell>
          <cell r="G51">
            <v>0</v>
          </cell>
          <cell r="H51">
            <v>0</v>
          </cell>
          <cell r="I51">
            <v>3.24</v>
          </cell>
          <cell r="J51">
            <v>6.06</v>
          </cell>
          <cell r="K51">
            <v>9.3000000000000007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11</v>
          </cell>
        </row>
        <row r="52">
          <cell r="A52" t="str">
            <v>of the system's complexity are all that is needed.</v>
          </cell>
          <cell r="B52">
            <v>10</v>
          </cell>
          <cell r="C52">
            <v>34</v>
          </cell>
          <cell r="D52">
            <v>7.92</v>
          </cell>
          <cell r="E52">
            <v>1</v>
          </cell>
          <cell r="F52">
            <v>0</v>
          </cell>
          <cell r="G52">
            <v>0</v>
          </cell>
          <cell r="H52">
            <v>0</v>
          </cell>
          <cell r="I52">
            <v>3.45</v>
          </cell>
          <cell r="J52">
            <v>6.44</v>
          </cell>
          <cell r="K52">
            <v>9.89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12</v>
          </cell>
          <cell r="Q52">
            <v>0</v>
          </cell>
          <cell r="R52" t="str">
            <v/>
          </cell>
        </row>
        <row r="53">
          <cell r="B53">
            <v>10</v>
          </cell>
          <cell r="C53">
            <v>36</v>
          </cell>
          <cell r="D53">
            <v>7.92</v>
          </cell>
          <cell r="E53">
            <v>1</v>
          </cell>
          <cell r="F53">
            <v>0</v>
          </cell>
          <cell r="G53">
            <v>0</v>
          </cell>
          <cell r="H53">
            <v>0</v>
          </cell>
          <cell r="I53">
            <v>3.65</v>
          </cell>
          <cell r="J53">
            <v>6.84</v>
          </cell>
          <cell r="K53">
            <v>10.49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12</v>
          </cell>
        </row>
        <row r="54">
          <cell r="B54" t="str">
            <v>10S</v>
          </cell>
          <cell r="C54">
            <v>0.125</v>
          </cell>
          <cell r="D54">
            <v>1.24</v>
          </cell>
          <cell r="E54">
            <v>1</v>
          </cell>
          <cell r="F54">
            <v>0</v>
          </cell>
          <cell r="G54">
            <v>0</v>
          </cell>
          <cell r="H54">
            <v>0</v>
          </cell>
          <cell r="I54">
            <v>7.0000000000000007E-2</v>
          </cell>
          <cell r="J54">
            <v>0</v>
          </cell>
          <cell r="K54">
            <v>7.0000000000000007E-2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2</v>
          </cell>
        </row>
        <row r="55">
          <cell r="B55" t="str">
            <v>10S</v>
          </cell>
          <cell r="C55">
            <v>0.125</v>
          </cell>
          <cell r="D55">
            <v>1.24</v>
          </cell>
          <cell r="E55">
            <v>1</v>
          </cell>
          <cell r="F55">
            <v>0</v>
          </cell>
          <cell r="G55">
            <v>0</v>
          </cell>
          <cell r="H55">
            <v>0</v>
          </cell>
          <cell r="I55">
            <v>7.0000000000000007E-2</v>
          </cell>
          <cell r="J55">
            <v>0</v>
          </cell>
          <cell r="K55">
            <v>7.0000000000000007E-2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2</v>
          </cell>
          <cell r="Q55" t="str">
            <v xml:space="preserve">S_x0001_N_x0002_1a_x0000__x0017_T«n nÒn b»ng c¸t ®Çm kü_x0002_m3_x0000_%X©y mãng ®¸ </v>
          </cell>
        </row>
        <row r="56">
          <cell r="B56" t="str">
            <v>10S</v>
          </cell>
          <cell r="C56">
            <v>0.125</v>
          </cell>
          <cell r="D56">
            <v>1.24</v>
          </cell>
          <cell r="E56">
            <v>1</v>
          </cell>
          <cell r="F56">
            <v>0</v>
          </cell>
          <cell r="G56">
            <v>0</v>
          </cell>
          <cell r="H56">
            <v>0</v>
          </cell>
          <cell r="I56">
            <v>7.0000000000000007E-2</v>
          </cell>
          <cell r="J56">
            <v>0</v>
          </cell>
          <cell r="K56">
            <v>7.0000000000000007E-2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2</v>
          </cell>
        </row>
        <row r="57">
          <cell r="B57" t="str">
            <v>10S</v>
          </cell>
          <cell r="C57">
            <v>0.25</v>
          </cell>
          <cell r="D57">
            <v>1.65</v>
          </cell>
          <cell r="E57">
            <v>1</v>
          </cell>
          <cell r="F57">
            <v>0</v>
          </cell>
          <cell r="G57">
            <v>0</v>
          </cell>
          <cell r="H57">
            <v>0</v>
          </cell>
          <cell r="I57">
            <v>7.0000000000000007E-2</v>
          </cell>
          <cell r="J57">
            <v>0</v>
          </cell>
          <cell r="K57">
            <v>7.0000000000000007E-2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2</v>
          </cell>
        </row>
        <row r="58">
          <cell r="B58" t="str">
            <v>10S</v>
          </cell>
          <cell r="C58">
            <v>0.25</v>
          </cell>
          <cell r="D58">
            <v>1.65</v>
          </cell>
          <cell r="E58">
            <v>1</v>
          </cell>
          <cell r="F58">
            <v>0</v>
          </cell>
          <cell r="G58">
            <v>0</v>
          </cell>
          <cell r="H58">
            <v>0</v>
          </cell>
          <cell r="I58">
            <v>7.0000000000000007E-2</v>
          </cell>
          <cell r="J58">
            <v>0</v>
          </cell>
          <cell r="K58">
            <v>7.0000000000000007E-2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2</v>
          </cell>
        </row>
        <row r="59">
          <cell r="B59" t="str">
            <v>10S</v>
          </cell>
          <cell r="C59">
            <v>0.25</v>
          </cell>
          <cell r="D59">
            <v>1.65</v>
          </cell>
          <cell r="E59">
            <v>1</v>
          </cell>
          <cell r="F59">
            <v>0</v>
          </cell>
          <cell r="G59">
            <v>0</v>
          </cell>
          <cell r="H59">
            <v>0</v>
          </cell>
          <cell r="I59">
            <v>7.0000000000000007E-2</v>
          </cell>
          <cell r="J59">
            <v>0</v>
          </cell>
          <cell r="K59">
            <v>7.0000000000000007E-2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2</v>
          </cell>
        </row>
        <row r="60">
          <cell r="B60" t="str">
            <v>10S</v>
          </cell>
          <cell r="C60">
            <v>0.375</v>
          </cell>
          <cell r="D60">
            <v>1.65</v>
          </cell>
          <cell r="E60">
            <v>1</v>
          </cell>
          <cell r="F60">
            <v>0</v>
          </cell>
          <cell r="G60">
            <v>0</v>
          </cell>
          <cell r="H60">
            <v>0</v>
          </cell>
          <cell r="I60">
            <v>7.0000000000000007E-2</v>
          </cell>
          <cell r="J60">
            <v>0</v>
          </cell>
          <cell r="K60">
            <v>7.0000000000000007E-2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2</v>
          </cell>
        </row>
        <row r="61">
          <cell r="B61" t="str">
            <v>10S</v>
          </cell>
          <cell r="C61">
            <v>0.375</v>
          </cell>
          <cell r="D61">
            <v>1.65</v>
          </cell>
          <cell r="E61">
            <v>1</v>
          </cell>
          <cell r="F61">
            <v>0</v>
          </cell>
          <cell r="G61">
            <v>0</v>
          </cell>
          <cell r="H61">
            <v>0</v>
          </cell>
          <cell r="I61">
            <v>7.0000000000000007E-2</v>
          </cell>
          <cell r="J61">
            <v>0</v>
          </cell>
          <cell r="K61">
            <v>7.0000000000000007E-2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2</v>
          </cell>
        </row>
        <row r="62">
          <cell r="B62" t="str">
            <v>10S</v>
          </cell>
          <cell r="C62">
            <v>0.375</v>
          </cell>
          <cell r="D62">
            <v>1.65</v>
          </cell>
          <cell r="E62">
            <v>1</v>
          </cell>
          <cell r="F62">
            <v>0</v>
          </cell>
          <cell r="G62">
            <v>0</v>
          </cell>
          <cell r="H62">
            <v>0</v>
          </cell>
          <cell r="I62">
            <v>7.0000000000000007E-2</v>
          </cell>
          <cell r="J62">
            <v>0</v>
          </cell>
          <cell r="K62">
            <v>7.0000000000000007E-2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2</v>
          </cell>
        </row>
        <row r="63">
          <cell r="B63" t="str">
            <v>10S</v>
          </cell>
          <cell r="C63">
            <v>0.5</v>
          </cell>
          <cell r="D63">
            <v>2.11</v>
          </cell>
          <cell r="E63">
            <v>1</v>
          </cell>
          <cell r="F63">
            <v>0</v>
          </cell>
          <cell r="G63">
            <v>0</v>
          </cell>
          <cell r="H63">
            <v>0</v>
          </cell>
          <cell r="I63">
            <v>7.0000000000000007E-2</v>
          </cell>
          <cell r="J63">
            <v>0</v>
          </cell>
          <cell r="K63">
            <v>7.0000000000000007E-2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2</v>
          </cell>
        </row>
        <row r="64">
          <cell r="B64" t="str">
            <v>10S</v>
          </cell>
          <cell r="C64">
            <v>0.5</v>
          </cell>
          <cell r="D64">
            <v>2.11</v>
          </cell>
          <cell r="E64">
            <v>1</v>
          </cell>
          <cell r="F64">
            <v>0</v>
          </cell>
          <cell r="G64">
            <v>0</v>
          </cell>
          <cell r="H64">
            <v>0</v>
          </cell>
          <cell r="I64">
            <v>7.0000000000000007E-2</v>
          </cell>
          <cell r="J64">
            <v>0</v>
          </cell>
          <cell r="K64">
            <v>7.0000000000000007E-2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2</v>
          </cell>
        </row>
        <row r="65">
          <cell r="B65" t="str">
            <v>10S</v>
          </cell>
          <cell r="C65">
            <v>0.5</v>
          </cell>
          <cell r="D65">
            <v>2.11</v>
          </cell>
          <cell r="E65">
            <v>1</v>
          </cell>
          <cell r="F65">
            <v>0</v>
          </cell>
          <cell r="G65">
            <v>0</v>
          </cell>
          <cell r="H65">
            <v>0</v>
          </cell>
          <cell r="I65">
            <v>7.0000000000000007E-2</v>
          </cell>
          <cell r="J65">
            <v>0</v>
          </cell>
          <cell r="K65">
            <v>7.0000000000000007E-2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2</v>
          </cell>
        </row>
        <row r="66">
          <cell r="B66" t="str">
            <v>10S</v>
          </cell>
          <cell r="C66">
            <v>0.75</v>
          </cell>
          <cell r="D66">
            <v>2.11</v>
          </cell>
          <cell r="E66">
            <v>1</v>
          </cell>
          <cell r="F66">
            <v>0</v>
          </cell>
          <cell r="G66">
            <v>0</v>
          </cell>
          <cell r="H66">
            <v>0</v>
          </cell>
          <cell r="I66">
            <v>7.0000000000000007E-2</v>
          </cell>
          <cell r="J66">
            <v>0</v>
          </cell>
          <cell r="K66">
            <v>7.0000000000000007E-2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2</v>
          </cell>
        </row>
        <row r="67">
          <cell r="B67" t="str">
            <v>10S</v>
          </cell>
          <cell r="C67">
            <v>0.75</v>
          </cell>
          <cell r="D67">
            <v>2.11</v>
          </cell>
          <cell r="E67">
            <v>1</v>
          </cell>
          <cell r="F67">
            <v>0</v>
          </cell>
          <cell r="G67">
            <v>0</v>
          </cell>
          <cell r="H67">
            <v>0</v>
          </cell>
          <cell r="I67">
            <v>7.0000000000000007E-2</v>
          </cell>
          <cell r="J67">
            <v>0</v>
          </cell>
          <cell r="K67">
            <v>7.0000000000000007E-2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2</v>
          </cell>
        </row>
        <row r="68">
          <cell r="B68" t="str">
            <v>10S</v>
          </cell>
          <cell r="C68">
            <v>0.75</v>
          </cell>
          <cell r="D68">
            <v>2.11</v>
          </cell>
          <cell r="E68">
            <v>1</v>
          </cell>
          <cell r="F68">
            <v>0</v>
          </cell>
          <cell r="G68">
            <v>0</v>
          </cell>
          <cell r="H68">
            <v>0</v>
          </cell>
          <cell r="I68">
            <v>7.0000000000000007E-2</v>
          </cell>
          <cell r="J68">
            <v>0</v>
          </cell>
          <cell r="K68">
            <v>7.0000000000000007E-2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2</v>
          </cell>
        </row>
        <row r="69">
          <cell r="B69" t="str">
            <v>10S</v>
          </cell>
          <cell r="C69">
            <v>1</v>
          </cell>
          <cell r="D69">
            <v>2.77</v>
          </cell>
          <cell r="E69">
            <v>1</v>
          </cell>
          <cell r="F69">
            <v>0</v>
          </cell>
          <cell r="G69">
            <v>0</v>
          </cell>
          <cell r="H69">
            <v>0</v>
          </cell>
          <cell r="I69">
            <v>0.12</v>
          </cell>
          <cell r="J69">
            <v>0</v>
          </cell>
          <cell r="K69">
            <v>0.12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2</v>
          </cell>
        </row>
        <row r="70">
          <cell r="A70">
            <v>0</v>
          </cell>
          <cell r="B70" t="str">
            <v>10S</v>
          </cell>
          <cell r="C70">
            <v>1</v>
          </cell>
          <cell r="D70">
            <v>2.77</v>
          </cell>
          <cell r="E70">
            <v>1</v>
          </cell>
          <cell r="F70">
            <v>0</v>
          </cell>
          <cell r="G70">
            <v>0</v>
          </cell>
          <cell r="H70">
            <v>0</v>
          </cell>
          <cell r="I70">
            <v>0.12</v>
          </cell>
          <cell r="J70">
            <v>0</v>
          </cell>
          <cell r="K70">
            <v>0.12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2</v>
          </cell>
        </row>
        <row r="71">
          <cell r="B71" t="str">
            <v>10S</v>
          </cell>
          <cell r="C71">
            <v>1</v>
          </cell>
          <cell r="D71">
            <v>2.77</v>
          </cell>
          <cell r="E71">
            <v>1</v>
          </cell>
          <cell r="F71">
            <v>0</v>
          </cell>
          <cell r="G71">
            <v>0</v>
          </cell>
          <cell r="H71">
            <v>0</v>
          </cell>
          <cell r="I71">
            <v>0.12</v>
          </cell>
          <cell r="J71">
            <v>0</v>
          </cell>
          <cell r="K71">
            <v>0.12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2</v>
          </cell>
        </row>
        <row r="72">
          <cell r="B72" t="str">
            <v>10S</v>
          </cell>
          <cell r="C72">
            <v>1.25</v>
          </cell>
          <cell r="D72">
            <v>2.77</v>
          </cell>
          <cell r="E72">
            <v>1</v>
          </cell>
          <cell r="F72">
            <v>0</v>
          </cell>
          <cell r="G72">
            <v>0</v>
          </cell>
          <cell r="H72">
            <v>0</v>
          </cell>
          <cell r="I72">
            <v>0.15</v>
          </cell>
          <cell r="J72">
            <v>0</v>
          </cell>
          <cell r="K72">
            <v>0.15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2</v>
          </cell>
        </row>
        <row r="73">
          <cell r="B73" t="str">
            <v>10S</v>
          </cell>
          <cell r="C73">
            <v>1.25</v>
          </cell>
          <cell r="D73">
            <v>2.77</v>
          </cell>
          <cell r="E73">
            <v>1</v>
          </cell>
          <cell r="F73">
            <v>0</v>
          </cell>
          <cell r="G73">
            <v>0</v>
          </cell>
          <cell r="H73">
            <v>0</v>
          </cell>
          <cell r="I73">
            <v>0.15</v>
          </cell>
          <cell r="J73">
            <v>0</v>
          </cell>
          <cell r="K73">
            <v>0.15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2</v>
          </cell>
          <cell r="Q73">
            <v>0</v>
          </cell>
          <cell r="R73">
            <v>0</v>
          </cell>
        </row>
        <row r="74">
          <cell r="B74" t="str">
            <v>10S</v>
          </cell>
          <cell r="C74">
            <v>1.25</v>
          </cell>
          <cell r="D74">
            <v>2.77</v>
          </cell>
          <cell r="E74">
            <v>1</v>
          </cell>
          <cell r="F74">
            <v>0</v>
          </cell>
          <cell r="G74">
            <v>0</v>
          </cell>
          <cell r="H74">
            <v>0</v>
          </cell>
          <cell r="I74">
            <v>0.15</v>
          </cell>
          <cell r="J74">
            <v>0</v>
          </cell>
          <cell r="K74">
            <v>0.15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2</v>
          </cell>
        </row>
        <row r="75">
          <cell r="B75" t="str">
            <v>10S</v>
          </cell>
          <cell r="C75">
            <v>1.5</v>
          </cell>
          <cell r="D75">
            <v>2.77</v>
          </cell>
          <cell r="E75">
            <v>1</v>
          </cell>
          <cell r="F75">
            <v>0</v>
          </cell>
          <cell r="G75">
            <v>0</v>
          </cell>
          <cell r="H75">
            <v>0</v>
          </cell>
          <cell r="I75">
            <v>0.15</v>
          </cell>
          <cell r="J75">
            <v>0</v>
          </cell>
          <cell r="K75">
            <v>0.15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2</v>
          </cell>
        </row>
        <row r="76">
          <cell r="B76" t="str">
            <v>10S</v>
          </cell>
          <cell r="C76">
            <v>1.5</v>
          </cell>
          <cell r="D76">
            <v>2.77</v>
          </cell>
          <cell r="E76">
            <v>1</v>
          </cell>
          <cell r="F76">
            <v>0</v>
          </cell>
          <cell r="G76">
            <v>0</v>
          </cell>
          <cell r="H76">
            <v>0</v>
          </cell>
          <cell r="I76">
            <v>0.15</v>
          </cell>
          <cell r="J76">
            <v>0</v>
          </cell>
          <cell r="K76">
            <v>0.15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2</v>
          </cell>
        </row>
        <row r="77">
          <cell r="B77" t="str">
            <v>10S</v>
          </cell>
          <cell r="C77">
            <v>1.5</v>
          </cell>
          <cell r="D77">
            <v>2.77</v>
          </cell>
          <cell r="E77">
            <v>1</v>
          </cell>
          <cell r="F77">
            <v>0</v>
          </cell>
          <cell r="G77">
            <v>0</v>
          </cell>
          <cell r="H77">
            <v>0</v>
          </cell>
          <cell r="I77">
            <v>0.15</v>
          </cell>
          <cell r="J77">
            <v>0</v>
          </cell>
          <cell r="K77">
            <v>0.15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2</v>
          </cell>
        </row>
        <row r="78">
          <cell r="B78" t="str">
            <v>10S</v>
          </cell>
          <cell r="C78">
            <v>2</v>
          </cell>
          <cell r="D78">
            <v>2.77</v>
          </cell>
          <cell r="E78">
            <v>1</v>
          </cell>
          <cell r="F78">
            <v>0</v>
          </cell>
          <cell r="G78">
            <v>0</v>
          </cell>
          <cell r="H78">
            <v>0</v>
          </cell>
          <cell r="I78">
            <v>0.15</v>
          </cell>
          <cell r="J78">
            <v>0</v>
          </cell>
          <cell r="K78">
            <v>0.15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2</v>
          </cell>
        </row>
        <row r="79">
          <cell r="B79" t="str">
            <v>10S</v>
          </cell>
          <cell r="C79">
            <v>2</v>
          </cell>
          <cell r="D79">
            <v>2.77</v>
          </cell>
          <cell r="E79">
            <v>1</v>
          </cell>
          <cell r="F79">
            <v>0</v>
          </cell>
          <cell r="G79">
            <v>0</v>
          </cell>
          <cell r="H79">
            <v>0</v>
          </cell>
          <cell r="I79">
            <v>0.15</v>
          </cell>
          <cell r="J79">
            <v>0</v>
          </cell>
          <cell r="K79">
            <v>0.15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2</v>
          </cell>
        </row>
        <row r="80">
          <cell r="B80" t="str">
            <v>10S</v>
          </cell>
          <cell r="C80">
            <v>2</v>
          </cell>
          <cell r="D80">
            <v>2.77</v>
          </cell>
          <cell r="E80">
            <v>1</v>
          </cell>
          <cell r="F80">
            <v>0</v>
          </cell>
          <cell r="G80">
            <v>0</v>
          </cell>
          <cell r="H80">
            <v>0</v>
          </cell>
          <cell r="I80">
            <v>0.15</v>
          </cell>
          <cell r="J80">
            <v>0</v>
          </cell>
          <cell r="K80">
            <v>0.15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2</v>
          </cell>
        </row>
        <row r="81">
          <cell r="B81" t="str">
            <v>10S</v>
          </cell>
          <cell r="C81">
            <v>2.5</v>
          </cell>
          <cell r="D81">
            <v>3.05</v>
          </cell>
          <cell r="E81">
            <v>1</v>
          </cell>
          <cell r="F81">
            <v>0</v>
          </cell>
          <cell r="G81">
            <v>0</v>
          </cell>
          <cell r="H81">
            <v>0</v>
          </cell>
          <cell r="I81">
            <v>0.15</v>
          </cell>
          <cell r="J81">
            <v>0</v>
          </cell>
          <cell r="K81">
            <v>0.15</v>
          </cell>
          <cell r="L81">
            <v>0</v>
          </cell>
          <cell r="M81">
            <v>0</v>
          </cell>
          <cell r="N81">
            <v>0</v>
          </cell>
          <cell r="O81">
            <v>2</v>
          </cell>
          <cell r="P81">
            <v>2</v>
          </cell>
        </row>
        <row r="82">
          <cell r="B82" t="str">
            <v>10S</v>
          </cell>
          <cell r="C82">
            <v>3</v>
          </cell>
          <cell r="D82">
            <v>3.05</v>
          </cell>
          <cell r="E82">
            <v>1</v>
          </cell>
          <cell r="F82">
            <v>0</v>
          </cell>
          <cell r="G82">
            <v>0</v>
          </cell>
          <cell r="H82">
            <v>0</v>
          </cell>
          <cell r="I82">
            <v>0.3</v>
          </cell>
          <cell r="J82">
            <v>0</v>
          </cell>
          <cell r="K82">
            <v>0.3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2</v>
          </cell>
        </row>
        <row r="83">
          <cell r="B83" t="str">
            <v>10S</v>
          </cell>
          <cell r="C83">
            <v>3.5</v>
          </cell>
          <cell r="D83">
            <v>3.05</v>
          </cell>
          <cell r="E83">
            <v>1</v>
          </cell>
          <cell r="F83">
            <v>0</v>
          </cell>
          <cell r="G83">
            <v>0</v>
          </cell>
          <cell r="H83">
            <v>0</v>
          </cell>
          <cell r="I83">
            <v>0.3</v>
          </cell>
          <cell r="J83">
            <v>0</v>
          </cell>
          <cell r="K83">
            <v>0.3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3</v>
          </cell>
        </row>
        <row r="84">
          <cell r="B84" t="str">
            <v>10S</v>
          </cell>
          <cell r="C84">
            <v>4</v>
          </cell>
          <cell r="D84">
            <v>3.05</v>
          </cell>
          <cell r="E84">
            <v>1</v>
          </cell>
          <cell r="F84">
            <v>0</v>
          </cell>
          <cell r="G84">
            <v>0</v>
          </cell>
          <cell r="H84">
            <v>0</v>
          </cell>
          <cell r="I84">
            <v>0.45</v>
          </cell>
          <cell r="J84">
            <v>0</v>
          </cell>
          <cell r="K84">
            <v>0.45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3</v>
          </cell>
        </row>
        <row r="85">
          <cell r="B85" t="str">
            <v>10S</v>
          </cell>
          <cell r="C85">
            <v>5</v>
          </cell>
          <cell r="D85">
            <v>3.4</v>
          </cell>
          <cell r="E85">
            <v>1</v>
          </cell>
          <cell r="F85">
            <v>0</v>
          </cell>
          <cell r="G85">
            <v>0</v>
          </cell>
          <cell r="H85">
            <v>0</v>
          </cell>
          <cell r="I85">
            <v>0.45</v>
          </cell>
          <cell r="J85">
            <v>0</v>
          </cell>
          <cell r="K85">
            <v>0.45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4</v>
          </cell>
        </row>
        <row r="86">
          <cell r="B86" t="str">
            <v>10S</v>
          </cell>
          <cell r="C86">
            <v>6</v>
          </cell>
          <cell r="D86">
            <v>3.4</v>
          </cell>
          <cell r="E86">
            <v>1</v>
          </cell>
          <cell r="F86">
            <v>0</v>
          </cell>
          <cell r="G86">
            <v>0</v>
          </cell>
          <cell r="H86">
            <v>0</v>
          </cell>
          <cell r="I86">
            <v>0.6</v>
          </cell>
          <cell r="J86">
            <v>0</v>
          </cell>
          <cell r="K86">
            <v>0.6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4</v>
          </cell>
        </row>
        <row r="87">
          <cell r="B87" t="str">
            <v>10S</v>
          </cell>
          <cell r="C87">
            <v>8</v>
          </cell>
          <cell r="D87">
            <v>3.76</v>
          </cell>
          <cell r="E87">
            <v>1</v>
          </cell>
          <cell r="F87">
            <v>0</v>
          </cell>
          <cell r="G87">
            <v>0</v>
          </cell>
          <cell r="H87">
            <v>0</v>
          </cell>
          <cell r="I87">
            <v>0.6</v>
          </cell>
          <cell r="J87">
            <v>0</v>
          </cell>
          <cell r="K87">
            <v>0.6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4</v>
          </cell>
        </row>
        <row r="88">
          <cell r="B88" t="str">
            <v>10S</v>
          </cell>
          <cell r="C88">
            <v>10</v>
          </cell>
          <cell r="D88">
            <v>4.1900000000000004</v>
          </cell>
          <cell r="E88">
            <v>1</v>
          </cell>
          <cell r="F88">
            <v>0</v>
          </cell>
          <cell r="G88">
            <v>0</v>
          </cell>
          <cell r="H88">
            <v>0</v>
          </cell>
          <cell r="I88">
            <v>1.2</v>
          </cell>
          <cell r="J88">
            <v>0</v>
          </cell>
          <cell r="K88">
            <v>1.2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4</v>
          </cell>
        </row>
        <row r="89">
          <cell r="B89" t="str">
            <v>10S</v>
          </cell>
          <cell r="C89">
            <v>12</v>
          </cell>
          <cell r="D89">
            <v>4.57</v>
          </cell>
          <cell r="E89">
            <v>1</v>
          </cell>
          <cell r="F89">
            <v>0</v>
          </cell>
          <cell r="G89">
            <v>0</v>
          </cell>
          <cell r="H89">
            <v>0</v>
          </cell>
          <cell r="I89">
            <v>1.5</v>
          </cell>
          <cell r="J89">
            <v>0</v>
          </cell>
          <cell r="K89">
            <v>1.5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6</v>
          </cell>
        </row>
        <row r="90">
          <cell r="B90" t="str">
            <v>10S</v>
          </cell>
          <cell r="C90">
            <v>14</v>
          </cell>
          <cell r="D90">
            <v>4.78</v>
          </cell>
          <cell r="E90">
            <v>1</v>
          </cell>
          <cell r="F90">
            <v>0</v>
          </cell>
          <cell r="G90">
            <v>0</v>
          </cell>
          <cell r="H90">
            <v>2.2251287283221441E-307</v>
          </cell>
          <cell r="I90">
            <v>1.65</v>
          </cell>
          <cell r="J90">
            <v>0</v>
          </cell>
          <cell r="K90">
            <v>1.65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6</v>
          </cell>
        </row>
        <row r="91">
          <cell r="B91" t="str">
            <v>10S</v>
          </cell>
          <cell r="C91">
            <v>16</v>
          </cell>
          <cell r="D91">
            <v>4.78</v>
          </cell>
          <cell r="E91">
            <v>1</v>
          </cell>
          <cell r="F91">
            <v>0</v>
          </cell>
          <cell r="G91">
            <v>0</v>
          </cell>
          <cell r="H91">
            <v>0</v>
          </cell>
          <cell r="I91">
            <v>1.95</v>
          </cell>
          <cell r="J91">
            <v>0</v>
          </cell>
          <cell r="K91">
            <v>1.95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6</v>
          </cell>
        </row>
        <row r="92">
          <cell r="B92" t="str">
            <v>10S</v>
          </cell>
          <cell r="C92">
            <v>18</v>
          </cell>
          <cell r="D92">
            <v>4.78</v>
          </cell>
          <cell r="E92">
            <v>1</v>
          </cell>
          <cell r="F92">
            <v>0</v>
          </cell>
          <cell r="G92">
            <v>0</v>
          </cell>
          <cell r="H92">
            <v>0</v>
          </cell>
          <cell r="I92">
            <v>2.25</v>
          </cell>
          <cell r="J92">
            <v>0</v>
          </cell>
          <cell r="K92">
            <v>2.25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6</v>
          </cell>
        </row>
        <row r="93">
          <cell r="B93" t="str">
            <v>10S</v>
          </cell>
          <cell r="C93">
            <v>20</v>
          </cell>
          <cell r="D93">
            <v>5.54</v>
          </cell>
          <cell r="E93">
            <v>1</v>
          </cell>
          <cell r="F93">
            <v>0</v>
          </cell>
          <cell r="G93">
            <v>0</v>
          </cell>
          <cell r="H93">
            <v>0</v>
          </cell>
          <cell r="I93">
            <v>2.0299999999999998</v>
          </cell>
          <cell r="J93">
            <v>1.1200000000000001</v>
          </cell>
          <cell r="K93">
            <v>3.15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7</v>
          </cell>
        </row>
        <row r="94">
          <cell r="B94" t="str">
            <v>10S</v>
          </cell>
          <cell r="C94">
            <v>22</v>
          </cell>
          <cell r="D94">
            <v>5.54</v>
          </cell>
          <cell r="E94">
            <v>1</v>
          </cell>
          <cell r="F94">
            <v>0</v>
          </cell>
          <cell r="G94">
            <v>0</v>
          </cell>
          <cell r="H94">
            <v>0</v>
          </cell>
          <cell r="I94">
            <v>2.23</v>
          </cell>
          <cell r="J94">
            <v>1.37</v>
          </cell>
          <cell r="K94">
            <v>3.6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8</v>
          </cell>
        </row>
        <row r="95">
          <cell r="B95" t="str">
            <v>10S</v>
          </cell>
          <cell r="C95">
            <v>24</v>
          </cell>
          <cell r="D95">
            <v>6.35</v>
          </cell>
          <cell r="E95">
            <v>1</v>
          </cell>
          <cell r="F95">
            <v>0</v>
          </cell>
          <cell r="G95">
            <v>0</v>
          </cell>
          <cell r="H95">
            <v>0</v>
          </cell>
          <cell r="I95">
            <v>2.4300000000000002</v>
          </cell>
          <cell r="J95">
            <v>2.0699999999999998</v>
          </cell>
          <cell r="K95">
            <v>4.5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8</v>
          </cell>
        </row>
        <row r="96">
          <cell r="B96" t="str">
            <v>10S</v>
          </cell>
          <cell r="C96">
            <v>30</v>
          </cell>
          <cell r="D96">
            <v>7.92</v>
          </cell>
          <cell r="E96">
            <v>1</v>
          </cell>
          <cell r="F96">
            <v>0</v>
          </cell>
          <cell r="G96">
            <v>0</v>
          </cell>
          <cell r="H96">
            <v>0</v>
          </cell>
          <cell r="I96">
            <v>3.04</v>
          </cell>
          <cell r="J96">
            <v>5.66</v>
          </cell>
          <cell r="K96">
            <v>8.6999999999999993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10</v>
          </cell>
        </row>
        <row r="97">
          <cell r="B97">
            <v>20</v>
          </cell>
          <cell r="C97">
            <v>8</v>
          </cell>
          <cell r="D97">
            <v>6.35</v>
          </cell>
          <cell r="E97">
            <v>1</v>
          </cell>
          <cell r="F97">
            <v>0</v>
          </cell>
          <cell r="G97">
            <v>0</v>
          </cell>
          <cell r="H97">
            <v>0</v>
          </cell>
          <cell r="I97">
            <v>0.81</v>
          </cell>
          <cell r="J97">
            <v>0.99</v>
          </cell>
          <cell r="K97">
            <v>1.8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4</v>
          </cell>
        </row>
        <row r="98">
          <cell r="B98">
            <v>20</v>
          </cell>
          <cell r="C98">
            <v>10</v>
          </cell>
          <cell r="D98">
            <v>6.35</v>
          </cell>
          <cell r="E98">
            <v>1</v>
          </cell>
          <cell r="F98">
            <v>0</v>
          </cell>
          <cell r="G98">
            <v>0</v>
          </cell>
          <cell r="H98">
            <v>0</v>
          </cell>
          <cell r="I98">
            <v>1.01</v>
          </cell>
          <cell r="J98">
            <v>1.0900000000000001</v>
          </cell>
          <cell r="K98">
            <v>2.1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4</v>
          </cell>
        </row>
        <row r="99">
          <cell r="B99">
            <v>20</v>
          </cell>
          <cell r="C99">
            <v>12</v>
          </cell>
          <cell r="D99">
            <v>6.35</v>
          </cell>
          <cell r="E99">
            <v>1</v>
          </cell>
          <cell r="F99">
            <v>0</v>
          </cell>
          <cell r="G99">
            <v>0</v>
          </cell>
          <cell r="H99">
            <v>0</v>
          </cell>
          <cell r="I99">
            <v>1.22</v>
          </cell>
          <cell r="J99">
            <v>1.32</v>
          </cell>
          <cell r="K99">
            <v>2.54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6</v>
          </cell>
        </row>
        <row r="100">
          <cell r="B100">
            <v>20</v>
          </cell>
          <cell r="C100">
            <v>14</v>
          </cell>
          <cell r="D100">
            <v>7.92</v>
          </cell>
          <cell r="E100">
            <v>1</v>
          </cell>
          <cell r="F100">
            <v>0</v>
          </cell>
          <cell r="G100">
            <v>0</v>
          </cell>
          <cell r="H100">
            <v>0</v>
          </cell>
          <cell r="I100">
            <v>1.42</v>
          </cell>
          <cell r="J100">
            <v>2.48</v>
          </cell>
          <cell r="K100">
            <v>3.9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6</v>
          </cell>
        </row>
        <row r="101">
          <cell r="B101">
            <v>20</v>
          </cell>
          <cell r="C101">
            <v>16</v>
          </cell>
          <cell r="D101">
            <v>7.92</v>
          </cell>
          <cell r="E101">
            <v>1</v>
          </cell>
          <cell r="F101">
            <v>0</v>
          </cell>
          <cell r="G101">
            <v>0</v>
          </cell>
          <cell r="H101">
            <v>0</v>
          </cell>
          <cell r="I101">
            <v>1.62</v>
          </cell>
          <cell r="J101">
            <v>2.73</v>
          </cell>
          <cell r="K101">
            <v>4.3499999999999996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6</v>
          </cell>
        </row>
        <row r="102">
          <cell r="B102">
            <v>20</v>
          </cell>
          <cell r="C102">
            <v>18</v>
          </cell>
          <cell r="D102">
            <v>7.92</v>
          </cell>
          <cell r="E102">
            <v>1</v>
          </cell>
          <cell r="F102">
            <v>0</v>
          </cell>
          <cell r="G102">
            <v>0</v>
          </cell>
          <cell r="H102">
            <v>0</v>
          </cell>
          <cell r="I102">
            <v>1.82</v>
          </cell>
          <cell r="J102">
            <v>3.12</v>
          </cell>
          <cell r="K102">
            <v>4.9400000000000004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6</v>
          </cell>
        </row>
        <row r="103">
          <cell r="B103">
            <v>20</v>
          </cell>
          <cell r="C103">
            <v>20</v>
          </cell>
          <cell r="D103">
            <v>9.5299999999999994</v>
          </cell>
          <cell r="E103">
            <v>1</v>
          </cell>
          <cell r="F103">
            <v>0</v>
          </cell>
          <cell r="G103">
            <v>0</v>
          </cell>
          <cell r="H103">
            <v>0</v>
          </cell>
          <cell r="I103">
            <v>2.0299999999999998</v>
          </cell>
          <cell r="J103">
            <v>5.47</v>
          </cell>
          <cell r="K103">
            <v>7.5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7</v>
          </cell>
        </row>
        <row r="104">
          <cell r="B104">
            <v>20</v>
          </cell>
          <cell r="C104">
            <v>22</v>
          </cell>
          <cell r="D104">
            <v>9.5299999999999994</v>
          </cell>
          <cell r="E104">
            <v>1</v>
          </cell>
          <cell r="F104">
            <v>0</v>
          </cell>
          <cell r="G104">
            <v>0</v>
          </cell>
          <cell r="H104">
            <v>0</v>
          </cell>
          <cell r="I104">
            <v>2.23</v>
          </cell>
          <cell r="J104">
            <v>6.47</v>
          </cell>
          <cell r="K104">
            <v>8.6999999999999993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8</v>
          </cell>
        </row>
        <row r="105">
          <cell r="B105">
            <v>20</v>
          </cell>
          <cell r="C105">
            <v>24</v>
          </cell>
          <cell r="D105">
            <v>9.5299999999999994</v>
          </cell>
          <cell r="E105">
            <v>1</v>
          </cell>
          <cell r="F105">
            <v>0</v>
          </cell>
          <cell r="G105">
            <v>0</v>
          </cell>
          <cell r="H105">
            <v>0</v>
          </cell>
          <cell r="I105">
            <v>2.4300000000000002</v>
          </cell>
          <cell r="J105">
            <v>6.57</v>
          </cell>
          <cell r="K105">
            <v>9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8</v>
          </cell>
        </row>
        <row r="106">
          <cell r="B106">
            <v>20</v>
          </cell>
          <cell r="C106">
            <v>26</v>
          </cell>
          <cell r="D106">
            <v>12.7</v>
          </cell>
          <cell r="E106">
            <v>1.25</v>
          </cell>
          <cell r="F106">
            <v>0</v>
          </cell>
          <cell r="G106">
            <v>0</v>
          </cell>
          <cell r="H106">
            <v>0</v>
          </cell>
          <cell r="I106">
            <v>2.64</v>
          </cell>
          <cell r="J106">
            <v>13.86</v>
          </cell>
          <cell r="K106">
            <v>16.5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9</v>
          </cell>
        </row>
        <row r="107">
          <cell r="B107">
            <v>20</v>
          </cell>
          <cell r="C107">
            <v>28</v>
          </cell>
          <cell r="D107">
            <v>12.7</v>
          </cell>
          <cell r="E107">
            <v>1.25</v>
          </cell>
          <cell r="F107">
            <v>0</v>
          </cell>
          <cell r="G107">
            <v>0</v>
          </cell>
          <cell r="H107">
            <v>0</v>
          </cell>
          <cell r="I107">
            <v>2.84</v>
          </cell>
          <cell r="J107">
            <v>15.16</v>
          </cell>
          <cell r="K107">
            <v>18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9</v>
          </cell>
        </row>
        <row r="108">
          <cell r="B108">
            <v>20</v>
          </cell>
          <cell r="C108">
            <v>30</v>
          </cell>
          <cell r="D108">
            <v>12.7</v>
          </cell>
          <cell r="E108">
            <v>1.25</v>
          </cell>
          <cell r="F108">
            <v>0</v>
          </cell>
          <cell r="G108">
            <v>0</v>
          </cell>
          <cell r="H108">
            <v>0</v>
          </cell>
          <cell r="I108">
            <v>3.04</v>
          </cell>
          <cell r="J108">
            <v>16.45</v>
          </cell>
          <cell r="K108">
            <v>19.489999999999998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10</v>
          </cell>
        </row>
        <row r="109">
          <cell r="B109">
            <v>20</v>
          </cell>
          <cell r="C109">
            <v>32</v>
          </cell>
          <cell r="D109">
            <v>12.7</v>
          </cell>
          <cell r="E109">
            <v>1.25</v>
          </cell>
          <cell r="F109">
            <v>0</v>
          </cell>
          <cell r="G109">
            <v>0</v>
          </cell>
          <cell r="H109">
            <v>0</v>
          </cell>
          <cell r="I109">
            <v>3.24</v>
          </cell>
          <cell r="J109">
            <v>17.75</v>
          </cell>
          <cell r="K109">
            <v>20.990000000000002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11</v>
          </cell>
        </row>
        <row r="110">
          <cell r="B110">
            <v>20</v>
          </cell>
          <cell r="C110">
            <v>34</v>
          </cell>
          <cell r="D110">
            <v>12.7</v>
          </cell>
          <cell r="E110">
            <v>1.25</v>
          </cell>
          <cell r="F110">
            <v>0</v>
          </cell>
          <cell r="G110">
            <v>0</v>
          </cell>
          <cell r="H110">
            <v>0</v>
          </cell>
          <cell r="I110">
            <v>3.45</v>
          </cell>
          <cell r="J110">
            <v>18.54</v>
          </cell>
          <cell r="K110">
            <v>21.99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12</v>
          </cell>
        </row>
        <row r="111">
          <cell r="B111">
            <v>20</v>
          </cell>
          <cell r="C111">
            <v>36</v>
          </cell>
          <cell r="D111">
            <v>12.7</v>
          </cell>
          <cell r="E111">
            <v>1.25</v>
          </cell>
          <cell r="F111">
            <v>0</v>
          </cell>
          <cell r="G111">
            <v>0</v>
          </cell>
          <cell r="H111">
            <v>0</v>
          </cell>
          <cell r="I111">
            <v>3.65</v>
          </cell>
          <cell r="J111">
            <v>18.84</v>
          </cell>
          <cell r="K111">
            <v>22.49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12</v>
          </cell>
        </row>
        <row r="112">
          <cell r="B112">
            <v>30</v>
          </cell>
          <cell r="C112">
            <v>8</v>
          </cell>
          <cell r="D112">
            <v>7.04</v>
          </cell>
          <cell r="E112">
            <v>1</v>
          </cell>
          <cell r="F112">
            <v>0</v>
          </cell>
          <cell r="G112">
            <v>0</v>
          </cell>
          <cell r="H112">
            <v>0</v>
          </cell>
          <cell r="I112">
            <v>0.81</v>
          </cell>
          <cell r="J112">
            <v>1.1399999999999999</v>
          </cell>
          <cell r="K112">
            <v>1.95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4</v>
          </cell>
        </row>
        <row r="113">
          <cell r="B113">
            <v>30</v>
          </cell>
          <cell r="C113">
            <v>10</v>
          </cell>
          <cell r="D113">
            <v>7.8</v>
          </cell>
          <cell r="E113">
            <v>1</v>
          </cell>
          <cell r="F113">
            <v>0</v>
          </cell>
          <cell r="G113">
            <v>0</v>
          </cell>
          <cell r="H113">
            <v>0</v>
          </cell>
          <cell r="I113">
            <v>1.01</v>
          </cell>
          <cell r="J113">
            <v>1.99</v>
          </cell>
          <cell r="K113">
            <v>3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4</v>
          </cell>
          <cell r="Q113">
            <v>0</v>
          </cell>
          <cell r="R113">
            <v>0</v>
          </cell>
        </row>
        <row r="114">
          <cell r="B114">
            <v>30</v>
          </cell>
          <cell r="C114">
            <v>12</v>
          </cell>
          <cell r="D114">
            <v>8.3800000000000008</v>
          </cell>
          <cell r="E114">
            <v>1</v>
          </cell>
          <cell r="F114">
            <v>0</v>
          </cell>
          <cell r="G114">
            <v>0</v>
          </cell>
          <cell r="H114">
            <v>0</v>
          </cell>
          <cell r="I114">
            <v>1.22</v>
          </cell>
          <cell r="J114">
            <v>2.68</v>
          </cell>
          <cell r="K114">
            <v>3.9000000000000004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6</v>
          </cell>
        </row>
        <row r="115">
          <cell r="B115">
            <v>30</v>
          </cell>
          <cell r="C115">
            <v>14</v>
          </cell>
          <cell r="D115">
            <v>9.5299999999999994</v>
          </cell>
          <cell r="E115">
            <v>1</v>
          </cell>
          <cell r="F115">
            <v>0</v>
          </cell>
          <cell r="G115">
            <v>0</v>
          </cell>
          <cell r="H115">
            <v>0</v>
          </cell>
          <cell r="I115">
            <v>1.42</v>
          </cell>
          <cell r="J115">
            <v>3.97</v>
          </cell>
          <cell r="K115">
            <v>5.3900000000000006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6</v>
          </cell>
        </row>
        <row r="116">
          <cell r="B116">
            <v>30</v>
          </cell>
          <cell r="C116">
            <v>16</v>
          </cell>
          <cell r="D116">
            <v>9.5299999999999994</v>
          </cell>
          <cell r="E116">
            <v>1</v>
          </cell>
          <cell r="F116">
            <v>0</v>
          </cell>
          <cell r="G116">
            <v>0</v>
          </cell>
          <cell r="H116">
            <v>0</v>
          </cell>
          <cell r="I116">
            <v>1.62</v>
          </cell>
          <cell r="J116">
            <v>4.68</v>
          </cell>
          <cell r="K116">
            <v>6.3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6</v>
          </cell>
        </row>
        <row r="117">
          <cell r="B117">
            <v>30</v>
          </cell>
          <cell r="C117">
            <v>18</v>
          </cell>
          <cell r="D117">
            <v>11.13</v>
          </cell>
          <cell r="E117">
            <v>1.25</v>
          </cell>
          <cell r="F117">
            <v>0</v>
          </cell>
          <cell r="G117">
            <v>0</v>
          </cell>
          <cell r="H117">
            <v>0</v>
          </cell>
          <cell r="I117">
            <v>1.82</v>
          </cell>
          <cell r="J117">
            <v>6.88</v>
          </cell>
          <cell r="K117">
            <v>8.6999999999999993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6</v>
          </cell>
        </row>
        <row r="118">
          <cell r="B118">
            <v>30</v>
          </cell>
          <cell r="C118">
            <v>20</v>
          </cell>
          <cell r="D118">
            <v>12.7</v>
          </cell>
          <cell r="E118">
            <v>1.25</v>
          </cell>
          <cell r="F118">
            <v>0</v>
          </cell>
          <cell r="G118">
            <v>0</v>
          </cell>
          <cell r="H118">
            <v>0</v>
          </cell>
          <cell r="I118">
            <v>2.0299999999999998</v>
          </cell>
          <cell r="J118">
            <v>10.42</v>
          </cell>
          <cell r="K118">
            <v>12.45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7</v>
          </cell>
        </row>
        <row r="119">
          <cell r="B119">
            <v>30</v>
          </cell>
          <cell r="C119">
            <v>22</v>
          </cell>
          <cell r="D119">
            <v>12.7</v>
          </cell>
          <cell r="E119">
            <v>1.25</v>
          </cell>
          <cell r="F119">
            <v>0</v>
          </cell>
          <cell r="G119">
            <v>0</v>
          </cell>
          <cell r="H119">
            <v>0</v>
          </cell>
          <cell r="I119">
            <v>2.23</v>
          </cell>
          <cell r="J119">
            <v>11.72</v>
          </cell>
          <cell r="K119">
            <v>13.950000000000001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8</v>
          </cell>
        </row>
        <row r="120">
          <cell r="B120">
            <v>30</v>
          </cell>
          <cell r="C120">
            <v>24</v>
          </cell>
          <cell r="D120">
            <v>14.27</v>
          </cell>
          <cell r="E120">
            <v>1.25</v>
          </cell>
          <cell r="F120">
            <v>0</v>
          </cell>
          <cell r="G120">
            <v>0</v>
          </cell>
          <cell r="H120">
            <v>0</v>
          </cell>
          <cell r="I120">
            <v>2.4300000000000002</v>
          </cell>
          <cell r="J120">
            <v>15.57</v>
          </cell>
          <cell r="K120">
            <v>18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8</v>
          </cell>
        </row>
        <row r="121">
          <cell r="B121">
            <v>30</v>
          </cell>
          <cell r="C121">
            <v>28</v>
          </cell>
          <cell r="D121">
            <v>15.88</v>
          </cell>
          <cell r="E121">
            <v>1.5</v>
          </cell>
          <cell r="F121">
            <v>0</v>
          </cell>
          <cell r="G121">
            <v>0</v>
          </cell>
          <cell r="H121">
            <v>0</v>
          </cell>
          <cell r="I121">
            <v>2.84</v>
          </cell>
          <cell r="J121">
            <v>22.65</v>
          </cell>
          <cell r="K121">
            <v>25.49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9</v>
          </cell>
        </row>
        <row r="122">
          <cell r="B122">
            <v>30</v>
          </cell>
          <cell r="C122">
            <v>30</v>
          </cell>
          <cell r="D122">
            <v>15.88</v>
          </cell>
          <cell r="E122">
            <v>1.5</v>
          </cell>
          <cell r="F122">
            <v>0</v>
          </cell>
          <cell r="G122">
            <v>0</v>
          </cell>
          <cell r="H122">
            <v>0</v>
          </cell>
          <cell r="I122">
            <v>3.04</v>
          </cell>
          <cell r="J122">
            <v>23.96</v>
          </cell>
          <cell r="K122">
            <v>27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10</v>
          </cell>
        </row>
        <row r="123">
          <cell r="B123">
            <v>30</v>
          </cell>
          <cell r="C123">
            <v>32</v>
          </cell>
          <cell r="D123">
            <v>15.88</v>
          </cell>
          <cell r="E123">
            <v>1.5</v>
          </cell>
          <cell r="F123">
            <v>0</v>
          </cell>
          <cell r="G123">
            <v>0</v>
          </cell>
          <cell r="H123">
            <v>0</v>
          </cell>
          <cell r="I123">
            <v>3.24</v>
          </cell>
          <cell r="J123">
            <v>26.76</v>
          </cell>
          <cell r="K123">
            <v>30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11</v>
          </cell>
        </row>
        <row r="124">
          <cell r="B124">
            <v>30</v>
          </cell>
          <cell r="C124">
            <v>34</v>
          </cell>
          <cell r="D124">
            <v>15.88</v>
          </cell>
          <cell r="E124">
            <v>1.5</v>
          </cell>
          <cell r="F124">
            <v>0</v>
          </cell>
          <cell r="G124">
            <v>0</v>
          </cell>
          <cell r="H124">
            <v>0</v>
          </cell>
          <cell r="I124">
            <v>3.45</v>
          </cell>
          <cell r="J124">
            <v>28.05</v>
          </cell>
          <cell r="K124">
            <v>31.5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12</v>
          </cell>
        </row>
        <row r="125">
          <cell r="B125">
            <v>30</v>
          </cell>
          <cell r="C125">
            <v>36</v>
          </cell>
          <cell r="D125">
            <v>15.88</v>
          </cell>
          <cell r="E125">
            <v>1.5</v>
          </cell>
          <cell r="F125">
            <v>0</v>
          </cell>
          <cell r="G125">
            <v>0</v>
          </cell>
          <cell r="H125">
            <v>0</v>
          </cell>
          <cell r="I125">
            <v>3.65</v>
          </cell>
          <cell r="J125">
            <v>29.35</v>
          </cell>
          <cell r="K125">
            <v>33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12</v>
          </cell>
        </row>
        <row r="126">
          <cell r="B126">
            <v>40</v>
          </cell>
          <cell r="C126">
            <v>0.125</v>
          </cell>
          <cell r="D126">
            <v>1.73</v>
          </cell>
          <cell r="E126">
            <v>1</v>
          </cell>
          <cell r="F126">
            <v>0</v>
          </cell>
          <cell r="G126">
            <v>0</v>
          </cell>
          <cell r="H126">
            <v>0</v>
          </cell>
          <cell r="I126">
            <v>7.0000000000000007E-2</v>
          </cell>
          <cell r="J126">
            <v>0</v>
          </cell>
          <cell r="K126">
            <v>7.0000000000000007E-2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2</v>
          </cell>
        </row>
        <row r="127">
          <cell r="B127">
            <v>40</v>
          </cell>
          <cell r="C127">
            <v>0.125</v>
          </cell>
          <cell r="D127">
            <v>1.73</v>
          </cell>
          <cell r="E127">
            <v>1</v>
          </cell>
          <cell r="F127">
            <v>0</v>
          </cell>
          <cell r="G127">
            <v>0</v>
          </cell>
          <cell r="H127">
            <v>0</v>
          </cell>
          <cell r="I127">
            <v>7.0000000000000007E-2</v>
          </cell>
          <cell r="J127">
            <v>0</v>
          </cell>
          <cell r="K127">
            <v>7.0000000000000007E-2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2</v>
          </cell>
        </row>
        <row r="128">
          <cell r="B128">
            <v>40</v>
          </cell>
          <cell r="C128">
            <v>0.125</v>
          </cell>
          <cell r="D128">
            <v>1.73</v>
          </cell>
          <cell r="E128">
            <v>1</v>
          </cell>
          <cell r="F128">
            <v>0</v>
          </cell>
          <cell r="G128">
            <v>0</v>
          </cell>
          <cell r="H128">
            <v>0</v>
          </cell>
          <cell r="I128">
            <v>7.0000000000000007E-2</v>
          </cell>
          <cell r="J128">
            <v>0</v>
          </cell>
          <cell r="K128">
            <v>7.0000000000000007E-2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2</v>
          </cell>
        </row>
        <row r="129">
          <cell r="B129">
            <v>40</v>
          </cell>
          <cell r="C129">
            <v>0.25</v>
          </cell>
          <cell r="D129">
            <v>2.2400000000000002</v>
          </cell>
          <cell r="E129">
            <v>1</v>
          </cell>
          <cell r="F129">
            <v>0</v>
          </cell>
          <cell r="G129">
            <v>0</v>
          </cell>
          <cell r="H129">
            <v>0</v>
          </cell>
          <cell r="I129">
            <v>7.0000000000000007E-2</v>
          </cell>
          <cell r="J129">
            <v>0</v>
          </cell>
          <cell r="K129">
            <v>7.0000000000000007E-2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2</v>
          </cell>
        </row>
        <row r="130">
          <cell r="B130">
            <v>40</v>
          </cell>
          <cell r="C130">
            <v>0.25</v>
          </cell>
          <cell r="D130">
            <v>2.2400000000000002</v>
          </cell>
          <cell r="E130">
            <v>1</v>
          </cell>
          <cell r="F130">
            <v>0</v>
          </cell>
          <cell r="G130">
            <v>0</v>
          </cell>
          <cell r="H130">
            <v>0</v>
          </cell>
          <cell r="I130">
            <v>7.0000000000000007E-2</v>
          </cell>
          <cell r="J130">
            <v>0</v>
          </cell>
          <cell r="K130">
            <v>7.0000000000000007E-2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2</v>
          </cell>
          <cell r="Q130">
            <v>0</v>
          </cell>
          <cell r="R130">
            <v>0</v>
          </cell>
        </row>
        <row r="131">
          <cell r="B131">
            <v>40</v>
          </cell>
          <cell r="C131">
            <v>0.25</v>
          </cell>
          <cell r="D131">
            <v>2.2400000000000002</v>
          </cell>
          <cell r="E131">
            <v>1</v>
          </cell>
          <cell r="F131">
            <v>0</v>
          </cell>
          <cell r="G131">
            <v>0</v>
          </cell>
          <cell r="H131">
            <v>0</v>
          </cell>
          <cell r="I131">
            <v>7.0000000000000007E-2</v>
          </cell>
          <cell r="J131">
            <v>0</v>
          </cell>
          <cell r="K131">
            <v>7.0000000000000007E-2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2</v>
          </cell>
        </row>
        <row r="132">
          <cell r="B132">
            <v>40</v>
          </cell>
          <cell r="C132">
            <v>0.375</v>
          </cell>
          <cell r="D132">
            <v>2.31</v>
          </cell>
          <cell r="E132">
            <v>1</v>
          </cell>
          <cell r="F132">
            <v>0</v>
          </cell>
          <cell r="G132">
            <v>0</v>
          </cell>
          <cell r="H132">
            <v>0</v>
          </cell>
          <cell r="I132">
            <v>7.0000000000000007E-2</v>
          </cell>
          <cell r="J132">
            <v>0</v>
          </cell>
          <cell r="K132">
            <v>7.0000000000000007E-2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2</v>
          </cell>
        </row>
        <row r="133">
          <cell r="B133">
            <v>40</v>
          </cell>
          <cell r="C133">
            <v>0.375</v>
          </cell>
          <cell r="D133">
            <v>2.31</v>
          </cell>
          <cell r="E133">
            <v>1</v>
          </cell>
          <cell r="F133">
            <v>0</v>
          </cell>
          <cell r="G133">
            <v>0</v>
          </cell>
          <cell r="H133">
            <v>0</v>
          </cell>
          <cell r="I133">
            <v>7.0000000000000007E-2</v>
          </cell>
          <cell r="J133">
            <v>0</v>
          </cell>
          <cell r="K133">
            <v>7.0000000000000007E-2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2</v>
          </cell>
        </row>
        <row r="134">
          <cell r="B134">
            <v>40</v>
          </cell>
          <cell r="C134">
            <v>0.375</v>
          </cell>
          <cell r="D134">
            <v>2.31</v>
          </cell>
          <cell r="E134">
            <v>1</v>
          </cell>
          <cell r="F134">
            <v>0</v>
          </cell>
          <cell r="G134">
            <v>0</v>
          </cell>
          <cell r="H134">
            <v>0</v>
          </cell>
          <cell r="I134">
            <v>7.0000000000000007E-2</v>
          </cell>
          <cell r="J134">
            <v>0</v>
          </cell>
          <cell r="K134">
            <v>7.0000000000000007E-2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2</v>
          </cell>
        </row>
        <row r="135">
          <cell r="B135">
            <v>40</v>
          </cell>
          <cell r="C135">
            <v>0.5</v>
          </cell>
          <cell r="D135">
            <v>2.77</v>
          </cell>
          <cell r="E135">
            <v>1</v>
          </cell>
          <cell r="F135">
            <v>0</v>
          </cell>
          <cell r="G135">
            <v>0</v>
          </cell>
          <cell r="H135">
            <v>0</v>
          </cell>
          <cell r="I135">
            <v>7.0000000000000007E-2</v>
          </cell>
          <cell r="J135">
            <v>0</v>
          </cell>
          <cell r="K135">
            <v>7.0000000000000007E-2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2</v>
          </cell>
        </row>
        <row r="136">
          <cell r="B136">
            <v>40</v>
          </cell>
          <cell r="C136">
            <v>0.5</v>
          </cell>
          <cell r="D136">
            <v>2.77</v>
          </cell>
          <cell r="E136">
            <v>1</v>
          </cell>
          <cell r="F136">
            <v>0</v>
          </cell>
          <cell r="G136">
            <v>0</v>
          </cell>
          <cell r="H136">
            <v>0</v>
          </cell>
          <cell r="I136">
            <v>7.0000000000000007E-2</v>
          </cell>
          <cell r="J136">
            <v>0</v>
          </cell>
          <cell r="K136">
            <v>7.0000000000000007E-2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2</v>
          </cell>
        </row>
        <row r="137">
          <cell r="B137">
            <v>40</v>
          </cell>
          <cell r="C137">
            <v>0.5</v>
          </cell>
          <cell r="D137">
            <v>2.77</v>
          </cell>
          <cell r="E137">
            <v>1</v>
          </cell>
          <cell r="F137">
            <v>0</v>
          </cell>
          <cell r="G137">
            <v>0</v>
          </cell>
          <cell r="H137">
            <v>0</v>
          </cell>
          <cell r="I137">
            <v>7.0000000000000007E-2</v>
          </cell>
          <cell r="J137">
            <v>0</v>
          </cell>
          <cell r="K137">
            <v>7.0000000000000007E-2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2</v>
          </cell>
        </row>
        <row r="138">
          <cell r="B138">
            <v>40</v>
          </cell>
          <cell r="C138">
            <v>0.75</v>
          </cell>
          <cell r="D138">
            <v>2.87</v>
          </cell>
          <cell r="E138">
            <v>1</v>
          </cell>
          <cell r="F138">
            <v>0</v>
          </cell>
          <cell r="G138">
            <v>0</v>
          </cell>
          <cell r="H138">
            <v>0</v>
          </cell>
          <cell r="I138">
            <v>7.0000000000000007E-2</v>
          </cell>
          <cell r="J138">
            <v>0</v>
          </cell>
          <cell r="K138">
            <v>7.0000000000000007E-2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2</v>
          </cell>
        </row>
        <row r="139">
          <cell r="B139">
            <v>40</v>
          </cell>
          <cell r="C139">
            <v>0.75</v>
          </cell>
          <cell r="D139">
            <v>2.87</v>
          </cell>
          <cell r="E139">
            <v>1</v>
          </cell>
          <cell r="F139">
            <v>0</v>
          </cell>
          <cell r="G139">
            <v>0</v>
          </cell>
          <cell r="H139">
            <v>0</v>
          </cell>
          <cell r="I139">
            <v>7.0000000000000007E-2</v>
          </cell>
          <cell r="J139">
            <v>0</v>
          </cell>
          <cell r="K139">
            <v>7.0000000000000007E-2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2</v>
          </cell>
        </row>
        <row r="140">
          <cell r="B140">
            <v>40</v>
          </cell>
          <cell r="C140">
            <v>0.75</v>
          </cell>
          <cell r="D140">
            <v>2.87</v>
          </cell>
          <cell r="E140">
            <v>1</v>
          </cell>
          <cell r="F140">
            <v>0</v>
          </cell>
          <cell r="G140">
            <v>0</v>
          </cell>
          <cell r="H140">
            <v>0</v>
          </cell>
          <cell r="I140">
            <v>7.0000000000000007E-2</v>
          </cell>
          <cell r="J140">
            <v>0</v>
          </cell>
          <cell r="K140">
            <v>7.0000000000000007E-2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2</v>
          </cell>
        </row>
        <row r="141">
          <cell r="B141">
            <v>40</v>
          </cell>
          <cell r="C141">
            <v>1</v>
          </cell>
          <cell r="D141">
            <v>3.38</v>
          </cell>
          <cell r="E141">
            <v>1</v>
          </cell>
          <cell r="F141">
            <v>0</v>
          </cell>
          <cell r="G141">
            <v>0</v>
          </cell>
          <cell r="H141">
            <v>0</v>
          </cell>
          <cell r="I141">
            <v>0.12</v>
          </cell>
          <cell r="J141">
            <v>0</v>
          </cell>
          <cell r="K141">
            <v>0.12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2</v>
          </cell>
        </row>
        <row r="142">
          <cell r="B142">
            <v>40</v>
          </cell>
          <cell r="C142">
            <v>1</v>
          </cell>
          <cell r="D142">
            <v>3.38</v>
          </cell>
          <cell r="E142">
            <v>1</v>
          </cell>
          <cell r="F142">
            <v>0</v>
          </cell>
          <cell r="G142">
            <v>0</v>
          </cell>
          <cell r="H142">
            <v>0</v>
          </cell>
          <cell r="I142">
            <v>0.12</v>
          </cell>
          <cell r="J142">
            <v>0</v>
          </cell>
          <cell r="K142">
            <v>0.12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2</v>
          </cell>
        </row>
        <row r="143">
          <cell r="B143">
            <v>40</v>
          </cell>
          <cell r="C143">
            <v>1</v>
          </cell>
          <cell r="D143">
            <v>3.38</v>
          </cell>
          <cell r="E143">
            <v>1</v>
          </cell>
          <cell r="F143">
            <v>0</v>
          </cell>
          <cell r="G143">
            <v>0</v>
          </cell>
          <cell r="H143">
            <v>0</v>
          </cell>
          <cell r="I143">
            <v>0.12</v>
          </cell>
          <cell r="J143">
            <v>0</v>
          </cell>
          <cell r="K143">
            <v>0.12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2</v>
          </cell>
        </row>
        <row r="144">
          <cell r="B144">
            <v>40</v>
          </cell>
          <cell r="C144">
            <v>1.25</v>
          </cell>
          <cell r="D144">
            <v>3.56</v>
          </cell>
          <cell r="E144">
            <v>1</v>
          </cell>
          <cell r="F144">
            <v>0</v>
          </cell>
          <cell r="G144">
            <v>0</v>
          </cell>
          <cell r="H144">
            <v>0</v>
          </cell>
          <cell r="I144">
            <v>0.15</v>
          </cell>
          <cell r="J144">
            <v>0</v>
          </cell>
          <cell r="K144">
            <v>0.15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2</v>
          </cell>
        </row>
        <row r="145">
          <cell r="B145">
            <v>40</v>
          </cell>
          <cell r="C145">
            <v>1.25</v>
          </cell>
          <cell r="D145">
            <v>3.56</v>
          </cell>
          <cell r="E145">
            <v>1</v>
          </cell>
          <cell r="F145">
            <v>0</v>
          </cell>
          <cell r="G145">
            <v>0</v>
          </cell>
          <cell r="H145">
            <v>0</v>
          </cell>
          <cell r="I145">
            <v>0.15</v>
          </cell>
          <cell r="J145">
            <v>0</v>
          </cell>
          <cell r="K145">
            <v>0.15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2</v>
          </cell>
        </row>
        <row r="146">
          <cell r="B146">
            <v>40</v>
          </cell>
          <cell r="C146">
            <v>1.25</v>
          </cell>
          <cell r="D146">
            <v>3.56</v>
          </cell>
          <cell r="E146">
            <v>1</v>
          </cell>
          <cell r="F146">
            <v>0</v>
          </cell>
          <cell r="G146">
            <v>0</v>
          </cell>
          <cell r="H146">
            <v>0</v>
          </cell>
          <cell r="I146">
            <v>0.15</v>
          </cell>
          <cell r="J146">
            <v>0</v>
          </cell>
          <cell r="K146">
            <v>0.15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2</v>
          </cell>
        </row>
        <row r="147">
          <cell r="B147">
            <v>40</v>
          </cell>
          <cell r="C147">
            <v>1.5</v>
          </cell>
          <cell r="D147">
            <v>3.68</v>
          </cell>
          <cell r="E147">
            <v>1</v>
          </cell>
          <cell r="F147">
            <v>0</v>
          </cell>
          <cell r="G147">
            <v>0</v>
          </cell>
          <cell r="H147">
            <v>0</v>
          </cell>
          <cell r="I147">
            <v>0.15</v>
          </cell>
          <cell r="J147">
            <v>0</v>
          </cell>
          <cell r="K147">
            <v>0.15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2</v>
          </cell>
        </row>
        <row r="148">
          <cell r="B148">
            <v>40</v>
          </cell>
          <cell r="C148">
            <v>1.5</v>
          </cell>
          <cell r="D148">
            <v>3.68</v>
          </cell>
          <cell r="E148">
            <v>1</v>
          </cell>
          <cell r="F148">
            <v>0</v>
          </cell>
          <cell r="G148">
            <v>0</v>
          </cell>
          <cell r="H148">
            <v>0</v>
          </cell>
          <cell r="I148">
            <v>0.15</v>
          </cell>
          <cell r="J148">
            <v>0</v>
          </cell>
          <cell r="K148">
            <v>0.15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2</v>
          </cell>
        </row>
        <row r="149">
          <cell r="B149">
            <v>40</v>
          </cell>
          <cell r="C149">
            <v>1.5</v>
          </cell>
          <cell r="D149">
            <v>3.68</v>
          </cell>
          <cell r="E149">
            <v>1</v>
          </cell>
          <cell r="F149">
            <v>0</v>
          </cell>
          <cell r="G149">
            <v>0</v>
          </cell>
          <cell r="H149">
            <v>0</v>
          </cell>
          <cell r="I149">
            <v>0.15</v>
          </cell>
          <cell r="J149">
            <v>0</v>
          </cell>
          <cell r="K149">
            <v>0.15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2</v>
          </cell>
        </row>
        <row r="150">
          <cell r="B150">
            <v>40</v>
          </cell>
          <cell r="C150">
            <v>2</v>
          </cell>
          <cell r="D150">
            <v>3.91</v>
          </cell>
          <cell r="E150">
            <v>1</v>
          </cell>
          <cell r="F150">
            <v>0</v>
          </cell>
          <cell r="G150">
            <v>0</v>
          </cell>
          <cell r="H150">
            <v>0</v>
          </cell>
          <cell r="I150">
            <v>0.3</v>
          </cell>
          <cell r="J150">
            <v>0</v>
          </cell>
          <cell r="K150">
            <v>0.3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2</v>
          </cell>
          <cell r="Q150">
            <v>0</v>
          </cell>
          <cell r="R150">
            <v>0</v>
          </cell>
        </row>
        <row r="151">
          <cell r="B151">
            <v>40</v>
          </cell>
          <cell r="C151">
            <v>2</v>
          </cell>
          <cell r="D151">
            <v>3.91</v>
          </cell>
          <cell r="E151">
            <v>1</v>
          </cell>
          <cell r="F151">
            <v>0</v>
          </cell>
          <cell r="G151">
            <v>0</v>
          </cell>
          <cell r="H151">
            <v>0</v>
          </cell>
          <cell r="I151">
            <v>0.3</v>
          </cell>
          <cell r="J151">
            <v>0</v>
          </cell>
          <cell r="K151">
            <v>0.3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2</v>
          </cell>
        </row>
        <row r="152">
          <cell r="B152">
            <v>40</v>
          </cell>
          <cell r="C152">
            <v>2</v>
          </cell>
          <cell r="D152">
            <v>3.91</v>
          </cell>
          <cell r="E152">
            <v>1</v>
          </cell>
          <cell r="F152">
            <v>0</v>
          </cell>
          <cell r="G152">
            <v>0</v>
          </cell>
          <cell r="H152">
            <v>0</v>
          </cell>
          <cell r="I152">
            <v>0.3</v>
          </cell>
          <cell r="J152">
            <v>0</v>
          </cell>
          <cell r="K152">
            <v>0.3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2</v>
          </cell>
        </row>
        <row r="153">
          <cell r="B153">
            <v>40</v>
          </cell>
          <cell r="C153">
            <v>2.5</v>
          </cell>
          <cell r="D153">
            <v>5.16</v>
          </cell>
          <cell r="E153">
            <v>1</v>
          </cell>
          <cell r="F153">
            <v>0</v>
          </cell>
          <cell r="G153">
            <v>0</v>
          </cell>
          <cell r="H153">
            <v>0</v>
          </cell>
          <cell r="I153">
            <v>0.25</v>
          </cell>
          <cell r="J153">
            <v>0.2</v>
          </cell>
          <cell r="K153">
            <v>0.45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2</v>
          </cell>
        </row>
        <row r="154">
          <cell r="B154">
            <v>40</v>
          </cell>
          <cell r="C154">
            <v>3</v>
          </cell>
          <cell r="D154">
            <v>5.49</v>
          </cell>
          <cell r="E154">
            <v>1</v>
          </cell>
          <cell r="F154">
            <v>0</v>
          </cell>
          <cell r="G154">
            <v>0</v>
          </cell>
          <cell r="H154">
            <v>0</v>
          </cell>
          <cell r="I154">
            <v>0.3</v>
          </cell>
          <cell r="J154">
            <v>0.3</v>
          </cell>
          <cell r="K154">
            <v>0.6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2</v>
          </cell>
        </row>
        <row r="155">
          <cell r="B155">
            <v>40</v>
          </cell>
          <cell r="C155">
            <v>3.5</v>
          </cell>
          <cell r="D155">
            <v>5.74</v>
          </cell>
          <cell r="E155">
            <v>1</v>
          </cell>
          <cell r="F155">
            <v>0</v>
          </cell>
          <cell r="G155">
            <v>0</v>
          </cell>
          <cell r="H155">
            <v>0</v>
          </cell>
          <cell r="I155">
            <v>0.35</v>
          </cell>
          <cell r="J155">
            <v>0.4</v>
          </cell>
          <cell r="K155">
            <v>0.75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3</v>
          </cell>
        </row>
        <row r="156">
          <cell r="B156">
            <v>40</v>
          </cell>
          <cell r="C156">
            <v>4</v>
          </cell>
          <cell r="D156">
            <v>6.02</v>
          </cell>
          <cell r="E156">
            <v>1</v>
          </cell>
          <cell r="F156">
            <v>0</v>
          </cell>
          <cell r="G156">
            <v>0</v>
          </cell>
          <cell r="H156">
            <v>0</v>
          </cell>
          <cell r="I156">
            <v>0.41</v>
          </cell>
          <cell r="J156">
            <v>0.49</v>
          </cell>
          <cell r="K156">
            <v>0.89999999999999991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3</v>
          </cell>
        </row>
        <row r="157">
          <cell r="B157">
            <v>40</v>
          </cell>
          <cell r="C157">
            <v>5</v>
          </cell>
          <cell r="D157">
            <v>6.55</v>
          </cell>
          <cell r="E157">
            <v>1</v>
          </cell>
          <cell r="F157">
            <v>0</v>
          </cell>
          <cell r="G157">
            <v>0</v>
          </cell>
          <cell r="H157">
            <v>0</v>
          </cell>
          <cell r="I157">
            <v>0.51</v>
          </cell>
          <cell r="J157">
            <v>0.54</v>
          </cell>
          <cell r="K157">
            <v>1.05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4</v>
          </cell>
        </row>
        <row r="158">
          <cell r="B158">
            <v>40</v>
          </cell>
          <cell r="C158">
            <v>6</v>
          </cell>
          <cell r="D158">
            <v>7.11</v>
          </cell>
          <cell r="E158">
            <v>1</v>
          </cell>
          <cell r="F158">
            <v>0</v>
          </cell>
          <cell r="G158">
            <v>0</v>
          </cell>
          <cell r="H158">
            <v>0</v>
          </cell>
          <cell r="I158">
            <v>0.61</v>
          </cell>
          <cell r="J158">
            <v>1.04</v>
          </cell>
          <cell r="K158">
            <v>1.65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4</v>
          </cell>
        </row>
        <row r="159">
          <cell r="B159">
            <v>40</v>
          </cell>
          <cell r="C159">
            <v>8</v>
          </cell>
          <cell r="D159">
            <v>8.18</v>
          </cell>
          <cell r="E159">
            <v>1</v>
          </cell>
          <cell r="F159">
            <v>0</v>
          </cell>
          <cell r="G159">
            <v>0</v>
          </cell>
          <cell r="H159">
            <v>0</v>
          </cell>
          <cell r="I159">
            <v>0.81</v>
          </cell>
          <cell r="J159">
            <v>1.73</v>
          </cell>
          <cell r="K159">
            <v>2.54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4</v>
          </cell>
        </row>
        <row r="160">
          <cell r="B160">
            <v>40</v>
          </cell>
          <cell r="C160">
            <v>10</v>
          </cell>
          <cell r="D160">
            <v>9.27</v>
          </cell>
          <cell r="E160">
            <v>1</v>
          </cell>
          <cell r="F160">
            <v>0</v>
          </cell>
          <cell r="G160">
            <v>0</v>
          </cell>
          <cell r="H160">
            <v>0</v>
          </cell>
          <cell r="I160">
            <v>1.01</v>
          </cell>
          <cell r="J160">
            <v>3.04</v>
          </cell>
          <cell r="K160">
            <v>4.05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4</v>
          </cell>
        </row>
        <row r="161">
          <cell r="B161">
            <v>40</v>
          </cell>
          <cell r="C161">
            <v>12</v>
          </cell>
          <cell r="D161">
            <v>10.31</v>
          </cell>
          <cell r="E161">
            <v>1.25</v>
          </cell>
          <cell r="F161">
            <v>0</v>
          </cell>
          <cell r="G161">
            <v>0</v>
          </cell>
          <cell r="H161">
            <v>0</v>
          </cell>
          <cell r="I161">
            <v>1.22</v>
          </cell>
          <cell r="J161">
            <v>4.0199999999999996</v>
          </cell>
          <cell r="K161">
            <v>5.2399999999999993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6</v>
          </cell>
        </row>
        <row r="162">
          <cell r="B162">
            <v>40</v>
          </cell>
          <cell r="C162">
            <v>14</v>
          </cell>
          <cell r="D162">
            <v>11.13</v>
          </cell>
          <cell r="E162">
            <v>1.25</v>
          </cell>
          <cell r="F162">
            <v>0</v>
          </cell>
          <cell r="G162">
            <v>0</v>
          </cell>
          <cell r="H162">
            <v>0</v>
          </cell>
          <cell r="I162">
            <v>1.42</v>
          </cell>
          <cell r="J162">
            <v>5.33</v>
          </cell>
          <cell r="K162">
            <v>6.75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6</v>
          </cell>
        </row>
        <row r="163">
          <cell r="B163">
            <v>40</v>
          </cell>
          <cell r="C163">
            <v>16</v>
          </cell>
          <cell r="D163">
            <v>12.7</v>
          </cell>
          <cell r="E163">
            <v>1.25</v>
          </cell>
          <cell r="F163">
            <v>0</v>
          </cell>
          <cell r="G163">
            <v>0</v>
          </cell>
          <cell r="H163">
            <v>0</v>
          </cell>
          <cell r="I163">
            <v>1.62</v>
          </cell>
          <cell r="J163">
            <v>8.42</v>
          </cell>
          <cell r="K163">
            <v>10.039999999999999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6</v>
          </cell>
        </row>
        <row r="164">
          <cell r="B164">
            <v>40</v>
          </cell>
          <cell r="C164">
            <v>18</v>
          </cell>
          <cell r="D164">
            <v>14.27</v>
          </cell>
          <cell r="E164">
            <v>1.25</v>
          </cell>
          <cell r="F164">
            <v>0</v>
          </cell>
          <cell r="G164">
            <v>0</v>
          </cell>
          <cell r="H164">
            <v>0</v>
          </cell>
          <cell r="I164">
            <v>1.82</v>
          </cell>
          <cell r="J164">
            <v>11.53</v>
          </cell>
          <cell r="K164">
            <v>13.35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6</v>
          </cell>
        </row>
        <row r="165">
          <cell r="B165">
            <v>40</v>
          </cell>
          <cell r="C165">
            <v>20</v>
          </cell>
          <cell r="D165">
            <v>15.09</v>
          </cell>
          <cell r="E165">
            <v>1.5</v>
          </cell>
          <cell r="F165">
            <v>0</v>
          </cell>
          <cell r="G165">
            <v>0</v>
          </cell>
          <cell r="H165">
            <v>0</v>
          </cell>
          <cell r="I165">
            <v>2.0299999999999998</v>
          </cell>
          <cell r="J165">
            <v>14.47</v>
          </cell>
          <cell r="K165">
            <v>16.5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7</v>
          </cell>
        </row>
        <row r="166">
          <cell r="B166">
            <v>40</v>
          </cell>
          <cell r="C166">
            <v>24</v>
          </cell>
          <cell r="D166">
            <v>17.48</v>
          </cell>
          <cell r="E166">
            <v>1.5</v>
          </cell>
          <cell r="F166">
            <v>0</v>
          </cell>
          <cell r="G166">
            <v>0</v>
          </cell>
          <cell r="H166">
            <v>0</v>
          </cell>
          <cell r="I166">
            <v>2.4300000000000002</v>
          </cell>
          <cell r="J166">
            <v>24.57</v>
          </cell>
          <cell r="K166">
            <v>27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8</v>
          </cell>
        </row>
        <row r="167">
          <cell r="B167">
            <v>40</v>
          </cell>
          <cell r="C167">
            <v>32</v>
          </cell>
          <cell r="D167">
            <v>17.48</v>
          </cell>
          <cell r="E167">
            <v>1.5</v>
          </cell>
          <cell r="F167">
            <v>0</v>
          </cell>
          <cell r="G167">
            <v>0</v>
          </cell>
          <cell r="H167">
            <v>0</v>
          </cell>
          <cell r="I167">
            <v>3.24</v>
          </cell>
          <cell r="J167">
            <v>31.26</v>
          </cell>
          <cell r="K167">
            <v>34.5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11</v>
          </cell>
        </row>
        <row r="168">
          <cell r="B168">
            <v>40</v>
          </cell>
          <cell r="C168">
            <v>34</v>
          </cell>
          <cell r="D168">
            <v>17.48</v>
          </cell>
          <cell r="E168">
            <v>1.5</v>
          </cell>
          <cell r="F168">
            <v>0</v>
          </cell>
          <cell r="G168">
            <v>0</v>
          </cell>
          <cell r="H168">
            <v>0</v>
          </cell>
          <cell r="I168">
            <v>3.45</v>
          </cell>
          <cell r="J168">
            <v>34.049999999999997</v>
          </cell>
          <cell r="K168">
            <v>37.5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12</v>
          </cell>
        </row>
        <row r="169">
          <cell r="B169">
            <v>40</v>
          </cell>
          <cell r="C169">
            <v>36</v>
          </cell>
          <cell r="D169">
            <v>19.05</v>
          </cell>
          <cell r="E169">
            <v>2</v>
          </cell>
          <cell r="F169">
            <v>0</v>
          </cell>
          <cell r="G169">
            <v>0</v>
          </cell>
          <cell r="H169">
            <v>0</v>
          </cell>
          <cell r="I169">
            <v>3.65</v>
          </cell>
          <cell r="J169">
            <v>41.34</v>
          </cell>
          <cell r="K169">
            <v>44.99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12</v>
          </cell>
        </row>
        <row r="170">
          <cell r="B170" t="str">
            <v>40S</v>
          </cell>
          <cell r="C170">
            <v>0.125</v>
          </cell>
          <cell r="D170">
            <v>1.73</v>
          </cell>
          <cell r="E170">
            <v>1</v>
          </cell>
          <cell r="F170">
            <v>0</v>
          </cell>
          <cell r="G170">
            <v>0</v>
          </cell>
          <cell r="H170">
            <v>0</v>
          </cell>
          <cell r="I170">
            <v>7.0000000000000007E-2</v>
          </cell>
          <cell r="J170">
            <v>0</v>
          </cell>
          <cell r="K170">
            <v>7.0000000000000007E-2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2</v>
          </cell>
        </row>
        <row r="171">
          <cell r="B171" t="str">
            <v>40S</v>
          </cell>
          <cell r="C171">
            <v>0.125</v>
          </cell>
          <cell r="D171">
            <v>1.73</v>
          </cell>
          <cell r="E171">
            <v>1</v>
          </cell>
          <cell r="F171">
            <v>0</v>
          </cell>
          <cell r="G171">
            <v>0</v>
          </cell>
          <cell r="H171">
            <v>0</v>
          </cell>
          <cell r="I171">
            <v>7.0000000000000007E-2</v>
          </cell>
          <cell r="J171">
            <v>0</v>
          </cell>
          <cell r="K171">
            <v>7.0000000000000007E-2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2</v>
          </cell>
        </row>
        <row r="172">
          <cell r="B172" t="str">
            <v>40S</v>
          </cell>
          <cell r="C172">
            <v>0.125</v>
          </cell>
          <cell r="D172">
            <v>1.73</v>
          </cell>
          <cell r="E172">
            <v>1</v>
          </cell>
          <cell r="F172">
            <v>0</v>
          </cell>
          <cell r="G172">
            <v>0</v>
          </cell>
          <cell r="H172">
            <v>0</v>
          </cell>
          <cell r="I172">
            <v>7.0000000000000007E-2</v>
          </cell>
          <cell r="J172">
            <v>0</v>
          </cell>
          <cell r="K172">
            <v>7.0000000000000007E-2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2</v>
          </cell>
        </row>
        <row r="173">
          <cell r="B173" t="str">
            <v>40S</v>
          </cell>
          <cell r="C173">
            <v>0.25</v>
          </cell>
          <cell r="D173">
            <v>2.2400000000000002</v>
          </cell>
          <cell r="E173">
            <v>1</v>
          </cell>
          <cell r="F173">
            <v>0</v>
          </cell>
          <cell r="G173">
            <v>0</v>
          </cell>
          <cell r="H173">
            <v>0</v>
          </cell>
          <cell r="I173">
            <v>7.0000000000000007E-2</v>
          </cell>
          <cell r="J173">
            <v>0</v>
          </cell>
          <cell r="K173">
            <v>7.0000000000000007E-2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2</v>
          </cell>
        </row>
        <row r="174">
          <cell r="B174" t="str">
            <v>40S</v>
          </cell>
          <cell r="C174">
            <v>0.25</v>
          </cell>
          <cell r="D174">
            <v>2.2400000000000002</v>
          </cell>
          <cell r="E174">
            <v>1</v>
          </cell>
          <cell r="F174">
            <v>0</v>
          </cell>
          <cell r="G174">
            <v>0</v>
          </cell>
          <cell r="H174">
            <v>0</v>
          </cell>
          <cell r="I174">
            <v>7.0000000000000007E-2</v>
          </cell>
          <cell r="J174">
            <v>0</v>
          </cell>
          <cell r="K174">
            <v>7.0000000000000007E-2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2</v>
          </cell>
        </row>
        <row r="175">
          <cell r="B175" t="str">
            <v>40S</v>
          </cell>
          <cell r="C175">
            <v>0.25</v>
          </cell>
          <cell r="D175">
            <v>2.2400000000000002</v>
          </cell>
          <cell r="E175">
            <v>1</v>
          </cell>
          <cell r="F175">
            <v>0</v>
          </cell>
          <cell r="G175">
            <v>0</v>
          </cell>
          <cell r="H175">
            <v>0</v>
          </cell>
          <cell r="I175">
            <v>7.0000000000000007E-2</v>
          </cell>
          <cell r="J175">
            <v>0</v>
          </cell>
          <cell r="K175">
            <v>7.0000000000000007E-2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2</v>
          </cell>
        </row>
        <row r="176">
          <cell r="B176" t="str">
            <v>40S</v>
          </cell>
          <cell r="C176">
            <v>0.375</v>
          </cell>
          <cell r="D176">
            <v>2.31</v>
          </cell>
          <cell r="E176">
            <v>1</v>
          </cell>
          <cell r="F176">
            <v>0</v>
          </cell>
          <cell r="G176">
            <v>0</v>
          </cell>
          <cell r="H176">
            <v>0</v>
          </cell>
          <cell r="I176">
            <v>7.0000000000000007E-2</v>
          </cell>
          <cell r="J176">
            <v>0</v>
          </cell>
          <cell r="K176">
            <v>7.0000000000000007E-2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2</v>
          </cell>
        </row>
        <row r="177">
          <cell r="B177" t="str">
            <v>40S</v>
          </cell>
          <cell r="C177">
            <v>0.375</v>
          </cell>
          <cell r="D177">
            <v>2.31</v>
          </cell>
          <cell r="E177">
            <v>1</v>
          </cell>
          <cell r="F177">
            <v>0</v>
          </cell>
          <cell r="G177">
            <v>0</v>
          </cell>
          <cell r="H177">
            <v>0</v>
          </cell>
          <cell r="I177">
            <v>7.0000000000000007E-2</v>
          </cell>
          <cell r="J177">
            <v>0</v>
          </cell>
          <cell r="K177">
            <v>7.0000000000000007E-2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2</v>
          </cell>
        </row>
        <row r="178">
          <cell r="B178" t="str">
            <v>40S</v>
          </cell>
          <cell r="C178">
            <v>0.375</v>
          </cell>
          <cell r="D178">
            <v>2.31</v>
          </cell>
          <cell r="E178">
            <v>1</v>
          </cell>
          <cell r="F178">
            <v>0</v>
          </cell>
          <cell r="G178">
            <v>0</v>
          </cell>
          <cell r="H178">
            <v>0</v>
          </cell>
          <cell r="I178">
            <v>7.0000000000000007E-2</v>
          </cell>
          <cell r="J178">
            <v>0</v>
          </cell>
          <cell r="K178">
            <v>7.0000000000000007E-2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2</v>
          </cell>
        </row>
        <row r="179">
          <cell r="B179" t="str">
            <v>40S</v>
          </cell>
          <cell r="C179">
            <v>0.5</v>
          </cell>
          <cell r="D179">
            <v>2.77</v>
          </cell>
          <cell r="E179">
            <v>1</v>
          </cell>
          <cell r="F179">
            <v>0</v>
          </cell>
          <cell r="G179">
            <v>0</v>
          </cell>
          <cell r="H179">
            <v>0</v>
          </cell>
          <cell r="I179">
            <v>7.0000000000000007E-2</v>
          </cell>
          <cell r="J179">
            <v>0</v>
          </cell>
          <cell r="K179">
            <v>7.0000000000000007E-2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2</v>
          </cell>
        </row>
        <row r="180">
          <cell r="B180" t="str">
            <v>40S</v>
          </cell>
          <cell r="C180">
            <v>0.5</v>
          </cell>
          <cell r="D180">
            <v>2.77</v>
          </cell>
          <cell r="E180">
            <v>1</v>
          </cell>
          <cell r="F180">
            <v>0</v>
          </cell>
          <cell r="G180">
            <v>0</v>
          </cell>
          <cell r="H180">
            <v>0</v>
          </cell>
          <cell r="I180">
            <v>7.0000000000000007E-2</v>
          </cell>
          <cell r="J180">
            <v>0</v>
          </cell>
          <cell r="K180">
            <v>7.0000000000000007E-2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2</v>
          </cell>
        </row>
        <row r="181">
          <cell r="B181" t="str">
            <v>40S</v>
          </cell>
          <cell r="C181">
            <v>0.5</v>
          </cell>
          <cell r="D181">
            <v>2.77</v>
          </cell>
          <cell r="E181">
            <v>1</v>
          </cell>
          <cell r="F181">
            <v>0</v>
          </cell>
          <cell r="G181">
            <v>0</v>
          </cell>
          <cell r="H181">
            <v>0</v>
          </cell>
          <cell r="I181">
            <v>7.0000000000000007E-2</v>
          </cell>
          <cell r="J181">
            <v>0</v>
          </cell>
          <cell r="K181">
            <v>7.0000000000000007E-2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2</v>
          </cell>
        </row>
        <row r="182">
          <cell r="B182" t="str">
            <v>40S</v>
          </cell>
          <cell r="C182">
            <v>0.75</v>
          </cell>
          <cell r="D182">
            <v>2.87</v>
          </cell>
          <cell r="E182">
            <v>1</v>
          </cell>
          <cell r="F182">
            <v>0</v>
          </cell>
          <cell r="G182">
            <v>0</v>
          </cell>
          <cell r="H182">
            <v>0</v>
          </cell>
          <cell r="I182">
            <v>7.0000000000000007E-2</v>
          </cell>
          <cell r="J182">
            <v>0</v>
          </cell>
          <cell r="K182">
            <v>7.0000000000000007E-2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2</v>
          </cell>
        </row>
        <row r="183">
          <cell r="B183" t="str">
            <v>40S</v>
          </cell>
          <cell r="C183">
            <v>0.75</v>
          </cell>
          <cell r="D183">
            <v>2.87</v>
          </cell>
          <cell r="E183">
            <v>1</v>
          </cell>
          <cell r="F183">
            <v>0</v>
          </cell>
          <cell r="G183">
            <v>0</v>
          </cell>
          <cell r="H183">
            <v>0</v>
          </cell>
          <cell r="I183">
            <v>7.0000000000000007E-2</v>
          </cell>
          <cell r="J183">
            <v>0</v>
          </cell>
          <cell r="K183">
            <v>7.0000000000000007E-2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2</v>
          </cell>
        </row>
        <row r="184">
          <cell r="B184" t="str">
            <v>40S</v>
          </cell>
          <cell r="C184">
            <v>0.75</v>
          </cell>
          <cell r="D184">
            <v>2.87</v>
          </cell>
          <cell r="E184">
            <v>1</v>
          </cell>
          <cell r="F184">
            <v>0</v>
          </cell>
          <cell r="G184">
            <v>0</v>
          </cell>
          <cell r="H184">
            <v>0</v>
          </cell>
          <cell r="I184">
            <v>7.0000000000000007E-2</v>
          </cell>
          <cell r="J184">
            <v>0</v>
          </cell>
          <cell r="K184">
            <v>7.0000000000000007E-2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2</v>
          </cell>
        </row>
        <row r="185">
          <cell r="B185" t="str">
            <v>40S</v>
          </cell>
          <cell r="C185">
            <v>1</v>
          </cell>
          <cell r="D185">
            <v>3.38</v>
          </cell>
          <cell r="E185">
            <v>1</v>
          </cell>
          <cell r="F185">
            <v>0</v>
          </cell>
          <cell r="G185">
            <v>0</v>
          </cell>
          <cell r="H185">
            <v>0</v>
          </cell>
          <cell r="I185">
            <v>0.12</v>
          </cell>
          <cell r="J185">
            <v>0</v>
          </cell>
          <cell r="K185">
            <v>0.12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2</v>
          </cell>
        </row>
        <row r="186">
          <cell r="B186" t="str">
            <v>40S</v>
          </cell>
          <cell r="C186">
            <v>1</v>
          </cell>
          <cell r="D186">
            <v>3.38</v>
          </cell>
          <cell r="E186">
            <v>1</v>
          </cell>
          <cell r="F186">
            <v>0</v>
          </cell>
          <cell r="G186">
            <v>0</v>
          </cell>
          <cell r="H186">
            <v>0</v>
          </cell>
          <cell r="I186">
            <v>0.12</v>
          </cell>
          <cell r="J186">
            <v>0</v>
          </cell>
          <cell r="K186">
            <v>0.12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2</v>
          </cell>
        </row>
        <row r="187">
          <cell r="B187" t="str">
            <v>40S</v>
          </cell>
          <cell r="C187">
            <v>1</v>
          </cell>
          <cell r="D187">
            <v>3.38</v>
          </cell>
          <cell r="E187">
            <v>1</v>
          </cell>
          <cell r="F187">
            <v>0</v>
          </cell>
          <cell r="G187">
            <v>0</v>
          </cell>
          <cell r="H187">
            <v>0</v>
          </cell>
          <cell r="I187">
            <v>0.12</v>
          </cell>
          <cell r="J187">
            <v>0</v>
          </cell>
          <cell r="K187">
            <v>0.12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2</v>
          </cell>
        </row>
        <row r="188">
          <cell r="B188" t="str">
            <v>40S</v>
          </cell>
          <cell r="C188">
            <v>1.25</v>
          </cell>
          <cell r="D188">
            <v>3.56</v>
          </cell>
          <cell r="E188">
            <v>1</v>
          </cell>
          <cell r="F188">
            <v>0</v>
          </cell>
          <cell r="G188">
            <v>0</v>
          </cell>
          <cell r="H188">
            <v>0</v>
          </cell>
          <cell r="I188">
            <v>0.15</v>
          </cell>
          <cell r="J188">
            <v>0</v>
          </cell>
          <cell r="K188">
            <v>0.15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2</v>
          </cell>
        </row>
        <row r="189">
          <cell r="B189" t="str">
            <v>40S</v>
          </cell>
          <cell r="C189">
            <v>1.25</v>
          </cell>
          <cell r="D189">
            <v>3.56</v>
          </cell>
          <cell r="E189">
            <v>1</v>
          </cell>
          <cell r="F189">
            <v>0</v>
          </cell>
          <cell r="G189">
            <v>0</v>
          </cell>
          <cell r="H189">
            <v>0</v>
          </cell>
          <cell r="I189">
            <v>0.15</v>
          </cell>
          <cell r="J189">
            <v>0</v>
          </cell>
          <cell r="K189">
            <v>0.15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2</v>
          </cell>
        </row>
        <row r="190">
          <cell r="B190" t="str">
            <v>40S</v>
          </cell>
          <cell r="C190">
            <v>1.25</v>
          </cell>
          <cell r="D190">
            <v>3.56</v>
          </cell>
          <cell r="E190">
            <v>1</v>
          </cell>
          <cell r="F190">
            <v>0</v>
          </cell>
          <cell r="G190">
            <v>0</v>
          </cell>
          <cell r="H190">
            <v>0</v>
          </cell>
          <cell r="I190">
            <v>0.15</v>
          </cell>
          <cell r="J190">
            <v>8.42</v>
          </cell>
          <cell r="K190">
            <v>0.15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2</v>
          </cell>
        </row>
        <row r="191">
          <cell r="B191" t="str">
            <v>40S</v>
          </cell>
          <cell r="C191">
            <v>1.5</v>
          </cell>
          <cell r="D191">
            <v>3.68</v>
          </cell>
          <cell r="E191">
            <v>1</v>
          </cell>
          <cell r="F191">
            <v>0</v>
          </cell>
          <cell r="G191">
            <v>0</v>
          </cell>
          <cell r="H191">
            <v>0</v>
          </cell>
          <cell r="I191">
            <v>0.15</v>
          </cell>
          <cell r="J191">
            <v>0</v>
          </cell>
          <cell r="K191">
            <v>0.15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2</v>
          </cell>
        </row>
        <row r="192">
          <cell r="B192" t="str">
            <v>40S</v>
          </cell>
          <cell r="C192">
            <v>1.5</v>
          </cell>
          <cell r="D192">
            <v>3.68</v>
          </cell>
          <cell r="E192">
            <v>1</v>
          </cell>
          <cell r="F192">
            <v>0</v>
          </cell>
          <cell r="G192">
            <v>0</v>
          </cell>
          <cell r="H192">
            <v>0</v>
          </cell>
          <cell r="I192">
            <v>0.15</v>
          </cell>
          <cell r="J192">
            <v>0</v>
          </cell>
          <cell r="K192">
            <v>0.15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2</v>
          </cell>
        </row>
        <row r="193">
          <cell r="B193" t="str">
            <v>40S</v>
          </cell>
          <cell r="C193">
            <v>1.5</v>
          </cell>
          <cell r="D193">
            <v>3.68</v>
          </cell>
          <cell r="E193">
            <v>1</v>
          </cell>
          <cell r="F193">
            <v>0</v>
          </cell>
          <cell r="G193">
            <v>0</v>
          </cell>
          <cell r="H193">
            <v>0</v>
          </cell>
          <cell r="I193">
            <v>0.15</v>
          </cell>
          <cell r="J193">
            <v>0</v>
          </cell>
          <cell r="K193">
            <v>0.15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2</v>
          </cell>
        </row>
        <row r="194">
          <cell r="B194" t="str">
            <v>40S</v>
          </cell>
          <cell r="C194">
            <v>2</v>
          </cell>
          <cell r="D194">
            <v>3.91</v>
          </cell>
          <cell r="E194">
            <v>1</v>
          </cell>
          <cell r="F194">
            <v>0</v>
          </cell>
          <cell r="G194">
            <v>0</v>
          </cell>
          <cell r="H194">
            <v>0</v>
          </cell>
          <cell r="I194">
            <v>0.3</v>
          </cell>
          <cell r="J194">
            <v>0</v>
          </cell>
          <cell r="K194">
            <v>0.3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2</v>
          </cell>
        </row>
        <row r="195">
          <cell r="B195" t="str">
            <v>40S</v>
          </cell>
          <cell r="C195">
            <v>2</v>
          </cell>
          <cell r="D195">
            <v>3.91</v>
          </cell>
          <cell r="E195">
            <v>1</v>
          </cell>
          <cell r="F195">
            <v>0</v>
          </cell>
          <cell r="G195">
            <v>0</v>
          </cell>
          <cell r="H195">
            <v>0</v>
          </cell>
          <cell r="I195">
            <v>0.3</v>
          </cell>
          <cell r="J195">
            <v>0</v>
          </cell>
          <cell r="K195">
            <v>0.3</v>
          </cell>
          <cell r="L195">
            <v>2</v>
          </cell>
          <cell r="M195">
            <v>0</v>
          </cell>
          <cell r="N195">
            <v>4.1166770151461775E-312</v>
          </cell>
          <cell r="O195" t="str">
            <v>40S</v>
          </cell>
          <cell r="P195">
            <v>2</v>
          </cell>
          <cell r="Q195">
            <v>3.9099923706054689</v>
          </cell>
          <cell r="R195">
            <v>1</v>
          </cell>
        </row>
        <row r="196">
          <cell r="B196" t="str">
            <v>40S</v>
          </cell>
          <cell r="C196">
            <v>2</v>
          </cell>
          <cell r="D196">
            <v>3.91</v>
          </cell>
          <cell r="E196">
            <v>1</v>
          </cell>
          <cell r="F196">
            <v>0</v>
          </cell>
          <cell r="G196">
            <v>0</v>
          </cell>
          <cell r="H196">
            <v>0</v>
          </cell>
          <cell r="I196">
            <v>0.3</v>
          </cell>
          <cell r="J196">
            <v>0</v>
          </cell>
          <cell r="K196">
            <v>0.3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2</v>
          </cell>
        </row>
        <row r="197">
          <cell r="B197" t="str">
            <v>40S</v>
          </cell>
          <cell r="C197">
            <v>2.5</v>
          </cell>
          <cell r="D197">
            <v>5.16</v>
          </cell>
          <cell r="E197">
            <v>1</v>
          </cell>
          <cell r="F197">
            <v>0</v>
          </cell>
          <cell r="G197">
            <v>0</v>
          </cell>
          <cell r="H197">
            <v>0</v>
          </cell>
          <cell r="I197">
            <v>0.25</v>
          </cell>
          <cell r="J197">
            <v>0.2</v>
          </cell>
          <cell r="K197">
            <v>0.45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2</v>
          </cell>
        </row>
        <row r="198">
          <cell r="B198" t="str">
            <v>40S</v>
          </cell>
          <cell r="C198">
            <v>3</v>
          </cell>
          <cell r="D198">
            <v>5.49</v>
          </cell>
          <cell r="E198">
            <v>1</v>
          </cell>
          <cell r="F198">
            <v>0</v>
          </cell>
          <cell r="G198">
            <v>0</v>
          </cell>
          <cell r="H198">
            <v>0</v>
          </cell>
          <cell r="I198">
            <v>0.3</v>
          </cell>
          <cell r="J198">
            <v>0.3</v>
          </cell>
          <cell r="K198">
            <v>0.6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2</v>
          </cell>
        </row>
        <row r="199">
          <cell r="B199" t="str">
            <v>40S</v>
          </cell>
          <cell r="C199">
            <v>3.5</v>
          </cell>
          <cell r="D199">
            <v>5.74</v>
          </cell>
          <cell r="E199">
            <v>1</v>
          </cell>
          <cell r="F199">
            <v>0</v>
          </cell>
          <cell r="G199">
            <v>0</v>
          </cell>
          <cell r="H199">
            <v>0</v>
          </cell>
          <cell r="I199">
            <v>0.35</v>
          </cell>
          <cell r="J199">
            <v>0.4</v>
          </cell>
          <cell r="K199">
            <v>0.75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3</v>
          </cell>
        </row>
        <row r="200">
          <cell r="B200" t="str">
            <v>40S</v>
          </cell>
          <cell r="C200">
            <v>4</v>
          </cell>
          <cell r="D200">
            <v>6.02</v>
          </cell>
          <cell r="E200">
            <v>1</v>
          </cell>
          <cell r="F200">
            <v>0</v>
          </cell>
          <cell r="G200">
            <v>0</v>
          </cell>
          <cell r="H200">
            <v>0</v>
          </cell>
          <cell r="I200">
            <v>0.41</v>
          </cell>
          <cell r="J200">
            <v>0.49</v>
          </cell>
          <cell r="K200">
            <v>0.89999999999999991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3</v>
          </cell>
        </row>
        <row r="201">
          <cell r="B201" t="str">
            <v>40S</v>
          </cell>
          <cell r="C201">
            <v>5</v>
          </cell>
          <cell r="D201">
            <v>6.55</v>
          </cell>
          <cell r="E201">
            <v>1</v>
          </cell>
          <cell r="F201">
            <v>0</v>
          </cell>
          <cell r="G201">
            <v>0</v>
          </cell>
          <cell r="H201">
            <v>0</v>
          </cell>
          <cell r="I201">
            <v>0.51</v>
          </cell>
          <cell r="J201">
            <v>0.54</v>
          </cell>
          <cell r="K201">
            <v>1.05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4</v>
          </cell>
        </row>
        <row r="202">
          <cell r="B202" t="str">
            <v>40S</v>
          </cell>
          <cell r="C202">
            <v>6</v>
          </cell>
          <cell r="D202">
            <v>7.11</v>
          </cell>
          <cell r="E202">
            <v>1</v>
          </cell>
          <cell r="F202">
            <v>0</v>
          </cell>
          <cell r="G202">
            <v>0</v>
          </cell>
          <cell r="H202">
            <v>0</v>
          </cell>
          <cell r="I202">
            <v>0.61</v>
          </cell>
          <cell r="J202">
            <v>1.04</v>
          </cell>
          <cell r="K202">
            <v>1.65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4</v>
          </cell>
        </row>
        <row r="203">
          <cell r="B203" t="str">
            <v>40S</v>
          </cell>
          <cell r="C203">
            <v>8</v>
          </cell>
          <cell r="D203">
            <v>8.18</v>
          </cell>
          <cell r="E203">
            <v>1</v>
          </cell>
          <cell r="F203">
            <v>0</v>
          </cell>
          <cell r="G203">
            <v>0</v>
          </cell>
          <cell r="H203">
            <v>0</v>
          </cell>
          <cell r="I203">
            <v>0.81</v>
          </cell>
          <cell r="J203">
            <v>1.73</v>
          </cell>
          <cell r="K203">
            <v>2.54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4</v>
          </cell>
        </row>
        <row r="204">
          <cell r="B204" t="str">
            <v>40S</v>
          </cell>
          <cell r="C204">
            <v>10</v>
          </cell>
          <cell r="D204">
            <v>9.27</v>
          </cell>
          <cell r="E204">
            <v>1</v>
          </cell>
          <cell r="F204">
            <v>0</v>
          </cell>
          <cell r="G204">
            <v>0</v>
          </cell>
          <cell r="H204">
            <v>0</v>
          </cell>
          <cell r="I204">
            <v>1.01</v>
          </cell>
          <cell r="J204">
            <v>3.04</v>
          </cell>
          <cell r="K204">
            <v>4.05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4</v>
          </cell>
        </row>
        <row r="205">
          <cell r="B205" t="str">
            <v>40S</v>
          </cell>
          <cell r="C205">
            <v>12</v>
          </cell>
          <cell r="D205">
            <v>9.5299999999999994</v>
          </cell>
          <cell r="E205">
            <v>1</v>
          </cell>
          <cell r="F205">
            <v>0</v>
          </cell>
          <cell r="G205">
            <v>0</v>
          </cell>
          <cell r="H205">
            <v>0</v>
          </cell>
          <cell r="I205">
            <v>1.22</v>
          </cell>
          <cell r="J205">
            <v>3.28</v>
          </cell>
          <cell r="K205">
            <v>4.5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6</v>
          </cell>
        </row>
        <row r="206">
          <cell r="B206">
            <v>60</v>
          </cell>
          <cell r="C206">
            <v>8</v>
          </cell>
          <cell r="D206">
            <v>10.31</v>
          </cell>
          <cell r="E206">
            <v>1.25</v>
          </cell>
          <cell r="F206">
            <v>0</v>
          </cell>
          <cell r="G206">
            <v>0</v>
          </cell>
          <cell r="H206">
            <v>0</v>
          </cell>
          <cell r="I206">
            <v>0.81</v>
          </cell>
          <cell r="J206">
            <v>2.64</v>
          </cell>
          <cell r="K206">
            <v>3.45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4</v>
          </cell>
        </row>
        <row r="207">
          <cell r="B207">
            <v>60</v>
          </cell>
          <cell r="C207">
            <v>10</v>
          </cell>
          <cell r="D207">
            <v>12.7</v>
          </cell>
          <cell r="E207">
            <v>1.25</v>
          </cell>
          <cell r="F207">
            <v>0</v>
          </cell>
          <cell r="G207">
            <v>0</v>
          </cell>
          <cell r="H207">
            <v>0</v>
          </cell>
          <cell r="I207">
            <v>1.01</v>
          </cell>
          <cell r="J207">
            <v>5.74</v>
          </cell>
          <cell r="K207">
            <v>6.75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4</v>
          </cell>
        </row>
        <row r="208">
          <cell r="B208">
            <v>60</v>
          </cell>
          <cell r="C208">
            <v>12</v>
          </cell>
          <cell r="D208">
            <v>14.27</v>
          </cell>
          <cell r="E208">
            <v>1.25</v>
          </cell>
          <cell r="F208">
            <v>0</v>
          </cell>
          <cell r="G208">
            <v>0</v>
          </cell>
          <cell r="H208">
            <v>0</v>
          </cell>
          <cell r="I208">
            <v>1.22</v>
          </cell>
          <cell r="J208">
            <v>8.3800000000000008</v>
          </cell>
          <cell r="K208">
            <v>9.6000000000000014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6</v>
          </cell>
        </row>
        <row r="209">
          <cell r="B209">
            <v>60</v>
          </cell>
          <cell r="C209">
            <v>14</v>
          </cell>
          <cell r="D209">
            <v>15.09</v>
          </cell>
          <cell r="E209">
            <v>1.5</v>
          </cell>
          <cell r="F209">
            <v>0</v>
          </cell>
          <cell r="G209">
            <v>0</v>
          </cell>
          <cell r="H209">
            <v>0</v>
          </cell>
          <cell r="I209">
            <v>1.42</v>
          </cell>
          <cell r="J209">
            <v>9.9700000000000006</v>
          </cell>
          <cell r="K209">
            <v>11.39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6</v>
          </cell>
        </row>
        <row r="210">
          <cell r="B210">
            <v>60</v>
          </cell>
          <cell r="C210">
            <v>16</v>
          </cell>
          <cell r="D210">
            <v>16.66</v>
          </cell>
          <cell r="E210">
            <v>1.5</v>
          </cell>
          <cell r="F210">
            <v>0</v>
          </cell>
          <cell r="G210">
            <v>0</v>
          </cell>
          <cell r="H210">
            <v>0</v>
          </cell>
          <cell r="I210">
            <v>1.62</v>
          </cell>
          <cell r="J210">
            <v>14.88</v>
          </cell>
          <cell r="K210">
            <v>16.5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6</v>
          </cell>
        </row>
        <row r="211">
          <cell r="B211">
            <v>60</v>
          </cell>
          <cell r="C211">
            <v>18</v>
          </cell>
          <cell r="D211">
            <v>19.05</v>
          </cell>
          <cell r="E211">
            <v>2</v>
          </cell>
          <cell r="F211">
            <v>0</v>
          </cell>
          <cell r="G211">
            <v>0</v>
          </cell>
          <cell r="H211">
            <v>0</v>
          </cell>
          <cell r="I211">
            <v>1.82</v>
          </cell>
          <cell r="J211">
            <v>20.67</v>
          </cell>
          <cell r="K211">
            <v>22.490000000000002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6</v>
          </cell>
        </row>
        <row r="212">
          <cell r="B212">
            <v>60</v>
          </cell>
          <cell r="C212">
            <v>20</v>
          </cell>
          <cell r="D212">
            <v>20.62</v>
          </cell>
          <cell r="E212">
            <v>2</v>
          </cell>
          <cell r="F212">
            <v>0</v>
          </cell>
          <cell r="G212">
            <v>0</v>
          </cell>
          <cell r="H212">
            <v>0</v>
          </cell>
          <cell r="I212">
            <v>2.0299999999999998</v>
          </cell>
          <cell r="J212">
            <v>23.47</v>
          </cell>
          <cell r="K212">
            <v>25.5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7</v>
          </cell>
        </row>
        <row r="213">
          <cell r="B213">
            <v>60</v>
          </cell>
          <cell r="C213">
            <v>22</v>
          </cell>
          <cell r="D213">
            <v>22.23</v>
          </cell>
          <cell r="E213">
            <v>2</v>
          </cell>
          <cell r="F213">
            <v>0</v>
          </cell>
          <cell r="G213">
            <v>0</v>
          </cell>
          <cell r="H213">
            <v>0</v>
          </cell>
          <cell r="I213">
            <v>2.23</v>
          </cell>
          <cell r="J213">
            <v>29.27</v>
          </cell>
          <cell r="K213">
            <v>31.5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8</v>
          </cell>
        </row>
        <row r="214">
          <cell r="B214">
            <v>60</v>
          </cell>
          <cell r="C214">
            <v>24</v>
          </cell>
          <cell r="D214">
            <v>24.61</v>
          </cell>
          <cell r="E214">
            <v>2</v>
          </cell>
          <cell r="F214">
            <v>0</v>
          </cell>
          <cell r="G214">
            <v>0</v>
          </cell>
          <cell r="H214">
            <v>0</v>
          </cell>
          <cell r="I214">
            <v>2.4300000000000002</v>
          </cell>
          <cell r="J214">
            <v>35.07</v>
          </cell>
          <cell r="K214">
            <v>37.5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8</v>
          </cell>
        </row>
        <row r="215">
          <cell r="B215">
            <v>80</v>
          </cell>
          <cell r="C215">
            <v>0.125</v>
          </cell>
          <cell r="D215">
            <v>2.41</v>
          </cell>
          <cell r="E215">
            <v>1</v>
          </cell>
          <cell r="F215">
            <v>0</v>
          </cell>
          <cell r="G215">
            <v>0</v>
          </cell>
          <cell r="H215">
            <v>0</v>
          </cell>
          <cell r="I215">
            <v>7.0000000000000007E-2</v>
          </cell>
          <cell r="J215">
            <v>0</v>
          </cell>
          <cell r="K215">
            <v>7.0000000000000007E-2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2</v>
          </cell>
        </row>
        <row r="216">
          <cell r="B216">
            <v>80</v>
          </cell>
          <cell r="C216">
            <v>0.125</v>
          </cell>
          <cell r="D216">
            <v>2.41</v>
          </cell>
          <cell r="E216">
            <v>1</v>
          </cell>
          <cell r="F216">
            <v>0</v>
          </cell>
          <cell r="G216">
            <v>0</v>
          </cell>
          <cell r="H216">
            <v>0</v>
          </cell>
          <cell r="I216">
            <v>7.0000000000000007E-2</v>
          </cell>
          <cell r="J216">
            <v>0</v>
          </cell>
          <cell r="K216">
            <v>7.0000000000000007E-2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2</v>
          </cell>
        </row>
        <row r="217">
          <cell r="B217">
            <v>80</v>
          </cell>
          <cell r="C217">
            <v>0.125</v>
          </cell>
          <cell r="D217">
            <v>2.41</v>
          </cell>
          <cell r="E217">
            <v>1</v>
          </cell>
          <cell r="F217">
            <v>0</v>
          </cell>
          <cell r="G217">
            <v>0</v>
          </cell>
          <cell r="H217">
            <v>0</v>
          </cell>
          <cell r="I217">
            <v>7.0000000000000007E-2</v>
          </cell>
          <cell r="J217">
            <v>0</v>
          </cell>
          <cell r="K217">
            <v>7.0000000000000007E-2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2</v>
          </cell>
        </row>
        <row r="218">
          <cell r="B218">
            <v>80</v>
          </cell>
          <cell r="C218">
            <v>0.25</v>
          </cell>
          <cell r="D218">
            <v>3.02</v>
          </cell>
          <cell r="E218">
            <v>1</v>
          </cell>
          <cell r="F218">
            <v>0</v>
          </cell>
          <cell r="G218">
            <v>0</v>
          </cell>
          <cell r="H218">
            <v>0</v>
          </cell>
          <cell r="I218">
            <v>7.0000000000000007E-2</v>
          </cell>
          <cell r="J218">
            <v>0.3</v>
          </cell>
          <cell r="K218">
            <v>7.0000000000000007E-2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2</v>
          </cell>
        </row>
        <row r="219">
          <cell r="B219">
            <v>80</v>
          </cell>
          <cell r="C219">
            <v>0.25</v>
          </cell>
          <cell r="D219">
            <v>3.02</v>
          </cell>
          <cell r="E219">
            <v>1</v>
          </cell>
          <cell r="F219">
            <v>0</v>
          </cell>
          <cell r="G219">
            <v>0</v>
          </cell>
          <cell r="H219">
            <v>0</v>
          </cell>
          <cell r="I219">
            <v>7.0000000000000007E-2</v>
          </cell>
          <cell r="J219">
            <v>0</v>
          </cell>
          <cell r="K219">
            <v>7.0000000000000007E-2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2</v>
          </cell>
        </row>
        <row r="220">
          <cell r="B220">
            <v>80</v>
          </cell>
          <cell r="C220">
            <v>0.25</v>
          </cell>
          <cell r="D220">
            <v>3.02</v>
          </cell>
          <cell r="E220">
            <v>1</v>
          </cell>
          <cell r="F220">
            <v>0</v>
          </cell>
          <cell r="G220">
            <v>0</v>
          </cell>
          <cell r="H220">
            <v>0</v>
          </cell>
          <cell r="I220">
            <v>7.0000000000000007E-2</v>
          </cell>
          <cell r="J220">
            <v>0</v>
          </cell>
          <cell r="K220">
            <v>7.0000000000000007E-2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2</v>
          </cell>
        </row>
        <row r="221">
          <cell r="B221">
            <v>80</v>
          </cell>
          <cell r="C221">
            <v>0.375</v>
          </cell>
          <cell r="D221">
            <v>3.2</v>
          </cell>
          <cell r="E221">
            <v>1</v>
          </cell>
          <cell r="F221">
            <v>0</v>
          </cell>
          <cell r="G221">
            <v>0</v>
          </cell>
          <cell r="H221">
            <v>0</v>
          </cell>
          <cell r="I221">
            <v>7.0000000000000007E-2</v>
          </cell>
          <cell r="J221">
            <v>0</v>
          </cell>
          <cell r="K221">
            <v>7.0000000000000007E-2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2</v>
          </cell>
        </row>
        <row r="222">
          <cell r="B222">
            <v>80</v>
          </cell>
          <cell r="C222">
            <v>0.375</v>
          </cell>
          <cell r="D222">
            <v>3.2</v>
          </cell>
          <cell r="E222">
            <v>1</v>
          </cell>
          <cell r="F222">
            <v>0</v>
          </cell>
          <cell r="G222">
            <v>0</v>
          </cell>
          <cell r="H222">
            <v>0</v>
          </cell>
          <cell r="I222">
            <v>7.0000000000000007E-2</v>
          </cell>
          <cell r="J222">
            <v>0</v>
          </cell>
          <cell r="K222">
            <v>7.0000000000000007E-2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2</v>
          </cell>
        </row>
        <row r="223">
          <cell r="B223">
            <v>80</v>
          </cell>
          <cell r="C223">
            <v>0.375</v>
          </cell>
          <cell r="D223">
            <v>3.2</v>
          </cell>
          <cell r="E223">
            <v>1</v>
          </cell>
          <cell r="F223">
            <v>0</v>
          </cell>
          <cell r="G223">
            <v>0</v>
          </cell>
          <cell r="H223">
            <v>0</v>
          </cell>
          <cell r="I223">
            <v>7.0000000000000007E-2</v>
          </cell>
          <cell r="J223">
            <v>0</v>
          </cell>
          <cell r="K223">
            <v>7.0000000000000007E-2</v>
          </cell>
          <cell r="L223">
            <v>2.12451171875</v>
          </cell>
          <cell r="M223">
            <v>0</v>
          </cell>
          <cell r="N223">
            <v>4.7320557945261064E-312</v>
          </cell>
          <cell r="O223">
            <v>80</v>
          </cell>
          <cell r="P223">
            <v>2</v>
          </cell>
          <cell r="Q223">
            <v>3.73</v>
          </cell>
          <cell r="R223">
            <v>1</v>
          </cell>
        </row>
        <row r="224">
          <cell r="B224">
            <v>80</v>
          </cell>
          <cell r="C224">
            <v>0.5</v>
          </cell>
          <cell r="D224">
            <v>3.73</v>
          </cell>
          <cell r="E224">
            <v>1</v>
          </cell>
          <cell r="F224">
            <v>0</v>
          </cell>
          <cell r="G224">
            <v>0</v>
          </cell>
          <cell r="H224">
            <v>0</v>
          </cell>
          <cell r="I224">
            <v>7.0000000000000007E-2</v>
          </cell>
          <cell r="J224">
            <v>0</v>
          </cell>
          <cell r="K224">
            <v>7.0000000000000007E-2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2</v>
          </cell>
        </row>
        <row r="225">
          <cell r="B225">
            <v>80</v>
          </cell>
          <cell r="C225">
            <v>0.5</v>
          </cell>
          <cell r="D225">
            <v>3.73</v>
          </cell>
          <cell r="E225">
            <v>1</v>
          </cell>
          <cell r="F225">
            <v>0</v>
          </cell>
          <cell r="G225">
            <v>0</v>
          </cell>
          <cell r="H225">
            <v>0</v>
          </cell>
          <cell r="I225">
            <v>7.0000000000000007E-2</v>
          </cell>
          <cell r="J225">
            <v>0</v>
          </cell>
          <cell r="K225">
            <v>7.0000000000000007E-2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2</v>
          </cell>
        </row>
        <row r="226">
          <cell r="B226">
            <v>80</v>
          </cell>
          <cell r="C226">
            <v>0.5</v>
          </cell>
          <cell r="D226">
            <v>3.73</v>
          </cell>
          <cell r="E226">
            <v>1</v>
          </cell>
          <cell r="F226">
            <v>0</v>
          </cell>
          <cell r="G226">
            <v>0</v>
          </cell>
          <cell r="H226">
            <v>0</v>
          </cell>
          <cell r="I226">
            <v>7.0000000000000007E-2</v>
          </cell>
          <cell r="J226">
            <v>0</v>
          </cell>
          <cell r="K226">
            <v>7.0000000000000007E-2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2</v>
          </cell>
        </row>
        <row r="227">
          <cell r="B227">
            <v>80</v>
          </cell>
          <cell r="C227">
            <v>0.75</v>
          </cell>
          <cell r="D227">
            <v>3.91</v>
          </cell>
          <cell r="E227">
            <v>1</v>
          </cell>
          <cell r="F227">
            <v>0</v>
          </cell>
          <cell r="G227">
            <v>0</v>
          </cell>
          <cell r="H227">
            <v>0</v>
          </cell>
          <cell r="I227">
            <v>7.0000000000000007E-2</v>
          </cell>
          <cell r="J227">
            <v>0</v>
          </cell>
          <cell r="K227">
            <v>7.0000000000000007E-2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2</v>
          </cell>
        </row>
        <row r="228">
          <cell r="B228">
            <v>80</v>
          </cell>
          <cell r="C228">
            <v>0.75</v>
          </cell>
          <cell r="D228">
            <v>3.91</v>
          </cell>
          <cell r="E228">
            <v>1</v>
          </cell>
          <cell r="F228">
            <v>0</v>
          </cell>
          <cell r="G228">
            <v>0</v>
          </cell>
          <cell r="H228">
            <v>0</v>
          </cell>
          <cell r="I228">
            <v>7.0000000000000007E-2</v>
          </cell>
          <cell r="J228">
            <v>0</v>
          </cell>
          <cell r="K228">
            <v>7.0000000000000007E-2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2</v>
          </cell>
        </row>
        <row r="229">
          <cell r="B229">
            <v>80</v>
          </cell>
          <cell r="C229">
            <v>0.75</v>
          </cell>
          <cell r="D229">
            <v>3.91</v>
          </cell>
          <cell r="E229">
            <v>1</v>
          </cell>
          <cell r="F229">
            <v>0</v>
          </cell>
          <cell r="G229">
            <v>0</v>
          </cell>
          <cell r="H229">
            <v>0</v>
          </cell>
          <cell r="I229">
            <v>7.0000000000000007E-2</v>
          </cell>
          <cell r="J229">
            <v>0</v>
          </cell>
          <cell r="K229">
            <v>7.0000000000000007E-2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2</v>
          </cell>
        </row>
        <row r="230">
          <cell r="B230">
            <v>80</v>
          </cell>
          <cell r="C230">
            <v>1</v>
          </cell>
          <cell r="D230">
            <v>4.55</v>
          </cell>
          <cell r="E230">
            <v>1</v>
          </cell>
          <cell r="F230">
            <v>0</v>
          </cell>
          <cell r="G230">
            <v>0</v>
          </cell>
          <cell r="H230">
            <v>0</v>
          </cell>
          <cell r="I230">
            <v>0.15</v>
          </cell>
          <cell r="J230">
            <v>0</v>
          </cell>
          <cell r="K230">
            <v>0.15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2</v>
          </cell>
        </row>
        <row r="231">
          <cell r="B231">
            <v>80</v>
          </cell>
          <cell r="C231">
            <v>1</v>
          </cell>
          <cell r="D231">
            <v>4.55</v>
          </cell>
          <cell r="E231">
            <v>1</v>
          </cell>
          <cell r="F231">
            <v>0</v>
          </cell>
          <cell r="G231">
            <v>0</v>
          </cell>
          <cell r="H231">
            <v>0</v>
          </cell>
          <cell r="I231">
            <v>0.15</v>
          </cell>
          <cell r="J231">
            <v>0</v>
          </cell>
          <cell r="K231">
            <v>0.15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2</v>
          </cell>
        </row>
        <row r="232">
          <cell r="B232">
            <v>80</v>
          </cell>
          <cell r="C232">
            <v>1</v>
          </cell>
          <cell r="D232">
            <v>4.55</v>
          </cell>
          <cell r="E232">
            <v>1</v>
          </cell>
          <cell r="F232">
            <v>0</v>
          </cell>
          <cell r="G232">
            <v>0</v>
          </cell>
          <cell r="H232">
            <v>0</v>
          </cell>
          <cell r="I232">
            <v>0.15</v>
          </cell>
          <cell r="J232">
            <v>0</v>
          </cell>
          <cell r="K232">
            <v>0.15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2</v>
          </cell>
        </row>
        <row r="233">
          <cell r="B233">
            <v>80</v>
          </cell>
          <cell r="C233">
            <v>1.25</v>
          </cell>
          <cell r="D233">
            <v>4.8499999999999996</v>
          </cell>
          <cell r="E233">
            <v>1</v>
          </cell>
          <cell r="F233">
            <v>0</v>
          </cell>
          <cell r="G233">
            <v>0</v>
          </cell>
          <cell r="H233">
            <v>0</v>
          </cell>
          <cell r="I233">
            <v>0.13</v>
          </cell>
          <cell r="J233">
            <v>0.17</v>
          </cell>
          <cell r="K233">
            <v>0.30000000000000004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2</v>
          </cell>
        </row>
        <row r="234">
          <cell r="B234">
            <v>80</v>
          </cell>
          <cell r="C234">
            <v>1.25</v>
          </cell>
          <cell r="D234">
            <v>4.8499999999999996</v>
          </cell>
          <cell r="E234">
            <v>1</v>
          </cell>
          <cell r="F234">
            <v>0</v>
          </cell>
          <cell r="G234">
            <v>0</v>
          </cell>
          <cell r="H234">
            <v>0</v>
          </cell>
          <cell r="I234">
            <v>0.13</v>
          </cell>
          <cell r="J234">
            <v>0.17</v>
          </cell>
          <cell r="K234">
            <v>0.30000000000000004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2</v>
          </cell>
        </row>
        <row r="235">
          <cell r="B235">
            <v>80</v>
          </cell>
          <cell r="C235">
            <v>1.25</v>
          </cell>
          <cell r="D235">
            <v>4.8499999999999996</v>
          </cell>
          <cell r="E235">
            <v>1</v>
          </cell>
          <cell r="F235">
            <v>0</v>
          </cell>
          <cell r="G235">
            <v>0</v>
          </cell>
          <cell r="H235">
            <v>0</v>
          </cell>
          <cell r="I235">
            <v>0.13</v>
          </cell>
          <cell r="J235">
            <v>0.17</v>
          </cell>
          <cell r="K235">
            <v>0.30000000000000004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2</v>
          </cell>
        </row>
        <row r="236">
          <cell r="B236">
            <v>80</v>
          </cell>
          <cell r="C236">
            <v>1.5</v>
          </cell>
          <cell r="D236">
            <v>5.08</v>
          </cell>
          <cell r="E236">
            <v>1</v>
          </cell>
          <cell r="F236">
            <v>0</v>
          </cell>
          <cell r="G236">
            <v>0</v>
          </cell>
          <cell r="H236">
            <v>0</v>
          </cell>
          <cell r="I236">
            <v>0.15</v>
          </cell>
          <cell r="J236">
            <v>0.15</v>
          </cell>
          <cell r="K236">
            <v>0.3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2</v>
          </cell>
        </row>
        <row r="237">
          <cell r="B237">
            <v>80</v>
          </cell>
          <cell r="C237">
            <v>1.5</v>
          </cell>
          <cell r="D237">
            <v>5.08</v>
          </cell>
          <cell r="E237">
            <v>1</v>
          </cell>
          <cell r="F237">
            <v>0</v>
          </cell>
          <cell r="G237">
            <v>0</v>
          </cell>
          <cell r="H237">
            <v>0</v>
          </cell>
          <cell r="I237">
            <v>0.15</v>
          </cell>
          <cell r="J237">
            <v>0.15</v>
          </cell>
          <cell r="K237">
            <v>0.3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2</v>
          </cell>
          <cell r="R237">
            <v>0</v>
          </cell>
        </row>
        <row r="238">
          <cell r="B238">
            <v>80</v>
          </cell>
          <cell r="C238">
            <v>1.5</v>
          </cell>
          <cell r="D238">
            <v>5.08</v>
          </cell>
          <cell r="E238">
            <v>1</v>
          </cell>
          <cell r="F238">
            <v>0</v>
          </cell>
          <cell r="G238">
            <v>0</v>
          </cell>
          <cell r="H238">
            <v>0</v>
          </cell>
          <cell r="I238">
            <v>0.15</v>
          </cell>
          <cell r="J238">
            <v>0.15</v>
          </cell>
          <cell r="K238">
            <v>0.3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2</v>
          </cell>
        </row>
        <row r="239">
          <cell r="B239">
            <v>80</v>
          </cell>
          <cell r="C239">
            <v>2</v>
          </cell>
          <cell r="D239">
            <v>5.54</v>
          </cell>
          <cell r="E239">
            <v>1</v>
          </cell>
          <cell r="F239">
            <v>0</v>
          </cell>
          <cell r="G239">
            <v>0</v>
          </cell>
          <cell r="H239">
            <v>0</v>
          </cell>
          <cell r="I239">
            <v>0.2</v>
          </cell>
          <cell r="J239">
            <v>0.25</v>
          </cell>
          <cell r="K239">
            <v>0.45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2</v>
          </cell>
        </row>
        <row r="240">
          <cell r="B240">
            <v>80</v>
          </cell>
          <cell r="C240">
            <v>2</v>
          </cell>
          <cell r="D240">
            <v>5.54</v>
          </cell>
          <cell r="E240">
            <v>1</v>
          </cell>
          <cell r="F240">
            <v>0</v>
          </cell>
          <cell r="G240">
            <v>0</v>
          </cell>
          <cell r="H240">
            <v>0</v>
          </cell>
          <cell r="I240">
            <v>0.2</v>
          </cell>
          <cell r="J240">
            <v>0.25</v>
          </cell>
          <cell r="K240">
            <v>0.45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2</v>
          </cell>
        </row>
        <row r="241">
          <cell r="B241">
            <v>80</v>
          </cell>
          <cell r="C241">
            <v>2</v>
          </cell>
          <cell r="D241">
            <v>5.54</v>
          </cell>
          <cell r="E241">
            <v>1</v>
          </cell>
          <cell r="F241">
            <v>0</v>
          </cell>
          <cell r="G241">
            <v>0</v>
          </cell>
          <cell r="H241">
            <v>0</v>
          </cell>
          <cell r="I241">
            <v>0.2</v>
          </cell>
          <cell r="J241">
            <v>0.25</v>
          </cell>
          <cell r="K241">
            <v>0.45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2</v>
          </cell>
        </row>
        <row r="242">
          <cell r="B242">
            <v>80</v>
          </cell>
          <cell r="C242">
            <v>2.5</v>
          </cell>
          <cell r="D242">
            <v>7.01</v>
          </cell>
          <cell r="E242">
            <v>1</v>
          </cell>
          <cell r="F242">
            <v>0</v>
          </cell>
          <cell r="G242">
            <v>0</v>
          </cell>
          <cell r="H242">
            <v>0</v>
          </cell>
          <cell r="I242">
            <v>0.25</v>
          </cell>
          <cell r="J242">
            <v>0.5</v>
          </cell>
          <cell r="K242">
            <v>0.75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2</v>
          </cell>
        </row>
        <row r="243">
          <cell r="B243">
            <v>80</v>
          </cell>
          <cell r="C243">
            <v>3</v>
          </cell>
          <cell r="D243">
            <v>7.62</v>
          </cell>
          <cell r="E243">
            <v>1</v>
          </cell>
          <cell r="F243">
            <v>0</v>
          </cell>
          <cell r="G243">
            <v>0</v>
          </cell>
          <cell r="H243">
            <v>0</v>
          </cell>
          <cell r="I243">
            <v>0.3</v>
          </cell>
          <cell r="J243">
            <v>0.6</v>
          </cell>
          <cell r="K243">
            <v>0.89999999999999991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2</v>
          </cell>
        </row>
        <row r="244">
          <cell r="B244">
            <v>80</v>
          </cell>
          <cell r="C244">
            <v>3.5</v>
          </cell>
          <cell r="D244">
            <v>8.08</v>
          </cell>
          <cell r="E244">
            <v>1</v>
          </cell>
          <cell r="F244">
            <v>0</v>
          </cell>
          <cell r="G244">
            <v>0</v>
          </cell>
          <cell r="H244">
            <v>0</v>
          </cell>
          <cell r="I244">
            <v>0.35</v>
          </cell>
          <cell r="J244">
            <v>0.85</v>
          </cell>
          <cell r="K244">
            <v>1.2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3</v>
          </cell>
        </row>
        <row r="245">
          <cell r="A245">
            <v>0</v>
          </cell>
          <cell r="B245">
            <v>80</v>
          </cell>
          <cell r="C245">
            <v>4</v>
          </cell>
          <cell r="D245">
            <v>8.56</v>
          </cell>
          <cell r="E245">
            <v>1</v>
          </cell>
          <cell r="F245">
            <v>0</v>
          </cell>
          <cell r="G245">
            <v>0</v>
          </cell>
          <cell r="H245">
            <v>0</v>
          </cell>
          <cell r="I245">
            <v>0.41</v>
          </cell>
          <cell r="J245">
            <v>0.93</v>
          </cell>
          <cell r="K245">
            <v>1.34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3</v>
          </cell>
        </row>
        <row r="246">
          <cell r="B246">
            <v>80</v>
          </cell>
          <cell r="C246">
            <v>5</v>
          </cell>
          <cell r="D246">
            <v>9.5299999999999994</v>
          </cell>
          <cell r="E246">
            <v>1</v>
          </cell>
          <cell r="F246">
            <v>0</v>
          </cell>
          <cell r="G246">
            <v>0</v>
          </cell>
          <cell r="H246">
            <v>0</v>
          </cell>
          <cell r="I246">
            <v>0.51</v>
          </cell>
          <cell r="J246">
            <v>1.59</v>
          </cell>
          <cell r="K246">
            <v>2.1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4</v>
          </cell>
        </row>
        <row r="247">
          <cell r="B247">
            <v>80</v>
          </cell>
          <cell r="C247">
            <v>6</v>
          </cell>
          <cell r="D247">
            <v>10.97</v>
          </cell>
          <cell r="E247">
            <v>1.25</v>
          </cell>
          <cell r="F247">
            <v>0</v>
          </cell>
          <cell r="G247">
            <v>0</v>
          </cell>
          <cell r="H247">
            <v>0</v>
          </cell>
          <cell r="I247">
            <v>0.61</v>
          </cell>
          <cell r="J247">
            <v>2.69</v>
          </cell>
          <cell r="K247">
            <v>3.3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4</v>
          </cell>
        </row>
        <row r="248">
          <cell r="B248">
            <v>80</v>
          </cell>
          <cell r="C248">
            <v>8</v>
          </cell>
          <cell r="D248">
            <v>12.7</v>
          </cell>
          <cell r="E248">
            <v>1.25</v>
          </cell>
          <cell r="F248">
            <v>0</v>
          </cell>
          <cell r="G248">
            <v>0</v>
          </cell>
          <cell r="H248">
            <v>0</v>
          </cell>
          <cell r="I248">
            <v>0.81</v>
          </cell>
          <cell r="J248">
            <v>4.58</v>
          </cell>
          <cell r="K248">
            <v>5.3900000000000006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4</v>
          </cell>
        </row>
        <row r="249">
          <cell r="B249">
            <v>80</v>
          </cell>
          <cell r="C249">
            <v>10</v>
          </cell>
          <cell r="D249">
            <v>15.09</v>
          </cell>
          <cell r="E249">
            <v>1.5</v>
          </cell>
          <cell r="F249">
            <v>0</v>
          </cell>
          <cell r="G249">
            <v>0</v>
          </cell>
          <cell r="H249">
            <v>0</v>
          </cell>
          <cell r="I249">
            <v>1.01</v>
          </cell>
          <cell r="J249">
            <v>7.99</v>
          </cell>
          <cell r="K249">
            <v>9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4</v>
          </cell>
        </row>
        <row r="250">
          <cell r="B250">
            <v>80</v>
          </cell>
          <cell r="C250">
            <v>12</v>
          </cell>
          <cell r="D250">
            <v>17.48</v>
          </cell>
          <cell r="E250">
            <v>1.5</v>
          </cell>
          <cell r="F250">
            <v>0</v>
          </cell>
          <cell r="G250">
            <v>0</v>
          </cell>
          <cell r="H250">
            <v>0</v>
          </cell>
          <cell r="I250">
            <v>1.22</v>
          </cell>
          <cell r="J250">
            <v>11.68</v>
          </cell>
          <cell r="K250">
            <v>12.9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6</v>
          </cell>
        </row>
        <row r="251">
          <cell r="B251">
            <v>80</v>
          </cell>
          <cell r="C251">
            <v>14</v>
          </cell>
          <cell r="D251">
            <v>19.05</v>
          </cell>
          <cell r="E251">
            <v>2</v>
          </cell>
          <cell r="F251">
            <v>0</v>
          </cell>
          <cell r="G251">
            <v>0</v>
          </cell>
          <cell r="H251">
            <v>0</v>
          </cell>
          <cell r="I251">
            <v>1.42</v>
          </cell>
          <cell r="J251">
            <v>12.68</v>
          </cell>
          <cell r="K251">
            <v>14.1</v>
          </cell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6</v>
          </cell>
        </row>
        <row r="252">
          <cell r="B252">
            <v>80</v>
          </cell>
          <cell r="C252">
            <v>16</v>
          </cell>
          <cell r="D252">
            <v>21.44</v>
          </cell>
          <cell r="E252">
            <v>2</v>
          </cell>
          <cell r="F252">
            <v>0</v>
          </cell>
          <cell r="G252">
            <v>0</v>
          </cell>
          <cell r="H252">
            <v>0</v>
          </cell>
          <cell r="I252">
            <v>1.62</v>
          </cell>
          <cell r="J252">
            <v>19.37</v>
          </cell>
          <cell r="K252">
            <v>20.990000000000002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6</v>
          </cell>
        </row>
        <row r="253">
          <cell r="B253">
            <v>80</v>
          </cell>
          <cell r="C253">
            <v>18</v>
          </cell>
          <cell r="D253">
            <v>23.83</v>
          </cell>
          <cell r="E253">
            <v>2</v>
          </cell>
          <cell r="F253">
            <v>0</v>
          </cell>
          <cell r="G253">
            <v>0</v>
          </cell>
          <cell r="H253">
            <v>0</v>
          </cell>
          <cell r="I253">
            <v>1.82</v>
          </cell>
          <cell r="J253">
            <v>26.68</v>
          </cell>
          <cell r="K253">
            <v>28.5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6</v>
          </cell>
        </row>
        <row r="254">
          <cell r="B254">
            <v>80</v>
          </cell>
          <cell r="C254">
            <v>20</v>
          </cell>
          <cell r="D254">
            <v>26.19</v>
          </cell>
          <cell r="E254" t="str">
            <v>N</v>
          </cell>
          <cell r="F254">
            <v>0</v>
          </cell>
          <cell r="G254">
            <v>0</v>
          </cell>
          <cell r="H254">
            <v>0</v>
          </cell>
          <cell r="I254">
            <v>2.0299999999999998</v>
          </cell>
          <cell r="J254">
            <v>36.96</v>
          </cell>
          <cell r="K254">
            <v>38.99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7</v>
          </cell>
        </row>
        <row r="255">
          <cell r="B255">
            <v>80</v>
          </cell>
          <cell r="C255">
            <v>22</v>
          </cell>
          <cell r="D255">
            <v>28.58</v>
          </cell>
          <cell r="E255" t="str">
            <v>N</v>
          </cell>
          <cell r="F255">
            <v>0</v>
          </cell>
          <cell r="G255">
            <v>0</v>
          </cell>
          <cell r="H255">
            <v>0</v>
          </cell>
          <cell r="I255">
            <v>2.23</v>
          </cell>
          <cell r="J255">
            <v>45.77</v>
          </cell>
          <cell r="K255">
            <v>48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8</v>
          </cell>
        </row>
        <row r="256">
          <cell r="B256">
            <v>80</v>
          </cell>
          <cell r="C256">
            <v>24</v>
          </cell>
          <cell r="D256">
            <v>30.96</v>
          </cell>
          <cell r="E256" t="str">
            <v>N</v>
          </cell>
          <cell r="F256">
            <v>0</v>
          </cell>
          <cell r="G256">
            <v>0</v>
          </cell>
          <cell r="H256">
            <v>0</v>
          </cell>
          <cell r="I256">
            <v>2.4300000000000002</v>
          </cell>
          <cell r="J256">
            <v>53.07</v>
          </cell>
          <cell r="K256">
            <v>55.5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8</v>
          </cell>
        </row>
        <row r="257">
          <cell r="A257">
            <v>0</v>
          </cell>
          <cell r="B257" t="str">
            <v>80S</v>
          </cell>
          <cell r="C257">
            <v>0.125</v>
          </cell>
          <cell r="D257">
            <v>2.41</v>
          </cell>
          <cell r="E257">
            <v>1</v>
          </cell>
          <cell r="F257">
            <v>0</v>
          </cell>
          <cell r="G257">
            <v>0</v>
          </cell>
          <cell r="H257">
            <v>0</v>
          </cell>
          <cell r="I257">
            <v>7.0000000000000007E-2</v>
          </cell>
          <cell r="J257">
            <v>0</v>
          </cell>
          <cell r="K257">
            <v>7.0000000000000007E-2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2</v>
          </cell>
        </row>
        <row r="258">
          <cell r="B258" t="str">
            <v>80S</v>
          </cell>
          <cell r="C258">
            <v>0.125</v>
          </cell>
          <cell r="D258">
            <v>2.41</v>
          </cell>
          <cell r="E258">
            <v>1</v>
          </cell>
          <cell r="F258">
            <v>0</v>
          </cell>
          <cell r="G258">
            <v>0</v>
          </cell>
          <cell r="H258">
            <v>0</v>
          </cell>
          <cell r="I258">
            <v>7.0000000000000007E-2</v>
          </cell>
          <cell r="J258">
            <v>0</v>
          </cell>
          <cell r="K258">
            <v>7.0000000000000007E-2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2</v>
          </cell>
        </row>
        <row r="259">
          <cell r="B259" t="str">
            <v>80S</v>
          </cell>
          <cell r="C259">
            <v>0.125</v>
          </cell>
          <cell r="D259">
            <v>2.41</v>
          </cell>
          <cell r="E259">
            <v>1</v>
          </cell>
          <cell r="F259">
            <v>0</v>
          </cell>
          <cell r="G259">
            <v>0</v>
          </cell>
          <cell r="H259">
            <v>0</v>
          </cell>
          <cell r="I259">
            <v>7.0000000000000007E-2</v>
          </cell>
          <cell r="J259">
            <v>0</v>
          </cell>
          <cell r="K259">
            <v>7.0000000000000007E-2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2</v>
          </cell>
        </row>
        <row r="260">
          <cell r="B260" t="str">
            <v>80S</v>
          </cell>
          <cell r="C260">
            <v>0.25</v>
          </cell>
          <cell r="D260">
            <v>3.02</v>
          </cell>
          <cell r="E260">
            <v>1</v>
          </cell>
          <cell r="F260">
            <v>0</v>
          </cell>
          <cell r="G260">
            <v>0</v>
          </cell>
          <cell r="H260">
            <v>0</v>
          </cell>
          <cell r="I260">
            <v>7.0000000000000007E-2</v>
          </cell>
          <cell r="J260">
            <v>0</v>
          </cell>
          <cell r="K260">
            <v>7.0000000000000007E-2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2</v>
          </cell>
        </row>
        <row r="261">
          <cell r="A261">
            <v>0</v>
          </cell>
          <cell r="B261" t="str">
            <v>80S</v>
          </cell>
          <cell r="C261">
            <v>0.25</v>
          </cell>
          <cell r="D261">
            <v>3.02</v>
          </cell>
          <cell r="E261">
            <v>1</v>
          </cell>
          <cell r="F261">
            <v>0</v>
          </cell>
          <cell r="G261">
            <v>0</v>
          </cell>
          <cell r="H261">
            <v>0</v>
          </cell>
          <cell r="I261">
            <v>7.0000000000000007E-2</v>
          </cell>
          <cell r="J261">
            <v>0</v>
          </cell>
          <cell r="K261">
            <v>7.0000000000000007E-2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2</v>
          </cell>
          <cell r="Q261">
            <v>0</v>
          </cell>
          <cell r="R261">
            <v>0</v>
          </cell>
        </row>
        <row r="262">
          <cell r="B262" t="str">
            <v>80S</v>
          </cell>
          <cell r="C262">
            <v>0.25</v>
          </cell>
          <cell r="D262">
            <v>3.02</v>
          </cell>
          <cell r="E262">
            <v>1</v>
          </cell>
          <cell r="F262">
            <v>0</v>
          </cell>
          <cell r="G262">
            <v>0</v>
          </cell>
          <cell r="H262">
            <v>0</v>
          </cell>
          <cell r="I262">
            <v>7.0000000000000007E-2</v>
          </cell>
          <cell r="J262">
            <v>0</v>
          </cell>
          <cell r="K262">
            <v>7.0000000000000007E-2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2</v>
          </cell>
        </row>
        <row r="263">
          <cell r="B263" t="str">
            <v>80S</v>
          </cell>
          <cell r="C263">
            <v>0.375</v>
          </cell>
          <cell r="D263">
            <v>3.2</v>
          </cell>
          <cell r="E263">
            <v>1</v>
          </cell>
          <cell r="F263">
            <v>0</v>
          </cell>
          <cell r="G263">
            <v>0</v>
          </cell>
          <cell r="H263">
            <v>0</v>
          </cell>
          <cell r="I263">
            <v>7.0000000000000007E-2</v>
          </cell>
          <cell r="J263">
            <v>0</v>
          </cell>
          <cell r="K263">
            <v>7.0000000000000007E-2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2</v>
          </cell>
        </row>
        <row r="264">
          <cell r="B264" t="str">
            <v>80S</v>
          </cell>
          <cell r="C264">
            <v>0.375</v>
          </cell>
          <cell r="D264">
            <v>3.2</v>
          </cell>
          <cell r="E264">
            <v>1</v>
          </cell>
          <cell r="F264">
            <v>0</v>
          </cell>
          <cell r="G264">
            <v>0</v>
          </cell>
          <cell r="H264">
            <v>0</v>
          </cell>
          <cell r="I264">
            <v>7.0000000000000007E-2</v>
          </cell>
          <cell r="J264">
            <v>0</v>
          </cell>
          <cell r="K264">
            <v>7.0000000000000007E-2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2</v>
          </cell>
        </row>
        <row r="265">
          <cell r="B265" t="str">
            <v>80S</v>
          </cell>
          <cell r="C265">
            <v>0.375</v>
          </cell>
          <cell r="D265">
            <v>3.2</v>
          </cell>
          <cell r="E265">
            <v>1</v>
          </cell>
          <cell r="F265">
            <v>0</v>
          </cell>
          <cell r="G265">
            <v>0</v>
          </cell>
          <cell r="H265">
            <v>0</v>
          </cell>
          <cell r="I265">
            <v>7.0000000000000007E-2</v>
          </cell>
          <cell r="J265">
            <v>0</v>
          </cell>
          <cell r="K265">
            <v>7.0000000000000007E-2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2</v>
          </cell>
        </row>
        <row r="266">
          <cell r="B266" t="str">
            <v>80S</v>
          </cell>
          <cell r="C266">
            <v>0.5</v>
          </cell>
          <cell r="D266">
            <v>3.73</v>
          </cell>
          <cell r="E266">
            <v>1</v>
          </cell>
          <cell r="F266">
            <v>0</v>
          </cell>
          <cell r="G266">
            <v>0</v>
          </cell>
          <cell r="H266">
            <v>0</v>
          </cell>
          <cell r="I266">
            <v>7.0000000000000007E-2</v>
          </cell>
          <cell r="J266">
            <v>0</v>
          </cell>
          <cell r="K266">
            <v>7.0000000000000007E-2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2</v>
          </cell>
        </row>
        <row r="267">
          <cell r="B267" t="str">
            <v>80S</v>
          </cell>
          <cell r="C267">
            <v>0.5</v>
          </cell>
          <cell r="D267">
            <v>3.73</v>
          </cell>
          <cell r="E267">
            <v>1</v>
          </cell>
          <cell r="F267">
            <v>0</v>
          </cell>
          <cell r="G267">
            <v>0</v>
          </cell>
          <cell r="H267">
            <v>0</v>
          </cell>
          <cell r="I267">
            <v>7.0000000000000007E-2</v>
          </cell>
          <cell r="J267">
            <v>0</v>
          </cell>
          <cell r="K267">
            <v>7.0000000000000007E-2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2</v>
          </cell>
        </row>
        <row r="268">
          <cell r="B268" t="str">
            <v>80S</v>
          </cell>
          <cell r="C268">
            <v>0.5</v>
          </cell>
          <cell r="D268">
            <v>3.73</v>
          </cell>
          <cell r="E268">
            <v>1</v>
          </cell>
          <cell r="F268">
            <v>0</v>
          </cell>
          <cell r="G268">
            <v>0</v>
          </cell>
          <cell r="H268">
            <v>0</v>
          </cell>
          <cell r="I268">
            <v>7.0000000000000007E-2</v>
          </cell>
          <cell r="J268">
            <v>0</v>
          </cell>
          <cell r="K268">
            <v>7.0000000000000007E-2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2</v>
          </cell>
        </row>
        <row r="269">
          <cell r="B269" t="str">
            <v>80S</v>
          </cell>
          <cell r="C269">
            <v>0.75</v>
          </cell>
          <cell r="D269">
            <v>3.91</v>
          </cell>
          <cell r="E269">
            <v>1</v>
          </cell>
          <cell r="F269">
            <v>0</v>
          </cell>
          <cell r="G269">
            <v>0</v>
          </cell>
          <cell r="H269">
            <v>0</v>
          </cell>
          <cell r="I269">
            <v>7.0000000000000007E-2</v>
          </cell>
          <cell r="J269">
            <v>0</v>
          </cell>
          <cell r="K269">
            <v>7.0000000000000007E-2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2</v>
          </cell>
          <cell r="R269">
            <v>0</v>
          </cell>
        </row>
        <row r="270">
          <cell r="B270" t="str">
            <v>80S</v>
          </cell>
          <cell r="C270">
            <v>0.75</v>
          </cell>
          <cell r="D270">
            <v>3.91</v>
          </cell>
          <cell r="E270">
            <v>1</v>
          </cell>
          <cell r="F270">
            <v>0</v>
          </cell>
          <cell r="G270">
            <v>0</v>
          </cell>
          <cell r="H270">
            <v>0</v>
          </cell>
          <cell r="I270">
            <v>7.0000000000000007E-2</v>
          </cell>
          <cell r="J270">
            <v>0</v>
          </cell>
          <cell r="K270">
            <v>7.0000000000000007E-2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2</v>
          </cell>
        </row>
        <row r="271">
          <cell r="B271" t="str">
            <v>80S</v>
          </cell>
          <cell r="C271">
            <v>0.75</v>
          </cell>
          <cell r="D271">
            <v>3.91</v>
          </cell>
          <cell r="E271">
            <v>1</v>
          </cell>
          <cell r="F271">
            <v>0</v>
          </cell>
          <cell r="G271">
            <v>0</v>
          </cell>
          <cell r="H271">
            <v>0</v>
          </cell>
          <cell r="I271">
            <v>7.0000000000000007E-2</v>
          </cell>
          <cell r="J271">
            <v>0</v>
          </cell>
          <cell r="K271">
            <v>7.0000000000000007E-2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2</v>
          </cell>
          <cell r="Q271">
            <v>0</v>
          </cell>
          <cell r="R271">
            <v>0</v>
          </cell>
        </row>
        <row r="272">
          <cell r="B272" t="str">
            <v>80S</v>
          </cell>
          <cell r="C272">
            <v>1</v>
          </cell>
          <cell r="D272">
            <v>4.55</v>
          </cell>
          <cell r="E272">
            <v>1</v>
          </cell>
          <cell r="F272">
            <v>0</v>
          </cell>
          <cell r="G272">
            <v>0</v>
          </cell>
          <cell r="H272">
            <v>0</v>
          </cell>
          <cell r="I272">
            <v>0.15</v>
          </cell>
          <cell r="J272">
            <v>0</v>
          </cell>
          <cell r="K272">
            <v>0.15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2</v>
          </cell>
        </row>
        <row r="273">
          <cell r="B273" t="str">
            <v>80S</v>
          </cell>
          <cell r="C273">
            <v>1</v>
          </cell>
          <cell r="D273">
            <v>4.55</v>
          </cell>
          <cell r="E273">
            <v>1</v>
          </cell>
          <cell r="F273">
            <v>0</v>
          </cell>
          <cell r="G273">
            <v>0</v>
          </cell>
          <cell r="H273">
            <v>0</v>
          </cell>
          <cell r="I273">
            <v>0.15</v>
          </cell>
          <cell r="J273">
            <v>0</v>
          </cell>
          <cell r="K273">
            <v>0.15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2</v>
          </cell>
        </row>
        <row r="274">
          <cell r="B274" t="str">
            <v>80S</v>
          </cell>
          <cell r="C274">
            <v>1</v>
          </cell>
          <cell r="D274">
            <v>4.55</v>
          </cell>
          <cell r="E274">
            <v>1</v>
          </cell>
          <cell r="F274">
            <v>0</v>
          </cell>
          <cell r="G274">
            <v>0</v>
          </cell>
          <cell r="H274">
            <v>0</v>
          </cell>
          <cell r="I274">
            <v>0.15</v>
          </cell>
          <cell r="J274">
            <v>0</v>
          </cell>
          <cell r="K274">
            <v>0.15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2</v>
          </cell>
        </row>
        <row r="275">
          <cell r="B275" t="str">
            <v>80S</v>
          </cell>
          <cell r="C275">
            <v>1.25</v>
          </cell>
          <cell r="D275">
            <v>4.8499999999999996</v>
          </cell>
          <cell r="E275">
            <v>1</v>
          </cell>
          <cell r="F275">
            <v>0</v>
          </cell>
          <cell r="G275">
            <v>0</v>
          </cell>
          <cell r="H275">
            <v>0</v>
          </cell>
          <cell r="I275">
            <v>0.13</v>
          </cell>
          <cell r="J275">
            <v>0.17</v>
          </cell>
          <cell r="K275">
            <v>0.30000000000000004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2</v>
          </cell>
        </row>
        <row r="276">
          <cell r="B276" t="str">
            <v>80S</v>
          </cell>
          <cell r="C276">
            <v>1.25</v>
          </cell>
          <cell r="D276">
            <v>4.8499999999999996</v>
          </cell>
          <cell r="E276">
            <v>1</v>
          </cell>
          <cell r="F276">
            <v>0</v>
          </cell>
          <cell r="G276">
            <v>0</v>
          </cell>
          <cell r="H276">
            <v>0</v>
          </cell>
          <cell r="I276">
            <v>0.13</v>
          </cell>
          <cell r="J276">
            <v>0.17</v>
          </cell>
          <cell r="K276">
            <v>0.30000000000000004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2</v>
          </cell>
        </row>
        <row r="277">
          <cell r="B277" t="str">
            <v>80S</v>
          </cell>
          <cell r="C277">
            <v>1.25</v>
          </cell>
          <cell r="D277">
            <v>4.8499999999999996</v>
          </cell>
          <cell r="E277">
            <v>1</v>
          </cell>
          <cell r="F277">
            <v>0</v>
          </cell>
          <cell r="G277">
            <v>0</v>
          </cell>
          <cell r="H277">
            <v>0</v>
          </cell>
          <cell r="I277">
            <v>0.13</v>
          </cell>
          <cell r="J277">
            <v>0.17</v>
          </cell>
          <cell r="K277">
            <v>0.30000000000000004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2</v>
          </cell>
        </row>
        <row r="278">
          <cell r="B278" t="str">
            <v>80S</v>
          </cell>
          <cell r="C278">
            <v>1.5</v>
          </cell>
          <cell r="D278">
            <v>5.08</v>
          </cell>
          <cell r="E278">
            <v>1</v>
          </cell>
          <cell r="F278">
            <v>0</v>
          </cell>
          <cell r="G278">
            <v>0</v>
          </cell>
          <cell r="H278">
            <v>0</v>
          </cell>
          <cell r="I278">
            <v>0.15</v>
          </cell>
          <cell r="J278">
            <v>0.15</v>
          </cell>
          <cell r="K278">
            <v>0.3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2</v>
          </cell>
        </row>
        <row r="279">
          <cell r="B279" t="str">
            <v>80S</v>
          </cell>
          <cell r="C279">
            <v>1.5</v>
          </cell>
          <cell r="D279">
            <v>5.08</v>
          </cell>
          <cell r="E279">
            <v>1</v>
          </cell>
          <cell r="F279">
            <v>0</v>
          </cell>
          <cell r="G279">
            <v>0</v>
          </cell>
          <cell r="H279">
            <v>0</v>
          </cell>
          <cell r="I279">
            <v>0.15</v>
          </cell>
          <cell r="J279">
            <v>0.15</v>
          </cell>
          <cell r="K279">
            <v>0.3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2</v>
          </cell>
        </row>
        <row r="280">
          <cell r="B280" t="str">
            <v>80S</v>
          </cell>
          <cell r="C280">
            <v>1.5</v>
          </cell>
          <cell r="D280">
            <v>5.08</v>
          </cell>
          <cell r="E280">
            <v>1</v>
          </cell>
          <cell r="F280">
            <v>0</v>
          </cell>
          <cell r="G280">
            <v>0</v>
          </cell>
          <cell r="H280">
            <v>0</v>
          </cell>
          <cell r="I280">
            <v>0.15</v>
          </cell>
          <cell r="J280">
            <v>0.15</v>
          </cell>
          <cell r="K280">
            <v>0.3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2</v>
          </cell>
        </row>
        <row r="281">
          <cell r="B281" t="str">
            <v>80S</v>
          </cell>
          <cell r="C281">
            <v>2</v>
          </cell>
          <cell r="D281">
            <v>5.54</v>
          </cell>
          <cell r="E281">
            <v>1</v>
          </cell>
          <cell r="F281">
            <v>0</v>
          </cell>
          <cell r="G281">
            <v>0</v>
          </cell>
          <cell r="H281">
            <v>0</v>
          </cell>
          <cell r="I281">
            <v>0.2</v>
          </cell>
          <cell r="J281">
            <v>0.25</v>
          </cell>
          <cell r="K281">
            <v>0.45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2</v>
          </cell>
        </row>
        <row r="282">
          <cell r="B282" t="str">
            <v>80S</v>
          </cell>
          <cell r="C282">
            <v>2</v>
          </cell>
          <cell r="D282">
            <v>5.54</v>
          </cell>
          <cell r="E282">
            <v>1</v>
          </cell>
          <cell r="F282">
            <v>0</v>
          </cell>
          <cell r="G282">
            <v>0</v>
          </cell>
          <cell r="H282">
            <v>0</v>
          </cell>
          <cell r="I282">
            <v>0.2</v>
          </cell>
          <cell r="J282">
            <v>0.25</v>
          </cell>
          <cell r="K282">
            <v>0.45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2</v>
          </cell>
        </row>
        <row r="283">
          <cell r="B283" t="str">
            <v>80S</v>
          </cell>
          <cell r="C283">
            <v>2</v>
          </cell>
          <cell r="D283">
            <v>5.54</v>
          </cell>
          <cell r="E283">
            <v>1</v>
          </cell>
          <cell r="F283">
            <v>0</v>
          </cell>
          <cell r="G283">
            <v>0</v>
          </cell>
          <cell r="H283">
            <v>0</v>
          </cell>
          <cell r="I283">
            <v>0.2</v>
          </cell>
          <cell r="J283">
            <v>0.25</v>
          </cell>
          <cell r="K283">
            <v>0.45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2</v>
          </cell>
        </row>
        <row r="284">
          <cell r="B284" t="str">
            <v>80S</v>
          </cell>
          <cell r="C284">
            <v>2.5</v>
          </cell>
          <cell r="D284">
            <v>7.01</v>
          </cell>
          <cell r="E284">
            <v>1</v>
          </cell>
          <cell r="F284">
            <v>0</v>
          </cell>
          <cell r="G284">
            <v>0</v>
          </cell>
          <cell r="H284">
            <v>0</v>
          </cell>
          <cell r="I284">
            <v>0.25</v>
          </cell>
          <cell r="J284">
            <v>0.5</v>
          </cell>
          <cell r="K284">
            <v>0.75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2</v>
          </cell>
        </row>
        <row r="285">
          <cell r="B285" t="str">
            <v>80S</v>
          </cell>
          <cell r="C285">
            <v>3</v>
          </cell>
          <cell r="D285">
            <v>7.62</v>
          </cell>
          <cell r="E285">
            <v>1</v>
          </cell>
          <cell r="F285">
            <v>0</v>
          </cell>
          <cell r="G285">
            <v>0</v>
          </cell>
          <cell r="H285">
            <v>0</v>
          </cell>
          <cell r="I285">
            <v>0.3</v>
          </cell>
          <cell r="J285">
            <v>0.6</v>
          </cell>
          <cell r="K285">
            <v>0.89999999999999991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2</v>
          </cell>
        </row>
        <row r="286">
          <cell r="B286" t="str">
            <v>80S</v>
          </cell>
          <cell r="C286">
            <v>3.5</v>
          </cell>
          <cell r="D286">
            <v>8.08</v>
          </cell>
          <cell r="E286">
            <v>1</v>
          </cell>
          <cell r="F286">
            <v>0</v>
          </cell>
          <cell r="G286">
            <v>0</v>
          </cell>
          <cell r="H286">
            <v>0</v>
          </cell>
          <cell r="I286">
            <v>0.35</v>
          </cell>
          <cell r="J286">
            <v>0.85</v>
          </cell>
          <cell r="K286">
            <v>1.2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3</v>
          </cell>
        </row>
        <row r="287">
          <cell r="A287" t="str">
            <v>80S</v>
          </cell>
          <cell r="B287" t="str">
            <v>80S</v>
          </cell>
          <cell r="C287">
            <v>4</v>
          </cell>
          <cell r="D287">
            <v>8.56</v>
          </cell>
          <cell r="E287">
            <v>1</v>
          </cell>
          <cell r="F287">
            <v>0</v>
          </cell>
          <cell r="G287">
            <v>0</v>
          </cell>
          <cell r="H287">
            <v>0</v>
          </cell>
          <cell r="I287">
            <v>0.41</v>
          </cell>
          <cell r="J287">
            <v>0.93</v>
          </cell>
          <cell r="K287">
            <v>1.34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3</v>
          </cell>
        </row>
        <row r="288">
          <cell r="B288" t="str">
            <v>80S</v>
          </cell>
          <cell r="C288">
            <v>5</v>
          </cell>
          <cell r="D288">
            <v>9.5299999999999994</v>
          </cell>
          <cell r="E288">
            <v>1</v>
          </cell>
          <cell r="F288">
            <v>0</v>
          </cell>
          <cell r="G288">
            <v>0</v>
          </cell>
          <cell r="H288">
            <v>0</v>
          </cell>
          <cell r="I288">
            <v>0.51</v>
          </cell>
          <cell r="J288">
            <v>1.59</v>
          </cell>
          <cell r="K288">
            <v>2.1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4</v>
          </cell>
        </row>
        <row r="289">
          <cell r="B289" t="str">
            <v>80S</v>
          </cell>
          <cell r="C289">
            <v>6</v>
          </cell>
          <cell r="D289">
            <v>10.97</v>
          </cell>
          <cell r="E289">
            <v>1.25</v>
          </cell>
          <cell r="F289">
            <v>0</v>
          </cell>
          <cell r="G289">
            <v>0</v>
          </cell>
          <cell r="H289">
            <v>0</v>
          </cell>
          <cell r="I289">
            <v>0.61</v>
          </cell>
          <cell r="J289">
            <v>2.69</v>
          </cell>
          <cell r="K289">
            <v>3.3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4</v>
          </cell>
        </row>
        <row r="290">
          <cell r="B290" t="str">
            <v>80S</v>
          </cell>
          <cell r="C290">
            <v>8</v>
          </cell>
          <cell r="D290">
            <v>12.7</v>
          </cell>
          <cell r="E290">
            <v>1.25</v>
          </cell>
          <cell r="F290">
            <v>0</v>
          </cell>
          <cell r="G290">
            <v>0</v>
          </cell>
          <cell r="H290">
            <v>0</v>
          </cell>
          <cell r="I290">
            <v>0.81</v>
          </cell>
          <cell r="J290">
            <v>4.58</v>
          </cell>
          <cell r="K290">
            <v>5.3900000000000006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4</v>
          </cell>
        </row>
        <row r="291">
          <cell r="B291" t="str">
            <v>80S</v>
          </cell>
          <cell r="C291">
            <v>10</v>
          </cell>
          <cell r="D291">
            <v>12.7</v>
          </cell>
          <cell r="E291">
            <v>1.25</v>
          </cell>
          <cell r="F291">
            <v>0</v>
          </cell>
          <cell r="G291">
            <v>0</v>
          </cell>
          <cell r="H291">
            <v>0</v>
          </cell>
          <cell r="I291">
            <v>1.01</v>
          </cell>
          <cell r="J291">
            <v>5.74</v>
          </cell>
          <cell r="K291">
            <v>6.75</v>
          </cell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4</v>
          </cell>
        </row>
        <row r="292">
          <cell r="B292" t="str">
            <v>80S</v>
          </cell>
          <cell r="C292">
            <v>12</v>
          </cell>
          <cell r="D292">
            <v>12.7</v>
          </cell>
          <cell r="E292">
            <v>1.25</v>
          </cell>
          <cell r="F292">
            <v>0</v>
          </cell>
          <cell r="G292">
            <v>0</v>
          </cell>
          <cell r="H292">
            <v>0</v>
          </cell>
          <cell r="I292">
            <v>1.22</v>
          </cell>
          <cell r="J292">
            <v>6.73</v>
          </cell>
          <cell r="K292">
            <v>7.95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6</v>
          </cell>
        </row>
        <row r="293">
          <cell r="B293">
            <v>100</v>
          </cell>
          <cell r="C293">
            <v>8</v>
          </cell>
          <cell r="D293">
            <v>15.09</v>
          </cell>
          <cell r="E293">
            <v>1.5</v>
          </cell>
          <cell r="F293">
            <v>0</v>
          </cell>
          <cell r="G293">
            <v>0</v>
          </cell>
          <cell r="H293">
            <v>0</v>
          </cell>
          <cell r="I293">
            <v>0.81</v>
          </cell>
          <cell r="J293">
            <v>6.09</v>
          </cell>
          <cell r="K293">
            <v>6.9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4</v>
          </cell>
        </row>
        <row r="294">
          <cell r="B294">
            <v>100</v>
          </cell>
          <cell r="C294">
            <v>10</v>
          </cell>
          <cell r="D294">
            <v>18.260000000000002</v>
          </cell>
          <cell r="E294">
            <v>1.5</v>
          </cell>
          <cell r="F294">
            <v>0</v>
          </cell>
          <cell r="G294">
            <v>0</v>
          </cell>
          <cell r="H294">
            <v>0</v>
          </cell>
          <cell r="I294">
            <v>1.01</v>
          </cell>
          <cell r="J294">
            <v>11.44</v>
          </cell>
          <cell r="K294">
            <v>12.45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4</v>
          </cell>
        </row>
        <row r="295">
          <cell r="B295">
            <v>100</v>
          </cell>
          <cell r="C295">
            <v>12</v>
          </cell>
          <cell r="D295">
            <v>21.44</v>
          </cell>
          <cell r="E295">
            <v>2</v>
          </cell>
          <cell r="F295">
            <v>0</v>
          </cell>
          <cell r="G295">
            <v>0</v>
          </cell>
          <cell r="H295">
            <v>0</v>
          </cell>
          <cell r="I295">
            <v>1.22</v>
          </cell>
          <cell r="J295">
            <v>15.28</v>
          </cell>
          <cell r="K295">
            <v>16.5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6</v>
          </cell>
        </row>
        <row r="296">
          <cell r="B296">
            <v>100</v>
          </cell>
          <cell r="C296">
            <v>14</v>
          </cell>
          <cell r="D296">
            <v>23.83</v>
          </cell>
          <cell r="E296">
            <v>2</v>
          </cell>
          <cell r="F296">
            <v>0</v>
          </cell>
          <cell r="G296">
            <v>0</v>
          </cell>
          <cell r="H296">
            <v>0</v>
          </cell>
          <cell r="I296">
            <v>1.42</v>
          </cell>
          <cell r="J296">
            <v>21.07</v>
          </cell>
          <cell r="K296">
            <v>22.490000000000002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6</v>
          </cell>
        </row>
        <row r="297">
          <cell r="B297">
            <v>100</v>
          </cell>
          <cell r="C297">
            <v>16</v>
          </cell>
          <cell r="D297">
            <v>26.19</v>
          </cell>
          <cell r="E297" t="str">
            <v>N</v>
          </cell>
          <cell r="F297">
            <v>0</v>
          </cell>
          <cell r="G297">
            <v>0</v>
          </cell>
          <cell r="H297">
            <v>0</v>
          </cell>
          <cell r="I297">
            <v>1.62</v>
          </cell>
          <cell r="J297">
            <v>28.38</v>
          </cell>
          <cell r="K297">
            <v>30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6</v>
          </cell>
        </row>
        <row r="298">
          <cell r="B298">
            <v>100</v>
          </cell>
          <cell r="C298">
            <v>18</v>
          </cell>
          <cell r="D298">
            <v>29.36</v>
          </cell>
          <cell r="E298" t="str">
            <v>N</v>
          </cell>
          <cell r="F298">
            <v>0</v>
          </cell>
          <cell r="G298">
            <v>0</v>
          </cell>
          <cell r="H298">
            <v>0</v>
          </cell>
          <cell r="I298">
            <v>1.82</v>
          </cell>
          <cell r="J298">
            <v>37.17</v>
          </cell>
          <cell r="K298">
            <v>38.99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6</v>
          </cell>
        </row>
        <row r="299">
          <cell r="B299">
            <v>100</v>
          </cell>
          <cell r="C299">
            <v>20</v>
          </cell>
          <cell r="D299">
            <v>32.54</v>
          </cell>
          <cell r="E299" t="str">
            <v>N</v>
          </cell>
          <cell r="F299">
            <v>0</v>
          </cell>
          <cell r="G299">
            <v>0</v>
          </cell>
          <cell r="H299">
            <v>0</v>
          </cell>
          <cell r="I299">
            <v>2.0299999999999998</v>
          </cell>
          <cell r="J299">
            <v>45.97</v>
          </cell>
          <cell r="K299">
            <v>48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7</v>
          </cell>
        </row>
        <row r="300">
          <cell r="B300">
            <v>100</v>
          </cell>
          <cell r="C300">
            <v>22</v>
          </cell>
          <cell r="D300">
            <v>34.93</v>
          </cell>
          <cell r="E300" t="str">
            <v>N</v>
          </cell>
          <cell r="F300">
            <v>0</v>
          </cell>
          <cell r="G300">
            <v>0</v>
          </cell>
          <cell r="H300">
            <v>0</v>
          </cell>
          <cell r="I300">
            <v>2.23</v>
          </cell>
          <cell r="J300">
            <v>65.27</v>
          </cell>
          <cell r="K300">
            <v>67.5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8</v>
          </cell>
        </row>
        <row r="301">
          <cell r="B301">
            <v>100</v>
          </cell>
          <cell r="C301">
            <v>24</v>
          </cell>
          <cell r="D301">
            <v>38.89</v>
          </cell>
          <cell r="E301" t="str">
            <v>N</v>
          </cell>
          <cell r="F301">
            <v>0</v>
          </cell>
          <cell r="G301">
            <v>0</v>
          </cell>
          <cell r="H301">
            <v>0</v>
          </cell>
          <cell r="I301">
            <v>2.4300000000000002</v>
          </cell>
          <cell r="J301">
            <v>75.56</v>
          </cell>
          <cell r="K301">
            <v>77.990000000000009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8</v>
          </cell>
        </row>
        <row r="302">
          <cell r="B302">
            <v>120</v>
          </cell>
          <cell r="C302">
            <v>4</v>
          </cell>
          <cell r="D302">
            <v>11.13</v>
          </cell>
          <cell r="E302">
            <v>1.25</v>
          </cell>
          <cell r="F302">
            <v>0</v>
          </cell>
          <cell r="G302">
            <v>0</v>
          </cell>
          <cell r="H302">
            <v>0</v>
          </cell>
          <cell r="I302">
            <v>0.41</v>
          </cell>
          <cell r="J302">
            <v>1.84</v>
          </cell>
          <cell r="K302">
            <v>2.25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4</v>
          </cell>
        </row>
        <row r="303">
          <cell r="B303">
            <v>120</v>
          </cell>
          <cell r="C303">
            <v>5</v>
          </cell>
          <cell r="D303">
            <v>12.7</v>
          </cell>
          <cell r="E303">
            <v>1.25</v>
          </cell>
          <cell r="F303">
            <v>0</v>
          </cell>
          <cell r="G303">
            <v>0</v>
          </cell>
          <cell r="H303">
            <v>0</v>
          </cell>
          <cell r="I303">
            <v>0.51</v>
          </cell>
          <cell r="J303">
            <v>2.94</v>
          </cell>
          <cell r="K303">
            <v>3.45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4</v>
          </cell>
        </row>
        <row r="304">
          <cell r="B304">
            <v>120</v>
          </cell>
          <cell r="C304">
            <v>6</v>
          </cell>
          <cell r="D304">
            <v>14.27</v>
          </cell>
          <cell r="E304">
            <v>1.25</v>
          </cell>
          <cell r="F304">
            <v>0</v>
          </cell>
          <cell r="G304">
            <v>0</v>
          </cell>
          <cell r="H304">
            <v>0</v>
          </cell>
          <cell r="I304">
            <v>0.61</v>
          </cell>
          <cell r="J304">
            <v>4.1900000000000004</v>
          </cell>
          <cell r="K304">
            <v>4.8000000000000007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4</v>
          </cell>
        </row>
        <row r="305">
          <cell r="B305">
            <v>120</v>
          </cell>
          <cell r="C305">
            <v>8</v>
          </cell>
          <cell r="D305">
            <v>18.260000000000002</v>
          </cell>
          <cell r="E305">
            <v>1.5</v>
          </cell>
          <cell r="F305">
            <v>0</v>
          </cell>
          <cell r="G305">
            <v>0</v>
          </cell>
          <cell r="H305">
            <v>0</v>
          </cell>
          <cell r="I305">
            <v>0.81</v>
          </cell>
          <cell r="J305">
            <v>9.23</v>
          </cell>
          <cell r="K305">
            <v>10.040000000000001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4</v>
          </cell>
        </row>
        <row r="306">
          <cell r="B306">
            <v>120</v>
          </cell>
          <cell r="C306">
            <v>10</v>
          </cell>
          <cell r="D306">
            <v>21.44</v>
          </cell>
          <cell r="E306">
            <v>2</v>
          </cell>
          <cell r="F306">
            <v>0</v>
          </cell>
          <cell r="G306">
            <v>0</v>
          </cell>
          <cell r="H306">
            <v>0</v>
          </cell>
          <cell r="I306">
            <v>1.01</v>
          </cell>
          <cell r="J306">
            <v>12.49</v>
          </cell>
          <cell r="K306">
            <v>13.5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4</v>
          </cell>
        </row>
        <row r="307">
          <cell r="B307">
            <v>120</v>
          </cell>
          <cell r="C307">
            <v>12</v>
          </cell>
          <cell r="D307">
            <v>25.4</v>
          </cell>
          <cell r="E307" t="str">
            <v>N</v>
          </cell>
          <cell r="F307">
            <v>0</v>
          </cell>
          <cell r="G307">
            <v>0</v>
          </cell>
          <cell r="H307">
            <v>0</v>
          </cell>
          <cell r="I307">
            <v>1.22</v>
          </cell>
          <cell r="J307">
            <v>21.27</v>
          </cell>
          <cell r="K307">
            <v>22.49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6</v>
          </cell>
        </row>
        <row r="308">
          <cell r="B308">
            <v>120</v>
          </cell>
          <cell r="C308">
            <v>14</v>
          </cell>
          <cell r="D308">
            <v>27.79</v>
          </cell>
          <cell r="E308" t="str">
            <v>N</v>
          </cell>
          <cell r="F308">
            <v>0</v>
          </cell>
          <cell r="G308">
            <v>0</v>
          </cell>
          <cell r="H308">
            <v>0</v>
          </cell>
          <cell r="I308">
            <v>1.42</v>
          </cell>
          <cell r="J308">
            <v>25.58</v>
          </cell>
          <cell r="K308">
            <v>27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6</v>
          </cell>
        </row>
        <row r="309">
          <cell r="B309">
            <v>120</v>
          </cell>
          <cell r="C309">
            <v>16</v>
          </cell>
          <cell r="D309">
            <v>30.96</v>
          </cell>
          <cell r="E309" t="str">
            <v>N</v>
          </cell>
          <cell r="F309">
            <v>0</v>
          </cell>
          <cell r="G309">
            <v>0</v>
          </cell>
          <cell r="H309">
            <v>0</v>
          </cell>
          <cell r="I309">
            <v>1.62</v>
          </cell>
          <cell r="J309">
            <v>35.880000000000003</v>
          </cell>
          <cell r="K309">
            <v>37.5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6</v>
          </cell>
        </row>
        <row r="310">
          <cell r="B310">
            <v>120</v>
          </cell>
          <cell r="C310">
            <v>18</v>
          </cell>
          <cell r="D310">
            <v>34.93</v>
          </cell>
          <cell r="E310" t="str">
            <v>N</v>
          </cell>
          <cell r="F310">
            <v>0</v>
          </cell>
          <cell r="G310">
            <v>0</v>
          </cell>
          <cell r="H310">
            <v>0</v>
          </cell>
          <cell r="I310">
            <v>1.82</v>
          </cell>
          <cell r="J310">
            <v>47.68</v>
          </cell>
          <cell r="K310">
            <v>49.5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6</v>
          </cell>
        </row>
        <row r="311">
          <cell r="B311">
            <v>120</v>
          </cell>
          <cell r="C311">
            <v>20</v>
          </cell>
          <cell r="D311">
            <v>38.1</v>
          </cell>
          <cell r="E311" t="str">
            <v>N</v>
          </cell>
          <cell r="F311">
            <v>0</v>
          </cell>
          <cell r="G311">
            <v>0</v>
          </cell>
          <cell r="H311">
            <v>0</v>
          </cell>
          <cell r="I311">
            <v>2.0299999999999998</v>
          </cell>
          <cell r="J311">
            <v>62.47</v>
          </cell>
          <cell r="K311">
            <v>64.5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7</v>
          </cell>
        </row>
        <row r="312">
          <cell r="B312">
            <v>120</v>
          </cell>
          <cell r="C312">
            <v>22</v>
          </cell>
          <cell r="D312">
            <v>41.28</v>
          </cell>
          <cell r="E312" t="str">
            <v>N</v>
          </cell>
          <cell r="F312">
            <v>0</v>
          </cell>
          <cell r="G312">
            <v>0</v>
          </cell>
          <cell r="H312">
            <v>0</v>
          </cell>
          <cell r="I312">
            <v>2.23</v>
          </cell>
          <cell r="J312">
            <v>84.76</v>
          </cell>
          <cell r="K312">
            <v>86.990000000000009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8</v>
          </cell>
        </row>
        <row r="313">
          <cell r="B313">
            <v>120</v>
          </cell>
          <cell r="C313">
            <v>24</v>
          </cell>
          <cell r="D313">
            <v>46.02</v>
          </cell>
          <cell r="E313" t="str">
            <v>N</v>
          </cell>
          <cell r="F313">
            <v>0</v>
          </cell>
          <cell r="G313">
            <v>0</v>
          </cell>
          <cell r="H313">
            <v>0</v>
          </cell>
          <cell r="I313">
            <v>2.4300000000000002</v>
          </cell>
          <cell r="J313">
            <v>98.07</v>
          </cell>
          <cell r="K313">
            <v>100.5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8</v>
          </cell>
          <cell r="Q313">
            <v>0</v>
          </cell>
          <cell r="R313">
            <v>0</v>
          </cell>
        </row>
        <row r="314">
          <cell r="B314">
            <v>140</v>
          </cell>
          <cell r="C314">
            <v>8</v>
          </cell>
          <cell r="D314">
            <v>20.62</v>
          </cell>
          <cell r="E314">
            <v>2</v>
          </cell>
          <cell r="F314">
            <v>0</v>
          </cell>
          <cell r="G314">
            <v>0</v>
          </cell>
          <cell r="H314">
            <v>0</v>
          </cell>
          <cell r="I314">
            <v>0.81</v>
          </cell>
          <cell r="J314">
            <v>10.130000000000001</v>
          </cell>
          <cell r="K314">
            <v>10.940000000000001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4</v>
          </cell>
        </row>
        <row r="315">
          <cell r="B315">
            <v>140</v>
          </cell>
          <cell r="C315">
            <v>10</v>
          </cell>
          <cell r="D315">
            <v>25.4</v>
          </cell>
          <cell r="E315" t="str">
            <v>N</v>
          </cell>
          <cell r="F315">
            <v>0</v>
          </cell>
          <cell r="G315">
            <v>0</v>
          </cell>
          <cell r="H315">
            <v>0</v>
          </cell>
          <cell r="I315">
            <v>1.01</v>
          </cell>
          <cell r="J315">
            <v>18.48</v>
          </cell>
          <cell r="K315">
            <v>19.490000000000002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4</v>
          </cell>
        </row>
        <row r="316">
          <cell r="B316">
            <v>140</v>
          </cell>
          <cell r="C316">
            <v>12</v>
          </cell>
          <cell r="D316">
            <v>28.58</v>
          </cell>
          <cell r="E316" t="str">
            <v>N</v>
          </cell>
          <cell r="F316">
            <v>0</v>
          </cell>
          <cell r="G316">
            <v>0</v>
          </cell>
          <cell r="H316">
            <v>0</v>
          </cell>
          <cell r="I316">
            <v>1.22</v>
          </cell>
          <cell r="J316">
            <v>25.78</v>
          </cell>
          <cell r="K316">
            <v>27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6</v>
          </cell>
        </row>
        <row r="317">
          <cell r="B317">
            <v>140</v>
          </cell>
          <cell r="C317">
            <v>14</v>
          </cell>
          <cell r="D317">
            <v>31.75</v>
          </cell>
          <cell r="E317" t="str">
            <v>N</v>
          </cell>
          <cell r="F317">
            <v>0</v>
          </cell>
          <cell r="G317">
            <v>0</v>
          </cell>
          <cell r="H317">
            <v>0</v>
          </cell>
          <cell r="I317">
            <v>1.42</v>
          </cell>
          <cell r="J317">
            <v>31.58</v>
          </cell>
          <cell r="K317">
            <v>33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6</v>
          </cell>
        </row>
        <row r="318">
          <cell r="B318">
            <v>140</v>
          </cell>
          <cell r="C318">
            <v>16</v>
          </cell>
          <cell r="D318">
            <v>36.53</v>
          </cell>
          <cell r="E318" t="str">
            <v>N</v>
          </cell>
          <cell r="F318">
            <v>0</v>
          </cell>
          <cell r="G318">
            <v>0</v>
          </cell>
          <cell r="H318">
            <v>0</v>
          </cell>
          <cell r="I318">
            <v>1.62</v>
          </cell>
          <cell r="J318">
            <v>44.87</v>
          </cell>
          <cell r="K318">
            <v>46.489999999999995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6</v>
          </cell>
        </row>
        <row r="319">
          <cell r="B319">
            <v>140</v>
          </cell>
          <cell r="C319">
            <v>18</v>
          </cell>
          <cell r="D319">
            <v>39.67</v>
          </cell>
          <cell r="E319" t="str">
            <v>N</v>
          </cell>
          <cell r="F319">
            <v>0</v>
          </cell>
          <cell r="G319">
            <v>0</v>
          </cell>
          <cell r="H319">
            <v>0</v>
          </cell>
          <cell r="I319">
            <v>1.82</v>
          </cell>
          <cell r="J319">
            <v>59.68</v>
          </cell>
          <cell r="K319">
            <v>61.5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6</v>
          </cell>
        </row>
        <row r="320">
          <cell r="B320">
            <v>140</v>
          </cell>
          <cell r="C320">
            <v>20</v>
          </cell>
          <cell r="D320">
            <v>44.45</v>
          </cell>
          <cell r="E320" t="str">
            <v>N</v>
          </cell>
          <cell r="F320">
            <v>0</v>
          </cell>
          <cell r="G320">
            <v>0</v>
          </cell>
          <cell r="H320">
            <v>0</v>
          </cell>
          <cell r="I320">
            <v>2.0299999999999998</v>
          </cell>
          <cell r="J320">
            <v>78.959999999999994</v>
          </cell>
          <cell r="K320">
            <v>80.989999999999995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7</v>
          </cell>
        </row>
        <row r="321">
          <cell r="B321">
            <v>140</v>
          </cell>
          <cell r="C321">
            <v>22</v>
          </cell>
          <cell r="D321">
            <v>47.63</v>
          </cell>
          <cell r="E321" t="str">
            <v>N</v>
          </cell>
          <cell r="F321">
            <v>0</v>
          </cell>
          <cell r="G321">
            <v>0</v>
          </cell>
          <cell r="H321">
            <v>0</v>
          </cell>
          <cell r="I321">
            <v>2.23</v>
          </cell>
          <cell r="J321">
            <v>108.77</v>
          </cell>
          <cell r="K321">
            <v>111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8</v>
          </cell>
        </row>
        <row r="322">
          <cell r="B322">
            <v>140</v>
          </cell>
          <cell r="C322">
            <v>24</v>
          </cell>
          <cell r="D322">
            <v>52.37</v>
          </cell>
          <cell r="E322" t="str">
            <v>N</v>
          </cell>
          <cell r="F322">
            <v>0</v>
          </cell>
          <cell r="G322">
            <v>0</v>
          </cell>
          <cell r="H322">
            <v>0</v>
          </cell>
          <cell r="I322">
            <v>2.4300000000000002</v>
          </cell>
          <cell r="J322">
            <v>126.57</v>
          </cell>
          <cell r="K322">
            <v>129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8</v>
          </cell>
        </row>
        <row r="323">
          <cell r="B323">
            <v>160</v>
          </cell>
          <cell r="C323">
            <v>0.5</v>
          </cell>
          <cell r="D323">
            <v>4.78</v>
          </cell>
          <cell r="E323">
            <v>1</v>
          </cell>
          <cell r="F323">
            <v>0</v>
          </cell>
          <cell r="G323">
            <v>0</v>
          </cell>
          <cell r="H323">
            <v>0</v>
          </cell>
          <cell r="I323">
            <v>7.0000000000000007E-2</v>
          </cell>
          <cell r="J323">
            <v>0.08</v>
          </cell>
          <cell r="K323">
            <v>0.15000000000000002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2</v>
          </cell>
        </row>
        <row r="324">
          <cell r="B324">
            <v>160</v>
          </cell>
          <cell r="C324">
            <v>0.5</v>
          </cell>
          <cell r="D324">
            <v>4.78</v>
          </cell>
          <cell r="E324">
            <v>1</v>
          </cell>
          <cell r="F324">
            <v>0</v>
          </cell>
          <cell r="G324">
            <v>0</v>
          </cell>
          <cell r="H324">
            <v>0</v>
          </cell>
          <cell r="I324">
            <v>7.0000000000000007E-2</v>
          </cell>
          <cell r="J324">
            <v>0.08</v>
          </cell>
          <cell r="K324">
            <v>0.15000000000000002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2</v>
          </cell>
        </row>
        <row r="325">
          <cell r="B325">
            <v>160</v>
          </cell>
          <cell r="C325">
            <v>0.5</v>
          </cell>
          <cell r="D325">
            <v>4.78</v>
          </cell>
          <cell r="E325">
            <v>1</v>
          </cell>
          <cell r="F325">
            <v>0</v>
          </cell>
          <cell r="G325">
            <v>0</v>
          </cell>
          <cell r="H325">
            <v>0</v>
          </cell>
          <cell r="I325">
            <v>7.0000000000000007E-2</v>
          </cell>
          <cell r="J325">
            <v>0.08</v>
          </cell>
          <cell r="K325">
            <v>0.15000000000000002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2</v>
          </cell>
        </row>
        <row r="326">
          <cell r="B326">
            <v>160</v>
          </cell>
          <cell r="C326">
            <v>0.75</v>
          </cell>
          <cell r="D326">
            <v>5.56</v>
          </cell>
          <cell r="E326">
            <v>1</v>
          </cell>
          <cell r="F326">
            <v>0</v>
          </cell>
          <cell r="G326">
            <v>0</v>
          </cell>
          <cell r="H326">
            <v>0</v>
          </cell>
          <cell r="I326">
            <v>0.08</v>
          </cell>
          <cell r="J326">
            <v>7.0000000000000007E-2</v>
          </cell>
          <cell r="K326">
            <v>0.15000000000000002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2</v>
          </cell>
        </row>
        <row r="327">
          <cell r="B327">
            <v>160</v>
          </cell>
          <cell r="C327">
            <v>0.75</v>
          </cell>
          <cell r="D327">
            <v>5.56</v>
          </cell>
          <cell r="E327">
            <v>1</v>
          </cell>
          <cell r="F327">
            <v>0</v>
          </cell>
          <cell r="G327">
            <v>0</v>
          </cell>
          <cell r="H327">
            <v>0</v>
          </cell>
          <cell r="I327">
            <v>0.08</v>
          </cell>
          <cell r="J327">
            <v>7.0000000000000007E-2</v>
          </cell>
          <cell r="K327">
            <v>0.15000000000000002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2</v>
          </cell>
        </row>
        <row r="328">
          <cell r="B328">
            <v>160</v>
          </cell>
          <cell r="C328">
            <v>0.75</v>
          </cell>
          <cell r="D328">
            <v>5.56</v>
          </cell>
          <cell r="E328">
            <v>1</v>
          </cell>
          <cell r="F328">
            <v>0</v>
          </cell>
          <cell r="G328">
            <v>0</v>
          </cell>
          <cell r="H328">
            <v>0</v>
          </cell>
          <cell r="I328">
            <v>0.08</v>
          </cell>
          <cell r="J328">
            <v>7.0000000000000007E-2</v>
          </cell>
          <cell r="K328">
            <v>0.15000000000000002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2</v>
          </cell>
        </row>
        <row r="329">
          <cell r="B329">
            <v>160</v>
          </cell>
          <cell r="C329">
            <v>1</v>
          </cell>
          <cell r="D329">
            <v>6.35</v>
          </cell>
          <cell r="E329">
            <v>1</v>
          </cell>
          <cell r="F329">
            <v>0</v>
          </cell>
          <cell r="G329">
            <v>0</v>
          </cell>
          <cell r="H329">
            <v>0</v>
          </cell>
          <cell r="I329">
            <v>0.1</v>
          </cell>
          <cell r="J329">
            <v>0.35</v>
          </cell>
          <cell r="K329">
            <v>0.44999999999999996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2</v>
          </cell>
        </row>
        <row r="330">
          <cell r="B330">
            <v>160</v>
          </cell>
          <cell r="C330">
            <v>1</v>
          </cell>
          <cell r="D330">
            <v>6.35</v>
          </cell>
          <cell r="E330">
            <v>1</v>
          </cell>
          <cell r="F330">
            <v>0</v>
          </cell>
          <cell r="G330">
            <v>0</v>
          </cell>
          <cell r="H330">
            <v>0</v>
          </cell>
          <cell r="I330">
            <v>0.1</v>
          </cell>
          <cell r="J330">
            <v>0.35</v>
          </cell>
          <cell r="K330">
            <v>0.44999999999999996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2</v>
          </cell>
        </row>
        <row r="331">
          <cell r="B331">
            <v>160</v>
          </cell>
          <cell r="C331">
            <v>1</v>
          </cell>
          <cell r="D331">
            <v>6.35</v>
          </cell>
          <cell r="E331">
            <v>1</v>
          </cell>
          <cell r="F331">
            <v>0</v>
          </cell>
          <cell r="G331">
            <v>0</v>
          </cell>
          <cell r="H331">
            <v>0</v>
          </cell>
          <cell r="I331">
            <v>0.1</v>
          </cell>
          <cell r="J331">
            <v>0.35</v>
          </cell>
          <cell r="K331">
            <v>0.44999999999999996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2</v>
          </cell>
        </row>
        <row r="332">
          <cell r="B332">
            <v>160</v>
          </cell>
          <cell r="C332">
            <v>1.25</v>
          </cell>
          <cell r="D332">
            <v>6.35</v>
          </cell>
          <cell r="E332">
            <v>1</v>
          </cell>
          <cell r="F332">
            <v>0</v>
          </cell>
          <cell r="G332">
            <v>0</v>
          </cell>
          <cell r="H332">
            <v>0</v>
          </cell>
          <cell r="I332">
            <v>0.13</v>
          </cell>
          <cell r="J332">
            <v>0.32</v>
          </cell>
          <cell r="K332">
            <v>0.45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2</v>
          </cell>
        </row>
        <row r="333">
          <cell r="B333">
            <v>160</v>
          </cell>
          <cell r="C333">
            <v>1.25</v>
          </cell>
          <cell r="D333">
            <v>6.35</v>
          </cell>
          <cell r="E333">
            <v>1</v>
          </cell>
          <cell r="F333">
            <v>0</v>
          </cell>
          <cell r="G333">
            <v>0</v>
          </cell>
          <cell r="H333">
            <v>0</v>
          </cell>
          <cell r="I333">
            <v>0.13</v>
          </cell>
          <cell r="J333">
            <v>0.32</v>
          </cell>
          <cell r="K333">
            <v>0.45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2</v>
          </cell>
        </row>
        <row r="334">
          <cell r="B334">
            <v>160</v>
          </cell>
          <cell r="C334">
            <v>1.25</v>
          </cell>
          <cell r="D334">
            <v>6.35</v>
          </cell>
          <cell r="E334">
            <v>1</v>
          </cell>
          <cell r="F334">
            <v>0</v>
          </cell>
          <cell r="G334">
            <v>0</v>
          </cell>
          <cell r="H334">
            <v>0</v>
          </cell>
          <cell r="I334">
            <v>0.13</v>
          </cell>
          <cell r="J334">
            <v>0.32</v>
          </cell>
          <cell r="K334">
            <v>0.45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2</v>
          </cell>
        </row>
        <row r="335">
          <cell r="B335">
            <v>160</v>
          </cell>
          <cell r="C335">
            <v>1.5</v>
          </cell>
          <cell r="D335">
            <v>7.14</v>
          </cell>
          <cell r="E335">
            <v>1</v>
          </cell>
          <cell r="F335">
            <v>0</v>
          </cell>
          <cell r="G335">
            <v>0</v>
          </cell>
          <cell r="H335">
            <v>0</v>
          </cell>
          <cell r="I335">
            <v>0.15</v>
          </cell>
          <cell r="J335">
            <v>0.45</v>
          </cell>
          <cell r="K335">
            <v>0.6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2</v>
          </cell>
        </row>
        <row r="336">
          <cell r="B336">
            <v>160</v>
          </cell>
          <cell r="C336">
            <v>1.5</v>
          </cell>
          <cell r="D336">
            <v>7.14</v>
          </cell>
          <cell r="E336">
            <v>1</v>
          </cell>
          <cell r="F336">
            <v>0</v>
          </cell>
          <cell r="G336">
            <v>0</v>
          </cell>
          <cell r="H336">
            <v>0</v>
          </cell>
          <cell r="I336">
            <v>0.15</v>
          </cell>
          <cell r="J336">
            <v>0.45</v>
          </cell>
          <cell r="K336">
            <v>0.6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2</v>
          </cell>
        </row>
        <row r="337">
          <cell r="B337">
            <v>160</v>
          </cell>
          <cell r="C337">
            <v>1.5</v>
          </cell>
          <cell r="D337">
            <v>7.14</v>
          </cell>
          <cell r="E337">
            <v>1</v>
          </cell>
          <cell r="F337">
            <v>0</v>
          </cell>
          <cell r="G337">
            <v>0</v>
          </cell>
          <cell r="H337">
            <v>0</v>
          </cell>
          <cell r="I337">
            <v>0.15</v>
          </cell>
          <cell r="J337">
            <v>0.45</v>
          </cell>
          <cell r="K337">
            <v>0.6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2</v>
          </cell>
        </row>
        <row r="338">
          <cell r="B338">
            <v>160</v>
          </cell>
          <cell r="C338">
            <v>2</v>
          </cell>
          <cell r="D338">
            <v>8.74</v>
          </cell>
          <cell r="E338">
            <v>1</v>
          </cell>
          <cell r="F338">
            <v>0</v>
          </cell>
          <cell r="G338">
            <v>0</v>
          </cell>
          <cell r="H338">
            <v>0</v>
          </cell>
          <cell r="I338">
            <v>0.2</v>
          </cell>
          <cell r="J338">
            <v>0.7</v>
          </cell>
          <cell r="K338">
            <v>0.89999999999999991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4</v>
          </cell>
        </row>
        <row r="339">
          <cell r="B339">
            <v>160</v>
          </cell>
          <cell r="C339">
            <v>2</v>
          </cell>
          <cell r="D339">
            <v>8.74</v>
          </cell>
          <cell r="E339">
            <v>1</v>
          </cell>
          <cell r="F339">
            <v>0</v>
          </cell>
          <cell r="G339">
            <v>0</v>
          </cell>
          <cell r="H339">
            <v>0</v>
          </cell>
          <cell r="I339">
            <v>0.2</v>
          </cell>
          <cell r="J339">
            <v>0.7</v>
          </cell>
          <cell r="K339">
            <v>0.89999999999999991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4</v>
          </cell>
        </row>
        <row r="340">
          <cell r="B340">
            <v>160</v>
          </cell>
          <cell r="C340">
            <v>2</v>
          </cell>
          <cell r="D340">
            <v>8.74</v>
          </cell>
          <cell r="E340">
            <v>1</v>
          </cell>
          <cell r="F340">
            <v>0</v>
          </cell>
          <cell r="G340">
            <v>0</v>
          </cell>
          <cell r="H340">
            <v>0</v>
          </cell>
          <cell r="I340">
            <v>0.2</v>
          </cell>
          <cell r="J340">
            <v>0.7</v>
          </cell>
          <cell r="K340">
            <v>0.89999999999999991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4</v>
          </cell>
        </row>
        <row r="341">
          <cell r="B341">
            <v>160</v>
          </cell>
          <cell r="C341">
            <v>2.5</v>
          </cell>
          <cell r="D341">
            <v>9.5299999999999994</v>
          </cell>
          <cell r="E341">
            <v>1</v>
          </cell>
          <cell r="F341">
            <v>0</v>
          </cell>
          <cell r="G341">
            <v>0</v>
          </cell>
          <cell r="H341">
            <v>0</v>
          </cell>
          <cell r="I341">
            <v>0.25</v>
          </cell>
          <cell r="J341">
            <v>0.8</v>
          </cell>
          <cell r="K341">
            <v>1.05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4</v>
          </cell>
        </row>
        <row r="342">
          <cell r="B342">
            <v>160</v>
          </cell>
          <cell r="C342">
            <v>3</v>
          </cell>
          <cell r="D342">
            <v>11.13</v>
          </cell>
          <cell r="E342">
            <v>1.25</v>
          </cell>
          <cell r="F342">
            <v>0</v>
          </cell>
          <cell r="G342">
            <v>0</v>
          </cell>
          <cell r="H342">
            <v>0</v>
          </cell>
          <cell r="I342">
            <v>0.3</v>
          </cell>
          <cell r="J342">
            <v>1.5</v>
          </cell>
          <cell r="K342">
            <v>1.8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4</v>
          </cell>
        </row>
        <row r="343">
          <cell r="B343">
            <v>160</v>
          </cell>
          <cell r="C343">
            <v>4</v>
          </cell>
          <cell r="D343">
            <v>13.49</v>
          </cell>
          <cell r="E343">
            <v>1.25</v>
          </cell>
          <cell r="F343">
            <v>0</v>
          </cell>
          <cell r="G343">
            <v>0</v>
          </cell>
          <cell r="H343">
            <v>0</v>
          </cell>
          <cell r="I343">
            <v>0.41</v>
          </cell>
          <cell r="J343">
            <v>2.59</v>
          </cell>
          <cell r="K343">
            <v>3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4</v>
          </cell>
        </row>
        <row r="344">
          <cell r="B344">
            <v>160</v>
          </cell>
          <cell r="C344">
            <v>5</v>
          </cell>
          <cell r="D344">
            <v>15.88</v>
          </cell>
          <cell r="E344">
            <v>1.5</v>
          </cell>
          <cell r="F344">
            <v>0</v>
          </cell>
          <cell r="G344">
            <v>0</v>
          </cell>
          <cell r="H344">
            <v>0</v>
          </cell>
          <cell r="I344">
            <v>0.51</v>
          </cell>
          <cell r="J344">
            <v>4.29</v>
          </cell>
          <cell r="K344">
            <v>4.8</v>
          </cell>
          <cell r="L344">
            <v>4</v>
          </cell>
          <cell r="M344">
            <v>0</v>
          </cell>
          <cell r="N344">
            <v>0</v>
          </cell>
          <cell r="O344">
            <v>160</v>
          </cell>
          <cell r="P344">
            <v>4</v>
          </cell>
          <cell r="Q344">
            <v>0</v>
          </cell>
          <cell r="R344">
            <v>7.2784507436844332E-312</v>
          </cell>
        </row>
        <row r="345">
          <cell r="B345">
            <v>160</v>
          </cell>
          <cell r="C345">
            <v>6</v>
          </cell>
          <cell r="D345">
            <v>18.260000000000002</v>
          </cell>
          <cell r="E345">
            <v>1.5</v>
          </cell>
          <cell r="F345">
            <v>0</v>
          </cell>
          <cell r="G345">
            <v>0</v>
          </cell>
          <cell r="H345">
            <v>0</v>
          </cell>
          <cell r="I345">
            <v>0.61</v>
          </cell>
          <cell r="J345">
            <v>7.04</v>
          </cell>
          <cell r="K345">
            <v>7.65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4</v>
          </cell>
        </row>
        <row r="346">
          <cell r="B346">
            <v>160</v>
          </cell>
          <cell r="C346">
            <v>8</v>
          </cell>
          <cell r="D346">
            <v>23.01</v>
          </cell>
          <cell r="E346">
            <v>2</v>
          </cell>
          <cell r="F346">
            <v>0</v>
          </cell>
          <cell r="G346">
            <v>0</v>
          </cell>
          <cell r="H346">
            <v>0</v>
          </cell>
          <cell r="I346">
            <v>0.81</v>
          </cell>
          <cell r="J346">
            <v>11.19</v>
          </cell>
          <cell r="K346">
            <v>12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4</v>
          </cell>
        </row>
        <row r="347">
          <cell r="B347">
            <v>160</v>
          </cell>
          <cell r="C347">
            <v>10</v>
          </cell>
          <cell r="D347">
            <v>28.58</v>
          </cell>
          <cell r="E347" t="str">
            <v>N</v>
          </cell>
          <cell r="F347">
            <v>0</v>
          </cell>
          <cell r="G347">
            <v>0</v>
          </cell>
          <cell r="H347">
            <v>0</v>
          </cell>
          <cell r="I347">
            <v>1.01</v>
          </cell>
          <cell r="J347">
            <v>21.48</v>
          </cell>
          <cell r="K347">
            <v>22.490000000000002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4</v>
          </cell>
        </row>
        <row r="348">
          <cell r="B348">
            <v>160</v>
          </cell>
          <cell r="C348">
            <v>12</v>
          </cell>
          <cell r="D348">
            <v>33.32</v>
          </cell>
          <cell r="E348" t="str">
            <v>N</v>
          </cell>
          <cell r="F348">
            <v>0</v>
          </cell>
          <cell r="G348">
            <v>0</v>
          </cell>
          <cell r="H348">
            <v>0</v>
          </cell>
          <cell r="I348">
            <v>1.22</v>
          </cell>
          <cell r="J348">
            <v>31.78</v>
          </cell>
          <cell r="K348">
            <v>33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6</v>
          </cell>
        </row>
        <row r="349">
          <cell r="B349">
            <v>160</v>
          </cell>
          <cell r="C349">
            <v>14</v>
          </cell>
          <cell r="D349">
            <v>35.71</v>
          </cell>
          <cell r="E349" t="str">
            <v>N</v>
          </cell>
          <cell r="F349">
            <v>0</v>
          </cell>
          <cell r="G349">
            <v>0</v>
          </cell>
          <cell r="H349">
            <v>0</v>
          </cell>
          <cell r="I349">
            <v>1.42</v>
          </cell>
          <cell r="J349">
            <v>39.07</v>
          </cell>
          <cell r="K349">
            <v>40.49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6</v>
          </cell>
        </row>
        <row r="350">
          <cell r="A350">
            <v>160</v>
          </cell>
          <cell r="B350">
            <v>160</v>
          </cell>
          <cell r="C350">
            <v>16</v>
          </cell>
          <cell r="D350">
            <v>40.49</v>
          </cell>
          <cell r="E350" t="str">
            <v>N</v>
          </cell>
          <cell r="F350">
            <v>0</v>
          </cell>
          <cell r="G350">
            <v>0</v>
          </cell>
          <cell r="H350">
            <v>0</v>
          </cell>
          <cell r="I350">
            <v>1.62</v>
          </cell>
          <cell r="J350">
            <v>53.88</v>
          </cell>
          <cell r="K350">
            <v>55.5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6</v>
          </cell>
        </row>
        <row r="351">
          <cell r="B351">
            <v>160</v>
          </cell>
          <cell r="C351">
            <v>18</v>
          </cell>
          <cell r="D351">
            <v>45.24</v>
          </cell>
          <cell r="E351" t="str">
            <v>N</v>
          </cell>
          <cell r="F351">
            <v>0</v>
          </cell>
          <cell r="G351">
            <v>0</v>
          </cell>
          <cell r="H351">
            <v>0</v>
          </cell>
          <cell r="I351">
            <v>1.82</v>
          </cell>
          <cell r="J351">
            <v>71.680000000000007</v>
          </cell>
          <cell r="K351">
            <v>73.5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6</v>
          </cell>
        </row>
        <row r="352">
          <cell r="B352">
            <v>160</v>
          </cell>
          <cell r="C352">
            <v>20</v>
          </cell>
          <cell r="D352">
            <v>50.01</v>
          </cell>
          <cell r="E352" t="str">
            <v>N</v>
          </cell>
          <cell r="F352">
            <v>0</v>
          </cell>
          <cell r="G352">
            <v>0</v>
          </cell>
          <cell r="H352">
            <v>0</v>
          </cell>
          <cell r="I352">
            <v>2.0299999999999998</v>
          </cell>
          <cell r="J352">
            <v>93.97</v>
          </cell>
          <cell r="K352">
            <v>96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7</v>
          </cell>
        </row>
        <row r="353">
          <cell r="B353">
            <v>160</v>
          </cell>
          <cell r="C353">
            <v>22</v>
          </cell>
          <cell r="D353">
            <v>53.98</v>
          </cell>
          <cell r="E353" t="str">
            <v>N</v>
          </cell>
          <cell r="F353">
            <v>0</v>
          </cell>
          <cell r="G353">
            <v>0</v>
          </cell>
          <cell r="H353">
            <v>0</v>
          </cell>
          <cell r="I353">
            <v>2.23</v>
          </cell>
          <cell r="J353">
            <v>132.77000000000001</v>
          </cell>
          <cell r="K353">
            <v>135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8</v>
          </cell>
        </row>
        <row r="354">
          <cell r="B354">
            <v>160</v>
          </cell>
          <cell r="C354">
            <v>24</v>
          </cell>
          <cell r="D354">
            <v>59.54</v>
          </cell>
          <cell r="E354" t="str">
            <v>N</v>
          </cell>
          <cell r="F354">
            <v>0</v>
          </cell>
          <cell r="G354">
            <v>0</v>
          </cell>
          <cell r="H354">
            <v>0</v>
          </cell>
          <cell r="I354">
            <v>2.4300000000000002</v>
          </cell>
          <cell r="J354">
            <v>162.56</v>
          </cell>
          <cell r="K354">
            <v>164.99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8</v>
          </cell>
        </row>
        <row r="355">
          <cell r="B355" t="str">
            <v>STD</v>
          </cell>
          <cell r="C355">
            <v>0.125</v>
          </cell>
          <cell r="D355">
            <v>1.73</v>
          </cell>
          <cell r="E355">
            <v>1</v>
          </cell>
          <cell r="F355">
            <v>0</v>
          </cell>
          <cell r="G355">
            <v>0</v>
          </cell>
          <cell r="H355">
            <v>0</v>
          </cell>
          <cell r="I355">
            <v>7.0000000000000007E-2</v>
          </cell>
          <cell r="J355">
            <v>0</v>
          </cell>
          <cell r="K355">
            <v>7.0000000000000007E-2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2</v>
          </cell>
        </row>
        <row r="356">
          <cell r="B356" t="str">
            <v>STD</v>
          </cell>
          <cell r="C356">
            <v>0.125</v>
          </cell>
          <cell r="D356">
            <v>1.73</v>
          </cell>
          <cell r="E356">
            <v>1</v>
          </cell>
          <cell r="F356">
            <v>0</v>
          </cell>
          <cell r="G356">
            <v>0</v>
          </cell>
          <cell r="H356">
            <v>0</v>
          </cell>
          <cell r="I356">
            <v>7.0000000000000007E-2</v>
          </cell>
          <cell r="J356">
            <v>0</v>
          </cell>
          <cell r="K356">
            <v>7.0000000000000007E-2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2</v>
          </cell>
        </row>
        <row r="357">
          <cell r="B357" t="str">
            <v>STD</v>
          </cell>
          <cell r="C357">
            <v>0.125</v>
          </cell>
          <cell r="D357">
            <v>1.73</v>
          </cell>
          <cell r="E357">
            <v>1</v>
          </cell>
          <cell r="F357">
            <v>0</v>
          </cell>
          <cell r="G357">
            <v>0</v>
          </cell>
          <cell r="H357">
            <v>0</v>
          </cell>
          <cell r="I357">
            <v>7.0000000000000007E-2</v>
          </cell>
          <cell r="J357">
            <v>0</v>
          </cell>
          <cell r="K357">
            <v>7.0000000000000007E-2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2</v>
          </cell>
        </row>
        <row r="358">
          <cell r="B358" t="str">
            <v>STD</v>
          </cell>
          <cell r="C358">
            <v>0.25</v>
          </cell>
          <cell r="D358">
            <v>2.2400000000000002</v>
          </cell>
          <cell r="E358">
            <v>1</v>
          </cell>
          <cell r="F358">
            <v>0</v>
          </cell>
          <cell r="G358">
            <v>0</v>
          </cell>
          <cell r="H358">
            <v>0</v>
          </cell>
          <cell r="I358">
            <v>7.0000000000000007E-2</v>
          </cell>
          <cell r="J358">
            <v>0</v>
          </cell>
          <cell r="K358">
            <v>7.0000000000000007E-2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2</v>
          </cell>
        </row>
        <row r="359">
          <cell r="B359" t="str">
            <v>STD</v>
          </cell>
          <cell r="C359">
            <v>0.25</v>
          </cell>
          <cell r="D359">
            <v>2.2400000000000002</v>
          </cell>
          <cell r="E359">
            <v>1</v>
          </cell>
          <cell r="F359">
            <v>0</v>
          </cell>
          <cell r="G359">
            <v>0</v>
          </cell>
          <cell r="H359">
            <v>0</v>
          </cell>
          <cell r="I359">
            <v>7.0000000000000007E-2</v>
          </cell>
          <cell r="J359">
            <v>0</v>
          </cell>
          <cell r="K359">
            <v>7.0000000000000007E-2</v>
          </cell>
          <cell r="L359">
            <v>0</v>
          </cell>
          <cell r="M359">
            <v>0</v>
          </cell>
          <cell r="N359">
            <v>0</v>
          </cell>
          <cell r="O359">
            <v>0</v>
          </cell>
          <cell r="P359">
            <v>2</v>
          </cell>
        </row>
        <row r="360">
          <cell r="B360" t="str">
            <v>STD</v>
          </cell>
          <cell r="C360">
            <v>0.25</v>
          </cell>
          <cell r="D360">
            <v>2.2400000000000002</v>
          </cell>
          <cell r="E360">
            <v>1</v>
          </cell>
          <cell r="F360">
            <v>0</v>
          </cell>
          <cell r="G360">
            <v>0</v>
          </cell>
          <cell r="H360">
            <v>0</v>
          </cell>
          <cell r="I360">
            <v>7.0000000000000007E-2</v>
          </cell>
          <cell r="J360">
            <v>0</v>
          </cell>
          <cell r="K360">
            <v>7.0000000000000007E-2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2</v>
          </cell>
        </row>
        <row r="361">
          <cell r="B361" t="str">
            <v>STD</v>
          </cell>
          <cell r="C361">
            <v>0.375</v>
          </cell>
          <cell r="D361">
            <v>2.31</v>
          </cell>
          <cell r="E361">
            <v>1</v>
          </cell>
          <cell r="F361">
            <v>0</v>
          </cell>
          <cell r="G361">
            <v>0</v>
          </cell>
          <cell r="H361">
            <v>0</v>
          </cell>
          <cell r="I361">
            <v>7.0000000000000007E-2</v>
          </cell>
          <cell r="J361">
            <v>0</v>
          </cell>
          <cell r="K361">
            <v>7.0000000000000007E-2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2</v>
          </cell>
        </row>
        <row r="362">
          <cell r="B362" t="str">
            <v>STD</v>
          </cell>
          <cell r="C362">
            <v>0.375</v>
          </cell>
          <cell r="D362">
            <v>2.31</v>
          </cell>
          <cell r="E362">
            <v>1</v>
          </cell>
          <cell r="F362">
            <v>0</v>
          </cell>
          <cell r="G362">
            <v>0</v>
          </cell>
          <cell r="H362">
            <v>0</v>
          </cell>
          <cell r="I362">
            <v>7.0000000000000007E-2</v>
          </cell>
          <cell r="J362">
            <v>0</v>
          </cell>
          <cell r="K362">
            <v>7.0000000000000007E-2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2</v>
          </cell>
        </row>
        <row r="363">
          <cell r="B363" t="str">
            <v>STD</v>
          </cell>
          <cell r="C363">
            <v>0.375</v>
          </cell>
          <cell r="D363">
            <v>2.31</v>
          </cell>
          <cell r="E363">
            <v>1</v>
          </cell>
          <cell r="F363">
            <v>0</v>
          </cell>
          <cell r="G363">
            <v>0</v>
          </cell>
          <cell r="H363">
            <v>0</v>
          </cell>
          <cell r="I363">
            <v>7.0000000000000007E-2</v>
          </cell>
          <cell r="J363">
            <v>0</v>
          </cell>
          <cell r="K363">
            <v>7.0000000000000007E-2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2</v>
          </cell>
        </row>
        <row r="364">
          <cell r="B364" t="str">
            <v>STD</v>
          </cell>
          <cell r="C364">
            <v>0.5</v>
          </cell>
          <cell r="D364">
            <v>2.77</v>
          </cell>
          <cell r="E364">
            <v>1</v>
          </cell>
          <cell r="F364">
            <v>0</v>
          </cell>
          <cell r="G364">
            <v>0</v>
          </cell>
          <cell r="H364">
            <v>0</v>
          </cell>
          <cell r="I364">
            <v>7.0000000000000007E-2</v>
          </cell>
          <cell r="J364">
            <v>0</v>
          </cell>
          <cell r="K364">
            <v>7.0000000000000007E-2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2</v>
          </cell>
        </row>
        <row r="365">
          <cell r="B365" t="str">
            <v>STD</v>
          </cell>
          <cell r="C365">
            <v>0.5</v>
          </cell>
          <cell r="D365">
            <v>2.77</v>
          </cell>
          <cell r="E365">
            <v>1</v>
          </cell>
          <cell r="F365">
            <v>0</v>
          </cell>
          <cell r="G365">
            <v>0</v>
          </cell>
          <cell r="H365">
            <v>0</v>
          </cell>
          <cell r="I365">
            <v>7.0000000000000007E-2</v>
          </cell>
          <cell r="J365">
            <v>0</v>
          </cell>
          <cell r="K365">
            <v>7.0000000000000007E-2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2</v>
          </cell>
        </row>
        <row r="366">
          <cell r="B366" t="str">
            <v>STD</v>
          </cell>
          <cell r="C366">
            <v>0.5</v>
          </cell>
          <cell r="D366">
            <v>2.77</v>
          </cell>
          <cell r="E366">
            <v>1</v>
          </cell>
          <cell r="F366">
            <v>0</v>
          </cell>
          <cell r="G366">
            <v>0</v>
          </cell>
          <cell r="H366">
            <v>0</v>
          </cell>
          <cell r="I366">
            <v>7.0000000000000007E-2</v>
          </cell>
          <cell r="J366">
            <v>0</v>
          </cell>
          <cell r="K366">
            <v>7.0000000000000007E-2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2</v>
          </cell>
        </row>
        <row r="367">
          <cell r="B367" t="str">
            <v>STD</v>
          </cell>
          <cell r="C367">
            <v>0.75</v>
          </cell>
          <cell r="D367">
            <v>2.87</v>
          </cell>
          <cell r="E367">
            <v>1</v>
          </cell>
          <cell r="F367">
            <v>0</v>
          </cell>
          <cell r="G367">
            <v>0</v>
          </cell>
          <cell r="H367">
            <v>0</v>
          </cell>
          <cell r="I367">
            <v>7.0000000000000007E-2</v>
          </cell>
          <cell r="J367">
            <v>0</v>
          </cell>
          <cell r="K367">
            <v>7.0000000000000007E-2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2</v>
          </cell>
        </row>
        <row r="368">
          <cell r="B368" t="str">
            <v>STD</v>
          </cell>
          <cell r="C368">
            <v>0.75</v>
          </cell>
          <cell r="D368">
            <v>2.87</v>
          </cell>
          <cell r="E368">
            <v>1</v>
          </cell>
          <cell r="F368">
            <v>0</v>
          </cell>
          <cell r="G368">
            <v>0</v>
          </cell>
          <cell r="H368">
            <v>0</v>
          </cell>
          <cell r="I368">
            <v>7.0000000000000007E-2</v>
          </cell>
          <cell r="J368">
            <v>0</v>
          </cell>
          <cell r="K368">
            <v>7.0000000000000007E-2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2</v>
          </cell>
        </row>
        <row r="369">
          <cell r="B369" t="str">
            <v>STD</v>
          </cell>
          <cell r="C369">
            <v>0.75</v>
          </cell>
          <cell r="D369">
            <v>2.87</v>
          </cell>
          <cell r="E369">
            <v>1</v>
          </cell>
          <cell r="F369">
            <v>0</v>
          </cell>
          <cell r="G369">
            <v>0</v>
          </cell>
          <cell r="H369">
            <v>0</v>
          </cell>
          <cell r="I369">
            <v>7.0000000000000007E-2</v>
          </cell>
          <cell r="J369">
            <v>0</v>
          </cell>
          <cell r="K369">
            <v>7.0000000000000007E-2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2</v>
          </cell>
        </row>
        <row r="370">
          <cell r="B370" t="str">
            <v>STD</v>
          </cell>
          <cell r="C370">
            <v>1</v>
          </cell>
          <cell r="D370">
            <v>3.38</v>
          </cell>
          <cell r="E370">
            <v>1</v>
          </cell>
          <cell r="F370">
            <v>0</v>
          </cell>
          <cell r="G370">
            <v>0</v>
          </cell>
          <cell r="H370">
            <v>0</v>
          </cell>
          <cell r="I370">
            <v>0.12</v>
          </cell>
          <cell r="J370">
            <v>0</v>
          </cell>
          <cell r="K370">
            <v>0.12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2</v>
          </cell>
        </row>
        <row r="371">
          <cell r="B371" t="str">
            <v>STD</v>
          </cell>
          <cell r="C371">
            <v>1</v>
          </cell>
          <cell r="D371">
            <v>3.38</v>
          </cell>
          <cell r="E371">
            <v>1</v>
          </cell>
          <cell r="F371">
            <v>0</v>
          </cell>
          <cell r="G371">
            <v>0</v>
          </cell>
          <cell r="H371">
            <v>0</v>
          </cell>
          <cell r="I371">
            <v>0.12</v>
          </cell>
          <cell r="J371">
            <v>0</v>
          </cell>
          <cell r="K371">
            <v>0.12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2</v>
          </cell>
        </row>
        <row r="372">
          <cell r="B372" t="str">
            <v>STD</v>
          </cell>
          <cell r="C372">
            <v>1</v>
          </cell>
          <cell r="D372">
            <v>3.38</v>
          </cell>
          <cell r="E372">
            <v>1</v>
          </cell>
          <cell r="F372">
            <v>0</v>
          </cell>
          <cell r="G372">
            <v>0</v>
          </cell>
          <cell r="H372">
            <v>0</v>
          </cell>
          <cell r="I372">
            <v>0.12</v>
          </cell>
          <cell r="J372">
            <v>0</v>
          </cell>
          <cell r="K372">
            <v>0.12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2</v>
          </cell>
        </row>
        <row r="373">
          <cell r="B373" t="str">
            <v>STD</v>
          </cell>
          <cell r="C373">
            <v>1.25</v>
          </cell>
          <cell r="D373">
            <v>3.56</v>
          </cell>
          <cell r="E373">
            <v>1</v>
          </cell>
          <cell r="F373">
            <v>0</v>
          </cell>
          <cell r="G373">
            <v>0</v>
          </cell>
          <cell r="H373">
            <v>0</v>
          </cell>
          <cell r="I373">
            <v>0.15</v>
          </cell>
          <cell r="J373">
            <v>0</v>
          </cell>
          <cell r="K373">
            <v>0.15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2</v>
          </cell>
        </row>
        <row r="374">
          <cell r="B374" t="str">
            <v>STD</v>
          </cell>
          <cell r="C374">
            <v>1.25</v>
          </cell>
          <cell r="D374">
            <v>3.56</v>
          </cell>
          <cell r="E374">
            <v>1</v>
          </cell>
          <cell r="F374">
            <v>0</v>
          </cell>
          <cell r="G374">
            <v>0</v>
          </cell>
          <cell r="H374">
            <v>0</v>
          </cell>
          <cell r="I374">
            <v>0.15</v>
          </cell>
          <cell r="J374">
            <v>0</v>
          </cell>
          <cell r="K374">
            <v>0.15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2</v>
          </cell>
        </row>
        <row r="375">
          <cell r="B375" t="str">
            <v>STD</v>
          </cell>
          <cell r="C375">
            <v>1.25</v>
          </cell>
          <cell r="D375">
            <v>3.56</v>
          </cell>
          <cell r="E375">
            <v>1</v>
          </cell>
          <cell r="F375">
            <v>0</v>
          </cell>
          <cell r="G375">
            <v>0</v>
          </cell>
          <cell r="H375">
            <v>0</v>
          </cell>
          <cell r="I375">
            <v>0.15</v>
          </cell>
          <cell r="J375">
            <v>0</v>
          </cell>
          <cell r="K375">
            <v>0.15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2</v>
          </cell>
        </row>
        <row r="376">
          <cell r="B376" t="str">
            <v>STD</v>
          </cell>
          <cell r="C376">
            <v>1.5</v>
          </cell>
          <cell r="D376">
            <v>3.68</v>
          </cell>
          <cell r="E376">
            <v>1</v>
          </cell>
          <cell r="F376">
            <v>0</v>
          </cell>
          <cell r="G376">
            <v>0</v>
          </cell>
          <cell r="H376">
            <v>0</v>
          </cell>
          <cell r="I376">
            <v>0.15</v>
          </cell>
          <cell r="J376">
            <v>0</v>
          </cell>
          <cell r="K376">
            <v>0.15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2</v>
          </cell>
        </row>
        <row r="377">
          <cell r="B377" t="str">
            <v>STD</v>
          </cell>
          <cell r="C377">
            <v>1.5</v>
          </cell>
          <cell r="D377">
            <v>3.68</v>
          </cell>
          <cell r="E377">
            <v>1</v>
          </cell>
          <cell r="F377">
            <v>0</v>
          </cell>
          <cell r="G377">
            <v>0</v>
          </cell>
          <cell r="H377">
            <v>0</v>
          </cell>
          <cell r="I377">
            <v>0.15</v>
          </cell>
          <cell r="J377">
            <v>0</v>
          </cell>
          <cell r="K377">
            <v>0.15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2</v>
          </cell>
        </row>
        <row r="378">
          <cell r="B378" t="str">
            <v>STD</v>
          </cell>
          <cell r="C378">
            <v>1.5</v>
          </cell>
          <cell r="D378">
            <v>3.68</v>
          </cell>
          <cell r="E378">
            <v>1</v>
          </cell>
          <cell r="F378">
            <v>0</v>
          </cell>
          <cell r="G378">
            <v>0</v>
          </cell>
          <cell r="H378">
            <v>0</v>
          </cell>
          <cell r="I378">
            <v>0.15</v>
          </cell>
          <cell r="J378">
            <v>0</v>
          </cell>
          <cell r="K378">
            <v>0.15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2</v>
          </cell>
        </row>
        <row r="379">
          <cell r="B379" t="str">
            <v>STD</v>
          </cell>
          <cell r="C379">
            <v>2</v>
          </cell>
          <cell r="D379">
            <v>3.91</v>
          </cell>
          <cell r="E379">
            <v>1</v>
          </cell>
          <cell r="F379">
            <v>0</v>
          </cell>
          <cell r="G379">
            <v>0</v>
          </cell>
          <cell r="H379">
            <v>0</v>
          </cell>
          <cell r="I379">
            <v>0.3</v>
          </cell>
          <cell r="J379">
            <v>0</v>
          </cell>
          <cell r="K379">
            <v>0.3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2</v>
          </cell>
        </row>
        <row r="380">
          <cell r="B380" t="str">
            <v>STD</v>
          </cell>
          <cell r="C380">
            <v>2</v>
          </cell>
          <cell r="D380">
            <v>3.91</v>
          </cell>
          <cell r="E380">
            <v>1</v>
          </cell>
          <cell r="F380">
            <v>0</v>
          </cell>
          <cell r="G380">
            <v>0</v>
          </cell>
          <cell r="H380">
            <v>0</v>
          </cell>
          <cell r="I380">
            <v>0.3</v>
          </cell>
          <cell r="J380">
            <v>0</v>
          </cell>
          <cell r="K380">
            <v>0.3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2</v>
          </cell>
        </row>
        <row r="381">
          <cell r="B381" t="str">
            <v>STD</v>
          </cell>
          <cell r="C381">
            <v>2</v>
          </cell>
          <cell r="D381">
            <v>3.91</v>
          </cell>
          <cell r="E381">
            <v>1</v>
          </cell>
          <cell r="F381">
            <v>0</v>
          </cell>
          <cell r="G381">
            <v>0</v>
          </cell>
          <cell r="H381">
            <v>0</v>
          </cell>
          <cell r="I381">
            <v>0.3</v>
          </cell>
          <cell r="J381">
            <v>0</v>
          </cell>
          <cell r="K381">
            <v>0.3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2</v>
          </cell>
        </row>
        <row r="382">
          <cell r="B382" t="str">
            <v>STD</v>
          </cell>
          <cell r="C382">
            <v>2.5</v>
          </cell>
          <cell r="D382">
            <v>5.16</v>
          </cell>
          <cell r="E382">
            <v>1</v>
          </cell>
          <cell r="F382">
            <v>0</v>
          </cell>
          <cell r="G382">
            <v>0</v>
          </cell>
          <cell r="H382">
            <v>0</v>
          </cell>
          <cell r="I382">
            <v>0.25</v>
          </cell>
          <cell r="J382">
            <v>0.2</v>
          </cell>
          <cell r="K382">
            <v>0.45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2</v>
          </cell>
        </row>
        <row r="383">
          <cell r="B383" t="str">
            <v>STD</v>
          </cell>
          <cell r="C383">
            <v>3</v>
          </cell>
          <cell r="D383">
            <v>5.49</v>
          </cell>
          <cell r="E383">
            <v>1</v>
          </cell>
          <cell r="F383">
            <v>0</v>
          </cell>
          <cell r="G383">
            <v>0</v>
          </cell>
          <cell r="H383">
            <v>0</v>
          </cell>
          <cell r="I383">
            <v>0.3</v>
          </cell>
          <cell r="J383">
            <v>0.3</v>
          </cell>
          <cell r="K383">
            <v>0.6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2</v>
          </cell>
        </row>
        <row r="384">
          <cell r="B384" t="str">
            <v>STD</v>
          </cell>
          <cell r="C384">
            <v>3.5</v>
          </cell>
          <cell r="D384">
            <v>5.74</v>
          </cell>
          <cell r="E384">
            <v>1</v>
          </cell>
          <cell r="F384">
            <v>0</v>
          </cell>
          <cell r="G384">
            <v>0</v>
          </cell>
          <cell r="H384">
            <v>0</v>
          </cell>
          <cell r="I384">
            <v>0.35</v>
          </cell>
          <cell r="J384">
            <v>0.4</v>
          </cell>
          <cell r="K384">
            <v>0.75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3</v>
          </cell>
        </row>
        <row r="385">
          <cell r="B385" t="str">
            <v>STD</v>
          </cell>
          <cell r="C385">
            <v>4</v>
          </cell>
          <cell r="D385">
            <v>6.02</v>
          </cell>
          <cell r="E385">
            <v>1</v>
          </cell>
          <cell r="F385">
            <v>0</v>
          </cell>
          <cell r="G385">
            <v>0</v>
          </cell>
          <cell r="H385">
            <v>0</v>
          </cell>
          <cell r="I385">
            <v>0.41</v>
          </cell>
          <cell r="J385">
            <v>0.49</v>
          </cell>
          <cell r="K385">
            <v>0.89999999999999991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3</v>
          </cell>
        </row>
        <row r="386">
          <cell r="B386" t="str">
            <v>STD</v>
          </cell>
          <cell r="C386">
            <v>5</v>
          </cell>
          <cell r="D386">
            <v>6.55</v>
          </cell>
          <cell r="E386">
            <v>1</v>
          </cell>
          <cell r="F386">
            <v>0</v>
          </cell>
          <cell r="G386">
            <v>0</v>
          </cell>
          <cell r="H386">
            <v>0</v>
          </cell>
          <cell r="I386">
            <v>0.51</v>
          </cell>
          <cell r="J386">
            <v>0.54</v>
          </cell>
          <cell r="K386">
            <v>1.05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4</v>
          </cell>
        </row>
        <row r="387">
          <cell r="B387" t="str">
            <v>STD</v>
          </cell>
          <cell r="C387">
            <v>6</v>
          </cell>
          <cell r="D387">
            <v>7.11</v>
          </cell>
          <cell r="E387">
            <v>1</v>
          </cell>
          <cell r="F387">
            <v>0</v>
          </cell>
          <cell r="G387">
            <v>0</v>
          </cell>
          <cell r="H387">
            <v>0</v>
          </cell>
          <cell r="I387">
            <v>0.61</v>
          </cell>
          <cell r="J387">
            <v>1.04</v>
          </cell>
          <cell r="K387">
            <v>1.65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4</v>
          </cell>
        </row>
        <row r="388">
          <cell r="B388" t="str">
            <v>STD</v>
          </cell>
          <cell r="C388">
            <v>8</v>
          </cell>
          <cell r="D388">
            <v>8.18</v>
          </cell>
          <cell r="E388">
            <v>1</v>
          </cell>
          <cell r="F388">
            <v>0</v>
          </cell>
          <cell r="G388">
            <v>0</v>
          </cell>
          <cell r="H388">
            <v>0</v>
          </cell>
          <cell r="I388">
            <v>0.81</v>
          </cell>
          <cell r="J388">
            <v>1.73</v>
          </cell>
          <cell r="K388">
            <v>2.54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4</v>
          </cell>
        </row>
        <row r="389">
          <cell r="B389" t="str">
            <v>STD</v>
          </cell>
          <cell r="C389">
            <v>10</v>
          </cell>
          <cell r="D389">
            <v>9.27</v>
          </cell>
          <cell r="E389">
            <v>1</v>
          </cell>
          <cell r="F389">
            <v>0</v>
          </cell>
          <cell r="G389">
            <v>0</v>
          </cell>
          <cell r="H389">
            <v>0</v>
          </cell>
          <cell r="I389">
            <v>1.01</v>
          </cell>
          <cell r="J389">
            <v>3.04</v>
          </cell>
          <cell r="K389">
            <v>4.05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4</v>
          </cell>
        </row>
        <row r="390">
          <cell r="B390" t="str">
            <v>STD</v>
          </cell>
          <cell r="C390">
            <v>12</v>
          </cell>
          <cell r="D390">
            <v>9.5299999999999994</v>
          </cell>
          <cell r="E390">
            <v>1</v>
          </cell>
          <cell r="F390">
            <v>0</v>
          </cell>
          <cell r="G390">
            <v>0</v>
          </cell>
          <cell r="H390">
            <v>0</v>
          </cell>
          <cell r="I390">
            <v>1.22</v>
          </cell>
          <cell r="J390">
            <v>3.28</v>
          </cell>
          <cell r="K390">
            <v>4.5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6</v>
          </cell>
        </row>
        <row r="391">
          <cell r="B391" t="str">
            <v>STD</v>
          </cell>
          <cell r="C391">
            <v>14</v>
          </cell>
          <cell r="D391">
            <v>9.5299999999999994</v>
          </cell>
          <cell r="E391">
            <v>1</v>
          </cell>
          <cell r="F391">
            <v>0</v>
          </cell>
          <cell r="G391">
            <v>0</v>
          </cell>
          <cell r="H391">
            <v>0</v>
          </cell>
          <cell r="I391">
            <v>1.42</v>
          </cell>
          <cell r="J391">
            <v>3.97</v>
          </cell>
          <cell r="K391">
            <v>5.3900000000000006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6</v>
          </cell>
        </row>
        <row r="392">
          <cell r="B392" t="str">
            <v>STD</v>
          </cell>
          <cell r="C392">
            <v>16</v>
          </cell>
          <cell r="D392">
            <v>9.5299999999999994</v>
          </cell>
          <cell r="E392">
            <v>1</v>
          </cell>
          <cell r="F392">
            <v>0</v>
          </cell>
          <cell r="G392">
            <v>0</v>
          </cell>
          <cell r="H392">
            <v>0</v>
          </cell>
          <cell r="I392">
            <v>1.62</v>
          </cell>
          <cell r="J392">
            <v>4.68</v>
          </cell>
          <cell r="K392">
            <v>6.3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6</v>
          </cell>
        </row>
        <row r="393">
          <cell r="B393" t="str">
            <v>STD</v>
          </cell>
          <cell r="C393">
            <v>18</v>
          </cell>
          <cell r="D393">
            <v>9.5299999999999994</v>
          </cell>
          <cell r="E393">
            <v>1</v>
          </cell>
          <cell r="F393">
            <v>0</v>
          </cell>
          <cell r="G393">
            <v>0</v>
          </cell>
          <cell r="H393">
            <v>0</v>
          </cell>
          <cell r="I393">
            <v>1.82</v>
          </cell>
          <cell r="J393">
            <v>5.38</v>
          </cell>
          <cell r="K393">
            <v>7.2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6</v>
          </cell>
        </row>
        <row r="394">
          <cell r="B394" t="str">
            <v>STD</v>
          </cell>
          <cell r="C394">
            <v>20</v>
          </cell>
          <cell r="D394">
            <v>9.5299999999999994</v>
          </cell>
          <cell r="E394">
            <v>1</v>
          </cell>
          <cell r="F394">
            <v>0</v>
          </cell>
          <cell r="G394">
            <v>0</v>
          </cell>
          <cell r="H394">
            <v>0</v>
          </cell>
          <cell r="I394">
            <v>2.0299999999999998</v>
          </cell>
          <cell r="J394">
            <v>5.47</v>
          </cell>
          <cell r="K394">
            <v>7.5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7</v>
          </cell>
        </row>
        <row r="395">
          <cell r="B395" t="str">
            <v>STD</v>
          </cell>
          <cell r="C395">
            <v>22</v>
          </cell>
          <cell r="D395">
            <v>9.5299999999999994</v>
          </cell>
          <cell r="E395">
            <v>1</v>
          </cell>
          <cell r="F395">
            <v>0</v>
          </cell>
          <cell r="G395">
            <v>0</v>
          </cell>
          <cell r="H395">
            <v>0</v>
          </cell>
          <cell r="I395">
            <v>2.23</v>
          </cell>
          <cell r="J395">
            <v>6.47</v>
          </cell>
          <cell r="K395">
            <v>8.6999999999999993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8</v>
          </cell>
        </row>
        <row r="396">
          <cell r="B396" t="str">
            <v>STD</v>
          </cell>
          <cell r="C396">
            <v>24</v>
          </cell>
          <cell r="D396">
            <v>9.5299999999999994</v>
          </cell>
          <cell r="E396">
            <v>1</v>
          </cell>
          <cell r="F396">
            <v>0</v>
          </cell>
          <cell r="G396">
            <v>0</v>
          </cell>
          <cell r="H396">
            <v>0</v>
          </cell>
          <cell r="I396">
            <v>2.4300000000000002</v>
          </cell>
          <cell r="J396">
            <v>6.57</v>
          </cell>
          <cell r="K396">
            <v>9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8</v>
          </cell>
        </row>
        <row r="397">
          <cell r="B397" t="str">
            <v>STD</v>
          </cell>
          <cell r="C397">
            <v>26</v>
          </cell>
          <cell r="D397">
            <v>9.5299999999999994</v>
          </cell>
          <cell r="E397">
            <v>1</v>
          </cell>
          <cell r="F397">
            <v>0</v>
          </cell>
          <cell r="G397">
            <v>0</v>
          </cell>
          <cell r="H397">
            <v>0</v>
          </cell>
          <cell r="I397">
            <v>2.64</v>
          </cell>
          <cell r="J397">
            <v>7.7</v>
          </cell>
          <cell r="K397">
            <v>10.34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9</v>
          </cell>
        </row>
        <row r="398">
          <cell r="B398" t="str">
            <v>STD</v>
          </cell>
          <cell r="C398">
            <v>28</v>
          </cell>
          <cell r="D398">
            <v>9.5299999999999994</v>
          </cell>
          <cell r="E398">
            <v>1</v>
          </cell>
          <cell r="F398">
            <v>0</v>
          </cell>
          <cell r="G398">
            <v>0</v>
          </cell>
          <cell r="H398">
            <v>0</v>
          </cell>
          <cell r="I398">
            <v>2.84</v>
          </cell>
          <cell r="J398">
            <v>8.25</v>
          </cell>
          <cell r="K398">
            <v>11.09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9</v>
          </cell>
        </row>
        <row r="399">
          <cell r="B399" t="str">
            <v>STD</v>
          </cell>
          <cell r="C399">
            <v>30</v>
          </cell>
          <cell r="D399">
            <v>9.5299999999999994</v>
          </cell>
          <cell r="E399">
            <v>1</v>
          </cell>
          <cell r="F399">
            <v>0</v>
          </cell>
          <cell r="G399">
            <v>0</v>
          </cell>
          <cell r="H399">
            <v>0</v>
          </cell>
          <cell r="I399">
            <v>3.04</v>
          </cell>
          <cell r="J399">
            <v>8.9600000000000009</v>
          </cell>
          <cell r="K399">
            <v>12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10</v>
          </cell>
        </row>
        <row r="400">
          <cell r="B400" t="str">
            <v>STD</v>
          </cell>
          <cell r="C400">
            <v>32</v>
          </cell>
          <cell r="D400">
            <v>9.5299999999999994</v>
          </cell>
          <cell r="E400">
            <v>1</v>
          </cell>
          <cell r="F400">
            <v>0</v>
          </cell>
          <cell r="G400">
            <v>0</v>
          </cell>
          <cell r="H400">
            <v>0</v>
          </cell>
          <cell r="I400">
            <v>3.24</v>
          </cell>
          <cell r="J400">
            <v>9.51</v>
          </cell>
          <cell r="K400">
            <v>12.75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11</v>
          </cell>
        </row>
        <row r="401">
          <cell r="B401" t="str">
            <v>STD</v>
          </cell>
          <cell r="C401">
            <v>34</v>
          </cell>
          <cell r="D401">
            <v>9.5299999999999994</v>
          </cell>
          <cell r="E401">
            <v>1</v>
          </cell>
          <cell r="F401">
            <v>0</v>
          </cell>
          <cell r="G401">
            <v>0</v>
          </cell>
          <cell r="H401">
            <v>0</v>
          </cell>
          <cell r="I401">
            <v>3.45</v>
          </cell>
          <cell r="J401">
            <v>10.050000000000001</v>
          </cell>
          <cell r="K401">
            <v>13.5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12</v>
          </cell>
        </row>
        <row r="402">
          <cell r="B402" t="str">
            <v>STD</v>
          </cell>
          <cell r="C402">
            <v>36</v>
          </cell>
          <cell r="D402">
            <v>9.5299999999999994</v>
          </cell>
          <cell r="E402">
            <v>1</v>
          </cell>
          <cell r="F402">
            <v>0</v>
          </cell>
          <cell r="G402">
            <v>0</v>
          </cell>
          <cell r="H402">
            <v>0</v>
          </cell>
          <cell r="I402">
            <v>3.65</v>
          </cell>
          <cell r="J402">
            <v>10.6</v>
          </cell>
          <cell r="K402">
            <v>14.25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12</v>
          </cell>
        </row>
        <row r="403">
          <cell r="B403" t="str">
            <v>STD</v>
          </cell>
          <cell r="C403">
            <v>38</v>
          </cell>
          <cell r="D403">
            <v>9.5299999999999994</v>
          </cell>
          <cell r="E403">
            <v>1</v>
          </cell>
          <cell r="F403">
            <v>0</v>
          </cell>
          <cell r="G403">
            <v>0</v>
          </cell>
          <cell r="H403">
            <v>0</v>
          </cell>
          <cell r="I403">
            <v>3.85</v>
          </cell>
          <cell r="J403">
            <v>11.23</v>
          </cell>
          <cell r="K403">
            <v>15.08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13</v>
          </cell>
        </row>
        <row r="404">
          <cell r="B404" t="str">
            <v>STD</v>
          </cell>
          <cell r="C404">
            <v>40</v>
          </cell>
          <cell r="D404">
            <v>9.5299999999999994</v>
          </cell>
          <cell r="E404">
            <v>1</v>
          </cell>
          <cell r="F404">
            <v>0</v>
          </cell>
          <cell r="G404">
            <v>0</v>
          </cell>
          <cell r="H404">
            <v>0</v>
          </cell>
          <cell r="I404">
            <v>4.0599999999999996</v>
          </cell>
          <cell r="J404">
            <v>11.66</v>
          </cell>
          <cell r="K404">
            <v>15.719999999999999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14</v>
          </cell>
        </row>
        <row r="405">
          <cell r="B405" t="str">
            <v>STD</v>
          </cell>
          <cell r="C405">
            <v>42</v>
          </cell>
          <cell r="D405">
            <v>9.5299999999999994</v>
          </cell>
          <cell r="E405">
            <v>1</v>
          </cell>
          <cell r="F405">
            <v>0</v>
          </cell>
          <cell r="G405">
            <v>0</v>
          </cell>
          <cell r="H405">
            <v>0</v>
          </cell>
          <cell r="I405">
            <v>4.26</v>
          </cell>
          <cell r="J405">
            <v>12.24</v>
          </cell>
          <cell r="K405">
            <v>16.5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14</v>
          </cell>
        </row>
        <row r="406">
          <cell r="B406" t="str">
            <v>STD</v>
          </cell>
          <cell r="C406">
            <v>44</v>
          </cell>
          <cell r="D406">
            <v>9.5299999999999994</v>
          </cell>
          <cell r="E406">
            <v>1</v>
          </cell>
          <cell r="F406">
            <v>0</v>
          </cell>
          <cell r="G406">
            <v>0</v>
          </cell>
          <cell r="H406">
            <v>0</v>
          </cell>
          <cell r="I406">
            <v>4.47</v>
          </cell>
          <cell r="J406">
            <v>17.54</v>
          </cell>
          <cell r="K406">
            <v>22.009999999999998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15</v>
          </cell>
        </row>
        <row r="407">
          <cell r="B407" t="str">
            <v>STD</v>
          </cell>
          <cell r="C407">
            <v>46</v>
          </cell>
          <cell r="D407">
            <v>9.5299999999999994</v>
          </cell>
          <cell r="E407">
            <v>1</v>
          </cell>
          <cell r="F407">
            <v>0</v>
          </cell>
          <cell r="G407">
            <v>0</v>
          </cell>
          <cell r="H407">
            <v>0</v>
          </cell>
          <cell r="I407">
            <v>4.67</v>
          </cell>
          <cell r="J407">
            <v>18.329999999999998</v>
          </cell>
          <cell r="K407">
            <v>23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16</v>
          </cell>
        </row>
        <row r="408">
          <cell r="B408" t="str">
            <v>STD</v>
          </cell>
          <cell r="C408">
            <v>48</v>
          </cell>
          <cell r="D408">
            <v>9.5299999999999994</v>
          </cell>
          <cell r="E408">
            <v>1</v>
          </cell>
          <cell r="F408">
            <v>0</v>
          </cell>
          <cell r="G408">
            <v>0</v>
          </cell>
          <cell r="H408">
            <v>0</v>
          </cell>
          <cell r="I408">
            <v>4.87</v>
          </cell>
          <cell r="J408">
            <v>19.13</v>
          </cell>
          <cell r="K408">
            <v>24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16</v>
          </cell>
        </row>
        <row r="409">
          <cell r="B409" t="str">
            <v xml:space="preserve">XS </v>
          </cell>
          <cell r="C409">
            <v>0.125</v>
          </cell>
          <cell r="D409">
            <v>2.41</v>
          </cell>
          <cell r="E409">
            <v>1</v>
          </cell>
          <cell r="F409">
            <v>0</v>
          </cell>
          <cell r="G409">
            <v>0</v>
          </cell>
          <cell r="H409">
            <v>0</v>
          </cell>
          <cell r="I409">
            <v>7.0000000000000007E-2</v>
          </cell>
          <cell r="J409">
            <v>0</v>
          </cell>
          <cell r="K409">
            <v>7.0000000000000007E-2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2</v>
          </cell>
        </row>
        <row r="410">
          <cell r="B410" t="str">
            <v xml:space="preserve">XS </v>
          </cell>
          <cell r="C410">
            <v>0.125</v>
          </cell>
          <cell r="D410">
            <v>2.41</v>
          </cell>
          <cell r="E410">
            <v>1</v>
          </cell>
          <cell r="F410">
            <v>0</v>
          </cell>
          <cell r="G410">
            <v>0</v>
          </cell>
          <cell r="H410">
            <v>0</v>
          </cell>
          <cell r="I410">
            <v>7.0000000000000007E-2</v>
          </cell>
          <cell r="J410">
            <v>0</v>
          </cell>
          <cell r="K410">
            <v>7.0000000000000007E-2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2</v>
          </cell>
        </row>
        <row r="411">
          <cell r="B411" t="str">
            <v xml:space="preserve">XS </v>
          </cell>
          <cell r="C411">
            <v>0.125</v>
          </cell>
          <cell r="D411">
            <v>2.41</v>
          </cell>
          <cell r="E411">
            <v>1</v>
          </cell>
          <cell r="F411">
            <v>0</v>
          </cell>
          <cell r="G411">
            <v>0</v>
          </cell>
          <cell r="H411">
            <v>0</v>
          </cell>
          <cell r="I411">
            <v>7.0000000000000007E-2</v>
          </cell>
          <cell r="J411">
            <v>0</v>
          </cell>
          <cell r="K411">
            <v>7.0000000000000007E-2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2</v>
          </cell>
        </row>
        <row r="412">
          <cell r="B412" t="str">
            <v xml:space="preserve">XS </v>
          </cell>
          <cell r="C412">
            <v>0.25</v>
          </cell>
          <cell r="D412">
            <v>3.02</v>
          </cell>
          <cell r="E412">
            <v>1</v>
          </cell>
          <cell r="F412">
            <v>0</v>
          </cell>
          <cell r="G412">
            <v>0</v>
          </cell>
          <cell r="H412">
            <v>0</v>
          </cell>
          <cell r="I412">
            <v>7.0000000000000007E-2</v>
          </cell>
          <cell r="J412">
            <v>0</v>
          </cell>
          <cell r="K412">
            <v>7.0000000000000007E-2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2</v>
          </cell>
        </row>
        <row r="413">
          <cell r="B413" t="str">
            <v xml:space="preserve">XS </v>
          </cell>
          <cell r="C413">
            <v>0.25</v>
          </cell>
          <cell r="D413">
            <v>3.02</v>
          </cell>
          <cell r="E413">
            <v>1</v>
          </cell>
          <cell r="F413">
            <v>0</v>
          </cell>
          <cell r="G413">
            <v>0</v>
          </cell>
          <cell r="H413">
            <v>0</v>
          </cell>
          <cell r="I413">
            <v>7.0000000000000007E-2</v>
          </cell>
          <cell r="J413">
            <v>0</v>
          </cell>
          <cell r="K413">
            <v>7.0000000000000007E-2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2</v>
          </cell>
        </row>
        <row r="414">
          <cell r="B414" t="str">
            <v xml:space="preserve">XS </v>
          </cell>
          <cell r="C414">
            <v>0.25</v>
          </cell>
          <cell r="D414">
            <v>3.02</v>
          </cell>
          <cell r="E414">
            <v>1</v>
          </cell>
          <cell r="F414">
            <v>0</v>
          </cell>
          <cell r="G414">
            <v>0</v>
          </cell>
          <cell r="H414">
            <v>0</v>
          </cell>
          <cell r="I414">
            <v>7.0000000000000007E-2</v>
          </cell>
          <cell r="J414">
            <v>0</v>
          </cell>
          <cell r="K414">
            <v>7.0000000000000007E-2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2</v>
          </cell>
        </row>
        <row r="415">
          <cell r="B415" t="str">
            <v xml:space="preserve">XS </v>
          </cell>
          <cell r="C415">
            <v>0.375</v>
          </cell>
          <cell r="D415">
            <v>3.2</v>
          </cell>
          <cell r="E415">
            <v>1</v>
          </cell>
          <cell r="F415">
            <v>0</v>
          </cell>
          <cell r="G415">
            <v>0</v>
          </cell>
          <cell r="H415">
            <v>0</v>
          </cell>
          <cell r="I415">
            <v>7.0000000000000007E-2</v>
          </cell>
          <cell r="J415">
            <v>0</v>
          </cell>
          <cell r="K415">
            <v>7.0000000000000007E-2</v>
          </cell>
          <cell r="L415">
            <v>2</v>
          </cell>
          <cell r="M415">
            <v>0</v>
          </cell>
          <cell r="N415">
            <v>8.8062877131794293E-312</v>
          </cell>
          <cell r="O415" t="str">
            <v xml:space="preserve">XS </v>
          </cell>
          <cell r="P415">
            <v>2</v>
          </cell>
          <cell r="Q415">
            <v>3.2</v>
          </cell>
          <cell r="R415">
            <v>1</v>
          </cell>
        </row>
        <row r="416">
          <cell r="B416" t="str">
            <v xml:space="preserve">XS </v>
          </cell>
          <cell r="C416">
            <v>0.375</v>
          </cell>
          <cell r="D416">
            <v>3.2</v>
          </cell>
          <cell r="E416">
            <v>1</v>
          </cell>
          <cell r="F416">
            <v>0</v>
          </cell>
          <cell r="G416">
            <v>0</v>
          </cell>
          <cell r="H416">
            <v>0</v>
          </cell>
          <cell r="I416">
            <v>7.0000000000000007E-2</v>
          </cell>
          <cell r="J416">
            <v>0</v>
          </cell>
          <cell r="K416">
            <v>7.0000000000000007E-2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2</v>
          </cell>
        </row>
        <row r="417">
          <cell r="B417" t="str">
            <v xml:space="preserve">XS </v>
          </cell>
          <cell r="C417">
            <v>0.375</v>
          </cell>
          <cell r="D417">
            <v>3.2</v>
          </cell>
          <cell r="E417">
            <v>1</v>
          </cell>
          <cell r="F417">
            <v>0</v>
          </cell>
          <cell r="G417">
            <v>0</v>
          </cell>
          <cell r="H417">
            <v>0</v>
          </cell>
          <cell r="I417">
            <v>7.0000000000000007E-2</v>
          </cell>
          <cell r="J417">
            <v>0</v>
          </cell>
          <cell r="K417">
            <v>7.0000000000000007E-2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2</v>
          </cell>
        </row>
        <row r="418">
          <cell r="A418">
            <v>2</v>
          </cell>
          <cell r="B418" t="str">
            <v xml:space="preserve">XS </v>
          </cell>
          <cell r="C418">
            <v>0.5</v>
          </cell>
          <cell r="D418">
            <v>3.73</v>
          </cell>
          <cell r="E418">
            <v>1</v>
          </cell>
          <cell r="F418">
            <v>0</v>
          </cell>
          <cell r="G418">
            <v>0</v>
          </cell>
          <cell r="H418">
            <v>0</v>
          </cell>
          <cell r="I418">
            <v>7.0000000000000007E-2</v>
          </cell>
          <cell r="J418">
            <v>0</v>
          </cell>
          <cell r="K418">
            <v>7.0000000000000007E-2</v>
          </cell>
          <cell r="L418">
            <v>2</v>
          </cell>
          <cell r="M418">
            <v>0</v>
          </cell>
          <cell r="N418">
            <v>8.8699475869083874E-312</v>
          </cell>
          <cell r="O418" t="str">
            <v xml:space="preserve">XS </v>
          </cell>
          <cell r="P418">
            <v>2</v>
          </cell>
          <cell r="Q418">
            <v>3.73</v>
          </cell>
          <cell r="R418">
            <v>1</v>
          </cell>
        </row>
        <row r="419">
          <cell r="B419" t="str">
            <v xml:space="preserve">XS </v>
          </cell>
          <cell r="C419">
            <v>0.5</v>
          </cell>
          <cell r="D419">
            <v>3.73</v>
          </cell>
          <cell r="E419">
            <v>1</v>
          </cell>
          <cell r="F419">
            <v>0</v>
          </cell>
          <cell r="G419">
            <v>0</v>
          </cell>
          <cell r="H419">
            <v>0</v>
          </cell>
          <cell r="I419">
            <v>7.0000000000000007E-2</v>
          </cell>
          <cell r="J419">
            <v>0</v>
          </cell>
          <cell r="K419">
            <v>7.0000000000000007E-2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2</v>
          </cell>
          <cell r="Q419">
            <v>0</v>
          </cell>
        </row>
        <row r="420">
          <cell r="B420" t="str">
            <v xml:space="preserve">XS </v>
          </cell>
          <cell r="C420">
            <v>0.5</v>
          </cell>
          <cell r="D420">
            <v>3.73</v>
          </cell>
          <cell r="E420">
            <v>1</v>
          </cell>
          <cell r="F420">
            <v>0</v>
          </cell>
          <cell r="G420">
            <v>0</v>
          </cell>
          <cell r="H420">
            <v>0</v>
          </cell>
          <cell r="I420">
            <v>7.0000000000000007E-2</v>
          </cell>
          <cell r="J420">
            <v>0</v>
          </cell>
          <cell r="K420">
            <v>7.0000000000000007E-2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2</v>
          </cell>
        </row>
        <row r="421">
          <cell r="B421" t="str">
            <v xml:space="preserve">XS </v>
          </cell>
          <cell r="C421">
            <v>0.75</v>
          </cell>
          <cell r="D421">
            <v>3.91</v>
          </cell>
          <cell r="E421">
            <v>1</v>
          </cell>
          <cell r="F421">
            <v>0</v>
          </cell>
          <cell r="G421">
            <v>0</v>
          </cell>
          <cell r="H421">
            <v>0</v>
          </cell>
          <cell r="I421">
            <v>7.0000000000000007E-2</v>
          </cell>
          <cell r="J421">
            <v>0</v>
          </cell>
          <cell r="K421">
            <v>7.0000000000000007E-2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2</v>
          </cell>
        </row>
        <row r="422">
          <cell r="B422" t="str">
            <v xml:space="preserve">XS </v>
          </cell>
          <cell r="C422">
            <v>0.75</v>
          </cell>
          <cell r="D422">
            <v>3.91</v>
          </cell>
          <cell r="E422">
            <v>1</v>
          </cell>
          <cell r="F422">
            <v>0</v>
          </cell>
          <cell r="G422">
            <v>0</v>
          </cell>
          <cell r="H422">
            <v>0</v>
          </cell>
          <cell r="I422">
            <v>7.0000000000000007E-2</v>
          </cell>
          <cell r="J422">
            <v>0</v>
          </cell>
          <cell r="K422">
            <v>7.0000000000000007E-2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2</v>
          </cell>
        </row>
        <row r="423">
          <cell r="B423" t="str">
            <v xml:space="preserve">XS </v>
          </cell>
          <cell r="C423">
            <v>0.75</v>
          </cell>
          <cell r="D423">
            <v>3.91</v>
          </cell>
          <cell r="E423">
            <v>1</v>
          </cell>
          <cell r="F423">
            <v>0</v>
          </cell>
          <cell r="G423">
            <v>0</v>
          </cell>
          <cell r="H423">
            <v>0</v>
          </cell>
          <cell r="I423">
            <v>7.0000000000000007E-2</v>
          </cell>
          <cell r="J423">
            <v>0</v>
          </cell>
          <cell r="K423">
            <v>7.0000000000000007E-2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2</v>
          </cell>
        </row>
        <row r="424">
          <cell r="B424" t="str">
            <v xml:space="preserve">XS </v>
          </cell>
          <cell r="C424">
            <v>1</v>
          </cell>
          <cell r="D424">
            <v>4.55</v>
          </cell>
          <cell r="E424">
            <v>1</v>
          </cell>
          <cell r="F424">
            <v>0</v>
          </cell>
          <cell r="G424">
            <v>0</v>
          </cell>
          <cell r="H424">
            <v>0</v>
          </cell>
          <cell r="I424">
            <v>0.15</v>
          </cell>
          <cell r="J424">
            <v>0</v>
          </cell>
          <cell r="K424">
            <v>0.15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2</v>
          </cell>
        </row>
        <row r="425">
          <cell r="B425" t="str">
            <v xml:space="preserve">XS </v>
          </cell>
          <cell r="C425">
            <v>1</v>
          </cell>
          <cell r="D425">
            <v>4.55</v>
          </cell>
          <cell r="E425">
            <v>1</v>
          </cell>
          <cell r="F425">
            <v>0</v>
          </cell>
          <cell r="G425">
            <v>0</v>
          </cell>
          <cell r="H425">
            <v>0</v>
          </cell>
          <cell r="I425">
            <v>0.15</v>
          </cell>
          <cell r="J425">
            <v>0</v>
          </cell>
          <cell r="K425">
            <v>0.15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2</v>
          </cell>
        </row>
        <row r="426">
          <cell r="B426" t="str">
            <v xml:space="preserve">XS </v>
          </cell>
          <cell r="C426">
            <v>1</v>
          </cell>
          <cell r="D426">
            <v>4.55</v>
          </cell>
          <cell r="E426">
            <v>1</v>
          </cell>
          <cell r="F426">
            <v>0</v>
          </cell>
          <cell r="G426">
            <v>0</v>
          </cell>
          <cell r="H426">
            <v>0</v>
          </cell>
          <cell r="I426">
            <v>0.15</v>
          </cell>
          <cell r="J426">
            <v>0</v>
          </cell>
          <cell r="K426">
            <v>0.15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2</v>
          </cell>
        </row>
        <row r="427">
          <cell r="B427" t="str">
            <v xml:space="preserve">XS </v>
          </cell>
          <cell r="C427">
            <v>1.25</v>
          </cell>
          <cell r="D427">
            <v>4.8499999999999996</v>
          </cell>
          <cell r="E427">
            <v>1</v>
          </cell>
          <cell r="F427">
            <v>0</v>
          </cell>
          <cell r="G427">
            <v>0</v>
          </cell>
          <cell r="H427">
            <v>0</v>
          </cell>
          <cell r="I427">
            <v>0.13</v>
          </cell>
          <cell r="J427">
            <v>0.17</v>
          </cell>
          <cell r="K427">
            <v>0.30000000000000004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2</v>
          </cell>
        </row>
        <row r="428">
          <cell r="B428" t="str">
            <v xml:space="preserve">XS </v>
          </cell>
          <cell r="C428">
            <v>1.25</v>
          </cell>
          <cell r="D428">
            <v>4.8499999999999996</v>
          </cell>
          <cell r="E428">
            <v>1</v>
          </cell>
          <cell r="F428">
            <v>0</v>
          </cell>
          <cell r="G428">
            <v>0</v>
          </cell>
          <cell r="H428">
            <v>0</v>
          </cell>
          <cell r="I428">
            <v>0.13</v>
          </cell>
          <cell r="J428">
            <v>0.17</v>
          </cell>
          <cell r="K428">
            <v>0.30000000000000004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2</v>
          </cell>
        </row>
        <row r="429">
          <cell r="B429" t="str">
            <v xml:space="preserve">XS </v>
          </cell>
          <cell r="C429">
            <v>1.25</v>
          </cell>
          <cell r="D429">
            <v>4.8499999999999996</v>
          </cell>
          <cell r="E429">
            <v>1</v>
          </cell>
          <cell r="F429">
            <v>0</v>
          </cell>
          <cell r="G429">
            <v>0</v>
          </cell>
          <cell r="H429">
            <v>0</v>
          </cell>
          <cell r="I429">
            <v>0.13</v>
          </cell>
          <cell r="J429">
            <v>0.17</v>
          </cell>
          <cell r="K429">
            <v>0.30000000000000004</v>
          </cell>
          <cell r="L429">
            <v>2</v>
          </cell>
          <cell r="M429">
            <v>0</v>
          </cell>
          <cell r="N429">
            <v>9.1033671239145674E-312</v>
          </cell>
          <cell r="O429" t="str">
            <v xml:space="preserve">XS </v>
          </cell>
          <cell r="P429">
            <v>2</v>
          </cell>
          <cell r="Q429">
            <v>0</v>
          </cell>
          <cell r="R429">
            <v>9.0821471660049147E-312</v>
          </cell>
        </row>
        <row r="430">
          <cell r="B430" t="str">
            <v xml:space="preserve">XS </v>
          </cell>
          <cell r="C430">
            <v>1.5</v>
          </cell>
          <cell r="D430">
            <v>5.08</v>
          </cell>
          <cell r="E430">
            <v>1</v>
          </cell>
          <cell r="F430">
            <v>0</v>
          </cell>
          <cell r="G430">
            <v>0</v>
          </cell>
          <cell r="H430">
            <v>0</v>
          </cell>
          <cell r="I430">
            <v>0.15</v>
          </cell>
          <cell r="J430">
            <v>0.15</v>
          </cell>
          <cell r="K430">
            <v>0.3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2</v>
          </cell>
        </row>
        <row r="431">
          <cell r="B431" t="str">
            <v xml:space="preserve">XS </v>
          </cell>
          <cell r="C431">
            <v>1.5</v>
          </cell>
          <cell r="D431">
            <v>5.08</v>
          </cell>
          <cell r="E431">
            <v>1</v>
          </cell>
          <cell r="F431">
            <v>0</v>
          </cell>
          <cell r="G431">
            <v>0</v>
          </cell>
          <cell r="H431">
            <v>0</v>
          </cell>
          <cell r="I431">
            <v>0.15</v>
          </cell>
          <cell r="J431">
            <v>0.15</v>
          </cell>
          <cell r="K431">
            <v>0.3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2</v>
          </cell>
        </row>
        <row r="432">
          <cell r="B432" t="str">
            <v xml:space="preserve">XS </v>
          </cell>
          <cell r="C432">
            <v>1.5</v>
          </cell>
          <cell r="D432">
            <v>5.08</v>
          </cell>
          <cell r="E432">
            <v>1</v>
          </cell>
          <cell r="F432">
            <v>0</v>
          </cell>
          <cell r="G432">
            <v>0</v>
          </cell>
          <cell r="H432">
            <v>0</v>
          </cell>
          <cell r="I432">
            <v>0.15</v>
          </cell>
          <cell r="J432">
            <v>0.15</v>
          </cell>
          <cell r="K432">
            <v>0.3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2</v>
          </cell>
        </row>
        <row r="433">
          <cell r="B433" t="str">
            <v xml:space="preserve">XS </v>
          </cell>
          <cell r="C433">
            <v>2</v>
          </cell>
          <cell r="D433">
            <v>5.54</v>
          </cell>
          <cell r="E433">
            <v>1</v>
          </cell>
          <cell r="F433">
            <v>0</v>
          </cell>
          <cell r="G433">
            <v>0</v>
          </cell>
          <cell r="H433">
            <v>0</v>
          </cell>
          <cell r="I433">
            <v>0.2</v>
          </cell>
          <cell r="J433">
            <v>0.25</v>
          </cell>
          <cell r="K433">
            <v>0.45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2</v>
          </cell>
        </row>
        <row r="434">
          <cell r="B434" t="str">
            <v xml:space="preserve">XS </v>
          </cell>
          <cell r="C434">
            <v>2</v>
          </cell>
          <cell r="D434">
            <v>5.54</v>
          </cell>
          <cell r="E434">
            <v>1</v>
          </cell>
          <cell r="F434">
            <v>0</v>
          </cell>
          <cell r="G434">
            <v>0</v>
          </cell>
          <cell r="H434">
            <v>0</v>
          </cell>
          <cell r="I434">
            <v>0.2</v>
          </cell>
          <cell r="J434">
            <v>0.25</v>
          </cell>
          <cell r="K434">
            <v>0.45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2</v>
          </cell>
        </row>
        <row r="435">
          <cell r="B435" t="str">
            <v xml:space="preserve">XS </v>
          </cell>
          <cell r="C435">
            <v>2</v>
          </cell>
          <cell r="D435">
            <v>5.54</v>
          </cell>
          <cell r="E435">
            <v>1</v>
          </cell>
          <cell r="F435">
            <v>0</v>
          </cell>
          <cell r="G435">
            <v>0</v>
          </cell>
          <cell r="H435">
            <v>0</v>
          </cell>
          <cell r="I435">
            <v>0.2</v>
          </cell>
          <cell r="J435">
            <v>0.25</v>
          </cell>
          <cell r="K435">
            <v>0.45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2</v>
          </cell>
        </row>
        <row r="436">
          <cell r="B436" t="str">
            <v xml:space="preserve">XS </v>
          </cell>
          <cell r="C436">
            <v>2.5</v>
          </cell>
          <cell r="D436">
            <v>7.01</v>
          </cell>
          <cell r="E436">
            <v>1</v>
          </cell>
          <cell r="F436">
            <v>0</v>
          </cell>
          <cell r="G436">
            <v>0</v>
          </cell>
          <cell r="H436">
            <v>0</v>
          </cell>
          <cell r="I436">
            <v>0.25</v>
          </cell>
          <cell r="J436">
            <v>0.5</v>
          </cell>
          <cell r="K436">
            <v>0.75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2</v>
          </cell>
        </row>
        <row r="437">
          <cell r="B437" t="str">
            <v xml:space="preserve">XS </v>
          </cell>
          <cell r="C437">
            <v>3</v>
          </cell>
          <cell r="D437">
            <v>7.62</v>
          </cell>
          <cell r="E437">
            <v>1</v>
          </cell>
          <cell r="F437">
            <v>0</v>
          </cell>
          <cell r="G437">
            <v>0</v>
          </cell>
          <cell r="H437">
            <v>0</v>
          </cell>
          <cell r="I437">
            <v>0.3</v>
          </cell>
          <cell r="J437">
            <v>0.6</v>
          </cell>
          <cell r="K437">
            <v>0.89999999999999991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2</v>
          </cell>
        </row>
        <row r="438">
          <cell r="B438" t="str">
            <v xml:space="preserve">XS </v>
          </cell>
          <cell r="C438">
            <v>3.5</v>
          </cell>
          <cell r="D438">
            <v>8.08</v>
          </cell>
          <cell r="E438">
            <v>1</v>
          </cell>
          <cell r="F438">
            <v>0</v>
          </cell>
          <cell r="G438">
            <v>0</v>
          </cell>
          <cell r="H438">
            <v>0</v>
          </cell>
          <cell r="I438">
            <v>0.35</v>
          </cell>
          <cell r="J438">
            <v>0.85</v>
          </cell>
          <cell r="K438">
            <v>1.2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3</v>
          </cell>
        </row>
        <row r="439">
          <cell r="B439" t="str">
            <v xml:space="preserve">XS </v>
          </cell>
          <cell r="C439">
            <v>4</v>
          </cell>
          <cell r="D439">
            <v>8.56</v>
          </cell>
          <cell r="E439">
            <v>1</v>
          </cell>
          <cell r="F439">
            <v>0</v>
          </cell>
          <cell r="G439">
            <v>0</v>
          </cell>
          <cell r="H439">
            <v>0</v>
          </cell>
          <cell r="I439">
            <v>0.41</v>
          </cell>
          <cell r="J439">
            <v>0.93</v>
          </cell>
          <cell r="K439">
            <v>1.34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3</v>
          </cell>
        </row>
        <row r="440">
          <cell r="B440" t="str">
            <v xml:space="preserve">XS </v>
          </cell>
          <cell r="C440">
            <v>5</v>
          </cell>
          <cell r="D440">
            <v>9.5299999999999994</v>
          </cell>
          <cell r="E440">
            <v>1</v>
          </cell>
          <cell r="F440">
            <v>0</v>
          </cell>
          <cell r="G440">
            <v>0</v>
          </cell>
          <cell r="H440">
            <v>0</v>
          </cell>
          <cell r="I440">
            <v>0.51</v>
          </cell>
          <cell r="J440">
            <v>1.59</v>
          </cell>
          <cell r="K440">
            <v>2.1</v>
          </cell>
          <cell r="L440">
            <v>4</v>
          </cell>
          <cell r="M440">
            <v>0</v>
          </cell>
          <cell r="N440">
            <v>9.3367866609207473E-312</v>
          </cell>
          <cell r="O440" t="str">
            <v xml:space="preserve">XS </v>
          </cell>
          <cell r="P440">
            <v>4</v>
          </cell>
          <cell r="Q440">
            <v>0</v>
          </cell>
          <cell r="R440">
            <v>9.3155667030110946E-312</v>
          </cell>
        </row>
        <row r="441">
          <cell r="B441" t="str">
            <v xml:space="preserve">XS </v>
          </cell>
          <cell r="C441">
            <v>6</v>
          </cell>
          <cell r="D441">
            <v>10.97</v>
          </cell>
          <cell r="E441">
            <v>1.25</v>
          </cell>
          <cell r="F441">
            <v>0</v>
          </cell>
          <cell r="G441">
            <v>0</v>
          </cell>
          <cell r="H441">
            <v>0</v>
          </cell>
          <cell r="I441">
            <v>0.61</v>
          </cell>
          <cell r="J441">
            <v>2.69</v>
          </cell>
          <cell r="K441">
            <v>3.3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4</v>
          </cell>
        </row>
        <row r="442">
          <cell r="B442" t="str">
            <v xml:space="preserve">XS </v>
          </cell>
          <cell r="C442">
            <v>8</v>
          </cell>
          <cell r="D442">
            <v>12.7</v>
          </cell>
          <cell r="E442">
            <v>1.25</v>
          </cell>
          <cell r="F442">
            <v>0</v>
          </cell>
          <cell r="G442">
            <v>0</v>
          </cell>
          <cell r="H442">
            <v>0</v>
          </cell>
          <cell r="I442">
            <v>0.81</v>
          </cell>
          <cell r="J442">
            <v>4.58</v>
          </cell>
          <cell r="K442">
            <v>5.3900000000000006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4</v>
          </cell>
        </row>
        <row r="443">
          <cell r="B443" t="str">
            <v xml:space="preserve">XS </v>
          </cell>
          <cell r="C443">
            <v>10</v>
          </cell>
          <cell r="D443">
            <v>12.7</v>
          </cell>
          <cell r="E443">
            <v>1.25</v>
          </cell>
          <cell r="F443">
            <v>0</v>
          </cell>
          <cell r="G443">
            <v>0</v>
          </cell>
          <cell r="H443">
            <v>0</v>
          </cell>
          <cell r="I443">
            <v>1.01</v>
          </cell>
          <cell r="J443">
            <v>5.74</v>
          </cell>
          <cell r="K443">
            <v>6.75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4</v>
          </cell>
        </row>
        <row r="444">
          <cell r="B444" t="str">
            <v xml:space="preserve">XS </v>
          </cell>
          <cell r="C444">
            <v>12</v>
          </cell>
          <cell r="D444">
            <v>12.7</v>
          </cell>
          <cell r="E444">
            <v>1.25</v>
          </cell>
          <cell r="F444">
            <v>0</v>
          </cell>
          <cell r="G444">
            <v>0</v>
          </cell>
          <cell r="H444">
            <v>0</v>
          </cell>
          <cell r="I444">
            <v>1.22</v>
          </cell>
          <cell r="J444">
            <v>6.73</v>
          </cell>
          <cell r="K444">
            <v>7.95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6</v>
          </cell>
        </row>
        <row r="445">
          <cell r="B445" t="str">
            <v xml:space="preserve">XS </v>
          </cell>
          <cell r="C445">
            <v>14</v>
          </cell>
          <cell r="D445">
            <v>12.7</v>
          </cell>
          <cell r="E445">
            <v>1.25</v>
          </cell>
          <cell r="F445">
            <v>0</v>
          </cell>
          <cell r="G445">
            <v>0</v>
          </cell>
          <cell r="H445">
            <v>0</v>
          </cell>
          <cell r="I445">
            <v>1.42</v>
          </cell>
          <cell r="J445">
            <v>7.28</v>
          </cell>
          <cell r="K445">
            <v>8.6999999999999993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6</v>
          </cell>
        </row>
        <row r="446">
          <cell r="B446" t="str">
            <v xml:space="preserve">XS </v>
          </cell>
          <cell r="C446">
            <v>16</v>
          </cell>
          <cell r="D446">
            <v>12.7</v>
          </cell>
          <cell r="E446">
            <v>1.25</v>
          </cell>
          <cell r="F446">
            <v>0</v>
          </cell>
          <cell r="G446">
            <v>0</v>
          </cell>
          <cell r="H446">
            <v>0</v>
          </cell>
          <cell r="I446">
            <v>1.62</v>
          </cell>
          <cell r="J446">
            <v>8.42</v>
          </cell>
          <cell r="K446">
            <v>10.039999999999999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6</v>
          </cell>
        </row>
        <row r="447">
          <cell r="B447" t="str">
            <v xml:space="preserve">XS </v>
          </cell>
          <cell r="C447">
            <v>18</v>
          </cell>
          <cell r="D447">
            <v>12.7</v>
          </cell>
          <cell r="E447">
            <v>1.25</v>
          </cell>
          <cell r="F447">
            <v>0</v>
          </cell>
          <cell r="G447">
            <v>0</v>
          </cell>
          <cell r="H447">
            <v>0</v>
          </cell>
          <cell r="I447">
            <v>1.82</v>
          </cell>
          <cell r="J447">
            <v>9.42</v>
          </cell>
          <cell r="K447">
            <v>11.24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6</v>
          </cell>
        </row>
        <row r="448">
          <cell r="B448" t="str">
            <v xml:space="preserve">XS </v>
          </cell>
          <cell r="C448">
            <v>20</v>
          </cell>
          <cell r="D448">
            <v>12.7</v>
          </cell>
          <cell r="E448">
            <v>1.25</v>
          </cell>
          <cell r="F448">
            <v>0</v>
          </cell>
          <cell r="G448">
            <v>0</v>
          </cell>
          <cell r="H448">
            <v>0</v>
          </cell>
          <cell r="I448">
            <v>2.0299999999999998</v>
          </cell>
          <cell r="J448">
            <v>10.42</v>
          </cell>
          <cell r="K448">
            <v>12.45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7</v>
          </cell>
        </row>
        <row r="449">
          <cell r="B449" t="str">
            <v xml:space="preserve">XS </v>
          </cell>
          <cell r="C449">
            <v>22</v>
          </cell>
          <cell r="D449">
            <v>12.7</v>
          </cell>
          <cell r="E449">
            <v>1.25</v>
          </cell>
          <cell r="F449">
            <v>0</v>
          </cell>
          <cell r="G449">
            <v>0</v>
          </cell>
          <cell r="H449">
            <v>0</v>
          </cell>
          <cell r="I449">
            <v>2.23</v>
          </cell>
          <cell r="J449">
            <v>11.72</v>
          </cell>
          <cell r="K449">
            <v>13.950000000000001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8</v>
          </cell>
        </row>
        <row r="450">
          <cell r="B450" t="str">
            <v xml:space="preserve">XS </v>
          </cell>
          <cell r="C450">
            <v>24</v>
          </cell>
          <cell r="D450">
            <v>12.7</v>
          </cell>
          <cell r="E450">
            <v>1.25</v>
          </cell>
          <cell r="F450">
            <v>0</v>
          </cell>
          <cell r="G450">
            <v>0</v>
          </cell>
          <cell r="H450">
            <v>0</v>
          </cell>
          <cell r="I450">
            <v>2.4300000000000002</v>
          </cell>
          <cell r="J450">
            <v>12.57</v>
          </cell>
          <cell r="K450">
            <v>15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8</v>
          </cell>
        </row>
        <row r="451">
          <cell r="B451" t="str">
            <v xml:space="preserve">XS </v>
          </cell>
          <cell r="C451">
            <v>26</v>
          </cell>
          <cell r="D451">
            <v>12.7</v>
          </cell>
          <cell r="E451">
            <v>1.25</v>
          </cell>
          <cell r="F451">
            <v>0</v>
          </cell>
          <cell r="G451">
            <v>0</v>
          </cell>
          <cell r="H451">
            <v>0</v>
          </cell>
          <cell r="I451">
            <v>2.64</v>
          </cell>
          <cell r="J451">
            <v>13.86</v>
          </cell>
          <cell r="K451">
            <v>16.5</v>
          </cell>
          <cell r="L451">
            <v>9</v>
          </cell>
          <cell r="M451">
            <v>0</v>
          </cell>
          <cell r="N451">
            <v>9.5702061979269273E-312</v>
          </cell>
          <cell r="O451" t="str">
            <v xml:space="preserve">XS </v>
          </cell>
          <cell r="P451">
            <v>9</v>
          </cell>
          <cell r="Q451">
            <v>0</v>
          </cell>
          <cell r="R451">
            <v>9.5489862400172746E-312</v>
          </cell>
        </row>
        <row r="452">
          <cell r="B452" t="str">
            <v xml:space="preserve">XS </v>
          </cell>
          <cell r="C452">
            <v>28</v>
          </cell>
          <cell r="D452">
            <v>12.7</v>
          </cell>
          <cell r="E452">
            <v>1.25</v>
          </cell>
          <cell r="F452">
            <v>0</v>
          </cell>
          <cell r="G452">
            <v>0</v>
          </cell>
          <cell r="H452">
            <v>0</v>
          </cell>
          <cell r="I452">
            <v>2.84</v>
          </cell>
          <cell r="J452">
            <v>15.16</v>
          </cell>
          <cell r="K452">
            <v>18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9</v>
          </cell>
        </row>
        <row r="453">
          <cell r="B453" t="str">
            <v xml:space="preserve">XS </v>
          </cell>
          <cell r="C453">
            <v>30</v>
          </cell>
          <cell r="D453">
            <v>12.7</v>
          </cell>
          <cell r="E453">
            <v>1.25</v>
          </cell>
          <cell r="F453">
            <v>0</v>
          </cell>
          <cell r="G453">
            <v>0</v>
          </cell>
          <cell r="H453">
            <v>0</v>
          </cell>
          <cell r="I453">
            <v>3.04</v>
          </cell>
          <cell r="J453">
            <v>16.45</v>
          </cell>
          <cell r="K453">
            <v>19.489999999999998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10</v>
          </cell>
        </row>
        <row r="454">
          <cell r="B454" t="str">
            <v xml:space="preserve">XS </v>
          </cell>
          <cell r="C454">
            <v>32</v>
          </cell>
          <cell r="D454">
            <v>12.7</v>
          </cell>
          <cell r="E454">
            <v>1.25</v>
          </cell>
          <cell r="F454">
            <v>0</v>
          </cell>
          <cell r="G454">
            <v>0</v>
          </cell>
          <cell r="H454">
            <v>0</v>
          </cell>
          <cell r="I454">
            <v>3.24</v>
          </cell>
          <cell r="J454">
            <v>17.75</v>
          </cell>
          <cell r="K454">
            <v>20.990000000000002</v>
          </cell>
          <cell r="L454">
            <v>0</v>
          </cell>
          <cell r="M454">
            <v>0</v>
          </cell>
          <cell r="N454">
            <v>0</v>
          </cell>
          <cell r="O454">
            <v>0</v>
          </cell>
          <cell r="P454">
            <v>11</v>
          </cell>
        </row>
        <row r="455">
          <cell r="B455" t="str">
            <v xml:space="preserve">XS </v>
          </cell>
          <cell r="C455">
            <v>34</v>
          </cell>
          <cell r="D455">
            <v>12.7</v>
          </cell>
          <cell r="E455">
            <v>1.25</v>
          </cell>
          <cell r="F455">
            <v>0</v>
          </cell>
          <cell r="G455">
            <v>0</v>
          </cell>
          <cell r="H455">
            <v>0</v>
          </cell>
          <cell r="I455">
            <v>3.45</v>
          </cell>
          <cell r="J455">
            <v>18.54</v>
          </cell>
          <cell r="K455">
            <v>21.99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12</v>
          </cell>
        </row>
        <row r="456">
          <cell r="B456" t="str">
            <v xml:space="preserve">XS </v>
          </cell>
          <cell r="C456">
            <v>36</v>
          </cell>
          <cell r="D456">
            <v>12.7</v>
          </cell>
          <cell r="E456">
            <v>1.25</v>
          </cell>
          <cell r="F456">
            <v>0</v>
          </cell>
          <cell r="G456">
            <v>0</v>
          </cell>
          <cell r="H456">
            <v>0</v>
          </cell>
          <cell r="I456">
            <v>3.65</v>
          </cell>
          <cell r="J456">
            <v>18.84</v>
          </cell>
          <cell r="K456">
            <v>22.49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12</v>
          </cell>
        </row>
        <row r="457">
          <cell r="B457" t="str">
            <v xml:space="preserve">XS </v>
          </cell>
          <cell r="C457">
            <v>38</v>
          </cell>
          <cell r="D457">
            <v>12.7</v>
          </cell>
          <cell r="E457">
            <v>1.25</v>
          </cell>
          <cell r="F457">
            <v>0</v>
          </cell>
          <cell r="G457">
            <v>0</v>
          </cell>
          <cell r="H457">
            <v>0</v>
          </cell>
          <cell r="I457">
            <v>3.85</v>
          </cell>
          <cell r="J457">
            <v>19.89</v>
          </cell>
          <cell r="K457">
            <v>23.740000000000002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13</v>
          </cell>
        </row>
        <row r="458">
          <cell r="B458" t="str">
            <v xml:space="preserve">XS </v>
          </cell>
          <cell r="C458">
            <v>40</v>
          </cell>
          <cell r="D458">
            <v>12.7</v>
          </cell>
          <cell r="E458">
            <v>1.25</v>
          </cell>
          <cell r="F458">
            <v>0</v>
          </cell>
          <cell r="G458">
            <v>0</v>
          </cell>
          <cell r="H458">
            <v>0</v>
          </cell>
          <cell r="I458">
            <v>4.0599999999999996</v>
          </cell>
          <cell r="J458">
            <v>21.66</v>
          </cell>
          <cell r="K458">
            <v>25.72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14</v>
          </cell>
        </row>
        <row r="459">
          <cell r="B459" t="str">
            <v xml:space="preserve">XS </v>
          </cell>
          <cell r="C459">
            <v>42</v>
          </cell>
          <cell r="D459">
            <v>12.7</v>
          </cell>
          <cell r="E459">
            <v>1.25</v>
          </cell>
          <cell r="F459">
            <v>0</v>
          </cell>
          <cell r="G459">
            <v>0</v>
          </cell>
          <cell r="H459">
            <v>0</v>
          </cell>
          <cell r="I459">
            <v>4.26</v>
          </cell>
          <cell r="J459">
            <v>22.74</v>
          </cell>
          <cell r="K459">
            <v>27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14</v>
          </cell>
        </row>
        <row r="460">
          <cell r="B460" t="str">
            <v xml:space="preserve">XS </v>
          </cell>
          <cell r="C460">
            <v>44</v>
          </cell>
          <cell r="D460">
            <v>12.7</v>
          </cell>
          <cell r="E460">
            <v>1.25</v>
          </cell>
          <cell r="F460">
            <v>0</v>
          </cell>
          <cell r="G460">
            <v>0</v>
          </cell>
          <cell r="H460">
            <v>0</v>
          </cell>
          <cell r="I460">
            <v>4.47</v>
          </cell>
          <cell r="J460">
            <v>27.16</v>
          </cell>
          <cell r="K460">
            <v>31.63</v>
          </cell>
          <cell r="L460">
            <v>0</v>
          </cell>
          <cell r="M460">
            <v>0</v>
          </cell>
          <cell r="N460">
            <v>0</v>
          </cell>
          <cell r="O460">
            <v>0</v>
          </cell>
          <cell r="P460">
            <v>15</v>
          </cell>
        </row>
        <row r="461">
          <cell r="B461" t="str">
            <v xml:space="preserve">XS </v>
          </cell>
          <cell r="C461">
            <v>46</v>
          </cell>
          <cell r="D461">
            <v>12.7</v>
          </cell>
          <cell r="E461">
            <v>1.25</v>
          </cell>
          <cell r="F461">
            <v>0</v>
          </cell>
          <cell r="G461">
            <v>0</v>
          </cell>
          <cell r="H461">
            <v>0</v>
          </cell>
          <cell r="I461">
            <v>4.67</v>
          </cell>
          <cell r="J461">
            <v>28.4</v>
          </cell>
          <cell r="K461">
            <v>33.07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16</v>
          </cell>
        </row>
        <row r="462">
          <cell r="B462" t="str">
            <v xml:space="preserve">XS </v>
          </cell>
          <cell r="C462">
            <v>48</v>
          </cell>
          <cell r="D462">
            <v>12.7</v>
          </cell>
          <cell r="E462">
            <v>1.25</v>
          </cell>
          <cell r="F462">
            <v>0</v>
          </cell>
          <cell r="G462">
            <v>0</v>
          </cell>
          <cell r="H462">
            <v>0</v>
          </cell>
          <cell r="I462">
            <v>4.87</v>
          </cell>
          <cell r="J462">
            <v>29.63</v>
          </cell>
          <cell r="K462">
            <v>34.5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16</v>
          </cell>
        </row>
        <row r="463">
          <cell r="B463" t="str">
            <v>XXS</v>
          </cell>
          <cell r="C463">
            <v>0.5</v>
          </cell>
          <cell r="D463">
            <v>7.47</v>
          </cell>
          <cell r="E463">
            <v>1</v>
          </cell>
          <cell r="F463">
            <v>0</v>
          </cell>
          <cell r="G463">
            <v>0</v>
          </cell>
          <cell r="H463">
            <v>0</v>
          </cell>
          <cell r="I463">
            <v>7.0000000000000007E-2</v>
          </cell>
          <cell r="J463">
            <v>0.23</v>
          </cell>
          <cell r="K463">
            <v>0.30000000000000004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2</v>
          </cell>
        </row>
        <row r="464">
          <cell r="B464" t="str">
            <v>XXS</v>
          </cell>
          <cell r="C464">
            <v>0.5</v>
          </cell>
          <cell r="D464">
            <v>7.47</v>
          </cell>
          <cell r="E464">
            <v>1</v>
          </cell>
          <cell r="F464">
            <v>0</v>
          </cell>
          <cell r="G464">
            <v>0</v>
          </cell>
          <cell r="H464">
            <v>0</v>
          </cell>
          <cell r="I464">
            <v>7.0000000000000007E-2</v>
          </cell>
          <cell r="J464">
            <v>0.23</v>
          </cell>
          <cell r="K464">
            <v>0.30000000000000004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2</v>
          </cell>
        </row>
        <row r="465">
          <cell r="B465" t="str">
            <v>XXS</v>
          </cell>
          <cell r="C465">
            <v>0.5</v>
          </cell>
          <cell r="D465">
            <v>7.47</v>
          </cell>
          <cell r="E465">
            <v>1</v>
          </cell>
          <cell r="F465">
            <v>0</v>
          </cell>
          <cell r="G465">
            <v>0</v>
          </cell>
          <cell r="H465">
            <v>0</v>
          </cell>
          <cell r="I465">
            <v>7.0000000000000007E-2</v>
          </cell>
          <cell r="J465">
            <v>0.23</v>
          </cell>
          <cell r="K465">
            <v>0.30000000000000004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2</v>
          </cell>
          <cell r="Q465">
            <v>0</v>
          </cell>
          <cell r="R465">
            <v>0</v>
          </cell>
        </row>
        <row r="466">
          <cell r="B466" t="str">
            <v>XXS</v>
          </cell>
          <cell r="C466">
            <v>0.75</v>
          </cell>
          <cell r="D466">
            <v>7.82</v>
          </cell>
          <cell r="E466">
            <v>1</v>
          </cell>
          <cell r="F466">
            <v>0</v>
          </cell>
          <cell r="G466">
            <v>0</v>
          </cell>
          <cell r="H466">
            <v>0</v>
          </cell>
          <cell r="I466">
            <v>0.08</v>
          </cell>
          <cell r="J466">
            <v>0.22</v>
          </cell>
          <cell r="K466">
            <v>0.3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2</v>
          </cell>
        </row>
        <row r="467">
          <cell r="B467" t="str">
            <v>XXS</v>
          </cell>
          <cell r="C467">
            <v>0.75</v>
          </cell>
          <cell r="D467">
            <v>7.82</v>
          </cell>
          <cell r="E467">
            <v>1</v>
          </cell>
          <cell r="F467">
            <v>0</v>
          </cell>
          <cell r="G467">
            <v>0</v>
          </cell>
          <cell r="H467">
            <v>0</v>
          </cell>
          <cell r="I467">
            <v>0.08</v>
          </cell>
          <cell r="J467">
            <v>0.22</v>
          </cell>
          <cell r="K467">
            <v>0.3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2</v>
          </cell>
        </row>
        <row r="468">
          <cell r="B468" t="str">
            <v>XXS</v>
          </cell>
          <cell r="C468">
            <v>0.75</v>
          </cell>
          <cell r="D468">
            <v>7.82</v>
          </cell>
          <cell r="E468">
            <v>1</v>
          </cell>
          <cell r="F468">
            <v>0</v>
          </cell>
          <cell r="G468">
            <v>0</v>
          </cell>
          <cell r="H468">
            <v>0</v>
          </cell>
          <cell r="I468">
            <v>0.08</v>
          </cell>
          <cell r="J468">
            <v>0.22</v>
          </cell>
          <cell r="K468">
            <v>0.3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2</v>
          </cell>
        </row>
        <row r="469">
          <cell r="B469" t="str">
            <v>XXS</v>
          </cell>
          <cell r="C469">
            <v>1</v>
          </cell>
          <cell r="D469">
            <v>9.09</v>
          </cell>
          <cell r="E469">
            <v>1</v>
          </cell>
          <cell r="F469">
            <v>0</v>
          </cell>
          <cell r="G469">
            <v>0</v>
          </cell>
          <cell r="H469">
            <v>0</v>
          </cell>
          <cell r="I469">
            <v>0.1</v>
          </cell>
          <cell r="J469">
            <v>0.5</v>
          </cell>
          <cell r="K469">
            <v>0.6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2</v>
          </cell>
        </row>
        <row r="470">
          <cell r="B470" t="str">
            <v>XXS</v>
          </cell>
          <cell r="C470">
            <v>1</v>
          </cell>
          <cell r="D470">
            <v>9.09</v>
          </cell>
          <cell r="E470">
            <v>1</v>
          </cell>
          <cell r="F470">
            <v>0</v>
          </cell>
          <cell r="G470">
            <v>0</v>
          </cell>
          <cell r="H470">
            <v>0</v>
          </cell>
          <cell r="I470">
            <v>0.1</v>
          </cell>
          <cell r="J470">
            <v>0.5</v>
          </cell>
          <cell r="K470">
            <v>0.6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2</v>
          </cell>
        </row>
        <row r="471">
          <cell r="B471" t="str">
            <v>XXS</v>
          </cell>
          <cell r="C471">
            <v>1</v>
          </cell>
          <cell r="D471">
            <v>9.09</v>
          </cell>
          <cell r="E471">
            <v>1</v>
          </cell>
          <cell r="F471">
            <v>0</v>
          </cell>
          <cell r="G471">
            <v>0</v>
          </cell>
          <cell r="H471">
            <v>0</v>
          </cell>
          <cell r="I471">
            <v>0.1</v>
          </cell>
          <cell r="J471">
            <v>0.5</v>
          </cell>
          <cell r="K471">
            <v>0.6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2</v>
          </cell>
        </row>
        <row r="472">
          <cell r="B472" t="str">
            <v>XXS</v>
          </cell>
          <cell r="C472">
            <v>1.25</v>
          </cell>
          <cell r="D472">
            <v>9.6999999999999993</v>
          </cell>
          <cell r="E472">
            <v>1</v>
          </cell>
          <cell r="F472">
            <v>0</v>
          </cell>
          <cell r="G472">
            <v>0</v>
          </cell>
          <cell r="H472">
            <v>0</v>
          </cell>
          <cell r="I472">
            <v>0.13</v>
          </cell>
          <cell r="J472">
            <v>0.67</v>
          </cell>
          <cell r="K472">
            <v>0.8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2</v>
          </cell>
        </row>
        <row r="473">
          <cell r="B473" t="str">
            <v>XXS</v>
          </cell>
          <cell r="C473">
            <v>1.25</v>
          </cell>
          <cell r="D473">
            <v>9.6999999999999993</v>
          </cell>
          <cell r="E473">
            <v>1</v>
          </cell>
          <cell r="F473">
            <v>0</v>
          </cell>
          <cell r="G473">
            <v>0</v>
          </cell>
          <cell r="H473">
            <v>0</v>
          </cell>
          <cell r="I473">
            <v>0.13</v>
          </cell>
          <cell r="J473">
            <v>0.67</v>
          </cell>
          <cell r="K473">
            <v>0.8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2</v>
          </cell>
        </row>
        <row r="474">
          <cell r="B474" t="str">
            <v>XXS</v>
          </cell>
          <cell r="C474">
            <v>1.25</v>
          </cell>
          <cell r="D474">
            <v>9.6999999999999993</v>
          </cell>
          <cell r="E474">
            <v>1</v>
          </cell>
          <cell r="F474">
            <v>0</v>
          </cell>
          <cell r="G474">
            <v>0</v>
          </cell>
          <cell r="H474">
            <v>0</v>
          </cell>
          <cell r="I474">
            <v>0.13</v>
          </cell>
          <cell r="J474">
            <v>0.67</v>
          </cell>
          <cell r="K474">
            <v>0.8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2</v>
          </cell>
        </row>
        <row r="475">
          <cell r="B475" t="str">
            <v>XXS</v>
          </cell>
          <cell r="C475">
            <v>1.5</v>
          </cell>
          <cell r="D475">
            <v>10.15</v>
          </cell>
          <cell r="E475">
            <v>1.25</v>
          </cell>
          <cell r="F475">
            <v>0</v>
          </cell>
          <cell r="G475">
            <v>0</v>
          </cell>
          <cell r="H475">
            <v>0</v>
          </cell>
          <cell r="I475">
            <v>0.15</v>
          </cell>
          <cell r="J475">
            <v>0.75</v>
          </cell>
          <cell r="K475">
            <v>0.9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2</v>
          </cell>
        </row>
        <row r="476">
          <cell r="B476" t="str">
            <v>XXS</v>
          </cell>
          <cell r="C476">
            <v>1.5</v>
          </cell>
          <cell r="D476">
            <v>10.15</v>
          </cell>
          <cell r="E476">
            <v>1.25</v>
          </cell>
          <cell r="F476">
            <v>0</v>
          </cell>
          <cell r="G476">
            <v>0</v>
          </cell>
          <cell r="H476">
            <v>0</v>
          </cell>
          <cell r="I476">
            <v>0.15</v>
          </cell>
          <cell r="J476">
            <v>0.75</v>
          </cell>
          <cell r="K476">
            <v>0.9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2</v>
          </cell>
        </row>
        <row r="477">
          <cell r="B477" t="str">
            <v>XXS</v>
          </cell>
          <cell r="C477">
            <v>1.5</v>
          </cell>
          <cell r="D477">
            <v>10.15</v>
          </cell>
          <cell r="E477">
            <v>1.25</v>
          </cell>
          <cell r="F477">
            <v>0</v>
          </cell>
          <cell r="G477">
            <v>0</v>
          </cell>
          <cell r="H477">
            <v>0</v>
          </cell>
          <cell r="I477">
            <v>0.15</v>
          </cell>
          <cell r="J477">
            <v>0.75</v>
          </cell>
          <cell r="K477">
            <v>0.9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2</v>
          </cell>
        </row>
        <row r="478">
          <cell r="B478" t="str">
            <v>XXS</v>
          </cell>
          <cell r="C478">
            <v>2</v>
          </cell>
          <cell r="D478">
            <v>11.07</v>
          </cell>
          <cell r="E478">
            <v>1.25</v>
          </cell>
          <cell r="F478">
            <v>0</v>
          </cell>
          <cell r="G478">
            <v>0</v>
          </cell>
          <cell r="H478">
            <v>0</v>
          </cell>
          <cell r="I478">
            <v>0.2</v>
          </cell>
          <cell r="J478">
            <v>1</v>
          </cell>
          <cell r="K478">
            <v>1.2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4</v>
          </cell>
        </row>
        <row r="479">
          <cell r="B479" t="str">
            <v>XXS</v>
          </cell>
          <cell r="C479">
            <v>2</v>
          </cell>
          <cell r="D479">
            <v>11.07</v>
          </cell>
          <cell r="E479">
            <v>1.25</v>
          </cell>
          <cell r="F479">
            <v>0</v>
          </cell>
          <cell r="G479">
            <v>0</v>
          </cell>
          <cell r="H479">
            <v>0</v>
          </cell>
          <cell r="I479">
            <v>0.2</v>
          </cell>
          <cell r="J479">
            <v>1</v>
          </cell>
          <cell r="K479">
            <v>1.2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4</v>
          </cell>
        </row>
        <row r="480">
          <cell r="B480" t="str">
            <v>XXS</v>
          </cell>
          <cell r="C480">
            <v>2</v>
          </cell>
          <cell r="D480">
            <v>11.07</v>
          </cell>
          <cell r="E480">
            <v>1.25</v>
          </cell>
          <cell r="F480">
            <v>0</v>
          </cell>
          <cell r="G480">
            <v>0</v>
          </cell>
          <cell r="H480">
            <v>0</v>
          </cell>
          <cell r="I480">
            <v>0.2</v>
          </cell>
          <cell r="J480">
            <v>1</v>
          </cell>
          <cell r="K480">
            <v>1.2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4</v>
          </cell>
        </row>
        <row r="481">
          <cell r="B481" t="str">
            <v>XXS</v>
          </cell>
          <cell r="C481">
            <v>2.5</v>
          </cell>
          <cell r="D481">
            <v>14.02</v>
          </cell>
          <cell r="E481">
            <v>1.25</v>
          </cell>
          <cell r="F481">
            <v>0</v>
          </cell>
          <cell r="G481">
            <v>0</v>
          </cell>
          <cell r="H481">
            <v>0</v>
          </cell>
          <cell r="I481">
            <v>0.25</v>
          </cell>
          <cell r="J481">
            <v>1.7</v>
          </cell>
          <cell r="K481">
            <v>1.95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4</v>
          </cell>
        </row>
        <row r="482">
          <cell r="B482" t="str">
            <v>XXS</v>
          </cell>
          <cell r="C482">
            <v>3</v>
          </cell>
          <cell r="D482">
            <v>15.24</v>
          </cell>
          <cell r="E482">
            <v>1.5</v>
          </cell>
          <cell r="F482">
            <v>0</v>
          </cell>
          <cell r="G482">
            <v>0</v>
          </cell>
          <cell r="H482">
            <v>0</v>
          </cell>
          <cell r="I482">
            <v>0.3</v>
          </cell>
          <cell r="J482">
            <v>2.39</v>
          </cell>
          <cell r="K482">
            <v>2.69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4</v>
          </cell>
        </row>
        <row r="483">
          <cell r="B483" t="str">
            <v>XXS</v>
          </cell>
          <cell r="C483">
            <v>4</v>
          </cell>
          <cell r="D483">
            <v>17.12</v>
          </cell>
          <cell r="E483">
            <v>1.5</v>
          </cell>
          <cell r="F483">
            <v>0</v>
          </cell>
          <cell r="G483">
            <v>0</v>
          </cell>
          <cell r="H483">
            <v>0</v>
          </cell>
          <cell r="I483">
            <v>0.41</v>
          </cell>
          <cell r="J483">
            <v>4.09</v>
          </cell>
          <cell r="K483">
            <v>4.5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4</v>
          </cell>
        </row>
        <row r="484">
          <cell r="B484" t="str">
            <v>XXS</v>
          </cell>
          <cell r="C484">
            <v>5</v>
          </cell>
          <cell r="D484">
            <v>19.05</v>
          </cell>
          <cell r="E484">
            <v>2</v>
          </cell>
          <cell r="F484">
            <v>0</v>
          </cell>
          <cell r="G484">
            <v>0</v>
          </cell>
          <cell r="H484">
            <v>0</v>
          </cell>
          <cell r="I484">
            <v>0.51</v>
          </cell>
          <cell r="J484">
            <v>4.43</v>
          </cell>
          <cell r="K484">
            <v>4.9399999999999995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4</v>
          </cell>
        </row>
        <row r="485">
          <cell r="B485" t="str">
            <v>XXS</v>
          </cell>
          <cell r="C485">
            <v>6</v>
          </cell>
          <cell r="D485">
            <v>21.95</v>
          </cell>
          <cell r="E485">
            <v>2</v>
          </cell>
          <cell r="F485">
            <v>0</v>
          </cell>
          <cell r="G485">
            <v>0</v>
          </cell>
          <cell r="H485">
            <v>0</v>
          </cell>
          <cell r="I485">
            <v>0.61</v>
          </cell>
          <cell r="J485">
            <v>8.09</v>
          </cell>
          <cell r="K485">
            <v>8.6999999999999993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4</v>
          </cell>
        </row>
        <row r="486">
          <cell r="B486" t="str">
            <v>XXS</v>
          </cell>
          <cell r="C486">
            <v>8</v>
          </cell>
          <cell r="D486">
            <v>22.23</v>
          </cell>
          <cell r="E486">
            <v>2</v>
          </cell>
          <cell r="F486">
            <v>0</v>
          </cell>
          <cell r="G486">
            <v>0</v>
          </cell>
          <cell r="H486">
            <v>0</v>
          </cell>
          <cell r="I486">
            <v>0.81</v>
          </cell>
          <cell r="J486">
            <v>11.49</v>
          </cell>
          <cell r="K486">
            <v>12.3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4</v>
          </cell>
        </row>
        <row r="487">
          <cell r="B487" t="str">
            <v>XXS</v>
          </cell>
          <cell r="C487">
            <v>10</v>
          </cell>
          <cell r="D487">
            <v>25.4</v>
          </cell>
          <cell r="E487" t="str">
            <v>N</v>
          </cell>
          <cell r="F487">
            <v>0</v>
          </cell>
          <cell r="G487">
            <v>0</v>
          </cell>
          <cell r="H487">
            <v>0</v>
          </cell>
          <cell r="I487">
            <v>1.01</v>
          </cell>
          <cell r="J487">
            <v>18.489999999999998</v>
          </cell>
          <cell r="K487">
            <v>19.5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4</v>
          </cell>
        </row>
        <row r="488">
          <cell r="B488" t="str">
            <v>XXS</v>
          </cell>
          <cell r="C488">
            <v>12</v>
          </cell>
          <cell r="D488">
            <v>25.4</v>
          </cell>
          <cell r="E488" t="str">
            <v>N</v>
          </cell>
          <cell r="F488">
            <v>0</v>
          </cell>
          <cell r="G488">
            <v>0</v>
          </cell>
          <cell r="H488">
            <v>0</v>
          </cell>
          <cell r="I488">
            <v>1.22</v>
          </cell>
          <cell r="J488">
            <v>21.27</v>
          </cell>
          <cell r="K488">
            <v>22.49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6</v>
          </cell>
        </row>
        <row r="489">
          <cell r="B489">
            <v>8.73</v>
          </cell>
          <cell r="C489">
            <v>64</v>
          </cell>
          <cell r="D489">
            <v>8.73</v>
          </cell>
          <cell r="E489">
            <v>1</v>
          </cell>
          <cell r="F489">
            <v>0</v>
          </cell>
          <cell r="G489">
            <v>0</v>
          </cell>
          <cell r="H489">
            <v>0</v>
          </cell>
          <cell r="I489">
            <v>6.49</v>
          </cell>
          <cell r="J489">
            <v>20.29</v>
          </cell>
          <cell r="K489">
            <v>26.78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21</v>
          </cell>
        </row>
      </sheetData>
      <sheetData sheetId="4">
        <row r="1">
          <cell r="A1" t="str">
            <v>STATISTICAL ESTIMATION OF FITTINGS AND VALVES FOR PIPING WORK</v>
          </cell>
        </row>
      </sheetData>
      <sheetData sheetId="5">
        <row r="1">
          <cell r="A1" t="str">
            <v>STATISTICAL ESTIMATION OF FITTINGS AND VALVES FOR PIPING WORK</v>
          </cell>
        </row>
      </sheetData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 refreshError="1"/>
      <sheetData sheetId="51">
        <row r="1">
          <cell r="A1" t="str">
            <v>STATISTICAL ESTIMATION OF FITTINGS AND VALVES FOR PIPING WORK</v>
          </cell>
        </row>
      </sheetData>
      <sheetData sheetId="52"/>
      <sheetData sheetId="53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/>
      <sheetData sheetId="142"/>
      <sheetData sheetId="143"/>
      <sheetData sheetId="144"/>
      <sheetData sheetId="145"/>
      <sheetData sheetId="146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>
        <row r="1">
          <cell r="A1" t="str">
            <v>STATISTICAL ESTIMATION OF FITTINGS AND VALVES FOR PIPING WORK</v>
          </cell>
        </row>
      </sheetData>
      <sheetData sheetId="170"/>
      <sheetData sheetId="171" refreshError="1"/>
      <sheetData sheetId="172" refreshError="1"/>
      <sheetData sheetId="173" refreshError="1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 refreshError="1"/>
      <sheetData sheetId="192" refreshError="1"/>
      <sheetData sheetId="193">
        <row r="1">
          <cell r="A1" t="str">
            <v>STATISTICAL ESTIMATION OF FITTINGS AND VALVES FOR PIPING WORK</v>
          </cell>
        </row>
      </sheetData>
      <sheetData sheetId="194">
        <row r="1">
          <cell r="A1" t="str">
            <v>STATISTICAL ESTIMATION OF FITTINGS AND VALVES FOR PIPING WORK</v>
          </cell>
        </row>
      </sheetData>
      <sheetData sheetId="195">
        <row r="1">
          <cell r="A1" t="str">
            <v>STATISTICAL ESTIMATION OF FITTINGS AND VALVES FOR PIPING WORK</v>
          </cell>
        </row>
      </sheetData>
      <sheetData sheetId="196">
        <row r="1">
          <cell r="A1" t="str">
            <v>STATISTICAL ESTIMATION OF FITTINGS AND VALVES FOR PIPING WORK</v>
          </cell>
        </row>
      </sheetData>
      <sheetData sheetId="197">
        <row r="1">
          <cell r="A1" t="str">
            <v>STATISTICAL ESTIMATION OF FITTINGS AND VALVES FOR PIPING WORK</v>
          </cell>
        </row>
      </sheetData>
      <sheetData sheetId="198">
        <row r="1">
          <cell r="A1" t="str">
            <v>STATISTICAL ESTIMATION OF FITTINGS AND VALVES FOR PIPING WORK</v>
          </cell>
        </row>
      </sheetData>
      <sheetData sheetId="199">
        <row r="1">
          <cell r="A1" t="str">
            <v>STATISTICAL ESTIMATION OF FITTINGS AND VALVES FOR PIPING WORK</v>
          </cell>
        </row>
      </sheetData>
      <sheetData sheetId="200">
        <row r="1">
          <cell r="A1" t="str">
            <v>STATISTICAL ESTIMATION OF FITTINGS AND VALVES FOR PIPING WORK</v>
          </cell>
        </row>
      </sheetData>
      <sheetData sheetId="201">
        <row r="1">
          <cell r="A1" t="str">
            <v>STATISTICAL ESTIMATION OF FITTINGS AND VALVES FOR PIPING WORK</v>
          </cell>
        </row>
      </sheetData>
      <sheetData sheetId="202">
        <row r="1">
          <cell r="A1" t="str">
            <v>STATISTICAL ESTIMATION OF FITTINGS AND VALVES FOR PIPING WORK</v>
          </cell>
        </row>
      </sheetData>
      <sheetData sheetId="203">
        <row r="1">
          <cell r="A1" t="str">
            <v>STATISTICAL ESTIMATION OF FITTINGS AND VALVES FOR PIPING WORK</v>
          </cell>
        </row>
      </sheetData>
      <sheetData sheetId="204">
        <row r="1">
          <cell r="A1" t="str">
            <v>STATISTICAL ESTIMATION OF FITTINGS AND VALVES FOR PIPING WORK</v>
          </cell>
        </row>
      </sheetData>
      <sheetData sheetId="205">
        <row r="1">
          <cell r="A1" t="str">
            <v>STATISTICAL ESTIMATION OF FITTINGS AND VALVES FOR PIPING WORK</v>
          </cell>
        </row>
      </sheetData>
      <sheetData sheetId="206">
        <row r="1">
          <cell r="A1" t="str">
            <v>STATISTICAL ESTIMATION OF FITTINGS AND VALVES FOR PIPING WORK</v>
          </cell>
        </row>
      </sheetData>
      <sheetData sheetId="207">
        <row r="1">
          <cell r="A1" t="str">
            <v>STATISTICAL ESTIMATION OF FITTINGS AND VALVES FOR PIPING WORK</v>
          </cell>
        </row>
      </sheetData>
      <sheetData sheetId="208">
        <row r="1">
          <cell r="A1" t="str">
            <v>STATISTICAL ESTIMATION OF FITTINGS AND VALVES FOR PIPING WORK</v>
          </cell>
        </row>
      </sheetData>
      <sheetData sheetId="209">
        <row r="1">
          <cell r="A1" t="str">
            <v>STATISTICAL ESTIMATION OF FITTINGS AND VALVES FOR PIPING WORK</v>
          </cell>
        </row>
      </sheetData>
      <sheetData sheetId="210">
        <row r="1">
          <cell r="A1" t="str">
            <v>STATISTICAL ESTIMATION OF FITTINGS AND VALVES FOR PIPING WORK</v>
          </cell>
        </row>
      </sheetData>
      <sheetData sheetId="211">
        <row r="1">
          <cell r="A1" t="str">
            <v>STATISTICAL ESTIMATION OF FITTINGS AND VALVES FOR PIPING WORK</v>
          </cell>
        </row>
      </sheetData>
      <sheetData sheetId="212">
        <row r="1">
          <cell r="A1" t="str">
            <v>STATISTICAL ESTIMATION OF FITTINGS AND VALVES FOR PIPING WORK</v>
          </cell>
        </row>
      </sheetData>
      <sheetData sheetId="213">
        <row r="1">
          <cell r="A1" t="str">
            <v>STATISTICAL ESTIMATION OF FITTINGS AND VALVES FOR PIPING WORK</v>
          </cell>
        </row>
      </sheetData>
      <sheetData sheetId="214">
        <row r="1">
          <cell r="A1" t="str">
            <v>STATISTICAL ESTIMATION OF FITTINGS AND VALVES FOR PIPING WORK</v>
          </cell>
        </row>
      </sheetData>
      <sheetData sheetId="215">
        <row r="1">
          <cell r="A1" t="str">
            <v>STATISTICAL ESTIMATION OF FITTINGS AND VALVES FOR PIPING WORK</v>
          </cell>
        </row>
      </sheetData>
      <sheetData sheetId="216">
        <row r="1">
          <cell r="A1" t="str">
            <v>STATISTICAL ESTIMATION OF FITTINGS AND VALVES FOR PIPING WORK</v>
          </cell>
        </row>
      </sheetData>
      <sheetData sheetId="217">
        <row r="1">
          <cell r="A1" t="str">
            <v>STATISTICAL ESTIMATION OF FITTINGS AND VALVES FOR PIPING WORK</v>
          </cell>
        </row>
      </sheetData>
      <sheetData sheetId="218">
        <row r="1">
          <cell r="A1" t="str">
            <v>STATISTICAL ESTIMATION OF FITTINGS AND VALVES FOR PIPING WORK</v>
          </cell>
        </row>
      </sheetData>
      <sheetData sheetId="219">
        <row r="8">
          <cell r="B8" t="str">
            <v>5S</v>
          </cell>
        </row>
      </sheetData>
      <sheetData sheetId="220">
        <row r="8">
          <cell r="B8" t="str">
            <v>5S</v>
          </cell>
        </row>
      </sheetData>
      <sheetData sheetId="221">
        <row r="1">
          <cell r="A1" t="str">
            <v>STATISTICAL ESTIMATION OF FITTINGS AND VALVES FOR PIPING WORK</v>
          </cell>
        </row>
      </sheetData>
      <sheetData sheetId="222">
        <row r="1">
          <cell r="A1" t="str">
            <v>STATISTICAL ESTIMATION OF FITTINGS AND VALVES FOR PIPING WORK</v>
          </cell>
        </row>
      </sheetData>
      <sheetData sheetId="223">
        <row r="1">
          <cell r="A1" t="str">
            <v>STATISTICAL ESTIMATION OF FITTINGS AND VALVES FOR PIPING WORK</v>
          </cell>
        </row>
      </sheetData>
      <sheetData sheetId="224">
        <row r="1">
          <cell r="A1" t="str">
            <v>STATISTICAL ESTIMATION OF FITTINGS AND VALVES FOR PIPING WORK</v>
          </cell>
        </row>
      </sheetData>
      <sheetData sheetId="225">
        <row r="8">
          <cell r="B8" t="str">
            <v>5S</v>
          </cell>
        </row>
      </sheetData>
      <sheetData sheetId="226">
        <row r="8">
          <cell r="B8" t="str">
            <v>5S</v>
          </cell>
        </row>
      </sheetData>
      <sheetData sheetId="227"/>
      <sheetData sheetId="228">
        <row r="8">
          <cell r="B8" t="str">
            <v>5S</v>
          </cell>
        </row>
      </sheetData>
      <sheetData sheetId="229"/>
      <sheetData sheetId="230"/>
      <sheetData sheetId="231"/>
      <sheetData sheetId="232">
        <row r="8">
          <cell r="B8" t="str">
            <v>5S</v>
          </cell>
        </row>
      </sheetData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>
        <row r="1">
          <cell r="A1" t="str">
            <v>STATISTICAL ESTIMATION OF FITTINGS AND VALVES FOR PIPING WORK</v>
          </cell>
        </row>
      </sheetData>
      <sheetData sheetId="361">
        <row r="1">
          <cell r="A1" t="str">
            <v>STATISTICAL ESTIMATION OF FITTINGS AND VALVES FOR PIPING WORK</v>
          </cell>
        </row>
      </sheetData>
      <sheetData sheetId="362">
        <row r="1">
          <cell r="A1" t="str">
            <v>STATISTICAL ESTIMATION OF FITTINGS AND VALVES FOR PIPING WORK</v>
          </cell>
        </row>
      </sheetData>
      <sheetData sheetId="363">
        <row r="8">
          <cell r="A8">
            <v>3</v>
          </cell>
        </row>
      </sheetData>
      <sheetData sheetId="364">
        <row r="1">
          <cell r="A1" t="str">
            <v>STATISTICAL ESTIMATION OF FITTINGS AND VALVES FOR PIPING WORK</v>
          </cell>
        </row>
      </sheetData>
      <sheetData sheetId="365">
        <row r="1">
          <cell r="A1" t="str">
            <v>STATISTICAL ESTIMATION OF FITTINGS AND VALVES FOR PIPING WORK</v>
          </cell>
        </row>
      </sheetData>
      <sheetData sheetId="366">
        <row r="1">
          <cell r="A1" t="str">
            <v>STATISTICAL ESTIMATION OF FITTINGS AND VALVES FOR PIPING WORK</v>
          </cell>
        </row>
      </sheetData>
      <sheetData sheetId="367">
        <row r="1">
          <cell r="A1" t="str">
            <v>STATISTICAL ESTIMATION OF FITTINGS AND VALVES FOR PIPING WORK</v>
          </cell>
        </row>
      </sheetData>
      <sheetData sheetId="368"/>
      <sheetData sheetId="369">
        <row r="8">
          <cell r="B8" t="str">
            <v>5S</v>
          </cell>
        </row>
      </sheetData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>
        <row r="8">
          <cell r="B8" t="str">
            <v>5S</v>
          </cell>
        </row>
      </sheetData>
      <sheetData sheetId="392">
        <row r="8">
          <cell r="B8" t="str">
            <v>5S</v>
          </cell>
        </row>
      </sheetData>
      <sheetData sheetId="393"/>
      <sheetData sheetId="394"/>
      <sheetData sheetId="395" refreshError="1"/>
      <sheetData sheetId="396" refreshError="1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>
        <row r="8">
          <cell r="A8">
            <v>3</v>
          </cell>
        </row>
      </sheetData>
      <sheetData sheetId="425">
        <row r="8">
          <cell r="A8">
            <v>3</v>
          </cell>
        </row>
      </sheetData>
      <sheetData sheetId="426">
        <row r="1">
          <cell r="A1" t="str">
            <v>STATISTICAL ESTIMATION OF FITTINGS AND VALVES FOR PIPING WORK</v>
          </cell>
        </row>
      </sheetData>
      <sheetData sheetId="427">
        <row r="1">
          <cell r="A1" t="str">
            <v>STATISTICAL ESTIMATION OF FITTINGS AND VALVES FOR PIPING WORK</v>
          </cell>
        </row>
      </sheetData>
      <sheetData sheetId="428">
        <row r="8">
          <cell r="A8">
            <v>3</v>
          </cell>
        </row>
      </sheetData>
      <sheetData sheetId="429">
        <row r="8">
          <cell r="A8">
            <v>3</v>
          </cell>
        </row>
      </sheetData>
      <sheetData sheetId="430">
        <row r="1">
          <cell r="A1" t="str">
            <v>STATISTICAL ESTIMATION OF FITTINGS AND VALVES FOR PIPING WORK</v>
          </cell>
        </row>
      </sheetData>
      <sheetData sheetId="431">
        <row r="1">
          <cell r="A1" t="str">
            <v>STATISTICAL ESTIMATION OF FITTINGS AND VALVES FOR PIPING WORK</v>
          </cell>
        </row>
      </sheetData>
      <sheetData sheetId="432">
        <row r="1">
          <cell r="A1" t="str">
            <v>STATISTICAL ESTIMATION OF FITTINGS AND VALVES FOR PIPING WORK</v>
          </cell>
        </row>
      </sheetData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>
        <row r="8">
          <cell r="B8" t="str">
            <v>5S</v>
          </cell>
        </row>
      </sheetData>
      <sheetData sheetId="465"/>
      <sheetData sheetId="466"/>
      <sheetData sheetId="467"/>
      <sheetData sheetId="468">
        <row r="8">
          <cell r="B8" t="str">
            <v>5S</v>
          </cell>
        </row>
      </sheetData>
      <sheetData sheetId="469">
        <row r="8">
          <cell r="B8" t="str">
            <v>5S</v>
          </cell>
        </row>
      </sheetData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 refreshError="1"/>
      <sheetData sheetId="492" refreshError="1"/>
      <sheetData sheetId="493"/>
      <sheetData sheetId="494"/>
      <sheetData sheetId="495" refreshError="1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 refreshError="1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 refreshError="1"/>
      <sheetData sheetId="556" refreshError="1"/>
      <sheetData sheetId="557" refreshError="1"/>
      <sheetData sheetId="558" refreshError="1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 refreshError="1"/>
      <sheetData sheetId="628" refreshError="1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 refreshError="1"/>
      <sheetData sheetId="643"/>
      <sheetData sheetId="644"/>
      <sheetData sheetId="645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/>
      <sheetData sheetId="722"/>
      <sheetData sheetId="723"/>
      <sheetData sheetId="724"/>
      <sheetData sheetId="725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/>
      <sheetData sheetId="744"/>
      <sheetData sheetId="745"/>
      <sheetData sheetId="746" refreshError="1"/>
      <sheetData sheetId="747" refreshError="1"/>
      <sheetData sheetId="748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/>
      <sheetData sheetId="795"/>
      <sheetData sheetId="796"/>
      <sheetData sheetId="797"/>
      <sheetData sheetId="798"/>
      <sheetData sheetId="799" refreshError="1"/>
      <sheetData sheetId="800"/>
      <sheetData sheetId="801"/>
      <sheetData sheetId="802"/>
      <sheetData sheetId="803"/>
      <sheetData sheetId="804"/>
      <sheetData sheetId="805"/>
      <sheetData sheetId="806" refreshError="1"/>
      <sheetData sheetId="807"/>
      <sheetData sheetId="808"/>
      <sheetData sheetId="809"/>
      <sheetData sheetId="810" refreshError="1"/>
      <sheetData sheetId="811"/>
      <sheetData sheetId="812" refreshError="1"/>
      <sheetData sheetId="813"/>
      <sheetData sheetId="814"/>
      <sheetData sheetId="815"/>
      <sheetData sheetId="816" refreshError="1"/>
      <sheetData sheetId="817" refreshError="1"/>
      <sheetData sheetId="818" refreshError="1"/>
      <sheetData sheetId="819" refreshError="1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 refreshError="1"/>
      <sheetData sheetId="832"/>
      <sheetData sheetId="833" refreshError="1"/>
      <sheetData sheetId="834" refreshError="1"/>
      <sheetData sheetId="835"/>
      <sheetData sheetId="836"/>
      <sheetData sheetId="837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/>
      <sheetData sheetId="844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/>
      <sheetData sheetId="882" refreshError="1"/>
      <sheetData sheetId="883" refreshError="1"/>
      <sheetData sheetId="884" refreshError="1"/>
      <sheetData sheetId="885"/>
      <sheetData sheetId="886"/>
      <sheetData sheetId="887"/>
      <sheetData sheetId="888"/>
      <sheetData sheetId="889" refreshError="1"/>
      <sheetData sheetId="890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>
        <row r="1">
          <cell r="A1" t="str">
            <v>STATISTICAL ESTIMATION OF FITTINGS AND VALVES FOR PIPING WORK</v>
          </cell>
        </row>
      </sheetData>
      <sheetData sheetId="913">
        <row r="1">
          <cell r="A1" t="str">
            <v>STATISTICAL ESTIMATION OF FITTINGS AND VALVES FOR PIPING WORK</v>
          </cell>
        </row>
      </sheetData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>
        <row r="1">
          <cell r="A1" t="str">
            <v>STATISTICAL ESTIMATION OF FITTINGS AND VALVES FOR PIPING WORK</v>
          </cell>
        </row>
      </sheetData>
      <sheetData sheetId="954">
        <row r="1">
          <cell r="A1" t="str">
            <v>STATISTICAL ESTIMATION OF FITTINGS AND VALVES FOR PIPING WORK</v>
          </cell>
        </row>
      </sheetData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 refreshError="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/>
      <sheetData sheetId="1020"/>
      <sheetData sheetId="1021"/>
      <sheetData sheetId="1022">
        <row r="1">
          <cell r="A1" t="str">
            <v>STATISTICAL ESTIMATION OF FITTINGS AND VALVES FOR PIPING WORK</v>
          </cell>
        </row>
      </sheetData>
      <sheetData sheetId="1023"/>
      <sheetData sheetId="1024">
        <row r="1">
          <cell r="A1" t="str">
            <v>STATISTICAL ESTIMATION OF FITTINGS AND VALVES FOR PIPING WORK</v>
          </cell>
        </row>
      </sheetData>
      <sheetData sheetId="1025"/>
      <sheetData sheetId="1026">
        <row r="1">
          <cell r="A1" t="str">
            <v>STATISTICAL ESTIMATION OF FITTINGS AND VALVES FOR PIPING WORK</v>
          </cell>
        </row>
      </sheetData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 refreshError="1"/>
      <sheetData sheetId="1084" refreshError="1"/>
      <sheetData sheetId="1085" refreshError="1"/>
      <sheetData sheetId="1086"/>
      <sheetData sheetId="1087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/>
      <sheetData sheetId="1096"/>
      <sheetData sheetId="1097"/>
      <sheetData sheetId="1098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/>
      <sheetData sheetId="1111"/>
      <sheetData sheetId="1112"/>
      <sheetData sheetId="1113"/>
      <sheetData sheetId="1114"/>
      <sheetData sheetId="1115"/>
      <sheetData sheetId="1116" refreshError="1"/>
      <sheetData sheetId="1117" refreshError="1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 refreshError="1"/>
      <sheetData sheetId="1132" refreshError="1"/>
      <sheetData sheetId="1133" refreshError="1"/>
      <sheetData sheetId="1134" refreshError="1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 refreshError="1"/>
      <sheetData sheetId="1148" refreshError="1"/>
      <sheetData sheetId="1149" refreshError="1"/>
      <sheetData sheetId="1150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/>
      <sheetData sheetId="1385"/>
      <sheetData sheetId="1386"/>
      <sheetData sheetId="1387"/>
      <sheetData sheetId="1388"/>
      <sheetData sheetId="1389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/>
      <sheetData sheetId="1402"/>
      <sheetData sheetId="1403"/>
      <sheetData sheetId="1404"/>
      <sheetData sheetId="1405"/>
      <sheetData sheetId="1406"/>
      <sheetData sheetId="1407" refreshError="1"/>
      <sheetData sheetId="1408" refreshError="1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 refreshError="1"/>
      <sheetData sheetId="1423" refreshError="1"/>
      <sheetData sheetId="1424" refreshError="1"/>
      <sheetData sheetId="1425" refreshError="1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/>
      <sheetData sheetId="1668"/>
      <sheetData sheetId="1669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 refreshError="1"/>
      <sheetData sheetId="1721" refreshError="1"/>
      <sheetData sheetId="1722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/>
      <sheetData sheetId="1731"/>
      <sheetData sheetId="1732"/>
      <sheetData sheetId="1733" refreshError="1"/>
      <sheetData sheetId="1734"/>
      <sheetData sheetId="1735"/>
      <sheetData sheetId="1736" refreshError="1"/>
      <sheetData sheetId="1737" refreshError="1"/>
      <sheetData sheetId="1738" refreshError="1"/>
      <sheetData sheetId="1739" refreshError="1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 refreshError="1"/>
      <sheetData sheetId="1797" refreshError="1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>
        <row r="1">
          <cell r="A1" t="str">
            <v>STATISTICAL ESTIMATION OF FITTINGS AND VALVES FOR PIPING WORK</v>
          </cell>
        </row>
      </sheetData>
      <sheetData sheetId="1846">
        <row r="1">
          <cell r="A1" t="str">
            <v>STATISTICAL ESTIMATION OF FITTINGS AND VALVES FOR PIPING WORK</v>
          </cell>
        </row>
      </sheetData>
      <sheetData sheetId="1847">
        <row r="1">
          <cell r="A1" t="str">
            <v>STATISTICAL ESTIMATION OF FITTINGS AND VALVES FOR PIPING WORK</v>
          </cell>
        </row>
      </sheetData>
      <sheetData sheetId="1848">
        <row r="1">
          <cell r="A1" t="str">
            <v>STATISTICAL ESTIMATION OF FITTINGS AND VALVES FOR PIPING WORK</v>
          </cell>
        </row>
      </sheetData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 refreshError="1"/>
      <sheetData sheetId="2213" refreshError="1"/>
      <sheetData sheetId="2214" refreshError="1"/>
      <sheetData sheetId="2215" refreshError="1"/>
      <sheetData sheetId="2216"/>
      <sheetData sheetId="2217" refreshError="1"/>
      <sheetData sheetId="2218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 refreshError="1"/>
      <sheetData sheetId="2348" refreshError="1"/>
      <sheetData sheetId="2349" refreshError="1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 refreshError="1"/>
      <sheetData sheetId="2407" refreshError="1"/>
      <sheetData sheetId="2408"/>
      <sheetData sheetId="2409"/>
      <sheetData sheetId="2410"/>
      <sheetData sheetId="2411" refreshError="1"/>
      <sheetData sheetId="2412" refreshError="1"/>
      <sheetData sheetId="2413"/>
      <sheetData sheetId="2414"/>
      <sheetData sheetId="2415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NXT HH năm 2011"/>
      <sheetName val="Tổng hợp chênh lệch"/>
      <sheetName val="So sánh SL LPG xuất bán và NXT "/>
      <sheetName val="Provision"/>
      <sheetName val="Tháng 1"/>
      <sheetName val="Test tỷ lệ hao hụt"/>
      <sheetName val="Tickmarks"/>
    </sheetNames>
    <sheetDataSet>
      <sheetData sheetId="0">
        <row r="11">
          <cell r="T11">
            <v>17728823234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ổng hợp chênh lệch"/>
      <sheetName val="156-2012"/>
      <sheetName val="NXT ko vay tra"/>
      <sheetName val="NXT vay tra"/>
      <sheetName val="BC hao hut 2012"/>
      <sheetName val="Sheet1"/>
      <sheetName val="2011 chot voi KT"/>
      <sheetName val="T12"/>
      <sheetName val="T11-2"/>
      <sheetName val="T10"/>
      <sheetName val="T9"/>
      <sheetName val="T8"/>
      <sheetName val="T7"/>
      <sheetName val="T6"/>
      <sheetName val="T5"/>
      <sheetName val="T4 "/>
      <sheetName val="T3"/>
      <sheetName val="T2"/>
      <sheetName val="T1"/>
      <sheetName val="LC"/>
      <sheetName val="TTR - Maxsun"/>
    </sheetNames>
    <sheetDataSet>
      <sheetData sheetId="0">
        <row r="46">
          <cell r="C46">
            <v>17483233312.54834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360"/>
  <sheetViews>
    <sheetView workbookViewId="0">
      <selection activeCell="G10" sqref="G10"/>
    </sheetView>
  </sheetViews>
  <sheetFormatPr defaultRowHeight="12.75"/>
  <cols>
    <col min="13" max="14" width="9.1640625" style="34"/>
  </cols>
  <sheetData>
    <row r="1" spans="1:15" s="5" customFormat="1" ht="6.75" customHeight="1">
      <c r="A1" s="1"/>
      <c r="B1" s="1"/>
      <c r="C1" s="2"/>
      <c r="D1" s="2"/>
      <c r="E1" s="2"/>
      <c r="F1" s="2"/>
      <c r="G1" s="1"/>
      <c r="H1" s="3"/>
      <c r="I1" s="4"/>
      <c r="J1" s="2"/>
      <c r="M1" s="14"/>
      <c r="N1" s="14"/>
    </row>
    <row r="2" spans="1:15" s="5" customFormat="1" ht="20.45" customHeight="1">
      <c r="A2" s="55" t="s">
        <v>15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</row>
    <row r="3" spans="1:15" s="5" customFormat="1" ht="18.600000000000001" customHeight="1">
      <c r="A3" s="56" t="s">
        <v>36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</row>
    <row r="4" spans="1:15" s="5" customFormat="1" ht="7.5" customHeight="1">
      <c r="A4" s="1"/>
      <c r="B4" s="1"/>
      <c r="C4" s="2"/>
      <c r="D4" s="2"/>
      <c r="E4" s="2"/>
      <c r="F4" s="2"/>
      <c r="G4" s="1"/>
      <c r="H4" s="3"/>
      <c r="I4" s="4"/>
      <c r="J4" s="2"/>
      <c r="M4" s="14"/>
      <c r="N4" s="14"/>
    </row>
    <row r="5" spans="1:15" s="5" customFormat="1" ht="25.15" customHeight="1">
      <c r="A5" s="57" t="s">
        <v>4</v>
      </c>
      <c r="B5" s="58" t="s">
        <v>5</v>
      </c>
      <c r="C5" s="59" t="s">
        <v>2</v>
      </c>
      <c r="D5" s="58" t="s">
        <v>16</v>
      </c>
      <c r="E5" s="58"/>
      <c r="F5" s="58" t="s">
        <v>9</v>
      </c>
      <c r="G5" s="58"/>
      <c r="H5" s="58"/>
      <c r="I5" s="58"/>
      <c r="J5" s="58"/>
      <c r="K5" s="58"/>
      <c r="L5" s="58"/>
      <c r="M5" s="58"/>
      <c r="N5" s="58"/>
      <c r="O5" s="58"/>
    </row>
    <row r="6" spans="1:15" s="10" customFormat="1" ht="53.25" customHeight="1">
      <c r="A6" s="57"/>
      <c r="B6" s="58"/>
      <c r="C6" s="59"/>
      <c r="D6" s="6" t="s">
        <v>10</v>
      </c>
      <c r="E6" s="11" t="s">
        <v>8</v>
      </c>
      <c r="F6" s="7" t="s">
        <v>3</v>
      </c>
      <c r="G6" s="8" t="s">
        <v>6</v>
      </c>
      <c r="H6" s="9" t="s">
        <v>1</v>
      </c>
      <c r="I6" s="6" t="s">
        <v>17</v>
      </c>
      <c r="J6" s="7" t="s">
        <v>7</v>
      </c>
      <c r="K6" s="7" t="s">
        <v>11</v>
      </c>
      <c r="L6" s="7" t="s">
        <v>12</v>
      </c>
      <c r="M6" s="33" t="s">
        <v>13</v>
      </c>
      <c r="N6" s="33" t="s">
        <v>14</v>
      </c>
      <c r="O6" s="7" t="s">
        <v>0</v>
      </c>
    </row>
    <row r="7" spans="1:15">
      <c r="M7" s="32" t="str">
        <f>IF(L7="1",I7,"")</f>
        <v/>
      </c>
      <c r="N7" s="32" t="str">
        <f>IF(L7="2",I7,"")</f>
        <v/>
      </c>
    </row>
    <row r="8" spans="1:15">
      <c r="M8" s="32" t="str">
        <f t="shared" ref="M8:M71" si="0">IF(L8="1",I8,"")</f>
        <v/>
      </c>
      <c r="N8" s="32" t="str">
        <f t="shared" ref="N8:N71" si="1">IF(L8="2",I8,"")</f>
        <v/>
      </c>
    </row>
    <row r="9" spans="1:15">
      <c r="M9" s="32" t="str">
        <f t="shared" si="0"/>
        <v/>
      </c>
      <c r="N9" s="32" t="str">
        <f t="shared" si="1"/>
        <v/>
      </c>
    </row>
    <row r="10" spans="1:15">
      <c r="M10" s="32" t="str">
        <f t="shared" si="0"/>
        <v/>
      </c>
      <c r="N10" s="32" t="str">
        <f t="shared" si="1"/>
        <v/>
      </c>
    </row>
    <row r="11" spans="1:15">
      <c r="M11" s="32" t="str">
        <f t="shared" si="0"/>
        <v/>
      </c>
      <c r="N11" s="32" t="str">
        <f t="shared" si="1"/>
        <v/>
      </c>
    </row>
    <row r="12" spans="1:15">
      <c r="M12" s="32" t="str">
        <f t="shared" si="0"/>
        <v/>
      </c>
      <c r="N12" s="32" t="str">
        <f t="shared" si="1"/>
        <v/>
      </c>
    </row>
    <row r="13" spans="1:15">
      <c r="M13" s="32" t="str">
        <f t="shared" si="0"/>
        <v/>
      </c>
      <c r="N13" s="32" t="str">
        <f t="shared" si="1"/>
        <v/>
      </c>
    </row>
    <row r="14" spans="1:15">
      <c r="M14" s="32" t="str">
        <f t="shared" si="0"/>
        <v/>
      </c>
      <c r="N14" s="32" t="str">
        <f t="shared" si="1"/>
        <v/>
      </c>
    </row>
    <row r="15" spans="1:15">
      <c r="M15" s="32" t="str">
        <f t="shared" si="0"/>
        <v/>
      </c>
      <c r="N15" s="32" t="str">
        <f t="shared" si="1"/>
        <v/>
      </c>
    </row>
    <row r="16" spans="1:15">
      <c r="M16" s="32" t="str">
        <f t="shared" si="0"/>
        <v/>
      </c>
      <c r="N16" s="32" t="str">
        <f t="shared" si="1"/>
        <v/>
      </c>
    </row>
    <row r="17" spans="13:14">
      <c r="M17" s="32" t="str">
        <f t="shared" si="0"/>
        <v/>
      </c>
      <c r="N17" s="32" t="str">
        <f t="shared" si="1"/>
        <v/>
      </c>
    </row>
    <row r="18" spans="13:14">
      <c r="M18" s="32" t="str">
        <f t="shared" si="0"/>
        <v/>
      </c>
      <c r="N18" s="32" t="str">
        <f t="shared" si="1"/>
        <v/>
      </c>
    </row>
    <row r="19" spans="13:14">
      <c r="M19" s="32" t="str">
        <f t="shared" si="0"/>
        <v/>
      </c>
      <c r="N19" s="32" t="str">
        <f t="shared" si="1"/>
        <v/>
      </c>
    </row>
    <row r="20" spans="13:14">
      <c r="M20" s="32" t="str">
        <f t="shared" si="0"/>
        <v/>
      </c>
      <c r="N20" s="32" t="str">
        <f t="shared" si="1"/>
        <v/>
      </c>
    </row>
    <row r="21" spans="13:14">
      <c r="M21" s="32" t="str">
        <f t="shared" si="0"/>
        <v/>
      </c>
      <c r="N21" s="32" t="str">
        <f t="shared" si="1"/>
        <v/>
      </c>
    </row>
    <row r="22" spans="13:14">
      <c r="M22" s="32" t="str">
        <f t="shared" si="0"/>
        <v/>
      </c>
      <c r="N22" s="32" t="str">
        <f t="shared" si="1"/>
        <v/>
      </c>
    </row>
    <row r="23" spans="13:14">
      <c r="M23" s="32" t="str">
        <f t="shared" si="0"/>
        <v/>
      </c>
      <c r="N23" s="32" t="str">
        <f t="shared" si="1"/>
        <v/>
      </c>
    </row>
    <row r="24" spans="13:14">
      <c r="M24" s="32" t="str">
        <f t="shared" si="0"/>
        <v/>
      </c>
      <c r="N24" s="32" t="str">
        <f t="shared" si="1"/>
        <v/>
      </c>
    </row>
    <row r="25" spans="13:14">
      <c r="M25" s="32" t="str">
        <f t="shared" si="0"/>
        <v/>
      </c>
      <c r="N25" s="32" t="str">
        <f t="shared" si="1"/>
        <v/>
      </c>
    </row>
    <row r="26" spans="13:14">
      <c r="M26" s="32" t="str">
        <f t="shared" si="0"/>
        <v/>
      </c>
      <c r="N26" s="32" t="str">
        <f t="shared" si="1"/>
        <v/>
      </c>
    </row>
    <row r="27" spans="13:14">
      <c r="M27" s="32" t="str">
        <f t="shared" si="0"/>
        <v/>
      </c>
      <c r="N27" s="32" t="str">
        <f t="shared" si="1"/>
        <v/>
      </c>
    </row>
    <row r="28" spans="13:14">
      <c r="M28" s="32" t="str">
        <f t="shared" si="0"/>
        <v/>
      </c>
      <c r="N28" s="32" t="str">
        <f t="shared" si="1"/>
        <v/>
      </c>
    </row>
    <row r="29" spans="13:14">
      <c r="M29" s="32" t="str">
        <f t="shared" si="0"/>
        <v/>
      </c>
      <c r="N29" s="32" t="str">
        <f t="shared" si="1"/>
        <v/>
      </c>
    </row>
    <row r="30" spans="13:14">
      <c r="M30" s="32" t="str">
        <f t="shared" si="0"/>
        <v/>
      </c>
      <c r="N30" s="32" t="str">
        <f t="shared" si="1"/>
        <v/>
      </c>
    </row>
    <row r="31" spans="13:14">
      <c r="M31" s="32" t="str">
        <f t="shared" si="0"/>
        <v/>
      </c>
      <c r="N31" s="32" t="str">
        <f t="shared" si="1"/>
        <v/>
      </c>
    </row>
    <row r="32" spans="13:14">
      <c r="M32" s="32" t="str">
        <f t="shared" si="0"/>
        <v/>
      </c>
      <c r="N32" s="32" t="str">
        <f t="shared" si="1"/>
        <v/>
      </c>
    </row>
    <row r="33" spans="13:14">
      <c r="M33" s="32" t="str">
        <f t="shared" si="0"/>
        <v/>
      </c>
      <c r="N33" s="32" t="str">
        <f t="shared" si="1"/>
        <v/>
      </c>
    </row>
    <row r="34" spans="13:14">
      <c r="M34" s="32" t="str">
        <f t="shared" si="0"/>
        <v/>
      </c>
      <c r="N34" s="32" t="str">
        <f t="shared" si="1"/>
        <v/>
      </c>
    </row>
    <row r="35" spans="13:14">
      <c r="M35" s="32" t="str">
        <f t="shared" si="0"/>
        <v/>
      </c>
      <c r="N35" s="32" t="str">
        <f t="shared" si="1"/>
        <v/>
      </c>
    </row>
    <row r="36" spans="13:14">
      <c r="M36" s="32" t="str">
        <f t="shared" si="0"/>
        <v/>
      </c>
      <c r="N36" s="32" t="str">
        <f t="shared" si="1"/>
        <v/>
      </c>
    </row>
    <row r="37" spans="13:14">
      <c r="M37" s="32" t="str">
        <f t="shared" si="0"/>
        <v/>
      </c>
      <c r="N37" s="32" t="str">
        <f t="shared" si="1"/>
        <v/>
      </c>
    </row>
    <row r="38" spans="13:14">
      <c r="M38" s="32" t="str">
        <f t="shared" si="0"/>
        <v/>
      </c>
      <c r="N38" s="32" t="str">
        <f t="shared" si="1"/>
        <v/>
      </c>
    </row>
    <row r="39" spans="13:14">
      <c r="M39" s="32" t="str">
        <f t="shared" si="0"/>
        <v/>
      </c>
      <c r="N39" s="32" t="str">
        <f t="shared" si="1"/>
        <v/>
      </c>
    </row>
    <row r="40" spans="13:14">
      <c r="M40" s="32" t="str">
        <f t="shared" si="0"/>
        <v/>
      </c>
      <c r="N40" s="32" t="str">
        <f t="shared" si="1"/>
        <v/>
      </c>
    </row>
    <row r="41" spans="13:14">
      <c r="M41" s="32" t="str">
        <f t="shared" si="0"/>
        <v/>
      </c>
      <c r="N41" s="32" t="str">
        <f t="shared" si="1"/>
        <v/>
      </c>
    </row>
    <row r="42" spans="13:14">
      <c r="M42" s="32" t="str">
        <f t="shared" si="0"/>
        <v/>
      </c>
      <c r="N42" s="32" t="str">
        <f t="shared" si="1"/>
        <v/>
      </c>
    </row>
    <row r="43" spans="13:14">
      <c r="M43" s="32" t="str">
        <f t="shared" si="0"/>
        <v/>
      </c>
      <c r="N43" s="32" t="str">
        <f t="shared" si="1"/>
        <v/>
      </c>
    </row>
    <row r="44" spans="13:14">
      <c r="M44" s="32" t="str">
        <f t="shared" si="0"/>
        <v/>
      </c>
      <c r="N44" s="32" t="str">
        <f t="shared" si="1"/>
        <v/>
      </c>
    </row>
    <row r="45" spans="13:14">
      <c r="M45" s="32" t="str">
        <f t="shared" si="0"/>
        <v/>
      </c>
      <c r="N45" s="32" t="str">
        <f t="shared" si="1"/>
        <v/>
      </c>
    </row>
    <row r="46" spans="13:14">
      <c r="M46" s="32" t="str">
        <f t="shared" si="0"/>
        <v/>
      </c>
      <c r="N46" s="32" t="str">
        <f t="shared" si="1"/>
        <v/>
      </c>
    </row>
    <row r="47" spans="13:14">
      <c r="M47" s="32" t="str">
        <f t="shared" si="0"/>
        <v/>
      </c>
      <c r="N47" s="32" t="str">
        <f t="shared" si="1"/>
        <v/>
      </c>
    </row>
    <row r="48" spans="13:14">
      <c r="M48" s="32" t="str">
        <f t="shared" si="0"/>
        <v/>
      </c>
      <c r="N48" s="32" t="str">
        <f t="shared" si="1"/>
        <v/>
      </c>
    </row>
    <row r="49" spans="13:14">
      <c r="M49" s="32" t="str">
        <f t="shared" si="0"/>
        <v/>
      </c>
      <c r="N49" s="32" t="str">
        <f t="shared" si="1"/>
        <v/>
      </c>
    </row>
    <row r="50" spans="13:14">
      <c r="M50" s="32" t="str">
        <f t="shared" si="0"/>
        <v/>
      </c>
      <c r="N50" s="32" t="str">
        <f t="shared" si="1"/>
        <v/>
      </c>
    </row>
    <row r="51" spans="13:14">
      <c r="M51" s="32" t="str">
        <f t="shared" si="0"/>
        <v/>
      </c>
      <c r="N51" s="32" t="str">
        <f t="shared" si="1"/>
        <v/>
      </c>
    </row>
    <row r="52" spans="13:14">
      <c r="M52" s="32" t="str">
        <f t="shared" si="0"/>
        <v/>
      </c>
      <c r="N52" s="32" t="str">
        <f t="shared" si="1"/>
        <v/>
      </c>
    </row>
    <row r="53" spans="13:14">
      <c r="M53" s="32" t="str">
        <f t="shared" si="0"/>
        <v/>
      </c>
      <c r="N53" s="32" t="str">
        <f t="shared" si="1"/>
        <v/>
      </c>
    </row>
    <row r="54" spans="13:14">
      <c r="M54" s="32" t="str">
        <f t="shared" si="0"/>
        <v/>
      </c>
      <c r="N54" s="32" t="str">
        <f t="shared" si="1"/>
        <v/>
      </c>
    </row>
    <row r="55" spans="13:14">
      <c r="M55" s="32" t="str">
        <f t="shared" si="0"/>
        <v/>
      </c>
      <c r="N55" s="32" t="str">
        <f t="shared" si="1"/>
        <v/>
      </c>
    </row>
    <row r="56" spans="13:14">
      <c r="M56" s="32" t="str">
        <f t="shared" si="0"/>
        <v/>
      </c>
      <c r="N56" s="32" t="str">
        <f t="shared" si="1"/>
        <v/>
      </c>
    </row>
    <row r="57" spans="13:14">
      <c r="M57" s="32" t="str">
        <f t="shared" si="0"/>
        <v/>
      </c>
      <c r="N57" s="32" t="str">
        <f t="shared" si="1"/>
        <v/>
      </c>
    </row>
    <row r="58" spans="13:14">
      <c r="M58" s="32" t="str">
        <f t="shared" si="0"/>
        <v/>
      </c>
      <c r="N58" s="32" t="str">
        <f t="shared" si="1"/>
        <v/>
      </c>
    </row>
    <row r="59" spans="13:14">
      <c r="M59" s="32" t="str">
        <f t="shared" si="0"/>
        <v/>
      </c>
      <c r="N59" s="32" t="str">
        <f t="shared" si="1"/>
        <v/>
      </c>
    </row>
    <row r="60" spans="13:14">
      <c r="M60" s="32" t="str">
        <f t="shared" si="0"/>
        <v/>
      </c>
      <c r="N60" s="32" t="str">
        <f t="shared" si="1"/>
        <v/>
      </c>
    </row>
    <row r="61" spans="13:14">
      <c r="M61" s="32" t="str">
        <f t="shared" si="0"/>
        <v/>
      </c>
      <c r="N61" s="32" t="str">
        <f t="shared" si="1"/>
        <v/>
      </c>
    </row>
    <row r="62" spans="13:14">
      <c r="M62" s="32" t="str">
        <f t="shared" si="0"/>
        <v/>
      </c>
      <c r="N62" s="32" t="str">
        <f t="shared" si="1"/>
        <v/>
      </c>
    </row>
    <row r="63" spans="13:14">
      <c r="M63" s="32" t="str">
        <f t="shared" si="0"/>
        <v/>
      </c>
      <c r="N63" s="32" t="str">
        <f t="shared" si="1"/>
        <v/>
      </c>
    </row>
    <row r="64" spans="13:14">
      <c r="M64" s="32" t="str">
        <f t="shared" si="0"/>
        <v/>
      </c>
      <c r="N64" s="32" t="str">
        <f t="shared" si="1"/>
        <v/>
      </c>
    </row>
    <row r="65" spans="13:14">
      <c r="M65" s="32" t="str">
        <f t="shared" si="0"/>
        <v/>
      </c>
      <c r="N65" s="32" t="str">
        <f t="shared" si="1"/>
        <v/>
      </c>
    </row>
    <row r="66" spans="13:14">
      <c r="M66" s="32" t="str">
        <f t="shared" si="0"/>
        <v/>
      </c>
      <c r="N66" s="32" t="str">
        <f t="shared" si="1"/>
        <v/>
      </c>
    </row>
    <row r="67" spans="13:14">
      <c r="M67" s="32" t="str">
        <f t="shared" si="0"/>
        <v/>
      </c>
      <c r="N67" s="32" t="str">
        <f t="shared" si="1"/>
        <v/>
      </c>
    </row>
    <row r="68" spans="13:14">
      <c r="M68" s="32" t="str">
        <f t="shared" si="0"/>
        <v/>
      </c>
      <c r="N68" s="32" t="str">
        <f t="shared" si="1"/>
        <v/>
      </c>
    </row>
    <row r="69" spans="13:14">
      <c r="M69" s="32" t="str">
        <f t="shared" si="0"/>
        <v/>
      </c>
      <c r="N69" s="32" t="str">
        <f t="shared" si="1"/>
        <v/>
      </c>
    </row>
    <row r="70" spans="13:14">
      <c r="M70" s="32" t="str">
        <f t="shared" si="0"/>
        <v/>
      </c>
      <c r="N70" s="32" t="str">
        <f t="shared" si="1"/>
        <v/>
      </c>
    </row>
    <row r="71" spans="13:14">
      <c r="M71" s="32" t="str">
        <f t="shared" si="0"/>
        <v/>
      </c>
      <c r="N71" s="32" t="str">
        <f t="shared" si="1"/>
        <v/>
      </c>
    </row>
    <row r="72" spans="13:14">
      <c r="M72" s="32" t="str">
        <f t="shared" ref="M72:M135" si="2">IF(L72="1",I72,"")</f>
        <v/>
      </c>
      <c r="N72" s="32" t="str">
        <f t="shared" ref="N72:N135" si="3">IF(L72="2",I72,"")</f>
        <v/>
      </c>
    </row>
    <row r="73" spans="13:14">
      <c r="M73" s="32" t="str">
        <f t="shared" si="2"/>
        <v/>
      </c>
      <c r="N73" s="32" t="str">
        <f t="shared" si="3"/>
        <v/>
      </c>
    </row>
    <row r="74" spans="13:14">
      <c r="M74" s="32" t="str">
        <f t="shared" si="2"/>
        <v/>
      </c>
      <c r="N74" s="32" t="str">
        <f t="shared" si="3"/>
        <v/>
      </c>
    </row>
    <row r="75" spans="13:14">
      <c r="M75" s="32" t="str">
        <f t="shared" si="2"/>
        <v/>
      </c>
      <c r="N75" s="32" t="str">
        <f t="shared" si="3"/>
        <v/>
      </c>
    </row>
    <row r="76" spans="13:14">
      <c r="M76" s="32" t="str">
        <f t="shared" si="2"/>
        <v/>
      </c>
      <c r="N76" s="32" t="str">
        <f t="shared" si="3"/>
        <v/>
      </c>
    </row>
    <row r="77" spans="13:14">
      <c r="M77" s="32" t="str">
        <f t="shared" si="2"/>
        <v/>
      </c>
      <c r="N77" s="32" t="str">
        <f t="shared" si="3"/>
        <v/>
      </c>
    </row>
    <row r="78" spans="13:14">
      <c r="M78" s="32" t="str">
        <f t="shared" si="2"/>
        <v/>
      </c>
      <c r="N78" s="32" t="str">
        <f t="shared" si="3"/>
        <v/>
      </c>
    </row>
    <row r="79" spans="13:14">
      <c r="M79" s="32" t="str">
        <f t="shared" si="2"/>
        <v/>
      </c>
      <c r="N79" s="32" t="str">
        <f t="shared" si="3"/>
        <v/>
      </c>
    </row>
    <row r="80" spans="13:14">
      <c r="M80" s="32" t="str">
        <f t="shared" si="2"/>
        <v/>
      </c>
      <c r="N80" s="32" t="str">
        <f t="shared" si="3"/>
        <v/>
      </c>
    </row>
    <row r="81" spans="13:14">
      <c r="M81" s="32" t="str">
        <f t="shared" si="2"/>
        <v/>
      </c>
      <c r="N81" s="32" t="str">
        <f t="shared" si="3"/>
        <v/>
      </c>
    </row>
    <row r="82" spans="13:14">
      <c r="M82" s="32" t="str">
        <f t="shared" si="2"/>
        <v/>
      </c>
      <c r="N82" s="32" t="str">
        <f t="shared" si="3"/>
        <v/>
      </c>
    </row>
    <row r="83" spans="13:14">
      <c r="M83" s="32" t="str">
        <f t="shared" si="2"/>
        <v/>
      </c>
      <c r="N83" s="32" t="str">
        <f t="shared" si="3"/>
        <v/>
      </c>
    </row>
    <row r="84" spans="13:14">
      <c r="M84" s="32" t="str">
        <f t="shared" si="2"/>
        <v/>
      </c>
      <c r="N84" s="32" t="str">
        <f t="shared" si="3"/>
        <v/>
      </c>
    </row>
    <row r="85" spans="13:14">
      <c r="M85" s="32" t="str">
        <f t="shared" si="2"/>
        <v/>
      </c>
      <c r="N85" s="32" t="str">
        <f t="shared" si="3"/>
        <v/>
      </c>
    </row>
    <row r="86" spans="13:14">
      <c r="M86" s="32" t="str">
        <f t="shared" si="2"/>
        <v/>
      </c>
      <c r="N86" s="32" t="str">
        <f t="shared" si="3"/>
        <v/>
      </c>
    </row>
    <row r="87" spans="13:14">
      <c r="M87" s="32" t="str">
        <f t="shared" si="2"/>
        <v/>
      </c>
      <c r="N87" s="32" t="str">
        <f t="shared" si="3"/>
        <v/>
      </c>
    </row>
    <row r="88" spans="13:14">
      <c r="M88" s="32" t="str">
        <f t="shared" si="2"/>
        <v/>
      </c>
      <c r="N88" s="32" t="str">
        <f t="shared" si="3"/>
        <v/>
      </c>
    </row>
    <row r="89" spans="13:14">
      <c r="M89" s="32" t="str">
        <f t="shared" si="2"/>
        <v/>
      </c>
      <c r="N89" s="32" t="str">
        <f t="shared" si="3"/>
        <v/>
      </c>
    </row>
    <row r="90" spans="13:14">
      <c r="M90" s="32" t="str">
        <f t="shared" si="2"/>
        <v/>
      </c>
      <c r="N90" s="32" t="str">
        <f t="shared" si="3"/>
        <v/>
      </c>
    </row>
    <row r="91" spans="13:14">
      <c r="M91" s="32" t="str">
        <f t="shared" si="2"/>
        <v/>
      </c>
      <c r="N91" s="32" t="str">
        <f t="shared" si="3"/>
        <v/>
      </c>
    </row>
    <row r="92" spans="13:14">
      <c r="M92" s="32" t="str">
        <f t="shared" si="2"/>
        <v/>
      </c>
      <c r="N92" s="32" t="str">
        <f t="shared" si="3"/>
        <v/>
      </c>
    </row>
    <row r="93" spans="13:14">
      <c r="M93" s="32" t="str">
        <f t="shared" si="2"/>
        <v/>
      </c>
      <c r="N93" s="32" t="str">
        <f t="shared" si="3"/>
        <v/>
      </c>
    </row>
    <row r="94" spans="13:14">
      <c r="M94" s="32" t="str">
        <f t="shared" si="2"/>
        <v/>
      </c>
      <c r="N94" s="32" t="str">
        <f t="shared" si="3"/>
        <v/>
      </c>
    </row>
    <row r="95" spans="13:14">
      <c r="M95" s="32" t="str">
        <f t="shared" si="2"/>
        <v/>
      </c>
      <c r="N95" s="32" t="str">
        <f t="shared" si="3"/>
        <v/>
      </c>
    </row>
    <row r="96" spans="13:14">
      <c r="M96" s="32" t="str">
        <f t="shared" si="2"/>
        <v/>
      </c>
      <c r="N96" s="32" t="str">
        <f t="shared" si="3"/>
        <v/>
      </c>
    </row>
    <row r="97" spans="13:14">
      <c r="M97" s="32" t="str">
        <f t="shared" si="2"/>
        <v/>
      </c>
      <c r="N97" s="32" t="str">
        <f t="shared" si="3"/>
        <v/>
      </c>
    </row>
    <row r="98" spans="13:14">
      <c r="M98" s="32" t="str">
        <f t="shared" si="2"/>
        <v/>
      </c>
      <c r="N98" s="32" t="str">
        <f t="shared" si="3"/>
        <v/>
      </c>
    </row>
    <row r="99" spans="13:14">
      <c r="M99" s="32" t="str">
        <f t="shared" si="2"/>
        <v/>
      </c>
      <c r="N99" s="32" t="str">
        <f t="shared" si="3"/>
        <v/>
      </c>
    </row>
    <row r="100" spans="13:14">
      <c r="M100" s="32" t="str">
        <f t="shared" si="2"/>
        <v/>
      </c>
      <c r="N100" s="32" t="str">
        <f t="shared" si="3"/>
        <v/>
      </c>
    </row>
    <row r="101" spans="13:14">
      <c r="M101" s="32" t="str">
        <f t="shared" si="2"/>
        <v/>
      </c>
      <c r="N101" s="32" t="str">
        <f t="shared" si="3"/>
        <v/>
      </c>
    </row>
    <row r="102" spans="13:14">
      <c r="M102" s="32" t="str">
        <f t="shared" si="2"/>
        <v/>
      </c>
      <c r="N102" s="32" t="str">
        <f t="shared" si="3"/>
        <v/>
      </c>
    </row>
    <row r="103" spans="13:14">
      <c r="M103" s="32" t="str">
        <f t="shared" si="2"/>
        <v/>
      </c>
      <c r="N103" s="32" t="str">
        <f t="shared" si="3"/>
        <v/>
      </c>
    </row>
    <row r="104" spans="13:14">
      <c r="M104" s="32" t="str">
        <f t="shared" si="2"/>
        <v/>
      </c>
      <c r="N104" s="32" t="str">
        <f t="shared" si="3"/>
        <v/>
      </c>
    </row>
    <row r="105" spans="13:14">
      <c r="M105" s="32" t="str">
        <f t="shared" si="2"/>
        <v/>
      </c>
      <c r="N105" s="32" t="str">
        <f t="shared" si="3"/>
        <v/>
      </c>
    </row>
    <row r="106" spans="13:14">
      <c r="M106" s="32" t="str">
        <f t="shared" si="2"/>
        <v/>
      </c>
      <c r="N106" s="32" t="str">
        <f t="shared" si="3"/>
        <v/>
      </c>
    </row>
    <row r="107" spans="13:14">
      <c r="M107" s="32" t="str">
        <f t="shared" si="2"/>
        <v/>
      </c>
      <c r="N107" s="32" t="str">
        <f t="shared" si="3"/>
        <v/>
      </c>
    </row>
    <row r="108" spans="13:14">
      <c r="M108" s="32" t="str">
        <f t="shared" si="2"/>
        <v/>
      </c>
      <c r="N108" s="32" t="str">
        <f t="shared" si="3"/>
        <v/>
      </c>
    </row>
    <row r="109" spans="13:14">
      <c r="M109" s="32" t="str">
        <f t="shared" si="2"/>
        <v/>
      </c>
      <c r="N109" s="32" t="str">
        <f t="shared" si="3"/>
        <v/>
      </c>
    </row>
    <row r="110" spans="13:14">
      <c r="M110" s="32" t="str">
        <f t="shared" si="2"/>
        <v/>
      </c>
      <c r="N110" s="32" t="str">
        <f t="shared" si="3"/>
        <v/>
      </c>
    </row>
    <row r="111" spans="13:14">
      <c r="M111" s="32" t="str">
        <f t="shared" si="2"/>
        <v/>
      </c>
      <c r="N111" s="32" t="str">
        <f t="shared" si="3"/>
        <v/>
      </c>
    </row>
    <row r="112" spans="13:14">
      <c r="M112" s="32" t="str">
        <f t="shared" si="2"/>
        <v/>
      </c>
      <c r="N112" s="32" t="str">
        <f t="shared" si="3"/>
        <v/>
      </c>
    </row>
    <row r="113" spans="13:14">
      <c r="M113" s="32" t="str">
        <f t="shared" si="2"/>
        <v/>
      </c>
      <c r="N113" s="32" t="str">
        <f t="shared" si="3"/>
        <v/>
      </c>
    </row>
    <row r="114" spans="13:14">
      <c r="M114" s="32" t="str">
        <f t="shared" si="2"/>
        <v/>
      </c>
      <c r="N114" s="32" t="str">
        <f t="shared" si="3"/>
        <v/>
      </c>
    </row>
    <row r="115" spans="13:14">
      <c r="M115" s="32" t="str">
        <f t="shared" si="2"/>
        <v/>
      </c>
      <c r="N115" s="32" t="str">
        <f t="shared" si="3"/>
        <v/>
      </c>
    </row>
    <row r="116" spans="13:14">
      <c r="M116" s="32" t="str">
        <f t="shared" si="2"/>
        <v/>
      </c>
      <c r="N116" s="32" t="str">
        <f t="shared" si="3"/>
        <v/>
      </c>
    </row>
    <row r="117" spans="13:14">
      <c r="M117" s="32" t="str">
        <f t="shared" si="2"/>
        <v/>
      </c>
      <c r="N117" s="32" t="str">
        <f t="shared" si="3"/>
        <v/>
      </c>
    </row>
    <row r="118" spans="13:14">
      <c r="M118" s="32" t="str">
        <f t="shared" si="2"/>
        <v/>
      </c>
      <c r="N118" s="32" t="str">
        <f t="shared" si="3"/>
        <v/>
      </c>
    </row>
    <row r="119" spans="13:14">
      <c r="M119" s="32" t="str">
        <f t="shared" si="2"/>
        <v/>
      </c>
      <c r="N119" s="32" t="str">
        <f t="shared" si="3"/>
        <v/>
      </c>
    </row>
    <row r="120" spans="13:14">
      <c r="M120" s="32" t="str">
        <f t="shared" si="2"/>
        <v/>
      </c>
      <c r="N120" s="32" t="str">
        <f t="shared" si="3"/>
        <v/>
      </c>
    </row>
    <row r="121" spans="13:14">
      <c r="M121" s="32" t="str">
        <f t="shared" si="2"/>
        <v/>
      </c>
      <c r="N121" s="32" t="str">
        <f t="shared" si="3"/>
        <v/>
      </c>
    </row>
    <row r="122" spans="13:14">
      <c r="M122" s="32" t="str">
        <f t="shared" si="2"/>
        <v/>
      </c>
      <c r="N122" s="32" t="str">
        <f t="shared" si="3"/>
        <v/>
      </c>
    </row>
    <row r="123" spans="13:14">
      <c r="M123" s="32" t="str">
        <f t="shared" si="2"/>
        <v/>
      </c>
      <c r="N123" s="32" t="str">
        <f t="shared" si="3"/>
        <v/>
      </c>
    </row>
    <row r="124" spans="13:14">
      <c r="M124" s="32" t="str">
        <f t="shared" si="2"/>
        <v/>
      </c>
      <c r="N124" s="32" t="str">
        <f t="shared" si="3"/>
        <v/>
      </c>
    </row>
    <row r="125" spans="13:14">
      <c r="M125" s="32" t="str">
        <f t="shared" si="2"/>
        <v/>
      </c>
      <c r="N125" s="32" t="str">
        <f t="shared" si="3"/>
        <v/>
      </c>
    </row>
    <row r="126" spans="13:14">
      <c r="M126" s="32" t="str">
        <f t="shared" si="2"/>
        <v/>
      </c>
      <c r="N126" s="32" t="str">
        <f t="shared" si="3"/>
        <v/>
      </c>
    </row>
    <row r="127" spans="13:14">
      <c r="M127" s="32" t="str">
        <f t="shared" si="2"/>
        <v/>
      </c>
      <c r="N127" s="32" t="str">
        <f t="shared" si="3"/>
        <v/>
      </c>
    </row>
    <row r="128" spans="13:14">
      <c r="M128" s="32" t="str">
        <f t="shared" si="2"/>
        <v/>
      </c>
      <c r="N128" s="32" t="str">
        <f t="shared" si="3"/>
        <v/>
      </c>
    </row>
    <row r="129" spans="13:14">
      <c r="M129" s="32" t="str">
        <f t="shared" si="2"/>
        <v/>
      </c>
      <c r="N129" s="32" t="str">
        <f t="shared" si="3"/>
        <v/>
      </c>
    </row>
    <row r="130" spans="13:14">
      <c r="M130" s="32" t="str">
        <f t="shared" si="2"/>
        <v/>
      </c>
      <c r="N130" s="32" t="str">
        <f t="shared" si="3"/>
        <v/>
      </c>
    </row>
    <row r="131" spans="13:14">
      <c r="M131" s="32" t="str">
        <f t="shared" si="2"/>
        <v/>
      </c>
      <c r="N131" s="32" t="str">
        <f t="shared" si="3"/>
        <v/>
      </c>
    </row>
    <row r="132" spans="13:14">
      <c r="M132" s="32" t="str">
        <f t="shared" si="2"/>
        <v/>
      </c>
      <c r="N132" s="32" t="str">
        <f t="shared" si="3"/>
        <v/>
      </c>
    </row>
    <row r="133" spans="13:14">
      <c r="M133" s="32" t="str">
        <f t="shared" si="2"/>
        <v/>
      </c>
      <c r="N133" s="32" t="str">
        <f t="shared" si="3"/>
        <v/>
      </c>
    </row>
    <row r="134" spans="13:14">
      <c r="M134" s="32" t="str">
        <f t="shared" si="2"/>
        <v/>
      </c>
      <c r="N134" s="32" t="str">
        <f t="shared" si="3"/>
        <v/>
      </c>
    </row>
    <row r="135" spans="13:14">
      <c r="M135" s="32" t="str">
        <f t="shared" si="2"/>
        <v/>
      </c>
      <c r="N135" s="32" t="str">
        <f t="shared" si="3"/>
        <v/>
      </c>
    </row>
    <row r="136" spans="13:14">
      <c r="M136" s="32" t="str">
        <f t="shared" ref="M136:M199" si="4">IF(L136="1",I136,"")</f>
        <v/>
      </c>
      <c r="N136" s="32" t="str">
        <f t="shared" ref="N136:N199" si="5">IF(L136="2",I136,"")</f>
        <v/>
      </c>
    </row>
    <row r="137" spans="13:14">
      <c r="M137" s="32" t="str">
        <f t="shared" si="4"/>
        <v/>
      </c>
      <c r="N137" s="32" t="str">
        <f t="shared" si="5"/>
        <v/>
      </c>
    </row>
    <row r="138" spans="13:14">
      <c r="M138" s="32" t="str">
        <f t="shared" si="4"/>
        <v/>
      </c>
      <c r="N138" s="32" t="str">
        <f t="shared" si="5"/>
        <v/>
      </c>
    </row>
    <row r="139" spans="13:14">
      <c r="M139" s="32" t="str">
        <f t="shared" si="4"/>
        <v/>
      </c>
      <c r="N139" s="32" t="str">
        <f t="shared" si="5"/>
        <v/>
      </c>
    </row>
    <row r="140" spans="13:14">
      <c r="M140" s="32" t="str">
        <f t="shared" si="4"/>
        <v/>
      </c>
      <c r="N140" s="32" t="str">
        <f t="shared" si="5"/>
        <v/>
      </c>
    </row>
    <row r="141" spans="13:14">
      <c r="M141" s="32" t="str">
        <f t="shared" si="4"/>
        <v/>
      </c>
      <c r="N141" s="32" t="str">
        <f t="shared" si="5"/>
        <v/>
      </c>
    </row>
    <row r="142" spans="13:14">
      <c r="M142" s="32" t="str">
        <f t="shared" si="4"/>
        <v/>
      </c>
      <c r="N142" s="32" t="str">
        <f t="shared" si="5"/>
        <v/>
      </c>
    </row>
    <row r="143" spans="13:14">
      <c r="M143" s="32" t="str">
        <f t="shared" si="4"/>
        <v/>
      </c>
      <c r="N143" s="32" t="str">
        <f t="shared" si="5"/>
        <v/>
      </c>
    </row>
    <row r="144" spans="13:14">
      <c r="M144" s="32" t="str">
        <f t="shared" si="4"/>
        <v/>
      </c>
      <c r="N144" s="32" t="str">
        <f t="shared" si="5"/>
        <v/>
      </c>
    </row>
    <row r="145" spans="13:14">
      <c r="M145" s="32" t="str">
        <f t="shared" si="4"/>
        <v/>
      </c>
      <c r="N145" s="32" t="str">
        <f t="shared" si="5"/>
        <v/>
      </c>
    </row>
    <row r="146" spans="13:14">
      <c r="M146" s="32" t="str">
        <f t="shared" si="4"/>
        <v/>
      </c>
      <c r="N146" s="32" t="str">
        <f t="shared" si="5"/>
        <v/>
      </c>
    </row>
    <row r="147" spans="13:14">
      <c r="M147" s="32" t="str">
        <f t="shared" si="4"/>
        <v/>
      </c>
      <c r="N147" s="32" t="str">
        <f t="shared" si="5"/>
        <v/>
      </c>
    </row>
    <row r="148" spans="13:14">
      <c r="M148" s="32" t="str">
        <f t="shared" si="4"/>
        <v/>
      </c>
      <c r="N148" s="32" t="str">
        <f t="shared" si="5"/>
        <v/>
      </c>
    </row>
    <row r="149" spans="13:14">
      <c r="M149" s="32" t="str">
        <f t="shared" si="4"/>
        <v/>
      </c>
      <c r="N149" s="32" t="str">
        <f t="shared" si="5"/>
        <v/>
      </c>
    </row>
    <row r="150" spans="13:14">
      <c r="M150" s="32" t="str">
        <f t="shared" si="4"/>
        <v/>
      </c>
      <c r="N150" s="32" t="str">
        <f t="shared" si="5"/>
        <v/>
      </c>
    </row>
    <row r="151" spans="13:14">
      <c r="M151" s="32" t="str">
        <f t="shared" si="4"/>
        <v/>
      </c>
      <c r="N151" s="32" t="str">
        <f t="shared" si="5"/>
        <v/>
      </c>
    </row>
    <row r="152" spans="13:14">
      <c r="M152" s="32" t="str">
        <f t="shared" si="4"/>
        <v/>
      </c>
      <c r="N152" s="32" t="str">
        <f t="shared" si="5"/>
        <v/>
      </c>
    </row>
    <row r="153" spans="13:14">
      <c r="M153" s="32" t="str">
        <f t="shared" si="4"/>
        <v/>
      </c>
      <c r="N153" s="32" t="str">
        <f t="shared" si="5"/>
        <v/>
      </c>
    </row>
    <row r="154" spans="13:14">
      <c r="M154" s="32" t="str">
        <f t="shared" si="4"/>
        <v/>
      </c>
      <c r="N154" s="32" t="str">
        <f t="shared" si="5"/>
        <v/>
      </c>
    </row>
    <row r="155" spans="13:14">
      <c r="M155" s="32" t="str">
        <f t="shared" si="4"/>
        <v/>
      </c>
      <c r="N155" s="32" t="str">
        <f t="shared" si="5"/>
        <v/>
      </c>
    </row>
    <row r="156" spans="13:14">
      <c r="M156" s="32" t="str">
        <f t="shared" si="4"/>
        <v/>
      </c>
      <c r="N156" s="32" t="str">
        <f t="shared" si="5"/>
        <v/>
      </c>
    </row>
    <row r="157" spans="13:14">
      <c r="M157" s="32" t="str">
        <f t="shared" si="4"/>
        <v/>
      </c>
      <c r="N157" s="32" t="str">
        <f t="shared" si="5"/>
        <v/>
      </c>
    </row>
    <row r="158" spans="13:14">
      <c r="M158" s="32" t="str">
        <f t="shared" si="4"/>
        <v/>
      </c>
      <c r="N158" s="32" t="str">
        <f t="shared" si="5"/>
        <v/>
      </c>
    </row>
    <row r="159" spans="13:14">
      <c r="M159" s="32" t="str">
        <f t="shared" si="4"/>
        <v/>
      </c>
      <c r="N159" s="32" t="str">
        <f t="shared" si="5"/>
        <v/>
      </c>
    </row>
    <row r="160" spans="13:14">
      <c r="M160" s="32" t="str">
        <f t="shared" si="4"/>
        <v/>
      </c>
      <c r="N160" s="32" t="str">
        <f t="shared" si="5"/>
        <v/>
      </c>
    </row>
    <row r="161" spans="13:14">
      <c r="M161" s="32" t="str">
        <f t="shared" si="4"/>
        <v/>
      </c>
      <c r="N161" s="32" t="str">
        <f t="shared" si="5"/>
        <v/>
      </c>
    </row>
    <row r="162" spans="13:14">
      <c r="M162" s="32" t="str">
        <f t="shared" si="4"/>
        <v/>
      </c>
      <c r="N162" s="32" t="str">
        <f t="shared" si="5"/>
        <v/>
      </c>
    </row>
    <row r="163" spans="13:14">
      <c r="M163" s="32" t="str">
        <f t="shared" si="4"/>
        <v/>
      </c>
      <c r="N163" s="32" t="str">
        <f t="shared" si="5"/>
        <v/>
      </c>
    </row>
    <row r="164" spans="13:14">
      <c r="M164" s="32" t="str">
        <f t="shared" si="4"/>
        <v/>
      </c>
      <c r="N164" s="32" t="str">
        <f t="shared" si="5"/>
        <v/>
      </c>
    </row>
    <row r="165" spans="13:14">
      <c r="M165" s="32" t="str">
        <f t="shared" si="4"/>
        <v/>
      </c>
      <c r="N165" s="32" t="str">
        <f t="shared" si="5"/>
        <v/>
      </c>
    </row>
    <row r="166" spans="13:14">
      <c r="M166" s="32" t="str">
        <f t="shared" si="4"/>
        <v/>
      </c>
      <c r="N166" s="32" t="str">
        <f t="shared" si="5"/>
        <v/>
      </c>
    </row>
    <row r="167" spans="13:14">
      <c r="M167" s="32" t="str">
        <f t="shared" si="4"/>
        <v/>
      </c>
      <c r="N167" s="32" t="str">
        <f t="shared" si="5"/>
        <v/>
      </c>
    </row>
    <row r="168" spans="13:14">
      <c r="M168" s="32" t="str">
        <f t="shared" si="4"/>
        <v/>
      </c>
      <c r="N168" s="32" t="str">
        <f t="shared" si="5"/>
        <v/>
      </c>
    </row>
    <row r="169" spans="13:14">
      <c r="M169" s="32" t="str">
        <f t="shared" si="4"/>
        <v/>
      </c>
      <c r="N169" s="32" t="str">
        <f t="shared" si="5"/>
        <v/>
      </c>
    </row>
    <row r="170" spans="13:14">
      <c r="M170" s="32" t="str">
        <f t="shared" si="4"/>
        <v/>
      </c>
      <c r="N170" s="32" t="str">
        <f t="shared" si="5"/>
        <v/>
      </c>
    </row>
    <row r="171" spans="13:14">
      <c r="M171" s="32" t="str">
        <f t="shared" si="4"/>
        <v/>
      </c>
      <c r="N171" s="32" t="str">
        <f t="shared" si="5"/>
        <v/>
      </c>
    </row>
    <row r="172" spans="13:14">
      <c r="M172" s="32" t="str">
        <f t="shared" si="4"/>
        <v/>
      </c>
      <c r="N172" s="32" t="str">
        <f t="shared" si="5"/>
        <v/>
      </c>
    </row>
    <row r="173" spans="13:14">
      <c r="M173" s="32" t="str">
        <f t="shared" si="4"/>
        <v/>
      </c>
      <c r="N173" s="32" t="str">
        <f t="shared" si="5"/>
        <v/>
      </c>
    </row>
    <row r="174" spans="13:14">
      <c r="M174" s="32" t="str">
        <f t="shared" si="4"/>
        <v/>
      </c>
      <c r="N174" s="32" t="str">
        <f t="shared" si="5"/>
        <v/>
      </c>
    </row>
    <row r="175" spans="13:14">
      <c r="M175" s="32" t="str">
        <f t="shared" si="4"/>
        <v/>
      </c>
      <c r="N175" s="32" t="str">
        <f t="shared" si="5"/>
        <v/>
      </c>
    </row>
    <row r="176" spans="13:14">
      <c r="M176" s="32" t="str">
        <f t="shared" si="4"/>
        <v/>
      </c>
      <c r="N176" s="32" t="str">
        <f t="shared" si="5"/>
        <v/>
      </c>
    </row>
    <row r="177" spans="13:14">
      <c r="M177" s="32" t="str">
        <f t="shared" si="4"/>
        <v/>
      </c>
      <c r="N177" s="32" t="str">
        <f t="shared" si="5"/>
        <v/>
      </c>
    </row>
    <row r="178" spans="13:14">
      <c r="M178" s="32" t="str">
        <f t="shared" si="4"/>
        <v/>
      </c>
      <c r="N178" s="32" t="str">
        <f t="shared" si="5"/>
        <v/>
      </c>
    </row>
    <row r="179" spans="13:14">
      <c r="M179" s="32" t="str">
        <f t="shared" si="4"/>
        <v/>
      </c>
      <c r="N179" s="32" t="str">
        <f t="shared" si="5"/>
        <v/>
      </c>
    </row>
    <row r="180" spans="13:14">
      <c r="M180" s="32" t="str">
        <f t="shared" si="4"/>
        <v/>
      </c>
      <c r="N180" s="32" t="str">
        <f t="shared" si="5"/>
        <v/>
      </c>
    </row>
    <row r="181" spans="13:14">
      <c r="M181" s="32" t="str">
        <f t="shared" si="4"/>
        <v/>
      </c>
      <c r="N181" s="32" t="str">
        <f t="shared" si="5"/>
        <v/>
      </c>
    </row>
    <row r="182" spans="13:14">
      <c r="M182" s="32" t="str">
        <f t="shared" si="4"/>
        <v/>
      </c>
      <c r="N182" s="32" t="str">
        <f t="shared" si="5"/>
        <v/>
      </c>
    </row>
    <row r="183" spans="13:14">
      <c r="M183" s="32" t="str">
        <f t="shared" si="4"/>
        <v/>
      </c>
      <c r="N183" s="32" t="str">
        <f t="shared" si="5"/>
        <v/>
      </c>
    </row>
    <row r="184" spans="13:14">
      <c r="M184" s="32" t="str">
        <f t="shared" si="4"/>
        <v/>
      </c>
      <c r="N184" s="32" t="str">
        <f t="shared" si="5"/>
        <v/>
      </c>
    </row>
    <row r="185" spans="13:14">
      <c r="M185" s="32" t="str">
        <f t="shared" si="4"/>
        <v/>
      </c>
      <c r="N185" s="32" t="str">
        <f t="shared" si="5"/>
        <v/>
      </c>
    </row>
    <row r="186" spans="13:14">
      <c r="M186" s="32" t="str">
        <f t="shared" si="4"/>
        <v/>
      </c>
      <c r="N186" s="32" t="str">
        <f t="shared" si="5"/>
        <v/>
      </c>
    </row>
    <row r="187" spans="13:14">
      <c r="M187" s="32" t="str">
        <f t="shared" si="4"/>
        <v/>
      </c>
      <c r="N187" s="32" t="str">
        <f t="shared" si="5"/>
        <v/>
      </c>
    </row>
    <row r="188" spans="13:14">
      <c r="M188" s="32" t="str">
        <f t="shared" si="4"/>
        <v/>
      </c>
      <c r="N188" s="32" t="str">
        <f t="shared" si="5"/>
        <v/>
      </c>
    </row>
    <row r="189" spans="13:14">
      <c r="M189" s="32" t="str">
        <f t="shared" si="4"/>
        <v/>
      </c>
      <c r="N189" s="32" t="str">
        <f t="shared" si="5"/>
        <v/>
      </c>
    </row>
    <row r="190" spans="13:14">
      <c r="M190" s="32" t="str">
        <f t="shared" si="4"/>
        <v/>
      </c>
      <c r="N190" s="32" t="str">
        <f t="shared" si="5"/>
        <v/>
      </c>
    </row>
    <row r="191" spans="13:14">
      <c r="M191" s="32" t="str">
        <f t="shared" si="4"/>
        <v/>
      </c>
      <c r="N191" s="32" t="str">
        <f t="shared" si="5"/>
        <v/>
      </c>
    </row>
    <row r="192" spans="13:14">
      <c r="M192" s="32" t="str">
        <f t="shared" si="4"/>
        <v/>
      </c>
      <c r="N192" s="32" t="str">
        <f t="shared" si="5"/>
        <v/>
      </c>
    </row>
    <row r="193" spans="13:14">
      <c r="M193" s="32" t="str">
        <f t="shared" si="4"/>
        <v/>
      </c>
      <c r="N193" s="32" t="str">
        <f t="shared" si="5"/>
        <v/>
      </c>
    </row>
    <row r="194" spans="13:14">
      <c r="M194" s="32" t="str">
        <f t="shared" si="4"/>
        <v/>
      </c>
      <c r="N194" s="32" t="str">
        <f t="shared" si="5"/>
        <v/>
      </c>
    </row>
    <row r="195" spans="13:14">
      <c r="M195" s="32" t="str">
        <f t="shared" si="4"/>
        <v/>
      </c>
      <c r="N195" s="32" t="str">
        <f t="shared" si="5"/>
        <v/>
      </c>
    </row>
    <row r="196" spans="13:14">
      <c r="M196" s="32" t="str">
        <f t="shared" si="4"/>
        <v/>
      </c>
      <c r="N196" s="32" t="str">
        <f t="shared" si="5"/>
        <v/>
      </c>
    </row>
    <row r="197" spans="13:14">
      <c r="M197" s="32" t="str">
        <f t="shared" si="4"/>
        <v/>
      </c>
      <c r="N197" s="32" t="str">
        <f t="shared" si="5"/>
        <v/>
      </c>
    </row>
    <row r="198" spans="13:14">
      <c r="M198" s="32" t="str">
        <f t="shared" si="4"/>
        <v/>
      </c>
      <c r="N198" s="32" t="str">
        <f t="shared" si="5"/>
        <v/>
      </c>
    </row>
    <row r="199" spans="13:14">
      <c r="M199" s="32" t="str">
        <f t="shared" si="4"/>
        <v/>
      </c>
      <c r="N199" s="32" t="str">
        <f t="shared" si="5"/>
        <v/>
      </c>
    </row>
    <row r="200" spans="13:14">
      <c r="M200" s="32" t="str">
        <f t="shared" ref="M200:M263" si="6">IF(L200="1",I200,"")</f>
        <v/>
      </c>
      <c r="N200" s="32" t="str">
        <f t="shared" ref="N200:N263" si="7">IF(L200="2",I200,"")</f>
        <v/>
      </c>
    </row>
    <row r="201" spans="13:14">
      <c r="M201" s="32" t="str">
        <f t="shared" si="6"/>
        <v/>
      </c>
      <c r="N201" s="32" t="str">
        <f t="shared" si="7"/>
        <v/>
      </c>
    </row>
    <row r="202" spans="13:14">
      <c r="M202" s="32" t="str">
        <f t="shared" si="6"/>
        <v/>
      </c>
      <c r="N202" s="32" t="str">
        <f t="shared" si="7"/>
        <v/>
      </c>
    </row>
    <row r="203" spans="13:14">
      <c r="M203" s="32" t="str">
        <f t="shared" si="6"/>
        <v/>
      </c>
      <c r="N203" s="32" t="str">
        <f t="shared" si="7"/>
        <v/>
      </c>
    </row>
    <row r="204" spans="13:14">
      <c r="M204" s="32" t="str">
        <f t="shared" si="6"/>
        <v/>
      </c>
      <c r="N204" s="32" t="str">
        <f t="shared" si="7"/>
        <v/>
      </c>
    </row>
    <row r="205" spans="13:14">
      <c r="M205" s="32" t="str">
        <f t="shared" si="6"/>
        <v/>
      </c>
      <c r="N205" s="32" t="str">
        <f t="shared" si="7"/>
        <v/>
      </c>
    </row>
    <row r="206" spans="13:14">
      <c r="M206" s="32" t="str">
        <f t="shared" si="6"/>
        <v/>
      </c>
      <c r="N206" s="32" t="str">
        <f t="shared" si="7"/>
        <v/>
      </c>
    </row>
    <row r="207" spans="13:14">
      <c r="M207" s="32" t="str">
        <f t="shared" si="6"/>
        <v/>
      </c>
      <c r="N207" s="32" t="str">
        <f t="shared" si="7"/>
        <v/>
      </c>
    </row>
    <row r="208" spans="13:14">
      <c r="M208" s="32" t="str">
        <f t="shared" si="6"/>
        <v/>
      </c>
      <c r="N208" s="32" t="str">
        <f t="shared" si="7"/>
        <v/>
      </c>
    </row>
    <row r="209" spans="13:14">
      <c r="M209" s="32" t="str">
        <f t="shared" si="6"/>
        <v/>
      </c>
      <c r="N209" s="32" t="str">
        <f t="shared" si="7"/>
        <v/>
      </c>
    </row>
    <row r="210" spans="13:14">
      <c r="M210" s="32" t="str">
        <f t="shared" si="6"/>
        <v/>
      </c>
      <c r="N210" s="32" t="str">
        <f t="shared" si="7"/>
        <v/>
      </c>
    </row>
    <row r="211" spans="13:14">
      <c r="M211" s="32" t="str">
        <f t="shared" si="6"/>
        <v/>
      </c>
      <c r="N211" s="32" t="str">
        <f t="shared" si="7"/>
        <v/>
      </c>
    </row>
    <row r="212" spans="13:14">
      <c r="M212" s="32" t="str">
        <f t="shared" si="6"/>
        <v/>
      </c>
      <c r="N212" s="32" t="str">
        <f t="shared" si="7"/>
        <v/>
      </c>
    </row>
    <row r="213" spans="13:14">
      <c r="M213" s="32" t="str">
        <f t="shared" si="6"/>
        <v/>
      </c>
      <c r="N213" s="32" t="str">
        <f t="shared" si="7"/>
        <v/>
      </c>
    </row>
    <row r="214" spans="13:14">
      <c r="M214" s="32" t="str">
        <f t="shared" si="6"/>
        <v/>
      </c>
      <c r="N214" s="32" t="str">
        <f t="shared" si="7"/>
        <v/>
      </c>
    </row>
    <row r="215" spans="13:14">
      <c r="M215" s="32" t="str">
        <f t="shared" si="6"/>
        <v/>
      </c>
      <c r="N215" s="32" t="str">
        <f t="shared" si="7"/>
        <v/>
      </c>
    </row>
    <row r="216" spans="13:14">
      <c r="M216" s="32" t="str">
        <f t="shared" si="6"/>
        <v/>
      </c>
      <c r="N216" s="32" t="str">
        <f t="shared" si="7"/>
        <v/>
      </c>
    </row>
    <row r="217" spans="13:14">
      <c r="M217" s="32" t="str">
        <f t="shared" si="6"/>
        <v/>
      </c>
      <c r="N217" s="32" t="str">
        <f t="shared" si="7"/>
        <v/>
      </c>
    </row>
    <row r="218" spans="13:14">
      <c r="M218" s="32" t="str">
        <f t="shared" si="6"/>
        <v/>
      </c>
      <c r="N218" s="32" t="str">
        <f t="shared" si="7"/>
        <v/>
      </c>
    </row>
    <row r="219" spans="13:14">
      <c r="M219" s="32" t="str">
        <f t="shared" si="6"/>
        <v/>
      </c>
      <c r="N219" s="32" t="str">
        <f t="shared" si="7"/>
        <v/>
      </c>
    </row>
    <row r="220" spans="13:14">
      <c r="M220" s="32" t="str">
        <f t="shared" si="6"/>
        <v/>
      </c>
      <c r="N220" s="32" t="str">
        <f t="shared" si="7"/>
        <v/>
      </c>
    </row>
    <row r="221" spans="13:14">
      <c r="M221" s="32" t="str">
        <f t="shared" si="6"/>
        <v/>
      </c>
      <c r="N221" s="32" t="str">
        <f t="shared" si="7"/>
        <v/>
      </c>
    </row>
    <row r="222" spans="13:14">
      <c r="M222" s="32" t="str">
        <f t="shared" si="6"/>
        <v/>
      </c>
      <c r="N222" s="32" t="str">
        <f t="shared" si="7"/>
        <v/>
      </c>
    </row>
    <row r="223" spans="13:14">
      <c r="M223" s="32" t="str">
        <f t="shared" si="6"/>
        <v/>
      </c>
      <c r="N223" s="32" t="str">
        <f t="shared" si="7"/>
        <v/>
      </c>
    </row>
    <row r="224" spans="13:14">
      <c r="M224" s="32" t="str">
        <f t="shared" si="6"/>
        <v/>
      </c>
      <c r="N224" s="32" t="str">
        <f t="shared" si="7"/>
        <v/>
      </c>
    </row>
    <row r="225" spans="13:14">
      <c r="M225" s="32" t="str">
        <f t="shared" si="6"/>
        <v/>
      </c>
      <c r="N225" s="32" t="str">
        <f t="shared" si="7"/>
        <v/>
      </c>
    </row>
    <row r="226" spans="13:14">
      <c r="M226" s="32" t="str">
        <f t="shared" si="6"/>
        <v/>
      </c>
      <c r="N226" s="32" t="str">
        <f t="shared" si="7"/>
        <v/>
      </c>
    </row>
    <row r="227" spans="13:14">
      <c r="M227" s="32" t="str">
        <f t="shared" si="6"/>
        <v/>
      </c>
      <c r="N227" s="32" t="str">
        <f t="shared" si="7"/>
        <v/>
      </c>
    </row>
    <row r="228" spans="13:14">
      <c r="M228" s="32" t="str">
        <f t="shared" si="6"/>
        <v/>
      </c>
      <c r="N228" s="32" t="str">
        <f t="shared" si="7"/>
        <v/>
      </c>
    </row>
    <row r="229" spans="13:14">
      <c r="M229" s="32" t="str">
        <f t="shared" si="6"/>
        <v/>
      </c>
      <c r="N229" s="32" t="str">
        <f t="shared" si="7"/>
        <v/>
      </c>
    </row>
    <row r="230" spans="13:14">
      <c r="M230" s="32" t="str">
        <f t="shared" si="6"/>
        <v/>
      </c>
      <c r="N230" s="32" t="str">
        <f t="shared" si="7"/>
        <v/>
      </c>
    </row>
    <row r="231" spans="13:14">
      <c r="M231" s="32" t="str">
        <f t="shared" si="6"/>
        <v/>
      </c>
      <c r="N231" s="32" t="str">
        <f t="shared" si="7"/>
        <v/>
      </c>
    </row>
    <row r="232" spans="13:14">
      <c r="M232" s="32" t="str">
        <f t="shared" si="6"/>
        <v/>
      </c>
      <c r="N232" s="32" t="str">
        <f t="shared" si="7"/>
        <v/>
      </c>
    </row>
    <row r="233" spans="13:14">
      <c r="M233" s="32" t="str">
        <f t="shared" si="6"/>
        <v/>
      </c>
      <c r="N233" s="32" t="str">
        <f t="shared" si="7"/>
        <v/>
      </c>
    </row>
    <row r="234" spans="13:14">
      <c r="M234" s="32" t="str">
        <f t="shared" si="6"/>
        <v/>
      </c>
      <c r="N234" s="32" t="str">
        <f t="shared" si="7"/>
        <v/>
      </c>
    </row>
    <row r="235" spans="13:14">
      <c r="M235" s="32" t="str">
        <f t="shared" si="6"/>
        <v/>
      </c>
      <c r="N235" s="32" t="str">
        <f t="shared" si="7"/>
        <v/>
      </c>
    </row>
    <row r="236" spans="13:14">
      <c r="M236" s="32" t="str">
        <f t="shared" si="6"/>
        <v/>
      </c>
      <c r="N236" s="32" t="str">
        <f t="shared" si="7"/>
        <v/>
      </c>
    </row>
    <row r="237" spans="13:14">
      <c r="M237" s="32" t="str">
        <f t="shared" si="6"/>
        <v/>
      </c>
      <c r="N237" s="32" t="str">
        <f t="shared" si="7"/>
        <v/>
      </c>
    </row>
    <row r="238" spans="13:14">
      <c r="M238" s="32" t="str">
        <f t="shared" si="6"/>
        <v/>
      </c>
      <c r="N238" s="32" t="str">
        <f t="shared" si="7"/>
        <v/>
      </c>
    </row>
    <row r="239" spans="13:14">
      <c r="M239" s="32" t="str">
        <f t="shared" si="6"/>
        <v/>
      </c>
      <c r="N239" s="32" t="str">
        <f t="shared" si="7"/>
        <v/>
      </c>
    </row>
    <row r="240" spans="13:14">
      <c r="M240" s="32" t="str">
        <f t="shared" si="6"/>
        <v/>
      </c>
      <c r="N240" s="32" t="str">
        <f t="shared" si="7"/>
        <v/>
      </c>
    </row>
    <row r="241" spans="13:14">
      <c r="M241" s="32" t="str">
        <f t="shared" si="6"/>
        <v/>
      </c>
      <c r="N241" s="32" t="str">
        <f t="shared" si="7"/>
        <v/>
      </c>
    </row>
    <row r="242" spans="13:14">
      <c r="M242" s="32" t="str">
        <f t="shared" si="6"/>
        <v/>
      </c>
      <c r="N242" s="32" t="str">
        <f t="shared" si="7"/>
        <v/>
      </c>
    </row>
    <row r="243" spans="13:14">
      <c r="M243" s="32" t="str">
        <f t="shared" si="6"/>
        <v/>
      </c>
      <c r="N243" s="32" t="str">
        <f t="shared" si="7"/>
        <v/>
      </c>
    </row>
    <row r="244" spans="13:14">
      <c r="M244" s="32" t="str">
        <f t="shared" si="6"/>
        <v/>
      </c>
      <c r="N244" s="32" t="str">
        <f t="shared" si="7"/>
        <v/>
      </c>
    </row>
    <row r="245" spans="13:14">
      <c r="M245" s="32" t="str">
        <f t="shared" si="6"/>
        <v/>
      </c>
      <c r="N245" s="32" t="str">
        <f t="shared" si="7"/>
        <v/>
      </c>
    </row>
    <row r="246" spans="13:14">
      <c r="M246" s="32" t="str">
        <f t="shared" si="6"/>
        <v/>
      </c>
      <c r="N246" s="32" t="str">
        <f t="shared" si="7"/>
        <v/>
      </c>
    </row>
    <row r="247" spans="13:14">
      <c r="M247" s="32" t="str">
        <f t="shared" si="6"/>
        <v/>
      </c>
      <c r="N247" s="32" t="str">
        <f t="shared" si="7"/>
        <v/>
      </c>
    </row>
    <row r="248" spans="13:14">
      <c r="M248" s="32" t="str">
        <f t="shared" si="6"/>
        <v/>
      </c>
      <c r="N248" s="32" t="str">
        <f t="shared" si="7"/>
        <v/>
      </c>
    </row>
    <row r="249" spans="13:14">
      <c r="M249" s="32" t="str">
        <f t="shared" si="6"/>
        <v/>
      </c>
      <c r="N249" s="32" t="str">
        <f t="shared" si="7"/>
        <v/>
      </c>
    </row>
    <row r="250" spans="13:14">
      <c r="M250" s="32" t="str">
        <f t="shared" si="6"/>
        <v/>
      </c>
      <c r="N250" s="32" t="str">
        <f t="shared" si="7"/>
        <v/>
      </c>
    </row>
    <row r="251" spans="13:14">
      <c r="M251" s="32" t="str">
        <f t="shared" si="6"/>
        <v/>
      </c>
      <c r="N251" s="32" t="str">
        <f t="shared" si="7"/>
        <v/>
      </c>
    </row>
    <row r="252" spans="13:14">
      <c r="M252" s="32" t="str">
        <f t="shared" si="6"/>
        <v/>
      </c>
      <c r="N252" s="32" t="str">
        <f t="shared" si="7"/>
        <v/>
      </c>
    </row>
    <row r="253" spans="13:14">
      <c r="M253" s="32" t="str">
        <f t="shared" si="6"/>
        <v/>
      </c>
      <c r="N253" s="32" t="str">
        <f t="shared" si="7"/>
        <v/>
      </c>
    </row>
    <row r="254" spans="13:14">
      <c r="M254" s="32" t="str">
        <f t="shared" si="6"/>
        <v/>
      </c>
      <c r="N254" s="32" t="str">
        <f t="shared" si="7"/>
        <v/>
      </c>
    </row>
    <row r="255" spans="13:14">
      <c r="M255" s="32" t="str">
        <f t="shared" si="6"/>
        <v/>
      </c>
      <c r="N255" s="32" t="str">
        <f t="shared" si="7"/>
        <v/>
      </c>
    </row>
    <row r="256" spans="13:14">
      <c r="M256" s="32" t="str">
        <f t="shared" si="6"/>
        <v/>
      </c>
      <c r="N256" s="32" t="str">
        <f t="shared" si="7"/>
        <v/>
      </c>
    </row>
    <row r="257" spans="13:14">
      <c r="M257" s="32" t="str">
        <f t="shared" si="6"/>
        <v/>
      </c>
      <c r="N257" s="32" t="str">
        <f t="shared" si="7"/>
        <v/>
      </c>
    </row>
    <row r="258" spans="13:14">
      <c r="M258" s="32" t="str">
        <f t="shared" si="6"/>
        <v/>
      </c>
      <c r="N258" s="32" t="str">
        <f t="shared" si="7"/>
        <v/>
      </c>
    </row>
    <row r="259" spans="13:14">
      <c r="M259" s="32" t="str">
        <f t="shared" si="6"/>
        <v/>
      </c>
      <c r="N259" s="32" t="str">
        <f t="shared" si="7"/>
        <v/>
      </c>
    </row>
    <row r="260" spans="13:14">
      <c r="M260" s="32" t="str">
        <f t="shared" si="6"/>
        <v/>
      </c>
      <c r="N260" s="32" t="str">
        <f t="shared" si="7"/>
        <v/>
      </c>
    </row>
    <row r="261" spans="13:14">
      <c r="M261" s="32" t="str">
        <f t="shared" si="6"/>
        <v/>
      </c>
      <c r="N261" s="32" t="str">
        <f t="shared" si="7"/>
        <v/>
      </c>
    </row>
    <row r="262" spans="13:14">
      <c r="M262" s="32" t="str">
        <f t="shared" si="6"/>
        <v/>
      </c>
      <c r="N262" s="32" t="str">
        <f t="shared" si="7"/>
        <v/>
      </c>
    </row>
    <row r="263" spans="13:14">
      <c r="M263" s="32" t="str">
        <f t="shared" si="6"/>
        <v/>
      </c>
      <c r="N263" s="32" t="str">
        <f t="shared" si="7"/>
        <v/>
      </c>
    </row>
    <row r="264" spans="13:14">
      <c r="M264" s="32" t="str">
        <f t="shared" ref="M264:M327" si="8">IF(L264="1",I264,"")</f>
        <v/>
      </c>
      <c r="N264" s="32" t="str">
        <f t="shared" ref="N264:N327" si="9">IF(L264="2",I264,"")</f>
        <v/>
      </c>
    </row>
    <row r="265" spans="13:14">
      <c r="M265" s="32" t="str">
        <f t="shared" si="8"/>
        <v/>
      </c>
      <c r="N265" s="32" t="str">
        <f t="shared" si="9"/>
        <v/>
      </c>
    </row>
    <row r="266" spans="13:14">
      <c r="M266" s="32" t="str">
        <f t="shared" si="8"/>
        <v/>
      </c>
      <c r="N266" s="32" t="str">
        <f t="shared" si="9"/>
        <v/>
      </c>
    </row>
    <row r="267" spans="13:14">
      <c r="M267" s="32" t="str">
        <f t="shared" si="8"/>
        <v/>
      </c>
      <c r="N267" s="32" t="str">
        <f t="shared" si="9"/>
        <v/>
      </c>
    </row>
    <row r="268" spans="13:14">
      <c r="M268" s="32" t="str">
        <f t="shared" si="8"/>
        <v/>
      </c>
      <c r="N268" s="32" t="str">
        <f t="shared" si="9"/>
        <v/>
      </c>
    </row>
    <row r="269" spans="13:14">
      <c r="M269" s="32" t="str">
        <f t="shared" si="8"/>
        <v/>
      </c>
      <c r="N269" s="32" t="str">
        <f t="shared" si="9"/>
        <v/>
      </c>
    </row>
    <row r="270" spans="13:14">
      <c r="M270" s="32" t="str">
        <f t="shared" si="8"/>
        <v/>
      </c>
      <c r="N270" s="32" t="str">
        <f t="shared" si="9"/>
        <v/>
      </c>
    </row>
    <row r="271" spans="13:14">
      <c r="M271" s="32" t="str">
        <f t="shared" si="8"/>
        <v/>
      </c>
      <c r="N271" s="32" t="str">
        <f t="shared" si="9"/>
        <v/>
      </c>
    </row>
    <row r="272" spans="13:14">
      <c r="M272" s="32" t="str">
        <f t="shared" si="8"/>
        <v/>
      </c>
      <c r="N272" s="32" t="str">
        <f t="shared" si="9"/>
        <v/>
      </c>
    </row>
    <row r="273" spans="13:14">
      <c r="M273" s="32" t="str">
        <f t="shared" si="8"/>
        <v/>
      </c>
      <c r="N273" s="32" t="str">
        <f t="shared" si="9"/>
        <v/>
      </c>
    </row>
    <row r="274" spans="13:14">
      <c r="M274" s="32" t="str">
        <f t="shared" si="8"/>
        <v/>
      </c>
      <c r="N274" s="32" t="str">
        <f t="shared" si="9"/>
        <v/>
      </c>
    </row>
    <row r="275" spans="13:14">
      <c r="M275" s="32" t="str">
        <f t="shared" si="8"/>
        <v/>
      </c>
      <c r="N275" s="32" t="str">
        <f t="shared" si="9"/>
        <v/>
      </c>
    </row>
    <row r="276" spans="13:14">
      <c r="M276" s="32" t="str">
        <f t="shared" si="8"/>
        <v/>
      </c>
      <c r="N276" s="32" t="str">
        <f t="shared" si="9"/>
        <v/>
      </c>
    </row>
    <row r="277" spans="13:14">
      <c r="M277" s="32" t="str">
        <f t="shared" si="8"/>
        <v/>
      </c>
      <c r="N277" s="32" t="str">
        <f t="shared" si="9"/>
        <v/>
      </c>
    </row>
    <row r="278" spans="13:14">
      <c r="M278" s="32" t="str">
        <f t="shared" si="8"/>
        <v/>
      </c>
      <c r="N278" s="32" t="str">
        <f t="shared" si="9"/>
        <v/>
      </c>
    </row>
    <row r="279" spans="13:14">
      <c r="M279" s="32" t="str">
        <f t="shared" si="8"/>
        <v/>
      </c>
      <c r="N279" s="32" t="str">
        <f t="shared" si="9"/>
        <v/>
      </c>
    </row>
    <row r="280" spans="13:14">
      <c r="M280" s="32" t="str">
        <f t="shared" si="8"/>
        <v/>
      </c>
      <c r="N280" s="32" t="str">
        <f t="shared" si="9"/>
        <v/>
      </c>
    </row>
    <row r="281" spans="13:14">
      <c r="M281" s="32" t="str">
        <f t="shared" si="8"/>
        <v/>
      </c>
      <c r="N281" s="32" t="str">
        <f t="shared" si="9"/>
        <v/>
      </c>
    </row>
    <row r="282" spans="13:14">
      <c r="M282" s="32" t="str">
        <f t="shared" si="8"/>
        <v/>
      </c>
      <c r="N282" s="32" t="str">
        <f t="shared" si="9"/>
        <v/>
      </c>
    </row>
    <row r="283" spans="13:14">
      <c r="M283" s="32" t="str">
        <f t="shared" si="8"/>
        <v/>
      </c>
      <c r="N283" s="32" t="str">
        <f t="shared" si="9"/>
        <v/>
      </c>
    </row>
    <row r="284" spans="13:14">
      <c r="M284" s="32" t="str">
        <f t="shared" si="8"/>
        <v/>
      </c>
      <c r="N284" s="32" t="str">
        <f t="shared" si="9"/>
        <v/>
      </c>
    </row>
    <row r="285" spans="13:14">
      <c r="M285" s="32" t="str">
        <f t="shared" si="8"/>
        <v/>
      </c>
      <c r="N285" s="32" t="str">
        <f t="shared" si="9"/>
        <v/>
      </c>
    </row>
    <row r="286" spans="13:14">
      <c r="M286" s="32" t="str">
        <f t="shared" si="8"/>
        <v/>
      </c>
      <c r="N286" s="32" t="str">
        <f t="shared" si="9"/>
        <v/>
      </c>
    </row>
    <row r="287" spans="13:14">
      <c r="M287" s="32" t="str">
        <f t="shared" si="8"/>
        <v/>
      </c>
      <c r="N287" s="32" t="str">
        <f t="shared" si="9"/>
        <v/>
      </c>
    </row>
    <row r="288" spans="13:14">
      <c r="M288" s="32" t="str">
        <f t="shared" si="8"/>
        <v/>
      </c>
      <c r="N288" s="32" t="str">
        <f t="shared" si="9"/>
        <v/>
      </c>
    </row>
    <row r="289" spans="13:14">
      <c r="M289" s="32" t="str">
        <f t="shared" si="8"/>
        <v/>
      </c>
      <c r="N289" s="32" t="str">
        <f t="shared" si="9"/>
        <v/>
      </c>
    </row>
    <row r="290" spans="13:14">
      <c r="M290" s="32" t="str">
        <f t="shared" si="8"/>
        <v/>
      </c>
      <c r="N290" s="32" t="str">
        <f t="shared" si="9"/>
        <v/>
      </c>
    </row>
    <row r="291" spans="13:14">
      <c r="M291" s="32" t="str">
        <f t="shared" si="8"/>
        <v/>
      </c>
      <c r="N291" s="32" t="str">
        <f t="shared" si="9"/>
        <v/>
      </c>
    </row>
    <row r="292" spans="13:14">
      <c r="M292" s="32" t="str">
        <f t="shared" si="8"/>
        <v/>
      </c>
      <c r="N292" s="32" t="str">
        <f t="shared" si="9"/>
        <v/>
      </c>
    </row>
    <row r="293" spans="13:14">
      <c r="M293" s="32" t="str">
        <f t="shared" si="8"/>
        <v/>
      </c>
      <c r="N293" s="32" t="str">
        <f t="shared" si="9"/>
        <v/>
      </c>
    </row>
    <row r="294" spans="13:14">
      <c r="M294" s="32" t="str">
        <f t="shared" si="8"/>
        <v/>
      </c>
      <c r="N294" s="32" t="str">
        <f t="shared" si="9"/>
        <v/>
      </c>
    </row>
    <row r="295" spans="13:14">
      <c r="M295" s="32" t="str">
        <f t="shared" si="8"/>
        <v/>
      </c>
      <c r="N295" s="32" t="str">
        <f t="shared" si="9"/>
        <v/>
      </c>
    </row>
    <row r="296" spans="13:14">
      <c r="M296" s="32" t="str">
        <f t="shared" si="8"/>
        <v/>
      </c>
      <c r="N296" s="32" t="str">
        <f t="shared" si="9"/>
        <v/>
      </c>
    </row>
    <row r="297" spans="13:14">
      <c r="M297" s="32" t="str">
        <f t="shared" si="8"/>
        <v/>
      </c>
      <c r="N297" s="32" t="str">
        <f t="shared" si="9"/>
        <v/>
      </c>
    </row>
    <row r="298" spans="13:14">
      <c r="M298" s="32" t="str">
        <f t="shared" si="8"/>
        <v/>
      </c>
      <c r="N298" s="32" t="str">
        <f t="shared" si="9"/>
        <v/>
      </c>
    </row>
    <row r="299" spans="13:14">
      <c r="M299" s="32" t="str">
        <f t="shared" si="8"/>
        <v/>
      </c>
      <c r="N299" s="32" t="str">
        <f t="shared" si="9"/>
        <v/>
      </c>
    </row>
    <row r="300" spans="13:14">
      <c r="M300" s="32" t="str">
        <f t="shared" si="8"/>
        <v/>
      </c>
      <c r="N300" s="32" t="str">
        <f t="shared" si="9"/>
        <v/>
      </c>
    </row>
    <row r="301" spans="13:14">
      <c r="M301" s="32" t="str">
        <f t="shared" si="8"/>
        <v/>
      </c>
      <c r="N301" s="32" t="str">
        <f t="shared" si="9"/>
        <v/>
      </c>
    </row>
    <row r="302" spans="13:14">
      <c r="M302" s="32" t="str">
        <f t="shared" si="8"/>
        <v/>
      </c>
      <c r="N302" s="32" t="str">
        <f t="shared" si="9"/>
        <v/>
      </c>
    </row>
    <row r="303" spans="13:14">
      <c r="M303" s="32" t="str">
        <f t="shared" si="8"/>
        <v/>
      </c>
      <c r="N303" s="32" t="str">
        <f t="shared" si="9"/>
        <v/>
      </c>
    </row>
    <row r="304" spans="13:14">
      <c r="M304" s="32" t="str">
        <f t="shared" si="8"/>
        <v/>
      </c>
      <c r="N304" s="32" t="str">
        <f t="shared" si="9"/>
        <v/>
      </c>
    </row>
    <row r="305" spans="13:14">
      <c r="M305" s="32" t="str">
        <f t="shared" si="8"/>
        <v/>
      </c>
      <c r="N305" s="32" t="str">
        <f t="shared" si="9"/>
        <v/>
      </c>
    </row>
    <row r="306" spans="13:14">
      <c r="M306" s="32" t="str">
        <f t="shared" si="8"/>
        <v/>
      </c>
      <c r="N306" s="32" t="str">
        <f t="shared" si="9"/>
        <v/>
      </c>
    </row>
    <row r="307" spans="13:14">
      <c r="M307" s="32" t="str">
        <f t="shared" si="8"/>
        <v/>
      </c>
      <c r="N307" s="32" t="str">
        <f t="shared" si="9"/>
        <v/>
      </c>
    </row>
    <row r="308" spans="13:14">
      <c r="M308" s="32" t="str">
        <f t="shared" si="8"/>
        <v/>
      </c>
      <c r="N308" s="32" t="str">
        <f t="shared" si="9"/>
        <v/>
      </c>
    </row>
    <row r="309" spans="13:14">
      <c r="M309" s="32" t="str">
        <f t="shared" si="8"/>
        <v/>
      </c>
      <c r="N309" s="32" t="str">
        <f t="shared" si="9"/>
        <v/>
      </c>
    </row>
    <row r="310" spans="13:14">
      <c r="M310" s="32" t="str">
        <f t="shared" si="8"/>
        <v/>
      </c>
      <c r="N310" s="32" t="str">
        <f t="shared" si="9"/>
        <v/>
      </c>
    </row>
    <row r="311" spans="13:14">
      <c r="M311" s="32" t="str">
        <f t="shared" si="8"/>
        <v/>
      </c>
      <c r="N311" s="32" t="str">
        <f t="shared" si="9"/>
        <v/>
      </c>
    </row>
    <row r="312" spans="13:14">
      <c r="M312" s="32" t="str">
        <f t="shared" si="8"/>
        <v/>
      </c>
      <c r="N312" s="32" t="str">
        <f t="shared" si="9"/>
        <v/>
      </c>
    </row>
    <row r="313" spans="13:14">
      <c r="M313" s="32" t="str">
        <f t="shared" si="8"/>
        <v/>
      </c>
      <c r="N313" s="32" t="str">
        <f t="shared" si="9"/>
        <v/>
      </c>
    </row>
    <row r="314" spans="13:14">
      <c r="M314" s="32" t="str">
        <f t="shared" si="8"/>
        <v/>
      </c>
      <c r="N314" s="32" t="str">
        <f t="shared" si="9"/>
        <v/>
      </c>
    </row>
    <row r="315" spans="13:14">
      <c r="M315" s="32" t="str">
        <f t="shared" si="8"/>
        <v/>
      </c>
      <c r="N315" s="32" t="str">
        <f t="shared" si="9"/>
        <v/>
      </c>
    </row>
    <row r="316" spans="13:14">
      <c r="M316" s="32" t="str">
        <f t="shared" si="8"/>
        <v/>
      </c>
      <c r="N316" s="32" t="str">
        <f t="shared" si="9"/>
        <v/>
      </c>
    </row>
    <row r="317" spans="13:14">
      <c r="M317" s="32" t="str">
        <f t="shared" si="8"/>
        <v/>
      </c>
      <c r="N317" s="32" t="str">
        <f t="shared" si="9"/>
        <v/>
      </c>
    </row>
    <row r="318" spans="13:14">
      <c r="M318" s="32" t="str">
        <f t="shared" si="8"/>
        <v/>
      </c>
      <c r="N318" s="32" t="str">
        <f t="shared" si="9"/>
        <v/>
      </c>
    </row>
    <row r="319" spans="13:14">
      <c r="M319" s="32" t="str">
        <f t="shared" si="8"/>
        <v/>
      </c>
      <c r="N319" s="32" t="str">
        <f t="shared" si="9"/>
        <v/>
      </c>
    </row>
    <row r="320" spans="13:14">
      <c r="M320" s="32" t="str">
        <f t="shared" si="8"/>
        <v/>
      </c>
      <c r="N320" s="32" t="str">
        <f t="shared" si="9"/>
        <v/>
      </c>
    </row>
    <row r="321" spans="13:14">
      <c r="M321" s="32" t="str">
        <f t="shared" si="8"/>
        <v/>
      </c>
      <c r="N321" s="32" t="str">
        <f t="shared" si="9"/>
        <v/>
      </c>
    </row>
    <row r="322" spans="13:14">
      <c r="M322" s="32" t="str">
        <f t="shared" si="8"/>
        <v/>
      </c>
      <c r="N322" s="32" t="str">
        <f t="shared" si="9"/>
        <v/>
      </c>
    </row>
    <row r="323" spans="13:14">
      <c r="M323" s="32" t="str">
        <f t="shared" si="8"/>
        <v/>
      </c>
      <c r="N323" s="32" t="str">
        <f t="shared" si="9"/>
        <v/>
      </c>
    </row>
    <row r="324" spans="13:14">
      <c r="M324" s="32" t="str">
        <f t="shared" si="8"/>
        <v/>
      </c>
      <c r="N324" s="32" t="str">
        <f t="shared" si="9"/>
        <v/>
      </c>
    </row>
    <row r="325" spans="13:14">
      <c r="M325" s="32" t="str">
        <f t="shared" si="8"/>
        <v/>
      </c>
      <c r="N325" s="32" t="str">
        <f t="shared" si="9"/>
        <v/>
      </c>
    </row>
    <row r="326" spans="13:14">
      <c r="M326" s="32" t="str">
        <f t="shared" si="8"/>
        <v/>
      </c>
      <c r="N326" s="32" t="str">
        <f t="shared" si="9"/>
        <v/>
      </c>
    </row>
    <row r="327" spans="13:14">
      <c r="M327" s="32" t="str">
        <f t="shared" si="8"/>
        <v/>
      </c>
      <c r="N327" s="32" t="str">
        <f t="shared" si="9"/>
        <v/>
      </c>
    </row>
    <row r="328" spans="13:14">
      <c r="M328" s="32" t="str">
        <f t="shared" ref="M328:M360" si="10">IF(L328="1",I328,"")</f>
        <v/>
      </c>
      <c r="N328" s="32" t="str">
        <f t="shared" ref="N328:N360" si="11">IF(L328="2",I328,"")</f>
        <v/>
      </c>
    </row>
    <row r="329" spans="13:14">
      <c r="M329" s="32" t="str">
        <f t="shared" si="10"/>
        <v/>
      </c>
      <c r="N329" s="32" t="str">
        <f t="shared" si="11"/>
        <v/>
      </c>
    </row>
    <row r="330" spans="13:14">
      <c r="M330" s="32" t="str">
        <f t="shared" si="10"/>
        <v/>
      </c>
      <c r="N330" s="32" t="str">
        <f t="shared" si="11"/>
        <v/>
      </c>
    </row>
    <row r="331" spans="13:14">
      <c r="M331" s="32" t="str">
        <f t="shared" si="10"/>
        <v/>
      </c>
      <c r="N331" s="32" t="str">
        <f t="shared" si="11"/>
        <v/>
      </c>
    </row>
    <row r="332" spans="13:14">
      <c r="M332" s="32" t="str">
        <f t="shared" si="10"/>
        <v/>
      </c>
      <c r="N332" s="32" t="str">
        <f t="shared" si="11"/>
        <v/>
      </c>
    </row>
    <row r="333" spans="13:14">
      <c r="M333" s="32" t="str">
        <f t="shared" si="10"/>
        <v/>
      </c>
      <c r="N333" s="32" t="str">
        <f t="shared" si="11"/>
        <v/>
      </c>
    </row>
    <row r="334" spans="13:14">
      <c r="M334" s="32" t="str">
        <f t="shared" si="10"/>
        <v/>
      </c>
      <c r="N334" s="32" t="str">
        <f t="shared" si="11"/>
        <v/>
      </c>
    </row>
    <row r="335" spans="13:14">
      <c r="M335" s="32" t="str">
        <f t="shared" si="10"/>
        <v/>
      </c>
      <c r="N335" s="32" t="str">
        <f t="shared" si="11"/>
        <v/>
      </c>
    </row>
    <row r="336" spans="13:14">
      <c r="M336" s="32" t="str">
        <f t="shared" si="10"/>
        <v/>
      </c>
      <c r="N336" s="32" t="str">
        <f t="shared" si="11"/>
        <v/>
      </c>
    </row>
    <row r="337" spans="13:14">
      <c r="M337" s="32" t="str">
        <f t="shared" si="10"/>
        <v/>
      </c>
      <c r="N337" s="32" t="str">
        <f t="shared" si="11"/>
        <v/>
      </c>
    </row>
    <row r="338" spans="13:14">
      <c r="M338" s="32" t="str">
        <f t="shared" si="10"/>
        <v/>
      </c>
      <c r="N338" s="32" t="str">
        <f t="shared" si="11"/>
        <v/>
      </c>
    </row>
    <row r="339" spans="13:14">
      <c r="M339" s="32" t="str">
        <f t="shared" si="10"/>
        <v/>
      </c>
      <c r="N339" s="32" t="str">
        <f t="shared" si="11"/>
        <v/>
      </c>
    </row>
    <row r="340" spans="13:14">
      <c r="M340" s="32" t="str">
        <f t="shared" si="10"/>
        <v/>
      </c>
      <c r="N340" s="32" t="str">
        <f t="shared" si="11"/>
        <v/>
      </c>
    </row>
    <row r="341" spans="13:14">
      <c r="M341" s="32" t="str">
        <f t="shared" si="10"/>
        <v/>
      </c>
      <c r="N341" s="32" t="str">
        <f t="shared" si="11"/>
        <v/>
      </c>
    </row>
    <row r="342" spans="13:14">
      <c r="M342" s="32" t="str">
        <f t="shared" si="10"/>
        <v/>
      </c>
      <c r="N342" s="32" t="str">
        <f t="shared" si="11"/>
        <v/>
      </c>
    </row>
    <row r="343" spans="13:14">
      <c r="M343" s="32" t="str">
        <f t="shared" si="10"/>
        <v/>
      </c>
      <c r="N343" s="32" t="str">
        <f t="shared" si="11"/>
        <v/>
      </c>
    </row>
    <row r="344" spans="13:14">
      <c r="M344" s="32" t="str">
        <f t="shared" si="10"/>
        <v/>
      </c>
      <c r="N344" s="32" t="str">
        <f t="shared" si="11"/>
        <v/>
      </c>
    </row>
    <row r="345" spans="13:14">
      <c r="M345" s="32" t="str">
        <f t="shared" si="10"/>
        <v/>
      </c>
      <c r="N345" s="32" t="str">
        <f t="shared" si="11"/>
        <v/>
      </c>
    </row>
    <row r="346" spans="13:14">
      <c r="M346" s="32" t="str">
        <f t="shared" si="10"/>
        <v/>
      </c>
      <c r="N346" s="32" t="str">
        <f t="shared" si="11"/>
        <v/>
      </c>
    </row>
    <row r="347" spans="13:14">
      <c r="M347" s="32" t="str">
        <f t="shared" si="10"/>
        <v/>
      </c>
      <c r="N347" s="32" t="str">
        <f t="shared" si="11"/>
        <v/>
      </c>
    </row>
    <row r="348" spans="13:14">
      <c r="M348" s="32" t="str">
        <f t="shared" si="10"/>
        <v/>
      </c>
      <c r="N348" s="32" t="str">
        <f t="shared" si="11"/>
        <v/>
      </c>
    </row>
    <row r="349" spans="13:14">
      <c r="M349" s="32" t="str">
        <f t="shared" si="10"/>
        <v/>
      </c>
      <c r="N349" s="32" t="str">
        <f t="shared" si="11"/>
        <v/>
      </c>
    </row>
    <row r="350" spans="13:14">
      <c r="M350" s="32" t="str">
        <f t="shared" si="10"/>
        <v/>
      </c>
      <c r="N350" s="32" t="str">
        <f t="shared" si="11"/>
        <v/>
      </c>
    </row>
    <row r="351" spans="13:14">
      <c r="M351" s="32" t="str">
        <f t="shared" si="10"/>
        <v/>
      </c>
      <c r="N351" s="32" t="str">
        <f t="shared" si="11"/>
        <v/>
      </c>
    </row>
    <row r="352" spans="13:14">
      <c r="M352" s="32" t="str">
        <f t="shared" si="10"/>
        <v/>
      </c>
      <c r="N352" s="32" t="str">
        <f t="shared" si="11"/>
        <v/>
      </c>
    </row>
    <row r="353" spans="13:14">
      <c r="M353" s="32" t="str">
        <f t="shared" si="10"/>
        <v/>
      </c>
      <c r="N353" s="32" t="str">
        <f t="shared" si="11"/>
        <v/>
      </c>
    </row>
    <row r="354" spans="13:14">
      <c r="M354" s="32" t="str">
        <f t="shared" si="10"/>
        <v/>
      </c>
      <c r="N354" s="32" t="str">
        <f t="shared" si="11"/>
        <v/>
      </c>
    </row>
    <row r="355" spans="13:14">
      <c r="M355" s="32" t="str">
        <f t="shared" si="10"/>
        <v/>
      </c>
      <c r="N355" s="32" t="str">
        <f t="shared" si="11"/>
        <v/>
      </c>
    </row>
    <row r="356" spans="13:14">
      <c r="M356" s="32" t="str">
        <f t="shared" si="10"/>
        <v/>
      </c>
      <c r="N356" s="32" t="str">
        <f t="shared" si="11"/>
        <v/>
      </c>
    </row>
    <row r="357" spans="13:14">
      <c r="M357" s="32" t="str">
        <f t="shared" si="10"/>
        <v/>
      </c>
      <c r="N357" s="32" t="str">
        <f t="shared" si="11"/>
        <v/>
      </c>
    </row>
    <row r="358" spans="13:14">
      <c r="M358" s="32" t="str">
        <f t="shared" si="10"/>
        <v/>
      </c>
      <c r="N358" s="32" t="str">
        <f t="shared" si="11"/>
        <v/>
      </c>
    </row>
    <row r="359" spans="13:14">
      <c r="M359" s="32" t="str">
        <f t="shared" si="10"/>
        <v/>
      </c>
      <c r="N359" s="32" t="str">
        <f t="shared" si="11"/>
        <v/>
      </c>
    </row>
    <row r="360" spans="13:14">
      <c r="M360" s="32" t="str">
        <f t="shared" si="10"/>
        <v/>
      </c>
      <c r="N360" s="32" t="str">
        <f t="shared" si="11"/>
        <v/>
      </c>
    </row>
  </sheetData>
  <mergeCells count="7">
    <mergeCell ref="A2:O2"/>
    <mergeCell ref="A3:O3"/>
    <mergeCell ref="A5:A6"/>
    <mergeCell ref="B5:B6"/>
    <mergeCell ref="C5:C6"/>
    <mergeCell ref="D5:E5"/>
    <mergeCell ref="F5:O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C999"/>
  <sheetViews>
    <sheetView tabSelected="1" topLeftCell="A4" workbookViewId="0">
      <pane xSplit="4" topLeftCell="E1" activePane="topRight" state="frozen"/>
      <selection pane="topRight" activeCell="B16" sqref="B16"/>
    </sheetView>
  </sheetViews>
  <sheetFormatPr defaultRowHeight="12.75"/>
  <cols>
    <col min="1" max="1" width="6.33203125" customWidth="1"/>
    <col min="2" max="2" width="29.6640625" bestFit="1" customWidth="1"/>
    <col min="3" max="3" width="11.5" customWidth="1"/>
    <col min="4" max="4" width="20.1640625" customWidth="1"/>
    <col min="6" max="6" width="15.6640625" customWidth="1"/>
    <col min="8" max="8" width="16.83203125" customWidth="1"/>
    <col min="12" max="12" width="14.83203125" customWidth="1"/>
    <col min="14" max="14" width="16" customWidth="1"/>
    <col min="18" max="18" width="15" customWidth="1"/>
    <col min="20" max="20" width="17.1640625" customWidth="1"/>
    <col min="24" max="24" width="15.33203125" customWidth="1"/>
    <col min="26" max="26" width="16" bestFit="1" customWidth="1"/>
    <col min="32" max="32" width="16" bestFit="1" customWidth="1"/>
    <col min="36" max="36" width="16" customWidth="1"/>
    <col min="38" max="38" width="17.5" bestFit="1" customWidth="1"/>
    <col min="44" max="44" width="16" bestFit="1" customWidth="1"/>
    <col min="50" max="50" width="16" bestFit="1" customWidth="1"/>
    <col min="56" max="56" width="14.33203125" bestFit="1" customWidth="1"/>
    <col min="62" max="62" width="17.5" bestFit="1" customWidth="1"/>
    <col min="68" max="68" width="17.5" bestFit="1" customWidth="1"/>
    <col min="74" max="74" width="21" customWidth="1"/>
    <col min="77" max="77" width="7.83203125" customWidth="1"/>
    <col min="78" max="78" width="21.5" customWidth="1"/>
    <col min="79" max="79" width="11.6640625" customWidth="1"/>
    <col min="80" max="80" width="11.5" bestFit="1" customWidth="1"/>
  </cols>
  <sheetData>
    <row r="1" spans="1:81" ht="13.5" thickBot="1">
      <c r="A1" s="16"/>
      <c r="B1" s="16"/>
      <c r="C1" s="17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P1" s="16"/>
      <c r="BQ1" s="16"/>
      <c r="BR1" s="16"/>
      <c r="BS1" s="16"/>
      <c r="BT1" s="16"/>
      <c r="BU1" s="16"/>
      <c r="BV1" s="16"/>
      <c r="BW1" s="16"/>
      <c r="BX1" s="16"/>
      <c r="BY1" s="16"/>
      <c r="BZ1" s="16"/>
      <c r="CA1" s="16"/>
      <c r="CB1" s="16"/>
      <c r="CC1" s="16"/>
    </row>
    <row r="2" spans="1:81" ht="13.5" thickBot="1">
      <c r="A2" s="61"/>
      <c r="B2" s="62"/>
      <c r="C2" s="62"/>
      <c r="D2" s="63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16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</row>
    <row r="3" spans="1:81" ht="71.25" customHeight="1" thickBot="1">
      <c r="A3" s="65" t="s">
        <v>21</v>
      </c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20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  <c r="BP3" s="16"/>
      <c r="BQ3" s="16"/>
      <c r="BR3" s="16"/>
      <c r="BS3" s="16"/>
      <c r="BT3" s="16"/>
      <c r="BU3" s="16"/>
      <c r="BV3" s="16"/>
      <c r="BW3" s="16"/>
      <c r="BX3" s="16"/>
      <c r="BY3" s="16"/>
      <c r="BZ3" s="16"/>
      <c r="CA3" s="16"/>
      <c r="CB3" s="16"/>
      <c r="CC3" s="16"/>
    </row>
    <row r="4" spans="1:81" ht="15" customHeight="1" thickBot="1">
      <c r="A4" s="65" t="s">
        <v>49</v>
      </c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7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  <c r="BP4" s="16"/>
      <c r="BQ4" s="16"/>
      <c r="BR4" s="16"/>
      <c r="BS4" s="16"/>
      <c r="BT4" s="16"/>
      <c r="BU4" s="16"/>
      <c r="BV4" s="16"/>
      <c r="BW4" s="16"/>
      <c r="BX4" s="16"/>
      <c r="BY4" s="16"/>
      <c r="BZ4" s="16"/>
      <c r="CA4" s="16"/>
      <c r="CB4" s="16"/>
      <c r="CC4" s="16"/>
    </row>
    <row r="5" spans="1:81" ht="34.35" customHeight="1" thickBot="1">
      <c r="A5" s="68" t="s">
        <v>35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  <c r="AA5" s="69"/>
      <c r="AB5" s="69"/>
      <c r="AC5" s="69"/>
      <c r="AD5" s="69"/>
      <c r="AE5" s="69"/>
      <c r="AF5" s="70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  <c r="BP5" s="16"/>
      <c r="BQ5" s="16"/>
      <c r="BR5" s="16"/>
      <c r="BS5" s="16"/>
      <c r="BT5" s="16"/>
      <c r="BU5" s="16"/>
      <c r="BV5" s="16"/>
      <c r="BW5" s="16"/>
      <c r="BX5" s="16"/>
      <c r="BY5" s="16"/>
      <c r="BZ5" s="16"/>
      <c r="CA5" s="16"/>
      <c r="CB5" s="16"/>
      <c r="CC5" s="16"/>
    </row>
    <row r="6" spans="1:81" ht="27.75" customHeight="1">
      <c r="A6" s="64" t="s">
        <v>4</v>
      </c>
      <c r="B6" s="64" t="s">
        <v>5</v>
      </c>
      <c r="C6" s="64" t="s">
        <v>3</v>
      </c>
      <c r="D6" s="64" t="s">
        <v>50</v>
      </c>
      <c r="E6" s="60" t="s">
        <v>37</v>
      </c>
      <c r="F6" s="60"/>
      <c r="G6" s="60"/>
      <c r="H6" s="60"/>
      <c r="I6" s="60"/>
      <c r="J6" s="60"/>
      <c r="K6" s="60" t="s">
        <v>38</v>
      </c>
      <c r="L6" s="60"/>
      <c r="M6" s="60"/>
      <c r="N6" s="60"/>
      <c r="O6" s="60"/>
      <c r="P6" s="60"/>
      <c r="Q6" s="60" t="s">
        <v>39</v>
      </c>
      <c r="R6" s="60"/>
      <c r="S6" s="60"/>
      <c r="T6" s="60"/>
      <c r="U6" s="60"/>
      <c r="V6" s="60"/>
      <c r="W6" s="60" t="s">
        <v>40</v>
      </c>
      <c r="X6" s="60"/>
      <c r="Y6" s="60"/>
      <c r="Z6" s="60"/>
      <c r="AA6" s="60"/>
      <c r="AB6" s="60"/>
      <c r="AC6" s="60" t="s">
        <v>41</v>
      </c>
      <c r="AD6" s="60"/>
      <c r="AE6" s="60"/>
      <c r="AF6" s="60"/>
      <c r="AG6" s="60"/>
      <c r="AH6" s="60"/>
      <c r="AI6" s="60" t="s">
        <v>42</v>
      </c>
      <c r="AJ6" s="60"/>
      <c r="AK6" s="60"/>
      <c r="AL6" s="60"/>
      <c r="AM6" s="60"/>
      <c r="AN6" s="60"/>
      <c r="AO6" s="60" t="s">
        <v>43</v>
      </c>
      <c r="AP6" s="60"/>
      <c r="AQ6" s="60"/>
      <c r="AR6" s="60"/>
      <c r="AS6" s="60"/>
      <c r="AT6" s="60"/>
      <c r="AU6" s="60" t="s">
        <v>44</v>
      </c>
      <c r="AV6" s="60"/>
      <c r="AW6" s="60"/>
      <c r="AX6" s="60"/>
      <c r="AY6" s="60"/>
      <c r="AZ6" s="60"/>
      <c r="BA6" s="60" t="s">
        <v>45</v>
      </c>
      <c r="BB6" s="60"/>
      <c r="BC6" s="60"/>
      <c r="BD6" s="60"/>
      <c r="BE6" s="60"/>
      <c r="BF6" s="60"/>
      <c r="BG6" s="60" t="s">
        <v>46</v>
      </c>
      <c r="BH6" s="60"/>
      <c r="BI6" s="60"/>
      <c r="BJ6" s="60"/>
      <c r="BK6" s="60"/>
      <c r="BL6" s="60"/>
      <c r="BM6" s="60" t="s">
        <v>47</v>
      </c>
      <c r="BN6" s="60"/>
      <c r="BO6" s="60"/>
      <c r="BP6" s="60"/>
      <c r="BQ6" s="60"/>
      <c r="BR6" s="60"/>
      <c r="BS6" s="60" t="s">
        <v>48</v>
      </c>
      <c r="BT6" s="60"/>
      <c r="BU6" s="60"/>
      <c r="BV6" s="60"/>
      <c r="BW6" s="60"/>
      <c r="BX6" s="60"/>
      <c r="BY6" s="60" t="s">
        <v>22</v>
      </c>
      <c r="BZ6" s="60"/>
      <c r="CA6" s="60" t="s">
        <v>23</v>
      </c>
      <c r="CB6" s="60"/>
      <c r="CC6" s="60" t="s">
        <v>0</v>
      </c>
    </row>
    <row r="7" spans="1:81" ht="14.25">
      <c r="A7" s="64"/>
      <c r="B7" s="64"/>
      <c r="C7" s="64"/>
      <c r="D7" s="64"/>
      <c r="E7" s="60" t="s">
        <v>24</v>
      </c>
      <c r="F7" s="60"/>
      <c r="G7" s="60" t="s">
        <v>25</v>
      </c>
      <c r="H7" s="60"/>
      <c r="I7" s="60" t="s">
        <v>26</v>
      </c>
      <c r="J7" s="60"/>
      <c r="K7" s="60" t="s">
        <v>24</v>
      </c>
      <c r="L7" s="60"/>
      <c r="M7" s="60" t="s">
        <v>25</v>
      </c>
      <c r="N7" s="60"/>
      <c r="O7" s="60" t="s">
        <v>26</v>
      </c>
      <c r="P7" s="60"/>
      <c r="Q7" s="60" t="s">
        <v>24</v>
      </c>
      <c r="R7" s="60"/>
      <c r="S7" s="60" t="s">
        <v>25</v>
      </c>
      <c r="T7" s="60"/>
      <c r="U7" s="60" t="s">
        <v>26</v>
      </c>
      <c r="V7" s="60"/>
      <c r="W7" s="60" t="s">
        <v>24</v>
      </c>
      <c r="X7" s="60"/>
      <c r="Y7" s="60" t="s">
        <v>25</v>
      </c>
      <c r="Z7" s="60"/>
      <c r="AA7" s="60" t="s">
        <v>26</v>
      </c>
      <c r="AB7" s="60"/>
      <c r="AC7" s="60" t="s">
        <v>24</v>
      </c>
      <c r="AD7" s="60"/>
      <c r="AE7" s="60" t="s">
        <v>25</v>
      </c>
      <c r="AF7" s="60"/>
      <c r="AG7" s="60" t="s">
        <v>26</v>
      </c>
      <c r="AH7" s="60"/>
      <c r="AI7" s="60" t="s">
        <v>24</v>
      </c>
      <c r="AJ7" s="60"/>
      <c r="AK7" s="60" t="s">
        <v>25</v>
      </c>
      <c r="AL7" s="60"/>
      <c r="AM7" s="60" t="s">
        <v>26</v>
      </c>
      <c r="AN7" s="60"/>
      <c r="AO7" s="60" t="s">
        <v>24</v>
      </c>
      <c r="AP7" s="60"/>
      <c r="AQ7" s="60" t="s">
        <v>25</v>
      </c>
      <c r="AR7" s="60"/>
      <c r="AS7" s="60" t="s">
        <v>26</v>
      </c>
      <c r="AT7" s="60"/>
      <c r="AU7" s="60" t="s">
        <v>24</v>
      </c>
      <c r="AV7" s="60"/>
      <c r="AW7" s="60" t="s">
        <v>25</v>
      </c>
      <c r="AX7" s="60"/>
      <c r="AY7" s="60" t="s">
        <v>26</v>
      </c>
      <c r="AZ7" s="60"/>
      <c r="BA7" s="60" t="s">
        <v>24</v>
      </c>
      <c r="BB7" s="60"/>
      <c r="BC7" s="60" t="s">
        <v>25</v>
      </c>
      <c r="BD7" s="60"/>
      <c r="BE7" s="60" t="s">
        <v>26</v>
      </c>
      <c r="BF7" s="60"/>
      <c r="BG7" s="60" t="s">
        <v>24</v>
      </c>
      <c r="BH7" s="60"/>
      <c r="BI7" s="60" t="s">
        <v>25</v>
      </c>
      <c r="BJ7" s="60"/>
      <c r="BK7" s="60" t="s">
        <v>26</v>
      </c>
      <c r="BL7" s="60"/>
      <c r="BM7" s="60" t="s">
        <v>24</v>
      </c>
      <c r="BN7" s="60"/>
      <c r="BO7" s="60" t="s">
        <v>25</v>
      </c>
      <c r="BP7" s="60"/>
      <c r="BQ7" s="60" t="s">
        <v>26</v>
      </c>
      <c r="BR7" s="60"/>
      <c r="BS7" s="60" t="s">
        <v>24</v>
      </c>
      <c r="BT7" s="60"/>
      <c r="BU7" s="60" t="s">
        <v>25</v>
      </c>
      <c r="BV7" s="60"/>
      <c r="BW7" s="60" t="s">
        <v>26</v>
      </c>
      <c r="BX7" s="60"/>
      <c r="BY7" s="60"/>
      <c r="BZ7" s="60"/>
      <c r="CA7" s="60"/>
      <c r="CB7" s="60"/>
      <c r="CC7" s="60"/>
    </row>
    <row r="8" spans="1:81" ht="28.5">
      <c r="A8" s="64"/>
      <c r="B8" s="64"/>
      <c r="C8" s="64"/>
      <c r="D8" s="64"/>
      <c r="E8" s="12" t="s">
        <v>20</v>
      </c>
      <c r="F8" s="12" t="s">
        <v>27</v>
      </c>
      <c r="G8" s="12" t="s">
        <v>20</v>
      </c>
      <c r="H8" s="12" t="s">
        <v>27</v>
      </c>
      <c r="I8" s="12" t="s">
        <v>20</v>
      </c>
      <c r="J8" s="12" t="s">
        <v>28</v>
      </c>
      <c r="K8" s="12" t="s">
        <v>20</v>
      </c>
      <c r="L8" s="12" t="s">
        <v>27</v>
      </c>
      <c r="M8" s="12" t="s">
        <v>20</v>
      </c>
      <c r="N8" s="12" t="s">
        <v>27</v>
      </c>
      <c r="O8" s="12" t="s">
        <v>20</v>
      </c>
      <c r="P8" s="12" t="s">
        <v>28</v>
      </c>
      <c r="Q8" s="12" t="s">
        <v>20</v>
      </c>
      <c r="R8" s="12" t="s">
        <v>27</v>
      </c>
      <c r="S8" s="12" t="s">
        <v>20</v>
      </c>
      <c r="T8" s="12" t="s">
        <v>27</v>
      </c>
      <c r="U8" s="12" t="s">
        <v>20</v>
      </c>
      <c r="V8" s="12" t="s">
        <v>28</v>
      </c>
      <c r="W8" s="12" t="s">
        <v>20</v>
      </c>
      <c r="X8" s="12" t="s">
        <v>27</v>
      </c>
      <c r="Y8" s="12" t="s">
        <v>20</v>
      </c>
      <c r="Z8" s="12" t="s">
        <v>27</v>
      </c>
      <c r="AA8" s="12" t="s">
        <v>20</v>
      </c>
      <c r="AB8" s="12" t="s">
        <v>28</v>
      </c>
      <c r="AC8" s="12" t="s">
        <v>20</v>
      </c>
      <c r="AD8" s="12" t="s">
        <v>27</v>
      </c>
      <c r="AE8" s="12" t="s">
        <v>20</v>
      </c>
      <c r="AF8" s="12" t="s">
        <v>27</v>
      </c>
      <c r="AG8" s="12" t="s">
        <v>20</v>
      </c>
      <c r="AH8" s="12" t="s">
        <v>28</v>
      </c>
      <c r="AI8" s="12" t="s">
        <v>20</v>
      </c>
      <c r="AJ8" s="12" t="s">
        <v>27</v>
      </c>
      <c r="AK8" s="12" t="s">
        <v>20</v>
      </c>
      <c r="AL8" s="12" t="s">
        <v>27</v>
      </c>
      <c r="AM8" s="12" t="s">
        <v>20</v>
      </c>
      <c r="AN8" s="12" t="s">
        <v>28</v>
      </c>
      <c r="AO8" s="12" t="s">
        <v>20</v>
      </c>
      <c r="AP8" s="12" t="s">
        <v>27</v>
      </c>
      <c r="AQ8" s="12" t="s">
        <v>20</v>
      </c>
      <c r="AR8" s="12" t="s">
        <v>27</v>
      </c>
      <c r="AS8" s="12" t="s">
        <v>20</v>
      </c>
      <c r="AT8" s="12" t="s">
        <v>28</v>
      </c>
      <c r="AU8" s="12" t="s">
        <v>20</v>
      </c>
      <c r="AV8" s="12" t="s">
        <v>27</v>
      </c>
      <c r="AW8" s="12" t="s">
        <v>20</v>
      </c>
      <c r="AX8" s="12" t="s">
        <v>27</v>
      </c>
      <c r="AY8" s="12" t="s">
        <v>20</v>
      </c>
      <c r="AZ8" s="12" t="s">
        <v>28</v>
      </c>
      <c r="BA8" s="12" t="s">
        <v>20</v>
      </c>
      <c r="BB8" s="12" t="s">
        <v>27</v>
      </c>
      <c r="BC8" s="12" t="s">
        <v>20</v>
      </c>
      <c r="BD8" s="12" t="s">
        <v>27</v>
      </c>
      <c r="BE8" s="12" t="s">
        <v>20</v>
      </c>
      <c r="BF8" s="12" t="s">
        <v>28</v>
      </c>
      <c r="BG8" s="12" t="s">
        <v>20</v>
      </c>
      <c r="BH8" s="12" t="s">
        <v>27</v>
      </c>
      <c r="BI8" s="12" t="s">
        <v>20</v>
      </c>
      <c r="BJ8" s="12" t="s">
        <v>27</v>
      </c>
      <c r="BK8" s="12" t="s">
        <v>20</v>
      </c>
      <c r="BL8" s="12" t="s">
        <v>28</v>
      </c>
      <c r="BM8" s="12" t="s">
        <v>20</v>
      </c>
      <c r="BN8" s="12" t="s">
        <v>27</v>
      </c>
      <c r="BO8" s="12" t="s">
        <v>20</v>
      </c>
      <c r="BP8" s="12" t="s">
        <v>27</v>
      </c>
      <c r="BQ8" s="12" t="s">
        <v>20</v>
      </c>
      <c r="BR8" s="12" t="s">
        <v>28</v>
      </c>
      <c r="BS8" s="12" t="s">
        <v>20</v>
      </c>
      <c r="BT8" s="12" t="s">
        <v>27</v>
      </c>
      <c r="BU8" s="12" t="s">
        <v>20</v>
      </c>
      <c r="BV8" s="12" t="s">
        <v>27</v>
      </c>
      <c r="BW8" s="12" t="s">
        <v>20</v>
      </c>
      <c r="BX8" s="12" t="s">
        <v>28</v>
      </c>
      <c r="BY8" s="12" t="s">
        <v>20</v>
      </c>
      <c r="BZ8" s="12" t="s">
        <v>27</v>
      </c>
      <c r="CA8" s="12" t="s">
        <v>29</v>
      </c>
      <c r="CB8" s="12" t="s">
        <v>30</v>
      </c>
      <c r="CC8" s="60"/>
    </row>
    <row r="9" spans="1:81" ht="15.75">
      <c r="A9" s="23"/>
      <c r="B9" s="24" t="s">
        <v>31</v>
      </c>
      <c r="C9" s="30">
        <f ca="1">SUM(C10:C15)</f>
        <v>0</v>
      </c>
      <c r="D9" s="30">
        <f ca="1">SUM(D10:D15)</f>
        <v>0</v>
      </c>
      <c r="E9" s="25"/>
      <c r="F9" s="25"/>
      <c r="G9" s="25">
        <f>SUM(G10:G15)</f>
        <v>0</v>
      </c>
      <c r="H9" s="42">
        <f>SUM(H10:H15)</f>
        <v>0</v>
      </c>
      <c r="I9" s="25"/>
      <c r="J9" s="25"/>
      <c r="K9" s="25"/>
      <c r="L9" s="25"/>
      <c r="M9" s="25">
        <f>SUM(M10:M15)</f>
        <v>0</v>
      </c>
      <c r="N9" s="42">
        <f>SUM(N10:N15)</f>
        <v>0</v>
      </c>
      <c r="O9" s="25"/>
      <c r="P9" s="25"/>
      <c r="Q9" s="25"/>
      <c r="R9" s="25"/>
      <c r="S9" s="25">
        <f>SUM(S10:S15)</f>
        <v>0</v>
      </c>
      <c r="T9" s="42">
        <f>SUM(T10:T15)</f>
        <v>0</v>
      </c>
      <c r="U9" s="25"/>
      <c r="V9" s="25"/>
      <c r="W9" s="25">
        <f>SUM(W10:W15)</f>
        <v>0</v>
      </c>
      <c r="X9" s="25">
        <f>SUM(X10:X15)</f>
        <v>0</v>
      </c>
      <c r="Y9" s="25">
        <f>SUM(Y10:Y15)</f>
        <v>0</v>
      </c>
      <c r="Z9" s="42">
        <f>SUM(Z10:Z15)</f>
        <v>0</v>
      </c>
      <c r="AA9" s="25"/>
      <c r="AB9" s="25"/>
      <c r="AC9" s="25"/>
      <c r="AD9" s="25"/>
      <c r="AE9" s="25">
        <f>SUM(AE10:AE15)</f>
        <v>0</v>
      </c>
      <c r="AF9" s="42">
        <f>SUM(AF10:AF15)</f>
        <v>0</v>
      </c>
      <c r="AG9" s="25"/>
      <c r="AH9" s="25"/>
      <c r="AI9" s="25"/>
      <c r="AJ9" s="25"/>
      <c r="AK9" s="25">
        <f>SUM(AK10:AK15)</f>
        <v>0</v>
      </c>
      <c r="AL9" s="42">
        <f>SUM(AL10:AL15)</f>
        <v>0</v>
      </c>
      <c r="AM9" s="25"/>
      <c r="AN9" s="25"/>
      <c r="AO9" s="25"/>
      <c r="AP9" s="25"/>
      <c r="AQ9" s="25">
        <f>SUM(AQ10:AQ15)</f>
        <v>0</v>
      </c>
      <c r="AR9" s="42">
        <f>SUM(AR10:AR15)</f>
        <v>0</v>
      </c>
      <c r="AS9" s="25"/>
      <c r="AT9" s="25"/>
      <c r="AU9" s="25"/>
      <c r="AV9" s="25"/>
      <c r="AW9" s="25">
        <f>SUM(AW10:AW15)</f>
        <v>0</v>
      </c>
      <c r="AX9" s="42">
        <f>SUM(AX10:AX15)</f>
        <v>0</v>
      </c>
      <c r="AY9" s="25"/>
      <c r="AZ9" s="25"/>
      <c r="BA9" s="25"/>
      <c r="BB9" s="25"/>
      <c r="BC9" s="25"/>
      <c r="BD9" s="42"/>
      <c r="BE9" s="25"/>
      <c r="BF9" s="25"/>
      <c r="BG9" s="25"/>
      <c r="BH9" s="25"/>
      <c r="BI9" s="25">
        <f>SUM(BI10:BI15)</f>
        <v>0</v>
      </c>
      <c r="BJ9" s="42">
        <f>SUM(BJ10:BJ15)</f>
        <v>0</v>
      </c>
      <c r="BK9" s="25"/>
      <c r="BL9" s="25"/>
      <c r="BM9" s="25"/>
      <c r="BN9" s="25"/>
      <c r="BO9" s="25">
        <f>SUM(BO10:BO15)</f>
        <v>0</v>
      </c>
      <c r="BP9" s="42">
        <f>SUM(BP10:BP15)</f>
        <v>0</v>
      </c>
      <c r="BQ9" s="25"/>
      <c r="BR9" s="25"/>
      <c r="BS9" s="25"/>
      <c r="BT9" s="25"/>
      <c r="BU9" s="25"/>
      <c r="BV9" s="42">
        <f>SUM(BV10:BV15)</f>
        <v>0</v>
      </c>
      <c r="BW9" s="25"/>
      <c r="BX9" s="25"/>
      <c r="BY9" s="25">
        <f ca="1">SUM(BY10:BY15)</f>
        <v>0</v>
      </c>
      <c r="BZ9" s="42">
        <f ca="1">SUM(BZ10:BZ15)</f>
        <v>0</v>
      </c>
      <c r="CA9" s="41" t="e">
        <f ca="1">BY9/C9</f>
        <v>#DIV/0!</v>
      </c>
      <c r="CB9" s="41" t="e">
        <f ca="1">BZ9/D9</f>
        <v>#DIV/0!</v>
      </c>
      <c r="CC9" s="23"/>
    </row>
    <row r="10" spans="1:81" s="15" customFormat="1" ht="15.75">
      <c r="A10" s="13">
        <v>1</v>
      </c>
      <c r="B10" s="26" t="s">
        <v>18</v>
      </c>
      <c r="C10" s="29">
        <f ca="1">INDIRECT("'HN'!I2")</f>
        <v>0</v>
      </c>
      <c r="D10" s="29">
        <f ca="1">INDIRECT("'HN'!K2")</f>
        <v>0</v>
      </c>
      <c r="E10" s="27"/>
      <c r="F10" s="27"/>
      <c r="G10" s="27">
        <f>HNTH!A1</f>
        <v>0</v>
      </c>
      <c r="H10" s="38">
        <f>HNTH!A2</f>
        <v>0</v>
      </c>
      <c r="I10" s="27"/>
      <c r="J10" s="27"/>
      <c r="K10" s="27"/>
      <c r="L10" s="27"/>
      <c r="M10" s="27">
        <f>HNTH!B1</f>
        <v>0</v>
      </c>
      <c r="N10" s="38">
        <f>HNTH!B2</f>
        <v>0</v>
      </c>
      <c r="O10" s="27"/>
      <c r="P10" s="27"/>
      <c r="Q10" s="27"/>
      <c r="R10" s="27"/>
      <c r="S10" s="27">
        <f>HNTH!C1</f>
        <v>0</v>
      </c>
      <c r="T10" s="38">
        <f>HNTH!C2</f>
        <v>0</v>
      </c>
      <c r="U10" s="27"/>
      <c r="V10" s="27"/>
      <c r="W10" s="27"/>
      <c r="X10" s="27"/>
      <c r="Y10" s="27">
        <f>HNTH!D1</f>
        <v>0</v>
      </c>
      <c r="Z10" s="38">
        <f>HNTH!D2</f>
        <v>0</v>
      </c>
      <c r="AA10" s="27"/>
      <c r="AB10" s="27"/>
      <c r="AC10" s="27"/>
      <c r="AD10" s="27"/>
      <c r="AE10" s="27">
        <f>HNTH!E1</f>
        <v>0</v>
      </c>
      <c r="AF10" s="38">
        <f>HNTH!E2</f>
        <v>0</v>
      </c>
      <c r="AG10" s="27"/>
      <c r="AH10" s="27"/>
      <c r="AI10" s="27"/>
      <c r="AJ10" s="27"/>
      <c r="AK10" s="27">
        <f>HNTH!F1</f>
        <v>0</v>
      </c>
      <c r="AL10" s="38">
        <f>HNTH!F2</f>
        <v>0</v>
      </c>
      <c r="AM10" s="27"/>
      <c r="AN10" s="27"/>
      <c r="AO10" s="27"/>
      <c r="AP10" s="27"/>
      <c r="AQ10" s="27">
        <f>HNTH!G1</f>
        <v>0</v>
      </c>
      <c r="AR10" s="38">
        <f>HNTH!G2</f>
        <v>0</v>
      </c>
      <c r="AS10" s="27"/>
      <c r="AT10" s="27"/>
      <c r="AU10" s="27"/>
      <c r="AV10" s="27"/>
      <c r="AW10" s="27">
        <f>HNTH!H1</f>
        <v>0</v>
      </c>
      <c r="AX10" s="38">
        <f>HNTH!H2</f>
        <v>0</v>
      </c>
      <c r="AY10" s="27"/>
      <c r="AZ10" s="27"/>
      <c r="BA10" s="27"/>
      <c r="BB10" s="27"/>
      <c r="BC10" s="27">
        <f>HNTH!I1</f>
        <v>0</v>
      </c>
      <c r="BD10" s="38">
        <f>HNTH!I2</f>
        <v>0</v>
      </c>
      <c r="BE10" s="27"/>
      <c r="BF10" s="27"/>
      <c r="BG10" s="27"/>
      <c r="BH10" s="27"/>
      <c r="BI10" s="27">
        <f>HNTH!J1</f>
        <v>0</v>
      </c>
      <c r="BJ10" s="38">
        <f>HNTH!J2</f>
        <v>0</v>
      </c>
      <c r="BK10" s="27"/>
      <c r="BL10" s="27"/>
      <c r="BM10" s="27"/>
      <c r="BN10" s="27"/>
      <c r="BO10" s="27">
        <f>HNTH!K1</f>
        <v>0</v>
      </c>
      <c r="BP10" s="38">
        <f>HNTH!K2</f>
        <v>0</v>
      </c>
      <c r="BQ10" s="27"/>
      <c r="BR10" s="27"/>
      <c r="BS10" s="27"/>
      <c r="BT10" s="27"/>
      <c r="BU10" s="27">
        <f>HNTH!L1</f>
        <v>0</v>
      </c>
      <c r="BV10" s="38">
        <f>HNTH!L2</f>
        <v>0</v>
      </c>
      <c r="BW10" s="27"/>
      <c r="BX10" s="27"/>
      <c r="BY10" s="38">
        <f ca="1">INDIRECT("'HN'!R2")</f>
        <v>0</v>
      </c>
      <c r="BZ10" s="38">
        <f ca="1">INDIRECT("HN!L2")</f>
        <v>0</v>
      </c>
      <c r="CA10" s="39" t="e">
        <f ca="1">BY10/C10</f>
        <v>#DIV/0!</v>
      </c>
      <c r="CB10" s="39" t="e">
        <f ca="1">BZ10/D10</f>
        <v>#DIV/0!</v>
      </c>
      <c r="CC10" s="28"/>
    </row>
    <row r="11" spans="1:81" s="15" customFormat="1" ht="30">
      <c r="A11" s="13">
        <v>2</v>
      </c>
      <c r="B11" s="26" t="s">
        <v>19</v>
      </c>
      <c r="C11" s="29">
        <f ca="1">INDIRECT("'NĐ'!I2")</f>
        <v>0</v>
      </c>
      <c r="D11" s="29">
        <f ca="1">INDIRECT("'NĐ'!K2")</f>
        <v>0</v>
      </c>
      <c r="E11" s="27"/>
      <c r="F11" s="27"/>
      <c r="G11" s="27">
        <f>NĐTH!A1</f>
        <v>0</v>
      </c>
      <c r="H11" s="38">
        <f>NĐTH!A2</f>
        <v>0</v>
      </c>
      <c r="I11" s="27"/>
      <c r="J11" s="27"/>
      <c r="K11" s="27"/>
      <c r="L11" s="27"/>
      <c r="M11" s="27">
        <f>NĐTH!B1</f>
        <v>0</v>
      </c>
      <c r="N11" s="38">
        <f>NĐTH!B2</f>
        <v>0</v>
      </c>
      <c r="O11" s="27"/>
      <c r="P11" s="27"/>
      <c r="Q11" s="27"/>
      <c r="R11" s="27"/>
      <c r="S11" s="27">
        <f>NĐTH!C1</f>
        <v>0</v>
      </c>
      <c r="T11" s="38">
        <f>NĐTH!C2</f>
        <v>0</v>
      </c>
      <c r="U11" s="27"/>
      <c r="V11" s="27"/>
      <c r="W11" s="27"/>
      <c r="X11" s="27"/>
      <c r="Y11" s="27">
        <f>NĐTH!D1</f>
        <v>0</v>
      </c>
      <c r="Z11" s="38">
        <f>NĐTH!D2</f>
        <v>0</v>
      </c>
      <c r="AA11" s="27"/>
      <c r="AB11" s="27"/>
      <c r="AC11" s="27"/>
      <c r="AD11" s="27"/>
      <c r="AE11" s="27">
        <f>NĐTH!E1</f>
        <v>0</v>
      </c>
      <c r="AF11" s="38">
        <f>NĐTH!E2</f>
        <v>0</v>
      </c>
      <c r="AG11" s="27"/>
      <c r="AH11" s="27"/>
      <c r="AI11" s="27"/>
      <c r="AJ11" s="27"/>
      <c r="AK11" s="27">
        <f>NĐTH!F1</f>
        <v>0</v>
      </c>
      <c r="AL11" s="38">
        <f>NĐTH!F2</f>
        <v>0</v>
      </c>
      <c r="AM11" s="27"/>
      <c r="AN11" s="27"/>
      <c r="AO11" s="27"/>
      <c r="AP11" s="27"/>
      <c r="AQ11" s="27">
        <f>NĐTH!G1</f>
        <v>0</v>
      </c>
      <c r="AR11" s="38">
        <f>NĐTH!G2</f>
        <v>0</v>
      </c>
      <c r="AS11" s="27"/>
      <c r="AT11" s="27"/>
      <c r="AU11" s="27"/>
      <c r="AV11" s="27"/>
      <c r="AW11" s="27">
        <f>NĐTH!H1</f>
        <v>0</v>
      </c>
      <c r="AX11" s="38">
        <f>NĐTH!H2</f>
        <v>0</v>
      </c>
      <c r="AY11" s="27"/>
      <c r="AZ11" s="27"/>
      <c r="BA11" s="27"/>
      <c r="BB11" s="27"/>
      <c r="BC11" s="27">
        <f>NĐTH!I1</f>
        <v>0</v>
      </c>
      <c r="BD11" s="38">
        <f>NĐTH!I2</f>
        <v>0</v>
      </c>
      <c r="BE11" s="27"/>
      <c r="BF11" s="27"/>
      <c r="BG11" s="27"/>
      <c r="BH11" s="27"/>
      <c r="BI11" s="27">
        <f>NĐTH!J1</f>
        <v>0</v>
      </c>
      <c r="BJ11" s="38">
        <f>NĐTH!J2</f>
        <v>0</v>
      </c>
      <c r="BK11" s="27"/>
      <c r="BL11" s="27"/>
      <c r="BM11" s="27"/>
      <c r="BN11" s="27"/>
      <c r="BO11" s="27">
        <f>NĐTH!K1</f>
        <v>0</v>
      </c>
      <c r="BP11" s="38">
        <f>NĐTH!K2</f>
        <v>0</v>
      </c>
      <c r="BQ11" s="27"/>
      <c r="BR11" s="27"/>
      <c r="BS11" s="27"/>
      <c r="BT11" s="27"/>
      <c r="BU11" s="27">
        <f>NĐTH!L1</f>
        <v>0</v>
      </c>
      <c r="BV11" s="38">
        <f>NĐTH!L2</f>
        <v>0</v>
      </c>
      <c r="BW11" s="27"/>
      <c r="BX11" s="27"/>
      <c r="BY11" s="38">
        <f ca="1">INDIRECT("'NĐ'!R2")</f>
        <v>0</v>
      </c>
      <c r="BZ11" s="38">
        <f ca="1">INDIRECT("NĐ!L2")</f>
        <v>0</v>
      </c>
      <c r="CA11" s="39" t="e">
        <f t="shared" ref="CA11:CA15" ca="1" si="0">BY11/C11</f>
        <v>#DIV/0!</v>
      </c>
      <c r="CB11" s="39" t="e">
        <f t="shared" ref="CB11:CB15" ca="1" si="1">BZ11/D11</f>
        <v>#DIV/0!</v>
      </c>
      <c r="CC11" s="28"/>
    </row>
    <row r="12" spans="1:81" s="15" customFormat="1" ht="15.75">
      <c r="A12" s="13">
        <v>3</v>
      </c>
      <c r="B12" s="26" t="s">
        <v>32</v>
      </c>
      <c r="C12" s="29">
        <f ca="1">INDIRECT("'TTSSKĐ'!I2")</f>
        <v>0</v>
      </c>
      <c r="D12" s="29">
        <f ca="1">INDIRECT("'TTSSKĐ'!K2")</f>
        <v>0</v>
      </c>
      <c r="E12" s="27"/>
      <c r="F12" s="27"/>
      <c r="G12" s="27">
        <f>TTSSKĐTH!A1</f>
        <v>0</v>
      </c>
      <c r="H12" s="38">
        <f>TTSSKĐTH!A2</f>
        <v>0</v>
      </c>
      <c r="I12" s="27"/>
      <c r="J12" s="27"/>
      <c r="K12" s="27"/>
      <c r="L12" s="27"/>
      <c r="M12" s="27">
        <f>TTSSKĐTH!B1</f>
        <v>0</v>
      </c>
      <c r="N12" s="38">
        <f>TTSSKĐTH!B2</f>
        <v>0</v>
      </c>
      <c r="O12" s="27"/>
      <c r="P12" s="27"/>
      <c r="Q12" s="27"/>
      <c r="R12" s="27"/>
      <c r="S12" s="27">
        <f>TTSSKĐTH!C1</f>
        <v>0</v>
      </c>
      <c r="T12" s="38">
        <f>TTSSKĐTH!C2</f>
        <v>0</v>
      </c>
      <c r="U12" s="27"/>
      <c r="V12" s="27"/>
      <c r="W12" s="27"/>
      <c r="X12" s="27"/>
      <c r="Y12" s="27">
        <f>TTSSKĐTH!D1</f>
        <v>0</v>
      </c>
      <c r="Z12" s="38">
        <f>TTSSKĐTH!D2</f>
        <v>0</v>
      </c>
      <c r="AA12" s="27"/>
      <c r="AB12" s="27"/>
      <c r="AC12" s="27"/>
      <c r="AD12" s="27"/>
      <c r="AE12" s="27">
        <f>TTSSKĐTH!E1</f>
        <v>0</v>
      </c>
      <c r="AF12" s="38">
        <f>TTSSKĐTH!E2</f>
        <v>0</v>
      </c>
      <c r="AG12" s="27"/>
      <c r="AH12" s="27"/>
      <c r="AI12" s="27"/>
      <c r="AJ12" s="27"/>
      <c r="AK12" s="27">
        <f>TTSSKĐTH!F1</f>
        <v>0</v>
      </c>
      <c r="AL12" s="38">
        <f>TTSSKĐTH!F2</f>
        <v>0</v>
      </c>
      <c r="AM12" s="27"/>
      <c r="AN12" s="27"/>
      <c r="AO12" s="27"/>
      <c r="AP12" s="27"/>
      <c r="AQ12" s="27">
        <f>TTSSKĐTH!G1</f>
        <v>0</v>
      </c>
      <c r="AR12" s="38">
        <f>TTSSKĐTH!G2</f>
        <v>0</v>
      </c>
      <c r="AS12" s="27"/>
      <c r="AT12" s="27"/>
      <c r="AU12" s="27"/>
      <c r="AV12" s="27"/>
      <c r="AW12" s="27">
        <f>TTSSKĐTH!H1</f>
        <v>0</v>
      </c>
      <c r="AX12" s="38">
        <f>TTSSKĐTH!H2</f>
        <v>0</v>
      </c>
      <c r="AY12" s="27"/>
      <c r="AZ12" s="27"/>
      <c r="BA12" s="27"/>
      <c r="BB12" s="27"/>
      <c r="BC12" s="27">
        <f>TTSSKĐTH!I1</f>
        <v>0</v>
      </c>
      <c r="BD12" s="38">
        <f>TTSSKĐTH!I2</f>
        <v>0</v>
      </c>
      <c r="BE12" s="27"/>
      <c r="BF12" s="27"/>
      <c r="BG12" s="27"/>
      <c r="BH12" s="27"/>
      <c r="BI12" s="27">
        <f>TTSSKĐTH!J1</f>
        <v>0</v>
      </c>
      <c r="BJ12" s="38">
        <f>TTSSKĐTH!J2</f>
        <v>0</v>
      </c>
      <c r="BK12" s="27"/>
      <c r="BL12" s="27"/>
      <c r="BM12" s="27"/>
      <c r="BN12" s="27"/>
      <c r="BO12" s="27">
        <f>TTSSKĐTH!K1</f>
        <v>0</v>
      </c>
      <c r="BP12" s="38">
        <f>TTSSKĐTH!K2</f>
        <v>0</v>
      </c>
      <c r="BQ12" s="27"/>
      <c r="BR12" s="27"/>
      <c r="BS12" s="27"/>
      <c r="BT12" s="27"/>
      <c r="BU12" s="27">
        <f>TTSSKĐTH!L1</f>
        <v>0</v>
      </c>
      <c r="BV12" s="38">
        <f>TTSSKĐTH!L2</f>
        <v>0</v>
      </c>
      <c r="BW12" s="27"/>
      <c r="BX12" s="27"/>
      <c r="BY12" s="38">
        <f ca="1">INDIRECT("'TTSSKĐ'!R2")</f>
        <v>0</v>
      </c>
      <c r="BZ12" s="38">
        <f ca="1">INDIRECT("TTSSKĐ!L2")</f>
        <v>0</v>
      </c>
      <c r="CA12" s="39" t="e">
        <f t="shared" ca="1" si="0"/>
        <v>#DIV/0!</v>
      </c>
      <c r="CB12" s="39" t="e">
        <f t="shared" ca="1" si="1"/>
        <v>#DIV/0!</v>
      </c>
      <c r="CC12" s="28"/>
    </row>
    <row r="13" spans="1:81" s="15" customFormat="1" ht="15.75">
      <c r="A13" s="13">
        <v>4</v>
      </c>
      <c r="B13" s="26" t="s">
        <v>33</v>
      </c>
      <c r="C13" s="29">
        <f ca="1">INDIRECT("'XT'!I2")</f>
        <v>0</v>
      </c>
      <c r="D13" s="29">
        <f ca="1">INDIRECT("'XT'!K2")</f>
        <v>0</v>
      </c>
      <c r="E13" s="27"/>
      <c r="F13" s="27"/>
      <c r="G13" s="27">
        <f>XTTH!A$1</f>
        <v>0</v>
      </c>
      <c r="H13" s="38">
        <f>XTTH!A$2</f>
        <v>0</v>
      </c>
      <c r="I13" s="27"/>
      <c r="J13" s="27"/>
      <c r="K13" s="27"/>
      <c r="L13" s="27"/>
      <c r="M13" s="27">
        <f>XTTH!E$1</f>
        <v>0</v>
      </c>
      <c r="N13" s="38">
        <f>XTTH!E$2</f>
        <v>0</v>
      </c>
      <c r="O13" s="27"/>
      <c r="P13" s="27"/>
      <c r="Q13" s="27"/>
      <c r="R13" s="27"/>
      <c r="S13" s="27">
        <f>XTTH!I$1</f>
        <v>0</v>
      </c>
      <c r="T13" s="38">
        <f>XTTH!I$2</f>
        <v>0</v>
      </c>
      <c r="U13" s="27"/>
      <c r="V13" s="27"/>
      <c r="W13" s="27"/>
      <c r="X13" s="27"/>
      <c r="Y13" s="27">
        <f>XTTH!M$1</f>
        <v>0</v>
      </c>
      <c r="Z13" s="38">
        <f>XTTH!M$2</f>
        <v>0</v>
      </c>
      <c r="AA13" s="27"/>
      <c r="AB13" s="27"/>
      <c r="AC13" s="27"/>
      <c r="AD13" s="27"/>
      <c r="AE13" s="27">
        <f>XTTH!Q$1</f>
        <v>0</v>
      </c>
      <c r="AF13" s="38">
        <f>XTTH!Q$2</f>
        <v>0</v>
      </c>
      <c r="AG13" s="27"/>
      <c r="AH13" s="27"/>
      <c r="AI13" s="27"/>
      <c r="AJ13" s="27"/>
      <c r="AK13" s="27">
        <f>XTTH!U$1</f>
        <v>0</v>
      </c>
      <c r="AL13" s="38">
        <f>XTTH!U$2</f>
        <v>0</v>
      </c>
      <c r="AM13" s="27"/>
      <c r="AN13" s="27"/>
      <c r="AO13" s="27"/>
      <c r="AP13" s="27"/>
      <c r="AQ13" s="27">
        <f>XTTH!Y$1</f>
        <v>0</v>
      </c>
      <c r="AR13" s="38">
        <f>XTTH!Y$2</f>
        <v>0</v>
      </c>
      <c r="AS13" s="27"/>
      <c r="AT13" s="27"/>
      <c r="AU13" s="27"/>
      <c r="AV13" s="27"/>
      <c r="AW13" s="27">
        <f>XTTH!AC$1</f>
        <v>0</v>
      </c>
      <c r="AX13" s="38">
        <f>XTTH!AC$2</f>
        <v>0</v>
      </c>
      <c r="AY13" s="27"/>
      <c r="AZ13" s="27"/>
      <c r="BA13" s="27"/>
      <c r="BB13" s="27"/>
      <c r="BC13" s="27">
        <f>XTTH!AG$1</f>
        <v>0</v>
      </c>
      <c r="BD13" s="38">
        <f>XTTH!AG$2</f>
        <v>0</v>
      </c>
      <c r="BE13" s="27"/>
      <c r="BF13" s="27"/>
      <c r="BG13" s="27"/>
      <c r="BH13" s="27"/>
      <c r="BI13" s="27">
        <f>XTTH!AK$1</f>
        <v>0</v>
      </c>
      <c r="BJ13" s="38">
        <f>XTTH!AK$2</f>
        <v>0</v>
      </c>
      <c r="BK13" s="27"/>
      <c r="BL13" s="27"/>
      <c r="BM13" s="27"/>
      <c r="BN13" s="27"/>
      <c r="BO13" s="27">
        <f>XTTH!AO$1</f>
        <v>0</v>
      </c>
      <c r="BP13" s="38">
        <f>XTTH!AO$2</f>
        <v>0</v>
      </c>
      <c r="BQ13" s="27"/>
      <c r="BR13" s="27"/>
      <c r="BS13" s="27"/>
      <c r="BT13" s="27"/>
      <c r="BU13" s="27">
        <f>XTTH!AS$1</f>
        <v>0</v>
      </c>
      <c r="BV13" s="38">
        <f>XTTH!AS$2</f>
        <v>0</v>
      </c>
      <c r="BW13" s="27"/>
      <c r="BX13" s="27"/>
      <c r="BY13" s="38">
        <f ca="1">INDIRECT("'XT'!R2")</f>
        <v>0</v>
      </c>
      <c r="BZ13" s="38">
        <f ca="1">INDIRECT("XT!L2")</f>
        <v>0</v>
      </c>
      <c r="CA13" s="39" t="e">
        <f t="shared" ref="CA13" ca="1" si="2">BY13/C13</f>
        <v>#DIV/0!</v>
      </c>
      <c r="CB13" s="39" t="e">
        <f t="shared" ref="CB13" ca="1" si="3">BZ13/D13</f>
        <v>#DIV/0!</v>
      </c>
      <c r="CC13" s="28"/>
    </row>
    <row r="14" spans="1:81" ht="15.75">
      <c r="A14" s="13">
        <v>5</v>
      </c>
      <c r="B14" s="26" t="s">
        <v>34</v>
      </c>
      <c r="C14" s="29">
        <f ca="1">INDIRECT("'KHP'!I2")</f>
        <v>0</v>
      </c>
      <c r="D14" s="29">
        <f ca="1">INDIRECT("'KHP'!K2")</f>
        <v>0</v>
      </c>
      <c r="E14" s="31"/>
      <c r="F14" s="31"/>
      <c r="G14" s="27">
        <f>KHPTH!A1</f>
        <v>0</v>
      </c>
      <c r="H14" s="38">
        <f>KHPTH!A2</f>
        <v>0</v>
      </c>
      <c r="I14" s="27"/>
      <c r="J14" s="27"/>
      <c r="K14" s="27"/>
      <c r="L14" s="27"/>
      <c r="M14" s="27">
        <f>KHPTH!B1</f>
        <v>0</v>
      </c>
      <c r="N14" s="38">
        <f>KHPTH!B2</f>
        <v>0</v>
      </c>
      <c r="O14" s="27"/>
      <c r="P14" s="27"/>
      <c r="Q14" s="27"/>
      <c r="R14" s="27"/>
      <c r="S14" s="27">
        <f>KHPTH!C1</f>
        <v>0</v>
      </c>
      <c r="T14" s="38">
        <f>KHPTH!C2</f>
        <v>0</v>
      </c>
      <c r="U14" s="27"/>
      <c r="V14" s="27"/>
      <c r="W14" s="27"/>
      <c r="X14" s="27"/>
      <c r="Y14" s="27">
        <f>KHPTH!D1</f>
        <v>0</v>
      </c>
      <c r="Z14" s="38">
        <f>KHPTH!D2</f>
        <v>0</v>
      </c>
      <c r="AA14" s="27"/>
      <c r="AB14" s="27"/>
      <c r="AC14" s="27"/>
      <c r="AD14" s="27"/>
      <c r="AE14" s="27">
        <f>KHPTH!E1</f>
        <v>0</v>
      </c>
      <c r="AF14" s="38">
        <f>KHPTH!E2</f>
        <v>0</v>
      </c>
      <c r="AG14" s="27"/>
      <c r="AH14" s="27"/>
      <c r="AI14" s="27"/>
      <c r="AJ14" s="27"/>
      <c r="AK14" s="27">
        <f>KHPTH!F1</f>
        <v>0</v>
      </c>
      <c r="AL14" s="38">
        <f>KHPTH!F2</f>
        <v>0</v>
      </c>
      <c r="AM14" s="27"/>
      <c r="AN14" s="27"/>
      <c r="AO14" s="27"/>
      <c r="AP14" s="27"/>
      <c r="AQ14" s="27">
        <f>KHPTH!G1</f>
        <v>0</v>
      </c>
      <c r="AR14" s="38">
        <f>KHPTH!G2</f>
        <v>0</v>
      </c>
      <c r="AS14" s="27"/>
      <c r="AT14" s="27"/>
      <c r="AU14" s="27"/>
      <c r="AV14" s="27"/>
      <c r="AW14" s="27">
        <f>KHPTH!H1</f>
        <v>0</v>
      </c>
      <c r="AX14" s="38">
        <f>KHPTH!H2</f>
        <v>0</v>
      </c>
      <c r="AY14" s="27"/>
      <c r="AZ14" s="27"/>
      <c r="BA14" s="27"/>
      <c r="BB14" s="27"/>
      <c r="BC14" s="27">
        <f>KHPTH!I1</f>
        <v>0</v>
      </c>
      <c r="BD14" s="38">
        <f>KHPTH!I2</f>
        <v>0</v>
      </c>
      <c r="BE14" s="27"/>
      <c r="BF14" s="27"/>
      <c r="BG14" s="27"/>
      <c r="BH14" s="27"/>
      <c r="BI14" s="27">
        <f>KHPTH!J1</f>
        <v>0</v>
      </c>
      <c r="BJ14" s="38">
        <f>KHPTH!J2</f>
        <v>0</v>
      </c>
      <c r="BK14" s="27"/>
      <c r="BL14" s="27"/>
      <c r="BM14" s="27"/>
      <c r="BN14" s="27"/>
      <c r="BO14" s="27">
        <f>KHPTH!K1</f>
        <v>0</v>
      </c>
      <c r="BP14" s="38">
        <f>KHPTH!K2</f>
        <v>0</v>
      </c>
      <c r="BQ14" s="27"/>
      <c r="BR14" s="27"/>
      <c r="BS14" s="27"/>
      <c r="BT14" s="27"/>
      <c r="BU14" s="27">
        <f>KHPTH!L1</f>
        <v>0</v>
      </c>
      <c r="BV14" s="38">
        <f>KHPTH!L2</f>
        <v>0</v>
      </c>
      <c r="BW14" s="31"/>
      <c r="BX14" s="31"/>
      <c r="BY14" s="38">
        <f ca="1">INDIRECT("'KHP'!R2")</f>
        <v>0</v>
      </c>
      <c r="BZ14" s="38">
        <f ca="1">INDIRECT("KHP!L2")</f>
        <v>0</v>
      </c>
      <c r="CA14" s="39" t="e">
        <f t="shared" ca="1" si="0"/>
        <v>#DIV/0!</v>
      </c>
      <c r="CB14" s="39" t="e">
        <f t="shared" ca="1" si="1"/>
        <v>#DIV/0!</v>
      </c>
      <c r="CC14" s="31"/>
    </row>
    <row r="15" spans="1:81" ht="15.75">
      <c r="A15" s="13">
        <v>6</v>
      </c>
      <c r="B15" s="26" t="s">
        <v>51</v>
      </c>
      <c r="C15" s="29">
        <f ca="1">INDIRECT("'KMB'!I2")</f>
        <v>0</v>
      </c>
      <c r="D15" s="29">
        <f ca="1">INDIRECT("'KMB'!K2")</f>
        <v>0</v>
      </c>
      <c r="E15" s="31"/>
      <c r="F15" s="31"/>
      <c r="G15" s="27">
        <f>KMBTH!A1</f>
        <v>0</v>
      </c>
      <c r="H15" s="38">
        <f>KMBTH!A2</f>
        <v>0</v>
      </c>
      <c r="I15" s="27"/>
      <c r="J15" s="27"/>
      <c r="K15" s="27"/>
      <c r="L15" s="27"/>
      <c r="M15" s="27">
        <f>KMBTH!B1</f>
        <v>0</v>
      </c>
      <c r="N15" s="38">
        <f>KMBTH!B2</f>
        <v>0</v>
      </c>
      <c r="O15" s="27"/>
      <c r="P15" s="27"/>
      <c r="Q15" s="27"/>
      <c r="R15" s="27"/>
      <c r="S15" s="27">
        <f>KMBTH!C1</f>
        <v>0</v>
      </c>
      <c r="T15" s="38">
        <f>KMBTH!C2</f>
        <v>0</v>
      </c>
      <c r="U15" s="27"/>
      <c r="V15" s="27"/>
      <c r="W15" s="27"/>
      <c r="X15" s="27"/>
      <c r="Y15" s="27">
        <f>KMBTH!D1</f>
        <v>0</v>
      </c>
      <c r="Z15" s="38">
        <f>KMBTH!D2</f>
        <v>0</v>
      </c>
      <c r="AA15" s="27"/>
      <c r="AB15" s="27"/>
      <c r="AC15" s="27"/>
      <c r="AD15" s="27"/>
      <c r="AE15" s="27">
        <f>KMBTH!E1</f>
        <v>0</v>
      </c>
      <c r="AF15" s="38">
        <f>KMBTH!E2</f>
        <v>0</v>
      </c>
      <c r="AG15" s="27"/>
      <c r="AH15" s="27"/>
      <c r="AI15" s="27"/>
      <c r="AJ15" s="27"/>
      <c r="AK15" s="27">
        <f>KMBTH!F1</f>
        <v>0</v>
      </c>
      <c r="AL15" s="38">
        <f>KMBTH!F2</f>
        <v>0</v>
      </c>
      <c r="AM15" s="27"/>
      <c r="AN15" s="27"/>
      <c r="AO15" s="27"/>
      <c r="AP15" s="27"/>
      <c r="AQ15" s="27">
        <f>KMBTH!G1</f>
        <v>0</v>
      </c>
      <c r="AR15" s="38">
        <f>KMBTH!G2</f>
        <v>0</v>
      </c>
      <c r="AS15" s="27"/>
      <c r="AT15" s="27"/>
      <c r="AU15" s="27"/>
      <c r="AV15" s="27"/>
      <c r="AW15" s="27">
        <f>KMBTH!H1</f>
        <v>0</v>
      </c>
      <c r="AX15" s="38">
        <f>KMBTH!H2</f>
        <v>0</v>
      </c>
      <c r="AY15" s="27"/>
      <c r="AZ15" s="27"/>
      <c r="BA15" s="27"/>
      <c r="BB15" s="27"/>
      <c r="BC15" s="27">
        <f>KMBTH!I1</f>
        <v>0</v>
      </c>
      <c r="BD15" s="38">
        <f>KMBTH!I2</f>
        <v>0</v>
      </c>
      <c r="BE15" s="27"/>
      <c r="BF15" s="27"/>
      <c r="BG15" s="27"/>
      <c r="BH15" s="27"/>
      <c r="BI15" s="27">
        <f>KMBTH!J1</f>
        <v>0</v>
      </c>
      <c r="BJ15" s="38">
        <f>KMBTH!J2</f>
        <v>0</v>
      </c>
      <c r="BK15" s="27"/>
      <c r="BL15" s="27"/>
      <c r="BM15" s="27"/>
      <c r="BN15" s="27"/>
      <c r="BO15" s="27">
        <f>KMBTH!K1</f>
        <v>0</v>
      </c>
      <c r="BP15" s="38">
        <f>KMBTH!K2</f>
        <v>0</v>
      </c>
      <c r="BQ15" s="27"/>
      <c r="BR15" s="27"/>
      <c r="BS15" s="27"/>
      <c r="BT15" s="27"/>
      <c r="BU15" s="27">
        <f>KMBTH!L1</f>
        <v>0</v>
      </c>
      <c r="BV15" s="38">
        <f>KMBTH!L2</f>
        <v>0</v>
      </c>
      <c r="BW15" s="31"/>
      <c r="BX15" s="31"/>
      <c r="BY15" s="38">
        <f ca="1">INDIRECT("'KMB'!R2")</f>
        <v>0</v>
      </c>
      <c r="BZ15" s="38">
        <f ca="1">INDIRECT("KMB!L2")</f>
        <v>0</v>
      </c>
      <c r="CA15" s="39" t="e">
        <f t="shared" ca="1" si="0"/>
        <v>#DIV/0!</v>
      </c>
      <c r="CB15" s="39" t="e">
        <f t="shared" ca="1" si="1"/>
        <v>#DIV/0!</v>
      </c>
      <c r="CC15" s="31"/>
    </row>
    <row r="16" spans="1:81" ht="13.5" thickBot="1">
      <c r="A16" s="21"/>
      <c r="B16" s="21"/>
      <c r="C16" s="22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21"/>
      <c r="BA16" s="21"/>
      <c r="BB16" s="21"/>
      <c r="BC16" s="21"/>
      <c r="BD16" s="21"/>
      <c r="BE16" s="21"/>
      <c r="BF16" s="21"/>
      <c r="BG16" s="21"/>
      <c r="BH16" s="21"/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  <c r="BT16" s="21"/>
      <c r="BU16" s="21"/>
      <c r="BV16" s="21"/>
      <c r="BW16" s="21"/>
      <c r="BX16" s="21"/>
      <c r="BY16" s="21"/>
      <c r="BZ16" s="21"/>
      <c r="CA16" s="21"/>
      <c r="CB16" s="21"/>
      <c r="CC16" s="21"/>
    </row>
    <row r="17" spans="1:81" ht="13.5" thickBot="1">
      <c r="A17" s="16"/>
      <c r="B17" s="16"/>
      <c r="C17" s="17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  <c r="BT17" s="16"/>
      <c r="BU17" s="16"/>
      <c r="BV17" s="16"/>
      <c r="BW17" s="16"/>
      <c r="BX17" s="16"/>
      <c r="BY17" s="16"/>
      <c r="BZ17" s="16"/>
      <c r="CA17" s="16"/>
      <c r="CB17" s="16"/>
      <c r="CC17" s="16"/>
    </row>
    <row r="18" spans="1:81" ht="13.5" thickBot="1">
      <c r="A18" s="16"/>
      <c r="B18" s="16"/>
      <c r="C18" s="17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</row>
    <row r="19" spans="1:81" ht="13.5" thickBot="1">
      <c r="A19" s="16"/>
      <c r="B19" s="16"/>
      <c r="C19" s="17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</row>
    <row r="20" spans="1:81" ht="13.5" thickBot="1">
      <c r="A20" s="16"/>
      <c r="B20" s="16"/>
      <c r="C20" s="17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</row>
    <row r="21" spans="1:81" ht="15.75" thickBot="1">
      <c r="A21" s="16"/>
      <c r="B21" s="16"/>
      <c r="C21" s="17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P21" s="16"/>
      <c r="BQ21" s="16"/>
      <c r="BR21" s="16"/>
      <c r="BS21" s="16"/>
      <c r="BT21" s="16"/>
      <c r="BU21" s="16"/>
      <c r="BV21" s="16"/>
      <c r="BW21" s="16"/>
      <c r="BX21" s="16"/>
      <c r="BY21" s="16"/>
      <c r="BZ21" s="18"/>
      <c r="CA21" s="16"/>
      <c r="CB21" s="16"/>
      <c r="CC21" s="16"/>
    </row>
    <row r="22" spans="1:81" ht="13.5" thickBot="1">
      <c r="A22" s="16"/>
      <c r="B22" s="16"/>
      <c r="C22" s="17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  <c r="BX22" s="16"/>
      <c r="BY22" s="16"/>
      <c r="BZ22" s="16"/>
      <c r="CA22" s="16"/>
      <c r="CB22" s="16"/>
      <c r="CC22" s="16"/>
    </row>
    <row r="23" spans="1:81" ht="13.5" thickBot="1">
      <c r="A23" s="16"/>
      <c r="B23" s="16"/>
      <c r="C23" s="17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</row>
    <row r="24" spans="1:81" ht="13.5" thickBot="1">
      <c r="A24" s="16"/>
      <c r="B24" s="16"/>
      <c r="C24" s="17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P24" s="16"/>
      <c r="BQ24" s="16"/>
      <c r="BR24" s="16"/>
      <c r="BS24" s="16"/>
      <c r="BT24" s="16"/>
      <c r="BU24" s="16"/>
      <c r="BV24" s="16"/>
      <c r="BW24" s="16"/>
      <c r="BX24" s="16"/>
      <c r="BY24" s="16"/>
      <c r="BZ24" s="16"/>
      <c r="CA24" s="16"/>
      <c r="CB24" s="16"/>
      <c r="CC24" s="16"/>
    </row>
    <row r="25" spans="1:81" ht="13.5" thickBot="1">
      <c r="A25" s="16"/>
      <c r="B25" s="16"/>
      <c r="C25" s="1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  <c r="BU25" s="16"/>
      <c r="BV25" s="16"/>
      <c r="BW25" s="16"/>
      <c r="BX25" s="16"/>
      <c r="BY25" s="16"/>
      <c r="BZ25" s="16"/>
      <c r="CA25" s="16"/>
      <c r="CB25" s="16"/>
      <c r="CC25" s="16"/>
    </row>
    <row r="26" spans="1:81" ht="13.5" thickBot="1">
      <c r="A26" s="16"/>
      <c r="B26" s="16"/>
      <c r="C26" s="1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  <c r="BS26" s="16"/>
      <c r="BT26" s="16"/>
      <c r="BU26" s="16"/>
      <c r="BV26" s="16"/>
      <c r="BW26" s="16"/>
      <c r="BX26" s="16"/>
      <c r="BY26" s="16"/>
      <c r="BZ26" s="16"/>
      <c r="CA26" s="16"/>
      <c r="CB26" s="16"/>
      <c r="CC26" s="16"/>
    </row>
    <row r="27" spans="1:81" ht="13.5" thickBot="1">
      <c r="A27" s="16"/>
      <c r="B27" s="16"/>
      <c r="C27" s="17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  <c r="BZ27" s="16"/>
      <c r="CA27" s="16"/>
      <c r="CB27" s="16"/>
      <c r="CC27" s="16"/>
    </row>
    <row r="28" spans="1:81" ht="13.5" thickBot="1">
      <c r="A28" s="16"/>
      <c r="B28" s="16"/>
      <c r="C28" s="17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  <c r="BS28" s="16"/>
      <c r="BT28" s="16"/>
      <c r="BU28" s="16"/>
      <c r="BV28" s="16"/>
      <c r="BW28" s="16"/>
      <c r="BX28" s="16"/>
      <c r="BY28" s="16"/>
      <c r="BZ28" s="16"/>
      <c r="CA28" s="16"/>
      <c r="CB28" s="16"/>
      <c r="CC28" s="16"/>
    </row>
    <row r="29" spans="1:81" ht="13.5" thickBot="1">
      <c r="A29" s="16"/>
      <c r="B29" s="16"/>
      <c r="C29" s="17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  <c r="BZ29" s="16"/>
      <c r="CA29" s="16"/>
      <c r="CB29" s="16"/>
      <c r="CC29" s="16"/>
    </row>
    <row r="30" spans="1:81" ht="13.5" thickBot="1">
      <c r="A30" s="16"/>
      <c r="B30" s="16"/>
      <c r="C30" s="17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P30" s="16"/>
      <c r="BQ30" s="16"/>
      <c r="BR30" s="16"/>
      <c r="BS30" s="16"/>
      <c r="BT30" s="16"/>
      <c r="BU30" s="16"/>
      <c r="BV30" s="16"/>
      <c r="BW30" s="16"/>
      <c r="BX30" s="16"/>
      <c r="BY30" s="16"/>
      <c r="BZ30" s="16"/>
      <c r="CA30" s="16"/>
      <c r="CB30" s="16"/>
      <c r="CC30" s="16"/>
    </row>
    <row r="31" spans="1:81" ht="13.5" thickBot="1">
      <c r="A31" s="16"/>
      <c r="B31" s="16"/>
      <c r="C31" s="17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  <c r="BP31" s="16"/>
      <c r="BQ31" s="16"/>
      <c r="BR31" s="16"/>
      <c r="BS31" s="16"/>
      <c r="BT31" s="16"/>
      <c r="BU31" s="16"/>
      <c r="BV31" s="16"/>
      <c r="BW31" s="16"/>
      <c r="BX31" s="16"/>
      <c r="BY31" s="16"/>
      <c r="BZ31" s="16"/>
      <c r="CA31" s="16"/>
      <c r="CB31" s="16"/>
      <c r="CC31" s="16"/>
    </row>
    <row r="32" spans="1:81" ht="13.5" thickBot="1">
      <c r="A32" s="16"/>
      <c r="B32" s="16"/>
      <c r="C32" s="17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  <c r="BP32" s="16"/>
      <c r="BQ32" s="16"/>
      <c r="BR32" s="16"/>
      <c r="BS32" s="16"/>
      <c r="BT32" s="16"/>
      <c r="BU32" s="16"/>
      <c r="BV32" s="16"/>
      <c r="BW32" s="16"/>
      <c r="BX32" s="16"/>
      <c r="BY32" s="16"/>
      <c r="BZ32" s="16"/>
      <c r="CA32" s="16"/>
      <c r="CB32" s="16"/>
      <c r="CC32" s="16"/>
    </row>
    <row r="33" spans="1:81" ht="13.5" thickBot="1">
      <c r="A33" s="16"/>
      <c r="B33" s="16"/>
      <c r="C33" s="17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  <c r="BP33" s="16"/>
      <c r="BQ33" s="16"/>
      <c r="BR33" s="16"/>
      <c r="BS33" s="16"/>
      <c r="BT33" s="16"/>
      <c r="BU33" s="16"/>
      <c r="BV33" s="16"/>
      <c r="BW33" s="16"/>
      <c r="BX33" s="16"/>
      <c r="BY33" s="16"/>
      <c r="BZ33" s="16"/>
      <c r="CA33" s="16"/>
      <c r="CB33" s="16"/>
      <c r="CC33" s="16"/>
    </row>
    <row r="34" spans="1:81" ht="13.5" thickBot="1">
      <c r="A34" s="16"/>
      <c r="B34" s="16"/>
      <c r="C34" s="17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  <c r="BP34" s="16"/>
      <c r="BQ34" s="16"/>
      <c r="BR34" s="16"/>
      <c r="BS34" s="16"/>
      <c r="BT34" s="16"/>
      <c r="BU34" s="16"/>
      <c r="BV34" s="16"/>
      <c r="BW34" s="16"/>
      <c r="BX34" s="16"/>
      <c r="BY34" s="16"/>
      <c r="BZ34" s="16"/>
      <c r="CA34" s="16"/>
      <c r="CB34" s="16"/>
      <c r="CC34" s="16"/>
    </row>
    <row r="35" spans="1:81" ht="13.5" thickBot="1">
      <c r="A35" s="16"/>
      <c r="B35" s="16"/>
      <c r="C35" s="17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/>
      <c r="BN35" s="16"/>
      <c r="BO35" s="16"/>
      <c r="BP35" s="16"/>
      <c r="BQ35" s="16"/>
      <c r="BR35" s="16"/>
      <c r="BS35" s="16"/>
      <c r="BT35" s="16"/>
      <c r="BU35" s="16"/>
      <c r="BV35" s="16"/>
      <c r="BW35" s="16"/>
      <c r="BX35" s="16"/>
      <c r="BY35" s="16"/>
      <c r="BZ35" s="16"/>
      <c r="CA35" s="16"/>
      <c r="CB35" s="16"/>
      <c r="CC35" s="16"/>
    </row>
    <row r="36" spans="1:81" ht="13.5" thickBot="1">
      <c r="A36" s="16"/>
      <c r="B36" s="16"/>
      <c r="C36" s="17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BU36" s="16"/>
      <c r="BV36" s="16"/>
      <c r="BW36" s="16"/>
      <c r="BX36" s="16"/>
      <c r="BY36" s="16"/>
      <c r="BZ36" s="16"/>
      <c r="CA36" s="16"/>
      <c r="CB36" s="16"/>
      <c r="CC36" s="16"/>
    </row>
    <row r="37" spans="1:81" ht="13.5" thickBot="1">
      <c r="A37" s="16"/>
      <c r="B37" s="16"/>
      <c r="C37" s="17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16"/>
      <c r="CB37" s="16"/>
      <c r="CC37" s="16"/>
    </row>
    <row r="38" spans="1:81" ht="13.5" thickBot="1">
      <c r="A38" s="16"/>
      <c r="B38" s="16"/>
      <c r="C38" s="17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</row>
    <row r="39" spans="1:81" ht="13.5" thickBot="1">
      <c r="A39" s="16"/>
      <c r="B39" s="16"/>
      <c r="C39" s="17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BU39" s="16"/>
      <c r="BV39" s="16"/>
      <c r="BW39" s="16"/>
      <c r="BX39" s="16"/>
      <c r="BY39" s="16"/>
      <c r="BZ39" s="16"/>
      <c r="CA39" s="16"/>
      <c r="CB39" s="16"/>
      <c r="CC39" s="16"/>
    </row>
    <row r="40" spans="1:81" ht="13.5" thickBot="1">
      <c r="A40" s="16"/>
      <c r="B40" s="16"/>
      <c r="C40" s="17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</row>
    <row r="41" spans="1:81" ht="13.5" thickBot="1">
      <c r="A41" s="16"/>
      <c r="B41" s="16"/>
      <c r="C41" s="17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  <c r="CB41" s="16"/>
      <c r="CC41" s="16"/>
    </row>
    <row r="42" spans="1:81" ht="13.5" thickBot="1">
      <c r="A42" s="16"/>
      <c r="B42" s="16"/>
      <c r="C42" s="17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  <c r="BS42" s="16"/>
      <c r="BT42" s="16"/>
      <c r="BU42" s="16"/>
      <c r="BV42" s="16"/>
      <c r="BW42" s="16"/>
      <c r="BX42" s="16"/>
      <c r="BY42" s="16"/>
      <c r="BZ42" s="16"/>
      <c r="CA42" s="16"/>
      <c r="CB42" s="16"/>
      <c r="CC42" s="16"/>
    </row>
    <row r="43" spans="1:81" ht="13.5" thickBot="1">
      <c r="A43" s="16"/>
      <c r="B43" s="16"/>
      <c r="C43" s="17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</row>
    <row r="44" spans="1:81" ht="13.5" thickBot="1">
      <c r="A44" s="16"/>
      <c r="B44" s="16"/>
      <c r="C44" s="17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</row>
    <row r="45" spans="1:81" ht="13.5" thickBot="1">
      <c r="A45" s="16"/>
      <c r="B45" s="16"/>
      <c r="C45" s="17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</row>
    <row r="46" spans="1:81" ht="13.5" thickBot="1">
      <c r="A46" s="16"/>
      <c r="B46" s="16"/>
      <c r="C46" s="17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  <c r="BD46" s="16"/>
      <c r="BE46" s="16"/>
      <c r="BF46" s="16"/>
      <c r="BG46" s="16"/>
      <c r="BH46" s="16"/>
      <c r="BI46" s="16"/>
      <c r="BJ46" s="16"/>
      <c r="BK46" s="16"/>
      <c r="BL46" s="16"/>
      <c r="BM46" s="16"/>
      <c r="BN46" s="16"/>
      <c r="BO46" s="16"/>
      <c r="BP46" s="16"/>
      <c r="BQ46" s="16"/>
      <c r="BR46" s="16"/>
      <c r="BS46" s="16"/>
      <c r="BT46" s="16"/>
      <c r="BU46" s="16"/>
      <c r="BV46" s="16"/>
      <c r="BW46" s="16"/>
      <c r="BX46" s="16"/>
      <c r="BY46" s="16"/>
      <c r="BZ46" s="16"/>
      <c r="CA46" s="16"/>
      <c r="CB46" s="16"/>
      <c r="CC46" s="16"/>
    </row>
    <row r="47" spans="1:81" ht="13.5" thickBot="1">
      <c r="A47" s="16"/>
      <c r="B47" s="16"/>
      <c r="C47" s="17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  <c r="BD47" s="16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  <c r="BP47" s="16"/>
      <c r="BQ47" s="16"/>
      <c r="BR47" s="16"/>
      <c r="BS47" s="16"/>
      <c r="BT47" s="16"/>
      <c r="BU47" s="16"/>
      <c r="BV47" s="16"/>
      <c r="BW47" s="16"/>
      <c r="BX47" s="16"/>
      <c r="BY47" s="16"/>
      <c r="BZ47" s="16"/>
      <c r="CA47" s="16"/>
      <c r="CB47" s="16"/>
      <c r="CC47" s="16"/>
    </row>
    <row r="48" spans="1:81" ht="13.5" thickBot="1">
      <c r="A48" s="16"/>
      <c r="B48" s="16"/>
      <c r="C48" s="17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C48" s="16"/>
      <c r="BD48" s="16"/>
      <c r="BE48" s="16"/>
      <c r="BF48" s="16"/>
      <c r="BG48" s="16"/>
      <c r="BH48" s="16"/>
      <c r="BI48" s="16"/>
      <c r="BJ48" s="16"/>
      <c r="BK48" s="16"/>
      <c r="BL48" s="16"/>
      <c r="BM48" s="16"/>
      <c r="BN48" s="16"/>
      <c r="BO48" s="16"/>
      <c r="BP48" s="16"/>
      <c r="BQ48" s="16"/>
      <c r="BR48" s="16"/>
      <c r="BS48" s="16"/>
      <c r="BT48" s="16"/>
      <c r="BU48" s="16"/>
      <c r="BV48" s="16"/>
      <c r="BW48" s="16"/>
      <c r="BX48" s="16"/>
      <c r="BY48" s="16"/>
      <c r="BZ48" s="16"/>
      <c r="CA48" s="16"/>
      <c r="CB48" s="16"/>
      <c r="CC48" s="16"/>
    </row>
    <row r="49" spans="1:81" ht="13.5" thickBot="1">
      <c r="A49" s="16"/>
      <c r="B49" s="16"/>
      <c r="C49" s="17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  <c r="BD49" s="16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  <c r="BP49" s="16"/>
      <c r="BQ49" s="16"/>
      <c r="BR49" s="16"/>
      <c r="BS49" s="16"/>
      <c r="BT49" s="16"/>
      <c r="BU49" s="16"/>
      <c r="BV49" s="16"/>
      <c r="BW49" s="16"/>
      <c r="BX49" s="16"/>
      <c r="BY49" s="16"/>
      <c r="BZ49" s="16"/>
      <c r="CA49" s="16"/>
      <c r="CB49" s="16"/>
      <c r="CC49" s="16"/>
    </row>
    <row r="50" spans="1:81" ht="13.5" thickBot="1">
      <c r="A50" s="16"/>
      <c r="B50" s="16"/>
      <c r="C50" s="17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  <c r="BD50" s="16"/>
      <c r="BE50" s="16"/>
      <c r="BF50" s="16"/>
      <c r="BG50" s="16"/>
      <c r="BH50" s="16"/>
      <c r="BI50" s="16"/>
      <c r="BJ50" s="16"/>
      <c r="BK50" s="16"/>
      <c r="BL50" s="16"/>
      <c r="BM50" s="16"/>
      <c r="BN50" s="16"/>
      <c r="BO50" s="16"/>
      <c r="BP50" s="16"/>
      <c r="BQ50" s="16"/>
      <c r="BR50" s="16"/>
      <c r="BS50" s="16"/>
      <c r="BT50" s="16"/>
      <c r="BU50" s="16"/>
      <c r="BV50" s="16"/>
      <c r="BW50" s="16"/>
      <c r="BX50" s="16"/>
      <c r="BY50" s="16"/>
      <c r="BZ50" s="16"/>
      <c r="CA50" s="16"/>
      <c r="CB50" s="16"/>
      <c r="CC50" s="16"/>
    </row>
    <row r="51" spans="1:81" ht="13.5" thickBot="1">
      <c r="A51" s="16"/>
      <c r="B51" s="16"/>
      <c r="C51" s="17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  <c r="BD51" s="16"/>
      <c r="BE51" s="16"/>
      <c r="BF51" s="16"/>
      <c r="BG51" s="16"/>
      <c r="BH51" s="16"/>
      <c r="BI51" s="16"/>
      <c r="BJ51" s="16"/>
      <c r="BK51" s="16"/>
      <c r="BL51" s="16"/>
      <c r="BM51" s="16"/>
      <c r="BN51" s="16"/>
      <c r="BO51" s="16"/>
      <c r="BP51" s="16"/>
      <c r="BQ51" s="16"/>
      <c r="BR51" s="16"/>
      <c r="BS51" s="16"/>
      <c r="BT51" s="16"/>
      <c r="BU51" s="16"/>
      <c r="BV51" s="16"/>
      <c r="BW51" s="16"/>
      <c r="BX51" s="16"/>
      <c r="BY51" s="16"/>
      <c r="BZ51" s="16"/>
      <c r="CA51" s="16"/>
      <c r="CB51" s="16"/>
      <c r="CC51" s="16"/>
    </row>
    <row r="52" spans="1:81" ht="13.5" thickBot="1">
      <c r="A52" s="16"/>
      <c r="B52" s="16"/>
      <c r="C52" s="17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  <c r="BD52" s="16"/>
      <c r="BE52" s="16"/>
      <c r="BF52" s="16"/>
      <c r="BG52" s="16"/>
      <c r="BH52" s="16"/>
      <c r="BI52" s="16"/>
      <c r="BJ52" s="16"/>
      <c r="BK52" s="16"/>
      <c r="BL52" s="16"/>
      <c r="BM52" s="16"/>
      <c r="BN52" s="16"/>
      <c r="BO52" s="16"/>
      <c r="BP52" s="16"/>
      <c r="BQ52" s="16"/>
      <c r="BR52" s="16"/>
      <c r="BS52" s="16"/>
      <c r="BT52" s="16"/>
      <c r="BU52" s="16"/>
      <c r="BV52" s="16"/>
      <c r="BW52" s="16"/>
      <c r="BX52" s="16"/>
      <c r="BY52" s="16"/>
      <c r="BZ52" s="16"/>
      <c r="CA52" s="16"/>
      <c r="CB52" s="16"/>
      <c r="CC52" s="16"/>
    </row>
    <row r="53" spans="1:81" ht="13.5" thickBot="1">
      <c r="A53" s="16"/>
      <c r="B53" s="16"/>
      <c r="C53" s="17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  <c r="BD53" s="16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16"/>
      <c r="BP53" s="16"/>
      <c r="BQ53" s="16"/>
      <c r="BR53" s="16"/>
      <c r="BS53" s="16"/>
      <c r="BT53" s="16"/>
      <c r="BU53" s="16"/>
      <c r="BV53" s="16"/>
      <c r="BW53" s="16"/>
      <c r="BX53" s="16"/>
      <c r="BY53" s="16"/>
      <c r="BZ53" s="16"/>
      <c r="CA53" s="16"/>
      <c r="CB53" s="16"/>
      <c r="CC53" s="16"/>
    </row>
    <row r="54" spans="1:81" ht="13.5" thickBot="1">
      <c r="A54" s="16"/>
      <c r="B54" s="16"/>
      <c r="C54" s="17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  <c r="BD54" s="16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  <c r="BP54" s="16"/>
      <c r="BQ54" s="16"/>
      <c r="BR54" s="16"/>
      <c r="BS54" s="16"/>
      <c r="BT54" s="16"/>
      <c r="BU54" s="16"/>
      <c r="BV54" s="16"/>
      <c r="BW54" s="16"/>
      <c r="BX54" s="16"/>
      <c r="BY54" s="16"/>
      <c r="BZ54" s="16"/>
      <c r="CA54" s="16"/>
      <c r="CB54" s="16"/>
      <c r="CC54" s="16"/>
    </row>
    <row r="55" spans="1:81" ht="13.5" thickBot="1">
      <c r="A55" s="16"/>
      <c r="B55" s="16"/>
      <c r="C55" s="17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C55" s="16"/>
      <c r="BD55" s="16"/>
      <c r="BE55" s="16"/>
      <c r="BF55" s="16"/>
      <c r="BG55" s="16"/>
      <c r="BH55" s="16"/>
      <c r="BI55" s="16"/>
      <c r="BJ55" s="16"/>
      <c r="BK55" s="16"/>
      <c r="BL55" s="16"/>
      <c r="BM55" s="16"/>
      <c r="BN55" s="16"/>
      <c r="BO55" s="16"/>
      <c r="BP55" s="16"/>
      <c r="BQ55" s="16"/>
      <c r="BR55" s="16"/>
      <c r="BS55" s="16"/>
      <c r="BT55" s="16"/>
      <c r="BU55" s="16"/>
      <c r="BV55" s="16"/>
      <c r="BW55" s="16"/>
      <c r="BX55" s="16"/>
      <c r="BY55" s="16"/>
      <c r="BZ55" s="16"/>
      <c r="CA55" s="16"/>
      <c r="CB55" s="16"/>
      <c r="CC55" s="16"/>
    </row>
    <row r="56" spans="1:81" ht="13.5" thickBot="1">
      <c r="A56" s="16"/>
      <c r="B56" s="16"/>
      <c r="C56" s="17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</row>
    <row r="57" spans="1:81" ht="13.5" thickBot="1">
      <c r="A57" s="16"/>
      <c r="B57" s="16"/>
      <c r="C57" s="17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</row>
    <row r="58" spans="1:81" ht="13.5" thickBot="1">
      <c r="A58" s="16"/>
      <c r="B58" s="16"/>
      <c r="C58" s="17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</row>
    <row r="59" spans="1:81" ht="13.5" thickBot="1">
      <c r="A59" s="16"/>
      <c r="B59" s="16"/>
      <c r="C59" s="17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</row>
    <row r="60" spans="1:81" ht="13.5" thickBot="1">
      <c r="A60" s="16"/>
      <c r="B60" s="16"/>
      <c r="C60" s="17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</row>
    <row r="61" spans="1:81" ht="13.5" thickBot="1">
      <c r="A61" s="16"/>
      <c r="B61" s="16"/>
      <c r="C61" s="17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</row>
    <row r="62" spans="1:81" ht="13.5" thickBot="1">
      <c r="A62" s="16"/>
      <c r="B62" s="16"/>
      <c r="C62" s="17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</row>
    <row r="63" spans="1:81" ht="13.5" thickBot="1">
      <c r="A63" s="16"/>
      <c r="B63" s="16"/>
      <c r="C63" s="17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</row>
    <row r="64" spans="1:81" ht="13.5" thickBot="1">
      <c r="A64" s="16"/>
      <c r="B64" s="16"/>
      <c r="C64" s="17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</row>
    <row r="65" spans="1:81" ht="13.5" thickBot="1">
      <c r="A65" s="16"/>
      <c r="B65" s="16"/>
      <c r="C65" s="17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</row>
    <row r="66" spans="1:81" ht="13.5" thickBot="1">
      <c r="A66" s="16"/>
      <c r="B66" s="16"/>
      <c r="C66" s="17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</row>
    <row r="67" spans="1:81" ht="13.5" thickBot="1">
      <c r="A67" s="16"/>
      <c r="B67" s="16"/>
      <c r="C67" s="17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</row>
    <row r="68" spans="1:81" ht="13.5" thickBot="1">
      <c r="A68" s="16"/>
      <c r="B68" s="16"/>
      <c r="C68" s="17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  <c r="CB68" s="16"/>
      <c r="CC68" s="16"/>
    </row>
    <row r="69" spans="1:81" ht="13.5" thickBot="1">
      <c r="A69" s="16"/>
      <c r="B69" s="16"/>
      <c r="C69" s="17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  <c r="CB69" s="16"/>
      <c r="CC69" s="16"/>
    </row>
    <row r="70" spans="1:81" ht="13.5" thickBot="1">
      <c r="A70" s="16"/>
      <c r="B70" s="16"/>
      <c r="C70" s="17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  <c r="CB70" s="16"/>
      <c r="CC70" s="16"/>
    </row>
    <row r="71" spans="1:81" ht="13.5" thickBot="1">
      <c r="A71" s="16"/>
      <c r="B71" s="16"/>
      <c r="C71" s="17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  <c r="CB71" s="16"/>
      <c r="CC71" s="16"/>
    </row>
    <row r="72" spans="1:81" ht="13.5" thickBot="1">
      <c r="A72" s="16"/>
      <c r="B72" s="16"/>
      <c r="C72" s="17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  <c r="CB72" s="16"/>
      <c r="CC72" s="16"/>
    </row>
    <row r="73" spans="1:81" ht="13.5" thickBot="1">
      <c r="A73" s="16"/>
      <c r="B73" s="16"/>
      <c r="C73" s="17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  <c r="AZ73" s="16"/>
      <c r="BA73" s="16"/>
      <c r="BB73" s="16"/>
      <c r="BC73" s="16"/>
      <c r="BD73" s="16"/>
      <c r="BE73" s="16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  <c r="BU73" s="16"/>
      <c r="BV73" s="16"/>
      <c r="BW73" s="16"/>
      <c r="BX73" s="16"/>
      <c r="BY73" s="16"/>
      <c r="BZ73" s="16"/>
      <c r="CA73" s="16"/>
      <c r="CB73" s="16"/>
      <c r="CC73" s="16"/>
    </row>
    <row r="74" spans="1:81" ht="13.5" thickBot="1">
      <c r="A74" s="16"/>
      <c r="B74" s="16"/>
      <c r="C74" s="17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C74" s="16"/>
      <c r="BD74" s="16"/>
      <c r="BE74" s="16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  <c r="BU74" s="16"/>
      <c r="BV74" s="16"/>
      <c r="BW74" s="16"/>
      <c r="BX74" s="16"/>
      <c r="BY74" s="16"/>
      <c r="BZ74" s="16"/>
      <c r="CA74" s="16"/>
      <c r="CB74" s="16"/>
      <c r="CC74" s="16"/>
    </row>
    <row r="75" spans="1:81" ht="13.5" thickBot="1">
      <c r="A75" s="16"/>
      <c r="B75" s="16"/>
      <c r="C75" s="17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A75" s="16"/>
      <c r="BB75" s="16"/>
      <c r="BC75" s="16"/>
      <c r="BD75" s="16"/>
      <c r="BE75" s="16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  <c r="BU75" s="16"/>
      <c r="BV75" s="16"/>
      <c r="BW75" s="16"/>
      <c r="BX75" s="16"/>
      <c r="BY75" s="16"/>
      <c r="BZ75" s="16"/>
      <c r="CA75" s="16"/>
      <c r="CB75" s="16"/>
      <c r="CC75" s="16"/>
    </row>
    <row r="76" spans="1:81" ht="13.5" thickBot="1">
      <c r="A76" s="16"/>
      <c r="B76" s="16"/>
      <c r="C76" s="17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C76" s="16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  <c r="BZ76" s="16"/>
      <c r="CA76" s="16"/>
      <c r="CB76" s="16"/>
      <c r="CC76" s="16"/>
    </row>
    <row r="77" spans="1:81" ht="13.5" thickBot="1">
      <c r="A77" s="16"/>
      <c r="B77" s="16"/>
      <c r="C77" s="17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C77" s="16"/>
      <c r="BD77" s="16"/>
      <c r="BE77" s="16"/>
      <c r="BF77" s="16"/>
      <c r="BG77" s="16"/>
      <c r="BH77" s="16"/>
      <c r="BI77" s="16"/>
      <c r="BJ77" s="16"/>
      <c r="BK77" s="16"/>
      <c r="BL77" s="16"/>
      <c r="BM77" s="16"/>
      <c r="BN77" s="16"/>
      <c r="BO77" s="16"/>
      <c r="BP77" s="16"/>
      <c r="BQ77" s="16"/>
      <c r="BR77" s="16"/>
      <c r="BS77" s="16"/>
      <c r="BT77" s="16"/>
      <c r="BU77" s="16"/>
      <c r="BV77" s="16"/>
      <c r="BW77" s="16"/>
      <c r="BX77" s="16"/>
      <c r="BY77" s="16"/>
      <c r="BZ77" s="16"/>
      <c r="CA77" s="16"/>
      <c r="CB77" s="16"/>
      <c r="CC77" s="16"/>
    </row>
    <row r="78" spans="1:81" ht="13.5" thickBot="1">
      <c r="A78" s="16"/>
      <c r="B78" s="16"/>
      <c r="C78" s="17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16"/>
      <c r="BD78" s="16"/>
      <c r="BE78" s="16"/>
      <c r="BF78" s="16"/>
      <c r="BG78" s="16"/>
      <c r="BH78" s="16"/>
      <c r="BI78" s="16"/>
      <c r="BJ78" s="16"/>
      <c r="BK78" s="16"/>
      <c r="BL78" s="16"/>
      <c r="BM78" s="16"/>
      <c r="BN78" s="16"/>
      <c r="BO78" s="16"/>
      <c r="BP78" s="16"/>
      <c r="BQ78" s="16"/>
      <c r="BR78" s="16"/>
      <c r="BS78" s="16"/>
      <c r="BT78" s="16"/>
      <c r="BU78" s="16"/>
      <c r="BV78" s="16"/>
      <c r="BW78" s="16"/>
      <c r="BX78" s="16"/>
      <c r="BY78" s="16"/>
      <c r="BZ78" s="16"/>
      <c r="CA78" s="16"/>
      <c r="CB78" s="16"/>
      <c r="CC78" s="16"/>
    </row>
    <row r="79" spans="1:81" ht="13.5" thickBot="1">
      <c r="A79" s="16"/>
      <c r="B79" s="16"/>
      <c r="C79" s="17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C79" s="16"/>
      <c r="BD79" s="16"/>
      <c r="BE79" s="16"/>
      <c r="BF79" s="16"/>
      <c r="BG79" s="16"/>
      <c r="BH79" s="16"/>
      <c r="BI79" s="16"/>
      <c r="BJ79" s="16"/>
      <c r="BK79" s="16"/>
      <c r="BL79" s="16"/>
      <c r="BM79" s="16"/>
      <c r="BN79" s="16"/>
      <c r="BO79" s="16"/>
      <c r="BP79" s="16"/>
      <c r="BQ79" s="16"/>
      <c r="BR79" s="16"/>
      <c r="BS79" s="16"/>
      <c r="BT79" s="16"/>
      <c r="BU79" s="16"/>
      <c r="BV79" s="16"/>
      <c r="BW79" s="16"/>
      <c r="BX79" s="16"/>
      <c r="BY79" s="16"/>
      <c r="BZ79" s="16"/>
      <c r="CA79" s="16"/>
      <c r="CB79" s="16"/>
      <c r="CC79" s="16"/>
    </row>
    <row r="80" spans="1:81" ht="13.5" thickBot="1">
      <c r="A80" s="16"/>
      <c r="B80" s="16"/>
      <c r="C80" s="17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C80" s="16"/>
      <c r="BD80" s="16"/>
      <c r="BE80" s="16"/>
      <c r="BF80" s="16"/>
      <c r="BG80" s="16"/>
      <c r="BH80" s="16"/>
      <c r="BI80" s="16"/>
      <c r="BJ80" s="16"/>
      <c r="BK80" s="16"/>
      <c r="BL80" s="16"/>
      <c r="BM80" s="16"/>
      <c r="BN80" s="16"/>
      <c r="BO80" s="16"/>
      <c r="BP80" s="16"/>
      <c r="BQ80" s="16"/>
      <c r="BR80" s="16"/>
      <c r="BS80" s="16"/>
      <c r="BT80" s="16"/>
      <c r="BU80" s="16"/>
      <c r="BV80" s="16"/>
      <c r="BW80" s="16"/>
      <c r="BX80" s="16"/>
      <c r="BY80" s="16"/>
      <c r="BZ80" s="16"/>
      <c r="CA80" s="16"/>
      <c r="CB80" s="16"/>
      <c r="CC80" s="16"/>
    </row>
    <row r="81" spans="1:81" ht="13.5" thickBot="1">
      <c r="A81" s="16"/>
      <c r="B81" s="16"/>
      <c r="C81" s="17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C81" s="16"/>
      <c r="BD81" s="16"/>
      <c r="BE81" s="16"/>
      <c r="BF81" s="16"/>
      <c r="BG81" s="16"/>
      <c r="BH81" s="16"/>
      <c r="BI81" s="16"/>
      <c r="BJ81" s="16"/>
      <c r="BK81" s="16"/>
      <c r="BL81" s="16"/>
      <c r="BM81" s="16"/>
      <c r="BN81" s="16"/>
      <c r="BO81" s="16"/>
      <c r="BP81" s="16"/>
      <c r="BQ81" s="16"/>
      <c r="BR81" s="16"/>
      <c r="BS81" s="16"/>
      <c r="BT81" s="16"/>
      <c r="BU81" s="16"/>
      <c r="BV81" s="16"/>
      <c r="BW81" s="16"/>
      <c r="BX81" s="16"/>
      <c r="BY81" s="16"/>
      <c r="BZ81" s="16"/>
      <c r="CA81" s="16"/>
      <c r="CB81" s="16"/>
      <c r="CC81" s="16"/>
    </row>
    <row r="82" spans="1:81" ht="13.5" thickBot="1">
      <c r="A82" s="16"/>
      <c r="B82" s="16"/>
      <c r="C82" s="17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C82" s="16"/>
      <c r="BD82" s="16"/>
      <c r="BE82" s="16"/>
      <c r="BF82" s="16"/>
      <c r="BG82" s="16"/>
      <c r="BH82" s="16"/>
      <c r="BI82" s="16"/>
      <c r="BJ82" s="16"/>
      <c r="BK82" s="16"/>
      <c r="BL82" s="16"/>
      <c r="BM82" s="16"/>
      <c r="BN82" s="16"/>
      <c r="BO82" s="16"/>
      <c r="BP82" s="16"/>
      <c r="BQ82" s="16"/>
      <c r="BR82" s="16"/>
      <c r="BS82" s="16"/>
      <c r="BT82" s="16"/>
      <c r="BU82" s="16"/>
      <c r="BV82" s="16"/>
      <c r="BW82" s="16"/>
      <c r="BX82" s="16"/>
      <c r="BY82" s="16"/>
      <c r="BZ82" s="16"/>
      <c r="CA82" s="16"/>
      <c r="CB82" s="16"/>
      <c r="CC82" s="16"/>
    </row>
    <row r="83" spans="1:81" ht="13.5" thickBot="1">
      <c r="A83" s="16"/>
      <c r="B83" s="16"/>
      <c r="C83" s="17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BC83" s="16"/>
      <c r="BD83" s="16"/>
      <c r="BE83" s="16"/>
      <c r="BF83" s="16"/>
      <c r="BG83" s="16"/>
      <c r="BH83" s="16"/>
      <c r="BI83" s="16"/>
      <c r="BJ83" s="16"/>
      <c r="BK83" s="16"/>
      <c r="BL83" s="16"/>
      <c r="BM83" s="16"/>
      <c r="BN83" s="16"/>
      <c r="BO83" s="16"/>
      <c r="BP83" s="16"/>
      <c r="BQ83" s="16"/>
      <c r="BR83" s="16"/>
      <c r="BS83" s="16"/>
      <c r="BT83" s="16"/>
      <c r="BU83" s="16"/>
      <c r="BV83" s="16"/>
      <c r="BW83" s="16"/>
      <c r="BX83" s="16"/>
      <c r="BY83" s="16"/>
      <c r="BZ83" s="16"/>
      <c r="CA83" s="16"/>
      <c r="CB83" s="16"/>
      <c r="CC83" s="16"/>
    </row>
    <row r="84" spans="1:81" ht="13.5" thickBot="1">
      <c r="A84" s="16"/>
      <c r="B84" s="16"/>
      <c r="C84" s="17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BC84" s="16"/>
      <c r="BD84" s="16"/>
      <c r="BE84" s="16"/>
      <c r="BF84" s="16"/>
      <c r="BG84" s="16"/>
      <c r="BH84" s="16"/>
      <c r="BI84" s="16"/>
      <c r="BJ84" s="16"/>
      <c r="BK84" s="16"/>
      <c r="BL84" s="16"/>
      <c r="BM84" s="16"/>
      <c r="BN84" s="16"/>
      <c r="BO84" s="16"/>
      <c r="BP84" s="16"/>
      <c r="BQ84" s="16"/>
      <c r="BR84" s="16"/>
      <c r="BS84" s="16"/>
      <c r="BT84" s="16"/>
      <c r="BU84" s="16"/>
      <c r="BV84" s="16"/>
      <c r="BW84" s="16"/>
      <c r="BX84" s="16"/>
      <c r="BY84" s="16"/>
      <c r="BZ84" s="16"/>
      <c r="CA84" s="16"/>
      <c r="CB84" s="16"/>
      <c r="CC84" s="16"/>
    </row>
    <row r="85" spans="1:81" ht="13.5" thickBot="1">
      <c r="A85" s="16"/>
      <c r="B85" s="16"/>
      <c r="C85" s="17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C85" s="16"/>
      <c r="BD85" s="16"/>
      <c r="BE85" s="16"/>
      <c r="BF85" s="16"/>
      <c r="BG85" s="16"/>
      <c r="BH85" s="16"/>
      <c r="BI85" s="16"/>
      <c r="BJ85" s="16"/>
      <c r="BK85" s="16"/>
      <c r="BL85" s="16"/>
      <c r="BM85" s="16"/>
      <c r="BN85" s="16"/>
      <c r="BO85" s="16"/>
      <c r="BP85" s="16"/>
      <c r="BQ85" s="16"/>
      <c r="BR85" s="16"/>
      <c r="BS85" s="16"/>
      <c r="BT85" s="16"/>
      <c r="BU85" s="16"/>
      <c r="BV85" s="16"/>
      <c r="BW85" s="16"/>
      <c r="BX85" s="16"/>
      <c r="BY85" s="16"/>
      <c r="BZ85" s="16"/>
      <c r="CA85" s="16"/>
      <c r="CB85" s="16"/>
      <c r="CC85" s="16"/>
    </row>
    <row r="86" spans="1:81" ht="13.5" thickBot="1">
      <c r="A86" s="16"/>
      <c r="B86" s="16"/>
      <c r="C86" s="17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C86" s="16"/>
      <c r="BD86" s="16"/>
      <c r="BE86" s="16"/>
      <c r="BF86" s="16"/>
      <c r="BG86" s="16"/>
      <c r="BH86" s="16"/>
      <c r="BI86" s="16"/>
      <c r="BJ86" s="16"/>
      <c r="BK86" s="16"/>
      <c r="BL86" s="16"/>
      <c r="BM86" s="16"/>
      <c r="BN86" s="16"/>
      <c r="BO86" s="16"/>
      <c r="BP86" s="16"/>
      <c r="BQ86" s="16"/>
      <c r="BR86" s="16"/>
      <c r="BS86" s="16"/>
      <c r="BT86" s="16"/>
      <c r="BU86" s="16"/>
      <c r="BV86" s="16"/>
      <c r="BW86" s="16"/>
      <c r="BX86" s="16"/>
      <c r="BY86" s="16"/>
      <c r="BZ86" s="16"/>
      <c r="CA86" s="16"/>
      <c r="CB86" s="16"/>
      <c r="CC86" s="16"/>
    </row>
    <row r="87" spans="1:81" ht="13.5" thickBot="1">
      <c r="A87" s="16"/>
      <c r="B87" s="16"/>
      <c r="C87" s="17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  <c r="BD87" s="16"/>
      <c r="BE87" s="16"/>
      <c r="BF87" s="16"/>
      <c r="BG87" s="16"/>
      <c r="BH87" s="16"/>
      <c r="BI87" s="16"/>
      <c r="BJ87" s="16"/>
      <c r="BK87" s="16"/>
      <c r="BL87" s="16"/>
      <c r="BM87" s="16"/>
      <c r="BN87" s="16"/>
      <c r="BO87" s="16"/>
      <c r="BP87" s="16"/>
      <c r="BQ87" s="16"/>
      <c r="BR87" s="16"/>
      <c r="BS87" s="16"/>
      <c r="BT87" s="16"/>
      <c r="BU87" s="16"/>
      <c r="BV87" s="16"/>
      <c r="BW87" s="16"/>
      <c r="BX87" s="16"/>
      <c r="BY87" s="16"/>
      <c r="BZ87" s="16"/>
      <c r="CA87" s="16"/>
      <c r="CB87" s="16"/>
      <c r="CC87" s="16"/>
    </row>
    <row r="88" spans="1:81" ht="13.5" thickBot="1">
      <c r="A88" s="16"/>
      <c r="B88" s="16"/>
      <c r="C88" s="17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  <c r="BD88" s="16"/>
      <c r="BE88" s="16"/>
      <c r="BF88" s="16"/>
      <c r="BG88" s="16"/>
      <c r="BH88" s="16"/>
      <c r="BI88" s="16"/>
      <c r="BJ88" s="16"/>
      <c r="BK88" s="16"/>
      <c r="BL88" s="16"/>
      <c r="BM88" s="16"/>
      <c r="BN88" s="16"/>
      <c r="BO88" s="16"/>
      <c r="BP88" s="16"/>
      <c r="BQ88" s="16"/>
      <c r="BR88" s="16"/>
      <c r="BS88" s="16"/>
      <c r="BT88" s="16"/>
      <c r="BU88" s="16"/>
      <c r="BV88" s="16"/>
      <c r="BW88" s="16"/>
      <c r="BX88" s="16"/>
      <c r="BY88" s="16"/>
      <c r="BZ88" s="16"/>
      <c r="CA88" s="16"/>
      <c r="CB88" s="16"/>
      <c r="CC88" s="16"/>
    </row>
    <row r="89" spans="1:81" ht="13.5" thickBot="1">
      <c r="A89" s="16"/>
      <c r="B89" s="16"/>
      <c r="C89" s="17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  <c r="BD89" s="16"/>
      <c r="BE89" s="16"/>
      <c r="BF89" s="16"/>
      <c r="BG89" s="16"/>
      <c r="BH89" s="16"/>
      <c r="BI89" s="16"/>
      <c r="BJ89" s="16"/>
      <c r="BK89" s="16"/>
      <c r="BL89" s="16"/>
      <c r="BM89" s="16"/>
      <c r="BN89" s="16"/>
      <c r="BO89" s="16"/>
      <c r="BP89" s="16"/>
      <c r="BQ89" s="16"/>
      <c r="BR89" s="16"/>
      <c r="BS89" s="16"/>
      <c r="BT89" s="16"/>
      <c r="BU89" s="16"/>
      <c r="BV89" s="16"/>
      <c r="BW89" s="16"/>
      <c r="BX89" s="16"/>
      <c r="BY89" s="16"/>
      <c r="BZ89" s="16"/>
      <c r="CA89" s="16"/>
      <c r="CB89" s="16"/>
      <c r="CC89" s="16"/>
    </row>
    <row r="90" spans="1:81" ht="13.5" thickBot="1">
      <c r="A90" s="16"/>
      <c r="B90" s="16"/>
      <c r="C90" s="17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  <c r="BD90" s="16"/>
      <c r="BE90" s="16"/>
      <c r="BF90" s="16"/>
      <c r="BG90" s="16"/>
      <c r="BH90" s="16"/>
      <c r="BI90" s="16"/>
      <c r="BJ90" s="16"/>
      <c r="BK90" s="16"/>
      <c r="BL90" s="16"/>
      <c r="BM90" s="16"/>
      <c r="BN90" s="16"/>
      <c r="BO90" s="16"/>
      <c r="BP90" s="16"/>
      <c r="BQ90" s="16"/>
      <c r="BR90" s="16"/>
      <c r="BS90" s="16"/>
      <c r="BT90" s="16"/>
      <c r="BU90" s="16"/>
      <c r="BV90" s="16"/>
      <c r="BW90" s="16"/>
      <c r="BX90" s="16"/>
      <c r="BY90" s="16"/>
      <c r="BZ90" s="16"/>
      <c r="CA90" s="16"/>
      <c r="CB90" s="16"/>
      <c r="CC90" s="16"/>
    </row>
    <row r="91" spans="1:81" ht="13.5" thickBot="1">
      <c r="A91" s="16"/>
      <c r="B91" s="16"/>
      <c r="C91" s="17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  <c r="BD91" s="16"/>
      <c r="BE91" s="16"/>
      <c r="BF91" s="16"/>
      <c r="BG91" s="16"/>
      <c r="BH91" s="16"/>
      <c r="BI91" s="16"/>
      <c r="BJ91" s="16"/>
      <c r="BK91" s="16"/>
      <c r="BL91" s="16"/>
      <c r="BM91" s="16"/>
      <c r="BN91" s="16"/>
      <c r="BO91" s="16"/>
      <c r="BP91" s="16"/>
      <c r="BQ91" s="16"/>
      <c r="BR91" s="16"/>
      <c r="BS91" s="16"/>
      <c r="BT91" s="16"/>
      <c r="BU91" s="16"/>
      <c r="BV91" s="16"/>
      <c r="BW91" s="16"/>
      <c r="BX91" s="16"/>
      <c r="BY91" s="16"/>
      <c r="BZ91" s="16"/>
      <c r="CA91" s="16"/>
      <c r="CB91" s="16"/>
      <c r="CC91" s="16"/>
    </row>
    <row r="92" spans="1:81" ht="13.5" thickBot="1">
      <c r="A92" s="16"/>
      <c r="B92" s="16"/>
      <c r="C92" s="17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  <c r="BD92" s="16"/>
      <c r="BE92" s="16"/>
      <c r="BF92" s="16"/>
      <c r="BG92" s="16"/>
      <c r="BH92" s="16"/>
      <c r="BI92" s="16"/>
      <c r="BJ92" s="16"/>
      <c r="BK92" s="16"/>
      <c r="BL92" s="16"/>
      <c r="BM92" s="16"/>
      <c r="BN92" s="16"/>
      <c r="BO92" s="16"/>
      <c r="BP92" s="16"/>
      <c r="BQ92" s="16"/>
      <c r="BR92" s="16"/>
      <c r="BS92" s="16"/>
      <c r="BT92" s="16"/>
      <c r="BU92" s="16"/>
      <c r="BV92" s="16"/>
      <c r="BW92" s="16"/>
      <c r="BX92" s="16"/>
      <c r="BY92" s="16"/>
      <c r="BZ92" s="16"/>
      <c r="CA92" s="16"/>
      <c r="CB92" s="16"/>
      <c r="CC92" s="16"/>
    </row>
    <row r="93" spans="1:81" ht="13.5" thickBot="1">
      <c r="A93" s="16"/>
      <c r="B93" s="16"/>
      <c r="C93" s="17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  <c r="BD93" s="16"/>
      <c r="BE93" s="16"/>
      <c r="BF93" s="16"/>
      <c r="BG93" s="16"/>
      <c r="BH93" s="16"/>
      <c r="BI93" s="16"/>
      <c r="BJ93" s="16"/>
      <c r="BK93" s="16"/>
      <c r="BL93" s="16"/>
      <c r="BM93" s="16"/>
      <c r="BN93" s="16"/>
      <c r="BO93" s="16"/>
      <c r="BP93" s="16"/>
      <c r="BQ93" s="16"/>
      <c r="BR93" s="16"/>
      <c r="BS93" s="16"/>
      <c r="BT93" s="16"/>
      <c r="BU93" s="16"/>
      <c r="BV93" s="16"/>
      <c r="BW93" s="16"/>
      <c r="BX93" s="16"/>
      <c r="BY93" s="16"/>
      <c r="BZ93" s="16"/>
      <c r="CA93" s="16"/>
      <c r="CB93" s="16"/>
      <c r="CC93" s="16"/>
    </row>
    <row r="94" spans="1:81" ht="13.5" thickBot="1">
      <c r="A94" s="16"/>
      <c r="B94" s="16"/>
      <c r="C94" s="17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C94" s="16"/>
      <c r="BD94" s="16"/>
      <c r="BE94" s="16"/>
      <c r="BF94" s="16"/>
      <c r="BG94" s="16"/>
      <c r="BH94" s="16"/>
      <c r="BI94" s="16"/>
      <c r="BJ94" s="16"/>
      <c r="BK94" s="16"/>
      <c r="BL94" s="16"/>
      <c r="BM94" s="16"/>
      <c r="BN94" s="16"/>
      <c r="BO94" s="16"/>
      <c r="BP94" s="16"/>
      <c r="BQ94" s="16"/>
      <c r="BR94" s="16"/>
      <c r="BS94" s="16"/>
      <c r="BT94" s="16"/>
      <c r="BU94" s="16"/>
      <c r="BV94" s="16"/>
      <c r="BW94" s="16"/>
      <c r="BX94" s="16"/>
      <c r="BY94" s="16"/>
      <c r="BZ94" s="16"/>
      <c r="CA94" s="16"/>
      <c r="CB94" s="16"/>
      <c r="CC94" s="16"/>
    </row>
    <row r="95" spans="1:81" ht="13.5" thickBot="1">
      <c r="A95" s="16"/>
      <c r="B95" s="16"/>
      <c r="C95" s="17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6"/>
      <c r="BC95" s="16"/>
      <c r="BD95" s="16"/>
      <c r="BE95" s="16"/>
      <c r="BF95" s="16"/>
      <c r="BG95" s="16"/>
      <c r="BH95" s="16"/>
      <c r="BI95" s="16"/>
      <c r="BJ95" s="16"/>
      <c r="BK95" s="16"/>
      <c r="BL95" s="16"/>
      <c r="BM95" s="16"/>
      <c r="BN95" s="16"/>
      <c r="BO95" s="16"/>
      <c r="BP95" s="16"/>
      <c r="BQ95" s="16"/>
      <c r="BR95" s="16"/>
      <c r="BS95" s="16"/>
      <c r="BT95" s="16"/>
      <c r="BU95" s="16"/>
      <c r="BV95" s="16"/>
      <c r="BW95" s="16"/>
      <c r="BX95" s="16"/>
      <c r="BY95" s="16"/>
      <c r="BZ95" s="16"/>
      <c r="CA95" s="16"/>
      <c r="CB95" s="16"/>
      <c r="CC95" s="16"/>
    </row>
    <row r="96" spans="1:81" ht="13.5" thickBot="1">
      <c r="A96" s="16"/>
      <c r="B96" s="16"/>
      <c r="C96" s="17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  <c r="BD96" s="16"/>
      <c r="BE96" s="16"/>
      <c r="BF96" s="16"/>
      <c r="BG96" s="16"/>
      <c r="BH96" s="16"/>
      <c r="BI96" s="16"/>
      <c r="BJ96" s="16"/>
      <c r="BK96" s="16"/>
      <c r="BL96" s="16"/>
      <c r="BM96" s="16"/>
      <c r="BN96" s="16"/>
      <c r="BO96" s="16"/>
      <c r="BP96" s="16"/>
      <c r="BQ96" s="16"/>
      <c r="BR96" s="16"/>
      <c r="BS96" s="16"/>
      <c r="BT96" s="16"/>
      <c r="BU96" s="16"/>
      <c r="BV96" s="16"/>
      <c r="BW96" s="16"/>
      <c r="BX96" s="16"/>
      <c r="BY96" s="16"/>
      <c r="BZ96" s="16"/>
      <c r="CA96" s="16"/>
      <c r="CB96" s="16"/>
      <c r="CC96" s="16"/>
    </row>
    <row r="97" spans="1:81" ht="13.5" thickBot="1">
      <c r="A97" s="16"/>
      <c r="B97" s="16"/>
      <c r="C97" s="17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  <c r="BD97" s="16"/>
      <c r="BE97" s="16"/>
      <c r="BF97" s="16"/>
      <c r="BG97" s="16"/>
      <c r="BH97" s="16"/>
      <c r="BI97" s="16"/>
      <c r="BJ97" s="16"/>
      <c r="BK97" s="16"/>
      <c r="BL97" s="16"/>
      <c r="BM97" s="16"/>
      <c r="BN97" s="16"/>
      <c r="BO97" s="16"/>
      <c r="BP97" s="16"/>
      <c r="BQ97" s="16"/>
      <c r="BR97" s="16"/>
      <c r="BS97" s="16"/>
      <c r="BT97" s="16"/>
      <c r="BU97" s="16"/>
      <c r="BV97" s="16"/>
      <c r="BW97" s="16"/>
      <c r="BX97" s="16"/>
      <c r="BY97" s="16"/>
      <c r="BZ97" s="16"/>
      <c r="CA97" s="16"/>
      <c r="CB97" s="16"/>
      <c r="CC97" s="16"/>
    </row>
    <row r="98" spans="1:81" ht="13.5" thickBot="1">
      <c r="A98" s="16"/>
      <c r="B98" s="16"/>
      <c r="C98" s="17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  <c r="BD98" s="16"/>
      <c r="BE98" s="16"/>
      <c r="BF98" s="16"/>
      <c r="BG98" s="16"/>
      <c r="BH98" s="16"/>
      <c r="BI98" s="16"/>
      <c r="BJ98" s="16"/>
      <c r="BK98" s="16"/>
      <c r="BL98" s="16"/>
      <c r="BM98" s="16"/>
      <c r="BN98" s="16"/>
      <c r="BO98" s="16"/>
      <c r="BP98" s="16"/>
      <c r="BQ98" s="16"/>
      <c r="BR98" s="16"/>
      <c r="BS98" s="16"/>
      <c r="BT98" s="16"/>
      <c r="BU98" s="16"/>
      <c r="BV98" s="16"/>
      <c r="BW98" s="16"/>
      <c r="BX98" s="16"/>
      <c r="BY98" s="16"/>
      <c r="BZ98" s="16"/>
      <c r="CA98" s="16"/>
      <c r="CB98" s="16"/>
      <c r="CC98" s="16"/>
    </row>
    <row r="99" spans="1:81" ht="13.5" thickBot="1">
      <c r="A99" s="16"/>
      <c r="B99" s="16"/>
      <c r="C99" s="17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C99" s="16"/>
      <c r="BD99" s="16"/>
      <c r="BE99" s="16"/>
      <c r="BF99" s="16"/>
      <c r="BG99" s="16"/>
      <c r="BH99" s="16"/>
      <c r="BI99" s="16"/>
      <c r="BJ99" s="16"/>
      <c r="BK99" s="16"/>
      <c r="BL99" s="16"/>
      <c r="BM99" s="16"/>
      <c r="BN99" s="16"/>
      <c r="BO99" s="16"/>
      <c r="BP99" s="16"/>
      <c r="BQ99" s="16"/>
      <c r="BR99" s="16"/>
      <c r="BS99" s="16"/>
      <c r="BT99" s="16"/>
      <c r="BU99" s="16"/>
      <c r="BV99" s="16"/>
      <c r="BW99" s="16"/>
      <c r="BX99" s="16"/>
      <c r="BY99" s="16"/>
      <c r="BZ99" s="16"/>
      <c r="CA99" s="16"/>
      <c r="CB99" s="16"/>
      <c r="CC99" s="16"/>
    </row>
    <row r="100" spans="1:81" ht="13.5" thickBot="1">
      <c r="A100" s="16"/>
      <c r="B100" s="16"/>
      <c r="C100" s="17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  <c r="BD100" s="16"/>
      <c r="BE100" s="16"/>
      <c r="BF100" s="16"/>
      <c r="BG100" s="16"/>
      <c r="BH100" s="16"/>
      <c r="BI100" s="16"/>
      <c r="BJ100" s="16"/>
      <c r="BK100" s="16"/>
      <c r="BL100" s="16"/>
      <c r="BM100" s="16"/>
      <c r="BN100" s="16"/>
      <c r="BO100" s="16"/>
      <c r="BP100" s="16"/>
      <c r="BQ100" s="16"/>
      <c r="BR100" s="16"/>
      <c r="BS100" s="16"/>
      <c r="BT100" s="16"/>
      <c r="BU100" s="16"/>
      <c r="BV100" s="16"/>
      <c r="BW100" s="16"/>
      <c r="BX100" s="16"/>
      <c r="BY100" s="16"/>
      <c r="BZ100" s="16"/>
      <c r="CA100" s="16"/>
      <c r="CB100" s="16"/>
      <c r="CC100" s="16"/>
    </row>
    <row r="101" spans="1:81" ht="13.5" thickBot="1">
      <c r="A101" s="16"/>
      <c r="B101" s="16"/>
      <c r="C101" s="17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  <c r="BD101" s="16"/>
      <c r="BE101" s="16"/>
      <c r="BF101" s="16"/>
      <c r="BG101" s="16"/>
      <c r="BH101" s="16"/>
      <c r="BI101" s="16"/>
      <c r="BJ101" s="16"/>
      <c r="BK101" s="16"/>
      <c r="BL101" s="16"/>
      <c r="BM101" s="16"/>
      <c r="BN101" s="16"/>
      <c r="BO101" s="16"/>
      <c r="BP101" s="16"/>
      <c r="BQ101" s="16"/>
      <c r="BR101" s="16"/>
      <c r="BS101" s="16"/>
      <c r="BT101" s="16"/>
      <c r="BU101" s="16"/>
      <c r="BV101" s="16"/>
      <c r="BW101" s="16"/>
      <c r="BX101" s="16"/>
      <c r="BY101" s="16"/>
      <c r="BZ101" s="16"/>
      <c r="CA101" s="16"/>
      <c r="CB101" s="16"/>
      <c r="CC101" s="16"/>
    </row>
    <row r="102" spans="1:81" ht="13.5" thickBot="1">
      <c r="A102" s="16"/>
      <c r="B102" s="16"/>
      <c r="C102" s="17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C102" s="16"/>
      <c r="BD102" s="16"/>
      <c r="BE102" s="16"/>
      <c r="BF102" s="16"/>
      <c r="BG102" s="16"/>
      <c r="BH102" s="16"/>
      <c r="BI102" s="16"/>
      <c r="BJ102" s="16"/>
      <c r="BK102" s="16"/>
      <c r="BL102" s="16"/>
      <c r="BM102" s="16"/>
      <c r="BN102" s="16"/>
      <c r="BO102" s="16"/>
      <c r="BP102" s="16"/>
      <c r="BQ102" s="16"/>
      <c r="BR102" s="16"/>
      <c r="BS102" s="16"/>
      <c r="BT102" s="16"/>
      <c r="BU102" s="16"/>
      <c r="BV102" s="16"/>
      <c r="BW102" s="16"/>
      <c r="BX102" s="16"/>
      <c r="BY102" s="16"/>
      <c r="BZ102" s="16"/>
      <c r="CA102" s="16"/>
      <c r="CB102" s="16"/>
      <c r="CC102" s="16"/>
    </row>
    <row r="103" spans="1:81" ht="13.5" thickBot="1">
      <c r="A103" s="16"/>
      <c r="B103" s="16"/>
      <c r="C103" s="17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C103" s="16"/>
      <c r="BD103" s="16"/>
      <c r="BE103" s="16"/>
      <c r="BF103" s="16"/>
      <c r="BG103" s="16"/>
      <c r="BH103" s="16"/>
      <c r="BI103" s="16"/>
      <c r="BJ103" s="16"/>
      <c r="BK103" s="16"/>
      <c r="BL103" s="16"/>
      <c r="BM103" s="16"/>
      <c r="BN103" s="16"/>
      <c r="BO103" s="16"/>
      <c r="BP103" s="16"/>
      <c r="BQ103" s="16"/>
      <c r="BR103" s="16"/>
      <c r="BS103" s="16"/>
      <c r="BT103" s="16"/>
      <c r="BU103" s="16"/>
      <c r="BV103" s="16"/>
      <c r="BW103" s="16"/>
      <c r="BX103" s="16"/>
      <c r="BY103" s="16"/>
      <c r="BZ103" s="16"/>
      <c r="CA103" s="16"/>
      <c r="CB103" s="16"/>
      <c r="CC103" s="16"/>
    </row>
    <row r="104" spans="1:81" ht="13.5" thickBot="1">
      <c r="A104" s="16"/>
      <c r="B104" s="16"/>
      <c r="C104" s="17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C104" s="16"/>
      <c r="BD104" s="16"/>
      <c r="BE104" s="16"/>
      <c r="BF104" s="16"/>
      <c r="BG104" s="16"/>
      <c r="BH104" s="16"/>
      <c r="BI104" s="16"/>
      <c r="BJ104" s="16"/>
      <c r="BK104" s="16"/>
      <c r="BL104" s="16"/>
      <c r="BM104" s="16"/>
      <c r="BN104" s="16"/>
      <c r="BO104" s="16"/>
      <c r="BP104" s="16"/>
      <c r="BQ104" s="16"/>
      <c r="BR104" s="16"/>
      <c r="BS104" s="16"/>
      <c r="BT104" s="16"/>
      <c r="BU104" s="16"/>
      <c r="BV104" s="16"/>
      <c r="BW104" s="16"/>
      <c r="BX104" s="16"/>
      <c r="BY104" s="16"/>
      <c r="BZ104" s="16"/>
      <c r="CA104" s="16"/>
      <c r="CB104" s="16"/>
      <c r="CC104" s="16"/>
    </row>
    <row r="105" spans="1:81" ht="13.5" thickBot="1">
      <c r="A105" s="16"/>
      <c r="B105" s="16"/>
      <c r="C105" s="17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  <c r="BD105" s="16"/>
      <c r="BE105" s="16"/>
      <c r="BF105" s="16"/>
      <c r="BG105" s="16"/>
      <c r="BH105" s="16"/>
      <c r="BI105" s="16"/>
      <c r="BJ105" s="16"/>
      <c r="BK105" s="16"/>
      <c r="BL105" s="16"/>
      <c r="BM105" s="16"/>
      <c r="BN105" s="16"/>
      <c r="BO105" s="16"/>
      <c r="BP105" s="16"/>
      <c r="BQ105" s="16"/>
      <c r="BR105" s="16"/>
      <c r="BS105" s="16"/>
      <c r="BT105" s="16"/>
      <c r="BU105" s="16"/>
      <c r="BV105" s="16"/>
      <c r="BW105" s="16"/>
      <c r="BX105" s="16"/>
      <c r="BY105" s="16"/>
      <c r="BZ105" s="16"/>
      <c r="CA105" s="16"/>
      <c r="CB105" s="16"/>
      <c r="CC105" s="16"/>
    </row>
    <row r="106" spans="1:81" ht="13.5" thickBot="1">
      <c r="A106" s="16"/>
      <c r="B106" s="16"/>
      <c r="C106" s="17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  <c r="BD106" s="16"/>
      <c r="BE106" s="16"/>
      <c r="BF106" s="16"/>
      <c r="BG106" s="16"/>
      <c r="BH106" s="16"/>
      <c r="BI106" s="16"/>
      <c r="BJ106" s="16"/>
      <c r="BK106" s="16"/>
      <c r="BL106" s="16"/>
      <c r="BM106" s="16"/>
      <c r="BN106" s="16"/>
      <c r="BO106" s="16"/>
      <c r="BP106" s="16"/>
      <c r="BQ106" s="16"/>
      <c r="BR106" s="16"/>
      <c r="BS106" s="16"/>
      <c r="BT106" s="16"/>
      <c r="BU106" s="16"/>
      <c r="BV106" s="16"/>
      <c r="BW106" s="16"/>
      <c r="BX106" s="16"/>
      <c r="BY106" s="16"/>
      <c r="BZ106" s="16"/>
      <c r="CA106" s="16"/>
      <c r="CB106" s="16"/>
      <c r="CC106" s="16"/>
    </row>
    <row r="107" spans="1:81" ht="13.5" thickBot="1">
      <c r="A107" s="16"/>
      <c r="B107" s="16"/>
      <c r="C107" s="17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C107" s="16"/>
      <c r="BD107" s="16"/>
      <c r="BE107" s="16"/>
      <c r="BF107" s="16"/>
      <c r="BG107" s="16"/>
      <c r="BH107" s="16"/>
      <c r="BI107" s="16"/>
      <c r="BJ107" s="16"/>
      <c r="BK107" s="16"/>
      <c r="BL107" s="16"/>
      <c r="BM107" s="16"/>
      <c r="BN107" s="16"/>
      <c r="BO107" s="16"/>
      <c r="BP107" s="16"/>
      <c r="BQ107" s="16"/>
      <c r="BR107" s="16"/>
      <c r="BS107" s="16"/>
      <c r="BT107" s="16"/>
      <c r="BU107" s="16"/>
      <c r="BV107" s="16"/>
      <c r="BW107" s="16"/>
      <c r="BX107" s="16"/>
      <c r="BY107" s="16"/>
      <c r="BZ107" s="16"/>
      <c r="CA107" s="16"/>
      <c r="CB107" s="16"/>
      <c r="CC107" s="16"/>
    </row>
    <row r="108" spans="1:81" ht="13.5" thickBot="1">
      <c r="A108" s="16"/>
      <c r="B108" s="16"/>
      <c r="C108" s="17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C108" s="16"/>
      <c r="BD108" s="16"/>
      <c r="BE108" s="16"/>
      <c r="BF108" s="16"/>
      <c r="BG108" s="16"/>
      <c r="BH108" s="16"/>
      <c r="BI108" s="16"/>
      <c r="BJ108" s="16"/>
      <c r="BK108" s="16"/>
      <c r="BL108" s="16"/>
      <c r="BM108" s="16"/>
      <c r="BN108" s="16"/>
      <c r="BO108" s="16"/>
      <c r="BP108" s="16"/>
      <c r="BQ108" s="16"/>
      <c r="BR108" s="16"/>
      <c r="BS108" s="16"/>
      <c r="BT108" s="16"/>
      <c r="BU108" s="16"/>
      <c r="BV108" s="16"/>
      <c r="BW108" s="16"/>
      <c r="BX108" s="16"/>
      <c r="BY108" s="16"/>
      <c r="BZ108" s="16"/>
      <c r="CA108" s="16"/>
      <c r="CB108" s="16"/>
      <c r="CC108" s="16"/>
    </row>
    <row r="109" spans="1:81" ht="13.5" thickBot="1">
      <c r="A109" s="16"/>
      <c r="B109" s="16"/>
      <c r="C109" s="17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  <c r="BD109" s="16"/>
      <c r="BE109" s="16"/>
      <c r="BF109" s="16"/>
      <c r="BG109" s="16"/>
      <c r="BH109" s="16"/>
      <c r="BI109" s="16"/>
      <c r="BJ109" s="16"/>
      <c r="BK109" s="16"/>
      <c r="BL109" s="16"/>
      <c r="BM109" s="16"/>
      <c r="BN109" s="16"/>
      <c r="BO109" s="16"/>
      <c r="BP109" s="16"/>
      <c r="BQ109" s="16"/>
      <c r="BR109" s="16"/>
      <c r="BS109" s="16"/>
      <c r="BT109" s="16"/>
      <c r="BU109" s="16"/>
      <c r="BV109" s="16"/>
      <c r="BW109" s="16"/>
      <c r="BX109" s="16"/>
      <c r="BY109" s="16"/>
      <c r="BZ109" s="16"/>
      <c r="CA109" s="16"/>
      <c r="CB109" s="16"/>
      <c r="CC109" s="16"/>
    </row>
    <row r="110" spans="1:81" ht="13.5" thickBot="1">
      <c r="A110" s="16"/>
      <c r="B110" s="16"/>
      <c r="C110" s="17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C110" s="16"/>
      <c r="BD110" s="16"/>
      <c r="BE110" s="16"/>
      <c r="BF110" s="16"/>
      <c r="BG110" s="16"/>
      <c r="BH110" s="16"/>
      <c r="BI110" s="16"/>
      <c r="BJ110" s="16"/>
      <c r="BK110" s="16"/>
      <c r="BL110" s="16"/>
      <c r="BM110" s="16"/>
      <c r="BN110" s="16"/>
      <c r="BO110" s="16"/>
      <c r="BP110" s="16"/>
      <c r="BQ110" s="16"/>
      <c r="BR110" s="16"/>
      <c r="BS110" s="16"/>
      <c r="BT110" s="16"/>
      <c r="BU110" s="16"/>
      <c r="BV110" s="16"/>
      <c r="BW110" s="16"/>
      <c r="BX110" s="16"/>
      <c r="BY110" s="16"/>
      <c r="BZ110" s="16"/>
      <c r="CA110" s="16"/>
      <c r="CB110" s="16"/>
      <c r="CC110" s="16"/>
    </row>
    <row r="111" spans="1:81" ht="13.5" thickBot="1">
      <c r="A111" s="16"/>
      <c r="B111" s="16"/>
      <c r="C111" s="17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C111" s="16"/>
      <c r="BD111" s="16"/>
      <c r="BE111" s="16"/>
      <c r="BF111" s="16"/>
      <c r="BG111" s="16"/>
      <c r="BH111" s="16"/>
      <c r="BI111" s="16"/>
      <c r="BJ111" s="16"/>
      <c r="BK111" s="16"/>
      <c r="BL111" s="16"/>
      <c r="BM111" s="16"/>
      <c r="BN111" s="16"/>
      <c r="BO111" s="16"/>
      <c r="BP111" s="16"/>
      <c r="BQ111" s="16"/>
      <c r="BR111" s="16"/>
      <c r="BS111" s="16"/>
      <c r="BT111" s="16"/>
      <c r="BU111" s="16"/>
      <c r="BV111" s="16"/>
      <c r="BW111" s="16"/>
      <c r="BX111" s="16"/>
      <c r="BY111" s="16"/>
      <c r="BZ111" s="16"/>
      <c r="CA111" s="16"/>
      <c r="CB111" s="16"/>
      <c r="CC111" s="16"/>
    </row>
    <row r="112" spans="1:81" ht="13.5" thickBot="1">
      <c r="A112" s="16"/>
      <c r="B112" s="16"/>
      <c r="C112" s="17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  <c r="AZ112" s="16"/>
      <c r="BA112" s="16"/>
      <c r="BB112" s="16"/>
      <c r="BC112" s="16"/>
      <c r="BD112" s="16"/>
      <c r="BE112" s="16"/>
      <c r="BF112" s="16"/>
      <c r="BG112" s="16"/>
      <c r="BH112" s="16"/>
      <c r="BI112" s="16"/>
      <c r="BJ112" s="16"/>
      <c r="BK112" s="16"/>
      <c r="BL112" s="16"/>
      <c r="BM112" s="16"/>
      <c r="BN112" s="16"/>
      <c r="BO112" s="16"/>
      <c r="BP112" s="16"/>
      <c r="BQ112" s="16"/>
      <c r="BR112" s="16"/>
      <c r="BS112" s="16"/>
      <c r="BT112" s="16"/>
      <c r="BU112" s="16"/>
      <c r="BV112" s="16"/>
      <c r="BW112" s="16"/>
      <c r="BX112" s="16"/>
      <c r="BY112" s="16"/>
      <c r="BZ112" s="16"/>
      <c r="CA112" s="16"/>
      <c r="CB112" s="16"/>
      <c r="CC112" s="16"/>
    </row>
    <row r="113" spans="1:81" ht="13.5" thickBot="1">
      <c r="A113" s="16"/>
      <c r="B113" s="16"/>
      <c r="C113" s="17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  <c r="AZ113" s="16"/>
      <c r="BA113" s="16"/>
      <c r="BB113" s="16"/>
      <c r="BC113" s="16"/>
      <c r="BD113" s="16"/>
      <c r="BE113" s="16"/>
      <c r="BF113" s="16"/>
      <c r="BG113" s="16"/>
      <c r="BH113" s="16"/>
      <c r="BI113" s="16"/>
      <c r="BJ113" s="16"/>
      <c r="BK113" s="16"/>
      <c r="BL113" s="16"/>
      <c r="BM113" s="16"/>
      <c r="BN113" s="16"/>
      <c r="BO113" s="16"/>
      <c r="BP113" s="16"/>
      <c r="BQ113" s="16"/>
      <c r="BR113" s="16"/>
      <c r="BS113" s="16"/>
      <c r="BT113" s="16"/>
      <c r="BU113" s="16"/>
      <c r="BV113" s="16"/>
      <c r="BW113" s="16"/>
      <c r="BX113" s="16"/>
      <c r="BY113" s="16"/>
      <c r="BZ113" s="16"/>
      <c r="CA113" s="16"/>
      <c r="CB113" s="16"/>
      <c r="CC113" s="16"/>
    </row>
    <row r="114" spans="1:81" ht="13.5" thickBot="1">
      <c r="A114" s="16"/>
      <c r="B114" s="16"/>
      <c r="C114" s="17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C114" s="16"/>
      <c r="BD114" s="16"/>
      <c r="BE114" s="16"/>
      <c r="BF114" s="16"/>
      <c r="BG114" s="16"/>
      <c r="BH114" s="16"/>
      <c r="BI114" s="16"/>
      <c r="BJ114" s="16"/>
      <c r="BK114" s="16"/>
      <c r="BL114" s="16"/>
      <c r="BM114" s="16"/>
      <c r="BN114" s="16"/>
      <c r="BO114" s="16"/>
      <c r="BP114" s="16"/>
      <c r="BQ114" s="16"/>
      <c r="BR114" s="16"/>
      <c r="BS114" s="16"/>
      <c r="BT114" s="16"/>
      <c r="BU114" s="16"/>
      <c r="BV114" s="16"/>
      <c r="BW114" s="16"/>
      <c r="BX114" s="16"/>
      <c r="BY114" s="16"/>
      <c r="BZ114" s="16"/>
      <c r="CA114" s="16"/>
      <c r="CB114" s="16"/>
      <c r="CC114" s="16"/>
    </row>
    <row r="115" spans="1:81" ht="13.5" thickBot="1">
      <c r="A115" s="16"/>
      <c r="B115" s="16"/>
      <c r="C115" s="17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6"/>
      <c r="BC115" s="16"/>
      <c r="BD115" s="16"/>
      <c r="BE115" s="16"/>
      <c r="BF115" s="16"/>
      <c r="BG115" s="16"/>
      <c r="BH115" s="16"/>
      <c r="BI115" s="16"/>
      <c r="BJ115" s="16"/>
      <c r="BK115" s="16"/>
      <c r="BL115" s="16"/>
      <c r="BM115" s="16"/>
      <c r="BN115" s="16"/>
      <c r="BO115" s="16"/>
      <c r="BP115" s="16"/>
      <c r="BQ115" s="16"/>
      <c r="BR115" s="16"/>
      <c r="BS115" s="16"/>
      <c r="BT115" s="16"/>
      <c r="BU115" s="16"/>
      <c r="BV115" s="16"/>
      <c r="BW115" s="16"/>
      <c r="BX115" s="16"/>
      <c r="BY115" s="16"/>
      <c r="BZ115" s="16"/>
      <c r="CA115" s="16"/>
      <c r="CB115" s="16"/>
      <c r="CC115" s="16"/>
    </row>
    <row r="116" spans="1:81" ht="13.5" thickBot="1">
      <c r="A116" s="16"/>
      <c r="B116" s="16"/>
      <c r="C116" s="17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C116" s="16"/>
      <c r="BD116" s="16"/>
      <c r="BE116" s="16"/>
      <c r="BF116" s="16"/>
      <c r="BG116" s="16"/>
      <c r="BH116" s="16"/>
      <c r="BI116" s="16"/>
      <c r="BJ116" s="16"/>
      <c r="BK116" s="16"/>
      <c r="BL116" s="16"/>
      <c r="BM116" s="16"/>
      <c r="BN116" s="16"/>
      <c r="BO116" s="16"/>
      <c r="BP116" s="16"/>
      <c r="BQ116" s="16"/>
      <c r="BR116" s="16"/>
      <c r="BS116" s="16"/>
      <c r="BT116" s="16"/>
      <c r="BU116" s="16"/>
      <c r="BV116" s="16"/>
      <c r="BW116" s="16"/>
      <c r="BX116" s="16"/>
      <c r="BY116" s="16"/>
      <c r="BZ116" s="16"/>
      <c r="CA116" s="16"/>
      <c r="CB116" s="16"/>
      <c r="CC116" s="16"/>
    </row>
    <row r="117" spans="1:81" ht="13.5" thickBot="1">
      <c r="A117" s="16"/>
      <c r="B117" s="16"/>
      <c r="C117" s="17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C117" s="16"/>
      <c r="BD117" s="16"/>
      <c r="BE117" s="16"/>
      <c r="BF117" s="16"/>
      <c r="BG117" s="16"/>
      <c r="BH117" s="16"/>
      <c r="BI117" s="16"/>
      <c r="BJ117" s="16"/>
      <c r="BK117" s="16"/>
      <c r="BL117" s="16"/>
      <c r="BM117" s="16"/>
      <c r="BN117" s="16"/>
      <c r="BO117" s="16"/>
      <c r="BP117" s="16"/>
      <c r="BQ117" s="16"/>
      <c r="BR117" s="16"/>
      <c r="BS117" s="16"/>
      <c r="BT117" s="16"/>
      <c r="BU117" s="16"/>
      <c r="BV117" s="16"/>
      <c r="BW117" s="16"/>
      <c r="BX117" s="16"/>
      <c r="BY117" s="16"/>
      <c r="BZ117" s="16"/>
      <c r="CA117" s="16"/>
      <c r="CB117" s="16"/>
      <c r="CC117" s="16"/>
    </row>
    <row r="118" spans="1:81" ht="13.5" thickBot="1">
      <c r="A118" s="16"/>
      <c r="B118" s="16"/>
      <c r="C118" s="17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C118" s="16"/>
      <c r="BD118" s="16"/>
      <c r="BE118" s="16"/>
      <c r="BF118" s="16"/>
      <c r="BG118" s="16"/>
      <c r="BH118" s="16"/>
      <c r="BI118" s="16"/>
      <c r="BJ118" s="16"/>
      <c r="BK118" s="16"/>
      <c r="BL118" s="16"/>
      <c r="BM118" s="16"/>
      <c r="BN118" s="16"/>
      <c r="BO118" s="16"/>
      <c r="BP118" s="16"/>
      <c r="BQ118" s="16"/>
      <c r="BR118" s="16"/>
      <c r="BS118" s="16"/>
      <c r="BT118" s="16"/>
      <c r="BU118" s="16"/>
      <c r="BV118" s="16"/>
      <c r="BW118" s="16"/>
      <c r="BX118" s="16"/>
      <c r="BY118" s="16"/>
      <c r="BZ118" s="16"/>
      <c r="CA118" s="16"/>
      <c r="CB118" s="16"/>
      <c r="CC118" s="16"/>
    </row>
    <row r="119" spans="1:81" ht="13.5" thickBot="1">
      <c r="A119" s="16"/>
      <c r="B119" s="16"/>
      <c r="C119" s="17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  <c r="AZ119" s="16"/>
      <c r="BA119" s="16"/>
      <c r="BB119" s="16"/>
      <c r="BC119" s="16"/>
      <c r="BD119" s="16"/>
      <c r="BE119" s="16"/>
      <c r="BF119" s="16"/>
      <c r="BG119" s="16"/>
      <c r="BH119" s="16"/>
      <c r="BI119" s="16"/>
      <c r="BJ119" s="16"/>
      <c r="BK119" s="16"/>
      <c r="BL119" s="16"/>
      <c r="BM119" s="16"/>
      <c r="BN119" s="16"/>
      <c r="BO119" s="16"/>
      <c r="BP119" s="16"/>
      <c r="BQ119" s="16"/>
      <c r="BR119" s="16"/>
      <c r="BS119" s="16"/>
      <c r="BT119" s="16"/>
      <c r="BU119" s="16"/>
      <c r="BV119" s="16"/>
      <c r="BW119" s="16"/>
      <c r="BX119" s="16"/>
      <c r="BY119" s="16"/>
      <c r="BZ119" s="16"/>
      <c r="CA119" s="16"/>
      <c r="CB119" s="16"/>
      <c r="CC119" s="16"/>
    </row>
    <row r="120" spans="1:81" ht="13.5" thickBot="1">
      <c r="A120" s="16"/>
      <c r="B120" s="16"/>
      <c r="C120" s="17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  <c r="AZ120" s="16"/>
      <c r="BA120" s="16"/>
      <c r="BB120" s="16"/>
      <c r="BC120" s="16"/>
      <c r="BD120" s="16"/>
      <c r="BE120" s="16"/>
      <c r="BF120" s="16"/>
      <c r="BG120" s="16"/>
      <c r="BH120" s="16"/>
      <c r="BI120" s="16"/>
      <c r="BJ120" s="16"/>
      <c r="BK120" s="16"/>
      <c r="BL120" s="16"/>
      <c r="BM120" s="16"/>
      <c r="BN120" s="16"/>
      <c r="BO120" s="16"/>
      <c r="BP120" s="16"/>
      <c r="BQ120" s="16"/>
      <c r="BR120" s="16"/>
      <c r="BS120" s="16"/>
      <c r="BT120" s="16"/>
      <c r="BU120" s="16"/>
      <c r="BV120" s="16"/>
      <c r="BW120" s="16"/>
      <c r="BX120" s="16"/>
      <c r="BY120" s="16"/>
      <c r="BZ120" s="16"/>
      <c r="CA120" s="16"/>
      <c r="CB120" s="16"/>
      <c r="CC120" s="16"/>
    </row>
    <row r="121" spans="1:81" ht="13.5" thickBot="1">
      <c r="A121" s="16"/>
      <c r="B121" s="16"/>
      <c r="C121" s="17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C121" s="16"/>
      <c r="BD121" s="16"/>
      <c r="BE121" s="16"/>
      <c r="BF121" s="16"/>
      <c r="BG121" s="16"/>
      <c r="BH121" s="16"/>
      <c r="BI121" s="16"/>
      <c r="BJ121" s="16"/>
      <c r="BK121" s="16"/>
      <c r="BL121" s="16"/>
      <c r="BM121" s="16"/>
      <c r="BN121" s="16"/>
      <c r="BO121" s="16"/>
      <c r="BP121" s="16"/>
      <c r="BQ121" s="16"/>
      <c r="BR121" s="16"/>
      <c r="BS121" s="16"/>
      <c r="BT121" s="16"/>
      <c r="BU121" s="16"/>
      <c r="BV121" s="16"/>
      <c r="BW121" s="16"/>
      <c r="BX121" s="16"/>
      <c r="BY121" s="16"/>
      <c r="BZ121" s="16"/>
      <c r="CA121" s="16"/>
      <c r="CB121" s="16"/>
      <c r="CC121" s="16"/>
    </row>
    <row r="122" spans="1:81" ht="13.5" thickBot="1">
      <c r="A122" s="16"/>
      <c r="B122" s="16"/>
      <c r="C122" s="17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C122" s="16"/>
      <c r="BD122" s="16"/>
      <c r="BE122" s="16"/>
      <c r="BF122" s="16"/>
      <c r="BG122" s="16"/>
      <c r="BH122" s="16"/>
      <c r="BI122" s="16"/>
      <c r="BJ122" s="16"/>
      <c r="BK122" s="16"/>
      <c r="BL122" s="16"/>
      <c r="BM122" s="16"/>
      <c r="BN122" s="16"/>
      <c r="BO122" s="16"/>
      <c r="BP122" s="16"/>
      <c r="BQ122" s="16"/>
      <c r="BR122" s="16"/>
      <c r="BS122" s="16"/>
      <c r="BT122" s="16"/>
      <c r="BU122" s="16"/>
      <c r="BV122" s="16"/>
      <c r="BW122" s="16"/>
      <c r="BX122" s="16"/>
      <c r="BY122" s="16"/>
      <c r="BZ122" s="16"/>
      <c r="CA122" s="16"/>
      <c r="CB122" s="16"/>
      <c r="CC122" s="16"/>
    </row>
    <row r="123" spans="1:81" ht="13.5" thickBot="1">
      <c r="A123" s="16"/>
      <c r="B123" s="16"/>
      <c r="C123" s="17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C123" s="16"/>
      <c r="BD123" s="16"/>
      <c r="BE123" s="16"/>
      <c r="BF123" s="16"/>
      <c r="BG123" s="16"/>
      <c r="BH123" s="16"/>
      <c r="BI123" s="16"/>
      <c r="BJ123" s="16"/>
      <c r="BK123" s="16"/>
      <c r="BL123" s="16"/>
      <c r="BM123" s="16"/>
      <c r="BN123" s="16"/>
      <c r="BO123" s="16"/>
      <c r="BP123" s="16"/>
      <c r="BQ123" s="16"/>
      <c r="BR123" s="16"/>
      <c r="BS123" s="16"/>
      <c r="BT123" s="16"/>
      <c r="BU123" s="16"/>
      <c r="BV123" s="16"/>
      <c r="BW123" s="16"/>
      <c r="BX123" s="16"/>
      <c r="BY123" s="16"/>
      <c r="BZ123" s="16"/>
      <c r="CA123" s="16"/>
      <c r="CB123" s="16"/>
      <c r="CC123" s="16"/>
    </row>
    <row r="124" spans="1:81" ht="13.5" thickBot="1">
      <c r="A124" s="16"/>
      <c r="B124" s="16"/>
      <c r="C124" s="17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C124" s="16"/>
      <c r="BD124" s="16"/>
      <c r="BE124" s="16"/>
      <c r="BF124" s="16"/>
      <c r="BG124" s="16"/>
      <c r="BH124" s="16"/>
      <c r="BI124" s="16"/>
      <c r="BJ124" s="16"/>
      <c r="BK124" s="16"/>
      <c r="BL124" s="16"/>
      <c r="BM124" s="16"/>
      <c r="BN124" s="16"/>
      <c r="BO124" s="16"/>
      <c r="BP124" s="16"/>
      <c r="BQ124" s="16"/>
      <c r="BR124" s="16"/>
      <c r="BS124" s="16"/>
      <c r="BT124" s="16"/>
      <c r="BU124" s="16"/>
      <c r="BV124" s="16"/>
      <c r="BW124" s="16"/>
      <c r="BX124" s="16"/>
      <c r="BY124" s="16"/>
      <c r="BZ124" s="16"/>
      <c r="CA124" s="16"/>
      <c r="CB124" s="16"/>
      <c r="CC124" s="16"/>
    </row>
    <row r="125" spans="1:81" ht="13.5" thickBot="1">
      <c r="A125" s="16"/>
      <c r="B125" s="16"/>
      <c r="C125" s="17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C125" s="16"/>
      <c r="BD125" s="16"/>
      <c r="BE125" s="16"/>
      <c r="BF125" s="16"/>
      <c r="BG125" s="16"/>
      <c r="BH125" s="16"/>
      <c r="BI125" s="16"/>
      <c r="BJ125" s="16"/>
      <c r="BK125" s="16"/>
      <c r="BL125" s="16"/>
      <c r="BM125" s="16"/>
      <c r="BN125" s="16"/>
      <c r="BO125" s="16"/>
      <c r="BP125" s="16"/>
      <c r="BQ125" s="16"/>
      <c r="BR125" s="16"/>
      <c r="BS125" s="16"/>
      <c r="BT125" s="16"/>
      <c r="BU125" s="16"/>
      <c r="BV125" s="16"/>
      <c r="BW125" s="16"/>
      <c r="BX125" s="16"/>
      <c r="BY125" s="16"/>
      <c r="BZ125" s="16"/>
      <c r="CA125" s="16"/>
      <c r="CB125" s="16"/>
      <c r="CC125" s="16"/>
    </row>
    <row r="126" spans="1:81" ht="13.5" thickBot="1">
      <c r="A126" s="16"/>
      <c r="B126" s="16"/>
      <c r="C126" s="17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C126" s="16"/>
      <c r="BD126" s="16"/>
      <c r="BE126" s="16"/>
      <c r="BF126" s="16"/>
      <c r="BG126" s="16"/>
      <c r="BH126" s="16"/>
      <c r="BI126" s="16"/>
      <c r="BJ126" s="16"/>
      <c r="BK126" s="16"/>
      <c r="BL126" s="16"/>
      <c r="BM126" s="16"/>
      <c r="BN126" s="16"/>
      <c r="BO126" s="16"/>
      <c r="BP126" s="16"/>
      <c r="BQ126" s="16"/>
      <c r="BR126" s="16"/>
      <c r="BS126" s="16"/>
      <c r="BT126" s="16"/>
      <c r="BU126" s="16"/>
      <c r="BV126" s="16"/>
      <c r="BW126" s="16"/>
      <c r="BX126" s="16"/>
      <c r="BY126" s="16"/>
      <c r="BZ126" s="16"/>
      <c r="CA126" s="16"/>
      <c r="CB126" s="16"/>
      <c r="CC126" s="16"/>
    </row>
    <row r="127" spans="1:81" ht="13.5" thickBot="1">
      <c r="A127" s="16"/>
      <c r="B127" s="16"/>
      <c r="C127" s="17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C127" s="16"/>
      <c r="BD127" s="16"/>
      <c r="BE127" s="16"/>
      <c r="BF127" s="16"/>
      <c r="BG127" s="16"/>
      <c r="BH127" s="16"/>
      <c r="BI127" s="16"/>
      <c r="BJ127" s="16"/>
      <c r="BK127" s="16"/>
      <c r="BL127" s="16"/>
      <c r="BM127" s="16"/>
      <c r="BN127" s="16"/>
      <c r="BO127" s="16"/>
      <c r="BP127" s="16"/>
      <c r="BQ127" s="16"/>
      <c r="BR127" s="16"/>
      <c r="BS127" s="16"/>
      <c r="BT127" s="16"/>
      <c r="BU127" s="16"/>
      <c r="BV127" s="16"/>
      <c r="BW127" s="16"/>
      <c r="BX127" s="16"/>
      <c r="BY127" s="16"/>
      <c r="BZ127" s="16"/>
      <c r="CA127" s="16"/>
      <c r="CB127" s="16"/>
      <c r="CC127" s="16"/>
    </row>
    <row r="128" spans="1:81" ht="13.5" thickBot="1">
      <c r="A128" s="16"/>
      <c r="B128" s="16"/>
      <c r="C128" s="17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6"/>
      <c r="BD128" s="16"/>
      <c r="BE128" s="16"/>
      <c r="BF128" s="16"/>
      <c r="BG128" s="16"/>
      <c r="BH128" s="16"/>
      <c r="BI128" s="16"/>
      <c r="BJ128" s="16"/>
      <c r="BK128" s="16"/>
      <c r="BL128" s="16"/>
      <c r="BM128" s="16"/>
      <c r="BN128" s="16"/>
      <c r="BO128" s="16"/>
      <c r="BP128" s="16"/>
      <c r="BQ128" s="16"/>
      <c r="BR128" s="16"/>
      <c r="BS128" s="16"/>
      <c r="BT128" s="16"/>
      <c r="BU128" s="16"/>
      <c r="BV128" s="16"/>
      <c r="BW128" s="16"/>
      <c r="BX128" s="16"/>
      <c r="BY128" s="16"/>
      <c r="BZ128" s="16"/>
      <c r="CA128" s="16"/>
      <c r="CB128" s="16"/>
      <c r="CC128" s="16"/>
    </row>
    <row r="129" spans="1:81" ht="13.5" thickBot="1">
      <c r="A129" s="16"/>
      <c r="B129" s="16"/>
      <c r="C129" s="17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6"/>
      <c r="BD129" s="16"/>
      <c r="BE129" s="16"/>
      <c r="BF129" s="16"/>
      <c r="BG129" s="16"/>
      <c r="BH129" s="16"/>
      <c r="BI129" s="16"/>
      <c r="BJ129" s="16"/>
      <c r="BK129" s="16"/>
      <c r="BL129" s="16"/>
      <c r="BM129" s="16"/>
      <c r="BN129" s="16"/>
      <c r="BO129" s="16"/>
      <c r="BP129" s="16"/>
      <c r="BQ129" s="16"/>
      <c r="BR129" s="16"/>
      <c r="BS129" s="16"/>
      <c r="BT129" s="16"/>
      <c r="BU129" s="16"/>
      <c r="BV129" s="16"/>
      <c r="BW129" s="16"/>
      <c r="BX129" s="16"/>
      <c r="BY129" s="16"/>
      <c r="BZ129" s="16"/>
      <c r="CA129" s="16"/>
      <c r="CB129" s="16"/>
      <c r="CC129" s="16"/>
    </row>
    <row r="130" spans="1:81" ht="13.5" thickBot="1">
      <c r="A130" s="16"/>
      <c r="B130" s="16"/>
      <c r="C130" s="17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6"/>
      <c r="BD130" s="16"/>
      <c r="BE130" s="16"/>
      <c r="BF130" s="16"/>
      <c r="BG130" s="16"/>
      <c r="BH130" s="16"/>
      <c r="BI130" s="16"/>
      <c r="BJ130" s="16"/>
      <c r="BK130" s="16"/>
      <c r="BL130" s="16"/>
      <c r="BM130" s="16"/>
      <c r="BN130" s="16"/>
      <c r="BO130" s="16"/>
      <c r="BP130" s="16"/>
      <c r="BQ130" s="16"/>
      <c r="BR130" s="16"/>
      <c r="BS130" s="16"/>
      <c r="BT130" s="16"/>
      <c r="BU130" s="16"/>
      <c r="BV130" s="16"/>
      <c r="BW130" s="16"/>
      <c r="BX130" s="16"/>
      <c r="BY130" s="16"/>
      <c r="BZ130" s="16"/>
      <c r="CA130" s="16"/>
      <c r="CB130" s="16"/>
      <c r="CC130" s="16"/>
    </row>
    <row r="131" spans="1:81" ht="13.5" thickBot="1">
      <c r="A131" s="16"/>
      <c r="B131" s="16"/>
      <c r="C131" s="17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  <c r="AZ131" s="16"/>
      <c r="BA131" s="16"/>
      <c r="BB131" s="16"/>
      <c r="BC131" s="16"/>
      <c r="BD131" s="16"/>
      <c r="BE131" s="16"/>
      <c r="BF131" s="16"/>
      <c r="BG131" s="16"/>
      <c r="BH131" s="16"/>
      <c r="BI131" s="16"/>
      <c r="BJ131" s="16"/>
      <c r="BK131" s="16"/>
      <c r="BL131" s="16"/>
      <c r="BM131" s="16"/>
      <c r="BN131" s="16"/>
      <c r="BO131" s="16"/>
      <c r="BP131" s="16"/>
      <c r="BQ131" s="16"/>
      <c r="BR131" s="16"/>
      <c r="BS131" s="16"/>
      <c r="BT131" s="16"/>
      <c r="BU131" s="16"/>
      <c r="BV131" s="16"/>
      <c r="BW131" s="16"/>
      <c r="BX131" s="16"/>
      <c r="BY131" s="16"/>
      <c r="BZ131" s="16"/>
      <c r="CA131" s="16"/>
      <c r="CB131" s="16"/>
      <c r="CC131" s="16"/>
    </row>
    <row r="132" spans="1:81" ht="13.5" thickBot="1">
      <c r="A132" s="16"/>
      <c r="B132" s="16"/>
      <c r="C132" s="17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  <c r="AZ132" s="16"/>
      <c r="BA132" s="16"/>
      <c r="BB132" s="16"/>
      <c r="BC132" s="16"/>
      <c r="BD132" s="16"/>
      <c r="BE132" s="16"/>
      <c r="BF132" s="16"/>
      <c r="BG132" s="16"/>
      <c r="BH132" s="16"/>
      <c r="BI132" s="16"/>
      <c r="BJ132" s="16"/>
      <c r="BK132" s="16"/>
      <c r="BL132" s="16"/>
      <c r="BM132" s="16"/>
      <c r="BN132" s="16"/>
      <c r="BO132" s="16"/>
      <c r="BP132" s="16"/>
      <c r="BQ132" s="16"/>
      <c r="BR132" s="16"/>
      <c r="BS132" s="16"/>
      <c r="BT132" s="16"/>
      <c r="BU132" s="16"/>
      <c r="BV132" s="16"/>
      <c r="BW132" s="16"/>
      <c r="BX132" s="16"/>
      <c r="BY132" s="16"/>
      <c r="BZ132" s="16"/>
      <c r="CA132" s="16"/>
      <c r="CB132" s="16"/>
      <c r="CC132" s="16"/>
    </row>
    <row r="133" spans="1:81" ht="13.5" thickBot="1">
      <c r="A133" s="16"/>
      <c r="B133" s="16"/>
      <c r="C133" s="17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6"/>
      <c r="BD133" s="16"/>
      <c r="BE133" s="16"/>
      <c r="BF133" s="16"/>
      <c r="BG133" s="16"/>
      <c r="BH133" s="16"/>
      <c r="BI133" s="16"/>
      <c r="BJ133" s="16"/>
      <c r="BK133" s="16"/>
      <c r="BL133" s="16"/>
      <c r="BM133" s="16"/>
      <c r="BN133" s="16"/>
      <c r="BO133" s="16"/>
      <c r="BP133" s="16"/>
      <c r="BQ133" s="16"/>
      <c r="BR133" s="16"/>
      <c r="BS133" s="16"/>
      <c r="BT133" s="16"/>
      <c r="BU133" s="16"/>
      <c r="BV133" s="16"/>
      <c r="BW133" s="16"/>
      <c r="BX133" s="16"/>
      <c r="BY133" s="16"/>
      <c r="BZ133" s="16"/>
      <c r="CA133" s="16"/>
      <c r="CB133" s="16"/>
      <c r="CC133" s="16"/>
    </row>
    <row r="134" spans="1:81" ht="13.5" thickBot="1">
      <c r="A134" s="16"/>
      <c r="B134" s="16"/>
      <c r="C134" s="17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C134" s="16"/>
      <c r="BD134" s="16"/>
      <c r="BE134" s="16"/>
      <c r="BF134" s="16"/>
      <c r="BG134" s="16"/>
      <c r="BH134" s="16"/>
      <c r="BI134" s="16"/>
      <c r="BJ134" s="16"/>
      <c r="BK134" s="16"/>
      <c r="BL134" s="16"/>
      <c r="BM134" s="16"/>
      <c r="BN134" s="16"/>
      <c r="BO134" s="16"/>
      <c r="BP134" s="16"/>
      <c r="BQ134" s="16"/>
      <c r="BR134" s="16"/>
      <c r="BS134" s="16"/>
      <c r="BT134" s="16"/>
      <c r="BU134" s="16"/>
      <c r="BV134" s="16"/>
      <c r="BW134" s="16"/>
      <c r="BX134" s="16"/>
      <c r="BY134" s="16"/>
      <c r="BZ134" s="16"/>
      <c r="CA134" s="16"/>
      <c r="CB134" s="16"/>
      <c r="CC134" s="16"/>
    </row>
    <row r="135" spans="1:81" ht="13.5" thickBot="1">
      <c r="A135" s="16"/>
      <c r="B135" s="16"/>
      <c r="C135" s="17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BC135" s="16"/>
      <c r="BD135" s="16"/>
      <c r="BE135" s="16"/>
      <c r="BF135" s="16"/>
      <c r="BG135" s="16"/>
      <c r="BH135" s="16"/>
      <c r="BI135" s="16"/>
      <c r="BJ135" s="16"/>
      <c r="BK135" s="16"/>
      <c r="BL135" s="16"/>
      <c r="BM135" s="16"/>
      <c r="BN135" s="16"/>
      <c r="BO135" s="16"/>
      <c r="BP135" s="16"/>
      <c r="BQ135" s="16"/>
      <c r="BR135" s="16"/>
      <c r="BS135" s="16"/>
      <c r="BT135" s="16"/>
      <c r="BU135" s="16"/>
      <c r="BV135" s="16"/>
      <c r="BW135" s="16"/>
      <c r="BX135" s="16"/>
      <c r="BY135" s="16"/>
      <c r="BZ135" s="16"/>
      <c r="CA135" s="16"/>
      <c r="CB135" s="16"/>
      <c r="CC135" s="16"/>
    </row>
    <row r="136" spans="1:81" ht="13.5" thickBot="1">
      <c r="A136" s="16"/>
      <c r="B136" s="16"/>
      <c r="C136" s="17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  <c r="BD136" s="16"/>
      <c r="BE136" s="16"/>
      <c r="BF136" s="16"/>
      <c r="BG136" s="16"/>
      <c r="BH136" s="16"/>
      <c r="BI136" s="16"/>
      <c r="BJ136" s="16"/>
      <c r="BK136" s="16"/>
      <c r="BL136" s="16"/>
      <c r="BM136" s="16"/>
      <c r="BN136" s="16"/>
      <c r="BO136" s="16"/>
      <c r="BP136" s="16"/>
      <c r="BQ136" s="16"/>
      <c r="BR136" s="16"/>
      <c r="BS136" s="16"/>
      <c r="BT136" s="16"/>
      <c r="BU136" s="16"/>
      <c r="BV136" s="16"/>
      <c r="BW136" s="16"/>
      <c r="BX136" s="16"/>
      <c r="BY136" s="16"/>
      <c r="BZ136" s="16"/>
      <c r="CA136" s="16"/>
      <c r="CB136" s="16"/>
      <c r="CC136" s="16"/>
    </row>
    <row r="137" spans="1:81" ht="13.5" thickBot="1">
      <c r="A137" s="16"/>
      <c r="B137" s="16"/>
      <c r="C137" s="17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C137" s="16"/>
      <c r="BD137" s="16"/>
      <c r="BE137" s="16"/>
      <c r="BF137" s="16"/>
      <c r="BG137" s="16"/>
      <c r="BH137" s="16"/>
      <c r="BI137" s="16"/>
      <c r="BJ137" s="16"/>
      <c r="BK137" s="16"/>
      <c r="BL137" s="16"/>
      <c r="BM137" s="16"/>
      <c r="BN137" s="16"/>
      <c r="BO137" s="16"/>
      <c r="BP137" s="16"/>
      <c r="BQ137" s="16"/>
      <c r="BR137" s="16"/>
      <c r="BS137" s="16"/>
      <c r="BT137" s="16"/>
      <c r="BU137" s="16"/>
      <c r="BV137" s="16"/>
      <c r="BW137" s="16"/>
      <c r="BX137" s="16"/>
      <c r="BY137" s="16"/>
      <c r="BZ137" s="16"/>
      <c r="CA137" s="16"/>
      <c r="CB137" s="16"/>
      <c r="CC137" s="16"/>
    </row>
    <row r="138" spans="1:81" ht="13.5" thickBot="1">
      <c r="A138" s="16"/>
      <c r="B138" s="16"/>
      <c r="C138" s="17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  <c r="BC138" s="16"/>
      <c r="BD138" s="16"/>
      <c r="BE138" s="16"/>
      <c r="BF138" s="16"/>
      <c r="BG138" s="16"/>
      <c r="BH138" s="16"/>
      <c r="BI138" s="16"/>
      <c r="BJ138" s="16"/>
      <c r="BK138" s="16"/>
      <c r="BL138" s="16"/>
      <c r="BM138" s="16"/>
      <c r="BN138" s="16"/>
      <c r="BO138" s="16"/>
      <c r="BP138" s="16"/>
      <c r="BQ138" s="16"/>
      <c r="BR138" s="16"/>
      <c r="BS138" s="16"/>
      <c r="BT138" s="16"/>
      <c r="BU138" s="16"/>
      <c r="BV138" s="16"/>
      <c r="BW138" s="16"/>
      <c r="BX138" s="16"/>
      <c r="BY138" s="16"/>
      <c r="BZ138" s="16"/>
      <c r="CA138" s="16"/>
      <c r="CB138" s="16"/>
      <c r="CC138" s="16"/>
    </row>
    <row r="139" spans="1:81" ht="13.5" thickBot="1">
      <c r="A139" s="16"/>
      <c r="B139" s="16"/>
      <c r="C139" s="17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C139" s="16"/>
      <c r="BD139" s="16"/>
      <c r="BE139" s="16"/>
      <c r="BF139" s="16"/>
      <c r="BG139" s="16"/>
      <c r="BH139" s="16"/>
      <c r="BI139" s="16"/>
      <c r="BJ139" s="16"/>
      <c r="BK139" s="16"/>
      <c r="BL139" s="16"/>
      <c r="BM139" s="16"/>
      <c r="BN139" s="16"/>
      <c r="BO139" s="16"/>
      <c r="BP139" s="16"/>
      <c r="BQ139" s="16"/>
      <c r="BR139" s="16"/>
      <c r="BS139" s="16"/>
      <c r="BT139" s="16"/>
      <c r="BU139" s="16"/>
      <c r="BV139" s="16"/>
      <c r="BW139" s="16"/>
      <c r="BX139" s="16"/>
      <c r="BY139" s="16"/>
      <c r="BZ139" s="16"/>
      <c r="CA139" s="16"/>
      <c r="CB139" s="16"/>
      <c r="CC139" s="16"/>
    </row>
    <row r="140" spans="1:81" ht="13.5" thickBot="1">
      <c r="A140" s="16"/>
      <c r="B140" s="16"/>
      <c r="C140" s="17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BC140" s="16"/>
      <c r="BD140" s="16"/>
      <c r="BE140" s="16"/>
      <c r="BF140" s="16"/>
      <c r="BG140" s="16"/>
      <c r="BH140" s="16"/>
      <c r="BI140" s="16"/>
      <c r="BJ140" s="16"/>
      <c r="BK140" s="16"/>
      <c r="BL140" s="16"/>
      <c r="BM140" s="16"/>
      <c r="BN140" s="16"/>
      <c r="BO140" s="16"/>
      <c r="BP140" s="16"/>
      <c r="BQ140" s="16"/>
      <c r="BR140" s="16"/>
      <c r="BS140" s="16"/>
      <c r="BT140" s="16"/>
      <c r="BU140" s="16"/>
      <c r="BV140" s="16"/>
      <c r="BW140" s="16"/>
      <c r="BX140" s="16"/>
      <c r="BY140" s="16"/>
      <c r="BZ140" s="16"/>
      <c r="CA140" s="16"/>
      <c r="CB140" s="16"/>
      <c r="CC140" s="16"/>
    </row>
    <row r="141" spans="1:81" ht="13.5" thickBot="1">
      <c r="A141" s="16"/>
      <c r="B141" s="16"/>
      <c r="C141" s="17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  <c r="BC141" s="16"/>
      <c r="BD141" s="16"/>
      <c r="BE141" s="16"/>
      <c r="BF141" s="16"/>
      <c r="BG141" s="16"/>
      <c r="BH141" s="16"/>
      <c r="BI141" s="16"/>
      <c r="BJ141" s="16"/>
      <c r="BK141" s="16"/>
      <c r="BL141" s="16"/>
      <c r="BM141" s="16"/>
      <c r="BN141" s="16"/>
      <c r="BO141" s="16"/>
      <c r="BP141" s="16"/>
      <c r="BQ141" s="16"/>
      <c r="BR141" s="16"/>
      <c r="BS141" s="16"/>
      <c r="BT141" s="16"/>
      <c r="BU141" s="16"/>
      <c r="BV141" s="16"/>
      <c r="BW141" s="16"/>
      <c r="BX141" s="16"/>
      <c r="BY141" s="16"/>
      <c r="BZ141" s="16"/>
      <c r="CA141" s="16"/>
      <c r="CB141" s="16"/>
      <c r="CC141" s="16"/>
    </row>
    <row r="142" spans="1:81" ht="13.5" thickBot="1">
      <c r="A142" s="16"/>
      <c r="B142" s="16"/>
      <c r="C142" s="17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  <c r="BC142" s="16"/>
      <c r="BD142" s="16"/>
      <c r="BE142" s="16"/>
      <c r="BF142" s="16"/>
      <c r="BG142" s="16"/>
      <c r="BH142" s="16"/>
      <c r="BI142" s="16"/>
      <c r="BJ142" s="16"/>
      <c r="BK142" s="16"/>
      <c r="BL142" s="16"/>
      <c r="BM142" s="16"/>
      <c r="BN142" s="16"/>
      <c r="BO142" s="16"/>
      <c r="BP142" s="16"/>
      <c r="BQ142" s="16"/>
      <c r="BR142" s="16"/>
      <c r="BS142" s="16"/>
      <c r="BT142" s="16"/>
      <c r="BU142" s="16"/>
      <c r="BV142" s="16"/>
      <c r="BW142" s="16"/>
      <c r="BX142" s="16"/>
      <c r="BY142" s="16"/>
      <c r="BZ142" s="16"/>
      <c r="CA142" s="16"/>
      <c r="CB142" s="16"/>
      <c r="CC142" s="16"/>
    </row>
    <row r="143" spans="1:81" ht="13.5" thickBot="1">
      <c r="A143" s="16"/>
      <c r="B143" s="16"/>
      <c r="C143" s="17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BC143" s="16"/>
      <c r="BD143" s="16"/>
      <c r="BE143" s="16"/>
      <c r="BF143" s="16"/>
      <c r="BG143" s="16"/>
      <c r="BH143" s="16"/>
      <c r="BI143" s="16"/>
      <c r="BJ143" s="16"/>
      <c r="BK143" s="16"/>
      <c r="BL143" s="16"/>
      <c r="BM143" s="16"/>
      <c r="BN143" s="16"/>
      <c r="BO143" s="16"/>
      <c r="BP143" s="16"/>
      <c r="BQ143" s="16"/>
      <c r="BR143" s="16"/>
      <c r="BS143" s="16"/>
      <c r="BT143" s="16"/>
      <c r="BU143" s="16"/>
      <c r="BV143" s="16"/>
      <c r="BW143" s="16"/>
      <c r="BX143" s="16"/>
      <c r="BY143" s="16"/>
      <c r="BZ143" s="16"/>
      <c r="CA143" s="16"/>
      <c r="CB143" s="16"/>
      <c r="CC143" s="16"/>
    </row>
    <row r="144" spans="1:81" ht="13.5" thickBot="1">
      <c r="A144" s="16"/>
      <c r="B144" s="16"/>
      <c r="C144" s="17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BC144" s="16"/>
      <c r="BD144" s="16"/>
      <c r="BE144" s="16"/>
      <c r="BF144" s="16"/>
      <c r="BG144" s="16"/>
      <c r="BH144" s="16"/>
      <c r="BI144" s="16"/>
      <c r="BJ144" s="16"/>
      <c r="BK144" s="16"/>
      <c r="BL144" s="16"/>
      <c r="BM144" s="16"/>
      <c r="BN144" s="16"/>
      <c r="BO144" s="16"/>
      <c r="BP144" s="16"/>
      <c r="BQ144" s="16"/>
      <c r="BR144" s="16"/>
      <c r="BS144" s="16"/>
      <c r="BT144" s="16"/>
      <c r="BU144" s="16"/>
      <c r="BV144" s="16"/>
      <c r="BW144" s="16"/>
      <c r="BX144" s="16"/>
      <c r="BY144" s="16"/>
      <c r="BZ144" s="16"/>
      <c r="CA144" s="16"/>
      <c r="CB144" s="16"/>
      <c r="CC144" s="16"/>
    </row>
    <row r="145" spans="1:81" ht="13.5" thickBot="1">
      <c r="A145" s="16"/>
      <c r="B145" s="16"/>
      <c r="C145" s="17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BC145" s="16"/>
      <c r="BD145" s="16"/>
      <c r="BE145" s="16"/>
      <c r="BF145" s="16"/>
      <c r="BG145" s="16"/>
      <c r="BH145" s="16"/>
      <c r="BI145" s="16"/>
      <c r="BJ145" s="16"/>
      <c r="BK145" s="16"/>
      <c r="BL145" s="16"/>
      <c r="BM145" s="16"/>
      <c r="BN145" s="16"/>
      <c r="BO145" s="16"/>
      <c r="BP145" s="16"/>
      <c r="BQ145" s="16"/>
      <c r="BR145" s="16"/>
      <c r="BS145" s="16"/>
      <c r="BT145" s="16"/>
      <c r="BU145" s="16"/>
      <c r="BV145" s="16"/>
      <c r="BW145" s="16"/>
      <c r="BX145" s="16"/>
      <c r="BY145" s="16"/>
      <c r="BZ145" s="16"/>
      <c r="CA145" s="16"/>
      <c r="CB145" s="16"/>
      <c r="CC145" s="16"/>
    </row>
    <row r="146" spans="1:81" ht="13.5" thickBot="1">
      <c r="A146" s="16"/>
      <c r="B146" s="16"/>
      <c r="C146" s="17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6"/>
      <c r="AZ146" s="16"/>
      <c r="BA146" s="16"/>
      <c r="BB146" s="16"/>
      <c r="BC146" s="16"/>
      <c r="BD146" s="16"/>
      <c r="BE146" s="16"/>
      <c r="BF146" s="16"/>
      <c r="BG146" s="16"/>
      <c r="BH146" s="16"/>
      <c r="BI146" s="16"/>
      <c r="BJ146" s="16"/>
      <c r="BK146" s="16"/>
      <c r="BL146" s="16"/>
      <c r="BM146" s="16"/>
      <c r="BN146" s="16"/>
      <c r="BO146" s="16"/>
      <c r="BP146" s="16"/>
      <c r="BQ146" s="16"/>
      <c r="BR146" s="16"/>
      <c r="BS146" s="16"/>
      <c r="BT146" s="16"/>
      <c r="BU146" s="16"/>
      <c r="BV146" s="16"/>
      <c r="BW146" s="16"/>
      <c r="BX146" s="16"/>
      <c r="BY146" s="16"/>
      <c r="BZ146" s="16"/>
      <c r="CA146" s="16"/>
      <c r="CB146" s="16"/>
      <c r="CC146" s="16"/>
    </row>
    <row r="147" spans="1:81" ht="13.5" thickBot="1">
      <c r="A147" s="16"/>
      <c r="B147" s="16"/>
      <c r="C147" s="17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  <c r="BC147" s="16"/>
      <c r="BD147" s="16"/>
      <c r="BE147" s="16"/>
      <c r="BF147" s="16"/>
      <c r="BG147" s="16"/>
      <c r="BH147" s="16"/>
      <c r="BI147" s="16"/>
      <c r="BJ147" s="16"/>
      <c r="BK147" s="16"/>
      <c r="BL147" s="16"/>
      <c r="BM147" s="16"/>
      <c r="BN147" s="16"/>
      <c r="BO147" s="16"/>
      <c r="BP147" s="16"/>
      <c r="BQ147" s="16"/>
      <c r="BR147" s="16"/>
      <c r="BS147" s="16"/>
      <c r="BT147" s="16"/>
      <c r="BU147" s="16"/>
      <c r="BV147" s="16"/>
      <c r="BW147" s="16"/>
      <c r="BX147" s="16"/>
      <c r="BY147" s="16"/>
      <c r="BZ147" s="16"/>
      <c r="CA147" s="16"/>
      <c r="CB147" s="16"/>
      <c r="CC147" s="16"/>
    </row>
    <row r="148" spans="1:81" ht="13.5" thickBot="1">
      <c r="A148" s="16"/>
      <c r="B148" s="16"/>
      <c r="C148" s="17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 s="16"/>
      <c r="BD148" s="16"/>
      <c r="BE148" s="16"/>
      <c r="BF148" s="16"/>
      <c r="BG148" s="16"/>
      <c r="BH148" s="16"/>
      <c r="BI148" s="16"/>
      <c r="BJ148" s="16"/>
      <c r="BK148" s="16"/>
      <c r="BL148" s="16"/>
      <c r="BM148" s="16"/>
      <c r="BN148" s="16"/>
      <c r="BO148" s="16"/>
      <c r="BP148" s="16"/>
      <c r="BQ148" s="16"/>
      <c r="BR148" s="16"/>
      <c r="BS148" s="16"/>
      <c r="BT148" s="16"/>
      <c r="BU148" s="16"/>
      <c r="BV148" s="16"/>
      <c r="BW148" s="16"/>
      <c r="BX148" s="16"/>
      <c r="BY148" s="16"/>
      <c r="BZ148" s="16"/>
      <c r="CA148" s="16"/>
      <c r="CB148" s="16"/>
      <c r="CC148" s="16"/>
    </row>
    <row r="149" spans="1:81" ht="13.5" thickBot="1">
      <c r="A149" s="16"/>
      <c r="B149" s="16"/>
      <c r="C149" s="17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 s="16"/>
      <c r="BD149" s="16"/>
      <c r="BE149" s="16"/>
      <c r="BF149" s="16"/>
      <c r="BG149" s="16"/>
      <c r="BH149" s="16"/>
      <c r="BI149" s="16"/>
      <c r="BJ149" s="16"/>
      <c r="BK149" s="16"/>
      <c r="BL149" s="16"/>
      <c r="BM149" s="16"/>
      <c r="BN149" s="16"/>
      <c r="BO149" s="16"/>
      <c r="BP149" s="16"/>
      <c r="BQ149" s="16"/>
      <c r="BR149" s="16"/>
      <c r="BS149" s="16"/>
      <c r="BT149" s="16"/>
      <c r="BU149" s="16"/>
      <c r="BV149" s="16"/>
      <c r="BW149" s="16"/>
      <c r="BX149" s="16"/>
      <c r="BY149" s="16"/>
      <c r="BZ149" s="16"/>
      <c r="CA149" s="16"/>
      <c r="CB149" s="16"/>
      <c r="CC149" s="16"/>
    </row>
    <row r="150" spans="1:81" ht="13.5" thickBot="1">
      <c r="A150" s="16"/>
      <c r="B150" s="16"/>
      <c r="C150" s="17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  <c r="AZ150" s="16"/>
      <c r="BA150" s="16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  <c r="BS150" s="16"/>
      <c r="BT150" s="16"/>
      <c r="BU150" s="16"/>
      <c r="BV150" s="16"/>
      <c r="BW150" s="16"/>
      <c r="BX150" s="16"/>
      <c r="BY150" s="16"/>
      <c r="BZ150" s="16"/>
      <c r="CA150" s="16"/>
      <c r="CB150" s="16"/>
      <c r="CC150" s="16"/>
    </row>
    <row r="151" spans="1:81" ht="13.5" thickBot="1">
      <c r="A151" s="16"/>
      <c r="B151" s="16"/>
      <c r="C151" s="17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16"/>
      <c r="BP151" s="16"/>
      <c r="BQ151" s="16"/>
      <c r="BR151" s="16"/>
      <c r="BS151" s="16"/>
      <c r="BT151" s="16"/>
      <c r="BU151" s="16"/>
      <c r="BV151" s="16"/>
      <c r="BW151" s="16"/>
      <c r="BX151" s="16"/>
      <c r="BY151" s="16"/>
      <c r="BZ151" s="16"/>
      <c r="CA151" s="16"/>
      <c r="CB151" s="16"/>
      <c r="CC151" s="16"/>
    </row>
    <row r="152" spans="1:81" ht="13.5" thickBot="1">
      <c r="A152" s="16"/>
      <c r="B152" s="16"/>
      <c r="C152" s="17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16"/>
      <c r="BP152" s="16"/>
      <c r="BQ152" s="16"/>
      <c r="BR152" s="16"/>
      <c r="BS152" s="16"/>
      <c r="BT152" s="16"/>
      <c r="BU152" s="16"/>
      <c r="BV152" s="16"/>
      <c r="BW152" s="16"/>
      <c r="BX152" s="16"/>
      <c r="BY152" s="16"/>
      <c r="BZ152" s="16"/>
      <c r="CA152" s="16"/>
      <c r="CB152" s="16"/>
      <c r="CC152" s="16"/>
    </row>
    <row r="153" spans="1:81" ht="13.5" thickBot="1">
      <c r="A153" s="16"/>
      <c r="B153" s="16"/>
      <c r="C153" s="17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16"/>
      <c r="BP153" s="16"/>
      <c r="BQ153" s="16"/>
      <c r="BR153" s="16"/>
      <c r="BS153" s="16"/>
      <c r="BT153" s="16"/>
      <c r="BU153" s="16"/>
      <c r="BV153" s="16"/>
      <c r="BW153" s="16"/>
      <c r="BX153" s="16"/>
      <c r="BY153" s="16"/>
      <c r="BZ153" s="16"/>
      <c r="CA153" s="16"/>
      <c r="CB153" s="16"/>
      <c r="CC153" s="16"/>
    </row>
    <row r="154" spans="1:81" ht="13.5" thickBot="1">
      <c r="A154" s="16"/>
      <c r="B154" s="16"/>
      <c r="C154" s="17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16"/>
      <c r="BP154" s="16"/>
      <c r="BQ154" s="16"/>
      <c r="BR154" s="16"/>
      <c r="BS154" s="16"/>
      <c r="BT154" s="16"/>
      <c r="BU154" s="16"/>
      <c r="BV154" s="16"/>
      <c r="BW154" s="16"/>
      <c r="BX154" s="16"/>
      <c r="BY154" s="16"/>
      <c r="BZ154" s="16"/>
      <c r="CA154" s="16"/>
      <c r="CB154" s="16"/>
      <c r="CC154" s="16"/>
    </row>
    <row r="155" spans="1:81" ht="13.5" thickBot="1">
      <c r="A155" s="16"/>
      <c r="B155" s="16"/>
      <c r="C155" s="17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16"/>
      <c r="BP155" s="16"/>
      <c r="BQ155" s="16"/>
      <c r="BR155" s="16"/>
      <c r="BS155" s="16"/>
      <c r="BT155" s="16"/>
      <c r="BU155" s="16"/>
      <c r="BV155" s="16"/>
      <c r="BW155" s="16"/>
      <c r="BX155" s="16"/>
      <c r="BY155" s="16"/>
      <c r="BZ155" s="16"/>
      <c r="CA155" s="16"/>
      <c r="CB155" s="16"/>
      <c r="CC155" s="16"/>
    </row>
    <row r="156" spans="1:81" ht="13.5" thickBot="1">
      <c r="A156" s="16"/>
      <c r="B156" s="16"/>
      <c r="C156" s="17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16"/>
      <c r="BP156" s="16"/>
      <c r="BQ156" s="16"/>
      <c r="BR156" s="16"/>
      <c r="BS156" s="16"/>
      <c r="BT156" s="16"/>
      <c r="BU156" s="16"/>
      <c r="BV156" s="16"/>
      <c r="BW156" s="16"/>
      <c r="BX156" s="16"/>
      <c r="BY156" s="16"/>
      <c r="BZ156" s="16"/>
      <c r="CA156" s="16"/>
      <c r="CB156" s="16"/>
      <c r="CC156" s="16"/>
    </row>
    <row r="157" spans="1:81" ht="13.5" thickBot="1">
      <c r="A157" s="16"/>
      <c r="B157" s="16"/>
      <c r="C157" s="17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6"/>
      <c r="AZ157" s="16"/>
      <c r="BA157" s="16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16"/>
      <c r="BP157" s="16"/>
      <c r="BQ157" s="16"/>
      <c r="BR157" s="16"/>
      <c r="BS157" s="16"/>
      <c r="BT157" s="16"/>
      <c r="BU157" s="16"/>
      <c r="BV157" s="16"/>
      <c r="BW157" s="16"/>
      <c r="BX157" s="16"/>
      <c r="BY157" s="16"/>
      <c r="BZ157" s="16"/>
      <c r="CA157" s="16"/>
      <c r="CB157" s="16"/>
      <c r="CC157" s="16"/>
    </row>
    <row r="158" spans="1:81" ht="13.5" thickBot="1">
      <c r="A158" s="16"/>
      <c r="B158" s="16"/>
      <c r="C158" s="17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  <c r="AZ158" s="16"/>
      <c r="BA158" s="16"/>
      <c r="BB158" s="16"/>
      <c r="BC158" s="16"/>
      <c r="BD158" s="16"/>
      <c r="BE158" s="16"/>
      <c r="BF158" s="16"/>
      <c r="BG158" s="16"/>
      <c r="BH158" s="16"/>
      <c r="BI158" s="16"/>
      <c r="BJ158" s="16"/>
      <c r="BK158" s="16"/>
      <c r="BL158" s="16"/>
      <c r="BM158" s="16"/>
      <c r="BN158" s="16"/>
      <c r="BO158" s="16"/>
      <c r="BP158" s="16"/>
      <c r="BQ158" s="16"/>
      <c r="BR158" s="16"/>
      <c r="BS158" s="16"/>
      <c r="BT158" s="16"/>
      <c r="BU158" s="16"/>
      <c r="BV158" s="16"/>
      <c r="BW158" s="16"/>
      <c r="BX158" s="16"/>
      <c r="BY158" s="16"/>
      <c r="BZ158" s="16"/>
      <c r="CA158" s="16"/>
      <c r="CB158" s="16"/>
      <c r="CC158" s="16"/>
    </row>
    <row r="159" spans="1:81" ht="13.5" thickBot="1">
      <c r="A159" s="16"/>
      <c r="B159" s="16"/>
      <c r="C159" s="17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16"/>
      <c r="CA159" s="16"/>
      <c r="CB159" s="16"/>
      <c r="CC159" s="16"/>
    </row>
    <row r="160" spans="1:81" ht="13.5" thickBot="1">
      <c r="A160" s="16"/>
      <c r="B160" s="16"/>
      <c r="C160" s="17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  <c r="BS160" s="16"/>
      <c r="BT160" s="16"/>
      <c r="BU160" s="16"/>
      <c r="BV160" s="16"/>
      <c r="BW160" s="16"/>
      <c r="BX160" s="16"/>
      <c r="BY160" s="16"/>
      <c r="BZ160" s="16"/>
      <c r="CA160" s="16"/>
      <c r="CB160" s="16"/>
      <c r="CC160" s="16"/>
    </row>
    <row r="161" spans="1:81" ht="13.5" thickBot="1">
      <c r="A161" s="16"/>
      <c r="B161" s="16"/>
      <c r="C161" s="17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  <c r="BZ161" s="16"/>
      <c r="CA161" s="16"/>
      <c r="CB161" s="16"/>
      <c r="CC161" s="16"/>
    </row>
    <row r="162" spans="1:81" ht="13.5" thickBot="1">
      <c r="A162" s="16"/>
      <c r="B162" s="16"/>
      <c r="C162" s="17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  <c r="BZ162" s="16"/>
      <c r="CA162" s="16"/>
      <c r="CB162" s="16"/>
      <c r="CC162" s="16"/>
    </row>
    <row r="163" spans="1:81" ht="13.5" thickBot="1">
      <c r="A163" s="16"/>
      <c r="B163" s="16"/>
      <c r="C163" s="17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  <c r="BS163" s="16"/>
      <c r="BT163" s="16"/>
      <c r="BU163" s="16"/>
      <c r="BV163" s="16"/>
      <c r="BW163" s="16"/>
      <c r="BX163" s="16"/>
      <c r="BY163" s="16"/>
      <c r="BZ163" s="16"/>
      <c r="CA163" s="16"/>
      <c r="CB163" s="16"/>
      <c r="CC163" s="16"/>
    </row>
    <row r="164" spans="1:81" ht="13.5" thickBot="1">
      <c r="A164" s="16"/>
      <c r="B164" s="16"/>
      <c r="C164" s="17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  <c r="BS164" s="16"/>
      <c r="BT164" s="16"/>
      <c r="BU164" s="16"/>
      <c r="BV164" s="16"/>
      <c r="BW164" s="16"/>
      <c r="BX164" s="16"/>
      <c r="BY164" s="16"/>
      <c r="BZ164" s="16"/>
      <c r="CA164" s="16"/>
      <c r="CB164" s="16"/>
      <c r="CC164" s="16"/>
    </row>
    <row r="165" spans="1:81" ht="13.5" thickBot="1">
      <c r="A165" s="16"/>
      <c r="B165" s="16"/>
      <c r="C165" s="17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  <c r="BS165" s="16"/>
      <c r="BT165" s="16"/>
      <c r="BU165" s="16"/>
      <c r="BV165" s="16"/>
      <c r="BW165" s="16"/>
      <c r="BX165" s="16"/>
      <c r="BY165" s="16"/>
      <c r="BZ165" s="16"/>
      <c r="CA165" s="16"/>
      <c r="CB165" s="16"/>
      <c r="CC165" s="16"/>
    </row>
    <row r="166" spans="1:81" ht="13.5" thickBot="1">
      <c r="A166" s="16"/>
      <c r="B166" s="16"/>
      <c r="C166" s="17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  <c r="BS166" s="16"/>
      <c r="BT166" s="16"/>
      <c r="BU166" s="16"/>
      <c r="BV166" s="16"/>
      <c r="BW166" s="16"/>
      <c r="BX166" s="16"/>
      <c r="BY166" s="16"/>
      <c r="BZ166" s="16"/>
      <c r="CA166" s="16"/>
      <c r="CB166" s="16"/>
      <c r="CC166" s="16"/>
    </row>
    <row r="167" spans="1:81" ht="13.5" thickBot="1">
      <c r="A167" s="16"/>
      <c r="B167" s="16"/>
      <c r="C167" s="17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  <c r="BZ167" s="16"/>
      <c r="CA167" s="16"/>
      <c r="CB167" s="16"/>
      <c r="CC167" s="16"/>
    </row>
    <row r="168" spans="1:81" ht="13.5" thickBot="1">
      <c r="A168" s="16"/>
      <c r="B168" s="16"/>
      <c r="C168" s="17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  <c r="BZ168" s="16"/>
      <c r="CA168" s="16"/>
      <c r="CB168" s="16"/>
      <c r="CC168" s="16"/>
    </row>
    <row r="169" spans="1:81" ht="13.5" thickBot="1">
      <c r="A169" s="16"/>
      <c r="B169" s="16"/>
      <c r="C169" s="17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  <c r="BS169" s="16"/>
      <c r="BT169" s="16"/>
      <c r="BU169" s="16"/>
      <c r="BV169" s="16"/>
      <c r="BW169" s="16"/>
      <c r="BX169" s="16"/>
      <c r="BY169" s="16"/>
      <c r="BZ169" s="16"/>
      <c r="CA169" s="16"/>
      <c r="CB169" s="16"/>
      <c r="CC169" s="16"/>
    </row>
    <row r="170" spans="1:81" ht="13.5" thickBot="1">
      <c r="A170" s="16"/>
      <c r="B170" s="16"/>
      <c r="C170" s="17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16"/>
      <c r="CA170" s="16"/>
      <c r="CB170" s="16"/>
      <c r="CC170" s="16"/>
    </row>
    <row r="171" spans="1:81" ht="13.5" thickBot="1">
      <c r="A171" s="16"/>
      <c r="B171" s="16"/>
      <c r="C171" s="17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16"/>
      <c r="CA171" s="16"/>
      <c r="CB171" s="16"/>
      <c r="CC171" s="16"/>
    </row>
    <row r="172" spans="1:81" ht="13.5" thickBot="1">
      <c r="A172" s="16"/>
      <c r="B172" s="16"/>
      <c r="C172" s="17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C172" s="16"/>
      <c r="BD172" s="16"/>
      <c r="BE172" s="16"/>
      <c r="BF172" s="16"/>
      <c r="BG172" s="16"/>
      <c r="BH172" s="16"/>
      <c r="BI172" s="16"/>
      <c r="BJ172" s="16"/>
      <c r="BK172" s="16"/>
      <c r="BL172" s="16"/>
      <c r="BM172" s="16"/>
      <c r="BN172" s="16"/>
      <c r="BO172" s="16"/>
      <c r="BP172" s="16"/>
      <c r="BQ172" s="16"/>
      <c r="BR172" s="16"/>
      <c r="BS172" s="16"/>
      <c r="BT172" s="16"/>
      <c r="BU172" s="16"/>
      <c r="BV172" s="16"/>
      <c r="BW172" s="16"/>
      <c r="BX172" s="16"/>
      <c r="BY172" s="16"/>
      <c r="BZ172" s="16"/>
      <c r="CA172" s="16"/>
      <c r="CB172" s="16"/>
      <c r="CC172" s="16"/>
    </row>
    <row r="173" spans="1:81" ht="13.5" thickBot="1">
      <c r="A173" s="16"/>
      <c r="B173" s="16"/>
      <c r="C173" s="17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16"/>
      <c r="CA173" s="16"/>
      <c r="CB173" s="16"/>
      <c r="CC173" s="16"/>
    </row>
    <row r="174" spans="1:81" ht="13.5" thickBot="1">
      <c r="A174" s="16"/>
      <c r="B174" s="16"/>
      <c r="C174" s="17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/>
      <c r="BQ174" s="16"/>
      <c r="BR174" s="16"/>
      <c r="BS174" s="16"/>
      <c r="BT174" s="16"/>
      <c r="BU174" s="16"/>
      <c r="BV174" s="16"/>
      <c r="BW174" s="16"/>
      <c r="BX174" s="16"/>
      <c r="BY174" s="16"/>
      <c r="BZ174" s="16"/>
      <c r="CA174" s="16"/>
      <c r="CB174" s="16"/>
      <c r="CC174" s="16"/>
    </row>
    <row r="175" spans="1:81" ht="13.5" thickBot="1">
      <c r="A175" s="16"/>
      <c r="B175" s="16"/>
      <c r="C175" s="17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16"/>
      <c r="BQ175" s="16"/>
      <c r="BR175" s="16"/>
      <c r="BS175" s="16"/>
      <c r="BT175" s="16"/>
      <c r="BU175" s="16"/>
      <c r="BV175" s="16"/>
      <c r="BW175" s="16"/>
      <c r="BX175" s="16"/>
      <c r="BY175" s="16"/>
      <c r="BZ175" s="16"/>
      <c r="CA175" s="16"/>
      <c r="CB175" s="16"/>
      <c r="CC175" s="16"/>
    </row>
    <row r="176" spans="1:81" ht="13.5" thickBot="1">
      <c r="A176" s="16"/>
      <c r="B176" s="16"/>
      <c r="C176" s="17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16"/>
      <c r="BQ176" s="16"/>
      <c r="BR176" s="16"/>
      <c r="BS176" s="16"/>
      <c r="BT176" s="16"/>
      <c r="BU176" s="16"/>
      <c r="BV176" s="16"/>
      <c r="BW176" s="16"/>
      <c r="BX176" s="16"/>
      <c r="BY176" s="16"/>
      <c r="BZ176" s="16"/>
      <c r="CA176" s="16"/>
      <c r="CB176" s="16"/>
      <c r="CC176" s="16"/>
    </row>
    <row r="177" spans="1:81" ht="13.5" thickBot="1">
      <c r="A177" s="16"/>
      <c r="B177" s="16"/>
      <c r="C177" s="17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16"/>
      <c r="BQ177" s="16"/>
      <c r="BR177" s="16"/>
      <c r="BS177" s="16"/>
      <c r="BT177" s="16"/>
      <c r="BU177" s="16"/>
      <c r="BV177" s="16"/>
      <c r="BW177" s="16"/>
      <c r="BX177" s="16"/>
      <c r="BY177" s="16"/>
      <c r="BZ177" s="16"/>
      <c r="CA177" s="16"/>
      <c r="CB177" s="16"/>
      <c r="CC177" s="16"/>
    </row>
    <row r="178" spans="1:81" ht="13.5" thickBot="1">
      <c r="A178" s="16"/>
      <c r="B178" s="16"/>
      <c r="C178" s="17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16"/>
      <c r="BQ178" s="16"/>
      <c r="BR178" s="16"/>
      <c r="BS178" s="16"/>
      <c r="BT178" s="16"/>
      <c r="BU178" s="16"/>
      <c r="BV178" s="16"/>
      <c r="BW178" s="16"/>
      <c r="BX178" s="16"/>
      <c r="BY178" s="16"/>
      <c r="BZ178" s="16"/>
      <c r="CA178" s="16"/>
      <c r="CB178" s="16"/>
      <c r="CC178" s="16"/>
    </row>
    <row r="179" spans="1:81" ht="13.5" thickBot="1">
      <c r="A179" s="16"/>
      <c r="B179" s="16"/>
      <c r="C179" s="17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16"/>
      <c r="BQ179" s="16"/>
      <c r="BR179" s="16"/>
      <c r="BS179" s="16"/>
      <c r="BT179" s="16"/>
      <c r="BU179" s="16"/>
      <c r="BV179" s="16"/>
      <c r="BW179" s="16"/>
      <c r="BX179" s="16"/>
      <c r="BY179" s="16"/>
      <c r="BZ179" s="16"/>
      <c r="CA179" s="16"/>
      <c r="CB179" s="16"/>
      <c r="CC179" s="16"/>
    </row>
    <row r="180" spans="1:81" ht="13.5" thickBot="1">
      <c r="A180" s="16"/>
      <c r="B180" s="16"/>
      <c r="C180" s="17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16"/>
      <c r="BQ180" s="16"/>
      <c r="BR180" s="16"/>
      <c r="BS180" s="16"/>
      <c r="BT180" s="16"/>
      <c r="BU180" s="16"/>
      <c r="BV180" s="16"/>
      <c r="BW180" s="16"/>
      <c r="BX180" s="16"/>
      <c r="BY180" s="16"/>
      <c r="BZ180" s="16"/>
      <c r="CA180" s="16"/>
      <c r="CB180" s="16"/>
      <c r="CC180" s="16"/>
    </row>
    <row r="181" spans="1:81" ht="13.5" thickBot="1">
      <c r="A181" s="16"/>
      <c r="B181" s="16"/>
      <c r="C181" s="17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  <c r="BS181" s="16"/>
      <c r="BT181" s="16"/>
      <c r="BU181" s="16"/>
      <c r="BV181" s="16"/>
      <c r="BW181" s="16"/>
      <c r="BX181" s="16"/>
      <c r="BY181" s="16"/>
      <c r="BZ181" s="16"/>
      <c r="CA181" s="16"/>
      <c r="CB181" s="16"/>
      <c r="CC181" s="16"/>
    </row>
    <row r="182" spans="1:81" ht="13.5" thickBot="1">
      <c r="A182" s="16"/>
      <c r="B182" s="16"/>
      <c r="C182" s="17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6"/>
      <c r="BD182" s="16"/>
      <c r="BE182" s="16"/>
      <c r="BF182" s="16"/>
      <c r="BG182" s="16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  <c r="BZ182" s="16"/>
      <c r="CA182" s="16"/>
      <c r="CB182" s="16"/>
      <c r="CC182" s="16"/>
    </row>
    <row r="183" spans="1:81" ht="13.5" thickBot="1">
      <c r="A183" s="16"/>
      <c r="B183" s="16"/>
      <c r="C183" s="17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6"/>
      <c r="BD183" s="16"/>
      <c r="BE183" s="16"/>
      <c r="BF183" s="16"/>
      <c r="BG183" s="16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16"/>
      <c r="CA183" s="16"/>
      <c r="CB183" s="16"/>
      <c r="CC183" s="16"/>
    </row>
    <row r="184" spans="1:81" ht="13.5" thickBot="1">
      <c r="A184" s="16"/>
      <c r="B184" s="16"/>
      <c r="C184" s="17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6"/>
      <c r="BD184" s="16"/>
      <c r="BE184" s="16"/>
      <c r="BF184" s="16"/>
      <c r="BG184" s="16"/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  <c r="BS184" s="16"/>
      <c r="BT184" s="16"/>
      <c r="BU184" s="16"/>
      <c r="BV184" s="16"/>
      <c r="BW184" s="16"/>
      <c r="BX184" s="16"/>
      <c r="BY184" s="16"/>
      <c r="BZ184" s="16"/>
      <c r="CA184" s="16"/>
      <c r="CB184" s="16"/>
      <c r="CC184" s="16"/>
    </row>
    <row r="185" spans="1:81" ht="13.5" thickBot="1">
      <c r="A185" s="16"/>
      <c r="B185" s="16"/>
      <c r="C185" s="17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6"/>
      <c r="BD185" s="16"/>
      <c r="BE185" s="16"/>
      <c r="BF185" s="16"/>
      <c r="BG185" s="16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  <c r="BZ185" s="16"/>
      <c r="CA185" s="16"/>
      <c r="CB185" s="16"/>
      <c r="CC185" s="16"/>
    </row>
    <row r="186" spans="1:81" ht="13.5" thickBot="1">
      <c r="A186" s="16"/>
      <c r="B186" s="16"/>
      <c r="C186" s="17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6"/>
      <c r="BD186" s="16"/>
      <c r="BE186" s="16"/>
      <c r="BF186" s="16"/>
      <c r="BG186" s="16"/>
      <c r="BH186" s="16"/>
      <c r="BI186" s="16"/>
      <c r="BJ186" s="16"/>
      <c r="BK186" s="16"/>
      <c r="BL186" s="16"/>
      <c r="BM186" s="16"/>
      <c r="BN186" s="16"/>
      <c r="BO186" s="16"/>
      <c r="BP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16"/>
      <c r="CA186" s="16"/>
      <c r="CB186" s="16"/>
      <c r="CC186" s="16"/>
    </row>
    <row r="187" spans="1:81" ht="13.5" thickBot="1">
      <c r="A187" s="16"/>
      <c r="B187" s="16"/>
      <c r="C187" s="17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  <c r="AW187" s="16"/>
      <c r="AX187" s="16"/>
      <c r="AY187" s="16"/>
      <c r="AZ187" s="16"/>
      <c r="BA187" s="16"/>
      <c r="BB187" s="16"/>
      <c r="BC187" s="16"/>
      <c r="BD187" s="16"/>
      <c r="BE187" s="16"/>
      <c r="BF187" s="16"/>
      <c r="BG187" s="16"/>
      <c r="BH187" s="16"/>
      <c r="BI187" s="16"/>
      <c r="BJ187" s="16"/>
      <c r="BK187" s="16"/>
      <c r="BL187" s="16"/>
      <c r="BM187" s="16"/>
      <c r="BN187" s="16"/>
      <c r="BO187" s="16"/>
      <c r="BP187" s="16"/>
      <c r="BQ187" s="16"/>
      <c r="BR187" s="16"/>
      <c r="BS187" s="16"/>
      <c r="BT187" s="16"/>
      <c r="BU187" s="16"/>
      <c r="BV187" s="16"/>
      <c r="BW187" s="16"/>
      <c r="BX187" s="16"/>
      <c r="BY187" s="16"/>
      <c r="BZ187" s="16"/>
      <c r="CA187" s="16"/>
      <c r="CB187" s="16"/>
      <c r="CC187" s="16"/>
    </row>
    <row r="188" spans="1:81" ht="13.5" thickBot="1">
      <c r="A188" s="16"/>
      <c r="B188" s="16"/>
      <c r="C188" s="17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BC188" s="16"/>
      <c r="BD188" s="16"/>
      <c r="BE188" s="16"/>
      <c r="BF188" s="16"/>
      <c r="BG188" s="16"/>
      <c r="BH188" s="16"/>
      <c r="BI188" s="16"/>
      <c r="BJ188" s="16"/>
      <c r="BK188" s="16"/>
      <c r="BL188" s="16"/>
      <c r="BM188" s="16"/>
      <c r="BN188" s="16"/>
      <c r="BO188" s="16"/>
      <c r="BP188" s="16"/>
      <c r="BQ188" s="16"/>
      <c r="BR188" s="16"/>
      <c r="BS188" s="16"/>
      <c r="BT188" s="16"/>
      <c r="BU188" s="16"/>
      <c r="BV188" s="16"/>
      <c r="BW188" s="16"/>
      <c r="BX188" s="16"/>
      <c r="BY188" s="16"/>
      <c r="BZ188" s="16"/>
      <c r="CA188" s="16"/>
      <c r="CB188" s="16"/>
      <c r="CC188" s="16"/>
    </row>
    <row r="189" spans="1:81" ht="13.5" thickBot="1">
      <c r="A189" s="16"/>
      <c r="B189" s="16"/>
      <c r="C189" s="17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  <c r="AU189" s="16"/>
      <c r="AV189" s="16"/>
      <c r="AW189" s="16"/>
      <c r="AX189" s="16"/>
      <c r="AY189" s="16"/>
      <c r="AZ189" s="16"/>
      <c r="BA189" s="16"/>
      <c r="BB189" s="16"/>
      <c r="BC189" s="16"/>
      <c r="BD189" s="16"/>
      <c r="BE189" s="16"/>
      <c r="BF189" s="16"/>
      <c r="BG189" s="16"/>
      <c r="BH189" s="16"/>
      <c r="BI189" s="16"/>
      <c r="BJ189" s="16"/>
      <c r="BK189" s="16"/>
      <c r="BL189" s="16"/>
      <c r="BM189" s="16"/>
      <c r="BN189" s="16"/>
      <c r="BO189" s="16"/>
      <c r="BP189" s="16"/>
      <c r="BQ189" s="16"/>
      <c r="BR189" s="16"/>
      <c r="BS189" s="16"/>
      <c r="BT189" s="16"/>
      <c r="BU189" s="16"/>
      <c r="BV189" s="16"/>
      <c r="BW189" s="16"/>
      <c r="BX189" s="16"/>
      <c r="BY189" s="16"/>
      <c r="BZ189" s="16"/>
      <c r="CA189" s="16"/>
      <c r="CB189" s="16"/>
      <c r="CC189" s="16"/>
    </row>
    <row r="190" spans="1:81" ht="13.5" thickBot="1">
      <c r="A190" s="16"/>
      <c r="B190" s="16"/>
      <c r="C190" s="17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C190" s="16"/>
      <c r="BD190" s="16"/>
      <c r="BE190" s="16"/>
      <c r="BF190" s="16"/>
      <c r="BG190" s="16"/>
      <c r="BH190" s="16"/>
      <c r="BI190" s="16"/>
      <c r="BJ190" s="16"/>
      <c r="BK190" s="16"/>
      <c r="BL190" s="16"/>
      <c r="BM190" s="16"/>
      <c r="BN190" s="16"/>
      <c r="BO190" s="16"/>
      <c r="BP190" s="16"/>
      <c r="BQ190" s="16"/>
      <c r="BR190" s="16"/>
      <c r="BS190" s="16"/>
      <c r="BT190" s="16"/>
      <c r="BU190" s="16"/>
      <c r="BV190" s="16"/>
      <c r="BW190" s="16"/>
      <c r="BX190" s="16"/>
      <c r="BY190" s="16"/>
      <c r="BZ190" s="16"/>
      <c r="CA190" s="16"/>
      <c r="CB190" s="16"/>
      <c r="CC190" s="16"/>
    </row>
    <row r="191" spans="1:81" ht="13.5" thickBot="1">
      <c r="A191" s="16"/>
      <c r="B191" s="16"/>
      <c r="C191" s="17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C191" s="16"/>
      <c r="BD191" s="16"/>
      <c r="BE191" s="16"/>
      <c r="BF191" s="16"/>
      <c r="BG191" s="16"/>
      <c r="BH191" s="16"/>
      <c r="BI191" s="16"/>
      <c r="BJ191" s="16"/>
      <c r="BK191" s="16"/>
      <c r="BL191" s="16"/>
      <c r="BM191" s="16"/>
      <c r="BN191" s="16"/>
      <c r="BO191" s="16"/>
      <c r="BP191" s="16"/>
      <c r="BQ191" s="16"/>
      <c r="BR191" s="16"/>
      <c r="BS191" s="16"/>
      <c r="BT191" s="16"/>
      <c r="BU191" s="16"/>
      <c r="BV191" s="16"/>
      <c r="BW191" s="16"/>
      <c r="BX191" s="16"/>
      <c r="BY191" s="16"/>
      <c r="BZ191" s="16"/>
      <c r="CA191" s="16"/>
      <c r="CB191" s="16"/>
      <c r="CC191" s="16"/>
    </row>
    <row r="192" spans="1:81" ht="13.5" thickBot="1">
      <c r="A192" s="16"/>
      <c r="B192" s="16"/>
      <c r="C192" s="17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C192" s="16"/>
      <c r="BD192" s="16"/>
      <c r="BE192" s="16"/>
      <c r="BF192" s="16"/>
      <c r="BG192" s="16"/>
      <c r="BH192" s="16"/>
      <c r="BI192" s="16"/>
      <c r="BJ192" s="16"/>
      <c r="BK192" s="16"/>
      <c r="BL192" s="16"/>
      <c r="BM192" s="16"/>
      <c r="BN192" s="16"/>
      <c r="BO192" s="16"/>
      <c r="BP192" s="16"/>
      <c r="BQ192" s="16"/>
      <c r="BR192" s="16"/>
      <c r="BS192" s="16"/>
      <c r="BT192" s="16"/>
      <c r="BU192" s="16"/>
      <c r="BV192" s="16"/>
      <c r="BW192" s="16"/>
      <c r="BX192" s="16"/>
      <c r="BY192" s="16"/>
      <c r="BZ192" s="16"/>
      <c r="CA192" s="16"/>
      <c r="CB192" s="16"/>
      <c r="CC192" s="16"/>
    </row>
    <row r="193" spans="1:81" ht="13.5" thickBot="1">
      <c r="A193" s="16"/>
      <c r="B193" s="16"/>
      <c r="C193" s="17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C193" s="16"/>
      <c r="BD193" s="16"/>
      <c r="BE193" s="16"/>
      <c r="BF193" s="16"/>
      <c r="BG193" s="16"/>
      <c r="BH193" s="16"/>
      <c r="BI193" s="16"/>
      <c r="BJ193" s="16"/>
      <c r="BK193" s="16"/>
      <c r="BL193" s="16"/>
      <c r="BM193" s="16"/>
      <c r="BN193" s="16"/>
      <c r="BO193" s="16"/>
      <c r="BP193" s="16"/>
      <c r="BQ193" s="16"/>
      <c r="BR193" s="16"/>
      <c r="BS193" s="16"/>
      <c r="BT193" s="16"/>
      <c r="BU193" s="16"/>
      <c r="BV193" s="16"/>
      <c r="BW193" s="16"/>
      <c r="BX193" s="16"/>
      <c r="BY193" s="16"/>
      <c r="BZ193" s="16"/>
      <c r="CA193" s="16"/>
      <c r="CB193" s="16"/>
      <c r="CC193" s="16"/>
    </row>
    <row r="194" spans="1:81" ht="13.5" thickBot="1">
      <c r="A194" s="16"/>
      <c r="B194" s="16"/>
      <c r="C194" s="17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  <c r="AX194" s="16"/>
      <c r="AY194" s="16"/>
      <c r="AZ194" s="16"/>
      <c r="BA194" s="16"/>
      <c r="BB194" s="16"/>
      <c r="BC194" s="16"/>
      <c r="BD194" s="16"/>
      <c r="BE194" s="16"/>
      <c r="BF194" s="16"/>
      <c r="BG194" s="16"/>
      <c r="BH194" s="16"/>
      <c r="BI194" s="16"/>
      <c r="BJ194" s="16"/>
      <c r="BK194" s="16"/>
      <c r="BL194" s="16"/>
      <c r="BM194" s="16"/>
      <c r="BN194" s="16"/>
      <c r="BO194" s="16"/>
      <c r="BP194" s="16"/>
      <c r="BQ194" s="16"/>
      <c r="BR194" s="16"/>
      <c r="BS194" s="16"/>
      <c r="BT194" s="16"/>
      <c r="BU194" s="16"/>
      <c r="BV194" s="16"/>
      <c r="BW194" s="16"/>
      <c r="BX194" s="16"/>
      <c r="BY194" s="16"/>
      <c r="BZ194" s="16"/>
      <c r="CA194" s="16"/>
      <c r="CB194" s="16"/>
      <c r="CC194" s="16"/>
    </row>
    <row r="195" spans="1:81" ht="13.5" thickBot="1">
      <c r="A195" s="16"/>
      <c r="B195" s="16"/>
      <c r="C195" s="17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  <c r="AU195" s="16"/>
      <c r="AV195" s="16"/>
      <c r="AW195" s="16"/>
      <c r="AX195" s="16"/>
      <c r="AY195" s="16"/>
      <c r="AZ195" s="16"/>
      <c r="BA195" s="16"/>
      <c r="BB195" s="16"/>
      <c r="BC195" s="16"/>
      <c r="BD195" s="16"/>
      <c r="BE195" s="16"/>
      <c r="BF195" s="16"/>
      <c r="BG195" s="16"/>
      <c r="BH195" s="16"/>
      <c r="BI195" s="16"/>
      <c r="BJ195" s="16"/>
      <c r="BK195" s="16"/>
      <c r="BL195" s="16"/>
      <c r="BM195" s="16"/>
      <c r="BN195" s="16"/>
      <c r="BO195" s="16"/>
      <c r="BP195" s="16"/>
      <c r="BQ195" s="16"/>
      <c r="BR195" s="16"/>
      <c r="BS195" s="16"/>
      <c r="BT195" s="16"/>
      <c r="BU195" s="16"/>
      <c r="BV195" s="16"/>
      <c r="BW195" s="16"/>
      <c r="BX195" s="16"/>
      <c r="BY195" s="16"/>
      <c r="BZ195" s="16"/>
      <c r="CA195" s="16"/>
      <c r="CB195" s="16"/>
      <c r="CC195" s="16"/>
    </row>
    <row r="196" spans="1:81" ht="13.5" thickBot="1">
      <c r="A196" s="16"/>
      <c r="B196" s="16"/>
      <c r="C196" s="17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  <c r="AU196" s="16"/>
      <c r="AV196" s="16"/>
      <c r="AW196" s="16"/>
      <c r="AX196" s="16"/>
      <c r="AY196" s="16"/>
      <c r="AZ196" s="16"/>
      <c r="BA196" s="16"/>
      <c r="BB196" s="16"/>
      <c r="BC196" s="16"/>
      <c r="BD196" s="16"/>
      <c r="BE196" s="16"/>
      <c r="BF196" s="16"/>
      <c r="BG196" s="16"/>
      <c r="BH196" s="16"/>
      <c r="BI196" s="16"/>
      <c r="BJ196" s="16"/>
      <c r="BK196" s="16"/>
      <c r="BL196" s="16"/>
      <c r="BM196" s="16"/>
      <c r="BN196" s="16"/>
      <c r="BO196" s="16"/>
      <c r="BP196" s="16"/>
      <c r="BQ196" s="16"/>
      <c r="BR196" s="16"/>
      <c r="BS196" s="16"/>
      <c r="BT196" s="16"/>
      <c r="BU196" s="16"/>
      <c r="BV196" s="16"/>
      <c r="BW196" s="16"/>
      <c r="BX196" s="16"/>
      <c r="BY196" s="16"/>
      <c r="BZ196" s="16"/>
      <c r="CA196" s="16"/>
      <c r="CB196" s="16"/>
      <c r="CC196" s="16"/>
    </row>
    <row r="197" spans="1:81" ht="13.5" thickBot="1">
      <c r="A197" s="16"/>
      <c r="B197" s="16"/>
      <c r="C197" s="17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  <c r="AX197" s="16"/>
      <c r="AY197" s="16"/>
      <c r="AZ197" s="16"/>
      <c r="BA197" s="16"/>
      <c r="BB197" s="16"/>
      <c r="BC197" s="16"/>
      <c r="BD197" s="16"/>
      <c r="BE197" s="16"/>
      <c r="BF197" s="16"/>
      <c r="BG197" s="16"/>
      <c r="BH197" s="16"/>
      <c r="BI197" s="16"/>
      <c r="BJ197" s="16"/>
      <c r="BK197" s="16"/>
      <c r="BL197" s="16"/>
      <c r="BM197" s="16"/>
      <c r="BN197" s="16"/>
      <c r="BO197" s="16"/>
      <c r="BP197" s="16"/>
      <c r="BQ197" s="16"/>
      <c r="BR197" s="16"/>
      <c r="BS197" s="16"/>
      <c r="BT197" s="16"/>
      <c r="BU197" s="16"/>
      <c r="BV197" s="16"/>
      <c r="BW197" s="16"/>
      <c r="BX197" s="16"/>
      <c r="BY197" s="16"/>
      <c r="BZ197" s="16"/>
      <c r="CA197" s="16"/>
      <c r="CB197" s="16"/>
      <c r="CC197" s="16"/>
    </row>
    <row r="198" spans="1:81" ht="13.5" thickBot="1">
      <c r="A198" s="16"/>
      <c r="B198" s="16"/>
      <c r="C198" s="17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BC198" s="16"/>
      <c r="BD198" s="16"/>
      <c r="BE198" s="16"/>
      <c r="BF198" s="16"/>
      <c r="BG198" s="16"/>
      <c r="BH198" s="16"/>
      <c r="BI198" s="16"/>
      <c r="BJ198" s="16"/>
      <c r="BK198" s="16"/>
      <c r="BL198" s="16"/>
      <c r="BM198" s="16"/>
      <c r="BN198" s="16"/>
      <c r="BO198" s="16"/>
      <c r="BP198" s="16"/>
      <c r="BQ198" s="16"/>
      <c r="BR198" s="16"/>
      <c r="BS198" s="16"/>
      <c r="BT198" s="16"/>
      <c r="BU198" s="16"/>
      <c r="BV198" s="16"/>
      <c r="BW198" s="16"/>
      <c r="BX198" s="16"/>
      <c r="BY198" s="16"/>
      <c r="BZ198" s="16"/>
      <c r="CA198" s="16"/>
      <c r="CB198" s="16"/>
      <c r="CC198" s="16"/>
    </row>
    <row r="199" spans="1:81" ht="13.5" thickBot="1">
      <c r="A199" s="16"/>
      <c r="B199" s="16"/>
      <c r="C199" s="17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BC199" s="16"/>
      <c r="BD199" s="16"/>
      <c r="BE199" s="16"/>
      <c r="BF199" s="16"/>
      <c r="BG199" s="16"/>
      <c r="BH199" s="16"/>
      <c r="BI199" s="16"/>
      <c r="BJ199" s="16"/>
      <c r="BK199" s="16"/>
      <c r="BL199" s="16"/>
      <c r="BM199" s="16"/>
      <c r="BN199" s="16"/>
      <c r="BO199" s="16"/>
      <c r="BP199" s="16"/>
      <c r="BQ199" s="16"/>
      <c r="BR199" s="16"/>
      <c r="BS199" s="16"/>
      <c r="BT199" s="16"/>
      <c r="BU199" s="16"/>
      <c r="BV199" s="16"/>
      <c r="BW199" s="16"/>
      <c r="BX199" s="16"/>
      <c r="BY199" s="16"/>
      <c r="BZ199" s="16"/>
      <c r="CA199" s="16"/>
      <c r="CB199" s="16"/>
      <c r="CC199" s="16"/>
    </row>
    <row r="200" spans="1:81" ht="13.5" thickBot="1">
      <c r="A200" s="16"/>
      <c r="B200" s="16"/>
      <c r="C200" s="17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  <c r="AX200" s="16"/>
      <c r="AY200" s="16"/>
      <c r="AZ200" s="16"/>
      <c r="BA200" s="16"/>
      <c r="BB200" s="16"/>
      <c r="BC200" s="16"/>
      <c r="BD200" s="16"/>
      <c r="BE200" s="16"/>
      <c r="BF200" s="16"/>
      <c r="BG200" s="16"/>
      <c r="BH200" s="16"/>
      <c r="BI200" s="16"/>
      <c r="BJ200" s="16"/>
      <c r="BK200" s="16"/>
      <c r="BL200" s="16"/>
      <c r="BM200" s="16"/>
      <c r="BN200" s="16"/>
      <c r="BO200" s="16"/>
      <c r="BP200" s="16"/>
      <c r="BQ200" s="16"/>
      <c r="BR200" s="16"/>
      <c r="BS200" s="16"/>
      <c r="BT200" s="16"/>
      <c r="BU200" s="16"/>
      <c r="BV200" s="16"/>
      <c r="BW200" s="16"/>
      <c r="BX200" s="16"/>
      <c r="BY200" s="16"/>
      <c r="BZ200" s="16"/>
      <c r="CA200" s="16"/>
      <c r="CB200" s="16"/>
      <c r="CC200" s="16"/>
    </row>
    <row r="201" spans="1:81" ht="13.5" thickBot="1">
      <c r="A201" s="16"/>
      <c r="B201" s="16"/>
      <c r="C201" s="17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C201" s="16"/>
      <c r="BD201" s="16"/>
      <c r="BE201" s="16"/>
      <c r="BF201" s="16"/>
      <c r="BG201" s="16"/>
      <c r="BH201" s="16"/>
      <c r="BI201" s="16"/>
      <c r="BJ201" s="16"/>
      <c r="BK201" s="16"/>
      <c r="BL201" s="16"/>
      <c r="BM201" s="16"/>
      <c r="BN201" s="16"/>
      <c r="BO201" s="16"/>
      <c r="BP201" s="16"/>
      <c r="BQ201" s="16"/>
      <c r="BR201" s="16"/>
      <c r="BS201" s="16"/>
      <c r="BT201" s="16"/>
      <c r="BU201" s="16"/>
      <c r="BV201" s="16"/>
      <c r="BW201" s="16"/>
      <c r="BX201" s="16"/>
      <c r="BY201" s="16"/>
      <c r="BZ201" s="16"/>
      <c r="CA201" s="16"/>
      <c r="CB201" s="16"/>
      <c r="CC201" s="16"/>
    </row>
    <row r="202" spans="1:81" ht="13.5" thickBot="1">
      <c r="A202" s="16"/>
      <c r="B202" s="16"/>
      <c r="C202" s="17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C202" s="16"/>
      <c r="BD202" s="16"/>
      <c r="BE202" s="16"/>
      <c r="BF202" s="16"/>
      <c r="BG202" s="16"/>
      <c r="BH202" s="16"/>
      <c r="BI202" s="16"/>
      <c r="BJ202" s="16"/>
      <c r="BK202" s="16"/>
      <c r="BL202" s="16"/>
      <c r="BM202" s="16"/>
      <c r="BN202" s="16"/>
      <c r="BO202" s="16"/>
      <c r="BP202" s="16"/>
      <c r="BQ202" s="16"/>
      <c r="BR202" s="16"/>
      <c r="BS202" s="16"/>
      <c r="BT202" s="16"/>
      <c r="BU202" s="16"/>
      <c r="BV202" s="16"/>
      <c r="BW202" s="16"/>
      <c r="BX202" s="16"/>
      <c r="BY202" s="16"/>
      <c r="BZ202" s="16"/>
      <c r="CA202" s="16"/>
      <c r="CB202" s="16"/>
      <c r="CC202" s="16"/>
    </row>
    <row r="203" spans="1:81" ht="13.5" thickBot="1">
      <c r="A203" s="16"/>
      <c r="B203" s="16"/>
      <c r="C203" s="17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  <c r="AX203" s="16"/>
      <c r="AY203" s="16"/>
      <c r="AZ203" s="16"/>
      <c r="BA203" s="16"/>
      <c r="BB203" s="16"/>
      <c r="BC203" s="16"/>
      <c r="BD203" s="16"/>
      <c r="BE203" s="16"/>
      <c r="BF203" s="16"/>
      <c r="BG203" s="16"/>
      <c r="BH203" s="16"/>
      <c r="BI203" s="16"/>
      <c r="BJ203" s="16"/>
      <c r="BK203" s="16"/>
      <c r="BL203" s="16"/>
      <c r="BM203" s="16"/>
      <c r="BN203" s="16"/>
      <c r="BO203" s="16"/>
      <c r="BP203" s="16"/>
      <c r="BQ203" s="16"/>
      <c r="BR203" s="16"/>
      <c r="BS203" s="16"/>
      <c r="BT203" s="16"/>
      <c r="BU203" s="16"/>
      <c r="BV203" s="16"/>
      <c r="BW203" s="16"/>
      <c r="BX203" s="16"/>
      <c r="BY203" s="16"/>
      <c r="BZ203" s="16"/>
      <c r="CA203" s="16"/>
      <c r="CB203" s="16"/>
      <c r="CC203" s="16"/>
    </row>
    <row r="204" spans="1:81" ht="13.5" thickBot="1">
      <c r="A204" s="16"/>
      <c r="B204" s="16"/>
      <c r="C204" s="17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C204" s="16"/>
      <c r="BD204" s="16"/>
      <c r="BE204" s="16"/>
      <c r="BF204" s="16"/>
      <c r="BG204" s="16"/>
      <c r="BH204" s="16"/>
      <c r="BI204" s="16"/>
      <c r="BJ204" s="16"/>
      <c r="BK204" s="16"/>
      <c r="BL204" s="16"/>
      <c r="BM204" s="16"/>
      <c r="BN204" s="16"/>
      <c r="BO204" s="16"/>
      <c r="BP204" s="16"/>
      <c r="BQ204" s="16"/>
      <c r="BR204" s="16"/>
      <c r="BS204" s="16"/>
      <c r="BT204" s="16"/>
      <c r="BU204" s="16"/>
      <c r="BV204" s="16"/>
      <c r="BW204" s="16"/>
      <c r="BX204" s="16"/>
      <c r="BY204" s="16"/>
      <c r="BZ204" s="16"/>
      <c r="CA204" s="16"/>
      <c r="CB204" s="16"/>
      <c r="CC204" s="16"/>
    </row>
    <row r="205" spans="1:81" ht="13.5" thickBot="1">
      <c r="A205" s="16"/>
      <c r="B205" s="16"/>
      <c r="C205" s="17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  <c r="AX205" s="16"/>
      <c r="AY205" s="16"/>
      <c r="AZ205" s="16"/>
      <c r="BA205" s="16"/>
      <c r="BB205" s="16"/>
      <c r="BC205" s="16"/>
      <c r="BD205" s="16"/>
      <c r="BE205" s="16"/>
      <c r="BF205" s="16"/>
      <c r="BG205" s="16"/>
      <c r="BH205" s="16"/>
      <c r="BI205" s="16"/>
      <c r="BJ205" s="16"/>
      <c r="BK205" s="16"/>
      <c r="BL205" s="16"/>
      <c r="BM205" s="16"/>
      <c r="BN205" s="16"/>
      <c r="BO205" s="16"/>
      <c r="BP205" s="16"/>
      <c r="BQ205" s="16"/>
      <c r="BR205" s="16"/>
      <c r="BS205" s="16"/>
      <c r="BT205" s="16"/>
      <c r="BU205" s="16"/>
      <c r="BV205" s="16"/>
      <c r="BW205" s="16"/>
      <c r="BX205" s="16"/>
      <c r="BY205" s="16"/>
      <c r="BZ205" s="16"/>
      <c r="CA205" s="16"/>
      <c r="CB205" s="16"/>
      <c r="CC205" s="16"/>
    </row>
    <row r="206" spans="1:81" ht="13.5" thickBot="1">
      <c r="A206" s="16"/>
      <c r="B206" s="16"/>
      <c r="C206" s="17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16"/>
      <c r="BE206" s="16"/>
      <c r="BF206" s="16"/>
      <c r="BG206" s="16"/>
      <c r="BH206" s="16"/>
      <c r="BI206" s="16"/>
      <c r="BJ206" s="16"/>
      <c r="BK206" s="16"/>
      <c r="BL206" s="16"/>
      <c r="BM206" s="16"/>
      <c r="BN206" s="16"/>
      <c r="BO206" s="16"/>
      <c r="BP206" s="16"/>
      <c r="BQ206" s="16"/>
      <c r="BR206" s="16"/>
      <c r="BS206" s="16"/>
      <c r="BT206" s="16"/>
      <c r="BU206" s="16"/>
      <c r="BV206" s="16"/>
      <c r="BW206" s="16"/>
      <c r="BX206" s="16"/>
      <c r="BY206" s="16"/>
      <c r="BZ206" s="16"/>
      <c r="CA206" s="16"/>
      <c r="CB206" s="16"/>
      <c r="CC206" s="16"/>
    </row>
    <row r="207" spans="1:81" ht="13.5" thickBot="1">
      <c r="A207" s="16"/>
      <c r="B207" s="16"/>
      <c r="C207" s="17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C207" s="16"/>
      <c r="BD207" s="16"/>
      <c r="BE207" s="16"/>
      <c r="BF207" s="16"/>
      <c r="BG207" s="16"/>
      <c r="BH207" s="16"/>
      <c r="BI207" s="16"/>
      <c r="BJ207" s="16"/>
      <c r="BK207" s="16"/>
      <c r="BL207" s="16"/>
      <c r="BM207" s="16"/>
      <c r="BN207" s="16"/>
      <c r="BO207" s="16"/>
      <c r="BP207" s="16"/>
      <c r="BQ207" s="16"/>
      <c r="BR207" s="16"/>
      <c r="BS207" s="16"/>
      <c r="BT207" s="16"/>
      <c r="BU207" s="16"/>
      <c r="BV207" s="16"/>
      <c r="BW207" s="16"/>
      <c r="BX207" s="16"/>
      <c r="BY207" s="16"/>
      <c r="BZ207" s="16"/>
      <c r="CA207" s="16"/>
      <c r="CB207" s="16"/>
      <c r="CC207" s="16"/>
    </row>
    <row r="208" spans="1:81" ht="13.5" thickBot="1">
      <c r="A208" s="16"/>
      <c r="B208" s="16"/>
      <c r="C208" s="17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C208" s="16"/>
      <c r="BD208" s="16"/>
      <c r="BE208" s="16"/>
      <c r="BF208" s="16"/>
      <c r="BG208" s="16"/>
      <c r="BH208" s="16"/>
      <c r="BI208" s="16"/>
      <c r="BJ208" s="16"/>
      <c r="BK208" s="16"/>
      <c r="BL208" s="16"/>
      <c r="BM208" s="16"/>
      <c r="BN208" s="16"/>
      <c r="BO208" s="16"/>
      <c r="BP208" s="16"/>
      <c r="BQ208" s="16"/>
      <c r="BR208" s="16"/>
      <c r="BS208" s="16"/>
      <c r="BT208" s="16"/>
      <c r="BU208" s="16"/>
      <c r="BV208" s="16"/>
      <c r="BW208" s="16"/>
      <c r="BX208" s="16"/>
      <c r="BY208" s="16"/>
      <c r="BZ208" s="16"/>
      <c r="CA208" s="16"/>
      <c r="CB208" s="16"/>
      <c r="CC208" s="16"/>
    </row>
    <row r="209" spans="1:81" ht="13.5" thickBot="1">
      <c r="A209" s="16"/>
      <c r="B209" s="16"/>
      <c r="C209" s="17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C209" s="16"/>
      <c r="BD209" s="16"/>
      <c r="BE209" s="16"/>
      <c r="BF209" s="16"/>
      <c r="BG209" s="16"/>
      <c r="BH209" s="16"/>
      <c r="BI209" s="16"/>
      <c r="BJ209" s="16"/>
      <c r="BK209" s="16"/>
      <c r="BL209" s="16"/>
      <c r="BM209" s="16"/>
      <c r="BN209" s="16"/>
      <c r="BO209" s="16"/>
      <c r="BP209" s="16"/>
      <c r="BQ209" s="16"/>
      <c r="BR209" s="16"/>
      <c r="BS209" s="16"/>
      <c r="BT209" s="16"/>
      <c r="BU209" s="16"/>
      <c r="BV209" s="16"/>
      <c r="BW209" s="16"/>
      <c r="BX209" s="16"/>
      <c r="BY209" s="16"/>
      <c r="BZ209" s="16"/>
      <c r="CA209" s="16"/>
      <c r="CB209" s="16"/>
      <c r="CC209" s="16"/>
    </row>
    <row r="210" spans="1:81" ht="13.5" thickBot="1">
      <c r="A210" s="16"/>
      <c r="B210" s="16"/>
      <c r="C210" s="17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C210" s="16"/>
      <c r="BD210" s="16"/>
      <c r="BE210" s="16"/>
      <c r="BF210" s="16"/>
      <c r="BG210" s="16"/>
      <c r="BH210" s="16"/>
      <c r="BI210" s="16"/>
      <c r="BJ210" s="16"/>
      <c r="BK210" s="16"/>
      <c r="BL210" s="16"/>
      <c r="BM210" s="16"/>
      <c r="BN210" s="16"/>
      <c r="BO210" s="16"/>
      <c r="BP210" s="16"/>
      <c r="BQ210" s="16"/>
      <c r="BR210" s="16"/>
      <c r="BS210" s="16"/>
      <c r="BT210" s="16"/>
      <c r="BU210" s="16"/>
      <c r="BV210" s="16"/>
      <c r="BW210" s="16"/>
      <c r="BX210" s="16"/>
      <c r="BY210" s="16"/>
      <c r="BZ210" s="16"/>
      <c r="CA210" s="16"/>
      <c r="CB210" s="16"/>
      <c r="CC210" s="16"/>
    </row>
    <row r="211" spans="1:81" ht="13.5" thickBot="1">
      <c r="A211" s="16"/>
      <c r="B211" s="16"/>
      <c r="C211" s="17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16"/>
      <c r="BD211" s="16"/>
      <c r="BE211" s="16"/>
      <c r="BF211" s="16"/>
      <c r="BG211" s="16"/>
      <c r="BH211" s="16"/>
      <c r="BI211" s="16"/>
      <c r="BJ211" s="16"/>
      <c r="BK211" s="16"/>
      <c r="BL211" s="16"/>
      <c r="BM211" s="16"/>
      <c r="BN211" s="16"/>
      <c r="BO211" s="16"/>
      <c r="BP211" s="16"/>
      <c r="BQ211" s="16"/>
      <c r="BR211" s="16"/>
      <c r="BS211" s="16"/>
      <c r="BT211" s="16"/>
      <c r="BU211" s="16"/>
      <c r="BV211" s="16"/>
      <c r="BW211" s="16"/>
      <c r="BX211" s="16"/>
      <c r="BY211" s="16"/>
      <c r="BZ211" s="16"/>
      <c r="CA211" s="16"/>
      <c r="CB211" s="16"/>
      <c r="CC211" s="16"/>
    </row>
    <row r="212" spans="1:81" ht="13.5" thickBot="1">
      <c r="A212" s="16"/>
      <c r="B212" s="16"/>
      <c r="C212" s="17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16"/>
      <c r="BD212" s="16"/>
      <c r="BE212" s="16"/>
      <c r="BF212" s="16"/>
      <c r="BG212" s="16"/>
      <c r="BH212" s="16"/>
      <c r="BI212" s="16"/>
      <c r="BJ212" s="16"/>
      <c r="BK212" s="16"/>
      <c r="BL212" s="16"/>
      <c r="BM212" s="16"/>
      <c r="BN212" s="16"/>
      <c r="BO212" s="16"/>
      <c r="BP212" s="16"/>
      <c r="BQ212" s="16"/>
      <c r="BR212" s="16"/>
      <c r="BS212" s="16"/>
      <c r="BT212" s="16"/>
      <c r="BU212" s="16"/>
      <c r="BV212" s="16"/>
      <c r="BW212" s="16"/>
      <c r="BX212" s="16"/>
      <c r="BY212" s="16"/>
      <c r="BZ212" s="16"/>
      <c r="CA212" s="16"/>
      <c r="CB212" s="16"/>
      <c r="CC212" s="16"/>
    </row>
    <row r="213" spans="1:81" ht="13.5" thickBot="1">
      <c r="A213" s="16"/>
      <c r="B213" s="16"/>
      <c r="C213" s="17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16"/>
      <c r="AV213" s="16"/>
      <c r="AW213" s="16"/>
      <c r="AX213" s="16"/>
      <c r="AY213" s="16"/>
      <c r="AZ213" s="16"/>
      <c r="BA213" s="16"/>
      <c r="BB213" s="16"/>
      <c r="BC213" s="16"/>
      <c r="BD213" s="16"/>
      <c r="BE213" s="16"/>
      <c r="BF213" s="16"/>
      <c r="BG213" s="16"/>
      <c r="BH213" s="16"/>
      <c r="BI213" s="16"/>
      <c r="BJ213" s="16"/>
      <c r="BK213" s="16"/>
      <c r="BL213" s="16"/>
      <c r="BM213" s="16"/>
      <c r="BN213" s="16"/>
      <c r="BO213" s="16"/>
      <c r="BP213" s="16"/>
      <c r="BQ213" s="16"/>
      <c r="BR213" s="16"/>
      <c r="BS213" s="16"/>
      <c r="BT213" s="16"/>
      <c r="BU213" s="16"/>
      <c r="BV213" s="16"/>
      <c r="BW213" s="16"/>
      <c r="BX213" s="16"/>
      <c r="BY213" s="16"/>
      <c r="BZ213" s="16"/>
      <c r="CA213" s="16"/>
      <c r="CB213" s="16"/>
      <c r="CC213" s="16"/>
    </row>
    <row r="214" spans="1:81" ht="13.5" thickBot="1">
      <c r="A214" s="16"/>
      <c r="B214" s="16"/>
      <c r="C214" s="17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  <c r="AX214" s="16"/>
      <c r="AY214" s="16"/>
      <c r="AZ214" s="16"/>
      <c r="BA214" s="16"/>
      <c r="BB214" s="16"/>
      <c r="BC214" s="16"/>
      <c r="BD214" s="16"/>
      <c r="BE214" s="16"/>
      <c r="BF214" s="16"/>
      <c r="BG214" s="16"/>
      <c r="BH214" s="16"/>
      <c r="BI214" s="16"/>
      <c r="BJ214" s="16"/>
      <c r="BK214" s="16"/>
      <c r="BL214" s="16"/>
      <c r="BM214" s="16"/>
      <c r="BN214" s="16"/>
      <c r="BO214" s="16"/>
      <c r="BP214" s="16"/>
      <c r="BQ214" s="16"/>
      <c r="BR214" s="16"/>
      <c r="BS214" s="16"/>
      <c r="BT214" s="16"/>
      <c r="BU214" s="16"/>
      <c r="BV214" s="16"/>
      <c r="BW214" s="16"/>
      <c r="BX214" s="16"/>
      <c r="BY214" s="16"/>
      <c r="BZ214" s="16"/>
      <c r="CA214" s="16"/>
      <c r="CB214" s="16"/>
      <c r="CC214" s="16"/>
    </row>
    <row r="215" spans="1:81" ht="13.5" thickBot="1">
      <c r="A215" s="16"/>
      <c r="B215" s="16"/>
      <c r="C215" s="17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16"/>
      <c r="BD215" s="16"/>
      <c r="BE215" s="16"/>
      <c r="BF215" s="16"/>
      <c r="BG215" s="16"/>
      <c r="BH215" s="16"/>
      <c r="BI215" s="16"/>
      <c r="BJ215" s="16"/>
      <c r="BK215" s="16"/>
      <c r="BL215" s="16"/>
      <c r="BM215" s="16"/>
      <c r="BN215" s="16"/>
      <c r="BO215" s="16"/>
      <c r="BP215" s="16"/>
      <c r="BQ215" s="16"/>
      <c r="BR215" s="16"/>
      <c r="BS215" s="16"/>
      <c r="BT215" s="16"/>
      <c r="BU215" s="16"/>
      <c r="BV215" s="16"/>
      <c r="BW215" s="16"/>
      <c r="BX215" s="16"/>
      <c r="BY215" s="16"/>
      <c r="BZ215" s="16"/>
      <c r="CA215" s="16"/>
      <c r="CB215" s="16"/>
      <c r="CC215" s="16"/>
    </row>
    <row r="216" spans="1:81" ht="13.5" thickBot="1">
      <c r="A216" s="16"/>
      <c r="B216" s="16"/>
      <c r="C216" s="17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16"/>
      <c r="CA216" s="16"/>
      <c r="CB216" s="16"/>
      <c r="CC216" s="16"/>
    </row>
    <row r="217" spans="1:81" ht="13.5" thickBot="1">
      <c r="A217" s="16"/>
      <c r="B217" s="16"/>
      <c r="C217" s="17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16"/>
      <c r="BD217" s="16"/>
      <c r="BE217" s="16"/>
      <c r="BF217" s="16"/>
      <c r="BG217" s="16"/>
      <c r="BH217" s="16"/>
      <c r="BI217" s="16"/>
      <c r="BJ217" s="16"/>
      <c r="BK217" s="16"/>
      <c r="BL217" s="16"/>
      <c r="BM217" s="16"/>
      <c r="BN217" s="16"/>
      <c r="BO217" s="16"/>
      <c r="BP217" s="16"/>
      <c r="BQ217" s="16"/>
      <c r="BR217" s="16"/>
      <c r="BS217" s="16"/>
      <c r="BT217" s="16"/>
      <c r="BU217" s="16"/>
      <c r="BV217" s="16"/>
      <c r="BW217" s="16"/>
      <c r="BX217" s="16"/>
      <c r="BY217" s="16"/>
      <c r="BZ217" s="16"/>
      <c r="CA217" s="16"/>
      <c r="CB217" s="16"/>
      <c r="CC217" s="16"/>
    </row>
    <row r="218" spans="1:81" ht="13.5" thickBot="1">
      <c r="A218" s="16"/>
      <c r="B218" s="16"/>
      <c r="C218" s="17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16"/>
      <c r="BD218" s="16"/>
      <c r="BE218" s="16"/>
      <c r="BF218" s="16"/>
      <c r="BG218" s="16"/>
      <c r="BH218" s="16"/>
      <c r="BI218" s="16"/>
      <c r="BJ218" s="16"/>
      <c r="BK218" s="16"/>
      <c r="BL218" s="16"/>
      <c r="BM218" s="16"/>
      <c r="BN218" s="16"/>
      <c r="BO218" s="16"/>
      <c r="BP218" s="16"/>
      <c r="BQ218" s="16"/>
      <c r="BR218" s="16"/>
      <c r="BS218" s="16"/>
      <c r="BT218" s="16"/>
      <c r="BU218" s="16"/>
      <c r="BV218" s="16"/>
      <c r="BW218" s="16"/>
      <c r="BX218" s="16"/>
      <c r="BY218" s="16"/>
      <c r="BZ218" s="16"/>
      <c r="CA218" s="16"/>
      <c r="CB218" s="16"/>
      <c r="CC218" s="16"/>
    </row>
    <row r="219" spans="1:81" ht="13.5" thickBot="1">
      <c r="A219" s="16"/>
      <c r="B219" s="16"/>
      <c r="C219" s="17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16"/>
      <c r="BD219" s="16"/>
      <c r="BE219" s="16"/>
      <c r="BF219" s="16"/>
      <c r="BG219" s="16"/>
      <c r="BH219" s="16"/>
      <c r="BI219" s="16"/>
      <c r="BJ219" s="16"/>
      <c r="BK219" s="16"/>
      <c r="BL219" s="16"/>
      <c r="BM219" s="16"/>
      <c r="BN219" s="16"/>
      <c r="BO219" s="16"/>
      <c r="BP219" s="16"/>
      <c r="BQ219" s="16"/>
      <c r="BR219" s="16"/>
      <c r="BS219" s="16"/>
      <c r="BT219" s="16"/>
      <c r="BU219" s="16"/>
      <c r="BV219" s="16"/>
      <c r="BW219" s="16"/>
      <c r="BX219" s="16"/>
      <c r="BY219" s="16"/>
      <c r="BZ219" s="16"/>
      <c r="CA219" s="16"/>
      <c r="CB219" s="16"/>
      <c r="CC219" s="16"/>
    </row>
    <row r="220" spans="1:81" ht="13.5" thickBot="1">
      <c r="A220" s="16"/>
      <c r="B220" s="16"/>
      <c r="C220" s="17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16"/>
      <c r="BD220" s="16"/>
      <c r="BE220" s="16"/>
      <c r="BF220" s="16"/>
      <c r="BG220" s="16"/>
      <c r="BH220" s="16"/>
      <c r="BI220" s="16"/>
      <c r="BJ220" s="16"/>
      <c r="BK220" s="16"/>
      <c r="BL220" s="16"/>
      <c r="BM220" s="16"/>
      <c r="BN220" s="16"/>
      <c r="BO220" s="16"/>
      <c r="BP220" s="16"/>
      <c r="BQ220" s="16"/>
      <c r="BR220" s="16"/>
      <c r="BS220" s="16"/>
      <c r="BT220" s="16"/>
      <c r="BU220" s="16"/>
      <c r="BV220" s="16"/>
      <c r="BW220" s="16"/>
      <c r="BX220" s="16"/>
      <c r="BY220" s="16"/>
      <c r="BZ220" s="16"/>
      <c r="CA220" s="16"/>
      <c r="CB220" s="16"/>
      <c r="CC220" s="16"/>
    </row>
    <row r="221" spans="1:81" ht="13.5" thickBot="1">
      <c r="A221" s="16"/>
      <c r="B221" s="16"/>
      <c r="C221" s="17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16"/>
      <c r="BD221" s="16"/>
      <c r="BE221" s="16"/>
      <c r="BF221" s="16"/>
      <c r="BG221" s="16"/>
      <c r="BH221" s="16"/>
      <c r="BI221" s="16"/>
      <c r="BJ221" s="16"/>
      <c r="BK221" s="16"/>
      <c r="BL221" s="16"/>
      <c r="BM221" s="16"/>
      <c r="BN221" s="16"/>
      <c r="BO221" s="16"/>
      <c r="BP221" s="16"/>
      <c r="BQ221" s="16"/>
      <c r="BR221" s="16"/>
      <c r="BS221" s="16"/>
      <c r="BT221" s="16"/>
      <c r="BU221" s="16"/>
      <c r="BV221" s="16"/>
      <c r="BW221" s="16"/>
      <c r="BX221" s="16"/>
      <c r="BY221" s="16"/>
      <c r="BZ221" s="16"/>
      <c r="CA221" s="16"/>
      <c r="CB221" s="16"/>
      <c r="CC221" s="16"/>
    </row>
    <row r="222" spans="1:81" ht="13.5" thickBot="1">
      <c r="A222" s="16"/>
      <c r="B222" s="16"/>
      <c r="C222" s="17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BC222" s="16"/>
      <c r="BD222" s="16"/>
      <c r="BE222" s="16"/>
      <c r="BF222" s="16"/>
      <c r="BG222" s="16"/>
      <c r="BH222" s="16"/>
      <c r="BI222" s="16"/>
      <c r="BJ222" s="16"/>
      <c r="BK222" s="16"/>
      <c r="BL222" s="16"/>
      <c r="BM222" s="16"/>
      <c r="BN222" s="16"/>
      <c r="BO222" s="16"/>
      <c r="BP222" s="16"/>
      <c r="BQ222" s="16"/>
      <c r="BR222" s="16"/>
      <c r="BS222" s="16"/>
      <c r="BT222" s="16"/>
      <c r="BU222" s="16"/>
      <c r="BV222" s="16"/>
      <c r="BW222" s="16"/>
      <c r="BX222" s="16"/>
      <c r="BY222" s="16"/>
      <c r="BZ222" s="16"/>
      <c r="CA222" s="16"/>
      <c r="CB222" s="16"/>
      <c r="CC222" s="16"/>
    </row>
    <row r="223" spans="1:81" ht="13.5" thickBot="1">
      <c r="A223" s="16"/>
      <c r="B223" s="16"/>
      <c r="C223" s="17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BC223" s="16"/>
      <c r="BD223" s="16"/>
      <c r="BE223" s="16"/>
      <c r="BF223" s="16"/>
      <c r="BG223" s="16"/>
      <c r="BH223" s="16"/>
      <c r="BI223" s="16"/>
      <c r="BJ223" s="16"/>
      <c r="BK223" s="16"/>
      <c r="BL223" s="16"/>
      <c r="BM223" s="16"/>
      <c r="BN223" s="16"/>
      <c r="BO223" s="16"/>
      <c r="BP223" s="16"/>
      <c r="BQ223" s="16"/>
      <c r="BR223" s="16"/>
      <c r="BS223" s="16"/>
      <c r="BT223" s="16"/>
      <c r="BU223" s="16"/>
      <c r="BV223" s="16"/>
      <c r="BW223" s="16"/>
      <c r="BX223" s="16"/>
      <c r="BY223" s="16"/>
      <c r="BZ223" s="16"/>
      <c r="CA223" s="16"/>
      <c r="CB223" s="16"/>
      <c r="CC223" s="16"/>
    </row>
    <row r="224" spans="1:81" ht="13.5" thickBot="1">
      <c r="A224" s="16"/>
      <c r="B224" s="16"/>
      <c r="C224" s="17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BC224" s="16"/>
      <c r="BD224" s="16"/>
      <c r="BE224" s="16"/>
      <c r="BF224" s="16"/>
      <c r="BG224" s="16"/>
      <c r="BH224" s="16"/>
      <c r="BI224" s="16"/>
      <c r="BJ224" s="16"/>
      <c r="BK224" s="16"/>
      <c r="BL224" s="16"/>
      <c r="BM224" s="16"/>
      <c r="BN224" s="16"/>
      <c r="BO224" s="16"/>
      <c r="BP224" s="16"/>
      <c r="BQ224" s="16"/>
      <c r="BR224" s="16"/>
      <c r="BS224" s="16"/>
      <c r="BT224" s="16"/>
      <c r="BU224" s="16"/>
      <c r="BV224" s="16"/>
      <c r="BW224" s="16"/>
      <c r="BX224" s="16"/>
      <c r="BY224" s="16"/>
      <c r="BZ224" s="16"/>
      <c r="CA224" s="16"/>
      <c r="CB224" s="16"/>
      <c r="CC224" s="16"/>
    </row>
    <row r="225" spans="1:81" ht="13.5" thickBot="1">
      <c r="A225" s="16"/>
      <c r="B225" s="16"/>
      <c r="C225" s="17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BC225" s="16"/>
      <c r="BD225" s="16"/>
      <c r="BE225" s="16"/>
      <c r="BF225" s="16"/>
      <c r="BG225" s="16"/>
      <c r="BH225" s="16"/>
      <c r="BI225" s="16"/>
      <c r="BJ225" s="16"/>
      <c r="BK225" s="16"/>
      <c r="BL225" s="16"/>
      <c r="BM225" s="16"/>
      <c r="BN225" s="16"/>
      <c r="BO225" s="16"/>
      <c r="BP225" s="16"/>
      <c r="BQ225" s="16"/>
      <c r="BR225" s="16"/>
      <c r="BS225" s="16"/>
      <c r="BT225" s="16"/>
      <c r="BU225" s="16"/>
      <c r="BV225" s="16"/>
      <c r="BW225" s="16"/>
      <c r="BX225" s="16"/>
      <c r="BY225" s="16"/>
      <c r="BZ225" s="16"/>
      <c r="CA225" s="16"/>
      <c r="CB225" s="16"/>
      <c r="CC225" s="16"/>
    </row>
    <row r="226" spans="1:81" ht="13.5" thickBot="1">
      <c r="A226" s="16"/>
      <c r="B226" s="16"/>
      <c r="C226" s="17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BC226" s="16"/>
      <c r="BD226" s="16"/>
      <c r="BE226" s="16"/>
      <c r="BF226" s="16"/>
      <c r="BG226" s="16"/>
      <c r="BH226" s="16"/>
      <c r="BI226" s="16"/>
      <c r="BJ226" s="16"/>
      <c r="BK226" s="16"/>
      <c r="BL226" s="16"/>
      <c r="BM226" s="16"/>
      <c r="BN226" s="16"/>
      <c r="BO226" s="16"/>
      <c r="BP226" s="16"/>
      <c r="BQ226" s="16"/>
      <c r="BR226" s="16"/>
      <c r="BS226" s="16"/>
      <c r="BT226" s="16"/>
      <c r="BU226" s="16"/>
      <c r="BV226" s="16"/>
      <c r="BW226" s="16"/>
      <c r="BX226" s="16"/>
      <c r="BY226" s="16"/>
      <c r="BZ226" s="16"/>
      <c r="CA226" s="16"/>
      <c r="CB226" s="16"/>
      <c r="CC226" s="16"/>
    </row>
    <row r="227" spans="1:81" ht="13.5" thickBot="1">
      <c r="A227" s="16"/>
      <c r="B227" s="16"/>
      <c r="C227" s="17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16"/>
      <c r="BD227" s="16"/>
      <c r="BE227" s="16"/>
      <c r="BF227" s="16"/>
      <c r="BG227" s="16"/>
      <c r="BH227" s="16"/>
      <c r="BI227" s="16"/>
      <c r="BJ227" s="16"/>
      <c r="BK227" s="16"/>
      <c r="BL227" s="16"/>
      <c r="BM227" s="16"/>
      <c r="BN227" s="16"/>
      <c r="BO227" s="16"/>
      <c r="BP227" s="16"/>
      <c r="BQ227" s="16"/>
      <c r="BR227" s="16"/>
      <c r="BS227" s="16"/>
      <c r="BT227" s="16"/>
      <c r="BU227" s="16"/>
      <c r="BV227" s="16"/>
      <c r="BW227" s="16"/>
      <c r="BX227" s="16"/>
      <c r="BY227" s="16"/>
      <c r="BZ227" s="16"/>
      <c r="CA227" s="16"/>
      <c r="CB227" s="16"/>
      <c r="CC227" s="16"/>
    </row>
    <row r="228" spans="1:81" ht="13.5" thickBot="1">
      <c r="A228" s="16"/>
      <c r="B228" s="16"/>
      <c r="C228" s="17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16"/>
      <c r="BD228" s="16"/>
      <c r="BE228" s="16"/>
      <c r="BF228" s="16"/>
      <c r="BG228" s="16"/>
      <c r="BH228" s="16"/>
      <c r="BI228" s="16"/>
      <c r="BJ228" s="16"/>
      <c r="BK228" s="16"/>
      <c r="BL228" s="16"/>
      <c r="BM228" s="16"/>
      <c r="BN228" s="16"/>
      <c r="BO228" s="16"/>
      <c r="BP228" s="16"/>
      <c r="BQ228" s="16"/>
      <c r="BR228" s="16"/>
      <c r="BS228" s="16"/>
      <c r="BT228" s="16"/>
      <c r="BU228" s="16"/>
      <c r="BV228" s="16"/>
      <c r="BW228" s="16"/>
      <c r="BX228" s="16"/>
      <c r="BY228" s="16"/>
      <c r="BZ228" s="16"/>
      <c r="CA228" s="16"/>
      <c r="CB228" s="16"/>
      <c r="CC228" s="16"/>
    </row>
    <row r="229" spans="1:81" ht="13.5" thickBot="1">
      <c r="A229" s="16"/>
      <c r="B229" s="16"/>
      <c r="C229" s="17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16"/>
      <c r="BD229" s="16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16"/>
      <c r="BQ229" s="16"/>
      <c r="BR229" s="16"/>
      <c r="BS229" s="16"/>
      <c r="BT229" s="16"/>
      <c r="BU229" s="16"/>
      <c r="BV229" s="16"/>
      <c r="BW229" s="16"/>
      <c r="BX229" s="16"/>
      <c r="BY229" s="16"/>
      <c r="BZ229" s="16"/>
      <c r="CA229" s="16"/>
      <c r="CB229" s="16"/>
      <c r="CC229" s="16"/>
    </row>
    <row r="230" spans="1:81" ht="13.5" thickBot="1">
      <c r="A230" s="16"/>
      <c r="B230" s="16"/>
      <c r="C230" s="17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  <c r="BB230" s="16"/>
      <c r="BC230" s="16"/>
      <c r="BD230" s="16"/>
      <c r="BE230" s="16"/>
      <c r="BF230" s="16"/>
      <c r="BG230" s="16"/>
      <c r="BH230" s="16"/>
      <c r="BI230" s="16"/>
      <c r="BJ230" s="16"/>
      <c r="BK230" s="16"/>
      <c r="BL230" s="16"/>
      <c r="BM230" s="16"/>
      <c r="BN230" s="16"/>
      <c r="BO230" s="16"/>
      <c r="BP230" s="16"/>
      <c r="BQ230" s="16"/>
      <c r="BR230" s="16"/>
      <c r="BS230" s="16"/>
      <c r="BT230" s="16"/>
      <c r="BU230" s="16"/>
      <c r="BV230" s="16"/>
      <c r="BW230" s="16"/>
      <c r="BX230" s="16"/>
      <c r="BY230" s="16"/>
      <c r="BZ230" s="16"/>
      <c r="CA230" s="16"/>
      <c r="CB230" s="16"/>
      <c r="CC230" s="16"/>
    </row>
    <row r="231" spans="1:81" ht="13.5" thickBot="1">
      <c r="A231" s="16"/>
      <c r="B231" s="16"/>
      <c r="C231" s="17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C231" s="16"/>
      <c r="BD231" s="16"/>
      <c r="BE231" s="16"/>
      <c r="BF231" s="16"/>
      <c r="BG231" s="16"/>
      <c r="BH231" s="16"/>
      <c r="BI231" s="16"/>
      <c r="BJ231" s="16"/>
      <c r="BK231" s="16"/>
      <c r="BL231" s="16"/>
      <c r="BM231" s="16"/>
      <c r="BN231" s="16"/>
      <c r="BO231" s="16"/>
      <c r="BP231" s="16"/>
      <c r="BQ231" s="16"/>
      <c r="BR231" s="16"/>
      <c r="BS231" s="16"/>
      <c r="BT231" s="16"/>
      <c r="BU231" s="16"/>
      <c r="BV231" s="16"/>
      <c r="BW231" s="16"/>
      <c r="BX231" s="16"/>
      <c r="BY231" s="16"/>
      <c r="BZ231" s="16"/>
      <c r="CA231" s="16"/>
      <c r="CB231" s="16"/>
      <c r="CC231" s="16"/>
    </row>
    <row r="232" spans="1:81" ht="13.5" thickBot="1">
      <c r="A232" s="16"/>
      <c r="B232" s="16"/>
      <c r="C232" s="17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C232" s="16"/>
      <c r="BD232" s="16"/>
      <c r="BE232" s="16"/>
      <c r="BF232" s="16"/>
      <c r="BG232" s="16"/>
      <c r="BH232" s="16"/>
      <c r="BI232" s="16"/>
      <c r="BJ232" s="16"/>
      <c r="BK232" s="16"/>
      <c r="BL232" s="16"/>
      <c r="BM232" s="16"/>
      <c r="BN232" s="16"/>
      <c r="BO232" s="16"/>
      <c r="BP232" s="16"/>
      <c r="BQ232" s="16"/>
      <c r="BR232" s="16"/>
      <c r="BS232" s="16"/>
      <c r="BT232" s="16"/>
      <c r="BU232" s="16"/>
      <c r="BV232" s="16"/>
      <c r="BW232" s="16"/>
      <c r="BX232" s="16"/>
      <c r="BY232" s="16"/>
      <c r="BZ232" s="16"/>
      <c r="CA232" s="16"/>
      <c r="CB232" s="16"/>
      <c r="CC232" s="16"/>
    </row>
    <row r="233" spans="1:81" ht="13.5" thickBot="1">
      <c r="A233" s="16"/>
      <c r="B233" s="16"/>
      <c r="C233" s="17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C233" s="16"/>
      <c r="BD233" s="16"/>
      <c r="BE233" s="16"/>
      <c r="BF233" s="16"/>
      <c r="BG233" s="16"/>
      <c r="BH233" s="16"/>
      <c r="BI233" s="16"/>
      <c r="BJ233" s="16"/>
      <c r="BK233" s="16"/>
      <c r="BL233" s="16"/>
      <c r="BM233" s="16"/>
      <c r="BN233" s="16"/>
      <c r="BO233" s="16"/>
      <c r="BP233" s="16"/>
      <c r="BQ233" s="16"/>
      <c r="BR233" s="16"/>
      <c r="BS233" s="16"/>
      <c r="BT233" s="16"/>
      <c r="BU233" s="16"/>
      <c r="BV233" s="16"/>
      <c r="BW233" s="16"/>
      <c r="BX233" s="16"/>
      <c r="BY233" s="16"/>
      <c r="BZ233" s="16"/>
      <c r="CA233" s="16"/>
      <c r="CB233" s="16"/>
      <c r="CC233" s="16"/>
    </row>
    <row r="234" spans="1:81" ht="13.5" thickBot="1">
      <c r="A234" s="16"/>
      <c r="B234" s="16"/>
      <c r="C234" s="17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  <c r="AU234" s="16"/>
      <c r="AV234" s="16"/>
      <c r="AW234" s="16"/>
      <c r="AX234" s="16"/>
      <c r="AY234" s="16"/>
      <c r="AZ234" s="16"/>
      <c r="BA234" s="16"/>
      <c r="BB234" s="16"/>
      <c r="BC234" s="16"/>
      <c r="BD234" s="16"/>
      <c r="BE234" s="16"/>
      <c r="BF234" s="16"/>
      <c r="BG234" s="16"/>
      <c r="BH234" s="16"/>
      <c r="BI234" s="16"/>
      <c r="BJ234" s="16"/>
      <c r="BK234" s="16"/>
      <c r="BL234" s="16"/>
      <c r="BM234" s="16"/>
      <c r="BN234" s="16"/>
      <c r="BO234" s="16"/>
      <c r="BP234" s="16"/>
      <c r="BQ234" s="16"/>
      <c r="BR234" s="16"/>
      <c r="BS234" s="16"/>
      <c r="BT234" s="16"/>
      <c r="BU234" s="16"/>
      <c r="BV234" s="16"/>
      <c r="BW234" s="16"/>
      <c r="BX234" s="16"/>
      <c r="BY234" s="16"/>
      <c r="BZ234" s="16"/>
      <c r="CA234" s="16"/>
      <c r="CB234" s="16"/>
      <c r="CC234" s="16"/>
    </row>
    <row r="235" spans="1:81" ht="13.5" thickBot="1">
      <c r="A235" s="16"/>
      <c r="B235" s="16"/>
      <c r="C235" s="17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C235" s="16"/>
      <c r="BD235" s="16"/>
      <c r="BE235" s="16"/>
      <c r="BF235" s="16"/>
      <c r="BG235" s="16"/>
      <c r="BH235" s="16"/>
      <c r="BI235" s="16"/>
      <c r="BJ235" s="16"/>
      <c r="BK235" s="16"/>
      <c r="BL235" s="16"/>
      <c r="BM235" s="16"/>
      <c r="BN235" s="16"/>
      <c r="BO235" s="16"/>
      <c r="BP235" s="16"/>
      <c r="BQ235" s="16"/>
      <c r="BR235" s="16"/>
      <c r="BS235" s="16"/>
      <c r="BT235" s="16"/>
      <c r="BU235" s="16"/>
      <c r="BV235" s="16"/>
      <c r="BW235" s="16"/>
      <c r="BX235" s="16"/>
      <c r="BY235" s="16"/>
      <c r="BZ235" s="16"/>
      <c r="CA235" s="16"/>
      <c r="CB235" s="16"/>
      <c r="CC235" s="16"/>
    </row>
    <row r="236" spans="1:81" ht="13.5" thickBot="1">
      <c r="A236" s="16"/>
      <c r="B236" s="16"/>
      <c r="C236" s="17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  <c r="AU236" s="16"/>
      <c r="AV236" s="16"/>
      <c r="AW236" s="16"/>
      <c r="AX236" s="16"/>
      <c r="AY236" s="16"/>
      <c r="AZ236" s="16"/>
      <c r="BA236" s="16"/>
      <c r="BB236" s="16"/>
      <c r="BC236" s="16"/>
      <c r="BD236" s="16"/>
      <c r="BE236" s="16"/>
      <c r="BF236" s="16"/>
      <c r="BG236" s="16"/>
      <c r="BH236" s="16"/>
      <c r="BI236" s="16"/>
      <c r="BJ236" s="16"/>
      <c r="BK236" s="16"/>
      <c r="BL236" s="16"/>
      <c r="BM236" s="16"/>
      <c r="BN236" s="16"/>
      <c r="BO236" s="16"/>
      <c r="BP236" s="16"/>
      <c r="BQ236" s="16"/>
      <c r="BR236" s="16"/>
      <c r="BS236" s="16"/>
      <c r="BT236" s="16"/>
      <c r="BU236" s="16"/>
      <c r="BV236" s="16"/>
      <c r="BW236" s="16"/>
      <c r="BX236" s="16"/>
      <c r="BY236" s="16"/>
      <c r="BZ236" s="16"/>
      <c r="CA236" s="16"/>
      <c r="CB236" s="16"/>
      <c r="CC236" s="16"/>
    </row>
    <row r="237" spans="1:81" ht="13.5" thickBot="1">
      <c r="A237" s="16"/>
      <c r="B237" s="16"/>
      <c r="C237" s="17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  <c r="AU237" s="16"/>
      <c r="AV237" s="16"/>
      <c r="AW237" s="16"/>
      <c r="AX237" s="16"/>
      <c r="AY237" s="16"/>
      <c r="AZ237" s="16"/>
      <c r="BA237" s="16"/>
      <c r="BB237" s="16"/>
      <c r="BC237" s="16"/>
      <c r="BD237" s="16"/>
      <c r="BE237" s="16"/>
      <c r="BF237" s="16"/>
      <c r="BG237" s="16"/>
      <c r="BH237" s="16"/>
      <c r="BI237" s="16"/>
      <c r="BJ237" s="16"/>
      <c r="BK237" s="16"/>
      <c r="BL237" s="16"/>
      <c r="BM237" s="16"/>
      <c r="BN237" s="16"/>
      <c r="BO237" s="16"/>
      <c r="BP237" s="16"/>
      <c r="BQ237" s="16"/>
      <c r="BR237" s="16"/>
      <c r="BS237" s="16"/>
      <c r="BT237" s="16"/>
      <c r="BU237" s="16"/>
      <c r="BV237" s="16"/>
      <c r="BW237" s="16"/>
      <c r="BX237" s="16"/>
      <c r="BY237" s="16"/>
      <c r="BZ237" s="16"/>
      <c r="CA237" s="16"/>
      <c r="CB237" s="16"/>
      <c r="CC237" s="16"/>
    </row>
    <row r="238" spans="1:81" ht="13.5" thickBot="1">
      <c r="A238" s="16"/>
      <c r="B238" s="16"/>
      <c r="C238" s="17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C238" s="16"/>
      <c r="BD238" s="16"/>
      <c r="BE238" s="16"/>
      <c r="BF238" s="16"/>
      <c r="BG238" s="16"/>
      <c r="BH238" s="16"/>
      <c r="BI238" s="16"/>
      <c r="BJ238" s="16"/>
      <c r="BK238" s="16"/>
      <c r="BL238" s="16"/>
      <c r="BM238" s="16"/>
      <c r="BN238" s="16"/>
      <c r="BO238" s="16"/>
      <c r="BP238" s="16"/>
      <c r="BQ238" s="16"/>
      <c r="BR238" s="16"/>
      <c r="BS238" s="16"/>
      <c r="BT238" s="16"/>
      <c r="BU238" s="16"/>
      <c r="BV238" s="16"/>
      <c r="BW238" s="16"/>
      <c r="BX238" s="16"/>
      <c r="BY238" s="16"/>
      <c r="BZ238" s="16"/>
      <c r="CA238" s="16"/>
      <c r="CB238" s="16"/>
      <c r="CC238" s="16"/>
    </row>
    <row r="239" spans="1:81" ht="13.5" thickBot="1">
      <c r="A239" s="16"/>
      <c r="B239" s="16"/>
      <c r="C239" s="17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  <c r="AU239" s="16"/>
      <c r="AV239" s="16"/>
      <c r="AW239" s="16"/>
      <c r="AX239" s="16"/>
      <c r="AY239" s="16"/>
      <c r="AZ239" s="16"/>
      <c r="BA239" s="16"/>
      <c r="BB239" s="16"/>
      <c r="BC239" s="16"/>
      <c r="BD239" s="16"/>
      <c r="BE239" s="16"/>
      <c r="BF239" s="16"/>
      <c r="BG239" s="16"/>
      <c r="BH239" s="16"/>
      <c r="BI239" s="16"/>
      <c r="BJ239" s="16"/>
      <c r="BK239" s="16"/>
      <c r="BL239" s="16"/>
      <c r="BM239" s="16"/>
      <c r="BN239" s="16"/>
      <c r="BO239" s="16"/>
      <c r="BP239" s="16"/>
      <c r="BQ239" s="16"/>
      <c r="BR239" s="16"/>
      <c r="BS239" s="16"/>
      <c r="BT239" s="16"/>
      <c r="BU239" s="16"/>
      <c r="BV239" s="16"/>
      <c r="BW239" s="16"/>
      <c r="BX239" s="16"/>
      <c r="BY239" s="16"/>
      <c r="BZ239" s="16"/>
      <c r="CA239" s="16"/>
      <c r="CB239" s="16"/>
      <c r="CC239" s="16"/>
    </row>
    <row r="240" spans="1:81" ht="13.5" thickBot="1">
      <c r="A240" s="16"/>
      <c r="B240" s="16"/>
      <c r="C240" s="17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BC240" s="16"/>
      <c r="BD240" s="16"/>
      <c r="BE240" s="16"/>
      <c r="BF240" s="16"/>
      <c r="BG240" s="16"/>
      <c r="BH240" s="16"/>
      <c r="BI240" s="16"/>
      <c r="BJ240" s="16"/>
      <c r="BK240" s="16"/>
      <c r="BL240" s="16"/>
      <c r="BM240" s="16"/>
      <c r="BN240" s="16"/>
      <c r="BO240" s="16"/>
      <c r="BP240" s="16"/>
      <c r="BQ240" s="16"/>
      <c r="BR240" s="16"/>
      <c r="BS240" s="16"/>
      <c r="BT240" s="16"/>
      <c r="BU240" s="16"/>
      <c r="BV240" s="16"/>
      <c r="BW240" s="16"/>
      <c r="BX240" s="16"/>
      <c r="BY240" s="16"/>
      <c r="BZ240" s="16"/>
      <c r="CA240" s="16"/>
      <c r="CB240" s="16"/>
      <c r="CC240" s="16"/>
    </row>
    <row r="241" spans="1:81" ht="13.5" thickBot="1">
      <c r="A241" s="16"/>
      <c r="B241" s="16"/>
      <c r="C241" s="17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C241" s="16"/>
      <c r="BD241" s="16"/>
      <c r="BE241" s="16"/>
      <c r="BF241" s="16"/>
      <c r="BG241" s="16"/>
      <c r="BH241" s="16"/>
      <c r="BI241" s="16"/>
      <c r="BJ241" s="16"/>
      <c r="BK241" s="16"/>
      <c r="BL241" s="16"/>
      <c r="BM241" s="16"/>
      <c r="BN241" s="16"/>
      <c r="BO241" s="16"/>
      <c r="BP241" s="16"/>
      <c r="BQ241" s="16"/>
      <c r="BR241" s="16"/>
      <c r="BS241" s="16"/>
      <c r="BT241" s="16"/>
      <c r="BU241" s="16"/>
      <c r="BV241" s="16"/>
      <c r="BW241" s="16"/>
      <c r="BX241" s="16"/>
      <c r="BY241" s="16"/>
      <c r="BZ241" s="16"/>
      <c r="CA241" s="16"/>
      <c r="CB241" s="16"/>
      <c r="CC241" s="16"/>
    </row>
    <row r="242" spans="1:81" ht="13.5" thickBot="1">
      <c r="A242" s="16"/>
      <c r="B242" s="16"/>
      <c r="C242" s="17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C242" s="16"/>
      <c r="BD242" s="16"/>
      <c r="BE242" s="16"/>
      <c r="BF242" s="16"/>
      <c r="BG242" s="16"/>
      <c r="BH242" s="16"/>
      <c r="BI242" s="16"/>
      <c r="BJ242" s="16"/>
      <c r="BK242" s="16"/>
      <c r="BL242" s="16"/>
      <c r="BM242" s="16"/>
      <c r="BN242" s="16"/>
      <c r="BO242" s="16"/>
      <c r="BP242" s="16"/>
      <c r="BQ242" s="16"/>
      <c r="BR242" s="16"/>
      <c r="BS242" s="16"/>
      <c r="BT242" s="16"/>
      <c r="BU242" s="16"/>
      <c r="BV242" s="16"/>
      <c r="BW242" s="16"/>
      <c r="BX242" s="16"/>
      <c r="BY242" s="16"/>
      <c r="BZ242" s="16"/>
      <c r="CA242" s="16"/>
      <c r="CB242" s="16"/>
      <c r="CC242" s="16"/>
    </row>
    <row r="243" spans="1:81" ht="13.5" thickBot="1">
      <c r="A243" s="16"/>
      <c r="B243" s="16"/>
      <c r="C243" s="17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C243" s="16"/>
      <c r="BD243" s="16"/>
      <c r="BE243" s="16"/>
      <c r="BF243" s="16"/>
      <c r="BG243" s="16"/>
      <c r="BH243" s="16"/>
      <c r="BI243" s="16"/>
      <c r="BJ243" s="16"/>
      <c r="BK243" s="16"/>
      <c r="BL243" s="16"/>
      <c r="BM243" s="16"/>
      <c r="BN243" s="16"/>
      <c r="BO243" s="16"/>
      <c r="BP243" s="16"/>
      <c r="BQ243" s="16"/>
      <c r="BR243" s="16"/>
      <c r="BS243" s="16"/>
      <c r="BT243" s="16"/>
      <c r="BU243" s="16"/>
      <c r="BV243" s="16"/>
      <c r="BW243" s="16"/>
      <c r="BX243" s="16"/>
      <c r="BY243" s="16"/>
      <c r="BZ243" s="16"/>
      <c r="CA243" s="16"/>
      <c r="CB243" s="16"/>
      <c r="CC243" s="16"/>
    </row>
    <row r="244" spans="1:81" ht="13.5" thickBot="1">
      <c r="A244" s="16"/>
      <c r="B244" s="16"/>
      <c r="C244" s="17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C244" s="16"/>
      <c r="BD244" s="16"/>
      <c r="BE244" s="16"/>
      <c r="BF244" s="16"/>
      <c r="BG244" s="16"/>
      <c r="BH244" s="16"/>
      <c r="BI244" s="16"/>
      <c r="BJ244" s="16"/>
      <c r="BK244" s="16"/>
      <c r="BL244" s="16"/>
      <c r="BM244" s="16"/>
      <c r="BN244" s="16"/>
      <c r="BO244" s="16"/>
      <c r="BP244" s="16"/>
      <c r="BQ244" s="16"/>
      <c r="BR244" s="16"/>
      <c r="BS244" s="16"/>
      <c r="BT244" s="16"/>
      <c r="BU244" s="16"/>
      <c r="BV244" s="16"/>
      <c r="BW244" s="16"/>
      <c r="BX244" s="16"/>
      <c r="BY244" s="16"/>
      <c r="BZ244" s="16"/>
      <c r="CA244" s="16"/>
      <c r="CB244" s="16"/>
      <c r="CC244" s="16"/>
    </row>
    <row r="245" spans="1:81" ht="13.5" thickBot="1">
      <c r="A245" s="16"/>
      <c r="B245" s="16"/>
      <c r="C245" s="17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  <c r="AW245" s="16"/>
      <c r="AX245" s="16"/>
      <c r="AY245" s="16"/>
      <c r="AZ245" s="16"/>
      <c r="BA245" s="16"/>
      <c r="BB245" s="16"/>
      <c r="BC245" s="16"/>
      <c r="BD245" s="16"/>
      <c r="BE245" s="16"/>
      <c r="BF245" s="16"/>
      <c r="BG245" s="16"/>
      <c r="BH245" s="16"/>
      <c r="BI245" s="16"/>
      <c r="BJ245" s="16"/>
      <c r="BK245" s="16"/>
      <c r="BL245" s="16"/>
      <c r="BM245" s="16"/>
      <c r="BN245" s="16"/>
      <c r="BO245" s="16"/>
      <c r="BP245" s="16"/>
      <c r="BQ245" s="16"/>
      <c r="BR245" s="16"/>
      <c r="BS245" s="16"/>
      <c r="BT245" s="16"/>
      <c r="BU245" s="16"/>
      <c r="BV245" s="16"/>
      <c r="BW245" s="16"/>
      <c r="BX245" s="16"/>
      <c r="BY245" s="16"/>
      <c r="BZ245" s="16"/>
      <c r="CA245" s="16"/>
      <c r="CB245" s="16"/>
      <c r="CC245" s="16"/>
    </row>
    <row r="246" spans="1:81" ht="13.5" thickBot="1">
      <c r="A246" s="16"/>
      <c r="B246" s="16"/>
      <c r="C246" s="17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BC246" s="16"/>
      <c r="BD246" s="16"/>
      <c r="BE246" s="16"/>
      <c r="BF246" s="16"/>
      <c r="BG246" s="16"/>
      <c r="BH246" s="16"/>
      <c r="BI246" s="16"/>
      <c r="BJ246" s="16"/>
      <c r="BK246" s="16"/>
      <c r="BL246" s="16"/>
      <c r="BM246" s="16"/>
      <c r="BN246" s="16"/>
      <c r="BO246" s="16"/>
      <c r="BP246" s="16"/>
      <c r="BQ246" s="16"/>
      <c r="BR246" s="16"/>
      <c r="BS246" s="16"/>
      <c r="BT246" s="16"/>
      <c r="BU246" s="16"/>
      <c r="BV246" s="16"/>
      <c r="BW246" s="16"/>
      <c r="BX246" s="16"/>
      <c r="BY246" s="16"/>
      <c r="BZ246" s="16"/>
      <c r="CA246" s="16"/>
      <c r="CB246" s="16"/>
      <c r="CC246" s="16"/>
    </row>
    <row r="247" spans="1:81" ht="13.5" thickBot="1">
      <c r="A247" s="16"/>
      <c r="B247" s="16"/>
      <c r="C247" s="17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C247" s="16"/>
      <c r="BD247" s="16"/>
      <c r="BE247" s="16"/>
      <c r="BF247" s="16"/>
      <c r="BG247" s="16"/>
      <c r="BH247" s="16"/>
      <c r="BI247" s="16"/>
      <c r="BJ247" s="16"/>
      <c r="BK247" s="16"/>
      <c r="BL247" s="16"/>
      <c r="BM247" s="16"/>
      <c r="BN247" s="16"/>
      <c r="BO247" s="16"/>
      <c r="BP247" s="16"/>
      <c r="BQ247" s="16"/>
      <c r="BR247" s="16"/>
      <c r="BS247" s="16"/>
      <c r="BT247" s="16"/>
      <c r="BU247" s="16"/>
      <c r="BV247" s="16"/>
      <c r="BW247" s="16"/>
      <c r="BX247" s="16"/>
      <c r="BY247" s="16"/>
      <c r="BZ247" s="16"/>
      <c r="CA247" s="16"/>
      <c r="CB247" s="16"/>
      <c r="CC247" s="16"/>
    </row>
    <row r="248" spans="1:81" ht="13.5" thickBot="1">
      <c r="A248" s="16"/>
      <c r="B248" s="16"/>
      <c r="C248" s="17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  <c r="AU248" s="16"/>
      <c r="AV248" s="16"/>
      <c r="AW248" s="16"/>
      <c r="AX248" s="16"/>
      <c r="AY248" s="16"/>
      <c r="AZ248" s="16"/>
      <c r="BA248" s="16"/>
      <c r="BB248" s="16"/>
      <c r="BC248" s="16"/>
      <c r="BD248" s="16"/>
      <c r="BE248" s="16"/>
      <c r="BF248" s="16"/>
      <c r="BG248" s="16"/>
      <c r="BH248" s="16"/>
      <c r="BI248" s="16"/>
      <c r="BJ248" s="16"/>
      <c r="BK248" s="16"/>
      <c r="BL248" s="16"/>
      <c r="BM248" s="16"/>
      <c r="BN248" s="16"/>
      <c r="BO248" s="16"/>
      <c r="BP248" s="16"/>
      <c r="BQ248" s="16"/>
      <c r="BR248" s="16"/>
      <c r="BS248" s="16"/>
      <c r="BT248" s="16"/>
      <c r="BU248" s="16"/>
      <c r="BV248" s="16"/>
      <c r="BW248" s="16"/>
      <c r="BX248" s="16"/>
      <c r="BY248" s="16"/>
      <c r="BZ248" s="16"/>
      <c r="CA248" s="16"/>
      <c r="CB248" s="16"/>
      <c r="CC248" s="16"/>
    </row>
    <row r="249" spans="1:81" ht="13.5" thickBot="1">
      <c r="A249" s="16"/>
      <c r="B249" s="16"/>
      <c r="C249" s="17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BC249" s="16"/>
      <c r="BD249" s="16"/>
      <c r="BE249" s="16"/>
      <c r="BF249" s="16"/>
      <c r="BG249" s="16"/>
      <c r="BH249" s="16"/>
      <c r="BI249" s="16"/>
      <c r="BJ249" s="16"/>
      <c r="BK249" s="16"/>
      <c r="BL249" s="16"/>
      <c r="BM249" s="16"/>
      <c r="BN249" s="16"/>
      <c r="BO249" s="16"/>
      <c r="BP249" s="16"/>
      <c r="BQ249" s="16"/>
      <c r="BR249" s="16"/>
      <c r="BS249" s="16"/>
      <c r="BT249" s="16"/>
      <c r="BU249" s="16"/>
      <c r="BV249" s="16"/>
      <c r="BW249" s="16"/>
      <c r="BX249" s="16"/>
      <c r="BY249" s="16"/>
      <c r="BZ249" s="16"/>
      <c r="CA249" s="16"/>
      <c r="CB249" s="16"/>
      <c r="CC249" s="16"/>
    </row>
    <row r="250" spans="1:81" ht="13.5" thickBot="1">
      <c r="A250" s="16"/>
      <c r="B250" s="16"/>
      <c r="C250" s="17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16"/>
      <c r="AW250" s="16"/>
      <c r="AX250" s="16"/>
      <c r="AY250" s="16"/>
      <c r="AZ250" s="16"/>
      <c r="BA250" s="16"/>
      <c r="BB250" s="16"/>
      <c r="BC250" s="16"/>
      <c r="BD250" s="16"/>
      <c r="BE250" s="16"/>
      <c r="BF250" s="16"/>
      <c r="BG250" s="16"/>
      <c r="BH250" s="16"/>
      <c r="BI250" s="16"/>
      <c r="BJ250" s="16"/>
      <c r="BK250" s="16"/>
      <c r="BL250" s="16"/>
      <c r="BM250" s="16"/>
      <c r="BN250" s="16"/>
      <c r="BO250" s="16"/>
      <c r="BP250" s="16"/>
      <c r="BQ250" s="16"/>
      <c r="BR250" s="16"/>
      <c r="BS250" s="16"/>
      <c r="BT250" s="16"/>
      <c r="BU250" s="16"/>
      <c r="BV250" s="16"/>
      <c r="BW250" s="16"/>
      <c r="BX250" s="16"/>
      <c r="BY250" s="16"/>
      <c r="BZ250" s="16"/>
      <c r="CA250" s="16"/>
      <c r="CB250" s="16"/>
      <c r="CC250" s="16"/>
    </row>
    <row r="251" spans="1:81" ht="13.5" thickBot="1">
      <c r="A251" s="16"/>
      <c r="B251" s="16"/>
      <c r="C251" s="17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  <c r="BB251" s="16"/>
      <c r="BC251" s="16"/>
      <c r="BD251" s="16"/>
      <c r="BE251" s="16"/>
      <c r="BF251" s="16"/>
      <c r="BG251" s="16"/>
      <c r="BH251" s="16"/>
      <c r="BI251" s="16"/>
      <c r="BJ251" s="16"/>
      <c r="BK251" s="16"/>
      <c r="BL251" s="16"/>
      <c r="BM251" s="16"/>
      <c r="BN251" s="16"/>
      <c r="BO251" s="16"/>
      <c r="BP251" s="16"/>
      <c r="BQ251" s="16"/>
      <c r="BR251" s="16"/>
      <c r="BS251" s="16"/>
      <c r="BT251" s="16"/>
      <c r="BU251" s="16"/>
      <c r="BV251" s="16"/>
      <c r="BW251" s="16"/>
      <c r="BX251" s="16"/>
      <c r="BY251" s="16"/>
      <c r="BZ251" s="16"/>
      <c r="CA251" s="16"/>
      <c r="CB251" s="16"/>
      <c r="CC251" s="16"/>
    </row>
    <row r="252" spans="1:81" ht="13.5" thickBot="1">
      <c r="A252" s="16"/>
      <c r="B252" s="16"/>
      <c r="C252" s="17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16"/>
      <c r="BD252" s="16"/>
      <c r="BE252" s="16"/>
      <c r="BF252" s="16"/>
      <c r="BG252" s="16"/>
      <c r="BH252" s="16"/>
      <c r="BI252" s="16"/>
      <c r="BJ252" s="16"/>
      <c r="BK252" s="16"/>
      <c r="BL252" s="16"/>
      <c r="BM252" s="16"/>
      <c r="BN252" s="16"/>
      <c r="BO252" s="16"/>
      <c r="BP252" s="16"/>
      <c r="BQ252" s="16"/>
      <c r="BR252" s="16"/>
      <c r="BS252" s="16"/>
      <c r="BT252" s="16"/>
      <c r="BU252" s="16"/>
      <c r="BV252" s="16"/>
      <c r="BW252" s="16"/>
      <c r="BX252" s="16"/>
      <c r="BY252" s="16"/>
      <c r="BZ252" s="16"/>
      <c r="CA252" s="16"/>
      <c r="CB252" s="16"/>
      <c r="CC252" s="16"/>
    </row>
    <row r="253" spans="1:81" ht="13.5" thickBot="1">
      <c r="A253" s="16"/>
      <c r="B253" s="16"/>
      <c r="C253" s="17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  <c r="AW253" s="16"/>
      <c r="AX253" s="16"/>
      <c r="AY253" s="16"/>
      <c r="AZ253" s="16"/>
      <c r="BA253" s="16"/>
      <c r="BB253" s="16"/>
      <c r="BC253" s="16"/>
      <c r="BD253" s="16"/>
      <c r="BE253" s="16"/>
      <c r="BF253" s="16"/>
      <c r="BG253" s="16"/>
      <c r="BH253" s="16"/>
      <c r="BI253" s="16"/>
      <c r="BJ253" s="16"/>
      <c r="BK253" s="16"/>
      <c r="BL253" s="16"/>
      <c r="BM253" s="16"/>
      <c r="BN253" s="16"/>
      <c r="BO253" s="16"/>
      <c r="BP253" s="16"/>
      <c r="BQ253" s="16"/>
      <c r="BR253" s="16"/>
      <c r="BS253" s="16"/>
      <c r="BT253" s="16"/>
      <c r="BU253" s="16"/>
      <c r="BV253" s="16"/>
      <c r="BW253" s="16"/>
      <c r="BX253" s="16"/>
      <c r="BY253" s="16"/>
      <c r="BZ253" s="16"/>
      <c r="CA253" s="16"/>
      <c r="CB253" s="16"/>
      <c r="CC253" s="16"/>
    </row>
    <row r="254" spans="1:81" ht="13.5" thickBot="1">
      <c r="A254" s="16"/>
      <c r="B254" s="16"/>
      <c r="C254" s="17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C254" s="16"/>
      <c r="BD254" s="16"/>
      <c r="BE254" s="16"/>
      <c r="BF254" s="16"/>
      <c r="BG254" s="16"/>
      <c r="BH254" s="16"/>
      <c r="BI254" s="16"/>
      <c r="BJ254" s="16"/>
      <c r="BK254" s="16"/>
      <c r="BL254" s="16"/>
      <c r="BM254" s="16"/>
      <c r="BN254" s="16"/>
      <c r="BO254" s="16"/>
      <c r="BP254" s="16"/>
      <c r="BQ254" s="16"/>
      <c r="BR254" s="16"/>
      <c r="BS254" s="16"/>
      <c r="BT254" s="16"/>
      <c r="BU254" s="16"/>
      <c r="BV254" s="16"/>
      <c r="BW254" s="16"/>
      <c r="BX254" s="16"/>
      <c r="BY254" s="16"/>
      <c r="BZ254" s="16"/>
      <c r="CA254" s="16"/>
      <c r="CB254" s="16"/>
      <c r="CC254" s="16"/>
    </row>
    <row r="255" spans="1:81" ht="13.5" thickBot="1">
      <c r="A255" s="16"/>
      <c r="B255" s="16"/>
      <c r="C255" s="17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BC255" s="16"/>
      <c r="BD255" s="16"/>
      <c r="BE255" s="16"/>
      <c r="BF255" s="16"/>
      <c r="BG255" s="16"/>
      <c r="BH255" s="16"/>
      <c r="BI255" s="16"/>
      <c r="BJ255" s="16"/>
      <c r="BK255" s="16"/>
      <c r="BL255" s="16"/>
      <c r="BM255" s="16"/>
      <c r="BN255" s="16"/>
      <c r="BO255" s="16"/>
      <c r="BP255" s="16"/>
      <c r="BQ255" s="16"/>
      <c r="BR255" s="16"/>
      <c r="BS255" s="16"/>
      <c r="BT255" s="16"/>
      <c r="BU255" s="16"/>
      <c r="BV255" s="16"/>
      <c r="BW255" s="16"/>
      <c r="BX255" s="16"/>
      <c r="BY255" s="16"/>
      <c r="BZ255" s="16"/>
      <c r="CA255" s="16"/>
      <c r="CB255" s="16"/>
      <c r="CC255" s="16"/>
    </row>
    <row r="256" spans="1:81" ht="13.5" thickBot="1">
      <c r="A256" s="16"/>
      <c r="B256" s="16"/>
      <c r="C256" s="17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C256" s="16"/>
      <c r="BD256" s="16"/>
      <c r="BE256" s="16"/>
      <c r="BF256" s="16"/>
      <c r="BG256" s="16"/>
      <c r="BH256" s="16"/>
      <c r="BI256" s="16"/>
      <c r="BJ256" s="16"/>
      <c r="BK256" s="16"/>
      <c r="BL256" s="16"/>
      <c r="BM256" s="16"/>
      <c r="BN256" s="16"/>
      <c r="BO256" s="16"/>
      <c r="BP256" s="16"/>
      <c r="BQ256" s="16"/>
      <c r="BR256" s="16"/>
      <c r="BS256" s="16"/>
      <c r="BT256" s="16"/>
      <c r="BU256" s="16"/>
      <c r="BV256" s="16"/>
      <c r="BW256" s="16"/>
      <c r="BX256" s="16"/>
      <c r="BY256" s="16"/>
      <c r="BZ256" s="16"/>
      <c r="CA256" s="16"/>
      <c r="CB256" s="16"/>
      <c r="CC256" s="16"/>
    </row>
    <row r="257" spans="1:81" ht="13.5" thickBot="1">
      <c r="A257" s="16"/>
      <c r="B257" s="16"/>
      <c r="C257" s="17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C257" s="16"/>
      <c r="BD257" s="16"/>
      <c r="BE257" s="16"/>
      <c r="BF257" s="16"/>
      <c r="BG257" s="16"/>
      <c r="BH257" s="16"/>
      <c r="BI257" s="16"/>
      <c r="BJ257" s="16"/>
      <c r="BK257" s="16"/>
      <c r="BL257" s="16"/>
      <c r="BM257" s="16"/>
      <c r="BN257" s="16"/>
      <c r="BO257" s="16"/>
      <c r="BP257" s="16"/>
      <c r="BQ257" s="16"/>
      <c r="BR257" s="16"/>
      <c r="BS257" s="16"/>
      <c r="BT257" s="16"/>
      <c r="BU257" s="16"/>
      <c r="BV257" s="16"/>
      <c r="BW257" s="16"/>
      <c r="BX257" s="16"/>
      <c r="BY257" s="16"/>
      <c r="BZ257" s="16"/>
      <c r="CA257" s="16"/>
      <c r="CB257" s="16"/>
      <c r="CC257" s="16"/>
    </row>
    <row r="258" spans="1:81" ht="13.5" thickBot="1">
      <c r="A258" s="16"/>
      <c r="B258" s="16"/>
      <c r="C258" s="17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C258" s="16"/>
      <c r="BD258" s="16"/>
      <c r="BE258" s="16"/>
      <c r="BF258" s="16"/>
      <c r="BG258" s="16"/>
      <c r="BH258" s="16"/>
      <c r="BI258" s="16"/>
      <c r="BJ258" s="16"/>
      <c r="BK258" s="16"/>
      <c r="BL258" s="16"/>
      <c r="BM258" s="16"/>
      <c r="BN258" s="16"/>
      <c r="BO258" s="16"/>
      <c r="BP258" s="16"/>
      <c r="BQ258" s="16"/>
      <c r="BR258" s="16"/>
      <c r="BS258" s="16"/>
      <c r="BT258" s="16"/>
      <c r="BU258" s="16"/>
      <c r="BV258" s="16"/>
      <c r="BW258" s="16"/>
      <c r="BX258" s="16"/>
      <c r="BY258" s="16"/>
      <c r="BZ258" s="16"/>
      <c r="CA258" s="16"/>
      <c r="CB258" s="16"/>
      <c r="CC258" s="16"/>
    </row>
    <row r="259" spans="1:81" ht="13.5" thickBot="1">
      <c r="A259" s="16"/>
      <c r="B259" s="16"/>
      <c r="C259" s="17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C259" s="16"/>
      <c r="BD259" s="16"/>
      <c r="BE259" s="16"/>
      <c r="BF259" s="16"/>
      <c r="BG259" s="16"/>
      <c r="BH259" s="16"/>
      <c r="BI259" s="16"/>
      <c r="BJ259" s="16"/>
      <c r="BK259" s="16"/>
      <c r="BL259" s="16"/>
      <c r="BM259" s="16"/>
      <c r="BN259" s="16"/>
      <c r="BO259" s="16"/>
      <c r="BP259" s="16"/>
      <c r="BQ259" s="16"/>
      <c r="BR259" s="16"/>
      <c r="BS259" s="16"/>
      <c r="BT259" s="16"/>
      <c r="BU259" s="16"/>
      <c r="BV259" s="16"/>
      <c r="BW259" s="16"/>
      <c r="BX259" s="16"/>
      <c r="BY259" s="16"/>
      <c r="BZ259" s="16"/>
      <c r="CA259" s="16"/>
      <c r="CB259" s="16"/>
      <c r="CC259" s="16"/>
    </row>
    <row r="260" spans="1:81" ht="13.5" thickBot="1">
      <c r="A260" s="16"/>
      <c r="B260" s="16"/>
      <c r="C260" s="17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BC260" s="16"/>
      <c r="BD260" s="16"/>
      <c r="BE260" s="16"/>
      <c r="BF260" s="16"/>
      <c r="BG260" s="16"/>
      <c r="BH260" s="16"/>
      <c r="BI260" s="16"/>
      <c r="BJ260" s="16"/>
      <c r="BK260" s="16"/>
      <c r="BL260" s="16"/>
      <c r="BM260" s="16"/>
      <c r="BN260" s="16"/>
      <c r="BO260" s="16"/>
      <c r="BP260" s="16"/>
      <c r="BQ260" s="16"/>
      <c r="BR260" s="16"/>
      <c r="BS260" s="16"/>
      <c r="BT260" s="16"/>
      <c r="BU260" s="16"/>
      <c r="BV260" s="16"/>
      <c r="BW260" s="16"/>
      <c r="BX260" s="16"/>
      <c r="BY260" s="16"/>
      <c r="BZ260" s="16"/>
      <c r="CA260" s="16"/>
      <c r="CB260" s="16"/>
      <c r="CC260" s="16"/>
    </row>
    <row r="261" spans="1:81" ht="13.5" thickBot="1">
      <c r="A261" s="16"/>
      <c r="B261" s="16"/>
      <c r="C261" s="17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  <c r="AT261" s="16"/>
      <c r="AU261" s="16"/>
      <c r="AV261" s="16"/>
      <c r="AW261" s="16"/>
      <c r="AX261" s="16"/>
      <c r="AY261" s="16"/>
      <c r="AZ261" s="16"/>
      <c r="BA261" s="16"/>
      <c r="BB261" s="16"/>
      <c r="BC261" s="16"/>
      <c r="BD261" s="16"/>
      <c r="BE261" s="16"/>
      <c r="BF261" s="16"/>
      <c r="BG261" s="16"/>
      <c r="BH261" s="16"/>
      <c r="BI261" s="16"/>
      <c r="BJ261" s="16"/>
      <c r="BK261" s="16"/>
      <c r="BL261" s="16"/>
      <c r="BM261" s="16"/>
      <c r="BN261" s="16"/>
      <c r="BO261" s="16"/>
      <c r="BP261" s="16"/>
      <c r="BQ261" s="16"/>
      <c r="BR261" s="16"/>
      <c r="BS261" s="16"/>
      <c r="BT261" s="16"/>
      <c r="BU261" s="16"/>
      <c r="BV261" s="16"/>
      <c r="BW261" s="16"/>
      <c r="BX261" s="16"/>
      <c r="BY261" s="16"/>
      <c r="BZ261" s="16"/>
      <c r="CA261" s="16"/>
      <c r="CB261" s="16"/>
      <c r="CC261" s="16"/>
    </row>
    <row r="262" spans="1:81" ht="13.5" thickBot="1">
      <c r="A262" s="16"/>
      <c r="B262" s="16"/>
      <c r="C262" s="17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  <c r="AU262" s="16"/>
      <c r="AV262" s="16"/>
      <c r="AW262" s="16"/>
      <c r="AX262" s="16"/>
      <c r="AY262" s="16"/>
      <c r="AZ262" s="16"/>
      <c r="BA262" s="16"/>
      <c r="BB262" s="16"/>
      <c r="BC262" s="16"/>
      <c r="BD262" s="16"/>
      <c r="BE262" s="16"/>
      <c r="BF262" s="16"/>
      <c r="BG262" s="16"/>
      <c r="BH262" s="16"/>
      <c r="BI262" s="16"/>
      <c r="BJ262" s="16"/>
      <c r="BK262" s="16"/>
      <c r="BL262" s="16"/>
      <c r="BM262" s="16"/>
      <c r="BN262" s="16"/>
      <c r="BO262" s="16"/>
      <c r="BP262" s="16"/>
      <c r="BQ262" s="16"/>
      <c r="BR262" s="16"/>
      <c r="BS262" s="16"/>
      <c r="BT262" s="16"/>
      <c r="BU262" s="16"/>
      <c r="BV262" s="16"/>
      <c r="BW262" s="16"/>
      <c r="BX262" s="16"/>
      <c r="BY262" s="16"/>
      <c r="BZ262" s="16"/>
      <c r="CA262" s="16"/>
      <c r="CB262" s="16"/>
      <c r="CC262" s="16"/>
    </row>
    <row r="263" spans="1:81" ht="13.5" thickBot="1">
      <c r="A263" s="16"/>
      <c r="B263" s="16"/>
      <c r="C263" s="17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  <c r="AZ263" s="16"/>
      <c r="BA263" s="16"/>
      <c r="BB263" s="16"/>
      <c r="BC263" s="16"/>
      <c r="BD263" s="16"/>
      <c r="BE263" s="16"/>
      <c r="BF263" s="16"/>
      <c r="BG263" s="16"/>
      <c r="BH263" s="16"/>
      <c r="BI263" s="16"/>
      <c r="BJ263" s="16"/>
      <c r="BK263" s="16"/>
      <c r="BL263" s="16"/>
      <c r="BM263" s="16"/>
      <c r="BN263" s="16"/>
      <c r="BO263" s="16"/>
      <c r="BP263" s="16"/>
      <c r="BQ263" s="16"/>
      <c r="BR263" s="16"/>
      <c r="BS263" s="16"/>
      <c r="BT263" s="16"/>
      <c r="BU263" s="16"/>
      <c r="BV263" s="16"/>
      <c r="BW263" s="16"/>
      <c r="BX263" s="16"/>
      <c r="BY263" s="16"/>
      <c r="BZ263" s="16"/>
      <c r="CA263" s="16"/>
      <c r="CB263" s="16"/>
      <c r="CC263" s="16"/>
    </row>
    <row r="264" spans="1:81" ht="13.5" thickBot="1">
      <c r="A264" s="16"/>
      <c r="B264" s="16"/>
      <c r="C264" s="17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C264" s="16"/>
      <c r="BD264" s="16"/>
      <c r="BE264" s="16"/>
      <c r="BF264" s="16"/>
      <c r="BG264" s="16"/>
      <c r="BH264" s="16"/>
      <c r="BI264" s="16"/>
      <c r="BJ264" s="16"/>
      <c r="BK264" s="16"/>
      <c r="BL264" s="16"/>
      <c r="BM264" s="16"/>
      <c r="BN264" s="16"/>
      <c r="BO264" s="16"/>
      <c r="BP264" s="16"/>
      <c r="BQ264" s="16"/>
      <c r="BR264" s="16"/>
      <c r="BS264" s="16"/>
      <c r="BT264" s="16"/>
      <c r="BU264" s="16"/>
      <c r="BV264" s="16"/>
      <c r="BW264" s="16"/>
      <c r="BX264" s="16"/>
      <c r="BY264" s="16"/>
      <c r="BZ264" s="16"/>
      <c r="CA264" s="16"/>
      <c r="CB264" s="16"/>
      <c r="CC264" s="16"/>
    </row>
    <row r="265" spans="1:81" ht="13.5" thickBot="1">
      <c r="A265" s="16"/>
      <c r="B265" s="16"/>
      <c r="C265" s="17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C265" s="16"/>
      <c r="BD265" s="16"/>
      <c r="BE265" s="16"/>
      <c r="BF265" s="16"/>
      <c r="BG265" s="16"/>
      <c r="BH265" s="16"/>
      <c r="BI265" s="16"/>
      <c r="BJ265" s="16"/>
      <c r="BK265" s="16"/>
      <c r="BL265" s="16"/>
      <c r="BM265" s="16"/>
      <c r="BN265" s="16"/>
      <c r="BO265" s="16"/>
      <c r="BP265" s="16"/>
      <c r="BQ265" s="16"/>
      <c r="BR265" s="16"/>
      <c r="BS265" s="16"/>
      <c r="BT265" s="16"/>
      <c r="BU265" s="16"/>
      <c r="BV265" s="16"/>
      <c r="BW265" s="16"/>
      <c r="BX265" s="16"/>
      <c r="BY265" s="16"/>
      <c r="BZ265" s="16"/>
      <c r="CA265" s="16"/>
      <c r="CB265" s="16"/>
      <c r="CC265" s="16"/>
    </row>
    <row r="266" spans="1:81" ht="13.5" thickBot="1">
      <c r="A266" s="16"/>
      <c r="B266" s="16"/>
      <c r="C266" s="17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BC266" s="16"/>
      <c r="BD266" s="16"/>
      <c r="BE266" s="16"/>
      <c r="BF266" s="16"/>
      <c r="BG266" s="16"/>
      <c r="BH266" s="16"/>
      <c r="BI266" s="16"/>
      <c r="BJ266" s="16"/>
      <c r="BK266" s="16"/>
      <c r="BL266" s="16"/>
      <c r="BM266" s="16"/>
      <c r="BN266" s="16"/>
      <c r="BO266" s="16"/>
      <c r="BP266" s="16"/>
      <c r="BQ266" s="16"/>
      <c r="BR266" s="16"/>
      <c r="BS266" s="16"/>
      <c r="BT266" s="16"/>
      <c r="BU266" s="16"/>
      <c r="BV266" s="16"/>
      <c r="BW266" s="16"/>
      <c r="BX266" s="16"/>
      <c r="BY266" s="16"/>
      <c r="BZ266" s="16"/>
      <c r="CA266" s="16"/>
      <c r="CB266" s="16"/>
      <c r="CC266" s="16"/>
    </row>
    <row r="267" spans="1:81" ht="13.5" thickBot="1">
      <c r="A267" s="16"/>
      <c r="B267" s="16"/>
      <c r="C267" s="17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BC267" s="16"/>
      <c r="BD267" s="16"/>
      <c r="BE267" s="16"/>
      <c r="BF267" s="16"/>
      <c r="BG267" s="16"/>
      <c r="BH267" s="16"/>
      <c r="BI267" s="16"/>
      <c r="BJ267" s="16"/>
      <c r="BK267" s="16"/>
      <c r="BL267" s="16"/>
      <c r="BM267" s="16"/>
      <c r="BN267" s="16"/>
      <c r="BO267" s="16"/>
      <c r="BP267" s="16"/>
      <c r="BQ267" s="16"/>
      <c r="BR267" s="16"/>
      <c r="BS267" s="16"/>
      <c r="BT267" s="16"/>
      <c r="BU267" s="16"/>
      <c r="BV267" s="16"/>
      <c r="BW267" s="16"/>
      <c r="BX267" s="16"/>
      <c r="BY267" s="16"/>
      <c r="BZ267" s="16"/>
      <c r="CA267" s="16"/>
      <c r="CB267" s="16"/>
      <c r="CC267" s="16"/>
    </row>
    <row r="268" spans="1:81" ht="13.5" thickBot="1">
      <c r="A268" s="16"/>
      <c r="B268" s="16"/>
      <c r="C268" s="17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C268" s="16"/>
      <c r="BD268" s="16"/>
      <c r="BE268" s="16"/>
      <c r="BF268" s="16"/>
      <c r="BG268" s="16"/>
      <c r="BH268" s="16"/>
      <c r="BI268" s="16"/>
      <c r="BJ268" s="16"/>
      <c r="BK268" s="16"/>
      <c r="BL268" s="16"/>
      <c r="BM268" s="16"/>
      <c r="BN268" s="16"/>
      <c r="BO268" s="16"/>
      <c r="BP268" s="16"/>
      <c r="BQ268" s="16"/>
      <c r="BR268" s="16"/>
      <c r="BS268" s="16"/>
      <c r="BT268" s="16"/>
      <c r="BU268" s="16"/>
      <c r="BV268" s="16"/>
      <c r="BW268" s="16"/>
      <c r="BX268" s="16"/>
      <c r="BY268" s="16"/>
      <c r="BZ268" s="16"/>
      <c r="CA268" s="16"/>
      <c r="CB268" s="16"/>
      <c r="CC268" s="16"/>
    </row>
    <row r="269" spans="1:81" ht="13.5" thickBot="1">
      <c r="A269" s="16"/>
      <c r="B269" s="16"/>
      <c r="C269" s="17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C269" s="16"/>
      <c r="BD269" s="16"/>
      <c r="BE269" s="16"/>
      <c r="BF269" s="16"/>
      <c r="BG269" s="16"/>
      <c r="BH269" s="16"/>
      <c r="BI269" s="16"/>
      <c r="BJ269" s="16"/>
      <c r="BK269" s="16"/>
      <c r="BL269" s="16"/>
      <c r="BM269" s="16"/>
      <c r="BN269" s="16"/>
      <c r="BO269" s="16"/>
      <c r="BP269" s="16"/>
      <c r="BQ269" s="16"/>
      <c r="BR269" s="16"/>
      <c r="BS269" s="16"/>
      <c r="BT269" s="16"/>
      <c r="BU269" s="16"/>
      <c r="BV269" s="16"/>
      <c r="BW269" s="16"/>
      <c r="BX269" s="16"/>
      <c r="BY269" s="16"/>
      <c r="BZ269" s="16"/>
      <c r="CA269" s="16"/>
      <c r="CB269" s="16"/>
      <c r="CC269" s="16"/>
    </row>
    <row r="270" spans="1:81" ht="13.5" thickBot="1">
      <c r="A270" s="16"/>
      <c r="B270" s="16"/>
      <c r="C270" s="17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  <c r="AZ270" s="16"/>
      <c r="BA270" s="16"/>
      <c r="BB270" s="16"/>
      <c r="BC270" s="16"/>
      <c r="BD270" s="16"/>
      <c r="BE270" s="16"/>
      <c r="BF270" s="16"/>
      <c r="BG270" s="16"/>
      <c r="BH270" s="16"/>
      <c r="BI270" s="16"/>
      <c r="BJ270" s="16"/>
      <c r="BK270" s="16"/>
      <c r="BL270" s="16"/>
      <c r="BM270" s="16"/>
      <c r="BN270" s="16"/>
      <c r="BO270" s="16"/>
      <c r="BP270" s="16"/>
      <c r="BQ270" s="16"/>
      <c r="BR270" s="16"/>
      <c r="BS270" s="16"/>
      <c r="BT270" s="16"/>
      <c r="BU270" s="16"/>
      <c r="BV270" s="16"/>
      <c r="BW270" s="16"/>
      <c r="BX270" s="16"/>
      <c r="BY270" s="16"/>
      <c r="BZ270" s="16"/>
      <c r="CA270" s="16"/>
      <c r="CB270" s="16"/>
      <c r="CC270" s="16"/>
    </row>
    <row r="271" spans="1:81" ht="13.5" thickBot="1">
      <c r="A271" s="16"/>
      <c r="B271" s="16"/>
      <c r="C271" s="17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  <c r="AZ271" s="16"/>
      <c r="BA271" s="16"/>
      <c r="BB271" s="16"/>
      <c r="BC271" s="16"/>
      <c r="BD271" s="16"/>
      <c r="BE271" s="16"/>
      <c r="BF271" s="16"/>
      <c r="BG271" s="16"/>
      <c r="BH271" s="16"/>
      <c r="BI271" s="16"/>
      <c r="BJ271" s="16"/>
      <c r="BK271" s="16"/>
      <c r="BL271" s="16"/>
      <c r="BM271" s="16"/>
      <c r="BN271" s="16"/>
      <c r="BO271" s="16"/>
      <c r="BP271" s="16"/>
      <c r="BQ271" s="16"/>
      <c r="BR271" s="16"/>
      <c r="BS271" s="16"/>
      <c r="BT271" s="16"/>
      <c r="BU271" s="16"/>
      <c r="BV271" s="16"/>
      <c r="BW271" s="16"/>
      <c r="BX271" s="16"/>
      <c r="BY271" s="16"/>
      <c r="BZ271" s="16"/>
      <c r="CA271" s="16"/>
      <c r="CB271" s="16"/>
      <c r="CC271" s="16"/>
    </row>
    <row r="272" spans="1:81" ht="13.5" thickBot="1">
      <c r="A272" s="16"/>
      <c r="B272" s="16"/>
      <c r="C272" s="17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  <c r="BB272" s="16"/>
      <c r="BC272" s="16"/>
      <c r="BD272" s="16"/>
      <c r="BE272" s="16"/>
      <c r="BF272" s="16"/>
      <c r="BG272" s="16"/>
      <c r="BH272" s="16"/>
      <c r="BI272" s="16"/>
      <c r="BJ272" s="16"/>
      <c r="BK272" s="16"/>
      <c r="BL272" s="16"/>
      <c r="BM272" s="16"/>
      <c r="BN272" s="16"/>
      <c r="BO272" s="16"/>
      <c r="BP272" s="16"/>
      <c r="BQ272" s="16"/>
      <c r="BR272" s="16"/>
      <c r="BS272" s="16"/>
      <c r="BT272" s="16"/>
      <c r="BU272" s="16"/>
      <c r="BV272" s="16"/>
      <c r="BW272" s="16"/>
      <c r="BX272" s="16"/>
      <c r="BY272" s="16"/>
      <c r="BZ272" s="16"/>
      <c r="CA272" s="16"/>
      <c r="CB272" s="16"/>
      <c r="CC272" s="16"/>
    </row>
    <row r="273" spans="1:81" ht="13.5" thickBot="1">
      <c r="A273" s="16"/>
      <c r="B273" s="16"/>
      <c r="C273" s="17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  <c r="AZ273" s="16"/>
      <c r="BA273" s="16"/>
      <c r="BB273" s="16"/>
      <c r="BC273" s="16"/>
      <c r="BD273" s="16"/>
      <c r="BE273" s="16"/>
      <c r="BF273" s="16"/>
      <c r="BG273" s="16"/>
      <c r="BH273" s="16"/>
      <c r="BI273" s="16"/>
      <c r="BJ273" s="16"/>
      <c r="BK273" s="16"/>
      <c r="BL273" s="16"/>
      <c r="BM273" s="16"/>
      <c r="BN273" s="16"/>
      <c r="BO273" s="16"/>
      <c r="BP273" s="16"/>
      <c r="BQ273" s="16"/>
      <c r="BR273" s="16"/>
      <c r="BS273" s="16"/>
      <c r="BT273" s="16"/>
      <c r="BU273" s="16"/>
      <c r="BV273" s="16"/>
      <c r="BW273" s="16"/>
      <c r="BX273" s="16"/>
      <c r="BY273" s="16"/>
      <c r="BZ273" s="16"/>
      <c r="CA273" s="16"/>
      <c r="CB273" s="16"/>
      <c r="CC273" s="16"/>
    </row>
    <row r="274" spans="1:81" ht="13.5" thickBot="1">
      <c r="A274" s="16"/>
      <c r="B274" s="16"/>
      <c r="C274" s="17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C274" s="16"/>
      <c r="BD274" s="16"/>
      <c r="BE274" s="16"/>
      <c r="BF274" s="16"/>
      <c r="BG274" s="16"/>
      <c r="BH274" s="16"/>
      <c r="BI274" s="16"/>
      <c r="BJ274" s="16"/>
      <c r="BK274" s="16"/>
      <c r="BL274" s="16"/>
      <c r="BM274" s="16"/>
      <c r="BN274" s="16"/>
      <c r="BO274" s="16"/>
      <c r="BP274" s="16"/>
      <c r="BQ274" s="16"/>
      <c r="BR274" s="16"/>
      <c r="BS274" s="16"/>
      <c r="BT274" s="16"/>
      <c r="BU274" s="16"/>
      <c r="BV274" s="16"/>
      <c r="BW274" s="16"/>
      <c r="BX274" s="16"/>
      <c r="BY274" s="16"/>
      <c r="BZ274" s="16"/>
      <c r="CA274" s="16"/>
      <c r="CB274" s="16"/>
      <c r="CC274" s="16"/>
    </row>
    <row r="275" spans="1:81" ht="13.5" thickBot="1">
      <c r="A275" s="16"/>
      <c r="B275" s="16"/>
      <c r="C275" s="17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C275" s="16"/>
      <c r="BD275" s="16"/>
      <c r="BE275" s="16"/>
      <c r="BF275" s="16"/>
      <c r="BG275" s="16"/>
      <c r="BH275" s="16"/>
      <c r="BI275" s="16"/>
      <c r="BJ275" s="16"/>
      <c r="BK275" s="16"/>
      <c r="BL275" s="16"/>
      <c r="BM275" s="16"/>
      <c r="BN275" s="16"/>
      <c r="BO275" s="16"/>
      <c r="BP275" s="16"/>
      <c r="BQ275" s="16"/>
      <c r="BR275" s="16"/>
      <c r="BS275" s="16"/>
      <c r="BT275" s="16"/>
      <c r="BU275" s="16"/>
      <c r="BV275" s="16"/>
      <c r="BW275" s="16"/>
      <c r="BX275" s="16"/>
      <c r="BY275" s="16"/>
      <c r="BZ275" s="16"/>
      <c r="CA275" s="16"/>
      <c r="CB275" s="16"/>
      <c r="CC275" s="16"/>
    </row>
    <row r="276" spans="1:81" ht="13.5" thickBot="1">
      <c r="A276" s="16"/>
      <c r="B276" s="16"/>
      <c r="C276" s="17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  <c r="AZ276" s="16"/>
      <c r="BA276" s="16"/>
      <c r="BB276" s="16"/>
      <c r="BC276" s="16"/>
      <c r="BD276" s="16"/>
      <c r="BE276" s="16"/>
      <c r="BF276" s="16"/>
      <c r="BG276" s="16"/>
      <c r="BH276" s="16"/>
      <c r="BI276" s="16"/>
      <c r="BJ276" s="16"/>
      <c r="BK276" s="16"/>
      <c r="BL276" s="16"/>
      <c r="BM276" s="16"/>
      <c r="BN276" s="16"/>
      <c r="BO276" s="16"/>
      <c r="BP276" s="16"/>
      <c r="BQ276" s="16"/>
      <c r="BR276" s="16"/>
      <c r="BS276" s="16"/>
      <c r="BT276" s="16"/>
      <c r="BU276" s="16"/>
      <c r="BV276" s="16"/>
      <c r="BW276" s="16"/>
      <c r="BX276" s="16"/>
      <c r="BY276" s="16"/>
      <c r="BZ276" s="16"/>
      <c r="CA276" s="16"/>
      <c r="CB276" s="16"/>
      <c r="CC276" s="16"/>
    </row>
    <row r="277" spans="1:81" ht="13.5" thickBot="1">
      <c r="A277" s="16"/>
      <c r="B277" s="16"/>
      <c r="C277" s="17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BC277" s="16"/>
      <c r="BD277" s="16"/>
      <c r="BE277" s="16"/>
      <c r="BF277" s="16"/>
      <c r="BG277" s="16"/>
      <c r="BH277" s="16"/>
      <c r="BI277" s="16"/>
      <c r="BJ277" s="16"/>
      <c r="BK277" s="16"/>
      <c r="BL277" s="16"/>
      <c r="BM277" s="16"/>
      <c r="BN277" s="16"/>
      <c r="BO277" s="16"/>
      <c r="BP277" s="16"/>
      <c r="BQ277" s="16"/>
      <c r="BR277" s="16"/>
      <c r="BS277" s="16"/>
      <c r="BT277" s="16"/>
      <c r="BU277" s="16"/>
      <c r="BV277" s="16"/>
      <c r="BW277" s="16"/>
      <c r="BX277" s="16"/>
      <c r="BY277" s="16"/>
      <c r="BZ277" s="16"/>
      <c r="CA277" s="16"/>
      <c r="CB277" s="16"/>
      <c r="CC277" s="16"/>
    </row>
    <row r="278" spans="1:81" ht="13.5" thickBot="1">
      <c r="A278" s="16"/>
      <c r="B278" s="16"/>
      <c r="C278" s="17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C278" s="16"/>
      <c r="BD278" s="16"/>
      <c r="BE278" s="16"/>
      <c r="BF278" s="16"/>
      <c r="BG278" s="16"/>
      <c r="BH278" s="16"/>
      <c r="BI278" s="16"/>
      <c r="BJ278" s="16"/>
      <c r="BK278" s="16"/>
      <c r="BL278" s="16"/>
      <c r="BM278" s="16"/>
      <c r="BN278" s="16"/>
      <c r="BO278" s="16"/>
      <c r="BP278" s="16"/>
      <c r="BQ278" s="16"/>
      <c r="BR278" s="16"/>
      <c r="BS278" s="16"/>
      <c r="BT278" s="16"/>
      <c r="BU278" s="16"/>
      <c r="BV278" s="16"/>
      <c r="BW278" s="16"/>
      <c r="BX278" s="16"/>
      <c r="BY278" s="16"/>
      <c r="BZ278" s="16"/>
      <c r="CA278" s="16"/>
      <c r="CB278" s="16"/>
      <c r="CC278" s="16"/>
    </row>
    <row r="279" spans="1:81" ht="13.5" thickBot="1">
      <c r="A279" s="16"/>
      <c r="B279" s="16"/>
      <c r="C279" s="17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C279" s="16"/>
      <c r="BD279" s="16"/>
      <c r="BE279" s="16"/>
      <c r="BF279" s="16"/>
      <c r="BG279" s="16"/>
      <c r="BH279" s="16"/>
      <c r="BI279" s="16"/>
      <c r="BJ279" s="16"/>
      <c r="BK279" s="16"/>
      <c r="BL279" s="16"/>
      <c r="BM279" s="16"/>
      <c r="BN279" s="16"/>
      <c r="BO279" s="16"/>
      <c r="BP279" s="16"/>
      <c r="BQ279" s="16"/>
      <c r="BR279" s="16"/>
      <c r="BS279" s="16"/>
      <c r="BT279" s="16"/>
      <c r="BU279" s="16"/>
      <c r="BV279" s="16"/>
      <c r="BW279" s="16"/>
      <c r="BX279" s="16"/>
      <c r="BY279" s="16"/>
      <c r="BZ279" s="16"/>
      <c r="CA279" s="16"/>
      <c r="CB279" s="16"/>
      <c r="CC279" s="16"/>
    </row>
    <row r="280" spans="1:81" ht="13.5" thickBot="1">
      <c r="A280" s="16"/>
      <c r="B280" s="16"/>
      <c r="C280" s="17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C280" s="16"/>
      <c r="BD280" s="16"/>
      <c r="BE280" s="16"/>
      <c r="BF280" s="16"/>
      <c r="BG280" s="16"/>
      <c r="BH280" s="16"/>
      <c r="BI280" s="16"/>
      <c r="BJ280" s="16"/>
      <c r="BK280" s="16"/>
      <c r="BL280" s="16"/>
      <c r="BM280" s="16"/>
      <c r="BN280" s="16"/>
      <c r="BO280" s="16"/>
      <c r="BP280" s="16"/>
      <c r="BQ280" s="16"/>
      <c r="BR280" s="16"/>
      <c r="BS280" s="16"/>
      <c r="BT280" s="16"/>
      <c r="BU280" s="16"/>
      <c r="BV280" s="16"/>
      <c r="BW280" s="16"/>
      <c r="BX280" s="16"/>
      <c r="BY280" s="16"/>
      <c r="BZ280" s="16"/>
      <c r="CA280" s="16"/>
      <c r="CB280" s="16"/>
      <c r="CC280" s="16"/>
    </row>
    <row r="281" spans="1:81" ht="13.5" thickBot="1">
      <c r="A281" s="16"/>
      <c r="B281" s="16"/>
      <c r="C281" s="17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BC281" s="16"/>
      <c r="BD281" s="16"/>
      <c r="BE281" s="16"/>
      <c r="BF281" s="16"/>
      <c r="BG281" s="16"/>
      <c r="BH281" s="16"/>
      <c r="BI281" s="16"/>
      <c r="BJ281" s="16"/>
      <c r="BK281" s="16"/>
      <c r="BL281" s="16"/>
      <c r="BM281" s="16"/>
      <c r="BN281" s="16"/>
      <c r="BO281" s="16"/>
      <c r="BP281" s="16"/>
      <c r="BQ281" s="16"/>
      <c r="BR281" s="16"/>
      <c r="BS281" s="16"/>
      <c r="BT281" s="16"/>
      <c r="BU281" s="16"/>
      <c r="BV281" s="16"/>
      <c r="BW281" s="16"/>
      <c r="BX281" s="16"/>
      <c r="BY281" s="16"/>
      <c r="BZ281" s="16"/>
      <c r="CA281" s="16"/>
      <c r="CB281" s="16"/>
      <c r="CC281" s="16"/>
    </row>
    <row r="282" spans="1:81" ht="13.5" thickBot="1">
      <c r="A282" s="16"/>
      <c r="B282" s="16"/>
      <c r="C282" s="17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BC282" s="16"/>
      <c r="BD282" s="16"/>
      <c r="BE282" s="16"/>
      <c r="BF282" s="16"/>
      <c r="BG282" s="16"/>
      <c r="BH282" s="16"/>
      <c r="BI282" s="16"/>
      <c r="BJ282" s="16"/>
      <c r="BK282" s="16"/>
      <c r="BL282" s="16"/>
      <c r="BM282" s="16"/>
      <c r="BN282" s="16"/>
      <c r="BO282" s="16"/>
      <c r="BP282" s="16"/>
      <c r="BQ282" s="16"/>
      <c r="BR282" s="16"/>
      <c r="BS282" s="16"/>
      <c r="BT282" s="16"/>
      <c r="BU282" s="16"/>
      <c r="BV282" s="16"/>
      <c r="BW282" s="16"/>
      <c r="BX282" s="16"/>
      <c r="BY282" s="16"/>
      <c r="BZ282" s="16"/>
      <c r="CA282" s="16"/>
      <c r="CB282" s="16"/>
      <c r="CC282" s="16"/>
    </row>
    <row r="283" spans="1:81" ht="13.5" thickBot="1">
      <c r="A283" s="16"/>
      <c r="B283" s="16"/>
      <c r="C283" s="17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C283" s="16"/>
      <c r="BD283" s="16"/>
      <c r="BE283" s="16"/>
      <c r="BF283" s="16"/>
      <c r="BG283" s="16"/>
      <c r="BH283" s="16"/>
      <c r="BI283" s="16"/>
      <c r="BJ283" s="16"/>
      <c r="BK283" s="16"/>
      <c r="BL283" s="16"/>
      <c r="BM283" s="16"/>
      <c r="BN283" s="16"/>
      <c r="BO283" s="16"/>
      <c r="BP283" s="16"/>
      <c r="BQ283" s="16"/>
      <c r="BR283" s="16"/>
      <c r="BS283" s="16"/>
      <c r="BT283" s="16"/>
      <c r="BU283" s="16"/>
      <c r="BV283" s="16"/>
      <c r="BW283" s="16"/>
      <c r="BX283" s="16"/>
      <c r="BY283" s="16"/>
      <c r="BZ283" s="16"/>
      <c r="CA283" s="16"/>
      <c r="CB283" s="16"/>
      <c r="CC283" s="16"/>
    </row>
    <row r="284" spans="1:81" ht="13.5" thickBot="1">
      <c r="A284" s="16"/>
      <c r="B284" s="16"/>
      <c r="C284" s="17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  <c r="AZ284" s="16"/>
      <c r="BA284" s="16"/>
      <c r="BB284" s="16"/>
      <c r="BC284" s="16"/>
      <c r="BD284" s="16"/>
      <c r="BE284" s="16"/>
      <c r="BF284" s="16"/>
      <c r="BG284" s="16"/>
      <c r="BH284" s="16"/>
      <c r="BI284" s="16"/>
      <c r="BJ284" s="16"/>
      <c r="BK284" s="16"/>
      <c r="BL284" s="16"/>
      <c r="BM284" s="16"/>
      <c r="BN284" s="16"/>
      <c r="BO284" s="16"/>
      <c r="BP284" s="16"/>
      <c r="BQ284" s="16"/>
      <c r="BR284" s="16"/>
      <c r="BS284" s="16"/>
      <c r="BT284" s="16"/>
      <c r="BU284" s="16"/>
      <c r="BV284" s="16"/>
      <c r="BW284" s="16"/>
      <c r="BX284" s="16"/>
      <c r="BY284" s="16"/>
      <c r="BZ284" s="16"/>
      <c r="CA284" s="16"/>
      <c r="CB284" s="16"/>
      <c r="CC284" s="16"/>
    </row>
    <row r="285" spans="1:81" ht="13.5" thickBot="1">
      <c r="A285" s="16"/>
      <c r="B285" s="16"/>
      <c r="C285" s="17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BC285" s="16"/>
      <c r="BD285" s="16"/>
      <c r="BE285" s="16"/>
      <c r="BF285" s="16"/>
      <c r="BG285" s="16"/>
      <c r="BH285" s="16"/>
      <c r="BI285" s="16"/>
      <c r="BJ285" s="16"/>
      <c r="BK285" s="16"/>
      <c r="BL285" s="16"/>
      <c r="BM285" s="16"/>
      <c r="BN285" s="16"/>
      <c r="BO285" s="16"/>
      <c r="BP285" s="16"/>
      <c r="BQ285" s="16"/>
      <c r="BR285" s="16"/>
      <c r="BS285" s="16"/>
      <c r="BT285" s="16"/>
      <c r="BU285" s="16"/>
      <c r="BV285" s="16"/>
      <c r="BW285" s="16"/>
      <c r="BX285" s="16"/>
      <c r="BY285" s="16"/>
      <c r="BZ285" s="16"/>
      <c r="CA285" s="16"/>
      <c r="CB285" s="16"/>
      <c r="CC285" s="16"/>
    </row>
    <row r="286" spans="1:81" ht="13.5" thickBot="1">
      <c r="A286" s="16"/>
      <c r="B286" s="16"/>
      <c r="C286" s="17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C286" s="16"/>
      <c r="BD286" s="16"/>
      <c r="BE286" s="16"/>
      <c r="BF286" s="16"/>
      <c r="BG286" s="16"/>
      <c r="BH286" s="16"/>
      <c r="BI286" s="16"/>
      <c r="BJ286" s="16"/>
      <c r="BK286" s="16"/>
      <c r="BL286" s="16"/>
      <c r="BM286" s="16"/>
      <c r="BN286" s="16"/>
      <c r="BO286" s="16"/>
      <c r="BP286" s="16"/>
      <c r="BQ286" s="16"/>
      <c r="BR286" s="16"/>
      <c r="BS286" s="16"/>
      <c r="BT286" s="16"/>
      <c r="BU286" s="16"/>
      <c r="BV286" s="16"/>
      <c r="BW286" s="16"/>
      <c r="BX286" s="16"/>
      <c r="BY286" s="16"/>
      <c r="BZ286" s="16"/>
      <c r="CA286" s="16"/>
      <c r="CB286" s="16"/>
      <c r="CC286" s="16"/>
    </row>
    <row r="287" spans="1:81" ht="13.5" thickBot="1">
      <c r="A287" s="16"/>
      <c r="B287" s="16"/>
      <c r="C287" s="17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  <c r="AZ287" s="16"/>
      <c r="BA287" s="16"/>
      <c r="BB287" s="16"/>
      <c r="BC287" s="16"/>
      <c r="BD287" s="16"/>
      <c r="BE287" s="16"/>
      <c r="BF287" s="16"/>
      <c r="BG287" s="16"/>
      <c r="BH287" s="16"/>
      <c r="BI287" s="16"/>
      <c r="BJ287" s="16"/>
      <c r="BK287" s="16"/>
      <c r="BL287" s="16"/>
      <c r="BM287" s="16"/>
      <c r="BN287" s="16"/>
      <c r="BO287" s="16"/>
      <c r="BP287" s="16"/>
      <c r="BQ287" s="16"/>
      <c r="BR287" s="16"/>
      <c r="BS287" s="16"/>
      <c r="BT287" s="16"/>
      <c r="BU287" s="16"/>
      <c r="BV287" s="16"/>
      <c r="BW287" s="16"/>
      <c r="BX287" s="16"/>
      <c r="BY287" s="16"/>
      <c r="BZ287" s="16"/>
      <c r="CA287" s="16"/>
      <c r="CB287" s="16"/>
      <c r="CC287" s="16"/>
    </row>
    <row r="288" spans="1:81" ht="13.5" thickBot="1">
      <c r="A288" s="16"/>
      <c r="B288" s="16"/>
      <c r="C288" s="17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  <c r="AY288" s="16"/>
      <c r="AZ288" s="16"/>
      <c r="BA288" s="16"/>
      <c r="BB288" s="16"/>
      <c r="BC288" s="16"/>
      <c r="BD288" s="16"/>
      <c r="BE288" s="16"/>
      <c r="BF288" s="16"/>
      <c r="BG288" s="16"/>
      <c r="BH288" s="16"/>
      <c r="BI288" s="16"/>
      <c r="BJ288" s="16"/>
      <c r="BK288" s="16"/>
      <c r="BL288" s="16"/>
      <c r="BM288" s="16"/>
      <c r="BN288" s="16"/>
      <c r="BO288" s="16"/>
      <c r="BP288" s="16"/>
      <c r="BQ288" s="16"/>
      <c r="BR288" s="16"/>
      <c r="BS288" s="16"/>
      <c r="BT288" s="16"/>
      <c r="BU288" s="16"/>
      <c r="BV288" s="16"/>
      <c r="BW288" s="16"/>
      <c r="BX288" s="16"/>
      <c r="BY288" s="16"/>
      <c r="BZ288" s="16"/>
      <c r="CA288" s="16"/>
      <c r="CB288" s="16"/>
      <c r="CC288" s="16"/>
    </row>
    <row r="289" spans="1:81" ht="13.5" thickBot="1">
      <c r="A289" s="16"/>
      <c r="B289" s="16"/>
      <c r="C289" s="17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  <c r="AZ289" s="16"/>
      <c r="BA289" s="16"/>
      <c r="BB289" s="16"/>
      <c r="BC289" s="16"/>
      <c r="BD289" s="16"/>
      <c r="BE289" s="16"/>
      <c r="BF289" s="16"/>
      <c r="BG289" s="16"/>
      <c r="BH289" s="16"/>
      <c r="BI289" s="16"/>
      <c r="BJ289" s="16"/>
      <c r="BK289" s="16"/>
      <c r="BL289" s="16"/>
      <c r="BM289" s="16"/>
      <c r="BN289" s="16"/>
      <c r="BO289" s="16"/>
      <c r="BP289" s="16"/>
      <c r="BQ289" s="16"/>
      <c r="BR289" s="16"/>
      <c r="BS289" s="16"/>
      <c r="BT289" s="16"/>
      <c r="BU289" s="16"/>
      <c r="BV289" s="16"/>
      <c r="BW289" s="16"/>
      <c r="BX289" s="16"/>
      <c r="BY289" s="16"/>
      <c r="BZ289" s="16"/>
      <c r="CA289" s="16"/>
      <c r="CB289" s="16"/>
      <c r="CC289" s="16"/>
    </row>
    <row r="290" spans="1:81" ht="13.5" thickBot="1">
      <c r="A290" s="16"/>
      <c r="B290" s="16"/>
      <c r="C290" s="17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C290" s="16"/>
      <c r="BD290" s="16"/>
      <c r="BE290" s="16"/>
      <c r="BF290" s="16"/>
      <c r="BG290" s="16"/>
      <c r="BH290" s="16"/>
      <c r="BI290" s="16"/>
      <c r="BJ290" s="16"/>
      <c r="BK290" s="16"/>
      <c r="BL290" s="16"/>
      <c r="BM290" s="16"/>
      <c r="BN290" s="16"/>
      <c r="BO290" s="16"/>
      <c r="BP290" s="16"/>
      <c r="BQ290" s="16"/>
      <c r="BR290" s="16"/>
      <c r="BS290" s="16"/>
      <c r="BT290" s="16"/>
      <c r="BU290" s="16"/>
      <c r="BV290" s="16"/>
      <c r="BW290" s="16"/>
      <c r="BX290" s="16"/>
      <c r="BY290" s="16"/>
      <c r="BZ290" s="16"/>
      <c r="CA290" s="16"/>
      <c r="CB290" s="16"/>
      <c r="CC290" s="16"/>
    </row>
    <row r="291" spans="1:81" ht="13.5" thickBot="1">
      <c r="A291" s="16"/>
      <c r="B291" s="16"/>
      <c r="C291" s="17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C291" s="16"/>
      <c r="BD291" s="16"/>
      <c r="BE291" s="16"/>
      <c r="BF291" s="16"/>
      <c r="BG291" s="16"/>
      <c r="BH291" s="16"/>
      <c r="BI291" s="16"/>
      <c r="BJ291" s="16"/>
      <c r="BK291" s="16"/>
      <c r="BL291" s="16"/>
      <c r="BM291" s="16"/>
      <c r="BN291" s="16"/>
      <c r="BO291" s="16"/>
      <c r="BP291" s="16"/>
      <c r="BQ291" s="16"/>
      <c r="BR291" s="16"/>
      <c r="BS291" s="16"/>
      <c r="BT291" s="16"/>
      <c r="BU291" s="16"/>
      <c r="BV291" s="16"/>
      <c r="BW291" s="16"/>
      <c r="BX291" s="16"/>
      <c r="BY291" s="16"/>
      <c r="BZ291" s="16"/>
      <c r="CA291" s="16"/>
      <c r="CB291" s="16"/>
      <c r="CC291" s="16"/>
    </row>
    <row r="292" spans="1:81" ht="13.5" thickBot="1">
      <c r="A292" s="16"/>
      <c r="B292" s="16"/>
      <c r="C292" s="17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  <c r="AZ292" s="16"/>
      <c r="BA292" s="16"/>
      <c r="BB292" s="16"/>
      <c r="BC292" s="16"/>
      <c r="BD292" s="16"/>
      <c r="BE292" s="16"/>
      <c r="BF292" s="16"/>
      <c r="BG292" s="16"/>
      <c r="BH292" s="16"/>
      <c r="BI292" s="16"/>
      <c r="BJ292" s="16"/>
      <c r="BK292" s="16"/>
      <c r="BL292" s="16"/>
      <c r="BM292" s="16"/>
      <c r="BN292" s="16"/>
      <c r="BO292" s="16"/>
      <c r="BP292" s="16"/>
      <c r="BQ292" s="16"/>
      <c r="BR292" s="16"/>
      <c r="BS292" s="16"/>
      <c r="BT292" s="16"/>
      <c r="BU292" s="16"/>
      <c r="BV292" s="16"/>
      <c r="BW292" s="16"/>
      <c r="BX292" s="16"/>
      <c r="BY292" s="16"/>
      <c r="BZ292" s="16"/>
      <c r="CA292" s="16"/>
      <c r="CB292" s="16"/>
      <c r="CC292" s="16"/>
    </row>
    <row r="293" spans="1:81" ht="13.5" thickBot="1">
      <c r="A293" s="16"/>
      <c r="B293" s="16"/>
      <c r="C293" s="17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  <c r="AZ293" s="16"/>
      <c r="BA293" s="16"/>
      <c r="BB293" s="16"/>
      <c r="BC293" s="16"/>
      <c r="BD293" s="16"/>
      <c r="BE293" s="16"/>
      <c r="BF293" s="16"/>
      <c r="BG293" s="16"/>
      <c r="BH293" s="16"/>
      <c r="BI293" s="16"/>
      <c r="BJ293" s="16"/>
      <c r="BK293" s="16"/>
      <c r="BL293" s="16"/>
      <c r="BM293" s="16"/>
      <c r="BN293" s="16"/>
      <c r="BO293" s="16"/>
      <c r="BP293" s="16"/>
      <c r="BQ293" s="16"/>
      <c r="BR293" s="16"/>
      <c r="BS293" s="16"/>
      <c r="BT293" s="16"/>
      <c r="BU293" s="16"/>
      <c r="BV293" s="16"/>
      <c r="BW293" s="16"/>
      <c r="BX293" s="16"/>
      <c r="BY293" s="16"/>
      <c r="BZ293" s="16"/>
      <c r="CA293" s="16"/>
      <c r="CB293" s="16"/>
      <c r="CC293" s="16"/>
    </row>
    <row r="294" spans="1:81" ht="13.5" thickBot="1">
      <c r="A294" s="16"/>
      <c r="B294" s="16"/>
      <c r="C294" s="17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C294" s="16"/>
      <c r="BD294" s="16"/>
      <c r="BE294" s="16"/>
      <c r="BF294" s="16"/>
      <c r="BG294" s="16"/>
      <c r="BH294" s="16"/>
      <c r="BI294" s="16"/>
      <c r="BJ294" s="16"/>
      <c r="BK294" s="16"/>
      <c r="BL294" s="16"/>
      <c r="BM294" s="16"/>
      <c r="BN294" s="16"/>
      <c r="BO294" s="16"/>
      <c r="BP294" s="16"/>
      <c r="BQ294" s="16"/>
      <c r="BR294" s="16"/>
      <c r="BS294" s="16"/>
      <c r="BT294" s="16"/>
      <c r="BU294" s="16"/>
      <c r="BV294" s="16"/>
      <c r="BW294" s="16"/>
      <c r="BX294" s="16"/>
      <c r="BY294" s="16"/>
      <c r="BZ294" s="16"/>
      <c r="CA294" s="16"/>
      <c r="CB294" s="16"/>
      <c r="CC294" s="16"/>
    </row>
    <row r="295" spans="1:81" ht="13.5" thickBot="1">
      <c r="A295" s="16"/>
      <c r="B295" s="16"/>
      <c r="C295" s="17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C295" s="16"/>
      <c r="BD295" s="16"/>
      <c r="BE295" s="16"/>
      <c r="BF295" s="16"/>
      <c r="BG295" s="16"/>
      <c r="BH295" s="16"/>
      <c r="BI295" s="16"/>
      <c r="BJ295" s="16"/>
      <c r="BK295" s="16"/>
      <c r="BL295" s="16"/>
      <c r="BM295" s="16"/>
      <c r="BN295" s="16"/>
      <c r="BO295" s="16"/>
      <c r="BP295" s="16"/>
      <c r="BQ295" s="16"/>
      <c r="BR295" s="16"/>
      <c r="BS295" s="16"/>
      <c r="BT295" s="16"/>
      <c r="BU295" s="16"/>
      <c r="BV295" s="16"/>
      <c r="BW295" s="16"/>
      <c r="BX295" s="16"/>
      <c r="BY295" s="16"/>
      <c r="BZ295" s="16"/>
      <c r="CA295" s="16"/>
      <c r="CB295" s="16"/>
      <c r="CC295" s="16"/>
    </row>
    <row r="296" spans="1:81" ht="13.5" thickBot="1">
      <c r="A296" s="16"/>
      <c r="B296" s="16"/>
      <c r="C296" s="17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C296" s="16"/>
      <c r="BD296" s="16"/>
      <c r="BE296" s="16"/>
      <c r="BF296" s="16"/>
      <c r="BG296" s="16"/>
      <c r="BH296" s="16"/>
      <c r="BI296" s="16"/>
      <c r="BJ296" s="16"/>
      <c r="BK296" s="16"/>
      <c r="BL296" s="16"/>
      <c r="BM296" s="16"/>
      <c r="BN296" s="16"/>
      <c r="BO296" s="16"/>
      <c r="BP296" s="16"/>
      <c r="BQ296" s="16"/>
      <c r="BR296" s="16"/>
      <c r="BS296" s="16"/>
      <c r="BT296" s="16"/>
      <c r="BU296" s="16"/>
      <c r="BV296" s="16"/>
      <c r="BW296" s="16"/>
      <c r="BX296" s="16"/>
      <c r="BY296" s="16"/>
      <c r="BZ296" s="16"/>
      <c r="CA296" s="16"/>
      <c r="CB296" s="16"/>
      <c r="CC296" s="16"/>
    </row>
    <row r="297" spans="1:81" ht="13.5" thickBot="1">
      <c r="A297" s="16"/>
      <c r="B297" s="16"/>
      <c r="C297" s="17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C297" s="16"/>
      <c r="BD297" s="16"/>
      <c r="BE297" s="16"/>
      <c r="BF297" s="16"/>
      <c r="BG297" s="16"/>
      <c r="BH297" s="16"/>
      <c r="BI297" s="16"/>
      <c r="BJ297" s="16"/>
      <c r="BK297" s="16"/>
      <c r="BL297" s="16"/>
      <c r="BM297" s="16"/>
      <c r="BN297" s="16"/>
      <c r="BO297" s="16"/>
      <c r="BP297" s="16"/>
      <c r="BQ297" s="16"/>
      <c r="BR297" s="16"/>
      <c r="BS297" s="16"/>
      <c r="BT297" s="16"/>
      <c r="BU297" s="16"/>
      <c r="BV297" s="16"/>
      <c r="BW297" s="16"/>
      <c r="BX297" s="16"/>
      <c r="BY297" s="16"/>
      <c r="BZ297" s="16"/>
      <c r="CA297" s="16"/>
      <c r="CB297" s="16"/>
      <c r="CC297" s="16"/>
    </row>
    <row r="298" spans="1:81" ht="13.5" thickBot="1">
      <c r="A298" s="16"/>
      <c r="B298" s="16"/>
      <c r="C298" s="17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  <c r="BC298" s="16"/>
      <c r="BD298" s="16"/>
      <c r="BE298" s="16"/>
      <c r="BF298" s="16"/>
      <c r="BG298" s="16"/>
      <c r="BH298" s="16"/>
      <c r="BI298" s="16"/>
      <c r="BJ298" s="16"/>
      <c r="BK298" s="16"/>
      <c r="BL298" s="16"/>
      <c r="BM298" s="16"/>
      <c r="BN298" s="16"/>
      <c r="BO298" s="16"/>
      <c r="BP298" s="16"/>
      <c r="BQ298" s="16"/>
      <c r="BR298" s="16"/>
      <c r="BS298" s="16"/>
      <c r="BT298" s="16"/>
      <c r="BU298" s="16"/>
      <c r="BV298" s="16"/>
      <c r="BW298" s="16"/>
      <c r="BX298" s="16"/>
      <c r="BY298" s="16"/>
      <c r="BZ298" s="16"/>
      <c r="CA298" s="16"/>
      <c r="CB298" s="16"/>
      <c r="CC298" s="16"/>
    </row>
    <row r="299" spans="1:81" ht="13.5" thickBot="1">
      <c r="A299" s="16"/>
      <c r="B299" s="16"/>
      <c r="C299" s="17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  <c r="BC299" s="16"/>
      <c r="BD299" s="16"/>
      <c r="BE299" s="16"/>
      <c r="BF299" s="16"/>
      <c r="BG299" s="16"/>
      <c r="BH299" s="16"/>
      <c r="BI299" s="16"/>
      <c r="BJ299" s="16"/>
      <c r="BK299" s="16"/>
      <c r="BL299" s="16"/>
      <c r="BM299" s="16"/>
      <c r="BN299" s="16"/>
      <c r="BO299" s="16"/>
      <c r="BP299" s="16"/>
      <c r="BQ299" s="16"/>
      <c r="BR299" s="16"/>
      <c r="BS299" s="16"/>
      <c r="BT299" s="16"/>
      <c r="BU299" s="16"/>
      <c r="BV299" s="16"/>
      <c r="BW299" s="16"/>
      <c r="BX299" s="16"/>
      <c r="BY299" s="16"/>
      <c r="BZ299" s="16"/>
      <c r="CA299" s="16"/>
      <c r="CB299" s="16"/>
      <c r="CC299" s="16"/>
    </row>
    <row r="300" spans="1:81" ht="13.5" thickBot="1">
      <c r="A300" s="16"/>
      <c r="B300" s="16"/>
      <c r="C300" s="17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C300" s="16"/>
      <c r="BD300" s="16"/>
      <c r="BE300" s="16"/>
      <c r="BF300" s="16"/>
      <c r="BG300" s="16"/>
      <c r="BH300" s="16"/>
      <c r="BI300" s="16"/>
      <c r="BJ300" s="16"/>
      <c r="BK300" s="16"/>
      <c r="BL300" s="16"/>
      <c r="BM300" s="16"/>
      <c r="BN300" s="16"/>
      <c r="BO300" s="16"/>
      <c r="BP300" s="16"/>
      <c r="BQ300" s="16"/>
      <c r="BR300" s="16"/>
      <c r="BS300" s="16"/>
      <c r="BT300" s="16"/>
      <c r="BU300" s="16"/>
      <c r="BV300" s="16"/>
      <c r="BW300" s="16"/>
      <c r="BX300" s="16"/>
      <c r="BY300" s="16"/>
      <c r="BZ300" s="16"/>
      <c r="CA300" s="16"/>
      <c r="CB300" s="16"/>
      <c r="CC300" s="16"/>
    </row>
    <row r="301" spans="1:81" ht="13.5" thickBot="1">
      <c r="A301" s="16"/>
      <c r="B301" s="16"/>
      <c r="C301" s="17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C301" s="16"/>
      <c r="BD301" s="16"/>
      <c r="BE301" s="16"/>
      <c r="BF301" s="16"/>
      <c r="BG301" s="16"/>
      <c r="BH301" s="16"/>
      <c r="BI301" s="16"/>
      <c r="BJ301" s="16"/>
      <c r="BK301" s="16"/>
      <c r="BL301" s="16"/>
      <c r="BM301" s="16"/>
      <c r="BN301" s="16"/>
      <c r="BO301" s="16"/>
      <c r="BP301" s="16"/>
      <c r="BQ301" s="16"/>
      <c r="BR301" s="16"/>
      <c r="BS301" s="16"/>
      <c r="BT301" s="16"/>
      <c r="BU301" s="16"/>
      <c r="BV301" s="16"/>
      <c r="BW301" s="16"/>
      <c r="BX301" s="16"/>
      <c r="BY301" s="16"/>
      <c r="BZ301" s="16"/>
      <c r="CA301" s="16"/>
      <c r="CB301" s="16"/>
      <c r="CC301" s="16"/>
    </row>
    <row r="302" spans="1:81" ht="13.5" thickBot="1">
      <c r="A302" s="16"/>
      <c r="B302" s="16"/>
      <c r="C302" s="17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  <c r="AZ302" s="16"/>
      <c r="BA302" s="16"/>
      <c r="BB302" s="16"/>
      <c r="BC302" s="16"/>
      <c r="BD302" s="16"/>
      <c r="BE302" s="16"/>
      <c r="BF302" s="16"/>
      <c r="BG302" s="16"/>
      <c r="BH302" s="16"/>
      <c r="BI302" s="16"/>
      <c r="BJ302" s="16"/>
      <c r="BK302" s="16"/>
      <c r="BL302" s="16"/>
      <c r="BM302" s="16"/>
      <c r="BN302" s="16"/>
      <c r="BO302" s="16"/>
      <c r="BP302" s="16"/>
      <c r="BQ302" s="16"/>
      <c r="BR302" s="16"/>
      <c r="BS302" s="16"/>
      <c r="BT302" s="16"/>
      <c r="BU302" s="16"/>
      <c r="BV302" s="16"/>
      <c r="BW302" s="16"/>
      <c r="BX302" s="16"/>
      <c r="BY302" s="16"/>
      <c r="BZ302" s="16"/>
      <c r="CA302" s="16"/>
      <c r="CB302" s="16"/>
      <c r="CC302" s="16"/>
    </row>
    <row r="303" spans="1:81" ht="13.5" thickBot="1">
      <c r="A303" s="16"/>
      <c r="B303" s="16"/>
      <c r="C303" s="17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  <c r="AZ303" s="16"/>
      <c r="BA303" s="16"/>
      <c r="BB303" s="16"/>
      <c r="BC303" s="16"/>
      <c r="BD303" s="16"/>
      <c r="BE303" s="16"/>
      <c r="BF303" s="16"/>
      <c r="BG303" s="16"/>
      <c r="BH303" s="16"/>
      <c r="BI303" s="16"/>
      <c r="BJ303" s="16"/>
      <c r="BK303" s="16"/>
      <c r="BL303" s="16"/>
      <c r="BM303" s="16"/>
      <c r="BN303" s="16"/>
      <c r="BO303" s="16"/>
      <c r="BP303" s="16"/>
      <c r="BQ303" s="16"/>
      <c r="BR303" s="16"/>
      <c r="BS303" s="16"/>
      <c r="BT303" s="16"/>
      <c r="BU303" s="16"/>
      <c r="BV303" s="16"/>
      <c r="BW303" s="16"/>
      <c r="BX303" s="16"/>
      <c r="BY303" s="16"/>
      <c r="BZ303" s="16"/>
      <c r="CA303" s="16"/>
      <c r="CB303" s="16"/>
      <c r="CC303" s="16"/>
    </row>
    <row r="304" spans="1:81" ht="13.5" thickBot="1">
      <c r="A304" s="16"/>
      <c r="B304" s="16"/>
      <c r="C304" s="17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  <c r="AZ304" s="16"/>
      <c r="BA304" s="16"/>
      <c r="BB304" s="16"/>
      <c r="BC304" s="16"/>
      <c r="BD304" s="16"/>
      <c r="BE304" s="16"/>
      <c r="BF304" s="16"/>
      <c r="BG304" s="16"/>
      <c r="BH304" s="16"/>
      <c r="BI304" s="16"/>
      <c r="BJ304" s="16"/>
      <c r="BK304" s="16"/>
      <c r="BL304" s="16"/>
      <c r="BM304" s="16"/>
      <c r="BN304" s="16"/>
      <c r="BO304" s="16"/>
      <c r="BP304" s="16"/>
      <c r="BQ304" s="16"/>
      <c r="BR304" s="16"/>
      <c r="BS304" s="16"/>
      <c r="BT304" s="16"/>
      <c r="BU304" s="16"/>
      <c r="BV304" s="16"/>
      <c r="BW304" s="16"/>
      <c r="BX304" s="16"/>
      <c r="BY304" s="16"/>
      <c r="BZ304" s="16"/>
      <c r="CA304" s="16"/>
      <c r="CB304" s="16"/>
      <c r="CC304" s="16"/>
    </row>
    <row r="305" spans="1:81" ht="13.5" thickBot="1">
      <c r="A305" s="16"/>
      <c r="B305" s="16"/>
      <c r="C305" s="17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C305" s="16"/>
      <c r="BD305" s="16"/>
      <c r="BE305" s="16"/>
      <c r="BF305" s="16"/>
      <c r="BG305" s="16"/>
      <c r="BH305" s="16"/>
      <c r="BI305" s="16"/>
      <c r="BJ305" s="16"/>
      <c r="BK305" s="16"/>
      <c r="BL305" s="16"/>
      <c r="BM305" s="16"/>
      <c r="BN305" s="16"/>
      <c r="BO305" s="16"/>
      <c r="BP305" s="16"/>
      <c r="BQ305" s="16"/>
      <c r="BR305" s="16"/>
      <c r="BS305" s="16"/>
      <c r="BT305" s="16"/>
      <c r="BU305" s="16"/>
      <c r="BV305" s="16"/>
      <c r="BW305" s="16"/>
      <c r="BX305" s="16"/>
      <c r="BY305" s="16"/>
      <c r="BZ305" s="16"/>
      <c r="CA305" s="16"/>
      <c r="CB305" s="16"/>
      <c r="CC305" s="16"/>
    </row>
    <row r="306" spans="1:81" ht="13.5" thickBot="1">
      <c r="A306" s="16"/>
      <c r="B306" s="16"/>
      <c r="C306" s="17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C306" s="16"/>
      <c r="BD306" s="16"/>
      <c r="BE306" s="16"/>
      <c r="BF306" s="16"/>
      <c r="BG306" s="16"/>
      <c r="BH306" s="16"/>
      <c r="BI306" s="16"/>
      <c r="BJ306" s="16"/>
      <c r="BK306" s="16"/>
      <c r="BL306" s="16"/>
      <c r="BM306" s="16"/>
      <c r="BN306" s="16"/>
      <c r="BO306" s="16"/>
      <c r="BP306" s="16"/>
      <c r="BQ306" s="16"/>
      <c r="BR306" s="16"/>
      <c r="BS306" s="16"/>
      <c r="BT306" s="16"/>
      <c r="BU306" s="16"/>
      <c r="BV306" s="16"/>
      <c r="BW306" s="16"/>
      <c r="BX306" s="16"/>
      <c r="BY306" s="16"/>
      <c r="BZ306" s="16"/>
      <c r="CA306" s="16"/>
      <c r="CB306" s="16"/>
      <c r="CC306" s="16"/>
    </row>
    <row r="307" spans="1:81" ht="13.5" thickBot="1">
      <c r="A307" s="16"/>
      <c r="B307" s="16"/>
      <c r="C307" s="17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  <c r="AZ307" s="16"/>
      <c r="BA307" s="16"/>
      <c r="BB307" s="16"/>
      <c r="BC307" s="16"/>
      <c r="BD307" s="16"/>
      <c r="BE307" s="16"/>
      <c r="BF307" s="16"/>
      <c r="BG307" s="16"/>
      <c r="BH307" s="16"/>
      <c r="BI307" s="16"/>
      <c r="BJ307" s="16"/>
      <c r="BK307" s="16"/>
      <c r="BL307" s="16"/>
      <c r="BM307" s="16"/>
      <c r="BN307" s="16"/>
      <c r="BO307" s="16"/>
      <c r="BP307" s="16"/>
      <c r="BQ307" s="16"/>
      <c r="BR307" s="16"/>
      <c r="BS307" s="16"/>
      <c r="BT307" s="16"/>
      <c r="BU307" s="16"/>
      <c r="BV307" s="16"/>
      <c r="BW307" s="16"/>
      <c r="BX307" s="16"/>
      <c r="BY307" s="16"/>
      <c r="BZ307" s="16"/>
      <c r="CA307" s="16"/>
      <c r="CB307" s="16"/>
      <c r="CC307" s="16"/>
    </row>
    <row r="308" spans="1:81" ht="13.5" thickBot="1">
      <c r="A308" s="16"/>
      <c r="B308" s="16"/>
      <c r="C308" s="17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C308" s="16"/>
      <c r="BD308" s="16"/>
      <c r="BE308" s="16"/>
      <c r="BF308" s="16"/>
      <c r="BG308" s="16"/>
      <c r="BH308" s="16"/>
      <c r="BI308" s="16"/>
      <c r="BJ308" s="16"/>
      <c r="BK308" s="16"/>
      <c r="BL308" s="16"/>
      <c r="BM308" s="16"/>
      <c r="BN308" s="16"/>
      <c r="BO308" s="16"/>
      <c r="BP308" s="16"/>
      <c r="BQ308" s="16"/>
      <c r="BR308" s="16"/>
      <c r="BS308" s="16"/>
      <c r="BT308" s="16"/>
      <c r="BU308" s="16"/>
      <c r="BV308" s="16"/>
      <c r="BW308" s="16"/>
      <c r="BX308" s="16"/>
      <c r="BY308" s="16"/>
      <c r="BZ308" s="16"/>
      <c r="CA308" s="16"/>
      <c r="CB308" s="16"/>
      <c r="CC308" s="16"/>
    </row>
    <row r="309" spans="1:81" ht="13.5" thickBot="1">
      <c r="A309" s="16"/>
      <c r="B309" s="16"/>
      <c r="C309" s="17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  <c r="BB309" s="16"/>
      <c r="BC309" s="16"/>
      <c r="BD309" s="16"/>
      <c r="BE309" s="16"/>
      <c r="BF309" s="16"/>
      <c r="BG309" s="16"/>
      <c r="BH309" s="16"/>
      <c r="BI309" s="16"/>
      <c r="BJ309" s="16"/>
      <c r="BK309" s="16"/>
      <c r="BL309" s="16"/>
      <c r="BM309" s="16"/>
      <c r="BN309" s="16"/>
      <c r="BO309" s="16"/>
      <c r="BP309" s="16"/>
      <c r="BQ309" s="16"/>
      <c r="BR309" s="16"/>
      <c r="BS309" s="16"/>
      <c r="BT309" s="16"/>
      <c r="BU309" s="16"/>
      <c r="BV309" s="16"/>
      <c r="BW309" s="16"/>
      <c r="BX309" s="16"/>
      <c r="BY309" s="16"/>
      <c r="BZ309" s="16"/>
      <c r="CA309" s="16"/>
      <c r="CB309" s="16"/>
      <c r="CC309" s="16"/>
    </row>
    <row r="310" spans="1:81" ht="13.5" thickBot="1">
      <c r="A310" s="16"/>
      <c r="B310" s="16"/>
      <c r="C310" s="17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  <c r="AZ310" s="16"/>
      <c r="BA310" s="16"/>
      <c r="BB310" s="16"/>
      <c r="BC310" s="16"/>
      <c r="BD310" s="16"/>
      <c r="BE310" s="16"/>
      <c r="BF310" s="16"/>
      <c r="BG310" s="16"/>
      <c r="BH310" s="16"/>
      <c r="BI310" s="16"/>
      <c r="BJ310" s="16"/>
      <c r="BK310" s="16"/>
      <c r="BL310" s="16"/>
      <c r="BM310" s="16"/>
      <c r="BN310" s="16"/>
      <c r="BO310" s="16"/>
      <c r="BP310" s="16"/>
      <c r="BQ310" s="16"/>
      <c r="BR310" s="16"/>
      <c r="BS310" s="16"/>
      <c r="BT310" s="16"/>
      <c r="BU310" s="16"/>
      <c r="BV310" s="16"/>
      <c r="BW310" s="16"/>
      <c r="BX310" s="16"/>
      <c r="BY310" s="16"/>
      <c r="BZ310" s="16"/>
      <c r="CA310" s="16"/>
      <c r="CB310" s="16"/>
      <c r="CC310" s="16"/>
    </row>
    <row r="311" spans="1:81" ht="13.5" thickBot="1">
      <c r="A311" s="16"/>
      <c r="B311" s="16"/>
      <c r="C311" s="17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  <c r="AZ311" s="16"/>
      <c r="BA311" s="16"/>
      <c r="BB311" s="16"/>
      <c r="BC311" s="16"/>
      <c r="BD311" s="16"/>
      <c r="BE311" s="16"/>
      <c r="BF311" s="16"/>
      <c r="BG311" s="16"/>
      <c r="BH311" s="16"/>
      <c r="BI311" s="16"/>
      <c r="BJ311" s="16"/>
      <c r="BK311" s="16"/>
      <c r="BL311" s="16"/>
      <c r="BM311" s="16"/>
      <c r="BN311" s="16"/>
      <c r="BO311" s="16"/>
      <c r="BP311" s="16"/>
      <c r="BQ311" s="16"/>
      <c r="BR311" s="16"/>
      <c r="BS311" s="16"/>
      <c r="BT311" s="16"/>
      <c r="BU311" s="16"/>
      <c r="BV311" s="16"/>
      <c r="BW311" s="16"/>
      <c r="BX311" s="16"/>
      <c r="BY311" s="16"/>
      <c r="BZ311" s="16"/>
      <c r="CA311" s="16"/>
      <c r="CB311" s="16"/>
      <c r="CC311" s="16"/>
    </row>
    <row r="312" spans="1:81" ht="13.5" thickBot="1">
      <c r="A312" s="16"/>
      <c r="B312" s="16"/>
      <c r="C312" s="17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16"/>
      <c r="BB312" s="16"/>
      <c r="BC312" s="16"/>
      <c r="BD312" s="16"/>
      <c r="BE312" s="16"/>
      <c r="BF312" s="16"/>
      <c r="BG312" s="16"/>
      <c r="BH312" s="16"/>
      <c r="BI312" s="16"/>
      <c r="BJ312" s="16"/>
      <c r="BK312" s="16"/>
      <c r="BL312" s="16"/>
      <c r="BM312" s="16"/>
      <c r="BN312" s="16"/>
      <c r="BO312" s="16"/>
      <c r="BP312" s="16"/>
      <c r="BQ312" s="16"/>
      <c r="BR312" s="16"/>
      <c r="BS312" s="16"/>
      <c r="BT312" s="16"/>
      <c r="BU312" s="16"/>
      <c r="BV312" s="16"/>
      <c r="BW312" s="16"/>
      <c r="BX312" s="16"/>
      <c r="BY312" s="16"/>
      <c r="BZ312" s="16"/>
      <c r="CA312" s="16"/>
      <c r="CB312" s="16"/>
      <c r="CC312" s="16"/>
    </row>
    <row r="313" spans="1:81" ht="13.5" thickBot="1">
      <c r="A313" s="16"/>
      <c r="B313" s="16"/>
      <c r="C313" s="17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  <c r="AY313" s="16"/>
      <c r="AZ313" s="16"/>
      <c r="BA313" s="16"/>
      <c r="BB313" s="16"/>
      <c r="BC313" s="16"/>
      <c r="BD313" s="16"/>
      <c r="BE313" s="16"/>
      <c r="BF313" s="16"/>
      <c r="BG313" s="16"/>
      <c r="BH313" s="16"/>
      <c r="BI313" s="16"/>
      <c r="BJ313" s="16"/>
      <c r="BK313" s="16"/>
      <c r="BL313" s="16"/>
      <c r="BM313" s="16"/>
      <c r="BN313" s="16"/>
      <c r="BO313" s="16"/>
      <c r="BP313" s="16"/>
      <c r="BQ313" s="16"/>
      <c r="BR313" s="16"/>
      <c r="BS313" s="16"/>
      <c r="BT313" s="16"/>
      <c r="BU313" s="16"/>
      <c r="BV313" s="16"/>
      <c r="BW313" s="16"/>
      <c r="BX313" s="16"/>
      <c r="BY313" s="16"/>
      <c r="BZ313" s="16"/>
      <c r="CA313" s="16"/>
      <c r="CB313" s="16"/>
      <c r="CC313" s="16"/>
    </row>
    <row r="314" spans="1:81" ht="13.5" thickBot="1">
      <c r="A314" s="16"/>
      <c r="B314" s="16"/>
      <c r="C314" s="17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  <c r="AY314" s="16"/>
      <c r="AZ314" s="16"/>
      <c r="BA314" s="16"/>
      <c r="BB314" s="16"/>
      <c r="BC314" s="16"/>
      <c r="BD314" s="16"/>
      <c r="BE314" s="16"/>
      <c r="BF314" s="16"/>
      <c r="BG314" s="16"/>
      <c r="BH314" s="16"/>
      <c r="BI314" s="16"/>
      <c r="BJ314" s="16"/>
      <c r="BK314" s="16"/>
      <c r="BL314" s="16"/>
      <c r="BM314" s="16"/>
      <c r="BN314" s="16"/>
      <c r="BO314" s="16"/>
      <c r="BP314" s="16"/>
      <c r="BQ314" s="16"/>
      <c r="BR314" s="16"/>
      <c r="BS314" s="16"/>
      <c r="BT314" s="16"/>
      <c r="BU314" s="16"/>
      <c r="BV314" s="16"/>
      <c r="BW314" s="16"/>
      <c r="BX314" s="16"/>
      <c r="BY314" s="16"/>
      <c r="BZ314" s="16"/>
      <c r="CA314" s="16"/>
      <c r="CB314" s="16"/>
      <c r="CC314" s="16"/>
    </row>
    <row r="315" spans="1:81" ht="13.5" thickBot="1">
      <c r="A315" s="16"/>
      <c r="B315" s="16"/>
      <c r="C315" s="17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  <c r="BB315" s="16"/>
      <c r="BC315" s="16"/>
      <c r="BD315" s="16"/>
      <c r="BE315" s="16"/>
      <c r="BF315" s="16"/>
      <c r="BG315" s="16"/>
      <c r="BH315" s="16"/>
      <c r="BI315" s="16"/>
      <c r="BJ315" s="16"/>
      <c r="BK315" s="16"/>
      <c r="BL315" s="16"/>
      <c r="BM315" s="16"/>
      <c r="BN315" s="16"/>
      <c r="BO315" s="16"/>
      <c r="BP315" s="16"/>
      <c r="BQ315" s="16"/>
      <c r="BR315" s="16"/>
      <c r="BS315" s="16"/>
      <c r="BT315" s="16"/>
      <c r="BU315" s="16"/>
      <c r="BV315" s="16"/>
      <c r="BW315" s="16"/>
      <c r="BX315" s="16"/>
      <c r="BY315" s="16"/>
      <c r="BZ315" s="16"/>
      <c r="CA315" s="16"/>
      <c r="CB315" s="16"/>
      <c r="CC315" s="16"/>
    </row>
    <row r="316" spans="1:81" ht="13.5" thickBot="1">
      <c r="A316" s="16"/>
      <c r="B316" s="16"/>
      <c r="C316" s="17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  <c r="AZ316" s="16"/>
      <c r="BA316" s="16"/>
      <c r="BB316" s="16"/>
      <c r="BC316" s="16"/>
      <c r="BD316" s="16"/>
      <c r="BE316" s="16"/>
      <c r="BF316" s="16"/>
      <c r="BG316" s="16"/>
      <c r="BH316" s="16"/>
      <c r="BI316" s="16"/>
      <c r="BJ316" s="16"/>
      <c r="BK316" s="16"/>
      <c r="BL316" s="16"/>
      <c r="BM316" s="16"/>
      <c r="BN316" s="16"/>
      <c r="BO316" s="16"/>
      <c r="BP316" s="16"/>
      <c r="BQ316" s="16"/>
      <c r="BR316" s="16"/>
      <c r="BS316" s="16"/>
      <c r="BT316" s="16"/>
      <c r="BU316" s="16"/>
      <c r="BV316" s="16"/>
      <c r="BW316" s="16"/>
      <c r="BX316" s="16"/>
      <c r="BY316" s="16"/>
      <c r="BZ316" s="16"/>
      <c r="CA316" s="16"/>
      <c r="CB316" s="16"/>
      <c r="CC316" s="16"/>
    </row>
    <row r="317" spans="1:81" ht="13.5" thickBot="1">
      <c r="A317" s="16"/>
      <c r="B317" s="16"/>
      <c r="C317" s="17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  <c r="AY317" s="16"/>
      <c r="AZ317" s="16"/>
      <c r="BA317" s="16"/>
      <c r="BB317" s="16"/>
      <c r="BC317" s="16"/>
      <c r="BD317" s="16"/>
      <c r="BE317" s="16"/>
      <c r="BF317" s="16"/>
      <c r="BG317" s="16"/>
      <c r="BH317" s="16"/>
      <c r="BI317" s="16"/>
      <c r="BJ317" s="16"/>
      <c r="BK317" s="16"/>
      <c r="BL317" s="16"/>
      <c r="BM317" s="16"/>
      <c r="BN317" s="16"/>
      <c r="BO317" s="16"/>
      <c r="BP317" s="16"/>
      <c r="BQ317" s="16"/>
      <c r="BR317" s="16"/>
      <c r="BS317" s="16"/>
      <c r="BT317" s="16"/>
      <c r="BU317" s="16"/>
      <c r="BV317" s="16"/>
      <c r="BW317" s="16"/>
      <c r="BX317" s="16"/>
      <c r="BY317" s="16"/>
      <c r="BZ317" s="16"/>
      <c r="CA317" s="16"/>
      <c r="CB317" s="16"/>
      <c r="CC317" s="16"/>
    </row>
    <row r="318" spans="1:81" ht="13.5" thickBot="1">
      <c r="A318" s="16"/>
      <c r="B318" s="16"/>
      <c r="C318" s="17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  <c r="AZ318" s="16"/>
      <c r="BA318" s="16"/>
      <c r="BB318" s="16"/>
      <c r="BC318" s="16"/>
      <c r="BD318" s="16"/>
      <c r="BE318" s="16"/>
      <c r="BF318" s="16"/>
      <c r="BG318" s="16"/>
      <c r="BH318" s="16"/>
      <c r="BI318" s="16"/>
      <c r="BJ318" s="16"/>
      <c r="BK318" s="16"/>
      <c r="BL318" s="16"/>
      <c r="BM318" s="16"/>
      <c r="BN318" s="16"/>
      <c r="BO318" s="16"/>
      <c r="BP318" s="16"/>
      <c r="BQ318" s="16"/>
      <c r="BR318" s="16"/>
      <c r="BS318" s="16"/>
      <c r="BT318" s="16"/>
      <c r="BU318" s="16"/>
      <c r="BV318" s="16"/>
      <c r="BW318" s="16"/>
      <c r="BX318" s="16"/>
      <c r="BY318" s="16"/>
      <c r="BZ318" s="16"/>
      <c r="CA318" s="16"/>
      <c r="CB318" s="16"/>
      <c r="CC318" s="16"/>
    </row>
    <row r="319" spans="1:81" ht="13.5" thickBot="1">
      <c r="A319" s="16"/>
      <c r="B319" s="16"/>
      <c r="C319" s="17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  <c r="AZ319" s="16"/>
      <c r="BA319" s="16"/>
      <c r="BB319" s="16"/>
      <c r="BC319" s="16"/>
      <c r="BD319" s="16"/>
      <c r="BE319" s="16"/>
      <c r="BF319" s="16"/>
      <c r="BG319" s="16"/>
      <c r="BH319" s="16"/>
      <c r="BI319" s="16"/>
      <c r="BJ319" s="16"/>
      <c r="BK319" s="16"/>
      <c r="BL319" s="16"/>
      <c r="BM319" s="16"/>
      <c r="BN319" s="16"/>
      <c r="BO319" s="16"/>
      <c r="BP319" s="16"/>
      <c r="BQ319" s="16"/>
      <c r="BR319" s="16"/>
      <c r="BS319" s="16"/>
      <c r="BT319" s="16"/>
      <c r="BU319" s="16"/>
      <c r="BV319" s="16"/>
      <c r="BW319" s="16"/>
      <c r="BX319" s="16"/>
      <c r="BY319" s="16"/>
      <c r="BZ319" s="16"/>
      <c r="CA319" s="16"/>
      <c r="CB319" s="16"/>
      <c r="CC319" s="16"/>
    </row>
    <row r="320" spans="1:81" ht="13.5" thickBot="1">
      <c r="A320" s="16"/>
      <c r="B320" s="16"/>
      <c r="C320" s="17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  <c r="AZ320" s="16"/>
      <c r="BA320" s="16"/>
      <c r="BB320" s="16"/>
      <c r="BC320" s="16"/>
      <c r="BD320" s="16"/>
      <c r="BE320" s="16"/>
      <c r="BF320" s="16"/>
      <c r="BG320" s="16"/>
      <c r="BH320" s="16"/>
      <c r="BI320" s="16"/>
      <c r="BJ320" s="16"/>
      <c r="BK320" s="16"/>
      <c r="BL320" s="16"/>
      <c r="BM320" s="16"/>
      <c r="BN320" s="16"/>
      <c r="BO320" s="16"/>
      <c r="BP320" s="16"/>
      <c r="BQ320" s="16"/>
      <c r="BR320" s="16"/>
      <c r="BS320" s="16"/>
      <c r="BT320" s="16"/>
      <c r="BU320" s="16"/>
      <c r="BV320" s="16"/>
      <c r="BW320" s="16"/>
      <c r="BX320" s="16"/>
      <c r="BY320" s="16"/>
      <c r="BZ320" s="16"/>
      <c r="CA320" s="16"/>
      <c r="CB320" s="16"/>
      <c r="CC320" s="16"/>
    </row>
    <row r="321" spans="1:81" ht="13.5" thickBot="1">
      <c r="A321" s="16"/>
      <c r="B321" s="16"/>
      <c r="C321" s="17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  <c r="AZ321" s="16"/>
      <c r="BA321" s="16"/>
      <c r="BB321" s="16"/>
      <c r="BC321" s="16"/>
      <c r="BD321" s="16"/>
      <c r="BE321" s="16"/>
      <c r="BF321" s="16"/>
      <c r="BG321" s="16"/>
      <c r="BH321" s="16"/>
      <c r="BI321" s="16"/>
      <c r="BJ321" s="16"/>
      <c r="BK321" s="16"/>
      <c r="BL321" s="16"/>
      <c r="BM321" s="16"/>
      <c r="BN321" s="16"/>
      <c r="BO321" s="16"/>
      <c r="BP321" s="16"/>
      <c r="BQ321" s="16"/>
      <c r="BR321" s="16"/>
      <c r="BS321" s="16"/>
      <c r="BT321" s="16"/>
      <c r="BU321" s="16"/>
      <c r="BV321" s="16"/>
      <c r="BW321" s="16"/>
      <c r="BX321" s="16"/>
      <c r="BY321" s="16"/>
      <c r="BZ321" s="16"/>
      <c r="CA321" s="16"/>
      <c r="CB321" s="16"/>
      <c r="CC321" s="16"/>
    </row>
    <row r="322" spans="1:81" ht="13.5" thickBot="1">
      <c r="A322" s="16"/>
      <c r="B322" s="16"/>
      <c r="C322" s="17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  <c r="AZ322" s="16"/>
      <c r="BA322" s="16"/>
      <c r="BB322" s="16"/>
      <c r="BC322" s="16"/>
      <c r="BD322" s="16"/>
      <c r="BE322" s="16"/>
      <c r="BF322" s="16"/>
      <c r="BG322" s="16"/>
      <c r="BH322" s="16"/>
      <c r="BI322" s="16"/>
      <c r="BJ322" s="16"/>
      <c r="BK322" s="16"/>
      <c r="BL322" s="16"/>
      <c r="BM322" s="16"/>
      <c r="BN322" s="16"/>
      <c r="BO322" s="16"/>
      <c r="BP322" s="16"/>
      <c r="BQ322" s="16"/>
      <c r="BR322" s="16"/>
      <c r="BS322" s="16"/>
      <c r="BT322" s="16"/>
      <c r="BU322" s="16"/>
      <c r="BV322" s="16"/>
      <c r="BW322" s="16"/>
      <c r="BX322" s="16"/>
      <c r="BY322" s="16"/>
      <c r="BZ322" s="16"/>
      <c r="CA322" s="16"/>
      <c r="CB322" s="16"/>
      <c r="CC322" s="16"/>
    </row>
    <row r="323" spans="1:81" ht="13.5" thickBot="1">
      <c r="A323" s="16"/>
      <c r="B323" s="16"/>
      <c r="C323" s="17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  <c r="BB323" s="16"/>
      <c r="BC323" s="16"/>
      <c r="BD323" s="16"/>
      <c r="BE323" s="16"/>
      <c r="BF323" s="16"/>
      <c r="BG323" s="16"/>
      <c r="BH323" s="16"/>
      <c r="BI323" s="16"/>
      <c r="BJ323" s="16"/>
      <c r="BK323" s="16"/>
      <c r="BL323" s="16"/>
      <c r="BM323" s="16"/>
      <c r="BN323" s="16"/>
      <c r="BO323" s="16"/>
      <c r="BP323" s="16"/>
      <c r="BQ323" s="16"/>
      <c r="BR323" s="16"/>
      <c r="BS323" s="16"/>
      <c r="BT323" s="16"/>
      <c r="BU323" s="16"/>
      <c r="BV323" s="16"/>
      <c r="BW323" s="16"/>
      <c r="BX323" s="16"/>
      <c r="BY323" s="16"/>
      <c r="BZ323" s="16"/>
      <c r="CA323" s="16"/>
      <c r="CB323" s="16"/>
      <c r="CC323" s="16"/>
    </row>
    <row r="324" spans="1:81" ht="13.5" thickBot="1">
      <c r="A324" s="16"/>
      <c r="B324" s="16"/>
      <c r="C324" s="17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  <c r="AZ324" s="16"/>
      <c r="BA324" s="16"/>
      <c r="BB324" s="16"/>
      <c r="BC324" s="16"/>
      <c r="BD324" s="16"/>
      <c r="BE324" s="16"/>
      <c r="BF324" s="16"/>
      <c r="BG324" s="16"/>
      <c r="BH324" s="16"/>
      <c r="BI324" s="16"/>
      <c r="BJ324" s="16"/>
      <c r="BK324" s="16"/>
      <c r="BL324" s="16"/>
      <c r="BM324" s="16"/>
      <c r="BN324" s="16"/>
      <c r="BO324" s="16"/>
      <c r="BP324" s="16"/>
      <c r="BQ324" s="16"/>
      <c r="BR324" s="16"/>
      <c r="BS324" s="16"/>
      <c r="BT324" s="16"/>
      <c r="BU324" s="16"/>
      <c r="BV324" s="16"/>
      <c r="BW324" s="16"/>
      <c r="BX324" s="16"/>
      <c r="BY324" s="16"/>
      <c r="BZ324" s="16"/>
      <c r="CA324" s="16"/>
      <c r="CB324" s="16"/>
      <c r="CC324" s="16"/>
    </row>
    <row r="325" spans="1:81" ht="13.5" thickBot="1">
      <c r="A325" s="16"/>
      <c r="B325" s="16"/>
      <c r="C325" s="17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  <c r="AZ325" s="16"/>
      <c r="BA325" s="16"/>
      <c r="BB325" s="16"/>
      <c r="BC325" s="16"/>
      <c r="BD325" s="16"/>
      <c r="BE325" s="16"/>
      <c r="BF325" s="16"/>
      <c r="BG325" s="16"/>
      <c r="BH325" s="16"/>
      <c r="BI325" s="16"/>
      <c r="BJ325" s="16"/>
      <c r="BK325" s="16"/>
      <c r="BL325" s="16"/>
      <c r="BM325" s="16"/>
      <c r="BN325" s="16"/>
      <c r="BO325" s="16"/>
      <c r="BP325" s="16"/>
      <c r="BQ325" s="16"/>
      <c r="BR325" s="16"/>
      <c r="BS325" s="16"/>
      <c r="BT325" s="16"/>
      <c r="BU325" s="16"/>
      <c r="BV325" s="16"/>
      <c r="BW325" s="16"/>
      <c r="BX325" s="16"/>
      <c r="BY325" s="16"/>
      <c r="BZ325" s="16"/>
      <c r="CA325" s="16"/>
      <c r="CB325" s="16"/>
      <c r="CC325" s="16"/>
    </row>
    <row r="326" spans="1:81" ht="13.5" thickBot="1">
      <c r="A326" s="16"/>
      <c r="B326" s="16"/>
      <c r="C326" s="17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  <c r="BB326" s="16"/>
      <c r="BC326" s="16"/>
      <c r="BD326" s="16"/>
      <c r="BE326" s="16"/>
      <c r="BF326" s="16"/>
      <c r="BG326" s="16"/>
      <c r="BH326" s="16"/>
      <c r="BI326" s="16"/>
      <c r="BJ326" s="16"/>
      <c r="BK326" s="16"/>
      <c r="BL326" s="16"/>
      <c r="BM326" s="16"/>
      <c r="BN326" s="16"/>
      <c r="BO326" s="16"/>
      <c r="BP326" s="16"/>
      <c r="BQ326" s="16"/>
      <c r="BR326" s="16"/>
      <c r="BS326" s="16"/>
      <c r="BT326" s="16"/>
      <c r="BU326" s="16"/>
      <c r="BV326" s="16"/>
      <c r="BW326" s="16"/>
      <c r="BX326" s="16"/>
      <c r="BY326" s="16"/>
      <c r="BZ326" s="16"/>
      <c r="CA326" s="16"/>
      <c r="CB326" s="16"/>
      <c r="CC326" s="16"/>
    </row>
    <row r="327" spans="1:81" ht="13.5" thickBot="1">
      <c r="A327" s="16"/>
      <c r="B327" s="16"/>
      <c r="C327" s="17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  <c r="AZ327" s="16"/>
      <c r="BA327" s="16"/>
      <c r="BB327" s="16"/>
      <c r="BC327" s="16"/>
      <c r="BD327" s="16"/>
      <c r="BE327" s="16"/>
      <c r="BF327" s="16"/>
      <c r="BG327" s="16"/>
      <c r="BH327" s="16"/>
      <c r="BI327" s="16"/>
      <c r="BJ327" s="16"/>
      <c r="BK327" s="16"/>
      <c r="BL327" s="16"/>
      <c r="BM327" s="16"/>
      <c r="BN327" s="16"/>
      <c r="BO327" s="16"/>
      <c r="BP327" s="16"/>
      <c r="BQ327" s="16"/>
      <c r="BR327" s="16"/>
      <c r="BS327" s="16"/>
      <c r="BT327" s="16"/>
      <c r="BU327" s="16"/>
      <c r="BV327" s="16"/>
      <c r="BW327" s="16"/>
      <c r="BX327" s="16"/>
      <c r="BY327" s="16"/>
      <c r="BZ327" s="16"/>
      <c r="CA327" s="16"/>
      <c r="CB327" s="16"/>
      <c r="CC327" s="16"/>
    </row>
    <row r="328" spans="1:81" ht="13.5" thickBot="1">
      <c r="A328" s="16"/>
      <c r="B328" s="16"/>
      <c r="C328" s="17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  <c r="AZ328" s="16"/>
      <c r="BA328" s="16"/>
      <c r="BB328" s="16"/>
      <c r="BC328" s="16"/>
      <c r="BD328" s="16"/>
      <c r="BE328" s="16"/>
      <c r="BF328" s="16"/>
      <c r="BG328" s="16"/>
      <c r="BH328" s="16"/>
      <c r="BI328" s="16"/>
      <c r="BJ328" s="16"/>
      <c r="BK328" s="16"/>
      <c r="BL328" s="16"/>
      <c r="BM328" s="16"/>
      <c r="BN328" s="16"/>
      <c r="BO328" s="16"/>
      <c r="BP328" s="16"/>
      <c r="BQ328" s="16"/>
      <c r="BR328" s="16"/>
      <c r="BS328" s="16"/>
      <c r="BT328" s="16"/>
      <c r="BU328" s="16"/>
      <c r="BV328" s="16"/>
      <c r="BW328" s="16"/>
      <c r="BX328" s="16"/>
      <c r="BY328" s="16"/>
      <c r="BZ328" s="16"/>
      <c r="CA328" s="16"/>
      <c r="CB328" s="16"/>
      <c r="CC328" s="16"/>
    </row>
    <row r="329" spans="1:81" ht="13.5" thickBot="1">
      <c r="A329" s="16"/>
      <c r="B329" s="16"/>
      <c r="C329" s="17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  <c r="BB329" s="16"/>
      <c r="BC329" s="16"/>
      <c r="BD329" s="16"/>
      <c r="BE329" s="16"/>
      <c r="BF329" s="16"/>
      <c r="BG329" s="16"/>
      <c r="BH329" s="16"/>
      <c r="BI329" s="16"/>
      <c r="BJ329" s="16"/>
      <c r="BK329" s="16"/>
      <c r="BL329" s="16"/>
      <c r="BM329" s="16"/>
      <c r="BN329" s="16"/>
      <c r="BO329" s="16"/>
      <c r="BP329" s="16"/>
      <c r="BQ329" s="16"/>
      <c r="BR329" s="16"/>
      <c r="BS329" s="16"/>
      <c r="BT329" s="16"/>
      <c r="BU329" s="16"/>
      <c r="BV329" s="16"/>
      <c r="BW329" s="16"/>
      <c r="BX329" s="16"/>
      <c r="BY329" s="16"/>
      <c r="BZ329" s="16"/>
      <c r="CA329" s="16"/>
      <c r="CB329" s="16"/>
      <c r="CC329" s="16"/>
    </row>
    <row r="330" spans="1:81" ht="13.5" thickBot="1">
      <c r="A330" s="16"/>
      <c r="B330" s="16"/>
      <c r="C330" s="17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  <c r="AZ330" s="16"/>
      <c r="BA330" s="16"/>
      <c r="BB330" s="16"/>
      <c r="BC330" s="16"/>
      <c r="BD330" s="16"/>
      <c r="BE330" s="16"/>
      <c r="BF330" s="16"/>
      <c r="BG330" s="16"/>
      <c r="BH330" s="16"/>
      <c r="BI330" s="16"/>
      <c r="BJ330" s="16"/>
      <c r="BK330" s="16"/>
      <c r="BL330" s="16"/>
      <c r="BM330" s="16"/>
      <c r="BN330" s="16"/>
      <c r="BO330" s="16"/>
      <c r="BP330" s="16"/>
      <c r="BQ330" s="16"/>
      <c r="BR330" s="16"/>
      <c r="BS330" s="16"/>
      <c r="BT330" s="16"/>
      <c r="BU330" s="16"/>
      <c r="BV330" s="16"/>
      <c r="BW330" s="16"/>
      <c r="BX330" s="16"/>
      <c r="BY330" s="16"/>
      <c r="BZ330" s="16"/>
      <c r="CA330" s="16"/>
      <c r="CB330" s="16"/>
      <c r="CC330" s="16"/>
    </row>
    <row r="331" spans="1:81" ht="13.5" thickBot="1">
      <c r="A331" s="16"/>
      <c r="B331" s="16"/>
      <c r="C331" s="17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  <c r="AZ331" s="16"/>
      <c r="BA331" s="16"/>
      <c r="BB331" s="16"/>
      <c r="BC331" s="16"/>
      <c r="BD331" s="16"/>
      <c r="BE331" s="16"/>
      <c r="BF331" s="16"/>
      <c r="BG331" s="16"/>
      <c r="BH331" s="16"/>
      <c r="BI331" s="16"/>
      <c r="BJ331" s="16"/>
      <c r="BK331" s="16"/>
      <c r="BL331" s="16"/>
      <c r="BM331" s="16"/>
      <c r="BN331" s="16"/>
      <c r="BO331" s="16"/>
      <c r="BP331" s="16"/>
      <c r="BQ331" s="16"/>
      <c r="BR331" s="16"/>
      <c r="BS331" s="16"/>
      <c r="BT331" s="16"/>
      <c r="BU331" s="16"/>
      <c r="BV331" s="16"/>
      <c r="BW331" s="16"/>
      <c r="BX331" s="16"/>
      <c r="BY331" s="16"/>
      <c r="BZ331" s="16"/>
      <c r="CA331" s="16"/>
      <c r="CB331" s="16"/>
      <c r="CC331" s="16"/>
    </row>
    <row r="332" spans="1:81" ht="13.5" thickBot="1">
      <c r="A332" s="16"/>
      <c r="B332" s="16"/>
      <c r="C332" s="17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  <c r="BB332" s="16"/>
      <c r="BC332" s="16"/>
      <c r="BD332" s="16"/>
      <c r="BE332" s="16"/>
      <c r="BF332" s="16"/>
      <c r="BG332" s="16"/>
      <c r="BH332" s="16"/>
      <c r="BI332" s="16"/>
      <c r="BJ332" s="16"/>
      <c r="BK332" s="16"/>
      <c r="BL332" s="16"/>
      <c r="BM332" s="16"/>
      <c r="BN332" s="16"/>
      <c r="BO332" s="16"/>
      <c r="BP332" s="16"/>
      <c r="BQ332" s="16"/>
      <c r="BR332" s="16"/>
      <c r="BS332" s="16"/>
      <c r="BT332" s="16"/>
      <c r="BU332" s="16"/>
      <c r="BV332" s="16"/>
      <c r="BW332" s="16"/>
      <c r="BX332" s="16"/>
      <c r="BY332" s="16"/>
      <c r="BZ332" s="16"/>
      <c r="CA332" s="16"/>
      <c r="CB332" s="16"/>
      <c r="CC332" s="16"/>
    </row>
    <row r="333" spans="1:81" ht="13.5" thickBot="1">
      <c r="A333" s="16"/>
      <c r="B333" s="16"/>
      <c r="C333" s="17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  <c r="AZ333" s="16"/>
      <c r="BA333" s="16"/>
      <c r="BB333" s="16"/>
      <c r="BC333" s="16"/>
      <c r="BD333" s="16"/>
      <c r="BE333" s="16"/>
      <c r="BF333" s="16"/>
      <c r="BG333" s="16"/>
      <c r="BH333" s="16"/>
      <c r="BI333" s="16"/>
      <c r="BJ333" s="16"/>
      <c r="BK333" s="16"/>
      <c r="BL333" s="16"/>
      <c r="BM333" s="16"/>
      <c r="BN333" s="16"/>
      <c r="BO333" s="16"/>
      <c r="BP333" s="16"/>
      <c r="BQ333" s="16"/>
      <c r="BR333" s="16"/>
      <c r="BS333" s="16"/>
      <c r="BT333" s="16"/>
      <c r="BU333" s="16"/>
      <c r="BV333" s="16"/>
      <c r="BW333" s="16"/>
      <c r="BX333" s="16"/>
      <c r="BY333" s="16"/>
      <c r="BZ333" s="16"/>
      <c r="CA333" s="16"/>
      <c r="CB333" s="16"/>
      <c r="CC333" s="16"/>
    </row>
    <row r="334" spans="1:81" ht="13.5" thickBot="1">
      <c r="A334" s="16"/>
      <c r="B334" s="16"/>
      <c r="C334" s="17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  <c r="AZ334" s="16"/>
      <c r="BA334" s="16"/>
      <c r="BB334" s="16"/>
      <c r="BC334" s="16"/>
      <c r="BD334" s="16"/>
      <c r="BE334" s="16"/>
      <c r="BF334" s="16"/>
      <c r="BG334" s="16"/>
      <c r="BH334" s="16"/>
      <c r="BI334" s="16"/>
      <c r="BJ334" s="16"/>
      <c r="BK334" s="16"/>
      <c r="BL334" s="16"/>
      <c r="BM334" s="16"/>
      <c r="BN334" s="16"/>
      <c r="BO334" s="16"/>
      <c r="BP334" s="16"/>
      <c r="BQ334" s="16"/>
      <c r="BR334" s="16"/>
      <c r="BS334" s="16"/>
      <c r="BT334" s="16"/>
      <c r="BU334" s="16"/>
      <c r="BV334" s="16"/>
      <c r="BW334" s="16"/>
      <c r="BX334" s="16"/>
      <c r="BY334" s="16"/>
      <c r="BZ334" s="16"/>
      <c r="CA334" s="16"/>
      <c r="CB334" s="16"/>
      <c r="CC334" s="16"/>
    </row>
    <row r="335" spans="1:81" ht="13.5" thickBot="1">
      <c r="A335" s="16"/>
      <c r="B335" s="16"/>
      <c r="C335" s="17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  <c r="AZ335" s="16"/>
      <c r="BA335" s="16"/>
      <c r="BB335" s="16"/>
      <c r="BC335" s="16"/>
      <c r="BD335" s="16"/>
      <c r="BE335" s="16"/>
      <c r="BF335" s="16"/>
      <c r="BG335" s="16"/>
      <c r="BH335" s="16"/>
      <c r="BI335" s="16"/>
      <c r="BJ335" s="16"/>
      <c r="BK335" s="16"/>
      <c r="BL335" s="16"/>
      <c r="BM335" s="16"/>
      <c r="BN335" s="16"/>
      <c r="BO335" s="16"/>
      <c r="BP335" s="16"/>
      <c r="BQ335" s="16"/>
      <c r="BR335" s="16"/>
      <c r="BS335" s="16"/>
      <c r="BT335" s="16"/>
      <c r="BU335" s="16"/>
      <c r="BV335" s="16"/>
      <c r="BW335" s="16"/>
      <c r="BX335" s="16"/>
      <c r="BY335" s="16"/>
      <c r="BZ335" s="16"/>
      <c r="CA335" s="16"/>
      <c r="CB335" s="16"/>
      <c r="CC335" s="16"/>
    </row>
    <row r="336" spans="1:81" ht="13.5" thickBot="1">
      <c r="A336" s="16"/>
      <c r="B336" s="16"/>
      <c r="C336" s="17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  <c r="AY336" s="16"/>
      <c r="AZ336" s="16"/>
      <c r="BA336" s="16"/>
      <c r="BB336" s="16"/>
      <c r="BC336" s="16"/>
      <c r="BD336" s="16"/>
      <c r="BE336" s="16"/>
      <c r="BF336" s="16"/>
      <c r="BG336" s="16"/>
      <c r="BH336" s="16"/>
      <c r="BI336" s="16"/>
      <c r="BJ336" s="16"/>
      <c r="BK336" s="16"/>
      <c r="BL336" s="16"/>
      <c r="BM336" s="16"/>
      <c r="BN336" s="16"/>
      <c r="BO336" s="16"/>
      <c r="BP336" s="16"/>
      <c r="BQ336" s="16"/>
      <c r="BR336" s="16"/>
      <c r="BS336" s="16"/>
      <c r="BT336" s="16"/>
      <c r="BU336" s="16"/>
      <c r="BV336" s="16"/>
      <c r="BW336" s="16"/>
      <c r="BX336" s="16"/>
      <c r="BY336" s="16"/>
      <c r="BZ336" s="16"/>
      <c r="CA336" s="16"/>
      <c r="CB336" s="16"/>
      <c r="CC336" s="16"/>
    </row>
    <row r="337" spans="1:81" ht="13.5" thickBot="1">
      <c r="A337" s="16"/>
      <c r="B337" s="16"/>
      <c r="C337" s="17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  <c r="AY337" s="16"/>
      <c r="AZ337" s="16"/>
      <c r="BA337" s="16"/>
      <c r="BB337" s="16"/>
      <c r="BC337" s="16"/>
      <c r="BD337" s="16"/>
      <c r="BE337" s="16"/>
      <c r="BF337" s="16"/>
      <c r="BG337" s="16"/>
      <c r="BH337" s="16"/>
      <c r="BI337" s="16"/>
      <c r="BJ337" s="16"/>
      <c r="BK337" s="16"/>
      <c r="BL337" s="16"/>
      <c r="BM337" s="16"/>
      <c r="BN337" s="16"/>
      <c r="BO337" s="16"/>
      <c r="BP337" s="16"/>
      <c r="BQ337" s="16"/>
      <c r="BR337" s="16"/>
      <c r="BS337" s="16"/>
      <c r="BT337" s="16"/>
      <c r="BU337" s="16"/>
      <c r="BV337" s="16"/>
      <c r="BW337" s="16"/>
      <c r="BX337" s="16"/>
      <c r="BY337" s="16"/>
      <c r="BZ337" s="16"/>
      <c r="CA337" s="16"/>
      <c r="CB337" s="16"/>
      <c r="CC337" s="16"/>
    </row>
    <row r="338" spans="1:81" ht="13.5" thickBot="1">
      <c r="A338" s="16"/>
      <c r="B338" s="16"/>
      <c r="C338" s="17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  <c r="AZ338" s="16"/>
      <c r="BA338" s="16"/>
      <c r="BB338" s="16"/>
      <c r="BC338" s="16"/>
      <c r="BD338" s="16"/>
      <c r="BE338" s="16"/>
      <c r="BF338" s="16"/>
      <c r="BG338" s="16"/>
      <c r="BH338" s="16"/>
      <c r="BI338" s="16"/>
      <c r="BJ338" s="16"/>
      <c r="BK338" s="16"/>
      <c r="BL338" s="16"/>
      <c r="BM338" s="16"/>
      <c r="BN338" s="16"/>
      <c r="BO338" s="16"/>
      <c r="BP338" s="16"/>
      <c r="BQ338" s="16"/>
      <c r="BR338" s="16"/>
      <c r="BS338" s="16"/>
      <c r="BT338" s="16"/>
      <c r="BU338" s="16"/>
      <c r="BV338" s="16"/>
      <c r="BW338" s="16"/>
      <c r="BX338" s="16"/>
      <c r="BY338" s="16"/>
      <c r="BZ338" s="16"/>
      <c r="CA338" s="16"/>
      <c r="CB338" s="16"/>
      <c r="CC338" s="16"/>
    </row>
    <row r="339" spans="1:81" ht="13.5" thickBot="1">
      <c r="A339" s="16"/>
      <c r="B339" s="16"/>
      <c r="C339" s="17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  <c r="AY339" s="16"/>
      <c r="AZ339" s="16"/>
      <c r="BA339" s="16"/>
      <c r="BB339" s="16"/>
      <c r="BC339" s="16"/>
      <c r="BD339" s="16"/>
      <c r="BE339" s="16"/>
      <c r="BF339" s="16"/>
      <c r="BG339" s="16"/>
      <c r="BH339" s="16"/>
      <c r="BI339" s="16"/>
      <c r="BJ339" s="16"/>
      <c r="BK339" s="16"/>
      <c r="BL339" s="16"/>
      <c r="BM339" s="16"/>
      <c r="BN339" s="16"/>
      <c r="BO339" s="16"/>
      <c r="BP339" s="16"/>
      <c r="BQ339" s="16"/>
      <c r="BR339" s="16"/>
      <c r="BS339" s="16"/>
      <c r="BT339" s="16"/>
      <c r="BU339" s="16"/>
      <c r="BV339" s="16"/>
      <c r="BW339" s="16"/>
      <c r="BX339" s="16"/>
      <c r="BY339" s="16"/>
      <c r="BZ339" s="16"/>
      <c r="CA339" s="16"/>
      <c r="CB339" s="16"/>
      <c r="CC339" s="16"/>
    </row>
    <row r="340" spans="1:81" ht="13.5" thickBot="1">
      <c r="A340" s="16"/>
      <c r="B340" s="16"/>
      <c r="C340" s="17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  <c r="AY340" s="16"/>
      <c r="AZ340" s="16"/>
      <c r="BA340" s="16"/>
      <c r="BB340" s="16"/>
      <c r="BC340" s="16"/>
      <c r="BD340" s="16"/>
      <c r="BE340" s="16"/>
      <c r="BF340" s="16"/>
      <c r="BG340" s="16"/>
      <c r="BH340" s="16"/>
      <c r="BI340" s="16"/>
      <c r="BJ340" s="16"/>
      <c r="BK340" s="16"/>
      <c r="BL340" s="16"/>
      <c r="BM340" s="16"/>
      <c r="BN340" s="16"/>
      <c r="BO340" s="16"/>
      <c r="BP340" s="16"/>
      <c r="BQ340" s="16"/>
      <c r="BR340" s="16"/>
      <c r="BS340" s="16"/>
      <c r="BT340" s="16"/>
      <c r="BU340" s="16"/>
      <c r="BV340" s="16"/>
      <c r="BW340" s="16"/>
      <c r="BX340" s="16"/>
      <c r="BY340" s="16"/>
      <c r="BZ340" s="16"/>
      <c r="CA340" s="16"/>
      <c r="CB340" s="16"/>
      <c r="CC340" s="16"/>
    </row>
    <row r="341" spans="1:81" ht="13.5" thickBot="1">
      <c r="A341" s="16"/>
      <c r="B341" s="16"/>
      <c r="C341" s="17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  <c r="AZ341" s="16"/>
      <c r="BA341" s="16"/>
      <c r="BB341" s="16"/>
      <c r="BC341" s="16"/>
      <c r="BD341" s="16"/>
      <c r="BE341" s="16"/>
      <c r="BF341" s="16"/>
      <c r="BG341" s="16"/>
      <c r="BH341" s="16"/>
      <c r="BI341" s="16"/>
      <c r="BJ341" s="16"/>
      <c r="BK341" s="16"/>
      <c r="BL341" s="16"/>
      <c r="BM341" s="16"/>
      <c r="BN341" s="16"/>
      <c r="BO341" s="16"/>
      <c r="BP341" s="16"/>
      <c r="BQ341" s="16"/>
      <c r="BR341" s="16"/>
      <c r="BS341" s="16"/>
      <c r="BT341" s="16"/>
      <c r="BU341" s="16"/>
      <c r="BV341" s="16"/>
      <c r="BW341" s="16"/>
      <c r="BX341" s="16"/>
      <c r="BY341" s="16"/>
      <c r="BZ341" s="16"/>
      <c r="CA341" s="16"/>
      <c r="CB341" s="16"/>
      <c r="CC341" s="16"/>
    </row>
    <row r="342" spans="1:81" ht="13.5" thickBot="1">
      <c r="A342" s="16"/>
      <c r="B342" s="16"/>
      <c r="C342" s="17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  <c r="AY342" s="16"/>
      <c r="AZ342" s="16"/>
      <c r="BA342" s="16"/>
      <c r="BB342" s="16"/>
      <c r="BC342" s="16"/>
      <c r="BD342" s="16"/>
      <c r="BE342" s="16"/>
      <c r="BF342" s="16"/>
      <c r="BG342" s="16"/>
      <c r="BH342" s="16"/>
      <c r="BI342" s="16"/>
      <c r="BJ342" s="16"/>
      <c r="BK342" s="16"/>
      <c r="BL342" s="16"/>
      <c r="BM342" s="16"/>
      <c r="BN342" s="16"/>
      <c r="BO342" s="16"/>
      <c r="BP342" s="16"/>
      <c r="BQ342" s="16"/>
      <c r="BR342" s="16"/>
      <c r="BS342" s="16"/>
      <c r="BT342" s="16"/>
      <c r="BU342" s="16"/>
      <c r="BV342" s="16"/>
      <c r="BW342" s="16"/>
      <c r="BX342" s="16"/>
      <c r="BY342" s="16"/>
      <c r="BZ342" s="16"/>
      <c r="CA342" s="16"/>
      <c r="CB342" s="16"/>
      <c r="CC342" s="16"/>
    </row>
    <row r="343" spans="1:81" ht="13.5" thickBot="1">
      <c r="A343" s="16"/>
      <c r="B343" s="16"/>
      <c r="C343" s="17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  <c r="AY343" s="16"/>
      <c r="AZ343" s="16"/>
      <c r="BA343" s="16"/>
      <c r="BB343" s="16"/>
      <c r="BC343" s="16"/>
      <c r="BD343" s="16"/>
      <c r="BE343" s="16"/>
      <c r="BF343" s="16"/>
      <c r="BG343" s="16"/>
      <c r="BH343" s="16"/>
      <c r="BI343" s="16"/>
      <c r="BJ343" s="16"/>
      <c r="BK343" s="16"/>
      <c r="BL343" s="16"/>
      <c r="BM343" s="16"/>
      <c r="BN343" s="16"/>
      <c r="BO343" s="16"/>
      <c r="BP343" s="16"/>
      <c r="BQ343" s="16"/>
      <c r="BR343" s="16"/>
      <c r="BS343" s="16"/>
      <c r="BT343" s="16"/>
      <c r="BU343" s="16"/>
      <c r="BV343" s="16"/>
      <c r="BW343" s="16"/>
      <c r="BX343" s="16"/>
      <c r="BY343" s="16"/>
      <c r="BZ343" s="16"/>
      <c r="CA343" s="16"/>
      <c r="CB343" s="16"/>
      <c r="CC343" s="16"/>
    </row>
    <row r="344" spans="1:81" ht="13.5" thickBot="1">
      <c r="A344" s="16"/>
      <c r="B344" s="16"/>
      <c r="C344" s="17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  <c r="AY344" s="16"/>
      <c r="AZ344" s="16"/>
      <c r="BA344" s="16"/>
      <c r="BB344" s="16"/>
      <c r="BC344" s="16"/>
      <c r="BD344" s="16"/>
      <c r="BE344" s="16"/>
      <c r="BF344" s="16"/>
      <c r="BG344" s="16"/>
      <c r="BH344" s="16"/>
      <c r="BI344" s="16"/>
      <c r="BJ344" s="16"/>
      <c r="BK344" s="16"/>
      <c r="BL344" s="16"/>
      <c r="BM344" s="16"/>
      <c r="BN344" s="16"/>
      <c r="BO344" s="16"/>
      <c r="BP344" s="16"/>
      <c r="BQ344" s="16"/>
      <c r="BR344" s="16"/>
      <c r="BS344" s="16"/>
      <c r="BT344" s="16"/>
      <c r="BU344" s="16"/>
      <c r="BV344" s="16"/>
      <c r="BW344" s="16"/>
      <c r="BX344" s="16"/>
      <c r="BY344" s="16"/>
      <c r="BZ344" s="16"/>
      <c r="CA344" s="16"/>
      <c r="CB344" s="16"/>
      <c r="CC344" s="16"/>
    </row>
    <row r="345" spans="1:81" ht="13.5" thickBot="1">
      <c r="A345" s="16"/>
      <c r="B345" s="16"/>
      <c r="C345" s="17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  <c r="AY345" s="16"/>
      <c r="AZ345" s="16"/>
      <c r="BA345" s="16"/>
      <c r="BB345" s="16"/>
      <c r="BC345" s="16"/>
      <c r="BD345" s="16"/>
      <c r="BE345" s="16"/>
      <c r="BF345" s="16"/>
      <c r="BG345" s="16"/>
      <c r="BH345" s="16"/>
      <c r="BI345" s="16"/>
      <c r="BJ345" s="16"/>
      <c r="BK345" s="16"/>
      <c r="BL345" s="16"/>
      <c r="BM345" s="16"/>
      <c r="BN345" s="16"/>
      <c r="BO345" s="16"/>
      <c r="BP345" s="16"/>
      <c r="BQ345" s="16"/>
      <c r="BR345" s="16"/>
      <c r="BS345" s="16"/>
      <c r="BT345" s="16"/>
      <c r="BU345" s="16"/>
      <c r="BV345" s="16"/>
      <c r="BW345" s="16"/>
      <c r="BX345" s="16"/>
      <c r="BY345" s="16"/>
      <c r="BZ345" s="16"/>
      <c r="CA345" s="16"/>
      <c r="CB345" s="16"/>
      <c r="CC345" s="16"/>
    </row>
    <row r="346" spans="1:81" ht="13.5" thickBot="1">
      <c r="A346" s="16"/>
      <c r="B346" s="16"/>
      <c r="C346" s="17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  <c r="AY346" s="16"/>
      <c r="AZ346" s="16"/>
      <c r="BA346" s="16"/>
      <c r="BB346" s="16"/>
      <c r="BC346" s="16"/>
      <c r="BD346" s="16"/>
      <c r="BE346" s="16"/>
      <c r="BF346" s="16"/>
      <c r="BG346" s="16"/>
      <c r="BH346" s="16"/>
      <c r="BI346" s="16"/>
      <c r="BJ346" s="16"/>
      <c r="BK346" s="16"/>
      <c r="BL346" s="16"/>
      <c r="BM346" s="16"/>
      <c r="BN346" s="16"/>
      <c r="BO346" s="16"/>
      <c r="BP346" s="16"/>
      <c r="BQ346" s="16"/>
      <c r="BR346" s="16"/>
      <c r="BS346" s="16"/>
      <c r="BT346" s="16"/>
      <c r="BU346" s="16"/>
      <c r="BV346" s="16"/>
      <c r="BW346" s="16"/>
      <c r="BX346" s="16"/>
      <c r="BY346" s="16"/>
      <c r="BZ346" s="16"/>
      <c r="CA346" s="16"/>
      <c r="CB346" s="16"/>
      <c r="CC346" s="16"/>
    </row>
    <row r="347" spans="1:81" ht="13.5" thickBot="1">
      <c r="A347" s="16"/>
      <c r="B347" s="16"/>
      <c r="C347" s="17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  <c r="AZ347" s="16"/>
      <c r="BA347" s="16"/>
      <c r="BB347" s="16"/>
      <c r="BC347" s="16"/>
      <c r="BD347" s="16"/>
      <c r="BE347" s="16"/>
      <c r="BF347" s="16"/>
      <c r="BG347" s="16"/>
      <c r="BH347" s="16"/>
      <c r="BI347" s="16"/>
      <c r="BJ347" s="16"/>
      <c r="BK347" s="16"/>
      <c r="BL347" s="16"/>
      <c r="BM347" s="16"/>
      <c r="BN347" s="16"/>
      <c r="BO347" s="16"/>
      <c r="BP347" s="16"/>
      <c r="BQ347" s="16"/>
      <c r="BR347" s="16"/>
      <c r="BS347" s="16"/>
      <c r="BT347" s="16"/>
      <c r="BU347" s="16"/>
      <c r="BV347" s="16"/>
      <c r="BW347" s="16"/>
      <c r="BX347" s="16"/>
      <c r="BY347" s="16"/>
      <c r="BZ347" s="16"/>
      <c r="CA347" s="16"/>
      <c r="CB347" s="16"/>
      <c r="CC347" s="16"/>
    </row>
    <row r="348" spans="1:81" ht="13.5" thickBot="1">
      <c r="A348" s="16"/>
      <c r="B348" s="16"/>
      <c r="C348" s="17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  <c r="AY348" s="16"/>
      <c r="AZ348" s="16"/>
      <c r="BA348" s="16"/>
      <c r="BB348" s="16"/>
      <c r="BC348" s="16"/>
      <c r="BD348" s="16"/>
      <c r="BE348" s="16"/>
      <c r="BF348" s="16"/>
      <c r="BG348" s="16"/>
      <c r="BH348" s="16"/>
      <c r="BI348" s="16"/>
      <c r="BJ348" s="16"/>
      <c r="BK348" s="16"/>
      <c r="BL348" s="16"/>
      <c r="BM348" s="16"/>
      <c r="BN348" s="16"/>
      <c r="BO348" s="16"/>
      <c r="BP348" s="16"/>
      <c r="BQ348" s="16"/>
      <c r="BR348" s="16"/>
      <c r="BS348" s="16"/>
      <c r="BT348" s="16"/>
      <c r="BU348" s="16"/>
      <c r="BV348" s="16"/>
      <c r="BW348" s="16"/>
      <c r="BX348" s="16"/>
      <c r="BY348" s="16"/>
      <c r="BZ348" s="16"/>
      <c r="CA348" s="16"/>
      <c r="CB348" s="16"/>
      <c r="CC348" s="16"/>
    </row>
    <row r="349" spans="1:81" ht="13.5" thickBot="1">
      <c r="A349" s="16"/>
      <c r="B349" s="16"/>
      <c r="C349" s="17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  <c r="AY349" s="16"/>
      <c r="AZ349" s="16"/>
      <c r="BA349" s="16"/>
      <c r="BB349" s="16"/>
      <c r="BC349" s="16"/>
      <c r="BD349" s="16"/>
      <c r="BE349" s="16"/>
      <c r="BF349" s="16"/>
      <c r="BG349" s="16"/>
      <c r="BH349" s="16"/>
      <c r="BI349" s="16"/>
      <c r="BJ349" s="16"/>
      <c r="BK349" s="16"/>
      <c r="BL349" s="16"/>
      <c r="BM349" s="16"/>
      <c r="BN349" s="16"/>
      <c r="BO349" s="16"/>
      <c r="BP349" s="16"/>
      <c r="BQ349" s="16"/>
      <c r="BR349" s="16"/>
      <c r="BS349" s="16"/>
      <c r="BT349" s="16"/>
      <c r="BU349" s="16"/>
      <c r="BV349" s="16"/>
      <c r="BW349" s="16"/>
      <c r="BX349" s="16"/>
      <c r="BY349" s="16"/>
      <c r="BZ349" s="16"/>
      <c r="CA349" s="16"/>
      <c r="CB349" s="16"/>
      <c r="CC349" s="16"/>
    </row>
    <row r="350" spans="1:81" ht="13.5" thickBot="1">
      <c r="A350" s="16"/>
      <c r="B350" s="16"/>
      <c r="C350" s="17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  <c r="AZ350" s="16"/>
      <c r="BA350" s="16"/>
      <c r="BB350" s="16"/>
      <c r="BC350" s="16"/>
      <c r="BD350" s="16"/>
      <c r="BE350" s="16"/>
      <c r="BF350" s="16"/>
      <c r="BG350" s="16"/>
      <c r="BH350" s="16"/>
      <c r="BI350" s="16"/>
      <c r="BJ350" s="16"/>
      <c r="BK350" s="16"/>
      <c r="BL350" s="16"/>
      <c r="BM350" s="16"/>
      <c r="BN350" s="16"/>
      <c r="BO350" s="16"/>
      <c r="BP350" s="16"/>
      <c r="BQ350" s="16"/>
      <c r="BR350" s="16"/>
      <c r="BS350" s="16"/>
      <c r="BT350" s="16"/>
      <c r="BU350" s="16"/>
      <c r="BV350" s="16"/>
      <c r="BW350" s="16"/>
      <c r="BX350" s="16"/>
      <c r="BY350" s="16"/>
      <c r="BZ350" s="16"/>
      <c r="CA350" s="16"/>
      <c r="CB350" s="16"/>
      <c r="CC350" s="16"/>
    </row>
    <row r="351" spans="1:81" ht="13.5" thickBot="1">
      <c r="A351" s="16"/>
      <c r="B351" s="16"/>
      <c r="C351" s="17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  <c r="AY351" s="16"/>
      <c r="AZ351" s="16"/>
      <c r="BA351" s="16"/>
      <c r="BB351" s="16"/>
      <c r="BC351" s="16"/>
      <c r="BD351" s="16"/>
      <c r="BE351" s="16"/>
      <c r="BF351" s="16"/>
      <c r="BG351" s="16"/>
      <c r="BH351" s="16"/>
      <c r="BI351" s="16"/>
      <c r="BJ351" s="16"/>
      <c r="BK351" s="16"/>
      <c r="BL351" s="16"/>
      <c r="BM351" s="16"/>
      <c r="BN351" s="16"/>
      <c r="BO351" s="16"/>
      <c r="BP351" s="16"/>
      <c r="BQ351" s="16"/>
      <c r="BR351" s="16"/>
      <c r="BS351" s="16"/>
      <c r="BT351" s="16"/>
      <c r="BU351" s="16"/>
      <c r="BV351" s="16"/>
      <c r="BW351" s="16"/>
      <c r="BX351" s="16"/>
      <c r="BY351" s="16"/>
      <c r="BZ351" s="16"/>
      <c r="CA351" s="16"/>
      <c r="CB351" s="16"/>
      <c r="CC351" s="16"/>
    </row>
    <row r="352" spans="1:81" ht="13.5" thickBot="1">
      <c r="A352" s="16"/>
      <c r="B352" s="16"/>
      <c r="C352" s="17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  <c r="AX352" s="16"/>
      <c r="AY352" s="16"/>
      <c r="AZ352" s="16"/>
      <c r="BA352" s="16"/>
      <c r="BB352" s="16"/>
      <c r="BC352" s="16"/>
      <c r="BD352" s="16"/>
      <c r="BE352" s="16"/>
      <c r="BF352" s="16"/>
      <c r="BG352" s="16"/>
      <c r="BH352" s="16"/>
      <c r="BI352" s="16"/>
      <c r="BJ352" s="16"/>
      <c r="BK352" s="16"/>
      <c r="BL352" s="16"/>
      <c r="BM352" s="16"/>
      <c r="BN352" s="16"/>
      <c r="BO352" s="16"/>
      <c r="BP352" s="16"/>
      <c r="BQ352" s="16"/>
      <c r="BR352" s="16"/>
      <c r="BS352" s="16"/>
      <c r="BT352" s="16"/>
      <c r="BU352" s="16"/>
      <c r="BV352" s="16"/>
      <c r="BW352" s="16"/>
      <c r="BX352" s="16"/>
      <c r="BY352" s="16"/>
      <c r="BZ352" s="16"/>
      <c r="CA352" s="16"/>
      <c r="CB352" s="16"/>
      <c r="CC352" s="16"/>
    </row>
    <row r="353" spans="1:81" ht="13.5" thickBot="1">
      <c r="A353" s="16"/>
      <c r="B353" s="16"/>
      <c r="C353" s="17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  <c r="AZ353" s="16"/>
      <c r="BA353" s="16"/>
      <c r="BB353" s="16"/>
      <c r="BC353" s="16"/>
      <c r="BD353" s="16"/>
      <c r="BE353" s="16"/>
      <c r="BF353" s="16"/>
      <c r="BG353" s="16"/>
      <c r="BH353" s="16"/>
      <c r="BI353" s="16"/>
      <c r="BJ353" s="16"/>
      <c r="BK353" s="16"/>
      <c r="BL353" s="16"/>
      <c r="BM353" s="16"/>
      <c r="BN353" s="16"/>
      <c r="BO353" s="16"/>
      <c r="BP353" s="16"/>
      <c r="BQ353" s="16"/>
      <c r="BR353" s="16"/>
      <c r="BS353" s="16"/>
      <c r="BT353" s="16"/>
      <c r="BU353" s="16"/>
      <c r="BV353" s="16"/>
      <c r="BW353" s="16"/>
      <c r="BX353" s="16"/>
      <c r="BY353" s="16"/>
      <c r="BZ353" s="16"/>
      <c r="CA353" s="16"/>
      <c r="CB353" s="16"/>
      <c r="CC353" s="16"/>
    </row>
    <row r="354" spans="1:81" ht="13.5" thickBot="1">
      <c r="A354" s="16"/>
      <c r="B354" s="16"/>
      <c r="C354" s="17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  <c r="AX354" s="16"/>
      <c r="AY354" s="16"/>
      <c r="AZ354" s="16"/>
      <c r="BA354" s="16"/>
      <c r="BB354" s="16"/>
      <c r="BC354" s="16"/>
      <c r="BD354" s="16"/>
      <c r="BE354" s="16"/>
      <c r="BF354" s="16"/>
      <c r="BG354" s="16"/>
      <c r="BH354" s="16"/>
      <c r="BI354" s="16"/>
      <c r="BJ354" s="16"/>
      <c r="BK354" s="16"/>
      <c r="BL354" s="16"/>
      <c r="BM354" s="16"/>
      <c r="BN354" s="16"/>
      <c r="BO354" s="16"/>
      <c r="BP354" s="16"/>
      <c r="BQ354" s="16"/>
      <c r="BR354" s="16"/>
      <c r="BS354" s="16"/>
      <c r="BT354" s="16"/>
      <c r="BU354" s="16"/>
      <c r="BV354" s="16"/>
      <c r="BW354" s="16"/>
      <c r="BX354" s="16"/>
      <c r="BY354" s="16"/>
      <c r="BZ354" s="16"/>
      <c r="CA354" s="16"/>
      <c r="CB354" s="16"/>
      <c r="CC354" s="16"/>
    </row>
    <row r="355" spans="1:81" ht="13.5" thickBot="1">
      <c r="A355" s="16"/>
      <c r="B355" s="16"/>
      <c r="C355" s="17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  <c r="AZ355" s="16"/>
      <c r="BA355" s="16"/>
      <c r="BB355" s="16"/>
      <c r="BC355" s="16"/>
      <c r="BD355" s="16"/>
      <c r="BE355" s="16"/>
      <c r="BF355" s="16"/>
      <c r="BG355" s="16"/>
      <c r="BH355" s="16"/>
      <c r="BI355" s="16"/>
      <c r="BJ355" s="16"/>
      <c r="BK355" s="16"/>
      <c r="BL355" s="16"/>
      <c r="BM355" s="16"/>
      <c r="BN355" s="16"/>
      <c r="BO355" s="16"/>
      <c r="BP355" s="16"/>
      <c r="BQ355" s="16"/>
      <c r="BR355" s="16"/>
      <c r="BS355" s="16"/>
      <c r="BT355" s="16"/>
      <c r="BU355" s="16"/>
      <c r="BV355" s="16"/>
      <c r="BW355" s="16"/>
      <c r="BX355" s="16"/>
      <c r="BY355" s="16"/>
      <c r="BZ355" s="16"/>
      <c r="CA355" s="16"/>
      <c r="CB355" s="16"/>
      <c r="CC355" s="16"/>
    </row>
    <row r="356" spans="1:81" ht="13.5" thickBot="1">
      <c r="A356" s="16"/>
      <c r="B356" s="16"/>
      <c r="C356" s="17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  <c r="AX356" s="16"/>
      <c r="AY356" s="16"/>
      <c r="AZ356" s="16"/>
      <c r="BA356" s="16"/>
      <c r="BB356" s="16"/>
      <c r="BC356" s="16"/>
      <c r="BD356" s="16"/>
      <c r="BE356" s="16"/>
      <c r="BF356" s="16"/>
      <c r="BG356" s="16"/>
      <c r="BH356" s="16"/>
      <c r="BI356" s="16"/>
      <c r="BJ356" s="16"/>
      <c r="BK356" s="16"/>
      <c r="BL356" s="16"/>
      <c r="BM356" s="16"/>
      <c r="BN356" s="16"/>
      <c r="BO356" s="16"/>
      <c r="BP356" s="16"/>
      <c r="BQ356" s="16"/>
      <c r="BR356" s="16"/>
      <c r="BS356" s="16"/>
      <c r="BT356" s="16"/>
      <c r="BU356" s="16"/>
      <c r="BV356" s="16"/>
      <c r="BW356" s="16"/>
      <c r="BX356" s="16"/>
      <c r="BY356" s="16"/>
      <c r="BZ356" s="16"/>
      <c r="CA356" s="16"/>
      <c r="CB356" s="16"/>
      <c r="CC356" s="16"/>
    </row>
    <row r="357" spans="1:81" ht="13.5" thickBot="1">
      <c r="A357" s="16"/>
      <c r="B357" s="16"/>
      <c r="C357" s="17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  <c r="AX357" s="16"/>
      <c r="AY357" s="16"/>
      <c r="AZ357" s="16"/>
      <c r="BA357" s="16"/>
      <c r="BB357" s="16"/>
      <c r="BC357" s="16"/>
      <c r="BD357" s="16"/>
      <c r="BE357" s="16"/>
      <c r="BF357" s="16"/>
      <c r="BG357" s="16"/>
      <c r="BH357" s="16"/>
      <c r="BI357" s="16"/>
      <c r="BJ357" s="16"/>
      <c r="BK357" s="16"/>
      <c r="BL357" s="16"/>
      <c r="BM357" s="16"/>
      <c r="BN357" s="16"/>
      <c r="BO357" s="16"/>
      <c r="BP357" s="16"/>
      <c r="BQ357" s="16"/>
      <c r="BR357" s="16"/>
      <c r="BS357" s="16"/>
      <c r="BT357" s="16"/>
      <c r="BU357" s="16"/>
      <c r="BV357" s="16"/>
      <c r="BW357" s="16"/>
      <c r="BX357" s="16"/>
      <c r="BY357" s="16"/>
      <c r="BZ357" s="16"/>
      <c r="CA357" s="16"/>
      <c r="CB357" s="16"/>
      <c r="CC357" s="16"/>
    </row>
    <row r="358" spans="1:81" ht="13.5" thickBot="1">
      <c r="A358" s="16"/>
      <c r="B358" s="16"/>
      <c r="C358" s="17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  <c r="AZ358" s="16"/>
      <c r="BA358" s="16"/>
      <c r="BB358" s="16"/>
      <c r="BC358" s="16"/>
      <c r="BD358" s="16"/>
      <c r="BE358" s="16"/>
      <c r="BF358" s="16"/>
      <c r="BG358" s="16"/>
      <c r="BH358" s="16"/>
      <c r="BI358" s="16"/>
      <c r="BJ358" s="16"/>
      <c r="BK358" s="16"/>
      <c r="BL358" s="16"/>
      <c r="BM358" s="16"/>
      <c r="BN358" s="16"/>
      <c r="BO358" s="16"/>
      <c r="BP358" s="16"/>
      <c r="BQ358" s="16"/>
      <c r="BR358" s="16"/>
      <c r="BS358" s="16"/>
      <c r="BT358" s="16"/>
      <c r="BU358" s="16"/>
      <c r="BV358" s="16"/>
      <c r="BW358" s="16"/>
      <c r="BX358" s="16"/>
      <c r="BY358" s="16"/>
      <c r="BZ358" s="16"/>
      <c r="CA358" s="16"/>
      <c r="CB358" s="16"/>
      <c r="CC358" s="16"/>
    </row>
    <row r="359" spans="1:81" ht="13.5" thickBot="1">
      <c r="A359" s="16"/>
      <c r="B359" s="16"/>
      <c r="C359" s="17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  <c r="AX359" s="16"/>
      <c r="AY359" s="16"/>
      <c r="AZ359" s="16"/>
      <c r="BA359" s="16"/>
      <c r="BB359" s="16"/>
      <c r="BC359" s="16"/>
      <c r="BD359" s="16"/>
      <c r="BE359" s="16"/>
      <c r="BF359" s="16"/>
      <c r="BG359" s="16"/>
      <c r="BH359" s="16"/>
      <c r="BI359" s="16"/>
      <c r="BJ359" s="16"/>
      <c r="BK359" s="16"/>
      <c r="BL359" s="16"/>
      <c r="BM359" s="16"/>
      <c r="BN359" s="16"/>
      <c r="BO359" s="16"/>
      <c r="BP359" s="16"/>
      <c r="BQ359" s="16"/>
      <c r="BR359" s="16"/>
      <c r="BS359" s="16"/>
      <c r="BT359" s="16"/>
      <c r="BU359" s="16"/>
      <c r="BV359" s="16"/>
      <c r="BW359" s="16"/>
      <c r="BX359" s="16"/>
      <c r="BY359" s="16"/>
      <c r="BZ359" s="16"/>
      <c r="CA359" s="16"/>
      <c r="CB359" s="16"/>
      <c r="CC359" s="16"/>
    </row>
    <row r="360" spans="1:81" ht="13.5" thickBot="1">
      <c r="A360" s="16"/>
      <c r="B360" s="16"/>
      <c r="C360" s="17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  <c r="AX360" s="16"/>
      <c r="AY360" s="16"/>
      <c r="AZ360" s="16"/>
      <c r="BA360" s="16"/>
      <c r="BB360" s="16"/>
      <c r="BC360" s="16"/>
      <c r="BD360" s="16"/>
      <c r="BE360" s="16"/>
      <c r="BF360" s="16"/>
      <c r="BG360" s="16"/>
      <c r="BH360" s="16"/>
      <c r="BI360" s="16"/>
      <c r="BJ360" s="16"/>
      <c r="BK360" s="16"/>
      <c r="BL360" s="16"/>
      <c r="BM360" s="16"/>
      <c r="BN360" s="16"/>
      <c r="BO360" s="16"/>
      <c r="BP360" s="16"/>
      <c r="BQ360" s="16"/>
      <c r="BR360" s="16"/>
      <c r="BS360" s="16"/>
      <c r="BT360" s="16"/>
      <c r="BU360" s="16"/>
      <c r="BV360" s="16"/>
      <c r="BW360" s="16"/>
      <c r="BX360" s="16"/>
      <c r="BY360" s="16"/>
      <c r="BZ360" s="16"/>
      <c r="CA360" s="16"/>
      <c r="CB360" s="16"/>
      <c r="CC360" s="16"/>
    </row>
    <row r="361" spans="1:81" ht="13.5" thickBot="1">
      <c r="A361" s="16"/>
      <c r="B361" s="16"/>
      <c r="C361" s="17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  <c r="AZ361" s="16"/>
      <c r="BA361" s="16"/>
      <c r="BB361" s="16"/>
      <c r="BC361" s="16"/>
      <c r="BD361" s="16"/>
      <c r="BE361" s="16"/>
      <c r="BF361" s="16"/>
      <c r="BG361" s="16"/>
      <c r="BH361" s="16"/>
      <c r="BI361" s="16"/>
      <c r="BJ361" s="16"/>
      <c r="BK361" s="16"/>
      <c r="BL361" s="16"/>
      <c r="BM361" s="16"/>
      <c r="BN361" s="16"/>
      <c r="BO361" s="16"/>
      <c r="BP361" s="16"/>
      <c r="BQ361" s="16"/>
      <c r="BR361" s="16"/>
      <c r="BS361" s="16"/>
      <c r="BT361" s="16"/>
      <c r="BU361" s="16"/>
      <c r="BV361" s="16"/>
      <c r="BW361" s="16"/>
      <c r="BX361" s="16"/>
      <c r="BY361" s="16"/>
      <c r="BZ361" s="16"/>
      <c r="CA361" s="16"/>
      <c r="CB361" s="16"/>
      <c r="CC361" s="16"/>
    </row>
    <row r="362" spans="1:81" ht="13.5" thickBot="1">
      <c r="A362" s="16"/>
      <c r="B362" s="16"/>
      <c r="C362" s="17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  <c r="AX362" s="16"/>
      <c r="AY362" s="16"/>
      <c r="AZ362" s="16"/>
      <c r="BA362" s="16"/>
      <c r="BB362" s="16"/>
      <c r="BC362" s="16"/>
      <c r="BD362" s="16"/>
      <c r="BE362" s="16"/>
      <c r="BF362" s="16"/>
      <c r="BG362" s="16"/>
      <c r="BH362" s="16"/>
      <c r="BI362" s="16"/>
      <c r="BJ362" s="16"/>
      <c r="BK362" s="16"/>
      <c r="BL362" s="16"/>
      <c r="BM362" s="16"/>
      <c r="BN362" s="16"/>
      <c r="BO362" s="16"/>
      <c r="BP362" s="16"/>
      <c r="BQ362" s="16"/>
      <c r="BR362" s="16"/>
      <c r="BS362" s="16"/>
      <c r="BT362" s="16"/>
      <c r="BU362" s="16"/>
      <c r="BV362" s="16"/>
      <c r="BW362" s="16"/>
      <c r="BX362" s="16"/>
      <c r="BY362" s="16"/>
      <c r="BZ362" s="16"/>
      <c r="CA362" s="16"/>
      <c r="CB362" s="16"/>
      <c r="CC362" s="16"/>
    </row>
    <row r="363" spans="1:81" ht="13.5" thickBot="1">
      <c r="A363" s="16"/>
      <c r="B363" s="16"/>
      <c r="C363" s="17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  <c r="AX363" s="16"/>
      <c r="AY363" s="16"/>
      <c r="AZ363" s="16"/>
      <c r="BA363" s="16"/>
      <c r="BB363" s="16"/>
      <c r="BC363" s="16"/>
      <c r="BD363" s="16"/>
      <c r="BE363" s="16"/>
      <c r="BF363" s="16"/>
      <c r="BG363" s="16"/>
      <c r="BH363" s="16"/>
      <c r="BI363" s="16"/>
      <c r="BJ363" s="16"/>
      <c r="BK363" s="16"/>
      <c r="BL363" s="16"/>
      <c r="BM363" s="16"/>
      <c r="BN363" s="16"/>
      <c r="BO363" s="16"/>
      <c r="BP363" s="16"/>
      <c r="BQ363" s="16"/>
      <c r="BR363" s="16"/>
      <c r="BS363" s="16"/>
      <c r="BT363" s="16"/>
      <c r="BU363" s="16"/>
      <c r="BV363" s="16"/>
      <c r="BW363" s="16"/>
      <c r="BX363" s="16"/>
      <c r="BY363" s="16"/>
      <c r="BZ363" s="16"/>
      <c r="CA363" s="16"/>
      <c r="CB363" s="16"/>
      <c r="CC363" s="16"/>
    </row>
    <row r="364" spans="1:81" ht="13.5" thickBot="1">
      <c r="A364" s="16"/>
      <c r="B364" s="16"/>
      <c r="C364" s="17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  <c r="AX364" s="16"/>
      <c r="AY364" s="16"/>
      <c r="AZ364" s="16"/>
      <c r="BA364" s="16"/>
      <c r="BB364" s="16"/>
      <c r="BC364" s="16"/>
      <c r="BD364" s="16"/>
      <c r="BE364" s="16"/>
      <c r="BF364" s="16"/>
      <c r="BG364" s="16"/>
      <c r="BH364" s="16"/>
      <c r="BI364" s="16"/>
      <c r="BJ364" s="16"/>
      <c r="BK364" s="16"/>
      <c r="BL364" s="16"/>
      <c r="BM364" s="16"/>
      <c r="BN364" s="16"/>
      <c r="BO364" s="16"/>
      <c r="BP364" s="16"/>
      <c r="BQ364" s="16"/>
      <c r="BR364" s="16"/>
      <c r="BS364" s="16"/>
      <c r="BT364" s="16"/>
      <c r="BU364" s="16"/>
      <c r="BV364" s="16"/>
      <c r="BW364" s="16"/>
      <c r="BX364" s="16"/>
      <c r="BY364" s="16"/>
      <c r="BZ364" s="16"/>
      <c r="CA364" s="16"/>
      <c r="CB364" s="16"/>
      <c r="CC364" s="16"/>
    </row>
    <row r="365" spans="1:81" ht="13.5" thickBot="1">
      <c r="A365" s="16"/>
      <c r="B365" s="16"/>
      <c r="C365" s="17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  <c r="AZ365" s="16"/>
      <c r="BA365" s="16"/>
      <c r="BB365" s="16"/>
      <c r="BC365" s="16"/>
      <c r="BD365" s="16"/>
      <c r="BE365" s="16"/>
      <c r="BF365" s="16"/>
      <c r="BG365" s="16"/>
      <c r="BH365" s="16"/>
      <c r="BI365" s="16"/>
      <c r="BJ365" s="16"/>
      <c r="BK365" s="16"/>
      <c r="BL365" s="16"/>
      <c r="BM365" s="16"/>
      <c r="BN365" s="16"/>
      <c r="BO365" s="16"/>
      <c r="BP365" s="16"/>
      <c r="BQ365" s="16"/>
      <c r="BR365" s="16"/>
      <c r="BS365" s="16"/>
      <c r="BT365" s="16"/>
      <c r="BU365" s="16"/>
      <c r="BV365" s="16"/>
      <c r="BW365" s="16"/>
      <c r="BX365" s="16"/>
      <c r="BY365" s="16"/>
      <c r="BZ365" s="16"/>
      <c r="CA365" s="16"/>
      <c r="CB365" s="16"/>
      <c r="CC365" s="16"/>
    </row>
    <row r="366" spans="1:81" ht="13.5" thickBot="1">
      <c r="A366" s="16"/>
      <c r="B366" s="16"/>
      <c r="C366" s="17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  <c r="AX366" s="16"/>
      <c r="AY366" s="16"/>
      <c r="AZ366" s="16"/>
      <c r="BA366" s="16"/>
      <c r="BB366" s="16"/>
      <c r="BC366" s="16"/>
      <c r="BD366" s="16"/>
      <c r="BE366" s="16"/>
      <c r="BF366" s="16"/>
      <c r="BG366" s="16"/>
      <c r="BH366" s="16"/>
      <c r="BI366" s="16"/>
      <c r="BJ366" s="16"/>
      <c r="BK366" s="16"/>
      <c r="BL366" s="16"/>
      <c r="BM366" s="16"/>
      <c r="BN366" s="16"/>
      <c r="BO366" s="16"/>
      <c r="BP366" s="16"/>
      <c r="BQ366" s="16"/>
      <c r="BR366" s="16"/>
      <c r="BS366" s="16"/>
      <c r="BT366" s="16"/>
      <c r="BU366" s="16"/>
      <c r="BV366" s="16"/>
      <c r="BW366" s="16"/>
      <c r="BX366" s="16"/>
      <c r="BY366" s="16"/>
      <c r="BZ366" s="16"/>
      <c r="CA366" s="16"/>
      <c r="CB366" s="16"/>
      <c r="CC366" s="16"/>
    </row>
    <row r="367" spans="1:81" ht="13.5" thickBot="1">
      <c r="A367" s="16"/>
      <c r="B367" s="16"/>
      <c r="C367" s="17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  <c r="AZ367" s="16"/>
      <c r="BA367" s="16"/>
      <c r="BB367" s="16"/>
      <c r="BC367" s="16"/>
      <c r="BD367" s="16"/>
      <c r="BE367" s="16"/>
      <c r="BF367" s="16"/>
      <c r="BG367" s="16"/>
      <c r="BH367" s="16"/>
      <c r="BI367" s="16"/>
      <c r="BJ367" s="16"/>
      <c r="BK367" s="16"/>
      <c r="BL367" s="16"/>
      <c r="BM367" s="16"/>
      <c r="BN367" s="16"/>
      <c r="BO367" s="16"/>
      <c r="BP367" s="16"/>
      <c r="BQ367" s="16"/>
      <c r="BR367" s="16"/>
      <c r="BS367" s="16"/>
      <c r="BT367" s="16"/>
      <c r="BU367" s="16"/>
      <c r="BV367" s="16"/>
      <c r="BW367" s="16"/>
      <c r="BX367" s="16"/>
      <c r="BY367" s="16"/>
      <c r="BZ367" s="16"/>
      <c r="CA367" s="16"/>
      <c r="CB367" s="16"/>
      <c r="CC367" s="16"/>
    </row>
    <row r="368" spans="1:81" ht="13.5" thickBot="1">
      <c r="A368" s="16"/>
      <c r="B368" s="16"/>
      <c r="C368" s="17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  <c r="AX368" s="16"/>
      <c r="AY368" s="16"/>
      <c r="AZ368" s="16"/>
      <c r="BA368" s="16"/>
      <c r="BB368" s="16"/>
      <c r="BC368" s="16"/>
      <c r="BD368" s="16"/>
      <c r="BE368" s="16"/>
      <c r="BF368" s="16"/>
      <c r="BG368" s="16"/>
      <c r="BH368" s="16"/>
      <c r="BI368" s="16"/>
      <c r="BJ368" s="16"/>
      <c r="BK368" s="16"/>
      <c r="BL368" s="16"/>
      <c r="BM368" s="16"/>
      <c r="BN368" s="16"/>
      <c r="BO368" s="16"/>
      <c r="BP368" s="16"/>
      <c r="BQ368" s="16"/>
      <c r="BR368" s="16"/>
      <c r="BS368" s="16"/>
      <c r="BT368" s="16"/>
      <c r="BU368" s="16"/>
      <c r="BV368" s="16"/>
      <c r="BW368" s="16"/>
      <c r="BX368" s="16"/>
      <c r="BY368" s="16"/>
      <c r="BZ368" s="16"/>
      <c r="CA368" s="16"/>
      <c r="CB368" s="16"/>
      <c r="CC368" s="16"/>
    </row>
    <row r="369" spans="1:81" ht="13.5" thickBot="1">
      <c r="A369" s="16"/>
      <c r="B369" s="16"/>
      <c r="C369" s="17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  <c r="AX369" s="16"/>
      <c r="AY369" s="16"/>
      <c r="AZ369" s="16"/>
      <c r="BA369" s="16"/>
      <c r="BB369" s="16"/>
      <c r="BC369" s="16"/>
      <c r="BD369" s="16"/>
      <c r="BE369" s="16"/>
      <c r="BF369" s="16"/>
      <c r="BG369" s="16"/>
      <c r="BH369" s="16"/>
      <c r="BI369" s="16"/>
      <c r="BJ369" s="16"/>
      <c r="BK369" s="16"/>
      <c r="BL369" s="16"/>
      <c r="BM369" s="16"/>
      <c r="BN369" s="16"/>
      <c r="BO369" s="16"/>
      <c r="BP369" s="16"/>
      <c r="BQ369" s="16"/>
      <c r="BR369" s="16"/>
      <c r="BS369" s="16"/>
      <c r="BT369" s="16"/>
      <c r="BU369" s="16"/>
      <c r="BV369" s="16"/>
      <c r="BW369" s="16"/>
      <c r="BX369" s="16"/>
      <c r="BY369" s="16"/>
      <c r="BZ369" s="16"/>
      <c r="CA369" s="16"/>
      <c r="CB369" s="16"/>
      <c r="CC369" s="16"/>
    </row>
    <row r="370" spans="1:81" ht="13.5" thickBot="1">
      <c r="A370" s="16"/>
      <c r="B370" s="16"/>
      <c r="C370" s="17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  <c r="AZ370" s="16"/>
      <c r="BA370" s="16"/>
      <c r="BB370" s="16"/>
      <c r="BC370" s="16"/>
      <c r="BD370" s="16"/>
      <c r="BE370" s="16"/>
      <c r="BF370" s="16"/>
      <c r="BG370" s="16"/>
      <c r="BH370" s="16"/>
      <c r="BI370" s="16"/>
      <c r="BJ370" s="16"/>
      <c r="BK370" s="16"/>
      <c r="BL370" s="16"/>
      <c r="BM370" s="16"/>
      <c r="BN370" s="16"/>
      <c r="BO370" s="16"/>
      <c r="BP370" s="16"/>
      <c r="BQ370" s="16"/>
      <c r="BR370" s="16"/>
      <c r="BS370" s="16"/>
      <c r="BT370" s="16"/>
      <c r="BU370" s="16"/>
      <c r="BV370" s="16"/>
      <c r="BW370" s="16"/>
      <c r="BX370" s="16"/>
      <c r="BY370" s="16"/>
      <c r="BZ370" s="16"/>
      <c r="CA370" s="16"/>
      <c r="CB370" s="16"/>
      <c r="CC370" s="16"/>
    </row>
    <row r="371" spans="1:81" ht="13.5" thickBot="1">
      <c r="A371" s="16"/>
      <c r="B371" s="16"/>
      <c r="C371" s="17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  <c r="AZ371" s="16"/>
      <c r="BA371" s="16"/>
      <c r="BB371" s="16"/>
      <c r="BC371" s="16"/>
      <c r="BD371" s="16"/>
      <c r="BE371" s="16"/>
      <c r="BF371" s="16"/>
      <c r="BG371" s="16"/>
      <c r="BH371" s="16"/>
      <c r="BI371" s="16"/>
      <c r="BJ371" s="16"/>
      <c r="BK371" s="16"/>
      <c r="BL371" s="16"/>
      <c r="BM371" s="16"/>
      <c r="BN371" s="16"/>
      <c r="BO371" s="16"/>
      <c r="BP371" s="16"/>
      <c r="BQ371" s="16"/>
      <c r="BR371" s="16"/>
      <c r="BS371" s="16"/>
      <c r="BT371" s="16"/>
      <c r="BU371" s="16"/>
      <c r="BV371" s="16"/>
      <c r="BW371" s="16"/>
      <c r="BX371" s="16"/>
      <c r="BY371" s="16"/>
      <c r="BZ371" s="16"/>
      <c r="CA371" s="16"/>
      <c r="CB371" s="16"/>
      <c r="CC371" s="16"/>
    </row>
    <row r="372" spans="1:81" ht="13.5" thickBot="1">
      <c r="A372" s="16"/>
      <c r="B372" s="16"/>
      <c r="C372" s="17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/>
      <c r="AY372" s="16"/>
      <c r="AZ372" s="16"/>
      <c r="BA372" s="16"/>
      <c r="BB372" s="16"/>
      <c r="BC372" s="16"/>
      <c r="BD372" s="16"/>
      <c r="BE372" s="16"/>
      <c r="BF372" s="16"/>
      <c r="BG372" s="16"/>
      <c r="BH372" s="16"/>
      <c r="BI372" s="16"/>
      <c r="BJ372" s="16"/>
      <c r="BK372" s="16"/>
      <c r="BL372" s="16"/>
      <c r="BM372" s="16"/>
      <c r="BN372" s="16"/>
      <c r="BO372" s="16"/>
      <c r="BP372" s="16"/>
      <c r="BQ372" s="16"/>
      <c r="BR372" s="16"/>
      <c r="BS372" s="16"/>
      <c r="BT372" s="16"/>
      <c r="BU372" s="16"/>
      <c r="BV372" s="16"/>
      <c r="BW372" s="16"/>
      <c r="BX372" s="16"/>
      <c r="BY372" s="16"/>
      <c r="BZ372" s="16"/>
      <c r="CA372" s="16"/>
      <c r="CB372" s="16"/>
      <c r="CC372" s="16"/>
    </row>
    <row r="373" spans="1:81" ht="13.5" thickBot="1">
      <c r="A373" s="16"/>
      <c r="B373" s="16"/>
      <c r="C373" s="17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  <c r="AX373" s="16"/>
      <c r="AY373" s="16"/>
      <c r="AZ373" s="16"/>
      <c r="BA373" s="16"/>
      <c r="BB373" s="16"/>
      <c r="BC373" s="16"/>
      <c r="BD373" s="16"/>
      <c r="BE373" s="16"/>
      <c r="BF373" s="16"/>
      <c r="BG373" s="16"/>
      <c r="BH373" s="16"/>
      <c r="BI373" s="16"/>
      <c r="BJ373" s="16"/>
      <c r="BK373" s="16"/>
      <c r="BL373" s="16"/>
      <c r="BM373" s="16"/>
      <c r="BN373" s="16"/>
      <c r="BO373" s="16"/>
      <c r="BP373" s="16"/>
      <c r="BQ373" s="16"/>
      <c r="BR373" s="16"/>
      <c r="BS373" s="16"/>
      <c r="BT373" s="16"/>
      <c r="BU373" s="16"/>
      <c r="BV373" s="16"/>
      <c r="BW373" s="16"/>
      <c r="BX373" s="16"/>
      <c r="BY373" s="16"/>
      <c r="BZ373" s="16"/>
      <c r="CA373" s="16"/>
      <c r="CB373" s="16"/>
      <c r="CC373" s="16"/>
    </row>
    <row r="374" spans="1:81" ht="13.5" thickBot="1">
      <c r="A374" s="16"/>
      <c r="B374" s="16"/>
      <c r="C374" s="17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/>
      <c r="AY374" s="16"/>
      <c r="AZ374" s="16"/>
      <c r="BA374" s="16"/>
      <c r="BB374" s="16"/>
      <c r="BC374" s="16"/>
      <c r="BD374" s="16"/>
      <c r="BE374" s="16"/>
      <c r="BF374" s="16"/>
      <c r="BG374" s="16"/>
      <c r="BH374" s="16"/>
      <c r="BI374" s="16"/>
      <c r="BJ374" s="16"/>
      <c r="BK374" s="16"/>
      <c r="BL374" s="16"/>
      <c r="BM374" s="16"/>
      <c r="BN374" s="16"/>
      <c r="BO374" s="16"/>
      <c r="BP374" s="16"/>
      <c r="BQ374" s="16"/>
      <c r="BR374" s="16"/>
      <c r="BS374" s="16"/>
      <c r="BT374" s="16"/>
      <c r="BU374" s="16"/>
      <c r="BV374" s="16"/>
      <c r="BW374" s="16"/>
      <c r="BX374" s="16"/>
      <c r="BY374" s="16"/>
      <c r="BZ374" s="16"/>
      <c r="CA374" s="16"/>
      <c r="CB374" s="16"/>
      <c r="CC374" s="16"/>
    </row>
    <row r="375" spans="1:81" ht="13.5" thickBot="1">
      <c r="A375" s="16"/>
      <c r="B375" s="16"/>
      <c r="C375" s="17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  <c r="AX375" s="16"/>
      <c r="AY375" s="16"/>
      <c r="AZ375" s="16"/>
      <c r="BA375" s="16"/>
      <c r="BB375" s="16"/>
      <c r="BC375" s="16"/>
      <c r="BD375" s="16"/>
      <c r="BE375" s="16"/>
      <c r="BF375" s="16"/>
      <c r="BG375" s="16"/>
      <c r="BH375" s="16"/>
      <c r="BI375" s="16"/>
      <c r="BJ375" s="16"/>
      <c r="BK375" s="16"/>
      <c r="BL375" s="16"/>
      <c r="BM375" s="16"/>
      <c r="BN375" s="16"/>
      <c r="BO375" s="16"/>
      <c r="BP375" s="16"/>
      <c r="BQ375" s="16"/>
      <c r="BR375" s="16"/>
      <c r="BS375" s="16"/>
      <c r="BT375" s="16"/>
      <c r="BU375" s="16"/>
      <c r="BV375" s="16"/>
      <c r="BW375" s="16"/>
      <c r="BX375" s="16"/>
      <c r="BY375" s="16"/>
      <c r="BZ375" s="16"/>
      <c r="CA375" s="16"/>
      <c r="CB375" s="16"/>
      <c r="CC375" s="16"/>
    </row>
    <row r="376" spans="1:81" ht="13.5" thickBot="1">
      <c r="A376" s="16"/>
      <c r="B376" s="16"/>
      <c r="C376" s="17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/>
      <c r="AY376" s="16"/>
      <c r="AZ376" s="16"/>
      <c r="BA376" s="16"/>
      <c r="BB376" s="16"/>
      <c r="BC376" s="16"/>
      <c r="BD376" s="16"/>
      <c r="BE376" s="16"/>
      <c r="BF376" s="16"/>
      <c r="BG376" s="16"/>
      <c r="BH376" s="16"/>
      <c r="BI376" s="16"/>
      <c r="BJ376" s="16"/>
      <c r="BK376" s="16"/>
      <c r="BL376" s="16"/>
      <c r="BM376" s="16"/>
      <c r="BN376" s="16"/>
      <c r="BO376" s="16"/>
      <c r="BP376" s="16"/>
      <c r="BQ376" s="16"/>
      <c r="BR376" s="16"/>
      <c r="BS376" s="16"/>
      <c r="BT376" s="16"/>
      <c r="BU376" s="16"/>
      <c r="BV376" s="16"/>
      <c r="BW376" s="16"/>
      <c r="BX376" s="16"/>
      <c r="BY376" s="16"/>
      <c r="BZ376" s="16"/>
      <c r="CA376" s="16"/>
      <c r="CB376" s="16"/>
      <c r="CC376" s="16"/>
    </row>
    <row r="377" spans="1:81" ht="13.5" thickBot="1">
      <c r="A377" s="16"/>
      <c r="B377" s="16"/>
      <c r="C377" s="17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  <c r="AY377" s="16"/>
      <c r="AZ377" s="16"/>
      <c r="BA377" s="16"/>
      <c r="BB377" s="16"/>
      <c r="BC377" s="16"/>
      <c r="BD377" s="16"/>
      <c r="BE377" s="16"/>
      <c r="BF377" s="16"/>
      <c r="BG377" s="16"/>
      <c r="BH377" s="16"/>
      <c r="BI377" s="16"/>
      <c r="BJ377" s="16"/>
      <c r="BK377" s="16"/>
      <c r="BL377" s="16"/>
      <c r="BM377" s="16"/>
      <c r="BN377" s="16"/>
      <c r="BO377" s="16"/>
      <c r="BP377" s="16"/>
      <c r="BQ377" s="16"/>
      <c r="BR377" s="16"/>
      <c r="BS377" s="16"/>
      <c r="BT377" s="16"/>
      <c r="BU377" s="16"/>
      <c r="BV377" s="16"/>
      <c r="BW377" s="16"/>
      <c r="BX377" s="16"/>
      <c r="BY377" s="16"/>
      <c r="BZ377" s="16"/>
      <c r="CA377" s="16"/>
      <c r="CB377" s="16"/>
      <c r="CC377" s="16"/>
    </row>
    <row r="378" spans="1:81" ht="13.5" thickBot="1">
      <c r="A378" s="16"/>
      <c r="B378" s="16"/>
      <c r="C378" s="17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  <c r="AX378" s="16"/>
      <c r="AY378" s="16"/>
      <c r="AZ378" s="16"/>
      <c r="BA378" s="16"/>
      <c r="BB378" s="16"/>
      <c r="BC378" s="16"/>
      <c r="BD378" s="16"/>
      <c r="BE378" s="16"/>
      <c r="BF378" s="16"/>
      <c r="BG378" s="16"/>
      <c r="BH378" s="16"/>
      <c r="BI378" s="16"/>
      <c r="BJ378" s="16"/>
      <c r="BK378" s="16"/>
      <c r="BL378" s="16"/>
      <c r="BM378" s="16"/>
      <c r="BN378" s="16"/>
      <c r="BO378" s="16"/>
      <c r="BP378" s="16"/>
      <c r="BQ378" s="16"/>
      <c r="BR378" s="16"/>
      <c r="BS378" s="16"/>
      <c r="BT378" s="16"/>
      <c r="BU378" s="16"/>
      <c r="BV378" s="16"/>
      <c r="BW378" s="16"/>
      <c r="BX378" s="16"/>
      <c r="BY378" s="16"/>
      <c r="BZ378" s="16"/>
      <c r="CA378" s="16"/>
      <c r="CB378" s="16"/>
      <c r="CC378" s="16"/>
    </row>
    <row r="379" spans="1:81" ht="13.5" thickBot="1">
      <c r="A379" s="16"/>
      <c r="B379" s="16"/>
      <c r="C379" s="17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  <c r="AX379" s="16"/>
      <c r="AY379" s="16"/>
      <c r="AZ379" s="16"/>
      <c r="BA379" s="16"/>
      <c r="BB379" s="16"/>
      <c r="BC379" s="16"/>
      <c r="BD379" s="16"/>
      <c r="BE379" s="16"/>
      <c r="BF379" s="16"/>
      <c r="BG379" s="16"/>
      <c r="BH379" s="16"/>
      <c r="BI379" s="16"/>
      <c r="BJ379" s="16"/>
      <c r="BK379" s="16"/>
      <c r="BL379" s="16"/>
      <c r="BM379" s="16"/>
      <c r="BN379" s="16"/>
      <c r="BO379" s="16"/>
      <c r="BP379" s="16"/>
      <c r="BQ379" s="16"/>
      <c r="BR379" s="16"/>
      <c r="BS379" s="16"/>
      <c r="BT379" s="16"/>
      <c r="BU379" s="16"/>
      <c r="BV379" s="16"/>
      <c r="BW379" s="16"/>
      <c r="BX379" s="16"/>
      <c r="BY379" s="16"/>
      <c r="BZ379" s="16"/>
      <c r="CA379" s="16"/>
      <c r="CB379" s="16"/>
      <c r="CC379" s="16"/>
    </row>
    <row r="380" spans="1:81" ht="13.5" thickBot="1">
      <c r="A380" s="16"/>
      <c r="B380" s="16"/>
      <c r="C380" s="17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  <c r="AY380" s="16"/>
      <c r="AZ380" s="16"/>
      <c r="BA380" s="16"/>
      <c r="BB380" s="16"/>
      <c r="BC380" s="16"/>
      <c r="BD380" s="16"/>
      <c r="BE380" s="16"/>
      <c r="BF380" s="16"/>
      <c r="BG380" s="16"/>
      <c r="BH380" s="16"/>
      <c r="BI380" s="16"/>
      <c r="BJ380" s="16"/>
      <c r="BK380" s="16"/>
      <c r="BL380" s="16"/>
      <c r="BM380" s="16"/>
      <c r="BN380" s="16"/>
      <c r="BO380" s="16"/>
      <c r="BP380" s="16"/>
      <c r="BQ380" s="16"/>
      <c r="BR380" s="16"/>
      <c r="BS380" s="16"/>
      <c r="BT380" s="16"/>
      <c r="BU380" s="16"/>
      <c r="BV380" s="16"/>
      <c r="BW380" s="16"/>
      <c r="BX380" s="16"/>
      <c r="BY380" s="16"/>
      <c r="BZ380" s="16"/>
      <c r="CA380" s="16"/>
      <c r="CB380" s="16"/>
      <c r="CC380" s="16"/>
    </row>
    <row r="381" spans="1:81" ht="13.5" thickBot="1">
      <c r="A381" s="16"/>
      <c r="B381" s="16"/>
      <c r="C381" s="17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  <c r="AX381" s="16"/>
      <c r="AY381" s="16"/>
      <c r="AZ381" s="16"/>
      <c r="BA381" s="16"/>
      <c r="BB381" s="16"/>
      <c r="BC381" s="16"/>
      <c r="BD381" s="16"/>
      <c r="BE381" s="16"/>
      <c r="BF381" s="16"/>
      <c r="BG381" s="16"/>
      <c r="BH381" s="16"/>
      <c r="BI381" s="16"/>
      <c r="BJ381" s="16"/>
      <c r="BK381" s="16"/>
      <c r="BL381" s="16"/>
      <c r="BM381" s="16"/>
      <c r="BN381" s="16"/>
      <c r="BO381" s="16"/>
      <c r="BP381" s="16"/>
      <c r="BQ381" s="16"/>
      <c r="BR381" s="16"/>
      <c r="BS381" s="16"/>
      <c r="BT381" s="16"/>
      <c r="BU381" s="16"/>
      <c r="BV381" s="16"/>
      <c r="BW381" s="16"/>
      <c r="BX381" s="16"/>
      <c r="BY381" s="16"/>
      <c r="BZ381" s="16"/>
      <c r="CA381" s="16"/>
      <c r="CB381" s="16"/>
      <c r="CC381" s="16"/>
    </row>
    <row r="382" spans="1:81" ht="13.5" thickBot="1">
      <c r="A382" s="16"/>
      <c r="B382" s="16"/>
      <c r="C382" s="17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  <c r="AX382" s="16"/>
      <c r="AY382" s="16"/>
      <c r="AZ382" s="16"/>
      <c r="BA382" s="16"/>
      <c r="BB382" s="16"/>
      <c r="BC382" s="16"/>
      <c r="BD382" s="16"/>
      <c r="BE382" s="16"/>
      <c r="BF382" s="16"/>
      <c r="BG382" s="16"/>
      <c r="BH382" s="16"/>
      <c r="BI382" s="16"/>
      <c r="BJ382" s="16"/>
      <c r="BK382" s="16"/>
      <c r="BL382" s="16"/>
      <c r="BM382" s="16"/>
      <c r="BN382" s="16"/>
      <c r="BO382" s="16"/>
      <c r="BP382" s="16"/>
      <c r="BQ382" s="16"/>
      <c r="BR382" s="16"/>
      <c r="BS382" s="16"/>
      <c r="BT382" s="16"/>
      <c r="BU382" s="16"/>
      <c r="BV382" s="16"/>
      <c r="BW382" s="16"/>
      <c r="BX382" s="16"/>
      <c r="BY382" s="16"/>
      <c r="BZ382" s="16"/>
      <c r="CA382" s="16"/>
      <c r="CB382" s="16"/>
      <c r="CC382" s="16"/>
    </row>
    <row r="383" spans="1:81" ht="13.5" thickBot="1">
      <c r="A383" s="16"/>
      <c r="B383" s="16"/>
      <c r="C383" s="17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  <c r="AY383" s="16"/>
      <c r="AZ383" s="16"/>
      <c r="BA383" s="16"/>
      <c r="BB383" s="16"/>
      <c r="BC383" s="16"/>
      <c r="BD383" s="16"/>
      <c r="BE383" s="16"/>
      <c r="BF383" s="16"/>
      <c r="BG383" s="16"/>
      <c r="BH383" s="16"/>
      <c r="BI383" s="16"/>
      <c r="BJ383" s="16"/>
      <c r="BK383" s="16"/>
      <c r="BL383" s="16"/>
      <c r="BM383" s="16"/>
      <c r="BN383" s="16"/>
      <c r="BO383" s="16"/>
      <c r="BP383" s="16"/>
      <c r="BQ383" s="16"/>
      <c r="BR383" s="16"/>
      <c r="BS383" s="16"/>
      <c r="BT383" s="16"/>
      <c r="BU383" s="16"/>
      <c r="BV383" s="16"/>
      <c r="BW383" s="16"/>
      <c r="BX383" s="16"/>
      <c r="BY383" s="16"/>
      <c r="BZ383" s="16"/>
      <c r="CA383" s="16"/>
      <c r="CB383" s="16"/>
      <c r="CC383" s="16"/>
    </row>
    <row r="384" spans="1:81" ht="13.5" thickBot="1">
      <c r="A384" s="16"/>
      <c r="B384" s="16"/>
      <c r="C384" s="17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  <c r="AX384" s="16"/>
      <c r="AY384" s="16"/>
      <c r="AZ384" s="16"/>
      <c r="BA384" s="16"/>
      <c r="BB384" s="16"/>
      <c r="BC384" s="16"/>
      <c r="BD384" s="16"/>
      <c r="BE384" s="16"/>
      <c r="BF384" s="16"/>
      <c r="BG384" s="16"/>
      <c r="BH384" s="16"/>
      <c r="BI384" s="16"/>
      <c r="BJ384" s="16"/>
      <c r="BK384" s="16"/>
      <c r="BL384" s="16"/>
      <c r="BM384" s="16"/>
      <c r="BN384" s="16"/>
      <c r="BO384" s="16"/>
      <c r="BP384" s="16"/>
      <c r="BQ384" s="16"/>
      <c r="BR384" s="16"/>
      <c r="BS384" s="16"/>
      <c r="BT384" s="16"/>
      <c r="BU384" s="16"/>
      <c r="BV384" s="16"/>
      <c r="BW384" s="16"/>
      <c r="BX384" s="16"/>
      <c r="BY384" s="16"/>
      <c r="BZ384" s="16"/>
      <c r="CA384" s="16"/>
      <c r="CB384" s="16"/>
      <c r="CC384" s="16"/>
    </row>
    <row r="385" spans="1:81" ht="13.5" thickBot="1">
      <c r="A385" s="16"/>
      <c r="B385" s="16"/>
      <c r="C385" s="17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  <c r="AX385" s="16"/>
      <c r="AY385" s="16"/>
      <c r="AZ385" s="16"/>
      <c r="BA385" s="16"/>
      <c r="BB385" s="16"/>
      <c r="BC385" s="16"/>
      <c r="BD385" s="16"/>
      <c r="BE385" s="16"/>
      <c r="BF385" s="16"/>
      <c r="BG385" s="16"/>
      <c r="BH385" s="16"/>
      <c r="BI385" s="16"/>
      <c r="BJ385" s="16"/>
      <c r="BK385" s="16"/>
      <c r="BL385" s="16"/>
      <c r="BM385" s="16"/>
      <c r="BN385" s="16"/>
      <c r="BO385" s="16"/>
      <c r="BP385" s="16"/>
      <c r="BQ385" s="16"/>
      <c r="BR385" s="16"/>
      <c r="BS385" s="16"/>
      <c r="BT385" s="16"/>
      <c r="BU385" s="16"/>
      <c r="BV385" s="16"/>
      <c r="BW385" s="16"/>
      <c r="BX385" s="16"/>
      <c r="BY385" s="16"/>
      <c r="BZ385" s="16"/>
      <c r="CA385" s="16"/>
      <c r="CB385" s="16"/>
      <c r="CC385" s="16"/>
    </row>
    <row r="386" spans="1:81" ht="13.5" thickBot="1">
      <c r="A386" s="16"/>
      <c r="B386" s="16"/>
      <c r="C386" s="17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  <c r="AY386" s="16"/>
      <c r="AZ386" s="16"/>
      <c r="BA386" s="16"/>
      <c r="BB386" s="16"/>
      <c r="BC386" s="16"/>
      <c r="BD386" s="16"/>
      <c r="BE386" s="16"/>
      <c r="BF386" s="16"/>
      <c r="BG386" s="16"/>
      <c r="BH386" s="16"/>
      <c r="BI386" s="16"/>
      <c r="BJ386" s="16"/>
      <c r="BK386" s="16"/>
      <c r="BL386" s="16"/>
      <c r="BM386" s="16"/>
      <c r="BN386" s="16"/>
      <c r="BO386" s="16"/>
      <c r="BP386" s="16"/>
      <c r="BQ386" s="16"/>
      <c r="BR386" s="16"/>
      <c r="BS386" s="16"/>
      <c r="BT386" s="16"/>
      <c r="BU386" s="16"/>
      <c r="BV386" s="16"/>
      <c r="BW386" s="16"/>
      <c r="BX386" s="16"/>
      <c r="BY386" s="16"/>
      <c r="BZ386" s="16"/>
      <c r="CA386" s="16"/>
      <c r="CB386" s="16"/>
      <c r="CC386" s="16"/>
    </row>
    <row r="387" spans="1:81" ht="13.5" thickBot="1">
      <c r="A387" s="16"/>
      <c r="B387" s="16"/>
      <c r="C387" s="17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  <c r="AX387" s="16"/>
      <c r="AY387" s="16"/>
      <c r="AZ387" s="16"/>
      <c r="BA387" s="16"/>
      <c r="BB387" s="16"/>
      <c r="BC387" s="16"/>
      <c r="BD387" s="16"/>
      <c r="BE387" s="16"/>
      <c r="BF387" s="16"/>
      <c r="BG387" s="16"/>
      <c r="BH387" s="16"/>
      <c r="BI387" s="16"/>
      <c r="BJ387" s="16"/>
      <c r="BK387" s="16"/>
      <c r="BL387" s="16"/>
      <c r="BM387" s="16"/>
      <c r="BN387" s="16"/>
      <c r="BO387" s="16"/>
      <c r="BP387" s="16"/>
      <c r="BQ387" s="16"/>
      <c r="BR387" s="16"/>
      <c r="BS387" s="16"/>
      <c r="BT387" s="16"/>
      <c r="BU387" s="16"/>
      <c r="BV387" s="16"/>
      <c r="BW387" s="16"/>
      <c r="BX387" s="16"/>
      <c r="BY387" s="16"/>
      <c r="BZ387" s="16"/>
      <c r="CA387" s="16"/>
      <c r="CB387" s="16"/>
      <c r="CC387" s="16"/>
    </row>
    <row r="388" spans="1:81" ht="13.5" thickBot="1">
      <c r="A388" s="16"/>
      <c r="B388" s="16"/>
      <c r="C388" s="17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  <c r="AX388" s="16"/>
      <c r="AY388" s="16"/>
      <c r="AZ388" s="16"/>
      <c r="BA388" s="16"/>
      <c r="BB388" s="16"/>
      <c r="BC388" s="16"/>
      <c r="BD388" s="16"/>
      <c r="BE388" s="16"/>
      <c r="BF388" s="16"/>
      <c r="BG388" s="16"/>
      <c r="BH388" s="16"/>
      <c r="BI388" s="16"/>
      <c r="BJ388" s="16"/>
      <c r="BK388" s="16"/>
      <c r="BL388" s="16"/>
      <c r="BM388" s="16"/>
      <c r="BN388" s="16"/>
      <c r="BO388" s="16"/>
      <c r="BP388" s="16"/>
      <c r="BQ388" s="16"/>
      <c r="BR388" s="16"/>
      <c r="BS388" s="16"/>
      <c r="BT388" s="16"/>
      <c r="BU388" s="16"/>
      <c r="BV388" s="16"/>
      <c r="BW388" s="16"/>
      <c r="BX388" s="16"/>
      <c r="BY388" s="16"/>
      <c r="BZ388" s="16"/>
      <c r="CA388" s="16"/>
      <c r="CB388" s="16"/>
      <c r="CC388" s="16"/>
    </row>
    <row r="389" spans="1:81" ht="13.5" thickBot="1">
      <c r="A389" s="16"/>
      <c r="B389" s="16"/>
      <c r="C389" s="17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  <c r="AX389" s="16"/>
      <c r="AY389" s="16"/>
      <c r="AZ389" s="16"/>
      <c r="BA389" s="16"/>
      <c r="BB389" s="16"/>
      <c r="BC389" s="16"/>
      <c r="BD389" s="16"/>
      <c r="BE389" s="16"/>
      <c r="BF389" s="16"/>
      <c r="BG389" s="16"/>
      <c r="BH389" s="16"/>
      <c r="BI389" s="16"/>
      <c r="BJ389" s="16"/>
      <c r="BK389" s="16"/>
      <c r="BL389" s="16"/>
      <c r="BM389" s="16"/>
      <c r="BN389" s="16"/>
      <c r="BO389" s="16"/>
      <c r="BP389" s="16"/>
      <c r="BQ389" s="16"/>
      <c r="BR389" s="16"/>
      <c r="BS389" s="16"/>
      <c r="BT389" s="16"/>
      <c r="BU389" s="16"/>
      <c r="BV389" s="16"/>
      <c r="BW389" s="16"/>
      <c r="BX389" s="16"/>
      <c r="BY389" s="16"/>
      <c r="BZ389" s="16"/>
      <c r="CA389" s="16"/>
      <c r="CB389" s="16"/>
      <c r="CC389" s="16"/>
    </row>
    <row r="390" spans="1:81" ht="13.5" thickBot="1">
      <c r="A390" s="16"/>
      <c r="B390" s="16"/>
      <c r="C390" s="17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  <c r="AX390" s="16"/>
      <c r="AY390" s="16"/>
      <c r="AZ390" s="16"/>
      <c r="BA390" s="16"/>
      <c r="BB390" s="16"/>
      <c r="BC390" s="16"/>
      <c r="BD390" s="16"/>
      <c r="BE390" s="16"/>
      <c r="BF390" s="16"/>
      <c r="BG390" s="16"/>
      <c r="BH390" s="16"/>
      <c r="BI390" s="16"/>
      <c r="BJ390" s="16"/>
      <c r="BK390" s="16"/>
      <c r="BL390" s="16"/>
      <c r="BM390" s="16"/>
      <c r="BN390" s="16"/>
      <c r="BO390" s="16"/>
      <c r="BP390" s="16"/>
      <c r="BQ390" s="16"/>
      <c r="BR390" s="16"/>
      <c r="BS390" s="16"/>
      <c r="BT390" s="16"/>
      <c r="BU390" s="16"/>
      <c r="BV390" s="16"/>
      <c r="BW390" s="16"/>
      <c r="BX390" s="16"/>
      <c r="BY390" s="16"/>
      <c r="BZ390" s="16"/>
      <c r="CA390" s="16"/>
      <c r="CB390" s="16"/>
      <c r="CC390" s="16"/>
    </row>
    <row r="391" spans="1:81" ht="13.5" thickBot="1">
      <c r="A391" s="16"/>
      <c r="B391" s="16"/>
      <c r="C391" s="17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  <c r="AX391" s="16"/>
      <c r="AY391" s="16"/>
      <c r="AZ391" s="16"/>
      <c r="BA391" s="16"/>
      <c r="BB391" s="16"/>
      <c r="BC391" s="16"/>
      <c r="BD391" s="16"/>
      <c r="BE391" s="16"/>
      <c r="BF391" s="16"/>
      <c r="BG391" s="16"/>
      <c r="BH391" s="16"/>
      <c r="BI391" s="16"/>
      <c r="BJ391" s="16"/>
      <c r="BK391" s="16"/>
      <c r="BL391" s="16"/>
      <c r="BM391" s="16"/>
      <c r="BN391" s="16"/>
      <c r="BO391" s="16"/>
      <c r="BP391" s="16"/>
      <c r="BQ391" s="16"/>
      <c r="BR391" s="16"/>
      <c r="BS391" s="16"/>
      <c r="BT391" s="16"/>
      <c r="BU391" s="16"/>
      <c r="BV391" s="16"/>
      <c r="BW391" s="16"/>
      <c r="BX391" s="16"/>
      <c r="BY391" s="16"/>
      <c r="BZ391" s="16"/>
      <c r="CA391" s="16"/>
      <c r="CB391" s="16"/>
      <c r="CC391" s="16"/>
    </row>
    <row r="392" spans="1:81" ht="13.5" thickBot="1">
      <c r="A392" s="16"/>
      <c r="B392" s="16"/>
      <c r="C392" s="17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  <c r="AY392" s="16"/>
      <c r="AZ392" s="16"/>
      <c r="BA392" s="16"/>
      <c r="BB392" s="16"/>
      <c r="BC392" s="16"/>
      <c r="BD392" s="16"/>
      <c r="BE392" s="16"/>
      <c r="BF392" s="16"/>
      <c r="BG392" s="16"/>
      <c r="BH392" s="16"/>
      <c r="BI392" s="16"/>
      <c r="BJ392" s="16"/>
      <c r="BK392" s="16"/>
      <c r="BL392" s="16"/>
      <c r="BM392" s="16"/>
      <c r="BN392" s="16"/>
      <c r="BO392" s="16"/>
      <c r="BP392" s="16"/>
      <c r="BQ392" s="16"/>
      <c r="BR392" s="16"/>
      <c r="BS392" s="16"/>
      <c r="BT392" s="16"/>
      <c r="BU392" s="16"/>
      <c r="BV392" s="16"/>
      <c r="BW392" s="16"/>
      <c r="BX392" s="16"/>
      <c r="BY392" s="16"/>
      <c r="BZ392" s="16"/>
      <c r="CA392" s="16"/>
      <c r="CB392" s="16"/>
      <c r="CC392" s="16"/>
    </row>
    <row r="393" spans="1:81" ht="13.5" thickBot="1">
      <c r="A393" s="16"/>
      <c r="B393" s="16"/>
      <c r="C393" s="17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  <c r="AX393" s="16"/>
      <c r="AY393" s="16"/>
      <c r="AZ393" s="16"/>
      <c r="BA393" s="16"/>
      <c r="BB393" s="16"/>
      <c r="BC393" s="16"/>
      <c r="BD393" s="16"/>
      <c r="BE393" s="16"/>
      <c r="BF393" s="16"/>
      <c r="BG393" s="16"/>
      <c r="BH393" s="16"/>
      <c r="BI393" s="16"/>
      <c r="BJ393" s="16"/>
      <c r="BK393" s="16"/>
      <c r="BL393" s="16"/>
      <c r="BM393" s="16"/>
      <c r="BN393" s="16"/>
      <c r="BO393" s="16"/>
      <c r="BP393" s="16"/>
      <c r="BQ393" s="16"/>
      <c r="BR393" s="16"/>
      <c r="BS393" s="16"/>
      <c r="BT393" s="16"/>
      <c r="BU393" s="16"/>
      <c r="BV393" s="16"/>
      <c r="BW393" s="16"/>
      <c r="BX393" s="16"/>
      <c r="BY393" s="16"/>
      <c r="BZ393" s="16"/>
      <c r="CA393" s="16"/>
      <c r="CB393" s="16"/>
      <c r="CC393" s="16"/>
    </row>
    <row r="394" spans="1:81" ht="13.5" thickBot="1">
      <c r="A394" s="16"/>
      <c r="B394" s="16"/>
      <c r="C394" s="17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  <c r="AX394" s="16"/>
      <c r="AY394" s="16"/>
      <c r="AZ394" s="16"/>
      <c r="BA394" s="16"/>
      <c r="BB394" s="16"/>
      <c r="BC394" s="16"/>
      <c r="BD394" s="16"/>
      <c r="BE394" s="16"/>
      <c r="BF394" s="16"/>
      <c r="BG394" s="16"/>
      <c r="BH394" s="16"/>
      <c r="BI394" s="16"/>
      <c r="BJ394" s="16"/>
      <c r="BK394" s="16"/>
      <c r="BL394" s="16"/>
      <c r="BM394" s="16"/>
      <c r="BN394" s="16"/>
      <c r="BO394" s="16"/>
      <c r="BP394" s="16"/>
      <c r="BQ394" s="16"/>
      <c r="BR394" s="16"/>
      <c r="BS394" s="16"/>
      <c r="BT394" s="16"/>
      <c r="BU394" s="16"/>
      <c r="BV394" s="16"/>
      <c r="BW394" s="16"/>
      <c r="BX394" s="16"/>
      <c r="BY394" s="16"/>
      <c r="BZ394" s="16"/>
      <c r="CA394" s="16"/>
      <c r="CB394" s="16"/>
      <c r="CC394" s="16"/>
    </row>
    <row r="395" spans="1:81" ht="13.5" thickBot="1">
      <c r="A395" s="16"/>
      <c r="B395" s="16"/>
      <c r="C395" s="17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  <c r="AY395" s="16"/>
      <c r="AZ395" s="16"/>
      <c r="BA395" s="16"/>
      <c r="BB395" s="16"/>
      <c r="BC395" s="16"/>
      <c r="BD395" s="16"/>
      <c r="BE395" s="16"/>
      <c r="BF395" s="16"/>
      <c r="BG395" s="16"/>
      <c r="BH395" s="16"/>
      <c r="BI395" s="16"/>
      <c r="BJ395" s="16"/>
      <c r="BK395" s="16"/>
      <c r="BL395" s="16"/>
      <c r="BM395" s="16"/>
      <c r="BN395" s="16"/>
      <c r="BO395" s="16"/>
      <c r="BP395" s="16"/>
      <c r="BQ395" s="16"/>
      <c r="BR395" s="16"/>
      <c r="BS395" s="16"/>
      <c r="BT395" s="16"/>
      <c r="BU395" s="16"/>
      <c r="BV395" s="16"/>
      <c r="BW395" s="16"/>
      <c r="BX395" s="16"/>
      <c r="BY395" s="16"/>
      <c r="BZ395" s="16"/>
      <c r="CA395" s="16"/>
      <c r="CB395" s="16"/>
      <c r="CC395" s="16"/>
    </row>
    <row r="396" spans="1:81" ht="13.5" thickBot="1">
      <c r="A396" s="16"/>
      <c r="B396" s="16"/>
      <c r="C396" s="17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  <c r="AX396" s="16"/>
      <c r="AY396" s="16"/>
      <c r="AZ396" s="16"/>
      <c r="BA396" s="16"/>
      <c r="BB396" s="16"/>
      <c r="BC396" s="16"/>
      <c r="BD396" s="16"/>
      <c r="BE396" s="16"/>
      <c r="BF396" s="16"/>
      <c r="BG396" s="16"/>
      <c r="BH396" s="16"/>
      <c r="BI396" s="16"/>
      <c r="BJ396" s="16"/>
      <c r="BK396" s="16"/>
      <c r="BL396" s="16"/>
      <c r="BM396" s="16"/>
      <c r="BN396" s="16"/>
      <c r="BO396" s="16"/>
      <c r="BP396" s="16"/>
      <c r="BQ396" s="16"/>
      <c r="BR396" s="16"/>
      <c r="BS396" s="16"/>
      <c r="BT396" s="16"/>
      <c r="BU396" s="16"/>
      <c r="BV396" s="16"/>
      <c r="BW396" s="16"/>
      <c r="BX396" s="16"/>
      <c r="BY396" s="16"/>
      <c r="BZ396" s="16"/>
      <c r="CA396" s="16"/>
      <c r="CB396" s="16"/>
      <c r="CC396" s="16"/>
    </row>
    <row r="397" spans="1:81" ht="13.5" thickBot="1">
      <c r="A397" s="16"/>
      <c r="B397" s="16"/>
      <c r="C397" s="17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  <c r="AX397" s="16"/>
      <c r="AY397" s="16"/>
      <c r="AZ397" s="16"/>
      <c r="BA397" s="16"/>
      <c r="BB397" s="16"/>
      <c r="BC397" s="16"/>
      <c r="BD397" s="16"/>
      <c r="BE397" s="16"/>
      <c r="BF397" s="16"/>
      <c r="BG397" s="16"/>
      <c r="BH397" s="16"/>
      <c r="BI397" s="16"/>
      <c r="BJ397" s="16"/>
      <c r="BK397" s="16"/>
      <c r="BL397" s="16"/>
      <c r="BM397" s="16"/>
      <c r="BN397" s="16"/>
      <c r="BO397" s="16"/>
      <c r="BP397" s="16"/>
      <c r="BQ397" s="16"/>
      <c r="BR397" s="16"/>
      <c r="BS397" s="16"/>
      <c r="BT397" s="16"/>
      <c r="BU397" s="16"/>
      <c r="BV397" s="16"/>
      <c r="BW397" s="16"/>
      <c r="BX397" s="16"/>
      <c r="BY397" s="16"/>
      <c r="BZ397" s="16"/>
      <c r="CA397" s="16"/>
      <c r="CB397" s="16"/>
      <c r="CC397" s="16"/>
    </row>
    <row r="398" spans="1:81" ht="13.5" thickBot="1">
      <c r="A398" s="16"/>
      <c r="B398" s="16"/>
      <c r="C398" s="17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  <c r="AX398" s="16"/>
      <c r="AY398" s="16"/>
      <c r="AZ398" s="16"/>
      <c r="BA398" s="16"/>
      <c r="BB398" s="16"/>
      <c r="BC398" s="16"/>
      <c r="BD398" s="16"/>
      <c r="BE398" s="16"/>
      <c r="BF398" s="16"/>
      <c r="BG398" s="16"/>
      <c r="BH398" s="16"/>
      <c r="BI398" s="16"/>
      <c r="BJ398" s="16"/>
      <c r="BK398" s="16"/>
      <c r="BL398" s="16"/>
      <c r="BM398" s="16"/>
      <c r="BN398" s="16"/>
      <c r="BO398" s="16"/>
      <c r="BP398" s="16"/>
      <c r="BQ398" s="16"/>
      <c r="BR398" s="16"/>
      <c r="BS398" s="16"/>
      <c r="BT398" s="16"/>
      <c r="BU398" s="16"/>
      <c r="BV398" s="16"/>
      <c r="BW398" s="16"/>
      <c r="BX398" s="16"/>
      <c r="BY398" s="16"/>
      <c r="BZ398" s="16"/>
      <c r="CA398" s="16"/>
      <c r="CB398" s="16"/>
      <c r="CC398" s="16"/>
    </row>
    <row r="399" spans="1:81" ht="13.5" thickBot="1">
      <c r="A399" s="16"/>
      <c r="B399" s="16"/>
      <c r="C399" s="17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  <c r="AY399" s="16"/>
      <c r="AZ399" s="16"/>
      <c r="BA399" s="16"/>
      <c r="BB399" s="16"/>
      <c r="BC399" s="16"/>
      <c r="BD399" s="16"/>
      <c r="BE399" s="16"/>
      <c r="BF399" s="16"/>
      <c r="BG399" s="16"/>
      <c r="BH399" s="16"/>
      <c r="BI399" s="16"/>
      <c r="BJ399" s="16"/>
      <c r="BK399" s="16"/>
      <c r="BL399" s="16"/>
      <c r="BM399" s="16"/>
      <c r="BN399" s="16"/>
      <c r="BO399" s="16"/>
      <c r="BP399" s="16"/>
      <c r="BQ399" s="16"/>
      <c r="BR399" s="16"/>
      <c r="BS399" s="16"/>
      <c r="BT399" s="16"/>
      <c r="BU399" s="16"/>
      <c r="BV399" s="16"/>
      <c r="BW399" s="16"/>
      <c r="BX399" s="16"/>
      <c r="BY399" s="16"/>
      <c r="BZ399" s="16"/>
      <c r="CA399" s="16"/>
      <c r="CB399" s="16"/>
      <c r="CC399" s="16"/>
    </row>
    <row r="400" spans="1:81" ht="13.5" thickBot="1">
      <c r="A400" s="16"/>
      <c r="B400" s="16"/>
      <c r="C400" s="17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  <c r="AX400" s="16"/>
      <c r="AY400" s="16"/>
      <c r="AZ400" s="16"/>
      <c r="BA400" s="16"/>
      <c r="BB400" s="16"/>
      <c r="BC400" s="16"/>
      <c r="BD400" s="16"/>
      <c r="BE400" s="16"/>
      <c r="BF400" s="16"/>
      <c r="BG400" s="16"/>
      <c r="BH400" s="16"/>
      <c r="BI400" s="16"/>
      <c r="BJ400" s="16"/>
      <c r="BK400" s="16"/>
      <c r="BL400" s="16"/>
      <c r="BM400" s="16"/>
      <c r="BN400" s="16"/>
      <c r="BO400" s="16"/>
      <c r="BP400" s="16"/>
      <c r="BQ400" s="16"/>
      <c r="BR400" s="16"/>
      <c r="BS400" s="16"/>
      <c r="BT400" s="16"/>
      <c r="BU400" s="16"/>
      <c r="BV400" s="16"/>
      <c r="BW400" s="16"/>
      <c r="BX400" s="16"/>
      <c r="BY400" s="16"/>
      <c r="BZ400" s="16"/>
      <c r="CA400" s="16"/>
      <c r="CB400" s="16"/>
      <c r="CC400" s="16"/>
    </row>
    <row r="401" spans="1:81" ht="13.5" thickBot="1">
      <c r="A401" s="16"/>
      <c r="B401" s="16"/>
      <c r="C401" s="17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  <c r="AX401" s="16"/>
      <c r="AY401" s="16"/>
      <c r="AZ401" s="16"/>
      <c r="BA401" s="16"/>
      <c r="BB401" s="16"/>
      <c r="BC401" s="16"/>
      <c r="BD401" s="16"/>
      <c r="BE401" s="16"/>
      <c r="BF401" s="16"/>
      <c r="BG401" s="16"/>
      <c r="BH401" s="16"/>
      <c r="BI401" s="16"/>
      <c r="BJ401" s="16"/>
      <c r="BK401" s="16"/>
      <c r="BL401" s="16"/>
      <c r="BM401" s="16"/>
      <c r="BN401" s="16"/>
      <c r="BO401" s="16"/>
      <c r="BP401" s="16"/>
      <c r="BQ401" s="16"/>
      <c r="BR401" s="16"/>
      <c r="BS401" s="16"/>
      <c r="BT401" s="16"/>
      <c r="BU401" s="16"/>
      <c r="BV401" s="16"/>
      <c r="BW401" s="16"/>
      <c r="BX401" s="16"/>
      <c r="BY401" s="16"/>
      <c r="BZ401" s="16"/>
      <c r="CA401" s="16"/>
      <c r="CB401" s="16"/>
      <c r="CC401" s="16"/>
    </row>
    <row r="402" spans="1:81" ht="13.5" thickBot="1">
      <c r="A402" s="16"/>
      <c r="B402" s="16"/>
      <c r="C402" s="17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  <c r="AY402" s="16"/>
      <c r="AZ402" s="16"/>
      <c r="BA402" s="16"/>
      <c r="BB402" s="16"/>
      <c r="BC402" s="16"/>
      <c r="BD402" s="16"/>
      <c r="BE402" s="16"/>
      <c r="BF402" s="16"/>
      <c r="BG402" s="16"/>
      <c r="BH402" s="16"/>
      <c r="BI402" s="16"/>
      <c r="BJ402" s="16"/>
      <c r="BK402" s="16"/>
      <c r="BL402" s="16"/>
      <c r="BM402" s="16"/>
      <c r="BN402" s="16"/>
      <c r="BO402" s="16"/>
      <c r="BP402" s="16"/>
      <c r="BQ402" s="16"/>
      <c r="BR402" s="16"/>
      <c r="BS402" s="16"/>
      <c r="BT402" s="16"/>
      <c r="BU402" s="16"/>
      <c r="BV402" s="16"/>
      <c r="BW402" s="16"/>
      <c r="BX402" s="16"/>
      <c r="BY402" s="16"/>
      <c r="BZ402" s="16"/>
      <c r="CA402" s="16"/>
      <c r="CB402" s="16"/>
      <c r="CC402" s="16"/>
    </row>
    <row r="403" spans="1:81" ht="13.5" thickBot="1">
      <c r="A403" s="16"/>
      <c r="B403" s="16"/>
      <c r="C403" s="17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  <c r="AX403" s="16"/>
      <c r="AY403" s="16"/>
      <c r="AZ403" s="16"/>
      <c r="BA403" s="16"/>
      <c r="BB403" s="16"/>
      <c r="BC403" s="16"/>
      <c r="BD403" s="16"/>
      <c r="BE403" s="16"/>
      <c r="BF403" s="16"/>
      <c r="BG403" s="16"/>
      <c r="BH403" s="16"/>
      <c r="BI403" s="16"/>
      <c r="BJ403" s="16"/>
      <c r="BK403" s="16"/>
      <c r="BL403" s="16"/>
      <c r="BM403" s="16"/>
      <c r="BN403" s="16"/>
      <c r="BO403" s="16"/>
      <c r="BP403" s="16"/>
      <c r="BQ403" s="16"/>
      <c r="BR403" s="16"/>
      <c r="BS403" s="16"/>
      <c r="BT403" s="16"/>
      <c r="BU403" s="16"/>
      <c r="BV403" s="16"/>
      <c r="BW403" s="16"/>
      <c r="BX403" s="16"/>
      <c r="BY403" s="16"/>
      <c r="BZ403" s="16"/>
      <c r="CA403" s="16"/>
      <c r="CB403" s="16"/>
      <c r="CC403" s="16"/>
    </row>
    <row r="404" spans="1:81" ht="13.5" thickBot="1">
      <c r="A404" s="16"/>
      <c r="B404" s="16"/>
      <c r="C404" s="17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  <c r="AX404" s="16"/>
      <c r="AY404" s="16"/>
      <c r="AZ404" s="16"/>
      <c r="BA404" s="16"/>
      <c r="BB404" s="16"/>
      <c r="BC404" s="16"/>
      <c r="BD404" s="16"/>
      <c r="BE404" s="16"/>
      <c r="BF404" s="16"/>
      <c r="BG404" s="16"/>
      <c r="BH404" s="16"/>
      <c r="BI404" s="16"/>
      <c r="BJ404" s="16"/>
      <c r="BK404" s="16"/>
      <c r="BL404" s="16"/>
      <c r="BM404" s="16"/>
      <c r="BN404" s="16"/>
      <c r="BO404" s="16"/>
      <c r="BP404" s="16"/>
      <c r="BQ404" s="16"/>
      <c r="BR404" s="16"/>
      <c r="BS404" s="16"/>
      <c r="BT404" s="16"/>
      <c r="BU404" s="16"/>
      <c r="BV404" s="16"/>
      <c r="BW404" s="16"/>
      <c r="BX404" s="16"/>
      <c r="BY404" s="16"/>
      <c r="BZ404" s="16"/>
      <c r="CA404" s="16"/>
      <c r="CB404" s="16"/>
      <c r="CC404" s="16"/>
    </row>
    <row r="405" spans="1:81" ht="13.5" thickBot="1">
      <c r="A405" s="16"/>
      <c r="B405" s="16"/>
      <c r="C405" s="17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  <c r="AY405" s="16"/>
      <c r="AZ405" s="16"/>
      <c r="BA405" s="16"/>
      <c r="BB405" s="16"/>
      <c r="BC405" s="16"/>
      <c r="BD405" s="16"/>
      <c r="BE405" s="16"/>
      <c r="BF405" s="16"/>
      <c r="BG405" s="16"/>
      <c r="BH405" s="16"/>
      <c r="BI405" s="16"/>
      <c r="BJ405" s="16"/>
      <c r="BK405" s="16"/>
      <c r="BL405" s="16"/>
      <c r="BM405" s="16"/>
      <c r="BN405" s="16"/>
      <c r="BO405" s="16"/>
      <c r="BP405" s="16"/>
      <c r="BQ405" s="16"/>
      <c r="BR405" s="16"/>
      <c r="BS405" s="16"/>
      <c r="BT405" s="16"/>
      <c r="BU405" s="16"/>
      <c r="BV405" s="16"/>
      <c r="BW405" s="16"/>
      <c r="BX405" s="16"/>
      <c r="BY405" s="16"/>
      <c r="BZ405" s="16"/>
      <c r="CA405" s="16"/>
      <c r="CB405" s="16"/>
      <c r="CC405" s="16"/>
    </row>
    <row r="406" spans="1:81" ht="13.5" thickBot="1">
      <c r="A406" s="16"/>
      <c r="B406" s="16"/>
      <c r="C406" s="17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  <c r="AX406" s="16"/>
      <c r="AY406" s="16"/>
      <c r="AZ406" s="16"/>
      <c r="BA406" s="16"/>
      <c r="BB406" s="16"/>
      <c r="BC406" s="16"/>
      <c r="BD406" s="16"/>
      <c r="BE406" s="16"/>
      <c r="BF406" s="16"/>
      <c r="BG406" s="16"/>
      <c r="BH406" s="16"/>
      <c r="BI406" s="16"/>
      <c r="BJ406" s="16"/>
      <c r="BK406" s="16"/>
      <c r="BL406" s="16"/>
      <c r="BM406" s="16"/>
      <c r="BN406" s="16"/>
      <c r="BO406" s="16"/>
      <c r="BP406" s="16"/>
      <c r="BQ406" s="16"/>
      <c r="BR406" s="16"/>
      <c r="BS406" s="16"/>
      <c r="BT406" s="16"/>
      <c r="BU406" s="16"/>
      <c r="BV406" s="16"/>
      <c r="BW406" s="16"/>
      <c r="BX406" s="16"/>
      <c r="BY406" s="16"/>
      <c r="BZ406" s="16"/>
      <c r="CA406" s="16"/>
      <c r="CB406" s="16"/>
      <c r="CC406" s="16"/>
    </row>
    <row r="407" spans="1:81" ht="13.5" thickBot="1">
      <c r="A407" s="16"/>
      <c r="B407" s="16"/>
      <c r="C407" s="17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  <c r="AX407" s="16"/>
      <c r="AY407" s="16"/>
      <c r="AZ407" s="16"/>
      <c r="BA407" s="16"/>
      <c r="BB407" s="16"/>
      <c r="BC407" s="16"/>
      <c r="BD407" s="16"/>
      <c r="BE407" s="16"/>
      <c r="BF407" s="16"/>
      <c r="BG407" s="16"/>
      <c r="BH407" s="16"/>
      <c r="BI407" s="16"/>
      <c r="BJ407" s="16"/>
      <c r="BK407" s="16"/>
      <c r="BL407" s="16"/>
      <c r="BM407" s="16"/>
      <c r="BN407" s="16"/>
      <c r="BO407" s="16"/>
      <c r="BP407" s="16"/>
      <c r="BQ407" s="16"/>
      <c r="BR407" s="16"/>
      <c r="BS407" s="16"/>
      <c r="BT407" s="16"/>
      <c r="BU407" s="16"/>
      <c r="BV407" s="16"/>
      <c r="BW407" s="16"/>
      <c r="BX407" s="16"/>
      <c r="BY407" s="16"/>
      <c r="BZ407" s="16"/>
      <c r="CA407" s="16"/>
      <c r="CB407" s="16"/>
      <c r="CC407" s="16"/>
    </row>
    <row r="408" spans="1:81" ht="13.5" thickBot="1">
      <c r="A408" s="16"/>
      <c r="B408" s="16"/>
      <c r="C408" s="17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  <c r="AY408" s="16"/>
      <c r="AZ408" s="16"/>
      <c r="BA408" s="16"/>
      <c r="BB408" s="16"/>
      <c r="BC408" s="16"/>
      <c r="BD408" s="16"/>
      <c r="BE408" s="16"/>
      <c r="BF408" s="16"/>
      <c r="BG408" s="16"/>
      <c r="BH408" s="16"/>
      <c r="BI408" s="16"/>
      <c r="BJ408" s="16"/>
      <c r="BK408" s="16"/>
      <c r="BL408" s="16"/>
      <c r="BM408" s="16"/>
      <c r="BN408" s="16"/>
      <c r="BO408" s="16"/>
      <c r="BP408" s="16"/>
      <c r="BQ408" s="16"/>
      <c r="BR408" s="16"/>
      <c r="BS408" s="16"/>
      <c r="BT408" s="16"/>
      <c r="BU408" s="16"/>
      <c r="BV408" s="16"/>
      <c r="BW408" s="16"/>
      <c r="BX408" s="16"/>
      <c r="BY408" s="16"/>
      <c r="BZ408" s="16"/>
      <c r="CA408" s="16"/>
      <c r="CB408" s="16"/>
      <c r="CC408" s="16"/>
    </row>
    <row r="409" spans="1:81" ht="13.5" thickBot="1">
      <c r="A409" s="16"/>
      <c r="B409" s="16"/>
      <c r="C409" s="17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  <c r="AX409" s="16"/>
      <c r="AY409" s="16"/>
      <c r="AZ409" s="16"/>
      <c r="BA409" s="16"/>
      <c r="BB409" s="16"/>
      <c r="BC409" s="16"/>
      <c r="BD409" s="16"/>
      <c r="BE409" s="16"/>
      <c r="BF409" s="16"/>
      <c r="BG409" s="16"/>
      <c r="BH409" s="16"/>
      <c r="BI409" s="16"/>
      <c r="BJ409" s="16"/>
      <c r="BK409" s="16"/>
      <c r="BL409" s="16"/>
      <c r="BM409" s="16"/>
      <c r="BN409" s="16"/>
      <c r="BO409" s="16"/>
      <c r="BP409" s="16"/>
      <c r="BQ409" s="16"/>
      <c r="BR409" s="16"/>
      <c r="BS409" s="16"/>
      <c r="BT409" s="16"/>
      <c r="BU409" s="16"/>
      <c r="BV409" s="16"/>
      <c r="BW409" s="16"/>
      <c r="BX409" s="16"/>
      <c r="BY409" s="16"/>
      <c r="BZ409" s="16"/>
      <c r="CA409" s="16"/>
      <c r="CB409" s="16"/>
      <c r="CC409" s="16"/>
    </row>
    <row r="410" spans="1:81" ht="13.5" thickBot="1">
      <c r="A410" s="16"/>
      <c r="B410" s="16"/>
      <c r="C410" s="17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  <c r="AX410" s="16"/>
      <c r="AY410" s="16"/>
      <c r="AZ410" s="16"/>
      <c r="BA410" s="16"/>
      <c r="BB410" s="16"/>
      <c r="BC410" s="16"/>
      <c r="BD410" s="16"/>
      <c r="BE410" s="16"/>
      <c r="BF410" s="16"/>
      <c r="BG410" s="16"/>
      <c r="BH410" s="16"/>
      <c r="BI410" s="16"/>
      <c r="BJ410" s="16"/>
      <c r="BK410" s="16"/>
      <c r="BL410" s="16"/>
      <c r="BM410" s="16"/>
      <c r="BN410" s="16"/>
      <c r="BO410" s="16"/>
      <c r="BP410" s="16"/>
      <c r="BQ410" s="16"/>
      <c r="BR410" s="16"/>
      <c r="BS410" s="16"/>
      <c r="BT410" s="16"/>
      <c r="BU410" s="16"/>
      <c r="BV410" s="16"/>
      <c r="BW410" s="16"/>
      <c r="BX410" s="16"/>
      <c r="BY410" s="16"/>
      <c r="BZ410" s="16"/>
      <c r="CA410" s="16"/>
      <c r="CB410" s="16"/>
      <c r="CC410" s="16"/>
    </row>
    <row r="411" spans="1:81" ht="13.5" thickBot="1">
      <c r="A411" s="16"/>
      <c r="B411" s="16"/>
      <c r="C411" s="17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  <c r="AY411" s="16"/>
      <c r="AZ411" s="16"/>
      <c r="BA411" s="16"/>
      <c r="BB411" s="16"/>
      <c r="BC411" s="16"/>
      <c r="BD411" s="16"/>
      <c r="BE411" s="16"/>
      <c r="BF411" s="16"/>
      <c r="BG411" s="16"/>
      <c r="BH411" s="16"/>
      <c r="BI411" s="16"/>
      <c r="BJ411" s="16"/>
      <c r="BK411" s="16"/>
      <c r="BL411" s="16"/>
      <c r="BM411" s="16"/>
      <c r="BN411" s="16"/>
      <c r="BO411" s="16"/>
      <c r="BP411" s="16"/>
      <c r="BQ411" s="16"/>
      <c r="BR411" s="16"/>
      <c r="BS411" s="16"/>
      <c r="BT411" s="16"/>
      <c r="BU411" s="16"/>
      <c r="BV411" s="16"/>
      <c r="BW411" s="16"/>
      <c r="BX411" s="16"/>
      <c r="BY411" s="16"/>
      <c r="BZ411" s="16"/>
      <c r="CA411" s="16"/>
      <c r="CB411" s="16"/>
      <c r="CC411" s="16"/>
    </row>
    <row r="412" spans="1:81" ht="13.5" thickBot="1">
      <c r="A412" s="16"/>
      <c r="B412" s="16"/>
      <c r="C412" s="17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  <c r="AX412" s="16"/>
      <c r="AY412" s="16"/>
      <c r="AZ412" s="16"/>
      <c r="BA412" s="16"/>
      <c r="BB412" s="16"/>
      <c r="BC412" s="16"/>
      <c r="BD412" s="16"/>
      <c r="BE412" s="16"/>
      <c r="BF412" s="16"/>
      <c r="BG412" s="16"/>
      <c r="BH412" s="16"/>
      <c r="BI412" s="16"/>
      <c r="BJ412" s="16"/>
      <c r="BK412" s="16"/>
      <c r="BL412" s="16"/>
      <c r="BM412" s="16"/>
      <c r="BN412" s="16"/>
      <c r="BO412" s="16"/>
      <c r="BP412" s="16"/>
      <c r="BQ412" s="16"/>
      <c r="BR412" s="16"/>
      <c r="BS412" s="16"/>
      <c r="BT412" s="16"/>
      <c r="BU412" s="16"/>
      <c r="BV412" s="16"/>
      <c r="BW412" s="16"/>
      <c r="BX412" s="16"/>
      <c r="BY412" s="16"/>
      <c r="BZ412" s="16"/>
      <c r="CA412" s="16"/>
      <c r="CB412" s="16"/>
      <c r="CC412" s="16"/>
    </row>
    <row r="413" spans="1:81" ht="13.5" thickBot="1">
      <c r="A413" s="16"/>
      <c r="B413" s="16"/>
      <c r="C413" s="17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  <c r="AX413" s="16"/>
      <c r="AY413" s="16"/>
      <c r="AZ413" s="16"/>
      <c r="BA413" s="16"/>
      <c r="BB413" s="16"/>
      <c r="BC413" s="16"/>
      <c r="BD413" s="16"/>
      <c r="BE413" s="16"/>
      <c r="BF413" s="16"/>
      <c r="BG413" s="16"/>
      <c r="BH413" s="16"/>
      <c r="BI413" s="16"/>
      <c r="BJ413" s="16"/>
      <c r="BK413" s="16"/>
      <c r="BL413" s="16"/>
      <c r="BM413" s="16"/>
      <c r="BN413" s="16"/>
      <c r="BO413" s="16"/>
      <c r="BP413" s="16"/>
      <c r="BQ413" s="16"/>
      <c r="BR413" s="16"/>
      <c r="BS413" s="16"/>
      <c r="BT413" s="16"/>
      <c r="BU413" s="16"/>
      <c r="BV413" s="16"/>
      <c r="BW413" s="16"/>
      <c r="BX413" s="16"/>
      <c r="BY413" s="16"/>
      <c r="BZ413" s="16"/>
      <c r="CA413" s="16"/>
      <c r="CB413" s="16"/>
      <c r="CC413" s="16"/>
    </row>
    <row r="414" spans="1:81" ht="13.5" thickBot="1">
      <c r="A414" s="16"/>
      <c r="B414" s="16"/>
      <c r="C414" s="17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  <c r="AX414" s="16"/>
      <c r="AY414" s="16"/>
      <c r="AZ414" s="16"/>
      <c r="BA414" s="16"/>
      <c r="BB414" s="16"/>
      <c r="BC414" s="16"/>
      <c r="BD414" s="16"/>
      <c r="BE414" s="16"/>
      <c r="BF414" s="16"/>
      <c r="BG414" s="16"/>
      <c r="BH414" s="16"/>
      <c r="BI414" s="16"/>
      <c r="BJ414" s="16"/>
      <c r="BK414" s="16"/>
      <c r="BL414" s="16"/>
      <c r="BM414" s="16"/>
      <c r="BN414" s="16"/>
      <c r="BO414" s="16"/>
      <c r="BP414" s="16"/>
      <c r="BQ414" s="16"/>
      <c r="BR414" s="16"/>
      <c r="BS414" s="16"/>
      <c r="BT414" s="16"/>
      <c r="BU414" s="16"/>
      <c r="BV414" s="16"/>
      <c r="BW414" s="16"/>
      <c r="BX414" s="16"/>
      <c r="BY414" s="16"/>
      <c r="BZ414" s="16"/>
      <c r="CA414" s="16"/>
      <c r="CB414" s="16"/>
      <c r="CC414" s="16"/>
    </row>
    <row r="415" spans="1:81" ht="13.5" thickBot="1">
      <c r="A415" s="16"/>
      <c r="B415" s="16"/>
      <c r="C415" s="17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  <c r="AX415" s="16"/>
      <c r="AY415" s="16"/>
      <c r="AZ415" s="16"/>
      <c r="BA415" s="16"/>
      <c r="BB415" s="16"/>
      <c r="BC415" s="16"/>
      <c r="BD415" s="16"/>
      <c r="BE415" s="16"/>
      <c r="BF415" s="16"/>
      <c r="BG415" s="16"/>
      <c r="BH415" s="16"/>
      <c r="BI415" s="16"/>
      <c r="BJ415" s="16"/>
      <c r="BK415" s="16"/>
      <c r="BL415" s="16"/>
      <c r="BM415" s="16"/>
      <c r="BN415" s="16"/>
      <c r="BO415" s="16"/>
      <c r="BP415" s="16"/>
      <c r="BQ415" s="16"/>
      <c r="BR415" s="16"/>
      <c r="BS415" s="16"/>
      <c r="BT415" s="16"/>
      <c r="BU415" s="16"/>
      <c r="BV415" s="16"/>
      <c r="BW415" s="16"/>
      <c r="BX415" s="16"/>
      <c r="BY415" s="16"/>
      <c r="BZ415" s="16"/>
      <c r="CA415" s="16"/>
      <c r="CB415" s="16"/>
      <c r="CC415" s="16"/>
    </row>
    <row r="416" spans="1:81" ht="13.5" thickBot="1">
      <c r="A416" s="16"/>
      <c r="B416" s="16"/>
      <c r="C416" s="17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  <c r="AY416" s="16"/>
      <c r="AZ416" s="16"/>
      <c r="BA416" s="16"/>
      <c r="BB416" s="16"/>
      <c r="BC416" s="16"/>
      <c r="BD416" s="16"/>
      <c r="BE416" s="16"/>
      <c r="BF416" s="16"/>
      <c r="BG416" s="16"/>
      <c r="BH416" s="16"/>
      <c r="BI416" s="16"/>
      <c r="BJ416" s="16"/>
      <c r="BK416" s="16"/>
      <c r="BL416" s="16"/>
      <c r="BM416" s="16"/>
      <c r="BN416" s="16"/>
      <c r="BO416" s="16"/>
      <c r="BP416" s="16"/>
      <c r="BQ416" s="16"/>
      <c r="BR416" s="16"/>
      <c r="BS416" s="16"/>
      <c r="BT416" s="16"/>
      <c r="BU416" s="16"/>
      <c r="BV416" s="16"/>
      <c r="BW416" s="16"/>
      <c r="BX416" s="16"/>
      <c r="BY416" s="16"/>
      <c r="BZ416" s="16"/>
      <c r="CA416" s="16"/>
      <c r="CB416" s="16"/>
      <c r="CC416" s="16"/>
    </row>
    <row r="417" spans="1:81" ht="13.5" thickBot="1">
      <c r="A417" s="16"/>
      <c r="B417" s="16"/>
      <c r="C417" s="17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  <c r="AX417" s="16"/>
      <c r="AY417" s="16"/>
      <c r="AZ417" s="16"/>
      <c r="BA417" s="16"/>
      <c r="BB417" s="16"/>
      <c r="BC417" s="16"/>
      <c r="BD417" s="16"/>
      <c r="BE417" s="16"/>
      <c r="BF417" s="16"/>
      <c r="BG417" s="16"/>
      <c r="BH417" s="16"/>
      <c r="BI417" s="16"/>
      <c r="BJ417" s="16"/>
      <c r="BK417" s="16"/>
      <c r="BL417" s="16"/>
      <c r="BM417" s="16"/>
      <c r="BN417" s="16"/>
      <c r="BO417" s="16"/>
      <c r="BP417" s="16"/>
      <c r="BQ417" s="16"/>
      <c r="BR417" s="16"/>
      <c r="BS417" s="16"/>
      <c r="BT417" s="16"/>
      <c r="BU417" s="16"/>
      <c r="BV417" s="16"/>
      <c r="BW417" s="16"/>
      <c r="BX417" s="16"/>
      <c r="BY417" s="16"/>
      <c r="BZ417" s="16"/>
      <c r="CA417" s="16"/>
      <c r="CB417" s="16"/>
      <c r="CC417" s="16"/>
    </row>
    <row r="418" spans="1:81" ht="13.5" thickBot="1">
      <c r="A418" s="16"/>
      <c r="B418" s="16"/>
      <c r="C418" s="17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  <c r="AX418" s="16"/>
      <c r="AY418" s="16"/>
      <c r="AZ418" s="16"/>
      <c r="BA418" s="16"/>
      <c r="BB418" s="16"/>
      <c r="BC418" s="16"/>
      <c r="BD418" s="16"/>
      <c r="BE418" s="16"/>
      <c r="BF418" s="16"/>
      <c r="BG418" s="16"/>
      <c r="BH418" s="16"/>
      <c r="BI418" s="16"/>
      <c r="BJ418" s="16"/>
      <c r="BK418" s="16"/>
      <c r="BL418" s="16"/>
      <c r="BM418" s="16"/>
      <c r="BN418" s="16"/>
      <c r="BO418" s="16"/>
      <c r="BP418" s="16"/>
      <c r="BQ418" s="16"/>
      <c r="BR418" s="16"/>
      <c r="BS418" s="16"/>
      <c r="BT418" s="16"/>
      <c r="BU418" s="16"/>
      <c r="BV418" s="16"/>
      <c r="BW418" s="16"/>
      <c r="BX418" s="16"/>
      <c r="BY418" s="16"/>
      <c r="BZ418" s="16"/>
      <c r="CA418" s="16"/>
      <c r="CB418" s="16"/>
      <c r="CC418" s="16"/>
    </row>
    <row r="419" spans="1:81" ht="13.5" thickBot="1">
      <c r="A419" s="16"/>
      <c r="B419" s="16"/>
      <c r="C419" s="17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  <c r="AX419" s="16"/>
      <c r="AY419" s="16"/>
      <c r="AZ419" s="16"/>
      <c r="BA419" s="16"/>
      <c r="BB419" s="16"/>
      <c r="BC419" s="16"/>
      <c r="BD419" s="16"/>
      <c r="BE419" s="16"/>
      <c r="BF419" s="16"/>
      <c r="BG419" s="16"/>
      <c r="BH419" s="16"/>
      <c r="BI419" s="16"/>
      <c r="BJ419" s="16"/>
      <c r="BK419" s="16"/>
      <c r="BL419" s="16"/>
      <c r="BM419" s="16"/>
      <c r="BN419" s="16"/>
      <c r="BO419" s="16"/>
      <c r="BP419" s="16"/>
      <c r="BQ419" s="16"/>
      <c r="BR419" s="16"/>
      <c r="BS419" s="16"/>
      <c r="BT419" s="16"/>
      <c r="BU419" s="16"/>
      <c r="BV419" s="16"/>
      <c r="BW419" s="16"/>
      <c r="BX419" s="16"/>
      <c r="BY419" s="16"/>
      <c r="BZ419" s="16"/>
      <c r="CA419" s="16"/>
      <c r="CB419" s="16"/>
      <c r="CC419" s="16"/>
    </row>
    <row r="420" spans="1:81" ht="13.5" thickBot="1">
      <c r="A420" s="16"/>
      <c r="B420" s="16"/>
      <c r="C420" s="17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  <c r="AY420" s="16"/>
      <c r="AZ420" s="16"/>
      <c r="BA420" s="16"/>
      <c r="BB420" s="16"/>
      <c r="BC420" s="16"/>
      <c r="BD420" s="16"/>
      <c r="BE420" s="16"/>
      <c r="BF420" s="16"/>
      <c r="BG420" s="16"/>
      <c r="BH420" s="16"/>
      <c r="BI420" s="16"/>
      <c r="BJ420" s="16"/>
      <c r="BK420" s="16"/>
      <c r="BL420" s="16"/>
      <c r="BM420" s="16"/>
      <c r="BN420" s="16"/>
      <c r="BO420" s="16"/>
      <c r="BP420" s="16"/>
      <c r="BQ420" s="16"/>
      <c r="BR420" s="16"/>
      <c r="BS420" s="16"/>
      <c r="BT420" s="16"/>
      <c r="BU420" s="16"/>
      <c r="BV420" s="16"/>
      <c r="BW420" s="16"/>
      <c r="BX420" s="16"/>
      <c r="BY420" s="16"/>
      <c r="BZ420" s="16"/>
      <c r="CA420" s="16"/>
      <c r="CB420" s="16"/>
      <c r="CC420" s="16"/>
    </row>
    <row r="421" spans="1:81" ht="13.5" thickBot="1">
      <c r="A421" s="16"/>
      <c r="B421" s="16"/>
      <c r="C421" s="17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  <c r="AX421" s="16"/>
      <c r="AY421" s="16"/>
      <c r="AZ421" s="16"/>
      <c r="BA421" s="16"/>
      <c r="BB421" s="16"/>
      <c r="BC421" s="16"/>
      <c r="BD421" s="16"/>
      <c r="BE421" s="16"/>
      <c r="BF421" s="16"/>
      <c r="BG421" s="16"/>
      <c r="BH421" s="16"/>
      <c r="BI421" s="16"/>
      <c r="BJ421" s="16"/>
      <c r="BK421" s="16"/>
      <c r="BL421" s="16"/>
      <c r="BM421" s="16"/>
      <c r="BN421" s="16"/>
      <c r="BO421" s="16"/>
      <c r="BP421" s="16"/>
      <c r="BQ421" s="16"/>
      <c r="BR421" s="16"/>
      <c r="BS421" s="16"/>
      <c r="BT421" s="16"/>
      <c r="BU421" s="16"/>
      <c r="BV421" s="16"/>
      <c r="BW421" s="16"/>
      <c r="BX421" s="16"/>
      <c r="BY421" s="16"/>
      <c r="BZ421" s="16"/>
      <c r="CA421" s="16"/>
      <c r="CB421" s="16"/>
      <c r="CC421" s="16"/>
    </row>
    <row r="422" spans="1:81" ht="13.5" thickBot="1">
      <c r="A422" s="16"/>
      <c r="B422" s="16"/>
      <c r="C422" s="17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  <c r="AX422" s="16"/>
      <c r="AY422" s="16"/>
      <c r="AZ422" s="16"/>
      <c r="BA422" s="16"/>
      <c r="BB422" s="16"/>
      <c r="BC422" s="16"/>
      <c r="BD422" s="16"/>
      <c r="BE422" s="16"/>
      <c r="BF422" s="16"/>
      <c r="BG422" s="16"/>
      <c r="BH422" s="16"/>
      <c r="BI422" s="16"/>
      <c r="BJ422" s="16"/>
      <c r="BK422" s="16"/>
      <c r="BL422" s="16"/>
      <c r="BM422" s="16"/>
      <c r="BN422" s="16"/>
      <c r="BO422" s="16"/>
      <c r="BP422" s="16"/>
      <c r="BQ422" s="16"/>
      <c r="BR422" s="16"/>
      <c r="BS422" s="16"/>
      <c r="BT422" s="16"/>
      <c r="BU422" s="16"/>
      <c r="BV422" s="16"/>
      <c r="BW422" s="16"/>
      <c r="BX422" s="16"/>
      <c r="BY422" s="16"/>
      <c r="BZ422" s="16"/>
      <c r="CA422" s="16"/>
      <c r="CB422" s="16"/>
      <c r="CC422" s="16"/>
    </row>
    <row r="423" spans="1:81" ht="13.5" thickBot="1">
      <c r="A423" s="16"/>
      <c r="B423" s="16"/>
      <c r="C423" s="17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  <c r="AX423" s="16"/>
      <c r="AY423" s="16"/>
      <c r="AZ423" s="16"/>
      <c r="BA423" s="16"/>
      <c r="BB423" s="16"/>
      <c r="BC423" s="16"/>
      <c r="BD423" s="16"/>
      <c r="BE423" s="16"/>
      <c r="BF423" s="16"/>
      <c r="BG423" s="16"/>
      <c r="BH423" s="16"/>
      <c r="BI423" s="16"/>
      <c r="BJ423" s="16"/>
      <c r="BK423" s="16"/>
      <c r="BL423" s="16"/>
      <c r="BM423" s="16"/>
      <c r="BN423" s="16"/>
      <c r="BO423" s="16"/>
      <c r="BP423" s="16"/>
      <c r="BQ423" s="16"/>
      <c r="BR423" s="16"/>
      <c r="BS423" s="16"/>
      <c r="BT423" s="16"/>
      <c r="BU423" s="16"/>
      <c r="BV423" s="16"/>
      <c r="BW423" s="16"/>
      <c r="BX423" s="16"/>
      <c r="BY423" s="16"/>
      <c r="BZ423" s="16"/>
      <c r="CA423" s="16"/>
      <c r="CB423" s="16"/>
      <c r="CC423" s="16"/>
    </row>
    <row r="424" spans="1:81" ht="13.5" thickBot="1">
      <c r="A424" s="16"/>
      <c r="B424" s="16"/>
      <c r="C424" s="17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  <c r="AY424" s="16"/>
      <c r="AZ424" s="16"/>
      <c r="BA424" s="16"/>
      <c r="BB424" s="16"/>
      <c r="BC424" s="16"/>
      <c r="BD424" s="16"/>
      <c r="BE424" s="16"/>
      <c r="BF424" s="16"/>
      <c r="BG424" s="16"/>
      <c r="BH424" s="16"/>
      <c r="BI424" s="16"/>
      <c r="BJ424" s="16"/>
      <c r="BK424" s="16"/>
      <c r="BL424" s="16"/>
      <c r="BM424" s="16"/>
      <c r="BN424" s="16"/>
      <c r="BO424" s="16"/>
      <c r="BP424" s="16"/>
      <c r="BQ424" s="16"/>
      <c r="BR424" s="16"/>
      <c r="BS424" s="16"/>
      <c r="BT424" s="16"/>
      <c r="BU424" s="16"/>
      <c r="BV424" s="16"/>
      <c r="BW424" s="16"/>
      <c r="BX424" s="16"/>
      <c r="BY424" s="16"/>
      <c r="BZ424" s="16"/>
      <c r="CA424" s="16"/>
      <c r="CB424" s="16"/>
      <c r="CC424" s="16"/>
    </row>
    <row r="425" spans="1:81" ht="13.5" thickBot="1">
      <c r="A425" s="16"/>
      <c r="B425" s="16"/>
      <c r="C425" s="17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  <c r="AX425" s="16"/>
      <c r="AY425" s="16"/>
      <c r="AZ425" s="16"/>
      <c r="BA425" s="16"/>
      <c r="BB425" s="16"/>
      <c r="BC425" s="16"/>
      <c r="BD425" s="16"/>
      <c r="BE425" s="16"/>
      <c r="BF425" s="16"/>
      <c r="BG425" s="16"/>
      <c r="BH425" s="16"/>
      <c r="BI425" s="16"/>
      <c r="BJ425" s="16"/>
      <c r="BK425" s="16"/>
      <c r="BL425" s="16"/>
      <c r="BM425" s="16"/>
      <c r="BN425" s="16"/>
      <c r="BO425" s="16"/>
      <c r="BP425" s="16"/>
      <c r="BQ425" s="16"/>
      <c r="BR425" s="16"/>
      <c r="BS425" s="16"/>
      <c r="BT425" s="16"/>
      <c r="BU425" s="16"/>
      <c r="BV425" s="16"/>
      <c r="BW425" s="16"/>
      <c r="BX425" s="16"/>
      <c r="BY425" s="16"/>
      <c r="BZ425" s="16"/>
      <c r="CA425" s="16"/>
      <c r="CB425" s="16"/>
      <c r="CC425" s="16"/>
    </row>
    <row r="426" spans="1:81" ht="13.5" thickBot="1">
      <c r="A426" s="16"/>
      <c r="B426" s="16"/>
      <c r="C426" s="17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  <c r="AX426" s="16"/>
      <c r="AY426" s="16"/>
      <c r="AZ426" s="16"/>
      <c r="BA426" s="16"/>
      <c r="BB426" s="16"/>
      <c r="BC426" s="16"/>
      <c r="BD426" s="16"/>
      <c r="BE426" s="16"/>
      <c r="BF426" s="16"/>
      <c r="BG426" s="16"/>
      <c r="BH426" s="16"/>
      <c r="BI426" s="16"/>
      <c r="BJ426" s="16"/>
      <c r="BK426" s="16"/>
      <c r="BL426" s="16"/>
      <c r="BM426" s="16"/>
      <c r="BN426" s="16"/>
      <c r="BO426" s="16"/>
      <c r="BP426" s="16"/>
      <c r="BQ426" s="16"/>
      <c r="BR426" s="16"/>
      <c r="BS426" s="16"/>
      <c r="BT426" s="16"/>
      <c r="BU426" s="16"/>
      <c r="BV426" s="16"/>
      <c r="BW426" s="16"/>
      <c r="BX426" s="16"/>
      <c r="BY426" s="16"/>
      <c r="BZ426" s="16"/>
      <c r="CA426" s="16"/>
      <c r="CB426" s="16"/>
      <c r="CC426" s="16"/>
    </row>
    <row r="427" spans="1:81" ht="13.5" thickBot="1">
      <c r="A427" s="16"/>
      <c r="B427" s="16"/>
      <c r="C427" s="17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  <c r="AX427" s="16"/>
      <c r="AY427" s="16"/>
      <c r="AZ427" s="16"/>
      <c r="BA427" s="16"/>
      <c r="BB427" s="16"/>
      <c r="BC427" s="16"/>
      <c r="BD427" s="16"/>
      <c r="BE427" s="16"/>
      <c r="BF427" s="16"/>
      <c r="BG427" s="16"/>
      <c r="BH427" s="16"/>
      <c r="BI427" s="16"/>
      <c r="BJ427" s="16"/>
      <c r="BK427" s="16"/>
      <c r="BL427" s="16"/>
      <c r="BM427" s="16"/>
      <c r="BN427" s="16"/>
      <c r="BO427" s="16"/>
      <c r="BP427" s="16"/>
      <c r="BQ427" s="16"/>
      <c r="BR427" s="16"/>
      <c r="BS427" s="16"/>
      <c r="BT427" s="16"/>
      <c r="BU427" s="16"/>
      <c r="BV427" s="16"/>
      <c r="BW427" s="16"/>
      <c r="BX427" s="16"/>
      <c r="BY427" s="16"/>
      <c r="BZ427" s="16"/>
      <c r="CA427" s="16"/>
      <c r="CB427" s="16"/>
      <c r="CC427" s="16"/>
    </row>
    <row r="428" spans="1:81" ht="13.5" thickBot="1">
      <c r="A428" s="16"/>
      <c r="B428" s="16"/>
      <c r="C428" s="17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  <c r="AX428" s="16"/>
      <c r="AY428" s="16"/>
      <c r="AZ428" s="16"/>
      <c r="BA428" s="16"/>
      <c r="BB428" s="16"/>
      <c r="BC428" s="16"/>
      <c r="BD428" s="16"/>
      <c r="BE428" s="16"/>
      <c r="BF428" s="16"/>
      <c r="BG428" s="16"/>
      <c r="BH428" s="16"/>
      <c r="BI428" s="16"/>
      <c r="BJ428" s="16"/>
      <c r="BK428" s="16"/>
      <c r="BL428" s="16"/>
      <c r="BM428" s="16"/>
      <c r="BN428" s="16"/>
      <c r="BO428" s="16"/>
      <c r="BP428" s="16"/>
      <c r="BQ428" s="16"/>
      <c r="BR428" s="16"/>
      <c r="BS428" s="16"/>
      <c r="BT428" s="16"/>
      <c r="BU428" s="16"/>
      <c r="BV428" s="16"/>
      <c r="BW428" s="16"/>
      <c r="BX428" s="16"/>
      <c r="BY428" s="16"/>
      <c r="BZ428" s="16"/>
      <c r="CA428" s="16"/>
      <c r="CB428" s="16"/>
      <c r="CC428" s="16"/>
    </row>
    <row r="429" spans="1:81" ht="13.5" thickBot="1">
      <c r="A429" s="16"/>
      <c r="B429" s="16"/>
      <c r="C429" s="17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  <c r="AY429" s="16"/>
      <c r="AZ429" s="16"/>
      <c r="BA429" s="16"/>
      <c r="BB429" s="16"/>
      <c r="BC429" s="16"/>
      <c r="BD429" s="16"/>
      <c r="BE429" s="16"/>
      <c r="BF429" s="16"/>
      <c r="BG429" s="16"/>
      <c r="BH429" s="16"/>
      <c r="BI429" s="16"/>
      <c r="BJ429" s="16"/>
      <c r="BK429" s="16"/>
      <c r="BL429" s="16"/>
      <c r="BM429" s="16"/>
      <c r="BN429" s="16"/>
      <c r="BO429" s="16"/>
      <c r="BP429" s="16"/>
      <c r="BQ429" s="16"/>
      <c r="BR429" s="16"/>
      <c r="BS429" s="16"/>
      <c r="BT429" s="16"/>
      <c r="BU429" s="16"/>
      <c r="BV429" s="16"/>
      <c r="BW429" s="16"/>
      <c r="BX429" s="16"/>
      <c r="BY429" s="16"/>
      <c r="BZ429" s="16"/>
      <c r="CA429" s="16"/>
      <c r="CB429" s="16"/>
      <c r="CC429" s="16"/>
    </row>
    <row r="430" spans="1:81" ht="13.5" thickBot="1">
      <c r="A430" s="16"/>
      <c r="B430" s="16"/>
      <c r="C430" s="17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  <c r="AX430" s="16"/>
      <c r="AY430" s="16"/>
      <c r="AZ430" s="16"/>
      <c r="BA430" s="16"/>
      <c r="BB430" s="16"/>
      <c r="BC430" s="16"/>
      <c r="BD430" s="16"/>
      <c r="BE430" s="16"/>
      <c r="BF430" s="16"/>
      <c r="BG430" s="16"/>
      <c r="BH430" s="16"/>
      <c r="BI430" s="16"/>
      <c r="BJ430" s="16"/>
      <c r="BK430" s="16"/>
      <c r="BL430" s="16"/>
      <c r="BM430" s="16"/>
      <c r="BN430" s="16"/>
      <c r="BO430" s="16"/>
      <c r="BP430" s="16"/>
      <c r="BQ430" s="16"/>
      <c r="BR430" s="16"/>
      <c r="BS430" s="16"/>
      <c r="BT430" s="16"/>
      <c r="BU430" s="16"/>
      <c r="BV430" s="16"/>
      <c r="BW430" s="16"/>
      <c r="BX430" s="16"/>
      <c r="BY430" s="16"/>
      <c r="BZ430" s="16"/>
      <c r="CA430" s="16"/>
      <c r="CB430" s="16"/>
      <c r="CC430" s="16"/>
    </row>
    <row r="431" spans="1:81" ht="13.5" thickBot="1">
      <c r="A431" s="16"/>
      <c r="B431" s="16"/>
      <c r="C431" s="17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  <c r="AX431" s="16"/>
      <c r="AY431" s="16"/>
      <c r="AZ431" s="16"/>
      <c r="BA431" s="16"/>
      <c r="BB431" s="16"/>
      <c r="BC431" s="16"/>
      <c r="BD431" s="16"/>
      <c r="BE431" s="16"/>
      <c r="BF431" s="16"/>
      <c r="BG431" s="16"/>
      <c r="BH431" s="16"/>
      <c r="BI431" s="16"/>
      <c r="BJ431" s="16"/>
      <c r="BK431" s="16"/>
      <c r="BL431" s="16"/>
      <c r="BM431" s="16"/>
      <c r="BN431" s="16"/>
      <c r="BO431" s="16"/>
      <c r="BP431" s="16"/>
      <c r="BQ431" s="16"/>
      <c r="BR431" s="16"/>
      <c r="BS431" s="16"/>
      <c r="BT431" s="16"/>
      <c r="BU431" s="16"/>
      <c r="BV431" s="16"/>
      <c r="BW431" s="16"/>
      <c r="BX431" s="16"/>
      <c r="BY431" s="16"/>
      <c r="BZ431" s="16"/>
      <c r="CA431" s="16"/>
      <c r="CB431" s="16"/>
      <c r="CC431" s="16"/>
    </row>
    <row r="432" spans="1:81" ht="13.5" thickBot="1">
      <c r="A432" s="16"/>
      <c r="B432" s="16"/>
      <c r="C432" s="17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  <c r="AX432" s="16"/>
      <c r="AY432" s="16"/>
      <c r="AZ432" s="16"/>
      <c r="BA432" s="16"/>
      <c r="BB432" s="16"/>
      <c r="BC432" s="16"/>
      <c r="BD432" s="16"/>
      <c r="BE432" s="16"/>
      <c r="BF432" s="16"/>
      <c r="BG432" s="16"/>
      <c r="BH432" s="16"/>
      <c r="BI432" s="16"/>
      <c r="BJ432" s="16"/>
      <c r="BK432" s="16"/>
      <c r="BL432" s="16"/>
      <c r="BM432" s="16"/>
      <c r="BN432" s="16"/>
      <c r="BO432" s="16"/>
      <c r="BP432" s="16"/>
      <c r="BQ432" s="16"/>
      <c r="BR432" s="16"/>
      <c r="BS432" s="16"/>
      <c r="BT432" s="16"/>
      <c r="BU432" s="16"/>
      <c r="BV432" s="16"/>
      <c r="BW432" s="16"/>
      <c r="BX432" s="16"/>
      <c r="BY432" s="16"/>
      <c r="BZ432" s="16"/>
      <c r="CA432" s="16"/>
      <c r="CB432" s="16"/>
      <c r="CC432" s="16"/>
    </row>
    <row r="433" spans="1:81" ht="13.5" thickBot="1">
      <c r="A433" s="16"/>
      <c r="B433" s="16"/>
      <c r="C433" s="17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  <c r="AY433" s="16"/>
      <c r="AZ433" s="16"/>
      <c r="BA433" s="16"/>
      <c r="BB433" s="16"/>
      <c r="BC433" s="16"/>
      <c r="BD433" s="16"/>
      <c r="BE433" s="16"/>
      <c r="BF433" s="16"/>
      <c r="BG433" s="16"/>
      <c r="BH433" s="16"/>
      <c r="BI433" s="16"/>
      <c r="BJ433" s="16"/>
      <c r="BK433" s="16"/>
      <c r="BL433" s="16"/>
      <c r="BM433" s="16"/>
      <c r="BN433" s="16"/>
      <c r="BO433" s="16"/>
      <c r="BP433" s="16"/>
      <c r="BQ433" s="16"/>
      <c r="BR433" s="16"/>
      <c r="BS433" s="16"/>
      <c r="BT433" s="16"/>
      <c r="BU433" s="16"/>
      <c r="BV433" s="16"/>
      <c r="BW433" s="16"/>
      <c r="BX433" s="16"/>
      <c r="BY433" s="16"/>
      <c r="BZ433" s="16"/>
      <c r="CA433" s="16"/>
      <c r="CB433" s="16"/>
      <c r="CC433" s="16"/>
    </row>
    <row r="434" spans="1:81" ht="13.5" thickBot="1">
      <c r="A434" s="16"/>
      <c r="B434" s="16"/>
      <c r="C434" s="17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  <c r="AX434" s="16"/>
      <c r="AY434" s="16"/>
      <c r="AZ434" s="16"/>
      <c r="BA434" s="16"/>
      <c r="BB434" s="16"/>
      <c r="BC434" s="16"/>
      <c r="BD434" s="16"/>
      <c r="BE434" s="16"/>
      <c r="BF434" s="16"/>
      <c r="BG434" s="16"/>
      <c r="BH434" s="16"/>
      <c r="BI434" s="16"/>
      <c r="BJ434" s="16"/>
      <c r="BK434" s="16"/>
      <c r="BL434" s="16"/>
      <c r="BM434" s="16"/>
      <c r="BN434" s="16"/>
      <c r="BO434" s="16"/>
      <c r="BP434" s="16"/>
      <c r="BQ434" s="16"/>
      <c r="BR434" s="16"/>
      <c r="BS434" s="16"/>
      <c r="BT434" s="16"/>
      <c r="BU434" s="16"/>
      <c r="BV434" s="16"/>
      <c r="BW434" s="16"/>
      <c r="BX434" s="16"/>
      <c r="BY434" s="16"/>
      <c r="BZ434" s="16"/>
      <c r="CA434" s="16"/>
      <c r="CB434" s="16"/>
      <c r="CC434" s="16"/>
    </row>
    <row r="435" spans="1:81" ht="13.5" thickBot="1">
      <c r="A435" s="16"/>
      <c r="B435" s="16"/>
      <c r="C435" s="17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  <c r="AY435" s="16"/>
      <c r="AZ435" s="16"/>
      <c r="BA435" s="16"/>
      <c r="BB435" s="16"/>
      <c r="BC435" s="16"/>
      <c r="BD435" s="16"/>
      <c r="BE435" s="16"/>
      <c r="BF435" s="16"/>
      <c r="BG435" s="16"/>
      <c r="BH435" s="16"/>
      <c r="BI435" s="16"/>
      <c r="BJ435" s="16"/>
      <c r="BK435" s="16"/>
      <c r="BL435" s="16"/>
      <c r="BM435" s="16"/>
      <c r="BN435" s="16"/>
      <c r="BO435" s="16"/>
      <c r="BP435" s="16"/>
      <c r="BQ435" s="16"/>
      <c r="BR435" s="16"/>
      <c r="BS435" s="16"/>
      <c r="BT435" s="16"/>
      <c r="BU435" s="16"/>
      <c r="BV435" s="16"/>
      <c r="BW435" s="16"/>
      <c r="BX435" s="16"/>
      <c r="BY435" s="16"/>
      <c r="BZ435" s="16"/>
      <c r="CA435" s="16"/>
      <c r="CB435" s="16"/>
      <c r="CC435" s="16"/>
    </row>
    <row r="436" spans="1:81" ht="13.5" thickBot="1">
      <c r="A436" s="16"/>
      <c r="B436" s="16"/>
      <c r="C436" s="17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  <c r="AY436" s="16"/>
      <c r="AZ436" s="16"/>
      <c r="BA436" s="16"/>
      <c r="BB436" s="16"/>
      <c r="BC436" s="16"/>
      <c r="BD436" s="16"/>
      <c r="BE436" s="16"/>
      <c r="BF436" s="16"/>
      <c r="BG436" s="16"/>
      <c r="BH436" s="16"/>
      <c r="BI436" s="16"/>
      <c r="BJ436" s="16"/>
      <c r="BK436" s="16"/>
      <c r="BL436" s="16"/>
      <c r="BM436" s="16"/>
      <c r="BN436" s="16"/>
      <c r="BO436" s="16"/>
      <c r="BP436" s="16"/>
      <c r="BQ436" s="16"/>
      <c r="BR436" s="16"/>
      <c r="BS436" s="16"/>
      <c r="BT436" s="16"/>
      <c r="BU436" s="16"/>
      <c r="BV436" s="16"/>
      <c r="BW436" s="16"/>
      <c r="BX436" s="16"/>
      <c r="BY436" s="16"/>
      <c r="BZ436" s="16"/>
      <c r="CA436" s="16"/>
      <c r="CB436" s="16"/>
      <c r="CC436" s="16"/>
    </row>
    <row r="437" spans="1:81" ht="13.5" thickBot="1">
      <c r="A437" s="16"/>
      <c r="B437" s="16"/>
      <c r="C437" s="17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  <c r="AX437" s="16"/>
      <c r="AY437" s="16"/>
      <c r="AZ437" s="16"/>
      <c r="BA437" s="16"/>
      <c r="BB437" s="16"/>
      <c r="BC437" s="16"/>
      <c r="BD437" s="16"/>
      <c r="BE437" s="16"/>
      <c r="BF437" s="16"/>
      <c r="BG437" s="16"/>
      <c r="BH437" s="16"/>
      <c r="BI437" s="16"/>
      <c r="BJ437" s="16"/>
      <c r="BK437" s="16"/>
      <c r="BL437" s="16"/>
      <c r="BM437" s="16"/>
      <c r="BN437" s="16"/>
      <c r="BO437" s="16"/>
      <c r="BP437" s="16"/>
      <c r="BQ437" s="16"/>
      <c r="BR437" s="16"/>
      <c r="BS437" s="16"/>
      <c r="BT437" s="16"/>
      <c r="BU437" s="16"/>
      <c r="BV437" s="16"/>
      <c r="BW437" s="16"/>
      <c r="BX437" s="16"/>
      <c r="BY437" s="16"/>
      <c r="BZ437" s="16"/>
      <c r="CA437" s="16"/>
      <c r="CB437" s="16"/>
      <c r="CC437" s="16"/>
    </row>
    <row r="438" spans="1:81" ht="13.5" thickBot="1">
      <c r="A438" s="16"/>
      <c r="B438" s="16"/>
      <c r="C438" s="17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  <c r="AX438" s="16"/>
      <c r="AY438" s="16"/>
      <c r="AZ438" s="16"/>
      <c r="BA438" s="16"/>
      <c r="BB438" s="16"/>
      <c r="BC438" s="16"/>
      <c r="BD438" s="16"/>
      <c r="BE438" s="16"/>
      <c r="BF438" s="16"/>
      <c r="BG438" s="16"/>
      <c r="BH438" s="16"/>
      <c r="BI438" s="16"/>
      <c r="BJ438" s="16"/>
      <c r="BK438" s="16"/>
      <c r="BL438" s="16"/>
      <c r="BM438" s="16"/>
      <c r="BN438" s="16"/>
      <c r="BO438" s="16"/>
      <c r="BP438" s="16"/>
      <c r="BQ438" s="16"/>
      <c r="BR438" s="16"/>
      <c r="BS438" s="16"/>
      <c r="BT438" s="16"/>
      <c r="BU438" s="16"/>
      <c r="BV438" s="16"/>
      <c r="BW438" s="16"/>
      <c r="BX438" s="16"/>
      <c r="BY438" s="16"/>
      <c r="BZ438" s="16"/>
      <c r="CA438" s="16"/>
      <c r="CB438" s="16"/>
      <c r="CC438" s="16"/>
    </row>
    <row r="439" spans="1:81" ht="13.5" thickBot="1">
      <c r="A439" s="16"/>
      <c r="B439" s="16"/>
      <c r="C439" s="17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  <c r="AY439" s="16"/>
      <c r="AZ439" s="16"/>
      <c r="BA439" s="16"/>
      <c r="BB439" s="16"/>
      <c r="BC439" s="16"/>
      <c r="BD439" s="16"/>
      <c r="BE439" s="16"/>
      <c r="BF439" s="16"/>
      <c r="BG439" s="16"/>
      <c r="BH439" s="16"/>
      <c r="BI439" s="16"/>
      <c r="BJ439" s="16"/>
      <c r="BK439" s="16"/>
      <c r="BL439" s="16"/>
      <c r="BM439" s="16"/>
      <c r="BN439" s="16"/>
      <c r="BO439" s="16"/>
      <c r="BP439" s="16"/>
      <c r="BQ439" s="16"/>
      <c r="BR439" s="16"/>
      <c r="BS439" s="16"/>
      <c r="BT439" s="16"/>
      <c r="BU439" s="16"/>
      <c r="BV439" s="16"/>
      <c r="BW439" s="16"/>
      <c r="BX439" s="16"/>
      <c r="BY439" s="16"/>
      <c r="BZ439" s="16"/>
      <c r="CA439" s="16"/>
      <c r="CB439" s="16"/>
      <c r="CC439" s="16"/>
    </row>
    <row r="440" spans="1:81" ht="13.5" thickBot="1">
      <c r="A440" s="16"/>
      <c r="B440" s="16"/>
      <c r="C440" s="17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  <c r="AX440" s="16"/>
      <c r="AY440" s="16"/>
      <c r="AZ440" s="16"/>
      <c r="BA440" s="16"/>
      <c r="BB440" s="16"/>
      <c r="BC440" s="16"/>
      <c r="BD440" s="16"/>
      <c r="BE440" s="16"/>
      <c r="BF440" s="16"/>
      <c r="BG440" s="16"/>
      <c r="BH440" s="16"/>
      <c r="BI440" s="16"/>
      <c r="BJ440" s="16"/>
      <c r="BK440" s="16"/>
      <c r="BL440" s="16"/>
      <c r="BM440" s="16"/>
      <c r="BN440" s="16"/>
      <c r="BO440" s="16"/>
      <c r="BP440" s="16"/>
      <c r="BQ440" s="16"/>
      <c r="BR440" s="16"/>
      <c r="BS440" s="16"/>
      <c r="BT440" s="16"/>
      <c r="BU440" s="16"/>
      <c r="BV440" s="16"/>
      <c r="BW440" s="16"/>
      <c r="BX440" s="16"/>
      <c r="BY440" s="16"/>
      <c r="BZ440" s="16"/>
      <c r="CA440" s="16"/>
      <c r="CB440" s="16"/>
      <c r="CC440" s="16"/>
    </row>
    <row r="441" spans="1:81" ht="13.5" thickBot="1">
      <c r="A441" s="16"/>
      <c r="B441" s="16"/>
      <c r="C441" s="17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  <c r="AX441" s="16"/>
      <c r="AY441" s="16"/>
      <c r="AZ441" s="16"/>
      <c r="BA441" s="16"/>
      <c r="BB441" s="16"/>
      <c r="BC441" s="16"/>
      <c r="BD441" s="16"/>
      <c r="BE441" s="16"/>
      <c r="BF441" s="16"/>
      <c r="BG441" s="16"/>
      <c r="BH441" s="16"/>
      <c r="BI441" s="16"/>
      <c r="BJ441" s="16"/>
      <c r="BK441" s="16"/>
      <c r="BL441" s="16"/>
      <c r="BM441" s="16"/>
      <c r="BN441" s="16"/>
      <c r="BO441" s="16"/>
      <c r="BP441" s="16"/>
      <c r="BQ441" s="16"/>
      <c r="BR441" s="16"/>
      <c r="BS441" s="16"/>
      <c r="BT441" s="16"/>
      <c r="BU441" s="16"/>
      <c r="BV441" s="16"/>
      <c r="BW441" s="16"/>
      <c r="BX441" s="16"/>
      <c r="BY441" s="16"/>
      <c r="BZ441" s="16"/>
      <c r="CA441" s="16"/>
      <c r="CB441" s="16"/>
      <c r="CC441" s="16"/>
    </row>
    <row r="442" spans="1:81" ht="13.5" thickBot="1">
      <c r="A442" s="16"/>
      <c r="B442" s="16"/>
      <c r="C442" s="17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  <c r="AX442" s="16"/>
      <c r="AY442" s="16"/>
      <c r="AZ442" s="16"/>
      <c r="BA442" s="16"/>
      <c r="BB442" s="16"/>
      <c r="BC442" s="16"/>
      <c r="BD442" s="16"/>
      <c r="BE442" s="16"/>
      <c r="BF442" s="16"/>
      <c r="BG442" s="16"/>
      <c r="BH442" s="16"/>
      <c r="BI442" s="16"/>
      <c r="BJ442" s="16"/>
      <c r="BK442" s="16"/>
      <c r="BL442" s="16"/>
      <c r="BM442" s="16"/>
      <c r="BN442" s="16"/>
      <c r="BO442" s="16"/>
      <c r="BP442" s="16"/>
      <c r="BQ442" s="16"/>
      <c r="BR442" s="16"/>
      <c r="BS442" s="16"/>
      <c r="BT442" s="16"/>
      <c r="BU442" s="16"/>
      <c r="BV442" s="16"/>
      <c r="BW442" s="16"/>
      <c r="BX442" s="16"/>
      <c r="BY442" s="16"/>
      <c r="BZ442" s="16"/>
      <c r="CA442" s="16"/>
      <c r="CB442" s="16"/>
      <c r="CC442" s="16"/>
    </row>
    <row r="443" spans="1:81" ht="13.5" thickBot="1">
      <c r="A443" s="16"/>
      <c r="B443" s="16"/>
      <c r="C443" s="17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  <c r="AZ443" s="16"/>
      <c r="BA443" s="16"/>
      <c r="BB443" s="16"/>
      <c r="BC443" s="16"/>
      <c r="BD443" s="16"/>
      <c r="BE443" s="16"/>
      <c r="BF443" s="16"/>
      <c r="BG443" s="16"/>
      <c r="BH443" s="16"/>
      <c r="BI443" s="16"/>
      <c r="BJ443" s="16"/>
      <c r="BK443" s="16"/>
      <c r="BL443" s="16"/>
      <c r="BM443" s="16"/>
      <c r="BN443" s="16"/>
      <c r="BO443" s="16"/>
      <c r="BP443" s="16"/>
      <c r="BQ443" s="16"/>
      <c r="BR443" s="16"/>
      <c r="BS443" s="16"/>
      <c r="BT443" s="16"/>
      <c r="BU443" s="16"/>
      <c r="BV443" s="16"/>
      <c r="BW443" s="16"/>
      <c r="BX443" s="16"/>
      <c r="BY443" s="16"/>
      <c r="BZ443" s="16"/>
      <c r="CA443" s="16"/>
      <c r="CB443" s="16"/>
      <c r="CC443" s="16"/>
    </row>
    <row r="444" spans="1:81" ht="13.5" thickBot="1">
      <c r="A444" s="16"/>
      <c r="B444" s="16"/>
      <c r="C444" s="17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  <c r="AZ444" s="16"/>
      <c r="BA444" s="16"/>
      <c r="BB444" s="16"/>
      <c r="BC444" s="16"/>
      <c r="BD444" s="16"/>
      <c r="BE444" s="16"/>
      <c r="BF444" s="16"/>
      <c r="BG444" s="16"/>
      <c r="BH444" s="16"/>
      <c r="BI444" s="16"/>
      <c r="BJ444" s="16"/>
      <c r="BK444" s="16"/>
      <c r="BL444" s="16"/>
      <c r="BM444" s="16"/>
      <c r="BN444" s="16"/>
      <c r="BO444" s="16"/>
      <c r="BP444" s="16"/>
      <c r="BQ444" s="16"/>
      <c r="BR444" s="16"/>
      <c r="BS444" s="16"/>
      <c r="BT444" s="16"/>
      <c r="BU444" s="16"/>
      <c r="BV444" s="16"/>
      <c r="BW444" s="16"/>
      <c r="BX444" s="16"/>
      <c r="BY444" s="16"/>
      <c r="BZ444" s="16"/>
      <c r="CA444" s="16"/>
      <c r="CB444" s="16"/>
      <c r="CC444" s="16"/>
    </row>
    <row r="445" spans="1:81" ht="13.5" thickBot="1">
      <c r="A445" s="16"/>
      <c r="B445" s="16"/>
      <c r="C445" s="17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  <c r="AY445" s="16"/>
      <c r="AZ445" s="16"/>
      <c r="BA445" s="16"/>
      <c r="BB445" s="16"/>
      <c r="BC445" s="16"/>
      <c r="BD445" s="16"/>
      <c r="BE445" s="16"/>
      <c r="BF445" s="16"/>
      <c r="BG445" s="16"/>
      <c r="BH445" s="16"/>
      <c r="BI445" s="16"/>
      <c r="BJ445" s="16"/>
      <c r="BK445" s="16"/>
      <c r="BL445" s="16"/>
      <c r="BM445" s="16"/>
      <c r="BN445" s="16"/>
      <c r="BO445" s="16"/>
      <c r="BP445" s="16"/>
      <c r="BQ445" s="16"/>
      <c r="BR445" s="16"/>
      <c r="BS445" s="16"/>
      <c r="BT445" s="16"/>
      <c r="BU445" s="16"/>
      <c r="BV445" s="16"/>
      <c r="BW445" s="16"/>
      <c r="BX445" s="16"/>
      <c r="BY445" s="16"/>
      <c r="BZ445" s="16"/>
      <c r="CA445" s="16"/>
      <c r="CB445" s="16"/>
      <c r="CC445" s="16"/>
    </row>
    <row r="446" spans="1:81" ht="13.5" thickBot="1">
      <c r="A446" s="16"/>
      <c r="B446" s="16"/>
      <c r="C446" s="17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  <c r="AY446" s="16"/>
      <c r="AZ446" s="16"/>
      <c r="BA446" s="16"/>
      <c r="BB446" s="16"/>
      <c r="BC446" s="16"/>
      <c r="BD446" s="16"/>
      <c r="BE446" s="16"/>
      <c r="BF446" s="16"/>
      <c r="BG446" s="16"/>
      <c r="BH446" s="16"/>
      <c r="BI446" s="16"/>
      <c r="BJ446" s="16"/>
      <c r="BK446" s="16"/>
      <c r="BL446" s="16"/>
      <c r="BM446" s="16"/>
      <c r="BN446" s="16"/>
      <c r="BO446" s="16"/>
      <c r="BP446" s="16"/>
      <c r="BQ446" s="16"/>
      <c r="BR446" s="16"/>
      <c r="BS446" s="16"/>
      <c r="BT446" s="16"/>
      <c r="BU446" s="16"/>
      <c r="BV446" s="16"/>
      <c r="BW446" s="16"/>
      <c r="BX446" s="16"/>
      <c r="BY446" s="16"/>
      <c r="BZ446" s="16"/>
      <c r="CA446" s="16"/>
      <c r="CB446" s="16"/>
      <c r="CC446" s="16"/>
    </row>
    <row r="447" spans="1:81" ht="13.5" thickBot="1">
      <c r="A447" s="16"/>
      <c r="B447" s="16"/>
      <c r="C447" s="17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  <c r="AY447" s="16"/>
      <c r="AZ447" s="16"/>
      <c r="BA447" s="16"/>
      <c r="BB447" s="16"/>
      <c r="BC447" s="16"/>
      <c r="BD447" s="16"/>
      <c r="BE447" s="16"/>
      <c r="BF447" s="16"/>
      <c r="BG447" s="16"/>
      <c r="BH447" s="16"/>
      <c r="BI447" s="16"/>
      <c r="BJ447" s="16"/>
      <c r="BK447" s="16"/>
      <c r="BL447" s="16"/>
      <c r="BM447" s="16"/>
      <c r="BN447" s="16"/>
      <c r="BO447" s="16"/>
      <c r="BP447" s="16"/>
      <c r="BQ447" s="16"/>
      <c r="BR447" s="16"/>
      <c r="BS447" s="16"/>
      <c r="BT447" s="16"/>
      <c r="BU447" s="16"/>
      <c r="BV447" s="16"/>
      <c r="BW447" s="16"/>
      <c r="BX447" s="16"/>
      <c r="BY447" s="16"/>
      <c r="BZ447" s="16"/>
      <c r="CA447" s="16"/>
      <c r="CB447" s="16"/>
      <c r="CC447" s="16"/>
    </row>
    <row r="448" spans="1:81" ht="13.5" thickBot="1">
      <c r="A448" s="16"/>
      <c r="B448" s="16"/>
      <c r="C448" s="17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  <c r="AU448" s="16"/>
      <c r="AV448" s="16"/>
      <c r="AW448" s="16"/>
      <c r="AX448" s="16"/>
      <c r="AY448" s="16"/>
      <c r="AZ448" s="16"/>
      <c r="BA448" s="16"/>
      <c r="BB448" s="16"/>
      <c r="BC448" s="16"/>
      <c r="BD448" s="16"/>
      <c r="BE448" s="16"/>
      <c r="BF448" s="16"/>
      <c r="BG448" s="16"/>
      <c r="BH448" s="16"/>
      <c r="BI448" s="16"/>
      <c r="BJ448" s="16"/>
      <c r="BK448" s="16"/>
      <c r="BL448" s="16"/>
      <c r="BM448" s="16"/>
      <c r="BN448" s="16"/>
      <c r="BO448" s="16"/>
      <c r="BP448" s="16"/>
      <c r="BQ448" s="16"/>
      <c r="BR448" s="16"/>
      <c r="BS448" s="16"/>
      <c r="BT448" s="16"/>
      <c r="BU448" s="16"/>
      <c r="BV448" s="16"/>
      <c r="BW448" s="16"/>
      <c r="BX448" s="16"/>
      <c r="BY448" s="16"/>
      <c r="BZ448" s="16"/>
      <c r="CA448" s="16"/>
      <c r="CB448" s="16"/>
      <c r="CC448" s="16"/>
    </row>
    <row r="449" spans="1:81" ht="13.5" thickBot="1">
      <c r="A449" s="16"/>
      <c r="B449" s="16"/>
      <c r="C449" s="17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  <c r="AX449" s="16"/>
      <c r="AY449" s="16"/>
      <c r="AZ449" s="16"/>
      <c r="BA449" s="16"/>
      <c r="BB449" s="16"/>
      <c r="BC449" s="16"/>
      <c r="BD449" s="16"/>
      <c r="BE449" s="16"/>
      <c r="BF449" s="16"/>
      <c r="BG449" s="16"/>
      <c r="BH449" s="16"/>
      <c r="BI449" s="16"/>
      <c r="BJ449" s="16"/>
      <c r="BK449" s="16"/>
      <c r="BL449" s="16"/>
      <c r="BM449" s="16"/>
      <c r="BN449" s="16"/>
      <c r="BO449" s="16"/>
      <c r="BP449" s="16"/>
      <c r="BQ449" s="16"/>
      <c r="BR449" s="16"/>
      <c r="BS449" s="16"/>
      <c r="BT449" s="16"/>
      <c r="BU449" s="16"/>
      <c r="BV449" s="16"/>
      <c r="BW449" s="16"/>
      <c r="BX449" s="16"/>
      <c r="BY449" s="16"/>
      <c r="BZ449" s="16"/>
      <c r="CA449" s="16"/>
      <c r="CB449" s="16"/>
      <c r="CC449" s="16"/>
    </row>
    <row r="450" spans="1:81" ht="13.5" thickBot="1">
      <c r="A450" s="16"/>
      <c r="B450" s="16"/>
      <c r="C450" s="17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6"/>
      <c r="AX450" s="16"/>
      <c r="AY450" s="16"/>
      <c r="AZ450" s="16"/>
      <c r="BA450" s="16"/>
      <c r="BB450" s="16"/>
      <c r="BC450" s="16"/>
      <c r="BD450" s="16"/>
      <c r="BE450" s="16"/>
      <c r="BF450" s="16"/>
      <c r="BG450" s="16"/>
      <c r="BH450" s="16"/>
      <c r="BI450" s="16"/>
      <c r="BJ450" s="16"/>
      <c r="BK450" s="16"/>
      <c r="BL450" s="16"/>
      <c r="BM450" s="16"/>
      <c r="BN450" s="16"/>
      <c r="BO450" s="16"/>
      <c r="BP450" s="16"/>
      <c r="BQ450" s="16"/>
      <c r="BR450" s="16"/>
      <c r="BS450" s="16"/>
      <c r="BT450" s="16"/>
      <c r="BU450" s="16"/>
      <c r="BV450" s="16"/>
      <c r="BW450" s="16"/>
      <c r="BX450" s="16"/>
      <c r="BY450" s="16"/>
      <c r="BZ450" s="16"/>
      <c r="CA450" s="16"/>
      <c r="CB450" s="16"/>
      <c r="CC450" s="16"/>
    </row>
    <row r="451" spans="1:81" ht="13.5" thickBot="1">
      <c r="A451" s="16"/>
      <c r="B451" s="16"/>
      <c r="C451" s="17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  <c r="AU451" s="16"/>
      <c r="AV451" s="16"/>
      <c r="AW451" s="16"/>
      <c r="AX451" s="16"/>
      <c r="AY451" s="16"/>
      <c r="AZ451" s="16"/>
      <c r="BA451" s="16"/>
      <c r="BB451" s="16"/>
      <c r="BC451" s="16"/>
      <c r="BD451" s="16"/>
      <c r="BE451" s="16"/>
      <c r="BF451" s="16"/>
      <c r="BG451" s="16"/>
      <c r="BH451" s="16"/>
      <c r="BI451" s="16"/>
      <c r="BJ451" s="16"/>
      <c r="BK451" s="16"/>
      <c r="BL451" s="16"/>
      <c r="BM451" s="16"/>
      <c r="BN451" s="16"/>
      <c r="BO451" s="16"/>
      <c r="BP451" s="16"/>
      <c r="BQ451" s="16"/>
      <c r="BR451" s="16"/>
      <c r="BS451" s="16"/>
      <c r="BT451" s="16"/>
      <c r="BU451" s="16"/>
      <c r="BV451" s="16"/>
      <c r="BW451" s="16"/>
      <c r="BX451" s="16"/>
      <c r="BY451" s="16"/>
      <c r="BZ451" s="16"/>
      <c r="CA451" s="16"/>
      <c r="CB451" s="16"/>
      <c r="CC451" s="16"/>
    </row>
    <row r="452" spans="1:81" ht="13.5" thickBot="1">
      <c r="A452" s="16"/>
      <c r="B452" s="16"/>
      <c r="C452" s="17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  <c r="AU452" s="16"/>
      <c r="AV452" s="16"/>
      <c r="AW452" s="16"/>
      <c r="AX452" s="16"/>
      <c r="AY452" s="16"/>
      <c r="AZ452" s="16"/>
      <c r="BA452" s="16"/>
      <c r="BB452" s="16"/>
      <c r="BC452" s="16"/>
      <c r="BD452" s="16"/>
      <c r="BE452" s="16"/>
      <c r="BF452" s="16"/>
      <c r="BG452" s="16"/>
      <c r="BH452" s="16"/>
      <c r="BI452" s="16"/>
      <c r="BJ452" s="16"/>
      <c r="BK452" s="16"/>
      <c r="BL452" s="16"/>
      <c r="BM452" s="16"/>
      <c r="BN452" s="16"/>
      <c r="BO452" s="16"/>
      <c r="BP452" s="16"/>
      <c r="BQ452" s="16"/>
      <c r="BR452" s="16"/>
      <c r="BS452" s="16"/>
      <c r="BT452" s="16"/>
      <c r="BU452" s="16"/>
      <c r="BV452" s="16"/>
      <c r="BW452" s="16"/>
      <c r="BX452" s="16"/>
      <c r="BY452" s="16"/>
      <c r="BZ452" s="16"/>
      <c r="CA452" s="16"/>
      <c r="CB452" s="16"/>
      <c r="CC452" s="16"/>
    </row>
    <row r="453" spans="1:81" ht="13.5" thickBot="1">
      <c r="A453" s="16"/>
      <c r="B453" s="16"/>
      <c r="C453" s="17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  <c r="AW453" s="16"/>
      <c r="AX453" s="16"/>
      <c r="AY453" s="16"/>
      <c r="AZ453" s="16"/>
      <c r="BA453" s="16"/>
      <c r="BB453" s="16"/>
      <c r="BC453" s="16"/>
      <c r="BD453" s="16"/>
      <c r="BE453" s="16"/>
      <c r="BF453" s="16"/>
      <c r="BG453" s="16"/>
      <c r="BH453" s="16"/>
      <c r="BI453" s="16"/>
      <c r="BJ453" s="16"/>
      <c r="BK453" s="16"/>
      <c r="BL453" s="16"/>
      <c r="BM453" s="16"/>
      <c r="BN453" s="16"/>
      <c r="BO453" s="16"/>
      <c r="BP453" s="16"/>
      <c r="BQ453" s="16"/>
      <c r="BR453" s="16"/>
      <c r="BS453" s="16"/>
      <c r="BT453" s="16"/>
      <c r="BU453" s="16"/>
      <c r="BV453" s="16"/>
      <c r="BW453" s="16"/>
      <c r="BX453" s="16"/>
      <c r="BY453" s="16"/>
      <c r="BZ453" s="16"/>
      <c r="CA453" s="16"/>
      <c r="CB453" s="16"/>
      <c r="CC453" s="16"/>
    </row>
    <row r="454" spans="1:81" ht="13.5" thickBot="1">
      <c r="A454" s="16"/>
      <c r="B454" s="16"/>
      <c r="C454" s="17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6"/>
      <c r="AX454" s="16"/>
      <c r="AY454" s="16"/>
      <c r="AZ454" s="16"/>
      <c r="BA454" s="16"/>
      <c r="BB454" s="16"/>
      <c r="BC454" s="16"/>
      <c r="BD454" s="16"/>
      <c r="BE454" s="16"/>
      <c r="BF454" s="16"/>
      <c r="BG454" s="16"/>
      <c r="BH454" s="16"/>
      <c r="BI454" s="16"/>
      <c r="BJ454" s="16"/>
      <c r="BK454" s="16"/>
      <c r="BL454" s="16"/>
      <c r="BM454" s="16"/>
      <c r="BN454" s="16"/>
      <c r="BO454" s="16"/>
      <c r="BP454" s="16"/>
      <c r="BQ454" s="16"/>
      <c r="BR454" s="16"/>
      <c r="BS454" s="16"/>
      <c r="BT454" s="16"/>
      <c r="BU454" s="16"/>
      <c r="BV454" s="16"/>
      <c r="BW454" s="16"/>
      <c r="BX454" s="16"/>
      <c r="BY454" s="16"/>
      <c r="BZ454" s="16"/>
      <c r="CA454" s="16"/>
      <c r="CB454" s="16"/>
      <c r="CC454" s="16"/>
    </row>
    <row r="455" spans="1:81" ht="13.5" thickBot="1">
      <c r="A455" s="16"/>
      <c r="B455" s="16"/>
      <c r="C455" s="17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  <c r="AW455" s="16"/>
      <c r="AX455" s="16"/>
      <c r="AY455" s="16"/>
      <c r="AZ455" s="16"/>
      <c r="BA455" s="16"/>
      <c r="BB455" s="16"/>
      <c r="BC455" s="16"/>
      <c r="BD455" s="16"/>
      <c r="BE455" s="16"/>
      <c r="BF455" s="16"/>
      <c r="BG455" s="16"/>
      <c r="BH455" s="16"/>
      <c r="BI455" s="16"/>
      <c r="BJ455" s="16"/>
      <c r="BK455" s="16"/>
      <c r="BL455" s="16"/>
      <c r="BM455" s="16"/>
      <c r="BN455" s="16"/>
      <c r="BO455" s="16"/>
      <c r="BP455" s="16"/>
      <c r="BQ455" s="16"/>
      <c r="BR455" s="16"/>
      <c r="BS455" s="16"/>
      <c r="BT455" s="16"/>
      <c r="BU455" s="16"/>
      <c r="BV455" s="16"/>
      <c r="BW455" s="16"/>
      <c r="BX455" s="16"/>
      <c r="BY455" s="16"/>
      <c r="BZ455" s="16"/>
      <c r="CA455" s="16"/>
      <c r="CB455" s="16"/>
      <c r="CC455" s="16"/>
    </row>
    <row r="456" spans="1:81" ht="13.5" thickBot="1">
      <c r="A456" s="16"/>
      <c r="B456" s="16"/>
      <c r="C456" s="17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  <c r="AW456" s="16"/>
      <c r="AX456" s="16"/>
      <c r="AY456" s="16"/>
      <c r="AZ456" s="16"/>
      <c r="BA456" s="16"/>
      <c r="BB456" s="16"/>
      <c r="BC456" s="16"/>
      <c r="BD456" s="16"/>
      <c r="BE456" s="16"/>
      <c r="BF456" s="16"/>
      <c r="BG456" s="16"/>
      <c r="BH456" s="16"/>
      <c r="BI456" s="16"/>
      <c r="BJ456" s="16"/>
      <c r="BK456" s="16"/>
      <c r="BL456" s="16"/>
      <c r="BM456" s="16"/>
      <c r="BN456" s="16"/>
      <c r="BO456" s="16"/>
      <c r="BP456" s="16"/>
      <c r="BQ456" s="16"/>
      <c r="BR456" s="16"/>
      <c r="BS456" s="16"/>
      <c r="BT456" s="16"/>
      <c r="BU456" s="16"/>
      <c r="BV456" s="16"/>
      <c r="BW456" s="16"/>
      <c r="BX456" s="16"/>
      <c r="BY456" s="16"/>
      <c r="BZ456" s="16"/>
      <c r="CA456" s="16"/>
      <c r="CB456" s="16"/>
      <c r="CC456" s="16"/>
    </row>
    <row r="457" spans="1:81" ht="13.5" thickBot="1">
      <c r="A457" s="16"/>
      <c r="B457" s="16"/>
      <c r="C457" s="17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  <c r="AU457" s="16"/>
      <c r="AV457" s="16"/>
      <c r="AW457" s="16"/>
      <c r="AX457" s="16"/>
      <c r="AY457" s="16"/>
      <c r="AZ457" s="16"/>
      <c r="BA457" s="16"/>
      <c r="BB457" s="16"/>
      <c r="BC457" s="16"/>
      <c r="BD457" s="16"/>
      <c r="BE457" s="16"/>
      <c r="BF457" s="16"/>
      <c r="BG457" s="16"/>
      <c r="BH457" s="16"/>
      <c r="BI457" s="16"/>
      <c r="BJ457" s="16"/>
      <c r="BK457" s="16"/>
      <c r="BL457" s="16"/>
      <c r="BM457" s="16"/>
      <c r="BN457" s="16"/>
      <c r="BO457" s="16"/>
      <c r="BP457" s="16"/>
      <c r="BQ457" s="16"/>
      <c r="BR457" s="16"/>
      <c r="BS457" s="16"/>
      <c r="BT457" s="16"/>
      <c r="BU457" s="16"/>
      <c r="BV457" s="16"/>
      <c r="BW457" s="16"/>
      <c r="BX457" s="16"/>
      <c r="BY457" s="16"/>
      <c r="BZ457" s="16"/>
      <c r="CA457" s="16"/>
      <c r="CB457" s="16"/>
      <c r="CC457" s="16"/>
    </row>
    <row r="458" spans="1:81" ht="13.5" thickBot="1">
      <c r="A458" s="16"/>
      <c r="B458" s="16"/>
      <c r="C458" s="17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  <c r="AW458" s="16"/>
      <c r="AX458" s="16"/>
      <c r="AY458" s="16"/>
      <c r="AZ458" s="16"/>
      <c r="BA458" s="16"/>
      <c r="BB458" s="16"/>
      <c r="BC458" s="16"/>
      <c r="BD458" s="16"/>
      <c r="BE458" s="16"/>
      <c r="BF458" s="16"/>
      <c r="BG458" s="16"/>
      <c r="BH458" s="16"/>
      <c r="BI458" s="16"/>
      <c r="BJ458" s="16"/>
      <c r="BK458" s="16"/>
      <c r="BL458" s="16"/>
      <c r="BM458" s="16"/>
      <c r="BN458" s="16"/>
      <c r="BO458" s="16"/>
      <c r="BP458" s="16"/>
      <c r="BQ458" s="16"/>
      <c r="BR458" s="16"/>
      <c r="BS458" s="16"/>
      <c r="BT458" s="16"/>
      <c r="BU458" s="16"/>
      <c r="BV458" s="16"/>
      <c r="BW458" s="16"/>
      <c r="BX458" s="16"/>
      <c r="BY458" s="16"/>
      <c r="BZ458" s="16"/>
      <c r="CA458" s="16"/>
      <c r="CB458" s="16"/>
      <c r="CC458" s="16"/>
    </row>
    <row r="459" spans="1:81" ht="13.5" thickBot="1">
      <c r="A459" s="16"/>
      <c r="B459" s="16"/>
      <c r="C459" s="17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  <c r="AU459" s="16"/>
      <c r="AV459" s="16"/>
      <c r="AW459" s="16"/>
      <c r="AX459" s="16"/>
      <c r="AY459" s="16"/>
      <c r="AZ459" s="16"/>
      <c r="BA459" s="16"/>
      <c r="BB459" s="16"/>
      <c r="BC459" s="16"/>
      <c r="BD459" s="16"/>
      <c r="BE459" s="16"/>
      <c r="BF459" s="16"/>
      <c r="BG459" s="16"/>
      <c r="BH459" s="16"/>
      <c r="BI459" s="16"/>
      <c r="BJ459" s="16"/>
      <c r="BK459" s="16"/>
      <c r="BL459" s="16"/>
      <c r="BM459" s="16"/>
      <c r="BN459" s="16"/>
      <c r="BO459" s="16"/>
      <c r="BP459" s="16"/>
      <c r="BQ459" s="16"/>
      <c r="BR459" s="16"/>
      <c r="BS459" s="16"/>
      <c r="BT459" s="16"/>
      <c r="BU459" s="16"/>
      <c r="BV459" s="16"/>
      <c r="BW459" s="16"/>
      <c r="BX459" s="16"/>
      <c r="BY459" s="16"/>
      <c r="BZ459" s="16"/>
      <c r="CA459" s="16"/>
      <c r="CB459" s="16"/>
      <c r="CC459" s="16"/>
    </row>
    <row r="460" spans="1:81" ht="13.5" thickBot="1">
      <c r="A460" s="16"/>
      <c r="B460" s="16"/>
      <c r="C460" s="17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  <c r="AU460" s="16"/>
      <c r="AV460" s="16"/>
      <c r="AW460" s="16"/>
      <c r="AX460" s="16"/>
      <c r="AY460" s="16"/>
      <c r="AZ460" s="16"/>
      <c r="BA460" s="16"/>
      <c r="BB460" s="16"/>
      <c r="BC460" s="16"/>
      <c r="BD460" s="16"/>
      <c r="BE460" s="16"/>
      <c r="BF460" s="16"/>
      <c r="BG460" s="16"/>
      <c r="BH460" s="16"/>
      <c r="BI460" s="16"/>
      <c r="BJ460" s="16"/>
      <c r="BK460" s="16"/>
      <c r="BL460" s="16"/>
      <c r="BM460" s="16"/>
      <c r="BN460" s="16"/>
      <c r="BO460" s="16"/>
      <c r="BP460" s="16"/>
      <c r="BQ460" s="16"/>
      <c r="BR460" s="16"/>
      <c r="BS460" s="16"/>
      <c r="BT460" s="16"/>
      <c r="BU460" s="16"/>
      <c r="BV460" s="16"/>
      <c r="BW460" s="16"/>
      <c r="BX460" s="16"/>
      <c r="BY460" s="16"/>
      <c r="BZ460" s="16"/>
      <c r="CA460" s="16"/>
      <c r="CB460" s="16"/>
      <c r="CC460" s="16"/>
    </row>
    <row r="461" spans="1:81" ht="13.5" thickBot="1">
      <c r="A461" s="16"/>
      <c r="B461" s="16"/>
      <c r="C461" s="17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  <c r="AU461" s="16"/>
      <c r="AV461" s="16"/>
      <c r="AW461" s="16"/>
      <c r="AX461" s="16"/>
      <c r="AY461" s="16"/>
      <c r="AZ461" s="16"/>
      <c r="BA461" s="16"/>
      <c r="BB461" s="16"/>
      <c r="BC461" s="16"/>
      <c r="BD461" s="16"/>
      <c r="BE461" s="16"/>
      <c r="BF461" s="16"/>
      <c r="BG461" s="16"/>
      <c r="BH461" s="16"/>
      <c r="BI461" s="16"/>
      <c r="BJ461" s="16"/>
      <c r="BK461" s="16"/>
      <c r="BL461" s="16"/>
      <c r="BM461" s="16"/>
      <c r="BN461" s="16"/>
      <c r="BO461" s="16"/>
      <c r="BP461" s="16"/>
      <c r="BQ461" s="16"/>
      <c r="BR461" s="16"/>
      <c r="BS461" s="16"/>
      <c r="BT461" s="16"/>
      <c r="BU461" s="16"/>
      <c r="BV461" s="16"/>
      <c r="BW461" s="16"/>
      <c r="BX461" s="16"/>
      <c r="BY461" s="16"/>
      <c r="BZ461" s="16"/>
      <c r="CA461" s="16"/>
      <c r="CB461" s="16"/>
      <c r="CC461" s="16"/>
    </row>
    <row r="462" spans="1:81" ht="13.5" thickBot="1">
      <c r="A462" s="16"/>
      <c r="B462" s="16"/>
      <c r="C462" s="17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  <c r="AW462" s="16"/>
      <c r="AX462" s="16"/>
      <c r="AY462" s="16"/>
      <c r="AZ462" s="16"/>
      <c r="BA462" s="16"/>
      <c r="BB462" s="16"/>
      <c r="BC462" s="16"/>
      <c r="BD462" s="16"/>
      <c r="BE462" s="16"/>
      <c r="BF462" s="16"/>
      <c r="BG462" s="16"/>
      <c r="BH462" s="16"/>
      <c r="BI462" s="16"/>
      <c r="BJ462" s="16"/>
      <c r="BK462" s="16"/>
      <c r="BL462" s="16"/>
      <c r="BM462" s="16"/>
      <c r="BN462" s="16"/>
      <c r="BO462" s="16"/>
      <c r="BP462" s="16"/>
      <c r="BQ462" s="16"/>
      <c r="BR462" s="16"/>
      <c r="BS462" s="16"/>
      <c r="BT462" s="16"/>
      <c r="BU462" s="16"/>
      <c r="BV462" s="16"/>
      <c r="BW462" s="16"/>
      <c r="BX462" s="16"/>
      <c r="BY462" s="16"/>
      <c r="BZ462" s="16"/>
      <c r="CA462" s="16"/>
      <c r="CB462" s="16"/>
      <c r="CC462" s="16"/>
    </row>
    <row r="463" spans="1:81" ht="13.5" thickBot="1">
      <c r="A463" s="16"/>
      <c r="B463" s="16"/>
      <c r="C463" s="17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  <c r="AU463" s="16"/>
      <c r="AV463" s="16"/>
      <c r="AW463" s="16"/>
      <c r="AX463" s="16"/>
      <c r="AY463" s="16"/>
      <c r="AZ463" s="16"/>
      <c r="BA463" s="16"/>
      <c r="BB463" s="16"/>
      <c r="BC463" s="16"/>
      <c r="BD463" s="16"/>
      <c r="BE463" s="16"/>
      <c r="BF463" s="16"/>
      <c r="BG463" s="16"/>
      <c r="BH463" s="16"/>
      <c r="BI463" s="16"/>
      <c r="BJ463" s="16"/>
      <c r="BK463" s="16"/>
      <c r="BL463" s="16"/>
      <c r="BM463" s="16"/>
      <c r="BN463" s="16"/>
      <c r="BO463" s="16"/>
      <c r="BP463" s="16"/>
      <c r="BQ463" s="16"/>
      <c r="BR463" s="16"/>
      <c r="BS463" s="16"/>
      <c r="BT463" s="16"/>
      <c r="BU463" s="16"/>
      <c r="BV463" s="16"/>
      <c r="BW463" s="16"/>
      <c r="BX463" s="16"/>
      <c r="BY463" s="16"/>
      <c r="BZ463" s="16"/>
      <c r="CA463" s="16"/>
      <c r="CB463" s="16"/>
      <c r="CC463" s="16"/>
    </row>
    <row r="464" spans="1:81" ht="13.5" thickBot="1">
      <c r="A464" s="16"/>
      <c r="B464" s="16"/>
      <c r="C464" s="17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  <c r="AW464" s="16"/>
      <c r="AX464" s="16"/>
      <c r="AY464" s="16"/>
      <c r="AZ464" s="16"/>
      <c r="BA464" s="16"/>
      <c r="BB464" s="16"/>
      <c r="BC464" s="16"/>
      <c r="BD464" s="16"/>
      <c r="BE464" s="16"/>
      <c r="BF464" s="16"/>
      <c r="BG464" s="16"/>
      <c r="BH464" s="16"/>
      <c r="BI464" s="16"/>
      <c r="BJ464" s="16"/>
      <c r="BK464" s="16"/>
      <c r="BL464" s="16"/>
      <c r="BM464" s="16"/>
      <c r="BN464" s="16"/>
      <c r="BO464" s="16"/>
      <c r="BP464" s="16"/>
      <c r="BQ464" s="16"/>
      <c r="BR464" s="16"/>
      <c r="BS464" s="16"/>
      <c r="BT464" s="16"/>
      <c r="BU464" s="16"/>
      <c r="BV464" s="16"/>
      <c r="BW464" s="16"/>
      <c r="BX464" s="16"/>
      <c r="BY464" s="16"/>
      <c r="BZ464" s="16"/>
      <c r="CA464" s="16"/>
      <c r="CB464" s="16"/>
      <c r="CC464" s="16"/>
    </row>
    <row r="465" spans="1:81" ht="13.5" thickBot="1">
      <c r="A465" s="16"/>
      <c r="B465" s="16"/>
      <c r="C465" s="17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  <c r="AU465" s="16"/>
      <c r="AV465" s="16"/>
      <c r="AW465" s="16"/>
      <c r="AX465" s="16"/>
      <c r="AY465" s="16"/>
      <c r="AZ465" s="16"/>
      <c r="BA465" s="16"/>
      <c r="BB465" s="16"/>
      <c r="BC465" s="16"/>
      <c r="BD465" s="16"/>
      <c r="BE465" s="16"/>
      <c r="BF465" s="16"/>
      <c r="BG465" s="16"/>
      <c r="BH465" s="16"/>
      <c r="BI465" s="16"/>
      <c r="BJ465" s="16"/>
      <c r="BK465" s="16"/>
      <c r="BL465" s="16"/>
      <c r="BM465" s="16"/>
      <c r="BN465" s="16"/>
      <c r="BO465" s="16"/>
      <c r="BP465" s="16"/>
      <c r="BQ465" s="16"/>
      <c r="BR465" s="16"/>
      <c r="BS465" s="16"/>
      <c r="BT465" s="16"/>
      <c r="BU465" s="16"/>
      <c r="BV465" s="16"/>
      <c r="BW465" s="16"/>
      <c r="BX465" s="16"/>
      <c r="BY465" s="16"/>
      <c r="BZ465" s="16"/>
      <c r="CA465" s="16"/>
      <c r="CB465" s="16"/>
      <c r="CC465" s="16"/>
    </row>
    <row r="466" spans="1:81" ht="13.5" thickBot="1">
      <c r="A466" s="16"/>
      <c r="B466" s="16"/>
      <c r="C466" s="17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  <c r="AU466" s="16"/>
      <c r="AV466" s="16"/>
      <c r="AW466" s="16"/>
      <c r="AX466" s="16"/>
      <c r="AY466" s="16"/>
      <c r="AZ466" s="16"/>
      <c r="BA466" s="16"/>
      <c r="BB466" s="16"/>
      <c r="BC466" s="16"/>
      <c r="BD466" s="16"/>
      <c r="BE466" s="16"/>
      <c r="BF466" s="16"/>
      <c r="BG466" s="16"/>
      <c r="BH466" s="16"/>
      <c r="BI466" s="16"/>
      <c r="BJ466" s="16"/>
      <c r="BK466" s="16"/>
      <c r="BL466" s="16"/>
      <c r="BM466" s="16"/>
      <c r="BN466" s="16"/>
      <c r="BO466" s="16"/>
      <c r="BP466" s="16"/>
      <c r="BQ466" s="16"/>
      <c r="BR466" s="16"/>
      <c r="BS466" s="16"/>
      <c r="BT466" s="16"/>
      <c r="BU466" s="16"/>
      <c r="BV466" s="16"/>
      <c r="BW466" s="16"/>
      <c r="BX466" s="16"/>
      <c r="BY466" s="16"/>
      <c r="BZ466" s="16"/>
      <c r="CA466" s="16"/>
      <c r="CB466" s="16"/>
      <c r="CC466" s="16"/>
    </row>
    <row r="467" spans="1:81" ht="13.5" thickBot="1">
      <c r="A467" s="16"/>
      <c r="B467" s="16"/>
      <c r="C467" s="17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  <c r="AU467" s="16"/>
      <c r="AV467" s="16"/>
      <c r="AW467" s="16"/>
      <c r="AX467" s="16"/>
      <c r="AY467" s="16"/>
      <c r="AZ467" s="16"/>
      <c r="BA467" s="16"/>
      <c r="BB467" s="16"/>
      <c r="BC467" s="16"/>
      <c r="BD467" s="16"/>
      <c r="BE467" s="16"/>
      <c r="BF467" s="16"/>
      <c r="BG467" s="16"/>
      <c r="BH467" s="16"/>
      <c r="BI467" s="16"/>
      <c r="BJ467" s="16"/>
      <c r="BK467" s="16"/>
      <c r="BL467" s="16"/>
      <c r="BM467" s="16"/>
      <c r="BN467" s="16"/>
      <c r="BO467" s="16"/>
      <c r="BP467" s="16"/>
      <c r="BQ467" s="16"/>
      <c r="BR467" s="16"/>
      <c r="BS467" s="16"/>
      <c r="BT467" s="16"/>
      <c r="BU467" s="16"/>
      <c r="BV467" s="16"/>
      <c r="BW467" s="16"/>
      <c r="BX467" s="16"/>
      <c r="BY467" s="16"/>
      <c r="BZ467" s="16"/>
      <c r="CA467" s="16"/>
      <c r="CB467" s="16"/>
      <c r="CC467" s="16"/>
    </row>
    <row r="468" spans="1:81" ht="13.5" thickBot="1">
      <c r="A468" s="16"/>
      <c r="B468" s="16"/>
      <c r="C468" s="17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  <c r="AW468" s="16"/>
      <c r="AX468" s="16"/>
      <c r="AY468" s="16"/>
      <c r="AZ468" s="16"/>
      <c r="BA468" s="16"/>
      <c r="BB468" s="16"/>
      <c r="BC468" s="16"/>
      <c r="BD468" s="16"/>
      <c r="BE468" s="16"/>
      <c r="BF468" s="16"/>
      <c r="BG468" s="16"/>
      <c r="BH468" s="16"/>
      <c r="BI468" s="16"/>
      <c r="BJ468" s="16"/>
      <c r="BK468" s="16"/>
      <c r="BL468" s="16"/>
      <c r="BM468" s="16"/>
      <c r="BN468" s="16"/>
      <c r="BO468" s="16"/>
      <c r="BP468" s="16"/>
      <c r="BQ468" s="16"/>
      <c r="BR468" s="16"/>
      <c r="BS468" s="16"/>
      <c r="BT468" s="16"/>
      <c r="BU468" s="16"/>
      <c r="BV468" s="16"/>
      <c r="BW468" s="16"/>
      <c r="BX468" s="16"/>
      <c r="BY468" s="16"/>
      <c r="BZ468" s="16"/>
      <c r="CA468" s="16"/>
      <c r="CB468" s="16"/>
      <c r="CC468" s="16"/>
    </row>
    <row r="469" spans="1:81" ht="13.5" thickBot="1">
      <c r="A469" s="16"/>
      <c r="B469" s="16"/>
      <c r="C469" s="17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  <c r="AU469" s="16"/>
      <c r="AV469" s="16"/>
      <c r="AW469" s="16"/>
      <c r="AX469" s="16"/>
      <c r="AY469" s="16"/>
      <c r="AZ469" s="16"/>
      <c r="BA469" s="16"/>
      <c r="BB469" s="16"/>
      <c r="BC469" s="16"/>
      <c r="BD469" s="16"/>
      <c r="BE469" s="16"/>
      <c r="BF469" s="16"/>
      <c r="BG469" s="16"/>
      <c r="BH469" s="16"/>
      <c r="BI469" s="16"/>
      <c r="BJ469" s="16"/>
      <c r="BK469" s="16"/>
      <c r="BL469" s="16"/>
      <c r="BM469" s="16"/>
      <c r="BN469" s="16"/>
      <c r="BO469" s="16"/>
      <c r="BP469" s="16"/>
      <c r="BQ469" s="16"/>
      <c r="BR469" s="16"/>
      <c r="BS469" s="16"/>
      <c r="BT469" s="16"/>
      <c r="BU469" s="16"/>
      <c r="BV469" s="16"/>
      <c r="BW469" s="16"/>
      <c r="BX469" s="16"/>
      <c r="BY469" s="16"/>
      <c r="BZ469" s="16"/>
      <c r="CA469" s="16"/>
      <c r="CB469" s="16"/>
      <c r="CC469" s="16"/>
    </row>
    <row r="470" spans="1:81" ht="13.5" thickBot="1">
      <c r="A470" s="16"/>
      <c r="B470" s="16"/>
      <c r="C470" s="17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  <c r="AU470" s="16"/>
      <c r="AV470" s="16"/>
      <c r="AW470" s="16"/>
      <c r="AX470" s="16"/>
      <c r="AY470" s="16"/>
      <c r="AZ470" s="16"/>
      <c r="BA470" s="16"/>
      <c r="BB470" s="16"/>
      <c r="BC470" s="16"/>
      <c r="BD470" s="16"/>
      <c r="BE470" s="16"/>
      <c r="BF470" s="16"/>
      <c r="BG470" s="16"/>
      <c r="BH470" s="16"/>
      <c r="BI470" s="16"/>
      <c r="BJ470" s="16"/>
      <c r="BK470" s="16"/>
      <c r="BL470" s="16"/>
      <c r="BM470" s="16"/>
      <c r="BN470" s="16"/>
      <c r="BO470" s="16"/>
      <c r="BP470" s="16"/>
      <c r="BQ470" s="16"/>
      <c r="BR470" s="16"/>
      <c r="BS470" s="16"/>
      <c r="BT470" s="16"/>
      <c r="BU470" s="16"/>
      <c r="BV470" s="16"/>
      <c r="BW470" s="16"/>
      <c r="BX470" s="16"/>
      <c r="BY470" s="16"/>
      <c r="BZ470" s="16"/>
      <c r="CA470" s="16"/>
      <c r="CB470" s="16"/>
      <c r="CC470" s="16"/>
    </row>
    <row r="471" spans="1:81" ht="13.5" thickBot="1">
      <c r="A471" s="16"/>
      <c r="B471" s="16"/>
      <c r="C471" s="17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  <c r="AW471" s="16"/>
      <c r="AX471" s="16"/>
      <c r="AY471" s="16"/>
      <c r="AZ471" s="16"/>
      <c r="BA471" s="16"/>
      <c r="BB471" s="16"/>
      <c r="BC471" s="16"/>
      <c r="BD471" s="16"/>
      <c r="BE471" s="16"/>
      <c r="BF471" s="16"/>
      <c r="BG471" s="16"/>
      <c r="BH471" s="16"/>
      <c r="BI471" s="16"/>
      <c r="BJ471" s="16"/>
      <c r="BK471" s="16"/>
      <c r="BL471" s="16"/>
      <c r="BM471" s="16"/>
      <c r="BN471" s="16"/>
      <c r="BO471" s="16"/>
      <c r="BP471" s="16"/>
      <c r="BQ471" s="16"/>
      <c r="BR471" s="16"/>
      <c r="BS471" s="16"/>
      <c r="BT471" s="16"/>
      <c r="BU471" s="16"/>
      <c r="BV471" s="16"/>
      <c r="BW471" s="16"/>
      <c r="BX471" s="16"/>
      <c r="BY471" s="16"/>
      <c r="BZ471" s="16"/>
      <c r="CA471" s="16"/>
      <c r="CB471" s="16"/>
      <c r="CC471" s="16"/>
    </row>
    <row r="472" spans="1:81" ht="13.5" thickBot="1">
      <c r="A472" s="16"/>
      <c r="B472" s="16"/>
      <c r="C472" s="17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  <c r="AU472" s="16"/>
      <c r="AV472" s="16"/>
      <c r="AW472" s="16"/>
      <c r="AX472" s="16"/>
      <c r="AY472" s="16"/>
      <c r="AZ472" s="16"/>
      <c r="BA472" s="16"/>
      <c r="BB472" s="16"/>
      <c r="BC472" s="16"/>
      <c r="BD472" s="16"/>
      <c r="BE472" s="16"/>
      <c r="BF472" s="16"/>
      <c r="BG472" s="16"/>
      <c r="BH472" s="16"/>
      <c r="BI472" s="16"/>
      <c r="BJ472" s="16"/>
      <c r="BK472" s="16"/>
      <c r="BL472" s="16"/>
      <c r="BM472" s="16"/>
      <c r="BN472" s="16"/>
      <c r="BO472" s="16"/>
      <c r="BP472" s="16"/>
      <c r="BQ472" s="16"/>
      <c r="BR472" s="16"/>
      <c r="BS472" s="16"/>
      <c r="BT472" s="16"/>
      <c r="BU472" s="16"/>
      <c r="BV472" s="16"/>
      <c r="BW472" s="16"/>
      <c r="BX472" s="16"/>
      <c r="BY472" s="16"/>
      <c r="BZ472" s="16"/>
      <c r="CA472" s="16"/>
      <c r="CB472" s="16"/>
      <c r="CC472" s="16"/>
    </row>
    <row r="473" spans="1:81" ht="13.5" thickBot="1">
      <c r="A473" s="16"/>
      <c r="B473" s="16"/>
      <c r="C473" s="17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  <c r="AU473" s="16"/>
      <c r="AV473" s="16"/>
      <c r="AW473" s="16"/>
      <c r="AX473" s="16"/>
      <c r="AY473" s="16"/>
      <c r="AZ473" s="16"/>
      <c r="BA473" s="16"/>
      <c r="BB473" s="16"/>
      <c r="BC473" s="16"/>
      <c r="BD473" s="16"/>
      <c r="BE473" s="16"/>
      <c r="BF473" s="16"/>
      <c r="BG473" s="16"/>
      <c r="BH473" s="16"/>
      <c r="BI473" s="16"/>
      <c r="BJ473" s="16"/>
      <c r="BK473" s="16"/>
      <c r="BL473" s="16"/>
      <c r="BM473" s="16"/>
      <c r="BN473" s="16"/>
      <c r="BO473" s="16"/>
      <c r="BP473" s="16"/>
      <c r="BQ473" s="16"/>
      <c r="BR473" s="16"/>
      <c r="BS473" s="16"/>
      <c r="BT473" s="16"/>
      <c r="BU473" s="16"/>
      <c r="BV473" s="16"/>
      <c r="BW473" s="16"/>
      <c r="BX473" s="16"/>
      <c r="BY473" s="16"/>
      <c r="BZ473" s="16"/>
      <c r="CA473" s="16"/>
      <c r="CB473" s="16"/>
      <c r="CC473" s="16"/>
    </row>
    <row r="474" spans="1:81" ht="13.5" thickBot="1">
      <c r="A474" s="16"/>
      <c r="B474" s="16"/>
      <c r="C474" s="17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  <c r="AU474" s="16"/>
      <c r="AV474" s="16"/>
      <c r="AW474" s="16"/>
      <c r="AX474" s="16"/>
      <c r="AY474" s="16"/>
      <c r="AZ474" s="16"/>
      <c r="BA474" s="16"/>
      <c r="BB474" s="16"/>
      <c r="BC474" s="16"/>
      <c r="BD474" s="16"/>
      <c r="BE474" s="16"/>
      <c r="BF474" s="16"/>
      <c r="BG474" s="16"/>
      <c r="BH474" s="16"/>
      <c r="BI474" s="16"/>
      <c r="BJ474" s="16"/>
      <c r="BK474" s="16"/>
      <c r="BL474" s="16"/>
      <c r="BM474" s="16"/>
      <c r="BN474" s="16"/>
      <c r="BO474" s="16"/>
      <c r="BP474" s="16"/>
      <c r="BQ474" s="16"/>
      <c r="BR474" s="16"/>
      <c r="BS474" s="16"/>
      <c r="BT474" s="16"/>
      <c r="BU474" s="16"/>
      <c r="BV474" s="16"/>
      <c r="BW474" s="16"/>
      <c r="BX474" s="16"/>
      <c r="BY474" s="16"/>
      <c r="BZ474" s="16"/>
      <c r="CA474" s="16"/>
      <c r="CB474" s="16"/>
      <c r="CC474" s="16"/>
    </row>
    <row r="475" spans="1:81" ht="13.5" thickBot="1">
      <c r="A475" s="16"/>
      <c r="B475" s="16"/>
      <c r="C475" s="17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  <c r="AW475" s="16"/>
      <c r="AX475" s="16"/>
      <c r="AY475" s="16"/>
      <c r="AZ475" s="16"/>
      <c r="BA475" s="16"/>
      <c r="BB475" s="16"/>
      <c r="BC475" s="16"/>
      <c r="BD475" s="16"/>
      <c r="BE475" s="16"/>
      <c r="BF475" s="16"/>
      <c r="BG475" s="16"/>
      <c r="BH475" s="16"/>
      <c r="BI475" s="16"/>
      <c r="BJ475" s="16"/>
      <c r="BK475" s="16"/>
      <c r="BL475" s="16"/>
      <c r="BM475" s="16"/>
      <c r="BN475" s="16"/>
      <c r="BO475" s="16"/>
      <c r="BP475" s="16"/>
      <c r="BQ475" s="16"/>
      <c r="BR475" s="16"/>
      <c r="BS475" s="16"/>
      <c r="BT475" s="16"/>
      <c r="BU475" s="16"/>
      <c r="BV475" s="16"/>
      <c r="BW475" s="16"/>
      <c r="BX475" s="16"/>
      <c r="BY475" s="16"/>
      <c r="BZ475" s="16"/>
      <c r="CA475" s="16"/>
      <c r="CB475" s="16"/>
      <c r="CC475" s="16"/>
    </row>
    <row r="476" spans="1:81" ht="13.5" thickBot="1">
      <c r="A476" s="16"/>
      <c r="B476" s="16"/>
      <c r="C476" s="17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  <c r="AU476" s="16"/>
      <c r="AV476" s="16"/>
      <c r="AW476" s="16"/>
      <c r="AX476" s="16"/>
      <c r="AY476" s="16"/>
      <c r="AZ476" s="16"/>
      <c r="BA476" s="16"/>
      <c r="BB476" s="16"/>
      <c r="BC476" s="16"/>
      <c r="BD476" s="16"/>
      <c r="BE476" s="16"/>
      <c r="BF476" s="16"/>
      <c r="BG476" s="16"/>
      <c r="BH476" s="16"/>
      <c r="BI476" s="16"/>
      <c r="BJ476" s="16"/>
      <c r="BK476" s="16"/>
      <c r="BL476" s="16"/>
      <c r="BM476" s="16"/>
      <c r="BN476" s="16"/>
      <c r="BO476" s="16"/>
      <c r="BP476" s="16"/>
      <c r="BQ476" s="16"/>
      <c r="BR476" s="16"/>
      <c r="BS476" s="16"/>
      <c r="BT476" s="16"/>
      <c r="BU476" s="16"/>
      <c r="BV476" s="16"/>
      <c r="BW476" s="16"/>
      <c r="BX476" s="16"/>
      <c r="BY476" s="16"/>
      <c r="BZ476" s="16"/>
      <c r="CA476" s="16"/>
      <c r="CB476" s="16"/>
      <c r="CC476" s="16"/>
    </row>
    <row r="477" spans="1:81" ht="13.5" thickBot="1">
      <c r="A477" s="16"/>
      <c r="B477" s="16"/>
      <c r="C477" s="17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  <c r="AW477" s="16"/>
      <c r="AX477" s="16"/>
      <c r="AY477" s="16"/>
      <c r="AZ477" s="16"/>
      <c r="BA477" s="16"/>
      <c r="BB477" s="16"/>
      <c r="BC477" s="16"/>
      <c r="BD477" s="16"/>
      <c r="BE477" s="16"/>
      <c r="BF477" s="16"/>
      <c r="BG477" s="16"/>
      <c r="BH477" s="16"/>
      <c r="BI477" s="16"/>
      <c r="BJ477" s="16"/>
      <c r="BK477" s="16"/>
      <c r="BL477" s="16"/>
      <c r="BM477" s="16"/>
      <c r="BN477" s="16"/>
      <c r="BO477" s="16"/>
      <c r="BP477" s="16"/>
      <c r="BQ477" s="16"/>
      <c r="BR477" s="16"/>
      <c r="BS477" s="16"/>
      <c r="BT477" s="16"/>
      <c r="BU477" s="16"/>
      <c r="BV477" s="16"/>
      <c r="BW477" s="16"/>
      <c r="BX477" s="16"/>
      <c r="BY477" s="16"/>
      <c r="BZ477" s="16"/>
      <c r="CA477" s="16"/>
      <c r="CB477" s="16"/>
      <c r="CC477" s="16"/>
    </row>
    <row r="478" spans="1:81" ht="13.5" thickBot="1">
      <c r="A478" s="16"/>
      <c r="B478" s="16"/>
      <c r="C478" s="17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  <c r="AU478" s="16"/>
      <c r="AV478" s="16"/>
      <c r="AW478" s="16"/>
      <c r="AX478" s="16"/>
      <c r="AY478" s="16"/>
      <c r="AZ478" s="16"/>
      <c r="BA478" s="16"/>
      <c r="BB478" s="16"/>
      <c r="BC478" s="16"/>
      <c r="BD478" s="16"/>
      <c r="BE478" s="16"/>
      <c r="BF478" s="16"/>
      <c r="BG478" s="16"/>
      <c r="BH478" s="16"/>
      <c r="BI478" s="16"/>
      <c r="BJ478" s="16"/>
      <c r="BK478" s="16"/>
      <c r="BL478" s="16"/>
      <c r="BM478" s="16"/>
      <c r="BN478" s="16"/>
      <c r="BO478" s="16"/>
      <c r="BP478" s="16"/>
      <c r="BQ478" s="16"/>
      <c r="BR478" s="16"/>
      <c r="BS478" s="16"/>
      <c r="BT478" s="16"/>
      <c r="BU478" s="16"/>
      <c r="BV478" s="16"/>
      <c r="BW478" s="16"/>
      <c r="BX478" s="16"/>
      <c r="BY478" s="16"/>
      <c r="BZ478" s="16"/>
      <c r="CA478" s="16"/>
      <c r="CB478" s="16"/>
      <c r="CC478" s="16"/>
    </row>
    <row r="479" spans="1:81" ht="13.5" thickBot="1">
      <c r="A479" s="16"/>
      <c r="B479" s="16"/>
      <c r="C479" s="17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  <c r="AW479" s="16"/>
      <c r="AX479" s="16"/>
      <c r="AY479" s="16"/>
      <c r="AZ479" s="16"/>
      <c r="BA479" s="16"/>
      <c r="BB479" s="16"/>
      <c r="BC479" s="16"/>
      <c r="BD479" s="16"/>
      <c r="BE479" s="16"/>
      <c r="BF479" s="16"/>
      <c r="BG479" s="16"/>
      <c r="BH479" s="16"/>
      <c r="BI479" s="16"/>
      <c r="BJ479" s="16"/>
      <c r="BK479" s="16"/>
      <c r="BL479" s="16"/>
      <c r="BM479" s="16"/>
      <c r="BN479" s="16"/>
      <c r="BO479" s="16"/>
      <c r="BP479" s="16"/>
      <c r="BQ479" s="16"/>
      <c r="BR479" s="16"/>
      <c r="BS479" s="16"/>
      <c r="BT479" s="16"/>
      <c r="BU479" s="16"/>
      <c r="BV479" s="16"/>
      <c r="BW479" s="16"/>
      <c r="BX479" s="16"/>
      <c r="BY479" s="16"/>
      <c r="BZ479" s="16"/>
      <c r="CA479" s="16"/>
      <c r="CB479" s="16"/>
      <c r="CC479" s="16"/>
    </row>
    <row r="480" spans="1:81" ht="13.5" thickBot="1">
      <c r="A480" s="16"/>
      <c r="B480" s="16"/>
      <c r="C480" s="17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  <c r="AU480" s="16"/>
      <c r="AV480" s="16"/>
      <c r="AW480" s="16"/>
      <c r="AX480" s="16"/>
      <c r="AY480" s="16"/>
      <c r="AZ480" s="16"/>
      <c r="BA480" s="16"/>
      <c r="BB480" s="16"/>
      <c r="BC480" s="16"/>
      <c r="BD480" s="16"/>
      <c r="BE480" s="16"/>
      <c r="BF480" s="16"/>
      <c r="BG480" s="16"/>
      <c r="BH480" s="16"/>
      <c r="BI480" s="16"/>
      <c r="BJ480" s="16"/>
      <c r="BK480" s="16"/>
      <c r="BL480" s="16"/>
      <c r="BM480" s="16"/>
      <c r="BN480" s="16"/>
      <c r="BO480" s="16"/>
      <c r="BP480" s="16"/>
      <c r="BQ480" s="16"/>
      <c r="BR480" s="16"/>
      <c r="BS480" s="16"/>
      <c r="BT480" s="16"/>
      <c r="BU480" s="16"/>
      <c r="BV480" s="16"/>
      <c r="BW480" s="16"/>
      <c r="BX480" s="16"/>
      <c r="BY480" s="16"/>
      <c r="BZ480" s="16"/>
      <c r="CA480" s="16"/>
      <c r="CB480" s="16"/>
      <c r="CC480" s="16"/>
    </row>
    <row r="481" spans="1:81" ht="13.5" thickBot="1">
      <c r="A481" s="16"/>
      <c r="B481" s="16"/>
      <c r="C481" s="17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  <c r="AU481" s="16"/>
      <c r="AV481" s="16"/>
      <c r="AW481" s="16"/>
      <c r="AX481" s="16"/>
      <c r="AY481" s="16"/>
      <c r="AZ481" s="16"/>
      <c r="BA481" s="16"/>
      <c r="BB481" s="16"/>
      <c r="BC481" s="16"/>
      <c r="BD481" s="16"/>
      <c r="BE481" s="16"/>
      <c r="BF481" s="16"/>
      <c r="BG481" s="16"/>
      <c r="BH481" s="16"/>
      <c r="BI481" s="16"/>
      <c r="BJ481" s="16"/>
      <c r="BK481" s="16"/>
      <c r="BL481" s="16"/>
      <c r="BM481" s="16"/>
      <c r="BN481" s="16"/>
      <c r="BO481" s="16"/>
      <c r="BP481" s="16"/>
      <c r="BQ481" s="16"/>
      <c r="BR481" s="16"/>
      <c r="BS481" s="16"/>
      <c r="BT481" s="16"/>
      <c r="BU481" s="16"/>
      <c r="BV481" s="16"/>
      <c r="BW481" s="16"/>
      <c r="BX481" s="16"/>
      <c r="BY481" s="16"/>
      <c r="BZ481" s="16"/>
      <c r="CA481" s="16"/>
      <c r="CB481" s="16"/>
      <c r="CC481" s="16"/>
    </row>
    <row r="482" spans="1:81" ht="13.5" thickBot="1">
      <c r="A482" s="16"/>
      <c r="B482" s="16"/>
      <c r="C482" s="17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  <c r="AW482" s="16"/>
      <c r="AX482" s="16"/>
      <c r="AY482" s="16"/>
      <c r="AZ482" s="16"/>
      <c r="BA482" s="16"/>
      <c r="BB482" s="16"/>
      <c r="BC482" s="16"/>
      <c r="BD482" s="16"/>
      <c r="BE482" s="16"/>
      <c r="BF482" s="16"/>
      <c r="BG482" s="16"/>
      <c r="BH482" s="16"/>
      <c r="BI482" s="16"/>
      <c r="BJ482" s="16"/>
      <c r="BK482" s="16"/>
      <c r="BL482" s="16"/>
      <c r="BM482" s="16"/>
      <c r="BN482" s="16"/>
      <c r="BO482" s="16"/>
      <c r="BP482" s="16"/>
      <c r="BQ482" s="16"/>
      <c r="BR482" s="16"/>
      <c r="BS482" s="16"/>
      <c r="BT482" s="16"/>
      <c r="BU482" s="16"/>
      <c r="BV482" s="16"/>
      <c r="BW482" s="16"/>
      <c r="BX482" s="16"/>
      <c r="BY482" s="16"/>
      <c r="BZ482" s="16"/>
      <c r="CA482" s="16"/>
      <c r="CB482" s="16"/>
      <c r="CC482" s="16"/>
    </row>
    <row r="483" spans="1:81" ht="13.5" thickBot="1">
      <c r="A483" s="16"/>
      <c r="B483" s="16"/>
      <c r="C483" s="17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  <c r="AU483" s="16"/>
      <c r="AV483" s="16"/>
      <c r="AW483" s="16"/>
      <c r="AX483" s="16"/>
      <c r="AY483" s="16"/>
      <c r="AZ483" s="16"/>
      <c r="BA483" s="16"/>
      <c r="BB483" s="16"/>
      <c r="BC483" s="16"/>
      <c r="BD483" s="16"/>
      <c r="BE483" s="16"/>
      <c r="BF483" s="16"/>
      <c r="BG483" s="16"/>
      <c r="BH483" s="16"/>
      <c r="BI483" s="16"/>
      <c r="BJ483" s="16"/>
      <c r="BK483" s="16"/>
      <c r="BL483" s="16"/>
      <c r="BM483" s="16"/>
      <c r="BN483" s="16"/>
      <c r="BO483" s="16"/>
      <c r="BP483" s="16"/>
      <c r="BQ483" s="16"/>
      <c r="BR483" s="16"/>
      <c r="BS483" s="16"/>
      <c r="BT483" s="16"/>
      <c r="BU483" s="16"/>
      <c r="BV483" s="16"/>
      <c r="BW483" s="16"/>
      <c r="BX483" s="16"/>
      <c r="BY483" s="16"/>
      <c r="BZ483" s="16"/>
      <c r="CA483" s="16"/>
      <c r="CB483" s="16"/>
      <c r="CC483" s="16"/>
    </row>
    <row r="484" spans="1:81" ht="13.5" thickBot="1">
      <c r="A484" s="16"/>
      <c r="B484" s="16"/>
      <c r="C484" s="17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  <c r="AU484" s="16"/>
      <c r="AV484" s="16"/>
      <c r="AW484" s="16"/>
      <c r="AX484" s="16"/>
      <c r="AY484" s="16"/>
      <c r="AZ484" s="16"/>
      <c r="BA484" s="16"/>
      <c r="BB484" s="16"/>
      <c r="BC484" s="16"/>
      <c r="BD484" s="16"/>
      <c r="BE484" s="16"/>
      <c r="BF484" s="16"/>
      <c r="BG484" s="16"/>
      <c r="BH484" s="16"/>
      <c r="BI484" s="16"/>
      <c r="BJ484" s="16"/>
      <c r="BK484" s="16"/>
      <c r="BL484" s="16"/>
      <c r="BM484" s="16"/>
      <c r="BN484" s="16"/>
      <c r="BO484" s="16"/>
      <c r="BP484" s="16"/>
      <c r="BQ484" s="16"/>
      <c r="BR484" s="16"/>
      <c r="BS484" s="16"/>
      <c r="BT484" s="16"/>
      <c r="BU484" s="16"/>
      <c r="BV484" s="16"/>
      <c r="BW484" s="16"/>
      <c r="BX484" s="16"/>
      <c r="BY484" s="16"/>
      <c r="BZ484" s="16"/>
      <c r="CA484" s="16"/>
      <c r="CB484" s="16"/>
      <c r="CC484" s="16"/>
    </row>
    <row r="485" spans="1:81" ht="13.5" thickBot="1">
      <c r="A485" s="16"/>
      <c r="B485" s="16"/>
      <c r="C485" s="17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  <c r="AW485" s="16"/>
      <c r="AX485" s="16"/>
      <c r="AY485" s="16"/>
      <c r="AZ485" s="16"/>
      <c r="BA485" s="16"/>
      <c r="BB485" s="16"/>
      <c r="BC485" s="16"/>
      <c r="BD485" s="16"/>
      <c r="BE485" s="16"/>
      <c r="BF485" s="16"/>
      <c r="BG485" s="16"/>
      <c r="BH485" s="16"/>
      <c r="BI485" s="16"/>
      <c r="BJ485" s="16"/>
      <c r="BK485" s="16"/>
      <c r="BL485" s="16"/>
      <c r="BM485" s="16"/>
      <c r="BN485" s="16"/>
      <c r="BO485" s="16"/>
      <c r="BP485" s="16"/>
      <c r="BQ485" s="16"/>
      <c r="BR485" s="16"/>
      <c r="BS485" s="16"/>
      <c r="BT485" s="16"/>
      <c r="BU485" s="16"/>
      <c r="BV485" s="16"/>
      <c r="BW485" s="16"/>
      <c r="BX485" s="16"/>
      <c r="BY485" s="16"/>
      <c r="BZ485" s="16"/>
      <c r="CA485" s="16"/>
      <c r="CB485" s="16"/>
      <c r="CC485" s="16"/>
    </row>
    <row r="486" spans="1:81" ht="13.5" thickBot="1">
      <c r="A486" s="16"/>
      <c r="B486" s="16"/>
      <c r="C486" s="17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  <c r="AU486" s="16"/>
      <c r="AV486" s="16"/>
      <c r="AW486" s="16"/>
      <c r="AX486" s="16"/>
      <c r="AY486" s="16"/>
      <c r="AZ486" s="16"/>
      <c r="BA486" s="16"/>
      <c r="BB486" s="16"/>
      <c r="BC486" s="16"/>
      <c r="BD486" s="16"/>
      <c r="BE486" s="16"/>
      <c r="BF486" s="16"/>
      <c r="BG486" s="16"/>
      <c r="BH486" s="16"/>
      <c r="BI486" s="16"/>
      <c r="BJ486" s="16"/>
      <c r="BK486" s="16"/>
      <c r="BL486" s="16"/>
      <c r="BM486" s="16"/>
      <c r="BN486" s="16"/>
      <c r="BO486" s="16"/>
      <c r="BP486" s="16"/>
      <c r="BQ486" s="16"/>
      <c r="BR486" s="16"/>
      <c r="BS486" s="16"/>
      <c r="BT486" s="16"/>
      <c r="BU486" s="16"/>
      <c r="BV486" s="16"/>
      <c r="BW486" s="16"/>
      <c r="BX486" s="16"/>
      <c r="BY486" s="16"/>
      <c r="BZ486" s="16"/>
      <c r="CA486" s="16"/>
      <c r="CB486" s="16"/>
      <c r="CC486" s="16"/>
    </row>
    <row r="487" spans="1:81" ht="13.5" thickBot="1">
      <c r="A487" s="16"/>
      <c r="B487" s="16"/>
      <c r="C487" s="17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  <c r="AW487" s="16"/>
      <c r="AX487" s="16"/>
      <c r="AY487" s="16"/>
      <c r="AZ487" s="16"/>
      <c r="BA487" s="16"/>
      <c r="BB487" s="16"/>
      <c r="BC487" s="16"/>
      <c r="BD487" s="16"/>
      <c r="BE487" s="16"/>
      <c r="BF487" s="16"/>
      <c r="BG487" s="16"/>
      <c r="BH487" s="16"/>
      <c r="BI487" s="16"/>
      <c r="BJ487" s="16"/>
      <c r="BK487" s="16"/>
      <c r="BL487" s="16"/>
      <c r="BM487" s="16"/>
      <c r="BN487" s="16"/>
      <c r="BO487" s="16"/>
      <c r="BP487" s="16"/>
      <c r="BQ487" s="16"/>
      <c r="BR487" s="16"/>
      <c r="BS487" s="16"/>
      <c r="BT487" s="16"/>
      <c r="BU487" s="16"/>
      <c r="BV487" s="16"/>
      <c r="BW487" s="16"/>
      <c r="BX487" s="16"/>
      <c r="BY487" s="16"/>
      <c r="BZ487" s="16"/>
      <c r="CA487" s="16"/>
      <c r="CB487" s="16"/>
      <c r="CC487" s="16"/>
    </row>
    <row r="488" spans="1:81" ht="13.5" thickBot="1">
      <c r="A488" s="16"/>
      <c r="B488" s="16"/>
      <c r="C488" s="17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  <c r="AU488" s="16"/>
      <c r="AV488" s="16"/>
      <c r="AW488" s="16"/>
      <c r="AX488" s="16"/>
      <c r="AY488" s="16"/>
      <c r="AZ488" s="16"/>
      <c r="BA488" s="16"/>
      <c r="BB488" s="16"/>
      <c r="BC488" s="16"/>
      <c r="BD488" s="16"/>
      <c r="BE488" s="16"/>
      <c r="BF488" s="16"/>
      <c r="BG488" s="16"/>
      <c r="BH488" s="16"/>
      <c r="BI488" s="16"/>
      <c r="BJ488" s="16"/>
      <c r="BK488" s="16"/>
      <c r="BL488" s="16"/>
      <c r="BM488" s="16"/>
      <c r="BN488" s="16"/>
      <c r="BO488" s="16"/>
      <c r="BP488" s="16"/>
      <c r="BQ488" s="16"/>
      <c r="BR488" s="16"/>
      <c r="BS488" s="16"/>
      <c r="BT488" s="16"/>
      <c r="BU488" s="16"/>
      <c r="BV488" s="16"/>
      <c r="BW488" s="16"/>
      <c r="BX488" s="16"/>
      <c r="BY488" s="16"/>
      <c r="BZ488" s="16"/>
      <c r="CA488" s="16"/>
      <c r="CB488" s="16"/>
      <c r="CC488" s="16"/>
    </row>
    <row r="489" spans="1:81" ht="13.5" thickBot="1">
      <c r="A489" s="16"/>
      <c r="B489" s="16"/>
      <c r="C489" s="17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  <c r="AU489" s="16"/>
      <c r="AV489" s="16"/>
      <c r="AW489" s="16"/>
      <c r="AX489" s="16"/>
      <c r="AY489" s="16"/>
      <c r="AZ489" s="16"/>
      <c r="BA489" s="16"/>
      <c r="BB489" s="16"/>
      <c r="BC489" s="16"/>
      <c r="BD489" s="16"/>
      <c r="BE489" s="16"/>
      <c r="BF489" s="16"/>
      <c r="BG489" s="16"/>
      <c r="BH489" s="16"/>
      <c r="BI489" s="16"/>
      <c r="BJ489" s="16"/>
      <c r="BK489" s="16"/>
      <c r="BL489" s="16"/>
      <c r="BM489" s="16"/>
      <c r="BN489" s="16"/>
      <c r="BO489" s="16"/>
      <c r="BP489" s="16"/>
      <c r="BQ489" s="16"/>
      <c r="BR489" s="16"/>
      <c r="BS489" s="16"/>
      <c r="BT489" s="16"/>
      <c r="BU489" s="16"/>
      <c r="BV489" s="16"/>
      <c r="BW489" s="16"/>
      <c r="BX489" s="16"/>
      <c r="BY489" s="16"/>
      <c r="BZ489" s="16"/>
      <c r="CA489" s="16"/>
      <c r="CB489" s="16"/>
      <c r="CC489" s="16"/>
    </row>
    <row r="490" spans="1:81" ht="13.5" thickBot="1">
      <c r="A490" s="16"/>
      <c r="B490" s="16"/>
      <c r="C490" s="17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  <c r="AW490" s="16"/>
      <c r="AX490" s="16"/>
      <c r="AY490" s="16"/>
      <c r="AZ490" s="16"/>
      <c r="BA490" s="16"/>
      <c r="BB490" s="16"/>
      <c r="BC490" s="16"/>
      <c r="BD490" s="16"/>
      <c r="BE490" s="16"/>
      <c r="BF490" s="16"/>
      <c r="BG490" s="16"/>
      <c r="BH490" s="16"/>
      <c r="BI490" s="16"/>
      <c r="BJ490" s="16"/>
      <c r="BK490" s="16"/>
      <c r="BL490" s="16"/>
      <c r="BM490" s="16"/>
      <c r="BN490" s="16"/>
      <c r="BO490" s="16"/>
      <c r="BP490" s="16"/>
      <c r="BQ490" s="16"/>
      <c r="BR490" s="16"/>
      <c r="BS490" s="16"/>
      <c r="BT490" s="16"/>
      <c r="BU490" s="16"/>
      <c r="BV490" s="16"/>
      <c r="BW490" s="16"/>
      <c r="BX490" s="16"/>
      <c r="BY490" s="16"/>
      <c r="BZ490" s="16"/>
      <c r="CA490" s="16"/>
      <c r="CB490" s="16"/>
      <c r="CC490" s="16"/>
    </row>
    <row r="491" spans="1:81" ht="13.5" thickBot="1">
      <c r="A491" s="16"/>
      <c r="B491" s="16"/>
      <c r="C491" s="17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  <c r="AU491" s="16"/>
      <c r="AV491" s="16"/>
      <c r="AW491" s="16"/>
      <c r="AX491" s="16"/>
      <c r="AY491" s="16"/>
      <c r="AZ491" s="16"/>
      <c r="BA491" s="16"/>
      <c r="BB491" s="16"/>
      <c r="BC491" s="16"/>
      <c r="BD491" s="16"/>
      <c r="BE491" s="16"/>
      <c r="BF491" s="16"/>
      <c r="BG491" s="16"/>
      <c r="BH491" s="16"/>
      <c r="BI491" s="16"/>
      <c r="BJ491" s="16"/>
      <c r="BK491" s="16"/>
      <c r="BL491" s="16"/>
      <c r="BM491" s="16"/>
      <c r="BN491" s="16"/>
      <c r="BO491" s="16"/>
      <c r="BP491" s="16"/>
      <c r="BQ491" s="16"/>
      <c r="BR491" s="16"/>
      <c r="BS491" s="16"/>
      <c r="BT491" s="16"/>
      <c r="BU491" s="16"/>
      <c r="BV491" s="16"/>
      <c r="BW491" s="16"/>
      <c r="BX491" s="16"/>
      <c r="BY491" s="16"/>
      <c r="BZ491" s="16"/>
      <c r="CA491" s="16"/>
      <c r="CB491" s="16"/>
      <c r="CC491" s="16"/>
    </row>
    <row r="492" spans="1:81" ht="13.5" thickBot="1">
      <c r="A492" s="16"/>
      <c r="B492" s="16"/>
      <c r="C492" s="17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  <c r="AW492" s="16"/>
      <c r="AX492" s="16"/>
      <c r="AY492" s="16"/>
      <c r="AZ492" s="16"/>
      <c r="BA492" s="16"/>
      <c r="BB492" s="16"/>
      <c r="BC492" s="16"/>
      <c r="BD492" s="16"/>
      <c r="BE492" s="16"/>
      <c r="BF492" s="16"/>
      <c r="BG492" s="16"/>
      <c r="BH492" s="16"/>
      <c r="BI492" s="16"/>
      <c r="BJ492" s="16"/>
      <c r="BK492" s="16"/>
      <c r="BL492" s="16"/>
      <c r="BM492" s="16"/>
      <c r="BN492" s="16"/>
      <c r="BO492" s="16"/>
      <c r="BP492" s="16"/>
      <c r="BQ492" s="16"/>
      <c r="BR492" s="16"/>
      <c r="BS492" s="16"/>
      <c r="BT492" s="16"/>
      <c r="BU492" s="16"/>
      <c r="BV492" s="16"/>
      <c r="BW492" s="16"/>
      <c r="BX492" s="16"/>
      <c r="BY492" s="16"/>
      <c r="BZ492" s="16"/>
      <c r="CA492" s="16"/>
      <c r="CB492" s="16"/>
      <c r="CC492" s="16"/>
    </row>
    <row r="493" spans="1:81" ht="13.5" thickBot="1">
      <c r="A493" s="16"/>
      <c r="B493" s="16"/>
      <c r="C493" s="17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  <c r="AU493" s="16"/>
      <c r="AV493" s="16"/>
      <c r="AW493" s="16"/>
      <c r="AX493" s="16"/>
      <c r="AY493" s="16"/>
      <c r="AZ493" s="16"/>
      <c r="BA493" s="16"/>
      <c r="BB493" s="16"/>
      <c r="BC493" s="16"/>
      <c r="BD493" s="16"/>
      <c r="BE493" s="16"/>
      <c r="BF493" s="16"/>
      <c r="BG493" s="16"/>
      <c r="BH493" s="16"/>
      <c r="BI493" s="16"/>
      <c r="BJ493" s="16"/>
      <c r="BK493" s="16"/>
      <c r="BL493" s="16"/>
      <c r="BM493" s="16"/>
      <c r="BN493" s="16"/>
      <c r="BO493" s="16"/>
      <c r="BP493" s="16"/>
      <c r="BQ493" s="16"/>
      <c r="BR493" s="16"/>
      <c r="BS493" s="16"/>
      <c r="BT493" s="16"/>
      <c r="BU493" s="16"/>
      <c r="BV493" s="16"/>
      <c r="BW493" s="16"/>
      <c r="BX493" s="16"/>
      <c r="BY493" s="16"/>
      <c r="BZ493" s="16"/>
      <c r="CA493" s="16"/>
      <c r="CB493" s="16"/>
      <c r="CC493" s="16"/>
    </row>
    <row r="494" spans="1:81" ht="13.5" thickBot="1">
      <c r="A494" s="16"/>
      <c r="B494" s="16"/>
      <c r="C494" s="17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  <c r="AU494" s="16"/>
      <c r="AV494" s="16"/>
      <c r="AW494" s="16"/>
      <c r="AX494" s="16"/>
      <c r="AY494" s="16"/>
      <c r="AZ494" s="16"/>
      <c r="BA494" s="16"/>
      <c r="BB494" s="16"/>
      <c r="BC494" s="16"/>
      <c r="BD494" s="16"/>
      <c r="BE494" s="16"/>
      <c r="BF494" s="16"/>
      <c r="BG494" s="16"/>
      <c r="BH494" s="16"/>
      <c r="BI494" s="16"/>
      <c r="BJ494" s="16"/>
      <c r="BK494" s="16"/>
      <c r="BL494" s="16"/>
      <c r="BM494" s="16"/>
      <c r="BN494" s="16"/>
      <c r="BO494" s="16"/>
      <c r="BP494" s="16"/>
      <c r="BQ494" s="16"/>
      <c r="BR494" s="16"/>
      <c r="BS494" s="16"/>
      <c r="BT494" s="16"/>
      <c r="BU494" s="16"/>
      <c r="BV494" s="16"/>
      <c r="BW494" s="16"/>
      <c r="BX494" s="16"/>
      <c r="BY494" s="16"/>
      <c r="BZ494" s="16"/>
      <c r="CA494" s="16"/>
      <c r="CB494" s="16"/>
      <c r="CC494" s="16"/>
    </row>
    <row r="495" spans="1:81" ht="13.5" thickBot="1">
      <c r="A495" s="16"/>
      <c r="B495" s="16"/>
      <c r="C495" s="17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  <c r="AU495" s="16"/>
      <c r="AV495" s="16"/>
      <c r="AW495" s="16"/>
      <c r="AX495" s="16"/>
      <c r="AY495" s="16"/>
      <c r="AZ495" s="16"/>
      <c r="BA495" s="16"/>
      <c r="BB495" s="16"/>
      <c r="BC495" s="16"/>
      <c r="BD495" s="16"/>
      <c r="BE495" s="16"/>
      <c r="BF495" s="16"/>
      <c r="BG495" s="16"/>
      <c r="BH495" s="16"/>
      <c r="BI495" s="16"/>
      <c r="BJ495" s="16"/>
      <c r="BK495" s="16"/>
      <c r="BL495" s="16"/>
      <c r="BM495" s="16"/>
      <c r="BN495" s="16"/>
      <c r="BO495" s="16"/>
      <c r="BP495" s="16"/>
      <c r="BQ495" s="16"/>
      <c r="BR495" s="16"/>
      <c r="BS495" s="16"/>
      <c r="BT495" s="16"/>
      <c r="BU495" s="16"/>
      <c r="BV495" s="16"/>
      <c r="BW495" s="16"/>
      <c r="BX495" s="16"/>
      <c r="BY495" s="16"/>
      <c r="BZ495" s="16"/>
      <c r="CA495" s="16"/>
      <c r="CB495" s="16"/>
      <c r="CC495" s="16"/>
    </row>
    <row r="496" spans="1:81" ht="13.5" thickBot="1">
      <c r="A496" s="16"/>
      <c r="B496" s="16"/>
      <c r="C496" s="17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  <c r="AW496" s="16"/>
      <c r="AX496" s="16"/>
      <c r="AY496" s="16"/>
      <c r="AZ496" s="16"/>
      <c r="BA496" s="16"/>
      <c r="BB496" s="16"/>
      <c r="BC496" s="16"/>
      <c r="BD496" s="16"/>
      <c r="BE496" s="16"/>
      <c r="BF496" s="16"/>
      <c r="BG496" s="16"/>
      <c r="BH496" s="16"/>
      <c r="BI496" s="16"/>
      <c r="BJ496" s="16"/>
      <c r="BK496" s="16"/>
      <c r="BL496" s="16"/>
      <c r="BM496" s="16"/>
      <c r="BN496" s="16"/>
      <c r="BO496" s="16"/>
      <c r="BP496" s="16"/>
      <c r="BQ496" s="16"/>
      <c r="BR496" s="16"/>
      <c r="BS496" s="16"/>
      <c r="BT496" s="16"/>
      <c r="BU496" s="16"/>
      <c r="BV496" s="16"/>
      <c r="BW496" s="16"/>
      <c r="BX496" s="16"/>
      <c r="BY496" s="16"/>
      <c r="BZ496" s="16"/>
      <c r="CA496" s="16"/>
      <c r="CB496" s="16"/>
      <c r="CC496" s="16"/>
    </row>
    <row r="497" spans="1:81" ht="13.5" thickBot="1">
      <c r="A497" s="16"/>
      <c r="B497" s="16"/>
      <c r="C497" s="17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  <c r="AU497" s="16"/>
      <c r="AV497" s="16"/>
      <c r="AW497" s="16"/>
      <c r="AX497" s="16"/>
      <c r="AY497" s="16"/>
      <c r="AZ497" s="16"/>
      <c r="BA497" s="16"/>
      <c r="BB497" s="16"/>
      <c r="BC497" s="16"/>
      <c r="BD497" s="16"/>
      <c r="BE497" s="16"/>
      <c r="BF497" s="16"/>
      <c r="BG497" s="16"/>
      <c r="BH497" s="16"/>
      <c r="BI497" s="16"/>
      <c r="BJ497" s="16"/>
      <c r="BK497" s="16"/>
      <c r="BL497" s="16"/>
      <c r="BM497" s="16"/>
      <c r="BN497" s="16"/>
      <c r="BO497" s="16"/>
      <c r="BP497" s="16"/>
      <c r="BQ497" s="16"/>
      <c r="BR497" s="16"/>
      <c r="BS497" s="16"/>
      <c r="BT497" s="16"/>
      <c r="BU497" s="16"/>
      <c r="BV497" s="16"/>
      <c r="BW497" s="16"/>
      <c r="BX497" s="16"/>
      <c r="BY497" s="16"/>
      <c r="BZ497" s="16"/>
      <c r="CA497" s="16"/>
      <c r="CB497" s="16"/>
      <c r="CC497" s="16"/>
    </row>
    <row r="498" spans="1:81" ht="13.5" thickBot="1">
      <c r="A498" s="16"/>
      <c r="B498" s="16"/>
      <c r="C498" s="17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  <c r="AW498" s="16"/>
      <c r="AX498" s="16"/>
      <c r="AY498" s="16"/>
      <c r="AZ498" s="16"/>
      <c r="BA498" s="16"/>
      <c r="BB498" s="16"/>
      <c r="BC498" s="16"/>
      <c r="BD498" s="16"/>
      <c r="BE498" s="16"/>
      <c r="BF498" s="16"/>
      <c r="BG498" s="16"/>
      <c r="BH498" s="16"/>
      <c r="BI498" s="16"/>
      <c r="BJ498" s="16"/>
      <c r="BK498" s="16"/>
      <c r="BL498" s="16"/>
      <c r="BM498" s="16"/>
      <c r="BN498" s="16"/>
      <c r="BO498" s="16"/>
      <c r="BP498" s="16"/>
      <c r="BQ498" s="16"/>
      <c r="BR498" s="16"/>
      <c r="BS498" s="16"/>
      <c r="BT498" s="16"/>
      <c r="BU498" s="16"/>
      <c r="BV498" s="16"/>
      <c r="BW498" s="16"/>
      <c r="BX498" s="16"/>
      <c r="BY498" s="16"/>
      <c r="BZ498" s="16"/>
      <c r="CA498" s="16"/>
      <c r="CB498" s="16"/>
      <c r="CC498" s="16"/>
    </row>
    <row r="499" spans="1:81" ht="13.5" thickBot="1">
      <c r="A499" s="16"/>
      <c r="B499" s="16"/>
      <c r="C499" s="17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16"/>
      <c r="AU499" s="16"/>
      <c r="AV499" s="16"/>
      <c r="AW499" s="16"/>
      <c r="AX499" s="16"/>
      <c r="AY499" s="16"/>
      <c r="AZ499" s="16"/>
      <c r="BA499" s="16"/>
      <c r="BB499" s="16"/>
      <c r="BC499" s="16"/>
      <c r="BD499" s="16"/>
      <c r="BE499" s="16"/>
      <c r="BF499" s="16"/>
      <c r="BG499" s="16"/>
      <c r="BH499" s="16"/>
      <c r="BI499" s="16"/>
      <c r="BJ499" s="16"/>
      <c r="BK499" s="16"/>
      <c r="BL499" s="16"/>
      <c r="BM499" s="16"/>
      <c r="BN499" s="16"/>
      <c r="BO499" s="16"/>
      <c r="BP499" s="16"/>
      <c r="BQ499" s="16"/>
      <c r="BR499" s="16"/>
      <c r="BS499" s="16"/>
      <c r="BT499" s="16"/>
      <c r="BU499" s="16"/>
      <c r="BV499" s="16"/>
      <c r="BW499" s="16"/>
      <c r="BX499" s="16"/>
      <c r="BY499" s="16"/>
      <c r="BZ499" s="16"/>
      <c r="CA499" s="16"/>
      <c r="CB499" s="16"/>
      <c r="CC499" s="16"/>
    </row>
    <row r="500" spans="1:81" ht="13.5" thickBot="1">
      <c r="A500" s="16"/>
      <c r="B500" s="16"/>
      <c r="C500" s="17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  <c r="AU500" s="16"/>
      <c r="AV500" s="16"/>
      <c r="AW500" s="16"/>
      <c r="AX500" s="16"/>
      <c r="AY500" s="16"/>
      <c r="AZ500" s="16"/>
      <c r="BA500" s="16"/>
      <c r="BB500" s="16"/>
      <c r="BC500" s="16"/>
      <c r="BD500" s="16"/>
      <c r="BE500" s="16"/>
      <c r="BF500" s="16"/>
      <c r="BG500" s="16"/>
      <c r="BH500" s="16"/>
      <c r="BI500" s="16"/>
      <c r="BJ500" s="16"/>
      <c r="BK500" s="16"/>
      <c r="BL500" s="16"/>
      <c r="BM500" s="16"/>
      <c r="BN500" s="16"/>
      <c r="BO500" s="16"/>
      <c r="BP500" s="16"/>
      <c r="BQ500" s="16"/>
      <c r="BR500" s="16"/>
      <c r="BS500" s="16"/>
      <c r="BT500" s="16"/>
      <c r="BU500" s="16"/>
      <c r="BV500" s="16"/>
      <c r="BW500" s="16"/>
      <c r="BX500" s="16"/>
      <c r="BY500" s="16"/>
      <c r="BZ500" s="16"/>
      <c r="CA500" s="16"/>
      <c r="CB500" s="16"/>
      <c r="CC500" s="16"/>
    </row>
    <row r="501" spans="1:81" ht="13.5" thickBot="1">
      <c r="A501" s="16"/>
      <c r="B501" s="16"/>
      <c r="C501" s="17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16"/>
      <c r="AU501" s="16"/>
      <c r="AV501" s="16"/>
      <c r="AW501" s="16"/>
      <c r="AX501" s="16"/>
      <c r="AY501" s="16"/>
      <c r="AZ501" s="16"/>
      <c r="BA501" s="16"/>
      <c r="BB501" s="16"/>
      <c r="BC501" s="16"/>
      <c r="BD501" s="16"/>
      <c r="BE501" s="16"/>
      <c r="BF501" s="16"/>
      <c r="BG501" s="16"/>
      <c r="BH501" s="16"/>
      <c r="BI501" s="16"/>
      <c r="BJ501" s="16"/>
      <c r="BK501" s="16"/>
      <c r="BL501" s="16"/>
      <c r="BM501" s="16"/>
      <c r="BN501" s="16"/>
      <c r="BO501" s="16"/>
      <c r="BP501" s="16"/>
      <c r="BQ501" s="16"/>
      <c r="BR501" s="16"/>
      <c r="BS501" s="16"/>
      <c r="BT501" s="16"/>
      <c r="BU501" s="16"/>
      <c r="BV501" s="16"/>
      <c r="BW501" s="16"/>
      <c r="BX501" s="16"/>
      <c r="BY501" s="16"/>
      <c r="BZ501" s="16"/>
      <c r="CA501" s="16"/>
      <c r="CB501" s="16"/>
      <c r="CC501" s="16"/>
    </row>
    <row r="502" spans="1:81" ht="13.5" thickBot="1">
      <c r="A502" s="16"/>
      <c r="B502" s="16"/>
      <c r="C502" s="17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16"/>
      <c r="AU502" s="16"/>
      <c r="AV502" s="16"/>
      <c r="AW502" s="16"/>
      <c r="AX502" s="16"/>
      <c r="AY502" s="16"/>
      <c r="AZ502" s="16"/>
      <c r="BA502" s="16"/>
      <c r="BB502" s="16"/>
      <c r="BC502" s="16"/>
      <c r="BD502" s="16"/>
      <c r="BE502" s="16"/>
      <c r="BF502" s="16"/>
      <c r="BG502" s="16"/>
      <c r="BH502" s="16"/>
      <c r="BI502" s="16"/>
      <c r="BJ502" s="16"/>
      <c r="BK502" s="16"/>
      <c r="BL502" s="16"/>
      <c r="BM502" s="16"/>
      <c r="BN502" s="16"/>
      <c r="BO502" s="16"/>
      <c r="BP502" s="16"/>
      <c r="BQ502" s="16"/>
      <c r="BR502" s="16"/>
      <c r="BS502" s="16"/>
      <c r="BT502" s="16"/>
      <c r="BU502" s="16"/>
      <c r="BV502" s="16"/>
      <c r="BW502" s="16"/>
      <c r="BX502" s="16"/>
      <c r="BY502" s="16"/>
      <c r="BZ502" s="16"/>
      <c r="CA502" s="16"/>
      <c r="CB502" s="16"/>
      <c r="CC502" s="16"/>
    </row>
    <row r="503" spans="1:81" ht="13.5" thickBot="1">
      <c r="A503" s="16"/>
      <c r="B503" s="16"/>
      <c r="C503" s="17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16"/>
      <c r="AU503" s="16"/>
      <c r="AV503" s="16"/>
      <c r="AW503" s="16"/>
      <c r="AX503" s="16"/>
      <c r="AY503" s="16"/>
      <c r="AZ503" s="16"/>
      <c r="BA503" s="16"/>
      <c r="BB503" s="16"/>
      <c r="BC503" s="16"/>
      <c r="BD503" s="16"/>
      <c r="BE503" s="16"/>
      <c r="BF503" s="16"/>
      <c r="BG503" s="16"/>
      <c r="BH503" s="16"/>
      <c r="BI503" s="16"/>
      <c r="BJ503" s="16"/>
      <c r="BK503" s="16"/>
      <c r="BL503" s="16"/>
      <c r="BM503" s="16"/>
      <c r="BN503" s="16"/>
      <c r="BO503" s="16"/>
      <c r="BP503" s="16"/>
      <c r="BQ503" s="16"/>
      <c r="BR503" s="16"/>
      <c r="BS503" s="16"/>
      <c r="BT503" s="16"/>
      <c r="BU503" s="16"/>
      <c r="BV503" s="16"/>
      <c r="BW503" s="16"/>
      <c r="BX503" s="16"/>
      <c r="BY503" s="16"/>
      <c r="BZ503" s="16"/>
      <c r="CA503" s="16"/>
      <c r="CB503" s="16"/>
      <c r="CC503" s="16"/>
    </row>
    <row r="504" spans="1:81" ht="13.5" thickBot="1">
      <c r="A504" s="16"/>
      <c r="B504" s="16"/>
      <c r="C504" s="17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16"/>
      <c r="AU504" s="16"/>
      <c r="AV504" s="16"/>
      <c r="AW504" s="16"/>
      <c r="AX504" s="16"/>
      <c r="AY504" s="16"/>
      <c r="AZ504" s="16"/>
      <c r="BA504" s="16"/>
      <c r="BB504" s="16"/>
      <c r="BC504" s="16"/>
      <c r="BD504" s="16"/>
      <c r="BE504" s="16"/>
      <c r="BF504" s="16"/>
      <c r="BG504" s="16"/>
      <c r="BH504" s="16"/>
      <c r="BI504" s="16"/>
      <c r="BJ504" s="16"/>
      <c r="BK504" s="16"/>
      <c r="BL504" s="16"/>
      <c r="BM504" s="16"/>
      <c r="BN504" s="16"/>
      <c r="BO504" s="16"/>
      <c r="BP504" s="16"/>
      <c r="BQ504" s="16"/>
      <c r="BR504" s="16"/>
      <c r="BS504" s="16"/>
      <c r="BT504" s="16"/>
      <c r="BU504" s="16"/>
      <c r="BV504" s="16"/>
      <c r="BW504" s="16"/>
      <c r="BX504" s="16"/>
      <c r="BY504" s="16"/>
      <c r="BZ504" s="16"/>
      <c r="CA504" s="16"/>
      <c r="CB504" s="16"/>
      <c r="CC504" s="16"/>
    </row>
    <row r="505" spans="1:81" ht="13.5" thickBot="1">
      <c r="A505" s="16"/>
      <c r="B505" s="16"/>
      <c r="C505" s="17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  <c r="AU505" s="16"/>
      <c r="AV505" s="16"/>
      <c r="AW505" s="16"/>
      <c r="AX505" s="16"/>
      <c r="AY505" s="16"/>
      <c r="AZ505" s="16"/>
      <c r="BA505" s="16"/>
      <c r="BB505" s="16"/>
      <c r="BC505" s="16"/>
      <c r="BD505" s="16"/>
      <c r="BE505" s="16"/>
      <c r="BF505" s="16"/>
      <c r="BG505" s="16"/>
      <c r="BH505" s="16"/>
      <c r="BI505" s="16"/>
      <c r="BJ505" s="16"/>
      <c r="BK505" s="16"/>
      <c r="BL505" s="16"/>
      <c r="BM505" s="16"/>
      <c r="BN505" s="16"/>
      <c r="BO505" s="16"/>
      <c r="BP505" s="16"/>
      <c r="BQ505" s="16"/>
      <c r="BR505" s="16"/>
      <c r="BS505" s="16"/>
      <c r="BT505" s="16"/>
      <c r="BU505" s="16"/>
      <c r="BV505" s="16"/>
      <c r="BW505" s="16"/>
      <c r="BX505" s="16"/>
      <c r="BY505" s="16"/>
      <c r="BZ505" s="16"/>
      <c r="CA505" s="16"/>
      <c r="CB505" s="16"/>
      <c r="CC505" s="16"/>
    </row>
    <row r="506" spans="1:81" ht="13.5" thickBot="1">
      <c r="A506" s="16"/>
      <c r="B506" s="16"/>
      <c r="C506" s="17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16"/>
      <c r="AU506" s="16"/>
      <c r="AV506" s="16"/>
      <c r="AW506" s="16"/>
      <c r="AX506" s="16"/>
      <c r="AY506" s="16"/>
      <c r="AZ506" s="16"/>
      <c r="BA506" s="16"/>
      <c r="BB506" s="16"/>
      <c r="BC506" s="16"/>
      <c r="BD506" s="16"/>
      <c r="BE506" s="16"/>
      <c r="BF506" s="16"/>
      <c r="BG506" s="16"/>
      <c r="BH506" s="16"/>
      <c r="BI506" s="16"/>
      <c r="BJ506" s="16"/>
      <c r="BK506" s="16"/>
      <c r="BL506" s="16"/>
      <c r="BM506" s="16"/>
      <c r="BN506" s="16"/>
      <c r="BO506" s="16"/>
      <c r="BP506" s="16"/>
      <c r="BQ506" s="16"/>
      <c r="BR506" s="16"/>
      <c r="BS506" s="16"/>
      <c r="BT506" s="16"/>
      <c r="BU506" s="16"/>
      <c r="BV506" s="16"/>
      <c r="BW506" s="16"/>
      <c r="BX506" s="16"/>
      <c r="BY506" s="16"/>
      <c r="BZ506" s="16"/>
      <c r="CA506" s="16"/>
      <c r="CB506" s="16"/>
      <c r="CC506" s="16"/>
    </row>
    <row r="507" spans="1:81" ht="13.5" thickBot="1">
      <c r="A507" s="16"/>
      <c r="B507" s="16"/>
      <c r="C507" s="17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16"/>
      <c r="AU507" s="16"/>
      <c r="AV507" s="16"/>
      <c r="AW507" s="16"/>
      <c r="AX507" s="16"/>
      <c r="AY507" s="16"/>
      <c r="AZ507" s="16"/>
      <c r="BA507" s="16"/>
      <c r="BB507" s="16"/>
      <c r="BC507" s="16"/>
      <c r="BD507" s="16"/>
      <c r="BE507" s="16"/>
      <c r="BF507" s="16"/>
      <c r="BG507" s="16"/>
      <c r="BH507" s="16"/>
      <c r="BI507" s="16"/>
      <c r="BJ507" s="16"/>
      <c r="BK507" s="16"/>
      <c r="BL507" s="16"/>
      <c r="BM507" s="16"/>
      <c r="BN507" s="16"/>
      <c r="BO507" s="16"/>
      <c r="BP507" s="16"/>
      <c r="BQ507" s="16"/>
      <c r="BR507" s="16"/>
      <c r="BS507" s="16"/>
      <c r="BT507" s="16"/>
      <c r="BU507" s="16"/>
      <c r="BV507" s="16"/>
      <c r="BW507" s="16"/>
      <c r="BX507" s="16"/>
      <c r="BY507" s="16"/>
      <c r="BZ507" s="16"/>
      <c r="CA507" s="16"/>
      <c r="CB507" s="16"/>
      <c r="CC507" s="16"/>
    </row>
    <row r="508" spans="1:81" ht="13.5" thickBot="1">
      <c r="A508" s="16"/>
      <c r="B508" s="16"/>
      <c r="C508" s="17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  <c r="AU508" s="16"/>
      <c r="AV508" s="16"/>
      <c r="AW508" s="16"/>
      <c r="AX508" s="16"/>
      <c r="AY508" s="16"/>
      <c r="AZ508" s="16"/>
      <c r="BA508" s="16"/>
      <c r="BB508" s="16"/>
      <c r="BC508" s="16"/>
      <c r="BD508" s="16"/>
      <c r="BE508" s="16"/>
      <c r="BF508" s="16"/>
      <c r="BG508" s="16"/>
      <c r="BH508" s="16"/>
      <c r="BI508" s="16"/>
      <c r="BJ508" s="16"/>
      <c r="BK508" s="16"/>
      <c r="BL508" s="16"/>
      <c r="BM508" s="16"/>
      <c r="BN508" s="16"/>
      <c r="BO508" s="16"/>
      <c r="BP508" s="16"/>
      <c r="BQ508" s="16"/>
      <c r="BR508" s="16"/>
      <c r="BS508" s="16"/>
      <c r="BT508" s="16"/>
      <c r="BU508" s="16"/>
      <c r="BV508" s="16"/>
      <c r="BW508" s="16"/>
      <c r="BX508" s="16"/>
      <c r="BY508" s="16"/>
      <c r="BZ508" s="16"/>
      <c r="CA508" s="16"/>
      <c r="CB508" s="16"/>
      <c r="CC508" s="16"/>
    </row>
    <row r="509" spans="1:81" ht="13.5" thickBot="1">
      <c r="A509" s="16"/>
      <c r="B509" s="16"/>
      <c r="C509" s="17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16"/>
      <c r="AU509" s="16"/>
      <c r="AV509" s="16"/>
      <c r="AW509" s="16"/>
      <c r="AX509" s="16"/>
      <c r="AY509" s="16"/>
      <c r="AZ509" s="16"/>
      <c r="BA509" s="16"/>
      <c r="BB509" s="16"/>
      <c r="BC509" s="16"/>
      <c r="BD509" s="16"/>
      <c r="BE509" s="16"/>
      <c r="BF509" s="16"/>
      <c r="BG509" s="16"/>
      <c r="BH509" s="16"/>
      <c r="BI509" s="16"/>
      <c r="BJ509" s="16"/>
      <c r="BK509" s="16"/>
      <c r="BL509" s="16"/>
      <c r="BM509" s="16"/>
      <c r="BN509" s="16"/>
      <c r="BO509" s="16"/>
      <c r="BP509" s="16"/>
      <c r="BQ509" s="16"/>
      <c r="BR509" s="16"/>
      <c r="BS509" s="16"/>
      <c r="BT509" s="16"/>
      <c r="BU509" s="16"/>
      <c r="BV509" s="16"/>
      <c r="BW509" s="16"/>
      <c r="BX509" s="16"/>
      <c r="BY509" s="16"/>
      <c r="BZ509" s="16"/>
      <c r="CA509" s="16"/>
      <c r="CB509" s="16"/>
      <c r="CC509" s="16"/>
    </row>
    <row r="510" spans="1:81" ht="13.5" thickBot="1">
      <c r="A510" s="16"/>
      <c r="B510" s="16"/>
      <c r="C510" s="17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16"/>
      <c r="AU510" s="16"/>
      <c r="AV510" s="16"/>
      <c r="AW510" s="16"/>
      <c r="AX510" s="16"/>
      <c r="AY510" s="16"/>
      <c r="AZ510" s="16"/>
      <c r="BA510" s="16"/>
      <c r="BB510" s="16"/>
      <c r="BC510" s="16"/>
      <c r="BD510" s="16"/>
      <c r="BE510" s="16"/>
      <c r="BF510" s="16"/>
      <c r="BG510" s="16"/>
      <c r="BH510" s="16"/>
      <c r="BI510" s="16"/>
      <c r="BJ510" s="16"/>
      <c r="BK510" s="16"/>
      <c r="BL510" s="16"/>
      <c r="BM510" s="16"/>
      <c r="BN510" s="16"/>
      <c r="BO510" s="16"/>
      <c r="BP510" s="16"/>
      <c r="BQ510" s="16"/>
      <c r="BR510" s="16"/>
      <c r="BS510" s="16"/>
      <c r="BT510" s="16"/>
      <c r="BU510" s="16"/>
      <c r="BV510" s="16"/>
      <c r="BW510" s="16"/>
      <c r="BX510" s="16"/>
      <c r="BY510" s="16"/>
      <c r="BZ510" s="16"/>
      <c r="CA510" s="16"/>
      <c r="CB510" s="16"/>
      <c r="CC510" s="16"/>
    </row>
    <row r="511" spans="1:81" ht="13.5" thickBot="1">
      <c r="A511" s="16"/>
      <c r="B511" s="16"/>
      <c r="C511" s="17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16"/>
      <c r="AU511" s="16"/>
      <c r="AV511" s="16"/>
      <c r="AW511" s="16"/>
      <c r="AX511" s="16"/>
      <c r="AY511" s="16"/>
      <c r="AZ511" s="16"/>
      <c r="BA511" s="16"/>
      <c r="BB511" s="16"/>
      <c r="BC511" s="16"/>
      <c r="BD511" s="16"/>
      <c r="BE511" s="16"/>
      <c r="BF511" s="16"/>
      <c r="BG511" s="16"/>
      <c r="BH511" s="16"/>
      <c r="BI511" s="16"/>
      <c r="BJ511" s="16"/>
      <c r="BK511" s="16"/>
      <c r="BL511" s="16"/>
      <c r="BM511" s="16"/>
      <c r="BN511" s="16"/>
      <c r="BO511" s="16"/>
      <c r="BP511" s="16"/>
      <c r="BQ511" s="16"/>
      <c r="BR511" s="16"/>
      <c r="BS511" s="16"/>
      <c r="BT511" s="16"/>
      <c r="BU511" s="16"/>
      <c r="BV511" s="16"/>
      <c r="BW511" s="16"/>
      <c r="BX511" s="16"/>
      <c r="BY511" s="16"/>
      <c r="BZ511" s="16"/>
      <c r="CA511" s="16"/>
      <c r="CB511" s="16"/>
      <c r="CC511" s="16"/>
    </row>
    <row r="512" spans="1:81" ht="13.5" thickBot="1">
      <c r="A512" s="16"/>
      <c r="B512" s="16"/>
      <c r="C512" s="17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  <c r="AU512" s="16"/>
      <c r="AV512" s="16"/>
      <c r="AW512" s="16"/>
      <c r="AX512" s="16"/>
      <c r="AY512" s="16"/>
      <c r="AZ512" s="16"/>
      <c r="BA512" s="16"/>
      <c r="BB512" s="16"/>
      <c r="BC512" s="16"/>
      <c r="BD512" s="16"/>
      <c r="BE512" s="16"/>
      <c r="BF512" s="16"/>
      <c r="BG512" s="16"/>
      <c r="BH512" s="16"/>
      <c r="BI512" s="16"/>
      <c r="BJ512" s="16"/>
      <c r="BK512" s="16"/>
      <c r="BL512" s="16"/>
      <c r="BM512" s="16"/>
      <c r="BN512" s="16"/>
      <c r="BO512" s="16"/>
      <c r="BP512" s="16"/>
      <c r="BQ512" s="16"/>
      <c r="BR512" s="16"/>
      <c r="BS512" s="16"/>
      <c r="BT512" s="16"/>
      <c r="BU512" s="16"/>
      <c r="BV512" s="16"/>
      <c r="BW512" s="16"/>
      <c r="BX512" s="16"/>
      <c r="BY512" s="16"/>
      <c r="BZ512" s="16"/>
      <c r="CA512" s="16"/>
      <c r="CB512" s="16"/>
      <c r="CC512" s="16"/>
    </row>
    <row r="513" spans="1:81" ht="13.5" thickBot="1">
      <c r="A513" s="16"/>
      <c r="B513" s="16"/>
      <c r="C513" s="17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16"/>
      <c r="AU513" s="16"/>
      <c r="AV513" s="16"/>
      <c r="AW513" s="16"/>
      <c r="AX513" s="16"/>
      <c r="AY513" s="16"/>
      <c r="AZ513" s="16"/>
      <c r="BA513" s="16"/>
      <c r="BB513" s="16"/>
      <c r="BC513" s="16"/>
      <c r="BD513" s="16"/>
      <c r="BE513" s="16"/>
      <c r="BF513" s="16"/>
      <c r="BG513" s="16"/>
      <c r="BH513" s="16"/>
      <c r="BI513" s="16"/>
      <c r="BJ513" s="16"/>
      <c r="BK513" s="16"/>
      <c r="BL513" s="16"/>
      <c r="BM513" s="16"/>
      <c r="BN513" s="16"/>
      <c r="BO513" s="16"/>
      <c r="BP513" s="16"/>
      <c r="BQ513" s="16"/>
      <c r="BR513" s="16"/>
      <c r="BS513" s="16"/>
      <c r="BT513" s="16"/>
      <c r="BU513" s="16"/>
      <c r="BV513" s="16"/>
      <c r="BW513" s="16"/>
      <c r="BX513" s="16"/>
      <c r="BY513" s="16"/>
      <c r="BZ513" s="16"/>
      <c r="CA513" s="16"/>
      <c r="CB513" s="16"/>
      <c r="CC513" s="16"/>
    </row>
    <row r="514" spans="1:81" ht="13.5" thickBot="1">
      <c r="A514" s="16"/>
      <c r="B514" s="16"/>
      <c r="C514" s="17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16"/>
      <c r="AU514" s="16"/>
      <c r="AV514" s="16"/>
      <c r="AW514" s="16"/>
      <c r="AX514" s="16"/>
      <c r="AY514" s="16"/>
      <c r="AZ514" s="16"/>
      <c r="BA514" s="16"/>
      <c r="BB514" s="16"/>
      <c r="BC514" s="16"/>
      <c r="BD514" s="16"/>
      <c r="BE514" s="16"/>
      <c r="BF514" s="16"/>
      <c r="BG514" s="16"/>
      <c r="BH514" s="16"/>
      <c r="BI514" s="16"/>
      <c r="BJ514" s="16"/>
      <c r="BK514" s="16"/>
      <c r="BL514" s="16"/>
      <c r="BM514" s="16"/>
      <c r="BN514" s="16"/>
      <c r="BO514" s="16"/>
      <c r="BP514" s="16"/>
      <c r="BQ514" s="16"/>
      <c r="BR514" s="16"/>
      <c r="BS514" s="16"/>
      <c r="BT514" s="16"/>
      <c r="BU514" s="16"/>
      <c r="BV514" s="16"/>
      <c r="BW514" s="16"/>
      <c r="BX514" s="16"/>
      <c r="BY514" s="16"/>
      <c r="BZ514" s="16"/>
      <c r="CA514" s="16"/>
      <c r="CB514" s="16"/>
      <c r="CC514" s="16"/>
    </row>
    <row r="515" spans="1:81" ht="13.5" thickBot="1">
      <c r="A515" s="16"/>
      <c r="B515" s="16"/>
      <c r="C515" s="17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16"/>
      <c r="AU515" s="16"/>
      <c r="AV515" s="16"/>
      <c r="AW515" s="16"/>
      <c r="AX515" s="16"/>
      <c r="AY515" s="16"/>
      <c r="AZ515" s="16"/>
      <c r="BA515" s="16"/>
      <c r="BB515" s="16"/>
      <c r="BC515" s="16"/>
      <c r="BD515" s="16"/>
      <c r="BE515" s="16"/>
      <c r="BF515" s="16"/>
      <c r="BG515" s="16"/>
      <c r="BH515" s="16"/>
      <c r="BI515" s="16"/>
      <c r="BJ515" s="16"/>
      <c r="BK515" s="16"/>
      <c r="BL515" s="16"/>
      <c r="BM515" s="16"/>
      <c r="BN515" s="16"/>
      <c r="BO515" s="16"/>
      <c r="BP515" s="16"/>
      <c r="BQ515" s="16"/>
      <c r="BR515" s="16"/>
      <c r="BS515" s="16"/>
      <c r="BT515" s="16"/>
      <c r="BU515" s="16"/>
      <c r="BV515" s="16"/>
      <c r="BW515" s="16"/>
      <c r="BX515" s="16"/>
      <c r="BY515" s="16"/>
      <c r="BZ515" s="16"/>
      <c r="CA515" s="16"/>
      <c r="CB515" s="16"/>
      <c r="CC515" s="16"/>
    </row>
    <row r="516" spans="1:81" ht="13.5" thickBot="1">
      <c r="A516" s="16"/>
      <c r="B516" s="16"/>
      <c r="C516" s="17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  <c r="AU516" s="16"/>
      <c r="AV516" s="16"/>
      <c r="AW516" s="16"/>
      <c r="AX516" s="16"/>
      <c r="AY516" s="16"/>
      <c r="AZ516" s="16"/>
      <c r="BA516" s="16"/>
      <c r="BB516" s="16"/>
      <c r="BC516" s="16"/>
      <c r="BD516" s="16"/>
      <c r="BE516" s="16"/>
      <c r="BF516" s="16"/>
      <c r="BG516" s="16"/>
      <c r="BH516" s="16"/>
      <c r="BI516" s="16"/>
      <c r="BJ516" s="16"/>
      <c r="BK516" s="16"/>
      <c r="BL516" s="16"/>
      <c r="BM516" s="16"/>
      <c r="BN516" s="16"/>
      <c r="BO516" s="16"/>
      <c r="BP516" s="16"/>
      <c r="BQ516" s="16"/>
      <c r="BR516" s="16"/>
      <c r="BS516" s="16"/>
      <c r="BT516" s="16"/>
      <c r="BU516" s="16"/>
      <c r="BV516" s="16"/>
      <c r="BW516" s="16"/>
      <c r="BX516" s="16"/>
      <c r="BY516" s="16"/>
      <c r="BZ516" s="16"/>
      <c r="CA516" s="16"/>
      <c r="CB516" s="16"/>
      <c r="CC516" s="16"/>
    </row>
    <row r="517" spans="1:81" ht="13.5" thickBot="1">
      <c r="A517" s="16"/>
      <c r="B517" s="16"/>
      <c r="C517" s="17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16"/>
      <c r="AU517" s="16"/>
      <c r="AV517" s="16"/>
      <c r="AW517" s="16"/>
      <c r="AX517" s="16"/>
      <c r="AY517" s="16"/>
      <c r="AZ517" s="16"/>
      <c r="BA517" s="16"/>
      <c r="BB517" s="16"/>
      <c r="BC517" s="16"/>
      <c r="BD517" s="16"/>
      <c r="BE517" s="16"/>
      <c r="BF517" s="16"/>
      <c r="BG517" s="16"/>
      <c r="BH517" s="16"/>
      <c r="BI517" s="16"/>
      <c r="BJ517" s="16"/>
      <c r="BK517" s="16"/>
      <c r="BL517" s="16"/>
      <c r="BM517" s="16"/>
      <c r="BN517" s="16"/>
      <c r="BO517" s="16"/>
      <c r="BP517" s="16"/>
      <c r="BQ517" s="16"/>
      <c r="BR517" s="16"/>
      <c r="BS517" s="16"/>
      <c r="BT517" s="16"/>
      <c r="BU517" s="16"/>
      <c r="BV517" s="16"/>
      <c r="BW517" s="16"/>
      <c r="BX517" s="16"/>
      <c r="BY517" s="16"/>
      <c r="BZ517" s="16"/>
      <c r="CA517" s="16"/>
      <c r="CB517" s="16"/>
      <c r="CC517" s="16"/>
    </row>
    <row r="518" spans="1:81" ht="13.5" thickBot="1">
      <c r="A518" s="16"/>
      <c r="B518" s="16"/>
      <c r="C518" s="17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16"/>
      <c r="AU518" s="16"/>
      <c r="AV518" s="16"/>
      <c r="AW518" s="16"/>
      <c r="AX518" s="16"/>
      <c r="AY518" s="16"/>
      <c r="AZ518" s="16"/>
      <c r="BA518" s="16"/>
      <c r="BB518" s="16"/>
      <c r="BC518" s="16"/>
      <c r="BD518" s="16"/>
      <c r="BE518" s="16"/>
      <c r="BF518" s="16"/>
      <c r="BG518" s="16"/>
      <c r="BH518" s="16"/>
      <c r="BI518" s="16"/>
      <c r="BJ518" s="16"/>
      <c r="BK518" s="16"/>
      <c r="BL518" s="16"/>
      <c r="BM518" s="16"/>
      <c r="BN518" s="16"/>
      <c r="BO518" s="16"/>
      <c r="BP518" s="16"/>
      <c r="BQ518" s="16"/>
      <c r="BR518" s="16"/>
      <c r="BS518" s="16"/>
      <c r="BT518" s="16"/>
      <c r="BU518" s="16"/>
      <c r="BV518" s="16"/>
      <c r="BW518" s="16"/>
      <c r="BX518" s="16"/>
      <c r="BY518" s="16"/>
      <c r="BZ518" s="16"/>
      <c r="CA518" s="16"/>
      <c r="CB518" s="16"/>
      <c r="CC518" s="16"/>
    </row>
    <row r="519" spans="1:81" ht="13.5" thickBot="1">
      <c r="A519" s="16"/>
      <c r="B519" s="16"/>
      <c r="C519" s="17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16"/>
      <c r="AU519" s="16"/>
      <c r="AV519" s="16"/>
      <c r="AW519" s="16"/>
      <c r="AX519" s="16"/>
      <c r="AY519" s="16"/>
      <c r="AZ519" s="16"/>
      <c r="BA519" s="16"/>
      <c r="BB519" s="16"/>
      <c r="BC519" s="16"/>
      <c r="BD519" s="16"/>
      <c r="BE519" s="16"/>
      <c r="BF519" s="16"/>
      <c r="BG519" s="16"/>
      <c r="BH519" s="16"/>
      <c r="BI519" s="16"/>
      <c r="BJ519" s="16"/>
      <c r="BK519" s="16"/>
      <c r="BL519" s="16"/>
      <c r="BM519" s="16"/>
      <c r="BN519" s="16"/>
      <c r="BO519" s="16"/>
      <c r="BP519" s="16"/>
      <c r="BQ519" s="16"/>
      <c r="BR519" s="16"/>
      <c r="BS519" s="16"/>
      <c r="BT519" s="16"/>
      <c r="BU519" s="16"/>
      <c r="BV519" s="16"/>
      <c r="BW519" s="16"/>
      <c r="BX519" s="16"/>
      <c r="BY519" s="16"/>
      <c r="BZ519" s="16"/>
      <c r="CA519" s="16"/>
      <c r="CB519" s="16"/>
      <c r="CC519" s="16"/>
    </row>
    <row r="520" spans="1:81" ht="13.5" thickBot="1">
      <c r="A520" s="16"/>
      <c r="B520" s="16"/>
      <c r="C520" s="17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16"/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  <c r="BP520" s="16"/>
      <c r="BQ520" s="16"/>
      <c r="BR520" s="16"/>
      <c r="BS520" s="16"/>
      <c r="BT520" s="16"/>
      <c r="BU520" s="16"/>
      <c r="BV520" s="16"/>
      <c r="BW520" s="16"/>
      <c r="BX520" s="16"/>
      <c r="BY520" s="16"/>
      <c r="BZ520" s="16"/>
      <c r="CA520" s="16"/>
      <c r="CB520" s="16"/>
      <c r="CC520" s="16"/>
    </row>
    <row r="521" spans="1:81" ht="13.5" thickBot="1">
      <c r="A521" s="16"/>
      <c r="B521" s="16"/>
      <c r="C521" s="17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16"/>
      <c r="AU521" s="16"/>
      <c r="AV521" s="16"/>
      <c r="AW521" s="16"/>
      <c r="AX521" s="16"/>
      <c r="AY521" s="16"/>
      <c r="AZ521" s="16"/>
      <c r="BA521" s="16"/>
      <c r="BB521" s="16"/>
      <c r="BC521" s="16"/>
      <c r="BD521" s="16"/>
      <c r="BE521" s="16"/>
      <c r="BF521" s="16"/>
      <c r="BG521" s="16"/>
      <c r="BH521" s="16"/>
      <c r="BI521" s="16"/>
      <c r="BJ521" s="16"/>
      <c r="BK521" s="16"/>
      <c r="BL521" s="16"/>
      <c r="BM521" s="16"/>
      <c r="BN521" s="16"/>
      <c r="BO521" s="16"/>
      <c r="BP521" s="16"/>
      <c r="BQ521" s="16"/>
      <c r="BR521" s="16"/>
      <c r="BS521" s="16"/>
      <c r="BT521" s="16"/>
      <c r="BU521" s="16"/>
      <c r="BV521" s="16"/>
      <c r="BW521" s="16"/>
      <c r="BX521" s="16"/>
      <c r="BY521" s="16"/>
      <c r="BZ521" s="16"/>
      <c r="CA521" s="16"/>
      <c r="CB521" s="16"/>
      <c r="CC521" s="16"/>
    </row>
    <row r="522" spans="1:81" ht="13.5" thickBot="1">
      <c r="A522" s="16"/>
      <c r="B522" s="16"/>
      <c r="C522" s="17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16"/>
      <c r="AU522" s="16"/>
      <c r="AV522" s="16"/>
      <c r="AW522" s="16"/>
      <c r="AX522" s="16"/>
      <c r="AY522" s="16"/>
      <c r="AZ522" s="16"/>
      <c r="BA522" s="16"/>
      <c r="BB522" s="16"/>
      <c r="BC522" s="16"/>
      <c r="BD522" s="16"/>
      <c r="BE522" s="16"/>
      <c r="BF522" s="16"/>
      <c r="BG522" s="16"/>
      <c r="BH522" s="16"/>
      <c r="BI522" s="16"/>
      <c r="BJ522" s="16"/>
      <c r="BK522" s="16"/>
      <c r="BL522" s="16"/>
      <c r="BM522" s="16"/>
      <c r="BN522" s="16"/>
      <c r="BO522" s="16"/>
      <c r="BP522" s="16"/>
      <c r="BQ522" s="16"/>
      <c r="BR522" s="16"/>
      <c r="BS522" s="16"/>
      <c r="BT522" s="16"/>
      <c r="BU522" s="16"/>
      <c r="BV522" s="16"/>
      <c r="BW522" s="16"/>
      <c r="BX522" s="16"/>
      <c r="BY522" s="16"/>
      <c r="BZ522" s="16"/>
      <c r="CA522" s="16"/>
      <c r="CB522" s="16"/>
      <c r="CC522" s="16"/>
    </row>
    <row r="523" spans="1:81" ht="13.5" thickBot="1">
      <c r="A523" s="16"/>
      <c r="B523" s="16"/>
      <c r="C523" s="17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  <c r="AU523" s="16"/>
      <c r="AV523" s="16"/>
      <c r="AW523" s="16"/>
      <c r="AX523" s="16"/>
      <c r="AY523" s="16"/>
      <c r="AZ523" s="16"/>
      <c r="BA523" s="16"/>
      <c r="BB523" s="16"/>
      <c r="BC523" s="16"/>
      <c r="BD523" s="16"/>
      <c r="BE523" s="16"/>
      <c r="BF523" s="16"/>
      <c r="BG523" s="16"/>
      <c r="BH523" s="16"/>
      <c r="BI523" s="16"/>
      <c r="BJ523" s="16"/>
      <c r="BK523" s="16"/>
      <c r="BL523" s="16"/>
      <c r="BM523" s="16"/>
      <c r="BN523" s="16"/>
      <c r="BO523" s="16"/>
      <c r="BP523" s="16"/>
      <c r="BQ523" s="16"/>
      <c r="BR523" s="16"/>
      <c r="BS523" s="16"/>
      <c r="BT523" s="16"/>
      <c r="BU523" s="16"/>
      <c r="BV523" s="16"/>
      <c r="BW523" s="16"/>
      <c r="BX523" s="16"/>
      <c r="BY523" s="16"/>
      <c r="BZ523" s="16"/>
      <c r="CA523" s="16"/>
      <c r="CB523" s="16"/>
      <c r="CC523" s="16"/>
    </row>
    <row r="524" spans="1:81" ht="13.5" thickBot="1">
      <c r="A524" s="16"/>
      <c r="B524" s="16"/>
      <c r="C524" s="17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16"/>
      <c r="AU524" s="16"/>
      <c r="AV524" s="16"/>
      <c r="AW524" s="16"/>
      <c r="AX524" s="16"/>
      <c r="AY524" s="16"/>
      <c r="AZ524" s="16"/>
      <c r="BA524" s="16"/>
      <c r="BB524" s="16"/>
      <c r="BC524" s="16"/>
      <c r="BD524" s="16"/>
      <c r="BE524" s="16"/>
      <c r="BF524" s="16"/>
      <c r="BG524" s="16"/>
      <c r="BH524" s="16"/>
      <c r="BI524" s="16"/>
      <c r="BJ524" s="16"/>
      <c r="BK524" s="16"/>
      <c r="BL524" s="16"/>
      <c r="BM524" s="16"/>
      <c r="BN524" s="16"/>
      <c r="BO524" s="16"/>
      <c r="BP524" s="16"/>
      <c r="BQ524" s="16"/>
      <c r="BR524" s="16"/>
      <c r="BS524" s="16"/>
      <c r="BT524" s="16"/>
      <c r="BU524" s="16"/>
      <c r="BV524" s="16"/>
      <c r="BW524" s="16"/>
      <c r="BX524" s="16"/>
      <c r="BY524" s="16"/>
      <c r="BZ524" s="16"/>
      <c r="CA524" s="16"/>
      <c r="CB524" s="16"/>
      <c r="CC524" s="16"/>
    </row>
    <row r="525" spans="1:81" ht="13.5" thickBot="1">
      <c r="A525" s="16"/>
      <c r="B525" s="16"/>
      <c r="C525" s="17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16"/>
      <c r="AU525" s="16"/>
      <c r="AV525" s="16"/>
      <c r="AW525" s="16"/>
      <c r="AX525" s="16"/>
      <c r="AY525" s="16"/>
      <c r="AZ525" s="16"/>
      <c r="BA525" s="16"/>
      <c r="BB525" s="16"/>
      <c r="BC525" s="16"/>
      <c r="BD525" s="16"/>
      <c r="BE525" s="16"/>
      <c r="BF525" s="16"/>
      <c r="BG525" s="16"/>
      <c r="BH525" s="16"/>
      <c r="BI525" s="16"/>
      <c r="BJ525" s="16"/>
      <c r="BK525" s="16"/>
      <c r="BL525" s="16"/>
      <c r="BM525" s="16"/>
      <c r="BN525" s="16"/>
      <c r="BO525" s="16"/>
      <c r="BP525" s="16"/>
      <c r="BQ525" s="16"/>
      <c r="BR525" s="16"/>
      <c r="BS525" s="16"/>
      <c r="BT525" s="16"/>
      <c r="BU525" s="16"/>
      <c r="BV525" s="16"/>
      <c r="BW525" s="16"/>
      <c r="BX525" s="16"/>
      <c r="BY525" s="16"/>
      <c r="BZ525" s="16"/>
      <c r="CA525" s="16"/>
      <c r="CB525" s="16"/>
      <c r="CC525" s="16"/>
    </row>
    <row r="526" spans="1:81" ht="13.5" thickBot="1">
      <c r="A526" s="16"/>
      <c r="B526" s="16"/>
      <c r="C526" s="17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  <c r="AU526" s="16"/>
      <c r="AV526" s="16"/>
      <c r="AW526" s="16"/>
      <c r="AX526" s="16"/>
      <c r="AY526" s="16"/>
      <c r="AZ526" s="16"/>
      <c r="BA526" s="16"/>
      <c r="BB526" s="16"/>
      <c r="BC526" s="16"/>
      <c r="BD526" s="16"/>
      <c r="BE526" s="16"/>
      <c r="BF526" s="16"/>
      <c r="BG526" s="16"/>
      <c r="BH526" s="16"/>
      <c r="BI526" s="16"/>
      <c r="BJ526" s="16"/>
      <c r="BK526" s="16"/>
      <c r="BL526" s="16"/>
      <c r="BM526" s="16"/>
      <c r="BN526" s="16"/>
      <c r="BO526" s="16"/>
      <c r="BP526" s="16"/>
      <c r="BQ526" s="16"/>
      <c r="BR526" s="16"/>
      <c r="BS526" s="16"/>
      <c r="BT526" s="16"/>
      <c r="BU526" s="16"/>
      <c r="BV526" s="16"/>
      <c r="BW526" s="16"/>
      <c r="BX526" s="16"/>
      <c r="BY526" s="16"/>
      <c r="BZ526" s="16"/>
      <c r="CA526" s="16"/>
      <c r="CB526" s="16"/>
      <c r="CC526" s="16"/>
    </row>
    <row r="527" spans="1:81" ht="13.5" thickBot="1">
      <c r="A527" s="16"/>
      <c r="B527" s="16"/>
      <c r="C527" s="17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16"/>
      <c r="AU527" s="16"/>
      <c r="AV527" s="16"/>
      <c r="AW527" s="16"/>
      <c r="AX527" s="16"/>
      <c r="AY527" s="16"/>
      <c r="AZ527" s="16"/>
      <c r="BA527" s="16"/>
      <c r="BB527" s="16"/>
      <c r="BC527" s="16"/>
      <c r="BD527" s="16"/>
      <c r="BE527" s="16"/>
      <c r="BF527" s="16"/>
      <c r="BG527" s="16"/>
      <c r="BH527" s="16"/>
      <c r="BI527" s="16"/>
      <c r="BJ527" s="16"/>
      <c r="BK527" s="16"/>
      <c r="BL527" s="16"/>
      <c r="BM527" s="16"/>
      <c r="BN527" s="16"/>
      <c r="BO527" s="16"/>
      <c r="BP527" s="16"/>
      <c r="BQ527" s="16"/>
      <c r="BR527" s="16"/>
      <c r="BS527" s="16"/>
      <c r="BT527" s="16"/>
      <c r="BU527" s="16"/>
      <c r="BV527" s="16"/>
      <c r="BW527" s="16"/>
      <c r="BX527" s="16"/>
      <c r="BY527" s="16"/>
      <c r="BZ527" s="16"/>
      <c r="CA527" s="16"/>
      <c r="CB527" s="16"/>
      <c r="CC527" s="16"/>
    </row>
    <row r="528" spans="1:81" ht="13.5" thickBot="1">
      <c r="A528" s="16"/>
      <c r="B528" s="16"/>
      <c r="C528" s="17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  <c r="AU528" s="16"/>
      <c r="AV528" s="16"/>
      <c r="AW528" s="16"/>
      <c r="AX528" s="16"/>
      <c r="AY528" s="16"/>
      <c r="AZ528" s="16"/>
      <c r="BA528" s="16"/>
      <c r="BB528" s="16"/>
      <c r="BC528" s="16"/>
      <c r="BD528" s="16"/>
      <c r="BE528" s="16"/>
      <c r="BF528" s="16"/>
      <c r="BG528" s="16"/>
      <c r="BH528" s="16"/>
      <c r="BI528" s="16"/>
      <c r="BJ528" s="16"/>
      <c r="BK528" s="16"/>
      <c r="BL528" s="16"/>
      <c r="BM528" s="16"/>
      <c r="BN528" s="16"/>
      <c r="BO528" s="16"/>
      <c r="BP528" s="16"/>
      <c r="BQ528" s="16"/>
      <c r="BR528" s="16"/>
      <c r="BS528" s="16"/>
      <c r="BT528" s="16"/>
      <c r="BU528" s="16"/>
      <c r="BV528" s="16"/>
      <c r="BW528" s="16"/>
      <c r="BX528" s="16"/>
      <c r="BY528" s="16"/>
      <c r="BZ528" s="16"/>
      <c r="CA528" s="16"/>
      <c r="CB528" s="16"/>
      <c r="CC528" s="16"/>
    </row>
    <row r="529" spans="1:81" ht="13.5" thickBot="1">
      <c r="A529" s="16"/>
      <c r="B529" s="16"/>
      <c r="C529" s="17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16"/>
      <c r="AU529" s="16"/>
      <c r="AV529" s="16"/>
      <c r="AW529" s="16"/>
      <c r="AX529" s="16"/>
      <c r="AY529" s="16"/>
      <c r="AZ529" s="16"/>
      <c r="BA529" s="16"/>
      <c r="BB529" s="16"/>
      <c r="BC529" s="16"/>
      <c r="BD529" s="16"/>
      <c r="BE529" s="16"/>
      <c r="BF529" s="16"/>
      <c r="BG529" s="16"/>
      <c r="BH529" s="16"/>
      <c r="BI529" s="16"/>
      <c r="BJ529" s="16"/>
      <c r="BK529" s="16"/>
      <c r="BL529" s="16"/>
      <c r="BM529" s="16"/>
      <c r="BN529" s="16"/>
      <c r="BO529" s="16"/>
      <c r="BP529" s="16"/>
      <c r="BQ529" s="16"/>
      <c r="BR529" s="16"/>
      <c r="BS529" s="16"/>
      <c r="BT529" s="16"/>
      <c r="BU529" s="16"/>
      <c r="BV529" s="16"/>
      <c r="BW529" s="16"/>
      <c r="BX529" s="16"/>
      <c r="BY529" s="16"/>
      <c r="BZ529" s="16"/>
      <c r="CA529" s="16"/>
      <c r="CB529" s="16"/>
      <c r="CC529" s="16"/>
    </row>
    <row r="530" spans="1:81" ht="13.5" thickBot="1">
      <c r="A530" s="16"/>
      <c r="B530" s="16"/>
      <c r="C530" s="17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16"/>
      <c r="AU530" s="16"/>
      <c r="AV530" s="16"/>
      <c r="AW530" s="16"/>
      <c r="AX530" s="16"/>
      <c r="AY530" s="16"/>
      <c r="AZ530" s="16"/>
      <c r="BA530" s="16"/>
      <c r="BB530" s="16"/>
      <c r="BC530" s="16"/>
      <c r="BD530" s="16"/>
      <c r="BE530" s="16"/>
      <c r="BF530" s="16"/>
      <c r="BG530" s="16"/>
      <c r="BH530" s="16"/>
      <c r="BI530" s="16"/>
      <c r="BJ530" s="16"/>
      <c r="BK530" s="16"/>
      <c r="BL530" s="16"/>
      <c r="BM530" s="16"/>
      <c r="BN530" s="16"/>
      <c r="BO530" s="16"/>
      <c r="BP530" s="16"/>
      <c r="BQ530" s="16"/>
      <c r="BR530" s="16"/>
      <c r="BS530" s="16"/>
      <c r="BT530" s="16"/>
      <c r="BU530" s="16"/>
      <c r="BV530" s="16"/>
      <c r="BW530" s="16"/>
      <c r="BX530" s="16"/>
      <c r="BY530" s="16"/>
      <c r="BZ530" s="16"/>
      <c r="CA530" s="16"/>
      <c r="CB530" s="16"/>
      <c r="CC530" s="16"/>
    </row>
    <row r="531" spans="1:81" ht="13.5" thickBot="1">
      <c r="A531" s="16"/>
      <c r="B531" s="16"/>
      <c r="C531" s="17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16"/>
      <c r="AU531" s="16"/>
      <c r="AV531" s="16"/>
      <c r="AW531" s="16"/>
      <c r="AX531" s="16"/>
      <c r="AY531" s="16"/>
      <c r="AZ531" s="16"/>
      <c r="BA531" s="16"/>
      <c r="BB531" s="16"/>
      <c r="BC531" s="16"/>
      <c r="BD531" s="16"/>
      <c r="BE531" s="16"/>
      <c r="BF531" s="16"/>
      <c r="BG531" s="16"/>
      <c r="BH531" s="16"/>
      <c r="BI531" s="16"/>
      <c r="BJ531" s="16"/>
      <c r="BK531" s="16"/>
      <c r="BL531" s="16"/>
      <c r="BM531" s="16"/>
      <c r="BN531" s="16"/>
      <c r="BO531" s="16"/>
      <c r="BP531" s="16"/>
      <c r="BQ531" s="16"/>
      <c r="BR531" s="16"/>
      <c r="BS531" s="16"/>
      <c r="BT531" s="16"/>
      <c r="BU531" s="16"/>
      <c r="BV531" s="16"/>
      <c r="BW531" s="16"/>
      <c r="BX531" s="16"/>
      <c r="BY531" s="16"/>
      <c r="BZ531" s="16"/>
      <c r="CA531" s="16"/>
      <c r="CB531" s="16"/>
      <c r="CC531" s="16"/>
    </row>
    <row r="532" spans="1:81" ht="13.5" thickBot="1">
      <c r="A532" s="16"/>
      <c r="B532" s="16"/>
      <c r="C532" s="17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  <c r="AU532" s="16"/>
      <c r="AV532" s="16"/>
      <c r="AW532" s="16"/>
      <c r="AX532" s="16"/>
      <c r="AY532" s="16"/>
      <c r="AZ532" s="16"/>
      <c r="BA532" s="16"/>
      <c r="BB532" s="16"/>
      <c r="BC532" s="16"/>
      <c r="BD532" s="16"/>
      <c r="BE532" s="16"/>
      <c r="BF532" s="16"/>
      <c r="BG532" s="16"/>
      <c r="BH532" s="16"/>
      <c r="BI532" s="16"/>
      <c r="BJ532" s="16"/>
      <c r="BK532" s="16"/>
      <c r="BL532" s="16"/>
      <c r="BM532" s="16"/>
      <c r="BN532" s="16"/>
      <c r="BO532" s="16"/>
      <c r="BP532" s="16"/>
      <c r="BQ532" s="16"/>
      <c r="BR532" s="16"/>
      <c r="BS532" s="16"/>
      <c r="BT532" s="16"/>
      <c r="BU532" s="16"/>
      <c r="BV532" s="16"/>
      <c r="BW532" s="16"/>
      <c r="BX532" s="16"/>
      <c r="BY532" s="16"/>
      <c r="BZ532" s="16"/>
      <c r="CA532" s="16"/>
      <c r="CB532" s="16"/>
      <c r="CC532" s="16"/>
    </row>
    <row r="533" spans="1:81" ht="13.5" thickBot="1">
      <c r="A533" s="16"/>
      <c r="B533" s="16"/>
      <c r="C533" s="17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16"/>
      <c r="AU533" s="16"/>
      <c r="AV533" s="16"/>
      <c r="AW533" s="16"/>
      <c r="AX533" s="16"/>
      <c r="AY533" s="16"/>
      <c r="AZ533" s="16"/>
      <c r="BA533" s="16"/>
      <c r="BB533" s="16"/>
      <c r="BC533" s="16"/>
      <c r="BD533" s="16"/>
      <c r="BE533" s="16"/>
      <c r="BF533" s="16"/>
      <c r="BG533" s="16"/>
      <c r="BH533" s="16"/>
      <c r="BI533" s="16"/>
      <c r="BJ533" s="16"/>
      <c r="BK533" s="16"/>
      <c r="BL533" s="16"/>
      <c r="BM533" s="16"/>
      <c r="BN533" s="16"/>
      <c r="BO533" s="16"/>
      <c r="BP533" s="16"/>
      <c r="BQ533" s="16"/>
      <c r="BR533" s="16"/>
      <c r="BS533" s="16"/>
      <c r="BT533" s="16"/>
      <c r="BU533" s="16"/>
      <c r="BV533" s="16"/>
      <c r="BW533" s="16"/>
      <c r="BX533" s="16"/>
      <c r="BY533" s="16"/>
      <c r="BZ533" s="16"/>
      <c r="CA533" s="16"/>
      <c r="CB533" s="16"/>
      <c r="CC533" s="16"/>
    </row>
    <row r="534" spans="1:81" ht="13.5" thickBot="1">
      <c r="A534" s="16"/>
      <c r="B534" s="16"/>
      <c r="C534" s="17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16"/>
      <c r="AU534" s="16"/>
      <c r="AV534" s="16"/>
      <c r="AW534" s="16"/>
      <c r="AX534" s="16"/>
      <c r="AY534" s="16"/>
      <c r="AZ534" s="16"/>
      <c r="BA534" s="16"/>
      <c r="BB534" s="16"/>
      <c r="BC534" s="16"/>
      <c r="BD534" s="16"/>
      <c r="BE534" s="16"/>
      <c r="BF534" s="16"/>
      <c r="BG534" s="16"/>
      <c r="BH534" s="16"/>
      <c r="BI534" s="16"/>
      <c r="BJ534" s="16"/>
      <c r="BK534" s="16"/>
      <c r="BL534" s="16"/>
      <c r="BM534" s="16"/>
      <c r="BN534" s="16"/>
      <c r="BO534" s="16"/>
      <c r="BP534" s="16"/>
      <c r="BQ534" s="16"/>
      <c r="BR534" s="16"/>
      <c r="BS534" s="16"/>
      <c r="BT534" s="16"/>
      <c r="BU534" s="16"/>
      <c r="BV534" s="16"/>
      <c r="BW534" s="16"/>
      <c r="BX534" s="16"/>
      <c r="BY534" s="16"/>
      <c r="BZ534" s="16"/>
      <c r="CA534" s="16"/>
      <c r="CB534" s="16"/>
      <c r="CC534" s="16"/>
    </row>
    <row r="535" spans="1:81" ht="13.5" thickBot="1">
      <c r="A535" s="16"/>
      <c r="B535" s="16"/>
      <c r="C535" s="17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  <c r="AU535" s="16"/>
      <c r="AV535" s="16"/>
      <c r="AW535" s="16"/>
      <c r="AX535" s="16"/>
      <c r="AY535" s="16"/>
      <c r="AZ535" s="16"/>
      <c r="BA535" s="16"/>
      <c r="BB535" s="16"/>
      <c r="BC535" s="16"/>
      <c r="BD535" s="16"/>
      <c r="BE535" s="16"/>
      <c r="BF535" s="16"/>
      <c r="BG535" s="16"/>
      <c r="BH535" s="16"/>
      <c r="BI535" s="16"/>
      <c r="BJ535" s="16"/>
      <c r="BK535" s="16"/>
      <c r="BL535" s="16"/>
      <c r="BM535" s="16"/>
      <c r="BN535" s="16"/>
      <c r="BO535" s="16"/>
      <c r="BP535" s="16"/>
      <c r="BQ535" s="16"/>
      <c r="BR535" s="16"/>
      <c r="BS535" s="16"/>
      <c r="BT535" s="16"/>
      <c r="BU535" s="16"/>
      <c r="BV535" s="16"/>
      <c r="BW535" s="16"/>
      <c r="BX535" s="16"/>
      <c r="BY535" s="16"/>
      <c r="BZ535" s="16"/>
      <c r="CA535" s="16"/>
      <c r="CB535" s="16"/>
      <c r="CC535" s="16"/>
    </row>
    <row r="536" spans="1:81" ht="13.5" thickBot="1">
      <c r="A536" s="16"/>
      <c r="B536" s="16"/>
      <c r="C536" s="17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  <c r="AU536" s="16"/>
      <c r="AV536" s="16"/>
      <c r="AW536" s="16"/>
      <c r="AX536" s="16"/>
      <c r="AY536" s="16"/>
      <c r="AZ536" s="16"/>
      <c r="BA536" s="16"/>
      <c r="BB536" s="16"/>
      <c r="BC536" s="16"/>
      <c r="BD536" s="16"/>
      <c r="BE536" s="16"/>
      <c r="BF536" s="16"/>
      <c r="BG536" s="16"/>
      <c r="BH536" s="16"/>
      <c r="BI536" s="16"/>
      <c r="BJ536" s="16"/>
      <c r="BK536" s="16"/>
      <c r="BL536" s="16"/>
      <c r="BM536" s="16"/>
      <c r="BN536" s="16"/>
      <c r="BO536" s="16"/>
      <c r="BP536" s="16"/>
      <c r="BQ536" s="16"/>
      <c r="BR536" s="16"/>
      <c r="BS536" s="16"/>
      <c r="BT536" s="16"/>
      <c r="BU536" s="16"/>
      <c r="BV536" s="16"/>
      <c r="BW536" s="16"/>
      <c r="BX536" s="16"/>
      <c r="BY536" s="16"/>
      <c r="BZ536" s="16"/>
      <c r="CA536" s="16"/>
      <c r="CB536" s="16"/>
      <c r="CC536" s="16"/>
    </row>
    <row r="537" spans="1:81" ht="13.5" thickBot="1">
      <c r="A537" s="16"/>
      <c r="B537" s="16"/>
      <c r="C537" s="17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16"/>
      <c r="AU537" s="16"/>
      <c r="AV537" s="16"/>
      <c r="AW537" s="16"/>
      <c r="AX537" s="16"/>
      <c r="AY537" s="16"/>
      <c r="AZ537" s="16"/>
      <c r="BA537" s="16"/>
      <c r="BB537" s="16"/>
      <c r="BC537" s="16"/>
      <c r="BD537" s="16"/>
      <c r="BE537" s="16"/>
      <c r="BF537" s="16"/>
      <c r="BG537" s="16"/>
      <c r="BH537" s="16"/>
      <c r="BI537" s="16"/>
      <c r="BJ537" s="16"/>
      <c r="BK537" s="16"/>
      <c r="BL537" s="16"/>
      <c r="BM537" s="16"/>
      <c r="BN537" s="16"/>
      <c r="BO537" s="16"/>
      <c r="BP537" s="16"/>
      <c r="BQ537" s="16"/>
      <c r="BR537" s="16"/>
      <c r="BS537" s="16"/>
      <c r="BT537" s="16"/>
      <c r="BU537" s="16"/>
      <c r="BV537" s="16"/>
      <c r="BW537" s="16"/>
      <c r="BX537" s="16"/>
      <c r="BY537" s="16"/>
      <c r="BZ537" s="16"/>
      <c r="CA537" s="16"/>
      <c r="CB537" s="16"/>
      <c r="CC537" s="16"/>
    </row>
    <row r="538" spans="1:81" ht="13.5" thickBot="1">
      <c r="A538" s="16"/>
      <c r="B538" s="16"/>
      <c r="C538" s="17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16"/>
      <c r="AU538" s="16"/>
      <c r="AV538" s="16"/>
      <c r="AW538" s="16"/>
      <c r="AX538" s="16"/>
      <c r="AY538" s="16"/>
      <c r="AZ538" s="16"/>
      <c r="BA538" s="16"/>
      <c r="BB538" s="16"/>
      <c r="BC538" s="16"/>
      <c r="BD538" s="16"/>
      <c r="BE538" s="16"/>
      <c r="BF538" s="16"/>
      <c r="BG538" s="16"/>
      <c r="BH538" s="16"/>
      <c r="BI538" s="16"/>
      <c r="BJ538" s="16"/>
      <c r="BK538" s="16"/>
      <c r="BL538" s="16"/>
      <c r="BM538" s="16"/>
      <c r="BN538" s="16"/>
      <c r="BO538" s="16"/>
      <c r="BP538" s="16"/>
      <c r="BQ538" s="16"/>
      <c r="BR538" s="16"/>
      <c r="BS538" s="16"/>
      <c r="BT538" s="16"/>
      <c r="BU538" s="16"/>
      <c r="BV538" s="16"/>
      <c r="BW538" s="16"/>
      <c r="BX538" s="16"/>
      <c r="BY538" s="16"/>
      <c r="BZ538" s="16"/>
      <c r="CA538" s="16"/>
      <c r="CB538" s="16"/>
      <c r="CC538" s="16"/>
    </row>
    <row r="539" spans="1:81" ht="13.5" thickBot="1">
      <c r="A539" s="16"/>
      <c r="B539" s="16"/>
      <c r="C539" s="17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16"/>
      <c r="AU539" s="16"/>
      <c r="AV539" s="16"/>
      <c r="AW539" s="16"/>
      <c r="AX539" s="16"/>
      <c r="AY539" s="16"/>
      <c r="AZ539" s="16"/>
      <c r="BA539" s="16"/>
      <c r="BB539" s="16"/>
      <c r="BC539" s="16"/>
      <c r="BD539" s="16"/>
      <c r="BE539" s="16"/>
      <c r="BF539" s="16"/>
      <c r="BG539" s="16"/>
      <c r="BH539" s="16"/>
      <c r="BI539" s="16"/>
      <c r="BJ539" s="16"/>
      <c r="BK539" s="16"/>
      <c r="BL539" s="16"/>
      <c r="BM539" s="16"/>
      <c r="BN539" s="16"/>
      <c r="BO539" s="16"/>
      <c r="BP539" s="16"/>
      <c r="BQ539" s="16"/>
      <c r="BR539" s="16"/>
      <c r="BS539" s="16"/>
      <c r="BT539" s="16"/>
      <c r="BU539" s="16"/>
      <c r="BV539" s="16"/>
      <c r="BW539" s="16"/>
      <c r="BX539" s="16"/>
      <c r="BY539" s="16"/>
      <c r="BZ539" s="16"/>
      <c r="CA539" s="16"/>
      <c r="CB539" s="16"/>
      <c r="CC539" s="16"/>
    </row>
    <row r="540" spans="1:81" ht="13.5" thickBot="1">
      <c r="A540" s="16"/>
      <c r="B540" s="16"/>
      <c r="C540" s="17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16"/>
      <c r="AU540" s="16"/>
      <c r="AV540" s="16"/>
      <c r="AW540" s="16"/>
      <c r="AX540" s="16"/>
      <c r="AY540" s="16"/>
      <c r="AZ540" s="16"/>
      <c r="BA540" s="16"/>
      <c r="BB540" s="16"/>
      <c r="BC540" s="16"/>
      <c r="BD540" s="16"/>
      <c r="BE540" s="16"/>
      <c r="BF540" s="16"/>
      <c r="BG540" s="16"/>
      <c r="BH540" s="16"/>
      <c r="BI540" s="16"/>
      <c r="BJ540" s="16"/>
      <c r="BK540" s="16"/>
      <c r="BL540" s="16"/>
      <c r="BM540" s="16"/>
      <c r="BN540" s="16"/>
      <c r="BO540" s="16"/>
      <c r="BP540" s="16"/>
      <c r="BQ540" s="16"/>
      <c r="BR540" s="16"/>
      <c r="BS540" s="16"/>
      <c r="BT540" s="16"/>
      <c r="BU540" s="16"/>
      <c r="BV540" s="16"/>
      <c r="BW540" s="16"/>
      <c r="BX540" s="16"/>
      <c r="BY540" s="16"/>
      <c r="BZ540" s="16"/>
      <c r="CA540" s="16"/>
      <c r="CB540" s="16"/>
      <c r="CC540" s="16"/>
    </row>
    <row r="541" spans="1:81" ht="13.5" thickBot="1">
      <c r="A541" s="16"/>
      <c r="B541" s="16"/>
      <c r="C541" s="17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16"/>
      <c r="AU541" s="16"/>
      <c r="AV541" s="16"/>
      <c r="AW541" s="16"/>
      <c r="AX541" s="16"/>
      <c r="AY541" s="16"/>
      <c r="AZ541" s="16"/>
      <c r="BA541" s="16"/>
      <c r="BB541" s="16"/>
      <c r="BC541" s="16"/>
      <c r="BD541" s="16"/>
      <c r="BE541" s="16"/>
      <c r="BF541" s="16"/>
      <c r="BG541" s="16"/>
      <c r="BH541" s="16"/>
      <c r="BI541" s="16"/>
      <c r="BJ541" s="16"/>
      <c r="BK541" s="16"/>
      <c r="BL541" s="16"/>
      <c r="BM541" s="16"/>
      <c r="BN541" s="16"/>
      <c r="BO541" s="16"/>
      <c r="BP541" s="16"/>
      <c r="BQ541" s="16"/>
      <c r="BR541" s="16"/>
      <c r="BS541" s="16"/>
      <c r="BT541" s="16"/>
      <c r="BU541" s="16"/>
      <c r="BV541" s="16"/>
      <c r="BW541" s="16"/>
      <c r="BX541" s="16"/>
      <c r="BY541" s="16"/>
      <c r="BZ541" s="16"/>
      <c r="CA541" s="16"/>
      <c r="CB541" s="16"/>
      <c r="CC541" s="16"/>
    </row>
    <row r="542" spans="1:81" ht="13.5" thickBot="1">
      <c r="A542" s="16"/>
      <c r="B542" s="16"/>
      <c r="C542" s="17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16"/>
      <c r="AU542" s="16"/>
      <c r="AV542" s="16"/>
      <c r="AW542" s="16"/>
      <c r="AX542" s="16"/>
      <c r="AY542" s="16"/>
      <c r="AZ542" s="16"/>
      <c r="BA542" s="16"/>
      <c r="BB542" s="16"/>
      <c r="BC542" s="16"/>
      <c r="BD542" s="16"/>
      <c r="BE542" s="16"/>
      <c r="BF542" s="16"/>
      <c r="BG542" s="16"/>
      <c r="BH542" s="16"/>
      <c r="BI542" s="16"/>
      <c r="BJ542" s="16"/>
      <c r="BK542" s="16"/>
      <c r="BL542" s="16"/>
      <c r="BM542" s="16"/>
      <c r="BN542" s="16"/>
      <c r="BO542" s="16"/>
      <c r="BP542" s="16"/>
      <c r="BQ542" s="16"/>
      <c r="BR542" s="16"/>
      <c r="BS542" s="16"/>
      <c r="BT542" s="16"/>
      <c r="BU542" s="16"/>
      <c r="BV542" s="16"/>
      <c r="BW542" s="16"/>
      <c r="BX542" s="16"/>
      <c r="BY542" s="16"/>
      <c r="BZ542" s="16"/>
      <c r="CA542" s="16"/>
      <c r="CB542" s="16"/>
      <c r="CC542" s="16"/>
    </row>
    <row r="543" spans="1:81" ht="13.5" thickBot="1">
      <c r="A543" s="16"/>
      <c r="B543" s="16"/>
      <c r="C543" s="17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16"/>
      <c r="AU543" s="16"/>
      <c r="AV543" s="16"/>
      <c r="AW543" s="16"/>
      <c r="AX543" s="16"/>
      <c r="AY543" s="16"/>
      <c r="AZ543" s="16"/>
      <c r="BA543" s="16"/>
      <c r="BB543" s="16"/>
      <c r="BC543" s="16"/>
      <c r="BD543" s="16"/>
      <c r="BE543" s="16"/>
      <c r="BF543" s="16"/>
      <c r="BG543" s="16"/>
      <c r="BH543" s="16"/>
      <c r="BI543" s="16"/>
      <c r="BJ543" s="16"/>
      <c r="BK543" s="16"/>
      <c r="BL543" s="16"/>
      <c r="BM543" s="16"/>
      <c r="BN543" s="16"/>
      <c r="BO543" s="16"/>
      <c r="BP543" s="16"/>
      <c r="BQ543" s="16"/>
      <c r="BR543" s="16"/>
      <c r="BS543" s="16"/>
      <c r="BT543" s="16"/>
      <c r="BU543" s="16"/>
      <c r="BV543" s="16"/>
      <c r="BW543" s="16"/>
      <c r="BX543" s="16"/>
      <c r="BY543" s="16"/>
      <c r="BZ543" s="16"/>
      <c r="CA543" s="16"/>
      <c r="CB543" s="16"/>
      <c r="CC543" s="16"/>
    </row>
    <row r="544" spans="1:81" ht="13.5" thickBot="1">
      <c r="A544" s="16"/>
      <c r="B544" s="16"/>
      <c r="C544" s="17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16"/>
      <c r="AU544" s="16"/>
      <c r="AV544" s="16"/>
      <c r="AW544" s="16"/>
      <c r="AX544" s="16"/>
      <c r="AY544" s="16"/>
      <c r="AZ544" s="16"/>
      <c r="BA544" s="16"/>
      <c r="BB544" s="16"/>
      <c r="BC544" s="16"/>
      <c r="BD544" s="16"/>
      <c r="BE544" s="16"/>
      <c r="BF544" s="16"/>
      <c r="BG544" s="16"/>
      <c r="BH544" s="16"/>
      <c r="BI544" s="16"/>
      <c r="BJ544" s="16"/>
      <c r="BK544" s="16"/>
      <c r="BL544" s="16"/>
      <c r="BM544" s="16"/>
      <c r="BN544" s="16"/>
      <c r="BO544" s="16"/>
      <c r="BP544" s="16"/>
      <c r="BQ544" s="16"/>
      <c r="BR544" s="16"/>
      <c r="BS544" s="16"/>
      <c r="BT544" s="16"/>
      <c r="BU544" s="16"/>
      <c r="BV544" s="16"/>
      <c r="BW544" s="16"/>
      <c r="BX544" s="16"/>
      <c r="BY544" s="16"/>
      <c r="BZ544" s="16"/>
      <c r="CA544" s="16"/>
      <c r="CB544" s="16"/>
      <c r="CC544" s="16"/>
    </row>
    <row r="545" spans="1:81" ht="13.5" thickBot="1">
      <c r="A545" s="16"/>
      <c r="B545" s="16"/>
      <c r="C545" s="17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16"/>
      <c r="AU545" s="16"/>
      <c r="AV545" s="16"/>
      <c r="AW545" s="16"/>
      <c r="AX545" s="16"/>
      <c r="AY545" s="16"/>
      <c r="AZ545" s="16"/>
      <c r="BA545" s="16"/>
      <c r="BB545" s="16"/>
      <c r="BC545" s="16"/>
      <c r="BD545" s="16"/>
      <c r="BE545" s="16"/>
      <c r="BF545" s="16"/>
      <c r="BG545" s="16"/>
      <c r="BH545" s="16"/>
      <c r="BI545" s="16"/>
      <c r="BJ545" s="16"/>
      <c r="BK545" s="16"/>
      <c r="BL545" s="16"/>
      <c r="BM545" s="16"/>
      <c r="BN545" s="16"/>
      <c r="BO545" s="16"/>
      <c r="BP545" s="16"/>
      <c r="BQ545" s="16"/>
      <c r="BR545" s="16"/>
      <c r="BS545" s="16"/>
      <c r="BT545" s="16"/>
      <c r="BU545" s="16"/>
      <c r="BV545" s="16"/>
      <c r="BW545" s="16"/>
      <c r="BX545" s="16"/>
      <c r="BY545" s="16"/>
      <c r="BZ545" s="16"/>
      <c r="CA545" s="16"/>
      <c r="CB545" s="16"/>
      <c r="CC545" s="16"/>
    </row>
    <row r="546" spans="1:81" ht="13.5" thickBot="1">
      <c r="A546" s="16"/>
      <c r="B546" s="16"/>
      <c r="C546" s="17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16"/>
      <c r="AU546" s="16"/>
      <c r="AV546" s="16"/>
      <c r="AW546" s="16"/>
      <c r="AX546" s="16"/>
      <c r="AY546" s="16"/>
      <c r="AZ546" s="16"/>
      <c r="BA546" s="16"/>
      <c r="BB546" s="16"/>
      <c r="BC546" s="16"/>
      <c r="BD546" s="16"/>
      <c r="BE546" s="16"/>
      <c r="BF546" s="16"/>
      <c r="BG546" s="16"/>
      <c r="BH546" s="16"/>
      <c r="BI546" s="16"/>
      <c r="BJ546" s="16"/>
      <c r="BK546" s="16"/>
      <c r="BL546" s="16"/>
      <c r="BM546" s="16"/>
      <c r="BN546" s="16"/>
      <c r="BO546" s="16"/>
      <c r="BP546" s="16"/>
      <c r="BQ546" s="16"/>
      <c r="BR546" s="16"/>
      <c r="BS546" s="16"/>
      <c r="BT546" s="16"/>
      <c r="BU546" s="16"/>
      <c r="BV546" s="16"/>
      <c r="BW546" s="16"/>
      <c r="BX546" s="16"/>
      <c r="BY546" s="16"/>
      <c r="BZ546" s="16"/>
      <c r="CA546" s="16"/>
      <c r="CB546" s="16"/>
      <c r="CC546" s="16"/>
    </row>
    <row r="547" spans="1:81" ht="13.5" thickBot="1">
      <c r="A547" s="16"/>
      <c r="B547" s="16"/>
      <c r="C547" s="17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16"/>
      <c r="AU547" s="16"/>
      <c r="AV547" s="16"/>
      <c r="AW547" s="16"/>
      <c r="AX547" s="16"/>
      <c r="AY547" s="16"/>
      <c r="AZ547" s="16"/>
      <c r="BA547" s="16"/>
      <c r="BB547" s="16"/>
      <c r="BC547" s="16"/>
      <c r="BD547" s="16"/>
      <c r="BE547" s="16"/>
      <c r="BF547" s="16"/>
      <c r="BG547" s="16"/>
      <c r="BH547" s="16"/>
      <c r="BI547" s="16"/>
      <c r="BJ547" s="16"/>
      <c r="BK547" s="16"/>
      <c r="BL547" s="16"/>
      <c r="BM547" s="16"/>
      <c r="BN547" s="16"/>
      <c r="BO547" s="16"/>
      <c r="BP547" s="16"/>
      <c r="BQ547" s="16"/>
      <c r="BR547" s="16"/>
      <c r="BS547" s="16"/>
      <c r="BT547" s="16"/>
      <c r="BU547" s="16"/>
      <c r="BV547" s="16"/>
      <c r="BW547" s="16"/>
      <c r="BX547" s="16"/>
      <c r="BY547" s="16"/>
      <c r="BZ547" s="16"/>
      <c r="CA547" s="16"/>
      <c r="CB547" s="16"/>
      <c r="CC547" s="16"/>
    </row>
    <row r="548" spans="1:81" ht="13.5" thickBot="1">
      <c r="A548" s="16"/>
      <c r="B548" s="16"/>
      <c r="C548" s="17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  <c r="AU548" s="16"/>
      <c r="AV548" s="16"/>
      <c r="AW548" s="16"/>
      <c r="AX548" s="16"/>
      <c r="AY548" s="16"/>
      <c r="AZ548" s="16"/>
      <c r="BA548" s="16"/>
      <c r="BB548" s="16"/>
      <c r="BC548" s="16"/>
      <c r="BD548" s="16"/>
      <c r="BE548" s="16"/>
      <c r="BF548" s="16"/>
      <c r="BG548" s="16"/>
      <c r="BH548" s="16"/>
      <c r="BI548" s="16"/>
      <c r="BJ548" s="16"/>
      <c r="BK548" s="16"/>
      <c r="BL548" s="16"/>
      <c r="BM548" s="16"/>
      <c r="BN548" s="16"/>
      <c r="BO548" s="16"/>
      <c r="BP548" s="16"/>
      <c r="BQ548" s="16"/>
      <c r="BR548" s="16"/>
      <c r="BS548" s="16"/>
      <c r="BT548" s="16"/>
      <c r="BU548" s="16"/>
      <c r="BV548" s="16"/>
      <c r="BW548" s="16"/>
      <c r="BX548" s="16"/>
      <c r="BY548" s="16"/>
      <c r="BZ548" s="16"/>
      <c r="CA548" s="16"/>
      <c r="CB548" s="16"/>
      <c r="CC548" s="16"/>
    </row>
    <row r="549" spans="1:81" ht="13.5" thickBot="1">
      <c r="A549" s="16"/>
      <c r="B549" s="16"/>
      <c r="C549" s="17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16"/>
      <c r="AU549" s="16"/>
      <c r="AV549" s="16"/>
      <c r="AW549" s="16"/>
      <c r="AX549" s="16"/>
      <c r="AY549" s="16"/>
      <c r="AZ549" s="16"/>
      <c r="BA549" s="16"/>
      <c r="BB549" s="16"/>
      <c r="BC549" s="16"/>
      <c r="BD549" s="16"/>
      <c r="BE549" s="16"/>
      <c r="BF549" s="16"/>
      <c r="BG549" s="16"/>
      <c r="BH549" s="16"/>
      <c r="BI549" s="16"/>
      <c r="BJ549" s="16"/>
      <c r="BK549" s="16"/>
      <c r="BL549" s="16"/>
      <c r="BM549" s="16"/>
      <c r="BN549" s="16"/>
      <c r="BO549" s="16"/>
      <c r="BP549" s="16"/>
      <c r="BQ549" s="16"/>
      <c r="BR549" s="16"/>
      <c r="BS549" s="16"/>
      <c r="BT549" s="16"/>
      <c r="BU549" s="16"/>
      <c r="BV549" s="16"/>
      <c r="BW549" s="16"/>
      <c r="BX549" s="16"/>
      <c r="BY549" s="16"/>
      <c r="BZ549" s="16"/>
      <c r="CA549" s="16"/>
      <c r="CB549" s="16"/>
      <c r="CC549" s="16"/>
    </row>
    <row r="550" spans="1:81" ht="13.5" thickBot="1">
      <c r="A550" s="16"/>
      <c r="B550" s="16"/>
      <c r="C550" s="17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16"/>
      <c r="AU550" s="16"/>
      <c r="AV550" s="16"/>
      <c r="AW550" s="16"/>
      <c r="AX550" s="16"/>
      <c r="AY550" s="16"/>
      <c r="AZ550" s="16"/>
      <c r="BA550" s="16"/>
      <c r="BB550" s="16"/>
      <c r="BC550" s="16"/>
      <c r="BD550" s="16"/>
      <c r="BE550" s="16"/>
      <c r="BF550" s="16"/>
      <c r="BG550" s="16"/>
      <c r="BH550" s="16"/>
      <c r="BI550" s="16"/>
      <c r="BJ550" s="16"/>
      <c r="BK550" s="16"/>
      <c r="BL550" s="16"/>
      <c r="BM550" s="16"/>
      <c r="BN550" s="16"/>
      <c r="BO550" s="16"/>
      <c r="BP550" s="16"/>
      <c r="BQ550" s="16"/>
      <c r="BR550" s="16"/>
      <c r="BS550" s="16"/>
      <c r="BT550" s="16"/>
      <c r="BU550" s="16"/>
      <c r="BV550" s="16"/>
      <c r="BW550" s="16"/>
      <c r="BX550" s="16"/>
      <c r="BY550" s="16"/>
      <c r="BZ550" s="16"/>
      <c r="CA550" s="16"/>
      <c r="CB550" s="16"/>
      <c r="CC550" s="16"/>
    </row>
    <row r="551" spans="1:81" ht="13.5" thickBot="1">
      <c r="A551" s="16"/>
      <c r="B551" s="16"/>
      <c r="C551" s="17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16"/>
      <c r="AU551" s="16"/>
      <c r="AV551" s="16"/>
      <c r="AW551" s="16"/>
      <c r="AX551" s="16"/>
      <c r="AY551" s="16"/>
      <c r="AZ551" s="16"/>
      <c r="BA551" s="16"/>
      <c r="BB551" s="16"/>
      <c r="BC551" s="16"/>
      <c r="BD551" s="16"/>
      <c r="BE551" s="16"/>
      <c r="BF551" s="16"/>
      <c r="BG551" s="16"/>
      <c r="BH551" s="16"/>
      <c r="BI551" s="16"/>
      <c r="BJ551" s="16"/>
      <c r="BK551" s="16"/>
      <c r="BL551" s="16"/>
      <c r="BM551" s="16"/>
      <c r="BN551" s="16"/>
      <c r="BO551" s="16"/>
      <c r="BP551" s="16"/>
      <c r="BQ551" s="16"/>
      <c r="BR551" s="16"/>
      <c r="BS551" s="16"/>
      <c r="BT551" s="16"/>
      <c r="BU551" s="16"/>
      <c r="BV551" s="16"/>
      <c r="BW551" s="16"/>
      <c r="BX551" s="16"/>
      <c r="BY551" s="16"/>
      <c r="BZ551" s="16"/>
      <c r="CA551" s="16"/>
      <c r="CB551" s="16"/>
      <c r="CC551" s="16"/>
    </row>
    <row r="552" spans="1:81" ht="13.5" thickBot="1">
      <c r="A552" s="16"/>
      <c r="B552" s="16"/>
      <c r="C552" s="17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16"/>
      <c r="AU552" s="16"/>
      <c r="AV552" s="16"/>
      <c r="AW552" s="16"/>
      <c r="AX552" s="16"/>
      <c r="AY552" s="16"/>
      <c r="AZ552" s="16"/>
      <c r="BA552" s="16"/>
      <c r="BB552" s="16"/>
      <c r="BC552" s="16"/>
      <c r="BD552" s="16"/>
      <c r="BE552" s="16"/>
      <c r="BF552" s="16"/>
      <c r="BG552" s="16"/>
      <c r="BH552" s="16"/>
      <c r="BI552" s="16"/>
      <c r="BJ552" s="16"/>
      <c r="BK552" s="16"/>
      <c r="BL552" s="16"/>
      <c r="BM552" s="16"/>
      <c r="BN552" s="16"/>
      <c r="BO552" s="16"/>
      <c r="BP552" s="16"/>
      <c r="BQ552" s="16"/>
      <c r="BR552" s="16"/>
      <c r="BS552" s="16"/>
      <c r="BT552" s="16"/>
      <c r="BU552" s="16"/>
      <c r="BV552" s="16"/>
      <c r="BW552" s="16"/>
      <c r="BX552" s="16"/>
      <c r="BY552" s="16"/>
      <c r="BZ552" s="16"/>
      <c r="CA552" s="16"/>
      <c r="CB552" s="16"/>
      <c r="CC552" s="16"/>
    </row>
    <row r="553" spans="1:81" ht="13.5" thickBot="1">
      <c r="A553" s="16"/>
      <c r="B553" s="16"/>
      <c r="C553" s="17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16"/>
      <c r="AU553" s="16"/>
      <c r="AV553" s="16"/>
      <c r="AW553" s="16"/>
      <c r="AX553" s="16"/>
      <c r="AY553" s="16"/>
      <c r="AZ553" s="16"/>
      <c r="BA553" s="16"/>
      <c r="BB553" s="16"/>
      <c r="BC553" s="16"/>
      <c r="BD553" s="16"/>
      <c r="BE553" s="16"/>
      <c r="BF553" s="16"/>
      <c r="BG553" s="16"/>
      <c r="BH553" s="16"/>
      <c r="BI553" s="16"/>
      <c r="BJ553" s="16"/>
      <c r="BK553" s="16"/>
      <c r="BL553" s="16"/>
      <c r="BM553" s="16"/>
      <c r="BN553" s="16"/>
      <c r="BO553" s="16"/>
      <c r="BP553" s="16"/>
      <c r="BQ553" s="16"/>
      <c r="BR553" s="16"/>
      <c r="BS553" s="16"/>
      <c r="BT553" s="16"/>
      <c r="BU553" s="16"/>
      <c r="BV553" s="16"/>
      <c r="BW553" s="16"/>
      <c r="BX553" s="16"/>
      <c r="BY553" s="16"/>
      <c r="BZ553" s="16"/>
      <c r="CA553" s="16"/>
      <c r="CB553" s="16"/>
      <c r="CC553" s="16"/>
    </row>
    <row r="554" spans="1:81" ht="13.5" thickBot="1">
      <c r="A554" s="16"/>
      <c r="B554" s="16"/>
      <c r="C554" s="17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16"/>
      <c r="AU554" s="16"/>
      <c r="AV554" s="16"/>
      <c r="AW554" s="16"/>
      <c r="AX554" s="16"/>
      <c r="AY554" s="16"/>
      <c r="AZ554" s="16"/>
      <c r="BA554" s="16"/>
      <c r="BB554" s="16"/>
      <c r="BC554" s="16"/>
      <c r="BD554" s="16"/>
      <c r="BE554" s="16"/>
      <c r="BF554" s="16"/>
      <c r="BG554" s="16"/>
      <c r="BH554" s="16"/>
      <c r="BI554" s="16"/>
      <c r="BJ554" s="16"/>
      <c r="BK554" s="16"/>
      <c r="BL554" s="16"/>
      <c r="BM554" s="16"/>
      <c r="BN554" s="16"/>
      <c r="BO554" s="16"/>
      <c r="BP554" s="16"/>
      <c r="BQ554" s="16"/>
      <c r="BR554" s="16"/>
      <c r="BS554" s="16"/>
      <c r="BT554" s="16"/>
      <c r="BU554" s="16"/>
      <c r="BV554" s="16"/>
      <c r="BW554" s="16"/>
      <c r="BX554" s="16"/>
      <c r="BY554" s="16"/>
      <c r="BZ554" s="16"/>
      <c r="CA554" s="16"/>
      <c r="CB554" s="16"/>
      <c r="CC554" s="16"/>
    </row>
    <row r="555" spans="1:81" ht="13.5" thickBot="1">
      <c r="A555" s="16"/>
      <c r="B555" s="16"/>
      <c r="C555" s="17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16"/>
      <c r="AU555" s="16"/>
      <c r="AV555" s="16"/>
      <c r="AW555" s="16"/>
      <c r="AX555" s="16"/>
      <c r="AY555" s="16"/>
      <c r="AZ555" s="16"/>
      <c r="BA555" s="16"/>
      <c r="BB555" s="16"/>
      <c r="BC555" s="16"/>
      <c r="BD555" s="16"/>
      <c r="BE555" s="16"/>
      <c r="BF555" s="16"/>
      <c r="BG555" s="16"/>
      <c r="BH555" s="16"/>
      <c r="BI555" s="16"/>
      <c r="BJ555" s="16"/>
      <c r="BK555" s="16"/>
      <c r="BL555" s="16"/>
      <c r="BM555" s="16"/>
      <c r="BN555" s="16"/>
      <c r="BO555" s="16"/>
      <c r="BP555" s="16"/>
      <c r="BQ555" s="16"/>
      <c r="BR555" s="16"/>
      <c r="BS555" s="16"/>
      <c r="BT555" s="16"/>
      <c r="BU555" s="16"/>
      <c r="BV555" s="16"/>
      <c r="BW555" s="16"/>
      <c r="BX555" s="16"/>
      <c r="BY555" s="16"/>
      <c r="BZ555" s="16"/>
      <c r="CA555" s="16"/>
      <c r="CB555" s="16"/>
      <c r="CC555" s="16"/>
    </row>
    <row r="556" spans="1:81" ht="13.5" thickBot="1">
      <c r="A556" s="16"/>
      <c r="B556" s="16"/>
      <c r="C556" s="17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16"/>
      <c r="AU556" s="16"/>
      <c r="AV556" s="16"/>
      <c r="AW556" s="16"/>
      <c r="AX556" s="16"/>
      <c r="AY556" s="16"/>
      <c r="AZ556" s="16"/>
      <c r="BA556" s="16"/>
      <c r="BB556" s="16"/>
      <c r="BC556" s="16"/>
      <c r="BD556" s="16"/>
      <c r="BE556" s="16"/>
      <c r="BF556" s="16"/>
      <c r="BG556" s="16"/>
      <c r="BH556" s="16"/>
      <c r="BI556" s="16"/>
      <c r="BJ556" s="16"/>
      <c r="BK556" s="16"/>
      <c r="BL556" s="16"/>
      <c r="BM556" s="16"/>
      <c r="BN556" s="16"/>
      <c r="BO556" s="16"/>
      <c r="BP556" s="16"/>
      <c r="BQ556" s="16"/>
      <c r="BR556" s="16"/>
      <c r="BS556" s="16"/>
      <c r="BT556" s="16"/>
      <c r="BU556" s="16"/>
      <c r="BV556" s="16"/>
      <c r="BW556" s="16"/>
      <c r="BX556" s="16"/>
      <c r="BY556" s="16"/>
      <c r="BZ556" s="16"/>
      <c r="CA556" s="16"/>
      <c r="CB556" s="16"/>
      <c r="CC556" s="16"/>
    </row>
    <row r="557" spans="1:81" ht="13.5" thickBot="1">
      <c r="A557" s="16"/>
      <c r="B557" s="16"/>
      <c r="C557" s="17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16"/>
      <c r="AU557" s="16"/>
      <c r="AV557" s="16"/>
      <c r="AW557" s="16"/>
      <c r="AX557" s="16"/>
      <c r="AY557" s="16"/>
      <c r="AZ557" s="16"/>
      <c r="BA557" s="16"/>
      <c r="BB557" s="16"/>
      <c r="BC557" s="16"/>
      <c r="BD557" s="16"/>
      <c r="BE557" s="16"/>
      <c r="BF557" s="16"/>
      <c r="BG557" s="16"/>
      <c r="BH557" s="16"/>
      <c r="BI557" s="16"/>
      <c r="BJ557" s="16"/>
      <c r="BK557" s="16"/>
      <c r="BL557" s="16"/>
      <c r="BM557" s="16"/>
      <c r="BN557" s="16"/>
      <c r="BO557" s="16"/>
      <c r="BP557" s="16"/>
      <c r="BQ557" s="16"/>
      <c r="BR557" s="16"/>
      <c r="BS557" s="16"/>
      <c r="BT557" s="16"/>
      <c r="BU557" s="16"/>
      <c r="BV557" s="16"/>
      <c r="BW557" s="16"/>
      <c r="BX557" s="16"/>
      <c r="BY557" s="16"/>
      <c r="BZ557" s="16"/>
      <c r="CA557" s="16"/>
      <c r="CB557" s="16"/>
      <c r="CC557" s="16"/>
    </row>
    <row r="558" spans="1:81" ht="13.5" thickBot="1">
      <c r="A558" s="16"/>
      <c r="B558" s="16"/>
      <c r="C558" s="17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16"/>
      <c r="AU558" s="16"/>
      <c r="AV558" s="16"/>
      <c r="AW558" s="16"/>
      <c r="AX558" s="16"/>
      <c r="AY558" s="16"/>
      <c r="AZ558" s="16"/>
      <c r="BA558" s="16"/>
      <c r="BB558" s="16"/>
      <c r="BC558" s="16"/>
      <c r="BD558" s="16"/>
      <c r="BE558" s="16"/>
      <c r="BF558" s="16"/>
      <c r="BG558" s="16"/>
      <c r="BH558" s="16"/>
      <c r="BI558" s="16"/>
      <c r="BJ558" s="16"/>
      <c r="BK558" s="16"/>
      <c r="BL558" s="16"/>
      <c r="BM558" s="16"/>
      <c r="BN558" s="16"/>
      <c r="BO558" s="16"/>
      <c r="BP558" s="16"/>
      <c r="BQ558" s="16"/>
      <c r="BR558" s="16"/>
      <c r="BS558" s="16"/>
      <c r="BT558" s="16"/>
      <c r="BU558" s="16"/>
      <c r="BV558" s="16"/>
      <c r="BW558" s="16"/>
      <c r="BX558" s="16"/>
      <c r="BY558" s="16"/>
      <c r="BZ558" s="16"/>
      <c r="CA558" s="16"/>
      <c r="CB558" s="16"/>
      <c r="CC558" s="16"/>
    </row>
    <row r="559" spans="1:81" ht="13.5" thickBot="1">
      <c r="A559" s="16"/>
      <c r="B559" s="16"/>
      <c r="C559" s="17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16"/>
      <c r="AU559" s="16"/>
      <c r="AV559" s="16"/>
      <c r="AW559" s="16"/>
      <c r="AX559" s="16"/>
      <c r="AY559" s="16"/>
      <c r="AZ559" s="16"/>
      <c r="BA559" s="16"/>
      <c r="BB559" s="16"/>
      <c r="BC559" s="16"/>
      <c r="BD559" s="16"/>
      <c r="BE559" s="16"/>
      <c r="BF559" s="16"/>
      <c r="BG559" s="16"/>
      <c r="BH559" s="16"/>
      <c r="BI559" s="16"/>
      <c r="BJ559" s="16"/>
      <c r="BK559" s="16"/>
      <c r="BL559" s="16"/>
      <c r="BM559" s="16"/>
      <c r="BN559" s="16"/>
      <c r="BO559" s="16"/>
      <c r="BP559" s="16"/>
      <c r="BQ559" s="16"/>
      <c r="BR559" s="16"/>
      <c r="BS559" s="16"/>
      <c r="BT559" s="16"/>
      <c r="BU559" s="16"/>
      <c r="BV559" s="16"/>
      <c r="BW559" s="16"/>
      <c r="BX559" s="16"/>
      <c r="BY559" s="16"/>
      <c r="BZ559" s="16"/>
      <c r="CA559" s="16"/>
      <c r="CB559" s="16"/>
      <c r="CC559" s="16"/>
    </row>
    <row r="560" spans="1:81" ht="13.5" thickBot="1">
      <c r="A560" s="16"/>
      <c r="B560" s="16"/>
      <c r="C560" s="17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16"/>
      <c r="AU560" s="16"/>
      <c r="AV560" s="16"/>
      <c r="AW560" s="16"/>
      <c r="AX560" s="16"/>
      <c r="AY560" s="16"/>
      <c r="AZ560" s="16"/>
      <c r="BA560" s="16"/>
      <c r="BB560" s="16"/>
      <c r="BC560" s="16"/>
      <c r="BD560" s="16"/>
      <c r="BE560" s="16"/>
      <c r="BF560" s="16"/>
      <c r="BG560" s="16"/>
      <c r="BH560" s="16"/>
      <c r="BI560" s="16"/>
      <c r="BJ560" s="16"/>
      <c r="BK560" s="16"/>
      <c r="BL560" s="16"/>
      <c r="BM560" s="16"/>
      <c r="BN560" s="16"/>
      <c r="BO560" s="16"/>
      <c r="BP560" s="16"/>
      <c r="BQ560" s="16"/>
      <c r="BR560" s="16"/>
      <c r="BS560" s="16"/>
      <c r="BT560" s="16"/>
      <c r="BU560" s="16"/>
      <c r="BV560" s="16"/>
      <c r="BW560" s="16"/>
      <c r="BX560" s="16"/>
      <c r="BY560" s="16"/>
      <c r="BZ560" s="16"/>
      <c r="CA560" s="16"/>
      <c r="CB560" s="16"/>
      <c r="CC560" s="16"/>
    </row>
    <row r="561" spans="1:81" ht="13.5" thickBot="1">
      <c r="A561" s="16"/>
      <c r="B561" s="16"/>
      <c r="C561" s="17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16"/>
      <c r="AU561" s="16"/>
      <c r="AV561" s="16"/>
      <c r="AW561" s="16"/>
      <c r="AX561" s="16"/>
      <c r="AY561" s="16"/>
      <c r="AZ561" s="16"/>
      <c r="BA561" s="16"/>
      <c r="BB561" s="16"/>
      <c r="BC561" s="16"/>
      <c r="BD561" s="16"/>
      <c r="BE561" s="16"/>
      <c r="BF561" s="16"/>
      <c r="BG561" s="16"/>
      <c r="BH561" s="16"/>
      <c r="BI561" s="16"/>
      <c r="BJ561" s="16"/>
      <c r="BK561" s="16"/>
      <c r="BL561" s="16"/>
      <c r="BM561" s="16"/>
      <c r="BN561" s="16"/>
      <c r="BO561" s="16"/>
      <c r="BP561" s="16"/>
      <c r="BQ561" s="16"/>
      <c r="BR561" s="16"/>
      <c r="BS561" s="16"/>
      <c r="BT561" s="16"/>
      <c r="BU561" s="16"/>
      <c r="BV561" s="16"/>
      <c r="BW561" s="16"/>
      <c r="BX561" s="16"/>
      <c r="BY561" s="16"/>
      <c r="BZ561" s="16"/>
      <c r="CA561" s="16"/>
      <c r="CB561" s="16"/>
      <c r="CC561" s="16"/>
    </row>
    <row r="562" spans="1:81" ht="13.5" thickBot="1">
      <c r="A562" s="16"/>
      <c r="B562" s="16"/>
      <c r="C562" s="17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16"/>
      <c r="AU562" s="16"/>
      <c r="AV562" s="16"/>
      <c r="AW562" s="16"/>
      <c r="AX562" s="16"/>
      <c r="AY562" s="16"/>
      <c r="AZ562" s="16"/>
      <c r="BA562" s="16"/>
      <c r="BB562" s="16"/>
      <c r="BC562" s="16"/>
      <c r="BD562" s="16"/>
      <c r="BE562" s="16"/>
      <c r="BF562" s="16"/>
      <c r="BG562" s="16"/>
      <c r="BH562" s="16"/>
      <c r="BI562" s="16"/>
      <c r="BJ562" s="16"/>
      <c r="BK562" s="16"/>
      <c r="BL562" s="16"/>
      <c r="BM562" s="16"/>
      <c r="BN562" s="16"/>
      <c r="BO562" s="16"/>
      <c r="BP562" s="16"/>
      <c r="BQ562" s="16"/>
      <c r="BR562" s="16"/>
      <c r="BS562" s="16"/>
      <c r="BT562" s="16"/>
      <c r="BU562" s="16"/>
      <c r="BV562" s="16"/>
      <c r="BW562" s="16"/>
      <c r="BX562" s="16"/>
      <c r="BY562" s="16"/>
      <c r="BZ562" s="16"/>
      <c r="CA562" s="16"/>
      <c r="CB562" s="16"/>
      <c r="CC562" s="16"/>
    </row>
    <row r="563" spans="1:81" ht="13.5" thickBot="1">
      <c r="A563" s="16"/>
      <c r="B563" s="16"/>
      <c r="C563" s="17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16"/>
      <c r="AU563" s="16"/>
      <c r="AV563" s="16"/>
      <c r="AW563" s="16"/>
      <c r="AX563" s="16"/>
      <c r="AY563" s="16"/>
      <c r="AZ563" s="16"/>
      <c r="BA563" s="16"/>
      <c r="BB563" s="16"/>
      <c r="BC563" s="16"/>
      <c r="BD563" s="16"/>
      <c r="BE563" s="16"/>
      <c r="BF563" s="16"/>
      <c r="BG563" s="16"/>
      <c r="BH563" s="16"/>
      <c r="BI563" s="16"/>
      <c r="BJ563" s="16"/>
      <c r="BK563" s="16"/>
      <c r="BL563" s="16"/>
      <c r="BM563" s="16"/>
      <c r="BN563" s="16"/>
      <c r="BO563" s="16"/>
      <c r="BP563" s="16"/>
      <c r="BQ563" s="16"/>
      <c r="BR563" s="16"/>
      <c r="BS563" s="16"/>
      <c r="BT563" s="16"/>
      <c r="BU563" s="16"/>
      <c r="BV563" s="16"/>
      <c r="BW563" s="16"/>
      <c r="BX563" s="16"/>
      <c r="BY563" s="16"/>
      <c r="BZ563" s="16"/>
      <c r="CA563" s="16"/>
      <c r="CB563" s="16"/>
      <c r="CC563" s="16"/>
    </row>
    <row r="564" spans="1:81" ht="13.5" thickBot="1">
      <c r="A564" s="16"/>
      <c r="B564" s="16"/>
      <c r="C564" s="17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16"/>
      <c r="AU564" s="16"/>
      <c r="AV564" s="16"/>
      <c r="AW564" s="16"/>
      <c r="AX564" s="16"/>
      <c r="AY564" s="16"/>
      <c r="AZ564" s="16"/>
      <c r="BA564" s="16"/>
      <c r="BB564" s="16"/>
      <c r="BC564" s="16"/>
      <c r="BD564" s="16"/>
      <c r="BE564" s="16"/>
      <c r="BF564" s="16"/>
      <c r="BG564" s="16"/>
      <c r="BH564" s="16"/>
      <c r="BI564" s="16"/>
      <c r="BJ564" s="16"/>
      <c r="BK564" s="16"/>
      <c r="BL564" s="16"/>
      <c r="BM564" s="16"/>
      <c r="BN564" s="16"/>
      <c r="BO564" s="16"/>
      <c r="BP564" s="16"/>
      <c r="BQ564" s="16"/>
      <c r="BR564" s="16"/>
      <c r="BS564" s="16"/>
      <c r="BT564" s="16"/>
      <c r="BU564" s="16"/>
      <c r="BV564" s="16"/>
      <c r="BW564" s="16"/>
      <c r="BX564" s="16"/>
      <c r="BY564" s="16"/>
      <c r="BZ564" s="16"/>
      <c r="CA564" s="16"/>
      <c r="CB564" s="16"/>
      <c r="CC564" s="16"/>
    </row>
    <row r="565" spans="1:81" ht="13.5" thickBot="1">
      <c r="A565" s="16"/>
      <c r="B565" s="16"/>
      <c r="C565" s="17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  <c r="AU565" s="16"/>
      <c r="AV565" s="16"/>
      <c r="AW565" s="16"/>
      <c r="AX565" s="16"/>
      <c r="AY565" s="16"/>
      <c r="AZ565" s="16"/>
      <c r="BA565" s="16"/>
      <c r="BB565" s="16"/>
      <c r="BC565" s="16"/>
      <c r="BD565" s="16"/>
      <c r="BE565" s="16"/>
      <c r="BF565" s="16"/>
      <c r="BG565" s="16"/>
      <c r="BH565" s="16"/>
      <c r="BI565" s="16"/>
      <c r="BJ565" s="16"/>
      <c r="BK565" s="16"/>
      <c r="BL565" s="16"/>
      <c r="BM565" s="16"/>
      <c r="BN565" s="16"/>
      <c r="BO565" s="16"/>
      <c r="BP565" s="16"/>
      <c r="BQ565" s="16"/>
      <c r="BR565" s="16"/>
      <c r="BS565" s="16"/>
      <c r="BT565" s="16"/>
      <c r="BU565" s="16"/>
      <c r="BV565" s="16"/>
      <c r="BW565" s="16"/>
      <c r="BX565" s="16"/>
      <c r="BY565" s="16"/>
      <c r="BZ565" s="16"/>
      <c r="CA565" s="16"/>
      <c r="CB565" s="16"/>
      <c r="CC565" s="16"/>
    </row>
    <row r="566" spans="1:81" ht="13.5" thickBot="1">
      <c r="A566" s="16"/>
      <c r="B566" s="16"/>
      <c r="C566" s="17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  <c r="AU566" s="16"/>
      <c r="AV566" s="16"/>
      <c r="AW566" s="16"/>
      <c r="AX566" s="16"/>
      <c r="AY566" s="16"/>
      <c r="AZ566" s="16"/>
      <c r="BA566" s="16"/>
      <c r="BB566" s="16"/>
      <c r="BC566" s="16"/>
      <c r="BD566" s="16"/>
      <c r="BE566" s="16"/>
      <c r="BF566" s="16"/>
      <c r="BG566" s="16"/>
      <c r="BH566" s="16"/>
      <c r="BI566" s="16"/>
      <c r="BJ566" s="16"/>
      <c r="BK566" s="16"/>
      <c r="BL566" s="16"/>
      <c r="BM566" s="16"/>
      <c r="BN566" s="16"/>
      <c r="BO566" s="16"/>
      <c r="BP566" s="16"/>
      <c r="BQ566" s="16"/>
      <c r="BR566" s="16"/>
      <c r="BS566" s="16"/>
      <c r="BT566" s="16"/>
      <c r="BU566" s="16"/>
      <c r="BV566" s="16"/>
      <c r="BW566" s="16"/>
      <c r="BX566" s="16"/>
      <c r="BY566" s="16"/>
      <c r="BZ566" s="16"/>
      <c r="CA566" s="16"/>
      <c r="CB566" s="16"/>
      <c r="CC566" s="16"/>
    </row>
    <row r="567" spans="1:81" ht="13.5" thickBot="1">
      <c r="A567" s="16"/>
      <c r="B567" s="16"/>
      <c r="C567" s="17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  <c r="AU567" s="16"/>
      <c r="AV567" s="16"/>
      <c r="AW567" s="16"/>
      <c r="AX567" s="16"/>
      <c r="AY567" s="16"/>
      <c r="AZ567" s="16"/>
      <c r="BA567" s="16"/>
      <c r="BB567" s="16"/>
      <c r="BC567" s="16"/>
      <c r="BD567" s="16"/>
      <c r="BE567" s="16"/>
      <c r="BF567" s="16"/>
      <c r="BG567" s="16"/>
      <c r="BH567" s="16"/>
      <c r="BI567" s="16"/>
      <c r="BJ567" s="16"/>
      <c r="BK567" s="16"/>
      <c r="BL567" s="16"/>
      <c r="BM567" s="16"/>
      <c r="BN567" s="16"/>
      <c r="BO567" s="16"/>
      <c r="BP567" s="16"/>
      <c r="BQ567" s="16"/>
      <c r="BR567" s="16"/>
      <c r="BS567" s="16"/>
      <c r="BT567" s="16"/>
      <c r="BU567" s="16"/>
      <c r="BV567" s="16"/>
      <c r="BW567" s="16"/>
      <c r="BX567" s="16"/>
      <c r="BY567" s="16"/>
      <c r="BZ567" s="16"/>
      <c r="CA567" s="16"/>
      <c r="CB567" s="16"/>
      <c r="CC567" s="16"/>
    </row>
    <row r="568" spans="1:81" ht="13.5" thickBot="1">
      <c r="A568" s="16"/>
      <c r="B568" s="16"/>
      <c r="C568" s="17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  <c r="AU568" s="16"/>
      <c r="AV568" s="16"/>
      <c r="AW568" s="16"/>
      <c r="AX568" s="16"/>
      <c r="AY568" s="16"/>
      <c r="AZ568" s="16"/>
      <c r="BA568" s="16"/>
      <c r="BB568" s="16"/>
      <c r="BC568" s="16"/>
      <c r="BD568" s="16"/>
      <c r="BE568" s="16"/>
      <c r="BF568" s="16"/>
      <c r="BG568" s="16"/>
      <c r="BH568" s="16"/>
      <c r="BI568" s="16"/>
      <c r="BJ568" s="16"/>
      <c r="BK568" s="16"/>
      <c r="BL568" s="16"/>
      <c r="BM568" s="16"/>
      <c r="BN568" s="16"/>
      <c r="BO568" s="16"/>
      <c r="BP568" s="16"/>
      <c r="BQ568" s="16"/>
      <c r="BR568" s="16"/>
      <c r="BS568" s="16"/>
      <c r="BT568" s="16"/>
      <c r="BU568" s="16"/>
      <c r="BV568" s="16"/>
      <c r="BW568" s="16"/>
      <c r="BX568" s="16"/>
      <c r="BY568" s="16"/>
      <c r="BZ568" s="16"/>
      <c r="CA568" s="16"/>
      <c r="CB568" s="16"/>
      <c r="CC568" s="16"/>
    </row>
    <row r="569" spans="1:81" ht="13.5" thickBot="1">
      <c r="A569" s="16"/>
      <c r="B569" s="16"/>
      <c r="C569" s="17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  <c r="AU569" s="16"/>
      <c r="AV569" s="16"/>
      <c r="AW569" s="16"/>
      <c r="AX569" s="16"/>
      <c r="AY569" s="16"/>
      <c r="AZ569" s="16"/>
      <c r="BA569" s="16"/>
      <c r="BB569" s="16"/>
      <c r="BC569" s="16"/>
      <c r="BD569" s="16"/>
      <c r="BE569" s="16"/>
      <c r="BF569" s="16"/>
      <c r="BG569" s="16"/>
      <c r="BH569" s="16"/>
      <c r="BI569" s="16"/>
      <c r="BJ569" s="16"/>
      <c r="BK569" s="16"/>
      <c r="BL569" s="16"/>
      <c r="BM569" s="16"/>
      <c r="BN569" s="16"/>
      <c r="BO569" s="16"/>
      <c r="BP569" s="16"/>
      <c r="BQ569" s="16"/>
      <c r="BR569" s="16"/>
      <c r="BS569" s="16"/>
      <c r="BT569" s="16"/>
      <c r="BU569" s="16"/>
      <c r="BV569" s="16"/>
      <c r="BW569" s="16"/>
      <c r="BX569" s="16"/>
      <c r="BY569" s="16"/>
      <c r="BZ569" s="16"/>
      <c r="CA569" s="16"/>
      <c r="CB569" s="16"/>
      <c r="CC569" s="16"/>
    </row>
    <row r="570" spans="1:81" ht="13.5" thickBot="1">
      <c r="A570" s="16"/>
      <c r="B570" s="16"/>
      <c r="C570" s="17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  <c r="AU570" s="16"/>
      <c r="AV570" s="16"/>
      <c r="AW570" s="16"/>
      <c r="AX570" s="16"/>
      <c r="AY570" s="16"/>
      <c r="AZ570" s="16"/>
      <c r="BA570" s="16"/>
      <c r="BB570" s="16"/>
      <c r="BC570" s="16"/>
      <c r="BD570" s="16"/>
      <c r="BE570" s="16"/>
      <c r="BF570" s="16"/>
      <c r="BG570" s="16"/>
      <c r="BH570" s="16"/>
      <c r="BI570" s="16"/>
      <c r="BJ570" s="16"/>
      <c r="BK570" s="16"/>
      <c r="BL570" s="16"/>
      <c r="BM570" s="16"/>
      <c r="BN570" s="16"/>
      <c r="BO570" s="16"/>
      <c r="BP570" s="16"/>
      <c r="BQ570" s="16"/>
      <c r="BR570" s="16"/>
      <c r="BS570" s="16"/>
      <c r="BT570" s="16"/>
      <c r="BU570" s="16"/>
      <c r="BV570" s="16"/>
      <c r="BW570" s="16"/>
      <c r="BX570" s="16"/>
      <c r="BY570" s="16"/>
      <c r="BZ570" s="16"/>
      <c r="CA570" s="16"/>
      <c r="CB570" s="16"/>
      <c r="CC570" s="16"/>
    </row>
    <row r="571" spans="1:81" ht="13.5" thickBot="1">
      <c r="A571" s="16"/>
      <c r="B571" s="16"/>
      <c r="C571" s="17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  <c r="AU571" s="16"/>
      <c r="AV571" s="16"/>
      <c r="AW571" s="16"/>
      <c r="AX571" s="16"/>
      <c r="AY571" s="16"/>
      <c r="AZ571" s="16"/>
      <c r="BA571" s="16"/>
      <c r="BB571" s="16"/>
      <c r="BC571" s="16"/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  <c r="BP571" s="16"/>
      <c r="BQ571" s="16"/>
      <c r="BR571" s="16"/>
      <c r="BS571" s="16"/>
      <c r="BT571" s="16"/>
      <c r="BU571" s="16"/>
      <c r="BV571" s="16"/>
      <c r="BW571" s="16"/>
      <c r="BX571" s="16"/>
      <c r="BY571" s="16"/>
      <c r="BZ571" s="16"/>
      <c r="CA571" s="16"/>
      <c r="CB571" s="16"/>
      <c r="CC571" s="16"/>
    </row>
    <row r="572" spans="1:81" ht="13.5" thickBot="1">
      <c r="A572" s="16"/>
      <c r="B572" s="16"/>
      <c r="C572" s="17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  <c r="AU572" s="16"/>
      <c r="AV572" s="16"/>
      <c r="AW572" s="16"/>
      <c r="AX572" s="16"/>
      <c r="AY572" s="16"/>
      <c r="AZ572" s="16"/>
      <c r="BA572" s="16"/>
      <c r="BB572" s="16"/>
      <c r="BC572" s="16"/>
      <c r="BD572" s="16"/>
      <c r="BE572" s="16"/>
      <c r="BF572" s="16"/>
      <c r="BG572" s="16"/>
      <c r="BH572" s="16"/>
      <c r="BI572" s="16"/>
      <c r="BJ572" s="16"/>
      <c r="BK572" s="16"/>
      <c r="BL572" s="16"/>
      <c r="BM572" s="16"/>
      <c r="BN572" s="16"/>
      <c r="BO572" s="16"/>
      <c r="BP572" s="16"/>
      <c r="BQ572" s="16"/>
      <c r="BR572" s="16"/>
      <c r="BS572" s="16"/>
      <c r="BT572" s="16"/>
      <c r="BU572" s="16"/>
      <c r="BV572" s="16"/>
      <c r="BW572" s="16"/>
      <c r="BX572" s="16"/>
      <c r="BY572" s="16"/>
      <c r="BZ572" s="16"/>
      <c r="CA572" s="16"/>
      <c r="CB572" s="16"/>
      <c r="CC572" s="16"/>
    </row>
    <row r="573" spans="1:81" ht="13.5" thickBot="1">
      <c r="A573" s="16"/>
      <c r="B573" s="16"/>
      <c r="C573" s="17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  <c r="AU573" s="16"/>
      <c r="AV573" s="16"/>
      <c r="AW573" s="16"/>
      <c r="AX573" s="16"/>
      <c r="AY573" s="16"/>
      <c r="AZ573" s="16"/>
      <c r="BA573" s="16"/>
      <c r="BB573" s="16"/>
      <c r="BC573" s="16"/>
      <c r="BD573" s="16"/>
      <c r="BE573" s="16"/>
      <c r="BF573" s="16"/>
      <c r="BG573" s="16"/>
      <c r="BH573" s="16"/>
      <c r="BI573" s="16"/>
      <c r="BJ573" s="16"/>
      <c r="BK573" s="16"/>
      <c r="BL573" s="16"/>
      <c r="BM573" s="16"/>
      <c r="BN573" s="16"/>
      <c r="BO573" s="16"/>
      <c r="BP573" s="16"/>
      <c r="BQ573" s="16"/>
      <c r="BR573" s="16"/>
      <c r="BS573" s="16"/>
      <c r="BT573" s="16"/>
      <c r="BU573" s="16"/>
      <c r="BV573" s="16"/>
      <c r="BW573" s="16"/>
      <c r="BX573" s="16"/>
      <c r="BY573" s="16"/>
      <c r="BZ573" s="16"/>
      <c r="CA573" s="16"/>
      <c r="CB573" s="16"/>
      <c r="CC573" s="16"/>
    </row>
    <row r="574" spans="1:81" ht="13.5" thickBot="1">
      <c r="A574" s="16"/>
      <c r="B574" s="16"/>
      <c r="C574" s="17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  <c r="AU574" s="16"/>
      <c r="AV574" s="16"/>
      <c r="AW574" s="16"/>
      <c r="AX574" s="16"/>
      <c r="AY574" s="16"/>
      <c r="AZ574" s="16"/>
      <c r="BA574" s="16"/>
      <c r="BB574" s="16"/>
      <c r="BC574" s="16"/>
      <c r="BD574" s="16"/>
      <c r="BE574" s="16"/>
      <c r="BF574" s="16"/>
      <c r="BG574" s="16"/>
      <c r="BH574" s="16"/>
      <c r="BI574" s="16"/>
      <c r="BJ574" s="16"/>
      <c r="BK574" s="16"/>
      <c r="BL574" s="16"/>
      <c r="BM574" s="16"/>
      <c r="BN574" s="16"/>
      <c r="BO574" s="16"/>
      <c r="BP574" s="16"/>
      <c r="BQ574" s="16"/>
      <c r="BR574" s="16"/>
      <c r="BS574" s="16"/>
      <c r="BT574" s="16"/>
      <c r="BU574" s="16"/>
      <c r="BV574" s="16"/>
      <c r="BW574" s="16"/>
      <c r="BX574" s="16"/>
      <c r="BY574" s="16"/>
      <c r="BZ574" s="16"/>
      <c r="CA574" s="16"/>
      <c r="CB574" s="16"/>
      <c r="CC574" s="16"/>
    </row>
    <row r="575" spans="1:81" ht="13.5" thickBot="1">
      <c r="A575" s="16"/>
      <c r="B575" s="16"/>
      <c r="C575" s="17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16"/>
      <c r="AU575" s="16"/>
      <c r="AV575" s="16"/>
      <c r="AW575" s="16"/>
      <c r="AX575" s="16"/>
      <c r="AY575" s="16"/>
      <c r="AZ575" s="16"/>
      <c r="BA575" s="16"/>
      <c r="BB575" s="16"/>
      <c r="BC575" s="16"/>
      <c r="BD575" s="16"/>
      <c r="BE575" s="16"/>
      <c r="BF575" s="16"/>
      <c r="BG575" s="16"/>
      <c r="BH575" s="16"/>
      <c r="BI575" s="16"/>
      <c r="BJ575" s="16"/>
      <c r="BK575" s="16"/>
      <c r="BL575" s="16"/>
      <c r="BM575" s="16"/>
      <c r="BN575" s="16"/>
      <c r="BO575" s="16"/>
      <c r="BP575" s="16"/>
      <c r="BQ575" s="16"/>
      <c r="BR575" s="16"/>
      <c r="BS575" s="16"/>
      <c r="BT575" s="16"/>
      <c r="BU575" s="16"/>
      <c r="BV575" s="16"/>
      <c r="BW575" s="16"/>
      <c r="BX575" s="16"/>
      <c r="BY575" s="16"/>
      <c r="BZ575" s="16"/>
      <c r="CA575" s="16"/>
      <c r="CB575" s="16"/>
      <c r="CC575" s="16"/>
    </row>
    <row r="576" spans="1:81" ht="13.5" thickBot="1">
      <c r="A576" s="16"/>
      <c r="B576" s="16"/>
      <c r="C576" s="17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16"/>
      <c r="AU576" s="16"/>
      <c r="AV576" s="16"/>
      <c r="AW576" s="16"/>
      <c r="AX576" s="16"/>
      <c r="AY576" s="16"/>
      <c r="AZ576" s="16"/>
      <c r="BA576" s="16"/>
      <c r="BB576" s="16"/>
      <c r="BC576" s="16"/>
      <c r="BD576" s="16"/>
      <c r="BE576" s="16"/>
      <c r="BF576" s="16"/>
      <c r="BG576" s="16"/>
      <c r="BH576" s="16"/>
      <c r="BI576" s="16"/>
      <c r="BJ576" s="16"/>
      <c r="BK576" s="16"/>
      <c r="BL576" s="16"/>
      <c r="BM576" s="16"/>
      <c r="BN576" s="16"/>
      <c r="BO576" s="16"/>
      <c r="BP576" s="16"/>
      <c r="BQ576" s="16"/>
      <c r="BR576" s="16"/>
      <c r="BS576" s="16"/>
      <c r="BT576" s="16"/>
      <c r="BU576" s="16"/>
      <c r="BV576" s="16"/>
      <c r="BW576" s="16"/>
      <c r="BX576" s="16"/>
      <c r="BY576" s="16"/>
      <c r="BZ576" s="16"/>
      <c r="CA576" s="16"/>
      <c r="CB576" s="16"/>
      <c r="CC576" s="16"/>
    </row>
    <row r="577" spans="1:81" ht="13.5" thickBot="1">
      <c r="A577" s="16"/>
      <c r="B577" s="16"/>
      <c r="C577" s="17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16"/>
      <c r="AU577" s="16"/>
      <c r="AV577" s="16"/>
      <c r="AW577" s="16"/>
      <c r="AX577" s="16"/>
      <c r="AY577" s="16"/>
      <c r="AZ577" s="16"/>
      <c r="BA577" s="16"/>
      <c r="BB577" s="16"/>
      <c r="BC577" s="16"/>
      <c r="BD577" s="16"/>
      <c r="BE577" s="16"/>
      <c r="BF577" s="16"/>
      <c r="BG577" s="16"/>
      <c r="BH577" s="16"/>
      <c r="BI577" s="16"/>
      <c r="BJ577" s="16"/>
      <c r="BK577" s="16"/>
      <c r="BL577" s="16"/>
      <c r="BM577" s="16"/>
      <c r="BN577" s="16"/>
      <c r="BO577" s="16"/>
      <c r="BP577" s="16"/>
      <c r="BQ577" s="16"/>
      <c r="BR577" s="16"/>
      <c r="BS577" s="16"/>
      <c r="BT577" s="16"/>
      <c r="BU577" s="16"/>
      <c r="BV577" s="16"/>
      <c r="BW577" s="16"/>
      <c r="BX577" s="16"/>
      <c r="BY577" s="16"/>
      <c r="BZ577" s="16"/>
      <c r="CA577" s="16"/>
      <c r="CB577" s="16"/>
      <c r="CC577" s="16"/>
    </row>
    <row r="578" spans="1:81" ht="13.5" thickBot="1">
      <c r="A578" s="16"/>
      <c r="B578" s="16"/>
      <c r="C578" s="17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16"/>
      <c r="AU578" s="16"/>
      <c r="AV578" s="16"/>
      <c r="AW578" s="16"/>
      <c r="AX578" s="16"/>
      <c r="AY578" s="16"/>
      <c r="AZ578" s="16"/>
      <c r="BA578" s="16"/>
      <c r="BB578" s="16"/>
      <c r="BC578" s="16"/>
      <c r="BD578" s="16"/>
      <c r="BE578" s="16"/>
      <c r="BF578" s="16"/>
      <c r="BG578" s="16"/>
      <c r="BH578" s="16"/>
      <c r="BI578" s="16"/>
      <c r="BJ578" s="16"/>
      <c r="BK578" s="16"/>
      <c r="BL578" s="16"/>
      <c r="BM578" s="16"/>
      <c r="BN578" s="16"/>
      <c r="BO578" s="16"/>
      <c r="BP578" s="16"/>
      <c r="BQ578" s="16"/>
      <c r="BR578" s="16"/>
      <c r="BS578" s="16"/>
      <c r="BT578" s="16"/>
      <c r="BU578" s="16"/>
      <c r="BV578" s="16"/>
      <c r="BW578" s="16"/>
      <c r="BX578" s="16"/>
      <c r="BY578" s="16"/>
      <c r="BZ578" s="16"/>
      <c r="CA578" s="16"/>
      <c r="CB578" s="16"/>
      <c r="CC578" s="16"/>
    </row>
    <row r="579" spans="1:81" ht="13.5" thickBot="1">
      <c r="A579" s="16"/>
      <c r="B579" s="16"/>
      <c r="C579" s="17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  <c r="AU579" s="16"/>
      <c r="AV579" s="16"/>
      <c r="AW579" s="16"/>
      <c r="AX579" s="16"/>
      <c r="AY579" s="16"/>
      <c r="AZ579" s="16"/>
      <c r="BA579" s="16"/>
      <c r="BB579" s="16"/>
      <c r="BC579" s="16"/>
      <c r="BD579" s="16"/>
      <c r="BE579" s="16"/>
      <c r="BF579" s="16"/>
      <c r="BG579" s="16"/>
      <c r="BH579" s="16"/>
      <c r="BI579" s="16"/>
      <c r="BJ579" s="16"/>
      <c r="BK579" s="16"/>
      <c r="BL579" s="16"/>
      <c r="BM579" s="16"/>
      <c r="BN579" s="16"/>
      <c r="BO579" s="16"/>
      <c r="BP579" s="16"/>
      <c r="BQ579" s="16"/>
      <c r="BR579" s="16"/>
      <c r="BS579" s="16"/>
      <c r="BT579" s="16"/>
      <c r="BU579" s="16"/>
      <c r="BV579" s="16"/>
      <c r="BW579" s="16"/>
      <c r="BX579" s="16"/>
      <c r="BY579" s="16"/>
      <c r="BZ579" s="16"/>
      <c r="CA579" s="16"/>
      <c r="CB579" s="16"/>
      <c r="CC579" s="16"/>
    </row>
    <row r="580" spans="1:81" ht="13.5" thickBot="1">
      <c r="A580" s="16"/>
      <c r="B580" s="16"/>
      <c r="C580" s="17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  <c r="AU580" s="16"/>
      <c r="AV580" s="16"/>
      <c r="AW580" s="16"/>
      <c r="AX580" s="16"/>
      <c r="AY580" s="16"/>
      <c r="AZ580" s="16"/>
      <c r="BA580" s="16"/>
      <c r="BB580" s="16"/>
      <c r="BC580" s="16"/>
      <c r="BD580" s="16"/>
      <c r="BE580" s="16"/>
      <c r="BF580" s="16"/>
      <c r="BG580" s="16"/>
      <c r="BH580" s="16"/>
      <c r="BI580" s="16"/>
      <c r="BJ580" s="16"/>
      <c r="BK580" s="16"/>
      <c r="BL580" s="16"/>
      <c r="BM580" s="16"/>
      <c r="BN580" s="16"/>
      <c r="BO580" s="16"/>
      <c r="BP580" s="16"/>
      <c r="BQ580" s="16"/>
      <c r="BR580" s="16"/>
      <c r="BS580" s="16"/>
      <c r="BT580" s="16"/>
      <c r="BU580" s="16"/>
      <c r="BV580" s="16"/>
      <c r="BW580" s="16"/>
      <c r="BX580" s="16"/>
      <c r="BY580" s="16"/>
      <c r="BZ580" s="16"/>
      <c r="CA580" s="16"/>
      <c r="CB580" s="16"/>
      <c r="CC580" s="16"/>
    </row>
    <row r="581" spans="1:81" ht="13.5" thickBot="1">
      <c r="A581" s="16"/>
      <c r="B581" s="16"/>
      <c r="C581" s="17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  <c r="AU581" s="16"/>
      <c r="AV581" s="16"/>
      <c r="AW581" s="16"/>
      <c r="AX581" s="16"/>
      <c r="AY581" s="16"/>
      <c r="AZ581" s="16"/>
      <c r="BA581" s="16"/>
      <c r="BB581" s="16"/>
      <c r="BC581" s="16"/>
      <c r="BD581" s="16"/>
      <c r="BE581" s="16"/>
      <c r="BF581" s="16"/>
      <c r="BG581" s="16"/>
      <c r="BH581" s="16"/>
      <c r="BI581" s="16"/>
      <c r="BJ581" s="16"/>
      <c r="BK581" s="16"/>
      <c r="BL581" s="16"/>
      <c r="BM581" s="16"/>
      <c r="BN581" s="16"/>
      <c r="BO581" s="16"/>
      <c r="BP581" s="16"/>
      <c r="BQ581" s="16"/>
      <c r="BR581" s="16"/>
      <c r="BS581" s="16"/>
      <c r="BT581" s="16"/>
      <c r="BU581" s="16"/>
      <c r="BV581" s="16"/>
      <c r="BW581" s="16"/>
      <c r="BX581" s="16"/>
      <c r="BY581" s="16"/>
      <c r="BZ581" s="16"/>
      <c r="CA581" s="16"/>
      <c r="CB581" s="16"/>
      <c r="CC581" s="16"/>
    </row>
    <row r="582" spans="1:81" ht="13.5" thickBot="1">
      <c r="A582" s="16"/>
      <c r="B582" s="16"/>
      <c r="C582" s="17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  <c r="AU582" s="16"/>
      <c r="AV582" s="16"/>
      <c r="AW582" s="16"/>
      <c r="AX582" s="16"/>
      <c r="AY582" s="16"/>
      <c r="AZ582" s="16"/>
      <c r="BA582" s="16"/>
      <c r="BB582" s="16"/>
      <c r="BC582" s="16"/>
      <c r="BD582" s="16"/>
      <c r="BE582" s="16"/>
      <c r="BF582" s="16"/>
      <c r="BG582" s="16"/>
      <c r="BH582" s="16"/>
      <c r="BI582" s="16"/>
      <c r="BJ582" s="16"/>
      <c r="BK582" s="16"/>
      <c r="BL582" s="16"/>
      <c r="BM582" s="16"/>
      <c r="BN582" s="16"/>
      <c r="BO582" s="16"/>
      <c r="BP582" s="16"/>
      <c r="BQ582" s="16"/>
      <c r="BR582" s="16"/>
      <c r="BS582" s="16"/>
      <c r="BT582" s="16"/>
      <c r="BU582" s="16"/>
      <c r="BV582" s="16"/>
      <c r="BW582" s="16"/>
      <c r="BX582" s="16"/>
      <c r="BY582" s="16"/>
      <c r="BZ582" s="16"/>
      <c r="CA582" s="16"/>
      <c r="CB582" s="16"/>
      <c r="CC582" s="16"/>
    </row>
    <row r="583" spans="1:81" ht="13.5" thickBot="1">
      <c r="A583" s="16"/>
      <c r="B583" s="16"/>
      <c r="C583" s="17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  <c r="AU583" s="16"/>
      <c r="AV583" s="16"/>
      <c r="AW583" s="16"/>
      <c r="AX583" s="16"/>
      <c r="AY583" s="16"/>
      <c r="AZ583" s="16"/>
      <c r="BA583" s="16"/>
      <c r="BB583" s="16"/>
      <c r="BC583" s="16"/>
      <c r="BD583" s="16"/>
      <c r="BE583" s="16"/>
      <c r="BF583" s="16"/>
      <c r="BG583" s="16"/>
      <c r="BH583" s="16"/>
      <c r="BI583" s="16"/>
      <c r="BJ583" s="16"/>
      <c r="BK583" s="16"/>
      <c r="BL583" s="16"/>
      <c r="BM583" s="16"/>
      <c r="BN583" s="16"/>
      <c r="BO583" s="16"/>
      <c r="BP583" s="16"/>
      <c r="BQ583" s="16"/>
      <c r="BR583" s="16"/>
      <c r="BS583" s="16"/>
      <c r="BT583" s="16"/>
      <c r="BU583" s="16"/>
      <c r="BV583" s="16"/>
      <c r="BW583" s="16"/>
      <c r="BX583" s="16"/>
      <c r="BY583" s="16"/>
      <c r="BZ583" s="16"/>
      <c r="CA583" s="16"/>
      <c r="CB583" s="16"/>
      <c r="CC583" s="16"/>
    </row>
    <row r="584" spans="1:81" ht="13.5" thickBot="1">
      <c r="A584" s="16"/>
      <c r="B584" s="16"/>
      <c r="C584" s="17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  <c r="AY584" s="16"/>
      <c r="AZ584" s="16"/>
      <c r="BA584" s="16"/>
      <c r="BB584" s="16"/>
      <c r="BC584" s="16"/>
      <c r="BD584" s="16"/>
      <c r="BE584" s="16"/>
      <c r="BF584" s="16"/>
      <c r="BG584" s="16"/>
      <c r="BH584" s="16"/>
      <c r="BI584" s="16"/>
      <c r="BJ584" s="16"/>
      <c r="BK584" s="16"/>
      <c r="BL584" s="16"/>
      <c r="BM584" s="16"/>
      <c r="BN584" s="16"/>
      <c r="BO584" s="16"/>
      <c r="BP584" s="16"/>
      <c r="BQ584" s="16"/>
      <c r="BR584" s="16"/>
      <c r="BS584" s="16"/>
      <c r="BT584" s="16"/>
      <c r="BU584" s="16"/>
      <c r="BV584" s="16"/>
      <c r="BW584" s="16"/>
      <c r="BX584" s="16"/>
      <c r="BY584" s="16"/>
      <c r="BZ584" s="16"/>
      <c r="CA584" s="16"/>
      <c r="CB584" s="16"/>
      <c r="CC584" s="16"/>
    </row>
    <row r="585" spans="1:81" ht="13.5" thickBot="1">
      <c r="A585" s="16"/>
      <c r="B585" s="16"/>
      <c r="C585" s="17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  <c r="AU585" s="16"/>
      <c r="AV585" s="16"/>
      <c r="AW585" s="16"/>
      <c r="AX585" s="16"/>
      <c r="AY585" s="16"/>
      <c r="AZ585" s="16"/>
      <c r="BA585" s="16"/>
      <c r="BB585" s="16"/>
      <c r="BC585" s="16"/>
      <c r="BD585" s="16"/>
      <c r="BE585" s="16"/>
      <c r="BF585" s="16"/>
      <c r="BG585" s="16"/>
      <c r="BH585" s="16"/>
      <c r="BI585" s="16"/>
      <c r="BJ585" s="16"/>
      <c r="BK585" s="16"/>
      <c r="BL585" s="16"/>
      <c r="BM585" s="16"/>
      <c r="BN585" s="16"/>
      <c r="BO585" s="16"/>
      <c r="BP585" s="16"/>
      <c r="BQ585" s="16"/>
      <c r="BR585" s="16"/>
      <c r="BS585" s="16"/>
      <c r="BT585" s="16"/>
      <c r="BU585" s="16"/>
      <c r="BV585" s="16"/>
      <c r="BW585" s="16"/>
      <c r="BX585" s="16"/>
      <c r="BY585" s="16"/>
      <c r="BZ585" s="16"/>
      <c r="CA585" s="16"/>
      <c r="CB585" s="16"/>
      <c r="CC585" s="16"/>
    </row>
    <row r="586" spans="1:81" ht="13.5" thickBot="1">
      <c r="A586" s="16"/>
      <c r="B586" s="16"/>
      <c r="C586" s="17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  <c r="AU586" s="16"/>
      <c r="AV586" s="16"/>
      <c r="AW586" s="16"/>
      <c r="AX586" s="16"/>
      <c r="AY586" s="16"/>
      <c r="AZ586" s="16"/>
      <c r="BA586" s="16"/>
      <c r="BB586" s="16"/>
      <c r="BC586" s="16"/>
      <c r="BD586" s="16"/>
      <c r="BE586" s="16"/>
      <c r="BF586" s="16"/>
      <c r="BG586" s="16"/>
      <c r="BH586" s="16"/>
      <c r="BI586" s="16"/>
      <c r="BJ586" s="16"/>
      <c r="BK586" s="16"/>
      <c r="BL586" s="16"/>
      <c r="BM586" s="16"/>
      <c r="BN586" s="16"/>
      <c r="BO586" s="16"/>
      <c r="BP586" s="16"/>
      <c r="BQ586" s="16"/>
      <c r="BR586" s="16"/>
      <c r="BS586" s="16"/>
      <c r="BT586" s="16"/>
      <c r="BU586" s="16"/>
      <c r="BV586" s="16"/>
      <c r="BW586" s="16"/>
      <c r="BX586" s="16"/>
      <c r="BY586" s="16"/>
      <c r="BZ586" s="16"/>
      <c r="CA586" s="16"/>
      <c r="CB586" s="16"/>
      <c r="CC586" s="16"/>
    </row>
    <row r="587" spans="1:81" ht="13.5" thickBot="1">
      <c r="A587" s="16"/>
      <c r="B587" s="16"/>
      <c r="C587" s="17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  <c r="AU587" s="16"/>
      <c r="AV587" s="16"/>
      <c r="AW587" s="16"/>
      <c r="AX587" s="16"/>
      <c r="AY587" s="16"/>
      <c r="AZ587" s="16"/>
      <c r="BA587" s="16"/>
      <c r="BB587" s="16"/>
      <c r="BC587" s="16"/>
      <c r="BD587" s="16"/>
      <c r="BE587" s="16"/>
      <c r="BF587" s="16"/>
      <c r="BG587" s="16"/>
      <c r="BH587" s="16"/>
      <c r="BI587" s="16"/>
      <c r="BJ587" s="16"/>
      <c r="BK587" s="16"/>
      <c r="BL587" s="16"/>
      <c r="BM587" s="16"/>
      <c r="BN587" s="16"/>
      <c r="BO587" s="16"/>
      <c r="BP587" s="16"/>
      <c r="BQ587" s="16"/>
      <c r="BR587" s="16"/>
      <c r="BS587" s="16"/>
      <c r="BT587" s="16"/>
      <c r="BU587" s="16"/>
      <c r="BV587" s="16"/>
      <c r="BW587" s="16"/>
      <c r="BX587" s="16"/>
      <c r="BY587" s="16"/>
      <c r="BZ587" s="16"/>
      <c r="CA587" s="16"/>
      <c r="CB587" s="16"/>
      <c r="CC587" s="16"/>
    </row>
    <row r="588" spans="1:81" ht="13.5" thickBot="1">
      <c r="A588" s="16"/>
      <c r="B588" s="16"/>
      <c r="C588" s="17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  <c r="AY588" s="16"/>
      <c r="AZ588" s="16"/>
      <c r="BA588" s="16"/>
      <c r="BB588" s="16"/>
      <c r="BC588" s="16"/>
      <c r="BD588" s="16"/>
      <c r="BE588" s="16"/>
      <c r="BF588" s="16"/>
      <c r="BG588" s="16"/>
      <c r="BH588" s="16"/>
      <c r="BI588" s="16"/>
      <c r="BJ588" s="16"/>
      <c r="BK588" s="16"/>
      <c r="BL588" s="16"/>
      <c r="BM588" s="16"/>
      <c r="BN588" s="16"/>
      <c r="BO588" s="16"/>
      <c r="BP588" s="16"/>
      <c r="BQ588" s="16"/>
      <c r="BR588" s="16"/>
      <c r="BS588" s="16"/>
      <c r="BT588" s="16"/>
      <c r="BU588" s="16"/>
      <c r="BV588" s="16"/>
      <c r="BW588" s="16"/>
      <c r="BX588" s="16"/>
      <c r="BY588" s="16"/>
      <c r="BZ588" s="16"/>
      <c r="CA588" s="16"/>
      <c r="CB588" s="16"/>
      <c r="CC588" s="16"/>
    </row>
    <row r="589" spans="1:81" ht="13.5" thickBot="1">
      <c r="A589" s="16"/>
      <c r="B589" s="16"/>
      <c r="C589" s="17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  <c r="AU589" s="16"/>
      <c r="AV589" s="16"/>
      <c r="AW589" s="16"/>
      <c r="AX589" s="16"/>
      <c r="AY589" s="16"/>
      <c r="AZ589" s="16"/>
      <c r="BA589" s="16"/>
      <c r="BB589" s="16"/>
      <c r="BC589" s="16"/>
      <c r="BD589" s="16"/>
      <c r="BE589" s="16"/>
      <c r="BF589" s="16"/>
      <c r="BG589" s="16"/>
      <c r="BH589" s="16"/>
      <c r="BI589" s="16"/>
      <c r="BJ589" s="16"/>
      <c r="BK589" s="16"/>
      <c r="BL589" s="16"/>
      <c r="BM589" s="16"/>
      <c r="BN589" s="16"/>
      <c r="BO589" s="16"/>
      <c r="BP589" s="16"/>
      <c r="BQ589" s="16"/>
      <c r="BR589" s="16"/>
      <c r="BS589" s="16"/>
      <c r="BT589" s="16"/>
      <c r="BU589" s="16"/>
      <c r="BV589" s="16"/>
      <c r="BW589" s="16"/>
      <c r="BX589" s="16"/>
      <c r="BY589" s="16"/>
      <c r="BZ589" s="16"/>
      <c r="CA589" s="16"/>
      <c r="CB589" s="16"/>
      <c r="CC589" s="16"/>
    </row>
    <row r="590" spans="1:81" ht="13.5" thickBot="1">
      <c r="A590" s="16"/>
      <c r="B590" s="16"/>
      <c r="C590" s="17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  <c r="AU590" s="16"/>
      <c r="AV590" s="16"/>
      <c r="AW590" s="16"/>
      <c r="AX590" s="16"/>
      <c r="AY590" s="16"/>
      <c r="AZ590" s="16"/>
      <c r="BA590" s="16"/>
      <c r="BB590" s="16"/>
      <c r="BC590" s="16"/>
      <c r="BD590" s="16"/>
      <c r="BE590" s="16"/>
      <c r="BF590" s="16"/>
      <c r="BG590" s="16"/>
      <c r="BH590" s="16"/>
      <c r="BI590" s="16"/>
      <c r="BJ590" s="16"/>
      <c r="BK590" s="16"/>
      <c r="BL590" s="16"/>
      <c r="BM590" s="16"/>
      <c r="BN590" s="16"/>
      <c r="BO590" s="16"/>
      <c r="BP590" s="16"/>
      <c r="BQ590" s="16"/>
      <c r="BR590" s="16"/>
      <c r="BS590" s="16"/>
      <c r="BT590" s="16"/>
      <c r="BU590" s="16"/>
      <c r="BV590" s="16"/>
      <c r="BW590" s="16"/>
      <c r="BX590" s="16"/>
      <c r="BY590" s="16"/>
      <c r="BZ590" s="16"/>
      <c r="CA590" s="16"/>
      <c r="CB590" s="16"/>
      <c r="CC590" s="16"/>
    </row>
    <row r="591" spans="1:81" ht="13.5" thickBot="1">
      <c r="A591" s="16"/>
      <c r="B591" s="16"/>
      <c r="C591" s="17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  <c r="AU591" s="16"/>
      <c r="AV591" s="16"/>
      <c r="AW591" s="16"/>
      <c r="AX591" s="16"/>
      <c r="AY591" s="16"/>
      <c r="AZ591" s="16"/>
      <c r="BA591" s="16"/>
      <c r="BB591" s="16"/>
      <c r="BC591" s="16"/>
      <c r="BD591" s="16"/>
      <c r="BE591" s="16"/>
      <c r="BF591" s="16"/>
      <c r="BG591" s="16"/>
      <c r="BH591" s="16"/>
      <c r="BI591" s="16"/>
      <c r="BJ591" s="16"/>
      <c r="BK591" s="16"/>
      <c r="BL591" s="16"/>
      <c r="BM591" s="16"/>
      <c r="BN591" s="16"/>
      <c r="BO591" s="16"/>
      <c r="BP591" s="16"/>
      <c r="BQ591" s="16"/>
      <c r="BR591" s="16"/>
      <c r="BS591" s="16"/>
      <c r="BT591" s="16"/>
      <c r="BU591" s="16"/>
      <c r="BV591" s="16"/>
      <c r="BW591" s="16"/>
      <c r="BX591" s="16"/>
      <c r="BY591" s="16"/>
      <c r="BZ591" s="16"/>
      <c r="CA591" s="16"/>
      <c r="CB591" s="16"/>
      <c r="CC591" s="16"/>
    </row>
    <row r="592" spans="1:81" ht="13.5" thickBot="1">
      <c r="A592" s="16"/>
      <c r="B592" s="16"/>
      <c r="C592" s="17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  <c r="AU592" s="16"/>
      <c r="AV592" s="16"/>
      <c r="AW592" s="16"/>
      <c r="AX592" s="16"/>
      <c r="AY592" s="16"/>
      <c r="AZ592" s="16"/>
      <c r="BA592" s="16"/>
      <c r="BB592" s="16"/>
      <c r="BC592" s="16"/>
      <c r="BD592" s="16"/>
      <c r="BE592" s="16"/>
      <c r="BF592" s="16"/>
      <c r="BG592" s="16"/>
      <c r="BH592" s="16"/>
      <c r="BI592" s="16"/>
      <c r="BJ592" s="16"/>
      <c r="BK592" s="16"/>
      <c r="BL592" s="16"/>
      <c r="BM592" s="16"/>
      <c r="BN592" s="16"/>
      <c r="BO592" s="16"/>
      <c r="BP592" s="16"/>
      <c r="BQ592" s="16"/>
      <c r="BR592" s="16"/>
      <c r="BS592" s="16"/>
      <c r="BT592" s="16"/>
      <c r="BU592" s="16"/>
      <c r="BV592" s="16"/>
      <c r="BW592" s="16"/>
      <c r="BX592" s="16"/>
      <c r="BY592" s="16"/>
      <c r="BZ592" s="16"/>
      <c r="CA592" s="16"/>
      <c r="CB592" s="16"/>
      <c r="CC592" s="16"/>
    </row>
    <row r="593" spans="1:81" ht="13.5" thickBot="1">
      <c r="A593" s="16"/>
      <c r="B593" s="16"/>
      <c r="C593" s="17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  <c r="AU593" s="16"/>
      <c r="AV593" s="16"/>
      <c r="AW593" s="16"/>
      <c r="AX593" s="16"/>
      <c r="AY593" s="16"/>
      <c r="AZ593" s="16"/>
      <c r="BA593" s="16"/>
      <c r="BB593" s="16"/>
      <c r="BC593" s="16"/>
      <c r="BD593" s="16"/>
      <c r="BE593" s="16"/>
      <c r="BF593" s="16"/>
      <c r="BG593" s="16"/>
      <c r="BH593" s="16"/>
      <c r="BI593" s="16"/>
      <c r="BJ593" s="16"/>
      <c r="BK593" s="16"/>
      <c r="BL593" s="16"/>
      <c r="BM593" s="16"/>
      <c r="BN593" s="16"/>
      <c r="BO593" s="16"/>
      <c r="BP593" s="16"/>
      <c r="BQ593" s="16"/>
      <c r="BR593" s="16"/>
      <c r="BS593" s="16"/>
      <c r="BT593" s="16"/>
      <c r="BU593" s="16"/>
      <c r="BV593" s="16"/>
      <c r="BW593" s="16"/>
      <c r="BX593" s="16"/>
      <c r="BY593" s="16"/>
      <c r="BZ593" s="16"/>
      <c r="CA593" s="16"/>
      <c r="CB593" s="16"/>
      <c r="CC593" s="16"/>
    </row>
    <row r="594" spans="1:81" ht="13.5" thickBot="1">
      <c r="A594" s="16"/>
      <c r="B594" s="16"/>
      <c r="C594" s="17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  <c r="AU594" s="16"/>
      <c r="AV594" s="16"/>
      <c r="AW594" s="16"/>
      <c r="AX594" s="16"/>
      <c r="AY594" s="16"/>
      <c r="AZ594" s="16"/>
      <c r="BA594" s="16"/>
      <c r="BB594" s="16"/>
      <c r="BC594" s="16"/>
      <c r="BD594" s="16"/>
      <c r="BE594" s="16"/>
      <c r="BF594" s="16"/>
      <c r="BG594" s="16"/>
      <c r="BH594" s="16"/>
      <c r="BI594" s="16"/>
      <c r="BJ594" s="16"/>
      <c r="BK594" s="16"/>
      <c r="BL594" s="16"/>
      <c r="BM594" s="16"/>
      <c r="BN594" s="16"/>
      <c r="BO594" s="16"/>
      <c r="BP594" s="16"/>
      <c r="BQ594" s="16"/>
      <c r="BR594" s="16"/>
      <c r="BS594" s="16"/>
      <c r="BT594" s="16"/>
      <c r="BU594" s="16"/>
      <c r="BV594" s="16"/>
      <c r="BW594" s="16"/>
      <c r="BX594" s="16"/>
      <c r="BY594" s="16"/>
      <c r="BZ594" s="16"/>
      <c r="CA594" s="16"/>
      <c r="CB594" s="16"/>
      <c r="CC594" s="16"/>
    </row>
    <row r="595" spans="1:81" ht="13.5" thickBot="1">
      <c r="A595" s="16"/>
      <c r="B595" s="16"/>
      <c r="C595" s="17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  <c r="AU595" s="16"/>
      <c r="AV595" s="16"/>
      <c r="AW595" s="16"/>
      <c r="AX595" s="16"/>
      <c r="AY595" s="16"/>
      <c r="AZ595" s="16"/>
      <c r="BA595" s="16"/>
      <c r="BB595" s="16"/>
      <c r="BC595" s="16"/>
      <c r="BD595" s="16"/>
      <c r="BE595" s="16"/>
      <c r="BF595" s="16"/>
      <c r="BG595" s="16"/>
      <c r="BH595" s="16"/>
      <c r="BI595" s="16"/>
      <c r="BJ595" s="16"/>
      <c r="BK595" s="16"/>
      <c r="BL595" s="16"/>
      <c r="BM595" s="16"/>
      <c r="BN595" s="16"/>
      <c r="BO595" s="16"/>
      <c r="BP595" s="16"/>
      <c r="BQ595" s="16"/>
      <c r="BR595" s="16"/>
      <c r="BS595" s="16"/>
      <c r="BT595" s="16"/>
      <c r="BU595" s="16"/>
      <c r="BV595" s="16"/>
      <c r="BW595" s="16"/>
      <c r="BX595" s="16"/>
      <c r="BY595" s="16"/>
      <c r="BZ595" s="16"/>
      <c r="CA595" s="16"/>
      <c r="CB595" s="16"/>
      <c r="CC595" s="16"/>
    </row>
    <row r="596" spans="1:81" ht="13.5" thickBot="1">
      <c r="A596" s="16"/>
      <c r="B596" s="16"/>
      <c r="C596" s="17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  <c r="AU596" s="16"/>
      <c r="AV596" s="16"/>
      <c r="AW596" s="16"/>
      <c r="AX596" s="16"/>
      <c r="AY596" s="16"/>
      <c r="AZ596" s="16"/>
      <c r="BA596" s="16"/>
      <c r="BB596" s="16"/>
      <c r="BC596" s="16"/>
      <c r="BD596" s="16"/>
      <c r="BE596" s="16"/>
      <c r="BF596" s="16"/>
      <c r="BG596" s="16"/>
      <c r="BH596" s="16"/>
      <c r="BI596" s="16"/>
      <c r="BJ596" s="16"/>
      <c r="BK596" s="16"/>
      <c r="BL596" s="16"/>
      <c r="BM596" s="16"/>
      <c r="BN596" s="16"/>
      <c r="BO596" s="16"/>
      <c r="BP596" s="16"/>
      <c r="BQ596" s="16"/>
      <c r="BR596" s="16"/>
      <c r="BS596" s="16"/>
      <c r="BT596" s="16"/>
      <c r="BU596" s="16"/>
      <c r="BV596" s="16"/>
      <c r="BW596" s="16"/>
      <c r="BX596" s="16"/>
      <c r="BY596" s="16"/>
      <c r="BZ596" s="16"/>
      <c r="CA596" s="16"/>
      <c r="CB596" s="16"/>
      <c r="CC596" s="16"/>
    </row>
    <row r="597" spans="1:81" ht="13.5" thickBot="1">
      <c r="A597" s="16"/>
      <c r="B597" s="16"/>
      <c r="C597" s="17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  <c r="AU597" s="16"/>
      <c r="AV597" s="16"/>
      <c r="AW597" s="16"/>
      <c r="AX597" s="16"/>
      <c r="AY597" s="16"/>
      <c r="AZ597" s="16"/>
      <c r="BA597" s="16"/>
      <c r="BB597" s="16"/>
      <c r="BC597" s="16"/>
      <c r="BD597" s="16"/>
      <c r="BE597" s="16"/>
      <c r="BF597" s="16"/>
      <c r="BG597" s="16"/>
      <c r="BH597" s="16"/>
      <c r="BI597" s="16"/>
      <c r="BJ597" s="16"/>
      <c r="BK597" s="16"/>
      <c r="BL597" s="16"/>
      <c r="BM597" s="16"/>
      <c r="BN597" s="16"/>
      <c r="BO597" s="16"/>
      <c r="BP597" s="16"/>
      <c r="BQ597" s="16"/>
      <c r="BR597" s="16"/>
      <c r="BS597" s="16"/>
      <c r="BT597" s="16"/>
      <c r="BU597" s="16"/>
      <c r="BV597" s="16"/>
      <c r="BW597" s="16"/>
      <c r="BX597" s="16"/>
      <c r="BY597" s="16"/>
      <c r="BZ597" s="16"/>
      <c r="CA597" s="16"/>
      <c r="CB597" s="16"/>
      <c r="CC597" s="16"/>
    </row>
    <row r="598" spans="1:81" ht="13.5" thickBot="1">
      <c r="A598" s="16"/>
      <c r="B598" s="16"/>
      <c r="C598" s="17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  <c r="AU598" s="16"/>
      <c r="AV598" s="16"/>
      <c r="AW598" s="16"/>
      <c r="AX598" s="16"/>
      <c r="AY598" s="16"/>
      <c r="AZ598" s="16"/>
      <c r="BA598" s="16"/>
      <c r="BB598" s="16"/>
      <c r="BC598" s="16"/>
      <c r="BD598" s="16"/>
      <c r="BE598" s="16"/>
      <c r="BF598" s="16"/>
      <c r="BG598" s="16"/>
      <c r="BH598" s="16"/>
      <c r="BI598" s="16"/>
      <c r="BJ598" s="16"/>
      <c r="BK598" s="16"/>
      <c r="BL598" s="16"/>
      <c r="BM598" s="16"/>
      <c r="BN598" s="16"/>
      <c r="BO598" s="16"/>
      <c r="BP598" s="16"/>
      <c r="BQ598" s="16"/>
      <c r="BR598" s="16"/>
      <c r="BS598" s="16"/>
      <c r="BT598" s="16"/>
      <c r="BU598" s="16"/>
      <c r="BV598" s="16"/>
      <c r="BW598" s="16"/>
      <c r="BX598" s="16"/>
      <c r="BY598" s="16"/>
      <c r="BZ598" s="16"/>
      <c r="CA598" s="16"/>
      <c r="CB598" s="16"/>
      <c r="CC598" s="16"/>
    </row>
    <row r="599" spans="1:81" ht="13.5" thickBot="1">
      <c r="A599" s="16"/>
      <c r="B599" s="16"/>
      <c r="C599" s="17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  <c r="AU599" s="16"/>
      <c r="AV599" s="16"/>
      <c r="AW599" s="16"/>
      <c r="AX599" s="16"/>
      <c r="AY599" s="16"/>
      <c r="AZ599" s="16"/>
      <c r="BA599" s="16"/>
      <c r="BB599" s="16"/>
      <c r="BC599" s="16"/>
      <c r="BD599" s="16"/>
      <c r="BE599" s="16"/>
      <c r="BF599" s="16"/>
      <c r="BG599" s="16"/>
      <c r="BH599" s="16"/>
      <c r="BI599" s="16"/>
      <c r="BJ599" s="16"/>
      <c r="BK599" s="16"/>
      <c r="BL599" s="16"/>
      <c r="BM599" s="16"/>
      <c r="BN599" s="16"/>
      <c r="BO599" s="16"/>
      <c r="BP599" s="16"/>
      <c r="BQ599" s="16"/>
      <c r="BR599" s="16"/>
      <c r="BS599" s="16"/>
      <c r="BT599" s="16"/>
      <c r="BU599" s="16"/>
      <c r="BV599" s="16"/>
      <c r="BW599" s="16"/>
      <c r="BX599" s="16"/>
      <c r="BY599" s="16"/>
      <c r="BZ599" s="16"/>
      <c r="CA599" s="16"/>
      <c r="CB599" s="16"/>
      <c r="CC599" s="16"/>
    </row>
    <row r="600" spans="1:81" ht="13.5" thickBot="1">
      <c r="A600" s="16"/>
      <c r="B600" s="16"/>
      <c r="C600" s="17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  <c r="AU600" s="16"/>
      <c r="AV600" s="16"/>
      <c r="AW600" s="16"/>
      <c r="AX600" s="16"/>
      <c r="AY600" s="16"/>
      <c r="AZ600" s="16"/>
      <c r="BA600" s="16"/>
      <c r="BB600" s="16"/>
      <c r="BC600" s="16"/>
      <c r="BD600" s="16"/>
      <c r="BE600" s="16"/>
      <c r="BF600" s="16"/>
      <c r="BG600" s="16"/>
      <c r="BH600" s="16"/>
      <c r="BI600" s="16"/>
      <c r="BJ600" s="16"/>
      <c r="BK600" s="16"/>
      <c r="BL600" s="16"/>
      <c r="BM600" s="16"/>
      <c r="BN600" s="16"/>
      <c r="BO600" s="16"/>
      <c r="BP600" s="16"/>
      <c r="BQ600" s="16"/>
      <c r="BR600" s="16"/>
      <c r="BS600" s="16"/>
      <c r="BT600" s="16"/>
      <c r="BU600" s="16"/>
      <c r="BV600" s="16"/>
      <c r="BW600" s="16"/>
      <c r="BX600" s="16"/>
      <c r="BY600" s="16"/>
      <c r="BZ600" s="16"/>
      <c r="CA600" s="16"/>
      <c r="CB600" s="16"/>
      <c r="CC600" s="16"/>
    </row>
    <row r="601" spans="1:81" ht="13.5" thickBot="1">
      <c r="A601" s="16"/>
      <c r="B601" s="16"/>
      <c r="C601" s="17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  <c r="AU601" s="16"/>
      <c r="AV601" s="16"/>
      <c r="AW601" s="16"/>
      <c r="AX601" s="16"/>
      <c r="AY601" s="16"/>
      <c r="AZ601" s="16"/>
      <c r="BA601" s="16"/>
      <c r="BB601" s="16"/>
      <c r="BC601" s="16"/>
      <c r="BD601" s="16"/>
      <c r="BE601" s="16"/>
      <c r="BF601" s="16"/>
      <c r="BG601" s="16"/>
      <c r="BH601" s="16"/>
      <c r="BI601" s="16"/>
      <c r="BJ601" s="16"/>
      <c r="BK601" s="16"/>
      <c r="BL601" s="16"/>
      <c r="BM601" s="16"/>
      <c r="BN601" s="16"/>
      <c r="BO601" s="16"/>
      <c r="BP601" s="16"/>
      <c r="BQ601" s="16"/>
      <c r="BR601" s="16"/>
      <c r="BS601" s="16"/>
      <c r="BT601" s="16"/>
      <c r="BU601" s="16"/>
      <c r="BV601" s="16"/>
      <c r="BW601" s="16"/>
      <c r="BX601" s="16"/>
      <c r="BY601" s="16"/>
      <c r="BZ601" s="16"/>
      <c r="CA601" s="16"/>
      <c r="CB601" s="16"/>
      <c r="CC601" s="16"/>
    </row>
    <row r="602" spans="1:81" ht="13.5" thickBot="1">
      <c r="A602" s="16"/>
      <c r="B602" s="16"/>
      <c r="C602" s="17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  <c r="AU602" s="16"/>
      <c r="AV602" s="16"/>
      <c r="AW602" s="16"/>
      <c r="AX602" s="16"/>
      <c r="AY602" s="16"/>
      <c r="AZ602" s="16"/>
      <c r="BA602" s="16"/>
      <c r="BB602" s="16"/>
      <c r="BC602" s="16"/>
      <c r="BD602" s="16"/>
      <c r="BE602" s="16"/>
      <c r="BF602" s="16"/>
      <c r="BG602" s="16"/>
      <c r="BH602" s="16"/>
      <c r="BI602" s="16"/>
      <c r="BJ602" s="16"/>
      <c r="BK602" s="16"/>
      <c r="BL602" s="16"/>
      <c r="BM602" s="16"/>
      <c r="BN602" s="16"/>
      <c r="BO602" s="16"/>
      <c r="BP602" s="16"/>
      <c r="BQ602" s="16"/>
      <c r="BR602" s="16"/>
      <c r="BS602" s="16"/>
      <c r="BT602" s="16"/>
      <c r="BU602" s="16"/>
      <c r="BV602" s="16"/>
      <c r="BW602" s="16"/>
      <c r="BX602" s="16"/>
      <c r="BY602" s="16"/>
      <c r="BZ602" s="16"/>
      <c r="CA602" s="16"/>
      <c r="CB602" s="16"/>
      <c r="CC602" s="16"/>
    </row>
    <row r="603" spans="1:81" ht="13.5" thickBot="1">
      <c r="A603" s="16"/>
      <c r="B603" s="16"/>
      <c r="C603" s="17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  <c r="AU603" s="16"/>
      <c r="AV603" s="16"/>
      <c r="AW603" s="16"/>
      <c r="AX603" s="16"/>
      <c r="AY603" s="16"/>
      <c r="AZ603" s="16"/>
      <c r="BA603" s="16"/>
      <c r="BB603" s="16"/>
      <c r="BC603" s="16"/>
      <c r="BD603" s="16"/>
      <c r="BE603" s="16"/>
      <c r="BF603" s="16"/>
      <c r="BG603" s="16"/>
      <c r="BH603" s="16"/>
      <c r="BI603" s="16"/>
      <c r="BJ603" s="16"/>
      <c r="BK603" s="16"/>
      <c r="BL603" s="16"/>
      <c r="BM603" s="16"/>
      <c r="BN603" s="16"/>
      <c r="BO603" s="16"/>
      <c r="BP603" s="16"/>
      <c r="BQ603" s="16"/>
      <c r="BR603" s="16"/>
      <c r="BS603" s="16"/>
      <c r="BT603" s="16"/>
      <c r="BU603" s="16"/>
      <c r="BV603" s="16"/>
      <c r="BW603" s="16"/>
      <c r="BX603" s="16"/>
      <c r="BY603" s="16"/>
      <c r="BZ603" s="16"/>
      <c r="CA603" s="16"/>
      <c r="CB603" s="16"/>
      <c r="CC603" s="16"/>
    </row>
    <row r="604" spans="1:81" ht="13.5" thickBot="1">
      <c r="A604" s="16"/>
      <c r="B604" s="16"/>
      <c r="C604" s="17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  <c r="AU604" s="16"/>
      <c r="AV604" s="16"/>
      <c r="AW604" s="16"/>
      <c r="AX604" s="16"/>
      <c r="AY604" s="16"/>
      <c r="AZ604" s="16"/>
      <c r="BA604" s="16"/>
      <c r="BB604" s="16"/>
      <c r="BC604" s="16"/>
      <c r="BD604" s="16"/>
      <c r="BE604" s="16"/>
      <c r="BF604" s="16"/>
      <c r="BG604" s="16"/>
      <c r="BH604" s="16"/>
      <c r="BI604" s="16"/>
      <c r="BJ604" s="16"/>
      <c r="BK604" s="16"/>
      <c r="BL604" s="16"/>
      <c r="BM604" s="16"/>
      <c r="BN604" s="16"/>
      <c r="BO604" s="16"/>
      <c r="BP604" s="16"/>
      <c r="BQ604" s="16"/>
      <c r="BR604" s="16"/>
      <c r="BS604" s="16"/>
      <c r="BT604" s="16"/>
      <c r="BU604" s="16"/>
      <c r="BV604" s="16"/>
      <c r="BW604" s="16"/>
      <c r="BX604" s="16"/>
      <c r="BY604" s="16"/>
      <c r="BZ604" s="16"/>
      <c r="CA604" s="16"/>
      <c r="CB604" s="16"/>
      <c r="CC604" s="16"/>
    </row>
    <row r="605" spans="1:81" ht="13.5" thickBot="1">
      <c r="A605" s="16"/>
      <c r="B605" s="16"/>
      <c r="C605" s="17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  <c r="AU605" s="16"/>
      <c r="AV605" s="16"/>
      <c r="AW605" s="16"/>
      <c r="AX605" s="16"/>
      <c r="AY605" s="16"/>
      <c r="AZ605" s="16"/>
      <c r="BA605" s="16"/>
      <c r="BB605" s="16"/>
      <c r="BC605" s="16"/>
      <c r="BD605" s="16"/>
      <c r="BE605" s="16"/>
      <c r="BF605" s="16"/>
      <c r="BG605" s="16"/>
      <c r="BH605" s="16"/>
      <c r="BI605" s="16"/>
      <c r="BJ605" s="16"/>
      <c r="BK605" s="16"/>
      <c r="BL605" s="16"/>
      <c r="BM605" s="16"/>
      <c r="BN605" s="16"/>
      <c r="BO605" s="16"/>
      <c r="BP605" s="16"/>
      <c r="BQ605" s="16"/>
      <c r="BR605" s="16"/>
      <c r="BS605" s="16"/>
      <c r="BT605" s="16"/>
      <c r="BU605" s="16"/>
      <c r="BV605" s="16"/>
      <c r="BW605" s="16"/>
      <c r="BX605" s="16"/>
      <c r="BY605" s="16"/>
      <c r="BZ605" s="16"/>
      <c r="CA605" s="16"/>
      <c r="CB605" s="16"/>
      <c r="CC605" s="16"/>
    </row>
    <row r="606" spans="1:81" ht="13.5" thickBot="1">
      <c r="A606" s="16"/>
      <c r="B606" s="16"/>
      <c r="C606" s="17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  <c r="AU606" s="16"/>
      <c r="AV606" s="16"/>
      <c r="AW606" s="16"/>
      <c r="AX606" s="16"/>
      <c r="AY606" s="16"/>
      <c r="AZ606" s="16"/>
      <c r="BA606" s="16"/>
      <c r="BB606" s="16"/>
      <c r="BC606" s="16"/>
      <c r="BD606" s="16"/>
      <c r="BE606" s="16"/>
      <c r="BF606" s="16"/>
      <c r="BG606" s="16"/>
      <c r="BH606" s="16"/>
      <c r="BI606" s="16"/>
      <c r="BJ606" s="16"/>
      <c r="BK606" s="16"/>
      <c r="BL606" s="16"/>
      <c r="BM606" s="16"/>
      <c r="BN606" s="16"/>
      <c r="BO606" s="16"/>
      <c r="BP606" s="16"/>
      <c r="BQ606" s="16"/>
      <c r="BR606" s="16"/>
      <c r="BS606" s="16"/>
      <c r="BT606" s="16"/>
      <c r="BU606" s="16"/>
      <c r="BV606" s="16"/>
      <c r="BW606" s="16"/>
      <c r="BX606" s="16"/>
      <c r="BY606" s="16"/>
      <c r="BZ606" s="16"/>
      <c r="CA606" s="16"/>
      <c r="CB606" s="16"/>
      <c r="CC606" s="16"/>
    </row>
    <row r="607" spans="1:81" ht="13.5" thickBot="1">
      <c r="A607" s="16"/>
      <c r="B607" s="16"/>
      <c r="C607" s="17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  <c r="AU607" s="16"/>
      <c r="AV607" s="16"/>
      <c r="AW607" s="16"/>
      <c r="AX607" s="16"/>
      <c r="AY607" s="16"/>
      <c r="AZ607" s="16"/>
      <c r="BA607" s="16"/>
      <c r="BB607" s="16"/>
      <c r="BC607" s="16"/>
      <c r="BD607" s="16"/>
      <c r="BE607" s="16"/>
      <c r="BF607" s="16"/>
      <c r="BG607" s="16"/>
      <c r="BH607" s="16"/>
      <c r="BI607" s="16"/>
      <c r="BJ607" s="16"/>
      <c r="BK607" s="16"/>
      <c r="BL607" s="16"/>
      <c r="BM607" s="16"/>
      <c r="BN607" s="16"/>
      <c r="BO607" s="16"/>
      <c r="BP607" s="16"/>
      <c r="BQ607" s="16"/>
      <c r="BR607" s="16"/>
      <c r="BS607" s="16"/>
      <c r="BT607" s="16"/>
      <c r="BU607" s="16"/>
      <c r="BV607" s="16"/>
      <c r="BW607" s="16"/>
      <c r="BX607" s="16"/>
      <c r="BY607" s="16"/>
      <c r="BZ607" s="16"/>
      <c r="CA607" s="16"/>
      <c r="CB607" s="16"/>
      <c r="CC607" s="16"/>
    </row>
    <row r="608" spans="1:81" ht="13.5" thickBot="1">
      <c r="A608" s="16"/>
      <c r="B608" s="16"/>
      <c r="C608" s="17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  <c r="AU608" s="16"/>
      <c r="AV608" s="16"/>
      <c r="AW608" s="16"/>
      <c r="AX608" s="16"/>
      <c r="AY608" s="16"/>
      <c r="AZ608" s="16"/>
      <c r="BA608" s="16"/>
      <c r="BB608" s="16"/>
      <c r="BC608" s="16"/>
      <c r="BD608" s="16"/>
      <c r="BE608" s="16"/>
      <c r="BF608" s="16"/>
      <c r="BG608" s="16"/>
      <c r="BH608" s="16"/>
      <c r="BI608" s="16"/>
      <c r="BJ608" s="16"/>
      <c r="BK608" s="16"/>
      <c r="BL608" s="16"/>
      <c r="BM608" s="16"/>
      <c r="BN608" s="16"/>
      <c r="BO608" s="16"/>
      <c r="BP608" s="16"/>
      <c r="BQ608" s="16"/>
      <c r="BR608" s="16"/>
      <c r="BS608" s="16"/>
      <c r="BT608" s="16"/>
      <c r="BU608" s="16"/>
      <c r="BV608" s="16"/>
      <c r="BW608" s="16"/>
      <c r="BX608" s="16"/>
      <c r="BY608" s="16"/>
      <c r="BZ608" s="16"/>
      <c r="CA608" s="16"/>
      <c r="CB608" s="16"/>
      <c r="CC608" s="16"/>
    </row>
    <row r="609" spans="1:81" ht="13.5" thickBot="1">
      <c r="A609" s="16"/>
      <c r="B609" s="16"/>
      <c r="C609" s="17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  <c r="AU609" s="16"/>
      <c r="AV609" s="16"/>
      <c r="AW609" s="16"/>
      <c r="AX609" s="16"/>
      <c r="AY609" s="16"/>
      <c r="AZ609" s="16"/>
      <c r="BA609" s="16"/>
      <c r="BB609" s="16"/>
      <c r="BC609" s="16"/>
      <c r="BD609" s="16"/>
      <c r="BE609" s="16"/>
      <c r="BF609" s="16"/>
      <c r="BG609" s="16"/>
      <c r="BH609" s="16"/>
      <c r="BI609" s="16"/>
      <c r="BJ609" s="16"/>
      <c r="BK609" s="16"/>
      <c r="BL609" s="16"/>
      <c r="BM609" s="16"/>
      <c r="BN609" s="16"/>
      <c r="BO609" s="16"/>
      <c r="BP609" s="16"/>
      <c r="BQ609" s="16"/>
      <c r="BR609" s="16"/>
      <c r="BS609" s="16"/>
      <c r="BT609" s="16"/>
      <c r="BU609" s="16"/>
      <c r="BV609" s="16"/>
      <c r="BW609" s="16"/>
      <c r="BX609" s="16"/>
      <c r="BY609" s="16"/>
      <c r="BZ609" s="16"/>
      <c r="CA609" s="16"/>
      <c r="CB609" s="16"/>
      <c r="CC609" s="16"/>
    </row>
    <row r="610" spans="1:81" ht="13.5" thickBot="1">
      <c r="A610" s="16"/>
      <c r="B610" s="16"/>
      <c r="C610" s="17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  <c r="AU610" s="16"/>
      <c r="AV610" s="16"/>
      <c r="AW610" s="16"/>
      <c r="AX610" s="16"/>
      <c r="AY610" s="16"/>
      <c r="AZ610" s="16"/>
      <c r="BA610" s="16"/>
      <c r="BB610" s="16"/>
      <c r="BC610" s="16"/>
      <c r="BD610" s="16"/>
      <c r="BE610" s="16"/>
      <c r="BF610" s="16"/>
      <c r="BG610" s="16"/>
      <c r="BH610" s="16"/>
      <c r="BI610" s="16"/>
      <c r="BJ610" s="16"/>
      <c r="BK610" s="16"/>
      <c r="BL610" s="16"/>
      <c r="BM610" s="16"/>
      <c r="BN610" s="16"/>
      <c r="BO610" s="16"/>
      <c r="BP610" s="16"/>
      <c r="BQ610" s="16"/>
      <c r="BR610" s="16"/>
      <c r="BS610" s="16"/>
      <c r="BT610" s="16"/>
      <c r="BU610" s="16"/>
      <c r="BV610" s="16"/>
      <c r="BW610" s="16"/>
      <c r="BX610" s="16"/>
      <c r="BY610" s="16"/>
      <c r="BZ610" s="16"/>
      <c r="CA610" s="16"/>
      <c r="CB610" s="16"/>
      <c r="CC610" s="16"/>
    </row>
    <row r="611" spans="1:81" ht="13.5" thickBot="1">
      <c r="A611" s="16"/>
      <c r="B611" s="16"/>
      <c r="C611" s="17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  <c r="AU611" s="16"/>
      <c r="AV611" s="16"/>
      <c r="AW611" s="16"/>
      <c r="AX611" s="16"/>
      <c r="AY611" s="16"/>
      <c r="AZ611" s="16"/>
      <c r="BA611" s="16"/>
      <c r="BB611" s="16"/>
      <c r="BC611" s="16"/>
      <c r="BD611" s="16"/>
      <c r="BE611" s="16"/>
      <c r="BF611" s="16"/>
      <c r="BG611" s="16"/>
      <c r="BH611" s="16"/>
      <c r="BI611" s="16"/>
      <c r="BJ611" s="16"/>
      <c r="BK611" s="16"/>
      <c r="BL611" s="16"/>
      <c r="BM611" s="16"/>
      <c r="BN611" s="16"/>
      <c r="BO611" s="16"/>
      <c r="BP611" s="16"/>
      <c r="BQ611" s="16"/>
      <c r="BR611" s="16"/>
      <c r="BS611" s="16"/>
      <c r="BT611" s="16"/>
      <c r="BU611" s="16"/>
      <c r="BV611" s="16"/>
      <c r="BW611" s="16"/>
      <c r="BX611" s="16"/>
      <c r="BY611" s="16"/>
      <c r="BZ611" s="16"/>
      <c r="CA611" s="16"/>
      <c r="CB611" s="16"/>
      <c r="CC611" s="16"/>
    </row>
    <row r="612" spans="1:81" ht="13.5" thickBot="1">
      <c r="A612" s="16"/>
      <c r="B612" s="16"/>
      <c r="C612" s="17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  <c r="AU612" s="16"/>
      <c r="AV612" s="16"/>
      <c r="AW612" s="16"/>
      <c r="AX612" s="16"/>
      <c r="AY612" s="16"/>
      <c r="AZ612" s="16"/>
      <c r="BA612" s="16"/>
      <c r="BB612" s="16"/>
      <c r="BC612" s="16"/>
      <c r="BD612" s="16"/>
      <c r="BE612" s="16"/>
      <c r="BF612" s="16"/>
      <c r="BG612" s="16"/>
      <c r="BH612" s="16"/>
      <c r="BI612" s="16"/>
      <c r="BJ612" s="16"/>
      <c r="BK612" s="16"/>
      <c r="BL612" s="16"/>
      <c r="BM612" s="16"/>
      <c r="BN612" s="16"/>
      <c r="BO612" s="16"/>
      <c r="BP612" s="16"/>
      <c r="BQ612" s="16"/>
      <c r="BR612" s="16"/>
      <c r="BS612" s="16"/>
      <c r="BT612" s="16"/>
      <c r="BU612" s="16"/>
      <c r="BV612" s="16"/>
      <c r="BW612" s="16"/>
      <c r="BX612" s="16"/>
      <c r="BY612" s="16"/>
      <c r="BZ612" s="16"/>
      <c r="CA612" s="16"/>
      <c r="CB612" s="16"/>
      <c r="CC612" s="16"/>
    </row>
    <row r="613" spans="1:81" ht="13.5" thickBot="1">
      <c r="A613" s="16"/>
      <c r="B613" s="16"/>
      <c r="C613" s="17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  <c r="AU613" s="16"/>
      <c r="AV613" s="16"/>
      <c r="AW613" s="16"/>
      <c r="AX613" s="16"/>
      <c r="AY613" s="16"/>
      <c r="AZ613" s="16"/>
      <c r="BA613" s="16"/>
      <c r="BB613" s="16"/>
      <c r="BC613" s="16"/>
      <c r="BD613" s="16"/>
      <c r="BE613" s="16"/>
      <c r="BF613" s="16"/>
      <c r="BG613" s="16"/>
      <c r="BH613" s="16"/>
      <c r="BI613" s="16"/>
      <c r="BJ613" s="16"/>
      <c r="BK613" s="16"/>
      <c r="BL613" s="16"/>
      <c r="BM613" s="16"/>
      <c r="BN613" s="16"/>
      <c r="BO613" s="16"/>
      <c r="BP613" s="16"/>
      <c r="BQ613" s="16"/>
      <c r="BR613" s="16"/>
      <c r="BS613" s="16"/>
      <c r="BT613" s="16"/>
      <c r="BU613" s="16"/>
      <c r="BV613" s="16"/>
      <c r="BW613" s="16"/>
      <c r="BX613" s="16"/>
      <c r="BY613" s="16"/>
      <c r="BZ613" s="16"/>
      <c r="CA613" s="16"/>
      <c r="CB613" s="16"/>
      <c r="CC613" s="16"/>
    </row>
    <row r="614" spans="1:81" ht="13.5" thickBot="1">
      <c r="A614" s="16"/>
      <c r="B614" s="16"/>
      <c r="C614" s="17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  <c r="AU614" s="16"/>
      <c r="AV614" s="16"/>
      <c r="AW614" s="16"/>
      <c r="AX614" s="16"/>
      <c r="AY614" s="16"/>
      <c r="AZ614" s="16"/>
      <c r="BA614" s="16"/>
      <c r="BB614" s="16"/>
      <c r="BC614" s="16"/>
      <c r="BD614" s="16"/>
      <c r="BE614" s="16"/>
      <c r="BF614" s="16"/>
      <c r="BG614" s="16"/>
      <c r="BH614" s="16"/>
      <c r="BI614" s="16"/>
      <c r="BJ614" s="16"/>
      <c r="BK614" s="16"/>
      <c r="BL614" s="16"/>
      <c r="BM614" s="16"/>
      <c r="BN614" s="16"/>
      <c r="BO614" s="16"/>
      <c r="BP614" s="16"/>
      <c r="BQ614" s="16"/>
      <c r="BR614" s="16"/>
      <c r="BS614" s="16"/>
      <c r="BT614" s="16"/>
      <c r="BU614" s="16"/>
      <c r="BV614" s="16"/>
      <c r="BW614" s="16"/>
      <c r="BX614" s="16"/>
      <c r="BY614" s="16"/>
      <c r="BZ614" s="16"/>
      <c r="CA614" s="16"/>
      <c r="CB614" s="16"/>
      <c r="CC614" s="16"/>
    </row>
    <row r="615" spans="1:81" ht="13.5" thickBot="1">
      <c r="A615" s="16"/>
      <c r="B615" s="16"/>
      <c r="C615" s="17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  <c r="AU615" s="16"/>
      <c r="AV615" s="16"/>
      <c r="AW615" s="16"/>
      <c r="AX615" s="16"/>
      <c r="AY615" s="16"/>
      <c r="AZ615" s="16"/>
      <c r="BA615" s="16"/>
      <c r="BB615" s="16"/>
      <c r="BC615" s="16"/>
      <c r="BD615" s="16"/>
      <c r="BE615" s="16"/>
      <c r="BF615" s="16"/>
      <c r="BG615" s="16"/>
      <c r="BH615" s="16"/>
      <c r="BI615" s="16"/>
      <c r="BJ615" s="16"/>
      <c r="BK615" s="16"/>
      <c r="BL615" s="16"/>
      <c r="BM615" s="16"/>
      <c r="BN615" s="16"/>
      <c r="BO615" s="16"/>
      <c r="BP615" s="16"/>
      <c r="BQ615" s="16"/>
      <c r="BR615" s="16"/>
      <c r="BS615" s="16"/>
      <c r="BT615" s="16"/>
      <c r="BU615" s="16"/>
      <c r="BV615" s="16"/>
      <c r="BW615" s="16"/>
      <c r="BX615" s="16"/>
      <c r="BY615" s="16"/>
      <c r="BZ615" s="16"/>
      <c r="CA615" s="16"/>
      <c r="CB615" s="16"/>
      <c r="CC615" s="16"/>
    </row>
    <row r="616" spans="1:81" ht="13.5" thickBot="1">
      <c r="A616" s="16"/>
      <c r="B616" s="16"/>
      <c r="C616" s="17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  <c r="AU616" s="16"/>
      <c r="AV616" s="16"/>
      <c r="AW616" s="16"/>
      <c r="AX616" s="16"/>
      <c r="AY616" s="16"/>
      <c r="AZ616" s="16"/>
      <c r="BA616" s="16"/>
      <c r="BB616" s="16"/>
      <c r="BC616" s="16"/>
      <c r="BD616" s="16"/>
      <c r="BE616" s="16"/>
      <c r="BF616" s="16"/>
      <c r="BG616" s="16"/>
      <c r="BH616" s="16"/>
      <c r="BI616" s="16"/>
      <c r="BJ616" s="16"/>
      <c r="BK616" s="16"/>
      <c r="BL616" s="16"/>
      <c r="BM616" s="16"/>
      <c r="BN616" s="16"/>
      <c r="BO616" s="16"/>
      <c r="BP616" s="16"/>
      <c r="BQ616" s="16"/>
      <c r="BR616" s="16"/>
      <c r="BS616" s="16"/>
      <c r="BT616" s="16"/>
      <c r="BU616" s="16"/>
      <c r="BV616" s="16"/>
      <c r="BW616" s="16"/>
      <c r="BX616" s="16"/>
      <c r="BY616" s="16"/>
      <c r="BZ616" s="16"/>
      <c r="CA616" s="16"/>
      <c r="CB616" s="16"/>
      <c r="CC616" s="16"/>
    </row>
    <row r="617" spans="1:81" ht="13.5" thickBot="1">
      <c r="A617" s="16"/>
      <c r="B617" s="16"/>
      <c r="C617" s="17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  <c r="AU617" s="16"/>
      <c r="AV617" s="16"/>
      <c r="AW617" s="16"/>
      <c r="AX617" s="16"/>
      <c r="AY617" s="16"/>
      <c r="AZ617" s="16"/>
      <c r="BA617" s="16"/>
      <c r="BB617" s="16"/>
      <c r="BC617" s="16"/>
      <c r="BD617" s="16"/>
      <c r="BE617" s="16"/>
      <c r="BF617" s="16"/>
      <c r="BG617" s="16"/>
      <c r="BH617" s="16"/>
      <c r="BI617" s="16"/>
      <c r="BJ617" s="16"/>
      <c r="BK617" s="16"/>
      <c r="BL617" s="16"/>
      <c r="BM617" s="16"/>
      <c r="BN617" s="16"/>
      <c r="BO617" s="16"/>
      <c r="BP617" s="16"/>
      <c r="BQ617" s="16"/>
      <c r="BR617" s="16"/>
      <c r="BS617" s="16"/>
      <c r="BT617" s="16"/>
      <c r="BU617" s="16"/>
      <c r="BV617" s="16"/>
      <c r="BW617" s="16"/>
      <c r="BX617" s="16"/>
      <c r="BY617" s="16"/>
      <c r="BZ617" s="16"/>
      <c r="CA617" s="16"/>
      <c r="CB617" s="16"/>
      <c r="CC617" s="16"/>
    </row>
    <row r="618" spans="1:81" ht="13.5" thickBot="1">
      <c r="A618" s="16"/>
      <c r="B618" s="16"/>
      <c r="C618" s="17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  <c r="AU618" s="16"/>
      <c r="AV618" s="16"/>
      <c r="AW618" s="16"/>
      <c r="AX618" s="16"/>
      <c r="AY618" s="16"/>
      <c r="AZ618" s="16"/>
      <c r="BA618" s="16"/>
      <c r="BB618" s="16"/>
      <c r="BC618" s="16"/>
      <c r="BD618" s="16"/>
      <c r="BE618" s="16"/>
      <c r="BF618" s="16"/>
      <c r="BG618" s="16"/>
      <c r="BH618" s="16"/>
      <c r="BI618" s="16"/>
      <c r="BJ618" s="16"/>
      <c r="BK618" s="16"/>
      <c r="BL618" s="16"/>
      <c r="BM618" s="16"/>
      <c r="BN618" s="16"/>
      <c r="BO618" s="16"/>
      <c r="BP618" s="16"/>
      <c r="BQ618" s="16"/>
      <c r="BR618" s="16"/>
      <c r="BS618" s="16"/>
      <c r="BT618" s="16"/>
      <c r="BU618" s="16"/>
      <c r="BV618" s="16"/>
      <c r="BW618" s="16"/>
      <c r="BX618" s="16"/>
      <c r="BY618" s="16"/>
      <c r="BZ618" s="16"/>
      <c r="CA618" s="16"/>
      <c r="CB618" s="16"/>
      <c r="CC618" s="16"/>
    </row>
    <row r="619" spans="1:81" ht="13.5" thickBot="1">
      <c r="A619" s="16"/>
      <c r="B619" s="16"/>
      <c r="C619" s="17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  <c r="AU619" s="16"/>
      <c r="AV619" s="16"/>
      <c r="AW619" s="16"/>
      <c r="AX619" s="16"/>
      <c r="AY619" s="16"/>
      <c r="AZ619" s="16"/>
      <c r="BA619" s="16"/>
      <c r="BB619" s="16"/>
      <c r="BC619" s="16"/>
      <c r="BD619" s="16"/>
      <c r="BE619" s="16"/>
      <c r="BF619" s="16"/>
      <c r="BG619" s="16"/>
      <c r="BH619" s="16"/>
      <c r="BI619" s="16"/>
      <c r="BJ619" s="16"/>
      <c r="BK619" s="16"/>
      <c r="BL619" s="16"/>
      <c r="BM619" s="16"/>
      <c r="BN619" s="16"/>
      <c r="BO619" s="16"/>
      <c r="BP619" s="16"/>
      <c r="BQ619" s="16"/>
      <c r="BR619" s="16"/>
      <c r="BS619" s="16"/>
      <c r="BT619" s="16"/>
      <c r="BU619" s="16"/>
      <c r="BV619" s="16"/>
      <c r="BW619" s="16"/>
      <c r="BX619" s="16"/>
      <c r="BY619" s="16"/>
      <c r="BZ619" s="16"/>
      <c r="CA619" s="16"/>
      <c r="CB619" s="16"/>
      <c r="CC619" s="16"/>
    </row>
    <row r="620" spans="1:81" ht="13.5" thickBot="1">
      <c r="A620" s="16"/>
      <c r="B620" s="16"/>
      <c r="C620" s="17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  <c r="AU620" s="16"/>
      <c r="AV620" s="16"/>
      <c r="AW620" s="16"/>
      <c r="AX620" s="16"/>
      <c r="AY620" s="16"/>
      <c r="AZ620" s="16"/>
      <c r="BA620" s="16"/>
      <c r="BB620" s="16"/>
      <c r="BC620" s="16"/>
      <c r="BD620" s="16"/>
      <c r="BE620" s="16"/>
      <c r="BF620" s="16"/>
      <c r="BG620" s="16"/>
      <c r="BH620" s="16"/>
      <c r="BI620" s="16"/>
      <c r="BJ620" s="16"/>
      <c r="BK620" s="16"/>
      <c r="BL620" s="16"/>
      <c r="BM620" s="16"/>
      <c r="BN620" s="16"/>
      <c r="BO620" s="16"/>
      <c r="BP620" s="16"/>
      <c r="BQ620" s="16"/>
      <c r="BR620" s="16"/>
      <c r="BS620" s="16"/>
      <c r="BT620" s="16"/>
      <c r="BU620" s="16"/>
      <c r="BV620" s="16"/>
      <c r="BW620" s="16"/>
      <c r="BX620" s="16"/>
      <c r="BY620" s="16"/>
      <c r="BZ620" s="16"/>
      <c r="CA620" s="16"/>
      <c r="CB620" s="16"/>
      <c r="CC620" s="16"/>
    </row>
    <row r="621" spans="1:81" ht="13.5" thickBot="1">
      <c r="A621" s="16"/>
      <c r="B621" s="16"/>
      <c r="C621" s="17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  <c r="AU621" s="16"/>
      <c r="AV621" s="16"/>
      <c r="AW621" s="16"/>
      <c r="AX621" s="16"/>
      <c r="AY621" s="16"/>
      <c r="AZ621" s="16"/>
      <c r="BA621" s="16"/>
      <c r="BB621" s="16"/>
      <c r="BC621" s="16"/>
      <c r="BD621" s="16"/>
      <c r="BE621" s="16"/>
      <c r="BF621" s="16"/>
      <c r="BG621" s="16"/>
      <c r="BH621" s="16"/>
      <c r="BI621" s="16"/>
      <c r="BJ621" s="16"/>
      <c r="BK621" s="16"/>
      <c r="BL621" s="16"/>
      <c r="BM621" s="16"/>
      <c r="BN621" s="16"/>
      <c r="BO621" s="16"/>
      <c r="BP621" s="16"/>
      <c r="BQ621" s="16"/>
      <c r="BR621" s="16"/>
      <c r="BS621" s="16"/>
      <c r="BT621" s="16"/>
      <c r="BU621" s="16"/>
      <c r="BV621" s="16"/>
      <c r="BW621" s="16"/>
      <c r="BX621" s="16"/>
      <c r="BY621" s="16"/>
      <c r="BZ621" s="16"/>
      <c r="CA621" s="16"/>
      <c r="CB621" s="16"/>
      <c r="CC621" s="16"/>
    </row>
    <row r="622" spans="1:81" ht="13.5" thickBot="1">
      <c r="A622" s="16"/>
      <c r="B622" s="16"/>
      <c r="C622" s="17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  <c r="AU622" s="16"/>
      <c r="AV622" s="16"/>
      <c r="AW622" s="16"/>
      <c r="AX622" s="16"/>
      <c r="AY622" s="16"/>
      <c r="AZ622" s="16"/>
      <c r="BA622" s="16"/>
      <c r="BB622" s="16"/>
      <c r="BC622" s="16"/>
      <c r="BD622" s="16"/>
      <c r="BE622" s="16"/>
      <c r="BF622" s="16"/>
      <c r="BG622" s="16"/>
      <c r="BH622" s="16"/>
      <c r="BI622" s="16"/>
      <c r="BJ622" s="16"/>
      <c r="BK622" s="16"/>
      <c r="BL622" s="16"/>
      <c r="BM622" s="16"/>
      <c r="BN622" s="16"/>
      <c r="BO622" s="16"/>
      <c r="BP622" s="16"/>
      <c r="BQ622" s="16"/>
      <c r="BR622" s="16"/>
      <c r="BS622" s="16"/>
      <c r="BT622" s="16"/>
      <c r="BU622" s="16"/>
      <c r="BV622" s="16"/>
      <c r="BW622" s="16"/>
      <c r="BX622" s="16"/>
      <c r="BY622" s="16"/>
      <c r="BZ622" s="16"/>
      <c r="CA622" s="16"/>
      <c r="CB622" s="16"/>
      <c r="CC622" s="16"/>
    </row>
    <row r="623" spans="1:81" ht="13.5" thickBot="1">
      <c r="A623" s="16"/>
      <c r="B623" s="16"/>
      <c r="C623" s="17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  <c r="AU623" s="16"/>
      <c r="AV623" s="16"/>
      <c r="AW623" s="16"/>
      <c r="AX623" s="16"/>
      <c r="AY623" s="16"/>
      <c r="AZ623" s="16"/>
      <c r="BA623" s="16"/>
      <c r="BB623" s="16"/>
      <c r="BC623" s="16"/>
      <c r="BD623" s="16"/>
      <c r="BE623" s="16"/>
      <c r="BF623" s="16"/>
      <c r="BG623" s="16"/>
      <c r="BH623" s="16"/>
      <c r="BI623" s="16"/>
      <c r="BJ623" s="16"/>
      <c r="BK623" s="16"/>
      <c r="BL623" s="16"/>
      <c r="BM623" s="16"/>
      <c r="BN623" s="16"/>
      <c r="BO623" s="16"/>
      <c r="BP623" s="16"/>
      <c r="BQ623" s="16"/>
      <c r="BR623" s="16"/>
      <c r="BS623" s="16"/>
      <c r="BT623" s="16"/>
      <c r="BU623" s="16"/>
      <c r="BV623" s="16"/>
      <c r="BW623" s="16"/>
      <c r="BX623" s="16"/>
      <c r="BY623" s="16"/>
      <c r="BZ623" s="16"/>
      <c r="CA623" s="16"/>
      <c r="CB623" s="16"/>
      <c r="CC623" s="16"/>
    </row>
    <row r="624" spans="1:81" ht="13.5" thickBot="1">
      <c r="A624" s="16"/>
      <c r="B624" s="16"/>
      <c r="C624" s="17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  <c r="AU624" s="16"/>
      <c r="AV624" s="16"/>
      <c r="AW624" s="16"/>
      <c r="AX624" s="16"/>
      <c r="AY624" s="16"/>
      <c r="AZ624" s="16"/>
      <c r="BA624" s="16"/>
      <c r="BB624" s="16"/>
      <c r="BC624" s="16"/>
      <c r="BD624" s="16"/>
      <c r="BE624" s="16"/>
      <c r="BF624" s="16"/>
      <c r="BG624" s="16"/>
      <c r="BH624" s="16"/>
      <c r="BI624" s="16"/>
      <c r="BJ624" s="16"/>
      <c r="BK624" s="16"/>
      <c r="BL624" s="16"/>
      <c r="BM624" s="16"/>
      <c r="BN624" s="16"/>
      <c r="BO624" s="16"/>
      <c r="BP624" s="16"/>
      <c r="BQ624" s="16"/>
      <c r="BR624" s="16"/>
      <c r="BS624" s="16"/>
      <c r="BT624" s="16"/>
      <c r="BU624" s="16"/>
      <c r="BV624" s="16"/>
      <c r="BW624" s="16"/>
      <c r="BX624" s="16"/>
      <c r="BY624" s="16"/>
      <c r="BZ624" s="16"/>
      <c r="CA624" s="16"/>
      <c r="CB624" s="16"/>
      <c r="CC624" s="16"/>
    </row>
    <row r="625" spans="1:81" ht="13.5" thickBot="1">
      <c r="A625" s="16"/>
      <c r="B625" s="16"/>
      <c r="C625" s="17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  <c r="AU625" s="16"/>
      <c r="AV625" s="16"/>
      <c r="AW625" s="16"/>
      <c r="AX625" s="16"/>
      <c r="AY625" s="16"/>
      <c r="AZ625" s="16"/>
      <c r="BA625" s="16"/>
      <c r="BB625" s="16"/>
      <c r="BC625" s="16"/>
      <c r="BD625" s="16"/>
      <c r="BE625" s="16"/>
      <c r="BF625" s="16"/>
      <c r="BG625" s="16"/>
      <c r="BH625" s="16"/>
      <c r="BI625" s="16"/>
      <c r="BJ625" s="16"/>
      <c r="BK625" s="16"/>
      <c r="BL625" s="16"/>
      <c r="BM625" s="16"/>
      <c r="BN625" s="16"/>
      <c r="BO625" s="16"/>
      <c r="BP625" s="16"/>
      <c r="BQ625" s="16"/>
      <c r="BR625" s="16"/>
      <c r="BS625" s="16"/>
      <c r="BT625" s="16"/>
      <c r="BU625" s="16"/>
      <c r="BV625" s="16"/>
      <c r="BW625" s="16"/>
      <c r="BX625" s="16"/>
      <c r="BY625" s="16"/>
      <c r="BZ625" s="16"/>
      <c r="CA625" s="16"/>
      <c r="CB625" s="16"/>
      <c r="CC625" s="16"/>
    </row>
    <row r="626" spans="1:81" ht="13.5" thickBot="1">
      <c r="A626" s="16"/>
      <c r="B626" s="16"/>
      <c r="C626" s="17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  <c r="AU626" s="16"/>
      <c r="AV626" s="16"/>
      <c r="AW626" s="16"/>
      <c r="AX626" s="16"/>
      <c r="AY626" s="16"/>
      <c r="AZ626" s="16"/>
      <c r="BA626" s="16"/>
      <c r="BB626" s="16"/>
      <c r="BC626" s="16"/>
      <c r="BD626" s="16"/>
      <c r="BE626" s="16"/>
      <c r="BF626" s="16"/>
      <c r="BG626" s="16"/>
      <c r="BH626" s="16"/>
      <c r="BI626" s="16"/>
      <c r="BJ626" s="16"/>
      <c r="BK626" s="16"/>
      <c r="BL626" s="16"/>
      <c r="BM626" s="16"/>
      <c r="BN626" s="16"/>
      <c r="BO626" s="16"/>
      <c r="BP626" s="16"/>
      <c r="BQ626" s="16"/>
      <c r="BR626" s="16"/>
      <c r="BS626" s="16"/>
      <c r="BT626" s="16"/>
      <c r="BU626" s="16"/>
      <c r="BV626" s="16"/>
      <c r="BW626" s="16"/>
      <c r="BX626" s="16"/>
      <c r="BY626" s="16"/>
      <c r="BZ626" s="16"/>
      <c r="CA626" s="16"/>
      <c r="CB626" s="16"/>
      <c r="CC626" s="16"/>
    </row>
    <row r="627" spans="1:81" ht="13.5" thickBot="1">
      <c r="A627" s="16"/>
      <c r="B627" s="16"/>
      <c r="C627" s="17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  <c r="AU627" s="16"/>
      <c r="AV627" s="16"/>
      <c r="AW627" s="16"/>
      <c r="AX627" s="16"/>
      <c r="AY627" s="16"/>
      <c r="AZ627" s="16"/>
      <c r="BA627" s="16"/>
      <c r="BB627" s="16"/>
      <c r="BC627" s="16"/>
      <c r="BD627" s="16"/>
      <c r="BE627" s="16"/>
      <c r="BF627" s="16"/>
      <c r="BG627" s="16"/>
      <c r="BH627" s="16"/>
      <c r="BI627" s="16"/>
      <c r="BJ627" s="16"/>
      <c r="BK627" s="16"/>
      <c r="BL627" s="16"/>
      <c r="BM627" s="16"/>
      <c r="BN627" s="16"/>
      <c r="BO627" s="16"/>
      <c r="BP627" s="16"/>
      <c r="BQ627" s="16"/>
      <c r="BR627" s="16"/>
      <c r="BS627" s="16"/>
      <c r="BT627" s="16"/>
      <c r="BU627" s="16"/>
      <c r="BV627" s="16"/>
      <c r="BW627" s="16"/>
      <c r="BX627" s="16"/>
      <c r="BY627" s="16"/>
      <c r="BZ627" s="16"/>
      <c r="CA627" s="16"/>
      <c r="CB627" s="16"/>
      <c r="CC627" s="16"/>
    </row>
    <row r="628" spans="1:81" ht="13.5" thickBot="1">
      <c r="A628" s="16"/>
      <c r="B628" s="16"/>
      <c r="C628" s="17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  <c r="AU628" s="16"/>
      <c r="AV628" s="16"/>
      <c r="AW628" s="16"/>
      <c r="AX628" s="16"/>
      <c r="AY628" s="16"/>
      <c r="AZ628" s="16"/>
      <c r="BA628" s="16"/>
      <c r="BB628" s="16"/>
      <c r="BC628" s="16"/>
      <c r="BD628" s="16"/>
      <c r="BE628" s="16"/>
      <c r="BF628" s="16"/>
      <c r="BG628" s="16"/>
      <c r="BH628" s="16"/>
      <c r="BI628" s="16"/>
      <c r="BJ628" s="16"/>
      <c r="BK628" s="16"/>
      <c r="BL628" s="16"/>
      <c r="BM628" s="16"/>
      <c r="BN628" s="16"/>
      <c r="BO628" s="16"/>
      <c r="BP628" s="16"/>
      <c r="BQ628" s="16"/>
      <c r="BR628" s="16"/>
      <c r="BS628" s="16"/>
      <c r="BT628" s="16"/>
      <c r="BU628" s="16"/>
      <c r="BV628" s="16"/>
      <c r="BW628" s="16"/>
      <c r="BX628" s="16"/>
      <c r="BY628" s="16"/>
      <c r="BZ628" s="16"/>
      <c r="CA628" s="16"/>
      <c r="CB628" s="16"/>
      <c r="CC628" s="16"/>
    </row>
    <row r="629" spans="1:81" ht="13.5" thickBot="1">
      <c r="A629" s="16"/>
      <c r="B629" s="16"/>
      <c r="C629" s="17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  <c r="AU629" s="16"/>
      <c r="AV629" s="16"/>
      <c r="AW629" s="16"/>
      <c r="AX629" s="16"/>
      <c r="AY629" s="16"/>
      <c r="AZ629" s="16"/>
      <c r="BA629" s="16"/>
      <c r="BB629" s="16"/>
      <c r="BC629" s="16"/>
      <c r="BD629" s="16"/>
      <c r="BE629" s="16"/>
      <c r="BF629" s="16"/>
      <c r="BG629" s="16"/>
      <c r="BH629" s="16"/>
      <c r="BI629" s="16"/>
      <c r="BJ629" s="16"/>
      <c r="BK629" s="16"/>
      <c r="BL629" s="16"/>
      <c r="BM629" s="16"/>
      <c r="BN629" s="16"/>
      <c r="BO629" s="16"/>
      <c r="BP629" s="16"/>
      <c r="BQ629" s="16"/>
      <c r="BR629" s="16"/>
      <c r="BS629" s="16"/>
      <c r="BT629" s="16"/>
      <c r="BU629" s="16"/>
      <c r="BV629" s="16"/>
      <c r="BW629" s="16"/>
      <c r="BX629" s="16"/>
      <c r="BY629" s="16"/>
      <c r="BZ629" s="16"/>
      <c r="CA629" s="16"/>
      <c r="CB629" s="16"/>
      <c r="CC629" s="16"/>
    </row>
    <row r="630" spans="1:81" ht="13.5" thickBot="1">
      <c r="A630" s="16"/>
      <c r="B630" s="16"/>
      <c r="C630" s="17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  <c r="AU630" s="16"/>
      <c r="AV630" s="16"/>
      <c r="AW630" s="16"/>
      <c r="AX630" s="16"/>
      <c r="AY630" s="16"/>
      <c r="AZ630" s="16"/>
      <c r="BA630" s="16"/>
      <c r="BB630" s="16"/>
      <c r="BC630" s="16"/>
      <c r="BD630" s="16"/>
      <c r="BE630" s="16"/>
      <c r="BF630" s="16"/>
      <c r="BG630" s="16"/>
      <c r="BH630" s="16"/>
      <c r="BI630" s="16"/>
      <c r="BJ630" s="16"/>
      <c r="BK630" s="16"/>
      <c r="BL630" s="16"/>
      <c r="BM630" s="16"/>
      <c r="BN630" s="16"/>
      <c r="BO630" s="16"/>
      <c r="BP630" s="16"/>
      <c r="BQ630" s="16"/>
      <c r="BR630" s="16"/>
      <c r="BS630" s="16"/>
      <c r="BT630" s="16"/>
      <c r="BU630" s="16"/>
      <c r="BV630" s="16"/>
      <c r="BW630" s="16"/>
      <c r="BX630" s="16"/>
      <c r="BY630" s="16"/>
      <c r="BZ630" s="16"/>
      <c r="CA630" s="16"/>
      <c r="CB630" s="16"/>
      <c r="CC630" s="16"/>
    </row>
    <row r="631" spans="1:81" ht="13.5" thickBot="1">
      <c r="A631" s="16"/>
      <c r="B631" s="16"/>
      <c r="C631" s="17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  <c r="AU631" s="16"/>
      <c r="AV631" s="16"/>
      <c r="AW631" s="16"/>
      <c r="AX631" s="16"/>
      <c r="AY631" s="16"/>
      <c r="AZ631" s="16"/>
      <c r="BA631" s="16"/>
      <c r="BB631" s="16"/>
      <c r="BC631" s="16"/>
      <c r="BD631" s="16"/>
      <c r="BE631" s="16"/>
      <c r="BF631" s="16"/>
      <c r="BG631" s="16"/>
      <c r="BH631" s="16"/>
      <c r="BI631" s="16"/>
      <c r="BJ631" s="16"/>
      <c r="BK631" s="16"/>
      <c r="BL631" s="16"/>
      <c r="BM631" s="16"/>
      <c r="BN631" s="16"/>
      <c r="BO631" s="16"/>
      <c r="BP631" s="16"/>
      <c r="BQ631" s="16"/>
      <c r="BR631" s="16"/>
      <c r="BS631" s="16"/>
      <c r="BT631" s="16"/>
      <c r="BU631" s="16"/>
      <c r="BV631" s="16"/>
      <c r="BW631" s="16"/>
      <c r="BX631" s="16"/>
      <c r="BY631" s="16"/>
      <c r="BZ631" s="16"/>
      <c r="CA631" s="16"/>
      <c r="CB631" s="16"/>
      <c r="CC631" s="16"/>
    </row>
    <row r="632" spans="1:81" ht="13.5" thickBot="1">
      <c r="A632" s="16"/>
      <c r="B632" s="16"/>
      <c r="C632" s="17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  <c r="AU632" s="16"/>
      <c r="AV632" s="16"/>
      <c r="AW632" s="16"/>
      <c r="AX632" s="16"/>
      <c r="AY632" s="16"/>
      <c r="AZ632" s="16"/>
      <c r="BA632" s="16"/>
      <c r="BB632" s="16"/>
      <c r="BC632" s="16"/>
      <c r="BD632" s="16"/>
      <c r="BE632" s="16"/>
      <c r="BF632" s="16"/>
      <c r="BG632" s="16"/>
      <c r="BH632" s="16"/>
      <c r="BI632" s="16"/>
      <c r="BJ632" s="16"/>
      <c r="BK632" s="16"/>
      <c r="BL632" s="16"/>
      <c r="BM632" s="16"/>
      <c r="BN632" s="16"/>
      <c r="BO632" s="16"/>
      <c r="BP632" s="16"/>
      <c r="BQ632" s="16"/>
      <c r="BR632" s="16"/>
      <c r="BS632" s="16"/>
      <c r="BT632" s="16"/>
      <c r="BU632" s="16"/>
      <c r="BV632" s="16"/>
      <c r="BW632" s="16"/>
      <c r="BX632" s="16"/>
      <c r="BY632" s="16"/>
      <c r="BZ632" s="16"/>
      <c r="CA632" s="16"/>
      <c r="CB632" s="16"/>
      <c r="CC632" s="16"/>
    </row>
    <row r="633" spans="1:81" ht="13.5" thickBot="1">
      <c r="A633" s="16"/>
      <c r="B633" s="16"/>
      <c r="C633" s="17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  <c r="AU633" s="16"/>
      <c r="AV633" s="16"/>
      <c r="AW633" s="16"/>
      <c r="AX633" s="16"/>
      <c r="AY633" s="16"/>
      <c r="AZ633" s="16"/>
      <c r="BA633" s="16"/>
      <c r="BB633" s="16"/>
      <c r="BC633" s="16"/>
      <c r="BD633" s="16"/>
      <c r="BE633" s="16"/>
      <c r="BF633" s="16"/>
      <c r="BG633" s="16"/>
      <c r="BH633" s="16"/>
      <c r="BI633" s="16"/>
      <c r="BJ633" s="16"/>
      <c r="BK633" s="16"/>
      <c r="BL633" s="16"/>
      <c r="BM633" s="16"/>
      <c r="BN633" s="16"/>
      <c r="BO633" s="16"/>
      <c r="BP633" s="16"/>
      <c r="BQ633" s="16"/>
      <c r="BR633" s="16"/>
      <c r="BS633" s="16"/>
      <c r="BT633" s="16"/>
      <c r="BU633" s="16"/>
      <c r="BV633" s="16"/>
      <c r="BW633" s="16"/>
      <c r="BX633" s="16"/>
      <c r="BY633" s="16"/>
      <c r="BZ633" s="16"/>
      <c r="CA633" s="16"/>
      <c r="CB633" s="16"/>
      <c r="CC633" s="16"/>
    </row>
    <row r="634" spans="1:81" ht="13.5" thickBot="1">
      <c r="A634" s="16"/>
      <c r="B634" s="16"/>
      <c r="C634" s="17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  <c r="AU634" s="16"/>
      <c r="AV634" s="16"/>
      <c r="AW634" s="16"/>
      <c r="AX634" s="16"/>
      <c r="AY634" s="16"/>
      <c r="AZ634" s="16"/>
      <c r="BA634" s="16"/>
      <c r="BB634" s="16"/>
      <c r="BC634" s="16"/>
      <c r="BD634" s="16"/>
      <c r="BE634" s="16"/>
      <c r="BF634" s="16"/>
      <c r="BG634" s="16"/>
      <c r="BH634" s="16"/>
      <c r="BI634" s="16"/>
      <c r="BJ634" s="16"/>
      <c r="BK634" s="16"/>
      <c r="BL634" s="16"/>
      <c r="BM634" s="16"/>
      <c r="BN634" s="16"/>
      <c r="BO634" s="16"/>
      <c r="BP634" s="16"/>
      <c r="BQ634" s="16"/>
      <c r="BR634" s="16"/>
      <c r="BS634" s="16"/>
      <c r="BT634" s="16"/>
      <c r="BU634" s="16"/>
      <c r="BV634" s="16"/>
      <c r="BW634" s="16"/>
      <c r="BX634" s="16"/>
      <c r="BY634" s="16"/>
      <c r="BZ634" s="16"/>
      <c r="CA634" s="16"/>
      <c r="CB634" s="16"/>
      <c r="CC634" s="16"/>
    </row>
    <row r="635" spans="1:81" ht="13.5" thickBot="1">
      <c r="A635" s="16"/>
      <c r="B635" s="16"/>
      <c r="C635" s="17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  <c r="AU635" s="16"/>
      <c r="AV635" s="16"/>
      <c r="AW635" s="16"/>
      <c r="AX635" s="16"/>
      <c r="AY635" s="16"/>
      <c r="AZ635" s="16"/>
      <c r="BA635" s="16"/>
      <c r="BB635" s="16"/>
      <c r="BC635" s="16"/>
      <c r="BD635" s="16"/>
      <c r="BE635" s="16"/>
      <c r="BF635" s="16"/>
      <c r="BG635" s="16"/>
      <c r="BH635" s="16"/>
      <c r="BI635" s="16"/>
      <c r="BJ635" s="16"/>
      <c r="BK635" s="16"/>
      <c r="BL635" s="16"/>
      <c r="BM635" s="16"/>
      <c r="BN635" s="16"/>
      <c r="BO635" s="16"/>
      <c r="BP635" s="16"/>
      <c r="BQ635" s="16"/>
      <c r="BR635" s="16"/>
      <c r="BS635" s="16"/>
      <c r="BT635" s="16"/>
      <c r="BU635" s="16"/>
      <c r="BV635" s="16"/>
      <c r="BW635" s="16"/>
      <c r="BX635" s="16"/>
      <c r="BY635" s="16"/>
      <c r="BZ635" s="16"/>
      <c r="CA635" s="16"/>
      <c r="CB635" s="16"/>
      <c r="CC635" s="16"/>
    </row>
    <row r="636" spans="1:81" ht="13.5" thickBot="1">
      <c r="A636" s="16"/>
      <c r="B636" s="16"/>
      <c r="C636" s="17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  <c r="AU636" s="16"/>
      <c r="AV636" s="16"/>
      <c r="AW636" s="16"/>
      <c r="AX636" s="16"/>
      <c r="AY636" s="16"/>
      <c r="AZ636" s="16"/>
      <c r="BA636" s="16"/>
      <c r="BB636" s="16"/>
      <c r="BC636" s="16"/>
      <c r="BD636" s="16"/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  <c r="BP636" s="16"/>
      <c r="BQ636" s="16"/>
      <c r="BR636" s="16"/>
      <c r="BS636" s="16"/>
      <c r="BT636" s="16"/>
      <c r="BU636" s="16"/>
      <c r="BV636" s="16"/>
      <c r="BW636" s="16"/>
      <c r="BX636" s="16"/>
      <c r="BY636" s="16"/>
      <c r="BZ636" s="16"/>
      <c r="CA636" s="16"/>
      <c r="CB636" s="16"/>
      <c r="CC636" s="16"/>
    </row>
    <row r="637" spans="1:81" ht="13.5" thickBot="1">
      <c r="A637" s="16"/>
      <c r="B637" s="16"/>
      <c r="C637" s="17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  <c r="AU637" s="16"/>
      <c r="AV637" s="16"/>
      <c r="AW637" s="16"/>
      <c r="AX637" s="16"/>
      <c r="AY637" s="16"/>
      <c r="AZ637" s="16"/>
      <c r="BA637" s="16"/>
      <c r="BB637" s="16"/>
      <c r="BC637" s="16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  <c r="BP637" s="16"/>
      <c r="BQ637" s="16"/>
      <c r="BR637" s="16"/>
      <c r="BS637" s="16"/>
      <c r="BT637" s="16"/>
      <c r="BU637" s="16"/>
      <c r="BV637" s="16"/>
      <c r="BW637" s="16"/>
      <c r="BX637" s="16"/>
      <c r="BY637" s="16"/>
      <c r="BZ637" s="16"/>
      <c r="CA637" s="16"/>
      <c r="CB637" s="16"/>
      <c r="CC637" s="16"/>
    </row>
    <row r="638" spans="1:81" ht="13.5" thickBot="1">
      <c r="A638" s="16"/>
      <c r="B638" s="16"/>
      <c r="C638" s="17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  <c r="AU638" s="16"/>
      <c r="AV638" s="16"/>
      <c r="AW638" s="16"/>
      <c r="AX638" s="16"/>
      <c r="AY638" s="16"/>
      <c r="AZ638" s="16"/>
      <c r="BA638" s="16"/>
      <c r="BB638" s="16"/>
      <c r="BC638" s="16"/>
      <c r="BD638" s="16"/>
      <c r="BE638" s="16"/>
      <c r="BF638" s="16"/>
      <c r="BG638" s="16"/>
      <c r="BH638" s="16"/>
      <c r="BI638" s="16"/>
      <c r="BJ638" s="16"/>
      <c r="BK638" s="16"/>
      <c r="BL638" s="16"/>
      <c r="BM638" s="16"/>
      <c r="BN638" s="16"/>
      <c r="BO638" s="16"/>
      <c r="BP638" s="16"/>
      <c r="BQ638" s="16"/>
      <c r="BR638" s="16"/>
      <c r="BS638" s="16"/>
      <c r="BT638" s="16"/>
      <c r="BU638" s="16"/>
      <c r="BV638" s="16"/>
      <c r="BW638" s="16"/>
      <c r="BX638" s="16"/>
      <c r="BY638" s="16"/>
      <c r="BZ638" s="16"/>
      <c r="CA638" s="16"/>
      <c r="CB638" s="16"/>
      <c r="CC638" s="16"/>
    </row>
    <row r="639" spans="1:81" ht="13.5" thickBot="1">
      <c r="A639" s="16"/>
      <c r="B639" s="16"/>
      <c r="C639" s="17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  <c r="AU639" s="16"/>
      <c r="AV639" s="16"/>
      <c r="AW639" s="16"/>
      <c r="AX639" s="16"/>
      <c r="AY639" s="16"/>
      <c r="AZ639" s="16"/>
      <c r="BA639" s="16"/>
      <c r="BB639" s="16"/>
      <c r="BC639" s="16"/>
      <c r="BD639" s="16"/>
      <c r="BE639" s="16"/>
      <c r="BF639" s="16"/>
      <c r="BG639" s="16"/>
      <c r="BH639" s="16"/>
      <c r="BI639" s="16"/>
      <c r="BJ639" s="16"/>
      <c r="BK639" s="16"/>
      <c r="BL639" s="16"/>
      <c r="BM639" s="16"/>
      <c r="BN639" s="16"/>
      <c r="BO639" s="16"/>
      <c r="BP639" s="16"/>
      <c r="BQ639" s="16"/>
      <c r="BR639" s="16"/>
      <c r="BS639" s="16"/>
      <c r="BT639" s="16"/>
      <c r="BU639" s="16"/>
      <c r="BV639" s="16"/>
      <c r="BW639" s="16"/>
      <c r="BX639" s="16"/>
      <c r="BY639" s="16"/>
      <c r="BZ639" s="16"/>
      <c r="CA639" s="16"/>
      <c r="CB639" s="16"/>
      <c r="CC639" s="16"/>
    </row>
    <row r="640" spans="1:81" ht="13.5" thickBot="1">
      <c r="A640" s="16"/>
      <c r="B640" s="16"/>
      <c r="C640" s="17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  <c r="AU640" s="16"/>
      <c r="AV640" s="16"/>
      <c r="AW640" s="16"/>
      <c r="AX640" s="16"/>
      <c r="AY640" s="16"/>
      <c r="AZ640" s="16"/>
      <c r="BA640" s="16"/>
      <c r="BB640" s="16"/>
      <c r="BC640" s="16"/>
      <c r="BD640" s="16"/>
      <c r="BE640" s="16"/>
      <c r="BF640" s="16"/>
      <c r="BG640" s="16"/>
      <c r="BH640" s="16"/>
      <c r="BI640" s="16"/>
      <c r="BJ640" s="16"/>
      <c r="BK640" s="16"/>
      <c r="BL640" s="16"/>
      <c r="BM640" s="16"/>
      <c r="BN640" s="16"/>
      <c r="BO640" s="16"/>
      <c r="BP640" s="16"/>
      <c r="BQ640" s="16"/>
      <c r="BR640" s="16"/>
      <c r="BS640" s="16"/>
      <c r="BT640" s="16"/>
      <c r="BU640" s="16"/>
      <c r="BV640" s="16"/>
      <c r="BW640" s="16"/>
      <c r="BX640" s="16"/>
      <c r="BY640" s="16"/>
      <c r="BZ640" s="16"/>
      <c r="CA640" s="16"/>
      <c r="CB640" s="16"/>
      <c r="CC640" s="16"/>
    </row>
    <row r="641" spans="1:81" ht="13.5" thickBot="1">
      <c r="A641" s="16"/>
      <c r="B641" s="16"/>
      <c r="C641" s="17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  <c r="AU641" s="16"/>
      <c r="AV641" s="16"/>
      <c r="AW641" s="16"/>
      <c r="AX641" s="16"/>
      <c r="AY641" s="16"/>
      <c r="AZ641" s="16"/>
      <c r="BA641" s="16"/>
      <c r="BB641" s="16"/>
      <c r="BC641" s="16"/>
      <c r="BD641" s="16"/>
      <c r="BE641" s="16"/>
      <c r="BF641" s="16"/>
      <c r="BG641" s="16"/>
      <c r="BH641" s="16"/>
      <c r="BI641" s="16"/>
      <c r="BJ641" s="16"/>
      <c r="BK641" s="16"/>
      <c r="BL641" s="16"/>
      <c r="BM641" s="16"/>
      <c r="BN641" s="16"/>
      <c r="BO641" s="16"/>
      <c r="BP641" s="16"/>
      <c r="BQ641" s="16"/>
      <c r="BR641" s="16"/>
      <c r="BS641" s="16"/>
      <c r="BT641" s="16"/>
      <c r="BU641" s="16"/>
      <c r="BV641" s="16"/>
      <c r="BW641" s="16"/>
      <c r="BX641" s="16"/>
      <c r="BY641" s="16"/>
      <c r="BZ641" s="16"/>
      <c r="CA641" s="16"/>
      <c r="CB641" s="16"/>
      <c r="CC641" s="16"/>
    </row>
    <row r="642" spans="1:81" ht="13.5" thickBot="1">
      <c r="A642" s="16"/>
      <c r="B642" s="16"/>
      <c r="C642" s="17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  <c r="AU642" s="16"/>
      <c r="AV642" s="16"/>
      <c r="AW642" s="16"/>
      <c r="AX642" s="16"/>
      <c r="AY642" s="16"/>
      <c r="AZ642" s="16"/>
      <c r="BA642" s="16"/>
      <c r="BB642" s="16"/>
      <c r="BC642" s="16"/>
      <c r="BD642" s="16"/>
      <c r="BE642" s="16"/>
      <c r="BF642" s="16"/>
      <c r="BG642" s="16"/>
      <c r="BH642" s="16"/>
      <c r="BI642" s="16"/>
      <c r="BJ642" s="16"/>
      <c r="BK642" s="16"/>
      <c r="BL642" s="16"/>
      <c r="BM642" s="16"/>
      <c r="BN642" s="16"/>
      <c r="BO642" s="16"/>
      <c r="BP642" s="16"/>
      <c r="BQ642" s="16"/>
      <c r="BR642" s="16"/>
      <c r="BS642" s="16"/>
      <c r="BT642" s="16"/>
      <c r="BU642" s="16"/>
      <c r="BV642" s="16"/>
      <c r="BW642" s="16"/>
      <c r="BX642" s="16"/>
      <c r="BY642" s="16"/>
      <c r="BZ642" s="16"/>
      <c r="CA642" s="16"/>
      <c r="CB642" s="16"/>
      <c r="CC642" s="16"/>
    </row>
    <row r="643" spans="1:81" ht="13.5" thickBot="1">
      <c r="A643" s="16"/>
      <c r="B643" s="16"/>
      <c r="C643" s="17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  <c r="AU643" s="16"/>
      <c r="AV643" s="16"/>
      <c r="AW643" s="16"/>
      <c r="AX643" s="16"/>
      <c r="AY643" s="16"/>
      <c r="AZ643" s="16"/>
      <c r="BA643" s="16"/>
      <c r="BB643" s="16"/>
      <c r="BC643" s="16"/>
      <c r="BD643" s="16"/>
      <c r="BE643" s="16"/>
      <c r="BF643" s="16"/>
      <c r="BG643" s="16"/>
      <c r="BH643" s="16"/>
      <c r="BI643" s="16"/>
      <c r="BJ643" s="16"/>
      <c r="BK643" s="16"/>
      <c r="BL643" s="16"/>
      <c r="BM643" s="16"/>
      <c r="BN643" s="16"/>
      <c r="BO643" s="16"/>
      <c r="BP643" s="16"/>
      <c r="BQ643" s="16"/>
      <c r="BR643" s="16"/>
      <c r="BS643" s="16"/>
      <c r="BT643" s="16"/>
      <c r="BU643" s="16"/>
      <c r="BV643" s="16"/>
      <c r="BW643" s="16"/>
      <c r="BX643" s="16"/>
      <c r="BY643" s="16"/>
      <c r="BZ643" s="16"/>
      <c r="CA643" s="16"/>
      <c r="CB643" s="16"/>
      <c r="CC643" s="16"/>
    </row>
    <row r="644" spans="1:81" ht="13.5" thickBot="1">
      <c r="A644" s="16"/>
      <c r="B644" s="16"/>
      <c r="C644" s="17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  <c r="AU644" s="16"/>
      <c r="AV644" s="16"/>
      <c r="AW644" s="16"/>
      <c r="AX644" s="16"/>
      <c r="AY644" s="16"/>
      <c r="AZ644" s="16"/>
      <c r="BA644" s="16"/>
      <c r="BB644" s="16"/>
      <c r="BC644" s="16"/>
      <c r="BD644" s="16"/>
      <c r="BE644" s="16"/>
      <c r="BF644" s="16"/>
      <c r="BG644" s="16"/>
      <c r="BH644" s="16"/>
      <c r="BI644" s="16"/>
      <c r="BJ644" s="16"/>
      <c r="BK644" s="16"/>
      <c r="BL644" s="16"/>
      <c r="BM644" s="16"/>
      <c r="BN644" s="16"/>
      <c r="BO644" s="16"/>
      <c r="BP644" s="16"/>
      <c r="BQ644" s="16"/>
      <c r="BR644" s="16"/>
      <c r="BS644" s="16"/>
      <c r="BT644" s="16"/>
      <c r="BU644" s="16"/>
      <c r="BV644" s="16"/>
      <c r="BW644" s="16"/>
      <c r="BX644" s="16"/>
      <c r="BY644" s="16"/>
      <c r="BZ644" s="16"/>
      <c r="CA644" s="16"/>
      <c r="CB644" s="16"/>
      <c r="CC644" s="16"/>
    </row>
    <row r="645" spans="1:81" ht="13.5" thickBot="1">
      <c r="A645" s="16"/>
      <c r="B645" s="16"/>
      <c r="C645" s="17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  <c r="AU645" s="16"/>
      <c r="AV645" s="16"/>
      <c r="AW645" s="16"/>
      <c r="AX645" s="16"/>
      <c r="AY645" s="16"/>
      <c r="AZ645" s="16"/>
      <c r="BA645" s="16"/>
      <c r="BB645" s="16"/>
      <c r="BC645" s="16"/>
      <c r="BD645" s="16"/>
      <c r="BE645" s="16"/>
      <c r="BF645" s="16"/>
      <c r="BG645" s="16"/>
      <c r="BH645" s="16"/>
      <c r="BI645" s="16"/>
      <c r="BJ645" s="16"/>
      <c r="BK645" s="16"/>
      <c r="BL645" s="16"/>
      <c r="BM645" s="16"/>
      <c r="BN645" s="16"/>
      <c r="BO645" s="16"/>
      <c r="BP645" s="16"/>
      <c r="BQ645" s="16"/>
      <c r="BR645" s="16"/>
      <c r="BS645" s="16"/>
      <c r="BT645" s="16"/>
      <c r="BU645" s="16"/>
      <c r="BV645" s="16"/>
      <c r="BW645" s="16"/>
      <c r="BX645" s="16"/>
      <c r="BY645" s="16"/>
      <c r="BZ645" s="16"/>
      <c r="CA645" s="16"/>
      <c r="CB645" s="16"/>
      <c r="CC645" s="16"/>
    </row>
    <row r="646" spans="1:81" ht="13.5" thickBot="1">
      <c r="A646" s="16"/>
      <c r="B646" s="16"/>
      <c r="C646" s="17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  <c r="AU646" s="16"/>
      <c r="AV646" s="16"/>
      <c r="AW646" s="16"/>
      <c r="AX646" s="16"/>
      <c r="AY646" s="16"/>
      <c r="AZ646" s="16"/>
      <c r="BA646" s="16"/>
      <c r="BB646" s="16"/>
      <c r="BC646" s="16"/>
      <c r="BD646" s="16"/>
      <c r="BE646" s="16"/>
      <c r="BF646" s="16"/>
      <c r="BG646" s="16"/>
      <c r="BH646" s="16"/>
      <c r="BI646" s="16"/>
      <c r="BJ646" s="16"/>
      <c r="BK646" s="16"/>
      <c r="BL646" s="16"/>
      <c r="BM646" s="16"/>
      <c r="BN646" s="16"/>
      <c r="BO646" s="16"/>
      <c r="BP646" s="16"/>
      <c r="BQ646" s="16"/>
      <c r="BR646" s="16"/>
      <c r="BS646" s="16"/>
      <c r="BT646" s="16"/>
      <c r="BU646" s="16"/>
      <c r="BV646" s="16"/>
      <c r="BW646" s="16"/>
      <c r="BX646" s="16"/>
      <c r="BY646" s="16"/>
      <c r="BZ646" s="16"/>
      <c r="CA646" s="16"/>
      <c r="CB646" s="16"/>
      <c r="CC646" s="16"/>
    </row>
    <row r="647" spans="1:81" ht="13.5" thickBot="1">
      <c r="A647" s="16"/>
      <c r="B647" s="16"/>
      <c r="C647" s="17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  <c r="AU647" s="16"/>
      <c r="AV647" s="16"/>
      <c r="AW647" s="16"/>
      <c r="AX647" s="16"/>
      <c r="AY647" s="16"/>
      <c r="AZ647" s="16"/>
      <c r="BA647" s="16"/>
      <c r="BB647" s="16"/>
      <c r="BC647" s="16"/>
      <c r="BD647" s="16"/>
      <c r="BE647" s="16"/>
      <c r="BF647" s="16"/>
      <c r="BG647" s="16"/>
      <c r="BH647" s="16"/>
      <c r="BI647" s="16"/>
      <c r="BJ647" s="16"/>
      <c r="BK647" s="16"/>
      <c r="BL647" s="16"/>
      <c r="BM647" s="16"/>
      <c r="BN647" s="16"/>
      <c r="BO647" s="16"/>
      <c r="BP647" s="16"/>
      <c r="BQ647" s="16"/>
      <c r="BR647" s="16"/>
      <c r="BS647" s="16"/>
      <c r="BT647" s="16"/>
      <c r="BU647" s="16"/>
      <c r="BV647" s="16"/>
      <c r="BW647" s="16"/>
      <c r="BX647" s="16"/>
      <c r="BY647" s="16"/>
      <c r="BZ647" s="16"/>
      <c r="CA647" s="16"/>
      <c r="CB647" s="16"/>
      <c r="CC647" s="16"/>
    </row>
    <row r="648" spans="1:81" ht="13.5" thickBot="1">
      <c r="A648" s="16"/>
      <c r="B648" s="16"/>
      <c r="C648" s="17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16"/>
      <c r="AU648" s="16"/>
      <c r="AV648" s="16"/>
      <c r="AW648" s="16"/>
      <c r="AX648" s="16"/>
      <c r="AY648" s="16"/>
      <c r="AZ648" s="16"/>
      <c r="BA648" s="16"/>
      <c r="BB648" s="16"/>
      <c r="BC648" s="16"/>
      <c r="BD648" s="16"/>
      <c r="BE648" s="16"/>
      <c r="BF648" s="16"/>
      <c r="BG648" s="16"/>
      <c r="BH648" s="16"/>
      <c r="BI648" s="16"/>
      <c r="BJ648" s="16"/>
      <c r="BK648" s="16"/>
      <c r="BL648" s="16"/>
      <c r="BM648" s="16"/>
      <c r="BN648" s="16"/>
      <c r="BO648" s="16"/>
      <c r="BP648" s="16"/>
      <c r="BQ648" s="16"/>
      <c r="BR648" s="16"/>
      <c r="BS648" s="16"/>
      <c r="BT648" s="16"/>
      <c r="BU648" s="16"/>
      <c r="BV648" s="16"/>
      <c r="BW648" s="16"/>
      <c r="BX648" s="16"/>
      <c r="BY648" s="16"/>
      <c r="BZ648" s="16"/>
      <c r="CA648" s="16"/>
      <c r="CB648" s="16"/>
      <c r="CC648" s="16"/>
    </row>
    <row r="649" spans="1:81" ht="13.5" thickBot="1">
      <c r="A649" s="16"/>
      <c r="B649" s="16"/>
      <c r="C649" s="17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16"/>
      <c r="AU649" s="16"/>
      <c r="AV649" s="16"/>
      <c r="AW649" s="16"/>
      <c r="AX649" s="16"/>
      <c r="AY649" s="16"/>
      <c r="AZ649" s="16"/>
      <c r="BA649" s="16"/>
      <c r="BB649" s="16"/>
      <c r="BC649" s="16"/>
      <c r="BD649" s="16"/>
      <c r="BE649" s="16"/>
      <c r="BF649" s="16"/>
      <c r="BG649" s="16"/>
      <c r="BH649" s="16"/>
      <c r="BI649" s="16"/>
      <c r="BJ649" s="16"/>
      <c r="BK649" s="16"/>
      <c r="BL649" s="16"/>
      <c r="BM649" s="16"/>
      <c r="BN649" s="16"/>
      <c r="BO649" s="16"/>
      <c r="BP649" s="16"/>
      <c r="BQ649" s="16"/>
      <c r="BR649" s="16"/>
      <c r="BS649" s="16"/>
      <c r="BT649" s="16"/>
      <c r="BU649" s="16"/>
      <c r="BV649" s="16"/>
      <c r="BW649" s="16"/>
      <c r="BX649" s="16"/>
      <c r="BY649" s="16"/>
      <c r="BZ649" s="16"/>
      <c r="CA649" s="16"/>
      <c r="CB649" s="16"/>
      <c r="CC649" s="16"/>
    </row>
    <row r="650" spans="1:81" ht="13.5" thickBot="1">
      <c r="A650" s="16"/>
      <c r="B650" s="16"/>
      <c r="C650" s="17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16"/>
      <c r="AU650" s="16"/>
      <c r="AV650" s="16"/>
      <c r="AW650" s="16"/>
      <c r="AX650" s="16"/>
      <c r="AY650" s="16"/>
      <c r="AZ650" s="16"/>
      <c r="BA650" s="16"/>
      <c r="BB650" s="16"/>
      <c r="BC650" s="16"/>
      <c r="BD650" s="16"/>
      <c r="BE650" s="16"/>
      <c r="BF650" s="16"/>
      <c r="BG650" s="16"/>
      <c r="BH650" s="16"/>
      <c r="BI650" s="16"/>
      <c r="BJ650" s="16"/>
      <c r="BK650" s="16"/>
      <c r="BL650" s="16"/>
      <c r="BM650" s="16"/>
      <c r="BN650" s="16"/>
      <c r="BO650" s="16"/>
      <c r="BP650" s="16"/>
      <c r="BQ650" s="16"/>
      <c r="BR650" s="16"/>
      <c r="BS650" s="16"/>
      <c r="BT650" s="16"/>
      <c r="BU650" s="16"/>
      <c r="BV650" s="16"/>
      <c r="BW650" s="16"/>
      <c r="BX650" s="16"/>
      <c r="BY650" s="16"/>
      <c r="BZ650" s="16"/>
      <c r="CA650" s="16"/>
      <c r="CB650" s="16"/>
      <c r="CC650" s="16"/>
    </row>
    <row r="651" spans="1:81" ht="13.5" thickBot="1">
      <c r="A651" s="16"/>
      <c r="B651" s="16"/>
      <c r="C651" s="17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16"/>
      <c r="AU651" s="16"/>
      <c r="AV651" s="16"/>
      <c r="AW651" s="16"/>
      <c r="AX651" s="16"/>
      <c r="AY651" s="16"/>
      <c r="AZ651" s="16"/>
      <c r="BA651" s="16"/>
      <c r="BB651" s="16"/>
      <c r="BC651" s="16"/>
      <c r="BD651" s="16"/>
      <c r="BE651" s="16"/>
      <c r="BF651" s="16"/>
      <c r="BG651" s="16"/>
      <c r="BH651" s="16"/>
      <c r="BI651" s="16"/>
      <c r="BJ651" s="16"/>
      <c r="BK651" s="16"/>
      <c r="BL651" s="16"/>
      <c r="BM651" s="16"/>
      <c r="BN651" s="16"/>
      <c r="BO651" s="16"/>
      <c r="BP651" s="16"/>
      <c r="BQ651" s="16"/>
      <c r="BR651" s="16"/>
      <c r="BS651" s="16"/>
      <c r="BT651" s="16"/>
      <c r="BU651" s="16"/>
      <c r="BV651" s="16"/>
      <c r="BW651" s="16"/>
      <c r="BX651" s="16"/>
      <c r="BY651" s="16"/>
      <c r="BZ651" s="16"/>
      <c r="CA651" s="16"/>
      <c r="CB651" s="16"/>
      <c r="CC651" s="16"/>
    </row>
    <row r="652" spans="1:81" ht="13.5" thickBot="1">
      <c r="A652" s="16"/>
      <c r="B652" s="16"/>
      <c r="C652" s="17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16"/>
      <c r="AU652" s="16"/>
      <c r="AV652" s="16"/>
      <c r="AW652" s="16"/>
      <c r="AX652" s="16"/>
      <c r="AY652" s="16"/>
      <c r="AZ652" s="16"/>
      <c r="BA652" s="16"/>
      <c r="BB652" s="16"/>
      <c r="BC652" s="16"/>
      <c r="BD652" s="16"/>
      <c r="BE652" s="16"/>
      <c r="BF652" s="16"/>
      <c r="BG652" s="16"/>
      <c r="BH652" s="16"/>
      <c r="BI652" s="16"/>
      <c r="BJ652" s="16"/>
      <c r="BK652" s="16"/>
      <c r="BL652" s="16"/>
      <c r="BM652" s="16"/>
      <c r="BN652" s="16"/>
      <c r="BO652" s="16"/>
      <c r="BP652" s="16"/>
      <c r="BQ652" s="16"/>
      <c r="BR652" s="16"/>
      <c r="BS652" s="16"/>
      <c r="BT652" s="16"/>
      <c r="BU652" s="16"/>
      <c r="BV652" s="16"/>
      <c r="BW652" s="16"/>
      <c r="BX652" s="16"/>
      <c r="BY652" s="16"/>
      <c r="BZ652" s="16"/>
      <c r="CA652" s="16"/>
      <c r="CB652" s="16"/>
      <c r="CC652" s="16"/>
    </row>
    <row r="653" spans="1:81" ht="13.5" thickBot="1">
      <c r="A653" s="16"/>
      <c r="B653" s="16"/>
      <c r="C653" s="17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16"/>
      <c r="AU653" s="16"/>
      <c r="AV653" s="16"/>
      <c r="AW653" s="16"/>
      <c r="AX653" s="16"/>
      <c r="AY653" s="16"/>
      <c r="AZ653" s="16"/>
      <c r="BA653" s="16"/>
      <c r="BB653" s="16"/>
      <c r="BC653" s="16"/>
      <c r="BD653" s="16"/>
      <c r="BE653" s="16"/>
      <c r="BF653" s="16"/>
      <c r="BG653" s="16"/>
      <c r="BH653" s="16"/>
      <c r="BI653" s="16"/>
      <c r="BJ653" s="16"/>
      <c r="BK653" s="16"/>
      <c r="BL653" s="16"/>
      <c r="BM653" s="16"/>
      <c r="BN653" s="16"/>
      <c r="BO653" s="16"/>
      <c r="BP653" s="16"/>
      <c r="BQ653" s="16"/>
      <c r="BR653" s="16"/>
      <c r="BS653" s="16"/>
      <c r="BT653" s="16"/>
      <c r="BU653" s="16"/>
      <c r="BV653" s="16"/>
      <c r="BW653" s="16"/>
      <c r="BX653" s="16"/>
      <c r="BY653" s="16"/>
      <c r="BZ653" s="16"/>
      <c r="CA653" s="16"/>
      <c r="CB653" s="16"/>
      <c r="CC653" s="16"/>
    </row>
    <row r="654" spans="1:81" ht="13.5" thickBot="1">
      <c r="A654" s="16"/>
      <c r="B654" s="16"/>
      <c r="C654" s="17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16"/>
      <c r="AU654" s="16"/>
      <c r="AV654" s="16"/>
      <c r="AW654" s="16"/>
      <c r="AX654" s="16"/>
      <c r="AY654" s="16"/>
      <c r="AZ654" s="16"/>
      <c r="BA654" s="16"/>
      <c r="BB654" s="16"/>
      <c r="BC654" s="16"/>
      <c r="BD654" s="16"/>
      <c r="BE654" s="16"/>
      <c r="BF654" s="16"/>
      <c r="BG654" s="16"/>
      <c r="BH654" s="16"/>
      <c r="BI654" s="16"/>
      <c r="BJ654" s="16"/>
      <c r="BK654" s="16"/>
      <c r="BL654" s="16"/>
      <c r="BM654" s="16"/>
      <c r="BN654" s="16"/>
      <c r="BO654" s="16"/>
      <c r="BP654" s="16"/>
      <c r="BQ654" s="16"/>
      <c r="BR654" s="16"/>
      <c r="BS654" s="16"/>
      <c r="BT654" s="16"/>
      <c r="BU654" s="16"/>
      <c r="BV654" s="16"/>
      <c r="BW654" s="16"/>
      <c r="BX654" s="16"/>
      <c r="BY654" s="16"/>
      <c r="BZ654" s="16"/>
      <c r="CA654" s="16"/>
      <c r="CB654" s="16"/>
      <c r="CC654" s="16"/>
    </row>
    <row r="655" spans="1:81" ht="13.5" thickBot="1">
      <c r="A655" s="16"/>
      <c r="B655" s="16"/>
      <c r="C655" s="17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16"/>
      <c r="AU655" s="16"/>
      <c r="AV655" s="16"/>
      <c r="AW655" s="16"/>
      <c r="AX655" s="16"/>
      <c r="AY655" s="16"/>
      <c r="AZ655" s="16"/>
      <c r="BA655" s="16"/>
      <c r="BB655" s="16"/>
      <c r="BC655" s="16"/>
      <c r="BD655" s="16"/>
      <c r="BE655" s="16"/>
      <c r="BF655" s="16"/>
      <c r="BG655" s="16"/>
      <c r="BH655" s="16"/>
      <c r="BI655" s="16"/>
      <c r="BJ655" s="16"/>
      <c r="BK655" s="16"/>
      <c r="BL655" s="16"/>
      <c r="BM655" s="16"/>
      <c r="BN655" s="16"/>
      <c r="BO655" s="16"/>
      <c r="BP655" s="16"/>
      <c r="BQ655" s="16"/>
      <c r="BR655" s="16"/>
      <c r="BS655" s="16"/>
      <c r="BT655" s="16"/>
      <c r="BU655" s="16"/>
      <c r="BV655" s="16"/>
      <c r="BW655" s="16"/>
      <c r="BX655" s="16"/>
      <c r="BY655" s="16"/>
      <c r="BZ655" s="16"/>
      <c r="CA655" s="16"/>
      <c r="CB655" s="16"/>
      <c r="CC655" s="16"/>
    </row>
    <row r="656" spans="1:81" ht="13.5" thickBot="1">
      <c r="A656" s="16"/>
      <c r="B656" s="16"/>
      <c r="C656" s="17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16"/>
      <c r="AU656" s="16"/>
      <c r="AV656" s="16"/>
      <c r="AW656" s="16"/>
      <c r="AX656" s="16"/>
      <c r="AY656" s="16"/>
      <c r="AZ656" s="16"/>
      <c r="BA656" s="16"/>
      <c r="BB656" s="16"/>
      <c r="BC656" s="16"/>
      <c r="BD656" s="16"/>
      <c r="BE656" s="16"/>
      <c r="BF656" s="16"/>
      <c r="BG656" s="16"/>
      <c r="BH656" s="16"/>
      <c r="BI656" s="16"/>
      <c r="BJ656" s="16"/>
      <c r="BK656" s="16"/>
      <c r="BL656" s="16"/>
      <c r="BM656" s="16"/>
      <c r="BN656" s="16"/>
      <c r="BO656" s="16"/>
      <c r="BP656" s="16"/>
      <c r="BQ656" s="16"/>
      <c r="BR656" s="16"/>
      <c r="BS656" s="16"/>
      <c r="BT656" s="16"/>
      <c r="BU656" s="16"/>
      <c r="BV656" s="16"/>
      <c r="BW656" s="16"/>
      <c r="BX656" s="16"/>
      <c r="BY656" s="16"/>
      <c r="BZ656" s="16"/>
      <c r="CA656" s="16"/>
      <c r="CB656" s="16"/>
      <c r="CC656" s="16"/>
    </row>
    <row r="657" spans="1:81" ht="13.5" thickBot="1">
      <c r="A657" s="16"/>
      <c r="B657" s="16"/>
      <c r="C657" s="17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16"/>
      <c r="AU657" s="16"/>
      <c r="AV657" s="16"/>
      <c r="AW657" s="16"/>
      <c r="AX657" s="16"/>
      <c r="AY657" s="16"/>
      <c r="AZ657" s="16"/>
      <c r="BA657" s="16"/>
      <c r="BB657" s="16"/>
      <c r="BC657" s="16"/>
      <c r="BD657" s="16"/>
      <c r="BE657" s="16"/>
      <c r="BF657" s="16"/>
      <c r="BG657" s="16"/>
      <c r="BH657" s="16"/>
      <c r="BI657" s="16"/>
      <c r="BJ657" s="16"/>
      <c r="BK657" s="16"/>
      <c r="BL657" s="16"/>
      <c r="BM657" s="16"/>
      <c r="BN657" s="16"/>
      <c r="BO657" s="16"/>
      <c r="BP657" s="16"/>
      <c r="BQ657" s="16"/>
      <c r="BR657" s="16"/>
      <c r="BS657" s="16"/>
      <c r="BT657" s="16"/>
      <c r="BU657" s="16"/>
      <c r="BV657" s="16"/>
      <c r="BW657" s="16"/>
      <c r="BX657" s="16"/>
      <c r="BY657" s="16"/>
      <c r="BZ657" s="16"/>
      <c r="CA657" s="16"/>
      <c r="CB657" s="16"/>
      <c r="CC657" s="16"/>
    </row>
    <row r="658" spans="1:81" ht="13.5" thickBot="1">
      <c r="A658" s="16"/>
      <c r="B658" s="16"/>
      <c r="C658" s="17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16"/>
      <c r="AU658" s="16"/>
      <c r="AV658" s="16"/>
      <c r="AW658" s="16"/>
      <c r="AX658" s="16"/>
      <c r="AY658" s="16"/>
      <c r="AZ658" s="16"/>
      <c r="BA658" s="16"/>
      <c r="BB658" s="16"/>
      <c r="BC658" s="16"/>
      <c r="BD658" s="16"/>
      <c r="BE658" s="16"/>
      <c r="BF658" s="16"/>
      <c r="BG658" s="16"/>
      <c r="BH658" s="16"/>
      <c r="BI658" s="16"/>
      <c r="BJ658" s="16"/>
      <c r="BK658" s="16"/>
      <c r="BL658" s="16"/>
      <c r="BM658" s="16"/>
      <c r="BN658" s="16"/>
      <c r="BO658" s="16"/>
      <c r="BP658" s="16"/>
      <c r="BQ658" s="16"/>
      <c r="BR658" s="16"/>
      <c r="BS658" s="16"/>
      <c r="BT658" s="16"/>
      <c r="BU658" s="16"/>
      <c r="BV658" s="16"/>
      <c r="BW658" s="16"/>
      <c r="BX658" s="16"/>
      <c r="BY658" s="16"/>
      <c r="BZ658" s="16"/>
      <c r="CA658" s="16"/>
      <c r="CB658" s="16"/>
      <c r="CC658" s="16"/>
    </row>
    <row r="659" spans="1:81" ht="13.5" thickBot="1">
      <c r="A659" s="16"/>
      <c r="B659" s="16"/>
      <c r="C659" s="17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16"/>
      <c r="AU659" s="16"/>
      <c r="AV659" s="16"/>
      <c r="AW659" s="16"/>
      <c r="AX659" s="16"/>
      <c r="AY659" s="16"/>
      <c r="AZ659" s="16"/>
      <c r="BA659" s="16"/>
      <c r="BB659" s="16"/>
      <c r="BC659" s="16"/>
      <c r="BD659" s="16"/>
      <c r="BE659" s="16"/>
      <c r="BF659" s="16"/>
      <c r="BG659" s="16"/>
      <c r="BH659" s="16"/>
      <c r="BI659" s="16"/>
      <c r="BJ659" s="16"/>
      <c r="BK659" s="16"/>
      <c r="BL659" s="16"/>
      <c r="BM659" s="16"/>
      <c r="BN659" s="16"/>
      <c r="BO659" s="16"/>
      <c r="BP659" s="16"/>
      <c r="BQ659" s="16"/>
      <c r="BR659" s="16"/>
      <c r="BS659" s="16"/>
      <c r="BT659" s="16"/>
      <c r="BU659" s="16"/>
      <c r="BV659" s="16"/>
      <c r="BW659" s="16"/>
      <c r="BX659" s="16"/>
      <c r="BY659" s="16"/>
      <c r="BZ659" s="16"/>
      <c r="CA659" s="16"/>
      <c r="CB659" s="16"/>
      <c r="CC659" s="16"/>
    </row>
    <row r="660" spans="1:81" ht="13.5" thickBot="1">
      <c r="A660" s="16"/>
      <c r="B660" s="16"/>
      <c r="C660" s="17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16"/>
      <c r="AU660" s="16"/>
      <c r="AV660" s="16"/>
      <c r="AW660" s="16"/>
      <c r="AX660" s="16"/>
      <c r="AY660" s="16"/>
      <c r="AZ660" s="16"/>
      <c r="BA660" s="16"/>
      <c r="BB660" s="16"/>
      <c r="BC660" s="16"/>
      <c r="BD660" s="16"/>
      <c r="BE660" s="16"/>
      <c r="BF660" s="16"/>
      <c r="BG660" s="16"/>
      <c r="BH660" s="16"/>
      <c r="BI660" s="16"/>
      <c r="BJ660" s="16"/>
      <c r="BK660" s="16"/>
      <c r="BL660" s="16"/>
      <c r="BM660" s="16"/>
      <c r="BN660" s="16"/>
      <c r="BO660" s="16"/>
      <c r="BP660" s="16"/>
      <c r="BQ660" s="16"/>
      <c r="BR660" s="16"/>
      <c r="BS660" s="16"/>
      <c r="BT660" s="16"/>
      <c r="BU660" s="16"/>
      <c r="BV660" s="16"/>
      <c r="BW660" s="16"/>
      <c r="BX660" s="16"/>
      <c r="BY660" s="16"/>
      <c r="BZ660" s="16"/>
      <c r="CA660" s="16"/>
      <c r="CB660" s="16"/>
      <c r="CC660" s="16"/>
    </row>
    <row r="661" spans="1:81" ht="13.5" thickBot="1">
      <c r="A661" s="16"/>
      <c r="B661" s="16"/>
      <c r="C661" s="17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16"/>
      <c r="AU661" s="16"/>
      <c r="AV661" s="16"/>
      <c r="AW661" s="16"/>
      <c r="AX661" s="16"/>
      <c r="AY661" s="16"/>
      <c r="AZ661" s="16"/>
      <c r="BA661" s="16"/>
      <c r="BB661" s="16"/>
      <c r="BC661" s="16"/>
      <c r="BD661" s="16"/>
      <c r="BE661" s="16"/>
      <c r="BF661" s="16"/>
      <c r="BG661" s="16"/>
      <c r="BH661" s="16"/>
      <c r="BI661" s="16"/>
      <c r="BJ661" s="16"/>
      <c r="BK661" s="16"/>
      <c r="BL661" s="16"/>
      <c r="BM661" s="16"/>
      <c r="BN661" s="16"/>
      <c r="BO661" s="16"/>
      <c r="BP661" s="16"/>
      <c r="BQ661" s="16"/>
      <c r="BR661" s="16"/>
      <c r="BS661" s="16"/>
      <c r="BT661" s="16"/>
      <c r="BU661" s="16"/>
      <c r="BV661" s="16"/>
      <c r="BW661" s="16"/>
      <c r="BX661" s="16"/>
      <c r="BY661" s="16"/>
      <c r="BZ661" s="16"/>
      <c r="CA661" s="16"/>
      <c r="CB661" s="16"/>
      <c r="CC661" s="16"/>
    </row>
    <row r="662" spans="1:81" ht="13.5" thickBot="1">
      <c r="A662" s="16"/>
      <c r="B662" s="16"/>
      <c r="C662" s="17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16"/>
      <c r="AU662" s="16"/>
      <c r="AV662" s="16"/>
      <c r="AW662" s="16"/>
      <c r="AX662" s="16"/>
      <c r="AY662" s="16"/>
      <c r="AZ662" s="16"/>
      <c r="BA662" s="16"/>
      <c r="BB662" s="16"/>
      <c r="BC662" s="16"/>
      <c r="BD662" s="16"/>
      <c r="BE662" s="16"/>
      <c r="BF662" s="16"/>
      <c r="BG662" s="16"/>
      <c r="BH662" s="16"/>
      <c r="BI662" s="16"/>
      <c r="BJ662" s="16"/>
      <c r="BK662" s="16"/>
      <c r="BL662" s="16"/>
      <c r="BM662" s="16"/>
      <c r="BN662" s="16"/>
      <c r="BO662" s="16"/>
      <c r="BP662" s="16"/>
      <c r="BQ662" s="16"/>
      <c r="BR662" s="16"/>
      <c r="BS662" s="16"/>
      <c r="BT662" s="16"/>
      <c r="BU662" s="16"/>
      <c r="BV662" s="16"/>
      <c r="BW662" s="16"/>
      <c r="BX662" s="16"/>
      <c r="BY662" s="16"/>
      <c r="BZ662" s="16"/>
      <c r="CA662" s="16"/>
      <c r="CB662" s="16"/>
      <c r="CC662" s="16"/>
    </row>
    <row r="663" spans="1:81" ht="13.5" thickBot="1">
      <c r="A663" s="16"/>
      <c r="B663" s="16"/>
      <c r="C663" s="17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16"/>
      <c r="AU663" s="16"/>
      <c r="AV663" s="16"/>
      <c r="AW663" s="16"/>
      <c r="AX663" s="16"/>
      <c r="AY663" s="16"/>
      <c r="AZ663" s="16"/>
      <c r="BA663" s="16"/>
      <c r="BB663" s="16"/>
      <c r="BC663" s="16"/>
      <c r="BD663" s="16"/>
      <c r="BE663" s="16"/>
      <c r="BF663" s="16"/>
      <c r="BG663" s="16"/>
      <c r="BH663" s="16"/>
      <c r="BI663" s="16"/>
      <c r="BJ663" s="16"/>
      <c r="BK663" s="16"/>
      <c r="BL663" s="16"/>
      <c r="BM663" s="16"/>
      <c r="BN663" s="16"/>
      <c r="BO663" s="16"/>
      <c r="BP663" s="16"/>
      <c r="BQ663" s="16"/>
      <c r="BR663" s="16"/>
      <c r="BS663" s="16"/>
      <c r="BT663" s="16"/>
      <c r="BU663" s="16"/>
      <c r="BV663" s="16"/>
      <c r="BW663" s="16"/>
      <c r="BX663" s="16"/>
      <c r="BY663" s="16"/>
      <c r="BZ663" s="16"/>
      <c r="CA663" s="16"/>
      <c r="CB663" s="16"/>
      <c r="CC663" s="16"/>
    </row>
    <row r="664" spans="1:81" ht="13.5" thickBot="1">
      <c r="A664" s="16"/>
      <c r="B664" s="16"/>
      <c r="C664" s="17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16"/>
      <c r="AU664" s="16"/>
      <c r="AV664" s="16"/>
      <c r="AW664" s="16"/>
      <c r="AX664" s="16"/>
      <c r="AY664" s="16"/>
      <c r="AZ664" s="16"/>
      <c r="BA664" s="16"/>
      <c r="BB664" s="16"/>
      <c r="BC664" s="16"/>
      <c r="BD664" s="16"/>
      <c r="BE664" s="16"/>
      <c r="BF664" s="16"/>
      <c r="BG664" s="16"/>
      <c r="BH664" s="16"/>
      <c r="BI664" s="16"/>
      <c r="BJ664" s="16"/>
      <c r="BK664" s="16"/>
      <c r="BL664" s="16"/>
      <c r="BM664" s="16"/>
      <c r="BN664" s="16"/>
      <c r="BO664" s="16"/>
      <c r="BP664" s="16"/>
      <c r="BQ664" s="16"/>
      <c r="BR664" s="16"/>
      <c r="BS664" s="16"/>
      <c r="BT664" s="16"/>
      <c r="BU664" s="16"/>
      <c r="BV664" s="16"/>
      <c r="BW664" s="16"/>
      <c r="BX664" s="16"/>
      <c r="BY664" s="16"/>
      <c r="BZ664" s="16"/>
      <c r="CA664" s="16"/>
      <c r="CB664" s="16"/>
      <c r="CC664" s="16"/>
    </row>
    <row r="665" spans="1:81" ht="13.5" thickBot="1">
      <c r="A665" s="16"/>
      <c r="B665" s="16"/>
      <c r="C665" s="17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16"/>
      <c r="AU665" s="16"/>
      <c r="AV665" s="16"/>
      <c r="AW665" s="16"/>
      <c r="AX665" s="16"/>
      <c r="AY665" s="16"/>
      <c r="AZ665" s="16"/>
      <c r="BA665" s="16"/>
      <c r="BB665" s="16"/>
      <c r="BC665" s="16"/>
      <c r="BD665" s="16"/>
      <c r="BE665" s="16"/>
      <c r="BF665" s="16"/>
      <c r="BG665" s="16"/>
      <c r="BH665" s="16"/>
      <c r="BI665" s="16"/>
      <c r="BJ665" s="16"/>
      <c r="BK665" s="16"/>
      <c r="BL665" s="16"/>
      <c r="BM665" s="16"/>
      <c r="BN665" s="16"/>
      <c r="BO665" s="16"/>
      <c r="BP665" s="16"/>
      <c r="BQ665" s="16"/>
      <c r="BR665" s="16"/>
      <c r="BS665" s="16"/>
      <c r="BT665" s="16"/>
      <c r="BU665" s="16"/>
      <c r="BV665" s="16"/>
      <c r="BW665" s="16"/>
      <c r="BX665" s="16"/>
      <c r="BY665" s="16"/>
      <c r="BZ665" s="16"/>
      <c r="CA665" s="16"/>
      <c r="CB665" s="16"/>
      <c r="CC665" s="16"/>
    </row>
    <row r="666" spans="1:81" ht="13.5" thickBot="1">
      <c r="A666" s="16"/>
      <c r="B666" s="16"/>
      <c r="C666" s="17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16"/>
      <c r="AU666" s="16"/>
      <c r="AV666" s="16"/>
      <c r="AW666" s="16"/>
      <c r="AX666" s="16"/>
      <c r="AY666" s="16"/>
      <c r="AZ666" s="16"/>
      <c r="BA666" s="16"/>
      <c r="BB666" s="16"/>
      <c r="BC666" s="16"/>
      <c r="BD666" s="16"/>
      <c r="BE666" s="16"/>
      <c r="BF666" s="16"/>
      <c r="BG666" s="16"/>
      <c r="BH666" s="16"/>
      <c r="BI666" s="16"/>
      <c r="BJ666" s="16"/>
      <c r="BK666" s="16"/>
      <c r="BL666" s="16"/>
      <c r="BM666" s="16"/>
      <c r="BN666" s="16"/>
      <c r="BO666" s="16"/>
      <c r="BP666" s="16"/>
      <c r="BQ666" s="16"/>
      <c r="BR666" s="16"/>
      <c r="BS666" s="16"/>
      <c r="BT666" s="16"/>
      <c r="BU666" s="16"/>
      <c r="BV666" s="16"/>
      <c r="BW666" s="16"/>
      <c r="BX666" s="16"/>
      <c r="BY666" s="16"/>
      <c r="BZ666" s="16"/>
      <c r="CA666" s="16"/>
      <c r="CB666" s="16"/>
      <c r="CC666" s="16"/>
    </row>
    <row r="667" spans="1:81" ht="13.5" thickBot="1">
      <c r="A667" s="16"/>
      <c r="B667" s="16"/>
      <c r="C667" s="17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16"/>
      <c r="AU667" s="16"/>
      <c r="AV667" s="16"/>
      <c r="AW667" s="16"/>
      <c r="AX667" s="16"/>
      <c r="AY667" s="16"/>
      <c r="AZ667" s="16"/>
      <c r="BA667" s="16"/>
      <c r="BB667" s="16"/>
      <c r="BC667" s="16"/>
      <c r="BD667" s="16"/>
      <c r="BE667" s="16"/>
      <c r="BF667" s="16"/>
      <c r="BG667" s="16"/>
      <c r="BH667" s="16"/>
      <c r="BI667" s="16"/>
      <c r="BJ667" s="16"/>
      <c r="BK667" s="16"/>
      <c r="BL667" s="16"/>
      <c r="BM667" s="16"/>
      <c r="BN667" s="16"/>
      <c r="BO667" s="16"/>
      <c r="BP667" s="16"/>
      <c r="BQ667" s="16"/>
      <c r="BR667" s="16"/>
      <c r="BS667" s="16"/>
      <c r="BT667" s="16"/>
      <c r="BU667" s="16"/>
      <c r="BV667" s="16"/>
      <c r="BW667" s="16"/>
      <c r="BX667" s="16"/>
      <c r="BY667" s="16"/>
      <c r="BZ667" s="16"/>
      <c r="CA667" s="16"/>
      <c r="CB667" s="16"/>
      <c r="CC667" s="16"/>
    </row>
    <row r="668" spans="1:81" ht="13.5" thickBot="1">
      <c r="A668" s="16"/>
      <c r="B668" s="16"/>
      <c r="C668" s="17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16"/>
      <c r="AU668" s="16"/>
      <c r="AV668" s="16"/>
      <c r="AW668" s="16"/>
      <c r="AX668" s="16"/>
      <c r="AY668" s="16"/>
      <c r="AZ668" s="16"/>
      <c r="BA668" s="16"/>
      <c r="BB668" s="16"/>
      <c r="BC668" s="16"/>
      <c r="BD668" s="16"/>
      <c r="BE668" s="16"/>
      <c r="BF668" s="16"/>
      <c r="BG668" s="16"/>
      <c r="BH668" s="16"/>
      <c r="BI668" s="16"/>
      <c r="BJ668" s="16"/>
      <c r="BK668" s="16"/>
      <c r="BL668" s="16"/>
      <c r="BM668" s="16"/>
      <c r="BN668" s="16"/>
      <c r="BO668" s="16"/>
      <c r="BP668" s="16"/>
      <c r="BQ668" s="16"/>
      <c r="BR668" s="16"/>
      <c r="BS668" s="16"/>
      <c r="BT668" s="16"/>
      <c r="BU668" s="16"/>
      <c r="BV668" s="16"/>
      <c r="BW668" s="16"/>
      <c r="BX668" s="16"/>
      <c r="BY668" s="16"/>
      <c r="BZ668" s="16"/>
      <c r="CA668" s="16"/>
      <c r="CB668" s="16"/>
      <c r="CC668" s="16"/>
    </row>
    <row r="669" spans="1:81" ht="13.5" thickBot="1">
      <c r="A669" s="16"/>
      <c r="B669" s="16"/>
      <c r="C669" s="17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16"/>
      <c r="AU669" s="16"/>
      <c r="AV669" s="16"/>
      <c r="AW669" s="16"/>
      <c r="AX669" s="16"/>
      <c r="AY669" s="16"/>
      <c r="AZ669" s="16"/>
      <c r="BA669" s="16"/>
      <c r="BB669" s="16"/>
      <c r="BC669" s="16"/>
      <c r="BD669" s="16"/>
      <c r="BE669" s="16"/>
      <c r="BF669" s="16"/>
      <c r="BG669" s="16"/>
      <c r="BH669" s="16"/>
      <c r="BI669" s="16"/>
      <c r="BJ669" s="16"/>
      <c r="BK669" s="16"/>
      <c r="BL669" s="16"/>
      <c r="BM669" s="16"/>
      <c r="BN669" s="16"/>
      <c r="BO669" s="16"/>
      <c r="BP669" s="16"/>
      <c r="BQ669" s="16"/>
      <c r="BR669" s="16"/>
      <c r="BS669" s="16"/>
      <c r="BT669" s="16"/>
      <c r="BU669" s="16"/>
      <c r="BV669" s="16"/>
      <c r="BW669" s="16"/>
      <c r="BX669" s="16"/>
      <c r="BY669" s="16"/>
      <c r="BZ669" s="16"/>
      <c r="CA669" s="16"/>
      <c r="CB669" s="16"/>
      <c r="CC669" s="16"/>
    </row>
    <row r="670" spans="1:81" ht="13.5" thickBot="1">
      <c r="A670" s="16"/>
      <c r="B670" s="16"/>
      <c r="C670" s="17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16"/>
      <c r="AU670" s="16"/>
      <c r="AV670" s="16"/>
      <c r="AW670" s="16"/>
      <c r="AX670" s="16"/>
      <c r="AY670" s="16"/>
      <c r="AZ670" s="16"/>
      <c r="BA670" s="16"/>
      <c r="BB670" s="16"/>
      <c r="BC670" s="16"/>
      <c r="BD670" s="16"/>
      <c r="BE670" s="16"/>
      <c r="BF670" s="16"/>
      <c r="BG670" s="16"/>
      <c r="BH670" s="16"/>
      <c r="BI670" s="16"/>
      <c r="BJ670" s="16"/>
      <c r="BK670" s="16"/>
      <c r="BL670" s="16"/>
      <c r="BM670" s="16"/>
      <c r="BN670" s="16"/>
      <c r="BO670" s="16"/>
      <c r="BP670" s="16"/>
      <c r="BQ670" s="16"/>
      <c r="BR670" s="16"/>
      <c r="BS670" s="16"/>
      <c r="BT670" s="16"/>
      <c r="BU670" s="16"/>
      <c r="BV670" s="16"/>
      <c r="BW670" s="16"/>
      <c r="BX670" s="16"/>
      <c r="BY670" s="16"/>
      <c r="BZ670" s="16"/>
      <c r="CA670" s="16"/>
      <c r="CB670" s="16"/>
      <c r="CC670" s="16"/>
    </row>
    <row r="671" spans="1:81" ht="13.5" thickBot="1">
      <c r="A671" s="16"/>
      <c r="B671" s="16"/>
      <c r="C671" s="17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16"/>
      <c r="AU671" s="16"/>
      <c r="AV671" s="16"/>
      <c r="AW671" s="16"/>
      <c r="AX671" s="16"/>
      <c r="AY671" s="16"/>
      <c r="AZ671" s="16"/>
      <c r="BA671" s="16"/>
      <c r="BB671" s="16"/>
      <c r="BC671" s="16"/>
      <c r="BD671" s="16"/>
      <c r="BE671" s="16"/>
      <c r="BF671" s="16"/>
      <c r="BG671" s="16"/>
      <c r="BH671" s="16"/>
      <c r="BI671" s="16"/>
      <c r="BJ671" s="16"/>
      <c r="BK671" s="16"/>
      <c r="BL671" s="16"/>
      <c r="BM671" s="16"/>
      <c r="BN671" s="16"/>
      <c r="BO671" s="16"/>
      <c r="BP671" s="16"/>
      <c r="BQ671" s="16"/>
      <c r="BR671" s="16"/>
      <c r="BS671" s="16"/>
      <c r="BT671" s="16"/>
      <c r="BU671" s="16"/>
      <c r="BV671" s="16"/>
      <c r="BW671" s="16"/>
      <c r="BX671" s="16"/>
      <c r="BY671" s="16"/>
      <c r="BZ671" s="16"/>
      <c r="CA671" s="16"/>
      <c r="CB671" s="16"/>
      <c r="CC671" s="16"/>
    </row>
    <row r="672" spans="1:81" ht="13.5" thickBot="1">
      <c r="A672" s="16"/>
      <c r="B672" s="16"/>
      <c r="C672" s="17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16"/>
      <c r="AU672" s="16"/>
      <c r="AV672" s="16"/>
      <c r="AW672" s="16"/>
      <c r="AX672" s="16"/>
      <c r="AY672" s="16"/>
      <c r="AZ672" s="16"/>
      <c r="BA672" s="16"/>
      <c r="BB672" s="16"/>
      <c r="BC672" s="16"/>
      <c r="BD672" s="16"/>
      <c r="BE672" s="16"/>
      <c r="BF672" s="16"/>
      <c r="BG672" s="16"/>
      <c r="BH672" s="16"/>
      <c r="BI672" s="16"/>
      <c r="BJ672" s="16"/>
      <c r="BK672" s="16"/>
      <c r="BL672" s="16"/>
      <c r="BM672" s="16"/>
      <c r="BN672" s="16"/>
      <c r="BO672" s="16"/>
      <c r="BP672" s="16"/>
      <c r="BQ672" s="16"/>
      <c r="BR672" s="16"/>
      <c r="BS672" s="16"/>
      <c r="BT672" s="16"/>
      <c r="BU672" s="16"/>
      <c r="BV672" s="16"/>
      <c r="BW672" s="16"/>
      <c r="BX672" s="16"/>
      <c r="BY672" s="16"/>
      <c r="BZ672" s="16"/>
      <c r="CA672" s="16"/>
      <c r="CB672" s="16"/>
      <c r="CC672" s="16"/>
    </row>
    <row r="673" spans="1:81" ht="13.5" thickBot="1">
      <c r="A673" s="16"/>
      <c r="B673" s="16"/>
      <c r="C673" s="17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16"/>
      <c r="AU673" s="16"/>
      <c r="AV673" s="16"/>
      <c r="AW673" s="16"/>
      <c r="AX673" s="16"/>
      <c r="AY673" s="16"/>
      <c r="AZ673" s="16"/>
      <c r="BA673" s="16"/>
      <c r="BB673" s="16"/>
      <c r="BC673" s="16"/>
      <c r="BD673" s="16"/>
      <c r="BE673" s="16"/>
      <c r="BF673" s="16"/>
      <c r="BG673" s="16"/>
      <c r="BH673" s="16"/>
      <c r="BI673" s="16"/>
      <c r="BJ673" s="16"/>
      <c r="BK673" s="16"/>
      <c r="BL673" s="16"/>
      <c r="BM673" s="16"/>
      <c r="BN673" s="16"/>
      <c r="BO673" s="16"/>
      <c r="BP673" s="16"/>
      <c r="BQ673" s="16"/>
      <c r="BR673" s="16"/>
      <c r="BS673" s="16"/>
      <c r="BT673" s="16"/>
      <c r="BU673" s="16"/>
      <c r="BV673" s="16"/>
      <c r="BW673" s="16"/>
      <c r="BX673" s="16"/>
      <c r="BY673" s="16"/>
      <c r="BZ673" s="16"/>
      <c r="CA673" s="16"/>
      <c r="CB673" s="16"/>
      <c r="CC673" s="16"/>
    </row>
    <row r="674" spans="1:81" ht="13.5" thickBot="1">
      <c r="A674" s="16"/>
      <c r="B674" s="16"/>
      <c r="C674" s="17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16"/>
      <c r="AU674" s="16"/>
      <c r="AV674" s="16"/>
      <c r="AW674" s="16"/>
      <c r="AX674" s="16"/>
      <c r="AY674" s="16"/>
      <c r="AZ674" s="16"/>
      <c r="BA674" s="16"/>
      <c r="BB674" s="16"/>
      <c r="BC674" s="16"/>
      <c r="BD674" s="16"/>
      <c r="BE674" s="16"/>
      <c r="BF674" s="16"/>
      <c r="BG674" s="16"/>
      <c r="BH674" s="16"/>
      <c r="BI674" s="16"/>
      <c r="BJ674" s="16"/>
      <c r="BK674" s="16"/>
      <c r="BL674" s="16"/>
      <c r="BM674" s="16"/>
      <c r="BN674" s="16"/>
      <c r="BO674" s="16"/>
      <c r="BP674" s="16"/>
      <c r="BQ674" s="16"/>
      <c r="BR674" s="16"/>
      <c r="BS674" s="16"/>
      <c r="BT674" s="16"/>
      <c r="BU674" s="16"/>
      <c r="BV674" s="16"/>
      <c r="BW674" s="16"/>
      <c r="BX674" s="16"/>
      <c r="BY674" s="16"/>
      <c r="BZ674" s="16"/>
      <c r="CA674" s="16"/>
      <c r="CB674" s="16"/>
      <c r="CC674" s="16"/>
    </row>
    <row r="675" spans="1:81" ht="13.5" thickBot="1">
      <c r="A675" s="16"/>
      <c r="B675" s="16"/>
      <c r="C675" s="17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16"/>
      <c r="AU675" s="16"/>
      <c r="AV675" s="16"/>
      <c r="AW675" s="16"/>
      <c r="AX675" s="16"/>
      <c r="AY675" s="16"/>
      <c r="AZ675" s="16"/>
      <c r="BA675" s="16"/>
      <c r="BB675" s="16"/>
      <c r="BC675" s="16"/>
      <c r="BD675" s="16"/>
      <c r="BE675" s="16"/>
      <c r="BF675" s="16"/>
      <c r="BG675" s="16"/>
      <c r="BH675" s="16"/>
      <c r="BI675" s="16"/>
      <c r="BJ675" s="16"/>
      <c r="BK675" s="16"/>
      <c r="BL675" s="16"/>
      <c r="BM675" s="16"/>
      <c r="BN675" s="16"/>
      <c r="BO675" s="16"/>
      <c r="BP675" s="16"/>
      <c r="BQ675" s="16"/>
      <c r="BR675" s="16"/>
      <c r="BS675" s="16"/>
      <c r="BT675" s="16"/>
      <c r="BU675" s="16"/>
      <c r="BV675" s="16"/>
      <c r="BW675" s="16"/>
      <c r="BX675" s="16"/>
      <c r="BY675" s="16"/>
      <c r="BZ675" s="16"/>
      <c r="CA675" s="16"/>
      <c r="CB675" s="16"/>
      <c r="CC675" s="16"/>
    </row>
    <row r="676" spans="1:81" ht="13.5" thickBot="1">
      <c r="A676" s="16"/>
      <c r="B676" s="16"/>
      <c r="C676" s="17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16"/>
      <c r="AU676" s="16"/>
      <c r="AV676" s="16"/>
      <c r="AW676" s="16"/>
      <c r="AX676" s="16"/>
      <c r="AY676" s="16"/>
      <c r="AZ676" s="16"/>
      <c r="BA676" s="16"/>
      <c r="BB676" s="16"/>
      <c r="BC676" s="16"/>
      <c r="BD676" s="16"/>
      <c r="BE676" s="16"/>
      <c r="BF676" s="16"/>
      <c r="BG676" s="16"/>
      <c r="BH676" s="16"/>
      <c r="BI676" s="16"/>
      <c r="BJ676" s="16"/>
      <c r="BK676" s="16"/>
      <c r="BL676" s="16"/>
      <c r="BM676" s="16"/>
      <c r="BN676" s="16"/>
      <c r="BO676" s="16"/>
      <c r="BP676" s="16"/>
      <c r="BQ676" s="16"/>
      <c r="BR676" s="16"/>
      <c r="BS676" s="16"/>
      <c r="BT676" s="16"/>
      <c r="BU676" s="16"/>
      <c r="BV676" s="16"/>
      <c r="BW676" s="16"/>
      <c r="BX676" s="16"/>
      <c r="BY676" s="16"/>
      <c r="BZ676" s="16"/>
      <c r="CA676" s="16"/>
      <c r="CB676" s="16"/>
      <c r="CC676" s="16"/>
    </row>
    <row r="677" spans="1:81" ht="13.5" thickBot="1">
      <c r="A677" s="16"/>
      <c r="B677" s="16"/>
      <c r="C677" s="17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16"/>
      <c r="AU677" s="16"/>
      <c r="AV677" s="16"/>
      <c r="AW677" s="16"/>
      <c r="AX677" s="16"/>
      <c r="AY677" s="16"/>
      <c r="AZ677" s="16"/>
      <c r="BA677" s="16"/>
      <c r="BB677" s="16"/>
      <c r="BC677" s="16"/>
      <c r="BD677" s="16"/>
      <c r="BE677" s="16"/>
      <c r="BF677" s="16"/>
      <c r="BG677" s="16"/>
      <c r="BH677" s="16"/>
      <c r="BI677" s="16"/>
      <c r="BJ677" s="16"/>
      <c r="BK677" s="16"/>
      <c r="BL677" s="16"/>
      <c r="BM677" s="16"/>
      <c r="BN677" s="16"/>
      <c r="BO677" s="16"/>
      <c r="BP677" s="16"/>
      <c r="BQ677" s="16"/>
      <c r="BR677" s="16"/>
      <c r="BS677" s="16"/>
      <c r="BT677" s="16"/>
      <c r="BU677" s="16"/>
      <c r="BV677" s="16"/>
      <c r="BW677" s="16"/>
      <c r="BX677" s="16"/>
      <c r="BY677" s="16"/>
      <c r="BZ677" s="16"/>
      <c r="CA677" s="16"/>
      <c r="CB677" s="16"/>
      <c r="CC677" s="16"/>
    </row>
    <row r="678" spans="1:81" ht="13.5" thickBot="1">
      <c r="A678" s="16"/>
      <c r="B678" s="16"/>
      <c r="C678" s="17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16"/>
      <c r="AU678" s="16"/>
      <c r="AV678" s="16"/>
      <c r="AW678" s="16"/>
      <c r="AX678" s="16"/>
      <c r="AY678" s="16"/>
      <c r="AZ678" s="16"/>
      <c r="BA678" s="16"/>
      <c r="BB678" s="16"/>
      <c r="BC678" s="16"/>
      <c r="BD678" s="16"/>
      <c r="BE678" s="16"/>
      <c r="BF678" s="16"/>
      <c r="BG678" s="16"/>
      <c r="BH678" s="16"/>
      <c r="BI678" s="16"/>
      <c r="BJ678" s="16"/>
      <c r="BK678" s="16"/>
      <c r="BL678" s="16"/>
      <c r="BM678" s="16"/>
      <c r="BN678" s="16"/>
      <c r="BO678" s="16"/>
      <c r="BP678" s="16"/>
      <c r="BQ678" s="16"/>
      <c r="BR678" s="16"/>
      <c r="BS678" s="16"/>
      <c r="BT678" s="16"/>
      <c r="BU678" s="16"/>
      <c r="BV678" s="16"/>
      <c r="BW678" s="16"/>
      <c r="BX678" s="16"/>
      <c r="BY678" s="16"/>
      <c r="BZ678" s="16"/>
      <c r="CA678" s="16"/>
      <c r="CB678" s="16"/>
      <c r="CC678" s="16"/>
    </row>
    <row r="679" spans="1:81" ht="13.5" thickBot="1">
      <c r="A679" s="16"/>
      <c r="B679" s="16"/>
      <c r="C679" s="17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  <c r="AZ679" s="16"/>
      <c r="BA679" s="16"/>
      <c r="BB679" s="16"/>
      <c r="BC679" s="16"/>
      <c r="BD679" s="16"/>
      <c r="BE679" s="16"/>
      <c r="BF679" s="16"/>
      <c r="BG679" s="16"/>
      <c r="BH679" s="16"/>
      <c r="BI679" s="16"/>
      <c r="BJ679" s="16"/>
      <c r="BK679" s="16"/>
      <c r="BL679" s="16"/>
      <c r="BM679" s="16"/>
      <c r="BN679" s="16"/>
      <c r="BO679" s="16"/>
      <c r="BP679" s="16"/>
      <c r="BQ679" s="16"/>
      <c r="BR679" s="16"/>
      <c r="BS679" s="16"/>
      <c r="BT679" s="16"/>
      <c r="BU679" s="16"/>
      <c r="BV679" s="16"/>
      <c r="BW679" s="16"/>
      <c r="BX679" s="16"/>
      <c r="BY679" s="16"/>
      <c r="BZ679" s="16"/>
      <c r="CA679" s="16"/>
      <c r="CB679" s="16"/>
      <c r="CC679" s="16"/>
    </row>
    <row r="680" spans="1:81" ht="13.5" thickBot="1">
      <c r="A680" s="16"/>
      <c r="B680" s="16"/>
      <c r="C680" s="17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16"/>
      <c r="AV680" s="16"/>
      <c r="AW680" s="16"/>
      <c r="AX680" s="16"/>
      <c r="AY680" s="16"/>
      <c r="AZ680" s="16"/>
      <c r="BA680" s="16"/>
      <c r="BB680" s="16"/>
      <c r="BC680" s="16"/>
      <c r="BD680" s="16"/>
      <c r="BE680" s="16"/>
      <c r="BF680" s="16"/>
      <c r="BG680" s="16"/>
      <c r="BH680" s="16"/>
      <c r="BI680" s="16"/>
      <c r="BJ680" s="16"/>
      <c r="BK680" s="16"/>
      <c r="BL680" s="16"/>
      <c r="BM680" s="16"/>
      <c r="BN680" s="16"/>
      <c r="BO680" s="16"/>
      <c r="BP680" s="16"/>
      <c r="BQ680" s="16"/>
      <c r="BR680" s="16"/>
      <c r="BS680" s="16"/>
      <c r="BT680" s="16"/>
      <c r="BU680" s="16"/>
      <c r="BV680" s="16"/>
      <c r="BW680" s="16"/>
      <c r="BX680" s="16"/>
      <c r="BY680" s="16"/>
      <c r="BZ680" s="16"/>
      <c r="CA680" s="16"/>
      <c r="CB680" s="16"/>
      <c r="CC680" s="16"/>
    </row>
    <row r="681" spans="1:81" ht="13.5" thickBot="1">
      <c r="A681" s="16"/>
      <c r="B681" s="16"/>
      <c r="C681" s="17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16"/>
      <c r="AU681" s="16"/>
      <c r="AV681" s="16"/>
      <c r="AW681" s="16"/>
      <c r="AX681" s="16"/>
      <c r="AY681" s="16"/>
      <c r="AZ681" s="16"/>
      <c r="BA681" s="16"/>
      <c r="BB681" s="16"/>
      <c r="BC681" s="16"/>
      <c r="BD681" s="16"/>
      <c r="BE681" s="16"/>
      <c r="BF681" s="16"/>
      <c r="BG681" s="16"/>
      <c r="BH681" s="16"/>
      <c r="BI681" s="16"/>
      <c r="BJ681" s="16"/>
      <c r="BK681" s="16"/>
      <c r="BL681" s="16"/>
      <c r="BM681" s="16"/>
      <c r="BN681" s="16"/>
      <c r="BO681" s="16"/>
      <c r="BP681" s="16"/>
      <c r="BQ681" s="16"/>
      <c r="BR681" s="16"/>
      <c r="BS681" s="16"/>
      <c r="BT681" s="16"/>
      <c r="BU681" s="16"/>
      <c r="BV681" s="16"/>
      <c r="BW681" s="16"/>
      <c r="BX681" s="16"/>
      <c r="BY681" s="16"/>
      <c r="BZ681" s="16"/>
      <c r="CA681" s="16"/>
      <c r="CB681" s="16"/>
      <c r="CC681" s="16"/>
    </row>
    <row r="682" spans="1:81" ht="13.5" thickBot="1">
      <c r="A682" s="16"/>
      <c r="B682" s="16"/>
      <c r="C682" s="17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16"/>
      <c r="AU682" s="16"/>
      <c r="AV682" s="16"/>
      <c r="AW682" s="16"/>
      <c r="AX682" s="16"/>
      <c r="AY682" s="16"/>
      <c r="AZ682" s="16"/>
      <c r="BA682" s="16"/>
      <c r="BB682" s="16"/>
      <c r="BC682" s="16"/>
      <c r="BD682" s="16"/>
      <c r="BE682" s="16"/>
      <c r="BF682" s="16"/>
      <c r="BG682" s="16"/>
      <c r="BH682" s="16"/>
      <c r="BI682" s="16"/>
      <c r="BJ682" s="16"/>
      <c r="BK682" s="16"/>
      <c r="BL682" s="16"/>
      <c r="BM682" s="16"/>
      <c r="BN682" s="16"/>
      <c r="BO682" s="16"/>
      <c r="BP682" s="16"/>
      <c r="BQ682" s="16"/>
      <c r="BR682" s="16"/>
      <c r="BS682" s="16"/>
      <c r="BT682" s="16"/>
      <c r="BU682" s="16"/>
      <c r="BV682" s="16"/>
      <c r="BW682" s="16"/>
      <c r="BX682" s="16"/>
      <c r="BY682" s="16"/>
      <c r="BZ682" s="16"/>
      <c r="CA682" s="16"/>
      <c r="CB682" s="16"/>
      <c r="CC682" s="16"/>
    </row>
    <row r="683" spans="1:81" ht="13.5" thickBot="1">
      <c r="A683" s="16"/>
      <c r="B683" s="16"/>
      <c r="C683" s="17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16"/>
      <c r="AU683" s="16"/>
      <c r="AV683" s="16"/>
      <c r="AW683" s="16"/>
      <c r="AX683" s="16"/>
      <c r="AY683" s="16"/>
      <c r="AZ683" s="16"/>
      <c r="BA683" s="16"/>
      <c r="BB683" s="16"/>
      <c r="BC683" s="16"/>
      <c r="BD683" s="16"/>
      <c r="BE683" s="16"/>
      <c r="BF683" s="16"/>
      <c r="BG683" s="16"/>
      <c r="BH683" s="16"/>
      <c r="BI683" s="16"/>
      <c r="BJ683" s="16"/>
      <c r="BK683" s="16"/>
      <c r="BL683" s="16"/>
      <c r="BM683" s="16"/>
      <c r="BN683" s="16"/>
      <c r="BO683" s="16"/>
      <c r="BP683" s="16"/>
      <c r="BQ683" s="16"/>
      <c r="BR683" s="16"/>
      <c r="BS683" s="16"/>
      <c r="BT683" s="16"/>
      <c r="BU683" s="16"/>
      <c r="BV683" s="16"/>
      <c r="BW683" s="16"/>
      <c r="BX683" s="16"/>
      <c r="BY683" s="16"/>
      <c r="BZ683" s="16"/>
      <c r="CA683" s="16"/>
      <c r="CB683" s="16"/>
      <c r="CC683" s="16"/>
    </row>
    <row r="684" spans="1:81" ht="13.5" thickBot="1">
      <c r="A684" s="16"/>
      <c r="B684" s="16"/>
      <c r="C684" s="17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16"/>
      <c r="AU684" s="16"/>
      <c r="AV684" s="16"/>
      <c r="AW684" s="16"/>
      <c r="AX684" s="16"/>
      <c r="AY684" s="16"/>
      <c r="AZ684" s="16"/>
      <c r="BA684" s="16"/>
      <c r="BB684" s="16"/>
      <c r="BC684" s="16"/>
      <c r="BD684" s="16"/>
      <c r="BE684" s="16"/>
      <c r="BF684" s="16"/>
      <c r="BG684" s="16"/>
      <c r="BH684" s="16"/>
      <c r="BI684" s="16"/>
      <c r="BJ684" s="16"/>
      <c r="BK684" s="16"/>
      <c r="BL684" s="16"/>
      <c r="BM684" s="16"/>
      <c r="BN684" s="16"/>
      <c r="BO684" s="16"/>
      <c r="BP684" s="16"/>
      <c r="BQ684" s="16"/>
      <c r="BR684" s="16"/>
      <c r="BS684" s="16"/>
      <c r="BT684" s="16"/>
      <c r="BU684" s="16"/>
      <c r="BV684" s="16"/>
      <c r="BW684" s="16"/>
      <c r="BX684" s="16"/>
      <c r="BY684" s="16"/>
      <c r="BZ684" s="16"/>
      <c r="CA684" s="16"/>
      <c r="CB684" s="16"/>
      <c r="CC684" s="16"/>
    </row>
    <row r="685" spans="1:81" ht="13.5" thickBot="1">
      <c r="A685" s="16"/>
      <c r="B685" s="16"/>
      <c r="C685" s="17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16"/>
      <c r="AU685" s="16"/>
      <c r="AV685" s="16"/>
      <c r="AW685" s="16"/>
      <c r="AX685" s="16"/>
      <c r="AY685" s="16"/>
      <c r="AZ685" s="16"/>
      <c r="BA685" s="16"/>
      <c r="BB685" s="16"/>
      <c r="BC685" s="16"/>
      <c r="BD685" s="16"/>
      <c r="BE685" s="16"/>
      <c r="BF685" s="16"/>
      <c r="BG685" s="16"/>
      <c r="BH685" s="16"/>
      <c r="BI685" s="16"/>
      <c r="BJ685" s="16"/>
      <c r="BK685" s="16"/>
      <c r="BL685" s="16"/>
      <c r="BM685" s="16"/>
      <c r="BN685" s="16"/>
      <c r="BO685" s="16"/>
      <c r="BP685" s="16"/>
      <c r="BQ685" s="16"/>
      <c r="BR685" s="16"/>
      <c r="BS685" s="16"/>
      <c r="BT685" s="16"/>
      <c r="BU685" s="16"/>
      <c r="BV685" s="16"/>
      <c r="BW685" s="16"/>
      <c r="BX685" s="16"/>
      <c r="BY685" s="16"/>
      <c r="BZ685" s="16"/>
      <c r="CA685" s="16"/>
      <c r="CB685" s="16"/>
      <c r="CC685" s="16"/>
    </row>
    <row r="686" spans="1:81" ht="13.5" thickBot="1">
      <c r="A686" s="16"/>
      <c r="B686" s="16"/>
      <c r="C686" s="17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16"/>
      <c r="AU686" s="16"/>
      <c r="AV686" s="16"/>
      <c r="AW686" s="16"/>
      <c r="AX686" s="16"/>
      <c r="AY686" s="16"/>
      <c r="AZ686" s="16"/>
      <c r="BA686" s="16"/>
      <c r="BB686" s="16"/>
      <c r="BC686" s="16"/>
      <c r="BD686" s="16"/>
      <c r="BE686" s="16"/>
      <c r="BF686" s="16"/>
      <c r="BG686" s="16"/>
      <c r="BH686" s="16"/>
      <c r="BI686" s="16"/>
      <c r="BJ686" s="16"/>
      <c r="BK686" s="16"/>
      <c r="BL686" s="16"/>
      <c r="BM686" s="16"/>
      <c r="BN686" s="16"/>
      <c r="BO686" s="16"/>
      <c r="BP686" s="16"/>
      <c r="BQ686" s="16"/>
      <c r="BR686" s="16"/>
      <c r="BS686" s="16"/>
      <c r="BT686" s="16"/>
      <c r="BU686" s="16"/>
      <c r="BV686" s="16"/>
      <c r="BW686" s="16"/>
      <c r="BX686" s="16"/>
      <c r="BY686" s="16"/>
      <c r="BZ686" s="16"/>
      <c r="CA686" s="16"/>
      <c r="CB686" s="16"/>
      <c r="CC686" s="16"/>
    </row>
    <row r="687" spans="1:81" ht="13.5" thickBot="1">
      <c r="A687" s="16"/>
      <c r="B687" s="16"/>
      <c r="C687" s="17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16"/>
      <c r="AU687" s="16"/>
      <c r="AV687" s="16"/>
      <c r="AW687" s="16"/>
      <c r="AX687" s="16"/>
      <c r="AY687" s="16"/>
      <c r="AZ687" s="16"/>
      <c r="BA687" s="16"/>
      <c r="BB687" s="16"/>
      <c r="BC687" s="16"/>
      <c r="BD687" s="16"/>
      <c r="BE687" s="16"/>
      <c r="BF687" s="16"/>
      <c r="BG687" s="16"/>
      <c r="BH687" s="16"/>
      <c r="BI687" s="16"/>
      <c r="BJ687" s="16"/>
      <c r="BK687" s="16"/>
      <c r="BL687" s="16"/>
      <c r="BM687" s="16"/>
      <c r="BN687" s="16"/>
      <c r="BO687" s="16"/>
      <c r="BP687" s="16"/>
      <c r="BQ687" s="16"/>
      <c r="BR687" s="16"/>
      <c r="BS687" s="16"/>
      <c r="BT687" s="16"/>
      <c r="BU687" s="16"/>
      <c r="BV687" s="16"/>
      <c r="BW687" s="16"/>
      <c r="BX687" s="16"/>
      <c r="BY687" s="16"/>
      <c r="BZ687" s="16"/>
      <c r="CA687" s="16"/>
      <c r="CB687" s="16"/>
      <c r="CC687" s="16"/>
    </row>
    <row r="688" spans="1:81" ht="13.5" thickBot="1">
      <c r="A688" s="16"/>
      <c r="B688" s="16"/>
      <c r="C688" s="17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16"/>
      <c r="AU688" s="16"/>
      <c r="AV688" s="16"/>
      <c r="AW688" s="16"/>
      <c r="AX688" s="16"/>
      <c r="AY688" s="16"/>
      <c r="AZ688" s="16"/>
      <c r="BA688" s="16"/>
      <c r="BB688" s="16"/>
      <c r="BC688" s="16"/>
      <c r="BD688" s="16"/>
      <c r="BE688" s="16"/>
      <c r="BF688" s="16"/>
      <c r="BG688" s="16"/>
      <c r="BH688" s="16"/>
      <c r="BI688" s="16"/>
      <c r="BJ688" s="16"/>
      <c r="BK688" s="16"/>
      <c r="BL688" s="16"/>
      <c r="BM688" s="16"/>
      <c r="BN688" s="16"/>
      <c r="BO688" s="16"/>
      <c r="BP688" s="16"/>
      <c r="BQ688" s="16"/>
      <c r="BR688" s="16"/>
      <c r="BS688" s="16"/>
      <c r="BT688" s="16"/>
      <c r="BU688" s="16"/>
      <c r="BV688" s="16"/>
      <c r="BW688" s="16"/>
      <c r="BX688" s="16"/>
      <c r="BY688" s="16"/>
      <c r="BZ688" s="16"/>
      <c r="CA688" s="16"/>
      <c r="CB688" s="16"/>
      <c r="CC688" s="16"/>
    </row>
    <row r="689" spans="1:81" ht="13.5" thickBot="1">
      <c r="A689" s="16"/>
      <c r="B689" s="16"/>
      <c r="C689" s="17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16"/>
      <c r="AU689" s="16"/>
      <c r="AV689" s="16"/>
      <c r="AW689" s="16"/>
      <c r="AX689" s="16"/>
      <c r="AY689" s="16"/>
      <c r="AZ689" s="16"/>
      <c r="BA689" s="16"/>
      <c r="BB689" s="16"/>
      <c r="BC689" s="16"/>
      <c r="BD689" s="16"/>
      <c r="BE689" s="16"/>
      <c r="BF689" s="16"/>
      <c r="BG689" s="16"/>
      <c r="BH689" s="16"/>
      <c r="BI689" s="16"/>
      <c r="BJ689" s="16"/>
      <c r="BK689" s="16"/>
      <c r="BL689" s="16"/>
      <c r="BM689" s="16"/>
      <c r="BN689" s="16"/>
      <c r="BO689" s="16"/>
      <c r="BP689" s="16"/>
      <c r="BQ689" s="16"/>
      <c r="BR689" s="16"/>
      <c r="BS689" s="16"/>
      <c r="BT689" s="16"/>
      <c r="BU689" s="16"/>
      <c r="BV689" s="16"/>
      <c r="BW689" s="16"/>
      <c r="BX689" s="16"/>
      <c r="BY689" s="16"/>
      <c r="BZ689" s="16"/>
      <c r="CA689" s="16"/>
      <c r="CB689" s="16"/>
      <c r="CC689" s="16"/>
    </row>
    <row r="690" spans="1:81" ht="13.5" thickBot="1">
      <c r="A690" s="16"/>
      <c r="B690" s="16"/>
      <c r="C690" s="17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16"/>
      <c r="AU690" s="16"/>
      <c r="AV690" s="16"/>
      <c r="AW690" s="16"/>
      <c r="AX690" s="16"/>
      <c r="AY690" s="16"/>
      <c r="AZ690" s="16"/>
      <c r="BA690" s="16"/>
      <c r="BB690" s="16"/>
      <c r="BC690" s="16"/>
      <c r="BD690" s="16"/>
      <c r="BE690" s="16"/>
      <c r="BF690" s="16"/>
      <c r="BG690" s="16"/>
      <c r="BH690" s="16"/>
      <c r="BI690" s="16"/>
      <c r="BJ690" s="16"/>
      <c r="BK690" s="16"/>
      <c r="BL690" s="16"/>
      <c r="BM690" s="16"/>
      <c r="BN690" s="16"/>
      <c r="BO690" s="16"/>
      <c r="BP690" s="16"/>
      <c r="BQ690" s="16"/>
      <c r="BR690" s="16"/>
      <c r="BS690" s="16"/>
      <c r="BT690" s="16"/>
      <c r="BU690" s="16"/>
      <c r="BV690" s="16"/>
      <c r="BW690" s="16"/>
      <c r="BX690" s="16"/>
      <c r="BY690" s="16"/>
      <c r="BZ690" s="16"/>
      <c r="CA690" s="16"/>
      <c r="CB690" s="16"/>
      <c r="CC690" s="16"/>
    </row>
    <row r="691" spans="1:81" ht="13.5" thickBot="1">
      <c r="A691" s="16"/>
      <c r="B691" s="16"/>
      <c r="C691" s="17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16"/>
      <c r="AU691" s="16"/>
      <c r="AV691" s="16"/>
      <c r="AW691" s="16"/>
      <c r="AX691" s="16"/>
      <c r="AY691" s="16"/>
      <c r="AZ691" s="16"/>
      <c r="BA691" s="16"/>
      <c r="BB691" s="16"/>
      <c r="BC691" s="16"/>
      <c r="BD691" s="16"/>
      <c r="BE691" s="16"/>
      <c r="BF691" s="16"/>
      <c r="BG691" s="16"/>
      <c r="BH691" s="16"/>
      <c r="BI691" s="16"/>
      <c r="BJ691" s="16"/>
      <c r="BK691" s="16"/>
      <c r="BL691" s="16"/>
      <c r="BM691" s="16"/>
      <c r="BN691" s="16"/>
      <c r="BO691" s="16"/>
      <c r="BP691" s="16"/>
      <c r="BQ691" s="16"/>
      <c r="BR691" s="16"/>
      <c r="BS691" s="16"/>
      <c r="BT691" s="16"/>
      <c r="BU691" s="16"/>
      <c r="BV691" s="16"/>
      <c r="BW691" s="16"/>
      <c r="BX691" s="16"/>
      <c r="BY691" s="16"/>
      <c r="BZ691" s="16"/>
      <c r="CA691" s="16"/>
      <c r="CB691" s="16"/>
      <c r="CC691" s="16"/>
    </row>
    <row r="692" spans="1:81" ht="13.5" thickBot="1">
      <c r="A692" s="16"/>
      <c r="B692" s="16"/>
      <c r="C692" s="17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16"/>
      <c r="AU692" s="16"/>
      <c r="AV692" s="16"/>
      <c r="AW692" s="16"/>
      <c r="AX692" s="16"/>
      <c r="AY692" s="16"/>
      <c r="AZ692" s="16"/>
      <c r="BA692" s="16"/>
      <c r="BB692" s="16"/>
      <c r="BC692" s="16"/>
      <c r="BD692" s="16"/>
      <c r="BE692" s="16"/>
      <c r="BF692" s="16"/>
      <c r="BG692" s="16"/>
      <c r="BH692" s="16"/>
      <c r="BI692" s="16"/>
      <c r="BJ692" s="16"/>
      <c r="BK692" s="16"/>
      <c r="BL692" s="16"/>
      <c r="BM692" s="16"/>
      <c r="BN692" s="16"/>
      <c r="BO692" s="16"/>
      <c r="BP692" s="16"/>
      <c r="BQ692" s="16"/>
      <c r="BR692" s="16"/>
      <c r="BS692" s="16"/>
      <c r="BT692" s="16"/>
      <c r="BU692" s="16"/>
      <c r="BV692" s="16"/>
      <c r="BW692" s="16"/>
      <c r="BX692" s="16"/>
      <c r="BY692" s="16"/>
      <c r="BZ692" s="16"/>
      <c r="CA692" s="16"/>
      <c r="CB692" s="16"/>
      <c r="CC692" s="16"/>
    </row>
    <row r="693" spans="1:81" ht="13.5" thickBot="1">
      <c r="A693" s="16"/>
      <c r="B693" s="16"/>
      <c r="C693" s="17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16"/>
      <c r="AU693" s="16"/>
      <c r="AV693" s="16"/>
      <c r="AW693" s="16"/>
      <c r="AX693" s="16"/>
      <c r="AY693" s="16"/>
      <c r="AZ693" s="16"/>
      <c r="BA693" s="16"/>
      <c r="BB693" s="16"/>
      <c r="BC693" s="16"/>
      <c r="BD693" s="16"/>
      <c r="BE693" s="16"/>
      <c r="BF693" s="16"/>
      <c r="BG693" s="16"/>
      <c r="BH693" s="16"/>
      <c r="BI693" s="16"/>
      <c r="BJ693" s="16"/>
      <c r="BK693" s="16"/>
      <c r="BL693" s="16"/>
      <c r="BM693" s="16"/>
      <c r="BN693" s="16"/>
      <c r="BO693" s="16"/>
      <c r="BP693" s="16"/>
      <c r="BQ693" s="16"/>
      <c r="BR693" s="16"/>
      <c r="BS693" s="16"/>
      <c r="BT693" s="16"/>
      <c r="BU693" s="16"/>
      <c r="BV693" s="16"/>
      <c r="BW693" s="16"/>
      <c r="BX693" s="16"/>
      <c r="BY693" s="16"/>
      <c r="BZ693" s="16"/>
      <c r="CA693" s="16"/>
      <c r="CB693" s="16"/>
      <c r="CC693" s="16"/>
    </row>
    <row r="694" spans="1:81" ht="13.5" thickBot="1">
      <c r="A694" s="16"/>
      <c r="B694" s="16"/>
      <c r="C694" s="17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16"/>
      <c r="AU694" s="16"/>
      <c r="AV694" s="16"/>
      <c r="AW694" s="16"/>
      <c r="AX694" s="16"/>
      <c r="AY694" s="16"/>
      <c r="AZ694" s="16"/>
      <c r="BA694" s="16"/>
      <c r="BB694" s="16"/>
      <c r="BC694" s="16"/>
      <c r="BD694" s="16"/>
      <c r="BE694" s="16"/>
      <c r="BF694" s="16"/>
      <c r="BG694" s="16"/>
      <c r="BH694" s="16"/>
      <c r="BI694" s="16"/>
      <c r="BJ694" s="16"/>
      <c r="BK694" s="16"/>
      <c r="BL694" s="16"/>
      <c r="BM694" s="16"/>
      <c r="BN694" s="16"/>
      <c r="BO694" s="16"/>
      <c r="BP694" s="16"/>
      <c r="BQ694" s="16"/>
      <c r="BR694" s="16"/>
      <c r="BS694" s="16"/>
      <c r="BT694" s="16"/>
      <c r="BU694" s="16"/>
      <c r="BV694" s="16"/>
      <c r="BW694" s="16"/>
      <c r="BX694" s="16"/>
      <c r="BY694" s="16"/>
      <c r="BZ694" s="16"/>
      <c r="CA694" s="16"/>
      <c r="CB694" s="16"/>
      <c r="CC694" s="16"/>
    </row>
    <row r="695" spans="1:81" ht="13.5" thickBot="1">
      <c r="A695" s="16"/>
      <c r="B695" s="16"/>
      <c r="C695" s="17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16"/>
      <c r="AU695" s="16"/>
      <c r="AV695" s="16"/>
      <c r="AW695" s="16"/>
      <c r="AX695" s="16"/>
      <c r="AY695" s="16"/>
      <c r="AZ695" s="16"/>
      <c r="BA695" s="16"/>
      <c r="BB695" s="16"/>
      <c r="BC695" s="16"/>
      <c r="BD695" s="16"/>
      <c r="BE695" s="16"/>
      <c r="BF695" s="16"/>
      <c r="BG695" s="16"/>
      <c r="BH695" s="16"/>
      <c r="BI695" s="16"/>
      <c r="BJ695" s="16"/>
      <c r="BK695" s="16"/>
      <c r="BL695" s="16"/>
      <c r="BM695" s="16"/>
      <c r="BN695" s="16"/>
      <c r="BO695" s="16"/>
      <c r="BP695" s="16"/>
      <c r="BQ695" s="16"/>
      <c r="BR695" s="16"/>
      <c r="BS695" s="16"/>
      <c r="BT695" s="16"/>
      <c r="BU695" s="16"/>
      <c r="BV695" s="16"/>
      <c r="BW695" s="16"/>
      <c r="BX695" s="16"/>
      <c r="BY695" s="16"/>
      <c r="BZ695" s="16"/>
      <c r="CA695" s="16"/>
      <c r="CB695" s="16"/>
      <c r="CC695" s="16"/>
    </row>
    <row r="696" spans="1:81" ht="13.5" thickBot="1">
      <c r="A696" s="16"/>
      <c r="B696" s="16"/>
      <c r="C696" s="17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16"/>
      <c r="AU696" s="16"/>
      <c r="AV696" s="16"/>
      <c r="AW696" s="16"/>
      <c r="AX696" s="16"/>
      <c r="AY696" s="16"/>
      <c r="AZ696" s="16"/>
      <c r="BA696" s="16"/>
      <c r="BB696" s="16"/>
      <c r="BC696" s="16"/>
      <c r="BD696" s="16"/>
      <c r="BE696" s="16"/>
      <c r="BF696" s="16"/>
      <c r="BG696" s="16"/>
      <c r="BH696" s="16"/>
      <c r="BI696" s="16"/>
      <c r="BJ696" s="16"/>
      <c r="BK696" s="16"/>
      <c r="BL696" s="16"/>
      <c r="BM696" s="16"/>
      <c r="BN696" s="16"/>
      <c r="BO696" s="16"/>
      <c r="BP696" s="16"/>
      <c r="BQ696" s="16"/>
      <c r="BR696" s="16"/>
      <c r="BS696" s="16"/>
      <c r="BT696" s="16"/>
      <c r="BU696" s="16"/>
      <c r="BV696" s="16"/>
      <c r="BW696" s="16"/>
      <c r="BX696" s="16"/>
      <c r="BY696" s="16"/>
      <c r="BZ696" s="16"/>
      <c r="CA696" s="16"/>
      <c r="CB696" s="16"/>
      <c r="CC696" s="16"/>
    </row>
    <row r="697" spans="1:81" ht="13.5" thickBot="1">
      <c r="A697" s="16"/>
      <c r="B697" s="16"/>
      <c r="C697" s="17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16"/>
      <c r="AU697" s="16"/>
      <c r="AV697" s="16"/>
      <c r="AW697" s="16"/>
      <c r="AX697" s="16"/>
      <c r="AY697" s="16"/>
      <c r="AZ697" s="16"/>
      <c r="BA697" s="16"/>
      <c r="BB697" s="16"/>
      <c r="BC697" s="16"/>
      <c r="BD697" s="16"/>
      <c r="BE697" s="16"/>
      <c r="BF697" s="16"/>
      <c r="BG697" s="16"/>
      <c r="BH697" s="16"/>
      <c r="BI697" s="16"/>
      <c r="BJ697" s="16"/>
      <c r="BK697" s="16"/>
      <c r="BL697" s="16"/>
      <c r="BM697" s="16"/>
      <c r="BN697" s="16"/>
      <c r="BO697" s="16"/>
      <c r="BP697" s="16"/>
      <c r="BQ697" s="16"/>
      <c r="BR697" s="16"/>
      <c r="BS697" s="16"/>
      <c r="BT697" s="16"/>
      <c r="BU697" s="16"/>
      <c r="BV697" s="16"/>
      <c r="BW697" s="16"/>
      <c r="BX697" s="16"/>
      <c r="BY697" s="16"/>
      <c r="BZ697" s="16"/>
      <c r="CA697" s="16"/>
      <c r="CB697" s="16"/>
      <c r="CC697" s="16"/>
    </row>
    <row r="698" spans="1:81" ht="13.5" thickBot="1">
      <c r="A698" s="16"/>
      <c r="B698" s="16"/>
      <c r="C698" s="17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16"/>
      <c r="AU698" s="16"/>
      <c r="AV698" s="16"/>
      <c r="AW698" s="16"/>
      <c r="AX698" s="16"/>
      <c r="AY698" s="16"/>
      <c r="AZ698" s="16"/>
      <c r="BA698" s="16"/>
      <c r="BB698" s="16"/>
      <c r="BC698" s="16"/>
      <c r="BD698" s="16"/>
      <c r="BE698" s="16"/>
      <c r="BF698" s="16"/>
      <c r="BG698" s="16"/>
      <c r="BH698" s="16"/>
      <c r="BI698" s="16"/>
      <c r="BJ698" s="16"/>
      <c r="BK698" s="16"/>
      <c r="BL698" s="16"/>
      <c r="BM698" s="16"/>
      <c r="BN698" s="16"/>
      <c r="BO698" s="16"/>
      <c r="BP698" s="16"/>
      <c r="BQ698" s="16"/>
      <c r="BR698" s="16"/>
      <c r="BS698" s="16"/>
      <c r="BT698" s="16"/>
      <c r="BU698" s="16"/>
      <c r="BV698" s="16"/>
      <c r="BW698" s="16"/>
      <c r="BX698" s="16"/>
      <c r="BY698" s="16"/>
      <c r="BZ698" s="16"/>
      <c r="CA698" s="16"/>
      <c r="CB698" s="16"/>
      <c r="CC698" s="16"/>
    </row>
    <row r="699" spans="1:81" ht="13.5" thickBot="1">
      <c r="A699" s="16"/>
      <c r="B699" s="16"/>
      <c r="C699" s="17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16"/>
      <c r="AU699" s="16"/>
      <c r="AV699" s="16"/>
      <c r="AW699" s="16"/>
      <c r="AX699" s="16"/>
      <c r="AY699" s="16"/>
      <c r="AZ699" s="16"/>
      <c r="BA699" s="16"/>
      <c r="BB699" s="16"/>
      <c r="BC699" s="16"/>
      <c r="BD699" s="16"/>
      <c r="BE699" s="16"/>
      <c r="BF699" s="16"/>
      <c r="BG699" s="16"/>
      <c r="BH699" s="16"/>
      <c r="BI699" s="16"/>
      <c r="BJ699" s="16"/>
      <c r="BK699" s="16"/>
      <c r="BL699" s="16"/>
      <c r="BM699" s="16"/>
      <c r="BN699" s="16"/>
      <c r="BO699" s="16"/>
      <c r="BP699" s="16"/>
      <c r="BQ699" s="16"/>
      <c r="BR699" s="16"/>
      <c r="BS699" s="16"/>
      <c r="BT699" s="16"/>
      <c r="BU699" s="16"/>
      <c r="BV699" s="16"/>
      <c r="BW699" s="16"/>
      <c r="BX699" s="16"/>
      <c r="BY699" s="16"/>
      <c r="BZ699" s="16"/>
      <c r="CA699" s="16"/>
      <c r="CB699" s="16"/>
      <c r="CC699" s="16"/>
    </row>
    <row r="700" spans="1:81" ht="13.5" thickBot="1">
      <c r="A700" s="16"/>
      <c r="B700" s="16"/>
      <c r="C700" s="17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16"/>
      <c r="AU700" s="16"/>
      <c r="AV700" s="16"/>
      <c r="AW700" s="16"/>
      <c r="AX700" s="16"/>
      <c r="AY700" s="16"/>
      <c r="AZ700" s="16"/>
      <c r="BA700" s="16"/>
      <c r="BB700" s="16"/>
      <c r="BC700" s="16"/>
      <c r="BD700" s="16"/>
      <c r="BE700" s="16"/>
      <c r="BF700" s="16"/>
      <c r="BG700" s="16"/>
      <c r="BH700" s="16"/>
      <c r="BI700" s="16"/>
      <c r="BJ700" s="16"/>
      <c r="BK700" s="16"/>
      <c r="BL700" s="16"/>
      <c r="BM700" s="16"/>
      <c r="BN700" s="16"/>
      <c r="BO700" s="16"/>
      <c r="BP700" s="16"/>
      <c r="BQ700" s="16"/>
      <c r="BR700" s="16"/>
      <c r="BS700" s="16"/>
      <c r="BT700" s="16"/>
      <c r="BU700" s="16"/>
      <c r="BV700" s="16"/>
      <c r="BW700" s="16"/>
      <c r="BX700" s="16"/>
      <c r="BY700" s="16"/>
      <c r="BZ700" s="16"/>
      <c r="CA700" s="16"/>
      <c r="CB700" s="16"/>
      <c r="CC700" s="16"/>
    </row>
    <row r="701" spans="1:81" ht="13.5" thickBot="1">
      <c r="A701" s="16"/>
      <c r="B701" s="16"/>
      <c r="C701" s="17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16"/>
      <c r="AU701" s="16"/>
      <c r="AV701" s="16"/>
      <c r="AW701" s="16"/>
      <c r="AX701" s="16"/>
      <c r="AY701" s="16"/>
      <c r="AZ701" s="16"/>
      <c r="BA701" s="16"/>
      <c r="BB701" s="16"/>
      <c r="BC701" s="16"/>
      <c r="BD701" s="16"/>
      <c r="BE701" s="16"/>
      <c r="BF701" s="16"/>
      <c r="BG701" s="16"/>
      <c r="BH701" s="16"/>
      <c r="BI701" s="16"/>
      <c r="BJ701" s="16"/>
      <c r="BK701" s="16"/>
      <c r="BL701" s="16"/>
      <c r="BM701" s="16"/>
      <c r="BN701" s="16"/>
      <c r="BO701" s="16"/>
      <c r="BP701" s="16"/>
      <c r="BQ701" s="16"/>
      <c r="BR701" s="16"/>
      <c r="BS701" s="16"/>
      <c r="BT701" s="16"/>
      <c r="BU701" s="16"/>
      <c r="BV701" s="16"/>
      <c r="BW701" s="16"/>
      <c r="BX701" s="16"/>
      <c r="BY701" s="16"/>
      <c r="BZ701" s="16"/>
      <c r="CA701" s="16"/>
      <c r="CB701" s="16"/>
      <c r="CC701" s="16"/>
    </row>
    <row r="702" spans="1:81" ht="13.5" thickBot="1">
      <c r="A702" s="16"/>
      <c r="B702" s="16"/>
      <c r="C702" s="17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16"/>
      <c r="AU702" s="16"/>
      <c r="AV702" s="16"/>
      <c r="AW702" s="16"/>
      <c r="AX702" s="16"/>
      <c r="AY702" s="16"/>
      <c r="AZ702" s="16"/>
      <c r="BA702" s="16"/>
      <c r="BB702" s="16"/>
      <c r="BC702" s="16"/>
      <c r="BD702" s="16"/>
      <c r="BE702" s="16"/>
      <c r="BF702" s="16"/>
      <c r="BG702" s="16"/>
      <c r="BH702" s="16"/>
      <c r="BI702" s="16"/>
      <c r="BJ702" s="16"/>
      <c r="BK702" s="16"/>
      <c r="BL702" s="16"/>
      <c r="BM702" s="16"/>
      <c r="BN702" s="16"/>
      <c r="BO702" s="16"/>
      <c r="BP702" s="16"/>
      <c r="BQ702" s="16"/>
      <c r="BR702" s="16"/>
      <c r="BS702" s="16"/>
      <c r="BT702" s="16"/>
      <c r="BU702" s="16"/>
      <c r="BV702" s="16"/>
      <c r="BW702" s="16"/>
      <c r="BX702" s="16"/>
      <c r="BY702" s="16"/>
      <c r="BZ702" s="16"/>
      <c r="CA702" s="16"/>
      <c r="CB702" s="16"/>
      <c r="CC702" s="16"/>
    </row>
    <row r="703" spans="1:81" ht="13.5" thickBot="1">
      <c r="A703" s="16"/>
      <c r="B703" s="16"/>
      <c r="C703" s="17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16"/>
      <c r="AU703" s="16"/>
      <c r="AV703" s="16"/>
      <c r="AW703" s="16"/>
      <c r="AX703" s="16"/>
      <c r="AY703" s="16"/>
      <c r="AZ703" s="16"/>
      <c r="BA703" s="16"/>
      <c r="BB703" s="16"/>
      <c r="BC703" s="16"/>
      <c r="BD703" s="16"/>
      <c r="BE703" s="16"/>
      <c r="BF703" s="16"/>
      <c r="BG703" s="16"/>
      <c r="BH703" s="16"/>
      <c r="BI703" s="16"/>
      <c r="BJ703" s="16"/>
      <c r="BK703" s="16"/>
      <c r="BL703" s="16"/>
      <c r="BM703" s="16"/>
      <c r="BN703" s="16"/>
      <c r="BO703" s="16"/>
      <c r="BP703" s="16"/>
      <c r="BQ703" s="16"/>
      <c r="BR703" s="16"/>
      <c r="BS703" s="16"/>
      <c r="BT703" s="16"/>
      <c r="BU703" s="16"/>
      <c r="BV703" s="16"/>
      <c r="BW703" s="16"/>
      <c r="BX703" s="16"/>
      <c r="BY703" s="16"/>
      <c r="BZ703" s="16"/>
      <c r="CA703" s="16"/>
      <c r="CB703" s="16"/>
      <c r="CC703" s="16"/>
    </row>
    <row r="704" spans="1:81" ht="13.5" thickBot="1">
      <c r="A704" s="16"/>
      <c r="B704" s="16"/>
      <c r="C704" s="17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16"/>
      <c r="AU704" s="16"/>
      <c r="AV704" s="16"/>
      <c r="AW704" s="16"/>
      <c r="AX704" s="16"/>
      <c r="AY704" s="16"/>
      <c r="AZ704" s="16"/>
      <c r="BA704" s="16"/>
      <c r="BB704" s="16"/>
      <c r="BC704" s="16"/>
      <c r="BD704" s="16"/>
      <c r="BE704" s="16"/>
      <c r="BF704" s="16"/>
      <c r="BG704" s="16"/>
      <c r="BH704" s="16"/>
      <c r="BI704" s="16"/>
      <c r="BJ704" s="16"/>
      <c r="BK704" s="16"/>
      <c r="BL704" s="16"/>
      <c r="BM704" s="16"/>
      <c r="BN704" s="16"/>
      <c r="BO704" s="16"/>
      <c r="BP704" s="16"/>
      <c r="BQ704" s="16"/>
      <c r="BR704" s="16"/>
      <c r="BS704" s="16"/>
      <c r="BT704" s="16"/>
      <c r="BU704" s="16"/>
      <c r="BV704" s="16"/>
      <c r="BW704" s="16"/>
      <c r="BX704" s="16"/>
      <c r="BY704" s="16"/>
      <c r="BZ704" s="16"/>
      <c r="CA704" s="16"/>
      <c r="CB704" s="16"/>
      <c r="CC704" s="16"/>
    </row>
    <row r="705" spans="1:81" ht="13.5" thickBot="1">
      <c r="A705" s="16"/>
      <c r="B705" s="16"/>
      <c r="C705" s="17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16"/>
      <c r="AU705" s="16"/>
      <c r="AV705" s="16"/>
      <c r="AW705" s="16"/>
      <c r="AX705" s="16"/>
      <c r="AY705" s="16"/>
      <c r="AZ705" s="16"/>
      <c r="BA705" s="16"/>
      <c r="BB705" s="16"/>
      <c r="BC705" s="16"/>
      <c r="BD705" s="16"/>
      <c r="BE705" s="16"/>
      <c r="BF705" s="16"/>
      <c r="BG705" s="16"/>
      <c r="BH705" s="16"/>
      <c r="BI705" s="16"/>
      <c r="BJ705" s="16"/>
      <c r="BK705" s="16"/>
      <c r="BL705" s="16"/>
      <c r="BM705" s="16"/>
      <c r="BN705" s="16"/>
      <c r="BO705" s="16"/>
      <c r="BP705" s="16"/>
      <c r="BQ705" s="16"/>
      <c r="BR705" s="16"/>
      <c r="BS705" s="16"/>
      <c r="BT705" s="16"/>
      <c r="BU705" s="16"/>
      <c r="BV705" s="16"/>
      <c r="BW705" s="16"/>
      <c r="BX705" s="16"/>
      <c r="BY705" s="16"/>
      <c r="BZ705" s="16"/>
      <c r="CA705" s="16"/>
      <c r="CB705" s="16"/>
      <c r="CC705" s="16"/>
    </row>
    <row r="706" spans="1:81" ht="13.5" thickBot="1">
      <c r="A706" s="16"/>
      <c r="B706" s="16"/>
      <c r="C706" s="17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16"/>
      <c r="AU706" s="16"/>
      <c r="AV706" s="16"/>
      <c r="AW706" s="16"/>
      <c r="AX706" s="16"/>
      <c r="AY706" s="16"/>
      <c r="AZ706" s="16"/>
      <c r="BA706" s="16"/>
      <c r="BB706" s="16"/>
      <c r="BC706" s="16"/>
      <c r="BD706" s="16"/>
      <c r="BE706" s="16"/>
      <c r="BF706" s="16"/>
      <c r="BG706" s="16"/>
      <c r="BH706" s="16"/>
      <c r="BI706" s="16"/>
      <c r="BJ706" s="16"/>
      <c r="BK706" s="16"/>
      <c r="BL706" s="16"/>
      <c r="BM706" s="16"/>
      <c r="BN706" s="16"/>
      <c r="BO706" s="16"/>
      <c r="BP706" s="16"/>
      <c r="BQ706" s="16"/>
      <c r="BR706" s="16"/>
      <c r="BS706" s="16"/>
      <c r="BT706" s="16"/>
      <c r="BU706" s="16"/>
      <c r="BV706" s="16"/>
      <c r="BW706" s="16"/>
      <c r="BX706" s="16"/>
      <c r="BY706" s="16"/>
      <c r="BZ706" s="16"/>
      <c r="CA706" s="16"/>
      <c r="CB706" s="16"/>
      <c r="CC706" s="16"/>
    </row>
    <row r="707" spans="1:81" ht="13.5" thickBot="1">
      <c r="A707" s="16"/>
      <c r="B707" s="16"/>
      <c r="C707" s="17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16"/>
      <c r="AU707" s="16"/>
      <c r="AV707" s="16"/>
      <c r="AW707" s="16"/>
      <c r="AX707" s="16"/>
      <c r="AY707" s="16"/>
      <c r="AZ707" s="16"/>
      <c r="BA707" s="16"/>
      <c r="BB707" s="16"/>
      <c r="BC707" s="16"/>
      <c r="BD707" s="16"/>
      <c r="BE707" s="16"/>
      <c r="BF707" s="16"/>
      <c r="BG707" s="16"/>
      <c r="BH707" s="16"/>
      <c r="BI707" s="16"/>
      <c r="BJ707" s="16"/>
      <c r="BK707" s="16"/>
      <c r="BL707" s="16"/>
      <c r="BM707" s="16"/>
      <c r="BN707" s="16"/>
      <c r="BO707" s="16"/>
      <c r="BP707" s="16"/>
      <c r="BQ707" s="16"/>
      <c r="BR707" s="16"/>
      <c r="BS707" s="16"/>
      <c r="BT707" s="16"/>
      <c r="BU707" s="16"/>
      <c r="BV707" s="16"/>
      <c r="BW707" s="16"/>
      <c r="BX707" s="16"/>
      <c r="BY707" s="16"/>
      <c r="BZ707" s="16"/>
      <c r="CA707" s="16"/>
      <c r="CB707" s="16"/>
      <c r="CC707" s="16"/>
    </row>
    <row r="708" spans="1:81" ht="13.5" thickBot="1">
      <c r="A708" s="16"/>
      <c r="B708" s="16"/>
      <c r="C708" s="17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16"/>
      <c r="AU708" s="16"/>
      <c r="AV708" s="16"/>
      <c r="AW708" s="16"/>
      <c r="AX708" s="16"/>
      <c r="AY708" s="16"/>
      <c r="AZ708" s="16"/>
      <c r="BA708" s="16"/>
      <c r="BB708" s="16"/>
      <c r="BC708" s="16"/>
      <c r="BD708" s="16"/>
      <c r="BE708" s="16"/>
      <c r="BF708" s="16"/>
      <c r="BG708" s="16"/>
      <c r="BH708" s="16"/>
      <c r="BI708" s="16"/>
      <c r="BJ708" s="16"/>
      <c r="BK708" s="16"/>
      <c r="BL708" s="16"/>
      <c r="BM708" s="16"/>
      <c r="BN708" s="16"/>
      <c r="BO708" s="16"/>
      <c r="BP708" s="16"/>
      <c r="BQ708" s="16"/>
      <c r="BR708" s="16"/>
      <c r="BS708" s="16"/>
      <c r="BT708" s="16"/>
      <c r="BU708" s="16"/>
      <c r="BV708" s="16"/>
      <c r="BW708" s="16"/>
      <c r="BX708" s="16"/>
      <c r="BY708" s="16"/>
      <c r="BZ708" s="16"/>
      <c r="CA708" s="16"/>
      <c r="CB708" s="16"/>
      <c r="CC708" s="16"/>
    </row>
    <row r="709" spans="1:81" ht="13.5" thickBot="1">
      <c r="A709" s="16"/>
      <c r="B709" s="16"/>
      <c r="C709" s="17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16"/>
      <c r="AU709" s="16"/>
      <c r="AV709" s="16"/>
      <c r="AW709" s="16"/>
      <c r="AX709" s="16"/>
      <c r="AY709" s="16"/>
      <c r="AZ709" s="16"/>
      <c r="BA709" s="16"/>
      <c r="BB709" s="16"/>
      <c r="BC709" s="16"/>
      <c r="BD709" s="16"/>
      <c r="BE709" s="16"/>
      <c r="BF709" s="16"/>
      <c r="BG709" s="16"/>
      <c r="BH709" s="16"/>
      <c r="BI709" s="16"/>
      <c r="BJ709" s="16"/>
      <c r="BK709" s="16"/>
      <c r="BL709" s="16"/>
      <c r="BM709" s="16"/>
      <c r="BN709" s="16"/>
      <c r="BO709" s="16"/>
      <c r="BP709" s="16"/>
      <c r="BQ709" s="16"/>
      <c r="BR709" s="16"/>
      <c r="BS709" s="16"/>
      <c r="BT709" s="16"/>
      <c r="BU709" s="16"/>
      <c r="BV709" s="16"/>
      <c r="BW709" s="16"/>
      <c r="BX709" s="16"/>
      <c r="BY709" s="16"/>
      <c r="BZ709" s="16"/>
      <c r="CA709" s="16"/>
      <c r="CB709" s="16"/>
      <c r="CC709" s="16"/>
    </row>
    <row r="710" spans="1:81" ht="13.5" thickBot="1">
      <c r="A710" s="16"/>
      <c r="B710" s="16"/>
      <c r="C710" s="17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16"/>
      <c r="AU710" s="16"/>
      <c r="AV710" s="16"/>
      <c r="AW710" s="16"/>
      <c r="AX710" s="16"/>
      <c r="AY710" s="16"/>
      <c r="AZ710" s="16"/>
      <c r="BA710" s="16"/>
      <c r="BB710" s="16"/>
      <c r="BC710" s="16"/>
      <c r="BD710" s="16"/>
      <c r="BE710" s="16"/>
      <c r="BF710" s="16"/>
      <c r="BG710" s="16"/>
      <c r="BH710" s="16"/>
      <c r="BI710" s="16"/>
      <c r="BJ710" s="16"/>
      <c r="BK710" s="16"/>
      <c r="BL710" s="16"/>
      <c r="BM710" s="16"/>
      <c r="BN710" s="16"/>
      <c r="BO710" s="16"/>
      <c r="BP710" s="16"/>
      <c r="BQ710" s="16"/>
      <c r="BR710" s="16"/>
      <c r="BS710" s="16"/>
      <c r="BT710" s="16"/>
      <c r="BU710" s="16"/>
      <c r="BV710" s="16"/>
      <c r="BW710" s="16"/>
      <c r="BX710" s="16"/>
      <c r="BY710" s="16"/>
      <c r="BZ710" s="16"/>
      <c r="CA710" s="16"/>
      <c r="CB710" s="16"/>
      <c r="CC710" s="16"/>
    </row>
    <row r="711" spans="1:81" ht="13.5" thickBot="1">
      <c r="A711" s="16"/>
      <c r="B711" s="16"/>
      <c r="C711" s="17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16"/>
      <c r="AU711" s="16"/>
      <c r="AV711" s="16"/>
      <c r="AW711" s="16"/>
      <c r="AX711" s="16"/>
      <c r="AY711" s="16"/>
      <c r="AZ711" s="16"/>
      <c r="BA711" s="16"/>
      <c r="BB711" s="16"/>
      <c r="BC711" s="16"/>
      <c r="BD711" s="16"/>
      <c r="BE711" s="16"/>
      <c r="BF711" s="16"/>
      <c r="BG711" s="16"/>
      <c r="BH711" s="16"/>
      <c r="BI711" s="16"/>
      <c r="BJ711" s="16"/>
      <c r="BK711" s="16"/>
      <c r="BL711" s="16"/>
      <c r="BM711" s="16"/>
      <c r="BN711" s="16"/>
      <c r="BO711" s="16"/>
      <c r="BP711" s="16"/>
      <c r="BQ711" s="16"/>
      <c r="BR711" s="16"/>
      <c r="BS711" s="16"/>
      <c r="BT711" s="16"/>
      <c r="BU711" s="16"/>
      <c r="BV711" s="16"/>
      <c r="BW711" s="16"/>
      <c r="BX711" s="16"/>
      <c r="BY711" s="16"/>
      <c r="BZ711" s="16"/>
      <c r="CA711" s="16"/>
      <c r="CB711" s="16"/>
      <c r="CC711" s="16"/>
    </row>
    <row r="712" spans="1:81" ht="13.5" thickBot="1">
      <c r="A712" s="16"/>
      <c r="B712" s="16"/>
      <c r="C712" s="17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16"/>
      <c r="AU712" s="16"/>
      <c r="AV712" s="16"/>
      <c r="AW712" s="16"/>
      <c r="AX712" s="16"/>
      <c r="AY712" s="16"/>
      <c r="AZ712" s="16"/>
      <c r="BA712" s="16"/>
      <c r="BB712" s="16"/>
      <c r="BC712" s="16"/>
      <c r="BD712" s="16"/>
      <c r="BE712" s="16"/>
      <c r="BF712" s="16"/>
      <c r="BG712" s="16"/>
      <c r="BH712" s="16"/>
      <c r="BI712" s="16"/>
      <c r="BJ712" s="16"/>
      <c r="BK712" s="16"/>
      <c r="BL712" s="16"/>
      <c r="BM712" s="16"/>
      <c r="BN712" s="16"/>
      <c r="BO712" s="16"/>
      <c r="BP712" s="16"/>
      <c r="BQ712" s="16"/>
      <c r="BR712" s="16"/>
      <c r="BS712" s="16"/>
      <c r="BT712" s="16"/>
      <c r="BU712" s="16"/>
      <c r="BV712" s="16"/>
      <c r="BW712" s="16"/>
      <c r="BX712" s="16"/>
      <c r="BY712" s="16"/>
      <c r="BZ712" s="16"/>
      <c r="CA712" s="16"/>
      <c r="CB712" s="16"/>
      <c r="CC712" s="16"/>
    </row>
    <row r="713" spans="1:81" ht="13.5" thickBot="1">
      <c r="A713" s="16"/>
      <c r="B713" s="16"/>
      <c r="C713" s="17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  <c r="AT713" s="16"/>
      <c r="AU713" s="16"/>
      <c r="AV713" s="16"/>
      <c r="AW713" s="16"/>
      <c r="AX713" s="16"/>
      <c r="AY713" s="16"/>
      <c r="AZ713" s="16"/>
      <c r="BA713" s="16"/>
      <c r="BB713" s="16"/>
      <c r="BC713" s="16"/>
      <c r="BD713" s="16"/>
      <c r="BE713" s="16"/>
      <c r="BF713" s="16"/>
      <c r="BG713" s="16"/>
      <c r="BH713" s="16"/>
      <c r="BI713" s="16"/>
      <c r="BJ713" s="16"/>
      <c r="BK713" s="16"/>
      <c r="BL713" s="16"/>
      <c r="BM713" s="16"/>
      <c r="BN713" s="16"/>
      <c r="BO713" s="16"/>
      <c r="BP713" s="16"/>
      <c r="BQ713" s="16"/>
      <c r="BR713" s="16"/>
      <c r="BS713" s="16"/>
      <c r="BT713" s="16"/>
      <c r="BU713" s="16"/>
      <c r="BV713" s="16"/>
      <c r="BW713" s="16"/>
      <c r="BX713" s="16"/>
      <c r="BY713" s="16"/>
      <c r="BZ713" s="16"/>
      <c r="CA713" s="16"/>
      <c r="CB713" s="16"/>
      <c r="CC713" s="16"/>
    </row>
    <row r="714" spans="1:81" ht="13.5" thickBot="1">
      <c r="A714" s="16"/>
      <c r="B714" s="16"/>
      <c r="C714" s="17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  <c r="AT714" s="16"/>
      <c r="AU714" s="16"/>
      <c r="AV714" s="16"/>
      <c r="AW714" s="16"/>
      <c r="AX714" s="16"/>
      <c r="AY714" s="16"/>
      <c r="AZ714" s="16"/>
      <c r="BA714" s="16"/>
      <c r="BB714" s="16"/>
      <c r="BC714" s="16"/>
      <c r="BD714" s="16"/>
      <c r="BE714" s="16"/>
      <c r="BF714" s="16"/>
      <c r="BG714" s="16"/>
      <c r="BH714" s="16"/>
      <c r="BI714" s="16"/>
      <c r="BJ714" s="16"/>
      <c r="BK714" s="16"/>
      <c r="BL714" s="16"/>
      <c r="BM714" s="16"/>
      <c r="BN714" s="16"/>
      <c r="BO714" s="16"/>
      <c r="BP714" s="16"/>
      <c r="BQ714" s="16"/>
      <c r="BR714" s="16"/>
      <c r="BS714" s="16"/>
      <c r="BT714" s="16"/>
      <c r="BU714" s="16"/>
      <c r="BV714" s="16"/>
      <c r="BW714" s="16"/>
      <c r="BX714" s="16"/>
      <c r="BY714" s="16"/>
      <c r="BZ714" s="16"/>
      <c r="CA714" s="16"/>
      <c r="CB714" s="16"/>
      <c r="CC714" s="16"/>
    </row>
    <row r="715" spans="1:81" ht="13.5" thickBot="1">
      <c r="A715" s="16"/>
      <c r="B715" s="16"/>
      <c r="C715" s="17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  <c r="AT715" s="16"/>
      <c r="AU715" s="16"/>
      <c r="AV715" s="16"/>
      <c r="AW715" s="16"/>
      <c r="AX715" s="16"/>
      <c r="AY715" s="16"/>
      <c r="AZ715" s="16"/>
      <c r="BA715" s="16"/>
      <c r="BB715" s="16"/>
      <c r="BC715" s="16"/>
      <c r="BD715" s="16"/>
      <c r="BE715" s="16"/>
      <c r="BF715" s="16"/>
      <c r="BG715" s="16"/>
      <c r="BH715" s="16"/>
      <c r="BI715" s="16"/>
      <c r="BJ715" s="16"/>
      <c r="BK715" s="16"/>
      <c r="BL715" s="16"/>
      <c r="BM715" s="16"/>
      <c r="BN715" s="16"/>
      <c r="BO715" s="16"/>
      <c r="BP715" s="16"/>
      <c r="BQ715" s="16"/>
      <c r="BR715" s="16"/>
      <c r="BS715" s="16"/>
      <c r="BT715" s="16"/>
      <c r="BU715" s="16"/>
      <c r="BV715" s="16"/>
      <c r="BW715" s="16"/>
      <c r="BX715" s="16"/>
      <c r="BY715" s="16"/>
      <c r="BZ715" s="16"/>
      <c r="CA715" s="16"/>
      <c r="CB715" s="16"/>
      <c r="CC715" s="16"/>
    </row>
    <row r="716" spans="1:81" ht="13.5" thickBot="1">
      <c r="A716" s="16"/>
      <c r="B716" s="16"/>
      <c r="C716" s="17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  <c r="AT716" s="16"/>
      <c r="AU716" s="16"/>
      <c r="AV716" s="16"/>
      <c r="AW716" s="16"/>
      <c r="AX716" s="16"/>
      <c r="AY716" s="16"/>
      <c r="AZ716" s="16"/>
      <c r="BA716" s="16"/>
      <c r="BB716" s="16"/>
      <c r="BC716" s="16"/>
      <c r="BD716" s="16"/>
      <c r="BE716" s="16"/>
      <c r="BF716" s="16"/>
      <c r="BG716" s="16"/>
      <c r="BH716" s="16"/>
      <c r="BI716" s="16"/>
      <c r="BJ716" s="16"/>
      <c r="BK716" s="16"/>
      <c r="BL716" s="16"/>
      <c r="BM716" s="16"/>
      <c r="BN716" s="16"/>
      <c r="BO716" s="16"/>
      <c r="BP716" s="16"/>
      <c r="BQ716" s="16"/>
      <c r="BR716" s="16"/>
      <c r="BS716" s="16"/>
      <c r="BT716" s="16"/>
      <c r="BU716" s="16"/>
      <c r="BV716" s="16"/>
      <c r="BW716" s="16"/>
      <c r="BX716" s="16"/>
      <c r="BY716" s="16"/>
      <c r="BZ716" s="16"/>
      <c r="CA716" s="16"/>
      <c r="CB716" s="16"/>
      <c r="CC716" s="16"/>
    </row>
    <row r="717" spans="1:81" ht="13.5" thickBot="1">
      <c r="A717" s="16"/>
      <c r="B717" s="16"/>
      <c r="C717" s="17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  <c r="AT717" s="16"/>
      <c r="AU717" s="16"/>
      <c r="AV717" s="16"/>
      <c r="AW717" s="16"/>
      <c r="AX717" s="16"/>
      <c r="AY717" s="16"/>
      <c r="AZ717" s="16"/>
      <c r="BA717" s="16"/>
      <c r="BB717" s="16"/>
      <c r="BC717" s="16"/>
      <c r="BD717" s="16"/>
      <c r="BE717" s="16"/>
      <c r="BF717" s="16"/>
      <c r="BG717" s="16"/>
      <c r="BH717" s="16"/>
      <c r="BI717" s="16"/>
      <c r="BJ717" s="16"/>
      <c r="BK717" s="16"/>
      <c r="BL717" s="16"/>
      <c r="BM717" s="16"/>
      <c r="BN717" s="16"/>
      <c r="BO717" s="16"/>
      <c r="BP717" s="16"/>
      <c r="BQ717" s="16"/>
      <c r="BR717" s="16"/>
      <c r="BS717" s="16"/>
      <c r="BT717" s="16"/>
      <c r="BU717" s="16"/>
      <c r="BV717" s="16"/>
      <c r="BW717" s="16"/>
      <c r="BX717" s="16"/>
      <c r="BY717" s="16"/>
      <c r="BZ717" s="16"/>
      <c r="CA717" s="16"/>
      <c r="CB717" s="16"/>
      <c r="CC717" s="16"/>
    </row>
    <row r="718" spans="1:81" ht="13.5" thickBot="1">
      <c r="A718" s="16"/>
      <c r="B718" s="16"/>
      <c r="C718" s="17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  <c r="AT718" s="16"/>
      <c r="AU718" s="16"/>
      <c r="AV718" s="16"/>
      <c r="AW718" s="16"/>
      <c r="AX718" s="16"/>
      <c r="AY718" s="16"/>
      <c r="AZ718" s="16"/>
      <c r="BA718" s="16"/>
      <c r="BB718" s="16"/>
      <c r="BC718" s="16"/>
      <c r="BD718" s="16"/>
      <c r="BE718" s="16"/>
      <c r="BF718" s="16"/>
      <c r="BG718" s="16"/>
      <c r="BH718" s="16"/>
      <c r="BI718" s="16"/>
      <c r="BJ718" s="16"/>
      <c r="BK718" s="16"/>
      <c r="BL718" s="16"/>
      <c r="BM718" s="16"/>
      <c r="BN718" s="16"/>
      <c r="BO718" s="16"/>
      <c r="BP718" s="16"/>
      <c r="BQ718" s="16"/>
      <c r="BR718" s="16"/>
      <c r="BS718" s="16"/>
      <c r="BT718" s="16"/>
      <c r="BU718" s="16"/>
      <c r="BV718" s="16"/>
      <c r="BW718" s="16"/>
      <c r="BX718" s="16"/>
      <c r="BY718" s="16"/>
      <c r="BZ718" s="16"/>
      <c r="CA718" s="16"/>
      <c r="CB718" s="16"/>
      <c r="CC718" s="16"/>
    </row>
    <row r="719" spans="1:81" ht="13.5" thickBot="1">
      <c r="A719" s="16"/>
      <c r="B719" s="16"/>
      <c r="C719" s="17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  <c r="AT719" s="16"/>
      <c r="AU719" s="16"/>
      <c r="AV719" s="16"/>
      <c r="AW719" s="16"/>
      <c r="AX719" s="16"/>
      <c r="AY719" s="16"/>
      <c r="AZ719" s="16"/>
      <c r="BA719" s="16"/>
      <c r="BB719" s="16"/>
      <c r="BC719" s="16"/>
      <c r="BD719" s="16"/>
      <c r="BE719" s="16"/>
      <c r="BF719" s="16"/>
      <c r="BG719" s="16"/>
      <c r="BH719" s="16"/>
      <c r="BI719" s="16"/>
      <c r="BJ719" s="16"/>
      <c r="BK719" s="16"/>
      <c r="BL719" s="16"/>
      <c r="BM719" s="16"/>
      <c r="BN719" s="16"/>
      <c r="BO719" s="16"/>
      <c r="BP719" s="16"/>
      <c r="BQ719" s="16"/>
      <c r="BR719" s="16"/>
      <c r="BS719" s="16"/>
      <c r="BT719" s="16"/>
      <c r="BU719" s="16"/>
      <c r="BV719" s="16"/>
      <c r="BW719" s="16"/>
      <c r="BX719" s="16"/>
      <c r="BY719" s="16"/>
      <c r="BZ719" s="16"/>
      <c r="CA719" s="16"/>
      <c r="CB719" s="16"/>
      <c r="CC719" s="16"/>
    </row>
    <row r="720" spans="1:81" ht="13.5" thickBot="1">
      <c r="A720" s="16"/>
      <c r="B720" s="16"/>
      <c r="C720" s="17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  <c r="AT720" s="16"/>
      <c r="AU720" s="16"/>
      <c r="AV720" s="16"/>
      <c r="AW720" s="16"/>
      <c r="AX720" s="16"/>
      <c r="AY720" s="16"/>
      <c r="AZ720" s="16"/>
      <c r="BA720" s="16"/>
      <c r="BB720" s="16"/>
      <c r="BC720" s="16"/>
      <c r="BD720" s="16"/>
      <c r="BE720" s="16"/>
      <c r="BF720" s="16"/>
      <c r="BG720" s="16"/>
      <c r="BH720" s="16"/>
      <c r="BI720" s="16"/>
      <c r="BJ720" s="16"/>
      <c r="BK720" s="16"/>
      <c r="BL720" s="16"/>
      <c r="BM720" s="16"/>
      <c r="BN720" s="16"/>
      <c r="BO720" s="16"/>
      <c r="BP720" s="16"/>
      <c r="BQ720" s="16"/>
      <c r="BR720" s="16"/>
      <c r="BS720" s="16"/>
      <c r="BT720" s="16"/>
      <c r="BU720" s="16"/>
      <c r="BV720" s="16"/>
      <c r="BW720" s="16"/>
      <c r="BX720" s="16"/>
      <c r="BY720" s="16"/>
      <c r="BZ720" s="16"/>
      <c r="CA720" s="16"/>
      <c r="CB720" s="16"/>
      <c r="CC720" s="16"/>
    </row>
    <row r="721" spans="1:81" ht="13.5" thickBot="1">
      <c r="A721" s="16"/>
      <c r="B721" s="16"/>
      <c r="C721" s="17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  <c r="AT721" s="16"/>
      <c r="AU721" s="16"/>
      <c r="AV721" s="16"/>
      <c r="AW721" s="16"/>
      <c r="AX721" s="16"/>
      <c r="AY721" s="16"/>
      <c r="AZ721" s="16"/>
      <c r="BA721" s="16"/>
      <c r="BB721" s="16"/>
      <c r="BC721" s="16"/>
      <c r="BD721" s="16"/>
      <c r="BE721" s="16"/>
      <c r="BF721" s="16"/>
      <c r="BG721" s="16"/>
      <c r="BH721" s="16"/>
      <c r="BI721" s="16"/>
      <c r="BJ721" s="16"/>
      <c r="BK721" s="16"/>
      <c r="BL721" s="16"/>
      <c r="BM721" s="16"/>
      <c r="BN721" s="16"/>
      <c r="BO721" s="16"/>
      <c r="BP721" s="16"/>
      <c r="BQ721" s="16"/>
      <c r="BR721" s="16"/>
      <c r="BS721" s="16"/>
      <c r="BT721" s="16"/>
      <c r="BU721" s="16"/>
      <c r="BV721" s="16"/>
      <c r="BW721" s="16"/>
      <c r="BX721" s="16"/>
      <c r="BY721" s="16"/>
      <c r="BZ721" s="16"/>
      <c r="CA721" s="16"/>
      <c r="CB721" s="16"/>
      <c r="CC721" s="16"/>
    </row>
    <row r="722" spans="1:81" ht="13.5" thickBot="1">
      <c r="A722" s="16"/>
      <c r="B722" s="16"/>
      <c r="C722" s="17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  <c r="AT722" s="16"/>
      <c r="AU722" s="16"/>
      <c r="AV722" s="16"/>
      <c r="AW722" s="16"/>
      <c r="AX722" s="16"/>
      <c r="AY722" s="16"/>
      <c r="AZ722" s="16"/>
      <c r="BA722" s="16"/>
      <c r="BB722" s="16"/>
      <c r="BC722" s="16"/>
      <c r="BD722" s="16"/>
      <c r="BE722" s="16"/>
      <c r="BF722" s="16"/>
      <c r="BG722" s="16"/>
      <c r="BH722" s="16"/>
      <c r="BI722" s="16"/>
      <c r="BJ722" s="16"/>
      <c r="BK722" s="16"/>
      <c r="BL722" s="16"/>
      <c r="BM722" s="16"/>
      <c r="BN722" s="16"/>
      <c r="BO722" s="16"/>
      <c r="BP722" s="16"/>
      <c r="BQ722" s="16"/>
      <c r="BR722" s="16"/>
      <c r="BS722" s="16"/>
      <c r="BT722" s="16"/>
      <c r="BU722" s="16"/>
      <c r="BV722" s="16"/>
      <c r="BW722" s="16"/>
      <c r="BX722" s="16"/>
      <c r="BY722" s="16"/>
      <c r="BZ722" s="16"/>
      <c r="CA722" s="16"/>
      <c r="CB722" s="16"/>
      <c r="CC722" s="16"/>
    </row>
    <row r="723" spans="1:81" ht="13.5" thickBot="1">
      <c r="A723" s="16"/>
      <c r="B723" s="16"/>
      <c r="C723" s="17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  <c r="AT723" s="16"/>
      <c r="AU723" s="16"/>
      <c r="AV723" s="16"/>
      <c r="AW723" s="16"/>
      <c r="AX723" s="16"/>
      <c r="AY723" s="16"/>
      <c r="AZ723" s="16"/>
      <c r="BA723" s="16"/>
      <c r="BB723" s="16"/>
      <c r="BC723" s="16"/>
      <c r="BD723" s="16"/>
      <c r="BE723" s="16"/>
      <c r="BF723" s="16"/>
      <c r="BG723" s="16"/>
      <c r="BH723" s="16"/>
      <c r="BI723" s="16"/>
      <c r="BJ723" s="16"/>
      <c r="BK723" s="16"/>
      <c r="BL723" s="16"/>
      <c r="BM723" s="16"/>
      <c r="BN723" s="16"/>
      <c r="BO723" s="16"/>
      <c r="BP723" s="16"/>
      <c r="BQ723" s="16"/>
      <c r="BR723" s="16"/>
      <c r="BS723" s="16"/>
      <c r="BT723" s="16"/>
      <c r="BU723" s="16"/>
      <c r="BV723" s="16"/>
      <c r="BW723" s="16"/>
      <c r="BX723" s="16"/>
      <c r="BY723" s="16"/>
      <c r="BZ723" s="16"/>
      <c r="CA723" s="16"/>
      <c r="CB723" s="16"/>
      <c r="CC723" s="16"/>
    </row>
    <row r="724" spans="1:81" ht="13.5" thickBot="1">
      <c r="A724" s="16"/>
      <c r="B724" s="16"/>
      <c r="C724" s="17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  <c r="AT724" s="16"/>
      <c r="AU724" s="16"/>
      <c r="AV724" s="16"/>
      <c r="AW724" s="16"/>
      <c r="AX724" s="16"/>
      <c r="AY724" s="16"/>
      <c r="AZ724" s="16"/>
      <c r="BA724" s="16"/>
      <c r="BB724" s="16"/>
      <c r="BC724" s="16"/>
      <c r="BD724" s="16"/>
      <c r="BE724" s="16"/>
      <c r="BF724" s="16"/>
      <c r="BG724" s="16"/>
      <c r="BH724" s="16"/>
      <c r="BI724" s="16"/>
      <c r="BJ724" s="16"/>
      <c r="BK724" s="16"/>
      <c r="BL724" s="16"/>
      <c r="BM724" s="16"/>
      <c r="BN724" s="16"/>
      <c r="BO724" s="16"/>
      <c r="BP724" s="16"/>
      <c r="BQ724" s="16"/>
      <c r="BR724" s="16"/>
      <c r="BS724" s="16"/>
      <c r="BT724" s="16"/>
      <c r="BU724" s="16"/>
      <c r="BV724" s="16"/>
      <c r="BW724" s="16"/>
      <c r="BX724" s="16"/>
      <c r="BY724" s="16"/>
      <c r="BZ724" s="16"/>
      <c r="CA724" s="16"/>
      <c r="CB724" s="16"/>
      <c r="CC724" s="16"/>
    </row>
    <row r="725" spans="1:81" ht="13.5" thickBot="1">
      <c r="A725" s="16"/>
      <c r="B725" s="16"/>
      <c r="C725" s="17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  <c r="AT725" s="16"/>
      <c r="AU725" s="16"/>
      <c r="AV725" s="16"/>
      <c r="AW725" s="16"/>
      <c r="AX725" s="16"/>
      <c r="AY725" s="16"/>
      <c r="AZ725" s="16"/>
      <c r="BA725" s="16"/>
      <c r="BB725" s="16"/>
      <c r="BC725" s="16"/>
      <c r="BD725" s="16"/>
      <c r="BE725" s="16"/>
      <c r="BF725" s="16"/>
      <c r="BG725" s="16"/>
      <c r="BH725" s="16"/>
      <c r="BI725" s="16"/>
      <c r="BJ725" s="16"/>
      <c r="BK725" s="16"/>
      <c r="BL725" s="16"/>
      <c r="BM725" s="16"/>
      <c r="BN725" s="16"/>
      <c r="BO725" s="16"/>
      <c r="BP725" s="16"/>
      <c r="BQ725" s="16"/>
      <c r="BR725" s="16"/>
      <c r="BS725" s="16"/>
      <c r="BT725" s="16"/>
      <c r="BU725" s="16"/>
      <c r="BV725" s="16"/>
      <c r="BW725" s="16"/>
      <c r="BX725" s="16"/>
      <c r="BY725" s="16"/>
      <c r="BZ725" s="16"/>
      <c r="CA725" s="16"/>
      <c r="CB725" s="16"/>
      <c r="CC725" s="16"/>
    </row>
    <row r="726" spans="1:81" ht="13.5" thickBot="1">
      <c r="A726" s="16"/>
      <c r="B726" s="16"/>
      <c r="C726" s="17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  <c r="AT726" s="16"/>
      <c r="AU726" s="16"/>
      <c r="AV726" s="16"/>
      <c r="AW726" s="16"/>
      <c r="AX726" s="16"/>
      <c r="AY726" s="16"/>
      <c r="AZ726" s="16"/>
      <c r="BA726" s="16"/>
      <c r="BB726" s="16"/>
      <c r="BC726" s="16"/>
      <c r="BD726" s="16"/>
      <c r="BE726" s="16"/>
      <c r="BF726" s="16"/>
      <c r="BG726" s="16"/>
      <c r="BH726" s="16"/>
      <c r="BI726" s="16"/>
      <c r="BJ726" s="16"/>
      <c r="BK726" s="16"/>
      <c r="BL726" s="16"/>
      <c r="BM726" s="16"/>
      <c r="BN726" s="16"/>
      <c r="BO726" s="16"/>
      <c r="BP726" s="16"/>
      <c r="BQ726" s="16"/>
      <c r="BR726" s="16"/>
      <c r="BS726" s="16"/>
      <c r="BT726" s="16"/>
      <c r="BU726" s="16"/>
      <c r="BV726" s="16"/>
      <c r="BW726" s="16"/>
      <c r="BX726" s="16"/>
      <c r="BY726" s="16"/>
      <c r="BZ726" s="16"/>
      <c r="CA726" s="16"/>
      <c r="CB726" s="16"/>
      <c r="CC726" s="16"/>
    </row>
    <row r="727" spans="1:81" ht="13.5" thickBot="1">
      <c r="A727" s="16"/>
      <c r="B727" s="16"/>
      <c r="C727" s="17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  <c r="AT727" s="16"/>
      <c r="AU727" s="16"/>
      <c r="AV727" s="16"/>
      <c r="AW727" s="16"/>
      <c r="AX727" s="16"/>
      <c r="AY727" s="16"/>
      <c r="AZ727" s="16"/>
      <c r="BA727" s="16"/>
      <c r="BB727" s="16"/>
      <c r="BC727" s="16"/>
      <c r="BD727" s="16"/>
      <c r="BE727" s="16"/>
      <c r="BF727" s="16"/>
      <c r="BG727" s="16"/>
      <c r="BH727" s="16"/>
      <c r="BI727" s="16"/>
      <c r="BJ727" s="16"/>
      <c r="BK727" s="16"/>
      <c r="BL727" s="16"/>
      <c r="BM727" s="16"/>
      <c r="BN727" s="16"/>
      <c r="BO727" s="16"/>
      <c r="BP727" s="16"/>
      <c r="BQ727" s="16"/>
      <c r="BR727" s="16"/>
      <c r="BS727" s="16"/>
      <c r="BT727" s="16"/>
      <c r="BU727" s="16"/>
      <c r="BV727" s="16"/>
      <c r="BW727" s="16"/>
      <c r="BX727" s="16"/>
      <c r="BY727" s="16"/>
      <c r="BZ727" s="16"/>
      <c r="CA727" s="16"/>
      <c r="CB727" s="16"/>
      <c r="CC727" s="16"/>
    </row>
    <row r="728" spans="1:81" ht="13.5" thickBot="1">
      <c r="A728" s="16"/>
      <c r="B728" s="16"/>
      <c r="C728" s="17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  <c r="AT728" s="16"/>
      <c r="AU728" s="16"/>
      <c r="AV728" s="16"/>
      <c r="AW728" s="16"/>
      <c r="AX728" s="16"/>
      <c r="AY728" s="16"/>
      <c r="AZ728" s="16"/>
      <c r="BA728" s="16"/>
      <c r="BB728" s="16"/>
      <c r="BC728" s="16"/>
      <c r="BD728" s="16"/>
      <c r="BE728" s="16"/>
      <c r="BF728" s="16"/>
      <c r="BG728" s="16"/>
      <c r="BH728" s="16"/>
      <c r="BI728" s="16"/>
      <c r="BJ728" s="16"/>
      <c r="BK728" s="16"/>
      <c r="BL728" s="16"/>
      <c r="BM728" s="16"/>
      <c r="BN728" s="16"/>
      <c r="BO728" s="16"/>
      <c r="BP728" s="16"/>
      <c r="BQ728" s="16"/>
      <c r="BR728" s="16"/>
      <c r="BS728" s="16"/>
      <c r="BT728" s="16"/>
      <c r="BU728" s="16"/>
      <c r="BV728" s="16"/>
      <c r="BW728" s="16"/>
      <c r="BX728" s="16"/>
      <c r="BY728" s="16"/>
      <c r="BZ728" s="16"/>
      <c r="CA728" s="16"/>
      <c r="CB728" s="16"/>
      <c r="CC728" s="16"/>
    </row>
    <row r="729" spans="1:81" ht="13.5" thickBot="1">
      <c r="A729" s="16"/>
      <c r="B729" s="16"/>
      <c r="C729" s="17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  <c r="AT729" s="16"/>
      <c r="AU729" s="16"/>
      <c r="AV729" s="16"/>
      <c r="AW729" s="16"/>
      <c r="AX729" s="16"/>
      <c r="AY729" s="16"/>
      <c r="AZ729" s="16"/>
      <c r="BA729" s="16"/>
      <c r="BB729" s="16"/>
      <c r="BC729" s="16"/>
      <c r="BD729" s="16"/>
      <c r="BE729" s="16"/>
      <c r="BF729" s="16"/>
      <c r="BG729" s="16"/>
      <c r="BH729" s="16"/>
      <c r="BI729" s="16"/>
      <c r="BJ729" s="16"/>
      <c r="BK729" s="16"/>
      <c r="BL729" s="16"/>
      <c r="BM729" s="16"/>
      <c r="BN729" s="16"/>
      <c r="BO729" s="16"/>
      <c r="BP729" s="16"/>
      <c r="BQ729" s="16"/>
      <c r="BR729" s="16"/>
      <c r="BS729" s="16"/>
      <c r="BT729" s="16"/>
      <c r="BU729" s="16"/>
      <c r="BV729" s="16"/>
      <c r="BW729" s="16"/>
      <c r="BX729" s="16"/>
      <c r="BY729" s="16"/>
      <c r="BZ729" s="16"/>
      <c r="CA729" s="16"/>
      <c r="CB729" s="16"/>
      <c r="CC729" s="16"/>
    </row>
    <row r="730" spans="1:81" ht="13.5" thickBot="1">
      <c r="A730" s="16"/>
      <c r="B730" s="16"/>
      <c r="C730" s="17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  <c r="AT730" s="16"/>
      <c r="AU730" s="16"/>
      <c r="AV730" s="16"/>
      <c r="AW730" s="16"/>
      <c r="AX730" s="16"/>
      <c r="AY730" s="16"/>
      <c r="AZ730" s="16"/>
      <c r="BA730" s="16"/>
      <c r="BB730" s="16"/>
      <c r="BC730" s="16"/>
      <c r="BD730" s="16"/>
      <c r="BE730" s="16"/>
      <c r="BF730" s="16"/>
      <c r="BG730" s="16"/>
      <c r="BH730" s="16"/>
      <c r="BI730" s="16"/>
      <c r="BJ730" s="16"/>
      <c r="BK730" s="16"/>
      <c r="BL730" s="16"/>
      <c r="BM730" s="16"/>
      <c r="BN730" s="16"/>
      <c r="BO730" s="16"/>
      <c r="BP730" s="16"/>
      <c r="BQ730" s="16"/>
      <c r="BR730" s="16"/>
      <c r="BS730" s="16"/>
      <c r="BT730" s="16"/>
      <c r="BU730" s="16"/>
      <c r="BV730" s="16"/>
      <c r="BW730" s="16"/>
      <c r="BX730" s="16"/>
      <c r="BY730" s="16"/>
      <c r="BZ730" s="16"/>
      <c r="CA730" s="16"/>
      <c r="CB730" s="16"/>
      <c r="CC730" s="16"/>
    </row>
    <row r="731" spans="1:81" ht="13.5" thickBot="1">
      <c r="A731" s="16"/>
      <c r="B731" s="16"/>
      <c r="C731" s="17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  <c r="AT731" s="16"/>
      <c r="AU731" s="16"/>
      <c r="AV731" s="16"/>
      <c r="AW731" s="16"/>
      <c r="AX731" s="16"/>
      <c r="AY731" s="16"/>
      <c r="AZ731" s="16"/>
      <c r="BA731" s="16"/>
      <c r="BB731" s="16"/>
      <c r="BC731" s="16"/>
      <c r="BD731" s="16"/>
      <c r="BE731" s="16"/>
      <c r="BF731" s="16"/>
      <c r="BG731" s="16"/>
      <c r="BH731" s="16"/>
      <c r="BI731" s="16"/>
      <c r="BJ731" s="16"/>
      <c r="BK731" s="16"/>
      <c r="BL731" s="16"/>
      <c r="BM731" s="16"/>
      <c r="BN731" s="16"/>
      <c r="BO731" s="16"/>
      <c r="BP731" s="16"/>
      <c r="BQ731" s="16"/>
      <c r="BR731" s="16"/>
      <c r="BS731" s="16"/>
      <c r="BT731" s="16"/>
      <c r="BU731" s="16"/>
      <c r="BV731" s="16"/>
      <c r="BW731" s="16"/>
      <c r="BX731" s="16"/>
      <c r="BY731" s="16"/>
      <c r="BZ731" s="16"/>
      <c r="CA731" s="16"/>
      <c r="CB731" s="16"/>
      <c r="CC731" s="16"/>
    </row>
    <row r="732" spans="1:81" ht="13.5" thickBot="1">
      <c r="A732" s="16"/>
      <c r="B732" s="16"/>
      <c r="C732" s="17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  <c r="AT732" s="16"/>
      <c r="AU732" s="16"/>
      <c r="AV732" s="16"/>
      <c r="AW732" s="16"/>
      <c r="AX732" s="16"/>
      <c r="AY732" s="16"/>
      <c r="AZ732" s="16"/>
      <c r="BA732" s="16"/>
      <c r="BB732" s="16"/>
      <c r="BC732" s="16"/>
      <c r="BD732" s="16"/>
      <c r="BE732" s="16"/>
      <c r="BF732" s="16"/>
      <c r="BG732" s="16"/>
      <c r="BH732" s="16"/>
      <c r="BI732" s="16"/>
      <c r="BJ732" s="16"/>
      <c r="BK732" s="16"/>
      <c r="BL732" s="16"/>
      <c r="BM732" s="16"/>
      <c r="BN732" s="16"/>
      <c r="BO732" s="16"/>
      <c r="BP732" s="16"/>
      <c r="BQ732" s="16"/>
      <c r="BR732" s="16"/>
      <c r="BS732" s="16"/>
      <c r="BT732" s="16"/>
      <c r="BU732" s="16"/>
      <c r="BV732" s="16"/>
      <c r="BW732" s="16"/>
      <c r="BX732" s="16"/>
      <c r="BY732" s="16"/>
      <c r="BZ732" s="16"/>
      <c r="CA732" s="16"/>
      <c r="CB732" s="16"/>
      <c r="CC732" s="16"/>
    </row>
    <row r="733" spans="1:81" ht="13.5" thickBot="1">
      <c r="A733" s="16"/>
      <c r="B733" s="16"/>
      <c r="C733" s="17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  <c r="AT733" s="16"/>
      <c r="AU733" s="16"/>
      <c r="AV733" s="16"/>
      <c r="AW733" s="16"/>
      <c r="AX733" s="16"/>
      <c r="AY733" s="16"/>
      <c r="AZ733" s="16"/>
      <c r="BA733" s="16"/>
      <c r="BB733" s="16"/>
      <c r="BC733" s="16"/>
      <c r="BD733" s="16"/>
      <c r="BE733" s="16"/>
      <c r="BF733" s="16"/>
      <c r="BG733" s="16"/>
      <c r="BH733" s="16"/>
      <c r="BI733" s="16"/>
      <c r="BJ733" s="16"/>
      <c r="BK733" s="16"/>
      <c r="BL733" s="16"/>
      <c r="BM733" s="16"/>
      <c r="BN733" s="16"/>
      <c r="BO733" s="16"/>
      <c r="BP733" s="16"/>
      <c r="BQ733" s="16"/>
      <c r="BR733" s="16"/>
      <c r="BS733" s="16"/>
      <c r="BT733" s="16"/>
      <c r="BU733" s="16"/>
      <c r="BV733" s="16"/>
      <c r="BW733" s="16"/>
      <c r="BX733" s="16"/>
      <c r="BY733" s="16"/>
      <c r="BZ733" s="16"/>
      <c r="CA733" s="16"/>
      <c r="CB733" s="16"/>
      <c r="CC733" s="16"/>
    </row>
    <row r="734" spans="1:81" ht="13.5" thickBot="1">
      <c r="A734" s="16"/>
      <c r="B734" s="16"/>
      <c r="C734" s="17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  <c r="AT734" s="16"/>
      <c r="AU734" s="16"/>
      <c r="AV734" s="16"/>
      <c r="AW734" s="16"/>
      <c r="AX734" s="16"/>
      <c r="AY734" s="16"/>
      <c r="AZ734" s="16"/>
      <c r="BA734" s="16"/>
      <c r="BB734" s="16"/>
      <c r="BC734" s="16"/>
      <c r="BD734" s="16"/>
      <c r="BE734" s="16"/>
      <c r="BF734" s="16"/>
      <c r="BG734" s="16"/>
      <c r="BH734" s="16"/>
      <c r="BI734" s="16"/>
      <c r="BJ734" s="16"/>
      <c r="BK734" s="16"/>
      <c r="BL734" s="16"/>
      <c r="BM734" s="16"/>
      <c r="BN734" s="16"/>
      <c r="BO734" s="16"/>
      <c r="BP734" s="16"/>
      <c r="BQ734" s="16"/>
      <c r="BR734" s="16"/>
      <c r="BS734" s="16"/>
      <c r="BT734" s="16"/>
      <c r="BU734" s="16"/>
      <c r="BV734" s="16"/>
      <c r="BW734" s="16"/>
      <c r="BX734" s="16"/>
      <c r="BY734" s="16"/>
      <c r="BZ734" s="16"/>
      <c r="CA734" s="16"/>
      <c r="CB734" s="16"/>
      <c r="CC734" s="16"/>
    </row>
    <row r="735" spans="1:81" ht="13.5" thickBot="1">
      <c r="A735" s="16"/>
      <c r="B735" s="16"/>
      <c r="C735" s="17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  <c r="AT735" s="16"/>
      <c r="AU735" s="16"/>
      <c r="AV735" s="16"/>
      <c r="AW735" s="16"/>
      <c r="AX735" s="16"/>
      <c r="AY735" s="16"/>
      <c r="AZ735" s="16"/>
      <c r="BA735" s="16"/>
      <c r="BB735" s="16"/>
      <c r="BC735" s="16"/>
      <c r="BD735" s="16"/>
      <c r="BE735" s="16"/>
      <c r="BF735" s="16"/>
      <c r="BG735" s="16"/>
      <c r="BH735" s="16"/>
      <c r="BI735" s="16"/>
      <c r="BJ735" s="16"/>
      <c r="BK735" s="16"/>
      <c r="BL735" s="16"/>
      <c r="BM735" s="16"/>
      <c r="BN735" s="16"/>
      <c r="BO735" s="16"/>
      <c r="BP735" s="16"/>
      <c r="BQ735" s="16"/>
      <c r="BR735" s="16"/>
      <c r="BS735" s="16"/>
      <c r="BT735" s="16"/>
      <c r="BU735" s="16"/>
      <c r="BV735" s="16"/>
      <c r="BW735" s="16"/>
      <c r="BX735" s="16"/>
      <c r="BY735" s="16"/>
      <c r="BZ735" s="16"/>
      <c r="CA735" s="16"/>
      <c r="CB735" s="16"/>
      <c r="CC735" s="16"/>
    </row>
    <row r="736" spans="1:81" ht="13.5" thickBot="1">
      <c r="A736" s="16"/>
      <c r="B736" s="16"/>
      <c r="C736" s="17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  <c r="AT736" s="16"/>
      <c r="AU736" s="16"/>
      <c r="AV736" s="16"/>
      <c r="AW736" s="16"/>
      <c r="AX736" s="16"/>
      <c r="AY736" s="16"/>
      <c r="AZ736" s="16"/>
      <c r="BA736" s="16"/>
      <c r="BB736" s="16"/>
      <c r="BC736" s="16"/>
      <c r="BD736" s="16"/>
      <c r="BE736" s="16"/>
      <c r="BF736" s="16"/>
      <c r="BG736" s="16"/>
      <c r="BH736" s="16"/>
      <c r="BI736" s="16"/>
      <c r="BJ736" s="16"/>
      <c r="BK736" s="16"/>
      <c r="BL736" s="16"/>
      <c r="BM736" s="16"/>
      <c r="BN736" s="16"/>
      <c r="BO736" s="16"/>
      <c r="BP736" s="16"/>
      <c r="BQ736" s="16"/>
      <c r="BR736" s="16"/>
      <c r="BS736" s="16"/>
      <c r="BT736" s="16"/>
      <c r="BU736" s="16"/>
      <c r="BV736" s="16"/>
      <c r="BW736" s="16"/>
      <c r="BX736" s="16"/>
      <c r="BY736" s="16"/>
      <c r="BZ736" s="16"/>
      <c r="CA736" s="16"/>
      <c r="CB736" s="16"/>
      <c r="CC736" s="16"/>
    </row>
    <row r="737" spans="1:81" ht="13.5" thickBot="1">
      <c r="A737" s="16"/>
      <c r="B737" s="16"/>
      <c r="C737" s="17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  <c r="AT737" s="16"/>
      <c r="AU737" s="16"/>
      <c r="AV737" s="16"/>
      <c r="AW737" s="16"/>
      <c r="AX737" s="16"/>
      <c r="AY737" s="16"/>
      <c r="AZ737" s="16"/>
      <c r="BA737" s="16"/>
      <c r="BB737" s="16"/>
      <c r="BC737" s="16"/>
      <c r="BD737" s="16"/>
      <c r="BE737" s="16"/>
      <c r="BF737" s="16"/>
      <c r="BG737" s="16"/>
      <c r="BH737" s="16"/>
      <c r="BI737" s="16"/>
      <c r="BJ737" s="16"/>
      <c r="BK737" s="16"/>
      <c r="BL737" s="16"/>
      <c r="BM737" s="16"/>
      <c r="BN737" s="16"/>
      <c r="BO737" s="16"/>
      <c r="BP737" s="16"/>
      <c r="BQ737" s="16"/>
      <c r="BR737" s="16"/>
      <c r="BS737" s="16"/>
      <c r="BT737" s="16"/>
      <c r="BU737" s="16"/>
      <c r="BV737" s="16"/>
      <c r="BW737" s="16"/>
      <c r="BX737" s="16"/>
      <c r="BY737" s="16"/>
      <c r="BZ737" s="16"/>
      <c r="CA737" s="16"/>
      <c r="CB737" s="16"/>
      <c r="CC737" s="16"/>
    </row>
    <row r="738" spans="1:81" ht="13.5" thickBot="1">
      <c r="A738" s="16"/>
      <c r="B738" s="16"/>
      <c r="C738" s="17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  <c r="AT738" s="16"/>
      <c r="AU738" s="16"/>
      <c r="AV738" s="16"/>
      <c r="AW738" s="16"/>
      <c r="AX738" s="16"/>
      <c r="AY738" s="16"/>
      <c r="AZ738" s="16"/>
      <c r="BA738" s="16"/>
      <c r="BB738" s="16"/>
      <c r="BC738" s="16"/>
      <c r="BD738" s="16"/>
      <c r="BE738" s="16"/>
      <c r="BF738" s="16"/>
      <c r="BG738" s="16"/>
      <c r="BH738" s="16"/>
      <c r="BI738" s="16"/>
      <c r="BJ738" s="16"/>
      <c r="BK738" s="16"/>
      <c r="BL738" s="16"/>
      <c r="BM738" s="16"/>
      <c r="BN738" s="16"/>
      <c r="BO738" s="16"/>
      <c r="BP738" s="16"/>
      <c r="BQ738" s="16"/>
      <c r="BR738" s="16"/>
      <c r="BS738" s="16"/>
      <c r="BT738" s="16"/>
      <c r="BU738" s="16"/>
      <c r="BV738" s="16"/>
      <c r="BW738" s="16"/>
      <c r="BX738" s="16"/>
      <c r="BY738" s="16"/>
      <c r="BZ738" s="16"/>
      <c r="CA738" s="16"/>
      <c r="CB738" s="16"/>
      <c r="CC738" s="16"/>
    </row>
    <row r="739" spans="1:81" ht="13.5" thickBot="1">
      <c r="A739" s="16"/>
      <c r="B739" s="16"/>
      <c r="C739" s="17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  <c r="AT739" s="16"/>
      <c r="AU739" s="16"/>
      <c r="AV739" s="16"/>
      <c r="AW739" s="16"/>
      <c r="AX739" s="16"/>
      <c r="AY739" s="16"/>
      <c r="AZ739" s="16"/>
      <c r="BA739" s="16"/>
      <c r="BB739" s="16"/>
      <c r="BC739" s="16"/>
      <c r="BD739" s="16"/>
      <c r="BE739" s="16"/>
      <c r="BF739" s="16"/>
      <c r="BG739" s="16"/>
      <c r="BH739" s="16"/>
      <c r="BI739" s="16"/>
      <c r="BJ739" s="16"/>
      <c r="BK739" s="16"/>
      <c r="BL739" s="16"/>
      <c r="BM739" s="16"/>
      <c r="BN739" s="16"/>
      <c r="BO739" s="16"/>
      <c r="BP739" s="16"/>
      <c r="BQ739" s="16"/>
      <c r="BR739" s="16"/>
      <c r="BS739" s="16"/>
      <c r="BT739" s="16"/>
      <c r="BU739" s="16"/>
      <c r="BV739" s="16"/>
      <c r="BW739" s="16"/>
      <c r="BX739" s="16"/>
      <c r="BY739" s="16"/>
      <c r="BZ739" s="16"/>
      <c r="CA739" s="16"/>
      <c r="CB739" s="16"/>
      <c r="CC739" s="16"/>
    </row>
    <row r="740" spans="1:81" ht="13.5" thickBot="1">
      <c r="A740" s="16"/>
      <c r="B740" s="16"/>
      <c r="C740" s="17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  <c r="AT740" s="16"/>
      <c r="AU740" s="16"/>
      <c r="AV740" s="16"/>
      <c r="AW740" s="16"/>
      <c r="AX740" s="16"/>
      <c r="AY740" s="16"/>
      <c r="AZ740" s="16"/>
      <c r="BA740" s="16"/>
      <c r="BB740" s="16"/>
      <c r="BC740" s="16"/>
      <c r="BD740" s="16"/>
      <c r="BE740" s="16"/>
      <c r="BF740" s="16"/>
      <c r="BG740" s="16"/>
      <c r="BH740" s="16"/>
      <c r="BI740" s="16"/>
      <c r="BJ740" s="16"/>
      <c r="BK740" s="16"/>
      <c r="BL740" s="16"/>
      <c r="BM740" s="16"/>
      <c r="BN740" s="16"/>
      <c r="BO740" s="16"/>
      <c r="BP740" s="16"/>
      <c r="BQ740" s="16"/>
      <c r="BR740" s="16"/>
      <c r="BS740" s="16"/>
      <c r="BT740" s="16"/>
      <c r="BU740" s="16"/>
      <c r="BV740" s="16"/>
      <c r="BW740" s="16"/>
      <c r="BX740" s="16"/>
      <c r="BY740" s="16"/>
      <c r="BZ740" s="16"/>
      <c r="CA740" s="16"/>
      <c r="CB740" s="16"/>
      <c r="CC740" s="16"/>
    </row>
    <row r="741" spans="1:81" ht="13.5" thickBot="1">
      <c r="A741" s="16"/>
      <c r="B741" s="16"/>
      <c r="C741" s="17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  <c r="AT741" s="16"/>
      <c r="AU741" s="16"/>
      <c r="AV741" s="16"/>
      <c r="AW741" s="16"/>
      <c r="AX741" s="16"/>
      <c r="AY741" s="16"/>
      <c r="AZ741" s="16"/>
      <c r="BA741" s="16"/>
      <c r="BB741" s="16"/>
      <c r="BC741" s="16"/>
      <c r="BD741" s="16"/>
      <c r="BE741" s="16"/>
      <c r="BF741" s="16"/>
      <c r="BG741" s="16"/>
      <c r="BH741" s="16"/>
      <c r="BI741" s="16"/>
      <c r="BJ741" s="16"/>
      <c r="BK741" s="16"/>
      <c r="BL741" s="16"/>
      <c r="BM741" s="16"/>
      <c r="BN741" s="16"/>
      <c r="BO741" s="16"/>
      <c r="BP741" s="16"/>
      <c r="BQ741" s="16"/>
      <c r="BR741" s="16"/>
      <c r="BS741" s="16"/>
      <c r="BT741" s="16"/>
      <c r="BU741" s="16"/>
      <c r="BV741" s="16"/>
      <c r="BW741" s="16"/>
      <c r="BX741" s="16"/>
      <c r="BY741" s="16"/>
      <c r="BZ741" s="16"/>
      <c r="CA741" s="16"/>
      <c r="CB741" s="16"/>
      <c r="CC741" s="16"/>
    </row>
    <row r="742" spans="1:81" ht="13.5" thickBot="1">
      <c r="A742" s="16"/>
      <c r="B742" s="16"/>
      <c r="C742" s="17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  <c r="AT742" s="16"/>
      <c r="AU742" s="16"/>
      <c r="AV742" s="16"/>
      <c r="AW742" s="16"/>
      <c r="AX742" s="16"/>
      <c r="AY742" s="16"/>
      <c r="AZ742" s="16"/>
      <c r="BA742" s="16"/>
      <c r="BB742" s="16"/>
      <c r="BC742" s="16"/>
      <c r="BD742" s="16"/>
      <c r="BE742" s="16"/>
      <c r="BF742" s="16"/>
      <c r="BG742" s="16"/>
      <c r="BH742" s="16"/>
      <c r="BI742" s="16"/>
      <c r="BJ742" s="16"/>
      <c r="BK742" s="16"/>
      <c r="BL742" s="16"/>
      <c r="BM742" s="16"/>
      <c r="BN742" s="16"/>
      <c r="BO742" s="16"/>
      <c r="BP742" s="16"/>
      <c r="BQ742" s="16"/>
      <c r="BR742" s="16"/>
      <c r="BS742" s="16"/>
      <c r="BT742" s="16"/>
      <c r="BU742" s="16"/>
      <c r="BV742" s="16"/>
      <c r="BW742" s="16"/>
      <c r="BX742" s="16"/>
      <c r="BY742" s="16"/>
      <c r="BZ742" s="16"/>
      <c r="CA742" s="16"/>
      <c r="CB742" s="16"/>
      <c r="CC742" s="16"/>
    </row>
    <row r="743" spans="1:81" ht="13.5" thickBot="1">
      <c r="A743" s="16"/>
      <c r="B743" s="16"/>
      <c r="C743" s="17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  <c r="AT743" s="16"/>
      <c r="AU743" s="16"/>
      <c r="AV743" s="16"/>
      <c r="AW743" s="16"/>
      <c r="AX743" s="16"/>
      <c r="AY743" s="16"/>
      <c r="AZ743" s="16"/>
      <c r="BA743" s="16"/>
      <c r="BB743" s="16"/>
      <c r="BC743" s="16"/>
      <c r="BD743" s="16"/>
      <c r="BE743" s="16"/>
      <c r="BF743" s="16"/>
      <c r="BG743" s="16"/>
      <c r="BH743" s="16"/>
      <c r="BI743" s="16"/>
      <c r="BJ743" s="16"/>
      <c r="BK743" s="16"/>
      <c r="BL743" s="16"/>
      <c r="BM743" s="16"/>
      <c r="BN743" s="16"/>
      <c r="BO743" s="16"/>
      <c r="BP743" s="16"/>
      <c r="BQ743" s="16"/>
      <c r="BR743" s="16"/>
      <c r="BS743" s="16"/>
      <c r="BT743" s="16"/>
      <c r="BU743" s="16"/>
      <c r="BV743" s="16"/>
      <c r="BW743" s="16"/>
      <c r="BX743" s="16"/>
      <c r="BY743" s="16"/>
      <c r="BZ743" s="16"/>
      <c r="CA743" s="16"/>
      <c r="CB743" s="16"/>
      <c r="CC743" s="16"/>
    </row>
    <row r="744" spans="1:81" ht="13.5" thickBot="1">
      <c r="A744" s="16"/>
      <c r="B744" s="16"/>
      <c r="C744" s="17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  <c r="AT744" s="16"/>
      <c r="AU744" s="16"/>
      <c r="AV744" s="16"/>
      <c r="AW744" s="16"/>
      <c r="AX744" s="16"/>
      <c r="AY744" s="16"/>
      <c r="AZ744" s="16"/>
      <c r="BA744" s="16"/>
      <c r="BB744" s="16"/>
      <c r="BC744" s="16"/>
      <c r="BD744" s="16"/>
      <c r="BE744" s="16"/>
      <c r="BF744" s="16"/>
      <c r="BG744" s="16"/>
      <c r="BH744" s="16"/>
      <c r="BI744" s="16"/>
      <c r="BJ744" s="16"/>
      <c r="BK744" s="16"/>
      <c r="BL744" s="16"/>
      <c r="BM744" s="16"/>
      <c r="BN744" s="16"/>
      <c r="BO744" s="16"/>
      <c r="BP744" s="16"/>
      <c r="BQ744" s="16"/>
      <c r="BR744" s="16"/>
      <c r="BS744" s="16"/>
      <c r="BT744" s="16"/>
      <c r="BU744" s="16"/>
      <c r="BV744" s="16"/>
      <c r="BW744" s="16"/>
      <c r="BX744" s="16"/>
      <c r="BY744" s="16"/>
      <c r="BZ744" s="16"/>
      <c r="CA744" s="16"/>
      <c r="CB744" s="16"/>
      <c r="CC744" s="16"/>
    </row>
    <row r="745" spans="1:81" ht="13.5" thickBot="1">
      <c r="A745" s="16"/>
      <c r="B745" s="16"/>
      <c r="C745" s="17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  <c r="AT745" s="16"/>
      <c r="AU745" s="16"/>
      <c r="AV745" s="16"/>
      <c r="AW745" s="16"/>
      <c r="AX745" s="16"/>
      <c r="AY745" s="16"/>
      <c r="AZ745" s="16"/>
      <c r="BA745" s="16"/>
      <c r="BB745" s="16"/>
      <c r="BC745" s="16"/>
      <c r="BD745" s="16"/>
      <c r="BE745" s="16"/>
      <c r="BF745" s="16"/>
      <c r="BG745" s="16"/>
      <c r="BH745" s="16"/>
      <c r="BI745" s="16"/>
      <c r="BJ745" s="16"/>
      <c r="BK745" s="16"/>
      <c r="BL745" s="16"/>
      <c r="BM745" s="16"/>
      <c r="BN745" s="16"/>
      <c r="BO745" s="16"/>
      <c r="BP745" s="16"/>
      <c r="BQ745" s="16"/>
      <c r="BR745" s="16"/>
      <c r="BS745" s="16"/>
      <c r="BT745" s="16"/>
      <c r="BU745" s="16"/>
      <c r="BV745" s="16"/>
      <c r="BW745" s="16"/>
      <c r="BX745" s="16"/>
      <c r="BY745" s="16"/>
      <c r="BZ745" s="16"/>
      <c r="CA745" s="16"/>
      <c r="CB745" s="16"/>
      <c r="CC745" s="16"/>
    </row>
    <row r="746" spans="1:81" ht="13.5" thickBot="1">
      <c r="A746" s="16"/>
      <c r="B746" s="16"/>
      <c r="C746" s="17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  <c r="AT746" s="16"/>
      <c r="AU746" s="16"/>
      <c r="AV746" s="16"/>
      <c r="AW746" s="16"/>
      <c r="AX746" s="16"/>
      <c r="AY746" s="16"/>
      <c r="AZ746" s="16"/>
      <c r="BA746" s="16"/>
      <c r="BB746" s="16"/>
      <c r="BC746" s="16"/>
      <c r="BD746" s="16"/>
      <c r="BE746" s="16"/>
      <c r="BF746" s="16"/>
      <c r="BG746" s="16"/>
      <c r="BH746" s="16"/>
      <c r="BI746" s="16"/>
      <c r="BJ746" s="16"/>
      <c r="BK746" s="16"/>
      <c r="BL746" s="16"/>
      <c r="BM746" s="16"/>
      <c r="BN746" s="16"/>
      <c r="BO746" s="16"/>
      <c r="BP746" s="16"/>
      <c r="BQ746" s="16"/>
      <c r="BR746" s="16"/>
      <c r="BS746" s="16"/>
      <c r="BT746" s="16"/>
      <c r="BU746" s="16"/>
      <c r="BV746" s="16"/>
      <c r="BW746" s="16"/>
      <c r="BX746" s="16"/>
      <c r="BY746" s="16"/>
      <c r="BZ746" s="16"/>
      <c r="CA746" s="16"/>
      <c r="CB746" s="16"/>
      <c r="CC746" s="16"/>
    </row>
    <row r="747" spans="1:81" ht="13.5" thickBot="1">
      <c r="A747" s="16"/>
      <c r="B747" s="16"/>
      <c r="C747" s="17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  <c r="AT747" s="16"/>
      <c r="AU747" s="16"/>
      <c r="AV747" s="16"/>
      <c r="AW747" s="16"/>
      <c r="AX747" s="16"/>
      <c r="AY747" s="16"/>
      <c r="AZ747" s="16"/>
      <c r="BA747" s="16"/>
      <c r="BB747" s="16"/>
      <c r="BC747" s="16"/>
      <c r="BD747" s="16"/>
      <c r="BE747" s="16"/>
      <c r="BF747" s="16"/>
      <c r="BG747" s="16"/>
      <c r="BH747" s="16"/>
      <c r="BI747" s="16"/>
      <c r="BJ747" s="16"/>
      <c r="BK747" s="16"/>
      <c r="BL747" s="16"/>
      <c r="BM747" s="16"/>
      <c r="BN747" s="16"/>
      <c r="BO747" s="16"/>
      <c r="BP747" s="16"/>
      <c r="BQ747" s="16"/>
      <c r="BR747" s="16"/>
      <c r="BS747" s="16"/>
      <c r="BT747" s="16"/>
      <c r="BU747" s="16"/>
      <c r="BV747" s="16"/>
      <c r="BW747" s="16"/>
      <c r="BX747" s="16"/>
      <c r="BY747" s="16"/>
      <c r="BZ747" s="16"/>
      <c r="CA747" s="16"/>
      <c r="CB747" s="16"/>
      <c r="CC747" s="16"/>
    </row>
    <row r="748" spans="1:81" ht="13.5" thickBot="1">
      <c r="A748" s="16"/>
      <c r="B748" s="16"/>
      <c r="C748" s="17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  <c r="AT748" s="16"/>
      <c r="AU748" s="16"/>
      <c r="AV748" s="16"/>
      <c r="AW748" s="16"/>
      <c r="AX748" s="16"/>
      <c r="AY748" s="16"/>
      <c r="AZ748" s="16"/>
      <c r="BA748" s="16"/>
      <c r="BB748" s="16"/>
      <c r="BC748" s="16"/>
      <c r="BD748" s="16"/>
      <c r="BE748" s="16"/>
      <c r="BF748" s="16"/>
      <c r="BG748" s="16"/>
      <c r="BH748" s="16"/>
      <c r="BI748" s="16"/>
      <c r="BJ748" s="16"/>
      <c r="BK748" s="16"/>
      <c r="BL748" s="16"/>
      <c r="BM748" s="16"/>
      <c r="BN748" s="16"/>
      <c r="BO748" s="16"/>
      <c r="BP748" s="16"/>
      <c r="BQ748" s="16"/>
      <c r="BR748" s="16"/>
      <c r="BS748" s="16"/>
      <c r="BT748" s="16"/>
      <c r="BU748" s="16"/>
      <c r="BV748" s="16"/>
      <c r="BW748" s="16"/>
      <c r="BX748" s="16"/>
      <c r="BY748" s="16"/>
      <c r="BZ748" s="16"/>
      <c r="CA748" s="16"/>
      <c r="CB748" s="16"/>
      <c r="CC748" s="16"/>
    </row>
    <row r="749" spans="1:81" ht="13.5" thickBot="1">
      <c r="A749" s="16"/>
      <c r="B749" s="16"/>
      <c r="C749" s="17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  <c r="AT749" s="16"/>
      <c r="AU749" s="16"/>
      <c r="AV749" s="16"/>
      <c r="AW749" s="16"/>
      <c r="AX749" s="16"/>
      <c r="AY749" s="16"/>
      <c r="AZ749" s="16"/>
      <c r="BA749" s="16"/>
      <c r="BB749" s="16"/>
      <c r="BC749" s="16"/>
      <c r="BD749" s="16"/>
      <c r="BE749" s="16"/>
      <c r="BF749" s="16"/>
      <c r="BG749" s="16"/>
      <c r="BH749" s="16"/>
      <c r="BI749" s="16"/>
      <c r="BJ749" s="16"/>
      <c r="BK749" s="16"/>
      <c r="BL749" s="16"/>
      <c r="BM749" s="16"/>
      <c r="BN749" s="16"/>
      <c r="BO749" s="16"/>
      <c r="BP749" s="16"/>
      <c r="BQ749" s="16"/>
      <c r="BR749" s="16"/>
      <c r="BS749" s="16"/>
      <c r="BT749" s="16"/>
      <c r="BU749" s="16"/>
      <c r="BV749" s="16"/>
      <c r="BW749" s="16"/>
      <c r="BX749" s="16"/>
      <c r="BY749" s="16"/>
      <c r="BZ749" s="16"/>
      <c r="CA749" s="16"/>
      <c r="CB749" s="16"/>
      <c r="CC749" s="16"/>
    </row>
    <row r="750" spans="1:81" ht="13.5" thickBot="1">
      <c r="A750" s="16"/>
      <c r="B750" s="16"/>
      <c r="C750" s="17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  <c r="AT750" s="16"/>
      <c r="AU750" s="16"/>
      <c r="AV750" s="16"/>
      <c r="AW750" s="16"/>
      <c r="AX750" s="16"/>
      <c r="AY750" s="16"/>
      <c r="AZ750" s="16"/>
      <c r="BA750" s="16"/>
      <c r="BB750" s="16"/>
      <c r="BC750" s="16"/>
      <c r="BD750" s="16"/>
      <c r="BE750" s="16"/>
      <c r="BF750" s="16"/>
      <c r="BG750" s="16"/>
      <c r="BH750" s="16"/>
      <c r="BI750" s="16"/>
      <c r="BJ750" s="16"/>
      <c r="BK750" s="16"/>
      <c r="BL750" s="16"/>
      <c r="BM750" s="16"/>
      <c r="BN750" s="16"/>
      <c r="BO750" s="16"/>
      <c r="BP750" s="16"/>
      <c r="BQ750" s="16"/>
      <c r="BR750" s="16"/>
      <c r="BS750" s="16"/>
      <c r="BT750" s="16"/>
      <c r="BU750" s="16"/>
      <c r="BV750" s="16"/>
      <c r="BW750" s="16"/>
      <c r="BX750" s="16"/>
      <c r="BY750" s="16"/>
      <c r="BZ750" s="16"/>
      <c r="CA750" s="16"/>
      <c r="CB750" s="16"/>
      <c r="CC750" s="16"/>
    </row>
    <row r="751" spans="1:81" ht="13.5" thickBot="1">
      <c r="A751" s="16"/>
      <c r="B751" s="16"/>
      <c r="C751" s="17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  <c r="AT751" s="16"/>
      <c r="AU751" s="16"/>
      <c r="AV751" s="16"/>
      <c r="AW751" s="16"/>
      <c r="AX751" s="16"/>
      <c r="AY751" s="16"/>
      <c r="AZ751" s="16"/>
      <c r="BA751" s="16"/>
      <c r="BB751" s="16"/>
      <c r="BC751" s="16"/>
      <c r="BD751" s="16"/>
      <c r="BE751" s="16"/>
      <c r="BF751" s="16"/>
      <c r="BG751" s="16"/>
      <c r="BH751" s="16"/>
      <c r="BI751" s="16"/>
      <c r="BJ751" s="16"/>
      <c r="BK751" s="16"/>
      <c r="BL751" s="16"/>
      <c r="BM751" s="16"/>
      <c r="BN751" s="16"/>
      <c r="BO751" s="16"/>
      <c r="BP751" s="16"/>
      <c r="BQ751" s="16"/>
      <c r="BR751" s="16"/>
      <c r="BS751" s="16"/>
      <c r="BT751" s="16"/>
      <c r="BU751" s="16"/>
      <c r="BV751" s="16"/>
      <c r="BW751" s="16"/>
      <c r="BX751" s="16"/>
      <c r="BY751" s="16"/>
      <c r="BZ751" s="16"/>
      <c r="CA751" s="16"/>
      <c r="CB751" s="16"/>
      <c r="CC751" s="16"/>
    </row>
    <row r="752" spans="1:81" ht="13.5" thickBot="1">
      <c r="A752" s="16"/>
      <c r="B752" s="16"/>
      <c r="C752" s="17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  <c r="AT752" s="16"/>
      <c r="AU752" s="16"/>
      <c r="AV752" s="16"/>
      <c r="AW752" s="16"/>
      <c r="AX752" s="16"/>
      <c r="AY752" s="16"/>
      <c r="AZ752" s="16"/>
      <c r="BA752" s="16"/>
      <c r="BB752" s="16"/>
      <c r="BC752" s="16"/>
      <c r="BD752" s="16"/>
      <c r="BE752" s="16"/>
      <c r="BF752" s="16"/>
      <c r="BG752" s="16"/>
      <c r="BH752" s="16"/>
      <c r="BI752" s="16"/>
      <c r="BJ752" s="16"/>
      <c r="BK752" s="16"/>
      <c r="BL752" s="16"/>
      <c r="BM752" s="16"/>
      <c r="BN752" s="16"/>
      <c r="BO752" s="16"/>
      <c r="BP752" s="16"/>
      <c r="BQ752" s="16"/>
      <c r="BR752" s="16"/>
      <c r="BS752" s="16"/>
      <c r="BT752" s="16"/>
      <c r="BU752" s="16"/>
      <c r="BV752" s="16"/>
      <c r="BW752" s="16"/>
      <c r="BX752" s="16"/>
      <c r="BY752" s="16"/>
      <c r="BZ752" s="16"/>
      <c r="CA752" s="16"/>
      <c r="CB752" s="16"/>
      <c r="CC752" s="16"/>
    </row>
    <row r="753" spans="1:81" ht="13.5" thickBot="1">
      <c r="A753" s="16"/>
      <c r="B753" s="16"/>
      <c r="C753" s="17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  <c r="AT753" s="16"/>
      <c r="AU753" s="16"/>
      <c r="AV753" s="16"/>
      <c r="AW753" s="16"/>
      <c r="AX753" s="16"/>
      <c r="AY753" s="16"/>
      <c r="AZ753" s="16"/>
      <c r="BA753" s="16"/>
      <c r="BB753" s="16"/>
      <c r="BC753" s="16"/>
      <c r="BD753" s="16"/>
      <c r="BE753" s="16"/>
      <c r="BF753" s="16"/>
      <c r="BG753" s="16"/>
      <c r="BH753" s="16"/>
      <c r="BI753" s="16"/>
      <c r="BJ753" s="16"/>
      <c r="BK753" s="16"/>
      <c r="BL753" s="16"/>
      <c r="BM753" s="16"/>
      <c r="BN753" s="16"/>
      <c r="BO753" s="16"/>
      <c r="BP753" s="16"/>
      <c r="BQ753" s="16"/>
      <c r="BR753" s="16"/>
      <c r="BS753" s="16"/>
      <c r="BT753" s="16"/>
      <c r="BU753" s="16"/>
      <c r="BV753" s="16"/>
      <c r="BW753" s="16"/>
      <c r="BX753" s="16"/>
      <c r="BY753" s="16"/>
      <c r="BZ753" s="16"/>
      <c r="CA753" s="16"/>
      <c r="CB753" s="16"/>
      <c r="CC753" s="16"/>
    </row>
    <row r="754" spans="1:81" ht="13.5" thickBot="1">
      <c r="A754" s="16"/>
      <c r="B754" s="16"/>
      <c r="C754" s="17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  <c r="AT754" s="16"/>
      <c r="AU754" s="16"/>
      <c r="AV754" s="16"/>
      <c r="AW754" s="16"/>
      <c r="AX754" s="16"/>
      <c r="AY754" s="16"/>
      <c r="AZ754" s="16"/>
      <c r="BA754" s="16"/>
      <c r="BB754" s="16"/>
      <c r="BC754" s="16"/>
      <c r="BD754" s="16"/>
      <c r="BE754" s="16"/>
      <c r="BF754" s="16"/>
      <c r="BG754" s="16"/>
      <c r="BH754" s="16"/>
      <c r="BI754" s="16"/>
      <c r="BJ754" s="16"/>
      <c r="BK754" s="16"/>
      <c r="BL754" s="16"/>
      <c r="BM754" s="16"/>
      <c r="BN754" s="16"/>
      <c r="BO754" s="16"/>
      <c r="BP754" s="16"/>
      <c r="BQ754" s="16"/>
      <c r="BR754" s="16"/>
      <c r="BS754" s="16"/>
      <c r="BT754" s="16"/>
      <c r="BU754" s="16"/>
      <c r="BV754" s="16"/>
      <c r="BW754" s="16"/>
      <c r="BX754" s="16"/>
      <c r="BY754" s="16"/>
      <c r="BZ754" s="16"/>
      <c r="CA754" s="16"/>
      <c r="CB754" s="16"/>
      <c r="CC754" s="16"/>
    </row>
    <row r="755" spans="1:81" ht="13.5" thickBot="1">
      <c r="A755" s="16"/>
      <c r="B755" s="16"/>
      <c r="C755" s="17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  <c r="AT755" s="16"/>
      <c r="AU755" s="16"/>
      <c r="AV755" s="16"/>
      <c r="AW755" s="16"/>
      <c r="AX755" s="16"/>
      <c r="AY755" s="16"/>
      <c r="AZ755" s="16"/>
      <c r="BA755" s="16"/>
      <c r="BB755" s="16"/>
      <c r="BC755" s="16"/>
      <c r="BD755" s="16"/>
      <c r="BE755" s="16"/>
      <c r="BF755" s="16"/>
      <c r="BG755" s="16"/>
      <c r="BH755" s="16"/>
      <c r="BI755" s="16"/>
      <c r="BJ755" s="16"/>
      <c r="BK755" s="16"/>
      <c r="BL755" s="16"/>
      <c r="BM755" s="16"/>
      <c r="BN755" s="16"/>
      <c r="BO755" s="16"/>
      <c r="BP755" s="16"/>
      <c r="BQ755" s="16"/>
      <c r="BR755" s="16"/>
      <c r="BS755" s="16"/>
      <c r="BT755" s="16"/>
      <c r="BU755" s="16"/>
      <c r="BV755" s="16"/>
      <c r="BW755" s="16"/>
      <c r="BX755" s="16"/>
      <c r="BY755" s="16"/>
      <c r="BZ755" s="16"/>
      <c r="CA755" s="16"/>
      <c r="CB755" s="16"/>
      <c r="CC755" s="16"/>
    </row>
    <row r="756" spans="1:81" ht="13.5" thickBot="1">
      <c r="A756" s="16"/>
      <c r="B756" s="16"/>
      <c r="C756" s="17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  <c r="AT756" s="16"/>
      <c r="AU756" s="16"/>
      <c r="AV756" s="16"/>
      <c r="AW756" s="16"/>
      <c r="AX756" s="16"/>
      <c r="AY756" s="16"/>
      <c r="AZ756" s="16"/>
      <c r="BA756" s="16"/>
      <c r="BB756" s="16"/>
      <c r="BC756" s="16"/>
      <c r="BD756" s="16"/>
      <c r="BE756" s="16"/>
      <c r="BF756" s="16"/>
      <c r="BG756" s="16"/>
      <c r="BH756" s="16"/>
      <c r="BI756" s="16"/>
      <c r="BJ756" s="16"/>
      <c r="BK756" s="16"/>
      <c r="BL756" s="16"/>
      <c r="BM756" s="16"/>
      <c r="BN756" s="16"/>
      <c r="BO756" s="16"/>
      <c r="BP756" s="16"/>
      <c r="BQ756" s="16"/>
      <c r="BR756" s="16"/>
      <c r="BS756" s="16"/>
      <c r="BT756" s="16"/>
      <c r="BU756" s="16"/>
      <c r="BV756" s="16"/>
      <c r="BW756" s="16"/>
      <c r="BX756" s="16"/>
      <c r="BY756" s="16"/>
      <c r="BZ756" s="16"/>
      <c r="CA756" s="16"/>
      <c r="CB756" s="16"/>
      <c r="CC756" s="16"/>
    </row>
    <row r="757" spans="1:81" ht="13.5" thickBot="1">
      <c r="A757" s="16"/>
      <c r="B757" s="16"/>
      <c r="C757" s="17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  <c r="AT757" s="16"/>
      <c r="AU757" s="16"/>
      <c r="AV757" s="16"/>
      <c r="AW757" s="16"/>
      <c r="AX757" s="16"/>
      <c r="AY757" s="16"/>
      <c r="AZ757" s="16"/>
      <c r="BA757" s="16"/>
      <c r="BB757" s="16"/>
      <c r="BC757" s="16"/>
      <c r="BD757" s="16"/>
      <c r="BE757" s="16"/>
      <c r="BF757" s="16"/>
      <c r="BG757" s="16"/>
      <c r="BH757" s="16"/>
      <c r="BI757" s="16"/>
      <c r="BJ757" s="16"/>
      <c r="BK757" s="16"/>
      <c r="BL757" s="16"/>
      <c r="BM757" s="16"/>
      <c r="BN757" s="16"/>
      <c r="BO757" s="16"/>
      <c r="BP757" s="16"/>
      <c r="BQ757" s="16"/>
      <c r="BR757" s="16"/>
      <c r="BS757" s="16"/>
      <c r="BT757" s="16"/>
      <c r="BU757" s="16"/>
      <c r="BV757" s="16"/>
      <c r="BW757" s="16"/>
      <c r="BX757" s="16"/>
      <c r="BY757" s="16"/>
      <c r="BZ757" s="16"/>
      <c r="CA757" s="16"/>
      <c r="CB757" s="16"/>
      <c r="CC757" s="16"/>
    </row>
    <row r="758" spans="1:81" ht="13.5" thickBot="1">
      <c r="A758" s="16"/>
      <c r="B758" s="16"/>
      <c r="C758" s="17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  <c r="AT758" s="16"/>
      <c r="AU758" s="16"/>
      <c r="AV758" s="16"/>
      <c r="AW758" s="16"/>
      <c r="AX758" s="16"/>
      <c r="AY758" s="16"/>
      <c r="AZ758" s="16"/>
      <c r="BA758" s="16"/>
      <c r="BB758" s="16"/>
      <c r="BC758" s="16"/>
      <c r="BD758" s="16"/>
      <c r="BE758" s="16"/>
      <c r="BF758" s="16"/>
      <c r="BG758" s="16"/>
      <c r="BH758" s="16"/>
      <c r="BI758" s="16"/>
      <c r="BJ758" s="16"/>
      <c r="BK758" s="16"/>
      <c r="BL758" s="16"/>
      <c r="BM758" s="16"/>
      <c r="BN758" s="16"/>
      <c r="BO758" s="16"/>
      <c r="BP758" s="16"/>
      <c r="BQ758" s="16"/>
      <c r="BR758" s="16"/>
      <c r="BS758" s="16"/>
      <c r="BT758" s="16"/>
      <c r="BU758" s="16"/>
      <c r="BV758" s="16"/>
      <c r="BW758" s="16"/>
      <c r="BX758" s="16"/>
      <c r="BY758" s="16"/>
      <c r="BZ758" s="16"/>
      <c r="CA758" s="16"/>
      <c r="CB758" s="16"/>
      <c r="CC758" s="16"/>
    </row>
    <row r="759" spans="1:81" ht="13.5" thickBot="1">
      <c r="A759" s="16"/>
      <c r="B759" s="16"/>
      <c r="C759" s="17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  <c r="AT759" s="16"/>
      <c r="AU759" s="16"/>
      <c r="AV759" s="16"/>
      <c r="AW759" s="16"/>
      <c r="AX759" s="16"/>
      <c r="AY759" s="16"/>
      <c r="AZ759" s="16"/>
      <c r="BA759" s="16"/>
      <c r="BB759" s="16"/>
      <c r="BC759" s="16"/>
      <c r="BD759" s="16"/>
      <c r="BE759" s="16"/>
      <c r="BF759" s="16"/>
      <c r="BG759" s="16"/>
      <c r="BH759" s="16"/>
      <c r="BI759" s="16"/>
      <c r="BJ759" s="16"/>
      <c r="BK759" s="16"/>
      <c r="BL759" s="16"/>
      <c r="BM759" s="16"/>
      <c r="BN759" s="16"/>
      <c r="BO759" s="16"/>
      <c r="BP759" s="16"/>
      <c r="BQ759" s="16"/>
      <c r="BR759" s="16"/>
      <c r="BS759" s="16"/>
      <c r="BT759" s="16"/>
      <c r="BU759" s="16"/>
      <c r="BV759" s="16"/>
      <c r="BW759" s="16"/>
      <c r="BX759" s="16"/>
      <c r="BY759" s="16"/>
      <c r="BZ759" s="16"/>
      <c r="CA759" s="16"/>
      <c r="CB759" s="16"/>
      <c r="CC759" s="16"/>
    </row>
    <row r="760" spans="1:81" ht="13.5" thickBot="1">
      <c r="A760" s="16"/>
      <c r="B760" s="16"/>
      <c r="C760" s="17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  <c r="AT760" s="16"/>
      <c r="AU760" s="16"/>
      <c r="AV760" s="16"/>
      <c r="AW760" s="16"/>
      <c r="AX760" s="16"/>
      <c r="AY760" s="16"/>
      <c r="AZ760" s="16"/>
      <c r="BA760" s="16"/>
      <c r="BB760" s="16"/>
      <c r="BC760" s="16"/>
      <c r="BD760" s="16"/>
      <c r="BE760" s="16"/>
      <c r="BF760" s="16"/>
      <c r="BG760" s="16"/>
      <c r="BH760" s="16"/>
      <c r="BI760" s="16"/>
      <c r="BJ760" s="16"/>
      <c r="BK760" s="16"/>
      <c r="BL760" s="16"/>
      <c r="BM760" s="16"/>
      <c r="BN760" s="16"/>
      <c r="BO760" s="16"/>
      <c r="BP760" s="16"/>
      <c r="BQ760" s="16"/>
      <c r="BR760" s="16"/>
      <c r="BS760" s="16"/>
      <c r="BT760" s="16"/>
      <c r="BU760" s="16"/>
      <c r="BV760" s="16"/>
      <c r="BW760" s="16"/>
      <c r="BX760" s="16"/>
      <c r="BY760" s="16"/>
      <c r="BZ760" s="16"/>
      <c r="CA760" s="16"/>
      <c r="CB760" s="16"/>
      <c r="CC760" s="16"/>
    </row>
    <row r="761" spans="1:81" ht="13.5" thickBot="1">
      <c r="A761" s="16"/>
      <c r="B761" s="16"/>
      <c r="C761" s="17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  <c r="AT761" s="16"/>
      <c r="AU761" s="16"/>
      <c r="AV761" s="16"/>
      <c r="AW761" s="16"/>
      <c r="AX761" s="16"/>
      <c r="AY761" s="16"/>
      <c r="AZ761" s="16"/>
      <c r="BA761" s="16"/>
      <c r="BB761" s="16"/>
      <c r="BC761" s="16"/>
      <c r="BD761" s="16"/>
      <c r="BE761" s="16"/>
      <c r="BF761" s="16"/>
      <c r="BG761" s="16"/>
      <c r="BH761" s="16"/>
      <c r="BI761" s="16"/>
      <c r="BJ761" s="16"/>
      <c r="BK761" s="16"/>
      <c r="BL761" s="16"/>
      <c r="BM761" s="16"/>
      <c r="BN761" s="16"/>
      <c r="BO761" s="16"/>
      <c r="BP761" s="16"/>
      <c r="BQ761" s="16"/>
      <c r="BR761" s="16"/>
      <c r="BS761" s="16"/>
      <c r="BT761" s="16"/>
      <c r="BU761" s="16"/>
      <c r="BV761" s="16"/>
      <c r="BW761" s="16"/>
      <c r="BX761" s="16"/>
      <c r="BY761" s="16"/>
      <c r="BZ761" s="16"/>
      <c r="CA761" s="16"/>
      <c r="CB761" s="16"/>
      <c r="CC761" s="16"/>
    </row>
    <row r="762" spans="1:81" ht="13.5" thickBot="1">
      <c r="A762" s="16"/>
      <c r="B762" s="16"/>
      <c r="C762" s="17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  <c r="AT762" s="16"/>
      <c r="AU762" s="16"/>
      <c r="AV762" s="16"/>
      <c r="AW762" s="16"/>
      <c r="AX762" s="16"/>
      <c r="AY762" s="16"/>
      <c r="AZ762" s="16"/>
      <c r="BA762" s="16"/>
      <c r="BB762" s="16"/>
      <c r="BC762" s="16"/>
      <c r="BD762" s="16"/>
      <c r="BE762" s="16"/>
      <c r="BF762" s="16"/>
      <c r="BG762" s="16"/>
      <c r="BH762" s="16"/>
      <c r="BI762" s="16"/>
      <c r="BJ762" s="16"/>
      <c r="BK762" s="16"/>
      <c r="BL762" s="16"/>
      <c r="BM762" s="16"/>
      <c r="BN762" s="16"/>
      <c r="BO762" s="16"/>
      <c r="BP762" s="16"/>
      <c r="BQ762" s="16"/>
      <c r="BR762" s="16"/>
      <c r="BS762" s="16"/>
      <c r="BT762" s="16"/>
      <c r="BU762" s="16"/>
      <c r="BV762" s="16"/>
      <c r="BW762" s="16"/>
      <c r="BX762" s="16"/>
      <c r="BY762" s="16"/>
      <c r="BZ762" s="16"/>
      <c r="CA762" s="16"/>
      <c r="CB762" s="16"/>
      <c r="CC762" s="16"/>
    </row>
    <row r="763" spans="1:81" ht="13.5" thickBot="1">
      <c r="A763" s="16"/>
      <c r="B763" s="16"/>
      <c r="C763" s="17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  <c r="AT763" s="16"/>
      <c r="AU763" s="16"/>
      <c r="AV763" s="16"/>
      <c r="AW763" s="16"/>
      <c r="AX763" s="16"/>
      <c r="AY763" s="16"/>
      <c r="AZ763" s="16"/>
      <c r="BA763" s="16"/>
      <c r="BB763" s="16"/>
      <c r="BC763" s="16"/>
      <c r="BD763" s="16"/>
      <c r="BE763" s="16"/>
      <c r="BF763" s="16"/>
      <c r="BG763" s="16"/>
      <c r="BH763" s="16"/>
      <c r="BI763" s="16"/>
      <c r="BJ763" s="16"/>
      <c r="BK763" s="16"/>
      <c r="BL763" s="16"/>
      <c r="BM763" s="16"/>
      <c r="BN763" s="16"/>
      <c r="BO763" s="16"/>
      <c r="BP763" s="16"/>
      <c r="BQ763" s="16"/>
      <c r="BR763" s="16"/>
      <c r="BS763" s="16"/>
      <c r="BT763" s="16"/>
      <c r="BU763" s="16"/>
      <c r="BV763" s="16"/>
      <c r="BW763" s="16"/>
      <c r="BX763" s="16"/>
      <c r="BY763" s="16"/>
      <c r="BZ763" s="16"/>
      <c r="CA763" s="16"/>
      <c r="CB763" s="16"/>
      <c r="CC763" s="16"/>
    </row>
    <row r="764" spans="1:81" ht="13.5" thickBot="1">
      <c r="A764" s="16"/>
      <c r="B764" s="16"/>
      <c r="C764" s="17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  <c r="AT764" s="16"/>
      <c r="AU764" s="16"/>
      <c r="AV764" s="16"/>
      <c r="AW764" s="16"/>
      <c r="AX764" s="16"/>
      <c r="AY764" s="16"/>
      <c r="AZ764" s="16"/>
      <c r="BA764" s="16"/>
      <c r="BB764" s="16"/>
      <c r="BC764" s="16"/>
      <c r="BD764" s="16"/>
      <c r="BE764" s="16"/>
      <c r="BF764" s="16"/>
      <c r="BG764" s="16"/>
      <c r="BH764" s="16"/>
      <c r="BI764" s="16"/>
      <c r="BJ764" s="16"/>
      <c r="BK764" s="16"/>
      <c r="BL764" s="16"/>
      <c r="BM764" s="16"/>
      <c r="BN764" s="16"/>
      <c r="BO764" s="16"/>
      <c r="BP764" s="16"/>
      <c r="BQ764" s="16"/>
      <c r="BR764" s="16"/>
      <c r="BS764" s="16"/>
      <c r="BT764" s="16"/>
      <c r="BU764" s="16"/>
      <c r="BV764" s="16"/>
      <c r="BW764" s="16"/>
      <c r="BX764" s="16"/>
      <c r="BY764" s="16"/>
      <c r="BZ764" s="16"/>
      <c r="CA764" s="16"/>
      <c r="CB764" s="16"/>
      <c r="CC764" s="16"/>
    </row>
    <row r="765" spans="1:81" ht="13.5" thickBot="1">
      <c r="A765" s="16"/>
      <c r="B765" s="16"/>
      <c r="C765" s="17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  <c r="AT765" s="16"/>
      <c r="AU765" s="16"/>
      <c r="AV765" s="16"/>
      <c r="AW765" s="16"/>
      <c r="AX765" s="16"/>
      <c r="AY765" s="16"/>
      <c r="AZ765" s="16"/>
      <c r="BA765" s="16"/>
      <c r="BB765" s="16"/>
      <c r="BC765" s="16"/>
      <c r="BD765" s="16"/>
      <c r="BE765" s="16"/>
      <c r="BF765" s="16"/>
      <c r="BG765" s="16"/>
      <c r="BH765" s="16"/>
      <c r="BI765" s="16"/>
      <c r="BJ765" s="16"/>
      <c r="BK765" s="16"/>
      <c r="BL765" s="16"/>
      <c r="BM765" s="16"/>
      <c r="BN765" s="16"/>
      <c r="BO765" s="16"/>
      <c r="BP765" s="16"/>
      <c r="BQ765" s="16"/>
      <c r="BR765" s="16"/>
      <c r="BS765" s="16"/>
      <c r="BT765" s="16"/>
      <c r="BU765" s="16"/>
      <c r="BV765" s="16"/>
      <c r="BW765" s="16"/>
      <c r="BX765" s="16"/>
      <c r="BY765" s="16"/>
      <c r="BZ765" s="16"/>
      <c r="CA765" s="16"/>
      <c r="CB765" s="16"/>
      <c r="CC765" s="16"/>
    </row>
    <row r="766" spans="1:81" ht="13.5" thickBot="1">
      <c r="A766" s="16"/>
      <c r="B766" s="16"/>
      <c r="C766" s="17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  <c r="AT766" s="16"/>
      <c r="AU766" s="16"/>
      <c r="AV766" s="16"/>
      <c r="AW766" s="16"/>
      <c r="AX766" s="16"/>
      <c r="AY766" s="16"/>
      <c r="AZ766" s="16"/>
      <c r="BA766" s="16"/>
      <c r="BB766" s="16"/>
      <c r="BC766" s="16"/>
      <c r="BD766" s="16"/>
      <c r="BE766" s="16"/>
      <c r="BF766" s="16"/>
      <c r="BG766" s="16"/>
      <c r="BH766" s="16"/>
      <c r="BI766" s="16"/>
      <c r="BJ766" s="16"/>
      <c r="BK766" s="16"/>
      <c r="BL766" s="16"/>
      <c r="BM766" s="16"/>
      <c r="BN766" s="16"/>
      <c r="BO766" s="16"/>
      <c r="BP766" s="16"/>
      <c r="BQ766" s="16"/>
      <c r="BR766" s="16"/>
      <c r="BS766" s="16"/>
      <c r="BT766" s="16"/>
      <c r="BU766" s="16"/>
      <c r="BV766" s="16"/>
      <c r="BW766" s="16"/>
      <c r="BX766" s="16"/>
      <c r="BY766" s="16"/>
      <c r="BZ766" s="16"/>
      <c r="CA766" s="16"/>
      <c r="CB766" s="16"/>
      <c r="CC766" s="16"/>
    </row>
    <row r="767" spans="1:81" ht="13.5" thickBot="1">
      <c r="A767" s="16"/>
      <c r="B767" s="16"/>
      <c r="C767" s="17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  <c r="AT767" s="16"/>
      <c r="AU767" s="16"/>
      <c r="AV767" s="16"/>
      <c r="AW767" s="16"/>
      <c r="AX767" s="16"/>
      <c r="AY767" s="16"/>
      <c r="AZ767" s="16"/>
      <c r="BA767" s="16"/>
      <c r="BB767" s="16"/>
      <c r="BC767" s="16"/>
      <c r="BD767" s="16"/>
      <c r="BE767" s="16"/>
      <c r="BF767" s="16"/>
      <c r="BG767" s="16"/>
      <c r="BH767" s="16"/>
      <c r="BI767" s="16"/>
      <c r="BJ767" s="16"/>
      <c r="BK767" s="16"/>
      <c r="BL767" s="16"/>
      <c r="BM767" s="16"/>
      <c r="BN767" s="16"/>
      <c r="BO767" s="16"/>
      <c r="BP767" s="16"/>
      <c r="BQ767" s="16"/>
      <c r="BR767" s="16"/>
      <c r="BS767" s="16"/>
      <c r="BT767" s="16"/>
      <c r="BU767" s="16"/>
      <c r="BV767" s="16"/>
      <c r="BW767" s="16"/>
      <c r="BX767" s="16"/>
      <c r="BY767" s="16"/>
      <c r="BZ767" s="16"/>
      <c r="CA767" s="16"/>
      <c r="CB767" s="16"/>
      <c r="CC767" s="16"/>
    </row>
    <row r="768" spans="1:81" ht="13.5" thickBot="1">
      <c r="A768" s="16"/>
      <c r="B768" s="16"/>
      <c r="C768" s="17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  <c r="AT768" s="16"/>
      <c r="AU768" s="16"/>
      <c r="AV768" s="16"/>
      <c r="AW768" s="16"/>
      <c r="AX768" s="16"/>
      <c r="AY768" s="16"/>
      <c r="AZ768" s="16"/>
      <c r="BA768" s="16"/>
      <c r="BB768" s="16"/>
      <c r="BC768" s="16"/>
      <c r="BD768" s="16"/>
      <c r="BE768" s="16"/>
      <c r="BF768" s="16"/>
      <c r="BG768" s="16"/>
      <c r="BH768" s="16"/>
      <c r="BI768" s="16"/>
      <c r="BJ768" s="16"/>
      <c r="BK768" s="16"/>
      <c r="BL768" s="16"/>
      <c r="BM768" s="16"/>
      <c r="BN768" s="16"/>
      <c r="BO768" s="16"/>
      <c r="BP768" s="16"/>
      <c r="BQ768" s="16"/>
      <c r="BR768" s="16"/>
      <c r="BS768" s="16"/>
      <c r="BT768" s="16"/>
      <c r="BU768" s="16"/>
      <c r="BV768" s="16"/>
      <c r="BW768" s="16"/>
      <c r="BX768" s="16"/>
      <c r="BY768" s="16"/>
      <c r="BZ768" s="16"/>
      <c r="CA768" s="16"/>
      <c r="CB768" s="16"/>
      <c r="CC768" s="16"/>
    </row>
    <row r="769" spans="1:81" ht="13.5" thickBot="1">
      <c r="A769" s="16"/>
      <c r="B769" s="16"/>
      <c r="C769" s="17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  <c r="AT769" s="16"/>
      <c r="AU769" s="16"/>
      <c r="AV769" s="16"/>
      <c r="AW769" s="16"/>
      <c r="AX769" s="16"/>
      <c r="AY769" s="16"/>
      <c r="AZ769" s="16"/>
      <c r="BA769" s="16"/>
      <c r="BB769" s="16"/>
      <c r="BC769" s="16"/>
      <c r="BD769" s="16"/>
      <c r="BE769" s="16"/>
      <c r="BF769" s="16"/>
      <c r="BG769" s="16"/>
      <c r="BH769" s="16"/>
      <c r="BI769" s="16"/>
      <c r="BJ769" s="16"/>
      <c r="BK769" s="16"/>
      <c r="BL769" s="16"/>
      <c r="BM769" s="16"/>
      <c r="BN769" s="16"/>
      <c r="BO769" s="16"/>
      <c r="BP769" s="16"/>
      <c r="BQ769" s="16"/>
      <c r="BR769" s="16"/>
      <c r="BS769" s="16"/>
      <c r="BT769" s="16"/>
      <c r="BU769" s="16"/>
      <c r="BV769" s="16"/>
      <c r="BW769" s="16"/>
      <c r="BX769" s="16"/>
      <c r="BY769" s="16"/>
      <c r="BZ769" s="16"/>
      <c r="CA769" s="16"/>
      <c r="CB769" s="16"/>
      <c r="CC769" s="16"/>
    </row>
    <row r="770" spans="1:81" ht="13.5" thickBot="1">
      <c r="A770" s="16"/>
      <c r="B770" s="16"/>
      <c r="C770" s="17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  <c r="AT770" s="16"/>
      <c r="AU770" s="16"/>
      <c r="AV770" s="16"/>
      <c r="AW770" s="16"/>
      <c r="AX770" s="16"/>
      <c r="AY770" s="16"/>
      <c r="AZ770" s="16"/>
      <c r="BA770" s="16"/>
      <c r="BB770" s="16"/>
      <c r="BC770" s="16"/>
      <c r="BD770" s="16"/>
      <c r="BE770" s="16"/>
      <c r="BF770" s="16"/>
      <c r="BG770" s="16"/>
      <c r="BH770" s="16"/>
      <c r="BI770" s="16"/>
      <c r="BJ770" s="16"/>
      <c r="BK770" s="16"/>
      <c r="BL770" s="16"/>
      <c r="BM770" s="16"/>
      <c r="BN770" s="16"/>
      <c r="BO770" s="16"/>
      <c r="BP770" s="16"/>
      <c r="BQ770" s="16"/>
      <c r="BR770" s="16"/>
      <c r="BS770" s="16"/>
      <c r="BT770" s="16"/>
      <c r="BU770" s="16"/>
      <c r="BV770" s="16"/>
      <c r="BW770" s="16"/>
      <c r="BX770" s="16"/>
      <c r="BY770" s="16"/>
      <c r="BZ770" s="16"/>
      <c r="CA770" s="16"/>
      <c r="CB770" s="16"/>
      <c r="CC770" s="16"/>
    </row>
    <row r="771" spans="1:81" ht="13.5" thickBot="1">
      <c r="A771" s="16"/>
      <c r="B771" s="16"/>
      <c r="C771" s="17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  <c r="AT771" s="16"/>
      <c r="AU771" s="16"/>
      <c r="AV771" s="16"/>
      <c r="AW771" s="16"/>
      <c r="AX771" s="16"/>
      <c r="AY771" s="16"/>
      <c r="AZ771" s="16"/>
      <c r="BA771" s="16"/>
      <c r="BB771" s="16"/>
      <c r="BC771" s="16"/>
      <c r="BD771" s="16"/>
      <c r="BE771" s="16"/>
      <c r="BF771" s="16"/>
      <c r="BG771" s="16"/>
      <c r="BH771" s="16"/>
      <c r="BI771" s="16"/>
      <c r="BJ771" s="16"/>
      <c r="BK771" s="16"/>
      <c r="BL771" s="16"/>
      <c r="BM771" s="16"/>
      <c r="BN771" s="16"/>
      <c r="BO771" s="16"/>
      <c r="BP771" s="16"/>
      <c r="BQ771" s="16"/>
      <c r="BR771" s="16"/>
      <c r="BS771" s="16"/>
      <c r="BT771" s="16"/>
      <c r="BU771" s="16"/>
      <c r="BV771" s="16"/>
      <c r="BW771" s="16"/>
      <c r="BX771" s="16"/>
      <c r="BY771" s="16"/>
      <c r="BZ771" s="16"/>
      <c r="CA771" s="16"/>
      <c r="CB771" s="16"/>
      <c r="CC771" s="16"/>
    </row>
    <row r="772" spans="1:81" ht="13.5" thickBot="1">
      <c r="A772" s="16"/>
      <c r="B772" s="16"/>
      <c r="C772" s="17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  <c r="AT772" s="16"/>
      <c r="AU772" s="16"/>
      <c r="AV772" s="16"/>
      <c r="AW772" s="16"/>
      <c r="AX772" s="16"/>
      <c r="AY772" s="16"/>
      <c r="AZ772" s="16"/>
      <c r="BA772" s="16"/>
      <c r="BB772" s="16"/>
      <c r="BC772" s="16"/>
      <c r="BD772" s="16"/>
      <c r="BE772" s="16"/>
      <c r="BF772" s="16"/>
      <c r="BG772" s="16"/>
      <c r="BH772" s="16"/>
      <c r="BI772" s="16"/>
      <c r="BJ772" s="16"/>
      <c r="BK772" s="16"/>
      <c r="BL772" s="16"/>
      <c r="BM772" s="16"/>
      <c r="BN772" s="16"/>
      <c r="BO772" s="16"/>
      <c r="BP772" s="16"/>
      <c r="BQ772" s="16"/>
      <c r="BR772" s="16"/>
      <c r="BS772" s="16"/>
      <c r="BT772" s="16"/>
      <c r="BU772" s="16"/>
      <c r="BV772" s="16"/>
      <c r="BW772" s="16"/>
      <c r="BX772" s="16"/>
      <c r="BY772" s="16"/>
      <c r="BZ772" s="16"/>
      <c r="CA772" s="16"/>
      <c r="CB772" s="16"/>
      <c r="CC772" s="16"/>
    </row>
    <row r="773" spans="1:81" ht="13.5" thickBot="1">
      <c r="A773" s="16"/>
      <c r="B773" s="16"/>
      <c r="C773" s="17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  <c r="AT773" s="16"/>
      <c r="AU773" s="16"/>
      <c r="AV773" s="16"/>
      <c r="AW773" s="16"/>
      <c r="AX773" s="16"/>
      <c r="AY773" s="16"/>
      <c r="AZ773" s="16"/>
      <c r="BA773" s="16"/>
      <c r="BB773" s="16"/>
      <c r="BC773" s="16"/>
      <c r="BD773" s="16"/>
      <c r="BE773" s="16"/>
      <c r="BF773" s="16"/>
      <c r="BG773" s="16"/>
      <c r="BH773" s="16"/>
      <c r="BI773" s="16"/>
      <c r="BJ773" s="16"/>
      <c r="BK773" s="16"/>
      <c r="BL773" s="16"/>
      <c r="BM773" s="16"/>
      <c r="BN773" s="16"/>
      <c r="BO773" s="16"/>
      <c r="BP773" s="16"/>
      <c r="BQ773" s="16"/>
      <c r="BR773" s="16"/>
      <c r="BS773" s="16"/>
      <c r="BT773" s="16"/>
      <c r="BU773" s="16"/>
      <c r="BV773" s="16"/>
      <c r="BW773" s="16"/>
      <c r="BX773" s="16"/>
      <c r="BY773" s="16"/>
      <c r="BZ773" s="16"/>
      <c r="CA773" s="16"/>
      <c r="CB773" s="16"/>
      <c r="CC773" s="16"/>
    </row>
    <row r="774" spans="1:81" ht="13.5" thickBot="1">
      <c r="A774" s="16"/>
      <c r="B774" s="16"/>
      <c r="C774" s="17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  <c r="AT774" s="16"/>
      <c r="AU774" s="16"/>
      <c r="AV774" s="16"/>
      <c r="AW774" s="16"/>
      <c r="AX774" s="16"/>
      <c r="AY774" s="16"/>
      <c r="AZ774" s="16"/>
      <c r="BA774" s="16"/>
      <c r="BB774" s="16"/>
      <c r="BC774" s="16"/>
      <c r="BD774" s="16"/>
      <c r="BE774" s="16"/>
      <c r="BF774" s="16"/>
      <c r="BG774" s="16"/>
      <c r="BH774" s="16"/>
      <c r="BI774" s="16"/>
      <c r="BJ774" s="16"/>
      <c r="BK774" s="16"/>
      <c r="BL774" s="16"/>
      <c r="BM774" s="16"/>
      <c r="BN774" s="16"/>
      <c r="BO774" s="16"/>
      <c r="BP774" s="16"/>
      <c r="BQ774" s="16"/>
      <c r="BR774" s="16"/>
      <c r="BS774" s="16"/>
      <c r="BT774" s="16"/>
      <c r="BU774" s="16"/>
      <c r="BV774" s="16"/>
      <c r="BW774" s="16"/>
      <c r="BX774" s="16"/>
      <c r="BY774" s="16"/>
      <c r="BZ774" s="16"/>
      <c r="CA774" s="16"/>
      <c r="CB774" s="16"/>
      <c r="CC774" s="16"/>
    </row>
    <row r="775" spans="1:81" ht="13.5" thickBot="1">
      <c r="A775" s="16"/>
      <c r="B775" s="16"/>
      <c r="C775" s="17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  <c r="AT775" s="16"/>
      <c r="AU775" s="16"/>
      <c r="AV775" s="16"/>
      <c r="AW775" s="16"/>
      <c r="AX775" s="16"/>
      <c r="AY775" s="16"/>
      <c r="AZ775" s="16"/>
      <c r="BA775" s="16"/>
      <c r="BB775" s="16"/>
      <c r="BC775" s="16"/>
      <c r="BD775" s="16"/>
      <c r="BE775" s="16"/>
      <c r="BF775" s="16"/>
      <c r="BG775" s="16"/>
      <c r="BH775" s="16"/>
      <c r="BI775" s="16"/>
      <c r="BJ775" s="16"/>
      <c r="BK775" s="16"/>
      <c r="BL775" s="16"/>
      <c r="BM775" s="16"/>
      <c r="BN775" s="16"/>
      <c r="BO775" s="16"/>
      <c r="BP775" s="16"/>
      <c r="BQ775" s="16"/>
      <c r="BR775" s="16"/>
      <c r="BS775" s="16"/>
      <c r="BT775" s="16"/>
      <c r="BU775" s="16"/>
      <c r="BV775" s="16"/>
      <c r="BW775" s="16"/>
      <c r="BX775" s="16"/>
      <c r="BY775" s="16"/>
      <c r="BZ775" s="16"/>
      <c r="CA775" s="16"/>
      <c r="CB775" s="16"/>
      <c r="CC775" s="16"/>
    </row>
    <row r="776" spans="1:81" ht="13.5" thickBot="1">
      <c r="A776" s="16"/>
      <c r="B776" s="16"/>
      <c r="C776" s="17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  <c r="AT776" s="16"/>
      <c r="AU776" s="16"/>
      <c r="AV776" s="16"/>
      <c r="AW776" s="16"/>
      <c r="AX776" s="16"/>
      <c r="AY776" s="16"/>
      <c r="AZ776" s="16"/>
      <c r="BA776" s="16"/>
      <c r="BB776" s="16"/>
      <c r="BC776" s="16"/>
      <c r="BD776" s="16"/>
      <c r="BE776" s="16"/>
      <c r="BF776" s="16"/>
      <c r="BG776" s="16"/>
      <c r="BH776" s="16"/>
      <c r="BI776" s="16"/>
      <c r="BJ776" s="16"/>
      <c r="BK776" s="16"/>
      <c r="BL776" s="16"/>
      <c r="BM776" s="16"/>
      <c r="BN776" s="16"/>
      <c r="BO776" s="16"/>
      <c r="BP776" s="16"/>
      <c r="BQ776" s="16"/>
      <c r="BR776" s="16"/>
      <c r="BS776" s="16"/>
      <c r="BT776" s="16"/>
      <c r="BU776" s="16"/>
      <c r="BV776" s="16"/>
      <c r="BW776" s="16"/>
      <c r="BX776" s="16"/>
      <c r="BY776" s="16"/>
      <c r="BZ776" s="16"/>
      <c r="CA776" s="16"/>
      <c r="CB776" s="16"/>
      <c r="CC776" s="16"/>
    </row>
    <row r="777" spans="1:81" ht="13.5" thickBot="1">
      <c r="A777" s="16"/>
      <c r="B777" s="16"/>
      <c r="C777" s="17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  <c r="AT777" s="16"/>
      <c r="AU777" s="16"/>
      <c r="AV777" s="16"/>
      <c r="AW777" s="16"/>
      <c r="AX777" s="16"/>
      <c r="AY777" s="16"/>
      <c r="AZ777" s="16"/>
      <c r="BA777" s="16"/>
      <c r="BB777" s="16"/>
      <c r="BC777" s="16"/>
      <c r="BD777" s="16"/>
      <c r="BE777" s="16"/>
      <c r="BF777" s="16"/>
      <c r="BG777" s="16"/>
      <c r="BH777" s="16"/>
      <c r="BI777" s="16"/>
      <c r="BJ777" s="16"/>
      <c r="BK777" s="16"/>
      <c r="BL777" s="16"/>
      <c r="BM777" s="16"/>
      <c r="BN777" s="16"/>
      <c r="BO777" s="16"/>
      <c r="BP777" s="16"/>
      <c r="BQ777" s="16"/>
      <c r="BR777" s="16"/>
      <c r="BS777" s="16"/>
      <c r="BT777" s="16"/>
      <c r="BU777" s="16"/>
      <c r="BV777" s="16"/>
      <c r="BW777" s="16"/>
      <c r="BX777" s="16"/>
      <c r="BY777" s="16"/>
      <c r="BZ777" s="16"/>
      <c r="CA777" s="16"/>
      <c r="CB777" s="16"/>
      <c r="CC777" s="16"/>
    </row>
    <row r="778" spans="1:81" ht="13.5" thickBot="1">
      <c r="A778" s="16"/>
      <c r="B778" s="16"/>
      <c r="C778" s="17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  <c r="AT778" s="16"/>
      <c r="AU778" s="16"/>
      <c r="AV778" s="16"/>
      <c r="AW778" s="16"/>
      <c r="AX778" s="16"/>
      <c r="AY778" s="16"/>
      <c r="AZ778" s="16"/>
      <c r="BA778" s="16"/>
      <c r="BB778" s="16"/>
      <c r="BC778" s="16"/>
      <c r="BD778" s="16"/>
      <c r="BE778" s="16"/>
      <c r="BF778" s="16"/>
      <c r="BG778" s="16"/>
      <c r="BH778" s="16"/>
      <c r="BI778" s="16"/>
      <c r="BJ778" s="16"/>
      <c r="BK778" s="16"/>
      <c r="BL778" s="16"/>
      <c r="BM778" s="16"/>
      <c r="BN778" s="16"/>
      <c r="BO778" s="16"/>
      <c r="BP778" s="16"/>
      <c r="BQ778" s="16"/>
      <c r="BR778" s="16"/>
      <c r="BS778" s="16"/>
      <c r="BT778" s="16"/>
      <c r="BU778" s="16"/>
      <c r="BV778" s="16"/>
      <c r="BW778" s="16"/>
      <c r="BX778" s="16"/>
      <c r="BY778" s="16"/>
      <c r="BZ778" s="16"/>
      <c r="CA778" s="16"/>
      <c r="CB778" s="16"/>
      <c r="CC778" s="16"/>
    </row>
    <row r="779" spans="1:81" ht="13.5" thickBot="1">
      <c r="A779" s="16"/>
      <c r="B779" s="16"/>
      <c r="C779" s="17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  <c r="AT779" s="16"/>
      <c r="AU779" s="16"/>
      <c r="AV779" s="16"/>
      <c r="AW779" s="16"/>
      <c r="AX779" s="16"/>
      <c r="AY779" s="16"/>
      <c r="AZ779" s="16"/>
      <c r="BA779" s="16"/>
      <c r="BB779" s="16"/>
      <c r="BC779" s="16"/>
      <c r="BD779" s="16"/>
      <c r="BE779" s="16"/>
      <c r="BF779" s="16"/>
      <c r="BG779" s="16"/>
      <c r="BH779" s="16"/>
      <c r="BI779" s="16"/>
      <c r="BJ779" s="16"/>
      <c r="BK779" s="16"/>
      <c r="BL779" s="16"/>
      <c r="BM779" s="16"/>
      <c r="BN779" s="16"/>
      <c r="BO779" s="16"/>
      <c r="BP779" s="16"/>
      <c r="BQ779" s="16"/>
      <c r="BR779" s="16"/>
      <c r="BS779" s="16"/>
      <c r="BT779" s="16"/>
      <c r="BU779" s="16"/>
      <c r="BV779" s="16"/>
      <c r="BW779" s="16"/>
      <c r="BX779" s="16"/>
      <c r="BY779" s="16"/>
      <c r="BZ779" s="16"/>
      <c r="CA779" s="16"/>
      <c r="CB779" s="16"/>
      <c r="CC779" s="16"/>
    </row>
    <row r="780" spans="1:81" ht="13.5" thickBot="1">
      <c r="A780" s="16"/>
      <c r="B780" s="16"/>
      <c r="C780" s="17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  <c r="AT780" s="16"/>
      <c r="AU780" s="16"/>
      <c r="AV780" s="16"/>
      <c r="AW780" s="16"/>
      <c r="AX780" s="16"/>
      <c r="AY780" s="16"/>
      <c r="AZ780" s="16"/>
      <c r="BA780" s="16"/>
      <c r="BB780" s="16"/>
      <c r="BC780" s="16"/>
      <c r="BD780" s="16"/>
      <c r="BE780" s="16"/>
      <c r="BF780" s="16"/>
      <c r="BG780" s="16"/>
      <c r="BH780" s="16"/>
      <c r="BI780" s="16"/>
      <c r="BJ780" s="16"/>
      <c r="BK780" s="16"/>
      <c r="BL780" s="16"/>
      <c r="BM780" s="16"/>
      <c r="BN780" s="16"/>
      <c r="BO780" s="16"/>
      <c r="BP780" s="16"/>
      <c r="BQ780" s="16"/>
      <c r="BR780" s="16"/>
      <c r="BS780" s="16"/>
      <c r="BT780" s="16"/>
      <c r="BU780" s="16"/>
      <c r="BV780" s="16"/>
      <c r="BW780" s="16"/>
      <c r="BX780" s="16"/>
      <c r="BY780" s="16"/>
      <c r="BZ780" s="16"/>
      <c r="CA780" s="16"/>
      <c r="CB780" s="16"/>
      <c r="CC780" s="16"/>
    </row>
    <row r="781" spans="1:81" ht="13.5" thickBot="1">
      <c r="A781" s="16"/>
      <c r="B781" s="16"/>
      <c r="C781" s="17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  <c r="AT781" s="16"/>
      <c r="AU781" s="16"/>
      <c r="AV781" s="16"/>
      <c r="AW781" s="16"/>
      <c r="AX781" s="16"/>
      <c r="AY781" s="16"/>
      <c r="AZ781" s="16"/>
      <c r="BA781" s="16"/>
      <c r="BB781" s="16"/>
      <c r="BC781" s="16"/>
      <c r="BD781" s="16"/>
      <c r="BE781" s="16"/>
      <c r="BF781" s="16"/>
      <c r="BG781" s="16"/>
      <c r="BH781" s="16"/>
      <c r="BI781" s="16"/>
      <c r="BJ781" s="16"/>
      <c r="BK781" s="16"/>
      <c r="BL781" s="16"/>
      <c r="BM781" s="16"/>
      <c r="BN781" s="16"/>
      <c r="BO781" s="16"/>
      <c r="BP781" s="16"/>
      <c r="BQ781" s="16"/>
      <c r="BR781" s="16"/>
      <c r="BS781" s="16"/>
      <c r="BT781" s="16"/>
      <c r="BU781" s="16"/>
      <c r="BV781" s="16"/>
      <c r="BW781" s="16"/>
      <c r="BX781" s="16"/>
      <c r="BY781" s="16"/>
      <c r="BZ781" s="16"/>
      <c r="CA781" s="16"/>
      <c r="CB781" s="16"/>
      <c r="CC781" s="16"/>
    </row>
    <row r="782" spans="1:81" ht="13.5" thickBot="1">
      <c r="A782" s="16"/>
      <c r="B782" s="16"/>
      <c r="C782" s="17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  <c r="AT782" s="16"/>
      <c r="AU782" s="16"/>
      <c r="AV782" s="16"/>
      <c r="AW782" s="16"/>
      <c r="AX782" s="16"/>
      <c r="AY782" s="16"/>
      <c r="AZ782" s="16"/>
      <c r="BA782" s="16"/>
      <c r="BB782" s="16"/>
      <c r="BC782" s="16"/>
      <c r="BD782" s="16"/>
      <c r="BE782" s="16"/>
      <c r="BF782" s="16"/>
      <c r="BG782" s="16"/>
      <c r="BH782" s="16"/>
      <c r="BI782" s="16"/>
      <c r="BJ782" s="16"/>
      <c r="BK782" s="16"/>
      <c r="BL782" s="16"/>
      <c r="BM782" s="16"/>
      <c r="BN782" s="16"/>
      <c r="BO782" s="16"/>
      <c r="BP782" s="16"/>
      <c r="BQ782" s="16"/>
      <c r="BR782" s="16"/>
      <c r="BS782" s="16"/>
      <c r="BT782" s="16"/>
      <c r="BU782" s="16"/>
      <c r="BV782" s="16"/>
      <c r="BW782" s="16"/>
      <c r="BX782" s="16"/>
      <c r="BY782" s="16"/>
      <c r="BZ782" s="16"/>
      <c r="CA782" s="16"/>
      <c r="CB782" s="16"/>
      <c r="CC782" s="16"/>
    </row>
    <row r="783" spans="1:81" ht="13.5" thickBot="1">
      <c r="A783" s="16"/>
      <c r="B783" s="16"/>
      <c r="C783" s="17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  <c r="AT783" s="16"/>
      <c r="AU783" s="16"/>
      <c r="AV783" s="16"/>
      <c r="AW783" s="16"/>
      <c r="AX783" s="16"/>
      <c r="AY783" s="16"/>
      <c r="AZ783" s="16"/>
      <c r="BA783" s="16"/>
      <c r="BB783" s="16"/>
      <c r="BC783" s="16"/>
      <c r="BD783" s="16"/>
      <c r="BE783" s="16"/>
      <c r="BF783" s="16"/>
      <c r="BG783" s="16"/>
      <c r="BH783" s="16"/>
      <c r="BI783" s="16"/>
      <c r="BJ783" s="16"/>
      <c r="BK783" s="16"/>
      <c r="BL783" s="16"/>
      <c r="BM783" s="16"/>
      <c r="BN783" s="16"/>
      <c r="BO783" s="16"/>
      <c r="BP783" s="16"/>
      <c r="BQ783" s="16"/>
      <c r="BR783" s="16"/>
      <c r="BS783" s="16"/>
      <c r="BT783" s="16"/>
      <c r="BU783" s="16"/>
      <c r="BV783" s="16"/>
      <c r="BW783" s="16"/>
      <c r="BX783" s="16"/>
      <c r="BY783" s="16"/>
      <c r="BZ783" s="16"/>
      <c r="CA783" s="16"/>
      <c r="CB783" s="16"/>
      <c r="CC783" s="16"/>
    </row>
    <row r="784" spans="1:81" ht="13.5" thickBot="1">
      <c r="A784" s="16"/>
      <c r="B784" s="16"/>
      <c r="C784" s="17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  <c r="AT784" s="16"/>
      <c r="AU784" s="16"/>
      <c r="AV784" s="16"/>
      <c r="AW784" s="16"/>
      <c r="AX784" s="16"/>
      <c r="AY784" s="16"/>
      <c r="AZ784" s="16"/>
      <c r="BA784" s="16"/>
      <c r="BB784" s="16"/>
      <c r="BC784" s="16"/>
      <c r="BD784" s="16"/>
      <c r="BE784" s="16"/>
      <c r="BF784" s="16"/>
      <c r="BG784" s="16"/>
      <c r="BH784" s="16"/>
      <c r="BI784" s="16"/>
      <c r="BJ784" s="16"/>
      <c r="BK784" s="16"/>
      <c r="BL784" s="16"/>
      <c r="BM784" s="16"/>
      <c r="BN784" s="16"/>
      <c r="BO784" s="16"/>
      <c r="BP784" s="16"/>
      <c r="BQ784" s="16"/>
      <c r="BR784" s="16"/>
      <c r="BS784" s="16"/>
      <c r="BT784" s="16"/>
      <c r="BU784" s="16"/>
      <c r="BV784" s="16"/>
      <c r="BW784" s="16"/>
      <c r="BX784" s="16"/>
      <c r="BY784" s="16"/>
      <c r="BZ784" s="16"/>
      <c r="CA784" s="16"/>
      <c r="CB784" s="16"/>
      <c r="CC784" s="16"/>
    </row>
    <row r="785" spans="1:81" ht="13.5" thickBot="1">
      <c r="A785" s="16"/>
      <c r="B785" s="16"/>
      <c r="C785" s="17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  <c r="AT785" s="16"/>
      <c r="AU785" s="16"/>
      <c r="AV785" s="16"/>
      <c r="AW785" s="16"/>
      <c r="AX785" s="16"/>
      <c r="AY785" s="16"/>
      <c r="AZ785" s="16"/>
      <c r="BA785" s="16"/>
      <c r="BB785" s="16"/>
      <c r="BC785" s="16"/>
      <c r="BD785" s="16"/>
      <c r="BE785" s="16"/>
      <c r="BF785" s="16"/>
      <c r="BG785" s="16"/>
      <c r="BH785" s="16"/>
      <c r="BI785" s="16"/>
      <c r="BJ785" s="16"/>
      <c r="BK785" s="16"/>
      <c r="BL785" s="16"/>
      <c r="BM785" s="16"/>
      <c r="BN785" s="16"/>
      <c r="BO785" s="16"/>
      <c r="BP785" s="16"/>
      <c r="BQ785" s="16"/>
      <c r="BR785" s="16"/>
      <c r="BS785" s="16"/>
      <c r="BT785" s="16"/>
      <c r="BU785" s="16"/>
      <c r="BV785" s="16"/>
      <c r="BW785" s="16"/>
      <c r="BX785" s="16"/>
      <c r="BY785" s="16"/>
      <c r="BZ785" s="16"/>
      <c r="CA785" s="16"/>
      <c r="CB785" s="16"/>
      <c r="CC785" s="16"/>
    </row>
    <row r="786" spans="1:81" ht="13.5" thickBot="1">
      <c r="A786" s="16"/>
      <c r="B786" s="16"/>
      <c r="C786" s="17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  <c r="AT786" s="16"/>
      <c r="AU786" s="16"/>
      <c r="AV786" s="16"/>
      <c r="AW786" s="16"/>
      <c r="AX786" s="16"/>
      <c r="AY786" s="16"/>
      <c r="AZ786" s="16"/>
      <c r="BA786" s="16"/>
      <c r="BB786" s="16"/>
      <c r="BC786" s="16"/>
      <c r="BD786" s="16"/>
      <c r="BE786" s="16"/>
      <c r="BF786" s="16"/>
      <c r="BG786" s="16"/>
      <c r="BH786" s="16"/>
      <c r="BI786" s="16"/>
      <c r="BJ786" s="16"/>
      <c r="BK786" s="16"/>
      <c r="BL786" s="16"/>
      <c r="BM786" s="16"/>
      <c r="BN786" s="16"/>
      <c r="BO786" s="16"/>
      <c r="BP786" s="16"/>
      <c r="BQ786" s="16"/>
      <c r="BR786" s="16"/>
      <c r="BS786" s="16"/>
      <c r="BT786" s="16"/>
      <c r="BU786" s="16"/>
      <c r="BV786" s="16"/>
      <c r="BW786" s="16"/>
      <c r="BX786" s="16"/>
      <c r="BY786" s="16"/>
      <c r="BZ786" s="16"/>
      <c r="CA786" s="16"/>
      <c r="CB786" s="16"/>
      <c r="CC786" s="16"/>
    </row>
    <row r="787" spans="1:81" ht="13.5" thickBot="1">
      <c r="A787" s="16"/>
      <c r="B787" s="16"/>
      <c r="C787" s="17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  <c r="AT787" s="16"/>
      <c r="AU787" s="16"/>
      <c r="AV787" s="16"/>
      <c r="AW787" s="16"/>
      <c r="AX787" s="16"/>
      <c r="AY787" s="16"/>
      <c r="AZ787" s="16"/>
      <c r="BA787" s="16"/>
      <c r="BB787" s="16"/>
      <c r="BC787" s="16"/>
      <c r="BD787" s="16"/>
      <c r="BE787" s="16"/>
      <c r="BF787" s="16"/>
      <c r="BG787" s="16"/>
      <c r="BH787" s="16"/>
      <c r="BI787" s="16"/>
      <c r="BJ787" s="16"/>
      <c r="BK787" s="16"/>
      <c r="BL787" s="16"/>
      <c r="BM787" s="16"/>
      <c r="BN787" s="16"/>
      <c r="BO787" s="16"/>
      <c r="BP787" s="16"/>
      <c r="BQ787" s="16"/>
      <c r="BR787" s="16"/>
      <c r="BS787" s="16"/>
      <c r="BT787" s="16"/>
      <c r="BU787" s="16"/>
      <c r="BV787" s="16"/>
      <c r="BW787" s="16"/>
      <c r="BX787" s="16"/>
      <c r="BY787" s="16"/>
      <c r="BZ787" s="16"/>
      <c r="CA787" s="16"/>
      <c r="CB787" s="16"/>
      <c r="CC787" s="16"/>
    </row>
    <row r="788" spans="1:81" ht="13.5" thickBot="1">
      <c r="A788" s="16"/>
      <c r="B788" s="16"/>
      <c r="C788" s="17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  <c r="AT788" s="16"/>
      <c r="AU788" s="16"/>
      <c r="AV788" s="16"/>
      <c r="AW788" s="16"/>
      <c r="AX788" s="16"/>
      <c r="AY788" s="16"/>
      <c r="AZ788" s="16"/>
      <c r="BA788" s="16"/>
      <c r="BB788" s="16"/>
      <c r="BC788" s="16"/>
      <c r="BD788" s="16"/>
      <c r="BE788" s="16"/>
      <c r="BF788" s="16"/>
      <c r="BG788" s="16"/>
      <c r="BH788" s="16"/>
      <c r="BI788" s="16"/>
      <c r="BJ788" s="16"/>
      <c r="BK788" s="16"/>
      <c r="BL788" s="16"/>
      <c r="BM788" s="16"/>
      <c r="BN788" s="16"/>
      <c r="BO788" s="16"/>
      <c r="BP788" s="16"/>
      <c r="BQ788" s="16"/>
      <c r="BR788" s="16"/>
      <c r="BS788" s="16"/>
      <c r="BT788" s="16"/>
      <c r="BU788" s="16"/>
      <c r="BV788" s="16"/>
      <c r="BW788" s="16"/>
      <c r="BX788" s="16"/>
      <c r="BY788" s="16"/>
      <c r="BZ788" s="16"/>
      <c r="CA788" s="16"/>
      <c r="CB788" s="16"/>
      <c r="CC788" s="16"/>
    </row>
    <row r="789" spans="1:81" ht="13.5" thickBot="1">
      <c r="A789" s="16"/>
      <c r="B789" s="16"/>
      <c r="C789" s="17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  <c r="AT789" s="16"/>
      <c r="AU789" s="16"/>
      <c r="AV789" s="16"/>
      <c r="AW789" s="16"/>
      <c r="AX789" s="16"/>
      <c r="AY789" s="16"/>
      <c r="AZ789" s="16"/>
      <c r="BA789" s="16"/>
      <c r="BB789" s="16"/>
      <c r="BC789" s="16"/>
      <c r="BD789" s="16"/>
      <c r="BE789" s="16"/>
      <c r="BF789" s="16"/>
      <c r="BG789" s="16"/>
      <c r="BH789" s="16"/>
      <c r="BI789" s="16"/>
      <c r="BJ789" s="16"/>
      <c r="BK789" s="16"/>
      <c r="BL789" s="16"/>
      <c r="BM789" s="16"/>
      <c r="BN789" s="16"/>
      <c r="BO789" s="16"/>
      <c r="BP789" s="16"/>
      <c r="BQ789" s="16"/>
      <c r="BR789" s="16"/>
      <c r="BS789" s="16"/>
      <c r="BT789" s="16"/>
      <c r="BU789" s="16"/>
      <c r="BV789" s="16"/>
      <c r="BW789" s="16"/>
      <c r="BX789" s="16"/>
      <c r="BY789" s="16"/>
      <c r="BZ789" s="16"/>
      <c r="CA789" s="16"/>
      <c r="CB789" s="16"/>
      <c r="CC789" s="16"/>
    </row>
    <row r="790" spans="1:81" ht="13.5" thickBot="1">
      <c r="A790" s="16"/>
      <c r="B790" s="16"/>
      <c r="C790" s="17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  <c r="AT790" s="16"/>
      <c r="AU790" s="16"/>
      <c r="AV790" s="16"/>
      <c r="AW790" s="16"/>
      <c r="AX790" s="16"/>
      <c r="AY790" s="16"/>
      <c r="AZ790" s="16"/>
      <c r="BA790" s="16"/>
      <c r="BB790" s="16"/>
      <c r="BC790" s="16"/>
      <c r="BD790" s="16"/>
      <c r="BE790" s="16"/>
      <c r="BF790" s="16"/>
      <c r="BG790" s="16"/>
      <c r="BH790" s="16"/>
      <c r="BI790" s="16"/>
      <c r="BJ790" s="16"/>
      <c r="BK790" s="16"/>
      <c r="BL790" s="16"/>
      <c r="BM790" s="16"/>
      <c r="BN790" s="16"/>
      <c r="BO790" s="16"/>
      <c r="BP790" s="16"/>
      <c r="BQ790" s="16"/>
      <c r="BR790" s="16"/>
      <c r="BS790" s="16"/>
      <c r="BT790" s="16"/>
      <c r="BU790" s="16"/>
      <c r="BV790" s="16"/>
      <c r="BW790" s="16"/>
      <c r="BX790" s="16"/>
      <c r="BY790" s="16"/>
      <c r="BZ790" s="16"/>
      <c r="CA790" s="16"/>
      <c r="CB790" s="16"/>
      <c r="CC790" s="16"/>
    </row>
    <row r="791" spans="1:81" ht="13.5" thickBot="1">
      <c r="A791" s="16"/>
      <c r="B791" s="16"/>
      <c r="C791" s="17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  <c r="AT791" s="16"/>
      <c r="AU791" s="16"/>
      <c r="AV791" s="16"/>
      <c r="AW791" s="16"/>
      <c r="AX791" s="16"/>
      <c r="AY791" s="16"/>
      <c r="AZ791" s="16"/>
      <c r="BA791" s="16"/>
      <c r="BB791" s="16"/>
      <c r="BC791" s="16"/>
      <c r="BD791" s="16"/>
      <c r="BE791" s="16"/>
      <c r="BF791" s="16"/>
      <c r="BG791" s="16"/>
      <c r="BH791" s="16"/>
      <c r="BI791" s="16"/>
      <c r="BJ791" s="16"/>
      <c r="BK791" s="16"/>
      <c r="BL791" s="16"/>
      <c r="BM791" s="16"/>
      <c r="BN791" s="16"/>
      <c r="BO791" s="16"/>
      <c r="BP791" s="16"/>
      <c r="BQ791" s="16"/>
      <c r="BR791" s="16"/>
      <c r="BS791" s="16"/>
      <c r="BT791" s="16"/>
      <c r="BU791" s="16"/>
      <c r="BV791" s="16"/>
      <c r="BW791" s="16"/>
      <c r="BX791" s="16"/>
      <c r="BY791" s="16"/>
      <c r="BZ791" s="16"/>
      <c r="CA791" s="16"/>
      <c r="CB791" s="16"/>
      <c r="CC791" s="16"/>
    </row>
    <row r="792" spans="1:81" ht="13.5" thickBot="1">
      <c r="A792" s="16"/>
      <c r="B792" s="16"/>
      <c r="C792" s="17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  <c r="AT792" s="16"/>
      <c r="AU792" s="16"/>
      <c r="AV792" s="16"/>
      <c r="AW792" s="16"/>
      <c r="AX792" s="16"/>
      <c r="AY792" s="16"/>
      <c r="AZ792" s="16"/>
      <c r="BA792" s="16"/>
      <c r="BB792" s="16"/>
      <c r="BC792" s="16"/>
      <c r="BD792" s="16"/>
      <c r="BE792" s="16"/>
      <c r="BF792" s="16"/>
      <c r="BG792" s="16"/>
      <c r="BH792" s="16"/>
      <c r="BI792" s="16"/>
      <c r="BJ792" s="16"/>
      <c r="BK792" s="16"/>
      <c r="BL792" s="16"/>
      <c r="BM792" s="16"/>
      <c r="BN792" s="16"/>
      <c r="BO792" s="16"/>
      <c r="BP792" s="16"/>
      <c r="BQ792" s="16"/>
      <c r="BR792" s="16"/>
      <c r="BS792" s="16"/>
      <c r="BT792" s="16"/>
      <c r="BU792" s="16"/>
      <c r="BV792" s="16"/>
      <c r="BW792" s="16"/>
      <c r="BX792" s="16"/>
      <c r="BY792" s="16"/>
      <c r="BZ792" s="16"/>
      <c r="CA792" s="16"/>
      <c r="CB792" s="16"/>
      <c r="CC792" s="16"/>
    </row>
    <row r="793" spans="1:81" ht="13.5" thickBot="1">
      <c r="A793" s="16"/>
      <c r="B793" s="16"/>
      <c r="C793" s="17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  <c r="AT793" s="16"/>
      <c r="AU793" s="16"/>
      <c r="AV793" s="16"/>
      <c r="AW793" s="16"/>
      <c r="AX793" s="16"/>
      <c r="AY793" s="16"/>
      <c r="AZ793" s="16"/>
      <c r="BA793" s="16"/>
      <c r="BB793" s="16"/>
      <c r="BC793" s="16"/>
      <c r="BD793" s="16"/>
      <c r="BE793" s="16"/>
      <c r="BF793" s="16"/>
      <c r="BG793" s="16"/>
      <c r="BH793" s="16"/>
      <c r="BI793" s="16"/>
      <c r="BJ793" s="16"/>
      <c r="BK793" s="16"/>
      <c r="BL793" s="16"/>
      <c r="BM793" s="16"/>
      <c r="BN793" s="16"/>
      <c r="BO793" s="16"/>
      <c r="BP793" s="16"/>
      <c r="BQ793" s="16"/>
      <c r="BR793" s="16"/>
      <c r="BS793" s="16"/>
      <c r="BT793" s="16"/>
      <c r="BU793" s="16"/>
      <c r="BV793" s="16"/>
      <c r="BW793" s="16"/>
      <c r="BX793" s="16"/>
      <c r="BY793" s="16"/>
      <c r="BZ793" s="16"/>
      <c r="CA793" s="16"/>
      <c r="CB793" s="16"/>
      <c r="CC793" s="16"/>
    </row>
    <row r="794" spans="1:81" ht="13.5" thickBot="1">
      <c r="A794" s="16"/>
      <c r="B794" s="16"/>
      <c r="C794" s="17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  <c r="AT794" s="16"/>
      <c r="AU794" s="16"/>
      <c r="AV794" s="16"/>
      <c r="AW794" s="16"/>
      <c r="AX794" s="16"/>
      <c r="AY794" s="16"/>
      <c r="AZ794" s="16"/>
      <c r="BA794" s="16"/>
      <c r="BB794" s="16"/>
      <c r="BC794" s="16"/>
      <c r="BD794" s="16"/>
      <c r="BE794" s="16"/>
      <c r="BF794" s="16"/>
      <c r="BG794" s="16"/>
      <c r="BH794" s="16"/>
      <c r="BI794" s="16"/>
      <c r="BJ794" s="16"/>
      <c r="BK794" s="16"/>
      <c r="BL794" s="16"/>
      <c r="BM794" s="16"/>
      <c r="BN794" s="16"/>
      <c r="BO794" s="16"/>
      <c r="BP794" s="16"/>
      <c r="BQ794" s="16"/>
      <c r="BR794" s="16"/>
      <c r="BS794" s="16"/>
      <c r="BT794" s="16"/>
      <c r="BU794" s="16"/>
      <c r="BV794" s="16"/>
      <c r="BW794" s="16"/>
      <c r="BX794" s="16"/>
      <c r="BY794" s="16"/>
      <c r="BZ794" s="16"/>
      <c r="CA794" s="16"/>
      <c r="CB794" s="16"/>
      <c r="CC794" s="16"/>
    </row>
    <row r="795" spans="1:81" ht="13.5" thickBot="1">
      <c r="A795" s="16"/>
      <c r="B795" s="16"/>
      <c r="C795" s="17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  <c r="AT795" s="16"/>
      <c r="AU795" s="16"/>
      <c r="AV795" s="16"/>
      <c r="AW795" s="16"/>
      <c r="AX795" s="16"/>
      <c r="AY795" s="16"/>
      <c r="AZ795" s="16"/>
      <c r="BA795" s="16"/>
      <c r="BB795" s="16"/>
      <c r="BC795" s="16"/>
      <c r="BD795" s="16"/>
      <c r="BE795" s="16"/>
      <c r="BF795" s="16"/>
      <c r="BG795" s="16"/>
      <c r="BH795" s="16"/>
      <c r="BI795" s="16"/>
      <c r="BJ795" s="16"/>
      <c r="BK795" s="16"/>
      <c r="BL795" s="16"/>
      <c r="BM795" s="16"/>
      <c r="BN795" s="16"/>
      <c r="BO795" s="16"/>
      <c r="BP795" s="16"/>
      <c r="BQ795" s="16"/>
      <c r="BR795" s="16"/>
      <c r="BS795" s="16"/>
      <c r="BT795" s="16"/>
      <c r="BU795" s="16"/>
      <c r="BV795" s="16"/>
      <c r="BW795" s="16"/>
      <c r="BX795" s="16"/>
      <c r="BY795" s="16"/>
      <c r="BZ795" s="16"/>
      <c r="CA795" s="16"/>
      <c r="CB795" s="16"/>
      <c r="CC795" s="16"/>
    </row>
    <row r="796" spans="1:81" ht="13.5" thickBot="1">
      <c r="A796" s="16"/>
      <c r="B796" s="16"/>
      <c r="C796" s="17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  <c r="AT796" s="16"/>
      <c r="AU796" s="16"/>
      <c r="AV796" s="16"/>
      <c r="AW796" s="16"/>
      <c r="AX796" s="16"/>
      <c r="AY796" s="16"/>
      <c r="AZ796" s="16"/>
      <c r="BA796" s="16"/>
      <c r="BB796" s="16"/>
      <c r="BC796" s="16"/>
      <c r="BD796" s="16"/>
      <c r="BE796" s="16"/>
      <c r="BF796" s="16"/>
      <c r="BG796" s="16"/>
      <c r="BH796" s="16"/>
      <c r="BI796" s="16"/>
      <c r="BJ796" s="16"/>
      <c r="BK796" s="16"/>
      <c r="BL796" s="16"/>
      <c r="BM796" s="16"/>
      <c r="BN796" s="16"/>
      <c r="BO796" s="16"/>
      <c r="BP796" s="16"/>
      <c r="BQ796" s="16"/>
      <c r="BR796" s="16"/>
      <c r="BS796" s="16"/>
      <c r="BT796" s="16"/>
      <c r="BU796" s="16"/>
      <c r="BV796" s="16"/>
      <c r="BW796" s="16"/>
      <c r="BX796" s="16"/>
      <c r="BY796" s="16"/>
      <c r="BZ796" s="16"/>
      <c r="CA796" s="16"/>
      <c r="CB796" s="16"/>
      <c r="CC796" s="16"/>
    </row>
    <row r="797" spans="1:81" ht="13.5" thickBot="1">
      <c r="A797" s="16"/>
      <c r="B797" s="16"/>
      <c r="C797" s="17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  <c r="AT797" s="16"/>
      <c r="AU797" s="16"/>
      <c r="AV797" s="16"/>
      <c r="AW797" s="16"/>
      <c r="AX797" s="16"/>
      <c r="AY797" s="16"/>
      <c r="AZ797" s="16"/>
      <c r="BA797" s="16"/>
      <c r="BB797" s="16"/>
      <c r="BC797" s="16"/>
      <c r="BD797" s="16"/>
      <c r="BE797" s="16"/>
      <c r="BF797" s="16"/>
      <c r="BG797" s="16"/>
      <c r="BH797" s="16"/>
      <c r="BI797" s="16"/>
      <c r="BJ797" s="16"/>
      <c r="BK797" s="16"/>
      <c r="BL797" s="16"/>
      <c r="BM797" s="16"/>
      <c r="BN797" s="16"/>
      <c r="BO797" s="16"/>
      <c r="BP797" s="16"/>
      <c r="BQ797" s="16"/>
      <c r="BR797" s="16"/>
      <c r="BS797" s="16"/>
      <c r="BT797" s="16"/>
      <c r="BU797" s="16"/>
      <c r="BV797" s="16"/>
      <c r="BW797" s="16"/>
      <c r="BX797" s="16"/>
      <c r="BY797" s="16"/>
      <c r="BZ797" s="16"/>
      <c r="CA797" s="16"/>
      <c r="CB797" s="16"/>
      <c r="CC797" s="16"/>
    </row>
    <row r="798" spans="1:81" ht="13.5" thickBot="1">
      <c r="A798" s="16"/>
      <c r="B798" s="16"/>
      <c r="C798" s="17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  <c r="AT798" s="16"/>
      <c r="AU798" s="16"/>
      <c r="AV798" s="16"/>
      <c r="AW798" s="16"/>
      <c r="AX798" s="16"/>
      <c r="AY798" s="16"/>
      <c r="AZ798" s="16"/>
      <c r="BA798" s="16"/>
      <c r="BB798" s="16"/>
      <c r="BC798" s="16"/>
      <c r="BD798" s="16"/>
      <c r="BE798" s="16"/>
      <c r="BF798" s="16"/>
      <c r="BG798" s="16"/>
      <c r="BH798" s="16"/>
      <c r="BI798" s="16"/>
      <c r="BJ798" s="16"/>
      <c r="BK798" s="16"/>
      <c r="BL798" s="16"/>
      <c r="BM798" s="16"/>
      <c r="BN798" s="16"/>
      <c r="BO798" s="16"/>
      <c r="BP798" s="16"/>
      <c r="BQ798" s="16"/>
      <c r="BR798" s="16"/>
      <c r="BS798" s="16"/>
      <c r="BT798" s="16"/>
      <c r="BU798" s="16"/>
      <c r="BV798" s="16"/>
      <c r="BW798" s="16"/>
      <c r="BX798" s="16"/>
      <c r="BY798" s="16"/>
      <c r="BZ798" s="16"/>
      <c r="CA798" s="16"/>
      <c r="CB798" s="16"/>
      <c r="CC798" s="16"/>
    </row>
    <row r="799" spans="1:81" ht="13.5" thickBot="1">
      <c r="A799" s="16"/>
      <c r="B799" s="16"/>
      <c r="C799" s="17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  <c r="AT799" s="16"/>
      <c r="AU799" s="16"/>
      <c r="AV799" s="16"/>
      <c r="AW799" s="16"/>
      <c r="AX799" s="16"/>
      <c r="AY799" s="16"/>
      <c r="AZ799" s="16"/>
      <c r="BA799" s="16"/>
      <c r="BB799" s="16"/>
      <c r="BC799" s="16"/>
      <c r="BD799" s="16"/>
      <c r="BE799" s="16"/>
      <c r="BF799" s="16"/>
      <c r="BG799" s="16"/>
      <c r="BH799" s="16"/>
      <c r="BI799" s="16"/>
      <c r="BJ799" s="16"/>
      <c r="BK799" s="16"/>
      <c r="BL799" s="16"/>
      <c r="BM799" s="16"/>
      <c r="BN799" s="16"/>
      <c r="BO799" s="16"/>
      <c r="BP799" s="16"/>
      <c r="BQ799" s="16"/>
      <c r="BR799" s="16"/>
      <c r="BS799" s="16"/>
      <c r="BT799" s="16"/>
      <c r="BU799" s="16"/>
      <c r="BV799" s="16"/>
      <c r="BW799" s="16"/>
      <c r="BX799" s="16"/>
      <c r="BY799" s="16"/>
      <c r="BZ799" s="16"/>
      <c r="CA799" s="16"/>
      <c r="CB799" s="16"/>
      <c r="CC799" s="16"/>
    </row>
    <row r="800" spans="1:81" ht="13.5" thickBot="1">
      <c r="A800" s="16"/>
      <c r="B800" s="16"/>
      <c r="C800" s="17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  <c r="AT800" s="16"/>
      <c r="AU800" s="16"/>
      <c r="AV800" s="16"/>
      <c r="AW800" s="16"/>
      <c r="AX800" s="16"/>
      <c r="AY800" s="16"/>
      <c r="AZ800" s="16"/>
      <c r="BA800" s="16"/>
      <c r="BB800" s="16"/>
      <c r="BC800" s="16"/>
      <c r="BD800" s="16"/>
      <c r="BE800" s="16"/>
      <c r="BF800" s="16"/>
      <c r="BG800" s="16"/>
      <c r="BH800" s="16"/>
      <c r="BI800" s="16"/>
      <c r="BJ800" s="16"/>
      <c r="BK800" s="16"/>
      <c r="BL800" s="16"/>
      <c r="BM800" s="16"/>
      <c r="BN800" s="16"/>
      <c r="BO800" s="16"/>
      <c r="BP800" s="16"/>
      <c r="BQ800" s="16"/>
      <c r="BR800" s="16"/>
      <c r="BS800" s="16"/>
      <c r="BT800" s="16"/>
      <c r="BU800" s="16"/>
      <c r="BV800" s="16"/>
      <c r="BW800" s="16"/>
      <c r="BX800" s="16"/>
      <c r="BY800" s="16"/>
      <c r="BZ800" s="16"/>
      <c r="CA800" s="16"/>
      <c r="CB800" s="16"/>
      <c r="CC800" s="16"/>
    </row>
    <row r="801" spans="1:81" ht="13.5" thickBot="1">
      <c r="A801" s="16"/>
      <c r="B801" s="16"/>
      <c r="C801" s="17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  <c r="AT801" s="16"/>
      <c r="AU801" s="16"/>
      <c r="AV801" s="16"/>
      <c r="AW801" s="16"/>
      <c r="AX801" s="16"/>
      <c r="AY801" s="16"/>
      <c r="AZ801" s="16"/>
      <c r="BA801" s="16"/>
      <c r="BB801" s="16"/>
      <c r="BC801" s="16"/>
      <c r="BD801" s="16"/>
      <c r="BE801" s="16"/>
      <c r="BF801" s="16"/>
      <c r="BG801" s="16"/>
      <c r="BH801" s="16"/>
      <c r="BI801" s="16"/>
      <c r="BJ801" s="16"/>
      <c r="BK801" s="16"/>
      <c r="BL801" s="16"/>
      <c r="BM801" s="16"/>
      <c r="BN801" s="16"/>
      <c r="BO801" s="16"/>
      <c r="BP801" s="16"/>
      <c r="BQ801" s="16"/>
      <c r="BR801" s="16"/>
      <c r="BS801" s="16"/>
      <c r="BT801" s="16"/>
      <c r="BU801" s="16"/>
      <c r="BV801" s="16"/>
      <c r="BW801" s="16"/>
      <c r="BX801" s="16"/>
      <c r="BY801" s="16"/>
      <c r="BZ801" s="16"/>
      <c r="CA801" s="16"/>
      <c r="CB801" s="16"/>
      <c r="CC801" s="16"/>
    </row>
    <row r="802" spans="1:81" ht="13.5" thickBot="1">
      <c r="A802" s="16"/>
      <c r="B802" s="16"/>
      <c r="C802" s="17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  <c r="AT802" s="16"/>
      <c r="AU802" s="16"/>
      <c r="AV802" s="16"/>
      <c r="AW802" s="16"/>
      <c r="AX802" s="16"/>
      <c r="AY802" s="16"/>
      <c r="AZ802" s="16"/>
      <c r="BA802" s="16"/>
      <c r="BB802" s="16"/>
      <c r="BC802" s="16"/>
      <c r="BD802" s="16"/>
      <c r="BE802" s="16"/>
      <c r="BF802" s="16"/>
      <c r="BG802" s="16"/>
      <c r="BH802" s="16"/>
      <c r="BI802" s="16"/>
      <c r="BJ802" s="16"/>
      <c r="BK802" s="16"/>
      <c r="BL802" s="16"/>
      <c r="BM802" s="16"/>
      <c r="BN802" s="16"/>
      <c r="BO802" s="16"/>
      <c r="BP802" s="16"/>
      <c r="BQ802" s="16"/>
      <c r="BR802" s="16"/>
      <c r="BS802" s="16"/>
      <c r="BT802" s="16"/>
      <c r="BU802" s="16"/>
      <c r="BV802" s="16"/>
      <c r="BW802" s="16"/>
      <c r="BX802" s="16"/>
      <c r="BY802" s="16"/>
      <c r="BZ802" s="16"/>
      <c r="CA802" s="16"/>
      <c r="CB802" s="16"/>
      <c r="CC802" s="16"/>
    </row>
    <row r="803" spans="1:81" ht="13.5" thickBot="1">
      <c r="A803" s="16"/>
      <c r="B803" s="16"/>
      <c r="C803" s="17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  <c r="AT803" s="16"/>
      <c r="AU803" s="16"/>
      <c r="AV803" s="16"/>
      <c r="AW803" s="16"/>
      <c r="AX803" s="16"/>
      <c r="AY803" s="16"/>
      <c r="AZ803" s="16"/>
      <c r="BA803" s="16"/>
      <c r="BB803" s="16"/>
      <c r="BC803" s="16"/>
      <c r="BD803" s="16"/>
      <c r="BE803" s="16"/>
      <c r="BF803" s="16"/>
      <c r="BG803" s="16"/>
      <c r="BH803" s="16"/>
      <c r="BI803" s="16"/>
      <c r="BJ803" s="16"/>
      <c r="BK803" s="16"/>
      <c r="BL803" s="16"/>
      <c r="BM803" s="16"/>
      <c r="BN803" s="16"/>
      <c r="BO803" s="16"/>
      <c r="BP803" s="16"/>
      <c r="BQ803" s="16"/>
      <c r="BR803" s="16"/>
      <c r="BS803" s="16"/>
      <c r="BT803" s="16"/>
      <c r="BU803" s="16"/>
      <c r="BV803" s="16"/>
      <c r="BW803" s="16"/>
      <c r="BX803" s="16"/>
      <c r="BY803" s="16"/>
      <c r="BZ803" s="16"/>
      <c r="CA803" s="16"/>
      <c r="CB803" s="16"/>
      <c r="CC803" s="16"/>
    </row>
    <row r="804" spans="1:81" ht="13.5" thickBot="1">
      <c r="A804" s="16"/>
      <c r="B804" s="16"/>
      <c r="C804" s="17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  <c r="AT804" s="16"/>
      <c r="AU804" s="16"/>
      <c r="AV804" s="16"/>
      <c r="AW804" s="16"/>
      <c r="AX804" s="16"/>
      <c r="AY804" s="16"/>
      <c r="AZ804" s="16"/>
      <c r="BA804" s="16"/>
      <c r="BB804" s="16"/>
      <c r="BC804" s="16"/>
      <c r="BD804" s="16"/>
      <c r="BE804" s="16"/>
      <c r="BF804" s="16"/>
      <c r="BG804" s="16"/>
      <c r="BH804" s="16"/>
      <c r="BI804" s="16"/>
      <c r="BJ804" s="16"/>
      <c r="BK804" s="16"/>
      <c r="BL804" s="16"/>
      <c r="BM804" s="16"/>
      <c r="BN804" s="16"/>
      <c r="BO804" s="16"/>
      <c r="BP804" s="16"/>
      <c r="BQ804" s="16"/>
      <c r="BR804" s="16"/>
      <c r="BS804" s="16"/>
      <c r="BT804" s="16"/>
      <c r="BU804" s="16"/>
      <c r="BV804" s="16"/>
      <c r="BW804" s="16"/>
      <c r="BX804" s="16"/>
      <c r="BY804" s="16"/>
      <c r="BZ804" s="16"/>
      <c r="CA804" s="16"/>
      <c r="CB804" s="16"/>
      <c r="CC804" s="16"/>
    </row>
    <row r="805" spans="1:81" ht="13.5" thickBot="1">
      <c r="A805" s="16"/>
      <c r="B805" s="16"/>
      <c r="C805" s="17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  <c r="AT805" s="16"/>
      <c r="AU805" s="16"/>
      <c r="AV805" s="16"/>
      <c r="AW805" s="16"/>
      <c r="AX805" s="16"/>
      <c r="AY805" s="16"/>
      <c r="AZ805" s="16"/>
      <c r="BA805" s="16"/>
      <c r="BB805" s="16"/>
      <c r="BC805" s="16"/>
      <c r="BD805" s="16"/>
      <c r="BE805" s="16"/>
      <c r="BF805" s="16"/>
      <c r="BG805" s="16"/>
      <c r="BH805" s="16"/>
      <c r="BI805" s="16"/>
      <c r="BJ805" s="16"/>
      <c r="BK805" s="16"/>
      <c r="BL805" s="16"/>
      <c r="BM805" s="16"/>
      <c r="BN805" s="16"/>
      <c r="BO805" s="16"/>
      <c r="BP805" s="16"/>
      <c r="BQ805" s="16"/>
      <c r="BR805" s="16"/>
      <c r="BS805" s="16"/>
      <c r="BT805" s="16"/>
      <c r="BU805" s="16"/>
      <c r="BV805" s="16"/>
      <c r="BW805" s="16"/>
      <c r="BX805" s="16"/>
      <c r="BY805" s="16"/>
      <c r="BZ805" s="16"/>
      <c r="CA805" s="16"/>
      <c r="CB805" s="16"/>
      <c r="CC805" s="16"/>
    </row>
    <row r="806" spans="1:81" ht="13.5" thickBot="1">
      <c r="A806" s="16"/>
      <c r="B806" s="16"/>
      <c r="C806" s="17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  <c r="AT806" s="16"/>
      <c r="AU806" s="16"/>
      <c r="AV806" s="16"/>
      <c r="AW806" s="16"/>
      <c r="AX806" s="16"/>
      <c r="AY806" s="16"/>
      <c r="AZ806" s="16"/>
      <c r="BA806" s="16"/>
      <c r="BB806" s="16"/>
      <c r="BC806" s="16"/>
      <c r="BD806" s="16"/>
      <c r="BE806" s="16"/>
      <c r="BF806" s="16"/>
      <c r="BG806" s="16"/>
      <c r="BH806" s="16"/>
      <c r="BI806" s="16"/>
      <c r="BJ806" s="16"/>
      <c r="BK806" s="16"/>
      <c r="BL806" s="16"/>
      <c r="BM806" s="16"/>
      <c r="BN806" s="16"/>
      <c r="BO806" s="16"/>
      <c r="BP806" s="16"/>
      <c r="BQ806" s="16"/>
      <c r="BR806" s="16"/>
      <c r="BS806" s="16"/>
      <c r="BT806" s="16"/>
      <c r="BU806" s="16"/>
      <c r="BV806" s="16"/>
      <c r="BW806" s="16"/>
      <c r="BX806" s="16"/>
      <c r="BY806" s="16"/>
      <c r="BZ806" s="16"/>
      <c r="CA806" s="16"/>
      <c r="CB806" s="16"/>
      <c r="CC806" s="16"/>
    </row>
    <row r="807" spans="1:81" ht="13.5" thickBot="1">
      <c r="A807" s="16"/>
      <c r="B807" s="16"/>
      <c r="C807" s="17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  <c r="AT807" s="16"/>
      <c r="AU807" s="16"/>
      <c r="AV807" s="16"/>
      <c r="AW807" s="16"/>
      <c r="AX807" s="16"/>
      <c r="AY807" s="16"/>
      <c r="AZ807" s="16"/>
      <c r="BA807" s="16"/>
      <c r="BB807" s="16"/>
      <c r="BC807" s="16"/>
      <c r="BD807" s="16"/>
      <c r="BE807" s="16"/>
      <c r="BF807" s="16"/>
      <c r="BG807" s="16"/>
      <c r="BH807" s="16"/>
      <c r="BI807" s="16"/>
      <c r="BJ807" s="16"/>
      <c r="BK807" s="16"/>
      <c r="BL807" s="16"/>
      <c r="BM807" s="16"/>
      <c r="BN807" s="16"/>
      <c r="BO807" s="16"/>
      <c r="BP807" s="16"/>
      <c r="BQ807" s="16"/>
      <c r="BR807" s="16"/>
      <c r="BS807" s="16"/>
      <c r="BT807" s="16"/>
      <c r="BU807" s="16"/>
      <c r="BV807" s="16"/>
      <c r="BW807" s="16"/>
      <c r="BX807" s="16"/>
      <c r="BY807" s="16"/>
      <c r="BZ807" s="16"/>
      <c r="CA807" s="16"/>
      <c r="CB807" s="16"/>
      <c r="CC807" s="16"/>
    </row>
    <row r="808" spans="1:81" ht="13.5" thickBot="1">
      <c r="A808" s="16"/>
      <c r="B808" s="16"/>
      <c r="C808" s="17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  <c r="AT808" s="16"/>
      <c r="AU808" s="16"/>
      <c r="AV808" s="16"/>
      <c r="AW808" s="16"/>
      <c r="AX808" s="16"/>
      <c r="AY808" s="16"/>
      <c r="AZ808" s="16"/>
      <c r="BA808" s="16"/>
      <c r="BB808" s="16"/>
      <c r="BC808" s="16"/>
      <c r="BD808" s="16"/>
      <c r="BE808" s="16"/>
      <c r="BF808" s="16"/>
      <c r="BG808" s="16"/>
      <c r="BH808" s="16"/>
      <c r="BI808" s="16"/>
      <c r="BJ808" s="16"/>
      <c r="BK808" s="16"/>
      <c r="BL808" s="16"/>
      <c r="BM808" s="16"/>
      <c r="BN808" s="16"/>
      <c r="BO808" s="16"/>
      <c r="BP808" s="16"/>
      <c r="BQ808" s="16"/>
      <c r="BR808" s="16"/>
      <c r="BS808" s="16"/>
      <c r="BT808" s="16"/>
      <c r="BU808" s="16"/>
      <c r="BV808" s="16"/>
      <c r="BW808" s="16"/>
      <c r="BX808" s="16"/>
      <c r="BY808" s="16"/>
      <c r="BZ808" s="16"/>
      <c r="CA808" s="16"/>
      <c r="CB808" s="16"/>
      <c r="CC808" s="16"/>
    </row>
    <row r="809" spans="1:81" ht="13.5" thickBot="1">
      <c r="A809" s="16"/>
      <c r="B809" s="16"/>
      <c r="C809" s="17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  <c r="AT809" s="16"/>
      <c r="AU809" s="16"/>
      <c r="AV809" s="16"/>
      <c r="AW809" s="16"/>
      <c r="AX809" s="16"/>
      <c r="AY809" s="16"/>
      <c r="AZ809" s="16"/>
      <c r="BA809" s="16"/>
      <c r="BB809" s="16"/>
      <c r="BC809" s="16"/>
      <c r="BD809" s="16"/>
      <c r="BE809" s="16"/>
      <c r="BF809" s="16"/>
      <c r="BG809" s="16"/>
      <c r="BH809" s="16"/>
      <c r="BI809" s="16"/>
      <c r="BJ809" s="16"/>
      <c r="BK809" s="16"/>
      <c r="BL809" s="16"/>
      <c r="BM809" s="16"/>
      <c r="BN809" s="16"/>
      <c r="BO809" s="16"/>
      <c r="BP809" s="16"/>
      <c r="BQ809" s="16"/>
      <c r="BR809" s="16"/>
      <c r="BS809" s="16"/>
      <c r="BT809" s="16"/>
      <c r="BU809" s="16"/>
      <c r="BV809" s="16"/>
      <c r="BW809" s="16"/>
      <c r="BX809" s="16"/>
      <c r="BY809" s="16"/>
      <c r="BZ809" s="16"/>
      <c r="CA809" s="16"/>
      <c r="CB809" s="16"/>
      <c r="CC809" s="16"/>
    </row>
    <row r="810" spans="1:81" ht="13.5" thickBot="1">
      <c r="A810" s="16"/>
      <c r="B810" s="16"/>
      <c r="C810" s="17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  <c r="AT810" s="16"/>
      <c r="AU810" s="16"/>
      <c r="AV810" s="16"/>
      <c r="AW810" s="16"/>
      <c r="AX810" s="16"/>
      <c r="AY810" s="16"/>
      <c r="AZ810" s="16"/>
      <c r="BA810" s="16"/>
      <c r="BB810" s="16"/>
      <c r="BC810" s="16"/>
      <c r="BD810" s="16"/>
      <c r="BE810" s="16"/>
      <c r="BF810" s="16"/>
      <c r="BG810" s="16"/>
      <c r="BH810" s="16"/>
      <c r="BI810" s="16"/>
      <c r="BJ810" s="16"/>
      <c r="BK810" s="16"/>
      <c r="BL810" s="16"/>
      <c r="BM810" s="16"/>
      <c r="BN810" s="16"/>
      <c r="BO810" s="16"/>
      <c r="BP810" s="16"/>
      <c r="BQ810" s="16"/>
      <c r="BR810" s="16"/>
      <c r="BS810" s="16"/>
      <c r="BT810" s="16"/>
      <c r="BU810" s="16"/>
      <c r="BV810" s="16"/>
      <c r="BW810" s="16"/>
      <c r="BX810" s="16"/>
      <c r="BY810" s="16"/>
      <c r="BZ810" s="16"/>
      <c r="CA810" s="16"/>
      <c r="CB810" s="16"/>
      <c r="CC810" s="16"/>
    </row>
    <row r="811" spans="1:81" ht="13.5" thickBot="1">
      <c r="A811" s="16"/>
      <c r="B811" s="16"/>
      <c r="C811" s="17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  <c r="AT811" s="16"/>
      <c r="AU811" s="16"/>
      <c r="AV811" s="16"/>
      <c r="AW811" s="16"/>
      <c r="AX811" s="16"/>
      <c r="AY811" s="16"/>
      <c r="AZ811" s="16"/>
      <c r="BA811" s="16"/>
      <c r="BB811" s="16"/>
      <c r="BC811" s="16"/>
      <c r="BD811" s="16"/>
      <c r="BE811" s="16"/>
      <c r="BF811" s="16"/>
      <c r="BG811" s="16"/>
      <c r="BH811" s="16"/>
      <c r="BI811" s="16"/>
      <c r="BJ811" s="16"/>
      <c r="BK811" s="16"/>
      <c r="BL811" s="16"/>
      <c r="BM811" s="16"/>
      <c r="BN811" s="16"/>
      <c r="BO811" s="16"/>
      <c r="BP811" s="16"/>
      <c r="BQ811" s="16"/>
      <c r="BR811" s="16"/>
      <c r="BS811" s="16"/>
      <c r="BT811" s="16"/>
      <c r="BU811" s="16"/>
      <c r="BV811" s="16"/>
      <c r="BW811" s="16"/>
      <c r="BX811" s="16"/>
      <c r="BY811" s="16"/>
      <c r="BZ811" s="16"/>
      <c r="CA811" s="16"/>
      <c r="CB811" s="16"/>
      <c r="CC811" s="16"/>
    </row>
    <row r="812" spans="1:81" ht="13.5" thickBot="1">
      <c r="A812" s="16"/>
      <c r="B812" s="16"/>
      <c r="C812" s="17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  <c r="AT812" s="16"/>
      <c r="AU812" s="16"/>
      <c r="AV812" s="16"/>
      <c r="AW812" s="16"/>
      <c r="AX812" s="16"/>
      <c r="AY812" s="16"/>
      <c r="AZ812" s="16"/>
      <c r="BA812" s="16"/>
      <c r="BB812" s="16"/>
      <c r="BC812" s="16"/>
      <c r="BD812" s="16"/>
      <c r="BE812" s="16"/>
      <c r="BF812" s="16"/>
      <c r="BG812" s="16"/>
      <c r="BH812" s="16"/>
      <c r="BI812" s="16"/>
      <c r="BJ812" s="16"/>
      <c r="BK812" s="16"/>
      <c r="BL812" s="16"/>
      <c r="BM812" s="16"/>
      <c r="BN812" s="16"/>
      <c r="BO812" s="16"/>
      <c r="BP812" s="16"/>
      <c r="BQ812" s="16"/>
      <c r="BR812" s="16"/>
      <c r="BS812" s="16"/>
      <c r="BT812" s="16"/>
      <c r="BU812" s="16"/>
      <c r="BV812" s="16"/>
      <c r="BW812" s="16"/>
      <c r="BX812" s="16"/>
      <c r="BY812" s="16"/>
      <c r="BZ812" s="16"/>
      <c r="CA812" s="16"/>
      <c r="CB812" s="16"/>
      <c r="CC812" s="16"/>
    </row>
    <row r="813" spans="1:81" ht="13.5" thickBot="1">
      <c r="A813" s="16"/>
      <c r="B813" s="16"/>
      <c r="C813" s="17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  <c r="AT813" s="16"/>
      <c r="AU813" s="16"/>
      <c r="AV813" s="16"/>
      <c r="AW813" s="16"/>
      <c r="AX813" s="16"/>
      <c r="AY813" s="16"/>
      <c r="AZ813" s="16"/>
      <c r="BA813" s="16"/>
      <c r="BB813" s="16"/>
      <c r="BC813" s="16"/>
      <c r="BD813" s="16"/>
      <c r="BE813" s="16"/>
      <c r="BF813" s="16"/>
      <c r="BG813" s="16"/>
      <c r="BH813" s="16"/>
      <c r="BI813" s="16"/>
      <c r="BJ813" s="16"/>
      <c r="BK813" s="16"/>
      <c r="BL813" s="16"/>
      <c r="BM813" s="16"/>
      <c r="BN813" s="16"/>
      <c r="BO813" s="16"/>
      <c r="BP813" s="16"/>
      <c r="BQ813" s="16"/>
      <c r="BR813" s="16"/>
      <c r="BS813" s="16"/>
      <c r="BT813" s="16"/>
      <c r="BU813" s="16"/>
      <c r="BV813" s="16"/>
      <c r="BW813" s="16"/>
      <c r="BX813" s="16"/>
      <c r="BY813" s="16"/>
      <c r="BZ813" s="16"/>
      <c r="CA813" s="16"/>
      <c r="CB813" s="16"/>
      <c r="CC813" s="16"/>
    </row>
    <row r="814" spans="1:81" ht="13.5" thickBot="1">
      <c r="A814" s="16"/>
      <c r="B814" s="16"/>
      <c r="C814" s="17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  <c r="AT814" s="16"/>
      <c r="AU814" s="16"/>
      <c r="AV814" s="16"/>
      <c r="AW814" s="16"/>
      <c r="AX814" s="16"/>
      <c r="AY814" s="16"/>
      <c r="AZ814" s="16"/>
      <c r="BA814" s="16"/>
      <c r="BB814" s="16"/>
      <c r="BC814" s="16"/>
      <c r="BD814" s="16"/>
      <c r="BE814" s="16"/>
      <c r="BF814" s="16"/>
      <c r="BG814" s="16"/>
      <c r="BH814" s="16"/>
      <c r="BI814" s="16"/>
      <c r="BJ814" s="16"/>
      <c r="BK814" s="16"/>
      <c r="BL814" s="16"/>
      <c r="BM814" s="16"/>
      <c r="BN814" s="16"/>
      <c r="BO814" s="16"/>
      <c r="BP814" s="16"/>
      <c r="BQ814" s="16"/>
      <c r="BR814" s="16"/>
      <c r="BS814" s="16"/>
      <c r="BT814" s="16"/>
      <c r="BU814" s="16"/>
      <c r="BV814" s="16"/>
      <c r="BW814" s="16"/>
      <c r="BX814" s="16"/>
      <c r="BY814" s="16"/>
      <c r="BZ814" s="16"/>
      <c r="CA814" s="16"/>
      <c r="CB814" s="16"/>
      <c r="CC814" s="16"/>
    </row>
    <row r="815" spans="1:81" ht="13.5" thickBot="1">
      <c r="A815" s="16"/>
      <c r="B815" s="16"/>
      <c r="C815" s="17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  <c r="AT815" s="16"/>
      <c r="AU815" s="16"/>
      <c r="AV815" s="16"/>
      <c r="AW815" s="16"/>
      <c r="AX815" s="16"/>
      <c r="AY815" s="16"/>
      <c r="AZ815" s="16"/>
      <c r="BA815" s="16"/>
      <c r="BB815" s="16"/>
      <c r="BC815" s="16"/>
      <c r="BD815" s="16"/>
      <c r="BE815" s="16"/>
      <c r="BF815" s="16"/>
      <c r="BG815" s="16"/>
      <c r="BH815" s="16"/>
      <c r="BI815" s="16"/>
      <c r="BJ815" s="16"/>
      <c r="BK815" s="16"/>
      <c r="BL815" s="16"/>
      <c r="BM815" s="16"/>
      <c r="BN815" s="16"/>
      <c r="BO815" s="16"/>
      <c r="BP815" s="16"/>
      <c r="BQ815" s="16"/>
      <c r="BR815" s="16"/>
      <c r="BS815" s="16"/>
      <c r="BT815" s="16"/>
      <c r="BU815" s="16"/>
      <c r="BV815" s="16"/>
      <c r="BW815" s="16"/>
      <c r="BX815" s="16"/>
      <c r="BY815" s="16"/>
      <c r="BZ815" s="16"/>
      <c r="CA815" s="16"/>
      <c r="CB815" s="16"/>
      <c r="CC815" s="16"/>
    </row>
    <row r="816" spans="1:81" ht="13.5" thickBot="1">
      <c r="A816" s="16"/>
      <c r="B816" s="16"/>
      <c r="C816" s="17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  <c r="AT816" s="16"/>
      <c r="AU816" s="16"/>
      <c r="AV816" s="16"/>
      <c r="AW816" s="16"/>
      <c r="AX816" s="16"/>
      <c r="AY816" s="16"/>
      <c r="AZ816" s="16"/>
      <c r="BA816" s="16"/>
      <c r="BB816" s="16"/>
      <c r="BC816" s="16"/>
      <c r="BD816" s="16"/>
      <c r="BE816" s="16"/>
      <c r="BF816" s="16"/>
      <c r="BG816" s="16"/>
      <c r="BH816" s="16"/>
      <c r="BI816" s="16"/>
      <c r="BJ816" s="16"/>
      <c r="BK816" s="16"/>
      <c r="BL816" s="16"/>
      <c r="BM816" s="16"/>
      <c r="BN816" s="16"/>
      <c r="BO816" s="16"/>
      <c r="BP816" s="16"/>
      <c r="BQ816" s="16"/>
      <c r="BR816" s="16"/>
      <c r="BS816" s="16"/>
      <c r="BT816" s="16"/>
      <c r="BU816" s="16"/>
      <c r="BV816" s="16"/>
      <c r="BW816" s="16"/>
      <c r="BX816" s="16"/>
      <c r="BY816" s="16"/>
      <c r="BZ816" s="16"/>
      <c r="CA816" s="16"/>
      <c r="CB816" s="16"/>
      <c r="CC816" s="16"/>
    </row>
    <row r="817" spans="1:81" ht="13.5" thickBot="1">
      <c r="A817" s="16"/>
      <c r="B817" s="16"/>
      <c r="C817" s="17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  <c r="AT817" s="16"/>
      <c r="AU817" s="16"/>
      <c r="AV817" s="16"/>
      <c r="AW817" s="16"/>
      <c r="AX817" s="16"/>
      <c r="AY817" s="16"/>
      <c r="AZ817" s="16"/>
      <c r="BA817" s="16"/>
      <c r="BB817" s="16"/>
      <c r="BC817" s="16"/>
      <c r="BD817" s="16"/>
      <c r="BE817" s="16"/>
      <c r="BF817" s="16"/>
      <c r="BG817" s="16"/>
      <c r="BH817" s="16"/>
      <c r="BI817" s="16"/>
      <c r="BJ817" s="16"/>
      <c r="BK817" s="16"/>
      <c r="BL817" s="16"/>
      <c r="BM817" s="16"/>
      <c r="BN817" s="16"/>
      <c r="BO817" s="16"/>
      <c r="BP817" s="16"/>
      <c r="BQ817" s="16"/>
      <c r="BR817" s="16"/>
      <c r="BS817" s="16"/>
      <c r="BT817" s="16"/>
      <c r="BU817" s="16"/>
      <c r="BV817" s="16"/>
      <c r="BW817" s="16"/>
      <c r="BX817" s="16"/>
      <c r="BY817" s="16"/>
      <c r="BZ817" s="16"/>
      <c r="CA817" s="16"/>
      <c r="CB817" s="16"/>
      <c r="CC817" s="16"/>
    </row>
    <row r="818" spans="1:81" ht="13.5" thickBot="1">
      <c r="A818" s="16"/>
      <c r="B818" s="16"/>
      <c r="C818" s="17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  <c r="AT818" s="16"/>
      <c r="AU818" s="16"/>
      <c r="AV818" s="16"/>
      <c r="AW818" s="16"/>
      <c r="AX818" s="16"/>
      <c r="AY818" s="16"/>
      <c r="AZ818" s="16"/>
      <c r="BA818" s="16"/>
      <c r="BB818" s="16"/>
      <c r="BC818" s="16"/>
      <c r="BD818" s="16"/>
      <c r="BE818" s="16"/>
      <c r="BF818" s="16"/>
      <c r="BG818" s="16"/>
      <c r="BH818" s="16"/>
      <c r="BI818" s="16"/>
      <c r="BJ818" s="16"/>
      <c r="BK818" s="16"/>
      <c r="BL818" s="16"/>
      <c r="BM818" s="16"/>
      <c r="BN818" s="16"/>
      <c r="BO818" s="16"/>
      <c r="BP818" s="16"/>
      <c r="BQ818" s="16"/>
      <c r="BR818" s="16"/>
      <c r="BS818" s="16"/>
      <c r="BT818" s="16"/>
      <c r="BU818" s="16"/>
      <c r="BV818" s="16"/>
      <c r="BW818" s="16"/>
      <c r="BX818" s="16"/>
      <c r="BY818" s="16"/>
      <c r="BZ818" s="16"/>
      <c r="CA818" s="16"/>
      <c r="CB818" s="16"/>
      <c r="CC818" s="16"/>
    </row>
    <row r="819" spans="1:81" ht="13.5" thickBot="1">
      <c r="A819" s="16"/>
      <c r="B819" s="16"/>
      <c r="C819" s="17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  <c r="AT819" s="16"/>
      <c r="AU819" s="16"/>
      <c r="AV819" s="16"/>
      <c r="AW819" s="16"/>
      <c r="AX819" s="16"/>
      <c r="AY819" s="16"/>
      <c r="AZ819" s="16"/>
      <c r="BA819" s="16"/>
      <c r="BB819" s="16"/>
      <c r="BC819" s="16"/>
      <c r="BD819" s="16"/>
      <c r="BE819" s="16"/>
      <c r="BF819" s="16"/>
      <c r="BG819" s="16"/>
      <c r="BH819" s="16"/>
      <c r="BI819" s="16"/>
      <c r="BJ819" s="16"/>
      <c r="BK819" s="16"/>
      <c r="BL819" s="16"/>
      <c r="BM819" s="16"/>
      <c r="BN819" s="16"/>
      <c r="BO819" s="16"/>
      <c r="BP819" s="16"/>
      <c r="BQ819" s="16"/>
      <c r="BR819" s="16"/>
      <c r="BS819" s="16"/>
      <c r="BT819" s="16"/>
      <c r="BU819" s="16"/>
      <c r="BV819" s="16"/>
      <c r="BW819" s="16"/>
      <c r="BX819" s="16"/>
      <c r="BY819" s="16"/>
      <c r="BZ819" s="16"/>
      <c r="CA819" s="16"/>
      <c r="CB819" s="16"/>
      <c r="CC819" s="16"/>
    </row>
    <row r="820" spans="1:81" ht="13.5" thickBot="1">
      <c r="A820" s="16"/>
      <c r="B820" s="16"/>
      <c r="C820" s="17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  <c r="AT820" s="16"/>
      <c r="AU820" s="16"/>
      <c r="AV820" s="16"/>
      <c r="AW820" s="16"/>
      <c r="AX820" s="16"/>
      <c r="AY820" s="16"/>
      <c r="AZ820" s="16"/>
      <c r="BA820" s="16"/>
      <c r="BB820" s="16"/>
      <c r="BC820" s="16"/>
      <c r="BD820" s="16"/>
      <c r="BE820" s="16"/>
      <c r="BF820" s="16"/>
      <c r="BG820" s="16"/>
      <c r="BH820" s="16"/>
      <c r="BI820" s="16"/>
      <c r="BJ820" s="16"/>
      <c r="BK820" s="16"/>
      <c r="BL820" s="16"/>
      <c r="BM820" s="16"/>
      <c r="BN820" s="16"/>
      <c r="BO820" s="16"/>
      <c r="BP820" s="16"/>
      <c r="BQ820" s="16"/>
      <c r="BR820" s="16"/>
      <c r="BS820" s="16"/>
      <c r="BT820" s="16"/>
      <c r="BU820" s="16"/>
      <c r="BV820" s="16"/>
      <c r="BW820" s="16"/>
      <c r="BX820" s="16"/>
      <c r="BY820" s="16"/>
      <c r="BZ820" s="16"/>
      <c r="CA820" s="16"/>
      <c r="CB820" s="16"/>
      <c r="CC820" s="16"/>
    </row>
    <row r="821" spans="1:81" ht="13.5" thickBot="1">
      <c r="A821" s="16"/>
      <c r="B821" s="16"/>
      <c r="C821" s="17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  <c r="AT821" s="16"/>
      <c r="AU821" s="16"/>
      <c r="AV821" s="16"/>
      <c r="AW821" s="16"/>
      <c r="AX821" s="16"/>
      <c r="AY821" s="16"/>
      <c r="AZ821" s="16"/>
      <c r="BA821" s="16"/>
      <c r="BB821" s="16"/>
      <c r="BC821" s="16"/>
      <c r="BD821" s="16"/>
      <c r="BE821" s="16"/>
      <c r="BF821" s="16"/>
      <c r="BG821" s="16"/>
      <c r="BH821" s="16"/>
      <c r="BI821" s="16"/>
      <c r="BJ821" s="16"/>
      <c r="BK821" s="16"/>
      <c r="BL821" s="16"/>
      <c r="BM821" s="16"/>
      <c r="BN821" s="16"/>
      <c r="BO821" s="16"/>
      <c r="BP821" s="16"/>
      <c r="BQ821" s="16"/>
      <c r="BR821" s="16"/>
      <c r="BS821" s="16"/>
      <c r="BT821" s="16"/>
      <c r="BU821" s="16"/>
      <c r="BV821" s="16"/>
      <c r="BW821" s="16"/>
      <c r="BX821" s="16"/>
      <c r="BY821" s="16"/>
      <c r="BZ821" s="16"/>
      <c r="CA821" s="16"/>
      <c r="CB821" s="16"/>
      <c r="CC821" s="16"/>
    </row>
    <row r="822" spans="1:81" ht="13.5" thickBot="1">
      <c r="A822" s="16"/>
      <c r="B822" s="16"/>
      <c r="C822" s="17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  <c r="AT822" s="16"/>
      <c r="AU822" s="16"/>
      <c r="AV822" s="16"/>
      <c r="AW822" s="16"/>
      <c r="AX822" s="16"/>
      <c r="AY822" s="16"/>
      <c r="AZ822" s="16"/>
      <c r="BA822" s="16"/>
      <c r="BB822" s="16"/>
      <c r="BC822" s="16"/>
      <c r="BD822" s="16"/>
      <c r="BE822" s="16"/>
      <c r="BF822" s="16"/>
      <c r="BG822" s="16"/>
      <c r="BH822" s="16"/>
      <c r="BI822" s="16"/>
      <c r="BJ822" s="16"/>
      <c r="BK822" s="16"/>
      <c r="BL822" s="16"/>
      <c r="BM822" s="16"/>
      <c r="BN822" s="16"/>
      <c r="BO822" s="16"/>
      <c r="BP822" s="16"/>
      <c r="BQ822" s="16"/>
      <c r="BR822" s="16"/>
      <c r="BS822" s="16"/>
      <c r="BT822" s="16"/>
      <c r="BU822" s="16"/>
      <c r="BV822" s="16"/>
      <c r="BW822" s="16"/>
      <c r="BX822" s="16"/>
      <c r="BY822" s="16"/>
      <c r="BZ822" s="16"/>
      <c r="CA822" s="16"/>
      <c r="CB822" s="16"/>
      <c r="CC822" s="16"/>
    </row>
    <row r="823" spans="1:81" ht="13.5" thickBot="1">
      <c r="A823" s="16"/>
      <c r="B823" s="16"/>
      <c r="C823" s="17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  <c r="AT823" s="16"/>
      <c r="AU823" s="16"/>
      <c r="AV823" s="16"/>
      <c r="AW823" s="16"/>
      <c r="AX823" s="16"/>
      <c r="AY823" s="16"/>
      <c r="AZ823" s="16"/>
      <c r="BA823" s="16"/>
      <c r="BB823" s="16"/>
      <c r="BC823" s="16"/>
      <c r="BD823" s="16"/>
      <c r="BE823" s="16"/>
      <c r="BF823" s="16"/>
      <c r="BG823" s="16"/>
      <c r="BH823" s="16"/>
      <c r="BI823" s="16"/>
      <c r="BJ823" s="16"/>
      <c r="BK823" s="16"/>
      <c r="BL823" s="16"/>
      <c r="BM823" s="16"/>
      <c r="BN823" s="16"/>
      <c r="BO823" s="16"/>
      <c r="BP823" s="16"/>
      <c r="BQ823" s="16"/>
      <c r="BR823" s="16"/>
      <c r="BS823" s="16"/>
      <c r="BT823" s="16"/>
      <c r="BU823" s="16"/>
      <c r="BV823" s="16"/>
      <c r="BW823" s="16"/>
      <c r="BX823" s="16"/>
      <c r="BY823" s="16"/>
      <c r="BZ823" s="16"/>
      <c r="CA823" s="16"/>
      <c r="CB823" s="16"/>
      <c r="CC823" s="16"/>
    </row>
    <row r="824" spans="1:81" ht="13.5" thickBot="1">
      <c r="A824" s="16"/>
      <c r="B824" s="16"/>
      <c r="C824" s="17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  <c r="AT824" s="16"/>
      <c r="AU824" s="16"/>
      <c r="AV824" s="16"/>
      <c r="AW824" s="16"/>
      <c r="AX824" s="16"/>
      <c r="AY824" s="16"/>
      <c r="AZ824" s="16"/>
      <c r="BA824" s="16"/>
      <c r="BB824" s="16"/>
      <c r="BC824" s="16"/>
      <c r="BD824" s="16"/>
      <c r="BE824" s="16"/>
      <c r="BF824" s="16"/>
      <c r="BG824" s="16"/>
      <c r="BH824" s="16"/>
      <c r="BI824" s="16"/>
      <c r="BJ824" s="16"/>
      <c r="BK824" s="16"/>
      <c r="BL824" s="16"/>
      <c r="BM824" s="16"/>
      <c r="BN824" s="16"/>
      <c r="BO824" s="16"/>
      <c r="BP824" s="16"/>
      <c r="BQ824" s="16"/>
      <c r="BR824" s="16"/>
      <c r="BS824" s="16"/>
      <c r="BT824" s="16"/>
      <c r="BU824" s="16"/>
      <c r="BV824" s="16"/>
      <c r="BW824" s="16"/>
      <c r="BX824" s="16"/>
      <c r="BY824" s="16"/>
      <c r="BZ824" s="16"/>
      <c r="CA824" s="16"/>
      <c r="CB824" s="16"/>
      <c r="CC824" s="16"/>
    </row>
    <row r="825" spans="1:81" ht="13.5" thickBot="1">
      <c r="A825" s="16"/>
      <c r="B825" s="16"/>
      <c r="C825" s="17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  <c r="AT825" s="16"/>
      <c r="AU825" s="16"/>
      <c r="AV825" s="16"/>
      <c r="AW825" s="16"/>
      <c r="AX825" s="16"/>
      <c r="AY825" s="16"/>
      <c r="AZ825" s="16"/>
      <c r="BA825" s="16"/>
      <c r="BB825" s="16"/>
      <c r="BC825" s="16"/>
      <c r="BD825" s="16"/>
      <c r="BE825" s="16"/>
      <c r="BF825" s="16"/>
      <c r="BG825" s="16"/>
      <c r="BH825" s="16"/>
      <c r="BI825" s="16"/>
      <c r="BJ825" s="16"/>
      <c r="BK825" s="16"/>
      <c r="BL825" s="16"/>
      <c r="BM825" s="16"/>
      <c r="BN825" s="16"/>
      <c r="BO825" s="16"/>
      <c r="BP825" s="16"/>
      <c r="BQ825" s="16"/>
      <c r="BR825" s="16"/>
      <c r="BS825" s="16"/>
      <c r="BT825" s="16"/>
      <c r="BU825" s="16"/>
      <c r="BV825" s="16"/>
      <c r="BW825" s="16"/>
      <c r="BX825" s="16"/>
      <c r="BY825" s="16"/>
      <c r="BZ825" s="16"/>
      <c r="CA825" s="16"/>
      <c r="CB825" s="16"/>
      <c r="CC825" s="16"/>
    </row>
    <row r="826" spans="1:81" ht="13.5" thickBot="1">
      <c r="A826" s="16"/>
      <c r="B826" s="16"/>
      <c r="C826" s="17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  <c r="AT826" s="16"/>
      <c r="AU826" s="16"/>
      <c r="AV826" s="16"/>
      <c r="AW826" s="16"/>
      <c r="AX826" s="16"/>
      <c r="AY826" s="16"/>
      <c r="AZ826" s="16"/>
      <c r="BA826" s="16"/>
      <c r="BB826" s="16"/>
      <c r="BC826" s="16"/>
      <c r="BD826" s="16"/>
      <c r="BE826" s="16"/>
      <c r="BF826" s="16"/>
      <c r="BG826" s="16"/>
      <c r="BH826" s="16"/>
      <c r="BI826" s="16"/>
      <c r="BJ826" s="16"/>
      <c r="BK826" s="16"/>
      <c r="BL826" s="16"/>
      <c r="BM826" s="16"/>
      <c r="BN826" s="16"/>
      <c r="BO826" s="16"/>
      <c r="BP826" s="16"/>
      <c r="BQ826" s="16"/>
      <c r="BR826" s="16"/>
      <c r="BS826" s="16"/>
      <c r="BT826" s="16"/>
      <c r="BU826" s="16"/>
      <c r="BV826" s="16"/>
      <c r="BW826" s="16"/>
      <c r="BX826" s="16"/>
      <c r="BY826" s="16"/>
      <c r="BZ826" s="16"/>
      <c r="CA826" s="16"/>
      <c r="CB826" s="16"/>
      <c r="CC826" s="16"/>
    </row>
    <row r="827" spans="1:81" ht="13.5" thickBot="1">
      <c r="A827" s="16"/>
      <c r="B827" s="16"/>
      <c r="C827" s="17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  <c r="AT827" s="16"/>
      <c r="AU827" s="16"/>
      <c r="AV827" s="16"/>
      <c r="AW827" s="16"/>
      <c r="AX827" s="16"/>
      <c r="AY827" s="16"/>
      <c r="AZ827" s="16"/>
      <c r="BA827" s="16"/>
      <c r="BB827" s="16"/>
      <c r="BC827" s="16"/>
      <c r="BD827" s="16"/>
      <c r="BE827" s="16"/>
      <c r="BF827" s="16"/>
      <c r="BG827" s="16"/>
      <c r="BH827" s="16"/>
      <c r="BI827" s="16"/>
      <c r="BJ827" s="16"/>
      <c r="BK827" s="16"/>
      <c r="BL827" s="16"/>
      <c r="BM827" s="16"/>
      <c r="BN827" s="16"/>
      <c r="BO827" s="16"/>
      <c r="BP827" s="16"/>
      <c r="BQ827" s="16"/>
      <c r="BR827" s="16"/>
      <c r="BS827" s="16"/>
      <c r="BT827" s="16"/>
      <c r="BU827" s="16"/>
      <c r="BV827" s="16"/>
      <c r="BW827" s="16"/>
      <c r="BX827" s="16"/>
      <c r="BY827" s="16"/>
      <c r="BZ827" s="16"/>
      <c r="CA827" s="16"/>
      <c r="CB827" s="16"/>
      <c r="CC827" s="16"/>
    </row>
    <row r="828" spans="1:81" ht="13.5" thickBot="1">
      <c r="A828" s="16"/>
      <c r="B828" s="16"/>
      <c r="C828" s="17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  <c r="AT828" s="16"/>
      <c r="AU828" s="16"/>
      <c r="AV828" s="16"/>
      <c r="AW828" s="16"/>
      <c r="AX828" s="16"/>
      <c r="AY828" s="16"/>
      <c r="AZ828" s="16"/>
      <c r="BA828" s="16"/>
      <c r="BB828" s="16"/>
      <c r="BC828" s="16"/>
      <c r="BD828" s="16"/>
      <c r="BE828" s="16"/>
      <c r="BF828" s="16"/>
      <c r="BG828" s="16"/>
      <c r="BH828" s="16"/>
      <c r="BI828" s="16"/>
      <c r="BJ828" s="16"/>
      <c r="BK828" s="16"/>
      <c r="BL828" s="16"/>
      <c r="BM828" s="16"/>
      <c r="BN828" s="16"/>
      <c r="BO828" s="16"/>
      <c r="BP828" s="16"/>
      <c r="BQ828" s="16"/>
      <c r="BR828" s="16"/>
      <c r="BS828" s="16"/>
      <c r="BT828" s="16"/>
      <c r="BU828" s="16"/>
      <c r="BV828" s="16"/>
      <c r="BW828" s="16"/>
      <c r="BX828" s="16"/>
      <c r="BY828" s="16"/>
      <c r="BZ828" s="16"/>
      <c r="CA828" s="16"/>
      <c r="CB828" s="16"/>
      <c r="CC828" s="16"/>
    </row>
    <row r="829" spans="1:81" ht="13.5" thickBot="1">
      <c r="A829" s="16"/>
      <c r="B829" s="16"/>
      <c r="C829" s="17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  <c r="AT829" s="16"/>
      <c r="AU829" s="16"/>
      <c r="AV829" s="16"/>
      <c r="AW829" s="16"/>
      <c r="AX829" s="16"/>
      <c r="AY829" s="16"/>
      <c r="AZ829" s="16"/>
      <c r="BA829" s="16"/>
      <c r="BB829" s="16"/>
      <c r="BC829" s="16"/>
      <c r="BD829" s="16"/>
      <c r="BE829" s="16"/>
      <c r="BF829" s="16"/>
      <c r="BG829" s="16"/>
      <c r="BH829" s="16"/>
      <c r="BI829" s="16"/>
      <c r="BJ829" s="16"/>
      <c r="BK829" s="16"/>
      <c r="BL829" s="16"/>
      <c r="BM829" s="16"/>
      <c r="BN829" s="16"/>
      <c r="BO829" s="16"/>
      <c r="BP829" s="16"/>
      <c r="BQ829" s="16"/>
      <c r="BR829" s="16"/>
      <c r="BS829" s="16"/>
      <c r="BT829" s="16"/>
      <c r="BU829" s="16"/>
      <c r="BV829" s="16"/>
      <c r="BW829" s="16"/>
      <c r="BX829" s="16"/>
      <c r="BY829" s="16"/>
      <c r="BZ829" s="16"/>
      <c r="CA829" s="16"/>
      <c r="CB829" s="16"/>
      <c r="CC829" s="16"/>
    </row>
    <row r="830" spans="1:81" ht="13.5" thickBot="1">
      <c r="A830" s="16"/>
      <c r="B830" s="16"/>
      <c r="C830" s="17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  <c r="AT830" s="16"/>
      <c r="AU830" s="16"/>
      <c r="AV830" s="16"/>
      <c r="AW830" s="16"/>
      <c r="AX830" s="16"/>
      <c r="AY830" s="16"/>
      <c r="AZ830" s="16"/>
      <c r="BA830" s="16"/>
      <c r="BB830" s="16"/>
      <c r="BC830" s="16"/>
      <c r="BD830" s="16"/>
      <c r="BE830" s="16"/>
      <c r="BF830" s="16"/>
      <c r="BG830" s="16"/>
      <c r="BH830" s="16"/>
      <c r="BI830" s="16"/>
      <c r="BJ830" s="16"/>
      <c r="BK830" s="16"/>
      <c r="BL830" s="16"/>
      <c r="BM830" s="16"/>
      <c r="BN830" s="16"/>
      <c r="BO830" s="16"/>
      <c r="BP830" s="16"/>
      <c r="BQ830" s="16"/>
      <c r="BR830" s="16"/>
      <c r="BS830" s="16"/>
      <c r="BT830" s="16"/>
      <c r="BU830" s="16"/>
      <c r="BV830" s="16"/>
      <c r="BW830" s="16"/>
      <c r="BX830" s="16"/>
      <c r="BY830" s="16"/>
      <c r="BZ830" s="16"/>
      <c r="CA830" s="16"/>
      <c r="CB830" s="16"/>
      <c r="CC830" s="16"/>
    </row>
    <row r="831" spans="1:81" ht="13.5" thickBot="1">
      <c r="A831" s="16"/>
      <c r="B831" s="16"/>
      <c r="C831" s="17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  <c r="AT831" s="16"/>
      <c r="AU831" s="16"/>
      <c r="AV831" s="16"/>
      <c r="AW831" s="16"/>
      <c r="AX831" s="16"/>
      <c r="AY831" s="16"/>
      <c r="AZ831" s="16"/>
      <c r="BA831" s="16"/>
      <c r="BB831" s="16"/>
      <c r="BC831" s="16"/>
      <c r="BD831" s="16"/>
      <c r="BE831" s="16"/>
      <c r="BF831" s="16"/>
      <c r="BG831" s="16"/>
      <c r="BH831" s="16"/>
      <c r="BI831" s="16"/>
      <c r="BJ831" s="16"/>
      <c r="BK831" s="16"/>
      <c r="BL831" s="16"/>
      <c r="BM831" s="16"/>
      <c r="BN831" s="16"/>
      <c r="BO831" s="16"/>
      <c r="BP831" s="16"/>
      <c r="BQ831" s="16"/>
      <c r="BR831" s="16"/>
      <c r="BS831" s="16"/>
      <c r="BT831" s="16"/>
      <c r="BU831" s="16"/>
      <c r="BV831" s="16"/>
      <c r="BW831" s="16"/>
      <c r="BX831" s="16"/>
      <c r="BY831" s="16"/>
      <c r="BZ831" s="16"/>
      <c r="CA831" s="16"/>
      <c r="CB831" s="16"/>
      <c r="CC831" s="16"/>
    </row>
    <row r="832" spans="1:81" ht="13.5" thickBot="1">
      <c r="A832" s="16"/>
      <c r="B832" s="16"/>
      <c r="C832" s="17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  <c r="AT832" s="16"/>
      <c r="AU832" s="16"/>
      <c r="AV832" s="16"/>
      <c r="AW832" s="16"/>
      <c r="AX832" s="16"/>
      <c r="AY832" s="16"/>
      <c r="AZ832" s="16"/>
      <c r="BA832" s="16"/>
      <c r="BB832" s="16"/>
      <c r="BC832" s="16"/>
      <c r="BD832" s="16"/>
      <c r="BE832" s="16"/>
      <c r="BF832" s="16"/>
      <c r="BG832" s="16"/>
      <c r="BH832" s="16"/>
      <c r="BI832" s="16"/>
      <c r="BJ832" s="16"/>
      <c r="BK832" s="16"/>
      <c r="BL832" s="16"/>
      <c r="BM832" s="16"/>
      <c r="BN832" s="16"/>
      <c r="BO832" s="16"/>
      <c r="BP832" s="16"/>
      <c r="BQ832" s="16"/>
      <c r="BR832" s="16"/>
      <c r="BS832" s="16"/>
      <c r="BT832" s="16"/>
      <c r="BU832" s="16"/>
      <c r="BV832" s="16"/>
      <c r="BW832" s="16"/>
      <c r="BX832" s="16"/>
      <c r="BY832" s="16"/>
      <c r="BZ832" s="16"/>
      <c r="CA832" s="16"/>
      <c r="CB832" s="16"/>
      <c r="CC832" s="16"/>
    </row>
    <row r="833" spans="1:81" ht="13.5" thickBot="1">
      <c r="A833" s="16"/>
      <c r="B833" s="16"/>
      <c r="C833" s="17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  <c r="AT833" s="16"/>
      <c r="AU833" s="16"/>
      <c r="AV833" s="16"/>
      <c r="AW833" s="16"/>
      <c r="AX833" s="16"/>
      <c r="AY833" s="16"/>
      <c r="AZ833" s="16"/>
      <c r="BA833" s="16"/>
      <c r="BB833" s="16"/>
      <c r="BC833" s="16"/>
      <c r="BD833" s="16"/>
      <c r="BE833" s="16"/>
      <c r="BF833" s="16"/>
      <c r="BG833" s="16"/>
      <c r="BH833" s="16"/>
      <c r="BI833" s="16"/>
      <c r="BJ833" s="16"/>
      <c r="BK833" s="16"/>
      <c r="BL833" s="16"/>
      <c r="BM833" s="16"/>
      <c r="BN833" s="16"/>
      <c r="BO833" s="16"/>
      <c r="BP833" s="16"/>
      <c r="BQ833" s="16"/>
      <c r="BR833" s="16"/>
      <c r="BS833" s="16"/>
      <c r="BT833" s="16"/>
      <c r="BU833" s="16"/>
      <c r="BV833" s="16"/>
      <c r="BW833" s="16"/>
      <c r="BX833" s="16"/>
      <c r="BY833" s="16"/>
      <c r="BZ833" s="16"/>
      <c r="CA833" s="16"/>
      <c r="CB833" s="16"/>
      <c r="CC833" s="16"/>
    </row>
    <row r="834" spans="1:81" ht="13.5" thickBot="1">
      <c r="A834" s="16"/>
      <c r="B834" s="16"/>
      <c r="C834" s="17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  <c r="AT834" s="16"/>
      <c r="AU834" s="16"/>
      <c r="AV834" s="16"/>
      <c r="AW834" s="16"/>
      <c r="AX834" s="16"/>
      <c r="AY834" s="16"/>
      <c r="AZ834" s="16"/>
      <c r="BA834" s="16"/>
      <c r="BB834" s="16"/>
      <c r="BC834" s="16"/>
      <c r="BD834" s="16"/>
      <c r="BE834" s="16"/>
      <c r="BF834" s="16"/>
      <c r="BG834" s="16"/>
      <c r="BH834" s="16"/>
      <c r="BI834" s="16"/>
      <c r="BJ834" s="16"/>
      <c r="BK834" s="16"/>
      <c r="BL834" s="16"/>
      <c r="BM834" s="16"/>
      <c r="BN834" s="16"/>
      <c r="BO834" s="16"/>
      <c r="BP834" s="16"/>
      <c r="BQ834" s="16"/>
      <c r="BR834" s="16"/>
      <c r="BS834" s="16"/>
      <c r="BT834" s="16"/>
      <c r="BU834" s="16"/>
      <c r="BV834" s="16"/>
      <c r="BW834" s="16"/>
      <c r="BX834" s="16"/>
      <c r="BY834" s="16"/>
      <c r="BZ834" s="16"/>
      <c r="CA834" s="16"/>
      <c r="CB834" s="16"/>
      <c r="CC834" s="16"/>
    </row>
    <row r="835" spans="1:81" ht="13.5" thickBot="1">
      <c r="A835" s="16"/>
      <c r="B835" s="16"/>
      <c r="C835" s="17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  <c r="AT835" s="16"/>
      <c r="AU835" s="16"/>
      <c r="AV835" s="16"/>
      <c r="AW835" s="16"/>
      <c r="AX835" s="16"/>
      <c r="AY835" s="16"/>
      <c r="AZ835" s="16"/>
      <c r="BA835" s="16"/>
      <c r="BB835" s="16"/>
      <c r="BC835" s="16"/>
      <c r="BD835" s="16"/>
      <c r="BE835" s="16"/>
      <c r="BF835" s="16"/>
      <c r="BG835" s="16"/>
      <c r="BH835" s="16"/>
      <c r="BI835" s="16"/>
      <c r="BJ835" s="16"/>
      <c r="BK835" s="16"/>
      <c r="BL835" s="16"/>
      <c r="BM835" s="16"/>
      <c r="BN835" s="16"/>
      <c r="BO835" s="16"/>
      <c r="BP835" s="16"/>
      <c r="BQ835" s="16"/>
      <c r="BR835" s="16"/>
      <c r="BS835" s="16"/>
      <c r="BT835" s="16"/>
      <c r="BU835" s="16"/>
      <c r="BV835" s="16"/>
      <c r="BW835" s="16"/>
      <c r="BX835" s="16"/>
      <c r="BY835" s="16"/>
      <c r="BZ835" s="16"/>
      <c r="CA835" s="16"/>
      <c r="CB835" s="16"/>
      <c r="CC835" s="16"/>
    </row>
    <row r="836" spans="1:81" ht="13.5" thickBot="1">
      <c r="A836" s="16"/>
      <c r="B836" s="16"/>
      <c r="C836" s="17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  <c r="AT836" s="16"/>
      <c r="AU836" s="16"/>
      <c r="AV836" s="16"/>
      <c r="AW836" s="16"/>
      <c r="AX836" s="16"/>
      <c r="AY836" s="16"/>
      <c r="AZ836" s="16"/>
      <c r="BA836" s="16"/>
      <c r="BB836" s="16"/>
      <c r="BC836" s="16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  <c r="BS836" s="16"/>
      <c r="BT836" s="16"/>
      <c r="BU836" s="16"/>
      <c r="BV836" s="16"/>
      <c r="BW836" s="16"/>
      <c r="BX836" s="16"/>
      <c r="BY836" s="16"/>
      <c r="BZ836" s="16"/>
      <c r="CA836" s="16"/>
      <c r="CB836" s="16"/>
      <c r="CC836" s="16"/>
    </row>
    <row r="837" spans="1:81" ht="13.5" thickBot="1">
      <c r="A837" s="16"/>
      <c r="B837" s="16"/>
      <c r="C837" s="17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  <c r="AT837" s="16"/>
      <c r="AU837" s="16"/>
      <c r="AV837" s="16"/>
      <c r="AW837" s="16"/>
      <c r="AX837" s="16"/>
      <c r="AY837" s="16"/>
      <c r="AZ837" s="16"/>
      <c r="BA837" s="16"/>
      <c r="BB837" s="16"/>
      <c r="BC837" s="16"/>
      <c r="BD837" s="16"/>
      <c r="BE837" s="16"/>
      <c r="BF837" s="16"/>
      <c r="BG837" s="16"/>
      <c r="BH837" s="16"/>
      <c r="BI837" s="16"/>
      <c r="BJ837" s="16"/>
      <c r="BK837" s="16"/>
      <c r="BL837" s="16"/>
      <c r="BM837" s="16"/>
      <c r="BN837" s="16"/>
      <c r="BO837" s="16"/>
      <c r="BP837" s="16"/>
      <c r="BQ837" s="16"/>
      <c r="BR837" s="16"/>
      <c r="BS837" s="16"/>
      <c r="BT837" s="16"/>
      <c r="BU837" s="16"/>
      <c r="BV837" s="16"/>
      <c r="BW837" s="16"/>
      <c r="BX837" s="16"/>
      <c r="BY837" s="16"/>
      <c r="BZ837" s="16"/>
      <c r="CA837" s="16"/>
      <c r="CB837" s="16"/>
      <c r="CC837" s="16"/>
    </row>
    <row r="838" spans="1:81" ht="13.5" thickBot="1">
      <c r="A838" s="16"/>
      <c r="B838" s="16"/>
      <c r="C838" s="17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  <c r="AT838" s="16"/>
      <c r="AU838" s="16"/>
      <c r="AV838" s="16"/>
      <c r="AW838" s="16"/>
      <c r="AX838" s="16"/>
      <c r="AY838" s="16"/>
      <c r="AZ838" s="16"/>
      <c r="BA838" s="16"/>
      <c r="BB838" s="16"/>
      <c r="BC838" s="16"/>
      <c r="BD838" s="16"/>
      <c r="BE838" s="16"/>
      <c r="BF838" s="16"/>
      <c r="BG838" s="16"/>
      <c r="BH838" s="16"/>
      <c r="BI838" s="16"/>
      <c r="BJ838" s="16"/>
      <c r="BK838" s="16"/>
      <c r="BL838" s="16"/>
      <c r="BM838" s="16"/>
      <c r="BN838" s="16"/>
      <c r="BO838" s="16"/>
      <c r="BP838" s="16"/>
      <c r="BQ838" s="16"/>
      <c r="BR838" s="16"/>
      <c r="BS838" s="16"/>
      <c r="BT838" s="16"/>
      <c r="BU838" s="16"/>
      <c r="BV838" s="16"/>
      <c r="BW838" s="16"/>
      <c r="BX838" s="16"/>
      <c r="BY838" s="16"/>
      <c r="BZ838" s="16"/>
      <c r="CA838" s="16"/>
      <c r="CB838" s="16"/>
      <c r="CC838" s="16"/>
    </row>
    <row r="839" spans="1:81" ht="13.5" thickBot="1">
      <c r="A839" s="16"/>
      <c r="B839" s="16"/>
      <c r="C839" s="17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  <c r="AT839" s="16"/>
      <c r="AU839" s="16"/>
      <c r="AV839" s="16"/>
      <c r="AW839" s="16"/>
      <c r="AX839" s="16"/>
      <c r="AY839" s="16"/>
      <c r="AZ839" s="16"/>
      <c r="BA839" s="16"/>
      <c r="BB839" s="16"/>
      <c r="BC839" s="16"/>
      <c r="BD839" s="16"/>
      <c r="BE839" s="16"/>
      <c r="BF839" s="16"/>
      <c r="BG839" s="16"/>
      <c r="BH839" s="16"/>
      <c r="BI839" s="16"/>
      <c r="BJ839" s="16"/>
      <c r="BK839" s="16"/>
      <c r="BL839" s="16"/>
      <c r="BM839" s="16"/>
      <c r="BN839" s="16"/>
      <c r="BO839" s="16"/>
      <c r="BP839" s="16"/>
      <c r="BQ839" s="16"/>
      <c r="BR839" s="16"/>
      <c r="BS839" s="16"/>
      <c r="BT839" s="16"/>
      <c r="BU839" s="16"/>
      <c r="BV839" s="16"/>
      <c r="BW839" s="16"/>
      <c r="BX839" s="16"/>
      <c r="BY839" s="16"/>
      <c r="BZ839" s="16"/>
      <c r="CA839" s="16"/>
      <c r="CB839" s="16"/>
      <c r="CC839" s="16"/>
    </row>
    <row r="840" spans="1:81" ht="13.5" thickBot="1">
      <c r="A840" s="16"/>
      <c r="B840" s="16"/>
      <c r="C840" s="17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  <c r="AT840" s="16"/>
      <c r="AU840" s="16"/>
      <c r="AV840" s="16"/>
      <c r="AW840" s="16"/>
      <c r="AX840" s="16"/>
      <c r="AY840" s="16"/>
      <c r="AZ840" s="16"/>
      <c r="BA840" s="16"/>
      <c r="BB840" s="16"/>
      <c r="BC840" s="16"/>
      <c r="BD840" s="16"/>
      <c r="BE840" s="16"/>
      <c r="BF840" s="16"/>
      <c r="BG840" s="16"/>
      <c r="BH840" s="16"/>
      <c r="BI840" s="16"/>
      <c r="BJ840" s="16"/>
      <c r="BK840" s="16"/>
      <c r="BL840" s="16"/>
      <c r="BM840" s="16"/>
      <c r="BN840" s="16"/>
      <c r="BO840" s="16"/>
      <c r="BP840" s="16"/>
      <c r="BQ840" s="16"/>
      <c r="BR840" s="16"/>
      <c r="BS840" s="16"/>
      <c r="BT840" s="16"/>
      <c r="BU840" s="16"/>
      <c r="BV840" s="16"/>
      <c r="BW840" s="16"/>
      <c r="BX840" s="16"/>
      <c r="BY840" s="16"/>
      <c r="BZ840" s="16"/>
      <c r="CA840" s="16"/>
      <c r="CB840" s="16"/>
      <c r="CC840" s="16"/>
    </row>
    <row r="841" spans="1:81" ht="13.5" thickBot="1">
      <c r="A841" s="16"/>
      <c r="B841" s="16"/>
      <c r="C841" s="17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  <c r="AT841" s="16"/>
      <c r="AU841" s="16"/>
      <c r="AV841" s="16"/>
      <c r="AW841" s="16"/>
      <c r="AX841" s="16"/>
      <c r="AY841" s="16"/>
      <c r="AZ841" s="16"/>
      <c r="BA841" s="16"/>
      <c r="BB841" s="16"/>
      <c r="BC841" s="16"/>
      <c r="BD841" s="16"/>
      <c r="BE841" s="16"/>
      <c r="BF841" s="16"/>
      <c r="BG841" s="16"/>
      <c r="BH841" s="16"/>
      <c r="BI841" s="16"/>
      <c r="BJ841" s="16"/>
      <c r="BK841" s="16"/>
      <c r="BL841" s="16"/>
      <c r="BM841" s="16"/>
      <c r="BN841" s="16"/>
      <c r="BO841" s="16"/>
      <c r="BP841" s="16"/>
      <c r="BQ841" s="16"/>
      <c r="BR841" s="16"/>
      <c r="BS841" s="16"/>
      <c r="BT841" s="16"/>
      <c r="BU841" s="16"/>
      <c r="BV841" s="16"/>
      <c r="BW841" s="16"/>
      <c r="BX841" s="16"/>
      <c r="BY841" s="16"/>
      <c r="BZ841" s="16"/>
      <c r="CA841" s="16"/>
      <c r="CB841" s="16"/>
      <c r="CC841" s="16"/>
    </row>
    <row r="842" spans="1:81" ht="13.5" thickBot="1">
      <c r="A842" s="16"/>
      <c r="B842" s="16"/>
      <c r="C842" s="17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  <c r="AT842" s="16"/>
      <c r="AU842" s="16"/>
      <c r="AV842" s="16"/>
      <c r="AW842" s="16"/>
      <c r="AX842" s="16"/>
      <c r="AY842" s="16"/>
      <c r="AZ842" s="16"/>
      <c r="BA842" s="16"/>
      <c r="BB842" s="16"/>
      <c r="BC842" s="16"/>
      <c r="BD842" s="16"/>
      <c r="BE842" s="16"/>
      <c r="BF842" s="16"/>
      <c r="BG842" s="16"/>
      <c r="BH842" s="16"/>
      <c r="BI842" s="16"/>
      <c r="BJ842" s="16"/>
      <c r="BK842" s="16"/>
      <c r="BL842" s="16"/>
      <c r="BM842" s="16"/>
      <c r="BN842" s="16"/>
      <c r="BO842" s="16"/>
      <c r="BP842" s="16"/>
      <c r="BQ842" s="16"/>
      <c r="BR842" s="16"/>
      <c r="BS842" s="16"/>
      <c r="BT842" s="16"/>
      <c r="BU842" s="16"/>
      <c r="BV842" s="16"/>
      <c r="BW842" s="16"/>
      <c r="BX842" s="16"/>
      <c r="BY842" s="16"/>
      <c r="BZ842" s="16"/>
      <c r="CA842" s="16"/>
      <c r="CB842" s="16"/>
      <c r="CC842" s="16"/>
    </row>
    <row r="843" spans="1:81" ht="13.5" thickBot="1">
      <c r="A843" s="16"/>
      <c r="B843" s="16"/>
      <c r="C843" s="17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  <c r="AT843" s="16"/>
      <c r="AU843" s="16"/>
      <c r="AV843" s="16"/>
      <c r="AW843" s="16"/>
      <c r="AX843" s="16"/>
      <c r="AY843" s="16"/>
      <c r="AZ843" s="16"/>
      <c r="BA843" s="16"/>
      <c r="BB843" s="16"/>
      <c r="BC843" s="16"/>
      <c r="BD843" s="16"/>
      <c r="BE843" s="16"/>
      <c r="BF843" s="16"/>
      <c r="BG843" s="16"/>
      <c r="BH843" s="16"/>
      <c r="BI843" s="16"/>
      <c r="BJ843" s="16"/>
      <c r="BK843" s="16"/>
      <c r="BL843" s="16"/>
      <c r="BM843" s="16"/>
      <c r="BN843" s="16"/>
      <c r="BO843" s="16"/>
      <c r="BP843" s="16"/>
      <c r="BQ843" s="16"/>
      <c r="BR843" s="16"/>
      <c r="BS843" s="16"/>
      <c r="BT843" s="16"/>
      <c r="BU843" s="16"/>
      <c r="BV843" s="16"/>
      <c r="BW843" s="16"/>
      <c r="BX843" s="16"/>
      <c r="BY843" s="16"/>
      <c r="BZ843" s="16"/>
      <c r="CA843" s="16"/>
      <c r="CB843" s="16"/>
      <c r="CC843" s="16"/>
    </row>
    <row r="844" spans="1:81" ht="13.5" thickBot="1">
      <c r="A844" s="16"/>
      <c r="B844" s="16"/>
      <c r="C844" s="17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  <c r="AT844" s="16"/>
      <c r="AU844" s="16"/>
      <c r="AV844" s="16"/>
      <c r="AW844" s="16"/>
      <c r="AX844" s="16"/>
      <c r="AY844" s="16"/>
      <c r="AZ844" s="16"/>
      <c r="BA844" s="16"/>
      <c r="BB844" s="16"/>
      <c r="BC844" s="16"/>
      <c r="BD844" s="16"/>
      <c r="BE844" s="16"/>
      <c r="BF844" s="16"/>
      <c r="BG844" s="16"/>
      <c r="BH844" s="16"/>
      <c r="BI844" s="16"/>
      <c r="BJ844" s="16"/>
      <c r="BK844" s="16"/>
      <c r="BL844" s="16"/>
      <c r="BM844" s="16"/>
      <c r="BN844" s="16"/>
      <c r="BO844" s="16"/>
      <c r="BP844" s="16"/>
      <c r="BQ844" s="16"/>
      <c r="BR844" s="16"/>
      <c r="BS844" s="16"/>
      <c r="BT844" s="16"/>
      <c r="BU844" s="16"/>
      <c r="BV844" s="16"/>
      <c r="BW844" s="16"/>
      <c r="BX844" s="16"/>
      <c r="BY844" s="16"/>
      <c r="BZ844" s="16"/>
      <c r="CA844" s="16"/>
      <c r="CB844" s="16"/>
      <c r="CC844" s="16"/>
    </row>
    <row r="845" spans="1:81" ht="13.5" thickBot="1">
      <c r="A845" s="16"/>
      <c r="B845" s="16"/>
      <c r="C845" s="17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  <c r="AT845" s="16"/>
      <c r="AU845" s="16"/>
      <c r="AV845" s="16"/>
      <c r="AW845" s="16"/>
      <c r="AX845" s="16"/>
      <c r="AY845" s="16"/>
      <c r="AZ845" s="16"/>
      <c r="BA845" s="16"/>
      <c r="BB845" s="16"/>
      <c r="BC845" s="16"/>
      <c r="BD845" s="16"/>
      <c r="BE845" s="16"/>
      <c r="BF845" s="16"/>
      <c r="BG845" s="16"/>
      <c r="BH845" s="16"/>
      <c r="BI845" s="16"/>
      <c r="BJ845" s="16"/>
      <c r="BK845" s="16"/>
      <c r="BL845" s="16"/>
      <c r="BM845" s="16"/>
      <c r="BN845" s="16"/>
      <c r="BO845" s="16"/>
      <c r="BP845" s="16"/>
      <c r="BQ845" s="16"/>
      <c r="BR845" s="16"/>
      <c r="BS845" s="16"/>
      <c r="BT845" s="16"/>
      <c r="BU845" s="16"/>
      <c r="BV845" s="16"/>
      <c r="BW845" s="16"/>
      <c r="BX845" s="16"/>
      <c r="BY845" s="16"/>
      <c r="BZ845" s="16"/>
      <c r="CA845" s="16"/>
      <c r="CB845" s="16"/>
      <c r="CC845" s="16"/>
    </row>
    <row r="846" spans="1:81" ht="13.5" thickBot="1">
      <c r="A846" s="16"/>
      <c r="B846" s="16"/>
      <c r="C846" s="17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  <c r="AT846" s="16"/>
      <c r="AU846" s="16"/>
      <c r="AV846" s="16"/>
      <c r="AW846" s="16"/>
      <c r="AX846" s="16"/>
      <c r="AY846" s="16"/>
      <c r="AZ846" s="16"/>
      <c r="BA846" s="16"/>
      <c r="BB846" s="16"/>
      <c r="BC846" s="16"/>
      <c r="BD846" s="16"/>
      <c r="BE846" s="16"/>
      <c r="BF846" s="16"/>
      <c r="BG846" s="16"/>
      <c r="BH846" s="16"/>
      <c r="BI846" s="16"/>
      <c r="BJ846" s="16"/>
      <c r="BK846" s="16"/>
      <c r="BL846" s="16"/>
      <c r="BM846" s="16"/>
      <c r="BN846" s="16"/>
      <c r="BO846" s="16"/>
      <c r="BP846" s="16"/>
      <c r="BQ846" s="16"/>
      <c r="BR846" s="16"/>
      <c r="BS846" s="16"/>
      <c r="BT846" s="16"/>
      <c r="BU846" s="16"/>
      <c r="BV846" s="16"/>
      <c r="BW846" s="16"/>
      <c r="BX846" s="16"/>
      <c r="BY846" s="16"/>
      <c r="BZ846" s="16"/>
      <c r="CA846" s="16"/>
      <c r="CB846" s="16"/>
      <c r="CC846" s="16"/>
    </row>
    <row r="847" spans="1:81" ht="13.5" thickBot="1">
      <c r="A847" s="16"/>
      <c r="B847" s="16"/>
      <c r="C847" s="17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  <c r="AT847" s="16"/>
      <c r="AU847" s="16"/>
      <c r="AV847" s="16"/>
      <c r="AW847" s="16"/>
      <c r="AX847" s="16"/>
      <c r="AY847" s="16"/>
      <c r="AZ847" s="16"/>
      <c r="BA847" s="16"/>
      <c r="BB847" s="16"/>
      <c r="BC847" s="16"/>
      <c r="BD847" s="16"/>
      <c r="BE847" s="16"/>
      <c r="BF847" s="16"/>
      <c r="BG847" s="16"/>
      <c r="BH847" s="16"/>
      <c r="BI847" s="16"/>
      <c r="BJ847" s="16"/>
      <c r="BK847" s="16"/>
      <c r="BL847" s="16"/>
      <c r="BM847" s="16"/>
      <c r="BN847" s="16"/>
      <c r="BO847" s="16"/>
      <c r="BP847" s="16"/>
      <c r="BQ847" s="16"/>
      <c r="BR847" s="16"/>
      <c r="BS847" s="16"/>
      <c r="BT847" s="16"/>
      <c r="BU847" s="16"/>
      <c r="BV847" s="16"/>
      <c r="BW847" s="16"/>
      <c r="BX847" s="16"/>
      <c r="BY847" s="16"/>
      <c r="BZ847" s="16"/>
      <c r="CA847" s="16"/>
      <c r="CB847" s="16"/>
      <c r="CC847" s="16"/>
    </row>
    <row r="848" spans="1:81" ht="13.5" thickBot="1">
      <c r="A848" s="16"/>
      <c r="B848" s="16"/>
      <c r="C848" s="17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  <c r="AT848" s="16"/>
      <c r="AU848" s="16"/>
      <c r="AV848" s="16"/>
      <c r="AW848" s="16"/>
      <c r="AX848" s="16"/>
      <c r="AY848" s="16"/>
      <c r="AZ848" s="16"/>
      <c r="BA848" s="16"/>
      <c r="BB848" s="16"/>
      <c r="BC848" s="16"/>
      <c r="BD848" s="16"/>
      <c r="BE848" s="16"/>
      <c r="BF848" s="16"/>
      <c r="BG848" s="16"/>
      <c r="BH848" s="16"/>
      <c r="BI848" s="16"/>
      <c r="BJ848" s="16"/>
      <c r="BK848" s="16"/>
      <c r="BL848" s="16"/>
      <c r="BM848" s="16"/>
      <c r="BN848" s="16"/>
      <c r="BO848" s="16"/>
      <c r="BP848" s="16"/>
      <c r="BQ848" s="16"/>
      <c r="BR848" s="16"/>
      <c r="BS848" s="16"/>
      <c r="BT848" s="16"/>
      <c r="BU848" s="16"/>
      <c r="BV848" s="16"/>
      <c r="BW848" s="16"/>
      <c r="BX848" s="16"/>
      <c r="BY848" s="16"/>
      <c r="BZ848" s="16"/>
      <c r="CA848" s="16"/>
      <c r="CB848" s="16"/>
      <c r="CC848" s="16"/>
    </row>
    <row r="849" spans="1:81" ht="13.5" thickBot="1">
      <c r="A849" s="16"/>
      <c r="B849" s="16"/>
      <c r="C849" s="17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  <c r="AT849" s="16"/>
      <c r="AU849" s="16"/>
      <c r="AV849" s="16"/>
      <c r="AW849" s="16"/>
      <c r="AX849" s="16"/>
      <c r="AY849" s="16"/>
      <c r="AZ849" s="16"/>
      <c r="BA849" s="16"/>
      <c r="BB849" s="16"/>
      <c r="BC849" s="16"/>
      <c r="BD849" s="16"/>
      <c r="BE849" s="16"/>
      <c r="BF849" s="16"/>
      <c r="BG849" s="16"/>
      <c r="BH849" s="16"/>
      <c r="BI849" s="16"/>
      <c r="BJ849" s="16"/>
      <c r="BK849" s="16"/>
      <c r="BL849" s="16"/>
      <c r="BM849" s="16"/>
      <c r="BN849" s="16"/>
      <c r="BO849" s="16"/>
      <c r="BP849" s="16"/>
      <c r="BQ849" s="16"/>
      <c r="BR849" s="16"/>
      <c r="BS849" s="16"/>
      <c r="BT849" s="16"/>
      <c r="BU849" s="16"/>
      <c r="BV849" s="16"/>
      <c r="BW849" s="16"/>
      <c r="BX849" s="16"/>
      <c r="BY849" s="16"/>
      <c r="BZ849" s="16"/>
      <c r="CA849" s="16"/>
      <c r="CB849" s="16"/>
      <c r="CC849" s="16"/>
    </row>
    <row r="850" spans="1:81" ht="13.5" thickBot="1">
      <c r="A850" s="16"/>
      <c r="B850" s="16"/>
      <c r="C850" s="17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  <c r="AT850" s="16"/>
      <c r="AU850" s="16"/>
      <c r="AV850" s="16"/>
      <c r="AW850" s="16"/>
      <c r="AX850" s="16"/>
      <c r="AY850" s="16"/>
      <c r="AZ850" s="16"/>
      <c r="BA850" s="16"/>
      <c r="BB850" s="16"/>
      <c r="BC850" s="16"/>
      <c r="BD850" s="16"/>
      <c r="BE850" s="16"/>
      <c r="BF850" s="16"/>
      <c r="BG850" s="16"/>
      <c r="BH850" s="16"/>
      <c r="BI850" s="16"/>
      <c r="BJ850" s="16"/>
      <c r="BK850" s="16"/>
      <c r="BL850" s="16"/>
      <c r="BM850" s="16"/>
      <c r="BN850" s="16"/>
      <c r="BO850" s="16"/>
      <c r="BP850" s="16"/>
      <c r="BQ850" s="16"/>
      <c r="BR850" s="16"/>
      <c r="BS850" s="16"/>
      <c r="BT850" s="16"/>
      <c r="BU850" s="16"/>
      <c r="BV850" s="16"/>
      <c r="BW850" s="16"/>
      <c r="BX850" s="16"/>
      <c r="BY850" s="16"/>
      <c r="BZ850" s="16"/>
      <c r="CA850" s="16"/>
      <c r="CB850" s="16"/>
      <c r="CC850" s="16"/>
    </row>
    <row r="851" spans="1:81" ht="13.5" thickBot="1">
      <c r="A851" s="16"/>
      <c r="B851" s="16"/>
      <c r="C851" s="17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  <c r="AT851" s="16"/>
      <c r="AU851" s="16"/>
      <c r="AV851" s="16"/>
      <c r="AW851" s="16"/>
      <c r="AX851" s="16"/>
      <c r="AY851" s="16"/>
      <c r="AZ851" s="16"/>
      <c r="BA851" s="16"/>
      <c r="BB851" s="16"/>
      <c r="BC851" s="16"/>
      <c r="BD851" s="16"/>
      <c r="BE851" s="16"/>
      <c r="BF851" s="16"/>
      <c r="BG851" s="16"/>
      <c r="BH851" s="16"/>
      <c r="BI851" s="16"/>
      <c r="BJ851" s="16"/>
      <c r="BK851" s="16"/>
      <c r="BL851" s="16"/>
      <c r="BM851" s="16"/>
      <c r="BN851" s="16"/>
      <c r="BO851" s="16"/>
      <c r="BP851" s="16"/>
      <c r="BQ851" s="16"/>
      <c r="BR851" s="16"/>
      <c r="BS851" s="16"/>
      <c r="BT851" s="16"/>
      <c r="BU851" s="16"/>
      <c r="BV851" s="16"/>
      <c r="BW851" s="16"/>
      <c r="BX851" s="16"/>
      <c r="BY851" s="16"/>
      <c r="BZ851" s="16"/>
      <c r="CA851" s="16"/>
      <c r="CB851" s="16"/>
      <c r="CC851" s="16"/>
    </row>
    <row r="852" spans="1:81" ht="13.5" thickBot="1">
      <c r="A852" s="16"/>
      <c r="B852" s="16"/>
      <c r="C852" s="17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  <c r="AT852" s="16"/>
      <c r="AU852" s="16"/>
      <c r="AV852" s="16"/>
      <c r="AW852" s="16"/>
      <c r="AX852" s="16"/>
      <c r="AY852" s="16"/>
      <c r="AZ852" s="16"/>
      <c r="BA852" s="16"/>
      <c r="BB852" s="16"/>
      <c r="BC852" s="16"/>
      <c r="BD852" s="16"/>
      <c r="BE852" s="16"/>
      <c r="BF852" s="16"/>
      <c r="BG852" s="16"/>
      <c r="BH852" s="16"/>
      <c r="BI852" s="16"/>
      <c r="BJ852" s="16"/>
      <c r="BK852" s="16"/>
      <c r="BL852" s="16"/>
      <c r="BM852" s="16"/>
      <c r="BN852" s="16"/>
      <c r="BO852" s="16"/>
      <c r="BP852" s="16"/>
      <c r="BQ852" s="16"/>
      <c r="BR852" s="16"/>
      <c r="BS852" s="16"/>
      <c r="BT852" s="16"/>
      <c r="BU852" s="16"/>
      <c r="BV852" s="16"/>
      <c r="BW852" s="16"/>
      <c r="BX852" s="16"/>
      <c r="BY852" s="16"/>
      <c r="BZ852" s="16"/>
      <c r="CA852" s="16"/>
      <c r="CB852" s="16"/>
      <c r="CC852" s="16"/>
    </row>
    <row r="853" spans="1:81" ht="13.5" thickBot="1">
      <c r="A853" s="16"/>
      <c r="B853" s="16"/>
      <c r="C853" s="17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  <c r="AT853" s="16"/>
      <c r="AU853" s="16"/>
      <c r="AV853" s="16"/>
      <c r="AW853" s="16"/>
      <c r="AX853" s="16"/>
      <c r="AY853" s="16"/>
      <c r="AZ853" s="16"/>
      <c r="BA853" s="16"/>
      <c r="BB853" s="16"/>
      <c r="BC853" s="16"/>
      <c r="BD853" s="16"/>
      <c r="BE853" s="16"/>
      <c r="BF853" s="16"/>
      <c r="BG853" s="16"/>
      <c r="BH853" s="16"/>
      <c r="BI853" s="16"/>
      <c r="BJ853" s="16"/>
      <c r="BK853" s="16"/>
      <c r="BL853" s="16"/>
      <c r="BM853" s="16"/>
      <c r="BN853" s="16"/>
      <c r="BO853" s="16"/>
      <c r="BP853" s="16"/>
      <c r="BQ853" s="16"/>
      <c r="BR853" s="16"/>
      <c r="BS853" s="16"/>
      <c r="BT853" s="16"/>
      <c r="BU853" s="16"/>
      <c r="BV853" s="16"/>
      <c r="BW853" s="16"/>
      <c r="BX853" s="16"/>
      <c r="BY853" s="16"/>
      <c r="BZ853" s="16"/>
      <c r="CA853" s="16"/>
      <c r="CB853" s="16"/>
      <c r="CC853" s="16"/>
    </row>
    <row r="854" spans="1:81" ht="13.5" thickBot="1">
      <c r="A854" s="16"/>
      <c r="B854" s="16"/>
      <c r="C854" s="17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  <c r="AT854" s="16"/>
      <c r="AU854" s="16"/>
      <c r="AV854" s="16"/>
      <c r="AW854" s="16"/>
      <c r="AX854" s="16"/>
      <c r="AY854" s="16"/>
      <c r="AZ854" s="16"/>
      <c r="BA854" s="16"/>
      <c r="BB854" s="16"/>
      <c r="BC854" s="16"/>
      <c r="BD854" s="16"/>
      <c r="BE854" s="16"/>
      <c r="BF854" s="16"/>
      <c r="BG854" s="16"/>
      <c r="BH854" s="16"/>
      <c r="BI854" s="16"/>
      <c r="BJ854" s="16"/>
      <c r="BK854" s="16"/>
      <c r="BL854" s="16"/>
      <c r="BM854" s="16"/>
      <c r="BN854" s="16"/>
      <c r="BO854" s="16"/>
      <c r="BP854" s="16"/>
      <c r="BQ854" s="16"/>
      <c r="BR854" s="16"/>
      <c r="BS854" s="16"/>
      <c r="BT854" s="16"/>
      <c r="BU854" s="16"/>
      <c r="BV854" s="16"/>
      <c r="BW854" s="16"/>
      <c r="BX854" s="16"/>
      <c r="BY854" s="16"/>
      <c r="BZ854" s="16"/>
      <c r="CA854" s="16"/>
      <c r="CB854" s="16"/>
      <c r="CC854" s="16"/>
    </row>
    <row r="855" spans="1:81" ht="13.5" thickBot="1">
      <c r="A855" s="16"/>
      <c r="B855" s="16"/>
      <c r="C855" s="17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  <c r="AT855" s="16"/>
      <c r="AU855" s="16"/>
      <c r="AV855" s="16"/>
      <c r="AW855" s="16"/>
      <c r="AX855" s="16"/>
      <c r="AY855" s="16"/>
      <c r="AZ855" s="16"/>
      <c r="BA855" s="16"/>
      <c r="BB855" s="16"/>
      <c r="BC855" s="16"/>
      <c r="BD855" s="16"/>
      <c r="BE855" s="16"/>
      <c r="BF855" s="16"/>
      <c r="BG855" s="16"/>
      <c r="BH855" s="16"/>
      <c r="BI855" s="16"/>
      <c r="BJ855" s="16"/>
      <c r="BK855" s="16"/>
      <c r="BL855" s="16"/>
      <c r="BM855" s="16"/>
      <c r="BN855" s="16"/>
      <c r="BO855" s="16"/>
      <c r="BP855" s="16"/>
      <c r="BQ855" s="16"/>
      <c r="BR855" s="16"/>
      <c r="BS855" s="16"/>
      <c r="BT855" s="16"/>
      <c r="BU855" s="16"/>
      <c r="BV855" s="16"/>
      <c r="BW855" s="16"/>
      <c r="BX855" s="16"/>
      <c r="BY855" s="16"/>
      <c r="BZ855" s="16"/>
      <c r="CA855" s="16"/>
      <c r="CB855" s="16"/>
      <c r="CC855" s="16"/>
    </row>
    <row r="856" spans="1:81" ht="13.5" thickBot="1">
      <c r="A856" s="16"/>
      <c r="B856" s="16"/>
      <c r="C856" s="17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  <c r="AT856" s="16"/>
      <c r="AU856" s="16"/>
      <c r="AV856" s="16"/>
      <c r="AW856" s="16"/>
      <c r="AX856" s="16"/>
      <c r="AY856" s="16"/>
      <c r="AZ856" s="16"/>
      <c r="BA856" s="16"/>
      <c r="BB856" s="16"/>
      <c r="BC856" s="16"/>
      <c r="BD856" s="16"/>
      <c r="BE856" s="16"/>
      <c r="BF856" s="16"/>
      <c r="BG856" s="16"/>
      <c r="BH856" s="16"/>
      <c r="BI856" s="16"/>
      <c r="BJ856" s="16"/>
      <c r="BK856" s="16"/>
      <c r="BL856" s="16"/>
      <c r="BM856" s="16"/>
      <c r="BN856" s="16"/>
      <c r="BO856" s="16"/>
      <c r="BP856" s="16"/>
      <c r="BQ856" s="16"/>
      <c r="BR856" s="16"/>
      <c r="BS856" s="16"/>
      <c r="BT856" s="16"/>
      <c r="BU856" s="16"/>
      <c r="BV856" s="16"/>
      <c r="BW856" s="16"/>
      <c r="BX856" s="16"/>
      <c r="BY856" s="16"/>
      <c r="BZ856" s="16"/>
      <c r="CA856" s="16"/>
      <c r="CB856" s="16"/>
      <c r="CC856" s="16"/>
    </row>
    <row r="857" spans="1:81" ht="13.5" thickBot="1">
      <c r="A857" s="16"/>
      <c r="B857" s="16"/>
      <c r="C857" s="17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  <c r="AT857" s="16"/>
      <c r="AU857" s="16"/>
      <c r="AV857" s="16"/>
      <c r="AW857" s="16"/>
      <c r="AX857" s="16"/>
      <c r="AY857" s="16"/>
      <c r="AZ857" s="16"/>
      <c r="BA857" s="16"/>
      <c r="BB857" s="16"/>
      <c r="BC857" s="16"/>
      <c r="BD857" s="16"/>
      <c r="BE857" s="16"/>
      <c r="BF857" s="16"/>
      <c r="BG857" s="16"/>
      <c r="BH857" s="16"/>
      <c r="BI857" s="16"/>
      <c r="BJ857" s="16"/>
      <c r="BK857" s="16"/>
      <c r="BL857" s="16"/>
      <c r="BM857" s="16"/>
      <c r="BN857" s="16"/>
      <c r="BO857" s="16"/>
      <c r="BP857" s="16"/>
      <c r="BQ857" s="16"/>
      <c r="BR857" s="16"/>
      <c r="BS857" s="16"/>
      <c r="BT857" s="16"/>
      <c r="BU857" s="16"/>
      <c r="BV857" s="16"/>
      <c r="BW857" s="16"/>
      <c r="BX857" s="16"/>
      <c r="BY857" s="16"/>
      <c r="BZ857" s="16"/>
      <c r="CA857" s="16"/>
      <c r="CB857" s="16"/>
      <c r="CC857" s="16"/>
    </row>
    <row r="858" spans="1:81" ht="13.5" thickBot="1">
      <c r="A858" s="16"/>
      <c r="B858" s="16"/>
      <c r="C858" s="17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  <c r="AT858" s="16"/>
      <c r="AU858" s="16"/>
      <c r="AV858" s="16"/>
      <c r="AW858" s="16"/>
      <c r="AX858" s="16"/>
      <c r="AY858" s="16"/>
      <c r="AZ858" s="16"/>
      <c r="BA858" s="16"/>
      <c r="BB858" s="16"/>
      <c r="BC858" s="16"/>
      <c r="BD858" s="16"/>
      <c r="BE858" s="16"/>
      <c r="BF858" s="16"/>
      <c r="BG858" s="16"/>
      <c r="BH858" s="16"/>
      <c r="BI858" s="16"/>
      <c r="BJ858" s="16"/>
      <c r="BK858" s="16"/>
      <c r="BL858" s="16"/>
      <c r="BM858" s="16"/>
      <c r="BN858" s="16"/>
      <c r="BO858" s="16"/>
      <c r="BP858" s="16"/>
      <c r="BQ858" s="16"/>
      <c r="BR858" s="16"/>
      <c r="BS858" s="16"/>
      <c r="BT858" s="16"/>
      <c r="BU858" s="16"/>
      <c r="BV858" s="16"/>
      <c r="BW858" s="16"/>
      <c r="BX858" s="16"/>
      <c r="BY858" s="16"/>
      <c r="BZ858" s="16"/>
      <c r="CA858" s="16"/>
      <c r="CB858" s="16"/>
      <c r="CC858" s="16"/>
    </row>
    <row r="859" spans="1:81" ht="13.5" thickBot="1">
      <c r="A859" s="16"/>
      <c r="B859" s="16"/>
      <c r="C859" s="17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  <c r="AT859" s="16"/>
      <c r="AU859" s="16"/>
      <c r="AV859" s="16"/>
      <c r="AW859" s="16"/>
      <c r="AX859" s="16"/>
      <c r="AY859" s="16"/>
      <c r="AZ859" s="16"/>
      <c r="BA859" s="16"/>
      <c r="BB859" s="16"/>
      <c r="BC859" s="16"/>
      <c r="BD859" s="16"/>
      <c r="BE859" s="16"/>
      <c r="BF859" s="16"/>
      <c r="BG859" s="16"/>
      <c r="BH859" s="16"/>
      <c r="BI859" s="16"/>
      <c r="BJ859" s="16"/>
      <c r="BK859" s="16"/>
      <c r="BL859" s="16"/>
      <c r="BM859" s="16"/>
      <c r="BN859" s="16"/>
      <c r="BO859" s="16"/>
      <c r="BP859" s="16"/>
      <c r="BQ859" s="16"/>
      <c r="BR859" s="16"/>
      <c r="BS859" s="16"/>
      <c r="BT859" s="16"/>
      <c r="BU859" s="16"/>
      <c r="BV859" s="16"/>
      <c r="BW859" s="16"/>
      <c r="BX859" s="16"/>
      <c r="BY859" s="16"/>
      <c r="BZ859" s="16"/>
      <c r="CA859" s="16"/>
      <c r="CB859" s="16"/>
      <c r="CC859" s="16"/>
    </row>
    <row r="860" spans="1:81" ht="13.5" thickBot="1">
      <c r="A860" s="16"/>
      <c r="B860" s="16"/>
      <c r="C860" s="17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  <c r="AT860" s="16"/>
      <c r="AU860" s="16"/>
      <c r="AV860" s="16"/>
      <c r="AW860" s="16"/>
      <c r="AX860" s="16"/>
      <c r="AY860" s="16"/>
      <c r="AZ860" s="16"/>
      <c r="BA860" s="16"/>
      <c r="BB860" s="16"/>
      <c r="BC860" s="16"/>
      <c r="BD860" s="16"/>
      <c r="BE860" s="16"/>
      <c r="BF860" s="16"/>
      <c r="BG860" s="16"/>
      <c r="BH860" s="16"/>
      <c r="BI860" s="16"/>
      <c r="BJ860" s="16"/>
      <c r="BK860" s="16"/>
      <c r="BL860" s="16"/>
      <c r="BM860" s="16"/>
      <c r="BN860" s="16"/>
      <c r="BO860" s="16"/>
      <c r="BP860" s="16"/>
      <c r="BQ860" s="16"/>
      <c r="BR860" s="16"/>
      <c r="BS860" s="16"/>
      <c r="BT860" s="16"/>
      <c r="BU860" s="16"/>
      <c r="BV860" s="16"/>
      <c r="BW860" s="16"/>
      <c r="BX860" s="16"/>
      <c r="BY860" s="16"/>
      <c r="BZ860" s="16"/>
      <c r="CA860" s="16"/>
      <c r="CB860" s="16"/>
      <c r="CC860" s="16"/>
    </row>
    <row r="861" spans="1:81" ht="13.5" thickBot="1">
      <c r="A861" s="16"/>
      <c r="B861" s="16"/>
      <c r="C861" s="17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  <c r="AT861" s="16"/>
      <c r="AU861" s="16"/>
      <c r="AV861" s="16"/>
      <c r="AW861" s="16"/>
      <c r="AX861" s="16"/>
      <c r="AY861" s="16"/>
      <c r="AZ861" s="16"/>
      <c r="BA861" s="16"/>
      <c r="BB861" s="16"/>
      <c r="BC861" s="16"/>
      <c r="BD861" s="16"/>
      <c r="BE861" s="16"/>
      <c r="BF861" s="16"/>
      <c r="BG861" s="16"/>
      <c r="BH861" s="16"/>
      <c r="BI861" s="16"/>
      <c r="BJ861" s="16"/>
      <c r="BK861" s="16"/>
      <c r="BL861" s="16"/>
      <c r="BM861" s="16"/>
      <c r="BN861" s="16"/>
      <c r="BO861" s="16"/>
      <c r="BP861" s="16"/>
      <c r="BQ861" s="16"/>
      <c r="BR861" s="16"/>
      <c r="BS861" s="16"/>
      <c r="BT861" s="16"/>
      <c r="BU861" s="16"/>
      <c r="BV861" s="16"/>
      <c r="BW861" s="16"/>
      <c r="BX861" s="16"/>
      <c r="BY861" s="16"/>
      <c r="BZ861" s="16"/>
      <c r="CA861" s="16"/>
      <c r="CB861" s="16"/>
      <c r="CC861" s="16"/>
    </row>
    <row r="862" spans="1:81" ht="13.5" thickBot="1">
      <c r="A862" s="16"/>
      <c r="B862" s="16"/>
      <c r="C862" s="17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  <c r="AT862" s="16"/>
      <c r="AU862" s="16"/>
      <c r="AV862" s="16"/>
      <c r="AW862" s="16"/>
      <c r="AX862" s="16"/>
      <c r="AY862" s="16"/>
      <c r="AZ862" s="16"/>
      <c r="BA862" s="16"/>
      <c r="BB862" s="16"/>
      <c r="BC862" s="16"/>
      <c r="BD862" s="16"/>
      <c r="BE862" s="16"/>
      <c r="BF862" s="16"/>
      <c r="BG862" s="16"/>
      <c r="BH862" s="16"/>
      <c r="BI862" s="16"/>
      <c r="BJ862" s="16"/>
      <c r="BK862" s="16"/>
      <c r="BL862" s="16"/>
      <c r="BM862" s="16"/>
      <c r="BN862" s="16"/>
      <c r="BO862" s="16"/>
      <c r="BP862" s="16"/>
      <c r="BQ862" s="16"/>
      <c r="BR862" s="16"/>
      <c r="BS862" s="16"/>
      <c r="BT862" s="16"/>
      <c r="BU862" s="16"/>
      <c r="BV862" s="16"/>
      <c r="BW862" s="16"/>
      <c r="BX862" s="16"/>
      <c r="BY862" s="16"/>
      <c r="BZ862" s="16"/>
      <c r="CA862" s="16"/>
      <c r="CB862" s="16"/>
      <c r="CC862" s="16"/>
    </row>
    <row r="863" spans="1:81" ht="13.5" thickBot="1">
      <c r="A863" s="16"/>
      <c r="B863" s="16"/>
      <c r="C863" s="17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  <c r="AT863" s="16"/>
      <c r="AU863" s="16"/>
      <c r="AV863" s="16"/>
      <c r="AW863" s="16"/>
      <c r="AX863" s="16"/>
      <c r="AY863" s="16"/>
      <c r="AZ863" s="16"/>
      <c r="BA863" s="16"/>
      <c r="BB863" s="16"/>
      <c r="BC863" s="16"/>
      <c r="BD863" s="16"/>
      <c r="BE863" s="16"/>
      <c r="BF863" s="16"/>
      <c r="BG863" s="16"/>
      <c r="BH863" s="16"/>
      <c r="BI863" s="16"/>
      <c r="BJ863" s="16"/>
      <c r="BK863" s="16"/>
      <c r="BL863" s="16"/>
      <c r="BM863" s="16"/>
      <c r="BN863" s="16"/>
      <c r="BO863" s="16"/>
      <c r="BP863" s="16"/>
      <c r="BQ863" s="16"/>
      <c r="BR863" s="16"/>
      <c r="BS863" s="16"/>
      <c r="BT863" s="16"/>
      <c r="BU863" s="16"/>
      <c r="BV863" s="16"/>
      <c r="BW863" s="16"/>
      <c r="BX863" s="16"/>
      <c r="BY863" s="16"/>
      <c r="BZ863" s="16"/>
      <c r="CA863" s="16"/>
      <c r="CB863" s="16"/>
      <c r="CC863" s="16"/>
    </row>
    <row r="864" spans="1:81" ht="13.5" thickBot="1">
      <c r="A864" s="16"/>
      <c r="B864" s="16"/>
      <c r="C864" s="17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  <c r="AT864" s="16"/>
      <c r="AU864" s="16"/>
      <c r="AV864" s="16"/>
      <c r="AW864" s="16"/>
      <c r="AX864" s="16"/>
      <c r="AY864" s="16"/>
      <c r="AZ864" s="16"/>
      <c r="BA864" s="16"/>
      <c r="BB864" s="16"/>
      <c r="BC864" s="16"/>
      <c r="BD864" s="16"/>
      <c r="BE864" s="16"/>
      <c r="BF864" s="16"/>
      <c r="BG864" s="16"/>
      <c r="BH864" s="16"/>
      <c r="BI864" s="16"/>
      <c r="BJ864" s="16"/>
      <c r="BK864" s="16"/>
      <c r="BL864" s="16"/>
      <c r="BM864" s="16"/>
      <c r="BN864" s="16"/>
      <c r="BO864" s="16"/>
      <c r="BP864" s="16"/>
      <c r="BQ864" s="16"/>
      <c r="BR864" s="16"/>
      <c r="BS864" s="16"/>
      <c r="BT864" s="16"/>
      <c r="BU864" s="16"/>
      <c r="BV864" s="16"/>
      <c r="BW864" s="16"/>
      <c r="BX864" s="16"/>
      <c r="BY864" s="16"/>
      <c r="BZ864" s="16"/>
      <c r="CA864" s="16"/>
      <c r="CB864" s="16"/>
      <c r="CC864" s="16"/>
    </row>
    <row r="865" spans="1:81" ht="13.5" thickBot="1">
      <c r="A865" s="16"/>
      <c r="B865" s="16"/>
      <c r="C865" s="17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  <c r="AT865" s="16"/>
      <c r="AU865" s="16"/>
      <c r="AV865" s="16"/>
      <c r="AW865" s="16"/>
      <c r="AX865" s="16"/>
      <c r="AY865" s="16"/>
      <c r="AZ865" s="16"/>
      <c r="BA865" s="16"/>
      <c r="BB865" s="16"/>
      <c r="BC865" s="16"/>
      <c r="BD865" s="16"/>
      <c r="BE865" s="16"/>
      <c r="BF865" s="16"/>
      <c r="BG865" s="16"/>
      <c r="BH865" s="16"/>
      <c r="BI865" s="16"/>
      <c r="BJ865" s="16"/>
      <c r="BK865" s="16"/>
      <c r="BL865" s="16"/>
      <c r="BM865" s="16"/>
      <c r="BN865" s="16"/>
      <c r="BO865" s="16"/>
      <c r="BP865" s="16"/>
      <c r="BQ865" s="16"/>
      <c r="BR865" s="16"/>
      <c r="BS865" s="16"/>
      <c r="BT865" s="16"/>
      <c r="BU865" s="16"/>
      <c r="BV865" s="16"/>
      <c r="BW865" s="16"/>
      <c r="BX865" s="16"/>
      <c r="BY865" s="16"/>
      <c r="BZ865" s="16"/>
      <c r="CA865" s="16"/>
      <c r="CB865" s="16"/>
      <c r="CC865" s="16"/>
    </row>
    <row r="866" spans="1:81" ht="13.5" thickBot="1">
      <c r="A866" s="16"/>
      <c r="B866" s="16"/>
      <c r="C866" s="17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  <c r="AT866" s="16"/>
      <c r="AU866" s="16"/>
      <c r="AV866" s="16"/>
      <c r="AW866" s="16"/>
      <c r="AX866" s="16"/>
      <c r="AY866" s="16"/>
      <c r="AZ866" s="16"/>
      <c r="BA866" s="16"/>
      <c r="BB866" s="16"/>
      <c r="BC866" s="16"/>
      <c r="BD866" s="16"/>
      <c r="BE866" s="16"/>
      <c r="BF866" s="16"/>
      <c r="BG866" s="16"/>
      <c r="BH866" s="16"/>
      <c r="BI866" s="16"/>
      <c r="BJ866" s="16"/>
      <c r="BK866" s="16"/>
      <c r="BL866" s="16"/>
      <c r="BM866" s="16"/>
      <c r="BN866" s="16"/>
      <c r="BO866" s="16"/>
      <c r="BP866" s="16"/>
      <c r="BQ866" s="16"/>
      <c r="BR866" s="16"/>
      <c r="BS866" s="16"/>
      <c r="BT866" s="16"/>
      <c r="BU866" s="16"/>
      <c r="BV866" s="16"/>
      <c r="BW866" s="16"/>
      <c r="BX866" s="16"/>
      <c r="BY866" s="16"/>
      <c r="BZ866" s="16"/>
      <c r="CA866" s="16"/>
      <c r="CB866" s="16"/>
      <c r="CC866" s="16"/>
    </row>
    <row r="867" spans="1:81" ht="13.5" thickBot="1">
      <c r="A867" s="16"/>
      <c r="B867" s="16"/>
      <c r="C867" s="17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  <c r="AT867" s="16"/>
      <c r="AU867" s="16"/>
      <c r="AV867" s="16"/>
      <c r="AW867" s="16"/>
      <c r="AX867" s="16"/>
      <c r="AY867" s="16"/>
      <c r="AZ867" s="16"/>
      <c r="BA867" s="16"/>
      <c r="BB867" s="16"/>
      <c r="BC867" s="16"/>
      <c r="BD867" s="16"/>
      <c r="BE867" s="16"/>
      <c r="BF867" s="16"/>
      <c r="BG867" s="16"/>
      <c r="BH867" s="16"/>
      <c r="BI867" s="16"/>
      <c r="BJ867" s="16"/>
      <c r="BK867" s="16"/>
      <c r="BL867" s="16"/>
      <c r="BM867" s="16"/>
      <c r="BN867" s="16"/>
      <c r="BO867" s="16"/>
      <c r="BP867" s="16"/>
      <c r="BQ867" s="16"/>
      <c r="BR867" s="16"/>
      <c r="BS867" s="16"/>
      <c r="BT867" s="16"/>
      <c r="BU867" s="16"/>
      <c r="BV867" s="16"/>
      <c r="BW867" s="16"/>
      <c r="BX867" s="16"/>
      <c r="BY867" s="16"/>
      <c r="BZ867" s="16"/>
      <c r="CA867" s="16"/>
      <c r="CB867" s="16"/>
      <c r="CC867" s="16"/>
    </row>
    <row r="868" spans="1:81" ht="13.5" thickBot="1">
      <c r="A868" s="16"/>
      <c r="B868" s="16"/>
      <c r="C868" s="17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  <c r="AT868" s="16"/>
      <c r="AU868" s="16"/>
      <c r="AV868" s="16"/>
      <c r="AW868" s="16"/>
      <c r="AX868" s="16"/>
      <c r="AY868" s="16"/>
      <c r="AZ868" s="16"/>
      <c r="BA868" s="16"/>
      <c r="BB868" s="16"/>
      <c r="BC868" s="16"/>
      <c r="BD868" s="16"/>
      <c r="BE868" s="16"/>
      <c r="BF868" s="16"/>
      <c r="BG868" s="16"/>
      <c r="BH868" s="16"/>
      <c r="BI868" s="16"/>
      <c r="BJ868" s="16"/>
      <c r="BK868" s="16"/>
      <c r="BL868" s="16"/>
      <c r="BM868" s="16"/>
      <c r="BN868" s="16"/>
      <c r="BO868" s="16"/>
      <c r="BP868" s="16"/>
      <c r="BQ868" s="16"/>
      <c r="BR868" s="16"/>
      <c r="BS868" s="16"/>
      <c r="BT868" s="16"/>
      <c r="BU868" s="16"/>
      <c r="BV868" s="16"/>
      <c r="BW868" s="16"/>
      <c r="BX868" s="16"/>
      <c r="BY868" s="16"/>
      <c r="BZ868" s="16"/>
      <c r="CA868" s="16"/>
      <c r="CB868" s="16"/>
      <c r="CC868" s="16"/>
    </row>
    <row r="869" spans="1:81" ht="13.5" thickBot="1">
      <c r="A869" s="16"/>
      <c r="B869" s="16"/>
      <c r="C869" s="17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  <c r="AT869" s="16"/>
      <c r="AU869" s="16"/>
      <c r="AV869" s="16"/>
      <c r="AW869" s="16"/>
      <c r="AX869" s="16"/>
      <c r="AY869" s="16"/>
      <c r="AZ869" s="16"/>
      <c r="BA869" s="16"/>
      <c r="BB869" s="16"/>
      <c r="BC869" s="16"/>
      <c r="BD869" s="16"/>
      <c r="BE869" s="16"/>
      <c r="BF869" s="16"/>
      <c r="BG869" s="16"/>
      <c r="BH869" s="16"/>
      <c r="BI869" s="16"/>
      <c r="BJ869" s="16"/>
      <c r="BK869" s="16"/>
      <c r="BL869" s="16"/>
      <c r="BM869" s="16"/>
      <c r="BN869" s="16"/>
      <c r="BO869" s="16"/>
      <c r="BP869" s="16"/>
      <c r="BQ869" s="16"/>
      <c r="BR869" s="16"/>
      <c r="BS869" s="16"/>
      <c r="BT869" s="16"/>
      <c r="BU869" s="16"/>
      <c r="BV869" s="16"/>
      <c r="BW869" s="16"/>
      <c r="BX869" s="16"/>
      <c r="BY869" s="16"/>
      <c r="BZ869" s="16"/>
      <c r="CA869" s="16"/>
      <c r="CB869" s="16"/>
      <c r="CC869" s="16"/>
    </row>
    <row r="870" spans="1:81" ht="13.5" thickBot="1">
      <c r="A870" s="16"/>
      <c r="B870" s="16"/>
      <c r="C870" s="17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  <c r="AT870" s="16"/>
      <c r="AU870" s="16"/>
      <c r="AV870" s="16"/>
      <c r="AW870" s="16"/>
      <c r="AX870" s="16"/>
      <c r="AY870" s="16"/>
      <c r="AZ870" s="16"/>
      <c r="BA870" s="16"/>
      <c r="BB870" s="16"/>
      <c r="BC870" s="16"/>
      <c r="BD870" s="16"/>
      <c r="BE870" s="16"/>
      <c r="BF870" s="16"/>
      <c r="BG870" s="16"/>
      <c r="BH870" s="16"/>
      <c r="BI870" s="16"/>
      <c r="BJ870" s="16"/>
      <c r="BK870" s="16"/>
      <c r="BL870" s="16"/>
      <c r="BM870" s="16"/>
      <c r="BN870" s="16"/>
      <c r="BO870" s="16"/>
      <c r="BP870" s="16"/>
      <c r="BQ870" s="16"/>
      <c r="BR870" s="16"/>
      <c r="BS870" s="16"/>
      <c r="BT870" s="16"/>
      <c r="BU870" s="16"/>
      <c r="BV870" s="16"/>
      <c r="BW870" s="16"/>
      <c r="BX870" s="16"/>
      <c r="BY870" s="16"/>
      <c r="BZ870" s="16"/>
      <c r="CA870" s="16"/>
      <c r="CB870" s="16"/>
      <c r="CC870" s="16"/>
    </row>
    <row r="871" spans="1:81" ht="13.5" thickBot="1">
      <c r="A871" s="16"/>
      <c r="B871" s="16"/>
      <c r="C871" s="17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  <c r="AT871" s="16"/>
      <c r="AU871" s="16"/>
      <c r="AV871" s="16"/>
      <c r="AW871" s="16"/>
      <c r="AX871" s="16"/>
      <c r="AY871" s="16"/>
      <c r="AZ871" s="16"/>
      <c r="BA871" s="16"/>
      <c r="BB871" s="16"/>
      <c r="BC871" s="16"/>
      <c r="BD871" s="16"/>
      <c r="BE871" s="16"/>
      <c r="BF871" s="16"/>
      <c r="BG871" s="16"/>
      <c r="BH871" s="16"/>
      <c r="BI871" s="16"/>
      <c r="BJ871" s="16"/>
      <c r="BK871" s="16"/>
      <c r="BL871" s="16"/>
      <c r="BM871" s="16"/>
      <c r="BN871" s="16"/>
      <c r="BO871" s="16"/>
      <c r="BP871" s="16"/>
      <c r="BQ871" s="16"/>
      <c r="BR871" s="16"/>
      <c r="BS871" s="16"/>
      <c r="BT871" s="16"/>
      <c r="BU871" s="16"/>
      <c r="BV871" s="16"/>
      <c r="BW871" s="16"/>
      <c r="BX871" s="16"/>
      <c r="BY871" s="16"/>
      <c r="BZ871" s="16"/>
      <c r="CA871" s="16"/>
      <c r="CB871" s="16"/>
      <c r="CC871" s="16"/>
    </row>
    <row r="872" spans="1:81" ht="13.5" thickBot="1">
      <c r="A872" s="16"/>
      <c r="B872" s="16"/>
      <c r="C872" s="17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  <c r="AT872" s="16"/>
      <c r="AU872" s="16"/>
      <c r="AV872" s="16"/>
      <c r="AW872" s="16"/>
      <c r="AX872" s="16"/>
      <c r="AY872" s="16"/>
      <c r="AZ872" s="16"/>
      <c r="BA872" s="16"/>
      <c r="BB872" s="16"/>
      <c r="BC872" s="16"/>
      <c r="BD872" s="16"/>
      <c r="BE872" s="16"/>
      <c r="BF872" s="16"/>
      <c r="BG872" s="16"/>
      <c r="BH872" s="16"/>
      <c r="BI872" s="16"/>
      <c r="BJ872" s="16"/>
      <c r="BK872" s="16"/>
      <c r="BL872" s="16"/>
      <c r="BM872" s="16"/>
      <c r="BN872" s="16"/>
      <c r="BO872" s="16"/>
      <c r="BP872" s="16"/>
      <c r="BQ872" s="16"/>
      <c r="BR872" s="16"/>
      <c r="BS872" s="16"/>
      <c r="BT872" s="16"/>
      <c r="BU872" s="16"/>
      <c r="BV872" s="16"/>
      <c r="BW872" s="16"/>
      <c r="BX872" s="16"/>
      <c r="BY872" s="16"/>
      <c r="BZ872" s="16"/>
      <c r="CA872" s="16"/>
      <c r="CB872" s="16"/>
      <c r="CC872" s="16"/>
    </row>
    <row r="873" spans="1:81" ht="13.5" thickBot="1">
      <c r="A873" s="16"/>
      <c r="B873" s="16"/>
      <c r="C873" s="17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  <c r="AT873" s="16"/>
      <c r="AU873" s="16"/>
      <c r="AV873" s="16"/>
      <c r="AW873" s="16"/>
      <c r="AX873" s="16"/>
      <c r="AY873" s="16"/>
      <c r="AZ873" s="16"/>
      <c r="BA873" s="16"/>
      <c r="BB873" s="16"/>
      <c r="BC873" s="16"/>
      <c r="BD873" s="16"/>
      <c r="BE873" s="16"/>
      <c r="BF873" s="16"/>
      <c r="BG873" s="16"/>
      <c r="BH873" s="16"/>
      <c r="BI873" s="16"/>
      <c r="BJ873" s="16"/>
      <c r="BK873" s="16"/>
      <c r="BL873" s="16"/>
      <c r="BM873" s="16"/>
      <c r="BN873" s="16"/>
      <c r="BO873" s="16"/>
      <c r="BP873" s="16"/>
      <c r="BQ873" s="16"/>
      <c r="BR873" s="16"/>
      <c r="BS873" s="16"/>
      <c r="BT873" s="16"/>
      <c r="BU873" s="16"/>
      <c r="BV873" s="16"/>
      <c r="BW873" s="16"/>
      <c r="BX873" s="16"/>
      <c r="BY873" s="16"/>
      <c r="BZ873" s="16"/>
      <c r="CA873" s="16"/>
      <c r="CB873" s="16"/>
      <c r="CC873" s="16"/>
    </row>
    <row r="874" spans="1:81" ht="13.5" thickBot="1">
      <c r="A874" s="16"/>
      <c r="B874" s="16"/>
      <c r="C874" s="17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  <c r="AT874" s="16"/>
      <c r="AU874" s="16"/>
      <c r="AV874" s="16"/>
      <c r="AW874" s="16"/>
      <c r="AX874" s="16"/>
      <c r="AY874" s="16"/>
      <c r="AZ874" s="16"/>
      <c r="BA874" s="16"/>
      <c r="BB874" s="16"/>
      <c r="BC874" s="16"/>
      <c r="BD874" s="16"/>
      <c r="BE874" s="16"/>
      <c r="BF874" s="16"/>
      <c r="BG874" s="16"/>
      <c r="BH874" s="16"/>
      <c r="BI874" s="16"/>
      <c r="BJ874" s="16"/>
      <c r="BK874" s="16"/>
      <c r="BL874" s="16"/>
      <c r="BM874" s="16"/>
      <c r="BN874" s="16"/>
      <c r="BO874" s="16"/>
      <c r="BP874" s="16"/>
      <c r="BQ874" s="16"/>
      <c r="BR874" s="16"/>
      <c r="BS874" s="16"/>
      <c r="BT874" s="16"/>
      <c r="BU874" s="16"/>
      <c r="BV874" s="16"/>
      <c r="BW874" s="16"/>
      <c r="BX874" s="16"/>
      <c r="BY874" s="16"/>
      <c r="BZ874" s="16"/>
      <c r="CA874" s="16"/>
      <c r="CB874" s="16"/>
      <c r="CC874" s="16"/>
    </row>
    <row r="875" spans="1:81" ht="13.5" thickBot="1">
      <c r="A875" s="16"/>
      <c r="B875" s="16"/>
      <c r="C875" s="17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  <c r="AT875" s="16"/>
      <c r="AU875" s="16"/>
      <c r="AV875" s="16"/>
      <c r="AW875" s="16"/>
      <c r="AX875" s="16"/>
      <c r="AY875" s="16"/>
      <c r="AZ875" s="16"/>
      <c r="BA875" s="16"/>
      <c r="BB875" s="16"/>
      <c r="BC875" s="16"/>
      <c r="BD875" s="16"/>
      <c r="BE875" s="16"/>
      <c r="BF875" s="16"/>
      <c r="BG875" s="16"/>
      <c r="BH875" s="16"/>
      <c r="BI875" s="16"/>
      <c r="BJ875" s="16"/>
      <c r="BK875" s="16"/>
      <c r="BL875" s="16"/>
      <c r="BM875" s="16"/>
      <c r="BN875" s="16"/>
      <c r="BO875" s="16"/>
      <c r="BP875" s="16"/>
      <c r="BQ875" s="16"/>
      <c r="BR875" s="16"/>
      <c r="BS875" s="16"/>
      <c r="BT875" s="16"/>
      <c r="BU875" s="16"/>
      <c r="BV875" s="16"/>
      <c r="BW875" s="16"/>
      <c r="BX875" s="16"/>
      <c r="BY875" s="16"/>
      <c r="BZ875" s="16"/>
      <c r="CA875" s="16"/>
      <c r="CB875" s="16"/>
      <c r="CC875" s="16"/>
    </row>
    <row r="876" spans="1:81" ht="13.5" thickBot="1">
      <c r="A876" s="16"/>
      <c r="B876" s="16"/>
      <c r="C876" s="17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  <c r="AT876" s="16"/>
      <c r="AU876" s="16"/>
      <c r="AV876" s="16"/>
      <c r="AW876" s="16"/>
      <c r="AX876" s="16"/>
      <c r="AY876" s="16"/>
      <c r="AZ876" s="16"/>
      <c r="BA876" s="16"/>
      <c r="BB876" s="16"/>
      <c r="BC876" s="16"/>
      <c r="BD876" s="16"/>
      <c r="BE876" s="16"/>
      <c r="BF876" s="16"/>
      <c r="BG876" s="16"/>
      <c r="BH876" s="16"/>
      <c r="BI876" s="16"/>
      <c r="BJ876" s="16"/>
      <c r="BK876" s="16"/>
      <c r="BL876" s="16"/>
      <c r="BM876" s="16"/>
      <c r="BN876" s="16"/>
      <c r="BO876" s="16"/>
      <c r="BP876" s="16"/>
      <c r="BQ876" s="16"/>
      <c r="BR876" s="16"/>
      <c r="BS876" s="16"/>
      <c r="BT876" s="16"/>
      <c r="BU876" s="16"/>
      <c r="BV876" s="16"/>
      <c r="BW876" s="16"/>
      <c r="BX876" s="16"/>
      <c r="BY876" s="16"/>
      <c r="BZ876" s="16"/>
      <c r="CA876" s="16"/>
      <c r="CB876" s="16"/>
      <c r="CC876" s="16"/>
    </row>
    <row r="877" spans="1:81" ht="13.5" thickBot="1">
      <c r="A877" s="16"/>
      <c r="B877" s="16"/>
      <c r="C877" s="17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  <c r="AT877" s="16"/>
      <c r="AU877" s="16"/>
      <c r="AV877" s="16"/>
      <c r="AW877" s="16"/>
      <c r="AX877" s="16"/>
      <c r="AY877" s="16"/>
      <c r="AZ877" s="16"/>
      <c r="BA877" s="16"/>
      <c r="BB877" s="16"/>
      <c r="BC877" s="16"/>
      <c r="BD877" s="16"/>
      <c r="BE877" s="16"/>
      <c r="BF877" s="16"/>
      <c r="BG877" s="16"/>
      <c r="BH877" s="16"/>
      <c r="BI877" s="16"/>
      <c r="BJ877" s="16"/>
      <c r="BK877" s="16"/>
      <c r="BL877" s="16"/>
      <c r="BM877" s="16"/>
      <c r="BN877" s="16"/>
      <c r="BO877" s="16"/>
      <c r="BP877" s="16"/>
      <c r="BQ877" s="16"/>
      <c r="BR877" s="16"/>
      <c r="BS877" s="16"/>
      <c r="BT877" s="16"/>
      <c r="BU877" s="16"/>
      <c r="BV877" s="16"/>
      <c r="BW877" s="16"/>
      <c r="BX877" s="16"/>
      <c r="BY877" s="16"/>
      <c r="BZ877" s="16"/>
      <c r="CA877" s="16"/>
      <c r="CB877" s="16"/>
      <c r="CC877" s="16"/>
    </row>
    <row r="878" spans="1:81" ht="13.5" thickBot="1">
      <c r="A878" s="16"/>
      <c r="B878" s="16"/>
      <c r="C878" s="17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  <c r="AT878" s="16"/>
      <c r="AU878" s="16"/>
      <c r="AV878" s="16"/>
      <c r="AW878" s="16"/>
      <c r="AX878" s="16"/>
      <c r="AY878" s="16"/>
      <c r="AZ878" s="16"/>
      <c r="BA878" s="16"/>
      <c r="BB878" s="16"/>
      <c r="BC878" s="16"/>
      <c r="BD878" s="16"/>
      <c r="BE878" s="16"/>
      <c r="BF878" s="16"/>
      <c r="BG878" s="16"/>
      <c r="BH878" s="16"/>
      <c r="BI878" s="16"/>
      <c r="BJ878" s="16"/>
      <c r="BK878" s="16"/>
      <c r="BL878" s="16"/>
      <c r="BM878" s="16"/>
      <c r="BN878" s="16"/>
      <c r="BO878" s="16"/>
      <c r="BP878" s="16"/>
      <c r="BQ878" s="16"/>
      <c r="BR878" s="16"/>
      <c r="BS878" s="16"/>
      <c r="BT878" s="16"/>
      <c r="BU878" s="16"/>
      <c r="BV878" s="16"/>
      <c r="BW878" s="16"/>
      <c r="BX878" s="16"/>
      <c r="BY878" s="16"/>
      <c r="BZ878" s="16"/>
      <c r="CA878" s="16"/>
      <c r="CB878" s="16"/>
      <c r="CC878" s="16"/>
    </row>
    <row r="879" spans="1:81" ht="13.5" thickBot="1">
      <c r="A879" s="16"/>
      <c r="B879" s="16"/>
      <c r="C879" s="17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  <c r="AT879" s="16"/>
      <c r="AU879" s="16"/>
      <c r="AV879" s="16"/>
      <c r="AW879" s="16"/>
      <c r="AX879" s="16"/>
      <c r="AY879" s="16"/>
      <c r="AZ879" s="16"/>
      <c r="BA879" s="16"/>
      <c r="BB879" s="16"/>
      <c r="BC879" s="16"/>
      <c r="BD879" s="16"/>
      <c r="BE879" s="16"/>
      <c r="BF879" s="16"/>
      <c r="BG879" s="16"/>
      <c r="BH879" s="16"/>
      <c r="BI879" s="16"/>
      <c r="BJ879" s="16"/>
      <c r="BK879" s="16"/>
      <c r="BL879" s="16"/>
      <c r="BM879" s="16"/>
      <c r="BN879" s="16"/>
      <c r="BO879" s="16"/>
      <c r="BP879" s="16"/>
      <c r="BQ879" s="16"/>
      <c r="BR879" s="16"/>
      <c r="BS879" s="16"/>
      <c r="BT879" s="16"/>
      <c r="BU879" s="16"/>
      <c r="BV879" s="16"/>
      <c r="BW879" s="16"/>
      <c r="BX879" s="16"/>
      <c r="BY879" s="16"/>
      <c r="BZ879" s="16"/>
      <c r="CA879" s="16"/>
      <c r="CB879" s="16"/>
      <c r="CC879" s="16"/>
    </row>
    <row r="880" spans="1:81" ht="13.5" thickBot="1">
      <c r="A880" s="16"/>
      <c r="B880" s="16"/>
      <c r="C880" s="17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  <c r="AT880" s="16"/>
      <c r="AU880" s="16"/>
      <c r="AV880" s="16"/>
      <c r="AW880" s="16"/>
      <c r="AX880" s="16"/>
      <c r="AY880" s="16"/>
      <c r="AZ880" s="16"/>
      <c r="BA880" s="16"/>
      <c r="BB880" s="16"/>
      <c r="BC880" s="16"/>
      <c r="BD880" s="16"/>
      <c r="BE880" s="16"/>
      <c r="BF880" s="16"/>
      <c r="BG880" s="16"/>
      <c r="BH880" s="16"/>
      <c r="BI880" s="16"/>
      <c r="BJ880" s="16"/>
      <c r="BK880" s="16"/>
      <c r="BL880" s="16"/>
      <c r="BM880" s="16"/>
      <c r="BN880" s="16"/>
      <c r="BO880" s="16"/>
      <c r="BP880" s="16"/>
      <c r="BQ880" s="16"/>
      <c r="BR880" s="16"/>
      <c r="BS880" s="16"/>
      <c r="BT880" s="16"/>
      <c r="BU880" s="16"/>
      <c r="BV880" s="16"/>
      <c r="BW880" s="16"/>
      <c r="BX880" s="16"/>
      <c r="BY880" s="16"/>
      <c r="BZ880" s="16"/>
      <c r="CA880" s="16"/>
      <c r="CB880" s="16"/>
      <c r="CC880" s="16"/>
    </row>
    <row r="881" spans="1:81" ht="13.5" thickBot="1">
      <c r="A881" s="16"/>
      <c r="B881" s="16"/>
      <c r="C881" s="17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  <c r="AT881" s="16"/>
      <c r="AU881" s="16"/>
      <c r="AV881" s="16"/>
      <c r="AW881" s="16"/>
      <c r="AX881" s="16"/>
      <c r="AY881" s="16"/>
      <c r="AZ881" s="16"/>
      <c r="BA881" s="16"/>
      <c r="BB881" s="16"/>
      <c r="BC881" s="16"/>
      <c r="BD881" s="16"/>
      <c r="BE881" s="16"/>
      <c r="BF881" s="16"/>
      <c r="BG881" s="16"/>
      <c r="BH881" s="16"/>
      <c r="BI881" s="16"/>
      <c r="BJ881" s="16"/>
      <c r="BK881" s="16"/>
      <c r="BL881" s="16"/>
      <c r="BM881" s="16"/>
      <c r="BN881" s="16"/>
      <c r="BO881" s="16"/>
      <c r="BP881" s="16"/>
      <c r="BQ881" s="16"/>
      <c r="BR881" s="16"/>
      <c r="BS881" s="16"/>
      <c r="BT881" s="16"/>
      <c r="BU881" s="16"/>
      <c r="BV881" s="16"/>
      <c r="BW881" s="16"/>
      <c r="BX881" s="16"/>
      <c r="BY881" s="16"/>
      <c r="BZ881" s="16"/>
      <c r="CA881" s="16"/>
      <c r="CB881" s="16"/>
      <c r="CC881" s="16"/>
    </row>
    <row r="882" spans="1:81" ht="13.5" thickBot="1">
      <c r="A882" s="16"/>
      <c r="B882" s="16"/>
      <c r="C882" s="17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  <c r="AT882" s="16"/>
      <c r="AU882" s="16"/>
      <c r="AV882" s="16"/>
      <c r="AW882" s="16"/>
      <c r="AX882" s="16"/>
      <c r="AY882" s="16"/>
      <c r="AZ882" s="16"/>
      <c r="BA882" s="16"/>
      <c r="BB882" s="16"/>
      <c r="BC882" s="16"/>
      <c r="BD882" s="16"/>
      <c r="BE882" s="16"/>
      <c r="BF882" s="16"/>
      <c r="BG882" s="16"/>
      <c r="BH882" s="16"/>
      <c r="BI882" s="16"/>
      <c r="BJ882" s="16"/>
      <c r="BK882" s="16"/>
      <c r="BL882" s="16"/>
      <c r="BM882" s="16"/>
      <c r="BN882" s="16"/>
      <c r="BO882" s="16"/>
      <c r="BP882" s="16"/>
      <c r="BQ882" s="16"/>
      <c r="BR882" s="16"/>
      <c r="BS882" s="16"/>
      <c r="BT882" s="16"/>
      <c r="BU882" s="16"/>
      <c r="BV882" s="16"/>
      <c r="BW882" s="16"/>
      <c r="BX882" s="16"/>
      <c r="BY882" s="16"/>
      <c r="BZ882" s="16"/>
      <c r="CA882" s="16"/>
      <c r="CB882" s="16"/>
      <c r="CC882" s="16"/>
    </row>
    <row r="883" spans="1:81" ht="13.5" thickBot="1">
      <c r="A883" s="16"/>
      <c r="B883" s="16"/>
      <c r="C883" s="17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  <c r="AT883" s="16"/>
      <c r="AU883" s="16"/>
      <c r="AV883" s="16"/>
      <c r="AW883" s="16"/>
      <c r="AX883" s="16"/>
      <c r="AY883" s="16"/>
      <c r="AZ883" s="16"/>
      <c r="BA883" s="16"/>
      <c r="BB883" s="16"/>
      <c r="BC883" s="16"/>
      <c r="BD883" s="16"/>
      <c r="BE883" s="16"/>
      <c r="BF883" s="16"/>
      <c r="BG883" s="16"/>
      <c r="BH883" s="16"/>
      <c r="BI883" s="16"/>
      <c r="BJ883" s="16"/>
      <c r="BK883" s="16"/>
      <c r="BL883" s="16"/>
      <c r="BM883" s="16"/>
      <c r="BN883" s="16"/>
      <c r="BO883" s="16"/>
      <c r="BP883" s="16"/>
      <c r="BQ883" s="16"/>
      <c r="BR883" s="16"/>
      <c r="BS883" s="16"/>
      <c r="BT883" s="16"/>
      <c r="BU883" s="16"/>
      <c r="BV883" s="16"/>
      <c r="BW883" s="16"/>
      <c r="BX883" s="16"/>
      <c r="BY883" s="16"/>
      <c r="BZ883" s="16"/>
      <c r="CA883" s="16"/>
      <c r="CB883" s="16"/>
      <c r="CC883" s="16"/>
    </row>
    <row r="884" spans="1:81" ht="13.5" thickBot="1">
      <c r="A884" s="16"/>
      <c r="B884" s="16"/>
      <c r="C884" s="17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  <c r="AT884" s="16"/>
      <c r="AU884" s="16"/>
      <c r="AV884" s="16"/>
      <c r="AW884" s="16"/>
      <c r="AX884" s="16"/>
      <c r="AY884" s="16"/>
      <c r="AZ884" s="16"/>
      <c r="BA884" s="16"/>
      <c r="BB884" s="16"/>
      <c r="BC884" s="16"/>
      <c r="BD884" s="16"/>
      <c r="BE884" s="16"/>
      <c r="BF884" s="16"/>
      <c r="BG884" s="16"/>
      <c r="BH884" s="16"/>
      <c r="BI884" s="16"/>
      <c r="BJ884" s="16"/>
      <c r="BK884" s="16"/>
      <c r="BL884" s="16"/>
      <c r="BM884" s="16"/>
      <c r="BN884" s="16"/>
      <c r="BO884" s="16"/>
      <c r="BP884" s="16"/>
      <c r="BQ884" s="16"/>
      <c r="BR884" s="16"/>
      <c r="BS884" s="16"/>
      <c r="BT884" s="16"/>
      <c r="BU884" s="16"/>
      <c r="BV884" s="16"/>
      <c r="BW884" s="16"/>
      <c r="BX884" s="16"/>
      <c r="BY884" s="16"/>
      <c r="BZ884" s="16"/>
      <c r="CA884" s="16"/>
      <c r="CB884" s="16"/>
      <c r="CC884" s="16"/>
    </row>
    <row r="885" spans="1:81" ht="13.5" thickBot="1">
      <c r="A885" s="16"/>
      <c r="B885" s="16"/>
      <c r="C885" s="17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  <c r="AT885" s="16"/>
      <c r="AU885" s="16"/>
      <c r="AV885" s="16"/>
      <c r="AW885" s="16"/>
      <c r="AX885" s="16"/>
      <c r="AY885" s="16"/>
      <c r="AZ885" s="16"/>
      <c r="BA885" s="16"/>
      <c r="BB885" s="16"/>
      <c r="BC885" s="16"/>
      <c r="BD885" s="16"/>
      <c r="BE885" s="16"/>
      <c r="BF885" s="16"/>
      <c r="BG885" s="16"/>
      <c r="BH885" s="16"/>
      <c r="BI885" s="16"/>
      <c r="BJ885" s="16"/>
      <c r="BK885" s="16"/>
      <c r="BL885" s="16"/>
      <c r="BM885" s="16"/>
      <c r="BN885" s="16"/>
      <c r="BO885" s="16"/>
      <c r="BP885" s="16"/>
      <c r="BQ885" s="16"/>
      <c r="BR885" s="16"/>
      <c r="BS885" s="16"/>
      <c r="BT885" s="16"/>
      <c r="BU885" s="16"/>
      <c r="BV885" s="16"/>
      <c r="BW885" s="16"/>
      <c r="BX885" s="16"/>
      <c r="BY885" s="16"/>
      <c r="BZ885" s="16"/>
      <c r="CA885" s="16"/>
      <c r="CB885" s="16"/>
      <c r="CC885" s="16"/>
    </row>
    <row r="886" spans="1:81" ht="13.5" thickBot="1">
      <c r="A886" s="16"/>
      <c r="B886" s="16"/>
      <c r="C886" s="17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  <c r="AT886" s="16"/>
      <c r="AU886" s="16"/>
      <c r="AV886" s="16"/>
      <c r="AW886" s="16"/>
      <c r="AX886" s="16"/>
      <c r="AY886" s="16"/>
      <c r="AZ886" s="16"/>
      <c r="BA886" s="16"/>
      <c r="BB886" s="16"/>
      <c r="BC886" s="16"/>
      <c r="BD886" s="16"/>
      <c r="BE886" s="16"/>
      <c r="BF886" s="16"/>
      <c r="BG886" s="16"/>
      <c r="BH886" s="16"/>
      <c r="BI886" s="16"/>
      <c r="BJ886" s="16"/>
      <c r="BK886" s="16"/>
      <c r="BL886" s="16"/>
      <c r="BM886" s="16"/>
      <c r="BN886" s="16"/>
      <c r="BO886" s="16"/>
      <c r="BP886" s="16"/>
      <c r="BQ886" s="16"/>
      <c r="BR886" s="16"/>
      <c r="BS886" s="16"/>
      <c r="BT886" s="16"/>
      <c r="BU886" s="16"/>
      <c r="BV886" s="16"/>
      <c r="BW886" s="16"/>
      <c r="BX886" s="16"/>
      <c r="BY886" s="16"/>
      <c r="BZ886" s="16"/>
      <c r="CA886" s="16"/>
      <c r="CB886" s="16"/>
      <c r="CC886" s="16"/>
    </row>
    <row r="887" spans="1:81" ht="13.5" thickBot="1">
      <c r="A887" s="16"/>
      <c r="B887" s="16"/>
      <c r="C887" s="17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  <c r="AT887" s="16"/>
      <c r="AU887" s="16"/>
      <c r="AV887" s="16"/>
      <c r="AW887" s="16"/>
      <c r="AX887" s="16"/>
      <c r="AY887" s="16"/>
      <c r="AZ887" s="16"/>
      <c r="BA887" s="16"/>
      <c r="BB887" s="16"/>
      <c r="BC887" s="16"/>
      <c r="BD887" s="16"/>
      <c r="BE887" s="16"/>
      <c r="BF887" s="16"/>
      <c r="BG887" s="16"/>
      <c r="BH887" s="16"/>
      <c r="BI887" s="16"/>
      <c r="BJ887" s="16"/>
      <c r="BK887" s="16"/>
      <c r="BL887" s="16"/>
      <c r="BM887" s="16"/>
      <c r="BN887" s="16"/>
      <c r="BO887" s="16"/>
      <c r="BP887" s="16"/>
      <c r="BQ887" s="16"/>
      <c r="BR887" s="16"/>
      <c r="BS887" s="16"/>
      <c r="BT887" s="16"/>
      <c r="BU887" s="16"/>
      <c r="BV887" s="16"/>
      <c r="BW887" s="16"/>
      <c r="BX887" s="16"/>
      <c r="BY887" s="16"/>
      <c r="BZ887" s="16"/>
      <c r="CA887" s="16"/>
      <c r="CB887" s="16"/>
      <c r="CC887" s="16"/>
    </row>
    <row r="888" spans="1:81" ht="13.5" thickBot="1">
      <c r="A888" s="16"/>
      <c r="B888" s="16"/>
      <c r="C888" s="17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  <c r="AT888" s="16"/>
      <c r="AU888" s="16"/>
      <c r="AV888" s="16"/>
      <c r="AW888" s="16"/>
      <c r="AX888" s="16"/>
      <c r="AY888" s="16"/>
      <c r="AZ888" s="16"/>
      <c r="BA888" s="16"/>
      <c r="BB888" s="16"/>
      <c r="BC888" s="16"/>
      <c r="BD888" s="16"/>
      <c r="BE888" s="16"/>
      <c r="BF888" s="16"/>
      <c r="BG888" s="16"/>
      <c r="BH888" s="16"/>
      <c r="BI888" s="16"/>
      <c r="BJ888" s="16"/>
      <c r="BK888" s="16"/>
      <c r="BL888" s="16"/>
      <c r="BM888" s="16"/>
      <c r="BN888" s="16"/>
      <c r="BO888" s="16"/>
      <c r="BP888" s="16"/>
      <c r="BQ888" s="16"/>
      <c r="BR888" s="16"/>
      <c r="BS888" s="16"/>
      <c r="BT888" s="16"/>
      <c r="BU888" s="16"/>
      <c r="BV888" s="16"/>
      <c r="BW888" s="16"/>
      <c r="BX888" s="16"/>
      <c r="BY888" s="16"/>
      <c r="BZ888" s="16"/>
      <c r="CA888" s="16"/>
      <c r="CB888" s="16"/>
      <c r="CC888" s="16"/>
    </row>
    <row r="889" spans="1:81" ht="13.5" thickBot="1">
      <c r="A889" s="16"/>
      <c r="B889" s="16"/>
      <c r="C889" s="17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  <c r="AT889" s="16"/>
      <c r="AU889" s="16"/>
      <c r="AV889" s="16"/>
      <c r="AW889" s="16"/>
      <c r="AX889" s="16"/>
      <c r="AY889" s="16"/>
      <c r="AZ889" s="16"/>
      <c r="BA889" s="16"/>
      <c r="BB889" s="16"/>
      <c r="BC889" s="16"/>
      <c r="BD889" s="16"/>
      <c r="BE889" s="16"/>
      <c r="BF889" s="16"/>
      <c r="BG889" s="16"/>
      <c r="BH889" s="16"/>
      <c r="BI889" s="16"/>
      <c r="BJ889" s="16"/>
      <c r="BK889" s="16"/>
      <c r="BL889" s="16"/>
      <c r="BM889" s="16"/>
      <c r="BN889" s="16"/>
      <c r="BO889" s="16"/>
      <c r="BP889" s="16"/>
      <c r="BQ889" s="16"/>
      <c r="BR889" s="16"/>
      <c r="BS889" s="16"/>
      <c r="BT889" s="16"/>
      <c r="BU889" s="16"/>
      <c r="BV889" s="16"/>
      <c r="BW889" s="16"/>
      <c r="BX889" s="16"/>
      <c r="BY889" s="16"/>
      <c r="BZ889" s="16"/>
      <c r="CA889" s="16"/>
      <c r="CB889" s="16"/>
      <c r="CC889" s="16"/>
    </row>
    <row r="890" spans="1:81" ht="13.5" thickBot="1">
      <c r="A890" s="16"/>
      <c r="B890" s="16"/>
      <c r="C890" s="17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  <c r="AT890" s="16"/>
      <c r="AU890" s="16"/>
      <c r="AV890" s="16"/>
      <c r="AW890" s="16"/>
      <c r="AX890" s="16"/>
      <c r="AY890" s="16"/>
      <c r="AZ890" s="16"/>
      <c r="BA890" s="16"/>
      <c r="BB890" s="16"/>
      <c r="BC890" s="16"/>
      <c r="BD890" s="16"/>
      <c r="BE890" s="16"/>
      <c r="BF890" s="16"/>
      <c r="BG890" s="16"/>
      <c r="BH890" s="16"/>
      <c r="BI890" s="16"/>
      <c r="BJ890" s="16"/>
      <c r="BK890" s="16"/>
      <c r="BL890" s="16"/>
      <c r="BM890" s="16"/>
      <c r="BN890" s="16"/>
      <c r="BO890" s="16"/>
      <c r="BP890" s="16"/>
      <c r="BQ890" s="16"/>
      <c r="BR890" s="16"/>
      <c r="BS890" s="16"/>
      <c r="BT890" s="16"/>
      <c r="BU890" s="16"/>
      <c r="BV890" s="16"/>
      <c r="BW890" s="16"/>
      <c r="BX890" s="16"/>
      <c r="BY890" s="16"/>
      <c r="BZ890" s="16"/>
      <c r="CA890" s="16"/>
      <c r="CB890" s="16"/>
      <c r="CC890" s="16"/>
    </row>
    <row r="891" spans="1:81" ht="13.5" thickBot="1">
      <c r="A891" s="16"/>
      <c r="B891" s="16"/>
      <c r="C891" s="17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  <c r="AT891" s="16"/>
      <c r="AU891" s="16"/>
      <c r="AV891" s="16"/>
      <c r="AW891" s="16"/>
      <c r="AX891" s="16"/>
      <c r="AY891" s="16"/>
      <c r="AZ891" s="16"/>
      <c r="BA891" s="16"/>
      <c r="BB891" s="16"/>
      <c r="BC891" s="16"/>
      <c r="BD891" s="16"/>
      <c r="BE891" s="16"/>
      <c r="BF891" s="16"/>
      <c r="BG891" s="16"/>
      <c r="BH891" s="16"/>
      <c r="BI891" s="16"/>
      <c r="BJ891" s="16"/>
      <c r="BK891" s="16"/>
      <c r="BL891" s="16"/>
      <c r="BM891" s="16"/>
      <c r="BN891" s="16"/>
      <c r="BO891" s="16"/>
      <c r="BP891" s="16"/>
      <c r="BQ891" s="16"/>
      <c r="BR891" s="16"/>
      <c r="BS891" s="16"/>
      <c r="BT891" s="16"/>
      <c r="BU891" s="16"/>
      <c r="BV891" s="16"/>
      <c r="BW891" s="16"/>
      <c r="BX891" s="16"/>
      <c r="BY891" s="16"/>
      <c r="BZ891" s="16"/>
      <c r="CA891" s="16"/>
      <c r="CB891" s="16"/>
      <c r="CC891" s="16"/>
    </row>
    <row r="892" spans="1:81" ht="13.5" thickBot="1">
      <c r="A892" s="16"/>
      <c r="B892" s="16"/>
      <c r="C892" s="17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  <c r="AT892" s="16"/>
      <c r="AU892" s="16"/>
      <c r="AV892" s="16"/>
      <c r="AW892" s="16"/>
      <c r="AX892" s="16"/>
      <c r="AY892" s="16"/>
      <c r="AZ892" s="16"/>
      <c r="BA892" s="16"/>
      <c r="BB892" s="16"/>
      <c r="BC892" s="16"/>
      <c r="BD892" s="16"/>
      <c r="BE892" s="16"/>
      <c r="BF892" s="16"/>
      <c r="BG892" s="16"/>
      <c r="BH892" s="16"/>
      <c r="BI892" s="16"/>
      <c r="BJ892" s="16"/>
      <c r="BK892" s="16"/>
      <c r="BL892" s="16"/>
      <c r="BM892" s="16"/>
      <c r="BN892" s="16"/>
      <c r="BO892" s="16"/>
      <c r="BP892" s="16"/>
      <c r="BQ892" s="16"/>
      <c r="BR892" s="16"/>
      <c r="BS892" s="16"/>
      <c r="BT892" s="16"/>
      <c r="BU892" s="16"/>
      <c r="BV892" s="16"/>
      <c r="BW892" s="16"/>
      <c r="BX892" s="16"/>
      <c r="BY892" s="16"/>
      <c r="BZ892" s="16"/>
      <c r="CA892" s="16"/>
      <c r="CB892" s="16"/>
      <c r="CC892" s="16"/>
    </row>
    <row r="893" spans="1:81" ht="13.5" thickBot="1">
      <c r="A893" s="16"/>
      <c r="B893" s="16"/>
      <c r="C893" s="17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  <c r="AT893" s="16"/>
      <c r="AU893" s="16"/>
      <c r="AV893" s="16"/>
      <c r="AW893" s="16"/>
      <c r="AX893" s="16"/>
      <c r="AY893" s="16"/>
      <c r="AZ893" s="16"/>
      <c r="BA893" s="16"/>
      <c r="BB893" s="16"/>
      <c r="BC893" s="16"/>
      <c r="BD893" s="16"/>
      <c r="BE893" s="16"/>
      <c r="BF893" s="16"/>
      <c r="BG893" s="16"/>
      <c r="BH893" s="16"/>
      <c r="BI893" s="16"/>
      <c r="BJ893" s="16"/>
      <c r="BK893" s="16"/>
      <c r="BL893" s="16"/>
      <c r="BM893" s="16"/>
      <c r="BN893" s="16"/>
      <c r="BO893" s="16"/>
      <c r="BP893" s="16"/>
      <c r="BQ893" s="16"/>
      <c r="BR893" s="16"/>
      <c r="BS893" s="16"/>
      <c r="BT893" s="16"/>
      <c r="BU893" s="16"/>
      <c r="BV893" s="16"/>
      <c r="BW893" s="16"/>
      <c r="BX893" s="16"/>
      <c r="BY893" s="16"/>
      <c r="BZ893" s="16"/>
      <c r="CA893" s="16"/>
      <c r="CB893" s="16"/>
      <c r="CC893" s="16"/>
    </row>
    <row r="894" spans="1:81" ht="13.5" thickBot="1">
      <c r="A894" s="16"/>
      <c r="B894" s="16"/>
      <c r="C894" s="17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  <c r="AT894" s="16"/>
      <c r="AU894" s="16"/>
      <c r="AV894" s="16"/>
      <c r="AW894" s="16"/>
      <c r="AX894" s="16"/>
      <c r="AY894" s="16"/>
      <c r="AZ894" s="16"/>
      <c r="BA894" s="16"/>
      <c r="BB894" s="16"/>
      <c r="BC894" s="16"/>
      <c r="BD894" s="16"/>
      <c r="BE894" s="16"/>
      <c r="BF894" s="16"/>
      <c r="BG894" s="16"/>
      <c r="BH894" s="16"/>
      <c r="BI894" s="16"/>
      <c r="BJ894" s="16"/>
      <c r="BK894" s="16"/>
      <c r="BL894" s="16"/>
      <c r="BM894" s="16"/>
      <c r="BN894" s="16"/>
      <c r="BO894" s="16"/>
      <c r="BP894" s="16"/>
      <c r="BQ894" s="16"/>
      <c r="BR894" s="16"/>
      <c r="BS894" s="16"/>
      <c r="BT894" s="16"/>
      <c r="BU894" s="16"/>
      <c r="BV894" s="16"/>
      <c r="BW894" s="16"/>
      <c r="BX894" s="16"/>
      <c r="BY894" s="16"/>
      <c r="BZ894" s="16"/>
      <c r="CA894" s="16"/>
      <c r="CB894" s="16"/>
      <c r="CC894" s="16"/>
    </row>
    <row r="895" spans="1:81" ht="13.5" thickBot="1">
      <c r="A895" s="16"/>
      <c r="B895" s="16"/>
      <c r="C895" s="17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  <c r="AT895" s="16"/>
      <c r="AU895" s="16"/>
      <c r="AV895" s="16"/>
      <c r="AW895" s="16"/>
      <c r="AX895" s="16"/>
      <c r="AY895" s="16"/>
      <c r="AZ895" s="16"/>
      <c r="BA895" s="16"/>
      <c r="BB895" s="16"/>
      <c r="BC895" s="16"/>
      <c r="BD895" s="16"/>
      <c r="BE895" s="16"/>
      <c r="BF895" s="16"/>
      <c r="BG895" s="16"/>
      <c r="BH895" s="16"/>
      <c r="BI895" s="16"/>
      <c r="BJ895" s="16"/>
      <c r="BK895" s="16"/>
      <c r="BL895" s="16"/>
      <c r="BM895" s="16"/>
      <c r="BN895" s="16"/>
      <c r="BO895" s="16"/>
      <c r="BP895" s="16"/>
      <c r="BQ895" s="16"/>
      <c r="BR895" s="16"/>
      <c r="BS895" s="16"/>
      <c r="BT895" s="16"/>
      <c r="BU895" s="16"/>
      <c r="BV895" s="16"/>
      <c r="BW895" s="16"/>
      <c r="BX895" s="16"/>
      <c r="BY895" s="16"/>
      <c r="BZ895" s="16"/>
      <c r="CA895" s="16"/>
      <c r="CB895" s="16"/>
      <c r="CC895" s="16"/>
    </row>
    <row r="896" spans="1:81" ht="13.5" thickBot="1">
      <c r="A896" s="16"/>
      <c r="B896" s="16"/>
      <c r="C896" s="17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  <c r="AT896" s="16"/>
      <c r="AU896" s="16"/>
      <c r="AV896" s="16"/>
      <c r="AW896" s="16"/>
      <c r="AX896" s="16"/>
      <c r="AY896" s="16"/>
      <c r="AZ896" s="16"/>
      <c r="BA896" s="16"/>
      <c r="BB896" s="16"/>
      <c r="BC896" s="16"/>
      <c r="BD896" s="16"/>
      <c r="BE896" s="16"/>
      <c r="BF896" s="16"/>
      <c r="BG896" s="16"/>
      <c r="BH896" s="16"/>
      <c r="BI896" s="16"/>
      <c r="BJ896" s="16"/>
      <c r="BK896" s="16"/>
      <c r="BL896" s="16"/>
      <c r="BM896" s="16"/>
      <c r="BN896" s="16"/>
      <c r="BO896" s="16"/>
      <c r="BP896" s="16"/>
      <c r="BQ896" s="16"/>
      <c r="BR896" s="16"/>
      <c r="BS896" s="16"/>
      <c r="BT896" s="16"/>
      <c r="BU896" s="16"/>
      <c r="BV896" s="16"/>
      <c r="BW896" s="16"/>
      <c r="BX896" s="16"/>
      <c r="BY896" s="16"/>
      <c r="BZ896" s="16"/>
      <c r="CA896" s="16"/>
      <c r="CB896" s="16"/>
      <c r="CC896" s="16"/>
    </row>
    <row r="897" spans="1:81" ht="13.5" thickBot="1">
      <c r="A897" s="16"/>
      <c r="B897" s="16"/>
      <c r="C897" s="17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  <c r="AT897" s="16"/>
      <c r="AU897" s="16"/>
      <c r="AV897" s="16"/>
      <c r="AW897" s="16"/>
      <c r="AX897" s="16"/>
      <c r="AY897" s="16"/>
      <c r="AZ897" s="16"/>
      <c r="BA897" s="16"/>
      <c r="BB897" s="16"/>
      <c r="BC897" s="16"/>
      <c r="BD897" s="16"/>
      <c r="BE897" s="16"/>
      <c r="BF897" s="16"/>
      <c r="BG897" s="16"/>
      <c r="BH897" s="16"/>
      <c r="BI897" s="16"/>
      <c r="BJ897" s="16"/>
      <c r="BK897" s="16"/>
      <c r="BL897" s="16"/>
      <c r="BM897" s="16"/>
      <c r="BN897" s="16"/>
      <c r="BO897" s="16"/>
      <c r="BP897" s="16"/>
      <c r="BQ897" s="16"/>
      <c r="BR897" s="16"/>
      <c r="BS897" s="16"/>
      <c r="BT897" s="16"/>
      <c r="BU897" s="16"/>
      <c r="BV897" s="16"/>
      <c r="BW897" s="16"/>
      <c r="BX897" s="16"/>
      <c r="BY897" s="16"/>
      <c r="BZ897" s="16"/>
      <c r="CA897" s="16"/>
      <c r="CB897" s="16"/>
      <c r="CC897" s="16"/>
    </row>
    <row r="898" spans="1:81" ht="13.5" thickBot="1">
      <c r="A898" s="16"/>
      <c r="B898" s="16"/>
      <c r="C898" s="17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  <c r="AT898" s="16"/>
      <c r="AU898" s="16"/>
      <c r="AV898" s="16"/>
      <c r="AW898" s="16"/>
      <c r="AX898" s="16"/>
      <c r="AY898" s="16"/>
      <c r="AZ898" s="16"/>
      <c r="BA898" s="16"/>
      <c r="BB898" s="16"/>
      <c r="BC898" s="16"/>
      <c r="BD898" s="16"/>
      <c r="BE898" s="16"/>
      <c r="BF898" s="16"/>
      <c r="BG898" s="16"/>
      <c r="BH898" s="16"/>
      <c r="BI898" s="16"/>
      <c r="BJ898" s="16"/>
      <c r="BK898" s="16"/>
      <c r="BL898" s="16"/>
      <c r="BM898" s="16"/>
      <c r="BN898" s="16"/>
      <c r="BO898" s="16"/>
      <c r="BP898" s="16"/>
      <c r="BQ898" s="16"/>
      <c r="BR898" s="16"/>
      <c r="BS898" s="16"/>
      <c r="BT898" s="16"/>
      <c r="BU898" s="16"/>
      <c r="BV898" s="16"/>
      <c r="BW898" s="16"/>
      <c r="BX898" s="16"/>
      <c r="BY898" s="16"/>
      <c r="BZ898" s="16"/>
      <c r="CA898" s="16"/>
      <c r="CB898" s="16"/>
      <c r="CC898" s="16"/>
    </row>
    <row r="899" spans="1:81" ht="13.5" thickBot="1">
      <c r="A899" s="16"/>
      <c r="B899" s="16"/>
      <c r="C899" s="17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  <c r="AT899" s="16"/>
      <c r="AU899" s="16"/>
      <c r="AV899" s="16"/>
      <c r="AW899" s="16"/>
      <c r="AX899" s="16"/>
      <c r="AY899" s="16"/>
      <c r="AZ899" s="16"/>
      <c r="BA899" s="16"/>
      <c r="BB899" s="16"/>
      <c r="BC899" s="16"/>
      <c r="BD899" s="16"/>
      <c r="BE899" s="16"/>
      <c r="BF899" s="16"/>
      <c r="BG899" s="16"/>
      <c r="BH899" s="16"/>
      <c r="BI899" s="16"/>
      <c r="BJ899" s="16"/>
      <c r="BK899" s="16"/>
      <c r="BL899" s="16"/>
      <c r="BM899" s="16"/>
      <c r="BN899" s="16"/>
      <c r="BO899" s="16"/>
      <c r="BP899" s="16"/>
      <c r="BQ899" s="16"/>
      <c r="BR899" s="16"/>
      <c r="BS899" s="16"/>
      <c r="BT899" s="16"/>
      <c r="BU899" s="16"/>
      <c r="BV899" s="16"/>
      <c r="BW899" s="16"/>
      <c r="BX899" s="16"/>
      <c r="BY899" s="16"/>
      <c r="BZ899" s="16"/>
      <c r="CA899" s="16"/>
      <c r="CB899" s="16"/>
      <c r="CC899" s="16"/>
    </row>
    <row r="900" spans="1:81" ht="13.5" thickBot="1">
      <c r="A900" s="16"/>
      <c r="B900" s="16"/>
      <c r="C900" s="17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  <c r="AT900" s="16"/>
      <c r="AU900" s="16"/>
      <c r="AV900" s="16"/>
      <c r="AW900" s="16"/>
      <c r="AX900" s="16"/>
      <c r="AY900" s="16"/>
      <c r="AZ900" s="16"/>
      <c r="BA900" s="16"/>
      <c r="BB900" s="16"/>
      <c r="BC900" s="16"/>
      <c r="BD900" s="16"/>
      <c r="BE900" s="16"/>
      <c r="BF900" s="16"/>
      <c r="BG900" s="16"/>
      <c r="BH900" s="16"/>
      <c r="BI900" s="16"/>
      <c r="BJ900" s="16"/>
      <c r="BK900" s="16"/>
      <c r="BL900" s="16"/>
      <c r="BM900" s="16"/>
      <c r="BN900" s="16"/>
      <c r="BO900" s="16"/>
      <c r="BP900" s="16"/>
      <c r="BQ900" s="16"/>
      <c r="BR900" s="16"/>
      <c r="BS900" s="16"/>
      <c r="BT900" s="16"/>
      <c r="BU900" s="16"/>
      <c r="BV900" s="16"/>
      <c r="BW900" s="16"/>
      <c r="BX900" s="16"/>
      <c r="BY900" s="16"/>
      <c r="BZ900" s="16"/>
      <c r="CA900" s="16"/>
      <c r="CB900" s="16"/>
      <c r="CC900" s="16"/>
    </row>
    <row r="901" spans="1:81" ht="13.5" thickBot="1">
      <c r="A901" s="16"/>
      <c r="B901" s="16"/>
      <c r="C901" s="17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  <c r="AT901" s="16"/>
      <c r="AU901" s="16"/>
      <c r="AV901" s="16"/>
      <c r="AW901" s="16"/>
      <c r="AX901" s="16"/>
      <c r="AY901" s="16"/>
      <c r="AZ901" s="16"/>
      <c r="BA901" s="16"/>
      <c r="BB901" s="16"/>
      <c r="BC901" s="16"/>
      <c r="BD901" s="16"/>
      <c r="BE901" s="16"/>
      <c r="BF901" s="16"/>
      <c r="BG901" s="16"/>
      <c r="BH901" s="16"/>
      <c r="BI901" s="16"/>
      <c r="BJ901" s="16"/>
      <c r="BK901" s="16"/>
      <c r="BL901" s="16"/>
      <c r="BM901" s="16"/>
      <c r="BN901" s="16"/>
      <c r="BO901" s="16"/>
      <c r="BP901" s="16"/>
      <c r="BQ901" s="16"/>
      <c r="BR901" s="16"/>
      <c r="BS901" s="16"/>
      <c r="BT901" s="16"/>
      <c r="BU901" s="16"/>
      <c r="BV901" s="16"/>
      <c r="BW901" s="16"/>
      <c r="BX901" s="16"/>
      <c r="BY901" s="16"/>
      <c r="BZ901" s="16"/>
      <c r="CA901" s="16"/>
      <c r="CB901" s="16"/>
      <c r="CC901" s="16"/>
    </row>
    <row r="902" spans="1:81" ht="13.5" thickBot="1">
      <c r="A902" s="16"/>
      <c r="B902" s="16"/>
      <c r="C902" s="17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  <c r="AT902" s="16"/>
      <c r="AU902" s="16"/>
      <c r="AV902" s="16"/>
      <c r="AW902" s="16"/>
      <c r="AX902" s="16"/>
      <c r="AY902" s="16"/>
      <c r="AZ902" s="16"/>
      <c r="BA902" s="16"/>
      <c r="BB902" s="16"/>
      <c r="BC902" s="16"/>
      <c r="BD902" s="16"/>
      <c r="BE902" s="16"/>
      <c r="BF902" s="16"/>
      <c r="BG902" s="16"/>
      <c r="BH902" s="16"/>
      <c r="BI902" s="16"/>
      <c r="BJ902" s="16"/>
      <c r="BK902" s="16"/>
      <c r="BL902" s="16"/>
      <c r="BM902" s="16"/>
      <c r="BN902" s="16"/>
      <c r="BO902" s="16"/>
      <c r="BP902" s="16"/>
      <c r="BQ902" s="16"/>
      <c r="BR902" s="16"/>
      <c r="BS902" s="16"/>
      <c r="BT902" s="16"/>
      <c r="BU902" s="16"/>
      <c r="BV902" s="16"/>
      <c r="BW902" s="16"/>
      <c r="BX902" s="16"/>
      <c r="BY902" s="16"/>
      <c r="BZ902" s="16"/>
      <c r="CA902" s="16"/>
      <c r="CB902" s="16"/>
      <c r="CC902" s="16"/>
    </row>
    <row r="903" spans="1:81" ht="13.5" thickBot="1">
      <c r="A903" s="16"/>
      <c r="B903" s="16"/>
      <c r="C903" s="17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  <c r="AT903" s="16"/>
      <c r="AU903" s="16"/>
      <c r="AV903" s="16"/>
      <c r="AW903" s="16"/>
      <c r="AX903" s="16"/>
      <c r="AY903" s="16"/>
      <c r="AZ903" s="16"/>
      <c r="BA903" s="16"/>
      <c r="BB903" s="16"/>
      <c r="BC903" s="16"/>
      <c r="BD903" s="16"/>
      <c r="BE903" s="16"/>
      <c r="BF903" s="16"/>
      <c r="BG903" s="16"/>
      <c r="BH903" s="16"/>
      <c r="BI903" s="16"/>
      <c r="BJ903" s="16"/>
      <c r="BK903" s="16"/>
      <c r="BL903" s="16"/>
      <c r="BM903" s="16"/>
      <c r="BN903" s="16"/>
      <c r="BO903" s="16"/>
      <c r="BP903" s="16"/>
      <c r="BQ903" s="16"/>
      <c r="BR903" s="16"/>
      <c r="BS903" s="16"/>
      <c r="BT903" s="16"/>
      <c r="BU903" s="16"/>
      <c r="BV903" s="16"/>
      <c r="BW903" s="16"/>
      <c r="BX903" s="16"/>
      <c r="BY903" s="16"/>
      <c r="BZ903" s="16"/>
      <c r="CA903" s="16"/>
      <c r="CB903" s="16"/>
      <c r="CC903" s="16"/>
    </row>
    <row r="904" spans="1:81" ht="13.5" thickBot="1">
      <c r="A904" s="16"/>
      <c r="B904" s="16"/>
      <c r="C904" s="17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  <c r="AT904" s="16"/>
      <c r="AU904" s="16"/>
      <c r="AV904" s="16"/>
      <c r="AW904" s="16"/>
      <c r="AX904" s="16"/>
      <c r="AY904" s="16"/>
      <c r="AZ904" s="16"/>
      <c r="BA904" s="16"/>
      <c r="BB904" s="16"/>
      <c r="BC904" s="16"/>
      <c r="BD904" s="16"/>
      <c r="BE904" s="16"/>
      <c r="BF904" s="16"/>
      <c r="BG904" s="16"/>
      <c r="BH904" s="16"/>
      <c r="BI904" s="16"/>
      <c r="BJ904" s="16"/>
      <c r="BK904" s="16"/>
      <c r="BL904" s="16"/>
      <c r="BM904" s="16"/>
      <c r="BN904" s="16"/>
      <c r="BO904" s="16"/>
      <c r="BP904" s="16"/>
      <c r="BQ904" s="16"/>
      <c r="BR904" s="16"/>
      <c r="BS904" s="16"/>
      <c r="BT904" s="16"/>
      <c r="BU904" s="16"/>
      <c r="BV904" s="16"/>
      <c r="BW904" s="16"/>
      <c r="BX904" s="16"/>
      <c r="BY904" s="16"/>
      <c r="BZ904" s="16"/>
      <c r="CA904" s="16"/>
      <c r="CB904" s="16"/>
      <c r="CC904" s="16"/>
    </row>
    <row r="905" spans="1:81" ht="13.5" thickBot="1">
      <c r="A905" s="16"/>
      <c r="B905" s="16"/>
      <c r="C905" s="17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  <c r="AT905" s="16"/>
      <c r="AU905" s="16"/>
      <c r="AV905" s="16"/>
      <c r="AW905" s="16"/>
      <c r="AX905" s="16"/>
      <c r="AY905" s="16"/>
      <c r="AZ905" s="16"/>
      <c r="BA905" s="16"/>
      <c r="BB905" s="16"/>
      <c r="BC905" s="16"/>
      <c r="BD905" s="16"/>
      <c r="BE905" s="16"/>
      <c r="BF905" s="16"/>
      <c r="BG905" s="16"/>
      <c r="BH905" s="16"/>
      <c r="BI905" s="16"/>
      <c r="BJ905" s="16"/>
      <c r="BK905" s="16"/>
      <c r="BL905" s="16"/>
      <c r="BM905" s="16"/>
      <c r="BN905" s="16"/>
      <c r="BO905" s="16"/>
      <c r="BP905" s="16"/>
      <c r="BQ905" s="16"/>
      <c r="BR905" s="16"/>
      <c r="BS905" s="16"/>
      <c r="BT905" s="16"/>
      <c r="BU905" s="16"/>
      <c r="BV905" s="16"/>
      <c r="BW905" s="16"/>
      <c r="BX905" s="16"/>
      <c r="BY905" s="16"/>
      <c r="BZ905" s="16"/>
      <c r="CA905" s="16"/>
      <c r="CB905" s="16"/>
      <c r="CC905" s="16"/>
    </row>
    <row r="906" spans="1:81" ht="13.5" thickBot="1">
      <c r="A906" s="16"/>
      <c r="B906" s="16"/>
      <c r="C906" s="17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  <c r="AT906" s="16"/>
      <c r="AU906" s="16"/>
      <c r="AV906" s="16"/>
      <c r="AW906" s="16"/>
      <c r="AX906" s="16"/>
      <c r="AY906" s="16"/>
      <c r="AZ906" s="16"/>
      <c r="BA906" s="16"/>
      <c r="BB906" s="16"/>
      <c r="BC906" s="16"/>
      <c r="BD906" s="16"/>
      <c r="BE906" s="16"/>
      <c r="BF906" s="16"/>
      <c r="BG906" s="16"/>
      <c r="BH906" s="16"/>
      <c r="BI906" s="16"/>
      <c r="BJ906" s="16"/>
      <c r="BK906" s="16"/>
      <c r="BL906" s="16"/>
      <c r="BM906" s="16"/>
      <c r="BN906" s="16"/>
      <c r="BO906" s="16"/>
      <c r="BP906" s="16"/>
      <c r="BQ906" s="16"/>
      <c r="BR906" s="16"/>
      <c r="BS906" s="16"/>
      <c r="BT906" s="16"/>
      <c r="BU906" s="16"/>
      <c r="BV906" s="16"/>
      <c r="BW906" s="16"/>
      <c r="BX906" s="16"/>
      <c r="BY906" s="16"/>
      <c r="BZ906" s="16"/>
      <c r="CA906" s="16"/>
      <c r="CB906" s="16"/>
      <c r="CC906" s="16"/>
    </row>
    <row r="907" spans="1:81" ht="13.5" thickBot="1">
      <c r="A907" s="16"/>
      <c r="B907" s="16"/>
      <c r="C907" s="17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  <c r="AT907" s="16"/>
      <c r="AU907" s="16"/>
      <c r="AV907" s="16"/>
      <c r="AW907" s="16"/>
      <c r="AX907" s="16"/>
      <c r="AY907" s="16"/>
      <c r="AZ907" s="16"/>
      <c r="BA907" s="16"/>
      <c r="BB907" s="16"/>
      <c r="BC907" s="16"/>
      <c r="BD907" s="16"/>
      <c r="BE907" s="16"/>
      <c r="BF907" s="16"/>
      <c r="BG907" s="16"/>
      <c r="BH907" s="16"/>
      <c r="BI907" s="16"/>
      <c r="BJ907" s="16"/>
      <c r="BK907" s="16"/>
      <c r="BL907" s="16"/>
      <c r="BM907" s="16"/>
      <c r="BN907" s="16"/>
      <c r="BO907" s="16"/>
      <c r="BP907" s="16"/>
      <c r="BQ907" s="16"/>
      <c r="BR907" s="16"/>
      <c r="BS907" s="16"/>
      <c r="BT907" s="16"/>
      <c r="BU907" s="16"/>
      <c r="BV907" s="16"/>
      <c r="BW907" s="16"/>
      <c r="BX907" s="16"/>
      <c r="BY907" s="16"/>
      <c r="BZ907" s="16"/>
      <c r="CA907" s="16"/>
      <c r="CB907" s="16"/>
      <c r="CC907" s="16"/>
    </row>
    <row r="908" spans="1:81" ht="13.5" thickBot="1">
      <c r="A908" s="16"/>
      <c r="B908" s="16"/>
      <c r="C908" s="17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  <c r="AT908" s="16"/>
      <c r="AU908" s="16"/>
      <c r="AV908" s="16"/>
      <c r="AW908" s="16"/>
      <c r="AX908" s="16"/>
      <c r="AY908" s="16"/>
      <c r="AZ908" s="16"/>
      <c r="BA908" s="16"/>
      <c r="BB908" s="16"/>
      <c r="BC908" s="16"/>
      <c r="BD908" s="16"/>
      <c r="BE908" s="16"/>
      <c r="BF908" s="16"/>
      <c r="BG908" s="16"/>
      <c r="BH908" s="16"/>
      <c r="BI908" s="16"/>
      <c r="BJ908" s="16"/>
      <c r="BK908" s="16"/>
      <c r="BL908" s="16"/>
      <c r="BM908" s="16"/>
      <c r="BN908" s="16"/>
      <c r="BO908" s="16"/>
      <c r="BP908" s="16"/>
      <c r="BQ908" s="16"/>
      <c r="BR908" s="16"/>
      <c r="BS908" s="16"/>
      <c r="BT908" s="16"/>
      <c r="BU908" s="16"/>
      <c r="BV908" s="16"/>
      <c r="BW908" s="16"/>
      <c r="BX908" s="16"/>
      <c r="BY908" s="16"/>
      <c r="BZ908" s="16"/>
      <c r="CA908" s="16"/>
      <c r="CB908" s="16"/>
      <c r="CC908" s="16"/>
    </row>
    <row r="909" spans="1:81" ht="13.5" thickBot="1">
      <c r="A909" s="16"/>
      <c r="B909" s="16"/>
      <c r="C909" s="17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  <c r="AT909" s="16"/>
      <c r="AU909" s="16"/>
      <c r="AV909" s="16"/>
      <c r="AW909" s="16"/>
      <c r="AX909" s="16"/>
      <c r="AY909" s="16"/>
      <c r="AZ909" s="16"/>
      <c r="BA909" s="16"/>
      <c r="BB909" s="16"/>
      <c r="BC909" s="16"/>
      <c r="BD909" s="16"/>
      <c r="BE909" s="16"/>
      <c r="BF909" s="16"/>
      <c r="BG909" s="16"/>
      <c r="BH909" s="16"/>
      <c r="BI909" s="16"/>
      <c r="BJ909" s="16"/>
      <c r="BK909" s="16"/>
      <c r="BL909" s="16"/>
      <c r="BM909" s="16"/>
      <c r="BN909" s="16"/>
      <c r="BO909" s="16"/>
      <c r="BP909" s="16"/>
      <c r="BQ909" s="16"/>
      <c r="BR909" s="16"/>
      <c r="BS909" s="16"/>
      <c r="BT909" s="16"/>
      <c r="BU909" s="16"/>
      <c r="BV909" s="16"/>
      <c r="BW909" s="16"/>
      <c r="BX909" s="16"/>
      <c r="BY909" s="16"/>
      <c r="BZ909" s="16"/>
      <c r="CA909" s="16"/>
      <c r="CB909" s="16"/>
      <c r="CC909" s="16"/>
    </row>
    <row r="910" spans="1:81" ht="13.5" thickBot="1">
      <c r="A910" s="16"/>
      <c r="B910" s="16"/>
      <c r="C910" s="17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  <c r="AT910" s="16"/>
      <c r="AU910" s="16"/>
      <c r="AV910" s="16"/>
      <c r="AW910" s="16"/>
      <c r="AX910" s="16"/>
      <c r="AY910" s="16"/>
      <c r="AZ910" s="16"/>
      <c r="BA910" s="16"/>
      <c r="BB910" s="16"/>
      <c r="BC910" s="16"/>
      <c r="BD910" s="16"/>
      <c r="BE910" s="16"/>
      <c r="BF910" s="16"/>
      <c r="BG910" s="16"/>
      <c r="BH910" s="16"/>
      <c r="BI910" s="16"/>
      <c r="BJ910" s="16"/>
      <c r="BK910" s="16"/>
      <c r="BL910" s="16"/>
      <c r="BM910" s="16"/>
      <c r="BN910" s="16"/>
      <c r="BO910" s="16"/>
      <c r="BP910" s="16"/>
      <c r="BQ910" s="16"/>
      <c r="BR910" s="16"/>
      <c r="BS910" s="16"/>
      <c r="BT910" s="16"/>
      <c r="BU910" s="16"/>
      <c r="BV910" s="16"/>
      <c r="BW910" s="16"/>
      <c r="BX910" s="16"/>
      <c r="BY910" s="16"/>
      <c r="BZ910" s="16"/>
      <c r="CA910" s="16"/>
      <c r="CB910" s="16"/>
      <c r="CC910" s="16"/>
    </row>
    <row r="911" spans="1:81" ht="13.5" thickBot="1">
      <c r="A911" s="16"/>
      <c r="B911" s="16"/>
      <c r="C911" s="17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  <c r="AT911" s="16"/>
      <c r="AU911" s="16"/>
      <c r="AV911" s="16"/>
      <c r="AW911" s="16"/>
      <c r="AX911" s="16"/>
      <c r="AY911" s="16"/>
      <c r="AZ911" s="16"/>
      <c r="BA911" s="16"/>
      <c r="BB911" s="16"/>
      <c r="BC911" s="16"/>
      <c r="BD911" s="16"/>
      <c r="BE911" s="16"/>
      <c r="BF911" s="16"/>
      <c r="BG911" s="16"/>
      <c r="BH911" s="16"/>
      <c r="BI911" s="16"/>
      <c r="BJ911" s="16"/>
      <c r="BK911" s="16"/>
      <c r="BL911" s="16"/>
      <c r="BM911" s="16"/>
      <c r="BN911" s="16"/>
      <c r="BO911" s="16"/>
      <c r="BP911" s="16"/>
      <c r="BQ911" s="16"/>
      <c r="BR911" s="16"/>
      <c r="BS911" s="16"/>
      <c r="BT911" s="16"/>
      <c r="BU911" s="16"/>
      <c r="BV911" s="16"/>
      <c r="BW911" s="16"/>
      <c r="BX911" s="16"/>
      <c r="BY911" s="16"/>
      <c r="BZ911" s="16"/>
      <c r="CA911" s="16"/>
      <c r="CB911" s="16"/>
      <c r="CC911" s="16"/>
    </row>
    <row r="912" spans="1:81" ht="13.5" thickBot="1">
      <c r="A912" s="16"/>
      <c r="B912" s="16"/>
      <c r="C912" s="17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  <c r="AT912" s="16"/>
      <c r="AU912" s="16"/>
      <c r="AV912" s="16"/>
      <c r="AW912" s="16"/>
      <c r="AX912" s="16"/>
      <c r="AY912" s="16"/>
      <c r="AZ912" s="16"/>
      <c r="BA912" s="16"/>
      <c r="BB912" s="16"/>
      <c r="BC912" s="16"/>
      <c r="BD912" s="16"/>
      <c r="BE912" s="16"/>
      <c r="BF912" s="16"/>
      <c r="BG912" s="16"/>
      <c r="BH912" s="16"/>
      <c r="BI912" s="16"/>
      <c r="BJ912" s="16"/>
      <c r="BK912" s="16"/>
      <c r="BL912" s="16"/>
      <c r="BM912" s="16"/>
      <c r="BN912" s="16"/>
      <c r="BO912" s="16"/>
      <c r="BP912" s="16"/>
      <c r="BQ912" s="16"/>
      <c r="BR912" s="16"/>
      <c r="BS912" s="16"/>
      <c r="BT912" s="16"/>
      <c r="BU912" s="16"/>
      <c r="BV912" s="16"/>
      <c r="BW912" s="16"/>
      <c r="BX912" s="16"/>
      <c r="BY912" s="16"/>
      <c r="BZ912" s="16"/>
      <c r="CA912" s="16"/>
      <c r="CB912" s="16"/>
      <c r="CC912" s="16"/>
    </row>
    <row r="913" spans="1:81" ht="13.5" thickBot="1">
      <c r="A913" s="16"/>
      <c r="B913" s="16"/>
      <c r="C913" s="17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  <c r="AT913" s="16"/>
      <c r="AU913" s="16"/>
      <c r="AV913" s="16"/>
      <c r="AW913" s="16"/>
      <c r="AX913" s="16"/>
      <c r="AY913" s="16"/>
      <c r="AZ913" s="16"/>
      <c r="BA913" s="16"/>
      <c r="BB913" s="16"/>
      <c r="BC913" s="16"/>
      <c r="BD913" s="16"/>
      <c r="BE913" s="16"/>
      <c r="BF913" s="16"/>
      <c r="BG913" s="16"/>
      <c r="BH913" s="16"/>
      <c r="BI913" s="16"/>
      <c r="BJ913" s="16"/>
      <c r="BK913" s="16"/>
      <c r="BL913" s="16"/>
      <c r="BM913" s="16"/>
      <c r="BN913" s="16"/>
      <c r="BO913" s="16"/>
      <c r="BP913" s="16"/>
      <c r="BQ913" s="16"/>
      <c r="BR913" s="16"/>
      <c r="BS913" s="16"/>
      <c r="BT913" s="16"/>
      <c r="BU913" s="16"/>
      <c r="BV913" s="16"/>
      <c r="BW913" s="16"/>
      <c r="BX913" s="16"/>
      <c r="BY913" s="16"/>
      <c r="BZ913" s="16"/>
      <c r="CA913" s="16"/>
      <c r="CB913" s="16"/>
      <c r="CC913" s="16"/>
    </row>
    <row r="914" spans="1:81" ht="13.5" thickBot="1">
      <c r="A914" s="16"/>
      <c r="B914" s="16"/>
      <c r="C914" s="17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  <c r="AT914" s="16"/>
      <c r="AU914" s="16"/>
      <c r="AV914" s="16"/>
      <c r="AW914" s="16"/>
      <c r="AX914" s="16"/>
      <c r="AY914" s="16"/>
      <c r="AZ914" s="16"/>
      <c r="BA914" s="16"/>
      <c r="BB914" s="16"/>
      <c r="BC914" s="16"/>
      <c r="BD914" s="16"/>
      <c r="BE914" s="16"/>
      <c r="BF914" s="16"/>
      <c r="BG914" s="16"/>
      <c r="BH914" s="16"/>
      <c r="BI914" s="16"/>
      <c r="BJ914" s="16"/>
      <c r="BK914" s="16"/>
      <c r="BL914" s="16"/>
      <c r="BM914" s="16"/>
      <c r="BN914" s="16"/>
      <c r="BO914" s="16"/>
      <c r="BP914" s="16"/>
      <c r="BQ914" s="16"/>
      <c r="BR914" s="16"/>
      <c r="BS914" s="16"/>
      <c r="BT914" s="16"/>
      <c r="BU914" s="16"/>
      <c r="BV914" s="16"/>
      <c r="BW914" s="16"/>
      <c r="BX914" s="16"/>
      <c r="BY914" s="16"/>
      <c r="BZ914" s="16"/>
      <c r="CA914" s="16"/>
      <c r="CB914" s="16"/>
      <c r="CC914" s="16"/>
    </row>
    <row r="915" spans="1:81" ht="13.5" thickBot="1">
      <c r="A915" s="16"/>
      <c r="B915" s="16"/>
      <c r="C915" s="17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  <c r="AT915" s="16"/>
      <c r="AU915" s="16"/>
      <c r="AV915" s="16"/>
      <c r="AW915" s="16"/>
      <c r="AX915" s="16"/>
      <c r="AY915" s="16"/>
      <c r="AZ915" s="16"/>
      <c r="BA915" s="16"/>
      <c r="BB915" s="16"/>
      <c r="BC915" s="16"/>
      <c r="BD915" s="16"/>
      <c r="BE915" s="16"/>
      <c r="BF915" s="16"/>
      <c r="BG915" s="16"/>
      <c r="BH915" s="16"/>
      <c r="BI915" s="16"/>
      <c r="BJ915" s="16"/>
      <c r="BK915" s="16"/>
      <c r="BL915" s="16"/>
      <c r="BM915" s="16"/>
      <c r="BN915" s="16"/>
      <c r="BO915" s="16"/>
      <c r="BP915" s="16"/>
      <c r="BQ915" s="16"/>
      <c r="BR915" s="16"/>
      <c r="BS915" s="16"/>
      <c r="BT915" s="16"/>
      <c r="BU915" s="16"/>
      <c r="BV915" s="16"/>
      <c r="BW915" s="16"/>
      <c r="BX915" s="16"/>
      <c r="BY915" s="16"/>
      <c r="BZ915" s="16"/>
      <c r="CA915" s="16"/>
      <c r="CB915" s="16"/>
      <c r="CC915" s="16"/>
    </row>
    <row r="916" spans="1:81" ht="13.5" thickBot="1">
      <c r="A916" s="16"/>
      <c r="B916" s="16"/>
      <c r="C916" s="17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  <c r="AT916" s="16"/>
      <c r="AU916" s="16"/>
      <c r="AV916" s="16"/>
      <c r="AW916" s="16"/>
      <c r="AX916" s="16"/>
      <c r="AY916" s="16"/>
      <c r="AZ916" s="16"/>
      <c r="BA916" s="16"/>
      <c r="BB916" s="16"/>
      <c r="BC916" s="16"/>
      <c r="BD916" s="16"/>
      <c r="BE916" s="16"/>
      <c r="BF916" s="16"/>
      <c r="BG916" s="16"/>
      <c r="BH916" s="16"/>
      <c r="BI916" s="16"/>
      <c r="BJ916" s="16"/>
      <c r="BK916" s="16"/>
      <c r="BL916" s="16"/>
      <c r="BM916" s="16"/>
      <c r="BN916" s="16"/>
      <c r="BO916" s="16"/>
      <c r="BP916" s="16"/>
      <c r="BQ916" s="16"/>
      <c r="BR916" s="16"/>
      <c r="BS916" s="16"/>
      <c r="BT916" s="16"/>
      <c r="BU916" s="16"/>
      <c r="BV916" s="16"/>
      <c r="BW916" s="16"/>
      <c r="BX916" s="16"/>
      <c r="BY916" s="16"/>
      <c r="BZ916" s="16"/>
      <c r="CA916" s="16"/>
      <c r="CB916" s="16"/>
      <c r="CC916" s="16"/>
    </row>
    <row r="917" spans="1:81" ht="13.5" thickBot="1">
      <c r="A917" s="16"/>
      <c r="B917" s="16"/>
      <c r="C917" s="17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  <c r="AT917" s="16"/>
      <c r="AU917" s="16"/>
      <c r="AV917" s="16"/>
      <c r="AW917" s="16"/>
      <c r="AX917" s="16"/>
      <c r="AY917" s="16"/>
      <c r="AZ917" s="16"/>
      <c r="BA917" s="16"/>
      <c r="BB917" s="16"/>
      <c r="BC917" s="16"/>
      <c r="BD917" s="16"/>
      <c r="BE917" s="16"/>
      <c r="BF917" s="16"/>
      <c r="BG917" s="16"/>
      <c r="BH917" s="16"/>
      <c r="BI917" s="16"/>
      <c r="BJ917" s="16"/>
      <c r="BK917" s="16"/>
      <c r="BL917" s="16"/>
      <c r="BM917" s="16"/>
      <c r="BN917" s="16"/>
      <c r="BO917" s="16"/>
      <c r="BP917" s="16"/>
      <c r="BQ917" s="16"/>
      <c r="BR917" s="16"/>
      <c r="BS917" s="16"/>
      <c r="BT917" s="16"/>
      <c r="BU917" s="16"/>
      <c r="BV917" s="16"/>
      <c r="BW917" s="16"/>
      <c r="BX917" s="16"/>
      <c r="BY917" s="16"/>
      <c r="BZ917" s="16"/>
      <c r="CA917" s="16"/>
      <c r="CB917" s="16"/>
      <c r="CC917" s="16"/>
    </row>
    <row r="918" spans="1:81" ht="13.5" thickBot="1">
      <c r="A918" s="16"/>
      <c r="B918" s="16"/>
      <c r="C918" s="17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  <c r="AT918" s="16"/>
      <c r="AU918" s="16"/>
      <c r="AV918" s="16"/>
      <c r="AW918" s="16"/>
      <c r="AX918" s="16"/>
      <c r="AY918" s="16"/>
      <c r="AZ918" s="16"/>
      <c r="BA918" s="16"/>
      <c r="BB918" s="16"/>
      <c r="BC918" s="16"/>
      <c r="BD918" s="16"/>
      <c r="BE918" s="16"/>
      <c r="BF918" s="16"/>
      <c r="BG918" s="16"/>
      <c r="BH918" s="16"/>
      <c r="BI918" s="16"/>
      <c r="BJ918" s="16"/>
      <c r="BK918" s="16"/>
      <c r="BL918" s="16"/>
      <c r="BM918" s="16"/>
      <c r="BN918" s="16"/>
      <c r="BO918" s="16"/>
      <c r="BP918" s="16"/>
      <c r="BQ918" s="16"/>
      <c r="BR918" s="16"/>
      <c r="BS918" s="16"/>
      <c r="BT918" s="16"/>
      <c r="BU918" s="16"/>
      <c r="BV918" s="16"/>
      <c r="BW918" s="16"/>
      <c r="BX918" s="16"/>
      <c r="BY918" s="16"/>
      <c r="BZ918" s="16"/>
      <c r="CA918" s="16"/>
      <c r="CB918" s="16"/>
      <c r="CC918" s="16"/>
    </row>
    <row r="919" spans="1:81" ht="13.5" thickBot="1">
      <c r="A919" s="16"/>
      <c r="B919" s="16"/>
      <c r="C919" s="17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  <c r="AT919" s="16"/>
      <c r="AU919" s="16"/>
      <c r="AV919" s="16"/>
      <c r="AW919" s="16"/>
      <c r="AX919" s="16"/>
      <c r="AY919" s="16"/>
      <c r="AZ919" s="16"/>
      <c r="BA919" s="16"/>
      <c r="BB919" s="16"/>
      <c r="BC919" s="16"/>
      <c r="BD919" s="16"/>
      <c r="BE919" s="16"/>
      <c r="BF919" s="16"/>
      <c r="BG919" s="16"/>
      <c r="BH919" s="16"/>
      <c r="BI919" s="16"/>
      <c r="BJ919" s="16"/>
      <c r="BK919" s="16"/>
      <c r="BL919" s="16"/>
      <c r="BM919" s="16"/>
      <c r="BN919" s="16"/>
      <c r="BO919" s="16"/>
      <c r="BP919" s="16"/>
      <c r="BQ919" s="16"/>
      <c r="BR919" s="16"/>
      <c r="BS919" s="16"/>
      <c r="BT919" s="16"/>
      <c r="BU919" s="16"/>
      <c r="BV919" s="16"/>
      <c r="BW919" s="16"/>
      <c r="BX919" s="16"/>
      <c r="BY919" s="16"/>
      <c r="BZ919" s="16"/>
      <c r="CA919" s="16"/>
      <c r="CB919" s="16"/>
      <c r="CC919" s="16"/>
    </row>
    <row r="920" spans="1:81" ht="13.5" thickBot="1">
      <c r="A920" s="16"/>
      <c r="B920" s="16"/>
      <c r="C920" s="17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  <c r="AT920" s="16"/>
      <c r="AU920" s="16"/>
      <c r="AV920" s="16"/>
      <c r="AW920" s="16"/>
      <c r="AX920" s="16"/>
      <c r="AY920" s="16"/>
      <c r="AZ920" s="16"/>
      <c r="BA920" s="16"/>
      <c r="BB920" s="16"/>
      <c r="BC920" s="16"/>
      <c r="BD920" s="16"/>
      <c r="BE920" s="16"/>
      <c r="BF920" s="16"/>
      <c r="BG920" s="16"/>
      <c r="BH920" s="16"/>
      <c r="BI920" s="16"/>
      <c r="BJ920" s="16"/>
      <c r="BK920" s="16"/>
      <c r="BL920" s="16"/>
      <c r="BM920" s="16"/>
      <c r="BN920" s="16"/>
      <c r="BO920" s="16"/>
      <c r="BP920" s="16"/>
      <c r="BQ920" s="16"/>
      <c r="BR920" s="16"/>
      <c r="BS920" s="16"/>
      <c r="BT920" s="16"/>
      <c r="BU920" s="16"/>
      <c r="BV920" s="16"/>
      <c r="BW920" s="16"/>
      <c r="BX920" s="16"/>
      <c r="BY920" s="16"/>
      <c r="BZ920" s="16"/>
      <c r="CA920" s="16"/>
      <c r="CB920" s="16"/>
      <c r="CC920" s="16"/>
    </row>
    <row r="921" spans="1:81" ht="13.5" thickBot="1">
      <c r="A921" s="16"/>
      <c r="B921" s="16"/>
      <c r="C921" s="17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  <c r="AT921" s="16"/>
      <c r="AU921" s="16"/>
      <c r="AV921" s="16"/>
      <c r="AW921" s="16"/>
      <c r="AX921" s="16"/>
      <c r="AY921" s="16"/>
      <c r="AZ921" s="16"/>
      <c r="BA921" s="16"/>
      <c r="BB921" s="16"/>
      <c r="BC921" s="16"/>
      <c r="BD921" s="16"/>
      <c r="BE921" s="16"/>
      <c r="BF921" s="16"/>
      <c r="BG921" s="16"/>
      <c r="BH921" s="16"/>
      <c r="BI921" s="16"/>
      <c r="BJ921" s="16"/>
      <c r="BK921" s="16"/>
      <c r="BL921" s="16"/>
      <c r="BM921" s="16"/>
      <c r="BN921" s="16"/>
      <c r="BO921" s="16"/>
      <c r="BP921" s="16"/>
      <c r="BQ921" s="16"/>
      <c r="BR921" s="16"/>
      <c r="BS921" s="16"/>
      <c r="BT921" s="16"/>
      <c r="BU921" s="16"/>
      <c r="BV921" s="16"/>
      <c r="BW921" s="16"/>
      <c r="BX921" s="16"/>
      <c r="BY921" s="16"/>
      <c r="BZ921" s="16"/>
      <c r="CA921" s="16"/>
      <c r="CB921" s="16"/>
      <c r="CC921" s="16"/>
    </row>
    <row r="922" spans="1:81" ht="13.5" thickBot="1">
      <c r="A922" s="16"/>
      <c r="B922" s="16"/>
      <c r="C922" s="17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  <c r="AT922" s="16"/>
      <c r="AU922" s="16"/>
      <c r="AV922" s="16"/>
      <c r="AW922" s="16"/>
      <c r="AX922" s="16"/>
      <c r="AY922" s="16"/>
      <c r="AZ922" s="16"/>
      <c r="BA922" s="16"/>
      <c r="BB922" s="16"/>
      <c r="BC922" s="16"/>
      <c r="BD922" s="16"/>
      <c r="BE922" s="16"/>
      <c r="BF922" s="16"/>
      <c r="BG922" s="16"/>
      <c r="BH922" s="16"/>
      <c r="BI922" s="16"/>
      <c r="BJ922" s="16"/>
      <c r="BK922" s="16"/>
      <c r="BL922" s="16"/>
      <c r="BM922" s="16"/>
      <c r="BN922" s="16"/>
      <c r="BO922" s="16"/>
      <c r="BP922" s="16"/>
      <c r="BQ922" s="16"/>
      <c r="BR922" s="16"/>
      <c r="BS922" s="16"/>
      <c r="BT922" s="16"/>
      <c r="BU922" s="16"/>
      <c r="BV922" s="16"/>
      <c r="BW922" s="16"/>
      <c r="BX922" s="16"/>
      <c r="BY922" s="16"/>
      <c r="BZ922" s="16"/>
      <c r="CA922" s="16"/>
      <c r="CB922" s="16"/>
      <c r="CC922" s="16"/>
    </row>
    <row r="923" spans="1:81" ht="13.5" thickBot="1">
      <c r="A923" s="16"/>
      <c r="B923" s="16"/>
      <c r="C923" s="17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  <c r="AT923" s="16"/>
      <c r="AU923" s="16"/>
      <c r="AV923" s="16"/>
      <c r="AW923" s="16"/>
      <c r="AX923" s="16"/>
      <c r="AY923" s="16"/>
      <c r="AZ923" s="16"/>
      <c r="BA923" s="16"/>
      <c r="BB923" s="16"/>
      <c r="BC923" s="16"/>
      <c r="BD923" s="16"/>
      <c r="BE923" s="16"/>
      <c r="BF923" s="16"/>
      <c r="BG923" s="16"/>
      <c r="BH923" s="16"/>
      <c r="BI923" s="16"/>
      <c r="BJ923" s="16"/>
      <c r="BK923" s="16"/>
      <c r="BL923" s="16"/>
      <c r="BM923" s="16"/>
      <c r="BN923" s="16"/>
      <c r="BO923" s="16"/>
      <c r="BP923" s="16"/>
      <c r="BQ923" s="16"/>
      <c r="BR923" s="16"/>
      <c r="BS923" s="16"/>
      <c r="BT923" s="16"/>
      <c r="BU923" s="16"/>
      <c r="BV923" s="16"/>
      <c r="BW923" s="16"/>
      <c r="BX923" s="16"/>
      <c r="BY923" s="16"/>
      <c r="BZ923" s="16"/>
      <c r="CA923" s="16"/>
      <c r="CB923" s="16"/>
      <c r="CC923" s="16"/>
    </row>
    <row r="924" spans="1:81" ht="13.5" thickBot="1">
      <c r="A924" s="16"/>
      <c r="B924" s="16"/>
      <c r="C924" s="17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  <c r="AT924" s="16"/>
      <c r="AU924" s="16"/>
      <c r="AV924" s="16"/>
      <c r="AW924" s="16"/>
      <c r="AX924" s="16"/>
      <c r="AY924" s="16"/>
      <c r="AZ924" s="16"/>
      <c r="BA924" s="16"/>
      <c r="BB924" s="16"/>
      <c r="BC924" s="16"/>
      <c r="BD924" s="16"/>
      <c r="BE924" s="16"/>
      <c r="BF924" s="16"/>
      <c r="BG924" s="16"/>
      <c r="BH924" s="16"/>
      <c r="BI924" s="16"/>
      <c r="BJ924" s="16"/>
      <c r="BK924" s="16"/>
      <c r="BL924" s="16"/>
      <c r="BM924" s="16"/>
      <c r="BN924" s="16"/>
      <c r="BO924" s="16"/>
      <c r="BP924" s="16"/>
      <c r="BQ924" s="16"/>
      <c r="BR924" s="16"/>
      <c r="BS924" s="16"/>
      <c r="BT924" s="16"/>
      <c r="BU924" s="16"/>
      <c r="BV924" s="16"/>
      <c r="BW924" s="16"/>
      <c r="BX924" s="16"/>
      <c r="BY924" s="16"/>
      <c r="BZ924" s="16"/>
      <c r="CA924" s="16"/>
      <c r="CB924" s="16"/>
      <c r="CC924" s="16"/>
    </row>
    <row r="925" spans="1:81" ht="13.5" thickBot="1">
      <c r="A925" s="16"/>
      <c r="B925" s="16"/>
      <c r="C925" s="17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  <c r="AT925" s="16"/>
      <c r="AU925" s="16"/>
      <c r="AV925" s="16"/>
      <c r="AW925" s="16"/>
      <c r="AX925" s="16"/>
      <c r="AY925" s="16"/>
      <c r="AZ925" s="16"/>
      <c r="BA925" s="16"/>
      <c r="BB925" s="16"/>
      <c r="BC925" s="16"/>
      <c r="BD925" s="16"/>
      <c r="BE925" s="16"/>
      <c r="BF925" s="16"/>
      <c r="BG925" s="16"/>
      <c r="BH925" s="16"/>
      <c r="BI925" s="16"/>
      <c r="BJ925" s="16"/>
      <c r="BK925" s="16"/>
      <c r="BL925" s="16"/>
      <c r="BM925" s="16"/>
      <c r="BN925" s="16"/>
      <c r="BO925" s="16"/>
      <c r="BP925" s="16"/>
      <c r="BQ925" s="16"/>
      <c r="BR925" s="16"/>
      <c r="BS925" s="16"/>
      <c r="BT925" s="16"/>
      <c r="BU925" s="16"/>
      <c r="BV925" s="16"/>
      <c r="BW925" s="16"/>
      <c r="BX925" s="16"/>
      <c r="BY925" s="16"/>
      <c r="BZ925" s="16"/>
      <c r="CA925" s="16"/>
      <c r="CB925" s="16"/>
      <c r="CC925" s="16"/>
    </row>
    <row r="926" spans="1:81" ht="13.5" thickBot="1">
      <c r="A926" s="16"/>
      <c r="B926" s="16"/>
      <c r="C926" s="17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  <c r="AT926" s="16"/>
      <c r="AU926" s="16"/>
      <c r="AV926" s="16"/>
      <c r="AW926" s="16"/>
      <c r="AX926" s="16"/>
      <c r="AY926" s="16"/>
      <c r="AZ926" s="16"/>
      <c r="BA926" s="16"/>
      <c r="BB926" s="16"/>
      <c r="BC926" s="16"/>
      <c r="BD926" s="16"/>
      <c r="BE926" s="16"/>
      <c r="BF926" s="16"/>
      <c r="BG926" s="16"/>
      <c r="BH926" s="16"/>
      <c r="BI926" s="16"/>
      <c r="BJ926" s="16"/>
      <c r="BK926" s="16"/>
      <c r="BL926" s="16"/>
      <c r="BM926" s="16"/>
      <c r="BN926" s="16"/>
      <c r="BO926" s="16"/>
      <c r="BP926" s="16"/>
      <c r="BQ926" s="16"/>
      <c r="BR926" s="16"/>
      <c r="BS926" s="16"/>
      <c r="BT926" s="16"/>
      <c r="BU926" s="16"/>
      <c r="BV926" s="16"/>
      <c r="BW926" s="16"/>
      <c r="BX926" s="16"/>
      <c r="BY926" s="16"/>
      <c r="BZ926" s="16"/>
      <c r="CA926" s="16"/>
      <c r="CB926" s="16"/>
      <c r="CC926" s="16"/>
    </row>
    <row r="927" spans="1:81" ht="13.5" thickBot="1">
      <c r="A927" s="16"/>
      <c r="B927" s="16"/>
      <c r="C927" s="17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  <c r="AT927" s="16"/>
      <c r="AU927" s="16"/>
      <c r="AV927" s="16"/>
      <c r="AW927" s="16"/>
      <c r="AX927" s="16"/>
      <c r="AY927" s="16"/>
      <c r="AZ927" s="16"/>
      <c r="BA927" s="16"/>
      <c r="BB927" s="16"/>
      <c r="BC927" s="16"/>
      <c r="BD927" s="16"/>
      <c r="BE927" s="16"/>
      <c r="BF927" s="16"/>
      <c r="BG927" s="16"/>
      <c r="BH927" s="16"/>
      <c r="BI927" s="16"/>
      <c r="BJ927" s="16"/>
      <c r="BK927" s="16"/>
      <c r="BL927" s="16"/>
      <c r="BM927" s="16"/>
      <c r="BN927" s="16"/>
      <c r="BO927" s="16"/>
      <c r="BP927" s="16"/>
      <c r="BQ927" s="16"/>
      <c r="BR927" s="16"/>
      <c r="BS927" s="16"/>
      <c r="BT927" s="16"/>
      <c r="BU927" s="16"/>
      <c r="BV927" s="16"/>
      <c r="BW927" s="16"/>
      <c r="BX927" s="16"/>
      <c r="BY927" s="16"/>
      <c r="BZ927" s="16"/>
      <c r="CA927" s="16"/>
      <c r="CB927" s="16"/>
      <c r="CC927" s="16"/>
    </row>
    <row r="928" spans="1:81" ht="13.5" thickBot="1">
      <c r="A928" s="16"/>
      <c r="B928" s="16"/>
      <c r="C928" s="17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  <c r="AT928" s="16"/>
      <c r="AU928" s="16"/>
      <c r="AV928" s="16"/>
      <c r="AW928" s="16"/>
      <c r="AX928" s="16"/>
      <c r="AY928" s="16"/>
      <c r="AZ928" s="16"/>
      <c r="BA928" s="16"/>
      <c r="BB928" s="16"/>
      <c r="BC928" s="16"/>
      <c r="BD928" s="16"/>
      <c r="BE928" s="16"/>
      <c r="BF928" s="16"/>
      <c r="BG928" s="16"/>
      <c r="BH928" s="16"/>
      <c r="BI928" s="16"/>
      <c r="BJ928" s="16"/>
      <c r="BK928" s="16"/>
      <c r="BL928" s="16"/>
      <c r="BM928" s="16"/>
      <c r="BN928" s="16"/>
      <c r="BO928" s="16"/>
      <c r="BP928" s="16"/>
      <c r="BQ928" s="16"/>
      <c r="BR928" s="16"/>
      <c r="BS928" s="16"/>
      <c r="BT928" s="16"/>
      <c r="BU928" s="16"/>
      <c r="BV928" s="16"/>
      <c r="BW928" s="16"/>
      <c r="BX928" s="16"/>
      <c r="BY928" s="16"/>
      <c r="BZ928" s="16"/>
      <c r="CA928" s="16"/>
      <c r="CB928" s="16"/>
      <c r="CC928" s="16"/>
    </row>
    <row r="929" spans="1:81" ht="13.5" thickBot="1">
      <c r="A929" s="16"/>
      <c r="B929" s="16"/>
      <c r="C929" s="17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  <c r="AT929" s="16"/>
      <c r="AU929" s="16"/>
      <c r="AV929" s="16"/>
      <c r="AW929" s="16"/>
      <c r="AX929" s="16"/>
      <c r="AY929" s="16"/>
      <c r="AZ929" s="16"/>
      <c r="BA929" s="16"/>
      <c r="BB929" s="16"/>
      <c r="BC929" s="16"/>
      <c r="BD929" s="16"/>
      <c r="BE929" s="16"/>
      <c r="BF929" s="16"/>
      <c r="BG929" s="16"/>
      <c r="BH929" s="16"/>
      <c r="BI929" s="16"/>
      <c r="BJ929" s="16"/>
      <c r="BK929" s="16"/>
      <c r="BL929" s="16"/>
      <c r="BM929" s="16"/>
      <c r="BN929" s="16"/>
      <c r="BO929" s="16"/>
      <c r="BP929" s="16"/>
      <c r="BQ929" s="16"/>
      <c r="BR929" s="16"/>
      <c r="BS929" s="16"/>
      <c r="BT929" s="16"/>
      <c r="BU929" s="16"/>
      <c r="BV929" s="16"/>
      <c r="BW929" s="16"/>
      <c r="BX929" s="16"/>
      <c r="BY929" s="16"/>
      <c r="BZ929" s="16"/>
      <c r="CA929" s="16"/>
      <c r="CB929" s="16"/>
      <c r="CC929" s="16"/>
    </row>
    <row r="930" spans="1:81" ht="13.5" thickBot="1">
      <c r="A930" s="16"/>
      <c r="B930" s="16"/>
      <c r="C930" s="17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  <c r="AT930" s="16"/>
      <c r="AU930" s="16"/>
      <c r="AV930" s="16"/>
      <c r="AW930" s="16"/>
      <c r="AX930" s="16"/>
      <c r="AY930" s="16"/>
      <c r="AZ930" s="16"/>
      <c r="BA930" s="16"/>
      <c r="BB930" s="16"/>
      <c r="BC930" s="16"/>
      <c r="BD930" s="16"/>
      <c r="BE930" s="16"/>
      <c r="BF930" s="16"/>
      <c r="BG930" s="16"/>
      <c r="BH930" s="16"/>
      <c r="BI930" s="16"/>
      <c r="BJ930" s="16"/>
      <c r="BK930" s="16"/>
      <c r="BL930" s="16"/>
      <c r="BM930" s="16"/>
      <c r="BN930" s="16"/>
      <c r="BO930" s="16"/>
      <c r="BP930" s="16"/>
      <c r="BQ930" s="16"/>
      <c r="BR930" s="16"/>
      <c r="BS930" s="16"/>
      <c r="BT930" s="16"/>
      <c r="BU930" s="16"/>
      <c r="BV930" s="16"/>
      <c r="BW930" s="16"/>
      <c r="BX930" s="16"/>
      <c r="BY930" s="16"/>
      <c r="BZ930" s="16"/>
      <c r="CA930" s="16"/>
      <c r="CB930" s="16"/>
      <c r="CC930" s="16"/>
    </row>
    <row r="931" spans="1:81" ht="13.5" thickBot="1">
      <c r="A931" s="16"/>
      <c r="B931" s="16"/>
      <c r="C931" s="17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  <c r="AT931" s="16"/>
      <c r="AU931" s="16"/>
      <c r="AV931" s="16"/>
      <c r="AW931" s="16"/>
      <c r="AX931" s="16"/>
      <c r="AY931" s="16"/>
      <c r="AZ931" s="16"/>
      <c r="BA931" s="16"/>
      <c r="BB931" s="16"/>
      <c r="BC931" s="16"/>
      <c r="BD931" s="16"/>
      <c r="BE931" s="16"/>
      <c r="BF931" s="16"/>
      <c r="BG931" s="16"/>
      <c r="BH931" s="16"/>
      <c r="BI931" s="16"/>
      <c r="BJ931" s="16"/>
      <c r="BK931" s="16"/>
      <c r="BL931" s="16"/>
      <c r="BM931" s="16"/>
      <c r="BN931" s="16"/>
      <c r="BO931" s="16"/>
      <c r="BP931" s="16"/>
      <c r="BQ931" s="16"/>
      <c r="BR931" s="16"/>
      <c r="BS931" s="16"/>
      <c r="BT931" s="16"/>
      <c r="BU931" s="16"/>
      <c r="BV931" s="16"/>
      <c r="BW931" s="16"/>
      <c r="BX931" s="16"/>
      <c r="BY931" s="16"/>
      <c r="BZ931" s="16"/>
      <c r="CA931" s="16"/>
      <c r="CB931" s="16"/>
      <c r="CC931" s="16"/>
    </row>
    <row r="932" spans="1:81" ht="13.5" thickBot="1">
      <c r="A932" s="16"/>
      <c r="B932" s="16"/>
      <c r="C932" s="17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  <c r="AT932" s="16"/>
      <c r="AU932" s="16"/>
      <c r="AV932" s="16"/>
      <c r="AW932" s="16"/>
      <c r="AX932" s="16"/>
      <c r="AY932" s="16"/>
      <c r="AZ932" s="16"/>
      <c r="BA932" s="16"/>
      <c r="BB932" s="16"/>
      <c r="BC932" s="16"/>
      <c r="BD932" s="16"/>
      <c r="BE932" s="16"/>
      <c r="BF932" s="16"/>
      <c r="BG932" s="16"/>
      <c r="BH932" s="16"/>
      <c r="BI932" s="16"/>
      <c r="BJ932" s="16"/>
      <c r="BK932" s="16"/>
      <c r="BL932" s="16"/>
      <c r="BM932" s="16"/>
      <c r="BN932" s="16"/>
      <c r="BO932" s="16"/>
      <c r="BP932" s="16"/>
      <c r="BQ932" s="16"/>
      <c r="BR932" s="16"/>
      <c r="BS932" s="16"/>
      <c r="BT932" s="16"/>
      <c r="BU932" s="16"/>
      <c r="BV932" s="16"/>
      <c r="BW932" s="16"/>
      <c r="BX932" s="16"/>
      <c r="BY932" s="16"/>
      <c r="BZ932" s="16"/>
      <c r="CA932" s="16"/>
      <c r="CB932" s="16"/>
      <c r="CC932" s="16"/>
    </row>
    <row r="933" spans="1:81" ht="13.5" thickBot="1">
      <c r="A933" s="16"/>
      <c r="B933" s="16"/>
      <c r="C933" s="17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  <c r="AT933" s="16"/>
      <c r="AU933" s="16"/>
      <c r="AV933" s="16"/>
      <c r="AW933" s="16"/>
      <c r="AX933" s="16"/>
      <c r="AY933" s="16"/>
      <c r="AZ933" s="16"/>
      <c r="BA933" s="16"/>
      <c r="BB933" s="16"/>
      <c r="BC933" s="16"/>
      <c r="BD933" s="16"/>
      <c r="BE933" s="16"/>
      <c r="BF933" s="16"/>
      <c r="BG933" s="16"/>
      <c r="BH933" s="16"/>
      <c r="BI933" s="16"/>
      <c r="BJ933" s="16"/>
      <c r="BK933" s="16"/>
      <c r="BL933" s="16"/>
      <c r="BM933" s="16"/>
      <c r="BN933" s="16"/>
      <c r="BO933" s="16"/>
      <c r="BP933" s="16"/>
      <c r="BQ933" s="16"/>
      <c r="BR933" s="16"/>
      <c r="BS933" s="16"/>
      <c r="BT933" s="16"/>
      <c r="BU933" s="16"/>
      <c r="BV933" s="16"/>
      <c r="BW933" s="16"/>
      <c r="BX933" s="16"/>
      <c r="BY933" s="16"/>
      <c r="BZ933" s="16"/>
      <c r="CA933" s="16"/>
      <c r="CB933" s="16"/>
      <c r="CC933" s="16"/>
    </row>
    <row r="934" spans="1:81" ht="13.5" thickBot="1">
      <c r="A934" s="16"/>
      <c r="B934" s="16"/>
      <c r="C934" s="17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  <c r="AT934" s="16"/>
      <c r="AU934" s="16"/>
      <c r="AV934" s="16"/>
      <c r="AW934" s="16"/>
      <c r="AX934" s="16"/>
      <c r="AY934" s="16"/>
      <c r="AZ934" s="16"/>
      <c r="BA934" s="16"/>
      <c r="BB934" s="16"/>
      <c r="BC934" s="16"/>
      <c r="BD934" s="16"/>
      <c r="BE934" s="16"/>
      <c r="BF934" s="16"/>
      <c r="BG934" s="16"/>
      <c r="BH934" s="16"/>
      <c r="BI934" s="16"/>
      <c r="BJ934" s="16"/>
      <c r="BK934" s="16"/>
      <c r="BL934" s="16"/>
      <c r="BM934" s="16"/>
      <c r="BN934" s="16"/>
      <c r="BO934" s="16"/>
      <c r="BP934" s="16"/>
      <c r="BQ934" s="16"/>
      <c r="BR934" s="16"/>
      <c r="BS934" s="16"/>
      <c r="BT934" s="16"/>
      <c r="BU934" s="16"/>
      <c r="BV934" s="16"/>
      <c r="BW934" s="16"/>
      <c r="BX934" s="16"/>
      <c r="BY934" s="16"/>
      <c r="BZ934" s="16"/>
      <c r="CA934" s="16"/>
      <c r="CB934" s="16"/>
      <c r="CC934" s="16"/>
    </row>
    <row r="935" spans="1:81" ht="13.5" thickBot="1">
      <c r="A935" s="16"/>
      <c r="B935" s="16"/>
      <c r="C935" s="17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  <c r="AT935" s="16"/>
      <c r="AU935" s="16"/>
      <c r="AV935" s="16"/>
      <c r="AW935" s="16"/>
      <c r="AX935" s="16"/>
      <c r="AY935" s="16"/>
      <c r="AZ935" s="16"/>
      <c r="BA935" s="16"/>
      <c r="BB935" s="16"/>
      <c r="BC935" s="16"/>
      <c r="BD935" s="16"/>
      <c r="BE935" s="16"/>
      <c r="BF935" s="16"/>
      <c r="BG935" s="16"/>
      <c r="BH935" s="16"/>
      <c r="BI935" s="16"/>
      <c r="BJ935" s="16"/>
      <c r="BK935" s="16"/>
      <c r="BL935" s="16"/>
      <c r="BM935" s="16"/>
      <c r="BN935" s="16"/>
      <c r="BO935" s="16"/>
      <c r="BP935" s="16"/>
      <c r="BQ935" s="16"/>
      <c r="BR935" s="16"/>
      <c r="BS935" s="16"/>
      <c r="BT935" s="16"/>
      <c r="BU935" s="16"/>
      <c r="BV935" s="16"/>
      <c r="BW935" s="16"/>
      <c r="BX935" s="16"/>
      <c r="BY935" s="16"/>
      <c r="BZ935" s="16"/>
      <c r="CA935" s="16"/>
      <c r="CB935" s="16"/>
      <c r="CC935" s="16"/>
    </row>
    <row r="936" spans="1:81" ht="13.5" thickBot="1">
      <c r="A936" s="16"/>
      <c r="B936" s="16"/>
      <c r="C936" s="17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  <c r="AT936" s="16"/>
      <c r="AU936" s="16"/>
      <c r="AV936" s="16"/>
      <c r="AW936" s="16"/>
      <c r="AX936" s="16"/>
      <c r="AY936" s="16"/>
      <c r="AZ936" s="16"/>
      <c r="BA936" s="16"/>
      <c r="BB936" s="16"/>
      <c r="BC936" s="16"/>
      <c r="BD936" s="16"/>
      <c r="BE936" s="16"/>
      <c r="BF936" s="16"/>
      <c r="BG936" s="16"/>
      <c r="BH936" s="16"/>
      <c r="BI936" s="16"/>
      <c r="BJ936" s="16"/>
      <c r="BK936" s="16"/>
      <c r="BL936" s="16"/>
      <c r="BM936" s="16"/>
      <c r="BN936" s="16"/>
      <c r="BO936" s="16"/>
      <c r="BP936" s="16"/>
      <c r="BQ936" s="16"/>
      <c r="BR936" s="16"/>
      <c r="BS936" s="16"/>
      <c r="BT936" s="16"/>
      <c r="BU936" s="16"/>
      <c r="BV936" s="16"/>
      <c r="BW936" s="16"/>
      <c r="BX936" s="16"/>
      <c r="BY936" s="16"/>
      <c r="BZ936" s="16"/>
      <c r="CA936" s="16"/>
      <c r="CB936" s="16"/>
      <c r="CC936" s="16"/>
    </row>
    <row r="937" spans="1:81" ht="13.5" thickBot="1">
      <c r="A937" s="16"/>
      <c r="B937" s="16"/>
      <c r="C937" s="17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  <c r="AT937" s="16"/>
      <c r="AU937" s="16"/>
      <c r="AV937" s="16"/>
      <c r="AW937" s="16"/>
      <c r="AX937" s="16"/>
      <c r="AY937" s="16"/>
      <c r="AZ937" s="16"/>
      <c r="BA937" s="16"/>
      <c r="BB937" s="16"/>
      <c r="BC937" s="16"/>
      <c r="BD937" s="16"/>
      <c r="BE937" s="16"/>
      <c r="BF937" s="16"/>
      <c r="BG937" s="16"/>
      <c r="BH937" s="16"/>
      <c r="BI937" s="16"/>
      <c r="BJ937" s="16"/>
      <c r="BK937" s="16"/>
      <c r="BL937" s="16"/>
      <c r="BM937" s="16"/>
      <c r="BN937" s="16"/>
      <c r="BO937" s="16"/>
      <c r="BP937" s="16"/>
      <c r="BQ937" s="16"/>
      <c r="BR937" s="16"/>
      <c r="BS937" s="16"/>
      <c r="BT937" s="16"/>
      <c r="BU937" s="16"/>
      <c r="BV937" s="16"/>
      <c r="BW937" s="16"/>
      <c r="BX937" s="16"/>
      <c r="BY937" s="16"/>
      <c r="BZ937" s="16"/>
      <c r="CA937" s="16"/>
      <c r="CB937" s="16"/>
      <c r="CC937" s="16"/>
    </row>
    <row r="938" spans="1:81" ht="13.5" thickBot="1">
      <c r="A938" s="16"/>
      <c r="B938" s="16"/>
      <c r="C938" s="17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  <c r="AT938" s="16"/>
      <c r="AU938" s="16"/>
      <c r="AV938" s="16"/>
      <c r="AW938" s="16"/>
      <c r="AX938" s="16"/>
      <c r="AY938" s="16"/>
      <c r="AZ938" s="16"/>
      <c r="BA938" s="16"/>
      <c r="BB938" s="16"/>
      <c r="BC938" s="16"/>
      <c r="BD938" s="16"/>
      <c r="BE938" s="16"/>
      <c r="BF938" s="16"/>
      <c r="BG938" s="16"/>
      <c r="BH938" s="16"/>
      <c r="BI938" s="16"/>
      <c r="BJ938" s="16"/>
      <c r="BK938" s="16"/>
      <c r="BL938" s="16"/>
      <c r="BM938" s="16"/>
      <c r="BN938" s="16"/>
      <c r="BO938" s="16"/>
      <c r="BP938" s="16"/>
      <c r="BQ938" s="16"/>
      <c r="BR938" s="16"/>
      <c r="BS938" s="16"/>
      <c r="BT938" s="16"/>
      <c r="BU938" s="16"/>
      <c r="BV938" s="16"/>
      <c r="BW938" s="16"/>
      <c r="BX938" s="16"/>
      <c r="BY938" s="16"/>
      <c r="BZ938" s="16"/>
      <c r="CA938" s="16"/>
      <c r="CB938" s="16"/>
      <c r="CC938" s="16"/>
    </row>
    <row r="939" spans="1:81" ht="13.5" thickBot="1">
      <c r="A939" s="16"/>
      <c r="B939" s="16"/>
      <c r="C939" s="17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  <c r="AT939" s="16"/>
      <c r="AU939" s="16"/>
      <c r="AV939" s="16"/>
      <c r="AW939" s="16"/>
      <c r="AX939" s="16"/>
      <c r="AY939" s="16"/>
      <c r="AZ939" s="16"/>
      <c r="BA939" s="16"/>
      <c r="BB939" s="16"/>
      <c r="BC939" s="16"/>
      <c r="BD939" s="16"/>
      <c r="BE939" s="16"/>
      <c r="BF939" s="16"/>
      <c r="BG939" s="16"/>
      <c r="BH939" s="16"/>
      <c r="BI939" s="16"/>
      <c r="BJ939" s="16"/>
      <c r="BK939" s="16"/>
      <c r="BL939" s="16"/>
      <c r="BM939" s="16"/>
      <c r="BN939" s="16"/>
      <c r="BO939" s="16"/>
      <c r="BP939" s="16"/>
      <c r="BQ939" s="16"/>
      <c r="BR939" s="16"/>
      <c r="BS939" s="16"/>
      <c r="BT939" s="16"/>
      <c r="BU939" s="16"/>
      <c r="BV939" s="16"/>
      <c r="BW939" s="16"/>
      <c r="BX939" s="16"/>
      <c r="BY939" s="16"/>
      <c r="BZ939" s="16"/>
      <c r="CA939" s="16"/>
      <c r="CB939" s="16"/>
      <c r="CC939" s="16"/>
    </row>
    <row r="940" spans="1:81" ht="13.5" thickBot="1">
      <c r="A940" s="16"/>
      <c r="B940" s="16"/>
      <c r="C940" s="17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  <c r="AT940" s="16"/>
      <c r="AU940" s="16"/>
      <c r="AV940" s="16"/>
      <c r="AW940" s="16"/>
      <c r="AX940" s="16"/>
      <c r="AY940" s="16"/>
      <c r="AZ940" s="16"/>
      <c r="BA940" s="16"/>
      <c r="BB940" s="16"/>
      <c r="BC940" s="16"/>
      <c r="BD940" s="16"/>
      <c r="BE940" s="16"/>
      <c r="BF940" s="16"/>
      <c r="BG940" s="16"/>
      <c r="BH940" s="16"/>
      <c r="BI940" s="16"/>
      <c r="BJ940" s="16"/>
      <c r="BK940" s="16"/>
      <c r="BL940" s="16"/>
      <c r="BM940" s="16"/>
      <c r="BN940" s="16"/>
      <c r="BO940" s="16"/>
      <c r="BP940" s="16"/>
      <c r="BQ940" s="16"/>
      <c r="BR940" s="16"/>
      <c r="BS940" s="16"/>
      <c r="BT940" s="16"/>
      <c r="BU940" s="16"/>
      <c r="BV940" s="16"/>
      <c r="BW940" s="16"/>
      <c r="BX940" s="16"/>
      <c r="BY940" s="16"/>
      <c r="BZ940" s="16"/>
      <c r="CA940" s="16"/>
      <c r="CB940" s="16"/>
      <c r="CC940" s="16"/>
    </row>
    <row r="941" spans="1:81" ht="13.5" thickBot="1">
      <c r="A941" s="16"/>
      <c r="B941" s="16"/>
      <c r="C941" s="17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  <c r="AT941" s="16"/>
      <c r="AU941" s="16"/>
      <c r="AV941" s="16"/>
      <c r="AW941" s="16"/>
      <c r="AX941" s="16"/>
      <c r="AY941" s="16"/>
      <c r="AZ941" s="16"/>
      <c r="BA941" s="16"/>
      <c r="BB941" s="16"/>
      <c r="BC941" s="16"/>
      <c r="BD941" s="16"/>
      <c r="BE941" s="16"/>
      <c r="BF941" s="16"/>
      <c r="BG941" s="16"/>
      <c r="BH941" s="16"/>
      <c r="BI941" s="16"/>
      <c r="BJ941" s="16"/>
      <c r="BK941" s="16"/>
      <c r="BL941" s="16"/>
      <c r="BM941" s="16"/>
      <c r="BN941" s="16"/>
      <c r="BO941" s="16"/>
      <c r="BP941" s="16"/>
      <c r="BQ941" s="16"/>
      <c r="BR941" s="16"/>
      <c r="BS941" s="16"/>
      <c r="BT941" s="16"/>
      <c r="BU941" s="16"/>
      <c r="BV941" s="16"/>
      <c r="BW941" s="16"/>
      <c r="BX941" s="16"/>
      <c r="BY941" s="16"/>
      <c r="BZ941" s="16"/>
      <c r="CA941" s="16"/>
      <c r="CB941" s="16"/>
      <c r="CC941" s="16"/>
    </row>
    <row r="942" spans="1:81" ht="13.5" thickBot="1">
      <c r="A942" s="16"/>
      <c r="B942" s="16"/>
      <c r="C942" s="17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  <c r="AT942" s="16"/>
      <c r="AU942" s="16"/>
      <c r="AV942" s="16"/>
      <c r="AW942" s="16"/>
      <c r="AX942" s="16"/>
      <c r="AY942" s="16"/>
      <c r="AZ942" s="16"/>
      <c r="BA942" s="16"/>
      <c r="BB942" s="16"/>
      <c r="BC942" s="16"/>
      <c r="BD942" s="16"/>
      <c r="BE942" s="16"/>
      <c r="BF942" s="16"/>
      <c r="BG942" s="16"/>
      <c r="BH942" s="16"/>
      <c r="BI942" s="16"/>
      <c r="BJ942" s="16"/>
      <c r="BK942" s="16"/>
      <c r="BL942" s="16"/>
      <c r="BM942" s="16"/>
      <c r="BN942" s="16"/>
      <c r="BO942" s="16"/>
      <c r="BP942" s="16"/>
      <c r="BQ942" s="16"/>
      <c r="BR942" s="16"/>
      <c r="BS942" s="16"/>
      <c r="BT942" s="16"/>
      <c r="BU942" s="16"/>
      <c r="BV942" s="16"/>
      <c r="BW942" s="16"/>
      <c r="BX942" s="16"/>
      <c r="BY942" s="16"/>
      <c r="BZ942" s="16"/>
      <c r="CA942" s="16"/>
      <c r="CB942" s="16"/>
      <c r="CC942" s="16"/>
    </row>
    <row r="943" spans="1:81" ht="13.5" thickBot="1">
      <c r="A943" s="16"/>
      <c r="B943" s="16"/>
      <c r="C943" s="17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  <c r="AT943" s="16"/>
      <c r="AU943" s="16"/>
      <c r="AV943" s="16"/>
      <c r="AW943" s="16"/>
      <c r="AX943" s="16"/>
      <c r="AY943" s="16"/>
      <c r="AZ943" s="16"/>
      <c r="BA943" s="16"/>
      <c r="BB943" s="16"/>
      <c r="BC943" s="16"/>
      <c r="BD943" s="16"/>
      <c r="BE943" s="16"/>
      <c r="BF943" s="16"/>
      <c r="BG943" s="16"/>
      <c r="BH943" s="16"/>
      <c r="BI943" s="16"/>
      <c r="BJ943" s="16"/>
      <c r="BK943" s="16"/>
      <c r="BL943" s="16"/>
      <c r="BM943" s="16"/>
      <c r="BN943" s="16"/>
      <c r="BO943" s="16"/>
      <c r="BP943" s="16"/>
      <c r="BQ943" s="16"/>
      <c r="BR943" s="16"/>
      <c r="BS943" s="16"/>
      <c r="BT943" s="16"/>
      <c r="BU943" s="16"/>
      <c r="BV943" s="16"/>
      <c r="BW943" s="16"/>
      <c r="BX943" s="16"/>
      <c r="BY943" s="16"/>
      <c r="BZ943" s="16"/>
      <c r="CA943" s="16"/>
      <c r="CB943" s="16"/>
      <c r="CC943" s="16"/>
    </row>
    <row r="944" spans="1:81" ht="13.5" thickBot="1">
      <c r="A944" s="16"/>
      <c r="B944" s="16"/>
      <c r="C944" s="17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  <c r="AT944" s="16"/>
      <c r="AU944" s="16"/>
      <c r="AV944" s="16"/>
      <c r="AW944" s="16"/>
      <c r="AX944" s="16"/>
      <c r="AY944" s="16"/>
      <c r="AZ944" s="16"/>
      <c r="BA944" s="16"/>
      <c r="BB944" s="16"/>
      <c r="BC944" s="16"/>
      <c r="BD944" s="16"/>
      <c r="BE944" s="16"/>
      <c r="BF944" s="16"/>
      <c r="BG944" s="16"/>
      <c r="BH944" s="16"/>
      <c r="BI944" s="16"/>
      <c r="BJ944" s="16"/>
      <c r="BK944" s="16"/>
      <c r="BL944" s="16"/>
      <c r="BM944" s="16"/>
      <c r="BN944" s="16"/>
      <c r="BO944" s="16"/>
      <c r="BP944" s="16"/>
      <c r="BQ944" s="16"/>
      <c r="BR944" s="16"/>
      <c r="BS944" s="16"/>
      <c r="BT944" s="16"/>
      <c r="BU944" s="16"/>
      <c r="BV944" s="16"/>
      <c r="BW944" s="16"/>
      <c r="BX944" s="16"/>
      <c r="BY944" s="16"/>
      <c r="BZ944" s="16"/>
      <c r="CA944" s="16"/>
      <c r="CB944" s="16"/>
      <c r="CC944" s="16"/>
    </row>
    <row r="945" spans="1:81" ht="13.5" thickBot="1">
      <c r="A945" s="16"/>
      <c r="B945" s="16"/>
      <c r="C945" s="17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  <c r="AT945" s="16"/>
      <c r="AU945" s="16"/>
      <c r="AV945" s="16"/>
      <c r="AW945" s="16"/>
      <c r="AX945" s="16"/>
      <c r="AY945" s="16"/>
      <c r="AZ945" s="16"/>
      <c r="BA945" s="16"/>
      <c r="BB945" s="16"/>
      <c r="BC945" s="16"/>
      <c r="BD945" s="16"/>
      <c r="BE945" s="16"/>
      <c r="BF945" s="16"/>
      <c r="BG945" s="16"/>
      <c r="BH945" s="16"/>
      <c r="BI945" s="16"/>
      <c r="BJ945" s="16"/>
      <c r="BK945" s="16"/>
      <c r="BL945" s="16"/>
      <c r="BM945" s="16"/>
      <c r="BN945" s="16"/>
      <c r="BO945" s="16"/>
      <c r="BP945" s="16"/>
      <c r="BQ945" s="16"/>
      <c r="BR945" s="16"/>
      <c r="BS945" s="16"/>
      <c r="BT945" s="16"/>
      <c r="BU945" s="16"/>
      <c r="BV945" s="16"/>
      <c r="BW945" s="16"/>
      <c r="BX945" s="16"/>
      <c r="BY945" s="16"/>
      <c r="BZ945" s="16"/>
      <c r="CA945" s="16"/>
      <c r="CB945" s="16"/>
      <c r="CC945" s="16"/>
    </row>
    <row r="946" spans="1:81" ht="13.5" thickBot="1">
      <c r="A946" s="16"/>
      <c r="B946" s="16"/>
      <c r="C946" s="17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  <c r="AT946" s="16"/>
      <c r="AU946" s="16"/>
      <c r="AV946" s="16"/>
      <c r="AW946" s="16"/>
      <c r="AX946" s="16"/>
      <c r="AY946" s="16"/>
      <c r="AZ946" s="16"/>
      <c r="BA946" s="16"/>
      <c r="BB946" s="16"/>
      <c r="BC946" s="16"/>
      <c r="BD946" s="16"/>
      <c r="BE946" s="16"/>
      <c r="BF946" s="16"/>
      <c r="BG946" s="16"/>
      <c r="BH946" s="16"/>
      <c r="BI946" s="16"/>
      <c r="BJ946" s="16"/>
      <c r="BK946" s="16"/>
      <c r="BL946" s="16"/>
      <c r="BM946" s="16"/>
      <c r="BN946" s="16"/>
      <c r="BO946" s="16"/>
      <c r="BP946" s="16"/>
      <c r="BQ946" s="16"/>
      <c r="BR946" s="16"/>
      <c r="BS946" s="16"/>
      <c r="BT946" s="16"/>
      <c r="BU946" s="16"/>
      <c r="BV946" s="16"/>
      <c r="BW946" s="16"/>
      <c r="BX946" s="16"/>
      <c r="BY946" s="16"/>
      <c r="BZ946" s="16"/>
      <c r="CA946" s="16"/>
      <c r="CB946" s="16"/>
      <c r="CC946" s="16"/>
    </row>
    <row r="947" spans="1:81" ht="13.5" thickBot="1">
      <c r="A947" s="16"/>
      <c r="B947" s="16"/>
      <c r="C947" s="17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  <c r="AT947" s="16"/>
      <c r="AU947" s="16"/>
      <c r="AV947" s="16"/>
      <c r="AW947" s="16"/>
      <c r="AX947" s="16"/>
      <c r="AY947" s="16"/>
      <c r="AZ947" s="16"/>
      <c r="BA947" s="16"/>
      <c r="BB947" s="16"/>
      <c r="BC947" s="16"/>
      <c r="BD947" s="16"/>
      <c r="BE947" s="16"/>
      <c r="BF947" s="16"/>
      <c r="BG947" s="16"/>
      <c r="BH947" s="16"/>
      <c r="BI947" s="16"/>
      <c r="BJ947" s="16"/>
      <c r="BK947" s="16"/>
      <c r="BL947" s="16"/>
      <c r="BM947" s="16"/>
      <c r="BN947" s="16"/>
      <c r="BO947" s="16"/>
      <c r="BP947" s="16"/>
      <c r="BQ947" s="16"/>
      <c r="BR947" s="16"/>
      <c r="BS947" s="16"/>
      <c r="BT947" s="16"/>
      <c r="BU947" s="16"/>
      <c r="BV947" s="16"/>
      <c r="BW947" s="16"/>
      <c r="BX947" s="16"/>
      <c r="BY947" s="16"/>
      <c r="BZ947" s="16"/>
      <c r="CA947" s="16"/>
      <c r="CB947" s="16"/>
      <c r="CC947" s="16"/>
    </row>
    <row r="948" spans="1:81" ht="13.5" thickBot="1">
      <c r="A948" s="16"/>
      <c r="B948" s="16"/>
      <c r="C948" s="17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  <c r="AT948" s="16"/>
      <c r="AU948" s="16"/>
      <c r="AV948" s="16"/>
      <c r="AW948" s="16"/>
      <c r="AX948" s="16"/>
      <c r="AY948" s="16"/>
      <c r="AZ948" s="16"/>
      <c r="BA948" s="16"/>
      <c r="BB948" s="16"/>
      <c r="BC948" s="16"/>
      <c r="BD948" s="16"/>
      <c r="BE948" s="16"/>
      <c r="BF948" s="16"/>
      <c r="BG948" s="16"/>
      <c r="BH948" s="16"/>
      <c r="BI948" s="16"/>
      <c r="BJ948" s="16"/>
      <c r="BK948" s="16"/>
      <c r="BL948" s="16"/>
      <c r="BM948" s="16"/>
      <c r="BN948" s="16"/>
      <c r="BO948" s="16"/>
      <c r="BP948" s="16"/>
      <c r="BQ948" s="16"/>
      <c r="BR948" s="16"/>
      <c r="BS948" s="16"/>
      <c r="BT948" s="16"/>
      <c r="BU948" s="16"/>
      <c r="BV948" s="16"/>
      <c r="BW948" s="16"/>
      <c r="BX948" s="16"/>
      <c r="BY948" s="16"/>
      <c r="BZ948" s="16"/>
      <c r="CA948" s="16"/>
      <c r="CB948" s="16"/>
      <c r="CC948" s="16"/>
    </row>
    <row r="949" spans="1:81" ht="13.5" thickBot="1">
      <c r="A949" s="16"/>
      <c r="B949" s="16"/>
      <c r="C949" s="17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  <c r="AT949" s="16"/>
      <c r="AU949" s="16"/>
      <c r="AV949" s="16"/>
      <c r="AW949" s="16"/>
      <c r="AX949" s="16"/>
      <c r="AY949" s="16"/>
      <c r="AZ949" s="16"/>
      <c r="BA949" s="16"/>
      <c r="BB949" s="16"/>
      <c r="BC949" s="16"/>
      <c r="BD949" s="16"/>
      <c r="BE949" s="16"/>
      <c r="BF949" s="16"/>
      <c r="BG949" s="16"/>
      <c r="BH949" s="16"/>
      <c r="BI949" s="16"/>
      <c r="BJ949" s="16"/>
      <c r="BK949" s="16"/>
      <c r="BL949" s="16"/>
      <c r="BM949" s="16"/>
      <c r="BN949" s="16"/>
      <c r="BO949" s="16"/>
      <c r="BP949" s="16"/>
      <c r="BQ949" s="16"/>
      <c r="BR949" s="16"/>
      <c r="BS949" s="16"/>
      <c r="BT949" s="16"/>
      <c r="BU949" s="16"/>
      <c r="BV949" s="16"/>
      <c r="BW949" s="16"/>
      <c r="BX949" s="16"/>
      <c r="BY949" s="16"/>
      <c r="BZ949" s="16"/>
      <c r="CA949" s="16"/>
      <c r="CB949" s="16"/>
      <c r="CC949" s="16"/>
    </row>
    <row r="950" spans="1:81" ht="13.5" thickBot="1">
      <c r="A950" s="16"/>
      <c r="B950" s="16"/>
      <c r="C950" s="17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  <c r="AT950" s="16"/>
      <c r="AU950" s="16"/>
      <c r="AV950" s="16"/>
      <c r="AW950" s="16"/>
      <c r="AX950" s="16"/>
      <c r="AY950" s="16"/>
      <c r="AZ950" s="16"/>
      <c r="BA950" s="16"/>
      <c r="BB950" s="16"/>
      <c r="BC950" s="16"/>
      <c r="BD950" s="16"/>
      <c r="BE950" s="16"/>
      <c r="BF950" s="16"/>
      <c r="BG950" s="16"/>
      <c r="BH950" s="16"/>
      <c r="BI950" s="16"/>
      <c r="BJ950" s="16"/>
      <c r="BK950" s="16"/>
      <c r="BL950" s="16"/>
      <c r="BM950" s="16"/>
      <c r="BN950" s="16"/>
      <c r="BO950" s="16"/>
      <c r="BP950" s="16"/>
      <c r="BQ950" s="16"/>
      <c r="BR950" s="16"/>
      <c r="BS950" s="16"/>
      <c r="BT950" s="16"/>
      <c r="BU950" s="16"/>
      <c r="BV950" s="16"/>
      <c r="BW950" s="16"/>
      <c r="BX950" s="16"/>
      <c r="BY950" s="16"/>
      <c r="BZ950" s="16"/>
      <c r="CA950" s="16"/>
      <c r="CB950" s="16"/>
      <c r="CC950" s="16"/>
    </row>
    <row r="951" spans="1:81" ht="13.5" thickBot="1">
      <c r="A951" s="16"/>
      <c r="B951" s="16"/>
      <c r="C951" s="17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  <c r="AT951" s="16"/>
      <c r="AU951" s="16"/>
      <c r="AV951" s="16"/>
      <c r="AW951" s="16"/>
      <c r="AX951" s="16"/>
      <c r="AY951" s="16"/>
      <c r="AZ951" s="16"/>
      <c r="BA951" s="16"/>
      <c r="BB951" s="16"/>
      <c r="BC951" s="16"/>
      <c r="BD951" s="16"/>
      <c r="BE951" s="16"/>
      <c r="BF951" s="16"/>
      <c r="BG951" s="16"/>
      <c r="BH951" s="16"/>
      <c r="BI951" s="16"/>
      <c r="BJ951" s="16"/>
      <c r="BK951" s="16"/>
      <c r="BL951" s="16"/>
      <c r="BM951" s="16"/>
      <c r="BN951" s="16"/>
      <c r="BO951" s="16"/>
      <c r="BP951" s="16"/>
      <c r="BQ951" s="16"/>
      <c r="BR951" s="16"/>
      <c r="BS951" s="16"/>
      <c r="BT951" s="16"/>
      <c r="BU951" s="16"/>
      <c r="BV951" s="16"/>
      <c r="BW951" s="16"/>
      <c r="BX951" s="16"/>
      <c r="BY951" s="16"/>
      <c r="BZ951" s="16"/>
      <c r="CA951" s="16"/>
      <c r="CB951" s="16"/>
      <c r="CC951" s="16"/>
    </row>
    <row r="952" spans="1:81" ht="13.5" thickBot="1">
      <c r="A952" s="16"/>
      <c r="B952" s="16"/>
      <c r="C952" s="17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  <c r="AT952" s="16"/>
      <c r="AU952" s="16"/>
      <c r="AV952" s="16"/>
      <c r="AW952" s="16"/>
      <c r="AX952" s="16"/>
      <c r="AY952" s="16"/>
      <c r="AZ952" s="16"/>
      <c r="BA952" s="16"/>
      <c r="BB952" s="16"/>
      <c r="BC952" s="16"/>
      <c r="BD952" s="16"/>
      <c r="BE952" s="16"/>
      <c r="BF952" s="16"/>
      <c r="BG952" s="16"/>
      <c r="BH952" s="16"/>
      <c r="BI952" s="16"/>
      <c r="BJ952" s="16"/>
      <c r="BK952" s="16"/>
      <c r="BL952" s="16"/>
      <c r="BM952" s="16"/>
      <c r="BN952" s="16"/>
      <c r="BO952" s="16"/>
      <c r="BP952" s="16"/>
      <c r="BQ952" s="16"/>
      <c r="BR952" s="16"/>
      <c r="BS952" s="16"/>
      <c r="BT952" s="16"/>
      <c r="BU952" s="16"/>
      <c r="BV952" s="16"/>
      <c r="BW952" s="16"/>
      <c r="BX952" s="16"/>
      <c r="BY952" s="16"/>
      <c r="BZ952" s="16"/>
      <c r="CA952" s="16"/>
      <c r="CB952" s="16"/>
      <c r="CC952" s="16"/>
    </row>
    <row r="953" spans="1:81" ht="13.5" thickBot="1">
      <c r="A953" s="16"/>
      <c r="B953" s="16"/>
      <c r="C953" s="17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  <c r="AT953" s="16"/>
      <c r="AU953" s="16"/>
      <c r="AV953" s="16"/>
      <c r="AW953" s="16"/>
      <c r="AX953" s="16"/>
      <c r="AY953" s="16"/>
      <c r="AZ953" s="16"/>
      <c r="BA953" s="16"/>
      <c r="BB953" s="16"/>
      <c r="BC953" s="16"/>
      <c r="BD953" s="16"/>
      <c r="BE953" s="16"/>
      <c r="BF953" s="16"/>
      <c r="BG953" s="16"/>
      <c r="BH953" s="16"/>
      <c r="BI953" s="16"/>
      <c r="BJ953" s="16"/>
      <c r="BK953" s="16"/>
      <c r="BL953" s="16"/>
      <c r="BM953" s="16"/>
      <c r="BN953" s="16"/>
      <c r="BO953" s="16"/>
      <c r="BP953" s="16"/>
      <c r="BQ953" s="16"/>
      <c r="BR953" s="16"/>
      <c r="BS953" s="16"/>
      <c r="BT953" s="16"/>
      <c r="BU953" s="16"/>
      <c r="BV953" s="16"/>
      <c r="BW953" s="16"/>
      <c r="BX953" s="16"/>
      <c r="BY953" s="16"/>
      <c r="BZ953" s="16"/>
      <c r="CA953" s="16"/>
      <c r="CB953" s="16"/>
      <c r="CC953" s="16"/>
    </row>
    <row r="954" spans="1:81" ht="13.5" thickBot="1">
      <c r="A954" s="16"/>
      <c r="B954" s="16"/>
      <c r="C954" s="17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  <c r="AT954" s="16"/>
      <c r="AU954" s="16"/>
      <c r="AV954" s="16"/>
      <c r="AW954" s="16"/>
      <c r="AX954" s="16"/>
      <c r="AY954" s="16"/>
      <c r="AZ954" s="16"/>
      <c r="BA954" s="16"/>
      <c r="BB954" s="16"/>
      <c r="BC954" s="16"/>
      <c r="BD954" s="16"/>
      <c r="BE954" s="16"/>
      <c r="BF954" s="16"/>
      <c r="BG954" s="16"/>
      <c r="BH954" s="16"/>
      <c r="BI954" s="16"/>
      <c r="BJ954" s="16"/>
      <c r="BK954" s="16"/>
      <c r="BL954" s="16"/>
      <c r="BM954" s="16"/>
      <c r="BN954" s="16"/>
      <c r="BO954" s="16"/>
      <c r="BP954" s="16"/>
      <c r="BQ954" s="16"/>
      <c r="BR954" s="16"/>
      <c r="BS954" s="16"/>
      <c r="BT954" s="16"/>
      <c r="BU954" s="16"/>
      <c r="BV954" s="16"/>
      <c r="BW954" s="16"/>
      <c r="BX954" s="16"/>
      <c r="BY954" s="16"/>
      <c r="BZ954" s="16"/>
      <c r="CA954" s="16"/>
      <c r="CB954" s="16"/>
      <c r="CC954" s="16"/>
    </row>
    <row r="955" spans="1:81" ht="13.5" thickBot="1">
      <c r="A955" s="16"/>
      <c r="B955" s="16"/>
      <c r="C955" s="17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  <c r="AT955" s="16"/>
      <c r="AU955" s="16"/>
      <c r="AV955" s="16"/>
      <c r="AW955" s="16"/>
      <c r="AX955" s="16"/>
      <c r="AY955" s="16"/>
      <c r="AZ955" s="16"/>
      <c r="BA955" s="16"/>
      <c r="BB955" s="16"/>
      <c r="BC955" s="16"/>
      <c r="BD955" s="16"/>
      <c r="BE955" s="16"/>
      <c r="BF955" s="16"/>
      <c r="BG955" s="16"/>
      <c r="BH955" s="16"/>
      <c r="BI955" s="16"/>
      <c r="BJ955" s="16"/>
      <c r="BK955" s="16"/>
      <c r="BL955" s="16"/>
      <c r="BM955" s="16"/>
      <c r="BN955" s="16"/>
      <c r="BO955" s="16"/>
      <c r="BP955" s="16"/>
      <c r="BQ955" s="16"/>
      <c r="BR955" s="16"/>
      <c r="BS955" s="16"/>
      <c r="BT955" s="16"/>
      <c r="BU955" s="16"/>
      <c r="BV955" s="16"/>
      <c r="BW955" s="16"/>
      <c r="BX955" s="16"/>
      <c r="BY955" s="16"/>
      <c r="BZ955" s="16"/>
      <c r="CA955" s="16"/>
      <c r="CB955" s="16"/>
      <c r="CC955" s="16"/>
    </row>
    <row r="956" spans="1:81" ht="13.5" thickBot="1">
      <c r="A956" s="16"/>
      <c r="B956" s="16"/>
      <c r="C956" s="17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  <c r="AT956" s="16"/>
      <c r="AU956" s="16"/>
      <c r="AV956" s="16"/>
      <c r="AW956" s="16"/>
      <c r="AX956" s="16"/>
      <c r="AY956" s="16"/>
      <c r="AZ956" s="16"/>
      <c r="BA956" s="16"/>
      <c r="BB956" s="16"/>
      <c r="BC956" s="16"/>
      <c r="BD956" s="16"/>
      <c r="BE956" s="16"/>
      <c r="BF956" s="16"/>
      <c r="BG956" s="16"/>
      <c r="BH956" s="16"/>
      <c r="BI956" s="16"/>
      <c r="BJ956" s="16"/>
      <c r="BK956" s="16"/>
      <c r="BL956" s="16"/>
      <c r="BM956" s="16"/>
      <c r="BN956" s="16"/>
      <c r="BO956" s="16"/>
      <c r="BP956" s="16"/>
      <c r="BQ956" s="16"/>
      <c r="BR956" s="16"/>
      <c r="BS956" s="16"/>
      <c r="BT956" s="16"/>
      <c r="BU956" s="16"/>
      <c r="BV956" s="16"/>
      <c r="BW956" s="16"/>
      <c r="BX956" s="16"/>
      <c r="BY956" s="16"/>
      <c r="BZ956" s="16"/>
      <c r="CA956" s="16"/>
      <c r="CB956" s="16"/>
      <c r="CC956" s="16"/>
    </row>
    <row r="957" spans="1:81" ht="13.5" thickBot="1">
      <c r="A957" s="16"/>
      <c r="B957" s="16"/>
      <c r="C957" s="17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  <c r="AT957" s="16"/>
      <c r="AU957" s="16"/>
      <c r="AV957" s="16"/>
      <c r="AW957" s="16"/>
      <c r="AX957" s="16"/>
      <c r="AY957" s="16"/>
      <c r="AZ957" s="16"/>
      <c r="BA957" s="16"/>
      <c r="BB957" s="16"/>
      <c r="BC957" s="16"/>
      <c r="BD957" s="16"/>
      <c r="BE957" s="16"/>
      <c r="BF957" s="16"/>
      <c r="BG957" s="16"/>
      <c r="BH957" s="16"/>
      <c r="BI957" s="16"/>
      <c r="BJ957" s="16"/>
      <c r="BK957" s="16"/>
      <c r="BL957" s="16"/>
      <c r="BM957" s="16"/>
      <c r="BN957" s="16"/>
      <c r="BO957" s="16"/>
      <c r="BP957" s="16"/>
      <c r="BQ957" s="16"/>
      <c r="BR957" s="16"/>
      <c r="BS957" s="16"/>
      <c r="BT957" s="16"/>
      <c r="BU957" s="16"/>
      <c r="BV957" s="16"/>
      <c r="BW957" s="16"/>
      <c r="BX957" s="16"/>
      <c r="BY957" s="16"/>
      <c r="BZ957" s="16"/>
      <c r="CA957" s="16"/>
      <c r="CB957" s="16"/>
      <c r="CC957" s="16"/>
    </row>
    <row r="958" spans="1:81" ht="13.5" thickBot="1">
      <c r="A958" s="16"/>
      <c r="B958" s="16"/>
      <c r="C958" s="17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  <c r="AT958" s="16"/>
      <c r="AU958" s="16"/>
      <c r="AV958" s="16"/>
      <c r="AW958" s="16"/>
      <c r="AX958" s="16"/>
      <c r="AY958" s="16"/>
      <c r="AZ958" s="16"/>
      <c r="BA958" s="16"/>
      <c r="BB958" s="16"/>
      <c r="BC958" s="16"/>
      <c r="BD958" s="16"/>
      <c r="BE958" s="16"/>
      <c r="BF958" s="16"/>
      <c r="BG958" s="16"/>
      <c r="BH958" s="16"/>
      <c r="BI958" s="16"/>
      <c r="BJ958" s="16"/>
      <c r="BK958" s="16"/>
      <c r="BL958" s="16"/>
      <c r="BM958" s="16"/>
      <c r="BN958" s="16"/>
      <c r="BO958" s="16"/>
      <c r="BP958" s="16"/>
      <c r="BQ958" s="16"/>
      <c r="BR958" s="16"/>
      <c r="BS958" s="16"/>
      <c r="BT958" s="16"/>
      <c r="BU958" s="16"/>
      <c r="BV958" s="16"/>
      <c r="BW958" s="16"/>
      <c r="BX958" s="16"/>
      <c r="BY958" s="16"/>
      <c r="BZ958" s="16"/>
      <c r="CA958" s="16"/>
      <c r="CB958" s="16"/>
      <c r="CC958" s="16"/>
    </row>
    <row r="959" spans="1:81" ht="13.5" thickBot="1">
      <c r="A959" s="16"/>
      <c r="B959" s="16"/>
      <c r="C959" s="17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  <c r="AT959" s="16"/>
      <c r="AU959" s="16"/>
      <c r="AV959" s="16"/>
      <c r="AW959" s="16"/>
      <c r="AX959" s="16"/>
      <c r="AY959" s="16"/>
      <c r="AZ959" s="16"/>
      <c r="BA959" s="16"/>
      <c r="BB959" s="16"/>
      <c r="BC959" s="16"/>
      <c r="BD959" s="16"/>
      <c r="BE959" s="16"/>
      <c r="BF959" s="16"/>
      <c r="BG959" s="16"/>
      <c r="BH959" s="16"/>
      <c r="BI959" s="16"/>
      <c r="BJ959" s="16"/>
      <c r="BK959" s="16"/>
      <c r="BL959" s="16"/>
      <c r="BM959" s="16"/>
      <c r="BN959" s="16"/>
      <c r="BO959" s="16"/>
      <c r="BP959" s="16"/>
      <c r="BQ959" s="16"/>
      <c r="BR959" s="16"/>
      <c r="BS959" s="16"/>
      <c r="BT959" s="16"/>
      <c r="BU959" s="16"/>
      <c r="BV959" s="16"/>
      <c r="BW959" s="16"/>
      <c r="BX959" s="16"/>
      <c r="BY959" s="16"/>
      <c r="BZ959" s="16"/>
      <c r="CA959" s="16"/>
      <c r="CB959" s="16"/>
      <c r="CC959" s="16"/>
    </row>
    <row r="960" spans="1:81" ht="13.5" thickBot="1">
      <c r="A960" s="16"/>
      <c r="B960" s="16"/>
      <c r="C960" s="17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  <c r="AT960" s="16"/>
      <c r="AU960" s="16"/>
      <c r="AV960" s="16"/>
      <c r="AW960" s="16"/>
      <c r="AX960" s="16"/>
      <c r="AY960" s="16"/>
      <c r="AZ960" s="16"/>
      <c r="BA960" s="16"/>
      <c r="BB960" s="16"/>
      <c r="BC960" s="16"/>
      <c r="BD960" s="16"/>
      <c r="BE960" s="16"/>
      <c r="BF960" s="16"/>
      <c r="BG960" s="16"/>
      <c r="BH960" s="16"/>
      <c r="BI960" s="16"/>
      <c r="BJ960" s="16"/>
      <c r="BK960" s="16"/>
      <c r="BL960" s="16"/>
      <c r="BM960" s="16"/>
      <c r="BN960" s="16"/>
      <c r="BO960" s="16"/>
      <c r="BP960" s="16"/>
      <c r="BQ960" s="16"/>
      <c r="BR960" s="16"/>
      <c r="BS960" s="16"/>
      <c r="BT960" s="16"/>
      <c r="BU960" s="16"/>
      <c r="BV960" s="16"/>
      <c r="BW960" s="16"/>
      <c r="BX960" s="16"/>
      <c r="BY960" s="16"/>
      <c r="BZ960" s="16"/>
      <c r="CA960" s="16"/>
      <c r="CB960" s="16"/>
      <c r="CC960" s="16"/>
    </row>
    <row r="961" spans="1:81" ht="13.5" thickBot="1">
      <c r="A961" s="16"/>
      <c r="B961" s="16"/>
      <c r="C961" s="17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  <c r="AT961" s="16"/>
      <c r="AU961" s="16"/>
      <c r="AV961" s="16"/>
      <c r="AW961" s="16"/>
      <c r="AX961" s="16"/>
      <c r="AY961" s="16"/>
      <c r="AZ961" s="16"/>
      <c r="BA961" s="16"/>
      <c r="BB961" s="16"/>
      <c r="BC961" s="16"/>
      <c r="BD961" s="16"/>
      <c r="BE961" s="16"/>
      <c r="BF961" s="16"/>
      <c r="BG961" s="16"/>
      <c r="BH961" s="16"/>
      <c r="BI961" s="16"/>
      <c r="BJ961" s="16"/>
      <c r="BK961" s="16"/>
      <c r="BL961" s="16"/>
      <c r="BM961" s="16"/>
      <c r="BN961" s="16"/>
      <c r="BO961" s="16"/>
      <c r="BP961" s="16"/>
      <c r="BQ961" s="16"/>
      <c r="BR961" s="16"/>
      <c r="BS961" s="16"/>
      <c r="BT961" s="16"/>
      <c r="BU961" s="16"/>
      <c r="BV961" s="16"/>
      <c r="BW961" s="16"/>
      <c r="BX961" s="16"/>
      <c r="BY961" s="16"/>
      <c r="BZ961" s="16"/>
      <c r="CA961" s="16"/>
      <c r="CB961" s="16"/>
      <c r="CC961" s="16"/>
    </row>
    <row r="962" spans="1:81" ht="13.5" thickBot="1">
      <c r="A962" s="16"/>
      <c r="B962" s="16"/>
      <c r="C962" s="17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  <c r="AT962" s="16"/>
      <c r="AU962" s="16"/>
      <c r="AV962" s="16"/>
      <c r="AW962" s="16"/>
      <c r="AX962" s="16"/>
      <c r="AY962" s="16"/>
      <c r="AZ962" s="16"/>
      <c r="BA962" s="16"/>
      <c r="BB962" s="16"/>
      <c r="BC962" s="16"/>
      <c r="BD962" s="16"/>
      <c r="BE962" s="16"/>
      <c r="BF962" s="16"/>
      <c r="BG962" s="16"/>
      <c r="BH962" s="16"/>
      <c r="BI962" s="16"/>
      <c r="BJ962" s="16"/>
      <c r="BK962" s="16"/>
      <c r="BL962" s="16"/>
      <c r="BM962" s="16"/>
      <c r="BN962" s="16"/>
      <c r="BO962" s="16"/>
      <c r="BP962" s="16"/>
      <c r="BQ962" s="16"/>
      <c r="BR962" s="16"/>
      <c r="BS962" s="16"/>
      <c r="BT962" s="16"/>
      <c r="BU962" s="16"/>
      <c r="BV962" s="16"/>
      <c r="BW962" s="16"/>
      <c r="BX962" s="16"/>
      <c r="BY962" s="16"/>
      <c r="BZ962" s="16"/>
      <c r="CA962" s="16"/>
      <c r="CB962" s="16"/>
      <c r="CC962" s="16"/>
    </row>
    <row r="963" spans="1:81" ht="13.5" thickBot="1">
      <c r="A963" s="16"/>
      <c r="B963" s="16"/>
      <c r="C963" s="17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  <c r="AT963" s="16"/>
      <c r="AU963" s="16"/>
      <c r="AV963" s="16"/>
      <c r="AW963" s="16"/>
      <c r="AX963" s="16"/>
      <c r="AY963" s="16"/>
      <c r="AZ963" s="16"/>
      <c r="BA963" s="16"/>
      <c r="BB963" s="16"/>
      <c r="BC963" s="16"/>
      <c r="BD963" s="16"/>
      <c r="BE963" s="16"/>
      <c r="BF963" s="16"/>
      <c r="BG963" s="16"/>
      <c r="BH963" s="16"/>
      <c r="BI963" s="16"/>
      <c r="BJ963" s="16"/>
      <c r="BK963" s="16"/>
      <c r="BL963" s="16"/>
      <c r="BM963" s="16"/>
      <c r="BN963" s="16"/>
      <c r="BO963" s="16"/>
      <c r="BP963" s="16"/>
      <c r="BQ963" s="16"/>
      <c r="BR963" s="16"/>
      <c r="BS963" s="16"/>
      <c r="BT963" s="16"/>
      <c r="BU963" s="16"/>
      <c r="BV963" s="16"/>
      <c r="BW963" s="16"/>
      <c r="BX963" s="16"/>
      <c r="BY963" s="16"/>
      <c r="BZ963" s="16"/>
      <c r="CA963" s="16"/>
      <c r="CB963" s="16"/>
      <c r="CC963" s="16"/>
    </row>
    <row r="964" spans="1:81" ht="13.5" thickBot="1">
      <c r="A964" s="16"/>
      <c r="B964" s="16"/>
      <c r="C964" s="17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  <c r="AT964" s="16"/>
      <c r="AU964" s="16"/>
      <c r="AV964" s="16"/>
      <c r="AW964" s="16"/>
      <c r="AX964" s="16"/>
      <c r="AY964" s="16"/>
      <c r="AZ964" s="16"/>
      <c r="BA964" s="16"/>
      <c r="BB964" s="16"/>
      <c r="BC964" s="16"/>
      <c r="BD964" s="16"/>
      <c r="BE964" s="16"/>
      <c r="BF964" s="16"/>
      <c r="BG964" s="16"/>
      <c r="BH964" s="16"/>
      <c r="BI964" s="16"/>
      <c r="BJ964" s="16"/>
      <c r="BK964" s="16"/>
      <c r="BL964" s="16"/>
      <c r="BM964" s="16"/>
      <c r="BN964" s="16"/>
      <c r="BO964" s="16"/>
      <c r="BP964" s="16"/>
      <c r="BQ964" s="16"/>
      <c r="BR964" s="16"/>
      <c r="BS964" s="16"/>
      <c r="BT964" s="16"/>
      <c r="BU964" s="16"/>
      <c r="BV964" s="16"/>
      <c r="BW964" s="16"/>
      <c r="BX964" s="16"/>
      <c r="BY964" s="16"/>
      <c r="BZ964" s="16"/>
      <c r="CA964" s="16"/>
      <c r="CB964" s="16"/>
      <c r="CC964" s="16"/>
    </row>
    <row r="965" spans="1:81" ht="13.5" thickBot="1">
      <c r="A965" s="16"/>
      <c r="B965" s="16"/>
      <c r="C965" s="17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  <c r="AT965" s="16"/>
      <c r="AU965" s="16"/>
      <c r="AV965" s="16"/>
      <c r="AW965" s="16"/>
      <c r="AX965" s="16"/>
      <c r="AY965" s="16"/>
      <c r="AZ965" s="16"/>
      <c r="BA965" s="16"/>
      <c r="BB965" s="16"/>
      <c r="BC965" s="16"/>
      <c r="BD965" s="16"/>
      <c r="BE965" s="16"/>
      <c r="BF965" s="16"/>
      <c r="BG965" s="16"/>
      <c r="BH965" s="16"/>
      <c r="BI965" s="16"/>
      <c r="BJ965" s="16"/>
      <c r="BK965" s="16"/>
      <c r="BL965" s="16"/>
      <c r="BM965" s="16"/>
      <c r="BN965" s="16"/>
      <c r="BO965" s="16"/>
      <c r="BP965" s="16"/>
      <c r="BQ965" s="16"/>
      <c r="BR965" s="16"/>
      <c r="BS965" s="16"/>
      <c r="BT965" s="16"/>
      <c r="BU965" s="16"/>
      <c r="BV965" s="16"/>
      <c r="BW965" s="16"/>
      <c r="BX965" s="16"/>
      <c r="BY965" s="16"/>
      <c r="BZ965" s="16"/>
      <c r="CA965" s="16"/>
      <c r="CB965" s="16"/>
      <c r="CC965" s="16"/>
    </row>
    <row r="966" spans="1:81" ht="13.5" thickBot="1">
      <c r="A966" s="16"/>
      <c r="B966" s="16"/>
      <c r="C966" s="17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  <c r="AT966" s="16"/>
      <c r="AU966" s="16"/>
      <c r="AV966" s="16"/>
      <c r="AW966" s="16"/>
      <c r="AX966" s="16"/>
      <c r="AY966" s="16"/>
      <c r="AZ966" s="16"/>
      <c r="BA966" s="16"/>
      <c r="BB966" s="16"/>
      <c r="BC966" s="16"/>
      <c r="BD966" s="16"/>
      <c r="BE966" s="16"/>
      <c r="BF966" s="16"/>
      <c r="BG966" s="16"/>
      <c r="BH966" s="16"/>
      <c r="BI966" s="16"/>
      <c r="BJ966" s="16"/>
      <c r="BK966" s="16"/>
      <c r="BL966" s="16"/>
      <c r="BM966" s="16"/>
      <c r="BN966" s="16"/>
      <c r="BO966" s="16"/>
      <c r="BP966" s="16"/>
      <c r="BQ966" s="16"/>
      <c r="BR966" s="16"/>
      <c r="BS966" s="16"/>
      <c r="BT966" s="16"/>
      <c r="BU966" s="16"/>
      <c r="BV966" s="16"/>
      <c r="BW966" s="16"/>
      <c r="BX966" s="16"/>
      <c r="BY966" s="16"/>
      <c r="BZ966" s="16"/>
      <c r="CA966" s="16"/>
      <c r="CB966" s="16"/>
      <c r="CC966" s="16"/>
    </row>
    <row r="967" spans="1:81" ht="13.5" thickBot="1">
      <c r="A967" s="16"/>
      <c r="B967" s="16"/>
      <c r="C967" s="17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  <c r="AT967" s="16"/>
      <c r="AU967" s="16"/>
      <c r="AV967" s="16"/>
      <c r="AW967" s="16"/>
      <c r="AX967" s="16"/>
      <c r="AY967" s="16"/>
      <c r="AZ967" s="16"/>
      <c r="BA967" s="16"/>
      <c r="BB967" s="16"/>
      <c r="BC967" s="16"/>
      <c r="BD967" s="16"/>
      <c r="BE967" s="16"/>
      <c r="BF967" s="16"/>
      <c r="BG967" s="16"/>
      <c r="BH967" s="16"/>
      <c r="BI967" s="16"/>
      <c r="BJ967" s="16"/>
      <c r="BK967" s="16"/>
      <c r="BL967" s="16"/>
      <c r="BM967" s="16"/>
      <c r="BN967" s="16"/>
      <c r="BO967" s="16"/>
      <c r="BP967" s="16"/>
      <c r="BQ967" s="16"/>
      <c r="BR967" s="16"/>
      <c r="BS967" s="16"/>
      <c r="BT967" s="16"/>
      <c r="BU967" s="16"/>
      <c r="BV967" s="16"/>
      <c r="BW967" s="16"/>
      <c r="BX967" s="16"/>
      <c r="BY967" s="16"/>
      <c r="BZ967" s="16"/>
      <c r="CA967" s="16"/>
      <c r="CB967" s="16"/>
      <c r="CC967" s="16"/>
    </row>
    <row r="968" spans="1:81" ht="13.5" thickBot="1">
      <c r="A968" s="16"/>
      <c r="B968" s="16"/>
      <c r="C968" s="17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  <c r="AT968" s="16"/>
      <c r="AU968" s="16"/>
      <c r="AV968" s="16"/>
      <c r="AW968" s="16"/>
      <c r="AX968" s="16"/>
      <c r="AY968" s="16"/>
      <c r="AZ968" s="16"/>
      <c r="BA968" s="16"/>
      <c r="BB968" s="16"/>
      <c r="BC968" s="16"/>
      <c r="BD968" s="16"/>
      <c r="BE968" s="16"/>
      <c r="BF968" s="16"/>
      <c r="BG968" s="16"/>
      <c r="BH968" s="16"/>
      <c r="BI968" s="16"/>
      <c r="BJ968" s="16"/>
      <c r="BK968" s="16"/>
      <c r="BL968" s="16"/>
      <c r="BM968" s="16"/>
      <c r="BN968" s="16"/>
      <c r="BO968" s="16"/>
      <c r="BP968" s="16"/>
      <c r="BQ968" s="16"/>
      <c r="BR968" s="16"/>
      <c r="BS968" s="16"/>
      <c r="BT968" s="16"/>
      <c r="BU968" s="16"/>
      <c r="BV968" s="16"/>
      <c r="BW968" s="16"/>
      <c r="BX968" s="16"/>
      <c r="BY968" s="16"/>
      <c r="BZ968" s="16"/>
      <c r="CA968" s="16"/>
      <c r="CB968" s="16"/>
      <c r="CC968" s="16"/>
    </row>
    <row r="969" spans="1:81" ht="13.5" thickBot="1">
      <c r="A969" s="16"/>
      <c r="B969" s="16"/>
      <c r="C969" s="17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  <c r="AT969" s="16"/>
      <c r="AU969" s="16"/>
      <c r="AV969" s="16"/>
      <c r="AW969" s="16"/>
      <c r="AX969" s="16"/>
      <c r="AY969" s="16"/>
      <c r="AZ969" s="16"/>
      <c r="BA969" s="16"/>
      <c r="BB969" s="16"/>
      <c r="BC969" s="16"/>
      <c r="BD969" s="16"/>
      <c r="BE969" s="16"/>
      <c r="BF969" s="16"/>
      <c r="BG969" s="16"/>
      <c r="BH969" s="16"/>
      <c r="BI969" s="16"/>
      <c r="BJ969" s="16"/>
      <c r="BK969" s="16"/>
      <c r="BL969" s="16"/>
      <c r="BM969" s="16"/>
      <c r="BN969" s="16"/>
      <c r="BO969" s="16"/>
      <c r="BP969" s="16"/>
      <c r="BQ969" s="16"/>
      <c r="BR969" s="16"/>
      <c r="BS969" s="16"/>
      <c r="BT969" s="16"/>
      <c r="BU969" s="16"/>
      <c r="BV969" s="16"/>
      <c r="BW969" s="16"/>
      <c r="BX969" s="16"/>
      <c r="BY969" s="16"/>
      <c r="BZ969" s="16"/>
      <c r="CA969" s="16"/>
      <c r="CB969" s="16"/>
      <c r="CC969" s="16"/>
    </row>
    <row r="970" spans="1:81" ht="13.5" thickBot="1">
      <c r="A970" s="16"/>
      <c r="B970" s="16"/>
      <c r="C970" s="17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  <c r="AT970" s="16"/>
      <c r="AU970" s="16"/>
      <c r="AV970" s="16"/>
      <c r="AW970" s="16"/>
      <c r="AX970" s="16"/>
      <c r="AY970" s="16"/>
      <c r="AZ970" s="16"/>
      <c r="BA970" s="16"/>
      <c r="BB970" s="16"/>
      <c r="BC970" s="16"/>
      <c r="BD970" s="16"/>
      <c r="BE970" s="16"/>
      <c r="BF970" s="16"/>
      <c r="BG970" s="16"/>
      <c r="BH970" s="16"/>
      <c r="BI970" s="16"/>
      <c r="BJ970" s="16"/>
      <c r="BK970" s="16"/>
      <c r="BL970" s="16"/>
      <c r="BM970" s="16"/>
      <c r="BN970" s="16"/>
      <c r="BO970" s="16"/>
      <c r="BP970" s="16"/>
      <c r="BQ970" s="16"/>
      <c r="BR970" s="16"/>
      <c r="BS970" s="16"/>
      <c r="BT970" s="16"/>
      <c r="BU970" s="16"/>
      <c r="BV970" s="16"/>
      <c r="BW970" s="16"/>
      <c r="BX970" s="16"/>
      <c r="BY970" s="16"/>
      <c r="BZ970" s="16"/>
      <c r="CA970" s="16"/>
      <c r="CB970" s="16"/>
      <c r="CC970" s="16"/>
    </row>
    <row r="971" spans="1:81" ht="13.5" thickBot="1">
      <c r="A971" s="16"/>
      <c r="B971" s="16"/>
      <c r="C971" s="17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  <c r="AT971" s="16"/>
      <c r="AU971" s="16"/>
      <c r="AV971" s="16"/>
      <c r="AW971" s="16"/>
      <c r="AX971" s="16"/>
      <c r="AY971" s="16"/>
      <c r="AZ971" s="16"/>
      <c r="BA971" s="16"/>
      <c r="BB971" s="16"/>
      <c r="BC971" s="16"/>
      <c r="BD971" s="16"/>
      <c r="BE971" s="16"/>
      <c r="BF971" s="16"/>
      <c r="BG971" s="16"/>
      <c r="BH971" s="16"/>
      <c r="BI971" s="16"/>
      <c r="BJ971" s="16"/>
      <c r="BK971" s="16"/>
      <c r="BL971" s="16"/>
      <c r="BM971" s="16"/>
      <c r="BN971" s="16"/>
      <c r="BO971" s="16"/>
      <c r="BP971" s="16"/>
      <c r="BQ971" s="16"/>
      <c r="BR971" s="16"/>
      <c r="BS971" s="16"/>
      <c r="BT971" s="16"/>
      <c r="BU971" s="16"/>
      <c r="BV971" s="16"/>
      <c r="BW971" s="16"/>
      <c r="BX971" s="16"/>
      <c r="BY971" s="16"/>
      <c r="BZ971" s="16"/>
      <c r="CA971" s="16"/>
      <c r="CB971" s="16"/>
      <c r="CC971" s="16"/>
    </row>
    <row r="972" spans="1:81" ht="13.5" thickBot="1">
      <c r="A972" s="16"/>
      <c r="B972" s="16"/>
      <c r="C972" s="17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  <c r="AT972" s="16"/>
      <c r="AU972" s="16"/>
      <c r="AV972" s="16"/>
      <c r="AW972" s="16"/>
      <c r="AX972" s="16"/>
      <c r="AY972" s="16"/>
      <c r="AZ972" s="16"/>
      <c r="BA972" s="16"/>
      <c r="BB972" s="16"/>
      <c r="BC972" s="16"/>
      <c r="BD972" s="16"/>
      <c r="BE972" s="16"/>
      <c r="BF972" s="16"/>
      <c r="BG972" s="16"/>
      <c r="BH972" s="16"/>
      <c r="BI972" s="16"/>
      <c r="BJ972" s="16"/>
      <c r="BK972" s="16"/>
      <c r="BL972" s="16"/>
      <c r="BM972" s="16"/>
      <c r="BN972" s="16"/>
      <c r="BO972" s="16"/>
      <c r="BP972" s="16"/>
      <c r="BQ972" s="16"/>
      <c r="BR972" s="16"/>
      <c r="BS972" s="16"/>
      <c r="BT972" s="16"/>
      <c r="BU972" s="16"/>
      <c r="BV972" s="16"/>
      <c r="BW972" s="16"/>
      <c r="BX972" s="16"/>
      <c r="BY972" s="16"/>
      <c r="BZ972" s="16"/>
      <c r="CA972" s="16"/>
      <c r="CB972" s="16"/>
      <c r="CC972" s="16"/>
    </row>
    <row r="973" spans="1:81" ht="13.5" thickBot="1">
      <c r="A973" s="16"/>
      <c r="B973" s="16"/>
      <c r="C973" s="17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  <c r="AT973" s="16"/>
      <c r="AU973" s="16"/>
      <c r="AV973" s="16"/>
      <c r="AW973" s="16"/>
      <c r="AX973" s="16"/>
      <c r="AY973" s="16"/>
      <c r="AZ973" s="16"/>
      <c r="BA973" s="16"/>
      <c r="BB973" s="16"/>
      <c r="BC973" s="16"/>
      <c r="BD973" s="16"/>
      <c r="BE973" s="16"/>
      <c r="BF973" s="16"/>
      <c r="BG973" s="16"/>
      <c r="BH973" s="16"/>
      <c r="BI973" s="16"/>
      <c r="BJ973" s="16"/>
      <c r="BK973" s="16"/>
      <c r="BL973" s="16"/>
      <c r="BM973" s="16"/>
      <c r="BN973" s="16"/>
      <c r="BO973" s="16"/>
      <c r="BP973" s="16"/>
      <c r="BQ973" s="16"/>
      <c r="BR973" s="16"/>
      <c r="BS973" s="16"/>
      <c r="BT973" s="16"/>
      <c r="BU973" s="16"/>
      <c r="BV973" s="16"/>
      <c r="BW973" s="16"/>
      <c r="BX973" s="16"/>
      <c r="BY973" s="16"/>
      <c r="BZ973" s="16"/>
      <c r="CA973" s="16"/>
      <c r="CB973" s="16"/>
      <c r="CC973" s="16"/>
    </row>
    <row r="974" spans="1:81" ht="13.5" thickBot="1">
      <c r="A974" s="16"/>
      <c r="B974" s="16"/>
      <c r="C974" s="17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  <c r="AT974" s="16"/>
      <c r="AU974" s="16"/>
      <c r="AV974" s="16"/>
      <c r="AW974" s="16"/>
      <c r="AX974" s="16"/>
      <c r="AY974" s="16"/>
      <c r="AZ974" s="16"/>
      <c r="BA974" s="16"/>
      <c r="BB974" s="16"/>
      <c r="BC974" s="16"/>
      <c r="BD974" s="16"/>
      <c r="BE974" s="16"/>
      <c r="BF974" s="16"/>
      <c r="BG974" s="16"/>
      <c r="BH974" s="16"/>
      <c r="BI974" s="16"/>
      <c r="BJ974" s="16"/>
      <c r="BK974" s="16"/>
      <c r="BL974" s="16"/>
      <c r="BM974" s="16"/>
      <c r="BN974" s="16"/>
      <c r="BO974" s="16"/>
      <c r="BP974" s="16"/>
      <c r="BQ974" s="16"/>
      <c r="BR974" s="16"/>
      <c r="BS974" s="16"/>
      <c r="BT974" s="16"/>
      <c r="BU974" s="16"/>
      <c r="BV974" s="16"/>
      <c r="BW974" s="16"/>
      <c r="BX974" s="16"/>
      <c r="BY974" s="16"/>
      <c r="BZ974" s="16"/>
      <c r="CA974" s="16"/>
      <c r="CB974" s="16"/>
      <c r="CC974" s="16"/>
    </row>
    <row r="975" spans="1:81" ht="13.5" thickBot="1">
      <c r="A975" s="16"/>
      <c r="B975" s="16"/>
      <c r="C975" s="17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  <c r="AT975" s="16"/>
      <c r="AU975" s="16"/>
      <c r="AV975" s="16"/>
      <c r="AW975" s="16"/>
      <c r="AX975" s="16"/>
      <c r="AY975" s="16"/>
      <c r="AZ975" s="16"/>
      <c r="BA975" s="16"/>
      <c r="BB975" s="16"/>
      <c r="BC975" s="16"/>
      <c r="BD975" s="16"/>
      <c r="BE975" s="16"/>
      <c r="BF975" s="16"/>
      <c r="BG975" s="16"/>
      <c r="BH975" s="16"/>
      <c r="BI975" s="16"/>
      <c r="BJ975" s="16"/>
      <c r="BK975" s="16"/>
      <c r="BL975" s="16"/>
      <c r="BM975" s="16"/>
      <c r="BN975" s="16"/>
      <c r="BO975" s="16"/>
      <c r="BP975" s="16"/>
      <c r="BQ975" s="16"/>
      <c r="BR975" s="16"/>
      <c r="BS975" s="16"/>
      <c r="BT975" s="16"/>
      <c r="BU975" s="16"/>
      <c r="BV975" s="16"/>
      <c r="BW975" s="16"/>
      <c r="BX975" s="16"/>
      <c r="BY975" s="16"/>
      <c r="BZ975" s="16"/>
      <c r="CA975" s="16"/>
      <c r="CB975" s="16"/>
      <c r="CC975" s="16"/>
    </row>
    <row r="976" spans="1:81" ht="13.5" thickBot="1">
      <c r="A976" s="16"/>
      <c r="B976" s="16"/>
      <c r="C976" s="17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  <c r="AT976" s="16"/>
      <c r="AU976" s="16"/>
      <c r="AV976" s="16"/>
      <c r="AW976" s="16"/>
      <c r="AX976" s="16"/>
      <c r="AY976" s="16"/>
      <c r="AZ976" s="16"/>
      <c r="BA976" s="16"/>
      <c r="BB976" s="16"/>
      <c r="BC976" s="16"/>
      <c r="BD976" s="16"/>
      <c r="BE976" s="16"/>
      <c r="BF976" s="16"/>
      <c r="BG976" s="16"/>
      <c r="BH976" s="16"/>
      <c r="BI976" s="16"/>
      <c r="BJ976" s="16"/>
      <c r="BK976" s="16"/>
      <c r="BL976" s="16"/>
      <c r="BM976" s="16"/>
      <c r="BN976" s="16"/>
      <c r="BO976" s="16"/>
      <c r="BP976" s="16"/>
      <c r="BQ976" s="16"/>
      <c r="BR976" s="16"/>
      <c r="BS976" s="16"/>
      <c r="BT976" s="16"/>
      <c r="BU976" s="16"/>
      <c r="BV976" s="16"/>
      <c r="BW976" s="16"/>
      <c r="BX976" s="16"/>
      <c r="BY976" s="16"/>
      <c r="BZ976" s="16"/>
      <c r="CA976" s="16"/>
      <c r="CB976" s="16"/>
      <c r="CC976" s="16"/>
    </row>
    <row r="977" spans="1:81" ht="13.5" thickBot="1">
      <c r="A977" s="16"/>
      <c r="B977" s="16"/>
      <c r="C977" s="17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  <c r="AT977" s="16"/>
      <c r="AU977" s="16"/>
      <c r="AV977" s="16"/>
      <c r="AW977" s="16"/>
      <c r="AX977" s="16"/>
      <c r="AY977" s="16"/>
      <c r="AZ977" s="16"/>
      <c r="BA977" s="16"/>
      <c r="BB977" s="16"/>
      <c r="BC977" s="16"/>
      <c r="BD977" s="16"/>
      <c r="BE977" s="16"/>
      <c r="BF977" s="16"/>
      <c r="BG977" s="16"/>
      <c r="BH977" s="16"/>
      <c r="BI977" s="16"/>
      <c r="BJ977" s="16"/>
      <c r="BK977" s="16"/>
      <c r="BL977" s="16"/>
      <c r="BM977" s="16"/>
      <c r="BN977" s="16"/>
      <c r="BO977" s="16"/>
      <c r="BP977" s="16"/>
      <c r="BQ977" s="16"/>
      <c r="BR977" s="16"/>
      <c r="BS977" s="16"/>
      <c r="BT977" s="16"/>
      <c r="BU977" s="16"/>
      <c r="BV977" s="16"/>
      <c r="BW977" s="16"/>
      <c r="BX977" s="16"/>
      <c r="BY977" s="16"/>
      <c r="BZ977" s="16"/>
      <c r="CA977" s="16"/>
      <c r="CB977" s="16"/>
      <c r="CC977" s="16"/>
    </row>
    <row r="978" spans="1:81" ht="13.5" thickBot="1">
      <c r="A978" s="16"/>
      <c r="B978" s="16"/>
      <c r="C978" s="17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  <c r="AT978" s="16"/>
      <c r="AU978" s="16"/>
      <c r="AV978" s="16"/>
      <c r="AW978" s="16"/>
      <c r="AX978" s="16"/>
      <c r="AY978" s="16"/>
      <c r="AZ978" s="16"/>
      <c r="BA978" s="16"/>
      <c r="BB978" s="16"/>
      <c r="BC978" s="16"/>
      <c r="BD978" s="16"/>
      <c r="BE978" s="16"/>
      <c r="BF978" s="16"/>
      <c r="BG978" s="16"/>
      <c r="BH978" s="16"/>
      <c r="BI978" s="16"/>
      <c r="BJ978" s="16"/>
      <c r="BK978" s="16"/>
      <c r="BL978" s="16"/>
      <c r="BM978" s="16"/>
      <c r="BN978" s="16"/>
      <c r="BO978" s="16"/>
      <c r="BP978" s="16"/>
      <c r="BQ978" s="16"/>
      <c r="BR978" s="16"/>
      <c r="BS978" s="16"/>
      <c r="BT978" s="16"/>
      <c r="BU978" s="16"/>
      <c r="BV978" s="16"/>
      <c r="BW978" s="16"/>
      <c r="BX978" s="16"/>
      <c r="BY978" s="16"/>
      <c r="BZ978" s="16"/>
      <c r="CA978" s="16"/>
      <c r="CB978" s="16"/>
      <c r="CC978" s="16"/>
    </row>
    <row r="979" spans="1:81" ht="13.5" thickBot="1">
      <c r="A979" s="16"/>
      <c r="B979" s="16"/>
      <c r="C979" s="17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  <c r="AT979" s="16"/>
      <c r="AU979" s="16"/>
      <c r="AV979" s="16"/>
      <c r="AW979" s="16"/>
      <c r="AX979" s="16"/>
      <c r="AY979" s="16"/>
      <c r="AZ979" s="16"/>
      <c r="BA979" s="16"/>
      <c r="BB979" s="16"/>
      <c r="BC979" s="16"/>
      <c r="BD979" s="16"/>
      <c r="BE979" s="16"/>
      <c r="BF979" s="16"/>
      <c r="BG979" s="16"/>
      <c r="BH979" s="16"/>
      <c r="BI979" s="16"/>
      <c r="BJ979" s="16"/>
      <c r="BK979" s="16"/>
      <c r="BL979" s="16"/>
      <c r="BM979" s="16"/>
      <c r="BN979" s="16"/>
      <c r="BO979" s="16"/>
      <c r="BP979" s="16"/>
      <c r="BQ979" s="16"/>
      <c r="BR979" s="16"/>
      <c r="BS979" s="16"/>
      <c r="BT979" s="16"/>
      <c r="BU979" s="16"/>
      <c r="BV979" s="16"/>
      <c r="BW979" s="16"/>
      <c r="BX979" s="16"/>
      <c r="BY979" s="16"/>
      <c r="BZ979" s="16"/>
      <c r="CA979" s="16"/>
      <c r="CB979" s="16"/>
      <c r="CC979" s="16"/>
    </row>
    <row r="980" spans="1:81" ht="13.5" thickBot="1">
      <c r="A980" s="16"/>
      <c r="B980" s="16"/>
      <c r="C980" s="17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  <c r="AT980" s="16"/>
      <c r="AU980" s="16"/>
      <c r="AV980" s="16"/>
      <c r="AW980" s="16"/>
      <c r="AX980" s="16"/>
      <c r="AY980" s="16"/>
      <c r="AZ980" s="16"/>
      <c r="BA980" s="16"/>
      <c r="BB980" s="16"/>
      <c r="BC980" s="16"/>
      <c r="BD980" s="16"/>
      <c r="BE980" s="16"/>
      <c r="BF980" s="16"/>
      <c r="BG980" s="16"/>
      <c r="BH980" s="16"/>
      <c r="BI980" s="16"/>
      <c r="BJ980" s="16"/>
      <c r="BK980" s="16"/>
      <c r="BL980" s="16"/>
      <c r="BM980" s="16"/>
      <c r="BN980" s="16"/>
      <c r="BO980" s="16"/>
      <c r="BP980" s="16"/>
      <c r="BQ980" s="16"/>
      <c r="BR980" s="16"/>
      <c r="BS980" s="16"/>
      <c r="BT980" s="16"/>
      <c r="BU980" s="16"/>
      <c r="BV980" s="16"/>
      <c r="BW980" s="16"/>
      <c r="BX980" s="16"/>
      <c r="BY980" s="16"/>
      <c r="BZ980" s="16"/>
      <c r="CA980" s="16"/>
      <c r="CB980" s="16"/>
      <c r="CC980" s="16"/>
    </row>
    <row r="981" spans="1:81" ht="13.5" thickBot="1">
      <c r="A981" s="16"/>
      <c r="B981" s="16"/>
      <c r="C981" s="17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  <c r="AT981" s="16"/>
      <c r="AU981" s="16"/>
      <c r="AV981" s="16"/>
      <c r="AW981" s="16"/>
      <c r="AX981" s="16"/>
      <c r="AY981" s="16"/>
      <c r="AZ981" s="16"/>
      <c r="BA981" s="16"/>
      <c r="BB981" s="16"/>
      <c r="BC981" s="16"/>
      <c r="BD981" s="16"/>
      <c r="BE981" s="16"/>
      <c r="BF981" s="16"/>
      <c r="BG981" s="16"/>
      <c r="BH981" s="16"/>
      <c r="BI981" s="16"/>
      <c r="BJ981" s="16"/>
      <c r="BK981" s="16"/>
      <c r="BL981" s="16"/>
      <c r="BM981" s="16"/>
      <c r="BN981" s="16"/>
      <c r="BO981" s="16"/>
      <c r="BP981" s="16"/>
      <c r="BQ981" s="16"/>
      <c r="BR981" s="16"/>
      <c r="BS981" s="16"/>
      <c r="BT981" s="16"/>
      <c r="BU981" s="16"/>
      <c r="BV981" s="16"/>
      <c r="BW981" s="16"/>
      <c r="BX981" s="16"/>
      <c r="BY981" s="16"/>
      <c r="BZ981" s="16"/>
      <c r="CA981" s="16"/>
      <c r="CB981" s="16"/>
      <c r="CC981" s="16"/>
    </row>
    <row r="982" spans="1:81" ht="13.5" thickBot="1">
      <c r="A982" s="16"/>
      <c r="B982" s="16"/>
      <c r="C982" s="17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  <c r="AT982" s="16"/>
      <c r="AU982" s="16"/>
      <c r="AV982" s="16"/>
      <c r="AW982" s="16"/>
      <c r="AX982" s="16"/>
      <c r="AY982" s="16"/>
      <c r="AZ982" s="16"/>
      <c r="BA982" s="16"/>
      <c r="BB982" s="16"/>
      <c r="BC982" s="16"/>
      <c r="BD982" s="16"/>
      <c r="BE982" s="16"/>
      <c r="BF982" s="16"/>
      <c r="BG982" s="16"/>
      <c r="BH982" s="16"/>
      <c r="BI982" s="16"/>
      <c r="BJ982" s="16"/>
      <c r="BK982" s="16"/>
      <c r="BL982" s="16"/>
      <c r="BM982" s="16"/>
      <c r="BN982" s="16"/>
      <c r="BO982" s="16"/>
      <c r="BP982" s="16"/>
      <c r="BQ982" s="16"/>
      <c r="BR982" s="16"/>
      <c r="BS982" s="16"/>
      <c r="BT982" s="16"/>
      <c r="BU982" s="16"/>
      <c r="BV982" s="16"/>
      <c r="BW982" s="16"/>
      <c r="BX982" s="16"/>
      <c r="BY982" s="16"/>
      <c r="BZ982" s="16"/>
      <c r="CA982" s="16"/>
      <c r="CB982" s="16"/>
      <c r="CC982" s="16"/>
    </row>
    <row r="983" spans="1:81" ht="13.5" thickBot="1">
      <c r="A983" s="16"/>
      <c r="B983" s="16"/>
      <c r="C983" s="17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  <c r="AT983" s="16"/>
      <c r="AU983" s="16"/>
      <c r="AV983" s="16"/>
      <c r="AW983" s="16"/>
      <c r="AX983" s="16"/>
      <c r="AY983" s="16"/>
      <c r="AZ983" s="16"/>
      <c r="BA983" s="16"/>
      <c r="BB983" s="16"/>
      <c r="BC983" s="16"/>
      <c r="BD983" s="16"/>
      <c r="BE983" s="16"/>
      <c r="BF983" s="16"/>
      <c r="BG983" s="16"/>
      <c r="BH983" s="16"/>
      <c r="BI983" s="16"/>
      <c r="BJ983" s="16"/>
      <c r="BK983" s="16"/>
      <c r="BL983" s="16"/>
      <c r="BM983" s="16"/>
      <c r="BN983" s="16"/>
      <c r="BO983" s="16"/>
      <c r="BP983" s="16"/>
      <c r="BQ983" s="16"/>
      <c r="BR983" s="16"/>
      <c r="BS983" s="16"/>
      <c r="BT983" s="16"/>
      <c r="BU983" s="16"/>
      <c r="BV983" s="16"/>
      <c r="BW983" s="16"/>
      <c r="BX983" s="16"/>
      <c r="BY983" s="16"/>
      <c r="BZ983" s="16"/>
      <c r="CA983" s="16"/>
      <c r="CB983" s="16"/>
      <c r="CC983" s="16"/>
    </row>
    <row r="984" spans="1:81" ht="13.5" thickBot="1">
      <c r="A984" s="16"/>
      <c r="B984" s="16"/>
      <c r="C984" s="17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  <c r="AT984" s="16"/>
      <c r="AU984" s="16"/>
      <c r="AV984" s="16"/>
      <c r="AW984" s="16"/>
      <c r="AX984" s="16"/>
      <c r="AY984" s="16"/>
      <c r="AZ984" s="16"/>
      <c r="BA984" s="16"/>
      <c r="BB984" s="16"/>
      <c r="BC984" s="16"/>
      <c r="BD984" s="16"/>
      <c r="BE984" s="16"/>
      <c r="BF984" s="16"/>
      <c r="BG984" s="16"/>
      <c r="BH984" s="16"/>
      <c r="BI984" s="16"/>
      <c r="BJ984" s="16"/>
      <c r="BK984" s="16"/>
      <c r="BL984" s="16"/>
      <c r="BM984" s="16"/>
      <c r="BN984" s="16"/>
      <c r="BO984" s="16"/>
      <c r="BP984" s="16"/>
      <c r="BQ984" s="16"/>
      <c r="BR984" s="16"/>
      <c r="BS984" s="16"/>
      <c r="BT984" s="16"/>
      <c r="BU984" s="16"/>
      <c r="BV984" s="16"/>
      <c r="BW984" s="16"/>
      <c r="BX984" s="16"/>
      <c r="BY984" s="16"/>
      <c r="BZ984" s="16"/>
      <c r="CA984" s="16"/>
      <c r="CB984" s="16"/>
      <c r="CC984" s="16"/>
    </row>
    <row r="985" spans="1:81" ht="13.5" thickBot="1">
      <c r="A985" s="16"/>
      <c r="B985" s="16"/>
      <c r="C985" s="17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  <c r="AT985" s="16"/>
      <c r="AU985" s="16"/>
      <c r="AV985" s="16"/>
      <c r="AW985" s="16"/>
      <c r="AX985" s="16"/>
      <c r="AY985" s="16"/>
      <c r="AZ985" s="16"/>
      <c r="BA985" s="16"/>
      <c r="BB985" s="16"/>
      <c r="BC985" s="16"/>
      <c r="BD985" s="16"/>
      <c r="BE985" s="16"/>
      <c r="BF985" s="16"/>
      <c r="BG985" s="16"/>
      <c r="BH985" s="16"/>
      <c r="BI985" s="16"/>
      <c r="BJ985" s="16"/>
      <c r="BK985" s="16"/>
      <c r="BL985" s="16"/>
      <c r="BM985" s="16"/>
      <c r="BN985" s="16"/>
      <c r="BO985" s="16"/>
      <c r="BP985" s="16"/>
      <c r="BQ985" s="16"/>
      <c r="BR985" s="16"/>
      <c r="BS985" s="16"/>
      <c r="BT985" s="16"/>
      <c r="BU985" s="16"/>
      <c r="BV985" s="16"/>
      <c r="BW985" s="16"/>
      <c r="BX985" s="16"/>
      <c r="BY985" s="16"/>
      <c r="BZ985" s="16"/>
      <c r="CA985" s="16"/>
      <c r="CB985" s="16"/>
      <c r="CC985" s="16"/>
    </row>
    <row r="986" spans="1:81" ht="13.5" thickBot="1">
      <c r="A986" s="16"/>
      <c r="B986" s="16"/>
      <c r="C986" s="17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  <c r="AT986" s="16"/>
      <c r="AU986" s="16"/>
      <c r="AV986" s="16"/>
      <c r="AW986" s="16"/>
      <c r="AX986" s="16"/>
      <c r="AY986" s="16"/>
      <c r="AZ986" s="16"/>
      <c r="BA986" s="16"/>
      <c r="BB986" s="16"/>
      <c r="BC986" s="16"/>
      <c r="BD986" s="16"/>
      <c r="BE986" s="16"/>
      <c r="BF986" s="16"/>
      <c r="BG986" s="16"/>
      <c r="BH986" s="16"/>
      <c r="BI986" s="16"/>
      <c r="BJ986" s="16"/>
      <c r="BK986" s="16"/>
      <c r="BL986" s="16"/>
      <c r="BM986" s="16"/>
      <c r="BN986" s="16"/>
      <c r="BO986" s="16"/>
      <c r="BP986" s="16"/>
      <c r="BQ986" s="16"/>
      <c r="BR986" s="16"/>
      <c r="BS986" s="16"/>
      <c r="BT986" s="16"/>
      <c r="BU986" s="16"/>
      <c r="BV986" s="16"/>
      <c r="BW986" s="16"/>
      <c r="BX986" s="16"/>
      <c r="BY986" s="16"/>
      <c r="BZ986" s="16"/>
      <c r="CA986" s="16"/>
      <c r="CB986" s="16"/>
      <c r="CC986" s="16"/>
    </row>
    <row r="987" spans="1:81" ht="13.5" thickBot="1">
      <c r="A987" s="16"/>
      <c r="B987" s="16"/>
      <c r="C987" s="17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  <c r="AT987" s="16"/>
      <c r="AU987" s="16"/>
      <c r="AV987" s="16"/>
      <c r="AW987" s="16"/>
      <c r="AX987" s="16"/>
      <c r="AY987" s="16"/>
      <c r="AZ987" s="16"/>
      <c r="BA987" s="16"/>
      <c r="BB987" s="16"/>
      <c r="BC987" s="16"/>
      <c r="BD987" s="16"/>
      <c r="BE987" s="16"/>
      <c r="BF987" s="16"/>
      <c r="BG987" s="16"/>
      <c r="BH987" s="16"/>
      <c r="BI987" s="16"/>
      <c r="BJ987" s="16"/>
      <c r="BK987" s="16"/>
      <c r="BL987" s="16"/>
      <c r="BM987" s="16"/>
      <c r="BN987" s="16"/>
      <c r="BO987" s="16"/>
      <c r="BP987" s="16"/>
      <c r="BQ987" s="16"/>
      <c r="BR987" s="16"/>
      <c r="BS987" s="16"/>
      <c r="BT987" s="16"/>
      <c r="BU987" s="16"/>
      <c r="BV987" s="16"/>
      <c r="BW987" s="16"/>
      <c r="BX987" s="16"/>
      <c r="BY987" s="16"/>
      <c r="BZ987" s="16"/>
      <c r="CA987" s="16"/>
      <c r="CB987" s="16"/>
      <c r="CC987" s="16"/>
    </row>
    <row r="988" spans="1:81" ht="13.5" thickBot="1">
      <c r="A988" s="16"/>
      <c r="B988" s="16"/>
      <c r="C988" s="17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  <c r="AT988" s="16"/>
      <c r="AU988" s="16"/>
      <c r="AV988" s="16"/>
      <c r="AW988" s="16"/>
      <c r="AX988" s="16"/>
      <c r="AY988" s="16"/>
      <c r="AZ988" s="16"/>
      <c r="BA988" s="16"/>
      <c r="BB988" s="16"/>
      <c r="BC988" s="16"/>
      <c r="BD988" s="16"/>
      <c r="BE988" s="16"/>
      <c r="BF988" s="16"/>
      <c r="BG988" s="16"/>
      <c r="BH988" s="16"/>
      <c r="BI988" s="16"/>
      <c r="BJ988" s="16"/>
      <c r="BK988" s="16"/>
      <c r="BL988" s="16"/>
      <c r="BM988" s="16"/>
      <c r="BN988" s="16"/>
      <c r="BO988" s="16"/>
      <c r="BP988" s="16"/>
      <c r="BQ988" s="16"/>
      <c r="BR988" s="16"/>
      <c r="BS988" s="16"/>
      <c r="BT988" s="16"/>
      <c r="BU988" s="16"/>
      <c r="BV988" s="16"/>
      <c r="BW988" s="16"/>
      <c r="BX988" s="16"/>
      <c r="BY988" s="16"/>
      <c r="BZ988" s="16"/>
      <c r="CA988" s="16"/>
      <c r="CB988" s="16"/>
      <c r="CC988" s="16"/>
    </row>
    <row r="989" spans="1:81" ht="13.5" thickBot="1">
      <c r="A989" s="16"/>
      <c r="B989" s="16"/>
      <c r="C989" s="17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  <c r="AT989" s="16"/>
      <c r="AU989" s="16"/>
      <c r="AV989" s="16"/>
      <c r="AW989" s="16"/>
      <c r="AX989" s="16"/>
      <c r="AY989" s="16"/>
      <c r="AZ989" s="16"/>
      <c r="BA989" s="16"/>
      <c r="BB989" s="16"/>
      <c r="BC989" s="16"/>
      <c r="BD989" s="16"/>
      <c r="BE989" s="16"/>
      <c r="BF989" s="16"/>
      <c r="BG989" s="16"/>
      <c r="BH989" s="16"/>
      <c r="BI989" s="16"/>
      <c r="BJ989" s="16"/>
      <c r="BK989" s="16"/>
      <c r="BL989" s="16"/>
      <c r="BM989" s="16"/>
      <c r="BN989" s="16"/>
      <c r="BO989" s="16"/>
      <c r="BP989" s="16"/>
      <c r="BQ989" s="16"/>
      <c r="BR989" s="16"/>
      <c r="BS989" s="16"/>
      <c r="BT989" s="16"/>
      <c r="BU989" s="16"/>
      <c r="BV989" s="16"/>
      <c r="BW989" s="16"/>
      <c r="BX989" s="16"/>
      <c r="BY989" s="16"/>
      <c r="BZ989" s="16"/>
      <c r="CA989" s="16"/>
      <c r="CB989" s="16"/>
      <c r="CC989" s="16"/>
    </row>
    <row r="990" spans="1:81" ht="13.5" thickBot="1">
      <c r="A990" s="16"/>
      <c r="B990" s="16"/>
      <c r="C990" s="17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  <c r="AT990" s="16"/>
      <c r="AU990" s="16"/>
      <c r="AV990" s="16"/>
      <c r="AW990" s="16"/>
      <c r="AX990" s="16"/>
      <c r="AY990" s="16"/>
      <c r="AZ990" s="16"/>
      <c r="BA990" s="16"/>
      <c r="BB990" s="16"/>
      <c r="BC990" s="16"/>
      <c r="BD990" s="16"/>
      <c r="BE990" s="16"/>
      <c r="BF990" s="16"/>
      <c r="BG990" s="16"/>
      <c r="BH990" s="16"/>
      <c r="BI990" s="16"/>
      <c r="BJ990" s="16"/>
      <c r="BK990" s="16"/>
      <c r="BL990" s="16"/>
      <c r="BM990" s="16"/>
      <c r="BN990" s="16"/>
      <c r="BO990" s="16"/>
      <c r="BP990" s="16"/>
      <c r="BQ990" s="16"/>
      <c r="BR990" s="16"/>
      <c r="BS990" s="16"/>
      <c r="BT990" s="16"/>
      <c r="BU990" s="16"/>
      <c r="BV990" s="16"/>
      <c r="BW990" s="16"/>
      <c r="BX990" s="16"/>
      <c r="BY990" s="16"/>
      <c r="BZ990" s="16"/>
      <c r="CA990" s="16"/>
      <c r="CB990" s="16"/>
      <c r="CC990" s="16"/>
    </row>
    <row r="991" spans="1:81" ht="13.5" thickBot="1">
      <c r="A991" s="16"/>
      <c r="B991" s="16"/>
      <c r="C991" s="17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  <c r="AT991" s="16"/>
      <c r="AU991" s="16"/>
      <c r="AV991" s="16"/>
      <c r="AW991" s="16"/>
      <c r="AX991" s="16"/>
      <c r="AY991" s="16"/>
      <c r="AZ991" s="16"/>
      <c r="BA991" s="16"/>
      <c r="BB991" s="16"/>
      <c r="BC991" s="16"/>
      <c r="BD991" s="16"/>
      <c r="BE991" s="16"/>
      <c r="BF991" s="16"/>
      <c r="BG991" s="16"/>
      <c r="BH991" s="16"/>
      <c r="BI991" s="16"/>
      <c r="BJ991" s="16"/>
      <c r="BK991" s="16"/>
      <c r="BL991" s="16"/>
      <c r="BM991" s="16"/>
      <c r="BN991" s="16"/>
      <c r="BO991" s="16"/>
      <c r="BP991" s="16"/>
      <c r="BQ991" s="16"/>
      <c r="BR991" s="16"/>
      <c r="BS991" s="16"/>
      <c r="BT991" s="16"/>
      <c r="BU991" s="16"/>
      <c r="BV991" s="16"/>
      <c r="BW991" s="16"/>
      <c r="BX991" s="16"/>
      <c r="BY991" s="16"/>
      <c r="BZ991" s="16"/>
      <c r="CA991" s="16"/>
      <c r="CB991" s="16"/>
      <c r="CC991" s="16"/>
    </row>
    <row r="992" spans="1:81" ht="13.5" thickBot="1">
      <c r="A992" s="16"/>
      <c r="B992" s="16"/>
      <c r="C992" s="17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  <c r="AT992" s="16"/>
      <c r="AU992" s="16"/>
      <c r="AV992" s="16"/>
      <c r="AW992" s="16"/>
      <c r="AX992" s="16"/>
      <c r="AY992" s="16"/>
      <c r="AZ992" s="16"/>
      <c r="BA992" s="16"/>
      <c r="BB992" s="16"/>
      <c r="BC992" s="16"/>
      <c r="BD992" s="16"/>
      <c r="BE992" s="16"/>
      <c r="BF992" s="16"/>
      <c r="BG992" s="16"/>
      <c r="BH992" s="16"/>
      <c r="BI992" s="16"/>
      <c r="BJ992" s="16"/>
      <c r="BK992" s="16"/>
      <c r="BL992" s="16"/>
      <c r="BM992" s="16"/>
      <c r="BN992" s="16"/>
      <c r="BO992" s="16"/>
      <c r="BP992" s="16"/>
      <c r="BQ992" s="16"/>
      <c r="BR992" s="16"/>
      <c r="BS992" s="16"/>
      <c r="BT992" s="16"/>
      <c r="BU992" s="16"/>
      <c r="BV992" s="16"/>
      <c r="BW992" s="16"/>
      <c r="BX992" s="16"/>
      <c r="BY992" s="16"/>
      <c r="BZ992" s="16"/>
      <c r="CA992" s="16"/>
      <c r="CB992" s="16"/>
      <c r="CC992" s="16"/>
    </row>
    <row r="993" spans="1:81" ht="13.5" thickBot="1">
      <c r="A993" s="16"/>
      <c r="B993" s="16"/>
      <c r="C993" s="17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  <c r="AT993" s="16"/>
      <c r="AU993" s="16"/>
      <c r="AV993" s="16"/>
      <c r="AW993" s="16"/>
      <c r="AX993" s="16"/>
      <c r="AY993" s="16"/>
      <c r="AZ993" s="16"/>
      <c r="BA993" s="16"/>
      <c r="BB993" s="16"/>
      <c r="BC993" s="16"/>
      <c r="BD993" s="16"/>
      <c r="BE993" s="16"/>
      <c r="BF993" s="16"/>
      <c r="BG993" s="16"/>
      <c r="BH993" s="16"/>
      <c r="BI993" s="16"/>
      <c r="BJ993" s="16"/>
      <c r="BK993" s="16"/>
      <c r="BL993" s="16"/>
      <c r="BM993" s="16"/>
      <c r="BN993" s="16"/>
      <c r="BO993" s="16"/>
      <c r="BP993" s="16"/>
      <c r="BQ993" s="16"/>
      <c r="BR993" s="16"/>
      <c r="BS993" s="16"/>
      <c r="BT993" s="16"/>
      <c r="BU993" s="16"/>
      <c r="BV993" s="16"/>
      <c r="BW993" s="16"/>
      <c r="BX993" s="16"/>
      <c r="BY993" s="16"/>
      <c r="BZ993" s="16"/>
      <c r="CA993" s="16"/>
      <c r="CB993" s="16"/>
      <c r="CC993" s="16"/>
    </row>
    <row r="994" spans="1:81" ht="13.5" thickBot="1">
      <c r="A994" s="16"/>
      <c r="B994" s="16"/>
      <c r="C994" s="17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  <c r="AT994" s="16"/>
      <c r="AU994" s="16"/>
      <c r="AV994" s="16"/>
      <c r="AW994" s="16"/>
      <c r="AX994" s="16"/>
      <c r="AY994" s="16"/>
      <c r="AZ994" s="16"/>
      <c r="BA994" s="16"/>
      <c r="BB994" s="16"/>
      <c r="BC994" s="16"/>
      <c r="BD994" s="16"/>
      <c r="BE994" s="16"/>
      <c r="BF994" s="16"/>
      <c r="BG994" s="16"/>
      <c r="BH994" s="16"/>
      <c r="BI994" s="16"/>
      <c r="BJ994" s="16"/>
      <c r="BK994" s="16"/>
      <c r="BL994" s="16"/>
      <c r="BM994" s="16"/>
      <c r="BN994" s="16"/>
      <c r="BO994" s="16"/>
      <c r="BP994" s="16"/>
      <c r="BQ994" s="16"/>
      <c r="BR994" s="16"/>
      <c r="BS994" s="16"/>
      <c r="BT994" s="16"/>
      <c r="BU994" s="16"/>
      <c r="BV994" s="16"/>
      <c r="BW994" s="16"/>
      <c r="BX994" s="16"/>
      <c r="BY994" s="16"/>
      <c r="BZ994" s="16"/>
      <c r="CA994" s="16"/>
      <c r="CB994" s="16"/>
      <c r="CC994" s="16"/>
    </row>
    <row r="995" spans="1:81" ht="13.5" thickBot="1">
      <c r="A995" s="16"/>
      <c r="B995" s="16"/>
      <c r="C995" s="17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  <c r="AT995" s="16"/>
      <c r="AU995" s="16"/>
      <c r="AV995" s="16"/>
      <c r="AW995" s="16"/>
      <c r="AX995" s="16"/>
      <c r="AY995" s="16"/>
      <c r="AZ995" s="16"/>
      <c r="BA995" s="16"/>
      <c r="BB995" s="16"/>
      <c r="BC995" s="16"/>
      <c r="BD995" s="16"/>
      <c r="BE995" s="16"/>
      <c r="BF995" s="16"/>
      <c r="BG995" s="16"/>
      <c r="BH995" s="16"/>
      <c r="BI995" s="16"/>
      <c r="BJ995" s="16"/>
      <c r="BK995" s="16"/>
      <c r="BL995" s="16"/>
      <c r="BM995" s="16"/>
      <c r="BN995" s="16"/>
      <c r="BO995" s="16"/>
      <c r="BP995" s="16"/>
      <c r="BQ995" s="16"/>
      <c r="BR995" s="16"/>
      <c r="BS995" s="16"/>
      <c r="BT995" s="16"/>
      <c r="BU995" s="16"/>
      <c r="BV995" s="16"/>
      <c r="BW995" s="16"/>
      <c r="BX995" s="16"/>
      <c r="BY995" s="16"/>
      <c r="BZ995" s="16"/>
      <c r="CA995" s="16"/>
      <c r="CB995" s="16"/>
      <c r="CC995" s="16"/>
    </row>
    <row r="996" spans="1:81" ht="13.5" thickBot="1">
      <c r="A996" s="16"/>
      <c r="B996" s="16"/>
      <c r="C996" s="17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  <c r="AT996" s="16"/>
      <c r="AU996" s="16"/>
      <c r="AV996" s="16"/>
      <c r="AW996" s="16"/>
      <c r="AX996" s="16"/>
      <c r="AY996" s="16"/>
      <c r="AZ996" s="16"/>
      <c r="BA996" s="16"/>
      <c r="BB996" s="16"/>
      <c r="BC996" s="16"/>
      <c r="BD996" s="16"/>
      <c r="BE996" s="16"/>
      <c r="BF996" s="16"/>
      <c r="BG996" s="16"/>
      <c r="BH996" s="16"/>
      <c r="BI996" s="16"/>
      <c r="BJ996" s="16"/>
      <c r="BK996" s="16"/>
      <c r="BL996" s="16"/>
      <c r="BM996" s="16"/>
      <c r="BN996" s="16"/>
      <c r="BO996" s="16"/>
      <c r="BP996" s="16"/>
      <c r="BQ996" s="16"/>
      <c r="BR996" s="16"/>
      <c r="BS996" s="16"/>
      <c r="BT996" s="16"/>
      <c r="BU996" s="16"/>
      <c r="BV996" s="16"/>
      <c r="BW996" s="16"/>
      <c r="BX996" s="16"/>
      <c r="BY996" s="16"/>
      <c r="BZ996" s="16"/>
      <c r="CA996" s="16"/>
      <c r="CB996" s="16"/>
      <c r="CC996" s="16"/>
    </row>
    <row r="997" spans="1:81" ht="13.5" thickBot="1">
      <c r="A997" s="16"/>
      <c r="B997" s="16"/>
      <c r="C997" s="17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  <c r="AT997" s="16"/>
      <c r="AU997" s="16"/>
      <c r="AV997" s="16"/>
      <c r="AW997" s="16"/>
      <c r="AX997" s="16"/>
      <c r="AY997" s="16"/>
      <c r="AZ997" s="16"/>
      <c r="BA997" s="16"/>
      <c r="BB997" s="16"/>
      <c r="BC997" s="16"/>
      <c r="BD997" s="16"/>
      <c r="BE997" s="16"/>
      <c r="BF997" s="16"/>
      <c r="BG997" s="16"/>
      <c r="BH997" s="16"/>
      <c r="BI997" s="16"/>
      <c r="BJ997" s="16"/>
      <c r="BK997" s="16"/>
      <c r="BL997" s="16"/>
      <c r="BM997" s="16"/>
      <c r="BN997" s="16"/>
      <c r="BO997" s="16"/>
      <c r="BP997" s="16"/>
      <c r="BQ997" s="16"/>
      <c r="BR997" s="16"/>
      <c r="BS997" s="16"/>
      <c r="BT997" s="16"/>
      <c r="BU997" s="16"/>
      <c r="BV997" s="16"/>
      <c r="BW997" s="16"/>
      <c r="BX997" s="16"/>
      <c r="BY997" s="16"/>
      <c r="BZ997" s="16"/>
      <c r="CA997" s="16"/>
      <c r="CB997" s="16"/>
      <c r="CC997" s="16"/>
    </row>
    <row r="998" spans="1:81" ht="13.5" thickBot="1">
      <c r="A998" s="16"/>
      <c r="B998" s="16"/>
      <c r="C998" s="17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  <c r="AT998" s="16"/>
      <c r="AU998" s="16"/>
      <c r="AV998" s="16"/>
      <c r="AW998" s="16"/>
      <c r="AX998" s="16"/>
      <c r="AY998" s="16"/>
      <c r="AZ998" s="16"/>
      <c r="BA998" s="16"/>
      <c r="BB998" s="16"/>
      <c r="BC998" s="16"/>
      <c r="BD998" s="16"/>
      <c r="BE998" s="16"/>
      <c r="BF998" s="16"/>
      <c r="BG998" s="16"/>
      <c r="BH998" s="16"/>
      <c r="BI998" s="16"/>
      <c r="BJ998" s="16"/>
      <c r="BK998" s="16"/>
      <c r="BL998" s="16"/>
      <c r="BM998" s="16"/>
      <c r="BN998" s="16"/>
      <c r="BO998" s="16"/>
      <c r="BP998" s="16"/>
      <c r="BQ998" s="16"/>
      <c r="BR998" s="16"/>
      <c r="BS998" s="16"/>
      <c r="BT998" s="16"/>
      <c r="BU998" s="16"/>
      <c r="BV998" s="16"/>
      <c r="BW998" s="16"/>
      <c r="BX998" s="16"/>
      <c r="BY998" s="16"/>
      <c r="BZ998" s="16"/>
      <c r="CA998" s="16"/>
      <c r="CB998" s="16"/>
      <c r="CC998" s="16"/>
    </row>
    <row r="999" spans="1:81" ht="13.5" thickBot="1">
      <c r="A999" s="16"/>
      <c r="B999" s="16"/>
      <c r="C999" s="17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  <c r="AT999" s="16"/>
      <c r="AU999" s="16"/>
      <c r="AV999" s="16"/>
      <c r="AW999" s="16"/>
      <c r="AX999" s="16"/>
      <c r="AY999" s="16"/>
      <c r="AZ999" s="16"/>
      <c r="BA999" s="16"/>
      <c r="BB999" s="16"/>
      <c r="BC999" s="16"/>
      <c r="BD999" s="16"/>
      <c r="BE999" s="16"/>
      <c r="BF999" s="16"/>
      <c r="BG999" s="16"/>
      <c r="BH999" s="16"/>
      <c r="BI999" s="16"/>
      <c r="BJ999" s="16"/>
      <c r="BK999" s="16"/>
      <c r="BL999" s="16"/>
      <c r="BM999" s="16"/>
      <c r="BN999" s="16"/>
      <c r="BO999" s="16"/>
      <c r="BP999" s="16"/>
      <c r="BQ999" s="16"/>
      <c r="BR999" s="16"/>
      <c r="BS999" s="16"/>
      <c r="BT999" s="16"/>
      <c r="BU999" s="16"/>
      <c r="BV999" s="16"/>
      <c r="BW999" s="16"/>
      <c r="BX999" s="16"/>
      <c r="BY999" s="16"/>
      <c r="BZ999" s="16"/>
      <c r="CA999" s="16"/>
      <c r="CB999" s="16"/>
      <c r="CC999" s="16"/>
    </row>
  </sheetData>
  <mergeCells count="59">
    <mergeCell ref="A2:D2"/>
    <mergeCell ref="A6:A8"/>
    <mergeCell ref="B6:B8"/>
    <mergeCell ref="C6:C8"/>
    <mergeCell ref="D6:D8"/>
    <mergeCell ref="A4:AF4"/>
    <mergeCell ref="A5:AF5"/>
    <mergeCell ref="A3:AF3"/>
    <mergeCell ref="AE7:AF7"/>
    <mergeCell ref="S7:T7"/>
    <mergeCell ref="U7:V7"/>
    <mergeCell ref="W7:X7"/>
    <mergeCell ref="Y7:Z7"/>
    <mergeCell ref="AA7:AB7"/>
    <mergeCell ref="AC7:AD7"/>
    <mergeCell ref="BS6:BX6"/>
    <mergeCell ref="E6:J6"/>
    <mergeCell ref="K6:P6"/>
    <mergeCell ref="Q6:V6"/>
    <mergeCell ref="W6:AB6"/>
    <mergeCell ref="AC6:AH6"/>
    <mergeCell ref="AI6:AN6"/>
    <mergeCell ref="BY6:BZ7"/>
    <mergeCell ref="CA6:CB7"/>
    <mergeCell ref="CC6:CC8"/>
    <mergeCell ref="E7:F7"/>
    <mergeCell ref="G7:H7"/>
    <mergeCell ref="I7:J7"/>
    <mergeCell ref="K7:L7"/>
    <mergeCell ref="M7:N7"/>
    <mergeCell ref="O7:P7"/>
    <mergeCell ref="Q7:R7"/>
    <mergeCell ref="AO6:AT6"/>
    <mergeCell ref="AU6:AZ6"/>
    <mergeCell ref="BA6:BF6"/>
    <mergeCell ref="BG6:BL6"/>
    <mergeCell ref="BM6:BR6"/>
    <mergeCell ref="BG7:BH7"/>
    <mergeCell ref="BI7:BJ7"/>
    <mergeCell ref="BK7:BL7"/>
    <mergeCell ref="BM7:BN7"/>
    <mergeCell ref="AQ7:AR7"/>
    <mergeCell ref="AS7:AT7"/>
    <mergeCell ref="AU7:AV7"/>
    <mergeCell ref="AW7:AX7"/>
    <mergeCell ref="AY7:AZ7"/>
    <mergeCell ref="BA7:BB7"/>
    <mergeCell ref="BC7:BD7"/>
    <mergeCell ref="BE7:BF7"/>
    <mergeCell ref="AG7:AH7"/>
    <mergeCell ref="AI7:AJ7"/>
    <mergeCell ref="AK7:AL7"/>
    <mergeCell ref="AM7:AN7"/>
    <mergeCell ref="AO7:AP7"/>
    <mergeCell ref="BO7:BP7"/>
    <mergeCell ref="BQ7:BR7"/>
    <mergeCell ref="BS7:BT7"/>
    <mergeCell ref="BU7:BV7"/>
    <mergeCell ref="BW7:BX7"/>
  </mergeCells>
  <phoneticPr fontId="2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8"/>
  <dimension ref="A1:AV400"/>
  <sheetViews>
    <sheetView workbookViewId="0">
      <selection activeCell="A3" sqref="A3"/>
    </sheetView>
  </sheetViews>
  <sheetFormatPr defaultRowHeight="12.75"/>
  <cols>
    <col min="1" max="1" width="9.33203125" customWidth="1"/>
    <col min="2" max="4" width="7.6640625" customWidth="1"/>
    <col min="5" max="5" width="11" customWidth="1"/>
    <col min="6" max="8" width="7.83203125" customWidth="1"/>
    <col min="26" max="28" width="8" customWidth="1"/>
    <col min="30" max="32" width="7.83203125" customWidth="1"/>
    <col min="34" max="36" width="7.83203125" customWidth="1"/>
    <col min="38" max="40" width="7.83203125" customWidth="1"/>
    <col min="46" max="46" width="8.6640625" customWidth="1"/>
  </cols>
  <sheetData>
    <row r="1" spans="1:48">
      <c r="A1">
        <f>B1+C1</f>
        <v>0</v>
      </c>
      <c r="B1">
        <f>COUNTIF(C3:C400, "&gt;0")</f>
        <v>0</v>
      </c>
      <c r="C1">
        <f t="array" ref="C1">SUM(IF((D3:D400&lt;&gt;0)*(D3:D400&lt;&gt;"")*(D3:D400&lt;&gt;D2:D399), 1, 0))</f>
        <v>0</v>
      </c>
      <c r="E1">
        <f>F1+G1</f>
        <v>0</v>
      </c>
      <c r="F1">
        <f>COUNTIF(G3:G400, "&gt;0")</f>
        <v>0</v>
      </c>
      <c r="G1">
        <f t="array" ref="G1">SUM(IF((H3:H400&lt;&gt;0)*(H3:H400&lt;&gt;"")*(H3:H400&lt;&gt;H2:H399), 1, 0))</f>
        <v>0</v>
      </c>
      <c r="I1">
        <f>J1+K1</f>
        <v>0</v>
      </c>
      <c r="J1">
        <f>COUNTIF(K3:K400, "&gt;0")</f>
        <v>0</v>
      </c>
      <c r="K1">
        <f t="array" ref="K1">SUM(IF((L3:L400&lt;&gt;0)*(L3:L400&lt;&gt;"")*(L3:L400&lt;&gt;L2:L399), 1, 0))</f>
        <v>0</v>
      </c>
      <c r="M1">
        <f>N1+O1</f>
        <v>0</v>
      </c>
      <c r="N1">
        <f>COUNTIF(O3:O400, "&gt;0")</f>
        <v>0</v>
      </c>
      <c r="O1">
        <f t="array" ref="O1">SUM(IF((P3:P400&lt;&gt;0)*(P3:P400&lt;&gt;"")*(P3:P400&lt;&gt;P2:P399), 1, 0))</f>
        <v>0</v>
      </c>
      <c r="Q1">
        <f>R1+S1</f>
        <v>0</v>
      </c>
      <c r="R1">
        <f>COUNTIF(S3:S400, "&gt;0")</f>
        <v>0</v>
      </c>
      <c r="S1">
        <f t="array" ref="S1">SUM(IF((T3:T400&lt;&gt;0)*(T3:T400&lt;&gt;"")*(T3:T400&lt;&gt;T2:T399), 1, 0))</f>
        <v>0</v>
      </c>
      <c r="U1">
        <f>V1+W1</f>
        <v>0</v>
      </c>
      <c r="V1">
        <f>COUNTIF(W3:W400, "&gt;0")</f>
        <v>0</v>
      </c>
      <c r="W1">
        <f t="array" ref="W1">SUM(IF((X3:X400&lt;&gt;0)*(X3:X400&lt;&gt;"")*(X3:X400&lt;&gt;X2:X399), 1, 0))</f>
        <v>0</v>
      </c>
      <c r="Y1">
        <f>Z1+AA1</f>
        <v>0</v>
      </c>
      <c r="Z1">
        <f>COUNTIF(AA3:AA400, "&gt;0")</f>
        <v>0</v>
      </c>
      <c r="AA1">
        <f t="array" ref="AA1">SUM(IF((AB3:AB400&lt;&gt;0)*(AB3:AB400&lt;&gt;"")*(AB3:AB400&lt;&gt;AB2:AB399), 1, 0))</f>
        <v>0</v>
      </c>
      <c r="AC1">
        <f>AD1+AE1</f>
        <v>0</v>
      </c>
      <c r="AD1">
        <f>COUNTIF(AE3:AE400, "&gt;0")</f>
        <v>0</v>
      </c>
      <c r="AE1">
        <f t="array" ref="AE1">SUM(IF((AF3:AF400&lt;&gt;0)*(AF3:AF400&lt;&gt;"")*(AF3:AF400&lt;&gt;AF2:AF399), 1, 0))</f>
        <v>0</v>
      </c>
      <c r="AG1">
        <f>AH1+AI1</f>
        <v>0</v>
      </c>
      <c r="AH1">
        <f>COUNTIF(AI3:AI400, "&gt;0")</f>
        <v>0</v>
      </c>
      <c r="AI1">
        <f t="array" ref="AI1">SUM(IF((AJ3:AJ400&lt;&gt;0)*(AJ3:AJ400&lt;&gt;"")*(AJ3:AJ400&lt;&gt;AJ2:AJ399), 1, 0))</f>
        <v>0</v>
      </c>
      <c r="AK1">
        <f>AL1+AM1</f>
        <v>0</v>
      </c>
      <c r="AL1">
        <f>COUNTIF(AM3:AM400, "&gt;0")</f>
        <v>0</v>
      </c>
      <c r="AM1">
        <f t="array" ref="AM1">SUM(IF((AN3:AN400&lt;&gt;0)*(AN3:AN400&lt;&gt;"")*(AN3:AN400&lt;&gt;AN2:AN399), 1, 0))</f>
        <v>0</v>
      </c>
      <c r="AO1">
        <f>AP1+AQ1</f>
        <v>0</v>
      </c>
      <c r="AP1">
        <f>COUNTIF(AQ3:AQ400, "&gt;0")</f>
        <v>0</v>
      </c>
      <c r="AQ1">
        <f t="array" ref="AQ1">SUM(IF((AR3:AR400&lt;&gt;0)*(AR3:AR400&lt;&gt;"")*(AR3:AR400&lt;&gt;AR2:AR399), 1, 0))</f>
        <v>0</v>
      </c>
      <c r="AS1">
        <f>AT1+AU1</f>
        <v>0</v>
      </c>
      <c r="AT1">
        <f>COUNTIF(AU3:AU400, "&gt;0")</f>
        <v>0</v>
      </c>
      <c r="AU1">
        <f t="array" ref="AU1">SUM(IF((AV3:AV400&lt;&gt;0)*(AV3:AV400&lt;&gt;"")*(AV3:AV400&lt;&gt;AV2:AV399), 1, 0))</f>
        <v>0</v>
      </c>
    </row>
    <row r="2" spans="1:48" s="40" customFormat="1">
      <c r="A2" s="50">
        <f>SUM(A3:A444)</f>
        <v>0</v>
      </c>
      <c r="E2" s="50">
        <f t="shared" ref="E2:AS2" si="0">SUM(E3:E444)</f>
        <v>0</v>
      </c>
      <c r="I2" s="50">
        <f>SUM(I3:I444)</f>
        <v>0</v>
      </c>
      <c r="M2" s="50">
        <f t="shared" si="0"/>
        <v>0</v>
      </c>
      <c r="Q2" s="50">
        <f t="shared" si="0"/>
        <v>0</v>
      </c>
      <c r="U2" s="50">
        <f t="shared" si="0"/>
        <v>0</v>
      </c>
      <c r="Y2" s="50">
        <f t="shared" si="0"/>
        <v>0</v>
      </c>
      <c r="AC2" s="50">
        <f t="shared" si="0"/>
        <v>0</v>
      </c>
      <c r="AG2" s="50">
        <f t="shared" si="0"/>
        <v>0</v>
      </c>
      <c r="AK2" s="50">
        <f t="shared" si="0"/>
        <v>0</v>
      </c>
      <c r="AO2" s="50">
        <f t="shared" si="0"/>
        <v>0</v>
      </c>
      <c r="AS2" s="50">
        <f t="shared" si="0"/>
        <v>0</v>
      </c>
    </row>
    <row r="3" spans="1:48" ht="15.75" customHeight="1">
      <c r="A3">
        <f>SUMPRODUCT((MONTH(CHOOSE({1,2,3,4},XT!U3,XT!Y3,XT!AC3,XT!AG3))=1)*(CHOOSE({1,2,3,4},XT!X3,XT!AB3,XT!AF3,XT!AJ3)))</f>
        <v>0</v>
      </c>
      <c r="B3">
        <f>IFERROR(INDEX(CHOOSE({1,2,3,4}, DAY(XT!U3), DAY(XT!Y3), DAY(XT!AC3), DAY(XT!AG3)), MATCH(1, INDEX(--(MONTH(CHOOSE({1,2,3,4}, XT!U3,XT!Y3,XT!AC3,XT!AG3))=1), 0), 0)), "")</f>
        <v>0</v>
      </c>
      <c r="C3" s="51" t="str">
        <f>IF(XT!$P3&gt;0,B3,"")</f>
        <v/>
      </c>
      <c r="D3" s="51">
        <f>IF(XT!$P3=0,B3,"")</f>
        <v>0</v>
      </c>
      <c r="E3">
        <f>SUMPRODUCT((MONTH(CHOOSE({1,2,3,4},XT!U3,XT!Y3,XT!AC3,XT!AG3))=2)*(CHOOSE({1,2,3,4},XT!X3,XT!AB3,XT!AF3,XT!AJ3)))</f>
        <v>0</v>
      </c>
      <c r="F3" t="str">
        <f>IFERROR(INDEX(CHOOSE({1,2,3,4}, DAY(XT!U3), DAY(XT!Y3), DAY(XT!AC3), DAY(XT!AG3)), MATCH(1, INDEX(--(MONTH(CHOOSE({1,2,3,4}, XT!U3,XT!Y3,XT!AC3,XT!AG3))=2), 0), 0)), "")</f>
        <v/>
      </c>
      <c r="G3" s="51" t="str">
        <f>IF(XT!$P3&gt;0,F3,"")</f>
        <v/>
      </c>
      <c r="H3" s="51" t="str">
        <f>IF(XT!$P3=0,F3,"")</f>
        <v/>
      </c>
      <c r="I3">
        <f>SUMPRODUCT((MONTH(CHOOSE({1,2,3,4},XT!U3,XT!Y3,XT!AC3,XT!AG3))=3)*(CHOOSE({1,2,3,4},XT!X3,XT!AB3,XT!AF3,XT!AJ3)))</f>
        <v>0</v>
      </c>
      <c r="J3" t="str">
        <f>IFERROR(INDEX(CHOOSE({1,2,3,4}, DAY(XT!U3), DAY(XT!Y3), DAY(XT!AC3), DAY(XT!AG3)), MATCH(1, INDEX(--(MONTH(CHOOSE({1,2,3,4}, XT!U3,XT!Y3,XT!AC3,XT!AG3))=3), 0), 0)), "")</f>
        <v/>
      </c>
      <c r="K3" s="51" t="str">
        <f>IF(XT!$P3&gt;0,J3,"")</f>
        <v/>
      </c>
      <c r="L3" s="51" t="str">
        <f>IF(XT!$P3=0,J3,"")</f>
        <v/>
      </c>
      <c r="M3">
        <f>SUMPRODUCT((MONTH(CHOOSE({1,2,3,4},XT!U3,XT!Y3,XT!AC3,XT!AG3))=4)*(CHOOSE({1,2,3,4},XT!X3,XT!AB3,XT!AF3,XT!AJ3)))</f>
        <v>0</v>
      </c>
      <c r="N3" t="str">
        <f>IFERROR(INDEX(CHOOSE({1,2,3,4}, DAY(XT!U3), DAY(XT!Y3), DAY(XT!AC3), DAY(XT!AG3)), MATCH(1, INDEX(--(MONTH(CHOOSE({1,2,3,4}, XT!U3,XT!Y3,XT!AC3,XT!AG3))=4), 0), 0)), "")</f>
        <v/>
      </c>
      <c r="O3" s="51" t="str">
        <f>IF(XT!$P3&gt;0,N3,"")</f>
        <v/>
      </c>
      <c r="P3" s="51" t="str">
        <f>IF(XT!$P3=0,N3,"")</f>
        <v/>
      </c>
      <c r="Q3">
        <f>SUMPRODUCT((MONTH(CHOOSE({1,2,3,4},XT!U3,XT!Y3,XT!AC3,XT!AG3))=5)*(CHOOSE({1,2,3,4},XT!X3,XT!AB3,XT!AF3,XT!AJ3)))</f>
        <v>0</v>
      </c>
      <c r="R3" t="str">
        <f>IFERROR(INDEX(CHOOSE({1,2,3,4}, DAY(XT!U3), DAY(XT!Y3), DAY(XT!AC3), DAY(XT!AG3)), MATCH(1, INDEX(--(MONTH(CHOOSE({1,2,3,4}, XT!U3,XT!Y3,XT!AC3,XT!AG3))=5), 0), 0)), "")</f>
        <v/>
      </c>
      <c r="S3" s="51" t="str">
        <f>IF(XT!$P3&gt;0,R3,"")</f>
        <v/>
      </c>
      <c r="T3" s="51" t="str">
        <f>IF(XT!$P3=0,R3,"")</f>
        <v/>
      </c>
      <c r="U3">
        <f>SUMPRODUCT((MONTH(CHOOSE({1,2,3,4},XT!U3,XT!Y3,XT!AC3,XT!AG3))=6)*(CHOOSE({1,2,3,4},XT!X3,XT!AB3,XT!AF3,XT!AJ3)))</f>
        <v>0</v>
      </c>
      <c r="V3" t="str">
        <f>IFERROR(INDEX(CHOOSE({1,2,3,4}, DAY(XT!U3), DAY(XT!Y3), DAY(XT!AC3), DAY(XT!AG3)), MATCH(1, INDEX(--(MONTH(CHOOSE({1,2,3,4}, XT!U3,XT!Y3,XT!AC3,XT!AG3))=6), 0), 0)), "")</f>
        <v/>
      </c>
      <c r="W3" s="51" t="str">
        <f>IF(XT!$P3&gt;0,V3,"")</f>
        <v/>
      </c>
      <c r="X3" s="51" t="str">
        <f>IF(XT!$P3=0,V3,"")</f>
        <v/>
      </c>
      <c r="Y3">
        <f>SUMPRODUCT((MONTH(CHOOSE({1,2,3,4},XT!U3,XT!Y3,XT!AC3,XT!AG3))=7)*(CHOOSE({1,2,3,4},XT!X3,XT!AB3,XT!AF3,XT!AJ3)))</f>
        <v>0</v>
      </c>
      <c r="Z3" t="str">
        <f>IFERROR(INDEX(CHOOSE({1,2,3,4}, DAY(XT!U3), DAY(XT!Y3), DAY(XT!AC3), DAY(XT!AG3)), MATCH(1, INDEX(--(MONTH(CHOOSE({1,2,3,4}, XT!U3,XT!Y3,XT!AC3,XT!AG3))=7), 0), 0)), "")</f>
        <v/>
      </c>
      <c r="AA3" s="51" t="str">
        <f>IF(XT!$P3&gt;0,Z3,"")</f>
        <v/>
      </c>
      <c r="AB3" s="51" t="str">
        <f>IF(XT!$P3=0,Z3,"")</f>
        <v/>
      </c>
      <c r="AC3">
        <f>SUMPRODUCT((MONTH(CHOOSE({1,2,3,4},XT!U3,XT!Y3,XT!AC3,XT!AG3))=8)*(CHOOSE({1,2,3,4},XT!X3,XT!AB3,XT!AF3,XT!AJ3)))</f>
        <v>0</v>
      </c>
      <c r="AD3" t="str">
        <f>IFERROR(INDEX(CHOOSE({1,2,3,4}, DAY(XT!U3), DAY(XT!Y3), DAY(XT!AC3), DAY(XT!AG3)), MATCH(1, INDEX(--(MONTH(CHOOSE({1,2,3,4}, XT!U3,XT!Y3,XT!AC3,XT!AG3))=8), 0), 0)), "")</f>
        <v/>
      </c>
      <c r="AE3" s="51" t="str">
        <f>IF(XT!$P3&gt;0,AD3,"")</f>
        <v/>
      </c>
      <c r="AF3" s="51" t="str">
        <f>IF(XT!$P3=0,AD3,"")</f>
        <v/>
      </c>
      <c r="AG3">
        <f>SUMPRODUCT((MONTH(CHOOSE({1,2,3,4},XT!U3,XT!Y3,XT!AC3,XT!AG3))=9)*(CHOOSE({1,2,3,4},XT!X3,XT!AB3,XT!AF3,XT!AJ3)))</f>
        <v>0</v>
      </c>
      <c r="AH3" t="str">
        <f>IFERROR(INDEX(CHOOSE({1,2,3,4}, DAY(XT!U3), DAY(XT!Y3), DAY(XT!AC3), DAY(XT!AG3)), MATCH(1, INDEX(--(MONTH(CHOOSE({1,2,3,4}, XT!U3,XT!Y3,XT!AC3,XT!AG3))=9), 0), 0)), "")</f>
        <v/>
      </c>
      <c r="AI3" s="51" t="str">
        <f>IF(XT!$P3&gt;0,AH3,"")</f>
        <v/>
      </c>
      <c r="AJ3" s="51" t="str">
        <f>IF(XT!$P3=0,AH3,"")</f>
        <v/>
      </c>
      <c r="AK3">
        <f>SUMPRODUCT((MONTH(CHOOSE({1,2,3,4},XT!U3,XT!Y3,XT!AC3,XT!AG3))=10)*(CHOOSE({1,2,3,4},XT!X3,XT!AB3,XT!AF3,XT!AJ3)))</f>
        <v>0</v>
      </c>
      <c r="AL3" t="str">
        <f>IFERROR(INDEX(CHOOSE({1,2,3,4}, DAY(XT!U3), DAY(XT!Y3), DAY(XT!AC3), DAY(XT!AG3)), MATCH(1, INDEX(--(MONTH(CHOOSE({1,2,3,4}, XT!U3,XT!Y3,XT!AC3,XT!AG3))=10), 0), 0)), "")</f>
        <v/>
      </c>
      <c r="AM3" s="51" t="str">
        <f>IF(XT!$P3&gt;0,AL3,"")</f>
        <v/>
      </c>
      <c r="AN3" s="51" t="str">
        <f>IF(XT!$P3=0,AL3,"")</f>
        <v/>
      </c>
      <c r="AO3">
        <f>SUMPRODUCT((MONTH(CHOOSE({1,2,3,4},XT!U3,XT!Y3,XT!AC3,XT!AG3))=11)*(CHOOSE({1,2,3,4},XT!X3,XT!AB3,XT!AF3,XT!AJ3)))</f>
        <v>0</v>
      </c>
      <c r="AP3" t="str">
        <f>IFERROR(INDEX(CHOOSE({1,2,3,4}, DAY(XT!U3), DAY(XT!Y3), DAY(XT!AC3), DAY(XT!AG3)), MATCH(1, INDEX(--(MONTH(CHOOSE({1,2,3,4}, XT!U3,XT!Y3,XT!AC3,XT!AG3))=11), 0), 0)), "")</f>
        <v/>
      </c>
      <c r="AQ3" s="51" t="str">
        <f>IF(XT!$P3&gt;0,AP3,"")</f>
        <v/>
      </c>
      <c r="AR3" s="51" t="str">
        <f>IF(XT!$P3=0,AP3,"")</f>
        <v/>
      </c>
      <c r="AS3">
        <f>SUMPRODUCT((MONTH(CHOOSE({1,2,3,4},XT!U3,XT!Y3,XT!AC3,XT!AG3))=12)*(CHOOSE({1,2,3,4},XT!X3,XT!AB3,XT!AF3,XT!AJ3)))</f>
        <v>0</v>
      </c>
      <c r="AT3" t="str">
        <f>IFERROR(INDEX(CHOOSE({1,2,3,4}, DAY(XT!U3), DAY(XT!Y3), DAY(XT!AC3), DAY(XT!AG3)), MATCH(1, INDEX(--(MONTH(CHOOSE({1,2,3,4}, XT!U3,XT!Y3,XT!AC3,XT!AG3))=12), 0), 0)), "")</f>
        <v/>
      </c>
      <c r="AU3" s="51" t="str">
        <f>IF(XT!$P3&gt;0,AT3,"")</f>
        <v/>
      </c>
      <c r="AV3" s="51" t="str">
        <f>IF(XT!$P3=0,AT3,"")</f>
        <v/>
      </c>
    </row>
    <row r="4" spans="1:48">
      <c r="A4">
        <f>SUMPRODUCT((MONTH(CHOOSE({1,2,3,4},XT!U4,XT!Y4,XT!AC4,XT!AG4))=1)*(CHOOSE({1,2,3,4},XT!X4,XT!AB4,XT!AF4,XT!AJ4)))</f>
        <v>0</v>
      </c>
      <c r="B4">
        <f>IFERROR(INDEX(CHOOSE({1,2,3,4}, DAY(XT!U4), DAY(XT!Y4), DAY(XT!AC4), DAY(XT!AG4)), MATCH(1, INDEX(--(MONTH(CHOOSE({1,2,3,4}, XT!U4,XT!Y4,XT!AC4,XT!AG4))=1), 0), 0)), "")</f>
        <v>0</v>
      </c>
      <c r="C4" s="51" t="str">
        <f>IF(XT!$P4&gt;0,B4,"")</f>
        <v/>
      </c>
      <c r="D4" s="51">
        <f>IF(XT!$P4=0,B4,"")</f>
        <v>0</v>
      </c>
      <c r="E4">
        <f>SUMPRODUCT((MONTH(CHOOSE({1,2,3,4},XT!U4,XT!Y4,XT!AC4,XT!AG4))=2)*(CHOOSE({1,2,3,4},XT!X4,XT!AB4,XT!AF4,XT!AJ4)))</f>
        <v>0</v>
      </c>
      <c r="F4" t="str">
        <f>IFERROR(INDEX(CHOOSE({1,2,3,4}, DAY(XT!U4), DAY(XT!Y4), DAY(XT!AC4), DAY(XT!AG4)), MATCH(1, INDEX(--(MONTH(CHOOSE({1,2,3,4}, XT!U4,XT!Y4,XT!AC4,XT!AG4))=2), 0), 0)), "")</f>
        <v/>
      </c>
      <c r="G4" s="51" t="str">
        <f>IF(XT!$P4&gt;0,F4,"")</f>
        <v/>
      </c>
      <c r="H4" s="51" t="str">
        <f>IF(XT!$P4=0,F4,"")</f>
        <v/>
      </c>
      <c r="I4">
        <f>SUMPRODUCT((MONTH(CHOOSE({1,2,3,4},XT!U4,XT!Y4,XT!AC4,XT!AG4))=3)*(CHOOSE({1,2,3,4},XT!X4,XT!AB4,XT!AF4,XT!AJ4)))</f>
        <v>0</v>
      </c>
      <c r="J4" t="str">
        <f>IFERROR(INDEX(CHOOSE({1,2,3,4}, DAY(XT!U4), DAY(XT!Y4), DAY(XT!AC4), DAY(XT!AG4)), MATCH(1, INDEX(--(MONTH(CHOOSE({1,2,3,4}, XT!U4,XT!Y4,XT!AC4,XT!AG4))=3), 0), 0)), "")</f>
        <v/>
      </c>
      <c r="K4" s="51" t="str">
        <f>IF(XT!$P4&gt;0,J4,"")</f>
        <v/>
      </c>
      <c r="L4" s="51" t="str">
        <f>IF(XT!$P4=0,J4,"")</f>
        <v/>
      </c>
      <c r="M4">
        <f>SUMPRODUCT((MONTH(CHOOSE({1,2,3,4},XT!U4,XT!Y4,XT!AC4,XT!AG4))=4)*(CHOOSE({1,2,3,4},XT!X4,XT!AB4,XT!AF4,XT!AJ4)))</f>
        <v>0</v>
      </c>
      <c r="N4" t="str">
        <f>IFERROR(INDEX(CHOOSE({1,2,3,4}, DAY(XT!U4), DAY(XT!Y4), DAY(XT!AC4), DAY(XT!AG4)), MATCH(1, INDEX(--(MONTH(CHOOSE({1,2,3,4}, XT!U4,XT!Y4,XT!AC4,XT!AG4))=4), 0), 0)), "")</f>
        <v/>
      </c>
      <c r="O4" s="51" t="str">
        <f>IF(XT!$P4&gt;0,N4,"")</f>
        <v/>
      </c>
      <c r="P4" s="51" t="str">
        <f>IF(XT!$P4=0,N4,"")</f>
        <v/>
      </c>
      <c r="Q4">
        <f>SUMPRODUCT((MONTH(CHOOSE({1,2,3,4},XT!U4,XT!Y4,XT!AC4,XT!AG4))=5)*(CHOOSE({1,2,3,4},XT!X4,XT!AB4,XT!AF4,XT!AJ4)))</f>
        <v>0</v>
      </c>
      <c r="R4" t="str">
        <f>IFERROR(INDEX(CHOOSE({1,2,3,4}, DAY(XT!U4), DAY(XT!Y4), DAY(XT!AC4), DAY(XT!AG4)), MATCH(1, INDEX(--(MONTH(CHOOSE({1,2,3,4}, XT!U4,XT!Y4,XT!AC4,XT!AG4))=5), 0), 0)), "")</f>
        <v/>
      </c>
      <c r="S4" s="51" t="str">
        <f>IF(XT!$P4&gt;0,R4,"")</f>
        <v/>
      </c>
      <c r="T4" s="51" t="str">
        <f>IF(XT!$P4=0,R4,"")</f>
        <v/>
      </c>
      <c r="U4">
        <f>SUMPRODUCT((MONTH(CHOOSE({1,2,3,4},XT!U4,XT!Y4,XT!AC4,XT!AG4))=6)*(CHOOSE({1,2,3,4},XT!X4,XT!AB4,XT!AF4,XT!AJ4)))</f>
        <v>0</v>
      </c>
      <c r="V4" t="str">
        <f>IFERROR(INDEX(CHOOSE({1,2,3,4}, DAY(XT!U4), DAY(XT!Y4), DAY(XT!AC4), DAY(XT!AG4)), MATCH(1, INDEX(--(MONTH(CHOOSE({1,2,3,4}, XT!U4,XT!Y4,XT!AC4,XT!AG4))=6), 0), 0)), "")</f>
        <v/>
      </c>
      <c r="W4" s="51" t="str">
        <f>IF(XT!$P4&gt;0,V4,"")</f>
        <v/>
      </c>
      <c r="X4" s="51" t="str">
        <f>IF(XT!$P4=0,V4,"")</f>
        <v/>
      </c>
      <c r="Y4">
        <f>SUMPRODUCT((MONTH(CHOOSE({1,2,3,4},XT!U4,XT!Y4,XT!AC4,XT!AG4))=7)*(CHOOSE({1,2,3,4},XT!X4,XT!AB4,XT!AF4,XT!AJ4)))</f>
        <v>0</v>
      </c>
      <c r="Z4" t="str">
        <f>IFERROR(INDEX(CHOOSE({1,2,3,4}, DAY(XT!U4), DAY(XT!Y4), DAY(XT!AC4), DAY(XT!AG4)), MATCH(1, INDEX(--(MONTH(CHOOSE({1,2,3,4}, XT!U4,XT!Y4,XT!AC4,XT!AG4))=7), 0), 0)), "")</f>
        <v/>
      </c>
      <c r="AA4" s="51" t="str">
        <f>IF(XT!$P4&gt;0,Z4,"")</f>
        <v/>
      </c>
      <c r="AB4" s="51" t="str">
        <f>IF(XT!$P4=0,Z4,"")</f>
        <v/>
      </c>
      <c r="AC4">
        <f>SUMPRODUCT((MONTH(CHOOSE({1,2,3,4},XT!U4,XT!Y4,XT!AC4,XT!AG4))=8)*(CHOOSE({1,2,3,4},XT!X4,XT!AB4,XT!AF4,XT!AJ4)))</f>
        <v>0</v>
      </c>
      <c r="AD4" t="str">
        <f>IFERROR(INDEX(CHOOSE({1,2,3,4}, DAY(XT!U4), DAY(XT!Y4), DAY(XT!AC4), DAY(XT!AG4)), MATCH(1, INDEX(--(MONTH(CHOOSE({1,2,3,4}, XT!U4,XT!Y4,XT!AC4,XT!AG4))=8), 0), 0)), "")</f>
        <v/>
      </c>
      <c r="AE4" s="51" t="str">
        <f>IF(XT!$P4&gt;0,AD4,"")</f>
        <v/>
      </c>
      <c r="AF4" s="51" t="str">
        <f>IF(XT!$P4=0,AD4,"")</f>
        <v/>
      </c>
      <c r="AG4">
        <f>SUMPRODUCT((MONTH(CHOOSE({1,2,3,4},XT!U4,XT!Y4,XT!AC4,XT!AG4))=9)*(CHOOSE({1,2,3,4},XT!X4,XT!AB4,XT!AF4,XT!AJ4)))</f>
        <v>0</v>
      </c>
      <c r="AH4" t="str">
        <f>IFERROR(INDEX(CHOOSE({1,2,3,4}, DAY(XT!U4), DAY(XT!Y4), DAY(XT!AC4), DAY(XT!AG4)), MATCH(1, INDEX(--(MONTH(CHOOSE({1,2,3,4}, XT!U4,XT!Y4,XT!AC4,XT!AG4))=9), 0), 0)), "")</f>
        <v/>
      </c>
      <c r="AI4" s="51" t="str">
        <f>IF(XT!$P4&gt;0,AH4,"")</f>
        <v/>
      </c>
      <c r="AJ4" s="51" t="str">
        <f>IF(XT!$P4=0,AH4,"")</f>
        <v/>
      </c>
      <c r="AK4">
        <f>SUMPRODUCT((MONTH(CHOOSE({1,2,3,4},XT!U4,XT!Y4,XT!AC4,XT!AG4))=10)*(CHOOSE({1,2,3,4},XT!X4,XT!AB4,XT!AF4,XT!AJ4)))</f>
        <v>0</v>
      </c>
      <c r="AL4" t="str">
        <f>IFERROR(INDEX(CHOOSE({1,2,3,4}, DAY(XT!U4), DAY(XT!Y4), DAY(XT!AC4), DAY(XT!AG4)), MATCH(1, INDEX(--(MONTH(CHOOSE({1,2,3,4}, XT!U4,XT!Y4,XT!AC4,XT!AG4))=10), 0), 0)), "")</f>
        <v/>
      </c>
      <c r="AM4" s="51" t="str">
        <f>IF(XT!$P4&gt;0,AL4,"")</f>
        <v/>
      </c>
      <c r="AN4" s="51" t="str">
        <f>IF(XT!$P4=0,AL4,"")</f>
        <v/>
      </c>
      <c r="AO4">
        <f>SUMPRODUCT((MONTH(CHOOSE({1,2,3,4},XT!U4,XT!Y4,XT!AC4,XT!AG4))=11)*(CHOOSE({1,2,3,4},XT!X4,XT!AB4,XT!AF4,XT!AJ4)))</f>
        <v>0</v>
      </c>
      <c r="AP4" t="str">
        <f>IFERROR(INDEX(CHOOSE({1,2,3,4}, DAY(XT!U4), DAY(XT!Y4), DAY(XT!AC4), DAY(XT!AG4)), MATCH(1, INDEX(--(MONTH(CHOOSE({1,2,3,4}, XT!U4,XT!Y4,XT!AC4,XT!AG4))=11), 0), 0)), "")</f>
        <v/>
      </c>
      <c r="AQ4" s="51" t="str">
        <f>IF(XT!$P4&gt;0,AP4,"")</f>
        <v/>
      </c>
      <c r="AR4" s="51" t="str">
        <f>IF(XT!$P4=0,AP4,"")</f>
        <v/>
      </c>
      <c r="AS4">
        <f>SUMPRODUCT((MONTH(CHOOSE({1,2,3,4},XT!U4,XT!Y4,XT!AC4,XT!AG4))=12)*(CHOOSE({1,2,3,4},XT!X4,XT!AB4,XT!AF4,XT!AJ4)))</f>
        <v>0</v>
      </c>
      <c r="AT4" t="str">
        <f>IFERROR(INDEX(CHOOSE({1,2,3,4}, DAY(XT!U4), DAY(XT!Y4), DAY(XT!AC4), DAY(XT!AG4)), MATCH(1, INDEX(--(MONTH(CHOOSE({1,2,3,4}, XT!U4,XT!Y4,XT!AC4,XT!AG4))=12), 0), 0)), "")</f>
        <v/>
      </c>
      <c r="AU4" s="51" t="str">
        <f>IF(XT!$P4&gt;0,AT4,"")</f>
        <v/>
      </c>
      <c r="AV4" s="51" t="str">
        <f>IF(XT!$P4=0,AT4,"")</f>
        <v/>
      </c>
    </row>
    <row r="5" spans="1:48">
      <c r="A5">
        <f>SUMPRODUCT((MONTH(CHOOSE({1,2,3,4},XT!U5,XT!Y5,XT!AC5,XT!AG5))=1)*(CHOOSE({1,2,3,4},XT!X5,XT!AB5,XT!AF5,XT!AJ5)))</f>
        <v>0</v>
      </c>
      <c r="B5">
        <f>IFERROR(INDEX(CHOOSE({1,2,3,4}, DAY(XT!U5), DAY(XT!Y5), DAY(XT!AC5), DAY(XT!AG5)), MATCH(1, INDEX(--(MONTH(CHOOSE({1,2,3,4}, XT!U5,XT!Y5,XT!AC5,XT!AG5))=1), 0), 0)), "")</f>
        <v>0</v>
      </c>
      <c r="C5" s="51" t="str">
        <f>IF(XT!$P5&gt;0,B5,"")</f>
        <v/>
      </c>
      <c r="D5" s="51">
        <f>IF(XT!$P5=0,B5,"")</f>
        <v>0</v>
      </c>
      <c r="E5">
        <f>SUMPRODUCT((MONTH(CHOOSE({1,2,3,4},XT!U5,XT!Y5,XT!AC5,XT!AG5))=2)*(CHOOSE({1,2,3,4},XT!X5,XT!AB5,XT!AF5,XT!AJ5)))</f>
        <v>0</v>
      </c>
      <c r="F5" t="str">
        <f>IFERROR(INDEX(CHOOSE({1,2,3,4}, DAY(XT!U5), DAY(XT!Y5), DAY(XT!AC5), DAY(XT!AG5)), MATCH(1, INDEX(--(MONTH(CHOOSE({1,2,3,4}, XT!U5,XT!Y5,XT!AC5,XT!AG5))=2), 0), 0)), "")</f>
        <v/>
      </c>
      <c r="G5" s="51" t="str">
        <f>IF(XT!$P5&gt;0,F5,"")</f>
        <v/>
      </c>
      <c r="H5" s="51" t="str">
        <f>IF(XT!$P5=0,F5,"")</f>
        <v/>
      </c>
      <c r="I5">
        <f>SUMPRODUCT((MONTH(CHOOSE({1,2,3,4},XT!U5,XT!Y5,XT!AC5,XT!AG5))=3)*(CHOOSE({1,2,3,4},XT!X5,XT!AB5,XT!AF5,XT!AJ5)))</f>
        <v>0</v>
      </c>
      <c r="J5" t="str">
        <f>IFERROR(INDEX(CHOOSE({1,2,3,4}, DAY(XT!U5), DAY(XT!Y5), DAY(XT!AC5), DAY(XT!AG5)), MATCH(1, INDEX(--(MONTH(CHOOSE({1,2,3,4}, XT!U5,XT!Y5,XT!AC5,XT!AG5))=3), 0), 0)), "")</f>
        <v/>
      </c>
      <c r="K5" s="51" t="str">
        <f>IF(XT!$P5&gt;0,J5,"")</f>
        <v/>
      </c>
      <c r="L5" s="51" t="str">
        <f>IF(XT!$P5=0,J5,"")</f>
        <v/>
      </c>
      <c r="M5">
        <f>SUMPRODUCT((MONTH(CHOOSE({1,2,3,4},XT!U5,XT!Y5,XT!AC5,XT!AG5))=4)*(CHOOSE({1,2,3,4},XT!X5,XT!AB5,XT!AF5,XT!AJ5)))</f>
        <v>0</v>
      </c>
      <c r="N5" t="str">
        <f>IFERROR(INDEX(CHOOSE({1,2,3,4}, DAY(XT!U5), DAY(XT!Y5), DAY(XT!AC5), DAY(XT!AG5)), MATCH(1, INDEX(--(MONTH(CHOOSE({1,2,3,4}, XT!U5,XT!Y5,XT!AC5,XT!AG5))=4), 0), 0)), "")</f>
        <v/>
      </c>
      <c r="O5" s="51" t="str">
        <f>IF(XT!$P5&gt;0,N5,"")</f>
        <v/>
      </c>
      <c r="P5" s="51" t="str">
        <f>IF(XT!$P5=0,N5,"")</f>
        <v/>
      </c>
      <c r="Q5">
        <f>SUMPRODUCT((MONTH(CHOOSE({1,2,3,4},XT!U5,XT!Y5,XT!AC5,XT!AG5))=5)*(CHOOSE({1,2,3,4},XT!X5,XT!AB5,XT!AF5,XT!AJ5)))</f>
        <v>0</v>
      </c>
      <c r="R5" t="str">
        <f>IFERROR(INDEX(CHOOSE({1,2,3,4}, DAY(XT!U5), DAY(XT!Y5), DAY(XT!AC5), DAY(XT!AG5)), MATCH(1, INDEX(--(MONTH(CHOOSE({1,2,3,4}, XT!U5,XT!Y5,XT!AC5,XT!AG5))=5), 0), 0)), "")</f>
        <v/>
      </c>
      <c r="S5" s="51" t="str">
        <f>IF(XT!$P5&gt;0,R5,"")</f>
        <v/>
      </c>
      <c r="T5" s="51" t="str">
        <f>IF(XT!$P5=0,R5,"")</f>
        <v/>
      </c>
      <c r="U5">
        <f>SUMPRODUCT((MONTH(CHOOSE({1,2,3,4},XT!U5,XT!Y5,XT!AC5,XT!AG5))=6)*(CHOOSE({1,2,3,4},XT!X5,XT!AB5,XT!AF5,XT!AJ5)))</f>
        <v>0</v>
      </c>
      <c r="V5" t="str">
        <f>IFERROR(INDEX(CHOOSE({1,2,3,4}, DAY(XT!U5), DAY(XT!Y5), DAY(XT!AC5), DAY(XT!AG5)), MATCH(1, INDEX(--(MONTH(CHOOSE({1,2,3,4}, XT!U5,XT!Y5,XT!AC5,XT!AG5))=6), 0), 0)), "")</f>
        <v/>
      </c>
      <c r="W5" s="51" t="str">
        <f>IF(XT!$P5&gt;0,V5,"")</f>
        <v/>
      </c>
      <c r="X5" s="51" t="str">
        <f>IF(XT!$P5=0,V5,"")</f>
        <v/>
      </c>
      <c r="Y5">
        <f>SUMPRODUCT((MONTH(CHOOSE({1,2,3,4},XT!U5,XT!Y5,XT!AC5,XT!AG5))=7)*(CHOOSE({1,2,3,4},XT!X5,XT!AB5,XT!AF5,XT!AJ5)))</f>
        <v>0</v>
      </c>
      <c r="Z5" t="str">
        <f>IFERROR(INDEX(CHOOSE({1,2,3,4}, DAY(XT!U5), DAY(XT!Y5), DAY(XT!AC5), DAY(XT!AG5)), MATCH(1, INDEX(--(MONTH(CHOOSE({1,2,3,4}, XT!U5,XT!Y5,XT!AC5,XT!AG5))=7), 0), 0)), "")</f>
        <v/>
      </c>
      <c r="AA5" s="51" t="str">
        <f>IF(XT!$P5&gt;0,Z5,"")</f>
        <v/>
      </c>
      <c r="AB5" s="51" t="str">
        <f>IF(XT!$P5=0,Z5,"")</f>
        <v/>
      </c>
      <c r="AC5">
        <f>SUMPRODUCT((MONTH(CHOOSE({1,2,3,4},XT!U5,XT!Y5,XT!AC5,XT!AG5))=8)*(CHOOSE({1,2,3,4},XT!X5,XT!AB5,XT!AF5,XT!AJ5)))</f>
        <v>0</v>
      </c>
      <c r="AD5" t="str">
        <f>IFERROR(INDEX(CHOOSE({1,2,3,4}, DAY(XT!U5), DAY(XT!Y5), DAY(XT!AC5), DAY(XT!AG5)), MATCH(1, INDEX(--(MONTH(CHOOSE({1,2,3,4}, XT!U5,XT!Y5,XT!AC5,XT!AG5))=8), 0), 0)), "")</f>
        <v/>
      </c>
      <c r="AE5" s="51" t="str">
        <f>IF(XT!$P5&gt;0,AD5,"")</f>
        <v/>
      </c>
      <c r="AF5" s="51" t="str">
        <f>IF(XT!$P5=0,AD5,"")</f>
        <v/>
      </c>
      <c r="AG5">
        <f>SUMPRODUCT((MONTH(CHOOSE({1,2,3,4},XT!U5,XT!Y5,XT!AC5,XT!AG5))=9)*(CHOOSE({1,2,3,4},XT!X5,XT!AB5,XT!AF5,XT!AJ5)))</f>
        <v>0</v>
      </c>
      <c r="AH5" t="str">
        <f>IFERROR(INDEX(CHOOSE({1,2,3,4}, DAY(XT!U5), DAY(XT!Y5), DAY(XT!AC5), DAY(XT!AG5)), MATCH(1, INDEX(--(MONTH(CHOOSE({1,2,3,4}, XT!U5,XT!Y5,XT!AC5,XT!AG5))=9), 0), 0)), "")</f>
        <v/>
      </c>
      <c r="AI5" s="51" t="str">
        <f>IF(XT!$P5&gt;0,AH5,"")</f>
        <v/>
      </c>
      <c r="AJ5" s="51" t="str">
        <f>IF(XT!$P5=0,AH5,"")</f>
        <v/>
      </c>
      <c r="AK5">
        <f>SUMPRODUCT((MONTH(CHOOSE({1,2,3,4},XT!U5,XT!Y5,XT!AC5,XT!AG5))=10)*(CHOOSE({1,2,3,4},XT!X5,XT!AB5,XT!AF5,XT!AJ5)))</f>
        <v>0</v>
      </c>
      <c r="AL5" t="str">
        <f>IFERROR(INDEX(CHOOSE({1,2,3,4}, DAY(XT!U5), DAY(XT!Y5), DAY(XT!AC5), DAY(XT!AG5)), MATCH(1, INDEX(--(MONTH(CHOOSE({1,2,3,4}, XT!U5,XT!Y5,XT!AC5,XT!AG5))=10), 0), 0)), "")</f>
        <v/>
      </c>
      <c r="AM5" s="51" t="str">
        <f>IF(XT!$P5&gt;0,AL5,"")</f>
        <v/>
      </c>
      <c r="AN5" s="51" t="str">
        <f>IF(XT!$P5=0,AL5,"")</f>
        <v/>
      </c>
      <c r="AO5">
        <f>SUMPRODUCT((MONTH(CHOOSE({1,2,3,4},XT!U5,XT!Y5,XT!AC5,XT!AG5))=11)*(CHOOSE({1,2,3,4},XT!X5,XT!AB5,XT!AF5,XT!AJ5)))</f>
        <v>0</v>
      </c>
      <c r="AP5" t="str">
        <f>IFERROR(INDEX(CHOOSE({1,2,3,4}, DAY(XT!U5), DAY(XT!Y5), DAY(XT!AC5), DAY(XT!AG5)), MATCH(1, INDEX(--(MONTH(CHOOSE({1,2,3,4}, XT!U5,XT!Y5,XT!AC5,XT!AG5))=11), 0), 0)), "")</f>
        <v/>
      </c>
      <c r="AQ5" s="51" t="str">
        <f>IF(XT!$P5&gt;0,AP5,"")</f>
        <v/>
      </c>
      <c r="AR5" s="51" t="str">
        <f>IF(XT!$P5=0,AP5,"")</f>
        <v/>
      </c>
      <c r="AS5">
        <f>SUMPRODUCT((MONTH(CHOOSE({1,2,3,4},XT!U5,XT!Y5,XT!AC5,XT!AG5))=12)*(CHOOSE({1,2,3,4},XT!X5,XT!AB5,XT!AF5,XT!AJ5)))</f>
        <v>0</v>
      </c>
      <c r="AT5" t="str">
        <f>IFERROR(INDEX(CHOOSE({1,2,3,4}, DAY(XT!U5), DAY(XT!Y5), DAY(XT!AC5), DAY(XT!AG5)), MATCH(1, INDEX(--(MONTH(CHOOSE({1,2,3,4}, XT!U5,XT!Y5,XT!AC5,XT!AG5))=12), 0), 0)), "")</f>
        <v/>
      </c>
      <c r="AU5" s="51" t="str">
        <f>IF(XT!$P5&gt;0,AT5,"")</f>
        <v/>
      </c>
      <c r="AV5" s="51" t="str">
        <f>IF(XT!$P5=0,AT5,"")</f>
        <v/>
      </c>
    </row>
    <row r="6" spans="1:48">
      <c r="A6">
        <f>SUMPRODUCT((MONTH(CHOOSE({1,2,3,4},XT!U6,XT!Y6,XT!AC6,XT!AG6))=1)*(CHOOSE({1,2,3,4},XT!X6,XT!AB6,XT!AF6,XT!AJ6)))</f>
        <v>0</v>
      </c>
      <c r="B6">
        <f>IFERROR(INDEX(CHOOSE({1,2,3,4}, DAY(XT!U6), DAY(XT!Y6), DAY(XT!AC6), DAY(XT!AG6)), MATCH(1, INDEX(--(MONTH(CHOOSE({1,2,3,4}, XT!U6,XT!Y6,XT!AC6,XT!AG6))=1), 0), 0)), "")</f>
        <v>0</v>
      </c>
      <c r="C6" s="51" t="str">
        <f>IF(XT!$P6&gt;0,B6,"")</f>
        <v/>
      </c>
      <c r="D6" s="51">
        <f>IF(XT!$P6=0,B6,"")</f>
        <v>0</v>
      </c>
      <c r="E6">
        <f>SUMPRODUCT((MONTH(CHOOSE({1,2,3,4},XT!U6,XT!Y6,XT!AC6,XT!AG6))=2)*(CHOOSE({1,2,3,4},XT!X6,XT!AB6,XT!AF6,XT!AJ6)))</f>
        <v>0</v>
      </c>
      <c r="F6" t="str">
        <f>IFERROR(INDEX(CHOOSE({1,2,3,4}, DAY(XT!U6), DAY(XT!Y6), DAY(XT!AC6), DAY(XT!AG6)), MATCH(1, INDEX(--(MONTH(CHOOSE({1,2,3,4}, XT!U6,XT!Y6,XT!AC6,XT!AG6))=2), 0), 0)), "")</f>
        <v/>
      </c>
      <c r="G6" s="51" t="str">
        <f>IF(XT!$P6&gt;0,F6,"")</f>
        <v/>
      </c>
      <c r="H6" s="51" t="str">
        <f>IF(XT!$P6=0,F6,"")</f>
        <v/>
      </c>
      <c r="I6">
        <f>SUMPRODUCT((MONTH(CHOOSE({1,2,3,4},XT!U6,XT!Y6,XT!AC6,XT!AG6))=3)*(CHOOSE({1,2,3,4},XT!X6,XT!AB6,XT!AF6,XT!AJ6)))</f>
        <v>0</v>
      </c>
      <c r="J6" t="str">
        <f>IFERROR(INDEX(CHOOSE({1,2,3,4}, DAY(XT!U6), DAY(XT!Y6), DAY(XT!AC6), DAY(XT!AG6)), MATCH(1, INDEX(--(MONTH(CHOOSE({1,2,3,4}, XT!U6,XT!Y6,XT!AC6,XT!AG6))=3), 0), 0)), "")</f>
        <v/>
      </c>
      <c r="K6" s="51" t="str">
        <f>IF(XT!$P6&gt;0,J6,"")</f>
        <v/>
      </c>
      <c r="L6" s="51" t="str">
        <f>IF(XT!$P6=0,J6,"")</f>
        <v/>
      </c>
      <c r="M6">
        <f>SUMPRODUCT((MONTH(CHOOSE({1,2,3,4},XT!U6,XT!Y6,XT!AC6,XT!AG6))=4)*(CHOOSE({1,2,3,4},XT!X6,XT!AB6,XT!AF6,XT!AJ6)))</f>
        <v>0</v>
      </c>
      <c r="N6" t="str">
        <f>IFERROR(INDEX(CHOOSE({1,2,3,4}, DAY(XT!U6), DAY(XT!Y6), DAY(XT!AC6), DAY(XT!AG6)), MATCH(1, INDEX(--(MONTH(CHOOSE({1,2,3,4}, XT!U6,XT!Y6,XT!AC6,XT!AG6))=4), 0), 0)), "")</f>
        <v/>
      </c>
      <c r="O6" s="51" t="str">
        <f>IF(XT!$P6&gt;0,N6,"")</f>
        <v/>
      </c>
      <c r="P6" s="51" t="str">
        <f>IF(XT!$P6=0,N6,"")</f>
        <v/>
      </c>
      <c r="Q6">
        <f>SUMPRODUCT((MONTH(CHOOSE({1,2,3,4},XT!U6,XT!Y6,XT!AC6,XT!AG6))=5)*(CHOOSE({1,2,3,4},XT!X6,XT!AB6,XT!AF6,XT!AJ6)))</f>
        <v>0</v>
      </c>
      <c r="R6" t="str">
        <f>IFERROR(INDEX(CHOOSE({1,2,3,4}, DAY(XT!U6), DAY(XT!Y6), DAY(XT!AC6), DAY(XT!AG6)), MATCH(1, INDEX(--(MONTH(CHOOSE({1,2,3,4}, XT!U6,XT!Y6,XT!AC6,XT!AG6))=5), 0), 0)), "")</f>
        <v/>
      </c>
      <c r="S6" s="51" t="str">
        <f>IF(XT!$P6&gt;0,R6,"")</f>
        <v/>
      </c>
      <c r="T6" s="51" t="str">
        <f>IF(XT!$P6=0,R6,"")</f>
        <v/>
      </c>
      <c r="U6">
        <f>SUMPRODUCT((MONTH(CHOOSE({1,2,3,4},XT!U6,XT!Y6,XT!AC6,XT!AG6))=6)*(CHOOSE({1,2,3,4},XT!X6,XT!AB6,XT!AF6,XT!AJ6)))</f>
        <v>0</v>
      </c>
      <c r="V6" t="str">
        <f>IFERROR(INDEX(CHOOSE({1,2,3,4}, DAY(XT!U6), DAY(XT!Y6), DAY(XT!AC6), DAY(XT!AG6)), MATCH(1, INDEX(--(MONTH(CHOOSE({1,2,3,4}, XT!U6,XT!Y6,XT!AC6,XT!AG6))=6), 0), 0)), "")</f>
        <v/>
      </c>
      <c r="W6" s="51" t="str">
        <f>IF(XT!$P6&gt;0,V6,"")</f>
        <v/>
      </c>
      <c r="X6" s="51" t="str">
        <f>IF(XT!$P6=0,V6,"")</f>
        <v/>
      </c>
      <c r="Y6">
        <f>SUMPRODUCT((MONTH(CHOOSE({1,2,3,4},XT!U6,XT!Y6,XT!AC6,XT!AG6))=7)*(CHOOSE({1,2,3,4},XT!X6,XT!AB6,XT!AF6,XT!AJ6)))</f>
        <v>0</v>
      </c>
      <c r="Z6" t="str">
        <f>IFERROR(INDEX(CHOOSE({1,2,3,4}, DAY(XT!U6), DAY(XT!Y6), DAY(XT!AC6), DAY(XT!AG6)), MATCH(1, INDEX(--(MONTH(CHOOSE({1,2,3,4}, XT!U6,XT!Y6,XT!AC6,XT!AG6))=7), 0), 0)), "")</f>
        <v/>
      </c>
      <c r="AA6" s="51" t="str">
        <f>IF(XT!$P6&gt;0,Z6,"")</f>
        <v/>
      </c>
      <c r="AB6" s="51" t="str">
        <f>IF(XT!$P6=0,Z6,"")</f>
        <v/>
      </c>
      <c r="AC6">
        <f>SUMPRODUCT((MONTH(CHOOSE({1,2,3,4},XT!U6,XT!Y6,XT!AC6,XT!AG6))=8)*(CHOOSE({1,2,3,4},XT!X6,XT!AB6,XT!AF6,XT!AJ6)))</f>
        <v>0</v>
      </c>
      <c r="AD6" t="str">
        <f>IFERROR(INDEX(CHOOSE({1,2,3,4}, DAY(XT!U6), DAY(XT!Y6), DAY(XT!AC6), DAY(XT!AG6)), MATCH(1, INDEX(--(MONTH(CHOOSE({1,2,3,4}, XT!U6,XT!Y6,XT!AC6,XT!AG6))=8), 0), 0)), "")</f>
        <v/>
      </c>
      <c r="AE6" s="51" t="str">
        <f>IF(XT!$P6&gt;0,AD6,"")</f>
        <v/>
      </c>
      <c r="AF6" s="51" t="str">
        <f>IF(XT!$P6=0,AD6,"")</f>
        <v/>
      </c>
      <c r="AG6">
        <f>SUMPRODUCT((MONTH(CHOOSE({1,2,3,4},XT!U6,XT!Y6,XT!AC6,XT!AG6))=9)*(CHOOSE({1,2,3,4},XT!X6,XT!AB6,XT!AF6,XT!AJ6)))</f>
        <v>0</v>
      </c>
      <c r="AH6" t="str">
        <f>IFERROR(INDEX(CHOOSE({1,2,3,4}, DAY(XT!U6), DAY(XT!Y6), DAY(XT!AC6), DAY(XT!AG6)), MATCH(1, INDEX(--(MONTH(CHOOSE({1,2,3,4}, XT!U6,XT!Y6,XT!AC6,XT!AG6))=9), 0), 0)), "")</f>
        <v/>
      </c>
      <c r="AI6" s="51" t="str">
        <f>IF(XT!$P6&gt;0,AH6,"")</f>
        <v/>
      </c>
      <c r="AJ6" s="51" t="str">
        <f>IF(XT!$P6=0,AH6,"")</f>
        <v/>
      </c>
      <c r="AK6">
        <f>SUMPRODUCT((MONTH(CHOOSE({1,2,3,4},XT!U6,XT!Y6,XT!AC6,XT!AG6))=10)*(CHOOSE({1,2,3,4},XT!X6,XT!AB6,XT!AF6,XT!AJ6)))</f>
        <v>0</v>
      </c>
      <c r="AL6" t="str">
        <f>IFERROR(INDEX(CHOOSE({1,2,3,4}, DAY(XT!U6), DAY(XT!Y6), DAY(XT!AC6), DAY(XT!AG6)), MATCH(1, INDEX(--(MONTH(CHOOSE({1,2,3,4}, XT!U6,XT!Y6,XT!AC6,XT!AG6))=10), 0), 0)), "")</f>
        <v/>
      </c>
      <c r="AM6" s="51" t="str">
        <f>IF(XT!$P6&gt;0,AL6,"")</f>
        <v/>
      </c>
      <c r="AN6" s="51" t="str">
        <f>IF(XT!$P6=0,AL6,"")</f>
        <v/>
      </c>
      <c r="AO6">
        <f>SUMPRODUCT((MONTH(CHOOSE({1,2,3,4},XT!U6,XT!Y6,XT!AC6,XT!AG6))=11)*(CHOOSE({1,2,3,4},XT!X6,XT!AB6,XT!AF6,XT!AJ6)))</f>
        <v>0</v>
      </c>
      <c r="AP6" t="str">
        <f>IFERROR(INDEX(CHOOSE({1,2,3,4}, DAY(XT!U6), DAY(XT!Y6), DAY(XT!AC6), DAY(XT!AG6)), MATCH(1, INDEX(--(MONTH(CHOOSE({1,2,3,4}, XT!U6,XT!Y6,XT!AC6,XT!AG6))=11), 0), 0)), "")</f>
        <v/>
      </c>
      <c r="AQ6" s="51" t="str">
        <f>IF(XT!$P6&gt;0,AP6,"")</f>
        <v/>
      </c>
      <c r="AR6" s="51" t="str">
        <f>IF(XT!$P6=0,AP6,"")</f>
        <v/>
      </c>
      <c r="AS6">
        <f>SUMPRODUCT((MONTH(CHOOSE({1,2,3,4},XT!U6,XT!Y6,XT!AC6,XT!AG6))=12)*(CHOOSE({1,2,3,4},XT!X6,XT!AB6,XT!AF6,XT!AJ6)))</f>
        <v>0</v>
      </c>
      <c r="AT6" t="str">
        <f>IFERROR(INDEX(CHOOSE({1,2,3,4}, DAY(XT!U6), DAY(XT!Y6), DAY(XT!AC6), DAY(XT!AG6)), MATCH(1, INDEX(--(MONTH(CHOOSE({1,2,3,4}, XT!U6,XT!Y6,XT!AC6,XT!AG6))=12), 0), 0)), "")</f>
        <v/>
      </c>
      <c r="AU6" s="51" t="str">
        <f>IF(XT!$P6&gt;0,AT6,"")</f>
        <v/>
      </c>
      <c r="AV6" s="51" t="str">
        <f>IF(XT!$P6=0,AT6,"")</f>
        <v/>
      </c>
    </row>
    <row r="7" spans="1:48">
      <c r="A7">
        <f>SUMPRODUCT((MONTH(CHOOSE({1,2,3,4},XT!U7,XT!Y7,XT!AC7,XT!AG7))=1)*(CHOOSE({1,2,3,4},XT!X7,XT!AB7,XT!AF7,XT!AJ7)))</f>
        <v>0</v>
      </c>
      <c r="B7">
        <f>IFERROR(INDEX(CHOOSE({1,2,3,4}, DAY(XT!U7), DAY(XT!Y7), DAY(XT!AC7), DAY(XT!AG7)), MATCH(1, INDEX(--(MONTH(CHOOSE({1,2,3,4}, XT!U7,XT!Y7,XT!AC7,XT!AG7))=1), 0), 0)), "")</f>
        <v>0</v>
      </c>
      <c r="C7" s="51" t="str">
        <f>IF(XT!$P7&gt;0,B7,"")</f>
        <v/>
      </c>
      <c r="D7" s="51">
        <f>IF(XT!$P7=0,B7,"")</f>
        <v>0</v>
      </c>
      <c r="E7">
        <f>SUMPRODUCT((MONTH(CHOOSE({1,2,3,4},XT!U7,XT!Y7,XT!AC7,XT!AG7))=2)*(CHOOSE({1,2,3,4},XT!X7,XT!AB7,XT!AF7,XT!AJ7)))</f>
        <v>0</v>
      </c>
      <c r="F7" t="str">
        <f>IFERROR(INDEX(CHOOSE({1,2,3,4}, DAY(XT!U7), DAY(XT!Y7), DAY(XT!AC7), DAY(XT!AG7)), MATCH(1, INDEX(--(MONTH(CHOOSE({1,2,3,4}, XT!U7,XT!Y7,XT!AC7,XT!AG7))=2), 0), 0)), "")</f>
        <v/>
      </c>
      <c r="G7" s="51" t="str">
        <f>IF(XT!$P7&gt;0,F7,"")</f>
        <v/>
      </c>
      <c r="H7" s="51" t="str">
        <f>IF(XT!$P7=0,F7,"")</f>
        <v/>
      </c>
      <c r="I7">
        <f>SUMPRODUCT((MONTH(CHOOSE({1,2,3,4},XT!U7,XT!Y7,XT!AC7,XT!AG7))=3)*(CHOOSE({1,2,3,4},XT!X7,XT!AB7,XT!AF7,XT!AJ7)))</f>
        <v>0</v>
      </c>
      <c r="J7" t="str">
        <f>IFERROR(INDEX(CHOOSE({1,2,3,4}, DAY(XT!U7), DAY(XT!Y7), DAY(XT!AC7), DAY(XT!AG7)), MATCH(1, INDEX(--(MONTH(CHOOSE({1,2,3,4}, XT!U7,XT!Y7,XT!AC7,XT!AG7))=3), 0), 0)), "")</f>
        <v/>
      </c>
      <c r="K7" s="51" t="str">
        <f>IF(XT!$P7&gt;0,J7,"")</f>
        <v/>
      </c>
      <c r="L7" s="51" t="str">
        <f>IF(XT!$P7=0,J7,"")</f>
        <v/>
      </c>
      <c r="M7">
        <f>SUMPRODUCT((MONTH(CHOOSE({1,2,3,4},XT!U7,XT!Y7,XT!AC7,XT!AG7))=4)*(CHOOSE({1,2,3,4},XT!X7,XT!AB7,XT!AF7,XT!AJ7)))</f>
        <v>0</v>
      </c>
      <c r="N7" t="str">
        <f>IFERROR(INDEX(CHOOSE({1,2,3,4}, DAY(XT!U7), DAY(XT!Y7), DAY(XT!AC7), DAY(XT!AG7)), MATCH(1, INDEX(--(MONTH(CHOOSE({1,2,3,4}, XT!U7,XT!Y7,XT!AC7,XT!AG7))=4), 0), 0)), "")</f>
        <v/>
      </c>
      <c r="O7" s="51" t="str">
        <f>IF(XT!$P7&gt;0,N7,"")</f>
        <v/>
      </c>
      <c r="P7" s="51" t="str">
        <f>IF(XT!$P7=0,N7,"")</f>
        <v/>
      </c>
      <c r="Q7">
        <f>SUMPRODUCT((MONTH(CHOOSE({1,2,3,4},XT!U7,XT!Y7,XT!AC7,XT!AG7))=5)*(CHOOSE({1,2,3,4},XT!X7,XT!AB7,XT!AF7,XT!AJ7)))</f>
        <v>0</v>
      </c>
      <c r="R7" t="str">
        <f>IFERROR(INDEX(CHOOSE({1,2,3,4}, DAY(XT!U7), DAY(XT!Y7), DAY(XT!AC7), DAY(XT!AG7)), MATCH(1, INDEX(--(MONTH(CHOOSE({1,2,3,4}, XT!U7,XT!Y7,XT!AC7,XT!AG7))=5), 0), 0)), "")</f>
        <v/>
      </c>
      <c r="S7" s="51" t="str">
        <f>IF(XT!$P7&gt;0,R7,"")</f>
        <v/>
      </c>
      <c r="T7" s="51" t="str">
        <f>IF(XT!$P7=0,R7,"")</f>
        <v/>
      </c>
      <c r="U7">
        <f>SUMPRODUCT((MONTH(CHOOSE({1,2,3,4},XT!U7,XT!Y7,XT!AC7,XT!AG7))=6)*(CHOOSE({1,2,3,4},XT!X7,XT!AB7,XT!AF7,XT!AJ7)))</f>
        <v>0</v>
      </c>
      <c r="V7" t="str">
        <f>IFERROR(INDEX(CHOOSE({1,2,3,4}, DAY(XT!U7), DAY(XT!Y7), DAY(XT!AC7), DAY(XT!AG7)), MATCH(1, INDEX(--(MONTH(CHOOSE({1,2,3,4}, XT!U7,XT!Y7,XT!AC7,XT!AG7))=6), 0), 0)), "")</f>
        <v/>
      </c>
      <c r="W7" s="51" t="str">
        <f>IF(XT!$P7&gt;0,V7,"")</f>
        <v/>
      </c>
      <c r="X7" s="51" t="str">
        <f>IF(XT!$P7=0,V7,"")</f>
        <v/>
      </c>
      <c r="Y7">
        <f>SUMPRODUCT((MONTH(CHOOSE({1,2,3,4},XT!U7,XT!Y7,XT!AC7,XT!AG7))=7)*(CHOOSE({1,2,3,4},XT!X7,XT!AB7,XT!AF7,XT!AJ7)))</f>
        <v>0</v>
      </c>
      <c r="Z7" t="str">
        <f>IFERROR(INDEX(CHOOSE({1,2,3,4}, DAY(XT!U7), DAY(XT!Y7), DAY(XT!AC7), DAY(XT!AG7)), MATCH(1, INDEX(--(MONTH(CHOOSE({1,2,3,4}, XT!U7,XT!Y7,XT!AC7,XT!AG7))=7), 0), 0)), "")</f>
        <v/>
      </c>
      <c r="AA7" s="51" t="str">
        <f>IF(XT!$P7&gt;0,Z7,"")</f>
        <v/>
      </c>
      <c r="AB7" s="51" t="str">
        <f>IF(XT!$P7=0,Z7,"")</f>
        <v/>
      </c>
      <c r="AC7">
        <f>SUMPRODUCT((MONTH(CHOOSE({1,2,3,4},XT!U7,XT!Y7,XT!AC7,XT!AG7))=8)*(CHOOSE({1,2,3,4},XT!X7,XT!AB7,XT!AF7,XT!AJ7)))</f>
        <v>0</v>
      </c>
      <c r="AD7" t="str">
        <f>IFERROR(INDEX(CHOOSE({1,2,3,4}, DAY(XT!U7), DAY(XT!Y7), DAY(XT!AC7), DAY(XT!AG7)), MATCH(1, INDEX(--(MONTH(CHOOSE({1,2,3,4}, XT!U7,XT!Y7,XT!AC7,XT!AG7))=8), 0), 0)), "")</f>
        <v/>
      </c>
      <c r="AE7" s="51" t="str">
        <f>IF(XT!$P7&gt;0,AD7,"")</f>
        <v/>
      </c>
      <c r="AF7" s="51" t="str">
        <f>IF(XT!$P7=0,AD7,"")</f>
        <v/>
      </c>
      <c r="AG7">
        <f>SUMPRODUCT((MONTH(CHOOSE({1,2,3,4},XT!U7,XT!Y7,XT!AC7,XT!AG7))=9)*(CHOOSE({1,2,3,4},XT!X7,XT!AB7,XT!AF7,XT!AJ7)))</f>
        <v>0</v>
      </c>
      <c r="AH7" t="str">
        <f>IFERROR(INDEX(CHOOSE({1,2,3,4}, DAY(XT!U7), DAY(XT!Y7), DAY(XT!AC7), DAY(XT!AG7)), MATCH(1, INDEX(--(MONTH(CHOOSE({1,2,3,4}, XT!U7,XT!Y7,XT!AC7,XT!AG7))=9), 0), 0)), "")</f>
        <v/>
      </c>
      <c r="AI7" s="51" t="str">
        <f>IF(XT!$P7&gt;0,AH7,"")</f>
        <v/>
      </c>
      <c r="AJ7" s="51" t="str">
        <f>IF(XT!$P7=0,AH7,"")</f>
        <v/>
      </c>
      <c r="AK7">
        <f>SUMPRODUCT((MONTH(CHOOSE({1,2,3,4},XT!U7,XT!Y7,XT!AC7,XT!AG7))=10)*(CHOOSE({1,2,3,4},XT!X7,XT!AB7,XT!AF7,XT!AJ7)))</f>
        <v>0</v>
      </c>
      <c r="AL7" t="str">
        <f>IFERROR(INDEX(CHOOSE({1,2,3,4}, DAY(XT!U7), DAY(XT!Y7), DAY(XT!AC7), DAY(XT!AG7)), MATCH(1, INDEX(--(MONTH(CHOOSE({1,2,3,4}, XT!U7,XT!Y7,XT!AC7,XT!AG7))=10), 0), 0)), "")</f>
        <v/>
      </c>
      <c r="AM7" s="51" t="str">
        <f>IF(XT!$P7&gt;0,AL7,"")</f>
        <v/>
      </c>
      <c r="AN7" s="51" t="str">
        <f>IF(XT!$P7=0,AL7,"")</f>
        <v/>
      </c>
      <c r="AO7">
        <f>SUMPRODUCT((MONTH(CHOOSE({1,2,3,4},XT!U7,XT!Y7,XT!AC7,XT!AG7))=11)*(CHOOSE({1,2,3,4},XT!X7,XT!AB7,XT!AF7,XT!AJ7)))</f>
        <v>0</v>
      </c>
      <c r="AP7" t="str">
        <f>IFERROR(INDEX(CHOOSE({1,2,3,4}, DAY(XT!U7), DAY(XT!Y7), DAY(XT!AC7), DAY(XT!AG7)), MATCH(1, INDEX(--(MONTH(CHOOSE({1,2,3,4}, XT!U7,XT!Y7,XT!AC7,XT!AG7))=11), 0), 0)), "")</f>
        <v/>
      </c>
      <c r="AQ7" s="51" t="str">
        <f>IF(XT!$P7&gt;0,AP7,"")</f>
        <v/>
      </c>
      <c r="AR7" s="51" t="str">
        <f>IF(XT!$P7=0,AP7,"")</f>
        <v/>
      </c>
      <c r="AS7">
        <f>SUMPRODUCT((MONTH(CHOOSE({1,2,3,4},XT!U7,XT!Y7,XT!AC7,XT!AG7))=12)*(CHOOSE({1,2,3,4},XT!X7,XT!AB7,XT!AF7,XT!AJ7)))</f>
        <v>0</v>
      </c>
      <c r="AT7" t="str">
        <f>IFERROR(INDEX(CHOOSE({1,2,3,4}, DAY(XT!U7), DAY(XT!Y7), DAY(XT!AC7), DAY(XT!AG7)), MATCH(1, INDEX(--(MONTH(CHOOSE({1,2,3,4}, XT!U7,XT!Y7,XT!AC7,XT!AG7))=12), 0), 0)), "")</f>
        <v/>
      </c>
      <c r="AU7" s="51" t="str">
        <f>IF(XT!$P7&gt;0,AT7,"")</f>
        <v/>
      </c>
      <c r="AV7" s="51" t="str">
        <f>IF(XT!$P7=0,AT7,"")</f>
        <v/>
      </c>
    </row>
    <row r="8" spans="1:48">
      <c r="A8">
        <f>SUMPRODUCT((MONTH(CHOOSE({1,2,3,4},XT!U8,XT!Y8,XT!AC8,XT!AG8))=1)*(CHOOSE({1,2,3,4},XT!X8,XT!AB8,XT!AF8,XT!AJ8)))</f>
        <v>0</v>
      </c>
      <c r="B8">
        <f>IFERROR(INDEX(CHOOSE({1,2,3,4}, DAY(XT!U8), DAY(XT!Y8), DAY(XT!AC8), DAY(XT!AG8)), MATCH(1, INDEX(--(MONTH(CHOOSE({1,2,3,4}, XT!U8,XT!Y8,XT!AC8,XT!AG8))=1), 0), 0)), "")</f>
        <v>0</v>
      </c>
      <c r="C8" s="51" t="str">
        <f>IF(XT!$P8&gt;0,B8,"")</f>
        <v/>
      </c>
      <c r="D8" s="51">
        <f>IF(XT!$P8=0,B8,"")</f>
        <v>0</v>
      </c>
      <c r="E8">
        <f>SUMPRODUCT((MONTH(CHOOSE({1,2,3,4},XT!U8,XT!Y8,XT!AC8,XT!AG8))=2)*(CHOOSE({1,2,3,4},XT!X8,XT!AB8,XT!AF8,XT!AJ8)))</f>
        <v>0</v>
      </c>
      <c r="F8" t="str">
        <f>IFERROR(INDEX(CHOOSE({1,2,3,4}, DAY(XT!U8), DAY(XT!Y8), DAY(XT!AC8), DAY(XT!AG8)), MATCH(1, INDEX(--(MONTH(CHOOSE({1,2,3,4}, XT!U8,XT!Y8,XT!AC8,XT!AG8))=2), 0), 0)), "")</f>
        <v/>
      </c>
      <c r="G8" s="51" t="str">
        <f>IF(XT!$P8&gt;0,F8,"")</f>
        <v/>
      </c>
      <c r="H8" s="51" t="str">
        <f>IF(XT!$P8=0,F8,"")</f>
        <v/>
      </c>
      <c r="I8">
        <f>SUMPRODUCT((MONTH(CHOOSE({1,2,3,4},XT!U8,XT!Y8,XT!AC8,XT!AG8))=3)*(CHOOSE({1,2,3,4},XT!X8,XT!AB8,XT!AF8,XT!AJ8)))</f>
        <v>0</v>
      </c>
      <c r="J8" t="str">
        <f>IFERROR(INDEX(CHOOSE({1,2,3,4}, DAY(XT!U8), DAY(XT!Y8), DAY(XT!AC8), DAY(XT!AG8)), MATCH(1, INDEX(--(MONTH(CHOOSE({1,2,3,4}, XT!U8,XT!Y8,XT!AC8,XT!AG8))=3), 0), 0)), "")</f>
        <v/>
      </c>
      <c r="K8" s="51" t="str">
        <f>IF(XT!$P8&gt;0,J8,"")</f>
        <v/>
      </c>
      <c r="L8" s="51" t="str">
        <f>IF(XT!$P8=0,J8,"")</f>
        <v/>
      </c>
      <c r="M8">
        <f>SUMPRODUCT((MONTH(CHOOSE({1,2,3,4},XT!U8,XT!Y8,XT!AC8,XT!AG8))=4)*(CHOOSE({1,2,3,4},XT!X8,XT!AB8,XT!AF8,XT!AJ8)))</f>
        <v>0</v>
      </c>
      <c r="N8" t="str">
        <f>IFERROR(INDEX(CHOOSE({1,2,3,4}, DAY(XT!U8), DAY(XT!Y8), DAY(XT!AC8), DAY(XT!AG8)), MATCH(1, INDEX(--(MONTH(CHOOSE({1,2,3,4}, XT!U8,XT!Y8,XT!AC8,XT!AG8))=4), 0), 0)), "")</f>
        <v/>
      </c>
      <c r="O8" s="51" t="str">
        <f>IF(XT!$P8&gt;0,N8,"")</f>
        <v/>
      </c>
      <c r="P8" s="51" t="str">
        <f>IF(XT!$P8=0,N8,"")</f>
        <v/>
      </c>
      <c r="Q8">
        <f>SUMPRODUCT((MONTH(CHOOSE({1,2,3,4},XT!U8,XT!Y8,XT!AC8,XT!AG8))=5)*(CHOOSE({1,2,3,4},XT!X8,XT!AB8,XT!AF8,XT!AJ8)))</f>
        <v>0</v>
      </c>
      <c r="R8" t="str">
        <f>IFERROR(INDEX(CHOOSE({1,2,3,4}, DAY(XT!U8), DAY(XT!Y8), DAY(XT!AC8), DAY(XT!AG8)), MATCH(1, INDEX(--(MONTH(CHOOSE({1,2,3,4}, XT!U8,XT!Y8,XT!AC8,XT!AG8))=5), 0), 0)), "")</f>
        <v/>
      </c>
      <c r="S8" s="51" t="str">
        <f>IF(XT!$P8&gt;0,R8,"")</f>
        <v/>
      </c>
      <c r="T8" s="51" t="str">
        <f>IF(XT!$P8=0,R8,"")</f>
        <v/>
      </c>
      <c r="U8">
        <f>SUMPRODUCT((MONTH(CHOOSE({1,2,3,4},XT!U8,XT!Y8,XT!AC8,XT!AG8))=6)*(CHOOSE({1,2,3,4},XT!X8,XT!AB8,XT!AF8,XT!AJ8)))</f>
        <v>0</v>
      </c>
      <c r="V8" t="str">
        <f>IFERROR(INDEX(CHOOSE({1,2,3,4}, DAY(XT!U8), DAY(XT!Y8), DAY(XT!AC8), DAY(XT!AG8)), MATCH(1, INDEX(--(MONTH(CHOOSE({1,2,3,4}, XT!U8,XT!Y8,XT!AC8,XT!AG8))=6), 0), 0)), "")</f>
        <v/>
      </c>
      <c r="W8" s="51" t="str">
        <f>IF(XT!$P8&gt;0,V8,"")</f>
        <v/>
      </c>
      <c r="X8" s="51" t="str">
        <f>IF(XT!$P8=0,V8,"")</f>
        <v/>
      </c>
      <c r="Y8">
        <f>SUMPRODUCT((MONTH(CHOOSE({1,2,3,4},XT!U8,XT!Y8,XT!AC8,XT!AG8))=7)*(CHOOSE({1,2,3,4},XT!X8,XT!AB8,XT!AF8,XT!AJ8)))</f>
        <v>0</v>
      </c>
      <c r="Z8" t="str">
        <f>IFERROR(INDEX(CHOOSE({1,2,3,4}, DAY(XT!U8), DAY(XT!Y8), DAY(XT!AC8), DAY(XT!AG8)), MATCH(1, INDEX(--(MONTH(CHOOSE({1,2,3,4}, XT!U8,XT!Y8,XT!AC8,XT!AG8))=7), 0), 0)), "")</f>
        <v/>
      </c>
      <c r="AA8" s="51" t="str">
        <f>IF(XT!$P8&gt;0,Z8,"")</f>
        <v/>
      </c>
      <c r="AB8" s="51" t="str">
        <f>IF(XT!$P8=0,Z8,"")</f>
        <v/>
      </c>
      <c r="AC8">
        <f>SUMPRODUCT((MONTH(CHOOSE({1,2,3,4},XT!U8,XT!Y8,XT!AC8,XT!AG8))=8)*(CHOOSE({1,2,3,4},XT!X8,XT!AB8,XT!AF8,XT!AJ8)))</f>
        <v>0</v>
      </c>
      <c r="AD8" t="str">
        <f>IFERROR(INDEX(CHOOSE({1,2,3,4}, DAY(XT!U8), DAY(XT!Y8), DAY(XT!AC8), DAY(XT!AG8)), MATCH(1, INDEX(--(MONTH(CHOOSE({1,2,3,4}, XT!U8,XT!Y8,XT!AC8,XT!AG8))=8), 0), 0)), "")</f>
        <v/>
      </c>
      <c r="AE8" s="51" t="str">
        <f>IF(XT!$P8&gt;0,AD8,"")</f>
        <v/>
      </c>
      <c r="AF8" s="51" t="str">
        <f>IF(XT!$P8=0,AD8,"")</f>
        <v/>
      </c>
      <c r="AG8">
        <f>SUMPRODUCT((MONTH(CHOOSE({1,2,3,4},XT!U8,XT!Y8,XT!AC8,XT!AG8))=9)*(CHOOSE({1,2,3,4},XT!X8,XT!AB8,XT!AF8,XT!AJ8)))</f>
        <v>0</v>
      </c>
      <c r="AH8" t="str">
        <f>IFERROR(INDEX(CHOOSE({1,2,3,4}, DAY(XT!U8), DAY(XT!Y8), DAY(XT!AC8), DAY(XT!AG8)), MATCH(1, INDEX(--(MONTH(CHOOSE({1,2,3,4}, XT!U8,XT!Y8,XT!AC8,XT!AG8))=9), 0), 0)), "")</f>
        <v/>
      </c>
      <c r="AI8" s="51" t="str">
        <f>IF(XT!$P8&gt;0,AH8,"")</f>
        <v/>
      </c>
      <c r="AJ8" s="51" t="str">
        <f>IF(XT!$P8=0,AH8,"")</f>
        <v/>
      </c>
      <c r="AK8">
        <f>SUMPRODUCT((MONTH(CHOOSE({1,2,3,4},XT!U8,XT!Y8,XT!AC8,XT!AG8))=10)*(CHOOSE({1,2,3,4},XT!X8,XT!AB8,XT!AF8,XT!AJ8)))</f>
        <v>0</v>
      </c>
      <c r="AL8" t="str">
        <f>IFERROR(INDEX(CHOOSE({1,2,3,4}, DAY(XT!U8), DAY(XT!Y8), DAY(XT!AC8), DAY(XT!AG8)), MATCH(1, INDEX(--(MONTH(CHOOSE({1,2,3,4}, XT!U8,XT!Y8,XT!AC8,XT!AG8))=10), 0), 0)), "")</f>
        <v/>
      </c>
      <c r="AM8" s="51" t="str">
        <f>IF(XT!$P8&gt;0,AL8,"")</f>
        <v/>
      </c>
      <c r="AN8" s="51" t="str">
        <f>IF(XT!$P8=0,AL8,"")</f>
        <v/>
      </c>
      <c r="AO8">
        <f>SUMPRODUCT((MONTH(CHOOSE({1,2,3,4},XT!U8,XT!Y8,XT!AC8,XT!AG8))=11)*(CHOOSE({1,2,3,4},XT!X8,XT!AB8,XT!AF8,XT!AJ8)))</f>
        <v>0</v>
      </c>
      <c r="AP8" t="str">
        <f>IFERROR(INDEX(CHOOSE({1,2,3,4}, DAY(XT!U8), DAY(XT!Y8), DAY(XT!AC8), DAY(XT!AG8)), MATCH(1, INDEX(--(MONTH(CHOOSE({1,2,3,4}, XT!U8,XT!Y8,XT!AC8,XT!AG8))=11), 0), 0)), "")</f>
        <v/>
      </c>
      <c r="AQ8" s="51" t="str">
        <f>IF(XT!$P8&gt;0,AP8,"")</f>
        <v/>
      </c>
      <c r="AR8" s="51" t="str">
        <f>IF(XT!$P8=0,AP8,"")</f>
        <v/>
      </c>
      <c r="AS8">
        <f>SUMPRODUCT((MONTH(CHOOSE({1,2,3,4},XT!U8,XT!Y8,XT!AC8,XT!AG8))=12)*(CHOOSE({1,2,3,4},XT!X8,XT!AB8,XT!AF8,XT!AJ8)))</f>
        <v>0</v>
      </c>
      <c r="AT8" t="str">
        <f>IFERROR(INDEX(CHOOSE({1,2,3,4}, DAY(XT!U8), DAY(XT!Y8), DAY(XT!AC8), DAY(XT!AG8)), MATCH(1, INDEX(--(MONTH(CHOOSE({1,2,3,4}, XT!U8,XT!Y8,XT!AC8,XT!AG8))=12), 0), 0)), "")</f>
        <v/>
      </c>
      <c r="AU8" s="51" t="str">
        <f>IF(XT!$P8&gt;0,AT8,"")</f>
        <v/>
      </c>
      <c r="AV8" s="51" t="str">
        <f>IF(XT!$P8=0,AT8,"")</f>
        <v/>
      </c>
    </row>
    <row r="9" spans="1:48">
      <c r="A9">
        <f>SUMPRODUCT((MONTH(CHOOSE({1,2,3,4},XT!U9,XT!Y9,XT!AC9,XT!AG9))=1)*(CHOOSE({1,2,3,4},XT!X9,XT!AB9,XT!AF9,XT!AJ9)))</f>
        <v>0</v>
      </c>
      <c r="B9">
        <f>IFERROR(INDEX(CHOOSE({1,2,3,4}, DAY(XT!U9), DAY(XT!Y9), DAY(XT!AC9), DAY(XT!AG9)), MATCH(1, INDEX(--(MONTH(CHOOSE({1,2,3,4}, XT!U9,XT!Y9,XT!AC9,XT!AG9))=1), 0), 0)), "")</f>
        <v>0</v>
      </c>
      <c r="C9" s="51" t="str">
        <f>IF(XT!$P9&gt;0,B9,"")</f>
        <v/>
      </c>
      <c r="D9" s="51">
        <f>IF(XT!$P9=0,B9,"")</f>
        <v>0</v>
      </c>
      <c r="E9">
        <f>SUMPRODUCT((MONTH(CHOOSE({1,2,3,4},XT!U9,XT!Y9,XT!AC9,XT!AG9))=2)*(CHOOSE({1,2,3,4},XT!X9,XT!AB9,XT!AF9,XT!AJ9)))</f>
        <v>0</v>
      </c>
      <c r="F9" t="str">
        <f>IFERROR(INDEX(CHOOSE({1,2,3,4}, DAY(XT!U9), DAY(XT!Y9), DAY(XT!AC9), DAY(XT!AG9)), MATCH(1, INDEX(--(MONTH(CHOOSE({1,2,3,4}, XT!U9,XT!Y9,XT!AC9,XT!AG9))=2), 0), 0)), "")</f>
        <v/>
      </c>
      <c r="G9" s="51" t="str">
        <f>IF(XT!$P9&gt;0,F9,"")</f>
        <v/>
      </c>
      <c r="H9" s="51" t="str">
        <f>IF(XT!$P9=0,F9,"")</f>
        <v/>
      </c>
      <c r="I9">
        <f>SUMPRODUCT((MONTH(CHOOSE({1,2,3,4},XT!U9,XT!Y9,XT!AC9,XT!AG9))=3)*(CHOOSE({1,2,3,4},XT!X9,XT!AB9,XT!AF9,XT!AJ9)))</f>
        <v>0</v>
      </c>
      <c r="J9" t="str">
        <f>IFERROR(INDEX(CHOOSE({1,2,3,4}, DAY(XT!U9), DAY(XT!Y9), DAY(XT!AC9), DAY(XT!AG9)), MATCH(1, INDEX(--(MONTH(CHOOSE({1,2,3,4}, XT!U9,XT!Y9,XT!AC9,XT!AG9))=3), 0), 0)), "")</f>
        <v/>
      </c>
      <c r="K9" s="51" t="str">
        <f>IF(XT!$P9&gt;0,J9,"")</f>
        <v/>
      </c>
      <c r="L9" s="51" t="str">
        <f>IF(XT!$P9=0,J9,"")</f>
        <v/>
      </c>
      <c r="M9">
        <f>SUMPRODUCT((MONTH(CHOOSE({1,2,3,4},XT!U9,XT!Y9,XT!AC9,XT!AG9))=4)*(CHOOSE({1,2,3,4},XT!X9,XT!AB9,XT!AF9,XT!AJ9)))</f>
        <v>0</v>
      </c>
      <c r="N9" t="str">
        <f>IFERROR(INDEX(CHOOSE({1,2,3,4}, DAY(XT!U9), DAY(XT!Y9), DAY(XT!AC9), DAY(XT!AG9)), MATCH(1, INDEX(--(MONTH(CHOOSE({1,2,3,4}, XT!U9,XT!Y9,XT!AC9,XT!AG9))=4), 0), 0)), "")</f>
        <v/>
      </c>
      <c r="O9" s="51" t="str">
        <f>IF(XT!$P9&gt;0,N9,"")</f>
        <v/>
      </c>
      <c r="P9" s="51" t="str">
        <f>IF(XT!$P9=0,N9,"")</f>
        <v/>
      </c>
      <c r="Q9">
        <f>SUMPRODUCT((MONTH(CHOOSE({1,2,3,4},XT!U9,XT!Y9,XT!AC9,XT!AG9))=5)*(CHOOSE({1,2,3,4},XT!X9,XT!AB9,XT!AF9,XT!AJ9)))</f>
        <v>0</v>
      </c>
      <c r="R9" t="str">
        <f>IFERROR(INDEX(CHOOSE({1,2,3,4}, DAY(XT!U9), DAY(XT!Y9), DAY(XT!AC9), DAY(XT!AG9)), MATCH(1, INDEX(--(MONTH(CHOOSE({1,2,3,4}, XT!U9,XT!Y9,XT!AC9,XT!AG9))=5), 0), 0)), "")</f>
        <v/>
      </c>
      <c r="S9" s="51" t="str">
        <f>IF(XT!$P9&gt;0,R9,"")</f>
        <v/>
      </c>
      <c r="T9" s="51" t="str">
        <f>IF(XT!$P9=0,R9,"")</f>
        <v/>
      </c>
      <c r="U9">
        <f>SUMPRODUCT((MONTH(CHOOSE({1,2,3,4},XT!U9,XT!Y9,XT!AC9,XT!AG9))=6)*(CHOOSE({1,2,3,4},XT!X9,XT!AB9,XT!AF9,XT!AJ9)))</f>
        <v>0</v>
      </c>
      <c r="V9" t="str">
        <f>IFERROR(INDEX(CHOOSE({1,2,3,4}, DAY(XT!U9), DAY(XT!Y9), DAY(XT!AC9), DAY(XT!AG9)), MATCH(1, INDEX(--(MONTH(CHOOSE({1,2,3,4}, XT!U9,XT!Y9,XT!AC9,XT!AG9))=6), 0), 0)), "")</f>
        <v/>
      </c>
      <c r="W9" s="51" t="str">
        <f>IF(XT!$P9&gt;0,V9,"")</f>
        <v/>
      </c>
      <c r="X9" s="51" t="str">
        <f>IF(XT!$P9=0,V9,"")</f>
        <v/>
      </c>
      <c r="Y9">
        <f>SUMPRODUCT((MONTH(CHOOSE({1,2,3,4},XT!U9,XT!Y9,XT!AC9,XT!AG9))=7)*(CHOOSE({1,2,3,4},XT!X9,XT!AB9,XT!AF9,XT!AJ9)))</f>
        <v>0</v>
      </c>
      <c r="Z9" t="str">
        <f>IFERROR(INDEX(CHOOSE({1,2,3,4}, DAY(XT!U9), DAY(XT!Y9), DAY(XT!AC9), DAY(XT!AG9)), MATCH(1, INDEX(--(MONTH(CHOOSE({1,2,3,4}, XT!U9,XT!Y9,XT!AC9,XT!AG9))=7), 0), 0)), "")</f>
        <v/>
      </c>
      <c r="AA9" s="51" t="str">
        <f>IF(XT!$P9&gt;0,Z9,"")</f>
        <v/>
      </c>
      <c r="AB9" s="51" t="str">
        <f>IF(XT!$P9=0,Z9,"")</f>
        <v/>
      </c>
      <c r="AC9">
        <f>SUMPRODUCT((MONTH(CHOOSE({1,2,3,4},XT!U9,XT!Y9,XT!AC9,XT!AG9))=8)*(CHOOSE({1,2,3,4},XT!X9,XT!AB9,XT!AF9,XT!AJ9)))</f>
        <v>0</v>
      </c>
      <c r="AD9" t="str">
        <f>IFERROR(INDEX(CHOOSE({1,2,3,4}, DAY(XT!U9), DAY(XT!Y9), DAY(XT!AC9), DAY(XT!AG9)), MATCH(1, INDEX(--(MONTH(CHOOSE({1,2,3,4}, XT!U9,XT!Y9,XT!AC9,XT!AG9))=8), 0), 0)), "")</f>
        <v/>
      </c>
      <c r="AE9" s="51" t="str">
        <f>IF(XT!$P9&gt;0,AD9,"")</f>
        <v/>
      </c>
      <c r="AF9" s="51" t="str">
        <f>IF(XT!$P9=0,AD9,"")</f>
        <v/>
      </c>
      <c r="AG9">
        <f>SUMPRODUCT((MONTH(CHOOSE({1,2,3,4},XT!U9,XT!Y9,XT!AC9,XT!AG9))=9)*(CHOOSE({1,2,3,4},XT!X9,XT!AB9,XT!AF9,XT!AJ9)))</f>
        <v>0</v>
      </c>
      <c r="AH9" t="str">
        <f>IFERROR(INDEX(CHOOSE({1,2,3,4}, DAY(XT!U9), DAY(XT!Y9), DAY(XT!AC9), DAY(XT!AG9)), MATCH(1, INDEX(--(MONTH(CHOOSE({1,2,3,4}, XT!U9,XT!Y9,XT!AC9,XT!AG9))=9), 0), 0)), "")</f>
        <v/>
      </c>
      <c r="AI9" s="51" t="str">
        <f>IF(XT!$P9&gt;0,AH9,"")</f>
        <v/>
      </c>
      <c r="AJ9" s="51" t="str">
        <f>IF(XT!$P9=0,AH9,"")</f>
        <v/>
      </c>
      <c r="AK9">
        <f>SUMPRODUCT((MONTH(CHOOSE({1,2,3,4},XT!U9,XT!Y9,XT!AC9,XT!AG9))=10)*(CHOOSE({1,2,3,4},XT!X9,XT!AB9,XT!AF9,XT!AJ9)))</f>
        <v>0</v>
      </c>
      <c r="AL9" t="str">
        <f>IFERROR(INDEX(CHOOSE({1,2,3,4}, DAY(XT!U9), DAY(XT!Y9), DAY(XT!AC9), DAY(XT!AG9)), MATCH(1, INDEX(--(MONTH(CHOOSE({1,2,3,4}, XT!U9,XT!Y9,XT!AC9,XT!AG9))=10), 0), 0)), "")</f>
        <v/>
      </c>
      <c r="AM9" s="51" t="str">
        <f>IF(XT!$P9&gt;0,AL9,"")</f>
        <v/>
      </c>
      <c r="AN9" s="51" t="str">
        <f>IF(XT!$P9=0,AL9,"")</f>
        <v/>
      </c>
      <c r="AO9">
        <f>SUMPRODUCT((MONTH(CHOOSE({1,2,3,4},XT!U9,XT!Y9,XT!AC9,XT!AG9))=11)*(CHOOSE({1,2,3,4},XT!X9,XT!AB9,XT!AF9,XT!AJ9)))</f>
        <v>0</v>
      </c>
      <c r="AP9" t="str">
        <f>IFERROR(INDEX(CHOOSE({1,2,3,4}, DAY(XT!U9), DAY(XT!Y9), DAY(XT!AC9), DAY(XT!AG9)), MATCH(1, INDEX(--(MONTH(CHOOSE({1,2,3,4}, XT!U9,XT!Y9,XT!AC9,XT!AG9))=11), 0), 0)), "")</f>
        <v/>
      </c>
      <c r="AQ9" s="51" t="str">
        <f>IF(XT!$P9&gt;0,AP9,"")</f>
        <v/>
      </c>
      <c r="AR9" s="51" t="str">
        <f>IF(XT!$P9=0,AP9,"")</f>
        <v/>
      </c>
      <c r="AS9">
        <f>SUMPRODUCT((MONTH(CHOOSE({1,2,3,4},XT!U9,XT!Y9,XT!AC9,XT!AG9))=12)*(CHOOSE({1,2,3,4},XT!X9,XT!AB9,XT!AF9,XT!AJ9)))</f>
        <v>0</v>
      </c>
      <c r="AT9" t="str">
        <f>IFERROR(INDEX(CHOOSE({1,2,3,4}, DAY(XT!U9), DAY(XT!Y9), DAY(XT!AC9), DAY(XT!AG9)), MATCH(1, INDEX(--(MONTH(CHOOSE({1,2,3,4}, XT!U9,XT!Y9,XT!AC9,XT!AG9))=12), 0), 0)), "")</f>
        <v/>
      </c>
      <c r="AU9" s="51" t="str">
        <f>IF(XT!$P9&gt;0,AT9,"")</f>
        <v/>
      </c>
      <c r="AV9" s="51" t="str">
        <f>IF(XT!$P9=0,AT9,"")</f>
        <v/>
      </c>
    </row>
    <row r="10" spans="1:48">
      <c r="A10">
        <f>SUMPRODUCT((MONTH(CHOOSE({1,2,3,4},XT!U10,XT!Y10,XT!AC10,XT!AG10))=1)*(CHOOSE({1,2,3,4},XT!X10,XT!AB10,XT!AF10,XT!AJ10)))</f>
        <v>0</v>
      </c>
      <c r="B10">
        <f>IFERROR(INDEX(CHOOSE({1,2,3,4}, DAY(XT!U10), DAY(XT!Y10), DAY(XT!AC10), DAY(XT!AG10)), MATCH(1, INDEX(--(MONTH(CHOOSE({1,2,3,4}, XT!U10,XT!Y10,XT!AC10,XT!AG10))=1), 0), 0)), "")</f>
        <v>0</v>
      </c>
      <c r="C10" s="51" t="str">
        <f>IF(XT!$P10&gt;0,B10,"")</f>
        <v/>
      </c>
      <c r="D10" s="51">
        <f>IF(XT!$P10=0,B10,"")</f>
        <v>0</v>
      </c>
      <c r="E10">
        <f>SUMPRODUCT((MONTH(CHOOSE({1,2,3,4},XT!U10,XT!Y10,XT!AC10,XT!AG10))=2)*(CHOOSE({1,2,3,4},XT!X10,XT!AB10,XT!AF10,XT!AJ10)))</f>
        <v>0</v>
      </c>
      <c r="F10" t="str">
        <f>IFERROR(INDEX(CHOOSE({1,2,3,4}, DAY(XT!U10), DAY(XT!Y10), DAY(XT!AC10), DAY(XT!AG10)), MATCH(1, INDEX(--(MONTH(CHOOSE({1,2,3,4}, XT!U10,XT!Y10,XT!AC10,XT!AG10))=2), 0), 0)), "")</f>
        <v/>
      </c>
      <c r="G10" s="51" t="str">
        <f>IF(XT!$P10&gt;0,F10,"")</f>
        <v/>
      </c>
      <c r="H10" s="51" t="str">
        <f>IF(XT!$P10=0,F10,"")</f>
        <v/>
      </c>
      <c r="I10">
        <f>SUMPRODUCT((MONTH(CHOOSE({1,2,3,4},XT!U10,XT!Y10,XT!AC10,XT!AG10))=3)*(CHOOSE({1,2,3,4},XT!X10,XT!AB10,XT!AF10,XT!AJ10)))</f>
        <v>0</v>
      </c>
      <c r="J10" t="str">
        <f>IFERROR(INDEX(CHOOSE({1,2,3,4}, DAY(XT!U10), DAY(XT!Y10), DAY(XT!AC10), DAY(XT!AG10)), MATCH(1, INDEX(--(MONTH(CHOOSE({1,2,3,4}, XT!U10,XT!Y10,XT!AC10,XT!AG10))=3), 0), 0)), "")</f>
        <v/>
      </c>
      <c r="K10" s="51" t="str">
        <f>IF(XT!$P10&gt;0,J10,"")</f>
        <v/>
      </c>
      <c r="L10" s="51" t="str">
        <f>IF(XT!$P10=0,J10,"")</f>
        <v/>
      </c>
      <c r="M10">
        <f>SUMPRODUCT((MONTH(CHOOSE({1,2,3,4},XT!U10,XT!Y10,XT!AC10,XT!AG10))=4)*(CHOOSE({1,2,3,4},XT!X10,XT!AB10,XT!AF10,XT!AJ10)))</f>
        <v>0</v>
      </c>
      <c r="N10" t="str">
        <f>IFERROR(INDEX(CHOOSE({1,2,3,4}, DAY(XT!U10), DAY(XT!Y10), DAY(XT!AC10), DAY(XT!AG10)), MATCH(1, INDEX(--(MONTH(CHOOSE({1,2,3,4}, XT!U10,XT!Y10,XT!AC10,XT!AG10))=4), 0), 0)), "")</f>
        <v/>
      </c>
      <c r="O10" s="51" t="str">
        <f>IF(XT!$P10&gt;0,N10,"")</f>
        <v/>
      </c>
      <c r="P10" s="51" t="str">
        <f>IF(XT!$P10=0,N10,"")</f>
        <v/>
      </c>
      <c r="Q10">
        <f>SUMPRODUCT((MONTH(CHOOSE({1,2,3,4},XT!U10,XT!Y10,XT!AC10,XT!AG10))=5)*(CHOOSE({1,2,3,4},XT!X10,XT!AB10,XT!AF10,XT!AJ10)))</f>
        <v>0</v>
      </c>
      <c r="R10" t="str">
        <f>IFERROR(INDEX(CHOOSE({1,2,3,4}, DAY(XT!U10), DAY(XT!Y10), DAY(XT!AC10), DAY(XT!AG10)), MATCH(1, INDEX(--(MONTH(CHOOSE({1,2,3,4}, XT!U10,XT!Y10,XT!AC10,XT!AG10))=5), 0), 0)), "")</f>
        <v/>
      </c>
      <c r="S10" s="51" t="str">
        <f>IF(XT!$P10&gt;0,R10,"")</f>
        <v/>
      </c>
      <c r="T10" s="51" t="str">
        <f>IF(XT!$P10=0,R10,"")</f>
        <v/>
      </c>
      <c r="U10">
        <f>SUMPRODUCT((MONTH(CHOOSE({1,2,3,4},XT!U10,XT!Y10,XT!AC10,XT!AG10))=6)*(CHOOSE({1,2,3,4},XT!X10,XT!AB10,XT!AF10,XT!AJ10)))</f>
        <v>0</v>
      </c>
      <c r="V10" t="str">
        <f>IFERROR(INDEX(CHOOSE({1,2,3,4}, DAY(XT!U10), DAY(XT!Y10), DAY(XT!AC10), DAY(XT!AG10)), MATCH(1, INDEX(--(MONTH(CHOOSE({1,2,3,4}, XT!U10,XT!Y10,XT!AC10,XT!AG10))=6), 0), 0)), "")</f>
        <v/>
      </c>
      <c r="W10" s="51" t="str">
        <f>IF(XT!$P10&gt;0,V10,"")</f>
        <v/>
      </c>
      <c r="X10" s="51" t="str">
        <f>IF(XT!$P10=0,V10,"")</f>
        <v/>
      </c>
      <c r="Y10">
        <f>SUMPRODUCT((MONTH(CHOOSE({1,2,3,4},XT!U10,XT!Y10,XT!AC10,XT!AG10))=7)*(CHOOSE({1,2,3,4},XT!X10,XT!AB10,XT!AF10,XT!AJ10)))</f>
        <v>0</v>
      </c>
      <c r="Z10" t="str">
        <f>IFERROR(INDEX(CHOOSE({1,2,3,4}, DAY(XT!U10), DAY(XT!Y10), DAY(XT!AC10), DAY(XT!AG10)), MATCH(1, INDEX(--(MONTH(CHOOSE({1,2,3,4}, XT!U10,XT!Y10,XT!AC10,XT!AG10))=7), 0), 0)), "")</f>
        <v/>
      </c>
      <c r="AA10" s="51" t="str">
        <f>IF(XT!$P10&gt;0,Z10,"")</f>
        <v/>
      </c>
      <c r="AB10" s="51" t="str">
        <f>IF(XT!$P10=0,Z10,"")</f>
        <v/>
      </c>
      <c r="AC10">
        <f>SUMPRODUCT((MONTH(CHOOSE({1,2,3,4},XT!U10,XT!Y10,XT!AC10,XT!AG10))=8)*(CHOOSE({1,2,3,4},XT!X10,XT!AB10,XT!AF10,XT!AJ10)))</f>
        <v>0</v>
      </c>
      <c r="AD10" t="str">
        <f>IFERROR(INDEX(CHOOSE({1,2,3,4}, DAY(XT!U10), DAY(XT!Y10), DAY(XT!AC10), DAY(XT!AG10)), MATCH(1, INDEX(--(MONTH(CHOOSE({1,2,3,4}, XT!U10,XT!Y10,XT!AC10,XT!AG10))=8), 0), 0)), "")</f>
        <v/>
      </c>
      <c r="AE10" s="51" t="str">
        <f>IF(XT!$P10&gt;0,AD10,"")</f>
        <v/>
      </c>
      <c r="AF10" s="51" t="str">
        <f>IF(XT!$P10=0,AD10,"")</f>
        <v/>
      </c>
      <c r="AG10">
        <f>SUMPRODUCT((MONTH(CHOOSE({1,2,3,4},XT!U10,XT!Y10,XT!AC10,XT!AG10))=9)*(CHOOSE({1,2,3,4},XT!X10,XT!AB10,XT!AF10,XT!AJ10)))</f>
        <v>0</v>
      </c>
      <c r="AH10" t="str">
        <f>IFERROR(INDEX(CHOOSE({1,2,3,4}, DAY(XT!U10), DAY(XT!Y10), DAY(XT!AC10), DAY(XT!AG10)), MATCH(1, INDEX(--(MONTH(CHOOSE({1,2,3,4}, XT!U10,XT!Y10,XT!AC10,XT!AG10))=9), 0), 0)), "")</f>
        <v/>
      </c>
      <c r="AI10" s="51" t="str">
        <f>IF(XT!$P10&gt;0,AH10,"")</f>
        <v/>
      </c>
      <c r="AJ10" s="51" t="str">
        <f>IF(XT!$P10=0,AH10,"")</f>
        <v/>
      </c>
      <c r="AK10">
        <f>SUMPRODUCT((MONTH(CHOOSE({1,2,3,4},XT!U10,XT!Y10,XT!AC10,XT!AG10))=10)*(CHOOSE({1,2,3,4},XT!X10,XT!AB10,XT!AF10,XT!AJ10)))</f>
        <v>0</v>
      </c>
      <c r="AL10" t="str">
        <f>IFERROR(INDEX(CHOOSE({1,2,3,4}, DAY(XT!U10), DAY(XT!Y10), DAY(XT!AC10), DAY(XT!AG10)), MATCH(1, INDEX(--(MONTH(CHOOSE({1,2,3,4}, XT!U10,XT!Y10,XT!AC10,XT!AG10))=10), 0), 0)), "")</f>
        <v/>
      </c>
      <c r="AM10" s="51" t="str">
        <f>IF(XT!$P10&gt;0,AL10,"")</f>
        <v/>
      </c>
      <c r="AN10" s="51" t="str">
        <f>IF(XT!$P10=0,AL10,"")</f>
        <v/>
      </c>
      <c r="AO10">
        <f>SUMPRODUCT((MONTH(CHOOSE({1,2,3,4},XT!U10,XT!Y10,XT!AC10,XT!AG10))=11)*(CHOOSE({1,2,3,4},XT!X10,XT!AB10,XT!AF10,XT!AJ10)))</f>
        <v>0</v>
      </c>
      <c r="AP10" t="str">
        <f>IFERROR(INDEX(CHOOSE({1,2,3,4}, DAY(XT!U10), DAY(XT!Y10), DAY(XT!AC10), DAY(XT!AG10)), MATCH(1, INDEX(--(MONTH(CHOOSE({1,2,3,4}, XT!U10,XT!Y10,XT!AC10,XT!AG10))=11), 0), 0)), "")</f>
        <v/>
      </c>
      <c r="AQ10" s="51" t="str">
        <f>IF(XT!$P10&gt;0,AP10,"")</f>
        <v/>
      </c>
      <c r="AR10" s="51" t="str">
        <f>IF(XT!$P10=0,AP10,"")</f>
        <v/>
      </c>
      <c r="AS10">
        <f>SUMPRODUCT((MONTH(CHOOSE({1,2,3,4},XT!U10,XT!Y10,XT!AC10,XT!AG10))=12)*(CHOOSE({1,2,3,4},XT!X10,XT!AB10,XT!AF10,XT!AJ10)))</f>
        <v>0</v>
      </c>
      <c r="AT10" t="str">
        <f>IFERROR(INDEX(CHOOSE({1,2,3,4}, DAY(XT!U10), DAY(XT!Y10), DAY(XT!AC10), DAY(XT!AG10)), MATCH(1, INDEX(--(MONTH(CHOOSE({1,2,3,4}, XT!U10,XT!Y10,XT!AC10,XT!AG10))=12), 0), 0)), "")</f>
        <v/>
      </c>
      <c r="AU10" s="51" t="str">
        <f>IF(XT!$P10&gt;0,AT10,"")</f>
        <v/>
      </c>
      <c r="AV10" s="51" t="str">
        <f>IF(XT!$P10=0,AT10,"")</f>
        <v/>
      </c>
    </row>
    <row r="11" spans="1:48">
      <c r="A11">
        <f>SUMPRODUCT((MONTH(CHOOSE({1,2,3,4},XT!U11,XT!Y11,XT!AC11,XT!AG11))=1)*(CHOOSE({1,2,3,4},XT!X11,XT!AB11,XT!AF11,XT!AJ11)))</f>
        <v>0</v>
      </c>
      <c r="B11">
        <f>IFERROR(INDEX(CHOOSE({1,2,3,4}, DAY(XT!U11), DAY(XT!Y11), DAY(XT!AC11), DAY(XT!AG11)), MATCH(1, INDEX(--(MONTH(CHOOSE({1,2,3,4}, XT!U11,XT!Y11,XT!AC11,XT!AG11))=1), 0), 0)), "")</f>
        <v>0</v>
      </c>
      <c r="C11" s="51" t="str">
        <f>IF(XT!$P11&gt;0,B11,"")</f>
        <v/>
      </c>
      <c r="D11" s="51">
        <f>IF(XT!$P11=0,B11,"")</f>
        <v>0</v>
      </c>
      <c r="E11">
        <f>SUMPRODUCT((MONTH(CHOOSE({1,2,3,4},XT!U11,XT!Y11,XT!AC11,XT!AG11))=2)*(CHOOSE({1,2,3,4},XT!X11,XT!AB11,XT!AF11,XT!AJ11)))</f>
        <v>0</v>
      </c>
      <c r="F11" t="str">
        <f>IFERROR(INDEX(CHOOSE({1,2,3,4}, DAY(XT!U11), DAY(XT!Y11), DAY(XT!AC11), DAY(XT!AG11)), MATCH(1, INDEX(--(MONTH(CHOOSE({1,2,3,4}, XT!U11,XT!Y11,XT!AC11,XT!AG11))=2), 0), 0)), "")</f>
        <v/>
      </c>
      <c r="G11" s="51" t="str">
        <f>IF(XT!$P11&gt;0,F11,"")</f>
        <v/>
      </c>
      <c r="H11" s="51" t="str">
        <f>IF(XT!$P11=0,F11,"")</f>
        <v/>
      </c>
      <c r="I11">
        <f>SUMPRODUCT((MONTH(CHOOSE({1,2,3,4},XT!U11,XT!Y11,XT!AC11,XT!AG11))=3)*(CHOOSE({1,2,3,4},XT!X11,XT!AB11,XT!AF11,XT!AJ11)))</f>
        <v>0</v>
      </c>
      <c r="J11" t="str">
        <f>IFERROR(INDEX(CHOOSE({1,2,3,4}, DAY(XT!U11), DAY(XT!Y11), DAY(XT!AC11), DAY(XT!AG11)), MATCH(1, INDEX(--(MONTH(CHOOSE({1,2,3,4}, XT!U11,XT!Y11,XT!AC11,XT!AG11))=3), 0), 0)), "")</f>
        <v/>
      </c>
      <c r="K11" s="51" t="str">
        <f>IF(XT!$P11&gt;0,J11,"")</f>
        <v/>
      </c>
      <c r="L11" s="51" t="str">
        <f>IF(XT!$P11=0,J11,"")</f>
        <v/>
      </c>
      <c r="M11">
        <f>SUMPRODUCT((MONTH(CHOOSE({1,2,3,4},XT!U11,XT!Y11,XT!AC11,XT!AG11))=4)*(CHOOSE({1,2,3,4},XT!X11,XT!AB11,XT!AF11,XT!AJ11)))</f>
        <v>0</v>
      </c>
      <c r="N11" t="str">
        <f>IFERROR(INDEX(CHOOSE({1,2,3,4}, DAY(XT!U11), DAY(XT!Y11), DAY(XT!AC11), DAY(XT!AG11)), MATCH(1, INDEX(--(MONTH(CHOOSE({1,2,3,4}, XT!U11,XT!Y11,XT!AC11,XT!AG11))=4), 0), 0)), "")</f>
        <v/>
      </c>
      <c r="O11" s="51" t="str">
        <f>IF(XT!$P11&gt;0,N11,"")</f>
        <v/>
      </c>
      <c r="P11" s="51" t="str">
        <f>IF(XT!$P11=0,N11,"")</f>
        <v/>
      </c>
      <c r="Q11">
        <f>SUMPRODUCT((MONTH(CHOOSE({1,2,3,4},XT!U11,XT!Y11,XT!AC11,XT!AG11))=5)*(CHOOSE({1,2,3,4},XT!X11,XT!AB11,XT!AF11,XT!AJ11)))</f>
        <v>0</v>
      </c>
      <c r="R11" t="str">
        <f>IFERROR(INDEX(CHOOSE({1,2,3,4}, DAY(XT!U11), DAY(XT!Y11), DAY(XT!AC11), DAY(XT!AG11)), MATCH(1, INDEX(--(MONTH(CHOOSE({1,2,3,4}, XT!U11,XT!Y11,XT!AC11,XT!AG11))=5), 0), 0)), "")</f>
        <v/>
      </c>
      <c r="S11" s="51" t="str">
        <f>IF(XT!$P11&gt;0,R11,"")</f>
        <v/>
      </c>
      <c r="T11" s="51" t="str">
        <f>IF(XT!$P11=0,R11,"")</f>
        <v/>
      </c>
      <c r="U11">
        <f>SUMPRODUCT((MONTH(CHOOSE({1,2,3,4},XT!U11,XT!Y11,XT!AC11,XT!AG11))=6)*(CHOOSE({1,2,3,4},XT!X11,XT!AB11,XT!AF11,XT!AJ11)))</f>
        <v>0</v>
      </c>
      <c r="V11" t="str">
        <f>IFERROR(INDEX(CHOOSE({1,2,3,4}, DAY(XT!U11), DAY(XT!Y11), DAY(XT!AC11), DAY(XT!AG11)), MATCH(1, INDEX(--(MONTH(CHOOSE({1,2,3,4}, XT!U11,XT!Y11,XT!AC11,XT!AG11))=6), 0), 0)), "")</f>
        <v/>
      </c>
      <c r="W11" s="51" t="str">
        <f>IF(XT!$P11&gt;0,V11,"")</f>
        <v/>
      </c>
      <c r="X11" s="51" t="str">
        <f>IF(XT!$P11=0,V11,"")</f>
        <v/>
      </c>
      <c r="Y11">
        <f>SUMPRODUCT((MONTH(CHOOSE({1,2,3,4},XT!U11,XT!Y11,XT!AC11,XT!AG11))=7)*(CHOOSE({1,2,3,4},XT!X11,XT!AB11,XT!AF11,XT!AJ11)))</f>
        <v>0</v>
      </c>
      <c r="Z11" t="str">
        <f>IFERROR(INDEX(CHOOSE({1,2,3,4}, DAY(XT!U11), DAY(XT!Y11), DAY(XT!AC11), DAY(XT!AG11)), MATCH(1, INDEX(--(MONTH(CHOOSE({1,2,3,4}, XT!U11,XT!Y11,XT!AC11,XT!AG11))=7), 0), 0)), "")</f>
        <v/>
      </c>
      <c r="AA11" s="51" t="str">
        <f>IF(XT!$P11&gt;0,Z11,"")</f>
        <v/>
      </c>
      <c r="AB11" s="51" t="str">
        <f>IF(XT!$P11=0,Z11,"")</f>
        <v/>
      </c>
      <c r="AC11">
        <f>SUMPRODUCT((MONTH(CHOOSE({1,2,3,4},XT!U11,XT!Y11,XT!AC11,XT!AG11))=8)*(CHOOSE({1,2,3,4},XT!X11,XT!AB11,XT!AF11,XT!AJ11)))</f>
        <v>0</v>
      </c>
      <c r="AD11" t="str">
        <f>IFERROR(INDEX(CHOOSE({1,2,3,4}, DAY(XT!U11), DAY(XT!Y11), DAY(XT!AC11), DAY(XT!AG11)), MATCH(1, INDEX(--(MONTH(CHOOSE({1,2,3,4}, XT!U11,XT!Y11,XT!AC11,XT!AG11))=8), 0), 0)), "")</f>
        <v/>
      </c>
      <c r="AE11" s="51" t="str">
        <f>IF(XT!$P11&gt;0,AD11,"")</f>
        <v/>
      </c>
      <c r="AF11" s="51" t="str">
        <f>IF(XT!$P11=0,AD11,"")</f>
        <v/>
      </c>
      <c r="AG11">
        <f>SUMPRODUCT((MONTH(CHOOSE({1,2,3,4},XT!U11,XT!Y11,XT!AC11,XT!AG11))=9)*(CHOOSE({1,2,3,4},XT!X11,XT!AB11,XT!AF11,XT!AJ11)))</f>
        <v>0</v>
      </c>
      <c r="AH11" t="str">
        <f>IFERROR(INDEX(CHOOSE({1,2,3,4}, DAY(XT!U11), DAY(XT!Y11), DAY(XT!AC11), DAY(XT!AG11)), MATCH(1, INDEX(--(MONTH(CHOOSE({1,2,3,4}, XT!U11,XT!Y11,XT!AC11,XT!AG11))=9), 0), 0)), "")</f>
        <v/>
      </c>
      <c r="AI11" s="51" t="str">
        <f>IF(XT!$P11&gt;0,AH11,"")</f>
        <v/>
      </c>
      <c r="AJ11" s="51" t="str">
        <f>IF(XT!$P11=0,AH11,"")</f>
        <v/>
      </c>
      <c r="AK11">
        <f>SUMPRODUCT((MONTH(CHOOSE({1,2,3,4},XT!U11,XT!Y11,XT!AC11,XT!AG11))=10)*(CHOOSE({1,2,3,4},XT!X11,XT!AB11,XT!AF11,XT!AJ11)))</f>
        <v>0</v>
      </c>
      <c r="AL11" t="str">
        <f>IFERROR(INDEX(CHOOSE({1,2,3,4}, DAY(XT!U11), DAY(XT!Y11), DAY(XT!AC11), DAY(XT!AG11)), MATCH(1, INDEX(--(MONTH(CHOOSE({1,2,3,4}, XT!U11,XT!Y11,XT!AC11,XT!AG11))=10), 0), 0)), "")</f>
        <v/>
      </c>
      <c r="AM11" s="51" t="str">
        <f>IF(XT!$P11&gt;0,AL11,"")</f>
        <v/>
      </c>
      <c r="AN11" s="51" t="str">
        <f>IF(XT!$P11=0,AL11,"")</f>
        <v/>
      </c>
      <c r="AO11">
        <f>SUMPRODUCT((MONTH(CHOOSE({1,2,3,4},XT!U11,XT!Y11,XT!AC11,XT!AG11))=11)*(CHOOSE({1,2,3,4},XT!X11,XT!AB11,XT!AF11,XT!AJ11)))</f>
        <v>0</v>
      </c>
      <c r="AP11" t="str">
        <f>IFERROR(INDEX(CHOOSE({1,2,3,4}, DAY(XT!U11), DAY(XT!Y11), DAY(XT!AC11), DAY(XT!AG11)), MATCH(1, INDEX(--(MONTH(CHOOSE({1,2,3,4}, XT!U11,XT!Y11,XT!AC11,XT!AG11))=11), 0), 0)), "")</f>
        <v/>
      </c>
      <c r="AQ11" s="51" t="str">
        <f>IF(XT!$P11&gt;0,AP11,"")</f>
        <v/>
      </c>
      <c r="AR11" s="51" t="str">
        <f>IF(XT!$P11=0,AP11,"")</f>
        <v/>
      </c>
      <c r="AS11">
        <f>SUMPRODUCT((MONTH(CHOOSE({1,2,3,4},XT!U11,XT!Y11,XT!AC11,XT!AG11))=12)*(CHOOSE({1,2,3,4},XT!X11,XT!AB11,XT!AF11,XT!AJ11)))</f>
        <v>0</v>
      </c>
      <c r="AT11" t="str">
        <f>IFERROR(INDEX(CHOOSE({1,2,3,4}, DAY(XT!U11), DAY(XT!Y11), DAY(XT!AC11), DAY(XT!AG11)), MATCH(1, INDEX(--(MONTH(CHOOSE({1,2,3,4}, XT!U11,XT!Y11,XT!AC11,XT!AG11))=12), 0), 0)), "")</f>
        <v/>
      </c>
      <c r="AU11" s="51" t="str">
        <f>IF(XT!$P11&gt;0,AT11,"")</f>
        <v/>
      </c>
      <c r="AV11" s="51" t="str">
        <f>IF(XT!$P11=0,AT11,"")</f>
        <v/>
      </c>
    </row>
    <row r="12" spans="1:48">
      <c r="A12">
        <f>SUMPRODUCT((MONTH(CHOOSE({1,2,3,4},XT!U12,XT!Y12,XT!AC12,XT!AG12))=1)*(CHOOSE({1,2,3,4},XT!X12,XT!AB12,XT!AF12,XT!AJ12)))</f>
        <v>0</v>
      </c>
      <c r="B12">
        <f>IFERROR(INDEX(CHOOSE({1,2,3,4}, DAY(XT!U12), DAY(XT!Y12), DAY(XT!AC12), DAY(XT!AG12)), MATCH(1, INDEX(--(MONTH(CHOOSE({1,2,3,4}, XT!U12,XT!Y12,XT!AC12,XT!AG12))=1), 0), 0)), "")</f>
        <v>0</v>
      </c>
      <c r="C12" s="51" t="str">
        <f>IF(XT!$P12&gt;0,B12,"")</f>
        <v/>
      </c>
      <c r="D12" s="51">
        <f>IF(XT!$P12=0,B12,"")</f>
        <v>0</v>
      </c>
      <c r="E12">
        <f>SUMPRODUCT((MONTH(CHOOSE({1,2,3,4},XT!U12,XT!Y12,XT!AC12,XT!AG12))=2)*(CHOOSE({1,2,3,4},XT!X12,XT!AB12,XT!AF12,XT!AJ12)))</f>
        <v>0</v>
      </c>
      <c r="F12" t="str">
        <f>IFERROR(INDEX(CHOOSE({1,2,3,4}, DAY(XT!U12), DAY(XT!Y12), DAY(XT!AC12), DAY(XT!AG12)), MATCH(1, INDEX(--(MONTH(CHOOSE({1,2,3,4}, XT!U12,XT!Y12,XT!AC12,XT!AG12))=2), 0), 0)), "")</f>
        <v/>
      </c>
      <c r="G12" s="51" t="str">
        <f>IF(XT!$P12&gt;0,F12,"")</f>
        <v/>
      </c>
      <c r="H12" s="51" t="str">
        <f>IF(XT!$P12=0,F12,"")</f>
        <v/>
      </c>
      <c r="I12">
        <f>SUMPRODUCT((MONTH(CHOOSE({1,2,3,4},XT!U12,XT!Y12,XT!AC12,XT!AG12))=3)*(CHOOSE({1,2,3,4},XT!X12,XT!AB12,XT!AF12,XT!AJ12)))</f>
        <v>0</v>
      </c>
      <c r="J12" t="str">
        <f>IFERROR(INDEX(CHOOSE({1,2,3,4}, DAY(XT!U12), DAY(XT!Y12), DAY(XT!AC12), DAY(XT!AG12)), MATCH(1, INDEX(--(MONTH(CHOOSE({1,2,3,4}, XT!U12,XT!Y12,XT!AC12,XT!AG12))=3), 0), 0)), "")</f>
        <v/>
      </c>
      <c r="K12" s="51" t="str">
        <f>IF(XT!$P12&gt;0,J12,"")</f>
        <v/>
      </c>
      <c r="L12" s="51" t="str">
        <f>IF(XT!$P12=0,J12,"")</f>
        <v/>
      </c>
      <c r="M12">
        <f>SUMPRODUCT((MONTH(CHOOSE({1,2,3,4},XT!U12,XT!Y12,XT!AC12,XT!AG12))=4)*(CHOOSE({1,2,3,4},XT!X12,XT!AB12,XT!AF12,XT!AJ12)))</f>
        <v>0</v>
      </c>
      <c r="N12" t="str">
        <f>IFERROR(INDEX(CHOOSE({1,2,3,4}, DAY(XT!U12), DAY(XT!Y12), DAY(XT!AC12), DAY(XT!AG12)), MATCH(1, INDEX(--(MONTH(CHOOSE({1,2,3,4}, XT!U12,XT!Y12,XT!AC12,XT!AG12))=4), 0), 0)), "")</f>
        <v/>
      </c>
      <c r="O12" s="51" t="str">
        <f>IF(XT!$P12&gt;0,N12,"")</f>
        <v/>
      </c>
      <c r="P12" s="51" t="str">
        <f>IF(XT!$P12=0,N12,"")</f>
        <v/>
      </c>
      <c r="Q12">
        <f>SUMPRODUCT((MONTH(CHOOSE({1,2,3,4},XT!U12,XT!Y12,XT!AC12,XT!AG12))=5)*(CHOOSE({1,2,3,4},XT!X12,XT!AB12,XT!AF12,XT!AJ12)))</f>
        <v>0</v>
      </c>
      <c r="R12" t="str">
        <f>IFERROR(INDEX(CHOOSE({1,2,3,4}, DAY(XT!U12), DAY(XT!Y12), DAY(XT!AC12), DAY(XT!AG12)), MATCH(1, INDEX(--(MONTH(CHOOSE({1,2,3,4}, XT!U12,XT!Y12,XT!AC12,XT!AG12))=5), 0), 0)), "")</f>
        <v/>
      </c>
      <c r="S12" s="51" t="str">
        <f>IF(XT!$P12&gt;0,R12,"")</f>
        <v/>
      </c>
      <c r="T12" s="51" t="str">
        <f>IF(XT!$P12=0,R12,"")</f>
        <v/>
      </c>
      <c r="U12">
        <f>SUMPRODUCT((MONTH(CHOOSE({1,2,3,4},XT!U12,XT!Y12,XT!AC12,XT!AG12))=6)*(CHOOSE({1,2,3,4},XT!X12,XT!AB12,XT!AF12,XT!AJ12)))</f>
        <v>0</v>
      </c>
      <c r="V12" t="str">
        <f>IFERROR(INDEX(CHOOSE({1,2,3,4}, DAY(XT!U12), DAY(XT!Y12), DAY(XT!AC12), DAY(XT!AG12)), MATCH(1, INDEX(--(MONTH(CHOOSE({1,2,3,4}, XT!U12,XT!Y12,XT!AC12,XT!AG12))=6), 0), 0)), "")</f>
        <v/>
      </c>
      <c r="W12" s="51" t="str">
        <f>IF(XT!$P12&gt;0,V12,"")</f>
        <v/>
      </c>
      <c r="X12" s="51" t="str">
        <f>IF(XT!$P12=0,V12,"")</f>
        <v/>
      </c>
      <c r="Y12">
        <f>SUMPRODUCT((MONTH(CHOOSE({1,2,3,4},XT!U12,XT!Y12,XT!AC12,XT!AG12))=7)*(CHOOSE({1,2,3,4},XT!X12,XT!AB12,XT!AF12,XT!AJ12)))</f>
        <v>0</v>
      </c>
      <c r="Z12" t="str">
        <f>IFERROR(INDEX(CHOOSE({1,2,3,4}, DAY(XT!U12), DAY(XT!Y12), DAY(XT!AC12), DAY(XT!AG12)), MATCH(1, INDEX(--(MONTH(CHOOSE({1,2,3,4}, XT!U12,XT!Y12,XT!AC12,XT!AG12))=7), 0), 0)), "")</f>
        <v/>
      </c>
      <c r="AA12" s="51" t="str">
        <f>IF(XT!$P12&gt;0,Z12,"")</f>
        <v/>
      </c>
      <c r="AB12" s="51" t="str">
        <f>IF(XT!$P12=0,Z12,"")</f>
        <v/>
      </c>
      <c r="AC12">
        <f>SUMPRODUCT((MONTH(CHOOSE({1,2,3,4},XT!U12,XT!Y12,XT!AC12,XT!AG12))=8)*(CHOOSE({1,2,3,4},XT!X12,XT!AB12,XT!AF12,XT!AJ12)))</f>
        <v>0</v>
      </c>
      <c r="AD12" t="str">
        <f>IFERROR(INDEX(CHOOSE({1,2,3,4}, DAY(XT!U12), DAY(XT!Y12), DAY(XT!AC12), DAY(XT!AG12)), MATCH(1, INDEX(--(MONTH(CHOOSE({1,2,3,4}, XT!U12,XT!Y12,XT!AC12,XT!AG12))=8), 0), 0)), "")</f>
        <v/>
      </c>
      <c r="AE12" s="51" t="str">
        <f>IF(XT!$P12&gt;0,AD12,"")</f>
        <v/>
      </c>
      <c r="AF12" s="51" t="str">
        <f>IF(XT!$P12=0,AD12,"")</f>
        <v/>
      </c>
      <c r="AG12">
        <f>SUMPRODUCT((MONTH(CHOOSE({1,2,3,4},XT!U12,XT!Y12,XT!AC12,XT!AG12))=9)*(CHOOSE({1,2,3,4},XT!X12,XT!AB12,XT!AF12,XT!AJ12)))</f>
        <v>0</v>
      </c>
      <c r="AH12" t="str">
        <f>IFERROR(INDEX(CHOOSE({1,2,3,4}, DAY(XT!U12), DAY(XT!Y12), DAY(XT!AC12), DAY(XT!AG12)), MATCH(1, INDEX(--(MONTH(CHOOSE({1,2,3,4}, XT!U12,XT!Y12,XT!AC12,XT!AG12))=9), 0), 0)), "")</f>
        <v/>
      </c>
      <c r="AI12" s="51" t="str">
        <f>IF(XT!$P12&gt;0,AH12,"")</f>
        <v/>
      </c>
      <c r="AJ12" s="51" t="str">
        <f>IF(XT!$P12=0,AH12,"")</f>
        <v/>
      </c>
      <c r="AK12">
        <f>SUMPRODUCT((MONTH(CHOOSE({1,2,3,4},XT!U12,XT!Y12,XT!AC12,XT!AG12))=10)*(CHOOSE({1,2,3,4},XT!X12,XT!AB12,XT!AF12,XT!AJ12)))</f>
        <v>0</v>
      </c>
      <c r="AL12" t="str">
        <f>IFERROR(INDEX(CHOOSE({1,2,3,4}, DAY(XT!U12), DAY(XT!Y12), DAY(XT!AC12), DAY(XT!AG12)), MATCH(1, INDEX(--(MONTH(CHOOSE({1,2,3,4}, XT!U12,XT!Y12,XT!AC12,XT!AG12))=10), 0), 0)), "")</f>
        <v/>
      </c>
      <c r="AM12" s="51" t="str">
        <f>IF(XT!$P12&gt;0,AL12,"")</f>
        <v/>
      </c>
      <c r="AN12" s="51" t="str">
        <f>IF(XT!$P12=0,AL12,"")</f>
        <v/>
      </c>
      <c r="AO12">
        <f>SUMPRODUCT((MONTH(CHOOSE({1,2,3,4},XT!U12,XT!Y12,XT!AC12,XT!AG12))=11)*(CHOOSE({1,2,3,4},XT!X12,XT!AB12,XT!AF12,XT!AJ12)))</f>
        <v>0</v>
      </c>
      <c r="AP12" t="str">
        <f>IFERROR(INDEX(CHOOSE({1,2,3,4}, DAY(XT!U12), DAY(XT!Y12), DAY(XT!AC12), DAY(XT!AG12)), MATCH(1, INDEX(--(MONTH(CHOOSE({1,2,3,4}, XT!U12,XT!Y12,XT!AC12,XT!AG12))=11), 0), 0)), "")</f>
        <v/>
      </c>
      <c r="AQ12" s="51" t="str">
        <f>IF(XT!$P12&gt;0,AP12,"")</f>
        <v/>
      </c>
      <c r="AR12" s="51" t="str">
        <f>IF(XT!$P12=0,AP12,"")</f>
        <v/>
      </c>
      <c r="AS12">
        <f>SUMPRODUCT((MONTH(CHOOSE({1,2,3,4},XT!U12,XT!Y12,XT!AC12,XT!AG12))=12)*(CHOOSE({1,2,3,4},XT!X12,XT!AB12,XT!AF12,XT!AJ12)))</f>
        <v>0</v>
      </c>
      <c r="AT12" t="str">
        <f>IFERROR(INDEX(CHOOSE({1,2,3,4}, DAY(XT!U12), DAY(XT!Y12), DAY(XT!AC12), DAY(XT!AG12)), MATCH(1, INDEX(--(MONTH(CHOOSE({1,2,3,4}, XT!U12,XT!Y12,XT!AC12,XT!AG12))=12), 0), 0)), "")</f>
        <v/>
      </c>
      <c r="AU12" s="51" t="str">
        <f>IF(XT!$P12&gt;0,AT12,"")</f>
        <v/>
      </c>
      <c r="AV12" s="51" t="str">
        <f>IF(XT!$P12=0,AT12,"")</f>
        <v/>
      </c>
    </row>
    <row r="13" spans="1:48">
      <c r="A13">
        <f>SUMPRODUCT((MONTH(CHOOSE({1,2,3,4},XT!U13,XT!Y13,XT!AC13,XT!AG13))=1)*(CHOOSE({1,2,3,4},XT!X13,XT!AB13,XT!AF13,XT!AJ13)))</f>
        <v>0</v>
      </c>
      <c r="B13">
        <f>IFERROR(INDEX(CHOOSE({1,2,3,4}, DAY(XT!U13), DAY(XT!Y13), DAY(XT!AC13), DAY(XT!AG13)), MATCH(1, INDEX(--(MONTH(CHOOSE({1,2,3,4}, XT!U13,XT!Y13,XT!AC13,XT!AG13))=1), 0), 0)), "")</f>
        <v>0</v>
      </c>
      <c r="C13" s="51" t="str">
        <f>IF(XT!$P13&gt;0,B13,"")</f>
        <v/>
      </c>
      <c r="D13" s="51">
        <f>IF(XT!$P13=0,B13,"")</f>
        <v>0</v>
      </c>
      <c r="E13">
        <f>SUMPRODUCT((MONTH(CHOOSE({1,2,3,4},XT!U13,XT!Y13,XT!AC13,XT!AG13))=2)*(CHOOSE({1,2,3,4},XT!X13,XT!AB13,XT!AF13,XT!AJ13)))</f>
        <v>0</v>
      </c>
      <c r="F13" t="str">
        <f>IFERROR(INDEX(CHOOSE({1,2,3,4}, DAY(XT!U13), DAY(XT!Y13), DAY(XT!AC13), DAY(XT!AG13)), MATCH(1, INDEX(--(MONTH(CHOOSE({1,2,3,4}, XT!U13,XT!Y13,XT!AC13,XT!AG13))=2), 0), 0)), "")</f>
        <v/>
      </c>
      <c r="G13" s="51" t="str">
        <f>IF(XT!$P13&gt;0,F13,"")</f>
        <v/>
      </c>
      <c r="H13" s="51" t="str">
        <f>IF(XT!$P13=0,F13,"")</f>
        <v/>
      </c>
      <c r="I13">
        <f>SUMPRODUCT((MONTH(CHOOSE({1,2,3,4},XT!U13,XT!Y13,XT!AC13,XT!AG13))=3)*(CHOOSE({1,2,3,4},XT!X13,XT!AB13,XT!AF13,XT!AJ13)))</f>
        <v>0</v>
      </c>
      <c r="J13" t="str">
        <f>IFERROR(INDEX(CHOOSE({1,2,3,4}, DAY(XT!U13), DAY(XT!Y13), DAY(XT!AC13), DAY(XT!AG13)), MATCH(1, INDEX(--(MONTH(CHOOSE({1,2,3,4}, XT!U13,XT!Y13,XT!AC13,XT!AG13))=3), 0), 0)), "")</f>
        <v/>
      </c>
      <c r="K13" s="51" t="str">
        <f>IF(XT!$P13&gt;0,J13,"")</f>
        <v/>
      </c>
      <c r="L13" s="51" t="str">
        <f>IF(XT!$P13=0,J13,"")</f>
        <v/>
      </c>
      <c r="M13">
        <f>SUMPRODUCT((MONTH(CHOOSE({1,2,3,4},XT!U13,XT!Y13,XT!AC13,XT!AG13))=4)*(CHOOSE({1,2,3,4},XT!X13,XT!AB13,XT!AF13,XT!AJ13)))</f>
        <v>0</v>
      </c>
      <c r="N13" t="str">
        <f>IFERROR(INDEX(CHOOSE({1,2,3,4}, DAY(XT!U13), DAY(XT!Y13), DAY(XT!AC13), DAY(XT!AG13)), MATCH(1, INDEX(--(MONTH(CHOOSE({1,2,3,4}, XT!U13,XT!Y13,XT!AC13,XT!AG13))=4), 0), 0)), "")</f>
        <v/>
      </c>
      <c r="O13" s="51" t="str">
        <f>IF(XT!$P13&gt;0,N13,"")</f>
        <v/>
      </c>
      <c r="P13" s="51" t="str">
        <f>IF(XT!$P13=0,N13,"")</f>
        <v/>
      </c>
      <c r="Q13">
        <f>SUMPRODUCT((MONTH(CHOOSE({1,2,3,4},XT!U13,XT!Y13,XT!AC13,XT!AG13))=5)*(CHOOSE({1,2,3,4},XT!X13,XT!AB13,XT!AF13,XT!AJ13)))</f>
        <v>0</v>
      </c>
      <c r="R13" t="str">
        <f>IFERROR(INDEX(CHOOSE({1,2,3,4}, DAY(XT!U13), DAY(XT!Y13), DAY(XT!AC13), DAY(XT!AG13)), MATCH(1, INDEX(--(MONTH(CHOOSE({1,2,3,4}, XT!U13,XT!Y13,XT!AC13,XT!AG13))=5), 0), 0)), "")</f>
        <v/>
      </c>
      <c r="S13" s="51" t="str">
        <f>IF(XT!$P13&gt;0,R13,"")</f>
        <v/>
      </c>
      <c r="T13" s="51" t="str">
        <f>IF(XT!$P13=0,R13,"")</f>
        <v/>
      </c>
      <c r="U13">
        <f>SUMPRODUCT((MONTH(CHOOSE({1,2,3,4},XT!U13,XT!Y13,XT!AC13,XT!AG13))=6)*(CHOOSE({1,2,3,4},XT!X13,XT!AB13,XT!AF13,XT!AJ13)))</f>
        <v>0</v>
      </c>
      <c r="V13" t="str">
        <f>IFERROR(INDEX(CHOOSE({1,2,3,4}, DAY(XT!U13), DAY(XT!Y13), DAY(XT!AC13), DAY(XT!AG13)), MATCH(1, INDEX(--(MONTH(CHOOSE({1,2,3,4}, XT!U13,XT!Y13,XT!AC13,XT!AG13))=6), 0), 0)), "")</f>
        <v/>
      </c>
      <c r="W13" s="51" t="str">
        <f>IF(XT!$P13&gt;0,V13,"")</f>
        <v/>
      </c>
      <c r="X13" s="51" t="str">
        <f>IF(XT!$P13=0,V13,"")</f>
        <v/>
      </c>
      <c r="Y13">
        <f>SUMPRODUCT((MONTH(CHOOSE({1,2,3,4},XT!U13,XT!Y13,XT!AC13,XT!AG13))=7)*(CHOOSE({1,2,3,4},XT!X13,XT!AB13,XT!AF13,XT!AJ13)))</f>
        <v>0</v>
      </c>
      <c r="Z13" t="str">
        <f>IFERROR(INDEX(CHOOSE({1,2,3,4}, DAY(XT!U13), DAY(XT!Y13), DAY(XT!AC13), DAY(XT!AG13)), MATCH(1, INDEX(--(MONTH(CHOOSE({1,2,3,4}, XT!U13,XT!Y13,XT!AC13,XT!AG13))=7), 0), 0)), "")</f>
        <v/>
      </c>
      <c r="AA13" s="51" t="str">
        <f>IF(XT!$P13&gt;0,Z13,"")</f>
        <v/>
      </c>
      <c r="AB13" s="51" t="str">
        <f>IF(XT!$P13=0,Z13,"")</f>
        <v/>
      </c>
      <c r="AC13">
        <f>SUMPRODUCT((MONTH(CHOOSE({1,2,3,4},XT!U13,XT!Y13,XT!AC13,XT!AG13))=8)*(CHOOSE({1,2,3,4},XT!X13,XT!AB13,XT!AF13,XT!AJ13)))</f>
        <v>0</v>
      </c>
      <c r="AD13" t="str">
        <f>IFERROR(INDEX(CHOOSE({1,2,3,4}, DAY(XT!U13), DAY(XT!Y13), DAY(XT!AC13), DAY(XT!AG13)), MATCH(1, INDEX(--(MONTH(CHOOSE({1,2,3,4}, XT!U13,XT!Y13,XT!AC13,XT!AG13))=8), 0), 0)), "")</f>
        <v/>
      </c>
      <c r="AE13" s="51" t="str">
        <f>IF(XT!$P13&gt;0,AD13,"")</f>
        <v/>
      </c>
      <c r="AF13" s="51" t="str">
        <f>IF(XT!$P13=0,AD13,"")</f>
        <v/>
      </c>
      <c r="AG13">
        <f>SUMPRODUCT((MONTH(CHOOSE({1,2,3,4},XT!U13,XT!Y13,XT!AC13,XT!AG13))=9)*(CHOOSE({1,2,3,4},XT!X13,XT!AB13,XT!AF13,XT!AJ13)))</f>
        <v>0</v>
      </c>
      <c r="AH13" t="str">
        <f>IFERROR(INDEX(CHOOSE({1,2,3,4}, DAY(XT!U13), DAY(XT!Y13), DAY(XT!AC13), DAY(XT!AG13)), MATCH(1, INDEX(--(MONTH(CHOOSE({1,2,3,4}, XT!U13,XT!Y13,XT!AC13,XT!AG13))=9), 0), 0)), "")</f>
        <v/>
      </c>
      <c r="AI13" s="51" t="str">
        <f>IF(XT!$P13&gt;0,AH13,"")</f>
        <v/>
      </c>
      <c r="AJ13" s="51" t="str">
        <f>IF(XT!$P13=0,AH13,"")</f>
        <v/>
      </c>
      <c r="AK13">
        <f>SUMPRODUCT((MONTH(CHOOSE({1,2,3,4},XT!U13,XT!Y13,XT!AC13,XT!AG13))=10)*(CHOOSE({1,2,3,4},XT!X13,XT!AB13,XT!AF13,XT!AJ13)))</f>
        <v>0</v>
      </c>
      <c r="AL13" t="str">
        <f>IFERROR(INDEX(CHOOSE({1,2,3,4}, DAY(XT!U13), DAY(XT!Y13), DAY(XT!AC13), DAY(XT!AG13)), MATCH(1, INDEX(--(MONTH(CHOOSE({1,2,3,4}, XT!U13,XT!Y13,XT!AC13,XT!AG13))=10), 0), 0)), "")</f>
        <v/>
      </c>
      <c r="AM13" s="51" t="str">
        <f>IF(XT!$P13&gt;0,AL13,"")</f>
        <v/>
      </c>
      <c r="AN13" s="51" t="str">
        <f>IF(XT!$P13=0,AL13,"")</f>
        <v/>
      </c>
      <c r="AO13">
        <f>SUMPRODUCT((MONTH(CHOOSE({1,2,3,4},XT!U13,XT!Y13,XT!AC13,XT!AG13))=11)*(CHOOSE({1,2,3,4},XT!X13,XT!AB13,XT!AF13,XT!AJ13)))</f>
        <v>0</v>
      </c>
      <c r="AP13" t="str">
        <f>IFERROR(INDEX(CHOOSE({1,2,3,4}, DAY(XT!U13), DAY(XT!Y13), DAY(XT!AC13), DAY(XT!AG13)), MATCH(1, INDEX(--(MONTH(CHOOSE({1,2,3,4}, XT!U13,XT!Y13,XT!AC13,XT!AG13))=11), 0), 0)), "")</f>
        <v/>
      </c>
      <c r="AQ13" s="51" t="str">
        <f>IF(XT!$P13&gt;0,AP13,"")</f>
        <v/>
      </c>
      <c r="AR13" s="51" t="str">
        <f>IF(XT!$P13=0,AP13,"")</f>
        <v/>
      </c>
      <c r="AS13">
        <f>SUMPRODUCT((MONTH(CHOOSE({1,2,3,4},XT!U13,XT!Y13,XT!AC13,XT!AG13))=12)*(CHOOSE({1,2,3,4},XT!X13,XT!AB13,XT!AF13,XT!AJ13)))</f>
        <v>0</v>
      </c>
      <c r="AT13" t="str">
        <f>IFERROR(INDEX(CHOOSE({1,2,3,4}, DAY(XT!U13), DAY(XT!Y13), DAY(XT!AC13), DAY(XT!AG13)), MATCH(1, INDEX(--(MONTH(CHOOSE({1,2,3,4}, XT!U13,XT!Y13,XT!AC13,XT!AG13))=12), 0), 0)), "")</f>
        <v/>
      </c>
      <c r="AU13" s="51" t="str">
        <f>IF(XT!$P13&gt;0,AT13,"")</f>
        <v/>
      </c>
      <c r="AV13" s="51" t="str">
        <f>IF(XT!$P13=0,AT13,"")</f>
        <v/>
      </c>
    </row>
    <row r="14" spans="1:48">
      <c r="A14">
        <f>SUMPRODUCT((MONTH(CHOOSE({1,2,3,4},XT!U14,XT!Y14,XT!AC14,XT!AG14))=1)*(CHOOSE({1,2,3,4},XT!X14,XT!AB14,XT!AF14,XT!AJ14)))</f>
        <v>0</v>
      </c>
      <c r="B14">
        <f>IFERROR(INDEX(CHOOSE({1,2,3,4}, DAY(XT!U14), DAY(XT!Y14), DAY(XT!AC14), DAY(XT!AG14)), MATCH(1, INDEX(--(MONTH(CHOOSE({1,2,3,4}, XT!U14,XT!Y14,XT!AC14,XT!AG14))=1), 0), 0)), "")</f>
        <v>0</v>
      </c>
      <c r="C14" s="51" t="str">
        <f>IF(XT!$P14&gt;0,B14,"")</f>
        <v/>
      </c>
      <c r="D14" s="51">
        <f>IF(XT!$P14=0,B14,"")</f>
        <v>0</v>
      </c>
      <c r="E14">
        <f>SUMPRODUCT((MONTH(CHOOSE({1,2,3,4},XT!U14,XT!Y14,XT!AC14,XT!AG14))=2)*(CHOOSE({1,2,3,4},XT!X14,XT!AB14,XT!AF14,XT!AJ14)))</f>
        <v>0</v>
      </c>
      <c r="F14" t="str">
        <f>IFERROR(INDEX(CHOOSE({1,2,3,4}, DAY(XT!U14), DAY(XT!Y14), DAY(XT!AC14), DAY(XT!AG14)), MATCH(1, INDEX(--(MONTH(CHOOSE({1,2,3,4}, XT!U14,XT!Y14,XT!AC14,XT!AG14))=2), 0), 0)), "")</f>
        <v/>
      </c>
      <c r="G14" s="51" t="str">
        <f>IF(XT!$P14&gt;0,F14,"")</f>
        <v/>
      </c>
      <c r="H14" s="51" t="str">
        <f>IF(XT!$P14=0,F14,"")</f>
        <v/>
      </c>
      <c r="I14">
        <f>SUMPRODUCT((MONTH(CHOOSE({1,2,3,4},XT!U14,XT!Y14,XT!AC14,XT!AG14))=3)*(CHOOSE({1,2,3,4},XT!X14,XT!AB14,XT!AF14,XT!AJ14)))</f>
        <v>0</v>
      </c>
      <c r="J14" t="str">
        <f>IFERROR(INDEX(CHOOSE({1,2,3,4}, DAY(XT!U14), DAY(XT!Y14), DAY(XT!AC14), DAY(XT!AG14)), MATCH(1, INDEX(--(MONTH(CHOOSE({1,2,3,4}, XT!U14,XT!Y14,XT!AC14,XT!AG14))=3), 0), 0)), "")</f>
        <v/>
      </c>
      <c r="K14" s="51" t="str">
        <f>IF(XT!$P14&gt;0,J14,"")</f>
        <v/>
      </c>
      <c r="L14" s="51" t="str">
        <f>IF(XT!$P14=0,J14,"")</f>
        <v/>
      </c>
      <c r="M14">
        <f>SUMPRODUCT((MONTH(CHOOSE({1,2,3,4},XT!U14,XT!Y14,XT!AC14,XT!AG14))=4)*(CHOOSE({1,2,3,4},XT!X14,XT!AB14,XT!AF14,XT!AJ14)))</f>
        <v>0</v>
      </c>
      <c r="N14" t="str">
        <f>IFERROR(INDEX(CHOOSE({1,2,3,4}, DAY(XT!U14), DAY(XT!Y14), DAY(XT!AC14), DAY(XT!AG14)), MATCH(1, INDEX(--(MONTH(CHOOSE({1,2,3,4}, XT!U14,XT!Y14,XT!AC14,XT!AG14))=4), 0), 0)), "")</f>
        <v/>
      </c>
      <c r="O14" s="51" t="str">
        <f>IF(XT!$P14&gt;0,N14,"")</f>
        <v/>
      </c>
      <c r="P14" s="51" t="str">
        <f>IF(XT!$P14=0,N14,"")</f>
        <v/>
      </c>
      <c r="Q14">
        <f>SUMPRODUCT((MONTH(CHOOSE({1,2,3,4},XT!U14,XT!Y14,XT!AC14,XT!AG14))=5)*(CHOOSE({1,2,3,4},XT!X14,XT!AB14,XT!AF14,XT!AJ14)))</f>
        <v>0</v>
      </c>
      <c r="R14" t="str">
        <f>IFERROR(INDEX(CHOOSE({1,2,3,4}, DAY(XT!U14), DAY(XT!Y14), DAY(XT!AC14), DAY(XT!AG14)), MATCH(1, INDEX(--(MONTH(CHOOSE({1,2,3,4}, XT!U14,XT!Y14,XT!AC14,XT!AG14))=5), 0), 0)), "")</f>
        <v/>
      </c>
      <c r="S14" s="51" t="str">
        <f>IF(XT!$P14&gt;0,R14,"")</f>
        <v/>
      </c>
      <c r="T14" s="51" t="str">
        <f>IF(XT!$P14=0,R14,"")</f>
        <v/>
      </c>
      <c r="U14">
        <f>SUMPRODUCT((MONTH(CHOOSE({1,2,3,4},XT!U14,XT!Y14,XT!AC14,XT!AG14))=6)*(CHOOSE({1,2,3,4},XT!X14,XT!AB14,XT!AF14,XT!AJ14)))</f>
        <v>0</v>
      </c>
      <c r="V14" t="str">
        <f>IFERROR(INDEX(CHOOSE({1,2,3,4}, DAY(XT!U14), DAY(XT!Y14), DAY(XT!AC14), DAY(XT!AG14)), MATCH(1, INDEX(--(MONTH(CHOOSE({1,2,3,4}, XT!U14,XT!Y14,XT!AC14,XT!AG14))=6), 0), 0)), "")</f>
        <v/>
      </c>
      <c r="W14" s="51" t="str">
        <f>IF(XT!$P14&gt;0,V14,"")</f>
        <v/>
      </c>
      <c r="X14" s="51" t="str">
        <f>IF(XT!$P14=0,V14,"")</f>
        <v/>
      </c>
      <c r="Y14">
        <f>SUMPRODUCT((MONTH(CHOOSE({1,2,3,4},XT!U14,XT!Y14,XT!AC14,XT!AG14))=7)*(CHOOSE({1,2,3,4},XT!X14,XT!AB14,XT!AF14,XT!AJ14)))</f>
        <v>0</v>
      </c>
      <c r="Z14" t="str">
        <f>IFERROR(INDEX(CHOOSE({1,2,3,4}, DAY(XT!U14), DAY(XT!Y14), DAY(XT!AC14), DAY(XT!AG14)), MATCH(1, INDEX(--(MONTH(CHOOSE({1,2,3,4}, XT!U14,XT!Y14,XT!AC14,XT!AG14))=7), 0), 0)), "")</f>
        <v/>
      </c>
      <c r="AA14" s="51" t="str">
        <f>IF(XT!$P14&gt;0,Z14,"")</f>
        <v/>
      </c>
      <c r="AB14" s="51" t="str">
        <f>IF(XT!$P14=0,Z14,"")</f>
        <v/>
      </c>
      <c r="AC14">
        <f>SUMPRODUCT((MONTH(CHOOSE({1,2,3,4},XT!U14,XT!Y14,XT!AC14,XT!AG14))=8)*(CHOOSE({1,2,3,4},XT!X14,XT!AB14,XT!AF14,XT!AJ14)))</f>
        <v>0</v>
      </c>
      <c r="AD14" t="str">
        <f>IFERROR(INDEX(CHOOSE({1,2,3,4}, DAY(XT!U14), DAY(XT!Y14), DAY(XT!AC14), DAY(XT!AG14)), MATCH(1, INDEX(--(MONTH(CHOOSE({1,2,3,4}, XT!U14,XT!Y14,XT!AC14,XT!AG14))=8), 0), 0)), "")</f>
        <v/>
      </c>
      <c r="AE14" s="51" t="str">
        <f>IF(XT!$P14&gt;0,AD14,"")</f>
        <v/>
      </c>
      <c r="AF14" s="51" t="str">
        <f>IF(XT!$P14=0,AD14,"")</f>
        <v/>
      </c>
      <c r="AG14">
        <f>SUMPRODUCT((MONTH(CHOOSE({1,2,3,4},XT!U14,XT!Y14,XT!AC14,XT!AG14))=9)*(CHOOSE({1,2,3,4},XT!X14,XT!AB14,XT!AF14,XT!AJ14)))</f>
        <v>0</v>
      </c>
      <c r="AH14" t="str">
        <f>IFERROR(INDEX(CHOOSE({1,2,3,4}, DAY(XT!U14), DAY(XT!Y14), DAY(XT!AC14), DAY(XT!AG14)), MATCH(1, INDEX(--(MONTH(CHOOSE({1,2,3,4}, XT!U14,XT!Y14,XT!AC14,XT!AG14))=9), 0), 0)), "")</f>
        <v/>
      </c>
      <c r="AI14" s="51" t="str">
        <f>IF(XT!$P14&gt;0,AH14,"")</f>
        <v/>
      </c>
      <c r="AJ14" s="51" t="str">
        <f>IF(XT!$P14=0,AH14,"")</f>
        <v/>
      </c>
      <c r="AK14">
        <f>SUMPRODUCT((MONTH(CHOOSE({1,2,3,4},XT!U14,XT!Y14,XT!AC14,XT!AG14))=10)*(CHOOSE({1,2,3,4},XT!X14,XT!AB14,XT!AF14,XT!AJ14)))</f>
        <v>0</v>
      </c>
      <c r="AL14" t="str">
        <f>IFERROR(INDEX(CHOOSE({1,2,3,4}, DAY(XT!U14), DAY(XT!Y14), DAY(XT!AC14), DAY(XT!AG14)), MATCH(1, INDEX(--(MONTH(CHOOSE({1,2,3,4}, XT!U14,XT!Y14,XT!AC14,XT!AG14))=10), 0), 0)), "")</f>
        <v/>
      </c>
      <c r="AM14" s="51" t="str">
        <f>IF(XT!$P14&gt;0,AL14,"")</f>
        <v/>
      </c>
      <c r="AN14" s="51" t="str">
        <f>IF(XT!$P14=0,AL14,"")</f>
        <v/>
      </c>
      <c r="AO14">
        <f>SUMPRODUCT((MONTH(CHOOSE({1,2,3,4},XT!U14,XT!Y14,XT!AC14,XT!AG14))=11)*(CHOOSE({1,2,3,4},XT!X14,XT!AB14,XT!AF14,XT!AJ14)))</f>
        <v>0</v>
      </c>
      <c r="AP14" t="str">
        <f>IFERROR(INDEX(CHOOSE({1,2,3,4}, DAY(XT!U14), DAY(XT!Y14), DAY(XT!AC14), DAY(XT!AG14)), MATCH(1, INDEX(--(MONTH(CHOOSE({1,2,3,4}, XT!U14,XT!Y14,XT!AC14,XT!AG14))=11), 0), 0)), "")</f>
        <v/>
      </c>
      <c r="AQ14" s="51" t="str">
        <f>IF(XT!$P14&gt;0,AP14,"")</f>
        <v/>
      </c>
      <c r="AR14" s="51" t="str">
        <f>IF(XT!$P14=0,AP14,"")</f>
        <v/>
      </c>
      <c r="AS14">
        <f>SUMPRODUCT((MONTH(CHOOSE({1,2,3,4},XT!U14,XT!Y14,XT!AC14,XT!AG14))=12)*(CHOOSE({1,2,3,4},XT!X14,XT!AB14,XT!AF14,XT!AJ14)))</f>
        <v>0</v>
      </c>
      <c r="AT14" t="str">
        <f>IFERROR(INDEX(CHOOSE({1,2,3,4}, DAY(XT!U14), DAY(XT!Y14), DAY(XT!AC14), DAY(XT!AG14)), MATCH(1, INDEX(--(MONTH(CHOOSE({1,2,3,4}, XT!U14,XT!Y14,XT!AC14,XT!AG14))=12), 0), 0)), "")</f>
        <v/>
      </c>
      <c r="AU14" s="51" t="str">
        <f>IF(XT!$P14&gt;0,AT14,"")</f>
        <v/>
      </c>
      <c r="AV14" s="51" t="str">
        <f>IF(XT!$P14=0,AT14,"")</f>
        <v/>
      </c>
    </row>
    <row r="15" spans="1:48">
      <c r="A15">
        <f>SUMPRODUCT((MONTH(CHOOSE({1,2,3,4},XT!U15,XT!Y15,XT!AC15,XT!AG15))=1)*(CHOOSE({1,2,3,4},XT!X15,XT!AB15,XT!AF15,XT!AJ15)))</f>
        <v>0</v>
      </c>
      <c r="B15">
        <f>IFERROR(INDEX(CHOOSE({1,2,3,4}, DAY(XT!U15), DAY(XT!Y15), DAY(XT!AC15), DAY(XT!AG15)), MATCH(1, INDEX(--(MONTH(CHOOSE({1,2,3,4}, XT!U15,XT!Y15,XT!AC15,XT!AG15))=1), 0), 0)), "")</f>
        <v>0</v>
      </c>
      <c r="C15" s="51" t="str">
        <f>IF(XT!$P15&gt;0,B15,"")</f>
        <v/>
      </c>
      <c r="D15" s="51">
        <f>IF(XT!$P15=0,B15,"")</f>
        <v>0</v>
      </c>
      <c r="E15">
        <f>SUMPRODUCT((MONTH(CHOOSE({1,2,3,4},XT!U15,XT!Y15,XT!AC15,XT!AG15))=2)*(CHOOSE({1,2,3,4},XT!X15,XT!AB15,XT!AF15,XT!AJ15)))</f>
        <v>0</v>
      </c>
      <c r="F15" t="str">
        <f>IFERROR(INDEX(CHOOSE({1,2,3,4}, DAY(XT!U15), DAY(XT!Y15), DAY(XT!AC15), DAY(XT!AG15)), MATCH(1, INDEX(--(MONTH(CHOOSE({1,2,3,4}, XT!U15,XT!Y15,XT!AC15,XT!AG15))=2), 0), 0)), "")</f>
        <v/>
      </c>
      <c r="G15" s="51" t="str">
        <f>IF(XT!$P15&gt;0,F15,"")</f>
        <v/>
      </c>
      <c r="H15" s="51" t="str">
        <f>IF(XT!$P15=0,F15,"")</f>
        <v/>
      </c>
      <c r="I15">
        <f>SUMPRODUCT((MONTH(CHOOSE({1,2,3,4},XT!U15,XT!Y15,XT!AC15,XT!AG15))=3)*(CHOOSE({1,2,3,4},XT!X15,XT!AB15,XT!AF15,XT!AJ15)))</f>
        <v>0</v>
      </c>
      <c r="J15" t="str">
        <f>IFERROR(INDEX(CHOOSE({1,2,3,4}, DAY(XT!U15), DAY(XT!Y15), DAY(XT!AC15), DAY(XT!AG15)), MATCH(1, INDEX(--(MONTH(CHOOSE({1,2,3,4}, XT!U15,XT!Y15,XT!AC15,XT!AG15))=3), 0), 0)), "")</f>
        <v/>
      </c>
      <c r="K15" s="51" t="str">
        <f>IF(XT!$P15&gt;0,J15,"")</f>
        <v/>
      </c>
      <c r="L15" s="51" t="str">
        <f>IF(XT!$P15=0,J15,"")</f>
        <v/>
      </c>
      <c r="M15">
        <f>SUMPRODUCT((MONTH(CHOOSE({1,2,3,4},XT!U15,XT!Y15,XT!AC15,XT!AG15))=4)*(CHOOSE({1,2,3,4},XT!X15,XT!AB15,XT!AF15,XT!AJ15)))</f>
        <v>0</v>
      </c>
      <c r="N15" t="str">
        <f>IFERROR(INDEX(CHOOSE({1,2,3,4}, DAY(XT!U15), DAY(XT!Y15), DAY(XT!AC15), DAY(XT!AG15)), MATCH(1, INDEX(--(MONTH(CHOOSE({1,2,3,4}, XT!U15,XT!Y15,XT!AC15,XT!AG15))=4), 0), 0)), "")</f>
        <v/>
      </c>
      <c r="O15" s="51" t="str">
        <f>IF(XT!$P15&gt;0,N15,"")</f>
        <v/>
      </c>
      <c r="P15" s="51" t="str">
        <f>IF(XT!$P15=0,N15,"")</f>
        <v/>
      </c>
      <c r="Q15">
        <f>SUMPRODUCT((MONTH(CHOOSE({1,2,3,4},XT!U15,XT!Y15,XT!AC15,XT!AG15))=5)*(CHOOSE({1,2,3,4},XT!X15,XT!AB15,XT!AF15,XT!AJ15)))</f>
        <v>0</v>
      </c>
      <c r="R15" t="str">
        <f>IFERROR(INDEX(CHOOSE({1,2,3,4}, DAY(XT!U15), DAY(XT!Y15), DAY(XT!AC15), DAY(XT!AG15)), MATCH(1, INDEX(--(MONTH(CHOOSE({1,2,3,4}, XT!U15,XT!Y15,XT!AC15,XT!AG15))=5), 0), 0)), "")</f>
        <v/>
      </c>
      <c r="S15" s="51" t="str">
        <f>IF(XT!$P15&gt;0,R15,"")</f>
        <v/>
      </c>
      <c r="T15" s="51" t="str">
        <f>IF(XT!$P15=0,R15,"")</f>
        <v/>
      </c>
      <c r="U15">
        <f>SUMPRODUCT((MONTH(CHOOSE({1,2,3,4},XT!U15,XT!Y15,XT!AC15,XT!AG15))=6)*(CHOOSE({1,2,3,4},XT!X15,XT!AB15,XT!AF15,XT!AJ15)))</f>
        <v>0</v>
      </c>
      <c r="V15" t="str">
        <f>IFERROR(INDEX(CHOOSE({1,2,3,4}, DAY(XT!U15), DAY(XT!Y15), DAY(XT!AC15), DAY(XT!AG15)), MATCH(1, INDEX(--(MONTH(CHOOSE({1,2,3,4}, XT!U15,XT!Y15,XT!AC15,XT!AG15))=6), 0), 0)), "")</f>
        <v/>
      </c>
      <c r="W15" s="51" t="str">
        <f>IF(XT!$P15&gt;0,V15,"")</f>
        <v/>
      </c>
      <c r="X15" s="51" t="str">
        <f>IF(XT!$P15=0,V15,"")</f>
        <v/>
      </c>
      <c r="Y15">
        <f>SUMPRODUCT((MONTH(CHOOSE({1,2,3,4},XT!U15,XT!Y15,XT!AC15,XT!AG15))=7)*(CHOOSE({1,2,3,4},XT!X15,XT!AB15,XT!AF15,XT!AJ15)))</f>
        <v>0</v>
      </c>
      <c r="Z15" t="str">
        <f>IFERROR(INDEX(CHOOSE({1,2,3,4}, DAY(XT!U15), DAY(XT!Y15), DAY(XT!AC15), DAY(XT!AG15)), MATCH(1, INDEX(--(MONTH(CHOOSE({1,2,3,4}, XT!U15,XT!Y15,XT!AC15,XT!AG15))=7), 0), 0)), "")</f>
        <v/>
      </c>
      <c r="AA15" s="51" t="str">
        <f>IF(XT!$P15&gt;0,Z15,"")</f>
        <v/>
      </c>
      <c r="AB15" s="51" t="str">
        <f>IF(XT!$P15=0,Z15,"")</f>
        <v/>
      </c>
      <c r="AC15">
        <f>SUMPRODUCT((MONTH(CHOOSE({1,2,3,4},XT!U15,XT!Y15,XT!AC15,XT!AG15))=8)*(CHOOSE({1,2,3,4},XT!X15,XT!AB15,XT!AF15,XT!AJ15)))</f>
        <v>0</v>
      </c>
      <c r="AD15" t="str">
        <f>IFERROR(INDEX(CHOOSE({1,2,3,4}, DAY(XT!U15), DAY(XT!Y15), DAY(XT!AC15), DAY(XT!AG15)), MATCH(1, INDEX(--(MONTH(CHOOSE({1,2,3,4}, XT!U15,XT!Y15,XT!AC15,XT!AG15))=8), 0), 0)), "")</f>
        <v/>
      </c>
      <c r="AE15" s="51" t="str">
        <f>IF(XT!$P15&gt;0,AD15,"")</f>
        <v/>
      </c>
      <c r="AF15" s="51" t="str">
        <f>IF(XT!$P15=0,AD15,"")</f>
        <v/>
      </c>
      <c r="AG15">
        <f>SUMPRODUCT((MONTH(CHOOSE({1,2,3,4},XT!U15,XT!Y15,XT!AC15,XT!AG15))=9)*(CHOOSE({1,2,3,4},XT!X15,XT!AB15,XT!AF15,XT!AJ15)))</f>
        <v>0</v>
      </c>
      <c r="AH15" t="str">
        <f>IFERROR(INDEX(CHOOSE({1,2,3,4}, DAY(XT!U15), DAY(XT!Y15), DAY(XT!AC15), DAY(XT!AG15)), MATCH(1, INDEX(--(MONTH(CHOOSE({1,2,3,4}, XT!U15,XT!Y15,XT!AC15,XT!AG15))=9), 0), 0)), "")</f>
        <v/>
      </c>
      <c r="AI15" s="51" t="str">
        <f>IF(XT!$P15&gt;0,AH15,"")</f>
        <v/>
      </c>
      <c r="AJ15" s="51" t="str">
        <f>IF(XT!$P15=0,AH15,"")</f>
        <v/>
      </c>
      <c r="AK15">
        <f>SUMPRODUCT((MONTH(CHOOSE({1,2,3,4},XT!U15,XT!Y15,XT!AC15,XT!AG15))=10)*(CHOOSE({1,2,3,4},XT!X15,XT!AB15,XT!AF15,XT!AJ15)))</f>
        <v>0</v>
      </c>
      <c r="AL15" t="str">
        <f>IFERROR(INDEX(CHOOSE({1,2,3,4}, DAY(XT!U15), DAY(XT!Y15), DAY(XT!AC15), DAY(XT!AG15)), MATCH(1, INDEX(--(MONTH(CHOOSE({1,2,3,4}, XT!U15,XT!Y15,XT!AC15,XT!AG15))=10), 0), 0)), "")</f>
        <v/>
      </c>
      <c r="AM15" s="51" t="str">
        <f>IF(XT!$P15&gt;0,AL15,"")</f>
        <v/>
      </c>
      <c r="AN15" s="51" t="str">
        <f>IF(XT!$P15=0,AL15,"")</f>
        <v/>
      </c>
      <c r="AO15">
        <f>SUMPRODUCT((MONTH(CHOOSE({1,2,3,4},XT!U15,XT!Y15,XT!AC15,XT!AG15))=11)*(CHOOSE({1,2,3,4},XT!X15,XT!AB15,XT!AF15,XT!AJ15)))</f>
        <v>0</v>
      </c>
      <c r="AP15" t="str">
        <f>IFERROR(INDEX(CHOOSE({1,2,3,4}, DAY(XT!U15), DAY(XT!Y15), DAY(XT!AC15), DAY(XT!AG15)), MATCH(1, INDEX(--(MONTH(CHOOSE({1,2,3,4}, XT!U15,XT!Y15,XT!AC15,XT!AG15))=11), 0), 0)), "")</f>
        <v/>
      </c>
      <c r="AQ15" s="51" t="str">
        <f>IF(XT!$P15&gt;0,AP15,"")</f>
        <v/>
      </c>
      <c r="AR15" s="51" t="str">
        <f>IF(XT!$P15=0,AP15,"")</f>
        <v/>
      </c>
      <c r="AS15">
        <f>SUMPRODUCT((MONTH(CHOOSE({1,2,3,4},XT!U15,XT!Y15,XT!AC15,XT!AG15))=12)*(CHOOSE({1,2,3,4},XT!X15,XT!AB15,XT!AF15,XT!AJ15)))</f>
        <v>0</v>
      </c>
      <c r="AT15" t="str">
        <f>IFERROR(INDEX(CHOOSE({1,2,3,4}, DAY(XT!U15), DAY(XT!Y15), DAY(XT!AC15), DAY(XT!AG15)), MATCH(1, INDEX(--(MONTH(CHOOSE({1,2,3,4}, XT!U15,XT!Y15,XT!AC15,XT!AG15))=12), 0), 0)), "")</f>
        <v/>
      </c>
      <c r="AU15" s="51" t="str">
        <f>IF(XT!$P15&gt;0,AT15,"")</f>
        <v/>
      </c>
      <c r="AV15" s="51" t="str">
        <f>IF(XT!$P15=0,AT15,"")</f>
        <v/>
      </c>
    </row>
    <row r="16" spans="1:48">
      <c r="A16">
        <f>SUMPRODUCT((MONTH(CHOOSE({1,2,3,4},XT!U16,XT!Y16,XT!AC16,XT!AG16))=1)*(CHOOSE({1,2,3,4},XT!X16,XT!AB16,XT!AF16,XT!AJ16)))</f>
        <v>0</v>
      </c>
      <c r="B16">
        <f>IFERROR(INDEX(CHOOSE({1,2,3,4}, DAY(XT!U16), DAY(XT!Y16), DAY(XT!AC16), DAY(XT!AG16)), MATCH(1, INDEX(--(MONTH(CHOOSE({1,2,3,4}, XT!U16,XT!Y16,XT!AC16,XT!AG16))=1), 0), 0)), "")</f>
        <v>0</v>
      </c>
      <c r="C16" s="51" t="str">
        <f>IF(XT!$P16&gt;0,B16,"")</f>
        <v/>
      </c>
      <c r="D16" s="51">
        <f>IF(XT!$P16=0,B16,"")</f>
        <v>0</v>
      </c>
      <c r="E16">
        <f>SUMPRODUCT((MONTH(CHOOSE({1,2,3,4},XT!U16,XT!Y16,XT!AC16,XT!AG16))=2)*(CHOOSE({1,2,3,4},XT!X16,XT!AB16,XT!AF16,XT!AJ16)))</f>
        <v>0</v>
      </c>
      <c r="F16" t="str">
        <f>IFERROR(INDEX(CHOOSE({1,2,3,4}, DAY(XT!U16), DAY(XT!Y16), DAY(XT!AC16), DAY(XT!AG16)), MATCH(1, INDEX(--(MONTH(CHOOSE({1,2,3,4}, XT!U16,XT!Y16,XT!AC16,XT!AG16))=2), 0), 0)), "")</f>
        <v/>
      </c>
      <c r="G16" s="51" t="str">
        <f>IF(XT!$P16&gt;0,F16,"")</f>
        <v/>
      </c>
      <c r="H16" s="51" t="str">
        <f>IF(XT!$P16=0,F16,"")</f>
        <v/>
      </c>
      <c r="I16">
        <f>SUMPRODUCT((MONTH(CHOOSE({1,2,3,4},XT!U16,XT!Y16,XT!AC16,XT!AG16))=3)*(CHOOSE({1,2,3,4},XT!X16,XT!AB16,XT!AF16,XT!AJ16)))</f>
        <v>0</v>
      </c>
      <c r="J16" t="str">
        <f>IFERROR(INDEX(CHOOSE({1,2,3,4}, DAY(XT!U16), DAY(XT!Y16), DAY(XT!AC16), DAY(XT!AG16)), MATCH(1, INDEX(--(MONTH(CHOOSE({1,2,3,4}, XT!U16,XT!Y16,XT!AC16,XT!AG16))=3), 0), 0)), "")</f>
        <v/>
      </c>
      <c r="K16" s="51" t="str">
        <f>IF(XT!$P16&gt;0,J16,"")</f>
        <v/>
      </c>
      <c r="L16" s="51" t="str">
        <f>IF(XT!$P16=0,J16,"")</f>
        <v/>
      </c>
      <c r="M16">
        <f>SUMPRODUCT((MONTH(CHOOSE({1,2,3,4},XT!U16,XT!Y16,XT!AC16,XT!AG16))=4)*(CHOOSE({1,2,3,4},XT!X16,XT!AB16,XT!AF16,XT!AJ16)))</f>
        <v>0</v>
      </c>
      <c r="N16" t="str">
        <f>IFERROR(INDEX(CHOOSE({1,2,3,4}, DAY(XT!U16), DAY(XT!Y16), DAY(XT!AC16), DAY(XT!AG16)), MATCH(1, INDEX(--(MONTH(CHOOSE({1,2,3,4}, XT!U16,XT!Y16,XT!AC16,XT!AG16))=4), 0), 0)), "")</f>
        <v/>
      </c>
      <c r="O16" s="51" t="str">
        <f>IF(XT!$P16&gt;0,N16,"")</f>
        <v/>
      </c>
      <c r="P16" s="51" t="str">
        <f>IF(XT!$P16=0,N16,"")</f>
        <v/>
      </c>
      <c r="Q16">
        <f>SUMPRODUCT((MONTH(CHOOSE({1,2,3,4},XT!U16,XT!Y16,XT!AC16,XT!AG16))=5)*(CHOOSE({1,2,3,4},XT!X16,XT!AB16,XT!AF16,XT!AJ16)))</f>
        <v>0</v>
      </c>
      <c r="R16" t="str">
        <f>IFERROR(INDEX(CHOOSE({1,2,3,4}, DAY(XT!U16), DAY(XT!Y16), DAY(XT!AC16), DAY(XT!AG16)), MATCH(1, INDEX(--(MONTH(CHOOSE({1,2,3,4}, XT!U16,XT!Y16,XT!AC16,XT!AG16))=5), 0), 0)), "")</f>
        <v/>
      </c>
      <c r="S16" s="51" t="str">
        <f>IF(XT!$P16&gt;0,R16,"")</f>
        <v/>
      </c>
      <c r="T16" s="51" t="str">
        <f>IF(XT!$P16=0,R16,"")</f>
        <v/>
      </c>
      <c r="U16">
        <f>SUMPRODUCT((MONTH(CHOOSE({1,2,3,4},XT!U16,XT!Y16,XT!AC16,XT!AG16))=6)*(CHOOSE({1,2,3,4},XT!X16,XT!AB16,XT!AF16,XT!AJ16)))</f>
        <v>0</v>
      </c>
      <c r="V16" t="str">
        <f>IFERROR(INDEX(CHOOSE({1,2,3,4}, DAY(XT!U16), DAY(XT!Y16), DAY(XT!AC16), DAY(XT!AG16)), MATCH(1, INDEX(--(MONTH(CHOOSE({1,2,3,4}, XT!U16,XT!Y16,XT!AC16,XT!AG16))=6), 0), 0)), "")</f>
        <v/>
      </c>
      <c r="W16" s="51" t="str">
        <f>IF(XT!$P16&gt;0,V16,"")</f>
        <v/>
      </c>
      <c r="X16" s="51" t="str">
        <f>IF(XT!$P16=0,V16,"")</f>
        <v/>
      </c>
      <c r="Y16">
        <f>SUMPRODUCT((MONTH(CHOOSE({1,2,3,4},XT!U16,XT!Y16,XT!AC16,XT!AG16))=7)*(CHOOSE({1,2,3,4},XT!X16,XT!AB16,XT!AF16,XT!AJ16)))</f>
        <v>0</v>
      </c>
      <c r="Z16" t="str">
        <f>IFERROR(INDEX(CHOOSE({1,2,3,4}, DAY(XT!U16), DAY(XT!Y16), DAY(XT!AC16), DAY(XT!AG16)), MATCH(1, INDEX(--(MONTH(CHOOSE({1,2,3,4}, XT!U16,XT!Y16,XT!AC16,XT!AG16))=7), 0), 0)), "")</f>
        <v/>
      </c>
      <c r="AA16" s="51" t="str">
        <f>IF(XT!$P16&gt;0,Z16,"")</f>
        <v/>
      </c>
      <c r="AB16" s="51" t="str">
        <f>IF(XT!$P16=0,Z16,"")</f>
        <v/>
      </c>
      <c r="AC16">
        <f>SUMPRODUCT((MONTH(CHOOSE({1,2,3,4},XT!U16,XT!Y16,XT!AC16,XT!AG16))=8)*(CHOOSE({1,2,3,4},XT!X16,XT!AB16,XT!AF16,XT!AJ16)))</f>
        <v>0</v>
      </c>
      <c r="AD16" t="str">
        <f>IFERROR(INDEX(CHOOSE({1,2,3,4}, DAY(XT!U16), DAY(XT!Y16), DAY(XT!AC16), DAY(XT!AG16)), MATCH(1, INDEX(--(MONTH(CHOOSE({1,2,3,4}, XT!U16,XT!Y16,XT!AC16,XT!AG16))=8), 0), 0)), "")</f>
        <v/>
      </c>
      <c r="AE16" s="51" t="str">
        <f>IF(XT!$P16&gt;0,AD16,"")</f>
        <v/>
      </c>
      <c r="AF16" s="51" t="str">
        <f>IF(XT!$P16=0,AD16,"")</f>
        <v/>
      </c>
      <c r="AG16">
        <f>SUMPRODUCT((MONTH(CHOOSE({1,2,3,4},XT!U16,XT!Y16,XT!AC16,XT!AG16))=9)*(CHOOSE({1,2,3,4},XT!X16,XT!AB16,XT!AF16,XT!AJ16)))</f>
        <v>0</v>
      </c>
      <c r="AH16" t="str">
        <f>IFERROR(INDEX(CHOOSE({1,2,3,4}, DAY(XT!U16), DAY(XT!Y16), DAY(XT!AC16), DAY(XT!AG16)), MATCH(1, INDEX(--(MONTH(CHOOSE({1,2,3,4}, XT!U16,XT!Y16,XT!AC16,XT!AG16))=9), 0), 0)), "")</f>
        <v/>
      </c>
      <c r="AI16" s="51" t="str">
        <f>IF(XT!$P16&gt;0,AH16,"")</f>
        <v/>
      </c>
      <c r="AJ16" s="51" t="str">
        <f>IF(XT!$P16=0,AH16,"")</f>
        <v/>
      </c>
      <c r="AK16">
        <f>SUMPRODUCT((MONTH(CHOOSE({1,2,3,4},XT!U16,XT!Y16,XT!AC16,XT!AG16))=10)*(CHOOSE({1,2,3,4},XT!X16,XT!AB16,XT!AF16,XT!AJ16)))</f>
        <v>0</v>
      </c>
      <c r="AL16" t="str">
        <f>IFERROR(INDEX(CHOOSE({1,2,3,4}, DAY(XT!U16), DAY(XT!Y16), DAY(XT!AC16), DAY(XT!AG16)), MATCH(1, INDEX(--(MONTH(CHOOSE({1,2,3,4}, XT!U16,XT!Y16,XT!AC16,XT!AG16))=10), 0), 0)), "")</f>
        <v/>
      </c>
      <c r="AM16" s="51" t="str">
        <f>IF(XT!$P16&gt;0,AL16,"")</f>
        <v/>
      </c>
      <c r="AN16" s="51" t="str">
        <f>IF(XT!$P16=0,AL16,"")</f>
        <v/>
      </c>
      <c r="AO16">
        <f>SUMPRODUCT((MONTH(CHOOSE({1,2,3,4},XT!U16,XT!Y16,XT!AC16,XT!AG16))=11)*(CHOOSE({1,2,3,4},XT!X16,XT!AB16,XT!AF16,XT!AJ16)))</f>
        <v>0</v>
      </c>
      <c r="AP16" t="str">
        <f>IFERROR(INDEX(CHOOSE({1,2,3,4}, DAY(XT!U16), DAY(XT!Y16), DAY(XT!AC16), DAY(XT!AG16)), MATCH(1, INDEX(--(MONTH(CHOOSE({1,2,3,4}, XT!U16,XT!Y16,XT!AC16,XT!AG16))=11), 0), 0)), "")</f>
        <v/>
      </c>
      <c r="AQ16" s="51" t="str">
        <f>IF(XT!$P16&gt;0,AP16,"")</f>
        <v/>
      </c>
      <c r="AR16" s="51" t="str">
        <f>IF(XT!$P16=0,AP16,"")</f>
        <v/>
      </c>
      <c r="AS16">
        <f>SUMPRODUCT((MONTH(CHOOSE({1,2,3,4},XT!U16,XT!Y16,XT!AC16,XT!AG16))=12)*(CHOOSE({1,2,3,4},XT!X16,XT!AB16,XT!AF16,XT!AJ16)))</f>
        <v>0</v>
      </c>
      <c r="AT16" t="str">
        <f>IFERROR(INDEX(CHOOSE({1,2,3,4}, DAY(XT!U16), DAY(XT!Y16), DAY(XT!AC16), DAY(XT!AG16)), MATCH(1, INDEX(--(MONTH(CHOOSE({1,2,3,4}, XT!U16,XT!Y16,XT!AC16,XT!AG16))=12), 0), 0)), "")</f>
        <v/>
      </c>
      <c r="AU16" s="51" t="str">
        <f>IF(XT!$P16&gt;0,AT16,"")</f>
        <v/>
      </c>
      <c r="AV16" s="51" t="str">
        <f>IF(XT!$P16=0,AT16,"")</f>
        <v/>
      </c>
    </row>
    <row r="17" spans="1:48">
      <c r="A17">
        <f>SUMPRODUCT((MONTH(CHOOSE({1,2,3,4},XT!U17,XT!Y17,XT!AC17,XT!AG17))=1)*(CHOOSE({1,2,3,4},XT!X17,XT!AB17,XT!AF17,XT!AJ17)))</f>
        <v>0</v>
      </c>
      <c r="B17">
        <f>IFERROR(INDEX(CHOOSE({1,2,3,4}, DAY(XT!U17), DAY(XT!Y17), DAY(XT!AC17), DAY(XT!AG17)), MATCH(1, INDEX(--(MONTH(CHOOSE({1,2,3,4}, XT!U17,XT!Y17,XT!AC17,XT!AG17))=1), 0), 0)), "")</f>
        <v>0</v>
      </c>
      <c r="C17" s="51" t="str">
        <f>IF(XT!$P17&gt;0,B17,"")</f>
        <v/>
      </c>
      <c r="D17" s="51">
        <f>IF(XT!$P17=0,B17,"")</f>
        <v>0</v>
      </c>
      <c r="E17">
        <f>SUMPRODUCT((MONTH(CHOOSE({1,2,3,4},XT!U17,XT!Y17,XT!AC17,XT!AG17))=2)*(CHOOSE({1,2,3,4},XT!X17,XT!AB17,XT!AF17,XT!AJ17)))</f>
        <v>0</v>
      </c>
      <c r="F17" t="str">
        <f>IFERROR(INDEX(CHOOSE({1,2,3,4}, DAY(XT!U17), DAY(XT!Y17), DAY(XT!AC17), DAY(XT!AG17)), MATCH(1, INDEX(--(MONTH(CHOOSE({1,2,3,4}, XT!U17,XT!Y17,XT!AC17,XT!AG17))=2), 0), 0)), "")</f>
        <v/>
      </c>
      <c r="G17" s="51" t="str">
        <f>IF(XT!$P17&gt;0,F17,"")</f>
        <v/>
      </c>
      <c r="H17" s="51" t="str">
        <f>IF(XT!$P17=0,F17,"")</f>
        <v/>
      </c>
      <c r="I17">
        <f>SUMPRODUCT((MONTH(CHOOSE({1,2,3,4},XT!U17,XT!Y17,XT!AC17,XT!AG17))=3)*(CHOOSE({1,2,3,4},XT!X17,XT!AB17,XT!AF17,XT!AJ17)))</f>
        <v>0</v>
      </c>
      <c r="J17" t="str">
        <f>IFERROR(INDEX(CHOOSE({1,2,3,4}, DAY(XT!U17), DAY(XT!Y17), DAY(XT!AC17), DAY(XT!AG17)), MATCH(1, INDEX(--(MONTH(CHOOSE({1,2,3,4}, XT!U17,XT!Y17,XT!AC17,XT!AG17))=3), 0), 0)), "")</f>
        <v/>
      </c>
      <c r="K17" s="51" t="str">
        <f>IF(XT!$P17&gt;0,J17,"")</f>
        <v/>
      </c>
      <c r="L17" s="51" t="str">
        <f>IF(XT!$P17=0,J17,"")</f>
        <v/>
      </c>
      <c r="M17">
        <f>SUMPRODUCT((MONTH(CHOOSE({1,2,3,4},XT!U17,XT!Y17,XT!AC17,XT!AG17))=4)*(CHOOSE({1,2,3,4},XT!X17,XT!AB17,XT!AF17,XT!AJ17)))</f>
        <v>0</v>
      </c>
      <c r="N17" t="str">
        <f>IFERROR(INDEX(CHOOSE({1,2,3,4}, DAY(XT!U17), DAY(XT!Y17), DAY(XT!AC17), DAY(XT!AG17)), MATCH(1, INDEX(--(MONTH(CHOOSE({1,2,3,4}, XT!U17,XT!Y17,XT!AC17,XT!AG17))=4), 0), 0)), "")</f>
        <v/>
      </c>
      <c r="O17" s="51" t="str">
        <f>IF(XT!$P17&gt;0,N17,"")</f>
        <v/>
      </c>
      <c r="P17" s="51" t="str">
        <f>IF(XT!$P17=0,N17,"")</f>
        <v/>
      </c>
      <c r="Q17">
        <f>SUMPRODUCT((MONTH(CHOOSE({1,2,3,4},XT!U17,XT!Y17,XT!AC17,XT!AG17))=5)*(CHOOSE({1,2,3,4},XT!X17,XT!AB17,XT!AF17,XT!AJ17)))</f>
        <v>0</v>
      </c>
      <c r="R17" t="str">
        <f>IFERROR(INDEX(CHOOSE({1,2,3,4}, DAY(XT!U17), DAY(XT!Y17), DAY(XT!AC17), DAY(XT!AG17)), MATCH(1, INDEX(--(MONTH(CHOOSE({1,2,3,4}, XT!U17,XT!Y17,XT!AC17,XT!AG17))=5), 0), 0)), "")</f>
        <v/>
      </c>
      <c r="S17" s="51" t="str">
        <f>IF(XT!$P17&gt;0,R17,"")</f>
        <v/>
      </c>
      <c r="T17" s="51" t="str">
        <f>IF(XT!$P17=0,R17,"")</f>
        <v/>
      </c>
      <c r="U17">
        <f>SUMPRODUCT((MONTH(CHOOSE({1,2,3,4},XT!U17,XT!Y17,XT!AC17,XT!AG17))=6)*(CHOOSE({1,2,3,4},XT!X17,XT!AB17,XT!AF17,XT!AJ17)))</f>
        <v>0</v>
      </c>
      <c r="V17" t="str">
        <f>IFERROR(INDEX(CHOOSE({1,2,3,4}, DAY(XT!U17), DAY(XT!Y17), DAY(XT!AC17), DAY(XT!AG17)), MATCH(1, INDEX(--(MONTH(CHOOSE({1,2,3,4}, XT!U17,XT!Y17,XT!AC17,XT!AG17))=6), 0), 0)), "")</f>
        <v/>
      </c>
      <c r="W17" s="51" t="str">
        <f>IF(XT!$P17&gt;0,V17,"")</f>
        <v/>
      </c>
      <c r="X17" s="51" t="str">
        <f>IF(XT!$P17=0,V17,"")</f>
        <v/>
      </c>
      <c r="Y17">
        <f>SUMPRODUCT((MONTH(CHOOSE({1,2,3,4},XT!U17,XT!Y17,XT!AC17,XT!AG17))=7)*(CHOOSE({1,2,3,4},XT!X17,XT!AB17,XT!AF17,XT!AJ17)))</f>
        <v>0</v>
      </c>
      <c r="Z17" t="str">
        <f>IFERROR(INDEX(CHOOSE({1,2,3,4}, DAY(XT!U17), DAY(XT!Y17), DAY(XT!AC17), DAY(XT!AG17)), MATCH(1, INDEX(--(MONTH(CHOOSE({1,2,3,4}, XT!U17,XT!Y17,XT!AC17,XT!AG17))=7), 0), 0)), "")</f>
        <v/>
      </c>
      <c r="AA17" s="51" t="str">
        <f>IF(XT!$P17&gt;0,Z17,"")</f>
        <v/>
      </c>
      <c r="AB17" s="51" t="str">
        <f>IF(XT!$P17=0,Z17,"")</f>
        <v/>
      </c>
      <c r="AC17">
        <f>SUMPRODUCT((MONTH(CHOOSE({1,2,3,4},XT!U17,XT!Y17,XT!AC17,XT!AG17))=8)*(CHOOSE({1,2,3,4},XT!X17,XT!AB17,XT!AF17,XT!AJ17)))</f>
        <v>0</v>
      </c>
      <c r="AD17" t="str">
        <f>IFERROR(INDEX(CHOOSE({1,2,3,4}, DAY(XT!U17), DAY(XT!Y17), DAY(XT!AC17), DAY(XT!AG17)), MATCH(1, INDEX(--(MONTH(CHOOSE({1,2,3,4}, XT!U17,XT!Y17,XT!AC17,XT!AG17))=8), 0), 0)), "")</f>
        <v/>
      </c>
      <c r="AE17" s="51" t="str">
        <f>IF(XT!$P17&gt;0,AD17,"")</f>
        <v/>
      </c>
      <c r="AF17" s="51" t="str">
        <f>IF(XT!$P17=0,AD17,"")</f>
        <v/>
      </c>
      <c r="AG17">
        <f>SUMPRODUCT((MONTH(CHOOSE({1,2,3,4},XT!U17,XT!Y17,XT!AC17,XT!AG17))=9)*(CHOOSE({1,2,3,4},XT!X17,XT!AB17,XT!AF17,XT!AJ17)))</f>
        <v>0</v>
      </c>
      <c r="AH17" t="str">
        <f>IFERROR(INDEX(CHOOSE({1,2,3,4}, DAY(XT!U17), DAY(XT!Y17), DAY(XT!AC17), DAY(XT!AG17)), MATCH(1, INDEX(--(MONTH(CHOOSE({1,2,3,4}, XT!U17,XT!Y17,XT!AC17,XT!AG17))=9), 0), 0)), "")</f>
        <v/>
      </c>
      <c r="AI17" s="51" t="str">
        <f>IF(XT!$P17&gt;0,AH17,"")</f>
        <v/>
      </c>
      <c r="AJ17" s="51" t="str">
        <f>IF(XT!$P17=0,AH17,"")</f>
        <v/>
      </c>
      <c r="AK17">
        <f>SUMPRODUCT((MONTH(CHOOSE({1,2,3,4},XT!U17,XT!Y17,XT!AC17,XT!AG17))=10)*(CHOOSE({1,2,3,4},XT!X17,XT!AB17,XT!AF17,XT!AJ17)))</f>
        <v>0</v>
      </c>
      <c r="AL17" t="str">
        <f>IFERROR(INDEX(CHOOSE({1,2,3,4}, DAY(XT!U17), DAY(XT!Y17), DAY(XT!AC17), DAY(XT!AG17)), MATCH(1, INDEX(--(MONTH(CHOOSE({1,2,3,4}, XT!U17,XT!Y17,XT!AC17,XT!AG17))=10), 0), 0)), "")</f>
        <v/>
      </c>
      <c r="AM17" s="51" t="str">
        <f>IF(XT!$P17&gt;0,AL17,"")</f>
        <v/>
      </c>
      <c r="AN17" s="51" t="str">
        <f>IF(XT!$P17=0,AL17,"")</f>
        <v/>
      </c>
      <c r="AO17">
        <f>SUMPRODUCT((MONTH(CHOOSE({1,2,3,4},XT!U17,XT!Y17,XT!AC17,XT!AG17))=11)*(CHOOSE({1,2,3,4},XT!X17,XT!AB17,XT!AF17,XT!AJ17)))</f>
        <v>0</v>
      </c>
      <c r="AP17" t="str">
        <f>IFERROR(INDEX(CHOOSE({1,2,3,4}, DAY(XT!U17), DAY(XT!Y17), DAY(XT!AC17), DAY(XT!AG17)), MATCH(1, INDEX(--(MONTH(CHOOSE({1,2,3,4}, XT!U17,XT!Y17,XT!AC17,XT!AG17))=11), 0), 0)), "")</f>
        <v/>
      </c>
      <c r="AQ17" s="51" t="str">
        <f>IF(XT!$P17&gt;0,AP17,"")</f>
        <v/>
      </c>
      <c r="AR17" s="51" t="str">
        <f>IF(XT!$P17=0,AP17,"")</f>
        <v/>
      </c>
      <c r="AS17">
        <f>SUMPRODUCT((MONTH(CHOOSE({1,2,3,4},XT!U17,XT!Y17,XT!AC17,XT!AG17))=12)*(CHOOSE({1,2,3,4},XT!X17,XT!AB17,XT!AF17,XT!AJ17)))</f>
        <v>0</v>
      </c>
      <c r="AT17" t="str">
        <f>IFERROR(INDEX(CHOOSE({1,2,3,4}, DAY(XT!U17), DAY(XT!Y17), DAY(XT!AC17), DAY(XT!AG17)), MATCH(1, INDEX(--(MONTH(CHOOSE({1,2,3,4}, XT!U17,XT!Y17,XT!AC17,XT!AG17))=12), 0), 0)), "")</f>
        <v/>
      </c>
      <c r="AU17" s="51" t="str">
        <f>IF(XT!$P17&gt;0,AT17,"")</f>
        <v/>
      </c>
      <c r="AV17" s="51" t="str">
        <f>IF(XT!$P17=0,AT17,"")</f>
        <v/>
      </c>
    </row>
    <row r="18" spans="1:48">
      <c r="A18">
        <f>SUMPRODUCT((MONTH(CHOOSE({1,2,3,4},XT!U18,XT!Y18,XT!AC18,XT!AG18))=1)*(CHOOSE({1,2,3,4},XT!X18,XT!AB18,XT!AF18,XT!AJ18)))</f>
        <v>0</v>
      </c>
      <c r="B18">
        <f>IFERROR(INDEX(CHOOSE({1,2,3,4}, DAY(XT!U18), DAY(XT!Y18), DAY(XT!AC18), DAY(XT!AG18)), MATCH(1, INDEX(--(MONTH(CHOOSE({1,2,3,4}, XT!U18,XT!Y18,XT!AC18,XT!AG18))=1), 0), 0)), "")</f>
        <v>0</v>
      </c>
      <c r="C18" s="51" t="str">
        <f>IF(XT!$P18&gt;0,B18,"")</f>
        <v/>
      </c>
      <c r="D18" s="51">
        <f>IF(XT!$P18=0,B18,"")</f>
        <v>0</v>
      </c>
      <c r="E18">
        <f>SUMPRODUCT((MONTH(CHOOSE({1,2,3,4},XT!U18,XT!Y18,XT!AC18,XT!AG18))=2)*(CHOOSE({1,2,3,4},XT!X18,XT!AB18,XT!AF18,XT!AJ18)))</f>
        <v>0</v>
      </c>
      <c r="F18" t="str">
        <f>IFERROR(INDEX(CHOOSE({1,2,3,4}, DAY(XT!U18), DAY(XT!Y18), DAY(XT!AC18), DAY(XT!AG18)), MATCH(1, INDEX(--(MONTH(CHOOSE({1,2,3,4}, XT!U18,XT!Y18,XT!AC18,XT!AG18))=2), 0), 0)), "")</f>
        <v/>
      </c>
      <c r="G18" s="51" t="str">
        <f>IF(XT!$P18&gt;0,F18,"")</f>
        <v/>
      </c>
      <c r="H18" s="51" t="str">
        <f>IF(XT!$P18=0,F18,"")</f>
        <v/>
      </c>
      <c r="I18">
        <f>SUMPRODUCT((MONTH(CHOOSE({1,2,3,4},XT!U18,XT!Y18,XT!AC18,XT!AG18))=3)*(CHOOSE({1,2,3,4},XT!X18,XT!AB18,XT!AF18,XT!AJ18)))</f>
        <v>0</v>
      </c>
      <c r="J18" t="str">
        <f>IFERROR(INDEX(CHOOSE({1,2,3,4}, DAY(XT!U18), DAY(XT!Y18), DAY(XT!AC18), DAY(XT!AG18)), MATCH(1, INDEX(--(MONTH(CHOOSE({1,2,3,4}, XT!U18,XT!Y18,XT!AC18,XT!AG18))=3), 0), 0)), "")</f>
        <v/>
      </c>
      <c r="K18" s="51" t="str">
        <f>IF(XT!$P18&gt;0,J18,"")</f>
        <v/>
      </c>
      <c r="L18" s="51" t="str">
        <f>IF(XT!$P18=0,J18,"")</f>
        <v/>
      </c>
      <c r="M18">
        <f>SUMPRODUCT((MONTH(CHOOSE({1,2,3,4},XT!U18,XT!Y18,XT!AC18,XT!AG18))=4)*(CHOOSE({1,2,3,4},XT!X18,XT!AB18,XT!AF18,XT!AJ18)))</f>
        <v>0</v>
      </c>
      <c r="N18" t="str">
        <f>IFERROR(INDEX(CHOOSE({1,2,3,4}, DAY(XT!U18), DAY(XT!Y18), DAY(XT!AC18), DAY(XT!AG18)), MATCH(1, INDEX(--(MONTH(CHOOSE({1,2,3,4}, XT!U18,XT!Y18,XT!AC18,XT!AG18))=4), 0), 0)), "")</f>
        <v/>
      </c>
      <c r="O18" s="51" t="str">
        <f>IF(XT!$P18&gt;0,N18,"")</f>
        <v/>
      </c>
      <c r="P18" s="51" t="str">
        <f>IF(XT!$P18=0,N18,"")</f>
        <v/>
      </c>
      <c r="Q18">
        <f>SUMPRODUCT((MONTH(CHOOSE({1,2,3,4},XT!U18,XT!Y18,XT!AC18,XT!AG18))=5)*(CHOOSE({1,2,3,4},XT!X18,XT!AB18,XT!AF18,XT!AJ18)))</f>
        <v>0</v>
      </c>
      <c r="R18" t="str">
        <f>IFERROR(INDEX(CHOOSE({1,2,3,4}, DAY(XT!U18), DAY(XT!Y18), DAY(XT!AC18), DAY(XT!AG18)), MATCH(1, INDEX(--(MONTH(CHOOSE({1,2,3,4}, XT!U18,XT!Y18,XT!AC18,XT!AG18))=5), 0), 0)), "")</f>
        <v/>
      </c>
      <c r="S18" s="51" t="str">
        <f>IF(XT!$P18&gt;0,R18,"")</f>
        <v/>
      </c>
      <c r="T18" s="51" t="str">
        <f>IF(XT!$P18=0,R18,"")</f>
        <v/>
      </c>
      <c r="U18">
        <f>SUMPRODUCT((MONTH(CHOOSE({1,2,3,4},XT!U18,XT!Y18,XT!AC18,XT!AG18))=6)*(CHOOSE({1,2,3,4},XT!X18,XT!AB18,XT!AF18,XT!AJ18)))</f>
        <v>0</v>
      </c>
      <c r="V18" t="str">
        <f>IFERROR(INDEX(CHOOSE({1,2,3,4}, DAY(XT!U18), DAY(XT!Y18), DAY(XT!AC18), DAY(XT!AG18)), MATCH(1, INDEX(--(MONTH(CHOOSE({1,2,3,4}, XT!U18,XT!Y18,XT!AC18,XT!AG18))=6), 0), 0)), "")</f>
        <v/>
      </c>
      <c r="W18" s="51" t="str">
        <f>IF(XT!$P18&gt;0,V18,"")</f>
        <v/>
      </c>
      <c r="X18" s="51" t="str">
        <f>IF(XT!$P18=0,V18,"")</f>
        <v/>
      </c>
      <c r="Y18">
        <f>SUMPRODUCT((MONTH(CHOOSE({1,2,3,4},XT!U18,XT!Y18,XT!AC18,XT!AG18))=7)*(CHOOSE({1,2,3,4},XT!X18,XT!AB18,XT!AF18,XT!AJ18)))</f>
        <v>0</v>
      </c>
      <c r="Z18" t="str">
        <f>IFERROR(INDEX(CHOOSE({1,2,3,4}, DAY(XT!U18), DAY(XT!Y18), DAY(XT!AC18), DAY(XT!AG18)), MATCH(1, INDEX(--(MONTH(CHOOSE({1,2,3,4}, XT!U18,XT!Y18,XT!AC18,XT!AG18))=7), 0), 0)), "")</f>
        <v/>
      </c>
      <c r="AA18" s="51" t="str">
        <f>IF(XT!$P18&gt;0,Z18,"")</f>
        <v/>
      </c>
      <c r="AB18" s="51" t="str">
        <f>IF(XT!$P18=0,Z18,"")</f>
        <v/>
      </c>
      <c r="AC18">
        <f>SUMPRODUCT((MONTH(CHOOSE({1,2,3,4},XT!U18,XT!Y18,XT!AC18,XT!AG18))=8)*(CHOOSE({1,2,3,4},XT!X18,XT!AB18,XT!AF18,XT!AJ18)))</f>
        <v>0</v>
      </c>
      <c r="AD18" t="str">
        <f>IFERROR(INDEX(CHOOSE({1,2,3,4}, DAY(XT!U18), DAY(XT!Y18), DAY(XT!AC18), DAY(XT!AG18)), MATCH(1, INDEX(--(MONTH(CHOOSE({1,2,3,4}, XT!U18,XT!Y18,XT!AC18,XT!AG18))=8), 0), 0)), "")</f>
        <v/>
      </c>
      <c r="AE18" s="51" t="str">
        <f>IF(XT!$P18&gt;0,AD18,"")</f>
        <v/>
      </c>
      <c r="AF18" s="51" t="str">
        <f>IF(XT!$P18=0,AD18,"")</f>
        <v/>
      </c>
      <c r="AG18">
        <f>SUMPRODUCT((MONTH(CHOOSE({1,2,3,4},XT!U18,XT!Y18,XT!AC18,XT!AG18))=9)*(CHOOSE({1,2,3,4},XT!X18,XT!AB18,XT!AF18,XT!AJ18)))</f>
        <v>0</v>
      </c>
      <c r="AH18" t="str">
        <f>IFERROR(INDEX(CHOOSE({1,2,3,4}, DAY(XT!U18), DAY(XT!Y18), DAY(XT!AC18), DAY(XT!AG18)), MATCH(1, INDEX(--(MONTH(CHOOSE({1,2,3,4}, XT!U18,XT!Y18,XT!AC18,XT!AG18))=9), 0), 0)), "")</f>
        <v/>
      </c>
      <c r="AI18" s="51" t="str">
        <f>IF(XT!$P18&gt;0,AH18,"")</f>
        <v/>
      </c>
      <c r="AJ18" s="51" t="str">
        <f>IF(XT!$P18=0,AH18,"")</f>
        <v/>
      </c>
      <c r="AK18">
        <f>SUMPRODUCT((MONTH(CHOOSE({1,2,3,4},XT!U18,XT!Y18,XT!AC18,XT!AG18))=10)*(CHOOSE({1,2,3,4},XT!X18,XT!AB18,XT!AF18,XT!AJ18)))</f>
        <v>0</v>
      </c>
      <c r="AL18" t="str">
        <f>IFERROR(INDEX(CHOOSE({1,2,3,4}, DAY(XT!U18), DAY(XT!Y18), DAY(XT!AC18), DAY(XT!AG18)), MATCH(1, INDEX(--(MONTH(CHOOSE({1,2,3,4}, XT!U18,XT!Y18,XT!AC18,XT!AG18))=10), 0), 0)), "")</f>
        <v/>
      </c>
      <c r="AM18" s="51" t="str">
        <f>IF(XT!$P18&gt;0,AL18,"")</f>
        <v/>
      </c>
      <c r="AN18" s="51" t="str">
        <f>IF(XT!$P18=0,AL18,"")</f>
        <v/>
      </c>
      <c r="AO18">
        <f>SUMPRODUCT((MONTH(CHOOSE({1,2,3,4},XT!U18,XT!Y18,XT!AC18,XT!AG18))=11)*(CHOOSE({1,2,3,4},XT!X18,XT!AB18,XT!AF18,XT!AJ18)))</f>
        <v>0</v>
      </c>
      <c r="AP18" t="str">
        <f>IFERROR(INDEX(CHOOSE({1,2,3,4}, DAY(XT!U18), DAY(XT!Y18), DAY(XT!AC18), DAY(XT!AG18)), MATCH(1, INDEX(--(MONTH(CHOOSE({1,2,3,4}, XT!U18,XT!Y18,XT!AC18,XT!AG18))=11), 0), 0)), "")</f>
        <v/>
      </c>
      <c r="AQ18" s="51" t="str">
        <f>IF(XT!$P18&gt;0,AP18,"")</f>
        <v/>
      </c>
      <c r="AR18" s="51" t="str">
        <f>IF(XT!$P18=0,AP18,"")</f>
        <v/>
      </c>
      <c r="AS18">
        <f>SUMPRODUCT((MONTH(CHOOSE({1,2,3,4},XT!U18,XT!Y18,XT!AC18,XT!AG18))=12)*(CHOOSE({1,2,3,4},XT!X18,XT!AB18,XT!AF18,XT!AJ18)))</f>
        <v>0</v>
      </c>
      <c r="AT18" t="str">
        <f>IFERROR(INDEX(CHOOSE({1,2,3,4}, DAY(XT!U18), DAY(XT!Y18), DAY(XT!AC18), DAY(XT!AG18)), MATCH(1, INDEX(--(MONTH(CHOOSE({1,2,3,4}, XT!U18,XT!Y18,XT!AC18,XT!AG18))=12), 0), 0)), "")</f>
        <v/>
      </c>
      <c r="AU18" s="51" t="str">
        <f>IF(XT!$P18&gt;0,AT18,"")</f>
        <v/>
      </c>
      <c r="AV18" s="51" t="str">
        <f>IF(XT!$P18=0,AT18,"")</f>
        <v/>
      </c>
    </row>
    <row r="19" spans="1:48">
      <c r="A19">
        <f>SUMPRODUCT((MONTH(CHOOSE({1,2,3,4},XT!U19,XT!Y19,XT!AC19,XT!AG19))=1)*(CHOOSE({1,2,3,4},XT!X19,XT!AB19,XT!AF19,XT!AJ19)))</f>
        <v>0</v>
      </c>
      <c r="B19">
        <f>IFERROR(INDEX(CHOOSE({1,2,3,4}, DAY(XT!U19), DAY(XT!Y19), DAY(XT!AC19), DAY(XT!AG19)), MATCH(1, INDEX(--(MONTH(CHOOSE({1,2,3,4}, XT!U19,XT!Y19,XT!AC19,XT!AG19))=1), 0), 0)), "")</f>
        <v>0</v>
      </c>
      <c r="C19" s="51" t="str">
        <f>IF(XT!$P19&gt;0,B19,"")</f>
        <v/>
      </c>
      <c r="D19" s="51">
        <f>IF(XT!$P19=0,B19,"")</f>
        <v>0</v>
      </c>
      <c r="E19">
        <f>SUMPRODUCT((MONTH(CHOOSE({1,2,3,4},XT!U19,XT!Y19,XT!AC19,XT!AG19))=2)*(CHOOSE({1,2,3,4},XT!X19,XT!AB19,XT!AF19,XT!AJ19)))</f>
        <v>0</v>
      </c>
      <c r="F19" t="str">
        <f>IFERROR(INDEX(CHOOSE({1,2,3,4}, DAY(XT!U19), DAY(XT!Y19), DAY(XT!AC19), DAY(XT!AG19)), MATCH(1, INDEX(--(MONTH(CHOOSE({1,2,3,4}, XT!U19,XT!Y19,XT!AC19,XT!AG19))=2), 0), 0)), "")</f>
        <v/>
      </c>
      <c r="G19" s="51" t="str">
        <f>IF(XT!$P19&gt;0,F19,"")</f>
        <v/>
      </c>
      <c r="H19" s="51" t="str">
        <f>IF(XT!$P19=0,F19,"")</f>
        <v/>
      </c>
      <c r="I19">
        <f>SUMPRODUCT((MONTH(CHOOSE({1,2,3,4},XT!U19,XT!Y19,XT!AC19,XT!AG19))=3)*(CHOOSE({1,2,3,4},XT!X19,XT!AB19,XT!AF19,XT!AJ19)))</f>
        <v>0</v>
      </c>
      <c r="J19" t="str">
        <f>IFERROR(INDEX(CHOOSE({1,2,3,4}, DAY(XT!U19), DAY(XT!Y19), DAY(XT!AC19), DAY(XT!AG19)), MATCH(1, INDEX(--(MONTH(CHOOSE({1,2,3,4}, XT!U19,XT!Y19,XT!AC19,XT!AG19))=3), 0), 0)), "")</f>
        <v/>
      </c>
      <c r="K19" s="51" t="str">
        <f>IF(XT!$P19&gt;0,J19,"")</f>
        <v/>
      </c>
      <c r="L19" s="51" t="str">
        <f>IF(XT!$P19=0,J19,"")</f>
        <v/>
      </c>
      <c r="M19">
        <f>SUMPRODUCT((MONTH(CHOOSE({1,2,3,4},XT!U19,XT!Y19,XT!AC19,XT!AG19))=4)*(CHOOSE({1,2,3,4},XT!X19,XT!AB19,XT!AF19,XT!AJ19)))</f>
        <v>0</v>
      </c>
      <c r="N19" t="str">
        <f>IFERROR(INDEX(CHOOSE({1,2,3,4}, DAY(XT!U19), DAY(XT!Y19), DAY(XT!AC19), DAY(XT!AG19)), MATCH(1, INDEX(--(MONTH(CHOOSE({1,2,3,4}, XT!U19,XT!Y19,XT!AC19,XT!AG19))=4), 0), 0)), "")</f>
        <v/>
      </c>
      <c r="O19" s="51" t="str">
        <f>IF(XT!$P19&gt;0,N19,"")</f>
        <v/>
      </c>
      <c r="P19" s="51" t="str">
        <f>IF(XT!$P19=0,N19,"")</f>
        <v/>
      </c>
      <c r="Q19">
        <f>SUMPRODUCT((MONTH(CHOOSE({1,2,3,4},XT!U19,XT!Y19,XT!AC19,XT!AG19))=5)*(CHOOSE({1,2,3,4},XT!X19,XT!AB19,XT!AF19,XT!AJ19)))</f>
        <v>0</v>
      </c>
      <c r="R19" t="str">
        <f>IFERROR(INDEX(CHOOSE({1,2,3,4}, DAY(XT!U19), DAY(XT!Y19), DAY(XT!AC19), DAY(XT!AG19)), MATCH(1, INDEX(--(MONTH(CHOOSE({1,2,3,4}, XT!U19,XT!Y19,XT!AC19,XT!AG19))=5), 0), 0)), "")</f>
        <v/>
      </c>
      <c r="S19" s="51" t="str">
        <f>IF(XT!$P19&gt;0,R19,"")</f>
        <v/>
      </c>
      <c r="T19" s="51" t="str">
        <f>IF(XT!$P19=0,R19,"")</f>
        <v/>
      </c>
      <c r="U19">
        <f>SUMPRODUCT((MONTH(CHOOSE({1,2,3,4},XT!U19,XT!Y19,XT!AC19,XT!AG19))=6)*(CHOOSE({1,2,3,4},XT!X19,XT!AB19,XT!AF19,XT!AJ19)))</f>
        <v>0</v>
      </c>
      <c r="V19" t="str">
        <f>IFERROR(INDEX(CHOOSE({1,2,3,4}, DAY(XT!U19), DAY(XT!Y19), DAY(XT!AC19), DAY(XT!AG19)), MATCH(1, INDEX(--(MONTH(CHOOSE({1,2,3,4}, XT!U19,XT!Y19,XT!AC19,XT!AG19))=6), 0), 0)), "")</f>
        <v/>
      </c>
      <c r="W19" s="51" t="str">
        <f>IF(XT!$P19&gt;0,V19,"")</f>
        <v/>
      </c>
      <c r="X19" s="51" t="str">
        <f>IF(XT!$P19=0,V19,"")</f>
        <v/>
      </c>
      <c r="Y19">
        <f>SUMPRODUCT((MONTH(CHOOSE({1,2,3,4},XT!U19,XT!Y19,XT!AC19,XT!AG19))=7)*(CHOOSE({1,2,3,4},XT!X19,XT!AB19,XT!AF19,XT!AJ19)))</f>
        <v>0</v>
      </c>
      <c r="Z19" t="str">
        <f>IFERROR(INDEX(CHOOSE({1,2,3,4}, DAY(XT!U19), DAY(XT!Y19), DAY(XT!AC19), DAY(XT!AG19)), MATCH(1, INDEX(--(MONTH(CHOOSE({1,2,3,4}, XT!U19,XT!Y19,XT!AC19,XT!AG19))=7), 0), 0)), "")</f>
        <v/>
      </c>
      <c r="AA19" s="51" t="str">
        <f>IF(XT!$P19&gt;0,Z19,"")</f>
        <v/>
      </c>
      <c r="AB19" s="51" t="str">
        <f>IF(XT!$P19=0,Z19,"")</f>
        <v/>
      </c>
      <c r="AC19">
        <f>SUMPRODUCT((MONTH(CHOOSE({1,2,3,4},XT!U19,XT!Y19,XT!AC19,XT!AG19))=8)*(CHOOSE({1,2,3,4},XT!X19,XT!AB19,XT!AF19,XT!AJ19)))</f>
        <v>0</v>
      </c>
      <c r="AD19" t="str">
        <f>IFERROR(INDEX(CHOOSE({1,2,3,4}, DAY(XT!U19), DAY(XT!Y19), DAY(XT!AC19), DAY(XT!AG19)), MATCH(1, INDEX(--(MONTH(CHOOSE({1,2,3,4}, XT!U19,XT!Y19,XT!AC19,XT!AG19))=8), 0), 0)), "")</f>
        <v/>
      </c>
      <c r="AE19" s="51" t="str">
        <f>IF(XT!$P19&gt;0,AD19,"")</f>
        <v/>
      </c>
      <c r="AF19" s="51" t="str">
        <f>IF(XT!$P19=0,AD19,"")</f>
        <v/>
      </c>
      <c r="AG19">
        <f>SUMPRODUCT((MONTH(CHOOSE({1,2,3,4},XT!U19,XT!Y19,XT!AC19,XT!AG19))=9)*(CHOOSE({1,2,3,4},XT!X19,XT!AB19,XT!AF19,XT!AJ19)))</f>
        <v>0</v>
      </c>
      <c r="AH19" t="str">
        <f>IFERROR(INDEX(CHOOSE({1,2,3,4}, DAY(XT!U19), DAY(XT!Y19), DAY(XT!AC19), DAY(XT!AG19)), MATCH(1, INDEX(--(MONTH(CHOOSE({1,2,3,4}, XT!U19,XT!Y19,XT!AC19,XT!AG19))=9), 0), 0)), "")</f>
        <v/>
      </c>
      <c r="AI19" s="51" t="str">
        <f>IF(XT!$P19&gt;0,AH19,"")</f>
        <v/>
      </c>
      <c r="AJ19" s="51" t="str">
        <f>IF(XT!$P19=0,AH19,"")</f>
        <v/>
      </c>
      <c r="AK19">
        <f>SUMPRODUCT((MONTH(CHOOSE({1,2,3,4},XT!U19,XT!Y19,XT!AC19,XT!AG19))=10)*(CHOOSE({1,2,3,4},XT!X19,XT!AB19,XT!AF19,XT!AJ19)))</f>
        <v>0</v>
      </c>
      <c r="AL19" t="str">
        <f>IFERROR(INDEX(CHOOSE({1,2,3,4}, DAY(XT!U19), DAY(XT!Y19), DAY(XT!AC19), DAY(XT!AG19)), MATCH(1, INDEX(--(MONTH(CHOOSE({1,2,3,4}, XT!U19,XT!Y19,XT!AC19,XT!AG19))=10), 0), 0)), "")</f>
        <v/>
      </c>
      <c r="AM19" s="51" t="str">
        <f>IF(XT!$P19&gt;0,AL19,"")</f>
        <v/>
      </c>
      <c r="AN19" s="51" t="str">
        <f>IF(XT!$P19=0,AL19,"")</f>
        <v/>
      </c>
      <c r="AO19">
        <f>SUMPRODUCT((MONTH(CHOOSE({1,2,3,4},XT!U19,XT!Y19,XT!AC19,XT!AG19))=11)*(CHOOSE({1,2,3,4},XT!X19,XT!AB19,XT!AF19,XT!AJ19)))</f>
        <v>0</v>
      </c>
      <c r="AP19" t="str">
        <f>IFERROR(INDEX(CHOOSE({1,2,3,4}, DAY(XT!U19), DAY(XT!Y19), DAY(XT!AC19), DAY(XT!AG19)), MATCH(1, INDEX(--(MONTH(CHOOSE({1,2,3,4}, XT!U19,XT!Y19,XT!AC19,XT!AG19))=11), 0), 0)), "")</f>
        <v/>
      </c>
      <c r="AQ19" s="51" t="str">
        <f>IF(XT!$P19&gt;0,AP19,"")</f>
        <v/>
      </c>
      <c r="AR19" s="51" t="str">
        <f>IF(XT!$P19=0,AP19,"")</f>
        <v/>
      </c>
      <c r="AS19">
        <f>SUMPRODUCT((MONTH(CHOOSE({1,2,3,4},XT!U19,XT!Y19,XT!AC19,XT!AG19))=12)*(CHOOSE({1,2,3,4},XT!X19,XT!AB19,XT!AF19,XT!AJ19)))</f>
        <v>0</v>
      </c>
      <c r="AT19" t="str">
        <f>IFERROR(INDEX(CHOOSE({1,2,3,4}, DAY(XT!U19), DAY(XT!Y19), DAY(XT!AC19), DAY(XT!AG19)), MATCH(1, INDEX(--(MONTH(CHOOSE({1,2,3,4}, XT!U19,XT!Y19,XT!AC19,XT!AG19))=12), 0), 0)), "")</f>
        <v/>
      </c>
      <c r="AU19" s="51" t="str">
        <f>IF(XT!$P19&gt;0,AT19,"")</f>
        <v/>
      </c>
      <c r="AV19" s="51" t="str">
        <f>IF(XT!$P19=0,AT19,"")</f>
        <v/>
      </c>
    </row>
    <row r="20" spans="1:48">
      <c r="A20">
        <f>SUMPRODUCT((MONTH(CHOOSE({1,2,3,4},XT!U20,XT!Y20,XT!AC20,XT!AG20))=1)*(CHOOSE({1,2,3,4},XT!X20,XT!AB20,XT!AF20,XT!AJ20)))</f>
        <v>0</v>
      </c>
      <c r="B20">
        <f>IFERROR(INDEX(CHOOSE({1,2,3,4}, DAY(XT!U20), DAY(XT!Y20), DAY(XT!AC20), DAY(XT!AG20)), MATCH(1, INDEX(--(MONTH(CHOOSE({1,2,3,4}, XT!U20,XT!Y20,XT!AC20,XT!AG20))=1), 0), 0)), "")</f>
        <v>0</v>
      </c>
      <c r="C20" s="51" t="str">
        <f>IF(XT!$P20&gt;0,B20,"")</f>
        <v/>
      </c>
      <c r="D20" s="51">
        <f>IF(XT!$P20=0,B20,"")</f>
        <v>0</v>
      </c>
      <c r="E20">
        <f>SUMPRODUCT((MONTH(CHOOSE({1,2,3,4},XT!U20,XT!Y20,XT!AC20,XT!AG20))=2)*(CHOOSE({1,2,3,4},XT!X20,XT!AB20,XT!AF20,XT!AJ20)))</f>
        <v>0</v>
      </c>
      <c r="F20" t="str">
        <f>IFERROR(INDEX(CHOOSE({1,2,3,4}, DAY(XT!U20), DAY(XT!Y20), DAY(XT!AC20), DAY(XT!AG20)), MATCH(1, INDEX(--(MONTH(CHOOSE({1,2,3,4}, XT!U20,XT!Y20,XT!AC20,XT!AG20))=2), 0), 0)), "")</f>
        <v/>
      </c>
      <c r="G20" s="51" t="str">
        <f>IF(XT!$P20&gt;0,F20,"")</f>
        <v/>
      </c>
      <c r="H20" s="51" t="str">
        <f>IF(XT!$P20=0,F20,"")</f>
        <v/>
      </c>
      <c r="I20">
        <f>SUMPRODUCT((MONTH(CHOOSE({1,2,3,4},XT!U20,XT!Y20,XT!AC20,XT!AG20))=3)*(CHOOSE({1,2,3,4},XT!X20,XT!AB20,XT!AF20,XT!AJ20)))</f>
        <v>0</v>
      </c>
      <c r="J20" t="str">
        <f>IFERROR(INDEX(CHOOSE({1,2,3,4}, DAY(XT!U20), DAY(XT!Y20), DAY(XT!AC20), DAY(XT!AG20)), MATCH(1, INDEX(--(MONTH(CHOOSE({1,2,3,4}, XT!U20,XT!Y20,XT!AC20,XT!AG20))=3), 0), 0)), "")</f>
        <v/>
      </c>
      <c r="K20" s="51" t="str">
        <f>IF(XT!$P20&gt;0,J20,"")</f>
        <v/>
      </c>
      <c r="L20" s="51" t="str">
        <f>IF(XT!$P20=0,J20,"")</f>
        <v/>
      </c>
      <c r="M20">
        <f>SUMPRODUCT((MONTH(CHOOSE({1,2,3,4},XT!U20,XT!Y20,XT!AC20,XT!AG20))=4)*(CHOOSE({1,2,3,4},XT!X20,XT!AB20,XT!AF20,XT!AJ20)))</f>
        <v>0</v>
      </c>
      <c r="N20" t="str">
        <f>IFERROR(INDEX(CHOOSE({1,2,3,4}, DAY(XT!U20), DAY(XT!Y20), DAY(XT!AC20), DAY(XT!AG20)), MATCH(1, INDEX(--(MONTH(CHOOSE({1,2,3,4}, XT!U20,XT!Y20,XT!AC20,XT!AG20))=4), 0), 0)), "")</f>
        <v/>
      </c>
      <c r="O20" s="51" t="str">
        <f>IF(XT!$P20&gt;0,N20,"")</f>
        <v/>
      </c>
      <c r="P20" s="51" t="str">
        <f>IF(XT!$P20=0,N20,"")</f>
        <v/>
      </c>
      <c r="Q20">
        <f>SUMPRODUCT((MONTH(CHOOSE({1,2,3,4},XT!U20,XT!Y20,XT!AC20,XT!AG20))=5)*(CHOOSE({1,2,3,4},XT!X20,XT!AB20,XT!AF20,XT!AJ20)))</f>
        <v>0</v>
      </c>
      <c r="R20" t="str">
        <f>IFERROR(INDEX(CHOOSE({1,2,3,4}, DAY(XT!U20), DAY(XT!Y20), DAY(XT!AC20), DAY(XT!AG20)), MATCH(1, INDEX(--(MONTH(CHOOSE({1,2,3,4}, XT!U20,XT!Y20,XT!AC20,XT!AG20))=5), 0), 0)), "")</f>
        <v/>
      </c>
      <c r="S20" s="51" t="str">
        <f>IF(XT!$P20&gt;0,R20,"")</f>
        <v/>
      </c>
      <c r="T20" s="51" t="str">
        <f>IF(XT!$P20=0,R20,"")</f>
        <v/>
      </c>
      <c r="U20">
        <f>SUMPRODUCT((MONTH(CHOOSE({1,2,3,4},XT!U20,XT!Y20,XT!AC20,XT!AG20))=6)*(CHOOSE({1,2,3,4},XT!X20,XT!AB20,XT!AF20,XT!AJ20)))</f>
        <v>0</v>
      </c>
      <c r="V20" t="str">
        <f>IFERROR(INDEX(CHOOSE({1,2,3,4}, DAY(XT!U20), DAY(XT!Y20), DAY(XT!AC20), DAY(XT!AG20)), MATCH(1, INDEX(--(MONTH(CHOOSE({1,2,3,4}, XT!U20,XT!Y20,XT!AC20,XT!AG20))=6), 0), 0)), "")</f>
        <v/>
      </c>
      <c r="W20" s="51" t="str">
        <f>IF(XT!$P20&gt;0,V20,"")</f>
        <v/>
      </c>
      <c r="X20" s="51" t="str">
        <f>IF(XT!$P20=0,V20,"")</f>
        <v/>
      </c>
      <c r="Y20">
        <f>SUMPRODUCT((MONTH(CHOOSE({1,2,3,4},XT!U20,XT!Y20,XT!AC20,XT!AG20))=7)*(CHOOSE({1,2,3,4},XT!X20,XT!AB20,XT!AF20,XT!AJ20)))</f>
        <v>0</v>
      </c>
      <c r="Z20" t="str">
        <f>IFERROR(INDEX(CHOOSE({1,2,3,4}, DAY(XT!U20), DAY(XT!Y20), DAY(XT!AC20), DAY(XT!AG20)), MATCH(1, INDEX(--(MONTH(CHOOSE({1,2,3,4}, XT!U20,XT!Y20,XT!AC20,XT!AG20))=7), 0), 0)), "")</f>
        <v/>
      </c>
      <c r="AA20" s="51" t="str">
        <f>IF(XT!$P20&gt;0,Z20,"")</f>
        <v/>
      </c>
      <c r="AB20" s="51" t="str">
        <f>IF(XT!$P20=0,Z20,"")</f>
        <v/>
      </c>
      <c r="AC20">
        <f>SUMPRODUCT((MONTH(CHOOSE({1,2,3,4},XT!U20,XT!Y20,XT!AC20,XT!AG20))=8)*(CHOOSE({1,2,3,4},XT!X20,XT!AB20,XT!AF20,XT!AJ20)))</f>
        <v>0</v>
      </c>
      <c r="AD20" t="str">
        <f>IFERROR(INDEX(CHOOSE({1,2,3,4}, DAY(XT!U20), DAY(XT!Y20), DAY(XT!AC20), DAY(XT!AG20)), MATCH(1, INDEX(--(MONTH(CHOOSE({1,2,3,4}, XT!U20,XT!Y20,XT!AC20,XT!AG20))=8), 0), 0)), "")</f>
        <v/>
      </c>
      <c r="AE20" s="51" t="str">
        <f>IF(XT!$P20&gt;0,AD20,"")</f>
        <v/>
      </c>
      <c r="AF20" s="51" t="str">
        <f>IF(XT!$P20=0,AD20,"")</f>
        <v/>
      </c>
      <c r="AG20">
        <f>SUMPRODUCT((MONTH(CHOOSE({1,2,3,4},XT!U20,XT!Y20,XT!AC20,XT!AG20))=9)*(CHOOSE({1,2,3,4},XT!X20,XT!AB20,XT!AF20,XT!AJ20)))</f>
        <v>0</v>
      </c>
      <c r="AH20" t="str">
        <f>IFERROR(INDEX(CHOOSE({1,2,3,4}, DAY(XT!U20), DAY(XT!Y20), DAY(XT!AC20), DAY(XT!AG20)), MATCH(1, INDEX(--(MONTH(CHOOSE({1,2,3,4}, XT!U20,XT!Y20,XT!AC20,XT!AG20))=9), 0), 0)), "")</f>
        <v/>
      </c>
      <c r="AI20" s="51" t="str">
        <f>IF(XT!$P20&gt;0,AH20,"")</f>
        <v/>
      </c>
      <c r="AJ20" s="51" t="str">
        <f>IF(XT!$P20=0,AH20,"")</f>
        <v/>
      </c>
      <c r="AK20">
        <f>SUMPRODUCT((MONTH(CHOOSE({1,2,3,4},XT!U20,XT!Y20,XT!AC20,XT!AG20))=10)*(CHOOSE({1,2,3,4},XT!X20,XT!AB20,XT!AF20,XT!AJ20)))</f>
        <v>0</v>
      </c>
      <c r="AL20" t="str">
        <f>IFERROR(INDEX(CHOOSE({1,2,3,4}, DAY(XT!U20), DAY(XT!Y20), DAY(XT!AC20), DAY(XT!AG20)), MATCH(1, INDEX(--(MONTH(CHOOSE({1,2,3,4}, XT!U20,XT!Y20,XT!AC20,XT!AG20))=10), 0), 0)), "")</f>
        <v/>
      </c>
      <c r="AM20" s="51" t="str">
        <f>IF(XT!$P20&gt;0,AL20,"")</f>
        <v/>
      </c>
      <c r="AN20" s="51" t="str">
        <f>IF(XT!$P20=0,AL20,"")</f>
        <v/>
      </c>
      <c r="AO20">
        <f>SUMPRODUCT((MONTH(CHOOSE({1,2,3,4},XT!U20,XT!Y20,XT!AC20,XT!AG20))=11)*(CHOOSE({1,2,3,4},XT!X20,XT!AB20,XT!AF20,XT!AJ20)))</f>
        <v>0</v>
      </c>
      <c r="AP20" t="str">
        <f>IFERROR(INDEX(CHOOSE({1,2,3,4}, DAY(XT!U20), DAY(XT!Y20), DAY(XT!AC20), DAY(XT!AG20)), MATCH(1, INDEX(--(MONTH(CHOOSE({1,2,3,4}, XT!U20,XT!Y20,XT!AC20,XT!AG20))=11), 0), 0)), "")</f>
        <v/>
      </c>
      <c r="AQ20" s="51" t="str">
        <f>IF(XT!$P20&gt;0,AP20,"")</f>
        <v/>
      </c>
      <c r="AR20" s="51" t="str">
        <f>IF(XT!$P20=0,AP20,"")</f>
        <v/>
      </c>
      <c r="AS20">
        <f>SUMPRODUCT((MONTH(CHOOSE({1,2,3,4},XT!U20,XT!Y20,XT!AC20,XT!AG20))=12)*(CHOOSE({1,2,3,4},XT!X20,XT!AB20,XT!AF20,XT!AJ20)))</f>
        <v>0</v>
      </c>
      <c r="AT20" t="str">
        <f>IFERROR(INDEX(CHOOSE({1,2,3,4}, DAY(XT!U20), DAY(XT!Y20), DAY(XT!AC20), DAY(XT!AG20)), MATCH(1, INDEX(--(MONTH(CHOOSE({1,2,3,4}, XT!U20,XT!Y20,XT!AC20,XT!AG20))=12), 0), 0)), "")</f>
        <v/>
      </c>
      <c r="AU20" s="51" t="str">
        <f>IF(XT!$P20&gt;0,AT20,"")</f>
        <v/>
      </c>
      <c r="AV20" s="51" t="str">
        <f>IF(XT!$P20=0,AT20,"")</f>
        <v/>
      </c>
    </row>
    <row r="21" spans="1:48">
      <c r="A21">
        <f>SUMPRODUCT((MONTH(CHOOSE({1,2,3,4},XT!U21,XT!Y21,XT!AC21,XT!AG21))=1)*(CHOOSE({1,2,3,4},XT!X21,XT!AB21,XT!AF21,XT!AJ21)))</f>
        <v>0</v>
      </c>
      <c r="B21">
        <f>IFERROR(INDEX(CHOOSE({1,2,3,4}, DAY(XT!U21), DAY(XT!Y21), DAY(XT!AC21), DAY(XT!AG21)), MATCH(1, INDEX(--(MONTH(CHOOSE({1,2,3,4}, XT!U21,XT!Y21,XT!AC21,XT!AG21))=1), 0), 0)), "")</f>
        <v>0</v>
      </c>
      <c r="C21" s="51" t="str">
        <f>IF(XT!$P21&gt;0,B21,"")</f>
        <v/>
      </c>
      <c r="D21" s="51">
        <f>IF(XT!$P21=0,B21,"")</f>
        <v>0</v>
      </c>
      <c r="E21">
        <f>SUMPRODUCT((MONTH(CHOOSE({1,2,3,4},XT!U21,XT!Y21,XT!AC21,XT!AG21))=2)*(CHOOSE({1,2,3,4},XT!X21,XT!AB21,XT!AF21,XT!AJ21)))</f>
        <v>0</v>
      </c>
      <c r="F21" t="str">
        <f>IFERROR(INDEX(CHOOSE({1,2,3,4}, DAY(XT!U21), DAY(XT!Y21), DAY(XT!AC21), DAY(XT!AG21)), MATCH(1, INDEX(--(MONTH(CHOOSE({1,2,3,4}, XT!U21,XT!Y21,XT!AC21,XT!AG21))=2), 0), 0)), "")</f>
        <v/>
      </c>
      <c r="G21" s="51" t="str">
        <f>IF(XT!$P21&gt;0,F21,"")</f>
        <v/>
      </c>
      <c r="H21" s="51" t="str">
        <f>IF(XT!$P21=0,F21,"")</f>
        <v/>
      </c>
      <c r="I21">
        <f>SUMPRODUCT((MONTH(CHOOSE({1,2,3,4},XT!U21,XT!Y21,XT!AC21,XT!AG21))=3)*(CHOOSE({1,2,3,4},XT!X21,XT!AB21,XT!AF21,XT!AJ21)))</f>
        <v>0</v>
      </c>
      <c r="J21" t="str">
        <f>IFERROR(INDEX(CHOOSE({1,2,3,4}, DAY(XT!U21), DAY(XT!Y21), DAY(XT!AC21), DAY(XT!AG21)), MATCH(1, INDEX(--(MONTH(CHOOSE({1,2,3,4}, XT!U21,XT!Y21,XT!AC21,XT!AG21))=3), 0), 0)), "")</f>
        <v/>
      </c>
      <c r="K21" s="51" t="str">
        <f>IF(XT!$P21&gt;0,J21,"")</f>
        <v/>
      </c>
      <c r="L21" s="51" t="str">
        <f>IF(XT!$P21=0,J21,"")</f>
        <v/>
      </c>
      <c r="M21">
        <f>SUMPRODUCT((MONTH(CHOOSE({1,2,3,4},XT!U21,XT!Y21,XT!AC21,XT!AG21))=4)*(CHOOSE({1,2,3,4},XT!X21,XT!AB21,XT!AF21,XT!AJ21)))</f>
        <v>0</v>
      </c>
      <c r="N21" t="str">
        <f>IFERROR(INDEX(CHOOSE({1,2,3,4}, DAY(XT!U21), DAY(XT!Y21), DAY(XT!AC21), DAY(XT!AG21)), MATCH(1, INDEX(--(MONTH(CHOOSE({1,2,3,4}, XT!U21,XT!Y21,XT!AC21,XT!AG21))=4), 0), 0)), "")</f>
        <v/>
      </c>
      <c r="O21" s="51" t="str">
        <f>IF(XT!$P21&gt;0,N21,"")</f>
        <v/>
      </c>
      <c r="P21" s="51" t="str">
        <f>IF(XT!$P21=0,N21,"")</f>
        <v/>
      </c>
      <c r="Q21">
        <f>SUMPRODUCT((MONTH(CHOOSE({1,2,3,4},XT!U21,XT!Y21,XT!AC21,XT!AG21))=5)*(CHOOSE({1,2,3,4},XT!X21,XT!AB21,XT!AF21,XT!AJ21)))</f>
        <v>0</v>
      </c>
      <c r="R21" t="str">
        <f>IFERROR(INDEX(CHOOSE({1,2,3,4}, DAY(XT!U21), DAY(XT!Y21), DAY(XT!AC21), DAY(XT!AG21)), MATCH(1, INDEX(--(MONTH(CHOOSE({1,2,3,4}, XT!U21,XT!Y21,XT!AC21,XT!AG21))=5), 0), 0)), "")</f>
        <v/>
      </c>
      <c r="S21" s="51" t="str">
        <f>IF(XT!$P21&gt;0,R21,"")</f>
        <v/>
      </c>
      <c r="T21" s="51" t="str">
        <f>IF(XT!$P21=0,R21,"")</f>
        <v/>
      </c>
      <c r="U21">
        <f>SUMPRODUCT((MONTH(CHOOSE({1,2,3,4},XT!U21,XT!Y21,XT!AC21,XT!AG21))=6)*(CHOOSE({1,2,3,4},XT!X21,XT!AB21,XT!AF21,XT!AJ21)))</f>
        <v>0</v>
      </c>
      <c r="V21" t="str">
        <f>IFERROR(INDEX(CHOOSE({1,2,3,4}, DAY(XT!U21), DAY(XT!Y21), DAY(XT!AC21), DAY(XT!AG21)), MATCH(1, INDEX(--(MONTH(CHOOSE({1,2,3,4}, XT!U21,XT!Y21,XT!AC21,XT!AG21))=6), 0), 0)), "")</f>
        <v/>
      </c>
      <c r="W21" s="51" t="str">
        <f>IF(XT!$P21&gt;0,V21,"")</f>
        <v/>
      </c>
      <c r="X21" s="51" t="str">
        <f>IF(XT!$P21=0,V21,"")</f>
        <v/>
      </c>
      <c r="Y21">
        <f>SUMPRODUCT((MONTH(CHOOSE({1,2,3,4},XT!U21,XT!Y21,XT!AC21,XT!AG21))=7)*(CHOOSE({1,2,3,4},XT!X21,XT!AB21,XT!AF21,XT!AJ21)))</f>
        <v>0</v>
      </c>
      <c r="Z21" t="str">
        <f>IFERROR(INDEX(CHOOSE({1,2,3,4}, DAY(XT!U21), DAY(XT!Y21), DAY(XT!AC21), DAY(XT!AG21)), MATCH(1, INDEX(--(MONTH(CHOOSE({1,2,3,4}, XT!U21,XT!Y21,XT!AC21,XT!AG21))=7), 0), 0)), "")</f>
        <v/>
      </c>
      <c r="AA21" s="51" t="str">
        <f>IF(XT!$P21&gt;0,Z21,"")</f>
        <v/>
      </c>
      <c r="AB21" s="51" t="str">
        <f>IF(XT!$P21=0,Z21,"")</f>
        <v/>
      </c>
      <c r="AC21">
        <f>SUMPRODUCT((MONTH(CHOOSE({1,2,3,4},XT!U21,XT!Y21,XT!AC21,XT!AG21))=8)*(CHOOSE({1,2,3,4},XT!X21,XT!AB21,XT!AF21,XT!AJ21)))</f>
        <v>0</v>
      </c>
      <c r="AD21" t="str">
        <f>IFERROR(INDEX(CHOOSE({1,2,3,4}, DAY(XT!U21), DAY(XT!Y21), DAY(XT!AC21), DAY(XT!AG21)), MATCH(1, INDEX(--(MONTH(CHOOSE({1,2,3,4}, XT!U21,XT!Y21,XT!AC21,XT!AG21))=8), 0), 0)), "")</f>
        <v/>
      </c>
      <c r="AE21" s="51" t="str">
        <f>IF(XT!$P21&gt;0,AD21,"")</f>
        <v/>
      </c>
      <c r="AF21" s="51" t="str">
        <f>IF(XT!$P21=0,AD21,"")</f>
        <v/>
      </c>
      <c r="AG21">
        <f>SUMPRODUCT((MONTH(CHOOSE({1,2,3,4},XT!U21,XT!Y21,XT!AC21,XT!AG21))=9)*(CHOOSE({1,2,3,4},XT!X21,XT!AB21,XT!AF21,XT!AJ21)))</f>
        <v>0</v>
      </c>
      <c r="AH21" t="str">
        <f>IFERROR(INDEX(CHOOSE({1,2,3,4}, DAY(XT!U21), DAY(XT!Y21), DAY(XT!AC21), DAY(XT!AG21)), MATCH(1, INDEX(--(MONTH(CHOOSE({1,2,3,4}, XT!U21,XT!Y21,XT!AC21,XT!AG21))=9), 0), 0)), "")</f>
        <v/>
      </c>
      <c r="AI21" s="51" t="str">
        <f>IF(XT!$P21&gt;0,AH21,"")</f>
        <v/>
      </c>
      <c r="AJ21" s="51" t="str">
        <f>IF(XT!$P21=0,AH21,"")</f>
        <v/>
      </c>
      <c r="AK21">
        <f>SUMPRODUCT((MONTH(CHOOSE({1,2,3,4},XT!U21,XT!Y21,XT!AC21,XT!AG21))=10)*(CHOOSE({1,2,3,4},XT!X21,XT!AB21,XT!AF21,XT!AJ21)))</f>
        <v>0</v>
      </c>
      <c r="AL21" t="str">
        <f>IFERROR(INDEX(CHOOSE({1,2,3,4}, DAY(XT!U21), DAY(XT!Y21), DAY(XT!AC21), DAY(XT!AG21)), MATCH(1, INDEX(--(MONTH(CHOOSE({1,2,3,4}, XT!U21,XT!Y21,XT!AC21,XT!AG21))=10), 0), 0)), "")</f>
        <v/>
      </c>
      <c r="AM21" s="51" t="str">
        <f>IF(XT!$P21&gt;0,AL21,"")</f>
        <v/>
      </c>
      <c r="AN21" s="51" t="str">
        <f>IF(XT!$P21=0,AL21,"")</f>
        <v/>
      </c>
      <c r="AO21">
        <f>SUMPRODUCT((MONTH(CHOOSE({1,2,3,4},XT!U21,XT!Y21,XT!AC21,XT!AG21))=11)*(CHOOSE({1,2,3,4},XT!X21,XT!AB21,XT!AF21,XT!AJ21)))</f>
        <v>0</v>
      </c>
      <c r="AP21" t="str">
        <f>IFERROR(INDEX(CHOOSE({1,2,3,4}, DAY(XT!U21), DAY(XT!Y21), DAY(XT!AC21), DAY(XT!AG21)), MATCH(1, INDEX(--(MONTH(CHOOSE({1,2,3,4}, XT!U21,XT!Y21,XT!AC21,XT!AG21))=11), 0), 0)), "")</f>
        <v/>
      </c>
      <c r="AQ21" s="51" t="str">
        <f>IF(XT!$P21&gt;0,AP21,"")</f>
        <v/>
      </c>
      <c r="AR21" s="51" t="str">
        <f>IF(XT!$P21=0,AP21,"")</f>
        <v/>
      </c>
      <c r="AS21">
        <f>SUMPRODUCT((MONTH(CHOOSE({1,2,3,4},XT!U21,XT!Y21,XT!AC21,XT!AG21))=12)*(CHOOSE({1,2,3,4},XT!X21,XT!AB21,XT!AF21,XT!AJ21)))</f>
        <v>0</v>
      </c>
      <c r="AT21" t="str">
        <f>IFERROR(INDEX(CHOOSE({1,2,3,4}, DAY(XT!U21), DAY(XT!Y21), DAY(XT!AC21), DAY(XT!AG21)), MATCH(1, INDEX(--(MONTH(CHOOSE({1,2,3,4}, XT!U21,XT!Y21,XT!AC21,XT!AG21))=12), 0), 0)), "")</f>
        <v/>
      </c>
      <c r="AU21" s="51" t="str">
        <f>IF(XT!$P21&gt;0,AT21,"")</f>
        <v/>
      </c>
      <c r="AV21" s="51" t="str">
        <f>IF(XT!$P21=0,AT21,"")</f>
        <v/>
      </c>
    </row>
    <row r="22" spans="1:48">
      <c r="A22">
        <f>SUMPRODUCT((MONTH(CHOOSE({1,2,3,4},XT!U22,XT!Y22,XT!AC22,XT!AG22))=1)*(CHOOSE({1,2,3,4},XT!X22,XT!AB22,XT!AF22,XT!AJ22)))</f>
        <v>0</v>
      </c>
      <c r="B22">
        <f>IFERROR(INDEX(CHOOSE({1,2,3,4}, DAY(XT!U22), DAY(XT!Y22), DAY(XT!AC22), DAY(XT!AG22)), MATCH(1, INDEX(--(MONTH(CHOOSE({1,2,3,4}, XT!U22,XT!Y22,XT!AC22,XT!AG22))=1), 0), 0)), "")</f>
        <v>0</v>
      </c>
      <c r="C22" s="51" t="str">
        <f>IF(XT!$P22&gt;0,B22,"")</f>
        <v/>
      </c>
      <c r="D22" s="51">
        <f>IF(XT!$P22=0,B22,"")</f>
        <v>0</v>
      </c>
      <c r="E22">
        <f>SUMPRODUCT((MONTH(CHOOSE({1,2,3,4},XT!U22,XT!Y22,XT!AC22,XT!AG22))=2)*(CHOOSE({1,2,3,4},XT!X22,XT!AB22,XT!AF22,XT!AJ22)))</f>
        <v>0</v>
      </c>
      <c r="F22" t="str">
        <f>IFERROR(INDEX(CHOOSE({1,2,3,4}, DAY(XT!U22), DAY(XT!Y22), DAY(XT!AC22), DAY(XT!AG22)), MATCH(1, INDEX(--(MONTH(CHOOSE({1,2,3,4}, XT!U22,XT!Y22,XT!AC22,XT!AG22))=2), 0), 0)), "")</f>
        <v/>
      </c>
      <c r="G22" s="51" t="str">
        <f>IF(XT!$P22&gt;0,F22,"")</f>
        <v/>
      </c>
      <c r="H22" s="51" t="str">
        <f>IF(XT!$P22=0,F22,"")</f>
        <v/>
      </c>
      <c r="I22">
        <f>SUMPRODUCT((MONTH(CHOOSE({1,2,3,4},XT!U22,XT!Y22,XT!AC22,XT!AG22))=3)*(CHOOSE({1,2,3,4},XT!X22,XT!AB22,XT!AF22,XT!AJ22)))</f>
        <v>0</v>
      </c>
      <c r="J22" t="str">
        <f>IFERROR(INDEX(CHOOSE({1,2,3,4}, DAY(XT!U22), DAY(XT!Y22), DAY(XT!AC22), DAY(XT!AG22)), MATCH(1, INDEX(--(MONTH(CHOOSE({1,2,3,4}, XT!U22,XT!Y22,XT!AC22,XT!AG22))=3), 0), 0)), "")</f>
        <v/>
      </c>
      <c r="K22" s="51" t="str">
        <f>IF(XT!$P22&gt;0,J22,"")</f>
        <v/>
      </c>
      <c r="L22" s="51" t="str">
        <f>IF(XT!$P22=0,J22,"")</f>
        <v/>
      </c>
      <c r="M22">
        <f>SUMPRODUCT((MONTH(CHOOSE({1,2,3,4},XT!U22,XT!Y22,XT!AC22,XT!AG22))=4)*(CHOOSE({1,2,3,4},XT!X22,XT!AB22,XT!AF22,XT!AJ22)))</f>
        <v>0</v>
      </c>
      <c r="N22" t="str">
        <f>IFERROR(INDEX(CHOOSE({1,2,3,4}, DAY(XT!U22), DAY(XT!Y22), DAY(XT!AC22), DAY(XT!AG22)), MATCH(1, INDEX(--(MONTH(CHOOSE({1,2,3,4}, XT!U22,XT!Y22,XT!AC22,XT!AG22))=4), 0), 0)), "")</f>
        <v/>
      </c>
      <c r="O22" s="51" t="str">
        <f>IF(XT!$P22&gt;0,N22,"")</f>
        <v/>
      </c>
      <c r="P22" s="51" t="str">
        <f>IF(XT!$P22=0,N22,"")</f>
        <v/>
      </c>
      <c r="Q22">
        <f>SUMPRODUCT((MONTH(CHOOSE({1,2,3,4},XT!U22,XT!Y22,XT!AC22,XT!AG22))=5)*(CHOOSE({1,2,3,4},XT!X22,XT!AB22,XT!AF22,XT!AJ22)))</f>
        <v>0</v>
      </c>
      <c r="R22" t="str">
        <f>IFERROR(INDEX(CHOOSE({1,2,3,4}, DAY(XT!U22), DAY(XT!Y22), DAY(XT!AC22), DAY(XT!AG22)), MATCH(1, INDEX(--(MONTH(CHOOSE({1,2,3,4}, XT!U22,XT!Y22,XT!AC22,XT!AG22))=5), 0), 0)), "")</f>
        <v/>
      </c>
      <c r="S22" s="51" t="str">
        <f>IF(XT!$P22&gt;0,R22,"")</f>
        <v/>
      </c>
      <c r="T22" s="51" t="str">
        <f>IF(XT!$P22=0,R22,"")</f>
        <v/>
      </c>
      <c r="U22">
        <f>SUMPRODUCT((MONTH(CHOOSE({1,2,3,4},XT!U22,XT!Y22,XT!AC22,XT!AG22))=6)*(CHOOSE({1,2,3,4},XT!X22,XT!AB22,XT!AF22,XT!AJ22)))</f>
        <v>0</v>
      </c>
      <c r="V22" t="str">
        <f>IFERROR(INDEX(CHOOSE({1,2,3,4}, DAY(XT!U22), DAY(XT!Y22), DAY(XT!AC22), DAY(XT!AG22)), MATCH(1, INDEX(--(MONTH(CHOOSE({1,2,3,4}, XT!U22,XT!Y22,XT!AC22,XT!AG22))=6), 0), 0)), "")</f>
        <v/>
      </c>
      <c r="W22" s="51" t="str">
        <f>IF(XT!$P22&gt;0,V22,"")</f>
        <v/>
      </c>
      <c r="X22" s="51" t="str">
        <f>IF(XT!$P22=0,V22,"")</f>
        <v/>
      </c>
      <c r="Y22">
        <f>SUMPRODUCT((MONTH(CHOOSE({1,2,3,4},XT!U22,XT!Y22,XT!AC22,XT!AG22))=7)*(CHOOSE({1,2,3,4},XT!X22,XT!AB22,XT!AF22,XT!AJ22)))</f>
        <v>0</v>
      </c>
      <c r="Z22" t="str">
        <f>IFERROR(INDEX(CHOOSE({1,2,3,4}, DAY(XT!U22), DAY(XT!Y22), DAY(XT!AC22), DAY(XT!AG22)), MATCH(1, INDEX(--(MONTH(CHOOSE({1,2,3,4}, XT!U22,XT!Y22,XT!AC22,XT!AG22))=7), 0), 0)), "")</f>
        <v/>
      </c>
      <c r="AA22" s="51" t="str">
        <f>IF(XT!$P22&gt;0,Z22,"")</f>
        <v/>
      </c>
      <c r="AB22" s="51" t="str">
        <f>IF(XT!$P22=0,Z22,"")</f>
        <v/>
      </c>
      <c r="AC22">
        <f>SUMPRODUCT((MONTH(CHOOSE({1,2,3,4},XT!U22,XT!Y22,XT!AC22,XT!AG22))=8)*(CHOOSE({1,2,3,4},XT!X22,XT!AB22,XT!AF22,XT!AJ22)))</f>
        <v>0</v>
      </c>
      <c r="AD22" t="str">
        <f>IFERROR(INDEX(CHOOSE({1,2,3,4}, DAY(XT!U22), DAY(XT!Y22), DAY(XT!AC22), DAY(XT!AG22)), MATCH(1, INDEX(--(MONTH(CHOOSE({1,2,3,4}, XT!U22,XT!Y22,XT!AC22,XT!AG22))=8), 0), 0)), "")</f>
        <v/>
      </c>
      <c r="AE22" s="51" t="str">
        <f>IF(XT!$P22&gt;0,AD22,"")</f>
        <v/>
      </c>
      <c r="AF22" s="51" t="str">
        <f>IF(XT!$P22=0,AD22,"")</f>
        <v/>
      </c>
      <c r="AG22">
        <f>SUMPRODUCT((MONTH(CHOOSE({1,2,3,4},XT!U22,XT!Y22,XT!AC22,XT!AG22))=9)*(CHOOSE({1,2,3,4},XT!X22,XT!AB22,XT!AF22,XT!AJ22)))</f>
        <v>0</v>
      </c>
      <c r="AH22" t="str">
        <f>IFERROR(INDEX(CHOOSE({1,2,3,4}, DAY(XT!U22), DAY(XT!Y22), DAY(XT!AC22), DAY(XT!AG22)), MATCH(1, INDEX(--(MONTH(CHOOSE({1,2,3,4}, XT!U22,XT!Y22,XT!AC22,XT!AG22))=9), 0), 0)), "")</f>
        <v/>
      </c>
      <c r="AI22" s="51" t="str">
        <f>IF(XT!$P22&gt;0,AH22,"")</f>
        <v/>
      </c>
      <c r="AJ22" s="51" t="str">
        <f>IF(XT!$P22=0,AH22,"")</f>
        <v/>
      </c>
      <c r="AK22">
        <f>SUMPRODUCT((MONTH(CHOOSE({1,2,3,4},XT!U22,XT!Y22,XT!AC22,XT!AG22))=10)*(CHOOSE({1,2,3,4},XT!X22,XT!AB22,XT!AF22,XT!AJ22)))</f>
        <v>0</v>
      </c>
      <c r="AL22" t="str">
        <f>IFERROR(INDEX(CHOOSE({1,2,3,4}, DAY(XT!U22), DAY(XT!Y22), DAY(XT!AC22), DAY(XT!AG22)), MATCH(1, INDEX(--(MONTH(CHOOSE({1,2,3,4}, XT!U22,XT!Y22,XT!AC22,XT!AG22))=10), 0), 0)), "")</f>
        <v/>
      </c>
      <c r="AM22" s="51" t="str">
        <f>IF(XT!$P22&gt;0,AL22,"")</f>
        <v/>
      </c>
      <c r="AN22" s="51" t="str">
        <f>IF(XT!$P22=0,AL22,"")</f>
        <v/>
      </c>
      <c r="AO22">
        <f>SUMPRODUCT((MONTH(CHOOSE({1,2,3,4},XT!U22,XT!Y22,XT!AC22,XT!AG22))=11)*(CHOOSE({1,2,3,4},XT!X22,XT!AB22,XT!AF22,XT!AJ22)))</f>
        <v>0</v>
      </c>
      <c r="AP22" t="str">
        <f>IFERROR(INDEX(CHOOSE({1,2,3,4}, DAY(XT!U22), DAY(XT!Y22), DAY(XT!AC22), DAY(XT!AG22)), MATCH(1, INDEX(--(MONTH(CHOOSE({1,2,3,4}, XT!U22,XT!Y22,XT!AC22,XT!AG22))=11), 0), 0)), "")</f>
        <v/>
      </c>
      <c r="AQ22" s="51" t="str">
        <f>IF(XT!$P22&gt;0,AP22,"")</f>
        <v/>
      </c>
      <c r="AR22" s="51" t="str">
        <f>IF(XT!$P22=0,AP22,"")</f>
        <v/>
      </c>
      <c r="AS22">
        <f>SUMPRODUCT((MONTH(CHOOSE({1,2,3,4},XT!U22,XT!Y22,XT!AC22,XT!AG22))=12)*(CHOOSE({1,2,3,4},XT!X22,XT!AB22,XT!AF22,XT!AJ22)))</f>
        <v>0</v>
      </c>
      <c r="AT22" t="str">
        <f>IFERROR(INDEX(CHOOSE({1,2,3,4}, DAY(XT!U22), DAY(XT!Y22), DAY(XT!AC22), DAY(XT!AG22)), MATCH(1, INDEX(--(MONTH(CHOOSE({1,2,3,4}, XT!U22,XT!Y22,XT!AC22,XT!AG22))=12), 0), 0)), "")</f>
        <v/>
      </c>
      <c r="AU22" s="51" t="str">
        <f>IF(XT!$P22&gt;0,AT22,"")</f>
        <v/>
      </c>
      <c r="AV22" s="51" t="str">
        <f>IF(XT!$P22=0,AT22,"")</f>
        <v/>
      </c>
    </row>
    <row r="23" spans="1:48">
      <c r="A23">
        <f>SUMPRODUCT((MONTH(CHOOSE({1,2,3,4},XT!U23,XT!Y23,XT!AC23,XT!AG23))=1)*(CHOOSE({1,2,3,4},XT!X23,XT!AB23,XT!AF23,XT!AJ23)))</f>
        <v>0</v>
      </c>
      <c r="B23">
        <f>IFERROR(INDEX(CHOOSE({1,2,3,4}, DAY(XT!U23), DAY(XT!Y23), DAY(XT!AC23), DAY(XT!AG23)), MATCH(1, INDEX(--(MONTH(CHOOSE({1,2,3,4}, XT!U23,XT!Y23,XT!AC23,XT!AG23))=1), 0), 0)), "")</f>
        <v>0</v>
      </c>
      <c r="C23" s="51" t="str">
        <f>IF(XT!$P23&gt;0,B23,"")</f>
        <v/>
      </c>
      <c r="D23" s="51">
        <f>IF(XT!$P23=0,B23,"")</f>
        <v>0</v>
      </c>
      <c r="E23">
        <f>SUMPRODUCT((MONTH(CHOOSE({1,2,3,4},XT!U23,XT!Y23,XT!AC23,XT!AG23))=2)*(CHOOSE({1,2,3,4},XT!X23,XT!AB23,XT!AF23,XT!AJ23)))</f>
        <v>0</v>
      </c>
      <c r="F23" t="str">
        <f>IFERROR(INDEX(CHOOSE({1,2,3,4}, DAY(XT!U23), DAY(XT!Y23), DAY(XT!AC23), DAY(XT!AG23)), MATCH(1, INDEX(--(MONTH(CHOOSE({1,2,3,4}, XT!U23,XT!Y23,XT!AC23,XT!AG23))=2), 0), 0)), "")</f>
        <v/>
      </c>
      <c r="G23" s="51" t="str">
        <f>IF(XT!$P23&gt;0,F23,"")</f>
        <v/>
      </c>
      <c r="H23" s="51" t="str">
        <f>IF(XT!$P23=0,F23,"")</f>
        <v/>
      </c>
      <c r="I23">
        <f>SUMPRODUCT((MONTH(CHOOSE({1,2,3,4},XT!U23,XT!Y23,XT!AC23,XT!AG23))=3)*(CHOOSE({1,2,3,4},XT!X23,XT!AB23,XT!AF23,XT!AJ23)))</f>
        <v>0</v>
      </c>
      <c r="J23" t="str">
        <f>IFERROR(INDEX(CHOOSE({1,2,3,4}, DAY(XT!U23), DAY(XT!Y23), DAY(XT!AC23), DAY(XT!AG23)), MATCH(1, INDEX(--(MONTH(CHOOSE({1,2,3,4}, XT!U23,XT!Y23,XT!AC23,XT!AG23))=3), 0), 0)), "")</f>
        <v/>
      </c>
      <c r="K23" s="51" t="str">
        <f>IF(XT!$P23&gt;0,J23,"")</f>
        <v/>
      </c>
      <c r="L23" s="51" t="str">
        <f>IF(XT!$P23=0,J23,"")</f>
        <v/>
      </c>
      <c r="M23">
        <f>SUMPRODUCT((MONTH(CHOOSE({1,2,3,4},XT!U23,XT!Y23,XT!AC23,XT!AG23))=4)*(CHOOSE({1,2,3,4},XT!X23,XT!AB23,XT!AF23,XT!AJ23)))</f>
        <v>0</v>
      </c>
      <c r="N23" t="str">
        <f>IFERROR(INDEX(CHOOSE({1,2,3,4}, DAY(XT!U23), DAY(XT!Y23), DAY(XT!AC23), DAY(XT!AG23)), MATCH(1, INDEX(--(MONTH(CHOOSE({1,2,3,4}, XT!U23,XT!Y23,XT!AC23,XT!AG23))=4), 0), 0)), "")</f>
        <v/>
      </c>
      <c r="O23" s="51" t="str">
        <f>IF(XT!$P23&gt;0,N23,"")</f>
        <v/>
      </c>
      <c r="P23" s="51" t="str">
        <f>IF(XT!$P23=0,N23,"")</f>
        <v/>
      </c>
      <c r="Q23">
        <f>SUMPRODUCT((MONTH(CHOOSE({1,2,3,4},XT!U23,XT!Y23,XT!AC23,XT!AG23))=5)*(CHOOSE({1,2,3,4},XT!X23,XT!AB23,XT!AF23,XT!AJ23)))</f>
        <v>0</v>
      </c>
      <c r="R23" t="str">
        <f>IFERROR(INDEX(CHOOSE({1,2,3,4}, DAY(XT!U23), DAY(XT!Y23), DAY(XT!AC23), DAY(XT!AG23)), MATCH(1, INDEX(--(MONTH(CHOOSE({1,2,3,4}, XT!U23,XT!Y23,XT!AC23,XT!AG23))=5), 0), 0)), "")</f>
        <v/>
      </c>
      <c r="S23" s="51" t="str">
        <f>IF(XT!$P23&gt;0,R23,"")</f>
        <v/>
      </c>
      <c r="T23" s="51" t="str">
        <f>IF(XT!$P23=0,R23,"")</f>
        <v/>
      </c>
      <c r="U23">
        <f>SUMPRODUCT((MONTH(CHOOSE({1,2,3,4},XT!U23,XT!Y23,XT!AC23,XT!AG23))=6)*(CHOOSE({1,2,3,4},XT!X23,XT!AB23,XT!AF23,XT!AJ23)))</f>
        <v>0</v>
      </c>
      <c r="V23" t="str">
        <f>IFERROR(INDEX(CHOOSE({1,2,3,4}, DAY(XT!U23), DAY(XT!Y23), DAY(XT!AC23), DAY(XT!AG23)), MATCH(1, INDEX(--(MONTH(CHOOSE({1,2,3,4}, XT!U23,XT!Y23,XT!AC23,XT!AG23))=6), 0), 0)), "")</f>
        <v/>
      </c>
      <c r="W23" s="51" t="str">
        <f>IF(XT!$P23&gt;0,V23,"")</f>
        <v/>
      </c>
      <c r="X23" s="51" t="str">
        <f>IF(XT!$P23=0,V23,"")</f>
        <v/>
      </c>
      <c r="Y23">
        <f>SUMPRODUCT((MONTH(CHOOSE({1,2,3,4},XT!U23,XT!Y23,XT!AC23,XT!AG23))=7)*(CHOOSE({1,2,3,4},XT!X23,XT!AB23,XT!AF23,XT!AJ23)))</f>
        <v>0</v>
      </c>
      <c r="Z23" t="str">
        <f>IFERROR(INDEX(CHOOSE({1,2,3,4}, DAY(XT!U23), DAY(XT!Y23), DAY(XT!AC23), DAY(XT!AG23)), MATCH(1, INDEX(--(MONTH(CHOOSE({1,2,3,4}, XT!U23,XT!Y23,XT!AC23,XT!AG23))=7), 0), 0)), "")</f>
        <v/>
      </c>
      <c r="AA23" s="51" t="str">
        <f>IF(XT!$P23&gt;0,Z23,"")</f>
        <v/>
      </c>
      <c r="AB23" s="51" t="str">
        <f>IF(XT!$P23=0,Z23,"")</f>
        <v/>
      </c>
      <c r="AC23">
        <f>SUMPRODUCT((MONTH(CHOOSE({1,2,3,4},XT!U23,XT!Y23,XT!AC23,XT!AG23))=8)*(CHOOSE({1,2,3,4},XT!X23,XT!AB23,XT!AF23,XT!AJ23)))</f>
        <v>0</v>
      </c>
      <c r="AD23" t="str">
        <f>IFERROR(INDEX(CHOOSE({1,2,3,4}, DAY(XT!U23), DAY(XT!Y23), DAY(XT!AC23), DAY(XT!AG23)), MATCH(1, INDEX(--(MONTH(CHOOSE({1,2,3,4}, XT!U23,XT!Y23,XT!AC23,XT!AG23))=8), 0), 0)), "")</f>
        <v/>
      </c>
      <c r="AE23" s="51" t="str">
        <f>IF(XT!$P23&gt;0,AD23,"")</f>
        <v/>
      </c>
      <c r="AF23" s="51" t="str">
        <f>IF(XT!$P23=0,AD23,"")</f>
        <v/>
      </c>
      <c r="AG23">
        <f>SUMPRODUCT((MONTH(CHOOSE({1,2,3,4},XT!U23,XT!Y23,XT!AC23,XT!AG23))=9)*(CHOOSE({1,2,3,4},XT!X23,XT!AB23,XT!AF23,XT!AJ23)))</f>
        <v>0</v>
      </c>
      <c r="AH23" t="str">
        <f>IFERROR(INDEX(CHOOSE({1,2,3,4}, DAY(XT!U23), DAY(XT!Y23), DAY(XT!AC23), DAY(XT!AG23)), MATCH(1, INDEX(--(MONTH(CHOOSE({1,2,3,4}, XT!U23,XT!Y23,XT!AC23,XT!AG23))=9), 0), 0)), "")</f>
        <v/>
      </c>
      <c r="AI23" s="51" t="str">
        <f>IF(XT!$P23&gt;0,AH23,"")</f>
        <v/>
      </c>
      <c r="AJ23" s="51" t="str">
        <f>IF(XT!$P23=0,AH23,"")</f>
        <v/>
      </c>
      <c r="AK23">
        <f>SUMPRODUCT((MONTH(CHOOSE({1,2,3,4},XT!U23,XT!Y23,XT!AC23,XT!AG23))=10)*(CHOOSE({1,2,3,4},XT!X23,XT!AB23,XT!AF23,XT!AJ23)))</f>
        <v>0</v>
      </c>
      <c r="AL23" t="str">
        <f>IFERROR(INDEX(CHOOSE({1,2,3,4}, DAY(XT!U23), DAY(XT!Y23), DAY(XT!AC23), DAY(XT!AG23)), MATCH(1, INDEX(--(MONTH(CHOOSE({1,2,3,4}, XT!U23,XT!Y23,XT!AC23,XT!AG23))=10), 0), 0)), "")</f>
        <v/>
      </c>
      <c r="AM23" s="51" t="str">
        <f>IF(XT!$P23&gt;0,AL23,"")</f>
        <v/>
      </c>
      <c r="AN23" s="51" t="str">
        <f>IF(XT!$P23=0,AL23,"")</f>
        <v/>
      </c>
      <c r="AO23">
        <f>SUMPRODUCT((MONTH(CHOOSE({1,2,3,4},XT!U23,XT!Y23,XT!AC23,XT!AG23))=11)*(CHOOSE({1,2,3,4},XT!X23,XT!AB23,XT!AF23,XT!AJ23)))</f>
        <v>0</v>
      </c>
      <c r="AP23" t="str">
        <f>IFERROR(INDEX(CHOOSE({1,2,3,4}, DAY(XT!U23), DAY(XT!Y23), DAY(XT!AC23), DAY(XT!AG23)), MATCH(1, INDEX(--(MONTH(CHOOSE({1,2,3,4}, XT!U23,XT!Y23,XT!AC23,XT!AG23))=11), 0), 0)), "")</f>
        <v/>
      </c>
      <c r="AQ23" s="51" t="str">
        <f>IF(XT!$P23&gt;0,AP23,"")</f>
        <v/>
      </c>
      <c r="AR23" s="51" t="str">
        <f>IF(XT!$P23=0,AP23,"")</f>
        <v/>
      </c>
      <c r="AS23">
        <f>SUMPRODUCT((MONTH(CHOOSE({1,2,3,4},XT!U23,XT!Y23,XT!AC23,XT!AG23))=12)*(CHOOSE({1,2,3,4},XT!X23,XT!AB23,XT!AF23,XT!AJ23)))</f>
        <v>0</v>
      </c>
      <c r="AT23" t="str">
        <f>IFERROR(INDEX(CHOOSE({1,2,3,4}, DAY(XT!U23), DAY(XT!Y23), DAY(XT!AC23), DAY(XT!AG23)), MATCH(1, INDEX(--(MONTH(CHOOSE({1,2,3,4}, XT!U23,XT!Y23,XT!AC23,XT!AG23))=12), 0), 0)), "")</f>
        <v/>
      </c>
      <c r="AU23" s="51" t="str">
        <f>IF(XT!$P23&gt;0,AT23,"")</f>
        <v/>
      </c>
      <c r="AV23" s="51" t="str">
        <f>IF(XT!$P23=0,AT23,"")</f>
        <v/>
      </c>
    </row>
    <row r="24" spans="1:48">
      <c r="A24">
        <f>SUMPRODUCT((MONTH(CHOOSE({1,2,3,4},XT!U24,XT!Y24,XT!AC24,XT!AG24))=1)*(CHOOSE({1,2,3,4},XT!X24,XT!AB24,XT!AF24,XT!AJ24)))</f>
        <v>0</v>
      </c>
      <c r="B24">
        <f>IFERROR(INDEX(CHOOSE({1,2,3,4}, DAY(XT!U24), DAY(XT!Y24), DAY(XT!AC24), DAY(XT!AG24)), MATCH(1, INDEX(--(MONTH(CHOOSE({1,2,3,4}, XT!U24,XT!Y24,XT!AC24,XT!AG24))=1), 0), 0)), "")</f>
        <v>0</v>
      </c>
      <c r="C24" s="51" t="str">
        <f>IF(XT!$P24&gt;0,B24,"")</f>
        <v/>
      </c>
      <c r="D24" s="51">
        <f>IF(XT!$P24=0,B24,"")</f>
        <v>0</v>
      </c>
      <c r="E24">
        <f>SUMPRODUCT((MONTH(CHOOSE({1,2,3,4},XT!U24,XT!Y24,XT!AC24,XT!AG24))=2)*(CHOOSE({1,2,3,4},XT!X24,XT!AB24,XT!AF24,XT!AJ24)))</f>
        <v>0</v>
      </c>
      <c r="F24" t="str">
        <f>IFERROR(INDEX(CHOOSE({1,2,3,4}, DAY(XT!U24), DAY(XT!Y24), DAY(XT!AC24), DAY(XT!AG24)), MATCH(1, INDEX(--(MONTH(CHOOSE({1,2,3,4}, XT!U24,XT!Y24,XT!AC24,XT!AG24))=2), 0), 0)), "")</f>
        <v/>
      </c>
      <c r="G24" s="51" t="str">
        <f>IF(XT!$P24&gt;0,F24,"")</f>
        <v/>
      </c>
      <c r="H24" s="51" t="str">
        <f>IF(XT!$P24=0,F24,"")</f>
        <v/>
      </c>
      <c r="I24">
        <f>SUMPRODUCT((MONTH(CHOOSE({1,2,3,4},XT!U24,XT!Y24,XT!AC24,XT!AG24))=3)*(CHOOSE({1,2,3,4},XT!X24,XT!AB24,XT!AF24,XT!AJ24)))</f>
        <v>0</v>
      </c>
      <c r="J24" t="str">
        <f>IFERROR(INDEX(CHOOSE({1,2,3,4}, DAY(XT!U24), DAY(XT!Y24), DAY(XT!AC24), DAY(XT!AG24)), MATCH(1, INDEX(--(MONTH(CHOOSE({1,2,3,4}, XT!U24,XT!Y24,XT!AC24,XT!AG24))=3), 0), 0)), "")</f>
        <v/>
      </c>
      <c r="K24" s="51" t="str">
        <f>IF(XT!$P24&gt;0,J24,"")</f>
        <v/>
      </c>
      <c r="L24" s="51" t="str">
        <f>IF(XT!$P24=0,J24,"")</f>
        <v/>
      </c>
      <c r="M24">
        <f>SUMPRODUCT((MONTH(CHOOSE({1,2,3,4},XT!U24,XT!Y24,XT!AC24,XT!AG24))=4)*(CHOOSE({1,2,3,4},XT!X24,XT!AB24,XT!AF24,XT!AJ24)))</f>
        <v>0</v>
      </c>
      <c r="N24" t="str">
        <f>IFERROR(INDEX(CHOOSE({1,2,3,4}, DAY(XT!U24), DAY(XT!Y24), DAY(XT!AC24), DAY(XT!AG24)), MATCH(1, INDEX(--(MONTH(CHOOSE({1,2,3,4}, XT!U24,XT!Y24,XT!AC24,XT!AG24))=4), 0), 0)), "")</f>
        <v/>
      </c>
      <c r="O24" s="51" t="str">
        <f>IF(XT!$P24&gt;0,N24,"")</f>
        <v/>
      </c>
      <c r="P24" s="51" t="str">
        <f>IF(XT!$P24=0,N24,"")</f>
        <v/>
      </c>
      <c r="Q24">
        <f>SUMPRODUCT((MONTH(CHOOSE({1,2,3,4},XT!U24,XT!Y24,XT!AC24,XT!AG24))=5)*(CHOOSE({1,2,3,4},XT!X24,XT!AB24,XT!AF24,XT!AJ24)))</f>
        <v>0</v>
      </c>
      <c r="R24" t="str">
        <f>IFERROR(INDEX(CHOOSE({1,2,3,4}, DAY(XT!U24), DAY(XT!Y24), DAY(XT!AC24), DAY(XT!AG24)), MATCH(1, INDEX(--(MONTH(CHOOSE({1,2,3,4}, XT!U24,XT!Y24,XT!AC24,XT!AG24))=5), 0), 0)), "")</f>
        <v/>
      </c>
      <c r="S24" s="51" t="str">
        <f>IF(XT!$P24&gt;0,R24,"")</f>
        <v/>
      </c>
      <c r="T24" s="51" t="str">
        <f>IF(XT!$P24=0,R24,"")</f>
        <v/>
      </c>
      <c r="U24">
        <f>SUMPRODUCT((MONTH(CHOOSE({1,2,3,4},XT!U24,XT!Y24,XT!AC24,XT!AG24))=6)*(CHOOSE({1,2,3,4},XT!X24,XT!AB24,XT!AF24,XT!AJ24)))</f>
        <v>0</v>
      </c>
      <c r="V24" t="str">
        <f>IFERROR(INDEX(CHOOSE({1,2,3,4}, DAY(XT!U24), DAY(XT!Y24), DAY(XT!AC24), DAY(XT!AG24)), MATCH(1, INDEX(--(MONTH(CHOOSE({1,2,3,4}, XT!U24,XT!Y24,XT!AC24,XT!AG24))=6), 0), 0)), "")</f>
        <v/>
      </c>
      <c r="W24" s="51" t="str">
        <f>IF(XT!$P24&gt;0,V24,"")</f>
        <v/>
      </c>
      <c r="X24" s="51" t="str">
        <f>IF(XT!$P24=0,V24,"")</f>
        <v/>
      </c>
      <c r="Y24">
        <f>SUMPRODUCT((MONTH(CHOOSE({1,2,3,4},XT!U24,XT!Y24,XT!AC24,XT!AG24))=7)*(CHOOSE({1,2,3,4},XT!X24,XT!AB24,XT!AF24,XT!AJ24)))</f>
        <v>0</v>
      </c>
      <c r="Z24" t="str">
        <f>IFERROR(INDEX(CHOOSE({1,2,3,4}, DAY(XT!U24), DAY(XT!Y24), DAY(XT!AC24), DAY(XT!AG24)), MATCH(1, INDEX(--(MONTH(CHOOSE({1,2,3,4}, XT!U24,XT!Y24,XT!AC24,XT!AG24))=7), 0), 0)), "")</f>
        <v/>
      </c>
      <c r="AA24" s="51" t="str">
        <f>IF(XT!$P24&gt;0,Z24,"")</f>
        <v/>
      </c>
      <c r="AB24" s="51" t="str">
        <f>IF(XT!$P24=0,Z24,"")</f>
        <v/>
      </c>
      <c r="AC24">
        <f>SUMPRODUCT((MONTH(CHOOSE({1,2,3,4},XT!U24,XT!Y24,XT!AC24,XT!AG24))=8)*(CHOOSE({1,2,3,4},XT!X24,XT!AB24,XT!AF24,XT!AJ24)))</f>
        <v>0</v>
      </c>
      <c r="AD24" t="str">
        <f>IFERROR(INDEX(CHOOSE({1,2,3,4}, DAY(XT!U24), DAY(XT!Y24), DAY(XT!AC24), DAY(XT!AG24)), MATCH(1, INDEX(--(MONTH(CHOOSE({1,2,3,4}, XT!U24,XT!Y24,XT!AC24,XT!AG24))=8), 0), 0)), "")</f>
        <v/>
      </c>
      <c r="AE24" s="51" t="str">
        <f>IF(XT!$P24&gt;0,AD24,"")</f>
        <v/>
      </c>
      <c r="AF24" s="51" t="str">
        <f>IF(XT!$P24=0,AD24,"")</f>
        <v/>
      </c>
      <c r="AG24">
        <f>SUMPRODUCT((MONTH(CHOOSE({1,2,3,4},XT!U24,XT!Y24,XT!AC24,XT!AG24))=9)*(CHOOSE({1,2,3,4},XT!X24,XT!AB24,XT!AF24,XT!AJ24)))</f>
        <v>0</v>
      </c>
      <c r="AH24" t="str">
        <f>IFERROR(INDEX(CHOOSE({1,2,3,4}, DAY(XT!U24), DAY(XT!Y24), DAY(XT!AC24), DAY(XT!AG24)), MATCH(1, INDEX(--(MONTH(CHOOSE({1,2,3,4}, XT!U24,XT!Y24,XT!AC24,XT!AG24))=9), 0), 0)), "")</f>
        <v/>
      </c>
      <c r="AI24" s="51" t="str">
        <f>IF(XT!$P24&gt;0,AH24,"")</f>
        <v/>
      </c>
      <c r="AJ24" s="51" t="str">
        <f>IF(XT!$P24=0,AH24,"")</f>
        <v/>
      </c>
      <c r="AK24">
        <f>SUMPRODUCT((MONTH(CHOOSE({1,2,3,4},XT!U24,XT!Y24,XT!AC24,XT!AG24))=10)*(CHOOSE({1,2,3,4},XT!X24,XT!AB24,XT!AF24,XT!AJ24)))</f>
        <v>0</v>
      </c>
      <c r="AL24" t="str">
        <f>IFERROR(INDEX(CHOOSE({1,2,3,4}, DAY(XT!U24), DAY(XT!Y24), DAY(XT!AC24), DAY(XT!AG24)), MATCH(1, INDEX(--(MONTH(CHOOSE({1,2,3,4}, XT!U24,XT!Y24,XT!AC24,XT!AG24))=10), 0), 0)), "")</f>
        <v/>
      </c>
      <c r="AM24" s="51" t="str">
        <f>IF(XT!$P24&gt;0,AL24,"")</f>
        <v/>
      </c>
      <c r="AN24" s="51" t="str">
        <f>IF(XT!$P24=0,AL24,"")</f>
        <v/>
      </c>
      <c r="AO24">
        <f>SUMPRODUCT((MONTH(CHOOSE({1,2,3,4},XT!U24,XT!Y24,XT!AC24,XT!AG24))=11)*(CHOOSE({1,2,3,4},XT!X24,XT!AB24,XT!AF24,XT!AJ24)))</f>
        <v>0</v>
      </c>
      <c r="AP24" t="str">
        <f>IFERROR(INDEX(CHOOSE({1,2,3,4}, DAY(XT!U24), DAY(XT!Y24), DAY(XT!AC24), DAY(XT!AG24)), MATCH(1, INDEX(--(MONTH(CHOOSE({1,2,3,4}, XT!U24,XT!Y24,XT!AC24,XT!AG24))=11), 0), 0)), "")</f>
        <v/>
      </c>
      <c r="AQ24" s="51" t="str">
        <f>IF(XT!$P24&gt;0,AP24,"")</f>
        <v/>
      </c>
      <c r="AR24" s="51" t="str">
        <f>IF(XT!$P24=0,AP24,"")</f>
        <v/>
      </c>
      <c r="AS24">
        <f>SUMPRODUCT((MONTH(CHOOSE({1,2,3,4},XT!U24,XT!Y24,XT!AC24,XT!AG24))=12)*(CHOOSE({1,2,3,4},XT!X24,XT!AB24,XT!AF24,XT!AJ24)))</f>
        <v>0</v>
      </c>
      <c r="AT24" t="str">
        <f>IFERROR(INDEX(CHOOSE({1,2,3,4}, DAY(XT!U24), DAY(XT!Y24), DAY(XT!AC24), DAY(XT!AG24)), MATCH(1, INDEX(--(MONTH(CHOOSE({1,2,3,4}, XT!U24,XT!Y24,XT!AC24,XT!AG24))=12), 0), 0)), "")</f>
        <v/>
      </c>
      <c r="AU24" s="51" t="str">
        <f>IF(XT!$P24&gt;0,AT24,"")</f>
        <v/>
      </c>
      <c r="AV24" s="51" t="str">
        <f>IF(XT!$P24=0,AT24,"")</f>
        <v/>
      </c>
    </row>
    <row r="25" spans="1:48">
      <c r="A25">
        <f>SUMPRODUCT((MONTH(CHOOSE({1,2,3,4},XT!U25,XT!Y25,XT!AC25,XT!AG25))=1)*(CHOOSE({1,2,3,4},XT!X25,XT!AB25,XT!AF25,XT!AJ25)))</f>
        <v>0</v>
      </c>
      <c r="B25">
        <f>IFERROR(INDEX(CHOOSE({1,2,3,4}, DAY(XT!U25), DAY(XT!Y25), DAY(XT!AC25), DAY(XT!AG25)), MATCH(1, INDEX(--(MONTH(CHOOSE({1,2,3,4}, XT!U25,XT!Y25,XT!AC25,XT!AG25))=1), 0), 0)), "")</f>
        <v>0</v>
      </c>
      <c r="C25" s="51" t="str">
        <f>IF(XT!$P25&gt;0,B25,"")</f>
        <v/>
      </c>
      <c r="D25" s="51">
        <f>IF(XT!$P25=0,B25,"")</f>
        <v>0</v>
      </c>
      <c r="E25">
        <f>SUMPRODUCT((MONTH(CHOOSE({1,2,3,4},XT!U25,XT!Y25,XT!AC25,XT!AG25))=2)*(CHOOSE({1,2,3,4},XT!X25,XT!AB25,XT!AF25,XT!AJ25)))</f>
        <v>0</v>
      </c>
      <c r="F25" t="str">
        <f>IFERROR(INDEX(CHOOSE({1,2,3,4}, DAY(XT!U25), DAY(XT!Y25), DAY(XT!AC25), DAY(XT!AG25)), MATCH(1, INDEX(--(MONTH(CHOOSE({1,2,3,4}, XT!U25,XT!Y25,XT!AC25,XT!AG25))=2), 0), 0)), "")</f>
        <v/>
      </c>
      <c r="G25" s="51" t="str">
        <f>IF(XT!$P25&gt;0,F25,"")</f>
        <v/>
      </c>
      <c r="H25" s="51" t="str">
        <f>IF(XT!$P25=0,F25,"")</f>
        <v/>
      </c>
      <c r="I25">
        <f>SUMPRODUCT((MONTH(CHOOSE({1,2,3,4},XT!U25,XT!Y25,XT!AC25,XT!AG25))=3)*(CHOOSE({1,2,3,4},XT!X25,XT!AB25,XT!AF25,XT!AJ25)))</f>
        <v>0</v>
      </c>
      <c r="J25" t="str">
        <f>IFERROR(INDEX(CHOOSE({1,2,3,4}, DAY(XT!U25), DAY(XT!Y25), DAY(XT!AC25), DAY(XT!AG25)), MATCH(1, INDEX(--(MONTH(CHOOSE({1,2,3,4}, XT!U25,XT!Y25,XT!AC25,XT!AG25))=3), 0), 0)), "")</f>
        <v/>
      </c>
      <c r="K25" s="51" t="str">
        <f>IF(XT!$P25&gt;0,J25,"")</f>
        <v/>
      </c>
      <c r="L25" s="51" t="str">
        <f>IF(XT!$P25=0,J25,"")</f>
        <v/>
      </c>
      <c r="M25">
        <f>SUMPRODUCT((MONTH(CHOOSE({1,2,3,4},XT!U25,XT!Y25,XT!AC25,XT!AG25))=4)*(CHOOSE({1,2,3,4},XT!X25,XT!AB25,XT!AF25,XT!AJ25)))</f>
        <v>0</v>
      </c>
      <c r="N25" t="str">
        <f>IFERROR(INDEX(CHOOSE({1,2,3,4}, DAY(XT!U25), DAY(XT!Y25), DAY(XT!AC25), DAY(XT!AG25)), MATCH(1, INDEX(--(MONTH(CHOOSE({1,2,3,4}, XT!U25,XT!Y25,XT!AC25,XT!AG25))=4), 0), 0)), "")</f>
        <v/>
      </c>
      <c r="O25" s="51" t="str">
        <f>IF(XT!$P25&gt;0,N25,"")</f>
        <v/>
      </c>
      <c r="P25" s="51" t="str">
        <f>IF(XT!$P25=0,N25,"")</f>
        <v/>
      </c>
      <c r="Q25">
        <f>SUMPRODUCT((MONTH(CHOOSE({1,2,3,4},XT!U25,XT!Y25,XT!AC25,XT!AG25))=5)*(CHOOSE({1,2,3,4},XT!X25,XT!AB25,XT!AF25,XT!AJ25)))</f>
        <v>0</v>
      </c>
      <c r="R25" t="str">
        <f>IFERROR(INDEX(CHOOSE({1,2,3,4}, DAY(XT!U25), DAY(XT!Y25), DAY(XT!AC25), DAY(XT!AG25)), MATCH(1, INDEX(--(MONTH(CHOOSE({1,2,3,4}, XT!U25,XT!Y25,XT!AC25,XT!AG25))=5), 0), 0)), "")</f>
        <v/>
      </c>
      <c r="S25" s="51" t="str">
        <f>IF(XT!$P25&gt;0,R25,"")</f>
        <v/>
      </c>
      <c r="T25" s="51" t="str">
        <f>IF(XT!$P25=0,R25,"")</f>
        <v/>
      </c>
      <c r="U25">
        <f>SUMPRODUCT((MONTH(CHOOSE({1,2,3,4},XT!U25,XT!Y25,XT!AC25,XT!AG25))=6)*(CHOOSE({1,2,3,4},XT!X25,XT!AB25,XT!AF25,XT!AJ25)))</f>
        <v>0</v>
      </c>
      <c r="V25" t="str">
        <f>IFERROR(INDEX(CHOOSE({1,2,3,4}, DAY(XT!U25), DAY(XT!Y25), DAY(XT!AC25), DAY(XT!AG25)), MATCH(1, INDEX(--(MONTH(CHOOSE({1,2,3,4}, XT!U25,XT!Y25,XT!AC25,XT!AG25))=6), 0), 0)), "")</f>
        <v/>
      </c>
      <c r="W25" s="51" t="str">
        <f>IF(XT!$P25&gt;0,V25,"")</f>
        <v/>
      </c>
      <c r="X25" s="51" t="str">
        <f>IF(XT!$P25=0,V25,"")</f>
        <v/>
      </c>
      <c r="Y25">
        <f>SUMPRODUCT((MONTH(CHOOSE({1,2,3,4},XT!U25,XT!Y25,XT!AC25,XT!AG25))=7)*(CHOOSE({1,2,3,4},XT!X25,XT!AB25,XT!AF25,XT!AJ25)))</f>
        <v>0</v>
      </c>
      <c r="Z25" t="str">
        <f>IFERROR(INDEX(CHOOSE({1,2,3,4}, DAY(XT!U25), DAY(XT!Y25), DAY(XT!AC25), DAY(XT!AG25)), MATCH(1, INDEX(--(MONTH(CHOOSE({1,2,3,4}, XT!U25,XT!Y25,XT!AC25,XT!AG25))=7), 0), 0)), "")</f>
        <v/>
      </c>
      <c r="AA25" s="51" t="str">
        <f>IF(XT!$P25&gt;0,Z25,"")</f>
        <v/>
      </c>
      <c r="AB25" s="51" t="str">
        <f>IF(XT!$P25=0,Z25,"")</f>
        <v/>
      </c>
      <c r="AC25">
        <f>SUMPRODUCT((MONTH(CHOOSE({1,2,3,4},XT!U25,XT!Y25,XT!AC25,XT!AG25))=8)*(CHOOSE({1,2,3,4},XT!X25,XT!AB25,XT!AF25,XT!AJ25)))</f>
        <v>0</v>
      </c>
      <c r="AD25" t="str">
        <f>IFERROR(INDEX(CHOOSE({1,2,3,4}, DAY(XT!U25), DAY(XT!Y25), DAY(XT!AC25), DAY(XT!AG25)), MATCH(1, INDEX(--(MONTH(CHOOSE({1,2,3,4}, XT!U25,XT!Y25,XT!AC25,XT!AG25))=8), 0), 0)), "")</f>
        <v/>
      </c>
      <c r="AE25" s="51" t="str">
        <f>IF(XT!$P25&gt;0,AD25,"")</f>
        <v/>
      </c>
      <c r="AF25" s="51" t="str">
        <f>IF(XT!$P25=0,AD25,"")</f>
        <v/>
      </c>
      <c r="AG25">
        <f>SUMPRODUCT((MONTH(CHOOSE({1,2,3,4},XT!U25,XT!Y25,XT!AC25,XT!AG25))=9)*(CHOOSE({1,2,3,4},XT!X25,XT!AB25,XT!AF25,XT!AJ25)))</f>
        <v>0</v>
      </c>
      <c r="AH25" t="str">
        <f>IFERROR(INDEX(CHOOSE({1,2,3,4}, DAY(XT!U25), DAY(XT!Y25), DAY(XT!AC25), DAY(XT!AG25)), MATCH(1, INDEX(--(MONTH(CHOOSE({1,2,3,4}, XT!U25,XT!Y25,XT!AC25,XT!AG25))=9), 0), 0)), "")</f>
        <v/>
      </c>
      <c r="AI25" s="51" t="str">
        <f>IF(XT!$P25&gt;0,AH25,"")</f>
        <v/>
      </c>
      <c r="AJ25" s="51" t="str">
        <f>IF(XT!$P25=0,AH25,"")</f>
        <v/>
      </c>
      <c r="AK25">
        <f>SUMPRODUCT((MONTH(CHOOSE({1,2,3,4},XT!U25,XT!Y25,XT!AC25,XT!AG25))=10)*(CHOOSE({1,2,3,4},XT!X25,XT!AB25,XT!AF25,XT!AJ25)))</f>
        <v>0</v>
      </c>
      <c r="AL25" t="str">
        <f>IFERROR(INDEX(CHOOSE({1,2,3,4}, DAY(XT!U25), DAY(XT!Y25), DAY(XT!AC25), DAY(XT!AG25)), MATCH(1, INDEX(--(MONTH(CHOOSE({1,2,3,4}, XT!U25,XT!Y25,XT!AC25,XT!AG25))=10), 0), 0)), "")</f>
        <v/>
      </c>
      <c r="AM25" s="51" t="str">
        <f>IF(XT!$P25&gt;0,AL25,"")</f>
        <v/>
      </c>
      <c r="AN25" s="51" t="str">
        <f>IF(XT!$P25=0,AL25,"")</f>
        <v/>
      </c>
      <c r="AO25">
        <f>SUMPRODUCT((MONTH(CHOOSE({1,2,3,4},XT!U25,XT!Y25,XT!AC25,XT!AG25))=11)*(CHOOSE({1,2,3,4},XT!X25,XT!AB25,XT!AF25,XT!AJ25)))</f>
        <v>0</v>
      </c>
      <c r="AP25" t="str">
        <f>IFERROR(INDEX(CHOOSE({1,2,3,4}, DAY(XT!U25), DAY(XT!Y25), DAY(XT!AC25), DAY(XT!AG25)), MATCH(1, INDEX(--(MONTH(CHOOSE({1,2,3,4}, XT!U25,XT!Y25,XT!AC25,XT!AG25))=11), 0), 0)), "")</f>
        <v/>
      </c>
      <c r="AQ25" s="51" t="str">
        <f>IF(XT!$P25&gt;0,AP25,"")</f>
        <v/>
      </c>
      <c r="AR25" s="51" t="str">
        <f>IF(XT!$P25=0,AP25,"")</f>
        <v/>
      </c>
      <c r="AS25">
        <f>SUMPRODUCT((MONTH(CHOOSE({1,2,3,4},XT!U25,XT!Y25,XT!AC25,XT!AG25))=12)*(CHOOSE({1,2,3,4},XT!X25,XT!AB25,XT!AF25,XT!AJ25)))</f>
        <v>0</v>
      </c>
      <c r="AT25" t="str">
        <f>IFERROR(INDEX(CHOOSE({1,2,3,4}, DAY(XT!U25), DAY(XT!Y25), DAY(XT!AC25), DAY(XT!AG25)), MATCH(1, INDEX(--(MONTH(CHOOSE({1,2,3,4}, XT!U25,XT!Y25,XT!AC25,XT!AG25))=12), 0), 0)), "")</f>
        <v/>
      </c>
      <c r="AU25" s="51" t="str">
        <f>IF(XT!$P25&gt;0,AT25,"")</f>
        <v/>
      </c>
      <c r="AV25" s="51" t="str">
        <f>IF(XT!$P25=0,AT25,"")</f>
        <v/>
      </c>
    </row>
    <row r="26" spans="1:48">
      <c r="A26">
        <f>SUMPRODUCT((MONTH(CHOOSE({1,2,3,4},XT!U26,XT!Y26,XT!AC26,XT!AG26))=1)*(CHOOSE({1,2,3,4},XT!X26,XT!AB26,XT!AF26,XT!AJ26)))</f>
        <v>0</v>
      </c>
      <c r="B26">
        <f>IFERROR(INDEX(CHOOSE({1,2,3,4}, DAY(XT!U26), DAY(XT!Y26), DAY(XT!AC26), DAY(XT!AG26)), MATCH(1, INDEX(--(MONTH(CHOOSE({1,2,3,4}, XT!U26,XT!Y26,XT!AC26,XT!AG26))=1), 0), 0)), "")</f>
        <v>0</v>
      </c>
      <c r="C26" s="51" t="str">
        <f>IF(XT!$P26&gt;0,B26,"")</f>
        <v/>
      </c>
      <c r="D26" s="51">
        <f>IF(XT!$P26=0,B26,"")</f>
        <v>0</v>
      </c>
      <c r="E26">
        <f>SUMPRODUCT((MONTH(CHOOSE({1,2,3,4},XT!U26,XT!Y26,XT!AC26,XT!AG26))=2)*(CHOOSE({1,2,3,4},XT!X26,XT!AB26,XT!AF26,XT!AJ26)))</f>
        <v>0</v>
      </c>
      <c r="F26" t="str">
        <f>IFERROR(INDEX(CHOOSE({1,2,3,4}, DAY(XT!U26), DAY(XT!Y26), DAY(XT!AC26), DAY(XT!AG26)), MATCH(1, INDEX(--(MONTH(CHOOSE({1,2,3,4}, XT!U26,XT!Y26,XT!AC26,XT!AG26))=2), 0), 0)), "")</f>
        <v/>
      </c>
      <c r="G26" s="51" t="str">
        <f>IF(XT!$P26&gt;0,F26,"")</f>
        <v/>
      </c>
      <c r="H26" s="51" t="str">
        <f>IF(XT!$P26=0,F26,"")</f>
        <v/>
      </c>
      <c r="I26">
        <f>SUMPRODUCT((MONTH(CHOOSE({1,2,3,4},XT!U26,XT!Y26,XT!AC26,XT!AG26))=3)*(CHOOSE({1,2,3,4},XT!X26,XT!AB26,XT!AF26,XT!AJ26)))</f>
        <v>0</v>
      </c>
      <c r="J26" t="str">
        <f>IFERROR(INDEX(CHOOSE({1,2,3,4}, DAY(XT!U26), DAY(XT!Y26), DAY(XT!AC26), DAY(XT!AG26)), MATCH(1, INDEX(--(MONTH(CHOOSE({1,2,3,4}, XT!U26,XT!Y26,XT!AC26,XT!AG26))=3), 0), 0)), "")</f>
        <v/>
      </c>
      <c r="K26" s="51" t="str">
        <f>IF(XT!$P26&gt;0,J26,"")</f>
        <v/>
      </c>
      <c r="L26" s="51" t="str">
        <f>IF(XT!$P26=0,J26,"")</f>
        <v/>
      </c>
      <c r="M26">
        <f>SUMPRODUCT((MONTH(CHOOSE({1,2,3,4},XT!U26,XT!Y26,XT!AC26,XT!AG26))=4)*(CHOOSE({1,2,3,4},XT!X26,XT!AB26,XT!AF26,XT!AJ26)))</f>
        <v>0</v>
      </c>
      <c r="N26" t="str">
        <f>IFERROR(INDEX(CHOOSE({1,2,3,4}, DAY(XT!U26), DAY(XT!Y26), DAY(XT!AC26), DAY(XT!AG26)), MATCH(1, INDEX(--(MONTH(CHOOSE({1,2,3,4}, XT!U26,XT!Y26,XT!AC26,XT!AG26))=4), 0), 0)), "")</f>
        <v/>
      </c>
      <c r="O26" s="51" t="str">
        <f>IF(XT!$P26&gt;0,N26,"")</f>
        <v/>
      </c>
      <c r="P26" s="51" t="str">
        <f>IF(XT!$P26=0,N26,"")</f>
        <v/>
      </c>
      <c r="Q26">
        <f>SUMPRODUCT((MONTH(CHOOSE({1,2,3,4},XT!U26,XT!Y26,XT!AC26,XT!AG26))=5)*(CHOOSE({1,2,3,4},XT!X26,XT!AB26,XT!AF26,XT!AJ26)))</f>
        <v>0</v>
      </c>
      <c r="R26" t="str">
        <f>IFERROR(INDEX(CHOOSE({1,2,3,4}, DAY(XT!U26), DAY(XT!Y26), DAY(XT!AC26), DAY(XT!AG26)), MATCH(1, INDEX(--(MONTH(CHOOSE({1,2,3,4}, XT!U26,XT!Y26,XT!AC26,XT!AG26))=5), 0), 0)), "")</f>
        <v/>
      </c>
      <c r="S26" s="51" t="str">
        <f>IF(XT!$P26&gt;0,R26,"")</f>
        <v/>
      </c>
      <c r="T26" s="51" t="str">
        <f>IF(XT!$P26=0,R26,"")</f>
        <v/>
      </c>
      <c r="U26">
        <f>SUMPRODUCT((MONTH(CHOOSE({1,2,3,4},XT!U26,XT!Y26,XT!AC26,XT!AG26))=6)*(CHOOSE({1,2,3,4},XT!X26,XT!AB26,XT!AF26,XT!AJ26)))</f>
        <v>0</v>
      </c>
      <c r="V26" t="str">
        <f>IFERROR(INDEX(CHOOSE({1,2,3,4}, DAY(XT!U26), DAY(XT!Y26), DAY(XT!AC26), DAY(XT!AG26)), MATCH(1, INDEX(--(MONTH(CHOOSE({1,2,3,4}, XT!U26,XT!Y26,XT!AC26,XT!AG26))=6), 0), 0)), "")</f>
        <v/>
      </c>
      <c r="W26" s="51" t="str">
        <f>IF(XT!$P26&gt;0,V26,"")</f>
        <v/>
      </c>
      <c r="X26" s="51" t="str">
        <f>IF(XT!$P26=0,V26,"")</f>
        <v/>
      </c>
      <c r="Y26">
        <f>SUMPRODUCT((MONTH(CHOOSE({1,2,3,4},XT!U26,XT!Y26,XT!AC26,XT!AG26))=7)*(CHOOSE({1,2,3,4},XT!X26,XT!AB26,XT!AF26,XT!AJ26)))</f>
        <v>0</v>
      </c>
      <c r="Z26" t="str">
        <f>IFERROR(INDEX(CHOOSE({1,2,3,4}, DAY(XT!U26), DAY(XT!Y26), DAY(XT!AC26), DAY(XT!AG26)), MATCH(1, INDEX(--(MONTH(CHOOSE({1,2,3,4}, XT!U26,XT!Y26,XT!AC26,XT!AG26))=7), 0), 0)), "")</f>
        <v/>
      </c>
      <c r="AA26" s="51" t="str">
        <f>IF(XT!$P26&gt;0,Z26,"")</f>
        <v/>
      </c>
      <c r="AB26" s="51" t="str">
        <f>IF(XT!$P26=0,Z26,"")</f>
        <v/>
      </c>
      <c r="AC26">
        <f>SUMPRODUCT((MONTH(CHOOSE({1,2,3,4},XT!U26,XT!Y26,XT!AC26,XT!AG26))=8)*(CHOOSE({1,2,3,4},XT!X26,XT!AB26,XT!AF26,XT!AJ26)))</f>
        <v>0</v>
      </c>
      <c r="AD26" t="str">
        <f>IFERROR(INDEX(CHOOSE({1,2,3,4}, DAY(XT!U26), DAY(XT!Y26), DAY(XT!AC26), DAY(XT!AG26)), MATCH(1, INDEX(--(MONTH(CHOOSE({1,2,3,4}, XT!U26,XT!Y26,XT!AC26,XT!AG26))=8), 0), 0)), "")</f>
        <v/>
      </c>
      <c r="AE26" s="51" t="str">
        <f>IF(XT!$P26&gt;0,AD26,"")</f>
        <v/>
      </c>
      <c r="AF26" s="51" t="str">
        <f>IF(XT!$P26=0,AD26,"")</f>
        <v/>
      </c>
      <c r="AG26">
        <f>SUMPRODUCT((MONTH(CHOOSE({1,2,3,4},XT!U26,XT!Y26,XT!AC26,XT!AG26))=9)*(CHOOSE({1,2,3,4},XT!X26,XT!AB26,XT!AF26,XT!AJ26)))</f>
        <v>0</v>
      </c>
      <c r="AH26" t="str">
        <f>IFERROR(INDEX(CHOOSE({1,2,3,4}, DAY(XT!U26), DAY(XT!Y26), DAY(XT!AC26), DAY(XT!AG26)), MATCH(1, INDEX(--(MONTH(CHOOSE({1,2,3,4}, XT!U26,XT!Y26,XT!AC26,XT!AG26))=9), 0), 0)), "")</f>
        <v/>
      </c>
      <c r="AI26" s="51" t="str">
        <f>IF(XT!$P26&gt;0,AH26,"")</f>
        <v/>
      </c>
      <c r="AJ26" s="51" t="str">
        <f>IF(XT!$P26=0,AH26,"")</f>
        <v/>
      </c>
      <c r="AK26">
        <f>SUMPRODUCT((MONTH(CHOOSE({1,2,3,4},XT!U26,XT!Y26,XT!AC26,XT!AG26))=10)*(CHOOSE({1,2,3,4},XT!X26,XT!AB26,XT!AF26,XT!AJ26)))</f>
        <v>0</v>
      </c>
      <c r="AL26" t="str">
        <f>IFERROR(INDEX(CHOOSE({1,2,3,4}, DAY(XT!U26), DAY(XT!Y26), DAY(XT!AC26), DAY(XT!AG26)), MATCH(1, INDEX(--(MONTH(CHOOSE({1,2,3,4}, XT!U26,XT!Y26,XT!AC26,XT!AG26))=10), 0), 0)), "")</f>
        <v/>
      </c>
      <c r="AM26" s="51" t="str">
        <f>IF(XT!$P26&gt;0,AL26,"")</f>
        <v/>
      </c>
      <c r="AN26" s="51" t="str">
        <f>IF(XT!$P26=0,AL26,"")</f>
        <v/>
      </c>
      <c r="AO26">
        <f>SUMPRODUCT((MONTH(CHOOSE({1,2,3,4},XT!U26,XT!Y26,XT!AC26,XT!AG26))=11)*(CHOOSE({1,2,3,4},XT!X26,XT!AB26,XT!AF26,XT!AJ26)))</f>
        <v>0</v>
      </c>
      <c r="AP26" t="str">
        <f>IFERROR(INDEX(CHOOSE({1,2,3,4}, DAY(XT!U26), DAY(XT!Y26), DAY(XT!AC26), DAY(XT!AG26)), MATCH(1, INDEX(--(MONTH(CHOOSE({1,2,3,4}, XT!U26,XT!Y26,XT!AC26,XT!AG26))=11), 0), 0)), "")</f>
        <v/>
      </c>
      <c r="AQ26" s="51" t="str">
        <f>IF(XT!$P26&gt;0,AP26,"")</f>
        <v/>
      </c>
      <c r="AR26" s="51" t="str">
        <f>IF(XT!$P26=0,AP26,"")</f>
        <v/>
      </c>
      <c r="AS26">
        <f>SUMPRODUCT((MONTH(CHOOSE({1,2,3,4},XT!U26,XT!Y26,XT!AC26,XT!AG26))=12)*(CHOOSE({1,2,3,4},XT!X26,XT!AB26,XT!AF26,XT!AJ26)))</f>
        <v>0</v>
      </c>
      <c r="AT26" t="str">
        <f>IFERROR(INDEX(CHOOSE({1,2,3,4}, DAY(XT!U26), DAY(XT!Y26), DAY(XT!AC26), DAY(XT!AG26)), MATCH(1, INDEX(--(MONTH(CHOOSE({1,2,3,4}, XT!U26,XT!Y26,XT!AC26,XT!AG26))=12), 0), 0)), "")</f>
        <v/>
      </c>
      <c r="AU26" s="51" t="str">
        <f>IF(XT!$P26&gt;0,AT26,"")</f>
        <v/>
      </c>
      <c r="AV26" s="51" t="str">
        <f>IF(XT!$P26=0,AT26,"")</f>
        <v/>
      </c>
    </row>
    <row r="27" spans="1:48">
      <c r="A27">
        <f>SUMPRODUCT((MONTH(CHOOSE({1,2,3,4},XT!U27,XT!Y27,XT!AC27,XT!AG27))=1)*(CHOOSE({1,2,3,4},XT!X27,XT!AB27,XT!AF27,XT!AJ27)))</f>
        <v>0</v>
      </c>
      <c r="B27">
        <f>IFERROR(INDEX(CHOOSE({1,2,3,4}, DAY(XT!U27), DAY(XT!Y27), DAY(XT!AC27), DAY(XT!AG27)), MATCH(1, INDEX(--(MONTH(CHOOSE({1,2,3,4}, XT!U27,XT!Y27,XT!AC27,XT!AG27))=1), 0), 0)), "")</f>
        <v>0</v>
      </c>
      <c r="C27" s="51" t="str">
        <f>IF(XT!$P27&gt;0,B27,"")</f>
        <v/>
      </c>
      <c r="D27" s="51">
        <f>IF(XT!$P27=0,B27,"")</f>
        <v>0</v>
      </c>
      <c r="E27">
        <f>SUMPRODUCT((MONTH(CHOOSE({1,2,3,4},XT!U27,XT!Y27,XT!AC27,XT!AG27))=2)*(CHOOSE({1,2,3,4},XT!X27,XT!AB27,XT!AF27,XT!AJ27)))</f>
        <v>0</v>
      </c>
      <c r="F27" t="str">
        <f>IFERROR(INDEX(CHOOSE({1,2,3,4}, DAY(XT!U27), DAY(XT!Y27), DAY(XT!AC27), DAY(XT!AG27)), MATCH(1, INDEX(--(MONTH(CHOOSE({1,2,3,4}, XT!U27,XT!Y27,XT!AC27,XT!AG27))=2), 0), 0)), "")</f>
        <v/>
      </c>
      <c r="G27" s="51" t="str">
        <f>IF(XT!$P27&gt;0,F27,"")</f>
        <v/>
      </c>
      <c r="H27" s="51" t="str">
        <f>IF(XT!$P27=0,F27,"")</f>
        <v/>
      </c>
      <c r="I27">
        <f>SUMPRODUCT((MONTH(CHOOSE({1,2,3,4},XT!U27,XT!Y27,XT!AC27,XT!AG27))=3)*(CHOOSE({1,2,3,4},XT!X27,XT!AB27,XT!AF27,XT!AJ27)))</f>
        <v>0</v>
      </c>
      <c r="J27" t="str">
        <f>IFERROR(INDEX(CHOOSE({1,2,3,4}, DAY(XT!U27), DAY(XT!Y27), DAY(XT!AC27), DAY(XT!AG27)), MATCH(1, INDEX(--(MONTH(CHOOSE({1,2,3,4}, XT!U27,XT!Y27,XT!AC27,XT!AG27))=3), 0), 0)), "")</f>
        <v/>
      </c>
      <c r="K27" s="51" t="str">
        <f>IF(XT!$P27&gt;0,J27,"")</f>
        <v/>
      </c>
      <c r="L27" s="51" t="str">
        <f>IF(XT!$P27=0,J27,"")</f>
        <v/>
      </c>
      <c r="M27">
        <f>SUMPRODUCT((MONTH(CHOOSE({1,2,3,4},XT!U27,XT!Y27,XT!AC27,XT!AG27))=4)*(CHOOSE({1,2,3,4},XT!X27,XT!AB27,XT!AF27,XT!AJ27)))</f>
        <v>0</v>
      </c>
      <c r="N27" t="str">
        <f>IFERROR(INDEX(CHOOSE({1,2,3,4}, DAY(XT!U27), DAY(XT!Y27), DAY(XT!AC27), DAY(XT!AG27)), MATCH(1, INDEX(--(MONTH(CHOOSE({1,2,3,4}, XT!U27,XT!Y27,XT!AC27,XT!AG27))=4), 0), 0)), "")</f>
        <v/>
      </c>
      <c r="O27" s="51" t="str">
        <f>IF(XT!$P27&gt;0,N27,"")</f>
        <v/>
      </c>
      <c r="P27" s="51" t="str">
        <f>IF(XT!$P27=0,N27,"")</f>
        <v/>
      </c>
      <c r="Q27">
        <f>SUMPRODUCT((MONTH(CHOOSE({1,2,3,4},XT!U27,XT!Y27,XT!AC27,XT!AG27))=5)*(CHOOSE({1,2,3,4},XT!X27,XT!AB27,XT!AF27,XT!AJ27)))</f>
        <v>0</v>
      </c>
      <c r="R27" t="str">
        <f>IFERROR(INDEX(CHOOSE({1,2,3,4}, DAY(XT!U27), DAY(XT!Y27), DAY(XT!AC27), DAY(XT!AG27)), MATCH(1, INDEX(--(MONTH(CHOOSE({1,2,3,4}, XT!U27,XT!Y27,XT!AC27,XT!AG27))=5), 0), 0)), "")</f>
        <v/>
      </c>
      <c r="S27" s="51" t="str">
        <f>IF(XT!$P27&gt;0,R27,"")</f>
        <v/>
      </c>
      <c r="T27" s="51" t="str">
        <f>IF(XT!$P27=0,R27,"")</f>
        <v/>
      </c>
      <c r="U27">
        <f>SUMPRODUCT((MONTH(CHOOSE({1,2,3,4},XT!U27,XT!Y27,XT!AC27,XT!AG27))=6)*(CHOOSE({1,2,3,4},XT!X27,XT!AB27,XT!AF27,XT!AJ27)))</f>
        <v>0</v>
      </c>
      <c r="V27" t="str">
        <f>IFERROR(INDEX(CHOOSE({1,2,3,4}, DAY(XT!U27), DAY(XT!Y27), DAY(XT!AC27), DAY(XT!AG27)), MATCH(1, INDEX(--(MONTH(CHOOSE({1,2,3,4}, XT!U27,XT!Y27,XT!AC27,XT!AG27))=6), 0), 0)), "")</f>
        <v/>
      </c>
      <c r="W27" s="51" t="str">
        <f>IF(XT!$P27&gt;0,V27,"")</f>
        <v/>
      </c>
      <c r="X27" s="51" t="str">
        <f>IF(XT!$P27=0,V27,"")</f>
        <v/>
      </c>
      <c r="Y27">
        <f>SUMPRODUCT((MONTH(CHOOSE({1,2,3,4},XT!U27,XT!Y27,XT!AC27,XT!AG27))=7)*(CHOOSE({1,2,3,4},XT!X27,XT!AB27,XT!AF27,XT!AJ27)))</f>
        <v>0</v>
      </c>
      <c r="Z27" t="str">
        <f>IFERROR(INDEX(CHOOSE({1,2,3,4}, DAY(XT!U27), DAY(XT!Y27), DAY(XT!AC27), DAY(XT!AG27)), MATCH(1, INDEX(--(MONTH(CHOOSE({1,2,3,4}, XT!U27,XT!Y27,XT!AC27,XT!AG27))=7), 0), 0)), "")</f>
        <v/>
      </c>
      <c r="AA27" s="51" t="str">
        <f>IF(XT!$P27&gt;0,Z27,"")</f>
        <v/>
      </c>
      <c r="AB27" s="51" t="str">
        <f>IF(XT!$P27=0,Z27,"")</f>
        <v/>
      </c>
      <c r="AC27">
        <f>SUMPRODUCT((MONTH(CHOOSE({1,2,3,4},XT!U27,XT!Y27,XT!AC27,XT!AG27))=8)*(CHOOSE({1,2,3,4},XT!X27,XT!AB27,XT!AF27,XT!AJ27)))</f>
        <v>0</v>
      </c>
      <c r="AD27" t="str">
        <f>IFERROR(INDEX(CHOOSE({1,2,3,4}, DAY(XT!U27), DAY(XT!Y27), DAY(XT!AC27), DAY(XT!AG27)), MATCH(1, INDEX(--(MONTH(CHOOSE({1,2,3,4}, XT!U27,XT!Y27,XT!AC27,XT!AG27))=8), 0), 0)), "")</f>
        <v/>
      </c>
      <c r="AE27" s="51" t="str">
        <f>IF(XT!$P27&gt;0,AD27,"")</f>
        <v/>
      </c>
      <c r="AF27" s="51" t="str">
        <f>IF(XT!$P27=0,AD27,"")</f>
        <v/>
      </c>
      <c r="AG27">
        <f>SUMPRODUCT((MONTH(CHOOSE({1,2,3,4},XT!U27,XT!Y27,XT!AC27,XT!AG27))=9)*(CHOOSE({1,2,3,4},XT!X27,XT!AB27,XT!AF27,XT!AJ27)))</f>
        <v>0</v>
      </c>
      <c r="AH27" t="str">
        <f>IFERROR(INDEX(CHOOSE({1,2,3,4}, DAY(XT!U27), DAY(XT!Y27), DAY(XT!AC27), DAY(XT!AG27)), MATCH(1, INDEX(--(MONTH(CHOOSE({1,2,3,4}, XT!U27,XT!Y27,XT!AC27,XT!AG27))=9), 0), 0)), "")</f>
        <v/>
      </c>
      <c r="AI27" s="51" t="str">
        <f>IF(XT!$P27&gt;0,AH27,"")</f>
        <v/>
      </c>
      <c r="AJ27" s="51" t="str">
        <f>IF(XT!$P27=0,AH27,"")</f>
        <v/>
      </c>
      <c r="AK27">
        <f>SUMPRODUCT((MONTH(CHOOSE({1,2,3,4},XT!U27,XT!Y27,XT!AC27,XT!AG27))=10)*(CHOOSE({1,2,3,4},XT!X27,XT!AB27,XT!AF27,XT!AJ27)))</f>
        <v>0</v>
      </c>
      <c r="AL27" t="str">
        <f>IFERROR(INDEX(CHOOSE({1,2,3,4}, DAY(XT!U27), DAY(XT!Y27), DAY(XT!AC27), DAY(XT!AG27)), MATCH(1, INDEX(--(MONTH(CHOOSE({1,2,3,4}, XT!U27,XT!Y27,XT!AC27,XT!AG27))=10), 0), 0)), "")</f>
        <v/>
      </c>
      <c r="AM27" s="51" t="str">
        <f>IF(XT!$P27&gt;0,AL27,"")</f>
        <v/>
      </c>
      <c r="AN27" s="51" t="str">
        <f>IF(XT!$P27=0,AL27,"")</f>
        <v/>
      </c>
      <c r="AO27">
        <f>SUMPRODUCT((MONTH(CHOOSE({1,2,3,4},XT!U27,XT!Y27,XT!AC27,XT!AG27))=11)*(CHOOSE({1,2,3,4},XT!X27,XT!AB27,XT!AF27,XT!AJ27)))</f>
        <v>0</v>
      </c>
      <c r="AP27" t="str">
        <f>IFERROR(INDEX(CHOOSE({1,2,3,4}, DAY(XT!U27), DAY(XT!Y27), DAY(XT!AC27), DAY(XT!AG27)), MATCH(1, INDEX(--(MONTH(CHOOSE({1,2,3,4}, XT!U27,XT!Y27,XT!AC27,XT!AG27))=11), 0), 0)), "")</f>
        <v/>
      </c>
      <c r="AQ27" s="51" t="str">
        <f>IF(XT!$P27&gt;0,AP27,"")</f>
        <v/>
      </c>
      <c r="AR27" s="51" t="str">
        <f>IF(XT!$P27=0,AP27,"")</f>
        <v/>
      </c>
      <c r="AS27">
        <f>SUMPRODUCT((MONTH(CHOOSE({1,2,3,4},XT!U27,XT!Y27,XT!AC27,XT!AG27))=12)*(CHOOSE({1,2,3,4},XT!X27,XT!AB27,XT!AF27,XT!AJ27)))</f>
        <v>0</v>
      </c>
      <c r="AT27" t="str">
        <f>IFERROR(INDEX(CHOOSE({1,2,3,4}, DAY(XT!U27), DAY(XT!Y27), DAY(XT!AC27), DAY(XT!AG27)), MATCH(1, INDEX(--(MONTH(CHOOSE({1,2,3,4}, XT!U27,XT!Y27,XT!AC27,XT!AG27))=12), 0), 0)), "")</f>
        <v/>
      </c>
      <c r="AU27" s="51" t="str">
        <f>IF(XT!$P27&gt;0,AT27,"")</f>
        <v/>
      </c>
      <c r="AV27" s="51" t="str">
        <f>IF(XT!$P27=0,AT27,"")</f>
        <v/>
      </c>
    </row>
    <row r="28" spans="1:48">
      <c r="A28">
        <f>SUMPRODUCT((MONTH(CHOOSE({1,2,3,4},XT!U28,XT!Y28,XT!AC28,XT!AG28))=1)*(CHOOSE({1,2,3,4},XT!X28,XT!AB28,XT!AF28,XT!AJ28)))</f>
        <v>0</v>
      </c>
      <c r="B28">
        <f>IFERROR(INDEX(CHOOSE({1,2,3,4}, DAY(XT!U28), DAY(XT!Y28), DAY(XT!AC28), DAY(XT!AG28)), MATCH(1, INDEX(--(MONTH(CHOOSE({1,2,3,4}, XT!U28,XT!Y28,XT!AC28,XT!AG28))=1), 0), 0)), "")</f>
        <v>0</v>
      </c>
      <c r="C28" s="51" t="str">
        <f>IF(XT!$P28&gt;0,B28,"")</f>
        <v/>
      </c>
      <c r="D28" s="51">
        <f>IF(XT!$P28=0,B28,"")</f>
        <v>0</v>
      </c>
      <c r="E28">
        <f>SUMPRODUCT((MONTH(CHOOSE({1,2,3,4},XT!U28,XT!Y28,XT!AC28,XT!AG28))=2)*(CHOOSE({1,2,3,4},XT!X28,XT!AB28,XT!AF28,XT!AJ28)))</f>
        <v>0</v>
      </c>
      <c r="F28" t="str">
        <f>IFERROR(INDEX(CHOOSE({1,2,3,4}, DAY(XT!U28), DAY(XT!Y28), DAY(XT!AC28), DAY(XT!AG28)), MATCH(1, INDEX(--(MONTH(CHOOSE({1,2,3,4}, XT!U28,XT!Y28,XT!AC28,XT!AG28))=2), 0), 0)), "")</f>
        <v/>
      </c>
      <c r="G28" s="51" t="str">
        <f>IF(XT!$P28&gt;0,F28,"")</f>
        <v/>
      </c>
      <c r="H28" s="51" t="str">
        <f>IF(XT!$P28=0,F28,"")</f>
        <v/>
      </c>
      <c r="I28">
        <f>SUMPRODUCT((MONTH(CHOOSE({1,2,3,4},XT!U28,XT!Y28,XT!AC28,XT!AG28))=3)*(CHOOSE({1,2,3,4},XT!X28,XT!AB28,XT!AF28,XT!AJ28)))</f>
        <v>0</v>
      </c>
      <c r="J28" t="str">
        <f>IFERROR(INDEX(CHOOSE({1,2,3,4}, DAY(XT!U28), DAY(XT!Y28), DAY(XT!AC28), DAY(XT!AG28)), MATCH(1, INDEX(--(MONTH(CHOOSE({1,2,3,4}, XT!U28,XT!Y28,XT!AC28,XT!AG28))=3), 0), 0)), "")</f>
        <v/>
      </c>
      <c r="K28" s="51" t="str">
        <f>IF(XT!$P28&gt;0,J28,"")</f>
        <v/>
      </c>
      <c r="L28" s="51" t="str">
        <f>IF(XT!$P28=0,J28,"")</f>
        <v/>
      </c>
      <c r="M28">
        <f>SUMPRODUCT((MONTH(CHOOSE({1,2,3,4},XT!U28,XT!Y28,XT!AC28,XT!AG28))=4)*(CHOOSE({1,2,3,4},XT!X28,XT!AB28,XT!AF28,XT!AJ28)))</f>
        <v>0</v>
      </c>
      <c r="N28" t="str">
        <f>IFERROR(INDEX(CHOOSE({1,2,3,4}, DAY(XT!U28), DAY(XT!Y28), DAY(XT!AC28), DAY(XT!AG28)), MATCH(1, INDEX(--(MONTH(CHOOSE({1,2,3,4}, XT!U28,XT!Y28,XT!AC28,XT!AG28))=4), 0), 0)), "")</f>
        <v/>
      </c>
      <c r="O28" s="51" t="str">
        <f>IF(XT!$P28&gt;0,N28,"")</f>
        <v/>
      </c>
      <c r="P28" s="51" t="str">
        <f>IF(XT!$P28=0,N28,"")</f>
        <v/>
      </c>
      <c r="Q28">
        <f>SUMPRODUCT((MONTH(CHOOSE({1,2,3,4},XT!U28,XT!Y28,XT!AC28,XT!AG28))=5)*(CHOOSE({1,2,3,4},XT!X28,XT!AB28,XT!AF28,XT!AJ28)))</f>
        <v>0</v>
      </c>
      <c r="R28" t="str">
        <f>IFERROR(INDEX(CHOOSE({1,2,3,4}, DAY(XT!U28), DAY(XT!Y28), DAY(XT!AC28), DAY(XT!AG28)), MATCH(1, INDEX(--(MONTH(CHOOSE({1,2,3,4}, XT!U28,XT!Y28,XT!AC28,XT!AG28))=5), 0), 0)), "")</f>
        <v/>
      </c>
      <c r="S28" s="51" t="str">
        <f>IF(XT!$P28&gt;0,R28,"")</f>
        <v/>
      </c>
      <c r="T28" s="51" t="str">
        <f>IF(XT!$P28=0,R28,"")</f>
        <v/>
      </c>
      <c r="U28">
        <f>SUMPRODUCT((MONTH(CHOOSE({1,2,3,4},XT!U28,XT!Y28,XT!AC28,XT!AG28))=6)*(CHOOSE({1,2,3,4},XT!X28,XT!AB28,XT!AF28,XT!AJ28)))</f>
        <v>0</v>
      </c>
      <c r="V28" t="str">
        <f>IFERROR(INDEX(CHOOSE({1,2,3,4}, DAY(XT!U28), DAY(XT!Y28), DAY(XT!AC28), DAY(XT!AG28)), MATCH(1, INDEX(--(MONTH(CHOOSE({1,2,3,4}, XT!U28,XT!Y28,XT!AC28,XT!AG28))=6), 0), 0)), "")</f>
        <v/>
      </c>
      <c r="W28" s="51" t="str">
        <f>IF(XT!$P28&gt;0,V28,"")</f>
        <v/>
      </c>
      <c r="X28" s="51" t="str">
        <f>IF(XT!$P28=0,V28,"")</f>
        <v/>
      </c>
      <c r="Y28">
        <f>SUMPRODUCT((MONTH(CHOOSE({1,2,3,4},XT!U28,XT!Y28,XT!AC28,XT!AG28))=7)*(CHOOSE({1,2,3,4},XT!X28,XT!AB28,XT!AF28,XT!AJ28)))</f>
        <v>0</v>
      </c>
      <c r="Z28" t="str">
        <f>IFERROR(INDEX(CHOOSE({1,2,3,4}, DAY(XT!U28), DAY(XT!Y28), DAY(XT!AC28), DAY(XT!AG28)), MATCH(1, INDEX(--(MONTH(CHOOSE({1,2,3,4}, XT!U28,XT!Y28,XT!AC28,XT!AG28))=7), 0), 0)), "")</f>
        <v/>
      </c>
      <c r="AA28" s="51" t="str">
        <f>IF(XT!$P28&gt;0,Z28,"")</f>
        <v/>
      </c>
      <c r="AB28" s="51" t="str">
        <f>IF(XT!$P28=0,Z28,"")</f>
        <v/>
      </c>
      <c r="AC28">
        <f>SUMPRODUCT((MONTH(CHOOSE({1,2,3,4},XT!U28,XT!Y28,XT!AC28,XT!AG28))=8)*(CHOOSE({1,2,3,4},XT!X28,XT!AB28,XT!AF28,XT!AJ28)))</f>
        <v>0</v>
      </c>
      <c r="AD28" t="str">
        <f>IFERROR(INDEX(CHOOSE({1,2,3,4}, DAY(XT!U28), DAY(XT!Y28), DAY(XT!AC28), DAY(XT!AG28)), MATCH(1, INDEX(--(MONTH(CHOOSE({1,2,3,4}, XT!U28,XT!Y28,XT!AC28,XT!AG28))=8), 0), 0)), "")</f>
        <v/>
      </c>
      <c r="AE28" s="51" t="str">
        <f>IF(XT!$P28&gt;0,AD28,"")</f>
        <v/>
      </c>
      <c r="AF28" s="51" t="str">
        <f>IF(XT!$P28=0,AD28,"")</f>
        <v/>
      </c>
      <c r="AG28">
        <f>SUMPRODUCT((MONTH(CHOOSE({1,2,3,4},XT!U28,XT!Y28,XT!AC28,XT!AG28))=9)*(CHOOSE({1,2,3,4},XT!X28,XT!AB28,XT!AF28,XT!AJ28)))</f>
        <v>0</v>
      </c>
      <c r="AH28" t="str">
        <f>IFERROR(INDEX(CHOOSE({1,2,3,4}, DAY(XT!U28), DAY(XT!Y28), DAY(XT!AC28), DAY(XT!AG28)), MATCH(1, INDEX(--(MONTH(CHOOSE({1,2,3,4}, XT!U28,XT!Y28,XT!AC28,XT!AG28))=9), 0), 0)), "")</f>
        <v/>
      </c>
      <c r="AI28" s="51" t="str">
        <f>IF(XT!$P28&gt;0,AH28,"")</f>
        <v/>
      </c>
      <c r="AJ28" s="51" t="str">
        <f>IF(XT!$P28=0,AH28,"")</f>
        <v/>
      </c>
      <c r="AK28">
        <f>SUMPRODUCT((MONTH(CHOOSE({1,2,3,4},XT!U28,XT!Y28,XT!AC28,XT!AG28))=10)*(CHOOSE({1,2,3,4},XT!X28,XT!AB28,XT!AF28,XT!AJ28)))</f>
        <v>0</v>
      </c>
      <c r="AL28" t="str">
        <f>IFERROR(INDEX(CHOOSE({1,2,3,4}, DAY(XT!U28), DAY(XT!Y28), DAY(XT!AC28), DAY(XT!AG28)), MATCH(1, INDEX(--(MONTH(CHOOSE({1,2,3,4}, XT!U28,XT!Y28,XT!AC28,XT!AG28))=10), 0), 0)), "")</f>
        <v/>
      </c>
      <c r="AM28" s="51" t="str">
        <f>IF(XT!$P28&gt;0,AL28,"")</f>
        <v/>
      </c>
      <c r="AN28" s="51" t="str">
        <f>IF(XT!$P28=0,AL28,"")</f>
        <v/>
      </c>
      <c r="AO28">
        <f>SUMPRODUCT((MONTH(CHOOSE({1,2,3,4},XT!U28,XT!Y28,XT!AC28,XT!AG28))=11)*(CHOOSE({1,2,3,4},XT!X28,XT!AB28,XT!AF28,XT!AJ28)))</f>
        <v>0</v>
      </c>
      <c r="AP28" t="str">
        <f>IFERROR(INDEX(CHOOSE({1,2,3,4}, DAY(XT!U28), DAY(XT!Y28), DAY(XT!AC28), DAY(XT!AG28)), MATCH(1, INDEX(--(MONTH(CHOOSE({1,2,3,4}, XT!U28,XT!Y28,XT!AC28,XT!AG28))=11), 0), 0)), "")</f>
        <v/>
      </c>
      <c r="AQ28" s="51" t="str">
        <f>IF(XT!$P28&gt;0,AP28,"")</f>
        <v/>
      </c>
      <c r="AR28" s="51" t="str">
        <f>IF(XT!$P28=0,AP28,"")</f>
        <v/>
      </c>
      <c r="AS28">
        <f>SUMPRODUCT((MONTH(CHOOSE({1,2,3,4},XT!U28,XT!Y28,XT!AC28,XT!AG28))=12)*(CHOOSE({1,2,3,4},XT!X28,XT!AB28,XT!AF28,XT!AJ28)))</f>
        <v>0</v>
      </c>
      <c r="AT28" t="str">
        <f>IFERROR(INDEX(CHOOSE({1,2,3,4}, DAY(XT!U28), DAY(XT!Y28), DAY(XT!AC28), DAY(XT!AG28)), MATCH(1, INDEX(--(MONTH(CHOOSE({1,2,3,4}, XT!U28,XT!Y28,XT!AC28,XT!AG28))=12), 0), 0)), "")</f>
        <v/>
      </c>
      <c r="AU28" s="51" t="str">
        <f>IF(XT!$P28&gt;0,AT28,"")</f>
        <v/>
      </c>
      <c r="AV28" s="51" t="str">
        <f>IF(XT!$P28=0,AT28,"")</f>
        <v/>
      </c>
    </row>
    <row r="29" spans="1:48">
      <c r="A29">
        <f>SUMPRODUCT((MONTH(CHOOSE({1,2,3,4},XT!U29,XT!Y29,XT!AC29,XT!AG29))=1)*(CHOOSE({1,2,3,4},XT!X29,XT!AB29,XT!AF29,XT!AJ29)))</f>
        <v>0</v>
      </c>
      <c r="B29">
        <f>IFERROR(INDEX(CHOOSE({1,2,3,4}, DAY(XT!U29), DAY(XT!Y29), DAY(XT!AC29), DAY(XT!AG29)), MATCH(1, INDEX(--(MONTH(CHOOSE({1,2,3,4}, XT!U29,XT!Y29,XT!AC29,XT!AG29))=1), 0), 0)), "")</f>
        <v>0</v>
      </c>
      <c r="C29" s="51" t="str">
        <f>IF(XT!$P29&gt;0,B29,"")</f>
        <v/>
      </c>
      <c r="D29" s="51">
        <f>IF(XT!$P29=0,B29,"")</f>
        <v>0</v>
      </c>
      <c r="E29">
        <f>SUMPRODUCT((MONTH(CHOOSE({1,2,3,4},XT!U29,XT!Y29,XT!AC29,XT!AG29))=2)*(CHOOSE({1,2,3,4},XT!X29,XT!AB29,XT!AF29,XT!AJ29)))</f>
        <v>0</v>
      </c>
      <c r="F29" t="str">
        <f>IFERROR(INDEX(CHOOSE({1,2,3,4}, DAY(XT!U29), DAY(XT!Y29), DAY(XT!AC29), DAY(XT!AG29)), MATCH(1, INDEX(--(MONTH(CHOOSE({1,2,3,4}, XT!U29,XT!Y29,XT!AC29,XT!AG29))=2), 0), 0)), "")</f>
        <v/>
      </c>
      <c r="G29" s="51" t="str">
        <f>IF(XT!$P29&gt;0,F29,"")</f>
        <v/>
      </c>
      <c r="H29" s="51" t="str">
        <f>IF(XT!$P29=0,F29,"")</f>
        <v/>
      </c>
      <c r="I29">
        <f>SUMPRODUCT((MONTH(CHOOSE({1,2,3,4},XT!U29,XT!Y29,XT!AC29,XT!AG29))=3)*(CHOOSE({1,2,3,4},XT!X29,XT!AB29,XT!AF29,XT!AJ29)))</f>
        <v>0</v>
      </c>
      <c r="J29" t="str">
        <f>IFERROR(INDEX(CHOOSE({1,2,3,4}, DAY(XT!U29), DAY(XT!Y29), DAY(XT!AC29), DAY(XT!AG29)), MATCH(1, INDEX(--(MONTH(CHOOSE({1,2,3,4}, XT!U29,XT!Y29,XT!AC29,XT!AG29))=3), 0), 0)), "")</f>
        <v/>
      </c>
      <c r="K29" s="51" t="str">
        <f>IF(XT!$P29&gt;0,J29,"")</f>
        <v/>
      </c>
      <c r="L29" s="51" t="str">
        <f>IF(XT!$P29=0,J29,"")</f>
        <v/>
      </c>
      <c r="M29">
        <f>SUMPRODUCT((MONTH(CHOOSE({1,2,3,4},XT!U29,XT!Y29,XT!AC29,XT!AG29))=4)*(CHOOSE({1,2,3,4},XT!X29,XT!AB29,XT!AF29,XT!AJ29)))</f>
        <v>0</v>
      </c>
      <c r="N29" t="str">
        <f>IFERROR(INDEX(CHOOSE({1,2,3,4}, DAY(XT!U29), DAY(XT!Y29), DAY(XT!AC29), DAY(XT!AG29)), MATCH(1, INDEX(--(MONTH(CHOOSE({1,2,3,4}, XT!U29,XT!Y29,XT!AC29,XT!AG29))=4), 0), 0)), "")</f>
        <v/>
      </c>
      <c r="O29" s="51" t="str">
        <f>IF(XT!$P29&gt;0,N29,"")</f>
        <v/>
      </c>
      <c r="P29" s="51" t="str">
        <f>IF(XT!$P29=0,N29,"")</f>
        <v/>
      </c>
      <c r="Q29">
        <f>SUMPRODUCT((MONTH(CHOOSE({1,2,3,4},XT!U29,XT!Y29,XT!AC29,XT!AG29))=5)*(CHOOSE({1,2,3,4},XT!X29,XT!AB29,XT!AF29,XT!AJ29)))</f>
        <v>0</v>
      </c>
      <c r="R29" t="str">
        <f>IFERROR(INDEX(CHOOSE({1,2,3,4}, DAY(XT!U29), DAY(XT!Y29), DAY(XT!AC29), DAY(XT!AG29)), MATCH(1, INDEX(--(MONTH(CHOOSE({1,2,3,4}, XT!U29,XT!Y29,XT!AC29,XT!AG29))=5), 0), 0)), "")</f>
        <v/>
      </c>
      <c r="S29" s="51" t="str">
        <f>IF(XT!$P29&gt;0,R29,"")</f>
        <v/>
      </c>
      <c r="T29" s="51" t="str">
        <f>IF(XT!$P29=0,R29,"")</f>
        <v/>
      </c>
      <c r="U29">
        <f>SUMPRODUCT((MONTH(CHOOSE({1,2,3,4},XT!U29,XT!Y29,XT!AC29,XT!AG29))=6)*(CHOOSE({1,2,3,4},XT!X29,XT!AB29,XT!AF29,XT!AJ29)))</f>
        <v>0</v>
      </c>
      <c r="V29" t="str">
        <f>IFERROR(INDEX(CHOOSE({1,2,3,4}, DAY(XT!U29), DAY(XT!Y29), DAY(XT!AC29), DAY(XT!AG29)), MATCH(1, INDEX(--(MONTH(CHOOSE({1,2,3,4}, XT!U29,XT!Y29,XT!AC29,XT!AG29))=6), 0), 0)), "")</f>
        <v/>
      </c>
      <c r="W29" s="51" t="str">
        <f>IF(XT!$P29&gt;0,V29,"")</f>
        <v/>
      </c>
      <c r="X29" s="51" t="str">
        <f>IF(XT!$P29=0,V29,"")</f>
        <v/>
      </c>
      <c r="Y29">
        <f>SUMPRODUCT((MONTH(CHOOSE({1,2,3,4},XT!U29,XT!Y29,XT!AC29,XT!AG29))=7)*(CHOOSE({1,2,3,4},XT!X29,XT!AB29,XT!AF29,XT!AJ29)))</f>
        <v>0</v>
      </c>
      <c r="Z29" t="str">
        <f>IFERROR(INDEX(CHOOSE({1,2,3,4}, DAY(XT!U29), DAY(XT!Y29), DAY(XT!AC29), DAY(XT!AG29)), MATCH(1, INDEX(--(MONTH(CHOOSE({1,2,3,4}, XT!U29,XT!Y29,XT!AC29,XT!AG29))=7), 0), 0)), "")</f>
        <v/>
      </c>
      <c r="AA29" s="51" t="str">
        <f>IF(XT!$P29&gt;0,Z29,"")</f>
        <v/>
      </c>
      <c r="AB29" s="51" t="str">
        <f>IF(XT!$P29=0,Z29,"")</f>
        <v/>
      </c>
      <c r="AC29">
        <f>SUMPRODUCT((MONTH(CHOOSE({1,2,3,4},XT!U29,XT!Y29,XT!AC29,XT!AG29))=8)*(CHOOSE({1,2,3,4},XT!X29,XT!AB29,XT!AF29,XT!AJ29)))</f>
        <v>0</v>
      </c>
      <c r="AD29" t="str">
        <f>IFERROR(INDEX(CHOOSE({1,2,3,4}, DAY(XT!U29), DAY(XT!Y29), DAY(XT!AC29), DAY(XT!AG29)), MATCH(1, INDEX(--(MONTH(CHOOSE({1,2,3,4}, XT!U29,XT!Y29,XT!AC29,XT!AG29))=8), 0), 0)), "")</f>
        <v/>
      </c>
      <c r="AE29" s="51" t="str">
        <f>IF(XT!$P29&gt;0,AD29,"")</f>
        <v/>
      </c>
      <c r="AF29" s="51" t="str">
        <f>IF(XT!$P29=0,AD29,"")</f>
        <v/>
      </c>
      <c r="AG29">
        <f>SUMPRODUCT((MONTH(CHOOSE({1,2,3,4},XT!U29,XT!Y29,XT!AC29,XT!AG29))=9)*(CHOOSE({1,2,3,4},XT!X29,XT!AB29,XT!AF29,XT!AJ29)))</f>
        <v>0</v>
      </c>
      <c r="AH29" t="str">
        <f>IFERROR(INDEX(CHOOSE({1,2,3,4}, DAY(XT!U29), DAY(XT!Y29), DAY(XT!AC29), DAY(XT!AG29)), MATCH(1, INDEX(--(MONTH(CHOOSE({1,2,3,4}, XT!U29,XT!Y29,XT!AC29,XT!AG29))=9), 0), 0)), "")</f>
        <v/>
      </c>
      <c r="AI29" s="51" t="str">
        <f>IF(XT!$P29&gt;0,AH29,"")</f>
        <v/>
      </c>
      <c r="AJ29" s="51" t="str">
        <f>IF(XT!$P29=0,AH29,"")</f>
        <v/>
      </c>
      <c r="AK29">
        <f>SUMPRODUCT((MONTH(CHOOSE({1,2,3,4},XT!U29,XT!Y29,XT!AC29,XT!AG29))=10)*(CHOOSE({1,2,3,4},XT!X29,XT!AB29,XT!AF29,XT!AJ29)))</f>
        <v>0</v>
      </c>
      <c r="AL29" t="str">
        <f>IFERROR(INDEX(CHOOSE({1,2,3,4}, DAY(XT!U29), DAY(XT!Y29), DAY(XT!AC29), DAY(XT!AG29)), MATCH(1, INDEX(--(MONTH(CHOOSE({1,2,3,4}, XT!U29,XT!Y29,XT!AC29,XT!AG29))=10), 0), 0)), "")</f>
        <v/>
      </c>
      <c r="AM29" s="51" t="str">
        <f>IF(XT!$P29&gt;0,AL29,"")</f>
        <v/>
      </c>
      <c r="AN29" s="51" t="str">
        <f>IF(XT!$P29=0,AL29,"")</f>
        <v/>
      </c>
      <c r="AO29">
        <f>SUMPRODUCT((MONTH(CHOOSE({1,2,3,4},XT!U29,XT!Y29,XT!AC29,XT!AG29))=11)*(CHOOSE({1,2,3,4},XT!X29,XT!AB29,XT!AF29,XT!AJ29)))</f>
        <v>0</v>
      </c>
      <c r="AP29" t="str">
        <f>IFERROR(INDEX(CHOOSE({1,2,3,4}, DAY(XT!U29), DAY(XT!Y29), DAY(XT!AC29), DAY(XT!AG29)), MATCH(1, INDEX(--(MONTH(CHOOSE({1,2,3,4}, XT!U29,XT!Y29,XT!AC29,XT!AG29))=11), 0), 0)), "")</f>
        <v/>
      </c>
      <c r="AQ29" s="51" t="str">
        <f>IF(XT!$P29&gt;0,AP29,"")</f>
        <v/>
      </c>
      <c r="AR29" s="51" t="str">
        <f>IF(XT!$P29=0,AP29,"")</f>
        <v/>
      </c>
      <c r="AS29">
        <f>SUMPRODUCT((MONTH(CHOOSE({1,2,3,4},XT!U29,XT!Y29,XT!AC29,XT!AG29))=12)*(CHOOSE({1,2,3,4},XT!X29,XT!AB29,XT!AF29,XT!AJ29)))</f>
        <v>0</v>
      </c>
      <c r="AT29" t="str">
        <f>IFERROR(INDEX(CHOOSE({1,2,3,4}, DAY(XT!U29), DAY(XT!Y29), DAY(XT!AC29), DAY(XT!AG29)), MATCH(1, INDEX(--(MONTH(CHOOSE({1,2,3,4}, XT!U29,XT!Y29,XT!AC29,XT!AG29))=12), 0), 0)), "")</f>
        <v/>
      </c>
      <c r="AU29" s="51" t="str">
        <f>IF(XT!$P29&gt;0,AT29,"")</f>
        <v/>
      </c>
      <c r="AV29" s="51" t="str">
        <f>IF(XT!$P29=0,AT29,"")</f>
        <v/>
      </c>
    </row>
    <row r="30" spans="1:48">
      <c r="A30">
        <f>SUMPRODUCT((MONTH(CHOOSE({1,2,3,4},XT!U30,XT!Y30,XT!AC30,XT!AG30))=1)*(CHOOSE({1,2,3,4},XT!X30,XT!AB30,XT!AF30,XT!AJ30)))</f>
        <v>0</v>
      </c>
      <c r="B30">
        <f>IFERROR(INDEX(CHOOSE({1,2,3,4}, DAY(XT!U30), DAY(XT!Y30), DAY(XT!AC30), DAY(XT!AG30)), MATCH(1, INDEX(--(MONTH(CHOOSE({1,2,3,4}, XT!U30,XT!Y30,XT!AC30,XT!AG30))=1), 0), 0)), "")</f>
        <v>0</v>
      </c>
      <c r="C30" s="51" t="str">
        <f>IF(XT!$P30&gt;0,B30,"")</f>
        <v/>
      </c>
      <c r="D30" s="51">
        <f>IF(XT!$P30=0,B30,"")</f>
        <v>0</v>
      </c>
      <c r="E30">
        <f>SUMPRODUCT((MONTH(CHOOSE({1,2,3,4},XT!U30,XT!Y30,XT!AC30,XT!AG30))=2)*(CHOOSE({1,2,3,4},XT!X30,XT!AB30,XT!AF30,XT!AJ30)))</f>
        <v>0</v>
      </c>
      <c r="F30" t="str">
        <f>IFERROR(INDEX(CHOOSE({1,2,3,4}, DAY(XT!U30), DAY(XT!Y30), DAY(XT!AC30), DAY(XT!AG30)), MATCH(1, INDEX(--(MONTH(CHOOSE({1,2,3,4}, XT!U30,XT!Y30,XT!AC30,XT!AG30))=2), 0), 0)), "")</f>
        <v/>
      </c>
      <c r="G30" s="51" t="str">
        <f>IF(XT!$P30&gt;0,F30,"")</f>
        <v/>
      </c>
      <c r="H30" s="51" t="str">
        <f>IF(XT!$P30=0,F30,"")</f>
        <v/>
      </c>
      <c r="I30">
        <f>SUMPRODUCT((MONTH(CHOOSE({1,2,3,4},XT!U30,XT!Y30,XT!AC30,XT!AG30))=3)*(CHOOSE({1,2,3,4},XT!X30,XT!AB30,XT!AF30,XT!AJ30)))</f>
        <v>0</v>
      </c>
      <c r="J30" t="str">
        <f>IFERROR(INDEX(CHOOSE({1,2,3,4}, DAY(XT!U30), DAY(XT!Y30), DAY(XT!AC30), DAY(XT!AG30)), MATCH(1, INDEX(--(MONTH(CHOOSE({1,2,3,4}, XT!U30,XT!Y30,XT!AC30,XT!AG30))=3), 0), 0)), "")</f>
        <v/>
      </c>
      <c r="K30" s="51" t="str">
        <f>IF(XT!$P30&gt;0,J30,"")</f>
        <v/>
      </c>
      <c r="L30" s="51" t="str">
        <f>IF(XT!$P30=0,J30,"")</f>
        <v/>
      </c>
      <c r="M30">
        <f>SUMPRODUCT((MONTH(CHOOSE({1,2,3,4},XT!U30,XT!Y30,XT!AC30,XT!AG30))=4)*(CHOOSE({1,2,3,4},XT!X30,XT!AB30,XT!AF30,XT!AJ30)))</f>
        <v>0</v>
      </c>
      <c r="N30" t="str">
        <f>IFERROR(INDEX(CHOOSE({1,2,3,4}, DAY(XT!U30), DAY(XT!Y30), DAY(XT!AC30), DAY(XT!AG30)), MATCH(1, INDEX(--(MONTH(CHOOSE({1,2,3,4}, XT!U30,XT!Y30,XT!AC30,XT!AG30))=4), 0), 0)), "")</f>
        <v/>
      </c>
      <c r="O30" s="51" t="str">
        <f>IF(XT!$P30&gt;0,N30,"")</f>
        <v/>
      </c>
      <c r="P30" s="51" t="str">
        <f>IF(XT!$P30=0,N30,"")</f>
        <v/>
      </c>
      <c r="Q30">
        <f>SUMPRODUCT((MONTH(CHOOSE({1,2,3,4},XT!U30,XT!Y30,XT!AC30,XT!AG30))=5)*(CHOOSE({1,2,3,4},XT!X30,XT!AB30,XT!AF30,XT!AJ30)))</f>
        <v>0</v>
      </c>
      <c r="R30" t="str">
        <f>IFERROR(INDEX(CHOOSE({1,2,3,4}, DAY(XT!U30), DAY(XT!Y30), DAY(XT!AC30), DAY(XT!AG30)), MATCH(1, INDEX(--(MONTH(CHOOSE({1,2,3,4}, XT!U30,XT!Y30,XT!AC30,XT!AG30))=5), 0), 0)), "")</f>
        <v/>
      </c>
      <c r="S30" s="51" t="str">
        <f>IF(XT!$P30&gt;0,R30,"")</f>
        <v/>
      </c>
      <c r="T30" s="51" t="str">
        <f>IF(XT!$P30=0,R30,"")</f>
        <v/>
      </c>
      <c r="U30">
        <f>SUMPRODUCT((MONTH(CHOOSE({1,2,3,4},XT!U30,XT!Y30,XT!AC30,XT!AG30))=6)*(CHOOSE({1,2,3,4},XT!X30,XT!AB30,XT!AF30,XT!AJ30)))</f>
        <v>0</v>
      </c>
      <c r="V30" t="str">
        <f>IFERROR(INDEX(CHOOSE({1,2,3,4}, DAY(XT!U30), DAY(XT!Y30), DAY(XT!AC30), DAY(XT!AG30)), MATCH(1, INDEX(--(MONTH(CHOOSE({1,2,3,4}, XT!U30,XT!Y30,XT!AC30,XT!AG30))=6), 0), 0)), "")</f>
        <v/>
      </c>
      <c r="W30" s="51" t="str">
        <f>IF(XT!$P30&gt;0,V30,"")</f>
        <v/>
      </c>
      <c r="X30" s="51" t="str">
        <f>IF(XT!$P30=0,V30,"")</f>
        <v/>
      </c>
      <c r="Y30">
        <f>SUMPRODUCT((MONTH(CHOOSE({1,2,3,4},XT!U30,XT!Y30,XT!AC30,XT!AG30))=7)*(CHOOSE({1,2,3,4},XT!X30,XT!AB30,XT!AF30,XT!AJ30)))</f>
        <v>0</v>
      </c>
      <c r="Z30" t="str">
        <f>IFERROR(INDEX(CHOOSE({1,2,3,4}, DAY(XT!U30), DAY(XT!Y30), DAY(XT!AC30), DAY(XT!AG30)), MATCH(1, INDEX(--(MONTH(CHOOSE({1,2,3,4}, XT!U30,XT!Y30,XT!AC30,XT!AG30))=7), 0), 0)), "")</f>
        <v/>
      </c>
      <c r="AA30" s="51" t="str">
        <f>IF(XT!$P30&gt;0,Z30,"")</f>
        <v/>
      </c>
      <c r="AB30" s="51" t="str">
        <f>IF(XT!$P30=0,Z30,"")</f>
        <v/>
      </c>
      <c r="AC30">
        <f>SUMPRODUCT((MONTH(CHOOSE({1,2,3,4},XT!U30,XT!Y30,XT!AC30,XT!AG30))=8)*(CHOOSE({1,2,3,4},XT!X30,XT!AB30,XT!AF30,XT!AJ30)))</f>
        <v>0</v>
      </c>
      <c r="AD30" t="str">
        <f>IFERROR(INDEX(CHOOSE({1,2,3,4}, DAY(XT!U30), DAY(XT!Y30), DAY(XT!AC30), DAY(XT!AG30)), MATCH(1, INDEX(--(MONTH(CHOOSE({1,2,3,4}, XT!U30,XT!Y30,XT!AC30,XT!AG30))=8), 0), 0)), "")</f>
        <v/>
      </c>
      <c r="AE30" s="51" t="str">
        <f>IF(XT!$P30&gt;0,AD30,"")</f>
        <v/>
      </c>
      <c r="AF30" s="51" t="str">
        <f>IF(XT!$P30=0,AD30,"")</f>
        <v/>
      </c>
      <c r="AG30">
        <f>SUMPRODUCT((MONTH(CHOOSE({1,2,3,4},XT!U30,XT!Y30,XT!AC30,XT!AG30))=9)*(CHOOSE({1,2,3,4},XT!X30,XT!AB30,XT!AF30,XT!AJ30)))</f>
        <v>0</v>
      </c>
      <c r="AH30" t="str">
        <f>IFERROR(INDEX(CHOOSE({1,2,3,4}, DAY(XT!U30), DAY(XT!Y30), DAY(XT!AC30), DAY(XT!AG30)), MATCH(1, INDEX(--(MONTH(CHOOSE({1,2,3,4}, XT!U30,XT!Y30,XT!AC30,XT!AG30))=9), 0), 0)), "")</f>
        <v/>
      </c>
      <c r="AI30" s="51" t="str">
        <f>IF(XT!$P30&gt;0,AH30,"")</f>
        <v/>
      </c>
      <c r="AJ30" s="51" t="str">
        <f>IF(XT!$P30=0,AH30,"")</f>
        <v/>
      </c>
      <c r="AK30">
        <f>SUMPRODUCT((MONTH(CHOOSE({1,2,3,4},XT!U30,XT!Y30,XT!AC30,XT!AG30))=10)*(CHOOSE({1,2,3,4},XT!X30,XT!AB30,XT!AF30,XT!AJ30)))</f>
        <v>0</v>
      </c>
      <c r="AL30" t="str">
        <f>IFERROR(INDEX(CHOOSE({1,2,3,4}, DAY(XT!U30), DAY(XT!Y30), DAY(XT!AC30), DAY(XT!AG30)), MATCH(1, INDEX(--(MONTH(CHOOSE({1,2,3,4}, XT!U30,XT!Y30,XT!AC30,XT!AG30))=10), 0), 0)), "")</f>
        <v/>
      </c>
      <c r="AM30" s="51" t="str">
        <f>IF(XT!$P30&gt;0,AL30,"")</f>
        <v/>
      </c>
      <c r="AN30" s="51" t="str">
        <f>IF(XT!$P30=0,AL30,"")</f>
        <v/>
      </c>
      <c r="AO30">
        <f>SUMPRODUCT((MONTH(CHOOSE({1,2,3,4},XT!U30,XT!Y30,XT!AC30,XT!AG30))=11)*(CHOOSE({1,2,3,4},XT!X30,XT!AB30,XT!AF30,XT!AJ30)))</f>
        <v>0</v>
      </c>
      <c r="AP30" t="str">
        <f>IFERROR(INDEX(CHOOSE({1,2,3,4}, DAY(XT!U30), DAY(XT!Y30), DAY(XT!AC30), DAY(XT!AG30)), MATCH(1, INDEX(--(MONTH(CHOOSE({1,2,3,4}, XT!U30,XT!Y30,XT!AC30,XT!AG30))=11), 0), 0)), "")</f>
        <v/>
      </c>
      <c r="AQ30" s="51" t="str">
        <f>IF(XT!$P30&gt;0,AP30,"")</f>
        <v/>
      </c>
      <c r="AR30" s="51" t="str">
        <f>IF(XT!$P30=0,AP30,"")</f>
        <v/>
      </c>
      <c r="AS30">
        <f>SUMPRODUCT((MONTH(CHOOSE({1,2,3,4},XT!U30,XT!Y30,XT!AC30,XT!AG30))=12)*(CHOOSE({1,2,3,4},XT!X30,XT!AB30,XT!AF30,XT!AJ30)))</f>
        <v>0</v>
      </c>
      <c r="AT30" t="str">
        <f>IFERROR(INDEX(CHOOSE({1,2,3,4}, DAY(XT!U30), DAY(XT!Y30), DAY(XT!AC30), DAY(XT!AG30)), MATCH(1, INDEX(--(MONTH(CHOOSE({1,2,3,4}, XT!U30,XT!Y30,XT!AC30,XT!AG30))=12), 0), 0)), "")</f>
        <v/>
      </c>
      <c r="AU30" s="51" t="str">
        <f>IF(XT!$P30&gt;0,AT30,"")</f>
        <v/>
      </c>
      <c r="AV30" s="51" t="str">
        <f>IF(XT!$P30=0,AT30,"")</f>
        <v/>
      </c>
    </row>
    <row r="31" spans="1:48">
      <c r="A31">
        <f>SUMPRODUCT((MONTH(CHOOSE({1,2,3,4},XT!U31,XT!Y31,XT!AC31,XT!AG31))=1)*(CHOOSE({1,2,3,4},XT!X31,XT!AB31,XT!AF31,XT!AJ31)))</f>
        <v>0</v>
      </c>
      <c r="B31">
        <f>IFERROR(INDEX(CHOOSE({1,2,3,4}, DAY(XT!U31), DAY(XT!Y31), DAY(XT!AC31), DAY(XT!AG31)), MATCH(1, INDEX(--(MONTH(CHOOSE({1,2,3,4}, XT!U31,XT!Y31,XT!AC31,XT!AG31))=1), 0), 0)), "")</f>
        <v>0</v>
      </c>
      <c r="C31" s="51" t="str">
        <f>IF(XT!$P31&gt;0,B31,"")</f>
        <v/>
      </c>
      <c r="D31" s="51">
        <f>IF(XT!$P31=0,B31,"")</f>
        <v>0</v>
      </c>
      <c r="E31">
        <f>SUMPRODUCT((MONTH(CHOOSE({1,2,3,4},XT!U31,XT!Y31,XT!AC31,XT!AG31))=2)*(CHOOSE({1,2,3,4},XT!X31,XT!AB31,XT!AF31,XT!AJ31)))</f>
        <v>0</v>
      </c>
      <c r="F31" t="str">
        <f>IFERROR(INDEX(CHOOSE({1,2,3,4}, DAY(XT!U31), DAY(XT!Y31), DAY(XT!AC31), DAY(XT!AG31)), MATCH(1, INDEX(--(MONTH(CHOOSE({1,2,3,4}, XT!U31,XT!Y31,XT!AC31,XT!AG31))=2), 0), 0)), "")</f>
        <v/>
      </c>
      <c r="G31" s="51" t="str">
        <f>IF(XT!$P31&gt;0,F31,"")</f>
        <v/>
      </c>
      <c r="H31" s="51" t="str">
        <f>IF(XT!$P31=0,F31,"")</f>
        <v/>
      </c>
      <c r="I31">
        <f>SUMPRODUCT((MONTH(CHOOSE({1,2,3,4},XT!U31,XT!Y31,XT!AC31,XT!AG31))=3)*(CHOOSE({1,2,3,4},XT!X31,XT!AB31,XT!AF31,XT!AJ31)))</f>
        <v>0</v>
      </c>
      <c r="J31" t="str">
        <f>IFERROR(INDEX(CHOOSE({1,2,3,4}, DAY(XT!U31), DAY(XT!Y31), DAY(XT!AC31), DAY(XT!AG31)), MATCH(1, INDEX(--(MONTH(CHOOSE({1,2,3,4}, XT!U31,XT!Y31,XT!AC31,XT!AG31))=3), 0), 0)), "")</f>
        <v/>
      </c>
      <c r="K31" s="51" t="str">
        <f>IF(XT!$P31&gt;0,J31,"")</f>
        <v/>
      </c>
      <c r="L31" s="51" t="str">
        <f>IF(XT!$P31=0,J31,"")</f>
        <v/>
      </c>
      <c r="M31">
        <f>SUMPRODUCT((MONTH(CHOOSE({1,2,3,4},XT!U31,XT!Y31,XT!AC31,XT!AG31))=4)*(CHOOSE({1,2,3,4},XT!X31,XT!AB31,XT!AF31,XT!AJ31)))</f>
        <v>0</v>
      </c>
      <c r="N31" t="str">
        <f>IFERROR(INDEX(CHOOSE({1,2,3,4}, DAY(XT!U31), DAY(XT!Y31), DAY(XT!AC31), DAY(XT!AG31)), MATCH(1, INDEX(--(MONTH(CHOOSE({1,2,3,4}, XT!U31,XT!Y31,XT!AC31,XT!AG31))=4), 0), 0)), "")</f>
        <v/>
      </c>
      <c r="O31" s="51" t="str">
        <f>IF(XT!$P31&gt;0,N31,"")</f>
        <v/>
      </c>
      <c r="P31" s="51" t="str">
        <f>IF(XT!$P31=0,N31,"")</f>
        <v/>
      </c>
      <c r="Q31">
        <f>SUMPRODUCT((MONTH(CHOOSE({1,2,3,4},XT!U31,XT!Y31,XT!AC31,XT!AG31))=5)*(CHOOSE({1,2,3,4},XT!X31,XT!AB31,XT!AF31,XT!AJ31)))</f>
        <v>0</v>
      </c>
      <c r="R31" t="str">
        <f>IFERROR(INDEX(CHOOSE({1,2,3,4}, DAY(XT!U31), DAY(XT!Y31), DAY(XT!AC31), DAY(XT!AG31)), MATCH(1, INDEX(--(MONTH(CHOOSE({1,2,3,4}, XT!U31,XT!Y31,XT!AC31,XT!AG31))=5), 0), 0)), "")</f>
        <v/>
      </c>
      <c r="S31" s="51" t="str">
        <f>IF(XT!$P31&gt;0,R31,"")</f>
        <v/>
      </c>
      <c r="T31" s="51" t="str">
        <f>IF(XT!$P31=0,R31,"")</f>
        <v/>
      </c>
      <c r="U31">
        <f>SUMPRODUCT((MONTH(CHOOSE({1,2,3,4},XT!U31,XT!Y31,XT!AC31,XT!AG31))=6)*(CHOOSE({1,2,3,4},XT!X31,XT!AB31,XT!AF31,XT!AJ31)))</f>
        <v>0</v>
      </c>
      <c r="V31" t="str">
        <f>IFERROR(INDEX(CHOOSE({1,2,3,4}, DAY(XT!U31), DAY(XT!Y31), DAY(XT!AC31), DAY(XT!AG31)), MATCH(1, INDEX(--(MONTH(CHOOSE({1,2,3,4}, XT!U31,XT!Y31,XT!AC31,XT!AG31))=6), 0), 0)), "")</f>
        <v/>
      </c>
      <c r="W31" s="51" t="str">
        <f>IF(XT!$P31&gt;0,V31,"")</f>
        <v/>
      </c>
      <c r="X31" s="51" t="str">
        <f>IF(XT!$P31=0,V31,"")</f>
        <v/>
      </c>
      <c r="Y31">
        <f>SUMPRODUCT((MONTH(CHOOSE({1,2,3,4},XT!U31,XT!Y31,XT!AC31,XT!AG31))=7)*(CHOOSE({1,2,3,4},XT!X31,XT!AB31,XT!AF31,XT!AJ31)))</f>
        <v>0</v>
      </c>
      <c r="Z31" t="str">
        <f>IFERROR(INDEX(CHOOSE({1,2,3,4}, DAY(XT!U31), DAY(XT!Y31), DAY(XT!AC31), DAY(XT!AG31)), MATCH(1, INDEX(--(MONTH(CHOOSE({1,2,3,4}, XT!U31,XT!Y31,XT!AC31,XT!AG31))=7), 0), 0)), "")</f>
        <v/>
      </c>
      <c r="AA31" s="51" t="str">
        <f>IF(XT!$P31&gt;0,Z31,"")</f>
        <v/>
      </c>
      <c r="AB31" s="51" t="str">
        <f>IF(XT!$P31=0,Z31,"")</f>
        <v/>
      </c>
      <c r="AC31">
        <f>SUMPRODUCT((MONTH(CHOOSE({1,2,3,4},XT!U31,XT!Y31,XT!AC31,XT!AG31))=8)*(CHOOSE({1,2,3,4},XT!X31,XT!AB31,XT!AF31,XT!AJ31)))</f>
        <v>0</v>
      </c>
      <c r="AD31" t="str">
        <f>IFERROR(INDEX(CHOOSE({1,2,3,4}, DAY(XT!U31), DAY(XT!Y31), DAY(XT!AC31), DAY(XT!AG31)), MATCH(1, INDEX(--(MONTH(CHOOSE({1,2,3,4}, XT!U31,XT!Y31,XT!AC31,XT!AG31))=8), 0), 0)), "")</f>
        <v/>
      </c>
      <c r="AE31" s="51" t="str">
        <f>IF(XT!$P31&gt;0,AD31,"")</f>
        <v/>
      </c>
      <c r="AF31" s="51" t="str">
        <f>IF(XT!$P31=0,AD31,"")</f>
        <v/>
      </c>
      <c r="AG31">
        <f>SUMPRODUCT((MONTH(CHOOSE({1,2,3,4},XT!U31,XT!Y31,XT!AC31,XT!AG31))=9)*(CHOOSE({1,2,3,4},XT!X31,XT!AB31,XT!AF31,XT!AJ31)))</f>
        <v>0</v>
      </c>
      <c r="AH31" t="str">
        <f>IFERROR(INDEX(CHOOSE({1,2,3,4}, DAY(XT!U31), DAY(XT!Y31), DAY(XT!AC31), DAY(XT!AG31)), MATCH(1, INDEX(--(MONTH(CHOOSE({1,2,3,4}, XT!U31,XT!Y31,XT!AC31,XT!AG31))=9), 0), 0)), "")</f>
        <v/>
      </c>
      <c r="AI31" s="51" t="str">
        <f>IF(XT!$P31&gt;0,AH31,"")</f>
        <v/>
      </c>
      <c r="AJ31" s="51" t="str">
        <f>IF(XT!$P31=0,AH31,"")</f>
        <v/>
      </c>
      <c r="AK31">
        <f>SUMPRODUCT((MONTH(CHOOSE({1,2,3,4},XT!U31,XT!Y31,XT!AC31,XT!AG31))=10)*(CHOOSE({1,2,3,4},XT!X31,XT!AB31,XT!AF31,XT!AJ31)))</f>
        <v>0</v>
      </c>
      <c r="AL31" t="str">
        <f>IFERROR(INDEX(CHOOSE({1,2,3,4}, DAY(XT!U31), DAY(XT!Y31), DAY(XT!AC31), DAY(XT!AG31)), MATCH(1, INDEX(--(MONTH(CHOOSE({1,2,3,4}, XT!U31,XT!Y31,XT!AC31,XT!AG31))=10), 0), 0)), "")</f>
        <v/>
      </c>
      <c r="AM31" s="51" t="str">
        <f>IF(XT!$P31&gt;0,AL31,"")</f>
        <v/>
      </c>
      <c r="AN31" s="51" t="str">
        <f>IF(XT!$P31=0,AL31,"")</f>
        <v/>
      </c>
      <c r="AO31">
        <f>SUMPRODUCT((MONTH(CHOOSE({1,2,3,4},XT!U31,XT!Y31,XT!AC31,XT!AG31))=11)*(CHOOSE({1,2,3,4},XT!X31,XT!AB31,XT!AF31,XT!AJ31)))</f>
        <v>0</v>
      </c>
      <c r="AP31" t="str">
        <f>IFERROR(INDEX(CHOOSE({1,2,3,4}, DAY(XT!U31), DAY(XT!Y31), DAY(XT!AC31), DAY(XT!AG31)), MATCH(1, INDEX(--(MONTH(CHOOSE({1,2,3,4}, XT!U31,XT!Y31,XT!AC31,XT!AG31))=11), 0), 0)), "")</f>
        <v/>
      </c>
      <c r="AQ31" s="51" t="str">
        <f>IF(XT!$P31&gt;0,AP31,"")</f>
        <v/>
      </c>
      <c r="AR31" s="51" t="str">
        <f>IF(XT!$P31=0,AP31,"")</f>
        <v/>
      </c>
      <c r="AS31">
        <f>SUMPRODUCT((MONTH(CHOOSE({1,2,3,4},XT!U31,XT!Y31,XT!AC31,XT!AG31))=12)*(CHOOSE({1,2,3,4},XT!X31,XT!AB31,XT!AF31,XT!AJ31)))</f>
        <v>0</v>
      </c>
      <c r="AT31" t="str">
        <f>IFERROR(INDEX(CHOOSE({1,2,3,4}, DAY(XT!U31), DAY(XT!Y31), DAY(XT!AC31), DAY(XT!AG31)), MATCH(1, INDEX(--(MONTH(CHOOSE({1,2,3,4}, XT!U31,XT!Y31,XT!AC31,XT!AG31))=12), 0), 0)), "")</f>
        <v/>
      </c>
      <c r="AU31" s="51" t="str">
        <f>IF(XT!$P31&gt;0,AT31,"")</f>
        <v/>
      </c>
      <c r="AV31" s="51" t="str">
        <f>IF(XT!$P31=0,AT31,"")</f>
        <v/>
      </c>
    </row>
    <row r="32" spans="1:48">
      <c r="A32">
        <f>SUMPRODUCT((MONTH(CHOOSE({1,2,3,4},XT!U32,XT!Y32,XT!AC32,XT!AG32))=1)*(CHOOSE({1,2,3,4},XT!X32,XT!AB32,XT!AF32,XT!AJ32)))</f>
        <v>0</v>
      </c>
      <c r="B32">
        <f>IFERROR(INDEX(CHOOSE({1,2,3,4}, DAY(XT!U32), DAY(XT!Y32), DAY(XT!AC32), DAY(XT!AG32)), MATCH(1, INDEX(--(MONTH(CHOOSE({1,2,3,4}, XT!U32,XT!Y32,XT!AC32,XT!AG32))=1), 0), 0)), "")</f>
        <v>0</v>
      </c>
      <c r="C32" s="51" t="str">
        <f>IF(XT!$P32&gt;0,B32,"")</f>
        <v/>
      </c>
      <c r="D32" s="51">
        <f>IF(XT!$P32=0,B32,"")</f>
        <v>0</v>
      </c>
      <c r="E32">
        <f>SUMPRODUCT((MONTH(CHOOSE({1,2,3,4},XT!U32,XT!Y32,XT!AC32,XT!AG32))=2)*(CHOOSE({1,2,3,4},XT!X32,XT!AB32,XT!AF32,XT!AJ32)))</f>
        <v>0</v>
      </c>
      <c r="F32" t="str">
        <f>IFERROR(INDEX(CHOOSE({1,2,3,4}, DAY(XT!U32), DAY(XT!Y32), DAY(XT!AC32), DAY(XT!AG32)), MATCH(1, INDEX(--(MONTH(CHOOSE({1,2,3,4}, XT!U32,XT!Y32,XT!AC32,XT!AG32))=2), 0), 0)), "")</f>
        <v/>
      </c>
      <c r="G32" s="51" t="str">
        <f>IF(XT!$P32&gt;0,F32,"")</f>
        <v/>
      </c>
      <c r="H32" s="51" t="str">
        <f>IF(XT!$P32=0,F32,"")</f>
        <v/>
      </c>
      <c r="I32">
        <f>SUMPRODUCT((MONTH(CHOOSE({1,2,3,4},XT!U32,XT!Y32,XT!AC32,XT!AG32))=3)*(CHOOSE({1,2,3,4},XT!X32,XT!AB32,XT!AF32,XT!AJ32)))</f>
        <v>0</v>
      </c>
      <c r="J32" t="str">
        <f>IFERROR(INDEX(CHOOSE({1,2,3,4}, DAY(XT!U32), DAY(XT!Y32), DAY(XT!AC32), DAY(XT!AG32)), MATCH(1, INDEX(--(MONTH(CHOOSE({1,2,3,4}, XT!U32,XT!Y32,XT!AC32,XT!AG32))=3), 0), 0)), "")</f>
        <v/>
      </c>
      <c r="K32" s="51" t="str">
        <f>IF(XT!$P32&gt;0,J32,"")</f>
        <v/>
      </c>
      <c r="L32" s="51" t="str">
        <f>IF(XT!$P32=0,J32,"")</f>
        <v/>
      </c>
      <c r="M32">
        <f>SUMPRODUCT((MONTH(CHOOSE({1,2,3,4},XT!U32,XT!Y32,XT!AC32,XT!AG32))=4)*(CHOOSE({1,2,3,4},XT!X32,XT!AB32,XT!AF32,XT!AJ32)))</f>
        <v>0</v>
      </c>
      <c r="N32" t="str">
        <f>IFERROR(INDEX(CHOOSE({1,2,3,4}, DAY(XT!U32), DAY(XT!Y32), DAY(XT!AC32), DAY(XT!AG32)), MATCH(1, INDEX(--(MONTH(CHOOSE({1,2,3,4}, XT!U32,XT!Y32,XT!AC32,XT!AG32))=4), 0), 0)), "")</f>
        <v/>
      </c>
      <c r="O32" s="51" t="str">
        <f>IF(XT!$P32&gt;0,N32,"")</f>
        <v/>
      </c>
      <c r="P32" s="51" t="str">
        <f>IF(XT!$P32=0,N32,"")</f>
        <v/>
      </c>
      <c r="Q32">
        <f>SUMPRODUCT((MONTH(CHOOSE({1,2,3,4},XT!U32,XT!Y32,XT!AC32,XT!AG32))=5)*(CHOOSE({1,2,3,4},XT!X32,XT!AB32,XT!AF32,XT!AJ32)))</f>
        <v>0</v>
      </c>
      <c r="R32" t="str">
        <f>IFERROR(INDEX(CHOOSE({1,2,3,4}, DAY(XT!U32), DAY(XT!Y32), DAY(XT!AC32), DAY(XT!AG32)), MATCH(1, INDEX(--(MONTH(CHOOSE({1,2,3,4}, XT!U32,XT!Y32,XT!AC32,XT!AG32))=5), 0), 0)), "")</f>
        <v/>
      </c>
      <c r="S32" s="51" t="str">
        <f>IF(XT!$P32&gt;0,R32,"")</f>
        <v/>
      </c>
      <c r="T32" s="51" t="str">
        <f>IF(XT!$P32=0,R32,"")</f>
        <v/>
      </c>
      <c r="U32">
        <f>SUMPRODUCT((MONTH(CHOOSE({1,2,3,4},XT!U32,XT!Y32,XT!AC32,XT!AG32))=6)*(CHOOSE({1,2,3,4},XT!X32,XT!AB32,XT!AF32,XT!AJ32)))</f>
        <v>0</v>
      </c>
      <c r="V32" t="str">
        <f>IFERROR(INDEX(CHOOSE({1,2,3,4}, DAY(XT!U32), DAY(XT!Y32), DAY(XT!AC32), DAY(XT!AG32)), MATCH(1, INDEX(--(MONTH(CHOOSE({1,2,3,4}, XT!U32,XT!Y32,XT!AC32,XT!AG32))=6), 0), 0)), "")</f>
        <v/>
      </c>
      <c r="W32" s="51" t="str">
        <f>IF(XT!$P32&gt;0,V32,"")</f>
        <v/>
      </c>
      <c r="X32" s="51" t="str">
        <f>IF(XT!$P32=0,V32,"")</f>
        <v/>
      </c>
      <c r="Y32">
        <f>SUMPRODUCT((MONTH(CHOOSE({1,2,3,4},XT!U32,XT!Y32,XT!AC32,XT!AG32))=7)*(CHOOSE({1,2,3,4},XT!X32,XT!AB32,XT!AF32,XT!AJ32)))</f>
        <v>0</v>
      </c>
      <c r="Z32" t="str">
        <f>IFERROR(INDEX(CHOOSE({1,2,3,4}, DAY(XT!U32), DAY(XT!Y32), DAY(XT!AC32), DAY(XT!AG32)), MATCH(1, INDEX(--(MONTH(CHOOSE({1,2,3,4}, XT!U32,XT!Y32,XT!AC32,XT!AG32))=7), 0), 0)), "")</f>
        <v/>
      </c>
      <c r="AA32" s="51" t="str">
        <f>IF(XT!$P32&gt;0,Z32,"")</f>
        <v/>
      </c>
      <c r="AB32" s="51" t="str">
        <f>IF(XT!$P32=0,Z32,"")</f>
        <v/>
      </c>
      <c r="AC32">
        <f>SUMPRODUCT((MONTH(CHOOSE({1,2,3,4},XT!U32,XT!Y32,XT!AC32,XT!AG32))=8)*(CHOOSE({1,2,3,4},XT!X32,XT!AB32,XT!AF32,XT!AJ32)))</f>
        <v>0</v>
      </c>
      <c r="AD32" t="str">
        <f>IFERROR(INDEX(CHOOSE({1,2,3,4}, DAY(XT!U32), DAY(XT!Y32), DAY(XT!AC32), DAY(XT!AG32)), MATCH(1, INDEX(--(MONTH(CHOOSE({1,2,3,4}, XT!U32,XT!Y32,XT!AC32,XT!AG32))=8), 0), 0)), "")</f>
        <v/>
      </c>
      <c r="AE32" s="51" t="str">
        <f>IF(XT!$P32&gt;0,AD32,"")</f>
        <v/>
      </c>
      <c r="AF32" s="51" t="str">
        <f>IF(XT!$P32=0,AD32,"")</f>
        <v/>
      </c>
      <c r="AG32">
        <f>SUMPRODUCT((MONTH(CHOOSE({1,2,3,4},XT!U32,XT!Y32,XT!AC32,XT!AG32))=9)*(CHOOSE({1,2,3,4},XT!X32,XT!AB32,XT!AF32,XT!AJ32)))</f>
        <v>0</v>
      </c>
      <c r="AH32" t="str">
        <f>IFERROR(INDEX(CHOOSE({1,2,3,4}, DAY(XT!U32), DAY(XT!Y32), DAY(XT!AC32), DAY(XT!AG32)), MATCH(1, INDEX(--(MONTH(CHOOSE({1,2,3,4}, XT!U32,XT!Y32,XT!AC32,XT!AG32))=9), 0), 0)), "")</f>
        <v/>
      </c>
      <c r="AI32" s="51" t="str">
        <f>IF(XT!$P32&gt;0,AH32,"")</f>
        <v/>
      </c>
      <c r="AJ32" s="51" t="str">
        <f>IF(XT!$P32=0,AH32,"")</f>
        <v/>
      </c>
      <c r="AK32">
        <f>SUMPRODUCT((MONTH(CHOOSE({1,2,3,4},XT!U32,XT!Y32,XT!AC32,XT!AG32))=10)*(CHOOSE({1,2,3,4},XT!X32,XT!AB32,XT!AF32,XT!AJ32)))</f>
        <v>0</v>
      </c>
      <c r="AL32" t="str">
        <f>IFERROR(INDEX(CHOOSE({1,2,3,4}, DAY(XT!U32), DAY(XT!Y32), DAY(XT!AC32), DAY(XT!AG32)), MATCH(1, INDEX(--(MONTH(CHOOSE({1,2,3,4}, XT!U32,XT!Y32,XT!AC32,XT!AG32))=10), 0), 0)), "")</f>
        <v/>
      </c>
      <c r="AM32" s="51" t="str">
        <f>IF(XT!$P32&gt;0,AL32,"")</f>
        <v/>
      </c>
      <c r="AN32" s="51" t="str">
        <f>IF(XT!$P32=0,AL32,"")</f>
        <v/>
      </c>
      <c r="AO32">
        <f>SUMPRODUCT((MONTH(CHOOSE({1,2,3,4},XT!U32,XT!Y32,XT!AC32,XT!AG32))=11)*(CHOOSE({1,2,3,4},XT!X32,XT!AB32,XT!AF32,XT!AJ32)))</f>
        <v>0</v>
      </c>
      <c r="AP32" t="str">
        <f>IFERROR(INDEX(CHOOSE({1,2,3,4}, DAY(XT!U32), DAY(XT!Y32), DAY(XT!AC32), DAY(XT!AG32)), MATCH(1, INDEX(--(MONTH(CHOOSE({1,2,3,4}, XT!U32,XT!Y32,XT!AC32,XT!AG32))=11), 0), 0)), "")</f>
        <v/>
      </c>
      <c r="AQ32" s="51" t="str">
        <f>IF(XT!$P32&gt;0,AP32,"")</f>
        <v/>
      </c>
      <c r="AR32" s="51" t="str">
        <f>IF(XT!$P32=0,AP32,"")</f>
        <v/>
      </c>
      <c r="AS32">
        <f>SUMPRODUCT((MONTH(CHOOSE({1,2,3,4},XT!U32,XT!Y32,XT!AC32,XT!AG32))=12)*(CHOOSE({1,2,3,4},XT!X32,XT!AB32,XT!AF32,XT!AJ32)))</f>
        <v>0</v>
      </c>
      <c r="AT32" t="str">
        <f>IFERROR(INDEX(CHOOSE({1,2,3,4}, DAY(XT!U32), DAY(XT!Y32), DAY(XT!AC32), DAY(XT!AG32)), MATCH(1, INDEX(--(MONTH(CHOOSE({1,2,3,4}, XT!U32,XT!Y32,XT!AC32,XT!AG32))=12), 0), 0)), "")</f>
        <v/>
      </c>
      <c r="AU32" s="51" t="str">
        <f>IF(XT!$P32&gt;0,AT32,"")</f>
        <v/>
      </c>
      <c r="AV32" s="51" t="str">
        <f>IF(XT!$P32=0,AT32,"")</f>
        <v/>
      </c>
    </row>
    <row r="33" spans="1:48">
      <c r="A33">
        <f>SUMPRODUCT((MONTH(CHOOSE({1,2,3,4},XT!U33,XT!Y33,XT!AC33,XT!AG33))=1)*(CHOOSE({1,2,3,4},XT!X33,XT!AB33,XT!AF33,XT!AJ33)))</f>
        <v>0</v>
      </c>
      <c r="B33">
        <f>IFERROR(INDEX(CHOOSE({1,2,3,4}, DAY(XT!U33), DAY(XT!Y33), DAY(XT!AC33), DAY(XT!AG33)), MATCH(1, INDEX(--(MONTH(CHOOSE({1,2,3,4}, XT!U33,XT!Y33,XT!AC33,XT!AG33))=1), 0), 0)), "")</f>
        <v>0</v>
      </c>
      <c r="C33" s="51" t="str">
        <f>IF(XT!$P33&gt;0,B33,"")</f>
        <v/>
      </c>
      <c r="D33" s="51">
        <f>IF(XT!$P33=0,B33,"")</f>
        <v>0</v>
      </c>
      <c r="E33">
        <f>SUMPRODUCT((MONTH(CHOOSE({1,2,3,4},XT!U33,XT!Y33,XT!AC33,XT!AG33))=2)*(CHOOSE({1,2,3,4},XT!X33,XT!AB33,XT!AF33,XT!AJ33)))</f>
        <v>0</v>
      </c>
      <c r="F33" t="str">
        <f>IFERROR(INDEX(CHOOSE({1,2,3,4}, DAY(XT!U33), DAY(XT!Y33), DAY(XT!AC33), DAY(XT!AG33)), MATCH(1, INDEX(--(MONTH(CHOOSE({1,2,3,4}, XT!U33,XT!Y33,XT!AC33,XT!AG33))=2), 0), 0)), "")</f>
        <v/>
      </c>
      <c r="G33" s="51" t="str">
        <f>IF(XT!$P33&gt;0,F33,"")</f>
        <v/>
      </c>
      <c r="H33" s="51" t="str">
        <f>IF(XT!$P33=0,F33,"")</f>
        <v/>
      </c>
      <c r="I33">
        <f>SUMPRODUCT((MONTH(CHOOSE({1,2,3,4},XT!U33,XT!Y33,XT!AC33,XT!AG33))=3)*(CHOOSE({1,2,3,4},XT!X33,XT!AB33,XT!AF33,XT!AJ33)))</f>
        <v>0</v>
      </c>
      <c r="J33" t="str">
        <f>IFERROR(INDEX(CHOOSE({1,2,3,4}, DAY(XT!U33), DAY(XT!Y33), DAY(XT!AC33), DAY(XT!AG33)), MATCH(1, INDEX(--(MONTH(CHOOSE({1,2,3,4}, XT!U33,XT!Y33,XT!AC33,XT!AG33))=3), 0), 0)), "")</f>
        <v/>
      </c>
      <c r="K33" s="51" t="str">
        <f>IF(XT!$P33&gt;0,J33,"")</f>
        <v/>
      </c>
      <c r="L33" s="51" t="str">
        <f>IF(XT!$P33=0,J33,"")</f>
        <v/>
      </c>
      <c r="M33">
        <f>SUMPRODUCT((MONTH(CHOOSE({1,2,3,4},XT!U33,XT!Y33,XT!AC33,XT!AG33))=4)*(CHOOSE({1,2,3,4},XT!X33,XT!AB33,XT!AF33,XT!AJ33)))</f>
        <v>0</v>
      </c>
      <c r="N33" t="str">
        <f>IFERROR(INDEX(CHOOSE({1,2,3,4}, DAY(XT!U33), DAY(XT!Y33), DAY(XT!AC33), DAY(XT!AG33)), MATCH(1, INDEX(--(MONTH(CHOOSE({1,2,3,4}, XT!U33,XT!Y33,XT!AC33,XT!AG33))=4), 0), 0)), "")</f>
        <v/>
      </c>
      <c r="O33" s="51" t="str">
        <f>IF(XT!$P33&gt;0,N33,"")</f>
        <v/>
      </c>
      <c r="P33" s="51" t="str">
        <f>IF(XT!$P33=0,N33,"")</f>
        <v/>
      </c>
      <c r="Q33">
        <f>SUMPRODUCT((MONTH(CHOOSE({1,2,3,4},XT!U33,XT!Y33,XT!AC33,XT!AG33))=5)*(CHOOSE({1,2,3,4},XT!X33,XT!AB33,XT!AF33,XT!AJ33)))</f>
        <v>0</v>
      </c>
      <c r="R33" t="str">
        <f>IFERROR(INDEX(CHOOSE({1,2,3,4}, DAY(XT!U33), DAY(XT!Y33), DAY(XT!AC33), DAY(XT!AG33)), MATCH(1, INDEX(--(MONTH(CHOOSE({1,2,3,4}, XT!U33,XT!Y33,XT!AC33,XT!AG33))=5), 0), 0)), "")</f>
        <v/>
      </c>
      <c r="S33" s="51" t="str">
        <f>IF(XT!$P33&gt;0,R33,"")</f>
        <v/>
      </c>
      <c r="T33" s="51" t="str">
        <f>IF(XT!$P33=0,R33,"")</f>
        <v/>
      </c>
      <c r="U33">
        <f>SUMPRODUCT((MONTH(CHOOSE({1,2,3,4},XT!U33,XT!Y33,XT!AC33,XT!AG33))=6)*(CHOOSE({1,2,3,4},XT!X33,XT!AB33,XT!AF33,XT!AJ33)))</f>
        <v>0</v>
      </c>
      <c r="V33" t="str">
        <f>IFERROR(INDEX(CHOOSE({1,2,3,4}, DAY(XT!U33), DAY(XT!Y33), DAY(XT!AC33), DAY(XT!AG33)), MATCH(1, INDEX(--(MONTH(CHOOSE({1,2,3,4}, XT!U33,XT!Y33,XT!AC33,XT!AG33))=6), 0), 0)), "")</f>
        <v/>
      </c>
      <c r="W33" s="51" t="str">
        <f>IF(XT!$P33&gt;0,V33,"")</f>
        <v/>
      </c>
      <c r="X33" s="51" t="str">
        <f>IF(XT!$P33=0,V33,"")</f>
        <v/>
      </c>
      <c r="Y33">
        <f>SUMPRODUCT((MONTH(CHOOSE({1,2,3,4},XT!U33,XT!Y33,XT!AC33,XT!AG33))=7)*(CHOOSE({1,2,3,4},XT!X33,XT!AB33,XT!AF33,XT!AJ33)))</f>
        <v>0</v>
      </c>
      <c r="Z33" t="str">
        <f>IFERROR(INDEX(CHOOSE({1,2,3,4}, DAY(XT!U33), DAY(XT!Y33), DAY(XT!AC33), DAY(XT!AG33)), MATCH(1, INDEX(--(MONTH(CHOOSE({1,2,3,4}, XT!U33,XT!Y33,XT!AC33,XT!AG33))=7), 0), 0)), "")</f>
        <v/>
      </c>
      <c r="AA33" s="51" t="str">
        <f>IF(XT!$P33&gt;0,Z33,"")</f>
        <v/>
      </c>
      <c r="AB33" s="51" t="str">
        <f>IF(XT!$P33=0,Z33,"")</f>
        <v/>
      </c>
      <c r="AC33">
        <f>SUMPRODUCT((MONTH(CHOOSE({1,2,3,4},XT!U33,XT!Y33,XT!AC33,XT!AG33))=8)*(CHOOSE({1,2,3,4},XT!X33,XT!AB33,XT!AF33,XT!AJ33)))</f>
        <v>0</v>
      </c>
      <c r="AD33" t="str">
        <f>IFERROR(INDEX(CHOOSE({1,2,3,4}, DAY(XT!U33), DAY(XT!Y33), DAY(XT!AC33), DAY(XT!AG33)), MATCH(1, INDEX(--(MONTH(CHOOSE({1,2,3,4}, XT!U33,XT!Y33,XT!AC33,XT!AG33))=8), 0), 0)), "")</f>
        <v/>
      </c>
      <c r="AE33" s="51" t="str">
        <f>IF(XT!$P33&gt;0,AD33,"")</f>
        <v/>
      </c>
      <c r="AF33" s="51" t="str">
        <f>IF(XT!$P33=0,AD33,"")</f>
        <v/>
      </c>
      <c r="AG33">
        <f>SUMPRODUCT((MONTH(CHOOSE({1,2,3,4},XT!U33,XT!Y33,XT!AC33,XT!AG33))=9)*(CHOOSE({1,2,3,4},XT!X33,XT!AB33,XT!AF33,XT!AJ33)))</f>
        <v>0</v>
      </c>
      <c r="AH33" t="str">
        <f>IFERROR(INDEX(CHOOSE({1,2,3,4}, DAY(XT!U33), DAY(XT!Y33), DAY(XT!AC33), DAY(XT!AG33)), MATCH(1, INDEX(--(MONTH(CHOOSE({1,2,3,4}, XT!U33,XT!Y33,XT!AC33,XT!AG33))=9), 0), 0)), "")</f>
        <v/>
      </c>
      <c r="AI33" s="51" t="str">
        <f>IF(XT!$P33&gt;0,AH33,"")</f>
        <v/>
      </c>
      <c r="AJ33" s="51" t="str">
        <f>IF(XT!$P33=0,AH33,"")</f>
        <v/>
      </c>
      <c r="AK33">
        <f>SUMPRODUCT((MONTH(CHOOSE({1,2,3,4},XT!U33,XT!Y33,XT!AC33,XT!AG33))=10)*(CHOOSE({1,2,3,4},XT!X33,XT!AB33,XT!AF33,XT!AJ33)))</f>
        <v>0</v>
      </c>
      <c r="AL33" t="str">
        <f>IFERROR(INDEX(CHOOSE({1,2,3,4}, DAY(XT!U33), DAY(XT!Y33), DAY(XT!AC33), DAY(XT!AG33)), MATCH(1, INDEX(--(MONTH(CHOOSE({1,2,3,4}, XT!U33,XT!Y33,XT!AC33,XT!AG33))=10), 0), 0)), "")</f>
        <v/>
      </c>
      <c r="AM33" s="51" t="str">
        <f>IF(XT!$P33&gt;0,AL33,"")</f>
        <v/>
      </c>
      <c r="AN33" s="51" t="str">
        <f>IF(XT!$P33=0,AL33,"")</f>
        <v/>
      </c>
      <c r="AO33">
        <f>SUMPRODUCT((MONTH(CHOOSE({1,2,3,4},XT!U33,XT!Y33,XT!AC33,XT!AG33))=11)*(CHOOSE({1,2,3,4},XT!X33,XT!AB33,XT!AF33,XT!AJ33)))</f>
        <v>0</v>
      </c>
      <c r="AP33" t="str">
        <f>IFERROR(INDEX(CHOOSE({1,2,3,4}, DAY(XT!U33), DAY(XT!Y33), DAY(XT!AC33), DAY(XT!AG33)), MATCH(1, INDEX(--(MONTH(CHOOSE({1,2,3,4}, XT!U33,XT!Y33,XT!AC33,XT!AG33))=11), 0), 0)), "")</f>
        <v/>
      </c>
      <c r="AQ33" s="51" t="str">
        <f>IF(XT!$P33&gt;0,AP33,"")</f>
        <v/>
      </c>
      <c r="AR33" s="51" t="str">
        <f>IF(XT!$P33=0,AP33,"")</f>
        <v/>
      </c>
      <c r="AS33">
        <f>SUMPRODUCT((MONTH(CHOOSE({1,2,3,4},XT!U33,XT!Y33,XT!AC33,XT!AG33))=12)*(CHOOSE({1,2,3,4},XT!X33,XT!AB33,XT!AF33,XT!AJ33)))</f>
        <v>0</v>
      </c>
      <c r="AT33" t="str">
        <f>IFERROR(INDEX(CHOOSE({1,2,3,4}, DAY(XT!U33), DAY(XT!Y33), DAY(XT!AC33), DAY(XT!AG33)), MATCH(1, INDEX(--(MONTH(CHOOSE({1,2,3,4}, XT!U33,XT!Y33,XT!AC33,XT!AG33))=12), 0), 0)), "")</f>
        <v/>
      </c>
      <c r="AU33" s="51" t="str">
        <f>IF(XT!$P33&gt;0,AT33,"")</f>
        <v/>
      </c>
      <c r="AV33" s="51" t="str">
        <f>IF(XT!$P33=0,AT33,"")</f>
        <v/>
      </c>
    </row>
    <row r="34" spans="1:48">
      <c r="A34">
        <f>SUMPRODUCT((MONTH(CHOOSE({1,2,3,4},XT!U34,XT!Y34,XT!AC34,XT!AG34))=1)*(CHOOSE({1,2,3,4},XT!X34,XT!AB34,XT!AF34,XT!AJ34)))</f>
        <v>0</v>
      </c>
      <c r="B34">
        <f>IFERROR(INDEX(CHOOSE({1,2,3,4}, DAY(XT!U34), DAY(XT!Y34), DAY(XT!AC34), DAY(XT!AG34)), MATCH(1, INDEX(--(MONTH(CHOOSE({1,2,3,4}, XT!U34,XT!Y34,XT!AC34,XT!AG34))=1), 0), 0)), "")</f>
        <v>0</v>
      </c>
      <c r="C34" s="51" t="str">
        <f>IF(XT!$P34&gt;0,B34,"")</f>
        <v/>
      </c>
      <c r="D34" s="51">
        <f>IF(XT!$P34=0,B34,"")</f>
        <v>0</v>
      </c>
      <c r="E34">
        <f>SUMPRODUCT((MONTH(CHOOSE({1,2,3,4},XT!U34,XT!Y34,XT!AC34,XT!AG34))=2)*(CHOOSE({1,2,3,4},XT!X34,XT!AB34,XT!AF34,XT!AJ34)))</f>
        <v>0</v>
      </c>
      <c r="F34" t="str">
        <f>IFERROR(INDEX(CHOOSE({1,2,3,4}, DAY(XT!U34), DAY(XT!Y34), DAY(XT!AC34), DAY(XT!AG34)), MATCH(1, INDEX(--(MONTH(CHOOSE({1,2,3,4}, XT!U34,XT!Y34,XT!AC34,XT!AG34))=2), 0), 0)), "")</f>
        <v/>
      </c>
      <c r="G34" s="51" t="str">
        <f>IF(XT!$P34&gt;0,F34,"")</f>
        <v/>
      </c>
      <c r="H34" s="51" t="str">
        <f>IF(XT!$P34=0,F34,"")</f>
        <v/>
      </c>
      <c r="I34">
        <f>SUMPRODUCT((MONTH(CHOOSE({1,2,3,4},XT!U34,XT!Y34,XT!AC34,XT!AG34))=3)*(CHOOSE({1,2,3,4},XT!X34,XT!AB34,XT!AF34,XT!AJ34)))</f>
        <v>0</v>
      </c>
      <c r="J34" t="str">
        <f>IFERROR(INDEX(CHOOSE({1,2,3,4}, DAY(XT!U34), DAY(XT!Y34), DAY(XT!AC34), DAY(XT!AG34)), MATCH(1, INDEX(--(MONTH(CHOOSE({1,2,3,4}, XT!U34,XT!Y34,XT!AC34,XT!AG34))=3), 0), 0)), "")</f>
        <v/>
      </c>
      <c r="K34" s="51" t="str">
        <f>IF(XT!$P34&gt;0,J34,"")</f>
        <v/>
      </c>
      <c r="L34" s="51" t="str">
        <f>IF(XT!$P34=0,J34,"")</f>
        <v/>
      </c>
      <c r="M34">
        <f>SUMPRODUCT((MONTH(CHOOSE({1,2,3,4},XT!U34,XT!Y34,XT!AC34,XT!AG34))=4)*(CHOOSE({1,2,3,4},XT!X34,XT!AB34,XT!AF34,XT!AJ34)))</f>
        <v>0</v>
      </c>
      <c r="N34" t="str">
        <f>IFERROR(INDEX(CHOOSE({1,2,3,4}, DAY(XT!U34), DAY(XT!Y34), DAY(XT!AC34), DAY(XT!AG34)), MATCH(1, INDEX(--(MONTH(CHOOSE({1,2,3,4}, XT!U34,XT!Y34,XT!AC34,XT!AG34))=4), 0), 0)), "")</f>
        <v/>
      </c>
      <c r="O34" s="51" t="str">
        <f>IF(XT!$P34&gt;0,N34,"")</f>
        <v/>
      </c>
      <c r="P34" s="51" t="str">
        <f>IF(XT!$P34=0,N34,"")</f>
        <v/>
      </c>
      <c r="Q34">
        <f>SUMPRODUCT((MONTH(CHOOSE({1,2,3,4},XT!U34,XT!Y34,XT!AC34,XT!AG34))=5)*(CHOOSE({1,2,3,4},XT!X34,XT!AB34,XT!AF34,XT!AJ34)))</f>
        <v>0</v>
      </c>
      <c r="R34" t="str">
        <f>IFERROR(INDEX(CHOOSE({1,2,3,4}, DAY(XT!U34), DAY(XT!Y34), DAY(XT!AC34), DAY(XT!AG34)), MATCH(1, INDEX(--(MONTH(CHOOSE({1,2,3,4}, XT!U34,XT!Y34,XT!AC34,XT!AG34))=5), 0), 0)), "")</f>
        <v/>
      </c>
      <c r="S34" s="51" t="str">
        <f>IF(XT!$P34&gt;0,R34,"")</f>
        <v/>
      </c>
      <c r="T34" s="51" t="str">
        <f>IF(XT!$P34=0,R34,"")</f>
        <v/>
      </c>
      <c r="U34">
        <f>SUMPRODUCT((MONTH(CHOOSE({1,2,3,4},XT!U34,XT!Y34,XT!AC34,XT!AG34))=6)*(CHOOSE({1,2,3,4},XT!X34,XT!AB34,XT!AF34,XT!AJ34)))</f>
        <v>0</v>
      </c>
      <c r="V34" t="str">
        <f>IFERROR(INDEX(CHOOSE({1,2,3,4}, DAY(XT!U34), DAY(XT!Y34), DAY(XT!AC34), DAY(XT!AG34)), MATCH(1, INDEX(--(MONTH(CHOOSE({1,2,3,4}, XT!U34,XT!Y34,XT!AC34,XT!AG34))=6), 0), 0)), "")</f>
        <v/>
      </c>
      <c r="W34" s="51" t="str">
        <f>IF(XT!$P34&gt;0,V34,"")</f>
        <v/>
      </c>
      <c r="X34" s="51" t="str">
        <f>IF(XT!$P34=0,V34,"")</f>
        <v/>
      </c>
      <c r="Y34">
        <f>SUMPRODUCT((MONTH(CHOOSE({1,2,3,4},XT!U34,XT!Y34,XT!AC34,XT!AG34))=7)*(CHOOSE({1,2,3,4},XT!X34,XT!AB34,XT!AF34,XT!AJ34)))</f>
        <v>0</v>
      </c>
      <c r="Z34" t="str">
        <f>IFERROR(INDEX(CHOOSE({1,2,3,4}, DAY(XT!U34), DAY(XT!Y34), DAY(XT!AC34), DAY(XT!AG34)), MATCH(1, INDEX(--(MONTH(CHOOSE({1,2,3,4}, XT!U34,XT!Y34,XT!AC34,XT!AG34))=7), 0), 0)), "")</f>
        <v/>
      </c>
      <c r="AA34" s="51" t="str">
        <f>IF(XT!$P34&gt;0,Z34,"")</f>
        <v/>
      </c>
      <c r="AB34" s="51" t="str">
        <f>IF(XT!$P34=0,Z34,"")</f>
        <v/>
      </c>
      <c r="AC34">
        <f>SUMPRODUCT((MONTH(CHOOSE({1,2,3,4},XT!U34,XT!Y34,XT!AC34,XT!AG34))=8)*(CHOOSE({1,2,3,4},XT!X34,XT!AB34,XT!AF34,XT!AJ34)))</f>
        <v>0</v>
      </c>
      <c r="AD34" t="str">
        <f>IFERROR(INDEX(CHOOSE({1,2,3,4}, DAY(XT!U34), DAY(XT!Y34), DAY(XT!AC34), DAY(XT!AG34)), MATCH(1, INDEX(--(MONTH(CHOOSE({1,2,3,4}, XT!U34,XT!Y34,XT!AC34,XT!AG34))=8), 0), 0)), "")</f>
        <v/>
      </c>
      <c r="AE34" s="51" t="str">
        <f>IF(XT!$P34&gt;0,AD34,"")</f>
        <v/>
      </c>
      <c r="AF34" s="51" t="str">
        <f>IF(XT!$P34=0,AD34,"")</f>
        <v/>
      </c>
      <c r="AG34">
        <f>SUMPRODUCT((MONTH(CHOOSE({1,2,3,4},XT!U34,XT!Y34,XT!AC34,XT!AG34))=9)*(CHOOSE({1,2,3,4},XT!X34,XT!AB34,XT!AF34,XT!AJ34)))</f>
        <v>0</v>
      </c>
      <c r="AH34" t="str">
        <f>IFERROR(INDEX(CHOOSE({1,2,3,4}, DAY(XT!U34), DAY(XT!Y34), DAY(XT!AC34), DAY(XT!AG34)), MATCH(1, INDEX(--(MONTH(CHOOSE({1,2,3,4}, XT!U34,XT!Y34,XT!AC34,XT!AG34))=9), 0), 0)), "")</f>
        <v/>
      </c>
      <c r="AI34" s="51" t="str">
        <f>IF(XT!$P34&gt;0,AH34,"")</f>
        <v/>
      </c>
      <c r="AJ34" s="51" t="str">
        <f>IF(XT!$P34=0,AH34,"")</f>
        <v/>
      </c>
      <c r="AK34">
        <f>SUMPRODUCT((MONTH(CHOOSE({1,2,3,4},XT!U34,XT!Y34,XT!AC34,XT!AG34))=10)*(CHOOSE({1,2,3,4},XT!X34,XT!AB34,XT!AF34,XT!AJ34)))</f>
        <v>0</v>
      </c>
      <c r="AL34" t="str">
        <f>IFERROR(INDEX(CHOOSE({1,2,3,4}, DAY(XT!U34), DAY(XT!Y34), DAY(XT!AC34), DAY(XT!AG34)), MATCH(1, INDEX(--(MONTH(CHOOSE({1,2,3,4}, XT!U34,XT!Y34,XT!AC34,XT!AG34))=10), 0), 0)), "")</f>
        <v/>
      </c>
      <c r="AM34" s="51" t="str">
        <f>IF(XT!$P34&gt;0,AL34,"")</f>
        <v/>
      </c>
      <c r="AN34" s="51" t="str">
        <f>IF(XT!$P34=0,AL34,"")</f>
        <v/>
      </c>
      <c r="AO34">
        <f>SUMPRODUCT((MONTH(CHOOSE({1,2,3,4},XT!U34,XT!Y34,XT!AC34,XT!AG34))=11)*(CHOOSE({1,2,3,4},XT!X34,XT!AB34,XT!AF34,XT!AJ34)))</f>
        <v>0</v>
      </c>
      <c r="AP34" t="str">
        <f>IFERROR(INDEX(CHOOSE({1,2,3,4}, DAY(XT!U34), DAY(XT!Y34), DAY(XT!AC34), DAY(XT!AG34)), MATCH(1, INDEX(--(MONTH(CHOOSE({1,2,3,4}, XT!U34,XT!Y34,XT!AC34,XT!AG34))=11), 0), 0)), "")</f>
        <v/>
      </c>
      <c r="AQ34" s="51" t="str">
        <f>IF(XT!$P34&gt;0,AP34,"")</f>
        <v/>
      </c>
      <c r="AR34" s="51" t="str">
        <f>IF(XT!$P34=0,AP34,"")</f>
        <v/>
      </c>
      <c r="AS34">
        <f>SUMPRODUCT((MONTH(CHOOSE({1,2,3,4},XT!U34,XT!Y34,XT!AC34,XT!AG34))=12)*(CHOOSE({1,2,3,4},XT!X34,XT!AB34,XT!AF34,XT!AJ34)))</f>
        <v>0</v>
      </c>
      <c r="AT34" t="str">
        <f>IFERROR(INDEX(CHOOSE({1,2,3,4}, DAY(XT!U34), DAY(XT!Y34), DAY(XT!AC34), DAY(XT!AG34)), MATCH(1, INDEX(--(MONTH(CHOOSE({1,2,3,4}, XT!U34,XT!Y34,XT!AC34,XT!AG34))=12), 0), 0)), "")</f>
        <v/>
      </c>
      <c r="AU34" s="51" t="str">
        <f>IF(XT!$P34&gt;0,AT34,"")</f>
        <v/>
      </c>
      <c r="AV34" s="51" t="str">
        <f>IF(XT!$P34=0,AT34,"")</f>
        <v/>
      </c>
    </row>
    <row r="35" spans="1:48">
      <c r="A35">
        <f>SUMPRODUCT((MONTH(CHOOSE({1,2,3,4},XT!U35,XT!Y35,XT!AC35,XT!AG35))=1)*(CHOOSE({1,2,3,4},XT!X35,XT!AB35,XT!AF35,XT!AJ35)))</f>
        <v>0</v>
      </c>
      <c r="B35">
        <f>IFERROR(INDEX(CHOOSE({1,2,3,4}, DAY(XT!U35), DAY(XT!Y35), DAY(XT!AC35), DAY(XT!AG35)), MATCH(1, INDEX(--(MONTH(CHOOSE({1,2,3,4}, XT!U35,XT!Y35,XT!AC35,XT!AG35))=1), 0), 0)), "")</f>
        <v>0</v>
      </c>
      <c r="C35" s="51" t="str">
        <f>IF(XT!$P35&gt;0,B35,"")</f>
        <v/>
      </c>
      <c r="D35" s="51">
        <f>IF(XT!$P35=0,B35,"")</f>
        <v>0</v>
      </c>
      <c r="E35">
        <f>SUMPRODUCT((MONTH(CHOOSE({1,2,3,4},XT!U35,XT!Y35,XT!AC35,XT!AG35))=2)*(CHOOSE({1,2,3,4},XT!X35,XT!AB35,XT!AF35,XT!AJ35)))</f>
        <v>0</v>
      </c>
      <c r="F35" t="str">
        <f>IFERROR(INDEX(CHOOSE({1,2,3,4}, DAY(XT!U35), DAY(XT!Y35), DAY(XT!AC35), DAY(XT!AG35)), MATCH(1, INDEX(--(MONTH(CHOOSE({1,2,3,4}, XT!U35,XT!Y35,XT!AC35,XT!AG35))=2), 0), 0)), "")</f>
        <v/>
      </c>
      <c r="G35" s="51" t="str">
        <f>IF(XT!$P35&gt;0,F35,"")</f>
        <v/>
      </c>
      <c r="H35" s="51" t="str">
        <f>IF(XT!$P35=0,F35,"")</f>
        <v/>
      </c>
      <c r="I35">
        <f>SUMPRODUCT((MONTH(CHOOSE({1,2,3,4},XT!U35,XT!Y35,XT!AC35,XT!AG35))=3)*(CHOOSE({1,2,3,4},XT!X35,XT!AB35,XT!AF35,XT!AJ35)))</f>
        <v>0</v>
      </c>
      <c r="J35" t="str">
        <f>IFERROR(INDEX(CHOOSE({1,2,3,4}, DAY(XT!U35), DAY(XT!Y35), DAY(XT!AC35), DAY(XT!AG35)), MATCH(1, INDEX(--(MONTH(CHOOSE({1,2,3,4}, XT!U35,XT!Y35,XT!AC35,XT!AG35))=3), 0), 0)), "")</f>
        <v/>
      </c>
      <c r="K35" s="51" t="str">
        <f>IF(XT!$P35&gt;0,J35,"")</f>
        <v/>
      </c>
      <c r="L35" s="51" t="str">
        <f>IF(XT!$P35=0,J35,"")</f>
        <v/>
      </c>
      <c r="M35">
        <f>SUMPRODUCT((MONTH(CHOOSE({1,2,3,4},XT!U35,XT!Y35,XT!AC35,XT!AG35))=4)*(CHOOSE({1,2,3,4},XT!X35,XT!AB35,XT!AF35,XT!AJ35)))</f>
        <v>0</v>
      </c>
      <c r="N35" t="str">
        <f>IFERROR(INDEX(CHOOSE({1,2,3,4}, DAY(XT!U35), DAY(XT!Y35), DAY(XT!AC35), DAY(XT!AG35)), MATCH(1, INDEX(--(MONTH(CHOOSE({1,2,3,4}, XT!U35,XT!Y35,XT!AC35,XT!AG35))=4), 0), 0)), "")</f>
        <v/>
      </c>
      <c r="O35" s="51" t="str">
        <f>IF(XT!$P35&gt;0,N35,"")</f>
        <v/>
      </c>
      <c r="P35" s="51" t="str">
        <f>IF(XT!$P35=0,N35,"")</f>
        <v/>
      </c>
      <c r="Q35">
        <f>SUMPRODUCT((MONTH(CHOOSE({1,2,3,4},XT!U35,XT!Y35,XT!AC35,XT!AG35))=5)*(CHOOSE({1,2,3,4},XT!X35,XT!AB35,XT!AF35,XT!AJ35)))</f>
        <v>0</v>
      </c>
      <c r="R35" t="str">
        <f>IFERROR(INDEX(CHOOSE({1,2,3,4}, DAY(XT!U35), DAY(XT!Y35), DAY(XT!AC35), DAY(XT!AG35)), MATCH(1, INDEX(--(MONTH(CHOOSE({1,2,3,4}, XT!U35,XT!Y35,XT!AC35,XT!AG35))=5), 0), 0)), "")</f>
        <v/>
      </c>
      <c r="S35" s="51" t="str">
        <f>IF(XT!$P35&gt;0,R35,"")</f>
        <v/>
      </c>
      <c r="T35" s="51" t="str">
        <f>IF(XT!$P35=0,R35,"")</f>
        <v/>
      </c>
      <c r="U35">
        <f>SUMPRODUCT((MONTH(CHOOSE({1,2,3,4},XT!U35,XT!Y35,XT!AC35,XT!AG35))=6)*(CHOOSE({1,2,3,4},XT!X35,XT!AB35,XT!AF35,XT!AJ35)))</f>
        <v>0</v>
      </c>
      <c r="V35" t="str">
        <f>IFERROR(INDEX(CHOOSE({1,2,3,4}, DAY(XT!U35), DAY(XT!Y35), DAY(XT!AC35), DAY(XT!AG35)), MATCH(1, INDEX(--(MONTH(CHOOSE({1,2,3,4}, XT!U35,XT!Y35,XT!AC35,XT!AG35))=6), 0), 0)), "")</f>
        <v/>
      </c>
      <c r="W35" s="51" t="str">
        <f>IF(XT!$P35&gt;0,V35,"")</f>
        <v/>
      </c>
      <c r="X35" s="51" t="str">
        <f>IF(XT!$P35=0,V35,"")</f>
        <v/>
      </c>
      <c r="Y35">
        <f>SUMPRODUCT((MONTH(CHOOSE({1,2,3,4},XT!U35,XT!Y35,XT!AC35,XT!AG35))=7)*(CHOOSE({1,2,3,4},XT!X35,XT!AB35,XT!AF35,XT!AJ35)))</f>
        <v>0</v>
      </c>
      <c r="Z35" t="str">
        <f>IFERROR(INDEX(CHOOSE({1,2,3,4}, DAY(XT!U35), DAY(XT!Y35), DAY(XT!AC35), DAY(XT!AG35)), MATCH(1, INDEX(--(MONTH(CHOOSE({1,2,3,4}, XT!U35,XT!Y35,XT!AC35,XT!AG35))=7), 0), 0)), "")</f>
        <v/>
      </c>
      <c r="AA35" s="51" t="str">
        <f>IF(XT!$P35&gt;0,Z35,"")</f>
        <v/>
      </c>
      <c r="AB35" s="51" t="str">
        <f>IF(XT!$P35=0,Z35,"")</f>
        <v/>
      </c>
      <c r="AC35">
        <f>SUMPRODUCT((MONTH(CHOOSE({1,2,3,4},XT!U35,XT!Y35,XT!AC35,XT!AG35))=8)*(CHOOSE({1,2,3,4},XT!X35,XT!AB35,XT!AF35,XT!AJ35)))</f>
        <v>0</v>
      </c>
      <c r="AD35" t="str">
        <f>IFERROR(INDEX(CHOOSE({1,2,3,4}, DAY(XT!U35), DAY(XT!Y35), DAY(XT!AC35), DAY(XT!AG35)), MATCH(1, INDEX(--(MONTH(CHOOSE({1,2,3,4}, XT!U35,XT!Y35,XT!AC35,XT!AG35))=8), 0), 0)), "")</f>
        <v/>
      </c>
      <c r="AE35" s="51" t="str">
        <f>IF(XT!$P35&gt;0,AD35,"")</f>
        <v/>
      </c>
      <c r="AF35" s="51" t="str">
        <f>IF(XT!$P35=0,AD35,"")</f>
        <v/>
      </c>
      <c r="AG35">
        <f>SUMPRODUCT((MONTH(CHOOSE({1,2,3,4},XT!U35,XT!Y35,XT!AC35,XT!AG35))=9)*(CHOOSE({1,2,3,4},XT!X35,XT!AB35,XT!AF35,XT!AJ35)))</f>
        <v>0</v>
      </c>
      <c r="AH35" t="str">
        <f>IFERROR(INDEX(CHOOSE({1,2,3,4}, DAY(XT!U35), DAY(XT!Y35), DAY(XT!AC35), DAY(XT!AG35)), MATCH(1, INDEX(--(MONTH(CHOOSE({1,2,3,4}, XT!U35,XT!Y35,XT!AC35,XT!AG35))=9), 0), 0)), "")</f>
        <v/>
      </c>
      <c r="AI35" s="51" t="str">
        <f>IF(XT!$P35&gt;0,AH35,"")</f>
        <v/>
      </c>
      <c r="AJ35" s="51" t="str">
        <f>IF(XT!$P35=0,AH35,"")</f>
        <v/>
      </c>
      <c r="AK35">
        <f>SUMPRODUCT((MONTH(CHOOSE({1,2,3,4},XT!U35,XT!Y35,XT!AC35,XT!AG35))=10)*(CHOOSE({1,2,3,4},XT!X35,XT!AB35,XT!AF35,XT!AJ35)))</f>
        <v>0</v>
      </c>
      <c r="AL35" t="str">
        <f>IFERROR(INDEX(CHOOSE({1,2,3,4}, DAY(XT!U35), DAY(XT!Y35), DAY(XT!AC35), DAY(XT!AG35)), MATCH(1, INDEX(--(MONTH(CHOOSE({1,2,3,4}, XT!U35,XT!Y35,XT!AC35,XT!AG35))=10), 0), 0)), "")</f>
        <v/>
      </c>
      <c r="AM35" s="51" t="str">
        <f>IF(XT!$P35&gt;0,AL35,"")</f>
        <v/>
      </c>
      <c r="AN35" s="51" t="str">
        <f>IF(XT!$P35=0,AL35,"")</f>
        <v/>
      </c>
      <c r="AO35">
        <f>SUMPRODUCT((MONTH(CHOOSE({1,2,3,4},XT!U35,XT!Y35,XT!AC35,XT!AG35))=11)*(CHOOSE({1,2,3,4},XT!X35,XT!AB35,XT!AF35,XT!AJ35)))</f>
        <v>0</v>
      </c>
      <c r="AP35" t="str">
        <f>IFERROR(INDEX(CHOOSE({1,2,3,4}, DAY(XT!U35), DAY(XT!Y35), DAY(XT!AC35), DAY(XT!AG35)), MATCH(1, INDEX(--(MONTH(CHOOSE({1,2,3,4}, XT!U35,XT!Y35,XT!AC35,XT!AG35))=11), 0), 0)), "")</f>
        <v/>
      </c>
      <c r="AQ35" s="51" t="str">
        <f>IF(XT!$P35&gt;0,AP35,"")</f>
        <v/>
      </c>
      <c r="AR35" s="51" t="str">
        <f>IF(XT!$P35=0,AP35,"")</f>
        <v/>
      </c>
      <c r="AS35">
        <f>SUMPRODUCT((MONTH(CHOOSE({1,2,3,4},XT!U35,XT!Y35,XT!AC35,XT!AG35))=12)*(CHOOSE({1,2,3,4},XT!X35,XT!AB35,XT!AF35,XT!AJ35)))</f>
        <v>0</v>
      </c>
      <c r="AT35" t="str">
        <f>IFERROR(INDEX(CHOOSE({1,2,3,4}, DAY(XT!U35), DAY(XT!Y35), DAY(XT!AC35), DAY(XT!AG35)), MATCH(1, INDEX(--(MONTH(CHOOSE({1,2,3,4}, XT!U35,XT!Y35,XT!AC35,XT!AG35))=12), 0), 0)), "")</f>
        <v/>
      </c>
      <c r="AU35" s="51" t="str">
        <f>IF(XT!$P35&gt;0,AT35,"")</f>
        <v/>
      </c>
      <c r="AV35" s="51" t="str">
        <f>IF(XT!$P35=0,AT35,"")</f>
        <v/>
      </c>
    </row>
    <row r="36" spans="1:48">
      <c r="A36">
        <f>SUMPRODUCT((MONTH(CHOOSE({1,2,3,4},XT!U36,XT!Y36,XT!AC36,XT!AG36))=1)*(CHOOSE({1,2,3,4},XT!X36,XT!AB36,XT!AF36,XT!AJ36)))</f>
        <v>0</v>
      </c>
      <c r="B36">
        <f>IFERROR(INDEX(CHOOSE({1,2,3,4}, DAY(XT!U36), DAY(XT!Y36), DAY(XT!AC36), DAY(XT!AG36)), MATCH(1, INDEX(--(MONTH(CHOOSE({1,2,3,4}, XT!U36,XT!Y36,XT!AC36,XT!AG36))=1), 0), 0)), "")</f>
        <v>0</v>
      </c>
      <c r="C36" s="51" t="str">
        <f>IF(XT!$P36&gt;0,B36,"")</f>
        <v/>
      </c>
      <c r="D36" s="51">
        <f>IF(XT!$P36=0,B36,"")</f>
        <v>0</v>
      </c>
      <c r="E36">
        <f>SUMPRODUCT((MONTH(CHOOSE({1,2,3,4},XT!U36,XT!Y36,XT!AC36,XT!AG36))=2)*(CHOOSE({1,2,3,4},XT!X36,XT!AB36,XT!AF36,XT!AJ36)))</f>
        <v>0</v>
      </c>
      <c r="F36" t="str">
        <f>IFERROR(INDEX(CHOOSE({1,2,3,4}, DAY(XT!U36), DAY(XT!Y36), DAY(XT!AC36), DAY(XT!AG36)), MATCH(1, INDEX(--(MONTH(CHOOSE({1,2,3,4}, XT!U36,XT!Y36,XT!AC36,XT!AG36))=2), 0), 0)), "")</f>
        <v/>
      </c>
      <c r="G36" s="51" t="str">
        <f>IF(XT!$P36&gt;0,F36,"")</f>
        <v/>
      </c>
      <c r="H36" s="51" t="str">
        <f>IF(XT!$P36=0,F36,"")</f>
        <v/>
      </c>
      <c r="I36">
        <f>SUMPRODUCT((MONTH(CHOOSE({1,2,3,4},XT!U36,XT!Y36,XT!AC36,XT!AG36))=3)*(CHOOSE({1,2,3,4},XT!X36,XT!AB36,XT!AF36,XT!AJ36)))</f>
        <v>0</v>
      </c>
      <c r="J36" t="str">
        <f>IFERROR(INDEX(CHOOSE({1,2,3,4}, DAY(XT!U36), DAY(XT!Y36), DAY(XT!AC36), DAY(XT!AG36)), MATCH(1, INDEX(--(MONTH(CHOOSE({1,2,3,4}, XT!U36,XT!Y36,XT!AC36,XT!AG36))=3), 0), 0)), "")</f>
        <v/>
      </c>
      <c r="K36" s="51" t="str">
        <f>IF(XT!$P36&gt;0,J36,"")</f>
        <v/>
      </c>
      <c r="L36" s="51" t="str">
        <f>IF(XT!$P36=0,J36,"")</f>
        <v/>
      </c>
      <c r="M36">
        <f>SUMPRODUCT((MONTH(CHOOSE({1,2,3,4},XT!U36,XT!Y36,XT!AC36,XT!AG36))=4)*(CHOOSE({1,2,3,4},XT!X36,XT!AB36,XT!AF36,XT!AJ36)))</f>
        <v>0</v>
      </c>
      <c r="N36" t="str">
        <f>IFERROR(INDEX(CHOOSE({1,2,3,4}, DAY(XT!U36), DAY(XT!Y36), DAY(XT!AC36), DAY(XT!AG36)), MATCH(1, INDEX(--(MONTH(CHOOSE({1,2,3,4}, XT!U36,XT!Y36,XT!AC36,XT!AG36))=4), 0), 0)), "")</f>
        <v/>
      </c>
      <c r="O36" s="51" t="str">
        <f>IF(XT!$P36&gt;0,N36,"")</f>
        <v/>
      </c>
      <c r="P36" s="51" t="str">
        <f>IF(XT!$P36=0,N36,"")</f>
        <v/>
      </c>
      <c r="Q36">
        <f>SUMPRODUCT((MONTH(CHOOSE({1,2,3,4},XT!U36,XT!Y36,XT!AC36,XT!AG36))=5)*(CHOOSE({1,2,3,4},XT!X36,XT!AB36,XT!AF36,XT!AJ36)))</f>
        <v>0</v>
      </c>
      <c r="R36" t="str">
        <f>IFERROR(INDEX(CHOOSE({1,2,3,4}, DAY(XT!U36), DAY(XT!Y36), DAY(XT!AC36), DAY(XT!AG36)), MATCH(1, INDEX(--(MONTH(CHOOSE({1,2,3,4}, XT!U36,XT!Y36,XT!AC36,XT!AG36))=5), 0), 0)), "")</f>
        <v/>
      </c>
      <c r="S36" s="51" t="str">
        <f>IF(XT!$P36&gt;0,R36,"")</f>
        <v/>
      </c>
      <c r="T36" s="51" t="str">
        <f>IF(XT!$P36=0,R36,"")</f>
        <v/>
      </c>
      <c r="U36">
        <f>SUMPRODUCT((MONTH(CHOOSE({1,2,3,4},XT!U36,XT!Y36,XT!AC36,XT!AG36))=6)*(CHOOSE({1,2,3,4},XT!X36,XT!AB36,XT!AF36,XT!AJ36)))</f>
        <v>0</v>
      </c>
      <c r="V36" t="str">
        <f>IFERROR(INDEX(CHOOSE({1,2,3,4}, DAY(XT!U36), DAY(XT!Y36), DAY(XT!AC36), DAY(XT!AG36)), MATCH(1, INDEX(--(MONTH(CHOOSE({1,2,3,4}, XT!U36,XT!Y36,XT!AC36,XT!AG36))=6), 0), 0)), "")</f>
        <v/>
      </c>
      <c r="W36" s="51" t="str">
        <f>IF(XT!$P36&gt;0,V36,"")</f>
        <v/>
      </c>
      <c r="X36" s="51" t="str">
        <f>IF(XT!$P36=0,V36,"")</f>
        <v/>
      </c>
      <c r="Y36">
        <f>SUMPRODUCT((MONTH(CHOOSE({1,2,3,4},XT!U36,XT!Y36,XT!AC36,XT!AG36))=7)*(CHOOSE({1,2,3,4},XT!X36,XT!AB36,XT!AF36,XT!AJ36)))</f>
        <v>0</v>
      </c>
      <c r="Z36" t="str">
        <f>IFERROR(INDEX(CHOOSE({1,2,3,4}, DAY(XT!U36), DAY(XT!Y36), DAY(XT!AC36), DAY(XT!AG36)), MATCH(1, INDEX(--(MONTH(CHOOSE({1,2,3,4}, XT!U36,XT!Y36,XT!AC36,XT!AG36))=7), 0), 0)), "")</f>
        <v/>
      </c>
      <c r="AA36" s="51" t="str">
        <f>IF(XT!$P36&gt;0,Z36,"")</f>
        <v/>
      </c>
      <c r="AB36" s="51" t="str">
        <f>IF(XT!$P36=0,Z36,"")</f>
        <v/>
      </c>
      <c r="AC36">
        <f>SUMPRODUCT((MONTH(CHOOSE({1,2,3,4},XT!U36,XT!Y36,XT!AC36,XT!AG36))=8)*(CHOOSE({1,2,3,4},XT!X36,XT!AB36,XT!AF36,XT!AJ36)))</f>
        <v>0</v>
      </c>
      <c r="AD36" t="str">
        <f>IFERROR(INDEX(CHOOSE({1,2,3,4}, DAY(XT!U36), DAY(XT!Y36), DAY(XT!AC36), DAY(XT!AG36)), MATCH(1, INDEX(--(MONTH(CHOOSE({1,2,3,4}, XT!U36,XT!Y36,XT!AC36,XT!AG36))=8), 0), 0)), "")</f>
        <v/>
      </c>
      <c r="AE36" s="51" t="str">
        <f>IF(XT!$P36&gt;0,AD36,"")</f>
        <v/>
      </c>
      <c r="AF36" s="51" t="str">
        <f>IF(XT!$P36=0,AD36,"")</f>
        <v/>
      </c>
      <c r="AG36">
        <f>SUMPRODUCT((MONTH(CHOOSE({1,2,3,4},XT!U36,XT!Y36,XT!AC36,XT!AG36))=9)*(CHOOSE({1,2,3,4},XT!X36,XT!AB36,XT!AF36,XT!AJ36)))</f>
        <v>0</v>
      </c>
      <c r="AH36" t="str">
        <f>IFERROR(INDEX(CHOOSE({1,2,3,4}, DAY(XT!U36), DAY(XT!Y36), DAY(XT!AC36), DAY(XT!AG36)), MATCH(1, INDEX(--(MONTH(CHOOSE({1,2,3,4}, XT!U36,XT!Y36,XT!AC36,XT!AG36))=9), 0), 0)), "")</f>
        <v/>
      </c>
      <c r="AI36" s="51" t="str">
        <f>IF(XT!$P36&gt;0,AH36,"")</f>
        <v/>
      </c>
      <c r="AJ36" s="51" t="str">
        <f>IF(XT!$P36=0,AH36,"")</f>
        <v/>
      </c>
      <c r="AK36">
        <f>SUMPRODUCT((MONTH(CHOOSE({1,2,3,4},XT!U36,XT!Y36,XT!AC36,XT!AG36))=10)*(CHOOSE({1,2,3,4},XT!X36,XT!AB36,XT!AF36,XT!AJ36)))</f>
        <v>0</v>
      </c>
      <c r="AL36" t="str">
        <f>IFERROR(INDEX(CHOOSE({1,2,3,4}, DAY(XT!U36), DAY(XT!Y36), DAY(XT!AC36), DAY(XT!AG36)), MATCH(1, INDEX(--(MONTH(CHOOSE({1,2,3,4}, XT!U36,XT!Y36,XT!AC36,XT!AG36))=10), 0), 0)), "")</f>
        <v/>
      </c>
      <c r="AM36" s="51" t="str">
        <f>IF(XT!$P36&gt;0,AL36,"")</f>
        <v/>
      </c>
      <c r="AN36" s="51" t="str">
        <f>IF(XT!$P36=0,AL36,"")</f>
        <v/>
      </c>
      <c r="AO36">
        <f>SUMPRODUCT((MONTH(CHOOSE({1,2,3,4},XT!U36,XT!Y36,XT!AC36,XT!AG36))=11)*(CHOOSE({1,2,3,4},XT!X36,XT!AB36,XT!AF36,XT!AJ36)))</f>
        <v>0</v>
      </c>
      <c r="AP36" t="str">
        <f>IFERROR(INDEX(CHOOSE({1,2,3,4}, DAY(XT!U36), DAY(XT!Y36), DAY(XT!AC36), DAY(XT!AG36)), MATCH(1, INDEX(--(MONTH(CHOOSE({1,2,3,4}, XT!U36,XT!Y36,XT!AC36,XT!AG36))=11), 0), 0)), "")</f>
        <v/>
      </c>
      <c r="AQ36" s="51" t="str">
        <f>IF(XT!$P36&gt;0,AP36,"")</f>
        <v/>
      </c>
      <c r="AR36" s="51" t="str">
        <f>IF(XT!$P36=0,AP36,"")</f>
        <v/>
      </c>
      <c r="AS36">
        <f>SUMPRODUCT((MONTH(CHOOSE({1,2,3,4},XT!U36,XT!Y36,XT!AC36,XT!AG36))=12)*(CHOOSE({1,2,3,4},XT!X36,XT!AB36,XT!AF36,XT!AJ36)))</f>
        <v>0</v>
      </c>
      <c r="AT36" t="str">
        <f>IFERROR(INDEX(CHOOSE({1,2,3,4}, DAY(XT!U36), DAY(XT!Y36), DAY(XT!AC36), DAY(XT!AG36)), MATCH(1, INDEX(--(MONTH(CHOOSE({1,2,3,4}, XT!U36,XT!Y36,XT!AC36,XT!AG36))=12), 0), 0)), "")</f>
        <v/>
      </c>
      <c r="AU36" s="51" t="str">
        <f>IF(XT!$P36&gt;0,AT36,"")</f>
        <v/>
      </c>
      <c r="AV36" s="51" t="str">
        <f>IF(XT!$P36=0,AT36,"")</f>
        <v/>
      </c>
    </row>
    <row r="37" spans="1:48">
      <c r="A37">
        <f>SUMPRODUCT((MONTH(CHOOSE({1,2,3,4},XT!U37,XT!Y37,XT!AC37,XT!AG37))=1)*(CHOOSE({1,2,3,4},XT!X37,XT!AB37,XT!AF37,XT!AJ37)))</f>
        <v>0</v>
      </c>
      <c r="B37">
        <f>IFERROR(INDEX(CHOOSE({1,2,3,4}, DAY(XT!U37), DAY(XT!Y37), DAY(XT!AC37), DAY(XT!AG37)), MATCH(1, INDEX(--(MONTH(CHOOSE({1,2,3,4}, XT!U37,XT!Y37,XT!AC37,XT!AG37))=1), 0), 0)), "")</f>
        <v>0</v>
      </c>
      <c r="C37" s="51" t="str">
        <f>IF(XT!$P37&gt;0,B37,"")</f>
        <v/>
      </c>
      <c r="D37" s="51">
        <f>IF(XT!$P37=0,B37,"")</f>
        <v>0</v>
      </c>
      <c r="E37">
        <f>SUMPRODUCT((MONTH(CHOOSE({1,2,3,4},XT!U37,XT!Y37,XT!AC37,XT!AG37))=2)*(CHOOSE({1,2,3,4},XT!X37,XT!AB37,XT!AF37,XT!AJ37)))</f>
        <v>0</v>
      </c>
      <c r="F37" t="str">
        <f>IFERROR(INDEX(CHOOSE({1,2,3,4}, DAY(XT!U37), DAY(XT!Y37), DAY(XT!AC37), DAY(XT!AG37)), MATCH(1, INDEX(--(MONTH(CHOOSE({1,2,3,4}, XT!U37,XT!Y37,XT!AC37,XT!AG37))=2), 0), 0)), "")</f>
        <v/>
      </c>
      <c r="G37" s="51" t="str">
        <f>IF(XT!$P37&gt;0,F37,"")</f>
        <v/>
      </c>
      <c r="H37" s="51" t="str">
        <f>IF(XT!$P37=0,F37,"")</f>
        <v/>
      </c>
      <c r="I37">
        <f>SUMPRODUCT((MONTH(CHOOSE({1,2,3,4},XT!U37,XT!Y37,XT!AC37,XT!AG37))=3)*(CHOOSE({1,2,3,4},XT!X37,XT!AB37,XT!AF37,XT!AJ37)))</f>
        <v>0</v>
      </c>
      <c r="J37" t="str">
        <f>IFERROR(INDEX(CHOOSE({1,2,3,4}, DAY(XT!U37), DAY(XT!Y37), DAY(XT!AC37), DAY(XT!AG37)), MATCH(1, INDEX(--(MONTH(CHOOSE({1,2,3,4}, XT!U37,XT!Y37,XT!AC37,XT!AG37))=3), 0), 0)), "")</f>
        <v/>
      </c>
      <c r="K37" s="51" t="str">
        <f>IF(XT!$P37&gt;0,J37,"")</f>
        <v/>
      </c>
      <c r="L37" s="51" t="str">
        <f>IF(XT!$P37=0,J37,"")</f>
        <v/>
      </c>
      <c r="M37">
        <f>SUMPRODUCT((MONTH(CHOOSE({1,2,3,4},XT!U37,XT!Y37,XT!AC37,XT!AG37))=4)*(CHOOSE({1,2,3,4},XT!X37,XT!AB37,XT!AF37,XT!AJ37)))</f>
        <v>0</v>
      </c>
      <c r="N37" t="str">
        <f>IFERROR(INDEX(CHOOSE({1,2,3,4}, DAY(XT!U37), DAY(XT!Y37), DAY(XT!AC37), DAY(XT!AG37)), MATCH(1, INDEX(--(MONTH(CHOOSE({1,2,3,4}, XT!U37,XT!Y37,XT!AC37,XT!AG37))=4), 0), 0)), "")</f>
        <v/>
      </c>
      <c r="O37" s="51" t="str">
        <f>IF(XT!$P37&gt;0,N37,"")</f>
        <v/>
      </c>
      <c r="P37" s="51" t="str">
        <f>IF(XT!$P37=0,N37,"")</f>
        <v/>
      </c>
      <c r="Q37">
        <f>SUMPRODUCT((MONTH(CHOOSE({1,2,3,4},XT!U37,XT!Y37,XT!AC37,XT!AG37))=5)*(CHOOSE({1,2,3,4},XT!X37,XT!AB37,XT!AF37,XT!AJ37)))</f>
        <v>0</v>
      </c>
      <c r="R37" t="str">
        <f>IFERROR(INDEX(CHOOSE({1,2,3,4}, DAY(XT!U37), DAY(XT!Y37), DAY(XT!AC37), DAY(XT!AG37)), MATCH(1, INDEX(--(MONTH(CHOOSE({1,2,3,4}, XT!U37,XT!Y37,XT!AC37,XT!AG37))=5), 0), 0)), "")</f>
        <v/>
      </c>
      <c r="S37" s="51" t="str">
        <f>IF(XT!$P37&gt;0,R37,"")</f>
        <v/>
      </c>
      <c r="T37" s="51" t="str">
        <f>IF(XT!$P37=0,R37,"")</f>
        <v/>
      </c>
      <c r="U37">
        <f>SUMPRODUCT((MONTH(CHOOSE({1,2,3,4},XT!U37,XT!Y37,XT!AC37,XT!AG37))=6)*(CHOOSE({1,2,3,4},XT!X37,XT!AB37,XT!AF37,XT!AJ37)))</f>
        <v>0</v>
      </c>
      <c r="V37" t="str">
        <f>IFERROR(INDEX(CHOOSE({1,2,3,4}, DAY(XT!U37), DAY(XT!Y37), DAY(XT!AC37), DAY(XT!AG37)), MATCH(1, INDEX(--(MONTH(CHOOSE({1,2,3,4}, XT!U37,XT!Y37,XT!AC37,XT!AG37))=6), 0), 0)), "")</f>
        <v/>
      </c>
      <c r="W37" s="51" t="str">
        <f>IF(XT!$P37&gt;0,V37,"")</f>
        <v/>
      </c>
      <c r="X37" s="51" t="str">
        <f>IF(XT!$P37=0,V37,"")</f>
        <v/>
      </c>
      <c r="Y37">
        <f>SUMPRODUCT((MONTH(CHOOSE({1,2,3,4},XT!U37,XT!Y37,XT!AC37,XT!AG37))=7)*(CHOOSE({1,2,3,4},XT!X37,XT!AB37,XT!AF37,XT!AJ37)))</f>
        <v>0</v>
      </c>
      <c r="Z37" t="str">
        <f>IFERROR(INDEX(CHOOSE({1,2,3,4}, DAY(XT!U37), DAY(XT!Y37), DAY(XT!AC37), DAY(XT!AG37)), MATCH(1, INDEX(--(MONTH(CHOOSE({1,2,3,4}, XT!U37,XT!Y37,XT!AC37,XT!AG37))=7), 0), 0)), "")</f>
        <v/>
      </c>
      <c r="AA37" s="51" t="str">
        <f>IF(XT!$P37&gt;0,Z37,"")</f>
        <v/>
      </c>
      <c r="AB37" s="51" t="str">
        <f>IF(XT!$P37=0,Z37,"")</f>
        <v/>
      </c>
      <c r="AC37">
        <f>SUMPRODUCT((MONTH(CHOOSE({1,2,3,4},XT!U37,XT!Y37,XT!AC37,XT!AG37))=8)*(CHOOSE({1,2,3,4},XT!X37,XT!AB37,XT!AF37,XT!AJ37)))</f>
        <v>0</v>
      </c>
      <c r="AD37" t="str">
        <f>IFERROR(INDEX(CHOOSE({1,2,3,4}, DAY(XT!U37), DAY(XT!Y37), DAY(XT!AC37), DAY(XT!AG37)), MATCH(1, INDEX(--(MONTH(CHOOSE({1,2,3,4}, XT!U37,XT!Y37,XT!AC37,XT!AG37))=8), 0), 0)), "")</f>
        <v/>
      </c>
      <c r="AE37" s="51" t="str">
        <f>IF(XT!$P37&gt;0,AD37,"")</f>
        <v/>
      </c>
      <c r="AF37" s="51" t="str">
        <f>IF(XT!$P37=0,AD37,"")</f>
        <v/>
      </c>
      <c r="AG37">
        <f>SUMPRODUCT((MONTH(CHOOSE({1,2,3,4},XT!U37,XT!Y37,XT!AC37,XT!AG37))=9)*(CHOOSE({1,2,3,4},XT!X37,XT!AB37,XT!AF37,XT!AJ37)))</f>
        <v>0</v>
      </c>
      <c r="AH37" t="str">
        <f>IFERROR(INDEX(CHOOSE({1,2,3,4}, DAY(XT!U37), DAY(XT!Y37), DAY(XT!AC37), DAY(XT!AG37)), MATCH(1, INDEX(--(MONTH(CHOOSE({1,2,3,4}, XT!U37,XT!Y37,XT!AC37,XT!AG37))=9), 0), 0)), "")</f>
        <v/>
      </c>
      <c r="AI37" s="51" t="str">
        <f>IF(XT!$P37&gt;0,AH37,"")</f>
        <v/>
      </c>
      <c r="AJ37" s="51" t="str">
        <f>IF(XT!$P37=0,AH37,"")</f>
        <v/>
      </c>
      <c r="AK37">
        <f>SUMPRODUCT((MONTH(CHOOSE({1,2,3,4},XT!U37,XT!Y37,XT!AC37,XT!AG37))=10)*(CHOOSE({1,2,3,4},XT!X37,XT!AB37,XT!AF37,XT!AJ37)))</f>
        <v>0</v>
      </c>
      <c r="AL37" t="str">
        <f>IFERROR(INDEX(CHOOSE({1,2,3,4}, DAY(XT!U37), DAY(XT!Y37), DAY(XT!AC37), DAY(XT!AG37)), MATCH(1, INDEX(--(MONTH(CHOOSE({1,2,3,4}, XT!U37,XT!Y37,XT!AC37,XT!AG37))=10), 0), 0)), "")</f>
        <v/>
      </c>
      <c r="AM37" s="51" t="str">
        <f>IF(XT!$P37&gt;0,AL37,"")</f>
        <v/>
      </c>
      <c r="AN37" s="51" t="str">
        <f>IF(XT!$P37=0,AL37,"")</f>
        <v/>
      </c>
      <c r="AO37">
        <f>SUMPRODUCT((MONTH(CHOOSE({1,2,3,4},XT!U37,XT!Y37,XT!AC37,XT!AG37))=11)*(CHOOSE({1,2,3,4},XT!X37,XT!AB37,XT!AF37,XT!AJ37)))</f>
        <v>0</v>
      </c>
      <c r="AP37" t="str">
        <f>IFERROR(INDEX(CHOOSE({1,2,3,4}, DAY(XT!U37), DAY(XT!Y37), DAY(XT!AC37), DAY(XT!AG37)), MATCH(1, INDEX(--(MONTH(CHOOSE({1,2,3,4}, XT!U37,XT!Y37,XT!AC37,XT!AG37))=11), 0), 0)), "")</f>
        <v/>
      </c>
      <c r="AQ37" s="51" t="str">
        <f>IF(XT!$P37&gt;0,AP37,"")</f>
        <v/>
      </c>
      <c r="AR37" s="51" t="str">
        <f>IF(XT!$P37=0,AP37,"")</f>
        <v/>
      </c>
      <c r="AS37">
        <f>SUMPRODUCT((MONTH(CHOOSE({1,2,3,4},XT!U37,XT!Y37,XT!AC37,XT!AG37))=12)*(CHOOSE({1,2,3,4},XT!X37,XT!AB37,XT!AF37,XT!AJ37)))</f>
        <v>0</v>
      </c>
      <c r="AT37" t="str">
        <f>IFERROR(INDEX(CHOOSE({1,2,3,4}, DAY(XT!U37), DAY(XT!Y37), DAY(XT!AC37), DAY(XT!AG37)), MATCH(1, INDEX(--(MONTH(CHOOSE({1,2,3,4}, XT!U37,XT!Y37,XT!AC37,XT!AG37))=12), 0), 0)), "")</f>
        <v/>
      </c>
      <c r="AU37" s="51" t="str">
        <f>IF(XT!$P37&gt;0,AT37,"")</f>
        <v/>
      </c>
      <c r="AV37" s="51" t="str">
        <f>IF(XT!$P37=0,AT37,"")</f>
        <v/>
      </c>
    </row>
    <row r="38" spans="1:48">
      <c r="A38">
        <f>SUMPRODUCT((MONTH(CHOOSE({1,2,3,4},XT!U38,XT!Y38,XT!AC38,XT!AG38))=1)*(CHOOSE({1,2,3,4},XT!X38,XT!AB38,XT!AF38,XT!AJ38)))</f>
        <v>0</v>
      </c>
      <c r="B38">
        <f>IFERROR(INDEX(CHOOSE({1,2,3,4}, DAY(XT!U38), DAY(XT!Y38), DAY(XT!AC38), DAY(XT!AG38)), MATCH(1, INDEX(--(MONTH(CHOOSE({1,2,3,4}, XT!U38,XT!Y38,XT!AC38,XT!AG38))=1), 0), 0)), "")</f>
        <v>0</v>
      </c>
      <c r="C38" s="51" t="str">
        <f>IF(XT!$P38&gt;0,B38,"")</f>
        <v/>
      </c>
      <c r="D38" s="51">
        <f>IF(XT!$P38=0,B38,"")</f>
        <v>0</v>
      </c>
      <c r="E38">
        <f>SUMPRODUCT((MONTH(CHOOSE({1,2,3,4},XT!U38,XT!Y38,XT!AC38,XT!AG38))=2)*(CHOOSE({1,2,3,4},XT!X38,XT!AB38,XT!AF38,XT!AJ38)))</f>
        <v>0</v>
      </c>
      <c r="F38" t="str">
        <f>IFERROR(INDEX(CHOOSE({1,2,3,4}, DAY(XT!U38), DAY(XT!Y38), DAY(XT!AC38), DAY(XT!AG38)), MATCH(1, INDEX(--(MONTH(CHOOSE({1,2,3,4}, XT!U38,XT!Y38,XT!AC38,XT!AG38))=2), 0), 0)), "")</f>
        <v/>
      </c>
      <c r="G38" s="51" t="str">
        <f>IF(XT!$P38&gt;0,F38,"")</f>
        <v/>
      </c>
      <c r="H38" s="51" t="str">
        <f>IF(XT!$P38=0,F38,"")</f>
        <v/>
      </c>
      <c r="I38">
        <f>SUMPRODUCT((MONTH(CHOOSE({1,2,3,4},XT!U38,XT!Y38,XT!AC38,XT!AG38))=3)*(CHOOSE({1,2,3,4},XT!X38,XT!AB38,XT!AF38,XT!AJ38)))</f>
        <v>0</v>
      </c>
      <c r="J38" t="str">
        <f>IFERROR(INDEX(CHOOSE({1,2,3,4}, DAY(XT!U38), DAY(XT!Y38), DAY(XT!AC38), DAY(XT!AG38)), MATCH(1, INDEX(--(MONTH(CHOOSE({1,2,3,4}, XT!U38,XT!Y38,XT!AC38,XT!AG38))=3), 0), 0)), "")</f>
        <v/>
      </c>
      <c r="K38" s="51" t="str">
        <f>IF(XT!$P38&gt;0,J38,"")</f>
        <v/>
      </c>
      <c r="L38" s="51" t="str">
        <f>IF(XT!$P38=0,J38,"")</f>
        <v/>
      </c>
      <c r="M38">
        <f>SUMPRODUCT((MONTH(CHOOSE({1,2,3,4},XT!U38,XT!Y38,XT!AC38,XT!AG38))=4)*(CHOOSE({1,2,3,4},XT!X38,XT!AB38,XT!AF38,XT!AJ38)))</f>
        <v>0</v>
      </c>
      <c r="N38" t="str">
        <f>IFERROR(INDEX(CHOOSE({1,2,3,4}, DAY(XT!U38), DAY(XT!Y38), DAY(XT!AC38), DAY(XT!AG38)), MATCH(1, INDEX(--(MONTH(CHOOSE({1,2,3,4}, XT!U38,XT!Y38,XT!AC38,XT!AG38))=4), 0), 0)), "")</f>
        <v/>
      </c>
      <c r="O38" s="51" t="str">
        <f>IF(XT!$P38&gt;0,N38,"")</f>
        <v/>
      </c>
      <c r="P38" s="51" t="str">
        <f>IF(XT!$P38=0,N38,"")</f>
        <v/>
      </c>
      <c r="Q38">
        <f>SUMPRODUCT((MONTH(CHOOSE({1,2,3,4},XT!U38,XT!Y38,XT!AC38,XT!AG38))=5)*(CHOOSE({1,2,3,4},XT!X38,XT!AB38,XT!AF38,XT!AJ38)))</f>
        <v>0</v>
      </c>
      <c r="R38" t="str">
        <f>IFERROR(INDEX(CHOOSE({1,2,3,4}, DAY(XT!U38), DAY(XT!Y38), DAY(XT!AC38), DAY(XT!AG38)), MATCH(1, INDEX(--(MONTH(CHOOSE({1,2,3,4}, XT!U38,XT!Y38,XT!AC38,XT!AG38))=5), 0), 0)), "")</f>
        <v/>
      </c>
      <c r="S38" s="51" t="str">
        <f>IF(XT!$P38&gt;0,R38,"")</f>
        <v/>
      </c>
      <c r="T38" s="51" t="str">
        <f>IF(XT!$P38=0,R38,"")</f>
        <v/>
      </c>
      <c r="U38">
        <f>SUMPRODUCT((MONTH(CHOOSE({1,2,3,4},XT!U38,XT!Y38,XT!AC38,XT!AG38))=6)*(CHOOSE({1,2,3,4},XT!X38,XT!AB38,XT!AF38,XT!AJ38)))</f>
        <v>0</v>
      </c>
      <c r="V38" t="str">
        <f>IFERROR(INDEX(CHOOSE({1,2,3,4}, DAY(XT!U38), DAY(XT!Y38), DAY(XT!AC38), DAY(XT!AG38)), MATCH(1, INDEX(--(MONTH(CHOOSE({1,2,3,4}, XT!U38,XT!Y38,XT!AC38,XT!AG38))=6), 0), 0)), "")</f>
        <v/>
      </c>
      <c r="W38" s="51" t="str">
        <f>IF(XT!$P38&gt;0,V38,"")</f>
        <v/>
      </c>
      <c r="X38" s="51" t="str">
        <f>IF(XT!$P38=0,V38,"")</f>
        <v/>
      </c>
      <c r="Y38">
        <f>SUMPRODUCT((MONTH(CHOOSE({1,2,3,4},XT!U38,XT!Y38,XT!AC38,XT!AG38))=7)*(CHOOSE({1,2,3,4},XT!X38,XT!AB38,XT!AF38,XT!AJ38)))</f>
        <v>0</v>
      </c>
      <c r="Z38" t="str">
        <f>IFERROR(INDEX(CHOOSE({1,2,3,4}, DAY(XT!U38), DAY(XT!Y38), DAY(XT!AC38), DAY(XT!AG38)), MATCH(1, INDEX(--(MONTH(CHOOSE({1,2,3,4}, XT!U38,XT!Y38,XT!AC38,XT!AG38))=7), 0), 0)), "")</f>
        <v/>
      </c>
      <c r="AA38" s="51" t="str">
        <f>IF(XT!$P38&gt;0,Z38,"")</f>
        <v/>
      </c>
      <c r="AB38" s="51" t="str">
        <f>IF(XT!$P38=0,Z38,"")</f>
        <v/>
      </c>
      <c r="AC38">
        <f>SUMPRODUCT((MONTH(CHOOSE({1,2,3,4},XT!U38,XT!Y38,XT!AC38,XT!AG38))=8)*(CHOOSE({1,2,3,4},XT!X38,XT!AB38,XT!AF38,XT!AJ38)))</f>
        <v>0</v>
      </c>
      <c r="AD38" t="str">
        <f>IFERROR(INDEX(CHOOSE({1,2,3,4}, DAY(XT!U38), DAY(XT!Y38), DAY(XT!AC38), DAY(XT!AG38)), MATCH(1, INDEX(--(MONTH(CHOOSE({1,2,3,4}, XT!U38,XT!Y38,XT!AC38,XT!AG38))=8), 0), 0)), "")</f>
        <v/>
      </c>
      <c r="AE38" s="51" t="str">
        <f>IF(XT!$P38&gt;0,AD38,"")</f>
        <v/>
      </c>
      <c r="AF38" s="51" t="str">
        <f>IF(XT!$P38=0,AD38,"")</f>
        <v/>
      </c>
      <c r="AG38">
        <f>SUMPRODUCT((MONTH(CHOOSE({1,2,3,4},XT!U38,XT!Y38,XT!AC38,XT!AG38))=9)*(CHOOSE({1,2,3,4},XT!X38,XT!AB38,XT!AF38,XT!AJ38)))</f>
        <v>0</v>
      </c>
      <c r="AH38" t="str">
        <f>IFERROR(INDEX(CHOOSE({1,2,3,4}, DAY(XT!U38), DAY(XT!Y38), DAY(XT!AC38), DAY(XT!AG38)), MATCH(1, INDEX(--(MONTH(CHOOSE({1,2,3,4}, XT!U38,XT!Y38,XT!AC38,XT!AG38))=9), 0), 0)), "")</f>
        <v/>
      </c>
      <c r="AI38" s="51" t="str">
        <f>IF(XT!$P38&gt;0,AH38,"")</f>
        <v/>
      </c>
      <c r="AJ38" s="51" t="str">
        <f>IF(XT!$P38=0,AH38,"")</f>
        <v/>
      </c>
      <c r="AK38">
        <f>SUMPRODUCT((MONTH(CHOOSE({1,2,3,4},XT!U38,XT!Y38,XT!AC38,XT!AG38))=10)*(CHOOSE({1,2,3,4},XT!X38,XT!AB38,XT!AF38,XT!AJ38)))</f>
        <v>0</v>
      </c>
      <c r="AL38" t="str">
        <f>IFERROR(INDEX(CHOOSE({1,2,3,4}, DAY(XT!U38), DAY(XT!Y38), DAY(XT!AC38), DAY(XT!AG38)), MATCH(1, INDEX(--(MONTH(CHOOSE({1,2,3,4}, XT!U38,XT!Y38,XT!AC38,XT!AG38))=10), 0), 0)), "")</f>
        <v/>
      </c>
      <c r="AM38" s="51" t="str">
        <f>IF(XT!$P38&gt;0,AL38,"")</f>
        <v/>
      </c>
      <c r="AN38" s="51" t="str">
        <f>IF(XT!$P38=0,AL38,"")</f>
        <v/>
      </c>
      <c r="AO38">
        <f>SUMPRODUCT((MONTH(CHOOSE({1,2,3,4},XT!U38,XT!Y38,XT!AC38,XT!AG38))=11)*(CHOOSE({1,2,3,4},XT!X38,XT!AB38,XT!AF38,XT!AJ38)))</f>
        <v>0</v>
      </c>
      <c r="AP38" t="str">
        <f>IFERROR(INDEX(CHOOSE({1,2,3,4}, DAY(XT!U38), DAY(XT!Y38), DAY(XT!AC38), DAY(XT!AG38)), MATCH(1, INDEX(--(MONTH(CHOOSE({1,2,3,4}, XT!U38,XT!Y38,XT!AC38,XT!AG38))=11), 0), 0)), "")</f>
        <v/>
      </c>
      <c r="AQ38" s="51" t="str">
        <f>IF(XT!$P38&gt;0,AP38,"")</f>
        <v/>
      </c>
      <c r="AR38" s="51" t="str">
        <f>IF(XT!$P38=0,AP38,"")</f>
        <v/>
      </c>
      <c r="AS38">
        <f>SUMPRODUCT((MONTH(CHOOSE({1,2,3,4},XT!U38,XT!Y38,XT!AC38,XT!AG38))=12)*(CHOOSE({1,2,3,4},XT!X38,XT!AB38,XT!AF38,XT!AJ38)))</f>
        <v>0</v>
      </c>
      <c r="AT38" t="str">
        <f>IFERROR(INDEX(CHOOSE({1,2,3,4}, DAY(XT!U38), DAY(XT!Y38), DAY(XT!AC38), DAY(XT!AG38)), MATCH(1, INDEX(--(MONTH(CHOOSE({1,2,3,4}, XT!U38,XT!Y38,XT!AC38,XT!AG38))=12), 0), 0)), "")</f>
        <v/>
      </c>
      <c r="AU38" s="51" t="str">
        <f>IF(XT!$P38&gt;0,AT38,"")</f>
        <v/>
      </c>
      <c r="AV38" s="51" t="str">
        <f>IF(XT!$P38=0,AT38,"")</f>
        <v/>
      </c>
    </row>
    <row r="39" spans="1:48">
      <c r="A39">
        <f>SUMPRODUCT((MONTH(CHOOSE({1,2,3,4},XT!U39,XT!Y39,XT!AC39,XT!AG39))=1)*(CHOOSE({1,2,3,4},XT!X39,XT!AB39,XT!AF39,XT!AJ39)))</f>
        <v>0</v>
      </c>
      <c r="B39">
        <f>IFERROR(INDEX(CHOOSE({1,2,3,4}, DAY(XT!U39), DAY(XT!Y39), DAY(XT!AC39), DAY(XT!AG39)), MATCH(1, INDEX(--(MONTH(CHOOSE({1,2,3,4}, XT!U39,XT!Y39,XT!AC39,XT!AG39))=1), 0), 0)), "")</f>
        <v>0</v>
      </c>
      <c r="C39" s="51" t="str">
        <f>IF(XT!$P39&gt;0,B39,"")</f>
        <v/>
      </c>
      <c r="D39" s="51">
        <f>IF(XT!$P39=0,B39,"")</f>
        <v>0</v>
      </c>
      <c r="E39">
        <f>SUMPRODUCT((MONTH(CHOOSE({1,2,3,4},XT!U39,XT!Y39,XT!AC39,XT!AG39))=2)*(CHOOSE({1,2,3,4},XT!X39,XT!AB39,XT!AF39,XT!AJ39)))</f>
        <v>0</v>
      </c>
      <c r="F39" t="str">
        <f>IFERROR(INDEX(CHOOSE({1,2,3,4}, DAY(XT!U39), DAY(XT!Y39), DAY(XT!AC39), DAY(XT!AG39)), MATCH(1, INDEX(--(MONTH(CHOOSE({1,2,3,4}, XT!U39,XT!Y39,XT!AC39,XT!AG39))=2), 0), 0)), "")</f>
        <v/>
      </c>
      <c r="G39" s="51" t="str">
        <f>IF(XT!$P39&gt;0,F39,"")</f>
        <v/>
      </c>
      <c r="H39" s="51" t="str">
        <f>IF(XT!$P39=0,F39,"")</f>
        <v/>
      </c>
      <c r="I39">
        <f>SUMPRODUCT((MONTH(CHOOSE({1,2,3,4},XT!U39,XT!Y39,XT!AC39,XT!AG39))=3)*(CHOOSE({1,2,3,4},XT!X39,XT!AB39,XT!AF39,XT!AJ39)))</f>
        <v>0</v>
      </c>
      <c r="J39" t="str">
        <f>IFERROR(INDEX(CHOOSE({1,2,3,4}, DAY(XT!U39), DAY(XT!Y39), DAY(XT!AC39), DAY(XT!AG39)), MATCH(1, INDEX(--(MONTH(CHOOSE({1,2,3,4}, XT!U39,XT!Y39,XT!AC39,XT!AG39))=3), 0), 0)), "")</f>
        <v/>
      </c>
      <c r="K39" s="51" t="str">
        <f>IF(XT!$P39&gt;0,J39,"")</f>
        <v/>
      </c>
      <c r="L39" s="51" t="str">
        <f>IF(XT!$P39=0,J39,"")</f>
        <v/>
      </c>
      <c r="M39">
        <f>SUMPRODUCT((MONTH(CHOOSE({1,2,3,4},XT!U39,XT!Y39,XT!AC39,XT!AG39))=4)*(CHOOSE({1,2,3,4},XT!X39,XT!AB39,XT!AF39,XT!AJ39)))</f>
        <v>0</v>
      </c>
      <c r="N39" t="str">
        <f>IFERROR(INDEX(CHOOSE({1,2,3,4}, DAY(XT!U39), DAY(XT!Y39), DAY(XT!AC39), DAY(XT!AG39)), MATCH(1, INDEX(--(MONTH(CHOOSE({1,2,3,4}, XT!U39,XT!Y39,XT!AC39,XT!AG39))=4), 0), 0)), "")</f>
        <v/>
      </c>
      <c r="O39" s="51" t="str">
        <f>IF(XT!$P39&gt;0,N39,"")</f>
        <v/>
      </c>
      <c r="P39" s="51" t="str">
        <f>IF(XT!$P39=0,N39,"")</f>
        <v/>
      </c>
      <c r="Q39">
        <f>SUMPRODUCT((MONTH(CHOOSE({1,2,3,4},XT!U39,XT!Y39,XT!AC39,XT!AG39))=5)*(CHOOSE({1,2,3,4},XT!X39,XT!AB39,XT!AF39,XT!AJ39)))</f>
        <v>0</v>
      </c>
      <c r="R39" t="str">
        <f>IFERROR(INDEX(CHOOSE({1,2,3,4}, DAY(XT!U39), DAY(XT!Y39), DAY(XT!AC39), DAY(XT!AG39)), MATCH(1, INDEX(--(MONTH(CHOOSE({1,2,3,4}, XT!U39,XT!Y39,XT!AC39,XT!AG39))=5), 0), 0)), "")</f>
        <v/>
      </c>
      <c r="S39" s="51" t="str">
        <f>IF(XT!$P39&gt;0,R39,"")</f>
        <v/>
      </c>
      <c r="T39" s="51" t="str">
        <f>IF(XT!$P39=0,R39,"")</f>
        <v/>
      </c>
      <c r="U39">
        <f>SUMPRODUCT((MONTH(CHOOSE({1,2,3,4},XT!U39,XT!Y39,XT!AC39,XT!AG39))=6)*(CHOOSE({1,2,3,4},XT!X39,XT!AB39,XT!AF39,XT!AJ39)))</f>
        <v>0</v>
      </c>
      <c r="V39" t="str">
        <f>IFERROR(INDEX(CHOOSE({1,2,3,4}, DAY(XT!U39), DAY(XT!Y39), DAY(XT!AC39), DAY(XT!AG39)), MATCH(1, INDEX(--(MONTH(CHOOSE({1,2,3,4}, XT!U39,XT!Y39,XT!AC39,XT!AG39))=6), 0), 0)), "")</f>
        <v/>
      </c>
      <c r="W39" s="51" t="str">
        <f>IF(XT!$P39&gt;0,V39,"")</f>
        <v/>
      </c>
      <c r="X39" s="51" t="str">
        <f>IF(XT!$P39=0,V39,"")</f>
        <v/>
      </c>
      <c r="Y39">
        <f>SUMPRODUCT((MONTH(CHOOSE({1,2,3,4},XT!U39,XT!Y39,XT!AC39,XT!AG39))=7)*(CHOOSE({1,2,3,4},XT!X39,XT!AB39,XT!AF39,XT!AJ39)))</f>
        <v>0</v>
      </c>
      <c r="Z39" t="str">
        <f>IFERROR(INDEX(CHOOSE({1,2,3,4}, DAY(XT!U39), DAY(XT!Y39), DAY(XT!AC39), DAY(XT!AG39)), MATCH(1, INDEX(--(MONTH(CHOOSE({1,2,3,4}, XT!U39,XT!Y39,XT!AC39,XT!AG39))=7), 0), 0)), "")</f>
        <v/>
      </c>
      <c r="AA39" s="51" t="str">
        <f>IF(XT!$P39&gt;0,Z39,"")</f>
        <v/>
      </c>
      <c r="AB39" s="51" t="str">
        <f>IF(XT!$P39=0,Z39,"")</f>
        <v/>
      </c>
      <c r="AC39">
        <f>SUMPRODUCT((MONTH(CHOOSE({1,2,3,4},XT!U39,XT!Y39,XT!AC39,XT!AG39))=8)*(CHOOSE({1,2,3,4},XT!X39,XT!AB39,XT!AF39,XT!AJ39)))</f>
        <v>0</v>
      </c>
      <c r="AD39" t="str">
        <f>IFERROR(INDEX(CHOOSE({1,2,3,4}, DAY(XT!U39), DAY(XT!Y39), DAY(XT!AC39), DAY(XT!AG39)), MATCH(1, INDEX(--(MONTH(CHOOSE({1,2,3,4}, XT!U39,XT!Y39,XT!AC39,XT!AG39))=8), 0), 0)), "")</f>
        <v/>
      </c>
      <c r="AE39" s="51" t="str">
        <f>IF(XT!$P39&gt;0,AD39,"")</f>
        <v/>
      </c>
      <c r="AF39" s="51" t="str">
        <f>IF(XT!$P39=0,AD39,"")</f>
        <v/>
      </c>
      <c r="AG39">
        <f>SUMPRODUCT((MONTH(CHOOSE({1,2,3,4},XT!U39,XT!Y39,XT!AC39,XT!AG39))=9)*(CHOOSE({1,2,3,4},XT!X39,XT!AB39,XT!AF39,XT!AJ39)))</f>
        <v>0</v>
      </c>
      <c r="AH39" t="str">
        <f>IFERROR(INDEX(CHOOSE({1,2,3,4}, DAY(XT!U39), DAY(XT!Y39), DAY(XT!AC39), DAY(XT!AG39)), MATCH(1, INDEX(--(MONTH(CHOOSE({1,2,3,4}, XT!U39,XT!Y39,XT!AC39,XT!AG39))=9), 0), 0)), "")</f>
        <v/>
      </c>
      <c r="AI39" s="51" t="str">
        <f>IF(XT!$P39&gt;0,AH39,"")</f>
        <v/>
      </c>
      <c r="AJ39" s="51" t="str">
        <f>IF(XT!$P39=0,AH39,"")</f>
        <v/>
      </c>
      <c r="AK39">
        <f>SUMPRODUCT((MONTH(CHOOSE({1,2,3,4},XT!U39,XT!Y39,XT!AC39,XT!AG39))=10)*(CHOOSE({1,2,3,4},XT!X39,XT!AB39,XT!AF39,XT!AJ39)))</f>
        <v>0</v>
      </c>
      <c r="AL39" t="str">
        <f>IFERROR(INDEX(CHOOSE({1,2,3,4}, DAY(XT!U39), DAY(XT!Y39), DAY(XT!AC39), DAY(XT!AG39)), MATCH(1, INDEX(--(MONTH(CHOOSE({1,2,3,4}, XT!U39,XT!Y39,XT!AC39,XT!AG39))=10), 0), 0)), "")</f>
        <v/>
      </c>
      <c r="AM39" s="51" t="str">
        <f>IF(XT!$P39&gt;0,AL39,"")</f>
        <v/>
      </c>
      <c r="AN39" s="51" t="str">
        <f>IF(XT!$P39=0,AL39,"")</f>
        <v/>
      </c>
      <c r="AO39">
        <f>SUMPRODUCT((MONTH(CHOOSE({1,2,3,4},XT!U39,XT!Y39,XT!AC39,XT!AG39))=11)*(CHOOSE({1,2,3,4},XT!X39,XT!AB39,XT!AF39,XT!AJ39)))</f>
        <v>0</v>
      </c>
      <c r="AP39" t="str">
        <f>IFERROR(INDEX(CHOOSE({1,2,3,4}, DAY(XT!U39), DAY(XT!Y39), DAY(XT!AC39), DAY(XT!AG39)), MATCH(1, INDEX(--(MONTH(CHOOSE({1,2,3,4}, XT!U39,XT!Y39,XT!AC39,XT!AG39))=11), 0), 0)), "")</f>
        <v/>
      </c>
      <c r="AQ39" s="51" t="str">
        <f>IF(XT!$P39&gt;0,AP39,"")</f>
        <v/>
      </c>
      <c r="AR39" s="51" t="str">
        <f>IF(XT!$P39=0,AP39,"")</f>
        <v/>
      </c>
      <c r="AS39">
        <f>SUMPRODUCT((MONTH(CHOOSE({1,2,3,4},XT!U39,XT!Y39,XT!AC39,XT!AG39))=12)*(CHOOSE({1,2,3,4},XT!X39,XT!AB39,XT!AF39,XT!AJ39)))</f>
        <v>0</v>
      </c>
      <c r="AT39" t="str">
        <f>IFERROR(INDEX(CHOOSE({1,2,3,4}, DAY(XT!U39), DAY(XT!Y39), DAY(XT!AC39), DAY(XT!AG39)), MATCH(1, INDEX(--(MONTH(CHOOSE({1,2,3,4}, XT!U39,XT!Y39,XT!AC39,XT!AG39))=12), 0), 0)), "")</f>
        <v/>
      </c>
      <c r="AU39" s="51" t="str">
        <f>IF(XT!$P39&gt;0,AT39,"")</f>
        <v/>
      </c>
      <c r="AV39" s="51" t="str">
        <f>IF(XT!$P39=0,AT39,"")</f>
        <v/>
      </c>
    </row>
    <row r="40" spans="1:48">
      <c r="A40">
        <f>SUMPRODUCT((MONTH(CHOOSE({1,2,3,4},XT!U40,XT!Y40,XT!AC40,XT!AG40))=1)*(CHOOSE({1,2,3,4},XT!X40,XT!AB40,XT!AF40,XT!AJ40)))</f>
        <v>0</v>
      </c>
      <c r="B40">
        <f>IFERROR(INDEX(CHOOSE({1,2,3,4}, DAY(XT!U40), DAY(XT!Y40), DAY(XT!AC40), DAY(XT!AG40)), MATCH(1, INDEX(--(MONTH(CHOOSE({1,2,3,4}, XT!U40,XT!Y40,XT!AC40,XT!AG40))=1), 0), 0)), "")</f>
        <v>0</v>
      </c>
      <c r="C40" s="51" t="str">
        <f>IF(XT!$P40&gt;0,B40,"")</f>
        <v/>
      </c>
      <c r="D40" s="51">
        <f>IF(XT!$P40=0,B40,"")</f>
        <v>0</v>
      </c>
      <c r="E40">
        <f>SUMPRODUCT((MONTH(CHOOSE({1,2,3,4},XT!U40,XT!Y40,XT!AC40,XT!AG40))=2)*(CHOOSE({1,2,3,4},XT!X40,XT!AB40,XT!AF40,XT!AJ40)))</f>
        <v>0</v>
      </c>
      <c r="F40" t="str">
        <f>IFERROR(INDEX(CHOOSE({1,2,3,4}, DAY(XT!U40), DAY(XT!Y40), DAY(XT!AC40), DAY(XT!AG40)), MATCH(1, INDEX(--(MONTH(CHOOSE({1,2,3,4}, XT!U40,XT!Y40,XT!AC40,XT!AG40))=2), 0), 0)), "")</f>
        <v/>
      </c>
      <c r="G40" s="51" t="str">
        <f>IF(XT!$P40&gt;0,F40,"")</f>
        <v/>
      </c>
      <c r="H40" s="51" t="str">
        <f>IF(XT!$P40=0,F40,"")</f>
        <v/>
      </c>
      <c r="I40">
        <f>SUMPRODUCT((MONTH(CHOOSE({1,2,3,4},XT!U40,XT!Y40,XT!AC40,XT!AG40))=3)*(CHOOSE({1,2,3,4},XT!X40,XT!AB40,XT!AF40,XT!AJ40)))</f>
        <v>0</v>
      </c>
      <c r="J40" t="str">
        <f>IFERROR(INDEX(CHOOSE({1,2,3,4}, DAY(XT!U40), DAY(XT!Y40), DAY(XT!AC40), DAY(XT!AG40)), MATCH(1, INDEX(--(MONTH(CHOOSE({1,2,3,4}, XT!U40,XT!Y40,XT!AC40,XT!AG40))=3), 0), 0)), "")</f>
        <v/>
      </c>
      <c r="K40" s="51" t="str">
        <f>IF(XT!$P40&gt;0,J40,"")</f>
        <v/>
      </c>
      <c r="L40" s="51" t="str">
        <f>IF(XT!$P40=0,J40,"")</f>
        <v/>
      </c>
      <c r="M40">
        <f>SUMPRODUCT((MONTH(CHOOSE({1,2,3,4},XT!U40,XT!Y40,XT!AC40,XT!AG40))=4)*(CHOOSE({1,2,3,4},XT!X40,XT!AB40,XT!AF40,XT!AJ40)))</f>
        <v>0</v>
      </c>
      <c r="N40" t="str">
        <f>IFERROR(INDEX(CHOOSE({1,2,3,4}, DAY(XT!U40), DAY(XT!Y40), DAY(XT!AC40), DAY(XT!AG40)), MATCH(1, INDEX(--(MONTH(CHOOSE({1,2,3,4}, XT!U40,XT!Y40,XT!AC40,XT!AG40))=4), 0), 0)), "")</f>
        <v/>
      </c>
      <c r="O40" s="51" t="str">
        <f>IF(XT!$P40&gt;0,N40,"")</f>
        <v/>
      </c>
      <c r="P40" s="51" t="str">
        <f>IF(XT!$P40=0,N40,"")</f>
        <v/>
      </c>
      <c r="Q40">
        <f>SUMPRODUCT((MONTH(CHOOSE({1,2,3,4},XT!U40,XT!Y40,XT!AC40,XT!AG40))=5)*(CHOOSE({1,2,3,4},XT!X40,XT!AB40,XT!AF40,XT!AJ40)))</f>
        <v>0</v>
      </c>
      <c r="R40" t="str">
        <f>IFERROR(INDEX(CHOOSE({1,2,3,4}, DAY(XT!U40), DAY(XT!Y40), DAY(XT!AC40), DAY(XT!AG40)), MATCH(1, INDEX(--(MONTH(CHOOSE({1,2,3,4}, XT!U40,XT!Y40,XT!AC40,XT!AG40))=5), 0), 0)), "")</f>
        <v/>
      </c>
      <c r="S40" s="51" t="str">
        <f>IF(XT!$P40&gt;0,R40,"")</f>
        <v/>
      </c>
      <c r="T40" s="51" t="str">
        <f>IF(XT!$P40=0,R40,"")</f>
        <v/>
      </c>
      <c r="U40">
        <f>SUMPRODUCT((MONTH(CHOOSE({1,2,3,4},XT!U40,XT!Y40,XT!AC40,XT!AG40))=6)*(CHOOSE({1,2,3,4},XT!X40,XT!AB40,XT!AF40,XT!AJ40)))</f>
        <v>0</v>
      </c>
      <c r="V40" t="str">
        <f>IFERROR(INDEX(CHOOSE({1,2,3,4}, DAY(XT!U40), DAY(XT!Y40), DAY(XT!AC40), DAY(XT!AG40)), MATCH(1, INDEX(--(MONTH(CHOOSE({1,2,3,4}, XT!U40,XT!Y40,XT!AC40,XT!AG40))=6), 0), 0)), "")</f>
        <v/>
      </c>
      <c r="W40" s="51" t="str">
        <f>IF(XT!$P40&gt;0,V40,"")</f>
        <v/>
      </c>
      <c r="X40" s="51" t="str">
        <f>IF(XT!$P40=0,V40,"")</f>
        <v/>
      </c>
      <c r="Y40">
        <f>SUMPRODUCT((MONTH(CHOOSE({1,2,3,4},XT!U40,XT!Y40,XT!AC40,XT!AG40))=7)*(CHOOSE({1,2,3,4},XT!X40,XT!AB40,XT!AF40,XT!AJ40)))</f>
        <v>0</v>
      </c>
      <c r="Z40" t="str">
        <f>IFERROR(INDEX(CHOOSE({1,2,3,4}, DAY(XT!U40), DAY(XT!Y40), DAY(XT!AC40), DAY(XT!AG40)), MATCH(1, INDEX(--(MONTH(CHOOSE({1,2,3,4}, XT!U40,XT!Y40,XT!AC40,XT!AG40))=7), 0), 0)), "")</f>
        <v/>
      </c>
      <c r="AA40" s="51" t="str">
        <f>IF(XT!$P40&gt;0,Z40,"")</f>
        <v/>
      </c>
      <c r="AB40" s="51" t="str">
        <f>IF(XT!$P40=0,Z40,"")</f>
        <v/>
      </c>
      <c r="AC40">
        <f>SUMPRODUCT((MONTH(CHOOSE({1,2,3,4},XT!U40,XT!Y40,XT!AC40,XT!AG40))=8)*(CHOOSE({1,2,3,4},XT!X40,XT!AB40,XT!AF40,XT!AJ40)))</f>
        <v>0</v>
      </c>
      <c r="AD40" t="str">
        <f>IFERROR(INDEX(CHOOSE({1,2,3,4}, DAY(XT!U40), DAY(XT!Y40), DAY(XT!AC40), DAY(XT!AG40)), MATCH(1, INDEX(--(MONTH(CHOOSE({1,2,3,4}, XT!U40,XT!Y40,XT!AC40,XT!AG40))=8), 0), 0)), "")</f>
        <v/>
      </c>
      <c r="AE40" s="51" t="str">
        <f>IF(XT!$P40&gt;0,AD40,"")</f>
        <v/>
      </c>
      <c r="AF40" s="51" t="str">
        <f>IF(XT!$P40=0,AD40,"")</f>
        <v/>
      </c>
      <c r="AG40">
        <f>SUMPRODUCT((MONTH(CHOOSE({1,2,3,4},XT!U40,XT!Y40,XT!AC40,XT!AG40))=9)*(CHOOSE({1,2,3,4},XT!X40,XT!AB40,XT!AF40,XT!AJ40)))</f>
        <v>0</v>
      </c>
      <c r="AH40" t="str">
        <f>IFERROR(INDEX(CHOOSE({1,2,3,4}, DAY(XT!U40), DAY(XT!Y40), DAY(XT!AC40), DAY(XT!AG40)), MATCH(1, INDEX(--(MONTH(CHOOSE({1,2,3,4}, XT!U40,XT!Y40,XT!AC40,XT!AG40))=9), 0), 0)), "")</f>
        <v/>
      </c>
      <c r="AI40" s="51" t="str">
        <f>IF(XT!$P40&gt;0,AH40,"")</f>
        <v/>
      </c>
      <c r="AJ40" s="51" t="str">
        <f>IF(XT!$P40=0,AH40,"")</f>
        <v/>
      </c>
      <c r="AK40">
        <f>SUMPRODUCT((MONTH(CHOOSE({1,2,3,4},XT!U40,XT!Y40,XT!AC40,XT!AG40))=10)*(CHOOSE({1,2,3,4},XT!X40,XT!AB40,XT!AF40,XT!AJ40)))</f>
        <v>0</v>
      </c>
      <c r="AL40" t="str">
        <f>IFERROR(INDEX(CHOOSE({1,2,3,4}, DAY(XT!U40), DAY(XT!Y40), DAY(XT!AC40), DAY(XT!AG40)), MATCH(1, INDEX(--(MONTH(CHOOSE({1,2,3,4}, XT!U40,XT!Y40,XT!AC40,XT!AG40))=10), 0), 0)), "")</f>
        <v/>
      </c>
      <c r="AM40" s="51" t="str">
        <f>IF(XT!$P40&gt;0,AL40,"")</f>
        <v/>
      </c>
      <c r="AN40" s="51" t="str">
        <f>IF(XT!$P40=0,AL40,"")</f>
        <v/>
      </c>
      <c r="AO40">
        <f>SUMPRODUCT((MONTH(CHOOSE({1,2,3,4},XT!U40,XT!Y40,XT!AC40,XT!AG40))=11)*(CHOOSE({1,2,3,4},XT!X40,XT!AB40,XT!AF40,XT!AJ40)))</f>
        <v>0</v>
      </c>
      <c r="AP40" t="str">
        <f>IFERROR(INDEX(CHOOSE({1,2,3,4}, DAY(XT!U40), DAY(XT!Y40), DAY(XT!AC40), DAY(XT!AG40)), MATCH(1, INDEX(--(MONTH(CHOOSE({1,2,3,4}, XT!U40,XT!Y40,XT!AC40,XT!AG40))=11), 0), 0)), "")</f>
        <v/>
      </c>
      <c r="AQ40" s="51" t="str">
        <f>IF(XT!$P40&gt;0,AP40,"")</f>
        <v/>
      </c>
      <c r="AR40" s="51" t="str">
        <f>IF(XT!$P40=0,AP40,"")</f>
        <v/>
      </c>
      <c r="AS40">
        <f>SUMPRODUCT((MONTH(CHOOSE({1,2,3,4},XT!U40,XT!Y40,XT!AC40,XT!AG40))=12)*(CHOOSE({1,2,3,4},XT!X40,XT!AB40,XT!AF40,XT!AJ40)))</f>
        <v>0</v>
      </c>
      <c r="AT40" t="str">
        <f>IFERROR(INDEX(CHOOSE({1,2,3,4}, DAY(XT!U40), DAY(XT!Y40), DAY(XT!AC40), DAY(XT!AG40)), MATCH(1, INDEX(--(MONTH(CHOOSE({1,2,3,4}, XT!U40,XT!Y40,XT!AC40,XT!AG40))=12), 0), 0)), "")</f>
        <v/>
      </c>
      <c r="AU40" s="51" t="str">
        <f>IF(XT!$P40&gt;0,AT40,"")</f>
        <v/>
      </c>
      <c r="AV40" s="51" t="str">
        <f>IF(XT!$P40=0,AT40,"")</f>
        <v/>
      </c>
    </row>
    <row r="41" spans="1:48">
      <c r="A41">
        <f>SUMPRODUCT((MONTH(CHOOSE({1,2,3,4},XT!U41,XT!Y41,XT!AC41,XT!AG41))=1)*(CHOOSE({1,2,3,4},XT!X41,XT!AB41,XT!AF41,XT!AJ41)))</f>
        <v>0</v>
      </c>
      <c r="B41">
        <f>IFERROR(INDEX(CHOOSE({1,2,3,4}, DAY(XT!U41), DAY(XT!Y41), DAY(XT!AC41), DAY(XT!AG41)), MATCH(1, INDEX(--(MONTH(CHOOSE({1,2,3,4}, XT!U41,XT!Y41,XT!AC41,XT!AG41))=1), 0), 0)), "")</f>
        <v>0</v>
      </c>
      <c r="C41" s="51" t="str">
        <f>IF(XT!$P41&gt;0,B41,"")</f>
        <v/>
      </c>
      <c r="D41" s="51">
        <f>IF(XT!$P41=0,B41,"")</f>
        <v>0</v>
      </c>
      <c r="E41">
        <f>SUMPRODUCT((MONTH(CHOOSE({1,2,3,4},XT!U41,XT!Y41,XT!AC41,XT!AG41))=2)*(CHOOSE({1,2,3,4},XT!X41,XT!AB41,XT!AF41,XT!AJ41)))</f>
        <v>0</v>
      </c>
      <c r="F41" t="str">
        <f>IFERROR(INDEX(CHOOSE({1,2,3,4}, DAY(XT!U41), DAY(XT!Y41), DAY(XT!AC41), DAY(XT!AG41)), MATCH(1, INDEX(--(MONTH(CHOOSE({1,2,3,4}, XT!U41,XT!Y41,XT!AC41,XT!AG41))=2), 0), 0)), "")</f>
        <v/>
      </c>
      <c r="G41" s="51" t="str">
        <f>IF(XT!$P41&gt;0,F41,"")</f>
        <v/>
      </c>
      <c r="H41" s="51" t="str">
        <f>IF(XT!$P41=0,F41,"")</f>
        <v/>
      </c>
      <c r="I41">
        <f>SUMPRODUCT((MONTH(CHOOSE({1,2,3,4},XT!U41,XT!Y41,XT!AC41,XT!AG41))=3)*(CHOOSE({1,2,3,4},XT!X41,XT!AB41,XT!AF41,XT!AJ41)))</f>
        <v>0</v>
      </c>
      <c r="J41" t="str">
        <f>IFERROR(INDEX(CHOOSE({1,2,3,4}, DAY(XT!U41), DAY(XT!Y41), DAY(XT!AC41), DAY(XT!AG41)), MATCH(1, INDEX(--(MONTH(CHOOSE({1,2,3,4}, XT!U41,XT!Y41,XT!AC41,XT!AG41))=3), 0), 0)), "")</f>
        <v/>
      </c>
      <c r="K41" s="51" t="str">
        <f>IF(XT!$P41&gt;0,J41,"")</f>
        <v/>
      </c>
      <c r="L41" s="51" t="str">
        <f>IF(XT!$P41=0,J41,"")</f>
        <v/>
      </c>
      <c r="M41">
        <f>SUMPRODUCT((MONTH(CHOOSE({1,2,3,4},XT!U41,XT!Y41,XT!AC41,XT!AG41))=4)*(CHOOSE({1,2,3,4},XT!X41,XT!AB41,XT!AF41,XT!AJ41)))</f>
        <v>0</v>
      </c>
      <c r="N41" t="str">
        <f>IFERROR(INDEX(CHOOSE({1,2,3,4}, DAY(XT!U41), DAY(XT!Y41), DAY(XT!AC41), DAY(XT!AG41)), MATCH(1, INDEX(--(MONTH(CHOOSE({1,2,3,4}, XT!U41,XT!Y41,XT!AC41,XT!AG41))=4), 0), 0)), "")</f>
        <v/>
      </c>
      <c r="O41" s="51" t="str">
        <f>IF(XT!$P41&gt;0,N41,"")</f>
        <v/>
      </c>
      <c r="P41" s="51" t="str">
        <f>IF(XT!$P41=0,N41,"")</f>
        <v/>
      </c>
      <c r="Q41">
        <f>SUMPRODUCT((MONTH(CHOOSE({1,2,3,4},XT!U41,XT!Y41,XT!AC41,XT!AG41))=5)*(CHOOSE({1,2,3,4},XT!X41,XT!AB41,XT!AF41,XT!AJ41)))</f>
        <v>0</v>
      </c>
      <c r="R41" t="str">
        <f>IFERROR(INDEX(CHOOSE({1,2,3,4}, DAY(XT!U41), DAY(XT!Y41), DAY(XT!AC41), DAY(XT!AG41)), MATCH(1, INDEX(--(MONTH(CHOOSE({1,2,3,4}, XT!U41,XT!Y41,XT!AC41,XT!AG41))=5), 0), 0)), "")</f>
        <v/>
      </c>
      <c r="S41" s="51" t="str">
        <f>IF(XT!$P41&gt;0,R41,"")</f>
        <v/>
      </c>
      <c r="T41" s="51" t="str">
        <f>IF(XT!$P41=0,R41,"")</f>
        <v/>
      </c>
      <c r="U41">
        <f>SUMPRODUCT((MONTH(CHOOSE({1,2,3,4},XT!U41,XT!Y41,XT!AC41,XT!AG41))=6)*(CHOOSE({1,2,3,4},XT!X41,XT!AB41,XT!AF41,XT!AJ41)))</f>
        <v>0</v>
      </c>
      <c r="V41" t="str">
        <f>IFERROR(INDEX(CHOOSE({1,2,3,4}, DAY(XT!U41), DAY(XT!Y41), DAY(XT!AC41), DAY(XT!AG41)), MATCH(1, INDEX(--(MONTH(CHOOSE({1,2,3,4}, XT!U41,XT!Y41,XT!AC41,XT!AG41))=6), 0), 0)), "")</f>
        <v/>
      </c>
      <c r="W41" s="51" t="str">
        <f>IF(XT!$P41&gt;0,V41,"")</f>
        <v/>
      </c>
      <c r="X41" s="51" t="str">
        <f>IF(XT!$P41=0,V41,"")</f>
        <v/>
      </c>
      <c r="Y41">
        <f>SUMPRODUCT((MONTH(CHOOSE({1,2,3,4},XT!U41,XT!Y41,XT!AC41,XT!AG41))=7)*(CHOOSE({1,2,3,4},XT!X41,XT!AB41,XT!AF41,XT!AJ41)))</f>
        <v>0</v>
      </c>
      <c r="Z41" t="str">
        <f>IFERROR(INDEX(CHOOSE({1,2,3,4}, DAY(XT!U41), DAY(XT!Y41), DAY(XT!AC41), DAY(XT!AG41)), MATCH(1, INDEX(--(MONTH(CHOOSE({1,2,3,4}, XT!U41,XT!Y41,XT!AC41,XT!AG41))=7), 0), 0)), "")</f>
        <v/>
      </c>
      <c r="AA41" s="51" t="str">
        <f>IF(XT!$P41&gt;0,Z41,"")</f>
        <v/>
      </c>
      <c r="AB41" s="51" t="str">
        <f>IF(XT!$P41=0,Z41,"")</f>
        <v/>
      </c>
      <c r="AC41">
        <f>SUMPRODUCT((MONTH(CHOOSE({1,2,3,4},XT!U41,XT!Y41,XT!AC41,XT!AG41))=8)*(CHOOSE({1,2,3,4},XT!X41,XT!AB41,XT!AF41,XT!AJ41)))</f>
        <v>0</v>
      </c>
      <c r="AD41" t="str">
        <f>IFERROR(INDEX(CHOOSE({1,2,3,4}, DAY(XT!U41), DAY(XT!Y41), DAY(XT!AC41), DAY(XT!AG41)), MATCH(1, INDEX(--(MONTH(CHOOSE({1,2,3,4}, XT!U41,XT!Y41,XT!AC41,XT!AG41))=8), 0), 0)), "")</f>
        <v/>
      </c>
      <c r="AE41" s="51" t="str">
        <f>IF(XT!$P41&gt;0,AD41,"")</f>
        <v/>
      </c>
      <c r="AF41" s="51" t="str">
        <f>IF(XT!$P41=0,AD41,"")</f>
        <v/>
      </c>
      <c r="AG41">
        <f>SUMPRODUCT((MONTH(CHOOSE({1,2,3,4},XT!U41,XT!Y41,XT!AC41,XT!AG41))=9)*(CHOOSE({1,2,3,4},XT!X41,XT!AB41,XT!AF41,XT!AJ41)))</f>
        <v>0</v>
      </c>
      <c r="AH41" t="str">
        <f>IFERROR(INDEX(CHOOSE({1,2,3,4}, DAY(XT!U41), DAY(XT!Y41), DAY(XT!AC41), DAY(XT!AG41)), MATCH(1, INDEX(--(MONTH(CHOOSE({1,2,3,4}, XT!U41,XT!Y41,XT!AC41,XT!AG41))=9), 0), 0)), "")</f>
        <v/>
      </c>
      <c r="AI41" s="51" t="str">
        <f>IF(XT!$P41&gt;0,AH41,"")</f>
        <v/>
      </c>
      <c r="AJ41" s="51" t="str">
        <f>IF(XT!$P41=0,AH41,"")</f>
        <v/>
      </c>
      <c r="AK41">
        <f>SUMPRODUCT((MONTH(CHOOSE({1,2,3,4},XT!U41,XT!Y41,XT!AC41,XT!AG41))=10)*(CHOOSE({1,2,3,4},XT!X41,XT!AB41,XT!AF41,XT!AJ41)))</f>
        <v>0</v>
      </c>
      <c r="AL41" t="str">
        <f>IFERROR(INDEX(CHOOSE({1,2,3,4}, DAY(XT!U41), DAY(XT!Y41), DAY(XT!AC41), DAY(XT!AG41)), MATCH(1, INDEX(--(MONTH(CHOOSE({1,2,3,4}, XT!U41,XT!Y41,XT!AC41,XT!AG41))=10), 0), 0)), "")</f>
        <v/>
      </c>
      <c r="AM41" s="51" t="str">
        <f>IF(XT!$P41&gt;0,AL41,"")</f>
        <v/>
      </c>
      <c r="AN41" s="51" t="str">
        <f>IF(XT!$P41=0,AL41,"")</f>
        <v/>
      </c>
      <c r="AO41">
        <f>SUMPRODUCT((MONTH(CHOOSE({1,2,3,4},XT!U41,XT!Y41,XT!AC41,XT!AG41))=11)*(CHOOSE({1,2,3,4},XT!X41,XT!AB41,XT!AF41,XT!AJ41)))</f>
        <v>0</v>
      </c>
      <c r="AP41" t="str">
        <f>IFERROR(INDEX(CHOOSE({1,2,3,4}, DAY(XT!U41), DAY(XT!Y41), DAY(XT!AC41), DAY(XT!AG41)), MATCH(1, INDEX(--(MONTH(CHOOSE({1,2,3,4}, XT!U41,XT!Y41,XT!AC41,XT!AG41))=11), 0), 0)), "")</f>
        <v/>
      </c>
      <c r="AQ41" s="51" t="str">
        <f>IF(XT!$P41&gt;0,AP41,"")</f>
        <v/>
      </c>
      <c r="AR41" s="51" t="str">
        <f>IF(XT!$P41=0,AP41,"")</f>
        <v/>
      </c>
      <c r="AS41">
        <f>SUMPRODUCT((MONTH(CHOOSE({1,2,3,4},XT!U41,XT!Y41,XT!AC41,XT!AG41))=12)*(CHOOSE({1,2,3,4},XT!X41,XT!AB41,XT!AF41,XT!AJ41)))</f>
        <v>0</v>
      </c>
      <c r="AT41" t="str">
        <f>IFERROR(INDEX(CHOOSE({1,2,3,4}, DAY(XT!U41), DAY(XT!Y41), DAY(XT!AC41), DAY(XT!AG41)), MATCH(1, INDEX(--(MONTH(CHOOSE({1,2,3,4}, XT!U41,XT!Y41,XT!AC41,XT!AG41))=12), 0), 0)), "")</f>
        <v/>
      </c>
      <c r="AU41" s="51" t="str">
        <f>IF(XT!$P41&gt;0,AT41,"")</f>
        <v/>
      </c>
      <c r="AV41" s="51" t="str">
        <f>IF(XT!$P41=0,AT41,"")</f>
        <v/>
      </c>
    </row>
    <row r="42" spans="1:48">
      <c r="A42">
        <f>SUMPRODUCT((MONTH(CHOOSE({1,2,3,4},XT!U42,XT!Y42,XT!AC42,XT!AG42))=1)*(CHOOSE({1,2,3,4},XT!X42,XT!AB42,XT!AF42,XT!AJ42)))</f>
        <v>0</v>
      </c>
      <c r="B42">
        <f>IFERROR(INDEX(CHOOSE({1,2,3,4}, DAY(XT!U42), DAY(XT!Y42), DAY(XT!AC42), DAY(XT!AG42)), MATCH(1, INDEX(--(MONTH(CHOOSE({1,2,3,4}, XT!U42,XT!Y42,XT!AC42,XT!AG42))=1), 0), 0)), "")</f>
        <v>0</v>
      </c>
      <c r="C42" s="51" t="str">
        <f>IF(XT!$P42&gt;0,B42,"")</f>
        <v/>
      </c>
      <c r="D42" s="51">
        <f>IF(XT!$P42=0,B42,"")</f>
        <v>0</v>
      </c>
      <c r="E42">
        <f>SUMPRODUCT((MONTH(CHOOSE({1,2,3,4},XT!U42,XT!Y42,XT!AC42,XT!AG42))=2)*(CHOOSE({1,2,3,4},XT!X42,XT!AB42,XT!AF42,XT!AJ42)))</f>
        <v>0</v>
      </c>
      <c r="F42" t="str">
        <f>IFERROR(INDEX(CHOOSE({1,2,3,4}, DAY(XT!U42), DAY(XT!Y42), DAY(XT!AC42), DAY(XT!AG42)), MATCH(1, INDEX(--(MONTH(CHOOSE({1,2,3,4}, XT!U42,XT!Y42,XT!AC42,XT!AG42))=2), 0), 0)), "")</f>
        <v/>
      </c>
      <c r="G42" s="51" t="str">
        <f>IF(XT!$P42&gt;0,F42,"")</f>
        <v/>
      </c>
      <c r="H42" s="51" t="str">
        <f>IF(XT!$P42=0,F42,"")</f>
        <v/>
      </c>
      <c r="I42">
        <f>SUMPRODUCT((MONTH(CHOOSE({1,2,3,4},XT!U42,XT!Y42,XT!AC42,XT!AG42))=3)*(CHOOSE({1,2,3,4},XT!X42,XT!AB42,XT!AF42,XT!AJ42)))</f>
        <v>0</v>
      </c>
      <c r="J42" t="str">
        <f>IFERROR(INDEX(CHOOSE({1,2,3,4}, DAY(XT!U42), DAY(XT!Y42), DAY(XT!AC42), DAY(XT!AG42)), MATCH(1, INDEX(--(MONTH(CHOOSE({1,2,3,4}, XT!U42,XT!Y42,XT!AC42,XT!AG42))=3), 0), 0)), "")</f>
        <v/>
      </c>
      <c r="K42" s="51" t="str">
        <f>IF(XT!$P42&gt;0,J42,"")</f>
        <v/>
      </c>
      <c r="L42" s="51" t="str">
        <f>IF(XT!$P42=0,J42,"")</f>
        <v/>
      </c>
      <c r="M42">
        <f>SUMPRODUCT((MONTH(CHOOSE({1,2,3,4},XT!U42,XT!Y42,XT!AC42,XT!AG42))=4)*(CHOOSE({1,2,3,4},XT!X42,XT!AB42,XT!AF42,XT!AJ42)))</f>
        <v>0</v>
      </c>
      <c r="N42" t="str">
        <f>IFERROR(INDEX(CHOOSE({1,2,3,4}, DAY(XT!U42), DAY(XT!Y42), DAY(XT!AC42), DAY(XT!AG42)), MATCH(1, INDEX(--(MONTH(CHOOSE({1,2,3,4}, XT!U42,XT!Y42,XT!AC42,XT!AG42))=4), 0), 0)), "")</f>
        <v/>
      </c>
      <c r="O42" s="51" t="str">
        <f>IF(XT!$P42&gt;0,N42,"")</f>
        <v/>
      </c>
      <c r="P42" s="51" t="str">
        <f>IF(XT!$P42=0,N42,"")</f>
        <v/>
      </c>
      <c r="Q42">
        <f>SUMPRODUCT((MONTH(CHOOSE({1,2,3,4},XT!U42,XT!Y42,XT!AC42,XT!AG42))=5)*(CHOOSE({1,2,3,4},XT!X42,XT!AB42,XT!AF42,XT!AJ42)))</f>
        <v>0</v>
      </c>
      <c r="R42" t="str">
        <f>IFERROR(INDEX(CHOOSE({1,2,3,4}, DAY(XT!U42), DAY(XT!Y42), DAY(XT!AC42), DAY(XT!AG42)), MATCH(1, INDEX(--(MONTH(CHOOSE({1,2,3,4}, XT!U42,XT!Y42,XT!AC42,XT!AG42))=5), 0), 0)), "")</f>
        <v/>
      </c>
      <c r="S42" s="51" t="str">
        <f>IF(XT!$P42&gt;0,R42,"")</f>
        <v/>
      </c>
      <c r="T42" s="51" t="str">
        <f>IF(XT!$P42=0,R42,"")</f>
        <v/>
      </c>
      <c r="U42">
        <f>SUMPRODUCT((MONTH(CHOOSE({1,2,3,4},XT!U42,XT!Y42,XT!AC42,XT!AG42))=6)*(CHOOSE({1,2,3,4},XT!X42,XT!AB42,XT!AF42,XT!AJ42)))</f>
        <v>0</v>
      </c>
      <c r="V42" t="str">
        <f>IFERROR(INDEX(CHOOSE({1,2,3,4}, DAY(XT!U42), DAY(XT!Y42), DAY(XT!AC42), DAY(XT!AG42)), MATCH(1, INDEX(--(MONTH(CHOOSE({1,2,3,4}, XT!U42,XT!Y42,XT!AC42,XT!AG42))=6), 0), 0)), "")</f>
        <v/>
      </c>
      <c r="W42" s="51" t="str">
        <f>IF(XT!$P42&gt;0,V42,"")</f>
        <v/>
      </c>
      <c r="X42" s="51" t="str">
        <f>IF(XT!$P42=0,V42,"")</f>
        <v/>
      </c>
      <c r="Y42">
        <f>SUMPRODUCT((MONTH(CHOOSE({1,2,3,4},XT!U42,XT!Y42,XT!AC42,XT!AG42))=7)*(CHOOSE({1,2,3,4},XT!X42,XT!AB42,XT!AF42,XT!AJ42)))</f>
        <v>0</v>
      </c>
      <c r="Z42" t="str">
        <f>IFERROR(INDEX(CHOOSE({1,2,3,4}, DAY(XT!U42), DAY(XT!Y42), DAY(XT!AC42), DAY(XT!AG42)), MATCH(1, INDEX(--(MONTH(CHOOSE({1,2,3,4}, XT!U42,XT!Y42,XT!AC42,XT!AG42))=7), 0), 0)), "")</f>
        <v/>
      </c>
      <c r="AA42" s="51" t="str">
        <f>IF(XT!$P42&gt;0,Z42,"")</f>
        <v/>
      </c>
      <c r="AB42" s="51" t="str">
        <f>IF(XT!$P42=0,Z42,"")</f>
        <v/>
      </c>
      <c r="AC42">
        <f>SUMPRODUCT((MONTH(CHOOSE({1,2,3,4},XT!U42,XT!Y42,XT!AC42,XT!AG42))=8)*(CHOOSE({1,2,3,4},XT!X42,XT!AB42,XT!AF42,XT!AJ42)))</f>
        <v>0</v>
      </c>
      <c r="AD42" t="str">
        <f>IFERROR(INDEX(CHOOSE({1,2,3,4}, DAY(XT!U42), DAY(XT!Y42), DAY(XT!AC42), DAY(XT!AG42)), MATCH(1, INDEX(--(MONTH(CHOOSE({1,2,3,4}, XT!U42,XT!Y42,XT!AC42,XT!AG42))=8), 0), 0)), "")</f>
        <v/>
      </c>
      <c r="AE42" s="51" t="str">
        <f>IF(XT!$P42&gt;0,AD42,"")</f>
        <v/>
      </c>
      <c r="AF42" s="51" t="str">
        <f>IF(XT!$P42=0,AD42,"")</f>
        <v/>
      </c>
      <c r="AG42">
        <f>SUMPRODUCT((MONTH(CHOOSE({1,2,3,4},XT!U42,XT!Y42,XT!AC42,XT!AG42))=9)*(CHOOSE({1,2,3,4},XT!X42,XT!AB42,XT!AF42,XT!AJ42)))</f>
        <v>0</v>
      </c>
      <c r="AH42" t="str">
        <f>IFERROR(INDEX(CHOOSE({1,2,3,4}, DAY(XT!U42), DAY(XT!Y42), DAY(XT!AC42), DAY(XT!AG42)), MATCH(1, INDEX(--(MONTH(CHOOSE({1,2,3,4}, XT!U42,XT!Y42,XT!AC42,XT!AG42))=9), 0), 0)), "")</f>
        <v/>
      </c>
      <c r="AI42" s="51" t="str">
        <f>IF(XT!$P42&gt;0,AH42,"")</f>
        <v/>
      </c>
      <c r="AJ42" s="51" t="str">
        <f>IF(XT!$P42=0,AH42,"")</f>
        <v/>
      </c>
      <c r="AK42">
        <f>SUMPRODUCT((MONTH(CHOOSE({1,2,3,4},XT!U42,XT!Y42,XT!AC42,XT!AG42))=10)*(CHOOSE({1,2,3,4},XT!X42,XT!AB42,XT!AF42,XT!AJ42)))</f>
        <v>0</v>
      </c>
      <c r="AL42" t="str">
        <f>IFERROR(INDEX(CHOOSE({1,2,3,4}, DAY(XT!U42), DAY(XT!Y42), DAY(XT!AC42), DAY(XT!AG42)), MATCH(1, INDEX(--(MONTH(CHOOSE({1,2,3,4}, XT!U42,XT!Y42,XT!AC42,XT!AG42))=10), 0), 0)), "")</f>
        <v/>
      </c>
      <c r="AM42" s="51" t="str">
        <f>IF(XT!$P42&gt;0,AL42,"")</f>
        <v/>
      </c>
      <c r="AN42" s="51" t="str">
        <f>IF(XT!$P42=0,AL42,"")</f>
        <v/>
      </c>
      <c r="AO42">
        <f>SUMPRODUCT((MONTH(CHOOSE({1,2,3,4},XT!U42,XT!Y42,XT!AC42,XT!AG42))=11)*(CHOOSE({1,2,3,4},XT!X42,XT!AB42,XT!AF42,XT!AJ42)))</f>
        <v>0</v>
      </c>
      <c r="AP42" t="str">
        <f>IFERROR(INDEX(CHOOSE({1,2,3,4}, DAY(XT!U42), DAY(XT!Y42), DAY(XT!AC42), DAY(XT!AG42)), MATCH(1, INDEX(--(MONTH(CHOOSE({1,2,3,4}, XT!U42,XT!Y42,XT!AC42,XT!AG42))=11), 0), 0)), "")</f>
        <v/>
      </c>
      <c r="AQ42" s="51" t="str">
        <f>IF(XT!$P42&gt;0,AP42,"")</f>
        <v/>
      </c>
      <c r="AR42" s="51" t="str">
        <f>IF(XT!$P42=0,AP42,"")</f>
        <v/>
      </c>
      <c r="AS42">
        <f>SUMPRODUCT((MONTH(CHOOSE({1,2,3,4},XT!U42,XT!Y42,XT!AC42,XT!AG42))=12)*(CHOOSE({1,2,3,4},XT!X42,XT!AB42,XT!AF42,XT!AJ42)))</f>
        <v>0</v>
      </c>
      <c r="AT42" t="str">
        <f>IFERROR(INDEX(CHOOSE({1,2,3,4}, DAY(XT!U42), DAY(XT!Y42), DAY(XT!AC42), DAY(XT!AG42)), MATCH(1, INDEX(--(MONTH(CHOOSE({1,2,3,4}, XT!U42,XT!Y42,XT!AC42,XT!AG42))=12), 0), 0)), "")</f>
        <v/>
      </c>
      <c r="AU42" s="51" t="str">
        <f>IF(XT!$P42&gt;0,AT42,"")</f>
        <v/>
      </c>
      <c r="AV42" s="51" t="str">
        <f>IF(XT!$P42=0,AT42,"")</f>
        <v/>
      </c>
    </row>
    <row r="43" spans="1:48">
      <c r="A43">
        <f>SUMPRODUCT((MONTH(CHOOSE({1,2,3,4},XT!U43,XT!Y43,XT!AC43,XT!AG43))=1)*(CHOOSE({1,2,3,4},XT!X43,XT!AB43,XT!AF43,XT!AJ43)))</f>
        <v>0</v>
      </c>
      <c r="B43">
        <f>IFERROR(INDEX(CHOOSE({1,2,3,4}, DAY(XT!U43), DAY(XT!Y43), DAY(XT!AC43), DAY(XT!AG43)), MATCH(1, INDEX(--(MONTH(CHOOSE({1,2,3,4}, XT!U43,XT!Y43,XT!AC43,XT!AG43))=1), 0), 0)), "")</f>
        <v>0</v>
      </c>
      <c r="C43" s="51" t="str">
        <f>IF(XT!$P43&gt;0,B43,"")</f>
        <v/>
      </c>
      <c r="D43" s="51">
        <f>IF(XT!$P43=0,B43,"")</f>
        <v>0</v>
      </c>
      <c r="E43">
        <f>SUMPRODUCT((MONTH(CHOOSE({1,2,3,4},XT!U43,XT!Y43,XT!AC43,XT!AG43))=2)*(CHOOSE({1,2,3,4},XT!X43,XT!AB43,XT!AF43,XT!AJ43)))</f>
        <v>0</v>
      </c>
      <c r="F43" t="str">
        <f>IFERROR(INDEX(CHOOSE({1,2,3,4}, DAY(XT!U43), DAY(XT!Y43), DAY(XT!AC43), DAY(XT!AG43)), MATCH(1, INDEX(--(MONTH(CHOOSE({1,2,3,4}, XT!U43,XT!Y43,XT!AC43,XT!AG43))=2), 0), 0)), "")</f>
        <v/>
      </c>
      <c r="G43" s="51" t="str">
        <f>IF(XT!$P43&gt;0,F43,"")</f>
        <v/>
      </c>
      <c r="H43" s="51" t="str">
        <f>IF(XT!$P43=0,F43,"")</f>
        <v/>
      </c>
      <c r="I43">
        <f>SUMPRODUCT((MONTH(CHOOSE({1,2,3,4},XT!U43,XT!Y43,XT!AC43,XT!AG43))=3)*(CHOOSE({1,2,3,4},XT!X43,XT!AB43,XT!AF43,XT!AJ43)))</f>
        <v>0</v>
      </c>
      <c r="J43" t="str">
        <f>IFERROR(INDEX(CHOOSE({1,2,3,4}, DAY(XT!U43), DAY(XT!Y43), DAY(XT!AC43), DAY(XT!AG43)), MATCH(1, INDEX(--(MONTH(CHOOSE({1,2,3,4}, XT!U43,XT!Y43,XT!AC43,XT!AG43))=3), 0), 0)), "")</f>
        <v/>
      </c>
      <c r="K43" s="51" t="str">
        <f>IF(XT!$P43&gt;0,J43,"")</f>
        <v/>
      </c>
      <c r="L43" s="51" t="str">
        <f>IF(XT!$P43=0,J43,"")</f>
        <v/>
      </c>
      <c r="M43">
        <f>SUMPRODUCT((MONTH(CHOOSE({1,2,3,4},XT!U43,XT!Y43,XT!AC43,XT!AG43))=4)*(CHOOSE({1,2,3,4},XT!X43,XT!AB43,XT!AF43,XT!AJ43)))</f>
        <v>0</v>
      </c>
      <c r="N43" t="str">
        <f>IFERROR(INDEX(CHOOSE({1,2,3,4}, DAY(XT!U43), DAY(XT!Y43), DAY(XT!AC43), DAY(XT!AG43)), MATCH(1, INDEX(--(MONTH(CHOOSE({1,2,3,4}, XT!U43,XT!Y43,XT!AC43,XT!AG43))=4), 0), 0)), "")</f>
        <v/>
      </c>
      <c r="O43" s="51" t="str">
        <f>IF(XT!$P43&gt;0,N43,"")</f>
        <v/>
      </c>
      <c r="P43" s="51" t="str">
        <f>IF(XT!$P43=0,N43,"")</f>
        <v/>
      </c>
      <c r="Q43">
        <f>SUMPRODUCT((MONTH(CHOOSE({1,2,3,4},XT!U43,XT!Y43,XT!AC43,XT!AG43))=5)*(CHOOSE({1,2,3,4},XT!X43,XT!AB43,XT!AF43,XT!AJ43)))</f>
        <v>0</v>
      </c>
      <c r="R43" t="str">
        <f>IFERROR(INDEX(CHOOSE({1,2,3,4}, DAY(XT!U43), DAY(XT!Y43), DAY(XT!AC43), DAY(XT!AG43)), MATCH(1, INDEX(--(MONTH(CHOOSE({1,2,3,4}, XT!U43,XT!Y43,XT!AC43,XT!AG43))=5), 0), 0)), "")</f>
        <v/>
      </c>
      <c r="S43" s="51" t="str">
        <f>IF(XT!$P43&gt;0,R43,"")</f>
        <v/>
      </c>
      <c r="T43" s="51" t="str">
        <f>IF(XT!$P43=0,R43,"")</f>
        <v/>
      </c>
      <c r="U43">
        <f>SUMPRODUCT((MONTH(CHOOSE({1,2,3,4},XT!U43,XT!Y43,XT!AC43,XT!AG43))=6)*(CHOOSE({1,2,3,4},XT!X43,XT!AB43,XT!AF43,XT!AJ43)))</f>
        <v>0</v>
      </c>
      <c r="V43" t="str">
        <f>IFERROR(INDEX(CHOOSE({1,2,3,4}, DAY(XT!U43), DAY(XT!Y43), DAY(XT!AC43), DAY(XT!AG43)), MATCH(1, INDEX(--(MONTH(CHOOSE({1,2,3,4}, XT!U43,XT!Y43,XT!AC43,XT!AG43))=6), 0), 0)), "")</f>
        <v/>
      </c>
      <c r="W43" s="51" t="str">
        <f>IF(XT!$P43&gt;0,V43,"")</f>
        <v/>
      </c>
      <c r="X43" s="51" t="str">
        <f>IF(XT!$P43=0,V43,"")</f>
        <v/>
      </c>
      <c r="Y43">
        <f>SUMPRODUCT((MONTH(CHOOSE({1,2,3,4},XT!U43,XT!Y43,XT!AC43,XT!AG43))=7)*(CHOOSE({1,2,3,4},XT!X43,XT!AB43,XT!AF43,XT!AJ43)))</f>
        <v>0</v>
      </c>
      <c r="Z43" t="str">
        <f>IFERROR(INDEX(CHOOSE({1,2,3,4}, DAY(XT!U43), DAY(XT!Y43), DAY(XT!AC43), DAY(XT!AG43)), MATCH(1, INDEX(--(MONTH(CHOOSE({1,2,3,4}, XT!U43,XT!Y43,XT!AC43,XT!AG43))=7), 0), 0)), "")</f>
        <v/>
      </c>
      <c r="AA43" s="51" t="str">
        <f>IF(XT!$P43&gt;0,Z43,"")</f>
        <v/>
      </c>
      <c r="AB43" s="51" t="str">
        <f>IF(XT!$P43=0,Z43,"")</f>
        <v/>
      </c>
      <c r="AC43">
        <f>SUMPRODUCT((MONTH(CHOOSE({1,2,3,4},XT!U43,XT!Y43,XT!AC43,XT!AG43))=8)*(CHOOSE({1,2,3,4},XT!X43,XT!AB43,XT!AF43,XT!AJ43)))</f>
        <v>0</v>
      </c>
      <c r="AD43" t="str">
        <f>IFERROR(INDEX(CHOOSE({1,2,3,4}, DAY(XT!U43), DAY(XT!Y43), DAY(XT!AC43), DAY(XT!AG43)), MATCH(1, INDEX(--(MONTH(CHOOSE({1,2,3,4}, XT!U43,XT!Y43,XT!AC43,XT!AG43))=8), 0), 0)), "")</f>
        <v/>
      </c>
      <c r="AE43" s="51" t="str">
        <f>IF(XT!$P43&gt;0,AD43,"")</f>
        <v/>
      </c>
      <c r="AF43" s="51" t="str">
        <f>IF(XT!$P43=0,AD43,"")</f>
        <v/>
      </c>
      <c r="AG43">
        <f>SUMPRODUCT((MONTH(CHOOSE({1,2,3,4},XT!U43,XT!Y43,XT!AC43,XT!AG43))=9)*(CHOOSE({1,2,3,4},XT!X43,XT!AB43,XT!AF43,XT!AJ43)))</f>
        <v>0</v>
      </c>
      <c r="AH43" t="str">
        <f>IFERROR(INDEX(CHOOSE({1,2,3,4}, DAY(XT!U43), DAY(XT!Y43), DAY(XT!AC43), DAY(XT!AG43)), MATCH(1, INDEX(--(MONTH(CHOOSE({1,2,3,4}, XT!U43,XT!Y43,XT!AC43,XT!AG43))=9), 0), 0)), "")</f>
        <v/>
      </c>
      <c r="AI43" s="51" t="str">
        <f>IF(XT!$P43&gt;0,AH43,"")</f>
        <v/>
      </c>
      <c r="AJ43" s="51" t="str">
        <f>IF(XT!$P43=0,AH43,"")</f>
        <v/>
      </c>
      <c r="AK43">
        <f>SUMPRODUCT((MONTH(CHOOSE({1,2,3,4},XT!U43,XT!Y43,XT!AC43,XT!AG43))=10)*(CHOOSE({1,2,3,4},XT!X43,XT!AB43,XT!AF43,XT!AJ43)))</f>
        <v>0</v>
      </c>
      <c r="AL43" t="str">
        <f>IFERROR(INDEX(CHOOSE({1,2,3,4}, DAY(XT!U43), DAY(XT!Y43), DAY(XT!AC43), DAY(XT!AG43)), MATCH(1, INDEX(--(MONTH(CHOOSE({1,2,3,4}, XT!U43,XT!Y43,XT!AC43,XT!AG43))=10), 0), 0)), "")</f>
        <v/>
      </c>
      <c r="AM43" s="51" t="str">
        <f>IF(XT!$P43&gt;0,AL43,"")</f>
        <v/>
      </c>
      <c r="AN43" s="51" t="str">
        <f>IF(XT!$P43=0,AL43,"")</f>
        <v/>
      </c>
      <c r="AO43">
        <f>SUMPRODUCT((MONTH(CHOOSE({1,2,3,4},XT!U43,XT!Y43,XT!AC43,XT!AG43))=11)*(CHOOSE({1,2,3,4},XT!X43,XT!AB43,XT!AF43,XT!AJ43)))</f>
        <v>0</v>
      </c>
      <c r="AP43" t="str">
        <f>IFERROR(INDEX(CHOOSE({1,2,3,4}, DAY(XT!U43), DAY(XT!Y43), DAY(XT!AC43), DAY(XT!AG43)), MATCH(1, INDEX(--(MONTH(CHOOSE({1,2,3,4}, XT!U43,XT!Y43,XT!AC43,XT!AG43))=11), 0), 0)), "")</f>
        <v/>
      </c>
      <c r="AQ43" s="51" t="str">
        <f>IF(XT!$P43&gt;0,AP43,"")</f>
        <v/>
      </c>
      <c r="AR43" s="51" t="str">
        <f>IF(XT!$P43=0,AP43,"")</f>
        <v/>
      </c>
      <c r="AS43">
        <f>SUMPRODUCT((MONTH(CHOOSE({1,2,3,4},XT!U43,XT!Y43,XT!AC43,XT!AG43))=12)*(CHOOSE({1,2,3,4},XT!X43,XT!AB43,XT!AF43,XT!AJ43)))</f>
        <v>0</v>
      </c>
      <c r="AT43" t="str">
        <f>IFERROR(INDEX(CHOOSE({1,2,3,4}, DAY(XT!U43), DAY(XT!Y43), DAY(XT!AC43), DAY(XT!AG43)), MATCH(1, INDEX(--(MONTH(CHOOSE({1,2,3,4}, XT!U43,XT!Y43,XT!AC43,XT!AG43))=12), 0), 0)), "")</f>
        <v/>
      </c>
      <c r="AU43" s="51" t="str">
        <f>IF(XT!$P43&gt;0,AT43,"")</f>
        <v/>
      </c>
      <c r="AV43" s="51" t="str">
        <f>IF(XT!$P43=0,AT43,"")</f>
        <v/>
      </c>
    </row>
    <row r="44" spans="1:48">
      <c r="A44">
        <f>SUMPRODUCT((MONTH(CHOOSE({1,2,3,4},XT!U44,XT!Y44,XT!AC44,XT!AG44))=1)*(CHOOSE({1,2,3,4},XT!X44,XT!AB44,XT!AF44,XT!AJ44)))</f>
        <v>0</v>
      </c>
      <c r="B44">
        <f>IFERROR(INDEX(CHOOSE({1,2,3,4}, DAY(XT!U44), DAY(XT!Y44), DAY(XT!AC44), DAY(XT!AG44)), MATCH(1, INDEX(--(MONTH(CHOOSE({1,2,3,4}, XT!U44,XT!Y44,XT!AC44,XT!AG44))=1), 0), 0)), "")</f>
        <v>0</v>
      </c>
      <c r="C44" s="51" t="str">
        <f>IF(XT!$P44&gt;0,B44,"")</f>
        <v/>
      </c>
      <c r="D44" s="51">
        <f>IF(XT!$P44=0,B44,"")</f>
        <v>0</v>
      </c>
      <c r="E44">
        <f>SUMPRODUCT((MONTH(CHOOSE({1,2,3,4},XT!U44,XT!Y44,XT!AC44,XT!AG44))=2)*(CHOOSE({1,2,3,4},XT!X44,XT!AB44,XT!AF44,XT!AJ44)))</f>
        <v>0</v>
      </c>
      <c r="F44" t="str">
        <f>IFERROR(INDEX(CHOOSE({1,2,3,4}, DAY(XT!U44), DAY(XT!Y44), DAY(XT!AC44), DAY(XT!AG44)), MATCH(1, INDEX(--(MONTH(CHOOSE({1,2,3,4}, XT!U44,XT!Y44,XT!AC44,XT!AG44))=2), 0), 0)), "")</f>
        <v/>
      </c>
      <c r="G44" s="51" t="str">
        <f>IF(XT!$P44&gt;0,F44,"")</f>
        <v/>
      </c>
      <c r="H44" s="51" t="str">
        <f>IF(XT!$P44=0,F44,"")</f>
        <v/>
      </c>
      <c r="I44">
        <f>SUMPRODUCT((MONTH(CHOOSE({1,2,3,4},XT!U44,XT!Y44,XT!AC44,XT!AG44))=3)*(CHOOSE({1,2,3,4},XT!X44,XT!AB44,XT!AF44,XT!AJ44)))</f>
        <v>0</v>
      </c>
      <c r="J44" t="str">
        <f>IFERROR(INDEX(CHOOSE({1,2,3,4}, DAY(XT!U44), DAY(XT!Y44), DAY(XT!AC44), DAY(XT!AG44)), MATCH(1, INDEX(--(MONTH(CHOOSE({1,2,3,4}, XT!U44,XT!Y44,XT!AC44,XT!AG44))=3), 0), 0)), "")</f>
        <v/>
      </c>
      <c r="K44" s="51" t="str">
        <f>IF(XT!$P44&gt;0,J44,"")</f>
        <v/>
      </c>
      <c r="L44" s="51" t="str">
        <f>IF(XT!$P44=0,J44,"")</f>
        <v/>
      </c>
      <c r="M44">
        <f>SUMPRODUCT((MONTH(CHOOSE({1,2,3,4},XT!U44,XT!Y44,XT!AC44,XT!AG44))=4)*(CHOOSE({1,2,3,4},XT!X44,XT!AB44,XT!AF44,XT!AJ44)))</f>
        <v>0</v>
      </c>
      <c r="N44" t="str">
        <f>IFERROR(INDEX(CHOOSE({1,2,3,4}, DAY(XT!U44), DAY(XT!Y44), DAY(XT!AC44), DAY(XT!AG44)), MATCH(1, INDEX(--(MONTH(CHOOSE({1,2,3,4}, XT!U44,XT!Y44,XT!AC44,XT!AG44))=4), 0), 0)), "")</f>
        <v/>
      </c>
      <c r="O44" s="51" t="str">
        <f>IF(XT!$P44&gt;0,N44,"")</f>
        <v/>
      </c>
      <c r="P44" s="51" t="str">
        <f>IF(XT!$P44=0,N44,"")</f>
        <v/>
      </c>
      <c r="Q44">
        <f>SUMPRODUCT((MONTH(CHOOSE({1,2,3,4},XT!U44,XT!Y44,XT!AC44,XT!AG44))=5)*(CHOOSE({1,2,3,4},XT!X44,XT!AB44,XT!AF44,XT!AJ44)))</f>
        <v>0</v>
      </c>
      <c r="R44" t="str">
        <f>IFERROR(INDEX(CHOOSE({1,2,3,4}, DAY(XT!U44), DAY(XT!Y44), DAY(XT!AC44), DAY(XT!AG44)), MATCH(1, INDEX(--(MONTH(CHOOSE({1,2,3,4}, XT!U44,XT!Y44,XT!AC44,XT!AG44))=5), 0), 0)), "")</f>
        <v/>
      </c>
      <c r="S44" s="51" t="str">
        <f>IF(XT!$P44&gt;0,R44,"")</f>
        <v/>
      </c>
      <c r="T44" s="51" t="str">
        <f>IF(XT!$P44=0,R44,"")</f>
        <v/>
      </c>
      <c r="U44">
        <f>SUMPRODUCT((MONTH(CHOOSE({1,2,3,4},XT!U44,XT!Y44,XT!AC44,XT!AG44))=6)*(CHOOSE({1,2,3,4},XT!X44,XT!AB44,XT!AF44,XT!AJ44)))</f>
        <v>0</v>
      </c>
      <c r="V44" t="str">
        <f>IFERROR(INDEX(CHOOSE({1,2,3,4}, DAY(XT!U44), DAY(XT!Y44), DAY(XT!AC44), DAY(XT!AG44)), MATCH(1, INDEX(--(MONTH(CHOOSE({1,2,3,4}, XT!U44,XT!Y44,XT!AC44,XT!AG44))=6), 0), 0)), "")</f>
        <v/>
      </c>
      <c r="W44" s="51" t="str">
        <f>IF(XT!$P44&gt;0,V44,"")</f>
        <v/>
      </c>
      <c r="X44" s="51" t="str">
        <f>IF(XT!$P44=0,V44,"")</f>
        <v/>
      </c>
      <c r="Y44">
        <f>SUMPRODUCT((MONTH(CHOOSE({1,2,3,4},XT!U44,XT!Y44,XT!AC44,XT!AG44))=7)*(CHOOSE({1,2,3,4},XT!X44,XT!AB44,XT!AF44,XT!AJ44)))</f>
        <v>0</v>
      </c>
      <c r="Z44" t="str">
        <f>IFERROR(INDEX(CHOOSE({1,2,3,4}, DAY(XT!U44), DAY(XT!Y44), DAY(XT!AC44), DAY(XT!AG44)), MATCH(1, INDEX(--(MONTH(CHOOSE({1,2,3,4}, XT!U44,XT!Y44,XT!AC44,XT!AG44))=7), 0), 0)), "")</f>
        <v/>
      </c>
      <c r="AA44" s="51" t="str">
        <f>IF(XT!$P44&gt;0,Z44,"")</f>
        <v/>
      </c>
      <c r="AB44" s="51" t="str">
        <f>IF(XT!$P44=0,Z44,"")</f>
        <v/>
      </c>
      <c r="AC44">
        <f>SUMPRODUCT((MONTH(CHOOSE({1,2,3,4},XT!U44,XT!Y44,XT!AC44,XT!AG44))=8)*(CHOOSE({1,2,3,4},XT!X44,XT!AB44,XT!AF44,XT!AJ44)))</f>
        <v>0</v>
      </c>
      <c r="AD44" t="str">
        <f>IFERROR(INDEX(CHOOSE({1,2,3,4}, DAY(XT!U44), DAY(XT!Y44), DAY(XT!AC44), DAY(XT!AG44)), MATCH(1, INDEX(--(MONTH(CHOOSE({1,2,3,4}, XT!U44,XT!Y44,XT!AC44,XT!AG44))=8), 0), 0)), "")</f>
        <v/>
      </c>
      <c r="AE44" s="51" t="str">
        <f>IF(XT!$P44&gt;0,AD44,"")</f>
        <v/>
      </c>
      <c r="AF44" s="51" t="str">
        <f>IF(XT!$P44=0,AD44,"")</f>
        <v/>
      </c>
      <c r="AG44">
        <f>SUMPRODUCT((MONTH(CHOOSE({1,2,3,4},XT!U44,XT!Y44,XT!AC44,XT!AG44))=9)*(CHOOSE({1,2,3,4},XT!X44,XT!AB44,XT!AF44,XT!AJ44)))</f>
        <v>0</v>
      </c>
      <c r="AH44" t="str">
        <f>IFERROR(INDEX(CHOOSE({1,2,3,4}, DAY(XT!U44), DAY(XT!Y44), DAY(XT!AC44), DAY(XT!AG44)), MATCH(1, INDEX(--(MONTH(CHOOSE({1,2,3,4}, XT!U44,XT!Y44,XT!AC44,XT!AG44))=9), 0), 0)), "")</f>
        <v/>
      </c>
      <c r="AI44" s="51" t="str">
        <f>IF(XT!$P44&gt;0,AH44,"")</f>
        <v/>
      </c>
      <c r="AJ44" s="51" t="str">
        <f>IF(XT!$P44=0,AH44,"")</f>
        <v/>
      </c>
      <c r="AK44">
        <f>SUMPRODUCT((MONTH(CHOOSE({1,2,3,4},XT!U44,XT!Y44,XT!AC44,XT!AG44))=10)*(CHOOSE({1,2,3,4},XT!X44,XT!AB44,XT!AF44,XT!AJ44)))</f>
        <v>0</v>
      </c>
      <c r="AL44" t="str">
        <f>IFERROR(INDEX(CHOOSE({1,2,3,4}, DAY(XT!U44), DAY(XT!Y44), DAY(XT!AC44), DAY(XT!AG44)), MATCH(1, INDEX(--(MONTH(CHOOSE({1,2,3,4}, XT!U44,XT!Y44,XT!AC44,XT!AG44))=10), 0), 0)), "")</f>
        <v/>
      </c>
      <c r="AM44" s="51" t="str">
        <f>IF(XT!$P44&gt;0,AL44,"")</f>
        <v/>
      </c>
      <c r="AN44" s="51" t="str">
        <f>IF(XT!$P44=0,AL44,"")</f>
        <v/>
      </c>
      <c r="AO44">
        <f>SUMPRODUCT((MONTH(CHOOSE({1,2,3,4},XT!U44,XT!Y44,XT!AC44,XT!AG44))=11)*(CHOOSE({1,2,3,4},XT!X44,XT!AB44,XT!AF44,XT!AJ44)))</f>
        <v>0</v>
      </c>
      <c r="AP44" t="str">
        <f>IFERROR(INDEX(CHOOSE({1,2,3,4}, DAY(XT!U44), DAY(XT!Y44), DAY(XT!AC44), DAY(XT!AG44)), MATCH(1, INDEX(--(MONTH(CHOOSE({1,2,3,4}, XT!U44,XT!Y44,XT!AC44,XT!AG44))=11), 0), 0)), "")</f>
        <v/>
      </c>
      <c r="AQ44" s="51" t="str">
        <f>IF(XT!$P44&gt;0,AP44,"")</f>
        <v/>
      </c>
      <c r="AR44" s="51" t="str">
        <f>IF(XT!$P44=0,AP44,"")</f>
        <v/>
      </c>
      <c r="AS44">
        <f>SUMPRODUCT((MONTH(CHOOSE({1,2,3,4},XT!U44,XT!Y44,XT!AC44,XT!AG44))=12)*(CHOOSE({1,2,3,4},XT!X44,XT!AB44,XT!AF44,XT!AJ44)))</f>
        <v>0</v>
      </c>
      <c r="AT44" t="str">
        <f>IFERROR(INDEX(CHOOSE({1,2,3,4}, DAY(XT!U44), DAY(XT!Y44), DAY(XT!AC44), DAY(XT!AG44)), MATCH(1, INDEX(--(MONTH(CHOOSE({1,2,3,4}, XT!U44,XT!Y44,XT!AC44,XT!AG44))=12), 0), 0)), "")</f>
        <v/>
      </c>
      <c r="AU44" s="51" t="str">
        <f>IF(XT!$P44&gt;0,AT44,"")</f>
        <v/>
      </c>
      <c r="AV44" s="51" t="str">
        <f>IF(XT!$P44=0,AT44,"")</f>
        <v/>
      </c>
    </row>
    <row r="45" spans="1:48">
      <c r="A45">
        <f>SUMPRODUCT((MONTH(CHOOSE({1,2,3,4},XT!U45,XT!Y45,XT!AC45,XT!AG45))=1)*(CHOOSE({1,2,3,4},XT!X45,XT!AB45,XT!AF45,XT!AJ45)))</f>
        <v>0</v>
      </c>
      <c r="B45">
        <f>IFERROR(INDEX(CHOOSE({1,2,3,4}, DAY(XT!U45), DAY(XT!Y45), DAY(XT!AC45), DAY(XT!AG45)), MATCH(1, INDEX(--(MONTH(CHOOSE({1,2,3,4}, XT!U45,XT!Y45,XT!AC45,XT!AG45))=1), 0), 0)), "")</f>
        <v>0</v>
      </c>
      <c r="C45" s="51" t="str">
        <f>IF(XT!$P45&gt;0,B45,"")</f>
        <v/>
      </c>
      <c r="D45" s="51">
        <f>IF(XT!$P45=0,B45,"")</f>
        <v>0</v>
      </c>
      <c r="E45">
        <f>SUMPRODUCT((MONTH(CHOOSE({1,2,3,4},XT!U45,XT!Y45,XT!AC45,XT!AG45))=2)*(CHOOSE({1,2,3,4},XT!X45,XT!AB45,XT!AF45,XT!AJ45)))</f>
        <v>0</v>
      </c>
      <c r="F45" t="str">
        <f>IFERROR(INDEX(CHOOSE({1,2,3,4}, DAY(XT!U45), DAY(XT!Y45), DAY(XT!AC45), DAY(XT!AG45)), MATCH(1, INDEX(--(MONTH(CHOOSE({1,2,3,4}, XT!U45,XT!Y45,XT!AC45,XT!AG45))=2), 0), 0)), "")</f>
        <v/>
      </c>
      <c r="G45" s="51" t="str">
        <f>IF(XT!$P45&gt;0,F45,"")</f>
        <v/>
      </c>
      <c r="H45" s="51" t="str">
        <f>IF(XT!$P45=0,F45,"")</f>
        <v/>
      </c>
      <c r="I45">
        <f>SUMPRODUCT((MONTH(CHOOSE({1,2,3,4},XT!U45,XT!Y45,XT!AC45,XT!AG45))=3)*(CHOOSE({1,2,3,4},XT!X45,XT!AB45,XT!AF45,XT!AJ45)))</f>
        <v>0</v>
      </c>
      <c r="J45" t="str">
        <f>IFERROR(INDEX(CHOOSE({1,2,3,4}, DAY(XT!U45), DAY(XT!Y45), DAY(XT!AC45), DAY(XT!AG45)), MATCH(1, INDEX(--(MONTH(CHOOSE({1,2,3,4}, XT!U45,XT!Y45,XT!AC45,XT!AG45))=3), 0), 0)), "")</f>
        <v/>
      </c>
      <c r="K45" s="51" t="str">
        <f>IF(XT!$P45&gt;0,J45,"")</f>
        <v/>
      </c>
      <c r="L45" s="51" t="str">
        <f>IF(XT!$P45=0,J45,"")</f>
        <v/>
      </c>
      <c r="M45">
        <f>SUMPRODUCT((MONTH(CHOOSE({1,2,3,4},XT!U45,XT!Y45,XT!AC45,XT!AG45))=4)*(CHOOSE({1,2,3,4},XT!X45,XT!AB45,XT!AF45,XT!AJ45)))</f>
        <v>0</v>
      </c>
      <c r="N45" t="str">
        <f>IFERROR(INDEX(CHOOSE({1,2,3,4}, DAY(XT!U45), DAY(XT!Y45), DAY(XT!AC45), DAY(XT!AG45)), MATCH(1, INDEX(--(MONTH(CHOOSE({1,2,3,4}, XT!U45,XT!Y45,XT!AC45,XT!AG45))=4), 0), 0)), "")</f>
        <v/>
      </c>
      <c r="O45" s="51" t="str">
        <f>IF(XT!$P45&gt;0,N45,"")</f>
        <v/>
      </c>
      <c r="P45" s="51" t="str">
        <f>IF(XT!$P45=0,N45,"")</f>
        <v/>
      </c>
      <c r="Q45">
        <f>SUMPRODUCT((MONTH(CHOOSE({1,2,3,4},XT!U45,XT!Y45,XT!AC45,XT!AG45))=5)*(CHOOSE({1,2,3,4},XT!X45,XT!AB45,XT!AF45,XT!AJ45)))</f>
        <v>0</v>
      </c>
      <c r="R45" t="str">
        <f>IFERROR(INDEX(CHOOSE({1,2,3,4}, DAY(XT!U45), DAY(XT!Y45), DAY(XT!AC45), DAY(XT!AG45)), MATCH(1, INDEX(--(MONTH(CHOOSE({1,2,3,4}, XT!U45,XT!Y45,XT!AC45,XT!AG45))=5), 0), 0)), "")</f>
        <v/>
      </c>
      <c r="S45" s="51" t="str">
        <f>IF(XT!$P45&gt;0,R45,"")</f>
        <v/>
      </c>
      <c r="T45" s="51" t="str">
        <f>IF(XT!$P45=0,R45,"")</f>
        <v/>
      </c>
      <c r="U45">
        <f>SUMPRODUCT((MONTH(CHOOSE({1,2,3,4},XT!U45,XT!Y45,XT!AC45,XT!AG45))=6)*(CHOOSE({1,2,3,4},XT!X45,XT!AB45,XT!AF45,XT!AJ45)))</f>
        <v>0</v>
      </c>
      <c r="V45" t="str">
        <f>IFERROR(INDEX(CHOOSE({1,2,3,4}, DAY(XT!U45), DAY(XT!Y45), DAY(XT!AC45), DAY(XT!AG45)), MATCH(1, INDEX(--(MONTH(CHOOSE({1,2,3,4}, XT!U45,XT!Y45,XT!AC45,XT!AG45))=6), 0), 0)), "")</f>
        <v/>
      </c>
      <c r="W45" s="51" t="str">
        <f>IF(XT!$P45&gt;0,V45,"")</f>
        <v/>
      </c>
      <c r="X45" s="51" t="str">
        <f>IF(XT!$P45=0,V45,"")</f>
        <v/>
      </c>
      <c r="Y45">
        <f>SUMPRODUCT((MONTH(CHOOSE({1,2,3,4},XT!U45,XT!Y45,XT!AC45,XT!AG45))=7)*(CHOOSE({1,2,3,4},XT!X45,XT!AB45,XT!AF45,XT!AJ45)))</f>
        <v>0</v>
      </c>
      <c r="Z45" t="str">
        <f>IFERROR(INDEX(CHOOSE({1,2,3,4}, DAY(XT!U45), DAY(XT!Y45), DAY(XT!AC45), DAY(XT!AG45)), MATCH(1, INDEX(--(MONTH(CHOOSE({1,2,3,4}, XT!U45,XT!Y45,XT!AC45,XT!AG45))=7), 0), 0)), "")</f>
        <v/>
      </c>
      <c r="AA45" s="51" t="str">
        <f>IF(XT!$P45&gt;0,Z45,"")</f>
        <v/>
      </c>
      <c r="AB45" s="51" t="str">
        <f>IF(XT!$P45=0,Z45,"")</f>
        <v/>
      </c>
      <c r="AC45">
        <f>SUMPRODUCT((MONTH(CHOOSE({1,2,3,4},XT!U45,XT!Y45,XT!AC45,XT!AG45))=8)*(CHOOSE({1,2,3,4},XT!X45,XT!AB45,XT!AF45,XT!AJ45)))</f>
        <v>0</v>
      </c>
      <c r="AD45" t="str">
        <f>IFERROR(INDEX(CHOOSE({1,2,3,4}, DAY(XT!U45), DAY(XT!Y45), DAY(XT!AC45), DAY(XT!AG45)), MATCH(1, INDEX(--(MONTH(CHOOSE({1,2,3,4}, XT!U45,XT!Y45,XT!AC45,XT!AG45))=8), 0), 0)), "")</f>
        <v/>
      </c>
      <c r="AE45" s="51" t="str">
        <f>IF(XT!$P45&gt;0,AD45,"")</f>
        <v/>
      </c>
      <c r="AF45" s="51" t="str">
        <f>IF(XT!$P45=0,AD45,"")</f>
        <v/>
      </c>
      <c r="AG45">
        <f>SUMPRODUCT((MONTH(CHOOSE({1,2,3,4},XT!U45,XT!Y45,XT!AC45,XT!AG45))=9)*(CHOOSE({1,2,3,4},XT!X45,XT!AB45,XT!AF45,XT!AJ45)))</f>
        <v>0</v>
      </c>
      <c r="AH45" t="str">
        <f>IFERROR(INDEX(CHOOSE({1,2,3,4}, DAY(XT!U45), DAY(XT!Y45), DAY(XT!AC45), DAY(XT!AG45)), MATCH(1, INDEX(--(MONTH(CHOOSE({1,2,3,4}, XT!U45,XT!Y45,XT!AC45,XT!AG45))=9), 0), 0)), "")</f>
        <v/>
      </c>
      <c r="AI45" s="51" t="str">
        <f>IF(XT!$P45&gt;0,AH45,"")</f>
        <v/>
      </c>
      <c r="AJ45" s="51" t="str">
        <f>IF(XT!$P45=0,AH45,"")</f>
        <v/>
      </c>
      <c r="AK45">
        <f>SUMPRODUCT((MONTH(CHOOSE({1,2,3,4},XT!U45,XT!Y45,XT!AC45,XT!AG45))=10)*(CHOOSE({1,2,3,4},XT!X45,XT!AB45,XT!AF45,XT!AJ45)))</f>
        <v>0</v>
      </c>
      <c r="AL45" t="str">
        <f>IFERROR(INDEX(CHOOSE({1,2,3,4}, DAY(XT!U45), DAY(XT!Y45), DAY(XT!AC45), DAY(XT!AG45)), MATCH(1, INDEX(--(MONTH(CHOOSE({1,2,3,4}, XT!U45,XT!Y45,XT!AC45,XT!AG45))=10), 0), 0)), "")</f>
        <v/>
      </c>
      <c r="AM45" s="51" t="str">
        <f>IF(XT!$P45&gt;0,AL45,"")</f>
        <v/>
      </c>
      <c r="AN45" s="51" t="str">
        <f>IF(XT!$P45=0,AL45,"")</f>
        <v/>
      </c>
      <c r="AO45">
        <f>SUMPRODUCT((MONTH(CHOOSE({1,2,3,4},XT!U45,XT!Y45,XT!AC45,XT!AG45))=11)*(CHOOSE({1,2,3,4},XT!X45,XT!AB45,XT!AF45,XT!AJ45)))</f>
        <v>0</v>
      </c>
      <c r="AP45" t="str">
        <f>IFERROR(INDEX(CHOOSE({1,2,3,4}, DAY(XT!U45), DAY(XT!Y45), DAY(XT!AC45), DAY(XT!AG45)), MATCH(1, INDEX(--(MONTH(CHOOSE({1,2,3,4}, XT!U45,XT!Y45,XT!AC45,XT!AG45))=11), 0), 0)), "")</f>
        <v/>
      </c>
      <c r="AQ45" s="51" t="str">
        <f>IF(XT!$P45&gt;0,AP45,"")</f>
        <v/>
      </c>
      <c r="AR45" s="51" t="str">
        <f>IF(XT!$P45=0,AP45,"")</f>
        <v/>
      </c>
      <c r="AS45">
        <f>SUMPRODUCT((MONTH(CHOOSE({1,2,3,4},XT!U45,XT!Y45,XT!AC45,XT!AG45))=12)*(CHOOSE({1,2,3,4},XT!X45,XT!AB45,XT!AF45,XT!AJ45)))</f>
        <v>0</v>
      </c>
      <c r="AT45" t="str">
        <f>IFERROR(INDEX(CHOOSE({1,2,3,4}, DAY(XT!U45), DAY(XT!Y45), DAY(XT!AC45), DAY(XT!AG45)), MATCH(1, INDEX(--(MONTH(CHOOSE({1,2,3,4}, XT!U45,XT!Y45,XT!AC45,XT!AG45))=12), 0), 0)), "")</f>
        <v/>
      </c>
      <c r="AU45" s="51" t="str">
        <f>IF(XT!$P45&gt;0,AT45,"")</f>
        <v/>
      </c>
      <c r="AV45" s="51" t="str">
        <f>IF(XT!$P45=0,AT45,"")</f>
        <v/>
      </c>
    </row>
    <row r="46" spans="1:48">
      <c r="A46">
        <f>SUMPRODUCT((MONTH(CHOOSE({1,2,3,4},XT!U46,XT!Y46,XT!AC46,XT!AG46))=1)*(CHOOSE({1,2,3,4},XT!X46,XT!AB46,XT!AF46,XT!AJ46)))</f>
        <v>0</v>
      </c>
      <c r="B46">
        <f>IFERROR(INDEX(CHOOSE({1,2,3,4}, DAY(XT!U46), DAY(XT!Y46), DAY(XT!AC46), DAY(XT!AG46)), MATCH(1, INDEX(--(MONTH(CHOOSE({1,2,3,4}, XT!U46,XT!Y46,XT!AC46,XT!AG46))=1), 0), 0)), "")</f>
        <v>0</v>
      </c>
      <c r="C46" s="51" t="str">
        <f>IF(XT!$P46&gt;0,B46,"")</f>
        <v/>
      </c>
      <c r="D46" s="51">
        <f>IF(XT!$P46=0,B46,"")</f>
        <v>0</v>
      </c>
      <c r="E46">
        <f>SUMPRODUCT((MONTH(CHOOSE({1,2,3,4},XT!U46,XT!Y46,XT!AC46,XT!AG46))=2)*(CHOOSE({1,2,3,4},XT!X46,XT!AB46,XT!AF46,XT!AJ46)))</f>
        <v>0</v>
      </c>
      <c r="F46" t="str">
        <f>IFERROR(INDEX(CHOOSE({1,2,3,4}, DAY(XT!U46), DAY(XT!Y46), DAY(XT!AC46), DAY(XT!AG46)), MATCH(1, INDEX(--(MONTH(CHOOSE({1,2,3,4}, XT!U46,XT!Y46,XT!AC46,XT!AG46))=2), 0), 0)), "")</f>
        <v/>
      </c>
      <c r="G46" s="51" t="str">
        <f>IF(XT!$P46&gt;0,F46,"")</f>
        <v/>
      </c>
      <c r="H46" s="51" t="str">
        <f>IF(XT!$P46=0,F46,"")</f>
        <v/>
      </c>
      <c r="I46">
        <f>SUMPRODUCT((MONTH(CHOOSE({1,2,3,4},XT!U46,XT!Y46,XT!AC46,XT!AG46))=3)*(CHOOSE({1,2,3,4},XT!X46,XT!AB46,XT!AF46,XT!AJ46)))</f>
        <v>0</v>
      </c>
      <c r="J46" t="str">
        <f>IFERROR(INDEX(CHOOSE({1,2,3,4}, DAY(XT!U46), DAY(XT!Y46), DAY(XT!AC46), DAY(XT!AG46)), MATCH(1, INDEX(--(MONTH(CHOOSE({1,2,3,4}, XT!U46,XT!Y46,XT!AC46,XT!AG46))=3), 0), 0)), "")</f>
        <v/>
      </c>
      <c r="K46" s="51" t="str">
        <f>IF(XT!$P46&gt;0,J46,"")</f>
        <v/>
      </c>
      <c r="L46" s="51" t="str">
        <f>IF(XT!$P46=0,J46,"")</f>
        <v/>
      </c>
      <c r="M46">
        <f>SUMPRODUCT((MONTH(CHOOSE({1,2,3,4},XT!U46,XT!Y46,XT!AC46,XT!AG46))=4)*(CHOOSE({1,2,3,4},XT!X46,XT!AB46,XT!AF46,XT!AJ46)))</f>
        <v>0</v>
      </c>
      <c r="N46" t="str">
        <f>IFERROR(INDEX(CHOOSE({1,2,3,4}, DAY(XT!U46), DAY(XT!Y46), DAY(XT!AC46), DAY(XT!AG46)), MATCH(1, INDEX(--(MONTH(CHOOSE({1,2,3,4}, XT!U46,XT!Y46,XT!AC46,XT!AG46))=4), 0), 0)), "")</f>
        <v/>
      </c>
      <c r="O46" s="51" t="str">
        <f>IF(XT!$P46&gt;0,N46,"")</f>
        <v/>
      </c>
      <c r="P46" s="51" t="str">
        <f>IF(XT!$P46=0,N46,"")</f>
        <v/>
      </c>
      <c r="Q46">
        <f>SUMPRODUCT((MONTH(CHOOSE({1,2,3,4},XT!U46,XT!Y46,XT!AC46,XT!AG46))=5)*(CHOOSE({1,2,3,4},XT!X46,XT!AB46,XT!AF46,XT!AJ46)))</f>
        <v>0</v>
      </c>
      <c r="R46" t="str">
        <f>IFERROR(INDEX(CHOOSE({1,2,3,4}, DAY(XT!U46), DAY(XT!Y46), DAY(XT!AC46), DAY(XT!AG46)), MATCH(1, INDEX(--(MONTH(CHOOSE({1,2,3,4}, XT!U46,XT!Y46,XT!AC46,XT!AG46))=5), 0), 0)), "")</f>
        <v/>
      </c>
      <c r="S46" s="51" t="str">
        <f>IF(XT!$P46&gt;0,R46,"")</f>
        <v/>
      </c>
      <c r="T46" s="51" t="str">
        <f>IF(XT!$P46=0,R46,"")</f>
        <v/>
      </c>
      <c r="U46">
        <f>SUMPRODUCT((MONTH(CHOOSE({1,2,3,4},XT!U46,XT!Y46,XT!AC46,XT!AG46))=6)*(CHOOSE({1,2,3,4},XT!X46,XT!AB46,XT!AF46,XT!AJ46)))</f>
        <v>0</v>
      </c>
      <c r="V46" t="str">
        <f>IFERROR(INDEX(CHOOSE({1,2,3,4}, DAY(XT!U46), DAY(XT!Y46), DAY(XT!AC46), DAY(XT!AG46)), MATCH(1, INDEX(--(MONTH(CHOOSE({1,2,3,4}, XT!U46,XT!Y46,XT!AC46,XT!AG46))=6), 0), 0)), "")</f>
        <v/>
      </c>
      <c r="W46" s="51" t="str">
        <f>IF(XT!$P46&gt;0,V46,"")</f>
        <v/>
      </c>
      <c r="X46" s="51" t="str">
        <f>IF(XT!$P46=0,V46,"")</f>
        <v/>
      </c>
      <c r="Y46">
        <f>SUMPRODUCT((MONTH(CHOOSE({1,2,3,4},XT!U46,XT!Y46,XT!AC46,XT!AG46))=7)*(CHOOSE({1,2,3,4},XT!X46,XT!AB46,XT!AF46,XT!AJ46)))</f>
        <v>0</v>
      </c>
      <c r="Z46" t="str">
        <f>IFERROR(INDEX(CHOOSE({1,2,3,4}, DAY(XT!U46), DAY(XT!Y46), DAY(XT!AC46), DAY(XT!AG46)), MATCH(1, INDEX(--(MONTH(CHOOSE({1,2,3,4}, XT!U46,XT!Y46,XT!AC46,XT!AG46))=7), 0), 0)), "")</f>
        <v/>
      </c>
      <c r="AA46" s="51" t="str">
        <f>IF(XT!$P46&gt;0,Z46,"")</f>
        <v/>
      </c>
      <c r="AB46" s="51" t="str">
        <f>IF(XT!$P46=0,Z46,"")</f>
        <v/>
      </c>
      <c r="AC46">
        <f>SUMPRODUCT((MONTH(CHOOSE({1,2,3,4},XT!U46,XT!Y46,XT!AC46,XT!AG46))=8)*(CHOOSE({1,2,3,4},XT!X46,XT!AB46,XT!AF46,XT!AJ46)))</f>
        <v>0</v>
      </c>
      <c r="AD46" t="str">
        <f>IFERROR(INDEX(CHOOSE({1,2,3,4}, DAY(XT!U46), DAY(XT!Y46), DAY(XT!AC46), DAY(XT!AG46)), MATCH(1, INDEX(--(MONTH(CHOOSE({1,2,3,4}, XT!U46,XT!Y46,XT!AC46,XT!AG46))=8), 0), 0)), "")</f>
        <v/>
      </c>
      <c r="AE46" s="51" t="str">
        <f>IF(XT!$P46&gt;0,AD46,"")</f>
        <v/>
      </c>
      <c r="AF46" s="51" t="str">
        <f>IF(XT!$P46=0,AD46,"")</f>
        <v/>
      </c>
      <c r="AG46">
        <f>SUMPRODUCT((MONTH(CHOOSE({1,2,3,4},XT!U46,XT!Y46,XT!AC46,XT!AG46))=9)*(CHOOSE({1,2,3,4},XT!X46,XT!AB46,XT!AF46,XT!AJ46)))</f>
        <v>0</v>
      </c>
      <c r="AH46" t="str">
        <f>IFERROR(INDEX(CHOOSE({1,2,3,4}, DAY(XT!U46), DAY(XT!Y46), DAY(XT!AC46), DAY(XT!AG46)), MATCH(1, INDEX(--(MONTH(CHOOSE({1,2,3,4}, XT!U46,XT!Y46,XT!AC46,XT!AG46))=9), 0), 0)), "")</f>
        <v/>
      </c>
      <c r="AI46" s="51" t="str">
        <f>IF(XT!$P46&gt;0,AH46,"")</f>
        <v/>
      </c>
      <c r="AJ46" s="51" t="str">
        <f>IF(XT!$P46=0,AH46,"")</f>
        <v/>
      </c>
      <c r="AK46">
        <f>SUMPRODUCT((MONTH(CHOOSE({1,2,3,4},XT!U46,XT!Y46,XT!AC46,XT!AG46))=10)*(CHOOSE({1,2,3,4},XT!X46,XT!AB46,XT!AF46,XT!AJ46)))</f>
        <v>0</v>
      </c>
      <c r="AL46" t="str">
        <f>IFERROR(INDEX(CHOOSE({1,2,3,4}, DAY(XT!U46), DAY(XT!Y46), DAY(XT!AC46), DAY(XT!AG46)), MATCH(1, INDEX(--(MONTH(CHOOSE({1,2,3,4}, XT!U46,XT!Y46,XT!AC46,XT!AG46))=10), 0), 0)), "")</f>
        <v/>
      </c>
      <c r="AM46" s="51" t="str">
        <f>IF(XT!$P46&gt;0,AL46,"")</f>
        <v/>
      </c>
      <c r="AN46" s="51" t="str">
        <f>IF(XT!$P46=0,AL46,"")</f>
        <v/>
      </c>
      <c r="AO46">
        <f>SUMPRODUCT((MONTH(CHOOSE({1,2,3,4},XT!U46,XT!Y46,XT!AC46,XT!AG46))=11)*(CHOOSE({1,2,3,4},XT!X46,XT!AB46,XT!AF46,XT!AJ46)))</f>
        <v>0</v>
      </c>
      <c r="AP46" t="str">
        <f>IFERROR(INDEX(CHOOSE({1,2,3,4}, DAY(XT!U46), DAY(XT!Y46), DAY(XT!AC46), DAY(XT!AG46)), MATCH(1, INDEX(--(MONTH(CHOOSE({1,2,3,4}, XT!U46,XT!Y46,XT!AC46,XT!AG46))=11), 0), 0)), "")</f>
        <v/>
      </c>
      <c r="AQ46" s="51" t="str">
        <f>IF(XT!$P46&gt;0,AP46,"")</f>
        <v/>
      </c>
      <c r="AR46" s="51" t="str">
        <f>IF(XT!$P46=0,AP46,"")</f>
        <v/>
      </c>
      <c r="AS46">
        <f>SUMPRODUCT((MONTH(CHOOSE({1,2,3,4},XT!U46,XT!Y46,XT!AC46,XT!AG46))=12)*(CHOOSE({1,2,3,4},XT!X46,XT!AB46,XT!AF46,XT!AJ46)))</f>
        <v>0</v>
      </c>
      <c r="AT46" t="str">
        <f>IFERROR(INDEX(CHOOSE({1,2,3,4}, DAY(XT!U46), DAY(XT!Y46), DAY(XT!AC46), DAY(XT!AG46)), MATCH(1, INDEX(--(MONTH(CHOOSE({1,2,3,4}, XT!U46,XT!Y46,XT!AC46,XT!AG46))=12), 0), 0)), "")</f>
        <v/>
      </c>
      <c r="AU46" s="51" t="str">
        <f>IF(XT!$P46&gt;0,AT46,"")</f>
        <v/>
      </c>
      <c r="AV46" s="51" t="str">
        <f>IF(XT!$P46=0,AT46,"")</f>
        <v/>
      </c>
    </row>
    <row r="47" spans="1:48">
      <c r="A47">
        <f>SUMPRODUCT((MONTH(CHOOSE({1,2,3,4},XT!U47,XT!Y47,XT!AC47,XT!AG47))=1)*(CHOOSE({1,2,3,4},XT!X47,XT!AB47,XT!AF47,XT!AJ47)))</f>
        <v>0</v>
      </c>
      <c r="B47">
        <f>IFERROR(INDEX(CHOOSE({1,2,3,4}, DAY(XT!U47), DAY(XT!Y47), DAY(XT!AC47), DAY(XT!AG47)), MATCH(1, INDEX(--(MONTH(CHOOSE({1,2,3,4}, XT!U47,XT!Y47,XT!AC47,XT!AG47))=1), 0), 0)), "")</f>
        <v>0</v>
      </c>
      <c r="C47" s="51" t="str">
        <f>IF(XT!$P47&gt;0,B47,"")</f>
        <v/>
      </c>
      <c r="D47" s="51">
        <f>IF(XT!$P47=0,B47,"")</f>
        <v>0</v>
      </c>
      <c r="E47">
        <f>SUMPRODUCT((MONTH(CHOOSE({1,2,3,4},XT!U47,XT!Y47,XT!AC47,XT!AG47))=2)*(CHOOSE({1,2,3,4},XT!X47,XT!AB47,XT!AF47,XT!AJ47)))</f>
        <v>0</v>
      </c>
      <c r="F47" t="str">
        <f>IFERROR(INDEX(CHOOSE({1,2,3,4}, DAY(XT!U47), DAY(XT!Y47), DAY(XT!AC47), DAY(XT!AG47)), MATCH(1, INDEX(--(MONTH(CHOOSE({1,2,3,4}, XT!U47,XT!Y47,XT!AC47,XT!AG47))=2), 0), 0)), "")</f>
        <v/>
      </c>
      <c r="G47" s="51" t="str">
        <f>IF(XT!$P47&gt;0,F47,"")</f>
        <v/>
      </c>
      <c r="H47" s="51" t="str">
        <f>IF(XT!$P47=0,F47,"")</f>
        <v/>
      </c>
      <c r="I47">
        <f>SUMPRODUCT((MONTH(CHOOSE({1,2,3,4},XT!U47,XT!Y47,XT!AC47,XT!AG47))=3)*(CHOOSE({1,2,3,4},XT!X47,XT!AB47,XT!AF47,XT!AJ47)))</f>
        <v>0</v>
      </c>
      <c r="J47" t="str">
        <f>IFERROR(INDEX(CHOOSE({1,2,3,4}, DAY(XT!U47), DAY(XT!Y47), DAY(XT!AC47), DAY(XT!AG47)), MATCH(1, INDEX(--(MONTH(CHOOSE({1,2,3,4}, XT!U47,XT!Y47,XT!AC47,XT!AG47))=3), 0), 0)), "")</f>
        <v/>
      </c>
      <c r="K47" s="51" t="str">
        <f>IF(XT!$P47&gt;0,J47,"")</f>
        <v/>
      </c>
      <c r="L47" s="51" t="str">
        <f>IF(XT!$P47=0,J47,"")</f>
        <v/>
      </c>
      <c r="M47">
        <f>SUMPRODUCT((MONTH(CHOOSE({1,2,3,4},XT!U47,XT!Y47,XT!AC47,XT!AG47))=4)*(CHOOSE({1,2,3,4},XT!X47,XT!AB47,XT!AF47,XT!AJ47)))</f>
        <v>0</v>
      </c>
      <c r="N47" t="str">
        <f>IFERROR(INDEX(CHOOSE({1,2,3,4}, DAY(XT!U47), DAY(XT!Y47), DAY(XT!AC47), DAY(XT!AG47)), MATCH(1, INDEX(--(MONTH(CHOOSE({1,2,3,4}, XT!U47,XT!Y47,XT!AC47,XT!AG47))=4), 0), 0)), "")</f>
        <v/>
      </c>
      <c r="O47" s="51" t="str">
        <f>IF(XT!$P47&gt;0,N47,"")</f>
        <v/>
      </c>
      <c r="P47" s="51" t="str">
        <f>IF(XT!$P47=0,N47,"")</f>
        <v/>
      </c>
      <c r="Q47">
        <f>SUMPRODUCT((MONTH(CHOOSE({1,2,3,4},XT!U47,XT!Y47,XT!AC47,XT!AG47))=5)*(CHOOSE({1,2,3,4},XT!X47,XT!AB47,XT!AF47,XT!AJ47)))</f>
        <v>0</v>
      </c>
      <c r="R47" t="str">
        <f>IFERROR(INDEX(CHOOSE({1,2,3,4}, DAY(XT!U47), DAY(XT!Y47), DAY(XT!AC47), DAY(XT!AG47)), MATCH(1, INDEX(--(MONTH(CHOOSE({1,2,3,4}, XT!U47,XT!Y47,XT!AC47,XT!AG47))=5), 0), 0)), "")</f>
        <v/>
      </c>
      <c r="S47" s="51" t="str">
        <f>IF(XT!$P47&gt;0,R47,"")</f>
        <v/>
      </c>
      <c r="T47" s="51" t="str">
        <f>IF(XT!$P47=0,R47,"")</f>
        <v/>
      </c>
      <c r="U47">
        <f>SUMPRODUCT((MONTH(CHOOSE({1,2,3,4},XT!U47,XT!Y47,XT!AC47,XT!AG47))=6)*(CHOOSE({1,2,3,4},XT!X47,XT!AB47,XT!AF47,XT!AJ47)))</f>
        <v>0</v>
      </c>
      <c r="V47" t="str">
        <f>IFERROR(INDEX(CHOOSE({1,2,3,4}, DAY(XT!U47), DAY(XT!Y47), DAY(XT!AC47), DAY(XT!AG47)), MATCH(1, INDEX(--(MONTH(CHOOSE({1,2,3,4}, XT!U47,XT!Y47,XT!AC47,XT!AG47))=6), 0), 0)), "")</f>
        <v/>
      </c>
      <c r="W47" s="51" t="str">
        <f>IF(XT!$P47&gt;0,V47,"")</f>
        <v/>
      </c>
      <c r="X47" s="51" t="str">
        <f>IF(XT!$P47=0,V47,"")</f>
        <v/>
      </c>
      <c r="Y47">
        <f>SUMPRODUCT((MONTH(CHOOSE({1,2,3,4},XT!U47,XT!Y47,XT!AC47,XT!AG47))=7)*(CHOOSE({1,2,3,4},XT!X47,XT!AB47,XT!AF47,XT!AJ47)))</f>
        <v>0</v>
      </c>
      <c r="Z47" t="str">
        <f>IFERROR(INDEX(CHOOSE({1,2,3,4}, DAY(XT!U47), DAY(XT!Y47), DAY(XT!AC47), DAY(XT!AG47)), MATCH(1, INDEX(--(MONTH(CHOOSE({1,2,3,4}, XT!U47,XT!Y47,XT!AC47,XT!AG47))=7), 0), 0)), "")</f>
        <v/>
      </c>
      <c r="AA47" s="51" t="str">
        <f>IF(XT!$P47&gt;0,Z47,"")</f>
        <v/>
      </c>
      <c r="AB47" s="51" t="str">
        <f>IF(XT!$P47=0,Z47,"")</f>
        <v/>
      </c>
      <c r="AC47">
        <f>SUMPRODUCT((MONTH(CHOOSE({1,2,3,4},XT!U47,XT!Y47,XT!AC47,XT!AG47))=8)*(CHOOSE({1,2,3,4},XT!X47,XT!AB47,XT!AF47,XT!AJ47)))</f>
        <v>0</v>
      </c>
      <c r="AD47" t="str">
        <f>IFERROR(INDEX(CHOOSE({1,2,3,4}, DAY(XT!U47), DAY(XT!Y47), DAY(XT!AC47), DAY(XT!AG47)), MATCH(1, INDEX(--(MONTH(CHOOSE({1,2,3,4}, XT!U47,XT!Y47,XT!AC47,XT!AG47))=8), 0), 0)), "")</f>
        <v/>
      </c>
      <c r="AE47" s="51" t="str">
        <f>IF(XT!$P47&gt;0,AD47,"")</f>
        <v/>
      </c>
      <c r="AF47" s="51" t="str">
        <f>IF(XT!$P47=0,AD47,"")</f>
        <v/>
      </c>
      <c r="AG47">
        <f>SUMPRODUCT((MONTH(CHOOSE({1,2,3,4},XT!U47,XT!Y47,XT!AC47,XT!AG47))=9)*(CHOOSE({1,2,3,4},XT!X47,XT!AB47,XT!AF47,XT!AJ47)))</f>
        <v>0</v>
      </c>
      <c r="AH47" t="str">
        <f>IFERROR(INDEX(CHOOSE({1,2,3,4}, DAY(XT!U47), DAY(XT!Y47), DAY(XT!AC47), DAY(XT!AG47)), MATCH(1, INDEX(--(MONTH(CHOOSE({1,2,3,4}, XT!U47,XT!Y47,XT!AC47,XT!AG47))=9), 0), 0)), "")</f>
        <v/>
      </c>
      <c r="AI47" s="51" t="str">
        <f>IF(XT!$P47&gt;0,AH47,"")</f>
        <v/>
      </c>
      <c r="AJ47" s="51" t="str">
        <f>IF(XT!$P47=0,AH47,"")</f>
        <v/>
      </c>
      <c r="AK47">
        <f>SUMPRODUCT((MONTH(CHOOSE({1,2,3,4},XT!U47,XT!Y47,XT!AC47,XT!AG47))=10)*(CHOOSE({1,2,3,4},XT!X47,XT!AB47,XT!AF47,XT!AJ47)))</f>
        <v>0</v>
      </c>
      <c r="AL47" t="str">
        <f>IFERROR(INDEX(CHOOSE({1,2,3,4}, DAY(XT!U47), DAY(XT!Y47), DAY(XT!AC47), DAY(XT!AG47)), MATCH(1, INDEX(--(MONTH(CHOOSE({1,2,3,4}, XT!U47,XT!Y47,XT!AC47,XT!AG47))=10), 0), 0)), "")</f>
        <v/>
      </c>
      <c r="AM47" s="51" t="str">
        <f>IF(XT!$P47&gt;0,AL47,"")</f>
        <v/>
      </c>
      <c r="AN47" s="51" t="str">
        <f>IF(XT!$P47=0,AL47,"")</f>
        <v/>
      </c>
      <c r="AO47">
        <f>SUMPRODUCT((MONTH(CHOOSE({1,2,3,4},XT!U47,XT!Y47,XT!AC47,XT!AG47))=11)*(CHOOSE({1,2,3,4},XT!X47,XT!AB47,XT!AF47,XT!AJ47)))</f>
        <v>0</v>
      </c>
      <c r="AP47" t="str">
        <f>IFERROR(INDEX(CHOOSE({1,2,3,4}, DAY(XT!U47), DAY(XT!Y47), DAY(XT!AC47), DAY(XT!AG47)), MATCH(1, INDEX(--(MONTH(CHOOSE({1,2,3,4}, XT!U47,XT!Y47,XT!AC47,XT!AG47))=11), 0), 0)), "")</f>
        <v/>
      </c>
      <c r="AQ47" s="51" t="str">
        <f>IF(XT!$P47&gt;0,AP47,"")</f>
        <v/>
      </c>
      <c r="AR47" s="51" t="str">
        <f>IF(XT!$P47=0,AP47,"")</f>
        <v/>
      </c>
      <c r="AS47">
        <f>SUMPRODUCT((MONTH(CHOOSE({1,2,3,4},XT!U47,XT!Y47,XT!AC47,XT!AG47))=12)*(CHOOSE({1,2,3,4},XT!X47,XT!AB47,XT!AF47,XT!AJ47)))</f>
        <v>0</v>
      </c>
      <c r="AT47" t="str">
        <f>IFERROR(INDEX(CHOOSE({1,2,3,4}, DAY(XT!U47), DAY(XT!Y47), DAY(XT!AC47), DAY(XT!AG47)), MATCH(1, INDEX(--(MONTH(CHOOSE({1,2,3,4}, XT!U47,XT!Y47,XT!AC47,XT!AG47))=12), 0), 0)), "")</f>
        <v/>
      </c>
      <c r="AU47" s="51" t="str">
        <f>IF(XT!$P47&gt;0,AT47,"")</f>
        <v/>
      </c>
      <c r="AV47" s="51" t="str">
        <f>IF(XT!$P47=0,AT47,"")</f>
        <v/>
      </c>
    </row>
    <row r="48" spans="1:48">
      <c r="A48">
        <f>SUMPRODUCT((MONTH(CHOOSE({1,2,3,4},XT!U48,XT!Y48,XT!AC48,XT!AG48))=1)*(CHOOSE({1,2,3,4},XT!X48,XT!AB48,XT!AF48,XT!AJ48)))</f>
        <v>0</v>
      </c>
      <c r="B48">
        <f>IFERROR(INDEX(CHOOSE({1,2,3,4}, DAY(XT!U48), DAY(XT!Y48), DAY(XT!AC48), DAY(XT!AG48)), MATCH(1, INDEX(--(MONTH(CHOOSE({1,2,3,4}, XT!U48,XT!Y48,XT!AC48,XT!AG48))=1), 0), 0)), "")</f>
        <v>0</v>
      </c>
      <c r="C48" s="51" t="str">
        <f>IF(XT!$P48&gt;0,B48,"")</f>
        <v/>
      </c>
      <c r="D48" s="51">
        <f>IF(XT!$P48=0,B48,"")</f>
        <v>0</v>
      </c>
      <c r="E48">
        <f>SUMPRODUCT((MONTH(CHOOSE({1,2,3,4},XT!U48,XT!Y48,XT!AC48,XT!AG48))=2)*(CHOOSE({1,2,3,4},XT!X48,XT!AB48,XT!AF48,XT!AJ48)))</f>
        <v>0</v>
      </c>
      <c r="F48" t="str">
        <f>IFERROR(INDEX(CHOOSE({1,2,3,4}, DAY(XT!U48), DAY(XT!Y48), DAY(XT!AC48), DAY(XT!AG48)), MATCH(1, INDEX(--(MONTH(CHOOSE({1,2,3,4}, XT!U48,XT!Y48,XT!AC48,XT!AG48))=2), 0), 0)), "")</f>
        <v/>
      </c>
      <c r="G48" s="51" t="str">
        <f>IF(XT!$P48&gt;0,F48,"")</f>
        <v/>
      </c>
      <c r="H48" s="51" t="str">
        <f>IF(XT!$P48=0,F48,"")</f>
        <v/>
      </c>
      <c r="I48">
        <f>SUMPRODUCT((MONTH(CHOOSE({1,2,3,4},XT!U48,XT!Y48,XT!AC48,XT!AG48))=3)*(CHOOSE({1,2,3,4},XT!X48,XT!AB48,XT!AF48,XT!AJ48)))</f>
        <v>0</v>
      </c>
      <c r="J48" t="str">
        <f>IFERROR(INDEX(CHOOSE({1,2,3,4}, DAY(XT!U48), DAY(XT!Y48), DAY(XT!AC48), DAY(XT!AG48)), MATCH(1, INDEX(--(MONTH(CHOOSE({1,2,3,4}, XT!U48,XT!Y48,XT!AC48,XT!AG48))=3), 0), 0)), "")</f>
        <v/>
      </c>
      <c r="K48" s="51" t="str">
        <f>IF(XT!$P48&gt;0,J48,"")</f>
        <v/>
      </c>
      <c r="L48" s="51" t="str">
        <f>IF(XT!$P48=0,J48,"")</f>
        <v/>
      </c>
      <c r="M48">
        <f>SUMPRODUCT((MONTH(CHOOSE({1,2,3,4},XT!U48,XT!Y48,XT!AC48,XT!AG48))=4)*(CHOOSE({1,2,3,4},XT!X48,XT!AB48,XT!AF48,XT!AJ48)))</f>
        <v>0</v>
      </c>
      <c r="N48" t="str">
        <f>IFERROR(INDEX(CHOOSE({1,2,3,4}, DAY(XT!U48), DAY(XT!Y48), DAY(XT!AC48), DAY(XT!AG48)), MATCH(1, INDEX(--(MONTH(CHOOSE({1,2,3,4}, XT!U48,XT!Y48,XT!AC48,XT!AG48))=4), 0), 0)), "")</f>
        <v/>
      </c>
      <c r="O48" s="51" t="str">
        <f>IF(XT!$P48&gt;0,N48,"")</f>
        <v/>
      </c>
      <c r="P48" s="51" t="str">
        <f>IF(XT!$P48=0,N48,"")</f>
        <v/>
      </c>
      <c r="Q48">
        <f>SUMPRODUCT((MONTH(CHOOSE({1,2,3,4},XT!U48,XT!Y48,XT!AC48,XT!AG48))=5)*(CHOOSE({1,2,3,4},XT!X48,XT!AB48,XT!AF48,XT!AJ48)))</f>
        <v>0</v>
      </c>
      <c r="R48" t="str">
        <f>IFERROR(INDEX(CHOOSE({1,2,3,4}, DAY(XT!U48), DAY(XT!Y48), DAY(XT!AC48), DAY(XT!AG48)), MATCH(1, INDEX(--(MONTH(CHOOSE({1,2,3,4}, XT!U48,XT!Y48,XT!AC48,XT!AG48))=5), 0), 0)), "")</f>
        <v/>
      </c>
      <c r="S48" s="51" t="str">
        <f>IF(XT!$P48&gt;0,R48,"")</f>
        <v/>
      </c>
      <c r="T48" s="51" t="str">
        <f>IF(XT!$P48=0,R48,"")</f>
        <v/>
      </c>
      <c r="U48">
        <f>SUMPRODUCT((MONTH(CHOOSE({1,2,3,4},XT!U48,XT!Y48,XT!AC48,XT!AG48))=6)*(CHOOSE({1,2,3,4},XT!X48,XT!AB48,XT!AF48,XT!AJ48)))</f>
        <v>0</v>
      </c>
      <c r="V48" t="str">
        <f>IFERROR(INDEX(CHOOSE({1,2,3,4}, DAY(XT!U48), DAY(XT!Y48), DAY(XT!AC48), DAY(XT!AG48)), MATCH(1, INDEX(--(MONTH(CHOOSE({1,2,3,4}, XT!U48,XT!Y48,XT!AC48,XT!AG48))=6), 0), 0)), "")</f>
        <v/>
      </c>
      <c r="W48" s="51" t="str">
        <f>IF(XT!$P48&gt;0,V48,"")</f>
        <v/>
      </c>
      <c r="X48" s="51" t="str">
        <f>IF(XT!$P48=0,V48,"")</f>
        <v/>
      </c>
      <c r="Y48">
        <f>SUMPRODUCT((MONTH(CHOOSE({1,2,3,4},XT!U48,XT!Y48,XT!AC48,XT!AG48))=7)*(CHOOSE({1,2,3,4},XT!X48,XT!AB48,XT!AF48,XT!AJ48)))</f>
        <v>0</v>
      </c>
      <c r="Z48" t="str">
        <f>IFERROR(INDEX(CHOOSE({1,2,3,4}, DAY(XT!U48), DAY(XT!Y48), DAY(XT!AC48), DAY(XT!AG48)), MATCH(1, INDEX(--(MONTH(CHOOSE({1,2,3,4}, XT!U48,XT!Y48,XT!AC48,XT!AG48))=7), 0), 0)), "")</f>
        <v/>
      </c>
      <c r="AA48" s="51" t="str">
        <f>IF(XT!$P48&gt;0,Z48,"")</f>
        <v/>
      </c>
      <c r="AB48" s="51" t="str">
        <f>IF(XT!$P48=0,Z48,"")</f>
        <v/>
      </c>
      <c r="AC48">
        <f>SUMPRODUCT((MONTH(CHOOSE({1,2,3,4},XT!U48,XT!Y48,XT!AC48,XT!AG48))=8)*(CHOOSE({1,2,3,4},XT!X48,XT!AB48,XT!AF48,XT!AJ48)))</f>
        <v>0</v>
      </c>
      <c r="AD48" t="str">
        <f>IFERROR(INDEX(CHOOSE({1,2,3,4}, DAY(XT!U48), DAY(XT!Y48), DAY(XT!AC48), DAY(XT!AG48)), MATCH(1, INDEX(--(MONTH(CHOOSE({1,2,3,4}, XT!U48,XT!Y48,XT!AC48,XT!AG48))=8), 0), 0)), "")</f>
        <v/>
      </c>
      <c r="AE48" s="51" t="str">
        <f>IF(XT!$P48&gt;0,AD48,"")</f>
        <v/>
      </c>
      <c r="AF48" s="51" t="str">
        <f>IF(XT!$P48=0,AD48,"")</f>
        <v/>
      </c>
      <c r="AG48">
        <f>SUMPRODUCT((MONTH(CHOOSE({1,2,3,4},XT!U48,XT!Y48,XT!AC48,XT!AG48))=9)*(CHOOSE({1,2,3,4},XT!X48,XT!AB48,XT!AF48,XT!AJ48)))</f>
        <v>0</v>
      </c>
      <c r="AH48" t="str">
        <f>IFERROR(INDEX(CHOOSE({1,2,3,4}, DAY(XT!U48), DAY(XT!Y48), DAY(XT!AC48), DAY(XT!AG48)), MATCH(1, INDEX(--(MONTH(CHOOSE({1,2,3,4}, XT!U48,XT!Y48,XT!AC48,XT!AG48))=9), 0), 0)), "")</f>
        <v/>
      </c>
      <c r="AI48" s="51" t="str">
        <f>IF(XT!$P48&gt;0,AH48,"")</f>
        <v/>
      </c>
      <c r="AJ48" s="51" t="str">
        <f>IF(XT!$P48=0,AH48,"")</f>
        <v/>
      </c>
      <c r="AK48">
        <f>SUMPRODUCT((MONTH(CHOOSE({1,2,3,4},XT!U48,XT!Y48,XT!AC48,XT!AG48))=10)*(CHOOSE({1,2,3,4},XT!X48,XT!AB48,XT!AF48,XT!AJ48)))</f>
        <v>0</v>
      </c>
      <c r="AL48" t="str">
        <f>IFERROR(INDEX(CHOOSE({1,2,3,4}, DAY(XT!U48), DAY(XT!Y48), DAY(XT!AC48), DAY(XT!AG48)), MATCH(1, INDEX(--(MONTH(CHOOSE({1,2,3,4}, XT!U48,XT!Y48,XT!AC48,XT!AG48))=10), 0), 0)), "")</f>
        <v/>
      </c>
      <c r="AM48" s="51" t="str">
        <f>IF(XT!$P48&gt;0,AL48,"")</f>
        <v/>
      </c>
      <c r="AN48" s="51" t="str">
        <f>IF(XT!$P48=0,AL48,"")</f>
        <v/>
      </c>
      <c r="AO48">
        <f>SUMPRODUCT((MONTH(CHOOSE({1,2,3,4},XT!U48,XT!Y48,XT!AC48,XT!AG48))=11)*(CHOOSE({1,2,3,4},XT!X48,XT!AB48,XT!AF48,XT!AJ48)))</f>
        <v>0</v>
      </c>
      <c r="AP48" t="str">
        <f>IFERROR(INDEX(CHOOSE({1,2,3,4}, DAY(XT!U48), DAY(XT!Y48), DAY(XT!AC48), DAY(XT!AG48)), MATCH(1, INDEX(--(MONTH(CHOOSE({1,2,3,4}, XT!U48,XT!Y48,XT!AC48,XT!AG48))=11), 0), 0)), "")</f>
        <v/>
      </c>
      <c r="AQ48" s="51" t="str">
        <f>IF(XT!$P48&gt;0,AP48,"")</f>
        <v/>
      </c>
      <c r="AR48" s="51" t="str">
        <f>IF(XT!$P48=0,AP48,"")</f>
        <v/>
      </c>
      <c r="AS48">
        <f>SUMPRODUCT((MONTH(CHOOSE({1,2,3,4},XT!U48,XT!Y48,XT!AC48,XT!AG48))=12)*(CHOOSE({1,2,3,4},XT!X48,XT!AB48,XT!AF48,XT!AJ48)))</f>
        <v>0</v>
      </c>
      <c r="AT48" t="str">
        <f>IFERROR(INDEX(CHOOSE({1,2,3,4}, DAY(XT!U48), DAY(XT!Y48), DAY(XT!AC48), DAY(XT!AG48)), MATCH(1, INDEX(--(MONTH(CHOOSE({1,2,3,4}, XT!U48,XT!Y48,XT!AC48,XT!AG48))=12), 0), 0)), "")</f>
        <v/>
      </c>
      <c r="AU48" s="51" t="str">
        <f>IF(XT!$P48&gt;0,AT48,"")</f>
        <v/>
      </c>
      <c r="AV48" s="51" t="str">
        <f>IF(XT!$P48=0,AT48,"")</f>
        <v/>
      </c>
    </row>
    <row r="49" spans="1:48">
      <c r="A49">
        <f>SUMPRODUCT((MONTH(CHOOSE({1,2,3,4},XT!U49,XT!Y49,XT!AC49,XT!AG49))=1)*(CHOOSE({1,2,3,4},XT!X49,XT!AB49,XT!AF49,XT!AJ49)))</f>
        <v>0</v>
      </c>
      <c r="B49">
        <f>IFERROR(INDEX(CHOOSE({1,2,3,4}, DAY(XT!U49), DAY(XT!Y49), DAY(XT!AC49), DAY(XT!AG49)), MATCH(1, INDEX(--(MONTH(CHOOSE({1,2,3,4}, XT!U49,XT!Y49,XT!AC49,XT!AG49))=1), 0), 0)), "")</f>
        <v>0</v>
      </c>
      <c r="C49" s="51" t="str">
        <f>IF(XT!$P49&gt;0,B49,"")</f>
        <v/>
      </c>
      <c r="D49" s="51">
        <f>IF(XT!$P49=0,B49,"")</f>
        <v>0</v>
      </c>
      <c r="E49">
        <f>SUMPRODUCT((MONTH(CHOOSE({1,2,3,4},XT!U49,XT!Y49,XT!AC49,XT!AG49))=2)*(CHOOSE({1,2,3,4},XT!X49,XT!AB49,XT!AF49,XT!AJ49)))</f>
        <v>0</v>
      </c>
      <c r="F49" t="str">
        <f>IFERROR(INDEX(CHOOSE({1,2,3,4}, DAY(XT!U49), DAY(XT!Y49), DAY(XT!AC49), DAY(XT!AG49)), MATCH(1, INDEX(--(MONTH(CHOOSE({1,2,3,4}, XT!U49,XT!Y49,XT!AC49,XT!AG49))=2), 0), 0)), "")</f>
        <v/>
      </c>
      <c r="G49" s="51" t="str">
        <f>IF(XT!$P49&gt;0,F49,"")</f>
        <v/>
      </c>
      <c r="H49" s="51" t="str">
        <f>IF(XT!$P49=0,F49,"")</f>
        <v/>
      </c>
      <c r="I49">
        <f>SUMPRODUCT((MONTH(CHOOSE({1,2,3,4},XT!U49,XT!Y49,XT!AC49,XT!AG49))=3)*(CHOOSE({1,2,3,4},XT!X49,XT!AB49,XT!AF49,XT!AJ49)))</f>
        <v>0</v>
      </c>
      <c r="J49" t="str">
        <f>IFERROR(INDEX(CHOOSE({1,2,3,4}, DAY(XT!U49), DAY(XT!Y49), DAY(XT!AC49), DAY(XT!AG49)), MATCH(1, INDEX(--(MONTH(CHOOSE({1,2,3,4}, XT!U49,XT!Y49,XT!AC49,XT!AG49))=3), 0), 0)), "")</f>
        <v/>
      </c>
      <c r="K49" s="51" t="str">
        <f>IF(XT!$P49&gt;0,J49,"")</f>
        <v/>
      </c>
      <c r="L49" s="51" t="str">
        <f>IF(XT!$P49=0,J49,"")</f>
        <v/>
      </c>
      <c r="M49">
        <f>SUMPRODUCT((MONTH(CHOOSE({1,2,3,4},XT!U49,XT!Y49,XT!AC49,XT!AG49))=4)*(CHOOSE({1,2,3,4},XT!X49,XT!AB49,XT!AF49,XT!AJ49)))</f>
        <v>0</v>
      </c>
      <c r="N49" t="str">
        <f>IFERROR(INDEX(CHOOSE({1,2,3,4}, DAY(XT!U49), DAY(XT!Y49), DAY(XT!AC49), DAY(XT!AG49)), MATCH(1, INDEX(--(MONTH(CHOOSE({1,2,3,4}, XT!U49,XT!Y49,XT!AC49,XT!AG49))=4), 0), 0)), "")</f>
        <v/>
      </c>
      <c r="O49" s="51" t="str">
        <f>IF(XT!$P49&gt;0,N49,"")</f>
        <v/>
      </c>
      <c r="P49" s="51" t="str">
        <f>IF(XT!$P49=0,N49,"")</f>
        <v/>
      </c>
      <c r="Q49">
        <f>SUMPRODUCT((MONTH(CHOOSE({1,2,3,4},XT!U49,XT!Y49,XT!AC49,XT!AG49))=5)*(CHOOSE({1,2,3,4},XT!X49,XT!AB49,XT!AF49,XT!AJ49)))</f>
        <v>0</v>
      </c>
      <c r="R49" t="str">
        <f>IFERROR(INDEX(CHOOSE({1,2,3,4}, DAY(XT!U49), DAY(XT!Y49), DAY(XT!AC49), DAY(XT!AG49)), MATCH(1, INDEX(--(MONTH(CHOOSE({1,2,3,4}, XT!U49,XT!Y49,XT!AC49,XT!AG49))=5), 0), 0)), "")</f>
        <v/>
      </c>
      <c r="S49" s="51" t="str">
        <f>IF(XT!$P49&gt;0,R49,"")</f>
        <v/>
      </c>
      <c r="T49" s="51" t="str">
        <f>IF(XT!$P49=0,R49,"")</f>
        <v/>
      </c>
      <c r="U49">
        <f>SUMPRODUCT((MONTH(CHOOSE({1,2,3,4},XT!U49,XT!Y49,XT!AC49,XT!AG49))=6)*(CHOOSE({1,2,3,4},XT!X49,XT!AB49,XT!AF49,XT!AJ49)))</f>
        <v>0</v>
      </c>
      <c r="V49" t="str">
        <f>IFERROR(INDEX(CHOOSE({1,2,3,4}, DAY(XT!U49), DAY(XT!Y49), DAY(XT!AC49), DAY(XT!AG49)), MATCH(1, INDEX(--(MONTH(CHOOSE({1,2,3,4}, XT!U49,XT!Y49,XT!AC49,XT!AG49))=6), 0), 0)), "")</f>
        <v/>
      </c>
      <c r="W49" s="51" t="str">
        <f>IF(XT!$P49&gt;0,V49,"")</f>
        <v/>
      </c>
      <c r="X49" s="51" t="str">
        <f>IF(XT!$P49=0,V49,"")</f>
        <v/>
      </c>
      <c r="Y49">
        <f>SUMPRODUCT((MONTH(CHOOSE({1,2,3,4},XT!U49,XT!Y49,XT!AC49,XT!AG49))=7)*(CHOOSE({1,2,3,4},XT!X49,XT!AB49,XT!AF49,XT!AJ49)))</f>
        <v>0</v>
      </c>
      <c r="Z49" t="str">
        <f>IFERROR(INDEX(CHOOSE({1,2,3,4}, DAY(XT!U49), DAY(XT!Y49), DAY(XT!AC49), DAY(XT!AG49)), MATCH(1, INDEX(--(MONTH(CHOOSE({1,2,3,4}, XT!U49,XT!Y49,XT!AC49,XT!AG49))=7), 0), 0)), "")</f>
        <v/>
      </c>
      <c r="AA49" s="51" t="str">
        <f>IF(XT!$P49&gt;0,Z49,"")</f>
        <v/>
      </c>
      <c r="AB49" s="51" t="str">
        <f>IF(XT!$P49=0,Z49,"")</f>
        <v/>
      </c>
      <c r="AC49">
        <f>SUMPRODUCT((MONTH(CHOOSE({1,2,3,4},XT!U49,XT!Y49,XT!AC49,XT!AG49))=8)*(CHOOSE({1,2,3,4},XT!X49,XT!AB49,XT!AF49,XT!AJ49)))</f>
        <v>0</v>
      </c>
      <c r="AD49" t="str">
        <f>IFERROR(INDEX(CHOOSE({1,2,3,4}, DAY(XT!U49), DAY(XT!Y49), DAY(XT!AC49), DAY(XT!AG49)), MATCH(1, INDEX(--(MONTH(CHOOSE({1,2,3,4}, XT!U49,XT!Y49,XT!AC49,XT!AG49))=8), 0), 0)), "")</f>
        <v/>
      </c>
      <c r="AE49" s="51" t="str">
        <f>IF(XT!$P49&gt;0,AD49,"")</f>
        <v/>
      </c>
      <c r="AF49" s="51" t="str">
        <f>IF(XT!$P49=0,AD49,"")</f>
        <v/>
      </c>
      <c r="AG49">
        <f>SUMPRODUCT((MONTH(CHOOSE({1,2,3,4},XT!U49,XT!Y49,XT!AC49,XT!AG49))=9)*(CHOOSE({1,2,3,4},XT!X49,XT!AB49,XT!AF49,XT!AJ49)))</f>
        <v>0</v>
      </c>
      <c r="AH49" t="str">
        <f>IFERROR(INDEX(CHOOSE({1,2,3,4}, DAY(XT!U49), DAY(XT!Y49), DAY(XT!AC49), DAY(XT!AG49)), MATCH(1, INDEX(--(MONTH(CHOOSE({1,2,3,4}, XT!U49,XT!Y49,XT!AC49,XT!AG49))=9), 0), 0)), "")</f>
        <v/>
      </c>
      <c r="AI49" s="51" t="str">
        <f>IF(XT!$P49&gt;0,AH49,"")</f>
        <v/>
      </c>
      <c r="AJ49" s="51" t="str">
        <f>IF(XT!$P49=0,AH49,"")</f>
        <v/>
      </c>
      <c r="AK49">
        <f>SUMPRODUCT((MONTH(CHOOSE({1,2,3,4},XT!U49,XT!Y49,XT!AC49,XT!AG49))=10)*(CHOOSE({1,2,3,4},XT!X49,XT!AB49,XT!AF49,XT!AJ49)))</f>
        <v>0</v>
      </c>
      <c r="AL49" t="str">
        <f>IFERROR(INDEX(CHOOSE({1,2,3,4}, DAY(XT!U49), DAY(XT!Y49), DAY(XT!AC49), DAY(XT!AG49)), MATCH(1, INDEX(--(MONTH(CHOOSE({1,2,3,4}, XT!U49,XT!Y49,XT!AC49,XT!AG49))=10), 0), 0)), "")</f>
        <v/>
      </c>
      <c r="AM49" s="51" t="str">
        <f>IF(XT!$P49&gt;0,AL49,"")</f>
        <v/>
      </c>
      <c r="AN49" s="51" t="str">
        <f>IF(XT!$P49=0,AL49,"")</f>
        <v/>
      </c>
      <c r="AO49">
        <f>SUMPRODUCT((MONTH(CHOOSE({1,2,3,4},XT!U49,XT!Y49,XT!AC49,XT!AG49))=11)*(CHOOSE({1,2,3,4},XT!X49,XT!AB49,XT!AF49,XT!AJ49)))</f>
        <v>0</v>
      </c>
      <c r="AP49" t="str">
        <f>IFERROR(INDEX(CHOOSE({1,2,3,4}, DAY(XT!U49), DAY(XT!Y49), DAY(XT!AC49), DAY(XT!AG49)), MATCH(1, INDEX(--(MONTH(CHOOSE({1,2,3,4}, XT!U49,XT!Y49,XT!AC49,XT!AG49))=11), 0), 0)), "")</f>
        <v/>
      </c>
      <c r="AQ49" s="51" t="str">
        <f>IF(XT!$P49&gt;0,AP49,"")</f>
        <v/>
      </c>
      <c r="AR49" s="51" t="str">
        <f>IF(XT!$P49=0,AP49,"")</f>
        <v/>
      </c>
      <c r="AS49">
        <f>SUMPRODUCT((MONTH(CHOOSE({1,2,3,4},XT!U49,XT!Y49,XT!AC49,XT!AG49))=12)*(CHOOSE({1,2,3,4},XT!X49,XT!AB49,XT!AF49,XT!AJ49)))</f>
        <v>0</v>
      </c>
      <c r="AT49" t="str">
        <f>IFERROR(INDEX(CHOOSE({1,2,3,4}, DAY(XT!U49), DAY(XT!Y49), DAY(XT!AC49), DAY(XT!AG49)), MATCH(1, INDEX(--(MONTH(CHOOSE({1,2,3,4}, XT!U49,XT!Y49,XT!AC49,XT!AG49))=12), 0), 0)), "")</f>
        <v/>
      </c>
      <c r="AU49" s="51" t="str">
        <f>IF(XT!$P49&gt;0,AT49,"")</f>
        <v/>
      </c>
      <c r="AV49" s="51" t="str">
        <f>IF(XT!$P49=0,AT49,"")</f>
        <v/>
      </c>
    </row>
    <row r="50" spans="1:48">
      <c r="A50">
        <f>SUMPRODUCT((MONTH(CHOOSE({1,2,3,4},XT!U50,XT!Y50,XT!AC50,XT!AG50))=1)*(CHOOSE({1,2,3,4},XT!X50,XT!AB50,XT!AF50,XT!AJ50)))</f>
        <v>0</v>
      </c>
      <c r="B50">
        <f>IFERROR(INDEX(CHOOSE({1,2,3,4}, DAY(XT!U50), DAY(XT!Y50), DAY(XT!AC50), DAY(XT!AG50)), MATCH(1, INDEX(--(MONTH(CHOOSE({1,2,3,4}, XT!U50,XT!Y50,XT!AC50,XT!AG50))=1), 0), 0)), "")</f>
        <v>0</v>
      </c>
      <c r="C50" s="51" t="str">
        <f>IF(XT!$P50&gt;0,B50,"")</f>
        <v/>
      </c>
      <c r="D50" s="51">
        <f>IF(XT!$P50=0,B50,"")</f>
        <v>0</v>
      </c>
      <c r="E50">
        <f>SUMPRODUCT((MONTH(CHOOSE({1,2,3,4},XT!U50,XT!Y50,XT!AC50,XT!AG50))=2)*(CHOOSE({1,2,3,4},XT!X50,XT!AB50,XT!AF50,XT!AJ50)))</f>
        <v>0</v>
      </c>
      <c r="F50" t="str">
        <f>IFERROR(INDEX(CHOOSE({1,2,3,4}, DAY(XT!U50), DAY(XT!Y50), DAY(XT!AC50), DAY(XT!AG50)), MATCH(1, INDEX(--(MONTH(CHOOSE({1,2,3,4}, XT!U50,XT!Y50,XT!AC50,XT!AG50))=2), 0), 0)), "")</f>
        <v/>
      </c>
      <c r="G50" s="51" t="str">
        <f>IF(XT!$P50&gt;0,F50,"")</f>
        <v/>
      </c>
      <c r="H50" s="51" t="str">
        <f>IF(XT!$P50=0,F50,"")</f>
        <v/>
      </c>
      <c r="I50">
        <f>SUMPRODUCT((MONTH(CHOOSE({1,2,3,4},XT!U50,XT!Y50,XT!AC50,XT!AG50))=3)*(CHOOSE({1,2,3,4},XT!X50,XT!AB50,XT!AF50,XT!AJ50)))</f>
        <v>0</v>
      </c>
      <c r="J50" t="str">
        <f>IFERROR(INDEX(CHOOSE({1,2,3,4}, DAY(XT!U50), DAY(XT!Y50), DAY(XT!AC50), DAY(XT!AG50)), MATCH(1, INDEX(--(MONTH(CHOOSE({1,2,3,4}, XT!U50,XT!Y50,XT!AC50,XT!AG50))=3), 0), 0)), "")</f>
        <v/>
      </c>
      <c r="K50" s="51" t="str">
        <f>IF(XT!$P50&gt;0,J50,"")</f>
        <v/>
      </c>
      <c r="L50" s="51" t="str">
        <f>IF(XT!$P50=0,J50,"")</f>
        <v/>
      </c>
      <c r="M50">
        <f>SUMPRODUCT((MONTH(CHOOSE({1,2,3,4},XT!U50,XT!Y50,XT!AC50,XT!AG50))=4)*(CHOOSE({1,2,3,4},XT!X50,XT!AB50,XT!AF50,XT!AJ50)))</f>
        <v>0</v>
      </c>
      <c r="N50" t="str">
        <f>IFERROR(INDEX(CHOOSE({1,2,3,4}, DAY(XT!U50), DAY(XT!Y50), DAY(XT!AC50), DAY(XT!AG50)), MATCH(1, INDEX(--(MONTH(CHOOSE({1,2,3,4}, XT!U50,XT!Y50,XT!AC50,XT!AG50))=4), 0), 0)), "")</f>
        <v/>
      </c>
      <c r="O50" s="51" t="str">
        <f>IF(XT!$P50&gt;0,N50,"")</f>
        <v/>
      </c>
      <c r="P50" s="51" t="str">
        <f>IF(XT!$P50=0,N50,"")</f>
        <v/>
      </c>
      <c r="Q50">
        <f>SUMPRODUCT((MONTH(CHOOSE({1,2,3,4},XT!U50,XT!Y50,XT!AC50,XT!AG50))=5)*(CHOOSE({1,2,3,4},XT!X50,XT!AB50,XT!AF50,XT!AJ50)))</f>
        <v>0</v>
      </c>
      <c r="R50" t="str">
        <f>IFERROR(INDEX(CHOOSE({1,2,3,4}, DAY(XT!U50), DAY(XT!Y50), DAY(XT!AC50), DAY(XT!AG50)), MATCH(1, INDEX(--(MONTH(CHOOSE({1,2,3,4}, XT!U50,XT!Y50,XT!AC50,XT!AG50))=5), 0), 0)), "")</f>
        <v/>
      </c>
      <c r="S50" s="51" t="str">
        <f>IF(XT!$P50&gt;0,R50,"")</f>
        <v/>
      </c>
      <c r="T50" s="51" t="str">
        <f>IF(XT!$P50=0,R50,"")</f>
        <v/>
      </c>
      <c r="U50">
        <f>SUMPRODUCT((MONTH(CHOOSE({1,2,3,4},XT!U50,XT!Y50,XT!AC50,XT!AG50))=6)*(CHOOSE({1,2,3,4},XT!X50,XT!AB50,XT!AF50,XT!AJ50)))</f>
        <v>0</v>
      </c>
      <c r="V50" t="str">
        <f>IFERROR(INDEX(CHOOSE({1,2,3,4}, DAY(XT!U50), DAY(XT!Y50), DAY(XT!AC50), DAY(XT!AG50)), MATCH(1, INDEX(--(MONTH(CHOOSE({1,2,3,4}, XT!U50,XT!Y50,XT!AC50,XT!AG50))=6), 0), 0)), "")</f>
        <v/>
      </c>
      <c r="W50" s="51" t="str">
        <f>IF(XT!$P50&gt;0,V50,"")</f>
        <v/>
      </c>
      <c r="X50" s="51" t="str">
        <f>IF(XT!$P50=0,V50,"")</f>
        <v/>
      </c>
      <c r="Y50">
        <f>SUMPRODUCT((MONTH(CHOOSE({1,2,3,4},XT!U50,XT!Y50,XT!AC50,XT!AG50))=7)*(CHOOSE({1,2,3,4},XT!X50,XT!AB50,XT!AF50,XT!AJ50)))</f>
        <v>0</v>
      </c>
      <c r="Z50" t="str">
        <f>IFERROR(INDEX(CHOOSE({1,2,3,4}, DAY(XT!U50), DAY(XT!Y50), DAY(XT!AC50), DAY(XT!AG50)), MATCH(1, INDEX(--(MONTH(CHOOSE({1,2,3,4}, XT!U50,XT!Y50,XT!AC50,XT!AG50))=7), 0), 0)), "")</f>
        <v/>
      </c>
      <c r="AA50" s="51" t="str">
        <f>IF(XT!$P50&gt;0,Z50,"")</f>
        <v/>
      </c>
      <c r="AB50" s="51" t="str">
        <f>IF(XT!$P50=0,Z50,"")</f>
        <v/>
      </c>
      <c r="AC50">
        <f>SUMPRODUCT((MONTH(CHOOSE({1,2,3,4},XT!U50,XT!Y50,XT!AC50,XT!AG50))=8)*(CHOOSE({1,2,3,4},XT!X50,XT!AB50,XT!AF50,XT!AJ50)))</f>
        <v>0</v>
      </c>
      <c r="AD50" t="str">
        <f>IFERROR(INDEX(CHOOSE({1,2,3,4}, DAY(XT!U50), DAY(XT!Y50), DAY(XT!AC50), DAY(XT!AG50)), MATCH(1, INDEX(--(MONTH(CHOOSE({1,2,3,4}, XT!U50,XT!Y50,XT!AC50,XT!AG50))=8), 0), 0)), "")</f>
        <v/>
      </c>
      <c r="AE50" s="51" t="str">
        <f>IF(XT!$P50&gt;0,AD50,"")</f>
        <v/>
      </c>
      <c r="AF50" s="51" t="str">
        <f>IF(XT!$P50=0,AD50,"")</f>
        <v/>
      </c>
      <c r="AG50">
        <f>SUMPRODUCT((MONTH(CHOOSE({1,2,3,4},XT!U50,XT!Y50,XT!AC50,XT!AG50))=9)*(CHOOSE({1,2,3,4},XT!X50,XT!AB50,XT!AF50,XT!AJ50)))</f>
        <v>0</v>
      </c>
      <c r="AH50" t="str">
        <f>IFERROR(INDEX(CHOOSE({1,2,3,4}, DAY(XT!U50), DAY(XT!Y50), DAY(XT!AC50), DAY(XT!AG50)), MATCH(1, INDEX(--(MONTH(CHOOSE({1,2,3,4}, XT!U50,XT!Y50,XT!AC50,XT!AG50))=9), 0), 0)), "")</f>
        <v/>
      </c>
      <c r="AI50" s="51" t="str">
        <f>IF(XT!$P50&gt;0,AH50,"")</f>
        <v/>
      </c>
      <c r="AJ50" s="51" t="str">
        <f>IF(XT!$P50=0,AH50,"")</f>
        <v/>
      </c>
      <c r="AK50">
        <f>SUMPRODUCT((MONTH(CHOOSE({1,2,3,4},XT!U50,XT!Y50,XT!AC50,XT!AG50))=10)*(CHOOSE({1,2,3,4},XT!X50,XT!AB50,XT!AF50,XT!AJ50)))</f>
        <v>0</v>
      </c>
      <c r="AL50" t="str">
        <f>IFERROR(INDEX(CHOOSE({1,2,3,4}, DAY(XT!U50), DAY(XT!Y50), DAY(XT!AC50), DAY(XT!AG50)), MATCH(1, INDEX(--(MONTH(CHOOSE({1,2,3,4}, XT!U50,XT!Y50,XT!AC50,XT!AG50))=10), 0), 0)), "")</f>
        <v/>
      </c>
      <c r="AM50" s="51" t="str">
        <f>IF(XT!$P50&gt;0,AL50,"")</f>
        <v/>
      </c>
      <c r="AN50" s="51" t="str">
        <f>IF(XT!$P50=0,AL50,"")</f>
        <v/>
      </c>
      <c r="AO50">
        <f>SUMPRODUCT((MONTH(CHOOSE({1,2,3,4},XT!U50,XT!Y50,XT!AC50,XT!AG50))=11)*(CHOOSE({1,2,3,4},XT!X50,XT!AB50,XT!AF50,XT!AJ50)))</f>
        <v>0</v>
      </c>
      <c r="AP50" t="str">
        <f>IFERROR(INDEX(CHOOSE({1,2,3,4}, DAY(XT!U50), DAY(XT!Y50), DAY(XT!AC50), DAY(XT!AG50)), MATCH(1, INDEX(--(MONTH(CHOOSE({1,2,3,4}, XT!U50,XT!Y50,XT!AC50,XT!AG50))=11), 0), 0)), "")</f>
        <v/>
      </c>
      <c r="AQ50" s="51" t="str">
        <f>IF(XT!$P50&gt;0,AP50,"")</f>
        <v/>
      </c>
      <c r="AR50" s="51" t="str">
        <f>IF(XT!$P50=0,AP50,"")</f>
        <v/>
      </c>
      <c r="AS50">
        <f>SUMPRODUCT((MONTH(CHOOSE({1,2,3,4},XT!U50,XT!Y50,XT!AC50,XT!AG50))=12)*(CHOOSE({1,2,3,4},XT!X50,XT!AB50,XT!AF50,XT!AJ50)))</f>
        <v>0</v>
      </c>
      <c r="AT50" t="str">
        <f>IFERROR(INDEX(CHOOSE({1,2,3,4}, DAY(XT!U50), DAY(XT!Y50), DAY(XT!AC50), DAY(XT!AG50)), MATCH(1, INDEX(--(MONTH(CHOOSE({1,2,3,4}, XT!U50,XT!Y50,XT!AC50,XT!AG50))=12), 0), 0)), "")</f>
        <v/>
      </c>
      <c r="AU50" s="51" t="str">
        <f>IF(XT!$P50&gt;0,AT50,"")</f>
        <v/>
      </c>
      <c r="AV50" s="51" t="str">
        <f>IF(XT!$P50=0,AT50,"")</f>
        <v/>
      </c>
    </row>
    <row r="51" spans="1:48">
      <c r="A51">
        <f>SUMPRODUCT((MONTH(CHOOSE({1,2,3,4},XT!U51,XT!Y51,XT!AC51,XT!AG51))=1)*(CHOOSE({1,2,3,4},XT!X51,XT!AB51,XT!AF51,XT!AJ51)))</f>
        <v>0</v>
      </c>
      <c r="B51">
        <f>IFERROR(INDEX(CHOOSE({1,2,3,4}, DAY(XT!U51), DAY(XT!Y51), DAY(XT!AC51), DAY(XT!AG51)), MATCH(1, INDEX(--(MONTH(CHOOSE({1,2,3,4}, XT!U51,XT!Y51,XT!AC51,XT!AG51))=1), 0), 0)), "")</f>
        <v>0</v>
      </c>
      <c r="C51" s="51" t="str">
        <f>IF(XT!$P51&gt;0,B51,"")</f>
        <v/>
      </c>
      <c r="D51" s="51">
        <f>IF(XT!$P51=0,B51,"")</f>
        <v>0</v>
      </c>
      <c r="E51">
        <f>SUMPRODUCT((MONTH(CHOOSE({1,2,3,4},XT!U51,XT!Y51,XT!AC51,XT!AG51))=2)*(CHOOSE({1,2,3,4},XT!X51,XT!AB51,XT!AF51,XT!AJ51)))</f>
        <v>0</v>
      </c>
      <c r="F51" t="str">
        <f>IFERROR(INDEX(CHOOSE({1,2,3,4}, DAY(XT!U51), DAY(XT!Y51), DAY(XT!AC51), DAY(XT!AG51)), MATCH(1, INDEX(--(MONTH(CHOOSE({1,2,3,4}, XT!U51,XT!Y51,XT!AC51,XT!AG51))=2), 0), 0)), "")</f>
        <v/>
      </c>
      <c r="G51" s="51" t="str">
        <f>IF(XT!$P51&gt;0,F51,"")</f>
        <v/>
      </c>
      <c r="H51" s="51" t="str">
        <f>IF(XT!$P51=0,F51,"")</f>
        <v/>
      </c>
      <c r="I51">
        <f>SUMPRODUCT((MONTH(CHOOSE({1,2,3,4},XT!U51,XT!Y51,XT!AC51,XT!AG51))=3)*(CHOOSE({1,2,3,4},XT!X51,XT!AB51,XT!AF51,XT!AJ51)))</f>
        <v>0</v>
      </c>
      <c r="J51" t="str">
        <f>IFERROR(INDEX(CHOOSE({1,2,3,4}, DAY(XT!U51), DAY(XT!Y51), DAY(XT!AC51), DAY(XT!AG51)), MATCH(1, INDEX(--(MONTH(CHOOSE({1,2,3,4}, XT!U51,XT!Y51,XT!AC51,XT!AG51))=3), 0), 0)), "")</f>
        <v/>
      </c>
      <c r="K51" s="51" t="str">
        <f>IF(XT!$P51&gt;0,J51,"")</f>
        <v/>
      </c>
      <c r="L51" s="51" t="str">
        <f>IF(XT!$P51=0,J51,"")</f>
        <v/>
      </c>
      <c r="M51">
        <f>SUMPRODUCT((MONTH(CHOOSE({1,2,3,4},XT!U51,XT!Y51,XT!AC51,XT!AG51))=4)*(CHOOSE({1,2,3,4},XT!X51,XT!AB51,XT!AF51,XT!AJ51)))</f>
        <v>0</v>
      </c>
      <c r="N51" t="str">
        <f>IFERROR(INDEX(CHOOSE({1,2,3,4}, DAY(XT!U51), DAY(XT!Y51), DAY(XT!AC51), DAY(XT!AG51)), MATCH(1, INDEX(--(MONTH(CHOOSE({1,2,3,4}, XT!U51,XT!Y51,XT!AC51,XT!AG51))=4), 0), 0)), "")</f>
        <v/>
      </c>
      <c r="O51" s="51" t="str">
        <f>IF(XT!$P51&gt;0,N51,"")</f>
        <v/>
      </c>
      <c r="P51" s="51" t="str">
        <f>IF(XT!$P51=0,N51,"")</f>
        <v/>
      </c>
      <c r="Q51">
        <f>SUMPRODUCT((MONTH(CHOOSE({1,2,3,4},XT!U51,XT!Y51,XT!AC51,XT!AG51))=5)*(CHOOSE({1,2,3,4},XT!X51,XT!AB51,XT!AF51,XT!AJ51)))</f>
        <v>0</v>
      </c>
      <c r="R51" t="str">
        <f>IFERROR(INDEX(CHOOSE({1,2,3,4}, DAY(XT!U51), DAY(XT!Y51), DAY(XT!AC51), DAY(XT!AG51)), MATCH(1, INDEX(--(MONTH(CHOOSE({1,2,3,4}, XT!U51,XT!Y51,XT!AC51,XT!AG51))=5), 0), 0)), "")</f>
        <v/>
      </c>
      <c r="S51" s="51" t="str">
        <f>IF(XT!$P51&gt;0,R51,"")</f>
        <v/>
      </c>
      <c r="T51" s="51" t="str">
        <f>IF(XT!$P51=0,R51,"")</f>
        <v/>
      </c>
      <c r="U51">
        <f>SUMPRODUCT((MONTH(CHOOSE({1,2,3,4},XT!U51,XT!Y51,XT!AC51,XT!AG51))=6)*(CHOOSE({1,2,3,4},XT!X51,XT!AB51,XT!AF51,XT!AJ51)))</f>
        <v>0</v>
      </c>
      <c r="V51" t="str">
        <f>IFERROR(INDEX(CHOOSE({1,2,3,4}, DAY(XT!U51), DAY(XT!Y51), DAY(XT!AC51), DAY(XT!AG51)), MATCH(1, INDEX(--(MONTH(CHOOSE({1,2,3,4}, XT!U51,XT!Y51,XT!AC51,XT!AG51))=6), 0), 0)), "")</f>
        <v/>
      </c>
      <c r="W51" s="51" t="str">
        <f>IF(XT!$P51&gt;0,V51,"")</f>
        <v/>
      </c>
      <c r="X51" s="51" t="str">
        <f>IF(XT!$P51=0,V51,"")</f>
        <v/>
      </c>
      <c r="Y51">
        <f>SUMPRODUCT((MONTH(CHOOSE({1,2,3,4},XT!U51,XT!Y51,XT!AC51,XT!AG51))=7)*(CHOOSE({1,2,3,4},XT!X51,XT!AB51,XT!AF51,XT!AJ51)))</f>
        <v>0</v>
      </c>
      <c r="Z51" t="str">
        <f>IFERROR(INDEX(CHOOSE({1,2,3,4}, DAY(XT!U51), DAY(XT!Y51), DAY(XT!AC51), DAY(XT!AG51)), MATCH(1, INDEX(--(MONTH(CHOOSE({1,2,3,4}, XT!U51,XT!Y51,XT!AC51,XT!AG51))=7), 0), 0)), "")</f>
        <v/>
      </c>
      <c r="AA51" s="51" t="str">
        <f>IF(XT!$P51&gt;0,Z51,"")</f>
        <v/>
      </c>
      <c r="AB51" s="51" t="str">
        <f>IF(XT!$P51=0,Z51,"")</f>
        <v/>
      </c>
      <c r="AC51">
        <f>SUMPRODUCT((MONTH(CHOOSE({1,2,3,4},XT!U51,XT!Y51,XT!AC51,XT!AG51))=8)*(CHOOSE({1,2,3,4},XT!X51,XT!AB51,XT!AF51,XT!AJ51)))</f>
        <v>0</v>
      </c>
      <c r="AD51" t="str">
        <f>IFERROR(INDEX(CHOOSE({1,2,3,4}, DAY(XT!U51), DAY(XT!Y51), DAY(XT!AC51), DAY(XT!AG51)), MATCH(1, INDEX(--(MONTH(CHOOSE({1,2,3,4}, XT!U51,XT!Y51,XT!AC51,XT!AG51))=8), 0), 0)), "")</f>
        <v/>
      </c>
      <c r="AE51" s="51" t="str">
        <f>IF(XT!$P51&gt;0,AD51,"")</f>
        <v/>
      </c>
      <c r="AF51" s="51" t="str">
        <f>IF(XT!$P51=0,AD51,"")</f>
        <v/>
      </c>
      <c r="AG51">
        <f>SUMPRODUCT((MONTH(CHOOSE({1,2,3,4},XT!U51,XT!Y51,XT!AC51,XT!AG51))=9)*(CHOOSE({1,2,3,4},XT!X51,XT!AB51,XT!AF51,XT!AJ51)))</f>
        <v>0</v>
      </c>
      <c r="AH51" t="str">
        <f>IFERROR(INDEX(CHOOSE({1,2,3,4}, DAY(XT!U51), DAY(XT!Y51), DAY(XT!AC51), DAY(XT!AG51)), MATCH(1, INDEX(--(MONTH(CHOOSE({1,2,3,4}, XT!U51,XT!Y51,XT!AC51,XT!AG51))=9), 0), 0)), "")</f>
        <v/>
      </c>
      <c r="AI51" s="51" t="str">
        <f>IF(XT!$P51&gt;0,AH51,"")</f>
        <v/>
      </c>
      <c r="AJ51" s="51" t="str">
        <f>IF(XT!$P51=0,AH51,"")</f>
        <v/>
      </c>
      <c r="AK51">
        <f>SUMPRODUCT((MONTH(CHOOSE({1,2,3,4},XT!U51,XT!Y51,XT!AC51,XT!AG51))=10)*(CHOOSE({1,2,3,4},XT!X51,XT!AB51,XT!AF51,XT!AJ51)))</f>
        <v>0</v>
      </c>
      <c r="AL51" t="str">
        <f>IFERROR(INDEX(CHOOSE({1,2,3,4}, DAY(XT!U51), DAY(XT!Y51), DAY(XT!AC51), DAY(XT!AG51)), MATCH(1, INDEX(--(MONTH(CHOOSE({1,2,3,4}, XT!U51,XT!Y51,XT!AC51,XT!AG51))=10), 0), 0)), "")</f>
        <v/>
      </c>
      <c r="AM51" s="51" t="str">
        <f>IF(XT!$P51&gt;0,AL51,"")</f>
        <v/>
      </c>
      <c r="AN51" s="51" t="str">
        <f>IF(XT!$P51=0,AL51,"")</f>
        <v/>
      </c>
      <c r="AO51">
        <f>SUMPRODUCT((MONTH(CHOOSE({1,2,3,4},XT!U51,XT!Y51,XT!AC51,XT!AG51))=11)*(CHOOSE({1,2,3,4},XT!X51,XT!AB51,XT!AF51,XT!AJ51)))</f>
        <v>0</v>
      </c>
      <c r="AP51" t="str">
        <f>IFERROR(INDEX(CHOOSE({1,2,3,4}, DAY(XT!U51), DAY(XT!Y51), DAY(XT!AC51), DAY(XT!AG51)), MATCH(1, INDEX(--(MONTH(CHOOSE({1,2,3,4}, XT!U51,XT!Y51,XT!AC51,XT!AG51))=11), 0), 0)), "")</f>
        <v/>
      </c>
      <c r="AQ51" s="51" t="str">
        <f>IF(XT!$P51&gt;0,AP51,"")</f>
        <v/>
      </c>
      <c r="AR51" s="51" t="str">
        <f>IF(XT!$P51=0,AP51,"")</f>
        <v/>
      </c>
      <c r="AS51">
        <f>SUMPRODUCT((MONTH(CHOOSE({1,2,3,4},XT!U51,XT!Y51,XT!AC51,XT!AG51))=12)*(CHOOSE({1,2,3,4},XT!X51,XT!AB51,XT!AF51,XT!AJ51)))</f>
        <v>0</v>
      </c>
      <c r="AT51" t="str">
        <f>IFERROR(INDEX(CHOOSE({1,2,3,4}, DAY(XT!U51), DAY(XT!Y51), DAY(XT!AC51), DAY(XT!AG51)), MATCH(1, INDEX(--(MONTH(CHOOSE({1,2,3,4}, XT!U51,XT!Y51,XT!AC51,XT!AG51))=12), 0), 0)), "")</f>
        <v/>
      </c>
      <c r="AU51" s="51" t="str">
        <f>IF(XT!$P51&gt;0,AT51,"")</f>
        <v/>
      </c>
      <c r="AV51" s="51" t="str">
        <f>IF(XT!$P51=0,AT51,"")</f>
        <v/>
      </c>
    </row>
    <row r="52" spans="1:48">
      <c r="A52">
        <f>SUMPRODUCT((MONTH(CHOOSE({1,2,3,4},XT!U52,XT!Y52,XT!AC52,XT!AG52))=1)*(CHOOSE({1,2,3,4},XT!X52,XT!AB52,XT!AF52,XT!AJ52)))</f>
        <v>0</v>
      </c>
      <c r="B52">
        <f>IFERROR(INDEX(CHOOSE({1,2,3,4}, DAY(XT!U52), DAY(XT!Y52), DAY(XT!AC52), DAY(XT!AG52)), MATCH(1, INDEX(--(MONTH(CHOOSE({1,2,3,4}, XT!U52,XT!Y52,XT!AC52,XT!AG52))=1), 0), 0)), "")</f>
        <v>0</v>
      </c>
      <c r="C52" s="51" t="str">
        <f>IF(XT!$P52&gt;0,B52,"")</f>
        <v/>
      </c>
      <c r="D52" s="51">
        <f>IF(XT!$P52=0,B52,"")</f>
        <v>0</v>
      </c>
      <c r="E52">
        <f>SUMPRODUCT((MONTH(CHOOSE({1,2,3,4},XT!U52,XT!Y52,XT!AC52,XT!AG52))=2)*(CHOOSE({1,2,3,4},XT!X52,XT!AB52,XT!AF52,XT!AJ52)))</f>
        <v>0</v>
      </c>
      <c r="F52" t="str">
        <f>IFERROR(INDEX(CHOOSE({1,2,3,4}, DAY(XT!U52), DAY(XT!Y52), DAY(XT!AC52), DAY(XT!AG52)), MATCH(1, INDEX(--(MONTH(CHOOSE({1,2,3,4}, XT!U52,XT!Y52,XT!AC52,XT!AG52))=2), 0), 0)), "")</f>
        <v/>
      </c>
      <c r="G52" s="51" t="str">
        <f>IF(XT!$P52&gt;0,F52,"")</f>
        <v/>
      </c>
      <c r="H52" s="51" t="str">
        <f>IF(XT!$P52=0,F52,"")</f>
        <v/>
      </c>
      <c r="I52">
        <f>SUMPRODUCT((MONTH(CHOOSE({1,2,3,4},XT!U52,XT!Y52,XT!AC52,XT!AG52))=3)*(CHOOSE({1,2,3,4},XT!X52,XT!AB52,XT!AF52,XT!AJ52)))</f>
        <v>0</v>
      </c>
      <c r="J52" t="str">
        <f>IFERROR(INDEX(CHOOSE({1,2,3,4}, DAY(XT!U52), DAY(XT!Y52), DAY(XT!AC52), DAY(XT!AG52)), MATCH(1, INDEX(--(MONTH(CHOOSE({1,2,3,4}, XT!U52,XT!Y52,XT!AC52,XT!AG52))=3), 0), 0)), "")</f>
        <v/>
      </c>
      <c r="K52" s="51" t="str">
        <f>IF(XT!$P52&gt;0,J52,"")</f>
        <v/>
      </c>
      <c r="L52" s="51" t="str">
        <f>IF(XT!$P52=0,J52,"")</f>
        <v/>
      </c>
      <c r="M52">
        <f>SUMPRODUCT((MONTH(CHOOSE({1,2,3,4},XT!U52,XT!Y52,XT!AC52,XT!AG52))=4)*(CHOOSE({1,2,3,4},XT!X52,XT!AB52,XT!AF52,XT!AJ52)))</f>
        <v>0</v>
      </c>
      <c r="N52" t="str">
        <f>IFERROR(INDEX(CHOOSE({1,2,3,4}, DAY(XT!U52), DAY(XT!Y52), DAY(XT!AC52), DAY(XT!AG52)), MATCH(1, INDEX(--(MONTH(CHOOSE({1,2,3,4}, XT!U52,XT!Y52,XT!AC52,XT!AG52))=4), 0), 0)), "")</f>
        <v/>
      </c>
      <c r="O52" s="51" t="str">
        <f>IF(XT!$P52&gt;0,N52,"")</f>
        <v/>
      </c>
      <c r="P52" s="51" t="str">
        <f>IF(XT!$P52=0,N52,"")</f>
        <v/>
      </c>
      <c r="Q52">
        <f>SUMPRODUCT((MONTH(CHOOSE({1,2,3,4},XT!U52,XT!Y52,XT!AC52,XT!AG52))=5)*(CHOOSE({1,2,3,4},XT!X52,XT!AB52,XT!AF52,XT!AJ52)))</f>
        <v>0</v>
      </c>
      <c r="R52" t="str">
        <f>IFERROR(INDEX(CHOOSE({1,2,3,4}, DAY(XT!U52), DAY(XT!Y52), DAY(XT!AC52), DAY(XT!AG52)), MATCH(1, INDEX(--(MONTH(CHOOSE({1,2,3,4}, XT!U52,XT!Y52,XT!AC52,XT!AG52))=5), 0), 0)), "")</f>
        <v/>
      </c>
      <c r="S52" s="51" t="str">
        <f>IF(XT!$P52&gt;0,R52,"")</f>
        <v/>
      </c>
      <c r="T52" s="51" t="str">
        <f>IF(XT!$P52=0,R52,"")</f>
        <v/>
      </c>
      <c r="U52">
        <f>SUMPRODUCT((MONTH(CHOOSE({1,2,3,4},XT!U52,XT!Y52,XT!AC52,XT!AG52))=6)*(CHOOSE({1,2,3,4},XT!X52,XT!AB52,XT!AF52,XT!AJ52)))</f>
        <v>0</v>
      </c>
      <c r="V52" t="str">
        <f>IFERROR(INDEX(CHOOSE({1,2,3,4}, DAY(XT!U52), DAY(XT!Y52), DAY(XT!AC52), DAY(XT!AG52)), MATCH(1, INDEX(--(MONTH(CHOOSE({1,2,3,4}, XT!U52,XT!Y52,XT!AC52,XT!AG52))=6), 0), 0)), "")</f>
        <v/>
      </c>
      <c r="W52" s="51" t="str">
        <f>IF(XT!$P52&gt;0,V52,"")</f>
        <v/>
      </c>
      <c r="X52" s="51" t="str">
        <f>IF(XT!$P52=0,V52,"")</f>
        <v/>
      </c>
      <c r="Y52">
        <f>SUMPRODUCT((MONTH(CHOOSE({1,2,3,4},XT!U52,XT!Y52,XT!AC52,XT!AG52))=7)*(CHOOSE({1,2,3,4},XT!X52,XT!AB52,XT!AF52,XT!AJ52)))</f>
        <v>0</v>
      </c>
      <c r="Z52" t="str">
        <f>IFERROR(INDEX(CHOOSE({1,2,3,4}, DAY(XT!U52), DAY(XT!Y52), DAY(XT!AC52), DAY(XT!AG52)), MATCH(1, INDEX(--(MONTH(CHOOSE({1,2,3,4}, XT!U52,XT!Y52,XT!AC52,XT!AG52))=7), 0), 0)), "")</f>
        <v/>
      </c>
      <c r="AA52" s="51" t="str">
        <f>IF(XT!$P52&gt;0,Z52,"")</f>
        <v/>
      </c>
      <c r="AB52" s="51" t="str">
        <f>IF(XT!$P52=0,Z52,"")</f>
        <v/>
      </c>
      <c r="AC52">
        <f>SUMPRODUCT((MONTH(CHOOSE({1,2,3,4},XT!U52,XT!Y52,XT!AC52,XT!AG52))=8)*(CHOOSE({1,2,3,4},XT!X52,XT!AB52,XT!AF52,XT!AJ52)))</f>
        <v>0</v>
      </c>
      <c r="AD52" t="str">
        <f>IFERROR(INDEX(CHOOSE({1,2,3,4}, DAY(XT!U52), DAY(XT!Y52), DAY(XT!AC52), DAY(XT!AG52)), MATCH(1, INDEX(--(MONTH(CHOOSE({1,2,3,4}, XT!U52,XT!Y52,XT!AC52,XT!AG52))=8), 0), 0)), "")</f>
        <v/>
      </c>
      <c r="AE52" s="51" t="str">
        <f>IF(XT!$P52&gt;0,AD52,"")</f>
        <v/>
      </c>
      <c r="AF52" s="51" t="str">
        <f>IF(XT!$P52=0,AD52,"")</f>
        <v/>
      </c>
      <c r="AG52">
        <f>SUMPRODUCT((MONTH(CHOOSE({1,2,3,4},XT!U52,XT!Y52,XT!AC52,XT!AG52))=9)*(CHOOSE({1,2,3,4},XT!X52,XT!AB52,XT!AF52,XT!AJ52)))</f>
        <v>0</v>
      </c>
      <c r="AH52" t="str">
        <f>IFERROR(INDEX(CHOOSE({1,2,3,4}, DAY(XT!U52), DAY(XT!Y52), DAY(XT!AC52), DAY(XT!AG52)), MATCH(1, INDEX(--(MONTH(CHOOSE({1,2,3,4}, XT!U52,XT!Y52,XT!AC52,XT!AG52))=9), 0), 0)), "")</f>
        <v/>
      </c>
      <c r="AI52" s="51" t="str">
        <f>IF(XT!$P52&gt;0,AH52,"")</f>
        <v/>
      </c>
      <c r="AJ52" s="51" t="str">
        <f>IF(XT!$P52=0,AH52,"")</f>
        <v/>
      </c>
      <c r="AK52">
        <f>SUMPRODUCT((MONTH(CHOOSE({1,2,3,4},XT!U52,XT!Y52,XT!AC52,XT!AG52))=10)*(CHOOSE({1,2,3,4},XT!X52,XT!AB52,XT!AF52,XT!AJ52)))</f>
        <v>0</v>
      </c>
      <c r="AL52" t="str">
        <f>IFERROR(INDEX(CHOOSE({1,2,3,4}, DAY(XT!U52), DAY(XT!Y52), DAY(XT!AC52), DAY(XT!AG52)), MATCH(1, INDEX(--(MONTH(CHOOSE({1,2,3,4}, XT!U52,XT!Y52,XT!AC52,XT!AG52))=10), 0), 0)), "")</f>
        <v/>
      </c>
      <c r="AM52" s="51" t="str">
        <f>IF(XT!$P52&gt;0,AL52,"")</f>
        <v/>
      </c>
      <c r="AN52" s="51" t="str">
        <f>IF(XT!$P52=0,AL52,"")</f>
        <v/>
      </c>
      <c r="AO52">
        <f>SUMPRODUCT((MONTH(CHOOSE({1,2,3,4},XT!U52,XT!Y52,XT!AC52,XT!AG52))=11)*(CHOOSE({1,2,3,4},XT!X52,XT!AB52,XT!AF52,XT!AJ52)))</f>
        <v>0</v>
      </c>
      <c r="AP52" t="str">
        <f>IFERROR(INDEX(CHOOSE({1,2,3,4}, DAY(XT!U52), DAY(XT!Y52), DAY(XT!AC52), DAY(XT!AG52)), MATCH(1, INDEX(--(MONTH(CHOOSE({1,2,3,4}, XT!U52,XT!Y52,XT!AC52,XT!AG52))=11), 0), 0)), "")</f>
        <v/>
      </c>
      <c r="AQ52" s="51" t="str">
        <f>IF(XT!$P52&gt;0,AP52,"")</f>
        <v/>
      </c>
      <c r="AR52" s="51" t="str">
        <f>IF(XT!$P52=0,AP52,"")</f>
        <v/>
      </c>
      <c r="AS52">
        <f>SUMPRODUCT((MONTH(CHOOSE({1,2,3,4},XT!U52,XT!Y52,XT!AC52,XT!AG52))=12)*(CHOOSE({1,2,3,4},XT!X52,XT!AB52,XT!AF52,XT!AJ52)))</f>
        <v>0</v>
      </c>
      <c r="AT52" t="str">
        <f>IFERROR(INDEX(CHOOSE({1,2,3,4}, DAY(XT!U52), DAY(XT!Y52), DAY(XT!AC52), DAY(XT!AG52)), MATCH(1, INDEX(--(MONTH(CHOOSE({1,2,3,4}, XT!U52,XT!Y52,XT!AC52,XT!AG52))=12), 0), 0)), "")</f>
        <v/>
      </c>
      <c r="AU52" s="51" t="str">
        <f>IF(XT!$P52&gt;0,AT52,"")</f>
        <v/>
      </c>
      <c r="AV52" s="51" t="str">
        <f>IF(XT!$P52=0,AT52,"")</f>
        <v/>
      </c>
    </row>
    <row r="53" spans="1:48">
      <c r="A53">
        <f>SUMPRODUCT((MONTH(CHOOSE({1,2,3,4},XT!U53,XT!Y53,XT!AC53,XT!AG53))=1)*(CHOOSE({1,2,3,4},XT!X53,XT!AB53,XT!AF53,XT!AJ53)))</f>
        <v>0</v>
      </c>
      <c r="B53">
        <f>IFERROR(INDEX(CHOOSE({1,2,3,4}, DAY(XT!U53), DAY(XT!Y53), DAY(XT!AC53), DAY(XT!AG53)), MATCH(1, INDEX(--(MONTH(CHOOSE({1,2,3,4}, XT!U53,XT!Y53,XT!AC53,XT!AG53))=1), 0), 0)), "")</f>
        <v>0</v>
      </c>
      <c r="C53" s="51" t="str">
        <f>IF(XT!$P53&gt;0,B53,"")</f>
        <v/>
      </c>
      <c r="D53" s="51">
        <f>IF(XT!$P53=0,B53,"")</f>
        <v>0</v>
      </c>
      <c r="E53">
        <f>SUMPRODUCT((MONTH(CHOOSE({1,2,3,4},XT!U53,XT!Y53,XT!AC53,XT!AG53))=2)*(CHOOSE({1,2,3,4},XT!X53,XT!AB53,XT!AF53,XT!AJ53)))</f>
        <v>0</v>
      </c>
      <c r="F53" t="str">
        <f>IFERROR(INDEX(CHOOSE({1,2,3,4}, DAY(XT!U53), DAY(XT!Y53), DAY(XT!AC53), DAY(XT!AG53)), MATCH(1, INDEX(--(MONTH(CHOOSE({1,2,3,4}, XT!U53,XT!Y53,XT!AC53,XT!AG53))=2), 0), 0)), "")</f>
        <v/>
      </c>
      <c r="G53" s="51" t="str">
        <f>IF(XT!$P53&gt;0,F53,"")</f>
        <v/>
      </c>
      <c r="H53" s="51" t="str">
        <f>IF(XT!$P53=0,F53,"")</f>
        <v/>
      </c>
      <c r="I53">
        <f>SUMPRODUCT((MONTH(CHOOSE({1,2,3,4},XT!U53,XT!Y53,XT!AC53,XT!AG53))=3)*(CHOOSE({1,2,3,4},XT!X53,XT!AB53,XT!AF53,XT!AJ53)))</f>
        <v>0</v>
      </c>
      <c r="J53" t="str">
        <f>IFERROR(INDEX(CHOOSE({1,2,3,4}, DAY(XT!U53), DAY(XT!Y53), DAY(XT!AC53), DAY(XT!AG53)), MATCH(1, INDEX(--(MONTH(CHOOSE({1,2,3,4}, XT!U53,XT!Y53,XT!AC53,XT!AG53))=3), 0), 0)), "")</f>
        <v/>
      </c>
      <c r="K53" s="51" t="str">
        <f>IF(XT!$P53&gt;0,J53,"")</f>
        <v/>
      </c>
      <c r="L53" s="51" t="str">
        <f>IF(XT!$P53=0,J53,"")</f>
        <v/>
      </c>
      <c r="M53">
        <f>SUMPRODUCT((MONTH(CHOOSE({1,2,3,4},XT!U53,XT!Y53,XT!AC53,XT!AG53))=4)*(CHOOSE({1,2,3,4},XT!X53,XT!AB53,XT!AF53,XT!AJ53)))</f>
        <v>0</v>
      </c>
      <c r="N53" t="str">
        <f>IFERROR(INDEX(CHOOSE({1,2,3,4}, DAY(XT!U53), DAY(XT!Y53), DAY(XT!AC53), DAY(XT!AG53)), MATCH(1, INDEX(--(MONTH(CHOOSE({1,2,3,4}, XT!U53,XT!Y53,XT!AC53,XT!AG53))=4), 0), 0)), "")</f>
        <v/>
      </c>
      <c r="O53" s="51" t="str">
        <f>IF(XT!$P53&gt;0,N53,"")</f>
        <v/>
      </c>
      <c r="P53" s="51" t="str">
        <f>IF(XT!$P53=0,N53,"")</f>
        <v/>
      </c>
      <c r="Q53">
        <f>SUMPRODUCT((MONTH(CHOOSE({1,2,3,4},XT!U53,XT!Y53,XT!AC53,XT!AG53))=5)*(CHOOSE({1,2,3,4},XT!X53,XT!AB53,XT!AF53,XT!AJ53)))</f>
        <v>0</v>
      </c>
      <c r="R53" t="str">
        <f>IFERROR(INDEX(CHOOSE({1,2,3,4}, DAY(XT!U53), DAY(XT!Y53), DAY(XT!AC53), DAY(XT!AG53)), MATCH(1, INDEX(--(MONTH(CHOOSE({1,2,3,4}, XT!U53,XT!Y53,XT!AC53,XT!AG53))=5), 0), 0)), "")</f>
        <v/>
      </c>
      <c r="S53" s="51" t="str">
        <f>IF(XT!$P53&gt;0,R53,"")</f>
        <v/>
      </c>
      <c r="T53" s="51" t="str">
        <f>IF(XT!$P53=0,R53,"")</f>
        <v/>
      </c>
      <c r="U53">
        <f>SUMPRODUCT((MONTH(CHOOSE({1,2,3,4},XT!U53,XT!Y53,XT!AC53,XT!AG53))=6)*(CHOOSE({1,2,3,4},XT!X53,XT!AB53,XT!AF53,XT!AJ53)))</f>
        <v>0</v>
      </c>
      <c r="V53" t="str">
        <f>IFERROR(INDEX(CHOOSE({1,2,3,4}, DAY(XT!U53), DAY(XT!Y53), DAY(XT!AC53), DAY(XT!AG53)), MATCH(1, INDEX(--(MONTH(CHOOSE({1,2,3,4}, XT!U53,XT!Y53,XT!AC53,XT!AG53))=6), 0), 0)), "")</f>
        <v/>
      </c>
      <c r="W53" s="51" t="str">
        <f>IF(XT!$P53&gt;0,V53,"")</f>
        <v/>
      </c>
      <c r="X53" s="51" t="str">
        <f>IF(XT!$P53=0,V53,"")</f>
        <v/>
      </c>
      <c r="Y53">
        <f>SUMPRODUCT((MONTH(CHOOSE({1,2,3,4},XT!U53,XT!Y53,XT!AC53,XT!AG53))=7)*(CHOOSE({1,2,3,4},XT!X53,XT!AB53,XT!AF53,XT!AJ53)))</f>
        <v>0</v>
      </c>
      <c r="Z53" t="str">
        <f>IFERROR(INDEX(CHOOSE({1,2,3,4}, DAY(XT!U53), DAY(XT!Y53), DAY(XT!AC53), DAY(XT!AG53)), MATCH(1, INDEX(--(MONTH(CHOOSE({1,2,3,4}, XT!U53,XT!Y53,XT!AC53,XT!AG53))=7), 0), 0)), "")</f>
        <v/>
      </c>
      <c r="AA53" s="51" t="str">
        <f>IF(XT!$P53&gt;0,Z53,"")</f>
        <v/>
      </c>
      <c r="AB53" s="51" t="str">
        <f>IF(XT!$P53=0,Z53,"")</f>
        <v/>
      </c>
      <c r="AC53">
        <f>SUMPRODUCT((MONTH(CHOOSE({1,2,3,4},XT!U53,XT!Y53,XT!AC53,XT!AG53))=8)*(CHOOSE({1,2,3,4},XT!X53,XT!AB53,XT!AF53,XT!AJ53)))</f>
        <v>0</v>
      </c>
      <c r="AD53" t="str">
        <f>IFERROR(INDEX(CHOOSE({1,2,3,4}, DAY(XT!U53), DAY(XT!Y53), DAY(XT!AC53), DAY(XT!AG53)), MATCH(1, INDEX(--(MONTH(CHOOSE({1,2,3,4}, XT!U53,XT!Y53,XT!AC53,XT!AG53))=8), 0), 0)), "")</f>
        <v/>
      </c>
      <c r="AE53" s="51" t="str">
        <f>IF(XT!$P53&gt;0,AD53,"")</f>
        <v/>
      </c>
      <c r="AF53" s="51" t="str">
        <f>IF(XT!$P53=0,AD53,"")</f>
        <v/>
      </c>
      <c r="AG53">
        <f>SUMPRODUCT((MONTH(CHOOSE({1,2,3,4},XT!U53,XT!Y53,XT!AC53,XT!AG53))=9)*(CHOOSE({1,2,3,4},XT!X53,XT!AB53,XT!AF53,XT!AJ53)))</f>
        <v>0</v>
      </c>
      <c r="AH53" t="str">
        <f>IFERROR(INDEX(CHOOSE({1,2,3,4}, DAY(XT!U53), DAY(XT!Y53), DAY(XT!AC53), DAY(XT!AG53)), MATCH(1, INDEX(--(MONTH(CHOOSE({1,2,3,4}, XT!U53,XT!Y53,XT!AC53,XT!AG53))=9), 0), 0)), "")</f>
        <v/>
      </c>
      <c r="AI53" s="51" t="str">
        <f>IF(XT!$P53&gt;0,AH53,"")</f>
        <v/>
      </c>
      <c r="AJ53" s="51" t="str">
        <f>IF(XT!$P53=0,AH53,"")</f>
        <v/>
      </c>
      <c r="AK53">
        <f>SUMPRODUCT((MONTH(CHOOSE({1,2,3,4},XT!U53,XT!Y53,XT!AC53,XT!AG53))=10)*(CHOOSE({1,2,3,4},XT!X53,XT!AB53,XT!AF53,XT!AJ53)))</f>
        <v>0</v>
      </c>
      <c r="AL53" t="str">
        <f>IFERROR(INDEX(CHOOSE({1,2,3,4}, DAY(XT!U53), DAY(XT!Y53), DAY(XT!AC53), DAY(XT!AG53)), MATCH(1, INDEX(--(MONTH(CHOOSE({1,2,3,4}, XT!U53,XT!Y53,XT!AC53,XT!AG53))=10), 0), 0)), "")</f>
        <v/>
      </c>
      <c r="AM53" s="51" t="str">
        <f>IF(XT!$P53&gt;0,AL53,"")</f>
        <v/>
      </c>
      <c r="AN53" s="51" t="str">
        <f>IF(XT!$P53=0,AL53,"")</f>
        <v/>
      </c>
      <c r="AO53">
        <f>SUMPRODUCT((MONTH(CHOOSE({1,2,3,4},XT!U53,XT!Y53,XT!AC53,XT!AG53))=11)*(CHOOSE({1,2,3,4},XT!X53,XT!AB53,XT!AF53,XT!AJ53)))</f>
        <v>0</v>
      </c>
      <c r="AP53" t="str">
        <f>IFERROR(INDEX(CHOOSE({1,2,3,4}, DAY(XT!U53), DAY(XT!Y53), DAY(XT!AC53), DAY(XT!AG53)), MATCH(1, INDEX(--(MONTH(CHOOSE({1,2,3,4}, XT!U53,XT!Y53,XT!AC53,XT!AG53))=11), 0), 0)), "")</f>
        <v/>
      </c>
      <c r="AQ53" s="51" t="str">
        <f>IF(XT!$P53&gt;0,AP53,"")</f>
        <v/>
      </c>
      <c r="AR53" s="51" t="str">
        <f>IF(XT!$P53=0,AP53,"")</f>
        <v/>
      </c>
      <c r="AS53">
        <f>SUMPRODUCT((MONTH(CHOOSE({1,2,3,4},XT!U53,XT!Y53,XT!AC53,XT!AG53))=12)*(CHOOSE({1,2,3,4},XT!X53,XT!AB53,XT!AF53,XT!AJ53)))</f>
        <v>0</v>
      </c>
      <c r="AT53" t="str">
        <f>IFERROR(INDEX(CHOOSE({1,2,3,4}, DAY(XT!U53), DAY(XT!Y53), DAY(XT!AC53), DAY(XT!AG53)), MATCH(1, INDEX(--(MONTH(CHOOSE({1,2,3,4}, XT!U53,XT!Y53,XT!AC53,XT!AG53))=12), 0), 0)), "")</f>
        <v/>
      </c>
      <c r="AU53" s="51" t="str">
        <f>IF(XT!$P53&gt;0,AT53,"")</f>
        <v/>
      </c>
      <c r="AV53" s="51" t="str">
        <f>IF(XT!$P53=0,AT53,"")</f>
        <v/>
      </c>
    </row>
    <row r="54" spans="1:48">
      <c r="A54">
        <f>SUMPRODUCT((MONTH(CHOOSE({1,2,3,4},XT!U54,XT!Y54,XT!AC54,XT!AG54))=1)*(CHOOSE({1,2,3,4},XT!X54,XT!AB54,XT!AF54,XT!AJ54)))</f>
        <v>0</v>
      </c>
      <c r="B54">
        <f>IFERROR(INDEX(CHOOSE({1,2,3,4}, DAY(XT!U54), DAY(XT!Y54), DAY(XT!AC54), DAY(XT!AG54)), MATCH(1, INDEX(--(MONTH(CHOOSE({1,2,3,4}, XT!U54,XT!Y54,XT!AC54,XT!AG54))=1), 0), 0)), "")</f>
        <v>0</v>
      </c>
      <c r="C54" s="51" t="str">
        <f>IF(XT!$P54&gt;0,B54,"")</f>
        <v/>
      </c>
      <c r="D54" s="51">
        <f>IF(XT!$P54=0,B54,"")</f>
        <v>0</v>
      </c>
      <c r="E54">
        <f>SUMPRODUCT((MONTH(CHOOSE({1,2,3,4},XT!U54,XT!Y54,XT!AC54,XT!AG54))=2)*(CHOOSE({1,2,3,4},XT!X54,XT!AB54,XT!AF54,XT!AJ54)))</f>
        <v>0</v>
      </c>
      <c r="F54" t="str">
        <f>IFERROR(INDEX(CHOOSE({1,2,3,4}, DAY(XT!U54), DAY(XT!Y54), DAY(XT!AC54), DAY(XT!AG54)), MATCH(1, INDEX(--(MONTH(CHOOSE({1,2,3,4}, XT!U54,XT!Y54,XT!AC54,XT!AG54))=2), 0), 0)), "")</f>
        <v/>
      </c>
      <c r="G54" s="51" t="str">
        <f>IF(XT!$P54&gt;0,F54,"")</f>
        <v/>
      </c>
      <c r="H54" s="51" t="str">
        <f>IF(XT!$P54=0,F54,"")</f>
        <v/>
      </c>
      <c r="I54">
        <f>SUMPRODUCT((MONTH(CHOOSE({1,2,3,4},XT!U54,XT!Y54,XT!AC54,XT!AG54))=3)*(CHOOSE({1,2,3,4},XT!X54,XT!AB54,XT!AF54,XT!AJ54)))</f>
        <v>0</v>
      </c>
      <c r="J54" t="str">
        <f>IFERROR(INDEX(CHOOSE({1,2,3,4}, DAY(XT!U54), DAY(XT!Y54), DAY(XT!AC54), DAY(XT!AG54)), MATCH(1, INDEX(--(MONTH(CHOOSE({1,2,3,4}, XT!U54,XT!Y54,XT!AC54,XT!AG54))=3), 0), 0)), "")</f>
        <v/>
      </c>
      <c r="K54" s="51" t="str">
        <f>IF(XT!$P54&gt;0,J54,"")</f>
        <v/>
      </c>
      <c r="L54" s="51" t="str">
        <f>IF(XT!$P54=0,J54,"")</f>
        <v/>
      </c>
      <c r="M54">
        <f>SUMPRODUCT((MONTH(CHOOSE({1,2,3,4},XT!U54,XT!Y54,XT!AC54,XT!AG54))=4)*(CHOOSE({1,2,3,4},XT!X54,XT!AB54,XT!AF54,XT!AJ54)))</f>
        <v>0</v>
      </c>
      <c r="N54" t="str">
        <f>IFERROR(INDEX(CHOOSE({1,2,3,4}, DAY(XT!U54), DAY(XT!Y54), DAY(XT!AC54), DAY(XT!AG54)), MATCH(1, INDEX(--(MONTH(CHOOSE({1,2,3,4}, XT!U54,XT!Y54,XT!AC54,XT!AG54))=4), 0), 0)), "")</f>
        <v/>
      </c>
      <c r="O54" s="51" t="str">
        <f>IF(XT!$P54&gt;0,N54,"")</f>
        <v/>
      </c>
      <c r="P54" s="51" t="str">
        <f>IF(XT!$P54=0,N54,"")</f>
        <v/>
      </c>
      <c r="Q54">
        <f>SUMPRODUCT((MONTH(CHOOSE({1,2,3,4},XT!U54,XT!Y54,XT!AC54,XT!AG54))=5)*(CHOOSE({1,2,3,4},XT!X54,XT!AB54,XT!AF54,XT!AJ54)))</f>
        <v>0</v>
      </c>
      <c r="R54" t="str">
        <f>IFERROR(INDEX(CHOOSE({1,2,3,4}, DAY(XT!U54), DAY(XT!Y54), DAY(XT!AC54), DAY(XT!AG54)), MATCH(1, INDEX(--(MONTH(CHOOSE({1,2,3,4}, XT!U54,XT!Y54,XT!AC54,XT!AG54))=5), 0), 0)), "")</f>
        <v/>
      </c>
      <c r="S54" s="51" t="str">
        <f>IF(XT!$P54&gt;0,R54,"")</f>
        <v/>
      </c>
      <c r="T54" s="51" t="str">
        <f>IF(XT!$P54=0,R54,"")</f>
        <v/>
      </c>
      <c r="U54">
        <f>SUMPRODUCT((MONTH(CHOOSE({1,2,3,4},XT!U54,XT!Y54,XT!AC54,XT!AG54))=6)*(CHOOSE({1,2,3,4},XT!X54,XT!AB54,XT!AF54,XT!AJ54)))</f>
        <v>0</v>
      </c>
      <c r="V54" t="str">
        <f>IFERROR(INDEX(CHOOSE({1,2,3,4}, DAY(XT!U54), DAY(XT!Y54), DAY(XT!AC54), DAY(XT!AG54)), MATCH(1, INDEX(--(MONTH(CHOOSE({1,2,3,4}, XT!U54,XT!Y54,XT!AC54,XT!AG54))=6), 0), 0)), "")</f>
        <v/>
      </c>
      <c r="W54" s="51" t="str">
        <f>IF(XT!$P54&gt;0,V54,"")</f>
        <v/>
      </c>
      <c r="X54" s="51" t="str">
        <f>IF(XT!$P54=0,V54,"")</f>
        <v/>
      </c>
      <c r="Y54">
        <f>SUMPRODUCT((MONTH(CHOOSE({1,2,3,4},XT!U54,XT!Y54,XT!AC54,XT!AG54))=7)*(CHOOSE({1,2,3,4},XT!X54,XT!AB54,XT!AF54,XT!AJ54)))</f>
        <v>0</v>
      </c>
      <c r="Z54" t="str">
        <f>IFERROR(INDEX(CHOOSE({1,2,3,4}, DAY(XT!U54), DAY(XT!Y54), DAY(XT!AC54), DAY(XT!AG54)), MATCH(1, INDEX(--(MONTH(CHOOSE({1,2,3,4}, XT!U54,XT!Y54,XT!AC54,XT!AG54))=7), 0), 0)), "")</f>
        <v/>
      </c>
      <c r="AA54" s="51" t="str">
        <f>IF(XT!$P54&gt;0,Z54,"")</f>
        <v/>
      </c>
      <c r="AB54" s="51" t="str">
        <f>IF(XT!$P54=0,Z54,"")</f>
        <v/>
      </c>
      <c r="AC54">
        <f>SUMPRODUCT((MONTH(CHOOSE({1,2,3,4},XT!U54,XT!Y54,XT!AC54,XT!AG54))=8)*(CHOOSE({1,2,3,4},XT!X54,XT!AB54,XT!AF54,XT!AJ54)))</f>
        <v>0</v>
      </c>
      <c r="AD54" t="str">
        <f>IFERROR(INDEX(CHOOSE({1,2,3,4}, DAY(XT!U54), DAY(XT!Y54), DAY(XT!AC54), DAY(XT!AG54)), MATCH(1, INDEX(--(MONTH(CHOOSE({1,2,3,4}, XT!U54,XT!Y54,XT!AC54,XT!AG54))=8), 0), 0)), "")</f>
        <v/>
      </c>
      <c r="AE54" s="51" t="str">
        <f>IF(XT!$P54&gt;0,AD54,"")</f>
        <v/>
      </c>
      <c r="AF54" s="51" t="str">
        <f>IF(XT!$P54=0,AD54,"")</f>
        <v/>
      </c>
      <c r="AG54">
        <f>SUMPRODUCT((MONTH(CHOOSE({1,2,3,4},XT!U54,XT!Y54,XT!AC54,XT!AG54))=9)*(CHOOSE({1,2,3,4},XT!X54,XT!AB54,XT!AF54,XT!AJ54)))</f>
        <v>0</v>
      </c>
      <c r="AH54" t="str">
        <f>IFERROR(INDEX(CHOOSE({1,2,3,4}, DAY(XT!U54), DAY(XT!Y54), DAY(XT!AC54), DAY(XT!AG54)), MATCH(1, INDEX(--(MONTH(CHOOSE({1,2,3,4}, XT!U54,XT!Y54,XT!AC54,XT!AG54))=9), 0), 0)), "")</f>
        <v/>
      </c>
      <c r="AI54" s="51" t="str">
        <f>IF(XT!$P54&gt;0,AH54,"")</f>
        <v/>
      </c>
      <c r="AJ54" s="51" t="str">
        <f>IF(XT!$P54=0,AH54,"")</f>
        <v/>
      </c>
      <c r="AK54">
        <f>SUMPRODUCT((MONTH(CHOOSE({1,2,3,4},XT!U54,XT!Y54,XT!AC54,XT!AG54))=10)*(CHOOSE({1,2,3,4},XT!X54,XT!AB54,XT!AF54,XT!AJ54)))</f>
        <v>0</v>
      </c>
      <c r="AL54" t="str">
        <f>IFERROR(INDEX(CHOOSE({1,2,3,4}, DAY(XT!U54), DAY(XT!Y54), DAY(XT!AC54), DAY(XT!AG54)), MATCH(1, INDEX(--(MONTH(CHOOSE({1,2,3,4}, XT!U54,XT!Y54,XT!AC54,XT!AG54))=10), 0), 0)), "")</f>
        <v/>
      </c>
      <c r="AM54" s="51" t="str">
        <f>IF(XT!$P54&gt;0,AL54,"")</f>
        <v/>
      </c>
      <c r="AN54" s="51" t="str">
        <f>IF(XT!$P54=0,AL54,"")</f>
        <v/>
      </c>
      <c r="AO54">
        <f>SUMPRODUCT((MONTH(CHOOSE({1,2,3,4},XT!U54,XT!Y54,XT!AC54,XT!AG54))=11)*(CHOOSE({1,2,3,4},XT!X54,XT!AB54,XT!AF54,XT!AJ54)))</f>
        <v>0</v>
      </c>
      <c r="AP54" t="str">
        <f>IFERROR(INDEX(CHOOSE({1,2,3,4}, DAY(XT!U54), DAY(XT!Y54), DAY(XT!AC54), DAY(XT!AG54)), MATCH(1, INDEX(--(MONTH(CHOOSE({1,2,3,4}, XT!U54,XT!Y54,XT!AC54,XT!AG54))=11), 0), 0)), "")</f>
        <v/>
      </c>
      <c r="AQ54" s="51" t="str">
        <f>IF(XT!$P54&gt;0,AP54,"")</f>
        <v/>
      </c>
      <c r="AR54" s="51" t="str">
        <f>IF(XT!$P54=0,AP54,"")</f>
        <v/>
      </c>
      <c r="AS54">
        <f>SUMPRODUCT((MONTH(CHOOSE({1,2,3,4},XT!U54,XT!Y54,XT!AC54,XT!AG54))=12)*(CHOOSE({1,2,3,4},XT!X54,XT!AB54,XT!AF54,XT!AJ54)))</f>
        <v>0</v>
      </c>
      <c r="AT54" t="str">
        <f>IFERROR(INDEX(CHOOSE({1,2,3,4}, DAY(XT!U54), DAY(XT!Y54), DAY(XT!AC54), DAY(XT!AG54)), MATCH(1, INDEX(--(MONTH(CHOOSE({1,2,3,4}, XT!U54,XT!Y54,XT!AC54,XT!AG54))=12), 0), 0)), "")</f>
        <v/>
      </c>
      <c r="AU54" s="51" t="str">
        <f>IF(XT!$P54&gt;0,AT54,"")</f>
        <v/>
      </c>
      <c r="AV54" s="51" t="str">
        <f>IF(XT!$P54=0,AT54,"")</f>
        <v/>
      </c>
    </row>
    <row r="55" spans="1:48">
      <c r="A55">
        <f>SUMPRODUCT((MONTH(CHOOSE({1,2,3,4},XT!U55,XT!Y55,XT!AC55,XT!AG55))=1)*(CHOOSE({1,2,3,4},XT!X55,XT!AB55,XT!AF55,XT!AJ55)))</f>
        <v>0</v>
      </c>
      <c r="B55">
        <f>IFERROR(INDEX(CHOOSE({1,2,3,4}, DAY(XT!U55), DAY(XT!Y55), DAY(XT!AC55), DAY(XT!AG55)), MATCH(1, INDEX(--(MONTH(CHOOSE({1,2,3,4}, XT!U55,XT!Y55,XT!AC55,XT!AG55))=1), 0), 0)), "")</f>
        <v>0</v>
      </c>
      <c r="C55" s="51" t="str">
        <f>IF(XT!$P55&gt;0,B55,"")</f>
        <v/>
      </c>
      <c r="D55" s="51">
        <f>IF(XT!$P55=0,B55,"")</f>
        <v>0</v>
      </c>
      <c r="E55">
        <f>SUMPRODUCT((MONTH(CHOOSE({1,2,3,4},XT!U55,XT!Y55,XT!AC55,XT!AG55))=2)*(CHOOSE({1,2,3,4},XT!X55,XT!AB55,XT!AF55,XT!AJ55)))</f>
        <v>0</v>
      </c>
      <c r="F55" t="str">
        <f>IFERROR(INDEX(CHOOSE({1,2,3,4}, DAY(XT!U55), DAY(XT!Y55), DAY(XT!AC55), DAY(XT!AG55)), MATCH(1, INDEX(--(MONTH(CHOOSE({1,2,3,4}, XT!U55,XT!Y55,XT!AC55,XT!AG55))=2), 0), 0)), "")</f>
        <v/>
      </c>
      <c r="G55" s="51" t="str">
        <f>IF(XT!$P55&gt;0,F55,"")</f>
        <v/>
      </c>
      <c r="H55" s="51" t="str">
        <f>IF(XT!$P55=0,F55,"")</f>
        <v/>
      </c>
      <c r="I55">
        <f>SUMPRODUCT((MONTH(CHOOSE({1,2,3,4},XT!U55,XT!Y55,XT!AC55,XT!AG55))=3)*(CHOOSE({1,2,3,4},XT!X55,XT!AB55,XT!AF55,XT!AJ55)))</f>
        <v>0</v>
      </c>
      <c r="J55" t="str">
        <f>IFERROR(INDEX(CHOOSE({1,2,3,4}, DAY(XT!U55), DAY(XT!Y55), DAY(XT!AC55), DAY(XT!AG55)), MATCH(1, INDEX(--(MONTH(CHOOSE({1,2,3,4}, XT!U55,XT!Y55,XT!AC55,XT!AG55))=3), 0), 0)), "")</f>
        <v/>
      </c>
      <c r="K55" s="51" t="str">
        <f>IF(XT!$P55&gt;0,J55,"")</f>
        <v/>
      </c>
      <c r="L55" s="51" t="str">
        <f>IF(XT!$P55=0,J55,"")</f>
        <v/>
      </c>
      <c r="M55">
        <f>SUMPRODUCT((MONTH(CHOOSE({1,2,3,4},XT!U55,XT!Y55,XT!AC55,XT!AG55))=4)*(CHOOSE({1,2,3,4},XT!X55,XT!AB55,XT!AF55,XT!AJ55)))</f>
        <v>0</v>
      </c>
      <c r="N55" t="str">
        <f>IFERROR(INDEX(CHOOSE({1,2,3,4}, DAY(XT!U55), DAY(XT!Y55), DAY(XT!AC55), DAY(XT!AG55)), MATCH(1, INDEX(--(MONTH(CHOOSE({1,2,3,4}, XT!U55,XT!Y55,XT!AC55,XT!AG55))=4), 0), 0)), "")</f>
        <v/>
      </c>
      <c r="O55" s="51" t="str">
        <f>IF(XT!$P55&gt;0,N55,"")</f>
        <v/>
      </c>
      <c r="P55" s="51" t="str">
        <f>IF(XT!$P55=0,N55,"")</f>
        <v/>
      </c>
      <c r="Q55">
        <f>SUMPRODUCT((MONTH(CHOOSE({1,2,3,4},XT!U55,XT!Y55,XT!AC55,XT!AG55))=5)*(CHOOSE({1,2,3,4},XT!X55,XT!AB55,XT!AF55,XT!AJ55)))</f>
        <v>0</v>
      </c>
      <c r="R55" t="str">
        <f>IFERROR(INDEX(CHOOSE({1,2,3,4}, DAY(XT!U55), DAY(XT!Y55), DAY(XT!AC55), DAY(XT!AG55)), MATCH(1, INDEX(--(MONTH(CHOOSE({1,2,3,4}, XT!U55,XT!Y55,XT!AC55,XT!AG55))=5), 0), 0)), "")</f>
        <v/>
      </c>
      <c r="S55" s="51" t="str">
        <f>IF(XT!$P55&gt;0,R55,"")</f>
        <v/>
      </c>
      <c r="T55" s="51" t="str">
        <f>IF(XT!$P55=0,R55,"")</f>
        <v/>
      </c>
      <c r="U55">
        <f>SUMPRODUCT((MONTH(CHOOSE({1,2,3,4},XT!U55,XT!Y55,XT!AC55,XT!AG55))=6)*(CHOOSE({1,2,3,4},XT!X55,XT!AB55,XT!AF55,XT!AJ55)))</f>
        <v>0</v>
      </c>
      <c r="V55" t="str">
        <f>IFERROR(INDEX(CHOOSE({1,2,3,4}, DAY(XT!U55), DAY(XT!Y55), DAY(XT!AC55), DAY(XT!AG55)), MATCH(1, INDEX(--(MONTH(CHOOSE({1,2,3,4}, XT!U55,XT!Y55,XT!AC55,XT!AG55))=6), 0), 0)), "")</f>
        <v/>
      </c>
      <c r="W55" s="51" t="str">
        <f>IF(XT!$P55&gt;0,V55,"")</f>
        <v/>
      </c>
      <c r="X55" s="51" t="str">
        <f>IF(XT!$P55=0,V55,"")</f>
        <v/>
      </c>
      <c r="Y55">
        <f>SUMPRODUCT((MONTH(CHOOSE({1,2,3,4},XT!U55,XT!Y55,XT!AC55,XT!AG55))=7)*(CHOOSE({1,2,3,4},XT!X55,XT!AB55,XT!AF55,XT!AJ55)))</f>
        <v>0</v>
      </c>
      <c r="Z55" t="str">
        <f>IFERROR(INDEX(CHOOSE({1,2,3,4}, DAY(XT!U55), DAY(XT!Y55), DAY(XT!AC55), DAY(XT!AG55)), MATCH(1, INDEX(--(MONTH(CHOOSE({1,2,3,4}, XT!U55,XT!Y55,XT!AC55,XT!AG55))=7), 0), 0)), "")</f>
        <v/>
      </c>
      <c r="AA55" s="51" t="str">
        <f>IF(XT!$P55&gt;0,Z55,"")</f>
        <v/>
      </c>
      <c r="AB55" s="51" t="str">
        <f>IF(XT!$P55=0,Z55,"")</f>
        <v/>
      </c>
      <c r="AC55">
        <f>SUMPRODUCT((MONTH(CHOOSE({1,2,3,4},XT!U55,XT!Y55,XT!AC55,XT!AG55))=8)*(CHOOSE({1,2,3,4},XT!X55,XT!AB55,XT!AF55,XT!AJ55)))</f>
        <v>0</v>
      </c>
      <c r="AD55" t="str">
        <f>IFERROR(INDEX(CHOOSE({1,2,3,4}, DAY(XT!U55), DAY(XT!Y55), DAY(XT!AC55), DAY(XT!AG55)), MATCH(1, INDEX(--(MONTH(CHOOSE({1,2,3,4}, XT!U55,XT!Y55,XT!AC55,XT!AG55))=8), 0), 0)), "")</f>
        <v/>
      </c>
      <c r="AE55" s="51" t="str">
        <f>IF(XT!$P55&gt;0,AD55,"")</f>
        <v/>
      </c>
      <c r="AF55" s="51" t="str">
        <f>IF(XT!$P55=0,AD55,"")</f>
        <v/>
      </c>
      <c r="AG55">
        <f>SUMPRODUCT((MONTH(CHOOSE({1,2,3,4},XT!U55,XT!Y55,XT!AC55,XT!AG55))=9)*(CHOOSE({1,2,3,4},XT!X55,XT!AB55,XT!AF55,XT!AJ55)))</f>
        <v>0</v>
      </c>
      <c r="AH55" t="str">
        <f>IFERROR(INDEX(CHOOSE({1,2,3,4}, DAY(XT!U55), DAY(XT!Y55), DAY(XT!AC55), DAY(XT!AG55)), MATCH(1, INDEX(--(MONTH(CHOOSE({1,2,3,4}, XT!U55,XT!Y55,XT!AC55,XT!AG55))=9), 0), 0)), "")</f>
        <v/>
      </c>
      <c r="AI55" s="51" t="str">
        <f>IF(XT!$P55&gt;0,AH55,"")</f>
        <v/>
      </c>
      <c r="AJ55" s="51" t="str">
        <f>IF(XT!$P55=0,AH55,"")</f>
        <v/>
      </c>
      <c r="AK55">
        <f>SUMPRODUCT((MONTH(CHOOSE({1,2,3,4},XT!U55,XT!Y55,XT!AC55,XT!AG55))=10)*(CHOOSE({1,2,3,4},XT!X55,XT!AB55,XT!AF55,XT!AJ55)))</f>
        <v>0</v>
      </c>
      <c r="AL55" t="str">
        <f>IFERROR(INDEX(CHOOSE({1,2,3,4}, DAY(XT!U55), DAY(XT!Y55), DAY(XT!AC55), DAY(XT!AG55)), MATCH(1, INDEX(--(MONTH(CHOOSE({1,2,3,4}, XT!U55,XT!Y55,XT!AC55,XT!AG55))=10), 0), 0)), "")</f>
        <v/>
      </c>
      <c r="AM55" s="51" t="str">
        <f>IF(XT!$P55&gt;0,AL55,"")</f>
        <v/>
      </c>
      <c r="AN55" s="51" t="str">
        <f>IF(XT!$P55=0,AL55,"")</f>
        <v/>
      </c>
      <c r="AO55">
        <f>SUMPRODUCT((MONTH(CHOOSE({1,2,3,4},XT!U55,XT!Y55,XT!AC55,XT!AG55))=11)*(CHOOSE({1,2,3,4},XT!X55,XT!AB55,XT!AF55,XT!AJ55)))</f>
        <v>0</v>
      </c>
      <c r="AP55" t="str">
        <f>IFERROR(INDEX(CHOOSE({1,2,3,4}, DAY(XT!U55), DAY(XT!Y55), DAY(XT!AC55), DAY(XT!AG55)), MATCH(1, INDEX(--(MONTH(CHOOSE({1,2,3,4}, XT!U55,XT!Y55,XT!AC55,XT!AG55))=11), 0), 0)), "")</f>
        <v/>
      </c>
      <c r="AQ55" s="51" t="str">
        <f>IF(XT!$P55&gt;0,AP55,"")</f>
        <v/>
      </c>
      <c r="AR55" s="51" t="str">
        <f>IF(XT!$P55=0,AP55,"")</f>
        <v/>
      </c>
      <c r="AS55">
        <f>SUMPRODUCT((MONTH(CHOOSE({1,2,3,4},XT!U55,XT!Y55,XT!AC55,XT!AG55))=12)*(CHOOSE({1,2,3,4},XT!X55,XT!AB55,XT!AF55,XT!AJ55)))</f>
        <v>0</v>
      </c>
      <c r="AT55" t="str">
        <f>IFERROR(INDEX(CHOOSE({1,2,3,4}, DAY(XT!U55), DAY(XT!Y55), DAY(XT!AC55), DAY(XT!AG55)), MATCH(1, INDEX(--(MONTH(CHOOSE({1,2,3,4}, XT!U55,XT!Y55,XT!AC55,XT!AG55))=12), 0), 0)), "")</f>
        <v/>
      </c>
      <c r="AU55" s="51" t="str">
        <f>IF(XT!$P55&gt;0,AT55,"")</f>
        <v/>
      </c>
      <c r="AV55" s="51" t="str">
        <f>IF(XT!$P55=0,AT55,"")</f>
        <v/>
      </c>
    </row>
    <row r="56" spans="1:48">
      <c r="A56">
        <f>SUMPRODUCT((MONTH(CHOOSE({1,2,3,4},XT!U56,XT!Y56,XT!AC56,XT!AG56))=1)*(CHOOSE({1,2,3,4},XT!X56,XT!AB56,XT!AF56,XT!AJ56)))</f>
        <v>0</v>
      </c>
      <c r="B56">
        <f>IFERROR(INDEX(CHOOSE({1,2,3,4}, DAY(XT!U56), DAY(XT!Y56), DAY(XT!AC56), DAY(XT!AG56)), MATCH(1, INDEX(--(MONTH(CHOOSE({1,2,3,4}, XT!U56,XT!Y56,XT!AC56,XT!AG56))=1), 0), 0)), "")</f>
        <v>0</v>
      </c>
      <c r="C56" s="51" t="str">
        <f>IF(XT!$P56&gt;0,B56,"")</f>
        <v/>
      </c>
      <c r="D56" s="51">
        <f>IF(XT!$P56=0,B56,"")</f>
        <v>0</v>
      </c>
      <c r="E56">
        <f>SUMPRODUCT((MONTH(CHOOSE({1,2,3,4},XT!U56,XT!Y56,XT!AC56,XT!AG56))=2)*(CHOOSE({1,2,3,4},XT!X56,XT!AB56,XT!AF56,XT!AJ56)))</f>
        <v>0</v>
      </c>
      <c r="F56" t="str">
        <f>IFERROR(INDEX(CHOOSE({1,2,3,4}, DAY(XT!U56), DAY(XT!Y56), DAY(XT!AC56), DAY(XT!AG56)), MATCH(1, INDEX(--(MONTH(CHOOSE({1,2,3,4}, XT!U56,XT!Y56,XT!AC56,XT!AG56))=2), 0), 0)), "")</f>
        <v/>
      </c>
      <c r="G56" s="51" t="str">
        <f>IF(XT!$P56&gt;0,F56,"")</f>
        <v/>
      </c>
      <c r="H56" s="51" t="str">
        <f>IF(XT!$P56=0,F56,"")</f>
        <v/>
      </c>
      <c r="I56">
        <f>SUMPRODUCT((MONTH(CHOOSE({1,2,3,4},XT!U56,XT!Y56,XT!AC56,XT!AG56))=3)*(CHOOSE({1,2,3,4},XT!X56,XT!AB56,XT!AF56,XT!AJ56)))</f>
        <v>0</v>
      </c>
      <c r="J56" t="str">
        <f>IFERROR(INDEX(CHOOSE({1,2,3,4}, DAY(XT!U56), DAY(XT!Y56), DAY(XT!AC56), DAY(XT!AG56)), MATCH(1, INDEX(--(MONTH(CHOOSE({1,2,3,4}, XT!U56,XT!Y56,XT!AC56,XT!AG56))=3), 0), 0)), "")</f>
        <v/>
      </c>
      <c r="K56" s="51" t="str">
        <f>IF(XT!$P56&gt;0,J56,"")</f>
        <v/>
      </c>
      <c r="L56" s="51" t="str">
        <f>IF(XT!$P56=0,J56,"")</f>
        <v/>
      </c>
      <c r="M56">
        <f>SUMPRODUCT((MONTH(CHOOSE({1,2,3,4},XT!U56,XT!Y56,XT!AC56,XT!AG56))=4)*(CHOOSE({1,2,3,4},XT!X56,XT!AB56,XT!AF56,XT!AJ56)))</f>
        <v>0</v>
      </c>
      <c r="N56" t="str">
        <f>IFERROR(INDEX(CHOOSE({1,2,3,4}, DAY(XT!U56), DAY(XT!Y56), DAY(XT!AC56), DAY(XT!AG56)), MATCH(1, INDEX(--(MONTH(CHOOSE({1,2,3,4}, XT!U56,XT!Y56,XT!AC56,XT!AG56))=4), 0), 0)), "")</f>
        <v/>
      </c>
      <c r="O56" s="51" t="str">
        <f>IF(XT!$P56&gt;0,N56,"")</f>
        <v/>
      </c>
      <c r="P56" s="51" t="str">
        <f>IF(XT!$P56=0,N56,"")</f>
        <v/>
      </c>
      <c r="Q56">
        <f>SUMPRODUCT((MONTH(CHOOSE({1,2,3,4},XT!U56,XT!Y56,XT!AC56,XT!AG56))=5)*(CHOOSE({1,2,3,4},XT!X56,XT!AB56,XT!AF56,XT!AJ56)))</f>
        <v>0</v>
      </c>
      <c r="R56" t="str">
        <f>IFERROR(INDEX(CHOOSE({1,2,3,4}, DAY(XT!U56), DAY(XT!Y56), DAY(XT!AC56), DAY(XT!AG56)), MATCH(1, INDEX(--(MONTH(CHOOSE({1,2,3,4}, XT!U56,XT!Y56,XT!AC56,XT!AG56))=5), 0), 0)), "")</f>
        <v/>
      </c>
      <c r="S56" s="51" t="str">
        <f>IF(XT!$P56&gt;0,R56,"")</f>
        <v/>
      </c>
      <c r="T56" s="51" t="str">
        <f>IF(XT!$P56=0,R56,"")</f>
        <v/>
      </c>
      <c r="U56">
        <f>SUMPRODUCT((MONTH(CHOOSE({1,2,3,4},XT!U56,XT!Y56,XT!AC56,XT!AG56))=6)*(CHOOSE({1,2,3,4},XT!X56,XT!AB56,XT!AF56,XT!AJ56)))</f>
        <v>0</v>
      </c>
      <c r="V56" t="str">
        <f>IFERROR(INDEX(CHOOSE({1,2,3,4}, DAY(XT!U56), DAY(XT!Y56), DAY(XT!AC56), DAY(XT!AG56)), MATCH(1, INDEX(--(MONTH(CHOOSE({1,2,3,4}, XT!U56,XT!Y56,XT!AC56,XT!AG56))=6), 0), 0)), "")</f>
        <v/>
      </c>
      <c r="W56" s="51" t="str">
        <f>IF(XT!$P56&gt;0,V56,"")</f>
        <v/>
      </c>
      <c r="X56" s="51" t="str">
        <f>IF(XT!$P56=0,V56,"")</f>
        <v/>
      </c>
      <c r="Y56">
        <f>SUMPRODUCT((MONTH(CHOOSE({1,2,3,4},XT!U56,XT!Y56,XT!AC56,XT!AG56))=7)*(CHOOSE({1,2,3,4},XT!X56,XT!AB56,XT!AF56,XT!AJ56)))</f>
        <v>0</v>
      </c>
      <c r="Z56" t="str">
        <f>IFERROR(INDEX(CHOOSE({1,2,3,4}, DAY(XT!U56), DAY(XT!Y56), DAY(XT!AC56), DAY(XT!AG56)), MATCH(1, INDEX(--(MONTH(CHOOSE({1,2,3,4}, XT!U56,XT!Y56,XT!AC56,XT!AG56))=7), 0), 0)), "")</f>
        <v/>
      </c>
      <c r="AA56" s="51" t="str">
        <f>IF(XT!$P56&gt;0,Z56,"")</f>
        <v/>
      </c>
      <c r="AB56" s="51" t="str">
        <f>IF(XT!$P56=0,Z56,"")</f>
        <v/>
      </c>
      <c r="AC56">
        <f>SUMPRODUCT((MONTH(CHOOSE({1,2,3,4},XT!U56,XT!Y56,XT!AC56,XT!AG56))=8)*(CHOOSE({1,2,3,4},XT!X56,XT!AB56,XT!AF56,XT!AJ56)))</f>
        <v>0</v>
      </c>
      <c r="AD56" t="str">
        <f>IFERROR(INDEX(CHOOSE({1,2,3,4}, DAY(XT!U56), DAY(XT!Y56), DAY(XT!AC56), DAY(XT!AG56)), MATCH(1, INDEX(--(MONTH(CHOOSE({1,2,3,4}, XT!U56,XT!Y56,XT!AC56,XT!AG56))=8), 0), 0)), "")</f>
        <v/>
      </c>
      <c r="AE56" s="51" t="str">
        <f>IF(XT!$P56&gt;0,AD56,"")</f>
        <v/>
      </c>
      <c r="AF56" s="51" t="str">
        <f>IF(XT!$P56=0,AD56,"")</f>
        <v/>
      </c>
      <c r="AG56">
        <f>SUMPRODUCT((MONTH(CHOOSE({1,2,3,4},XT!U56,XT!Y56,XT!AC56,XT!AG56))=9)*(CHOOSE({1,2,3,4},XT!X56,XT!AB56,XT!AF56,XT!AJ56)))</f>
        <v>0</v>
      </c>
      <c r="AH56" t="str">
        <f>IFERROR(INDEX(CHOOSE({1,2,3,4}, DAY(XT!U56), DAY(XT!Y56), DAY(XT!AC56), DAY(XT!AG56)), MATCH(1, INDEX(--(MONTH(CHOOSE({1,2,3,4}, XT!U56,XT!Y56,XT!AC56,XT!AG56))=9), 0), 0)), "")</f>
        <v/>
      </c>
      <c r="AI56" s="51" t="str">
        <f>IF(XT!$P56&gt;0,AH56,"")</f>
        <v/>
      </c>
      <c r="AJ56" s="51" t="str">
        <f>IF(XT!$P56=0,AH56,"")</f>
        <v/>
      </c>
      <c r="AK56">
        <f>SUMPRODUCT((MONTH(CHOOSE({1,2,3,4},XT!U56,XT!Y56,XT!AC56,XT!AG56))=10)*(CHOOSE({1,2,3,4},XT!X56,XT!AB56,XT!AF56,XT!AJ56)))</f>
        <v>0</v>
      </c>
      <c r="AL56" t="str">
        <f>IFERROR(INDEX(CHOOSE({1,2,3,4}, DAY(XT!U56), DAY(XT!Y56), DAY(XT!AC56), DAY(XT!AG56)), MATCH(1, INDEX(--(MONTH(CHOOSE({1,2,3,4}, XT!U56,XT!Y56,XT!AC56,XT!AG56))=10), 0), 0)), "")</f>
        <v/>
      </c>
      <c r="AM56" s="51" t="str">
        <f>IF(XT!$P56&gt;0,AL56,"")</f>
        <v/>
      </c>
      <c r="AN56" s="51" t="str">
        <f>IF(XT!$P56=0,AL56,"")</f>
        <v/>
      </c>
      <c r="AO56">
        <f>SUMPRODUCT((MONTH(CHOOSE({1,2,3,4},XT!U56,XT!Y56,XT!AC56,XT!AG56))=11)*(CHOOSE({1,2,3,4},XT!X56,XT!AB56,XT!AF56,XT!AJ56)))</f>
        <v>0</v>
      </c>
      <c r="AP56" t="str">
        <f>IFERROR(INDEX(CHOOSE({1,2,3,4}, DAY(XT!U56), DAY(XT!Y56), DAY(XT!AC56), DAY(XT!AG56)), MATCH(1, INDEX(--(MONTH(CHOOSE({1,2,3,4}, XT!U56,XT!Y56,XT!AC56,XT!AG56))=11), 0), 0)), "")</f>
        <v/>
      </c>
      <c r="AQ56" s="51" t="str">
        <f>IF(XT!$P56&gt;0,AP56,"")</f>
        <v/>
      </c>
      <c r="AR56" s="51" t="str">
        <f>IF(XT!$P56=0,AP56,"")</f>
        <v/>
      </c>
      <c r="AS56">
        <f>SUMPRODUCT((MONTH(CHOOSE({1,2,3,4},XT!U56,XT!Y56,XT!AC56,XT!AG56))=12)*(CHOOSE({1,2,3,4},XT!X56,XT!AB56,XT!AF56,XT!AJ56)))</f>
        <v>0</v>
      </c>
      <c r="AT56" t="str">
        <f>IFERROR(INDEX(CHOOSE({1,2,3,4}, DAY(XT!U56), DAY(XT!Y56), DAY(XT!AC56), DAY(XT!AG56)), MATCH(1, INDEX(--(MONTH(CHOOSE({1,2,3,4}, XT!U56,XT!Y56,XT!AC56,XT!AG56))=12), 0), 0)), "")</f>
        <v/>
      </c>
      <c r="AU56" s="51" t="str">
        <f>IF(XT!$P56&gt;0,AT56,"")</f>
        <v/>
      </c>
      <c r="AV56" s="51" t="str">
        <f>IF(XT!$P56=0,AT56,"")</f>
        <v/>
      </c>
    </row>
    <row r="57" spans="1:48">
      <c r="A57">
        <f>SUMPRODUCT((MONTH(CHOOSE({1,2,3,4},XT!U57,XT!Y57,XT!AC57,XT!AG57))=1)*(CHOOSE({1,2,3,4},XT!X57,XT!AB57,XT!AF57,XT!AJ57)))</f>
        <v>0</v>
      </c>
      <c r="B57">
        <f>IFERROR(INDEX(CHOOSE({1,2,3,4}, DAY(XT!U57), DAY(XT!Y57), DAY(XT!AC57), DAY(XT!AG57)), MATCH(1, INDEX(--(MONTH(CHOOSE({1,2,3,4}, XT!U57,XT!Y57,XT!AC57,XT!AG57))=1), 0), 0)), "")</f>
        <v>0</v>
      </c>
      <c r="C57" s="51" t="str">
        <f>IF(XT!$P57&gt;0,B57,"")</f>
        <v/>
      </c>
      <c r="D57" s="51">
        <f>IF(XT!$P57=0,B57,"")</f>
        <v>0</v>
      </c>
      <c r="E57">
        <f>SUMPRODUCT((MONTH(CHOOSE({1,2,3,4},XT!U57,XT!Y57,XT!AC57,XT!AG57))=2)*(CHOOSE({1,2,3,4},XT!X57,XT!AB57,XT!AF57,XT!AJ57)))</f>
        <v>0</v>
      </c>
      <c r="F57" t="str">
        <f>IFERROR(INDEX(CHOOSE({1,2,3,4}, DAY(XT!U57), DAY(XT!Y57), DAY(XT!AC57), DAY(XT!AG57)), MATCH(1, INDEX(--(MONTH(CHOOSE({1,2,3,4}, XT!U57,XT!Y57,XT!AC57,XT!AG57))=2), 0), 0)), "")</f>
        <v/>
      </c>
      <c r="G57" s="51" t="str">
        <f>IF(XT!$P57&gt;0,F57,"")</f>
        <v/>
      </c>
      <c r="H57" s="51" t="str">
        <f>IF(XT!$P57=0,F57,"")</f>
        <v/>
      </c>
      <c r="I57">
        <f>SUMPRODUCT((MONTH(CHOOSE({1,2,3,4},XT!U57,XT!Y57,XT!AC57,XT!AG57))=3)*(CHOOSE({1,2,3,4},XT!X57,XT!AB57,XT!AF57,XT!AJ57)))</f>
        <v>0</v>
      </c>
      <c r="J57" t="str">
        <f>IFERROR(INDEX(CHOOSE({1,2,3,4}, DAY(XT!U57), DAY(XT!Y57), DAY(XT!AC57), DAY(XT!AG57)), MATCH(1, INDEX(--(MONTH(CHOOSE({1,2,3,4}, XT!U57,XT!Y57,XT!AC57,XT!AG57))=3), 0), 0)), "")</f>
        <v/>
      </c>
      <c r="K57" s="51" t="str">
        <f>IF(XT!$P57&gt;0,J57,"")</f>
        <v/>
      </c>
      <c r="L57" s="51" t="str">
        <f>IF(XT!$P57=0,J57,"")</f>
        <v/>
      </c>
      <c r="M57">
        <f>SUMPRODUCT((MONTH(CHOOSE({1,2,3,4},XT!U57,XT!Y57,XT!AC57,XT!AG57))=4)*(CHOOSE({1,2,3,4},XT!X57,XT!AB57,XT!AF57,XT!AJ57)))</f>
        <v>0</v>
      </c>
      <c r="N57" t="str">
        <f>IFERROR(INDEX(CHOOSE({1,2,3,4}, DAY(XT!U57), DAY(XT!Y57), DAY(XT!AC57), DAY(XT!AG57)), MATCH(1, INDEX(--(MONTH(CHOOSE({1,2,3,4}, XT!U57,XT!Y57,XT!AC57,XT!AG57))=4), 0), 0)), "")</f>
        <v/>
      </c>
      <c r="O57" s="51" t="str">
        <f>IF(XT!$P57&gt;0,N57,"")</f>
        <v/>
      </c>
      <c r="P57" s="51" t="str">
        <f>IF(XT!$P57=0,N57,"")</f>
        <v/>
      </c>
      <c r="Q57">
        <f>SUMPRODUCT((MONTH(CHOOSE({1,2,3,4},XT!U57,XT!Y57,XT!AC57,XT!AG57))=5)*(CHOOSE({1,2,3,4},XT!X57,XT!AB57,XT!AF57,XT!AJ57)))</f>
        <v>0</v>
      </c>
      <c r="R57" t="str">
        <f>IFERROR(INDEX(CHOOSE({1,2,3,4}, DAY(XT!U57), DAY(XT!Y57), DAY(XT!AC57), DAY(XT!AG57)), MATCH(1, INDEX(--(MONTH(CHOOSE({1,2,3,4}, XT!U57,XT!Y57,XT!AC57,XT!AG57))=5), 0), 0)), "")</f>
        <v/>
      </c>
      <c r="S57" s="51" t="str">
        <f>IF(XT!$P57&gt;0,R57,"")</f>
        <v/>
      </c>
      <c r="T57" s="51" t="str">
        <f>IF(XT!$P57=0,R57,"")</f>
        <v/>
      </c>
      <c r="U57">
        <f>SUMPRODUCT((MONTH(CHOOSE({1,2,3,4},XT!U57,XT!Y57,XT!AC57,XT!AG57))=6)*(CHOOSE({1,2,3,4},XT!X57,XT!AB57,XT!AF57,XT!AJ57)))</f>
        <v>0</v>
      </c>
      <c r="V57" t="str">
        <f>IFERROR(INDEX(CHOOSE({1,2,3,4}, DAY(XT!U57), DAY(XT!Y57), DAY(XT!AC57), DAY(XT!AG57)), MATCH(1, INDEX(--(MONTH(CHOOSE({1,2,3,4}, XT!U57,XT!Y57,XT!AC57,XT!AG57))=6), 0), 0)), "")</f>
        <v/>
      </c>
      <c r="W57" s="51" t="str">
        <f>IF(XT!$P57&gt;0,V57,"")</f>
        <v/>
      </c>
      <c r="X57" s="51" t="str">
        <f>IF(XT!$P57=0,V57,"")</f>
        <v/>
      </c>
      <c r="Y57">
        <f>SUMPRODUCT((MONTH(CHOOSE({1,2,3,4},XT!U57,XT!Y57,XT!AC57,XT!AG57))=7)*(CHOOSE({1,2,3,4},XT!X57,XT!AB57,XT!AF57,XT!AJ57)))</f>
        <v>0</v>
      </c>
      <c r="Z57" t="str">
        <f>IFERROR(INDEX(CHOOSE({1,2,3,4}, DAY(XT!U57), DAY(XT!Y57), DAY(XT!AC57), DAY(XT!AG57)), MATCH(1, INDEX(--(MONTH(CHOOSE({1,2,3,4}, XT!U57,XT!Y57,XT!AC57,XT!AG57))=7), 0), 0)), "")</f>
        <v/>
      </c>
      <c r="AA57" s="51" t="str">
        <f>IF(XT!$P57&gt;0,Z57,"")</f>
        <v/>
      </c>
      <c r="AB57" s="51" t="str">
        <f>IF(XT!$P57=0,Z57,"")</f>
        <v/>
      </c>
      <c r="AC57">
        <f>SUMPRODUCT((MONTH(CHOOSE({1,2,3,4},XT!U57,XT!Y57,XT!AC57,XT!AG57))=8)*(CHOOSE({1,2,3,4},XT!X57,XT!AB57,XT!AF57,XT!AJ57)))</f>
        <v>0</v>
      </c>
      <c r="AD57" t="str">
        <f>IFERROR(INDEX(CHOOSE({1,2,3,4}, DAY(XT!U57), DAY(XT!Y57), DAY(XT!AC57), DAY(XT!AG57)), MATCH(1, INDEX(--(MONTH(CHOOSE({1,2,3,4}, XT!U57,XT!Y57,XT!AC57,XT!AG57))=8), 0), 0)), "")</f>
        <v/>
      </c>
      <c r="AE57" s="51" t="str">
        <f>IF(XT!$P57&gt;0,AD57,"")</f>
        <v/>
      </c>
      <c r="AF57" s="51" t="str">
        <f>IF(XT!$P57=0,AD57,"")</f>
        <v/>
      </c>
      <c r="AG57">
        <f>SUMPRODUCT((MONTH(CHOOSE({1,2,3,4},XT!U57,XT!Y57,XT!AC57,XT!AG57))=9)*(CHOOSE({1,2,3,4},XT!X57,XT!AB57,XT!AF57,XT!AJ57)))</f>
        <v>0</v>
      </c>
      <c r="AH57" t="str">
        <f>IFERROR(INDEX(CHOOSE({1,2,3,4}, DAY(XT!U57), DAY(XT!Y57), DAY(XT!AC57), DAY(XT!AG57)), MATCH(1, INDEX(--(MONTH(CHOOSE({1,2,3,4}, XT!U57,XT!Y57,XT!AC57,XT!AG57))=9), 0), 0)), "")</f>
        <v/>
      </c>
      <c r="AI57" s="51" t="str">
        <f>IF(XT!$P57&gt;0,AH57,"")</f>
        <v/>
      </c>
      <c r="AJ57" s="51" t="str">
        <f>IF(XT!$P57=0,AH57,"")</f>
        <v/>
      </c>
      <c r="AK57">
        <f>SUMPRODUCT((MONTH(CHOOSE({1,2,3,4},XT!U57,XT!Y57,XT!AC57,XT!AG57))=10)*(CHOOSE({1,2,3,4},XT!X57,XT!AB57,XT!AF57,XT!AJ57)))</f>
        <v>0</v>
      </c>
      <c r="AL57" t="str">
        <f>IFERROR(INDEX(CHOOSE({1,2,3,4}, DAY(XT!U57), DAY(XT!Y57), DAY(XT!AC57), DAY(XT!AG57)), MATCH(1, INDEX(--(MONTH(CHOOSE({1,2,3,4}, XT!U57,XT!Y57,XT!AC57,XT!AG57))=10), 0), 0)), "")</f>
        <v/>
      </c>
      <c r="AM57" s="51" t="str">
        <f>IF(XT!$P57&gt;0,AL57,"")</f>
        <v/>
      </c>
      <c r="AN57" s="51" t="str">
        <f>IF(XT!$P57=0,AL57,"")</f>
        <v/>
      </c>
      <c r="AO57">
        <f>SUMPRODUCT((MONTH(CHOOSE({1,2,3,4},XT!U57,XT!Y57,XT!AC57,XT!AG57))=11)*(CHOOSE({1,2,3,4},XT!X57,XT!AB57,XT!AF57,XT!AJ57)))</f>
        <v>0</v>
      </c>
      <c r="AP57" t="str">
        <f>IFERROR(INDEX(CHOOSE({1,2,3,4}, DAY(XT!U57), DAY(XT!Y57), DAY(XT!AC57), DAY(XT!AG57)), MATCH(1, INDEX(--(MONTH(CHOOSE({1,2,3,4}, XT!U57,XT!Y57,XT!AC57,XT!AG57))=11), 0), 0)), "")</f>
        <v/>
      </c>
      <c r="AQ57" s="51" t="str">
        <f>IF(XT!$P57&gt;0,AP57,"")</f>
        <v/>
      </c>
      <c r="AR57" s="51" t="str">
        <f>IF(XT!$P57=0,AP57,"")</f>
        <v/>
      </c>
      <c r="AS57">
        <f>SUMPRODUCT((MONTH(CHOOSE({1,2,3,4},XT!U57,XT!Y57,XT!AC57,XT!AG57))=12)*(CHOOSE({1,2,3,4},XT!X57,XT!AB57,XT!AF57,XT!AJ57)))</f>
        <v>0</v>
      </c>
      <c r="AT57" t="str">
        <f>IFERROR(INDEX(CHOOSE({1,2,3,4}, DAY(XT!U57), DAY(XT!Y57), DAY(XT!AC57), DAY(XT!AG57)), MATCH(1, INDEX(--(MONTH(CHOOSE({1,2,3,4}, XT!U57,XT!Y57,XT!AC57,XT!AG57))=12), 0), 0)), "")</f>
        <v/>
      </c>
      <c r="AU57" s="51" t="str">
        <f>IF(XT!$P57&gt;0,AT57,"")</f>
        <v/>
      </c>
      <c r="AV57" s="51" t="str">
        <f>IF(XT!$P57=0,AT57,"")</f>
        <v/>
      </c>
    </row>
    <row r="58" spans="1:48">
      <c r="A58">
        <f>SUMPRODUCT((MONTH(CHOOSE({1,2,3,4},XT!U58,XT!Y58,XT!AC58,XT!AG58))=1)*(CHOOSE({1,2,3,4},XT!X58,XT!AB58,XT!AF58,XT!AJ58)))</f>
        <v>0</v>
      </c>
      <c r="B58">
        <f>IFERROR(INDEX(CHOOSE({1,2,3,4}, DAY(XT!U58), DAY(XT!Y58), DAY(XT!AC58), DAY(XT!AG58)), MATCH(1, INDEX(--(MONTH(CHOOSE({1,2,3,4}, XT!U58,XT!Y58,XT!AC58,XT!AG58))=1), 0), 0)), "")</f>
        <v>0</v>
      </c>
      <c r="C58" s="51" t="str">
        <f>IF(XT!$P58&gt;0,B58,"")</f>
        <v/>
      </c>
      <c r="D58" s="51">
        <f>IF(XT!$P58=0,B58,"")</f>
        <v>0</v>
      </c>
      <c r="E58">
        <f>SUMPRODUCT((MONTH(CHOOSE({1,2,3,4},XT!U58,XT!Y58,XT!AC58,XT!AG58))=2)*(CHOOSE({1,2,3,4},XT!X58,XT!AB58,XT!AF58,XT!AJ58)))</f>
        <v>0</v>
      </c>
      <c r="F58" t="str">
        <f>IFERROR(INDEX(CHOOSE({1,2,3,4}, DAY(XT!U58), DAY(XT!Y58), DAY(XT!AC58), DAY(XT!AG58)), MATCH(1, INDEX(--(MONTH(CHOOSE({1,2,3,4}, XT!U58,XT!Y58,XT!AC58,XT!AG58))=2), 0), 0)), "")</f>
        <v/>
      </c>
      <c r="G58" s="51" t="str">
        <f>IF(XT!$P58&gt;0,F58,"")</f>
        <v/>
      </c>
      <c r="H58" s="51" t="str">
        <f>IF(XT!$P58=0,F58,"")</f>
        <v/>
      </c>
      <c r="I58">
        <f>SUMPRODUCT((MONTH(CHOOSE({1,2,3,4},XT!U58,XT!Y58,XT!AC58,XT!AG58))=3)*(CHOOSE({1,2,3,4},XT!X58,XT!AB58,XT!AF58,XT!AJ58)))</f>
        <v>0</v>
      </c>
      <c r="J58" t="str">
        <f>IFERROR(INDEX(CHOOSE({1,2,3,4}, DAY(XT!U58), DAY(XT!Y58), DAY(XT!AC58), DAY(XT!AG58)), MATCH(1, INDEX(--(MONTH(CHOOSE({1,2,3,4}, XT!U58,XT!Y58,XT!AC58,XT!AG58))=3), 0), 0)), "")</f>
        <v/>
      </c>
      <c r="K58" s="51" t="str">
        <f>IF(XT!$P58&gt;0,J58,"")</f>
        <v/>
      </c>
      <c r="L58" s="51" t="str">
        <f>IF(XT!$P58=0,J58,"")</f>
        <v/>
      </c>
      <c r="M58">
        <f>SUMPRODUCT((MONTH(CHOOSE({1,2,3,4},XT!U58,XT!Y58,XT!AC58,XT!AG58))=4)*(CHOOSE({1,2,3,4},XT!X58,XT!AB58,XT!AF58,XT!AJ58)))</f>
        <v>0</v>
      </c>
      <c r="N58" t="str">
        <f>IFERROR(INDEX(CHOOSE({1,2,3,4}, DAY(XT!U58), DAY(XT!Y58), DAY(XT!AC58), DAY(XT!AG58)), MATCH(1, INDEX(--(MONTH(CHOOSE({1,2,3,4}, XT!U58,XT!Y58,XT!AC58,XT!AG58))=4), 0), 0)), "")</f>
        <v/>
      </c>
      <c r="O58" s="51" t="str">
        <f>IF(XT!$P58&gt;0,N58,"")</f>
        <v/>
      </c>
      <c r="P58" s="51" t="str">
        <f>IF(XT!$P58=0,N58,"")</f>
        <v/>
      </c>
      <c r="Q58">
        <f>SUMPRODUCT((MONTH(CHOOSE({1,2,3,4},XT!U58,XT!Y58,XT!AC58,XT!AG58))=5)*(CHOOSE({1,2,3,4},XT!X58,XT!AB58,XT!AF58,XT!AJ58)))</f>
        <v>0</v>
      </c>
      <c r="R58" t="str">
        <f>IFERROR(INDEX(CHOOSE({1,2,3,4}, DAY(XT!U58), DAY(XT!Y58), DAY(XT!AC58), DAY(XT!AG58)), MATCH(1, INDEX(--(MONTH(CHOOSE({1,2,3,4}, XT!U58,XT!Y58,XT!AC58,XT!AG58))=5), 0), 0)), "")</f>
        <v/>
      </c>
      <c r="S58" s="51" t="str">
        <f>IF(XT!$P58&gt;0,R58,"")</f>
        <v/>
      </c>
      <c r="T58" s="51" t="str">
        <f>IF(XT!$P58=0,R58,"")</f>
        <v/>
      </c>
      <c r="U58">
        <f>SUMPRODUCT((MONTH(CHOOSE({1,2,3,4},XT!U58,XT!Y58,XT!AC58,XT!AG58))=6)*(CHOOSE({1,2,3,4},XT!X58,XT!AB58,XT!AF58,XT!AJ58)))</f>
        <v>0</v>
      </c>
      <c r="V58" t="str">
        <f>IFERROR(INDEX(CHOOSE({1,2,3,4}, DAY(XT!U58), DAY(XT!Y58), DAY(XT!AC58), DAY(XT!AG58)), MATCH(1, INDEX(--(MONTH(CHOOSE({1,2,3,4}, XT!U58,XT!Y58,XT!AC58,XT!AG58))=6), 0), 0)), "")</f>
        <v/>
      </c>
      <c r="W58" s="51" t="str">
        <f>IF(XT!$P58&gt;0,V58,"")</f>
        <v/>
      </c>
      <c r="X58" s="51" t="str">
        <f>IF(XT!$P58=0,V58,"")</f>
        <v/>
      </c>
      <c r="Y58">
        <f>SUMPRODUCT((MONTH(CHOOSE({1,2,3,4},XT!U58,XT!Y58,XT!AC58,XT!AG58))=7)*(CHOOSE({1,2,3,4},XT!X58,XT!AB58,XT!AF58,XT!AJ58)))</f>
        <v>0</v>
      </c>
      <c r="Z58" t="str">
        <f>IFERROR(INDEX(CHOOSE({1,2,3,4}, DAY(XT!U58), DAY(XT!Y58), DAY(XT!AC58), DAY(XT!AG58)), MATCH(1, INDEX(--(MONTH(CHOOSE({1,2,3,4}, XT!U58,XT!Y58,XT!AC58,XT!AG58))=7), 0), 0)), "")</f>
        <v/>
      </c>
      <c r="AA58" s="51" t="str">
        <f>IF(XT!$P58&gt;0,Z58,"")</f>
        <v/>
      </c>
      <c r="AB58" s="51" t="str">
        <f>IF(XT!$P58=0,Z58,"")</f>
        <v/>
      </c>
      <c r="AC58">
        <f>SUMPRODUCT((MONTH(CHOOSE({1,2,3,4},XT!U58,XT!Y58,XT!AC58,XT!AG58))=8)*(CHOOSE({1,2,3,4},XT!X58,XT!AB58,XT!AF58,XT!AJ58)))</f>
        <v>0</v>
      </c>
      <c r="AD58" t="str">
        <f>IFERROR(INDEX(CHOOSE({1,2,3,4}, DAY(XT!U58), DAY(XT!Y58), DAY(XT!AC58), DAY(XT!AG58)), MATCH(1, INDEX(--(MONTH(CHOOSE({1,2,3,4}, XT!U58,XT!Y58,XT!AC58,XT!AG58))=8), 0), 0)), "")</f>
        <v/>
      </c>
      <c r="AE58" s="51" t="str">
        <f>IF(XT!$P58&gt;0,AD58,"")</f>
        <v/>
      </c>
      <c r="AF58" s="51" t="str">
        <f>IF(XT!$P58=0,AD58,"")</f>
        <v/>
      </c>
      <c r="AG58">
        <f>SUMPRODUCT((MONTH(CHOOSE({1,2,3,4},XT!U58,XT!Y58,XT!AC58,XT!AG58))=9)*(CHOOSE({1,2,3,4},XT!X58,XT!AB58,XT!AF58,XT!AJ58)))</f>
        <v>0</v>
      </c>
      <c r="AH58" t="str">
        <f>IFERROR(INDEX(CHOOSE({1,2,3,4}, DAY(XT!U58), DAY(XT!Y58), DAY(XT!AC58), DAY(XT!AG58)), MATCH(1, INDEX(--(MONTH(CHOOSE({1,2,3,4}, XT!U58,XT!Y58,XT!AC58,XT!AG58))=9), 0), 0)), "")</f>
        <v/>
      </c>
      <c r="AI58" s="51" t="str">
        <f>IF(XT!$P58&gt;0,AH58,"")</f>
        <v/>
      </c>
      <c r="AJ58" s="51" t="str">
        <f>IF(XT!$P58=0,AH58,"")</f>
        <v/>
      </c>
      <c r="AK58">
        <f>SUMPRODUCT((MONTH(CHOOSE({1,2,3,4},XT!U58,XT!Y58,XT!AC58,XT!AG58))=10)*(CHOOSE({1,2,3,4},XT!X58,XT!AB58,XT!AF58,XT!AJ58)))</f>
        <v>0</v>
      </c>
      <c r="AL58" t="str">
        <f>IFERROR(INDEX(CHOOSE({1,2,3,4}, DAY(XT!U58), DAY(XT!Y58), DAY(XT!AC58), DAY(XT!AG58)), MATCH(1, INDEX(--(MONTH(CHOOSE({1,2,3,4}, XT!U58,XT!Y58,XT!AC58,XT!AG58))=10), 0), 0)), "")</f>
        <v/>
      </c>
      <c r="AM58" s="51" t="str">
        <f>IF(XT!$P58&gt;0,AL58,"")</f>
        <v/>
      </c>
      <c r="AN58" s="51" t="str">
        <f>IF(XT!$P58=0,AL58,"")</f>
        <v/>
      </c>
      <c r="AO58">
        <f>SUMPRODUCT((MONTH(CHOOSE({1,2,3,4},XT!U58,XT!Y58,XT!AC58,XT!AG58))=11)*(CHOOSE({1,2,3,4},XT!X58,XT!AB58,XT!AF58,XT!AJ58)))</f>
        <v>0</v>
      </c>
      <c r="AP58" t="str">
        <f>IFERROR(INDEX(CHOOSE({1,2,3,4}, DAY(XT!U58), DAY(XT!Y58), DAY(XT!AC58), DAY(XT!AG58)), MATCH(1, INDEX(--(MONTH(CHOOSE({1,2,3,4}, XT!U58,XT!Y58,XT!AC58,XT!AG58))=11), 0), 0)), "")</f>
        <v/>
      </c>
      <c r="AQ58" s="51" t="str">
        <f>IF(XT!$P58&gt;0,AP58,"")</f>
        <v/>
      </c>
      <c r="AR58" s="51" t="str">
        <f>IF(XT!$P58=0,AP58,"")</f>
        <v/>
      </c>
      <c r="AS58">
        <f>SUMPRODUCT((MONTH(CHOOSE({1,2,3,4},XT!U58,XT!Y58,XT!AC58,XT!AG58))=12)*(CHOOSE({1,2,3,4},XT!X58,XT!AB58,XT!AF58,XT!AJ58)))</f>
        <v>0</v>
      </c>
      <c r="AT58" t="str">
        <f>IFERROR(INDEX(CHOOSE({1,2,3,4}, DAY(XT!U58), DAY(XT!Y58), DAY(XT!AC58), DAY(XT!AG58)), MATCH(1, INDEX(--(MONTH(CHOOSE({1,2,3,4}, XT!U58,XT!Y58,XT!AC58,XT!AG58))=12), 0), 0)), "")</f>
        <v/>
      </c>
      <c r="AU58" s="51" t="str">
        <f>IF(XT!$P58&gt;0,AT58,"")</f>
        <v/>
      </c>
      <c r="AV58" s="51" t="str">
        <f>IF(XT!$P58=0,AT58,"")</f>
        <v/>
      </c>
    </row>
    <row r="59" spans="1:48">
      <c r="A59">
        <f>SUMPRODUCT((MONTH(CHOOSE({1,2,3,4},XT!U59,XT!Y59,XT!AC59,XT!AG59))=1)*(CHOOSE({1,2,3,4},XT!X59,XT!AB59,XT!AF59,XT!AJ59)))</f>
        <v>0</v>
      </c>
      <c r="B59">
        <f>IFERROR(INDEX(CHOOSE({1,2,3,4}, DAY(XT!U59), DAY(XT!Y59), DAY(XT!AC59), DAY(XT!AG59)), MATCH(1, INDEX(--(MONTH(CHOOSE({1,2,3,4}, XT!U59,XT!Y59,XT!AC59,XT!AG59))=1), 0), 0)), "")</f>
        <v>0</v>
      </c>
      <c r="C59" s="51" t="str">
        <f>IF(XT!$P59&gt;0,B59,"")</f>
        <v/>
      </c>
      <c r="D59" s="51">
        <f>IF(XT!$P59=0,B59,"")</f>
        <v>0</v>
      </c>
      <c r="E59">
        <f>SUMPRODUCT((MONTH(CHOOSE({1,2,3,4},XT!U59,XT!Y59,XT!AC59,XT!AG59))=2)*(CHOOSE({1,2,3,4},XT!X59,XT!AB59,XT!AF59,XT!AJ59)))</f>
        <v>0</v>
      </c>
      <c r="F59" t="str">
        <f>IFERROR(INDEX(CHOOSE({1,2,3,4}, DAY(XT!U59), DAY(XT!Y59), DAY(XT!AC59), DAY(XT!AG59)), MATCH(1, INDEX(--(MONTH(CHOOSE({1,2,3,4}, XT!U59,XT!Y59,XT!AC59,XT!AG59))=2), 0), 0)), "")</f>
        <v/>
      </c>
      <c r="G59" s="51" t="str">
        <f>IF(XT!$P59&gt;0,F59,"")</f>
        <v/>
      </c>
      <c r="H59" s="51" t="str">
        <f>IF(XT!$P59=0,F59,"")</f>
        <v/>
      </c>
      <c r="I59">
        <f>SUMPRODUCT((MONTH(CHOOSE({1,2,3,4},XT!U59,XT!Y59,XT!AC59,XT!AG59))=3)*(CHOOSE({1,2,3,4},XT!X59,XT!AB59,XT!AF59,XT!AJ59)))</f>
        <v>0</v>
      </c>
      <c r="J59" t="str">
        <f>IFERROR(INDEX(CHOOSE({1,2,3,4}, DAY(XT!U59), DAY(XT!Y59), DAY(XT!AC59), DAY(XT!AG59)), MATCH(1, INDEX(--(MONTH(CHOOSE({1,2,3,4}, XT!U59,XT!Y59,XT!AC59,XT!AG59))=3), 0), 0)), "")</f>
        <v/>
      </c>
      <c r="K59" s="51" t="str">
        <f>IF(XT!$P59&gt;0,J59,"")</f>
        <v/>
      </c>
      <c r="L59" s="51" t="str">
        <f>IF(XT!$P59=0,J59,"")</f>
        <v/>
      </c>
      <c r="M59">
        <f>SUMPRODUCT((MONTH(CHOOSE({1,2,3,4},XT!U59,XT!Y59,XT!AC59,XT!AG59))=4)*(CHOOSE({1,2,3,4},XT!X59,XT!AB59,XT!AF59,XT!AJ59)))</f>
        <v>0</v>
      </c>
      <c r="N59" t="str">
        <f>IFERROR(INDEX(CHOOSE({1,2,3,4}, DAY(XT!U59), DAY(XT!Y59), DAY(XT!AC59), DAY(XT!AG59)), MATCH(1, INDEX(--(MONTH(CHOOSE({1,2,3,4}, XT!U59,XT!Y59,XT!AC59,XT!AG59))=4), 0), 0)), "")</f>
        <v/>
      </c>
      <c r="O59" s="51" t="str">
        <f>IF(XT!$P59&gt;0,N59,"")</f>
        <v/>
      </c>
      <c r="P59" s="51" t="str">
        <f>IF(XT!$P59=0,N59,"")</f>
        <v/>
      </c>
      <c r="Q59">
        <f>SUMPRODUCT((MONTH(CHOOSE({1,2,3,4},XT!U59,XT!Y59,XT!AC59,XT!AG59))=5)*(CHOOSE({1,2,3,4},XT!X59,XT!AB59,XT!AF59,XT!AJ59)))</f>
        <v>0</v>
      </c>
      <c r="R59" t="str">
        <f>IFERROR(INDEX(CHOOSE({1,2,3,4}, DAY(XT!U59), DAY(XT!Y59), DAY(XT!AC59), DAY(XT!AG59)), MATCH(1, INDEX(--(MONTH(CHOOSE({1,2,3,4}, XT!U59,XT!Y59,XT!AC59,XT!AG59))=5), 0), 0)), "")</f>
        <v/>
      </c>
      <c r="S59" s="51" t="str">
        <f>IF(XT!$P59&gt;0,R59,"")</f>
        <v/>
      </c>
      <c r="T59" s="51" t="str">
        <f>IF(XT!$P59=0,R59,"")</f>
        <v/>
      </c>
      <c r="U59">
        <f>SUMPRODUCT((MONTH(CHOOSE({1,2,3,4},XT!U59,XT!Y59,XT!AC59,XT!AG59))=6)*(CHOOSE({1,2,3,4},XT!X59,XT!AB59,XT!AF59,XT!AJ59)))</f>
        <v>0</v>
      </c>
      <c r="V59" t="str">
        <f>IFERROR(INDEX(CHOOSE({1,2,3,4}, DAY(XT!U59), DAY(XT!Y59), DAY(XT!AC59), DAY(XT!AG59)), MATCH(1, INDEX(--(MONTH(CHOOSE({1,2,3,4}, XT!U59,XT!Y59,XT!AC59,XT!AG59))=6), 0), 0)), "")</f>
        <v/>
      </c>
      <c r="W59" s="51" t="str">
        <f>IF(XT!$P59&gt;0,V59,"")</f>
        <v/>
      </c>
      <c r="X59" s="51" t="str">
        <f>IF(XT!$P59=0,V59,"")</f>
        <v/>
      </c>
      <c r="Y59">
        <f>SUMPRODUCT((MONTH(CHOOSE({1,2,3,4},XT!U59,XT!Y59,XT!AC59,XT!AG59))=7)*(CHOOSE({1,2,3,4},XT!X59,XT!AB59,XT!AF59,XT!AJ59)))</f>
        <v>0</v>
      </c>
      <c r="Z59" t="str">
        <f>IFERROR(INDEX(CHOOSE({1,2,3,4}, DAY(XT!U59), DAY(XT!Y59), DAY(XT!AC59), DAY(XT!AG59)), MATCH(1, INDEX(--(MONTH(CHOOSE({1,2,3,4}, XT!U59,XT!Y59,XT!AC59,XT!AG59))=7), 0), 0)), "")</f>
        <v/>
      </c>
      <c r="AA59" s="51" t="str">
        <f>IF(XT!$P59&gt;0,Z59,"")</f>
        <v/>
      </c>
      <c r="AB59" s="51" t="str">
        <f>IF(XT!$P59=0,Z59,"")</f>
        <v/>
      </c>
      <c r="AC59">
        <f>SUMPRODUCT((MONTH(CHOOSE({1,2,3,4},XT!U59,XT!Y59,XT!AC59,XT!AG59))=8)*(CHOOSE({1,2,3,4},XT!X59,XT!AB59,XT!AF59,XT!AJ59)))</f>
        <v>0</v>
      </c>
      <c r="AD59" t="str">
        <f>IFERROR(INDEX(CHOOSE({1,2,3,4}, DAY(XT!U59), DAY(XT!Y59), DAY(XT!AC59), DAY(XT!AG59)), MATCH(1, INDEX(--(MONTH(CHOOSE({1,2,3,4}, XT!U59,XT!Y59,XT!AC59,XT!AG59))=8), 0), 0)), "")</f>
        <v/>
      </c>
      <c r="AE59" s="51" t="str">
        <f>IF(XT!$P59&gt;0,AD59,"")</f>
        <v/>
      </c>
      <c r="AF59" s="51" t="str">
        <f>IF(XT!$P59=0,AD59,"")</f>
        <v/>
      </c>
      <c r="AG59">
        <f>SUMPRODUCT((MONTH(CHOOSE({1,2,3,4},XT!U59,XT!Y59,XT!AC59,XT!AG59))=9)*(CHOOSE({1,2,3,4},XT!X59,XT!AB59,XT!AF59,XT!AJ59)))</f>
        <v>0</v>
      </c>
      <c r="AH59" t="str">
        <f>IFERROR(INDEX(CHOOSE({1,2,3,4}, DAY(XT!U59), DAY(XT!Y59), DAY(XT!AC59), DAY(XT!AG59)), MATCH(1, INDEX(--(MONTH(CHOOSE({1,2,3,4}, XT!U59,XT!Y59,XT!AC59,XT!AG59))=9), 0), 0)), "")</f>
        <v/>
      </c>
      <c r="AI59" s="51" t="str">
        <f>IF(XT!$P59&gt;0,AH59,"")</f>
        <v/>
      </c>
      <c r="AJ59" s="51" t="str">
        <f>IF(XT!$P59=0,AH59,"")</f>
        <v/>
      </c>
      <c r="AK59">
        <f>SUMPRODUCT((MONTH(CHOOSE({1,2,3,4},XT!U59,XT!Y59,XT!AC59,XT!AG59))=10)*(CHOOSE({1,2,3,4},XT!X59,XT!AB59,XT!AF59,XT!AJ59)))</f>
        <v>0</v>
      </c>
      <c r="AL59" t="str">
        <f>IFERROR(INDEX(CHOOSE({1,2,3,4}, DAY(XT!U59), DAY(XT!Y59), DAY(XT!AC59), DAY(XT!AG59)), MATCH(1, INDEX(--(MONTH(CHOOSE({1,2,3,4}, XT!U59,XT!Y59,XT!AC59,XT!AG59))=10), 0), 0)), "")</f>
        <v/>
      </c>
      <c r="AM59" s="51" t="str">
        <f>IF(XT!$P59&gt;0,AL59,"")</f>
        <v/>
      </c>
      <c r="AN59" s="51" t="str">
        <f>IF(XT!$P59=0,AL59,"")</f>
        <v/>
      </c>
      <c r="AO59">
        <f>SUMPRODUCT((MONTH(CHOOSE({1,2,3,4},XT!U59,XT!Y59,XT!AC59,XT!AG59))=11)*(CHOOSE({1,2,3,4},XT!X59,XT!AB59,XT!AF59,XT!AJ59)))</f>
        <v>0</v>
      </c>
      <c r="AP59" t="str">
        <f>IFERROR(INDEX(CHOOSE({1,2,3,4}, DAY(XT!U59), DAY(XT!Y59), DAY(XT!AC59), DAY(XT!AG59)), MATCH(1, INDEX(--(MONTH(CHOOSE({1,2,3,4}, XT!U59,XT!Y59,XT!AC59,XT!AG59))=11), 0), 0)), "")</f>
        <v/>
      </c>
      <c r="AQ59" s="51" t="str">
        <f>IF(XT!$P59&gt;0,AP59,"")</f>
        <v/>
      </c>
      <c r="AR59" s="51" t="str">
        <f>IF(XT!$P59=0,AP59,"")</f>
        <v/>
      </c>
      <c r="AS59">
        <f>SUMPRODUCT((MONTH(CHOOSE({1,2,3,4},XT!U59,XT!Y59,XT!AC59,XT!AG59))=12)*(CHOOSE({1,2,3,4},XT!X59,XT!AB59,XT!AF59,XT!AJ59)))</f>
        <v>0</v>
      </c>
      <c r="AT59" t="str">
        <f>IFERROR(INDEX(CHOOSE({1,2,3,4}, DAY(XT!U59), DAY(XT!Y59), DAY(XT!AC59), DAY(XT!AG59)), MATCH(1, INDEX(--(MONTH(CHOOSE({1,2,3,4}, XT!U59,XT!Y59,XT!AC59,XT!AG59))=12), 0), 0)), "")</f>
        <v/>
      </c>
      <c r="AU59" s="51" t="str">
        <f>IF(XT!$P59&gt;0,AT59,"")</f>
        <v/>
      </c>
      <c r="AV59" s="51" t="str">
        <f>IF(XT!$P59=0,AT59,"")</f>
        <v/>
      </c>
    </row>
    <row r="60" spans="1:48">
      <c r="A60">
        <f>SUMPRODUCT((MONTH(CHOOSE({1,2,3,4},XT!U60,XT!Y60,XT!AC60,XT!AG60))=1)*(CHOOSE({1,2,3,4},XT!X60,XT!AB60,XT!AF60,XT!AJ60)))</f>
        <v>0</v>
      </c>
      <c r="B60">
        <f>IFERROR(INDEX(CHOOSE({1,2,3,4}, DAY(XT!U60), DAY(XT!Y60), DAY(XT!AC60), DAY(XT!AG60)), MATCH(1, INDEX(--(MONTH(CHOOSE({1,2,3,4}, XT!U60,XT!Y60,XT!AC60,XT!AG60))=1), 0), 0)), "")</f>
        <v>0</v>
      </c>
      <c r="C60" s="51" t="str">
        <f>IF(XT!$P60&gt;0,B60,"")</f>
        <v/>
      </c>
      <c r="D60" s="51">
        <f>IF(XT!$P60=0,B60,"")</f>
        <v>0</v>
      </c>
      <c r="E60">
        <f>SUMPRODUCT((MONTH(CHOOSE({1,2,3,4},XT!U60,XT!Y60,XT!AC60,XT!AG60))=2)*(CHOOSE({1,2,3,4},XT!X60,XT!AB60,XT!AF60,XT!AJ60)))</f>
        <v>0</v>
      </c>
      <c r="F60" t="str">
        <f>IFERROR(INDEX(CHOOSE({1,2,3,4}, DAY(XT!U60), DAY(XT!Y60), DAY(XT!AC60), DAY(XT!AG60)), MATCH(1, INDEX(--(MONTH(CHOOSE({1,2,3,4}, XT!U60,XT!Y60,XT!AC60,XT!AG60))=2), 0), 0)), "")</f>
        <v/>
      </c>
      <c r="G60" s="51" t="str">
        <f>IF(XT!$P60&gt;0,F60,"")</f>
        <v/>
      </c>
      <c r="H60" s="51" t="str">
        <f>IF(XT!$P60=0,F60,"")</f>
        <v/>
      </c>
      <c r="I60">
        <f>SUMPRODUCT((MONTH(CHOOSE({1,2,3,4},XT!U60,XT!Y60,XT!AC60,XT!AG60))=3)*(CHOOSE({1,2,3,4},XT!X60,XT!AB60,XT!AF60,XT!AJ60)))</f>
        <v>0</v>
      </c>
      <c r="J60" t="str">
        <f>IFERROR(INDEX(CHOOSE({1,2,3,4}, DAY(XT!U60), DAY(XT!Y60), DAY(XT!AC60), DAY(XT!AG60)), MATCH(1, INDEX(--(MONTH(CHOOSE({1,2,3,4}, XT!U60,XT!Y60,XT!AC60,XT!AG60))=3), 0), 0)), "")</f>
        <v/>
      </c>
      <c r="K60" s="51" t="str">
        <f>IF(XT!$P60&gt;0,J60,"")</f>
        <v/>
      </c>
      <c r="L60" s="51" t="str">
        <f>IF(XT!$P60=0,J60,"")</f>
        <v/>
      </c>
      <c r="M60">
        <f>SUMPRODUCT((MONTH(CHOOSE({1,2,3,4},XT!U60,XT!Y60,XT!AC60,XT!AG60))=4)*(CHOOSE({1,2,3,4},XT!X60,XT!AB60,XT!AF60,XT!AJ60)))</f>
        <v>0</v>
      </c>
      <c r="N60" t="str">
        <f>IFERROR(INDEX(CHOOSE({1,2,3,4}, DAY(XT!U60), DAY(XT!Y60), DAY(XT!AC60), DAY(XT!AG60)), MATCH(1, INDEX(--(MONTH(CHOOSE({1,2,3,4}, XT!U60,XT!Y60,XT!AC60,XT!AG60))=4), 0), 0)), "")</f>
        <v/>
      </c>
      <c r="O60" s="51" t="str">
        <f>IF(XT!$P60&gt;0,N60,"")</f>
        <v/>
      </c>
      <c r="P60" s="51" t="str">
        <f>IF(XT!$P60=0,N60,"")</f>
        <v/>
      </c>
      <c r="Q60">
        <f>SUMPRODUCT((MONTH(CHOOSE({1,2,3,4},XT!U60,XT!Y60,XT!AC60,XT!AG60))=5)*(CHOOSE({1,2,3,4},XT!X60,XT!AB60,XT!AF60,XT!AJ60)))</f>
        <v>0</v>
      </c>
      <c r="R60" t="str">
        <f>IFERROR(INDEX(CHOOSE({1,2,3,4}, DAY(XT!U60), DAY(XT!Y60), DAY(XT!AC60), DAY(XT!AG60)), MATCH(1, INDEX(--(MONTH(CHOOSE({1,2,3,4}, XT!U60,XT!Y60,XT!AC60,XT!AG60))=5), 0), 0)), "")</f>
        <v/>
      </c>
      <c r="S60" s="51" t="str">
        <f>IF(XT!$P60&gt;0,R60,"")</f>
        <v/>
      </c>
      <c r="T60" s="51" t="str">
        <f>IF(XT!$P60=0,R60,"")</f>
        <v/>
      </c>
      <c r="U60">
        <f>SUMPRODUCT((MONTH(CHOOSE({1,2,3,4},XT!U60,XT!Y60,XT!AC60,XT!AG60))=6)*(CHOOSE({1,2,3,4},XT!X60,XT!AB60,XT!AF60,XT!AJ60)))</f>
        <v>0</v>
      </c>
      <c r="V60" t="str">
        <f>IFERROR(INDEX(CHOOSE({1,2,3,4}, DAY(XT!U60), DAY(XT!Y60), DAY(XT!AC60), DAY(XT!AG60)), MATCH(1, INDEX(--(MONTH(CHOOSE({1,2,3,4}, XT!U60,XT!Y60,XT!AC60,XT!AG60))=6), 0), 0)), "")</f>
        <v/>
      </c>
      <c r="W60" s="51" t="str">
        <f>IF(XT!$P60&gt;0,V60,"")</f>
        <v/>
      </c>
      <c r="X60" s="51" t="str">
        <f>IF(XT!$P60=0,V60,"")</f>
        <v/>
      </c>
      <c r="Y60">
        <f>SUMPRODUCT((MONTH(CHOOSE({1,2,3,4},XT!U60,XT!Y60,XT!AC60,XT!AG60))=7)*(CHOOSE({1,2,3,4},XT!X60,XT!AB60,XT!AF60,XT!AJ60)))</f>
        <v>0</v>
      </c>
      <c r="Z60" t="str">
        <f>IFERROR(INDEX(CHOOSE({1,2,3,4}, DAY(XT!U60), DAY(XT!Y60), DAY(XT!AC60), DAY(XT!AG60)), MATCH(1, INDEX(--(MONTH(CHOOSE({1,2,3,4}, XT!U60,XT!Y60,XT!AC60,XT!AG60))=7), 0), 0)), "")</f>
        <v/>
      </c>
      <c r="AA60" s="51" t="str">
        <f>IF(XT!$P60&gt;0,Z60,"")</f>
        <v/>
      </c>
      <c r="AB60" s="51" t="str">
        <f>IF(XT!$P60=0,Z60,"")</f>
        <v/>
      </c>
      <c r="AC60">
        <f>SUMPRODUCT((MONTH(CHOOSE({1,2,3,4},XT!U60,XT!Y60,XT!AC60,XT!AG60))=8)*(CHOOSE({1,2,3,4},XT!X60,XT!AB60,XT!AF60,XT!AJ60)))</f>
        <v>0</v>
      </c>
      <c r="AD60" t="str">
        <f>IFERROR(INDEX(CHOOSE({1,2,3,4}, DAY(XT!U60), DAY(XT!Y60), DAY(XT!AC60), DAY(XT!AG60)), MATCH(1, INDEX(--(MONTH(CHOOSE({1,2,3,4}, XT!U60,XT!Y60,XT!AC60,XT!AG60))=8), 0), 0)), "")</f>
        <v/>
      </c>
      <c r="AE60" s="51" t="str">
        <f>IF(XT!$P60&gt;0,AD60,"")</f>
        <v/>
      </c>
      <c r="AF60" s="51" t="str">
        <f>IF(XT!$P60=0,AD60,"")</f>
        <v/>
      </c>
      <c r="AG60">
        <f>SUMPRODUCT((MONTH(CHOOSE({1,2,3,4},XT!U60,XT!Y60,XT!AC60,XT!AG60))=9)*(CHOOSE({1,2,3,4},XT!X60,XT!AB60,XT!AF60,XT!AJ60)))</f>
        <v>0</v>
      </c>
      <c r="AH60" t="str">
        <f>IFERROR(INDEX(CHOOSE({1,2,3,4}, DAY(XT!U60), DAY(XT!Y60), DAY(XT!AC60), DAY(XT!AG60)), MATCH(1, INDEX(--(MONTH(CHOOSE({1,2,3,4}, XT!U60,XT!Y60,XT!AC60,XT!AG60))=9), 0), 0)), "")</f>
        <v/>
      </c>
      <c r="AI60" s="51" t="str">
        <f>IF(XT!$P60&gt;0,AH60,"")</f>
        <v/>
      </c>
      <c r="AJ60" s="51" t="str">
        <f>IF(XT!$P60=0,AH60,"")</f>
        <v/>
      </c>
      <c r="AK60">
        <f>SUMPRODUCT((MONTH(CHOOSE({1,2,3,4},XT!U60,XT!Y60,XT!AC60,XT!AG60))=10)*(CHOOSE({1,2,3,4},XT!X60,XT!AB60,XT!AF60,XT!AJ60)))</f>
        <v>0</v>
      </c>
      <c r="AL60" t="str">
        <f>IFERROR(INDEX(CHOOSE({1,2,3,4}, DAY(XT!U60), DAY(XT!Y60), DAY(XT!AC60), DAY(XT!AG60)), MATCH(1, INDEX(--(MONTH(CHOOSE({1,2,3,4}, XT!U60,XT!Y60,XT!AC60,XT!AG60))=10), 0), 0)), "")</f>
        <v/>
      </c>
      <c r="AM60" s="51" t="str">
        <f>IF(XT!$P60&gt;0,AL60,"")</f>
        <v/>
      </c>
      <c r="AN60" s="51" t="str">
        <f>IF(XT!$P60=0,AL60,"")</f>
        <v/>
      </c>
      <c r="AO60">
        <f>SUMPRODUCT((MONTH(CHOOSE({1,2,3,4},XT!U60,XT!Y60,XT!AC60,XT!AG60))=11)*(CHOOSE({1,2,3,4},XT!X60,XT!AB60,XT!AF60,XT!AJ60)))</f>
        <v>0</v>
      </c>
      <c r="AP60" t="str">
        <f>IFERROR(INDEX(CHOOSE({1,2,3,4}, DAY(XT!U60), DAY(XT!Y60), DAY(XT!AC60), DAY(XT!AG60)), MATCH(1, INDEX(--(MONTH(CHOOSE({1,2,3,4}, XT!U60,XT!Y60,XT!AC60,XT!AG60))=11), 0), 0)), "")</f>
        <v/>
      </c>
      <c r="AQ60" s="51" t="str">
        <f>IF(XT!$P60&gt;0,AP60,"")</f>
        <v/>
      </c>
      <c r="AR60" s="51" t="str">
        <f>IF(XT!$P60=0,AP60,"")</f>
        <v/>
      </c>
      <c r="AS60">
        <f>SUMPRODUCT((MONTH(CHOOSE({1,2,3,4},XT!U60,XT!Y60,XT!AC60,XT!AG60))=12)*(CHOOSE({1,2,3,4},XT!X60,XT!AB60,XT!AF60,XT!AJ60)))</f>
        <v>0</v>
      </c>
      <c r="AT60" t="str">
        <f>IFERROR(INDEX(CHOOSE({1,2,3,4}, DAY(XT!U60), DAY(XT!Y60), DAY(XT!AC60), DAY(XT!AG60)), MATCH(1, INDEX(--(MONTH(CHOOSE({1,2,3,4}, XT!U60,XT!Y60,XT!AC60,XT!AG60))=12), 0), 0)), "")</f>
        <v/>
      </c>
      <c r="AU60" s="51" t="str">
        <f>IF(XT!$P60&gt;0,AT60,"")</f>
        <v/>
      </c>
      <c r="AV60" s="51" t="str">
        <f>IF(XT!$P60=0,AT60,"")</f>
        <v/>
      </c>
    </row>
    <row r="61" spans="1:48">
      <c r="A61">
        <f>SUMPRODUCT((MONTH(CHOOSE({1,2,3,4},XT!U61,XT!Y61,XT!AC61,XT!AG61))=1)*(CHOOSE({1,2,3,4},XT!X61,XT!AB61,XT!AF61,XT!AJ61)))</f>
        <v>0</v>
      </c>
      <c r="B61">
        <f>IFERROR(INDEX(CHOOSE({1,2,3,4}, DAY(XT!U61), DAY(XT!Y61), DAY(XT!AC61), DAY(XT!AG61)), MATCH(1, INDEX(--(MONTH(CHOOSE({1,2,3,4}, XT!U61,XT!Y61,XT!AC61,XT!AG61))=1), 0), 0)), "")</f>
        <v>0</v>
      </c>
      <c r="C61" s="51" t="str">
        <f>IF(XT!$P61&gt;0,B61,"")</f>
        <v/>
      </c>
      <c r="D61" s="51">
        <f>IF(XT!$P61=0,B61,"")</f>
        <v>0</v>
      </c>
      <c r="E61">
        <f>SUMPRODUCT((MONTH(CHOOSE({1,2,3,4},XT!U61,XT!Y61,XT!AC61,XT!AG61))=2)*(CHOOSE({1,2,3,4},XT!X61,XT!AB61,XT!AF61,XT!AJ61)))</f>
        <v>0</v>
      </c>
      <c r="F61" t="str">
        <f>IFERROR(INDEX(CHOOSE({1,2,3,4}, DAY(XT!U61), DAY(XT!Y61), DAY(XT!AC61), DAY(XT!AG61)), MATCH(1, INDEX(--(MONTH(CHOOSE({1,2,3,4}, XT!U61,XT!Y61,XT!AC61,XT!AG61))=2), 0), 0)), "")</f>
        <v/>
      </c>
      <c r="G61" s="51" t="str">
        <f>IF(XT!$P61&gt;0,F61,"")</f>
        <v/>
      </c>
      <c r="H61" s="51" t="str">
        <f>IF(XT!$P61=0,F61,"")</f>
        <v/>
      </c>
      <c r="I61">
        <f>SUMPRODUCT((MONTH(CHOOSE({1,2,3,4},XT!U61,XT!Y61,XT!AC61,XT!AG61))=3)*(CHOOSE({1,2,3,4},XT!X61,XT!AB61,XT!AF61,XT!AJ61)))</f>
        <v>0</v>
      </c>
      <c r="J61" t="str">
        <f>IFERROR(INDEX(CHOOSE({1,2,3,4}, DAY(XT!U61), DAY(XT!Y61), DAY(XT!AC61), DAY(XT!AG61)), MATCH(1, INDEX(--(MONTH(CHOOSE({1,2,3,4}, XT!U61,XT!Y61,XT!AC61,XT!AG61))=3), 0), 0)), "")</f>
        <v/>
      </c>
      <c r="K61" s="51" t="str">
        <f>IF(XT!$P61&gt;0,J61,"")</f>
        <v/>
      </c>
      <c r="L61" s="51" t="str">
        <f>IF(XT!$P61=0,J61,"")</f>
        <v/>
      </c>
      <c r="M61">
        <f>SUMPRODUCT((MONTH(CHOOSE({1,2,3,4},XT!U61,XT!Y61,XT!AC61,XT!AG61))=4)*(CHOOSE({1,2,3,4},XT!X61,XT!AB61,XT!AF61,XT!AJ61)))</f>
        <v>0</v>
      </c>
      <c r="N61" t="str">
        <f>IFERROR(INDEX(CHOOSE({1,2,3,4}, DAY(XT!U61), DAY(XT!Y61), DAY(XT!AC61), DAY(XT!AG61)), MATCH(1, INDEX(--(MONTH(CHOOSE({1,2,3,4}, XT!U61,XT!Y61,XT!AC61,XT!AG61))=4), 0), 0)), "")</f>
        <v/>
      </c>
      <c r="O61" s="51" t="str">
        <f>IF(XT!$P61&gt;0,N61,"")</f>
        <v/>
      </c>
      <c r="P61" s="51" t="str">
        <f>IF(XT!$P61=0,N61,"")</f>
        <v/>
      </c>
      <c r="Q61">
        <f>SUMPRODUCT((MONTH(CHOOSE({1,2,3,4},XT!U61,XT!Y61,XT!AC61,XT!AG61))=5)*(CHOOSE({1,2,3,4},XT!X61,XT!AB61,XT!AF61,XT!AJ61)))</f>
        <v>0</v>
      </c>
      <c r="R61" t="str">
        <f>IFERROR(INDEX(CHOOSE({1,2,3,4}, DAY(XT!U61), DAY(XT!Y61), DAY(XT!AC61), DAY(XT!AG61)), MATCH(1, INDEX(--(MONTH(CHOOSE({1,2,3,4}, XT!U61,XT!Y61,XT!AC61,XT!AG61))=5), 0), 0)), "")</f>
        <v/>
      </c>
      <c r="S61" s="51" t="str">
        <f>IF(XT!$P61&gt;0,R61,"")</f>
        <v/>
      </c>
      <c r="T61" s="51" t="str">
        <f>IF(XT!$P61=0,R61,"")</f>
        <v/>
      </c>
      <c r="U61">
        <f>SUMPRODUCT((MONTH(CHOOSE({1,2,3,4},XT!U61,XT!Y61,XT!AC61,XT!AG61))=6)*(CHOOSE({1,2,3,4},XT!X61,XT!AB61,XT!AF61,XT!AJ61)))</f>
        <v>0</v>
      </c>
      <c r="V61" t="str">
        <f>IFERROR(INDEX(CHOOSE({1,2,3,4}, DAY(XT!U61), DAY(XT!Y61), DAY(XT!AC61), DAY(XT!AG61)), MATCH(1, INDEX(--(MONTH(CHOOSE({1,2,3,4}, XT!U61,XT!Y61,XT!AC61,XT!AG61))=6), 0), 0)), "")</f>
        <v/>
      </c>
      <c r="W61" s="51" t="str">
        <f>IF(XT!$P61&gt;0,V61,"")</f>
        <v/>
      </c>
      <c r="X61" s="51" t="str">
        <f>IF(XT!$P61=0,V61,"")</f>
        <v/>
      </c>
      <c r="Y61">
        <f>SUMPRODUCT((MONTH(CHOOSE({1,2,3,4},XT!U61,XT!Y61,XT!AC61,XT!AG61))=7)*(CHOOSE({1,2,3,4},XT!X61,XT!AB61,XT!AF61,XT!AJ61)))</f>
        <v>0</v>
      </c>
      <c r="Z61" t="str">
        <f>IFERROR(INDEX(CHOOSE({1,2,3,4}, DAY(XT!U61), DAY(XT!Y61), DAY(XT!AC61), DAY(XT!AG61)), MATCH(1, INDEX(--(MONTH(CHOOSE({1,2,3,4}, XT!U61,XT!Y61,XT!AC61,XT!AG61))=7), 0), 0)), "")</f>
        <v/>
      </c>
      <c r="AA61" s="51" t="str">
        <f>IF(XT!$P61&gt;0,Z61,"")</f>
        <v/>
      </c>
      <c r="AB61" s="51" t="str">
        <f>IF(XT!$P61=0,Z61,"")</f>
        <v/>
      </c>
      <c r="AC61">
        <f>SUMPRODUCT((MONTH(CHOOSE({1,2,3,4},XT!U61,XT!Y61,XT!AC61,XT!AG61))=8)*(CHOOSE({1,2,3,4},XT!X61,XT!AB61,XT!AF61,XT!AJ61)))</f>
        <v>0</v>
      </c>
      <c r="AD61" t="str">
        <f>IFERROR(INDEX(CHOOSE({1,2,3,4}, DAY(XT!U61), DAY(XT!Y61), DAY(XT!AC61), DAY(XT!AG61)), MATCH(1, INDEX(--(MONTH(CHOOSE({1,2,3,4}, XT!U61,XT!Y61,XT!AC61,XT!AG61))=8), 0), 0)), "")</f>
        <v/>
      </c>
      <c r="AE61" s="51" t="str">
        <f>IF(XT!$P61&gt;0,AD61,"")</f>
        <v/>
      </c>
      <c r="AF61" s="51" t="str">
        <f>IF(XT!$P61=0,AD61,"")</f>
        <v/>
      </c>
      <c r="AG61">
        <f>SUMPRODUCT((MONTH(CHOOSE({1,2,3,4},XT!U61,XT!Y61,XT!AC61,XT!AG61))=9)*(CHOOSE({1,2,3,4},XT!X61,XT!AB61,XT!AF61,XT!AJ61)))</f>
        <v>0</v>
      </c>
      <c r="AH61" t="str">
        <f>IFERROR(INDEX(CHOOSE({1,2,3,4}, DAY(XT!U61), DAY(XT!Y61), DAY(XT!AC61), DAY(XT!AG61)), MATCH(1, INDEX(--(MONTH(CHOOSE({1,2,3,4}, XT!U61,XT!Y61,XT!AC61,XT!AG61))=9), 0), 0)), "")</f>
        <v/>
      </c>
      <c r="AI61" s="51" t="str">
        <f>IF(XT!$P61&gt;0,AH61,"")</f>
        <v/>
      </c>
      <c r="AJ61" s="51" t="str">
        <f>IF(XT!$P61=0,AH61,"")</f>
        <v/>
      </c>
      <c r="AK61">
        <f>SUMPRODUCT((MONTH(CHOOSE({1,2,3,4},XT!U61,XT!Y61,XT!AC61,XT!AG61))=10)*(CHOOSE({1,2,3,4},XT!X61,XT!AB61,XT!AF61,XT!AJ61)))</f>
        <v>0</v>
      </c>
      <c r="AL61" t="str">
        <f>IFERROR(INDEX(CHOOSE({1,2,3,4}, DAY(XT!U61), DAY(XT!Y61), DAY(XT!AC61), DAY(XT!AG61)), MATCH(1, INDEX(--(MONTH(CHOOSE({1,2,3,4}, XT!U61,XT!Y61,XT!AC61,XT!AG61))=10), 0), 0)), "")</f>
        <v/>
      </c>
      <c r="AM61" s="51" t="str">
        <f>IF(XT!$P61&gt;0,AL61,"")</f>
        <v/>
      </c>
      <c r="AN61" s="51" t="str">
        <f>IF(XT!$P61=0,AL61,"")</f>
        <v/>
      </c>
      <c r="AO61">
        <f>SUMPRODUCT((MONTH(CHOOSE({1,2,3,4},XT!U61,XT!Y61,XT!AC61,XT!AG61))=11)*(CHOOSE({1,2,3,4},XT!X61,XT!AB61,XT!AF61,XT!AJ61)))</f>
        <v>0</v>
      </c>
      <c r="AP61" t="str">
        <f>IFERROR(INDEX(CHOOSE({1,2,3,4}, DAY(XT!U61), DAY(XT!Y61), DAY(XT!AC61), DAY(XT!AG61)), MATCH(1, INDEX(--(MONTH(CHOOSE({1,2,3,4}, XT!U61,XT!Y61,XT!AC61,XT!AG61))=11), 0), 0)), "")</f>
        <v/>
      </c>
      <c r="AQ61" s="51" t="str">
        <f>IF(XT!$P61&gt;0,AP61,"")</f>
        <v/>
      </c>
      <c r="AR61" s="51" t="str">
        <f>IF(XT!$P61=0,AP61,"")</f>
        <v/>
      </c>
      <c r="AS61">
        <f>SUMPRODUCT((MONTH(CHOOSE({1,2,3,4},XT!U61,XT!Y61,XT!AC61,XT!AG61))=12)*(CHOOSE({1,2,3,4},XT!X61,XT!AB61,XT!AF61,XT!AJ61)))</f>
        <v>0</v>
      </c>
      <c r="AT61" t="str">
        <f>IFERROR(INDEX(CHOOSE({1,2,3,4}, DAY(XT!U61), DAY(XT!Y61), DAY(XT!AC61), DAY(XT!AG61)), MATCH(1, INDEX(--(MONTH(CHOOSE({1,2,3,4}, XT!U61,XT!Y61,XT!AC61,XT!AG61))=12), 0), 0)), "")</f>
        <v/>
      </c>
      <c r="AU61" s="51" t="str">
        <f>IF(XT!$P61&gt;0,AT61,"")</f>
        <v/>
      </c>
      <c r="AV61" s="51" t="str">
        <f>IF(XT!$P61=0,AT61,"")</f>
        <v/>
      </c>
    </row>
    <row r="62" spans="1:48">
      <c r="A62">
        <f>SUMPRODUCT((MONTH(CHOOSE({1,2,3,4},XT!U62,XT!Y62,XT!AC62,XT!AG62))=1)*(CHOOSE({1,2,3,4},XT!X62,XT!AB62,XT!AF62,XT!AJ62)))</f>
        <v>0</v>
      </c>
      <c r="B62">
        <f>IFERROR(INDEX(CHOOSE({1,2,3,4}, DAY(XT!U62), DAY(XT!Y62), DAY(XT!AC62), DAY(XT!AG62)), MATCH(1, INDEX(--(MONTH(CHOOSE({1,2,3,4}, XT!U62,XT!Y62,XT!AC62,XT!AG62))=1), 0), 0)), "")</f>
        <v>0</v>
      </c>
      <c r="C62" s="51" t="str">
        <f>IF(XT!$P62&gt;0,B62,"")</f>
        <v/>
      </c>
      <c r="D62" s="51">
        <f>IF(XT!$P62=0,B62,"")</f>
        <v>0</v>
      </c>
      <c r="E62">
        <f>SUMPRODUCT((MONTH(CHOOSE({1,2,3,4},XT!U62,XT!Y62,XT!AC62,XT!AG62))=2)*(CHOOSE({1,2,3,4},XT!X62,XT!AB62,XT!AF62,XT!AJ62)))</f>
        <v>0</v>
      </c>
      <c r="F62" t="str">
        <f>IFERROR(INDEX(CHOOSE({1,2,3,4}, DAY(XT!U62), DAY(XT!Y62), DAY(XT!AC62), DAY(XT!AG62)), MATCH(1, INDEX(--(MONTH(CHOOSE({1,2,3,4}, XT!U62,XT!Y62,XT!AC62,XT!AG62))=2), 0), 0)), "")</f>
        <v/>
      </c>
      <c r="G62" s="51" t="str">
        <f>IF(XT!$P62&gt;0,F62,"")</f>
        <v/>
      </c>
      <c r="H62" s="51" t="str">
        <f>IF(XT!$P62=0,F62,"")</f>
        <v/>
      </c>
      <c r="I62">
        <f>SUMPRODUCT((MONTH(CHOOSE({1,2,3,4},XT!U62,XT!Y62,XT!AC62,XT!AG62))=3)*(CHOOSE({1,2,3,4},XT!X62,XT!AB62,XT!AF62,XT!AJ62)))</f>
        <v>0</v>
      </c>
      <c r="J62" t="str">
        <f>IFERROR(INDEX(CHOOSE({1,2,3,4}, DAY(XT!U62), DAY(XT!Y62), DAY(XT!AC62), DAY(XT!AG62)), MATCH(1, INDEX(--(MONTH(CHOOSE({1,2,3,4}, XT!U62,XT!Y62,XT!AC62,XT!AG62))=3), 0), 0)), "")</f>
        <v/>
      </c>
      <c r="K62" s="51" t="str">
        <f>IF(XT!$P62&gt;0,J62,"")</f>
        <v/>
      </c>
      <c r="L62" s="51" t="str">
        <f>IF(XT!$P62=0,J62,"")</f>
        <v/>
      </c>
      <c r="M62">
        <f>SUMPRODUCT((MONTH(CHOOSE({1,2,3,4},XT!U62,XT!Y62,XT!AC62,XT!AG62))=4)*(CHOOSE({1,2,3,4},XT!X62,XT!AB62,XT!AF62,XT!AJ62)))</f>
        <v>0</v>
      </c>
      <c r="N62" t="str">
        <f>IFERROR(INDEX(CHOOSE({1,2,3,4}, DAY(XT!U62), DAY(XT!Y62), DAY(XT!AC62), DAY(XT!AG62)), MATCH(1, INDEX(--(MONTH(CHOOSE({1,2,3,4}, XT!U62,XT!Y62,XT!AC62,XT!AG62))=4), 0), 0)), "")</f>
        <v/>
      </c>
      <c r="O62" s="51" t="str">
        <f>IF(XT!$P62&gt;0,N62,"")</f>
        <v/>
      </c>
      <c r="P62" s="51" t="str">
        <f>IF(XT!$P62=0,N62,"")</f>
        <v/>
      </c>
      <c r="Q62">
        <f>SUMPRODUCT((MONTH(CHOOSE({1,2,3,4},XT!U62,XT!Y62,XT!AC62,XT!AG62))=5)*(CHOOSE({1,2,3,4},XT!X62,XT!AB62,XT!AF62,XT!AJ62)))</f>
        <v>0</v>
      </c>
      <c r="R62" t="str">
        <f>IFERROR(INDEX(CHOOSE({1,2,3,4}, DAY(XT!U62), DAY(XT!Y62), DAY(XT!AC62), DAY(XT!AG62)), MATCH(1, INDEX(--(MONTH(CHOOSE({1,2,3,4}, XT!U62,XT!Y62,XT!AC62,XT!AG62))=5), 0), 0)), "")</f>
        <v/>
      </c>
      <c r="S62" s="51" t="str">
        <f>IF(XT!$P62&gt;0,R62,"")</f>
        <v/>
      </c>
      <c r="T62" s="51" t="str">
        <f>IF(XT!$P62=0,R62,"")</f>
        <v/>
      </c>
      <c r="U62">
        <f>SUMPRODUCT((MONTH(CHOOSE({1,2,3,4},XT!U62,XT!Y62,XT!AC62,XT!AG62))=6)*(CHOOSE({1,2,3,4},XT!X62,XT!AB62,XT!AF62,XT!AJ62)))</f>
        <v>0</v>
      </c>
      <c r="V62" t="str">
        <f>IFERROR(INDEX(CHOOSE({1,2,3,4}, DAY(XT!U62), DAY(XT!Y62), DAY(XT!AC62), DAY(XT!AG62)), MATCH(1, INDEX(--(MONTH(CHOOSE({1,2,3,4}, XT!U62,XT!Y62,XT!AC62,XT!AG62))=6), 0), 0)), "")</f>
        <v/>
      </c>
      <c r="W62" s="51" t="str">
        <f>IF(XT!$P62&gt;0,V62,"")</f>
        <v/>
      </c>
      <c r="X62" s="51" t="str">
        <f>IF(XT!$P62=0,V62,"")</f>
        <v/>
      </c>
      <c r="Y62">
        <f>SUMPRODUCT((MONTH(CHOOSE({1,2,3,4},XT!U62,XT!Y62,XT!AC62,XT!AG62))=7)*(CHOOSE({1,2,3,4},XT!X62,XT!AB62,XT!AF62,XT!AJ62)))</f>
        <v>0</v>
      </c>
      <c r="Z62" t="str">
        <f>IFERROR(INDEX(CHOOSE({1,2,3,4}, DAY(XT!U62), DAY(XT!Y62), DAY(XT!AC62), DAY(XT!AG62)), MATCH(1, INDEX(--(MONTH(CHOOSE({1,2,3,4}, XT!U62,XT!Y62,XT!AC62,XT!AG62))=7), 0), 0)), "")</f>
        <v/>
      </c>
      <c r="AA62" s="51" t="str">
        <f>IF(XT!$P62&gt;0,Z62,"")</f>
        <v/>
      </c>
      <c r="AB62" s="51" t="str">
        <f>IF(XT!$P62=0,Z62,"")</f>
        <v/>
      </c>
      <c r="AC62">
        <f>SUMPRODUCT((MONTH(CHOOSE({1,2,3,4},XT!U62,XT!Y62,XT!AC62,XT!AG62))=8)*(CHOOSE({1,2,3,4},XT!X62,XT!AB62,XT!AF62,XT!AJ62)))</f>
        <v>0</v>
      </c>
      <c r="AD62" t="str">
        <f>IFERROR(INDEX(CHOOSE({1,2,3,4}, DAY(XT!U62), DAY(XT!Y62), DAY(XT!AC62), DAY(XT!AG62)), MATCH(1, INDEX(--(MONTH(CHOOSE({1,2,3,4}, XT!U62,XT!Y62,XT!AC62,XT!AG62))=8), 0), 0)), "")</f>
        <v/>
      </c>
      <c r="AE62" s="51" t="str">
        <f>IF(XT!$P62&gt;0,AD62,"")</f>
        <v/>
      </c>
      <c r="AF62" s="51" t="str">
        <f>IF(XT!$P62=0,AD62,"")</f>
        <v/>
      </c>
      <c r="AG62">
        <f>SUMPRODUCT((MONTH(CHOOSE({1,2,3,4},XT!U62,XT!Y62,XT!AC62,XT!AG62))=9)*(CHOOSE({1,2,3,4},XT!X62,XT!AB62,XT!AF62,XT!AJ62)))</f>
        <v>0</v>
      </c>
      <c r="AH62" t="str">
        <f>IFERROR(INDEX(CHOOSE({1,2,3,4}, DAY(XT!U62), DAY(XT!Y62), DAY(XT!AC62), DAY(XT!AG62)), MATCH(1, INDEX(--(MONTH(CHOOSE({1,2,3,4}, XT!U62,XT!Y62,XT!AC62,XT!AG62))=9), 0), 0)), "")</f>
        <v/>
      </c>
      <c r="AI62" s="51" t="str">
        <f>IF(XT!$P62&gt;0,AH62,"")</f>
        <v/>
      </c>
      <c r="AJ62" s="51" t="str">
        <f>IF(XT!$P62=0,AH62,"")</f>
        <v/>
      </c>
      <c r="AK62">
        <f>SUMPRODUCT((MONTH(CHOOSE({1,2,3,4},XT!U62,XT!Y62,XT!AC62,XT!AG62))=10)*(CHOOSE({1,2,3,4},XT!X62,XT!AB62,XT!AF62,XT!AJ62)))</f>
        <v>0</v>
      </c>
      <c r="AL62" t="str">
        <f>IFERROR(INDEX(CHOOSE({1,2,3,4}, DAY(XT!U62), DAY(XT!Y62), DAY(XT!AC62), DAY(XT!AG62)), MATCH(1, INDEX(--(MONTH(CHOOSE({1,2,3,4}, XT!U62,XT!Y62,XT!AC62,XT!AG62))=10), 0), 0)), "")</f>
        <v/>
      </c>
      <c r="AM62" s="51" t="str">
        <f>IF(XT!$P62&gt;0,AL62,"")</f>
        <v/>
      </c>
      <c r="AN62" s="51" t="str">
        <f>IF(XT!$P62=0,AL62,"")</f>
        <v/>
      </c>
      <c r="AO62">
        <f>SUMPRODUCT((MONTH(CHOOSE({1,2,3,4},XT!U62,XT!Y62,XT!AC62,XT!AG62))=11)*(CHOOSE({1,2,3,4},XT!X62,XT!AB62,XT!AF62,XT!AJ62)))</f>
        <v>0</v>
      </c>
      <c r="AP62" t="str">
        <f>IFERROR(INDEX(CHOOSE({1,2,3,4}, DAY(XT!U62), DAY(XT!Y62), DAY(XT!AC62), DAY(XT!AG62)), MATCH(1, INDEX(--(MONTH(CHOOSE({1,2,3,4}, XT!U62,XT!Y62,XT!AC62,XT!AG62))=11), 0), 0)), "")</f>
        <v/>
      </c>
      <c r="AQ62" s="51" t="str">
        <f>IF(XT!$P62&gt;0,AP62,"")</f>
        <v/>
      </c>
      <c r="AR62" s="51" t="str">
        <f>IF(XT!$P62=0,AP62,"")</f>
        <v/>
      </c>
      <c r="AS62">
        <f>SUMPRODUCT((MONTH(CHOOSE({1,2,3,4},XT!U62,XT!Y62,XT!AC62,XT!AG62))=12)*(CHOOSE({1,2,3,4},XT!X62,XT!AB62,XT!AF62,XT!AJ62)))</f>
        <v>0</v>
      </c>
      <c r="AT62" t="str">
        <f>IFERROR(INDEX(CHOOSE({1,2,3,4}, DAY(XT!U62), DAY(XT!Y62), DAY(XT!AC62), DAY(XT!AG62)), MATCH(1, INDEX(--(MONTH(CHOOSE({1,2,3,4}, XT!U62,XT!Y62,XT!AC62,XT!AG62))=12), 0), 0)), "")</f>
        <v/>
      </c>
      <c r="AU62" s="51" t="str">
        <f>IF(XT!$P62&gt;0,AT62,"")</f>
        <v/>
      </c>
      <c r="AV62" s="51" t="str">
        <f>IF(XT!$P62=0,AT62,"")</f>
        <v/>
      </c>
    </row>
    <row r="63" spans="1:48">
      <c r="A63">
        <f>SUMPRODUCT((MONTH(CHOOSE({1,2,3,4},XT!U63,XT!Y63,XT!AC63,XT!AG63))=1)*(CHOOSE({1,2,3,4},XT!X63,XT!AB63,XT!AF63,XT!AJ63)))</f>
        <v>0</v>
      </c>
      <c r="B63">
        <f>IFERROR(INDEX(CHOOSE({1,2,3,4}, DAY(XT!U63), DAY(XT!Y63), DAY(XT!AC63), DAY(XT!AG63)), MATCH(1, INDEX(--(MONTH(CHOOSE({1,2,3,4}, XT!U63,XT!Y63,XT!AC63,XT!AG63))=1), 0), 0)), "")</f>
        <v>0</v>
      </c>
      <c r="C63" s="51" t="str">
        <f>IF(XT!$P63&gt;0,B63,"")</f>
        <v/>
      </c>
      <c r="D63" s="51">
        <f>IF(XT!$P63=0,B63,"")</f>
        <v>0</v>
      </c>
      <c r="E63">
        <f>SUMPRODUCT((MONTH(CHOOSE({1,2,3,4},XT!U63,XT!Y63,XT!AC63,XT!AG63))=2)*(CHOOSE({1,2,3,4},XT!X63,XT!AB63,XT!AF63,XT!AJ63)))</f>
        <v>0</v>
      </c>
      <c r="F63" t="str">
        <f>IFERROR(INDEX(CHOOSE({1,2,3,4}, DAY(XT!U63), DAY(XT!Y63), DAY(XT!AC63), DAY(XT!AG63)), MATCH(1, INDEX(--(MONTH(CHOOSE({1,2,3,4}, XT!U63,XT!Y63,XT!AC63,XT!AG63))=2), 0), 0)), "")</f>
        <v/>
      </c>
      <c r="G63" s="51" t="str">
        <f>IF(XT!$P63&gt;0,F63,"")</f>
        <v/>
      </c>
      <c r="H63" s="51" t="str">
        <f>IF(XT!$P63=0,F63,"")</f>
        <v/>
      </c>
      <c r="I63">
        <f>SUMPRODUCT((MONTH(CHOOSE({1,2,3,4},XT!U63,XT!Y63,XT!AC63,XT!AG63))=3)*(CHOOSE({1,2,3,4},XT!X63,XT!AB63,XT!AF63,XT!AJ63)))</f>
        <v>0</v>
      </c>
      <c r="J63" t="str">
        <f>IFERROR(INDEX(CHOOSE({1,2,3,4}, DAY(XT!U63), DAY(XT!Y63), DAY(XT!AC63), DAY(XT!AG63)), MATCH(1, INDEX(--(MONTH(CHOOSE({1,2,3,4}, XT!U63,XT!Y63,XT!AC63,XT!AG63))=3), 0), 0)), "")</f>
        <v/>
      </c>
      <c r="K63" s="51" t="str">
        <f>IF(XT!$P63&gt;0,J63,"")</f>
        <v/>
      </c>
      <c r="L63" s="51" t="str">
        <f>IF(XT!$P63=0,J63,"")</f>
        <v/>
      </c>
      <c r="M63">
        <f>SUMPRODUCT((MONTH(CHOOSE({1,2,3,4},XT!U63,XT!Y63,XT!AC63,XT!AG63))=4)*(CHOOSE({1,2,3,4},XT!X63,XT!AB63,XT!AF63,XT!AJ63)))</f>
        <v>0</v>
      </c>
      <c r="N63" t="str">
        <f>IFERROR(INDEX(CHOOSE({1,2,3,4}, DAY(XT!U63), DAY(XT!Y63), DAY(XT!AC63), DAY(XT!AG63)), MATCH(1, INDEX(--(MONTH(CHOOSE({1,2,3,4}, XT!U63,XT!Y63,XT!AC63,XT!AG63))=4), 0), 0)), "")</f>
        <v/>
      </c>
      <c r="O63" s="51" t="str">
        <f>IF(XT!$P63&gt;0,N63,"")</f>
        <v/>
      </c>
      <c r="P63" s="51" t="str">
        <f>IF(XT!$P63=0,N63,"")</f>
        <v/>
      </c>
      <c r="Q63">
        <f>SUMPRODUCT((MONTH(CHOOSE({1,2,3,4},XT!U63,XT!Y63,XT!AC63,XT!AG63))=5)*(CHOOSE({1,2,3,4},XT!X63,XT!AB63,XT!AF63,XT!AJ63)))</f>
        <v>0</v>
      </c>
      <c r="R63" t="str">
        <f>IFERROR(INDEX(CHOOSE({1,2,3,4}, DAY(XT!U63), DAY(XT!Y63), DAY(XT!AC63), DAY(XT!AG63)), MATCH(1, INDEX(--(MONTH(CHOOSE({1,2,3,4}, XT!U63,XT!Y63,XT!AC63,XT!AG63))=5), 0), 0)), "")</f>
        <v/>
      </c>
      <c r="S63" s="51" t="str">
        <f>IF(XT!$P63&gt;0,R63,"")</f>
        <v/>
      </c>
      <c r="T63" s="51" t="str">
        <f>IF(XT!$P63=0,R63,"")</f>
        <v/>
      </c>
      <c r="U63">
        <f>SUMPRODUCT((MONTH(CHOOSE({1,2,3,4},XT!U63,XT!Y63,XT!AC63,XT!AG63))=6)*(CHOOSE({1,2,3,4},XT!X63,XT!AB63,XT!AF63,XT!AJ63)))</f>
        <v>0</v>
      </c>
      <c r="V63" t="str">
        <f>IFERROR(INDEX(CHOOSE({1,2,3,4}, DAY(XT!U63), DAY(XT!Y63), DAY(XT!AC63), DAY(XT!AG63)), MATCH(1, INDEX(--(MONTH(CHOOSE({1,2,3,4}, XT!U63,XT!Y63,XT!AC63,XT!AG63))=6), 0), 0)), "")</f>
        <v/>
      </c>
      <c r="W63" s="51" t="str">
        <f>IF(XT!$P63&gt;0,V63,"")</f>
        <v/>
      </c>
      <c r="X63" s="51" t="str">
        <f>IF(XT!$P63=0,V63,"")</f>
        <v/>
      </c>
      <c r="Y63">
        <f>SUMPRODUCT((MONTH(CHOOSE({1,2,3,4},XT!U63,XT!Y63,XT!AC63,XT!AG63))=7)*(CHOOSE({1,2,3,4},XT!X63,XT!AB63,XT!AF63,XT!AJ63)))</f>
        <v>0</v>
      </c>
      <c r="Z63" t="str">
        <f>IFERROR(INDEX(CHOOSE({1,2,3,4}, DAY(XT!U63), DAY(XT!Y63), DAY(XT!AC63), DAY(XT!AG63)), MATCH(1, INDEX(--(MONTH(CHOOSE({1,2,3,4}, XT!U63,XT!Y63,XT!AC63,XT!AG63))=7), 0), 0)), "")</f>
        <v/>
      </c>
      <c r="AA63" s="51" t="str">
        <f>IF(XT!$P63&gt;0,Z63,"")</f>
        <v/>
      </c>
      <c r="AB63" s="51" t="str">
        <f>IF(XT!$P63=0,Z63,"")</f>
        <v/>
      </c>
      <c r="AC63">
        <f>SUMPRODUCT((MONTH(CHOOSE({1,2,3,4},XT!U63,XT!Y63,XT!AC63,XT!AG63))=8)*(CHOOSE({1,2,3,4},XT!X63,XT!AB63,XT!AF63,XT!AJ63)))</f>
        <v>0</v>
      </c>
      <c r="AD63" t="str">
        <f>IFERROR(INDEX(CHOOSE({1,2,3,4}, DAY(XT!U63), DAY(XT!Y63), DAY(XT!AC63), DAY(XT!AG63)), MATCH(1, INDEX(--(MONTH(CHOOSE({1,2,3,4}, XT!U63,XT!Y63,XT!AC63,XT!AG63))=8), 0), 0)), "")</f>
        <v/>
      </c>
      <c r="AE63" s="51" t="str">
        <f>IF(XT!$P63&gt;0,AD63,"")</f>
        <v/>
      </c>
      <c r="AF63" s="51" t="str">
        <f>IF(XT!$P63=0,AD63,"")</f>
        <v/>
      </c>
      <c r="AG63">
        <f>SUMPRODUCT((MONTH(CHOOSE({1,2,3,4},XT!U63,XT!Y63,XT!AC63,XT!AG63))=9)*(CHOOSE({1,2,3,4},XT!X63,XT!AB63,XT!AF63,XT!AJ63)))</f>
        <v>0</v>
      </c>
      <c r="AH63" t="str">
        <f>IFERROR(INDEX(CHOOSE({1,2,3,4}, DAY(XT!U63), DAY(XT!Y63), DAY(XT!AC63), DAY(XT!AG63)), MATCH(1, INDEX(--(MONTH(CHOOSE({1,2,3,4}, XT!U63,XT!Y63,XT!AC63,XT!AG63))=9), 0), 0)), "")</f>
        <v/>
      </c>
      <c r="AI63" s="51" t="str">
        <f>IF(XT!$P63&gt;0,AH63,"")</f>
        <v/>
      </c>
      <c r="AJ63" s="51" t="str">
        <f>IF(XT!$P63=0,AH63,"")</f>
        <v/>
      </c>
      <c r="AK63">
        <f>SUMPRODUCT((MONTH(CHOOSE({1,2,3,4},XT!U63,XT!Y63,XT!AC63,XT!AG63))=10)*(CHOOSE({1,2,3,4},XT!X63,XT!AB63,XT!AF63,XT!AJ63)))</f>
        <v>0</v>
      </c>
      <c r="AL63" t="str">
        <f>IFERROR(INDEX(CHOOSE({1,2,3,4}, DAY(XT!U63), DAY(XT!Y63), DAY(XT!AC63), DAY(XT!AG63)), MATCH(1, INDEX(--(MONTH(CHOOSE({1,2,3,4}, XT!U63,XT!Y63,XT!AC63,XT!AG63))=10), 0), 0)), "")</f>
        <v/>
      </c>
      <c r="AM63" s="51" t="str">
        <f>IF(XT!$P63&gt;0,AL63,"")</f>
        <v/>
      </c>
      <c r="AN63" s="51" t="str">
        <f>IF(XT!$P63=0,AL63,"")</f>
        <v/>
      </c>
      <c r="AO63">
        <f>SUMPRODUCT((MONTH(CHOOSE({1,2,3,4},XT!U63,XT!Y63,XT!AC63,XT!AG63))=11)*(CHOOSE({1,2,3,4},XT!X63,XT!AB63,XT!AF63,XT!AJ63)))</f>
        <v>0</v>
      </c>
      <c r="AP63" t="str">
        <f>IFERROR(INDEX(CHOOSE({1,2,3,4}, DAY(XT!U63), DAY(XT!Y63), DAY(XT!AC63), DAY(XT!AG63)), MATCH(1, INDEX(--(MONTH(CHOOSE({1,2,3,4}, XT!U63,XT!Y63,XT!AC63,XT!AG63))=11), 0), 0)), "")</f>
        <v/>
      </c>
      <c r="AQ63" s="51" t="str">
        <f>IF(XT!$P63&gt;0,AP63,"")</f>
        <v/>
      </c>
      <c r="AR63" s="51" t="str">
        <f>IF(XT!$P63=0,AP63,"")</f>
        <v/>
      </c>
      <c r="AS63">
        <f>SUMPRODUCT((MONTH(CHOOSE({1,2,3,4},XT!U63,XT!Y63,XT!AC63,XT!AG63))=12)*(CHOOSE({1,2,3,4},XT!X63,XT!AB63,XT!AF63,XT!AJ63)))</f>
        <v>0</v>
      </c>
      <c r="AT63" t="str">
        <f>IFERROR(INDEX(CHOOSE({1,2,3,4}, DAY(XT!U63), DAY(XT!Y63), DAY(XT!AC63), DAY(XT!AG63)), MATCH(1, INDEX(--(MONTH(CHOOSE({1,2,3,4}, XT!U63,XT!Y63,XT!AC63,XT!AG63))=12), 0), 0)), "")</f>
        <v/>
      </c>
      <c r="AU63" s="51" t="str">
        <f>IF(XT!$P63&gt;0,AT63,"")</f>
        <v/>
      </c>
      <c r="AV63" s="51" t="str">
        <f>IF(XT!$P63=0,AT63,"")</f>
        <v/>
      </c>
    </row>
    <row r="64" spans="1:48">
      <c r="A64">
        <f>SUMPRODUCT((MONTH(CHOOSE({1,2,3,4},XT!U64,XT!Y64,XT!AC64,XT!AG64))=1)*(CHOOSE({1,2,3,4},XT!X64,XT!AB64,XT!AF64,XT!AJ64)))</f>
        <v>0</v>
      </c>
      <c r="B64">
        <f>IFERROR(INDEX(CHOOSE({1,2,3,4}, DAY(XT!U64), DAY(XT!Y64), DAY(XT!AC64), DAY(XT!AG64)), MATCH(1, INDEX(--(MONTH(CHOOSE({1,2,3,4}, XT!U64,XT!Y64,XT!AC64,XT!AG64))=1), 0), 0)), "")</f>
        <v>0</v>
      </c>
      <c r="C64" s="51" t="str">
        <f>IF(XT!$P64&gt;0,B64,"")</f>
        <v/>
      </c>
      <c r="D64" s="51">
        <f>IF(XT!$P64=0,B64,"")</f>
        <v>0</v>
      </c>
      <c r="E64">
        <f>SUMPRODUCT((MONTH(CHOOSE({1,2,3,4},XT!U64,XT!Y64,XT!AC64,XT!AG64))=2)*(CHOOSE({1,2,3,4},XT!X64,XT!AB64,XT!AF64,XT!AJ64)))</f>
        <v>0</v>
      </c>
      <c r="F64" t="str">
        <f>IFERROR(INDEX(CHOOSE({1,2,3,4}, DAY(XT!U64), DAY(XT!Y64), DAY(XT!AC64), DAY(XT!AG64)), MATCH(1, INDEX(--(MONTH(CHOOSE({1,2,3,4}, XT!U64,XT!Y64,XT!AC64,XT!AG64))=2), 0), 0)), "")</f>
        <v/>
      </c>
      <c r="G64" s="51" t="str">
        <f>IF(XT!$P64&gt;0,F64,"")</f>
        <v/>
      </c>
      <c r="H64" s="51" t="str">
        <f>IF(XT!$P64=0,F64,"")</f>
        <v/>
      </c>
      <c r="I64">
        <f>SUMPRODUCT((MONTH(CHOOSE({1,2,3,4},XT!U64,XT!Y64,XT!AC64,XT!AG64))=3)*(CHOOSE({1,2,3,4},XT!X64,XT!AB64,XT!AF64,XT!AJ64)))</f>
        <v>0</v>
      </c>
      <c r="J64" t="str">
        <f>IFERROR(INDEX(CHOOSE({1,2,3,4}, DAY(XT!U64), DAY(XT!Y64), DAY(XT!AC64), DAY(XT!AG64)), MATCH(1, INDEX(--(MONTH(CHOOSE({1,2,3,4}, XT!U64,XT!Y64,XT!AC64,XT!AG64))=3), 0), 0)), "")</f>
        <v/>
      </c>
      <c r="K64" s="51" t="str">
        <f>IF(XT!$P64&gt;0,J64,"")</f>
        <v/>
      </c>
      <c r="L64" s="51" t="str">
        <f>IF(XT!$P64=0,J64,"")</f>
        <v/>
      </c>
      <c r="M64">
        <f>SUMPRODUCT((MONTH(CHOOSE({1,2,3,4},XT!U64,XT!Y64,XT!AC64,XT!AG64))=4)*(CHOOSE({1,2,3,4},XT!X64,XT!AB64,XT!AF64,XT!AJ64)))</f>
        <v>0</v>
      </c>
      <c r="N64" t="str">
        <f>IFERROR(INDEX(CHOOSE({1,2,3,4}, DAY(XT!U64), DAY(XT!Y64), DAY(XT!AC64), DAY(XT!AG64)), MATCH(1, INDEX(--(MONTH(CHOOSE({1,2,3,4}, XT!U64,XT!Y64,XT!AC64,XT!AG64))=4), 0), 0)), "")</f>
        <v/>
      </c>
      <c r="O64" s="51" t="str">
        <f>IF(XT!$P64&gt;0,N64,"")</f>
        <v/>
      </c>
      <c r="P64" s="51" t="str">
        <f>IF(XT!$P64=0,N64,"")</f>
        <v/>
      </c>
      <c r="Q64">
        <f>SUMPRODUCT((MONTH(CHOOSE({1,2,3,4},XT!U64,XT!Y64,XT!AC64,XT!AG64))=5)*(CHOOSE({1,2,3,4},XT!X64,XT!AB64,XT!AF64,XT!AJ64)))</f>
        <v>0</v>
      </c>
      <c r="R64" t="str">
        <f>IFERROR(INDEX(CHOOSE({1,2,3,4}, DAY(XT!U64), DAY(XT!Y64), DAY(XT!AC64), DAY(XT!AG64)), MATCH(1, INDEX(--(MONTH(CHOOSE({1,2,3,4}, XT!U64,XT!Y64,XT!AC64,XT!AG64))=5), 0), 0)), "")</f>
        <v/>
      </c>
      <c r="S64" s="51" t="str">
        <f>IF(XT!$P64&gt;0,R64,"")</f>
        <v/>
      </c>
      <c r="T64" s="51" t="str">
        <f>IF(XT!$P64=0,R64,"")</f>
        <v/>
      </c>
      <c r="U64">
        <f>SUMPRODUCT((MONTH(CHOOSE({1,2,3,4},XT!U64,XT!Y64,XT!AC64,XT!AG64))=6)*(CHOOSE({1,2,3,4},XT!X64,XT!AB64,XT!AF64,XT!AJ64)))</f>
        <v>0</v>
      </c>
      <c r="V64" t="str">
        <f>IFERROR(INDEX(CHOOSE({1,2,3,4}, DAY(XT!U64), DAY(XT!Y64), DAY(XT!AC64), DAY(XT!AG64)), MATCH(1, INDEX(--(MONTH(CHOOSE({1,2,3,4}, XT!U64,XT!Y64,XT!AC64,XT!AG64))=6), 0), 0)), "")</f>
        <v/>
      </c>
      <c r="W64" s="51" t="str">
        <f>IF(XT!$P64&gt;0,V64,"")</f>
        <v/>
      </c>
      <c r="X64" s="51" t="str">
        <f>IF(XT!$P64=0,V64,"")</f>
        <v/>
      </c>
      <c r="Y64">
        <f>SUMPRODUCT((MONTH(CHOOSE({1,2,3,4},XT!U64,XT!Y64,XT!AC64,XT!AG64))=7)*(CHOOSE({1,2,3,4},XT!X64,XT!AB64,XT!AF64,XT!AJ64)))</f>
        <v>0</v>
      </c>
      <c r="Z64" t="str">
        <f>IFERROR(INDEX(CHOOSE({1,2,3,4}, DAY(XT!U64), DAY(XT!Y64), DAY(XT!AC64), DAY(XT!AG64)), MATCH(1, INDEX(--(MONTH(CHOOSE({1,2,3,4}, XT!U64,XT!Y64,XT!AC64,XT!AG64))=7), 0), 0)), "")</f>
        <v/>
      </c>
      <c r="AA64" s="51" t="str">
        <f>IF(XT!$P64&gt;0,Z64,"")</f>
        <v/>
      </c>
      <c r="AB64" s="51" t="str">
        <f>IF(XT!$P64=0,Z64,"")</f>
        <v/>
      </c>
      <c r="AC64">
        <f>SUMPRODUCT((MONTH(CHOOSE({1,2,3,4},XT!U64,XT!Y64,XT!AC64,XT!AG64))=8)*(CHOOSE({1,2,3,4},XT!X64,XT!AB64,XT!AF64,XT!AJ64)))</f>
        <v>0</v>
      </c>
      <c r="AD64" t="str">
        <f>IFERROR(INDEX(CHOOSE({1,2,3,4}, DAY(XT!U64), DAY(XT!Y64), DAY(XT!AC64), DAY(XT!AG64)), MATCH(1, INDEX(--(MONTH(CHOOSE({1,2,3,4}, XT!U64,XT!Y64,XT!AC64,XT!AG64))=8), 0), 0)), "")</f>
        <v/>
      </c>
      <c r="AE64" s="51" t="str">
        <f>IF(XT!$P64&gt;0,AD64,"")</f>
        <v/>
      </c>
      <c r="AF64" s="51" t="str">
        <f>IF(XT!$P64=0,AD64,"")</f>
        <v/>
      </c>
      <c r="AG64">
        <f>SUMPRODUCT((MONTH(CHOOSE({1,2,3,4},XT!U64,XT!Y64,XT!AC64,XT!AG64))=9)*(CHOOSE({1,2,3,4},XT!X64,XT!AB64,XT!AF64,XT!AJ64)))</f>
        <v>0</v>
      </c>
      <c r="AH64" t="str">
        <f>IFERROR(INDEX(CHOOSE({1,2,3,4}, DAY(XT!U64), DAY(XT!Y64), DAY(XT!AC64), DAY(XT!AG64)), MATCH(1, INDEX(--(MONTH(CHOOSE({1,2,3,4}, XT!U64,XT!Y64,XT!AC64,XT!AG64))=9), 0), 0)), "")</f>
        <v/>
      </c>
      <c r="AI64" s="51" t="str">
        <f>IF(XT!$P64&gt;0,AH64,"")</f>
        <v/>
      </c>
      <c r="AJ64" s="51" t="str">
        <f>IF(XT!$P64=0,AH64,"")</f>
        <v/>
      </c>
      <c r="AK64">
        <f>SUMPRODUCT((MONTH(CHOOSE({1,2,3,4},XT!U64,XT!Y64,XT!AC64,XT!AG64))=10)*(CHOOSE({1,2,3,4},XT!X64,XT!AB64,XT!AF64,XT!AJ64)))</f>
        <v>0</v>
      </c>
      <c r="AL64" t="str">
        <f>IFERROR(INDEX(CHOOSE({1,2,3,4}, DAY(XT!U64), DAY(XT!Y64), DAY(XT!AC64), DAY(XT!AG64)), MATCH(1, INDEX(--(MONTH(CHOOSE({1,2,3,4}, XT!U64,XT!Y64,XT!AC64,XT!AG64))=10), 0), 0)), "")</f>
        <v/>
      </c>
      <c r="AM64" s="51" t="str">
        <f>IF(XT!$P64&gt;0,AL64,"")</f>
        <v/>
      </c>
      <c r="AN64" s="51" t="str">
        <f>IF(XT!$P64=0,AL64,"")</f>
        <v/>
      </c>
      <c r="AO64">
        <f>SUMPRODUCT((MONTH(CHOOSE({1,2,3,4},XT!U64,XT!Y64,XT!AC64,XT!AG64))=11)*(CHOOSE({1,2,3,4},XT!X64,XT!AB64,XT!AF64,XT!AJ64)))</f>
        <v>0</v>
      </c>
      <c r="AP64" t="str">
        <f>IFERROR(INDEX(CHOOSE({1,2,3,4}, DAY(XT!U64), DAY(XT!Y64), DAY(XT!AC64), DAY(XT!AG64)), MATCH(1, INDEX(--(MONTH(CHOOSE({1,2,3,4}, XT!U64,XT!Y64,XT!AC64,XT!AG64))=11), 0), 0)), "")</f>
        <v/>
      </c>
      <c r="AQ64" s="51" t="str">
        <f>IF(XT!$P64&gt;0,AP64,"")</f>
        <v/>
      </c>
      <c r="AR64" s="51" t="str">
        <f>IF(XT!$P64=0,AP64,"")</f>
        <v/>
      </c>
      <c r="AS64">
        <f>SUMPRODUCT((MONTH(CHOOSE({1,2,3,4},XT!U64,XT!Y64,XT!AC64,XT!AG64))=12)*(CHOOSE({1,2,3,4},XT!X64,XT!AB64,XT!AF64,XT!AJ64)))</f>
        <v>0</v>
      </c>
      <c r="AT64" t="str">
        <f>IFERROR(INDEX(CHOOSE({1,2,3,4}, DAY(XT!U64), DAY(XT!Y64), DAY(XT!AC64), DAY(XT!AG64)), MATCH(1, INDEX(--(MONTH(CHOOSE({1,2,3,4}, XT!U64,XT!Y64,XT!AC64,XT!AG64))=12), 0), 0)), "")</f>
        <v/>
      </c>
      <c r="AU64" s="51" t="str">
        <f>IF(XT!$P64&gt;0,AT64,"")</f>
        <v/>
      </c>
      <c r="AV64" s="51" t="str">
        <f>IF(XT!$P64=0,AT64,"")</f>
        <v/>
      </c>
    </row>
    <row r="65" spans="1:48">
      <c r="A65">
        <f>SUMPRODUCT((MONTH(CHOOSE({1,2,3,4},XT!U65,XT!Y65,XT!AC65,XT!AG65))=1)*(CHOOSE({1,2,3,4},XT!X65,XT!AB65,XT!AF65,XT!AJ65)))</f>
        <v>0</v>
      </c>
      <c r="B65">
        <f>IFERROR(INDEX(CHOOSE({1,2,3,4}, DAY(XT!U65), DAY(XT!Y65), DAY(XT!AC65), DAY(XT!AG65)), MATCH(1, INDEX(--(MONTH(CHOOSE({1,2,3,4}, XT!U65,XT!Y65,XT!AC65,XT!AG65))=1), 0), 0)), "")</f>
        <v>0</v>
      </c>
      <c r="C65" s="51" t="str">
        <f>IF(XT!$P65&gt;0,B65,"")</f>
        <v/>
      </c>
      <c r="D65" s="51">
        <f>IF(XT!$P65=0,B65,"")</f>
        <v>0</v>
      </c>
      <c r="E65">
        <f>SUMPRODUCT((MONTH(CHOOSE({1,2,3,4},XT!U65,XT!Y65,XT!AC65,XT!AG65))=2)*(CHOOSE({1,2,3,4},XT!X65,XT!AB65,XT!AF65,XT!AJ65)))</f>
        <v>0</v>
      </c>
      <c r="F65" t="str">
        <f>IFERROR(INDEX(CHOOSE({1,2,3,4}, DAY(XT!U65), DAY(XT!Y65), DAY(XT!AC65), DAY(XT!AG65)), MATCH(1, INDEX(--(MONTH(CHOOSE({1,2,3,4}, XT!U65,XT!Y65,XT!AC65,XT!AG65))=2), 0), 0)), "")</f>
        <v/>
      </c>
      <c r="G65" s="51" t="str">
        <f>IF(XT!$P65&gt;0,F65,"")</f>
        <v/>
      </c>
      <c r="H65" s="51" t="str">
        <f>IF(XT!$P65=0,F65,"")</f>
        <v/>
      </c>
      <c r="I65">
        <f>SUMPRODUCT((MONTH(CHOOSE({1,2,3,4},XT!U65,XT!Y65,XT!AC65,XT!AG65))=3)*(CHOOSE({1,2,3,4},XT!X65,XT!AB65,XT!AF65,XT!AJ65)))</f>
        <v>0</v>
      </c>
      <c r="J65" t="str">
        <f>IFERROR(INDEX(CHOOSE({1,2,3,4}, DAY(XT!U65), DAY(XT!Y65), DAY(XT!AC65), DAY(XT!AG65)), MATCH(1, INDEX(--(MONTH(CHOOSE({1,2,3,4}, XT!U65,XT!Y65,XT!AC65,XT!AG65))=3), 0), 0)), "")</f>
        <v/>
      </c>
      <c r="K65" s="51" t="str">
        <f>IF(XT!$P65&gt;0,J65,"")</f>
        <v/>
      </c>
      <c r="L65" s="51" t="str">
        <f>IF(XT!$P65=0,J65,"")</f>
        <v/>
      </c>
      <c r="M65">
        <f>SUMPRODUCT((MONTH(CHOOSE({1,2,3,4},XT!U65,XT!Y65,XT!AC65,XT!AG65))=4)*(CHOOSE({1,2,3,4},XT!X65,XT!AB65,XT!AF65,XT!AJ65)))</f>
        <v>0</v>
      </c>
      <c r="N65" t="str">
        <f>IFERROR(INDEX(CHOOSE({1,2,3,4}, DAY(XT!U65), DAY(XT!Y65), DAY(XT!AC65), DAY(XT!AG65)), MATCH(1, INDEX(--(MONTH(CHOOSE({1,2,3,4}, XT!U65,XT!Y65,XT!AC65,XT!AG65))=4), 0), 0)), "")</f>
        <v/>
      </c>
      <c r="O65" s="51" t="str">
        <f>IF(XT!$P65&gt;0,N65,"")</f>
        <v/>
      </c>
      <c r="P65" s="51" t="str">
        <f>IF(XT!$P65=0,N65,"")</f>
        <v/>
      </c>
      <c r="Q65">
        <f>SUMPRODUCT((MONTH(CHOOSE({1,2,3,4},XT!U65,XT!Y65,XT!AC65,XT!AG65))=5)*(CHOOSE({1,2,3,4},XT!X65,XT!AB65,XT!AF65,XT!AJ65)))</f>
        <v>0</v>
      </c>
      <c r="R65" t="str">
        <f>IFERROR(INDEX(CHOOSE({1,2,3,4}, DAY(XT!U65), DAY(XT!Y65), DAY(XT!AC65), DAY(XT!AG65)), MATCH(1, INDEX(--(MONTH(CHOOSE({1,2,3,4}, XT!U65,XT!Y65,XT!AC65,XT!AG65))=5), 0), 0)), "")</f>
        <v/>
      </c>
      <c r="S65" s="51" t="str">
        <f>IF(XT!$P65&gt;0,R65,"")</f>
        <v/>
      </c>
      <c r="T65" s="51" t="str">
        <f>IF(XT!$P65=0,R65,"")</f>
        <v/>
      </c>
      <c r="U65">
        <f>SUMPRODUCT((MONTH(CHOOSE({1,2,3,4},XT!U65,XT!Y65,XT!AC65,XT!AG65))=6)*(CHOOSE({1,2,3,4},XT!X65,XT!AB65,XT!AF65,XT!AJ65)))</f>
        <v>0</v>
      </c>
      <c r="V65" t="str">
        <f>IFERROR(INDEX(CHOOSE({1,2,3,4}, DAY(XT!U65), DAY(XT!Y65), DAY(XT!AC65), DAY(XT!AG65)), MATCH(1, INDEX(--(MONTH(CHOOSE({1,2,3,4}, XT!U65,XT!Y65,XT!AC65,XT!AG65))=6), 0), 0)), "")</f>
        <v/>
      </c>
      <c r="W65" s="51" t="str">
        <f>IF(XT!$P65&gt;0,V65,"")</f>
        <v/>
      </c>
      <c r="X65" s="51" t="str">
        <f>IF(XT!$P65=0,V65,"")</f>
        <v/>
      </c>
      <c r="Y65">
        <f>SUMPRODUCT((MONTH(CHOOSE({1,2,3,4},XT!U65,XT!Y65,XT!AC65,XT!AG65))=7)*(CHOOSE({1,2,3,4},XT!X65,XT!AB65,XT!AF65,XT!AJ65)))</f>
        <v>0</v>
      </c>
      <c r="Z65" t="str">
        <f>IFERROR(INDEX(CHOOSE({1,2,3,4}, DAY(XT!U65), DAY(XT!Y65), DAY(XT!AC65), DAY(XT!AG65)), MATCH(1, INDEX(--(MONTH(CHOOSE({1,2,3,4}, XT!U65,XT!Y65,XT!AC65,XT!AG65))=7), 0), 0)), "")</f>
        <v/>
      </c>
      <c r="AA65" s="51" t="str">
        <f>IF(XT!$P65&gt;0,Z65,"")</f>
        <v/>
      </c>
      <c r="AB65" s="51" t="str">
        <f>IF(XT!$P65=0,Z65,"")</f>
        <v/>
      </c>
      <c r="AC65">
        <f>SUMPRODUCT((MONTH(CHOOSE({1,2,3,4},XT!U65,XT!Y65,XT!AC65,XT!AG65))=8)*(CHOOSE({1,2,3,4},XT!X65,XT!AB65,XT!AF65,XT!AJ65)))</f>
        <v>0</v>
      </c>
      <c r="AD65" t="str">
        <f>IFERROR(INDEX(CHOOSE({1,2,3,4}, DAY(XT!U65), DAY(XT!Y65), DAY(XT!AC65), DAY(XT!AG65)), MATCH(1, INDEX(--(MONTH(CHOOSE({1,2,3,4}, XT!U65,XT!Y65,XT!AC65,XT!AG65))=8), 0), 0)), "")</f>
        <v/>
      </c>
      <c r="AE65" s="51" t="str">
        <f>IF(XT!$P65&gt;0,AD65,"")</f>
        <v/>
      </c>
      <c r="AF65" s="51" t="str">
        <f>IF(XT!$P65=0,AD65,"")</f>
        <v/>
      </c>
      <c r="AG65">
        <f>SUMPRODUCT((MONTH(CHOOSE({1,2,3,4},XT!U65,XT!Y65,XT!AC65,XT!AG65))=9)*(CHOOSE({1,2,3,4},XT!X65,XT!AB65,XT!AF65,XT!AJ65)))</f>
        <v>0</v>
      </c>
      <c r="AH65" t="str">
        <f>IFERROR(INDEX(CHOOSE({1,2,3,4}, DAY(XT!U65), DAY(XT!Y65), DAY(XT!AC65), DAY(XT!AG65)), MATCH(1, INDEX(--(MONTH(CHOOSE({1,2,3,4}, XT!U65,XT!Y65,XT!AC65,XT!AG65))=9), 0), 0)), "")</f>
        <v/>
      </c>
      <c r="AI65" s="51" t="str">
        <f>IF(XT!$P65&gt;0,AH65,"")</f>
        <v/>
      </c>
      <c r="AJ65" s="51" t="str">
        <f>IF(XT!$P65=0,AH65,"")</f>
        <v/>
      </c>
      <c r="AK65">
        <f>SUMPRODUCT((MONTH(CHOOSE({1,2,3,4},XT!U65,XT!Y65,XT!AC65,XT!AG65))=10)*(CHOOSE({1,2,3,4},XT!X65,XT!AB65,XT!AF65,XT!AJ65)))</f>
        <v>0</v>
      </c>
      <c r="AL65" t="str">
        <f>IFERROR(INDEX(CHOOSE({1,2,3,4}, DAY(XT!U65), DAY(XT!Y65), DAY(XT!AC65), DAY(XT!AG65)), MATCH(1, INDEX(--(MONTH(CHOOSE({1,2,3,4}, XT!U65,XT!Y65,XT!AC65,XT!AG65))=10), 0), 0)), "")</f>
        <v/>
      </c>
      <c r="AM65" s="51" t="str">
        <f>IF(XT!$P65&gt;0,AL65,"")</f>
        <v/>
      </c>
      <c r="AN65" s="51" t="str">
        <f>IF(XT!$P65=0,AL65,"")</f>
        <v/>
      </c>
      <c r="AO65">
        <f>SUMPRODUCT((MONTH(CHOOSE({1,2,3,4},XT!U65,XT!Y65,XT!AC65,XT!AG65))=11)*(CHOOSE({1,2,3,4},XT!X65,XT!AB65,XT!AF65,XT!AJ65)))</f>
        <v>0</v>
      </c>
      <c r="AP65" t="str">
        <f>IFERROR(INDEX(CHOOSE({1,2,3,4}, DAY(XT!U65), DAY(XT!Y65), DAY(XT!AC65), DAY(XT!AG65)), MATCH(1, INDEX(--(MONTH(CHOOSE({1,2,3,4}, XT!U65,XT!Y65,XT!AC65,XT!AG65))=11), 0), 0)), "")</f>
        <v/>
      </c>
      <c r="AQ65" s="51" t="str">
        <f>IF(XT!$P65&gt;0,AP65,"")</f>
        <v/>
      </c>
      <c r="AR65" s="51" t="str">
        <f>IF(XT!$P65=0,AP65,"")</f>
        <v/>
      </c>
      <c r="AS65">
        <f>SUMPRODUCT((MONTH(CHOOSE({1,2,3,4},XT!U65,XT!Y65,XT!AC65,XT!AG65))=12)*(CHOOSE({1,2,3,4},XT!X65,XT!AB65,XT!AF65,XT!AJ65)))</f>
        <v>0</v>
      </c>
      <c r="AT65" t="str">
        <f>IFERROR(INDEX(CHOOSE({1,2,3,4}, DAY(XT!U65), DAY(XT!Y65), DAY(XT!AC65), DAY(XT!AG65)), MATCH(1, INDEX(--(MONTH(CHOOSE({1,2,3,4}, XT!U65,XT!Y65,XT!AC65,XT!AG65))=12), 0), 0)), "")</f>
        <v/>
      </c>
      <c r="AU65" s="51" t="str">
        <f>IF(XT!$P65&gt;0,AT65,"")</f>
        <v/>
      </c>
      <c r="AV65" s="51" t="str">
        <f>IF(XT!$P65=0,AT65,"")</f>
        <v/>
      </c>
    </row>
    <row r="66" spans="1:48">
      <c r="A66">
        <f>SUMPRODUCT((MONTH(CHOOSE({1,2,3,4},XT!U66,XT!Y66,XT!AC66,XT!AG66))=1)*(CHOOSE({1,2,3,4},XT!X66,XT!AB66,XT!AF66,XT!AJ66)))</f>
        <v>0</v>
      </c>
      <c r="B66">
        <f>IFERROR(INDEX(CHOOSE({1,2,3,4}, DAY(XT!U66), DAY(XT!Y66), DAY(XT!AC66), DAY(XT!AG66)), MATCH(1, INDEX(--(MONTH(CHOOSE({1,2,3,4}, XT!U66,XT!Y66,XT!AC66,XT!AG66))=1), 0), 0)), "")</f>
        <v>0</v>
      </c>
      <c r="C66" s="51" t="str">
        <f>IF(XT!$P66&gt;0,B66,"")</f>
        <v/>
      </c>
      <c r="D66" s="51">
        <f>IF(XT!$P66=0,B66,"")</f>
        <v>0</v>
      </c>
      <c r="E66">
        <f>SUMPRODUCT((MONTH(CHOOSE({1,2,3,4},XT!U66,XT!Y66,XT!AC66,XT!AG66))=2)*(CHOOSE({1,2,3,4},XT!X66,XT!AB66,XT!AF66,XT!AJ66)))</f>
        <v>0</v>
      </c>
      <c r="F66" t="str">
        <f>IFERROR(INDEX(CHOOSE({1,2,3,4}, DAY(XT!U66), DAY(XT!Y66), DAY(XT!AC66), DAY(XT!AG66)), MATCH(1, INDEX(--(MONTH(CHOOSE({1,2,3,4}, XT!U66,XT!Y66,XT!AC66,XT!AG66))=2), 0), 0)), "")</f>
        <v/>
      </c>
      <c r="G66" s="51" t="str">
        <f>IF(XT!$P66&gt;0,F66,"")</f>
        <v/>
      </c>
      <c r="H66" s="51" t="str">
        <f>IF(XT!$P66=0,F66,"")</f>
        <v/>
      </c>
      <c r="I66">
        <f>SUMPRODUCT((MONTH(CHOOSE({1,2,3,4},XT!U66,XT!Y66,XT!AC66,XT!AG66))=3)*(CHOOSE({1,2,3,4},XT!X66,XT!AB66,XT!AF66,XT!AJ66)))</f>
        <v>0</v>
      </c>
      <c r="J66" t="str">
        <f>IFERROR(INDEX(CHOOSE({1,2,3,4}, DAY(XT!U66), DAY(XT!Y66), DAY(XT!AC66), DAY(XT!AG66)), MATCH(1, INDEX(--(MONTH(CHOOSE({1,2,3,4}, XT!U66,XT!Y66,XT!AC66,XT!AG66))=3), 0), 0)), "")</f>
        <v/>
      </c>
      <c r="K66" s="51" t="str">
        <f>IF(XT!$P66&gt;0,J66,"")</f>
        <v/>
      </c>
      <c r="L66" s="51" t="str">
        <f>IF(XT!$P66=0,J66,"")</f>
        <v/>
      </c>
      <c r="M66">
        <f>SUMPRODUCT((MONTH(CHOOSE({1,2,3,4},XT!U66,XT!Y66,XT!AC66,XT!AG66))=4)*(CHOOSE({1,2,3,4},XT!X66,XT!AB66,XT!AF66,XT!AJ66)))</f>
        <v>0</v>
      </c>
      <c r="N66" t="str">
        <f>IFERROR(INDEX(CHOOSE({1,2,3,4}, DAY(XT!U66), DAY(XT!Y66), DAY(XT!AC66), DAY(XT!AG66)), MATCH(1, INDEX(--(MONTH(CHOOSE({1,2,3,4}, XT!U66,XT!Y66,XT!AC66,XT!AG66))=4), 0), 0)), "")</f>
        <v/>
      </c>
      <c r="O66" s="51" t="str">
        <f>IF(XT!$P66&gt;0,N66,"")</f>
        <v/>
      </c>
      <c r="P66" s="51" t="str">
        <f>IF(XT!$P66=0,N66,"")</f>
        <v/>
      </c>
      <c r="Q66">
        <f>SUMPRODUCT((MONTH(CHOOSE({1,2,3,4},XT!U66,XT!Y66,XT!AC66,XT!AG66))=5)*(CHOOSE({1,2,3,4},XT!X66,XT!AB66,XT!AF66,XT!AJ66)))</f>
        <v>0</v>
      </c>
      <c r="R66" t="str">
        <f>IFERROR(INDEX(CHOOSE({1,2,3,4}, DAY(XT!U66), DAY(XT!Y66), DAY(XT!AC66), DAY(XT!AG66)), MATCH(1, INDEX(--(MONTH(CHOOSE({1,2,3,4}, XT!U66,XT!Y66,XT!AC66,XT!AG66))=5), 0), 0)), "")</f>
        <v/>
      </c>
      <c r="S66" s="51" t="str">
        <f>IF(XT!$P66&gt;0,R66,"")</f>
        <v/>
      </c>
      <c r="T66" s="51" t="str">
        <f>IF(XT!$P66=0,R66,"")</f>
        <v/>
      </c>
      <c r="U66">
        <f>SUMPRODUCT((MONTH(CHOOSE({1,2,3,4},XT!U66,XT!Y66,XT!AC66,XT!AG66))=6)*(CHOOSE({1,2,3,4},XT!X66,XT!AB66,XT!AF66,XT!AJ66)))</f>
        <v>0</v>
      </c>
      <c r="V66" t="str">
        <f>IFERROR(INDEX(CHOOSE({1,2,3,4}, DAY(XT!U66), DAY(XT!Y66), DAY(XT!AC66), DAY(XT!AG66)), MATCH(1, INDEX(--(MONTH(CHOOSE({1,2,3,4}, XT!U66,XT!Y66,XT!AC66,XT!AG66))=6), 0), 0)), "")</f>
        <v/>
      </c>
      <c r="W66" s="51" t="str">
        <f>IF(XT!$P66&gt;0,V66,"")</f>
        <v/>
      </c>
      <c r="X66" s="51" t="str">
        <f>IF(XT!$P66=0,V66,"")</f>
        <v/>
      </c>
      <c r="Y66">
        <f>SUMPRODUCT((MONTH(CHOOSE({1,2,3,4},XT!U66,XT!Y66,XT!AC66,XT!AG66))=7)*(CHOOSE({1,2,3,4},XT!X66,XT!AB66,XT!AF66,XT!AJ66)))</f>
        <v>0</v>
      </c>
      <c r="Z66" t="str">
        <f>IFERROR(INDEX(CHOOSE({1,2,3,4}, DAY(XT!U66), DAY(XT!Y66), DAY(XT!AC66), DAY(XT!AG66)), MATCH(1, INDEX(--(MONTH(CHOOSE({1,2,3,4}, XT!U66,XT!Y66,XT!AC66,XT!AG66))=7), 0), 0)), "")</f>
        <v/>
      </c>
      <c r="AA66" s="51" t="str">
        <f>IF(XT!$P66&gt;0,Z66,"")</f>
        <v/>
      </c>
      <c r="AB66" s="51" t="str">
        <f>IF(XT!$P66=0,Z66,"")</f>
        <v/>
      </c>
      <c r="AC66">
        <f>SUMPRODUCT((MONTH(CHOOSE({1,2,3,4},XT!U66,XT!Y66,XT!AC66,XT!AG66))=8)*(CHOOSE({1,2,3,4},XT!X66,XT!AB66,XT!AF66,XT!AJ66)))</f>
        <v>0</v>
      </c>
      <c r="AD66" t="str">
        <f>IFERROR(INDEX(CHOOSE({1,2,3,4}, DAY(XT!U66), DAY(XT!Y66), DAY(XT!AC66), DAY(XT!AG66)), MATCH(1, INDEX(--(MONTH(CHOOSE({1,2,3,4}, XT!U66,XT!Y66,XT!AC66,XT!AG66))=8), 0), 0)), "")</f>
        <v/>
      </c>
      <c r="AE66" s="51" t="str">
        <f>IF(XT!$P66&gt;0,AD66,"")</f>
        <v/>
      </c>
      <c r="AF66" s="51" t="str">
        <f>IF(XT!$P66=0,AD66,"")</f>
        <v/>
      </c>
      <c r="AG66">
        <f>SUMPRODUCT((MONTH(CHOOSE({1,2,3,4},XT!U66,XT!Y66,XT!AC66,XT!AG66))=9)*(CHOOSE({1,2,3,4},XT!X66,XT!AB66,XT!AF66,XT!AJ66)))</f>
        <v>0</v>
      </c>
      <c r="AH66" t="str">
        <f>IFERROR(INDEX(CHOOSE({1,2,3,4}, DAY(XT!U66), DAY(XT!Y66), DAY(XT!AC66), DAY(XT!AG66)), MATCH(1, INDEX(--(MONTH(CHOOSE({1,2,3,4}, XT!U66,XT!Y66,XT!AC66,XT!AG66))=9), 0), 0)), "")</f>
        <v/>
      </c>
      <c r="AI66" s="51" t="str">
        <f>IF(XT!$P66&gt;0,AH66,"")</f>
        <v/>
      </c>
      <c r="AJ66" s="51" t="str">
        <f>IF(XT!$P66=0,AH66,"")</f>
        <v/>
      </c>
      <c r="AK66">
        <f>SUMPRODUCT((MONTH(CHOOSE({1,2,3,4},XT!U66,XT!Y66,XT!AC66,XT!AG66))=10)*(CHOOSE({1,2,3,4},XT!X66,XT!AB66,XT!AF66,XT!AJ66)))</f>
        <v>0</v>
      </c>
      <c r="AL66" t="str">
        <f>IFERROR(INDEX(CHOOSE({1,2,3,4}, DAY(XT!U66), DAY(XT!Y66), DAY(XT!AC66), DAY(XT!AG66)), MATCH(1, INDEX(--(MONTH(CHOOSE({1,2,3,4}, XT!U66,XT!Y66,XT!AC66,XT!AG66))=10), 0), 0)), "")</f>
        <v/>
      </c>
      <c r="AM66" s="51" t="str">
        <f>IF(XT!$P66&gt;0,AL66,"")</f>
        <v/>
      </c>
      <c r="AN66" s="51" t="str">
        <f>IF(XT!$P66=0,AL66,"")</f>
        <v/>
      </c>
      <c r="AO66">
        <f>SUMPRODUCT((MONTH(CHOOSE({1,2,3,4},XT!U66,XT!Y66,XT!AC66,XT!AG66))=11)*(CHOOSE({1,2,3,4},XT!X66,XT!AB66,XT!AF66,XT!AJ66)))</f>
        <v>0</v>
      </c>
      <c r="AP66" t="str">
        <f>IFERROR(INDEX(CHOOSE({1,2,3,4}, DAY(XT!U66), DAY(XT!Y66), DAY(XT!AC66), DAY(XT!AG66)), MATCH(1, INDEX(--(MONTH(CHOOSE({1,2,3,4}, XT!U66,XT!Y66,XT!AC66,XT!AG66))=11), 0), 0)), "")</f>
        <v/>
      </c>
      <c r="AQ66" s="51" t="str">
        <f>IF(XT!$P66&gt;0,AP66,"")</f>
        <v/>
      </c>
      <c r="AR66" s="51" t="str">
        <f>IF(XT!$P66=0,AP66,"")</f>
        <v/>
      </c>
      <c r="AS66">
        <f>SUMPRODUCT((MONTH(CHOOSE({1,2,3,4},XT!U66,XT!Y66,XT!AC66,XT!AG66))=12)*(CHOOSE({1,2,3,4},XT!X66,XT!AB66,XT!AF66,XT!AJ66)))</f>
        <v>0</v>
      </c>
      <c r="AT66" t="str">
        <f>IFERROR(INDEX(CHOOSE({1,2,3,4}, DAY(XT!U66), DAY(XT!Y66), DAY(XT!AC66), DAY(XT!AG66)), MATCH(1, INDEX(--(MONTH(CHOOSE({1,2,3,4}, XT!U66,XT!Y66,XT!AC66,XT!AG66))=12), 0), 0)), "")</f>
        <v/>
      </c>
      <c r="AU66" s="51" t="str">
        <f>IF(XT!$P66&gt;0,AT66,"")</f>
        <v/>
      </c>
      <c r="AV66" s="51" t="str">
        <f>IF(XT!$P66=0,AT66,"")</f>
        <v/>
      </c>
    </row>
    <row r="67" spans="1:48">
      <c r="A67">
        <f>SUMPRODUCT((MONTH(CHOOSE({1,2,3,4},XT!U67,XT!Y67,XT!AC67,XT!AG67))=1)*(CHOOSE({1,2,3,4},XT!X67,XT!AB67,XT!AF67,XT!AJ67)))</f>
        <v>0</v>
      </c>
      <c r="B67">
        <f>IFERROR(INDEX(CHOOSE({1,2,3,4}, DAY(XT!U67), DAY(XT!Y67), DAY(XT!AC67), DAY(XT!AG67)), MATCH(1, INDEX(--(MONTH(CHOOSE({1,2,3,4}, XT!U67,XT!Y67,XT!AC67,XT!AG67))=1), 0), 0)), "")</f>
        <v>0</v>
      </c>
      <c r="C67" s="51" t="str">
        <f>IF(XT!$P67&gt;0,B67,"")</f>
        <v/>
      </c>
      <c r="D67" s="51">
        <f>IF(XT!$P67=0,B67,"")</f>
        <v>0</v>
      </c>
      <c r="E67">
        <f>SUMPRODUCT((MONTH(CHOOSE({1,2,3,4},XT!U67,XT!Y67,XT!AC67,XT!AG67))=2)*(CHOOSE({1,2,3,4},XT!X67,XT!AB67,XT!AF67,XT!AJ67)))</f>
        <v>0</v>
      </c>
      <c r="F67" t="str">
        <f>IFERROR(INDEX(CHOOSE({1,2,3,4}, DAY(XT!U67), DAY(XT!Y67), DAY(XT!AC67), DAY(XT!AG67)), MATCH(1, INDEX(--(MONTH(CHOOSE({1,2,3,4}, XT!U67,XT!Y67,XT!AC67,XT!AG67))=2), 0), 0)), "")</f>
        <v/>
      </c>
      <c r="G67" s="51" t="str">
        <f>IF(XT!$P67&gt;0,F67,"")</f>
        <v/>
      </c>
      <c r="H67" s="51" t="str">
        <f>IF(XT!$P67=0,F67,"")</f>
        <v/>
      </c>
      <c r="I67">
        <f>SUMPRODUCT((MONTH(CHOOSE({1,2,3,4},XT!U67,XT!Y67,XT!AC67,XT!AG67))=3)*(CHOOSE({1,2,3,4},XT!X67,XT!AB67,XT!AF67,XT!AJ67)))</f>
        <v>0</v>
      </c>
      <c r="J67" t="str">
        <f>IFERROR(INDEX(CHOOSE({1,2,3,4}, DAY(XT!U67), DAY(XT!Y67), DAY(XT!AC67), DAY(XT!AG67)), MATCH(1, INDEX(--(MONTH(CHOOSE({1,2,3,4}, XT!U67,XT!Y67,XT!AC67,XT!AG67))=3), 0), 0)), "")</f>
        <v/>
      </c>
      <c r="K67" s="51" t="str">
        <f>IF(XT!$P67&gt;0,J67,"")</f>
        <v/>
      </c>
      <c r="L67" s="51" t="str">
        <f>IF(XT!$P67=0,J67,"")</f>
        <v/>
      </c>
      <c r="M67">
        <f>SUMPRODUCT((MONTH(CHOOSE({1,2,3,4},XT!U67,XT!Y67,XT!AC67,XT!AG67))=4)*(CHOOSE({1,2,3,4},XT!X67,XT!AB67,XT!AF67,XT!AJ67)))</f>
        <v>0</v>
      </c>
      <c r="N67" t="str">
        <f>IFERROR(INDEX(CHOOSE({1,2,3,4}, DAY(XT!U67), DAY(XT!Y67), DAY(XT!AC67), DAY(XT!AG67)), MATCH(1, INDEX(--(MONTH(CHOOSE({1,2,3,4}, XT!U67,XT!Y67,XT!AC67,XT!AG67))=4), 0), 0)), "")</f>
        <v/>
      </c>
      <c r="O67" s="51" t="str">
        <f>IF(XT!$P67&gt;0,N67,"")</f>
        <v/>
      </c>
      <c r="P67" s="51" t="str">
        <f>IF(XT!$P67=0,N67,"")</f>
        <v/>
      </c>
      <c r="Q67">
        <f>SUMPRODUCT((MONTH(CHOOSE({1,2,3,4},XT!U67,XT!Y67,XT!AC67,XT!AG67))=5)*(CHOOSE({1,2,3,4},XT!X67,XT!AB67,XT!AF67,XT!AJ67)))</f>
        <v>0</v>
      </c>
      <c r="R67" t="str">
        <f>IFERROR(INDEX(CHOOSE({1,2,3,4}, DAY(XT!U67), DAY(XT!Y67), DAY(XT!AC67), DAY(XT!AG67)), MATCH(1, INDEX(--(MONTH(CHOOSE({1,2,3,4}, XT!U67,XT!Y67,XT!AC67,XT!AG67))=5), 0), 0)), "")</f>
        <v/>
      </c>
      <c r="S67" s="51" t="str">
        <f>IF(XT!$P67&gt;0,R67,"")</f>
        <v/>
      </c>
      <c r="T67" s="51" t="str">
        <f>IF(XT!$P67=0,R67,"")</f>
        <v/>
      </c>
      <c r="U67">
        <f>SUMPRODUCT((MONTH(CHOOSE({1,2,3,4},XT!U67,XT!Y67,XT!AC67,XT!AG67))=6)*(CHOOSE({1,2,3,4},XT!X67,XT!AB67,XT!AF67,XT!AJ67)))</f>
        <v>0</v>
      </c>
      <c r="V67" t="str">
        <f>IFERROR(INDEX(CHOOSE({1,2,3,4}, DAY(XT!U67), DAY(XT!Y67), DAY(XT!AC67), DAY(XT!AG67)), MATCH(1, INDEX(--(MONTH(CHOOSE({1,2,3,4}, XT!U67,XT!Y67,XT!AC67,XT!AG67))=6), 0), 0)), "")</f>
        <v/>
      </c>
      <c r="W67" s="51" t="str">
        <f>IF(XT!$P67&gt;0,V67,"")</f>
        <v/>
      </c>
      <c r="X67" s="51" t="str">
        <f>IF(XT!$P67=0,V67,"")</f>
        <v/>
      </c>
      <c r="Y67">
        <f>SUMPRODUCT((MONTH(CHOOSE({1,2,3,4},XT!U67,XT!Y67,XT!AC67,XT!AG67))=7)*(CHOOSE({1,2,3,4},XT!X67,XT!AB67,XT!AF67,XT!AJ67)))</f>
        <v>0</v>
      </c>
      <c r="Z67" t="str">
        <f>IFERROR(INDEX(CHOOSE({1,2,3,4}, DAY(XT!U67), DAY(XT!Y67), DAY(XT!AC67), DAY(XT!AG67)), MATCH(1, INDEX(--(MONTH(CHOOSE({1,2,3,4}, XT!U67,XT!Y67,XT!AC67,XT!AG67))=7), 0), 0)), "")</f>
        <v/>
      </c>
      <c r="AA67" s="51" t="str">
        <f>IF(XT!$P67&gt;0,Z67,"")</f>
        <v/>
      </c>
      <c r="AB67" s="51" t="str">
        <f>IF(XT!$P67=0,Z67,"")</f>
        <v/>
      </c>
      <c r="AC67">
        <f>SUMPRODUCT((MONTH(CHOOSE({1,2,3,4},XT!U67,XT!Y67,XT!AC67,XT!AG67))=8)*(CHOOSE({1,2,3,4},XT!X67,XT!AB67,XT!AF67,XT!AJ67)))</f>
        <v>0</v>
      </c>
      <c r="AD67" t="str">
        <f>IFERROR(INDEX(CHOOSE({1,2,3,4}, DAY(XT!U67), DAY(XT!Y67), DAY(XT!AC67), DAY(XT!AG67)), MATCH(1, INDEX(--(MONTH(CHOOSE({1,2,3,4}, XT!U67,XT!Y67,XT!AC67,XT!AG67))=8), 0), 0)), "")</f>
        <v/>
      </c>
      <c r="AE67" s="51" t="str">
        <f>IF(XT!$P67&gt;0,AD67,"")</f>
        <v/>
      </c>
      <c r="AF67" s="51" t="str">
        <f>IF(XT!$P67=0,AD67,"")</f>
        <v/>
      </c>
      <c r="AG67">
        <f>SUMPRODUCT((MONTH(CHOOSE({1,2,3,4},XT!U67,XT!Y67,XT!AC67,XT!AG67))=9)*(CHOOSE({1,2,3,4},XT!X67,XT!AB67,XT!AF67,XT!AJ67)))</f>
        <v>0</v>
      </c>
      <c r="AH67" t="str">
        <f>IFERROR(INDEX(CHOOSE({1,2,3,4}, DAY(XT!U67), DAY(XT!Y67), DAY(XT!AC67), DAY(XT!AG67)), MATCH(1, INDEX(--(MONTH(CHOOSE({1,2,3,4}, XT!U67,XT!Y67,XT!AC67,XT!AG67))=9), 0), 0)), "")</f>
        <v/>
      </c>
      <c r="AI67" s="51" t="str">
        <f>IF(XT!$P67&gt;0,AH67,"")</f>
        <v/>
      </c>
      <c r="AJ67" s="51" t="str">
        <f>IF(XT!$P67=0,AH67,"")</f>
        <v/>
      </c>
      <c r="AK67">
        <f>SUMPRODUCT((MONTH(CHOOSE({1,2,3,4},XT!U67,XT!Y67,XT!AC67,XT!AG67))=10)*(CHOOSE({1,2,3,4},XT!X67,XT!AB67,XT!AF67,XT!AJ67)))</f>
        <v>0</v>
      </c>
      <c r="AL67" t="str">
        <f>IFERROR(INDEX(CHOOSE({1,2,3,4}, DAY(XT!U67), DAY(XT!Y67), DAY(XT!AC67), DAY(XT!AG67)), MATCH(1, INDEX(--(MONTH(CHOOSE({1,2,3,4}, XT!U67,XT!Y67,XT!AC67,XT!AG67))=10), 0), 0)), "")</f>
        <v/>
      </c>
      <c r="AM67" s="51" t="str">
        <f>IF(XT!$P67&gt;0,AL67,"")</f>
        <v/>
      </c>
      <c r="AN67" s="51" t="str">
        <f>IF(XT!$P67=0,AL67,"")</f>
        <v/>
      </c>
      <c r="AO67">
        <f>SUMPRODUCT((MONTH(CHOOSE({1,2,3,4},XT!U67,XT!Y67,XT!AC67,XT!AG67))=11)*(CHOOSE({1,2,3,4},XT!X67,XT!AB67,XT!AF67,XT!AJ67)))</f>
        <v>0</v>
      </c>
      <c r="AP67" t="str">
        <f>IFERROR(INDEX(CHOOSE({1,2,3,4}, DAY(XT!U67), DAY(XT!Y67), DAY(XT!AC67), DAY(XT!AG67)), MATCH(1, INDEX(--(MONTH(CHOOSE({1,2,3,4}, XT!U67,XT!Y67,XT!AC67,XT!AG67))=11), 0), 0)), "")</f>
        <v/>
      </c>
      <c r="AQ67" s="51" t="str">
        <f>IF(XT!$P67&gt;0,AP67,"")</f>
        <v/>
      </c>
      <c r="AR67" s="51" t="str">
        <f>IF(XT!$P67=0,AP67,"")</f>
        <v/>
      </c>
      <c r="AS67">
        <f>SUMPRODUCT((MONTH(CHOOSE({1,2,3,4},XT!U67,XT!Y67,XT!AC67,XT!AG67))=12)*(CHOOSE({1,2,3,4},XT!X67,XT!AB67,XT!AF67,XT!AJ67)))</f>
        <v>0</v>
      </c>
      <c r="AT67" t="str">
        <f>IFERROR(INDEX(CHOOSE({1,2,3,4}, DAY(XT!U67), DAY(XT!Y67), DAY(XT!AC67), DAY(XT!AG67)), MATCH(1, INDEX(--(MONTH(CHOOSE({1,2,3,4}, XT!U67,XT!Y67,XT!AC67,XT!AG67))=12), 0), 0)), "")</f>
        <v/>
      </c>
      <c r="AU67" s="51" t="str">
        <f>IF(XT!$P67&gt;0,AT67,"")</f>
        <v/>
      </c>
      <c r="AV67" s="51" t="str">
        <f>IF(XT!$P67=0,AT67,"")</f>
        <v/>
      </c>
    </row>
    <row r="68" spans="1:48">
      <c r="A68">
        <f>SUMPRODUCT((MONTH(CHOOSE({1,2,3,4},XT!U68,XT!Y68,XT!AC68,XT!AG68))=1)*(CHOOSE({1,2,3,4},XT!X68,XT!AB68,XT!AF68,XT!AJ68)))</f>
        <v>0</v>
      </c>
      <c r="B68">
        <f>IFERROR(INDEX(CHOOSE({1,2,3,4}, DAY(XT!U68), DAY(XT!Y68), DAY(XT!AC68), DAY(XT!AG68)), MATCH(1, INDEX(--(MONTH(CHOOSE({1,2,3,4}, XT!U68,XT!Y68,XT!AC68,XT!AG68))=1), 0), 0)), "")</f>
        <v>0</v>
      </c>
      <c r="C68" s="51" t="str">
        <f>IF(XT!$P68&gt;0,B68,"")</f>
        <v/>
      </c>
      <c r="D68" s="51">
        <f>IF(XT!$P68=0,B68,"")</f>
        <v>0</v>
      </c>
      <c r="E68">
        <f>SUMPRODUCT((MONTH(CHOOSE({1,2,3,4},XT!U68,XT!Y68,XT!AC68,XT!AG68))=2)*(CHOOSE({1,2,3,4},XT!X68,XT!AB68,XT!AF68,XT!AJ68)))</f>
        <v>0</v>
      </c>
      <c r="F68" t="str">
        <f>IFERROR(INDEX(CHOOSE({1,2,3,4}, DAY(XT!U68), DAY(XT!Y68), DAY(XT!AC68), DAY(XT!AG68)), MATCH(1, INDEX(--(MONTH(CHOOSE({1,2,3,4}, XT!U68,XT!Y68,XT!AC68,XT!AG68))=2), 0), 0)), "")</f>
        <v/>
      </c>
      <c r="G68" s="51" t="str">
        <f>IF(XT!$P68&gt;0,F68,"")</f>
        <v/>
      </c>
      <c r="H68" s="51" t="str">
        <f>IF(XT!$P68=0,F68,"")</f>
        <v/>
      </c>
      <c r="I68">
        <f>SUMPRODUCT((MONTH(CHOOSE({1,2,3,4},XT!U68,XT!Y68,XT!AC68,XT!AG68))=3)*(CHOOSE({1,2,3,4},XT!X68,XT!AB68,XT!AF68,XT!AJ68)))</f>
        <v>0</v>
      </c>
      <c r="J68" t="str">
        <f>IFERROR(INDEX(CHOOSE({1,2,3,4}, DAY(XT!U68), DAY(XT!Y68), DAY(XT!AC68), DAY(XT!AG68)), MATCH(1, INDEX(--(MONTH(CHOOSE({1,2,3,4}, XT!U68,XT!Y68,XT!AC68,XT!AG68))=3), 0), 0)), "")</f>
        <v/>
      </c>
      <c r="K68" s="51" t="str">
        <f>IF(XT!$P68&gt;0,J68,"")</f>
        <v/>
      </c>
      <c r="L68" s="51" t="str">
        <f>IF(XT!$P68=0,J68,"")</f>
        <v/>
      </c>
      <c r="M68">
        <f>SUMPRODUCT((MONTH(CHOOSE({1,2,3,4},XT!U68,XT!Y68,XT!AC68,XT!AG68))=4)*(CHOOSE({1,2,3,4},XT!X68,XT!AB68,XT!AF68,XT!AJ68)))</f>
        <v>0</v>
      </c>
      <c r="N68" t="str">
        <f>IFERROR(INDEX(CHOOSE({1,2,3,4}, DAY(XT!U68), DAY(XT!Y68), DAY(XT!AC68), DAY(XT!AG68)), MATCH(1, INDEX(--(MONTH(CHOOSE({1,2,3,4}, XT!U68,XT!Y68,XT!AC68,XT!AG68))=4), 0), 0)), "")</f>
        <v/>
      </c>
      <c r="O68" s="51" t="str">
        <f>IF(XT!$P68&gt;0,N68,"")</f>
        <v/>
      </c>
      <c r="P68" s="51" t="str">
        <f>IF(XT!$P68=0,N68,"")</f>
        <v/>
      </c>
      <c r="Q68">
        <f>SUMPRODUCT((MONTH(CHOOSE({1,2,3,4},XT!U68,XT!Y68,XT!AC68,XT!AG68))=5)*(CHOOSE({1,2,3,4},XT!X68,XT!AB68,XT!AF68,XT!AJ68)))</f>
        <v>0</v>
      </c>
      <c r="R68" t="str">
        <f>IFERROR(INDEX(CHOOSE({1,2,3,4}, DAY(XT!U68), DAY(XT!Y68), DAY(XT!AC68), DAY(XT!AG68)), MATCH(1, INDEX(--(MONTH(CHOOSE({1,2,3,4}, XT!U68,XT!Y68,XT!AC68,XT!AG68))=5), 0), 0)), "")</f>
        <v/>
      </c>
      <c r="S68" s="51" t="str">
        <f>IF(XT!$P68&gt;0,R68,"")</f>
        <v/>
      </c>
      <c r="T68" s="51" t="str">
        <f>IF(XT!$P68=0,R68,"")</f>
        <v/>
      </c>
      <c r="U68">
        <f>SUMPRODUCT((MONTH(CHOOSE({1,2,3,4},XT!U68,XT!Y68,XT!AC68,XT!AG68))=6)*(CHOOSE({1,2,3,4},XT!X68,XT!AB68,XT!AF68,XT!AJ68)))</f>
        <v>0</v>
      </c>
      <c r="V68" t="str">
        <f>IFERROR(INDEX(CHOOSE({1,2,3,4}, DAY(XT!U68), DAY(XT!Y68), DAY(XT!AC68), DAY(XT!AG68)), MATCH(1, INDEX(--(MONTH(CHOOSE({1,2,3,4}, XT!U68,XT!Y68,XT!AC68,XT!AG68))=6), 0), 0)), "")</f>
        <v/>
      </c>
      <c r="W68" s="51" t="str">
        <f>IF(XT!$P68&gt;0,V68,"")</f>
        <v/>
      </c>
      <c r="X68" s="51" t="str">
        <f>IF(XT!$P68=0,V68,"")</f>
        <v/>
      </c>
      <c r="Y68">
        <f>SUMPRODUCT((MONTH(CHOOSE({1,2,3,4},XT!U68,XT!Y68,XT!AC68,XT!AG68))=7)*(CHOOSE({1,2,3,4},XT!X68,XT!AB68,XT!AF68,XT!AJ68)))</f>
        <v>0</v>
      </c>
      <c r="Z68" t="str">
        <f>IFERROR(INDEX(CHOOSE({1,2,3,4}, DAY(XT!U68), DAY(XT!Y68), DAY(XT!AC68), DAY(XT!AG68)), MATCH(1, INDEX(--(MONTH(CHOOSE({1,2,3,4}, XT!U68,XT!Y68,XT!AC68,XT!AG68))=7), 0), 0)), "")</f>
        <v/>
      </c>
      <c r="AA68" s="51" t="str">
        <f>IF(XT!$P68&gt;0,Z68,"")</f>
        <v/>
      </c>
      <c r="AB68" s="51" t="str">
        <f>IF(XT!$P68=0,Z68,"")</f>
        <v/>
      </c>
      <c r="AC68">
        <f>SUMPRODUCT((MONTH(CHOOSE({1,2,3,4},XT!U68,XT!Y68,XT!AC68,XT!AG68))=8)*(CHOOSE({1,2,3,4},XT!X68,XT!AB68,XT!AF68,XT!AJ68)))</f>
        <v>0</v>
      </c>
      <c r="AD68" t="str">
        <f>IFERROR(INDEX(CHOOSE({1,2,3,4}, DAY(XT!U68), DAY(XT!Y68), DAY(XT!AC68), DAY(XT!AG68)), MATCH(1, INDEX(--(MONTH(CHOOSE({1,2,3,4}, XT!U68,XT!Y68,XT!AC68,XT!AG68))=8), 0), 0)), "")</f>
        <v/>
      </c>
      <c r="AE68" s="51" t="str">
        <f>IF(XT!$P68&gt;0,AD68,"")</f>
        <v/>
      </c>
      <c r="AF68" s="51" t="str">
        <f>IF(XT!$P68=0,AD68,"")</f>
        <v/>
      </c>
      <c r="AG68">
        <f>SUMPRODUCT((MONTH(CHOOSE({1,2,3,4},XT!U68,XT!Y68,XT!AC68,XT!AG68))=9)*(CHOOSE({1,2,3,4},XT!X68,XT!AB68,XT!AF68,XT!AJ68)))</f>
        <v>0</v>
      </c>
      <c r="AH68" t="str">
        <f>IFERROR(INDEX(CHOOSE({1,2,3,4}, DAY(XT!U68), DAY(XT!Y68), DAY(XT!AC68), DAY(XT!AG68)), MATCH(1, INDEX(--(MONTH(CHOOSE({1,2,3,4}, XT!U68,XT!Y68,XT!AC68,XT!AG68))=9), 0), 0)), "")</f>
        <v/>
      </c>
      <c r="AI68" s="51" t="str">
        <f>IF(XT!$P68&gt;0,AH68,"")</f>
        <v/>
      </c>
      <c r="AJ68" s="51" t="str">
        <f>IF(XT!$P68=0,AH68,"")</f>
        <v/>
      </c>
      <c r="AK68">
        <f>SUMPRODUCT((MONTH(CHOOSE({1,2,3,4},XT!U68,XT!Y68,XT!AC68,XT!AG68))=10)*(CHOOSE({1,2,3,4},XT!X68,XT!AB68,XT!AF68,XT!AJ68)))</f>
        <v>0</v>
      </c>
      <c r="AL68" t="str">
        <f>IFERROR(INDEX(CHOOSE({1,2,3,4}, DAY(XT!U68), DAY(XT!Y68), DAY(XT!AC68), DAY(XT!AG68)), MATCH(1, INDEX(--(MONTH(CHOOSE({1,2,3,4}, XT!U68,XT!Y68,XT!AC68,XT!AG68))=10), 0), 0)), "")</f>
        <v/>
      </c>
      <c r="AM68" s="51" t="str">
        <f>IF(XT!$P68&gt;0,AL68,"")</f>
        <v/>
      </c>
      <c r="AN68" s="51" t="str">
        <f>IF(XT!$P68=0,AL68,"")</f>
        <v/>
      </c>
      <c r="AO68">
        <f>SUMPRODUCT((MONTH(CHOOSE({1,2,3,4},XT!U68,XT!Y68,XT!AC68,XT!AG68))=11)*(CHOOSE({1,2,3,4},XT!X68,XT!AB68,XT!AF68,XT!AJ68)))</f>
        <v>0</v>
      </c>
      <c r="AP68" t="str">
        <f>IFERROR(INDEX(CHOOSE({1,2,3,4}, DAY(XT!U68), DAY(XT!Y68), DAY(XT!AC68), DAY(XT!AG68)), MATCH(1, INDEX(--(MONTH(CHOOSE({1,2,3,4}, XT!U68,XT!Y68,XT!AC68,XT!AG68))=11), 0), 0)), "")</f>
        <v/>
      </c>
      <c r="AQ68" s="51" t="str">
        <f>IF(XT!$P68&gt;0,AP68,"")</f>
        <v/>
      </c>
      <c r="AR68" s="51" t="str">
        <f>IF(XT!$P68=0,AP68,"")</f>
        <v/>
      </c>
      <c r="AS68">
        <f>SUMPRODUCT((MONTH(CHOOSE({1,2,3,4},XT!U68,XT!Y68,XT!AC68,XT!AG68))=12)*(CHOOSE({1,2,3,4},XT!X68,XT!AB68,XT!AF68,XT!AJ68)))</f>
        <v>0</v>
      </c>
      <c r="AT68" t="str">
        <f>IFERROR(INDEX(CHOOSE({1,2,3,4}, DAY(XT!U68), DAY(XT!Y68), DAY(XT!AC68), DAY(XT!AG68)), MATCH(1, INDEX(--(MONTH(CHOOSE({1,2,3,4}, XT!U68,XT!Y68,XT!AC68,XT!AG68))=12), 0), 0)), "")</f>
        <v/>
      </c>
      <c r="AU68" s="51" t="str">
        <f>IF(XT!$P68&gt;0,AT68,"")</f>
        <v/>
      </c>
      <c r="AV68" s="51" t="str">
        <f>IF(XT!$P68=0,AT68,"")</f>
        <v/>
      </c>
    </row>
    <row r="69" spans="1:48">
      <c r="A69">
        <f>SUMPRODUCT((MONTH(CHOOSE({1,2,3,4},XT!U69,XT!Y69,XT!AC69,XT!AG69))=1)*(CHOOSE({1,2,3,4},XT!X69,XT!AB69,XT!AF69,XT!AJ69)))</f>
        <v>0</v>
      </c>
      <c r="B69">
        <f>IFERROR(INDEX(CHOOSE({1,2,3,4}, DAY(XT!U69), DAY(XT!Y69), DAY(XT!AC69), DAY(XT!AG69)), MATCH(1, INDEX(--(MONTH(CHOOSE({1,2,3,4}, XT!U69,XT!Y69,XT!AC69,XT!AG69))=1), 0), 0)), "")</f>
        <v>0</v>
      </c>
      <c r="C69" s="51" t="str">
        <f>IF(XT!$P69&gt;0,B69,"")</f>
        <v/>
      </c>
      <c r="D69" s="51">
        <f>IF(XT!$P69=0,B69,"")</f>
        <v>0</v>
      </c>
      <c r="E69">
        <f>SUMPRODUCT((MONTH(CHOOSE({1,2,3,4},XT!U69,XT!Y69,XT!AC69,XT!AG69))=2)*(CHOOSE({1,2,3,4},XT!X69,XT!AB69,XT!AF69,XT!AJ69)))</f>
        <v>0</v>
      </c>
      <c r="F69" t="str">
        <f>IFERROR(INDEX(CHOOSE({1,2,3,4}, DAY(XT!U69), DAY(XT!Y69), DAY(XT!AC69), DAY(XT!AG69)), MATCH(1, INDEX(--(MONTH(CHOOSE({1,2,3,4}, XT!U69,XT!Y69,XT!AC69,XT!AG69))=2), 0), 0)), "")</f>
        <v/>
      </c>
      <c r="G69" s="51" t="str">
        <f>IF(XT!$P69&gt;0,F69,"")</f>
        <v/>
      </c>
      <c r="H69" s="51" t="str">
        <f>IF(XT!$P69=0,F69,"")</f>
        <v/>
      </c>
      <c r="I69">
        <f>SUMPRODUCT((MONTH(CHOOSE({1,2,3,4},XT!U69,XT!Y69,XT!AC69,XT!AG69))=3)*(CHOOSE({1,2,3,4},XT!X69,XT!AB69,XT!AF69,XT!AJ69)))</f>
        <v>0</v>
      </c>
      <c r="J69" t="str">
        <f>IFERROR(INDEX(CHOOSE({1,2,3,4}, DAY(XT!U69), DAY(XT!Y69), DAY(XT!AC69), DAY(XT!AG69)), MATCH(1, INDEX(--(MONTH(CHOOSE({1,2,3,4}, XT!U69,XT!Y69,XT!AC69,XT!AG69))=3), 0), 0)), "")</f>
        <v/>
      </c>
      <c r="K69" s="51" t="str">
        <f>IF(XT!$P69&gt;0,J69,"")</f>
        <v/>
      </c>
      <c r="L69" s="51" t="str">
        <f>IF(XT!$P69=0,J69,"")</f>
        <v/>
      </c>
      <c r="M69">
        <f>SUMPRODUCT((MONTH(CHOOSE({1,2,3,4},XT!U69,XT!Y69,XT!AC69,XT!AG69))=4)*(CHOOSE({1,2,3,4},XT!X69,XT!AB69,XT!AF69,XT!AJ69)))</f>
        <v>0</v>
      </c>
      <c r="N69" t="str">
        <f>IFERROR(INDEX(CHOOSE({1,2,3,4}, DAY(XT!U69), DAY(XT!Y69), DAY(XT!AC69), DAY(XT!AG69)), MATCH(1, INDEX(--(MONTH(CHOOSE({1,2,3,4}, XT!U69,XT!Y69,XT!AC69,XT!AG69))=4), 0), 0)), "")</f>
        <v/>
      </c>
      <c r="O69" s="51" t="str">
        <f>IF(XT!$P69&gt;0,N69,"")</f>
        <v/>
      </c>
      <c r="P69" s="51" t="str">
        <f>IF(XT!$P69=0,N69,"")</f>
        <v/>
      </c>
      <c r="Q69">
        <f>SUMPRODUCT((MONTH(CHOOSE({1,2,3,4},XT!U69,XT!Y69,XT!AC69,XT!AG69))=5)*(CHOOSE({1,2,3,4},XT!X69,XT!AB69,XT!AF69,XT!AJ69)))</f>
        <v>0</v>
      </c>
      <c r="R69" t="str">
        <f>IFERROR(INDEX(CHOOSE({1,2,3,4}, DAY(XT!U69), DAY(XT!Y69), DAY(XT!AC69), DAY(XT!AG69)), MATCH(1, INDEX(--(MONTH(CHOOSE({1,2,3,4}, XT!U69,XT!Y69,XT!AC69,XT!AG69))=5), 0), 0)), "")</f>
        <v/>
      </c>
      <c r="S69" s="51" t="str">
        <f>IF(XT!$P69&gt;0,R69,"")</f>
        <v/>
      </c>
      <c r="T69" s="51" t="str">
        <f>IF(XT!$P69=0,R69,"")</f>
        <v/>
      </c>
      <c r="U69">
        <f>SUMPRODUCT((MONTH(CHOOSE({1,2,3,4},XT!U69,XT!Y69,XT!AC69,XT!AG69))=6)*(CHOOSE({1,2,3,4},XT!X69,XT!AB69,XT!AF69,XT!AJ69)))</f>
        <v>0</v>
      </c>
      <c r="V69" t="str">
        <f>IFERROR(INDEX(CHOOSE({1,2,3,4}, DAY(XT!U69), DAY(XT!Y69), DAY(XT!AC69), DAY(XT!AG69)), MATCH(1, INDEX(--(MONTH(CHOOSE({1,2,3,4}, XT!U69,XT!Y69,XT!AC69,XT!AG69))=6), 0), 0)), "")</f>
        <v/>
      </c>
      <c r="W69" s="51" t="str">
        <f>IF(XT!$P69&gt;0,V69,"")</f>
        <v/>
      </c>
      <c r="X69" s="51" t="str">
        <f>IF(XT!$P69=0,V69,"")</f>
        <v/>
      </c>
      <c r="Y69">
        <f>SUMPRODUCT((MONTH(CHOOSE({1,2,3,4},XT!U69,XT!Y69,XT!AC69,XT!AG69))=7)*(CHOOSE({1,2,3,4},XT!X69,XT!AB69,XT!AF69,XT!AJ69)))</f>
        <v>0</v>
      </c>
      <c r="Z69" t="str">
        <f>IFERROR(INDEX(CHOOSE({1,2,3,4}, DAY(XT!U69), DAY(XT!Y69), DAY(XT!AC69), DAY(XT!AG69)), MATCH(1, INDEX(--(MONTH(CHOOSE({1,2,3,4}, XT!U69,XT!Y69,XT!AC69,XT!AG69))=7), 0), 0)), "")</f>
        <v/>
      </c>
      <c r="AA69" s="51" t="str">
        <f>IF(XT!$P69&gt;0,Z69,"")</f>
        <v/>
      </c>
      <c r="AB69" s="51" t="str">
        <f>IF(XT!$P69=0,Z69,"")</f>
        <v/>
      </c>
      <c r="AC69">
        <f>SUMPRODUCT((MONTH(CHOOSE({1,2,3,4},XT!U69,XT!Y69,XT!AC69,XT!AG69))=8)*(CHOOSE({1,2,3,4},XT!X69,XT!AB69,XT!AF69,XT!AJ69)))</f>
        <v>0</v>
      </c>
      <c r="AD69" t="str">
        <f>IFERROR(INDEX(CHOOSE({1,2,3,4}, DAY(XT!U69), DAY(XT!Y69), DAY(XT!AC69), DAY(XT!AG69)), MATCH(1, INDEX(--(MONTH(CHOOSE({1,2,3,4}, XT!U69,XT!Y69,XT!AC69,XT!AG69))=8), 0), 0)), "")</f>
        <v/>
      </c>
      <c r="AE69" s="51" t="str">
        <f>IF(XT!$P69&gt;0,AD69,"")</f>
        <v/>
      </c>
      <c r="AF69" s="51" t="str">
        <f>IF(XT!$P69=0,AD69,"")</f>
        <v/>
      </c>
      <c r="AG69">
        <f>SUMPRODUCT((MONTH(CHOOSE({1,2,3,4},XT!U69,XT!Y69,XT!AC69,XT!AG69))=9)*(CHOOSE({1,2,3,4},XT!X69,XT!AB69,XT!AF69,XT!AJ69)))</f>
        <v>0</v>
      </c>
      <c r="AH69" t="str">
        <f>IFERROR(INDEX(CHOOSE({1,2,3,4}, DAY(XT!U69), DAY(XT!Y69), DAY(XT!AC69), DAY(XT!AG69)), MATCH(1, INDEX(--(MONTH(CHOOSE({1,2,3,4}, XT!U69,XT!Y69,XT!AC69,XT!AG69))=9), 0), 0)), "")</f>
        <v/>
      </c>
      <c r="AI69" s="51" t="str">
        <f>IF(XT!$P69&gt;0,AH69,"")</f>
        <v/>
      </c>
      <c r="AJ69" s="51" t="str">
        <f>IF(XT!$P69=0,AH69,"")</f>
        <v/>
      </c>
      <c r="AK69">
        <f>SUMPRODUCT((MONTH(CHOOSE({1,2,3,4},XT!U69,XT!Y69,XT!AC69,XT!AG69))=10)*(CHOOSE({1,2,3,4},XT!X69,XT!AB69,XT!AF69,XT!AJ69)))</f>
        <v>0</v>
      </c>
      <c r="AL69" t="str">
        <f>IFERROR(INDEX(CHOOSE({1,2,3,4}, DAY(XT!U69), DAY(XT!Y69), DAY(XT!AC69), DAY(XT!AG69)), MATCH(1, INDEX(--(MONTH(CHOOSE({1,2,3,4}, XT!U69,XT!Y69,XT!AC69,XT!AG69))=10), 0), 0)), "")</f>
        <v/>
      </c>
      <c r="AM69" s="51" t="str">
        <f>IF(XT!$P69&gt;0,AL69,"")</f>
        <v/>
      </c>
      <c r="AN69" s="51" t="str">
        <f>IF(XT!$P69=0,AL69,"")</f>
        <v/>
      </c>
      <c r="AO69">
        <f>SUMPRODUCT((MONTH(CHOOSE({1,2,3,4},XT!U69,XT!Y69,XT!AC69,XT!AG69))=11)*(CHOOSE({1,2,3,4},XT!X69,XT!AB69,XT!AF69,XT!AJ69)))</f>
        <v>0</v>
      </c>
      <c r="AP69" t="str">
        <f>IFERROR(INDEX(CHOOSE({1,2,3,4}, DAY(XT!U69), DAY(XT!Y69), DAY(XT!AC69), DAY(XT!AG69)), MATCH(1, INDEX(--(MONTH(CHOOSE({1,2,3,4}, XT!U69,XT!Y69,XT!AC69,XT!AG69))=11), 0), 0)), "")</f>
        <v/>
      </c>
      <c r="AQ69" s="51" t="str">
        <f>IF(XT!$P69&gt;0,AP69,"")</f>
        <v/>
      </c>
      <c r="AR69" s="51" t="str">
        <f>IF(XT!$P69=0,AP69,"")</f>
        <v/>
      </c>
      <c r="AS69">
        <f>SUMPRODUCT((MONTH(CHOOSE({1,2,3,4},XT!U69,XT!Y69,XT!AC69,XT!AG69))=12)*(CHOOSE({1,2,3,4},XT!X69,XT!AB69,XT!AF69,XT!AJ69)))</f>
        <v>0</v>
      </c>
      <c r="AT69" t="str">
        <f>IFERROR(INDEX(CHOOSE({1,2,3,4}, DAY(XT!U69), DAY(XT!Y69), DAY(XT!AC69), DAY(XT!AG69)), MATCH(1, INDEX(--(MONTH(CHOOSE({1,2,3,4}, XT!U69,XT!Y69,XT!AC69,XT!AG69))=12), 0), 0)), "")</f>
        <v/>
      </c>
      <c r="AU69" s="51" t="str">
        <f>IF(XT!$P69&gt;0,AT69,"")</f>
        <v/>
      </c>
      <c r="AV69" s="51" t="str">
        <f>IF(XT!$P69=0,AT69,"")</f>
        <v/>
      </c>
    </row>
    <row r="70" spans="1:48">
      <c r="A70">
        <f>SUMPRODUCT((MONTH(CHOOSE({1,2,3,4},XT!U70,XT!Y70,XT!AC70,XT!AG70))=1)*(CHOOSE({1,2,3,4},XT!X70,XT!AB70,XT!AF70,XT!AJ70)))</f>
        <v>0</v>
      </c>
      <c r="B70">
        <f>IFERROR(INDEX(CHOOSE({1,2,3,4}, DAY(XT!U70), DAY(XT!Y70), DAY(XT!AC70), DAY(XT!AG70)), MATCH(1, INDEX(--(MONTH(CHOOSE({1,2,3,4}, XT!U70,XT!Y70,XT!AC70,XT!AG70))=1), 0), 0)), "")</f>
        <v>0</v>
      </c>
      <c r="C70" s="51" t="str">
        <f>IF(XT!$P70&gt;0,B70,"")</f>
        <v/>
      </c>
      <c r="D70" s="51">
        <f>IF(XT!$P70=0,B70,"")</f>
        <v>0</v>
      </c>
      <c r="E70">
        <f>SUMPRODUCT((MONTH(CHOOSE({1,2,3,4},XT!U70,XT!Y70,XT!AC70,XT!AG70))=2)*(CHOOSE({1,2,3,4},XT!X70,XT!AB70,XT!AF70,XT!AJ70)))</f>
        <v>0</v>
      </c>
      <c r="F70" t="str">
        <f>IFERROR(INDEX(CHOOSE({1,2,3,4}, DAY(XT!U70), DAY(XT!Y70), DAY(XT!AC70), DAY(XT!AG70)), MATCH(1, INDEX(--(MONTH(CHOOSE({1,2,3,4}, XT!U70,XT!Y70,XT!AC70,XT!AG70))=2), 0), 0)), "")</f>
        <v/>
      </c>
      <c r="G70" s="51" t="str">
        <f>IF(XT!$P70&gt;0,F70,"")</f>
        <v/>
      </c>
      <c r="H70" s="51" t="str">
        <f>IF(XT!$P70=0,F70,"")</f>
        <v/>
      </c>
      <c r="I70">
        <f>SUMPRODUCT((MONTH(CHOOSE({1,2,3,4},XT!U70,XT!Y70,XT!AC70,XT!AG70))=3)*(CHOOSE({1,2,3,4},XT!X70,XT!AB70,XT!AF70,XT!AJ70)))</f>
        <v>0</v>
      </c>
      <c r="J70" t="str">
        <f>IFERROR(INDEX(CHOOSE({1,2,3,4}, DAY(XT!U70), DAY(XT!Y70), DAY(XT!AC70), DAY(XT!AG70)), MATCH(1, INDEX(--(MONTH(CHOOSE({1,2,3,4}, XT!U70,XT!Y70,XT!AC70,XT!AG70))=3), 0), 0)), "")</f>
        <v/>
      </c>
      <c r="K70" s="51" t="str">
        <f>IF(XT!$P70&gt;0,J70,"")</f>
        <v/>
      </c>
      <c r="L70" s="51" t="str">
        <f>IF(XT!$P70=0,J70,"")</f>
        <v/>
      </c>
      <c r="M70">
        <f>SUMPRODUCT((MONTH(CHOOSE({1,2,3,4},XT!U70,XT!Y70,XT!AC70,XT!AG70))=4)*(CHOOSE({1,2,3,4},XT!X70,XT!AB70,XT!AF70,XT!AJ70)))</f>
        <v>0</v>
      </c>
      <c r="N70" t="str">
        <f>IFERROR(INDEX(CHOOSE({1,2,3,4}, DAY(XT!U70), DAY(XT!Y70), DAY(XT!AC70), DAY(XT!AG70)), MATCH(1, INDEX(--(MONTH(CHOOSE({1,2,3,4}, XT!U70,XT!Y70,XT!AC70,XT!AG70))=4), 0), 0)), "")</f>
        <v/>
      </c>
      <c r="O70" s="51" t="str">
        <f>IF(XT!$P70&gt;0,N70,"")</f>
        <v/>
      </c>
      <c r="P70" s="51" t="str">
        <f>IF(XT!$P70=0,N70,"")</f>
        <v/>
      </c>
      <c r="Q70">
        <f>SUMPRODUCT((MONTH(CHOOSE({1,2,3,4},XT!U70,XT!Y70,XT!AC70,XT!AG70))=5)*(CHOOSE({1,2,3,4},XT!X70,XT!AB70,XT!AF70,XT!AJ70)))</f>
        <v>0</v>
      </c>
      <c r="R70" t="str">
        <f>IFERROR(INDEX(CHOOSE({1,2,3,4}, DAY(XT!U70), DAY(XT!Y70), DAY(XT!AC70), DAY(XT!AG70)), MATCH(1, INDEX(--(MONTH(CHOOSE({1,2,3,4}, XT!U70,XT!Y70,XT!AC70,XT!AG70))=5), 0), 0)), "")</f>
        <v/>
      </c>
      <c r="S70" s="51" t="str">
        <f>IF(XT!$P70&gt;0,R70,"")</f>
        <v/>
      </c>
      <c r="T70" s="51" t="str">
        <f>IF(XT!$P70=0,R70,"")</f>
        <v/>
      </c>
      <c r="U70">
        <f>SUMPRODUCT((MONTH(CHOOSE({1,2,3,4},XT!U70,XT!Y70,XT!AC70,XT!AG70))=6)*(CHOOSE({1,2,3,4},XT!X70,XT!AB70,XT!AF70,XT!AJ70)))</f>
        <v>0</v>
      </c>
      <c r="V70" t="str">
        <f>IFERROR(INDEX(CHOOSE({1,2,3,4}, DAY(XT!U70), DAY(XT!Y70), DAY(XT!AC70), DAY(XT!AG70)), MATCH(1, INDEX(--(MONTH(CHOOSE({1,2,3,4}, XT!U70,XT!Y70,XT!AC70,XT!AG70))=6), 0), 0)), "")</f>
        <v/>
      </c>
      <c r="W70" s="51" t="str">
        <f>IF(XT!$P70&gt;0,V70,"")</f>
        <v/>
      </c>
      <c r="X70" s="51" t="str">
        <f>IF(XT!$P70=0,V70,"")</f>
        <v/>
      </c>
      <c r="Y70">
        <f>SUMPRODUCT((MONTH(CHOOSE({1,2,3,4},XT!U70,XT!Y70,XT!AC70,XT!AG70))=7)*(CHOOSE({1,2,3,4},XT!X70,XT!AB70,XT!AF70,XT!AJ70)))</f>
        <v>0</v>
      </c>
      <c r="Z70" t="str">
        <f>IFERROR(INDEX(CHOOSE({1,2,3,4}, DAY(XT!U70), DAY(XT!Y70), DAY(XT!AC70), DAY(XT!AG70)), MATCH(1, INDEX(--(MONTH(CHOOSE({1,2,3,4}, XT!U70,XT!Y70,XT!AC70,XT!AG70))=7), 0), 0)), "")</f>
        <v/>
      </c>
      <c r="AA70" s="51" t="str">
        <f>IF(XT!$P70&gt;0,Z70,"")</f>
        <v/>
      </c>
      <c r="AB70" s="51" t="str">
        <f>IF(XT!$P70=0,Z70,"")</f>
        <v/>
      </c>
      <c r="AC70">
        <f>SUMPRODUCT((MONTH(CHOOSE({1,2,3,4},XT!U70,XT!Y70,XT!AC70,XT!AG70))=8)*(CHOOSE({1,2,3,4},XT!X70,XT!AB70,XT!AF70,XT!AJ70)))</f>
        <v>0</v>
      </c>
      <c r="AD70" t="str">
        <f>IFERROR(INDEX(CHOOSE({1,2,3,4}, DAY(XT!U70), DAY(XT!Y70), DAY(XT!AC70), DAY(XT!AG70)), MATCH(1, INDEX(--(MONTH(CHOOSE({1,2,3,4}, XT!U70,XT!Y70,XT!AC70,XT!AG70))=8), 0), 0)), "")</f>
        <v/>
      </c>
      <c r="AE70" s="51" t="str">
        <f>IF(XT!$P70&gt;0,AD70,"")</f>
        <v/>
      </c>
      <c r="AF70" s="51" t="str">
        <f>IF(XT!$P70=0,AD70,"")</f>
        <v/>
      </c>
      <c r="AG70">
        <f>SUMPRODUCT((MONTH(CHOOSE({1,2,3,4},XT!U70,XT!Y70,XT!AC70,XT!AG70))=9)*(CHOOSE({1,2,3,4},XT!X70,XT!AB70,XT!AF70,XT!AJ70)))</f>
        <v>0</v>
      </c>
      <c r="AH70" t="str">
        <f>IFERROR(INDEX(CHOOSE({1,2,3,4}, DAY(XT!U70), DAY(XT!Y70), DAY(XT!AC70), DAY(XT!AG70)), MATCH(1, INDEX(--(MONTH(CHOOSE({1,2,3,4}, XT!U70,XT!Y70,XT!AC70,XT!AG70))=9), 0), 0)), "")</f>
        <v/>
      </c>
      <c r="AI70" s="51" t="str">
        <f>IF(XT!$P70&gt;0,AH70,"")</f>
        <v/>
      </c>
      <c r="AJ70" s="51" t="str">
        <f>IF(XT!$P70=0,AH70,"")</f>
        <v/>
      </c>
      <c r="AK70">
        <f>SUMPRODUCT((MONTH(CHOOSE({1,2,3,4},XT!U70,XT!Y70,XT!AC70,XT!AG70))=10)*(CHOOSE({1,2,3,4},XT!X70,XT!AB70,XT!AF70,XT!AJ70)))</f>
        <v>0</v>
      </c>
      <c r="AL70" t="str">
        <f>IFERROR(INDEX(CHOOSE({1,2,3,4}, DAY(XT!U70), DAY(XT!Y70), DAY(XT!AC70), DAY(XT!AG70)), MATCH(1, INDEX(--(MONTH(CHOOSE({1,2,3,4}, XT!U70,XT!Y70,XT!AC70,XT!AG70))=10), 0), 0)), "")</f>
        <v/>
      </c>
      <c r="AM70" s="51" t="str">
        <f>IF(XT!$P70&gt;0,AL70,"")</f>
        <v/>
      </c>
      <c r="AN70" s="51" t="str">
        <f>IF(XT!$P70=0,AL70,"")</f>
        <v/>
      </c>
      <c r="AO70">
        <f>SUMPRODUCT((MONTH(CHOOSE({1,2,3,4},XT!U70,XT!Y70,XT!AC70,XT!AG70))=11)*(CHOOSE({1,2,3,4},XT!X70,XT!AB70,XT!AF70,XT!AJ70)))</f>
        <v>0</v>
      </c>
      <c r="AP70" t="str">
        <f>IFERROR(INDEX(CHOOSE({1,2,3,4}, DAY(XT!U70), DAY(XT!Y70), DAY(XT!AC70), DAY(XT!AG70)), MATCH(1, INDEX(--(MONTH(CHOOSE({1,2,3,4}, XT!U70,XT!Y70,XT!AC70,XT!AG70))=11), 0), 0)), "")</f>
        <v/>
      </c>
      <c r="AQ70" s="51" t="str">
        <f>IF(XT!$P70&gt;0,AP70,"")</f>
        <v/>
      </c>
      <c r="AR70" s="51" t="str">
        <f>IF(XT!$P70=0,AP70,"")</f>
        <v/>
      </c>
      <c r="AS70">
        <f>SUMPRODUCT((MONTH(CHOOSE({1,2,3,4},XT!U70,XT!Y70,XT!AC70,XT!AG70))=12)*(CHOOSE({1,2,3,4},XT!X70,XT!AB70,XT!AF70,XT!AJ70)))</f>
        <v>0</v>
      </c>
      <c r="AT70" t="str">
        <f>IFERROR(INDEX(CHOOSE({1,2,3,4}, DAY(XT!U70), DAY(XT!Y70), DAY(XT!AC70), DAY(XT!AG70)), MATCH(1, INDEX(--(MONTH(CHOOSE({1,2,3,4}, XT!U70,XT!Y70,XT!AC70,XT!AG70))=12), 0), 0)), "")</f>
        <v/>
      </c>
      <c r="AU70" s="51" t="str">
        <f>IF(XT!$P70&gt;0,AT70,"")</f>
        <v/>
      </c>
      <c r="AV70" s="51" t="str">
        <f>IF(XT!$P70=0,AT70,"")</f>
        <v/>
      </c>
    </row>
    <row r="71" spans="1:48">
      <c r="A71">
        <f>SUMPRODUCT((MONTH(CHOOSE({1,2,3,4},XT!U71,XT!Y71,XT!AC71,XT!AG71))=1)*(CHOOSE({1,2,3,4},XT!X71,XT!AB71,XT!AF71,XT!AJ71)))</f>
        <v>0</v>
      </c>
      <c r="B71">
        <f>IFERROR(INDEX(CHOOSE({1,2,3,4}, DAY(XT!U71), DAY(XT!Y71), DAY(XT!AC71), DAY(XT!AG71)), MATCH(1, INDEX(--(MONTH(CHOOSE({1,2,3,4}, XT!U71,XT!Y71,XT!AC71,XT!AG71))=1), 0), 0)), "")</f>
        <v>0</v>
      </c>
      <c r="C71" s="51" t="str">
        <f>IF(XT!$P71&gt;0,B71,"")</f>
        <v/>
      </c>
      <c r="D71" s="51">
        <f>IF(XT!$P71=0,B71,"")</f>
        <v>0</v>
      </c>
      <c r="E71">
        <f>SUMPRODUCT((MONTH(CHOOSE({1,2,3,4},XT!U71,XT!Y71,XT!AC71,XT!AG71))=2)*(CHOOSE({1,2,3,4},XT!X71,XT!AB71,XT!AF71,XT!AJ71)))</f>
        <v>0</v>
      </c>
      <c r="F71" t="str">
        <f>IFERROR(INDEX(CHOOSE({1,2,3,4}, DAY(XT!U71), DAY(XT!Y71), DAY(XT!AC71), DAY(XT!AG71)), MATCH(1, INDEX(--(MONTH(CHOOSE({1,2,3,4}, XT!U71,XT!Y71,XT!AC71,XT!AG71))=2), 0), 0)), "")</f>
        <v/>
      </c>
      <c r="G71" s="51" t="str">
        <f>IF(XT!$P71&gt;0,F71,"")</f>
        <v/>
      </c>
      <c r="H71" s="51" t="str">
        <f>IF(XT!$P71=0,F71,"")</f>
        <v/>
      </c>
      <c r="I71">
        <f>SUMPRODUCT((MONTH(CHOOSE({1,2,3,4},XT!U71,XT!Y71,XT!AC71,XT!AG71))=3)*(CHOOSE({1,2,3,4},XT!X71,XT!AB71,XT!AF71,XT!AJ71)))</f>
        <v>0</v>
      </c>
      <c r="J71" t="str">
        <f>IFERROR(INDEX(CHOOSE({1,2,3,4}, DAY(XT!U71), DAY(XT!Y71), DAY(XT!AC71), DAY(XT!AG71)), MATCH(1, INDEX(--(MONTH(CHOOSE({1,2,3,4}, XT!U71,XT!Y71,XT!AC71,XT!AG71))=3), 0), 0)), "")</f>
        <v/>
      </c>
      <c r="K71" s="51" t="str">
        <f>IF(XT!$P71&gt;0,J71,"")</f>
        <v/>
      </c>
      <c r="L71" s="51" t="str">
        <f>IF(XT!$P71=0,J71,"")</f>
        <v/>
      </c>
      <c r="M71">
        <f>SUMPRODUCT((MONTH(CHOOSE({1,2,3,4},XT!U71,XT!Y71,XT!AC71,XT!AG71))=4)*(CHOOSE({1,2,3,4},XT!X71,XT!AB71,XT!AF71,XT!AJ71)))</f>
        <v>0</v>
      </c>
      <c r="N71" t="str">
        <f>IFERROR(INDEX(CHOOSE({1,2,3,4}, DAY(XT!U71), DAY(XT!Y71), DAY(XT!AC71), DAY(XT!AG71)), MATCH(1, INDEX(--(MONTH(CHOOSE({1,2,3,4}, XT!U71,XT!Y71,XT!AC71,XT!AG71))=4), 0), 0)), "")</f>
        <v/>
      </c>
      <c r="O71" s="51" t="str">
        <f>IF(XT!$P71&gt;0,N71,"")</f>
        <v/>
      </c>
      <c r="P71" s="51" t="str">
        <f>IF(XT!$P71=0,N71,"")</f>
        <v/>
      </c>
      <c r="Q71">
        <f>SUMPRODUCT((MONTH(CHOOSE({1,2,3,4},XT!U71,XT!Y71,XT!AC71,XT!AG71))=5)*(CHOOSE({1,2,3,4},XT!X71,XT!AB71,XT!AF71,XT!AJ71)))</f>
        <v>0</v>
      </c>
      <c r="R71" t="str">
        <f>IFERROR(INDEX(CHOOSE({1,2,3,4}, DAY(XT!U71), DAY(XT!Y71), DAY(XT!AC71), DAY(XT!AG71)), MATCH(1, INDEX(--(MONTH(CHOOSE({1,2,3,4}, XT!U71,XT!Y71,XT!AC71,XT!AG71))=5), 0), 0)), "")</f>
        <v/>
      </c>
      <c r="S71" s="51" t="str">
        <f>IF(XT!$P71&gt;0,R71,"")</f>
        <v/>
      </c>
      <c r="T71" s="51" t="str">
        <f>IF(XT!$P71=0,R71,"")</f>
        <v/>
      </c>
      <c r="U71">
        <f>SUMPRODUCT((MONTH(CHOOSE({1,2,3,4},XT!U71,XT!Y71,XT!AC71,XT!AG71))=6)*(CHOOSE({1,2,3,4},XT!X71,XT!AB71,XT!AF71,XT!AJ71)))</f>
        <v>0</v>
      </c>
      <c r="V71" t="str">
        <f>IFERROR(INDEX(CHOOSE({1,2,3,4}, DAY(XT!U71), DAY(XT!Y71), DAY(XT!AC71), DAY(XT!AG71)), MATCH(1, INDEX(--(MONTH(CHOOSE({1,2,3,4}, XT!U71,XT!Y71,XT!AC71,XT!AG71))=6), 0), 0)), "")</f>
        <v/>
      </c>
      <c r="W71" s="51" t="str">
        <f>IF(XT!$P71&gt;0,V71,"")</f>
        <v/>
      </c>
      <c r="X71" s="51" t="str">
        <f>IF(XT!$P71=0,V71,"")</f>
        <v/>
      </c>
      <c r="Y71">
        <f>SUMPRODUCT((MONTH(CHOOSE({1,2,3,4},XT!U71,XT!Y71,XT!AC71,XT!AG71))=7)*(CHOOSE({1,2,3,4},XT!X71,XT!AB71,XT!AF71,XT!AJ71)))</f>
        <v>0</v>
      </c>
      <c r="Z71" t="str">
        <f>IFERROR(INDEX(CHOOSE({1,2,3,4}, DAY(XT!U71), DAY(XT!Y71), DAY(XT!AC71), DAY(XT!AG71)), MATCH(1, INDEX(--(MONTH(CHOOSE({1,2,3,4}, XT!U71,XT!Y71,XT!AC71,XT!AG71))=7), 0), 0)), "")</f>
        <v/>
      </c>
      <c r="AA71" s="51" t="str">
        <f>IF(XT!$P71&gt;0,Z71,"")</f>
        <v/>
      </c>
      <c r="AB71" s="51" t="str">
        <f>IF(XT!$P71=0,Z71,"")</f>
        <v/>
      </c>
      <c r="AC71">
        <f>SUMPRODUCT((MONTH(CHOOSE({1,2,3,4},XT!U71,XT!Y71,XT!AC71,XT!AG71))=8)*(CHOOSE({1,2,3,4},XT!X71,XT!AB71,XT!AF71,XT!AJ71)))</f>
        <v>0</v>
      </c>
      <c r="AD71" t="str">
        <f>IFERROR(INDEX(CHOOSE({1,2,3,4}, DAY(XT!U71), DAY(XT!Y71), DAY(XT!AC71), DAY(XT!AG71)), MATCH(1, INDEX(--(MONTH(CHOOSE({1,2,3,4}, XT!U71,XT!Y71,XT!AC71,XT!AG71))=8), 0), 0)), "")</f>
        <v/>
      </c>
      <c r="AE71" s="51" t="str">
        <f>IF(XT!$P71&gt;0,AD71,"")</f>
        <v/>
      </c>
      <c r="AF71" s="51" t="str">
        <f>IF(XT!$P71=0,AD71,"")</f>
        <v/>
      </c>
      <c r="AG71">
        <f>SUMPRODUCT((MONTH(CHOOSE({1,2,3,4},XT!U71,XT!Y71,XT!AC71,XT!AG71))=9)*(CHOOSE({1,2,3,4},XT!X71,XT!AB71,XT!AF71,XT!AJ71)))</f>
        <v>0</v>
      </c>
      <c r="AH71" t="str">
        <f>IFERROR(INDEX(CHOOSE({1,2,3,4}, DAY(XT!U71), DAY(XT!Y71), DAY(XT!AC71), DAY(XT!AG71)), MATCH(1, INDEX(--(MONTH(CHOOSE({1,2,3,4}, XT!U71,XT!Y71,XT!AC71,XT!AG71))=9), 0), 0)), "")</f>
        <v/>
      </c>
      <c r="AI71" s="51" t="str">
        <f>IF(XT!$P71&gt;0,AH71,"")</f>
        <v/>
      </c>
      <c r="AJ71" s="51" t="str">
        <f>IF(XT!$P71=0,AH71,"")</f>
        <v/>
      </c>
      <c r="AK71">
        <f>SUMPRODUCT((MONTH(CHOOSE({1,2,3,4},XT!U71,XT!Y71,XT!AC71,XT!AG71))=10)*(CHOOSE({1,2,3,4},XT!X71,XT!AB71,XT!AF71,XT!AJ71)))</f>
        <v>0</v>
      </c>
      <c r="AL71" t="str">
        <f>IFERROR(INDEX(CHOOSE({1,2,3,4}, DAY(XT!U71), DAY(XT!Y71), DAY(XT!AC71), DAY(XT!AG71)), MATCH(1, INDEX(--(MONTH(CHOOSE({1,2,3,4}, XT!U71,XT!Y71,XT!AC71,XT!AG71))=10), 0), 0)), "")</f>
        <v/>
      </c>
      <c r="AM71" s="51" t="str">
        <f>IF(XT!$P71&gt;0,AL71,"")</f>
        <v/>
      </c>
      <c r="AN71" s="51" t="str">
        <f>IF(XT!$P71=0,AL71,"")</f>
        <v/>
      </c>
      <c r="AO71">
        <f>SUMPRODUCT((MONTH(CHOOSE({1,2,3,4},XT!U71,XT!Y71,XT!AC71,XT!AG71))=11)*(CHOOSE({1,2,3,4},XT!X71,XT!AB71,XT!AF71,XT!AJ71)))</f>
        <v>0</v>
      </c>
      <c r="AP71" t="str">
        <f>IFERROR(INDEX(CHOOSE({1,2,3,4}, DAY(XT!U71), DAY(XT!Y71), DAY(XT!AC71), DAY(XT!AG71)), MATCH(1, INDEX(--(MONTH(CHOOSE({1,2,3,4}, XT!U71,XT!Y71,XT!AC71,XT!AG71))=11), 0), 0)), "")</f>
        <v/>
      </c>
      <c r="AQ71" s="51" t="str">
        <f>IF(XT!$P71&gt;0,AP71,"")</f>
        <v/>
      </c>
      <c r="AR71" s="51" t="str">
        <f>IF(XT!$P71=0,AP71,"")</f>
        <v/>
      </c>
      <c r="AS71">
        <f>SUMPRODUCT((MONTH(CHOOSE({1,2,3,4},XT!U71,XT!Y71,XT!AC71,XT!AG71))=12)*(CHOOSE({1,2,3,4},XT!X71,XT!AB71,XT!AF71,XT!AJ71)))</f>
        <v>0</v>
      </c>
      <c r="AT71" t="str">
        <f>IFERROR(INDEX(CHOOSE({1,2,3,4}, DAY(XT!U71), DAY(XT!Y71), DAY(XT!AC71), DAY(XT!AG71)), MATCH(1, INDEX(--(MONTH(CHOOSE({1,2,3,4}, XT!U71,XT!Y71,XT!AC71,XT!AG71))=12), 0), 0)), "")</f>
        <v/>
      </c>
      <c r="AU71" s="51" t="str">
        <f>IF(XT!$P71&gt;0,AT71,"")</f>
        <v/>
      </c>
      <c r="AV71" s="51" t="str">
        <f>IF(XT!$P71=0,AT71,"")</f>
        <v/>
      </c>
    </row>
    <row r="72" spans="1:48">
      <c r="A72">
        <f>SUMPRODUCT((MONTH(CHOOSE({1,2,3,4},XT!U72,XT!Y72,XT!AC72,XT!AG72))=1)*(CHOOSE({1,2,3,4},XT!X72,XT!AB72,XT!AF72,XT!AJ72)))</f>
        <v>0</v>
      </c>
      <c r="B72">
        <f>IFERROR(INDEX(CHOOSE({1,2,3,4}, DAY(XT!U72), DAY(XT!Y72), DAY(XT!AC72), DAY(XT!AG72)), MATCH(1, INDEX(--(MONTH(CHOOSE({1,2,3,4}, XT!U72,XT!Y72,XT!AC72,XT!AG72))=1), 0), 0)), "")</f>
        <v>0</v>
      </c>
      <c r="C72" s="51" t="str">
        <f>IF(XT!$P72&gt;0,B72,"")</f>
        <v/>
      </c>
      <c r="D72" s="51">
        <f>IF(XT!$P72=0,B72,"")</f>
        <v>0</v>
      </c>
      <c r="E72">
        <f>SUMPRODUCT((MONTH(CHOOSE({1,2,3,4},XT!U72,XT!Y72,XT!AC72,XT!AG72))=2)*(CHOOSE({1,2,3,4},XT!X72,XT!AB72,XT!AF72,XT!AJ72)))</f>
        <v>0</v>
      </c>
      <c r="F72" t="str">
        <f>IFERROR(INDEX(CHOOSE({1,2,3,4}, DAY(XT!U72), DAY(XT!Y72), DAY(XT!AC72), DAY(XT!AG72)), MATCH(1, INDEX(--(MONTH(CHOOSE({1,2,3,4}, XT!U72,XT!Y72,XT!AC72,XT!AG72))=2), 0), 0)), "")</f>
        <v/>
      </c>
      <c r="G72" s="51" t="str">
        <f>IF(XT!$P72&gt;0,F72,"")</f>
        <v/>
      </c>
      <c r="H72" s="51" t="str">
        <f>IF(XT!$P72=0,F72,"")</f>
        <v/>
      </c>
      <c r="I72">
        <f>SUMPRODUCT((MONTH(CHOOSE({1,2,3,4},XT!U72,XT!Y72,XT!AC72,XT!AG72))=3)*(CHOOSE({1,2,3,4},XT!X72,XT!AB72,XT!AF72,XT!AJ72)))</f>
        <v>0</v>
      </c>
      <c r="J72" t="str">
        <f>IFERROR(INDEX(CHOOSE({1,2,3,4}, DAY(XT!U72), DAY(XT!Y72), DAY(XT!AC72), DAY(XT!AG72)), MATCH(1, INDEX(--(MONTH(CHOOSE({1,2,3,4}, XT!U72,XT!Y72,XT!AC72,XT!AG72))=3), 0), 0)), "")</f>
        <v/>
      </c>
      <c r="K72" s="51" t="str">
        <f>IF(XT!$P72&gt;0,J72,"")</f>
        <v/>
      </c>
      <c r="L72" s="51" t="str">
        <f>IF(XT!$P72=0,J72,"")</f>
        <v/>
      </c>
      <c r="M72">
        <f>SUMPRODUCT((MONTH(CHOOSE({1,2,3,4},XT!U72,XT!Y72,XT!AC72,XT!AG72))=4)*(CHOOSE({1,2,3,4},XT!X72,XT!AB72,XT!AF72,XT!AJ72)))</f>
        <v>0</v>
      </c>
      <c r="N72" t="str">
        <f>IFERROR(INDEX(CHOOSE({1,2,3,4}, DAY(XT!U72), DAY(XT!Y72), DAY(XT!AC72), DAY(XT!AG72)), MATCH(1, INDEX(--(MONTH(CHOOSE({1,2,3,4}, XT!U72,XT!Y72,XT!AC72,XT!AG72))=4), 0), 0)), "")</f>
        <v/>
      </c>
      <c r="O72" s="51" t="str">
        <f>IF(XT!$P72&gt;0,N72,"")</f>
        <v/>
      </c>
      <c r="P72" s="51" t="str">
        <f>IF(XT!$P72=0,N72,"")</f>
        <v/>
      </c>
      <c r="Q72">
        <f>SUMPRODUCT((MONTH(CHOOSE({1,2,3,4},XT!U72,XT!Y72,XT!AC72,XT!AG72))=5)*(CHOOSE({1,2,3,4},XT!X72,XT!AB72,XT!AF72,XT!AJ72)))</f>
        <v>0</v>
      </c>
      <c r="R72" t="str">
        <f>IFERROR(INDEX(CHOOSE({1,2,3,4}, DAY(XT!U72), DAY(XT!Y72), DAY(XT!AC72), DAY(XT!AG72)), MATCH(1, INDEX(--(MONTH(CHOOSE({1,2,3,4}, XT!U72,XT!Y72,XT!AC72,XT!AG72))=5), 0), 0)), "")</f>
        <v/>
      </c>
      <c r="S72" s="51" t="str">
        <f>IF(XT!$P72&gt;0,R72,"")</f>
        <v/>
      </c>
      <c r="T72" s="51" t="str">
        <f>IF(XT!$P72=0,R72,"")</f>
        <v/>
      </c>
      <c r="U72">
        <f>SUMPRODUCT((MONTH(CHOOSE({1,2,3,4},XT!U72,XT!Y72,XT!AC72,XT!AG72))=6)*(CHOOSE({1,2,3,4},XT!X72,XT!AB72,XT!AF72,XT!AJ72)))</f>
        <v>0</v>
      </c>
      <c r="V72" t="str">
        <f>IFERROR(INDEX(CHOOSE({1,2,3,4}, DAY(XT!U72), DAY(XT!Y72), DAY(XT!AC72), DAY(XT!AG72)), MATCH(1, INDEX(--(MONTH(CHOOSE({1,2,3,4}, XT!U72,XT!Y72,XT!AC72,XT!AG72))=6), 0), 0)), "")</f>
        <v/>
      </c>
      <c r="W72" s="51" t="str">
        <f>IF(XT!$P72&gt;0,V72,"")</f>
        <v/>
      </c>
      <c r="X72" s="51" t="str">
        <f>IF(XT!$P72=0,V72,"")</f>
        <v/>
      </c>
      <c r="Y72">
        <f>SUMPRODUCT((MONTH(CHOOSE({1,2,3,4},XT!U72,XT!Y72,XT!AC72,XT!AG72))=7)*(CHOOSE({1,2,3,4},XT!X72,XT!AB72,XT!AF72,XT!AJ72)))</f>
        <v>0</v>
      </c>
      <c r="Z72" t="str">
        <f>IFERROR(INDEX(CHOOSE({1,2,3,4}, DAY(XT!U72), DAY(XT!Y72), DAY(XT!AC72), DAY(XT!AG72)), MATCH(1, INDEX(--(MONTH(CHOOSE({1,2,3,4}, XT!U72,XT!Y72,XT!AC72,XT!AG72))=7), 0), 0)), "")</f>
        <v/>
      </c>
      <c r="AA72" s="51" t="str">
        <f>IF(XT!$P72&gt;0,Z72,"")</f>
        <v/>
      </c>
      <c r="AB72" s="51" t="str">
        <f>IF(XT!$P72=0,Z72,"")</f>
        <v/>
      </c>
      <c r="AC72">
        <f>SUMPRODUCT((MONTH(CHOOSE({1,2,3,4},XT!U72,XT!Y72,XT!AC72,XT!AG72))=8)*(CHOOSE({1,2,3,4},XT!X72,XT!AB72,XT!AF72,XT!AJ72)))</f>
        <v>0</v>
      </c>
      <c r="AD72" t="str">
        <f>IFERROR(INDEX(CHOOSE({1,2,3,4}, DAY(XT!U72), DAY(XT!Y72), DAY(XT!AC72), DAY(XT!AG72)), MATCH(1, INDEX(--(MONTH(CHOOSE({1,2,3,4}, XT!U72,XT!Y72,XT!AC72,XT!AG72))=8), 0), 0)), "")</f>
        <v/>
      </c>
      <c r="AE72" s="51" t="str">
        <f>IF(XT!$P72&gt;0,AD72,"")</f>
        <v/>
      </c>
      <c r="AF72" s="51" t="str">
        <f>IF(XT!$P72=0,AD72,"")</f>
        <v/>
      </c>
      <c r="AG72">
        <f>SUMPRODUCT((MONTH(CHOOSE({1,2,3,4},XT!U72,XT!Y72,XT!AC72,XT!AG72))=9)*(CHOOSE({1,2,3,4},XT!X72,XT!AB72,XT!AF72,XT!AJ72)))</f>
        <v>0</v>
      </c>
      <c r="AH72" t="str">
        <f>IFERROR(INDEX(CHOOSE({1,2,3,4}, DAY(XT!U72), DAY(XT!Y72), DAY(XT!AC72), DAY(XT!AG72)), MATCH(1, INDEX(--(MONTH(CHOOSE({1,2,3,4}, XT!U72,XT!Y72,XT!AC72,XT!AG72))=9), 0), 0)), "")</f>
        <v/>
      </c>
      <c r="AI72" s="51" t="str">
        <f>IF(XT!$P72&gt;0,AH72,"")</f>
        <v/>
      </c>
      <c r="AJ72" s="51" t="str">
        <f>IF(XT!$P72=0,AH72,"")</f>
        <v/>
      </c>
      <c r="AK72">
        <f>SUMPRODUCT((MONTH(CHOOSE({1,2,3,4},XT!U72,XT!Y72,XT!AC72,XT!AG72))=10)*(CHOOSE({1,2,3,4},XT!X72,XT!AB72,XT!AF72,XT!AJ72)))</f>
        <v>0</v>
      </c>
      <c r="AL72" t="str">
        <f>IFERROR(INDEX(CHOOSE({1,2,3,4}, DAY(XT!U72), DAY(XT!Y72), DAY(XT!AC72), DAY(XT!AG72)), MATCH(1, INDEX(--(MONTH(CHOOSE({1,2,3,4}, XT!U72,XT!Y72,XT!AC72,XT!AG72))=10), 0), 0)), "")</f>
        <v/>
      </c>
      <c r="AM72" s="51" t="str">
        <f>IF(XT!$P72&gt;0,AL72,"")</f>
        <v/>
      </c>
      <c r="AN72" s="51" t="str">
        <f>IF(XT!$P72=0,AL72,"")</f>
        <v/>
      </c>
      <c r="AO72">
        <f>SUMPRODUCT((MONTH(CHOOSE({1,2,3,4},XT!U72,XT!Y72,XT!AC72,XT!AG72))=11)*(CHOOSE({1,2,3,4},XT!X72,XT!AB72,XT!AF72,XT!AJ72)))</f>
        <v>0</v>
      </c>
      <c r="AP72" t="str">
        <f>IFERROR(INDEX(CHOOSE({1,2,3,4}, DAY(XT!U72), DAY(XT!Y72), DAY(XT!AC72), DAY(XT!AG72)), MATCH(1, INDEX(--(MONTH(CHOOSE({1,2,3,4}, XT!U72,XT!Y72,XT!AC72,XT!AG72))=11), 0), 0)), "")</f>
        <v/>
      </c>
      <c r="AQ72" s="51" t="str">
        <f>IF(XT!$P72&gt;0,AP72,"")</f>
        <v/>
      </c>
      <c r="AR72" s="51" t="str">
        <f>IF(XT!$P72=0,AP72,"")</f>
        <v/>
      </c>
      <c r="AS72">
        <f>SUMPRODUCT((MONTH(CHOOSE({1,2,3,4},XT!U72,XT!Y72,XT!AC72,XT!AG72))=12)*(CHOOSE({1,2,3,4},XT!X72,XT!AB72,XT!AF72,XT!AJ72)))</f>
        <v>0</v>
      </c>
      <c r="AT72" t="str">
        <f>IFERROR(INDEX(CHOOSE({1,2,3,4}, DAY(XT!U72), DAY(XT!Y72), DAY(XT!AC72), DAY(XT!AG72)), MATCH(1, INDEX(--(MONTH(CHOOSE({1,2,3,4}, XT!U72,XT!Y72,XT!AC72,XT!AG72))=12), 0), 0)), "")</f>
        <v/>
      </c>
      <c r="AU72" s="51" t="str">
        <f>IF(XT!$P72&gt;0,AT72,"")</f>
        <v/>
      </c>
      <c r="AV72" s="51" t="str">
        <f>IF(XT!$P72=0,AT72,"")</f>
        <v/>
      </c>
    </row>
    <row r="73" spans="1:48">
      <c r="A73">
        <f>SUMPRODUCT((MONTH(CHOOSE({1,2,3,4},XT!U73,XT!Y73,XT!AC73,XT!AG73))=1)*(CHOOSE({1,2,3,4},XT!X73,XT!AB73,XT!AF73,XT!AJ73)))</f>
        <v>0</v>
      </c>
      <c r="B73">
        <f>IFERROR(INDEX(CHOOSE({1,2,3,4}, DAY(XT!U73), DAY(XT!Y73), DAY(XT!AC73), DAY(XT!AG73)), MATCH(1, INDEX(--(MONTH(CHOOSE({1,2,3,4}, XT!U73,XT!Y73,XT!AC73,XT!AG73))=1), 0), 0)), "")</f>
        <v>0</v>
      </c>
      <c r="C73" s="51" t="str">
        <f>IF(XT!$P73&gt;0,B73,"")</f>
        <v/>
      </c>
      <c r="D73" s="51">
        <f>IF(XT!$P73=0,B73,"")</f>
        <v>0</v>
      </c>
      <c r="E73">
        <f>SUMPRODUCT((MONTH(CHOOSE({1,2,3,4},XT!U73,XT!Y73,XT!AC73,XT!AG73))=2)*(CHOOSE({1,2,3,4},XT!X73,XT!AB73,XT!AF73,XT!AJ73)))</f>
        <v>0</v>
      </c>
      <c r="F73" t="str">
        <f>IFERROR(INDEX(CHOOSE({1,2,3,4}, DAY(XT!U73), DAY(XT!Y73), DAY(XT!AC73), DAY(XT!AG73)), MATCH(1, INDEX(--(MONTH(CHOOSE({1,2,3,4}, XT!U73,XT!Y73,XT!AC73,XT!AG73))=2), 0), 0)), "")</f>
        <v/>
      </c>
      <c r="G73" s="51" t="str">
        <f>IF(XT!$P73&gt;0,F73,"")</f>
        <v/>
      </c>
      <c r="H73" s="51" t="str">
        <f>IF(XT!$P73=0,F73,"")</f>
        <v/>
      </c>
      <c r="I73">
        <f>SUMPRODUCT((MONTH(CHOOSE({1,2,3,4},XT!U73,XT!Y73,XT!AC73,XT!AG73))=3)*(CHOOSE({1,2,3,4},XT!X73,XT!AB73,XT!AF73,XT!AJ73)))</f>
        <v>0</v>
      </c>
      <c r="J73" t="str">
        <f>IFERROR(INDEX(CHOOSE({1,2,3,4}, DAY(XT!U73), DAY(XT!Y73), DAY(XT!AC73), DAY(XT!AG73)), MATCH(1, INDEX(--(MONTH(CHOOSE({1,2,3,4}, XT!U73,XT!Y73,XT!AC73,XT!AG73))=3), 0), 0)), "")</f>
        <v/>
      </c>
      <c r="K73" s="51" t="str">
        <f>IF(XT!$P73&gt;0,J73,"")</f>
        <v/>
      </c>
      <c r="L73" s="51" t="str">
        <f>IF(XT!$P73=0,J73,"")</f>
        <v/>
      </c>
      <c r="M73">
        <f>SUMPRODUCT((MONTH(CHOOSE({1,2,3,4},XT!U73,XT!Y73,XT!AC73,XT!AG73))=4)*(CHOOSE({1,2,3,4},XT!X73,XT!AB73,XT!AF73,XT!AJ73)))</f>
        <v>0</v>
      </c>
      <c r="N73" t="str">
        <f>IFERROR(INDEX(CHOOSE({1,2,3,4}, DAY(XT!U73), DAY(XT!Y73), DAY(XT!AC73), DAY(XT!AG73)), MATCH(1, INDEX(--(MONTH(CHOOSE({1,2,3,4}, XT!U73,XT!Y73,XT!AC73,XT!AG73))=4), 0), 0)), "")</f>
        <v/>
      </c>
      <c r="O73" s="51" t="str">
        <f>IF(XT!$P73&gt;0,N73,"")</f>
        <v/>
      </c>
      <c r="P73" s="51" t="str">
        <f>IF(XT!$P73=0,N73,"")</f>
        <v/>
      </c>
      <c r="Q73">
        <f>SUMPRODUCT((MONTH(CHOOSE({1,2,3,4},XT!U73,XT!Y73,XT!AC73,XT!AG73))=5)*(CHOOSE({1,2,3,4},XT!X73,XT!AB73,XT!AF73,XT!AJ73)))</f>
        <v>0</v>
      </c>
      <c r="R73" t="str">
        <f>IFERROR(INDEX(CHOOSE({1,2,3,4}, DAY(XT!U73), DAY(XT!Y73), DAY(XT!AC73), DAY(XT!AG73)), MATCH(1, INDEX(--(MONTH(CHOOSE({1,2,3,4}, XT!U73,XT!Y73,XT!AC73,XT!AG73))=5), 0), 0)), "")</f>
        <v/>
      </c>
      <c r="S73" s="51" t="str">
        <f>IF(XT!$P73&gt;0,R73,"")</f>
        <v/>
      </c>
      <c r="T73" s="51" t="str">
        <f>IF(XT!$P73=0,R73,"")</f>
        <v/>
      </c>
      <c r="U73">
        <f>SUMPRODUCT((MONTH(CHOOSE({1,2,3,4},XT!U73,XT!Y73,XT!AC73,XT!AG73))=6)*(CHOOSE({1,2,3,4},XT!X73,XT!AB73,XT!AF73,XT!AJ73)))</f>
        <v>0</v>
      </c>
      <c r="V73" t="str">
        <f>IFERROR(INDEX(CHOOSE({1,2,3,4}, DAY(XT!U73), DAY(XT!Y73), DAY(XT!AC73), DAY(XT!AG73)), MATCH(1, INDEX(--(MONTH(CHOOSE({1,2,3,4}, XT!U73,XT!Y73,XT!AC73,XT!AG73))=6), 0), 0)), "")</f>
        <v/>
      </c>
      <c r="W73" s="51" t="str">
        <f>IF(XT!$P73&gt;0,V73,"")</f>
        <v/>
      </c>
      <c r="X73" s="51" t="str">
        <f>IF(XT!$P73=0,V73,"")</f>
        <v/>
      </c>
      <c r="Y73">
        <f>SUMPRODUCT((MONTH(CHOOSE({1,2,3,4},XT!U73,XT!Y73,XT!AC73,XT!AG73))=7)*(CHOOSE({1,2,3,4},XT!X73,XT!AB73,XT!AF73,XT!AJ73)))</f>
        <v>0</v>
      </c>
      <c r="Z73" t="str">
        <f>IFERROR(INDEX(CHOOSE({1,2,3,4}, DAY(XT!U73), DAY(XT!Y73), DAY(XT!AC73), DAY(XT!AG73)), MATCH(1, INDEX(--(MONTH(CHOOSE({1,2,3,4}, XT!U73,XT!Y73,XT!AC73,XT!AG73))=7), 0), 0)), "")</f>
        <v/>
      </c>
      <c r="AA73" s="51" t="str">
        <f>IF(XT!$P73&gt;0,Z73,"")</f>
        <v/>
      </c>
      <c r="AB73" s="51" t="str">
        <f>IF(XT!$P73=0,Z73,"")</f>
        <v/>
      </c>
      <c r="AC73">
        <f>SUMPRODUCT((MONTH(CHOOSE({1,2,3,4},XT!U73,XT!Y73,XT!AC73,XT!AG73))=8)*(CHOOSE({1,2,3,4},XT!X73,XT!AB73,XT!AF73,XT!AJ73)))</f>
        <v>0</v>
      </c>
      <c r="AD73" t="str">
        <f>IFERROR(INDEX(CHOOSE({1,2,3,4}, DAY(XT!U73), DAY(XT!Y73), DAY(XT!AC73), DAY(XT!AG73)), MATCH(1, INDEX(--(MONTH(CHOOSE({1,2,3,4}, XT!U73,XT!Y73,XT!AC73,XT!AG73))=8), 0), 0)), "")</f>
        <v/>
      </c>
      <c r="AE73" s="51" t="str">
        <f>IF(XT!$P73&gt;0,AD73,"")</f>
        <v/>
      </c>
      <c r="AF73" s="51" t="str">
        <f>IF(XT!$P73=0,AD73,"")</f>
        <v/>
      </c>
      <c r="AG73">
        <f>SUMPRODUCT((MONTH(CHOOSE({1,2,3,4},XT!U73,XT!Y73,XT!AC73,XT!AG73))=9)*(CHOOSE({1,2,3,4},XT!X73,XT!AB73,XT!AF73,XT!AJ73)))</f>
        <v>0</v>
      </c>
      <c r="AH73" t="str">
        <f>IFERROR(INDEX(CHOOSE({1,2,3,4}, DAY(XT!U73), DAY(XT!Y73), DAY(XT!AC73), DAY(XT!AG73)), MATCH(1, INDEX(--(MONTH(CHOOSE({1,2,3,4}, XT!U73,XT!Y73,XT!AC73,XT!AG73))=9), 0), 0)), "")</f>
        <v/>
      </c>
      <c r="AI73" s="51" t="str">
        <f>IF(XT!$P73&gt;0,AH73,"")</f>
        <v/>
      </c>
      <c r="AJ73" s="51" t="str">
        <f>IF(XT!$P73=0,AH73,"")</f>
        <v/>
      </c>
      <c r="AK73">
        <f>SUMPRODUCT((MONTH(CHOOSE({1,2,3,4},XT!U73,XT!Y73,XT!AC73,XT!AG73))=10)*(CHOOSE({1,2,3,4},XT!X73,XT!AB73,XT!AF73,XT!AJ73)))</f>
        <v>0</v>
      </c>
      <c r="AL73" t="str">
        <f>IFERROR(INDEX(CHOOSE({1,2,3,4}, DAY(XT!U73), DAY(XT!Y73), DAY(XT!AC73), DAY(XT!AG73)), MATCH(1, INDEX(--(MONTH(CHOOSE({1,2,3,4}, XT!U73,XT!Y73,XT!AC73,XT!AG73))=10), 0), 0)), "")</f>
        <v/>
      </c>
      <c r="AM73" s="51" t="str">
        <f>IF(XT!$P73&gt;0,AL73,"")</f>
        <v/>
      </c>
      <c r="AN73" s="51" t="str">
        <f>IF(XT!$P73=0,AL73,"")</f>
        <v/>
      </c>
      <c r="AO73">
        <f>SUMPRODUCT((MONTH(CHOOSE({1,2,3,4},XT!U73,XT!Y73,XT!AC73,XT!AG73))=11)*(CHOOSE({1,2,3,4},XT!X73,XT!AB73,XT!AF73,XT!AJ73)))</f>
        <v>0</v>
      </c>
      <c r="AP73" t="str">
        <f>IFERROR(INDEX(CHOOSE({1,2,3,4}, DAY(XT!U73), DAY(XT!Y73), DAY(XT!AC73), DAY(XT!AG73)), MATCH(1, INDEX(--(MONTH(CHOOSE({1,2,3,4}, XT!U73,XT!Y73,XT!AC73,XT!AG73))=11), 0), 0)), "")</f>
        <v/>
      </c>
      <c r="AQ73" s="51" t="str">
        <f>IF(XT!$P73&gt;0,AP73,"")</f>
        <v/>
      </c>
      <c r="AR73" s="51" t="str">
        <f>IF(XT!$P73=0,AP73,"")</f>
        <v/>
      </c>
      <c r="AS73">
        <f>SUMPRODUCT((MONTH(CHOOSE({1,2,3,4},XT!U73,XT!Y73,XT!AC73,XT!AG73))=12)*(CHOOSE({1,2,3,4},XT!X73,XT!AB73,XT!AF73,XT!AJ73)))</f>
        <v>0</v>
      </c>
      <c r="AT73" t="str">
        <f>IFERROR(INDEX(CHOOSE({1,2,3,4}, DAY(XT!U73), DAY(XT!Y73), DAY(XT!AC73), DAY(XT!AG73)), MATCH(1, INDEX(--(MONTH(CHOOSE({1,2,3,4}, XT!U73,XT!Y73,XT!AC73,XT!AG73))=12), 0), 0)), "")</f>
        <v/>
      </c>
      <c r="AU73" s="51" t="str">
        <f>IF(XT!$P73&gt;0,AT73,"")</f>
        <v/>
      </c>
      <c r="AV73" s="51" t="str">
        <f>IF(XT!$P73=0,AT73,"")</f>
        <v/>
      </c>
    </row>
    <row r="74" spans="1:48">
      <c r="A74">
        <f>SUMPRODUCT((MONTH(CHOOSE({1,2,3,4},XT!U74,XT!Y74,XT!AC74,XT!AG74))=1)*(CHOOSE({1,2,3,4},XT!X74,XT!AB74,XT!AF74,XT!AJ74)))</f>
        <v>0</v>
      </c>
      <c r="B74">
        <f>IFERROR(INDEX(CHOOSE({1,2,3,4}, DAY(XT!U74), DAY(XT!Y74), DAY(XT!AC74), DAY(XT!AG74)), MATCH(1, INDEX(--(MONTH(CHOOSE({1,2,3,4}, XT!U74,XT!Y74,XT!AC74,XT!AG74))=1), 0), 0)), "")</f>
        <v>0</v>
      </c>
      <c r="C74" s="51" t="str">
        <f>IF(XT!$P74&gt;0,B74,"")</f>
        <v/>
      </c>
      <c r="D74" s="51">
        <f>IF(XT!$P74=0,B74,"")</f>
        <v>0</v>
      </c>
      <c r="E74">
        <f>SUMPRODUCT((MONTH(CHOOSE({1,2,3,4},XT!U74,XT!Y74,XT!AC74,XT!AG74))=2)*(CHOOSE({1,2,3,4},XT!X74,XT!AB74,XT!AF74,XT!AJ74)))</f>
        <v>0</v>
      </c>
      <c r="F74" t="str">
        <f>IFERROR(INDEX(CHOOSE({1,2,3,4}, DAY(XT!U74), DAY(XT!Y74), DAY(XT!AC74), DAY(XT!AG74)), MATCH(1, INDEX(--(MONTH(CHOOSE({1,2,3,4}, XT!U74,XT!Y74,XT!AC74,XT!AG74))=2), 0), 0)), "")</f>
        <v/>
      </c>
      <c r="G74" s="51" t="str">
        <f>IF(XT!$P74&gt;0,F74,"")</f>
        <v/>
      </c>
      <c r="H74" s="51" t="str">
        <f>IF(XT!$P74=0,F74,"")</f>
        <v/>
      </c>
      <c r="I74">
        <f>SUMPRODUCT((MONTH(CHOOSE({1,2,3,4},XT!U74,XT!Y74,XT!AC74,XT!AG74))=3)*(CHOOSE({1,2,3,4},XT!X74,XT!AB74,XT!AF74,XT!AJ74)))</f>
        <v>0</v>
      </c>
      <c r="J74" t="str">
        <f>IFERROR(INDEX(CHOOSE({1,2,3,4}, DAY(XT!U74), DAY(XT!Y74), DAY(XT!AC74), DAY(XT!AG74)), MATCH(1, INDEX(--(MONTH(CHOOSE({1,2,3,4}, XT!U74,XT!Y74,XT!AC74,XT!AG74))=3), 0), 0)), "")</f>
        <v/>
      </c>
      <c r="K74" s="51" t="str">
        <f>IF(XT!$P74&gt;0,J74,"")</f>
        <v/>
      </c>
      <c r="L74" s="51" t="str">
        <f>IF(XT!$P74=0,J74,"")</f>
        <v/>
      </c>
      <c r="M74">
        <f>SUMPRODUCT((MONTH(CHOOSE({1,2,3,4},XT!U74,XT!Y74,XT!AC74,XT!AG74))=4)*(CHOOSE({1,2,3,4},XT!X74,XT!AB74,XT!AF74,XT!AJ74)))</f>
        <v>0</v>
      </c>
      <c r="N74" t="str">
        <f>IFERROR(INDEX(CHOOSE({1,2,3,4}, DAY(XT!U74), DAY(XT!Y74), DAY(XT!AC74), DAY(XT!AG74)), MATCH(1, INDEX(--(MONTH(CHOOSE({1,2,3,4}, XT!U74,XT!Y74,XT!AC74,XT!AG74))=4), 0), 0)), "")</f>
        <v/>
      </c>
      <c r="O74" s="51" t="str">
        <f>IF(XT!$P74&gt;0,N74,"")</f>
        <v/>
      </c>
      <c r="P74" s="51" t="str">
        <f>IF(XT!$P74=0,N74,"")</f>
        <v/>
      </c>
      <c r="Q74">
        <f>SUMPRODUCT((MONTH(CHOOSE({1,2,3,4},XT!U74,XT!Y74,XT!AC74,XT!AG74))=5)*(CHOOSE({1,2,3,4},XT!X74,XT!AB74,XT!AF74,XT!AJ74)))</f>
        <v>0</v>
      </c>
      <c r="R74" t="str">
        <f>IFERROR(INDEX(CHOOSE({1,2,3,4}, DAY(XT!U74), DAY(XT!Y74), DAY(XT!AC74), DAY(XT!AG74)), MATCH(1, INDEX(--(MONTH(CHOOSE({1,2,3,4}, XT!U74,XT!Y74,XT!AC74,XT!AG74))=5), 0), 0)), "")</f>
        <v/>
      </c>
      <c r="S74" s="51" t="str">
        <f>IF(XT!$P74&gt;0,R74,"")</f>
        <v/>
      </c>
      <c r="T74" s="51" t="str">
        <f>IF(XT!$P74=0,R74,"")</f>
        <v/>
      </c>
      <c r="U74">
        <f>SUMPRODUCT((MONTH(CHOOSE({1,2,3,4},XT!U74,XT!Y74,XT!AC74,XT!AG74))=6)*(CHOOSE({1,2,3,4},XT!X74,XT!AB74,XT!AF74,XT!AJ74)))</f>
        <v>0</v>
      </c>
      <c r="V74" t="str">
        <f>IFERROR(INDEX(CHOOSE({1,2,3,4}, DAY(XT!U74), DAY(XT!Y74), DAY(XT!AC74), DAY(XT!AG74)), MATCH(1, INDEX(--(MONTH(CHOOSE({1,2,3,4}, XT!U74,XT!Y74,XT!AC74,XT!AG74))=6), 0), 0)), "")</f>
        <v/>
      </c>
      <c r="W74" s="51" t="str">
        <f>IF(XT!$P74&gt;0,V74,"")</f>
        <v/>
      </c>
      <c r="X74" s="51" t="str">
        <f>IF(XT!$P74=0,V74,"")</f>
        <v/>
      </c>
      <c r="Y74">
        <f>SUMPRODUCT((MONTH(CHOOSE({1,2,3,4},XT!U74,XT!Y74,XT!AC74,XT!AG74))=7)*(CHOOSE({1,2,3,4},XT!X74,XT!AB74,XT!AF74,XT!AJ74)))</f>
        <v>0</v>
      </c>
      <c r="Z74" t="str">
        <f>IFERROR(INDEX(CHOOSE({1,2,3,4}, DAY(XT!U74), DAY(XT!Y74), DAY(XT!AC74), DAY(XT!AG74)), MATCH(1, INDEX(--(MONTH(CHOOSE({1,2,3,4}, XT!U74,XT!Y74,XT!AC74,XT!AG74))=7), 0), 0)), "")</f>
        <v/>
      </c>
      <c r="AA74" s="51" t="str">
        <f>IF(XT!$P74&gt;0,Z74,"")</f>
        <v/>
      </c>
      <c r="AB74" s="51" t="str">
        <f>IF(XT!$P74=0,Z74,"")</f>
        <v/>
      </c>
      <c r="AC74">
        <f>SUMPRODUCT((MONTH(CHOOSE({1,2,3,4},XT!U74,XT!Y74,XT!AC74,XT!AG74))=8)*(CHOOSE({1,2,3,4},XT!X74,XT!AB74,XT!AF74,XT!AJ74)))</f>
        <v>0</v>
      </c>
      <c r="AD74" t="str">
        <f>IFERROR(INDEX(CHOOSE({1,2,3,4}, DAY(XT!U74), DAY(XT!Y74), DAY(XT!AC74), DAY(XT!AG74)), MATCH(1, INDEX(--(MONTH(CHOOSE({1,2,3,4}, XT!U74,XT!Y74,XT!AC74,XT!AG74))=8), 0), 0)), "")</f>
        <v/>
      </c>
      <c r="AE74" s="51" t="str">
        <f>IF(XT!$P74&gt;0,AD74,"")</f>
        <v/>
      </c>
      <c r="AF74" s="51" t="str">
        <f>IF(XT!$P74=0,AD74,"")</f>
        <v/>
      </c>
      <c r="AG74">
        <f>SUMPRODUCT((MONTH(CHOOSE({1,2,3,4},XT!U74,XT!Y74,XT!AC74,XT!AG74))=9)*(CHOOSE({1,2,3,4},XT!X74,XT!AB74,XT!AF74,XT!AJ74)))</f>
        <v>0</v>
      </c>
      <c r="AH74" t="str">
        <f>IFERROR(INDEX(CHOOSE({1,2,3,4}, DAY(XT!U74), DAY(XT!Y74), DAY(XT!AC74), DAY(XT!AG74)), MATCH(1, INDEX(--(MONTH(CHOOSE({1,2,3,4}, XT!U74,XT!Y74,XT!AC74,XT!AG74))=9), 0), 0)), "")</f>
        <v/>
      </c>
      <c r="AI74" s="51" t="str">
        <f>IF(XT!$P74&gt;0,AH74,"")</f>
        <v/>
      </c>
      <c r="AJ74" s="51" t="str">
        <f>IF(XT!$P74=0,AH74,"")</f>
        <v/>
      </c>
      <c r="AK74">
        <f>SUMPRODUCT((MONTH(CHOOSE({1,2,3,4},XT!U74,XT!Y74,XT!AC74,XT!AG74))=10)*(CHOOSE({1,2,3,4},XT!X74,XT!AB74,XT!AF74,XT!AJ74)))</f>
        <v>0</v>
      </c>
      <c r="AL74" t="str">
        <f>IFERROR(INDEX(CHOOSE({1,2,3,4}, DAY(XT!U74), DAY(XT!Y74), DAY(XT!AC74), DAY(XT!AG74)), MATCH(1, INDEX(--(MONTH(CHOOSE({1,2,3,4}, XT!U74,XT!Y74,XT!AC74,XT!AG74))=10), 0), 0)), "")</f>
        <v/>
      </c>
      <c r="AM74" s="51" t="str">
        <f>IF(XT!$P74&gt;0,AL74,"")</f>
        <v/>
      </c>
      <c r="AN74" s="51" t="str">
        <f>IF(XT!$P74=0,AL74,"")</f>
        <v/>
      </c>
      <c r="AO74">
        <f>SUMPRODUCT((MONTH(CHOOSE({1,2,3,4},XT!U74,XT!Y74,XT!AC74,XT!AG74))=11)*(CHOOSE({1,2,3,4},XT!X74,XT!AB74,XT!AF74,XT!AJ74)))</f>
        <v>0</v>
      </c>
      <c r="AP74" t="str">
        <f>IFERROR(INDEX(CHOOSE({1,2,3,4}, DAY(XT!U74), DAY(XT!Y74), DAY(XT!AC74), DAY(XT!AG74)), MATCH(1, INDEX(--(MONTH(CHOOSE({1,2,3,4}, XT!U74,XT!Y74,XT!AC74,XT!AG74))=11), 0), 0)), "")</f>
        <v/>
      </c>
      <c r="AQ74" s="51" t="str">
        <f>IF(XT!$P74&gt;0,AP74,"")</f>
        <v/>
      </c>
      <c r="AR74" s="51" t="str">
        <f>IF(XT!$P74=0,AP74,"")</f>
        <v/>
      </c>
      <c r="AS74">
        <f>SUMPRODUCT((MONTH(CHOOSE({1,2,3,4},XT!U74,XT!Y74,XT!AC74,XT!AG74))=12)*(CHOOSE({1,2,3,4},XT!X74,XT!AB74,XT!AF74,XT!AJ74)))</f>
        <v>0</v>
      </c>
      <c r="AT74" t="str">
        <f>IFERROR(INDEX(CHOOSE({1,2,3,4}, DAY(XT!U74), DAY(XT!Y74), DAY(XT!AC74), DAY(XT!AG74)), MATCH(1, INDEX(--(MONTH(CHOOSE({1,2,3,4}, XT!U74,XT!Y74,XT!AC74,XT!AG74))=12), 0), 0)), "")</f>
        <v/>
      </c>
      <c r="AU74" s="51" t="str">
        <f>IF(XT!$P74&gt;0,AT74,"")</f>
        <v/>
      </c>
      <c r="AV74" s="51" t="str">
        <f>IF(XT!$P74=0,AT74,"")</f>
        <v/>
      </c>
    </row>
    <row r="75" spans="1:48">
      <c r="A75">
        <f>SUMPRODUCT((MONTH(CHOOSE({1,2,3,4},XT!U75,XT!Y75,XT!AC75,XT!AG75))=1)*(CHOOSE({1,2,3,4},XT!X75,XT!AB75,XT!AF75,XT!AJ75)))</f>
        <v>0</v>
      </c>
      <c r="B75">
        <f>IFERROR(INDEX(CHOOSE({1,2,3,4}, DAY(XT!U75), DAY(XT!Y75), DAY(XT!AC75), DAY(XT!AG75)), MATCH(1, INDEX(--(MONTH(CHOOSE({1,2,3,4}, XT!U75,XT!Y75,XT!AC75,XT!AG75))=1), 0), 0)), "")</f>
        <v>0</v>
      </c>
      <c r="C75" s="51" t="str">
        <f>IF(XT!$P75&gt;0,B75,"")</f>
        <v/>
      </c>
      <c r="D75" s="51">
        <f>IF(XT!$P75=0,B75,"")</f>
        <v>0</v>
      </c>
      <c r="E75">
        <f>SUMPRODUCT((MONTH(CHOOSE({1,2,3,4},XT!U75,XT!Y75,XT!AC75,XT!AG75))=2)*(CHOOSE({1,2,3,4},XT!X75,XT!AB75,XT!AF75,XT!AJ75)))</f>
        <v>0</v>
      </c>
      <c r="F75" t="str">
        <f>IFERROR(INDEX(CHOOSE({1,2,3,4}, DAY(XT!U75), DAY(XT!Y75), DAY(XT!AC75), DAY(XT!AG75)), MATCH(1, INDEX(--(MONTH(CHOOSE({1,2,3,4}, XT!U75,XT!Y75,XT!AC75,XT!AG75))=2), 0), 0)), "")</f>
        <v/>
      </c>
      <c r="G75" s="51" t="str">
        <f>IF(XT!$P75&gt;0,F75,"")</f>
        <v/>
      </c>
      <c r="H75" s="51" t="str">
        <f>IF(XT!$P75=0,F75,"")</f>
        <v/>
      </c>
      <c r="I75">
        <f>SUMPRODUCT((MONTH(CHOOSE({1,2,3,4},XT!U75,XT!Y75,XT!AC75,XT!AG75))=3)*(CHOOSE({1,2,3,4},XT!X75,XT!AB75,XT!AF75,XT!AJ75)))</f>
        <v>0</v>
      </c>
      <c r="J75" t="str">
        <f>IFERROR(INDEX(CHOOSE({1,2,3,4}, DAY(XT!U75), DAY(XT!Y75), DAY(XT!AC75), DAY(XT!AG75)), MATCH(1, INDEX(--(MONTH(CHOOSE({1,2,3,4}, XT!U75,XT!Y75,XT!AC75,XT!AG75))=3), 0), 0)), "")</f>
        <v/>
      </c>
      <c r="K75" s="51" t="str">
        <f>IF(XT!$P75&gt;0,J75,"")</f>
        <v/>
      </c>
      <c r="L75" s="51" t="str">
        <f>IF(XT!$P75=0,J75,"")</f>
        <v/>
      </c>
      <c r="M75">
        <f>SUMPRODUCT((MONTH(CHOOSE({1,2,3,4},XT!U75,XT!Y75,XT!AC75,XT!AG75))=4)*(CHOOSE({1,2,3,4},XT!X75,XT!AB75,XT!AF75,XT!AJ75)))</f>
        <v>0</v>
      </c>
      <c r="N75" t="str">
        <f>IFERROR(INDEX(CHOOSE({1,2,3,4}, DAY(XT!U75), DAY(XT!Y75), DAY(XT!AC75), DAY(XT!AG75)), MATCH(1, INDEX(--(MONTH(CHOOSE({1,2,3,4}, XT!U75,XT!Y75,XT!AC75,XT!AG75))=4), 0), 0)), "")</f>
        <v/>
      </c>
      <c r="O75" s="51" t="str">
        <f>IF(XT!$P75&gt;0,N75,"")</f>
        <v/>
      </c>
      <c r="P75" s="51" t="str">
        <f>IF(XT!$P75=0,N75,"")</f>
        <v/>
      </c>
      <c r="Q75">
        <f>SUMPRODUCT((MONTH(CHOOSE({1,2,3,4},XT!U75,XT!Y75,XT!AC75,XT!AG75))=5)*(CHOOSE({1,2,3,4},XT!X75,XT!AB75,XT!AF75,XT!AJ75)))</f>
        <v>0</v>
      </c>
      <c r="R75" t="str">
        <f>IFERROR(INDEX(CHOOSE({1,2,3,4}, DAY(XT!U75), DAY(XT!Y75), DAY(XT!AC75), DAY(XT!AG75)), MATCH(1, INDEX(--(MONTH(CHOOSE({1,2,3,4}, XT!U75,XT!Y75,XT!AC75,XT!AG75))=5), 0), 0)), "")</f>
        <v/>
      </c>
      <c r="S75" s="51" t="str">
        <f>IF(XT!$P75&gt;0,R75,"")</f>
        <v/>
      </c>
      <c r="T75" s="51" t="str">
        <f>IF(XT!$P75=0,R75,"")</f>
        <v/>
      </c>
      <c r="U75">
        <f>SUMPRODUCT((MONTH(CHOOSE({1,2,3,4},XT!U75,XT!Y75,XT!AC75,XT!AG75))=6)*(CHOOSE({1,2,3,4},XT!X75,XT!AB75,XT!AF75,XT!AJ75)))</f>
        <v>0</v>
      </c>
      <c r="V75" t="str">
        <f>IFERROR(INDEX(CHOOSE({1,2,3,4}, DAY(XT!U75), DAY(XT!Y75), DAY(XT!AC75), DAY(XT!AG75)), MATCH(1, INDEX(--(MONTH(CHOOSE({1,2,3,4}, XT!U75,XT!Y75,XT!AC75,XT!AG75))=6), 0), 0)), "")</f>
        <v/>
      </c>
      <c r="W75" s="51" t="str">
        <f>IF(XT!$P75&gt;0,V75,"")</f>
        <v/>
      </c>
      <c r="X75" s="51" t="str">
        <f>IF(XT!$P75=0,V75,"")</f>
        <v/>
      </c>
      <c r="Y75">
        <f>SUMPRODUCT((MONTH(CHOOSE({1,2,3,4},XT!U75,XT!Y75,XT!AC75,XT!AG75))=7)*(CHOOSE({1,2,3,4},XT!X75,XT!AB75,XT!AF75,XT!AJ75)))</f>
        <v>0</v>
      </c>
      <c r="Z75" t="str">
        <f>IFERROR(INDEX(CHOOSE({1,2,3,4}, DAY(XT!U75), DAY(XT!Y75), DAY(XT!AC75), DAY(XT!AG75)), MATCH(1, INDEX(--(MONTH(CHOOSE({1,2,3,4}, XT!U75,XT!Y75,XT!AC75,XT!AG75))=7), 0), 0)), "")</f>
        <v/>
      </c>
      <c r="AA75" s="51" t="str">
        <f>IF(XT!$P75&gt;0,Z75,"")</f>
        <v/>
      </c>
      <c r="AB75" s="51" t="str">
        <f>IF(XT!$P75=0,Z75,"")</f>
        <v/>
      </c>
      <c r="AC75">
        <f>SUMPRODUCT((MONTH(CHOOSE({1,2,3,4},XT!U75,XT!Y75,XT!AC75,XT!AG75))=8)*(CHOOSE({1,2,3,4},XT!X75,XT!AB75,XT!AF75,XT!AJ75)))</f>
        <v>0</v>
      </c>
      <c r="AD75" t="str">
        <f>IFERROR(INDEX(CHOOSE({1,2,3,4}, DAY(XT!U75), DAY(XT!Y75), DAY(XT!AC75), DAY(XT!AG75)), MATCH(1, INDEX(--(MONTH(CHOOSE({1,2,3,4}, XT!U75,XT!Y75,XT!AC75,XT!AG75))=8), 0), 0)), "")</f>
        <v/>
      </c>
      <c r="AE75" s="51" t="str">
        <f>IF(XT!$P75&gt;0,AD75,"")</f>
        <v/>
      </c>
      <c r="AF75" s="51" t="str">
        <f>IF(XT!$P75=0,AD75,"")</f>
        <v/>
      </c>
      <c r="AG75">
        <f>SUMPRODUCT((MONTH(CHOOSE({1,2,3,4},XT!U75,XT!Y75,XT!AC75,XT!AG75))=9)*(CHOOSE({1,2,3,4},XT!X75,XT!AB75,XT!AF75,XT!AJ75)))</f>
        <v>0</v>
      </c>
      <c r="AH75" t="str">
        <f>IFERROR(INDEX(CHOOSE({1,2,3,4}, DAY(XT!U75), DAY(XT!Y75), DAY(XT!AC75), DAY(XT!AG75)), MATCH(1, INDEX(--(MONTH(CHOOSE({1,2,3,4}, XT!U75,XT!Y75,XT!AC75,XT!AG75))=9), 0), 0)), "")</f>
        <v/>
      </c>
      <c r="AI75" s="51" t="str">
        <f>IF(XT!$P75&gt;0,AH75,"")</f>
        <v/>
      </c>
      <c r="AJ75" s="51" t="str">
        <f>IF(XT!$P75=0,AH75,"")</f>
        <v/>
      </c>
      <c r="AK75">
        <f>SUMPRODUCT((MONTH(CHOOSE({1,2,3,4},XT!U75,XT!Y75,XT!AC75,XT!AG75))=10)*(CHOOSE({1,2,3,4},XT!X75,XT!AB75,XT!AF75,XT!AJ75)))</f>
        <v>0</v>
      </c>
      <c r="AL75" t="str">
        <f>IFERROR(INDEX(CHOOSE({1,2,3,4}, DAY(XT!U75), DAY(XT!Y75), DAY(XT!AC75), DAY(XT!AG75)), MATCH(1, INDEX(--(MONTH(CHOOSE({1,2,3,4}, XT!U75,XT!Y75,XT!AC75,XT!AG75))=10), 0), 0)), "")</f>
        <v/>
      </c>
      <c r="AM75" s="51" t="str">
        <f>IF(XT!$P75&gt;0,AL75,"")</f>
        <v/>
      </c>
      <c r="AN75" s="51" t="str">
        <f>IF(XT!$P75=0,AL75,"")</f>
        <v/>
      </c>
      <c r="AO75">
        <f>SUMPRODUCT((MONTH(CHOOSE({1,2,3,4},XT!U75,XT!Y75,XT!AC75,XT!AG75))=11)*(CHOOSE({1,2,3,4},XT!X75,XT!AB75,XT!AF75,XT!AJ75)))</f>
        <v>0</v>
      </c>
      <c r="AP75" t="str">
        <f>IFERROR(INDEX(CHOOSE({1,2,3,4}, DAY(XT!U75), DAY(XT!Y75), DAY(XT!AC75), DAY(XT!AG75)), MATCH(1, INDEX(--(MONTH(CHOOSE({1,2,3,4}, XT!U75,XT!Y75,XT!AC75,XT!AG75))=11), 0), 0)), "")</f>
        <v/>
      </c>
      <c r="AQ75" s="51" t="str">
        <f>IF(XT!$P75&gt;0,AP75,"")</f>
        <v/>
      </c>
      <c r="AR75" s="51" t="str">
        <f>IF(XT!$P75=0,AP75,"")</f>
        <v/>
      </c>
      <c r="AS75">
        <f>SUMPRODUCT((MONTH(CHOOSE({1,2,3,4},XT!U75,XT!Y75,XT!AC75,XT!AG75))=12)*(CHOOSE({1,2,3,4},XT!X75,XT!AB75,XT!AF75,XT!AJ75)))</f>
        <v>0</v>
      </c>
      <c r="AT75" t="str">
        <f>IFERROR(INDEX(CHOOSE({1,2,3,4}, DAY(XT!U75), DAY(XT!Y75), DAY(XT!AC75), DAY(XT!AG75)), MATCH(1, INDEX(--(MONTH(CHOOSE({1,2,3,4}, XT!U75,XT!Y75,XT!AC75,XT!AG75))=12), 0), 0)), "")</f>
        <v/>
      </c>
      <c r="AU75" s="51" t="str">
        <f>IF(XT!$P75&gt;0,AT75,"")</f>
        <v/>
      </c>
      <c r="AV75" s="51" t="str">
        <f>IF(XT!$P75=0,AT75,"")</f>
        <v/>
      </c>
    </row>
    <row r="76" spans="1:48">
      <c r="A76">
        <f>SUMPRODUCT((MONTH(CHOOSE({1,2,3,4},XT!U76,XT!Y76,XT!AC76,XT!AG76))=1)*(CHOOSE({1,2,3,4},XT!X76,XT!AB76,XT!AF76,XT!AJ76)))</f>
        <v>0</v>
      </c>
      <c r="B76">
        <f>IFERROR(INDEX(CHOOSE({1,2,3,4}, DAY(XT!U76), DAY(XT!Y76), DAY(XT!AC76), DAY(XT!AG76)), MATCH(1, INDEX(--(MONTH(CHOOSE({1,2,3,4}, XT!U76,XT!Y76,XT!AC76,XT!AG76))=1), 0), 0)), "")</f>
        <v>0</v>
      </c>
      <c r="C76" s="51" t="str">
        <f>IF(XT!$P76&gt;0,B76,"")</f>
        <v/>
      </c>
      <c r="D76" s="51">
        <f>IF(XT!$P76=0,B76,"")</f>
        <v>0</v>
      </c>
      <c r="E76">
        <f>SUMPRODUCT((MONTH(CHOOSE({1,2,3,4},XT!U76,XT!Y76,XT!AC76,XT!AG76))=2)*(CHOOSE({1,2,3,4},XT!X76,XT!AB76,XT!AF76,XT!AJ76)))</f>
        <v>0</v>
      </c>
      <c r="F76" t="str">
        <f>IFERROR(INDEX(CHOOSE({1,2,3,4}, DAY(XT!U76), DAY(XT!Y76), DAY(XT!AC76), DAY(XT!AG76)), MATCH(1, INDEX(--(MONTH(CHOOSE({1,2,3,4}, XT!U76,XT!Y76,XT!AC76,XT!AG76))=2), 0), 0)), "")</f>
        <v/>
      </c>
      <c r="G76" s="51" t="str">
        <f>IF(XT!$P76&gt;0,F76,"")</f>
        <v/>
      </c>
      <c r="H76" s="51" t="str">
        <f>IF(XT!$P76=0,F76,"")</f>
        <v/>
      </c>
      <c r="I76">
        <f>SUMPRODUCT((MONTH(CHOOSE({1,2,3,4},XT!U76,XT!Y76,XT!AC76,XT!AG76))=3)*(CHOOSE({1,2,3,4},XT!X76,XT!AB76,XT!AF76,XT!AJ76)))</f>
        <v>0</v>
      </c>
      <c r="J76" t="str">
        <f>IFERROR(INDEX(CHOOSE({1,2,3,4}, DAY(XT!U76), DAY(XT!Y76), DAY(XT!AC76), DAY(XT!AG76)), MATCH(1, INDEX(--(MONTH(CHOOSE({1,2,3,4}, XT!U76,XT!Y76,XT!AC76,XT!AG76))=3), 0), 0)), "")</f>
        <v/>
      </c>
      <c r="K76" s="51" t="str">
        <f>IF(XT!$P76&gt;0,J76,"")</f>
        <v/>
      </c>
      <c r="L76" s="51" t="str">
        <f>IF(XT!$P76=0,J76,"")</f>
        <v/>
      </c>
      <c r="M76">
        <f>SUMPRODUCT((MONTH(CHOOSE({1,2,3,4},XT!U76,XT!Y76,XT!AC76,XT!AG76))=4)*(CHOOSE({1,2,3,4},XT!X76,XT!AB76,XT!AF76,XT!AJ76)))</f>
        <v>0</v>
      </c>
      <c r="N76" t="str">
        <f>IFERROR(INDEX(CHOOSE({1,2,3,4}, DAY(XT!U76), DAY(XT!Y76), DAY(XT!AC76), DAY(XT!AG76)), MATCH(1, INDEX(--(MONTH(CHOOSE({1,2,3,4}, XT!U76,XT!Y76,XT!AC76,XT!AG76))=4), 0), 0)), "")</f>
        <v/>
      </c>
      <c r="O76" s="51" t="str">
        <f>IF(XT!$P76&gt;0,N76,"")</f>
        <v/>
      </c>
      <c r="P76" s="51" t="str">
        <f>IF(XT!$P76=0,N76,"")</f>
        <v/>
      </c>
      <c r="Q76">
        <f>SUMPRODUCT((MONTH(CHOOSE({1,2,3,4},XT!U76,XT!Y76,XT!AC76,XT!AG76))=5)*(CHOOSE({1,2,3,4},XT!X76,XT!AB76,XT!AF76,XT!AJ76)))</f>
        <v>0</v>
      </c>
      <c r="R76" t="str">
        <f>IFERROR(INDEX(CHOOSE({1,2,3,4}, DAY(XT!U76), DAY(XT!Y76), DAY(XT!AC76), DAY(XT!AG76)), MATCH(1, INDEX(--(MONTH(CHOOSE({1,2,3,4}, XT!U76,XT!Y76,XT!AC76,XT!AG76))=5), 0), 0)), "")</f>
        <v/>
      </c>
      <c r="S76" s="51" t="str">
        <f>IF(XT!$P76&gt;0,R76,"")</f>
        <v/>
      </c>
      <c r="T76" s="51" t="str">
        <f>IF(XT!$P76=0,R76,"")</f>
        <v/>
      </c>
      <c r="U76">
        <f>SUMPRODUCT((MONTH(CHOOSE({1,2,3,4},XT!U76,XT!Y76,XT!AC76,XT!AG76))=6)*(CHOOSE({1,2,3,4},XT!X76,XT!AB76,XT!AF76,XT!AJ76)))</f>
        <v>0</v>
      </c>
      <c r="V76" t="str">
        <f>IFERROR(INDEX(CHOOSE({1,2,3,4}, DAY(XT!U76), DAY(XT!Y76), DAY(XT!AC76), DAY(XT!AG76)), MATCH(1, INDEX(--(MONTH(CHOOSE({1,2,3,4}, XT!U76,XT!Y76,XT!AC76,XT!AG76))=6), 0), 0)), "")</f>
        <v/>
      </c>
      <c r="W76" s="51" t="str">
        <f>IF(XT!$P76&gt;0,V76,"")</f>
        <v/>
      </c>
      <c r="X76" s="51" t="str">
        <f>IF(XT!$P76=0,V76,"")</f>
        <v/>
      </c>
      <c r="Y76">
        <f>SUMPRODUCT((MONTH(CHOOSE({1,2,3,4},XT!U76,XT!Y76,XT!AC76,XT!AG76))=7)*(CHOOSE({1,2,3,4},XT!X76,XT!AB76,XT!AF76,XT!AJ76)))</f>
        <v>0</v>
      </c>
      <c r="Z76" t="str">
        <f>IFERROR(INDEX(CHOOSE({1,2,3,4}, DAY(XT!U76), DAY(XT!Y76), DAY(XT!AC76), DAY(XT!AG76)), MATCH(1, INDEX(--(MONTH(CHOOSE({1,2,3,4}, XT!U76,XT!Y76,XT!AC76,XT!AG76))=7), 0), 0)), "")</f>
        <v/>
      </c>
      <c r="AA76" s="51" t="str">
        <f>IF(XT!$P76&gt;0,Z76,"")</f>
        <v/>
      </c>
      <c r="AB76" s="51" t="str">
        <f>IF(XT!$P76=0,Z76,"")</f>
        <v/>
      </c>
      <c r="AC76">
        <f>SUMPRODUCT((MONTH(CHOOSE({1,2,3,4},XT!U76,XT!Y76,XT!AC76,XT!AG76))=8)*(CHOOSE({1,2,3,4},XT!X76,XT!AB76,XT!AF76,XT!AJ76)))</f>
        <v>0</v>
      </c>
      <c r="AD76" t="str">
        <f>IFERROR(INDEX(CHOOSE({1,2,3,4}, DAY(XT!U76), DAY(XT!Y76), DAY(XT!AC76), DAY(XT!AG76)), MATCH(1, INDEX(--(MONTH(CHOOSE({1,2,3,4}, XT!U76,XT!Y76,XT!AC76,XT!AG76))=8), 0), 0)), "")</f>
        <v/>
      </c>
      <c r="AE76" s="51" t="str">
        <f>IF(XT!$P76&gt;0,AD76,"")</f>
        <v/>
      </c>
      <c r="AF76" s="51" t="str">
        <f>IF(XT!$P76=0,AD76,"")</f>
        <v/>
      </c>
      <c r="AG76">
        <f>SUMPRODUCT((MONTH(CHOOSE({1,2,3,4},XT!U76,XT!Y76,XT!AC76,XT!AG76))=9)*(CHOOSE({1,2,3,4},XT!X76,XT!AB76,XT!AF76,XT!AJ76)))</f>
        <v>0</v>
      </c>
      <c r="AH76" t="str">
        <f>IFERROR(INDEX(CHOOSE({1,2,3,4}, DAY(XT!U76), DAY(XT!Y76), DAY(XT!AC76), DAY(XT!AG76)), MATCH(1, INDEX(--(MONTH(CHOOSE({1,2,3,4}, XT!U76,XT!Y76,XT!AC76,XT!AG76))=9), 0), 0)), "")</f>
        <v/>
      </c>
      <c r="AI76" s="51" t="str">
        <f>IF(XT!$P76&gt;0,AH76,"")</f>
        <v/>
      </c>
      <c r="AJ76" s="51" t="str">
        <f>IF(XT!$P76=0,AH76,"")</f>
        <v/>
      </c>
      <c r="AK76">
        <f>SUMPRODUCT((MONTH(CHOOSE({1,2,3,4},XT!U76,XT!Y76,XT!AC76,XT!AG76))=10)*(CHOOSE({1,2,3,4},XT!X76,XT!AB76,XT!AF76,XT!AJ76)))</f>
        <v>0</v>
      </c>
      <c r="AL76" t="str">
        <f>IFERROR(INDEX(CHOOSE({1,2,3,4}, DAY(XT!U76), DAY(XT!Y76), DAY(XT!AC76), DAY(XT!AG76)), MATCH(1, INDEX(--(MONTH(CHOOSE({1,2,3,4}, XT!U76,XT!Y76,XT!AC76,XT!AG76))=10), 0), 0)), "")</f>
        <v/>
      </c>
      <c r="AM76" s="51" t="str">
        <f>IF(XT!$P76&gt;0,AL76,"")</f>
        <v/>
      </c>
      <c r="AN76" s="51" t="str">
        <f>IF(XT!$P76=0,AL76,"")</f>
        <v/>
      </c>
      <c r="AO76">
        <f>SUMPRODUCT((MONTH(CHOOSE({1,2,3,4},XT!U76,XT!Y76,XT!AC76,XT!AG76))=11)*(CHOOSE({1,2,3,4},XT!X76,XT!AB76,XT!AF76,XT!AJ76)))</f>
        <v>0</v>
      </c>
      <c r="AP76" t="str">
        <f>IFERROR(INDEX(CHOOSE({1,2,3,4}, DAY(XT!U76), DAY(XT!Y76), DAY(XT!AC76), DAY(XT!AG76)), MATCH(1, INDEX(--(MONTH(CHOOSE({1,2,3,4}, XT!U76,XT!Y76,XT!AC76,XT!AG76))=11), 0), 0)), "")</f>
        <v/>
      </c>
      <c r="AQ76" s="51" t="str">
        <f>IF(XT!$P76&gt;0,AP76,"")</f>
        <v/>
      </c>
      <c r="AR76" s="51" t="str">
        <f>IF(XT!$P76=0,AP76,"")</f>
        <v/>
      </c>
      <c r="AS76">
        <f>SUMPRODUCT((MONTH(CHOOSE({1,2,3,4},XT!U76,XT!Y76,XT!AC76,XT!AG76))=12)*(CHOOSE({1,2,3,4},XT!X76,XT!AB76,XT!AF76,XT!AJ76)))</f>
        <v>0</v>
      </c>
      <c r="AT76" t="str">
        <f>IFERROR(INDEX(CHOOSE({1,2,3,4}, DAY(XT!U76), DAY(XT!Y76), DAY(XT!AC76), DAY(XT!AG76)), MATCH(1, INDEX(--(MONTH(CHOOSE({1,2,3,4}, XT!U76,XT!Y76,XT!AC76,XT!AG76))=12), 0), 0)), "")</f>
        <v/>
      </c>
      <c r="AU76" s="51" t="str">
        <f>IF(XT!$P76&gt;0,AT76,"")</f>
        <v/>
      </c>
      <c r="AV76" s="51" t="str">
        <f>IF(XT!$P76=0,AT76,"")</f>
        <v/>
      </c>
    </row>
    <row r="77" spans="1:48">
      <c r="A77">
        <f>SUMPRODUCT((MONTH(CHOOSE({1,2,3,4},XT!U77,XT!Y77,XT!AC77,XT!AG77))=1)*(CHOOSE({1,2,3,4},XT!X77,XT!AB77,XT!AF77,XT!AJ77)))</f>
        <v>0</v>
      </c>
      <c r="B77">
        <f>IFERROR(INDEX(CHOOSE({1,2,3,4}, DAY(XT!U77), DAY(XT!Y77), DAY(XT!AC77), DAY(XT!AG77)), MATCH(1, INDEX(--(MONTH(CHOOSE({1,2,3,4}, XT!U77,XT!Y77,XT!AC77,XT!AG77))=1), 0), 0)), "")</f>
        <v>0</v>
      </c>
      <c r="C77" s="51" t="str">
        <f>IF(XT!$P77&gt;0,B77,"")</f>
        <v/>
      </c>
      <c r="D77" s="51">
        <f>IF(XT!$P77=0,B77,"")</f>
        <v>0</v>
      </c>
      <c r="E77">
        <f>SUMPRODUCT((MONTH(CHOOSE({1,2,3,4},XT!U77,XT!Y77,XT!AC77,XT!AG77))=2)*(CHOOSE({1,2,3,4},XT!X77,XT!AB77,XT!AF77,XT!AJ77)))</f>
        <v>0</v>
      </c>
      <c r="F77" t="str">
        <f>IFERROR(INDEX(CHOOSE({1,2,3,4}, DAY(XT!U77), DAY(XT!Y77), DAY(XT!AC77), DAY(XT!AG77)), MATCH(1, INDEX(--(MONTH(CHOOSE({1,2,3,4}, XT!U77,XT!Y77,XT!AC77,XT!AG77))=2), 0), 0)), "")</f>
        <v/>
      </c>
      <c r="G77" s="51" t="str">
        <f>IF(XT!$P77&gt;0,F77,"")</f>
        <v/>
      </c>
      <c r="H77" s="51" t="str">
        <f>IF(XT!$P77=0,F77,"")</f>
        <v/>
      </c>
      <c r="I77">
        <f>SUMPRODUCT((MONTH(CHOOSE({1,2,3,4},XT!U77,XT!Y77,XT!AC77,XT!AG77))=3)*(CHOOSE({1,2,3,4},XT!X77,XT!AB77,XT!AF77,XT!AJ77)))</f>
        <v>0</v>
      </c>
      <c r="J77" t="str">
        <f>IFERROR(INDEX(CHOOSE({1,2,3,4}, DAY(XT!U77), DAY(XT!Y77), DAY(XT!AC77), DAY(XT!AG77)), MATCH(1, INDEX(--(MONTH(CHOOSE({1,2,3,4}, XT!U77,XT!Y77,XT!AC77,XT!AG77))=3), 0), 0)), "")</f>
        <v/>
      </c>
      <c r="K77" s="51" t="str">
        <f>IF(XT!$P77&gt;0,J77,"")</f>
        <v/>
      </c>
      <c r="L77" s="51" t="str">
        <f>IF(XT!$P77=0,J77,"")</f>
        <v/>
      </c>
      <c r="M77">
        <f>SUMPRODUCT((MONTH(CHOOSE({1,2,3,4},XT!U77,XT!Y77,XT!AC77,XT!AG77))=4)*(CHOOSE({1,2,3,4},XT!X77,XT!AB77,XT!AF77,XT!AJ77)))</f>
        <v>0</v>
      </c>
      <c r="N77" t="str">
        <f>IFERROR(INDEX(CHOOSE({1,2,3,4}, DAY(XT!U77), DAY(XT!Y77), DAY(XT!AC77), DAY(XT!AG77)), MATCH(1, INDEX(--(MONTH(CHOOSE({1,2,3,4}, XT!U77,XT!Y77,XT!AC77,XT!AG77))=4), 0), 0)), "")</f>
        <v/>
      </c>
      <c r="O77" s="51" t="str">
        <f>IF(XT!$P77&gt;0,N77,"")</f>
        <v/>
      </c>
      <c r="P77" s="51" t="str">
        <f>IF(XT!$P77=0,N77,"")</f>
        <v/>
      </c>
      <c r="Q77">
        <f>SUMPRODUCT((MONTH(CHOOSE({1,2,3,4},XT!U77,XT!Y77,XT!AC77,XT!AG77))=5)*(CHOOSE({1,2,3,4},XT!X77,XT!AB77,XT!AF77,XT!AJ77)))</f>
        <v>0</v>
      </c>
      <c r="R77" t="str">
        <f>IFERROR(INDEX(CHOOSE({1,2,3,4}, DAY(XT!U77), DAY(XT!Y77), DAY(XT!AC77), DAY(XT!AG77)), MATCH(1, INDEX(--(MONTH(CHOOSE({1,2,3,4}, XT!U77,XT!Y77,XT!AC77,XT!AG77))=5), 0), 0)), "")</f>
        <v/>
      </c>
      <c r="S77" s="51" t="str">
        <f>IF(XT!$P77&gt;0,R77,"")</f>
        <v/>
      </c>
      <c r="T77" s="51" t="str">
        <f>IF(XT!$P77=0,R77,"")</f>
        <v/>
      </c>
      <c r="U77">
        <f>SUMPRODUCT((MONTH(CHOOSE({1,2,3,4},XT!U77,XT!Y77,XT!AC77,XT!AG77))=6)*(CHOOSE({1,2,3,4},XT!X77,XT!AB77,XT!AF77,XT!AJ77)))</f>
        <v>0</v>
      </c>
      <c r="V77" t="str">
        <f>IFERROR(INDEX(CHOOSE({1,2,3,4}, DAY(XT!U77), DAY(XT!Y77), DAY(XT!AC77), DAY(XT!AG77)), MATCH(1, INDEX(--(MONTH(CHOOSE({1,2,3,4}, XT!U77,XT!Y77,XT!AC77,XT!AG77))=6), 0), 0)), "")</f>
        <v/>
      </c>
      <c r="W77" s="51" t="str">
        <f>IF(XT!$P77&gt;0,V77,"")</f>
        <v/>
      </c>
      <c r="X77" s="51" t="str">
        <f>IF(XT!$P77=0,V77,"")</f>
        <v/>
      </c>
      <c r="Y77">
        <f>SUMPRODUCT((MONTH(CHOOSE({1,2,3,4},XT!U77,XT!Y77,XT!AC77,XT!AG77))=7)*(CHOOSE({1,2,3,4},XT!X77,XT!AB77,XT!AF77,XT!AJ77)))</f>
        <v>0</v>
      </c>
      <c r="Z77" t="str">
        <f>IFERROR(INDEX(CHOOSE({1,2,3,4}, DAY(XT!U77), DAY(XT!Y77), DAY(XT!AC77), DAY(XT!AG77)), MATCH(1, INDEX(--(MONTH(CHOOSE({1,2,3,4}, XT!U77,XT!Y77,XT!AC77,XT!AG77))=7), 0), 0)), "")</f>
        <v/>
      </c>
      <c r="AA77" s="51" t="str">
        <f>IF(XT!$P77&gt;0,Z77,"")</f>
        <v/>
      </c>
      <c r="AB77" s="51" t="str">
        <f>IF(XT!$P77=0,Z77,"")</f>
        <v/>
      </c>
      <c r="AC77">
        <f>SUMPRODUCT((MONTH(CHOOSE({1,2,3,4},XT!U77,XT!Y77,XT!AC77,XT!AG77))=8)*(CHOOSE({1,2,3,4},XT!X77,XT!AB77,XT!AF77,XT!AJ77)))</f>
        <v>0</v>
      </c>
      <c r="AD77" t="str">
        <f>IFERROR(INDEX(CHOOSE({1,2,3,4}, DAY(XT!U77), DAY(XT!Y77), DAY(XT!AC77), DAY(XT!AG77)), MATCH(1, INDEX(--(MONTH(CHOOSE({1,2,3,4}, XT!U77,XT!Y77,XT!AC77,XT!AG77))=8), 0), 0)), "")</f>
        <v/>
      </c>
      <c r="AE77" s="51" t="str">
        <f>IF(XT!$P77&gt;0,AD77,"")</f>
        <v/>
      </c>
      <c r="AF77" s="51" t="str">
        <f>IF(XT!$P77=0,AD77,"")</f>
        <v/>
      </c>
      <c r="AG77">
        <f>SUMPRODUCT((MONTH(CHOOSE({1,2,3,4},XT!U77,XT!Y77,XT!AC77,XT!AG77))=9)*(CHOOSE({1,2,3,4},XT!X77,XT!AB77,XT!AF77,XT!AJ77)))</f>
        <v>0</v>
      </c>
      <c r="AH77" t="str">
        <f>IFERROR(INDEX(CHOOSE({1,2,3,4}, DAY(XT!U77), DAY(XT!Y77), DAY(XT!AC77), DAY(XT!AG77)), MATCH(1, INDEX(--(MONTH(CHOOSE({1,2,3,4}, XT!U77,XT!Y77,XT!AC77,XT!AG77))=9), 0), 0)), "")</f>
        <v/>
      </c>
      <c r="AI77" s="51" t="str">
        <f>IF(XT!$P77&gt;0,AH77,"")</f>
        <v/>
      </c>
      <c r="AJ77" s="51" t="str">
        <f>IF(XT!$P77=0,AH77,"")</f>
        <v/>
      </c>
      <c r="AK77">
        <f>SUMPRODUCT((MONTH(CHOOSE({1,2,3,4},XT!U77,XT!Y77,XT!AC77,XT!AG77))=10)*(CHOOSE({1,2,3,4},XT!X77,XT!AB77,XT!AF77,XT!AJ77)))</f>
        <v>0</v>
      </c>
      <c r="AL77" t="str">
        <f>IFERROR(INDEX(CHOOSE({1,2,3,4}, DAY(XT!U77), DAY(XT!Y77), DAY(XT!AC77), DAY(XT!AG77)), MATCH(1, INDEX(--(MONTH(CHOOSE({1,2,3,4}, XT!U77,XT!Y77,XT!AC77,XT!AG77))=10), 0), 0)), "")</f>
        <v/>
      </c>
      <c r="AM77" s="51" t="str">
        <f>IF(XT!$P77&gt;0,AL77,"")</f>
        <v/>
      </c>
      <c r="AN77" s="51" t="str">
        <f>IF(XT!$P77=0,AL77,"")</f>
        <v/>
      </c>
      <c r="AO77">
        <f>SUMPRODUCT((MONTH(CHOOSE({1,2,3,4},XT!U77,XT!Y77,XT!AC77,XT!AG77))=11)*(CHOOSE({1,2,3,4},XT!X77,XT!AB77,XT!AF77,XT!AJ77)))</f>
        <v>0</v>
      </c>
      <c r="AP77" t="str">
        <f>IFERROR(INDEX(CHOOSE({1,2,3,4}, DAY(XT!U77), DAY(XT!Y77), DAY(XT!AC77), DAY(XT!AG77)), MATCH(1, INDEX(--(MONTH(CHOOSE({1,2,3,4}, XT!U77,XT!Y77,XT!AC77,XT!AG77))=11), 0), 0)), "")</f>
        <v/>
      </c>
      <c r="AQ77" s="51" t="str">
        <f>IF(XT!$P77&gt;0,AP77,"")</f>
        <v/>
      </c>
      <c r="AR77" s="51" t="str">
        <f>IF(XT!$P77=0,AP77,"")</f>
        <v/>
      </c>
      <c r="AS77">
        <f>SUMPRODUCT((MONTH(CHOOSE({1,2,3,4},XT!U77,XT!Y77,XT!AC77,XT!AG77))=12)*(CHOOSE({1,2,3,4},XT!X77,XT!AB77,XT!AF77,XT!AJ77)))</f>
        <v>0</v>
      </c>
      <c r="AT77" t="str">
        <f>IFERROR(INDEX(CHOOSE({1,2,3,4}, DAY(XT!U77), DAY(XT!Y77), DAY(XT!AC77), DAY(XT!AG77)), MATCH(1, INDEX(--(MONTH(CHOOSE({1,2,3,4}, XT!U77,XT!Y77,XT!AC77,XT!AG77))=12), 0), 0)), "")</f>
        <v/>
      </c>
      <c r="AU77" s="51" t="str">
        <f>IF(XT!$P77&gt;0,AT77,"")</f>
        <v/>
      </c>
      <c r="AV77" s="51" t="str">
        <f>IF(XT!$P77=0,AT77,"")</f>
        <v/>
      </c>
    </row>
    <row r="78" spans="1:48">
      <c r="A78">
        <f>SUMPRODUCT((MONTH(CHOOSE({1,2,3,4},XT!U78,XT!Y78,XT!AC78,XT!AG78))=1)*(CHOOSE({1,2,3,4},XT!X78,XT!AB78,XT!AF78,XT!AJ78)))</f>
        <v>0</v>
      </c>
      <c r="B78">
        <f>IFERROR(INDEX(CHOOSE({1,2,3,4}, DAY(XT!U78), DAY(XT!Y78), DAY(XT!AC78), DAY(XT!AG78)), MATCH(1, INDEX(--(MONTH(CHOOSE({1,2,3,4}, XT!U78,XT!Y78,XT!AC78,XT!AG78))=1), 0), 0)), "")</f>
        <v>0</v>
      </c>
      <c r="C78" s="51" t="str">
        <f>IF(XT!$P78&gt;0,B78,"")</f>
        <v/>
      </c>
      <c r="D78" s="51">
        <f>IF(XT!$P78=0,B78,"")</f>
        <v>0</v>
      </c>
      <c r="E78">
        <f>SUMPRODUCT((MONTH(CHOOSE({1,2,3,4},XT!U78,XT!Y78,XT!AC78,XT!AG78))=2)*(CHOOSE({1,2,3,4},XT!X78,XT!AB78,XT!AF78,XT!AJ78)))</f>
        <v>0</v>
      </c>
      <c r="F78" t="str">
        <f>IFERROR(INDEX(CHOOSE({1,2,3,4}, DAY(XT!U78), DAY(XT!Y78), DAY(XT!AC78), DAY(XT!AG78)), MATCH(1, INDEX(--(MONTH(CHOOSE({1,2,3,4}, XT!U78,XT!Y78,XT!AC78,XT!AG78))=2), 0), 0)), "")</f>
        <v/>
      </c>
      <c r="G78" s="51" t="str">
        <f>IF(XT!$P78&gt;0,F78,"")</f>
        <v/>
      </c>
      <c r="H78" s="51" t="str">
        <f>IF(XT!$P78=0,F78,"")</f>
        <v/>
      </c>
      <c r="I78">
        <f>SUMPRODUCT((MONTH(CHOOSE({1,2,3,4},XT!U78,XT!Y78,XT!AC78,XT!AG78))=3)*(CHOOSE({1,2,3,4},XT!X78,XT!AB78,XT!AF78,XT!AJ78)))</f>
        <v>0</v>
      </c>
      <c r="J78" t="str">
        <f>IFERROR(INDEX(CHOOSE({1,2,3,4}, DAY(XT!U78), DAY(XT!Y78), DAY(XT!AC78), DAY(XT!AG78)), MATCH(1, INDEX(--(MONTH(CHOOSE({1,2,3,4}, XT!U78,XT!Y78,XT!AC78,XT!AG78))=3), 0), 0)), "")</f>
        <v/>
      </c>
      <c r="K78" s="51" t="str">
        <f>IF(XT!$P78&gt;0,J78,"")</f>
        <v/>
      </c>
      <c r="L78" s="51" t="str">
        <f>IF(XT!$P78=0,J78,"")</f>
        <v/>
      </c>
      <c r="M78">
        <f>SUMPRODUCT((MONTH(CHOOSE({1,2,3,4},XT!U78,XT!Y78,XT!AC78,XT!AG78))=4)*(CHOOSE({1,2,3,4},XT!X78,XT!AB78,XT!AF78,XT!AJ78)))</f>
        <v>0</v>
      </c>
      <c r="N78" t="str">
        <f>IFERROR(INDEX(CHOOSE({1,2,3,4}, DAY(XT!U78), DAY(XT!Y78), DAY(XT!AC78), DAY(XT!AG78)), MATCH(1, INDEX(--(MONTH(CHOOSE({1,2,3,4}, XT!U78,XT!Y78,XT!AC78,XT!AG78))=4), 0), 0)), "")</f>
        <v/>
      </c>
      <c r="O78" s="51" t="str">
        <f>IF(XT!$P78&gt;0,N78,"")</f>
        <v/>
      </c>
      <c r="P78" s="51" t="str">
        <f>IF(XT!$P78=0,N78,"")</f>
        <v/>
      </c>
      <c r="Q78">
        <f>SUMPRODUCT((MONTH(CHOOSE({1,2,3,4},XT!U78,XT!Y78,XT!AC78,XT!AG78))=5)*(CHOOSE({1,2,3,4},XT!X78,XT!AB78,XT!AF78,XT!AJ78)))</f>
        <v>0</v>
      </c>
      <c r="R78" t="str">
        <f>IFERROR(INDEX(CHOOSE({1,2,3,4}, DAY(XT!U78), DAY(XT!Y78), DAY(XT!AC78), DAY(XT!AG78)), MATCH(1, INDEX(--(MONTH(CHOOSE({1,2,3,4}, XT!U78,XT!Y78,XT!AC78,XT!AG78))=5), 0), 0)), "")</f>
        <v/>
      </c>
      <c r="S78" s="51" t="str">
        <f>IF(XT!$P78&gt;0,R78,"")</f>
        <v/>
      </c>
      <c r="T78" s="51" t="str">
        <f>IF(XT!$P78=0,R78,"")</f>
        <v/>
      </c>
      <c r="U78">
        <f>SUMPRODUCT((MONTH(CHOOSE({1,2,3,4},XT!U78,XT!Y78,XT!AC78,XT!AG78))=6)*(CHOOSE({1,2,3,4},XT!X78,XT!AB78,XT!AF78,XT!AJ78)))</f>
        <v>0</v>
      </c>
      <c r="V78" t="str">
        <f>IFERROR(INDEX(CHOOSE({1,2,3,4}, DAY(XT!U78), DAY(XT!Y78), DAY(XT!AC78), DAY(XT!AG78)), MATCH(1, INDEX(--(MONTH(CHOOSE({1,2,3,4}, XT!U78,XT!Y78,XT!AC78,XT!AG78))=6), 0), 0)), "")</f>
        <v/>
      </c>
      <c r="W78" s="51" t="str">
        <f>IF(XT!$P78&gt;0,V78,"")</f>
        <v/>
      </c>
      <c r="X78" s="51" t="str">
        <f>IF(XT!$P78=0,V78,"")</f>
        <v/>
      </c>
      <c r="Y78">
        <f>SUMPRODUCT((MONTH(CHOOSE({1,2,3,4},XT!U78,XT!Y78,XT!AC78,XT!AG78))=7)*(CHOOSE({1,2,3,4},XT!X78,XT!AB78,XT!AF78,XT!AJ78)))</f>
        <v>0</v>
      </c>
      <c r="Z78" t="str">
        <f>IFERROR(INDEX(CHOOSE({1,2,3,4}, DAY(XT!U78), DAY(XT!Y78), DAY(XT!AC78), DAY(XT!AG78)), MATCH(1, INDEX(--(MONTH(CHOOSE({1,2,3,4}, XT!U78,XT!Y78,XT!AC78,XT!AG78))=7), 0), 0)), "")</f>
        <v/>
      </c>
      <c r="AA78" s="51" t="str">
        <f>IF(XT!$P78&gt;0,Z78,"")</f>
        <v/>
      </c>
      <c r="AB78" s="51" t="str">
        <f>IF(XT!$P78=0,Z78,"")</f>
        <v/>
      </c>
      <c r="AC78">
        <f>SUMPRODUCT((MONTH(CHOOSE({1,2,3,4},XT!U78,XT!Y78,XT!AC78,XT!AG78))=8)*(CHOOSE({1,2,3,4},XT!X78,XT!AB78,XT!AF78,XT!AJ78)))</f>
        <v>0</v>
      </c>
      <c r="AD78" t="str">
        <f>IFERROR(INDEX(CHOOSE({1,2,3,4}, DAY(XT!U78), DAY(XT!Y78), DAY(XT!AC78), DAY(XT!AG78)), MATCH(1, INDEX(--(MONTH(CHOOSE({1,2,3,4}, XT!U78,XT!Y78,XT!AC78,XT!AG78))=8), 0), 0)), "")</f>
        <v/>
      </c>
      <c r="AE78" s="51" t="str">
        <f>IF(XT!$P78&gt;0,AD78,"")</f>
        <v/>
      </c>
      <c r="AF78" s="51" t="str">
        <f>IF(XT!$P78=0,AD78,"")</f>
        <v/>
      </c>
      <c r="AG78">
        <f>SUMPRODUCT((MONTH(CHOOSE({1,2,3,4},XT!U78,XT!Y78,XT!AC78,XT!AG78))=9)*(CHOOSE({1,2,3,4},XT!X78,XT!AB78,XT!AF78,XT!AJ78)))</f>
        <v>0</v>
      </c>
      <c r="AH78" t="str">
        <f>IFERROR(INDEX(CHOOSE({1,2,3,4}, DAY(XT!U78), DAY(XT!Y78), DAY(XT!AC78), DAY(XT!AG78)), MATCH(1, INDEX(--(MONTH(CHOOSE({1,2,3,4}, XT!U78,XT!Y78,XT!AC78,XT!AG78))=9), 0), 0)), "")</f>
        <v/>
      </c>
      <c r="AI78" s="51" t="str">
        <f>IF(XT!$P78&gt;0,AH78,"")</f>
        <v/>
      </c>
      <c r="AJ78" s="51" t="str">
        <f>IF(XT!$P78=0,AH78,"")</f>
        <v/>
      </c>
      <c r="AK78">
        <f>SUMPRODUCT((MONTH(CHOOSE({1,2,3,4},XT!U78,XT!Y78,XT!AC78,XT!AG78))=10)*(CHOOSE({1,2,3,4},XT!X78,XT!AB78,XT!AF78,XT!AJ78)))</f>
        <v>0</v>
      </c>
      <c r="AL78" t="str">
        <f>IFERROR(INDEX(CHOOSE({1,2,3,4}, DAY(XT!U78), DAY(XT!Y78), DAY(XT!AC78), DAY(XT!AG78)), MATCH(1, INDEX(--(MONTH(CHOOSE({1,2,3,4}, XT!U78,XT!Y78,XT!AC78,XT!AG78))=10), 0), 0)), "")</f>
        <v/>
      </c>
      <c r="AM78" s="51" t="str">
        <f>IF(XT!$P78&gt;0,AL78,"")</f>
        <v/>
      </c>
      <c r="AN78" s="51" t="str">
        <f>IF(XT!$P78=0,AL78,"")</f>
        <v/>
      </c>
      <c r="AO78">
        <f>SUMPRODUCT((MONTH(CHOOSE({1,2,3,4},XT!U78,XT!Y78,XT!AC78,XT!AG78))=11)*(CHOOSE({1,2,3,4},XT!X78,XT!AB78,XT!AF78,XT!AJ78)))</f>
        <v>0</v>
      </c>
      <c r="AP78" t="str">
        <f>IFERROR(INDEX(CHOOSE({1,2,3,4}, DAY(XT!U78), DAY(XT!Y78), DAY(XT!AC78), DAY(XT!AG78)), MATCH(1, INDEX(--(MONTH(CHOOSE({1,2,3,4}, XT!U78,XT!Y78,XT!AC78,XT!AG78))=11), 0), 0)), "")</f>
        <v/>
      </c>
      <c r="AQ78" s="51" t="str">
        <f>IF(XT!$P78&gt;0,AP78,"")</f>
        <v/>
      </c>
      <c r="AR78" s="51" t="str">
        <f>IF(XT!$P78=0,AP78,"")</f>
        <v/>
      </c>
      <c r="AS78">
        <f>SUMPRODUCT((MONTH(CHOOSE({1,2,3,4},XT!U78,XT!Y78,XT!AC78,XT!AG78))=12)*(CHOOSE({1,2,3,4},XT!X78,XT!AB78,XT!AF78,XT!AJ78)))</f>
        <v>0</v>
      </c>
      <c r="AT78" t="str">
        <f>IFERROR(INDEX(CHOOSE({1,2,3,4}, DAY(XT!U78), DAY(XT!Y78), DAY(XT!AC78), DAY(XT!AG78)), MATCH(1, INDEX(--(MONTH(CHOOSE({1,2,3,4}, XT!U78,XT!Y78,XT!AC78,XT!AG78))=12), 0), 0)), "")</f>
        <v/>
      </c>
      <c r="AU78" s="51" t="str">
        <f>IF(XT!$P78&gt;0,AT78,"")</f>
        <v/>
      </c>
      <c r="AV78" s="51" t="str">
        <f>IF(XT!$P78=0,AT78,"")</f>
        <v/>
      </c>
    </row>
    <row r="79" spans="1:48">
      <c r="A79">
        <f>SUMPRODUCT((MONTH(CHOOSE({1,2,3,4},XT!U79,XT!Y79,XT!AC79,XT!AG79))=1)*(CHOOSE({1,2,3,4},XT!X79,XT!AB79,XT!AF79,XT!AJ79)))</f>
        <v>0</v>
      </c>
      <c r="B79">
        <f>IFERROR(INDEX(CHOOSE({1,2,3,4}, DAY(XT!U79), DAY(XT!Y79), DAY(XT!AC79), DAY(XT!AG79)), MATCH(1, INDEX(--(MONTH(CHOOSE({1,2,3,4}, XT!U79,XT!Y79,XT!AC79,XT!AG79))=1), 0), 0)), "")</f>
        <v>0</v>
      </c>
      <c r="C79" s="51" t="str">
        <f>IF(XT!$P79&gt;0,B79,"")</f>
        <v/>
      </c>
      <c r="D79" s="51">
        <f>IF(XT!$P79=0,B79,"")</f>
        <v>0</v>
      </c>
      <c r="E79">
        <f>SUMPRODUCT((MONTH(CHOOSE({1,2,3,4},XT!U79,XT!Y79,XT!AC79,XT!AG79))=2)*(CHOOSE({1,2,3,4},XT!X79,XT!AB79,XT!AF79,XT!AJ79)))</f>
        <v>0</v>
      </c>
      <c r="F79" t="str">
        <f>IFERROR(INDEX(CHOOSE({1,2,3,4}, DAY(XT!U79), DAY(XT!Y79), DAY(XT!AC79), DAY(XT!AG79)), MATCH(1, INDEX(--(MONTH(CHOOSE({1,2,3,4}, XT!U79,XT!Y79,XT!AC79,XT!AG79))=2), 0), 0)), "")</f>
        <v/>
      </c>
      <c r="G79" s="51" t="str">
        <f>IF(XT!$P79&gt;0,F79,"")</f>
        <v/>
      </c>
      <c r="H79" s="51" t="str">
        <f>IF(XT!$P79=0,F79,"")</f>
        <v/>
      </c>
      <c r="I79">
        <f>SUMPRODUCT((MONTH(CHOOSE({1,2,3,4},XT!U79,XT!Y79,XT!AC79,XT!AG79))=3)*(CHOOSE({1,2,3,4},XT!X79,XT!AB79,XT!AF79,XT!AJ79)))</f>
        <v>0</v>
      </c>
      <c r="J79" t="str">
        <f>IFERROR(INDEX(CHOOSE({1,2,3,4}, DAY(XT!U79), DAY(XT!Y79), DAY(XT!AC79), DAY(XT!AG79)), MATCH(1, INDEX(--(MONTH(CHOOSE({1,2,3,4}, XT!U79,XT!Y79,XT!AC79,XT!AG79))=3), 0), 0)), "")</f>
        <v/>
      </c>
      <c r="K79" s="51" t="str">
        <f>IF(XT!$P79&gt;0,J79,"")</f>
        <v/>
      </c>
      <c r="L79" s="51" t="str">
        <f>IF(XT!$P79=0,J79,"")</f>
        <v/>
      </c>
      <c r="M79">
        <f>SUMPRODUCT((MONTH(CHOOSE({1,2,3,4},XT!U79,XT!Y79,XT!AC79,XT!AG79))=4)*(CHOOSE({1,2,3,4},XT!X79,XT!AB79,XT!AF79,XT!AJ79)))</f>
        <v>0</v>
      </c>
      <c r="N79" t="str">
        <f>IFERROR(INDEX(CHOOSE({1,2,3,4}, DAY(XT!U79), DAY(XT!Y79), DAY(XT!AC79), DAY(XT!AG79)), MATCH(1, INDEX(--(MONTH(CHOOSE({1,2,3,4}, XT!U79,XT!Y79,XT!AC79,XT!AG79))=4), 0), 0)), "")</f>
        <v/>
      </c>
      <c r="O79" s="51" t="str">
        <f>IF(XT!$P79&gt;0,N79,"")</f>
        <v/>
      </c>
      <c r="P79" s="51" t="str">
        <f>IF(XT!$P79=0,N79,"")</f>
        <v/>
      </c>
      <c r="Q79">
        <f>SUMPRODUCT((MONTH(CHOOSE({1,2,3,4},XT!U79,XT!Y79,XT!AC79,XT!AG79))=5)*(CHOOSE({1,2,3,4},XT!X79,XT!AB79,XT!AF79,XT!AJ79)))</f>
        <v>0</v>
      </c>
      <c r="R79" t="str">
        <f>IFERROR(INDEX(CHOOSE({1,2,3,4}, DAY(XT!U79), DAY(XT!Y79), DAY(XT!AC79), DAY(XT!AG79)), MATCH(1, INDEX(--(MONTH(CHOOSE({1,2,3,4}, XT!U79,XT!Y79,XT!AC79,XT!AG79))=5), 0), 0)), "")</f>
        <v/>
      </c>
      <c r="S79" s="51" t="str">
        <f>IF(XT!$P79&gt;0,R79,"")</f>
        <v/>
      </c>
      <c r="T79" s="51" t="str">
        <f>IF(XT!$P79=0,R79,"")</f>
        <v/>
      </c>
      <c r="U79">
        <f>SUMPRODUCT((MONTH(CHOOSE({1,2,3,4},XT!U79,XT!Y79,XT!AC79,XT!AG79))=6)*(CHOOSE({1,2,3,4},XT!X79,XT!AB79,XT!AF79,XT!AJ79)))</f>
        <v>0</v>
      </c>
      <c r="V79" t="str">
        <f>IFERROR(INDEX(CHOOSE({1,2,3,4}, DAY(XT!U79), DAY(XT!Y79), DAY(XT!AC79), DAY(XT!AG79)), MATCH(1, INDEX(--(MONTH(CHOOSE({1,2,3,4}, XT!U79,XT!Y79,XT!AC79,XT!AG79))=6), 0), 0)), "")</f>
        <v/>
      </c>
      <c r="W79" s="51" t="str">
        <f>IF(XT!$P79&gt;0,V79,"")</f>
        <v/>
      </c>
      <c r="X79" s="51" t="str">
        <f>IF(XT!$P79=0,V79,"")</f>
        <v/>
      </c>
      <c r="Y79">
        <f>SUMPRODUCT((MONTH(CHOOSE({1,2,3,4},XT!U79,XT!Y79,XT!AC79,XT!AG79))=7)*(CHOOSE({1,2,3,4},XT!X79,XT!AB79,XT!AF79,XT!AJ79)))</f>
        <v>0</v>
      </c>
      <c r="Z79" t="str">
        <f>IFERROR(INDEX(CHOOSE({1,2,3,4}, DAY(XT!U79), DAY(XT!Y79), DAY(XT!AC79), DAY(XT!AG79)), MATCH(1, INDEX(--(MONTH(CHOOSE({1,2,3,4}, XT!U79,XT!Y79,XT!AC79,XT!AG79))=7), 0), 0)), "")</f>
        <v/>
      </c>
      <c r="AA79" s="51" t="str">
        <f>IF(XT!$P79&gt;0,Z79,"")</f>
        <v/>
      </c>
      <c r="AB79" s="51" t="str">
        <f>IF(XT!$P79=0,Z79,"")</f>
        <v/>
      </c>
      <c r="AC79">
        <f>SUMPRODUCT((MONTH(CHOOSE({1,2,3,4},XT!U79,XT!Y79,XT!AC79,XT!AG79))=8)*(CHOOSE({1,2,3,4},XT!X79,XT!AB79,XT!AF79,XT!AJ79)))</f>
        <v>0</v>
      </c>
      <c r="AD79" t="str">
        <f>IFERROR(INDEX(CHOOSE({1,2,3,4}, DAY(XT!U79), DAY(XT!Y79), DAY(XT!AC79), DAY(XT!AG79)), MATCH(1, INDEX(--(MONTH(CHOOSE({1,2,3,4}, XT!U79,XT!Y79,XT!AC79,XT!AG79))=8), 0), 0)), "")</f>
        <v/>
      </c>
      <c r="AE79" s="51" t="str">
        <f>IF(XT!$P79&gt;0,AD79,"")</f>
        <v/>
      </c>
      <c r="AF79" s="51" t="str">
        <f>IF(XT!$P79=0,AD79,"")</f>
        <v/>
      </c>
      <c r="AG79">
        <f>SUMPRODUCT((MONTH(CHOOSE({1,2,3,4},XT!U79,XT!Y79,XT!AC79,XT!AG79))=9)*(CHOOSE({1,2,3,4},XT!X79,XT!AB79,XT!AF79,XT!AJ79)))</f>
        <v>0</v>
      </c>
      <c r="AH79" t="str">
        <f>IFERROR(INDEX(CHOOSE({1,2,3,4}, DAY(XT!U79), DAY(XT!Y79), DAY(XT!AC79), DAY(XT!AG79)), MATCH(1, INDEX(--(MONTH(CHOOSE({1,2,3,4}, XT!U79,XT!Y79,XT!AC79,XT!AG79))=9), 0), 0)), "")</f>
        <v/>
      </c>
      <c r="AI79" s="51" t="str">
        <f>IF(XT!$P79&gt;0,AH79,"")</f>
        <v/>
      </c>
      <c r="AJ79" s="51" t="str">
        <f>IF(XT!$P79=0,AH79,"")</f>
        <v/>
      </c>
      <c r="AK79">
        <f>SUMPRODUCT((MONTH(CHOOSE({1,2,3,4},XT!U79,XT!Y79,XT!AC79,XT!AG79))=10)*(CHOOSE({1,2,3,4},XT!X79,XT!AB79,XT!AF79,XT!AJ79)))</f>
        <v>0</v>
      </c>
      <c r="AL79" t="str">
        <f>IFERROR(INDEX(CHOOSE({1,2,3,4}, DAY(XT!U79), DAY(XT!Y79), DAY(XT!AC79), DAY(XT!AG79)), MATCH(1, INDEX(--(MONTH(CHOOSE({1,2,3,4}, XT!U79,XT!Y79,XT!AC79,XT!AG79))=10), 0), 0)), "")</f>
        <v/>
      </c>
      <c r="AM79" s="51" t="str">
        <f>IF(XT!$P79&gt;0,AL79,"")</f>
        <v/>
      </c>
      <c r="AN79" s="51" t="str">
        <f>IF(XT!$P79=0,AL79,"")</f>
        <v/>
      </c>
      <c r="AO79">
        <f>SUMPRODUCT((MONTH(CHOOSE({1,2,3,4},XT!U79,XT!Y79,XT!AC79,XT!AG79))=11)*(CHOOSE({1,2,3,4},XT!X79,XT!AB79,XT!AF79,XT!AJ79)))</f>
        <v>0</v>
      </c>
      <c r="AP79" t="str">
        <f>IFERROR(INDEX(CHOOSE({1,2,3,4}, DAY(XT!U79), DAY(XT!Y79), DAY(XT!AC79), DAY(XT!AG79)), MATCH(1, INDEX(--(MONTH(CHOOSE({1,2,3,4}, XT!U79,XT!Y79,XT!AC79,XT!AG79))=11), 0), 0)), "")</f>
        <v/>
      </c>
      <c r="AQ79" s="51" t="str">
        <f>IF(XT!$P79&gt;0,AP79,"")</f>
        <v/>
      </c>
      <c r="AR79" s="51" t="str">
        <f>IF(XT!$P79=0,AP79,"")</f>
        <v/>
      </c>
      <c r="AS79">
        <f>SUMPRODUCT((MONTH(CHOOSE({1,2,3,4},XT!U79,XT!Y79,XT!AC79,XT!AG79))=12)*(CHOOSE({1,2,3,4},XT!X79,XT!AB79,XT!AF79,XT!AJ79)))</f>
        <v>0</v>
      </c>
      <c r="AT79" t="str">
        <f>IFERROR(INDEX(CHOOSE({1,2,3,4}, DAY(XT!U79), DAY(XT!Y79), DAY(XT!AC79), DAY(XT!AG79)), MATCH(1, INDEX(--(MONTH(CHOOSE({1,2,3,4}, XT!U79,XT!Y79,XT!AC79,XT!AG79))=12), 0), 0)), "")</f>
        <v/>
      </c>
      <c r="AU79" s="51" t="str">
        <f>IF(XT!$P79&gt;0,AT79,"")</f>
        <v/>
      </c>
      <c r="AV79" s="51" t="str">
        <f>IF(XT!$P79=0,AT79,"")</f>
        <v/>
      </c>
    </row>
    <row r="80" spans="1:48">
      <c r="A80">
        <f>SUMPRODUCT((MONTH(CHOOSE({1,2,3,4},XT!U80,XT!Y80,XT!AC80,XT!AG80))=1)*(CHOOSE({1,2,3,4},XT!X80,XT!AB80,XT!AF80,XT!AJ80)))</f>
        <v>0</v>
      </c>
      <c r="B80">
        <f>IFERROR(INDEX(CHOOSE({1,2,3,4}, DAY(XT!U80), DAY(XT!Y80), DAY(XT!AC80), DAY(XT!AG80)), MATCH(1, INDEX(--(MONTH(CHOOSE({1,2,3,4}, XT!U80,XT!Y80,XT!AC80,XT!AG80))=1), 0), 0)), "")</f>
        <v>0</v>
      </c>
      <c r="C80" s="51" t="str">
        <f>IF(XT!$P80&gt;0,B80,"")</f>
        <v/>
      </c>
      <c r="D80" s="51">
        <f>IF(XT!$P80=0,B80,"")</f>
        <v>0</v>
      </c>
      <c r="E80">
        <f>SUMPRODUCT((MONTH(CHOOSE({1,2,3,4},XT!U80,XT!Y80,XT!AC80,XT!AG80))=2)*(CHOOSE({1,2,3,4},XT!X80,XT!AB80,XT!AF80,XT!AJ80)))</f>
        <v>0</v>
      </c>
      <c r="F80" t="str">
        <f>IFERROR(INDEX(CHOOSE({1,2,3,4}, DAY(XT!U80), DAY(XT!Y80), DAY(XT!AC80), DAY(XT!AG80)), MATCH(1, INDEX(--(MONTH(CHOOSE({1,2,3,4}, XT!U80,XT!Y80,XT!AC80,XT!AG80))=2), 0), 0)), "")</f>
        <v/>
      </c>
      <c r="G80" s="51" t="str">
        <f>IF(XT!$P80&gt;0,F80,"")</f>
        <v/>
      </c>
      <c r="H80" s="51" t="str">
        <f>IF(XT!$P80=0,F80,"")</f>
        <v/>
      </c>
      <c r="I80">
        <f>SUMPRODUCT((MONTH(CHOOSE({1,2,3,4},XT!U80,XT!Y80,XT!AC80,XT!AG80))=3)*(CHOOSE({1,2,3,4},XT!X80,XT!AB80,XT!AF80,XT!AJ80)))</f>
        <v>0</v>
      </c>
      <c r="J80" t="str">
        <f>IFERROR(INDEX(CHOOSE({1,2,3,4}, DAY(XT!U80), DAY(XT!Y80), DAY(XT!AC80), DAY(XT!AG80)), MATCH(1, INDEX(--(MONTH(CHOOSE({1,2,3,4}, XT!U80,XT!Y80,XT!AC80,XT!AG80))=3), 0), 0)), "")</f>
        <v/>
      </c>
      <c r="K80" s="51" t="str">
        <f>IF(XT!$P80&gt;0,J80,"")</f>
        <v/>
      </c>
      <c r="L80" s="51" t="str">
        <f>IF(XT!$P80=0,J80,"")</f>
        <v/>
      </c>
      <c r="M80">
        <f>SUMPRODUCT((MONTH(CHOOSE({1,2,3,4},XT!U80,XT!Y80,XT!AC80,XT!AG80))=4)*(CHOOSE({1,2,3,4},XT!X80,XT!AB80,XT!AF80,XT!AJ80)))</f>
        <v>0</v>
      </c>
      <c r="N80" t="str">
        <f>IFERROR(INDEX(CHOOSE({1,2,3,4}, DAY(XT!U80), DAY(XT!Y80), DAY(XT!AC80), DAY(XT!AG80)), MATCH(1, INDEX(--(MONTH(CHOOSE({1,2,3,4}, XT!U80,XT!Y80,XT!AC80,XT!AG80))=4), 0), 0)), "")</f>
        <v/>
      </c>
      <c r="O80" s="51" t="str">
        <f>IF(XT!$P80&gt;0,N80,"")</f>
        <v/>
      </c>
      <c r="P80" s="51" t="str">
        <f>IF(XT!$P80=0,N80,"")</f>
        <v/>
      </c>
      <c r="Q80">
        <f>SUMPRODUCT((MONTH(CHOOSE({1,2,3,4},XT!U80,XT!Y80,XT!AC80,XT!AG80))=5)*(CHOOSE({1,2,3,4},XT!X80,XT!AB80,XT!AF80,XT!AJ80)))</f>
        <v>0</v>
      </c>
      <c r="R80" t="str">
        <f>IFERROR(INDEX(CHOOSE({1,2,3,4}, DAY(XT!U80), DAY(XT!Y80), DAY(XT!AC80), DAY(XT!AG80)), MATCH(1, INDEX(--(MONTH(CHOOSE({1,2,3,4}, XT!U80,XT!Y80,XT!AC80,XT!AG80))=5), 0), 0)), "")</f>
        <v/>
      </c>
      <c r="S80" s="51" t="str">
        <f>IF(XT!$P80&gt;0,R80,"")</f>
        <v/>
      </c>
      <c r="T80" s="51" t="str">
        <f>IF(XT!$P80=0,R80,"")</f>
        <v/>
      </c>
      <c r="U80">
        <f>SUMPRODUCT((MONTH(CHOOSE({1,2,3,4},XT!U80,XT!Y80,XT!AC80,XT!AG80))=6)*(CHOOSE({1,2,3,4},XT!X80,XT!AB80,XT!AF80,XT!AJ80)))</f>
        <v>0</v>
      </c>
      <c r="V80" t="str">
        <f>IFERROR(INDEX(CHOOSE({1,2,3,4}, DAY(XT!U80), DAY(XT!Y80), DAY(XT!AC80), DAY(XT!AG80)), MATCH(1, INDEX(--(MONTH(CHOOSE({1,2,3,4}, XT!U80,XT!Y80,XT!AC80,XT!AG80))=6), 0), 0)), "")</f>
        <v/>
      </c>
      <c r="W80" s="51" t="str">
        <f>IF(XT!$P80&gt;0,V80,"")</f>
        <v/>
      </c>
      <c r="X80" s="51" t="str">
        <f>IF(XT!$P80=0,V80,"")</f>
        <v/>
      </c>
      <c r="Y80">
        <f>SUMPRODUCT((MONTH(CHOOSE({1,2,3,4},XT!U80,XT!Y80,XT!AC80,XT!AG80))=7)*(CHOOSE({1,2,3,4},XT!X80,XT!AB80,XT!AF80,XT!AJ80)))</f>
        <v>0</v>
      </c>
      <c r="Z80" t="str">
        <f>IFERROR(INDEX(CHOOSE({1,2,3,4}, DAY(XT!U80), DAY(XT!Y80), DAY(XT!AC80), DAY(XT!AG80)), MATCH(1, INDEX(--(MONTH(CHOOSE({1,2,3,4}, XT!U80,XT!Y80,XT!AC80,XT!AG80))=7), 0), 0)), "")</f>
        <v/>
      </c>
      <c r="AA80" s="51" t="str">
        <f>IF(XT!$P80&gt;0,Z80,"")</f>
        <v/>
      </c>
      <c r="AB80" s="51" t="str">
        <f>IF(XT!$P80=0,Z80,"")</f>
        <v/>
      </c>
      <c r="AC80">
        <f>SUMPRODUCT((MONTH(CHOOSE({1,2,3,4},XT!U80,XT!Y80,XT!AC80,XT!AG80))=8)*(CHOOSE({1,2,3,4},XT!X80,XT!AB80,XT!AF80,XT!AJ80)))</f>
        <v>0</v>
      </c>
      <c r="AD80" t="str">
        <f>IFERROR(INDEX(CHOOSE({1,2,3,4}, DAY(XT!U80), DAY(XT!Y80), DAY(XT!AC80), DAY(XT!AG80)), MATCH(1, INDEX(--(MONTH(CHOOSE({1,2,3,4}, XT!U80,XT!Y80,XT!AC80,XT!AG80))=8), 0), 0)), "")</f>
        <v/>
      </c>
      <c r="AE80" s="51" t="str">
        <f>IF(XT!$P80&gt;0,AD80,"")</f>
        <v/>
      </c>
      <c r="AF80" s="51" t="str">
        <f>IF(XT!$P80=0,AD80,"")</f>
        <v/>
      </c>
      <c r="AG80">
        <f>SUMPRODUCT((MONTH(CHOOSE({1,2,3,4},XT!U80,XT!Y80,XT!AC80,XT!AG80))=9)*(CHOOSE({1,2,3,4},XT!X80,XT!AB80,XT!AF80,XT!AJ80)))</f>
        <v>0</v>
      </c>
      <c r="AH80" t="str">
        <f>IFERROR(INDEX(CHOOSE({1,2,3,4}, DAY(XT!U80), DAY(XT!Y80), DAY(XT!AC80), DAY(XT!AG80)), MATCH(1, INDEX(--(MONTH(CHOOSE({1,2,3,4}, XT!U80,XT!Y80,XT!AC80,XT!AG80))=9), 0), 0)), "")</f>
        <v/>
      </c>
      <c r="AI80" s="51" t="str">
        <f>IF(XT!$P80&gt;0,AH80,"")</f>
        <v/>
      </c>
      <c r="AJ80" s="51" t="str">
        <f>IF(XT!$P80=0,AH80,"")</f>
        <v/>
      </c>
      <c r="AK80">
        <f>SUMPRODUCT((MONTH(CHOOSE({1,2,3,4},XT!U80,XT!Y80,XT!AC80,XT!AG80))=10)*(CHOOSE({1,2,3,4},XT!X80,XT!AB80,XT!AF80,XT!AJ80)))</f>
        <v>0</v>
      </c>
      <c r="AL80" t="str">
        <f>IFERROR(INDEX(CHOOSE({1,2,3,4}, DAY(XT!U80), DAY(XT!Y80), DAY(XT!AC80), DAY(XT!AG80)), MATCH(1, INDEX(--(MONTH(CHOOSE({1,2,3,4}, XT!U80,XT!Y80,XT!AC80,XT!AG80))=10), 0), 0)), "")</f>
        <v/>
      </c>
      <c r="AM80" s="51" t="str">
        <f>IF(XT!$P80&gt;0,AL80,"")</f>
        <v/>
      </c>
      <c r="AN80" s="51" t="str">
        <f>IF(XT!$P80=0,AL80,"")</f>
        <v/>
      </c>
      <c r="AO80">
        <f>SUMPRODUCT((MONTH(CHOOSE({1,2,3,4},XT!U80,XT!Y80,XT!AC80,XT!AG80))=11)*(CHOOSE({1,2,3,4},XT!X80,XT!AB80,XT!AF80,XT!AJ80)))</f>
        <v>0</v>
      </c>
      <c r="AP80" t="str">
        <f>IFERROR(INDEX(CHOOSE({1,2,3,4}, DAY(XT!U80), DAY(XT!Y80), DAY(XT!AC80), DAY(XT!AG80)), MATCH(1, INDEX(--(MONTH(CHOOSE({1,2,3,4}, XT!U80,XT!Y80,XT!AC80,XT!AG80))=11), 0), 0)), "")</f>
        <v/>
      </c>
      <c r="AQ80" s="51" t="str">
        <f>IF(XT!$P80&gt;0,AP80,"")</f>
        <v/>
      </c>
      <c r="AR80" s="51" t="str">
        <f>IF(XT!$P80=0,AP80,"")</f>
        <v/>
      </c>
      <c r="AS80">
        <f>SUMPRODUCT((MONTH(CHOOSE({1,2,3,4},XT!U80,XT!Y80,XT!AC80,XT!AG80))=12)*(CHOOSE({1,2,3,4},XT!X80,XT!AB80,XT!AF80,XT!AJ80)))</f>
        <v>0</v>
      </c>
      <c r="AT80" t="str">
        <f>IFERROR(INDEX(CHOOSE({1,2,3,4}, DAY(XT!U80), DAY(XT!Y80), DAY(XT!AC80), DAY(XT!AG80)), MATCH(1, INDEX(--(MONTH(CHOOSE({1,2,3,4}, XT!U80,XT!Y80,XT!AC80,XT!AG80))=12), 0), 0)), "")</f>
        <v/>
      </c>
      <c r="AU80" s="51" t="str">
        <f>IF(XT!$P80&gt;0,AT80,"")</f>
        <v/>
      </c>
      <c r="AV80" s="51" t="str">
        <f>IF(XT!$P80=0,AT80,"")</f>
        <v/>
      </c>
    </row>
    <row r="81" spans="1:48">
      <c r="A81">
        <f>SUMPRODUCT((MONTH(CHOOSE({1,2,3,4},XT!U81,XT!Y81,XT!AC81,XT!AG81))=1)*(CHOOSE({1,2,3,4},XT!X81,XT!AB81,XT!AF81,XT!AJ81)))</f>
        <v>0</v>
      </c>
      <c r="B81">
        <f>IFERROR(INDEX(CHOOSE({1,2,3,4}, DAY(XT!U81), DAY(XT!Y81), DAY(XT!AC81), DAY(XT!AG81)), MATCH(1, INDEX(--(MONTH(CHOOSE({1,2,3,4}, XT!U81,XT!Y81,XT!AC81,XT!AG81))=1), 0), 0)), "")</f>
        <v>0</v>
      </c>
      <c r="C81" s="51" t="str">
        <f>IF(XT!$P81&gt;0,B81,"")</f>
        <v/>
      </c>
      <c r="D81" s="51">
        <f>IF(XT!$P81=0,B81,"")</f>
        <v>0</v>
      </c>
      <c r="E81">
        <f>SUMPRODUCT((MONTH(CHOOSE({1,2,3,4},XT!U81,XT!Y81,XT!AC81,XT!AG81))=2)*(CHOOSE({1,2,3,4},XT!X81,XT!AB81,XT!AF81,XT!AJ81)))</f>
        <v>0</v>
      </c>
      <c r="F81" t="str">
        <f>IFERROR(INDEX(CHOOSE({1,2,3,4}, DAY(XT!U81), DAY(XT!Y81), DAY(XT!AC81), DAY(XT!AG81)), MATCH(1, INDEX(--(MONTH(CHOOSE({1,2,3,4}, XT!U81,XT!Y81,XT!AC81,XT!AG81))=2), 0), 0)), "")</f>
        <v/>
      </c>
      <c r="G81" s="51" t="str">
        <f>IF(XT!$P81&gt;0,F81,"")</f>
        <v/>
      </c>
      <c r="H81" s="51" t="str">
        <f>IF(XT!$P81=0,F81,"")</f>
        <v/>
      </c>
      <c r="I81">
        <f>SUMPRODUCT((MONTH(CHOOSE({1,2,3,4},XT!U81,XT!Y81,XT!AC81,XT!AG81))=3)*(CHOOSE({1,2,3,4},XT!X81,XT!AB81,XT!AF81,XT!AJ81)))</f>
        <v>0</v>
      </c>
      <c r="J81" t="str">
        <f>IFERROR(INDEX(CHOOSE({1,2,3,4}, DAY(XT!U81), DAY(XT!Y81), DAY(XT!AC81), DAY(XT!AG81)), MATCH(1, INDEX(--(MONTH(CHOOSE({1,2,3,4}, XT!U81,XT!Y81,XT!AC81,XT!AG81))=3), 0), 0)), "")</f>
        <v/>
      </c>
      <c r="K81" s="51" t="str">
        <f>IF(XT!$P81&gt;0,J81,"")</f>
        <v/>
      </c>
      <c r="L81" s="51" t="str">
        <f>IF(XT!$P81=0,J81,"")</f>
        <v/>
      </c>
      <c r="M81">
        <f>SUMPRODUCT((MONTH(CHOOSE({1,2,3,4},XT!U81,XT!Y81,XT!AC81,XT!AG81))=4)*(CHOOSE({1,2,3,4},XT!X81,XT!AB81,XT!AF81,XT!AJ81)))</f>
        <v>0</v>
      </c>
      <c r="N81" t="str">
        <f>IFERROR(INDEX(CHOOSE({1,2,3,4}, DAY(XT!U81), DAY(XT!Y81), DAY(XT!AC81), DAY(XT!AG81)), MATCH(1, INDEX(--(MONTH(CHOOSE({1,2,3,4}, XT!U81,XT!Y81,XT!AC81,XT!AG81))=4), 0), 0)), "")</f>
        <v/>
      </c>
      <c r="O81" s="51" t="str">
        <f>IF(XT!$P81&gt;0,N81,"")</f>
        <v/>
      </c>
      <c r="P81" s="51" t="str">
        <f>IF(XT!$P81=0,N81,"")</f>
        <v/>
      </c>
      <c r="Q81">
        <f>SUMPRODUCT((MONTH(CHOOSE({1,2,3,4},XT!U81,XT!Y81,XT!AC81,XT!AG81))=5)*(CHOOSE({1,2,3,4},XT!X81,XT!AB81,XT!AF81,XT!AJ81)))</f>
        <v>0</v>
      </c>
      <c r="R81" t="str">
        <f>IFERROR(INDEX(CHOOSE({1,2,3,4}, DAY(XT!U81), DAY(XT!Y81), DAY(XT!AC81), DAY(XT!AG81)), MATCH(1, INDEX(--(MONTH(CHOOSE({1,2,3,4}, XT!U81,XT!Y81,XT!AC81,XT!AG81))=5), 0), 0)), "")</f>
        <v/>
      </c>
      <c r="S81" s="51" t="str">
        <f>IF(XT!$P81&gt;0,R81,"")</f>
        <v/>
      </c>
      <c r="T81" s="51" t="str">
        <f>IF(XT!$P81=0,R81,"")</f>
        <v/>
      </c>
      <c r="U81">
        <f>SUMPRODUCT((MONTH(CHOOSE({1,2,3,4},XT!U81,XT!Y81,XT!AC81,XT!AG81))=6)*(CHOOSE({1,2,3,4},XT!X81,XT!AB81,XT!AF81,XT!AJ81)))</f>
        <v>0</v>
      </c>
      <c r="V81" t="str">
        <f>IFERROR(INDEX(CHOOSE({1,2,3,4}, DAY(XT!U81), DAY(XT!Y81), DAY(XT!AC81), DAY(XT!AG81)), MATCH(1, INDEX(--(MONTH(CHOOSE({1,2,3,4}, XT!U81,XT!Y81,XT!AC81,XT!AG81))=6), 0), 0)), "")</f>
        <v/>
      </c>
      <c r="W81" s="51" t="str">
        <f>IF(XT!$P81&gt;0,V81,"")</f>
        <v/>
      </c>
      <c r="X81" s="51" t="str">
        <f>IF(XT!$P81=0,V81,"")</f>
        <v/>
      </c>
      <c r="Y81">
        <f>SUMPRODUCT((MONTH(CHOOSE({1,2,3,4},XT!U81,XT!Y81,XT!AC81,XT!AG81))=7)*(CHOOSE({1,2,3,4},XT!X81,XT!AB81,XT!AF81,XT!AJ81)))</f>
        <v>0</v>
      </c>
      <c r="Z81" t="str">
        <f>IFERROR(INDEX(CHOOSE({1,2,3,4}, DAY(XT!U81), DAY(XT!Y81), DAY(XT!AC81), DAY(XT!AG81)), MATCH(1, INDEX(--(MONTH(CHOOSE({1,2,3,4}, XT!U81,XT!Y81,XT!AC81,XT!AG81))=7), 0), 0)), "")</f>
        <v/>
      </c>
      <c r="AA81" s="51" t="str">
        <f>IF(XT!$P81&gt;0,Z81,"")</f>
        <v/>
      </c>
      <c r="AB81" s="51" t="str">
        <f>IF(XT!$P81=0,Z81,"")</f>
        <v/>
      </c>
      <c r="AC81">
        <f>SUMPRODUCT((MONTH(CHOOSE({1,2,3,4},XT!U81,XT!Y81,XT!AC81,XT!AG81))=8)*(CHOOSE({1,2,3,4},XT!X81,XT!AB81,XT!AF81,XT!AJ81)))</f>
        <v>0</v>
      </c>
      <c r="AD81" t="str">
        <f>IFERROR(INDEX(CHOOSE({1,2,3,4}, DAY(XT!U81), DAY(XT!Y81), DAY(XT!AC81), DAY(XT!AG81)), MATCH(1, INDEX(--(MONTH(CHOOSE({1,2,3,4}, XT!U81,XT!Y81,XT!AC81,XT!AG81))=8), 0), 0)), "")</f>
        <v/>
      </c>
      <c r="AE81" s="51" t="str">
        <f>IF(XT!$P81&gt;0,AD81,"")</f>
        <v/>
      </c>
      <c r="AF81" s="51" t="str">
        <f>IF(XT!$P81=0,AD81,"")</f>
        <v/>
      </c>
      <c r="AG81">
        <f>SUMPRODUCT((MONTH(CHOOSE({1,2,3,4},XT!U81,XT!Y81,XT!AC81,XT!AG81))=9)*(CHOOSE({1,2,3,4},XT!X81,XT!AB81,XT!AF81,XT!AJ81)))</f>
        <v>0</v>
      </c>
      <c r="AH81" t="str">
        <f>IFERROR(INDEX(CHOOSE({1,2,3,4}, DAY(XT!U81), DAY(XT!Y81), DAY(XT!AC81), DAY(XT!AG81)), MATCH(1, INDEX(--(MONTH(CHOOSE({1,2,3,4}, XT!U81,XT!Y81,XT!AC81,XT!AG81))=9), 0), 0)), "")</f>
        <v/>
      </c>
      <c r="AI81" s="51" t="str">
        <f>IF(XT!$P81&gt;0,AH81,"")</f>
        <v/>
      </c>
      <c r="AJ81" s="51" t="str">
        <f>IF(XT!$P81=0,AH81,"")</f>
        <v/>
      </c>
      <c r="AK81">
        <f>SUMPRODUCT((MONTH(CHOOSE({1,2,3,4},XT!U81,XT!Y81,XT!AC81,XT!AG81))=10)*(CHOOSE({1,2,3,4},XT!X81,XT!AB81,XT!AF81,XT!AJ81)))</f>
        <v>0</v>
      </c>
      <c r="AL81" t="str">
        <f>IFERROR(INDEX(CHOOSE({1,2,3,4}, DAY(XT!U81), DAY(XT!Y81), DAY(XT!AC81), DAY(XT!AG81)), MATCH(1, INDEX(--(MONTH(CHOOSE({1,2,3,4}, XT!U81,XT!Y81,XT!AC81,XT!AG81))=10), 0), 0)), "")</f>
        <v/>
      </c>
      <c r="AM81" s="51" t="str">
        <f>IF(XT!$P81&gt;0,AL81,"")</f>
        <v/>
      </c>
      <c r="AN81" s="51" t="str">
        <f>IF(XT!$P81=0,AL81,"")</f>
        <v/>
      </c>
      <c r="AO81">
        <f>SUMPRODUCT((MONTH(CHOOSE({1,2,3,4},XT!U81,XT!Y81,XT!AC81,XT!AG81))=11)*(CHOOSE({1,2,3,4},XT!X81,XT!AB81,XT!AF81,XT!AJ81)))</f>
        <v>0</v>
      </c>
      <c r="AP81" t="str">
        <f>IFERROR(INDEX(CHOOSE({1,2,3,4}, DAY(XT!U81), DAY(XT!Y81), DAY(XT!AC81), DAY(XT!AG81)), MATCH(1, INDEX(--(MONTH(CHOOSE({1,2,3,4}, XT!U81,XT!Y81,XT!AC81,XT!AG81))=11), 0), 0)), "")</f>
        <v/>
      </c>
      <c r="AQ81" s="51" t="str">
        <f>IF(XT!$P81&gt;0,AP81,"")</f>
        <v/>
      </c>
      <c r="AR81" s="51" t="str">
        <f>IF(XT!$P81=0,AP81,"")</f>
        <v/>
      </c>
      <c r="AS81">
        <f>SUMPRODUCT((MONTH(CHOOSE({1,2,3,4},XT!U81,XT!Y81,XT!AC81,XT!AG81))=12)*(CHOOSE({1,2,3,4},XT!X81,XT!AB81,XT!AF81,XT!AJ81)))</f>
        <v>0</v>
      </c>
      <c r="AT81" t="str">
        <f>IFERROR(INDEX(CHOOSE({1,2,3,4}, DAY(XT!U81), DAY(XT!Y81), DAY(XT!AC81), DAY(XT!AG81)), MATCH(1, INDEX(--(MONTH(CHOOSE({1,2,3,4}, XT!U81,XT!Y81,XT!AC81,XT!AG81))=12), 0), 0)), "")</f>
        <v/>
      </c>
      <c r="AU81" s="51" t="str">
        <f>IF(XT!$P81&gt;0,AT81,"")</f>
        <v/>
      </c>
      <c r="AV81" s="51" t="str">
        <f>IF(XT!$P81=0,AT81,"")</f>
        <v/>
      </c>
    </row>
    <row r="82" spans="1:48">
      <c r="A82">
        <f>SUMPRODUCT((MONTH(CHOOSE({1,2,3,4},XT!U82,XT!Y82,XT!AC82,XT!AG82))=1)*(CHOOSE({1,2,3,4},XT!X82,XT!AB82,XT!AF82,XT!AJ82)))</f>
        <v>0</v>
      </c>
      <c r="B82">
        <f>IFERROR(INDEX(CHOOSE({1,2,3,4}, DAY(XT!U82), DAY(XT!Y82), DAY(XT!AC82), DAY(XT!AG82)), MATCH(1, INDEX(--(MONTH(CHOOSE({1,2,3,4}, XT!U82,XT!Y82,XT!AC82,XT!AG82))=1), 0), 0)), "")</f>
        <v>0</v>
      </c>
      <c r="C82" s="51" t="str">
        <f>IF(XT!$P82&gt;0,B82,"")</f>
        <v/>
      </c>
      <c r="D82" s="51">
        <f>IF(XT!$P82=0,B82,"")</f>
        <v>0</v>
      </c>
      <c r="E82">
        <f>SUMPRODUCT((MONTH(CHOOSE({1,2,3,4},XT!U82,XT!Y82,XT!AC82,XT!AG82))=2)*(CHOOSE({1,2,3,4},XT!X82,XT!AB82,XT!AF82,XT!AJ82)))</f>
        <v>0</v>
      </c>
      <c r="F82" t="str">
        <f>IFERROR(INDEX(CHOOSE({1,2,3,4}, DAY(XT!U82), DAY(XT!Y82), DAY(XT!AC82), DAY(XT!AG82)), MATCH(1, INDEX(--(MONTH(CHOOSE({1,2,3,4}, XT!U82,XT!Y82,XT!AC82,XT!AG82))=2), 0), 0)), "")</f>
        <v/>
      </c>
      <c r="G82" s="51" t="str">
        <f>IF(XT!$P82&gt;0,F82,"")</f>
        <v/>
      </c>
      <c r="H82" s="51" t="str">
        <f>IF(XT!$P82=0,F82,"")</f>
        <v/>
      </c>
      <c r="I82">
        <f>SUMPRODUCT((MONTH(CHOOSE({1,2,3,4},XT!U82,XT!Y82,XT!AC82,XT!AG82))=3)*(CHOOSE({1,2,3,4},XT!X82,XT!AB82,XT!AF82,XT!AJ82)))</f>
        <v>0</v>
      </c>
      <c r="J82" t="str">
        <f>IFERROR(INDEX(CHOOSE({1,2,3,4}, DAY(XT!U82), DAY(XT!Y82), DAY(XT!AC82), DAY(XT!AG82)), MATCH(1, INDEX(--(MONTH(CHOOSE({1,2,3,4}, XT!U82,XT!Y82,XT!AC82,XT!AG82))=3), 0), 0)), "")</f>
        <v/>
      </c>
      <c r="K82" s="51" t="str">
        <f>IF(XT!$P82&gt;0,J82,"")</f>
        <v/>
      </c>
      <c r="L82" s="51" t="str">
        <f>IF(XT!$P82=0,J82,"")</f>
        <v/>
      </c>
      <c r="M82">
        <f>SUMPRODUCT((MONTH(CHOOSE({1,2,3,4},XT!U82,XT!Y82,XT!AC82,XT!AG82))=4)*(CHOOSE({1,2,3,4},XT!X82,XT!AB82,XT!AF82,XT!AJ82)))</f>
        <v>0</v>
      </c>
      <c r="N82" t="str">
        <f>IFERROR(INDEX(CHOOSE({1,2,3,4}, DAY(XT!U82), DAY(XT!Y82), DAY(XT!AC82), DAY(XT!AG82)), MATCH(1, INDEX(--(MONTH(CHOOSE({1,2,3,4}, XT!U82,XT!Y82,XT!AC82,XT!AG82))=4), 0), 0)), "")</f>
        <v/>
      </c>
      <c r="O82" s="51" t="str">
        <f>IF(XT!$P82&gt;0,N82,"")</f>
        <v/>
      </c>
      <c r="P82" s="51" t="str">
        <f>IF(XT!$P82=0,N82,"")</f>
        <v/>
      </c>
      <c r="Q82">
        <f>SUMPRODUCT((MONTH(CHOOSE({1,2,3,4},XT!U82,XT!Y82,XT!AC82,XT!AG82))=5)*(CHOOSE({1,2,3,4},XT!X82,XT!AB82,XT!AF82,XT!AJ82)))</f>
        <v>0</v>
      </c>
      <c r="R82" t="str">
        <f>IFERROR(INDEX(CHOOSE({1,2,3,4}, DAY(XT!U82), DAY(XT!Y82), DAY(XT!AC82), DAY(XT!AG82)), MATCH(1, INDEX(--(MONTH(CHOOSE({1,2,3,4}, XT!U82,XT!Y82,XT!AC82,XT!AG82))=5), 0), 0)), "")</f>
        <v/>
      </c>
      <c r="S82" s="51" t="str">
        <f>IF(XT!$P82&gt;0,R82,"")</f>
        <v/>
      </c>
      <c r="T82" s="51" t="str">
        <f>IF(XT!$P82=0,R82,"")</f>
        <v/>
      </c>
      <c r="U82">
        <f>SUMPRODUCT((MONTH(CHOOSE({1,2,3,4},XT!U82,XT!Y82,XT!AC82,XT!AG82))=6)*(CHOOSE({1,2,3,4},XT!X82,XT!AB82,XT!AF82,XT!AJ82)))</f>
        <v>0</v>
      </c>
      <c r="V82" t="str">
        <f>IFERROR(INDEX(CHOOSE({1,2,3,4}, DAY(XT!U82), DAY(XT!Y82), DAY(XT!AC82), DAY(XT!AG82)), MATCH(1, INDEX(--(MONTH(CHOOSE({1,2,3,4}, XT!U82,XT!Y82,XT!AC82,XT!AG82))=6), 0), 0)), "")</f>
        <v/>
      </c>
      <c r="W82" s="51" t="str">
        <f>IF(XT!$P82&gt;0,V82,"")</f>
        <v/>
      </c>
      <c r="X82" s="51" t="str">
        <f>IF(XT!$P82=0,V82,"")</f>
        <v/>
      </c>
      <c r="Y82">
        <f>SUMPRODUCT((MONTH(CHOOSE({1,2,3,4},XT!U82,XT!Y82,XT!AC82,XT!AG82))=7)*(CHOOSE({1,2,3,4},XT!X82,XT!AB82,XT!AF82,XT!AJ82)))</f>
        <v>0</v>
      </c>
      <c r="Z82" t="str">
        <f>IFERROR(INDEX(CHOOSE({1,2,3,4}, DAY(XT!U82), DAY(XT!Y82), DAY(XT!AC82), DAY(XT!AG82)), MATCH(1, INDEX(--(MONTH(CHOOSE({1,2,3,4}, XT!U82,XT!Y82,XT!AC82,XT!AG82))=7), 0), 0)), "")</f>
        <v/>
      </c>
      <c r="AA82" s="51" t="str">
        <f>IF(XT!$P82&gt;0,Z82,"")</f>
        <v/>
      </c>
      <c r="AB82" s="51" t="str">
        <f>IF(XT!$P82=0,Z82,"")</f>
        <v/>
      </c>
      <c r="AC82">
        <f>SUMPRODUCT((MONTH(CHOOSE({1,2,3,4},XT!U82,XT!Y82,XT!AC82,XT!AG82))=8)*(CHOOSE({1,2,3,4},XT!X82,XT!AB82,XT!AF82,XT!AJ82)))</f>
        <v>0</v>
      </c>
      <c r="AD82" t="str">
        <f>IFERROR(INDEX(CHOOSE({1,2,3,4}, DAY(XT!U82), DAY(XT!Y82), DAY(XT!AC82), DAY(XT!AG82)), MATCH(1, INDEX(--(MONTH(CHOOSE({1,2,3,4}, XT!U82,XT!Y82,XT!AC82,XT!AG82))=8), 0), 0)), "")</f>
        <v/>
      </c>
      <c r="AE82" s="51" t="str">
        <f>IF(XT!$P82&gt;0,AD82,"")</f>
        <v/>
      </c>
      <c r="AF82" s="51" t="str">
        <f>IF(XT!$P82=0,AD82,"")</f>
        <v/>
      </c>
      <c r="AG82">
        <f>SUMPRODUCT((MONTH(CHOOSE({1,2,3,4},XT!U82,XT!Y82,XT!AC82,XT!AG82))=9)*(CHOOSE({1,2,3,4},XT!X82,XT!AB82,XT!AF82,XT!AJ82)))</f>
        <v>0</v>
      </c>
      <c r="AH82" t="str">
        <f>IFERROR(INDEX(CHOOSE({1,2,3,4}, DAY(XT!U82), DAY(XT!Y82), DAY(XT!AC82), DAY(XT!AG82)), MATCH(1, INDEX(--(MONTH(CHOOSE({1,2,3,4}, XT!U82,XT!Y82,XT!AC82,XT!AG82))=9), 0), 0)), "")</f>
        <v/>
      </c>
      <c r="AI82" s="51" t="str">
        <f>IF(XT!$P82&gt;0,AH82,"")</f>
        <v/>
      </c>
      <c r="AJ82" s="51" t="str">
        <f>IF(XT!$P82=0,AH82,"")</f>
        <v/>
      </c>
      <c r="AK82">
        <f>SUMPRODUCT((MONTH(CHOOSE({1,2,3,4},XT!U82,XT!Y82,XT!AC82,XT!AG82))=10)*(CHOOSE({1,2,3,4},XT!X82,XT!AB82,XT!AF82,XT!AJ82)))</f>
        <v>0</v>
      </c>
      <c r="AL82" t="str">
        <f>IFERROR(INDEX(CHOOSE({1,2,3,4}, DAY(XT!U82), DAY(XT!Y82), DAY(XT!AC82), DAY(XT!AG82)), MATCH(1, INDEX(--(MONTH(CHOOSE({1,2,3,4}, XT!U82,XT!Y82,XT!AC82,XT!AG82))=10), 0), 0)), "")</f>
        <v/>
      </c>
      <c r="AM82" s="51" t="str">
        <f>IF(XT!$P82&gt;0,AL82,"")</f>
        <v/>
      </c>
      <c r="AN82" s="51" t="str">
        <f>IF(XT!$P82=0,AL82,"")</f>
        <v/>
      </c>
      <c r="AO82">
        <f>SUMPRODUCT((MONTH(CHOOSE({1,2,3,4},XT!U82,XT!Y82,XT!AC82,XT!AG82))=11)*(CHOOSE({1,2,3,4},XT!X82,XT!AB82,XT!AF82,XT!AJ82)))</f>
        <v>0</v>
      </c>
      <c r="AP82" t="str">
        <f>IFERROR(INDEX(CHOOSE({1,2,3,4}, DAY(XT!U82), DAY(XT!Y82), DAY(XT!AC82), DAY(XT!AG82)), MATCH(1, INDEX(--(MONTH(CHOOSE({1,2,3,4}, XT!U82,XT!Y82,XT!AC82,XT!AG82))=11), 0), 0)), "")</f>
        <v/>
      </c>
      <c r="AQ82" s="51" t="str">
        <f>IF(XT!$P82&gt;0,AP82,"")</f>
        <v/>
      </c>
      <c r="AR82" s="51" t="str">
        <f>IF(XT!$P82=0,AP82,"")</f>
        <v/>
      </c>
      <c r="AS82">
        <f>SUMPRODUCT((MONTH(CHOOSE({1,2,3,4},XT!U82,XT!Y82,XT!AC82,XT!AG82))=12)*(CHOOSE({1,2,3,4},XT!X82,XT!AB82,XT!AF82,XT!AJ82)))</f>
        <v>0</v>
      </c>
      <c r="AT82" t="str">
        <f>IFERROR(INDEX(CHOOSE({1,2,3,4}, DAY(XT!U82), DAY(XT!Y82), DAY(XT!AC82), DAY(XT!AG82)), MATCH(1, INDEX(--(MONTH(CHOOSE({1,2,3,4}, XT!U82,XT!Y82,XT!AC82,XT!AG82))=12), 0), 0)), "")</f>
        <v/>
      </c>
      <c r="AU82" s="51" t="str">
        <f>IF(XT!$P82&gt;0,AT82,"")</f>
        <v/>
      </c>
      <c r="AV82" s="51" t="str">
        <f>IF(XT!$P82=0,AT82,"")</f>
        <v/>
      </c>
    </row>
    <row r="83" spans="1:48">
      <c r="A83">
        <f>SUMPRODUCT((MONTH(CHOOSE({1,2,3,4},XT!U83,XT!Y83,XT!AC83,XT!AG83))=1)*(CHOOSE({1,2,3,4},XT!X83,XT!AB83,XT!AF83,XT!AJ83)))</f>
        <v>0</v>
      </c>
      <c r="B83">
        <f>IFERROR(INDEX(CHOOSE({1,2,3,4}, DAY(XT!U83), DAY(XT!Y83), DAY(XT!AC83), DAY(XT!AG83)), MATCH(1, INDEX(--(MONTH(CHOOSE({1,2,3,4}, XT!U83,XT!Y83,XT!AC83,XT!AG83))=1), 0), 0)), "")</f>
        <v>0</v>
      </c>
      <c r="C83" s="51" t="str">
        <f>IF(XT!$P83&gt;0,B83,"")</f>
        <v/>
      </c>
      <c r="D83" s="51">
        <f>IF(XT!$P83=0,B83,"")</f>
        <v>0</v>
      </c>
      <c r="E83">
        <f>SUMPRODUCT((MONTH(CHOOSE({1,2,3,4},XT!U83,XT!Y83,XT!AC83,XT!AG83))=2)*(CHOOSE({1,2,3,4},XT!X83,XT!AB83,XT!AF83,XT!AJ83)))</f>
        <v>0</v>
      </c>
      <c r="F83" t="str">
        <f>IFERROR(INDEX(CHOOSE({1,2,3,4}, DAY(XT!U83), DAY(XT!Y83), DAY(XT!AC83), DAY(XT!AG83)), MATCH(1, INDEX(--(MONTH(CHOOSE({1,2,3,4}, XT!U83,XT!Y83,XT!AC83,XT!AG83))=2), 0), 0)), "")</f>
        <v/>
      </c>
      <c r="G83" s="51" t="str">
        <f>IF(XT!$P83&gt;0,F83,"")</f>
        <v/>
      </c>
      <c r="H83" s="51" t="str">
        <f>IF(XT!$P83=0,F83,"")</f>
        <v/>
      </c>
      <c r="I83">
        <f>SUMPRODUCT((MONTH(CHOOSE({1,2,3,4},XT!U83,XT!Y83,XT!AC83,XT!AG83))=3)*(CHOOSE({1,2,3,4},XT!X83,XT!AB83,XT!AF83,XT!AJ83)))</f>
        <v>0</v>
      </c>
      <c r="J83" t="str">
        <f>IFERROR(INDEX(CHOOSE({1,2,3,4}, DAY(XT!U83), DAY(XT!Y83), DAY(XT!AC83), DAY(XT!AG83)), MATCH(1, INDEX(--(MONTH(CHOOSE({1,2,3,4}, XT!U83,XT!Y83,XT!AC83,XT!AG83))=3), 0), 0)), "")</f>
        <v/>
      </c>
      <c r="K83" s="51" t="str">
        <f>IF(XT!$P83&gt;0,J83,"")</f>
        <v/>
      </c>
      <c r="L83" s="51" t="str">
        <f>IF(XT!$P83=0,J83,"")</f>
        <v/>
      </c>
      <c r="M83">
        <f>SUMPRODUCT((MONTH(CHOOSE({1,2,3,4},XT!U83,XT!Y83,XT!AC83,XT!AG83))=4)*(CHOOSE({1,2,3,4},XT!X83,XT!AB83,XT!AF83,XT!AJ83)))</f>
        <v>0</v>
      </c>
      <c r="N83" t="str">
        <f>IFERROR(INDEX(CHOOSE({1,2,3,4}, DAY(XT!U83), DAY(XT!Y83), DAY(XT!AC83), DAY(XT!AG83)), MATCH(1, INDEX(--(MONTH(CHOOSE({1,2,3,4}, XT!U83,XT!Y83,XT!AC83,XT!AG83))=4), 0), 0)), "")</f>
        <v/>
      </c>
      <c r="O83" s="51" t="str">
        <f>IF(XT!$P83&gt;0,N83,"")</f>
        <v/>
      </c>
      <c r="P83" s="51" t="str">
        <f>IF(XT!$P83=0,N83,"")</f>
        <v/>
      </c>
      <c r="Q83">
        <f>SUMPRODUCT((MONTH(CHOOSE({1,2,3,4},XT!U83,XT!Y83,XT!AC83,XT!AG83))=5)*(CHOOSE({1,2,3,4},XT!X83,XT!AB83,XT!AF83,XT!AJ83)))</f>
        <v>0</v>
      </c>
      <c r="R83" t="str">
        <f>IFERROR(INDEX(CHOOSE({1,2,3,4}, DAY(XT!U83), DAY(XT!Y83), DAY(XT!AC83), DAY(XT!AG83)), MATCH(1, INDEX(--(MONTH(CHOOSE({1,2,3,4}, XT!U83,XT!Y83,XT!AC83,XT!AG83))=5), 0), 0)), "")</f>
        <v/>
      </c>
      <c r="S83" s="51" t="str">
        <f>IF(XT!$P83&gt;0,R83,"")</f>
        <v/>
      </c>
      <c r="T83" s="51" t="str">
        <f>IF(XT!$P83=0,R83,"")</f>
        <v/>
      </c>
      <c r="U83">
        <f>SUMPRODUCT((MONTH(CHOOSE({1,2,3,4},XT!U83,XT!Y83,XT!AC83,XT!AG83))=6)*(CHOOSE({1,2,3,4},XT!X83,XT!AB83,XT!AF83,XT!AJ83)))</f>
        <v>0</v>
      </c>
      <c r="V83" t="str">
        <f>IFERROR(INDEX(CHOOSE({1,2,3,4}, DAY(XT!U83), DAY(XT!Y83), DAY(XT!AC83), DAY(XT!AG83)), MATCH(1, INDEX(--(MONTH(CHOOSE({1,2,3,4}, XT!U83,XT!Y83,XT!AC83,XT!AG83))=6), 0), 0)), "")</f>
        <v/>
      </c>
      <c r="W83" s="51" t="str">
        <f>IF(XT!$P83&gt;0,V83,"")</f>
        <v/>
      </c>
      <c r="X83" s="51" t="str">
        <f>IF(XT!$P83=0,V83,"")</f>
        <v/>
      </c>
      <c r="Y83">
        <f>SUMPRODUCT((MONTH(CHOOSE({1,2,3,4},XT!U83,XT!Y83,XT!AC83,XT!AG83))=7)*(CHOOSE({1,2,3,4},XT!X83,XT!AB83,XT!AF83,XT!AJ83)))</f>
        <v>0</v>
      </c>
      <c r="Z83" t="str">
        <f>IFERROR(INDEX(CHOOSE({1,2,3,4}, DAY(XT!U83), DAY(XT!Y83), DAY(XT!AC83), DAY(XT!AG83)), MATCH(1, INDEX(--(MONTH(CHOOSE({1,2,3,4}, XT!U83,XT!Y83,XT!AC83,XT!AG83))=7), 0), 0)), "")</f>
        <v/>
      </c>
      <c r="AA83" s="51" t="str">
        <f>IF(XT!$P83&gt;0,Z83,"")</f>
        <v/>
      </c>
      <c r="AB83" s="51" t="str">
        <f>IF(XT!$P83=0,Z83,"")</f>
        <v/>
      </c>
      <c r="AC83">
        <f>SUMPRODUCT((MONTH(CHOOSE({1,2,3,4},XT!U83,XT!Y83,XT!AC83,XT!AG83))=8)*(CHOOSE({1,2,3,4},XT!X83,XT!AB83,XT!AF83,XT!AJ83)))</f>
        <v>0</v>
      </c>
      <c r="AD83" t="str">
        <f>IFERROR(INDEX(CHOOSE({1,2,3,4}, DAY(XT!U83), DAY(XT!Y83), DAY(XT!AC83), DAY(XT!AG83)), MATCH(1, INDEX(--(MONTH(CHOOSE({1,2,3,4}, XT!U83,XT!Y83,XT!AC83,XT!AG83))=8), 0), 0)), "")</f>
        <v/>
      </c>
      <c r="AE83" s="51" t="str">
        <f>IF(XT!$P83&gt;0,AD83,"")</f>
        <v/>
      </c>
      <c r="AF83" s="51" t="str">
        <f>IF(XT!$P83=0,AD83,"")</f>
        <v/>
      </c>
      <c r="AG83">
        <f>SUMPRODUCT((MONTH(CHOOSE({1,2,3,4},XT!U83,XT!Y83,XT!AC83,XT!AG83))=9)*(CHOOSE({1,2,3,4},XT!X83,XT!AB83,XT!AF83,XT!AJ83)))</f>
        <v>0</v>
      </c>
      <c r="AH83" t="str">
        <f>IFERROR(INDEX(CHOOSE({1,2,3,4}, DAY(XT!U83), DAY(XT!Y83), DAY(XT!AC83), DAY(XT!AG83)), MATCH(1, INDEX(--(MONTH(CHOOSE({1,2,3,4}, XT!U83,XT!Y83,XT!AC83,XT!AG83))=9), 0), 0)), "")</f>
        <v/>
      </c>
      <c r="AI83" s="51" t="str">
        <f>IF(XT!$P83&gt;0,AH83,"")</f>
        <v/>
      </c>
      <c r="AJ83" s="51" t="str">
        <f>IF(XT!$P83=0,AH83,"")</f>
        <v/>
      </c>
      <c r="AK83">
        <f>SUMPRODUCT((MONTH(CHOOSE({1,2,3,4},XT!U83,XT!Y83,XT!AC83,XT!AG83))=10)*(CHOOSE({1,2,3,4},XT!X83,XT!AB83,XT!AF83,XT!AJ83)))</f>
        <v>0</v>
      </c>
      <c r="AL83" t="str">
        <f>IFERROR(INDEX(CHOOSE({1,2,3,4}, DAY(XT!U83), DAY(XT!Y83), DAY(XT!AC83), DAY(XT!AG83)), MATCH(1, INDEX(--(MONTH(CHOOSE({1,2,3,4}, XT!U83,XT!Y83,XT!AC83,XT!AG83))=10), 0), 0)), "")</f>
        <v/>
      </c>
      <c r="AM83" s="51" t="str">
        <f>IF(XT!$P83&gt;0,AL83,"")</f>
        <v/>
      </c>
      <c r="AN83" s="51" t="str">
        <f>IF(XT!$P83=0,AL83,"")</f>
        <v/>
      </c>
      <c r="AO83">
        <f>SUMPRODUCT((MONTH(CHOOSE({1,2,3,4},XT!U83,XT!Y83,XT!AC83,XT!AG83))=11)*(CHOOSE({1,2,3,4},XT!X83,XT!AB83,XT!AF83,XT!AJ83)))</f>
        <v>0</v>
      </c>
      <c r="AP83" t="str">
        <f>IFERROR(INDEX(CHOOSE({1,2,3,4}, DAY(XT!U83), DAY(XT!Y83), DAY(XT!AC83), DAY(XT!AG83)), MATCH(1, INDEX(--(MONTH(CHOOSE({1,2,3,4}, XT!U83,XT!Y83,XT!AC83,XT!AG83))=11), 0), 0)), "")</f>
        <v/>
      </c>
      <c r="AQ83" s="51" t="str">
        <f>IF(XT!$P83&gt;0,AP83,"")</f>
        <v/>
      </c>
      <c r="AR83" s="51" t="str">
        <f>IF(XT!$P83=0,AP83,"")</f>
        <v/>
      </c>
      <c r="AS83">
        <f>SUMPRODUCT((MONTH(CHOOSE({1,2,3,4},XT!U83,XT!Y83,XT!AC83,XT!AG83))=12)*(CHOOSE({1,2,3,4},XT!X83,XT!AB83,XT!AF83,XT!AJ83)))</f>
        <v>0</v>
      </c>
      <c r="AT83" t="str">
        <f>IFERROR(INDEX(CHOOSE({1,2,3,4}, DAY(XT!U83), DAY(XT!Y83), DAY(XT!AC83), DAY(XT!AG83)), MATCH(1, INDEX(--(MONTH(CHOOSE({1,2,3,4}, XT!U83,XT!Y83,XT!AC83,XT!AG83))=12), 0), 0)), "")</f>
        <v/>
      </c>
      <c r="AU83" s="51" t="str">
        <f>IF(XT!$P83&gt;0,AT83,"")</f>
        <v/>
      </c>
      <c r="AV83" s="51" t="str">
        <f>IF(XT!$P83=0,AT83,"")</f>
        <v/>
      </c>
    </row>
    <row r="84" spans="1:48">
      <c r="A84">
        <f>SUMPRODUCT((MONTH(CHOOSE({1,2,3,4},XT!U84,XT!Y84,XT!AC84,XT!AG84))=1)*(CHOOSE({1,2,3,4},XT!X84,XT!AB84,XT!AF84,XT!AJ84)))</f>
        <v>0</v>
      </c>
      <c r="B84">
        <f>IFERROR(INDEX(CHOOSE({1,2,3,4}, DAY(XT!U84), DAY(XT!Y84), DAY(XT!AC84), DAY(XT!AG84)), MATCH(1, INDEX(--(MONTH(CHOOSE({1,2,3,4}, XT!U84,XT!Y84,XT!AC84,XT!AG84))=1), 0), 0)), "")</f>
        <v>0</v>
      </c>
      <c r="C84" s="51" t="str">
        <f>IF(XT!$P84&gt;0,B84,"")</f>
        <v/>
      </c>
      <c r="D84" s="51">
        <f>IF(XT!$P84=0,B84,"")</f>
        <v>0</v>
      </c>
      <c r="E84">
        <f>SUMPRODUCT((MONTH(CHOOSE({1,2,3,4},XT!U84,XT!Y84,XT!AC84,XT!AG84))=2)*(CHOOSE({1,2,3,4},XT!X84,XT!AB84,XT!AF84,XT!AJ84)))</f>
        <v>0</v>
      </c>
      <c r="F84" t="str">
        <f>IFERROR(INDEX(CHOOSE({1,2,3,4}, DAY(XT!U84), DAY(XT!Y84), DAY(XT!AC84), DAY(XT!AG84)), MATCH(1, INDEX(--(MONTH(CHOOSE({1,2,3,4}, XT!U84,XT!Y84,XT!AC84,XT!AG84))=2), 0), 0)), "")</f>
        <v/>
      </c>
      <c r="G84" s="51" t="str">
        <f>IF(XT!$P84&gt;0,F84,"")</f>
        <v/>
      </c>
      <c r="H84" s="51" t="str">
        <f>IF(XT!$P84=0,F84,"")</f>
        <v/>
      </c>
      <c r="I84">
        <f>SUMPRODUCT((MONTH(CHOOSE({1,2,3,4},XT!U84,XT!Y84,XT!AC84,XT!AG84))=3)*(CHOOSE({1,2,3,4},XT!X84,XT!AB84,XT!AF84,XT!AJ84)))</f>
        <v>0</v>
      </c>
      <c r="J84" t="str">
        <f>IFERROR(INDEX(CHOOSE({1,2,3,4}, DAY(XT!U84), DAY(XT!Y84), DAY(XT!AC84), DAY(XT!AG84)), MATCH(1, INDEX(--(MONTH(CHOOSE({1,2,3,4}, XT!U84,XT!Y84,XT!AC84,XT!AG84))=3), 0), 0)), "")</f>
        <v/>
      </c>
      <c r="K84" s="51" t="str">
        <f>IF(XT!$P84&gt;0,J84,"")</f>
        <v/>
      </c>
      <c r="L84" s="51" t="str">
        <f>IF(XT!$P84=0,J84,"")</f>
        <v/>
      </c>
      <c r="M84">
        <f>SUMPRODUCT((MONTH(CHOOSE({1,2,3,4},XT!U84,XT!Y84,XT!AC84,XT!AG84))=4)*(CHOOSE({1,2,3,4},XT!X84,XT!AB84,XT!AF84,XT!AJ84)))</f>
        <v>0</v>
      </c>
      <c r="N84" t="str">
        <f>IFERROR(INDEX(CHOOSE({1,2,3,4}, DAY(XT!U84), DAY(XT!Y84), DAY(XT!AC84), DAY(XT!AG84)), MATCH(1, INDEX(--(MONTH(CHOOSE({1,2,3,4}, XT!U84,XT!Y84,XT!AC84,XT!AG84))=4), 0), 0)), "")</f>
        <v/>
      </c>
      <c r="O84" s="51" t="str">
        <f>IF(XT!$P84&gt;0,N84,"")</f>
        <v/>
      </c>
      <c r="P84" s="51" t="str">
        <f>IF(XT!$P84=0,N84,"")</f>
        <v/>
      </c>
      <c r="Q84">
        <f>SUMPRODUCT((MONTH(CHOOSE({1,2,3,4},XT!U84,XT!Y84,XT!AC84,XT!AG84))=5)*(CHOOSE({1,2,3,4},XT!X84,XT!AB84,XT!AF84,XT!AJ84)))</f>
        <v>0</v>
      </c>
      <c r="R84" t="str">
        <f>IFERROR(INDEX(CHOOSE({1,2,3,4}, DAY(XT!U84), DAY(XT!Y84), DAY(XT!AC84), DAY(XT!AG84)), MATCH(1, INDEX(--(MONTH(CHOOSE({1,2,3,4}, XT!U84,XT!Y84,XT!AC84,XT!AG84))=5), 0), 0)), "")</f>
        <v/>
      </c>
      <c r="S84" s="51" t="str">
        <f>IF(XT!$P84&gt;0,R84,"")</f>
        <v/>
      </c>
      <c r="T84" s="51" t="str">
        <f>IF(XT!$P84=0,R84,"")</f>
        <v/>
      </c>
      <c r="U84">
        <f>SUMPRODUCT((MONTH(CHOOSE({1,2,3,4},XT!U84,XT!Y84,XT!AC84,XT!AG84))=6)*(CHOOSE({1,2,3,4},XT!X84,XT!AB84,XT!AF84,XT!AJ84)))</f>
        <v>0</v>
      </c>
      <c r="V84" t="str">
        <f>IFERROR(INDEX(CHOOSE({1,2,3,4}, DAY(XT!U84), DAY(XT!Y84), DAY(XT!AC84), DAY(XT!AG84)), MATCH(1, INDEX(--(MONTH(CHOOSE({1,2,3,4}, XT!U84,XT!Y84,XT!AC84,XT!AG84))=6), 0), 0)), "")</f>
        <v/>
      </c>
      <c r="W84" s="51" t="str">
        <f>IF(XT!$P84&gt;0,V84,"")</f>
        <v/>
      </c>
      <c r="X84" s="51" t="str">
        <f>IF(XT!$P84=0,V84,"")</f>
        <v/>
      </c>
      <c r="Y84">
        <f>SUMPRODUCT((MONTH(CHOOSE({1,2,3,4},XT!U84,XT!Y84,XT!AC84,XT!AG84))=7)*(CHOOSE({1,2,3,4},XT!X84,XT!AB84,XT!AF84,XT!AJ84)))</f>
        <v>0</v>
      </c>
      <c r="Z84" t="str">
        <f>IFERROR(INDEX(CHOOSE({1,2,3,4}, DAY(XT!U84), DAY(XT!Y84), DAY(XT!AC84), DAY(XT!AG84)), MATCH(1, INDEX(--(MONTH(CHOOSE({1,2,3,4}, XT!U84,XT!Y84,XT!AC84,XT!AG84))=7), 0), 0)), "")</f>
        <v/>
      </c>
      <c r="AA84" s="51" t="str">
        <f>IF(XT!$P84&gt;0,Z84,"")</f>
        <v/>
      </c>
      <c r="AB84" s="51" t="str">
        <f>IF(XT!$P84=0,Z84,"")</f>
        <v/>
      </c>
      <c r="AC84">
        <f>SUMPRODUCT((MONTH(CHOOSE({1,2,3,4},XT!U84,XT!Y84,XT!AC84,XT!AG84))=8)*(CHOOSE({1,2,3,4},XT!X84,XT!AB84,XT!AF84,XT!AJ84)))</f>
        <v>0</v>
      </c>
      <c r="AD84" t="str">
        <f>IFERROR(INDEX(CHOOSE({1,2,3,4}, DAY(XT!U84), DAY(XT!Y84), DAY(XT!AC84), DAY(XT!AG84)), MATCH(1, INDEX(--(MONTH(CHOOSE({1,2,3,4}, XT!U84,XT!Y84,XT!AC84,XT!AG84))=8), 0), 0)), "")</f>
        <v/>
      </c>
      <c r="AE84" s="51" t="str">
        <f>IF(XT!$P84&gt;0,AD84,"")</f>
        <v/>
      </c>
      <c r="AF84" s="51" t="str">
        <f>IF(XT!$P84=0,AD84,"")</f>
        <v/>
      </c>
      <c r="AG84">
        <f>SUMPRODUCT((MONTH(CHOOSE({1,2,3,4},XT!U84,XT!Y84,XT!AC84,XT!AG84))=9)*(CHOOSE({1,2,3,4},XT!X84,XT!AB84,XT!AF84,XT!AJ84)))</f>
        <v>0</v>
      </c>
      <c r="AH84" t="str">
        <f>IFERROR(INDEX(CHOOSE({1,2,3,4}, DAY(XT!U84), DAY(XT!Y84), DAY(XT!AC84), DAY(XT!AG84)), MATCH(1, INDEX(--(MONTH(CHOOSE({1,2,3,4}, XT!U84,XT!Y84,XT!AC84,XT!AG84))=9), 0), 0)), "")</f>
        <v/>
      </c>
      <c r="AI84" s="51" t="str">
        <f>IF(XT!$P84&gt;0,AH84,"")</f>
        <v/>
      </c>
      <c r="AJ84" s="51" t="str">
        <f>IF(XT!$P84=0,AH84,"")</f>
        <v/>
      </c>
      <c r="AK84">
        <f>SUMPRODUCT((MONTH(CHOOSE({1,2,3,4},XT!U84,XT!Y84,XT!AC84,XT!AG84))=10)*(CHOOSE({1,2,3,4},XT!X84,XT!AB84,XT!AF84,XT!AJ84)))</f>
        <v>0</v>
      </c>
      <c r="AL84" t="str">
        <f>IFERROR(INDEX(CHOOSE({1,2,3,4}, DAY(XT!U84), DAY(XT!Y84), DAY(XT!AC84), DAY(XT!AG84)), MATCH(1, INDEX(--(MONTH(CHOOSE({1,2,3,4}, XT!U84,XT!Y84,XT!AC84,XT!AG84))=10), 0), 0)), "")</f>
        <v/>
      </c>
      <c r="AM84" s="51" t="str">
        <f>IF(XT!$P84&gt;0,AL84,"")</f>
        <v/>
      </c>
      <c r="AN84" s="51" t="str">
        <f>IF(XT!$P84=0,AL84,"")</f>
        <v/>
      </c>
      <c r="AO84">
        <f>SUMPRODUCT((MONTH(CHOOSE({1,2,3,4},XT!U84,XT!Y84,XT!AC84,XT!AG84))=11)*(CHOOSE({1,2,3,4},XT!X84,XT!AB84,XT!AF84,XT!AJ84)))</f>
        <v>0</v>
      </c>
      <c r="AP84" t="str">
        <f>IFERROR(INDEX(CHOOSE({1,2,3,4}, DAY(XT!U84), DAY(XT!Y84), DAY(XT!AC84), DAY(XT!AG84)), MATCH(1, INDEX(--(MONTH(CHOOSE({1,2,3,4}, XT!U84,XT!Y84,XT!AC84,XT!AG84))=11), 0), 0)), "")</f>
        <v/>
      </c>
      <c r="AQ84" s="51" t="str">
        <f>IF(XT!$P84&gt;0,AP84,"")</f>
        <v/>
      </c>
      <c r="AR84" s="51" t="str">
        <f>IF(XT!$P84=0,AP84,"")</f>
        <v/>
      </c>
      <c r="AS84">
        <f>SUMPRODUCT((MONTH(CHOOSE({1,2,3,4},XT!U84,XT!Y84,XT!AC84,XT!AG84))=12)*(CHOOSE({1,2,3,4},XT!X84,XT!AB84,XT!AF84,XT!AJ84)))</f>
        <v>0</v>
      </c>
      <c r="AT84" t="str">
        <f>IFERROR(INDEX(CHOOSE({1,2,3,4}, DAY(XT!U84), DAY(XT!Y84), DAY(XT!AC84), DAY(XT!AG84)), MATCH(1, INDEX(--(MONTH(CHOOSE({1,2,3,4}, XT!U84,XT!Y84,XT!AC84,XT!AG84))=12), 0), 0)), "")</f>
        <v/>
      </c>
      <c r="AU84" s="51" t="str">
        <f>IF(XT!$P84&gt;0,AT84,"")</f>
        <v/>
      </c>
      <c r="AV84" s="51" t="str">
        <f>IF(XT!$P84=0,AT84,"")</f>
        <v/>
      </c>
    </row>
    <row r="85" spans="1:48">
      <c r="A85">
        <f>SUMPRODUCT((MONTH(CHOOSE({1,2,3,4},XT!U85,XT!Y85,XT!AC85,XT!AG85))=1)*(CHOOSE({1,2,3,4},XT!X85,XT!AB85,XT!AF85,XT!AJ85)))</f>
        <v>0</v>
      </c>
      <c r="B85">
        <f>IFERROR(INDEX(CHOOSE({1,2,3,4}, DAY(XT!U85), DAY(XT!Y85), DAY(XT!AC85), DAY(XT!AG85)), MATCH(1, INDEX(--(MONTH(CHOOSE({1,2,3,4}, XT!U85,XT!Y85,XT!AC85,XT!AG85))=1), 0), 0)), "")</f>
        <v>0</v>
      </c>
      <c r="C85" s="51" t="str">
        <f>IF(XT!$P85&gt;0,B85,"")</f>
        <v/>
      </c>
      <c r="D85" s="51">
        <f>IF(XT!$P85=0,B85,"")</f>
        <v>0</v>
      </c>
      <c r="E85">
        <f>SUMPRODUCT((MONTH(CHOOSE({1,2,3,4},XT!U85,XT!Y85,XT!AC85,XT!AG85))=2)*(CHOOSE({1,2,3,4},XT!X85,XT!AB85,XT!AF85,XT!AJ85)))</f>
        <v>0</v>
      </c>
      <c r="F85" t="str">
        <f>IFERROR(INDEX(CHOOSE({1,2,3,4}, DAY(XT!U85), DAY(XT!Y85), DAY(XT!AC85), DAY(XT!AG85)), MATCH(1, INDEX(--(MONTH(CHOOSE({1,2,3,4}, XT!U85,XT!Y85,XT!AC85,XT!AG85))=2), 0), 0)), "")</f>
        <v/>
      </c>
      <c r="G85" s="51" t="str">
        <f>IF(XT!$P85&gt;0,F85,"")</f>
        <v/>
      </c>
      <c r="H85" s="51" t="str">
        <f>IF(XT!$P85=0,F85,"")</f>
        <v/>
      </c>
      <c r="I85">
        <f>SUMPRODUCT((MONTH(CHOOSE({1,2,3,4},XT!U85,XT!Y85,XT!AC85,XT!AG85))=3)*(CHOOSE({1,2,3,4},XT!X85,XT!AB85,XT!AF85,XT!AJ85)))</f>
        <v>0</v>
      </c>
      <c r="J85" t="str">
        <f>IFERROR(INDEX(CHOOSE({1,2,3,4}, DAY(XT!U85), DAY(XT!Y85), DAY(XT!AC85), DAY(XT!AG85)), MATCH(1, INDEX(--(MONTH(CHOOSE({1,2,3,4}, XT!U85,XT!Y85,XT!AC85,XT!AG85))=3), 0), 0)), "")</f>
        <v/>
      </c>
      <c r="K85" s="51" t="str">
        <f>IF(XT!$P85&gt;0,J85,"")</f>
        <v/>
      </c>
      <c r="L85" s="51" t="str">
        <f>IF(XT!$P85=0,J85,"")</f>
        <v/>
      </c>
      <c r="M85">
        <f>SUMPRODUCT((MONTH(CHOOSE({1,2,3,4},XT!U85,XT!Y85,XT!AC85,XT!AG85))=4)*(CHOOSE({1,2,3,4},XT!X85,XT!AB85,XT!AF85,XT!AJ85)))</f>
        <v>0</v>
      </c>
      <c r="N85" t="str">
        <f>IFERROR(INDEX(CHOOSE({1,2,3,4}, DAY(XT!U85), DAY(XT!Y85), DAY(XT!AC85), DAY(XT!AG85)), MATCH(1, INDEX(--(MONTH(CHOOSE({1,2,3,4}, XT!U85,XT!Y85,XT!AC85,XT!AG85))=4), 0), 0)), "")</f>
        <v/>
      </c>
      <c r="O85" s="51" t="str">
        <f>IF(XT!$P85&gt;0,N85,"")</f>
        <v/>
      </c>
      <c r="P85" s="51" t="str">
        <f>IF(XT!$P85=0,N85,"")</f>
        <v/>
      </c>
      <c r="Q85">
        <f>SUMPRODUCT((MONTH(CHOOSE({1,2,3,4},XT!U85,XT!Y85,XT!AC85,XT!AG85))=5)*(CHOOSE({1,2,3,4},XT!X85,XT!AB85,XT!AF85,XT!AJ85)))</f>
        <v>0</v>
      </c>
      <c r="R85" t="str">
        <f>IFERROR(INDEX(CHOOSE({1,2,3,4}, DAY(XT!U85), DAY(XT!Y85), DAY(XT!AC85), DAY(XT!AG85)), MATCH(1, INDEX(--(MONTH(CHOOSE({1,2,3,4}, XT!U85,XT!Y85,XT!AC85,XT!AG85))=5), 0), 0)), "")</f>
        <v/>
      </c>
      <c r="S85" s="51" t="str">
        <f>IF(XT!$P85&gt;0,R85,"")</f>
        <v/>
      </c>
      <c r="T85" s="51" t="str">
        <f>IF(XT!$P85=0,R85,"")</f>
        <v/>
      </c>
      <c r="U85">
        <f>SUMPRODUCT((MONTH(CHOOSE({1,2,3,4},XT!U85,XT!Y85,XT!AC85,XT!AG85))=6)*(CHOOSE({1,2,3,4},XT!X85,XT!AB85,XT!AF85,XT!AJ85)))</f>
        <v>0</v>
      </c>
      <c r="V85" t="str">
        <f>IFERROR(INDEX(CHOOSE({1,2,3,4}, DAY(XT!U85), DAY(XT!Y85), DAY(XT!AC85), DAY(XT!AG85)), MATCH(1, INDEX(--(MONTH(CHOOSE({1,2,3,4}, XT!U85,XT!Y85,XT!AC85,XT!AG85))=6), 0), 0)), "")</f>
        <v/>
      </c>
      <c r="W85" s="51" t="str">
        <f>IF(XT!$P85&gt;0,V85,"")</f>
        <v/>
      </c>
      <c r="X85" s="51" t="str">
        <f>IF(XT!$P85=0,V85,"")</f>
        <v/>
      </c>
      <c r="Y85">
        <f>SUMPRODUCT((MONTH(CHOOSE({1,2,3,4},XT!U85,XT!Y85,XT!AC85,XT!AG85))=7)*(CHOOSE({1,2,3,4},XT!X85,XT!AB85,XT!AF85,XT!AJ85)))</f>
        <v>0</v>
      </c>
      <c r="Z85" t="str">
        <f>IFERROR(INDEX(CHOOSE({1,2,3,4}, DAY(XT!U85), DAY(XT!Y85), DAY(XT!AC85), DAY(XT!AG85)), MATCH(1, INDEX(--(MONTH(CHOOSE({1,2,3,4}, XT!U85,XT!Y85,XT!AC85,XT!AG85))=7), 0), 0)), "")</f>
        <v/>
      </c>
      <c r="AA85" s="51" t="str">
        <f>IF(XT!$P85&gt;0,Z85,"")</f>
        <v/>
      </c>
      <c r="AB85" s="51" t="str">
        <f>IF(XT!$P85=0,Z85,"")</f>
        <v/>
      </c>
      <c r="AC85">
        <f>SUMPRODUCT((MONTH(CHOOSE({1,2,3,4},XT!U85,XT!Y85,XT!AC85,XT!AG85))=8)*(CHOOSE({1,2,3,4},XT!X85,XT!AB85,XT!AF85,XT!AJ85)))</f>
        <v>0</v>
      </c>
      <c r="AD85" t="str">
        <f>IFERROR(INDEX(CHOOSE({1,2,3,4}, DAY(XT!U85), DAY(XT!Y85), DAY(XT!AC85), DAY(XT!AG85)), MATCH(1, INDEX(--(MONTH(CHOOSE({1,2,3,4}, XT!U85,XT!Y85,XT!AC85,XT!AG85))=8), 0), 0)), "")</f>
        <v/>
      </c>
      <c r="AE85" s="51" t="str">
        <f>IF(XT!$P85&gt;0,AD85,"")</f>
        <v/>
      </c>
      <c r="AF85" s="51" t="str">
        <f>IF(XT!$P85=0,AD85,"")</f>
        <v/>
      </c>
      <c r="AG85">
        <f>SUMPRODUCT((MONTH(CHOOSE({1,2,3,4},XT!U85,XT!Y85,XT!AC85,XT!AG85))=9)*(CHOOSE({1,2,3,4},XT!X85,XT!AB85,XT!AF85,XT!AJ85)))</f>
        <v>0</v>
      </c>
      <c r="AH85" t="str">
        <f>IFERROR(INDEX(CHOOSE({1,2,3,4}, DAY(XT!U85), DAY(XT!Y85), DAY(XT!AC85), DAY(XT!AG85)), MATCH(1, INDEX(--(MONTH(CHOOSE({1,2,3,4}, XT!U85,XT!Y85,XT!AC85,XT!AG85))=9), 0), 0)), "")</f>
        <v/>
      </c>
      <c r="AI85" s="51" t="str">
        <f>IF(XT!$P85&gt;0,AH85,"")</f>
        <v/>
      </c>
      <c r="AJ85" s="51" t="str">
        <f>IF(XT!$P85=0,AH85,"")</f>
        <v/>
      </c>
      <c r="AK85">
        <f>SUMPRODUCT((MONTH(CHOOSE({1,2,3,4},XT!U85,XT!Y85,XT!AC85,XT!AG85))=10)*(CHOOSE({1,2,3,4},XT!X85,XT!AB85,XT!AF85,XT!AJ85)))</f>
        <v>0</v>
      </c>
      <c r="AL85" t="str">
        <f>IFERROR(INDEX(CHOOSE({1,2,3,4}, DAY(XT!U85), DAY(XT!Y85), DAY(XT!AC85), DAY(XT!AG85)), MATCH(1, INDEX(--(MONTH(CHOOSE({1,2,3,4}, XT!U85,XT!Y85,XT!AC85,XT!AG85))=10), 0), 0)), "")</f>
        <v/>
      </c>
      <c r="AM85" s="51" t="str">
        <f>IF(XT!$P85&gt;0,AL85,"")</f>
        <v/>
      </c>
      <c r="AN85" s="51" t="str">
        <f>IF(XT!$P85=0,AL85,"")</f>
        <v/>
      </c>
      <c r="AO85">
        <f>SUMPRODUCT((MONTH(CHOOSE({1,2,3,4},XT!U85,XT!Y85,XT!AC85,XT!AG85))=11)*(CHOOSE({1,2,3,4},XT!X85,XT!AB85,XT!AF85,XT!AJ85)))</f>
        <v>0</v>
      </c>
      <c r="AP85" t="str">
        <f>IFERROR(INDEX(CHOOSE({1,2,3,4}, DAY(XT!U85), DAY(XT!Y85), DAY(XT!AC85), DAY(XT!AG85)), MATCH(1, INDEX(--(MONTH(CHOOSE({1,2,3,4}, XT!U85,XT!Y85,XT!AC85,XT!AG85))=11), 0), 0)), "")</f>
        <v/>
      </c>
      <c r="AQ85" s="51" t="str">
        <f>IF(XT!$P85&gt;0,AP85,"")</f>
        <v/>
      </c>
      <c r="AR85" s="51" t="str">
        <f>IF(XT!$P85=0,AP85,"")</f>
        <v/>
      </c>
      <c r="AS85">
        <f>SUMPRODUCT((MONTH(CHOOSE({1,2,3,4},XT!U85,XT!Y85,XT!AC85,XT!AG85))=12)*(CHOOSE({1,2,3,4},XT!X85,XT!AB85,XT!AF85,XT!AJ85)))</f>
        <v>0</v>
      </c>
      <c r="AT85" t="str">
        <f>IFERROR(INDEX(CHOOSE({1,2,3,4}, DAY(XT!U85), DAY(XT!Y85), DAY(XT!AC85), DAY(XT!AG85)), MATCH(1, INDEX(--(MONTH(CHOOSE({1,2,3,4}, XT!U85,XT!Y85,XT!AC85,XT!AG85))=12), 0), 0)), "")</f>
        <v/>
      </c>
      <c r="AU85" s="51" t="str">
        <f>IF(XT!$P85&gt;0,AT85,"")</f>
        <v/>
      </c>
      <c r="AV85" s="51" t="str">
        <f>IF(XT!$P85=0,AT85,"")</f>
        <v/>
      </c>
    </row>
    <row r="86" spans="1:48">
      <c r="A86">
        <f>SUMPRODUCT((MONTH(CHOOSE({1,2,3,4},XT!U86,XT!Y86,XT!AC86,XT!AG86))=1)*(CHOOSE({1,2,3,4},XT!X86,XT!AB86,XT!AF86,XT!AJ86)))</f>
        <v>0</v>
      </c>
      <c r="B86">
        <f>IFERROR(INDEX(CHOOSE({1,2,3,4}, DAY(XT!U86), DAY(XT!Y86), DAY(XT!AC86), DAY(XT!AG86)), MATCH(1, INDEX(--(MONTH(CHOOSE({1,2,3,4}, XT!U86,XT!Y86,XT!AC86,XT!AG86))=1), 0), 0)), "")</f>
        <v>0</v>
      </c>
      <c r="C86" s="51" t="str">
        <f>IF(XT!$P86&gt;0,B86,"")</f>
        <v/>
      </c>
      <c r="D86" s="51">
        <f>IF(XT!$P86=0,B86,"")</f>
        <v>0</v>
      </c>
      <c r="E86">
        <f>SUMPRODUCT((MONTH(CHOOSE({1,2,3,4},XT!U86,XT!Y86,XT!AC86,XT!AG86))=2)*(CHOOSE({1,2,3,4},XT!X86,XT!AB86,XT!AF86,XT!AJ86)))</f>
        <v>0</v>
      </c>
      <c r="F86" t="str">
        <f>IFERROR(INDEX(CHOOSE({1,2,3,4}, DAY(XT!U86), DAY(XT!Y86), DAY(XT!AC86), DAY(XT!AG86)), MATCH(1, INDEX(--(MONTH(CHOOSE({1,2,3,4}, XT!U86,XT!Y86,XT!AC86,XT!AG86))=2), 0), 0)), "")</f>
        <v/>
      </c>
      <c r="G86" s="51" t="str">
        <f>IF(XT!$P86&gt;0,F86,"")</f>
        <v/>
      </c>
      <c r="H86" s="51" t="str">
        <f>IF(XT!$P86=0,F86,"")</f>
        <v/>
      </c>
      <c r="I86">
        <f>SUMPRODUCT((MONTH(CHOOSE({1,2,3,4},XT!U86,XT!Y86,XT!AC86,XT!AG86))=3)*(CHOOSE({1,2,3,4},XT!X86,XT!AB86,XT!AF86,XT!AJ86)))</f>
        <v>0</v>
      </c>
      <c r="J86" t="str">
        <f>IFERROR(INDEX(CHOOSE({1,2,3,4}, DAY(XT!U86), DAY(XT!Y86), DAY(XT!AC86), DAY(XT!AG86)), MATCH(1, INDEX(--(MONTH(CHOOSE({1,2,3,4}, XT!U86,XT!Y86,XT!AC86,XT!AG86))=3), 0), 0)), "")</f>
        <v/>
      </c>
      <c r="K86" s="51" t="str">
        <f>IF(XT!$P86&gt;0,J86,"")</f>
        <v/>
      </c>
      <c r="L86" s="51" t="str">
        <f>IF(XT!$P86=0,J86,"")</f>
        <v/>
      </c>
      <c r="M86">
        <f>SUMPRODUCT((MONTH(CHOOSE({1,2,3,4},XT!U86,XT!Y86,XT!AC86,XT!AG86))=4)*(CHOOSE({1,2,3,4},XT!X86,XT!AB86,XT!AF86,XT!AJ86)))</f>
        <v>0</v>
      </c>
      <c r="N86" t="str">
        <f>IFERROR(INDEX(CHOOSE({1,2,3,4}, DAY(XT!U86), DAY(XT!Y86), DAY(XT!AC86), DAY(XT!AG86)), MATCH(1, INDEX(--(MONTH(CHOOSE({1,2,3,4}, XT!U86,XT!Y86,XT!AC86,XT!AG86))=4), 0), 0)), "")</f>
        <v/>
      </c>
      <c r="O86" s="51" t="str">
        <f>IF(XT!$P86&gt;0,N86,"")</f>
        <v/>
      </c>
      <c r="P86" s="51" t="str">
        <f>IF(XT!$P86=0,N86,"")</f>
        <v/>
      </c>
      <c r="Q86">
        <f>SUMPRODUCT((MONTH(CHOOSE({1,2,3,4},XT!U86,XT!Y86,XT!AC86,XT!AG86))=5)*(CHOOSE({1,2,3,4},XT!X86,XT!AB86,XT!AF86,XT!AJ86)))</f>
        <v>0</v>
      </c>
      <c r="R86" t="str">
        <f>IFERROR(INDEX(CHOOSE({1,2,3,4}, DAY(XT!U86), DAY(XT!Y86), DAY(XT!AC86), DAY(XT!AG86)), MATCH(1, INDEX(--(MONTH(CHOOSE({1,2,3,4}, XT!U86,XT!Y86,XT!AC86,XT!AG86))=5), 0), 0)), "")</f>
        <v/>
      </c>
      <c r="S86" s="51" t="str">
        <f>IF(XT!$P86&gt;0,R86,"")</f>
        <v/>
      </c>
      <c r="T86" s="51" t="str">
        <f>IF(XT!$P86=0,R86,"")</f>
        <v/>
      </c>
      <c r="U86">
        <f>SUMPRODUCT((MONTH(CHOOSE({1,2,3,4},XT!U86,XT!Y86,XT!AC86,XT!AG86))=6)*(CHOOSE({1,2,3,4},XT!X86,XT!AB86,XT!AF86,XT!AJ86)))</f>
        <v>0</v>
      </c>
      <c r="V86" t="str">
        <f>IFERROR(INDEX(CHOOSE({1,2,3,4}, DAY(XT!U86), DAY(XT!Y86), DAY(XT!AC86), DAY(XT!AG86)), MATCH(1, INDEX(--(MONTH(CHOOSE({1,2,3,4}, XT!U86,XT!Y86,XT!AC86,XT!AG86))=6), 0), 0)), "")</f>
        <v/>
      </c>
      <c r="W86" s="51" t="str">
        <f>IF(XT!$P86&gt;0,V86,"")</f>
        <v/>
      </c>
      <c r="X86" s="51" t="str">
        <f>IF(XT!$P86=0,V86,"")</f>
        <v/>
      </c>
      <c r="Y86">
        <f>SUMPRODUCT((MONTH(CHOOSE({1,2,3,4},XT!U86,XT!Y86,XT!AC86,XT!AG86))=7)*(CHOOSE({1,2,3,4},XT!X86,XT!AB86,XT!AF86,XT!AJ86)))</f>
        <v>0</v>
      </c>
      <c r="Z86" t="str">
        <f>IFERROR(INDEX(CHOOSE({1,2,3,4}, DAY(XT!U86), DAY(XT!Y86), DAY(XT!AC86), DAY(XT!AG86)), MATCH(1, INDEX(--(MONTH(CHOOSE({1,2,3,4}, XT!U86,XT!Y86,XT!AC86,XT!AG86))=7), 0), 0)), "")</f>
        <v/>
      </c>
      <c r="AA86" s="51" t="str">
        <f>IF(XT!$P86&gt;0,Z86,"")</f>
        <v/>
      </c>
      <c r="AB86" s="51" t="str">
        <f>IF(XT!$P86=0,Z86,"")</f>
        <v/>
      </c>
      <c r="AC86">
        <f>SUMPRODUCT((MONTH(CHOOSE({1,2,3,4},XT!U86,XT!Y86,XT!AC86,XT!AG86))=8)*(CHOOSE({1,2,3,4},XT!X86,XT!AB86,XT!AF86,XT!AJ86)))</f>
        <v>0</v>
      </c>
      <c r="AD86" t="str">
        <f>IFERROR(INDEX(CHOOSE({1,2,3,4}, DAY(XT!U86), DAY(XT!Y86), DAY(XT!AC86), DAY(XT!AG86)), MATCH(1, INDEX(--(MONTH(CHOOSE({1,2,3,4}, XT!U86,XT!Y86,XT!AC86,XT!AG86))=8), 0), 0)), "")</f>
        <v/>
      </c>
      <c r="AE86" s="51" t="str">
        <f>IF(XT!$P86&gt;0,AD86,"")</f>
        <v/>
      </c>
      <c r="AF86" s="51" t="str">
        <f>IF(XT!$P86=0,AD86,"")</f>
        <v/>
      </c>
      <c r="AG86">
        <f>SUMPRODUCT((MONTH(CHOOSE({1,2,3,4},XT!U86,XT!Y86,XT!AC86,XT!AG86))=9)*(CHOOSE({1,2,3,4},XT!X86,XT!AB86,XT!AF86,XT!AJ86)))</f>
        <v>0</v>
      </c>
      <c r="AH86" t="str">
        <f>IFERROR(INDEX(CHOOSE({1,2,3,4}, DAY(XT!U86), DAY(XT!Y86), DAY(XT!AC86), DAY(XT!AG86)), MATCH(1, INDEX(--(MONTH(CHOOSE({1,2,3,4}, XT!U86,XT!Y86,XT!AC86,XT!AG86))=9), 0), 0)), "")</f>
        <v/>
      </c>
      <c r="AI86" s="51" t="str">
        <f>IF(XT!$P86&gt;0,AH86,"")</f>
        <v/>
      </c>
      <c r="AJ86" s="51" t="str">
        <f>IF(XT!$P86=0,AH86,"")</f>
        <v/>
      </c>
      <c r="AK86">
        <f>SUMPRODUCT((MONTH(CHOOSE({1,2,3,4},XT!U86,XT!Y86,XT!AC86,XT!AG86))=10)*(CHOOSE({1,2,3,4},XT!X86,XT!AB86,XT!AF86,XT!AJ86)))</f>
        <v>0</v>
      </c>
      <c r="AL86" t="str">
        <f>IFERROR(INDEX(CHOOSE({1,2,3,4}, DAY(XT!U86), DAY(XT!Y86), DAY(XT!AC86), DAY(XT!AG86)), MATCH(1, INDEX(--(MONTH(CHOOSE({1,2,3,4}, XT!U86,XT!Y86,XT!AC86,XT!AG86))=10), 0), 0)), "")</f>
        <v/>
      </c>
      <c r="AM86" s="51" t="str">
        <f>IF(XT!$P86&gt;0,AL86,"")</f>
        <v/>
      </c>
      <c r="AN86" s="51" t="str">
        <f>IF(XT!$P86=0,AL86,"")</f>
        <v/>
      </c>
      <c r="AO86">
        <f>SUMPRODUCT((MONTH(CHOOSE({1,2,3,4},XT!U86,XT!Y86,XT!AC86,XT!AG86))=11)*(CHOOSE({1,2,3,4},XT!X86,XT!AB86,XT!AF86,XT!AJ86)))</f>
        <v>0</v>
      </c>
      <c r="AP86" t="str">
        <f>IFERROR(INDEX(CHOOSE({1,2,3,4}, DAY(XT!U86), DAY(XT!Y86), DAY(XT!AC86), DAY(XT!AG86)), MATCH(1, INDEX(--(MONTH(CHOOSE({1,2,3,4}, XT!U86,XT!Y86,XT!AC86,XT!AG86))=11), 0), 0)), "")</f>
        <v/>
      </c>
      <c r="AQ86" s="51" t="str">
        <f>IF(XT!$P86&gt;0,AP86,"")</f>
        <v/>
      </c>
      <c r="AR86" s="51" t="str">
        <f>IF(XT!$P86=0,AP86,"")</f>
        <v/>
      </c>
      <c r="AS86">
        <f>SUMPRODUCT((MONTH(CHOOSE({1,2,3,4},XT!U86,XT!Y86,XT!AC86,XT!AG86))=12)*(CHOOSE({1,2,3,4},XT!X86,XT!AB86,XT!AF86,XT!AJ86)))</f>
        <v>0</v>
      </c>
      <c r="AT86" t="str">
        <f>IFERROR(INDEX(CHOOSE({1,2,3,4}, DAY(XT!U86), DAY(XT!Y86), DAY(XT!AC86), DAY(XT!AG86)), MATCH(1, INDEX(--(MONTH(CHOOSE({1,2,3,4}, XT!U86,XT!Y86,XT!AC86,XT!AG86))=12), 0), 0)), "")</f>
        <v/>
      </c>
      <c r="AU86" s="51" t="str">
        <f>IF(XT!$P86&gt;0,AT86,"")</f>
        <v/>
      </c>
      <c r="AV86" s="51" t="str">
        <f>IF(XT!$P86=0,AT86,"")</f>
        <v/>
      </c>
    </row>
    <row r="87" spans="1:48">
      <c r="A87">
        <f>SUMPRODUCT((MONTH(CHOOSE({1,2,3,4},XT!U87,XT!Y87,XT!AC87,XT!AG87))=1)*(CHOOSE({1,2,3,4},XT!X87,XT!AB87,XT!AF87,XT!AJ87)))</f>
        <v>0</v>
      </c>
      <c r="B87">
        <f>IFERROR(INDEX(CHOOSE({1,2,3,4}, DAY(XT!U87), DAY(XT!Y87), DAY(XT!AC87), DAY(XT!AG87)), MATCH(1, INDEX(--(MONTH(CHOOSE({1,2,3,4}, XT!U87,XT!Y87,XT!AC87,XT!AG87))=1), 0), 0)), "")</f>
        <v>0</v>
      </c>
      <c r="C87" s="51" t="str">
        <f>IF(XT!$P87&gt;0,B87,"")</f>
        <v/>
      </c>
      <c r="D87" s="51">
        <f>IF(XT!$P87=0,B87,"")</f>
        <v>0</v>
      </c>
      <c r="E87">
        <f>SUMPRODUCT((MONTH(CHOOSE({1,2,3,4},XT!U87,XT!Y87,XT!AC87,XT!AG87))=2)*(CHOOSE({1,2,3,4},XT!X87,XT!AB87,XT!AF87,XT!AJ87)))</f>
        <v>0</v>
      </c>
      <c r="F87" t="str">
        <f>IFERROR(INDEX(CHOOSE({1,2,3,4}, DAY(XT!U87), DAY(XT!Y87), DAY(XT!AC87), DAY(XT!AG87)), MATCH(1, INDEX(--(MONTH(CHOOSE({1,2,3,4}, XT!U87,XT!Y87,XT!AC87,XT!AG87))=2), 0), 0)), "")</f>
        <v/>
      </c>
      <c r="G87" s="51" t="str">
        <f>IF(XT!$P87&gt;0,F87,"")</f>
        <v/>
      </c>
      <c r="H87" s="51" t="str">
        <f>IF(XT!$P87=0,F87,"")</f>
        <v/>
      </c>
      <c r="I87">
        <f>SUMPRODUCT((MONTH(CHOOSE({1,2,3,4},XT!U87,XT!Y87,XT!AC87,XT!AG87))=3)*(CHOOSE({1,2,3,4},XT!X87,XT!AB87,XT!AF87,XT!AJ87)))</f>
        <v>0</v>
      </c>
      <c r="J87" t="str">
        <f>IFERROR(INDEX(CHOOSE({1,2,3,4}, DAY(XT!U87), DAY(XT!Y87), DAY(XT!AC87), DAY(XT!AG87)), MATCH(1, INDEX(--(MONTH(CHOOSE({1,2,3,4}, XT!U87,XT!Y87,XT!AC87,XT!AG87))=3), 0), 0)), "")</f>
        <v/>
      </c>
      <c r="K87" s="51" t="str">
        <f>IF(XT!$P87&gt;0,J87,"")</f>
        <v/>
      </c>
      <c r="L87" s="51" t="str">
        <f>IF(XT!$P87=0,J87,"")</f>
        <v/>
      </c>
      <c r="M87">
        <f>SUMPRODUCT((MONTH(CHOOSE({1,2,3,4},XT!U87,XT!Y87,XT!AC87,XT!AG87))=4)*(CHOOSE({1,2,3,4},XT!X87,XT!AB87,XT!AF87,XT!AJ87)))</f>
        <v>0</v>
      </c>
      <c r="N87" t="str">
        <f>IFERROR(INDEX(CHOOSE({1,2,3,4}, DAY(XT!U87), DAY(XT!Y87), DAY(XT!AC87), DAY(XT!AG87)), MATCH(1, INDEX(--(MONTH(CHOOSE({1,2,3,4}, XT!U87,XT!Y87,XT!AC87,XT!AG87))=4), 0), 0)), "")</f>
        <v/>
      </c>
      <c r="O87" s="51" t="str">
        <f>IF(XT!$P87&gt;0,N87,"")</f>
        <v/>
      </c>
      <c r="P87" s="51" t="str">
        <f>IF(XT!$P87=0,N87,"")</f>
        <v/>
      </c>
      <c r="Q87">
        <f>SUMPRODUCT((MONTH(CHOOSE({1,2,3,4},XT!U87,XT!Y87,XT!AC87,XT!AG87))=5)*(CHOOSE({1,2,3,4},XT!X87,XT!AB87,XT!AF87,XT!AJ87)))</f>
        <v>0</v>
      </c>
      <c r="R87" t="str">
        <f>IFERROR(INDEX(CHOOSE({1,2,3,4}, DAY(XT!U87), DAY(XT!Y87), DAY(XT!AC87), DAY(XT!AG87)), MATCH(1, INDEX(--(MONTH(CHOOSE({1,2,3,4}, XT!U87,XT!Y87,XT!AC87,XT!AG87))=5), 0), 0)), "")</f>
        <v/>
      </c>
      <c r="S87" s="51" t="str">
        <f>IF(XT!$P87&gt;0,R87,"")</f>
        <v/>
      </c>
      <c r="T87" s="51" t="str">
        <f>IF(XT!$P87=0,R87,"")</f>
        <v/>
      </c>
      <c r="U87">
        <f>SUMPRODUCT((MONTH(CHOOSE({1,2,3,4},XT!U87,XT!Y87,XT!AC87,XT!AG87))=6)*(CHOOSE({1,2,3,4},XT!X87,XT!AB87,XT!AF87,XT!AJ87)))</f>
        <v>0</v>
      </c>
      <c r="V87" t="str">
        <f>IFERROR(INDEX(CHOOSE({1,2,3,4}, DAY(XT!U87), DAY(XT!Y87), DAY(XT!AC87), DAY(XT!AG87)), MATCH(1, INDEX(--(MONTH(CHOOSE({1,2,3,4}, XT!U87,XT!Y87,XT!AC87,XT!AG87))=6), 0), 0)), "")</f>
        <v/>
      </c>
      <c r="W87" s="51" t="str">
        <f>IF(XT!$P87&gt;0,V87,"")</f>
        <v/>
      </c>
      <c r="X87" s="51" t="str">
        <f>IF(XT!$P87=0,V87,"")</f>
        <v/>
      </c>
      <c r="Y87">
        <f>SUMPRODUCT((MONTH(CHOOSE({1,2,3,4},XT!U87,XT!Y87,XT!AC87,XT!AG87))=7)*(CHOOSE({1,2,3,4},XT!X87,XT!AB87,XT!AF87,XT!AJ87)))</f>
        <v>0</v>
      </c>
      <c r="Z87" t="str">
        <f>IFERROR(INDEX(CHOOSE({1,2,3,4}, DAY(XT!U87), DAY(XT!Y87), DAY(XT!AC87), DAY(XT!AG87)), MATCH(1, INDEX(--(MONTH(CHOOSE({1,2,3,4}, XT!U87,XT!Y87,XT!AC87,XT!AG87))=7), 0), 0)), "")</f>
        <v/>
      </c>
      <c r="AA87" s="51" t="str">
        <f>IF(XT!$P87&gt;0,Z87,"")</f>
        <v/>
      </c>
      <c r="AB87" s="51" t="str">
        <f>IF(XT!$P87=0,Z87,"")</f>
        <v/>
      </c>
      <c r="AC87">
        <f>SUMPRODUCT((MONTH(CHOOSE({1,2,3,4},XT!U87,XT!Y87,XT!AC87,XT!AG87))=8)*(CHOOSE({1,2,3,4},XT!X87,XT!AB87,XT!AF87,XT!AJ87)))</f>
        <v>0</v>
      </c>
      <c r="AD87" t="str">
        <f>IFERROR(INDEX(CHOOSE({1,2,3,4}, DAY(XT!U87), DAY(XT!Y87), DAY(XT!AC87), DAY(XT!AG87)), MATCH(1, INDEX(--(MONTH(CHOOSE({1,2,3,4}, XT!U87,XT!Y87,XT!AC87,XT!AG87))=8), 0), 0)), "")</f>
        <v/>
      </c>
      <c r="AE87" s="51" t="str">
        <f>IF(XT!$P87&gt;0,AD87,"")</f>
        <v/>
      </c>
      <c r="AF87" s="51" t="str">
        <f>IF(XT!$P87=0,AD87,"")</f>
        <v/>
      </c>
      <c r="AG87">
        <f>SUMPRODUCT((MONTH(CHOOSE({1,2,3,4},XT!U87,XT!Y87,XT!AC87,XT!AG87))=9)*(CHOOSE({1,2,3,4},XT!X87,XT!AB87,XT!AF87,XT!AJ87)))</f>
        <v>0</v>
      </c>
      <c r="AH87" t="str">
        <f>IFERROR(INDEX(CHOOSE({1,2,3,4}, DAY(XT!U87), DAY(XT!Y87), DAY(XT!AC87), DAY(XT!AG87)), MATCH(1, INDEX(--(MONTH(CHOOSE({1,2,3,4}, XT!U87,XT!Y87,XT!AC87,XT!AG87))=9), 0), 0)), "")</f>
        <v/>
      </c>
      <c r="AI87" s="51" t="str">
        <f>IF(XT!$P87&gt;0,AH87,"")</f>
        <v/>
      </c>
      <c r="AJ87" s="51" t="str">
        <f>IF(XT!$P87=0,AH87,"")</f>
        <v/>
      </c>
      <c r="AK87">
        <f>SUMPRODUCT((MONTH(CHOOSE({1,2,3,4},XT!U87,XT!Y87,XT!AC87,XT!AG87))=10)*(CHOOSE({1,2,3,4},XT!X87,XT!AB87,XT!AF87,XT!AJ87)))</f>
        <v>0</v>
      </c>
      <c r="AL87" t="str">
        <f>IFERROR(INDEX(CHOOSE({1,2,3,4}, DAY(XT!U87), DAY(XT!Y87), DAY(XT!AC87), DAY(XT!AG87)), MATCH(1, INDEX(--(MONTH(CHOOSE({1,2,3,4}, XT!U87,XT!Y87,XT!AC87,XT!AG87))=10), 0), 0)), "")</f>
        <v/>
      </c>
      <c r="AM87" s="51" t="str">
        <f>IF(XT!$P87&gt;0,AL87,"")</f>
        <v/>
      </c>
      <c r="AN87" s="51" t="str">
        <f>IF(XT!$P87=0,AL87,"")</f>
        <v/>
      </c>
      <c r="AO87">
        <f>SUMPRODUCT((MONTH(CHOOSE({1,2,3,4},XT!U87,XT!Y87,XT!AC87,XT!AG87))=11)*(CHOOSE({1,2,3,4},XT!X87,XT!AB87,XT!AF87,XT!AJ87)))</f>
        <v>0</v>
      </c>
      <c r="AP87" t="str">
        <f>IFERROR(INDEX(CHOOSE({1,2,3,4}, DAY(XT!U87), DAY(XT!Y87), DAY(XT!AC87), DAY(XT!AG87)), MATCH(1, INDEX(--(MONTH(CHOOSE({1,2,3,4}, XT!U87,XT!Y87,XT!AC87,XT!AG87))=11), 0), 0)), "")</f>
        <v/>
      </c>
      <c r="AQ87" s="51" t="str">
        <f>IF(XT!$P87&gt;0,AP87,"")</f>
        <v/>
      </c>
      <c r="AR87" s="51" t="str">
        <f>IF(XT!$P87=0,AP87,"")</f>
        <v/>
      </c>
      <c r="AS87">
        <f>SUMPRODUCT((MONTH(CHOOSE({1,2,3,4},XT!U87,XT!Y87,XT!AC87,XT!AG87))=12)*(CHOOSE({1,2,3,4},XT!X87,XT!AB87,XT!AF87,XT!AJ87)))</f>
        <v>0</v>
      </c>
      <c r="AT87" t="str">
        <f>IFERROR(INDEX(CHOOSE({1,2,3,4}, DAY(XT!U87), DAY(XT!Y87), DAY(XT!AC87), DAY(XT!AG87)), MATCH(1, INDEX(--(MONTH(CHOOSE({1,2,3,4}, XT!U87,XT!Y87,XT!AC87,XT!AG87))=12), 0), 0)), "")</f>
        <v/>
      </c>
      <c r="AU87" s="51" t="str">
        <f>IF(XT!$P87&gt;0,AT87,"")</f>
        <v/>
      </c>
      <c r="AV87" s="51" t="str">
        <f>IF(XT!$P87=0,AT87,"")</f>
        <v/>
      </c>
    </row>
    <row r="88" spans="1:48">
      <c r="A88">
        <f>SUMPRODUCT((MONTH(CHOOSE({1,2,3,4},XT!U88,XT!Y88,XT!AC88,XT!AG88))=1)*(CHOOSE({1,2,3,4},XT!X88,XT!AB88,XT!AF88,XT!AJ88)))</f>
        <v>0</v>
      </c>
      <c r="B88">
        <f>IFERROR(INDEX(CHOOSE({1,2,3,4}, DAY(XT!U88), DAY(XT!Y88), DAY(XT!AC88), DAY(XT!AG88)), MATCH(1, INDEX(--(MONTH(CHOOSE({1,2,3,4}, XT!U88,XT!Y88,XT!AC88,XT!AG88))=1), 0), 0)), "")</f>
        <v>0</v>
      </c>
      <c r="C88" s="51" t="str">
        <f>IF(XT!$P88&gt;0,B88,"")</f>
        <v/>
      </c>
      <c r="D88" s="51">
        <f>IF(XT!$P88=0,B88,"")</f>
        <v>0</v>
      </c>
      <c r="E88">
        <f>SUMPRODUCT((MONTH(CHOOSE({1,2,3,4},XT!U88,XT!Y88,XT!AC88,XT!AG88))=2)*(CHOOSE({1,2,3,4},XT!X88,XT!AB88,XT!AF88,XT!AJ88)))</f>
        <v>0</v>
      </c>
      <c r="F88" t="str">
        <f>IFERROR(INDEX(CHOOSE({1,2,3,4}, DAY(XT!U88), DAY(XT!Y88), DAY(XT!AC88), DAY(XT!AG88)), MATCH(1, INDEX(--(MONTH(CHOOSE({1,2,3,4}, XT!U88,XT!Y88,XT!AC88,XT!AG88))=2), 0), 0)), "")</f>
        <v/>
      </c>
      <c r="G88" s="51" t="str">
        <f>IF(XT!$P88&gt;0,F88,"")</f>
        <v/>
      </c>
      <c r="H88" s="51" t="str">
        <f>IF(XT!$P88=0,F88,"")</f>
        <v/>
      </c>
      <c r="I88">
        <f>SUMPRODUCT((MONTH(CHOOSE({1,2,3,4},XT!U88,XT!Y88,XT!AC88,XT!AG88))=3)*(CHOOSE({1,2,3,4},XT!X88,XT!AB88,XT!AF88,XT!AJ88)))</f>
        <v>0</v>
      </c>
      <c r="J88" t="str">
        <f>IFERROR(INDEX(CHOOSE({1,2,3,4}, DAY(XT!U88), DAY(XT!Y88), DAY(XT!AC88), DAY(XT!AG88)), MATCH(1, INDEX(--(MONTH(CHOOSE({1,2,3,4}, XT!U88,XT!Y88,XT!AC88,XT!AG88))=3), 0), 0)), "")</f>
        <v/>
      </c>
      <c r="K88" s="51" t="str">
        <f>IF(XT!$P88&gt;0,J88,"")</f>
        <v/>
      </c>
      <c r="L88" s="51" t="str">
        <f>IF(XT!$P88=0,J88,"")</f>
        <v/>
      </c>
      <c r="M88">
        <f>SUMPRODUCT((MONTH(CHOOSE({1,2,3,4},XT!U88,XT!Y88,XT!AC88,XT!AG88))=4)*(CHOOSE({1,2,3,4},XT!X88,XT!AB88,XT!AF88,XT!AJ88)))</f>
        <v>0</v>
      </c>
      <c r="N88" t="str">
        <f>IFERROR(INDEX(CHOOSE({1,2,3,4}, DAY(XT!U88), DAY(XT!Y88), DAY(XT!AC88), DAY(XT!AG88)), MATCH(1, INDEX(--(MONTH(CHOOSE({1,2,3,4}, XT!U88,XT!Y88,XT!AC88,XT!AG88))=4), 0), 0)), "")</f>
        <v/>
      </c>
      <c r="O88" s="51" t="str">
        <f>IF(XT!$P88&gt;0,N88,"")</f>
        <v/>
      </c>
      <c r="P88" s="51" t="str">
        <f>IF(XT!$P88=0,N88,"")</f>
        <v/>
      </c>
      <c r="Q88">
        <f>SUMPRODUCT((MONTH(CHOOSE({1,2,3,4},XT!U88,XT!Y88,XT!AC88,XT!AG88))=5)*(CHOOSE({1,2,3,4},XT!X88,XT!AB88,XT!AF88,XT!AJ88)))</f>
        <v>0</v>
      </c>
      <c r="R88" t="str">
        <f>IFERROR(INDEX(CHOOSE({1,2,3,4}, DAY(XT!U88), DAY(XT!Y88), DAY(XT!AC88), DAY(XT!AG88)), MATCH(1, INDEX(--(MONTH(CHOOSE({1,2,3,4}, XT!U88,XT!Y88,XT!AC88,XT!AG88))=5), 0), 0)), "")</f>
        <v/>
      </c>
      <c r="S88" s="51" t="str">
        <f>IF(XT!$P88&gt;0,R88,"")</f>
        <v/>
      </c>
      <c r="T88" s="51" t="str">
        <f>IF(XT!$P88=0,R88,"")</f>
        <v/>
      </c>
      <c r="U88">
        <f>SUMPRODUCT((MONTH(CHOOSE({1,2,3,4},XT!U88,XT!Y88,XT!AC88,XT!AG88))=6)*(CHOOSE({1,2,3,4},XT!X88,XT!AB88,XT!AF88,XT!AJ88)))</f>
        <v>0</v>
      </c>
      <c r="V88" t="str">
        <f>IFERROR(INDEX(CHOOSE({1,2,3,4}, DAY(XT!U88), DAY(XT!Y88), DAY(XT!AC88), DAY(XT!AG88)), MATCH(1, INDEX(--(MONTH(CHOOSE({1,2,3,4}, XT!U88,XT!Y88,XT!AC88,XT!AG88))=6), 0), 0)), "")</f>
        <v/>
      </c>
      <c r="W88" s="51" t="str">
        <f>IF(XT!$P88&gt;0,V88,"")</f>
        <v/>
      </c>
      <c r="X88" s="51" t="str">
        <f>IF(XT!$P88=0,V88,"")</f>
        <v/>
      </c>
      <c r="Y88">
        <f>SUMPRODUCT((MONTH(CHOOSE({1,2,3,4},XT!U88,XT!Y88,XT!AC88,XT!AG88))=7)*(CHOOSE({1,2,3,4},XT!X88,XT!AB88,XT!AF88,XT!AJ88)))</f>
        <v>0</v>
      </c>
      <c r="Z88" t="str">
        <f>IFERROR(INDEX(CHOOSE({1,2,3,4}, DAY(XT!U88), DAY(XT!Y88), DAY(XT!AC88), DAY(XT!AG88)), MATCH(1, INDEX(--(MONTH(CHOOSE({1,2,3,4}, XT!U88,XT!Y88,XT!AC88,XT!AG88))=7), 0), 0)), "")</f>
        <v/>
      </c>
      <c r="AA88" s="51" t="str">
        <f>IF(XT!$P88&gt;0,Z88,"")</f>
        <v/>
      </c>
      <c r="AB88" s="51" t="str">
        <f>IF(XT!$P88=0,Z88,"")</f>
        <v/>
      </c>
      <c r="AC88">
        <f>SUMPRODUCT((MONTH(CHOOSE({1,2,3,4},XT!U88,XT!Y88,XT!AC88,XT!AG88))=8)*(CHOOSE({1,2,3,4},XT!X88,XT!AB88,XT!AF88,XT!AJ88)))</f>
        <v>0</v>
      </c>
      <c r="AD88" t="str">
        <f>IFERROR(INDEX(CHOOSE({1,2,3,4}, DAY(XT!U88), DAY(XT!Y88), DAY(XT!AC88), DAY(XT!AG88)), MATCH(1, INDEX(--(MONTH(CHOOSE({1,2,3,4}, XT!U88,XT!Y88,XT!AC88,XT!AG88))=8), 0), 0)), "")</f>
        <v/>
      </c>
      <c r="AE88" s="51" t="str">
        <f>IF(XT!$P88&gt;0,AD88,"")</f>
        <v/>
      </c>
      <c r="AF88" s="51" t="str">
        <f>IF(XT!$P88=0,AD88,"")</f>
        <v/>
      </c>
      <c r="AG88">
        <f>SUMPRODUCT((MONTH(CHOOSE({1,2,3,4},XT!U88,XT!Y88,XT!AC88,XT!AG88))=9)*(CHOOSE({1,2,3,4},XT!X88,XT!AB88,XT!AF88,XT!AJ88)))</f>
        <v>0</v>
      </c>
      <c r="AH88" t="str">
        <f>IFERROR(INDEX(CHOOSE({1,2,3,4}, DAY(XT!U88), DAY(XT!Y88), DAY(XT!AC88), DAY(XT!AG88)), MATCH(1, INDEX(--(MONTH(CHOOSE({1,2,3,4}, XT!U88,XT!Y88,XT!AC88,XT!AG88))=9), 0), 0)), "")</f>
        <v/>
      </c>
      <c r="AI88" s="51" t="str">
        <f>IF(XT!$P88&gt;0,AH88,"")</f>
        <v/>
      </c>
      <c r="AJ88" s="51" t="str">
        <f>IF(XT!$P88=0,AH88,"")</f>
        <v/>
      </c>
      <c r="AK88">
        <f>SUMPRODUCT((MONTH(CHOOSE({1,2,3,4},XT!U88,XT!Y88,XT!AC88,XT!AG88))=10)*(CHOOSE({1,2,3,4},XT!X88,XT!AB88,XT!AF88,XT!AJ88)))</f>
        <v>0</v>
      </c>
      <c r="AL88" t="str">
        <f>IFERROR(INDEX(CHOOSE({1,2,3,4}, DAY(XT!U88), DAY(XT!Y88), DAY(XT!AC88), DAY(XT!AG88)), MATCH(1, INDEX(--(MONTH(CHOOSE({1,2,3,4}, XT!U88,XT!Y88,XT!AC88,XT!AG88))=10), 0), 0)), "")</f>
        <v/>
      </c>
      <c r="AM88" s="51" t="str">
        <f>IF(XT!$P88&gt;0,AL88,"")</f>
        <v/>
      </c>
      <c r="AN88" s="51" t="str">
        <f>IF(XT!$P88=0,AL88,"")</f>
        <v/>
      </c>
      <c r="AO88">
        <f>SUMPRODUCT((MONTH(CHOOSE({1,2,3,4},XT!U88,XT!Y88,XT!AC88,XT!AG88))=11)*(CHOOSE({1,2,3,4},XT!X88,XT!AB88,XT!AF88,XT!AJ88)))</f>
        <v>0</v>
      </c>
      <c r="AP88" t="str">
        <f>IFERROR(INDEX(CHOOSE({1,2,3,4}, DAY(XT!U88), DAY(XT!Y88), DAY(XT!AC88), DAY(XT!AG88)), MATCH(1, INDEX(--(MONTH(CHOOSE({1,2,3,4}, XT!U88,XT!Y88,XT!AC88,XT!AG88))=11), 0), 0)), "")</f>
        <v/>
      </c>
      <c r="AQ88" s="51" t="str">
        <f>IF(XT!$P88&gt;0,AP88,"")</f>
        <v/>
      </c>
      <c r="AR88" s="51" t="str">
        <f>IF(XT!$P88=0,AP88,"")</f>
        <v/>
      </c>
      <c r="AS88">
        <f>SUMPRODUCT((MONTH(CHOOSE({1,2,3,4},XT!U88,XT!Y88,XT!AC88,XT!AG88))=12)*(CHOOSE({1,2,3,4},XT!X88,XT!AB88,XT!AF88,XT!AJ88)))</f>
        <v>0</v>
      </c>
      <c r="AT88" t="str">
        <f>IFERROR(INDEX(CHOOSE({1,2,3,4}, DAY(XT!U88), DAY(XT!Y88), DAY(XT!AC88), DAY(XT!AG88)), MATCH(1, INDEX(--(MONTH(CHOOSE({1,2,3,4}, XT!U88,XT!Y88,XT!AC88,XT!AG88))=12), 0), 0)), "")</f>
        <v/>
      </c>
      <c r="AU88" s="51" t="str">
        <f>IF(XT!$P88&gt;0,AT88,"")</f>
        <v/>
      </c>
      <c r="AV88" s="51" t="str">
        <f>IF(XT!$P88=0,AT88,"")</f>
        <v/>
      </c>
    </row>
    <row r="89" spans="1:48">
      <c r="A89">
        <f>SUMPRODUCT((MONTH(CHOOSE({1,2,3,4},XT!U89,XT!Y89,XT!AC89,XT!AG89))=1)*(CHOOSE({1,2,3,4},XT!X89,XT!AB89,XT!AF89,XT!AJ89)))</f>
        <v>0</v>
      </c>
      <c r="B89">
        <f>IFERROR(INDEX(CHOOSE({1,2,3,4}, DAY(XT!U89), DAY(XT!Y89), DAY(XT!AC89), DAY(XT!AG89)), MATCH(1, INDEX(--(MONTH(CHOOSE({1,2,3,4}, XT!U89,XT!Y89,XT!AC89,XT!AG89))=1), 0), 0)), "")</f>
        <v>0</v>
      </c>
      <c r="C89" s="51" t="str">
        <f>IF(XT!$P89&gt;0,B89,"")</f>
        <v/>
      </c>
      <c r="D89" s="51">
        <f>IF(XT!$P89=0,B89,"")</f>
        <v>0</v>
      </c>
      <c r="E89">
        <f>SUMPRODUCT((MONTH(CHOOSE({1,2,3,4},XT!U89,XT!Y89,XT!AC89,XT!AG89))=2)*(CHOOSE({1,2,3,4},XT!X89,XT!AB89,XT!AF89,XT!AJ89)))</f>
        <v>0</v>
      </c>
      <c r="F89" t="str">
        <f>IFERROR(INDEX(CHOOSE({1,2,3,4}, DAY(XT!U89), DAY(XT!Y89), DAY(XT!AC89), DAY(XT!AG89)), MATCH(1, INDEX(--(MONTH(CHOOSE({1,2,3,4}, XT!U89,XT!Y89,XT!AC89,XT!AG89))=2), 0), 0)), "")</f>
        <v/>
      </c>
      <c r="G89" s="51" t="str">
        <f>IF(XT!$P89&gt;0,F89,"")</f>
        <v/>
      </c>
      <c r="H89" s="51" t="str">
        <f>IF(XT!$P89=0,F89,"")</f>
        <v/>
      </c>
      <c r="I89">
        <f>SUMPRODUCT((MONTH(CHOOSE({1,2,3,4},XT!U89,XT!Y89,XT!AC89,XT!AG89))=3)*(CHOOSE({1,2,3,4},XT!X89,XT!AB89,XT!AF89,XT!AJ89)))</f>
        <v>0</v>
      </c>
      <c r="J89" t="str">
        <f>IFERROR(INDEX(CHOOSE({1,2,3,4}, DAY(XT!U89), DAY(XT!Y89), DAY(XT!AC89), DAY(XT!AG89)), MATCH(1, INDEX(--(MONTH(CHOOSE({1,2,3,4}, XT!U89,XT!Y89,XT!AC89,XT!AG89))=3), 0), 0)), "")</f>
        <v/>
      </c>
      <c r="K89" s="51" t="str">
        <f>IF(XT!$P89&gt;0,J89,"")</f>
        <v/>
      </c>
      <c r="L89" s="51" t="str">
        <f>IF(XT!$P89=0,J89,"")</f>
        <v/>
      </c>
      <c r="M89">
        <f>SUMPRODUCT((MONTH(CHOOSE({1,2,3,4},XT!U89,XT!Y89,XT!AC89,XT!AG89))=4)*(CHOOSE({1,2,3,4},XT!X89,XT!AB89,XT!AF89,XT!AJ89)))</f>
        <v>0</v>
      </c>
      <c r="N89" t="str">
        <f>IFERROR(INDEX(CHOOSE({1,2,3,4}, DAY(XT!U89), DAY(XT!Y89), DAY(XT!AC89), DAY(XT!AG89)), MATCH(1, INDEX(--(MONTH(CHOOSE({1,2,3,4}, XT!U89,XT!Y89,XT!AC89,XT!AG89))=4), 0), 0)), "")</f>
        <v/>
      </c>
      <c r="O89" s="51" t="str">
        <f>IF(XT!$P89&gt;0,N89,"")</f>
        <v/>
      </c>
      <c r="P89" s="51" t="str">
        <f>IF(XT!$P89=0,N89,"")</f>
        <v/>
      </c>
      <c r="Q89">
        <f>SUMPRODUCT((MONTH(CHOOSE({1,2,3,4},XT!U89,XT!Y89,XT!AC89,XT!AG89))=5)*(CHOOSE({1,2,3,4},XT!X89,XT!AB89,XT!AF89,XT!AJ89)))</f>
        <v>0</v>
      </c>
      <c r="R89" t="str">
        <f>IFERROR(INDEX(CHOOSE({1,2,3,4}, DAY(XT!U89), DAY(XT!Y89), DAY(XT!AC89), DAY(XT!AG89)), MATCH(1, INDEX(--(MONTH(CHOOSE({1,2,3,4}, XT!U89,XT!Y89,XT!AC89,XT!AG89))=5), 0), 0)), "")</f>
        <v/>
      </c>
      <c r="S89" s="51" t="str">
        <f>IF(XT!$P89&gt;0,R89,"")</f>
        <v/>
      </c>
      <c r="T89" s="51" t="str">
        <f>IF(XT!$P89=0,R89,"")</f>
        <v/>
      </c>
      <c r="U89">
        <f>SUMPRODUCT((MONTH(CHOOSE({1,2,3,4},XT!U89,XT!Y89,XT!AC89,XT!AG89))=6)*(CHOOSE({1,2,3,4},XT!X89,XT!AB89,XT!AF89,XT!AJ89)))</f>
        <v>0</v>
      </c>
      <c r="V89" t="str">
        <f>IFERROR(INDEX(CHOOSE({1,2,3,4}, DAY(XT!U89), DAY(XT!Y89), DAY(XT!AC89), DAY(XT!AG89)), MATCH(1, INDEX(--(MONTH(CHOOSE({1,2,3,4}, XT!U89,XT!Y89,XT!AC89,XT!AG89))=6), 0), 0)), "")</f>
        <v/>
      </c>
      <c r="W89" s="51" t="str">
        <f>IF(XT!$P89&gt;0,V89,"")</f>
        <v/>
      </c>
      <c r="X89" s="51" t="str">
        <f>IF(XT!$P89=0,V89,"")</f>
        <v/>
      </c>
      <c r="Y89">
        <f>SUMPRODUCT((MONTH(CHOOSE({1,2,3,4},XT!U89,XT!Y89,XT!AC89,XT!AG89))=7)*(CHOOSE({1,2,3,4},XT!X89,XT!AB89,XT!AF89,XT!AJ89)))</f>
        <v>0</v>
      </c>
      <c r="Z89" t="str">
        <f>IFERROR(INDEX(CHOOSE({1,2,3,4}, DAY(XT!U89), DAY(XT!Y89), DAY(XT!AC89), DAY(XT!AG89)), MATCH(1, INDEX(--(MONTH(CHOOSE({1,2,3,4}, XT!U89,XT!Y89,XT!AC89,XT!AG89))=7), 0), 0)), "")</f>
        <v/>
      </c>
      <c r="AA89" s="51" t="str">
        <f>IF(XT!$P89&gt;0,Z89,"")</f>
        <v/>
      </c>
      <c r="AB89" s="51" t="str">
        <f>IF(XT!$P89=0,Z89,"")</f>
        <v/>
      </c>
      <c r="AC89">
        <f>SUMPRODUCT((MONTH(CHOOSE({1,2,3,4},XT!U89,XT!Y89,XT!AC89,XT!AG89))=8)*(CHOOSE({1,2,3,4},XT!X89,XT!AB89,XT!AF89,XT!AJ89)))</f>
        <v>0</v>
      </c>
      <c r="AD89" t="str">
        <f>IFERROR(INDEX(CHOOSE({1,2,3,4}, DAY(XT!U89), DAY(XT!Y89), DAY(XT!AC89), DAY(XT!AG89)), MATCH(1, INDEX(--(MONTH(CHOOSE({1,2,3,4}, XT!U89,XT!Y89,XT!AC89,XT!AG89))=8), 0), 0)), "")</f>
        <v/>
      </c>
      <c r="AE89" s="51" t="str">
        <f>IF(XT!$P89&gt;0,AD89,"")</f>
        <v/>
      </c>
      <c r="AF89" s="51" t="str">
        <f>IF(XT!$P89=0,AD89,"")</f>
        <v/>
      </c>
      <c r="AG89">
        <f>SUMPRODUCT((MONTH(CHOOSE({1,2,3,4},XT!U89,XT!Y89,XT!AC89,XT!AG89))=9)*(CHOOSE({1,2,3,4},XT!X89,XT!AB89,XT!AF89,XT!AJ89)))</f>
        <v>0</v>
      </c>
      <c r="AH89" t="str">
        <f>IFERROR(INDEX(CHOOSE({1,2,3,4}, DAY(XT!U89), DAY(XT!Y89), DAY(XT!AC89), DAY(XT!AG89)), MATCH(1, INDEX(--(MONTH(CHOOSE({1,2,3,4}, XT!U89,XT!Y89,XT!AC89,XT!AG89))=9), 0), 0)), "")</f>
        <v/>
      </c>
      <c r="AI89" s="51" t="str">
        <f>IF(XT!$P89&gt;0,AH89,"")</f>
        <v/>
      </c>
      <c r="AJ89" s="51" t="str">
        <f>IF(XT!$P89=0,AH89,"")</f>
        <v/>
      </c>
      <c r="AK89">
        <f>SUMPRODUCT((MONTH(CHOOSE({1,2,3,4},XT!U89,XT!Y89,XT!AC89,XT!AG89))=10)*(CHOOSE({1,2,3,4},XT!X89,XT!AB89,XT!AF89,XT!AJ89)))</f>
        <v>0</v>
      </c>
      <c r="AL89" t="str">
        <f>IFERROR(INDEX(CHOOSE({1,2,3,4}, DAY(XT!U89), DAY(XT!Y89), DAY(XT!AC89), DAY(XT!AG89)), MATCH(1, INDEX(--(MONTH(CHOOSE({1,2,3,4}, XT!U89,XT!Y89,XT!AC89,XT!AG89))=10), 0), 0)), "")</f>
        <v/>
      </c>
      <c r="AM89" s="51" t="str">
        <f>IF(XT!$P89&gt;0,AL89,"")</f>
        <v/>
      </c>
      <c r="AN89" s="51" t="str">
        <f>IF(XT!$P89=0,AL89,"")</f>
        <v/>
      </c>
      <c r="AO89">
        <f>SUMPRODUCT((MONTH(CHOOSE({1,2,3,4},XT!U89,XT!Y89,XT!AC89,XT!AG89))=11)*(CHOOSE({1,2,3,4},XT!X89,XT!AB89,XT!AF89,XT!AJ89)))</f>
        <v>0</v>
      </c>
      <c r="AP89" t="str">
        <f>IFERROR(INDEX(CHOOSE({1,2,3,4}, DAY(XT!U89), DAY(XT!Y89), DAY(XT!AC89), DAY(XT!AG89)), MATCH(1, INDEX(--(MONTH(CHOOSE({1,2,3,4}, XT!U89,XT!Y89,XT!AC89,XT!AG89))=11), 0), 0)), "")</f>
        <v/>
      </c>
      <c r="AQ89" s="51" t="str">
        <f>IF(XT!$P89&gt;0,AP89,"")</f>
        <v/>
      </c>
      <c r="AR89" s="51" t="str">
        <f>IF(XT!$P89=0,AP89,"")</f>
        <v/>
      </c>
      <c r="AS89">
        <f>SUMPRODUCT((MONTH(CHOOSE({1,2,3,4},XT!U89,XT!Y89,XT!AC89,XT!AG89))=12)*(CHOOSE({1,2,3,4},XT!X89,XT!AB89,XT!AF89,XT!AJ89)))</f>
        <v>0</v>
      </c>
      <c r="AT89" t="str">
        <f>IFERROR(INDEX(CHOOSE({1,2,3,4}, DAY(XT!U89), DAY(XT!Y89), DAY(XT!AC89), DAY(XT!AG89)), MATCH(1, INDEX(--(MONTH(CHOOSE({1,2,3,4}, XT!U89,XT!Y89,XT!AC89,XT!AG89))=12), 0), 0)), "")</f>
        <v/>
      </c>
      <c r="AU89" s="51" t="str">
        <f>IF(XT!$P89&gt;0,AT89,"")</f>
        <v/>
      </c>
      <c r="AV89" s="51" t="str">
        <f>IF(XT!$P89=0,AT89,"")</f>
        <v/>
      </c>
    </row>
    <row r="90" spans="1:48">
      <c r="A90">
        <f>SUMPRODUCT((MONTH(CHOOSE({1,2,3,4},XT!U90,XT!Y90,XT!AC90,XT!AG90))=1)*(CHOOSE({1,2,3,4},XT!X90,XT!AB90,XT!AF90,XT!AJ90)))</f>
        <v>0</v>
      </c>
      <c r="B90">
        <f>IFERROR(INDEX(CHOOSE({1,2,3,4}, DAY(XT!U90), DAY(XT!Y90), DAY(XT!AC90), DAY(XT!AG90)), MATCH(1, INDEX(--(MONTH(CHOOSE({1,2,3,4}, XT!U90,XT!Y90,XT!AC90,XT!AG90))=1), 0), 0)), "")</f>
        <v>0</v>
      </c>
      <c r="C90" s="51" t="str">
        <f>IF(XT!$P90&gt;0,B90,"")</f>
        <v/>
      </c>
      <c r="D90" s="51">
        <f>IF(XT!$P90=0,B90,"")</f>
        <v>0</v>
      </c>
      <c r="E90">
        <f>SUMPRODUCT((MONTH(CHOOSE({1,2,3,4},XT!U90,XT!Y90,XT!AC90,XT!AG90))=2)*(CHOOSE({1,2,3,4},XT!X90,XT!AB90,XT!AF90,XT!AJ90)))</f>
        <v>0</v>
      </c>
      <c r="F90" t="str">
        <f>IFERROR(INDEX(CHOOSE({1,2,3,4}, DAY(XT!U90), DAY(XT!Y90), DAY(XT!AC90), DAY(XT!AG90)), MATCH(1, INDEX(--(MONTH(CHOOSE({1,2,3,4}, XT!U90,XT!Y90,XT!AC90,XT!AG90))=2), 0), 0)), "")</f>
        <v/>
      </c>
      <c r="G90" s="51" t="str">
        <f>IF(XT!$P90&gt;0,F90,"")</f>
        <v/>
      </c>
      <c r="H90" s="51" t="str">
        <f>IF(XT!$P90=0,F90,"")</f>
        <v/>
      </c>
      <c r="I90">
        <f>SUMPRODUCT((MONTH(CHOOSE({1,2,3,4},XT!U90,XT!Y90,XT!AC90,XT!AG90))=3)*(CHOOSE({1,2,3,4},XT!X90,XT!AB90,XT!AF90,XT!AJ90)))</f>
        <v>0</v>
      </c>
      <c r="J90" t="str">
        <f>IFERROR(INDEX(CHOOSE({1,2,3,4}, DAY(XT!U90), DAY(XT!Y90), DAY(XT!AC90), DAY(XT!AG90)), MATCH(1, INDEX(--(MONTH(CHOOSE({1,2,3,4}, XT!U90,XT!Y90,XT!AC90,XT!AG90))=3), 0), 0)), "")</f>
        <v/>
      </c>
      <c r="K90" s="51" t="str">
        <f>IF(XT!$P90&gt;0,J90,"")</f>
        <v/>
      </c>
      <c r="L90" s="51" t="str">
        <f>IF(XT!$P90=0,J90,"")</f>
        <v/>
      </c>
      <c r="M90">
        <f>SUMPRODUCT((MONTH(CHOOSE({1,2,3,4},XT!U90,XT!Y90,XT!AC90,XT!AG90))=4)*(CHOOSE({1,2,3,4},XT!X90,XT!AB90,XT!AF90,XT!AJ90)))</f>
        <v>0</v>
      </c>
      <c r="N90" t="str">
        <f>IFERROR(INDEX(CHOOSE({1,2,3,4}, DAY(XT!U90), DAY(XT!Y90), DAY(XT!AC90), DAY(XT!AG90)), MATCH(1, INDEX(--(MONTH(CHOOSE({1,2,3,4}, XT!U90,XT!Y90,XT!AC90,XT!AG90))=4), 0), 0)), "")</f>
        <v/>
      </c>
      <c r="O90" s="51" t="str">
        <f>IF(XT!$P90&gt;0,N90,"")</f>
        <v/>
      </c>
      <c r="P90" s="51" t="str">
        <f>IF(XT!$P90=0,N90,"")</f>
        <v/>
      </c>
      <c r="Q90">
        <f>SUMPRODUCT((MONTH(CHOOSE({1,2,3,4},XT!U90,XT!Y90,XT!AC90,XT!AG90))=5)*(CHOOSE({1,2,3,4},XT!X90,XT!AB90,XT!AF90,XT!AJ90)))</f>
        <v>0</v>
      </c>
      <c r="R90" t="str">
        <f>IFERROR(INDEX(CHOOSE({1,2,3,4}, DAY(XT!U90), DAY(XT!Y90), DAY(XT!AC90), DAY(XT!AG90)), MATCH(1, INDEX(--(MONTH(CHOOSE({1,2,3,4}, XT!U90,XT!Y90,XT!AC90,XT!AG90))=5), 0), 0)), "")</f>
        <v/>
      </c>
      <c r="S90" s="51" t="str">
        <f>IF(XT!$P90&gt;0,R90,"")</f>
        <v/>
      </c>
      <c r="T90" s="51" t="str">
        <f>IF(XT!$P90=0,R90,"")</f>
        <v/>
      </c>
      <c r="U90">
        <f>SUMPRODUCT((MONTH(CHOOSE({1,2,3,4},XT!U90,XT!Y90,XT!AC90,XT!AG90))=6)*(CHOOSE({1,2,3,4},XT!X90,XT!AB90,XT!AF90,XT!AJ90)))</f>
        <v>0</v>
      </c>
      <c r="V90" t="str">
        <f>IFERROR(INDEX(CHOOSE({1,2,3,4}, DAY(XT!U90), DAY(XT!Y90), DAY(XT!AC90), DAY(XT!AG90)), MATCH(1, INDEX(--(MONTH(CHOOSE({1,2,3,4}, XT!U90,XT!Y90,XT!AC90,XT!AG90))=6), 0), 0)), "")</f>
        <v/>
      </c>
      <c r="W90" s="51" t="str">
        <f>IF(XT!$P90&gt;0,V90,"")</f>
        <v/>
      </c>
      <c r="X90" s="51" t="str">
        <f>IF(XT!$P90=0,V90,"")</f>
        <v/>
      </c>
      <c r="Y90">
        <f>SUMPRODUCT((MONTH(CHOOSE({1,2,3,4},XT!U90,XT!Y90,XT!AC90,XT!AG90))=7)*(CHOOSE({1,2,3,4},XT!X90,XT!AB90,XT!AF90,XT!AJ90)))</f>
        <v>0</v>
      </c>
      <c r="Z90" t="str">
        <f>IFERROR(INDEX(CHOOSE({1,2,3,4}, DAY(XT!U90), DAY(XT!Y90), DAY(XT!AC90), DAY(XT!AG90)), MATCH(1, INDEX(--(MONTH(CHOOSE({1,2,3,4}, XT!U90,XT!Y90,XT!AC90,XT!AG90))=7), 0), 0)), "")</f>
        <v/>
      </c>
      <c r="AA90" s="51" t="str">
        <f>IF(XT!$P90&gt;0,Z90,"")</f>
        <v/>
      </c>
      <c r="AB90" s="51" t="str">
        <f>IF(XT!$P90=0,Z90,"")</f>
        <v/>
      </c>
      <c r="AC90">
        <f>SUMPRODUCT((MONTH(CHOOSE({1,2,3,4},XT!U90,XT!Y90,XT!AC90,XT!AG90))=8)*(CHOOSE({1,2,3,4},XT!X90,XT!AB90,XT!AF90,XT!AJ90)))</f>
        <v>0</v>
      </c>
      <c r="AD90" t="str">
        <f>IFERROR(INDEX(CHOOSE({1,2,3,4}, DAY(XT!U90), DAY(XT!Y90), DAY(XT!AC90), DAY(XT!AG90)), MATCH(1, INDEX(--(MONTH(CHOOSE({1,2,3,4}, XT!U90,XT!Y90,XT!AC90,XT!AG90))=8), 0), 0)), "")</f>
        <v/>
      </c>
      <c r="AE90" s="51" t="str">
        <f>IF(XT!$P90&gt;0,AD90,"")</f>
        <v/>
      </c>
      <c r="AF90" s="51" t="str">
        <f>IF(XT!$P90=0,AD90,"")</f>
        <v/>
      </c>
      <c r="AG90">
        <f>SUMPRODUCT((MONTH(CHOOSE({1,2,3,4},XT!U90,XT!Y90,XT!AC90,XT!AG90))=9)*(CHOOSE({1,2,3,4},XT!X90,XT!AB90,XT!AF90,XT!AJ90)))</f>
        <v>0</v>
      </c>
      <c r="AH90" t="str">
        <f>IFERROR(INDEX(CHOOSE({1,2,3,4}, DAY(XT!U90), DAY(XT!Y90), DAY(XT!AC90), DAY(XT!AG90)), MATCH(1, INDEX(--(MONTH(CHOOSE({1,2,3,4}, XT!U90,XT!Y90,XT!AC90,XT!AG90))=9), 0), 0)), "")</f>
        <v/>
      </c>
      <c r="AI90" s="51" t="str">
        <f>IF(XT!$P90&gt;0,AH90,"")</f>
        <v/>
      </c>
      <c r="AJ90" s="51" t="str">
        <f>IF(XT!$P90=0,AH90,"")</f>
        <v/>
      </c>
      <c r="AK90">
        <f>SUMPRODUCT((MONTH(CHOOSE({1,2,3,4},XT!U90,XT!Y90,XT!AC90,XT!AG90))=10)*(CHOOSE({1,2,3,4},XT!X90,XT!AB90,XT!AF90,XT!AJ90)))</f>
        <v>0</v>
      </c>
      <c r="AL90" t="str">
        <f>IFERROR(INDEX(CHOOSE({1,2,3,4}, DAY(XT!U90), DAY(XT!Y90), DAY(XT!AC90), DAY(XT!AG90)), MATCH(1, INDEX(--(MONTH(CHOOSE({1,2,3,4}, XT!U90,XT!Y90,XT!AC90,XT!AG90))=10), 0), 0)), "")</f>
        <v/>
      </c>
      <c r="AM90" s="51" t="str">
        <f>IF(XT!$P90&gt;0,AL90,"")</f>
        <v/>
      </c>
      <c r="AN90" s="51" t="str">
        <f>IF(XT!$P90=0,AL90,"")</f>
        <v/>
      </c>
      <c r="AO90">
        <f>SUMPRODUCT((MONTH(CHOOSE({1,2,3,4},XT!U90,XT!Y90,XT!AC90,XT!AG90))=11)*(CHOOSE({1,2,3,4},XT!X90,XT!AB90,XT!AF90,XT!AJ90)))</f>
        <v>0</v>
      </c>
      <c r="AP90" t="str">
        <f>IFERROR(INDEX(CHOOSE({1,2,3,4}, DAY(XT!U90), DAY(XT!Y90), DAY(XT!AC90), DAY(XT!AG90)), MATCH(1, INDEX(--(MONTH(CHOOSE({1,2,3,4}, XT!U90,XT!Y90,XT!AC90,XT!AG90))=11), 0), 0)), "")</f>
        <v/>
      </c>
      <c r="AQ90" s="51" t="str">
        <f>IF(XT!$P90&gt;0,AP90,"")</f>
        <v/>
      </c>
      <c r="AR90" s="51" t="str">
        <f>IF(XT!$P90=0,AP90,"")</f>
        <v/>
      </c>
      <c r="AS90">
        <f>SUMPRODUCT((MONTH(CHOOSE({1,2,3,4},XT!U90,XT!Y90,XT!AC90,XT!AG90))=12)*(CHOOSE({1,2,3,4},XT!X90,XT!AB90,XT!AF90,XT!AJ90)))</f>
        <v>0</v>
      </c>
      <c r="AT90" t="str">
        <f>IFERROR(INDEX(CHOOSE({1,2,3,4}, DAY(XT!U90), DAY(XT!Y90), DAY(XT!AC90), DAY(XT!AG90)), MATCH(1, INDEX(--(MONTH(CHOOSE({1,2,3,4}, XT!U90,XT!Y90,XT!AC90,XT!AG90))=12), 0), 0)), "")</f>
        <v/>
      </c>
      <c r="AU90" s="51" t="str">
        <f>IF(XT!$P90&gt;0,AT90,"")</f>
        <v/>
      </c>
      <c r="AV90" s="51" t="str">
        <f>IF(XT!$P90=0,AT90,"")</f>
        <v/>
      </c>
    </row>
    <row r="91" spans="1:48">
      <c r="A91">
        <f>SUMPRODUCT((MONTH(CHOOSE({1,2,3,4},XT!U91,XT!Y91,XT!AC91,XT!AG91))=1)*(CHOOSE({1,2,3,4},XT!X91,XT!AB91,XT!AF91,XT!AJ91)))</f>
        <v>0</v>
      </c>
      <c r="B91">
        <f>IFERROR(INDEX(CHOOSE({1,2,3,4}, DAY(XT!U91), DAY(XT!Y91), DAY(XT!AC91), DAY(XT!AG91)), MATCH(1, INDEX(--(MONTH(CHOOSE({1,2,3,4}, XT!U91,XT!Y91,XT!AC91,XT!AG91))=1), 0), 0)), "")</f>
        <v>0</v>
      </c>
      <c r="C91" s="51" t="str">
        <f>IF(XT!$P91&gt;0,B91,"")</f>
        <v/>
      </c>
      <c r="D91" s="51">
        <f>IF(XT!$P91=0,B91,"")</f>
        <v>0</v>
      </c>
      <c r="E91">
        <f>SUMPRODUCT((MONTH(CHOOSE({1,2,3,4},XT!U91,XT!Y91,XT!AC91,XT!AG91))=2)*(CHOOSE({1,2,3,4},XT!X91,XT!AB91,XT!AF91,XT!AJ91)))</f>
        <v>0</v>
      </c>
      <c r="F91" t="str">
        <f>IFERROR(INDEX(CHOOSE({1,2,3,4}, DAY(XT!U91), DAY(XT!Y91), DAY(XT!AC91), DAY(XT!AG91)), MATCH(1, INDEX(--(MONTH(CHOOSE({1,2,3,4}, XT!U91,XT!Y91,XT!AC91,XT!AG91))=2), 0), 0)), "")</f>
        <v/>
      </c>
      <c r="G91" s="51" t="str">
        <f>IF(XT!$P91&gt;0,F91,"")</f>
        <v/>
      </c>
      <c r="H91" s="51" t="str">
        <f>IF(XT!$P91=0,F91,"")</f>
        <v/>
      </c>
      <c r="I91">
        <f>SUMPRODUCT((MONTH(CHOOSE({1,2,3,4},XT!U91,XT!Y91,XT!AC91,XT!AG91))=3)*(CHOOSE({1,2,3,4},XT!X91,XT!AB91,XT!AF91,XT!AJ91)))</f>
        <v>0</v>
      </c>
      <c r="J91" t="str">
        <f>IFERROR(INDEX(CHOOSE({1,2,3,4}, DAY(XT!U91), DAY(XT!Y91), DAY(XT!AC91), DAY(XT!AG91)), MATCH(1, INDEX(--(MONTH(CHOOSE({1,2,3,4}, XT!U91,XT!Y91,XT!AC91,XT!AG91))=3), 0), 0)), "")</f>
        <v/>
      </c>
      <c r="K91" s="51" t="str">
        <f>IF(XT!$P91&gt;0,J91,"")</f>
        <v/>
      </c>
      <c r="L91" s="51" t="str">
        <f>IF(XT!$P91=0,J91,"")</f>
        <v/>
      </c>
      <c r="M91">
        <f>SUMPRODUCT((MONTH(CHOOSE({1,2,3,4},XT!U91,XT!Y91,XT!AC91,XT!AG91))=4)*(CHOOSE({1,2,3,4},XT!X91,XT!AB91,XT!AF91,XT!AJ91)))</f>
        <v>0</v>
      </c>
      <c r="N91" t="str">
        <f>IFERROR(INDEX(CHOOSE({1,2,3,4}, DAY(XT!U91), DAY(XT!Y91), DAY(XT!AC91), DAY(XT!AG91)), MATCH(1, INDEX(--(MONTH(CHOOSE({1,2,3,4}, XT!U91,XT!Y91,XT!AC91,XT!AG91))=4), 0), 0)), "")</f>
        <v/>
      </c>
      <c r="O91" s="51" t="str">
        <f>IF(XT!$P91&gt;0,N91,"")</f>
        <v/>
      </c>
      <c r="P91" s="51" t="str">
        <f>IF(XT!$P91=0,N91,"")</f>
        <v/>
      </c>
      <c r="Q91">
        <f>SUMPRODUCT((MONTH(CHOOSE({1,2,3,4},XT!U91,XT!Y91,XT!AC91,XT!AG91))=5)*(CHOOSE({1,2,3,4},XT!X91,XT!AB91,XT!AF91,XT!AJ91)))</f>
        <v>0</v>
      </c>
      <c r="R91" t="str">
        <f>IFERROR(INDEX(CHOOSE({1,2,3,4}, DAY(XT!U91), DAY(XT!Y91), DAY(XT!AC91), DAY(XT!AG91)), MATCH(1, INDEX(--(MONTH(CHOOSE({1,2,3,4}, XT!U91,XT!Y91,XT!AC91,XT!AG91))=5), 0), 0)), "")</f>
        <v/>
      </c>
      <c r="S91" s="51" t="str">
        <f>IF(XT!$P91&gt;0,R91,"")</f>
        <v/>
      </c>
      <c r="T91" s="51" t="str">
        <f>IF(XT!$P91=0,R91,"")</f>
        <v/>
      </c>
      <c r="U91">
        <f>SUMPRODUCT((MONTH(CHOOSE({1,2,3,4},XT!U91,XT!Y91,XT!AC91,XT!AG91))=6)*(CHOOSE({1,2,3,4},XT!X91,XT!AB91,XT!AF91,XT!AJ91)))</f>
        <v>0</v>
      </c>
      <c r="V91" t="str">
        <f>IFERROR(INDEX(CHOOSE({1,2,3,4}, DAY(XT!U91), DAY(XT!Y91), DAY(XT!AC91), DAY(XT!AG91)), MATCH(1, INDEX(--(MONTH(CHOOSE({1,2,3,4}, XT!U91,XT!Y91,XT!AC91,XT!AG91))=6), 0), 0)), "")</f>
        <v/>
      </c>
      <c r="W91" s="51" t="str">
        <f>IF(XT!$P91&gt;0,V91,"")</f>
        <v/>
      </c>
      <c r="X91" s="51" t="str">
        <f>IF(XT!$P91=0,V91,"")</f>
        <v/>
      </c>
      <c r="Y91">
        <f>SUMPRODUCT((MONTH(CHOOSE({1,2,3,4},XT!U91,XT!Y91,XT!AC91,XT!AG91))=7)*(CHOOSE({1,2,3,4},XT!X91,XT!AB91,XT!AF91,XT!AJ91)))</f>
        <v>0</v>
      </c>
      <c r="Z91" t="str">
        <f>IFERROR(INDEX(CHOOSE({1,2,3,4}, DAY(XT!U91), DAY(XT!Y91), DAY(XT!AC91), DAY(XT!AG91)), MATCH(1, INDEX(--(MONTH(CHOOSE({1,2,3,4}, XT!U91,XT!Y91,XT!AC91,XT!AG91))=7), 0), 0)), "")</f>
        <v/>
      </c>
      <c r="AA91" s="51" t="str">
        <f>IF(XT!$P91&gt;0,Z91,"")</f>
        <v/>
      </c>
      <c r="AB91" s="51" t="str">
        <f>IF(XT!$P91=0,Z91,"")</f>
        <v/>
      </c>
      <c r="AC91">
        <f>SUMPRODUCT((MONTH(CHOOSE({1,2,3,4},XT!U91,XT!Y91,XT!AC91,XT!AG91))=8)*(CHOOSE({1,2,3,4},XT!X91,XT!AB91,XT!AF91,XT!AJ91)))</f>
        <v>0</v>
      </c>
      <c r="AD91" t="str">
        <f>IFERROR(INDEX(CHOOSE({1,2,3,4}, DAY(XT!U91), DAY(XT!Y91), DAY(XT!AC91), DAY(XT!AG91)), MATCH(1, INDEX(--(MONTH(CHOOSE({1,2,3,4}, XT!U91,XT!Y91,XT!AC91,XT!AG91))=8), 0), 0)), "")</f>
        <v/>
      </c>
      <c r="AE91" s="51" t="str">
        <f>IF(XT!$P91&gt;0,AD91,"")</f>
        <v/>
      </c>
      <c r="AF91" s="51" t="str">
        <f>IF(XT!$P91=0,AD91,"")</f>
        <v/>
      </c>
      <c r="AG91">
        <f>SUMPRODUCT((MONTH(CHOOSE({1,2,3,4},XT!U91,XT!Y91,XT!AC91,XT!AG91))=9)*(CHOOSE({1,2,3,4},XT!X91,XT!AB91,XT!AF91,XT!AJ91)))</f>
        <v>0</v>
      </c>
      <c r="AH91" t="str">
        <f>IFERROR(INDEX(CHOOSE({1,2,3,4}, DAY(XT!U91), DAY(XT!Y91), DAY(XT!AC91), DAY(XT!AG91)), MATCH(1, INDEX(--(MONTH(CHOOSE({1,2,3,4}, XT!U91,XT!Y91,XT!AC91,XT!AG91))=9), 0), 0)), "")</f>
        <v/>
      </c>
      <c r="AI91" s="51" t="str">
        <f>IF(XT!$P91&gt;0,AH91,"")</f>
        <v/>
      </c>
      <c r="AJ91" s="51" t="str">
        <f>IF(XT!$P91=0,AH91,"")</f>
        <v/>
      </c>
      <c r="AK91">
        <f>SUMPRODUCT((MONTH(CHOOSE({1,2,3,4},XT!U91,XT!Y91,XT!AC91,XT!AG91))=10)*(CHOOSE({1,2,3,4},XT!X91,XT!AB91,XT!AF91,XT!AJ91)))</f>
        <v>0</v>
      </c>
      <c r="AL91" t="str">
        <f>IFERROR(INDEX(CHOOSE({1,2,3,4}, DAY(XT!U91), DAY(XT!Y91), DAY(XT!AC91), DAY(XT!AG91)), MATCH(1, INDEX(--(MONTH(CHOOSE({1,2,3,4}, XT!U91,XT!Y91,XT!AC91,XT!AG91))=10), 0), 0)), "")</f>
        <v/>
      </c>
      <c r="AM91" s="51" t="str">
        <f>IF(XT!$P91&gt;0,AL91,"")</f>
        <v/>
      </c>
      <c r="AN91" s="51" t="str">
        <f>IF(XT!$P91=0,AL91,"")</f>
        <v/>
      </c>
      <c r="AO91">
        <f>SUMPRODUCT((MONTH(CHOOSE({1,2,3,4},XT!U91,XT!Y91,XT!AC91,XT!AG91))=11)*(CHOOSE({1,2,3,4},XT!X91,XT!AB91,XT!AF91,XT!AJ91)))</f>
        <v>0</v>
      </c>
      <c r="AP91" t="str">
        <f>IFERROR(INDEX(CHOOSE({1,2,3,4}, DAY(XT!U91), DAY(XT!Y91), DAY(XT!AC91), DAY(XT!AG91)), MATCH(1, INDEX(--(MONTH(CHOOSE({1,2,3,4}, XT!U91,XT!Y91,XT!AC91,XT!AG91))=11), 0), 0)), "")</f>
        <v/>
      </c>
      <c r="AQ91" s="51" t="str">
        <f>IF(XT!$P91&gt;0,AP91,"")</f>
        <v/>
      </c>
      <c r="AR91" s="51" t="str">
        <f>IF(XT!$P91=0,AP91,"")</f>
        <v/>
      </c>
      <c r="AS91">
        <f>SUMPRODUCT((MONTH(CHOOSE({1,2,3,4},XT!U91,XT!Y91,XT!AC91,XT!AG91))=12)*(CHOOSE({1,2,3,4},XT!X91,XT!AB91,XT!AF91,XT!AJ91)))</f>
        <v>0</v>
      </c>
      <c r="AT91" t="str">
        <f>IFERROR(INDEX(CHOOSE({1,2,3,4}, DAY(XT!U91), DAY(XT!Y91), DAY(XT!AC91), DAY(XT!AG91)), MATCH(1, INDEX(--(MONTH(CHOOSE({1,2,3,4}, XT!U91,XT!Y91,XT!AC91,XT!AG91))=12), 0), 0)), "")</f>
        <v/>
      </c>
      <c r="AU91" s="51" t="str">
        <f>IF(XT!$P91&gt;0,AT91,"")</f>
        <v/>
      </c>
      <c r="AV91" s="51" t="str">
        <f>IF(XT!$P91=0,AT91,"")</f>
        <v/>
      </c>
    </row>
    <row r="92" spans="1:48">
      <c r="A92">
        <f>SUMPRODUCT((MONTH(CHOOSE({1,2,3,4},XT!U92,XT!Y92,XT!AC92,XT!AG92))=1)*(CHOOSE({1,2,3,4},XT!X92,XT!AB92,XT!AF92,XT!AJ92)))</f>
        <v>0</v>
      </c>
      <c r="B92">
        <f>IFERROR(INDEX(CHOOSE({1,2,3,4}, DAY(XT!U92), DAY(XT!Y92), DAY(XT!AC92), DAY(XT!AG92)), MATCH(1, INDEX(--(MONTH(CHOOSE({1,2,3,4}, XT!U92,XT!Y92,XT!AC92,XT!AG92))=1), 0), 0)), "")</f>
        <v>0</v>
      </c>
      <c r="C92" s="51" t="str">
        <f>IF(XT!$P92&gt;0,B92,"")</f>
        <v/>
      </c>
      <c r="D92" s="51">
        <f>IF(XT!$P92=0,B92,"")</f>
        <v>0</v>
      </c>
      <c r="E92">
        <f>SUMPRODUCT((MONTH(CHOOSE({1,2,3,4},XT!U92,XT!Y92,XT!AC92,XT!AG92))=2)*(CHOOSE({1,2,3,4},XT!X92,XT!AB92,XT!AF92,XT!AJ92)))</f>
        <v>0</v>
      </c>
      <c r="F92" t="str">
        <f>IFERROR(INDEX(CHOOSE({1,2,3,4}, DAY(XT!U92), DAY(XT!Y92), DAY(XT!AC92), DAY(XT!AG92)), MATCH(1, INDEX(--(MONTH(CHOOSE({1,2,3,4}, XT!U92,XT!Y92,XT!AC92,XT!AG92))=2), 0), 0)), "")</f>
        <v/>
      </c>
      <c r="G92" s="51" t="str">
        <f>IF(XT!$P92&gt;0,F92,"")</f>
        <v/>
      </c>
      <c r="H92" s="51" t="str">
        <f>IF(XT!$P92=0,F92,"")</f>
        <v/>
      </c>
      <c r="I92">
        <f>SUMPRODUCT((MONTH(CHOOSE({1,2,3,4},XT!U92,XT!Y92,XT!AC92,XT!AG92))=3)*(CHOOSE({1,2,3,4},XT!X92,XT!AB92,XT!AF92,XT!AJ92)))</f>
        <v>0</v>
      </c>
      <c r="J92" t="str">
        <f>IFERROR(INDEX(CHOOSE({1,2,3,4}, DAY(XT!U92), DAY(XT!Y92), DAY(XT!AC92), DAY(XT!AG92)), MATCH(1, INDEX(--(MONTH(CHOOSE({1,2,3,4}, XT!U92,XT!Y92,XT!AC92,XT!AG92))=3), 0), 0)), "")</f>
        <v/>
      </c>
      <c r="K92" s="51" t="str">
        <f>IF(XT!$P92&gt;0,J92,"")</f>
        <v/>
      </c>
      <c r="L92" s="51" t="str">
        <f>IF(XT!$P92=0,J92,"")</f>
        <v/>
      </c>
      <c r="M92">
        <f>SUMPRODUCT((MONTH(CHOOSE({1,2,3,4},XT!U92,XT!Y92,XT!AC92,XT!AG92))=4)*(CHOOSE({1,2,3,4},XT!X92,XT!AB92,XT!AF92,XT!AJ92)))</f>
        <v>0</v>
      </c>
      <c r="N92" t="str">
        <f>IFERROR(INDEX(CHOOSE({1,2,3,4}, DAY(XT!U92), DAY(XT!Y92), DAY(XT!AC92), DAY(XT!AG92)), MATCH(1, INDEX(--(MONTH(CHOOSE({1,2,3,4}, XT!U92,XT!Y92,XT!AC92,XT!AG92))=4), 0), 0)), "")</f>
        <v/>
      </c>
      <c r="O92" s="51" t="str">
        <f>IF(XT!$P92&gt;0,N92,"")</f>
        <v/>
      </c>
      <c r="P92" s="51" t="str">
        <f>IF(XT!$P92=0,N92,"")</f>
        <v/>
      </c>
      <c r="Q92">
        <f>SUMPRODUCT((MONTH(CHOOSE({1,2,3,4},XT!U92,XT!Y92,XT!AC92,XT!AG92))=5)*(CHOOSE({1,2,3,4},XT!X92,XT!AB92,XT!AF92,XT!AJ92)))</f>
        <v>0</v>
      </c>
      <c r="R92" t="str">
        <f>IFERROR(INDEX(CHOOSE({1,2,3,4}, DAY(XT!U92), DAY(XT!Y92), DAY(XT!AC92), DAY(XT!AG92)), MATCH(1, INDEX(--(MONTH(CHOOSE({1,2,3,4}, XT!U92,XT!Y92,XT!AC92,XT!AG92))=5), 0), 0)), "")</f>
        <v/>
      </c>
      <c r="S92" s="51" t="str">
        <f>IF(XT!$P92&gt;0,R92,"")</f>
        <v/>
      </c>
      <c r="T92" s="51" t="str">
        <f>IF(XT!$P92=0,R92,"")</f>
        <v/>
      </c>
      <c r="U92">
        <f>SUMPRODUCT((MONTH(CHOOSE({1,2,3,4},XT!U92,XT!Y92,XT!AC92,XT!AG92))=6)*(CHOOSE({1,2,3,4},XT!X92,XT!AB92,XT!AF92,XT!AJ92)))</f>
        <v>0</v>
      </c>
      <c r="V92" t="str">
        <f>IFERROR(INDEX(CHOOSE({1,2,3,4}, DAY(XT!U92), DAY(XT!Y92), DAY(XT!AC92), DAY(XT!AG92)), MATCH(1, INDEX(--(MONTH(CHOOSE({1,2,3,4}, XT!U92,XT!Y92,XT!AC92,XT!AG92))=6), 0), 0)), "")</f>
        <v/>
      </c>
      <c r="W92" s="51" t="str">
        <f>IF(XT!$P92&gt;0,V92,"")</f>
        <v/>
      </c>
      <c r="X92" s="51" t="str">
        <f>IF(XT!$P92=0,V92,"")</f>
        <v/>
      </c>
      <c r="Y92">
        <f>SUMPRODUCT((MONTH(CHOOSE({1,2,3,4},XT!U92,XT!Y92,XT!AC92,XT!AG92))=7)*(CHOOSE({1,2,3,4},XT!X92,XT!AB92,XT!AF92,XT!AJ92)))</f>
        <v>0</v>
      </c>
      <c r="Z92" t="str">
        <f>IFERROR(INDEX(CHOOSE({1,2,3,4}, DAY(XT!U92), DAY(XT!Y92), DAY(XT!AC92), DAY(XT!AG92)), MATCH(1, INDEX(--(MONTH(CHOOSE({1,2,3,4}, XT!U92,XT!Y92,XT!AC92,XT!AG92))=7), 0), 0)), "")</f>
        <v/>
      </c>
      <c r="AA92" s="51" t="str">
        <f>IF(XT!$P92&gt;0,Z92,"")</f>
        <v/>
      </c>
      <c r="AB92" s="51" t="str">
        <f>IF(XT!$P92=0,Z92,"")</f>
        <v/>
      </c>
      <c r="AC92">
        <f>SUMPRODUCT((MONTH(CHOOSE({1,2,3,4},XT!U92,XT!Y92,XT!AC92,XT!AG92))=8)*(CHOOSE({1,2,3,4},XT!X92,XT!AB92,XT!AF92,XT!AJ92)))</f>
        <v>0</v>
      </c>
      <c r="AD92" t="str">
        <f>IFERROR(INDEX(CHOOSE({1,2,3,4}, DAY(XT!U92), DAY(XT!Y92), DAY(XT!AC92), DAY(XT!AG92)), MATCH(1, INDEX(--(MONTH(CHOOSE({1,2,3,4}, XT!U92,XT!Y92,XT!AC92,XT!AG92))=8), 0), 0)), "")</f>
        <v/>
      </c>
      <c r="AE92" s="51" t="str">
        <f>IF(XT!$P92&gt;0,AD92,"")</f>
        <v/>
      </c>
      <c r="AF92" s="51" t="str">
        <f>IF(XT!$P92=0,AD92,"")</f>
        <v/>
      </c>
      <c r="AG92">
        <f>SUMPRODUCT((MONTH(CHOOSE({1,2,3,4},XT!U92,XT!Y92,XT!AC92,XT!AG92))=9)*(CHOOSE({1,2,3,4},XT!X92,XT!AB92,XT!AF92,XT!AJ92)))</f>
        <v>0</v>
      </c>
      <c r="AH92" t="str">
        <f>IFERROR(INDEX(CHOOSE({1,2,3,4}, DAY(XT!U92), DAY(XT!Y92), DAY(XT!AC92), DAY(XT!AG92)), MATCH(1, INDEX(--(MONTH(CHOOSE({1,2,3,4}, XT!U92,XT!Y92,XT!AC92,XT!AG92))=9), 0), 0)), "")</f>
        <v/>
      </c>
      <c r="AI92" s="51" t="str">
        <f>IF(XT!$P92&gt;0,AH92,"")</f>
        <v/>
      </c>
      <c r="AJ92" s="51" t="str">
        <f>IF(XT!$P92=0,AH92,"")</f>
        <v/>
      </c>
      <c r="AK92">
        <f>SUMPRODUCT((MONTH(CHOOSE({1,2,3,4},XT!U92,XT!Y92,XT!AC92,XT!AG92))=10)*(CHOOSE({1,2,3,4},XT!X92,XT!AB92,XT!AF92,XT!AJ92)))</f>
        <v>0</v>
      </c>
      <c r="AL92" t="str">
        <f>IFERROR(INDEX(CHOOSE({1,2,3,4}, DAY(XT!U92), DAY(XT!Y92), DAY(XT!AC92), DAY(XT!AG92)), MATCH(1, INDEX(--(MONTH(CHOOSE({1,2,3,4}, XT!U92,XT!Y92,XT!AC92,XT!AG92))=10), 0), 0)), "")</f>
        <v/>
      </c>
      <c r="AM92" s="51" t="str">
        <f>IF(XT!$P92&gt;0,AL92,"")</f>
        <v/>
      </c>
      <c r="AN92" s="51" t="str">
        <f>IF(XT!$P92=0,AL92,"")</f>
        <v/>
      </c>
      <c r="AO92">
        <f>SUMPRODUCT((MONTH(CHOOSE({1,2,3,4},XT!U92,XT!Y92,XT!AC92,XT!AG92))=11)*(CHOOSE({1,2,3,4},XT!X92,XT!AB92,XT!AF92,XT!AJ92)))</f>
        <v>0</v>
      </c>
      <c r="AP92" t="str">
        <f>IFERROR(INDEX(CHOOSE({1,2,3,4}, DAY(XT!U92), DAY(XT!Y92), DAY(XT!AC92), DAY(XT!AG92)), MATCH(1, INDEX(--(MONTH(CHOOSE({1,2,3,4}, XT!U92,XT!Y92,XT!AC92,XT!AG92))=11), 0), 0)), "")</f>
        <v/>
      </c>
      <c r="AQ92" s="51" t="str">
        <f>IF(XT!$P92&gt;0,AP92,"")</f>
        <v/>
      </c>
      <c r="AR92" s="51" t="str">
        <f>IF(XT!$P92=0,AP92,"")</f>
        <v/>
      </c>
      <c r="AS92">
        <f>SUMPRODUCT((MONTH(CHOOSE({1,2,3,4},XT!U92,XT!Y92,XT!AC92,XT!AG92))=12)*(CHOOSE({1,2,3,4},XT!X92,XT!AB92,XT!AF92,XT!AJ92)))</f>
        <v>0</v>
      </c>
      <c r="AT92" t="str">
        <f>IFERROR(INDEX(CHOOSE({1,2,3,4}, DAY(XT!U92), DAY(XT!Y92), DAY(XT!AC92), DAY(XT!AG92)), MATCH(1, INDEX(--(MONTH(CHOOSE({1,2,3,4}, XT!U92,XT!Y92,XT!AC92,XT!AG92))=12), 0), 0)), "")</f>
        <v/>
      </c>
      <c r="AU92" s="51" t="str">
        <f>IF(XT!$P92&gt;0,AT92,"")</f>
        <v/>
      </c>
      <c r="AV92" s="51" t="str">
        <f>IF(XT!$P92=0,AT92,"")</f>
        <v/>
      </c>
    </row>
    <row r="93" spans="1:48">
      <c r="A93">
        <f>SUMPRODUCT((MONTH(CHOOSE({1,2,3,4},XT!U93,XT!Y93,XT!AC93,XT!AG93))=1)*(CHOOSE({1,2,3,4},XT!X93,XT!AB93,XT!AF93,XT!AJ93)))</f>
        <v>0</v>
      </c>
      <c r="B93">
        <f>IFERROR(INDEX(CHOOSE({1,2,3,4}, DAY(XT!U93), DAY(XT!Y93), DAY(XT!AC93), DAY(XT!AG93)), MATCH(1, INDEX(--(MONTH(CHOOSE({1,2,3,4}, XT!U93,XT!Y93,XT!AC93,XT!AG93))=1), 0), 0)), "")</f>
        <v>0</v>
      </c>
      <c r="C93" s="51" t="str">
        <f>IF(XT!$P93&gt;0,B93,"")</f>
        <v/>
      </c>
      <c r="D93" s="51">
        <f>IF(XT!$P93=0,B93,"")</f>
        <v>0</v>
      </c>
      <c r="E93">
        <f>SUMPRODUCT((MONTH(CHOOSE({1,2,3,4},XT!U93,XT!Y93,XT!AC93,XT!AG93))=2)*(CHOOSE({1,2,3,4},XT!X93,XT!AB93,XT!AF93,XT!AJ93)))</f>
        <v>0</v>
      </c>
      <c r="F93" t="str">
        <f>IFERROR(INDEX(CHOOSE({1,2,3,4}, DAY(XT!U93), DAY(XT!Y93), DAY(XT!AC93), DAY(XT!AG93)), MATCH(1, INDEX(--(MONTH(CHOOSE({1,2,3,4}, XT!U93,XT!Y93,XT!AC93,XT!AG93))=2), 0), 0)), "")</f>
        <v/>
      </c>
      <c r="G93" s="51" t="str">
        <f>IF(XT!$P93&gt;0,F93,"")</f>
        <v/>
      </c>
      <c r="H93" s="51" t="str">
        <f>IF(XT!$P93=0,F93,"")</f>
        <v/>
      </c>
      <c r="I93">
        <f>SUMPRODUCT((MONTH(CHOOSE({1,2,3,4},XT!U93,XT!Y93,XT!AC93,XT!AG93))=3)*(CHOOSE({1,2,3,4},XT!X93,XT!AB93,XT!AF93,XT!AJ93)))</f>
        <v>0</v>
      </c>
      <c r="J93" t="str">
        <f>IFERROR(INDEX(CHOOSE({1,2,3,4}, DAY(XT!U93), DAY(XT!Y93), DAY(XT!AC93), DAY(XT!AG93)), MATCH(1, INDEX(--(MONTH(CHOOSE({1,2,3,4}, XT!U93,XT!Y93,XT!AC93,XT!AG93))=3), 0), 0)), "")</f>
        <v/>
      </c>
      <c r="K93" s="51" t="str">
        <f>IF(XT!$P93&gt;0,J93,"")</f>
        <v/>
      </c>
      <c r="L93" s="51" t="str">
        <f>IF(XT!$P93=0,J93,"")</f>
        <v/>
      </c>
      <c r="M93">
        <f>SUMPRODUCT((MONTH(CHOOSE({1,2,3,4},XT!U93,XT!Y93,XT!AC93,XT!AG93))=4)*(CHOOSE({1,2,3,4},XT!X93,XT!AB93,XT!AF93,XT!AJ93)))</f>
        <v>0</v>
      </c>
      <c r="N93" t="str">
        <f>IFERROR(INDEX(CHOOSE({1,2,3,4}, DAY(XT!U93), DAY(XT!Y93), DAY(XT!AC93), DAY(XT!AG93)), MATCH(1, INDEX(--(MONTH(CHOOSE({1,2,3,4}, XT!U93,XT!Y93,XT!AC93,XT!AG93))=4), 0), 0)), "")</f>
        <v/>
      </c>
      <c r="O93" s="51" t="str">
        <f>IF(XT!$P93&gt;0,N93,"")</f>
        <v/>
      </c>
      <c r="P93" s="51" t="str">
        <f>IF(XT!$P93=0,N93,"")</f>
        <v/>
      </c>
      <c r="Q93">
        <f>SUMPRODUCT((MONTH(CHOOSE({1,2,3,4},XT!U93,XT!Y93,XT!AC93,XT!AG93))=5)*(CHOOSE({1,2,3,4},XT!X93,XT!AB93,XT!AF93,XT!AJ93)))</f>
        <v>0</v>
      </c>
      <c r="R93" t="str">
        <f>IFERROR(INDEX(CHOOSE({1,2,3,4}, DAY(XT!U93), DAY(XT!Y93), DAY(XT!AC93), DAY(XT!AG93)), MATCH(1, INDEX(--(MONTH(CHOOSE({1,2,3,4}, XT!U93,XT!Y93,XT!AC93,XT!AG93))=5), 0), 0)), "")</f>
        <v/>
      </c>
      <c r="S93" s="51" t="str">
        <f>IF(XT!$P93&gt;0,R93,"")</f>
        <v/>
      </c>
      <c r="T93" s="51" t="str">
        <f>IF(XT!$P93=0,R93,"")</f>
        <v/>
      </c>
      <c r="U93">
        <f>SUMPRODUCT((MONTH(CHOOSE({1,2,3,4},XT!U93,XT!Y93,XT!AC93,XT!AG93))=6)*(CHOOSE({1,2,3,4},XT!X93,XT!AB93,XT!AF93,XT!AJ93)))</f>
        <v>0</v>
      </c>
      <c r="V93" t="str">
        <f>IFERROR(INDEX(CHOOSE({1,2,3,4}, DAY(XT!U93), DAY(XT!Y93), DAY(XT!AC93), DAY(XT!AG93)), MATCH(1, INDEX(--(MONTH(CHOOSE({1,2,3,4}, XT!U93,XT!Y93,XT!AC93,XT!AG93))=6), 0), 0)), "")</f>
        <v/>
      </c>
      <c r="W93" s="51" t="str">
        <f>IF(XT!$P93&gt;0,V93,"")</f>
        <v/>
      </c>
      <c r="X93" s="51" t="str">
        <f>IF(XT!$P93=0,V93,"")</f>
        <v/>
      </c>
      <c r="Y93">
        <f>SUMPRODUCT((MONTH(CHOOSE({1,2,3,4},XT!U93,XT!Y93,XT!AC93,XT!AG93))=7)*(CHOOSE({1,2,3,4},XT!X93,XT!AB93,XT!AF93,XT!AJ93)))</f>
        <v>0</v>
      </c>
      <c r="Z93" t="str">
        <f>IFERROR(INDEX(CHOOSE({1,2,3,4}, DAY(XT!U93), DAY(XT!Y93), DAY(XT!AC93), DAY(XT!AG93)), MATCH(1, INDEX(--(MONTH(CHOOSE({1,2,3,4}, XT!U93,XT!Y93,XT!AC93,XT!AG93))=7), 0), 0)), "")</f>
        <v/>
      </c>
      <c r="AA93" s="51" t="str">
        <f>IF(XT!$P93&gt;0,Z93,"")</f>
        <v/>
      </c>
      <c r="AB93" s="51" t="str">
        <f>IF(XT!$P93=0,Z93,"")</f>
        <v/>
      </c>
      <c r="AC93">
        <f>SUMPRODUCT((MONTH(CHOOSE({1,2,3,4},XT!U93,XT!Y93,XT!AC93,XT!AG93))=8)*(CHOOSE({1,2,3,4},XT!X93,XT!AB93,XT!AF93,XT!AJ93)))</f>
        <v>0</v>
      </c>
      <c r="AD93" t="str">
        <f>IFERROR(INDEX(CHOOSE({1,2,3,4}, DAY(XT!U93), DAY(XT!Y93), DAY(XT!AC93), DAY(XT!AG93)), MATCH(1, INDEX(--(MONTH(CHOOSE({1,2,3,4}, XT!U93,XT!Y93,XT!AC93,XT!AG93))=8), 0), 0)), "")</f>
        <v/>
      </c>
      <c r="AE93" s="51" t="str">
        <f>IF(XT!$P93&gt;0,AD93,"")</f>
        <v/>
      </c>
      <c r="AF93" s="51" t="str">
        <f>IF(XT!$P93=0,AD93,"")</f>
        <v/>
      </c>
      <c r="AG93">
        <f>SUMPRODUCT((MONTH(CHOOSE({1,2,3,4},XT!U93,XT!Y93,XT!AC93,XT!AG93))=9)*(CHOOSE({1,2,3,4},XT!X93,XT!AB93,XT!AF93,XT!AJ93)))</f>
        <v>0</v>
      </c>
      <c r="AH93" t="str">
        <f>IFERROR(INDEX(CHOOSE({1,2,3,4}, DAY(XT!U93), DAY(XT!Y93), DAY(XT!AC93), DAY(XT!AG93)), MATCH(1, INDEX(--(MONTH(CHOOSE({1,2,3,4}, XT!U93,XT!Y93,XT!AC93,XT!AG93))=9), 0), 0)), "")</f>
        <v/>
      </c>
      <c r="AI93" s="51" t="str">
        <f>IF(XT!$P93&gt;0,AH93,"")</f>
        <v/>
      </c>
      <c r="AJ93" s="51" t="str">
        <f>IF(XT!$P93=0,AH93,"")</f>
        <v/>
      </c>
      <c r="AK93">
        <f>SUMPRODUCT((MONTH(CHOOSE({1,2,3,4},XT!U93,XT!Y93,XT!AC93,XT!AG93))=10)*(CHOOSE({1,2,3,4},XT!X93,XT!AB93,XT!AF93,XT!AJ93)))</f>
        <v>0</v>
      </c>
      <c r="AL93" t="str">
        <f>IFERROR(INDEX(CHOOSE({1,2,3,4}, DAY(XT!U93), DAY(XT!Y93), DAY(XT!AC93), DAY(XT!AG93)), MATCH(1, INDEX(--(MONTH(CHOOSE({1,2,3,4}, XT!U93,XT!Y93,XT!AC93,XT!AG93))=10), 0), 0)), "")</f>
        <v/>
      </c>
      <c r="AM93" s="51" t="str">
        <f>IF(XT!$P93&gt;0,AL93,"")</f>
        <v/>
      </c>
      <c r="AN93" s="51" t="str">
        <f>IF(XT!$P93=0,AL93,"")</f>
        <v/>
      </c>
      <c r="AO93">
        <f>SUMPRODUCT((MONTH(CHOOSE({1,2,3,4},XT!U93,XT!Y93,XT!AC93,XT!AG93))=11)*(CHOOSE({1,2,3,4},XT!X93,XT!AB93,XT!AF93,XT!AJ93)))</f>
        <v>0</v>
      </c>
      <c r="AP93" t="str">
        <f>IFERROR(INDEX(CHOOSE({1,2,3,4}, DAY(XT!U93), DAY(XT!Y93), DAY(XT!AC93), DAY(XT!AG93)), MATCH(1, INDEX(--(MONTH(CHOOSE({1,2,3,4}, XT!U93,XT!Y93,XT!AC93,XT!AG93))=11), 0), 0)), "")</f>
        <v/>
      </c>
      <c r="AQ93" s="51" t="str">
        <f>IF(XT!$P93&gt;0,AP93,"")</f>
        <v/>
      </c>
      <c r="AR93" s="51" t="str">
        <f>IF(XT!$P93=0,AP93,"")</f>
        <v/>
      </c>
      <c r="AS93">
        <f>SUMPRODUCT((MONTH(CHOOSE({1,2,3,4},XT!U93,XT!Y93,XT!AC93,XT!AG93))=12)*(CHOOSE({1,2,3,4},XT!X93,XT!AB93,XT!AF93,XT!AJ93)))</f>
        <v>0</v>
      </c>
      <c r="AT93" t="str">
        <f>IFERROR(INDEX(CHOOSE({1,2,3,4}, DAY(XT!U93), DAY(XT!Y93), DAY(XT!AC93), DAY(XT!AG93)), MATCH(1, INDEX(--(MONTH(CHOOSE({1,2,3,4}, XT!U93,XT!Y93,XT!AC93,XT!AG93))=12), 0), 0)), "")</f>
        <v/>
      </c>
      <c r="AU93" s="51" t="str">
        <f>IF(XT!$P93&gt;0,AT93,"")</f>
        <v/>
      </c>
      <c r="AV93" s="51" t="str">
        <f>IF(XT!$P93=0,AT93,"")</f>
        <v/>
      </c>
    </row>
    <row r="94" spans="1:48">
      <c r="A94">
        <f>SUMPRODUCT((MONTH(CHOOSE({1,2,3,4},XT!U94,XT!Y94,XT!AC94,XT!AG94))=1)*(CHOOSE({1,2,3,4},XT!X94,XT!AB94,XT!AF94,XT!AJ94)))</f>
        <v>0</v>
      </c>
      <c r="B94">
        <f>IFERROR(INDEX(CHOOSE({1,2,3,4}, DAY(XT!U94), DAY(XT!Y94), DAY(XT!AC94), DAY(XT!AG94)), MATCH(1, INDEX(--(MONTH(CHOOSE({1,2,3,4}, XT!U94,XT!Y94,XT!AC94,XT!AG94))=1), 0), 0)), "")</f>
        <v>0</v>
      </c>
      <c r="C94" s="51" t="str">
        <f>IF(XT!$P94&gt;0,B94,"")</f>
        <v/>
      </c>
      <c r="D94" s="51">
        <f>IF(XT!$P94=0,B94,"")</f>
        <v>0</v>
      </c>
      <c r="E94">
        <f>SUMPRODUCT((MONTH(CHOOSE({1,2,3,4},XT!U94,XT!Y94,XT!AC94,XT!AG94))=2)*(CHOOSE({1,2,3,4},XT!X94,XT!AB94,XT!AF94,XT!AJ94)))</f>
        <v>0</v>
      </c>
      <c r="F94" t="str">
        <f>IFERROR(INDEX(CHOOSE({1,2,3,4}, DAY(XT!U94), DAY(XT!Y94), DAY(XT!AC94), DAY(XT!AG94)), MATCH(1, INDEX(--(MONTH(CHOOSE({1,2,3,4}, XT!U94,XT!Y94,XT!AC94,XT!AG94))=2), 0), 0)), "")</f>
        <v/>
      </c>
      <c r="G94" s="51" t="str">
        <f>IF(XT!$P94&gt;0,F94,"")</f>
        <v/>
      </c>
      <c r="H94" s="51" t="str">
        <f>IF(XT!$P94=0,F94,"")</f>
        <v/>
      </c>
      <c r="I94">
        <f>SUMPRODUCT((MONTH(CHOOSE({1,2,3,4},XT!U94,XT!Y94,XT!AC94,XT!AG94))=3)*(CHOOSE({1,2,3,4},XT!X94,XT!AB94,XT!AF94,XT!AJ94)))</f>
        <v>0</v>
      </c>
      <c r="J94" t="str">
        <f>IFERROR(INDEX(CHOOSE({1,2,3,4}, DAY(XT!U94), DAY(XT!Y94), DAY(XT!AC94), DAY(XT!AG94)), MATCH(1, INDEX(--(MONTH(CHOOSE({1,2,3,4}, XT!U94,XT!Y94,XT!AC94,XT!AG94))=3), 0), 0)), "")</f>
        <v/>
      </c>
      <c r="K94" s="51" t="str">
        <f>IF(XT!$P94&gt;0,J94,"")</f>
        <v/>
      </c>
      <c r="L94" s="51" t="str">
        <f>IF(XT!$P94=0,J94,"")</f>
        <v/>
      </c>
      <c r="M94">
        <f>SUMPRODUCT((MONTH(CHOOSE({1,2,3,4},XT!U94,XT!Y94,XT!AC94,XT!AG94))=4)*(CHOOSE({1,2,3,4},XT!X94,XT!AB94,XT!AF94,XT!AJ94)))</f>
        <v>0</v>
      </c>
      <c r="N94" t="str">
        <f>IFERROR(INDEX(CHOOSE({1,2,3,4}, DAY(XT!U94), DAY(XT!Y94), DAY(XT!AC94), DAY(XT!AG94)), MATCH(1, INDEX(--(MONTH(CHOOSE({1,2,3,4}, XT!U94,XT!Y94,XT!AC94,XT!AG94))=4), 0), 0)), "")</f>
        <v/>
      </c>
      <c r="O94" s="51" t="str">
        <f>IF(XT!$P94&gt;0,N94,"")</f>
        <v/>
      </c>
      <c r="P94" s="51" t="str">
        <f>IF(XT!$P94=0,N94,"")</f>
        <v/>
      </c>
      <c r="Q94">
        <f>SUMPRODUCT((MONTH(CHOOSE({1,2,3,4},XT!U94,XT!Y94,XT!AC94,XT!AG94))=5)*(CHOOSE({1,2,3,4},XT!X94,XT!AB94,XT!AF94,XT!AJ94)))</f>
        <v>0</v>
      </c>
      <c r="R94" t="str">
        <f>IFERROR(INDEX(CHOOSE({1,2,3,4}, DAY(XT!U94), DAY(XT!Y94), DAY(XT!AC94), DAY(XT!AG94)), MATCH(1, INDEX(--(MONTH(CHOOSE({1,2,3,4}, XT!U94,XT!Y94,XT!AC94,XT!AG94))=5), 0), 0)), "")</f>
        <v/>
      </c>
      <c r="S94" s="51" t="str">
        <f>IF(XT!$P94&gt;0,R94,"")</f>
        <v/>
      </c>
      <c r="T94" s="51" t="str">
        <f>IF(XT!$P94=0,R94,"")</f>
        <v/>
      </c>
      <c r="U94">
        <f>SUMPRODUCT((MONTH(CHOOSE({1,2,3,4},XT!U94,XT!Y94,XT!AC94,XT!AG94))=6)*(CHOOSE({1,2,3,4},XT!X94,XT!AB94,XT!AF94,XT!AJ94)))</f>
        <v>0</v>
      </c>
      <c r="V94" t="str">
        <f>IFERROR(INDEX(CHOOSE({1,2,3,4}, DAY(XT!U94), DAY(XT!Y94), DAY(XT!AC94), DAY(XT!AG94)), MATCH(1, INDEX(--(MONTH(CHOOSE({1,2,3,4}, XT!U94,XT!Y94,XT!AC94,XT!AG94))=6), 0), 0)), "")</f>
        <v/>
      </c>
      <c r="W94" s="51" t="str">
        <f>IF(XT!$P94&gt;0,V94,"")</f>
        <v/>
      </c>
      <c r="X94" s="51" t="str">
        <f>IF(XT!$P94=0,V94,"")</f>
        <v/>
      </c>
      <c r="Y94">
        <f>SUMPRODUCT((MONTH(CHOOSE({1,2,3,4},XT!U94,XT!Y94,XT!AC94,XT!AG94))=7)*(CHOOSE({1,2,3,4},XT!X94,XT!AB94,XT!AF94,XT!AJ94)))</f>
        <v>0</v>
      </c>
      <c r="Z94" t="str">
        <f>IFERROR(INDEX(CHOOSE({1,2,3,4}, DAY(XT!U94), DAY(XT!Y94), DAY(XT!AC94), DAY(XT!AG94)), MATCH(1, INDEX(--(MONTH(CHOOSE({1,2,3,4}, XT!U94,XT!Y94,XT!AC94,XT!AG94))=7), 0), 0)), "")</f>
        <v/>
      </c>
      <c r="AA94" s="51" t="str">
        <f>IF(XT!$P94&gt;0,Z94,"")</f>
        <v/>
      </c>
      <c r="AB94" s="51" t="str">
        <f>IF(XT!$P94=0,Z94,"")</f>
        <v/>
      </c>
      <c r="AC94">
        <f>SUMPRODUCT((MONTH(CHOOSE({1,2,3,4},XT!U94,XT!Y94,XT!AC94,XT!AG94))=8)*(CHOOSE({1,2,3,4},XT!X94,XT!AB94,XT!AF94,XT!AJ94)))</f>
        <v>0</v>
      </c>
      <c r="AD94" t="str">
        <f>IFERROR(INDEX(CHOOSE({1,2,3,4}, DAY(XT!U94), DAY(XT!Y94), DAY(XT!AC94), DAY(XT!AG94)), MATCH(1, INDEX(--(MONTH(CHOOSE({1,2,3,4}, XT!U94,XT!Y94,XT!AC94,XT!AG94))=8), 0), 0)), "")</f>
        <v/>
      </c>
      <c r="AE94" s="51" t="str">
        <f>IF(XT!$P94&gt;0,AD94,"")</f>
        <v/>
      </c>
      <c r="AF94" s="51" t="str">
        <f>IF(XT!$P94=0,AD94,"")</f>
        <v/>
      </c>
      <c r="AG94">
        <f>SUMPRODUCT((MONTH(CHOOSE({1,2,3,4},XT!U94,XT!Y94,XT!AC94,XT!AG94))=9)*(CHOOSE({1,2,3,4},XT!X94,XT!AB94,XT!AF94,XT!AJ94)))</f>
        <v>0</v>
      </c>
      <c r="AH94" t="str">
        <f>IFERROR(INDEX(CHOOSE({1,2,3,4}, DAY(XT!U94), DAY(XT!Y94), DAY(XT!AC94), DAY(XT!AG94)), MATCH(1, INDEX(--(MONTH(CHOOSE({1,2,3,4}, XT!U94,XT!Y94,XT!AC94,XT!AG94))=9), 0), 0)), "")</f>
        <v/>
      </c>
      <c r="AI94" s="51" t="str">
        <f>IF(XT!$P94&gt;0,AH94,"")</f>
        <v/>
      </c>
      <c r="AJ94" s="51" t="str">
        <f>IF(XT!$P94=0,AH94,"")</f>
        <v/>
      </c>
      <c r="AK94">
        <f>SUMPRODUCT((MONTH(CHOOSE({1,2,3,4},XT!U94,XT!Y94,XT!AC94,XT!AG94))=10)*(CHOOSE({1,2,3,4},XT!X94,XT!AB94,XT!AF94,XT!AJ94)))</f>
        <v>0</v>
      </c>
      <c r="AL94" t="str">
        <f>IFERROR(INDEX(CHOOSE({1,2,3,4}, DAY(XT!U94), DAY(XT!Y94), DAY(XT!AC94), DAY(XT!AG94)), MATCH(1, INDEX(--(MONTH(CHOOSE({1,2,3,4}, XT!U94,XT!Y94,XT!AC94,XT!AG94))=10), 0), 0)), "")</f>
        <v/>
      </c>
      <c r="AM94" s="51" t="str">
        <f>IF(XT!$P94&gt;0,AL94,"")</f>
        <v/>
      </c>
      <c r="AN94" s="51" t="str">
        <f>IF(XT!$P94=0,AL94,"")</f>
        <v/>
      </c>
      <c r="AO94">
        <f>SUMPRODUCT((MONTH(CHOOSE({1,2,3,4},XT!U94,XT!Y94,XT!AC94,XT!AG94))=11)*(CHOOSE({1,2,3,4},XT!X94,XT!AB94,XT!AF94,XT!AJ94)))</f>
        <v>0</v>
      </c>
      <c r="AP94" t="str">
        <f>IFERROR(INDEX(CHOOSE({1,2,3,4}, DAY(XT!U94), DAY(XT!Y94), DAY(XT!AC94), DAY(XT!AG94)), MATCH(1, INDEX(--(MONTH(CHOOSE({1,2,3,4}, XT!U94,XT!Y94,XT!AC94,XT!AG94))=11), 0), 0)), "")</f>
        <v/>
      </c>
      <c r="AQ94" s="51" t="str">
        <f>IF(XT!$P94&gt;0,AP94,"")</f>
        <v/>
      </c>
      <c r="AR94" s="51" t="str">
        <f>IF(XT!$P94=0,AP94,"")</f>
        <v/>
      </c>
      <c r="AS94">
        <f>SUMPRODUCT((MONTH(CHOOSE({1,2,3,4},XT!U94,XT!Y94,XT!AC94,XT!AG94))=12)*(CHOOSE({1,2,3,4},XT!X94,XT!AB94,XT!AF94,XT!AJ94)))</f>
        <v>0</v>
      </c>
      <c r="AT94" t="str">
        <f>IFERROR(INDEX(CHOOSE({1,2,3,4}, DAY(XT!U94), DAY(XT!Y94), DAY(XT!AC94), DAY(XT!AG94)), MATCH(1, INDEX(--(MONTH(CHOOSE({1,2,3,4}, XT!U94,XT!Y94,XT!AC94,XT!AG94))=12), 0), 0)), "")</f>
        <v/>
      </c>
      <c r="AU94" s="51" t="str">
        <f>IF(XT!$P94&gt;0,AT94,"")</f>
        <v/>
      </c>
      <c r="AV94" s="51" t="str">
        <f>IF(XT!$P94=0,AT94,"")</f>
        <v/>
      </c>
    </row>
    <row r="95" spans="1:48">
      <c r="A95">
        <f>SUMPRODUCT((MONTH(CHOOSE({1,2,3,4},XT!U95,XT!Y95,XT!AC95,XT!AG95))=1)*(CHOOSE({1,2,3,4},XT!X95,XT!AB95,XT!AF95,XT!AJ95)))</f>
        <v>0</v>
      </c>
      <c r="B95">
        <f>IFERROR(INDEX(CHOOSE({1,2,3,4}, DAY(XT!U95), DAY(XT!Y95), DAY(XT!AC95), DAY(XT!AG95)), MATCH(1, INDEX(--(MONTH(CHOOSE({1,2,3,4}, XT!U95,XT!Y95,XT!AC95,XT!AG95))=1), 0), 0)), "")</f>
        <v>0</v>
      </c>
      <c r="C95" s="51" t="str">
        <f>IF(XT!$P95&gt;0,B95,"")</f>
        <v/>
      </c>
      <c r="D95" s="51">
        <f>IF(XT!$P95=0,B95,"")</f>
        <v>0</v>
      </c>
      <c r="E95">
        <f>SUMPRODUCT((MONTH(CHOOSE({1,2,3,4},XT!U95,XT!Y95,XT!AC95,XT!AG95))=2)*(CHOOSE({1,2,3,4},XT!X95,XT!AB95,XT!AF95,XT!AJ95)))</f>
        <v>0</v>
      </c>
      <c r="F95" t="str">
        <f>IFERROR(INDEX(CHOOSE({1,2,3,4}, DAY(XT!U95), DAY(XT!Y95), DAY(XT!AC95), DAY(XT!AG95)), MATCH(1, INDEX(--(MONTH(CHOOSE({1,2,3,4}, XT!U95,XT!Y95,XT!AC95,XT!AG95))=2), 0), 0)), "")</f>
        <v/>
      </c>
      <c r="G95" s="51" t="str">
        <f>IF(XT!$P95&gt;0,F95,"")</f>
        <v/>
      </c>
      <c r="H95" s="51" t="str">
        <f>IF(XT!$P95=0,F95,"")</f>
        <v/>
      </c>
      <c r="I95">
        <f>SUMPRODUCT((MONTH(CHOOSE({1,2,3,4},XT!U95,XT!Y95,XT!AC95,XT!AG95))=3)*(CHOOSE({1,2,3,4},XT!X95,XT!AB95,XT!AF95,XT!AJ95)))</f>
        <v>0</v>
      </c>
      <c r="J95" t="str">
        <f>IFERROR(INDEX(CHOOSE({1,2,3,4}, DAY(XT!U95), DAY(XT!Y95), DAY(XT!AC95), DAY(XT!AG95)), MATCH(1, INDEX(--(MONTH(CHOOSE({1,2,3,4}, XT!U95,XT!Y95,XT!AC95,XT!AG95))=3), 0), 0)), "")</f>
        <v/>
      </c>
      <c r="K95" s="51" t="str">
        <f>IF(XT!$P95&gt;0,J95,"")</f>
        <v/>
      </c>
      <c r="L95" s="51" t="str">
        <f>IF(XT!$P95=0,J95,"")</f>
        <v/>
      </c>
      <c r="M95">
        <f>SUMPRODUCT((MONTH(CHOOSE({1,2,3,4},XT!U95,XT!Y95,XT!AC95,XT!AG95))=4)*(CHOOSE({1,2,3,4},XT!X95,XT!AB95,XT!AF95,XT!AJ95)))</f>
        <v>0</v>
      </c>
      <c r="N95" t="str">
        <f>IFERROR(INDEX(CHOOSE({1,2,3,4}, DAY(XT!U95), DAY(XT!Y95), DAY(XT!AC95), DAY(XT!AG95)), MATCH(1, INDEX(--(MONTH(CHOOSE({1,2,3,4}, XT!U95,XT!Y95,XT!AC95,XT!AG95))=4), 0), 0)), "")</f>
        <v/>
      </c>
      <c r="O95" s="51" t="str">
        <f>IF(XT!$P95&gt;0,N95,"")</f>
        <v/>
      </c>
      <c r="P95" s="51" t="str">
        <f>IF(XT!$P95=0,N95,"")</f>
        <v/>
      </c>
      <c r="Q95">
        <f>SUMPRODUCT((MONTH(CHOOSE({1,2,3,4},XT!U95,XT!Y95,XT!AC95,XT!AG95))=5)*(CHOOSE({1,2,3,4},XT!X95,XT!AB95,XT!AF95,XT!AJ95)))</f>
        <v>0</v>
      </c>
      <c r="R95" t="str">
        <f>IFERROR(INDEX(CHOOSE({1,2,3,4}, DAY(XT!U95), DAY(XT!Y95), DAY(XT!AC95), DAY(XT!AG95)), MATCH(1, INDEX(--(MONTH(CHOOSE({1,2,3,4}, XT!U95,XT!Y95,XT!AC95,XT!AG95))=5), 0), 0)), "")</f>
        <v/>
      </c>
      <c r="S95" s="51" t="str">
        <f>IF(XT!$P95&gt;0,R95,"")</f>
        <v/>
      </c>
      <c r="T95" s="51" t="str">
        <f>IF(XT!$P95=0,R95,"")</f>
        <v/>
      </c>
      <c r="U95">
        <f>SUMPRODUCT((MONTH(CHOOSE({1,2,3,4},XT!U95,XT!Y95,XT!AC95,XT!AG95))=6)*(CHOOSE({1,2,3,4},XT!X95,XT!AB95,XT!AF95,XT!AJ95)))</f>
        <v>0</v>
      </c>
      <c r="V95" t="str">
        <f>IFERROR(INDEX(CHOOSE({1,2,3,4}, DAY(XT!U95), DAY(XT!Y95), DAY(XT!AC95), DAY(XT!AG95)), MATCH(1, INDEX(--(MONTH(CHOOSE({1,2,3,4}, XT!U95,XT!Y95,XT!AC95,XT!AG95))=6), 0), 0)), "")</f>
        <v/>
      </c>
      <c r="W95" s="51" t="str">
        <f>IF(XT!$P95&gt;0,V95,"")</f>
        <v/>
      </c>
      <c r="X95" s="51" t="str">
        <f>IF(XT!$P95=0,V95,"")</f>
        <v/>
      </c>
      <c r="Y95">
        <f>SUMPRODUCT((MONTH(CHOOSE({1,2,3,4},XT!U95,XT!Y95,XT!AC95,XT!AG95))=7)*(CHOOSE({1,2,3,4},XT!X95,XT!AB95,XT!AF95,XT!AJ95)))</f>
        <v>0</v>
      </c>
      <c r="Z95" t="str">
        <f>IFERROR(INDEX(CHOOSE({1,2,3,4}, DAY(XT!U95), DAY(XT!Y95), DAY(XT!AC95), DAY(XT!AG95)), MATCH(1, INDEX(--(MONTH(CHOOSE({1,2,3,4}, XT!U95,XT!Y95,XT!AC95,XT!AG95))=7), 0), 0)), "")</f>
        <v/>
      </c>
      <c r="AA95" s="51" t="str">
        <f>IF(XT!$P95&gt;0,Z95,"")</f>
        <v/>
      </c>
      <c r="AB95" s="51" t="str">
        <f>IF(XT!$P95=0,Z95,"")</f>
        <v/>
      </c>
      <c r="AC95">
        <f>SUMPRODUCT((MONTH(CHOOSE({1,2,3,4},XT!U95,XT!Y95,XT!AC95,XT!AG95))=8)*(CHOOSE({1,2,3,4},XT!X95,XT!AB95,XT!AF95,XT!AJ95)))</f>
        <v>0</v>
      </c>
      <c r="AD95" t="str">
        <f>IFERROR(INDEX(CHOOSE({1,2,3,4}, DAY(XT!U95), DAY(XT!Y95), DAY(XT!AC95), DAY(XT!AG95)), MATCH(1, INDEX(--(MONTH(CHOOSE({1,2,3,4}, XT!U95,XT!Y95,XT!AC95,XT!AG95))=8), 0), 0)), "")</f>
        <v/>
      </c>
      <c r="AE95" s="51" t="str">
        <f>IF(XT!$P95&gt;0,AD95,"")</f>
        <v/>
      </c>
      <c r="AF95" s="51" t="str">
        <f>IF(XT!$P95=0,AD95,"")</f>
        <v/>
      </c>
      <c r="AG95">
        <f>SUMPRODUCT((MONTH(CHOOSE({1,2,3,4},XT!U95,XT!Y95,XT!AC95,XT!AG95))=9)*(CHOOSE({1,2,3,4},XT!X95,XT!AB95,XT!AF95,XT!AJ95)))</f>
        <v>0</v>
      </c>
      <c r="AH95" t="str">
        <f>IFERROR(INDEX(CHOOSE({1,2,3,4}, DAY(XT!U95), DAY(XT!Y95), DAY(XT!AC95), DAY(XT!AG95)), MATCH(1, INDEX(--(MONTH(CHOOSE({1,2,3,4}, XT!U95,XT!Y95,XT!AC95,XT!AG95))=9), 0), 0)), "")</f>
        <v/>
      </c>
      <c r="AI95" s="51" t="str">
        <f>IF(XT!$P95&gt;0,AH95,"")</f>
        <v/>
      </c>
      <c r="AJ95" s="51" t="str">
        <f>IF(XT!$P95=0,AH95,"")</f>
        <v/>
      </c>
      <c r="AK95">
        <f>SUMPRODUCT((MONTH(CHOOSE({1,2,3,4},XT!U95,XT!Y95,XT!AC95,XT!AG95))=10)*(CHOOSE({1,2,3,4},XT!X95,XT!AB95,XT!AF95,XT!AJ95)))</f>
        <v>0</v>
      </c>
      <c r="AL95" t="str">
        <f>IFERROR(INDEX(CHOOSE({1,2,3,4}, DAY(XT!U95), DAY(XT!Y95), DAY(XT!AC95), DAY(XT!AG95)), MATCH(1, INDEX(--(MONTH(CHOOSE({1,2,3,4}, XT!U95,XT!Y95,XT!AC95,XT!AG95))=10), 0), 0)), "")</f>
        <v/>
      </c>
      <c r="AM95" s="51" t="str">
        <f>IF(XT!$P95&gt;0,AL95,"")</f>
        <v/>
      </c>
      <c r="AN95" s="51" t="str">
        <f>IF(XT!$P95=0,AL95,"")</f>
        <v/>
      </c>
      <c r="AO95">
        <f>SUMPRODUCT((MONTH(CHOOSE({1,2,3,4},XT!U95,XT!Y95,XT!AC95,XT!AG95))=11)*(CHOOSE({1,2,3,4},XT!X95,XT!AB95,XT!AF95,XT!AJ95)))</f>
        <v>0</v>
      </c>
      <c r="AP95" t="str">
        <f>IFERROR(INDEX(CHOOSE({1,2,3,4}, DAY(XT!U95), DAY(XT!Y95), DAY(XT!AC95), DAY(XT!AG95)), MATCH(1, INDEX(--(MONTH(CHOOSE({1,2,3,4}, XT!U95,XT!Y95,XT!AC95,XT!AG95))=11), 0), 0)), "")</f>
        <v/>
      </c>
      <c r="AQ95" s="51" t="str">
        <f>IF(XT!$P95&gt;0,AP95,"")</f>
        <v/>
      </c>
      <c r="AR95" s="51" t="str">
        <f>IF(XT!$P95=0,AP95,"")</f>
        <v/>
      </c>
      <c r="AS95">
        <f>SUMPRODUCT((MONTH(CHOOSE({1,2,3,4},XT!U95,XT!Y95,XT!AC95,XT!AG95))=12)*(CHOOSE({1,2,3,4},XT!X95,XT!AB95,XT!AF95,XT!AJ95)))</f>
        <v>0</v>
      </c>
      <c r="AT95" t="str">
        <f>IFERROR(INDEX(CHOOSE({1,2,3,4}, DAY(XT!U95), DAY(XT!Y95), DAY(XT!AC95), DAY(XT!AG95)), MATCH(1, INDEX(--(MONTH(CHOOSE({1,2,3,4}, XT!U95,XT!Y95,XT!AC95,XT!AG95))=12), 0), 0)), "")</f>
        <v/>
      </c>
      <c r="AU95" s="51" t="str">
        <f>IF(XT!$P95&gt;0,AT95,"")</f>
        <v/>
      </c>
      <c r="AV95" s="51" t="str">
        <f>IF(XT!$P95=0,AT95,"")</f>
        <v/>
      </c>
    </row>
    <row r="96" spans="1:48">
      <c r="A96">
        <f>SUMPRODUCT((MONTH(CHOOSE({1,2,3,4},XT!U96,XT!Y96,XT!AC96,XT!AG96))=1)*(CHOOSE({1,2,3,4},XT!X96,XT!AB96,XT!AF96,XT!AJ96)))</f>
        <v>0</v>
      </c>
      <c r="B96">
        <f>IFERROR(INDEX(CHOOSE({1,2,3,4}, DAY(XT!U96), DAY(XT!Y96), DAY(XT!AC96), DAY(XT!AG96)), MATCH(1, INDEX(--(MONTH(CHOOSE({1,2,3,4}, XT!U96,XT!Y96,XT!AC96,XT!AG96))=1), 0), 0)), "")</f>
        <v>0</v>
      </c>
      <c r="C96" s="51" t="str">
        <f>IF(XT!$P96&gt;0,B96,"")</f>
        <v/>
      </c>
      <c r="D96" s="51">
        <f>IF(XT!$P96=0,B96,"")</f>
        <v>0</v>
      </c>
      <c r="E96">
        <f>SUMPRODUCT((MONTH(CHOOSE({1,2,3,4},XT!U96,XT!Y96,XT!AC96,XT!AG96))=2)*(CHOOSE({1,2,3,4},XT!X96,XT!AB96,XT!AF96,XT!AJ96)))</f>
        <v>0</v>
      </c>
      <c r="F96" t="str">
        <f>IFERROR(INDEX(CHOOSE({1,2,3,4}, DAY(XT!U96), DAY(XT!Y96), DAY(XT!AC96), DAY(XT!AG96)), MATCH(1, INDEX(--(MONTH(CHOOSE({1,2,3,4}, XT!U96,XT!Y96,XT!AC96,XT!AG96))=2), 0), 0)), "")</f>
        <v/>
      </c>
      <c r="G96" s="51" t="str">
        <f>IF(XT!$P96&gt;0,F96,"")</f>
        <v/>
      </c>
      <c r="H96" s="51" t="str">
        <f>IF(XT!$P96=0,F96,"")</f>
        <v/>
      </c>
      <c r="I96">
        <f>SUMPRODUCT((MONTH(CHOOSE({1,2,3,4},XT!U96,XT!Y96,XT!AC96,XT!AG96))=3)*(CHOOSE({1,2,3,4},XT!X96,XT!AB96,XT!AF96,XT!AJ96)))</f>
        <v>0</v>
      </c>
      <c r="J96" t="str">
        <f>IFERROR(INDEX(CHOOSE({1,2,3,4}, DAY(XT!U96), DAY(XT!Y96), DAY(XT!AC96), DAY(XT!AG96)), MATCH(1, INDEX(--(MONTH(CHOOSE({1,2,3,4}, XT!U96,XT!Y96,XT!AC96,XT!AG96))=3), 0), 0)), "")</f>
        <v/>
      </c>
      <c r="K96" s="51" t="str">
        <f>IF(XT!$P96&gt;0,J96,"")</f>
        <v/>
      </c>
      <c r="L96" s="51" t="str">
        <f>IF(XT!$P96=0,J96,"")</f>
        <v/>
      </c>
      <c r="M96">
        <f>SUMPRODUCT((MONTH(CHOOSE({1,2,3,4},XT!U96,XT!Y96,XT!AC96,XT!AG96))=4)*(CHOOSE({1,2,3,4},XT!X96,XT!AB96,XT!AF96,XT!AJ96)))</f>
        <v>0</v>
      </c>
      <c r="N96" t="str">
        <f>IFERROR(INDEX(CHOOSE({1,2,3,4}, DAY(XT!U96), DAY(XT!Y96), DAY(XT!AC96), DAY(XT!AG96)), MATCH(1, INDEX(--(MONTH(CHOOSE({1,2,3,4}, XT!U96,XT!Y96,XT!AC96,XT!AG96))=4), 0), 0)), "")</f>
        <v/>
      </c>
      <c r="O96" s="51" t="str">
        <f>IF(XT!$P96&gt;0,N96,"")</f>
        <v/>
      </c>
      <c r="P96" s="51" t="str">
        <f>IF(XT!$P96=0,N96,"")</f>
        <v/>
      </c>
      <c r="Q96">
        <f>SUMPRODUCT((MONTH(CHOOSE({1,2,3,4},XT!U96,XT!Y96,XT!AC96,XT!AG96))=5)*(CHOOSE({1,2,3,4},XT!X96,XT!AB96,XT!AF96,XT!AJ96)))</f>
        <v>0</v>
      </c>
      <c r="R96" t="str">
        <f>IFERROR(INDEX(CHOOSE({1,2,3,4}, DAY(XT!U96), DAY(XT!Y96), DAY(XT!AC96), DAY(XT!AG96)), MATCH(1, INDEX(--(MONTH(CHOOSE({1,2,3,4}, XT!U96,XT!Y96,XT!AC96,XT!AG96))=5), 0), 0)), "")</f>
        <v/>
      </c>
      <c r="S96" s="51" t="str">
        <f>IF(XT!$P96&gt;0,R96,"")</f>
        <v/>
      </c>
      <c r="T96" s="51" t="str">
        <f>IF(XT!$P96=0,R96,"")</f>
        <v/>
      </c>
      <c r="U96">
        <f>SUMPRODUCT((MONTH(CHOOSE({1,2,3,4},XT!U96,XT!Y96,XT!AC96,XT!AG96))=6)*(CHOOSE({1,2,3,4},XT!X96,XT!AB96,XT!AF96,XT!AJ96)))</f>
        <v>0</v>
      </c>
      <c r="V96" t="str">
        <f>IFERROR(INDEX(CHOOSE({1,2,3,4}, DAY(XT!U96), DAY(XT!Y96), DAY(XT!AC96), DAY(XT!AG96)), MATCH(1, INDEX(--(MONTH(CHOOSE({1,2,3,4}, XT!U96,XT!Y96,XT!AC96,XT!AG96))=6), 0), 0)), "")</f>
        <v/>
      </c>
      <c r="W96" s="51" t="str">
        <f>IF(XT!$P96&gt;0,V96,"")</f>
        <v/>
      </c>
      <c r="X96" s="51" t="str">
        <f>IF(XT!$P96=0,V96,"")</f>
        <v/>
      </c>
      <c r="Y96">
        <f>SUMPRODUCT((MONTH(CHOOSE({1,2,3,4},XT!U96,XT!Y96,XT!AC96,XT!AG96))=7)*(CHOOSE({1,2,3,4},XT!X96,XT!AB96,XT!AF96,XT!AJ96)))</f>
        <v>0</v>
      </c>
      <c r="Z96" t="str">
        <f>IFERROR(INDEX(CHOOSE({1,2,3,4}, DAY(XT!U96), DAY(XT!Y96), DAY(XT!AC96), DAY(XT!AG96)), MATCH(1, INDEX(--(MONTH(CHOOSE({1,2,3,4}, XT!U96,XT!Y96,XT!AC96,XT!AG96))=7), 0), 0)), "")</f>
        <v/>
      </c>
      <c r="AA96" s="51" t="str">
        <f>IF(XT!$P96&gt;0,Z96,"")</f>
        <v/>
      </c>
      <c r="AB96" s="51" t="str">
        <f>IF(XT!$P96=0,Z96,"")</f>
        <v/>
      </c>
      <c r="AC96">
        <f>SUMPRODUCT((MONTH(CHOOSE({1,2,3,4},XT!U96,XT!Y96,XT!AC96,XT!AG96))=8)*(CHOOSE({1,2,3,4},XT!X96,XT!AB96,XT!AF96,XT!AJ96)))</f>
        <v>0</v>
      </c>
      <c r="AD96" t="str">
        <f>IFERROR(INDEX(CHOOSE({1,2,3,4}, DAY(XT!U96), DAY(XT!Y96), DAY(XT!AC96), DAY(XT!AG96)), MATCH(1, INDEX(--(MONTH(CHOOSE({1,2,3,4}, XT!U96,XT!Y96,XT!AC96,XT!AG96))=8), 0), 0)), "")</f>
        <v/>
      </c>
      <c r="AE96" s="51" t="str">
        <f>IF(XT!$P96&gt;0,AD96,"")</f>
        <v/>
      </c>
      <c r="AF96" s="51" t="str">
        <f>IF(XT!$P96=0,AD96,"")</f>
        <v/>
      </c>
      <c r="AG96">
        <f>SUMPRODUCT((MONTH(CHOOSE({1,2,3,4},XT!U96,XT!Y96,XT!AC96,XT!AG96))=9)*(CHOOSE({1,2,3,4},XT!X96,XT!AB96,XT!AF96,XT!AJ96)))</f>
        <v>0</v>
      </c>
      <c r="AH96" t="str">
        <f>IFERROR(INDEX(CHOOSE({1,2,3,4}, DAY(XT!U96), DAY(XT!Y96), DAY(XT!AC96), DAY(XT!AG96)), MATCH(1, INDEX(--(MONTH(CHOOSE({1,2,3,4}, XT!U96,XT!Y96,XT!AC96,XT!AG96))=9), 0), 0)), "")</f>
        <v/>
      </c>
      <c r="AI96" s="51" t="str">
        <f>IF(XT!$P96&gt;0,AH96,"")</f>
        <v/>
      </c>
      <c r="AJ96" s="51" t="str">
        <f>IF(XT!$P96=0,AH96,"")</f>
        <v/>
      </c>
      <c r="AK96">
        <f>SUMPRODUCT((MONTH(CHOOSE({1,2,3,4},XT!U96,XT!Y96,XT!AC96,XT!AG96))=10)*(CHOOSE({1,2,3,4},XT!X96,XT!AB96,XT!AF96,XT!AJ96)))</f>
        <v>0</v>
      </c>
      <c r="AL96" t="str">
        <f>IFERROR(INDEX(CHOOSE({1,2,3,4}, DAY(XT!U96), DAY(XT!Y96), DAY(XT!AC96), DAY(XT!AG96)), MATCH(1, INDEX(--(MONTH(CHOOSE({1,2,3,4}, XT!U96,XT!Y96,XT!AC96,XT!AG96))=10), 0), 0)), "")</f>
        <v/>
      </c>
      <c r="AM96" s="51" t="str">
        <f>IF(XT!$P96&gt;0,AL96,"")</f>
        <v/>
      </c>
      <c r="AN96" s="51" t="str">
        <f>IF(XT!$P96=0,AL96,"")</f>
        <v/>
      </c>
      <c r="AO96">
        <f>SUMPRODUCT((MONTH(CHOOSE({1,2,3,4},XT!U96,XT!Y96,XT!AC96,XT!AG96))=11)*(CHOOSE({1,2,3,4},XT!X96,XT!AB96,XT!AF96,XT!AJ96)))</f>
        <v>0</v>
      </c>
      <c r="AP96" t="str">
        <f>IFERROR(INDEX(CHOOSE({1,2,3,4}, DAY(XT!U96), DAY(XT!Y96), DAY(XT!AC96), DAY(XT!AG96)), MATCH(1, INDEX(--(MONTH(CHOOSE({1,2,3,4}, XT!U96,XT!Y96,XT!AC96,XT!AG96))=11), 0), 0)), "")</f>
        <v/>
      </c>
      <c r="AQ96" s="51" t="str">
        <f>IF(XT!$P96&gt;0,AP96,"")</f>
        <v/>
      </c>
      <c r="AR96" s="51" t="str">
        <f>IF(XT!$P96=0,AP96,"")</f>
        <v/>
      </c>
      <c r="AS96">
        <f>SUMPRODUCT((MONTH(CHOOSE({1,2,3,4},XT!U96,XT!Y96,XT!AC96,XT!AG96))=12)*(CHOOSE({1,2,3,4},XT!X96,XT!AB96,XT!AF96,XT!AJ96)))</f>
        <v>0</v>
      </c>
      <c r="AT96" t="str">
        <f>IFERROR(INDEX(CHOOSE({1,2,3,4}, DAY(XT!U96), DAY(XT!Y96), DAY(XT!AC96), DAY(XT!AG96)), MATCH(1, INDEX(--(MONTH(CHOOSE({1,2,3,4}, XT!U96,XT!Y96,XT!AC96,XT!AG96))=12), 0), 0)), "")</f>
        <v/>
      </c>
      <c r="AU96" s="51" t="str">
        <f>IF(XT!$P96&gt;0,AT96,"")</f>
        <v/>
      </c>
      <c r="AV96" s="51" t="str">
        <f>IF(XT!$P96=0,AT96,"")</f>
        <v/>
      </c>
    </row>
    <row r="97" spans="1:48">
      <c r="A97">
        <f>SUMPRODUCT((MONTH(CHOOSE({1,2,3,4},XT!U97,XT!Y97,XT!AC97,XT!AG97))=1)*(CHOOSE({1,2,3,4},XT!X97,XT!AB97,XT!AF97,XT!AJ97)))</f>
        <v>0</v>
      </c>
      <c r="B97">
        <f>IFERROR(INDEX(CHOOSE({1,2,3,4}, DAY(XT!U97), DAY(XT!Y97), DAY(XT!AC97), DAY(XT!AG97)), MATCH(1, INDEX(--(MONTH(CHOOSE({1,2,3,4}, XT!U97,XT!Y97,XT!AC97,XT!AG97))=1), 0), 0)), "")</f>
        <v>0</v>
      </c>
      <c r="C97" s="51" t="str">
        <f>IF(XT!$P97&gt;0,B97,"")</f>
        <v/>
      </c>
      <c r="D97" s="51">
        <f>IF(XT!$P97=0,B97,"")</f>
        <v>0</v>
      </c>
      <c r="E97">
        <f>SUMPRODUCT((MONTH(CHOOSE({1,2,3,4},XT!U97,XT!Y97,XT!AC97,XT!AG97))=2)*(CHOOSE({1,2,3,4},XT!X97,XT!AB97,XT!AF97,XT!AJ97)))</f>
        <v>0</v>
      </c>
      <c r="F97" t="str">
        <f>IFERROR(INDEX(CHOOSE({1,2,3,4}, DAY(XT!U97), DAY(XT!Y97), DAY(XT!AC97), DAY(XT!AG97)), MATCH(1, INDEX(--(MONTH(CHOOSE({1,2,3,4}, XT!U97,XT!Y97,XT!AC97,XT!AG97))=2), 0), 0)), "")</f>
        <v/>
      </c>
      <c r="G97" s="51" t="str">
        <f>IF(XT!$P97&gt;0,F97,"")</f>
        <v/>
      </c>
      <c r="H97" s="51" t="str">
        <f>IF(XT!$P97=0,F97,"")</f>
        <v/>
      </c>
      <c r="I97">
        <f>SUMPRODUCT((MONTH(CHOOSE({1,2,3,4},XT!U97,XT!Y97,XT!AC97,XT!AG97))=3)*(CHOOSE({1,2,3,4},XT!X97,XT!AB97,XT!AF97,XT!AJ97)))</f>
        <v>0</v>
      </c>
      <c r="J97" t="str">
        <f>IFERROR(INDEX(CHOOSE({1,2,3,4}, DAY(XT!U97), DAY(XT!Y97), DAY(XT!AC97), DAY(XT!AG97)), MATCH(1, INDEX(--(MONTH(CHOOSE({1,2,3,4}, XT!U97,XT!Y97,XT!AC97,XT!AG97))=3), 0), 0)), "")</f>
        <v/>
      </c>
      <c r="K97" s="51" t="str">
        <f>IF(XT!$P97&gt;0,J97,"")</f>
        <v/>
      </c>
      <c r="L97" s="51" t="str">
        <f>IF(XT!$P97=0,J97,"")</f>
        <v/>
      </c>
      <c r="M97">
        <f>SUMPRODUCT((MONTH(CHOOSE({1,2,3,4},XT!U97,XT!Y97,XT!AC97,XT!AG97))=4)*(CHOOSE({1,2,3,4},XT!X97,XT!AB97,XT!AF97,XT!AJ97)))</f>
        <v>0</v>
      </c>
      <c r="N97" t="str">
        <f>IFERROR(INDEX(CHOOSE({1,2,3,4}, DAY(XT!U97), DAY(XT!Y97), DAY(XT!AC97), DAY(XT!AG97)), MATCH(1, INDEX(--(MONTH(CHOOSE({1,2,3,4}, XT!U97,XT!Y97,XT!AC97,XT!AG97))=4), 0), 0)), "")</f>
        <v/>
      </c>
      <c r="O97" s="51" t="str">
        <f>IF(XT!$P97&gt;0,N97,"")</f>
        <v/>
      </c>
      <c r="P97" s="51" t="str">
        <f>IF(XT!$P97=0,N97,"")</f>
        <v/>
      </c>
      <c r="Q97">
        <f>SUMPRODUCT((MONTH(CHOOSE({1,2,3,4},XT!U97,XT!Y97,XT!AC97,XT!AG97))=5)*(CHOOSE({1,2,3,4},XT!X97,XT!AB97,XT!AF97,XT!AJ97)))</f>
        <v>0</v>
      </c>
      <c r="R97" t="str">
        <f>IFERROR(INDEX(CHOOSE({1,2,3,4}, DAY(XT!U97), DAY(XT!Y97), DAY(XT!AC97), DAY(XT!AG97)), MATCH(1, INDEX(--(MONTH(CHOOSE({1,2,3,4}, XT!U97,XT!Y97,XT!AC97,XT!AG97))=5), 0), 0)), "")</f>
        <v/>
      </c>
      <c r="S97" s="51" t="str">
        <f>IF(XT!$P97&gt;0,R97,"")</f>
        <v/>
      </c>
      <c r="T97" s="51" t="str">
        <f>IF(XT!$P97=0,R97,"")</f>
        <v/>
      </c>
      <c r="U97">
        <f>SUMPRODUCT((MONTH(CHOOSE({1,2,3,4},XT!U97,XT!Y97,XT!AC97,XT!AG97))=6)*(CHOOSE({1,2,3,4},XT!X97,XT!AB97,XT!AF97,XT!AJ97)))</f>
        <v>0</v>
      </c>
      <c r="V97" t="str">
        <f>IFERROR(INDEX(CHOOSE({1,2,3,4}, DAY(XT!U97), DAY(XT!Y97), DAY(XT!AC97), DAY(XT!AG97)), MATCH(1, INDEX(--(MONTH(CHOOSE({1,2,3,4}, XT!U97,XT!Y97,XT!AC97,XT!AG97))=6), 0), 0)), "")</f>
        <v/>
      </c>
      <c r="W97" s="51" t="str">
        <f>IF(XT!$P97&gt;0,V97,"")</f>
        <v/>
      </c>
      <c r="X97" s="51" t="str">
        <f>IF(XT!$P97=0,V97,"")</f>
        <v/>
      </c>
      <c r="Y97">
        <f>SUMPRODUCT((MONTH(CHOOSE({1,2,3,4},XT!U97,XT!Y97,XT!AC97,XT!AG97))=7)*(CHOOSE({1,2,3,4},XT!X97,XT!AB97,XT!AF97,XT!AJ97)))</f>
        <v>0</v>
      </c>
      <c r="Z97" t="str">
        <f>IFERROR(INDEX(CHOOSE({1,2,3,4}, DAY(XT!U97), DAY(XT!Y97), DAY(XT!AC97), DAY(XT!AG97)), MATCH(1, INDEX(--(MONTH(CHOOSE({1,2,3,4}, XT!U97,XT!Y97,XT!AC97,XT!AG97))=7), 0), 0)), "")</f>
        <v/>
      </c>
      <c r="AA97" s="51" t="str">
        <f>IF(XT!$P97&gt;0,Z97,"")</f>
        <v/>
      </c>
      <c r="AB97" s="51" t="str">
        <f>IF(XT!$P97=0,Z97,"")</f>
        <v/>
      </c>
      <c r="AC97">
        <f>SUMPRODUCT((MONTH(CHOOSE({1,2,3,4},XT!U97,XT!Y97,XT!AC97,XT!AG97))=8)*(CHOOSE({1,2,3,4},XT!X97,XT!AB97,XT!AF97,XT!AJ97)))</f>
        <v>0</v>
      </c>
      <c r="AD97" t="str">
        <f>IFERROR(INDEX(CHOOSE({1,2,3,4}, DAY(XT!U97), DAY(XT!Y97), DAY(XT!AC97), DAY(XT!AG97)), MATCH(1, INDEX(--(MONTH(CHOOSE({1,2,3,4}, XT!U97,XT!Y97,XT!AC97,XT!AG97))=8), 0), 0)), "")</f>
        <v/>
      </c>
      <c r="AE97" s="51" t="str">
        <f>IF(XT!$P97&gt;0,AD97,"")</f>
        <v/>
      </c>
      <c r="AF97" s="51" t="str">
        <f>IF(XT!$P97=0,AD97,"")</f>
        <v/>
      </c>
      <c r="AG97">
        <f>SUMPRODUCT((MONTH(CHOOSE({1,2,3,4},XT!U97,XT!Y97,XT!AC97,XT!AG97))=9)*(CHOOSE({1,2,3,4},XT!X97,XT!AB97,XT!AF97,XT!AJ97)))</f>
        <v>0</v>
      </c>
      <c r="AH97" t="str">
        <f>IFERROR(INDEX(CHOOSE({1,2,3,4}, DAY(XT!U97), DAY(XT!Y97), DAY(XT!AC97), DAY(XT!AG97)), MATCH(1, INDEX(--(MONTH(CHOOSE({1,2,3,4}, XT!U97,XT!Y97,XT!AC97,XT!AG97))=9), 0), 0)), "")</f>
        <v/>
      </c>
      <c r="AI97" s="51" t="str">
        <f>IF(XT!$P97&gt;0,AH97,"")</f>
        <v/>
      </c>
      <c r="AJ97" s="51" t="str">
        <f>IF(XT!$P97=0,AH97,"")</f>
        <v/>
      </c>
      <c r="AK97">
        <f>SUMPRODUCT((MONTH(CHOOSE({1,2,3,4},XT!U97,XT!Y97,XT!AC97,XT!AG97))=10)*(CHOOSE({1,2,3,4},XT!X97,XT!AB97,XT!AF97,XT!AJ97)))</f>
        <v>0</v>
      </c>
      <c r="AL97" t="str">
        <f>IFERROR(INDEX(CHOOSE({1,2,3,4}, DAY(XT!U97), DAY(XT!Y97), DAY(XT!AC97), DAY(XT!AG97)), MATCH(1, INDEX(--(MONTH(CHOOSE({1,2,3,4}, XT!U97,XT!Y97,XT!AC97,XT!AG97))=10), 0), 0)), "")</f>
        <v/>
      </c>
      <c r="AM97" s="51" t="str">
        <f>IF(XT!$P97&gt;0,AL97,"")</f>
        <v/>
      </c>
      <c r="AN97" s="51" t="str">
        <f>IF(XT!$P97=0,AL97,"")</f>
        <v/>
      </c>
      <c r="AO97">
        <f>SUMPRODUCT((MONTH(CHOOSE({1,2,3,4},XT!U97,XT!Y97,XT!AC97,XT!AG97))=11)*(CHOOSE({1,2,3,4},XT!X97,XT!AB97,XT!AF97,XT!AJ97)))</f>
        <v>0</v>
      </c>
      <c r="AP97" t="str">
        <f>IFERROR(INDEX(CHOOSE({1,2,3,4}, DAY(XT!U97), DAY(XT!Y97), DAY(XT!AC97), DAY(XT!AG97)), MATCH(1, INDEX(--(MONTH(CHOOSE({1,2,3,4}, XT!U97,XT!Y97,XT!AC97,XT!AG97))=11), 0), 0)), "")</f>
        <v/>
      </c>
      <c r="AQ97" s="51" t="str">
        <f>IF(XT!$P97&gt;0,AP97,"")</f>
        <v/>
      </c>
      <c r="AR97" s="51" t="str">
        <f>IF(XT!$P97=0,AP97,"")</f>
        <v/>
      </c>
      <c r="AS97">
        <f>SUMPRODUCT((MONTH(CHOOSE({1,2,3,4},XT!U97,XT!Y97,XT!AC97,XT!AG97))=12)*(CHOOSE({1,2,3,4},XT!X97,XT!AB97,XT!AF97,XT!AJ97)))</f>
        <v>0</v>
      </c>
      <c r="AT97" t="str">
        <f>IFERROR(INDEX(CHOOSE({1,2,3,4}, DAY(XT!U97), DAY(XT!Y97), DAY(XT!AC97), DAY(XT!AG97)), MATCH(1, INDEX(--(MONTH(CHOOSE({1,2,3,4}, XT!U97,XT!Y97,XT!AC97,XT!AG97))=12), 0), 0)), "")</f>
        <v/>
      </c>
      <c r="AU97" s="51" t="str">
        <f>IF(XT!$P97&gt;0,AT97,"")</f>
        <v/>
      </c>
      <c r="AV97" s="51" t="str">
        <f>IF(XT!$P97=0,AT97,"")</f>
        <v/>
      </c>
    </row>
    <row r="98" spans="1:48">
      <c r="A98">
        <f>SUMPRODUCT((MONTH(CHOOSE({1,2,3,4},XT!U98,XT!Y98,XT!AC98,XT!AG98))=1)*(CHOOSE({1,2,3,4},XT!X98,XT!AB98,XT!AF98,XT!AJ98)))</f>
        <v>0</v>
      </c>
      <c r="B98">
        <f>IFERROR(INDEX(CHOOSE({1,2,3,4}, DAY(XT!U98), DAY(XT!Y98), DAY(XT!AC98), DAY(XT!AG98)), MATCH(1, INDEX(--(MONTH(CHOOSE({1,2,3,4}, XT!U98,XT!Y98,XT!AC98,XT!AG98))=1), 0), 0)), "")</f>
        <v>0</v>
      </c>
      <c r="C98" s="51" t="str">
        <f>IF(XT!$P98&gt;0,B98,"")</f>
        <v/>
      </c>
      <c r="D98" s="51">
        <f>IF(XT!$P98=0,B98,"")</f>
        <v>0</v>
      </c>
      <c r="E98">
        <f>SUMPRODUCT((MONTH(CHOOSE({1,2,3,4},XT!U98,XT!Y98,XT!AC98,XT!AG98))=2)*(CHOOSE({1,2,3,4},XT!X98,XT!AB98,XT!AF98,XT!AJ98)))</f>
        <v>0</v>
      </c>
      <c r="F98" t="str">
        <f>IFERROR(INDEX(CHOOSE({1,2,3,4}, DAY(XT!U98), DAY(XT!Y98), DAY(XT!AC98), DAY(XT!AG98)), MATCH(1, INDEX(--(MONTH(CHOOSE({1,2,3,4}, XT!U98,XT!Y98,XT!AC98,XT!AG98))=2), 0), 0)), "")</f>
        <v/>
      </c>
      <c r="G98" s="51" t="str">
        <f>IF(XT!$P98&gt;0,F98,"")</f>
        <v/>
      </c>
      <c r="H98" s="51" t="str">
        <f>IF(XT!$P98=0,F98,"")</f>
        <v/>
      </c>
      <c r="I98">
        <f>SUMPRODUCT((MONTH(CHOOSE({1,2,3,4},XT!U98,XT!Y98,XT!AC98,XT!AG98))=3)*(CHOOSE({1,2,3,4},XT!X98,XT!AB98,XT!AF98,XT!AJ98)))</f>
        <v>0</v>
      </c>
      <c r="J98" t="str">
        <f>IFERROR(INDEX(CHOOSE({1,2,3,4}, DAY(XT!U98), DAY(XT!Y98), DAY(XT!AC98), DAY(XT!AG98)), MATCH(1, INDEX(--(MONTH(CHOOSE({1,2,3,4}, XT!U98,XT!Y98,XT!AC98,XT!AG98))=3), 0), 0)), "")</f>
        <v/>
      </c>
      <c r="K98" s="51" t="str">
        <f>IF(XT!$P98&gt;0,J98,"")</f>
        <v/>
      </c>
      <c r="L98" s="51" t="str">
        <f>IF(XT!$P98=0,J98,"")</f>
        <v/>
      </c>
      <c r="M98">
        <f>SUMPRODUCT((MONTH(CHOOSE({1,2,3,4},XT!U98,XT!Y98,XT!AC98,XT!AG98))=4)*(CHOOSE({1,2,3,4},XT!X98,XT!AB98,XT!AF98,XT!AJ98)))</f>
        <v>0</v>
      </c>
      <c r="N98" t="str">
        <f>IFERROR(INDEX(CHOOSE({1,2,3,4}, DAY(XT!U98), DAY(XT!Y98), DAY(XT!AC98), DAY(XT!AG98)), MATCH(1, INDEX(--(MONTH(CHOOSE({1,2,3,4}, XT!U98,XT!Y98,XT!AC98,XT!AG98))=4), 0), 0)), "")</f>
        <v/>
      </c>
      <c r="O98" s="51" t="str">
        <f>IF(XT!$P98&gt;0,N98,"")</f>
        <v/>
      </c>
      <c r="P98" s="51" t="str">
        <f>IF(XT!$P98=0,N98,"")</f>
        <v/>
      </c>
      <c r="Q98">
        <f>SUMPRODUCT((MONTH(CHOOSE({1,2,3,4},XT!U98,XT!Y98,XT!AC98,XT!AG98))=5)*(CHOOSE({1,2,3,4},XT!X98,XT!AB98,XT!AF98,XT!AJ98)))</f>
        <v>0</v>
      </c>
      <c r="R98" t="str">
        <f>IFERROR(INDEX(CHOOSE({1,2,3,4}, DAY(XT!U98), DAY(XT!Y98), DAY(XT!AC98), DAY(XT!AG98)), MATCH(1, INDEX(--(MONTH(CHOOSE({1,2,3,4}, XT!U98,XT!Y98,XT!AC98,XT!AG98))=5), 0), 0)), "")</f>
        <v/>
      </c>
      <c r="S98" s="51" t="str">
        <f>IF(XT!$P98&gt;0,R98,"")</f>
        <v/>
      </c>
      <c r="T98" s="51" t="str">
        <f>IF(XT!$P98=0,R98,"")</f>
        <v/>
      </c>
      <c r="U98">
        <f>SUMPRODUCT((MONTH(CHOOSE({1,2,3,4},XT!U98,XT!Y98,XT!AC98,XT!AG98))=6)*(CHOOSE({1,2,3,4},XT!X98,XT!AB98,XT!AF98,XT!AJ98)))</f>
        <v>0</v>
      </c>
      <c r="V98" t="str">
        <f>IFERROR(INDEX(CHOOSE({1,2,3,4}, DAY(XT!U98), DAY(XT!Y98), DAY(XT!AC98), DAY(XT!AG98)), MATCH(1, INDEX(--(MONTH(CHOOSE({1,2,3,4}, XT!U98,XT!Y98,XT!AC98,XT!AG98))=6), 0), 0)), "")</f>
        <v/>
      </c>
      <c r="W98" s="51" t="str">
        <f>IF(XT!$P98&gt;0,V98,"")</f>
        <v/>
      </c>
      <c r="X98" s="51" t="str">
        <f>IF(XT!$P98=0,V98,"")</f>
        <v/>
      </c>
      <c r="Y98">
        <f>SUMPRODUCT((MONTH(CHOOSE({1,2,3,4},XT!U98,XT!Y98,XT!AC98,XT!AG98))=7)*(CHOOSE({1,2,3,4},XT!X98,XT!AB98,XT!AF98,XT!AJ98)))</f>
        <v>0</v>
      </c>
      <c r="Z98" t="str">
        <f>IFERROR(INDEX(CHOOSE({1,2,3,4}, DAY(XT!U98), DAY(XT!Y98), DAY(XT!AC98), DAY(XT!AG98)), MATCH(1, INDEX(--(MONTH(CHOOSE({1,2,3,4}, XT!U98,XT!Y98,XT!AC98,XT!AG98))=7), 0), 0)), "")</f>
        <v/>
      </c>
      <c r="AA98" s="51" t="str">
        <f>IF(XT!$P98&gt;0,Z98,"")</f>
        <v/>
      </c>
      <c r="AB98" s="51" t="str">
        <f>IF(XT!$P98=0,Z98,"")</f>
        <v/>
      </c>
      <c r="AC98">
        <f>SUMPRODUCT((MONTH(CHOOSE({1,2,3,4},XT!U98,XT!Y98,XT!AC98,XT!AG98))=8)*(CHOOSE({1,2,3,4},XT!X98,XT!AB98,XT!AF98,XT!AJ98)))</f>
        <v>0</v>
      </c>
      <c r="AD98" t="str">
        <f>IFERROR(INDEX(CHOOSE({1,2,3,4}, DAY(XT!U98), DAY(XT!Y98), DAY(XT!AC98), DAY(XT!AG98)), MATCH(1, INDEX(--(MONTH(CHOOSE({1,2,3,4}, XT!U98,XT!Y98,XT!AC98,XT!AG98))=8), 0), 0)), "")</f>
        <v/>
      </c>
      <c r="AE98" s="51" t="str">
        <f>IF(XT!$P98&gt;0,AD98,"")</f>
        <v/>
      </c>
      <c r="AF98" s="51" t="str">
        <f>IF(XT!$P98=0,AD98,"")</f>
        <v/>
      </c>
      <c r="AG98">
        <f>SUMPRODUCT((MONTH(CHOOSE({1,2,3,4},XT!U98,XT!Y98,XT!AC98,XT!AG98))=9)*(CHOOSE({1,2,3,4},XT!X98,XT!AB98,XT!AF98,XT!AJ98)))</f>
        <v>0</v>
      </c>
      <c r="AH98" t="str">
        <f>IFERROR(INDEX(CHOOSE({1,2,3,4}, DAY(XT!U98), DAY(XT!Y98), DAY(XT!AC98), DAY(XT!AG98)), MATCH(1, INDEX(--(MONTH(CHOOSE({1,2,3,4}, XT!U98,XT!Y98,XT!AC98,XT!AG98))=9), 0), 0)), "")</f>
        <v/>
      </c>
      <c r="AI98" s="51" t="str">
        <f>IF(XT!$P98&gt;0,AH98,"")</f>
        <v/>
      </c>
      <c r="AJ98" s="51" t="str">
        <f>IF(XT!$P98=0,AH98,"")</f>
        <v/>
      </c>
      <c r="AK98">
        <f>SUMPRODUCT((MONTH(CHOOSE({1,2,3,4},XT!U98,XT!Y98,XT!AC98,XT!AG98))=10)*(CHOOSE({1,2,3,4},XT!X98,XT!AB98,XT!AF98,XT!AJ98)))</f>
        <v>0</v>
      </c>
      <c r="AL98" t="str">
        <f>IFERROR(INDEX(CHOOSE({1,2,3,4}, DAY(XT!U98), DAY(XT!Y98), DAY(XT!AC98), DAY(XT!AG98)), MATCH(1, INDEX(--(MONTH(CHOOSE({1,2,3,4}, XT!U98,XT!Y98,XT!AC98,XT!AG98))=10), 0), 0)), "")</f>
        <v/>
      </c>
      <c r="AM98" s="51" t="str">
        <f>IF(XT!$P98&gt;0,AL98,"")</f>
        <v/>
      </c>
      <c r="AN98" s="51" t="str">
        <f>IF(XT!$P98=0,AL98,"")</f>
        <v/>
      </c>
      <c r="AO98">
        <f>SUMPRODUCT((MONTH(CHOOSE({1,2,3,4},XT!U98,XT!Y98,XT!AC98,XT!AG98))=11)*(CHOOSE({1,2,3,4},XT!X98,XT!AB98,XT!AF98,XT!AJ98)))</f>
        <v>0</v>
      </c>
      <c r="AP98" t="str">
        <f>IFERROR(INDEX(CHOOSE({1,2,3,4}, DAY(XT!U98), DAY(XT!Y98), DAY(XT!AC98), DAY(XT!AG98)), MATCH(1, INDEX(--(MONTH(CHOOSE({1,2,3,4}, XT!U98,XT!Y98,XT!AC98,XT!AG98))=11), 0), 0)), "")</f>
        <v/>
      </c>
      <c r="AQ98" s="51" t="str">
        <f>IF(XT!$P98&gt;0,AP98,"")</f>
        <v/>
      </c>
      <c r="AR98" s="51" t="str">
        <f>IF(XT!$P98=0,AP98,"")</f>
        <v/>
      </c>
      <c r="AS98">
        <f>SUMPRODUCT((MONTH(CHOOSE({1,2,3,4},XT!U98,XT!Y98,XT!AC98,XT!AG98))=12)*(CHOOSE({1,2,3,4},XT!X98,XT!AB98,XT!AF98,XT!AJ98)))</f>
        <v>0</v>
      </c>
      <c r="AT98" t="str">
        <f>IFERROR(INDEX(CHOOSE({1,2,3,4}, DAY(XT!U98), DAY(XT!Y98), DAY(XT!AC98), DAY(XT!AG98)), MATCH(1, INDEX(--(MONTH(CHOOSE({1,2,3,4}, XT!U98,XT!Y98,XT!AC98,XT!AG98))=12), 0), 0)), "")</f>
        <v/>
      </c>
      <c r="AU98" s="51" t="str">
        <f>IF(XT!$P98&gt;0,AT98,"")</f>
        <v/>
      </c>
      <c r="AV98" s="51" t="str">
        <f>IF(XT!$P98=0,AT98,"")</f>
        <v/>
      </c>
    </row>
    <row r="99" spans="1:48">
      <c r="A99">
        <f>SUMPRODUCT((MONTH(CHOOSE({1,2,3,4},XT!U99,XT!Y99,XT!AC99,XT!AG99))=1)*(CHOOSE({1,2,3,4},XT!X99,XT!AB99,XT!AF99,XT!AJ99)))</f>
        <v>0</v>
      </c>
      <c r="B99">
        <f>IFERROR(INDEX(CHOOSE({1,2,3,4}, DAY(XT!U99), DAY(XT!Y99), DAY(XT!AC99), DAY(XT!AG99)), MATCH(1, INDEX(--(MONTH(CHOOSE({1,2,3,4}, XT!U99,XT!Y99,XT!AC99,XT!AG99))=1), 0), 0)), "")</f>
        <v>0</v>
      </c>
      <c r="C99" s="51" t="str">
        <f>IF(XT!$P99&gt;0,B99,"")</f>
        <v/>
      </c>
      <c r="D99" s="51">
        <f>IF(XT!$P99=0,B99,"")</f>
        <v>0</v>
      </c>
      <c r="E99">
        <f>SUMPRODUCT((MONTH(CHOOSE({1,2,3,4},XT!U99,XT!Y99,XT!AC99,XT!AG99))=2)*(CHOOSE({1,2,3,4},XT!X99,XT!AB99,XT!AF99,XT!AJ99)))</f>
        <v>0</v>
      </c>
      <c r="F99" t="str">
        <f>IFERROR(INDEX(CHOOSE({1,2,3,4}, DAY(XT!U99), DAY(XT!Y99), DAY(XT!AC99), DAY(XT!AG99)), MATCH(1, INDEX(--(MONTH(CHOOSE({1,2,3,4}, XT!U99,XT!Y99,XT!AC99,XT!AG99))=2), 0), 0)), "")</f>
        <v/>
      </c>
      <c r="G99" s="51" t="str">
        <f>IF(XT!$P99&gt;0,F99,"")</f>
        <v/>
      </c>
      <c r="H99" s="51" t="str">
        <f>IF(XT!$P99=0,F99,"")</f>
        <v/>
      </c>
      <c r="I99">
        <f>SUMPRODUCT((MONTH(CHOOSE({1,2,3,4},XT!U99,XT!Y99,XT!AC99,XT!AG99))=3)*(CHOOSE({1,2,3,4},XT!X99,XT!AB99,XT!AF99,XT!AJ99)))</f>
        <v>0</v>
      </c>
      <c r="J99" t="str">
        <f>IFERROR(INDEX(CHOOSE({1,2,3,4}, DAY(XT!U99), DAY(XT!Y99), DAY(XT!AC99), DAY(XT!AG99)), MATCH(1, INDEX(--(MONTH(CHOOSE({1,2,3,4}, XT!U99,XT!Y99,XT!AC99,XT!AG99))=3), 0), 0)), "")</f>
        <v/>
      </c>
      <c r="K99" s="51" t="str">
        <f>IF(XT!$P99&gt;0,J99,"")</f>
        <v/>
      </c>
      <c r="L99" s="51" t="str">
        <f>IF(XT!$P99=0,J99,"")</f>
        <v/>
      </c>
      <c r="M99">
        <f>SUMPRODUCT((MONTH(CHOOSE({1,2,3,4},XT!U99,XT!Y99,XT!AC99,XT!AG99))=4)*(CHOOSE({1,2,3,4},XT!X99,XT!AB99,XT!AF99,XT!AJ99)))</f>
        <v>0</v>
      </c>
      <c r="N99" t="str">
        <f>IFERROR(INDEX(CHOOSE({1,2,3,4}, DAY(XT!U99), DAY(XT!Y99), DAY(XT!AC99), DAY(XT!AG99)), MATCH(1, INDEX(--(MONTH(CHOOSE({1,2,3,4}, XT!U99,XT!Y99,XT!AC99,XT!AG99))=4), 0), 0)), "")</f>
        <v/>
      </c>
      <c r="O99" s="51" t="str">
        <f>IF(XT!$P99&gt;0,N99,"")</f>
        <v/>
      </c>
      <c r="P99" s="51" t="str">
        <f>IF(XT!$P99=0,N99,"")</f>
        <v/>
      </c>
      <c r="Q99">
        <f>SUMPRODUCT((MONTH(CHOOSE({1,2,3,4},XT!U99,XT!Y99,XT!AC99,XT!AG99))=5)*(CHOOSE({1,2,3,4},XT!X99,XT!AB99,XT!AF99,XT!AJ99)))</f>
        <v>0</v>
      </c>
      <c r="R99" t="str">
        <f>IFERROR(INDEX(CHOOSE({1,2,3,4}, DAY(XT!U99), DAY(XT!Y99), DAY(XT!AC99), DAY(XT!AG99)), MATCH(1, INDEX(--(MONTH(CHOOSE({1,2,3,4}, XT!U99,XT!Y99,XT!AC99,XT!AG99))=5), 0), 0)), "")</f>
        <v/>
      </c>
      <c r="S99" s="51" t="str">
        <f>IF(XT!$P99&gt;0,R99,"")</f>
        <v/>
      </c>
      <c r="T99" s="51" t="str">
        <f>IF(XT!$P99=0,R99,"")</f>
        <v/>
      </c>
      <c r="U99">
        <f>SUMPRODUCT((MONTH(CHOOSE({1,2,3,4},XT!U99,XT!Y99,XT!AC99,XT!AG99))=6)*(CHOOSE({1,2,3,4},XT!X99,XT!AB99,XT!AF99,XT!AJ99)))</f>
        <v>0</v>
      </c>
      <c r="V99" t="str">
        <f>IFERROR(INDEX(CHOOSE({1,2,3,4}, DAY(XT!U99), DAY(XT!Y99), DAY(XT!AC99), DAY(XT!AG99)), MATCH(1, INDEX(--(MONTH(CHOOSE({1,2,3,4}, XT!U99,XT!Y99,XT!AC99,XT!AG99))=6), 0), 0)), "")</f>
        <v/>
      </c>
      <c r="W99" s="51" t="str">
        <f>IF(XT!$P99&gt;0,V99,"")</f>
        <v/>
      </c>
      <c r="X99" s="51" t="str">
        <f>IF(XT!$P99=0,V99,"")</f>
        <v/>
      </c>
      <c r="Y99">
        <f>SUMPRODUCT((MONTH(CHOOSE({1,2,3,4},XT!U99,XT!Y99,XT!AC99,XT!AG99))=7)*(CHOOSE({1,2,3,4},XT!X99,XT!AB99,XT!AF99,XT!AJ99)))</f>
        <v>0</v>
      </c>
      <c r="Z99" t="str">
        <f>IFERROR(INDEX(CHOOSE({1,2,3,4}, DAY(XT!U99), DAY(XT!Y99), DAY(XT!AC99), DAY(XT!AG99)), MATCH(1, INDEX(--(MONTH(CHOOSE({1,2,3,4}, XT!U99,XT!Y99,XT!AC99,XT!AG99))=7), 0), 0)), "")</f>
        <v/>
      </c>
      <c r="AA99" s="51" t="str">
        <f>IF(XT!$P99&gt;0,Z99,"")</f>
        <v/>
      </c>
      <c r="AB99" s="51" t="str">
        <f>IF(XT!$P99=0,Z99,"")</f>
        <v/>
      </c>
      <c r="AC99">
        <f>SUMPRODUCT((MONTH(CHOOSE({1,2,3,4},XT!U99,XT!Y99,XT!AC99,XT!AG99))=8)*(CHOOSE({1,2,3,4},XT!X99,XT!AB99,XT!AF99,XT!AJ99)))</f>
        <v>0</v>
      </c>
      <c r="AD99" t="str">
        <f>IFERROR(INDEX(CHOOSE({1,2,3,4}, DAY(XT!U99), DAY(XT!Y99), DAY(XT!AC99), DAY(XT!AG99)), MATCH(1, INDEX(--(MONTH(CHOOSE({1,2,3,4}, XT!U99,XT!Y99,XT!AC99,XT!AG99))=8), 0), 0)), "")</f>
        <v/>
      </c>
      <c r="AE99" s="51" t="str">
        <f>IF(XT!$P99&gt;0,AD99,"")</f>
        <v/>
      </c>
      <c r="AF99" s="51" t="str">
        <f>IF(XT!$P99=0,AD99,"")</f>
        <v/>
      </c>
      <c r="AG99">
        <f>SUMPRODUCT((MONTH(CHOOSE({1,2,3,4},XT!U99,XT!Y99,XT!AC99,XT!AG99))=9)*(CHOOSE({1,2,3,4},XT!X99,XT!AB99,XT!AF99,XT!AJ99)))</f>
        <v>0</v>
      </c>
      <c r="AH99" t="str">
        <f>IFERROR(INDEX(CHOOSE({1,2,3,4}, DAY(XT!U99), DAY(XT!Y99), DAY(XT!AC99), DAY(XT!AG99)), MATCH(1, INDEX(--(MONTH(CHOOSE({1,2,3,4}, XT!U99,XT!Y99,XT!AC99,XT!AG99))=9), 0), 0)), "")</f>
        <v/>
      </c>
      <c r="AI99" s="51" t="str">
        <f>IF(XT!$P99&gt;0,AH99,"")</f>
        <v/>
      </c>
      <c r="AJ99" s="51" t="str">
        <f>IF(XT!$P99=0,AH99,"")</f>
        <v/>
      </c>
      <c r="AK99">
        <f>SUMPRODUCT((MONTH(CHOOSE({1,2,3,4},XT!U99,XT!Y99,XT!AC99,XT!AG99))=10)*(CHOOSE({1,2,3,4},XT!X99,XT!AB99,XT!AF99,XT!AJ99)))</f>
        <v>0</v>
      </c>
      <c r="AL99" t="str">
        <f>IFERROR(INDEX(CHOOSE({1,2,3,4}, DAY(XT!U99), DAY(XT!Y99), DAY(XT!AC99), DAY(XT!AG99)), MATCH(1, INDEX(--(MONTH(CHOOSE({1,2,3,4}, XT!U99,XT!Y99,XT!AC99,XT!AG99))=10), 0), 0)), "")</f>
        <v/>
      </c>
      <c r="AM99" s="51" t="str">
        <f>IF(XT!$P99&gt;0,AL99,"")</f>
        <v/>
      </c>
      <c r="AN99" s="51" t="str">
        <f>IF(XT!$P99=0,AL99,"")</f>
        <v/>
      </c>
      <c r="AO99">
        <f>SUMPRODUCT((MONTH(CHOOSE({1,2,3,4},XT!U99,XT!Y99,XT!AC99,XT!AG99))=11)*(CHOOSE({1,2,3,4},XT!X99,XT!AB99,XT!AF99,XT!AJ99)))</f>
        <v>0</v>
      </c>
      <c r="AP99" t="str">
        <f>IFERROR(INDEX(CHOOSE({1,2,3,4}, DAY(XT!U99), DAY(XT!Y99), DAY(XT!AC99), DAY(XT!AG99)), MATCH(1, INDEX(--(MONTH(CHOOSE({1,2,3,4}, XT!U99,XT!Y99,XT!AC99,XT!AG99))=11), 0), 0)), "")</f>
        <v/>
      </c>
      <c r="AQ99" s="51" t="str">
        <f>IF(XT!$P99&gt;0,AP99,"")</f>
        <v/>
      </c>
      <c r="AR99" s="51" t="str">
        <f>IF(XT!$P99=0,AP99,"")</f>
        <v/>
      </c>
      <c r="AS99">
        <f>SUMPRODUCT((MONTH(CHOOSE({1,2,3,4},XT!U99,XT!Y99,XT!AC99,XT!AG99))=12)*(CHOOSE({1,2,3,4},XT!X99,XT!AB99,XT!AF99,XT!AJ99)))</f>
        <v>0</v>
      </c>
      <c r="AT99" t="str">
        <f>IFERROR(INDEX(CHOOSE({1,2,3,4}, DAY(XT!U99), DAY(XT!Y99), DAY(XT!AC99), DAY(XT!AG99)), MATCH(1, INDEX(--(MONTH(CHOOSE({1,2,3,4}, XT!U99,XT!Y99,XT!AC99,XT!AG99))=12), 0), 0)), "")</f>
        <v/>
      </c>
      <c r="AU99" s="51" t="str">
        <f>IF(XT!$P99&gt;0,AT99,"")</f>
        <v/>
      </c>
      <c r="AV99" s="51" t="str">
        <f>IF(XT!$P99=0,AT99,"")</f>
        <v/>
      </c>
    </row>
    <row r="100" spans="1:48">
      <c r="A100">
        <f>SUMPRODUCT((MONTH(CHOOSE({1,2,3,4},XT!U100,XT!Y100,XT!AC100,XT!AG100))=1)*(CHOOSE({1,2,3,4},XT!X100,XT!AB100,XT!AF100,XT!AJ100)))</f>
        <v>0</v>
      </c>
      <c r="B100">
        <f>IFERROR(INDEX(CHOOSE({1,2,3,4}, DAY(XT!U100), DAY(XT!Y100), DAY(XT!AC100), DAY(XT!AG100)), MATCH(1, INDEX(--(MONTH(CHOOSE({1,2,3,4}, XT!U100,XT!Y100,XT!AC100,XT!AG100))=1), 0), 0)), "")</f>
        <v>0</v>
      </c>
      <c r="C100" s="51" t="str">
        <f>IF(XT!$P100&gt;0,B100,"")</f>
        <v/>
      </c>
      <c r="D100" s="51">
        <f>IF(XT!$P100=0,B100,"")</f>
        <v>0</v>
      </c>
      <c r="E100">
        <f>SUMPRODUCT((MONTH(CHOOSE({1,2,3,4},XT!U100,XT!Y100,XT!AC100,XT!AG100))=2)*(CHOOSE({1,2,3,4},XT!X100,XT!AB100,XT!AF100,XT!AJ100)))</f>
        <v>0</v>
      </c>
      <c r="F100" t="str">
        <f>IFERROR(INDEX(CHOOSE({1,2,3,4}, DAY(XT!U100), DAY(XT!Y100), DAY(XT!AC100), DAY(XT!AG100)), MATCH(1, INDEX(--(MONTH(CHOOSE({1,2,3,4}, XT!U100,XT!Y100,XT!AC100,XT!AG100))=2), 0), 0)), "")</f>
        <v/>
      </c>
      <c r="G100" s="51" t="str">
        <f>IF(XT!$P100&gt;0,F100,"")</f>
        <v/>
      </c>
      <c r="H100" s="51" t="str">
        <f>IF(XT!$P100=0,F100,"")</f>
        <v/>
      </c>
      <c r="I100">
        <f>SUMPRODUCT((MONTH(CHOOSE({1,2,3,4},XT!U100,XT!Y100,XT!AC100,XT!AG100))=3)*(CHOOSE({1,2,3,4},XT!X100,XT!AB100,XT!AF100,XT!AJ100)))</f>
        <v>0</v>
      </c>
      <c r="J100" t="str">
        <f>IFERROR(INDEX(CHOOSE({1,2,3,4}, DAY(XT!U100), DAY(XT!Y100), DAY(XT!AC100), DAY(XT!AG100)), MATCH(1, INDEX(--(MONTH(CHOOSE({1,2,3,4}, XT!U100,XT!Y100,XT!AC100,XT!AG100))=3), 0), 0)), "")</f>
        <v/>
      </c>
      <c r="K100" s="51" t="str">
        <f>IF(XT!$P100&gt;0,J100,"")</f>
        <v/>
      </c>
      <c r="L100" s="51" t="str">
        <f>IF(XT!$P100=0,J100,"")</f>
        <v/>
      </c>
      <c r="M100">
        <f>SUMPRODUCT((MONTH(CHOOSE({1,2,3,4},XT!U100,XT!Y100,XT!AC100,XT!AG100))=4)*(CHOOSE({1,2,3,4},XT!X100,XT!AB100,XT!AF100,XT!AJ100)))</f>
        <v>0</v>
      </c>
      <c r="N100" t="str">
        <f>IFERROR(INDEX(CHOOSE({1,2,3,4}, DAY(XT!U100), DAY(XT!Y100), DAY(XT!AC100), DAY(XT!AG100)), MATCH(1, INDEX(--(MONTH(CHOOSE({1,2,3,4}, XT!U100,XT!Y100,XT!AC100,XT!AG100))=4), 0), 0)), "")</f>
        <v/>
      </c>
      <c r="O100" s="51" t="str">
        <f>IF(XT!$P100&gt;0,N100,"")</f>
        <v/>
      </c>
      <c r="P100" s="51" t="str">
        <f>IF(XT!$P100=0,N100,"")</f>
        <v/>
      </c>
      <c r="Q100">
        <f>SUMPRODUCT((MONTH(CHOOSE({1,2,3,4},XT!U100,XT!Y100,XT!AC100,XT!AG100))=5)*(CHOOSE({1,2,3,4},XT!X100,XT!AB100,XT!AF100,XT!AJ100)))</f>
        <v>0</v>
      </c>
      <c r="R100" t="str">
        <f>IFERROR(INDEX(CHOOSE({1,2,3,4}, DAY(XT!U100), DAY(XT!Y100), DAY(XT!AC100), DAY(XT!AG100)), MATCH(1, INDEX(--(MONTH(CHOOSE({1,2,3,4}, XT!U100,XT!Y100,XT!AC100,XT!AG100))=5), 0), 0)), "")</f>
        <v/>
      </c>
      <c r="S100" s="51" t="str">
        <f>IF(XT!$P100&gt;0,R100,"")</f>
        <v/>
      </c>
      <c r="T100" s="51" t="str">
        <f>IF(XT!$P100=0,R100,"")</f>
        <v/>
      </c>
      <c r="U100">
        <f>SUMPRODUCT((MONTH(CHOOSE({1,2,3,4},XT!U100,XT!Y100,XT!AC100,XT!AG100))=6)*(CHOOSE({1,2,3,4},XT!X100,XT!AB100,XT!AF100,XT!AJ100)))</f>
        <v>0</v>
      </c>
      <c r="V100" t="str">
        <f>IFERROR(INDEX(CHOOSE({1,2,3,4}, DAY(XT!U100), DAY(XT!Y100), DAY(XT!AC100), DAY(XT!AG100)), MATCH(1, INDEX(--(MONTH(CHOOSE({1,2,3,4}, XT!U100,XT!Y100,XT!AC100,XT!AG100))=6), 0), 0)), "")</f>
        <v/>
      </c>
      <c r="W100" s="51" t="str">
        <f>IF(XT!$P100&gt;0,V100,"")</f>
        <v/>
      </c>
      <c r="X100" s="51" t="str">
        <f>IF(XT!$P100=0,V100,"")</f>
        <v/>
      </c>
      <c r="Y100">
        <f>SUMPRODUCT((MONTH(CHOOSE({1,2,3,4},XT!U100,XT!Y100,XT!AC100,XT!AG100))=7)*(CHOOSE({1,2,3,4},XT!X100,XT!AB100,XT!AF100,XT!AJ100)))</f>
        <v>0</v>
      </c>
      <c r="Z100" t="str">
        <f>IFERROR(INDEX(CHOOSE({1,2,3,4}, DAY(XT!U100), DAY(XT!Y100), DAY(XT!AC100), DAY(XT!AG100)), MATCH(1, INDEX(--(MONTH(CHOOSE({1,2,3,4}, XT!U100,XT!Y100,XT!AC100,XT!AG100))=7), 0), 0)), "")</f>
        <v/>
      </c>
      <c r="AA100" s="51" t="str">
        <f>IF(XT!$P100&gt;0,Z100,"")</f>
        <v/>
      </c>
      <c r="AB100" s="51" t="str">
        <f>IF(XT!$P100=0,Z100,"")</f>
        <v/>
      </c>
      <c r="AC100">
        <f>SUMPRODUCT((MONTH(CHOOSE({1,2,3,4},XT!U100,XT!Y100,XT!AC100,XT!AG100))=8)*(CHOOSE({1,2,3,4},XT!X100,XT!AB100,XT!AF100,XT!AJ100)))</f>
        <v>0</v>
      </c>
      <c r="AD100" t="str">
        <f>IFERROR(INDEX(CHOOSE({1,2,3,4}, DAY(XT!U100), DAY(XT!Y100), DAY(XT!AC100), DAY(XT!AG100)), MATCH(1, INDEX(--(MONTH(CHOOSE({1,2,3,4}, XT!U100,XT!Y100,XT!AC100,XT!AG100))=8), 0), 0)), "")</f>
        <v/>
      </c>
      <c r="AE100" s="51" t="str">
        <f>IF(XT!$P100&gt;0,AD100,"")</f>
        <v/>
      </c>
      <c r="AF100" s="51" t="str">
        <f>IF(XT!$P100=0,AD100,"")</f>
        <v/>
      </c>
      <c r="AG100">
        <f>SUMPRODUCT((MONTH(CHOOSE({1,2,3,4},XT!U100,XT!Y100,XT!AC100,XT!AG100))=9)*(CHOOSE({1,2,3,4},XT!X100,XT!AB100,XT!AF100,XT!AJ100)))</f>
        <v>0</v>
      </c>
      <c r="AH100" t="str">
        <f>IFERROR(INDEX(CHOOSE({1,2,3,4}, DAY(XT!U100), DAY(XT!Y100), DAY(XT!AC100), DAY(XT!AG100)), MATCH(1, INDEX(--(MONTH(CHOOSE({1,2,3,4}, XT!U100,XT!Y100,XT!AC100,XT!AG100))=9), 0), 0)), "")</f>
        <v/>
      </c>
      <c r="AI100" s="51" t="str">
        <f>IF(XT!$P100&gt;0,AH100,"")</f>
        <v/>
      </c>
      <c r="AJ100" s="51" t="str">
        <f>IF(XT!$P100=0,AH100,"")</f>
        <v/>
      </c>
      <c r="AK100">
        <f>SUMPRODUCT((MONTH(CHOOSE({1,2,3,4},XT!U100,XT!Y100,XT!AC100,XT!AG100))=10)*(CHOOSE({1,2,3,4},XT!X100,XT!AB100,XT!AF100,XT!AJ100)))</f>
        <v>0</v>
      </c>
      <c r="AL100" t="str">
        <f>IFERROR(INDEX(CHOOSE({1,2,3,4}, DAY(XT!U100), DAY(XT!Y100), DAY(XT!AC100), DAY(XT!AG100)), MATCH(1, INDEX(--(MONTH(CHOOSE({1,2,3,4}, XT!U100,XT!Y100,XT!AC100,XT!AG100))=10), 0), 0)), "")</f>
        <v/>
      </c>
      <c r="AM100" s="51" t="str">
        <f>IF(XT!$P100&gt;0,AL100,"")</f>
        <v/>
      </c>
      <c r="AN100" s="51" t="str">
        <f>IF(XT!$P100=0,AL100,"")</f>
        <v/>
      </c>
      <c r="AO100">
        <f>SUMPRODUCT((MONTH(CHOOSE({1,2,3,4},XT!U100,XT!Y100,XT!AC100,XT!AG100))=11)*(CHOOSE({1,2,3,4},XT!X100,XT!AB100,XT!AF100,XT!AJ100)))</f>
        <v>0</v>
      </c>
      <c r="AP100" t="str">
        <f>IFERROR(INDEX(CHOOSE({1,2,3,4}, DAY(XT!U100), DAY(XT!Y100), DAY(XT!AC100), DAY(XT!AG100)), MATCH(1, INDEX(--(MONTH(CHOOSE({1,2,3,4}, XT!U100,XT!Y100,XT!AC100,XT!AG100))=11), 0), 0)), "")</f>
        <v/>
      </c>
      <c r="AQ100" s="51" t="str">
        <f>IF(XT!$P100&gt;0,AP100,"")</f>
        <v/>
      </c>
      <c r="AR100" s="51" t="str">
        <f>IF(XT!$P100=0,AP100,"")</f>
        <v/>
      </c>
      <c r="AS100">
        <f>SUMPRODUCT((MONTH(CHOOSE({1,2,3,4},XT!U100,XT!Y100,XT!AC100,XT!AG100))=12)*(CHOOSE({1,2,3,4},XT!X100,XT!AB100,XT!AF100,XT!AJ100)))</f>
        <v>0</v>
      </c>
      <c r="AT100" t="str">
        <f>IFERROR(INDEX(CHOOSE({1,2,3,4}, DAY(XT!U100), DAY(XT!Y100), DAY(XT!AC100), DAY(XT!AG100)), MATCH(1, INDEX(--(MONTH(CHOOSE({1,2,3,4}, XT!U100,XT!Y100,XT!AC100,XT!AG100))=12), 0), 0)), "")</f>
        <v/>
      </c>
      <c r="AU100" s="51" t="str">
        <f>IF(XT!$P100&gt;0,AT100,"")</f>
        <v/>
      </c>
      <c r="AV100" s="51" t="str">
        <f>IF(XT!$P100=0,AT100,"")</f>
        <v/>
      </c>
    </row>
    <row r="101" spans="1:48">
      <c r="A101">
        <f>SUMPRODUCT((MONTH(CHOOSE({1,2,3,4},XT!U101,XT!Y101,XT!AC101,XT!AG101))=1)*(CHOOSE({1,2,3,4},XT!X101,XT!AB101,XT!AF101,XT!AJ101)))</f>
        <v>0</v>
      </c>
      <c r="B101">
        <f>IFERROR(INDEX(CHOOSE({1,2,3,4}, DAY(XT!U101), DAY(XT!Y101), DAY(XT!AC101), DAY(XT!AG101)), MATCH(1, INDEX(--(MONTH(CHOOSE({1,2,3,4}, XT!U101,XT!Y101,XT!AC101,XT!AG101))=1), 0), 0)), "")</f>
        <v>0</v>
      </c>
      <c r="C101" s="51" t="str">
        <f>IF(XT!$P101&gt;0,B101,"")</f>
        <v/>
      </c>
      <c r="D101" s="51">
        <f>IF(XT!$P101=0,B101,"")</f>
        <v>0</v>
      </c>
      <c r="E101">
        <f>SUMPRODUCT((MONTH(CHOOSE({1,2,3,4},XT!U101,XT!Y101,XT!AC101,XT!AG101))=2)*(CHOOSE({1,2,3,4},XT!X101,XT!AB101,XT!AF101,XT!AJ101)))</f>
        <v>0</v>
      </c>
      <c r="F101" t="str">
        <f>IFERROR(INDEX(CHOOSE({1,2,3,4}, DAY(XT!U101), DAY(XT!Y101), DAY(XT!AC101), DAY(XT!AG101)), MATCH(1, INDEX(--(MONTH(CHOOSE({1,2,3,4}, XT!U101,XT!Y101,XT!AC101,XT!AG101))=2), 0), 0)), "")</f>
        <v/>
      </c>
      <c r="G101" s="51" t="str">
        <f>IF(XT!$P101&gt;0,F101,"")</f>
        <v/>
      </c>
      <c r="H101" s="51" t="str">
        <f>IF(XT!$P101=0,F101,"")</f>
        <v/>
      </c>
      <c r="I101">
        <f>SUMPRODUCT((MONTH(CHOOSE({1,2,3,4},XT!U101,XT!Y101,XT!AC101,XT!AG101))=3)*(CHOOSE({1,2,3,4},XT!X101,XT!AB101,XT!AF101,XT!AJ101)))</f>
        <v>0</v>
      </c>
      <c r="J101" t="str">
        <f>IFERROR(INDEX(CHOOSE({1,2,3,4}, DAY(XT!U101), DAY(XT!Y101), DAY(XT!AC101), DAY(XT!AG101)), MATCH(1, INDEX(--(MONTH(CHOOSE({1,2,3,4}, XT!U101,XT!Y101,XT!AC101,XT!AG101))=3), 0), 0)), "")</f>
        <v/>
      </c>
      <c r="K101" s="51" t="str">
        <f>IF(XT!$P101&gt;0,J101,"")</f>
        <v/>
      </c>
      <c r="L101" s="51" t="str">
        <f>IF(XT!$P101=0,J101,"")</f>
        <v/>
      </c>
      <c r="M101">
        <f>SUMPRODUCT((MONTH(CHOOSE({1,2,3,4},XT!U101,XT!Y101,XT!AC101,XT!AG101))=4)*(CHOOSE({1,2,3,4},XT!X101,XT!AB101,XT!AF101,XT!AJ101)))</f>
        <v>0</v>
      </c>
      <c r="N101" t="str">
        <f>IFERROR(INDEX(CHOOSE({1,2,3,4}, DAY(XT!U101), DAY(XT!Y101), DAY(XT!AC101), DAY(XT!AG101)), MATCH(1, INDEX(--(MONTH(CHOOSE({1,2,3,4}, XT!U101,XT!Y101,XT!AC101,XT!AG101))=4), 0), 0)), "")</f>
        <v/>
      </c>
      <c r="O101" s="51" t="str">
        <f>IF(XT!$P101&gt;0,N101,"")</f>
        <v/>
      </c>
      <c r="P101" s="51" t="str">
        <f>IF(XT!$P101=0,N101,"")</f>
        <v/>
      </c>
      <c r="Q101">
        <f>SUMPRODUCT((MONTH(CHOOSE({1,2,3,4},XT!U101,XT!Y101,XT!AC101,XT!AG101))=5)*(CHOOSE({1,2,3,4},XT!X101,XT!AB101,XT!AF101,XT!AJ101)))</f>
        <v>0</v>
      </c>
      <c r="R101" t="str">
        <f>IFERROR(INDEX(CHOOSE({1,2,3,4}, DAY(XT!U101), DAY(XT!Y101), DAY(XT!AC101), DAY(XT!AG101)), MATCH(1, INDEX(--(MONTH(CHOOSE({1,2,3,4}, XT!U101,XT!Y101,XT!AC101,XT!AG101))=5), 0), 0)), "")</f>
        <v/>
      </c>
      <c r="S101" s="51" t="str">
        <f>IF(XT!$P101&gt;0,R101,"")</f>
        <v/>
      </c>
      <c r="T101" s="51" t="str">
        <f>IF(XT!$P101=0,R101,"")</f>
        <v/>
      </c>
      <c r="U101">
        <f>SUMPRODUCT((MONTH(CHOOSE({1,2,3,4},XT!U101,XT!Y101,XT!AC101,XT!AG101))=6)*(CHOOSE({1,2,3,4},XT!X101,XT!AB101,XT!AF101,XT!AJ101)))</f>
        <v>0</v>
      </c>
      <c r="V101" t="str">
        <f>IFERROR(INDEX(CHOOSE({1,2,3,4}, DAY(XT!U101), DAY(XT!Y101), DAY(XT!AC101), DAY(XT!AG101)), MATCH(1, INDEX(--(MONTH(CHOOSE({1,2,3,4}, XT!U101,XT!Y101,XT!AC101,XT!AG101))=6), 0), 0)), "")</f>
        <v/>
      </c>
      <c r="W101" s="51" t="str">
        <f>IF(XT!$P101&gt;0,V101,"")</f>
        <v/>
      </c>
      <c r="X101" s="51" t="str">
        <f>IF(XT!$P101=0,V101,"")</f>
        <v/>
      </c>
      <c r="Y101">
        <f>SUMPRODUCT((MONTH(CHOOSE({1,2,3,4},XT!U101,XT!Y101,XT!AC101,XT!AG101))=7)*(CHOOSE({1,2,3,4},XT!X101,XT!AB101,XT!AF101,XT!AJ101)))</f>
        <v>0</v>
      </c>
      <c r="Z101" t="str">
        <f>IFERROR(INDEX(CHOOSE({1,2,3,4}, DAY(XT!U101), DAY(XT!Y101), DAY(XT!AC101), DAY(XT!AG101)), MATCH(1, INDEX(--(MONTH(CHOOSE({1,2,3,4}, XT!U101,XT!Y101,XT!AC101,XT!AG101))=7), 0), 0)), "")</f>
        <v/>
      </c>
      <c r="AA101" s="51" t="str">
        <f>IF(XT!$P101&gt;0,Z101,"")</f>
        <v/>
      </c>
      <c r="AB101" s="51" t="str">
        <f>IF(XT!$P101=0,Z101,"")</f>
        <v/>
      </c>
      <c r="AC101">
        <f>SUMPRODUCT((MONTH(CHOOSE({1,2,3,4},XT!U101,XT!Y101,XT!AC101,XT!AG101))=8)*(CHOOSE({1,2,3,4},XT!X101,XT!AB101,XT!AF101,XT!AJ101)))</f>
        <v>0</v>
      </c>
      <c r="AD101" t="str">
        <f>IFERROR(INDEX(CHOOSE({1,2,3,4}, DAY(XT!U101), DAY(XT!Y101), DAY(XT!AC101), DAY(XT!AG101)), MATCH(1, INDEX(--(MONTH(CHOOSE({1,2,3,4}, XT!U101,XT!Y101,XT!AC101,XT!AG101))=8), 0), 0)), "")</f>
        <v/>
      </c>
      <c r="AE101" s="51" t="str">
        <f>IF(XT!$P101&gt;0,AD101,"")</f>
        <v/>
      </c>
      <c r="AF101" s="51" t="str">
        <f>IF(XT!$P101=0,AD101,"")</f>
        <v/>
      </c>
      <c r="AG101">
        <f>SUMPRODUCT((MONTH(CHOOSE({1,2,3,4},XT!U101,XT!Y101,XT!AC101,XT!AG101))=9)*(CHOOSE({1,2,3,4},XT!X101,XT!AB101,XT!AF101,XT!AJ101)))</f>
        <v>0</v>
      </c>
      <c r="AH101" t="str">
        <f>IFERROR(INDEX(CHOOSE({1,2,3,4}, DAY(XT!U101), DAY(XT!Y101), DAY(XT!AC101), DAY(XT!AG101)), MATCH(1, INDEX(--(MONTH(CHOOSE({1,2,3,4}, XT!U101,XT!Y101,XT!AC101,XT!AG101))=9), 0), 0)), "")</f>
        <v/>
      </c>
      <c r="AI101" s="51" t="str">
        <f>IF(XT!$P101&gt;0,AH101,"")</f>
        <v/>
      </c>
      <c r="AJ101" s="51" t="str">
        <f>IF(XT!$P101=0,AH101,"")</f>
        <v/>
      </c>
      <c r="AK101">
        <f>SUMPRODUCT((MONTH(CHOOSE({1,2,3,4},XT!U101,XT!Y101,XT!AC101,XT!AG101))=10)*(CHOOSE({1,2,3,4},XT!X101,XT!AB101,XT!AF101,XT!AJ101)))</f>
        <v>0</v>
      </c>
      <c r="AL101" t="str">
        <f>IFERROR(INDEX(CHOOSE({1,2,3,4}, DAY(XT!U101), DAY(XT!Y101), DAY(XT!AC101), DAY(XT!AG101)), MATCH(1, INDEX(--(MONTH(CHOOSE({1,2,3,4}, XT!U101,XT!Y101,XT!AC101,XT!AG101))=10), 0), 0)), "")</f>
        <v/>
      </c>
      <c r="AM101" s="51" t="str">
        <f>IF(XT!$P101&gt;0,AL101,"")</f>
        <v/>
      </c>
      <c r="AN101" s="51" t="str">
        <f>IF(XT!$P101=0,AL101,"")</f>
        <v/>
      </c>
      <c r="AO101">
        <f>SUMPRODUCT((MONTH(CHOOSE({1,2,3,4},XT!U101,XT!Y101,XT!AC101,XT!AG101))=11)*(CHOOSE({1,2,3,4},XT!X101,XT!AB101,XT!AF101,XT!AJ101)))</f>
        <v>0</v>
      </c>
      <c r="AP101" t="str">
        <f>IFERROR(INDEX(CHOOSE({1,2,3,4}, DAY(XT!U101), DAY(XT!Y101), DAY(XT!AC101), DAY(XT!AG101)), MATCH(1, INDEX(--(MONTH(CHOOSE({1,2,3,4}, XT!U101,XT!Y101,XT!AC101,XT!AG101))=11), 0), 0)), "")</f>
        <v/>
      </c>
      <c r="AQ101" s="51" t="str">
        <f>IF(XT!$P101&gt;0,AP101,"")</f>
        <v/>
      </c>
      <c r="AR101" s="51" t="str">
        <f>IF(XT!$P101=0,AP101,"")</f>
        <v/>
      </c>
      <c r="AS101">
        <f>SUMPRODUCT((MONTH(CHOOSE({1,2,3,4},XT!U101,XT!Y101,XT!AC101,XT!AG101))=12)*(CHOOSE({1,2,3,4},XT!X101,XT!AB101,XT!AF101,XT!AJ101)))</f>
        <v>0</v>
      </c>
      <c r="AT101" t="str">
        <f>IFERROR(INDEX(CHOOSE({1,2,3,4}, DAY(XT!U101), DAY(XT!Y101), DAY(XT!AC101), DAY(XT!AG101)), MATCH(1, INDEX(--(MONTH(CHOOSE({1,2,3,4}, XT!U101,XT!Y101,XT!AC101,XT!AG101))=12), 0), 0)), "")</f>
        <v/>
      </c>
      <c r="AU101" s="51" t="str">
        <f>IF(XT!$P101&gt;0,AT101,"")</f>
        <v/>
      </c>
      <c r="AV101" s="51" t="str">
        <f>IF(XT!$P101=0,AT101,"")</f>
        <v/>
      </c>
    </row>
    <row r="102" spans="1:48">
      <c r="A102">
        <f>SUMPRODUCT((MONTH(CHOOSE({1,2,3,4},XT!U102,XT!Y102,XT!AC102,XT!AG102))=1)*(CHOOSE({1,2,3,4},XT!X102,XT!AB102,XT!AF102,XT!AJ102)))</f>
        <v>0</v>
      </c>
      <c r="B102">
        <f>IFERROR(INDEX(CHOOSE({1,2,3,4}, DAY(XT!U102), DAY(XT!Y102), DAY(XT!AC102), DAY(XT!AG102)), MATCH(1, INDEX(--(MONTH(CHOOSE({1,2,3,4}, XT!U102,XT!Y102,XT!AC102,XT!AG102))=1), 0), 0)), "")</f>
        <v>0</v>
      </c>
      <c r="C102" s="51" t="str">
        <f>IF(XT!$P102&gt;0,B102,"")</f>
        <v/>
      </c>
      <c r="D102" s="51">
        <f>IF(XT!$P102=0,B102,"")</f>
        <v>0</v>
      </c>
      <c r="E102">
        <f>SUMPRODUCT((MONTH(CHOOSE({1,2,3,4},XT!U102,XT!Y102,XT!AC102,XT!AG102))=2)*(CHOOSE({1,2,3,4},XT!X102,XT!AB102,XT!AF102,XT!AJ102)))</f>
        <v>0</v>
      </c>
      <c r="F102" t="str">
        <f>IFERROR(INDEX(CHOOSE({1,2,3,4}, DAY(XT!U102), DAY(XT!Y102), DAY(XT!AC102), DAY(XT!AG102)), MATCH(1, INDEX(--(MONTH(CHOOSE({1,2,3,4}, XT!U102,XT!Y102,XT!AC102,XT!AG102))=2), 0), 0)), "")</f>
        <v/>
      </c>
      <c r="G102" s="51" t="str">
        <f>IF(XT!$P102&gt;0,F102,"")</f>
        <v/>
      </c>
      <c r="H102" s="51" t="str">
        <f>IF(XT!$P102=0,F102,"")</f>
        <v/>
      </c>
      <c r="I102">
        <f>SUMPRODUCT((MONTH(CHOOSE({1,2,3,4},XT!U102,XT!Y102,XT!AC102,XT!AG102))=3)*(CHOOSE({1,2,3,4},XT!X102,XT!AB102,XT!AF102,XT!AJ102)))</f>
        <v>0</v>
      </c>
      <c r="J102" t="str">
        <f>IFERROR(INDEX(CHOOSE({1,2,3,4}, DAY(XT!U102), DAY(XT!Y102), DAY(XT!AC102), DAY(XT!AG102)), MATCH(1, INDEX(--(MONTH(CHOOSE({1,2,3,4}, XT!U102,XT!Y102,XT!AC102,XT!AG102))=3), 0), 0)), "")</f>
        <v/>
      </c>
      <c r="K102" s="51" t="str">
        <f>IF(XT!$P102&gt;0,J102,"")</f>
        <v/>
      </c>
      <c r="L102" s="51" t="str">
        <f>IF(XT!$P102=0,J102,"")</f>
        <v/>
      </c>
      <c r="M102">
        <f>SUMPRODUCT((MONTH(CHOOSE({1,2,3,4},XT!U102,XT!Y102,XT!AC102,XT!AG102))=4)*(CHOOSE({1,2,3,4},XT!X102,XT!AB102,XT!AF102,XT!AJ102)))</f>
        <v>0</v>
      </c>
      <c r="N102" t="str">
        <f>IFERROR(INDEX(CHOOSE({1,2,3,4}, DAY(XT!U102), DAY(XT!Y102), DAY(XT!AC102), DAY(XT!AG102)), MATCH(1, INDEX(--(MONTH(CHOOSE({1,2,3,4}, XT!U102,XT!Y102,XT!AC102,XT!AG102))=4), 0), 0)), "")</f>
        <v/>
      </c>
      <c r="O102" s="51" t="str">
        <f>IF(XT!$P102&gt;0,N102,"")</f>
        <v/>
      </c>
      <c r="P102" s="51" t="str">
        <f>IF(XT!$P102=0,N102,"")</f>
        <v/>
      </c>
      <c r="Q102">
        <f>SUMPRODUCT((MONTH(CHOOSE({1,2,3,4},XT!U102,XT!Y102,XT!AC102,XT!AG102))=5)*(CHOOSE({1,2,3,4},XT!X102,XT!AB102,XT!AF102,XT!AJ102)))</f>
        <v>0</v>
      </c>
      <c r="R102" t="str">
        <f>IFERROR(INDEX(CHOOSE({1,2,3,4}, DAY(XT!U102), DAY(XT!Y102), DAY(XT!AC102), DAY(XT!AG102)), MATCH(1, INDEX(--(MONTH(CHOOSE({1,2,3,4}, XT!U102,XT!Y102,XT!AC102,XT!AG102))=5), 0), 0)), "")</f>
        <v/>
      </c>
      <c r="S102" s="51" t="str">
        <f>IF(XT!$P102&gt;0,R102,"")</f>
        <v/>
      </c>
      <c r="T102" s="51" t="str">
        <f>IF(XT!$P102=0,R102,"")</f>
        <v/>
      </c>
      <c r="U102">
        <f>SUMPRODUCT((MONTH(CHOOSE({1,2,3,4},XT!U102,XT!Y102,XT!AC102,XT!AG102))=6)*(CHOOSE({1,2,3,4},XT!X102,XT!AB102,XT!AF102,XT!AJ102)))</f>
        <v>0</v>
      </c>
      <c r="V102" t="str">
        <f>IFERROR(INDEX(CHOOSE({1,2,3,4}, DAY(XT!U102), DAY(XT!Y102), DAY(XT!AC102), DAY(XT!AG102)), MATCH(1, INDEX(--(MONTH(CHOOSE({1,2,3,4}, XT!U102,XT!Y102,XT!AC102,XT!AG102))=6), 0), 0)), "")</f>
        <v/>
      </c>
      <c r="W102" s="51" t="str">
        <f>IF(XT!$P102&gt;0,V102,"")</f>
        <v/>
      </c>
      <c r="X102" s="51" t="str">
        <f>IF(XT!$P102=0,V102,"")</f>
        <v/>
      </c>
      <c r="Y102">
        <f>SUMPRODUCT((MONTH(CHOOSE({1,2,3,4},XT!U102,XT!Y102,XT!AC102,XT!AG102))=7)*(CHOOSE({1,2,3,4},XT!X102,XT!AB102,XT!AF102,XT!AJ102)))</f>
        <v>0</v>
      </c>
      <c r="Z102" t="str">
        <f>IFERROR(INDEX(CHOOSE({1,2,3,4}, DAY(XT!U102), DAY(XT!Y102), DAY(XT!AC102), DAY(XT!AG102)), MATCH(1, INDEX(--(MONTH(CHOOSE({1,2,3,4}, XT!U102,XT!Y102,XT!AC102,XT!AG102))=7), 0), 0)), "")</f>
        <v/>
      </c>
      <c r="AA102" s="51" t="str">
        <f>IF(XT!$P102&gt;0,Z102,"")</f>
        <v/>
      </c>
      <c r="AB102" s="51" t="str">
        <f>IF(XT!$P102=0,Z102,"")</f>
        <v/>
      </c>
      <c r="AC102">
        <f>SUMPRODUCT((MONTH(CHOOSE({1,2,3,4},XT!U102,XT!Y102,XT!AC102,XT!AG102))=8)*(CHOOSE({1,2,3,4},XT!X102,XT!AB102,XT!AF102,XT!AJ102)))</f>
        <v>0</v>
      </c>
      <c r="AD102" t="str">
        <f>IFERROR(INDEX(CHOOSE({1,2,3,4}, DAY(XT!U102), DAY(XT!Y102), DAY(XT!AC102), DAY(XT!AG102)), MATCH(1, INDEX(--(MONTH(CHOOSE({1,2,3,4}, XT!U102,XT!Y102,XT!AC102,XT!AG102))=8), 0), 0)), "")</f>
        <v/>
      </c>
      <c r="AE102" s="51" t="str">
        <f>IF(XT!$P102&gt;0,AD102,"")</f>
        <v/>
      </c>
      <c r="AF102" s="51" t="str">
        <f>IF(XT!$P102=0,AD102,"")</f>
        <v/>
      </c>
      <c r="AG102">
        <f>SUMPRODUCT((MONTH(CHOOSE({1,2,3,4},XT!U102,XT!Y102,XT!AC102,XT!AG102))=9)*(CHOOSE({1,2,3,4},XT!X102,XT!AB102,XT!AF102,XT!AJ102)))</f>
        <v>0</v>
      </c>
      <c r="AH102" t="str">
        <f>IFERROR(INDEX(CHOOSE({1,2,3,4}, DAY(XT!U102), DAY(XT!Y102), DAY(XT!AC102), DAY(XT!AG102)), MATCH(1, INDEX(--(MONTH(CHOOSE({1,2,3,4}, XT!U102,XT!Y102,XT!AC102,XT!AG102))=9), 0), 0)), "")</f>
        <v/>
      </c>
      <c r="AI102" s="51" t="str">
        <f>IF(XT!$P102&gt;0,AH102,"")</f>
        <v/>
      </c>
      <c r="AJ102" s="51" t="str">
        <f>IF(XT!$P102=0,AH102,"")</f>
        <v/>
      </c>
      <c r="AK102">
        <f>SUMPRODUCT((MONTH(CHOOSE({1,2,3,4},XT!U102,XT!Y102,XT!AC102,XT!AG102))=10)*(CHOOSE({1,2,3,4},XT!X102,XT!AB102,XT!AF102,XT!AJ102)))</f>
        <v>0</v>
      </c>
      <c r="AL102" t="str">
        <f>IFERROR(INDEX(CHOOSE({1,2,3,4}, DAY(XT!U102), DAY(XT!Y102), DAY(XT!AC102), DAY(XT!AG102)), MATCH(1, INDEX(--(MONTH(CHOOSE({1,2,3,4}, XT!U102,XT!Y102,XT!AC102,XT!AG102))=10), 0), 0)), "")</f>
        <v/>
      </c>
      <c r="AM102" s="51" t="str">
        <f>IF(XT!$P102&gt;0,AL102,"")</f>
        <v/>
      </c>
      <c r="AN102" s="51" t="str">
        <f>IF(XT!$P102=0,AL102,"")</f>
        <v/>
      </c>
      <c r="AO102">
        <f>SUMPRODUCT((MONTH(CHOOSE({1,2,3,4},XT!U102,XT!Y102,XT!AC102,XT!AG102))=11)*(CHOOSE({1,2,3,4},XT!X102,XT!AB102,XT!AF102,XT!AJ102)))</f>
        <v>0</v>
      </c>
      <c r="AP102" t="str">
        <f>IFERROR(INDEX(CHOOSE({1,2,3,4}, DAY(XT!U102), DAY(XT!Y102), DAY(XT!AC102), DAY(XT!AG102)), MATCH(1, INDEX(--(MONTH(CHOOSE({1,2,3,4}, XT!U102,XT!Y102,XT!AC102,XT!AG102))=11), 0), 0)), "")</f>
        <v/>
      </c>
      <c r="AQ102" s="51" t="str">
        <f>IF(XT!$P102&gt;0,AP102,"")</f>
        <v/>
      </c>
      <c r="AR102" s="51" t="str">
        <f>IF(XT!$P102=0,AP102,"")</f>
        <v/>
      </c>
      <c r="AS102">
        <f>SUMPRODUCT((MONTH(CHOOSE({1,2,3,4},XT!U102,XT!Y102,XT!AC102,XT!AG102))=12)*(CHOOSE({1,2,3,4},XT!X102,XT!AB102,XT!AF102,XT!AJ102)))</f>
        <v>0</v>
      </c>
      <c r="AT102" t="str">
        <f>IFERROR(INDEX(CHOOSE({1,2,3,4}, DAY(XT!U102), DAY(XT!Y102), DAY(XT!AC102), DAY(XT!AG102)), MATCH(1, INDEX(--(MONTH(CHOOSE({1,2,3,4}, XT!U102,XT!Y102,XT!AC102,XT!AG102))=12), 0), 0)), "")</f>
        <v/>
      </c>
      <c r="AU102" s="51" t="str">
        <f>IF(XT!$P102&gt;0,AT102,"")</f>
        <v/>
      </c>
      <c r="AV102" s="51" t="str">
        <f>IF(XT!$P102=0,AT102,"")</f>
        <v/>
      </c>
    </row>
    <row r="103" spans="1:48">
      <c r="A103">
        <f>SUMPRODUCT((MONTH(CHOOSE({1,2,3,4},XT!U103,XT!Y103,XT!AC103,XT!AG103))=1)*(CHOOSE({1,2,3,4},XT!X103,XT!AB103,XT!AF103,XT!AJ103)))</f>
        <v>0</v>
      </c>
      <c r="B103">
        <f>IFERROR(INDEX(CHOOSE({1,2,3,4}, DAY(XT!U103), DAY(XT!Y103), DAY(XT!AC103), DAY(XT!AG103)), MATCH(1, INDEX(--(MONTH(CHOOSE({1,2,3,4}, XT!U103,XT!Y103,XT!AC103,XT!AG103))=1), 0), 0)), "")</f>
        <v>0</v>
      </c>
      <c r="C103" s="51" t="str">
        <f>IF(XT!$P103&gt;0,B103,"")</f>
        <v/>
      </c>
      <c r="D103" s="51">
        <f>IF(XT!$P103=0,B103,"")</f>
        <v>0</v>
      </c>
      <c r="E103">
        <f>SUMPRODUCT((MONTH(CHOOSE({1,2,3,4},XT!U103,XT!Y103,XT!AC103,XT!AG103))=2)*(CHOOSE({1,2,3,4},XT!X103,XT!AB103,XT!AF103,XT!AJ103)))</f>
        <v>0</v>
      </c>
      <c r="F103" t="str">
        <f>IFERROR(INDEX(CHOOSE({1,2,3,4}, DAY(XT!U103), DAY(XT!Y103), DAY(XT!AC103), DAY(XT!AG103)), MATCH(1, INDEX(--(MONTH(CHOOSE({1,2,3,4}, XT!U103,XT!Y103,XT!AC103,XT!AG103))=2), 0), 0)), "")</f>
        <v/>
      </c>
      <c r="G103" s="51" t="str">
        <f>IF(XT!$P103&gt;0,F103,"")</f>
        <v/>
      </c>
      <c r="H103" s="51" t="str">
        <f>IF(XT!$P103=0,F103,"")</f>
        <v/>
      </c>
      <c r="I103">
        <f>SUMPRODUCT((MONTH(CHOOSE({1,2,3,4},XT!U103,XT!Y103,XT!AC103,XT!AG103))=3)*(CHOOSE({1,2,3,4},XT!X103,XT!AB103,XT!AF103,XT!AJ103)))</f>
        <v>0</v>
      </c>
      <c r="J103" t="str">
        <f>IFERROR(INDEX(CHOOSE({1,2,3,4}, DAY(XT!U103), DAY(XT!Y103), DAY(XT!AC103), DAY(XT!AG103)), MATCH(1, INDEX(--(MONTH(CHOOSE({1,2,3,4}, XT!U103,XT!Y103,XT!AC103,XT!AG103))=3), 0), 0)), "")</f>
        <v/>
      </c>
      <c r="K103" s="51" t="str">
        <f>IF(XT!$P103&gt;0,J103,"")</f>
        <v/>
      </c>
      <c r="L103" s="51" t="str">
        <f>IF(XT!$P103=0,J103,"")</f>
        <v/>
      </c>
      <c r="M103">
        <f>SUMPRODUCT((MONTH(CHOOSE({1,2,3,4},XT!U103,XT!Y103,XT!AC103,XT!AG103))=4)*(CHOOSE({1,2,3,4},XT!X103,XT!AB103,XT!AF103,XT!AJ103)))</f>
        <v>0</v>
      </c>
      <c r="N103" t="str">
        <f>IFERROR(INDEX(CHOOSE({1,2,3,4}, DAY(XT!U103), DAY(XT!Y103), DAY(XT!AC103), DAY(XT!AG103)), MATCH(1, INDEX(--(MONTH(CHOOSE({1,2,3,4}, XT!U103,XT!Y103,XT!AC103,XT!AG103))=4), 0), 0)), "")</f>
        <v/>
      </c>
      <c r="O103" s="51" t="str">
        <f>IF(XT!$P103&gt;0,N103,"")</f>
        <v/>
      </c>
      <c r="P103" s="51" t="str">
        <f>IF(XT!$P103=0,N103,"")</f>
        <v/>
      </c>
      <c r="Q103">
        <f>SUMPRODUCT((MONTH(CHOOSE({1,2,3,4},XT!U103,XT!Y103,XT!AC103,XT!AG103))=5)*(CHOOSE({1,2,3,4},XT!X103,XT!AB103,XT!AF103,XT!AJ103)))</f>
        <v>0</v>
      </c>
      <c r="R103" t="str">
        <f>IFERROR(INDEX(CHOOSE({1,2,3,4}, DAY(XT!U103), DAY(XT!Y103), DAY(XT!AC103), DAY(XT!AG103)), MATCH(1, INDEX(--(MONTH(CHOOSE({1,2,3,4}, XT!U103,XT!Y103,XT!AC103,XT!AG103))=5), 0), 0)), "")</f>
        <v/>
      </c>
      <c r="S103" s="51" t="str">
        <f>IF(XT!$P103&gt;0,R103,"")</f>
        <v/>
      </c>
      <c r="T103" s="51" t="str">
        <f>IF(XT!$P103=0,R103,"")</f>
        <v/>
      </c>
      <c r="U103">
        <f>SUMPRODUCT((MONTH(CHOOSE({1,2,3,4},XT!U103,XT!Y103,XT!AC103,XT!AG103))=6)*(CHOOSE({1,2,3,4},XT!X103,XT!AB103,XT!AF103,XT!AJ103)))</f>
        <v>0</v>
      </c>
      <c r="V103" t="str">
        <f>IFERROR(INDEX(CHOOSE({1,2,3,4}, DAY(XT!U103), DAY(XT!Y103), DAY(XT!AC103), DAY(XT!AG103)), MATCH(1, INDEX(--(MONTH(CHOOSE({1,2,3,4}, XT!U103,XT!Y103,XT!AC103,XT!AG103))=6), 0), 0)), "")</f>
        <v/>
      </c>
      <c r="W103" s="51" t="str">
        <f>IF(XT!$P103&gt;0,V103,"")</f>
        <v/>
      </c>
      <c r="X103" s="51" t="str">
        <f>IF(XT!$P103=0,V103,"")</f>
        <v/>
      </c>
      <c r="Y103">
        <f>SUMPRODUCT((MONTH(CHOOSE({1,2,3,4},XT!U103,XT!Y103,XT!AC103,XT!AG103))=7)*(CHOOSE({1,2,3,4},XT!X103,XT!AB103,XT!AF103,XT!AJ103)))</f>
        <v>0</v>
      </c>
      <c r="Z103" t="str">
        <f>IFERROR(INDEX(CHOOSE({1,2,3,4}, DAY(XT!U103), DAY(XT!Y103), DAY(XT!AC103), DAY(XT!AG103)), MATCH(1, INDEX(--(MONTH(CHOOSE({1,2,3,4}, XT!U103,XT!Y103,XT!AC103,XT!AG103))=7), 0), 0)), "")</f>
        <v/>
      </c>
      <c r="AA103" s="51" t="str">
        <f>IF(XT!$P103&gt;0,Z103,"")</f>
        <v/>
      </c>
      <c r="AB103" s="51" t="str">
        <f>IF(XT!$P103=0,Z103,"")</f>
        <v/>
      </c>
      <c r="AC103">
        <f>SUMPRODUCT((MONTH(CHOOSE({1,2,3,4},XT!U103,XT!Y103,XT!AC103,XT!AG103))=8)*(CHOOSE({1,2,3,4},XT!X103,XT!AB103,XT!AF103,XT!AJ103)))</f>
        <v>0</v>
      </c>
      <c r="AD103" t="str">
        <f>IFERROR(INDEX(CHOOSE({1,2,3,4}, DAY(XT!U103), DAY(XT!Y103), DAY(XT!AC103), DAY(XT!AG103)), MATCH(1, INDEX(--(MONTH(CHOOSE({1,2,3,4}, XT!U103,XT!Y103,XT!AC103,XT!AG103))=8), 0), 0)), "")</f>
        <v/>
      </c>
      <c r="AE103" s="51" t="str">
        <f>IF(XT!$P103&gt;0,AD103,"")</f>
        <v/>
      </c>
      <c r="AF103" s="51" t="str">
        <f>IF(XT!$P103=0,AD103,"")</f>
        <v/>
      </c>
      <c r="AG103">
        <f>SUMPRODUCT((MONTH(CHOOSE({1,2,3,4},XT!U103,XT!Y103,XT!AC103,XT!AG103))=9)*(CHOOSE({1,2,3,4},XT!X103,XT!AB103,XT!AF103,XT!AJ103)))</f>
        <v>0</v>
      </c>
      <c r="AH103" t="str">
        <f>IFERROR(INDEX(CHOOSE({1,2,3,4}, DAY(XT!U103), DAY(XT!Y103), DAY(XT!AC103), DAY(XT!AG103)), MATCH(1, INDEX(--(MONTH(CHOOSE({1,2,3,4}, XT!U103,XT!Y103,XT!AC103,XT!AG103))=9), 0), 0)), "")</f>
        <v/>
      </c>
      <c r="AI103" s="51" t="str">
        <f>IF(XT!$P103&gt;0,AH103,"")</f>
        <v/>
      </c>
      <c r="AJ103" s="51" t="str">
        <f>IF(XT!$P103=0,AH103,"")</f>
        <v/>
      </c>
      <c r="AK103">
        <f>SUMPRODUCT((MONTH(CHOOSE({1,2,3,4},XT!U103,XT!Y103,XT!AC103,XT!AG103))=10)*(CHOOSE({1,2,3,4},XT!X103,XT!AB103,XT!AF103,XT!AJ103)))</f>
        <v>0</v>
      </c>
      <c r="AL103" t="str">
        <f>IFERROR(INDEX(CHOOSE({1,2,3,4}, DAY(XT!U103), DAY(XT!Y103), DAY(XT!AC103), DAY(XT!AG103)), MATCH(1, INDEX(--(MONTH(CHOOSE({1,2,3,4}, XT!U103,XT!Y103,XT!AC103,XT!AG103))=10), 0), 0)), "")</f>
        <v/>
      </c>
      <c r="AM103" s="51" t="str">
        <f>IF(XT!$P103&gt;0,AL103,"")</f>
        <v/>
      </c>
      <c r="AN103" s="51" t="str">
        <f>IF(XT!$P103=0,AL103,"")</f>
        <v/>
      </c>
      <c r="AO103">
        <f>SUMPRODUCT((MONTH(CHOOSE({1,2,3,4},XT!U103,XT!Y103,XT!AC103,XT!AG103))=11)*(CHOOSE({1,2,3,4},XT!X103,XT!AB103,XT!AF103,XT!AJ103)))</f>
        <v>0</v>
      </c>
      <c r="AP103" t="str">
        <f>IFERROR(INDEX(CHOOSE({1,2,3,4}, DAY(XT!U103), DAY(XT!Y103), DAY(XT!AC103), DAY(XT!AG103)), MATCH(1, INDEX(--(MONTH(CHOOSE({1,2,3,4}, XT!U103,XT!Y103,XT!AC103,XT!AG103))=11), 0), 0)), "")</f>
        <v/>
      </c>
      <c r="AQ103" s="51" t="str">
        <f>IF(XT!$P103&gt;0,AP103,"")</f>
        <v/>
      </c>
      <c r="AR103" s="51" t="str">
        <f>IF(XT!$P103=0,AP103,"")</f>
        <v/>
      </c>
      <c r="AS103">
        <f>SUMPRODUCT((MONTH(CHOOSE({1,2,3,4},XT!U103,XT!Y103,XT!AC103,XT!AG103))=12)*(CHOOSE({1,2,3,4},XT!X103,XT!AB103,XT!AF103,XT!AJ103)))</f>
        <v>0</v>
      </c>
      <c r="AT103" t="str">
        <f>IFERROR(INDEX(CHOOSE({1,2,3,4}, DAY(XT!U103), DAY(XT!Y103), DAY(XT!AC103), DAY(XT!AG103)), MATCH(1, INDEX(--(MONTH(CHOOSE({1,2,3,4}, XT!U103,XT!Y103,XT!AC103,XT!AG103))=12), 0), 0)), "")</f>
        <v/>
      </c>
      <c r="AU103" s="51" t="str">
        <f>IF(XT!$P103&gt;0,AT103,"")</f>
        <v/>
      </c>
      <c r="AV103" s="51" t="str">
        <f>IF(XT!$P103=0,AT103,"")</f>
        <v/>
      </c>
    </row>
    <row r="104" spans="1:48">
      <c r="A104">
        <f>SUMPRODUCT((MONTH(CHOOSE({1,2,3,4},XT!U104,XT!Y104,XT!AC104,XT!AG104))=1)*(CHOOSE({1,2,3,4},XT!X104,XT!AB104,XT!AF104,XT!AJ104)))</f>
        <v>0</v>
      </c>
      <c r="B104">
        <f>IFERROR(INDEX(CHOOSE({1,2,3,4}, DAY(XT!U104), DAY(XT!Y104), DAY(XT!AC104), DAY(XT!AG104)), MATCH(1, INDEX(--(MONTH(CHOOSE({1,2,3,4}, XT!U104,XT!Y104,XT!AC104,XT!AG104))=1), 0), 0)), "")</f>
        <v>0</v>
      </c>
      <c r="C104" s="51" t="str">
        <f>IF(XT!$P104&gt;0,B104,"")</f>
        <v/>
      </c>
      <c r="D104" s="51">
        <f>IF(XT!$P104=0,B104,"")</f>
        <v>0</v>
      </c>
      <c r="E104">
        <f>SUMPRODUCT((MONTH(CHOOSE({1,2,3,4},XT!U104,XT!Y104,XT!AC104,XT!AG104))=2)*(CHOOSE({1,2,3,4},XT!X104,XT!AB104,XT!AF104,XT!AJ104)))</f>
        <v>0</v>
      </c>
      <c r="F104" t="str">
        <f>IFERROR(INDEX(CHOOSE({1,2,3,4}, DAY(XT!U104), DAY(XT!Y104), DAY(XT!AC104), DAY(XT!AG104)), MATCH(1, INDEX(--(MONTH(CHOOSE({1,2,3,4}, XT!U104,XT!Y104,XT!AC104,XT!AG104))=2), 0), 0)), "")</f>
        <v/>
      </c>
      <c r="G104" s="51" t="str">
        <f>IF(XT!$P104&gt;0,F104,"")</f>
        <v/>
      </c>
      <c r="H104" s="51" t="str">
        <f>IF(XT!$P104=0,F104,"")</f>
        <v/>
      </c>
      <c r="I104">
        <f>SUMPRODUCT((MONTH(CHOOSE({1,2,3,4},XT!U104,XT!Y104,XT!AC104,XT!AG104))=3)*(CHOOSE({1,2,3,4},XT!X104,XT!AB104,XT!AF104,XT!AJ104)))</f>
        <v>0</v>
      </c>
      <c r="J104" t="str">
        <f>IFERROR(INDEX(CHOOSE({1,2,3,4}, DAY(XT!U104), DAY(XT!Y104), DAY(XT!AC104), DAY(XT!AG104)), MATCH(1, INDEX(--(MONTH(CHOOSE({1,2,3,4}, XT!U104,XT!Y104,XT!AC104,XT!AG104))=3), 0), 0)), "")</f>
        <v/>
      </c>
      <c r="K104" s="51" t="str">
        <f>IF(XT!$P104&gt;0,J104,"")</f>
        <v/>
      </c>
      <c r="L104" s="51" t="str">
        <f>IF(XT!$P104=0,J104,"")</f>
        <v/>
      </c>
      <c r="M104">
        <f>SUMPRODUCT((MONTH(CHOOSE({1,2,3,4},XT!U104,XT!Y104,XT!AC104,XT!AG104))=4)*(CHOOSE({1,2,3,4},XT!X104,XT!AB104,XT!AF104,XT!AJ104)))</f>
        <v>0</v>
      </c>
      <c r="N104" t="str">
        <f>IFERROR(INDEX(CHOOSE({1,2,3,4}, DAY(XT!U104), DAY(XT!Y104), DAY(XT!AC104), DAY(XT!AG104)), MATCH(1, INDEX(--(MONTH(CHOOSE({1,2,3,4}, XT!U104,XT!Y104,XT!AC104,XT!AG104))=4), 0), 0)), "")</f>
        <v/>
      </c>
      <c r="O104" s="51" t="str">
        <f>IF(XT!$P104&gt;0,N104,"")</f>
        <v/>
      </c>
      <c r="P104" s="51" t="str">
        <f>IF(XT!$P104=0,N104,"")</f>
        <v/>
      </c>
      <c r="Q104">
        <f>SUMPRODUCT((MONTH(CHOOSE({1,2,3,4},XT!U104,XT!Y104,XT!AC104,XT!AG104))=5)*(CHOOSE({1,2,3,4},XT!X104,XT!AB104,XT!AF104,XT!AJ104)))</f>
        <v>0</v>
      </c>
      <c r="R104" t="str">
        <f>IFERROR(INDEX(CHOOSE({1,2,3,4}, DAY(XT!U104), DAY(XT!Y104), DAY(XT!AC104), DAY(XT!AG104)), MATCH(1, INDEX(--(MONTH(CHOOSE({1,2,3,4}, XT!U104,XT!Y104,XT!AC104,XT!AG104))=5), 0), 0)), "")</f>
        <v/>
      </c>
      <c r="S104" s="51" t="str">
        <f>IF(XT!$P104&gt;0,R104,"")</f>
        <v/>
      </c>
      <c r="T104" s="51" t="str">
        <f>IF(XT!$P104=0,R104,"")</f>
        <v/>
      </c>
      <c r="U104">
        <f>SUMPRODUCT((MONTH(CHOOSE({1,2,3,4},XT!U104,XT!Y104,XT!AC104,XT!AG104))=6)*(CHOOSE({1,2,3,4},XT!X104,XT!AB104,XT!AF104,XT!AJ104)))</f>
        <v>0</v>
      </c>
      <c r="V104" t="str">
        <f>IFERROR(INDEX(CHOOSE({1,2,3,4}, DAY(XT!U104), DAY(XT!Y104), DAY(XT!AC104), DAY(XT!AG104)), MATCH(1, INDEX(--(MONTH(CHOOSE({1,2,3,4}, XT!U104,XT!Y104,XT!AC104,XT!AG104))=6), 0), 0)), "")</f>
        <v/>
      </c>
      <c r="W104" s="51" t="str">
        <f>IF(XT!$P104&gt;0,V104,"")</f>
        <v/>
      </c>
      <c r="X104" s="51" t="str">
        <f>IF(XT!$P104=0,V104,"")</f>
        <v/>
      </c>
      <c r="Y104">
        <f>SUMPRODUCT((MONTH(CHOOSE({1,2,3,4},XT!U104,XT!Y104,XT!AC104,XT!AG104))=7)*(CHOOSE({1,2,3,4},XT!X104,XT!AB104,XT!AF104,XT!AJ104)))</f>
        <v>0</v>
      </c>
      <c r="Z104" t="str">
        <f>IFERROR(INDEX(CHOOSE({1,2,3,4}, DAY(XT!U104), DAY(XT!Y104), DAY(XT!AC104), DAY(XT!AG104)), MATCH(1, INDEX(--(MONTH(CHOOSE({1,2,3,4}, XT!U104,XT!Y104,XT!AC104,XT!AG104))=7), 0), 0)), "")</f>
        <v/>
      </c>
      <c r="AA104" s="51" t="str">
        <f>IF(XT!$P104&gt;0,Z104,"")</f>
        <v/>
      </c>
      <c r="AB104" s="51" t="str">
        <f>IF(XT!$P104=0,Z104,"")</f>
        <v/>
      </c>
      <c r="AC104">
        <f>SUMPRODUCT((MONTH(CHOOSE({1,2,3,4},XT!U104,XT!Y104,XT!AC104,XT!AG104))=8)*(CHOOSE({1,2,3,4},XT!X104,XT!AB104,XT!AF104,XT!AJ104)))</f>
        <v>0</v>
      </c>
      <c r="AD104" t="str">
        <f>IFERROR(INDEX(CHOOSE({1,2,3,4}, DAY(XT!U104), DAY(XT!Y104), DAY(XT!AC104), DAY(XT!AG104)), MATCH(1, INDEX(--(MONTH(CHOOSE({1,2,3,4}, XT!U104,XT!Y104,XT!AC104,XT!AG104))=8), 0), 0)), "")</f>
        <v/>
      </c>
      <c r="AE104" s="51" t="str">
        <f>IF(XT!$P104&gt;0,AD104,"")</f>
        <v/>
      </c>
      <c r="AF104" s="51" t="str">
        <f>IF(XT!$P104=0,AD104,"")</f>
        <v/>
      </c>
      <c r="AG104">
        <f>SUMPRODUCT((MONTH(CHOOSE({1,2,3,4},XT!U104,XT!Y104,XT!AC104,XT!AG104))=9)*(CHOOSE({1,2,3,4},XT!X104,XT!AB104,XT!AF104,XT!AJ104)))</f>
        <v>0</v>
      </c>
      <c r="AH104" t="str">
        <f>IFERROR(INDEX(CHOOSE({1,2,3,4}, DAY(XT!U104), DAY(XT!Y104), DAY(XT!AC104), DAY(XT!AG104)), MATCH(1, INDEX(--(MONTH(CHOOSE({1,2,3,4}, XT!U104,XT!Y104,XT!AC104,XT!AG104))=9), 0), 0)), "")</f>
        <v/>
      </c>
      <c r="AI104" s="51" t="str">
        <f>IF(XT!$P104&gt;0,AH104,"")</f>
        <v/>
      </c>
      <c r="AJ104" s="51" t="str">
        <f>IF(XT!$P104=0,AH104,"")</f>
        <v/>
      </c>
      <c r="AK104">
        <f>SUMPRODUCT((MONTH(CHOOSE({1,2,3,4},XT!U104,XT!Y104,XT!AC104,XT!AG104))=10)*(CHOOSE({1,2,3,4},XT!X104,XT!AB104,XT!AF104,XT!AJ104)))</f>
        <v>0</v>
      </c>
      <c r="AL104" t="str">
        <f>IFERROR(INDEX(CHOOSE({1,2,3,4}, DAY(XT!U104), DAY(XT!Y104), DAY(XT!AC104), DAY(XT!AG104)), MATCH(1, INDEX(--(MONTH(CHOOSE({1,2,3,4}, XT!U104,XT!Y104,XT!AC104,XT!AG104))=10), 0), 0)), "")</f>
        <v/>
      </c>
      <c r="AM104" s="51" t="str">
        <f>IF(XT!$P104&gt;0,AL104,"")</f>
        <v/>
      </c>
      <c r="AN104" s="51" t="str">
        <f>IF(XT!$P104=0,AL104,"")</f>
        <v/>
      </c>
      <c r="AO104">
        <f>SUMPRODUCT((MONTH(CHOOSE({1,2,3,4},XT!U104,XT!Y104,XT!AC104,XT!AG104))=11)*(CHOOSE({1,2,3,4},XT!X104,XT!AB104,XT!AF104,XT!AJ104)))</f>
        <v>0</v>
      </c>
      <c r="AP104" t="str">
        <f>IFERROR(INDEX(CHOOSE({1,2,3,4}, DAY(XT!U104), DAY(XT!Y104), DAY(XT!AC104), DAY(XT!AG104)), MATCH(1, INDEX(--(MONTH(CHOOSE({1,2,3,4}, XT!U104,XT!Y104,XT!AC104,XT!AG104))=11), 0), 0)), "")</f>
        <v/>
      </c>
      <c r="AQ104" s="51" t="str">
        <f>IF(XT!$P104&gt;0,AP104,"")</f>
        <v/>
      </c>
      <c r="AR104" s="51" t="str">
        <f>IF(XT!$P104=0,AP104,"")</f>
        <v/>
      </c>
      <c r="AS104">
        <f>SUMPRODUCT((MONTH(CHOOSE({1,2,3,4},XT!U104,XT!Y104,XT!AC104,XT!AG104))=12)*(CHOOSE({1,2,3,4},XT!X104,XT!AB104,XT!AF104,XT!AJ104)))</f>
        <v>0</v>
      </c>
      <c r="AT104" t="str">
        <f>IFERROR(INDEX(CHOOSE({1,2,3,4}, DAY(XT!U104), DAY(XT!Y104), DAY(XT!AC104), DAY(XT!AG104)), MATCH(1, INDEX(--(MONTH(CHOOSE({1,2,3,4}, XT!U104,XT!Y104,XT!AC104,XT!AG104))=12), 0), 0)), "")</f>
        <v/>
      </c>
      <c r="AU104" s="51" t="str">
        <f>IF(XT!$P104&gt;0,AT104,"")</f>
        <v/>
      </c>
      <c r="AV104" s="51" t="str">
        <f>IF(XT!$P104=0,AT104,"")</f>
        <v/>
      </c>
    </row>
    <row r="105" spans="1:48">
      <c r="A105">
        <f>SUMPRODUCT((MONTH(CHOOSE({1,2,3,4},XT!U105,XT!Y105,XT!AC105,XT!AG105))=1)*(CHOOSE({1,2,3,4},XT!X105,XT!AB105,XT!AF105,XT!AJ105)))</f>
        <v>0</v>
      </c>
      <c r="B105">
        <f>IFERROR(INDEX(CHOOSE({1,2,3,4}, DAY(XT!U105), DAY(XT!Y105), DAY(XT!AC105), DAY(XT!AG105)), MATCH(1, INDEX(--(MONTH(CHOOSE({1,2,3,4}, XT!U105,XT!Y105,XT!AC105,XT!AG105))=1), 0), 0)), "")</f>
        <v>0</v>
      </c>
      <c r="C105" s="51" t="str">
        <f>IF(XT!$P105&gt;0,B105,"")</f>
        <v/>
      </c>
      <c r="D105" s="51">
        <f>IF(XT!$P105=0,B105,"")</f>
        <v>0</v>
      </c>
      <c r="E105">
        <f>SUMPRODUCT((MONTH(CHOOSE({1,2,3,4},XT!U105,XT!Y105,XT!AC105,XT!AG105))=2)*(CHOOSE({1,2,3,4},XT!X105,XT!AB105,XT!AF105,XT!AJ105)))</f>
        <v>0</v>
      </c>
      <c r="F105" t="str">
        <f>IFERROR(INDEX(CHOOSE({1,2,3,4}, DAY(XT!U105), DAY(XT!Y105), DAY(XT!AC105), DAY(XT!AG105)), MATCH(1, INDEX(--(MONTH(CHOOSE({1,2,3,4}, XT!U105,XT!Y105,XT!AC105,XT!AG105))=2), 0), 0)), "")</f>
        <v/>
      </c>
      <c r="G105" s="51" t="str">
        <f>IF(XT!$P105&gt;0,F105,"")</f>
        <v/>
      </c>
      <c r="H105" s="51" t="str">
        <f>IF(XT!$P105=0,F105,"")</f>
        <v/>
      </c>
      <c r="I105">
        <f>SUMPRODUCT((MONTH(CHOOSE({1,2,3,4},XT!U105,XT!Y105,XT!AC105,XT!AG105))=3)*(CHOOSE({1,2,3,4},XT!X105,XT!AB105,XT!AF105,XT!AJ105)))</f>
        <v>0</v>
      </c>
      <c r="J105" t="str">
        <f>IFERROR(INDEX(CHOOSE({1,2,3,4}, DAY(XT!U105), DAY(XT!Y105), DAY(XT!AC105), DAY(XT!AG105)), MATCH(1, INDEX(--(MONTH(CHOOSE({1,2,3,4}, XT!U105,XT!Y105,XT!AC105,XT!AG105))=3), 0), 0)), "")</f>
        <v/>
      </c>
      <c r="K105" s="51" t="str">
        <f>IF(XT!$P105&gt;0,J105,"")</f>
        <v/>
      </c>
      <c r="L105" s="51" t="str">
        <f>IF(XT!$P105=0,J105,"")</f>
        <v/>
      </c>
      <c r="M105">
        <f>SUMPRODUCT((MONTH(CHOOSE({1,2,3,4},XT!U105,XT!Y105,XT!AC105,XT!AG105))=4)*(CHOOSE({1,2,3,4},XT!X105,XT!AB105,XT!AF105,XT!AJ105)))</f>
        <v>0</v>
      </c>
      <c r="N105" t="str">
        <f>IFERROR(INDEX(CHOOSE({1,2,3,4}, DAY(XT!U105), DAY(XT!Y105), DAY(XT!AC105), DAY(XT!AG105)), MATCH(1, INDEX(--(MONTH(CHOOSE({1,2,3,4}, XT!U105,XT!Y105,XT!AC105,XT!AG105))=4), 0), 0)), "")</f>
        <v/>
      </c>
      <c r="O105" s="51" t="str">
        <f>IF(XT!$P105&gt;0,N105,"")</f>
        <v/>
      </c>
      <c r="P105" s="51" t="str">
        <f>IF(XT!$P105=0,N105,"")</f>
        <v/>
      </c>
      <c r="Q105">
        <f>SUMPRODUCT((MONTH(CHOOSE({1,2,3,4},XT!U105,XT!Y105,XT!AC105,XT!AG105))=5)*(CHOOSE({1,2,3,4},XT!X105,XT!AB105,XT!AF105,XT!AJ105)))</f>
        <v>0</v>
      </c>
      <c r="R105" t="str">
        <f>IFERROR(INDEX(CHOOSE({1,2,3,4}, DAY(XT!U105), DAY(XT!Y105), DAY(XT!AC105), DAY(XT!AG105)), MATCH(1, INDEX(--(MONTH(CHOOSE({1,2,3,4}, XT!U105,XT!Y105,XT!AC105,XT!AG105))=5), 0), 0)), "")</f>
        <v/>
      </c>
      <c r="S105" s="51" t="str">
        <f>IF(XT!$P105&gt;0,R105,"")</f>
        <v/>
      </c>
      <c r="T105" s="51" t="str">
        <f>IF(XT!$P105=0,R105,"")</f>
        <v/>
      </c>
      <c r="U105">
        <f>SUMPRODUCT((MONTH(CHOOSE({1,2,3,4},XT!U105,XT!Y105,XT!AC105,XT!AG105))=6)*(CHOOSE({1,2,3,4},XT!X105,XT!AB105,XT!AF105,XT!AJ105)))</f>
        <v>0</v>
      </c>
      <c r="V105" t="str">
        <f>IFERROR(INDEX(CHOOSE({1,2,3,4}, DAY(XT!U105), DAY(XT!Y105), DAY(XT!AC105), DAY(XT!AG105)), MATCH(1, INDEX(--(MONTH(CHOOSE({1,2,3,4}, XT!U105,XT!Y105,XT!AC105,XT!AG105))=6), 0), 0)), "")</f>
        <v/>
      </c>
      <c r="W105" s="51" t="str">
        <f>IF(XT!$P105&gt;0,V105,"")</f>
        <v/>
      </c>
      <c r="X105" s="51" t="str">
        <f>IF(XT!$P105=0,V105,"")</f>
        <v/>
      </c>
      <c r="Y105">
        <f>SUMPRODUCT((MONTH(CHOOSE({1,2,3,4},XT!U105,XT!Y105,XT!AC105,XT!AG105))=7)*(CHOOSE({1,2,3,4},XT!X105,XT!AB105,XT!AF105,XT!AJ105)))</f>
        <v>0</v>
      </c>
      <c r="Z105" t="str">
        <f>IFERROR(INDEX(CHOOSE({1,2,3,4}, DAY(XT!U105), DAY(XT!Y105), DAY(XT!AC105), DAY(XT!AG105)), MATCH(1, INDEX(--(MONTH(CHOOSE({1,2,3,4}, XT!U105,XT!Y105,XT!AC105,XT!AG105))=7), 0), 0)), "")</f>
        <v/>
      </c>
      <c r="AA105" s="51" t="str">
        <f>IF(XT!$P105&gt;0,Z105,"")</f>
        <v/>
      </c>
      <c r="AB105" s="51" t="str">
        <f>IF(XT!$P105=0,Z105,"")</f>
        <v/>
      </c>
      <c r="AC105">
        <f>SUMPRODUCT((MONTH(CHOOSE({1,2,3,4},XT!U105,XT!Y105,XT!AC105,XT!AG105))=8)*(CHOOSE({1,2,3,4},XT!X105,XT!AB105,XT!AF105,XT!AJ105)))</f>
        <v>0</v>
      </c>
      <c r="AD105" t="str">
        <f>IFERROR(INDEX(CHOOSE({1,2,3,4}, DAY(XT!U105), DAY(XT!Y105), DAY(XT!AC105), DAY(XT!AG105)), MATCH(1, INDEX(--(MONTH(CHOOSE({1,2,3,4}, XT!U105,XT!Y105,XT!AC105,XT!AG105))=8), 0), 0)), "")</f>
        <v/>
      </c>
      <c r="AE105" s="51" t="str">
        <f>IF(XT!$P105&gt;0,AD105,"")</f>
        <v/>
      </c>
      <c r="AF105" s="51" t="str">
        <f>IF(XT!$P105=0,AD105,"")</f>
        <v/>
      </c>
      <c r="AG105">
        <f>SUMPRODUCT((MONTH(CHOOSE({1,2,3,4},XT!U105,XT!Y105,XT!AC105,XT!AG105))=9)*(CHOOSE({1,2,3,4},XT!X105,XT!AB105,XT!AF105,XT!AJ105)))</f>
        <v>0</v>
      </c>
      <c r="AH105" t="str">
        <f>IFERROR(INDEX(CHOOSE({1,2,3,4}, DAY(XT!U105), DAY(XT!Y105), DAY(XT!AC105), DAY(XT!AG105)), MATCH(1, INDEX(--(MONTH(CHOOSE({1,2,3,4}, XT!U105,XT!Y105,XT!AC105,XT!AG105))=9), 0), 0)), "")</f>
        <v/>
      </c>
      <c r="AI105" s="51" t="str">
        <f>IF(XT!$P105&gt;0,AH105,"")</f>
        <v/>
      </c>
      <c r="AJ105" s="51" t="str">
        <f>IF(XT!$P105=0,AH105,"")</f>
        <v/>
      </c>
      <c r="AK105">
        <f>SUMPRODUCT((MONTH(CHOOSE({1,2,3,4},XT!U105,XT!Y105,XT!AC105,XT!AG105))=10)*(CHOOSE({1,2,3,4},XT!X105,XT!AB105,XT!AF105,XT!AJ105)))</f>
        <v>0</v>
      </c>
      <c r="AL105" t="str">
        <f>IFERROR(INDEX(CHOOSE({1,2,3,4}, DAY(XT!U105), DAY(XT!Y105), DAY(XT!AC105), DAY(XT!AG105)), MATCH(1, INDEX(--(MONTH(CHOOSE({1,2,3,4}, XT!U105,XT!Y105,XT!AC105,XT!AG105))=10), 0), 0)), "")</f>
        <v/>
      </c>
      <c r="AM105" s="51" t="str">
        <f>IF(XT!$P105&gt;0,AL105,"")</f>
        <v/>
      </c>
      <c r="AN105" s="51" t="str">
        <f>IF(XT!$P105=0,AL105,"")</f>
        <v/>
      </c>
      <c r="AO105">
        <f>SUMPRODUCT((MONTH(CHOOSE({1,2,3,4},XT!U105,XT!Y105,XT!AC105,XT!AG105))=11)*(CHOOSE({1,2,3,4},XT!X105,XT!AB105,XT!AF105,XT!AJ105)))</f>
        <v>0</v>
      </c>
      <c r="AP105" t="str">
        <f>IFERROR(INDEX(CHOOSE({1,2,3,4}, DAY(XT!U105), DAY(XT!Y105), DAY(XT!AC105), DAY(XT!AG105)), MATCH(1, INDEX(--(MONTH(CHOOSE({1,2,3,4}, XT!U105,XT!Y105,XT!AC105,XT!AG105))=11), 0), 0)), "")</f>
        <v/>
      </c>
      <c r="AQ105" s="51" t="str">
        <f>IF(XT!$P105&gt;0,AP105,"")</f>
        <v/>
      </c>
      <c r="AR105" s="51" t="str">
        <f>IF(XT!$P105=0,AP105,"")</f>
        <v/>
      </c>
      <c r="AS105">
        <f>SUMPRODUCT((MONTH(CHOOSE({1,2,3,4},XT!U105,XT!Y105,XT!AC105,XT!AG105))=12)*(CHOOSE({1,2,3,4},XT!X105,XT!AB105,XT!AF105,XT!AJ105)))</f>
        <v>0</v>
      </c>
      <c r="AT105" t="str">
        <f>IFERROR(INDEX(CHOOSE({1,2,3,4}, DAY(XT!U105), DAY(XT!Y105), DAY(XT!AC105), DAY(XT!AG105)), MATCH(1, INDEX(--(MONTH(CHOOSE({1,2,3,4}, XT!U105,XT!Y105,XT!AC105,XT!AG105))=12), 0), 0)), "")</f>
        <v/>
      </c>
      <c r="AU105" s="51" t="str">
        <f>IF(XT!$P105&gt;0,AT105,"")</f>
        <v/>
      </c>
      <c r="AV105" s="51" t="str">
        <f>IF(XT!$P105=0,AT105,"")</f>
        <v/>
      </c>
    </row>
    <row r="106" spans="1:48">
      <c r="A106">
        <f>SUMPRODUCT((MONTH(CHOOSE({1,2,3,4},XT!U106,XT!Y106,XT!AC106,XT!AG106))=1)*(CHOOSE({1,2,3,4},XT!X106,XT!AB106,XT!AF106,XT!AJ106)))</f>
        <v>0</v>
      </c>
      <c r="B106">
        <f>IFERROR(INDEX(CHOOSE({1,2,3,4}, DAY(XT!U106), DAY(XT!Y106), DAY(XT!AC106), DAY(XT!AG106)), MATCH(1, INDEX(--(MONTH(CHOOSE({1,2,3,4}, XT!U106,XT!Y106,XT!AC106,XT!AG106))=1), 0), 0)), "")</f>
        <v>0</v>
      </c>
      <c r="C106" s="51" t="str">
        <f>IF(XT!$P106&gt;0,B106,"")</f>
        <v/>
      </c>
      <c r="D106" s="51">
        <f>IF(XT!$P106=0,B106,"")</f>
        <v>0</v>
      </c>
      <c r="E106">
        <f>SUMPRODUCT((MONTH(CHOOSE({1,2,3,4},XT!U106,XT!Y106,XT!AC106,XT!AG106))=2)*(CHOOSE({1,2,3,4},XT!X106,XT!AB106,XT!AF106,XT!AJ106)))</f>
        <v>0</v>
      </c>
      <c r="F106" t="str">
        <f>IFERROR(INDEX(CHOOSE({1,2,3,4}, DAY(XT!U106), DAY(XT!Y106), DAY(XT!AC106), DAY(XT!AG106)), MATCH(1, INDEX(--(MONTH(CHOOSE({1,2,3,4}, XT!U106,XT!Y106,XT!AC106,XT!AG106))=2), 0), 0)), "")</f>
        <v/>
      </c>
      <c r="G106" s="51" t="str">
        <f>IF(XT!$P106&gt;0,F106,"")</f>
        <v/>
      </c>
      <c r="H106" s="51" t="str">
        <f>IF(XT!$P106=0,F106,"")</f>
        <v/>
      </c>
      <c r="I106">
        <f>SUMPRODUCT((MONTH(CHOOSE({1,2,3,4},XT!U106,XT!Y106,XT!AC106,XT!AG106))=3)*(CHOOSE({1,2,3,4},XT!X106,XT!AB106,XT!AF106,XT!AJ106)))</f>
        <v>0</v>
      </c>
      <c r="J106" t="str">
        <f>IFERROR(INDEX(CHOOSE({1,2,3,4}, DAY(XT!U106), DAY(XT!Y106), DAY(XT!AC106), DAY(XT!AG106)), MATCH(1, INDEX(--(MONTH(CHOOSE({1,2,3,4}, XT!U106,XT!Y106,XT!AC106,XT!AG106))=3), 0), 0)), "")</f>
        <v/>
      </c>
      <c r="K106" s="51" t="str">
        <f>IF(XT!$P106&gt;0,J106,"")</f>
        <v/>
      </c>
      <c r="L106" s="51" t="str">
        <f>IF(XT!$P106=0,J106,"")</f>
        <v/>
      </c>
      <c r="M106">
        <f>SUMPRODUCT((MONTH(CHOOSE({1,2,3,4},XT!U106,XT!Y106,XT!AC106,XT!AG106))=4)*(CHOOSE({1,2,3,4},XT!X106,XT!AB106,XT!AF106,XT!AJ106)))</f>
        <v>0</v>
      </c>
      <c r="N106" t="str">
        <f>IFERROR(INDEX(CHOOSE({1,2,3,4}, DAY(XT!U106), DAY(XT!Y106), DAY(XT!AC106), DAY(XT!AG106)), MATCH(1, INDEX(--(MONTH(CHOOSE({1,2,3,4}, XT!U106,XT!Y106,XT!AC106,XT!AG106))=4), 0), 0)), "")</f>
        <v/>
      </c>
      <c r="O106" s="51" t="str">
        <f>IF(XT!$P106&gt;0,N106,"")</f>
        <v/>
      </c>
      <c r="P106" s="51" t="str">
        <f>IF(XT!$P106=0,N106,"")</f>
        <v/>
      </c>
      <c r="Q106">
        <f>SUMPRODUCT((MONTH(CHOOSE({1,2,3,4},XT!U106,XT!Y106,XT!AC106,XT!AG106))=5)*(CHOOSE({1,2,3,4},XT!X106,XT!AB106,XT!AF106,XT!AJ106)))</f>
        <v>0</v>
      </c>
      <c r="R106" t="str">
        <f>IFERROR(INDEX(CHOOSE({1,2,3,4}, DAY(XT!U106), DAY(XT!Y106), DAY(XT!AC106), DAY(XT!AG106)), MATCH(1, INDEX(--(MONTH(CHOOSE({1,2,3,4}, XT!U106,XT!Y106,XT!AC106,XT!AG106))=5), 0), 0)), "")</f>
        <v/>
      </c>
      <c r="S106" s="51" t="str">
        <f>IF(XT!$P106&gt;0,R106,"")</f>
        <v/>
      </c>
      <c r="T106" s="51" t="str">
        <f>IF(XT!$P106=0,R106,"")</f>
        <v/>
      </c>
      <c r="U106">
        <f>SUMPRODUCT((MONTH(CHOOSE({1,2,3,4},XT!U106,XT!Y106,XT!AC106,XT!AG106))=6)*(CHOOSE({1,2,3,4},XT!X106,XT!AB106,XT!AF106,XT!AJ106)))</f>
        <v>0</v>
      </c>
      <c r="V106" t="str">
        <f>IFERROR(INDEX(CHOOSE({1,2,3,4}, DAY(XT!U106), DAY(XT!Y106), DAY(XT!AC106), DAY(XT!AG106)), MATCH(1, INDEX(--(MONTH(CHOOSE({1,2,3,4}, XT!U106,XT!Y106,XT!AC106,XT!AG106))=6), 0), 0)), "")</f>
        <v/>
      </c>
      <c r="W106" s="51" t="str">
        <f>IF(XT!$P106&gt;0,V106,"")</f>
        <v/>
      </c>
      <c r="X106" s="51" t="str">
        <f>IF(XT!$P106=0,V106,"")</f>
        <v/>
      </c>
      <c r="Y106">
        <f>SUMPRODUCT((MONTH(CHOOSE({1,2,3,4},XT!U106,XT!Y106,XT!AC106,XT!AG106))=7)*(CHOOSE({1,2,3,4},XT!X106,XT!AB106,XT!AF106,XT!AJ106)))</f>
        <v>0</v>
      </c>
      <c r="Z106" t="str">
        <f>IFERROR(INDEX(CHOOSE({1,2,3,4}, DAY(XT!U106), DAY(XT!Y106), DAY(XT!AC106), DAY(XT!AG106)), MATCH(1, INDEX(--(MONTH(CHOOSE({1,2,3,4}, XT!U106,XT!Y106,XT!AC106,XT!AG106))=7), 0), 0)), "")</f>
        <v/>
      </c>
      <c r="AA106" s="51" t="str">
        <f>IF(XT!$P106&gt;0,Z106,"")</f>
        <v/>
      </c>
      <c r="AB106" s="51" t="str">
        <f>IF(XT!$P106=0,Z106,"")</f>
        <v/>
      </c>
      <c r="AC106">
        <f>SUMPRODUCT((MONTH(CHOOSE({1,2,3,4},XT!U106,XT!Y106,XT!AC106,XT!AG106))=8)*(CHOOSE({1,2,3,4},XT!X106,XT!AB106,XT!AF106,XT!AJ106)))</f>
        <v>0</v>
      </c>
      <c r="AD106" t="str">
        <f>IFERROR(INDEX(CHOOSE({1,2,3,4}, DAY(XT!U106), DAY(XT!Y106), DAY(XT!AC106), DAY(XT!AG106)), MATCH(1, INDEX(--(MONTH(CHOOSE({1,2,3,4}, XT!U106,XT!Y106,XT!AC106,XT!AG106))=8), 0), 0)), "")</f>
        <v/>
      </c>
      <c r="AE106" s="51" t="str">
        <f>IF(XT!$P106&gt;0,AD106,"")</f>
        <v/>
      </c>
      <c r="AF106" s="51" t="str">
        <f>IF(XT!$P106=0,AD106,"")</f>
        <v/>
      </c>
      <c r="AG106">
        <f>SUMPRODUCT((MONTH(CHOOSE({1,2,3,4},XT!U106,XT!Y106,XT!AC106,XT!AG106))=9)*(CHOOSE({1,2,3,4},XT!X106,XT!AB106,XT!AF106,XT!AJ106)))</f>
        <v>0</v>
      </c>
      <c r="AH106" t="str">
        <f>IFERROR(INDEX(CHOOSE({1,2,3,4}, DAY(XT!U106), DAY(XT!Y106), DAY(XT!AC106), DAY(XT!AG106)), MATCH(1, INDEX(--(MONTH(CHOOSE({1,2,3,4}, XT!U106,XT!Y106,XT!AC106,XT!AG106))=9), 0), 0)), "")</f>
        <v/>
      </c>
      <c r="AI106" s="51" t="str">
        <f>IF(XT!$P106&gt;0,AH106,"")</f>
        <v/>
      </c>
      <c r="AJ106" s="51" t="str">
        <f>IF(XT!$P106=0,AH106,"")</f>
        <v/>
      </c>
      <c r="AK106">
        <f>SUMPRODUCT((MONTH(CHOOSE({1,2,3,4},XT!U106,XT!Y106,XT!AC106,XT!AG106))=10)*(CHOOSE({1,2,3,4},XT!X106,XT!AB106,XT!AF106,XT!AJ106)))</f>
        <v>0</v>
      </c>
      <c r="AL106" t="str">
        <f>IFERROR(INDEX(CHOOSE({1,2,3,4}, DAY(XT!U106), DAY(XT!Y106), DAY(XT!AC106), DAY(XT!AG106)), MATCH(1, INDEX(--(MONTH(CHOOSE({1,2,3,4}, XT!U106,XT!Y106,XT!AC106,XT!AG106))=10), 0), 0)), "")</f>
        <v/>
      </c>
      <c r="AM106" s="51" t="str">
        <f>IF(XT!$P106&gt;0,AL106,"")</f>
        <v/>
      </c>
      <c r="AN106" s="51" t="str">
        <f>IF(XT!$P106=0,AL106,"")</f>
        <v/>
      </c>
      <c r="AO106">
        <f>SUMPRODUCT((MONTH(CHOOSE({1,2,3,4},XT!U106,XT!Y106,XT!AC106,XT!AG106))=11)*(CHOOSE({1,2,3,4},XT!X106,XT!AB106,XT!AF106,XT!AJ106)))</f>
        <v>0</v>
      </c>
      <c r="AP106" t="str">
        <f>IFERROR(INDEX(CHOOSE({1,2,3,4}, DAY(XT!U106), DAY(XT!Y106), DAY(XT!AC106), DAY(XT!AG106)), MATCH(1, INDEX(--(MONTH(CHOOSE({1,2,3,4}, XT!U106,XT!Y106,XT!AC106,XT!AG106))=11), 0), 0)), "")</f>
        <v/>
      </c>
      <c r="AQ106" s="51" t="str">
        <f>IF(XT!$P106&gt;0,AP106,"")</f>
        <v/>
      </c>
      <c r="AR106" s="51" t="str">
        <f>IF(XT!$P106=0,AP106,"")</f>
        <v/>
      </c>
      <c r="AS106">
        <f>SUMPRODUCT((MONTH(CHOOSE({1,2,3,4},XT!U106,XT!Y106,XT!AC106,XT!AG106))=12)*(CHOOSE({1,2,3,4},XT!X106,XT!AB106,XT!AF106,XT!AJ106)))</f>
        <v>0</v>
      </c>
      <c r="AT106" t="str">
        <f>IFERROR(INDEX(CHOOSE({1,2,3,4}, DAY(XT!U106), DAY(XT!Y106), DAY(XT!AC106), DAY(XT!AG106)), MATCH(1, INDEX(--(MONTH(CHOOSE({1,2,3,4}, XT!U106,XT!Y106,XT!AC106,XT!AG106))=12), 0), 0)), "")</f>
        <v/>
      </c>
      <c r="AU106" s="51" t="str">
        <f>IF(XT!$P106&gt;0,AT106,"")</f>
        <v/>
      </c>
      <c r="AV106" s="51" t="str">
        <f>IF(XT!$P106=0,AT106,"")</f>
        <v/>
      </c>
    </row>
    <row r="107" spans="1:48">
      <c r="A107">
        <f>SUMPRODUCT((MONTH(CHOOSE({1,2,3,4},XT!U107,XT!Y107,XT!AC107,XT!AG107))=1)*(CHOOSE({1,2,3,4},XT!X107,XT!AB107,XT!AF107,XT!AJ107)))</f>
        <v>0</v>
      </c>
      <c r="B107">
        <f>IFERROR(INDEX(CHOOSE({1,2,3,4}, DAY(XT!U107), DAY(XT!Y107), DAY(XT!AC107), DAY(XT!AG107)), MATCH(1, INDEX(--(MONTH(CHOOSE({1,2,3,4}, XT!U107,XT!Y107,XT!AC107,XT!AG107))=1), 0), 0)), "")</f>
        <v>0</v>
      </c>
      <c r="C107" s="51" t="str">
        <f>IF(XT!$P107&gt;0,B107,"")</f>
        <v/>
      </c>
      <c r="D107" s="51">
        <f>IF(XT!$P107=0,B107,"")</f>
        <v>0</v>
      </c>
      <c r="E107">
        <f>SUMPRODUCT((MONTH(CHOOSE({1,2,3,4},XT!U107,XT!Y107,XT!AC107,XT!AG107))=2)*(CHOOSE({1,2,3,4},XT!X107,XT!AB107,XT!AF107,XT!AJ107)))</f>
        <v>0</v>
      </c>
      <c r="F107" t="str">
        <f>IFERROR(INDEX(CHOOSE({1,2,3,4}, DAY(XT!U107), DAY(XT!Y107), DAY(XT!AC107), DAY(XT!AG107)), MATCH(1, INDEX(--(MONTH(CHOOSE({1,2,3,4}, XT!U107,XT!Y107,XT!AC107,XT!AG107))=2), 0), 0)), "")</f>
        <v/>
      </c>
      <c r="G107" s="51" t="str">
        <f>IF(XT!$P107&gt;0,F107,"")</f>
        <v/>
      </c>
      <c r="H107" s="51" t="str">
        <f>IF(XT!$P107=0,F107,"")</f>
        <v/>
      </c>
      <c r="I107">
        <f>SUMPRODUCT((MONTH(CHOOSE({1,2,3,4},XT!U107,XT!Y107,XT!AC107,XT!AG107))=3)*(CHOOSE({1,2,3,4},XT!X107,XT!AB107,XT!AF107,XT!AJ107)))</f>
        <v>0</v>
      </c>
      <c r="J107" t="str">
        <f>IFERROR(INDEX(CHOOSE({1,2,3,4}, DAY(XT!U107), DAY(XT!Y107), DAY(XT!AC107), DAY(XT!AG107)), MATCH(1, INDEX(--(MONTH(CHOOSE({1,2,3,4}, XT!U107,XT!Y107,XT!AC107,XT!AG107))=3), 0), 0)), "")</f>
        <v/>
      </c>
      <c r="K107" s="51" t="str">
        <f>IF(XT!$P107&gt;0,J107,"")</f>
        <v/>
      </c>
      <c r="L107" s="51" t="str">
        <f>IF(XT!$P107=0,J107,"")</f>
        <v/>
      </c>
      <c r="M107">
        <f>SUMPRODUCT((MONTH(CHOOSE({1,2,3,4},XT!U107,XT!Y107,XT!AC107,XT!AG107))=4)*(CHOOSE({1,2,3,4},XT!X107,XT!AB107,XT!AF107,XT!AJ107)))</f>
        <v>0</v>
      </c>
      <c r="N107" t="str">
        <f>IFERROR(INDEX(CHOOSE({1,2,3,4}, DAY(XT!U107), DAY(XT!Y107), DAY(XT!AC107), DAY(XT!AG107)), MATCH(1, INDEX(--(MONTH(CHOOSE({1,2,3,4}, XT!U107,XT!Y107,XT!AC107,XT!AG107))=4), 0), 0)), "")</f>
        <v/>
      </c>
      <c r="O107" s="51" t="str">
        <f>IF(XT!$P107&gt;0,N107,"")</f>
        <v/>
      </c>
      <c r="P107" s="51" t="str">
        <f>IF(XT!$P107=0,N107,"")</f>
        <v/>
      </c>
      <c r="Q107">
        <f>SUMPRODUCT((MONTH(CHOOSE({1,2,3,4},XT!U107,XT!Y107,XT!AC107,XT!AG107))=5)*(CHOOSE({1,2,3,4},XT!X107,XT!AB107,XT!AF107,XT!AJ107)))</f>
        <v>0</v>
      </c>
      <c r="R107" t="str">
        <f>IFERROR(INDEX(CHOOSE({1,2,3,4}, DAY(XT!U107), DAY(XT!Y107), DAY(XT!AC107), DAY(XT!AG107)), MATCH(1, INDEX(--(MONTH(CHOOSE({1,2,3,4}, XT!U107,XT!Y107,XT!AC107,XT!AG107))=5), 0), 0)), "")</f>
        <v/>
      </c>
      <c r="S107" s="51" t="str">
        <f>IF(XT!$P107&gt;0,R107,"")</f>
        <v/>
      </c>
      <c r="T107" s="51" t="str">
        <f>IF(XT!$P107=0,R107,"")</f>
        <v/>
      </c>
      <c r="U107">
        <f>SUMPRODUCT((MONTH(CHOOSE({1,2,3,4},XT!U107,XT!Y107,XT!AC107,XT!AG107))=6)*(CHOOSE({1,2,3,4},XT!X107,XT!AB107,XT!AF107,XT!AJ107)))</f>
        <v>0</v>
      </c>
      <c r="V107" t="str">
        <f>IFERROR(INDEX(CHOOSE({1,2,3,4}, DAY(XT!U107), DAY(XT!Y107), DAY(XT!AC107), DAY(XT!AG107)), MATCH(1, INDEX(--(MONTH(CHOOSE({1,2,3,4}, XT!U107,XT!Y107,XT!AC107,XT!AG107))=6), 0), 0)), "")</f>
        <v/>
      </c>
      <c r="W107" s="51" t="str">
        <f>IF(XT!$P107&gt;0,V107,"")</f>
        <v/>
      </c>
      <c r="X107" s="51" t="str">
        <f>IF(XT!$P107=0,V107,"")</f>
        <v/>
      </c>
      <c r="Y107">
        <f>SUMPRODUCT((MONTH(CHOOSE({1,2,3,4},XT!U107,XT!Y107,XT!AC107,XT!AG107))=7)*(CHOOSE({1,2,3,4},XT!X107,XT!AB107,XT!AF107,XT!AJ107)))</f>
        <v>0</v>
      </c>
      <c r="Z107" t="str">
        <f>IFERROR(INDEX(CHOOSE({1,2,3,4}, DAY(XT!U107), DAY(XT!Y107), DAY(XT!AC107), DAY(XT!AG107)), MATCH(1, INDEX(--(MONTH(CHOOSE({1,2,3,4}, XT!U107,XT!Y107,XT!AC107,XT!AG107))=7), 0), 0)), "")</f>
        <v/>
      </c>
      <c r="AA107" s="51" t="str">
        <f>IF(XT!$P107&gt;0,Z107,"")</f>
        <v/>
      </c>
      <c r="AB107" s="51" t="str">
        <f>IF(XT!$P107=0,Z107,"")</f>
        <v/>
      </c>
      <c r="AC107">
        <f>SUMPRODUCT((MONTH(CHOOSE({1,2,3,4},XT!U107,XT!Y107,XT!AC107,XT!AG107))=8)*(CHOOSE({1,2,3,4},XT!X107,XT!AB107,XT!AF107,XT!AJ107)))</f>
        <v>0</v>
      </c>
      <c r="AD107" t="str">
        <f>IFERROR(INDEX(CHOOSE({1,2,3,4}, DAY(XT!U107), DAY(XT!Y107), DAY(XT!AC107), DAY(XT!AG107)), MATCH(1, INDEX(--(MONTH(CHOOSE({1,2,3,4}, XT!U107,XT!Y107,XT!AC107,XT!AG107))=8), 0), 0)), "")</f>
        <v/>
      </c>
      <c r="AE107" s="51" t="str">
        <f>IF(XT!$P107&gt;0,AD107,"")</f>
        <v/>
      </c>
      <c r="AF107" s="51" t="str">
        <f>IF(XT!$P107=0,AD107,"")</f>
        <v/>
      </c>
      <c r="AG107">
        <f>SUMPRODUCT((MONTH(CHOOSE({1,2,3,4},XT!U107,XT!Y107,XT!AC107,XT!AG107))=9)*(CHOOSE({1,2,3,4},XT!X107,XT!AB107,XT!AF107,XT!AJ107)))</f>
        <v>0</v>
      </c>
      <c r="AH107" t="str">
        <f>IFERROR(INDEX(CHOOSE({1,2,3,4}, DAY(XT!U107), DAY(XT!Y107), DAY(XT!AC107), DAY(XT!AG107)), MATCH(1, INDEX(--(MONTH(CHOOSE({1,2,3,4}, XT!U107,XT!Y107,XT!AC107,XT!AG107))=9), 0), 0)), "")</f>
        <v/>
      </c>
      <c r="AI107" s="51" t="str">
        <f>IF(XT!$P107&gt;0,AH107,"")</f>
        <v/>
      </c>
      <c r="AJ107" s="51" t="str">
        <f>IF(XT!$P107=0,AH107,"")</f>
        <v/>
      </c>
      <c r="AK107">
        <f>SUMPRODUCT((MONTH(CHOOSE({1,2,3,4},XT!U107,XT!Y107,XT!AC107,XT!AG107))=10)*(CHOOSE({1,2,3,4},XT!X107,XT!AB107,XT!AF107,XT!AJ107)))</f>
        <v>0</v>
      </c>
      <c r="AL107" t="str">
        <f>IFERROR(INDEX(CHOOSE({1,2,3,4}, DAY(XT!U107), DAY(XT!Y107), DAY(XT!AC107), DAY(XT!AG107)), MATCH(1, INDEX(--(MONTH(CHOOSE({1,2,3,4}, XT!U107,XT!Y107,XT!AC107,XT!AG107))=10), 0), 0)), "")</f>
        <v/>
      </c>
      <c r="AM107" s="51" t="str">
        <f>IF(XT!$P107&gt;0,AL107,"")</f>
        <v/>
      </c>
      <c r="AN107" s="51" t="str">
        <f>IF(XT!$P107=0,AL107,"")</f>
        <v/>
      </c>
      <c r="AO107">
        <f>SUMPRODUCT((MONTH(CHOOSE({1,2,3,4},XT!U107,XT!Y107,XT!AC107,XT!AG107))=11)*(CHOOSE({1,2,3,4},XT!X107,XT!AB107,XT!AF107,XT!AJ107)))</f>
        <v>0</v>
      </c>
      <c r="AP107" t="str">
        <f>IFERROR(INDEX(CHOOSE({1,2,3,4}, DAY(XT!U107), DAY(XT!Y107), DAY(XT!AC107), DAY(XT!AG107)), MATCH(1, INDEX(--(MONTH(CHOOSE({1,2,3,4}, XT!U107,XT!Y107,XT!AC107,XT!AG107))=11), 0), 0)), "")</f>
        <v/>
      </c>
      <c r="AQ107" s="51" t="str">
        <f>IF(XT!$P107&gt;0,AP107,"")</f>
        <v/>
      </c>
      <c r="AR107" s="51" t="str">
        <f>IF(XT!$P107=0,AP107,"")</f>
        <v/>
      </c>
      <c r="AS107">
        <f>SUMPRODUCT((MONTH(CHOOSE({1,2,3,4},XT!U107,XT!Y107,XT!AC107,XT!AG107))=12)*(CHOOSE({1,2,3,4},XT!X107,XT!AB107,XT!AF107,XT!AJ107)))</f>
        <v>0</v>
      </c>
      <c r="AT107" t="str">
        <f>IFERROR(INDEX(CHOOSE({1,2,3,4}, DAY(XT!U107), DAY(XT!Y107), DAY(XT!AC107), DAY(XT!AG107)), MATCH(1, INDEX(--(MONTH(CHOOSE({1,2,3,4}, XT!U107,XT!Y107,XT!AC107,XT!AG107))=12), 0), 0)), "")</f>
        <v/>
      </c>
      <c r="AU107" s="51" t="str">
        <f>IF(XT!$P107&gt;0,AT107,"")</f>
        <v/>
      </c>
      <c r="AV107" s="51" t="str">
        <f>IF(XT!$P107=0,AT107,"")</f>
        <v/>
      </c>
    </row>
    <row r="108" spans="1:48">
      <c r="A108">
        <f>SUMPRODUCT((MONTH(CHOOSE({1,2,3,4},XT!U108,XT!Y108,XT!AC108,XT!AG108))=1)*(CHOOSE({1,2,3,4},XT!X108,XT!AB108,XT!AF108,XT!AJ108)))</f>
        <v>0</v>
      </c>
      <c r="B108">
        <f>IFERROR(INDEX(CHOOSE({1,2,3,4}, DAY(XT!U108), DAY(XT!Y108), DAY(XT!AC108), DAY(XT!AG108)), MATCH(1, INDEX(--(MONTH(CHOOSE({1,2,3,4}, XT!U108,XT!Y108,XT!AC108,XT!AG108))=1), 0), 0)), "")</f>
        <v>0</v>
      </c>
      <c r="C108" s="51" t="str">
        <f>IF(XT!$P108&gt;0,B108,"")</f>
        <v/>
      </c>
      <c r="D108" s="51">
        <f>IF(XT!$P108=0,B108,"")</f>
        <v>0</v>
      </c>
      <c r="E108">
        <f>SUMPRODUCT((MONTH(CHOOSE({1,2,3,4},XT!U108,XT!Y108,XT!AC108,XT!AG108))=2)*(CHOOSE({1,2,3,4},XT!X108,XT!AB108,XT!AF108,XT!AJ108)))</f>
        <v>0</v>
      </c>
      <c r="F108" t="str">
        <f>IFERROR(INDEX(CHOOSE({1,2,3,4}, DAY(XT!U108), DAY(XT!Y108), DAY(XT!AC108), DAY(XT!AG108)), MATCH(1, INDEX(--(MONTH(CHOOSE({1,2,3,4}, XT!U108,XT!Y108,XT!AC108,XT!AG108))=2), 0), 0)), "")</f>
        <v/>
      </c>
      <c r="G108" s="51" t="str">
        <f>IF(XT!$P108&gt;0,F108,"")</f>
        <v/>
      </c>
      <c r="H108" s="51" t="str">
        <f>IF(XT!$P108=0,F108,"")</f>
        <v/>
      </c>
      <c r="I108">
        <f>SUMPRODUCT((MONTH(CHOOSE({1,2,3,4},XT!U108,XT!Y108,XT!AC108,XT!AG108))=3)*(CHOOSE({1,2,3,4},XT!X108,XT!AB108,XT!AF108,XT!AJ108)))</f>
        <v>0</v>
      </c>
      <c r="J108" t="str">
        <f>IFERROR(INDEX(CHOOSE({1,2,3,4}, DAY(XT!U108), DAY(XT!Y108), DAY(XT!AC108), DAY(XT!AG108)), MATCH(1, INDEX(--(MONTH(CHOOSE({1,2,3,4}, XT!U108,XT!Y108,XT!AC108,XT!AG108))=3), 0), 0)), "")</f>
        <v/>
      </c>
      <c r="K108" s="51" t="str">
        <f>IF(XT!$P108&gt;0,J108,"")</f>
        <v/>
      </c>
      <c r="L108" s="51" t="str">
        <f>IF(XT!$P108=0,J108,"")</f>
        <v/>
      </c>
      <c r="M108">
        <f>SUMPRODUCT((MONTH(CHOOSE({1,2,3,4},XT!U108,XT!Y108,XT!AC108,XT!AG108))=4)*(CHOOSE({1,2,3,4},XT!X108,XT!AB108,XT!AF108,XT!AJ108)))</f>
        <v>0</v>
      </c>
      <c r="N108" t="str">
        <f>IFERROR(INDEX(CHOOSE({1,2,3,4}, DAY(XT!U108), DAY(XT!Y108), DAY(XT!AC108), DAY(XT!AG108)), MATCH(1, INDEX(--(MONTH(CHOOSE({1,2,3,4}, XT!U108,XT!Y108,XT!AC108,XT!AG108))=4), 0), 0)), "")</f>
        <v/>
      </c>
      <c r="O108" s="51" t="str">
        <f>IF(XT!$P108&gt;0,N108,"")</f>
        <v/>
      </c>
      <c r="P108" s="51" t="str">
        <f>IF(XT!$P108=0,N108,"")</f>
        <v/>
      </c>
      <c r="Q108">
        <f>SUMPRODUCT((MONTH(CHOOSE({1,2,3,4},XT!U108,XT!Y108,XT!AC108,XT!AG108))=5)*(CHOOSE({1,2,3,4},XT!X108,XT!AB108,XT!AF108,XT!AJ108)))</f>
        <v>0</v>
      </c>
      <c r="R108" t="str">
        <f>IFERROR(INDEX(CHOOSE({1,2,3,4}, DAY(XT!U108), DAY(XT!Y108), DAY(XT!AC108), DAY(XT!AG108)), MATCH(1, INDEX(--(MONTH(CHOOSE({1,2,3,4}, XT!U108,XT!Y108,XT!AC108,XT!AG108))=5), 0), 0)), "")</f>
        <v/>
      </c>
      <c r="S108" s="51" t="str">
        <f>IF(XT!$P108&gt;0,R108,"")</f>
        <v/>
      </c>
      <c r="T108" s="51" t="str">
        <f>IF(XT!$P108=0,R108,"")</f>
        <v/>
      </c>
      <c r="U108">
        <f>SUMPRODUCT((MONTH(CHOOSE({1,2,3,4},XT!U108,XT!Y108,XT!AC108,XT!AG108))=6)*(CHOOSE({1,2,3,4},XT!X108,XT!AB108,XT!AF108,XT!AJ108)))</f>
        <v>0</v>
      </c>
      <c r="V108" t="str">
        <f>IFERROR(INDEX(CHOOSE({1,2,3,4}, DAY(XT!U108), DAY(XT!Y108), DAY(XT!AC108), DAY(XT!AG108)), MATCH(1, INDEX(--(MONTH(CHOOSE({1,2,3,4}, XT!U108,XT!Y108,XT!AC108,XT!AG108))=6), 0), 0)), "")</f>
        <v/>
      </c>
      <c r="W108" s="51" t="str">
        <f>IF(XT!$P108&gt;0,V108,"")</f>
        <v/>
      </c>
      <c r="X108" s="51" t="str">
        <f>IF(XT!$P108=0,V108,"")</f>
        <v/>
      </c>
      <c r="Y108">
        <f>SUMPRODUCT((MONTH(CHOOSE({1,2,3,4},XT!U108,XT!Y108,XT!AC108,XT!AG108))=7)*(CHOOSE({1,2,3,4},XT!X108,XT!AB108,XT!AF108,XT!AJ108)))</f>
        <v>0</v>
      </c>
      <c r="Z108" t="str">
        <f>IFERROR(INDEX(CHOOSE({1,2,3,4}, DAY(XT!U108), DAY(XT!Y108), DAY(XT!AC108), DAY(XT!AG108)), MATCH(1, INDEX(--(MONTH(CHOOSE({1,2,3,4}, XT!U108,XT!Y108,XT!AC108,XT!AG108))=7), 0), 0)), "")</f>
        <v/>
      </c>
      <c r="AA108" s="51" t="str">
        <f>IF(XT!$P108&gt;0,Z108,"")</f>
        <v/>
      </c>
      <c r="AB108" s="51" t="str">
        <f>IF(XT!$P108=0,Z108,"")</f>
        <v/>
      </c>
      <c r="AC108">
        <f>SUMPRODUCT((MONTH(CHOOSE({1,2,3,4},XT!U108,XT!Y108,XT!AC108,XT!AG108))=8)*(CHOOSE({1,2,3,4},XT!X108,XT!AB108,XT!AF108,XT!AJ108)))</f>
        <v>0</v>
      </c>
      <c r="AD108" t="str">
        <f>IFERROR(INDEX(CHOOSE({1,2,3,4}, DAY(XT!U108), DAY(XT!Y108), DAY(XT!AC108), DAY(XT!AG108)), MATCH(1, INDEX(--(MONTH(CHOOSE({1,2,3,4}, XT!U108,XT!Y108,XT!AC108,XT!AG108))=8), 0), 0)), "")</f>
        <v/>
      </c>
      <c r="AE108" s="51" t="str">
        <f>IF(XT!$P108&gt;0,AD108,"")</f>
        <v/>
      </c>
      <c r="AF108" s="51" t="str">
        <f>IF(XT!$P108=0,AD108,"")</f>
        <v/>
      </c>
      <c r="AG108">
        <f>SUMPRODUCT((MONTH(CHOOSE({1,2,3,4},XT!U108,XT!Y108,XT!AC108,XT!AG108))=9)*(CHOOSE({1,2,3,4},XT!X108,XT!AB108,XT!AF108,XT!AJ108)))</f>
        <v>0</v>
      </c>
      <c r="AH108" t="str">
        <f>IFERROR(INDEX(CHOOSE({1,2,3,4}, DAY(XT!U108), DAY(XT!Y108), DAY(XT!AC108), DAY(XT!AG108)), MATCH(1, INDEX(--(MONTH(CHOOSE({1,2,3,4}, XT!U108,XT!Y108,XT!AC108,XT!AG108))=9), 0), 0)), "")</f>
        <v/>
      </c>
      <c r="AI108" s="51" t="str">
        <f>IF(XT!$P108&gt;0,AH108,"")</f>
        <v/>
      </c>
      <c r="AJ108" s="51" t="str">
        <f>IF(XT!$P108=0,AH108,"")</f>
        <v/>
      </c>
      <c r="AK108">
        <f>SUMPRODUCT((MONTH(CHOOSE({1,2,3,4},XT!U108,XT!Y108,XT!AC108,XT!AG108))=10)*(CHOOSE({1,2,3,4},XT!X108,XT!AB108,XT!AF108,XT!AJ108)))</f>
        <v>0</v>
      </c>
      <c r="AL108" t="str">
        <f>IFERROR(INDEX(CHOOSE({1,2,3,4}, DAY(XT!U108), DAY(XT!Y108), DAY(XT!AC108), DAY(XT!AG108)), MATCH(1, INDEX(--(MONTH(CHOOSE({1,2,3,4}, XT!U108,XT!Y108,XT!AC108,XT!AG108))=10), 0), 0)), "")</f>
        <v/>
      </c>
      <c r="AM108" s="51" t="str">
        <f>IF(XT!$P108&gt;0,AL108,"")</f>
        <v/>
      </c>
      <c r="AN108" s="51" t="str">
        <f>IF(XT!$P108=0,AL108,"")</f>
        <v/>
      </c>
      <c r="AO108">
        <f>SUMPRODUCT((MONTH(CHOOSE({1,2,3,4},XT!U108,XT!Y108,XT!AC108,XT!AG108))=11)*(CHOOSE({1,2,3,4},XT!X108,XT!AB108,XT!AF108,XT!AJ108)))</f>
        <v>0</v>
      </c>
      <c r="AP108" t="str">
        <f>IFERROR(INDEX(CHOOSE({1,2,3,4}, DAY(XT!U108), DAY(XT!Y108), DAY(XT!AC108), DAY(XT!AG108)), MATCH(1, INDEX(--(MONTH(CHOOSE({1,2,3,4}, XT!U108,XT!Y108,XT!AC108,XT!AG108))=11), 0), 0)), "")</f>
        <v/>
      </c>
      <c r="AQ108" s="51" t="str">
        <f>IF(XT!$P108&gt;0,AP108,"")</f>
        <v/>
      </c>
      <c r="AR108" s="51" t="str">
        <f>IF(XT!$P108=0,AP108,"")</f>
        <v/>
      </c>
      <c r="AS108">
        <f>SUMPRODUCT((MONTH(CHOOSE({1,2,3,4},XT!U108,XT!Y108,XT!AC108,XT!AG108))=12)*(CHOOSE({1,2,3,4},XT!X108,XT!AB108,XT!AF108,XT!AJ108)))</f>
        <v>0</v>
      </c>
      <c r="AT108" t="str">
        <f>IFERROR(INDEX(CHOOSE({1,2,3,4}, DAY(XT!U108), DAY(XT!Y108), DAY(XT!AC108), DAY(XT!AG108)), MATCH(1, INDEX(--(MONTH(CHOOSE({1,2,3,4}, XT!U108,XT!Y108,XT!AC108,XT!AG108))=12), 0), 0)), "")</f>
        <v/>
      </c>
      <c r="AU108" s="51" t="str">
        <f>IF(XT!$P108&gt;0,AT108,"")</f>
        <v/>
      </c>
      <c r="AV108" s="51" t="str">
        <f>IF(XT!$P108=0,AT108,"")</f>
        <v/>
      </c>
    </row>
    <row r="109" spans="1:48">
      <c r="A109">
        <f>SUMPRODUCT((MONTH(CHOOSE({1,2,3,4},XT!U109,XT!Y109,XT!AC109,XT!AG109))=1)*(CHOOSE({1,2,3,4},XT!X109,XT!AB109,XT!AF109,XT!AJ109)))</f>
        <v>0</v>
      </c>
      <c r="B109">
        <f>IFERROR(INDEX(CHOOSE({1,2,3,4}, DAY(XT!U109), DAY(XT!Y109), DAY(XT!AC109), DAY(XT!AG109)), MATCH(1, INDEX(--(MONTH(CHOOSE({1,2,3,4}, XT!U109,XT!Y109,XT!AC109,XT!AG109))=1), 0), 0)), "")</f>
        <v>0</v>
      </c>
      <c r="C109" s="51" t="str">
        <f>IF(XT!$P109&gt;0,B109,"")</f>
        <v/>
      </c>
      <c r="D109" s="51">
        <f>IF(XT!$P109=0,B109,"")</f>
        <v>0</v>
      </c>
      <c r="E109">
        <f>SUMPRODUCT((MONTH(CHOOSE({1,2,3,4},XT!U109,XT!Y109,XT!AC109,XT!AG109))=2)*(CHOOSE({1,2,3,4},XT!X109,XT!AB109,XT!AF109,XT!AJ109)))</f>
        <v>0</v>
      </c>
      <c r="F109" t="str">
        <f>IFERROR(INDEX(CHOOSE({1,2,3,4}, DAY(XT!U109), DAY(XT!Y109), DAY(XT!AC109), DAY(XT!AG109)), MATCH(1, INDEX(--(MONTH(CHOOSE({1,2,3,4}, XT!U109,XT!Y109,XT!AC109,XT!AG109))=2), 0), 0)), "")</f>
        <v/>
      </c>
      <c r="G109" s="51" t="str">
        <f>IF(XT!$P109&gt;0,F109,"")</f>
        <v/>
      </c>
      <c r="H109" s="51" t="str">
        <f>IF(XT!$P109=0,F109,"")</f>
        <v/>
      </c>
      <c r="I109">
        <f>SUMPRODUCT((MONTH(CHOOSE({1,2,3,4},XT!U109,XT!Y109,XT!AC109,XT!AG109))=3)*(CHOOSE({1,2,3,4},XT!X109,XT!AB109,XT!AF109,XT!AJ109)))</f>
        <v>0</v>
      </c>
      <c r="J109" t="str">
        <f>IFERROR(INDEX(CHOOSE({1,2,3,4}, DAY(XT!U109), DAY(XT!Y109), DAY(XT!AC109), DAY(XT!AG109)), MATCH(1, INDEX(--(MONTH(CHOOSE({1,2,3,4}, XT!U109,XT!Y109,XT!AC109,XT!AG109))=3), 0), 0)), "")</f>
        <v/>
      </c>
      <c r="K109" s="51" t="str">
        <f>IF(XT!$P109&gt;0,J109,"")</f>
        <v/>
      </c>
      <c r="L109" s="51" t="str">
        <f>IF(XT!$P109=0,J109,"")</f>
        <v/>
      </c>
      <c r="M109">
        <f>SUMPRODUCT((MONTH(CHOOSE({1,2,3,4},XT!U109,XT!Y109,XT!AC109,XT!AG109))=4)*(CHOOSE({1,2,3,4},XT!X109,XT!AB109,XT!AF109,XT!AJ109)))</f>
        <v>0</v>
      </c>
      <c r="N109" t="str">
        <f>IFERROR(INDEX(CHOOSE({1,2,3,4}, DAY(XT!U109), DAY(XT!Y109), DAY(XT!AC109), DAY(XT!AG109)), MATCH(1, INDEX(--(MONTH(CHOOSE({1,2,3,4}, XT!U109,XT!Y109,XT!AC109,XT!AG109))=4), 0), 0)), "")</f>
        <v/>
      </c>
      <c r="O109" s="51" t="str">
        <f>IF(XT!$P109&gt;0,N109,"")</f>
        <v/>
      </c>
      <c r="P109" s="51" t="str">
        <f>IF(XT!$P109=0,N109,"")</f>
        <v/>
      </c>
      <c r="Q109">
        <f>SUMPRODUCT((MONTH(CHOOSE({1,2,3,4},XT!U109,XT!Y109,XT!AC109,XT!AG109))=5)*(CHOOSE({1,2,3,4},XT!X109,XT!AB109,XT!AF109,XT!AJ109)))</f>
        <v>0</v>
      </c>
      <c r="R109" t="str">
        <f>IFERROR(INDEX(CHOOSE({1,2,3,4}, DAY(XT!U109), DAY(XT!Y109), DAY(XT!AC109), DAY(XT!AG109)), MATCH(1, INDEX(--(MONTH(CHOOSE({1,2,3,4}, XT!U109,XT!Y109,XT!AC109,XT!AG109))=5), 0), 0)), "")</f>
        <v/>
      </c>
      <c r="S109" s="51" t="str">
        <f>IF(XT!$P109&gt;0,R109,"")</f>
        <v/>
      </c>
      <c r="T109" s="51" t="str">
        <f>IF(XT!$P109=0,R109,"")</f>
        <v/>
      </c>
      <c r="U109">
        <f>SUMPRODUCT((MONTH(CHOOSE({1,2,3,4},XT!U109,XT!Y109,XT!AC109,XT!AG109))=6)*(CHOOSE({1,2,3,4},XT!X109,XT!AB109,XT!AF109,XT!AJ109)))</f>
        <v>0</v>
      </c>
      <c r="V109" t="str">
        <f>IFERROR(INDEX(CHOOSE({1,2,3,4}, DAY(XT!U109), DAY(XT!Y109), DAY(XT!AC109), DAY(XT!AG109)), MATCH(1, INDEX(--(MONTH(CHOOSE({1,2,3,4}, XT!U109,XT!Y109,XT!AC109,XT!AG109))=6), 0), 0)), "")</f>
        <v/>
      </c>
      <c r="W109" s="51" t="str">
        <f>IF(XT!$P109&gt;0,V109,"")</f>
        <v/>
      </c>
      <c r="X109" s="51" t="str">
        <f>IF(XT!$P109=0,V109,"")</f>
        <v/>
      </c>
      <c r="Y109">
        <f>SUMPRODUCT((MONTH(CHOOSE({1,2,3,4},XT!U109,XT!Y109,XT!AC109,XT!AG109))=7)*(CHOOSE({1,2,3,4},XT!X109,XT!AB109,XT!AF109,XT!AJ109)))</f>
        <v>0</v>
      </c>
      <c r="Z109" t="str">
        <f>IFERROR(INDEX(CHOOSE({1,2,3,4}, DAY(XT!U109), DAY(XT!Y109), DAY(XT!AC109), DAY(XT!AG109)), MATCH(1, INDEX(--(MONTH(CHOOSE({1,2,3,4}, XT!U109,XT!Y109,XT!AC109,XT!AG109))=7), 0), 0)), "")</f>
        <v/>
      </c>
      <c r="AA109" s="51" t="str">
        <f>IF(XT!$P109&gt;0,Z109,"")</f>
        <v/>
      </c>
      <c r="AB109" s="51" t="str">
        <f>IF(XT!$P109=0,Z109,"")</f>
        <v/>
      </c>
      <c r="AC109">
        <f>SUMPRODUCT((MONTH(CHOOSE({1,2,3,4},XT!U109,XT!Y109,XT!AC109,XT!AG109))=8)*(CHOOSE({1,2,3,4},XT!X109,XT!AB109,XT!AF109,XT!AJ109)))</f>
        <v>0</v>
      </c>
      <c r="AD109" t="str">
        <f>IFERROR(INDEX(CHOOSE({1,2,3,4}, DAY(XT!U109), DAY(XT!Y109), DAY(XT!AC109), DAY(XT!AG109)), MATCH(1, INDEX(--(MONTH(CHOOSE({1,2,3,4}, XT!U109,XT!Y109,XT!AC109,XT!AG109))=8), 0), 0)), "")</f>
        <v/>
      </c>
      <c r="AE109" s="51" t="str">
        <f>IF(XT!$P109&gt;0,AD109,"")</f>
        <v/>
      </c>
      <c r="AF109" s="51" t="str">
        <f>IF(XT!$P109=0,AD109,"")</f>
        <v/>
      </c>
      <c r="AG109">
        <f>SUMPRODUCT((MONTH(CHOOSE({1,2,3,4},XT!U109,XT!Y109,XT!AC109,XT!AG109))=9)*(CHOOSE({1,2,3,4},XT!X109,XT!AB109,XT!AF109,XT!AJ109)))</f>
        <v>0</v>
      </c>
      <c r="AH109" t="str">
        <f>IFERROR(INDEX(CHOOSE({1,2,3,4}, DAY(XT!U109), DAY(XT!Y109), DAY(XT!AC109), DAY(XT!AG109)), MATCH(1, INDEX(--(MONTH(CHOOSE({1,2,3,4}, XT!U109,XT!Y109,XT!AC109,XT!AG109))=9), 0), 0)), "")</f>
        <v/>
      </c>
      <c r="AI109" s="51" t="str">
        <f>IF(XT!$P109&gt;0,AH109,"")</f>
        <v/>
      </c>
      <c r="AJ109" s="51" t="str">
        <f>IF(XT!$P109=0,AH109,"")</f>
        <v/>
      </c>
      <c r="AK109">
        <f>SUMPRODUCT((MONTH(CHOOSE({1,2,3,4},XT!U109,XT!Y109,XT!AC109,XT!AG109))=10)*(CHOOSE({1,2,3,4},XT!X109,XT!AB109,XT!AF109,XT!AJ109)))</f>
        <v>0</v>
      </c>
      <c r="AL109" t="str">
        <f>IFERROR(INDEX(CHOOSE({1,2,3,4}, DAY(XT!U109), DAY(XT!Y109), DAY(XT!AC109), DAY(XT!AG109)), MATCH(1, INDEX(--(MONTH(CHOOSE({1,2,3,4}, XT!U109,XT!Y109,XT!AC109,XT!AG109))=10), 0), 0)), "")</f>
        <v/>
      </c>
      <c r="AM109" s="51" t="str">
        <f>IF(XT!$P109&gt;0,AL109,"")</f>
        <v/>
      </c>
      <c r="AN109" s="51" t="str">
        <f>IF(XT!$P109=0,AL109,"")</f>
        <v/>
      </c>
      <c r="AO109">
        <f>SUMPRODUCT((MONTH(CHOOSE({1,2,3,4},XT!U109,XT!Y109,XT!AC109,XT!AG109))=11)*(CHOOSE({1,2,3,4},XT!X109,XT!AB109,XT!AF109,XT!AJ109)))</f>
        <v>0</v>
      </c>
      <c r="AP109" t="str">
        <f>IFERROR(INDEX(CHOOSE({1,2,3,4}, DAY(XT!U109), DAY(XT!Y109), DAY(XT!AC109), DAY(XT!AG109)), MATCH(1, INDEX(--(MONTH(CHOOSE({1,2,3,4}, XT!U109,XT!Y109,XT!AC109,XT!AG109))=11), 0), 0)), "")</f>
        <v/>
      </c>
      <c r="AQ109" s="51" t="str">
        <f>IF(XT!$P109&gt;0,AP109,"")</f>
        <v/>
      </c>
      <c r="AR109" s="51" t="str">
        <f>IF(XT!$P109=0,AP109,"")</f>
        <v/>
      </c>
      <c r="AS109">
        <f>SUMPRODUCT((MONTH(CHOOSE({1,2,3,4},XT!U109,XT!Y109,XT!AC109,XT!AG109))=12)*(CHOOSE({1,2,3,4},XT!X109,XT!AB109,XT!AF109,XT!AJ109)))</f>
        <v>0</v>
      </c>
      <c r="AT109" t="str">
        <f>IFERROR(INDEX(CHOOSE({1,2,3,4}, DAY(XT!U109), DAY(XT!Y109), DAY(XT!AC109), DAY(XT!AG109)), MATCH(1, INDEX(--(MONTH(CHOOSE({1,2,3,4}, XT!U109,XT!Y109,XT!AC109,XT!AG109))=12), 0), 0)), "")</f>
        <v/>
      </c>
      <c r="AU109" s="51" t="str">
        <f>IF(XT!$P109&gt;0,AT109,"")</f>
        <v/>
      </c>
      <c r="AV109" s="51" t="str">
        <f>IF(XT!$P109=0,AT109,"")</f>
        <v/>
      </c>
    </row>
    <row r="110" spans="1:48">
      <c r="A110">
        <f>SUMPRODUCT((MONTH(CHOOSE({1,2,3,4},XT!U110,XT!Y110,XT!AC110,XT!AG110))=1)*(CHOOSE({1,2,3,4},XT!X110,XT!AB110,XT!AF110,XT!AJ110)))</f>
        <v>0</v>
      </c>
      <c r="B110">
        <f>IFERROR(INDEX(CHOOSE({1,2,3,4}, DAY(XT!U110), DAY(XT!Y110), DAY(XT!AC110), DAY(XT!AG110)), MATCH(1, INDEX(--(MONTH(CHOOSE({1,2,3,4}, XT!U110,XT!Y110,XT!AC110,XT!AG110))=1), 0), 0)), "")</f>
        <v>0</v>
      </c>
      <c r="C110" s="51" t="str">
        <f>IF(XT!$P110&gt;0,B110,"")</f>
        <v/>
      </c>
      <c r="D110" s="51">
        <f>IF(XT!$P110=0,B110,"")</f>
        <v>0</v>
      </c>
      <c r="E110">
        <f>SUMPRODUCT((MONTH(CHOOSE({1,2,3,4},XT!U110,XT!Y110,XT!AC110,XT!AG110))=2)*(CHOOSE({1,2,3,4},XT!X110,XT!AB110,XT!AF110,XT!AJ110)))</f>
        <v>0</v>
      </c>
      <c r="F110" t="str">
        <f>IFERROR(INDEX(CHOOSE({1,2,3,4}, DAY(XT!U110), DAY(XT!Y110), DAY(XT!AC110), DAY(XT!AG110)), MATCH(1, INDEX(--(MONTH(CHOOSE({1,2,3,4}, XT!U110,XT!Y110,XT!AC110,XT!AG110))=2), 0), 0)), "")</f>
        <v/>
      </c>
      <c r="G110" s="51" t="str">
        <f>IF(XT!$P110&gt;0,F110,"")</f>
        <v/>
      </c>
      <c r="H110" s="51" t="str">
        <f>IF(XT!$P110=0,F110,"")</f>
        <v/>
      </c>
      <c r="I110">
        <f>SUMPRODUCT((MONTH(CHOOSE({1,2,3,4},XT!U110,XT!Y110,XT!AC110,XT!AG110))=3)*(CHOOSE({1,2,3,4},XT!X110,XT!AB110,XT!AF110,XT!AJ110)))</f>
        <v>0</v>
      </c>
      <c r="J110" t="str">
        <f>IFERROR(INDEX(CHOOSE({1,2,3,4}, DAY(XT!U110), DAY(XT!Y110), DAY(XT!AC110), DAY(XT!AG110)), MATCH(1, INDEX(--(MONTH(CHOOSE({1,2,3,4}, XT!U110,XT!Y110,XT!AC110,XT!AG110))=3), 0), 0)), "")</f>
        <v/>
      </c>
      <c r="K110" s="51" t="str">
        <f>IF(XT!$P110&gt;0,J110,"")</f>
        <v/>
      </c>
      <c r="L110" s="51" t="str">
        <f>IF(XT!$P110=0,J110,"")</f>
        <v/>
      </c>
      <c r="M110">
        <f>SUMPRODUCT((MONTH(CHOOSE({1,2,3,4},XT!U110,XT!Y110,XT!AC110,XT!AG110))=4)*(CHOOSE({1,2,3,4},XT!X110,XT!AB110,XT!AF110,XT!AJ110)))</f>
        <v>0</v>
      </c>
      <c r="N110" t="str">
        <f>IFERROR(INDEX(CHOOSE({1,2,3,4}, DAY(XT!U110), DAY(XT!Y110), DAY(XT!AC110), DAY(XT!AG110)), MATCH(1, INDEX(--(MONTH(CHOOSE({1,2,3,4}, XT!U110,XT!Y110,XT!AC110,XT!AG110))=4), 0), 0)), "")</f>
        <v/>
      </c>
      <c r="O110" s="51" t="str">
        <f>IF(XT!$P110&gt;0,N110,"")</f>
        <v/>
      </c>
      <c r="P110" s="51" t="str">
        <f>IF(XT!$P110=0,N110,"")</f>
        <v/>
      </c>
      <c r="Q110">
        <f>SUMPRODUCT((MONTH(CHOOSE({1,2,3,4},XT!U110,XT!Y110,XT!AC110,XT!AG110))=5)*(CHOOSE({1,2,3,4},XT!X110,XT!AB110,XT!AF110,XT!AJ110)))</f>
        <v>0</v>
      </c>
      <c r="R110" t="str">
        <f>IFERROR(INDEX(CHOOSE({1,2,3,4}, DAY(XT!U110), DAY(XT!Y110), DAY(XT!AC110), DAY(XT!AG110)), MATCH(1, INDEX(--(MONTH(CHOOSE({1,2,3,4}, XT!U110,XT!Y110,XT!AC110,XT!AG110))=5), 0), 0)), "")</f>
        <v/>
      </c>
      <c r="S110" s="51" t="str">
        <f>IF(XT!$P110&gt;0,R110,"")</f>
        <v/>
      </c>
      <c r="T110" s="51" t="str">
        <f>IF(XT!$P110=0,R110,"")</f>
        <v/>
      </c>
      <c r="U110">
        <f>SUMPRODUCT((MONTH(CHOOSE({1,2,3,4},XT!U110,XT!Y110,XT!AC110,XT!AG110))=6)*(CHOOSE({1,2,3,4},XT!X110,XT!AB110,XT!AF110,XT!AJ110)))</f>
        <v>0</v>
      </c>
      <c r="V110" t="str">
        <f>IFERROR(INDEX(CHOOSE({1,2,3,4}, DAY(XT!U110), DAY(XT!Y110), DAY(XT!AC110), DAY(XT!AG110)), MATCH(1, INDEX(--(MONTH(CHOOSE({1,2,3,4}, XT!U110,XT!Y110,XT!AC110,XT!AG110))=6), 0), 0)), "")</f>
        <v/>
      </c>
      <c r="W110" s="51" t="str">
        <f>IF(XT!$P110&gt;0,V110,"")</f>
        <v/>
      </c>
      <c r="X110" s="51" t="str">
        <f>IF(XT!$P110=0,V110,"")</f>
        <v/>
      </c>
      <c r="Y110">
        <f>SUMPRODUCT((MONTH(CHOOSE({1,2,3,4},XT!U110,XT!Y110,XT!AC110,XT!AG110))=7)*(CHOOSE({1,2,3,4},XT!X110,XT!AB110,XT!AF110,XT!AJ110)))</f>
        <v>0</v>
      </c>
      <c r="Z110" t="str">
        <f>IFERROR(INDEX(CHOOSE({1,2,3,4}, DAY(XT!U110), DAY(XT!Y110), DAY(XT!AC110), DAY(XT!AG110)), MATCH(1, INDEX(--(MONTH(CHOOSE({1,2,3,4}, XT!U110,XT!Y110,XT!AC110,XT!AG110))=7), 0), 0)), "")</f>
        <v/>
      </c>
      <c r="AA110" s="51" t="str">
        <f>IF(XT!$P110&gt;0,Z110,"")</f>
        <v/>
      </c>
      <c r="AB110" s="51" t="str">
        <f>IF(XT!$P110=0,Z110,"")</f>
        <v/>
      </c>
      <c r="AC110">
        <f>SUMPRODUCT((MONTH(CHOOSE({1,2,3,4},XT!U110,XT!Y110,XT!AC110,XT!AG110))=8)*(CHOOSE({1,2,3,4},XT!X110,XT!AB110,XT!AF110,XT!AJ110)))</f>
        <v>0</v>
      </c>
      <c r="AD110" t="str">
        <f>IFERROR(INDEX(CHOOSE({1,2,3,4}, DAY(XT!U110), DAY(XT!Y110), DAY(XT!AC110), DAY(XT!AG110)), MATCH(1, INDEX(--(MONTH(CHOOSE({1,2,3,4}, XT!U110,XT!Y110,XT!AC110,XT!AG110))=8), 0), 0)), "")</f>
        <v/>
      </c>
      <c r="AE110" s="51" t="str">
        <f>IF(XT!$P110&gt;0,AD110,"")</f>
        <v/>
      </c>
      <c r="AF110" s="51" t="str">
        <f>IF(XT!$P110=0,AD110,"")</f>
        <v/>
      </c>
      <c r="AG110">
        <f>SUMPRODUCT((MONTH(CHOOSE({1,2,3,4},XT!U110,XT!Y110,XT!AC110,XT!AG110))=9)*(CHOOSE({1,2,3,4},XT!X110,XT!AB110,XT!AF110,XT!AJ110)))</f>
        <v>0</v>
      </c>
      <c r="AH110" t="str">
        <f>IFERROR(INDEX(CHOOSE({1,2,3,4}, DAY(XT!U110), DAY(XT!Y110), DAY(XT!AC110), DAY(XT!AG110)), MATCH(1, INDEX(--(MONTH(CHOOSE({1,2,3,4}, XT!U110,XT!Y110,XT!AC110,XT!AG110))=9), 0), 0)), "")</f>
        <v/>
      </c>
      <c r="AI110" s="51" t="str">
        <f>IF(XT!$P110&gt;0,AH110,"")</f>
        <v/>
      </c>
      <c r="AJ110" s="51" t="str">
        <f>IF(XT!$P110=0,AH110,"")</f>
        <v/>
      </c>
      <c r="AK110">
        <f>SUMPRODUCT((MONTH(CHOOSE({1,2,3,4},XT!U110,XT!Y110,XT!AC110,XT!AG110))=10)*(CHOOSE({1,2,3,4},XT!X110,XT!AB110,XT!AF110,XT!AJ110)))</f>
        <v>0</v>
      </c>
      <c r="AL110" t="str">
        <f>IFERROR(INDEX(CHOOSE({1,2,3,4}, DAY(XT!U110), DAY(XT!Y110), DAY(XT!AC110), DAY(XT!AG110)), MATCH(1, INDEX(--(MONTH(CHOOSE({1,2,3,4}, XT!U110,XT!Y110,XT!AC110,XT!AG110))=10), 0), 0)), "")</f>
        <v/>
      </c>
      <c r="AM110" s="51" t="str">
        <f>IF(XT!$P110&gt;0,AL110,"")</f>
        <v/>
      </c>
      <c r="AN110" s="51" t="str">
        <f>IF(XT!$P110=0,AL110,"")</f>
        <v/>
      </c>
      <c r="AO110">
        <f>SUMPRODUCT((MONTH(CHOOSE({1,2,3,4},XT!U110,XT!Y110,XT!AC110,XT!AG110))=11)*(CHOOSE({1,2,3,4},XT!X110,XT!AB110,XT!AF110,XT!AJ110)))</f>
        <v>0</v>
      </c>
      <c r="AP110" t="str">
        <f>IFERROR(INDEX(CHOOSE({1,2,3,4}, DAY(XT!U110), DAY(XT!Y110), DAY(XT!AC110), DAY(XT!AG110)), MATCH(1, INDEX(--(MONTH(CHOOSE({1,2,3,4}, XT!U110,XT!Y110,XT!AC110,XT!AG110))=11), 0), 0)), "")</f>
        <v/>
      </c>
      <c r="AQ110" s="51" t="str">
        <f>IF(XT!$P110&gt;0,AP110,"")</f>
        <v/>
      </c>
      <c r="AR110" s="51" t="str">
        <f>IF(XT!$P110=0,AP110,"")</f>
        <v/>
      </c>
      <c r="AS110">
        <f>SUMPRODUCT((MONTH(CHOOSE({1,2,3,4},XT!U110,XT!Y110,XT!AC110,XT!AG110))=12)*(CHOOSE({1,2,3,4},XT!X110,XT!AB110,XT!AF110,XT!AJ110)))</f>
        <v>0</v>
      </c>
      <c r="AT110" t="str">
        <f>IFERROR(INDEX(CHOOSE({1,2,3,4}, DAY(XT!U110), DAY(XT!Y110), DAY(XT!AC110), DAY(XT!AG110)), MATCH(1, INDEX(--(MONTH(CHOOSE({1,2,3,4}, XT!U110,XT!Y110,XT!AC110,XT!AG110))=12), 0), 0)), "")</f>
        <v/>
      </c>
      <c r="AU110" s="51" t="str">
        <f>IF(XT!$P110&gt;0,AT110,"")</f>
        <v/>
      </c>
      <c r="AV110" s="51" t="str">
        <f>IF(XT!$P110=0,AT110,"")</f>
        <v/>
      </c>
    </row>
    <row r="111" spans="1:48">
      <c r="A111">
        <f>SUMPRODUCT((MONTH(CHOOSE({1,2,3,4},XT!U111,XT!Y111,XT!AC111,XT!AG111))=1)*(CHOOSE({1,2,3,4},XT!X111,XT!AB111,XT!AF111,XT!AJ111)))</f>
        <v>0</v>
      </c>
      <c r="B111">
        <f>IFERROR(INDEX(CHOOSE({1,2,3,4}, DAY(XT!U111), DAY(XT!Y111), DAY(XT!AC111), DAY(XT!AG111)), MATCH(1, INDEX(--(MONTH(CHOOSE({1,2,3,4}, XT!U111,XT!Y111,XT!AC111,XT!AG111))=1), 0), 0)), "")</f>
        <v>0</v>
      </c>
      <c r="C111" s="51" t="str">
        <f>IF(XT!$P111&gt;0,B111,"")</f>
        <v/>
      </c>
      <c r="D111" s="51">
        <f>IF(XT!$P111=0,B111,"")</f>
        <v>0</v>
      </c>
      <c r="E111">
        <f>SUMPRODUCT((MONTH(CHOOSE({1,2,3,4},XT!U111,XT!Y111,XT!AC111,XT!AG111))=2)*(CHOOSE({1,2,3,4},XT!X111,XT!AB111,XT!AF111,XT!AJ111)))</f>
        <v>0</v>
      </c>
      <c r="F111" t="str">
        <f>IFERROR(INDEX(CHOOSE({1,2,3,4}, DAY(XT!U111), DAY(XT!Y111), DAY(XT!AC111), DAY(XT!AG111)), MATCH(1, INDEX(--(MONTH(CHOOSE({1,2,3,4}, XT!U111,XT!Y111,XT!AC111,XT!AG111))=2), 0), 0)), "")</f>
        <v/>
      </c>
      <c r="G111" s="51" t="str">
        <f>IF(XT!$P111&gt;0,F111,"")</f>
        <v/>
      </c>
      <c r="H111" s="51" t="str">
        <f>IF(XT!$P111=0,F111,"")</f>
        <v/>
      </c>
      <c r="I111">
        <f>SUMPRODUCT((MONTH(CHOOSE({1,2,3,4},XT!U111,XT!Y111,XT!AC111,XT!AG111))=3)*(CHOOSE({1,2,3,4},XT!X111,XT!AB111,XT!AF111,XT!AJ111)))</f>
        <v>0</v>
      </c>
      <c r="J111" t="str">
        <f>IFERROR(INDEX(CHOOSE({1,2,3,4}, DAY(XT!U111), DAY(XT!Y111), DAY(XT!AC111), DAY(XT!AG111)), MATCH(1, INDEX(--(MONTH(CHOOSE({1,2,3,4}, XT!U111,XT!Y111,XT!AC111,XT!AG111))=3), 0), 0)), "")</f>
        <v/>
      </c>
      <c r="K111" s="51" t="str">
        <f>IF(XT!$P111&gt;0,J111,"")</f>
        <v/>
      </c>
      <c r="L111" s="51" t="str">
        <f>IF(XT!$P111=0,J111,"")</f>
        <v/>
      </c>
      <c r="M111">
        <f>SUMPRODUCT((MONTH(CHOOSE({1,2,3,4},XT!U111,XT!Y111,XT!AC111,XT!AG111))=4)*(CHOOSE({1,2,3,4},XT!X111,XT!AB111,XT!AF111,XT!AJ111)))</f>
        <v>0</v>
      </c>
      <c r="N111" t="str">
        <f>IFERROR(INDEX(CHOOSE({1,2,3,4}, DAY(XT!U111), DAY(XT!Y111), DAY(XT!AC111), DAY(XT!AG111)), MATCH(1, INDEX(--(MONTH(CHOOSE({1,2,3,4}, XT!U111,XT!Y111,XT!AC111,XT!AG111))=4), 0), 0)), "")</f>
        <v/>
      </c>
      <c r="O111" s="51" t="str">
        <f>IF(XT!$P111&gt;0,N111,"")</f>
        <v/>
      </c>
      <c r="P111" s="51" t="str">
        <f>IF(XT!$P111=0,N111,"")</f>
        <v/>
      </c>
      <c r="Q111">
        <f>SUMPRODUCT((MONTH(CHOOSE({1,2,3,4},XT!U111,XT!Y111,XT!AC111,XT!AG111))=5)*(CHOOSE({1,2,3,4},XT!X111,XT!AB111,XT!AF111,XT!AJ111)))</f>
        <v>0</v>
      </c>
      <c r="R111" t="str">
        <f>IFERROR(INDEX(CHOOSE({1,2,3,4}, DAY(XT!U111), DAY(XT!Y111), DAY(XT!AC111), DAY(XT!AG111)), MATCH(1, INDEX(--(MONTH(CHOOSE({1,2,3,4}, XT!U111,XT!Y111,XT!AC111,XT!AG111))=5), 0), 0)), "")</f>
        <v/>
      </c>
      <c r="S111" s="51" t="str">
        <f>IF(XT!$P111&gt;0,R111,"")</f>
        <v/>
      </c>
      <c r="T111" s="51" t="str">
        <f>IF(XT!$P111=0,R111,"")</f>
        <v/>
      </c>
      <c r="U111">
        <f>SUMPRODUCT((MONTH(CHOOSE({1,2,3,4},XT!U111,XT!Y111,XT!AC111,XT!AG111))=6)*(CHOOSE({1,2,3,4},XT!X111,XT!AB111,XT!AF111,XT!AJ111)))</f>
        <v>0</v>
      </c>
      <c r="V111" t="str">
        <f>IFERROR(INDEX(CHOOSE({1,2,3,4}, DAY(XT!U111), DAY(XT!Y111), DAY(XT!AC111), DAY(XT!AG111)), MATCH(1, INDEX(--(MONTH(CHOOSE({1,2,3,4}, XT!U111,XT!Y111,XT!AC111,XT!AG111))=6), 0), 0)), "")</f>
        <v/>
      </c>
      <c r="W111" s="51" t="str">
        <f>IF(XT!$P111&gt;0,V111,"")</f>
        <v/>
      </c>
      <c r="X111" s="51" t="str">
        <f>IF(XT!$P111=0,V111,"")</f>
        <v/>
      </c>
      <c r="Y111">
        <f>SUMPRODUCT((MONTH(CHOOSE({1,2,3,4},XT!U111,XT!Y111,XT!AC111,XT!AG111))=7)*(CHOOSE({1,2,3,4},XT!X111,XT!AB111,XT!AF111,XT!AJ111)))</f>
        <v>0</v>
      </c>
      <c r="Z111" t="str">
        <f>IFERROR(INDEX(CHOOSE({1,2,3,4}, DAY(XT!U111), DAY(XT!Y111), DAY(XT!AC111), DAY(XT!AG111)), MATCH(1, INDEX(--(MONTH(CHOOSE({1,2,3,4}, XT!U111,XT!Y111,XT!AC111,XT!AG111))=7), 0), 0)), "")</f>
        <v/>
      </c>
      <c r="AA111" s="51" t="str">
        <f>IF(XT!$P111&gt;0,Z111,"")</f>
        <v/>
      </c>
      <c r="AB111" s="51" t="str">
        <f>IF(XT!$P111=0,Z111,"")</f>
        <v/>
      </c>
      <c r="AC111">
        <f>SUMPRODUCT((MONTH(CHOOSE({1,2,3,4},XT!U111,XT!Y111,XT!AC111,XT!AG111))=8)*(CHOOSE({1,2,3,4},XT!X111,XT!AB111,XT!AF111,XT!AJ111)))</f>
        <v>0</v>
      </c>
      <c r="AD111" t="str">
        <f>IFERROR(INDEX(CHOOSE({1,2,3,4}, DAY(XT!U111), DAY(XT!Y111), DAY(XT!AC111), DAY(XT!AG111)), MATCH(1, INDEX(--(MONTH(CHOOSE({1,2,3,4}, XT!U111,XT!Y111,XT!AC111,XT!AG111))=8), 0), 0)), "")</f>
        <v/>
      </c>
      <c r="AE111" s="51" t="str">
        <f>IF(XT!$P111&gt;0,AD111,"")</f>
        <v/>
      </c>
      <c r="AF111" s="51" t="str">
        <f>IF(XT!$P111=0,AD111,"")</f>
        <v/>
      </c>
      <c r="AG111">
        <f>SUMPRODUCT((MONTH(CHOOSE({1,2,3,4},XT!U111,XT!Y111,XT!AC111,XT!AG111))=9)*(CHOOSE({1,2,3,4},XT!X111,XT!AB111,XT!AF111,XT!AJ111)))</f>
        <v>0</v>
      </c>
      <c r="AH111" t="str">
        <f>IFERROR(INDEX(CHOOSE({1,2,3,4}, DAY(XT!U111), DAY(XT!Y111), DAY(XT!AC111), DAY(XT!AG111)), MATCH(1, INDEX(--(MONTH(CHOOSE({1,2,3,4}, XT!U111,XT!Y111,XT!AC111,XT!AG111))=9), 0), 0)), "")</f>
        <v/>
      </c>
      <c r="AI111" s="51" t="str">
        <f>IF(XT!$P111&gt;0,AH111,"")</f>
        <v/>
      </c>
      <c r="AJ111" s="51" t="str">
        <f>IF(XT!$P111=0,AH111,"")</f>
        <v/>
      </c>
      <c r="AK111">
        <f>SUMPRODUCT((MONTH(CHOOSE({1,2,3,4},XT!U111,XT!Y111,XT!AC111,XT!AG111))=10)*(CHOOSE({1,2,3,4},XT!X111,XT!AB111,XT!AF111,XT!AJ111)))</f>
        <v>0</v>
      </c>
      <c r="AL111" t="str">
        <f>IFERROR(INDEX(CHOOSE({1,2,3,4}, DAY(XT!U111), DAY(XT!Y111), DAY(XT!AC111), DAY(XT!AG111)), MATCH(1, INDEX(--(MONTH(CHOOSE({1,2,3,4}, XT!U111,XT!Y111,XT!AC111,XT!AG111))=10), 0), 0)), "")</f>
        <v/>
      </c>
      <c r="AM111" s="51" t="str">
        <f>IF(XT!$P111&gt;0,AL111,"")</f>
        <v/>
      </c>
      <c r="AN111" s="51" t="str">
        <f>IF(XT!$P111=0,AL111,"")</f>
        <v/>
      </c>
      <c r="AO111">
        <f>SUMPRODUCT((MONTH(CHOOSE({1,2,3,4},XT!U111,XT!Y111,XT!AC111,XT!AG111))=11)*(CHOOSE({1,2,3,4},XT!X111,XT!AB111,XT!AF111,XT!AJ111)))</f>
        <v>0</v>
      </c>
      <c r="AP111" t="str">
        <f>IFERROR(INDEX(CHOOSE({1,2,3,4}, DAY(XT!U111), DAY(XT!Y111), DAY(XT!AC111), DAY(XT!AG111)), MATCH(1, INDEX(--(MONTH(CHOOSE({1,2,3,4}, XT!U111,XT!Y111,XT!AC111,XT!AG111))=11), 0), 0)), "")</f>
        <v/>
      </c>
      <c r="AQ111" s="51" t="str">
        <f>IF(XT!$P111&gt;0,AP111,"")</f>
        <v/>
      </c>
      <c r="AR111" s="51" t="str">
        <f>IF(XT!$P111=0,AP111,"")</f>
        <v/>
      </c>
      <c r="AS111">
        <f>SUMPRODUCT((MONTH(CHOOSE({1,2,3,4},XT!U111,XT!Y111,XT!AC111,XT!AG111))=12)*(CHOOSE({1,2,3,4},XT!X111,XT!AB111,XT!AF111,XT!AJ111)))</f>
        <v>0</v>
      </c>
      <c r="AT111" t="str">
        <f>IFERROR(INDEX(CHOOSE({1,2,3,4}, DAY(XT!U111), DAY(XT!Y111), DAY(XT!AC111), DAY(XT!AG111)), MATCH(1, INDEX(--(MONTH(CHOOSE({1,2,3,4}, XT!U111,XT!Y111,XT!AC111,XT!AG111))=12), 0), 0)), "")</f>
        <v/>
      </c>
      <c r="AU111" s="51" t="str">
        <f>IF(XT!$P111&gt;0,AT111,"")</f>
        <v/>
      </c>
      <c r="AV111" s="51" t="str">
        <f>IF(XT!$P111=0,AT111,"")</f>
        <v/>
      </c>
    </row>
    <row r="112" spans="1:48">
      <c r="A112">
        <f>SUMPRODUCT((MONTH(CHOOSE({1,2,3,4},XT!U112,XT!Y112,XT!AC112,XT!AG112))=1)*(CHOOSE({1,2,3,4},XT!X112,XT!AB112,XT!AF112,XT!AJ112)))</f>
        <v>0</v>
      </c>
      <c r="B112">
        <f>IFERROR(INDEX(CHOOSE({1,2,3,4}, DAY(XT!U112), DAY(XT!Y112), DAY(XT!AC112), DAY(XT!AG112)), MATCH(1, INDEX(--(MONTH(CHOOSE({1,2,3,4}, XT!U112,XT!Y112,XT!AC112,XT!AG112))=1), 0), 0)), "")</f>
        <v>0</v>
      </c>
      <c r="C112" s="51" t="str">
        <f>IF(XT!$P112&gt;0,B112,"")</f>
        <v/>
      </c>
      <c r="D112" s="51">
        <f>IF(XT!$P112=0,B112,"")</f>
        <v>0</v>
      </c>
      <c r="E112">
        <f>SUMPRODUCT((MONTH(CHOOSE({1,2,3,4},XT!U112,XT!Y112,XT!AC112,XT!AG112))=2)*(CHOOSE({1,2,3,4},XT!X112,XT!AB112,XT!AF112,XT!AJ112)))</f>
        <v>0</v>
      </c>
      <c r="F112" t="str">
        <f>IFERROR(INDEX(CHOOSE({1,2,3,4}, DAY(XT!U112), DAY(XT!Y112), DAY(XT!AC112), DAY(XT!AG112)), MATCH(1, INDEX(--(MONTH(CHOOSE({1,2,3,4}, XT!U112,XT!Y112,XT!AC112,XT!AG112))=2), 0), 0)), "")</f>
        <v/>
      </c>
      <c r="G112" s="51" t="str">
        <f>IF(XT!$P112&gt;0,F112,"")</f>
        <v/>
      </c>
      <c r="H112" s="51" t="str">
        <f>IF(XT!$P112=0,F112,"")</f>
        <v/>
      </c>
      <c r="I112">
        <f>SUMPRODUCT((MONTH(CHOOSE({1,2,3,4},XT!U112,XT!Y112,XT!AC112,XT!AG112))=3)*(CHOOSE({1,2,3,4},XT!X112,XT!AB112,XT!AF112,XT!AJ112)))</f>
        <v>0</v>
      </c>
      <c r="J112" t="str">
        <f>IFERROR(INDEX(CHOOSE({1,2,3,4}, DAY(XT!U112), DAY(XT!Y112), DAY(XT!AC112), DAY(XT!AG112)), MATCH(1, INDEX(--(MONTH(CHOOSE({1,2,3,4}, XT!U112,XT!Y112,XT!AC112,XT!AG112))=3), 0), 0)), "")</f>
        <v/>
      </c>
      <c r="K112" s="51" t="str">
        <f>IF(XT!$P112&gt;0,J112,"")</f>
        <v/>
      </c>
      <c r="L112" s="51" t="str">
        <f>IF(XT!$P112=0,J112,"")</f>
        <v/>
      </c>
      <c r="M112">
        <f>SUMPRODUCT((MONTH(CHOOSE({1,2,3,4},XT!U112,XT!Y112,XT!AC112,XT!AG112))=4)*(CHOOSE({1,2,3,4},XT!X112,XT!AB112,XT!AF112,XT!AJ112)))</f>
        <v>0</v>
      </c>
      <c r="N112" t="str">
        <f>IFERROR(INDEX(CHOOSE({1,2,3,4}, DAY(XT!U112), DAY(XT!Y112), DAY(XT!AC112), DAY(XT!AG112)), MATCH(1, INDEX(--(MONTH(CHOOSE({1,2,3,4}, XT!U112,XT!Y112,XT!AC112,XT!AG112))=4), 0), 0)), "")</f>
        <v/>
      </c>
      <c r="O112" s="51" t="str">
        <f>IF(XT!$P112&gt;0,N112,"")</f>
        <v/>
      </c>
      <c r="P112" s="51" t="str">
        <f>IF(XT!$P112=0,N112,"")</f>
        <v/>
      </c>
      <c r="Q112">
        <f>SUMPRODUCT((MONTH(CHOOSE({1,2,3,4},XT!U112,XT!Y112,XT!AC112,XT!AG112))=5)*(CHOOSE({1,2,3,4},XT!X112,XT!AB112,XT!AF112,XT!AJ112)))</f>
        <v>0</v>
      </c>
      <c r="R112" t="str">
        <f>IFERROR(INDEX(CHOOSE({1,2,3,4}, DAY(XT!U112), DAY(XT!Y112), DAY(XT!AC112), DAY(XT!AG112)), MATCH(1, INDEX(--(MONTH(CHOOSE({1,2,3,4}, XT!U112,XT!Y112,XT!AC112,XT!AG112))=5), 0), 0)), "")</f>
        <v/>
      </c>
      <c r="S112" s="51" t="str">
        <f>IF(XT!$P112&gt;0,R112,"")</f>
        <v/>
      </c>
      <c r="T112" s="51" t="str">
        <f>IF(XT!$P112=0,R112,"")</f>
        <v/>
      </c>
      <c r="U112">
        <f>SUMPRODUCT((MONTH(CHOOSE({1,2,3,4},XT!U112,XT!Y112,XT!AC112,XT!AG112))=6)*(CHOOSE({1,2,3,4},XT!X112,XT!AB112,XT!AF112,XT!AJ112)))</f>
        <v>0</v>
      </c>
      <c r="V112" t="str">
        <f>IFERROR(INDEX(CHOOSE({1,2,3,4}, DAY(XT!U112), DAY(XT!Y112), DAY(XT!AC112), DAY(XT!AG112)), MATCH(1, INDEX(--(MONTH(CHOOSE({1,2,3,4}, XT!U112,XT!Y112,XT!AC112,XT!AG112))=6), 0), 0)), "")</f>
        <v/>
      </c>
      <c r="W112" s="51" t="str">
        <f>IF(XT!$P112&gt;0,V112,"")</f>
        <v/>
      </c>
      <c r="X112" s="51" t="str">
        <f>IF(XT!$P112=0,V112,"")</f>
        <v/>
      </c>
      <c r="Y112">
        <f>SUMPRODUCT((MONTH(CHOOSE({1,2,3,4},XT!U112,XT!Y112,XT!AC112,XT!AG112))=7)*(CHOOSE({1,2,3,4},XT!X112,XT!AB112,XT!AF112,XT!AJ112)))</f>
        <v>0</v>
      </c>
      <c r="Z112" t="str">
        <f>IFERROR(INDEX(CHOOSE({1,2,3,4}, DAY(XT!U112), DAY(XT!Y112), DAY(XT!AC112), DAY(XT!AG112)), MATCH(1, INDEX(--(MONTH(CHOOSE({1,2,3,4}, XT!U112,XT!Y112,XT!AC112,XT!AG112))=7), 0), 0)), "")</f>
        <v/>
      </c>
      <c r="AA112" s="51" t="str">
        <f>IF(XT!$P112&gt;0,Z112,"")</f>
        <v/>
      </c>
      <c r="AB112" s="51" t="str">
        <f>IF(XT!$P112=0,Z112,"")</f>
        <v/>
      </c>
      <c r="AC112">
        <f>SUMPRODUCT((MONTH(CHOOSE({1,2,3,4},XT!U112,XT!Y112,XT!AC112,XT!AG112))=8)*(CHOOSE({1,2,3,4},XT!X112,XT!AB112,XT!AF112,XT!AJ112)))</f>
        <v>0</v>
      </c>
      <c r="AD112" t="str">
        <f>IFERROR(INDEX(CHOOSE({1,2,3,4}, DAY(XT!U112), DAY(XT!Y112), DAY(XT!AC112), DAY(XT!AG112)), MATCH(1, INDEX(--(MONTH(CHOOSE({1,2,3,4}, XT!U112,XT!Y112,XT!AC112,XT!AG112))=8), 0), 0)), "")</f>
        <v/>
      </c>
      <c r="AE112" s="51" t="str">
        <f>IF(XT!$P112&gt;0,AD112,"")</f>
        <v/>
      </c>
      <c r="AF112" s="51" t="str">
        <f>IF(XT!$P112=0,AD112,"")</f>
        <v/>
      </c>
      <c r="AG112">
        <f>SUMPRODUCT((MONTH(CHOOSE({1,2,3,4},XT!U112,XT!Y112,XT!AC112,XT!AG112))=9)*(CHOOSE({1,2,3,4},XT!X112,XT!AB112,XT!AF112,XT!AJ112)))</f>
        <v>0</v>
      </c>
      <c r="AH112" t="str">
        <f>IFERROR(INDEX(CHOOSE({1,2,3,4}, DAY(XT!U112), DAY(XT!Y112), DAY(XT!AC112), DAY(XT!AG112)), MATCH(1, INDEX(--(MONTH(CHOOSE({1,2,3,4}, XT!U112,XT!Y112,XT!AC112,XT!AG112))=9), 0), 0)), "")</f>
        <v/>
      </c>
      <c r="AI112" s="51" t="str">
        <f>IF(XT!$P112&gt;0,AH112,"")</f>
        <v/>
      </c>
      <c r="AJ112" s="51" t="str">
        <f>IF(XT!$P112=0,AH112,"")</f>
        <v/>
      </c>
      <c r="AK112">
        <f>SUMPRODUCT((MONTH(CHOOSE({1,2,3,4},XT!U112,XT!Y112,XT!AC112,XT!AG112))=10)*(CHOOSE({1,2,3,4},XT!X112,XT!AB112,XT!AF112,XT!AJ112)))</f>
        <v>0</v>
      </c>
      <c r="AL112" t="str">
        <f>IFERROR(INDEX(CHOOSE({1,2,3,4}, DAY(XT!U112), DAY(XT!Y112), DAY(XT!AC112), DAY(XT!AG112)), MATCH(1, INDEX(--(MONTH(CHOOSE({1,2,3,4}, XT!U112,XT!Y112,XT!AC112,XT!AG112))=10), 0), 0)), "")</f>
        <v/>
      </c>
      <c r="AM112" s="51" t="str">
        <f>IF(XT!$P112&gt;0,AL112,"")</f>
        <v/>
      </c>
      <c r="AN112" s="51" t="str">
        <f>IF(XT!$P112=0,AL112,"")</f>
        <v/>
      </c>
      <c r="AO112">
        <f>SUMPRODUCT((MONTH(CHOOSE({1,2,3,4},XT!U112,XT!Y112,XT!AC112,XT!AG112))=11)*(CHOOSE({1,2,3,4},XT!X112,XT!AB112,XT!AF112,XT!AJ112)))</f>
        <v>0</v>
      </c>
      <c r="AP112" t="str">
        <f>IFERROR(INDEX(CHOOSE({1,2,3,4}, DAY(XT!U112), DAY(XT!Y112), DAY(XT!AC112), DAY(XT!AG112)), MATCH(1, INDEX(--(MONTH(CHOOSE({1,2,3,4}, XT!U112,XT!Y112,XT!AC112,XT!AG112))=11), 0), 0)), "")</f>
        <v/>
      </c>
      <c r="AQ112" s="51" t="str">
        <f>IF(XT!$P112&gt;0,AP112,"")</f>
        <v/>
      </c>
      <c r="AR112" s="51" t="str">
        <f>IF(XT!$P112=0,AP112,"")</f>
        <v/>
      </c>
      <c r="AS112">
        <f>SUMPRODUCT((MONTH(CHOOSE({1,2,3,4},XT!U112,XT!Y112,XT!AC112,XT!AG112))=12)*(CHOOSE({1,2,3,4},XT!X112,XT!AB112,XT!AF112,XT!AJ112)))</f>
        <v>0</v>
      </c>
      <c r="AT112" t="str">
        <f>IFERROR(INDEX(CHOOSE({1,2,3,4}, DAY(XT!U112), DAY(XT!Y112), DAY(XT!AC112), DAY(XT!AG112)), MATCH(1, INDEX(--(MONTH(CHOOSE({1,2,3,4}, XT!U112,XT!Y112,XT!AC112,XT!AG112))=12), 0), 0)), "")</f>
        <v/>
      </c>
      <c r="AU112" s="51" t="str">
        <f>IF(XT!$P112&gt;0,AT112,"")</f>
        <v/>
      </c>
      <c r="AV112" s="51" t="str">
        <f>IF(XT!$P112=0,AT112,"")</f>
        <v/>
      </c>
    </row>
    <row r="113" spans="1:48">
      <c r="A113">
        <f>SUMPRODUCT((MONTH(CHOOSE({1,2,3,4},XT!U113,XT!Y113,XT!AC113,XT!AG113))=1)*(CHOOSE({1,2,3,4},XT!X113,XT!AB113,XT!AF113,XT!AJ113)))</f>
        <v>0</v>
      </c>
      <c r="B113">
        <f>IFERROR(INDEX(CHOOSE({1,2,3,4}, DAY(XT!U113), DAY(XT!Y113), DAY(XT!AC113), DAY(XT!AG113)), MATCH(1, INDEX(--(MONTH(CHOOSE({1,2,3,4}, XT!U113,XT!Y113,XT!AC113,XT!AG113))=1), 0), 0)), "")</f>
        <v>0</v>
      </c>
      <c r="C113" s="51" t="str">
        <f>IF(XT!$P113&gt;0,B113,"")</f>
        <v/>
      </c>
      <c r="D113" s="51">
        <f>IF(XT!$P113=0,B113,"")</f>
        <v>0</v>
      </c>
      <c r="E113">
        <f>SUMPRODUCT((MONTH(CHOOSE({1,2,3,4},XT!U113,XT!Y113,XT!AC113,XT!AG113))=2)*(CHOOSE({1,2,3,4},XT!X113,XT!AB113,XT!AF113,XT!AJ113)))</f>
        <v>0</v>
      </c>
      <c r="F113" t="str">
        <f>IFERROR(INDEX(CHOOSE({1,2,3,4}, DAY(XT!U113), DAY(XT!Y113), DAY(XT!AC113), DAY(XT!AG113)), MATCH(1, INDEX(--(MONTH(CHOOSE({1,2,3,4}, XT!U113,XT!Y113,XT!AC113,XT!AG113))=2), 0), 0)), "")</f>
        <v/>
      </c>
      <c r="G113" s="51" t="str">
        <f>IF(XT!$P113&gt;0,F113,"")</f>
        <v/>
      </c>
      <c r="H113" s="51" t="str">
        <f>IF(XT!$P113=0,F113,"")</f>
        <v/>
      </c>
      <c r="I113">
        <f>SUMPRODUCT((MONTH(CHOOSE({1,2,3,4},XT!U113,XT!Y113,XT!AC113,XT!AG113))=3)*(CHOOSE({1,2,3,4},XT!X113,XT!AB113,XT!AF113,XT!AJ113)))</f>
        <v>0</v>
      </c>
      <c r="J113" t="str">
        <f>IFERROR(INDEX(CHOOSE({1,2,3,4}, DAY(XT!U113), DAY(XT!Y113), DAY(XT!AC113), DAY(XT!AG113)), MATCH(1, INDEX(--(MONTH(CHOOSE({1,2,3,4}, XT!U113,XT!Y113,XT!AC113,XT!AG113))=3), 0), 0)), "")</f>
        <v/>
      </c>
      <c r="K113" s="51" t="str">
        <f>IF(XT!$P113&gt;0,J113,"")</f>
        <v/>
      </c>
      <c r="L113" s="51" t="str">
        <f>IF(XT!$P113=0,J113,"")</f>
        <v/>
      </c>
      <c r="M113">
        <f>SUMPRODUCT((MONTH(CHOOSE({1,2,3,4},XT!U113,XT!Y113,XT!AC113,XT!AG113))=4)*(CHOOSE({1,2,3,4},XT!X113,XT!AB113,XT!AF113,XT!AJ113)))</f>
        <v>0</v>
      </c>
      <c r="N113" t="str">
        <f>IFERROR(INDEX(CHOOSE({1,2,3,4}, DAY(XT!U113), DAY(XT!Y113), DAY(XT!AC113), DAY(XT!AG113)), MATCH(1, INDEX(--(MONTH(CHOOSE({1,2,3,4}, XT!U113,XT!Y113,XT!AC113,XT!AG113))=4), 0), 0)), "")</f>
        <v/>
      </c>
      <c r="O113" s="51" t="str">
        <f>IF(XT!$P113&gt;0,N113,"")</f>
        <v/>
      </c>
      <c r="P113" s="51" t="str">
        <f>IF(XT!$P113=0,N113,"")</f>
        <v/>
      </c>
      <c r="Q113">
        <f>SUMPRODUCT((MONTH(CHOOSE({1,2,3,4},XT!U113,XT!Y113,XT!AC113,XT!AG113))=5)*(CHOOSE({1,2,3,4},XT!X113,XT!AB113,XT!AF113,XT!AJ113)))</f>
        <v>0</v>
      </c>
      <c r="R113" t="str">
        <f>IFERROR(INDEX(CHOOSE({1,2,3,4}, DAY(XT!U113), DAY(XT!Y113), DAY(XT!AC113), DAY(XT!AG113)), MATCH(1, INDEX(--(MONTH(CHOOSE({1,2,3,4}, XT!U113,XT!Y113,XT!AC113,XT!AG113))=5), 0), 0)), "")</f>
        <v/>
      </c>
      <c r="S113" s="51" t="str">
        <f>IF(XT!$P113&gt;0,R113,"")</f>
        <v/>
      </c>
      <c r="T113" s="51" t="str">
        <f>IF(XT!$P113=0,R113,"")</f>
        <v/>
      </c>
      <c r="U113">
        <f>SUMPRODUCT((MONTH(CHOOSE({1,2,3,4},XT!U113,XT!Y113,XT!AC113,XT!AG113))=6)*(CHOOSE({1,2,3,4},XT!X113,XT!AB113,XT!AF113,XT!AJ113)))</f>
        <v>0</v>
      </c>
      <c r="V113" t="str">
        <f>IFERROR(INDEX(CHOOSE({1,2,3,4}, DAY(XT!U113), DAY(XT!Y113), DAY(XT!AC113), DAY(XT!AG113)), MATCH(1, INDEX(--(MONTH(CHOOSE({1,2,3,4}, XT!U113,XT!Y113,XT!AC113,XT!AG113))=6), 0), 0)), "")</f>
        <v/>
      </c>
      <c r="W113" s="51" t="str">
        <f>IF(XT!$P113&gt;0,V113,"")</f>
        <v/>
      </c>
      <c r="X113" s="51" t="str">
        <f>IF(XT!$P113=0,V113,"")</f>
        <v/>
      </c>
      <c r="Y113">
        <f>SUMPRODUCT((MONTH(CHOOSE({1,2,3,4},XT!U113,XT!Y113,XT!AC113,XT!AG113))=7)*(CHOOSE({1,2,3,4},XT!X113,XT!AB113,XT!AF113,XT!AJ113)))</f>
        <v>0</v>
      </c>
      <c r="Z113" t="str">
        <f>IFERROR(INDEX(CHOOSE({1,2,3,4}, DAY(XT!U113), DAY(XT!Y113), DAY(XT!AC113), DAY(XT!AG113)), MATCH(1, INDEX(--(MONTH(CHOOSE({1,2,3,4}, XT!U113,XT!Y113,XT!AC113,XT!AG113))=7), 0), 0)), "")</f>
        <v/>
      </c>
      <c r="AA113" s="51" t="str">
        <f>IF(XT!$P113&gt;0,Z113,"")</f>
        <v/>
      </c>
      <c r="AB113" s="51" t="str">
        <f>IF(XT!$P113=0,Z113,"")</f>
        <v/>
      </c>
      <c r="AC113">
        <f>SUMPRODUCT((MONTH(CHOOSE({1,2,3,4},XT!U113,XT!Y113,XT!AC113,XT!AG113))=8)*(CHOOSE({1,2,3,4},XT!X113,XT!AB113,XT!AF113,XT!AJ113)))</f>
        <v>0</v>
      </c>
      <c r="AD113" t="str">
        <f>IFERROR(INDEX(CHOOSE({1,2,3,4}, DAY(XT!U113), DAY(XT!Y113), DAY(XT!AC113), DAY(XT!AG113)), MATCH(1, INDEX(--(MONTH(CHOOSE({1,2,3,4}, XT!U113,XT!Y113,XT!AC113,XT!AG113))=8), 0), 0)), "")</f>
        <v/>
      </c>
      <c r="AE113" s="51" t="str">
        <f>IF(XT!$P113&gt;0,AD113,"")</f>
        <v/>
      </c>
      <c r="AF113" s="51" t="str">
        <f>IF(XT!$P113=0,AD113,"")</f>
        <v/>
      </c>
      <c r="AG113">
        <f>SUMPRODUCT((MONTH(CHOOSE({1,2,3,4},XT!U113,XT!Y113,XT!AC113,XT!AG113))=9)*(CHOOSE({1,2,3,4},XT!X113,XT!AB113,XT!AF113,XT!AJ113)))</f>
        <v>0</v>
      </c>
      <c r="AH113" t="str">
        <f>IFERROR(INDEX(CHOOSE({1,2,3,4}, DAY(XT!U113), DAY(XT!Y113), DAY(XT!AC113), DAY(XT!AG113)), MATCH(1, INDEX(--(MONTH(CHOOSE({1,2,3,4}, XT!U113,XT!Y113,XT!AC113,XT!AG113))=9), 0), 0)), "")</f>
        <v/>
      </c>
      <c r="AI113" s="51" t="str">
        <f>IF(XT!$P113&gt;0,AH113,"")</f>
        <v/>
      </c>
      <c r="AJ113" s="51" t="str">
        <f>IF(XT!$P113=0,AH113,"")</f>
        <v/>
      </c>
      <c r="AK113">
        <f>SUMPRODUCT((MONTH(CHOOSE({1,2,3,4},XT!U113,XT!Y113,XT!AC113,XT!AG113))=10)*(CHOOSE({1,2,3,4},XT!X113,XT!AB113,XT!AF113,XT!AJ113)))</f>
        <v>0</v>
      </c>
      <c r="AL113" t="str">
        <f>IFERROR(INDEX(CHOOSE({1,2,3,4}, DAY(XT!U113), DAY(XT!Y113), DAY(XT!AC113), DAY(XT!AG113)), MATCH(1, INDEX(--(MONTH(CHOOSE({1,2,3,4}, XT!U113,XT!Y113,XT!AC113,XT!AG113))=10), 0), 0)), "")</f>
        <v/>
      </c>
      <c r="AM113" s="51" t="str">
        <f>IF(XT!$P113&gt;0,AL113,"")</f>
        <v/>
      </c>
      <c r="AN113" s="51" t="str">
        <f>IF(XT!$P113=0,AL113,"")</f>
        <v/>
      </c>
      <c r="AO113">
        <f>SUMPRODUCT((MONTH(CHOOSE({1,2,3,4},XT!U113,XT!Y113,XT!AC113,XT!AG113))=11)*(CHOOSE({1,2,3,4},XT!X113,XT!AB113,XT!AF113,XT!AJ113)))</f>
        <v>0</v>
      </c>
      <c r="AP113" t="str">
        <f>IFERROR(INDEX(CHOOSE({1,2,3,4}, DAY(XT!U113), DAY(XT!Y113), DAY(XT!AC113), DAY(XT!AG113)), MATCH(1, INDEX(--(MONTH(CHOOSE({1,2,3,4}, XT!U113,XT!Y113,XT!AC113,XT!AG113))=11), 0), 0)), "")</f>
        <v/>
      </c>
      <c r="AQ113" s="51" t="str">
        <f>IF(XT!$P113&gt;0,AP113,"")</f>
        <v/>
      </c>
      <c r="AR113" s="51" t="str">
        <f>IF(XT!$P113=0,AP113,"")</f>
        <v/>
      </c>
      <c r="AS113">
        <f>SUMPRODUCT((MONTH(CHOOSE({1,2,3,4},XT!U113,XT!Y113,XT!AC113,XT!AG113))=12)*(CHOOSE({1,2,3,4},XT!X113,XT!AB113,XT!AF113,XT!AJ113)))</f>
        <v>0</v>
      </c>
      <c r="AT113" t="str">
        <f>IFERROR(INDEX(CHOOSE({1,2,3,4}, DAY(XT!U113), DAY(XT!Y113), DAY(XT!AC113), DAY(XT!AG113)), MATCH(1, INDEX(--(MONTH(CHOOSE({1,2,3,4}, XT!U113,XT!Y113,XT!AC113,XT!AG113))=12), 0), 0)), "")</f>
        <v/>
      </c>
      <c r="AU113" s="51" t="str">
        <f>IF(XT!$P113&gt;0,AT113,"")</f>
        <v/>
      </c>
      <c r="AV113" s="51" t="str">
        <f>IF(XT!$P113=0,AT113,"")</f>
        <v/>
      </c>
    </row>
    <row r="114" spans="1:48">
      <c r="A114">
        <f>SUMPRODUCT((MONTH(CHOOSE({1,2,3,4},XT!U114,XT!Y114,XT!AC114,XT!AG114))=1)*(CHOOSE({1,2,3,4},XT!X114,XT!AB114,XT!AF114,XT!AJ114)))</f>
        <v>0</v>
      </c>
      <c r="B114">
        <f>IFERROR(INDEX(CHOOSE({1,2,3,4}, DAY(XT!U114), DAY(XT!Y114), DAY(XT!AC114), DAY(XT!AG114)), MATCH(1, INDEX(--(MONTH(CHOOSE({1,2,3,4}, XT!U114,XT!Y114,XT!AC114,XT!AG114))=1), 0), 0)), "")</f>
        <v>0</v>
      </c>
      <c r="C114" s="51" t="str">
        <f>IF(XT!$P114&gt;0,B114,"")</f>
        <v/>
      </c>
      <c r="D114" s="51">
        <f>IF(XT!$P114=0,B114,"")</f>
        <v>0</v>
      </c>
      <c r="E114">
        <f>SUMPRODUCT((MONTH(CHOOSE({1,2,3,4},XT!U114,XT!Y114,XT!AC114,XT!AG114))=2)*(CHOOSE({1,2,3,4},XT!X114,XT!AB114,XT!AF114,XT!AJ114)))</f>
        <v>0</v>
      </c>
      <c r="F114" t="str">
        <f>IFERROR(INDEX(CHOOSE({1,2,3,4}, DAY(XT!U114), DAY(XT!Y114), DAY(XT!AC114), DAY(XT!AG114)), MATCH(1, INDEX(--(MONTH(CHOOSE({1,2,3,4}, XT!U114,XT!Y114,XT!AC114,XT!AG114))=2), 0), 0)), "")</f>
        <v/>
      </c>
      <c r="G114" s="51" t="str">
        <f>IF(XT!$P114&gt;0,F114,"")</f>
        <v/>
      </c>
      <c r="H114" s="51" t="str">
        <f>IF(XT!$P114=0,F114,"")</f>
        <v/>
      </c>
      <c r="I114">
        <f>SUMPRODUCT((MONTH(CHOOSE({1,2,3,4},XT!U114,XT!Y114,XT!AC114,XT!AG114))=3)*(CHOOSE({1,2,3,4},XT!X114,XT!AB114,XT!AF114,XT!AJ114)))</f>
        <v>0</v>
      </c>
      <c r="J114" t="str">
        <f>IFERROR(INDEX(CHOOSE({1,2,3,4}, DAY(XT!U114), DAY(XT!Y114), DAY(XT!AC114), DAY(XT!AG114)), MATCH(1, INDEX(--(MONTH(CHOOSE({1,2,3,4}, XT!U114,XT!Y114,XT!AC114,XT!AG114))=3), 0), 0)), "")</f>
        <v/>
      </c>
      <c r="K114" s="51" t="str">
        <f>IF(XT!$P114&gt;0,J114,"")</f>
        <v/>
      </c>
      <c r="L114" s="51" t="str">
        <f>IF(XT!$P114=0,J114,"")</f>
        <v/>
      </c>
      <c r="M114">
        <f>SUMPRODUCT((MONTH(CHOOSE({1,2,3,4},XT!U114,XT!Y114,XT!AC114,XT!AG114))=4)*(CHOOSE({1,2,3,4},XT!X114,XT!AB114,XT!AF114,XT!AJ114)))</f>
        <v>0</v>
      </c>
      <c r="N114" t="str">
        <f>IFERROR(INDEX(CHOOSE({1,2,3,4}, DAY(XT!U114), DAY(XT!Y114), DAY(XT!AC114), DAY(XT!AG114)), MATCH(1, INDEX(--(MONTH(CHOOSE({1,2,3,4}, XT!U114,XT!Y114,XT!AC114,XT!AG114))=4), 0), 0)), "")</f>
        <v/>
      </c>
      <c r="O114" s="51" t="str">
        <f>IF(XT!$P114&gt;0,N114,"")</f>
        <v/>
      </c>
      <c r="P114" s="51" t="str">
        <f>IF(XT!$P114=0,N114,"")</f>
        <v/>
      </c>
      <c r="Q114">
        <f>SUMPRODUCT((MONTH(CHOOSE({1,2,3,4},XT!U114,XT!Y114,XT!AC114,XT!AG114))=5)*(CHOOSE({1,2,3,4},XT!X114,XT!AB114,XT!AF114,XT!AJ114)))</f>
        <v>0</v>
      </c>
      <c r="R114" t="str">
        <f>IFERROR(INDEX(CHOOSE({1,2,3,4}, DAY(XT!U114), DAY(XT!Y114), DAY(XT!AC114), DAY(XT!AG114)), MATCH(1, INDEX(--(MONTH(CHOOSE({1,2,3,4}, XT!U114,XT!Y114,XT!AC114,XT!AG114))=5), 0), 0)), "")</f>
        <v/>
      </c>
      <c r="S114" s="51" t="str">
        <f>IF(XT!$P114&gt;0,R114,"")</f>
        <v/>
      </c>
      <c r="T114" s="51" t="str">
        <f>IF(XT!$P114=0,R114,"")</f>
        <v/>
      </c>
      <c r="U114">
        <f>SUMPRODUCT((MONTH(CHOOSE({1,2,3,4},XT!U114,XT!Y114,XT!AC114,XT!AG114))=6)*(CHOOSE({1,2,3,4},XT!X114,XT!AB114,XT!AF114,XT!AJ114)))</f>
        <v>0</v>
      </c>
      <c r="V114" t="str">
        <f>IFERROR(INDEX(CHOOSE({1,2,3,4}, DAY(XT!U114), DAY(XT!Y114), DAY(XT!AC114), DAY(XT!AG114)), MATCH(1, INDEX(--(MONTH(CHOOSE({1,2,3,4}, XT!U114,XT!Y114,XT!AC114,XT!AG114))=6), 0), 0)), "")</f>
        <v/>
      </c>
      <c r="W114" s="51" t="str">
        <f>IF(XT!$P114&gt;0,V114,"")</f>
        <v/>
      </c>
      <c r="X114" s="51" t="str">
        <f>IF(XT!$P114=0,V114,"")</f>
        <v/>
      </c>
      <c r="Y114">
        <f>SUMPRODUCT((MONTH(CHOOSE({1,2,3,4},XT!U114,XT!Y114,XT!AC114,XT!AG114))=7)*(CHOOSE({1,2,3,4},XT!X114,XT!AB114,XT!AF114,XT!AJ114)))</f>
        <v>0</v>
      </c>
      <c r="Z114" t="str">
        <f>IFERROR(INDEX(CHOOSE({1,2,3,4}, DAY(XT!U114), DAY(XT!Y114), DAY(XT!AC114), DAY(XT!AG114)), MATCH(1, INDEX(--(MONTH(CHOOSE({1,2,3,4}, XT!U114,XT!Y114,XT!AC114,XT!AG114))=7), 0), 0)), "")</f>
        <v/>
      </c>
      <c r="AA114" s="51" t="str">
        <f>IF(XT!$P114&gt;0,Z114,"")</f>
        <v/>
      </c>
      <c r="AB114" s="51" t="str">
        <f>IF(XT!$P114=0,Z114,"")</f>
        <v/>
      </c>
      <c r="AC114">
        <f>SUMPRODUCT((MONTH(CHOOSE({1,2,3,4},XT!U114,XT!Y114,XT!AC114,XT!AG114))=8)*(CHOOSE({1,2,3,4},XT!X114,XT!AB114,XT!AF114,XT!AJ114)))</f>
        <v>0</v>
      </c>
      <c r="AD114" t="str">
        <f>IFERROR(INDEX(CHOOSE({1,2,3,4}, DAY(XT!U114), DAY(XT!Y114), DAY(XT!AC114), DAY(XT!AG114)), MATCH(1, INDEX(--(MONTH(CHOOSE({1,2,3,4}, XT!U114,XT!Y114,XT!AC114,XT!AG114))=8), 0), 0)), "")</f>
        <v/>
      </c>
      <c r="AE114" s="51" t="str">
        <f>IF(XT!$P114&gt;0,AD114,"")</f>
        <v/>
      </c>
      <c r="AF114" s="51" t="str">
        <f>IF(XT!$P114=0,AD114,"")</f>
        <v/>
      </c>
      <c r="AG114">
        <f>SUMPRODUCT((MONTH(CHOOSE({1,2,3,4},XT!U114,XT!Y114,XT!AC114,XT!AG114))=9)*(CHOOSE({1,2,3,4},XT!X114,XT!AB114,XT!AF114,XT!AJ114)))</f>
        <v>0</v>
      </c>
      <c r="AH114" t="str">
        <f>IFERROR(INDEX(CHOOSE({1,2,3,4}, DAY(XT!U114), DAY(XT!Y114), DAY(XT!AC114), DAY(XT!AG114)), MATCH(1, INDEX(--(MONTH(CHOOSE({1,2,3,4}, XT!U114,XT!Y114,XT!AC114,XT!AG114))=9), 0), 0)), "")</f>
        <v/>
      </c>
      <c r="AI114" s="51" t="str">
        <f>IF(XT!$P114&gt;0,AH114,"")</f>
        <v/>
      </c>
      <c r="AJ114" s="51" t="str">
        <f>IF(XT!$P114=0,AH114,"")</f>
        <v/>
      </c>
      <c r="AK114">
        <f>SUMPRODUCT((MONTH(CHOOSE({1,2,3,4},XT!U114,XT!Y114,XT!AC114,XT!AG114))=10)*(CHOOSE({1,2,3,4},XT!X114,XT!AB114,XT!AF114,XT!AJ114)))</f>
        <v>0</v>
      </c>
      <c r="AL114" t="str">
        <f>IFERROR(INDEX(CHOOSE({1,2,3,4}, DAY(XT!U114), DAY(XT!Y114), DAY(XT!AC114), DAY(XT!AG114)), MATCH(1, INDEX(--(MONTH(CHOOSE({1,2,3,4}, XT!U114,XT!Y114,XT!AC114,XT!AG114))=10), 0), 0)), "")</f>
        <v/>
      </c>
      <c r="AM114" s="51" t="str">
        <f>IF(XT!$P114&gt;0,AL114,"")</f>
        <v/>
      </c>
      <c r="AN114" s="51" t="str">
        <f>IF(XT!$P114=0,AL114,"")</f>
        <v/>
      </c>
      <c r="AO114">
        <f>SUMPRODUCT((MONTH(CHOOSE({1,2,3,4},XT!U114,XT!Y114,XT!AC114,XT!AG114))=11)*(CHOOSE({1,2,3,4},XT!X114,XT!AB114,XT!AF114,XT!AJ114)))</f>
        <v>0</v>
      </c>
      <c r="AP114" t="str">
        <f>IFERROR(INDEX(CHOOSE({1,2,3,4}, DAY(XT!U114), DAY(XT!Y114), DAY(XT!AC114), DAY(XT!AG114)), MATCH(1, INDEX(--(MONTH(CHOOSE({1,2,3,4}, XT!U114,XT!Y114,XT!AC114,XT!AG114))=11), 0), 0)), "")</f>
        <v/>
      </c>
      <c r="AQ114" s="51" t="str">
        <f>IF(XT!$P114&gt;0,AP114,"")</f>
        <v/>
      </c>
      <c r="AR114" s="51" t="str">
        <f>IF(XT!$P114=0,AP114,"")</f>
        <v/>
      </c>
      <c r="AS114">
        <f>SUMPRODUCT((MONTH(CHOOSE({1,2,3,4},XT!U114,XT!Y114,XT!AC114,XT!AG114))=12)*(CHOOSE({1,2,3,4},XT!X114,XT!AB114,XT!AF114,XT!AJ114)))</f>
        <v>0</v>
      </c>
      <c r="AT114" t="str">
        <f>IFERROR(INDEX(CHOOSE({1,2,3,4}, DAY(XT!U114), DAY(XT!Y114), DAY(XT!AC114), DAY(XT!AG114)), MATCH(1, INDEX(--(MONTH(CHOOSE({1,2,3,4}, XT!U114,XT!Y114,XT!AC114,XT!AG114))=12), 0), 0)), "")</f>
        <v/>
      </c>
      <c r="AU114" s="51" t="str">
        <f>IF(XT!$P114&gt;0,AT114,"")</f>
        <v/>
      </c>
      <c r="AV114" s="51" t="str">
        <f>IF(XT!$P114=0,AT114,"")</f>
        <v/>
      </c>
    </row>
    <row r="115" spans="1:48">
      <c r="A115">
        <f>SUMPRODUCT((MONTH(CHOOSE({1,2,3,4},XT!U115,XT!Y115,XT!AC115,XT!AG115))=1)*(CHOOSE({1,2,3,4},XT!X115,XT!AB115,XT!AF115,XT!AJ115)))</f>
        <v>0</v>
      </c>
      <c r="B115">
        <f>IFERROR(INDEX(CHOOSE({1,2,3,4}, DAY(XT!U115), DAY(XT!Y115), DAY(XT!AC115), DAY(XT!AG115)), MATCH(1, INDEX(--(MONTH(CHOOSE({1,2,3,4}, XT!U115,XT!Y115,XT!AC115,XT!AG115))=1), 0), 0)), "")</f>
        <v>0</v>
      </c>
      <c r="C115" s="51" t="str">
        <f>IF(XT!$P115&gt;0,B115,"")</f>
        <v/>
      </c>
      <c r="D115" s="51">
        <f>IF(XT!$P115=0,B115,"")</f>
        <v>0</v>
      </c>
      <c r="E115">
        <f>SUMPRODUCT((MONTH(CHOOSE({1,2,3,4},XT!U115,XT!Y115,XT!AC115,XT!AG115))=2)*(CHOOSE({1,2,3,4},XT!X115,XT!AB115,XT!AF115,XT!AJ115)))</f>
        <v>0</v>
      </c>
      <c r="F115" t="str">
        <f>IFERROR(INDEX(CHOOSE({1,2,3,4}, DAY(XT!U115), DAY(XT!Y115), DAY(XT!AC115), DAY(XT!AG115)), MATCH(1, INDEX(--(MONTH(CHOOSE({1,2,3,4}, XT!U115,XT!Y115,XT!AC115,XT!AG115))=2), 0), 0)), "")</f>
        <v/>
      </c>
      <c r="G115" s="51" t="str">
        <f>IF(XT!$P115&gt;0,F115,"")</f>
        <v/>
      </c>
      <c r="H115" s="51" t="str">
        <f>IF(XT!$P115=0,F115,"")</f>
        <v/>
      </c>
      <c r="I115">
        <f>SUMPRODUCT((MONTH(CHOOSE({1,2,3,4},XT!U115,XT!Y115,XT!AC115,XT!AG115))=3)*(CHOOSE({1,2,3,4},XT!X115,XT!AB115,XT!AF115,XT!AJ115)))</f>
        <v>0</v>
      </c>
      <c r="J115" t="str">
        <f>IFERROR(INDEX(CHOOSE({1,2,3,4}, DAY(XT!U115), DAY(XT!Y115), DAY(XT!AC115), DAY(XT!AG115)), MATCH(1, INDEX(--(MONTH(CHOOSE({1,2,3,4}, XT!U115,XT!Y115,XT!AC115,XT!AG115))=3), 0), 0)), "")</f>
        <v/>
      </c>
      <c r="K115" s="51" t="str">
        <f>IF(XT!$P115&gt;0,J115,"")</f>
        <v/>
      </c>
      <c r="L115" s="51" t="str">
        <f>IF(XT!$P115=0,J115,"")</f>
        <v/>
      </c>
      <c r="M115">
        <f>SUMPRODUCT((MONTH(CHOOSE({1,2,3,4},XT!U115,XT!Y115,XT!AC115,XT!AG115))=4)*(CHOOSE({1,2,3,4},XT!X115,XT!AB115,XT!AF115,XT!AJ115)))</f>
        <v>0</v>
      </c>
      <c r="N115" t="str">
        <f>IFERROR(INDEX(CHOOSE({1,2,3,4}, DAY(XT!U115), DAY(XT!Y115), DAY(XT!AC115), DAY(XT!AG115)), MATCH(1, INDEX(--(MONTH(CHOOSE({1,2,3,4}, XT!U115,XT!Y115,XT!AC115,XT!AG115))=4), 0), 0)), "")</f>
        <v/>
      </c>
      <c r="O115" s="51" t="str">
        <f>IF(XT!$P115&gt;0,N115,"")</f>
        <v/>
      </c>
      <c r="P115" s="51" t="str">
        <f>IF(XT!$P115=0,N115,"")</f>
        <v/>
      </c>
      <c r="Q115">
        <f>SUMPRODUCT((MONTH(CHOOSE({1,2,3,4},XT!U115,XT!Y115,XT!AC115,XT!AG115))=5)*(CHOOSE({1,2,3,4},XT!X115,XT!AB115,XT!AF115,XT!AJ115)))</f>
        <v>0</v>
      </c>
      <c r="R115" t="str">
        <f>IFERROR(INDEX(CHOOSE({1,2,3,4}, DAY(XT!U115), DAY(XT!Y115), DAY(XT!AC115), DAY(XT!AG115)), MATCH(1, INDEX(--(MONTH(CHOOSE({1,2,3,4}, XT!U115,XT!Y115,XT!AC115,XT!AG115))=5), 0), 0)), "")</f>
        <v/>
      </c>
      <c r="S115" s="51" t="str">
        <f>IF(XT!$P115&gt;0,R115,"")</f>
        <v/>
      </c>
      <c r="T115" s="51" t="str">
        <f>IF(XT!$P115=0,R115,"")</f>
        <v/>
      </c>
      <c r="U115">
        <f>SUMPRODUCT((MONTH(CHOOSE({1,2,3,4},XT!U115,XT!Y115,XT!AC115,XT!AG115))=6)*(CHOOSE({1,2,3,4},XT!X115,XT!AB115,XT!AF115,XT!AJ115)))</f>
        <v>0</v>
      </c>
      <c r="V115" t="str">
        <f>IFERROR(INDEX(CHOOSE({1,2,3,4}, DAY(XT!U115), DAY(XT!Y115), DAY(XT!AC115), DAY(XT!AG115)), MATCH(1, INDEX(--(MONTH(CHOOSE({1,2,3,4}, XT!U115,XT!Y115,XT!AC115,XT!AG115))=6), 0), 0)), "")</f>
        <v/>
      </c>
      <c r="W115" s="51" t="str">
        <f>IF(XT!$P115&gt;0,V115,"")</f>
        <v/>
      </c>
      <c r="X115" s="51" t="str">
        <f>IF(XT!$P115=0,V115,"")</f>
        <v/>
      </c>
      <c r="Y115">
        <f>SUMPRODUCT((MONTH(CHOOSE({1,2,3,4},XT!U115,XT!Y115,XT!AC115,XT!AG115))=7)*(CHOOSE({1,2,3,4},XT!X115,XT!AB115,XT!AF115,XT!AJ115)))</f>
        <v>0</v>
      </c>
      <c r="Z115" t="str">
        <f>IFERROR(INDEX(CHOOSE({1,2,3,4}, DAY(XT!U115), DAY(XT!Y115), DAY(XT!AC115), DAY(XT!AG115)), MATCH(1, INDEX(--(MONTH(CHOOSE({1,2,3,4}, XT!U115,XT!Y115,XT!AC115,XT!AG115))=7), 0), 0)), "")</f>
        <v/>
      </c>
      <c r="AA115" s="51" t="str">
        <f>IF(XT!$P115&gt;0,Z115,"")</f>
        <v/>
      </c>
      <c r="AB115" s="51" t="str">
        <f>IF(XT!$P115=0,Z115,"")</f>
        <v/>
      </c>
      <c r="AC115">
        <f>SUMPRODUCT((MONTH(CHOOSE({1,2,3,4},XT!U115,XT!Y115,XT!AC115,XT!AG115))=8)*(CHOOSE({1,2,3,4},XT!X115,XT!AB115,XT!AF115,XT!AJ115)))</f>
        <v>0</v>
      </c>
      <c r="AD115" t="str">
        <f>IFERROR(INDEX(CHOOSE({1,2,3,4}, DAY(XT!U115), DAY(XT!Y115), DAY(XT!AC115), DAY(XT!AG115)), MATCH(1, INDEX(--(MONTH(CHOOSE({1,2,3,4}, XT!U115,XT!Y115,XT!AC115,XT!AG115))=8), 0), 0)), "")</f>
        <v/>
      </c>
      <c r="AE115" s="51" t="str">
        <f>IF(XT!$P115&gt;0,AD115,"")</f>
        <v/>
      </c>
      <c r="AF115" s="51" t="str">
        <f>IF(XT!$P115=0,AD115,"")</f>
        <v/>
      </c>
      <c r="AG115">
        <f>SUMPRODUCT((MONTH(CHOOSE({1,2,3,4},XT!U115,XT!Y115,XT!AC115,XT!AG115))=9)*(CHOOSE({1,2,3,4},XT!X115,XT!AB115,XT!AF115,XT!AJ115)))</f>
        <v>0</v>
      </c>
      <c r="AH115" t="str">
        <f>IFERROR(INDEX(CHOOSE({1,2,3,4}, DAY(XT!U115), DAY(XT!Y115), DAY(XT!AC115), DAY(XT!AG115)), MATCH(1, INDEX(--(MONTH(CHOOSE({1,2,3,4}, XT!U115,XT!Y115,XT!AC115,XT!AG115))=9), 0), 0)), "")</f>
        <v/>
      </c>
      <c r="AI115" s="51" t="str">
        <f>IF(XT!$P115&gt;0,AH115,"")</f>
        <v/>
      </c>
      <c r="AJ115" s="51" t="str">
        <f>IF(XT!$P115=0,AH115,"")</f>
        <v/>
      </c>
      <c r="AK115">
        <f>SUMPRODUCT((MONTH(CHOOSE({1,2,3,4},XT!U115,XT!Y115,XT!AC115,XT!AG115))=10)*(CHOOSE({1,2,3,4},XT!X115,XT!AB115,XT!AF115,XT!AJ115)))</f>
        <v>0</v>
      </c>
      <c r="AL115" t="str">
        <f>IFERROR(INDEX(CHOOSE({1,2,3,4}, DAY(XT!U115), DAY(XT!Y115), DAY(XT!AC115), DAY(XT!AG115)), MATCH(1, INDEX(--(MONTH(CHOOSE({1,2,3,4}, XT!U115,XT!Y115,XT!AC115,XT!AG115))=10), 0), 0)), "")</f>
        <v/>
      </c>
      <c r="AM115" s="51" t="str">
        <f>IF(XT!$P115&gt;0,AL115,"")</f>
        <v/>
      </c>
      <c r="AN115" s="51" t="str">
        <f>IF(XT!$P115=0,AL115,"")</f>
        <v/>
      </c>
      <c r="AO115">
        <f>SUMPRODUCT((MONTH(CHOOSE({1,2,3,4},XT!U115,XT!Y115,XT!AC115,XT!AG115))=11)*(CHOOSE({1,2,3,4},XT!X115,XT!AB115,XT!AF115,XT!AJ115)))</f>
        <v>0</v>
      </c>
      <c r="AP115" t="str">
        <f>IFERROR(INDEX(CHOOSE({1,2,3,4}, DAY(XT!U115), DAY(XT!Y115), DAY(XT!AC115), DAY(XT!AG115)), MATCH(1, INDEX(--(MONTH(CHOOSE({1,2,3,4}, XT!U115,XT!Y115,XT!AC115,XT!AG115))=11), 0), 0)), "")</f>
        <v/>
      </c>
      <c r="AQ115" s="51" t="str">
        <f>IF(XT!$P115&gt;0,AP115,"")</f>
        <v/>
      </c>
      <c r="AR115" s="51" t="str">
        <f>IF(XT!$P115=0,AP115,"")</f>
        <v/>
      </c>
      <c r="AS115">
        <f>SUMPRODUCT((MONTH(CHOOSE({1,2,3,4},XT!U115,XT!Y115,XT!AC115,XT!AG115))=12)*(CHOOSE({1,2,3,4},XT!X115,XT!AB115,XT!AF115,XT!AJ115)))</f>
        <v>0</v>
      </c>
      <c r="AT115" t="str">
        <f>IFERROR(INDEX(CHOOSE({1,2,3,4}, DAY(XT!U115), DAY(XT!Y115), DAY(XT!AC115), DAY(XT!AG115)), MATCH(1, INDEX(--(MONTH(CHOOSE({1,2,3,4}, XT!U115,XT!Y115,XT!AC115,XT!AG115))=12), 0), 0)), "")</f>
        <v/>
      </c>
      <c r="AU115" s="51" t="str">
        <f>IF(XT!$P115&gt;0,AT115,"")</f>
        <v/>
      </c>
      <c r="AV115" s="51" t="str">
        <f>IF(XT!$P115=0,AT115,"")</f>
        <v/>
      </c>
    </row>
    <row r="116" spans="1:48">
      <c r="A116">
        <f>SUMPRODUCT((MONTH(CHOOSE({1,2,3,4},XT!U116,XT!Y116,XT!AC116,XT!AG116))=1)*(CHOOSE({1,2,3,4},XT!X116,XT!AB116,XT!AF116,XT!AJ116)))</f>
        <v>0</v>
      </c>
      <c r="B116">
        <f>IFERROR(INDEX(CHOOSE({1,2,3,4}, DAY(XT!U116), DAY(XT!Y116), DAY(XT!AC116), DAY(XT!AG116)), MATCH(1, INDEX(--(MONTH(CHOOSE({1,2,3,4}, XT!U116,XT!Y116,XT!AC116,XT!AG116))=1), 0), 0)), "")</f>
        <v>0</v>
      </c>
      <c r="C116" s="51" t="str">
        <f>IF(XT!$P116&gt;0,B116,"")</f>
        <v/>
      </c>
      <c r="D116" s="51">
        <f>IF(XT!$P116=0,B116,"")</f>
        <v>0</v>
      </c>
      <c r="E116">
        <f>SUMPRODUCT((MONTH(CHOOSE({1,2,3,4},XT!U116,XT!Y116,XT!AC116,XT!AG116))=2)*(CHOOSE({1,2,3,4},XT!X116,XT!AB116,XT!AF116,XT!AJ116)))</f>
        <v>0</v>
      </c>
      <c r="F116" t="str">
        <f>IFERROR(INDEX(CHOOSE({1,2,3,4}, DAY(XT!U116), DAY(XT!Y116), DAY(XT!AC116), DAY(XT!AG116)), MATCH(1, INDEX(--(MONTH(CHOOSE({1,2,3,4}, XT!U116,XT!Y116,XT!AC116,XT!AG116))=2), 0), 0)), "")</f>
        <v/>
      </c>
      <c r="G116" s="51" t="str">
        <f>IF(XT!$P116&gt;0,F116,"")</f>
        <v/>
      </c>
      <c r="H116" s="51" t="str">
        <f>IF(XT!$P116=0,F116,"")</f>
        <v/>
      </c>
      <c r="I116">
        <f>SUMPRODUCT((MONTH(CHOOSE({1,2,3,4},XT!U116,XT!Y116,XT!AC116,XT!AG116))=3)*(CHOOSE({1,2,3,4},XT!X116,XT!AB116,XT!AF116,XT!AJ116)))</f>
        <v>0</v>
      </c>
      <c r="J116" t="str">
        <f>IFERROR(INDEX(CHOOSE({1,2,3,4}, DAY(XT!U116), DAY(XT!Y116), DAY(XT!AC116), DAY(XT!AG116)), MATCH(1, INDEX(--(MONTH(CHOOSE({1,2,3,4}, XT!U116,XT!Y116,XT!AC116,XT!AG116))=3), 0), 0)), "")</f>
        <v/>
      </c>
      <c r="K116" s="51" t="str">
        <f>IF(XT!$P116&gt;0,J116,"")</f>
        <v/>
      </c>
      <c r="L116" s="51" t="str">
        <f>IF(XT!$P116=0,J116,"")</f>
        <v/>
      </c>
      <c r="M116">
        <f>SUMPRODUCT((MONTH(CHOOSE({1,2,3,4},XT!U116,XT!Y116,XT!AC116,XT!AG116))=4)*(CHOOSE({1,2,3,4},XT!X116,XT!AB116,XT!AF116,XT!AJ116)))</f>
        <v>0</v>
      </c>
      <c r="N116" t="str">
        <f>IFERROR(INDEX(CHOOSE({1,2,3,4}, DAY(XT!U116), DAY(XT!Y116), DAY(XT!AC116), DAY(XT!AG116)), MATCH(1, INDEX(--(MONTH(CHOOSE({1,2,3,4}, XT!U116,XT!Y116,XT!AC116,XT!AG116))=4), 0), 0)), "")</f>
        <v/>
      </c>
      <c r="O116" s="51" t="str">
        <f>IF(XT!$P116&gt;0,N116,"")</f>
        <v/>
      </c>
      <c r="P116" s="51" t="str">
        <f>IF(XT!$P116=0,N116,"")</f>
        <v/>
      </c>
      <c r="Q116">
        <f>SUMPRODUCT((MONTH(CHOOSE({1,2,3,4},XT!U116,XT!Y116,XT!AC116,XT!AG116))=5)*(CHOOSE({1,2,3,4},XT!X116,XT!AB116,XT!AF116,XT!AJ116)))</f>
        <v>0</v>
      </c>
      <c r="R116" t="str">
        <f>IFERROR(INDEX(CHOOSE({1,2,3,4}, DAY(XT!U116), DAY(XT!Y116), DAY(XT!AC116), DAY(XT!AG116)), MATCH(1, INDEX(--(MONTH(CHOOSE({1,2,3,4}, XT!U116,XT!Y116,XT!AC116,XT!AG116))=5), 0), 0)), "")</f>
        <v/>
      </c>
      <c r="S116" s="51" t="str">
        <f>IF(XT!$P116&gt;0,R116,"")</f>
        <v/>
      </c>
      <c r="T116" s="51" t="str">
        <f>IF(XT!$P116=0,R116,"")</f>
        <v/>
      </c>
      <c r="U116">
        <f>SUMPRODUCT((MONTH(CHOOSE({1,2,3,4},XT!U116,XT!Y116,XT!AC116,XT!AG116))=6)*(CHOOSE({1,2,3,4},XT!X116,XT!AB116,XT!AF116,XT!AJ116)))</f>
        <v>0</v>
      </c>
      <c r="V116" t="str">
        <f>IFERROR(INDEX(CHOOSE({1,2,3,4}, DAY(XT!U116), DAY(XT!Y116), DAY(XT!AC116), DAY(XT!AG116)), MATCH(1, INDEX(--(MONTH(CHOOSE({1,2,3,4}, XT!U116,XT!Y116,XT!AC116,XT!AG116))=6), 0), 0)), "")</f>
        <v/>
      </c>
      <c r="W116" s="51" t="str">
        <f>IF(XT!$P116&gt;0,V116,"")</f>
        <v/>
      </c>
      <c r="X116" s="51" t="str">
        <f>IF(XT!$P116=0,V116,"")</f>
        <v/>
      </c>
      <c r="Y116">
        <f>SUMPRODUCT((MONTH(CHOOSE({1,2,3,4},XT!U116,XT!Y116,XT!AC116,XT!AG116))=7)*(CHOOSE({1,2,3,4},XT!X116,XT!AB116,XT!AF116,XT!AJ116)))</f>
        <v>0</v>
      </c>
      <c r="Z116" t="str">
        <f>IFERROR(INDEX(CHOOSE({1,2,3,4}, DAY(XT!U116), DAY(XT!Y116), DAY(XT!AC116), DAY(XT!AG116)), MATCH(1, INDEX(--(MONTH(CHOOSE({1,2,3,4}, XT!U116,XT!Y116,XT!AC116,XT!AG116))=7), 0), 0)), "")</f>
        <v/>
      </c>
      <c r="AA116" s="51" t="str">
        <f>IF(XT!$P116&gt;0,Z116,"")</f>
        <v/>
      </c>
      <c r="AB116" s="51" t="str">
        <f>IF(XT!$P116=0,Z116,"")</f>
        <v/>
      </c>
      <c r="AC116">
        <f>SUMPRODUCT((MONTH(CHOOSE({1,2,3,4},XT!U116,XT!Y116,XT!AC116,XT!AG116))=8)*(CHOOSE({1,2,3,4},XT!X116,XT!AB116,XT!AF116,XT!AJ116)))</f>
        <v>0</v>
      </c>
      <c r="AD116" t="str">
        <f>IFERROR(INDEX(CHOOSE({1,2,3,4}, DAY(XT!U116), DAY(XT!Y116), DAY(XT!AC116), DAY(XT!AG116)), MATCH(1, INDEX(--(MONTH(CHOOSE({1,2,3,4}, XT!U116,XT!Y116,XT!AC116,XT!AG116))=8), 0), 0)), "")</f>
        <v/>
      </c>
      <c r="AE116" s="51" t="str">
        <f>IF(XT!$P116&gt;0,AD116,"")</f>
        <v/>
      </c>
      <c r="AF116" s="51" t="str">
        <f>IF(XT!$P116=0,AD116,"")</f>
        <v/>
      </c>
      <c r="AG116">
        <f>SUMPRODUCT((MONTH(CHOOSE({1,2,3,4},XT!U116,XT!Y116,XT!AC116,XT!AG116))=9)*(CHOOSE({1,2,3,4},XT!X116,XT!AB116,XT!AF116,XT!AJ116)))</f>
        <v>0</v>
      </c>
      <c r="AH116" t="str">
        <f>IFERROR(INDEX(CHOOSE({1,2,3,4}, DAY(XT!U116), DAY(XT!Y116), DAY(XT!AC116), DAY(XT!AG116)), MATCH(1, INDEX(--(MONTH(CHOOSE({1,2,3,4}, XT!U116,XT!Y116,XT!AC116,XT!AG116))=9), 0), 0)), "")</f>
        <v/>
      </c>
      <c r="AI116" s="51" t="str">
        <f>IF(XT!$P116&gt;0,AH116,"")</f>
        <v/>
      </c>
      <c r="AJ116" s="51" t="str">
        <f>IF(XT!$P116=0,AH116,"")</f>
        <v/>
      </c>
      <c r="AK116">
        <f>SUMPRODUCT((MONTH(CHOOSE({1,2,3,4},XT!U116,XT!Y116,XT!AC116,XT!AG116))=10)*(CHOOSE({1,2,3,4},XT!X116,XT!AB116,XT!AF116,XT!AJ116)))</f>
        <v>0</v>
      </c>
      <c r="AL116" t="str">
        <f>IFERROR(INDEX(CHOOSE({1,2,3,4}, DAY(XT!U116), DAY(XT!Y116), DAY(XT!AC116), DAY(XT!AG116)), MATCH(1, INDEX(--(MONTH(CHOOSE({1,2,3,4}, XT!U116,XT!Y116,XT!AC116,XT!AG116))=10), 0), 0)), "")</f>
        <v/>
      </c>
      <c r="AM116" s="51" t="str">
        <f>IF(XT!$P116&gt;0,AL116,"")</f>
        <v/>
      </c>
      <c r="AN116" s="51" t="str">
        <f>IF(XT!$P116=0,AL116,"")</f>
        <v/>
      </c>
      <c r="AO116">
        <f>SUMPRODUCT((MONTH(CHOOSE({1,2,3,4},XT!U116,XT!Y116,XT!AC116,XT!AG116))=11)*(CHOOSE({1,2,3,4},XT!X116,XT!AB116,XT!AF116,XT!AJ116)))</f>
        <v>0</v>
      </c>
      <c r="AP116" t="str">
        <f>IFERROR(INDEX(CHOOSE({1,2,3,4}, DAY(XT!U116), DAY(XT!Y116), DAY(XT!AC116), DAY(XT!AG116)), MATCH(1, INDEX(--(MONTH(CHOOSE({1,2,3,4}, XT!U116,XT!Y116,XT!AC116,XT!AG116))=11), 0), 0)), "")</f>
        <v/>
      </c>
      <c r="AQ116" s="51" t="str">
        <f>IF(XT!$P116&gt;0,AP116,"")</f>
        <v/>
      </c>
      <c r="AR116" s="51" t="str">
        <f>IF(XT!$P116=0,AP116,"")</f>
        <v/>
      </c>
      <c r="AS116">
        <f>SUMPRODUCT((MONTH(CHOOSE({1,2,3,4},XT!U116,XT!Y116,XT!AC116,XT!AG116))=12)*(CHOOSE({1,2,3,4},XT!X116,XT!AB116,XT!AF116,XT!AJ116)))</f>
        <v>0</v>
      </c>
      <c r="AT116" t="str">
        <f>IFERROR(INDEX(CHOOSE({1,2,3,4}, DAY(XT!U116), DAY(XT!Y116), DAY(XT!AC116), DAY(XT!AG116)), MATCH(1, INDEX(--(MONTH(CHOOSE({1,2,3,4}, XT!U116,XT!Y116,XT!AC116,XT!AG116))=12), 0), 0)), "")</f>
        <v/>
      </c>
      <c r="AU116" s="51" t="str">
        <f>IF(XT!$P116&gt;0,AT116,"")</f>
        <v/>
      </c>
      <c r="AV116" s="51" t="str">
        <f>IF(XT!$P116=0,AT116,"")</f>
        <v/>
      </c>
    </row>
    <row r="117" spans="1:48">
      <c r="A117">
        <f>SUMPRODUCT((MONTH(CHOOSE({1,2,3,4},XT!U117,XT!Y117,XT!AC117,XT!AG117))=1)*(CHOOSE({1,2,3,4},XT!X117,XT!AB117,XT!AF117,XT!AJ117)))</f>
        <v>0</v>
      </c>
      <c r="B117">
        <f>IFERROR(INDEX(CHOOSE({1,2,3,4}, DAY(XT!U117), DAY(XT!Y117), DAY(XT!AC117), DAY(XT!AG117)), MATCH(1, INDEX(--(MONTH(CHOOSE({1,2,3,4}, XT!U117,XT!Y117,XT!AC117,XT!AG117))=1), 0), 0)), "")</f>
        <v>0</v>
      </c>
      <c r="C117" s="51" t="str">
        <f>IF(XT!$P117&gt;0,B117,"")</f>
        <v/>
      </c>
      <c r="D117" s="51">
        <f>IF(XT!$P117=0,B117,"")</f>
        <v>0</v>
      </c>
      <c r="E117">
        <f>SUMPRODUCT((MONTH(CHOOSE({1,2,3,4},XT!U117,XT!Y117,XT!AC117,XT!AG117))=2)*(CHOOSE({1,2,3,4},XT!X117,XT!AB117,XT!AF117,XT!AJ117)))</f>
        <v>0</v>
      </c>
      <c r="F117" t="str">
        <f>IFERROR(INDEX(CHOOSE({1,2,3,4}, DAY(XT!U117), DAY(XT!Y117), DAY(XT!AC117), DAY(XT!AG117)), MATCH(1, INDEX(--(MONTH(CHOOSE({1,2,3,4}, XT!U117,XT!Y117,XT!AC117,XT!AG117))=2), 0), 0)), "")</f>
        <v/>
      </c>
      <c r="G117" s="51" t="str">
        <f>IF(XT!$P117&gt;0,F117,"")</f>
        <v/>
      </c>
      <c r="H117" s="51" t="str">
        <f>IF(XT!$P117=0,F117,"")</f>
        <v/>
      </c>
      <c r="I117">
        <f>SUMPRODUCT((MONTH(CHOOSE({1,2,3,4},XT!U117,XT!Y117,XT!AC117,XT!AG117))=3)*(CHOOSE({1,2,3,4},XT!X117,XT!AB117,XT!AF117,XT!AJ117)))</f>
        <v>0</v>
      </c>
      <c r="J117" t="str">
        <f>IFERROR(INDEX(CHOOSE({1,2,3,4}, DAY(XT!U117), DAY(XT!Y117), DAY(XT!AC117), DAY(XT!AG117)), MATCH(1, INDEX(--(MONTH(CHOOSE({1,2,3,4}, XT!U117,XT!Y117,XT!AC117,XT!AG117))=3), 0), 0)), "")</f>
        <v/>
      </c>
      <c r="K117" s="51" t="str">
        <f>IF(XT!$P117&gt;0,J117,"")</f>
        <v/>
      </c>
      <c r="L117" s="51" t="str">
        <f>IF(XT!$P117=0,J117,"")</f>
        <v/>
      </c>
      <c r="M117">
        <f>SUMPRODUCT((MONTH(CHOOSE({1,2,3,4},XT!U117,XT!Y117,XT!AC117,XT!AG117))=4)*(CHOOSE({1,2,3,4},XT!X117,XT!AB117,XT!AF117,XT!AJ117)))</f>
        <v>0</v>
      </c>
      <c r="N117" t="str">
        <f>IFERROR(INDEX(CHOOSE({1,2,3,4}, DAY(XT!U117), DAY(XT!Y117), DAY(XT!AC117), DAY(XT!AG117)), MATCH(1, INDEX(--(MONTH(CHOOSE({1,2,3,4}, XT!U117,XT!Y117,XT!AC117,XT!AG117))=4), 0), 0)), "")</f>
        <v/>
      </c>
      <c r="O117" s="51" t="str">
        <f>IF(XT!$P117&gt;0,N117,"")</f>
        <v/>
      </c>
      <c r="P117" s="51" t="str">
        <f>IF(XT!$P117=0,N117,"")</f>
        <v/>
      </c>
      <c r="Q117">
        <f>SUMPRODUCT((MONTH(CHOOSE({1,2,3,4},XT!U117,XT!Y117,XT!AC117,XT!AG117))=5)*(CHOOSE({1,2,3,4},XT!X117,XT!AB117,XT!AF117,XT!AJ117)))</f>
        <v>0</v>
      </c>
      <c r="R117" t="str">
        <f>IFERROR(INDEX(CHOOSE({1,2,3,4}, DAY(XT!U117), DAY(XT!Y117), DAY(XT!AC117), DAY(XT!AG117)), MATCH(1, INDEX(--(MONTH(CHOOSE({1,2,3,4}, XT!U117,XT!Y117,XT!AC117,XT!AG117))=5), 0), 0)), "")</f>
        <v/>
      </c>
      <c r="S117" s="51" t="str">
        <f>IF(XT!$P117&gt;0,R117,"")</f>
        <v/>
      </c>
      <c r="T117" s="51" t="str">
        <f>IF(XT!$P117=0,R117,"")</f>
        <v/>
      </c>
      <c r="U117">
        <f>SUMPRODUCT((MONTH(CHOOSE({1,2,3,4},XT!U117,XT!Y117,XT!AC117,XT!AG117))=6)*(CHOOSE({1,2,3,4},XT!X117,XT!AB117,XT!AF117,XT!AJ117)))</f>
        <v>0</v>
      </c>
      <c r="V117" t="str">
        <f>IFERROR(INDEX(CHOOSE({1,2,3,4}, DAY(XT!U117), DAY(XT!Y117), DAY(XT!AC117), DAY(XT!AG117)), MATCH(1, INDEX(--(MONTH(CHOOSE({1,2,3,4}, XT!U117,XT!Y117,XT!AC117,XT!AG117))=6), 0), 0)), "")</f>
        <v/>
      </c>
      <c r="W117" s="51" t="str">
        <f>IF(XT!$P117&gt;0,V117,"")</f>
        <v/>
      </c>
      <c r="X117" s="51" t="str">
        <f>IF(XT!$P117=0,V117,"")</f>
        <v/>
      </c>
      <c r="Y117">
        <f>SUMPRODUCT((MONTH(CHOOSE({1,2,3,4},XT!U117,XT!Y117,XT!AC117,XT!AG117))=7)*(CHOOSE({1,2,3,4},XT!X117,XT!AB117,XT!AF117,XT!AJ117)))</f>
        <v>0</v>
      </c>
      <c r="Z117" t="str">
        <f>IFERROR(INDEX(CHOOSE({1,2,3,4}, DAY(XT!U117), DAY(XT!Y117), DAY(XT!AC117), DAY(XT!AG117)), MATCH(1, INDEX(--(MONTH(CHOOSE({1,2,3,4}, XT!U117,XT!Y117,XT!AC117,XT!AG117))=7), 0), 0)), "")</f>
        <v/>
      </c>
      <c r="AA117" s="51" t="str">
        <f>IF(XT!$P117&gt;0,Z117,"")</f>
        <v/>
      </c>
      <c r="AB117" s="51" t="str">
        <f>IF(XT!$P117=0,Z117,"")</f>
        <v/>
      </c>
      <c r="AC117">
        <f>SUMPRODUCT((MONTH(CHOOSE({1,2,3,4},XT!U117,XT!Y117,XT!AC117,XT!AG117))=8)*(CHOOSE({1,2,3,4},XT!X117,XT!AB117,XT!AF117,XT!AJ117)))</f>
        <v>0</v>
      </c>
      <c r="AD117" t="str">
        <f>IFERROR(INDEX(CHOOSE({1,2,3,4}, DAY(XT!U117), DAY(XT!Y117), DAY(XT!AC117), DAY(XT!AG117)), MATCH(1, INDEX(--(MONTH(CHOOSE({1,2,3,4}, XT!U117,XT!Y117,XT!AC117,XT!AG117))=8), 0), 0)), "")</f>
        <v/>
      </c>
      <c r="AE117" s="51" t="str">
        <f>IF(XT!$P117&gt;0,AD117,"")</f>
        <v/>
      </c>
      <c r="AF117" s="51" t="str">
        <f>IF(XT!$P117=0,AD117,"")</f>
        <v/>
      </c>
      <c r="AG117">
        <f>SUMPRODUCT((MONTH(CHOOSE({1,2,3,4},XT!U117,XT!Y117,XT!AC117,XT!AG117))=9)*(CHOOSE({1,2,3,4},XT!X117,XT!AB117,XT!AF117,XT!AJ117)))</f>
        <v>0</v>
      </c>
      <c r="AH117" t="str">
        <f>IFERROR(INDEX(CHOOSE({1,2,3,4}, DAY(XT!U117), DAY(XT!Y117), DAY(XT!AC117), DAY(XT!AG117)), MATCH(1, INDEX(--(MONTH(CHOOSE({1,2,3,4}, XT!U117,XT!Y117,XT!AC117,XT!AG117))=9), 0), 0)), "")</f>
        <v/>
      </c>
      <c r="AI117" s="51" t="str">
        <f>IF(XT!$P117&gt;0,AH117,"")</f>
        <v/>
      </c>
      <c r="AJ117" s="51" t="str">
        <f>IF(XT!$P117=0,AH117,"")</f>
        <v/>
      </c>
      <c r="AK117">
        <f>SUMPRODUCT((MONTH(CHOOSE({1,2,3,4},XT!U117,XT!Y117,XT!AC117,XT!AG117))=10)*(CHOOSE({1,2,3,4},XT!X117,XT!AB117,XT!AF117,XT!AJ117)))</f>
        <v>0</v>
      </c>
      <c r="AL117" t="str">
        <f>IFERROR(INDEX(CHOOSE({1,2,3,4}, DAY(XT!U117), DAY(XT!Y117), DAY(XT!AC117), DAY(XT!AG117)), MATCH(1, INDEX(--(MONTH(CHOOSE({1,2,3,4}, XT!U117,XT!Y117,XT!AC117,XT!AG117))=10), 0), 0)), "")</f>
        <v/>
      </c>
      <c r="AM117" s="51" t="str">
        <f>IF(XT!$P117&gt;0,AL117,"")</f>
        <v/>
      </c>
      <c r="AN117" s="51" t="str">
        <f>IF(XT!$P117=0,AL117,"")</f>
        <v/>
      </c>
      <c r="AO117">
        <f>SUMPRODUCT((MONTH(CHOOSE({1,2,3,4},XT!U117,XT!Y117,XT!AC117,XT!AG117))=11)*(CHOOSE({1,2,3,4},XT!X117,XT!AB117,XT!AF117,XT!AJ117)))</f>
        <v>0</v>
      </c>
      <c r="AP117" t="str">
        <f>IFERROR(INDEX(CHOOSE({1,2,3,4}, DAY(XT!U117), DAY(XT!Y117), DAY(XT!AC117), DAY(XT!AG117)), MATCH(1, INDEX(--(MONTH(CHOOSE({1,2,3,4}, XT!U117,XT!Y117,XT!AC117,XT!AG117))=11), 0), 0)), "")</f>
        <v/>
      </c>
      <c r="AQ117" s="51" t="str">
        <f>IF(XT!$P117&gt;0,AP117,"")</f>
        <v/>
      </c>
      <c r="AR117" s="51" t="str">
        <f>IF(XT!$P117=0,AP117,"")</f>
        <v/>
      </c>
      <c r="AS117">
        <f>SUMPRODUCT((MONTH(CHOOSE({1,2,3,4},XT!U117,XT!Y117,XT!AC117,XT!AG117))=12)*(CHOOSE({1,2,3,4},XT!X117,XT!AB117,XT!AF117,XT!AJ117)))</f>
        <v>0</v>
      </c>
      <c r="AT117" t="str">
        <f>IFERROR(INDEX(CHOOSE({1,2,3,4}, DAY(XT!U117), DAY(XT!Y117), DAY(XT!AC117), DAY(XT!AG117)), MATCH(1, INDEX(--(MONTH(CHOOSE({1,2,3,4}, XT!U117,XT!Y117,XT!AC117,XT!AG117))=12), 0), 0)), "")</f>
        <v/>
      </c>
      <c r="AU117" s="51" t="str">
        <f>IF(XT!$P117&gt;0,AT117,"")</f>
        <v/>
      </c>
      <c r="AV117" s="51" t="str">
        <f>IF(XT!$P117=0,AT117,"")</f>
        <v/>
      </c>
    </row>
    <row r="118" spans="1:48">
      <c r="A118">
        <f>SUMPRODUCT((MONTH(CHOOSE({1,2,3,4},XT!U118,XT!Y118,XT!AC118,XT!AG118))=1)*(CHOOSE({1,2,3,4},XT!X118,XT!AB118,XT!AF118,XT!AJ118)))</f>
        <v>0</v>
      </c>
      <c r="B118">
        <f>IFERROR(INDEX(CHOOSE({1,2,3,4}, DAY(XT!U118), DAY(XT!Y118), DAY(XT!AC118), DAY(XT!AG118)), MATCH(1, INDEX(--(MONTH(CHOOSE({1,2,3,4}, XT!U118,XT!Y118,XT!AC118,XT!AG118))=1), 0), 0)), "")</f>
        <v>0</v>
      </c>
      <c r="C118" s="51" t="str">
        <f>IF(XT!$P118&gt;0,B118,"")</f>
        <v/>
      </c>
      <c r="D118" s="51">
        <f>IF(XT!$P118=0,B118,"")</f>
        <v>0</v>
      </c>
      <c r="E118">
        <f>SUMPRODUCT((MONTH(CHOOSE({1,2,3,4},XT!U118,XT!Y118,XT!AC118,XT!AG118))=2)*(CHOOSE({1,2,3,4},XT!X118,XT!AB118,XT!AF118,XT!AJ118)))</f>
        <v>0</v>
      </c>
      <c r="F118" t="str">
        <f>IFERROR(INDEX(CHOOSE({1,2,3,4}, DAY(XT!U118), DAY(XT!Y118), DAY(XT!AC118), DAY(XT!AG118)), MATCH(1, INDEX(--(MONTH(CHOOSE({1,2,3,4}, XT!U118,XT!Y118,XT!AC118,XT!AG118))=2), 0), 0)), "")</f>
        <v/>
      </c>
      <c r="G118" s="51" t="str">
        <f>IF(XT!$P118&gt;0,F118,"")</f>
        <v/>
      </c>
      <c r="H118" s="51" t="str">
        <f>IF(XT!$P118=0,F118,"")</f>
        <v/>
      </c>
      <c r="I118">
        <f>SUMPRODUCT((MONTH(CHOOSE({1,2,3,4},XT!U118,XT!Y118,XT!AC118,XT!AG118))=3)*(CHOOSE({1,2,3,4},XT!X118,XT!AB118,XT!AF118,XT!AJ118)))</f>
        <v>0</v>
      </c>
      <c r="J118" t="str">
        <f>IFERROR(INDEX(CHOOSE({1,2,3,4}, DAY(XT!U118), DAY(XT!Y118), DAY(XT!AC118), DAY(XT!AG118)), MATCH(1, INDEX(--(MONTH(CHOOSE({1,2,3,4}, XT!U118,XT!Y118,XT!AC118,XT!AG118))=3), 0), 0)), "")</f>
        <v/>
      </c>
      <c r="K118" s="51" t="str">
        <f>IF(XT!$P118&gt;0,J118,"")</f>
        <v/>
      </c>
      <c r="L118" s="51" t="str">
        <f>IF(XT!$P118=0,J118,"")</f>
        <v/>
      </c>
      <c r="M118">
        <f>SUMPRODUCT((MONTH(CHOOSE({1,2,3,4},XT!U118,XT!Y118,XT!AC118,XT!AG118))=4)*(CHOOSE({1,2,3,4},XT!X118,XT!AB118,XT!AF118,XT!AJ118)))</f>
        <v>0</v>
      </c>
      <c r="N118" t="str">
        <f>IFERROR(INDEX(CHOOSE({1,2,3,4}, DAY(XT!U118), DAY(XT!Y118), DAY(XT!AC118), DAY(XT!AG118)), MATCH(1, INDEX(--(MONTH(CHOOSE({1,2,3,4}, XT!U118,XT!Y118,XT!AC118,XT!AG118))=4), 0), 0)), "")</f>
        <v/>
      </c>
      <c r="O118" s="51" t="str">
        <f>IF(XT!$P118&gt;0,N118,"")</f>
        <v/>
      </c>
      <c r="P118" s="51" t="str">
        <f>IF(XT!$P118=0,N118,"")</f>
        <v/>
      </c>
      <c r="Q118">
        <f>SUMPRODUCT((MONTH(CHOOSE({1,2,3,4},XT!U118,XT!Y118,XT!AC118,XT!AG118))=5)*(CHOOSE({1,2,3,4},XT!X118,XT!AB118,XT!AF118,XT!AJ118)))</f>
        <v>0</v>
      </c>
      <c r="R118" t="str">
        <f>IFERROR(INDEX(CHOOSE({1,2,3,4}, DAY(XT!U118), DAY(XT!Y118), DAY(XT!AC118), DAY(XT!AG118)), MATCH(1, INDEX(--(MONTH(CHOOSE({1,2,3,4}, XT!U118,XT!Y118,XT!AC118,XT!AG118))=5), 0), 0)), "")</f>
        <v/>
      </c>
      <c r="S118" s="51" t="str">
        <f>IF(XT!$P118&gt;0,R118,"")</f>
        <v/>
      </c>
      <c r="T118" s="51" t="str">
        <f>IF(XT!$P118=0,R118,"")</f>
        <v/>
      </c>
      <c r="U118">
        <f>SUMPRODUCT((MONTH(CHOOSE({1,2,3,4},XT!U118,XT!Y118,XT!AC118,XT!AG118))=6)*(CHOOSE({1,2,3,4},XT!X118,XT!AB118,XT!AF118,XT!AJ118)))</f>
        <v>0</v>
      </c>
      <c r="V118" t="str">
        <f>IFERROR(INDEX(CHOOSE({1,2,3,4}, DAY(XT!U118), DAY(XT!Y118), DAY(XT!AC118), DAY(XT!AG118)), MATCH(1, INDEX(--(MONTH(CHOOSE({1,2,3,4}, XT!U118,XT!Y118,XT!AC118,XT!AG118))=6), 0), 0)), "")</f>
        <v/>
      </c>
      <c r="W118" s="51" t="str">
        <f>IF(XT!$P118&gt;0,V118,"")</f>
        <v/>
      </c>
      <c r="X118" s="51" t="str">
        <f>IF(XT!$P118=0,V118,"")</f>
        <v/>
      </c>
      <c r="Y118">
        <f>SUMPRODUCT((MONTH(CHOOSE({1,2,3,4},XT!U118,XT!Y118,XT!AC118,XT!AG118))=7)*(CHOOSE({1,2,3,4},XT!X118,XT!AB118,XT!AF118,XT!AJ118)))</f>
        <v>0</v>
      </c>
      <c r="Z118" t="str">
        <f>IFERROR(INDEX(CHOOSE({1,2,3,4}, DAY(XT!U118), DAY(XT!Y118), DAY(XT!AC118), DAY(XT!AG118)), MATCH(1, INDEX(--(MONTH(CHOOSE({1,2,3,4}, XT!U118,XT!Y118,XT!AC118,XT!AG118))=7), 0), 0)), "")</f>
        <v/>
      </c>
      <c r="AA118" s="51" t="str">
        <f>IF(XT!$P118&gt;0,Z118,"")</f>
        <v/>
      </c>
      <c r="AB118" s="51" t="str">
        <f>IF(XT!$P118=0,Z118,"")</f>
        <v/>
      </c>
      <c r="AC118">
        <f>SUMPRODUCT((MONTH(CHOOSE({1,2,3,4},XT!U118,XT!Y118,XT!AC118,XT!AG118))=8)*(CHOOSE({1,2,3,4},XT!X118,XT!AB118,XT!AF118,XT!AJ118)))</f>
        <v>0</v>
      </c>
      <c r="AD118" t="str">
        <f>IFERROR(INDEX(CHOOSE({1,2,3,4}, DAY(XT!U118), DAY(XT!Y118), DAY(XT!AC118), DAY(XT!AG118)), MATCH(1, INDEX(--(MONTH(CHOOSE({1,2,3,4}, XT!U118,XT!Y118,XT!AC118,XT!AG118))=8), 0), 0)), "")</f>
        <v/>
      </c>
      <c r="AE118" s="51" t="str">
        <f>IF(XT!$P118&gt;0,AD118,"")</f>
        <v/>
      </c>
      <c r="AF118" s="51" t="str">
        <f>IF(XT!$P118=0,AD118,"")</f>
        <v/>
      </c>
      <c r="AG118">
        <f>SUMPRODUCT((MONTH(CHOOSE({1,2,3,4},XT!U118,XT!Y118,XT!AC118,XT!AG118))=9)*(CHOOSE({1,2,3,4},XT!X118,XT!AB118,XT!AF118,XT!AJ118)))</f>
        <v>0</v>
      </c>
      <c r="AH118" t="str">
        <f>IFERROR(INDEX(CHOOSE({1,2,3,4}, DAY(XT!U118), DAY(XT!Y118), DAY(XT!AC118), DAY(XT!AG118)), MATCH(1, INDEX(--(MONTH(CHOOSE({1,2,3,4}, XT!U118,XT!Y118,XT!AC118,XT!AG118))=9), 0), 0)), "")</f>
        <v/>
      </c>
      <c r="AI118" s="51" t="str">
        <f>IF(XT!$P118&gt;0,AH118,"")</f>
        <v/>
      </c>
      <c r="AJ118" s="51" t="str">
        <f>IF(XT!$P118=0,AH118,"")</f>
        <v/>
      </c>
      <c r="AK118">
        <f>SUMPRODUCT((MONTH(CHOOSE({1,2,3,4},XT!U118,XT!Y118,XT!AC118,XT!AG118))=10)*(CHOOSE({1,2,3,4},XT!X118,XT!AB118,XT!AF118,XT!AJ118)))</f>
        <v>0</v>
      </c>
      <c r="AL118" t="str">
        <f>IFERROR(INDEX(CHOOSE({1,2,3,4}, DAY(XT!U118), DAY(XT!Y118), DAY(XT!AC118), DAY(XT!AG118)), MATCH(1, INDEX(--(MONTH(CHOOSE({1,2,3,4}, XT!U118,XT!Y118,XT!AC118,XT!AG118))=10), 0), 0)), "")</f>
        <v/>
      </c>
      <c r="AM118" s="51" t="str">
        <f>IF(XT!$P118&gt;0,AL118,"")</f>
        <v/>
      </c>
      <c r="AN118" s="51" t="str">
        <f>IF(XT!$P118=0,AL118,"")</f>
        <v/>
      </c>
      <c r="AO118">
        <f>SUMPRODUCT((MONTH(CHOOSE({1,2,3,4},XT!U118,XT!Y118,XT!AC118,XT!AG118))=11)*(CHOOSE({1,2,3,4},XT!X118,XT!AB118,XT!AF118,XT!AJ118)))</f>
        <v>0</v>
      </c>
      <c r="AP118" t="str">
        <f>IFERROR(INDEX(CHOOSE({1,2,3,4}, DAY(XT!U118), DAY(XT!Y118), DAY(XT!AC118), DAY(XT!AG118)), MATCH(1, INDEX(--(MONTH(CHOOSE({1,2,3,4}, XT!U118,XT!Y118,XT!AC118,XT!AG118))=11), 0), 0)), "")</f>
        <v/>
      </c>
      <c r="AQ118" s="51" t="str">
        <f>IF(XT!$P118&gt;0,AP118,"")</f>
        <v/>
      </c>
      <c r="AR118" s="51" t="str">
        <f>IF(XT!$P118=0,AP118,"")</f>
        <v/>
      </c>
      <c r="AS118">
        <f>SUMPRODUCT((MONTH(CHOOSE({1,2,3,4},XT!U118,XT!Y118,XT!AC118,XT!AG118))=12)*(CHOOSE({1,2,3,4},XT!X118,XT!AB118,XT!AF118,XT!AJ118)))</f>
        <v>0</v>
      </c>
      <c r="AT118" t="str">
        <f>IFERROR(INDEX(CHOOSE({1,2,3,4}, DAY(XT!U118), DAY(XT!Y118), DAY(XT!AC118), DAY(XT!AG118)), MATCH(1, INDEX(--(MONTH(CHOOSE({1,2,3,4}, XT!U118,XT!Y118,XT!AC118,XT!AG118))=12), 0), 0)), "")</f>
        <v/>
      </c>
      <c r="AU118" s="51" t="str">
        <f>IF(XT!$P118&gt;0,AT118,"")</f>
        <v/>
      </c>
      <c r="AV118" s="51" t="str">
        <f>IF(XT!$P118=0,AT118,"")</f>
        <v/>
      </c>
    </row>
    <row r="119" spans="1:48">
      <c r="A119">
        <f>SUMPRODUCT((MONTH(CHOOSE({1,2,3,4},XT!U119,XT!Y119,XT!AC119,XT!AG119))=1)*(CHOOSE({1,2,3,4},XT!X119,XT!AB119,XT!AF119,XT!AJ119)))</f>
        <v>0</v>
      </c>
      <c r="B119">
        <f>IFERROR(INDEX(CHOOSE({1,2,3,4}, DAY(XT!U119), DAY(XT!Y119), DAY(XT!AC119), DAY(XT!AG119)), MATCH(1, INDEX(--(MONTH(CHOOSE({1,2,3,4}, XT!U119,XT!Y119,XT!AC119,XT!AG119))=1), 0), 0)), "")</f>
        <v>0</v>
      </c>
      <c r="C119" s="51" t="str">
        <f>IF(XT!$P119&gt;0,B119,"")</f>
        <v/>
      </c>
      <c r="D119" s="51">
        <f>IF(XT!$P119=0,B119,"")</f>
        <v>0</v>
      </c>
      <c r="E119">
        <f>SUMPRODUCT((MONTH(CHOOSE({1,2,3,4},XT!U119,XT!Y119,XT!AC119,XT!AG119))=2)*(CHOOSE({1,2,3,4},XT!X119,XT!AB119,XT!AF119,XT!AJ119)))</f>
        <v>0</v>
      </c>
      <c r="F119" t="str">
        <f>IFERROR(INDEX(CHOOSE({1,2,3,4}, DAY(XT!U119), DAY(XT!Y119), DAY(XT!AC119), DAY(XT!AG119)), MATCH(1, INDEX(--(MONTH(CHOOSE({1,2,3,4}, XT!U119,XT!Y119,XT!AC119,XT!AG119))=2), 0), 0)), "")</f>
        <v/>
      </c>
      <c r="G119" s="51" t="str">
        <f>IF(XT!$P119&gt;0,F119,"")</f>
        <v/>
      </c>
      <c r="H119" s="51" t="str">
        <f>IF(XT!$P119=0,F119,"")</f>
        <v/>
      </c>
      <c r="I119">
        <f>SUMPRODUCT((MONTH(CHOOSE({1,2,3,4},XT!U119,XT!Y119,XT!AC119,XT!AG119))=3)*(CHOOSE({1,2,3,4},XT!X119,XT!AB119,XT!AF119,XT!AJ119)))</f>
        <v>0</v>
      </c>
      <c r="J119" t="str">
        <f>IFERROR(INDEX(CHOOSE({1,2,3,4}, DAY(XT!U119), DAY(XT!Y119), DAY(XT!AC119), DAY(XT!AG119)), MATCH(1, INDEX(--(MONTH(CHOOSE({1,2,3,4}, XT!U119,XT!Y119,XT!AC119,XT!AG119))=3), 0), 0)), "")</f>
        <v/>
      </c>
      <c r="K119" s="51" t="str">
        <f>IF(XT!$P119&gt;0,J119,"")</f>
        <v/>
      </c>
      <c r="L119" s="51" t="str">
        <f>IF(XT!$P119=0,J119,"")</f>
        <v/>
      </c>
      <c r="M119">
        <f>SUMPRODUCT((MONTH(CHOOSE({1,2,3,4},XT!U119,XT!Y119,XT!AC119,XT!AG119))=4)*(CHOOSE({1,2,3,4},XT!X119,XT!AB119,XT!AF119,XT!AJ119)))</f>
        <v>0</v>
      </c>
      <c r="N119" t="str">
        <f>IFERROR(INDEX(CHOOSE({1,2,3,4}, DAY(XT!U119), DAY(XT!Y119), DAY(XT!AC119), DAY(XT!AG119)), MATCH(1, INDEX(--(MONTH(CHOOSE({1,2,3,4}, XT!U119,XT!Y119,XT!AC119,XT!AG119))=4), 0), 0)), "")</f>
        <v/>
      </c>
      <c r="O119" s="51" t="str">
        <f>IF(XT!$P119&gt;0,N119,"")</f>
        <v/>
      </c>
      <c r="P119" s="51" t="str">
        <f>IF(XT!$P119=0,N119,"")</f>
        <v/>
      </c>
      <c r="Q119">
        <f>SUMPRODUCT((MONTH(CHOOSE({1,2,3,4},XT!U119,XT!Y119,XT!AC119,XT!AG119))=5)*(CHOOSE({1,2,3,4},XT!X119,XT!AB119,XT!AF119,XT!AJ119)))</f>
        <v>0</v>
      </c>
      <c r="R119" t="str">
        <f>IFERROR(INDEX(CHOOSE({1,2,3,4}, DAY(XT!U119), DAY(XT!Y119), DAY(XT!AC119), DAY(XT!AG119)), MATCH(1, INDEX(--(MONTH(CHOOSE({1,2,3,4}, XT!U119,XT!Y119,XT!AC119,XT!AG119))=5), 0), 0)), "")</f>
        <v/>
      </c>
      <c r="S119" s="51" t="str">
        <f>IF(XT!$P119&gt;0,R119,"")</f>
        <v/>
      </c>
      <c r="T119" s="51" t="str">
        <f>IF(XT!$P119=0,R119,"")</f>
        <v/>
      </c>
      <c r="U119">
        <f>SUMPRODUCT((MONTH(CHOOSE({1,2,3,4},XT!U119,XT!Y119,XT!AC119,XT!AG119))=6)*(CHOOSE({1,2,3,4},XT!X119,XT!AB119,XT!AF119,XT!AJ119)))</f>
        <v>0</v>
      </c>
      <c r="V119" t="str">
        <f>IFERROR(INDEX(CHOOSE({1,2,3,4}, DAY(XT!U119), DAY(XT!Y119), DAY(XT!AC119), DAY(XT!AG119)), MATCH(1, INDEX(--(MONTH(CHOOSE({1,2,3,4}, XT!U119,XT!Y119,XT!AC119,XT!AG119))=6), 0), 0)), "")</f>
        <v/>
      </c>
      <c r="W119" s="51" t="str">
        <f>IF(XT!$P119&gt;0,V119,"")</f>
        <v/>
      </c>
      <c r="X119" s="51" t="str">
        <f>IF(XT!$P119=0,V119,"")</f>
        <v/>
      </c>
      <c r="Y119">
        <f>SUMPRODUCT((MONTH(CHOOSE({1,2,3,4},XT!U119,XT!Y119,XT!AC119,XT!AG119))=7)*(CHOOSE({1,2,3,4},XT!X119,XT!AB119,XT!AF119,XT!AJ119)))</f>
        <v>0</v>
      </c>
      <c r="Z119" t="str">
        <f>IFERROR(INDEX(CHOOSE({1,2,3,4}, DAY(XT!U119), DAY(XT!Y119), DAY(XT!AC119), DAY(XT!AG119)), MATCH(1, INDEX(--(MONTH(CHOOSE({1,2,3,4}, XT!U119,XT!Y119,XT!AC119,XT!AG119))=7), 0), 0)), "")</f>
        <v/>
      </c>
      <c r="AA119" s="51" t="str">
        <f>IF(XT!$P119&gt;0,Z119,"")</f>
        <v/>
      </c>
      <c r="AB119" s="51" t="str">
        <f>IF(XT!$P119=0,Z119,"")</f>
        <v/>
      </c>
      <c r="AC119">
        <f>SUMPRODUCT((MONTH(CHOOSE({1,2,3,4},XT!U119,XT!Y119,XT!AC119,XT!AG119))=8)*(CHOOSE({1,2,3,4},XT!X119,XT!AB119,XT!AF119,XT!AJ119)))</f>
        <v>0</v>
      </c>
      <c r="AD119" t="str">
        <f>IFERROR(INDEX(CHOOSE({1,2,3,4}, DAY(XT!U119), DAY(XT!Y119), DAY(XT!AC119), DAY(XT!AG119)), MATCH(1, INDEX(--(MONTH(CHOOSE({1,2,3,4}, XT!U119,XT!Y119,XT!AC119,XT!AG119))=8), 0), 0)), "")</f>
        <v/>
      </c>
      <c r="AE119" s="51" t="str">
        <f>IF(XT!$P119&gt;0,AD119,"")</f>
        <v/>
      </c>
      <c r="AF119" s="51" t="str">
        <f>IF(XT!$P119=0,AD119,"")</f>
        <v/>
      </c>
      <c r="AG119">
        <f>SUMPRODUCT((MONTH(CHOOSE({1,2,3,4},XT!U119,XT!Y119,XT!AC119,XT!AG119))=9)*(CHOOSE({1,2,3,4},XT!X119,XT!AB119,XT!AF119,XT!AJ119)))</f>
        <v>0</v>
      </c>
      <c r="AH119" t="str">
        <f>IFERROR(INDEX(CHOOSE({1,2,3,4}, DAY(XT!U119), DAY(XT!Y119), DAY(XT!AC119), DAY(XT!AG119)), MATCH(1, INDEX(--(MONTH(CHOOSE({1,2,3,4}, XT!U119,XT!Y119,XT!AC119,XT!AG119))=9), 0), 0)), "")</f>
        <v/>
      </c>
      <c r="AI119" s="51" t="str">
        <f>IF(XT!$P119&gt;0,AH119,"")</f>
        <v/>
      </c>
      <c r="AJ119" s="51" t="str">
        <f>IF(XT!$P119=0,AH119,"")</f>
        <v/>
      </c>
      <c r="AK119">
        <f>SUMPRODUCT((MONTH(CHOOSE({1,2,3,4},XT!U119,XT!Y119,XT!AC119,XT!AG119))=10)*(CHOOSE({1,2,3,4},XT!X119,XT!AB119,XT!AF119,XT!AJ119)))</f>
        <v>0</v>
      </c>
      <c r="AL119" t="str">
        <f>IFERROR(INDEX(CHOOSE({1,2,3,4}, DAY(XT!U119), DAY(XT!Y119), DAY(XT!AC119), DAY(XT!AG119)), MATCH(1, INDEX(--(MONTH(CHOOSE({1,2,3,4}, XT!U119,XT!Y119,XT!AC119,XT!AG119))=10), 0), 0)), "")</f>
        <v/>
      </c>
      <c r="AM119" s="51" t="str">
        <f>IF(XT!$P119&gt;0,AL119,"")</f>
        <v/>
      </c>
      <c r="AN119" s="51" t="str">
        <f>IF(XT!$P119=0,AL119,"")</f>
        <v/>
      </c>
      <c r="AO119">
        <f>SUMPRODUCT((MONTH(CHOOSE({1,2,3,4},XT!U119,XT!Y119,XT!AC119,XT!AG119))=11)*(CHOOSE({1,2,3,4},XT!X119,XT!AB119,XT!AF119,XT!AJ119)))</f>
        <v>0</v>
      </c>
      <c r="AP119" t="str">
        <f>IFERROR(INDEX(CHOOSE({1,2,3,4}, DAY(XT!U119), DAY(XT!Y119), DAY(XT!AC119), DAY(XT!AG119)), MATCH(1, INDEX(--(MONTH(CHOOSE({1,2,3,4}, XT!U119,XT!Y119,XT!AC119,XT!AG119))=11), 0), 0)), "")</f>
        <v/>
      </c>
      <c r="AQ119" s="51" t="str">
        <f>IF(XT!$P119&gt;0,AP119,"")</f>
        <v/>
      </c>
      <c r="AR119" s="51" t="str">
        <f>IF(XT!$P119=0,AP119,"")</f>
        <v/>
      </c>
      <c r="AS119">
        <f>SUMPRODUCT((MONTH(CHOOSE({1,2,3,4},XT!U119,XT!Y119,XT!AC119,XT!AG119))=12)*(CHOOSE({1,2,3,4},XT!X119,XT!AB119,XT!AF119,XT!AJ119)))</f>
        <v>0</v>
      </c>
      <c r="AT119" t="str">
        <f>IFERROR(INDEX(CHOOSE({1,2,3,4}, DAY(XT!U119), DAY(XT!Y119), DAY(XT!AC119), DAY(XT!AG119)), MATCH(1, INDEX(--(MONTH(CHOOSE({1,2,3,4}, XT!U119,XT!Y119,XT!AC119,XT!AG119))=12), 0), 0)), "")</f>
        <v/>
      </c>
      <c r="AU119" s="51" t="str">
        <f>IF(XT!$P119&gt;0,AT119,"")</f>
        <v/>
      </c>
      <c r="AV119" s="51" t="str">
        <f>IF(XT!$P119=0,AT119,"")</f>
        <v/>
      </c>
    </row>
    <row r="120" spans="1:48">
      <c r="A120">
        <f>SUMPRODUCT((MONTH(CHOOSE({1,2,3,4},XT!U120,XT!Y120,XT!AC120,XT!AG120))=1)*(CHOOSE({1,2,3,4},XT!X120,XT!AB120,XT!AF120,XT!AJ120)))</f>
        <v>0</v>
      </c>
      <c r="B120">
        <f>IFERROR(INDEX(CHOOSE({1,2,3,4}, DAY(XT!U120), DAY(XT!Y120), DAY(XT!AC120), DAY(XT!AG120)), MATCH(1, INDEX(--(MONTH(CHOOSE({1,2,3,4}, XT!U120,XT!Y120,XT!AC120,XT!AG120))=1), 0), 0)), "")</f>
        <v>0</v>
      </c>
      <c r="C120" s="51" t="str">
        <f>IF(XT!$P120&gt;0,B120,"")</f>
        <v/>
      </c>
      <c r="D120" s="51">
        <f>IF(XT!$P120=0,B120,"")</f>
        <v>0</v>
      </c>
      <c r="E120">
        <f>SUMPRODUCT((MONTH(CHOOSE({1,2,3,4},XT!U120,XT!Y120,XT!AC120,XT!AG120))=2)*(CHOOSE({1,2,3,4},XT!X120,XT!AB120,XT!AF120,XT!AJ120)))</f>
        <v>0</v>
      </c>
      <c r="F120" t="str">
        <f>IFERROR(INDEX(CHOOSE({1,2,3,4}, DAY(XT!U120), DAY(XT!Y120), DAY(XT!AC120), DAY(XT!AG120)), MATCH(1, INDEX(--(MONTH(CHOOSE({1,2,3,4}, XT!U120,XT!Y120,XT!AC120,XT!AG120))=2), 0), 0)), "")</f>
        <v/>
      </c>
      <c r="G120" s="51" t="str">
        <f>IF(XT!$P120&gt;0,F120,"")</f>
        <v/>
      </c>
      <c r="H120" s="51" t="str">
        <f>IF(XT!$P120=0,F120,"")</f>
        <v/>
      </c>
      <c r="I120">
        <f>SUMPRODUCT((MONTH(CHOOSE({1,2,3,4},XT!U120,XT!Y120,XT!AC120,XT!AG120))=3)*(CHOOSE({1,2,3,4},XT!X120,XT!AB120,XT!AF120,XT!AJ120)))</f>
        <v>0</v>
      </c>
      <c r="J120" t="str">
        <f>IFERROR(INDEX(CHOOSE({1,2,3,4}, DAY(XT!U120), DAY(XT!Y120), DAY(XT!AC120), DAY(XT!AG120)), MATCH(1, INDEX(--(MONTH(CHOOSE({1,2,3,4}, XT!U120,XT!Y120,XT!AC120,XT!AG120))=3), 0), 0)), "")</f>
        <v/>
      </c>
      <c r="K120" s="51" t="str">
        <f>IF(XT!$P120&gt;0,J120,"")</f>
        <v/>
      </c>
      <c r="L120" s="51" t="str">
        <f>IF(XT!$P120=0,J120,"")</f>
        <v/>
      </c>
      <c r="M120">
        <f>SUMPRODUCT((MONTH(CHOOSE({1,2,3,4},XT!U120,XT!Y120,XT!AC120,XT!AG120))=4)*(CHOOSE({1,2,3,4},XT!X120,XT!AB120,XT!AF120,XT!AJ120)))</f>
        <v>0</v>
      </c>
      <c r="N120" t="str">
        <f>IFERROR(INDEX(CHOOSE({1,2,3,4}, DAY(XT!U120), DAY(XT!Y120), DAY(XT!AC120), DAY(XT!AG120)), MATCH(1, INDEX(--(MONTH(CHOOSE({1,2,3,4}, XT!U120,XT!Y120,XT!AC120,XT!AG120))=4), 0), 0)), "")</f>
        <v/>
      </c>
      <c r="O120" s="51" t="str">
        <f>IF(XT!$P120&gt;0,N120,"")</f>
        <v/>
      </c>
      <c r="P120" s="51" t="str">
        <f>IF(XT!$P120=0,N120,"")</f>
        <v/>
      </c>
      <c r="Q120">
        <f>SUMPRODUCT((MONTH(CHOOSE({1,2,3,4},XT!U120,XT!Y120,XT!AC120,XT!AG120))=5)*(CHOOSE({1,2,3,4},XT!X120,XT!AB120,XT!AF120,XT!AJ120)))</f>
        <v>0</v>
      </c>
      <c r="R120" t="str">
        <f>IFERROR(INDEX(CHOOSE({1,2,3,4}, DAY(XT!U120), DAY(XT!Y120), DAY(XT!AC120), DAY(XT!AG120)), MATCH(1, INDEX(--(MONTH(CHOOSE({1,2,3,4}, XT!U120,XT!Y120,XT!AC120,XT!AG120))=5), 0), 0)), "")</f>
        <v/>
      </c>
      <c r="S120" s="51" t="str">
        <f>IF(XT!$P120&gt;0,R120,"")</f>
        <v/>
      </c>
      <c r="T120" s="51" t="str">
        <f>IF(XT!$P120=0,R120,"")</f>
        <v/>
      </c>
      <c r="U120">
        <f>SUMPRODUCT((MONTH(CHOOSE({1,2,3,4},XT!U120,XT!Y120,XT!AC120,XT!AG120))=6)*(CHOOSE({1,2,3,4},XT!X120,XT!AB120,XT!AF120,XT!AJ120)))</f>
        <v>0</v>
      </c>
      <c r="V120" t="str">
        <f>IFERROR(INDEX(CHOOSE({1,2,3,4}, DAY(XT!U120), DAY(XT!Y120), DAY(XT!AC120), DAY(XT!AG120)), MATCH(1, INDEX(--(MONTH(CHOOSE({1,2,3,4}, XT!U120,XT!Y120,XT!AC120,XT!AG120))=6), 0), 0)), "")</f>
        <v/>
      </c>
      <c r="W120" s="51" t="str">
        <f>IF(XT!$P120&gt;0,V120,"")</f>
        <v/>
      </c>
      <c r="X120" s="51" t="str">
        <f>IF(XT!$P120=0,V120,"")</f>
        <v/>
      </c>
      <c r="Y120">
        <f>SUMPRODUCT((MONTH(CHOOSE({1,2,3,4},XT!U120,XT!Y120,XT!AC120,XT!AG120))=7)*(CHOOSE({1,2,3,4},XT!X120,XT!AB120,XT!AF120,XT!AJ120)))</f>
        <v>0</v>
      </c>
      <c r="Z120" t="str">
        <f>IFERROR(INDEX(CHOOSE({1,2,3,4}, DAY(XT!U120), DAY(XT!Y120), DAY(XT!AC120), DAY(XT!AG120)), MATCH(1, INDEX(--(MONTH(CHOOSE({1,2,3,4}, XT!U120,XT!Y120,XT!AC120,XT!AG120))=7), 0), 0)), "")</f>
        <v/>
      </c>
      <c r="AA120" s="51" t="str">
        <f>IF(XT!$P120&gt;0,Z120,"")</f>
        <v/>
      </c>
      <c r="AB120" s="51" t="str">
        <f>IF(XT!$P120=0,Z120,"")</f>
        <v/>
      </c>
      <c r="AC120">
        <f>SUMPRODUCT((MONTH(CHOOSE({1,2,3,4},XT!U120,XT!Y120,XT!AC120,XT!AG120))=8)*(CHOOSE({1,2,3,4},XT!X120,XT!AB120,XT!AF120,XT!AJ120)))</f>
        <v>0</v>
      </c>
      <c r="AD120" t="str">
        <f>IFERROR(INDEX(CHOOSE({1,2,3,4}, DAY(XT!U120), DAY(XT!Y120), DAY(XT!AC120), DAY(XT!AG120)), MATCH(1, INDEX(--(MONTH(CHOOSE({1,2,3,4}, XT!U120,XT!Y120,XT!AC120,XT!AG120))=8), 0), 0)), "")</f>
        <v/>
      </c>
      <c r="AE120" s="51" t="str">
        <f>IF(XT!$P120&gt;0,AD120,"")</f>
        <v/>
      </c>
      <c r="AF120" s="51" t="str">
        <f>IF(XT!$P120=0,AD120,"")</f>
        <v/>
      </c>
      <c r="AG120">
        <f>SUMPRODUCT((MONTH(CHOOSE({1,2,3,4},XT!U120,XT!Y120,XT!AC120,XT!AG120))=9)*(CHOOSE({1,2,3,4},XT!X120,XT!AB120,XT!AF120,XT!AJ120)))</f>
        <v>0</v>
      </c>
      <c r="AH120" t="str">
        <f>IFERROR(INDEX(CHOOSE({1,2,3,4}, DAY(XT!U120), DAY(XT!Y120), DAY(XT!AC120), DAY(XT!AG120)), MATCH(1, INDEX(--(MONTH(CHOOSE({1,2,3,4}, XT!U120,XT!Y120,XT!AC120,XT!AG120))=9), 0), 0)), "")</f>
        <v/>
      </c>
      <c r="AI120" s="51" t="str">
        <f>IF(XT!$P120&gt;0,AH120,"")</f>
        <v/>
      </c>
      <c r="AJ120" s="51" t="str">
        <f>IF(XT!$P120=0,AH120,"")</f>
        <v/>
      </c>
      <c r="AK120">
        <f>SUMPRODUCT((MONTH(CHOOSE({1,2,3,4},XT!U120,XT!Y120,XT!AC120,XT!AG120))=10)*(CHOOSE({1,2,3,4},XT!X120,XT!AB120,XT!AF120,XT!AJ120)))</f>
        <v>0</v>
      </c>
      <c r="AL120" t="str">
        <f>IFERROR(INDEX(CHOOSE({1,2,3,4}, DAY(XT!U120), DAY(XT!Y120), DAY(XT!AC120), DAY(XT!AG120)), MATCH(1, INDEX(--(MONTH(CHOOSE({1,2,3,4}, XT!U120,XT!Y120,XT!AC120,XT!AG120))=10), 0), 0)), "")</f>
        <v/>
      </c>
      <c r="AM120" s="51" t="str">
        <f>IF(XT!$P120&gt;0,AL120,"")</f>
        <v/>
      </c>
      <c r="AN120" s="51" t="str">
        <f>IF(XT!$P120=0,AL120,"")</f>
        <v/>
      </c>
      <c r="AO120">
        <f>SUMPRODUCT((MONTH(CHOOSE({1,2,3,4},XT!U120,XT!Y120,XT!AC120,XT!AG120))=11)*(CHOOSE({1,2,3,4},XT!X120,XT!AB120,XT!AF120,XT!AJ120)))</f>
        <v>0</v>
      </c>
      <c r="AP120" t="str">
        <f>IFERROR(INDEX(CHOOSE({1,2,3,4}, DAY(XT!U120), DAY(XT!Y120), DAY(XT!AC120), DAY(XT!AG120)), MATCH(1, INDEX(--(MONTH(CHOOSE({1,2,3,4}, XT!U120,XT!Y120,XT!AC120,XT!AG120))=11), 0), 0)), "")</f>
        <v/>
      </c>
      <c r="AQ120" s="51" t="str">
        <f>IF(XT!$P120&gt;0,AP120,"")</f>
        <v/>
      </c>
      <c r="AR120" s="51" t="str">
        <f>IF(XT!$P120=0,AP120,"")</f>
        <v/>
      </c>
      <c r="AS120">
        <f>SUMPRODUCT((MONTH(CHOOSE({1,2,3,4},XT!U120,XT!Y120,XT!AC120,XT!AG120))=12)*(CHOOSE({1,2,3,4},XT!X120,XT!AB120,XT!AF120,XT!AJ120)))</f>
        <v>0</v>
      </c>
      <c r="AT120" t="str">
        <f>IFERROR(INDEX(CHOOSE({1,2,3,4}, DAY(XT!U120), DAY(XT!Y120), DAY(XT!AC120), DAY(XT!AG120)), MATCH(1, INDEX(--(MONTH(CHOOSE({1,2,3,4}, XT!U120,XT!Y120,XT!AC120,XT!AG120))=12), 0), 0)), "")</f>
        <v/>
      </c>
      <c r="AU120" s="51" t="str">
        <f>IF(XT!$P120&gt;0,AT120,"")</f>
        <v/>
      </c>
      <c r="AV120" s="51" t="str">
        <f>IF(XT!$P120=0,AT120,"")</f>
        <v/>
      </c>
    </row>
    <row r="121" spans="1:48">
      <c r="A121">
        <f>SUMPRODUCT((MONTH(CHOOSE({1,2,3,4},XT!U121,XT!Y121,XT!AC121,XT!AG121))=1)*(CHOOSE({1,2,3,4},XT!X121,XT!AB121,XT!AF121,XT!AJ121)))</f>
        <v>0</v>
      </c>
      <c r="B121">
        <f>IFERROR(INDEX(CHOOSE({1,2,3,4}, DAY(XT!U121), DAY(XT!Y121), DAY(XT!AC121), DAY(XT!AG121)), MATCH(1, INDEX(--(MONTH(CHOOSE({1,2,3,4}, XT!U121,XT!Y121,XT!AC121,XT!AG121))=1), 0), 0)), "")</f>
        <v>0</v>
      </c>
      <c r="C121" s="51" t="str">
        <f>IF(XT!$P121&gt;0,B121,"")</f>
        <v/>
      </c>
      <c r="D121" s="51">
        <f>IF(XT!$P121=0,B121,"")</f>
        <v>0</v>
      </c>
      <c r="E121">
        <f>SUMPRODUCT((MONTH(CHOOSE({1,2,3,4},XT!U121,XT!Y121,XT!AC121,XT!AG121))=2)*(CHOOSE({1,2,3,4},XT!X121,XT!AB121,XT!AF121,XT!AJ121)))</f>
        <v>0</v>
      </c>
      <c r="F121" t="str">
        <f>IFERROR(INDEX(CHOOSE({1,2,3,4}, DAY(XT!U121), DAY(XT!Y121), DAY(XT!AC121), DAY(XT!AG121)), MATCH(1, INDEX(--(MONTH(CHOOSE({1,2,3,4}, XT!U121,XT!Y121,XT!AC121,XT!AG121))=2), 0), 0)), "")</f>
        <v/>
      </c>
      <c r="G121" s="51" t="str">
        <f>IF(XT!$P121&gt;0,F121,"")</f>
        <v/>
      </c>
      <c r="H121" s="51" t="str">
        <f>IF(XT!$P121=0,F121,"")</f>
        <v/>
      </c>
      <c r="I121">
        <f>SUMPRODUCT((MONTH(CHOOSE({1,2,3,4},XT!U121,XT!Y121,XT!AC121,XT!AG121))=3)*(CHOOSE({1,2,3,4},XT!X121,XT!AB121,XT!AF121,XT!AJ121)))</f>
        <v>0</v>
      </c>
      <c r="J121" t="str">
        <f>IFERROR(INDEX(CHOOSE({1,2,3,4}, DAY(XT!U121), DAY(XT!Y121), DAY(XT!AC121), DAY(XT!AG121)), MATCH(1, INDEX(--(MONTH(CHOOSE({1,2,3,4}, XT!U121,XT!Y121,XT!AC121,XT!AG121))=3), 0), 0)), "")</f>
        <v/>
      </c>
      <c r="K121" s="51" t="str">
        <f>IF(XT!$P121&gt;0,J121,"")</f>
        <v/>
      </c>
      <c r="L121" s="51" t="str">
        <f>IF(XT!$P121=0,J121,"")</f>
        <v/>
      </c>
      <c r="M121">
        <f>SUMPRODUCT((MONTH(CHOOSE({1,2,3,4},XT!U121,XT!Y121,XT!AC121,XT!AG121))=4)*(CHOOSE({1,2,3,4},XT!X121,XT!AB121,XT!AF121,XT!AJ121)))</f>
        <v>0</v>
      </c>
      <c r="N121" t="str">
        <f>IFERROR(INDEX(CHOOSE({1,2,3,4}, DAY(XT!U121), DAY(XT!Y121), DAY(XT!AC121), DAY(XT!AG121)), MATCH(1, INDEX(--(MONTH(CHOOSE({1,2,3,4}, XT!U121,XT!Y121,XT!AC121,XT!AG121))=4), 0), 0)), "")</f>
        <v/>
      </c>
      <c r="O121" s="51" t="str">
        <f>IF(XT!$P121&gt;0,N121,"")</f>
        <v/>
      </c>
      <c r="P121" s="51" t="str">
        <f>IF(XT!$P121=0,N121,"")</f>
        <v/>
      </c>
      <c r="Q121">
        <f>SUMPRODUCT((MONTH(CHOOSE({1,2,3,4},XT!U121,XT!Y121,XT!AC121,XT!AG121))=5)*(CHOOSE({1,2,3,4},XT!X121,XT!AB121,XT!AF121,XT!AJ121)))</f>
        <v>0</v>
      </c>
      <c r="R121" t="str">
        <f>IFERROR(INDEX(CHOOSE({1,2,3,4}, DAY(XT!U121), DAY(XT!Y121), DAY(XT!AC121), DAY(XT!AG121)), MATCH(1, INDEX(--(MONTH(CHOOSE({1,2,3,4}, XT!U121,XT!Y121,XT!AC121,XT!AG121))=5), 0), 0)), "")</f>
        <v/>
      </c>
      <c r="S121" s="51" t="str">
        <f>IF(XT!$P121&gt;0,R121,"")</f>
        <v/>
      </c>
      <c r="T121" s="51" t="str">
        <f>IF(XT!$P121=0,R121,"")</f>
        <v/>
      </c>
      <c r="U121">
        <f>SUMPRODUCT((MONTH(CHOOSE({1,2,3,4},XT!U121,XT!Y121,XT!AC121,XT!AG121))=6)*(CHOOSE({1,2,3,4},XT!X121,XT!AB121,XT!AF121,XT!AJ121)))</f>
        <v>0</v>
      </c>
      <c r="V121" t="str">
        <f>IFERROR(INDEX(CHOOSE({1,2,3,4}, DAY(XT!U121), DAY(XT!Y121), DAY(XT!AC121), DAY(XT!AG121)), MATCH(1, INDEX(--(MONTH(CHOOSE({1,2,3,4}, XT!U121,XT!Y121,XT!AC121,XT!AG121))=6), 0), 0)), "")</f>
        <v/>
      </c>
      <c r="W121" s="51" t="str">
        <f>IF(XT!$P121&gt;0,V121,"")</f>
        <v/>
      </c>
      <c r="X121" s="51" t="str">
        <f>IF(XT!$P121=0,V121,"")</f>
        <v/>
      </c>
      <c r="Y121">
        <f>SUMPRODUCT((MONTH(CHOOSE({1,2,3,4},XT!U121,XT!Y121,XT!AC121,XT!AG121))=7)*(CHOOSE({1,2,3,4},XT!X121,XT!AB121,XT!AF121,XT!AJ121)))</f>
        <v>0</v>
      </c>
      <c r="Z121" t="str">
        <f>IFERROR(INDEX(CHOOSE({1,2,3,4}, DAY(XT!U121), DAY(XT!Y121), DAY(XT!AC121), DAY(XT!AG121)), MATCH(1, INDEX(--(MONTH(CHOOSE({1,2,3,4}, XT!U121,XT!Y121,XT!AC121,XT!AG121))=7), 0), 0)), "")</f>
        <v/>
      </c>
      <c r="AA121" s="51" t="str">
        <f>IF(XT!$P121&gt;0,Z121,"")</f>
        <v/>
      </c>
      <c r="AB121" s="51" t="str">
        <f>IF(XT!$P121=0,Z121,"")</f>
        <v/>
      </c>
      <c r="AC121">
        <f>SUMPRODUCT((MONTH(CHOOSE({1,2,3,4},XT!U121,XT!Y121,XT!AC121,XT!AG121))=8)*(CHOOSE({1,2,3,4},XT!X121,XT!AB121,XT!AF121,XT!AJ121)))</f>
        <v>0</v>
      </c>
      <c r="AD121" t="str">
        <f>IFERROR(INDEX(CHOOSE({1,2,3,4}, DAY(XT!U121), DAY(XT!Y121), DAY(XT!AC121), DAY(XT!AG121)), MATCH(1, INDEX(--(MONTH(CHOOSE({1,2,3,4}, XT!U121,XT!Y121,XT!AC121,XT!AG121))=8), 0), 0)), "")</f>
        <v/>
      </c>
      <c r="AE121" s="51" t="str">
        <f>IF(XT!$P121&gt;0,AD121,"")</f>
        <v/>
      </c>
      <c r="AF121" s="51" t="str">
        <f>IF(XT!$P121=0,AD121,"")</f>
        <v/>
      </c>
      <c r="AG121">
        <f>SUMPRODUCT((MONTH(CHOOSE({1,2,3,4},XT!U121,XT!Y121,XT!AC121,XT!AG121))=9)*(CHOOSE({1,2,3,4},XT!X121,XT!AB121,XT!AF121,XT!AJ121)))</f>
        <v>0</v>
      </c>
      <c r="AH121" t="str">
        <f>IFERROR(INDEX(CHOOSE({1,2,3,4}, DAY(XT!U121), DAY(XT!Y121), DAY(XT!AC121), DAY(XT!AG121)), MATCH(1, INDEX(--(MONTH(CHOOSE({1,2,3,4}, XT!U121,XT!Y121,XT!AC121,XT!AG121))=9), 0), 0)), "")</f>
        <v/>
      </c>
      <c r="AI121" s="51" t="str">
        <f>IF(XT!$P121&gt;0,AH121,"")</f>
        <v/>
      </c>
      <c r="AJ121" s="51" t="str">
        <f>IF(XT!$P121=0,AH121,"")</f>
        <v/>
      </c>
      <c r="AK121">
        <f>SUMPRODUCT((MONTH(CHOOSE({1,2,3,4},XT!U121,XT!Y121,XT!AC121,XT!AG121))=10)*(CHOOSE({1,2,3,4},XT!X121,XT!AB121,XT!AF121,XT!AJ121)))</f>
        <v>0</v>
      </c>
      <c r="AL121" t="str">
        <f>IFERROR(INDEX(CHOOSE({1,2,3,4}, DAY(XT!U121), DAY(XT!Y121), DAY(XT!AC121), DAY(XT!AG121)), MATCH(1, INDEX(--(MONTH(CHOOSE({1,2,3,4}, XT!U121,XT!Y121,XT!AC121,XT!AG121))=10), 0), 0)), "")</f>
        <v/>
      </c>
      <c r="AM121" s="51" t="str">
        <f>IF(XT!$P121&gt;0,AL121,"")</f>
        <v/>
      </c>
      <c r="AN121" s="51" t="str">
        <f>IF(XT!$P121=0,AL121,"")</f>
        <v/>
      </c>
      <c r="AO121">
        <f>SUMPRODUCT((MONTH(CHOOSE({1,2,3,4},XT!U121,XT!Y121,XT!AC121,XT!AG121))=11)*(CHOOSE({1,2,3,4},XT!X121,XT!AB121,XT!AF121,XT!AJ121)))</f>
        <v>0</v>
      </c>
      <c r="AP121" t="str">
        <f>IFERROR(INDEX(CHOOSE({1,2,3,4}, DAY(XT!U121), DAY(XT!Y121), DAY(XT!AC121), DAY(XT!AG121)), MATCH(1, INDEX(--(MONTH(CHOOSE({1,2,3,4}, XT!U121,XT!Y121,XT!AC121,XT!AG121))=11), 0), 0)), "")</f>
        <v/>
      </c>
      <c r="AQ121" s="51" t="str">
        <f>IF(XT!$P121&gt;0,AP121,"")</f>
        <v/>
      </c>
      <c r="AR121" s="51" t="str">
        <f>IF(XT!$P121=0,AP121,"")</f>
        <v/>
      </c>
      <c r="AS121">
        <f>SUMPRODUCT((MONTH(CHOOSE({1,2,3,4},XT!U121,XT!Y121,XT!AC121,XT!AG121))=12)*(CHOOSE({1,2,3,4},XT!X121,XT!AB121,XT!AF121,XT!AJ121)))</f>
        <v>0</v>
      </c>
      <c r="AT121" t="str">
        <f>IFERROR(INDEX(CHOOSE({1,2,3,4}, DAY(XT!U121), DAY(XT!Y121), DAY(XT!AC121), DAY(XT!AG121)), MATCH(1, INDEX(--(MONTH(CHOOSE({1,2,3,4}, XT!U121,XT!Y121,XT!AC121,XT!AG121))=12), 0), 0)), "")</f>
        <v/>
      </c>
      <c r="AU121" s="51" t="str">
        <f>IF(XT!$P121&gt;0,AT121,"")</f>
        <v/>
      </c>
      <c r="AV121" s="51" t="str">
        <f>IF(XT!$P121=0,AT121,"")</f>
        <v/>
      </c>
    </row>
    <row r="122" spans="1:48">
      <c r="A122">
        <f>SUMPRODUCT((MONTH(CHOOSE({1,2,3,4},XT!U122,XT!Y122,XT!AC122,XT!AG122))=1)*(CHOOSE({1,2,3,4},XT!X122,XT!AB122,XT!AF122,XT!AJ122)))</f>
        <v>0</v>
      </c>
      <c r="B122">
        <f>IFERROR(INDEX(CHOOSE({1,2,3,4}, DAY(XT!U122), DAY(XT!Y122), DAY(XT!AC122), DAY(XT!AG122)), MATCH(1, INDEX(--(MONTH(CHOOSE({1,2,3,4}, XT!U122,XT!Y122,XT!AC122,XT!AG122))=1), 0), 0)), "")</f>
        <v>0</v>
      </c>
      <c r="C122" s="51" t="str">
        <f>IF(XT!$P122&gt;0,B122,"")</f>
        <v/>
      </c>
      <c r="D122" s="51">
        <f>IF(XT!$P122=0,B122,"")</f>
        <v>0</v>
      </c>
      <c r="E122">
        <f>SUMPRODUCT((MONTH(CHOOSE({1,2,3,4},XT!U122,XT!Y122,XT!AC122,XT!AG122))=2)*(CHOOSE({1,2,3,4},XT!X122,XT!AB122,XT!AF122,XT!AJ122)))</f>
        <v>0</v>
      </c>
      <c r="F122" t="str">
        <f>IFERROR(INDEX(CHOOSE({1,2,3,4}, DAY(XT!U122), DAY(XT!Y122), DAY(XT!AC122), DAY(XT!AG122)), MATCH(1, INDEX(--(MONTH(CHOOSE({1,2,3,4}, XT!U122,XT!Y122,XT!AC122,XT!AG122))=2), 0), 0)), "")</f>
        <v/>
      </c>
      <c r="G122" s="51" t="str">
        <f>IF(XT!$P122&gt;0,F122,"")</f>
        <v/>
      </c>
      <c r="H122" s="51" t="str">
        <f>IF(XT!$P122=0,F122,"")</f>
        <v/>
      </c>
      <c r="I122">
        <f>SUMPRODUCT((MONTH(CHOOSE({1,2,3,4},XT!U122,XT!Y122,XT!AC122,XT!AG122))=3)*(CHOOSE({1,2,3,4},XT!X122,XT!AB122,XT!AF122,XT!AJ122)))</f>
        <v>0</v>
      </c>
      <c r="J122" t="str">
        <f>IFERROR(INDEX(CHOOSE({1,2,3,4}, DAY(XT!U122), DAY(XT!Y122), DAY(XT!AC122), DAY(XT!AG122)), MATCH(1, INDEX(--(MONTH(CHOOSE({1,2,3,4}, XT!U122,XT!Y122,XT!AC122,XT!AG122))=3), 0), 0)), "")</f>
        <v/>
      </c>
      <c r="K122" s="51" t="str">
        <f>IF(XT!$P122&gt;0,J122,"")</f>
        <v/>
      </c>
      <c r="L122" s="51" t="str">
        <f>IF(XT!$P122=0,J122,"")</f>
        <v/>
      </c>
      <c r="M122">
        <f>SUMPRODUCT((MONTH(CHOOSE({1,2,3,4},XT!U122,XT!Y122,XT!AC122,XT!AG122))=4)*(CHOOSE({1,2,3,4},XT!X122,XT!AB122,XT!AF122,XT!AJ122)))</f>
        <v>0</v>
      </c>
      <c r="N122" t="str">
        <f>IFERROR(INDEX(CHOOSE({1,2,3,4}, DAY(XT!U122), DAY(XT!Y122), DAY(XT!AC122), DAY(XT!AG122)), MATCH(1, INDEX(--(MONTH(CHOOSE({1,2,3,4}, XT!U122,XT!Y122,XT!AC122,XT!AG122))=4), 0), 0)), "")</f>
        <v/>
      </c>
      <c r="O122" s="51" t="str">
        <f>IF(XT!$P122&gt;0,N122,"")</f>
        <v/>
      </c>
      <c r="P122" s="51" t="str">
        <f>IF(XT!$P122=0,N122,"")</f>
        <v/>
      </c>
      <c r="Q122">
        <f>SUMPRODUCT((MONTH(CHOOSE({1,2,3,4},XT!U122,XT!Y122,XT!AC122,XT!AG122))=5)*(CHOOSE({1,2,3,4},XT!X122,XT!AB122,XT!AF122,XT!AJ122)))</f>
        <v>0</v>
      </c>
      <c r="R122" t="str">
        <f>IFERROR(INDEX(CHOOSE({1,2,3,4}, DAY(XT!U122), DAY(XT!Y122), DAY(XT!AC122), DAY(XT!AG122)), MATCH(1, INDEX(--(MONTH(CHOOSE({1,2,3,4}, XT!U122,XT!Y122,XT!AC122,XT!AG122))=5), 0), 0)), "")</f>
        <v/>
      </c>
      <c r="S122" s="51" t="str">
        <f>IF(XT!$P122&gt;0,R122,"")</f>
        <v/>
      </c>
      <c r="T122" s="51" t="str">
        <f>IF(XT!$P122=0,R122,"")</f>
        <v/>
      </c>
      <c r="U122">
        <f>SUMPRODUCT((MONTH(CHOOSE({1,2,3,4},XT!U122,XT!Y122,XT!AC122,XT!AG122))=6)*(CHOOSE({1,2,3,4},XT!X122,XT!AB122,XT!AF122,XT!AJ122)))</f>
        <v>0</v>
      </c>
      <c r="V122" t="str">
        <f>IFERROR(INDEX(CHOOSE({1,2,3,4}, DAY(XT!U122), DAY(XT!Y122), DAY(XT!AC122), DAY(XT!AG122)), MATCH(1, INDEX(--(MONTH(CHOOSE({1,2,3,4}, XT!U122,XT!Y122,XT!AC122,XT!AG122))=6), 0), 0)), "")</f>
        <v/>
      </c>
      <c r="W122" s="51" t="str">
        <f>IF(XT!$P122&gt;0,V122,"")</f>
        <v/>
      </c>
      <c r="X122" s="51" t="str">
        <f>IF(XT!$P122=0,V122,"")</f>
        <v/>
      </c>
      <c r="Y122">
        <f>SUMPRODUCT((MONTH(CHOOSE({1,2,3,4},XT!U122,XT!Y122,XT!AC122,XT!AG122))=7)*(CHOOSE({1,2,3,4},XT!X122,XT!AB122,XT!AF122,XT!AJ122)))</f>
        <v>0</v>
      </c>
      <c r="Z122" t="str">
        <f>IFERROR(INDEX(CHOOSE({1,2,3,4}, DAY(XT!U122), DAY(XT!Y122), DAY(XT!AC122), DAY(XT!AG122)), MATCH(1, INDEX(--(MONTH(CHOOSE({1,2,3,4}, XT!U122,XT!Y122,XT!AC122,XT!AG122))=7), 0), 0)), "")</f>
        <v/>
      </c>
      <c r="AA122" s="51" t="str">
        <f>IF(XT!$P122&gt;0,Z122,"")</f>
        <v/>
      </c>
      <c r="AB122" s="51" t="str">
        <f>IF(XT!$P122=0,Z122,"")</f>
        <v/>
      </c>
      <c r="AC122">
        <f>SUMPRODUCT((MONTH(CHOOSE({1,2,3,4},XT!U122,XT!Y122,XT!AC122,XT!AG122))=8)*(CHOOSE({1,2,3,4},XT!X122,XT!AB122,XT!AF122,XT!AJ122)))</f>
        <v>0</v>
      </c>
      <c r="AD122" t="str">
        <f>IFERROR(INDEX(CHOOSE({1,2,3,4}, DAY(XT!U122), DAY(XT!Y122), DAY(XT!AC122), DAY(XT!AG122)), MATCH(1, INDEX(--(MONTH(CHOOSE({1,2,3,4}, XT!U122,XT!Y122,XT!AC122,XT!AG122))=8), 0), 0)), "")</f>
        <v/>
      </c>
      <c r="AE122" s="51" t="str">
        <f>IF(XT!$P122&gt;0,AD122,"")</f>
        <v/>
      </c>
      <c r="AF122" s="51" t="str">
        <f>IF(XT!$P122=0,AD122,"")</f>
        <v/>
      </c>
      <c r="AG122">
        <f>SUMPRODUCT((MONTH(CHOOSE({1,2,3,4},XT!U122,XT!Y122,XT!AC122,XT!AG122))=9)*(CHOOSE({1,2,3,4},XT!X122,XT!AB122,XT!AF122,XT!AJ122)))</f>
        <v>0</v>
      </c>
      <c r="AH122" t="str">
        <f>IFERROR(INDEX(CHOOSE({1,2,3,4}, DAY(XT!U122), DAY(XT!Y122), DAY(XT!AC122), DAY(XT!AG122)), MATCH(1, INDEX(--(MONTH(CHOOSE({1,2,3,4}, XT!U122,XT!Y122,XT!AC122,XT!AG122))=9), 0), 0)), "")</f>
        <v/>
      </c>
      <c r="AI122" s="51" t="str">
        <f>IF(XT!$P122&gt;0,AH122,"")</f>
        <v/>
      </c>
      <c r="AJ122" s="51" t="str">
        <f>IF(XT!$P122=0,AH122,"")</f>
        <v/>
      </c>
      <c r="AK122">
        <f>SUMPRODUCT((MONTH(CHOOSE({1,2,3,4},XT!U122,XT!Y122,XT!AC122,XT!AG122))=10)*(CHOOSE({1,2,3,4},XT!X122,XT!AB122,XT!AF122,XT!AJ122)))</f>
        <v>0</v>
      </c>
      <c r="AL122" t="str">
        <f>IFERROR(INDEX(CHOOSE({1,2,3,4}, DAY(XT!U122), DAY(XT!Y122), DAY(XT!AC122), DAY(XT!AG122)), MATCH(1, INDEX(--(MONTH(CHOOSE({1,2,3,4}, XT!U122,XT!Y122,XT!AC122,XT!AG122))=10), 0), 0)), "")</f>
        <v/>
      </c>
      <c r="AM122" s="51" t="str">
        <f>IF(XT!$P122&gt;0,AL122,"")</f>
        <v/>
      </c>
      <c r="AN122" s="51" t="str">
        <f>IF(XT!$P122=0,AL122,"")</f>
        <v/>
      </c>
      <c r="AO122">
        <f>SUMPRODUCT((MONTH(CHOOSE({1,2,3,4},XT!U122,XT!Y122,XT!AC122,XT!AG122))=11)*(CHOOSE({1,2,3,4},XT!X122,XT!AB122,XT!AF122,XT!AJ122)))</f>
        <v>0</v>
      </c>
      <c r="AP122" t="str">
        <f>IFERROR(INDEX(CHOOSE({1,2,3,4}, DAY(XT!U122), DAY(XT!Y122), DAY(XT!AC122), DAY(XT!AG122)), MATCH(1, INDEX(--(MONTH(CHOOSE({1,2,3,4}, XT!U122,XT!Y122,XT!AC122,XT!AG122))=11), 0), 0)), "")</f>
        <v/>
      </c>
      <c r="AQ122" s="51" t="str">
        <f>IF(XT!$P122&gt;0,AP122,"")</f>
        <v/>
      </c>
      <c r="AR122" s="51" t="str">
        <f>IF(XT!$P122=0,AP122,"")</f>
        <v/>
      </c>
      <c r="AS122">
        <f>SUMPRODUCT((MONTH(CHOOSE({1,2,3,4},XT!U122,XT!Y122,XT!AC122,XT!AG122))=12)*(CHOOSE({1,2,3,4},XT!X122,XT!AB122,XT!AF122,XT!AJ122)))</f>
        <v>0</v>
      </c>
      <c r="AT122" t="str">
        <f>IFERROR(INDEX(CHOOSE({1,2,3,4}, DAY(XT!U122), DAY(XT!Y122), DAY(XT!AC122), DAY(XT!AG122)), MATCH(1, INDEX(--(MONTH(CHOOSE({1,2,3,4}, XT!U122,XT!Y122,XT!AC122,XT!AG122))=12), 0), 0)), "")</f>
        <v/>
      </c>
      <c r="AU122" s="51" t="str">
        <f>IF(XT!$P122&gt;0,AT122,"")</f>
        <v/>
      </c>
      <c r="AV122" s="51" t="str">
        <f>IF(XT!$P122=0,AT122,"")</f>
        <v/>
      </c>
    </row>
    <row r="123" spans="1:48">
      <c r="A123">
        <f>SUMPRODUCT((MONTH(CHOOSE({1,2,3,4},XT!U123,XT!Y123,XT!AC123,XT!AG123))=1)*(CHOOSE({1,2,3,4},XT!X123,XT!AB123,XT!AF123,XT!AJ123)))</f>
        <v>0</v>
      </c>
      <c r="B123">
        <f>IFERROR(INDEX(CHOOSE({1,2,3,4}, DAY(XT!U123), DAY(XT!Y123), DAY(XT!AC123), DAY(XT!AG123)), MATCH(1, INDEX(--(MONTH(CHOOSE({1,2,3,4}, XT!U123,XT!Y123,XT!AC123,XT!AG123))=1), 0), 0)), "")</f>
        <v>0</v>
      </c>
      <c r="C123" s="51" t="str">
        <f>IF(XT!$P123&gt;0,B123,"")</f>
        <v/>
      </c>
      <c r="D123" s="51">
        <f>IF(XT!$P123=0,B123,"")</f>
        <v>0</v>
      </c>
      <c r="E123">
        <f>SUMPRODUCT((MONTH(CHOOSE({1,2,3,4},XT!U123,XT!Y123,XT!AC123,XT!AG123))=2)*(CHOOSE({1,2,3,4},XT!X123,XT!AB123,XT!AF123,XT!AJ123)))</f>
        <v>0</v>
      </c>
      <c r="F123" t="str">
        <f>IFERROR(INDEX(CHOOSE({1,2,3,4}, DAY(XT!U123), DAY(XT!Y123), DAY(XT!AC123), DAY(XT!AG123)), MATCH(1, INDEX(--(MONTH(CHOOSE({1,2,3,4}, XT!U123,XT!Y123,XT!AC123,XT!AG123))=2), 0), 0)), "")</f>
        <v/>
      </c>
      <c r="G123" s="51" t="str">
        <f>IF(XT!$P123&gt;0,F123,"")</f>
        <v/>
      </c>
      <c r="H123" s="51" t="str">
        <f>IF(XT!$P123=0,F123,"")</f>
        <v/>
      </c>
      <c r="I123">
        <f>SUMPRODUCT((MONTH(CHOOSE({1,2,3,4},XT!U123,XT!Y123,XT!AC123,XT!AG123))=3)*(CHOOSE({1,2,3,4},XT!X123,XT!AB123,XT!AF123,XT!AJ123)))</f>
        <v>0</v>
      </c>
      <c r="J123" t="str">
        <f>IFERROR(INDEX(CHOOSE({1,2,3,4}, DAY(XT!U123), DAY(XT!Y123), DAY(XT!AC123), DAY(XT!AG123)), MATCH(1, INDEX(--(MONTH(CHOOSE({1,2,3,4}, XT!U123,XT!Y123,XT!AC123,XT!AG123))=3), 0), 0)), "")</f>
        <v/>
      </c>
      <c r="K123" s="51" t="str">
        <f>IF(XT!$P123&gt;0,J123,"")</f>
        <v/>
      </c>
      <c r="L123" s="51" t="str">
        <f>IF(XT!$P123=0,J123,"")</f>
        <v/>
      </c>
      <c r="M123">
        <f>SUMPRODUCT((MONTH(CHOOSE({1,2,3,4},XT!U123,XT!Y123,XT!AC123,XT!AG123))=4)*(CHOOSE({1,2,3,4},XT!X123,XT!AB123,XT!AF123,XT!AJ123)))</f>
        <v>0</v>
      </c>
      <c r="N123" t="str">
        <f>IFERROR(INDEX(CHOOSE({1,2,3,4}, DAY(XT!U123), DAY(XT!Y123), DAY(XT!AC123), DAY(XT!AG123)), MATCH(1, INDEX(--(MONTH(CHOOSE({1,2,3,4}, XT!U123,XT!Y123,XT!AC123,XT!AG123))=4), 0), 0)), "")</f>
        <v/>
      </c>
      <c r="O123" s="51" t="str">
        <f>IF(XT!$P123&gt;0,N123,"")</f>
        <v/>
      </c>
      <c r="P123" s="51" t="str">
        <f>IF(XT!$P123=0,N123,"")</f>
        <v/>
      </c>
      <c r="Q123">
        <f>SUMPRODUCT((MONTH(CHOOSE({1,2,3,4},XT!U123,XT!Y123,XT!AC123,XT!AG123))=5)*(CHOOSE({1,2,3,4},XT!X123,XT!AB123,XT!AF123,XT!AJ123)))</f>
        <v>0</v>
      </c>
      <c r="R123" t="str">
        <f>IFERROR(INDEX(CHOOSE({1,2,3,4}, DAY(XT!U123), DAY(XT!Y123), DAY(XT!AC123), DAY(XT!AG123)), MATCH(1, INDEX(--(MONTH(CHOOSE({1,2,3,4}, XT!U123,XT!Y123,XT!AC123,XT!AG123))=5), 0), 0)), "")</f>
        <v/>
      </c>
      <c r="S123" s="51" t="str">
        <f>IF(XT!$P123&gt;0,R123,"")</f>
        <v/>
      </c>
      <c r="T123" s="51" t="str">
        <f>IF(XT!$P123=0,R123,"")</f>
        <v/>
      </c>
      <c r="U123">
        <f>SUMPRODUCT((MONTH(CHOOSE({1,2,3,4},XT!U123,XT!Y123,XT!AC123,XT!AG123))=6)*(CHOOSE({1,2,3,4},XT!X123,XT!AB123,XT!AF123,XT!AJ123)))</f>
        <v>0</v>
      </c>
      <c r="V123" t="str">
        <f>IFERROR(INDEX(CHOOSE({1,2,3,4}, DAY(XT!U123), DAY(XT!Y123), DAY(XT!AC123), DAY(XT!AG123)), MATCH(1, INDEX(--(MONTH(CHOOSE({1,2,3,4}, XT!U123,XT!Y123,XT!AC123,XT!AG123))=6), 0), 0)), "")</f>
        <v/>
      </c>
      <c r="W123" s="51" t="str">
        <f>IF(XT!$P123&gt;0,V123,"")</f>
        <v/>
      </c>
      <c r="X123" s="51" t="str">
        <f>IF(XT!$P123=0,V123,"")</f>
        <v/>
      </c>
      <c r="Y123">
        <f>SUMPRODUCT((MONTH(CHOOSE({1,2,3,4},XT!U123,XT!Y123,XT!AC123,XT!AG123))=7)*(CHOOSE({1,2,3,4},XT!X123,XT!AB123,XT!AF123,XT!AJ123)))</f>
        <v>0</v>
      </c>
      <c r="Z123" t="str">
        <f>IFERROR(INDEX(CHOOSE({1,2,3,4}, DAY(XT!U123), DAY(XT!Y123), DAY(XT!AC123), DAY(XT!AG123)), MATCH(1, INDEX(--(MONTH(CHOOSE({1,2,3,4}, XT!U123,XT!Y123,XT!AC123,XT!AG123))=7), 0), 0)), "")</f>
        <v/>
      </c>
      <c r="AA123" s="51" t="str">
        <f>IF(XT!$P123&gt;0,Z123,"")</f>
        <v/>
      </c>
      <c r="AB123" s="51" t="str">
        <f>IF(XT!$P123=0,Z123,"")</f>
        <v/>
      </c>
      <c r="AC123">
        <f>SUMPRODUCT((MONTH(CHOOSE({1,2,3,4},XT!U123,XT!Y123,XT!AC123,XT!AG123))=8)*(CHOOSE({1,2,3,4},XT!X123,XT!AB123,XT!AF123,XT!AJ123)))</f>
        <v>0</v>
      </c>
      <c r="AD123" t="str">
        <f>IFERROR(INDEX(CHOOSE({1,2,3,4}, DAY(XT!U123), DAY(XT!Y123), DAY(XT!AC123), DAY(XT!AG123)), MATCH(1, INDEX(--(MONTH(CHOOSE({1,2,3,4}, XT!U123,XT!Y123,XT!AC123,XT!AG123))=8), 0), 0)), "")</f>
        <v/>
      </c>
      <c r="AE123" s="51" t="str">
        <f>IF(XT!$P123&gt;0,AD123,"")</f>
        <v/>
      </c>
      <c r="AF123" s="51" t="str">
        <f>IF(XT!$P123=0,AD123,"")</f>
        <v/>
      </c>
      <c r="AG123">
        <f>SUMPRODUCT((MONTH(CHOOSE({1,2,3,4},XT!U123,XT!Y123,XT!AC123,XT!AG123))=9)*(CHOOSE({1,2,3,4},XT!X123,XT!AB123,XT!AF123,XT!AJ123)))</f>
        <v>0</v>
      </c>
      <c r="AH123" t="str">
        <f>IFERROR(INDEX(CHOOSE({1,2,3,4}, DAY(XT!U123), DAY(XT!Y123), DAY(XT!AC123), DAY(XT!AG123)), MATCH(1, INDEX(--(MONTH(CHOOSE({1,2,3,4}, XT!U123,XT!Y123,XT!AC123,XT!AG123))=9), 0), 0)), "")</f>
        <v/>
      </c>
      <c r="AI123" s="51" t="str">
        <f>IF(XT!$P123&gt;0,AH123,"")</f>
        <v/>
      </c>
      <c r="AJ123" s="51" t="str">
        <f>IF(XT!$P123=0,AH123,"")</f>
        <v/>
      </c>
      <c r="AK123">
        <f>SUMPRODUCT((MONTH(CHOOSE({1,2,3,4},XT!U123,XT!Y123,XT!AC123,XT!AG123))=10)*(CHOOSE({1,2,3,4},XT!X123,XT!AB123,XT!AF123,XT!AJ123)))</f>
        <v>0</v>
      </c>
      <c r="AL123" t="str">
        <f>IFERROR(INDEX(CHOOSE({1,2,3,4}, DAY(XT!U123), DAY(XT!Y123), DAY(XT!AC123), DAY(XT!AG123)), MATCH(1, INDEX(--(MONTH(CHOOSE({1,2,3,4}, XT!U123,XT!Y123,XT!AC123,XT!AG123))=10), 0), 0)), "")</f>
        <v/>
      </c>
      <c r="AM123" s="51" t="str">
        <f>IF(XT!$P123&gt;0,AL123,"")</f>
        <v/>
      </c>
      <c r="AN123" s="51" t="str">
        <f>IF(XT!$P123=0,AL123,"")</f>
        <v/>
      </c>
      <c r="AO123">
        <f>SUMPRODUCT((MONTH(CHOOSE({1,2,3,4},XT!U123,XT!Y123,XT!AC123,XT!AG123))=11)*(CHOOSE({1,2,3,4},XT!X123,XT!AB123,XT!AF123,XT!AJ123)))</f>
        <v>0</v>
      </c>
      <c r="AP123" t="str">
        <f>IFERROR(INDEX(CHOOSE({1,2,3,4}, DAY(XT!U123), DAY(XT!Y123), DAY(XT!AC123), DAY(XT!AG123)), MATCH(1, INDEX(--(MONTH(CHOOSE({1,2,3,4}, XT!U123,XT!Y123,XT!AC123,XT!AG123))=11), 0), 0)), "")</f>
        <v/>
      </c>
      <c r="AQ123" s="51" t="str">
        <f>IF(XT!$P123&gt;0,AP123,"")</f>
        <v/>
      </c>
      <c r="AR123" s="51" t="str">
        <f>IF(XT!$P123=0,AP123,"")</f>
        <v/>
      </c>
      <c r="AS123">
        <f>SUMPRODUCT((MONTH(CHOOSE({1,2,3,4},XT!U123,XT!Y123,XT!AC123,XT!AG123))=12)*(CHOOSE({1,2,3,4},XT!X123,XT!AB123,XT!AF123,XT!AJ123)))</f>
        <v>0</v>
      </c>
      <c r="AT123" t="str">
        <f>IFERROR(INDEX(CHOOSE({1,2,3,4}, DAY(XT!U123), DAY(XT!Y123), DAY(XT!AC123), DAY(XT!AG123)), MATCH(1, INDEX(--(MONTH(CHOOSE({1,2,3,4}, XT!U123,XT!Y123,XT!AC123,XT!AG123))=12), 0), 0)), "")</f>
        <v/>
      </c>
      <c r="AU123" s="51" t="str">
        <f>IF(XT!$P123&gt;0,AT123,"")</f>
        <v/>
      </c>
      <c r="AV123" s="51" t="str">
        <f>IF(XT!$P123=0,AT123,"")</f>
        <v/>
      </c>
    </row>
    <row r="124" spans="1:48">
      <c r="A124">
        <f>SUMPRODUCT((MONTH(CHOOSE({1,2,3,4},XT!U124,XT!Y124,XT!AC124,XT!AG124))=1)*(CHOOSE({1,2,3,4},XT!X124,XT!AB124,XT!AF124,XT!AJ124)))</f>
        <v>0</v>
      </c>
      <c r="B124">
        <f>IFERROR(INDEX(CHOOSE({1,2,3,4}, DAY(XT!U124), DAY(XT!Y124), DAY(XT!AC124), DAY(XT!AG124)), MATCH(1, INDEX(--(MONTH(CHOOSE({1,2,3,4}, XT!U124,XT!Y124,XT!AC124,XT!AG124))=1), 0), 0)), "")</f>
        <v>0</v>
      </c>
      <c r="C124" s="51" t="str">
        <f>IF(XT!$P124&gt;0,B124,"")</f>
        <v/>
      </c>
      <c r="D124" s="51">
        <f>IF(XT!$P124=0,B124,"")</f>
        <v>0</v>
      </c>
      <c r="E124">
        <f>SUMPRODUCT((MONTH(CHOOSE({1,2,3,4},XT!U124,XT!Y124,XT!AC124,XT!AG124))=2)*(CHOOSE({1,2,3,4},XT!X124,XT!AB124,XT!AF124,XT!AJ124)))</f>
        <v>0</v>
      </c>
      <c r="F124" t="str">
        <f>IFERROR(INDEX(CHOOSE({1,2,3,4}, DAY(XT!U124), DAY(XT!Y124), DAY(XT!AC124), DAY(XT!AG124)), MATCH(1, INDEX(--(MONTH(CHOOSE({1,2,3,4}, XT!U124,XT!Y124,XT!AC124,XT!AG124))=2), 0), 0)), "")</f>
        <v/>
      </c>
      <c r="G124" s="51" t="str">
        <f>IF(XT!$P124&gt;0,F124,"")</f>
        <v/>
      </c>
      <c r="H124" s="51" t="str">
        <f>IF(XT!$P124=0,F124,"")</f>
        <v/>
      </c>
      <c r="I124">
        <f>SUMPRODUCT((MONTH(CHOOSE({1,2,3,4},XT!U124,XT!Y124,XT!AC124,XT!AG124))=3)*(CHOOSE({1,2,3,4},XT!X124,XT!AB124,XT!AF124,XT!AJ124)))</f>
        <v>0</v>
      </c>
      <c r="J124" t="str">
        <f>IFERROR(INDEX(CHOOSE({1,2,3,4}, DAY(XT!U124), DAY(XT!Y124), DAY(XT!AC124), DAY(XT!AG124)), MATCH(1, INDEX(--(MONTH(CHOOSE({1,2,3,4}, XT!U124,XT!Y124,XT!AC124,XT!AG124))=3), 0), 0)), "")</f>
        <v/>
      </c>
      <c r="K124" s="51" t="str">
        <f>IF(XT!$P124&gt;0,J124,"")</f>
        <v/>
      </c>
      <c r="L124" s="51" t="str">
        <f>IF(XT!$P124=0,J124,"")</f>
        <v/>
      </c>
      <c r="M124">
        <f>SUMPRODUCT((MONTH(CHOOSE({1,2,3,4},XT!U124,XT!Y124,XT!AC124,XT!AG124))=4)*(CHOOSE({1,2,3,4},XT!X124,XT!AB124,XT!AF124,XT!AJ124)))</f>
        <v>0</v>
      </c>
      <c r="N124" t="str">
        <f>IFERROR(INDEX(CHOOSE({1,2,3,4}, DAY(XT!U124), DAY(XT!Y124), DAY(XT!AC124), DAY(XT!AG124)), MATCH(1, INDEX(--(MONTH(CHOOSE({1,2,3,4}, XT!U124,XT!Y124,XT!AC124,XT!AG124))=4), 0), 0)), "")</f>
        <v/>
      </c>
      <c r="O124" s="51" t="str">
        <f>IF(XT!$P124&gt;0,N124,"")</f>
        <v/>
      </c>
      <c r="P124" s="51" t="str">
        <f>IF(XT!$P124=0,N124,"")</f>
        <v/>
      </c>
      <c r="Q124">
        <f>SUMPRODUCT((MONTH(CHOOSE({1,2,3,4},XT!U124,XT!Y124,XT!AC124,XT!AG124))=5)*(CHOOSE({1,2,3,4},XT!X124,XT!AB124,XT!AF124,XT!AJ124)))</f>
        <v>0</v>
      </c>
      <c r="R124" t="str">
        <f>IFERROR(INDEX(CHOOSE({1,2,3,4}, DAY(XT!U124), DAY(XT!Y124), DAY(XT!AC124), DAY(XT!AG124)), MATCH(1, INDEX(--(MONTH(CHOOSE({1,2,3,4}, XT!U124,XT!Y124,XT!AC124,XT!AG124))=5), 0), 0)), "")</f>
        <v/>
      </c>
      <c r="S124" s="51" t="str">
        <f>IF(XT!$P124&gt;0,R124,"")</f>
        <v/>
      </c>
      <c r="T124" s="51" t="str">
        <f>IF(XT!$P124=0,R124,"")</f>
        <v/>
      </c>
      <c r="U124">
        <f>SUMPRODUCT((MONTH(CHOOSE({1,2,3,4},XT!U124,XT!Y124,XT!AC124,XT!AG124))=6)*(CHOOSE({1,2,3,4},XT!X124,XT!AB124,XT!AF124,XT!AJ124)))</f>
        <v>0</v>
      </c>
      <c r="V124" t="str">
        <f>IFERROR(INDEX(CHOOSE({1,2,3,4}, DAY(XT!U124), DAY(XT!Y124), DAY(XT!AC124), DAY(XT!AG124)), MATCH(1, INDEX(--(MONTH(CHOOSE({1,2,3,4}, XT!U124,XT!Y124,XT!AC124,XT!AG124))=6), 0), 0)), "")</f>
        <v/>
      </c>
      <c r="W124" s="51" t="str">
        <f>IF(XT!$P124&gt;0,V124,"")</f>
        <v/>
      </c>
      <c r="X124" s="51" t="str">
        <f>IF(XT!$P124=0,V124,"")</f>
        <v/>
      </c>
      <c r="Y124">
        <f>SUMPRODUCT((MONTH(CHOOSE({1,2,3,4},XT!U124,XT!Y124,XT!AC124,XT!AG124))=7)*(CHOOSE({1,2,3,4},XT!X124,XT!AB124,XT!AF124,XT!AJ124)))</f>
        <v>0</v>
      </c>
      <c r="Z124" t="str">
        <f>IFERROR(INDEX(CHOOSE({1,2,3,4}, DAY(XT!U124), DAY(XT!Y124), DAY(XT!AC124), DAY(XT!AG124)), MATCH(1, INDEX(--(MONTH(CHOOSE({1,2,3,4}, XT!U124,XT!Y124,XT!AC124,XT!AG124))=7), 0), 0)), "")</f>
        <v/>
      </c>
      <c r="AA124" s="51" t="str">
        <f>IF(XT!$P124&gt;0,Z124,"")</f>
        <v/>
      </c>
      <c r="AB124" s="51" t="str">
        <f>IF(XT!$P124=0,Z124,"")</f>
        <v/>
      </c>
      <c r="AC124">
        <f>SUMPRODUCT((MONTH(CHOOSE({1,2,3,4},XT!U124,XT!Y124,XT!AC124,XT!AG124))=8)*(CHOOSE({1,2,3,4},XT!X124,XT!AB124,XT!AF124,XT!AJ124)))</f>
        <v>0</v>
      </c>
      <c r="AD124" t="str">
        <f>IFERROR(INDEX(CHOOSE({1,2,3,4}, DAY(XT!U124), DAY(XT!Y124), DAY(XT!AC124), DAY(XT!AG124)), MATCH(1, INDEX(--(MONTH(CHOOSE({1,2,3,4}, XT!U124,XT!Y124,XT!AC124,XT!AG124))=8), 0), 0)), "")</f>
        <v/>
      </c>
      <c r="AE124" s="51" t="str">
        <f>IF(XT!$P124&gt;0,AD124,"")</f>
        <v/>
      </c>
      <c r="AF124" s="51" t="str">
        <f>IF(XT!$P124=0,AD124,"")</f>
        <v/>
      </c>
      <c r="AG124">
        <f>SUMPRODUCT((MONTH(CHOOSE({1,2,3,4},XT!U124,XT!Y124,XT!AC124,XT!AG124))=9)*(CHOOSE({1,2,3,4},XT!X124,XT!AB124,XT!AF124,XT!AJ124)))</f>
        <v>0</v>
      </c>
      <c r="AH124" t="str">
        <f>IFERROR(INDEX(CHOOSE({1,2,3,4}, DAY(XT!U124), DAY(XT!Y124), DAY(XT!AC124), DAY(XT!AG124)), MATCH(1, INDEX(--(MONTH(CHOOSE({1,2,3,4}, XT!U124,XT!Y124,XT!AC124,XT!AG124))=9), 0), 0)), "")</f>
        <v/>
      </c>
      <c r="AI124" s="51" t="str">
        <f>IF(XT!$P124&gt;0,AH124,"")</f>
        <v/>
      </c>
      <c r="AJ124" s="51" t="str">
        <f>IF(XT!$P124=0,AH124,"")</f>
        <v/>
      </c>
      <c r="AK124">
        <f>SUMPRODUCT((MONTH(CHOOSE({1,2,3,4},XT!U124,XT!Y124,XT!AC124,XT!AG124))=10)*(CHOOSE({1,2,3,4},XT!X124,XT!AB124,XT!AF124,XT!AJ124)))</f>
        <v>0</v>
      </c>
      <c r="AL124" t="str">
        <f>IFERROR(INDEX(CHOOSE({1,2,3,4}, DAY(XT!U124), DAY(XT!Y124), DAY(XT!AC124), DAY(XT!AG124)), MATCH(1, INDEX(--(MONTH(CHOOSE({1,2,3,4}, XT!U124,XT!Y124,XT!AC124,XT!AG124))=10), 0), 0)), "")</f>
        <v/>
      </c>
      <c r="AM124" s="51" t="str">
        <f>IF(XT!$P124&gt;0,AL124,"")</f>
        <v/>
      </c>
      <c r="AN124" s="51" t="str">
        <f>IF(XT!$P124=0,AL124,"")</f>
        <v/>
      </c>
      <c r="AO124">
        <f>SUMPRODUCT((MONTH(CHOOSE({1,2,3,4},XT!U124,XT!Y124,XT!AC124,XT!AG124))=11)*(CHOOSE({1,2,3,4},XT!X124,XT!AB124,XT!AF124,XT!AJ124)))</f>
        <v>0</v>
      </c>
      <c r="AP124" t="str">
        <f>IFERROR(INDEX(CHOOSE({1,2,3,4}, DAY(XT!U124), DAY(XT!Y124), DAY(XT!AC124), DAY(XT!AG124)), MATCH(1, INDEX(--(MONTH(CHOOSE({1,2,3,4}, XT!U124,XT!Y124,XT!AC124,XT!AG124))=11), 0), 0)), "")</f>
        <v/>
      </c>
      <c r="AQ124" s="51" t="str">
        <f>IF(XT!$P124&gt;0,AP124,"")</f>
        <v/>
      </c>
      <c r="AR124" s="51" t="str">
        <f>IF(XT!$P124=0,AP124,"")</f>
        <v/>
      </c>
      <c r="AS124">
        <f>SUMPRODUCT((MONTH(CHOOSE({1,2,3,4},XT!U124,XT!Y124,XT!AC124,XT!AG124))=12)*(CHOOSE({1,2,3,4},XT!X124,XT!AB124,XT!AF124,XT!AJ124)))</f>
        <v>0</v>
      </c>
      <c r="AT124" t="str">
        <f>IFERROR(INDEX(CHOOSE({1,2,3,4}, DAY(XT!U124), DAY(XT!Y124), DAY(XT!AC124), DAY(XT!AG124)), MATCH(1, INDEX(--(MONTH(CHOOSE({1,2,3,4}, XT!U124,XT!Y124,XT!AC124,XT!AG124))=12), 0), 0)), "")</f>
        <v/>
      </c>
      <c r="AU124" s="51" t="str">
        <f>IF(XT!$P124&gt;0,AT124,"")</f>
        <v/>
      </c>
      <c r="AV124" s="51" t="str">
        <f>IF(XT!$P124=0,AT124,"")</f>
        <v/>
      </c>
    </row>
    <row r="125" spans="1:48">
      <c r="A125">
        <f>SUMPRODUCT((MONTH(CHOOSE({1,2,3,4},XT!U125,XT!Y125,XT!AC125,XT!AG125))=1)*(CHOOSE({1,2,3,4},XT!X125,XT!AB125,XT!AF125,XT!AJ125)))</f>
        <v>0</v>
      </c>
      <c r="B125">
        <f>IFERROR(INDEX(CHOOSE({1,2,3,4}, DAY(XT!U125), DAY(XT!Y125), DAY(XT!AC125), DAY(XT!AG125)), MATCH(1, INDEX(--(MONTH(CHOOSE({1,2,3,4}, XT!U125,XT!Y125,XT!AC125,XT!AG125))=1), 0), 0)), "")</f>
        <v>0</v>
      </c>
      <c r="C125" s="51" t="str">
        <f>IF(XT!$P125&gt;0,B125,"")</f>
        <v/>
      </c>
      <c r="D125" s="51">
        <f>IF(XT!$P125=0,B125,"")</f>
        <v>0</v>
      </c>
      <c r="E125">
        <f>SUMPRODUCT((MONTH(CHOOSE({1,2,3,4},XT!U125,XT!Y125,XT!AC125,XT!AG125))=2)*(CHOOSE({1,2,3,4},XT!X125,XT!AB125,XT!AF125,XT!AJ125)))</f>
        <v>0</v>
      </c>
      <c r="F125" t="str">
        <f>IFERROR(INDEX(CHOOSE({1,2,3,4}, DAY(XT!U125), DAY(XT!Y125), DAY(XT!AC125), DAY(XT!AG125)), MATCH(1, INDEX(--(MONTH(CHOOSE({1,2,3,4}, XT!U125,XT!Y125,XT!AC125,XT!AG125))=2), 0), 0)), "")</f>
        <v/>
      </c>
      <c r="G125" s="51" t="str">
        <f>IF(XT!$P125&gt;0,F125,"")</f>
        <v/>
      </c>
      <c r="H125" s="51" t="str">
        <f>IF(XT!$P125=0,F125,"")</f>
        <v/>
      </c>
      <c r="I125">
        <f>SUMPRODUCT((MONTH(CHOOSE({1,2,3,4},XT!U125,XT!Y125,XT!AC125,XT!AG125))=3)*(CHOOSE({1,2,3,4},XT!X125,XT!AB125,XT!AF125,XT!AJ125)))</f>
        <v>0</v>
      </c>
      <c r="J125" t="str">
        <f>IFERROR(INDEX(CHOOSE({1,2,3,4}, DAY(XT!U125), DAY(XT!Y125), DAY(XT!AC125), DAY(XT!AG125)), MATCH(1, INDEX(--(MONTH(CHOOSE({1,2,3,4}, XT!U125,XT!Y125,XT!AC125,XT!AG125))=3), 0), 0)), "")</f>
        <v/>
      </c>
      <c r="K125" s="51" t="str">
        <f>IF(XT!$P125&gt;0,J125,"")</f>
        <v/>
      </c>
      <c r="L125" s="51" t="str">
        <f>IF(XT!$P125=0,J125,"")</f>
        <v/>
      </c>
      <c r="M125">
        <f>SUMPRODUCT((MONTH(CHOOSE({1,2,3,4},XT!U125,XT!Y125,XT!AC125,XT!AG125))=4)*(CHOOSE({1,2,3,4},XT!X125,XT!AB125,XT!AF125,XT!AJ125)))</f>
        <v>0</v>
      </c>
      <c r="N125" t="str">
        <f>IFERROR(INDEX(CHOOSE({1,2,3,4}, DAY(XT!U125), DAY(XT!Y125), DAY(XT!AC125), DAY(XT!AG125)), MATCH(1, INDEX(--(MONTH(CHOOSE({1,2,3,4}, XT!U125,XT!Y125,XT!AC125,XT!AG125))=4), 0), 0)), "")</f>
        <v/>
      </c>
      <c r="O125" s="51" t="str">
        <f>IF(XT!$P125&gt;0,N125,"")</f>
        <v/>
      </c>
      <c r="P125" s="51" t="str">
        <f>IF(XT!$P125=0,N125,"")</f>
        <v/>
      </c>
      <c r="Q125">
        <f>SUMPRODUCT((MONTH(CHOOSE({1,2,3,4},XT!U125,XT!Y125,XT!AC125,XT!AG125))=5)*(CHOOSE({1,2,3,4},XT!X125,XT!AB125,XT!AF125,XT!AJ125)))</f>
        <v>0</v>
      </c>
      <c r="R125" t="str">
        <f>IFERROR(INDEX(CHOOSE({1,2,3,4}, DAY(XT!U125), DAY(XT!Y125), DAY(XT!AC125), DAY(XT!AG125)), MATCH(1, INDEX(--(MONTH(CHOOSE({1,2,3,4}, XT!U125,XT!Y125,XT!AC125,XT!AG125))=5), 0), 0)), "")</f>
        <v/>
      </c>
      <c r="S125" s="51" t="str">
        <f>IF(XT!$P125&gt;0,R125,"")</f>
        <v/>
      </c>
      <c r="T125" s="51" t="str">
        <f>IF(XT!$P125=0,R125,"")</f>
        <v/>
      </c>
      <c r="U125">
        <f>SUMPRODUCT((MONTH(CHOOSE({1,2,3,4},XT!U125,XT!Y125,XT!AC125,XT!AG125))=6)*(CHOOSE({1,2,3,4},XT!X125,XT!AB125,XT!AF125,XT!AJ125)))</f>
        <v>0</v>
      </c>
      <c r="V125" t="str">
        <f>IFERROR(INDEX(CHOOSE({1,2,3,4}, DAY(XT!U125), DAY(XT!Y125), DAY(XT!AC125), DAY(XT!AG125)), MATCH(1, INDEX(--(MONTH(CHOOSE({1,2,3,4}, XT!U125,XT!Y125,XT!AC125,XT!AG125))=6), 0), 0)), "")</f>
        <v/>
      </c>
      <c r="W125" s="51" t="str">
        <f>IF(XT!$P125&gt;0,V125,"")</f>
        <v/>
      </c>
      <c r="X125" s="51" t="str">
        <f>IF(XT!$P125=0,V125,"")</f>
        <v/>
      </c>
      <c r="Y125">
        <f>SUMPRODUCT((MONTH(CHOOSE({1,2,3,4},XT!U125,XT!Y125,XT!AC125,XT!AG125))=7)*(CHOOSE({1,2,3,4},XT!X125,XT!AB125,XT!AF125,XT!AJ125)))</f>
        <v>0</v>
      </c>
      <c r="Z125" t="str">
        <f>IFERROR(INDEX(CHOOSE({1,2,3,4}, DAY(XT!U125), DAY(XT!Y125), DAY(XT!AC125), DAY(XT!AG125)), MATCH(1, INDEX(--(MONTH(CHOOSE({1,2,3,4}, XT!U125,XT!Y125,XT!AC125,XT!AG125))=7), 0), 0)), "")</f>
        <v/>
      </c>
      <c r="AA125" s="51" t="str">
        <f>IF(XT!$P125&gt;0,Z125,"")</f>
        <v/>
      </c>
      <c r="AB125" s="51" t="str">
        <f>IF(XT!$P125=0,Z125,"")</f>
        <v/>
      </c>
      <c r="AC125">
        <f>SUMPRODUCT((MONTH(CHOOSE({1,2,3,4},XT!U125,XT!Y125,XT!AC125,XT!AG125))=8)*(CHOOSE({1,2,3,4},XT!X125,XT!AB125,XT!AF125,XT!AJ125)))</f>
        <v>0</v>
      </c>
      <c r="AD125" t="str">
        <f>IFERROR(INDEX(CHOOSE({1,2,3,4}, DAY(XT!U125), DAY(XT!Y125), DAY(XT!AC125), DAY(XT!AG125)), MATCH(1, INDEX(--(MONTH(CHOOSE({1,2,3,4}, XT!U125,XT!Y125,XT!AC125,XT!AG125))=8), 0), 0)), "")</f>
        <v/>
      </c>
      <c r="AE125" s="51" t="str">
        <f>IF(XT!$P125&gt;0,AD125,"")</f>
        <v/>
      </c>
      <c r="AF125" s="51" t="str">
        <f>IF(XT!$P125=0,AD125,"")</f>
        <v/>
      </c>
      <c r="AG125">
        <f>SUMPRODUCT((MONTH(CHOOSE({1,2,3,4},XT!U125,XT!Y125,XT!AC125,XT!AG125))=9)*(CHOOSE({1,2,3,4},XT!X125,XT!AB125,XT!AF125,XT!AJ125)))</f>
        <v>0</v>
      </c>
      <c r="AH125" t="str">
        <f>IFERROR(INDEX(CHOOSE({1,2,3,4}, DAY(XT!U125), DAY(XT!Y125), DAY(XT!AC125), DAY(XT!AG125)), MATCH(1, INDEX(--(MONTH(CHOOSE({1,2,3,4}, XT!U125,XT!Y125,XT!AC125,XT!AG125))=9), 0), 0)), "")</f>
        <v/>
      </c>
      <c r="AI125" s="51" t="str">
        <f>IF(XT!$P125&gt;0,AH125,"")</f>
        <v/>
      </c>
      <c r="AJ125" s="51" t="str">
        <f>IF(XT!$P125=0,AH125,"")</f>
        <v/>
      </c>
      <c r="AK125">
        <f>SUMPRODUCT((MONTH(CHOOSE({1,2,3,4},XT!U125,XT!Y125,XT!AC125,XT!AG125))=10)*(CHOOSE({1,2,3,4},XT!X125,XT!AB125,XT!AF125,XT!AJ125)))</f>
        <v>0</v>
      </c>
      <c r="AL125" t="str">
        <f>IFERROR(INDEX(CHOOSE({1,2,3,4}, DAY(XT!U125), DAY(XT!Y125), DAY(XT!AC125), DAY(XT!AG125)), MATCH(1, INDEX(--(MONTH(CHOOSE({1,2,3,4}, XT!U125,XT!Y125,XT!AC125,XT!AG125))=10), 0), 0)), "")</f>
        <v/>
      </c>
      <c r="AM125" s="51" t="str">
        <f>IF(XT!$P125&gt;0,AL125,"")</f>
        <v/>
      </c>
      <c r="AN125" s="51" t="str">
        <f>IF(XT!$P125=0,AL125,"")</f>
        <v/>
      </c>
      <c r="AO125">
        <f>SUMPRODUCT((MONTH(CHOOSE({1,2,3,4},XT!U125,XT!Y125,XT!AC125,XT!AG125))=11)*(CHOOSE({1,2,3,4},XT!X125,XT!AB125,XT!AF125,XT!AJ125)))</f>
        <v>0</v>
      </c>
      <c r="AP125" t="str">
        <f>IFERROR(INDEX(CHOOSE({1,2,3,4}, DAY(XT!U125), DAY(XT!Y125), DAY(XT!AC125), DAY(XT!AG125)), MATCH(1, INDEX(--(MONTH(CHOOSE({1,2,3,4}, XT!U125,XT!Y125,XT!AC125,XT!AG125))=11), 0), 0)), "")</f>
        <v/>
      </c>
      <c r="AQ125" s="51" t="str">
        <f>IF(XT!$P125&gt;0,AP125,"")</f>
        <v/>
      </c>
      <c r="AR125" s="51" t="str">
        <f>IF(XT!$P125=0,AP125,"")</f>
        <v/>
      </c>
      <c r="AS125">
        <f>SUMPRODUCT((MONTH(CHOOSE({1,2,3,4},XT!U125,XT!Y125,XT!AC125,XT!AG125))=12)*(CHOOSE({1,2,3,4},XT!X125,XT!AB125,XT!AF125,XT!AJ125)))</f>
        <v>0</v>
      </c>
      <c r="AT125" t="str">
        <f>IFERROR(INDEX(CHOOSE({1,2,3,4}, DAY(XT!U125), DAY(XT!Y125), DAY(XT!AC125), DAY(XT!AG125)), MATCH(1, INDEX(--(MONTH(CHOOSE({1,2,3,4}, XT!U125,XT!Y125,XT!AC125,XT!AG125))=12), 0), 0)), "")</f>
        <v/>
      </c>
      <c r="AU125" s="51" t="str">
        <f>IF(XT!$P125&gt;0,AT125,"")</f>
        <v/>
      </c>
      <c r="AV125" s="51" t="str">
        <f>IF(XT!$P125=0,AT125,"")</f>
        <v/>
      </c>
    </row>
    <row r="126" spans="1:48">
      <c r="A126">
        <f>SUMPRODUCT((MONTH(CHOOSE({1,2,3,4},XT!U126,XT!Y126,XT!AC126,XT!AG126))=1)*(CHOOSE({1,2,3,4},XT!X126,XT!AB126,XT!AF126,XT!AJ126)))</f>
        <v>0</v>
      </c>
      <c r="B126">
        <f>IFERROR(INDEX(CHOOSE({1,2,3,4}, DAY(XT!U126), DAY(XT!Y126), DAY(XT!AC126), DAY(XT!AG126)), MATCH(1, INDEX(--(MONTH(CHOOSE({1,2,3,4}, XT!U126,XT!Y126,XT!AC126,XT!AG126))=1), 0), 0)), "")</f>
        <v>0</v>
      </c>
      <c r="C126" s="51" t="str">
        <f>IF(XT!$P126&gt;0,B126,"")</f>
        <v/>
      </c>
      <c r="D126" s="51">
        <f>IF(XT!$P126=0,B126,"")</f>
        <v>0</v>
      </c>
      <c r="E126">
        <f>SUMPRODUCT((MONTH(CHOOSE({1,2,3,4},XT!U126,XT!Y126,XT!AC126,XT!AG126))=2)*(CHOOSE({1,2,3,4},XT!X126,XT!AB126,XT!AF126,XT!AJ126)))</f>
        <v>0</v>
      </c>
      <c r="F126" t="str">
        <f>IFERROR(INDEX(CHOOSE({1,2,3,4}, DAY(XT!U126), DAY(XT!Y126), DAY(XT!AC126), DAY(XT!AG126)), MATCH(1, INDEX(--(MONTH(CHOOSE({1,2,3,4}, XT!U126,XT!Y126,XT!AC126,XT!AG126))=2), 0), 0)), "")</f>
        <v/>
      </c>
      <c r="G126" s="51" t="str">
        <f>IF(XT!$P126&gt;0,F126,"")</f>
        <v/>
      </c>
      <c r="H126" s="51" t="str">
        <f>IF(XT!$P126=0,F126,"")</f>
        <v/>
      </c>
      <c r="I126">
        <f>SUMPRODUCT((MONTH(CHOOSE({1,2,3,4},XT!U126,XT!Y126,XT!AC126,XT!AG126))=3)*(CHOOSE({1,2,3,4},XT!X126,XT!AB126,XT!AF126,XT!AJ126)))</f>
        <v>0</v>
      </c>
      <c r="J126" t="str">
        <f>IFERROR(INDEX(CHOOSE({1,2,3,4}, DAY(XT!U126), DAY(XT!Y126), DAY(XT!AC126), DAY(XT!AG126)), MATCH(1, INDEX(--(MONTH(CHOOSE({1,2,3,4}, XT!U126,XT!Y126,XT!AC126,XT!AG126))=3), 0), 0)), "")</f>
        <v/>
      </c>
      <c r="K126" s="51" t="str">
        <f>IF(XT!$P126&gt;0,J126,"")</f>
        <v/>
      </c>
      <c r="L126" s="51" t="str">
        <f>IF(XT!$P126=0,J126,"")</f>
        <v/>
      </c>
      <c r="M126">
        <f>SUMPRODUCT((MONTH(CHOOSE({1,2,3,4},XT!U126,XT!Y126,XT!AC126,XT!AG126))=4)*(CHOOSE({1,2,3,4},XT!X126,XT!AB126,XT!AF126,XT!AJ126)))</f>
        <v>0</v>
      </c>
      <c r="N126" t="str">
        <f>IFERROR(INDEX(CHOOSE({1,2,3,4}, DAY(XT!U126), DAY(XT!Y126), DAY(XT!AC126), DAY(XT!AG126)), MATCH(1, INDEX(--(MONTH(CHOOSE({1,2,3,4}, XT!U126,XT!Y126,XT!AC126,XT!AG126))=4), 0), 0)), "")</f>
        <v/>
      </c>
      <c r="O126" s="51" t="str">
        <f>IF(XT!$P126&gt;0,N126,"")</f>
        <v/>
      </c>
      <c r="P126" s="51" t="str">
        <f>IF(XT!$P126=0,N126,"")</f>
        <v/>
      </c>
      <c r="Q126">
        <f>SUMPRODUCT((MONTH(CHOOSE({1,2,3,4},XT!U126,XT!Y126,XT!AC126,XT!AG126))=5)*(CHOOSE({1,2,3,4},XT!X126,XT!AB126,XT!AF126,XT!AJ126)))</f>
        <v>0</v>
      </c>
      <c r="R126" t="str">
        <f>IFERROR(INDEX(CHOOSE({1,2,3,4}, DAY(XT!U126), DAY(XT!Y126), DAY(XT!AC126), DAY(XT!AG126)), MATCH(1, INDEX(--(MONTH(CHOOSE({1,2,3,4}, XT!U126,XT!Y126,XT!AC126,XT!AG126))=5), 0), 0)), "")</f>
        <v/>
      </c>
      <c r="S126" s="51" t="str">
        <f>IF(XT!$P126&gt;0,R126,"")</f>
        <v/>
      </c>
      <c r="T126" s="51" t="str">
        <f>IF(XT!$P126=0,R126,"")</f>
        <v/>
      </c>
      <c r="U126">
        <f>SUMPRODUCT((MONTH(CHOOSE({1,2,3,4},XT!U126,XT!Y126,XT!AC126,XT!AG126))=6)*(CHOOSE({1,2,3,4},XT!X126,XT!AB126,XT!AF126,XT!AJ126)))</f>
        <v>0</v>
      </c>
      <c r="V126" t="str">
        <f>IFERROR(INDEX(CHOOSE({1,2,3,4}, DAY(XT!U126), DAY(XT!Y126), DAY(XT!AC126), DAY(XT!AG126)), MATCH(1, INDEX(--(MONTH(CHOOSE({1,2,3,4}, XT!U126,XT!Y126,XT!AC126,XT!AG126))=6), 0), 0)), "")</f>
        <v/>
      </c>
      <c r="W126" s="51" t="str">
        <f>IF(XT!$P126&gt;0,V126,"")</f>
        <v/>
      </c>
      <c r="X126" s="51" t="str">
        <f>IF(XT!$P126=0,V126,"")</f>
        <v/>
      </c>
      <c r="Y126">
        <f>SUMPRODUCT((MONTH(CHOOSE({1,2,3,4},XT!U126,XT!Y126,XT!AC126,XT!AG126))=7)*(CHOOSE({1,2,3,4},XT!X126,XT!AB126,XT!AF126,XT!AJ126)))</f>
        <v>0</v>
      </c>
      <c r="Z126" t="str">
        <f>IFERROR(INDEX(CHOOSE({1,2,3,4}, DAY(XT!U126), DAY(XT!Y126), DAY(XT!AC126), DAY(XT!AG126)), MATCH(1, INDEX(--(MONTH(CHOOSE({1,2,3,4}, XT!U126,XT!Y126,XT!AC126,XT!AG126))=7), 0), 0)), "")</f>
        <v/>
      </c>
      <c r="AA126" s="51" t="str">
        <f>IF(XT!$P126&gt;0,Z126,"")</f>
        <v/>
      </c>
      <c r="AB126" s="51" t="str">
        <f>IF(XT!$P126=0,Z126,"")</f>
        <v/>
      </c>
      <c r="AC126">
        <f>SUMPRODUCT((MONTH(CHOOSE({1,2,3,4},XT!U126,XT!Y126,XT!AC126,XT!AG126))=8)*(CHOOSE({1,2,3,4},XT!X126,XT!AB126,XT!AF126,XT!AJ126)))</f>
        <v>0</v>
      </c>
      <c r="AD126" t="str">
        <f>IFERROR(INDEX(CHOOSE({1,2,3,4}, DAY(XT!U126), DAY(XT!Y126), DAY(XT!AC126), DAY(XT!AG126)), MATCH(1, INDEX(--(MONTH(CHOOSE({1,2,3,4}, XT!U126,XT!Y126,XT!AC126,XT!AG126))=8), 0), 0)), "")</f>
        <v/>
      </c>
      <c r="AE126" s="51" t="str">
        <f>IF(XT!$P126&gt;0,AD126,"")</f>
        <v/>
      </c>
      <c r="AF126" s="51" t="str">
        <f>IF(XT!$P126=0,AD126,"")</f>
        <v/>
      </c>
      <c r="AG126">
        <f>SUMPRODUCT((MONTH(CHOOSE({1,2,3,4},XT!U126,XT!Y126,XT!AC126,XT!AG126))=9)*(CHOOSE({1,2,3,4},XT!X126,XT!AB126,XT!AF126,XT!AJ126)))</f>
        <v>0</v>
      </c>
      <c r="AH126" t="str">
        <f>IFERROR(INDEX(CHOOSE({1,2,3,4}, DAY(XT!U126), DAY(XT!Y126), DAY(XT!AC126), DAY(XT!AG126)), MATCH(1, INDEX(--(MONTH(CHOOSE({1,2,3,4}, XT!U126,XT!Y126,XT!AC126,XT!AG126))=9), 0), 0)), "")</f>
        <v/>
      </c>
      <c r="AI126" s="51" t="str">
        <f>IF(XT!$P126&gt;0,AH126,"")</f>
        <v/>
      </c>
      <c r="AJ126" s="51" t="str">
        <f>IF(XT!$P126=0,AH126,"")</f>
        <v/>
      </c>
      <c r="AK126">
        <f>SUMPRODUCT((MONTH(CHOOSE({1,2,3,4},XT!U126,XT!Y126,XT!AC126,XT!AG126))=10)*(CHOOSE({1,2,3,4},XT!X126,XT!AB126,XT!AF126,XT!AJ126)))</f>
        <v>0</v>
      </c>
      <c r="AL126" t="str">
        <f>IFERROR(INDEX(CHOOSE({1,2,3,4}, DAY(XT!U126), DAY(XT!Y126), DAY(XT!AC126), DAY(XT!AG126)), MATCH(1, INDEX(--(MONTH(CHOOSE({1,2,3,4}, XT!U126,XT!Y126,XT!AC126,XT!AG126))=10), 0), 0)), "")</f>
        <v/>
      </c>
      <c r="AM126" s="51" t="str">
        <f>IF(XT!$P126&gt;0,AL126,"")</f>
        <v/>
      </c>
      <c r="AN126" s="51" t="str">
        <f>IF(XT!$P126=0,AL126,"")</f>
        <v/>
      </c>
      <c r="AO126">
        <f>SUMPRODUCT((MONTH(CHOOSE({1,2,3,4},XT!U126,XT!Y126,XT!AC126,XT!AG126))=11)*(CHOOSE({1,2,3,4},XT!X126,XT!AB126,XT!AF126,XT!AJ126)))</f>
        <v>0</v>
      </c>
      <c r="AP126" t="str">
        <f>IFERROR(INDEX(CHOOSE({1,2,3,4}, DAY(XT!U126), DAY(XT!Y126), DAY(XT!AC126), DAY(XT!AG126)), MATCH(1, INDEX(--(MONTH(CHOOSE({1,2,3,4}, XT!U126,XT!Y126,XT!AC126,XT!AG126))=11), 0), 0)), "")</f>
        <v/>
      </c>
      <c r="AQ126" s="51" t="str">
        <f>IF(XT!$P126&gt;0,AP126,"")</f>
        <v/>
      </c>
      <c r="AR126" s="51" t="str">
        <f>IF(XT!$P126=0,AP126,"")</f>
        <v/>
      </c>
      <c r="AS126">
        <f>SUMPRODUCT((MONTH(CHOOSE({1,2,3,4},XT!U126,XT!Y126,XT!AC126,XT!AG126))=12)*(CHOOSE({1,2,3,4},XT!X126,XT!AB126,XT!AF126,XT!AJ126)))</f>
        <v>0</v>
      </c>
      <c r="AT126" t="str">
        <f>IFERROR(INDEX(CHOOSE({1,2,3,4}, DAY(XT!U126), DAY(XT!Y126), DAY(XT!AC126), DAY(XT!AG126)), MATCH(1, INDEX(--(MONTH(CHOOSE({1,2,3,4}, XT!U126,XT!Y126,XT!AC126,XT!AG126))=12), 0), 0)), "")</f>
        <v/>
      </c>
      <c r="AU126" s="51" t="str">
        <f>IF(XT!$P126&gt;0,AT126,"")</f>
        <v/>
      </c>
      <c r="AV126" s="51" t="str">
        <f>IF(XT!$P126=0,AT126,"")</f>
        <v/>
      </c>
    </row>
    <row r="127" spans="1:48">
      <c r="A127">
        <f>SUMPRODUCT((MONTH(CHOOSE({1,2,3,4},XT!U127,XT!Y127,XT!AC127,XT!AG127))=1)*(CHOOSE({1,2,3,4},XT!X127,XT!AB127,XT!AF127,XT!AJ127)))</f>
        <v>0</v>
      </c>
      <c r="B127">
        <f>IFERROR(INDEX(CHOOSE({1,2,3,4}, DAY(XT!U127), DAY(XT!Y127), DAY(XT!AC127), DAY(XT!AG127)), MATCH(1, INDEX(--(MONTH(CHOOSE({1,2,3,4}, XT!U127,XT!Y127,XT!AC127,XT!AG127))=1), 0), 0)), "")</f>
        <v>0</v>
      </c>
      <c r="C127" s="51" t="str">
        <f>IF(XT!$P127&gt;0,B127,"")</f>
        <v/>
      </c>
      <c r="D127" s="51">
        <f>IF(XT!$P127=0,B127,"")</f>
        <v>0</v>
      </c>
      <c r="E127">
        <f>SUMPRODUCT((MONTH(CHOOSE({1,2,3,4},XT!U127,XT!Y127,XT!AC127,XT!AG127))=2)*(CHOOSE({1,2,3,4},XT!X127,XT!AB127,XT!AF127,XT!AJ127)))</f>
        <v>0</v>
      </c>
      <c r="F127" t="str">
        <f>IFERROR(INDEX(CHOOSE({1,2,3,4}, DAY(XT!U127), DAY(XT!Y127), DAY(XT!AC127), DAY(XT!AG127)), MATCH(1, INDEX(--(MONTH(CHOOSE({1,2,3,4}, XT!U127,XT!Y127,XT!AC127,XT!AG127))=2), 0), 0)), "")</f>
        <v/>
      </c>
      <c r="G127" s="51" t="str">
        <f>IF(XT!$P127&gt;0,F127,"")</f>
        <v/>
      </c>
      <c r="H127" s="51" t="str">
        <f>IF(XT!$P127=0,F127,"")</f>
        <v/>
      </c>
      <c r="I127">
        <f>SUMPRODUCT((MONTH(CHOOSE({1,2,3,4},XT!U127,XT!Y127,XT!AC127,XT!AG127))=3)*(CHOOSE({1,2,3,4},XT!X127,XT!AB127,XT!AF127,XT!AJ127)))</f>
        <v>0</v>
      </c>
      <c r="J127" t="str">
        <f>IFERROR(INDEX(CHOOSE({1,2,3,4}, DAY(XT!U127), DAY(XT!Y127), DAY(XT!AC127), DAY(XT!AG127)), MATCH(1, INDEX(--(MONTH(CHOOSE({1,2,3,4}, XT!U127,XT!Y127,XT!AC127,XT!AG127))=3), 0), 0)), "")</f>
        <v/>
      </c>
      <c r="K127" s="51" t="str">
        <f>IF(XT!$P127&gt;0,J127,"")</f>
        <v/>
      </c>
      <c r="L127" s="51" t="str">
        <f>IF(XT!$P127=0,J127,"")</f>
        <v/>
      </c>
      <c r="M127">
        <f>SUMPRODUCT((MONTH(CHOOSE({1,2,3,4},XT!U127,XT!Y127,XT!AC127,XT!AG127))=4)*(CHOOSE({1,2,3,4},XT!X127,XT!AB127,XT!AF127,XT!AJ127)))</f>
        <v>0</v>
      </c>
      <c r="N127" t="str">
        <f>IFERROR(INDEX(CHOOSE({1,2,3,4}, DAY(XT!U127), DAY(XT!Y127), DAY(XT!AC127), DAY(XT!AG127)), MATCH(1, INDEX(--(MONTH(CHOOSE({1,2,3,4}, XT!U127,XT!Y127,XT!AC127,XT!AG127))=4), 0), 0)), "")</f>
        <v/>
      </c>
      <c r="O127" s="51" t="str">
        <f>IF(XT!$P127&gt;0,N127,"")</f>
        <v/>
      </c>
      <c r="P127" s="51" t="str">
        <f>IF(XT!$P127=0,N127,"")</f>
        <v/>
      </c>
      <c r="Q127">
        <f>SUMPRODUCT((MONTH(CHOOSE({1,2,3,4},XT!U127,XT!Y127,XT!AC127,XT!AG127))=5)*(CHOOSE({1,2,3,4},XT!X127,XT!AB127,XT!AF127,XT!AJ127)))</f>
        <v>0</v>
      </c>
      <c r="R127" t="str">
        <f>IFERROR(INDEX(CHOOSE({1,2,3,4}, DAY(XT!U127), DAY(XT!Y127), DAY(XT!AC127), DAY(XT!AG127)), MATCH(1, INDEX(--(MONTH(CHOOSE({1,2,3,4}, XT!U127,XT!Y127,XT!AC127,XT!AG127))=5), 0), 0)), "")</f>
        <v/>
      </c>
      <c r="S127" s="51" t="str">
        <f>IF(XT!$P127&gt;0,R127,"")</f>
        <v/>
      </c>
      <c r="T127" s="51" t="str">
        <f>IF(XT!$P127=0,R127,"")</f>
        <v/>
      </c>
      <c r="U127">
        <f>SUMPRODUCT((MONTH(CHOOSE({1,2,3,4},XT!U127,XT!Y127,XT!AC127,XT!AG127))=6)*(CHOOSE({1,2,3,4},XT!X127,XT!AB127,XT!AF127,XT!AJ127)))</f>
        <v>0</v>
      </c>
      <c r="V127" t="str">
        <f>IFERROR(INDEX(CHOOSE({1,2,3,4}, DAY(XT!U127), DAY(XT!Y127), DAY(XT!AC127), DAY(XT!AG127)), MATCH(1, INDEX(--(MONTH(CHOOSE({1,2,3,4}, XT!U127,XT!Y127,XT!AC127,XT!AG127))=6), 0), 0)), "")</f>
        <v/>
      </c>
      <c r="W127" s="51" t="str">
        <f>IF(XT!$P127&gt;0,V127,"")</f>
        <v/>
      </c>
      <c r="X127" s="51" t="str">
        <f>IF(XT!$P127=0,V127,"")</f>
        <v/>
      </c>
      <c r="Y127">
        <f>SUMPRODUCT((MONTH(CHOOSE({1,2,3,4},XT!U127,XT!Y127,XT!AC127,XT!AG127))=7)*(CHOOSE({1,2,3,4},XT!X127,XT!AB127,XT!AF127,XT!AJ127)))</f>
        <v>0</v>
      </c>
      <c r="Z127" t="str">
        <f>IFERROR(INDEX(CHOOSE({1,2,3,4}, DAY(XT!U127), DAY(XT!Y127), DAY(XT!AC127), DAY(XT!AG127)), MATCH(1, INDEX(--(MONTH(CHOOSE({1,2,3,4}, XT!U127,XT!Y127,XT!AC127,XT!AG127))=7), 0), 0)), "")</f>
        <v/>
      </c>
      <c r="AA127" s="51" t="str">
        <f>IF(XT!$P127&gt;0,Z127,"")</f>
        <v/>
      </c>
      <c r="AB127" s="51" t="str">
        <f>IF(XT!$P127=0,Z127,"")</f>
        <v/>
      </c>
      <c r="AC127">
        <f>SUMPRODUCT((MONTH(CHOOSE({1,2,3,4},XT!U127,XT!Y127,XT!AC127,XT!AG127))=8)*(CHOOSE({1,2,3,4},XT!X127,XT!AB127,XT!AF127,XT!AJ127)))</f>
        <v>0</v>
      </c>
      <c r="AD127" t="str">
        <f>IFERROR(INDEX(CHOOSE({1,2,3,4}, DAY(XT!U127), DAY(XT!Y127), DAY(XT!AC127), DAY(XT!AG127)), MATCH(1, INDEX(--(MONTH(CHOOSE({1,2,3,4}, XT!U127,XT!Y127,XT!AC127,XT!AG127))=8), 0), 0)), "")</f>
        <v/>
      </c>
      <c r="AE127" s="51" t="str">
        <f>IF(XT!$P127&gt;0,AD127,"")</f>
        <v/>
      </c>
      <c r="AF127" s="51" t="str">
        <f>IF(XT!$P127=0,AD127,"")</f>
        <v/>
      </c>
      <c r="AG127">
        <f>SUMPRODUCT((MONTH(CHOOSE({1,2,3,4},XT!U127,XT!Y127,XT!AC127,XT!AG127))=9)*(CHOOSE({1,2,3,4},XT!X127,XT!AB127,XT!AF127,XT!AJ127)))</f>
        <v>0</v>
      </c>
      <c r="AH127" t="str">
        <f>IFERROR(INDEX(CHOOSE({1,2,3,4}, DAY(XT!U127), DAY(XT!Y127), DAY(XT!AC127), DAY(XT!AG127)), MATCH(1, INDEX(--(MONTH(CHOOSE({1,2,3,4}, XT!U127,XT!Y127,XT!AC127,XT!AG127))=9), 0), 0)), "")</f>
        <v/>
      </c>
      <c r="AI127" s="51" t="str">
        <f>IF(XT!$P127&gt;0,AH127,"")</f>
        <v/>
      </c>
      <c r="AJ127" s="51" t="str">
        <f>IF(XT!$P127=0,AH127,"")</f>
        <v/>
      </c>
      <c r="AK127">
        <f>SUMPRODUCT((MONTH(CHOOSE({1,2,3,4},XT!U127,XT!Y127,XT!AC127,XT!AG127))=10)*(CHOOSE({1,2,3,4},XT!X127,XT!AB127,XT!AF127,XT!AJ127)))</f>
        <v>0</v>
      </c>
      <c r="AL127" t="str">
        <f>IFERROR(INDEX(CHOOSE({1,2,3,4}, DAY(XT!U127), DAY(XT!Y127), DAY(XT!AC127), DAY(XT!AG127)), MATCH(1, INDEX(--(MONTH(CHOOSE({1,2,3,4}, XT!U127,XT!Y127,XT!AC127,XT!AG127))=10), 0), 0)), "")</f>
        <v/>
      </c>
      <c r="AM127" s="51" t="str">
        <f>IF(XT!$P127&gt;0,AL127,"")</f>
        <v/>
      </c>
      <c r="AN127" s="51" t="str">
        <f>IF(XT!$P127=0,AL127,"")</f>
        <v/>
      </c>
      <c r="AO127">
        <f>SUMPRODUCT((MONTH(CHOOSE({1,2,3,4},XT!U127,XT!Y127,XT!AC127,XT!AG127))=11)*(CHOOSE({1,2,3,4},XT!X127,XT!AB127,XT!AF127,XT!AJ127)))</f>
        <v>0</v>
      </c>
      <c r="AP127" t="str">
        <f>IFERROR(INDEX(CHOOSE({1,2,3,4}, DAY(XT!U127), DAY(XT!Y127), DAY(XT!AC127), DAY(XT!AG127)), MATCH(1, INDEX(--(MONTH(CHOOSE({1,2,3,4}, XT!U127,XT!Y127,XT!AC127,XT!AG127))=11), 0), 0)), "")</f>
        <v/>
      </c>
      <c r="AQ127" s="51" t="str">
        <f>IF(XT!$P127&gt;0,AP127,"")</f>
        <v/>
      </c>
      <c r="AR127" s="51" t="str">
        <f>IF(XT!$P127=0,AP127,"")</f>
        <v/>
      </c>
      <c r="AS127">
        <f>SUMPRODUCT((MONTH(CHOOSE({1,2,3,4},XT!U127,XT!Y127,XT!AC127,XT!AG127))=12)*(CHOOSE({1,2,3,4},XT!X127,XT!AB127,XT!AF127,XT!AJ127)))</f>
        <v>0</v>
      </c>
      <c r="AT127" t="str">
        <f>IFERROR(INDEX(CHOOSE({1,2,3,4}, DAY(XT!U127), DAY(XT!Y127), DAY(XT!AC127), DAY(XT!AG127)), MATCH(1, INDEX(--(MONTH(CHOOSE({1,2,3,4}, XT!U127,XT!Y127,XT!AC127,XT!AG127))=12), 0), 0)), "")</f>
        <v/>
      </c>
      <c r="AU127" s="51" t="str">
        <f>IF(XT!$P127&gt;0,AT127,"")</f>
        <v/>
      </c>
      <c r="AV127" s="51" t="str">
        <f>IF(XT!$P127=0,AT127,"")</f>
        <v/>
      </c>
    </row>
    <row r="128" spans="1:48">
      <c r="A128">
        <f>SUMPRODUCT((MONTH(CHOOSE({1,2,3,4},XT!U128,XT!Y128,XT!AC128,XT!AG128))=1)*(CHOOSE({1,2,3,4},XT!X128,XT!AB128,XT!AF128,XT!AJ128)))</f>
        <v>0</v>
      </c>
      <c r="B128">
        <f>IFERROR(INDEX(CHOOSE({1,2,3,4}, DAY(XT!U128), DAY(XT!Y128), DAY(XT!AC128), DAY(XT!AG128)), MATCH(1, INDEX(--(MONTH(CHOOSE({1,2,3,4}, XT!U128,XT!Y128,XT!AC128,XT!AG128))=1), 0), 0)), "")</f>
        <v>0</v>
      </c>
      <c r="C128" s="51" t="str">
        <f>IF(XT!$P128&gt;0,B128,"")</f>
        <v/>
      </c>
      <c r="D128" s="51">
        <f>IF(XT!$P128=0,B128,"")</f>
        <v>0</v>
      </c>
      <c r="E128">
        <f>SUMPRODUCT((MONTH(CHOOSE({1,2,3,4},XT!U128,XT!Y128,XT!AC128,XT!AG128))=2)*(CHOOSE({1,2,3,4},XT!X128,XT!AB128,XT!AF128,XT!AJ128)))</f>
        <v>0</v>
      </c>
      <c r="F128" t="str">
        <f>IFERROR(INDEX(CHOOSE({1,2,3,4}, DAY(XT!U128), DAY(XT!Y128), DAY(XT!AC128), DAY(XT!AG128)), MATCH(1, INDEX(--(MONTH(CHOOSE({1,2,3,4}, XT!U128,XT!Y128,XT!AC128,XT!AG128))=2), 0), 0)), "")</f>
        <v/>
      </c>
      <c r="G128" s="51" t="str">
        <f>IF(XT!$P128&gt;0,F128,"")</f>
        <v/>
      </c>
      <c r="H128" s="51" t="str">
        <f>IF(XT!$P128=0,F128,"")</f>
        <v/>
      </c>
      <c r="I128">
        <f>SUMPRODUCT((MONTH(CHOOSE({1,2,3,4},XT!U128,XT!Y128,XT!AC128,XT!AG128))=3)*(CHOOSE({1,2,3,4},XT!X128,XT!AB128,XT!AF128,XT!AJ128)))</f>
        <v>0</v>
      </c>
      <c r="J128" t="str">
        <f>IFERROR(INDEX(CHOOSE({1,2,3,4}, DAY(XT!U128), DAY(XT!Y128), DAY(XT!AC128), DAY(XT!AG128)), MATCH(1, INDEX(--(MONTH(CHOOSE({1,2,3,4}, XT!U128,XT!Y128,XT!AC128,XT!AG128))=3), 0), 0)), "")</f>
        <v/>
      </c>
      <c r="K128" s="51" t="str">
        <f>IF(XT!$P128&gt;0,J128,"")</f>
        <v/>
      </c>
      <c r="L128" s="51" t="str">
        <f>IF(XT!$P128=0,J128,"")</f>
        <v/>
      </c>
      <c r="M128">
        <f>SUMPRODUCT((MONTH(CHOOSE({1,2,3,4},XT!U128,XT!Y128,XT!AC128,XT!AG128))=4)*(CHOOSE({1,2,3,4},XT!X128,XT!AB128,XT!AF128,XT!AJ128)))</f>
        <v>0</v>
      </c>
      <c r="N128" t="str">
        <f>IFERROR(INDEX(CHOOSE({1,2,3,4}, DAY(XT!U128), DAY(XT!Y128), DAY(XT!AC128), DAY(XT!AG128)), MATCH(1, INDEX(--(MONTH(CHOOSE({1,2,3,4}, XT!U128,XT!Y128,XT!AC128,XT!AG128))=4), 0), 0)), "")</f>
        <v/>
      </c>
      <c r="O128" s="51" t="str">
        <f>IF(XT!$P128&gt;0,N128,"")</f>
        <v/>
      </c>
      <c r="P128" s="51" t="str">
        <f>IF(XT!$P128=0,N128,"")</f>
        <v/>
      </c>
      <c r="Q128">
        <f>SUMPRODUCT((MONTH(CHOOSE({1,2,3,4},XT!U128,XT!Y128,XT!AC128,XT!AG128))=5)*(CHOOSE({1,2,3,4},XT!X128,XT!AB128,XT!AF128,XT!AJ128)))</f>
        <v>0</v>
      </c>
      <c r="R128" t="str">
        <f>IFERROR(INDEX(CHOOSE({1,2,3,4}, DAY(XT!U128), DAY(XT!Y128), DAY(XT!AC128), DAY(XT!AG128)), MATCH(1, INDEX(--(MONTH(CHOOSE({1,2,3,4}, XT!U128,XT!Y128,XT!AC128,XT!AG128))=5), 0), 0)), "")</f>
        <v/>
      </c>
      <c r="S128" s="51" t="str">
        <f>IF(XT!$P128&gt;0,R128,"")</f>
        <v/>
      </c>
      <c r="T128" s="51" t="str">
        <f>IF(XT!$P128=0,R128,"")</f>
        <v/>
      </c>
      <c r="U128">
        <f>SUMPRODUCT((MONTH(CHOOSE({1,2,3,4},XT!U128,XT!Y128,XT!AC128,XT!AG128))=6)*(CHOOSE({1,2,3,4},XT!X128,XT!AB128,XT!AF128,XT!AJ128)))</f>
        <v>0</v>
      </c>
      <c r="V128" t="str">
        <f>IFERROR(INDEX(CHOOSE({1,2,3,4}, DAY(XT!U128), DAY(XT!Y128), DAY(XT!AC128), DAY(XT!AG128)), MATCH(1, INDEX(--(MONTH(CHOOSE({1,2,3,4}, XT!U128,XT!Y128,XT!AC128,XT!AG128))=6), 0), 0)), "")</f>
        <v/>
      </c>
      <c r="W128" s="51" t="str">
        <f>IF(XT!$P128&gt;0,V128,"")</f>
        <v/>
      </c>
      <c r="X128" s="51" t="str">
        <f>IF(XT!$P128=0,V128,"")</f>
        <v/>
      </c>
      <c r="Y128">
        <f>SUMPRODUCT((MONTH(CHOOSE({1,2,3,4},XT!U128,XT!Y128,XT!AC128,XT!AG128))=7)*(CHOOSE({1,2,3,4},XT!X128,XT!AB128,XT!AF128,XT!AJ128)))</f>
        <v>0</v>
      </c>
      <c r="Z128" t="str">
        <f>IFERROR(INDEX(CHOOSE({1,2,3,4}, DAY(XT!U128), DAY(XT!Y128), DAY(XT!AC128), DAY(XT!AG128)), MATCH(1, INDEX(--(MONTH(CHOOSE({1,2,3,4}, XT!U128,XT!Y128,XT!AC128,XT!AG128))=7), 0), 0)), "")</f>
        <v/>
      </c>
      <c r="AA128" s="51" t="str">
        <f>IF(XT!$P128&gt;0,Z128,"")</f>
        <v/>
      </c>
      <c r="AB128" s="51" t="str">
        <f>IF(XT!$P128=0,Z128,"")</f>
        <v/>
      </c>
      <c r="AC128">
        <f>SUMPRODUCT((MONTH(CHOOSE({1,2,3,4},XT!U128,XT!Y128,XT!AC128,XT!AG128))=8)*(CHOOSE({1,2,3,4},XT!X128,XT!AB128,XT!AF128,XT!AJ128)))</f>
        <v>0</v>
      </c>
      <c r="AD128" t="str">
        <f>IFERROR(INDEX(CHOOSE({1,2,3,4}, DAY(XT!U128), DAY(XT!Y128), DAY(XT!AC128), DAY(XT!AG128)), MATCH(1, INDEX(--(MONTH(CHOOSE({1,2,3,4}, XT!U128,XT!Y128,XT!AC128,XT!AG128))=8), 0), 0)), "")</f>
        <v/>
      </c>
      <c r="AE128" s="51" t="str">
        <f>IF(XT!$P128&gt;0,AD128,"")</f>
        <v/>
      </c>
      <c r="AF128" s="51" t="str">
        <f>IF(XT!$P128=0,AD128,"")</f>
        <v/>
      </c>
      <c r="AG128">
        <f>SUMPRODUCT((MONTH(CHOOSE({1,2,3,4},XT!U128,XT!Y128,XT!AC128,XT!AG128))=9)*(CHOOSE({1,2,3,4},XT!X128,XT!AB128,XT!AF128,XT!AJ128)))</f>
        <v>0</v>
      </c>
      <c r="AH128" t="str">
        <f>IFERROR(INDEX(CHOOSE({1,2,3,4}, DAY(XT!U128), DAY(XT!Y128), DAY(XT!AC128), DAY(XT!AG128)), MATCH(1, INDEX(--(MONTH(CHOOSE({1,2,3,4}, XT!U128,XT!Y128,XT!AC128,XT!AG128))=9), 0), 0)), "")</f>
        <v/>
      </c>
      <c r="AI128" s="51" t="str">
        <f>IF(XT!$P128&gt;0,AH128,"")</f>
        <v/>
      </c>
      <c r="AJ128" s="51" t="str">
        <f>IF(XT!$P128=0,AH128,"")</f>
        <v/>
      </c>
      <c r="AK128">
        <f>SUMPRODUCT((MONTH(CHOOSE({1,2,3,4},XT!U128,XT!Y128,XT!AC128,XT!AG128))=10)*(CHOOSE({1,2,3,4},XT!X128,XT!AB128,XT!AF128,XT!AJ128)))</f>
        <v>0</v>
      </c>
      <c r="AL128" t="str">
        <f>IFERROR(INDEX(CHOOSE({1,2,3,4}, DAY(XT!U128), DAY(XT!Y128), DAY(XT!AC128), DAY(XT!AG128)), MATCH(1, INDEX(--(MONTH(CHOOSE({1,2,3,4}, XT!U128,XT!Y128,XT!AC128,XT!AG128))=10), 0), 0)), "")</f>
        <v/>
      </c>
      <c r="AM128" s="51" t="str">
        <f>IF(XT!$P128&gt;0,AL128,"")</f>
        <v/>
      </c>
      <c r="AN128" s="51" t="str">
        <f>IF(XT!$P128=0,AL128,"")</f>
        <v/>
      </c>
      <c r="AO128">
        <f>SUMPRODUCT((MONTH(CHOOSE({1,2,3,4},XT!U128,XT!Y128,XT!AC128,XT!AG128))=11)*(CHOOSE({1,2,3,4},XT!X128,XT!AB128,XT!AF128,XT!AJ128)))</f>
        <v>0</v>
      </c>
      <c r="AP128" t="str">
        <f>IFERROR(INDEX(CHOOSE({1,2,3,4}, DAY(XT!U128), DAY(XT!Y128), DAY(XT!AC128), DAY(XT!AG128)), MATCH(1, INDEX(--(MONTH(CHOOSE({1,2,3,4}, XT!U128,XT!Y128,XT!AC128,XT!AG128))=11), 0), 0)), "")</f>
        <v/>
      </c>
      <c r="AQ128" s="51" t="str">
        <f>IF(XT!$P128&gt;0,AP128,"")</f>
        <v/>
      </c>
      <c r="AR128" s="51" t="str">
        <f>IF(XT!$P128=0,AP128,"")</f>
        <v/>
      </c>
      <c r="AS128">
        <f>SUMPRODUCT((MONTH(CHOOSE({1,2,3,4},XT!U128,XT!Y128,XT!AC128,XT!AG128))=12)*(CHOOSE({1,2,3,4},XT!X128,XT!AB128,XT!AF128,XT!AJ128)))</f>
        <v>0</v>
      </c>
      <c r="AT128" t="str">
        <f>IFERROR(INDEX(CHOOSE({1,2,3,4}, DAY(XT!U128), DAY(XT!Y128), DAY(XT!AC128), DAY(XT!AG128)), MATCH(1, INDEX(--(MONTH(CHOOSE({1,2,3,4}, XT!U128,XT!Y128,XT!AC128,XT!AG128))=12), 0), 0)), "")</f>
        <v/>
      </c>
      <c r="AU128" s="51" t="str">
        <f>IF(XT!$P128&gt;0,AT128,"")</f>
        <v/>
      </c>
      <c r="AV128" s="51" t="str">
        <f>IF(XT!$P128=0,AT128,"")</f>
        <v/>
      </c>
    </row>
    <row r="129" spans="1:48">
      <c r="A129">
        <f>SUMPRODUCT((MONTH(CHOOSE({1,2,3,4},XT!U129,XT!Y129,XT!AC129,XT!AG129))=1)*(CHOOSE({1,2,3,4},XT!X129,XT!AB129,XT!AF129,XT!AJ129)))</f>
        <v>0</v>
      </c>
      <c r="B129">
        <f>IFERROR(INDEX(CHOOSE({1,2,3,4}, DAY(XT!U129), DAY(XT!Y129), DAY(XT!AC129), DAY(XT!AG129)), MATCH(1, INDEX(--(MONTH(CHOOSE({1,2,3,4}, XT!U129,XT!Y129,XT!AC129,XT!AG129))=1), 0), 0)), "")</f>
        <v>0</v>
      </c>
      <c r="C129" s="51" t="str">
        <f>IF(XT!$P129&gt;0,B129,"")</f>
        <v/>
      </c>
      <c r="D129" s="51">
        <f>IF(XT!$P129=0,B129,"")</f>
        <v>0</v>
      </c>
      <c r="E129">
        <f>SUMPRODUCT((MONTH(CHOOSE({1,2,3,4},XT!U129,XT!Y129,XT!AC129,XT!AG129))=2)*(CHOOSE({1,2,3,4},XT!X129,XT!AB129,XT!AF129,XT!AJ129)))</f>
        <v>0</v>
      </c>
      <c r="F129" t="str">
        <f>IFERROR(INDEX(CHOOSE({1,2,3,4}, DAY(XT!U129), DAY(XT!Y129), DAY(XT!AC129), DAY(XT!AG129)), MATCH(1, INDEX(--(MONTH(CHOOSE({1,2,3,4}, XT!U129,XT!Y129,XT!AC129,XT!AG129))=2), 0), 0)), "")</f>
        <v/>
      </c>
      <c r="G129" s="51" t="str">
        <f>IF(XT!$P129&gt;0,F129,"")</f>
        <v/>
      </c>
      <c r="H129" s="51" t="str">
        <f>IF(XT!$P129=0,F129,"")</f>
        <v/>
      </c>
      <c r="I129">
        <f>SUMPRODUCT((MONTH(CHOOSE({1,2,3,4},XT!U129,XT!Y129,XT!AC129,XT!AG129))=3)*(CHOOSE({1,2,3,4},XT!X129,XT!AB129,XT!AF129,XT!AJ129)))</f>
        <v>0</v>
      </c>
      <c r="J129" t="str">
        <f>IFERROR(INDEX(CHOOSE({1,2,3,4}, DAY(XT!U129), DAY(XT!Y129), DAY(XT!AC129), DAY(XT!AG129)), MATCH(1, INDEX(--(MONTH(CHOOSE({1,2,3,4}, XT!U129,XT!Y129,XT!AC129,XT!AG129))=3), 0), 0)), "")</f>
        <v/>
      </c>
      <c r="K129" s="51" t="str">
        <f>IF(XT!$P129&gt;0,J129,"")</f>
        <v/>
      </c>
      <c r="L129" s="51" t="str">
        <f>IF(XT!$P129=0,J129,"")</f>
        <v/>
      </c>
      <c r="M129">
        <f>SUMPRODUCT((MONTH(CHOOSE({1,2,3,4},XT!U129,XT!Y129,XT!AC129,XT!AG129))=4)*(CHOOSE({1,2,3,4},XT!X129,XT!AB129,XT!AF129,XT!AJ129)))</f>
        <v>0</v>
      </c>
      <c r="N129" t="str">
        <f>IFERROR(INDEX(CHOOSE({1,2,3,4}, DAY(XT!U129), DAY(XT!Y129), DAY(XT!AC129), DAY(XT!AG129)), MATCH(1, INDEX(--(MONTH(CHOOSE({1,2,3,4}, XT!U129,XT!Y129,XT!AC129,XT!AG129))=4), 0), 0)), "")</f>
        <v/>
      </c>
      <c r="O129" s="51" t="str">
        <f>IF(XT!$P129&gt;0,N129,"")</f>
        <v/>
      </c>
      <c r="P129" s="51" t="str">
        <f>IF(XT!$P129=0,N129,"")</f>
        <v/>
      </c>
      <c r="Q129">
        <f>SUMPRODUCT((MONTH(CHOOSE({1,2,3,4},XT!U129,XT!Y129,XT!AC129,XT!AG129))=5)*(CHOOSE({1,2,3,4},XT!X129,XT!AB129,XT!AF129,XT!AJ129)))</f>
        <v>0</v>
      </c>
      <c r="R129" t="str">
        <f>IFERROR(INDEX(CHOOSE({1,2,3,4}, DAY(XT!U129), DAY(XT!Y129), DAY(XT!AC129), DAY(XT!AG129)), MATCH(1, INDEX(--(MONTH(CHOOSE({1,2,3,4}, XT!U129,XT!Y129,XT!AC129,XT!AG129))=5), 0), 0)), "")</f>
        <v/>
      </c>
      <c r="S129" s="51" t="str">
        <f>IF(XT!$P129&gt;0,R129,"")</f>
        <v/>
      </c>
      <c r="T129" s="51" t="str">
        <f>IF(XT!$P129=0,R129,"")</f>
        <v/>
      </c>
      <c r="U129">
        <f>SUMPRODUCT((MONTH(CHOOSE({1,2,3,4},XT!U129,XT!Y129,XT!AC129,XT!AG129))=6)*(CHOOSE({1,2,3,4},XT!X129,XT!AB129,XT!AF129,XT!AJ129)))</f>
        <v>0</v>
      </c>
      <c r="V129" t="str">
        <f>IFERROR(INDEX(CHOOSE({1,2,3,4}, DAY(XT!U129), DAY(XT!Y129), DAY(XT!AC129), DAY(XT!AG129)), MATCH(1, INDEX(--(MONTH(CHOOSE({1,2,3,4}, XT!U129,XT!Y129,XT!AC129,XT!AG129))=6), 0), 0)), "")</f>
        <v/>
      </c>
      <c r="W129" s="51" t="str">
        <f>IF(XT!$P129&gt;0,V129,"")</f>
        <v/>
      </c>
      <c r="X129" s="51" t="str">
        <f>IF(XT!$P129=0,V129,"")</f>
        <v/>
      </c>
      <c r="Y129">
        <f>SUMPRODUCT((MONTH(CHOOSE({1,2,3,4},XT!U129,XT!Y129,XT!AC129,XT!AG129))=7)*(CHOOSE({1,2,3,4},XT!X129,XT!AB129,XT!AF129,XT!AJ129)))</f>
        <v>0</v>
      </c>
      <c r="Z129" t="str">
        <f>IFERROR(INDEX(CHOOSE({1,2,3,4}, DAY(XT!U129), DAY(XT!Y129), DAY(XT!AC129), DAY(XT!AG129)), MATCH(1, INDEX(--(MONTH(CHOOSE({1,2,3,4}, XT!U129,XT!Y129,XT!AC129,XT!AG129))=7), 0), 0)), "")</f>
        <v/>
      </c>
      <c r="AA129" s="51" t="str">
        <f>IF(XT!$P129&gt;0,Z129,"")</f>
        <v/>
      </c>
      <c r="AB129" s="51" t="str">
        <f>IF(XT!$P129=0,Z129,"")</f>
        <v/>
      </c>
      <c r="AC129">
        <f>SUMPRODUCT((MONTH(CHOOSE({1,2,3,4},XT!U129,XT!Y129,XT!AC129,XT!AG129))=8)*(CHOOSE({1,2,3,4},XT!X129,XT!AB129,XT!AF129,XT!AJ129)))</f>
        <v>0</v>
      </c>
      <c r="AD129" t="str">
        <f>IFERROR(INDEX(CHOOSE({1,2,3,4}, DAY(XT!U129), DAY(XT!Y129), DAY(XT!AC129), DAY(XT!AG129)), MATCH(1, INDEX(--(MONTH(CHOOSE({1,2,3,4}, XT!U129,XT!Y129,XT!AC129,XT!AG129))=8), 0), 0)), "")</f>
        <v/>
      </c>
      <c r="AE129" s="51" t="str">
        <f>IF(XT!$P129&gt;0,AD129,"")</f>
        <v/>
      </c>
      <c r="AF129" s="51" t="str">
        <f>IF(XT!$P129=0,AD129,"")</f>
        <v/>
      </c>
      <c r="AG129">
        <f>SUMPRODUCT((MONTH(CHOOSE({1,2,3,4},XT!U129,XT!Y129,XT!AC129,XT!AG129))=9)*(CHOOSE({1,2,3,4},XT!X129,XT!AB129,XT!AF129,XT!AJ129)))</f>
        <v>0</v>
      </c>
      <c r="AH129" t="str">
        <f>IFERROR(INDEX(CHOOSE({1,2,3,4}, DAY(XT!U129), DAY(XT!Y129), DAY(XT!AC129), DAY(XT!AG129)), MATCH(1, INDEX(--(MONTH(CHOOSE({1,2,3,4}, XT!U129,XT!Y129,XT!AC129,XT!AG129))=9), 0), 0)), "")</f>
        <v/>
      </c>
      <c r="AI129" s="51" t="str">
        <f>IF(XT!$P129&gt;0,AH129,"")</f>
        <v/>
      </c>
      <c r="AJ129" s="51" t="str">
        <f>IF(XT!$P129=0,AH129,"")</f>
        <v/>
      </c>
      <c r="AK129">
        <f>SUMPRODUCT((MONTH(CHOOSE({1,2,3,4},XT!U129,XT!Y129,XT!AC129,XT!AG129))=10)*(CHOOSE({1,2,3,4},XT!X129,XT!AB129,XT!AF129,XT!AJ129)))</f>
        <v>0</v>
      </c>
      <c r="AL129" t="str">
        <f>IFERROR(INDEX(CHOOSE({1,2,3,4}, DAY(XT!U129), DAY(XT!Y129), DAY(XT!AC129), DAY(XT!AG129)), MATCH(1, INDEX(--(MONTH(CHOOSE({1,2,3,4}, XT!U129,XT!Y129,XT!AC129,XT!AG129))=10), 0), 0)), "")</f>
        <v/>
      </c>
      <c r="AM129" s="51" t="str">
        <f>IF(XT!$P129&gt;0,AL129,"")</f>
        <v/>
      </c>
      <c r="AN129" s="51" t="str">
        <f>IF(XT!$P129=0,AL129,"")</f>
        <v/>
      </c>
      <c r="AO129">
        <f>SUMPRODUCT((MONTH(CHOOSE({1,2,3,4},XT!U129,XT!Y129,XT!AC129,XT!AG129))=11)*(CHOOSE({1,2,3,4},XT!X129,XT!AB129,XT!AF129,XT!AJ129)))</f>
        <v>0</v>
      </c>
      <c r="AP129" t="str">
        <f>IFERROR(INDEX(CHOOSE({1,2,3,4}, DAY(XT!U129), DAY(XT!Y129), DAY(XT!AC129), DAY(XT!AG129)), MATCH(1, INDEX(--(MONTH(CHOOSE({1,2,3,4}, XT!U129,XT!Y129,XT!AC129,XT!AG129))=11), 0), 0)), "")</f>
        <v/>
      </c>
      <c r="AQ129" s="51" t="str">
        <f>IF(XT!$P129&gt;0,AP129,"")</f>
        <v/>
      </c>
      <c r="AR129" s="51" t="str">
        <f>IF(XT!$P129=0,AP129,"")</f>
        <v/>
      </c>
      <c r="AS129">
        <f>SUMPRODUCT((MONTH(CHOOSE({1,2,3,4},XT!U129,XT!Y129,XT!AC129,XT!AG129))=12)*(CHOOSE({1,2,3,4},XT!X129,XT!AB129,XT!AF129,XT!AJ129)))</f>
        <v>0</v>
      </c>
      <c r="AT129" t="str">
        <f>IFERROR(INDEX(CHOOSE({1,2,3,4}, DAY(XT!U129), DAY(XT!Y129), DAY(XT!AC129), DAY(XT!AG129)), MATCH(1, INDEX(--(MONTH(CHOOSE({1,2,3,4}, XT!U129,XT!Y129,XT!AC129,XT!AG129))=12), 0), 0)), "")</f>
        <v/>
      </c>
      <c r="AU129" s="51" t="str">
        <f>IF(XT!$P129&gt;0,AT129,"")</f>
        <v/>
      </c>
      <c r="AV129" s="51" t="str">
        <f>IF(XT!$P129=0,AT129,"")</f>
        <v/>
      </c>
    </row>
    <row r="130" spans="1:48">
      <c r="A130">
        <f>SUMPRODUCT((MONTH(CHOOSE({1,2,3,4},XT!U130,XT!Y130,XT!AC130,XT!AG130))=1)*(CHOOSE({1,2,3,4},XT!X130,XT!AB130,XT!AF130,XT!AJ130)))</f>
        <v>0</v>
      </c>
      <c r="B130">
        <f>IFERROR(INDEX(CHOOSE({1,2,3,4}, DAY(XT!U130), DAY(XT!Y130), DAY(XT!AC130), DAY(XT!AG130)), MATCH(1, INDEX(--(MONTH(CHOOSE({1,2,3,4}, XT!U130,XT!Y130,XT!AC130,XT!AG130))=1), 0), 0)), "")</f>
        <v>0</v>
      </c>
      <c r="C130" s="51" t="str">
        <f>IF(XT!$P130&gt;0,B130,"")</f>
        <v/>
      </c>
      <c r="D130" s="51">
        <f>IF(XT!$P130=0,B130,"")</f>
        <v>0</v>
      </c>
      <c r="E130">
        <f>SUMPRODUCT((MONTH(CHOOSE({1,2,3,4},XT!U130,XT!Y130,XT!AC130,XT!AG130))=2)*(CHOOSE({1,2,3,4},XT!X130,XT!AB130,XT!AF130,XT!AJ130)))</f>
        <v>0</v>
      </c>
      <c r="F130" t="str">
        <f>IFERROR(INDEX(CHOOSE({1,2,3,4}, DAY(XT!U130), DAY(XT!Y130), DAY(XT!AC130), DAY(XT!AG130)), MATCH(1, INDEX(--(MONTH(CHOOSE({1,2,3,4}, XT!U130,XT!Y130,XT!AC130,XT!AG130))=2), 0), 0)), "")</f>
        <v/>
      </c>
      <c r="G130" s="51" t="str">
        <f>IF(XT!$P130&gt;0,F130,"")</f>
        <v/>
      </c>
      <c r="H130" s="51" t="str">
        <f>IF(XT!$P130=0,F130,"")</f>
        <v/>
      </c>
      <c r="I130">
        <f>SUMPRODUCT((MONTH(CHOOSE({1,2,3,4},XT!U130,XT!Y130,XT!AC130,XT!AG130))=3)*(CHOOSE({1,2,3,4},XT!X130,XT!AB130,XT!AF130,XT!AJ130)))</f>
        <v>0</v>
      </c>
      <c r="J130" t="str">
        <f>IFERROR(INDEX(CHOOSE({1,2,3,4}, DAY(XT!U130), DAY(XT!Y130), DAY(XT!AC130), DAY(XT!AG130)), MATCH(1, INDEX(--(MONTH(CHOOSE({1,2,3,4}, XT!U130,XT!Y130,XT!AC130,XT!AG130))=3), 0), 0)), "")</f>
        <v/>
      </c>
      <c r="K130" s="51" t="str">
        <f>IF(XT!$P130&gt;0,J130,"")</f>
        <v/>
      </c>
      <c r="L130" s="51" t="str">
        <f>IF(XT!$P130=0,J130,"")</f>
        <v/>
      </c>
      <c r="M130">
        <f>SUMPRODUCT((MONTH(CHOOSE({1,2,3,4},XT!U130,XT!Y130,XT!AC130,XT!AG130))=4)*(CHOOSE({1,2,3,4},XT!X130,XT!AB130,XT!AF130,XT!AJ130)))</f>
        <v>0</v>
      </c>
      <c r="N130" t="str">
        <f>IFERROR(INDEX(CHOOSE({1,2,3,4}, DAY(XT!U130), DAY(XT!Y130), DAY(XT!AC130), DAY(XT!AG130)), MATCH(1, INDEX(--(MONTH(CHOOSE({1,2,3,4}, XT!U130,XT!Y130,XT!AC130,XT!AG130))=4), 0), 0)), "")</f>
        <v/>
      </c>
      <c r="O130" s="51" t="str">
        <f>IF(XT!$P130&gt;0,N130,"")</f>
        <v/>
      </c>
      <c r="P130" s="51" t="str">
        <f>IF(XT!$P130=0,N130,"")</f>
        <v/>
      </c>
      <c r="Q130">
        <f>SUMPRODUCT((MONTH(CHOOSE({1,2,3,4},XT!U130,XT!Y130,XT!AC130,XT!AG130))=5)*(CHOOSE({1,2,3,4},XT!X130,XT!AB130,XT!AF130,XT!AJ130)))</f>
        <v>0</v>
      </c>
      <c r="R130" t="str">
        <f>IFERROR(INDEX(CHOOSE({1,2,3,4}, DAY(XT!U130), DAY(XT!Y130), DAY(XT!AC130), DAY(XT!AG130)), MATCH(1, INDEX(--(MONTH(CHOOSE({1,2,3,4}, XT!U130,XT!Y130,XT!AC130,XT!AG130))=5), 0), 0)), "")</f>
        <v/>
      </c>
      <c r="S130" s="51" t="str">
        <f>IF(XT!$P130&gt;0,R130,"")</f>
        <v/>
      </c>
      <c r="T130" s="51" t="str">
        <f>IF(XT!$P130=0,R130,"")</f>
        <v/>
      </c>
      <c r="U130">
        <f>SUMPRODUCT((MONTH(CHOOSE({1,2,3,4},XT!U130,XT!Y130,XT!AC130,XT!AG130))=6)*(CHOOSE({1,2,3,4},XT!X130,XT!AB130,XT!AF130,XT!AJ130)))</f>
        <v>0</v>
      </c>
      <c r="V130" t="str">
        <f>IFERROR(INDEX(CHOOSE({1,2,3,4}, DAY(XT!U130), DAY(XT!Y130), DAY(XT!AC130), DAY(XT!AG130)), MATCH(1, INDEX(--(MONTH(CHOOSE({1,2,3,4}, XT!U130,XT!Y130,XT!AC130,XT!AG130))=6), 0), 0)), "")</f>
        <v/>
      </c>
      <c r="W130" s="51" t="str">
        <f>IF(XT!$P130&gt;0,V130,"")</f>
        <v/>
      </c>
      <c r="X130" s="51" t="str">
        <f>IF(XT!$P130=0,V130,"")</f>
        <v/>
      </c>
      <c r="Y130">
        <f>SUMPRODUCT((MONTH(CHOOSE({1,2,3,4},XT!U130,XT!Y130,XT!AC130,XT!AG130))=7)*(CHOOSE({1,2,3,4},XT!X130,XT!AB130,XT!AF130,XT!AJ130)))</f>
        <v>0</v>
      </c>
      <c r="Z130" t="str">
        <f>IFERROR(INDEX(CHOOSE({1,2,3,4}, DAY(XT!U130), DAY(XT!Y130), DAY(XT!AC130), DAY(XT!AG130)), MATCH(1, INDEX(--(MONTH(CHOOSE({1,2,3,4}, XT!U130,XT!Y130,XT!AC130,XT!AG130))=7), 0), 0)), "")</f>
        <v/>
      </c>
      <c r="AA130" s="51" t="str">
        <f>IF(XT!$P130&gt;0,Z130,"")</f>
        <v/>
      </c>
      <c r="AB130" s="51" t="str">
        <f>IF(XT!$P130=0,Z130,"")</f>
        <v/>
      </c>
      <c r="AC130">
        <f>SUMPRODUCT((MONTH(CHOOSE({1,2,3,4},XT!U130,XT!Y130,XT!AC130,XT!AG130))=8)*(CHOOSE({1,2,3,4},XT!X130,XT!AB130,XT!AF130,XT!AJ130)))</f>
        <v>0</v>
      </c>
      <c r="AD130" t="str">
        <f>IFERROR(INDEX(CHOOSE({1,2,3,4}, DAY(XT!U130), DAY(XT!Y130), DAY(XT!AC130), DAY(XT!AG130)), MATCH(1, INDEX(--(MONTH(CHOOSE({1,2,3,4}, XT!U130,XT!Y130,XT!AC130,XT!AG130))=8), 0), 0)), "")</f>
        <v/>
      </c>
      <c r="AE130" s="51" t="str">
        <f>IF(XT!$P130&gt;0,AD130,"")</f>
        <v/>
      </c>
      <c r="AF130" s="51" t="str">
        <f>IF(XT!$P130=0,AD130,"")</f>
        <v/>
      </c>
      <c r="AG130">
        <f>SUMPRODUCT((MONTH(CHOOSE({1,2,3,4},XT!U130,XT!Y130,XT!AC130,XT!AG130))=9)*(CHOOSE({1,2,3,4},XT!X130,XT!AB130,XT!AF130,XT!AJ130)))</f>
        <v>0</v>
      </c>
      <c r="AH130" t="str">
        <f>IFERROR(INDEX(CHOOSE({1,2,3,4}, DAY(XT!U130), DAY(XT!Y130), DAY(XT!AC130), DAY(XT!AG130)), MATCH(1, INDEX(--(MONTH(CHOOSE({1,2,3,4}, XT!U130,XT!Y130,XT!AC130,XT!AG130))=9), 0), 0)), "")</f>
        <v/>
      </c>
      <c r="AI130" s="51" t="str">
        <f>IF(XT!$P130&gt;0,AH130,"")</f>
        <v/>
      </c>
      <c r="AJ130" s="51" t="str">
        <f>IF(XT!$P130=0,AH130,"")</f>
        <v/>
      </c>
      <c r="AK130">
        <f>SUMPRODUCT((MONTH(CHOOSE({1,2,3,4},XT!U130,XT!Y130,XT!AC130,XT!AG130))=10)*(CHOOSE({1,2,3,4},XT!X130,XT!AB130,XT!AF130,XT!AJ130)))</f>
        <v>0</v>
      </c>
      <c r="AL130" t="str">
        <f>IFERROR(INDEX(CHOOSE({1,2,3,4}, DAY(XT!U130), DAY(XT!Y130), DAY(XT!AC130), DAY(XT!AG130)), MATCH(1, INDEX(--(MONTH(CHOOSE({1,2,3,4}, XT!U130,XT!Y130,XT!AC130,XT!AG130))=10), 0), 0)), "")</f>
        <v/>
      </c>
      <c r="AM130" s="51" t="str">
        <f>IF(XT!$P130&gt;0,AL130,"")</f>
        <v/>
      </c>
      <c r="AN130" s="51" t="str">
        <f>IF(XT!$P130=0,AL130,"")</f>
        <v/>
      </c>
      <c r="AO130">
        <f>SUMPRODUCT((MONTH(CHOOSE({1,2,3,4},XT!U130,XT!Y130,XT!AC130,XT!AG130))=11)*(CHOOSE({1,2,3,4},XT!X130,XT!AB130,XT!AF130,XT!AJ130)))</f>
        <v>0</v>
      </c>
      <c r="AP130" t="str">
        <f>IFERROR(INDEX(CHOOSE({1,2,3,4}, DAY(XT!U130), DAY(XT!Y130), DAY(XT!AC130), DAY(XT!AG130)), MATCH(1, INDEX(--(MONTH(CHOOSE({1,2,3,4}, XT!U130,XT!Y130,XT!AC130,XT!AG130))=11), 0), 0)), "")</f>
        <v/>
      </c>
      <c r="AQ130" s="51" t="str">
        <f>IF(XT!$P130&gt;0,AP130,"")</f>
        <v/>
      </c>
      <c r="AR130" s="51" t="str">
        <f>IF(XT!$P130=0,AP130,"")</f>
        <v/>
      </c>
      <c r="AS130">
        <f>SUMPRODUCT((MONTH(CHOOSE({1,2,3,4},XT!U130,XT!Y130,XT!AC130,XT!AG130))=12)*(CHOOSE({1,2,3,4},XT!X130,XT!AB130,XT!AF130,XT!AJ130)))</f>
        <v>0</v>
      </c>
      <c r="AT130" t="str">
        <f>IFERROR(INDEX(CHOOSE({1,2,3,4}, DAY(XT!U130), DAY(XT!Y130), DAY(XT!AC130), DAY(XT!AG130)), MATCH(1, INDEX(--(MONTH(CHOOSE({1,2,3,4}, XT!U130,XT!Y130,XT!AC130,XT!AG130))=12), 0), 0)), "")</f>
        <v/>
      </c>
      <c r="AU130" s="51" t="str">
        <f>IF(XT!$P130&gt;0,AT130,"")</f>
        <v/>
      </c>
      <c r="AV130" s="51" t="str">
        <f>IF(XT!$P130=0,AT130,"")</f>
        <v/>
      </c>
    </row>
    <row r="131" spans="1:48">
      <c r="A131">
        <f>SUMPRODUCT((MONTH(CHOOSE({1,2,3,4},XT!U131,XT!Y131,XT!AC131,XT!AG131))=1)*(CHOOSE({1,2,3,4},XT!X131,XT!AB131,XT!AF131,XT!AJ131)))</f>
        <v>0</v>
      </c>
      <c r="B131">
        <f>IFERROR(INDEX(CHOOSE({1,2,3,4}, DAY(XT!U131), DAY(XT!Y131), DAY(XT!AC131), DAY(XT!AG131)), MATCH(1, INDEX(--(MONTH(CHOOSE({1,2,3,4}, XT!U131,XT!Y131,XT!AC131,XT!AG131))=1), 0), 0)), "")</f>
        <v>0</v>
      </c>
      <c r="C131" s="51" t="str">
        <f>IF(XT!$P131&gt;0,B131,"")</f>
        <v/>
      </c>
      <c r="D131" s="51">
        <f>IF(XT!$P131=0,B131,"")</f>
        <v>0</v>
      </c>
      <c r="E131">
        <f>SUMPRODUCT((MONTH(CHOOSE({1,2,3,4},XT!U131,XT!Y131,XT!AC131,XT!AG131))=2)*(CHOOSE({1,2,3,4},XT!X131,XT!AB131,XT!AF131,XT!AJ131)))</f>
        <v>0</v>
      </c>
      <c r="F131" t="str">
        <f>IFERROR(INDEX(CHOOSE({1,2,3,4}, DAY(XT!U131), DAY(XT!Y131), DAY(XT!AC131), DAY(XT!AG131)), MATCH(1, INDEX(--(MONTH(CHOOSE({1,2,3,4}, XT!U131,XT!Y131,XT!AC131,XT!AG131))=2), 0), 0)), "")</f>
        <v/>
      </c>
      <c r="G131" s="51" t="str">
        <f>IF(XT!$P131&gt;0,F131,"")</f>
        <v/>
      </c>
      <c r="H131" s="51" t="str">
        <f>IF(XT!$P131=0,F131,"")</f>
        <v/>
      </c>
      <c r="I131">
        <f>SUMPRODUCT((MONTH(CHOOSE({1,2,3,4},XT!U131,XT!Y131,XT!AC131,XT!AG131))=3)*(CHOOSE({1,2,3,4},XT!X131,XT!AB131,XT!AF131,XT!AJ131)))</f>
        <v>0</v>
      </c>
      <c r="J131" t="str">
        <f>IFERROR(INDEX(CHOOSE({1,2,3,4}, DAY(XT!U131), DAY(XT!Y131), DAY(XT!AC131), DAY(XT!AG131)), MATCH(1, INDEX(--(MONTH(CHOOSE({1,2,3,4}, XT!U131,XT!Y131,XT!AC131,XT!AG131))=3), 0), 0)), "")</f>
        <v/>
      </c>
      <c r="K131" s="51" t="str">
        <f>IF(XT!$P131&gt;0,J131,"")</f>
        <v/>
      </c>
      <c r="L131" s="51" t="str">
        <f>IF(XT!$P131=0,J131,"")</f>
        <v/>
      </c>
      <c r="M131">
        <f>SUMPRODUCT((MONTH(CHOOSE({1,2,3,4},XT!U131,XT!Y131,XT!AC131,XT!AG131))=4)*(CHOOSE({1,2,3,4},XT!X131,XT!AB131,XT!AF131,XT!AJ131)))</f>
        <v>0</v>
      </c>
      <c r="N131" t="str">
        <f>IFERROR(INDEX(CHOOSE({1,2,3,4}, DAY(XT!U131), DAY(XT!Y131), DAY(XT!AC131), DAY(XT!AG131)), MATCH(1, INDEX(--(MONTH(CHOOSE({1,2,3,4}, XT!U131,XT!Y131,XT!AC131,XT!AG131))=4), 0), 0)), "")</f>
        <v/>
      </c>
      <c r="O131" s="51" t="str">
        <f>IF(XT!$P131&gt;0,N131,"")</f>
        <v/>
      </c>
      <c r="P131" s="51" t="str">
        <f>IF(XT!$P131=0,N131,"")</f>
        <v/>
      </c>
      <c r="Q131">
        <f>SUMPRODUCT((MONTH(CHOOSE({1,2,3,4},XT!U131,XT!Y131,XT!AC131,XT!AG131))=5)*(CHOOSE({1,2,3,4},XT!X131,XT!AB131,XT!AF131,XT!AJ131)))</f>
        <v>0</v>
      </c>
      <c r="R131" t="str">
        <f>IFERROR(INDEX(CHOOSE({1,2,3,4}, DAY(XT!U131), DAY(XT!Y131), DAY(XT!AC131), DAY(XT!AG131)), MATCH(1, INDEX(--(MONTH(CHOOSE({1,2,3,4}, XT!U131,XT!Y131,XT!AC131,XT!AG131))=5), 0), 0)), "")</f>
        <v/>
      </c>
      <c r="S131" s="51" t="str">
        <f>IF(XT!$P131&gt;0,R131,"")</f>
        <v/>
      </c>
      <c r="T131" s="51" t="str">
        <f>IF(XT!$P131=0,R131,"")</f>
        <v/>
      </c>
      <c r="U131">
        <f>SUMPRODUCT((MONTH(CHOOSE({1,2,3,4},XT!U131,XT!Y131,XT!AC131,XT!AG131))=6)*(CHOOSE({1,2,3,4},XT!X131,XT!AB131,XT!AF131,XT!AJ131)))</f>
        <v>0</v>
      </c>
      <c r="V131" t="str">
        <f>IFERROR(INDEX(CHOOSE({1,2,3,4}, DAY(XT!U131), DAY(XT!Y131), DAY(XT!AC131), DAY(XT!AG131)), MATCH(1, INDEX(--(MONTH(CHOOSE({1,2,3,4}, XT!U131,XT!Y131,XT!AC131,XT!AG131))=6), 0), 0)), "")</f>
        <v/>
      </c>
      <c r="W131" s="51" t="str">
        <f>IF(XT!$P131&gt;0,V131,"")</f>
        <v/>
      </c>
      <c r="X131" s="51" t="str">
        <f>IF(XT!$P131=0,V131,"")</f>
        <v/>
      </c>
      <c r="Y131">
        <f>SUMPRODUCT((MONTH(CHOOSE({1,2,3,4},XT!U131,XT!Y131,XT!AC131,XT!AG131))=7)*(CHOOSE({1,2,3,4},XT!X131,XT!AB131,XT!AF131,XT!AJ131)))</f>
        <v>0</v>
      </c>
      <c r="Z131" t="str">
        <f>IFERROR(INDEX(CHOOSE({1,2,3,4}, DAY(XT!U131), DAY(XT!Y131), DAY(XT!AC131), DAY(XT!AG131)), MATCH(1, INDEX(--(MONTH(CHOOSE({1,2,3,4}, XT!U131,XT!Y131,XT!AC131,XT!AG131))=7), 0), 0)), "")</f>
        <v/>
      </c>
      <c r="AA131" s="51" t="str">
        <f>IF(XT!$P131&gt;0,Z131,"")</f>
        <v/>
      </c>
      <c r="AB131" s="51" t="str">
        <f>IF(XT!$P131=0,Z131,"")</f>
        <v/>
      </c>
      <c r="AC131">
        <f>SUMPRODUCT((MONTH(CHOOSE({1,2,3,4},XT!U131,XT!Y131,XT!AC131,XT!AG131))=8)*(CHOOSE({1,2,3,4},XT!X131,XT!AB131,XT!AF131,XT!AJ131)))</f>
        <v>0</v>
      </c>
      <c r="AD131" t="str">
        <f>IFERROR(INDEX(CHOOSE({1,2,3,4}, DAY(XT!U131), DAY(XT!Y131), DAY(XT!AC131), DAY(XT!AG131)), MATCH(1, INDEX(--(MONTH(CHOOSE({1,2,3,4}, XT!U131,XT!Y131,XT!AC131,XT!AG131))=8), 0), 0)), "")</f>
        <v/>
      </c>
      <c r="AE131" s="51" t="str">
        <f>IF(XT!$P131&gt;0,AD131,"")</f>
        <v/>
      </c>
      <c r="AF131" s="51" t="str">
        <f>IF(XT!$P131=0,AD131,"")</f>
        <v/>
      </c>
      <c r="AG131">
        <f>SUMPRODUCT((MONTH(CHOOSE({1,2,3,4},XT!U131,XT!Y131,XT!AC131,XT!AG131))=9)*(CHOOSE({1,2,3,4},XT!X131,XT!AB131,XT!AF131,XT!AJ131)))</f>
        <v>0</v>
      </c>
      <c r="AH131" t="str">
        <f>IFERROR(INDEX(CHOOSE({1,2,3,4}, DAY(XT!U131), DAY(XT!Y131), DAY(XT!AC131), DAY(XT!AG131)), MATCH(1, INDEX(--(MONTH(CHOOSE({1,2,3,4}, XT!U131,XT!Y131,XT!AC131,XT!AG131))=9), 0), 0)), "")</f>
        <v/>
      </c>
      <c r="AI131" s="51" t="str">
        <f>IF(XT!$P131&gt;0,AH131,"")</f>
        <v/>
      </c>
      <c r="AJ131" s="51" t="str">
        <f>IF(XT!$P131=0,AH131,"")</f>
        <v/>
      </c>
      <c r="AK131">
        <f>SUMPRODUCT((MONTH(CHOOSE({1,2,3,4},XT!U131,XT!Y131,XT!AC131,XT!AG131))=10)*(CHOOSE({1,2,3,4},XT!X131,XT!AB131,XT!AF131,XT!AJ131)))</f>
        <v>0</v>
      </c>
      <c r="AL131" t="str">
        <f>IFERROR(INDEX(CHOOSE({1,2,3,4}, DAY(XT!U131), DAY(XT!Y131), DAY(XT!AC131), DAY(XT!AG131)), MATCH(1, INDEX(--(MONTH(CHOOSE({1,2,3,4}, XT!U131,XT!Y131,XT!AC131,XT!AG131))=10), 0), 0)), "")</f>
        <v/>
      </c>
      <c r="AM131" s="51" t="str">
        <f>IF(XT!$P131&gt;0,AL131,"")</f>
        <v/>
      </c>
      <c r="AN131" s="51" t="str">
        <f>IF(XT!$P131=0,AL131,"")</f>
        <v/>
      </c>
      <c r="AO131">
        <f>SUMPRODUCT((MONTH(CHOOSE({1,2,3,4},XT!U131,XT!Y131,XT!AC131,XT!AG131))=11)*(CHOOSE({1,2,3,4},XT!X131,XT!AB131,XT!AF131,XT!AJ131)))</f>
        <v>0</v>
      </c>
      <c r="AP131" t="str">
        <f>IFERROR(INDEX(CHOOSE({1,2,3,4}, DAY(XT!U131), DAY(XT!Y131), DAY(XT!AC131), DAY(XT!AG131)), MATCH(1, INDEX(--(MONTH(CHOOSE({1,2,3,4}, XT!U131,XT!Y131,XT!AC131,XT!AG131))=11), 0), 0)), "")</f>
        <v/>
      </c>
      <c r="AQ131" s="51" t="str">
        <f>IF(XT!$P131&gt;0,AP131,"")</f>
        <v/>
      </c>
      <c r="AR131" s="51" t="str">
        <f>IF(XT!$P131=0,AP131,"")</f>
        <v/>
      </c>
      <c r="AS131">
        <f>SUMPRODUCT((MONTH(CHOOSE({1,2,3,4},XT!U131,XT!Y131,XT!AC131,XT!AG131))=12)*(CHOOSE({1,2,3,4},XT!X131,XT!AB131,XT!AF131,XT!AJ131)))</f>
        <v>0</v>
      </c>
      <c r="AT131" t="str">
        <f>IFERROR(INDEX(CHOOSE({1,2,3,4}, DAY(XT!U131), DAY(XT!Y131), DAY(XT!AC131), DAY(XT!AG131)), MATCH(1, INDEX(--(MONTH(CHOOSE({1,2,3,4}, XT!U131,XT!Y131,XT!AC131,XT!AG131))=12), 0), 0)), "")</f>
        <v/>
      </c>
      <c r="AU131" s="51" t="str">
        <f>IF(XT!$P131&gt;0,AT131,"")</f>
        <v/>
      </c>
      <c r="AV131" s="51" t="str">
        <f>IF(XT!$P131=0,AT131,"")</f>
        <v/>
      </c>
    </row>
    <row r="132" spans="1:48">
      <c r="A132">
        <f>SUMPRODUCT((MONTH(CHOOSE({1,2,3,4},XT!U132,XT!Y132,XT!AC132,XT!AG132))=1)*(CHOOSE({1,2,3,4},XT!X132,XT!AB132,XT!AF132,XT!AJ132)))</f>
        <v>0</v>
      </c>
      <c r="B132">
        <f>IFERROR(INDEX(CHOOSE({1,2,3,4}, DAY(XT!U132), DAY(XT!Y132), DAY(XT!AC132), DAY(XT!AG132)), MATCH(1, INDEX(--(MONTH(CHOOSE({1,2,3,4}, XT!U132,XT!Y132,XT!AC132,XT!AG132))=1), 0), 0)), "")</f>
        <v>0</v>
      </c>
      <c r="C132" s="51" t="str">
        <f>IF(XT!$P132&gt;0,B132,"")</f>
        <v/>
      </c>
      <c r="D132" s="51">
        <f>IF(XT!$P132=0,B132,"")</f>
        <v>0</v>
      </c>
      <c r="E132">
        <f>SUMPRODUCT((MONTH(CHOOSE({1,2,3,4},XT!U132,XT!Y132,XT!AC132,XT!AG132))=2)*(CHOOSE({1,2,3,4},XT!X132,XT!AB132,XT!AF132,XT!AJ132)))</f>
        <v>0</v>
      </c>
      <c r="F132" t="str">
        <f>IFERROR(INDEX(CHOOSE({1,2,3,4}, DAY(XT!U132), DAY(XT!Y132), DAY(XT!AC132), DAY(XT!AG132)), MATCH(1, INDEX(--(MONTH(CHOOSE({1,2,3,4}, XT!U132,XT!Y132,XT!AC132,XT!AG132))=2), 0), 0)), "")</f>
        <v/>
      </c>
      <c r="G132" s="51" t="str">
        <f>IF(XT!$P132&gt;0,F132,"")</f>
        <v/>
      </c>
      <c r="H132" s="51" t="str">
        <f>IF(XT!$P132=0,F132,"")</f>
        <v/>
      </c>
      <c r="I132">
        <f>SUMPRODUCT((MONTH(CHOOSE({1,2,3,4},XT!U132,XT!Y132,XT!AC132,XT!AG132))=3)*(CHOOSE({1,2,3,4},XT!X132,XT!AB132,XT!AF132,XT!AJ132)))</f>
        <v>0</v>
      </c>
      <c r="J132" t="str">
        <f>IFERROR(INDEX(CHOOSE({1,2,3,4}, DAY(XT!U132), DAY(XT!Y132), DAY(XT!AC132), DAY(XT!AG132)), MATCH(1, INDEX(--(MONTH(CHOOSE({1,2,3,4}, XT!U132,XT!Y132,XT!AC132,XT!AG132))=3), 0), 0)), "")</f>
        <v/>
      </c>
      <c r="K132" s="51" t="str">
        <f>IF(XT!$P132&gt;0,J132,"")</f>
        <v/>
      </c>
      <c r="L132" s="51" t="str">
        <f>IF(XT!$P132=0,J132,"")</f>
        <v/>
      </c>
      <c r="M132">
        <f>SUMPRODUCT((MONTH(CHOOSE({1,2,3,4},XT!U132,XT!Y132,XT!AC132,XT!AG132))=4)*(CHOOSE({1,2,3,4},XT!X132,XT!AB132,XT!AF132,XT!AJ132)))</f>
        <v>0</v>
      </c>
      <c r="N132" t="str">
        <f>IFERROR(INDEX(CHOOSE({1,2,3,4}, DAY(XT!U132), DAY(XT!Y132), DAY(XT!AC132), DAY(XT!AG132)), MATCH(1, INDEX(--(MONTH(CHOOSE({1,2,3,4}, XT!U132,XT!Y132,XT!AC132,XT!AG132))=4), 0), 0)), "")</f>
        <v/>
      </c>
      <c r="O132" s="51" t="str">
        <f>IF(XT!$P132&gt;0,N132,"")</f>
        <v/>
      </c>
      <c r="P132" s="51" t="str">
        <f>IF(XT!$P132=0,N132,"")</f>
        <v/>
      </c>
      <c r="Q132">
        <f>SUMPRODUCT((MONTH(CHOOSE({1,2,3,4},XT!U132,XT!Y132,XT!AC132,XT!AG132))=5)*(CHOOSE({1,2,3,4},XT!X132,XT!AB132,XT!AF132,XT!AJ132)))</f>
        <v>0</v>
      </c>
      <c r="R132" t="str">
        <f>IFERROR(INDEX(CHOOSE({1,2,3,4}, DAY(XT!U132), DAY(XT!Y132), DAY(XT!AC132), DAY(XT!AG132)), MATCH(1, INDEX(--(MONTH(CHOOSE({1,2,3,4}, XT!U132,XT!Y132,XT!AC132,XT!AG132))=5), 0), 0)), "")</f>
        <v/>
      </c>
      <c r="S132" s="51" t="str">
        <f>IF(XT!$P132&gt;0,R132,"")</f>
        <v/>
      </c>
      <c r="T132" s="51" t="str">
        <f>IF(XT!$P132=0,R132,"")</f>
        <v/>
      </c>
      <c r="U132">
        <f>SUMPRODUCT((MONTH(CHOOSE({1,2,3,4},XT!U132,XT!Y132,XT!AC132,XT!AG132))=6)*(CHOOSE({1,2,3,4},XT!X132,XT!AB132,XT!AF132,XT!AJ132)))</f>
        <v>0</v>
      </c>
      <c r="V132" t="str">
        <f>IFERROR(INDEX(CHOOSE({1,2,3,4}, DAY(XT!U132), DAY(XT!Y132), DAY(XT!AC132), DAY(XT!AG132)), MATCH(1, INDEX(--(MONTH(CHOOSE({1,2,3,4}, XT!U132,XT!Y132,XT!AC132,XT!AG132))=6), 0), 0)), "")</f>
        <v/>
      </c>
      <c r="W132" s="51" t="str">
        <f>IF(XT!$P132&gt;0,V132,"")</f>
        <v/>
      </c>
      <c r="X132" s="51" t="str">
        <f>IF(XT!$P132=0,V132,"")</f>
        <v/>
      </c>
      <c r="Y132">
        <f>SUMPRODUCT((MONTH(CHOOSE({1,2,3,4},XT!U132,XT!Y132,XT!AC132,XT!AG132))=7)*(CHOOSE({1,2,3,4},XT!X132,XT!AB132,XT!AF132,XT!AJ132)))</f>
        <v>0</v>
      </c>
      <c r="Z132" t="str">
        <f>IFERROR(INDEX(CHOOSE({1,2,3,4}, DAY(XT!U132), DAY(XT!Y132), DAY(XT!AC132), DAY(XT!AG132)), MATCH(1, INDEX(--(MONTH(CHOOSE({1,2,3,4}, XT!U132,XT!Y132,XT!AC132,XT!AG132))=7), 0), 0)), "")</f>
        <v/>
      </c>
      <c r="AA132" s="51" t="str">
        <f>IF(XT!$P132&gt;0,Z132,"")</f>
        <v/>
      </c>
      <c r="AB132" s="51" t="str">
        <f>IF(XT!$P132=0,Z132,"")</f>
        <v/>
      </c>
      <c r="AC132">
        <f>SUMPRODUCT((MONTH(CHOOSE({1,2,3,4},XT!U132,XT!Y132,XT!AC132,XT!AG132))=8)*(CHOOSE({1,2,3,4},XT!X132,XT!AB132,XT!AF132,XT!AJ132)))</f>
        <v>0</v>
      </c>
      <c r="AD132" t="str">
        <f>IFERROR(INDEX(CHOOSE({1,2,3,4}, DAY(XT!U132), DAY(XT!Y132), DAY(XT!AC132), DAY(XT!AG132)), MATCH(1, INDEX(--(MONTH(CHOOSE({1,2,3,4}, XT!U132,XT!Y132,XT!AC132,XT!AG132))=8), 0), 0)), "")</f>
        <v/>
      </c>
      <c r="AE132" s="51" t="str">
        <f>IF(XT!$P132&gt;0,AD132,"")</f>
        <v/>
      </c>
      <c r="AF132" s="51" t="str">
        <f>IF(XT!$P132=0,AD132,"")</f>
        <v/>
      </c>
      <c r="AG132">
        <f>SUMPRODUCT((MONTH(CHOOSE({1,2,3,4},XT!U132,XT!Y132,XT!AC132,XT!AG132))=9)*(CHOOSE({1,2,3,4},XT!X132,XT!AB132,XT!AF132,XT!AJ132)))</f>
        <v>0</v>
      </c>
      <c r="AH132" t="str">
        <f>IFERROR(INDEX(CHOOSE({1,2,3,4}, DAY(XT!U132), DAY(XT!Y132), DAY(XT!AC132), DAY(XT!AG132)), MATCH(1, INDEX(--(MONTH(CHOOSE({1,2,3,4}, XT!U132,XT!Y132,XT!AC132,XT!AG132))=9), 0), 0)), "")</f>
        <v/>
      </c>
      <c r="AI132" s="51" t="str">
        <f>IF(XT!$P132&gt;0,AH132,"")</f>
        <v/>
      </c>
      <c r="AJ132" s="51" t="str">
        <f>IF(XT!$P132=0,AH132,"")</f>
        <v/>
      </c>
      <c r="AK132">
        <f>SUMPRODUCT((MONTH(CHOOSE({1,2,3,4},XT!U132,XT!Y132,XT!AC132,XT!AG132))=10)*(CHOOSE({1,2,3,4},XT!X132,XT!AB132,XT!AF132,XT!AJ132)))</f>
        <v>0</v>
      </c>
      <c r="AL132" t="str">
        <f>IFERROR(INDEX(CHOOSE({1,2,3,4}, DAY(XT!U132), DAY(XT!Y132), DAY(XT!AC132), DAY(XT!AG132)), MATCH(1, INDEX(--(MONTH(CHOOSE({1,2,3,4}, XT!U132,XT!Y132,XT!AC132,XT!AG132))=10), 0), 0)), "")</f>
        <v/>
      </c>
      <c r="AM132" s="51" t="str">
        <f>IF(XT!$P132&gt;0,AL132,"")</f>
        <v/>
      </c>
      <c r="AN132" s="51" t="str">
        <f>IF(XT!$P132=0,AL132,"")</f>
        <v/>
      </c>
      <c r="AO132">
        <f>SUMPRODUCT((MONTH(CHOOSE({1,2,3,4},XT!U132,XT!Y132,XT!AC132,XT!AG132))=11)*(CHOOSE({1,2,3,4},XT!X132,XT!AB132,XT!AF132,XT!AJ132)))</f>
        <v>0</v>
      </c>
      <c r="AP132" t="str">
        <f>IFERROR(INDEX(CHOOSE({1,2,3,4}, DAY(XT!U132), DAY(XT!Y132), DAY(XT!AC132), DAY(XT!AG132)), MATCH(1, INDEX(--(MONTH(CHOOSE({1,2,3,4}, XT!U132,XT!Y132,XT!AC132,XT!AG132))=11), 0), 0)), "")</f>
        <v/>
      </c>
      <c r="AQ132" s="51" t="str">
        <f>IF(XT!$P132&gt;0,AP132,"")</f>
        <v/>
      </c>
      <c r="AR132" s="51" t="str">
        <f>IF(XT!$P132=0,AP132,"")</f>
        <v/>
      </c>
      <c r="AS132">
        <f>SUMPRODUCT((MONTH(CHOOSE({1,2,3,4},XT!U132,XT!Y132,XT!AC132,XT!AG132))=12)*(CHOOSE({1,2,3,4},XT!X132,XT!AB132,XT!AF132,XT!AJ132)))</f>
        <v>0</v>
      </c>
      <c r="AT132" t="str">
        <f>IFERROR(INDEX(CHOOSE({1,2,3,4}, DAY(XT!U132), DAY(XT!Y132), DAY(XT!AC132), DAY(XT!AG132)), MATCH(1, INDEX(--(MONTH(CHOOSE({1,2,3,4}, XT!U132,XT!Y132,XT!AC132,XT!AG132))=12), 0), 0)), "")</f>
        <v/>
      </c>
      <c r="AU132" s="51" t="str">
        <f>IF(XT!$P132&gt;0,AT132,"")</f>
        <v/>
      </c>
      <c r="AV132" s="51" t="str">
        <f>IF(XT!$P132=0,AT132,"")</f>
        <v/>
      </c>
    </row>
    <row r="133" spans="1:48">
      <c r="A133">
        <f>SUMPRODUCT((MONTH(CHOOSE({1,2,3,4},XT!U133,XT!Y133,XT!AC133,XT!AG133))=1)*(CHOOSE({1,2,3,4},XT!X133,XT!AB133,XT!AF133,XT!AJ133)))</f>
        <v>0</v>
      </c>
      <c r="B133">
        <f>IFERROR(INDEX(CHOOSE({1,2,3,4}, DAY(XT!U133), DAY(XT!Y133), DAY(XT!AC133), DAY(XT!AG133)), MATCH(1, INDEX(--(MONTH(CHOOSE({1,2,3,4}, XT!U133,XT!Y133,XT!AC133,XT!AG133))=1), 0), 0)), "")</f>
        <v>0</v>
      </c>
      <c r="C133" s="51" t="str">
        <f>IF(XT!$P133&gt;0,B133,"")</f>
        <v/>
      </c>
      <c r="D133" s="51">
        <f>IF(XT!$P133=0,B133,"")</f>
        <v>0</v>
      </c>
      <c r="E133">
        <f>SUMPRODUCT((MONTH(CHOOSE({1,2,3,4},XT!U133,XT!Y133,XT!AC133,XT!AG133))=2)*(CHOOSE({1,2,3,4},XT!X133,XT!AB133,XT!AF133,XT!AJ133)))</f>
        <v>0</v>
      </c>
      <c r="F133" t="str">
        <f>IFERROR(INDEX(CHOOSE({1,2,3,4}, DAY(XT!U133), DAY(XT!Y133), DAY(XT!AC133), DAY(XT!AG133)), MATCH(1, INDEX(--(MONTH(CHOOSE({1,2,3,4}, XT!U133,XT!Y133,XT!AC133,XT!AG133))=2), 0), 0)), "")</f>
        <v/>
      </c>
      <c r="G133" s="51" t="str">
        <f>IF(XT!$P133&gt;0,F133,"")</f>
        <v/>
      </c>
      <c r="H133" s="51" t="str">
        <f>IF(XT!$P133=0,F133,"")</f>
        <v/>
      </c>
      <c r="I133">
        <f>SUMPRODUCT((MONTH(CHOOSE({1,2,3,4},XT!U133,XT!Y133,XT!AC133,XT!AG133))=3)*(CHOOSE({1,2,3,4},XT!X133,XT!AB133,XT!AF133,XT!AJ133)))</f>
        <v>0</v>
      </c>
      <c r="J133" t="str">
        <f>IFERROR(INDEX(CHOOSE({1,2,3,4}, DAY(XT!U133), DAY(XT!Y133), DAY(XT!AC133), DAY(XT!AG133)), MATCH(1, INDEX(--(MONTH(CHOOSE({1,2,3,4}, XT!U133,XT!Y133,XT!AC133,XT!AG133))=3), 0), 0)), "")</f>
        <v/>
      </c>
      <c r="K133" s="51" t="str">
        <f>IF(XT!$P133&gt;0,J133,"")</f>
        <v/>
      </c>
      <c r="L133" s="51" t="str">
        <f>IF(XT!$P133=0,J133,"")</f>
        <v/>
      </c>
      <c r="M133">
        <f>SUMPRODUCT((MONTH(CHOOSE({1,2,3,4},XT!U133,XT!Y133,XT!AC133,XT!AG133))=4)*(CHOOSE({1,2,3,4},XT!X133,XT!AB133,XT!AF133,XT!AJ133)))</f>
        <v>0</v>
      </c>
      <c r="N133" t="str">
        <f>IFERROR(INDEX(CHOOSE({1,2,3,4}, DAY(XT!U133), DAY(XT!Y133), DAY(XT!AC133), DAY(XT!AG133)), MATCH(1, INDEX(--(MONTH(CHOOSE({1,2,3,4}, XT!U133,XT!Y133,XT!AC133,XT!AG133))=4), 0), 0)), "")</f>
        <v/>
      </c>
      <c r="O133" s="51" t="str">
        <f>IF(XT!$P133&gt;0,N133,"")</f>
        <v/>
      </c>
      <c r="P133" s="51" t="str">
        <f>IF(XT!$P133=0,N133,"")</f>
        <v/>
      </c>
      <c r="Q133">
        <f>SUMPRODUCT((MONTH(CHOOSE({1,2,3,4},XT!U133,XT!Y133,XT!AC133,XT!AG133))=5)*(CHOOSE({1,2,3,4},XT!X133,XT!AB133,XT!AF133,XT!AJ133)))</f>
        <v>0</v>
      </c>
      <c r="R133" t="str">
        <f>IFERROR(INDEX(CHOOSE({1,2,3,4}, DAY(XT!U133), DAY(XT!Y133), DAY(XT!AC133), DAY(XT!AG133)), MATCH(1, INDEX(--(MONTH(CHOOSE({1,2,3,4}, XT!U133,XT!Y133,XT!AC133,XT!AG133))=5), 0), 0)), "")</f>
        <v/>
      </c>
      <c r="S133" s="51" t="str">
        <f>IF(XT!$P133&gt;0,R133,"")</f>
        <v/>
      </c>
      <c r="T133" s="51" t="str">
        <f>IF(XT!$P133=0,R133,"")</f>
        <v/>
      </c>
      <c r="U133">
        <f>SUMPRODUCT((MONTH(CHOOSE({1,2,3,4},XT!U133,XT!Y133,XT!AC133,XT!AG133))=6)*(CHOOSE({1,2,3,4},XT!X133,XT!AB133,XT!AF133,XT!AJ133)))</f>
        <v>0</v>
      </c>
      <c r="V133" t="str">
        <f>IFERROR(INDEX(CHOOSE({1,2,3,4}, DAY(XT!U133), DAY(XT!Y133), DAY(XT!AC133), DAY(XT!AG133)), MATCH(1, INDEX(--(MONTH(CHOOSE({1,2,3,4}, XT!U133,XT!Y133,XT!AC133,XT!AG133))=6), 0), 0)), "")</f>
        <v/>
      </c>
      <c r="W133" s="51" t="str">
        <f>IF(XT!$P133&gt;0,V133,"")</f>
        <v/>
      </c>
      <c r="X133" s="51" t="str">
        <f>IF(XT!$P133=0,V133,"")</f>
        <v/>
      </c>
      <c r="Y133">
        <f>SUMPRODUCT((MONTH(CHOOSE({1,2,3,4},XT!U133,XT!Y133,XT!AC133,XT!AG133))=7)*(CHOOSE({1,2,3,4},XT!X133,XT!AB133,XT!AF133,XT!AJ133)))</f>
        <v>0</v>
      </c>
      <c r="Z133" t="str">
        <f>IFERROR(INDEX(CHOOSE({1,2,3,4}, DAY(XT!U133), DAY(XT!Y133), DAY(XT!AC133), DAY(XT!AG133)), MATCH(1, INDEX(--(MONTH(CHOOSE({1,2,3,4}, XT!U133,XT!Y133,XT!AC133,XT!AG133))=7), 0), 0)), "")</f>
        <v/>
      </c>
      <c r="AA133" s="51" t="str">
        <f>IF(XT!$P133&gt;0,Z133,"")</f>
        <v/>
      </c>
      <c r="AB133" s="51" t="str">
        <f>IF(XT!$P133=0,Z133,"")</f>
        <v/>
      </c>
      <c r="AC133">
        <f>SUMPRODUCT((MONTH(CHOOSE({1,2,3,4},XT!U133,XT!Y133,XT!AC133,XT!AG133))=8)*(CHOOSE({1,2,3,4},XT!X133,XT!AB133,XT!AF133,XT!AJ133)))</f>
        <v>0</v>
      </c>
      <c r="AD133" t="str">
        <f>IFERROR(INDEX(CHOOSE({1,2,3,4}, DAY(XT!U133), DAY(XT!Y133), DAY(XT!AC133), DAY(XT!AG133)), MATCH(1, INDEX(--(MONTH(CHOOSE({1,2,3,4}, XT!U133,XT!Y133,XT!AC133,XT!AG133))=8), 0), 0)), "")</f>
        <v/>
      </c>
      <c r="AE133" s="51" t="str">
        <f>IF(XT!$P133&gt;0,AD133,"")</f>
        <v/>
      </c>
      <c r="AF133" s="51" t="str">
        <f>IF(XT!$P133=0,AD133,"")</f>
        <v/>
      </c>
      <c r="AG133">
        <f>SUMPRODUCT((MONTH(CHOOSE({1,2,3,4},XT!U133,XT!Y133,XT!AC133,XT!AG133))=9)*(CHOOSE({1,2,3,4},XT!X133,XT!AB133,XT!AF133,XT!AJ133)))</f>
        <v>0</v>
      </c>
      <c r="AH133" t="str">
        <f>IFERROR(INDEX(CHOOSE({1,2,3,4}, DAY(XT!U133), DAY(XT!Y133), DAY(XT!AC133), DAY(XT!AG133)), MATCH(1, INDEX(--(MONTH(CHOOSE({1,2,3,4}, XT!U133,XT!Y133,XT!AC133,XT!AG133))=9), 0), 0)), "")</f>
        <v/>
      </c>
      <c r="AI133" s="51" t="str">
        <f>IF(XT!$P133&gt;0,AH133,"")</f>
        <v/>
      </c>
      <c r="AJ133" s="51" t="str">
        <f>IF(XT!$P133=0,AH133,"")</f>
        <v/>
      </c>
      <c r="AK133">
        <f>SUMPRODUCT((MONTH(CHOOSE({1,2,3,4},XT!U133,XT!Y133,XT!AC133,XT!AG133))=10)*(CHOOSE({1,2,3,4},XT!X133,XT!AB133,XT!AF133,XT!AJ133)))</f>
        <v>0</v>
      </c>
      <c r="AL133" t="str">
        <f>IFERROR(INDEX(CHOOSE({1,2,3,4}, DAY(XT!U133), DAY(XT!Y133), DAY(XT!AC133), DAY(XT!AG133)), MATCH(1, INDEX(--(MONTH(CHOOSE({1,2,3,4}, XT!U133,XT!Y133,XT!AC133,XT!AG133))=10), 0), 0)), "")</f>
        <v/>
      </c>
      <c r="AM133" s="51" t="str">
        <f>IF(XT!$P133&gt;0,AL133,"")</f>
        <v/>
      </c>
      <c r="AN133" s="51" t="str">
        <f>IF(XT!$P133=0,AL133,"")</f>
        <v/>
      </c>
      <c r="AO133">
        <f>SUMPRODUCT((MONTH(CHOOSE({1,2,3,4},XT!U133,XT!Y133,XT!AC133,XT!AG133))=11)*(CHOOSE({1,2,3,4},XT!X133,XT!AB133,XT!AF133,XT!AJ133)))</f>
        <v>0</v>
      </c>
      <c r="AP133" t="str">
        <f>IFERROR(INDEX(CHOOSE({1,2,3,4}, DAY(XT!U133), DAY(XT!Y133), DAY(XT!AC133), DAY(XT!AG133)), MATCH(1, INDEX(--(MONTH(CHOOSE({1,2,3,4}, XT!U133,XT!Y133,XT!AC133,XT!AG133))=11), 0), 0)), "")</f>
        <v/>
      </c>
      <c r="AQ133" s="51" t="str">
        <f>IF(XT!$P133&gt;0,AP133,"")</f>
        <v/>
      </c>
      <c r="AR133" s="51" t="str">
        <f>IF(XT!$P133=0,AP133,"")</f>
        <v/>
      </c>
      <c r="AS133">
        <f>SUMPRODUCT((MONTH(CHOOSE({1,2,3,4},XT!U133,XT!Y133,XT!AC133,XT!AG133))=12)*(CHOOSE({1,2,3,4},XT!X133,XT!AB133,XT!AF133,XT!AJ133)))</f>
        <v>0</v>
      </c>
      <c r="AT133" t="str">
        <f>IFERROR(INDEX(CHOOSE({1,2,3,4}, DAY(XT!U133), DAY(XT!Y133), DAY(XT!AC133), DAY(XT!AG133)), MATCH(1, INDEX(--(MONTH(CHOOSE({1,2,3,4}, XT!U133,XT!Y133,XT!AC133,XT!AG133))=12), 0), 0)), "")</f>
        <v/>
      </c>
      <c r="AU133" s="51" t="str">
        <f>IF(XT!$P133&gt;0,AT133,"")</f>
        <v/>
      </c>
      <c r="AV133" s="51" t="str">
        <f>IF(XT!$P133=0,AT133,"")</f>
        <v/>
      </c>
    </row>
    <row r="134" spans="1:48">
      <c r="A134">
        <f>SUMPRODUCT((MONTH(CHOOSE({1,2,3,4},XT!U134,XT!Y134,XT!AC134,XT!AG134))=1)*(CHOOSE({1,2,3,4},XT!X134,XT!AB134,XT!AF134,XT!AJ134)))</f>
        <v>0</v>
      </c>
      <c r="B134">
        <f>IFERROR(INDEX(CHOOSE({1,2,3,4}, DAY(XT!U134), DAY(XT!Y134), DAY(XT!AC134), DAY(XT!AG134)), MATCH(1, INDEX(--(MONTH(CHOOSE({1,2,3,4}, XT!U134,XT!Y134,XT!AC134,XT!AG134))=1), 0), 0)), "")</f>
        <v>0</v>
      </c>
      <c r="C134" s="51" t="str">
        <f>IF(XT!$P134&gt;0,B134,"")</f>
        <v/>
      </c>
      <c r="D134" s="51">
        <f>IF(XT!$P134=0,B134,"")</f>
        <v>0</v>
      </c>
      <c r="E134">
        <f>SUMPRODUCT((MONTH(CHOOSE({1,2,3,4},XT!U134,XT!Y134,XT!AC134,XT!AG134))=2)*(CHOOSE({1,2,3,4},XT!X134,XT!AB134,XT!AF134,XT!AJ134)))</f>
        <v>0</v>
      </c>
      <c r="F134" t="str">
        <f>IFERROR(INDEX(CHOOSE({1,2,3,4}, DAY(XT!U134), DAY(XT!Y134), DAY(XT!AC134), DAY(XT!AG134)), MATCH(1, INDEX(--(MONTH(CHOOSE({1,2,3,4}, XT!U134,XT!Y134,XT!AC134,XT!AG134))=2), 0), 0)), "")</f>
        <v/>
      </c>
      <c r="G134" s="51" t="str">
        <f>IF(XT!$P134&gt;0,F134,"")</f>
        <v/>
      </c>
      <c r="H134" s="51" t="str">
        <f>IF(XT!$P134=0,F134,"")</f>
        <v/>
      </c>
      <c r="I134">
        <f>SUMPRODUCT((MONTH(CHOOSE({1,2,3,4},XT!U134,XT!Y134,XT!AC134,XT!AG134))=3)*(CHOOSE({1,2,3,4},XT!X134,XT!AB134,XT!AF134,XT!AJ134)))</f>
        <v>0</v>
      </c>
      <c r="J134" t="str">
        <f>IFERROR(INDEX(CHOOSE({1,2,3,4}, DAY(XT!U134), DAY(XT!Y134), DAY(XT!AC134), DAY(XT!AG134)), MATCH(1, INDEX(--(MONTH(CHOOSE({1,2,3,4}, XT!U134,XT!Y134,XT!AC134,XT!AG134))=3), 0), 0)), "")</f>
        <v/>
      </c>
      <c r="K134" s="51" t="str">
        <f>IF(XT!$P134&gt;0,J134,"")</f>
        <v/>
      </c>
      <c r="L134" s="51" t="str">
        <f>IF(XT!$P134=0,J134,"")</f>
        <v/>
      </c>
      <c r="M134">
        <f>SUMPRODUCT((MONTH(CHOOSE({1,2,3,4},XT!U134,XT!Y134,XT!AC134,XT!AG134))=4)*(CHOOSE({1,2,3,4},XT!X134,XT!AB134,XT!AF134,XT!AJ134)))</f>
        <v>0</v>
      </c>
      <c r="N134" t="str">
        <f>IFERROR(INDEX(CHOOSE({1,2,3,4}, DAY(XT!U134), DAY(XT!Y134), DAY(XT!AC134), DAY(XT!AG134)), MATCH(1, INDEX(--(MONTH(CHOOSE({1,2,3,4}, XT!U134,XT!Y134,XT!AC134,XT!AG134))=4), 0), 0)), "")</f>
        <v/>
      </c>
      <c r="O134" s="51" t="str">
        <f>IF(XT!$P134&gt;0,N134,"")</f>
        <v/>
      </c>
      <c r="P134" s="51" t="str">
        <f>IF(XT!$P134=0,N134,"")</f>
        <v/>
      </c>
      <c r="Q134">
        <f>SUMPRODUCT((MONTH(CHOOSE({1,2,3,4},XT!U134,XT!Y134,XT!AC134,XT!AG134))=5)*(CHOOSE({1,2,3,4},XT!X134,XT!AB134,XT!AF134,XT!AJ134)))</f>
        <v>0</v>
      </c>
      <c r="R134" t="str">
        <f>IFERROR(INDEX(CHOOSE({1,2,3,4}, DAY(XT!U134), DAY(XT!Y134), DAY(XT!AC134), DAY(XT!AG134)), MATCH(1, INDEX(--(MONTH(CHOOSE({1,2,3,4}, XT!U134,XT!Y134,XT!AC134,XT!AG134))=5), 0), 0)), "")</f>
        <v/>
      </c>
      <c r="S134" s="51" t="str">
        <f>IF(XT!$P134&gt;0,R134,"")</f>
        <v/>
      </c>
      <c r="T134" s="51" t="str">
        <f>IF(XT!$P134=0,R134,"")</f>
        <v/>
      </c>
      <c r="U134">
        <f>SUMPRODUCT((MONTH(CHOOSE({1,2,3,4},XT!U134,XT!Y134,XT!AC134,XT!AG134))=6)*(CHOOSE({1,2,3,4},XT!X134,XT!AB134,XT!AF134,XT!AJ134)))</f>
        <v>0</v>
      </c>
      <c r="V134" t="str">
        <f>IFERROR(INDEX(CHOOSE({1,2,3,4}, DAY(XT!U134), DAY(XT!Y134), DAY(XT!AC134), DAY(XT!AG134)), MATCH(1, INDEX(--(MONTH(CHOOSE({1,2,3,4}, XT!U134,XT!Y134,XT!AC134,XT!AG134))=6), 0), 0)), "")</f>
        <v/>
      </c>
      <c r="W134" s="51" t="str">
        <f>IF(XT!$P134&gt;0,V134,"")</f>
        <v/>
      </c>
      <c r="X134" s="51" t="str">
        <f>IF(XT!$P134=0,V134,"")</f>
        <v/>
      </c>
      <c r="Y134">
        <f>SUMPRODUCT((MONTH(CHOOSE({1,2,3,4},XT!U134,XT!Y134,XT!AC134,XT!AG134))=7)*(CHOOSE({1,2,3,4},XT!X134,XT!AB134,XT!AF134,XT!AJ134)))</f>
        <v>0</v>
      </c>
      <c r="Z134" t="str">
        <f>IFERROR(INDEX(CHOOSE({1,2,3,4}, DAY(XT!U134), DAY(XT!Y134), DAY(XT!AC134), DAY(XT!AG134)), MATCH(1, INDEX(--(MONTH(CHOOSE({1,2,3,4}, XT!U134,XT!Y134,XT!AC134,XT!AG134))=7), 0), 0)), "")</f>
        <v/>
      </c>
      <c r="AA134" s="51" t="str">
        <f>IF(XT!$P134&gt;0,Z134,"")</f>
        <v/>
      </c>
      <c r="AB134" s="51" t="str">
        <f>IF(XT!$P134=0,Z134,"")</f>
        <v/>
      </c>
      <c r="AC134">
        <f>SUMPRODUCT((MONTH(CHOOSE({1,2,3,4},XT!U134,XT!Y134,XT!AC134,XT!AG134))=8)*(CHOOSE({1,2,3,4},XT!X134,XT!AB134,XT!AF134,XT!AJ134)))</f>
        <v>0</v>
      </c>
      <c r="AD134" t="str">
        <f>IFERROR(INDEX(CHOOSE({1,2,3,4}, DAY(XT!U134), DAY(XT!Y134), DAY(XT!AC134), DAY(XT!AG134)), MATCH(1, INDEX(--(MONTH(CHOOSE({1,2,3,4}, XT!U134,XT!Y134,XT!AC134,XT!AG134))=8), 0), 0)), "")</f>
        <v/>
      </c>
      <c r="AE134" s="51" t="str">
        <f>IF(XT!$P134&gt;0,AD134,"")</f>
        <v/>
      </c>
      <c r="AF134" s="51" t="str">
        <f>IF(XT!$P134=0,AD134,"")</f>
        <v/>
      </c>
      <c r="AG134">
        <f>SUMPRODUCT((MONTH(CHOOSE({1,2,3,4},XT!U134,XT!Y134,XT!AC134,XT!AG134))=9)*(CHOOSE({1,2,3,4},XT!X134,XT!AB134,XT!AF134,XT!AJ134)))</f>
        <v>0</v>
      </c>
      <c r="AH134" t="str">
        <f>IFERROR(INDEX(CHOOSE({1,2,3,4}, DAY(XT!U134), DAY(XT!Y134), DAY(XT!AC134), DAY(XT!AG134)), MATCH(1, INDEX(--(MONTH(CHOOSE({1,2,3,4}, XT!U134,XT!Y134,XT!AC134,XT!AG134))=9), 0), 0)), "")</f>
        <v/>
      </c>
      <c r="AI134" s="51" t="str">
        <f>IF(XT!$P134&gt;0,AH134,"")</f>
        <v/>
      </c>
      <c r="AJ134" s="51" t="str">
        <f>IF(XT!$P134=0,AH134,"")</f>
        <v/>
      </c>
      <c r="AK134">
        <f>SUMPRODUCT((MONTH(CHOOSE({1,2,3,4},XT!U134,XT!Y134,XT!AC134,XT!AG134))=10)*(CHOOSE({1,2,3,4},XT!X134,XT!AB134,XT!AF134,XT!AJ134)))</f>
        <v>0</v>
      </c>
      <c r="AL134" t="str">
        <f>IFERROR(INDEX(CHOOSE({1,2,3,4}, DAY(XT!U134), DAY(XT!Y134), DAY(XT!AC134), DAY(XT!AG134)), MATCH(1, INDEX(--(MONTH(CHOOSE({1,2,3,4}, XT!U134,XT!Y134,XT!AC134,XT!AG134))=10), 0), 0)), "")</f>
        <v/>
      </c>
      <c r="AM134" s="51" t="str">
        <f>IF(XT!$P134&gt;0,AL134,"")</f>
        <v/>
      </c>
      <c r="AN134" s="51" t="str">
        <f>IF(XT!$P134=0,AL134,"")</f>
        <v/>
      </c>
      <c r="AO134">
        <f>SUMPRODUCT((MONTH(CHOOSE({1,2,3,4},XT!U134,XT!Y134,XT!AC134,XT!AG134))=11)*(CHOOSE({1,2,3,4},XT!X134,XT!AB134,XT!AF134,XT!AJ134)))</f>
        <v>0</v>
      </c>
      <c r="AP134" t="str">
        <f>IFERROR(INDEX(CHOOSE({1,2,3,4}, DAY(XT!U134), DAY(XT!Y134), DAY(XT!AC134), DAY(XT!AG134)), MATCH(1, INDEX(--(MONTH(CHOOSE({1,2,3,4}, XT!U134,XT!Y134,XT!AC134,XT!AG134))=11), 0), 0)), "")</f>
        <v/>
      </c>
      <c r="AQ134" s="51" t="str">
        <f>IF(XT!$P134&gt;0,AP134,"")</f>
        <v/>
      </c>
      <c r="AR134" s="51" t="str">
        <f>IF(XT!$P134=0,AP134,"")</f>
        <v/>
      </c>
      <c r="AS134">
        <f>SUMPRODUCT((MONTH(CHOOSE({1,2,3,4},XT!U134,XT!Y134,XT!AC134,XT!AG134))=12)*(CHOOSE({1,2,3,4},XT!X134,XT!AB134,XT!AF134,XT!AJ134)))</f>
        <v>0</v>
      </c>
      <c r="AT134" t="str">
        <f>IFERROR(INDEX(CHOOSE({1,2,3,4}, DAY(XT!U134), DAY(XT!Y134), DAY(XT!AC134), DAY(XT!AG134)), MATCH(1, INDEX(--(MONTH(CHOOSE({1,2,3,4}, XT!U134,XT!Y134,XT!AC134,XT!AG134))=12), 0), 0)), "")</f>
        <v/>
      </c>
      <c r="AU134" s="51" t="str">
        <f>IF(XT!$P134&gt;0,AT134,"")</f>
        <v/>
      </c>
      <c r="AV134" s="51" t="str">
        <f>IF(XT!$P134=0,AT134,"")</f>
        <v/>
      </c>
    </row>
    <row r="135" spans="1:48">
      <c r="A135">
        <f>SUMPRODUCT((MONTH(CHOOSE({1,2,3,4},XT!U135,XT!Y135,XT!AC135,XT!AG135))=1)*(CHOOSE({1,2,3,4},XT!X135,XT!AB135,XT!AF135,XT!AJ135)))</f>
        <v>0</v>
      </c>
      <c r="B135">
        <f>IFERROR(INDEX(CHOOSE({1,2,3,4}, DAY(XT!U135), DAY(XT!Y135), DAY(XT!AC135), DAY(XT!AG135)), MATCH(1, INDEX(--(MONTH(CHOOSE({1,2,3,4}, XT!U135,XT!Y135,XT!AC135,XT!AG135))=1), 0), 0)), "")</f>
        <v>0</v>
      </c>
      <c r="C135" s="51" t="str">
        <f>IF(XT!$P135&gt;0,B135,"")</f>
        <v/>
      </c>
      <c r="D135" s="51">
        <f>IF(XT!$P135=0,B135,"")</f>
        <v>0</v>
      </c>
      <c r="E135">
        <f>SUMPRODUCT((MONTH(CHOOSE({1,2,3,4},XT!U135,XT!Y135,XT!AC135,XT!AG135))=2)*(CHOOSE({1,2,3,4},XT!X135,XT!AB135,XT!AF135,XT!AJ135)))</f>
        <v>0</v>
      </c>
      <c r="F135" t="str">
        <f>IFERROR(INDEX(CHOOSE({1,2,3,4}, DAY(XT!U135), DAY(XT!Y135), DAY(XT!AC135), DAY(XT!AG135)), MATCH(1, INDEX(--(MONTH(CHOOSE({1,2,3,4}, XT!U135,XT!Y135,XT!AC135,XT!AG135))=2), 0), 0)), "")</f>
        <v/>
      </c>
      <c r="G135" s="51" t="str">
        <f>IF(XT!$P135&gt;0,F135,"")</f>
        <v/>
      </c>
      <c r="H135" s="51" t="str">
        <f>IF(XT!$P135=0,F135,"")</f>
        <v/>
      </c>
      <c r="I135">
        <f>SUMPRODUCT((MONTH(CHOOSE({1,2,3,4},XT!U135,XT!Y135,XT!AC135,XT!AG135))=3)*(CHOOSE({1,2,3,4},XT!X135,XT!AB135,XT!AF135,XT!AJ135)))</f>
        <v>0</v>
      </c>
      <c r="J135" t="str">
        <f>IFERROR(INDEX(CHOOSE({1,2,3,4}, DAY(XT!U135), DAY(XT!Y135), DAY(XT!AC135), DAY(XT!AG135)), MATCH(1, INDEX(--(MONTH(CHOOSE({1,2,3,4}, XT!U135,XT!Y135,XT!AC135,XT!AG135))=3), 0), 0)), "")</f>
        <v/>
      </c>
      <c r="K135" s="51" t="str">
        <f>IF(XT!$P135&gt;0,J135,"")</f>
        <v/>
      </c>
      <c r="L135" s="51" t="str">
        <f>IF(XT!$P135=0,J135,"")</f>
        <v/>
      </c>
      <c r="M135">
        <f>SUMPRODUCT((MONTH(CHOOSE({1,2,3,4},XT!U135,XT!Y135,XT!AC135,XT!AG135))=4)*(CHOOSE({1,2,3,4},XT!X135,XT!AB135,XT!AF135,XT!AJ135)))</f>
        <v>0</v>
      </c>
      <c r="N135" t="str">
        <f>IFERROR(INDEX(CHOOSE({1,2,3,4}, DAY(XT!U135), DAY(XT!Y135), DAY(XT!AC135), DAY(XT!AG135)), MATCH(1, INDEX(--(MONTH(CHOOSE({1,2,3,4}, XT!U135,XT!Y135,XT!AC135,XT!AG135))=4), 0), 0)), "")</f>
        <v/>
      </c>
      <c r="O135" s="51" t="str">
        <f>IF(XT!$P135&gt;0,N135,"")</f>
        <v/>
      </c>
      <c r="P135" s="51" t="str">
        <f>IF(XT!$P135=0,N135,"")</f>
        <v/>
      </c>
      <c r="Q135">
        <f>SUMPRODUCT((MONTH(CHOOSE({1,2,3,4},XT!U135,XT!Y135,XT!AC135,XT!AG135))=5)*(CHOOSE({1,2,3,4},XT!X135,XT!AB135,XT!AF135,XT!AJ135)))</f>
        <v>0</v>
      </c>
      <c r="R135" t="str">
        <f>IFERROR(INDEX(CHOOSE({1,2,3,4}, DAY(XT!U135), DAY(XT!Y135), DAY(XT!AC135), DAY(XT!AG135)), MATCH(1, INDEX(--(MONTH(CHOOSE({1,2,3,4}, XT!U135,XT!Y135,XT!AC135,XT!AG135))=5), 0), 0)), "")</f>
        <v/>
      </c>
      <c r="S135" s="51" t="str">
        <f>IF(XT!$P135&gt;0,R135,"")</f>
        <v/>
      </c>
      <c r="T135" s="51" t="str">
        <f>IF(XT!$P135=0,R135,"")</f>
        <v/>
      </c>
      <c r="U135">
        <f>SUMPRODUCT((MONTH(CHOOSE({1,2,3,4},XT!U135,XT!Y135,XT!AC135,XT!AG135))=6)*(CHOOSE({1,2,3,4},XT!X135,XT!AB135,XT!AF135,XT!AJ135)))</f>
        <v>0</v>
      </c>
      <c r="V135" t="str">
        <f>IFERROR(INDEX(CHOOSE({1,2,3,4}, DAY(XT!U135), DAY(XT!Y135), DAY(XT!AC135), DAY(XT!AG135)), MATCH(1, INDEX(--(MONTH(CHOOSE({1,2,3,4}, XT!U135,XT!Y135,XT!AC135,XT!AG135))=6), 0), 0)), "")</f>
        <v/>
      </c>
      <c r="W135" s="51" t="str">
        <f>IF(XT!$P135&gt;0,V135,"")</f>
        <v/>
      </c>
      <c r="X135" s="51" t="str">
        <f>IF(XT!$P135=0,V135,"")</f>
        <v/>
      </c>
      <c r="Y135">
        <f>SUMPRODUCT((MONTH(CHOOSE({1,2,3,4},XT!U135,XT!Y135,XT!AC135,XT!AG135))=7)*(CHOOSE({1,2,3,4},XT!X135,XT!AB135,XT!AF135,XT!AJ135)))</f>
        <v>0</v>
      </c>
      <c r="Z135" t="str">
        <f>IFERROR(INDEX(CHOOSE({1,2,3,4}, DAY(XT!U135), DAY(XT!Y135), DAY(XT!AC135), DAY(XT!AG135)), MATCH(1, INDEX(--(MONTH(CHOOSE({1,2,3,4}, XT!U135,XT!Y135,XT!AC135,XT!AG135))=7), 0), 0)), "")</f>
        <v/>
      </c>
      <c r="AA135" s="51" t="str">
        <f>IF(XT!$P135&gt;0,Z135,"")</f>
        <v/>
      </c>
      <c r="AB135" s="51" t="str">
        <f>IF(XT!$P135=0,Z135,"")</f>
        <v/>
      </c>
      <c r="AC135">
        <f>SUMPRODUCT((MONTH(CHOOSE({1,2,3,4},XT!U135,XT!Y135,XT!AC135,XT!AG135))=8)*(CHOOSE({1,2,3,4},XT!X135,XT!AB135,XT!AF135,XT!AJ135)))</f>
        <v>0</v>
      </c>
      <c r="AD135" t="str">
        <f>IFERROR(INDEX(CHOOSE({1,2,3,4}, DAY(XT!U135), DAY(XT!Y135), DAY(XT!AC135), DAY(XT!AG135)), MATCH(1, INDEX(--(MONTH(CHOOSE({1,2,3,4}, XT!U135,XT!Y135,XT!AC135,XT!AG135))=8), 0), 0)), "")</f>
        <v/>
      </c>
      <c r="AE135" s="51" t="str">
        <f>IF(XT!$P135&gt;0,AD135,"")</f>
        <v/>
      </c>
      <c r="AF135" s="51" t="str">
        <f>IF(XT!$P135=0,AD135,"")</f>
        <v/>
      </c>
      <c r="AG135">
        <f>SUMPRODUCT((MONTH(CHOOSE({1,2,3,4},XT!U135,XT!Y135,XT!AC135,XT!AG135))=9)*(CHOOSE({1,2,3,4},XT!X135,XT!AB135,XT!AF135,XT!AJ135)))</f>
        <v>0</v>
      </c>
      <c r="AH135" t="str">
        <f>IFERROR(INDEX(CHOOSE({1,2,3,4}, DAY(XT!U135), DAY(XT!Y135), DAY(XT!AC135), DAY(XT!AG135)), MATCH(1, INDEX(--(MONTH(CHOOSE({1,2,3,4}, XT!U135,XT!Y135,XT!AC135,XT!AG135))=9), 0), 0)), "")</f>
        <v/>
      </c>
      <c r="AI135" s="51" t="str">
        <f>IF(XT!$P135&gt;0,AH135,"")</f>
        <v/>
      </c>
      <c r="AJ135" s="51" t="str">
        <f>IF(XT!$P135=0,AH135,"")</f>
        <v/>
      </c>
      <c r="AK135">
        <f>SUMPRODUCT((MONTH(CHOOSE({1,2,3,4},XT!U135,XT!Y135,XT!AC135,XT!AG135))=10)*(CHOOSE({1,2,3,4},XT!X135,XT!AB135,XT!AF135,XT!AJ135)))</f>
        <v>0</v>
      </c>
      <c r="AL135" t="str">
        <f>IFERROR(INDEX(CHOOSE({1,2,3,4}, DAY(XT!U135), DAY(XT!Y135), DAY(XT!AC135), DAY(XT!AG135)), MATCH(1, INDEX(--(MONTH(CHOOSE({1,2,3,4}, XT!U135,XT!Y135,XT!AC135,XT!AG135))=10), 0), 0)), "")</f>
        <v/>
      </c>
      <c r="AM135" s="51" t="str">
        <f>IF(XT!$P135&gt;0,AL135,"")</f>
        <v/>
      </c>
      <c r="AN135" s="51" t="str">
        <f>IF(XT!$P135=0,AL135,"")</f>
        <v/>
      </c>
      <c r="AO135">
        <f>SUMPRODUCT((MONTH(CHOOSE({1,2,3,4},XT!U135,XT!Y135,XT!AC135,XT!AG135))=11)*(CHOOSE({1,2,3,4},XT!X135,XT!AB135,XT!AF135,XT!AJ135)))</f>
        <v>0</v>
      </c>
      <c r="AP135" t="str">
        <f>IFERROR(INDEX(CHOOSE({1,2,3,4}, DAY(XT!U135), DAY(XT!Y135), DAY(XT!AC135), DAY(XT!AG135)), MATCH(1, INDEX(--(MONTH(CHOOSE({1,2,3,4}, XT!U135,XT!Y135,XT!AC135,XT!AG135))=11), 0), 0)), "")</f>
        <v/>
      </c>
      <c r="AQ135" s="51" t="str">
        <f>IF(XT!$P135&gt;0,AP135,"")</f>
        <v/>
      </c>
      <c r="AR135" s="51" t="str">
        <f>IF(XT!$P135=0,AP135,"")</f>
        <v/>
      </c>
      <c r="AS135">
        <f>SUMPRODUCT((MONTH(CHOOSE({1,2,3,4},XT!U135,XT!Y135,XT!AC135,XT!AG135))=12)*(CHOOSE({1,2,3,4},XT!X135,XT!AB135,XT!AF135,XT!AJ135)))</f>
        <v>0</v>
      </c>
      <c r="AT135" t="str">
        <f>IFERROR(INDEX(CHOOSE({1,2,3,4}, DAY(XT!U135), DAY(XT!Y135), DAY(XT!AC135), DAY(XT!AG135)), MATCH(1, INDEX(--(MONTH(CHOOSE({1,2,3,4}, XT!U135,XT!Y135,XT!AC135,XT!AG135))=12), 0), 0)), "")</f>
        <v/>
      </c>
      <c r="AU135" s="51" t="str">
        <f>IF(XT!$P135&gt;0,AT135,"")</f>
        <v/>
      </c>
      <c r="AV135" s="51" t="str">
        <f>IF(XT!$P135=0,AT135,"")</f>
        <v/>
      </c>
    </row>
    <row r="136" spans="1:48">
      <c r="A136">
        <f>SUMPRODUCT((MONTH(CHOOSE({1,2,3,4},XT!U136,XT!Y136,XT!AC136,XT!AG136))=1)*(CHOOSE({1,2,3,4},XT!X136,XT!AB136,XT!AF136,XT!AJ136)))</f>
        <v>0</v>
      </c>
      <c r="B136">
        <f>IFERROR(INDEX(CHOOSE({1,2,3,4}, DAY(XT!U136), DAY(XT!Y136), DAY(XT!AC136), DAY(XT!AG136)), MATCH(1, INDEX(--(MONTH(CHOOSE({1,2,3,4}, XT!U136,XT!Y136,XT!AC136,XT!AG136))=1), 0), 0)), "")</f>
        <v>0</v>
      </c>
      <c r="C136" s="51" t="str">
        <f>IF(XT!$P136&gt;0,B136,"")</f>
        <v/>
      </c>
      <c r="D136" s="51">
        <f>IF(XT!$P136=0,B136,"")</f>
        <v>0</v>
      </c>
      <c r="E136">
        <f>SUMPRODUCT((MONTH(CHOOSE({1,2,3,4},XT!U136,XT!Y136,XT!AC136,XT!AG136))=2)*(CHOOSE({1,2,3,4},XT!X136,XT!AB136,XT!AF136,XT!AJ136)))</f>
        <v>0</v>
      </c>
      <c r="F136" t="str">
        <f>IFERROR(INDEX(CHOOSE({1,2,3,4}, DAY(XT!U136), DAY(XT!Y136), DAY(XT!AC136), DAY(XT!AG136)), MATCH(1, INDEX(--(MONTH(CHOOSE({1,2,3,4}, XT!U136,XT!Y136,XT!AC136,XT!AG136))=2), 0), 0)), "")</f>
        <v/>
      </c>
      <c r="G136" s="51" t="str">
        <f>IF(XT!$P136&gt;0,F136,"")</f>
        <v/>
      </c>
      <c r="H136" s="51" t="str">
        <f>IF(XT!$P136=0,F136,"")</f>
        <v/>
      </c>
      <c r="I136">
        <f>SUMPRODUCT((MONTH(CHOOSE({1,2,3,4},XT!U136,XT!Y136,XT!AC136,XT!AG136))=3)*(CHOOSE({1,2,3,4},XT!X136,XT!AB136,XT!AF136,XT!AJ136)))</f>
        <v>0</v>
      </c>
      <c r="J136" t="str">
        <f>IFERROR(INDEX(CHOOSE({1,2,3,4}, DAY(XT!U136), DAY(XT!Y136), DAY(XT!AC136), DAY(XT!AG136)), MATCH(1, INDEX(--(MONTH(CHOOSE({1,2,3,4}, XT!U136,XT!Y136,XT!AC136,XT!AG136))=3), 0), 0)), "")</f>
        <v/>
      </c>
      <c r="K136" s="51" t="str">
        <f>IF(XT!$P136&gt;0,J136,"")</f>
        <v/>
      </c>
      <c r="L136" s="51" t="str">
        <f>IF(XT!$P136=0,J136,"")</f>
        <v/>
      </c>
      <c r="M136">
        <f>SUMPRODUCT((MONTH(CHOOSE({1,2,3,4},XT!U136,XT!Y136,XT!AC136,XT!AG136))=4)*(CHOOSE({1,2,3,4},XT!X136,XT!AB136,XT!AF136,XT!AJ136)))</f>
        <v>0</v>
      </c>
      <c r="N136" t="str">
        <f>IFERROR(INDEX(CHOOSE({1,2,3,4}, DAY(XT!U136), DAY(XT!Y136), DAY(XT!AC136), DAY(XT!AG136)), MATCH(1, INDEX(--(MONTH(CHOOSE({1,2,3,4}, XT!U136,XT!Y136,XT!AC136,XT!AG136))=4), 0), 0)), "")</f>
        <v/>
      </c>
      <c r="O136" s="51" t="str">
        <f>IF(XT!$P136&gt;0,N136,"")</f>
        <v/>
      </c>
      <c r="P136" s="51" t="str">
        <f>IF(XT!$P136=0,N136,"")</f>
        <v/>
      </c>
      <c r="Q136">
        <f>SUMPRODUCT((MONTH(CHOOSE({1,2,3,4},XT!U136,XT!Y136,XT!AC136,XT!AG136))=5)*(CHOOSE({1,2,3,4},XT!X136,XT!AB136,XT!AF136,XT!AJ136)))</f>
        <v>0</v>
      </c>
      <c r="R136" t="str">
        <f>IFERROR(INDEX(CHOOSE({1,2,3,4}, DAY(XT!U136), DAY(XT!Y136), DAY(XT!AC136), DAY(XT!AG136)), MATCH(1, INDEX(--(MONTH(CHOOSE({1,2,3,4}, XT!U136,XT!Y136,XT!AC136,XT!AG136))=5), 0), 0)), "")</f>
        <v/>
      </c>
      <c r="S136" s="51" t="str">
        <f>IF(XT!$P136&gt;0,R136,"")</f>
        <v/>
      </c>
      <c r="T136" s="51" t="str">
        <f>IF(XT!$P136=0,R136,"")</f>
        <v/>
      </c>
      <c r="U136">
        <f>SUMPRODUCT((MONTH(CHOOSE({1,2,3,4},XT!U136,XT!Y136,XT!AC136,XT!AG136))=6)*(CHOOSE({1,2,3,4},XT!X136,XT!AB136,XT!AF136,XT!AJ136)))</f>
        <v>0</v>
      </c>
      <c r="V136" t="str">
        <f>IFERROR(INDEX(CHOOSE({1,2,3,4}, DAY(XT!U136), DAY(XT!Y136), DAY(XT!AC136), DAY(XT!AG136)), MATCH(1, INDEX(--(MONTH(CHOOSE({1,2,3,4}, XT!U136,XT!Y136,XT!AC136,XT!AG136))=6), 0), 0)), "")</f>
        <v/>
      </c>
      <c r="W136" s="51" t="str">
        <f>IF(XT!$P136&gt;0,V136,"")</f>
        <v/>
      </c>
      <c r="X136" s="51" t="str">
        <f>IF(XT!$P136=0,V136,"")</f>
        <v/>
      </c>
      <c r="Y136">
        <f>SUMPRODUCT((MONTH(CHOOSE({1,2,3,4},XT!U136,XT!Y136,XT!AC136,XT!AG136))=7)*(CHOOSE({1,2,3,4},XT!X136,XT!AB136,XT!AF136,XT!AJ136)))</f>
        <v>0</v>
      </c>
      <c r="Z136" t="str">
        <f>IFERROR(INDEX(CHOOSE({1,2,3,4}, DAY(XT!U136), DAY(XT!Y136), DAY(XT!AC136), DAY(XT!AG136)), MATCH(1, INDEX(--(MONTH(CHOOSE({1,2,3,4}, XT!U136,XT!Y136,XT!AC136,XT!AG136))=7), 0), 0)), "")</f>
        <v/>
      </c>
      <c r="AA136" s="51" t="str">
        <f>IF(XT!$P136&gt;0,Z136,"")</f>
        <v/>
      </c>
      <c r="AB136" s="51" t="str">
        <f>IF(XT!$P136=0,Z136,"")</f>
        <v/>
      </c>
      <c r="AC136">
        <f>SUMPRODUCT((MONTH(CHOOSE({1,2,3,4},XT!U136,XT!Y136,XT!AC136,XT!AG136))=8)*(CHOOSE({1,2,3,4},XT!X136,XT!AB136,XT!AF136,XT!AJ136)))</f>
        <v>0</v>
      </c>
      <c r="AD136" t="str">
        <f>IFERROR(INDEX(CHOOSE({1,2,3,4}, DAY(XT!U136), DAY(XT!Y136), DAY(XT!AC136), DAY(XT!AG136)), MATCH(1, INDEX(--(MONTH(CHOOSE({1,2,3,4}, XT!U136,XT!Y136,XT!AC136,XT!AG136))=8), 0), 0)), "")</f>
        <v/>
      </c>
      <c r="AE136" s="51" t="str">
        <f>IF(XT!$P136&gt;0,AD136,"")</f>
        <v/>
      </c>
      <c r="AF136" s="51" t="str">
        <f>IF(XT!$P136=0,AD136,"")</f>
        <v/>
      </c>
      <c r="AG136">
        <f>SUMPRODUCT((MONTH(CHOOSE({1,2,3,4},XT!U136,XT!Y136,XT!AC136,XT!AG136))=9)*(CHOOSE({1,2,3,4},XT!X136,XT!AB136,XT!AF136,XT!AJ136)))</f>
        <v>0</v>
      </c>
      <c r="AH136" t="str">
        <f>IFERROR(INDEX(CHOOSE({1,2,3,4}, DAY(XT!U136), DAY(XT!Y136), DAY(XT!AC136), DAY(XT!AG136)), MATCH(1, INDEX(--(MONTH(CHOOSE({1,2,3,4}, XT!U136,XT!Y136,XT!AC136,XT!AG136))=9), 0), 0)), "")</f>
        <v/>
      </c>
      <c r="AI136" s="51" t="str">
        <f>IF(XT!$P136&gt;0,AH136,"")</f>
        <v/>
      </c>
      <c r="AJ136" s="51" t="str">
        <f>IF(XT!$P136=0,AH136,"")</f>
        <v/>
      </c>
      <c r="AK136">
        <f>SUMPRODUCT((MONTH(CHOOSE({1,2,3,4},XT!U136,XT!Y136,XT!AC136,XT!AG136))=10)*(CHOOSE({1,2,3,4},XT!X136,XT!AB136,XT!AF136,XT!AJ136)))</f>
        <v>0</v>
      </c>
      <c r="AL136" t="str">
        <f>IFERROR(INDEX(CHOOSE({1,2,3,4}, DAY(XT!U136), DAY(XT!Y136), DAY(XT!AC136), DAY(XT!AG136)), MATCH(1, INDEX(--(MONTH(CHOOSE({1,2,3,4}, XT!U136,XT!Y136,XT!AC136,XT!AG136))=10), 0), 0)), "")</f>
        <v/>
      </c>
      <c r="AM136" s="51" t="str">
        <f>IF(XT!$P136&gt;0,AL136,"")</f>
        <v/>
      </c>
      <c r="AN136" s="51" t="str">
        <f>IF(XT!$P136=0,AL136,"")</f>
        <v/>
      </c>
      <c r="AO136">
        <f>SUMPRODUCT((MONTH(CHOOSE({1,2,3,4},XT!U136,XT!Y136,XT!AC136,XT!AG136))=11)*(CHOOSE({1,2,3,4},XT!X136,XT!AB136,XT!AF136,XT!AJ136)))</f>
        <v>0</v>
      </c>
      <c r="AP136" t="str">
        <f>IFERROR(INDEX(CHOOSE({1,2,3,4}, DAY(XT!U136), DAY(XT!Y136), DAY(XT!AC136), DAY(XT!AG136)), MATCH(1, INDEX(--(MONTH(CHOOSE({1,2,3,4}, XT!U136,XT!Y136,XT!AC136,XT!AG136))=11), 0), 0)), "")</f>
        <v/>
      </c>
      <c r="AQ136" s="51" t="str">
        <f>IF(XT!$P136&gt;0,AP136,"")</f>
        <v/>
      </c>
      <c r="AR136" s="51" t="str">
        <f>IF(XT!$P136=0,AP136,"")</f>
        <v/>
      </c>
      <c r="AS136">
        <f>SUMPRODUCT((MONTH(CHOOSE({1,2,3,4},XT!U136,XT!Y136,XT!AC136,XT!AG136))=12)*(CHOOSE({1,2,3,4},XT!X136,XT!AB136,XT!AF136,XT!AJ136)))</f>
        <v>0</v>
      </c>
      <c r="AT136" t="str">
        <f>IFERROR(INDEX(CHOOSE({1,2,3,4}, DAY(XT!U136), DAY(XT!Y136), DAY(XT!AC136), DAY(XT!AG136)), MATCH(1, INDEX(--(MONTH(CHOOSE({1,2,3,4}, XT!U136,XT!Y136,XT!AC136,XT!AG136))=12), 0), 0)), "")</f>
        <v/>
      </c>
      <c r="AU136" s="51" t="str">
        <f>IF(XT!$P136&gt;0,AT136,"")</f>
        <v/>
      </c>
      <c r="AV136" s="51" t="str">
        <f>IF(XT!$P136=0,AT136,"")</f>
        <v/>
      </c>
    </row>
    <row r="137" spans="1:48">
      <c r="A137">
        <f>SUMPRODUCT((MONTH(CHOOSE({1,2,3,4},XT!U137,XT!Y137,XT!AC137,XT!AG137))=1)*(CHOOSE({1,2,3,4},XT!X137,XT!AB137,XT!AF137,XT!AJ137)))</f>
        <v>0</v>
      </c>
      <c r="B137">
        <f>IFERROR(INDEX(CHOOSE({1,2,3,4}, DAY(XT!U137), DAY(XT!Y137), DAY(XT!AC137), DAY(XT!AG137)), MATCH(1, INDEX(--(MONTH(CHOOSE({1,2,3,4}, XT!U137,XT!Y137,XT!AC137,XT!AG137))=1), 0), 0)), "")</f>
        <v>0</v>
      </c>
      <c r="C137" s="51" t="str">
        <f>IF(XT!$P137&gt;0,B137,"")</f>
        <v/>
      </c>
      <c r="D137" s="51">
        <f>IF(XT!$P137=0,B137,"")</f>
        <v>0</v>
      </c>
      <c r="E137">
        <f>SUMPRODUCT((MONTH(CHOOSE({1,2,3,4},XT!U137,XT!Y137,XT!AC137,XT!AG137))=2)*(CHOOSE({1,2,3,4},XT!X137,XT!AB137,XT!AF137,XT!AJ137)))</f>
        <v>0</v>
      </c>
      <c r="F137" t="str">
        <f>IFERROR(INDEX(CHOOSE({1,2,3,4}, DAY(XT!U137), DAY(XT!Y137), DAY(XT!AC137), DAY(XT!AG137)), MATCH(1, INDEX(--(MONTH(CHOOSE({1,2,3,4}, XT!U137,XT!Y137,XT!AC137,XT!AG137))=2), 0), 0)), "")</f>
        <v/>
      </c>
      <c r="G137" s="51" t="str">
        <f>IF(XT!$P137&gt;0,F137,"")</f>
        <v/>
      </c>
      <c r="H137" s="51" t="str">
        <f>IF(XT!$P137=0,F137,"")</f>
        <v/>
      </c>
      <c r="I137">
        <f>SUMPRODUCT((MONTH(CHOOSE({1,2,3,4},XT!U137,XT!Y137,XT!AC137,XT!AG137))=3)*(CHOOSE({1,2,3,4},XT!X137,XT!AB137,XT!AF137,XT!AJ137)))</f>
        <v>0</v>
      </c>
      <c r="J137" t="str">
        <f>IFERROR(INDEX(CHOOSE({1,2,3,4}, DAY(XT!U137), DAY(XT!Y137), DAY(XT!AC137), DAY(XT!AG137)), MATCH(1, INDEX(--(MONTH(CHOOSE({1,2,3,4}, XT!U137,XT!Y137,XT!AC137,XT!AG137))=3), 0), 0)), "")</f>
        <v/>
      </c>
      <c r="K137" s="51" t="str">
        <f>IF(XT!$P137&gt;0,J137,"")</f>
        <v/>
      </c>
      <c r="L137" s="51" t="str">
        <f>IF(XT!$P137=0,J137,"")</f>
        <v/>
      </c>
      <c r="M137">
        <f>SUMPRODUCT((MONTH(CHOOSE({1,2,3,4},XT!U137,XT!Y137,XT!AC137,XT!AG137))=4)*(CHOOSE({1,2,3,4},XT!X137,XT!AB137,XT!AF137,XT!AJ137)))</f>
        <v>0</v>
      </c>
      <c r="N137" t="str">
        <f>IFERROR(INDEX(CHOOSE({1,2,3,4}, DAY(XT!U137), DAY(XT!Y137), DAY(XT!AC137), DAY(XT!AG137)), MATCH(1, INDEX(--(MONTH(CHOOSE({1,2,3,4}, XT!U137,XT!Y137,XT!AC137,XT!AG137))=4), 0), 0)), "")</f>
        <v/>
      </c>
      <c r="O137" s="51" t="str">
        <f>IF(XT!$P137&gt;0,N137,"")</f>
        <v/>
      </c>
      <c r="P137" s="51" t="str">
        <f>IF(XT!$P137=0,N137,"")</f>
        <v/>
      </c>
      <c r="Q137">
        <f>SUMPRODUCT((MONTH(CHOOSE({1,2,3,4},XT!U137,XT!Y137,XT!AC137,XT!AG137))=5)*(CHOOSE({1,2,3,4},XT!X137,XT!AB137,XT!AF137,XT!AJ137)))</f>
        <v>0</v>
      </c>
      <c r="R137" t="str">
        <f>IFERROR(INDEX(CHOOSE({1,2,3,4}, DAY(XT!U137), DAY(XT!Y137), DAY(XT!AC137), DAY(XT!AG137)), MATCH(1, INDEX(--(MONTH(CHOOSE({1,2,3,4}, XT!U137,XT!Y137,XT!AC137,XT!AG137))=5), 0), 0)), "")</f>
        <v/>
      </c>
      <c r="S137" s="51" t="str">
        <f>IF(XT!$P137&gt;0,R137,"")</f>
        <v/>
      </c>
      <c r="T137" s="51" t="str">
        <f>IF(XT!$P137=0,R137,"")</f>
        <v/>
      </c>
      <c r="U137">
        <f>SUMPRODUCT((MONTH(CHOOSE({1,2,3,4},XT!U137,XT!Y137,XT!AC137,XT!AG137))=6)*(CHOOSE({1,2,3,4},XT!X137,XT!AB137,XT!AF137,XT!AJ137)))</f>
        <v>0</v>
      </c>
      <c r="V137" t="str">
        <f>IFERROR(INDEX(CHOOSE({1,2,3,4}, DAY(XT!U137), DAY(XT!Y137), DAY(XT!AC137), DAY(XT!AG137)), MATCH(1, INDEX(--(MONTH(CHOOSE({1,2,3,4}, XT!U137,XT!Y137,XT!AC137,XT!AG137))=6), 0), 0)), "")</f>
        <v/>
      </c>
      <c r="W137" s="51" t="str">
        <f>IF(XT!$P137&gt;0,V137,"")</f>
        <v/>
      </c>
      <c r="X137" s="51" t="str">
        <f>IF(XT!$P137=0,V137,"")</f>
        <v/>
      </c>
      <c r="Y137">
        <f>SUMPRODUCT((MONTH(CHOOSE({1,2,3,4},XT!U137,XT!Y137,XT!AC137,XT!AG137))=7)*(CHOOSE({1,2,3,4},XT!X137,XT!AB137,XT!AF137,XT!AJ137)))</f>
        <v>0</v>
      </c>
      <c r="Z137" t="str">
        <f>IFERROR(INDEX(CHOOSE({1,2,3,4}, DAY(XT!U137), DAY(XT!Y137), DAY(XT!AC137), DAY(XT!AG137)), MATCH(1, INDEX(--(MONTH(CHOOSE({1,2,3,4}, XT!U137,XT!Y137,XT!AC137,XT!AG137))=7), 0), 0)), "")</f>
        <v/>
      </c>
      <c r="AA137" s="51" t="str">
        <f>IF(XT!$P137&gt;0,Z137,"")</f>
        <v/>
      </c>
      <c r="AB137" s="51" t="str">
        <f>IF(XT!$P137=0,Z137,"")</f>
        <v/>
      </c>
      <c r="AC137">
        <f>SUMPRODUCT((MONTH(CHOOSE({1,2,3,4},XT!U137,XT!Y137,XT!AC137,XT!AG137))=8)*(CHOOSE({1,2,3,4},XT!X137,XT!AB137,XT!AF137,XT!AJ137)))</f>
        <v>0</v>
      </c>
      <c r="AD137" t="str">
        <f>IFERROR(INDEX(CHOOSE({1,2,3,4}, DAY(XT!U137), DAY(XT!Y137), DAY(XT!AC137), DAY(XT!AG137)), MATCH(1, INDEX(--(MONTH(CHOOSE({1,2,3,4}, XT!U137,XT!Y137,XT!AC137,XT!AG137))=8), 0), 0)), "")</f>
        <v/>
      </c>
      <c r="AE137" s="51" t="str">
        <f>IF(XT!$P137&gt;0,AD137,"")</f>
        <v/>
      </c>
      <c r="AF137" s="51" t="str">
        <f>IF(XT!$P137=0,AD137,"")</f>
        <v/>
      </c>
      <c r="AG137">
        <f>SUMPRODUCT((MONTH(CHOOSE({1,2,3,4},XT!U137,XT!Y137,XT!AC137,XT!AG137))=9)*(CHOOSE({1,2,3,4},XT!X137,XT!AB137,XT!AF137,XT!AJ137)))</f>
        <v>0</v>
      </c>
      <c r="AH137" t="str">
        <f>IFERROR(INDEX(CHOOSE({1,2,3,4}, DAY(XT!U137), DAY(XT!Y137), DAY(XT!AC137), DAY(XT!AG137)), MATCH(1, INDEX(--(MONTH(CHOOSE({1,2,3,4}, XT!U137,XT!Y137,XT!AC137,XT!AG137))=9), 0), 0)), "")</f>
        <v/>
      </c>
      <c r="AI137" s="51" t="str">
        <f>IF(XT!$P137&gt;0,AH137,"")</f>
        <v/>
      </c>
      <c r="AJ137" s="51" t="str">
        <f>IF(XT!$P137=0,AH137,"")</f>
        <v/>
      </c>
      <c r="AK137">
        <f>SUMPRODUCT((MONTH(CHOOSE({1,2,3,4},XT!U137,XT!Y137,XT!AC137,XT!AG137))=10)*(CHOOSE({1,2,3,4},XT!X137,XT!AB137,XT!AF137,XT!AJ137)))</f>
        <v>0</v>
      </c>
      <c r="AL137" t="str">
        <f>IFERROR(INDEX(CHOOSE({1,2,3,4}, DAY(XT!U137), DAY(XT!Y137), DAY(XT!AC137), DAY(XT!AG137)), MATCH(1, INDEX(--(MONTH(CHOOSE({1,2,3,4}, XT!U137,XT!Y137,XT!AC137,XT!AG137))=10), 0), 0)), "")</f>
        <v/>
      </c>
      <c r="AM137" s="51" t="str">
        <f>IF(XT!$P137&gt;0,AL137,"")</f>
        <v/>
      </c>
      <c r="AN137" s="51" t="str">
        <f>IF(XT!$P137=0,AL137,"")</f>
        <v/>
      </c>
      <c r="AO137">
        <f>SUMPRODUCT((MONTH(CHOOSE({1,2,3,4},XT!U137,XT!Y137,XT!AC137,XT!AG137))=11)*(CHOOSE({1,2,3,4},XT!X137,XT!AB137,XT!AF137,XT!AJ137)))</f>
        <v>0</v>
      </c>
      <c r="AP137" t="str">
        <f>IFERROR(INDEX(CHOOSE({1,2,3,4}, DAY(XT!U137), DAY(XT!Y137), DAY(XT!AC137), DAY(XT!AG137)), MATCH(1, INDEX(--(MONTH(CHOOSE({1,2,3,4}, XT!U137,XT!Y137,XT!AC137,XT!AG137))=11), 0), 0)), "")</f>
        <v/>
      </c>
      <c r="AQ137" s="51" t="str">
        <f>IF(XT!$P137&gt;0,AP137,"")</f>
        <v/>
      </c>
      <c r="AR137" s="51" t="str">
        <f>IF(XT!$P137=0,AP137,"")</f>
        <v/>
      </c>
      <c r="AS137">
        <f>SUMPRODUCT((MONTH(CHOOSE({1,2,3,4},XT!U137,XT!Y137,XT!AC137,XT!AG137))=12)*(CHOOSE({1,2,3,4},XT!X137,XT!AB137,XT!AF137,XT!AJ137)))</f>
        <v>0</v>
      </c>
      <c r="AT137" t="str">
        <f>IFERROR(INDEX(CHOOSE({1,2,3,4}, DAY(XT!U137), DAY(XT!Y137), DAY(XT!AC137), DAY(XT!AG137)), MATCH(1, INDEX(--(MONTH(CHOOSE({1,2,3,4}, XT!U137,XT!Y137,XT!AC137,XT!AG137))=12), 0), 0)), "")</f>
        <v/>
      </c>
      <c r="AU137" s="51" t="str">
        <f>IF(XT!$P137&gt;0,AT137,"")</f>
        <v/>
      </c>
      <c r="AV137" s="51" t="str">
        <f>IF(XT!$P137=0,AT137,"")</f>
        <v/>
      </c>
    </row>
    <row r="138" spans="1:48">
      <c r="A138">
        <f>SUMPRODUCT((MONTH(CHOOSE({1,2,3,4},XT!U138,XT!Y138,XT!AC138,XT!AG138))=1)*(CHOOSE({1,2,3,4},XT!X138,XT!AB138,XT!AF138,XT!AJ138)))</f>
        <v>0</v>
      </c>
      <c r="B138">
        <f>IFERROR(INDEX(CHOOSE({1,2,3,4}, DAY(XT!U138), DAY(XT!Y138), DAY(XT!AC138), DAY(XT!AG138)), MATCH(1, INDEX(--(MONTH(CHOOSE({1,2,3,4}, XT!U138,XT!Y138,XT!AC138,XT!AG138))=1), 0), 0)), "")</f>
        <v>0</v>
      </c>
      <c r="C138" s="51" t="str">
        <f>IF(XT!$P138&gt;0,B138,"")</f>
        <v/>
      </c>
      <c r="D138" s="51">
        <f>IF(XT!$P138=0,B138,"")</f>
        <v>0</v>
      </c>
      <c r="E138">
        <f>SUMPRODUCT((MONTH(CHOOSE({1,2,3,4},XT!U138,XT!Y138,XT!AC138,XT!AG138))=2)*(CHOOSE({1,2,3,4},XT!X138,XT!AB138,XT!AF138,XT!AJ138)))</f>
        <v>0</v>
      </c>
      <c r="F138" t="str">
        <f>IFERROR(INDEX(CHOOSE({1,2,3,4}, DAY(XT!U138), DAY(XT!Y138), DAY(XT!AC138), DAY(XT!AG138)), MATCH(1, INDEX(--(MONTH(CHOOSE({1,2,3,4}, XT!U138,XT!Y138,XT!AC138,XT!AG138))=2), 0), 0)), "")</f>
        <v/>
      </c>
      <c r="G138" s="51" t="str">
        <f>IF(XT!$P138&gt;0,F138,"")</f>
        <v/>
      </c>
      <c r="H138" s="51" t="str">
        <f>IF(XT!$P138=0,F138,"")</f>
        <v/>
      </c>
      <c r="I138">
        <f>SUMPRODUCT((MONTH(CHOOSE({1,2,3,4},XT!U138,XT!Y138,XT!AC138,XT!AG138))=3)*(CHOOSE({1,2,3,4},XT!X138,XT!AB138,XT!AF138,XT!AJ138)))</f>
        <v>0</v>
      </c>
      <c r="J138" t="str">
        <f>IFERROR(INDEX(CHOOSE({1,2,3,4}, DAY(XT!U138), DAY(XT!Y138), DAY(XT!AC138), DAY(XT!AG138)), MATCH(1, INDEX(--(MONTH(CHOOSE({1,2,3,4}, XT!U138,XT!Y138,XT!AC138,XT!AG138))=3), 0), 0)), "")</f>
        <v/>
      </c>
      <c r="K138" s="51" t="str">
        <f>IF(XT!$P138&gt;0,J138,"")</f>
        <v/>
      </c>
      <c r="L138" s="51" t="str">
        <f>IF(XT!$P138=0,J138,"")</f>
        <v/>
      </c>
      <c r="M138">
        <f>SUMPRODUCT((MONTH(CHOOSE({1,2,3,4},XT!U138,XT!Y138,XT!AC138,XT!AG138))=4)*(CHOOSE({1,2,3,4},XT!X138,XT!AB138,XT!AF138,XT!AJ138)))</f>
        <v>0</v>
      </c>
      <c r="N138" t="str">
        <f>IFERROR(INDEX(CHOOSE({1,2,3,4}, DAY(XT!U138), DAY(XT!Y138), DAY(XT!AC138), DAY(XT!AG138)), MATCH(1, INDEX(--(MONTH(CHOOSE({1,2,3,4}, XT!U138,XT!Y138,XT!AC138,XT!AG138))=4), 0), 0)), "")</f>
        <v/>
      </c>
      <c r="O138" s="51" t="str">
        <f>IF(XT!$P138&gt;0,N138,"")</f>
        <v/>
      </c>
      <c r="P138" s="51" t="str">
        <f>IF(XT!$P138=0,N138,"")</f>
        <v/>
      </c>
      <c r="Q138">
        <f>SUMPRODUCT((MONTH(CHOOSE({1,2,3,4},XT!U138,XT!Y138,XT!AC138,XT!AG138))=5)*(CHOOSE({1,2,3,4},XT!X138,XT!AB138,XT!AF138,XT!AJ138)))</f>
        <v>0</v>
      </c>
      <c r="R138" t="str">
        <f>IFERROR(INDEX(CHOOSE({1,2,3,4}, DAY(XT!U138), DAY(XT!Y138), DAY(XT!AC138), DAY(XT!AG138)), MATCH(1, INDEX(--(MONTH(CHOOSE({1,2,3,4}, XT!U138,XT!Y138,XT!AC138,XT!AG138))=5), 0), 0)), "")</f>
        <v/>
      </c>
      <c r="S138" s="51" t="str">
        <f>IF(XT!$P138&gt;0,R138,"")</f>
        <v/>
      </c>
      <c r="T138" s="51" t="str">
        <f>IF(XT!$P138=0,R138,"")</f>
        <v/>
      </c>
      <c r="U138">
        <f>SUMPRODUCT((MONTH(CHOOSE({1,2,3,4},XT!U138,XT!Y138,XT!AC138,XT!AG138))=6)*(CHOOSE({1,2,3,4},XT!X138,XT!AB138,XT!AF138,XT!AJ138)))</f>
        <v>0</v>
      </c>
      <c r="V138" t="str">
        <f>IFERROR(INDEX(CHOOSE({1,2,3,4}, DAY(XT!U138), DAY(XT!Y138), DAY(XT!AC138), DAY(XT!AG138)), MATCH(1, INDEX(--(MONTH(CHOOSE({1,2,3,4}, XT!U138,XT!Y138,XT!AC138,XT!AG138))=6), 0), 0)), "")</f>
        <v/>
      </c>
      <c r="W138" s="51" t="str">
        <f>IF(XT!$P138&gt;0,V138,"")</f>
        <v/>
      </c>
      <c r="X138" s="51" t="str">
        <f>IF(XT!$P138=0,V138,"")</f>
        <v/>
      </c>
      <c r="Y138">
        <f>SUMPRODUCT((MONTH(CHOOSE({1,2,3,4},XT!U138,XT!Y138,XT!AC138,XT!AG138))=7)*(CHOOSE({1,2,3,4},XT!X138,XT!AB138,XT!AF138,XT!AJ138)))</f>
        <v>0</v>
      </c>
      <c r="Z138" t="str">
        <f>IFERROR(INDEX(CHOOSE({1,2,3,4}, DAY(XT!U138), DAY(XT!Y138), DAY(XT!AC138), DAY(XT!AG138)), MATCH(1, INDEX(--(MONTH(CHOOSE({1,2,3,4}, XT!U138,XT!Y138,XT!AC138,XT!AG138))=7), 0), 0)), "")</f>
        <v/>
      </c>
      <c r="AA138" s="51" t="str">
        <f>IF(XT!$P138&gt;0,Z138,"")</f>
        <v/>
      </c>
      <c r="AB138" s="51" t="str">
        <f>IF(XT!$P138=0,Z138,"")</f>
        <v/>
      </c>
      <c r="AC138">
        <f>SUMPRODUCT((MONTH(CHOOSE({1,2,3,4},XT!U138,XT!Y138,XT!AC138,XT!AG138))=8)*(CHOOSE({1,2,3,4},XT!X138,XT!AB138,XT!AF138,XT!AJ138)))</f>
        <v>0</v>
      </c>
      <c r="AD138" t="str">
        <f>IFERROR(INDEX(CHOOSE({1,2,3,4}, DAY(XT!U138), DAY(XT!Y138), DAY(XT!AC138), DAY(XT!AG138)), MATCH(1, INDEX(--(MONTH(CHOOSE({1,2,3,4}, XT!U138,XT!Y138,XT!AC138,XT!AG138))=8), 0), 0)), "")</f>
        <v/>
      </c>
      <c r="AE138" s="51" t="str">
        <f>IF(XT!$P138&gt;0,AD138,"")</f>
        <v/>
      </c>
      <c r="AF138" s="51" t="str">
        <f>IF(XT!$P138=0,AD138,"")</f>
        <v/>
      </c>
      <c r="AG138">
        <f>SUMPRODUCT((MONTH(CHOOSE({1,2,3,4},XT!U138,XT!Y138,XT!AC138,XT!AG138))=9)*(CHOOSE({1,2,3,4},XT!X138,XT!AB138,XT!AF138,XT!AJ138)))</f>
        <v>0</v>
      </c>
      <c r="AH138" t="str">
        <f>IFERROR(INDEX(CHOOSE({1,2,3,4}, DAY(XT!U138), DAY(XT!Y138), DAY(XT!AC138), DAY(XT!AG138)), MATCH(1, INDEX(--(MONTH(CHOOSE({1,2,3,4}, XT!U138,XT!Y138,XT!AC138,XT!AG138))=9), 0), 0)), "")</f>
        <v/>
      </c>
      <c r="AI138" s="51" t="str">
        <f>IF(XT!$P138&gt;0,AH138,"")</f>
        <v/>
      </c>
      <c r="AJ138" s="51" t="str">
        <f>IF(XT!$P138=0,AH138,"")</f>
        <v/>
      </c>
      <c r="AK138">
        <f>SUMPRODUCT((MONTH(CHOOSE({1,2,3,4},XT!U138,XT!Y138,XT!AC138,XT!AG138))=10)*(CHOOSE({1,2,3,4},XT!X138,XT!AB138,XT!AF138,XT!AJ138)))</f>
        <v>0</v>
      </c>
      <c r="AL138" t="str">
        <f>IFERROR(INDEX(CHOOSE({1,2,3,4}, DAY(XT!U138), DAY(XT!Y138), DAY(XT!AC138), DAY(XT!AG138)), MATCH(1, INDEX(--(MONTH(CHOOSE({1,2,3,4}, XT!U138,XT!Y138,XT!AC138,XT!AG138))=10), 0), 0)), "")</f>
        <v/>
      </c>
      <c r="AM138" s="51" t="str">
        <f>IF(XT!$P138&gt;0,AL138,"")</f>
        <v/>
      </c>
      <c r="AN138" s="51" t="str">
        <f>IF(XT!$P138=0,AL138,"")</f>
        <v/>
      </c>
      <c r="AO138">
        <f>SUMPRODUCT((MONTH(CHOOSE({1,2,3,4},XT!U138,XT!Y138,XT!AC138,XT!AG138))=11)*(CHOOSE({1,2,3,4},XT!X138,XT!AB138,XT!AF138,XT!AJ138)))</f>
        <v>0</v>
      </c>
      <c r="AP138" t="str">
        <f>IFERROR(INDEX(CHOOSE({1,2,3,4}, DAY(XT!U138), DAY(XT!Y138), DAY(XT!AC138), DAY(XT!AG138)), MATCH(1, INDEX(--(MONTH(CHOOSE({1,2,3,4}, XT!U138,XT!Y138,XT!AC138,XT!AG138))=11), 0), 0)), "")</f>
        <v/>
      </c>
      <c r="AQ138" s="51" t="str">
        <f>IF(XT!$P138&gt;0,AP138,"")</f>
        <v/>
      </c>
      <c r="AR138" s="51" t="str">
        <f>IF(XT!$P138=0,AP138,"")</f>
        <v/>
      </c>
      <c r="AS138">
        <f>SUMPRODUCT((MONTH(CHOOSE({1,2,3,4},XT!U138,XT!Y138,XT!AC138,XT!AG138))=12)*(CHOOSE({1,2,3,4},XT!X138,XT!AB138,XT!AF138,XT!AJ138)))</f>
        <v>0</v>
      </c>
      <c r="AT138" t="str">
        <f>IFERROR(INDEX(CHOOSE({1,2,3,4}, DAY(XT!U138), DAY(XT!Y138), DAY(XT!AC138), DAY(XT!AG138)), MATCH(1, INDEX(--(MONTH(CHOOSE({1,2,3,4}, XT!U138,XT!Y138,XT!AC138,XT!AG138))=12), 0), 0)), "")</f>
        <v/>
      </c>
      <c r="AU138" s="51" t="str">
        <f>IF(XT!$P138&gt;0,AT138,"")</f>
        <v/>
      </c>
      <c r="AV138" s="51" t="str">
        <f>IF(XT!$P138=0,AT138,"")</f>
        <v/>
      </c>
    </row>
    <row r="139" spans="1:48">
      <c r="A139">
        <f>SUMPRODUCT((MONTH(CHOOSE({1,2,3,4},XT!U139,XT!Y139,XT!AC139,XT!AG139))=1)*(CHOOSE({1,2,3,4},XT!X139,XT!AB139,XT!AF139,XT!AJ139)))</f>
        <v>0</v>
      </c>
      <c r="B139">
        <f>IFERROR(INDEX(CHOOSE({1,2,3,4}, DAY(XT!U139), DAY(XT!Y139), DAY(XT!AC139), DAY(XT!AG139)), MATCH(1, INDEX(--(MONTH(CHOOSE({1,2,3,4}, XT!U139,XT!Y139,XT!AC139,XT!AG139))=1), 0), 0)), "")</f>
        <v>0</v>
      </c>
      <c r="C139" s="51" t="str">
        <f>IF(XT!$P139&gt;0,B139,"")</f>
        <v/>
      </c>
      <c r="D139" s="51">
        <f>IF(XT!$P139=0,B139,"")</f>
        <v>0</v>
      </c>
      <c r="E139">
        <f>SUMPRODUCT((MONTH(CHOOSE({1,2,3,4},XT!U139,XT!Y139,XT!AC139,XT!AG139))=2)*(CHOOSE({1,2,3,4},XT!X139,XT!AB139,XT!AF139,XT!AJ139)))</f>
        <v>0</v>
      </c>
      <c r="F139" t="str">
        <f>IFERROR(INDEX(CHOOSE({1,2,3,4}, DAY(XT!U139), DAY(XT!Y139), DAY(XT!AC139), DAY(XT!AG139)), MATCH(1, INDEX(--(MONTH(CHOOSE({1,2,3,4}, XT!U139,XT!Y139,XT!AC139,XT!AG139))=2), 0), 0)), "")</f>
        <v/>
      </c>
      <c r="G139" s="51" t="str">
        <f>IF(XT!$P139&gt;0,F139,"")</f>
        <v/>
      </c>
      <c r="H139" s="51" t="str">
        <f>IF(XT!$P139=0,F139,"")</f>
        <v/>
      </c>
      <c r="I139">
        <f>SUMPRODUCT((MONTH(CHOOSE({1,2,3,4},XT!U139,XT!Y139,XT!AC139,XT!AG139))=3)*(CHOOSE({1,2,3,4},XT!X139,XT!AB139,XT!AF139,XT!AJ139)))</f>
        <v>0</v>
      </c>
      <c r="J139" t="str">
        <f>IFERROR(INDEX(CHOOSE({1,2,3,4}, DAY(XT!U139), DAY(XT!Y139), DAY(XT!AC139), DAY(XT!AG139)), MATCH(1, INDEX(--(MONTH(CHOOSE({1,2,3,4}, XT!U139,XT!Y139,XT!AC139,XT!AG139))=3), 0), 0)), "")</f>
        <v/>
      </c>
      <c r="K139" s="51" t="str">
        <f>IF(XT!$P139&gt;0,J139,"")</f>
        <v/>
      </c>
      <c r="L139" s="51" t="str">
        <f>IF(XT!$P139=0,J139,"")</f>
        <v/>
      </c>
      <c r="M139">
        <f>SUMPRODUCT((MONTH(CHOOSE({1,2,3,4},XT!U139,XT!Y139,XT!AC139,XT!AG139))=4)*(CHOOSE({1,2,3,4},XT!X139,XT!AB139,XT!AF139,XT!AJ139)))</f>
        <v>0</v>
      </c>
      <c r="N139" t="str">
        <f>IFERROR(INDEX(CHOOSE({1,2,3,4}, DAY(XT!U139), DAY(XT!Y139), DAY(XT!AC139), DAY(XT!AG139)), MATCH(1, INDEX(--(MONTH(CHOOSE({1,2,3,4}, XT!U139,XT!Y139,XT!AC139,XT!AG139))=4), 0), 0)), "")</f>
        <v/>
      </c>
      <c r="O139" s="51" t="str">
        <f>IF(XT!$P139&gt;0,N139,"")</f>
        <v/>
      </c>
      <c r="P139" s="51" t="str">
        <f>IF(XT!$P139=0,N139,"")</f>
        <v/>
      </c>
      <c r="Q139">
        <f>SUMPRODUCT((MONTH(CHOOSE({1,2,3,4},XT!U139,XT!Y139,XT!AC139,XT!AG139))=5)*(CHOOSE({1,2,3,4},XT!X139,XT!AB139,XT!AF139,XT!AJ139)))</f>
        <v>0</v>
      </c>
      <c r="R139" t="str">
        <f>IFERROR(INDEX(CHOOSE({1,2,3,4}, DAY(XT!U139), DAY(XT!Y139), DAY(XT!AC139), DAY(XT!AG139)), MATCH(1, INDEX(--(MONTH(CHOOSE({1,2,3,4}, XT!U139,XT!Y139,XT!AC139,XT!AG139))=5), 0), 0)), "")</f>
        <v/>
      </c>
      <c r="S139" s="51" t="str">
        <f>IF(XT!$P139&gt;0,R139,"")</f>
        <v/>
      </c>
      <c r="T139" s="51" t="str">
        <f>IF(XT!$P139=0,R139,"")</f>
        <v/>
      </c>
      <c r="U139">
        <f>SUMPRODUCT((MONTH(CHOOSE({1,2,3,4},XT!U139,XT!Y139,XT!AC139,XT!AG139))=6)*(CHOOSE({1,2,3,4},XT!X139,XT!AB139,XT!AF139,XT!AJ139)))</f>
        <v>0</v>
      </c>
      <c r="V139" t="str">
        <f>IFERROR(INDEX(CHOOSE({1,2,3,4}, DAY(XT!U139), DAY(XT!Y139), DAY(XT!AC139), DAY(XT!AG139)), MATCH(1, INDEX(--(MONTH(CHOOSE({1,2,3,4}, XT!U139,XT!Y139,XT!AC139,XT!AG139))=6), 0), 0)), "")</f>
        <v/>
      </c>
      <c r="W139" s="51" t="str">
        <f>IF(XT!$P139&gt;0,V139,"")</f>
        <v/>
      </c>
      <c r="X139" s="51" t="str">
        <f>IF(XT!$P139=0,V139,"")</f>
        <v/>
      </c>
      <c r="Y139">
        <f>SUMPRODUCT((MONTH(CHOOSE({1,2,3,4},XT!U139,XT!Y139,XT!AC139,XT!AG139))=7)*(CHOOSE({1,2,3,4},XT!X139,XT!AB139,XT!AF139,XT!AJ139)))</f>
        <v>0</v>
      </c>
      <c r="Z139" t="str">
        <f>IFERROR(INDEX(CHOOSE({1,2,3,4}, DAY(XT!U139), DAY(XT!Y139), DAY(XT!AC139), DAY(XT!AG139)), MATCH(1, INDEX(--(MONTH(CHOOSE({1,2,3,4}, XT!U139,XT!Y139,XT!AC139,XT!AG139))=7), 0), 0)), "")</f>
        <v/>
      </c>
      <c r="AA139" s="51" t="str">
        <f>IF(XT!$P139&gt;0,Z139,"")</f>
        <v/>
      </c>
      <c r="AB139" s="51" t="str">
        <f>IF(XT!$P139=0,Z139,"")</f>
        <v/>
      </c>
      <c r="AC139">
        <f>SUMPRODUCT((MONTH(CHOOSE({1,2,3,4},XT!U139,XT!Y139,XT!AC139,XT!AG139))=8)*(CHOOSE({1,2,3,4},XT!X139,XT!AB139,XT!AF139,XT!AJ139)))</f>
        <v>0</v>
      </c>
      <c r="AD139" t="str">
        <f>IFERROR(INDEX(CHOOSE({1,2,3,4}, DAY(XT!U139), DAY(XT!Y139), DAY(XT!AC139), DAY(XT!AG139)), MATCH(1, INDEX(--(MONTH(CHOOSE({1,2,3,4}, XT!U139,XT!Y139,XT!AC139,XT!AG139))=8), 0), 0)), "")</f>
        <v/>
      </c>
      <c r="AE139" s="51" t="str">
        <f>IF(XT!$P139&gt;0,AD139,"")</f>
        <v/>
      </c>
      <c r="AF139" s="51" t="str">
        <f>IF(XT!$P139=0,AD139,"")</f>
        <v/>
      </c>
      <c r="AG139">
        <f>SUMPRODUCT((MONTH(CHOOSE({1,2,3,4},XT!U139,XT!Y139,XT!AC139,XT!AG139))=9)*(CHOOSE({1,2,3,4},XT!X139,XT!AB139,XT!AF139,XT!AJ139)))</f>
        <v>0</v>
      </c>
      <c r="AH139" t="str">
        <f>IFERROR(INDEX(CHOOSE({1,2,3,4}, DAY(XT!U139), DAY(XT!Y139), DAY(XT!AC139), DAY(XT!AG139)), MATCH(1, INDEX(--(MONTH(CHOOSE({1,2,3,4}, XT!U139,XT!Y139,XT!AC139,XT!AG139))=9), 0), 0)), "")</f>
        <v/>
      </c>
      <c r="AI139" s="51" t="str">
        <f>IF(XT!$P139&gt;0,AH139,"")</f>
        <v/>
      </c>
      <c r="AJ139" s="51" t="str">
        <f>IF(XT!$P139=0,AH139,"")</f>
        <v/>
      </c>
      <c r="AK139">
        <f>SUMPRODUCT((MONTH(CHOOSE({1,2,3,4},XT!U139,XT!Y139,XT!AC139,XT!AG139))=10)*(CHOOSE({1,2,3,4},XT!X139,XT!AB139,XT!AF139,XT!AJ139)))</f>
        <v>0</v>
      </c>
      <c r="AL139" t="str">
        <f>IFERROR(INDEX(CHOOSE({1,2,3,4}, DAY(XT!U139), DAY(XT!Y139), DAY(XT!AC139), DAY(XT!AG139)), MATCH(1, INDEX(--(MONTH(CHOOSE({1,2,3,4}, XT!U139,XT!Y139,XT!AC139,XT!AG139))=10), 0), 0)), "")</f>
        <v/>
      </c>
      <c r="AM139" s="51" t="str">
        <f>IF(XT!$P139&gt;0,AL139,"")</f>
        <v/>
      </c>
      <c r="AN139" s="51" t="str">
        <f>IF(XT!$P139=0,AL139,"")</f>
        <v/>
      </c>
      <c r="AO139">
        <f>SUMPRODUCT((MONTH(CHOOSE({1,2,3,4},XT!U139,XT!Y139,XT!AC139,XT!AG139))=11)*(CHOOSE({1,2,3,4},XT!X139,XT!AB139,XT!AF139,XT!AJ139)))</f>
        <v>0</v>
      </c>
      <c r="AP139" t="str">
        <f>IFERROR(INDEX(CHOOSE({1,2,3,4}, DAY(XT!U139), DAY(XT!Y139), DAY(XT!AC139), DAY(XT!AG139)), MATCH(1, INDEX(--(MONTH(CHOOSE({1,2,3,4}, XT!U139,XT!Y139,XT!AC139,XT!AG139))=11), 0), 0)), "")</f>
        <v/>
      </c>
      <c r="AQ139" s="51" t="str">
        <f>IF(XT!$P139&gt;0,AP139,"")</f>
        <v/>
      </c>
      <c r="AR139" s="51" t="str">
        <f>IF(XT!$P139=0,AP139,"")</f>
        <v/>
      </c>
      <c r="AS139">
        <f>SUMPRODUCT((MONTH(CHOOSE({1,2,3,4},XT!U139,XT!Y139,XT!AC139,XT!AG139))=12)*(CHOOSE({1,2,3,4},XT!X139,XT!AB139,XT!AF139,XT!AJ139)))</f>
        <v>0</v>
      </c>
      <c r="AT139" t="str">
        <f>IFERROR(INDEX(CHOOSE({1,2,3,4}, DAY(XT!U139), DAY(XT!Y139), DAY(XT!AC139), DAY(XT!AG139)), MATCH(1, INDEX(--(MONTH(CHOOSE({1,2,3,4}, XT!U139,XT!Y139,XT!AC139,XT!AG139))=12), 0), 0)), "")</f>
        <v/>
      </c>
      <c r="AU139" s="51" t="str">
        <f>IF(XT!$P139&gt;0,AT139,"")</f>
        <v/>
      </c>
      <c r="AV139" s="51" t="str">
        <f>IF(XT!$P139=0,AT139,"")</f>
        <v/>
      </c>
    </row>
    <row r="140" spans="1:48">
      <c r="A140">
        <f>SUMPRODUCT((MONTH(CHOOSE({1,2,3,4},XT!U140,XT!Y140,XT!AC140,XT!AG140))=1)*(CHOOSE({1,2,3,4},XT!X140,XT!AB140,XT!AF140,XT!AJ140)))</f>
        <v>0</v>
      </c>
      <c r="B140">
        <f>IFERROR(INDEX(CHOOSE({1,2,3,4}, DAY(XT!U140), DAY(XT!Y140), DAY(XT!AC140), DAY(XT!AG140)), MATCH(1, INDEX(--(MONTH(CHOOSE({1,2,3,4}, XT!U140,XT!Y140,XT!AC140,XT!AG140))=1), 0), 0)), "")</f>
        <v>0</v>
      </c>
      <c r="C140" s="51" t="str">
        <f>IF(XT!$P140&gt;0,B140,"")</f>
        <v/>
      </c>
      <c r="D140" s="51">
        <f>IF(XT!$P140=0,B140,"")</f>
        <v>0</v>
      </c>
      <c r="E140">
        <f>SUMPRODUCT((MONTH(CHOOSE({1,2,3,4},XT!U140,XT!Y140,XT!AC140,XT!AG140))=2)*(CHOOSE({1,2,3,4},XT!X140,XT!AB140,XT!AF140,XT!AJ140)))</f>
        <v>0</v>
      </c>
      <c r="F140" t="str">
        <f>IFERROR(INDEX(CHOOSE({1,2,3,4}, DAY(XT!U140), DAY(XT!Y140), DAY(XT!AC140), DAY(XT!AG140)), MATCH(1, INDEX(--(MONTH(CHOOSE({1,2,3,4}, XT!U140,XT!Y140,XT!AC140,XT!AG140))=2), 0), 0)), "")</f>
        <v/>
      </c>
      <c r="G140" s="51" t="str">
        <f>IF(XT!$P140&gt;0,F140,"")</f>
        <v/>
      </c>
      <c r="H140" s="51" t="str">
        <f>IF(XT!$P140=0,F140,"")</f>
        <v/>
      </c>
      <c r="I140">
        <f>SUMPRODUCT((MONTH(CHOOSE({1,2,3,4},XT!U140,XT!Y140,XT!AC140,XT!AG140))=3)*(CHOOSE({1,2,3,4},XT!X140,XT!AB140,XT!AF140,XT!AJ140)))</f>
        <v>0</v>
      </c>
      <c r="J140" t="str">
        <f>IFERROR(INDEX(CHOOSE({1,2,3,4}, DAY(XT!U140), DAY(XT!Y140), DAY(XT!AC140), DAY(XT!AG140)), MATCH(1, INDEX(--(MONTH(CHOOSE({1,2,3,4}, XT!U140,XT!Y140,XT!AC140,XT!AG140))=3), 0), 0)), "")</f>
        <v/>
      </c>
      <c r="K140" s="51" t="str">
        <f>IF(XT!$P140&gt;0,J140,"")</f>
        <v/>
      </c>
      <c r="L140" s="51" t="str">
        <f>IF(XT!$P140=0,J140,"")</f>
        <v/>
      </c>
      <c r="M140">
        <f>SUMPRODUCT((MONTH(CHOOSE({1,2,3,4},XT!U140,XT!Y140,XT!AC140,XT!AG140))=4)*(CHOOSE({1,2,3,4},XT!X140,XT!AB140,XT!AF140,XT!AJ140)))</f>
        <v>0</v>
      </c>
      <c r="N140" t="str">
        <f>IFERROR(INDEX(CHOOSE({1,2,3,4}, DAY(XT!U140), DAY(XT!Y140), DAY(XT!AC140), DAY(XT!AG140)), MATCH(1, INDEX(--(MONTH(CHOOSE({1,2,3,4}, XT!U140,XT!Y140,XT!AC140,XT!AG140))=4), 0), 0)), "")</f>
        <v/>
      </c>
      <c r="O140" s="51" t="str">
        <f>IF(XT!$P140&gt;0,N140,"")</f>
        <v/>
      </c>
      <c r="P140" s="51" t="str">
        <f>IF(XT!$P140=0,N140,"")</f>
        <v/>
      </c>
      <c r="Q140">
        <f>SUMPRODUCT((MONTH(CHOOSE({1,2,3,4},XT!U140,XT!Y140,XT!AC140,XT!AG140))=5)*(CHOOSE({1,2,3,4},XT!X140,XT!AB140,XT!AF140,XT!AJ140)))</f>
        <v>0</v>
      </c>
      <c r="R140" t="str">
        <f>IFERROR(INDEX(CHOOSE({1,2,3,4}, DAY(XT!U140), DAY(XT!Y140), DAY(XT!AC140), DAY(XT!AG140)), MATCH(1, INDEX(--(MONTH(CHOOSE({1,2,3,4}, XT!U140,XT!Y140,XT!AC140,XT!AG140))=5), 0), 0)), "")</f>
        <v/>
      </c>
      <c r="S140" s="51" t="str">
        <f>IF(XT!$P140&gt;0,R140,"")</f>
        <v/>
      </c>
      <c r="T140" s="51" t="str">
        <f>IF(XT!$P140=0,R140,"")</f>
        <v/>
      </c>
      <c r="U140">
        <f>SUMPRODUCT((MONTH(CHOOSE({1,2,3,4},XT!U140,XT!Y140,XT!AC140,XT!AG140))=6)*(CHOOSE({1,2,3,4},XT!X140,XT!AB140,XT!AF140,XT!AJ140)))</f>
        <v>0</v>
      </c>
      <c r="V140" t="str">
        <f>IFERROR(INDEX(CHOOSE({1,2,3,4}, DAY(XT!U140), DAY(XT!Y140), DAY(XT!AC140), DAY(XT!AG140)), MATCH(1, INDEX(--(MONTH(CHOOSE({1,2,3,4}, XT!U140,XT!Y140,XT!AC140,XT!AG140))=6), 0), 0)), "")</f>
        <v/>
      </c>
      <c r="W140" s="51" t="str">
        <f>IF(XT!$P140&gt;0,V140,"")</f>
        <v/>
      </c>
      <c r="X140" s="51" t="str">
        <f>IF(XT!$P140=0,V140,"")</f>
        <v/>
      </c>
      <c r="Y140">
        <f>SUMPRODUCT((MONTH(CHOOSE({1,2,3,4},XT!U140,XT!Y140,XT!AC140,XT!AG140))=7)*(CHOOSE({1,2,3,4},XT!X140,XT!AB140,XT!AF140,XT!AJ140)))</f>
        <v>0</v>
      </c>
      <c r="Z140" t="str">
        <f>IFERROR(INDEX(CHOOSE({1,2,3,4}, DAY(XT!U140), DAY(XT!Y140), DAY(XT!AC140), DAY(XT!AG140)), MATCH(1, INDEX(--(MONTH(CHOOSE({1,2,3,4}, XT!U140,XT!Y140,XT!AC140,XT!AG140))=7), 0), 0)), "")</f>
        <v/>
      </c>
      <c r="AA140" s="51" t="str">
        <f>IF(XT!$P140&gt;0,Z140,"")</f>
        <v/>
      </c>
      <c r="AB140" s="51" t="str">
        <f>IF(XT!$P140=0,Z140,"")</f>
        <v/>
      </c>
      <c r="AC140">
        <f>SUMPRODUCT((MONTH(CHOOSE({1,2,3,4},XT!U140,XT!Y140,XT!AC140,XT!AG140))=8)*(CHOOSE({1,2,3,4},XT!X140,XT!AB140,XT!AF140,XT!AJ140)))</f>
        <v>0</v>
      </c>
      <c r="AD140" t="str">
        <f>IFERROR(INDEX(CHOOSE({1,2,3,4}, DAY(XT!U140), DAY(XT!Y140), DAY(XT!AC140), DAY(XT!AG140)), MATCH(1, INDEX(--(MONTH(CHOOSE({1,2,3,4}, XT!U140,XT!Y140,XT!AC140,XT!AG140))=8), 0), 0)), "")</f>
        <v/>
      </c>
      <c r="AE140" s="51" t="str">
        <f>IF(XT!$P140&gt;0,AD140,"")</f>
        <v/>
      </c>
      <c r="AF140" s="51" t="str">
        <f>IF(XT!$P140=0,AD140,"")</f>
        <v/>
      </c>
      <c r="AG140">
        <f>SUMPRODUCT((MONTH(CHOOSE({1,2,3,4},XT!U140,XT!Y140,XT!AC140,XT!AG140))=9)*(CHOOSE({1,2,3,4},XT!X140,XT!AB140,XT!AF140,XT!AJ140)))</f>
        <v>0</v>
      </c>
      <c r="AH140" t="str">
        <f>IFERROR(INDEX(CHOOSE({1,2,3,4}, DAY(XT!U140), DAY(XT!Y140), DAY(XT!AC140), DAY(XT!AG140)), MATCH(1, INDEX(--(MONTH(CHOOSE({1,2,3,4}, XT!U140,XT!Y140,XT!AC140,XT!AG140))=9), 0), 0)), "")</f>
        <v/>
      </c>
      <c r="AI140" s="51" t="str">
        <f>IF(XT!$P140&gt;0,AH140,"")</f>
        <v/>
      </c>
      <c r="AJ140" s="51" t="str">
        <f>IF(XT!$P140=0,AH140,"")</f>
        <v/>
      </c>
      <c r="AK140">
        <f>SUMPRODUCT((MONTH(CHOOSE({1,2,3,4},XT!U140,XT!Y140,XT!AC140,XT!AG140))=10)*(CHOOSE({1,2,3,4},XT!X140,XT!AB140,XT!AF140,XT!AJ140)))</f>
        <v>0</v>
      </c>
      <c r="AL140" t="str">
        <f>IFERROR(INDEX(CHOOSE({1,2,3,4}, DAY(XT!U140), DAY(XT!Y140), DAY(XT!AC140), DAY(XT!AG140)), MATCH(1, INDEX(--(MONTH(CHOOSE({1,2,3,4}, XT!U140,XT!Y140,XT!AC140,XT!AG140))=10), 0), 0)), "")</f>
        <v/>
      </c>
      <c r="AM140" s="51" t="str">
        <f>IF(XT!$P140&gt;0,AL140,"")</f>
        <v/>
      </c>
      <c r="AN140" s="51" t="str">
        <f>IF(XT!$P140=0,AL140,"")</f>
        <v/>
      </c>
      <c r="AO140">
        <f>SUMPRODUCT((MONTH(CHOOSE({1,2,3,4},XT!U140,XT!Y140,XT!AC140,XT!AG140))=11)*(CHOOSE({1,2,3,4},XT!X140,XT!AB140,XT!AF140,XT!AJ140)))</f>
        <v>0</v>
      </c>
      <c r="AP140" t="str">
        <f>IFERROR(INDEX(CHOOSE({1,2,3,4}, DAY(XT!U140), DAY(XT!Y140), DAY(XT!AC140), DAY(XT!AG140)), MATCH(1, INDEX(--(MONTH(CHOOSE({1,2,3,4}, XT!U140,XT!Y140,XT!AC140,XT!AG140))=11), 0), 0)), "")</f>
        <v/>
      </c>
      <c r="AQ140" s="51" t="str">
        <f>IF(XT!$P140&gt;0,AP140,"")</f>
        <v/>
      </c>
      <c r="AR140" s="51" t="str">
        <f>IF(XT!$P140=0,AP140,"")</f>
        <v/>
      </c>
      <c r="AS140">
        <f>SUMPRODUCT((MONTH(CHOOSE({1,2,3,4},XT!U140,XT!Y140,XT!AC140,XT!AG140))=12)*(CHOOSE({1,2,3,4},XT!X140,XT!AB140,XT!AF140,XT!AJ140)))</f>
        <v>0</v>
      </c>
      <c r="AT140" t="str">
        <f>IFERROR(INDEX(CHOOSE({1,2,3,4}, DAY(XT!U140), DAY(XT!Y140), DAY(XT!AC140), DAY(XT!AG140)), MATCH(1, INDEX(--(MONTH(CHOOSE({1,2,3,4}, XT!U140,XT!Y140,XT!AC140,XT!AG140))=12), 0), 0)), "")</f>
        <v/>
      </c>
      <c r="AU140" s="51" t="str">
        <f>IF(XT!$P140&gt;0,AT140,"")</f>
        <v/>
      </c>
      <c r="AV140" s="51" t="str">
        <f>IF(XT!$P140=0,AT140,"")</f>
        <v/>
      </c>
    </row>
    <row r="141" spans="1:48">
      <c r="A141">
        <f>SUMPRODUCT((MONTH(CHOOSE({1,2,3,4},XT!U141,XT!Y141,XT!AC141,XT!AG141))=1)*(CHOOSE({1,2,3,4},XT!X141,XT!AB141,XT!AF141,XT!AJ141)))</f>
        <v>0</v>
      </c>
      <c r="B141">
        <f>IFERROR(INDEX(CHOOSE({1,2,3,4}, DAY(XT!U141), DAY(XT!Y141), DAY(XT!AC141), DAY(XT!AG141)), MATCH(1, INDEX(--(MONTH(CHOOSE({1,2,3,4}, XT!U141,XT!Y141,XT!AC141,XT!AG141))=1), 0), 0)), "")</f>
        <v>0</v>
      </c>
      <c r="C141" s="51" t="str">
        <f>IF(XT!$P141&gt;0,B141,"")</f>
        <v/>
      </c>
      <c r="D141" s="51">
        <f>IF(XT!$P141=0,B141,"")</f>
        <v>0</v>
      </c>
      <c r="E141">
        <f>SUMPRODUCT((MONTH(CHOOSE({1,2,3,4},XT!U141,XT!Y141,XT!AC141,XT!AG141))=2)*(CHOOSE({1,2,3,4},XT!X141,XT!AB141,XT!AF141,XT!AJ141)))</f>
        <v>0</v>
      </c>
      <c r="F141" t="str">
        <f>IFERROR(INDEX(CHOOSE({1,2,3,4}, DAY(XT!U141), DAY(XT!Y141), DAY(XT!AC141), DAY(XT!AG141)), MATCH(1, INDEX(--(MONTH(CHOOSE({1,2,3,4}, XT!U141,XT!Y141,XT!AC141,XT!AG141))=2), 0), 0)), "")</f>
        <v/>
      </c>
      <c r="G141" s="51" t="str">
        <f>IF(XT!$P141&gt;0,F141,"")</f>
        <v/>
      </c>
      <c r="H141" s="51" t="str">
        <f>IF(XT!$P141=0,F141,"")</f>
        <v/>
      </c>
      <c r="I141">
        <f>SUMPRODUCT((MONTH(CHOOSE({1,2,3,4},XT!U141,XT!Y141,XT!AC141,XT!AG141))=3)*(CHOOSE({1,2,3,4},XT!X141,XT!AB141,XT!AF141,XT!AJ141)))</f>
        <v>0</v>
      </c>
      <c r="J141" t="str">
        <f>IFERROR(INDEX(CHOOSE({1,2,3,4}, DAY(XT!U141), DAY(XT!Y141), DAY(XT!AC141), DAY(XT!AG141)), MATCH(1, INDEX(--(MONTH(CHOOSE({1,2,3,4}, XT!U141,XT!Y141,XT!AC141,XT!AG141))=3), 0), 0)), "")</f>
        <v/>
      </c>
      <c r="K141" s="51" t="str">
        <f>IF(XT!$P141&gt;0,J141,"")</f>
        <v/>
      </c>
      <c r="L141" s="51" t="str">
        <f>IF(XT!$P141=0,J141,"")</f>
        <v/>
      </c>
      <c r="M141">
        <f>SUMPRODUCT((MONTH(CHOOSE({1,2,3,4},XT!U141,XT!Y141,XT!AC141,XT!AG141))=4)*(CHOOSE({1,2,3,4},XT!X141,XT!AB141,XT!AF141,XT!AJ141)))</f>
        <v>0</v>
      </c>
      <c r="N141" t="str">
        <f>IFERROR(INDEX(CHOOSE({1,2,3,4}, DAY(XT!U141), DAY(XT!Y141), DAY(XT!AC141), DAY(XT!AG141)), MATCH(1, INDEX(--(MONTH(CHOOSE({1,2,3,4}, XT!U141,XT!Y141,XT!AC141,XT!AG141))=4), 0), 0)), "")</f>
        <v/>
      </c>
      <c r="O141" s="51" t="str">
        <f>IF(XT!$P141&gt;0,N141,"")</f>
        <v/>
      </c>
      <c r="P141" s="51" t="str">
        <f>IF(XT!$P141=0,N141,"")</f>
        <v/>
      </c>
      <c r="Q141">
        <f>SUMPRODUCT((MONTH(CHOOSE({1,2,3,4},XT!U141,XT!Y141,XT!AC141,XT!AG141))=5)*(CHOOSE({1,2,3,4},XT!X141,XT!AB141,XT!AF141,XT!AJ141)))</f>
        <v>0</v>
      </c>
      <c r="R141" t="str">
        <f>IFERROR(INDEX(CHOOSE({1,2,3,4}, DAY(XT!U141), DAY(XT!Y141), DAY(XT!AC141), DAY(XT!AG141)), MATCH(1, INDEX(--(MONTH(CHOOSE({1,2,3,4}, XT!U141,XT!Y141,XT!AC141,XT!AG141))=5), 0), 0)), "")</f>
        <v/>
      </c>
      <c r="S141" s="51" t="str">
        <f>IF(XT!$P141&gt;0,R141,"")</f>
        <v/>
      </c>
      <c r="T141" s="51" t="str">
        <f>IF(XT!$P141=0,R141,"")</f>
        <v/>
      </c>
      <c r="U141">
        <f>SUMPRODUCT((MONTH(CHOOSE({1,2,3,4},XT!U141,XT!Y141,XT!AC141,XT!AG141))=6)*(CHOOSE({1,2,3,4},XT!X141,XT!AB141,XT!AF141,XT!AJ141)))</f>
        <v>0</v>
      </c>
      <c r="V141" t="str">
        <f>IFERROR(INDEX(CHOOSE({1,2,3,4}, DAY(XT!U141), DAY(XT!Y141), DAY(XT!AC141), DAY(XT!AG141)), MATCH(1, INDEX(--(MONTH(CHOOSE({1,2,3,4}, XT!U141,XT!Y141,XT!AC141,XT!AG141))=6), 0), 0)), "")</f>
        <v/>
      </c>
      <c r="W141" s="51" t="str">
        <f>IF(XT!$P141&gt;0,V141,"")</f>
        <v/>
      </c>
      <c r="X141" s="51" t="str">
        <f>IF(XT!$P141=0,V141,"")</f>
        <v/>
      </c>
      <c r="Y141">
        <f>SUMPRODUCT((MONTH(CHOOSE({1,2,3,4},XT!U141,XT!Y141,XT!AC141,XT!AG141))=7)*(CHOOSE({1,2,3,4},XT!X141,XT!AB141,XT!AF141,XT!AJ141)))</f>
        <v>0</v>
      </c>
      <c r="Z141" t="str">
        <f>IFERROR(INDEX(CHOOSE({1,2,3,4}, DAY(XT!U141), DAY(XT!Y141), DAY(XT!AC141), DAY(XT!AG141)), MATCH(1, INDEX(--(MONTH(CHOOSE({1,2,3,4}, XT!U141,XT!Y141,XT!AC141,XT!AG141))=7), 0), 0)), "")</f>
        <v/>
      </c>
      <c r="AA141" s="51" t="str">
        <f>IF(XT!$P141&gt;0,Z141,"")</f>
        <v/>
      </c>
      <c r="AB141" s="51" t="str">
        <f>IF(XT!$P141=0,Z141,"")</f>
        <v/>
      </c>
      <c r="AC141">
        <f>SUMPRODUCT((MONTH(CHOOSE({1,2,3,4},XT!U141,XT!Y141,XT!AC141,XT!AG141))=8)*(CHOOSE({1,2,3,4},XT!X141,XT!AB141,XT!AF141,XT!AJ141)))</f>
        <v>0</v>
      </c>
      <c r="AD141" t="str">
        <f>IFERROR(INDEX(CHOOSE({1,2,3,4}, DAY(XT!U141), DAY(XT!Y141), DAY(XT!AC141), DAY(XT!AG141)), MATCH(1, INDEX(--(MONTH(CHOOSE({1,2,3,4}, XT!U141,XT!Y141,XT!AC141,XT!AG141))=8), 0), 0)), "")</f>
        <v/>
      </c>
      <c r="AE141" s="51" t="str">
        <f>IF(XT!$P141&gt;0,AD141,"")</f>
        <v/>
      </c>
      <c r="AF141" s="51" t="str">
        <f>IF(XT!$P141=0,AD141,"")</f>
        <v/>
      </c>
      <c r="AG141">
        <f>SUMPRODUCT((MONTH(CHOOSE({1,2,3,4},XT!U141,XT!Y141,XT!AC141,XT!AG141))=9)*(CHOOSE({1,2,3,4},XT!X141,XT!AB141,XT!AF141,XT!AJ141)))</f>
        <v>0</v>
      </c>
      <c r="AH141" t="str">
        <f>IFERROR(INDEX(CHOOSE({1,2,3,4}, DAY(XT!U141), DAY(XT!Y141), DAY(XT!AC141), DAY(XT!AG141)), MATCH(1, INDEX(--(MONTH(CHOOSE({1,2,3,4}, XT!U141,XT!Y141,XT!AC141,XT!AG141))=9), 0), 0)), "")</f>
        <v/>
      </c>
      <c r="AI141" s="51" t="str">
        <f>IF(XT!$P141&gt;0,AH141,"")</f>
        <v/>
      </c>
      <c r="AJ141" s="51" t="str">
        <f>IF(XT!$P141=0,AH141,"")</f>
        <v/>
      </c>
      <c r="AK141">
        <f>SUMPRODUCT((MONTH(CHOOSE({1,2,3,4},XT!U141,XT!Y141,XT!AC141,XT!AG141))=10)*(CHOOSE({1,2,3,4},XT!X141,XT!AB141,XT!AF141,XT!AJ141)))</f>
        <v>0</v>
      </c>
      <c r="AL141" t="str">
        <f>IFERROR(INDEX(CHOOSE({1,2,3,4}, DAY(XT!U141), DAY(XT!Y141), DAY(XT!AC141), DAY(XT!AG141)), MATCH(1, INDEX(--(MONTH(CHOOSE({1,2,3,4}, XT!U141,XT!Y141,XT!AC141,XT!AG141))=10), 0), 0)), "")</f>
        <v/>
      </c>
      <c r="AM141" s="51" t="str">
        <f>IF(XT!$P141&gt;0,AL141,"")</f>
        <v/>
      </c>
      <c r="AN141" s="51" t="str">
        <f>IF(XT!$P141=0,AL141,"")</f>
        <v/>
      </c>
      <c r="AO141">
        <f>SUMPRODUCT((MONTH(CHOOSE({1,2,3,4},XT!U141,XT!Y141,XT!AC141,XT!AG141))=11)*(CHOOSE({1,2,3,4},XT!X141,XT!AB141,XT!AF141,XT!AJ141)))</f>
        <v>0</v>
      </c>
      <c r="AP141" t="str">
        <f>IFERROR(INDEX(CHOOSE({1,2,3,4}, DAY(XT!U141), DAY(XT!Y141), DAY(XT!AC141), DAY(XT!AG141)), MATCH(1, INDEX(--(MONTH(CHOOSE({1,2,3,4}, XT!U141,XT!Y141,XT!AC141,XT!AG141))=11), 0), 0)), "")</f>
        <v/>
      </c>
      <c r="AQ141" s="51" t="str">
        <f>IF(XT!$P141&gt;0,AP141,"")</f>
        <v/>
      </c>
      <c r="AR141" s="51" t="str">
        <f>IF(XT!$P141=0,AP141,"")</f>
        <v/>
      </c>
      <c r="AS141">
        <f>SUMPRODUCT((MONTH(CHOOSE({1,2,3,4},XT!U141,XT!Y141,XT!AC141,XT!AG141))=12)*(CHOOSE({1,2,3,4},XT!X141,XT!AB141,XT!AF141,XT!AJ141)))</f>
        <v>0</v>
      </c>
      <c r="AT141" t="str">
        <f>IFERROR(INDEX(CHOOSE({1,2,3,4}, DAY(XT!U141), DAY(XT!Y141), DAY(XT!AC141), DAY(XT!AG141)), MATCH(1, INDEX(--(MONTH(CHOOSE({1,2,3,4}, XT!U141,XT!Y141,XT!AC141,XT!AG141))=12), 0), 0)), "")</f>
        <v/>
      </c>
      <c r="AU141" s="51" t="str">
        <f>IF(XT!$P141&gt;0,AT141,"")</f>
        <v/>
      </c>
      <c r="AV141" s="51" t="str">
        <f>IF(XT!$P141=0,AT141,"")</f>
        <v/>
      </c>
    </row>
    <row r="142" spans="1:48">
      <c r="A142">
        <f>SUMPRODUCT((MONTH(CHOOSE({1,2,3,4},XT!U142,XT!Y142,XT!AC142,XT!AG142))=1)*(CHOOSE({1,2,3,4},XT!X142,XT!AB142,XT!AF142,XT!AJ142)))</f>
        <v>0</v>
      </c>
      <c r="B142">
        <f>IFERROR(INDEX(CHOOSE({1,2,3,4}, DAY(XT!U142), DAY(XT!Y142), DAY(XT!AC142), DAY(XT!AG142)), MATCH(1, INDEX(--(MONTH(CHOOSE({1,2,3,4}, XT!U142,XT!Y142,XT!AC142,XT!AG142))=1), 0), 0)), "")</f>
        <v>0</v>
      </c>
      <c r="C142" s="51" t="str">
        <f>IF(XT!$P142&gt;0,B142,"")</f>
        <v/>
      </c>
      <c r="D142" s="51">
        <f>IF(XT!$P142=0,B142,"")</f>
        <v>0</v>
      </c>
      <c r="E142">
        <f>SUMPRODUCT((MONTH(CHOOSE({1,2,3,4},XT!U142,XT!Y142,XT!AC142,XT!AG142))=2)*(CHOOSE({1,2,3,4},XT!X142,XT!AB142,XT!AF142,XT!AJ142)))</f>
        <v>0</v>
      </c>
      <c r="F142" t="str">
        <f>IFERROR(INDEX(CHOOSE({1,2,3,4}, DAY(XT!U142), DAY(XT!Y142), DAY(XT!AC142), DAY(XT!AG142)), MATCH(1, INDEX(--(MONTH(CHOOSE({1,2,3,4}, XT!U142,XT!Y142,XT!AC142,XT!AG142))=2), 0), 0)), "")</f>
        <v/>
      </c>
      <c r="G142" s="51" t="str">
        <f>IF(XT!$P142&gt;0,F142,"")</f>
        <v/>
      </c>
      <c r="H142" s="51" t="str">
        <f>IF(XT!$P142=0,F142,"")</f>
        <v/>
      </c>
      <c r="I142">
        <f>SUMPRODUCT((MONTH(CHOOSE({1,2,3,4},XT!U142,XT!Y142,XT!AC142,XT!AG142))=3)*(CHOOSE({1,2,3,4},XT!X142,XT!AB142,XT!AF142,XT!AJ142)))</f>
        <v>0</v>
      </c>
      <c r="J142" t="str">
        <f>IFERROR(INDEX(CHOOSE({1,2,3,4}, DAY(XT!U142), DAY(XT!Y142), DAY(XT!AC142), DAY(XT!AG142)), MATCH(1, INDEX(--(MONTH(CHOOSE({1,2,3,4}, XT!U142,XT!Y142,XT!AC142,XT!AG142))=3), 0), 0)), "")</f>
        <v/>
      </c>
      <c r="K142" s="51" t="str">
        <f>IF(XT!$P142&gt;0,J142,"")</f>
        <v/>
      </c>
      <c r="L142" s="51" t="str">
        <f>IF(XT!$P142=0,J142,"")</f>
        <v/>
      </c>
      <c r="M142">
        <f>SUMPRODUCT((MONTH(CHOOSE({1,2,3,4},XT!U142,XT!Y142,XT!AC142,XT!AG142))=4)*(CHOOSE({1,2,3,4},XT!X142,XT!AB142,XT!AF142,XT!AJ142)))</f>
        <v>0</v>
      </c>
      <c r="N142" t="str">
        <f>IFERROR(INDEX(CHOOSE({1,2,3,4}, DAY(XT!U142), DAY(XT!Y142), DAY(XT!AC142), DAY(XT!AG142)), MATCH(1, INDEX(--(MONTH(CHOOSE({1,2,3,4}, XT!U142,XT!Y142,XT!AC142,XT!AG142))=4), 0), 0)), "")</f>
        <v/>
      </c>
      <c r="O142" s="51" t="str">
        <f>IF(XT!$P142&gt;0,N142,"")</f>
        <v/>
      </c>
      <c r="P142" s="51" t="str">
        <f>IF(XT!$P142=0,N142,"")</f>
        <v/>
      </c>
      <c r="Q142">
        <f>SUMPRODUCT((MONTH(CHOOSE({1,2,3,4},XT!U142,XT!Y142,XT!AC142,XT!AG142))=5)*(CHOOSE({1,2,3,4},XT!X142,XT!AB142,XT!AF142,XT!AJ142)))</f>
        <v>0</v>
      </c>
      <c r="R142" t="str">
        <f>IFERROR(INDEX(CHOOSE({1,2,3,4}, DAY(XT!U142), DAY(XT!Y142), DAY(XT!AC142), DAY(XT!AG142)), MATCH(1, INDEX(--(MONTH(CHOOSE({1,2,3,4}, XT!U142,XT!Y142,XT!AC142,XT!AG142))=5), 0), 0)), "")</f>
        <v/>
      </c>
      <c r="S142" s="51" t="str">
        <f>IF(XT!$P142&gt;0,R142,"")</f>
        <v/>
      </c>
      <c r="T142" s="51" t="str">
        <f>IF(XT!$P142=0,R142,"")</f>
        <v/>
      </c>
      <c r="U142">
        <f>SUMPRODUCT((MONTH(CHOOSE({1,2,3,4},XT!U142,XT!Y142,XT!AC142,XT!AG142))=6)*(CHOOSE({1,2,3,4},XT!X142,XT!AB142,XT!AF142,XT!AJ142)))</f>
        <v>0</v>
      </c>
      <c r="V142" t="str">
        <f>IFERROR(INDEX(CHOOSE({1,2,3,4}, DAY(XT!U142), DAY(XT!Y142), DAY(XT!AC142), DAY(XT!AG142)), MATCH(1, INDEX(--(MONTH(CHOOSE({1,2,3,4}, XT!U142,XT!Y142,XT!AC142,XT!AG142))=6), 0), 0)), "")</f>
        <v/>
      </c>
      <c r="W142" s="51" t="str">
        <f>IF(XT!$P142&gt;0,V142,"")</f>
        <v/>
      </c>
      <c r="X142" s="51" t="str">
        <f>IF(XT!$P142=0,V142,"")</f>
        <v/>
      </c>
      <c r="Y142">
        <f>SUMPRODUCT((MONTH(CHOOSE({1,2,3,4},XT!U142,XT!Y142,XT!AC142,XT!AG142))=7)*(CHOOSE({1,2,3,4},XT!X142,XT!AB142,XT!AF142,XT!AJ142)))</f>
        <v>0</v>
      </c>
      <c r="Z142" t="str">
        <f>IFERROR(INDEX(CHOOSE({1,2,3,4}, DAY(XT!U142), DAY(XT!Y142), DAY(XT!AC142), DAY(XT!AG142)), MATCH(1, INDEX(--(MONTH(CHOOSE({1,2,3,4}, XT!U142,XT!Y142,XT!AC142,XT!AG142))=7), 0), 0)), "")</f>
        <v/>
      </c>
      <c r="AA142" s="51" t="str">
        <f>IF(XT!$P142&gt;0,Z142,"")</f>
        <v/>
      </c>
      <c r="AB142" s="51" t="str">
        <f>IF(XT!$P142=0,Z142,"")</f>
        <v/>
      </c>
      <c r="AC142">
        <f>SUMPRODUCT((MONTH(CHOOSE({1,2,3,4},XT!U142,XT!Y142,XT!AC142,XT!AG142))=8)*(CHOOSE({1,2,3,4},XT!X142,XT!AB142,XT!AF142,XT!AJ142)))</f>
        <v>0</v>
      </c>
      <c r="AD142" t="str">
        <f>IFERROR(INDEX(CHOOSE({1,2,3,4}, DAY(XT!U142), DAY(XT!Y142), DAY(XT!AC142), DAY(XT!AG142)), MATCH(1, INDEX(--(MONTH(CHOOSE({1,2,3,4}, XT!U142,XT!Y142,XT!AC142,XT!AG142))=8), 0), 0)), "")</f>
        <v/>
      </c>
      <c r="AE142" s="51" t="str">
        <f>IF(XT!$P142&gt;0,AD142,"")</f>
        <v/>
      </c>
      <c r="AF142" s="51" t="str">
        <f>IF(XT!$P142=0,AD142,"")</f>
        <v/>
      </c>
      <c r="AG142">
        <f>SUMPRODUCT((MONTH(CHOOSE({1,2,3,4},XT!U142,XT!Y142,XT!AC142,XT!AG142))=9)*(CHOOSE({1,2,3,4},XT!X142,XT!AB142,XT!AF142,XT!AJ142)))</f>
        <v>0</v>
      </c>
      <c r="AH142" t="str">
        <f>IFERROR(INDEX(CHOOSE({1,2,3,4}, DAY(XT!U142), DAY(XT!Y142), DAY(XT!AC142), DAY(XT!AG142)), MATCH(1, INDEX(--(MONTH(CHOOSE({1,2,3,4}, XT!U142,XT!Y142,XT!AC142,XT!AG142))=9), 0), 0)), "")</f>
        <v/>
      </c>
      <c r="AI142" s="51" t="str">
        <f>IF(XT!$P142&gt;0,AH142,"")</f>
        <v/>
      </c>
      <c r="AJ142" s="51" t="str">
        <f>IF(XT!$P142=0,AH142,"")</f>
        <v/>
      </c>
      <c r="AK142">
        <f>SUMPRODUCT((MONTH(CHOOSE({1,2,3,4},XT!U142,XT!Y142,XT!AC142,XT!AG142))=10)*(CHOOSE({1,2,3,4},XT!X142,XT!AB142,XT!AF142,XT!AJ142)))</f>
        <v>0</v>
      </c>
      <c r="AL142" t="str">
        <f>IFERROR(INDEX(CHOOSE({1,2,3,4}, DAY(XT!U142), DAY(XT!Y142), DAY(XT!AC142), DAY(XT!AG142)), MATCH(1, INDEX(--(MONTH(CHOOSE({1,2,3,4}, XT!U142,XT!Y142,XT!AC142,XT!AG142))=10), 0), 0)), "")</f>
        <v/>
      </c>
      <c r="AM142" s="51" t="str">
        <f>IF(XT!$P142&gt;0,AL142,"")</f>
        <v/>
      </c>
      <c r="AN142" s="51" t="str">
        <f>IF(XT!$P142=0,AL142,"")</f>
        <v/>
      </c>
      <c r="AO142">
        <f>SUMPRODUCT((MONTH(CHOOSE({1,2,3,4},XT!U142,XT!Y142,XT!AC142,XT!AG142))=11)*(CHOOSE({1,2,3,4},XT!X142,XT!AB142,XT!AF142,XT!AJ142)))</f>
        <v>0</v>
      </c>
      <c r="AP142" t="str">
        <f>IFERROR(INDEX(CHOOSE({1,2,3,4}, DAY(XT!U142), DAY(XT!Y142), DAY(XT!AC142), DAY(XT!AG142)), MATCH(1, INDEX(--(MONTH(CHOOSE({1,2,3,4}, XT!U142,XT!Y142,XT!AC142,XT!AG142))=11), 0), 0)), "")</f>
        <v/>
      </c>
      <c r="AQ142" s="51" t="str">
        <f>IF(XT!$P142&gt;0,AP142,"")</f>
        <v/>
      </c>
      <c r="AR142" s="51" t="str">
        <f>IF(XT!$P142=0,AP142,"")</f>
        <v/>
      </c>
      <c r="AS142">
        <f>SUMPRODUCT((MONTH(CHOOSE({1,2,3,4},XT!U142,XT!Y142,XT!AC142,XT!AG142))=12)*(CHOOSE({1,2,3,4},XT!X142,XT!AB142,XT!AF142,XT!AJ142)))</f>
        <v>0</v>
      </c>
      <c r="AT142" t="str">
        <f>IFERROR(INDEX(CHOOSE({1,2,3,4}, DAY(XT!U142), DAY(XT!Y142), DAY(XT!AC142), DAY(XT!AG142)), MATCH(1, INDEX(--(MONTH(CHOOSE({1,2,3,4}, XT!U142,XT!Y142,XT!AC142,XT!AG142))=12), 0), 0)), "")</f>
        <v/>
      </c>
      <c r="AU142" s="51" t="str">
        <f>IF(XT!$P142&gt;0,AT142,"")</f>
        <v/>
      </c>
      <c r="AV142" s="51" t="str">
        <f>IF(XT!$P142=0,AT142,"")</f>
        <v/>
      </c>
    </row>
    <row r="143" spans="1:48">
      <c r="A143">
        <f>SUMPRODUCT((MONTH(CHOOSE({1,2,3,4},XT!U143,XT!Y143,XT!AC143,XT!AG143))=1)*(CHOOSE({1,2,3,4},XT!X143,XT!AB143,XT!AF143,XT!AJ143)))</f>
        <v>0</v>
      </c>
      <c r="B143">
        <f>IFERROR(INDEX(CHOOSE({1,2,3,4}, DAY(XT!U143), DAY(XT!Y143), DAY(XT!AC143), DAY(XT!AG143)), MATCH(1, INDEX(--(MONTH(CHOOSE({1,2,3,4}, XT!U143,XT!Y143,XT!AC143,XT!AG143))=1), 0), 0)), "")</f>
        <v>0</v>
      </c>
      <c r="C143" s="51" t="str">
        <f>IF(XT!$P143&gt;0,B143,"")</f>
        <v/>
      </c>
      <c r="D143" s="51">
        <f>IF(XT!$P143=0,B143,"")</f>
        <v>0</v>
      </c>
      <c r="E143">
        <f>SUMPRODUCT((MONTH(CHOOSE({1,2,3,4},XT!U143,XT!Y143,XT!AC143,XT!AG143))=2)*(CHOOSE({1,2,3,4},XT!X143,XT!AB143,XT!AF143,XT!AJ143)))</f>
        <v>0</v>
      </c>
      <c r="F143" t="str">
        <f>IFERROR(INDEX(CHOOSE({1,2,3,4}, DAY(XT!U143), DAY(XT!Y143), DAY(XT!AC143), DAY(XT!AG143)), MATCH(1, INDEX(--(MONTH(CHOOSE({1,2,3,4}, XT!U143,XT!Y143,XT!AC143,XT!AG143))=2), 0), 0)), "")</f>
        <v/>
      </c>
      <c r="G143" s="51" t="str">
        <f>IF(XT!$P143&gt;0,F143,"")</f>
        <v/>
      </c>
      <c r="H143" s="51" t="str">
        <f>IF(XT!$P143=0,F143,"")</f>
        <v/>
      </c>
      <c r="I143">
        <f>SUMPRODUCT((MONTH(CHOOSE({1,2,3,4},XT!U143,XT!Y143,XT!AC143,XT!AG143))=3)*(CHOOSE({1,2,3,4},XT!X143,XT!AB143,XT!AF143,XT!AJ143)))</f>
        <v>0</v>
      </c>
      <c r="J143" t="str">
        <f>IFERROR(INDEX(CHOOSE({1,2,3,4}, DAY(XT!U143), DAY(XT!Y143), DAY(XT!AC143), DAY(XT!AG143)), MATCH(1, INDEX(--(MONTH(CHOOSE({1,2,3,4}, XT!U143,XT!Y143,XT!AC143,XT!AG143))=3), 0), 0)), "")</f>
        <v/>
      </c>
      <c r="K143" s="51" t="str">
        <f>IF(XT!$P143&gt;0,J143,"")</f>
        <v/>
      </c>
      <c r="L143" s="51" t="str">
        <f>IF(XT!$P143=0,J143,"")</f>
        <v/>
      </c>
      <c r="M143">
        <f>SUMPRODUCT((MONTH(CHOOSE({1,2,3,4},XT!U143,XT!Y143,XT!AC143,XT!AG143))=4)*(CHOOSE({1,2,3,4},XT!X143,XT!AB143,XT!AF143,XT!AJ143)))</f>
        <v>0</v>
      </c>
      <c r="N143" t="str">
        <f>IFERROR(INDEX(CHOOSE({1,2,3,4}, DAY(XT!U143), DAY(XT!Y143), DAY(XT!AC143), DAY(XT!AG143)), MATCH(1, INDEX(--(MONTH(CHOOSE({1,2,3,4}, XT!U143,XT!Y143,XT!AC143,XT!AG143))=4), 0), 0)), "")</f>
        <v/>
      </c>
      <c r="O143" s="51" t="str">
        <f>IF(XT!$P143&gt;0,N143,"")</f>
        <v/>
      </c>
      <c r="P143" s="51" t="str">
        <f>IF(XT!$P143=0,N143,"")</f>
        <v/>
      </c>
      <c r="Q143">
        <f>SUMPRODUCT((MONTH(CHOOSE({1,2,3,4},XT!U143,XT!Y143,XT!AC143,XT!AG143))=5)*(CHOOSE({1,2,3,4},XT!X143,XT!AB143,XT!AF143,XT!AJ143)))</f>
        <v>0</v>
      </c>
      <c r="R143" t="str">
        <f>IFERROR(INDEX(CHOOSE({1,2,3,4}, DAY(XT!U143), DAY(XT!Y143), DAY(XT!AC143), DAY(XT!AG143)), MATCH(1, INDEX(--(MONTH(CHOOSE({1,2,3,4}, XT!U143,XT!Y143,XT!AC143,XT!AG143))=5), 0), 0)), "")</f>
        <v/>
      </c>
      <c r="S143" s="51" t="str">
        <f>IF(XT!$P143&gt;0,R143,"")</f>
        <v/>
      </c>
      <c r="T143" s="51" t="str">
        <f>IF(XT!$P143=0,R143,"")</f>
        <v/>
      </c>
      <c r="U143">
        <f>SUMPRODUCT((MONTH(CHOOSE({1,2,3,4},XT!U143,XT!Y143,XT!AC143,XT!AG143))=6)*(CHOOSE({1,2,3,4},XT!X143,XT!AB143,XT!AF143,XT!AJ143)))</f>
        <v>0</v>
      </c>
      <c r="V143" t="str">
        <f>IFERROR(INDEX(CHOOSE({1,2,3,4}, DAY(XT!U143), DAY(XT!Y143), DAY(XT!AC143), DAY(XT!AG143)), MATCH(1, INDEX(--(MONTH(CHOOSE({1,2,3,4}, XT!U143,XT!Y143,XT!AC143,XT!AG143))=6), 0), 0)), "")</f>
        <v/>
      </c>
      <c r="W143" s="51" t="str">
        <f>IF(XT!$P143&gt;0,V143,"")</f>
        <v/>
      </c>
      <c r="X143" s="51" t="str">
        <f>IF(XT!$P143=0,V143,"")</f>
        <v/>
      </c>
      <c r="Y143">
        <f>SUMPRODUCT((MONTH(CHOOSE({1,2,3,4},XT!U143,XT!Y143,XT!AC143,XT!AG143))=7)*(CHOOSE({1,2,3,4},XT!X143,XT!AB143,XT!AF143,XT!AJ143)))</f>
        <v>0</v>
      </c>
      <c r="Z143" t="str">
        <f>IFERROR(INDEX(CHOOSE({1,2,3,4}, DAY(XT!U143), DAY(XT!Y143), DAY(XT!AC143), DAY(XT!AG143)), MATCH(1, INDEX(--(MONTH(CHOOSE({1,2,3,4}, XT!U143,XT!Y143,XT!AC143,XT!AG143))=7), 0), 0)), "")</f>
        <v/>
      </c>
      <c r="AA143" s="51" t="str">
        <f>IF(XT!$P143&gt;0,Z143,"")</f>
        <v/>
      </c>
      <c r="AB143" s="51" t="str">
        <f>IF(XT!$P143=0,Z143,"")</f>
        <v/>
      </c>
      <c r="AC143">
        <f>SUMPRODUCT((MONTH(CHOOSE({1,2,3,4},XT!U143,XT!Y143,XT!AC143,XT!AG143))=8)*(CHOOSE({1,2,3,4},XT!X143,XT!AB143,XT!AF143,XT!AJ143)))</f>
        <v>0</v>
      </c>
      <c r="AD143" t="str">
        <f>IFERROR(INDEX(CHOOSE({1,2,3,4}, DAY(XT!U143), DAY(XT!Y143), DAY(XT!AC143), DAY(XT!AG143)), MATCH(1, INDEX(--(MONTH(CHOOSE({1,2,3,4}, XT!U143,XT!Y143,XT!AC143,XT!AG143))=8), 0), 0)), "")</f>
        <v/>
      </c>
      <c r="AE143" s="51" t="str">
        <f>IF(XT!$P143&gt;0,AD143,"")</f>
        <v/>
      </c>
      <c r="AF143" s="51" t="str">
        <f>IF(XT!$P143=0,AD143,"")</f>
        <v/>
      </c>
      <c r="AG143">
        <f>SUMPRODUCT((MONTH(CHOOSE({1,2,3,4},XT!U143,XT!Y143,XT!AC143,XT!AG143))=9)*(CHOOSE({1,2,3,4},XT!X143,XT!AB143,XT!AF143,XT!AJ143)))</f>
        <v>0</v>
      </c>
      <c r="AH143" t="str">
        <f>IFERROR(INDEX(CHOOSE({1,2,3,4}, DAY(XT!U143), DAY(XT!Y143), DAY(XT!AC143), DAY(XT!AG143)), MATCH(1, INDEX(--(MONTH(CHOOSE({1,2,3,4}, XT!U143,XT!Y143,XT!AC143,XT!AG143))=9), 0), 0)), "")</f>
        <v/>
      </c>
      <c r="AI143" s="51" t="str">
        <f>IF(XT!$P143&gt;0,AH143,"")</f>
        <v/>
      </c>
      <c r="AJ143" s="51" t="str">
        <f>IF(XT!$P143=0,AH143,"")</f>
        <v/>
      </c>
      <c r="AK143">
        <f>SUMPRODUCT((MONTH(CHOOSE({1,2,3,4},XT!U143,XT!Y143,XT!AC143,XT!AG143))=10)*(CHOOSE({1,2,3,4},XT!X143,XT!AB143,XT!AF143,XT!AJ143)))</f>
        <v>0</v>
      </c>
      <c r="AL143" t="str">
        <f>IFERROR(INDEX(CHOOSE({1,2,3,4}, DAY(XT!U143), DAY(XT!Y143), DAY(XT!AC143), DAY(XT!AG143)), MATCH(1, INDEX(--(MONTH(CHOOSE({1,2,3,4}, XT!U143,XT!Y143,XT!AC143,XT!AG143))=10), 0), 0)), "")</f>
        <v/>
      </c>
      <c r="AM143" s="51" t="str">
        <f>IF(XT!$P143&gt;0,AL143,"")</f>
        <v/>
      </c>
      <c r="AN143" s="51" t="str">
        <f>IF(XT!$P143=0,AL143,"")</f>
        <v/>
      </c>
      <c r="AO143">
        <f>SUMPRODUCT((MONTH(CHOOSE({1,2,3,4},XT!U143,XT!Y143,XT!AC143,XT!AG143))=11)*(CHOOSE({1,2,3,4},XT!X143,XT!AB143,XT!AF143,XT!AJ143)))</f>
        <v>0</v>
      </c>
      <c r="AP143" t="str">
        <f>IFERROR(INDEX(CHOOSE({1,2,3,4}, DAY(XT!U143), DAY(XT!Y143), DAY(XT!AC143), DAY(XT!AG143)), MATCH(1, INDEX(--(MONTH(CHOOSE({1,2,3,4}, XT!U143,XT!Y143,XT!AC143,XT!AG143))=11), 0), 0)), "")</f>
        <v/>
      </c>
      <c r="AQ143" s="51" t="str">
        <f>IF(XT!$P143&gt;0,AP143,"")</f>
        <v/>
      </c>
      <c r="AR143" s="51" t="str">
        <f>IF(XT!$P143=0,AP143,"")</f>
        <v/>
      </c>
      <c r="AS143">
        <f>SUMPRODUCT((MONTH(CHOOSE({1,2,3,4},XT!U143,XT!Y143,XT!AC143,XT!AG143))=12)*(CHOOSE({1,2,3,4},XT!X143,XT!AB143,XT!AF143,XT!AJ143)))</f>
        <v>0</v>
      </c>
      <c r="AT143" t="str">
        <f>IFERROR(INDEX(CHOOSE({1,2,3,4}, DAY(XT!U143), DAY(XT!Y143), DAY(XT!AC143), DAY(XT!AG143)), MATCH(1, INDEX(--(MONTH(CHOOSE({1,2,3,4}, XT!U143,XT!Y143,XT!AC143,XT!AG143))=12), 0), 0)), "")</f>
        <v/>
      </c>
      <c r="AU143" s="51" t="str">
        <f>IF(XT!$P143&gt;0,AT143,"")</f>
        <v/>
      </c>
      <c r="AV143" s="51" t="str">
        <f>IF(XT!$P143=0,AT143,"")</f>
        <v/>
      </c>
    </row>
    <row r="144" spans="1:48">
      <c r="A144">
        <f>SUMPRODUCT((MONTH(CHOOSE({1,2,3,4},XT!U144,XT!Y144,XT!AC144,XT!AG144))=1)*(CHOOSE({1,2,3,4},XT!X144,XT!AB144,XT!AF144,XT!AJ144)))</f>
        <v>0</v>
      </c>
      <c r="B144">
        <f>IFERROR(INDEX(CHOOSE({1,2,3,4}, DAY(XT!U144), DAY(XT!Y144), DAY(XT!AC144), DAY(XT!AG144)), MATCH(1, INDEX(--(MONTH(CHOOSE({1,2,3,4}, XT!U144,XT!Y144,XT!AC144,XT!AG144))=1), 0), 0)), "")</f>
        <v>0</v>
      </c>
      <c r="C144" s="51" t="str">
        <f>IF(XT!$P144&gt;0,B144,"")</f>
        <v/>
      </c>
      <c r="D144" s="51">
        <f>IF(XT!$P144=0,B144,"")</f>
        <v>0</v>
      </c>
      <c r="E144">
        <f>SUMPRODUCT((MONTH(CHOOSE({1,2,3,4},XT!U144,XT!Y144,XT!AC144,XT!AG144))=2)*(CHOOSE({1,2,3,4},XT!X144,XT!AB144,XT!AF144,XT!AJ144)))</f>
        <v>0</v>
      </c>
      <c r="F144" t="str">
        <f>IFERROR(INDEX(CHOOSE({1,2,3,4}, DAY(XT!U144), DAY(XT!Y144), DAY(XT!AC144), DAY(XT!AG144)), MATCH(1, INDEX(--(MONTH(CHOOSE({1,2,3,4}, XT!U144,XT!Y144,XT!AC144,XT!AG144))=2), 0), 0)), "")</f>
        <v/>
      </c>
      <c r="G144" s="51" t="str">
        <f>IF(XT!$P144&gt;0,F144,"")</f>
        <v/>
      </c>
      <c r="H144" s="51" t="str">
        <f>IF(XT!$P144=0,F144,"")</f>
        <v/>
      </c>
      <c r="I144">
        <f>SUMPRODUCT((MONTH(CHOOSE({1,2,3,4},XT!U144,XT!Y144,XT!AC144,XT!AG144))=3)*(CHOOSE({1,2,3,4},XT!X144,XT!AB144,XT!AF144,XT!AJ144)))</f>
        <v>0</v>
      </c>
      <c r="J144" t="str">
        <f>IFERROR(INDEX(CHOOSE({1,2,3,4}, DAY(XT!U144), DAY(XT!Y144), DAY(XT!AC144), DAY(XT!AG144)), MATCH(1, INDEX(--(MONTH(CHOOSE({1,2,3,4}, XT!U144,XT!Y144,XT!AC144,XT!AG144))=3), 0), 0)), "")</f>
        <v/>
      </c>
      <c r="K144" s="51" t="str">
        <f>IF(XT!$P144&gt;0,J144,"")</f>
        <v/>
      </c>
      <c r="L144" s="51" t="str">
        <f>IF(XT!$P144=0,J144,"")</f>
        <v/>
      </c>
      <c r="M144">
        <f>SUMPRODUCT((MONTH(CHOOSE({1,2,3,4},XT!U144,XT!Y144,XT!AC144,XT!AG144))=4)*(CHOOSE({1,2,3,4},XT!X144,XT!AB144,XT!AF144,XT!AJ144)))</f>
        <v>0</v>
      </c>
      <c r="N144" t="str">
        <f>IFERROR(INDEX(CHOOSE({1,2,3,4}, DAY(XT!U144), DAY(XT!Y144), DAY(XT!AC144), DAY(XT!AG144)), MATCH(1, INDEX(--(MONTH(CHOOSE({1,2,3,4}, XT!U144,XT!Y144,XT!AC144,XT!AG144))=4), 0), 0)), "")</f>
        <v/>
      </c>
      <c r="O144" s="51" t="str">
        <f>IF(XT!$P144&gt;0,N144,"")</f>
        <v/>
      </c>
      <c r="P144" s="51" t="str">
        <f>IF(XT!$P144=0,N144,"")</f>
        <v/>
      </c>
      <c r="Q144">
        <f>SUMPRODUCT((MONTH(CHOOSE({1,2,3,4},XT!U144,XT!Y144,XT!AC144,XT!AG144))=5)*(CHOOSE({1,2,3,4},XT!X144,XT!AB144,XT!AF144,XT!AJ144)))</f>
        <v>0</v>
      </c>
      <c r="R144" t="str">
        <f>IFERROR(INDEX(CHOOSE({1,2,3,4}, DAY(XT!U144), DAY(XT!Y144), DAY(XT!AC144), DAY(XT!AG144)), MATCH(1, INDEX(--(MONTH(CHOOSE({1,2,3,4}, XT!U144,XT!Y144,XT!AC144,XT!AG144))=5), 0), 0)), "")</f>
        <v/>
      </c>
      <c r="S144" s="51" t="str">
        <f>IF(XT!$P144&gt;0,R144,"")</f>
        <v/>
      </c>
      <c r="T144" s="51" t="str">
        <f>IF(XT!$P144=0,R144,"")</f>
        <v/>
      </c>
      <c r="U144">
        <f>SUMPRODUCT((MONTH(CHOOSE({1,2,3,4},XT!U144,XT!Y144,XT!AC144,XT!AG144))=6)*(CHOOSE({1,2,3,4},XT!X144,XT!AB144,XT!AF144,XT!AJ144)))</f>
        <v>0</v>
      </c>
      <c r="V144" t="str">
        <f>IFERROR(INDEX(CHOOSE({1,2,3,4}, DAY(XT!U144), DAY(XT!Y144), DAY(XT!AC144), DAY(XT!AG144)), MATCH(1, INDEX(--(MONTH(CHOOSE({1,2,3,4}, XT!U144,XT!Y144,XT!AC144,XT!AG144))=6), 0), 0)), "")</f>
        <v/>
      </c>
      <c r="W144" s="51" t="str">
        <f>IF(XT!$P144&gt;0,V144,"")</f>
        <v/>
      </c>
      <c r="X144" s="51" t="str">
        <f>IF(XT!$P144=0,V144,"")</f>
        <v/>
      </c>
      <c r="Y144">
        <f>SUMPRODUCT((MONTH(CHOOSE({1,2,3,4},XT!U144,XT!Y144,XT!AC144,XT!AG144))=7)*(CHOOSE({1,2,3,4},XT!X144,XT!AB144,XT!AF144,XT!AJ144)))</f>
        <v>0</v>
      </c>
      <c r="Z144" t="str">
        <f>IFERROR(INDEX(CHOOSE({1,2,3,4}, DAY(XT!U144), DAY(XT!Y144), DAY(XT!AC144), DAY(XT!AG144)), MATCH(1, INDEX(--(MONTH(CHOOSE({1,2,3,4}, XT!U144,XT!Y144,XT!AC144,XT!AG144))=7), 0), 0)), "")</f>
        <v/>
      </c>
      <c r="AA144" s="51" t="str">
        <f>IF(XT!$P144&gt;0,Z144,"")</f>
        <v/>
      </c>
      <c r="AB144" s="51" t="str">
        <f>IF(XT!$P144=0,Z144,"")</f>
        <v/>
      </c>
      <c r="AC144">
        <f>SUMPRODUCT((MONTH(CHOOSE({1,2,3,4},XT!U144,XT!Y144,XT!AC144,XT!AG144))=8)*(CHOOSE({1,2,3,4},XT!X144,XT!AB144,XT!AF144,XT!AJ144)))</f>
        <v>0</v>
      </c>
      <c r="AD144" t="str">
        <f>IFERROR(INDEX(CHOOSE({1,2,3,4}, DAY(XT!U144), DAY(XT!Y144), DAY(XT!AC144), DAY(XT!AG144)), MATCH(1, INDEX(--(MONTH(CHOOSE({1,2,3,4}, XT!U144,XT!Y144,XT!AC144,XT!AG144))=8), 0), 0)), "")</f>
        <v/>
      </c>
      <c r="AE144" s="51" t="str">
        <f>IF(XT!$P144&gt;0,AD144,"")</f>
        <v/>
      </c>
      <c r="AF144" s="51" t="str">
        <f>IF(XT!$P144=0,AD144,"")</f>
        <v/>
      </c>
      <c r="AG144">
        <f>SUMPRODUCT((MONTH(CHOOSE({1,2,3,4},XT!U144,XT!Y144,XT!AC144,XT!AG144))=9)*(CHOOSE({1,2,3,4},XT!X144,XT!AB144,XT!AF144,XT!AJ144)))</f>
        <v>0</v>
      </c>
      <c r="AH144" t="str">
        <f>IFERROR(INDEX(CHOOSE({1,2,3,4}, DAY(XT!U144), DAY(XT!Y144), DAY(XT!AC144), DAY(XT!AG144)), MATCH(1, INDEX(--(MONTH(CHOOSE({1,2,3,4}, XT!U144,XT!Y144,XT!AC144,XT!AG144))=9), 0), 0)), "")</f>
        <v/>
      </c>
      <c r="AI144" s="51" t="str">
        <f>IF(XT!$P144&gt;0,AH144,"")</f>
        <v/>
      </c>
      <c r="AJ144" s="51" t="str">
        <f>IF(XT!$P144=0,AH144,"")</f>
        <v/>
      </c>
      <c r="AK144">
        <f>SUMPRODUCT((MONTH(CHOOSE({1,2,3,4},XT!U144,XT!Y144,XT!AC144,XT!AG144))=10)*(CHOOSE({1,2,3,4},XT!X144,XT!AB144,XT!AF144,XT!AJ144)))</f>
        <v>0</v>
      </c>
      <c r="AL144" t="str">
        <f>IFERROR(INDEX(CHOOSE({1,2,3,4}, DAY(XT!U144), DAY(XT!Y144), DAY(XT!AC144), DAY(XT!AG144)), MATCH(1, INDEX(--(MONTH(CHOOSE({1,2,3,4}, XT!U144,XT!Y144,XT!AC144,XT!AG144))=10), 0), 0)), "")</f>
        <v/>
      </c>
      <c r="AM144" s="51" t="str">
        <f>IF(XT!$P144&gt;0,AL144,"")</f>
        <v/>
      </c>
      <c r="AN144" s="51" t="str">
        <f>IF(XT!$P144=0,AL144,"")</f>
        <v/>
      </c>
      <c r="AO144">
        <f>SUMPRODUCT((MONTH(CHOOSE({1,2,3,4},XT!U144,XT!Y144,XT!AC144,XT!AG144))=11)*(CHOOSE({1,2,3,4},XT!X144,XT!AB144,XT!AF144,XT!AJ144)))</f>
        <v>0</v>
      </c>
      <c r="AP144" t="str">
        <f>IFERROR(INDEX(CHOOSE({1,2,3,4}, DAY(XT!U144), DAY(XT!Y144), DAY(XT!AC144), DAY(XT!AG144)), MATCH(1, INDEX(--(MONTH(CHOOSE({1,2,3,4}, XT!U144,XT!Y144,XT!AC144,XT!AG144))=11), 0), 0)), "")</f>
        <v/>
      </c>
      <c r="AQ144" s="51" t="str">
        <f>IF(XT!$P144&gt;0,AP144,"")</f>
        <v/>
      </c>
      <c r="AR144" s="51" t="str">
        <f>IF(XT!$P144=0,AP144,"")</f>
        <v/>
      </c>
      <c r="AS144">
        <f>SUMPRODUCT((MONTH(CHOOSE({1,2,3,4},XT!U144,XT!Y144,XT!AC144,XT!AG144))=12)*(CHOOSE({1,2,3,4},XT!X144,XT!AB144,XT!AF144,XT!AJ144)))</f>
        <v>0</v>
      </c>
      <c r="AT144" t="str">
        <f>IFERROR(INDEX(CHOOSE({1,2,3,4}, DAY(XT!U144), DAY(XT!Y144), DAY(XT!AC144), DAY(XT!AG144)), MATCH(1, INDEX(--(MONTH(CHOOSE({1,2,3,4}, XT!U144,XT!Y144,XT!AC144,XT!AG144))=12), 0), 0)), "")</f>
        <v/>
      </c>
      <c r="AU144" s="51" t="str">
        <f>IF(XT!$P144&gt;0,AT144,"")</f>
        <v/>
      </c>
      <c r="AV144" s="51" t="str">
        <f>IF(XT!$P144=0,AT144,"")</f>
        <v/>
      </c>
    </row>
    <row r="145" spans="1:48">
      <c r="A145">
        <f>SUMPRODUCT((MONTH(CHOOSE({1,2,3,4},XT!U145,XT!Y145,XT!AC145,XT!AG145))=1)*(CHOOSE({1,2,3,4},XT!X145,XT!AB145,XT!AF145,XT!AJ145)))</f>
        <v>0</v>
      </c>
      <c r="B145">
        <f>IFERROR(INDEX(CHOOSE({1,2,3,4}, DAY(XT!U145), DAY(XT!Y145), DAY(XT!AC145), DAY(XT!AG145)), MATCH(1, INDEX(--(MONTH(CHOOSE({1,2,3,4}, XT!U145,XT!Y145,XT!AC145,XT!AG145))=1), 0), 0)), "")</f>
        <v>0</v>
      </c>
      <c r="C145" s="51" t="str">
        <f>IF(XT!$P145&gt;0,B145,"")</f>
        <v/>
      </c>
      <c r="D145" s="51">
        <f>IF(XT!$P145=0,B145,"")</f>
        <v>0</v>
      </c>
      <c r="E145">
        <f>SUMPRODUCT((MONTH(CHOOSE({1,2,3,4},XT!U145,XT!Y145,XT!AC145,XT!AG145))=2)*(CHOOSE({1,2,3,4},XT!X145,XT!AB145,XT!AF145,XT!AJ145)))</f>
        <v>0</v>
      </c>
      <c r="F145" t="str">
        <f>IFERROR(INDEX(CHOOSE({1,2,3,4}, DAY(XT!U145), DAY(XT!Y145), DAY(XT!AC145), DAY(XT!AG145)), MATCH(1, INDEX(--(MONTH(CHOOSE({1,2,3,4}, XT!U145,XT!Y145,XT!AC145,XT!AG145))=2), 0), 0)), "")</f>
        <v/>
      </c>
      <c r="G145" s="51" t="str">
        <f>IF(XT!$P145&gt;0,F145,"")</f>
        <v/>
      </c>
      <c r="H145" s="51" t="str">
        <f>IF(XT!$P145=0,F145,"")</f>
        <v/>
      </c>
      <c r="I145">
        <f>SUMPRODUCT((MONTH(CHOOSE({1,2,3,4},XT!U145,XT!Y145,XT!AC145,XT!AG145))=3)*(CHOOSE({1,2,3,4},XT!X145,XT!AB145,XT!AF145,XT!AJ145)))</f>
        <v>0</v>
      </c>
      <c r="J145" t="str">
        <f>IFERROR(INDEX(CHOOSE({1,2,3,4}, DAY(XT!U145), DAY(XT!Y145), DAY(XT!AC145), DAY(XT!AG145)), MATCH(1, INDEX(--(MONTH(CHOOSE({1,2,3,4}, XT!U145,XT!Y145,XT!AC145,XT!AG145))=3), 0), 0)), "")</f>
        <v/>
      </c>
      <c r="K145" s="51" t="str">
        <f>IF(XT!$P145&gt;0,J145,"")</f>
        <v/>
      </c>
      <c r="L145" s="51" t="str">
        <f>IF(XT!$P145=0,J145,"")</f>
        <v/>
      </c>
      <c r="M145">
        <f>SUMPRODUCT((MONTH(CHOOSE({1,2,3,4},XT!U145,XT!Y145,XT!AC145,XT!AG145))=4)*(CHOOSE({1,2,3,4},XT!X145,XT!AB145,XT!AF145,XT!AJ145)))</f>
        <v>0</v>
      </c>
      <c r="N145" t="str">
        <f>IFERROR(INDEX(CHOOSE({1,2,3,4}, DAY(XT!U145), DAY(XT!Y145), DAY(XT!AC145), DAY(XT!AG145)), MATCH(1, INDEX(--(MONTH(CHOOSE({1,2,3,4}, XT!U145,XT!Y145,XT!AC145,XT!AG145))=4), 0), 0)), "")</f>
        <v/>
      </c>
      <c r="O145" s="51" t="str">
        <f>IF(XT!$P145&gt;0,N145,"")</f>
        <v/>
      </c>
      <c r="P145" s="51" t="str">
        <f>IF(XT!$P145=0,N145,"")</f>
        <v/>
      </c>
      <c r="Q145">
        <f>SUMPRODUCT((MONTH(CHOOSE({1,2,3,4},XT!U145,XT!Y145,XT!AC145,XT!AG145))=5)*(CHOOSE({1,2,3,4},XT!X145,XT!AB145,XT!AF145,XT!AJ145)))</f>
        <v>0</v>
      </c>
      <c r="R145" t="str">
        <f>IFERROR(INDEX(CHOOSE({1,2,3,4}, DAY(XT!U145), DAY(XT!Y145), DAY(XT!AC145), DAY(XT!AG145)), MATCH(1, INDEX(--(MONTH(CHOOSE({1,2,3,4}, XT!U145,XT!Y145,XT!AC145,XT!AG145))=5), 0), 0)), "")</f>
        <v/>
      </c>
      <c r="S145" s="51" t="str">
        <f>IF(XT!$P145&gt;0,R145,"")</f>
        <v/>
      </c>
      <c r="T145" s="51" t="str">
        <f>IF(XT!$P145=0,R145,"")</f>
        <v/>
      </c>
      <c r="U145">
        <f>SUMPRODUCT((MONTH(CHOOSE({1,2,3,4},XT!U145,XT!Y145,XT!AC145,XT!AG145))=6)*(CHOOSE({1,2,3,4},XT!X145,XT!AB145,XT!AF145,XT!AJ145)))</f>
        <v>0</v>
      </c>
      <c r="V145" t="str">
        <f>IFERROR(INDEX(CHOOSE({1,2,3,4}, DAY(XT!U145), DAY(XT!Y145), DAY(XT!AC145), DAY(XT!AG145)), MATCH(1, INDEX(--(MONTH(CHOOSE({1,2,3,4}, XT!U145,XT!Y145,XT!AC145,XT!AG145))=6), 0), 0)), "")</f>
        <v/>
      </c>
      <c r="W145" s="51" t="str">
        <f>IF(XT!$P145&gt;0,V145,"")</f>
        <v/>
      </c>
      <c r="X145" s="51" t="str">
        <f>IF(XT!$P145=0,V145,"")</f>
        <v/>
      </c>
      <c r="Y145">
        <f>SUMPRODUCT((MONTH(CHOOSE({1,2,3,4},XT!U145,XT!Y145,XT!AC145,XT!AG145))=7)*(CHOOSE({1,2,3,4},XT!X145,XT!AB145,XT!AF145,XT!AJ145)))</f>
        <v>0</v>
      </c>
      <c r="Z145" t="str">
        <f>IFERROR(INDEX(CHOOSE({1,2,3,4}, DAY(XT!U145), DAY(XT!Y145), DAY(XT!AC145), DAY(XT!AG145)), MATCH(1, INDEX(--(MONTH(CHOOSE({1,2,3,4}, XT!U145,XT!Y145,XT!AC145,XT!AG145))=7), 0), 0)), "")</f>
        <v/>
      </c>
      <c r="AA145" s="51" t="str">
        <f>IF(XT!$P145&gt;0,Z145,"")</f>
        <v/>
      </c>
      <c r="AB145" s="51" t="str">
        <f>IF(XT!$P145=0,Z145,"")</f>
        <v/>
      </c>
      <c r="AC145">
        <f>SUMPRODUCT((MONTH(CHOOSE({1,2,3,4},XT!U145,XT!Y145,XT!AC145,XT!AG145))=8)*(CHOOSE({1,2,3,4},XT!X145,XT!AB145,XT!AF145,XT!AJ145)))</f>
        <v>0</v>
      </c>
      <c r="AD145" t="str">
        <f>IFERROR(INDEX(CHOOSE({1,2,3,4}, DAY(XT!U145), DAY(XT!Y145), DAY(XT!AC145), DAY(XT!AG145)), MATCH(1, INDEX(--(MONTH(CHOOSE({1,2,3,4}, XT!U145,XT!Y145,XT!AC145,XT!AG145))=8), 0), 0)), "")</f>
        <v/>
      </c>
      <c r="AE145" s="51" t="str">
        <f>IF(XT!$P145&gt;0,AD145,"")</f>
        <v/>
      </c>
      <c r="AF145" s="51" t="str">
        <f>IF(XT!$P145=0,AD145,"")</f>
        <v/>
      </c>
      <c r="AG145">
        <f>SUMPRODUCT((MONTH(CHOOSE({1,2,3,4},XT!U145,XT!Y145,XT!AC145,XT!AG145))=9)*(CHOOSE({1,2,3,4},XT!X145,XT!AB145,XT!AF145,XT!AJ145)))</f>
        <v>0</v>
      </c>
      <c r="AH145" t="str">
        <f>IFERROR(INDEX(CHOOSE({1,2,3,4}, DAY(XT!U145), DAY(XT!Y145), DAY(XT!AC145), DAY(XT!AG145)), MATCH(1, INDEX(--(MONTH(CHOOSE({1,2,3,4}, XT!U145,XT!Y145,XT!AC145,XT!AG145))=9), 0), 0)), "")</f>
        <v/>
      </c>
      <c r="AI145" s="51" t="str">
        <f>IF(XT!$P145&gt;0,AH145,"")</f>
        <v/>
      </c>
      <c r="AJ145" s="51" t="str">
        <f>IF(XT!$P145=0,AH145,"")</f>
        <v/>
      </c>
      <c r="AK145">
        <f>SUMPRODUCT((MONTH(CHOOSE({1,2,3,4},XT!U145,XT!Y145,XT!AC145,XT!AG145))=10)*(CHOOSE({1,2,3,4},XT!X145,XT!AB145,XT!AF145,XT!AJ145)))</f>
        <v>0</v>
      </c>
      <c r="AL145" t="str">
        <f>IFERROR(INDEX(CHOOSE({1,2,3,4}, DAY(XT!U145), DAY(XT!Y145), DAY(XT!AC145), DAY(XT!AG145)), MATCH(1, INDEX(--(MONTH(CHOOSE({1,2,3,4}, XT!U145,XT!Y145,XT!AC145,XT!AG145))=10), 0), 0)), "")</f>
        <v/>
      </c>
      <c r="AM145" s="51" t="str">
        <f>IF(XT!$P145&gt;0,AL145,"")</f>
        <v/>
      </c>
      <c r="AN145" s="51" t="str">
        <f>IF(XT!$P145=0,AL145,"")</f>
        <v/>
      </c>
      <c r="AO145">
        <f>SUMPRODUCT((MONTH(CHOOSE({1,2,3,4},XT!U145,XT!Y145,XT!AC145,XT!AG145))=11)*(CHOOSE({1,2,3,4},XT!X145,XT!AB145,XT!AF145,XT!AJ145)))</f>
        <v>0</v>
      </c>
      <c r="AP145" t="str">
        <f>IFERROR(INDEX(CHOOSE({1,2,3,4}, DAY(XT!U145), DAY(XT!Y145), DAY(XT!AC145), DAY(XT!AG145)), MATCH(1, INDEX(--(MONTH(CHOOSE({1,2,3,4}, XT!U145,XT!Y145,XT!AC145,XT!AG145))=11), 0), 0)), "")</f>
        <v/>
      </c>
      <c r="AQ145" s="51" t="str">
        <f>IF(XT!$P145&gt;0,AP145,"")</f>
        <v/>
      </c>
      <c r="AR145" s="51" t="str">
        <f>IF(XT!$P145=0,AP145,"")</f>
        <v/>
      </c>
      <c r="AS145">
        <f>SUMPRODUCT((MONTH(CHOOSE({1,2,3,4},XT!U145,XT!Y145,XT!AC145,XT!AG145))=12)*(CHOOSE({1,2,3,4},XT!X145,XT!AB145,XT!AF145,XT!AJ145)))</f>
        <v>0</v>
      </c>
      <c r="AT145" t="str">
        <f>IFERROR(INDEX(CHOOSE({1,2,3,4}, DAY(XT!U145), DAY(XT!Y145), DAY(XT!AC145), DAY(XT!AG145)), MATCH(1, INDEX(--(MONTH(CHOOSE({1,2,3,4}, XT!U145,XT!Y145,XT!AC145,XT!AG145))=12), 0), 0)), "")</f>
        <v/>
      </c>
      <c r="AU145" s="51" t="str">
        <f>IF(XT!$P145&gt;0,AT145,"")</f>
        <v/>
      </c>
      <c r="AV145" s="51" t="str">
        <f>IF(XT!$P145=0,AT145,"")</f>
        <v/>
      </c>
    </row>
    <row r="146" spans="1:48">
      <c r="A146">
        <f>SUMPRODUCT((MONTH(CHOOSE({1,2,3,4},XT!U146,XT!Y146,XT!AC146,XT!AG146))=1)*(CHOOSE({1,2,3,4},XT!X146,XT!AB146,XT!AF146,XT!AJ146)))</f>
        <v>0</v>
      </c>
      <c r="B146">
        <f>IFERROR(INDEX(CHOOSE({1,2,3,4}, DAY(XT!U146), DAY(XT!Y146), DAY(XT!AC146), DAY(XT!AG146)), MATCH(1, INDEX(--(MONTH(CHOOSE({1,2,3,4}, XT!U146,XT!Y146,XT!AC146,XT!AG146))=1), 0), 0)), "")</f>
        <v>0</v>
      </c>
      <c r="C146" s="51" t="str">
        <f>IF(XT!$P146&gt;0,B146,"")</f>
        <v/>
      </c>
      <c r="D146" s="51">
        <f>IF(XT!$P146=0,B146,"")</f>
        <v>0</v>
      </c>
      <c r="E146">
        <f>SUMPRODUCT((MONTH(CHOOSE({1,2,3,4},XT!U146,XT!Y146,XT!AC146,XT!AG146))=2)*(CHOOSE({1,2,3,4},XT!X146,XT!AB146,XT!AF146,XT!AJ146)))</f>
        <v>0</v>
      </c>
      <c r="F146" t="str">
        <f>IFERROR(INDEX(CHOOSE({1,2,3,4}, DAY(XT!U146), DAY(XT!Y146), DAY(XT!AC146), DAY(XT!AG146)), MATCH(1, INDEX(--(MONTH(CHOOSE({1,2,3,4}, XT!U146,XT!Y146,XT!AC146,XT!AG146))=2), 0), 0)), "")</f>
        <v/>
      </c>
      <c r="G146" s="51" t="str">
        <f>IF(XT!$P146&gt;0,F146,"")</f>
        <v/>
      </c>
      <c r="H146" s="51" t="str">
        <f>IF(XT!$P146=0,F146,"")</f>
        <v/>
      </c>
      <c r="I146">
        <f>SUMPRODUCT((MONTH(CHOOSE({1,2,3,4},XT!U146,XT!Y146,XT!AC146,XT!AG146))=3)*(CHOOSE({1,2,3,4},XT!X146,XT!AB146,XT!AF146,XT!AJ146)))</f>
        <v>0</v>
      </c>
      <c r="J146" t="str">
        <f>IFERROR(INDEX(CHOOSE({1,2,3,4}, DAY(XT!U146), DAY(XT!Y146), DAY(XT!AC146), DAY(XT!AG146)), MATCH(1, INDEX(--(MONTH(CHOOSE({1,2,3,4}, XT!U146,XT!Y146,XT!AC146,XT!AG146))=3), 0), 0)), "")</f>
        <v/>
      </c>
      <c r="K146" s="51" t="str">
        <f>IF(XT!$P146&gt;0,J146,"")</f>
        <v/>
      </c>
      <c r="L146" s="51" t="str">
        <f>IF(XT!$P146=0,J146,"")</f>
        <v/>
      </c>
      <c r="M146">
        <f>SUMPRODUCT((MONTH(CHOOSE({1,2,3,4},XT!U146,XT!Y146,XT!AC146,XT!AG146))=4)*(CHOOSE({1,2,3,4},XT!X146,XT!AB146,XT!AF146,XT!AJ146)))</f>
        <v>0</v>
      </c>
      <c r="N146" t="str">
        <f>IFERROR(INDEX(CHOOSE({1,2,3,4}, DAY(XT!U146), DAY(XT!Y146), DAY(XT!AC146), DAY(XT!AG146)), MATCH(1, INDEX(--(MONTH(CHOOSE({1,2,3,4}, XT!U146,XT!Y146,XT!AC146,XT!AG146))=4), 0), 0)), "")</f>
        <v/>
      </c>
      <c r="O146" s="51" t="str">
        <f>IF(XT!$P146&gt;0,N146,"")</f>
        <v/>
      </c>
      <c r="P146" s="51" t="str">
        <f>IF(XT!$P146=0,N146,"")</f>
        <v/>
      </c>
      <c r="Q146">
        <f>SUMPRODUCT((MONTH(CHOOSE({1,2,3,4},XT!U146,XT!Y146,XT!AC146,XT!AG146))=5)*(CHOOSE({1,2,3,4},XT!X146,XT!AB146,XT!AF146,XT!AJ146)))</f>
        <v>0</v>
      </c>
      <c r="R146" t="str">
        <f>IFERROR(INDEX(CHOOSE({1,2,3,4}, DAY(XT!U146), DAY(XT!Y146), DAY(XT!AC146), DAY(XT!AG146)), MATCH(1, INDEX(--(MONTH(CHOOSE({1,2,3,4}, XT!U146,XT!Y146,XT!AC146,XT!AG146))=5), 0), 0)), "")</f>
        <v/>
      </c>
      <c r="S146" s="51" t="str">
        <f>IF(XT!$P146&gt;0,R146,"")</f>
        <v/>
      </c>
      <c r="T146" s="51" t="str">
        <f>IF(XT!$P146=0,R146,"")</f>
        <v/>
      </c>
      <c r="U146">
        <f>SUMPRODUCT((MONTH(CHOOSE({1,2,3,4},XT!U146,XT!Y146,XT!AC146,XT!AG146))=6)*(CHOOSE({1,2,3,4},XT!X146,XT!AB146,XT!AF146,XT!AJ146)))</f>
        <v>0</v>
      </c>
      <c r="V146" t="str">
        <f>IFERROR(INDEX(CHOOSE({1,2,3,4}, DAY(XT!U146), DAY(XT!Y146), DAY(XT!AC146), DAY(XT!AG146)), MATCH(1, INDEX(--(MONTH(CHOOSE({1,2,3,4}, XT!U146,XT!Y146,XT!AC146,XT!AG146))=6), 0), 0)), "")</f>
        <v/>
      </c>
      <c r="W146" s="51" t="str">
        <f>IF(XT!$P146&gt;0,V146,"")</f>
        <v/>
      </c>
      <c r="X146" s="51" t="str">
        <f>IF(XT!$P146=0,V146,"")</f>
        <v/>
      </c>
      <c r="Y146">
        <f>SUMPRODUCT((MONTH(CHOOSE({1,2,3,4},XT!U146,XT!Y146,XT!AC146,XT!AG146))=7)*(CHOOSE({1,2,3,4},XT!X146,XT!AB146,XT!AF146,XT!AJ146)))</f>
        <v>0</v>
      </c>
      <c r="Z146" t="str">
        <f>IFERROR(INDEX(CHOOSE({1,2,3,4}, DAY(XT!U146), DAY(XT!Y146), DAY(XT!AC146), DAY(XT!AG146)), MATCH(1, INDEX(--(MONTH(CHOOSE({1,2,3,4}, XT!U146,XT!Y146,XT!AC146,XT!AG146))=7), 0), 0)), "")</f>
        <v/>
      </c>
      <c r="AA146" s="51" t="str">
        <f>IF(XT!$P146&gt;0,Z146,"")</f>
        <v/>
      </c>
      <c r="AB146" s="51" t="str">
        <f>IF(XT!$P146=0,Z146,"")</f>
        <v/>
      </c>
      <c r="AC146">
        <f>SUMPRODUCT((MONTH(CHOOSE({1,2,3,4},XT!U146,XT!Y146,XT!AC146,XT!AG146))=8)*(CHOOSE({1,2,3,4},XT!X146,XT!AB146,XT!AF146,XT!AJ146)))</f>
        <v>0</v>
      </c>
      <c r="AD146" t="str">
        <f>IFERROR(INDEX(CHOOSE({1,2,3,4}, DAY(XT!U146), DAY(XT!Y146), DAY(XT!AC146), DAY(XT!AG146)), MATCH(1, INDEX(--(MONTH(CHOOSE({1,2,3,4}, XT!U146,XT!Y146,XT!AC146,XT!AG146))=8), 0), 0)), "")</f>
        <v/>
      </c>
      <c r="AE146" s="51" t="str">
        <f>IF(XT!$P146&gt;0,AD146,"")</f>
        <v/>
      </c>
      <c r="AF146" s="51" t="str">
        <f>IF(XT!$P146=0,AD146,"")</f>
        <v/>
      </c>
      <c r="AG146">
        <f>SUMPRODUCT((MONTH(CHOOSE({1,2,3,4},XT!U146,XT!Y146,XT!AC146,XT!AG146))=9)*(CHOOSE({1,2,3,4},XT!X146,XT!AB146,XT!AF146,XT!AJ146)))</f>
        <v>0</v>
      </c>
      <c r="AH146" t="str">
        <f>IFERROR(INDEX(CHOOSE({1,2,3,4}, DAY(XT!U146), DAY(XT!Y146), DAY(XT!AC146), DAY(XT!AG146)), MATCH(1, INDEX(--(MONTH(CHOOSE({1,2,3,4}, XT!U146,XT!Y146,XT!AC146,XT!AG146))=9), 0), 0)), "")</f>
        <v/>
      </c>
      <c r="AI146" s="51" t="str">
        <f>IF(XT!$P146&gt;0,AH146,"")</f>
        <v/>
      </c>
      <c r="AJ146" s="51" t="str">
        <f>IF(XT!$P146=0,AH146,"")</f>
        <v/>
      </c>
      <c r="AK146">
        <f>SUMPRODUCT((MONTH(CHOOSE({1,2,3,4},XT!U146,XT!Y146,XT!AC146,XT!AG146))=10)*(CHOOSE({1,2,3,4},XT!X146,XT!AB146,XT!AF146,XT!AJ146)))</f>
        <v>0</v>
      </c>
      <c r="AL146" t="str">
        <f>IFERROR(INDEX(CHOOSE({1,2,3,4}, DAY(XT!U146), DAY(XT!Y146), DAY(XT!AC146), DAY(XT!AG146)), MATCH(1, INDEX(--(MONTH(CHOOSE({1,2,3,4}, XT!U146,XT!Y146,XT!AC146,XT!AG146))=10), 0), 0)), "")</f>
        <v/>
      </c>
      <c r="AM146" s="51" t="str">
        <f>IF(XT!$P146&gt;0,AL146,"")</f>
        <v/>
      </c>
      <c r="AN146" s="51" t="str">
        <f>IF(XT!$P146=0,AL146,"")</f>
        <v/>
      </c>
      <c r="AO146">
        <f>SUMPRODUCT((MONTH(CHOOSE({1,2,3,4},XT!U146,XT!Y146,XT!AC146,XT!AG146))=11)*(CHOOSE({1,2,3,4},XT!X146,XT!AB146,XT!AF146,XT!AJ146)))</f>
        <v>0</v>
      </c>
      <c r="AP146" t="str">
        <f>IFERROR(INDEX(CHOOSE({1,2,3,4}, DAY(XT!U146), DAY(XT!Y146), DAY(XT!AC146), DAY(XT!AG146)), MATCH(1, INDEX(--(MONTH(CHOOSE({1,2,3,4}, XT!U146,XT!Y146,XT!AC146,XT!AG146))=11), 0), 0)), "")</f>
        <v/>
      </c>
      <c r="AQ146" s="51" t="str">
        <f>IF(XT!$P146&gt;0,AP146,"")</f>
        <v/>
      </c>
      <c r="AR146" s="51" t="str">
        <f>IF(XT!$P146=0,AP146,"")</f>
        <v/>
      </c>
      <c r="AS146">
        <f>SUMPRODUCT((MONTH(CHOOSE({1,2,3,4},XT!U146,XT!Y146,XT!AC146,XT!AG146))=12)*(CHOOSE({1,2,3,4},XT!X146,XT!AB146,XT!AF146,XT!AJ146)))</f>
        <v>0</v>
      </c>
      <c r="AT146" t="str">
        <f>IFERROR(INDEX(CHOOSE({1,2,3,4}, DAY(XT!U146), DAY(XT!Y146), DAY(XT!AC146), DAY(XT!AG146)), MATCH(1, INDEX(--(MONTH(CHOOSE({1,2,3,4}, XT!U146,XT!Y146,XT!AC146,XT!AG146))=12), 0), 0)), "")</f>
        <v/>
      </c>
      <c r="AU146" s="51" t="str">
        <f>IF(XT!$P146&gt;0,AT146,"")</f>
        <v/>
      </c>
      <c r="AV146" s="51" t="str">
        <f>IF(XT!$P146=0,AT146,"")</f>
        <v/>
      </c>
    </row>
    <row r="147" spans="1:48">
      <c r="A147">
        <f>SUMPRODUCT((MONTH(CHOOSE({1,2,3,4},XT!U147,XT!Y147,XT!AC147,XT!AG147))=1)*(CHOOSE({1,2,3,4},XT!X147,XT!AB147,XT!AF147,XT!AJ147)))</f>
        <v>0</v>
      </c>
      <c r="B147">
        <f>IFERROR(INDEX(CHOOSE({1,2,3,4}, DAY(XT!U147), DAY(XT!Y147), DAY(XT!AC147), DAY(XT!AG147)), MATCH(1, INDEX(--(MONTH(CHOOSE({1,2,3,4}, XT!U147,XT!Y147,XT!AC147,XT!AG147))=1), 0), 0)), "")</f>
        <v>0</v>
      </c>
      <c r="C147" s="51" t="str">
        <f>IF(XT!$P147&gt;0,B147,"")</f>
        <v/>
      </c>
      <c r="D147" s="51">
        <f>IF(XT!$P147=0,B147,"")</f>
        <v>0</v>
      </c>
      <c r="E147">
        <f>SUMPRODUCT((MONTH(CHOOSE({1,2,3,4},XT!U147,XT!Y147,XT!AC147,XT!AG147))=2)*(CHOOSE({1,2,3,4},XT!X147,XT!AB147,XT!AF147,XT!AJ147)))</f>
        <v>0</v>
      </c>
      <c r="F147" t="str">
        <f>IFERROR(INDEX(CHOOSE({1,2,3,4}, DAY(XT!U147), DAY(XT!Y147), DAY(XT!AC147), DAY(XT!AG147)), MATCH(1, INDEX(--(MONTH(CHOOSE({1,2,3,4}, XT!U147,XT!Y147,XT!AC147,XT!AG147))=2), 0), 0)), "")</f>
        <v/>
      </c>
      <c r="G147" s="51" t="str">
        <f>IF(XT!$P147&gt;0,F147,"")</f>
        <v/>
      </c>
      <c r="H147" s="51" t="str">
        <f>IF(XT!$P147=0,F147,"")</f>
        <v/>
      </c>
      <c r="I147">
        <f>SUMPRODUCT((MONTH(CHOOSE({1,2,3,4},XT!U147,XT!Y147,XT!AC147,XT!AG147))=3)*(CHOOSE({1,2,3,4},XT!X147,XT!AB147,XT!AF147,XT!AJ147)))</f>
        <v>0</v>
      </c>
      <c r="J147" t="str">
        <f>IFERROR(INDEX(CHOOSE({1,2,3,4}, DAY(XT!U147), DAY(XT!Y147), DAY(XT!AC147), DAY(XT!AG147)), MATCH(1, INDEX(--(MONTH(CHOOSE({1,2,3,4}, XT!U147,XT!Y147,XT!AC147,XT!AG147))=3), 0), 0)), "")</f>
        <v/>
      </c>
      <c r="K147" s="51" t="str">
        <f>IF(XT!$P147&gt;0,J147,"")</f>
        <v/>
      </c>
      <c r="L147" s="51" t="str">
        <f>IF(XT!$P147=0,J147,"")</f>
        <v/>
      </c>
      <c r="M147">
        <f>SUMPRODUCT((MONTH(CHOOSE({1,2,3,4},XT!U147,XT!Y147,XT!AC147,XT!AG147))=4)*(CHOOSE({1,2,3,4},XT!X147,XT!AB147,XT!AF147,XT!AJ147)))</f>
        <v>0</v>
      </c>
      <c r="N147" t="str">
        <f>IFERROR(INDEX(CHOOSE({1,2,3,4}, DAY(XT!U147), DAY(XT!Y147), DAY(XT!AC147), DAY(XT!AG147)), MATCH(1, INDEX(--(MONTH(CHOOSE({1,2,3,4}, XT!U147,XT!Y147,XT!AC147,XT!AG147))=4), 0), 0)), "")</f>
        <v/>
      </c>
      <c r="O147" s="51" t="str">
        <f>IF(XT!$P147&gt;0,N147,"")</f>
        <v/>
      </c>
      <c r="P147" s="51" t="str">
        <f>IF(XT!$P147=0,N147,"")</f>
        <v/>
      </c>
      <c r="Q147">
        <f>SUMPRODUCT((MONTH(CHOOSE({1,2,3,4},XT!U147,XT!Y147,XT!AC147,XT!AG147))=5)*(CHOOSE({1,2,3,4},XT!X147,XT!AB147,XT!AF147,XT!AJ147)))</f>
        <v>0</v>
      </c>
      <c r="R147" t="str">
        <f>IFERROR(INDEX(CHOOSE({1,2,3,4}, DAY(XT!U147), DAY(XT!Y147), DAY(XT!AC147), DAY(XT!AG147)), MATCH(1, INDEX(--(MONTH(CHOOSE({1,2,3,4}, XT!U147,XT!Y147,XT!AC147,XT!AG147))=5), 0), 0)), "")</f>
        <v/>
      </c>
      <c r="S147" s="51" t="str">
        <f>IF(XT!$P147&gt;0,R147,"")</f>
        <v/>
      </c>
      <c r="T147" s="51" t="str">
        <f>IF(XT!$P147=0,R147,"")</f>
        <v/>
      </c>
      <c r="U147">
        <f>SUMPRODUCT((MONTH(CHOOSE({1,2,3,4},XT!U147,XT!Y147,XT!AC147,XT!AG147))=6)*(CHOOSE({1,2,3,4},XT!X147,XT!AB147,XT!AF147,XT!AJ147)))</f>
        <v>0</v>
      </c>
      <c r="V147" t="str">
        <f>IFERROR(INDEX(CHOOSE({1,2,3,4}, DAY(XT!U147), DAY(XT!Y147), DAY(XT!AC147), DAY(XT!AG147)), MATCH(1, INDEX(--(MONTH(CHOOSE({1,2,3,4}, XT!U147,XT!Y147,XT!AC147,XT!AG147))=6), 0), 0)), "")</f>
        <v/>
      </c>
      <c r="W147" s="51" t="str">
        <f>IF(XT!$P147&gt;0,V147,"")</f>
        <v/>
      </c>
      <c r="X147" s="51" t="str">
        <f>IF(XT!$P147=0,V147,"")</f>
        <v/>
      </c>
      <c r="Y147">
        <f>SUMPRODUCT((MONTH(CHOOSE({1,2,3,4},XT!U147,XT!Y147,XT!AC147,XT!AG147))=7)*(CHOOSE({1,2,3,4},XT!X147,XT!AB147,XT!AF147,XT!AJ147)))</f>
        <v>0</v>
      </c>
      <c r="Z147" t="str">
        <f>IFERROR(INDEX(CHOOSE({1,2,3,4}, DAY(XT!U147), DAY(XT!Y147), DAY(XT!AC147), DAY(XT!AG147)), MATCH(1, INDEX(--(MONTH(CHOOSE({1,2,3,4}, XT!U147,XT!Y147,XT!AC147,XT!AG147))=7), 0), 0)), "")</f>
        <v/>
      </c>
      <c r="AA147" s="51" t="str">
        <f>IF(XT!$P147&gt;0,Z147,"")</f>
        <v/>
      </c>
      <c r="AB147" s="51" t="str">
        <f>IF(XT!$P147=0,Z147,"")</f>
        <v/>
      </c>
      <c r="AC147">
        <f>SUMPRODUCT((MONTH(CHOOSE({1,2,3,4},XT!U147,XT!Y147,XT!AC147,XT!AG147))=8)*(CHOOSE({1,2,3,4},XT!X147,XT!AB147,XT!AF147,XT!AJ147)))</f>
        <v>0</v>
      </c>
      <c r="AD147" t="str">
        <f>IFERROR(INDEX(CHOOSE({1,2,3,4}, DAY(XT!U147), DAY(XT!Y147), DAY(XT!AC147), DAY(XT!AG147)), MATCH(1, INDEX(--(MONTH(CHOOSE({1,2,3,4}, XT!U147,XT!Y147,XT!AC147,XT!AG147))=8), 0), 0)), "")</f>
        <v/>
      </c>
      <c r="AE147" s="51" t="str">
        <f>IF(XT!$P147&gt;0,AD147,"")</f>
        <v/>
      </c>
      <c r="AF147" s="51" t="str">
        <f>IF(XT!$P147=0,AD147,"")</f>
        <v/>
      </c>
      <c r="AG147">
        <f>SUMPRODUCT((MONTH(CHOOSE({1,2,3,4},XT!U147,XT!Y147,XT!AC147,XT!AG147))=9)*(CHOOSE({1,2,3,4},XT!X147,XT!AB147,XT!AF147,XT!AJ147)))</f>
        <v>0</v>
      </c>
      <c r="AH147" t="str">
        <f>IFERROR(INDEX(CHOOSE({1,2,3,4}, DAY(XT!U147), DAY(XT!Y147), DAY(XT!AC147), DAY(XT!AG147)), MATCH(1, INDEX(--(MONTH(CHOOSE({1,2,3,4}, XT!U147,XT!Y147,XT!AC147,XT!AG147))=9), 0), 0)), "")</f>
        <v/>
      </c>
      <c r="AI147" s="51" t="str">
        <f>IF(XT!$P147&gt;0,AH147,"")</f>
        <v/>
      </c>
      <c r="AJ147" s="51" t="str">
        <f>IF(XT!$P147=0,AH147,"")</f>
        <v/>
      </c>
      <c r="AK147">
        <f>SUMPRODUCT((MONTH(CHOOSE({1,2,3,4},XT!U147,XT!Y147,XT!AC147,XT!AG147))=10)*(CHOOSE({1,2,3,4},XT!X147,XT!AB147,XT!AF147,XT!AJ147)))</f>
        <v>0</v>
      </c>
      <c r="AL147" t="str">
        <f>IFERROR(INDEX(CHOOSE({1,2,3,4}, DAY(XT!U147), DAY(XT!Y147), DAY(XT!AC147), DAY(XT!AG147)), MATCH(1, INDEX(--(MONTH(CHOOSE({1,2,3,4}, XT!U147,XT!Y147,XT!AC147,XT!AG147))=10), 0), 0)), "")</f>
        <v/>
      </c>
      <c r="AM147" s="51" t="str">
        <f>IF(XT!$P147&gt;0,AL147,"")</f>
        <v/>
      </c>
      <c r="AN147" s="51" t="str">
        <f>IF(XT!$P147=0,AL147,"")</f>
        <v/>
      </c>
      <c r="AO147">
        <f>SUMPRODUCT((MONTH(CHOOSE({1,2,3,4},XT!U147,XT!Y147,XT!AC147,XT!AG147))=11)*(CHOOSE({1,2,3,4},XT!X147,XT!AB147,XT!AF147,XT!AJ147)))</f>
        <v>0</v>
      </c>
      <c r="AP147" t="str">
        <f>IFERROR(INDEX(CHOOSE({1,2,3,4}, DAY(XT!U147), DAY(XT!Y147), DAY(XT!AC147), DAY(XT!AG147)), MATCH(1, INDEX(--(MONTH(CHOOSE({1,2,3,4}, XT!U147,XT!Y147,XT!AC147,XT!AG147))=11), 0), 0)), "")</f>
        <v/>
      </c>
      <c r="AQ147" s="51" t="str">
        <f>IF(XT!$P147&gt;0,AP147,"")</f>
        <v/>
      </c>
      <c r="AR147" s="51" t="str">
        <f>IF(XT!$P147=0,AP147,"")</f>
        <v/>
      </c>
      <c r="AS147">
        <f>SUMPRODUCT((MONTH(CHOOSE({1,2,3,4},XT!U147,XT!Y147,XT!AC147,XT!AG147))=12)*(CHOOSE({1,2,3,4},XT!X147,XT!AB147,XT!AF147,XT!AJ147)))</f>
        <v>0</v>
      </c>
      <c r="AT147" t="str">
        <f>IFERROR(INDEX(CHOOSE({1,2,3,4}, DAY(XT!U147), DAY(XT!Y147), DAY(XT!AC147), DAY(XT!AG147)), MATCH(1, INDEX(--(MONTH(CHOOSE({1,2,3,4}, XT!U147,XT!Y147,XT!AC147,XT!AG147))=12), 0), 0)), "")</f>
        <v/>
      </c>
      <c r="AU147" s="51" t="str">
        <f>IF(XT!$P147&gt;0,AT147,"")</f>
        <v/>
      </c>
      <c r="AV147" s="51" t="str">
        <f>IF(XT!$P147=0,AT147,"")</f>
        <v/>
      </c>
    </row>
    <row r="148" spans="1:48">
      <c r="A148">
        <f>SUMPRODUCT((MONTH(CHOOSE({1,2,3,4},XT!U148,XT!Y148,XT!AC148,XT!AG148))=1)*(CHOOSE({1,2,3,4},XT!X148,XT!AB148,XT!AF148,XT!AJ148)))</f>
        <v>0</v>
      </c>
      <c r="B148">
        <f>IFERROR(INDEX(CHOOSE({1,2,3,4}, DAY(XT!U148), DAY(XT!Y148), DAY(XT!AC148), DAY(XT!AG148)), MATCH(1, INDEX(--(MONTH(CHOOSE({1,2,3,4}, XT!U148,XT!Y148,XT!AC148,XT!AG148))=1), 0), 0)), "")</f>
        <v>0</v>
      </c>
      <c r="C148" s="51" t="str">
        <f>IF(XT!$P148&gt;0,B148,"")</f>
        <v/>
      </c>
      <c r="D148" s="51">
        <f>IF(XT!$P148=0,B148,"")</f>
        <v>0</v>
      </c>
      <c r="E148">
        <f>SUMPRODUCT((MONTH(CHOOSE({1,2,3,4},XT!U148,XT!Y148,XT!AC148,XT!AG148))=2)*(CHOOSE({1,2,3,4},XT!X148,XT!AB148,XT!AF148,XT!AJ148)))</f>
        <v>0</v>
      </c>
      <c r="F148" t="str">
        <f>IFERROR(INDEX(CHOOSE({1,2,3,4}, DAY(XT!U148), DAY(XT!Y148), DAY(XT!AC148), DAY(XT!AG148)), MATCH(1, INDEX(--(MONTH(CHOOSE({1,2,3,4}, XT!U148,XT!Y148,XT!AC148,XT!AG148))=2), 0), 0)), "")</f>
        <v/>
      </c>
      <c r="G148" s="51" t="str">
        <f>IF(XT!$P148&gt;0,F148,"")</f>
        <v/>
      </c>
      <c r="H148" s="51" t="str">
        <f>IF(XT!$P148=0,F148,"")</f>
        <v/>
      </c>
      <c r="I148">
        <f>SUMPRODUCT((MONTH(CHOOSE({1,2,3,4},XT!U148,XT!Y148,XT!AC148,XT!AG148))=3)*(CHOOSE({1,2,3,4},XT!X148,XT!AB148,XT!AF148,XT!AJ148)))</f>
        <v>0</v>
      </c>
      <c r="J148" t="str">
        <f>IFERROR(INDEX(CHOOSE({1,2,3,4}, DAY(XT!U148), DAY(XT!Y148), DAY(XT!AC148), DAY(XT!AG148)), MATCH(1, INDEX(--(MONTH(CHOOSE({1,2,3,4}, XT!U148,XT!Y148,XT!AC148,XT!AG148))=3), 0), 0)), "")</f>
        <v/>
      </c>
      <c r="K148" s="51" t="str">
        <f>IF(XT!$P148&gt;0,J148,"")</f>
        <v/>
      </c>
      <c r="L148" s="51" t="str">
        <f>IF(XT!$P148=0,J148,"")</f>
        <v/>
      </c>
      <c r="M148">
        <f>SUMPRODUCT((MONTH(CHOOSE({1,2,3,4},XT!U148,XT!Y148,XT!AC148,XT!AG148))=4)*(CHOOSE({1,2,3,4},XT!X148,XT!AB148,XT!AF148,XT!AJ148)))</f>
        <v>0</v>
      </c>
      <c r="N148" t="str">
        <f>IFERROR(INDEX(CHOOSE({1,2,3,4}, DAY(XT!U148), DAY(XT!Y148), DAY(XT!AC148), DAY(XT!AG148)), MATCH(1, INDEX(--(MONTH(CHOOSE({1,2,3,4}, XT!U148,XT!Y148,XT!AC148,XT!AG148))=4), 0), 0)), "")</f>
        <v/>
      </c>
      <c r="O148" s="51" t="str">
        <f>IF(XT!$P148&gt;0,N148,"")</f>
        <v/>
      </c>
      <c r="P148" s="51" t="str">
        <f>IF(XT!$P148=0,N148,"")</f>
        <v/>
      </c>
      <c r="Q148">
        <f>SUMPRODUCT((MONTH(CHOOSE({1,2,3,4},XT!U148,XT!Y148,XT!AC148,XT!AG148))=5)*(CHOOSE({1,2,3,4},XT!X148,XT!AB148,XT!AF148,XT!AJ148)))</f>
        <v>0</v>
      </c>
      <c r="R148" t="str">
        <f>IFERROR(INDEX(CHOOSE({1,2,3,4}, DAY(XT!U148), DAY(XT!Y148), DAY(XT!AC148), DAY(XT!AG148)), MATCH(1, INDEX(--(MONTH(CHOOSE({1,2,3,4}, XT!U148,XT!Y148,XT!AC148,XT!AG148))=5), 0), 0)), "")</f>
        <v/>
      </c>
      <c r="S148" s="51" t="str">
        <f>IF(XT!$P148&gt;0,R148,"")</f>
        <v/>
      </c>
      <c r="T148" s="51" t="str">
        <f>IF(XT!$P148=0,R148,"")</f>
        <v/>
      </c>
      <c r="U148">
        <f>SUMPRODUCT((MONTH(CHOOSE({1,2,3,4},XT!U148,XT!Y148,XT!AC148,XT!AG148))=6)*(CHOOSE({1,2,3,4},XT!X148,XT!AB148,XT!AF148,XT!AJ148)))</f>
        <v>0</v>
      </c>
      <c r="V148" t="str">
        <f>IFERROR(INDEX(CHOOSE({1,2,3,4}, DAY(XT!U148), DAY(XT!Y148), DAY(XT!AC148), DAY(XT!AG148)), MATCH(1, INDEX(--(MONTH(CHOOSE({1,2,3,4}, XT!U148,XT!Y148,XT!AC148,XT!AG148))=6), 0), 0)), "")</f>
        <v/>
      </c>
      <c r="W148" s="51" t="str">
        <f>IF(XT!$P148&gt;0,V148,"")</f>
        <v/>
      </c>
      <c r="X148" s="51" t="str">
        <f>IF(XT!$P148=0,V148,"")</f>
        <v/>
      </c>
      <c r="Y148">
        <f>SUMPRODUCT((MONTH(CHOOSE({1,2,3,4},XT!U148,XT!Y148,XT!AC148,XT!AG148))=7)*(CHOOSE({1,2,3,4},XT!X148,XT!AB148,XT!AF148,XT!AJ148)))</f>
        <v>0</v>
      </c>
      <c r="Z148" t="str">
        <f>IFERROR(INDEX(CHOOSE({1,2,3,4}, DAY(XT!U148), DAY(XT!Y148), DAY(XT!AC148), DAY(XT!AG148)), MATCH(1, INDEX(--(MONTH(CHOOSE({1,2,3,4}, XT!U148,XT!Y148,XT!AC148,XT!AG148))=7), 0), 0)), "")</f>
        <v/>
      </c>
      <c r="AA148" s="51" t="str">
        <f>IF(XT!$P148&gt;0,Z148,"")</f>
        <v/>
      </c>
      <c r="AB148" s="51" t="str">
        <f>IF(XT!$P148=0,Z148,"")</f>
        <v/>
      </c>
      <c r="AC148">
        <f>SUMPRODUCT((MONTH(CHOOSE({1,2,3,4},XT!U148,XT!Y148,XT!AC148,XT!AG148))=8)*(CHOOSE({1,2,3,4},XT!X148,XT!AB148,XT!AF148,XT!AJ148)))</f>
        <v>0</v>
      </c>
      <c r="AD148" t="str">
        <f>IFERROR(INDEX(CHOOSE({1,2,3,4}, DAY(XT!U148), DAY(XT!Y148), DAY(XT!AC148), DAY(XT!AG148)), MATCH(1, INDEX(--(MONTH(CHOOSE({1,2,3,4}, XT!U148,XT!Y148,XT!AC148,XT!AG148))=8), 0), 0)), "")</f>
        <v/>
      </c>
      <c r="AE148" s="51" t="str">
        <f>IF(XT!$P148&gt;0,AD148,"")</f>
        <v/>
      </c>
      <c r="AF148" s="51" t="str">
        <f>IF(XT!$P148=0,AD148,"")</f>
        <v/>
      </c>
      <c r="AG148">
        <f>SUMPRODUCT((MONTH(CHOOSE({1,2,3,4},XT!U148,XT!Y148,XT!AC148,XT!AG148))=9)*(CHOOSE({1,2,3,4},XT!X148,XT!AB148,XT!AF148,XT!AJ148)))</f>
        <v>0</v>
      </c>
      <c r="AH148" t="str">
        <f>IFERROR(INDEX(CHOOSE({1,2,3,4}, DAY(XT!U148), DAY(XT!Y148), DAY(XT!AC148), DAY(XT!AG148)), MATCH(1, INDEX(--(MONTH(CHOOSE({1,2,3,4}, XT!U148,XT!Y148,XT!AC148,XT!AG148))=9), 0), 0)), "")</f>
        <v/>
      </c>
      <c r="AI148" s="51" t="str">
        <f>IF(XT!$P148&gt;0,AH148,"")</f>
        <v/>
      </c>
      <c r="AJ148" s="51" t="str">
        <f>IF(XT!$P148=0,AH148,"")</f>
        <v/>
      </c>
      <c r="AK148">
        <f>SUMPRODUCT((MONTH(CHOOSE({1,2,3,4},XT!U148,XT!Y148,XT!AC148,XT!AG148))=10)*(CHOOSE({1,2,3,4},XT!X148,XT!AB148,XT!AF148,XT!AJ148)))</f>
        <v>0</v>
      </c>
      <c r="AL148" t="str">
        <f>IFERROR(INDEX(CHOOSE({1,2,3,4}, DAY(XT!U148), DAY(XT!Y148), DAY(XT!AC148), DAY(XT!AG148)), MATCH(1, INDEX(--(MONTH(CHOOSE({1,2,3,4}, XT!U148,XT!Y148,XT!AC148,XT!AG148))=10), 0), 0)), "")</f>
        <v/>
      </c>
      <c r="AM148" s="51" t="str">
        <f>IF(XT!$P148&gt;0,AL148,"")</f>
        <v/>
      </c>
      <c r="AN148" s="51" t="str">
        <f>IF(XT!$P148=0,AL148,"")</f>
        <v/>
      </c>
      <c r="AO148">
        <f>SUMPRODUCT((MONTH(CHOOSE({1,2,3,4},XT!U148,XT!Y148,XT!AC148,XT!AG148))=11)*(CHOOSE({1,2,3,4},XT!X148,XT!AB148,XT!AF148,XT!AJ148)))</f>
        <v>0</v>
      </c>
      <c r="AP148" t="str">
        <f>IFERROR(INDEX(CHOOSE({1,2,3,4}, DAY(XT!U148), DAY(XT!Y148), DAY(XT!AC148), DAY(XT!AG148)), MATCH(1, INDEX(--(MONTH(CHOOSE({1,2,3,4}, XT!U148,XT!Y148,XT!AC148,XT!AG148))=11), 0), 0)), "")</f>
        <v/>
      </c>
      <c r="AQ148" s="51" t="str">
        <f>IF(XT!$P148&gt;0,AP148,"")</f>
        <v/>
      </c>
      <c r="AR148" s="51" t="str">
        <f>IF(XT!$P148=0,AP148,"")</f>
        <v/>
      </c>
      <c r="AS148">
        <f>SUMPRODUCT((MONTH(CHOOSE({1,2,3,4},XT!U148,XT!Y148,XT!AC148,XT!AG148))=12)*(CHOOSE({1,2,3,4},XT!X148,XT!AB148,XT!AF148,XT!AJ148)))</f>
        <v>0</v>
      </c>
      <c r="AT148" t="str">
        <f>IFERROR(INDEX(CHOOSE({1,2,3,4}, DAY(XT!U148), DAY(XT!Y148), DAY(XT!AC148), DAY(XT!AG148)), MATCH(1, INDEX(--(MONTH(CHOOSE({1,2,3,4}, XT!U148,XT!Y148,XT!AC148,XT!AG148))=12), 0), 0)), "")</f>
        <v/>
      </c>
      <c r="AU148" s="51" t="str">
        <f>IF(XT!$P148&gt;0,AT148,"")</f>
        <v/>
      </c>
      <c r="AV148" s="51" t="str">
        <f>IF(XT!$P148=0,AT148,"")</f>
        <v/>
      </c>
    </row>
    <row r="149" spans="1:48">
      <c r="A149">
        <f>SUMPRODUCT((MONTH(CHOOSE({1,2,3,4},XT!U149,XT!Y149,XT!AC149,XT!AG149))=1)*(CHOOSE({1,2,3,4},XT!X149,XT!AB149,XT!AF149,XT!AJ149)))</f>
        <v>0</v>
      </c>
      <c r="B149">
        <f>IFERROR(INDEX(CHOOSE({1,2,3,4}, DAY(XT!U149), DAY(XT!Y149), DAY(XT!AC149), DAY(XT!AG149)), MATCH(1, INDEX(--(MONTH(CHOOSE({1,2,3,4}, XT!U149,XT!Y149,XT!AC149,XT!AG149))=1), 0), 0)), "")</f>
        <v>0</v>
      </c>
      <c r="C149" s="51" t="str">
        <f>IF(XT!$P149&gt;0,B149,"")</f>
        <v/>
      </c>
      <c r="D149" s="51">
        <f>IF(XT!$P149=0,B149,"")</f>
        <v>0</v>
      </c>
      <c r="E149">
        <f>SUMPRODUCT((MONTH(CHOOSE({1,2,3,4},XT!U149,XT!Y149,XT!AC149,XT!AG149))=2)*(CHOOSE({1,2,3,4},XT!X149,XT!AB149,XT!AF149,XT!AJ149)))</f>
        <v>0</v>
      </c>
      <c r="F149" t="str">
        <f>IFERROR(INDEX(CHOOSE({1,2,3,4}, DAY(XT!U149), DAY(XT!Y149), DAY(XT!AC149), DAY(XT!AG149)), MATCH(1, INDEX(--(MONTH(CHOOSE({1,2,3,4}, XT!U149,XT!Y149,XT!AC149,XT!AG149))=2), 0), 0)), "")</f>
        <v/>
      </c>
      <c r="G149" s="51" t="str">
        <f>IF(XT!$P149&gt;0,F149,"")</f>
        <v/>
      </c>
      <c r="H149" s="51" t="str">
        <f>IF(XT!$P149=0,F149,"")</f>
        <v/>
      </c>
      <c r="I149">
        <f>SUMPRODUCT((MONTH(CHOOSE({1,2,3,4},XT!U149,XT!Y149,XT!AC149,XT!AG149))=3)*(CHOOSE({1,2,3,4},XT!X149,XT!AB149,XT!AF149,XT!AJ149)))</f>
        <v>0</v>
      </c>
      <c r="J149" t="str">
        <f>IFERROR(INDEX(CHOOSE({1,2,3,4}, DAY(XT!U149), DAY(XT!Y149), DAY(XT!AC149), DAY(XT!AG149)), MATCH(1, INDEX(--(MONTH(CHOOSE({1,2,3,4}, XT!U149,XT!Y149,XT!AC149,XT!AG149))=3), 0), 0)), "")</f>
        <v/>
      </c>
      <c r="K149" s="51" t="str">
        <f>IF(XT!$P149&gt;0,J149,"")</f>
        <v/>
      </c>
      <c r="L149" s="51" t="str">
        <f>IF(XT!$P149=0,J149,"")</f>
        <v/>
      </c>
      <c r="M149">
        <f>SUMPRODUCT((MONTH(CHOOSE({1,2,3,4},XT!U149,XT!Y149,XT!AC149,XT!AG149))=4)*(CHOOSE({1,2,3,4},XT!X149,XT!AB149,XT!AF149,XT!AJ149)))</f>
        <v>0</v>
      </c>
      <c r="N149" t="str">
        <f>IFERROR(INDEX(CHOOSE({1,2,3,4}, DAY(XT!U149), DAY(XT!Y149), DAY(XT!AC149), DAY(XT!AG149)), MATCH(1, INDEX(--(MONTH(CHOOSE({1,2,3,4}, XT!U149,XT!Y149,XT!AC149,XT!AG149))=4), 0), 0)), "")</f>
        <v/>
      </c>
      <c r="O149" s="51" t="str">
        <f>IF(XT!$P149&gt;0,N149,"")</f>
        <v/>
      </c>
      <c r="P149" s="51" t="str">
        <f>IF(XT!$P149=0,N149,"")</f>
        <v/>
      </c>
      <c r="Q149">
        <f>SUMPRODUCT((MONTH(CHOOSE({1,2,3,4},XT!U149,XT!Y149,XT!AC149,XT!AG149))=5)*(CHOOSE({1,2,3,4},XT!X149,XT!AB149,XT!AF149,XT!AJ149)))</f>
        <v>0</v>
      </c>
      <c r="R149" t="str">
        <f>IFERROR(INDEX(CHOOSE({1,2,3,4}, DAY(XT!U149), DAY(XT!Y149), DAY(XT!AC149), DAY(XT!AG149)), MATCH(1, INDEX(--(MONTH(CHOOSE({1,2,3,4}, XT!U149,XT!Y149,XT!AC149,XT!AG149))=5), 0), 0)), "")</f>
        <v/>
      </c>
      <c r="S149" s="51" t="str">
        <f>IF(XT!$P149&gt;0,R149,"")</f>
        <v/>
      </c>
      <c r="T149" s="51" t="str">
        <f>IF(XT!$P149=0,R149,"")</f>
        <v/>
      </c>
      <c r="U149">
        <f>SUMPRODUCT((MONTH(CHOOSE({1,2,3,4},XT!U149,XT!Y149,XT!AC149,XT!AG149))=6)*(CHOOSE({1,2,3,4},XT!X149,XT!AB149,XT!AF149,XT!AJ149)))</f>
        <v>0</v>
      </c>
      <c r="V149" t="str">
        <f>IFERROR(INDEX(CHOOSE({1,2,3,4}, DAY(XT!U149), DAY(XT!Y149), DAY(XT!AC149), DAY(XT!AG149)), MATCH(1, INDEX(--(MONTH(CHOOSE({1,2,3,4}, XT!U149,XT!Y149,XT!AC149,XT!AG149))=6), 0), 0)), "")</f>
        <v/>
      </c>
      <c r="W149" s="51" t="str">
        <f>IF(XT!$P149&gt;0,V149,"")</f>
        <v/>
      </c>
      <c r="X149" s="51" t="str">
        <f>IF(XT!$P149=0,V149,"")</f>
        <v/>
      </c>
      <c r="Y149">
        <f>SUMPRODUCT((MONTH(CHOOSE({1,2,3,4},XT!U149,XT!Y149,XT!AC149,XT!AG149))=7)*(CHOOSE({1,2,3,4},XT!X149,XT!AB149,XT!AF149,XT!AJ149)))</f>
        <v>0</v>
      </c>
      <c r="Z149" t="str">
        <f>IFERROR(INDEX(CHOOSE({1,2,3,4}, DAY(XT!U149), DAY(XT!Y149), DAY(XT!AC149), DAY(XT!AG149)), MATCH(1, INDEX(--(MONTH(CHOOSE({1,2,3,4}, XT!U149,XT!Y149,XT!AC149,XT!AG149))=7), 0), 0)), "")</f>
        <v/>
      </c>
      <c r="AA149" s="51" t="str">
        <f>IF(XT!$P149&gt;0,Z149,"")</f>
        <v/>
      </c>
      <c r="AB149" s="51" t="str">
        <f>IF(XT!$P149=0,Z149,"")</f>
        <v/>
      </c>
      <c r="AC149">
        <f>SUMPRODUCT((MONTH(CHOOSE({1,2,3,4},XT!U149,XT!Y149,XT!AC149,XT!AG149))=8)*(CHOOSE({1,2,3,4},XT!X149,XT!AB149,XT!AF149,XT!AJ149)))</f>
        <v>0</v>
      </c>
      <c r="AD149" t="str">
        <f>IFERROR(INDEX(CHOOSE({1,2,3,4}, DAY(XT!U149), DAY(XT!Y149), DAY(XT!AC149), DAY(XT!AG149)), MATCH(1, INDEX(--(MONTH(CHOOSE({1,2,3,4}, XT!U149,XT!Y149,XT!AC149,XT!AG149))=8), 0), 0)), "")</f>
        <v/>
      </c>
      <c r="AE149" s="51" t="str">
        <f>IF(XT!$P149&gt;0,AD149,"")</f>
        <v/>
      </c>
      <c r="AF149" s="51" t="str">
        <f>IF(XT!$P149=0,AD149,"")</f>
        <v/>
      </c>
      <c r="AG149">
        <f>SUMPRODUCT((MONTH(CHOOSE({1,2,3,4},XT!U149,XT!Y149,XT!AC149,XT!AG149))=9)*(CHOOSE({1,2,3,4},XT!X149,XT!AB149,XT!AF149,XT!AJ149)))</f>
        <v>0</v>
      </c>
      <c r="AH149" t="str">
        <f>IFERROR(INDEX(CHOOSE({1,2,3,4}, DAY(XT!U149), DAY(XT!Y149), DAY(XT!AC149), DAY(XT!AG149)), MATCH(1, INDEX(--(MONTH(CHOOSE({1,2,3,4}, XT!U149,XT!Y149,XT!AC149,XT!AG149))=9), 0), 0)), "")</f>
        <v/>
      </c>
      <c r="AI149" s="51" t="str">
        <f>IF(XT!$P149&gt;0,AH149,"")</f>
        <v/>
      </c>
      <c r="AJ149" s="51" t="str">
        <f>IF(XT!$P149=0,AH149,"")</f>
        <v/>
      </c>
      <c r="AK149">
        <f>SUMPRODUCT((MONTH(CHOOSE({1,2,3,4},XT!U149,XT!Y149,XT!AC149,XT!AG149))=10)*(CHOOSE({1,2,3,4},XT!X149,XT!AB149,XT!AF149,XT!AJ149)))</f>
        <v>0</v>
      </c>
      <c r="AL149" t="str">
        <f>IFERROR(INDEX(CHOOSE({1,2,3,4}, DAY(XT!U149), DAY(XT!Y149), DAY(XT!AC149), DAY(XT!AG149)), MATCH(1, INDEX(--(MONTH(CHOOSE({1,2,3,4}, XT!U149,XT!Y149,XT!AC149,XT!AG149))=10), 0), 0)), "")</f>
        <v/>
      </c>
      <c r="AM149" s="51" t="str">
        <f>IF(XT!$P149&gt;0,AL149,"")</f>
        <v/>
      </c>
      <c r="AN149" s="51" t="str">
        <f>IF(XT!$P149=0,AL149,"")</f>
        <v/>
      </c>
      <c r="AO149">
        <f>SUMPRODUCT((MONTH(CHOOSE({1,2,3,4},XT!U149,XT!Y149,XT!AC149,XT!AG149))=11)*(CHOOSE({1,2,3,4},XT!X149,XT!AB149,XT!AF149,XT!AJ149)))</f>
        <v>0</v>
      </c>
      <c r="AP149" t="str">
        <f>IFERROR(INDEX(CHOOSE({1,2,3,4}, DAY(XT!U149), DAY(XT!Y149), DAY(XT!AC149), DAY(XT!AG149)), MATCH(1, INDEX(--(MONTH(CHOOSE({1,2,3,4}, XT!U149,XT!Y149,XT!AC149,XT!AG149))=11), 0), 0)), "")</f>
        <v/>
      </c>
      <c r="AQ149" s="51" t="str">
        <f>IF(XT!$P149&gt;0,AP149,"")</f>
        <v/>
      </c>
      <c r="AR149" s="51" t="str">
        <f>IF(XT!$P149=0,AP149,"")</f>
        <v/>
      </c>
      <c r="AS149">
        <f>SUMPRODUCT((MONTH(CHOOSE({1,2,3,4},XT!U149,XT!Y149,XT!AC149,XT!AG149))=12)*(CHOOSE({1,2,3,4},XT!X149,XT!AB149,XT!AF149,XT!AJ149)))</f>
        <v>0</v>
      </c>
      <c r="AT149" t="str">
        <f>IFERROR(INDEX(CHOOSE({1,2,3,4}, DAY(XT!U149), DAY(XT!Y149), DAY(XT!AC149), DAY(XT!AG149)), MATCH(1, INDEX(--(MONTH(CHOOSE({1,2,3,4}, XT!U149,XT!Y149,XT!AC149,XT!AG149))=12), 0), 0)), "")</f>
        <v/>
      </c>
      <c r="AU149" s="51" t="str">
        <f>IF(XT!$P149&gt;0,AT149,"")</f>
        <v/>
      </c>
      <c r="AV149" s="51" t="str">
        <f>IF(XT!$P149=0,AT149,"")</f>
        <v/>
      </c>
    </row>
    <row r="150" spans="1:48">
      <c r="A150">
        <f>SUMPRODUCT((MONTH(CHOOSE({1,2,3,4},XT!U150,XT!Y150,XT!AC150,XT!AG150))=1)*(CHOOSE({1,2,3,4},XT!X150,XT!AB150,XT!AF150,XT!AJ150)))</f>
        <v>0</v>
      </c>
      <c r="B150">
        <f>IFERROR(INDEX(CHOOSE({1,2,3,4}, DAY(XT!U150), DAY(XT!Y150), DAY(XT!AC150), DAY(XT!AG150)), MATCH(1, INDEX(--(MONTH(CHOOSE({1,2,3,4}, XT!U150,XT!Y150,XT!AC150,XT!AG150))=1), 0), 0)), "")</f>
        <v>0</v>
      </c>
      <c r="C150" s="51" t="str">
        <f>IF(XT!$P150&gt;0,B150,"")</f>
        <v/>
      </c>
      <c r="D150" s="51">
        <f>IF(XT!$P150=0,B150,"")</f>
        <v>0</v>
      </c>
      <c r="E150">
        <f>SUMPRODUCT((MONTH(CHOOSE({1,2,3,4},XT!U150,XT!Y150,XT!AC150,XT!AG150))=2)*(CHOOSE({1,2,3,4},XT!X150,XT!AB150,XT!AF150,XT!AJ150)))</f>
        <v>0</v>
      </c>
      <c r="F150" t="str">
        <f>IFERROR(INDEX(CHOOSE({1,2,3,4}, DAY(XT!U150), DAY(XT!Y150), DAY(XT!AC150), DAY(XT!AG150)), MATCH(1, INDEX(--(MONTH(CHOOSE({1,2,3,4}, XT!U150,XT!Y150,XT!AC150,XT!AG150))=2), 0), 0)), "")</f>
        <v/>
      </c>
      <c r="G150" s="51" t="str">
        <f>IF(XT!$P150&gt;0,F150,"")</f>
        <v/>
      </c>
      <c r="H150" s="51" t="str">
        <f>IF(XT!$P150=0,F150,"")</f>
        <v/>
      </c>
      <c r="I150">
        <f>SUMPRODUCT((MONTH(CHOOSE({1,2,3,4},XT!U150,XT!Y150,XT!AC150,XT!AG150))=3)*(CHOOSE({1,2,3,4},XT!X150,XT!AB150,XT!AF150,XT!AJ150)))</f>
        <v>0</v>
      </c>
      <c r="J150" t="str">
        <f>IFERROR(INDEX(CHOOSE({1,2,3,4}, DAY(XT!U150), DAY(XT!Y150), DAY(XT!AC150), DAY(XT!AG150)), MATCH(1, INDEX(--(MONTH(CHOOSE({1,2,3,4}, XT!U150,XT!Y150,XT!AC150,XT!AG150))=3), 0), 0)), "")</f>
        <v/>
      </c>
      <c r="K150" s="51" t="str">
        <f>IF(XT!$P150&gt;0,J150,"")</f>
        <v/>
      </c>
      <c r="L150" s="51" t="str">
        <f>IF(XT!$P150=0,J150,"")</f>
        <v/>
      </c>
      <c r="M150">
        <f>SUMPRODUCT((MONTH(CHOOSE({1,2,3,4},XT!U150,XT!Y150,XT!AC150,XT!AG150))=4)*(CHOOSE({1,2,3,4},XT!X150,XT!AB150,XT!AF150,XT!AJ150)))</f>
        <v>0</v>
      </c>
      <c r="N150" t="str">
        <f>IFERROR(INDEX(CHOOSE({1,2,3,4}, DAY(XT!U150), DAY(XT!Y150), DAY(XT!AC150), DAY(XT!AG150)), MATCH(1, INDEX(--(MONTH(CHOOSE({1,2,3,4}, XT!U150,XT!Y150,XT!AC150,XT!AG150))=4), 0), 0)), "")</f>
        <v/>
      </c>
      <c r="O150" s="51" t="str">
        <f>IF(XT!$P150&gt;0,N150,"")</f>
        <v/>
      </c>
      <c r="P150" s="51" t="str">
        <f>IF(XT!$P150=0,N150,"")</f>
        <v/>
      </c>
      <c r="Q150">
        <f>SUMPRODUCT((MONTH(CHOOSE({1,2,3,4},XT!U150,XT!Y150,XT!AC150,XT!AG150))=5)*(CHOOSE({1,2,3,4},XT!X150,XT!AB150,XT!AF150,XT!AJ150)))</f>
        <v>0</v>
      </c>
      <c r="R150" t="str">
        <f>IFERROR(INDEX(CHOOSE({1,2,3,4}, DAY(XT!U150), DAY(XT!Y150), DAY(XT!AC150), DAY(XT!AG150)), MATCH(1, INDEX(--(MONTH(CHOOSE({1,2,3,4}, XT!U150,XT!Y150,XT!AC150,XT!AG150))=5), 0), 0)), "")</f>
        <v/>
      </c>
      <c r="S150" s="51" t="str">
        <f>IF(XT!$P150&gt;0,R150,"")</f>
        <v/>
      </c>
      <c r="T150" s="51" t="str">
        <f>IF(XT!$P150=0,R150,"")</f>
        <v/>
      </c>
      <c r="U150">
        <f>SUMPRODUCT((MONTH(CHOOSE({1,2,3,4},XT!U150,XT!Y150,XT!AC150,XT!AG150))=6)*(CHOOSE({1,2,3,4},XT!X150,XT!AB150,XT!AF150,XT!AJ150)))</f>
        <v>0</v>
      </c>
      <c r="V150" t="str">
        <f>IFERROR(INDEX(CHOOSE({1,2,3,4}, DAY(XT!U150), DAY(XT!Y150), DAY(XT!AC150), DAY(XT!AG150)), MATCH(1, INDEX(--(MONTH(CHOOSE({1,2,3,4}, XT!U150,XT!Y150,XT!AC150,XT!AG150))=6), 0), 0)), "")</f>
        <v/>
      </c>
      <c r="W150" s="51" t="str">
        <f>IF(XT!$P150&gt;0,V150,"")</f>
        <v/>
      </c>
      <c r="X150" s="51" t="str">
        <f>IF(XT!$P150=0,V150,"")</f>
        <v/>
      </c>
      <c r="Y150">
        <f>SUMPRODUCT((MONTH(CHOOSE({1,2,3,4},XT!U150,XT!Y150,XT!AC150,XT!AG150))=7)*(CHOOSE({1,2,3,4},XT!X150,XT!AB150,XT!AF150,XT!AJ150)))</f>
        <v>0</v>
      </c>
      <c r="Z150" t="str">
        <f>IFERROR(INDEX(CHOOSE({1,2,3,4}, DAY(XT!U150), DAY(XT!Y150), DAY(XT!AC150), DAY(XT!AG150)), MATCH(1, INDEX(--(MONTH(CHOOSE({1,2,3,4}, XT!U150,XT!Y150,XT!AC150,XT!AG150))=7), 0), 0)), "")</f>
        <v/>
      </c>
      <c r="AA150" s="51" t="str">
        <f>IF(XT!$P150&gt;0,Z150,"")</f>
        <v/>
      </c>
      <c r="AB150" s="51" t="str">
        <f>IF(XT!$P150=0,Z150,"")</f>
        <v/>
      </c>
      <c r="AC150">
        <f>SUMPRODUCT((MONTH(CHOOSE({1,2,3,4},XT!U150,XT!Y150,XT!AC150,XT!AG150))=8)*(CHOOSE({1,2,3,4},XT!X150,XT!AB150,XT!AF150,XT!AJ150)))</f>
        <v>0</v>
      </c>
      <c r="AD150" t="str">
        <f>IFERROR(INDEX(CHOOSE({1,2,3,4}, DAY(XT!U150), DAY(XT!Y150), DAY(XT!AC150), DAY(XT!AG150)), MATCH(1, INDEX(--(MONTH(CHOOSE({1,2,3,4}, XT!U150,XT!Y150,XT!AC150,XT!AG150))=8), 0), 0)), "")</f>
        <v/>
      </c>
      <c r="AE150" s="51" t="str">
        <f>IF(XT!$P150&gt;0,AD150,"")</f>
        <v/>
      </c>
      <c r="AF150" s="51" t="str">
        <f>IF(XT!$P150=0,AD150,"")</f>
        <v/>
      </c>
      <c r="AG150">
        <f>SUMPRODUCT((MONTH(CHOOSE({1,2,3,4},XT!U150,XT!Y150,XT!AC150,XT!AG150))=9)*(CHOOSE({1,2,3,4},XT!X150,XT!AB150,XT!AF150,XT!AJ150)))</f>
        <v>0</v>
      </c>
      <c r="AH150" t="str">
        <f>IFERROR(INDEX(CHOOSE({1,2,3,4}, DAY(XT!U150), DAY(XT!Y150), DAY(XT!AC150), DAY(XT!AG150)), MATCH(1, INDEX(--(MONTH(CHOOSE({1,2,3,4}, XT!U150,XT!Y150,XT!AC150,XT!AG150))=9), 0), 0)), "")</f>
        <v/>
      </c>
      <c r="AI150" s="51" t="str">
        <f>IF(XT!$P150&gt;0,AH150,"")</f>
        <v/>
      </c>
      <c r="AJ150" s="51" t="str">
        <f>IF(XT!$P150=0,AH150,"")</f>
        <v/>
      </c>
      <c r="AK150">
        <f>SUMPRODUCT((MONTH(CHOOSE({1,2,3,4},XT!U150,XT!Y150,XT!AC150,XT!AG150))=10)*(CHOOSE({1,2,3,4},XT!X150,XT!AB150,XT!AF150,XT!AJ150)))</f>
        <v>0</v>
      </c>
      <c r="AL150" t="str">
        <f>IFERROR(INDEX(CHOOSE({1,2,3,4}, DAY(XT!U150), DAY(XT!Y150), DAY(XT!AC150), DAY(XT!AG150)), MATCH(1, INDEX(--(MONTH(CHOOSE({1,2,3,4}, XT!U150,XT!Y150,XT!AC150,XT!AG150))=10), 0), 0)), "")</f>
        <v/>
      </c>
      <c r="AM150" s="51" t="str">
        <f>IF(XT!$P150&gt;0,AL150,"")</f>
        <v/>
      </c>
      <c r="AN150" s="51" t="str">
        <f>IF(XT!$P150=0,AL150,"")</f>
        <v/>
      </c>
      <c r="AO150">
        <f>SUMPRODUCT((MONTH(CHOOSE({1,2,3,4},XT!U150,XT!Y150,XT!AC150,XT!AG150))=11)*(CHOOSE({1,2,3,4},XT!X150,XT!AB150,XT!AF150,XT!AJ150)))</f>
        <v>0</v>
      </c>
      <c r="AP150" t="str">
        <f>IFERROR(INDEX(CHOOSE({1,2,3,4}, DAY(XT!U150), DAY(XT!Y150), DAY(XT!AC150), DAY(XT!AG150)), MATCH(1, INDEX(--(MONTH(CHOOSE({1,2,3,4}, XT!U150,XT!Y150,XT!AC150,XT!AG150))=11), 0), 0)), "")</f>
        <v/>
      </c>
      <c r="AQ150" s="51" t="str">
        <f>IF(XT!$P150&gt;0,AP150,"")</f>
        <v/>
      </c>
      <c r="AR150" s="51" t="str">
        <f>IF(XT!$P150=0,AP150,"")</f>
        <v/>
      </c>
      <c r="AS150">
        <f>SUMPRODUCT((MONTH(CHOOSE({1,2,3,4},XT!U150,XT!Y150,XT!AC150,XT!AG150))=12)*(CHOOSE({1,2,3,4},XT!X150,XT!AB150,XT!AF150,XT!AJ150)))</f>
        <v>0</v>
      </c>
      <c r="AT150" t="str">
        <f>IFERROR(INDEX(CHOOSE({1,2,3,4}, DAY(XT!U150), DAY(XT!Y150), DAY(XT!AC150), DAY(XT!AG150)), MATCH(1, INDEX(--(MONTH(CHOOSE({1,2,3,4}, XT!U150,XT!Y150,XT!AC150,XT!AG150))=12), 0), 0)), "")</f>
        <v/>
      </c>
      <c r="AU150" s="51" t="str">
        <f>IF(XT!$P150&gt;0,AT150,"")</f>
        <v/>
      </c>
      <c r="AV150" s="51" t="str">
        <f>IF(XT!$P150=0,AT150,"")</f>
        <v/>
      </c>
    </row>
    <row r="151" spans="1:48">
      <c r="A151">
        <f>SUMPRODUCT((MONTH(CHOOSE({1,2,3,4},XT!U151,XT!Y151,XT!AC151,XT!AG151))=1)*(CHOOSE({1,2,3,4},XT!X151,XT!AB151,XT!AF151,XT!AJ151)))</f>
        <v>0</v>
      </c>
      <c r="B151">
        <f>IFERROR(INDEX(CHOOSE({1,2,3,4}, DAY(XT!U151), DAY(XT!Y151), DAY(XT!AC151), DAY(XT!AG151)), MATCH(1, INDEX(--(MONTH(CHOOSE({1,2,3,4}, XT!U151,XT!Y151,XT!AC151,XT!AG151))=1), 0), 0)), "")</f>
        <v>0</v>
      </c>
      <c r="C151" s="51" t="str">
        <f>IF(XT!$P151&gt;0,B151,"")</f>
        <v/>
      </c>
      <c r="D151" s="51">
        <f>IF(XT!$P151=0,B151,"")</f>
        <v>0</v>
      </c>
      <c r="E151">
        <f>SUMPRODUCT((MONTH(CHOOSE({1,2,3,4},XT!U151,XT!Y151,XT!AC151,XT!AG151))=2)*(CHOOSE({1,2,3,4},XT!X151,XT!AB151,XT!AF151,XT!AJ151)))</f>
        <v>0</v>
      </c>
      <c r="F151" t="str">
        <f>IFERROR(INDEX(CHOOSE({1,2,3,4}, DAY(XT!U151), DAY(XT!Y151), DAY(XT!AC151), DAY(XT!AG151)), MATCH(1, INDEX(--(MONTH(CHOOSE({1,2,3,4}, XT!U151,XT!Y151,XT!AC151,XT!AG151))=2), 0), 0)), "")</f>
        <v/>
      </c>
      <c r="G151" s="51" t="str">
        <f>IF(XT!$P151&gt;0,F151,"")</f>
        <v/>
      </c>
      <c r="H151" s="51" t="str">
        <f>IF(XT!$P151=0,F151,"")</f>
        <v/>
      </c>
      <c r="I151">
        <f>SUMPRODUCT((MONTH(CHOOSE({1,2,3,4},XT!U151,XT!Y151,XT!AC151,XT!AG151))=3)*(CHOOSE({1,2,3,4},XT!X151,XT!AB151,XT!AF151,XT!AJ151)))</f>
        <v>0</v>
      </c>
      <c r="J151" t="str">
        <f>IFERROR(INDEX(CHOOSE({1,2,3,4}, DAY(XT!U151), DAY(XT!Y151), DAY(XT!AC151), DAY(XT!AG151)), MATCH(1, INDEX(--(MONTH(CHOOSE({1,2,3,4}, XT!U151,XT!Y151,XT!AC151,XT!AG151))=3), 0), 0)), "")</f>
        <v/>
      </c>
      <c r="K151" s="51" t="str">
        <f>IF(XT!$P151&gt;0,J151,"")</f>
        <v/>
      </c>
      <c r="L151" s="51" t="str">
        <f>IF(XT!$P151=0,J151,"")</f>
        <v/>
      </c>
      <c r="M151">
        <f>SUMPRODUCT((MONTH(CHOOSE({1,2,3,4},XT!U151,XT!Y151,XT!AC151,XT!AG151))=4)*(CHOOSE({1,2,3,4},XT!X151,XT!AB151,XT!AF151,XT!AJ151)))</f>
        <v>0</v>
      </c>
      <c r="N151" t="str">
        <f>IFERROR(INDEX(CHOOSE({1,2,3,4}, DAY(XT!U151), DAY(XT!Y151), DAY(XT!AC151), DAY(XT!AG151)), MATCH(1, INDEX(--(MONTH(CHOOSE({1,2,3,4}, XT!U151,XT!Y151,XT!AC151,XT!AG151))=4), 0), 0)), "")</f>
        <v/>
      </c>
      <c r="O151" s="51" t="str">
        <f>IF(XT!$P151&gt;0,N151,"")</f>
        <v/>
      </c>
      <c r="P151" s="51" t="str">
        <f>IF(XT!$P151=0,N151,"")</f>
        <v/>
      </c>
      <c r="Q151">
        <f>SUMPRODUCT((MONTH(CHOOSE({1,2,3,4},XT!U151,XT!Y151,XT!AC151,XT!AG151))=5)*(CHOOSE({1,2,3,4},XT!X151,XT!AB151,XT!AF151,XT!AJ151)))</f>
        <v>0</v>
      </c>
      <c r="R151" t="str">
        <f>IFERROR(INDEX(CHOOSE({1,2,3,4}, DAY(XT!U151), DAY(XT!Y151), DAY(XT!AC151), DAY(XT!AG151)), MATCH(1, INDEX(--(MONTH(CHOOSE({1,2,3,4}, XT!U151,XT!Y151,XT!AC151,XT!AG151))=5), 0), 0)), "")</f>
        <v/>
      </c>
      <c r="S151" s="51" t="str">
        <f>IF(XT!$P151&gt;0,R151,"")</f>
        <v/>
      </c>
      <c r="T151" s="51" t="str">
        <f>IF(XT!$P151=0,R151,"")</f>
        <v/>
      </c>
      <c r="U151">
        <f>SUMPRODUCT((MONTH(CHOOSE({1,2,3,4},XT!U151,XT!Y151,XT!AC151,XT!AG151))=6)*(CHOOSE({1,2,3,4},XT!X151,XT!AB151,XT!AF151,XT!AJ151)))</f>
        <v>0</v>
      </c>
      <c r="V151" t="str">
        <f>IFERROR(INDEX(CHOOSE({1,2,3,4}, DAY(XT!U151), DAY(XT!Y151), DAY(XT!AC151), DAY(XT!AG151)), MATCH(1, INDEX(--(MONTH(CHOOSE({1,2,3,4}, XT!U151,XT!Y151,XT!AC151,XT!AG151))=6), 0), 0)), "")</f>
        <v/>
      </c>
      <c r="W151" s="51" t="str">
        <f>IF(XT!$P151&gt;0,V151,"")</f>
        <v/>
      </c>
      <c r="X151" s="51" t="str">
        <f>IF(XT!$P151=0,V151,"")</f>
        <v/>
      </c>
      <c r="Y151">
        <f>SUMPRODUCT((MONTH(CHOOSE({1,2,3,4},XT!U151,XT!Y151,XT!AC151,XT!AG151))=7)*(CHOOSE({1,2,3,4},XT!X151,XT!AB151,XT!AF151,XT!AJ151)))</f>
        <v>0</v>
      </c>
      <c r="Z151" t="str">
        <f>IFERROR(INDEX(CHOOSE({1,2,3,4}, DAY(XT!U151), DAY(XT!Y151), DAY(XT!AC151), DAY(XT!AG151)), MATCH(1, INDEX(--(MONTH(CHOOSE({1,2,3,4}, XT!U151,XT!Y151,XT!AC151,XT!AG151))=7), 0), 0)), "")</f>
        <v/>
      </c>
      <c r="AA151" s="51" t="str">
        <f>IF(XT!$P151&gt;0,Z151,"")</f>
        <v/>
      </c>
      <c r="AB151" s="51" t="str">
        <f>IF(XT!$P151=0,Z151,"")</f>
        <v/>
      </c>
      <c r="AC151">
        <f>SUMPRODUCT((MONTH(CHOOSE({1,2,3,4},XT!U151,XT!Y151,XT!AC151,XT!AG151))=8)*(CHOOSE({1,2,3,4},XT!X151,XT!AB151,XT!AF151,XT!AJ151)))</f>
        <v>0</v>
      </c>
      <c r="AD151" t="str">
        <f>IFERROR(INDEX(CHOOSE({1,2,3,4}, DAY(XT!U151), DAY(XT!Y151), DAY(XT!AC151), DAY(XT!AG151)), MATCH(1, INDEX(--(MONTH(CHOOSE({1,2,3,4}, XT!U151,XT!Y151,XT!AC151,XT!AG151))=8), 0), 0)), "")</f>
        <v/>
      </c>
      <c r="AE151" s="51" t="str">
        <f>IF(XT!$P151&gt;0,AD151,"")</f>
        <v/>
      </c>
      <c r="AF151" s="51" t="str">
        <f>IF(XT!$P151=0,AD151,"")</f>
        <v/>
      </c>
      <c r="AG151">
        <f>SUMPRODUCT((MONTH(CHOOSE({1,2,3,4},XT!U151,XT!Y151,XT!AC151,XT!AG151))=9)*(CHOOSE({1,2,3,4},XT!X151,XT!AB151,XT!AF151,XT!AJ151)))</f>
        <v>0</v>
      </c>
      <c r="AH151" t="str">
        <f>IFERROR(INDEX(CHOOSE({1,2,3,4}, DAY(XT!U151), DAY(XT!Y151), DAY(XT!AC151), DAY(XT!AG151)), MATCH(1, INDEX(--(MONTH(CHOOSE({1,2,3,4}, XT!U151,XT!Y151,XT!AC151,XT!AG151))=9), 0), 0)), "")</f>
        <v/>
      </c>
      <c r="AI151" s="51" t="str">
        <f>IF(XT!$P151&gt;0,AH151,"")</f>
        <v/>
      </c>
      <c r="AJ151" s="51" t="str">
        <f>IF(XT!$P151=0,AH151,"")</f>
        <v/>
      </c>
      <c r="AK151">
        <f>SUMPRODUCT((MONTH(CHOOSE({1,2,3,4},XT!U151,XT!Y151,XT!AC151,XT!AG151))=10)*(CHOOSE({1,2,3,4},XT!X151,XT!AB151,XT!AF151,XT!AJ151)))</f>
        <v>0</v>
      </c>
      <c r="AL151" t="str">
        <f>IFERROR(INDEX(CHOOSE({1,2,3,4}, DAY(XT!U151), DAY(XT!Y151), DAY(XT!AC151), DAY(XT!AG151)), MATCH(1, INDEX(--(MONTH(CHOOSE({1,2,3,4}, XT!U151,XT!Y151,XT!AC151,XT!AG151))=10), 0), 0)), "")</f>
        <v/>
      </c>
      <c r="AM151" s="51" t="str">
        <f>IF(XT!$P151&gt;0,AL151,"")</f>
        <v/>
      </c>
      <c r="AN151" s="51" t="str">
        <f>IF(XT!$P151=0,AL151,"")</f>
        <v/>
      </c>
      <c r="AO151">
        <f>SUMPRODUCT((MONTH(CHOOSE({1,2,3,4},XT!U151,XT!Y151,XT!AC151,XT!AG151))=11)*(CHOOSE({1,2,3,4},XT!X151,XT!AB151,XT!AF151,XT!AJ151)))</f>
        <v>0</v>
      </c>
      <c r="AP151" t="str">
        <f>IFERROR(INDEX(CHOOSE({1,2,3,4}, DAY(XT!U151), DAY(XT!Y151), DAY(XT!AC151), DAY(XT!AG151)), MATCH(1, INDEX(--(MONTH(CHOOSE({1,2,3,4}, XT!U151,XT!Y151,XT!AC151,XT!AG151))=11), 0), 0)), "")</f>
        <v/>
      </c>
      <c r="AQ151" s="51" t="str">
        <f>IF(XT!$P151&gt;0,AP151,"")</f>
        <v/>
      </c>
      <c r="AR151" s="51" t="str">
        <f>IF(XT!$P151=0,AP151,"")</f>
        <v/>
      </c>
      <c r="AS151">
        <f>SUMPRODUCT((MONTH(CHOOSE({1,2,3,4},XT!U151,XT!Y151,XT!AC151,XT!AG151))=12)*(CHOOSE({1,2,3,4},XT!X151,XT!AB151,XT!AF151,XT!AJ151)))</f>
        <v>0</v>
      </c>
      <c r="AT151" t="str">
        <f>IFERROR(INDEX(CHOOSE({1,2,3,4}, DAY(XT!U151), DAY(XT!Y151), DAY(XT!AC151), DAY(XT!AG151)), MATCH(1, INDEX(--(MONTH(CHOOSE({1,2,3,4}, XT!U151,XT!Y151,XT!AC151,XT!AG151))=12), 0), 0)), "")</f>
        <v/>
      </c>
      <c r="AU151" s="51" t="str">
        <f>IF(XT!$P151&gt;0,AT151,"")</f>
        <v/>
      </c>
      <c r="AV151" s="51" t="str">
        <f>IF(XT!$P151=0,AT151,"")</f>
        <v/>
      </c>
    </row>
    <row r="152" spans="1:48">
      <c r="A152">
        <f>SUMPRODUCT((MONTH(CHOOSE({1,2,3,4},XT!U152,XT!Y152,XT!AC152,XT!AG152))=1)*(CHOOSE({1,2,3,4},XT!X152,XT!AB152,XT!AF152,XT!AJ152)))</f>
        <v>0</v>
      </c>
      <c r="B152">
        <f>IFERROR(INDEX(CHOOSE({1,2,3,4}, DAY(XT!U152), DAY(XT!Y152), DAY(XT!AC152), DAY(XT!AG152)), MATCH(1, INDEX(--(MONTH(CHOOSE({1,2,3,4}, XT!U152,XT!Y152,XT!AC152,XT!AG152))=1), 0), 0)), "")</f>
        <v>0</v>
      </c>
      <c r="C152" s="51" t="str">
        <f>IF(XT!$P152&gt;0,B152,"")</f>
        <v/>
      </c>
      <c r="D152" s="51">
        <f>IF(XT!$P152=0,B152,"")</f>
        <v>0</v>
      </c>
      <c r="E152">
        <f>SUMPRODUCT((MONTH(CHOOSE({1,2,3,4},XT!U152,XT!Y152,XT!AC152,XT!AG152))=2)*(CHOOSE({1,2,3,4},XT!X152,XT!AB152,XT!AF152,XT!AJ152)))</f>
        <v>0</v>
      </c>
      <c r="F152" t="str">
        <f>IFERROR(INDEX(CHOOSE({1,2,3,4}, DAY(XT!U152), DAY(XT!Y152), DAY(XT!AC152), DAY(XT!AG152)), MATCH(1, INDEX(--(MONTH(CHOOSE({1,2,3,4}, XT!U152,XT!Y152,XT!AC152,XT!AG152))=2), 0), 0)), "")</f>
        <v/>
      </c>
      <c r="G152" s="51" t="str">
        <f>IF(XT!$P152&gt;0,F152,"")</f>
        <v/>
      </c>
      <c r="H152" s="51" t="str">
        <f>IF(XT!$P152=0,F152,"")</f>
        <v/>
      </c>
      <c r="I152">
        <f>SUMPRODUCT((MONTH(CHOOSE({1,2,3,4},XT!U152,XT!Y152,XT!AC152,XT!AG152))=3)*(CHOOSE({1,2,3,4},XT!X152,XT!AB152,XT!AF152,XT!AJ152)))</f>
        <v>0</v>
      </c>
      <c r="J152" t="str">
        <f>IFERROR(INDEX(CHOOSE({1,2,3,4}, DAY(XT!U152), DAY(XT!Y152), DAY(XT!AC152), DAY(XT!AG152)), MATCH(1, INDEX(--(MONTH(CHOOSE({1,2,3,4}, XT!U152,XT!Y152,XT!AC152,XT!AG152))=3), 0), 0)), "")</f>
        <v/>
      </c>
      <c r="K152" s="51" t="str">
        <f>IF(XT!$P152&gt;0,J152,"")</f>
        <v/>
      </c>
      <c r="L152" s="51" t="str">
        <f>IF(XT!$P152=0,J152,"")</f>
        <v/>
      </c>
      <c r="M152">
        <f>SUMPRODUCT((MONTH(CHOOSE({1,2,3,4},XT!U152,XT!Y152,XT!AC152,XT!AG152))=4)*(CHOOSE({1,2,3,4},XT!X152,XT!AB152,XT!AF152,XT!AJ152)))</f>
        <v>0</v>
      </c>
      <c r="N152" t="str">
        <f>IFERROR(INDEX(CHOOSE({1,2,3,4}, DAY(XT!U152), DAY(XT!Y152), DAY(XT!AC152), DAY(XT!AG152)), MATCH(1, INDEX(--(MONTH(CHOOSE({1,2,3,4}, XT!U152,XT!Y152,XT!AC152,XT!AG152))=4), 0), 0)), "")</f>
        <v/>
      </c>
      <c r="O152" s="51" t="str">
        <f>IF(XT!$P152&gt;0,N152,"")</f>
        <v/>
      </c>
      <c r="P152" s="51" t="str">
        <f>IF(XT!$P152=0,N152,"")</f>
        <v/>
      </c>
      <c r="Q152">
        <f>SUMPRODUCT((MONTH(CHOOSE({1,2,3,4},XT!U152,XT!Y152,XT!AC152,XT!AG152))=5)*(CHOOSE({1,2,3,4},XT!X152,XT!AB152,XT!AF152,XT!AJ152)))</f>
        <v>0</v>
      </c>
      <c r="R152" t="str">
        <f>IFERROR(INDEX(CHOOSE({1,2,3,4}, DAY(XT!U152), DAY(XT!Y152), DAY(XT!AC152), DAY(XT!AG152)), MATCH(1, INDEX(--(MONTH(CHOOSE({1,2,3,4}, XT!U152,XT!Y152,XT!AC152,XT!AG152))=5), 0), 0)), "")</f>
        <v/>
      </c>
      <c r="S152" s="51" t="str">
        <f>IF(XT!$P152&gt;0,R152,"")</f>
        <v/>
      </c>
      <c r="T152" s="51" t="str">
        <f>IF(XT!$P152=0,R152,"")</f>
        <v/>
      </c>
      <c r="U152">
        <f>SUMPRODUCT((MONTH(CHOOSE({1,2,3,4},XT!U152,XT!Y152,XT!AC152,XT!AG152))=6)*(CHOOSE({1,2,3,4},XT!X152,XT!AB152,XT!AF152,XT!AJ152)))</f>
        <v>0</v>
      </c>
      <c r="V152" t="str">
        <f>IFERROR(INDEX(CHOOSE({1,2,3,4}, DAY(XT!U152), DAY(XT!Y152), DAY(XT!AC152), DAY(XT!AG152)), MATCH(1, INDEX(--(MONTH(CHOOSE({1,2,3,4}, XT!U152,XT!Y152,XT!AC152,XT!AG152))=6), 0), 0)), "")</f>
        <v/>
      </c>
      <c r="W152" s="51" t="str">
        <f>IF(XT!$P152&gt;0,V152,"")</f>
        <v/>
      </c>
      <c r="X152" s="51" t="str">
        <f>IF(XT!$P152=0,V152,"")</f>
        <v/>
      </c>
      <c r="Y152">
        <f>SUMPRODUCT((MONTH(CHOOSE({1,2,3,4},XT!U152,XT!Y152,XT!AC152,XT!AG152))=7)*(CHOOSE({1,2,3,4},XT!X152,XT!AB152,XT!AF152,XT!AJ152)))</f>
        <v>0</v>
      </c>
      <c r="Z152" t="str">
        <f>IFERROR(INDEX(CHOOSE({1,2,3,4}, DAY(XT!U152), DAY(XT!Y152), DAY(XT!AC152), DAY(XT!AG152)), MATCH(1, INDEX(--(MONTH(CHOOSE({1,2,3,4}, XT!U152,XT!Y152,XT!AC152,XT!AG152))=7), 0), 0)), "")</f>
        <v/>
      </c>
      <c r="AA152" s="51" t="str">
        <f>IF(XT!$P152&gt;0,Z152,"")</f>
        <v/>
      </c>
      <c r="AB152" s="51" t="str">
        <f>IF(XT!$P152=0,Z152,"")</f>
        <v/>
      </c>
      <c r="AC152">
        <f>SUMPRODUCT((MONTH(CHOOSE({1,2,3,4},XT!U152,XT!Y152,XT!AC152,XT!AG152))=8)*(CHOOSE({1,2,3,4},XT!X152,XT!AB152,XT!AF152,XT!AJ152)))</f>
        <v>0</v>
      </c>
      <c r="AD152" t="str">
        <f>IFERROR(INDEX(CHOOSE({1,2,3,4}, DAY(XT!U152), DAY(XT!Y152), DAY(XT!AC152), DAY(XT!AG152)), MATCH(1, INDEX(--(MONTH(CHOOSE({1,2,3,4}, XT!U152,XT!Y152,XT!AC152,XT!AG152))=8), 0), 0)), "")</f>
        <v/>
      </c>
      <c r="AE152" s="51" t="str">
        <f>IF(XT!$P152&gt;0,AD152,"")</f>
        <v/>
      </c>
      <c r="AF152" s="51" t="str">
        <f>IF(XT!$P152=0,AD152,"")</f>
        <v/>
      </c>
      <c r="AG152">
        <f>SUMPRODUCT((MONTH(CHOOSE({1,2,3,4},XT!U152,XT!Y152,XT!AC152,XT!AG152))=9)*(CHOOSE({1,2,3,4},XT!X152,XT!AB152,XT!AF152,XT!AJ152)))</f>
        <v>0</v>
      </c>
      <c r="AH152" t="str">
        <f>IFERROR(INDEX(CHOOSE({1,2,3,4}, DAY(XT!U152), DAY(XT!Y152), DAY(XT!AC152), DAY(XT!AG152)), MATCH(1, INDEX(--(MONTH(CHOOSE({1,2,3,4}, XT!U152,XT!Y152,XT!AC152,XT!AG152))=9), 0), 0)), "")</f>
        <v/>
      </c>
      <c r="AI152" s="51" t="str">
        <f>IF(XT!$P152&gt;0,AH152,"")</f>
        <v/>
      </c>
      <c r="AJ152" s="51" t="str">
        <f>IF(XT!$P152=0,AH152,"")</f>
        <v/>
      </c>
      <c r="AK152">
        <f>SUMPRODUCT((MONTH(CHOOSE({1,2,3,4},XT!U152,XT!Y152,XT!AC152,XT!AG152))=10)*(CHOOSE({1,2,3,4},XT!X152,XT!AB152,XT!AF152,XT!AJ152)))</f>
        <v>0</v>
      </c>
      <c r="AL152" t="str">
        <f>IFERROR(INDEX(CHOOSE({1,2,3,4}, DAY(XT!U152), DAY(XT!Y152), DAY(XT!AC152), DAY(XT!AG152)), MATCH(1, INDEX(--(MONTH(CHOOSE({1,2,3,4}, XT!U152,XT!Y152,XT!AC152,XT!AG152))=10), 0), 0)), "")</f>
        <v/>
      </c>
      <c r="AM152" s="51" t="str">
        <f>IF(XT!$P152&gt;0,AL152,"")</f>
        <v/>
      </c>
      <c r="AN152" s="51" t="str">
        <f>IF(XT!$P152=0,AL152,"")</f>
        <v/>
      </c>
      <c r="AO152">
        <f>SUMPRODUCT((MONTH(CHOOSE({1,2,3,4},XT!U152,XT!Y152,XT!AC152,XT!AG152))=11)*(CHOOSE({1,2,3,4},XT!X152,XT!AB152,XT!AF152,XT!AJ152)))</f>
        <v>0</v>
      </c>
      <c r="AP152" t="str">
        <f>IFERROR(INDEX(CHOOSE({1,2,3,4}, DAY(XT!U152), DAY(XT!Y152), DAY(XT!AC152), DAY(XT!AG152)), MATCH(1, INDEX(--(MONTH(CHOOSE({1,2,3,4}, XT!U152,XT!Y152,XT!AC152,XT!AG152))=11), 0), 0)), "")</f>
        <v/>
      </c>
      <c r="AQ152" s="51" t="str">
        <f>IF(XT!$P152&gt;0,AP152,"")</f>
        <v/>
      </c>
      <c r="AR152" s="51" t="str">
        <f>IF(XT!$P152=0,AP152,"")</f>
        <v/>
      </c>
      <c r="AS152">
        <f>SUMPRODUCT((MONTH(CHOOSE({1,2,3,4},XT!U152,XT!Y152,XT!AC152,XT!AG152))=12)*(CHOOSE({1,2,3,4},XT!X152,XT!AB152,XT!AF152,XT!AJ152)))</f>
        <v>0</v>
      </c>
      <c r="AT152" t="str">
        <f>IFERROR(INDEX(CHOOSE({1,2,3,4}, DAY(XT!U152), DAY(XT!Y152), DAY(XT!AC152), DAY(XT!AG152)), MATCH(1, INDEX(--(MONTH(CHOOSE({1,2,3,4}, XT!U152,XT!Y152,XT!AC152,XT!AG152))=12), 0), 0)), "")</f>
        <v/>
      </c>
      <c r="AU152" s="51" t="str">
        <f>IF(XT!$P152&gt;0,AT152,"")</f>
        <v/>
      </c>
      <c r="AV152" s="51" t="str">
        <f>IF(XT!$P152=0,AT152,"")</f>
        <v/>
      </c>
    </row>
    <row r="153" spans="1:48">
      <c r="A153">
        <f>SUMPRODUCT((MONTH(CHOOSE({1,2,3,4},XT!U153,XT!Y153,XT!AC153,XT!AG153))=1)*(CHOOSE({1,2,3,4},XT!X153,XT!AB153,XT!AF153,XT!AJ153)))</f>
        <v>0</v>
      </c>
      <c r="B153">
        <f>IFERROR(INDEX(CHOOSE({1,2,3,4}, DAY(XT!U153), DAY(XT!Y153), DAY(XT!AC153), DAY(XT!AG153)), MATCH(1, INDEX(--(MONTH(CHOOSE({1,2,3,4}, XT!U153,XT!Y153,XT!AC153,XT!AG153))=1), 0), 0)), "")</f>
        <v>0</v>
      </c>
      <c r="C153" s="51" t="str">
        <f>IF(XT!$P153&gt;0,B153,"")</f>
        <v/>
      </c>
      <c r="D153" s="51">
        <f>IF(XT!$P153=0,B153,"")</f>
        <v>0</v>
      </c>
      <c r="E153">
        <f>SUMPRODUCT((MONTH(CHOOSE({1,2,3,4},XT!U153,XT!Y153,XT!AC153,XT!AG153))=2)*(CHOOSE({1,2,3,4},XT!X153,XT!AB153,XT!AF153,XT!AJ153)))</f>
        <v>0</v>
      </c>
      <c r="F153" t="str">
        <f>IFERROR(INDEX(CHOOSE({1,2,3,4}, DAY(XT!U153), DAY(XT!Y153), DAY(XT!AC153), DAY(XT!AG153)), MATCH(1, INDEX(--(MONTH(CHOOSE({1,2,3,4}, XT!U153,XT!Y153,XT!AC153,XT!AG153))=2), 0), 0)), "")</f>
        <v/>
      </c>
      <c r="G153" s="51" t="str">
        <f>IF(XT!$P153&gt;0,F153,"")</f>
        <v/>
      </c>
      <c r="H153" s="51" t="str">
        <f>IF(XT!$P153=0,F153,"")</f>
        <v/>
      </c>
      <c r="I153">
        <f>SUMPRODUCT((MONTH(CHOOSE({1,2,3,4},XT!U153,XT!Y153,XT!AC153,XT!AG153))=3)*(CHOOSE({1,2,3,4},XT!X153,XT!AB153,XT!AF153,XT!AJ153)))</f>
        <v>0</v>
      </c>
      <c r="J153" t="str">
        <f>IFERROR(INDEX(CHOOSE({1,2,3,4}, DAY(XT!U153), DAY(XT!Y153), DAY(XT!AC153), DAY(XT!AG153)), MATCH(1, INDEX(--(MONTH(CHOOSE({1,2,3,4}, XT!U153,XT!Y153,XT!AC153,XT!AG153))=3), 0), 0)), "")</f>
        <v/>
      </c>
      <c r="K153" s="51" t="str">
        <f>IF(XT!$P153&gt;0,J153,"")</f>
        <v/>
      </c>
      <c r="L153" s="51" t="str">
        <f>IF(XT!$P153=0,J153,"")</f>
        <v/>
      </c>
      <c r="M153">
        <f>SUMPRODUCT((MONTH(CHOOSE({1,2,3,4},XT!U153,XT!Y153,XT!AC153,XT!AG153))=4)*(CHOOSE({1,2,3,4},XT!X153,XT!AB153,XT!AF153,XT!AJ153)))</f>
        <v>0</v>
      </c>
      <c r="N153" t="str">
        <f>IFERROR(INDEX(CHOOSE({1,2,3,4}, DAY(XT!U153), DAY(XT!Y153), DAY(XT!AC153), DAY(XT!AG153)), MATCH(1, INDEX(--(MONTH(CHOOSE({1,2,3,4}, XT!U153,XT!Y153,XT!AC153,XT!AG153))=4), 0), 0)), "")</f>
        <v/>
      </c>
      <c r="O153" s="51" t="str">
        <f>IF(XT!$P153&gt;0,N153,"")</f>
        <v/>
      </c>
      <c r="P153" s="51" t="str">
        <f>IF(XT!$P153=0,N153,"")</f>
        <v/>
      </c>
      <c r="Q153">
        <f>SUMPRODUCT((MONTH(CHOOSE({1,2,3,4},XT!U153,XT!Y153,XT!AC153,XT!AG153))=5)*(CHOOSE({1,2,3,4},XT!X153,XT!AB153,XT!AF153,XT!AJ153)))</f>
        <v>0</v>
      </c>
      <c r="R153" t="str">
        <f>IFERROR(INDEX(CHOOSE({1,2,3,4}, DAY(XT!U153), DAY(XT!Y153), DAY(XT!AC153), DAY(XT!AG153)), MATCH(1, INDEX(--(MONTH(CHOOSE({1,2,3,4}, XT!U153,XT!Y153,XT!AC153,XT!AG153))=5), 0), 0)), "")</f>
        <v/>
      </c>
      <c r="S153" s="51" t="str">
        <f>IF(XT!$P153&gt;0,R153,"")</f>
        <v/>
      </c>
      <c r="T153" s="51" t="str">
        <f>IF(XT!$P153=0,R153,"")</f>
        <v/>
      </c>
      <c r="U153">
        <f>SUMPRODUCT((MONTH(CHOOSE({1,2,3,4},XT!U153,XT!Y153,XT!AC153,XT!AG153))=6)*(CHOOSE({1,2,3,4},XT!X153,XT!AB153,XT!AF153,XT!AJ153)))</f>
        <v>0</v>
      </c>
      <c r="V153" t="str">
        <f>IFERROR(INDEX(CHOOSE({1,2,3,4}, DAY(XT!U153), DAY(XT!Y153), DAY(XT!AC153), DAY(XT!AG153)), MATCH(1, INDEX(--(MONTH(CHOOSE({1,2,3,4}, XT!U153,XT!Y153,XT!AC153,XT!AG153))=6), 0), 0)), "")</f>
        <v/>
      </c>
      <c r="W153" s="51" t="str">
        <f>IF(XT!$P153&gt;0,V153,"")</f>
        <v/>
      </c>
      <c r="X153" s="51" t="str">
        <f>IF(XT!$P153=0,V153,"")</f>
        <v/>
      </c>
      <c r="Y153">
        <f>SUMPRODUCT((MONTH(CHOOSE({1,2,3,4},XT!U153,XT!Y153,XT!AC153,XT!AG153))=7)*(CHOOSE({1,2,3,4},XT!X153,XT!AB153,XT!AF153,XT!AJ153)))</f>
        <v>0</v>
      </c>
      <c r="Z153" t="str">
        <f>IFERROR(INDEX(CHOOSE({1,2,3,4}, DAY(XT!U153), DAY(XT!Y153), DAY(XT!AC153), DAY(XT!AG153)), MATCH(1, INDEX(--(MONTH(CHOOSE({1,2,3,4}, XT!U153,XT!Y153,XT!AC153,XT!AG153))=7), 0), 0)), "")</f>
        <v/>
      </c>
      <c r="AA153" s="51" t="str">
        <f>IF(XT!$P153&gt;0,Z153,"")</f>
        <v/>
      </c>
      <c r="AB153" s="51" t="str">
        <f>IF(XT!$P153=0,Z153,"")</f>
        <v/>
      </c>
      <c r="AC153">
        <f>SUMPRODUCT((MONTH(CHOOSE({1,2,3,4},XT!U153,XT!Y153,XT!AC153,XT!AG153))=8)*(CHOOSE({1,2,3,4},XT!X153,XT!AB153,XT!AF153,XT!AJ153)))</f>
        <v>0</v>
      </c>
      <c r="AD153" t="str">
        <f>IFERROR(INDEX(CHOOSE({1,2,3,4}, DAY(XT!U153), DAY(XT!Y153), DAY(XT!AC153), DAY(XT!AG153)), MATCH(1, INDEX(--(MONTH(CHOOSE({1,2,3,4}, XT!U153,XT!Y153,XT!AC153,XT!AG153))=8), 0), 0)), "")</f>
        <v/>
      </c>
      <c r="AE153" s="51" t="str">
        <f>IF(XT!$P153&gt;0,AD153,"")</f>
        <v/>
      </c>
      <c r="AF153" s="51" t="str">
        <f>IF(XT!$P153=0,AD153,"")</f>
        <v/>
      </c>
      <c r="AG153">
        <f>SUMPRODUCT((MONTH(CHOOSE({1,2,3,4},XT!U153,XT!Y153,XT!AC153,XT!AG153))=9)*(CHOOSE({1,2,3,4},XT!X153,XT!AB153,XT!AF153,XT!AJ153)))</f>
        <v>0</v>
      </c>
      <c r="AH153" t="str">
        <f>IFERROR(INDEX(CHOOSE({1,2,3,4}, DAY(XT!U153), DAY(XT!Y153), DAY(XT!AC153), DAY(XT!AG153)), MATCH(1, INDEX(--(MONTH(CHOOSE({1,2,3,4}, XT!U153,XT!Y153,XT!AC153,XT!AG153))=9), 0), 0)), "")</f>
        <v/>
      </c>
      <c r="AI153" s="51" t="str">
        <f>IF(XT!$P153&gt;0,AH153,"")</f>
        <v/>
      </c>
      <c r="AJ153" s="51" t="str">
        <f>IF(XT!$P153=0,AH153,"")</f>
        <v/>
      </c>
      <c r="AK153">
        <f>SUMPRODUCT((MONTH(CHOOSE({1,2,3,4},XT!U153,XT!Y153,XT!AC153,XT!AG153))=10)*(CHOOSE({1,2,3,4},XT!X153,XT!AB153,XT!AF153,XT!AJ153)))</f>
        <v>0</v>
      </c>
      <c r="AL153" t="str">
        <f>IFERROR(INDEX(CHOOSE({1,2,3,4}, DAY(XT!U153), DAY(XT!Y153), DAY(XT!AC153), DAY(XT!AG153)), MATCH(1, INDEX(--(MONTH(CHOOSE({1,2,3,4}, XT!U153,XT!Y153,XT!AC153,XT!AG153))=10), 0), 0)), "")</f>
        <v/>
      </c>
      <c r="AM153" s="51" t="str">
        <f>IF(XT!$P153&gt;0,AL153,"")</f>
        <v/>
      </c>
      <c r="AN153" s="51" t="str">
        <f>IF(XT!$P153=0,AL153,"")</f>
        <v/>
      </c>
      <c r="AO153">
        <f>SUMPRODUCT((MONTH(CHOOSE({1,2,3,4},XT!U153,XT!Y153,XT!AC153,XT!AG153))=11)*(CHOOSE({1,2,3,4},XT!X153,XT!AB153,XT!AF153,XT!AJ153)))</f>
        <v>0</v>
      </c>
      <c r="AP153" t="str">
        <f>IFERROR(INDEX(CHOOSE({1,2,3,4}, DAY(XT!U153), DAY(XT!Y153), DAY(XT!AC153), DAY(XT!AG153)), MATCH(1, INDEX(--(MONTH(CHOOSE({1,2,3,4}, XT!U153,XT!Y153,XT!AC153,XT!AG153))=11), 0), 0)), "")</f>
        <v/>
      </c>
      <c r="AQ153" s="51" t="str">
        <f>IF(XT!$P153&gt;0,AP153,"")</f>
        <v/>
      </c>
      <c r="AR153" s="51" t="str">
        <f>IF(XT!$P153=0,AP153,"")</f>
        <v/>
      </c>
      <c r="AS153">
        <f>SUMPRODUCT((MONTH(CHOOSE({1,2,3,4},XT!U153,XT!Y153,XT!AC153,XT!AG153))=12)*(CHOOSE({1,2,3,4},XT!X153,XT!AB153,XT!AF153,XT!AJ153)))</f>
        <v>0</v>
      </c>
      <c r="AT153" t="str">
        <f>IFERROR(INDEX(CHOOSE({1,2,3,4}, DAY(XT!U153), DAY(XT!Y153), DAY(XT!AC153), DAY(XT!AG153)), MATCH(1, INDEX(--(MONTH(CHOOSE({1,2,3,4}, XT!U153,XT!Y153,XT!AC153,XT!AG153))=12), 0), 0)), "")</f>
        <v/>
      </c>
      <c r="AU153" s="51" t="str">
        <f>IF(XT!$P153&gt;0,AT153,"")</f>
        <v/>
      </c>
      <c r="AV153" s="51" t="str">
        <f>IF(XT!$P153=0,AT153,"")</f>
        <v/>
      </c>
    </row>
    <row r="154" spans="1:48">
      <c r="A154">
        <f>SUMPRODUCT((MONTH(CHOOSE({1,2,3,4},XT!U154,XT!Y154,XT!AC154,XT!AG154))=1)*(CHOOSE({1,2,3,4},XT!X154,XT!AB154,XT!AF154,XT!AJ154)))</f>
        <v>0</v>
      </c>
      <c r="B154">
        <f>IFERROR(INDEX(CHOOSE({1,2,3,4}, DAY(XT!U154), DAY(XT!Y154), DAY(XT!AC154), DAY(XT!AG154)), MATCH(1, INDEX(--(MONTH(CHOOSE({1,2,3,4}, XT!U154,XT!Y154,XT!AC154,XT!AG154))=1), 0), 0)), "")</f>
        <v>0</v>
      </c>
      <c r="C154" s="51" t="str">
        <f>IF(XT!$P154&gt;0,B154,"")</f>
        <v/>
      </c>
      <c r="D154" s="51">
        <f>IF(XT!$P154=0,B154,"")</f>
        <v>0</v>
      </c>
      <c r="E154">
        <f>SUMPRODUCT((MONTH(CHOOSE({1,2,3,4},XT!U154,XT!Y154,XT!AC154,XT!AG154))=2)*(CHOOSE({1,2,3,4},XT!X154,XT!AB154,XT!AF154,XT!AJ154)))</f>
        <v>0</v>
      </c>
      <c r="F154" t="str">
        <f>IFERROR(INDEX(CHOOSE({1,2,3,4}, DAY(XT!U154), DAY(XT!Y154), DAY(XT!AC154), DAY(XT!AG154)), MATCH(1, INDEX(--(MONTH(CHOOSE({1,2,3,4}, XT!U154,XT!Y154,XT!AC154,XT!AG154))=2), 0), 0)), "")</f>
        <v/>
      </c>
      <c r="G154" s="51" t="str">
        <f>IF(XT!$P154&gt;0,F154,"")</f>
        <v/>
      </c>
      <c r="H154" s="51" t="str">
        <f>IF(XT!$P154=0,F154,"")</f>
        <v/>
      </c>
      <c r="I154">
        <f>SUMPRODUCT((MONTH(CHOOSE({1,2,3,4},XT!U154,XT!Y154,XT!AC154,XT!AG154))=3)*(CHOOSE({1,2,3,4},XT!X154,XT!AB154,XT!AF154,XT!AJ154)))</f>
        <v>0</v>
      </c>
      <c r="J154" t="str">
        <f>IFERROR(INDEX(CHOOSE({1,2,3,4}, DAY(XT!U154), DAY(XT!Y154), DAY(XT!AC154), DAY(XT!AG154)), MATCH(1, INDEX(--(MONTH(CHOOSE({1,2,3,4}, XT!U154,XT!Y154,XT!AC154,XT!AG154))=3), 0), 0)), "")</f>
        <v/>
      </c>
      <c r="K154" s="51" t="str">
        <f>IF(XT!$P154&gt;0,J154,"")</f>
        <v/>
      </c>
      <c r="L154" s="51" t="str">
        <f>IF(XT!$P154=0,J154,"")</f>
        <v/>
      </c>
      <c r="M154">
        <f>SUMPRODUCT((MONTH(CHOOSE({1,2,3,4},XT!U154,XT!Y154,XT!AC154,XT!AG154))=4)*(CHOOSE({1,2,3,4},XT!X154,XT!AB154,XT!AF154,XT!AJ154)))</f>
        <v>0</v>
      </c>
      <c r="N154" t="str">
        <f>IFERROR(INDEX(CHOOSE({1,2,3,4}, DAY(XT!U154), DAY(XT!Y154), DAY(XT!AC154), DAY(XT!AG154)), MATCH(1, INDEX(--(MONTH(CHOOSE({1,2,3,4}, XT!U154,XT!Y154,XT!AC154,XT!AG154))=4), 0), 0)), "")</f>
        <v/>
      </c>
      <c r="O154" s="51" t="str">
        <f>IF(XT!$P154&gt;0,N154,"")</f>
        <v/>
      </c>
      <c r="P154" s="51" t="str">
        <f>IF(XT!$P154=0,N154,"")</f>
        <v/>
      </c>
      <c r="Q154">
        <f>SUMPRODUCT((MONTH(CHOOSE({1,2,3,4},XT!U154,XT!Y154,XT!AC154,XT!AG154))=5)*(CHOOSE({1,2,3,4},XT!X154,XT!AB154,XT!AF154,XT!AJ154)))</f>
        <v>0</v>
      </c>
      <c r="R154" t="str">
        <f>IFERROR(INDEX(CHOOSE({1,2,3,4}, DAY(XT!U154), DAY(XT!Y154), DAY(XT!AC154), DAY(XT!AG154)), MATCH(1, INDEX(--(MONTH(CHOOSE({1,2,3,4}, XT!U154,XT!Y154,XT!AC154,XT!AG154))=5), 0), 0)), "")</f>
        <v/>
      </c>
      <c r="S154" s="51" t="str">
        <f>IF(XT!$P154&gt;0,R154,"")</f>
        <v/>
      </c>
      <c r="T154" s="51" t="str">
        <f>IF(XT!$P154=0,R154,"")</f>
        <v/>
      </c>
      <c r="U154">
        <f>SUMPRODUCT((MONTH(CHOOSE({1,2,3,4},XT!U154,XT!Y154,XT!AC154,XT!AG154))=6)*(CHOOSE({1,2,3,4},XT!X154,XT!AB154,XT!AF154,XT!AJ154)))</f>
        <v>0</v>
      </c>
      <c r="V154" t="str">
        <f>IFERROR(INDEX(CHOOSE({1,2,3,4}, DAY(XT!U154), DAY(XT!Y154), DAY(XT!AC154), DAY(XT!AG154)), MATCH(1, INDEX(--(MONTH(CHOOSE({1,2,3,4}, XT!U154,XT!Y154,XT!AC154,XT!AG154))=6), 0), 0)), "")</f>
        <v/>
      </c>
      <c r="W154" s="51" t="str">
        <f>IF(XT!$P154&gt;0,V154,"")</f>
        <v/>
      </c>
      <c r="X154" s="51" t="str">
        <f>IF(XT!$P154=0,V154,"")</f>
        <v/>
      </c>
      <c r="Y154">
        <f>SUMPRODUCT((MONTH(CHOOSE({1,2,3,4},XT!U154,XT!Y154,XT!AC154,XT!AG154))=7)*(CHOOSE({1,2,3,4},XT!X154,XT!AB154,XT!AF154,XT!AJ154)))</f>
        <v>0</v>
      </c>
      <c r="Z154" t="str">
        <f>IFERROR(INDEX(CHOOSE({1,2,3,4}, DAY(XT!U154), DAY(XT!Y154), DAY(XT!AC154), DAY(XT!AG154)), MATCH(1, INDEX(--(MONTH(CHOOSE({1,2,3,4}, XT!U154,XT!Y154,XT!AC154,XT!AG154))=7), 0), 0)), "")</f>
        <v/>
      </c>
      <c r="AA154" s="51" t="str">
        <f>IF(XT!$P154&gt;0,Z154,"")</f>
        <v/>
      </c>
      <c r="AB154" s="51" t="str">
        <f>IF(XT!$P154=0,Z154,"")</f>
        <v/>
      </c>
      <c r="AC154">
        <f>SUMPRODUCT((MONTH(CHOOSE({1,2,3,4},XT!U154,XT!Y154,XT!AC154,XT!AG154))=8)*(CHOOSE({1,2,3,4},XT!X154,XT!AB154,XT!AF154,XT!AJ154)))</f>
        <v>0</v>
      </c>
      <c r="AD154" t="str">
        <f>IFERROR(INDEX(CHOOSE({1,2,3,4}, DAY(XT!U154), DAY(XT!Y154), DAY(XT!AC154), DAY(XT!AG154)), MATCH(1, INDEX(--(MONTH(CHOOSE({1,2,3,4}, XT!U154,XT!Y154,XT!AC154,XT!AG154))=8), 0), 0)), "")</f>
        <v/>
      </c>
      <c r="AE154" s="51" t="str">
        <f>IF(XT!$P154&gt;0,AD154,"")</f>
        <v/>
      </c>
      <c r="AF154" s="51" t="str">
        <f>IF(XT!$P154=0,AD154,"")</f>
        <v/>
      </c>
      <c r="AG154">
        <f>SUMPRODUCT((MONTH(CHOOSE({1,2,3,4},XT!U154,XT!Y154,XT!AC154,XT!AG154))=9)*(CHOOSE({1,2,3,4},XT!X154,XT!AB154,XT!AF154,XT!AJ154)))</f>
        <v>0</v>
      </c>
      <c r="AH154" t="str">
        <f>IFERROR(INDEX(CHOOSE({1,2,3,4}, DAY(XT!U154), DAY(XT!Y154), DAY(XT!AC154), DAY(XT!AG154)), MATCH(1, INDEX(--(MONTH(CHOOSE({1,2,3,4}, XT!U154,XT!Y154,XT!AC154,XT!AG154))=9), 0), 0)), "")</f>
        <v/>
      </c>
      <c r="AI154" s="51" t="str">
        <f>IF(XT!$P154&gt;0,AH154,"")</f>
        <v/>
      </c>
      <c r="AJ154" s="51" t="str">
        <f>IF(XT!$P154=0,AH154,"")</f>
        <v/>
      </c>
      <c r="AK154">
        <f>SUMPRODUCT((MONTH(CHOOSE({1,2,3,4},XT!U154,XT!Y154,XT!AC154,XT!AG154))=10)*(CHOOSE({1,2,3,4},XT!X154,XT!AB154,XT!AF154,XT!AJ154)))</f>
        <v>0</v>
      </c>
      <c r="AL154" t="str">
        <f>IFERROR(INDEX(CHOOSE({1,2,3,4}, DAY(XT!U154), DAY(XT!Y154), DAY(XT!AC154), DAY(XT!AG154)), MATCH(1, INDEX(--(MONTH(CHOOSE({1,2,3,4}, XT!U154,XT!Y154,XT!AC154,XT!AG154))=10), 0), 0)), "")</f>
        <v/>
      </c>
      <c r="AM154" s="51" t="str">
        <f>IF(XT!$P154&gt;0,AL154,"")</f>
        <v/>
      </c>
      <c r="AN154" s="51" t="str">
        <f>IF(XT!$P154=0,AL154,"")</f>
        <v/>
      </c>
      <c r="AO154">
        <f>SUMPRODUCT((MONTH(CHOOSE({1,2,3,4},XT!U154,XT!Y154,XT!AC154,XT!AG154))=11)*(CHOOSE({1,2,3,4},XT!X154,XT!AB154,XT!AF154,XT!AJ154)))</f>
        <v>0</v>
      </c>
      <c r="AP154" t="str">
        <f>IFERROR(INDEX(CHOOSE({1,2,3,4}, DAY(XT!U154), DAY(XT!Y154), DAY(XT!AC154), DAY(XT!AG154)), MATCH(1, INDEX(--(MONTH(CHOOSE({1,2,3,4}, XT!U154,XT!Y154,XT!AC154,XT!AG154))=11), 0), 0)), "")</f>
        <v/>
      </c>
      <c r="AQ154" s="51" t="str">
        <f>IF(XT!$P154&gt;0,AP154,"")</f>
        <v/>
      </c>
      <c r="AR154" s="51" t="str">
        <f>IF(XT!$P154=0,AP154,"")</f>
        <v/>
      </c>
      <c r="AS154">
        <f>SUMPRODUCT((MONTH(CHOOSE({1,2,3,4},XT!U154,XT!Y154,XT!AC154,XT!AG154))=12)*(CHOOSE({1,2,3,4},XT!X154,XT!AB154,XT!AF154,XT!AJ154)))</f>
        <v>0</v>
      </c>
      <c r="AT154" t="str">
        <f>IFERROR(INDEX(CHOOSE({1,2,3,4}, DAY(XT!U154), DAY(XT!Y154), DAY(XT!AC154), DAY(XT!AG154)), MATCH(1, INDEX(--(MONTH(CHOOSE({1,2,3,4}, XT!U154,XT!Y154,XT!AC154,XT!AG154))=12), 0), 0)), "")</f>
        <v/>
      </c>
      <c r="AU154" s="51" t="str">
        <f>IF(XT!$P154&gt;0,AT154,"")</f>
        <v/>
      </c>
      <c r="AV154" s="51" t="str">
        <f>IF(XT!$P154=0,AT154,"")</f>
        <v/>
      </c>
    </row>
    <row r="155" spans="1:48">
      <c r="A155">
        <f>SUMPRODUCT((MONTH(CHOOSE({1,2,3,4},XT!U155,XT!Y155,XT!AC155,XT!AG155))=1)*(CHOOSE({1,2,3,4},XT!X155,XT!AB155,XT!AF155,XT!AJ155)))</f>
        <v>0</v>
      </c>
      <c r="B155">
        <f>IFERROR(INDEX(CHOOSE({1,2,3,4}, DAY(XT!U155), DAY(XT!Y155), DAY(XT!AC155), DAY(XT!AG155)), MATCH(1, INDEX(--(MONTH(CHOOSE({1,2,3,4}, XT!U155,XT!Y155,XT!AC155,XT!AG155))=1), 0), 0)), "")</f>
        <v>0</v>
      </c>
      <c r="C155" s="51" t="str">
        <f>IF(XT!$P155&gt;0,B155,"")</f>
        <v/>
      </c>
      <c r="D155" s="51">
        <f>IF(XT!$P155=0,B155,"")</f>
        <v>0</v>
      </c>
      <c r="E155">
        <f>SUMPRODUCT((MONTH(CHOOSE({1,2,3,4},XT!U155,XT!Y155,XT!AC155,XT!AG155))=2)*(CHOOSE({1,2,3,4},XT!X155,XT!AB155,XT!AF155,XT!AJ155)))</f>
        <v>0</v>
      </c>
      <c r="F155" t="str">
        <f>IFERROR(INDEX(CHOOSE({1,2,3,4}, DAY(XT!U155), DAY(XT!Y155), DAY(XT!AC155), DAY(XT!AG155)), MATCH(1, INDEX(--(MONTH(CHOOSE({1,2,3,4}, XT!U155,XT!Y155,XT!AC155,XT!AG155))=2), 0), 0)), "")</f>
        <v/>
      </c>
      <c r="G155" s="51" t="str">
        <f>IF(XT!$P155&gt;0,F155,"")</f>
        <v/>
      </c>
      <c r="H155" s="51" t="str">
        <f>IF(XT!$P155=0,F155,"")</f>
        <v/>
      </c>
      <c r="I155">
        <f>SUMPRODUCT((MONTH(CHOOSE({1,2,3,4},XT!U155,XT!Y155,XT!AC155,XT!AG155))=3)*(CHOOSE({1,2,3,4},XT!X155,XT!AB155,XT!AF155,XT!AJ155)))</f>
        <v>0</v>
      </c>
      <c r="J155" t="str">
        <f>IFERROR(INDEX(CHOOSE({1,2,3,4}, DAY(XT!U155), DAY(XT!Y155), DAY(XT!AC155), DAY(XT!AG155)), MATCH(1, INDEX(--(MONTH(CHOOSE({1,2,3,4}, XT!U155,XT!Y155,XT!AC155,XT!AG155))=3), 0), 0)), "")</f>
        <v/>
      </c>
      <c r="K155" s="51" t="str">
        <f>IF(XT!$P155&gt;0,J155,"")</f>
        <v/>
      </c>
      <c r="L155" s="51" t="str">
        <f>IF(XT!$P155=0,J155,"")</f>
        <v/>
      </c>
      <c r="M155">
        <f>SUMPRODUCT((MONTH(CHOOSE({1,2,3,4},XT!U155,XT!Y155,XT!AC155,XT!AG155))=4)*(CHOOSE({1,2,3,4},XT!X155,XT!AB155,XT!AF155,XT!AJ155)))</f>
        <v>0</v>
      </c>
      <c r="N155" t="str">
        <f>IFERROR(INDEX(CHOOSE({1,2,3,4}, DAY(XT!U155), DAY(XT!Y155), DAY(XT!AC155), DAY(XT!AG155)), MATCH(1, INDEX(--(MONTH(CHOOSE({1,2,3,4}, XT!U155,XT!Y155,XT!AC155,XT!AG155))=4), 0), 0)), "")</f>
        <v/>
      </c>
      <c r="O155" s="51" t="str">
        <f>IF(XT!$P155&gt;0,N155,"")</f>
        <v/>
      </c>
      <c r="P155" s="51" t="str">
        <f>IF(XT!$P155=0,N155,"")</f>
        <v/>
      </c>
      <c r="Q155">
        <f>SUMPRODUCT((MONTH(CHOOSE({1,2,3,4},XT!U155,XT!Y155,XT!AC155,XT!AG155))=5)*(CHOOSE({1,2,3,4},XT!X155,XT!AB155,XT!AF155,XT!AJ155)))</f>
        <v>0</v>
      </c>
      <c r="R155" t="str">
        <f>IFERROR(INDEX(CHOOSE({1,2,3,4}, DAY(XT!U155), DAY(XT!Y155), DAY(XT!AC155), DAY(XT!AG155)), MATCH(1, INDEX(--(MONTH(CHOOSE({1,2,3,4}, XT!U155,XT!Y155,XT!AC155,XT!AG155))=5), 0), 0)), "")</f>
        <v/>
      </c>
      <c r="S155" s="51" t="str">
        <f>IF(XT!$P155&gt;0,R155,"")</f>
        <v/>
      </c>
      <c r="T155" s="51" t="str">
        <f>IF(XT!$P155=0,R155,"")</f>
        <v/>
      </c>
      <c r="U155">
        <f>SUMPRODUCT((MONTH(CHOOSE({1,2,3,4},XT!U155,XT!Y155,XT!AC155,XT!AG155))=6)*(CHOOSE({1,2,3,4},XT!X155,XT!AB155,XT!AF155,XT!AJ155)))</f>
        <v>0</v>
      </c>
      <c r="V155" t="str">
        <f>IFERROR(INDEX(CHOOSE({1,2,3,4}, DAY(XT!U155), DAY(XT!Y155), DAY(XT!AC155), DAY(XT!AG155)), MATCH(1, INDEX(--(MONTH(CHOOSE({1,2,3,4}, XT!U155,XT!Y155,XT!AC155,XT!AG155))=6), 0), 0)), "")</f>
        <v/>
      </c>
      <c r="W155" s="51" t="str">
        <f>IF(XT!$P155&gt;0,V155,"")</f>
        <v/>
      </c>
      <c r="X155" s="51" t="str">
        <f>IF(XT!$P155=0,V155,"")</f>
        <v/>
      </c>
      <c r="Y155">
        <f>SUMPRODUCT((MONTH(CHOOSE({1,2,3,4},XT!U155,XT!Y155,XT!AC155,XT!AG155))=7)*(CHOOSE({1,2,3,4},XT!X155,XT!AB155,XT!AF155,XT!AJ155)))</f>
        <v>0</v>
      </c>
      <c r="Z155" t="str">
        <f>IFERROR(INDEX(CHOOSE({1,2,3,4}, DAY(XT!U155), DAY(XT!Y155), DAY(XT!AC155), DAY(XT!AG155)), MATCH(1, INDEX(--(MONTH(CHOOSE({1,2,3,4}, XT!U155,XT!Y155,XT!AC155,XT!AG155))=7), 0), 0)), "")</f>
        <v/>
      </c>
      <c r="AA155" s="51" t="str">
        <f>IF(XT!$P155&gt;0,Z155,"")</f>
        <v/>
      </c>
      <c r="AB155" s="51" t="str">
        <f>IF(XT!$P155=0,Z155,"")</f>
        <v/>
      </c>
      <c r="AC155">
        <f>SUMPRODUCT((MONTH(CHOOSE({1,2,3,4},XT!U155,XT!Y155,XT!AC155,XT!AG155))=8)*(CHOOSE({1,2,3,4},XT!X155,XT!AB155,XT!AF155,XT!AJ155)))</f>
        <v>0</v>
      </c>
      <c r="AD155" t="str">
        <f>IFERROR(INDEX(CHOOSE({1,2,3,4}, DAY(XT!U155), DAY(XT!Y155), DAY(XT!AC155), DAY(XT!AG155)), MATCH(1, INDEX(--(MONTH(CHOOSE({1,2,3,4}, XT!U155,XT!Y155,XT!AC155,XT!AG155))=8), 0), 0)), "")</f>
        <v/>
      </c>
      <c r="AE155" s="51" t="str">
        <f>IF(XT!$P155&gt;0,AD155,"")</f>
        <v/>
      </c>
      <c r="AF155" s="51" t="str">
        <f>IF(XT!$P155=0,AD155,"")</f>
        <v/>
      </c>
      <c r="AG155">
        <f>SUMPRODUCT((MONTH(CHOOSE({1,2,3,4},XT!U155,XT!Y155,XT!AC155,XT!AG155))=9)*(CHOOSE({1,2,3,4},XT!X155,XT!AB155,XT!AF155,XT!AJ155)))</f>
        <v>0</v>
      </c>
      <c r="AH155" t="str">
        <f>IFERROR(INDEX(CHOOSE({1,2,3,4}, DAY(XT!U155), DAY(XT!Y155), DAY(XT!AC155), DAY(XT!AG155)), MATCH(1, INDEX(--(MONTH(CHOOSE({1,2,3,4}, XT!U155,XT!Y155,XT!AC155,XT!AG155))=9), 0), 0)), "")</f>
        <v/>
      </c>
      <c r="AI155" s="51" t="str">
        <f>IF(XT!$P155&gt;0,AH155,"")</f>
        <v/>
      </c>
      <c r="AJ155" s="51" t="str">
        <f>IF(XT!$P155=0,AH155,"")</f>
        <v/>
      </c>
      <c r="AK155">
        <f>SUMPRODUCT((MONTH(CHOOSE({1,2,3,4},XT!U155,XT!Y155,XT!AC155,XT!AG155))=10)*(CHOOSE({1,2,3,4},XT!X155,XT!AB155,XT!AF155,XT!AJ155)))</f>
        <v>0</v>
      </c>
      <c r="AL155" t="str">
        <f>IFERROR(INDEX(CHOOSE({1,2,3,4}, DAY(XT!U155), DAY(XT!Y155), DAY(XT!AC155), DAY(XT!AG155)), MATCH(1, INDEX(--(MONTH(CHOOSE({1,2,3,4}, XT!U155,XT!Y155,XT!AC155,XT!AG155))=10), 0), 0)), "")</f>
        <v/>
      </c>
      <c r="AM155" s="51" t="str">
        <f>IF(XT!$P155&gt;0,AL155,"")</f>
        <v/>
      </c>
      <c r="AN155" s="51" t="str">
        <f>IF(XT!$P155=0,AL155,"")</f>
        <v/>
      </c>
      <c r="AO155">
        <f>SUMPRODUCT((MONTH(CHOOSE({1,2,3,4},XT!U155,XT!Y155,XT!AC155,XT!AG155))=11)*(CHOOSE({1,2,3,4},XT!X155,XT!AB155,XT!AF155,XT!AJ155)))</f>
        <v>0</v>
      </c>
      <c r="AP155" t="str">
        <f>IFERROR(INDEX(CHOOSE({1,2,3,4}, DAY(XT!U155), DAY(XT!Y155), DAY(XT!AC155), DAY(XT!AG155)), MATCH(1, INDEX(--(MONTH(CHOOSE({1,2,3,4}, XT!U155,XT!Y155,XT!AC155,XT!AG155))=11), 0), 0)), "")</f>
        <v/>
      </c>
      <c r="AQ155" s="51" t="str">
        <f>IF(XT!$P155&gt;0,AP155,"")</f>
        <v/>
      </c>
      <c r="AR155" s="51" t="str">
        <f>IF(XT!$P155=0,AP155,"")</f>
        <v/>
      </c>
      <c r="AS155">
        <f>SUMPRODUCT((MONTH(CHOOSE({1,2,3,4},XT!U155,XT!Y155,XT!AC155,XT!AG155))=12)*(CHOOSE({1,2,3,4},XT!X155,XT!AB155,XT!AF155,XT!AJ155)))</f>
        <v>0</v>
      </c>
      <c r="AT155" t="str">
        <f>IFERROR(INDEX(CHOOSE({1,2,3,4}, DAY(XT!U155), DAY(XT!Y155), DAY(XT!AC155), DAY(XT!AG155)), MATCH(1, INDEX(--(MONTH(CHOOSE({1,2,3,4}, XT!U155,XT!Y155,XT!AC155,XT!AG155))=12), 0), 0)), "")</f>
        <v/>
      </c>
      <c r="AU155" s="51" t="str">
        <f>IF(XT!$P155&gt;0,AT155,"")</f>
        <v/>
      </c>
      <c r="AV155" s="51" t="str">
        <f>IF(XT!$P155=0,AT155,"")</f>
        <v/>
      </c>
    </row>
    <row r="156" spans="1:48">
      <c r="A156">
        <f>SUMPRODUCT((MONTH(CHOOSE({1,2,3,4},XT!U156,XT!Y156,XT!AC156,XT!AG156))=1)*(CHOOSE({1,2,3,4},XT!X156,XT!AB156,XT!AF156,XT!AJ156)))</f>
        <v>0</v>
      </c>
      <c r="B156">
        <f>IFERROR(INDEX(CHOOSE({1,2,3,4}, DAY(XT!U156), DAY(XT!Y156), DAY(XT!AC156), DAY(XT!AG156)), MATCH(1, INDEX(--(MONTH(CHOOSE({1,2,3,4}, XT!U156,XT!Y156,XT!AC156,XT!AG156))=1), 0), 0)), "")</f>
        <v>0</v>
      </c>
      <c r="C156" s="51" t="str">
        <f>IF(XT!$P156&gt;0,B156,"")</f>
        <v/>
      </c>
      <c r="D156" s="51">
        <f>IF(XT!$P156=0,B156,"")</f>
        <v>0</v>
      </c>
      <c r="E156">
        <f>SUMPRODUCT((MONTH(CHOOSE({1,2,3,4},XT!U156,XT!Y156,XT!AC156,XT!AG156))=2)*(CHOOSE({1,2,3,4},XT!X156,XT!AB156,XT!AF156,XT!AJ156)))</f>
        <v>0</v>
      </c>
      <c r="F156" t="str">
        <f>IFERROR(INDEX(CHOOSE({1,2,3,4}, DAY(XT!U156), DAY(XT!Y156), DAY(XT!AC156), DAY(XT!AG156)), MATCH(1, INDEX(--(MONTH(CHOOSE({1,2,3,4}, XT!U156,XT!Y156,XT!AC156,XT!AG156))=2), 0), 0)), "")</f>
        <v/>
      </c>
      <c r="G156" s="51" t="str">
        <f>IF(XT!$P156&gt;0,F156,"")</f>
        <v/>
      </c>
      <c r="H156" s="51" t="str">
        <f>IF(XT!$P156=0,F156,"")</f>
        <v/>
      </c>
      <c r="I156">
        <f>SUMPRODUCT((MONTH(CHOOSE({1,2,3,4},XT!U156,XT!Y156,XT!AC156,XT!AG156))=3)*(CHOOSE({1,2,3,4},XT!X156,XT!AB156,XT!AF156,XT!AJ156)))</f>
        <v>0</v>
      </c>
      <c r="J156" t="str">
        <f>IFERROR(INDEX(CHOOSE({1,2,3,4}, DAY(XT!U156), DAY(XT!Y156), DAY(XT!AC156), DAY(XT!AG156)), MATCH(1, INDEX(--(MONTH(CHOOSE({1,2,3,4}, XT!U156,XT!Y156,XT!AC156,XT!AG156))=3), 0), 0)), "")</f>
        <v/>
      </c>
      <c r="K156" s="51" t="str">
        <f>IF(XT!$P156&gt;0,J156,"")</f>
        <v/>
      </c>
      <c r="L156" s="51" t="str">
        <f>IF(XT!$P156=0,J156,"")</f>
        <v/>
      </c>
      <c r="M156">
        <f>SUMPRODUCT((MONTH(CHOOSE({1,2,3,4},XT!U156,XT!Y156,XT!AC156,XT!AG156))=4)*(CHOOSE({1,2,3,4},XT!X156,XT!AB156,XT!AF156,XT!AJ156)))</f>
        <v>0</v>
      </c>
      <c r="N156" t="str">
        <f>IFERROR(INDEX(CHOOSE({1,2,3,4}, DAY(XT!U156), DAY(XT!Y156), DAY(XT!AC156), DAY(XT!AG156)), MATCH(1, INDEX(--(MONTH(CHOOSE({1,2,3,4}, XT!U156,XT!Y156,XT!AC156,XT!AG156))=4), 0), 0)), "")</f>
        <v/>
      </c>
      <c r="O156" s="51" t="str">
        <f>IF(XT!$P156&gt;0,N156,"")</f>
        <v/>
      </c>
      <c r="P156" s="51" t="str">
        <f>IF(XT!$P156=0,N156,"")</f>
        <v/>
      </c>
      <c r="Q156">
        <f>SUMPRODUCT((MONTH(CHOOSE({1,2,3,4},XT!U156,XT!Y156,XT!AC156,XT!AG156))=5)*(CHOOSE({1,2,3,4},XT!X156,XT!AB156,XT!AF156,XT!AJ156)))</f>
        <v>0</v>
      </c>
      <c r="R156" t="str">
        <f>IFERROR(INDEX(CHOOSE({1,2,3,4}, DAY(XT!U156), DAY(XT!Y156), DAY(XT!AC156), DAY(XT!AG156)), MATCH(1, INDEX(--(MONTH(CHOOSE({1,2,3,4}, XT!U156,XT!Y156,XT!AC156,XT!AG156))=5), 0), 0)), "")</f>
        <v/>
      </c>
      <c r="S156" s="51" t="str">
        <f>IF(XT!$P156&gt;0,R156,"")</f>
        <v/>
      </c>
      <c r="T156" s="51" t="str">
        <f>IF(XT!$P156=0,R156,"")</f>
        <v/>
      </c>
      <c r="U156">
        <f>SUMPRODUCT((MONTH(CHOOSE({1,2,3,4},XT!U156,XT!Y156,XT!AC156,XT!AG156))=6)*(CHOOSE({1,2,3,4},XT!X156,XT!AB156,XT!AF156,XT!AJ156)))</f>
        <v>0</v>
      </c>
      <c r="V156" t="str">
        <f>IFERROR(INDEX(CHOOSE({1,2,3,4}, DAY(XT!U156), DAY(XT!Y156), DAY(XT!AC156), DAY(XT!AG156)), MATCH(1, INDEX(--(MONTH(CHOOSE({1,2,3,4}, XT!U156,XT!Y156,XT!AC156,XT!AG156))=6), 0), 0)), "")</f>
        <v/>
      </c>
      <c r="W156" s="51" t="str">
        <f>IF(XT!$P156&gt;0,V156,"")</f>
        <v/>
      </c>
      <c r="X156" s="51" t="str">
        <f>IF(XT!$P156=0,V156,"")</f>
        <v/>
      </c>
      <c r="Y156">
        <f>SUMPRODUCT((MONTH(CHOOSE({1,2,3,4},XT!U156,XT!Y156,XT!AC156,XT!AG156))=7)*(CHOOSE({1,2,3,4},XT!X156,XT!AB156,XT!AF156,XT!AJ156)))</f>
        <v>0</v>
      </c>
      <c r="Z156" t="str">
        <f>IFERROR(INDEX(CHOOSE({1,2,3,4}, DAY(XT!U156), DAY(XT!Y156), DAY(XT!AC156), DAY(XT!AG156)), MATCH(1, INDEX(--(MONTH(CHOOSE({1,2,3,4}, XT!U156,XT!Y156,XT!AC156,XT!AG156))=7), 0), 0)), "")</f>
        <v/>
      </c>
      <c r="AA156" s="51" t="str">
        <f>IF(XT!$P156&gt;0,Z156,"")</f>
        <v/>
      </c>
      <c r="AB156" s="51" t="str">
        <f>IF(XT!$P156=0,Z156,"")</f>
        <v/>
      </c>
      <c r="AC156">
        <f>SUMPRODUCT((MONTH(CHOOSE({1,2,3,4},XT!U156,XT!Y156,XT!AC156,XT!AG156))=8)*(CHOOSE({1,2,3,4},XT!X156,XT!AB156,XT!AF156,XT!AJ156)))</f>
        <v>0</v>
      </c>
      <c r="AD156" t="str">
        <f>IFERROR(INDEX(CHOOSE({1,2,3,4}, DAY(XT!U156), DAY(XT!Y156), DAY(XT!AC156), DAY(XT!AG156)), MATCH(1, INDEX(--(MONTH(CHOOSE({1,2,3,4}, XT!U156,XT!Y156,XT!AC156,XT!AG156))=8), 0), 0)), "")</f>
        <v/>
      </c>
      <c r="AE156" s="51" t="str">
        <f>IF(XT!$P156&gt;0,AD156,"")</f>
        <v/>
      </c>
      <c r="AF156" s="51" t="str">
        <f>IF(XT!$P156=0,AD156,"")</f>
        <v/>
      </c>
      <c r="AG156">
        <f>SUMPRODUCT((MONTH(CHOOSE({1,2,3,4},XT!U156,XT!Y156,XT!AC156,XT!AG156))=9)*(CHOOSE({1,2,3,4},XT!X156,XT!AB156,XT!AF156,XT!AJ156)))</f>
        <v>0</v>
      </c>
      <c r="AH156" t="str">
        <f>IFERROR(INDEX(CHOOSE({1,2,3,4}, DAY(XT!U156), DAY(XT!Y156), DAY(XT!AC156), DAY(XT!AG156)), MATCH(1, INDEX(--(MONTH(CHOOSE({1,2,3,4}, XT!U156,XT!Y156,XT!AC156,XT!AG156))=9), 0), 0)), "")</f>
        <v/>
      </c>
      <c r="AI156" s="51" t="str">
        <f>IF(XT!$P156&gt;0,AH156,"")</f>
        <v/>
      </c>
      <c r="AJ156" s="51" t="str">
        <f>IF(XT!$P156=0,AH156,"")</f>
        <v/>
      </c>
      <c r="AK156">
        <f>SUMPRODUCT((MONTH(CHOOSE({1,2,3,4},XT!U156,XT!Y156,XT!AC156,XT!AG156))=10)*(CHOOSE({1,2,3,4},XT!X156,XT!AB156,XT!AF156,XT!AJ156)))</f>
        <v>0</v>
      </c>
      <c r="AL156" t="str">
        <f>IFERROR(INDEX(CHOOSE({1,2,3,4}, DAY(XT!U156), DAY(XT!Y156), DAY(XT!AC156), DAY(XT!AG156)), MATCH(1, INDEX(--(MONTH(CHOOSE({1,2,3,4}, XT!U156,XT!Y156,XT!AC156,XT!AG156))=10), 0), 0)), "")</f>
        <v/>
      </c>
      <c r="AM156" s="51" t="str">
        <f>IF(XT!$P156&gt;0,AL156,"")</f>
        <v/>
      </c>
      <c r="AN156" s="51" t="str">
        <f>IF(XT!$P156=0,AL156,"")</f>
        <v/>
      </c>
      <c r="AO156">
        <f>SUMPRODUCT((MONTH(CHOOSE({1,2,3,4},XT!U156,XT!Y156,XT!AC156,XT!AG156))=11)*(CHOOSE({1,2,3,4},XT!X156,XT!AB156,XT!AF156,XT!AJ156)))</f>
        <v>0</v>
      </c>
      <c r="AP156" t="str">
        <f>IFERROR(INDEX(CHOOSE({1,2,3,4}, DAY(XT!U156), DAY(XT!Y156), DAY(XT!AC156), DAY(XT!AG156)), MATCH(1, INDEX(--(MONTH(CHOOSE({1,2,3,4}, XT!U156,XT!Y156,XT!AC156,XT!AG156))=11), 0), 0)), "")</f>
        <v/>
      </c>
      <c r="AQ156" s="51" t="str">
        <f>IF(XT!$P156&gt;0,AP156,"")</f>
        <v/>
      </c>
      <c r="AR156" s="51" t="str">
        <f>IF(XT!$P156=0,AP156,"")</f>
        <v/>
      </c>
      <c r="AS156">
        <f>SUMPRODUCT((MONTH(CHOOSE({1,2,3,4},XT!U156,XT!Y156,XT!AC156,XT!AG156))=12)*(CHOOSE({1,2,3,4},XT!X156,XT!AB156,XT!AF156,XT!AJ156)))</f>
        <v>0</v>
      </c>
      <c r="AT156" t="str">
        <f>IFERROR(INDEX(CHOOSE({1,2,3,4}, DAY(XT!U156), DAY(XT!Y156), DAY(XT!AC156), DAY(XT!AG156)), MATCH(1, INDEX(--(MONTH(CHOOSE({1,2,3,4}, XT!U156,XT!Y156,XT!AC156,XT!AG156))=12), 0), 0)), "")</f>
        <v/>
      </c>
      <c r="AU156" s="51" t="str">
        <f>IF(XT!$P156&gt;0,AT156,"")</f>
        <v/>
      </c>
      <c r="AV156" s="51" t="str">
        <f>IF(XT!$P156=0,AT156,"")</f>
        <v/>
      </c>
    </row>
    <row r="157" spans="1:48">
      <c r="A157">
        <f>SUMPRODUCT((MONTH(CHOOSE({1,2,3,4},XT!U157,XT!Y157,XT!AC157,XT!AG157))=1)*(CHOOSE({1,2,3,4},XT!X157,XT!AB157,XT!AF157,XT!AJ157)))</f>
        <v>0</v>
      </c>
      <c r="B157">
        <f>IFERROR(INDEX(CHOOSE({1,2,3,4}, DAY(XT!U157), DAY(XT!Y157), DAY(XT!AC157), DAY(XT!AG157)), MATCH(1, INDEX(--(MONTH(CHOOSE({1,2,3,4}, XT!U157,XT!Y157,XT!AC157,XT!AG157))=1), 0), 0)), "")</f>
        <v>0</v>
      </c>
      <c r="C157" s="51" t="str">
        <f>IF(XT!$P157&gt;0,B157,"")</f>
        <v/>
      </c>
      <c r="D157" s="51">
        <f>IF(XT!$P157=0,B157,"")</f>
        <v>0</v>
      </c>
      <c r="E157">
        <f>SUMPRODUCT((MONTH(CHOOSE({1,2,3,4},XT!U157,XT!Y157,XT!AC157,XT!AG157))=2)*(CHOOSE({1,2,3,4},XT!X157,XT!AB157,XT!AF157,XT!AJ157)))</f>
        <v>0</v>
      </c>
      <c r="F157" t="str">
        <f>IFERROR(INDEX(CHOOSE({1,2,3,4}, DAY(XT!U157), DAY(XT!Y157), DAY(XT!AC157), DAY(XT!AG157)), MATCH(1, INDEX(--(MONTH(CHOOSE({1,2,3,4}, XT!U157,XT!Y157,XT!AC157,XT!AG157))=2), 0), 0)), "")</f>
        <v/>
      </c>
      <c r="G157" s="51" t="str">
        <f>IF(XT!$P157&gt;0,F157,"")</f>
        <v/>
      </c>
      <c r="H157" s="51" t="str">
        <f>IF(XT!$P157=0,F157,"")</f>
        <v/>
      </c>
      <c r="I157">
        <f>SUMPRODUCT((MONTH(CHOOSE({1,2,3,4},XT!U157,XT!Y157,XT!AC157,XT!AG157))=3)*(CHOOSE({1,2,3,4},XT!X157,XT!AB157,XT!AF157,XT!AJ157)))</f>
        <v>0</v>
      </c>
      <c r="J157" t="str">
        <f>IFERROR(INDEX(CHOOSE({1,2,3,4}, DAY(XT!U157), DAY(XT!Y157), DAY(XT!AC157), DAY(XT!AG157)), MATCH(1, INDEX(--(MONTH(CHOOSE({1,2,3,4}, XT!U157,XT!Y157,XT!AC157,XT!AG157))=3), 0), 0)), "")</f>
        <v/>
      </c>
      <c r="K157" s="51" t="str">
        <f>IF(XT!$P157&gt;0,J157,"")</f>
        <v/>
      </c>
      <c r="L157" s="51" t="str">
        <f>IF(XT!$P157=0,J157,"")</f>
        <v/>
      </c>
      <c r="M157">
        <f>SUMPRODUCT((MONTH(CHOOSE({1,2,3,4},XT!U157,XT!Y157,XT!AC157,XT!AG157))=4)*(CHOOSE({1,2,3,4},XT!X157,XT!AB157,XT!AF157,XT!AJ157)))</f>
        <v>0</v>
      </c>
      <c r="N157" t="str">
        <f>IFERROR(INDEX(CHOOSE({1,2,3,4}, DAY(XT!U157), DAY(XT!Y157), DAY(XT!AC157), DAY(XT!AG157)), MATCH(1, INDEX(--(MONTH(CHOOSE({1,2,3,4}, XT!U157,XT!Y157,XT!AC157,XT!AG157))=4), 0), 0)), "")</f>
        <v/>
      </c>
      <c r="O157" s="51" t="str">
        <f>IF(XT!$P157&gt;0,N157,"")</f>
        <v/>
      </c>
      <c r="P157" s="51" t="str">
        <f>IF(XT!$P157=0,N157,"")</f>
        <v/>
      </c>
      <c r="Q157">
        <f>SUMPRODUCT((MONTH(CHOOSE({1,2,3,4},XT!U157,XT!Y157,XT!AC157,XT!AG157))=5)*(CHOOSE({1,2,3,4},XT!X157,XT!AB157,XT!AF157,XT!AJ157)))</f>
        <v>0</v>
      </c>
      <c r="R157" t="str">
        <f>IFERROR(INDEX(CHOOSE({1,2,3,4}, DAY(XT!U157), DAY(XT!Y157), DAY(XT!AC157), DAY(XT!AG157)), MATCH(1, INDEX(--(MONTH(CHOOSE({1,2,3,4}, XT!U157,XT!Y157,XT!AC157,XT!AG157))=5), 0), 0)), "")</f>
        <v/>
      </c>
      <c r="S157" s="51" t="str">
        <f>IF(XT!$P157&gt;0,R157,"")</f>
        <v/>
      </c>
      <c r="T157" s="51" t="str">
        <f>IF(XT!$P157=0,R157,"")</f>
        <v/>
      </c>
      <c r="U157">
        <f>SUMPRODUCT((MONTH(CHOOSE({1,2,3,4},XT!U157,XT!Y157,XT!AC157,XT!AG157))=6)*(CHOOSE({1,2,3,4},XT!X157,XT!AB157,XT!AF157,XT!AJ157)))</f>
        <v>0</v>
      </c>
      <c r="V157" t="str">
        <f>IFERROR(INDEX(CHOOSE({1,2,3,4}, DAY(XT!U157), DAY(XT!Y157), DAY(XT!AC157), DAY(XT!AG157)), MATCH(1, INDEX(--(MONTH(CHOOSE({1,2,3,4}, XT!U157,XT!Y157,XT!AC157,XT!AG157))=6), 0), 0)), "")</f>
        <v/>
      </c>
      <c r="W157" s="51" t="str">
        <f>IF(XT!$P157&gt;0,V157,"")</f>
        <v/>
      </c>
      <c r="X157" s="51" t="str">
        <f>IF(XT!$P157=0,V157,"")</f>
        <v/>
      </c>
      <c r="Y157">
        <f>SUMPRODUCT((MONTH(CHOOSE({1,2,3,4},XT!U157,XT!Y157,XT!AC157,XT!AG157))=7)*(CHOOSE({1,2,3,4},XT!X157,XT!AB157,XT!AF157,XT!AJ157)))</f>
        <v>0</v>
      </c>
      <c r="Z157" t="str">
        <f>IFERROR(INDEX(CHOOSE({1,2,3,4}, DAY(XT!U157), DAY(XT!Y157), DAY(XT!AC157), DAY(XT!AG157)), MATCH(1, INDEX(--(MONTH(CHOOSE({1,2,3,4}, XT!U157,XT!Y157,XT!AC157,XT!AG157))=7), 0), 0)), "")</f>
        <v/>
      </c>
      <c r="AA157" s="51" t="str">
        <f>IF(XT!$P157&gt;0,Z157,"")</f>
        <v/>
      </c>
      <c r="AB157" s="51" t="str">
        <f>IF(XT!$P157=0,Z157,"")</f>
        <v/>
      </c>
      <c r="AC157">
        <f>SUMPRODUCT((MONTH(CHOOSE({1,2,3,4},XT!U157,XT!Y157,XT!AC157,XT!AG157))=8)*(CHOOSE({1,2,3,4},XT!X157,XT!AB157,XT!AF157,XT!AJ157)))</f>
        <v>0</v>
      </c>
      <c r="AD157" t="str">
        <f>IFERROR(INDEX(CHOOSE({1,2,3,4}, DAY(XT!U157), DAY(XT!Y157), DAY(XT!AC157), DAY(XT!AG157)), MATCH(1, INDEX(--(MONTH(CHOOSE({1,2,3,4}, XT!U157,XT!Y157,XT!AC157,XT!AG157))=8), 0), 0)), "")</f>
        <v/>
      </c>
      <c r="AE157" s="51" t="str">
        <f>IF(XT!$P157&gt;0,AD157,"")</f>
        <v/>
      </c>
      <c r="AF157" s="51" t="str">
        <f>IF(XT!$P157=0,AD157,"")</f>
        <v/>
      </c>
      <c r="AG157">
        <f>SUMPRODUCT((MONTH(CHOOSE({1,2,3,4},XT!U157,XT!Y157,XT!AC157,XT!AG157))=9)*(CHOOSE({1,2,3,4},XT!X157,XT!AB157,XT!AF157,XT!AJ157)))</f>
        <v>0</v>
      </c>
      <c r="AH157" t="str">
        <f>IFERROR(INDEX(CHOOSE({1,2,3,4}, DAY(XT!U157), DAY(XT!Y157), DAY(XT!AC157), DAY(XT!AG157)), MATCH(1, INDEX(--(MONTH(CHOOSE({1,2,3,4}, XT!U157,XT!Y157,XT!AC157,XT!AG157))=9), 0), 0)), "")</f>
        <v/>
      </c>
      <c r="AI157" s="51" t="str">
        <f>IF(XT!$P157&gt;0,AH157,"")</f>
        <v/>
      </c>
      <c r="AJ157" s="51" t="str">
        <f>IF(XT!$P157=0,AH157,"")</f>
        <v/>
      </c>
      <c r="AK157">
        <f>SUMPRODUCT((MONTH(CHOOSE({1,2,3,4},XT!U157,XT!Y157,XT!AC157,XT!AG157))=10)*(CHOOSE({1,2,3,4},XT!X157,XT!AB157,XT!AF157,XT!AJ157)))</f>
        <v>0</v>
      </c>
      <c r="AL157" t="str">
        <f>IFERROR(INDEX(CHOOSE({1,2,3,4}, DAY(XT!U157), DAY(XT!Y157), DAY(XT!AC157), DAY(XT!AG157)), MATCH(1, INDEX(--(MONTH(CHOOSE({1,2,3,4}, XT!U157,XT!Y157,XT!AC157,XT!AG157))=10), 0), 0)), "")</f>
        <v/>
      </c>
      <c r="AM157" s="51" t="str">
        <f>IF(XT!$P157&gt;0,AL157,"")</f>
        <v/>
      </c>
      <c r="AN157" s="51" t="str">
        <f>IF(XT!$P157=0,AL157,"")</f>
        <v/>
      </c>
      <c r="AO157">
        <f>SUMPRODUCT((MONTH(CHOOSE({1,2,3,4},XT!U157,XT!Y157,XT!AC157,XT!AG157))=11)*(CHOOSE({1,2,3,4},XT!X157,XT!AB157,XT!AF157,XT!AJ157)))</f>
        <v>0</v>
      </c>
      <c r="AP157" t="str">
        <f>IFERROR(INDEX(CHOOSE({1,2,3,4}, DAY(XT!U157), DAY(XT!Y157), DAY(XT!AC157), DAY(XT!AG157)), MATCH(1, INDEX(--(MONTH(CHOOSE({1,2,3,4}, XT!U157,XT!Y157,XT!AC157,XT!AG157))=11), 0), 0)), "")</f>
        <v/>
      </c>
      <c r="AQ157" s="51" t="str">
        <f>IF(XT!$P157&gt;0,AP157,"")</f>
        <v/>
      </c>
      <c r="AR157" s="51" t="str">
        <f>IF(XT!$P157=0,AP157,"")</f>
        <v/>
      </c>
      <c r="AS157">
        <f>SUMPRODUCT((MONTH(CHOOSE({1,2,3,4},XT!U157,XT!Y157,XT!AC157,XT!AG157))=12)*(CHOOSE({1,2,3,4},XT!X157,XT!AB157,XT!AF157,XT!AJ157)))</f>
        <v>0</v>
      </c>
      <c r="AT157" t="str">
        <f>IFERROR(INDEX(CHOOSE({1,2,3,4}, DAY(XT!U157), DAY(XT!Y157), DAY(XT!AC157), DAY(XT!AG157)), MATCH(1, INDEX(--(MONTH(CHOOSE({1,2,3,4}, XT!U157,XT!Y157,XT!AC157,XT!AG157))=12), 0), 0)), "")</f>
        <v/>
      </c>
      <c r="AU157" s="51" t="str">
        <f>IF(XT!$P157&gt;0,AT157,"")</f>
        <v/>
      </c>
      <c r="AV157" s="51" t="str">
        <f>IF(XT!$P157=0,AT157,"")</f>
        <v/>
      </c>
    </row>
    <row r="158" spans="1:48">
      <c r="A158">
        <f>SUMPRODUCT((MONTH(CHOOSE({1,2,3,4},XT!U158,XT!Y158,XT!AC158,XT!AG158))=1)*(CHOOSE({1,2,3,4},XT!X158,XT!AB158,XT!AF158,XT!AJ158)))</f>
        <v>0</v>
      </c>
      <c r="B158">
        <f>IFERROR(INDEX(CHOOSE({1,2,3,4}, DAY(XT!U158), DAY(XT!Y158), DAY(XT!AC158), DAY(XT!AG158)), MATCH(1, INDEX(--(MONTH(CHOOSE({1,2,3,4}, XT!U158,XT!Y158,XT!AC158,XT!AG158))=1), 0), 0)), "")</f>
        <v>0</v>
      </c>
      <c r="C158" s="51" t="str">
        <f>IF(XT!$P158&gt;0,B158,"")</f>
        <v/>
      </c>
      <c r="D158" s="51">
        <f>IF(XT!$P158=0,B158,"")</f>
        <v>0</v>
      </c>
      <c r="E158">
        <f>SUMPRODUCT((MONTH(CHOOSE({1,2,3,4},XT!U158,XT!Y158,XT!AC158,XT!AG158))=2)*(CHOOSE({1,2,3,4},XT!X158,XT!AB158,XT!AF158,XT!AJ158)))</f>
        <v>0</v>
      </c>
      <c r="F158" t="str">
        <f>IFERROR(INDEX(CHOOSE({1,2,3,4}, DAY(XT!U158), DAY(XT!Y158), DAY(XT!AC158), DAY(XT!AG158)), MATCH(1, INDEX(--(MONTH(CHOOSE({1,2,3,4}, XT!U158,XT!Y158,XT!AC158,XT!AG158))=2), 0), 0)), "")</f>
        <v/>
      </c>
      <c r="G158" s="51" t="str">
        <f>IF(XT!$P158&gt;0,F158,"")</f>
        <v/>
      </c>
      <c r="H158" s="51" t="str">
        <f>IF(XT!$P158=0,F158,"")</f>
        <v/>
      </c>
      <c r="I158">
        <f>SUMPRODUCT((MONTH(CHOOSE({1,2,3,4},XT!U158,XT!Y158,XT!AC158,XT!AG158))=3)*(CHOOSE({1,2,3,4},XT!X158,XT!AB158,XT!AF158,XT!AJ158)))</f>
        <v>0</v>
      </c>
      <c r="J158" t="str">
        <f>IFERROR(INDEX(CHOOSE({1,2,3,4}, DAY(XT!U158), DAY(XT!Y158), DAY(XT!AC158), DAY(XT!AG158)), MATCH(1, INDEX(--(MONTH(CHOOSE({1,2,3,4}, XT!U158,XT!Y158,XT!AC158,XT!AG158))=3), 0), 0)), "")</f>
        <v/>
      </c>
      <c r="K158" s="51" t="str">
        <f>IF(XT!$P158&gt;0,J158,"")</f>
        <v/>
      </c>
      <c r="L158" s="51" t="str">
        <f>IF(XT!$P158=0,J158,"")</f>
        <v/>
      </c>
      <c r="M158">
        <f>SUMPRODUCT((MONTH(CHOOSE({1,2,3,4},XT!U158,XT!Y158,XT!AC158,XT!AG158))=4)*(CHOOSE({1,2,3,4},XT!X158,XT!AB158,XT!AF158,XT!AJ158)))</f>
        <v>0</v>
      </c>
      <c r="N158" t="str">
        <f>IFERROR(INDEX(CHOOSE({1,2,3,4}, DAY(XT!U158), DAY(XT!Y158), DAY(XT!AC158), DAY(XT!AG158)), MATCH(1, INDEX(--(MONTH(CHOOSE({1,2,3,4}, XT!U158,XT!Y158,XT!AC158,XT!AG158))=4), 0), 0)), "")</f>
        <v/>
      </c>
      <c r="O158" s="51" t="str">
        <f>IF(XT!$P158&gt;0,N158,"")</f>
        <v/>
      </c>
      <c r="P158" s="51" t="str">
        <f>IF(XT!$P158=0,N158,"")</f>
        <v/>
      </c>
      <c r="Q158">
        <f>SUMPRODUCT((MONTH(CHOOSE({1,2,3,4},XT!U158,XT!Y158,XT!AC158,XT!AG158))=5)*(CHOOSE({1,2,3,4},XT!X158,XT!AB158,XT!AF158,XT!AJ158)))</f>
        <v>0</v>
      </c>
      <c r="R158" t="str">
        <f>IFERROR(INDEX(CHOOSE({1,2,3,4}, DAY(XT!U158), DAY(XT!Y158), DAY(XT!AC158), DAY(XT!AG158)), MATCH(1, INDEX(--(MONTH(CHOOSE({1,2,3,4}, XT!U158,XT!Y158,XT!AC158,XT!AG158))=5), 0), 0)), "")</f>
        <v/>
      </c>
      <c r="S158" s="51" t="str">
        <f>IF(XT!$P158&gt;0,R158,"")</f>
        <v/>
      </c>
      <c r="T158" s="51" t="str">
        <f>IF(XT!$P158=0,R158,"")</f>
        <v/>
      </c>
      <c r="U158">
        <f>SUMPRODUCT((MONTH(CHOOSE({1,2,3,4},XT!U158,XT!Y158,XT!AC158,XT!AG158))=6)*(CHOOSE({1,2,3,4},XT!X158,XT!AB158,XT!AF158,XT!AJ158)))</f>
        <v>0</v>
      </c>
      <c r="V158" t="str">
        <f>IFERROR(INDEX(CHOOSE({1,2,3,4}, DAY(XT!U158), DAY(XT!Y158), DAY(XT!AC158), DAY(XT!AG158)), MATCH(1, INDEX(--(MONTH(CHOOSE({1,2,3,4}, XT!U158,XT!Y158,XT!AC158,XT!AG158))=6), 0), 0)), "")</f>
        <v/>
      </c>
      <c r="W158" s="51" t="str">
        <f>IF(XT!$P158&gt;0,V158,"")</f>
        <v/>
      </c>
      <c r="X158" s="51" t="str">
        <f>IF(XT!$P158=0,V158,"")</f>
        <v/>
      </c>
      <c r="Y158">
        <f>SUMPRODUCT((MONTH(CHOOSE({1,2,3,4},XT!U158,XT!Y158,XT!AC158,XT!AG158))=7)*(CHOOSE({1,2,3,4},XT!X158,XT!AB158,XT!AF158,XT!AJ158)))</f>
        <v>0</v>
      </c>
      <c r="Z158" t="str">
        <f>IFERROR(INDEX(CHOOSE({1,2,3,4}, DAY(XT!U158), DAY(XT!Y158), DAY(XT!AC158), DAY(XT!AG158)), MATCH(1, INDEX(--(MONTH(CHOOSE({1,2,3,4}, XT!U158,XT!Y158,XT!AC158,XT!AG158))=7), 0), 0)), "")</f>
        <v/>
      </c>
      <c r="AA158" s="51" t="str">
        <f>IF(XT!$P158&gt;0,Z158,"")</f>
        <v/>
      </c>
      <c r="AB158" s="51" t="str">
        <f>IF(XT!$P158=0,Z158,"")</f>
        <v/>
      </c>
      <c r="AC158">
        <f>SUMPRODUCT((MONTH(CHOOSE({1,2,3,4},XT!U158,XT!Y158,XT!AC158,XT!AG158))=8)*(CHOOSE({1,2,3,4},XT!X158,XT!AB158,XT!AF158,XT!AJ158)))</f>
        <v>0</v>
      </c>
      <c r="AD158" t="str">
        <f>IFERROR(INDEX(CHOOSE({1,2,3,4}, DAY(XT!U158), DAY(XT!Y158), DAY(XT!AC158), DAY(XT!AG158)), MATCH(1, INDEX(--(MONTH(CHOOSE({1,2,3,4}, XT!U158,XT!Y158,XT!AC158,XT!AG158))=8), 0), 0)), "")</f>
        <v/>
      </c>
      <c r="AE158" s="51" t="str">
        <f>IF(XT!$P158&gt;0,AD158,"")</f>
        <v/>
      </c>
      <c r="AF158" s="51" t="str">
        <f>IF(XT!$P158=0,AD158,"")</f>
        <v/>
      </c>
      <c r="AG158">
        <f>SUMPRODUCT((MONTH(CHOOSE({1,2,3,4},XT!U158,XT!Y158,XT!AC158,XT!AG158))=9)*(CHOOSE({1,2,3,4},XT!X158,XT!AB158,XT!AF158,XT!AJ158)))</f>
        <v>0</v>
      </c>
      <c r="AH158" t="str">
        <f>IFERROR(INDEX(CHOOSE({1,2,3,4}, DAY(XT!U158), DAY(XT!Y158), DAY(XT!AC158), DAY(XT!AG158)), MATCH(1, INDEX(--(MONTH(CHOOSE({1,2,3,4}, XT!U158,XT!Y158,XT!AC158,XT!AG158))=9), 0), 0)), "")</f>
        <v/>
      </c>
      <c r="AI158" s="51" t="str">
        <f>IF(XT!$P158&gt;0,AH158,"")</f>
        <v/>
      </c>
      <c r="AJ158" s="51" t="str">
        <f>IF(XT!$P158=0,AH158,"")</f>
        <v/>
      </c>
      <c r="AK158">
        <f>SUMPRODUCT((MONTH(CHOOSE({1,2,3,4},XT!U158,XT!Y158,XT!AC158,XT!AG158))=10)*(CHOOSE({1,2,3,4},XT!X158,XT!AB158,XT!AF158,XT!AJ158)))</f>
        <v>0</v>
      </c>
      <c r="AL158" t="str">
        <f>IFERROR(INDEX(CHOOSE({1,2,3,4}, DAY(XT!U158), DAY(XT!Y158), DAY(XT!AC158), DAY(XT!AG158)), MATCH(1, INDEX(--(MONTH(CHOOSE({1,2,3,4}, XT!U158,XT!Y158,XT!AC158,XT!AG158))=10), 0), 0)), "")</f>
        <v/>
      </c>
      <c r="AM158" s="51" t="str">
        <f>IF(XT!$P158&gt;0,AL158,"")</f>
        <v/>
      </c>
      <c r="AN158" s="51" t="str">
        <f>IF(XT!$P158=0,AL158,"")</f>
        <v/>
      </c>
      <c r="AO158">
        <f>SUMPRODUCT((MONTH(CHOOSE({1,2,3,4},XT!U158,XT!Y158,XT!AC158,XT!AG158))=11)*(CHOOSE({1,2,3,4},XT!X158,XT!AB158,XT!AF158,XT!AJ158)))</f>
        <v>0</v>
      </c>
      <c r="AP158" t="str">
        <f>IFERROR(INDEX(CHOOSE({1,2,3,4}, DAY(XT!U158), DAY(XT!Y158), DAY(XT!AC158), DAY(XT!AG158)), MATCH(1, INDEX(--(MONTH(CHOOSE({1,2,3,4}, XT!U158,XT!Y158,XT!AC158,XT!AG158))=11), 0), 0)), "")</f>
        <v/>
      </c>
      <c r="AQ158" s="51" t="str">
        <f>IF(XT!$P158&gt;0,AP158,"")</f>
        <v/>
      </c>
      <c r="AR158" s="51" t="str">
        <f>IF(XT!$P158=0,AP158,"")</f>
        <v/>
      </c>
      <c r="AS158">
        <f>SUMPRODUCT((MONTH(CHOOSE({1,2,3,4},XT!U158,XT!Y158,XT!AC158,XT!AG158))=12)*(CHOOSE({1,2,3,4},XT!X158,XT!AB158,XT!AF158,XT!AJ158)))</f>
        <v>0</v>
      </c>
      <c r="AT158" t="str">
        <f>IFERROR(INDEX(CHOOSE({1,2,3,4}, DAY(XT!U158), DAY(XT!Y158), DAY(XT!AC158), DAY(XT!AG158)), MATCH(1, INDEX(--(MONTH(CHOOSE({1,2,3,4}, XT!U158,XT!Y158,XT!AC158,XT!AG158))=12), 0), 0)), "")</f>
        <v/>
      </c>
      <c r="AU158" s="51" t="str">
        <f>IF(XT!$P158&gt;0,AT158,"")</f>
        <v/>
      </c>
      <c r="AV158" s="51" t="str">
        <f>IF(XT!$P158=0,AT158,"")</f>
        <v/>
      </c>
    </row>
    <row r="159" spans="1:48">
      <c r="A159">
        <f>SUMPRODUCT((MONTH(CHOOSE({1,2,3,4},XT!U159,XT!Y159,XT!AC159,XT!AG159))=1)*(CHOOSE({1,2,3,4},XT!X159,XT!AB159,XT!AF159,XT!AJ159)))</f>
        <v>0</v>
      </c>
      <c r="B159">
        <f>IFERROR(INDEX(CHOOSE({1,2,3,4}, DAY(XT!U159), DAY(XT!Y159), DAY(XT!AC159), DAY(XT!AG159)), MATCH(1, INDEX(--(MONTH(CHOOSE({1,2,3,4}, XT!U159,XT!Y159,XT!AC159,XT!AG159))=1), 0), 0)), "")</f>
        <v>0</v>
      </c>
      <c r="C159" s="51" t="str">
        <f>IF(XT!$P159&gt;0,B159,"")</f>
        <v/>
      </c>
      <c r="D159" s="51">
        <f>IF(XT!$P159=0,B159,"")</f>
        <v>0</v>
      </c>
      <c r="E159">
        <f>SUMPRODUCT((MONTH(CHOOSE({1,2,3,4},XT!U159,XT!Y159,XT!AC159,XT!AG159))=2)*(CHOOSE({1,2,3,4},XT!X159,XT!AB159,XT!AF159,XT!AJ159)))</f>
        <v>0</v>
      </c>
      <c r="F159" t="str">
        <f>IFERROR(INDEX(CHOOSE({1,2,3,4}, DAY(XT!U159), DAY(XT!Y159), DAY(XT!AC159), DAY(XT!AG159)), MATCH(1, INDEX(--(MONTH(CHOOSE({1,2,3,4}, XT!U159,XT!Y159,XT!AC159,XT!AG159))=2), 0), 0)), "")</f>
        <v/>
      </c>
      <c r="G159" s="51" t="str">
        <f>IF(XT!$P159&gt;0,F159,"")</f>
        <v/>
      </c>
      <c r="H159" s="51" t="str">
        <f>IF(XT!$P159=0,F159,"")</f>
        <v/>
      </c>
      <c r="I159">
        <f>SUMPRODUCT((MONTH(CHOOSE({1,2,3,4},XT!U159,XT!Y159,XT!AC159,XT!AG159))=3)*(CHOOSE({1,2,3,4},XT!X159,XT!AB159,XT!AF159,XT!AJ159)))</f>
        <v>0</v>
      </c>
      <c r="J159" t="str">
        <f>IFERROR(INDEX(CHOOSE({1,2,3,4}, DAY(XT!U159), DAY(XT!Y159), DAY(XT!AC159), DAY(XT!AG159)), MATCH(1, INDEX(--(MONTH(CHOOSE({1,2,3,4}, XT!U159,XT!Y159,XT!AC159,XT!AG159))=3), 0), 0)), "")</f>
        <v/>
      </c>
      <c r="K159" s="51" t="str">
        <f>IF(XT!$P159&gt;0,J159,"")</f>
        <v/>
      </c>
      <c r="L159" s="51" t="str">
        <f>IF(XT!$P159=0,J159,"")</f>
        <v/>
      </c>
      <c r="M159">
        <f>SUMPRODUCT((MONTH(CHOOSE({1,2,3,4},XT!U159,XT!Y159,XT!AC159,XT!AG159))=4)*(CHOOSE({1,2,3,4},XT!X159,XT!AB159,XT!AF159,XT!AJ159)))</f>
        <v>0</v>
      </c>
      <c r="N159" t="str">
        <f>IFERROR(INDEX(CHOOSE({1,2,3,4}, DAY(XT!U159), DAY(XT!Y159), DAY(XT!AC159), DAY(XT!AG159)), MATCH(1, INDEX(--(MONTH(CHOOSE({1,2,3,4}, XT!U159,XT!Y159,XT!AC159,XT!AG159))=4), 0), 0)), "")</f>
        <v/>
      </c>
      <c r="O159" s="51" t="str">
        <f>IF(XT!$P159&gt;0,N159,"")</f>
        <v/>
      </c>
      <c r="P159" s="51" t="str">
        <f>IF(XT!$P159=0,N159,"")</f>
        <v/>
      </c>
      <c r="Q159">
        <f>SUMPRODUCT((MONTH(CHOOSE({1,2,3,4},XT!U159,XT!Y159,XT!AC159,XT!AG159))=5)*(CHOOSE({1,2,3,4},XT!X159,XT!AB159,XT!AF159,XT!AJ159)))</f>
        <v>0</v>
      </c>
      <c r="R159" t="str">
        <f>IFERROR(INDEX(CHOOSE({1,2,3,4}, DAY(XT!U159), DAY(XT!Y159), DAY(XT!AC159), DAY(XT!AG159)), MATCH(1, INDEX(--(MONTH(CHOOSE({1,2,3,4}, XT!U159,XT!Y159,XT!AC159,XT!AG159))=5), 0), 0)), "")</f>
        <v/>
      </c>
      <c r="S159" s="51" t="str">
        <f>IF(XT!$P159&gt;0,R159,"")</f>
        <v/>
      </c>
      <c r="T159" s="51" t="str">
        <f>IF(XT!$P159=0,R159,"")</f>
        <v/>
      </c>
      <c r="U159">
        <f>SUMPRODUCT((MONTH(CHOOSE({1,2,3,4},XT!U159,XT!Y159,XT!AC159,XT!AG159))=6)*(CHOOSE({1,2,3,4},XT!X159,XT!AB159,XT!AF159,XT!AJ159)))</f>
        <v>0</v>
      </c>
      <c r="V159" t="str">
        <f>IFERROR(INDEX(CHOOSE({1,2,3,4}, DAY(XT!U159), DAY(XT!Y159), DAY(XT!AC159), DAY(XT!AG159)), MATCH(1, INDEX(--(MONTH(CHOOSE({1,2,3,4}, XT!U159,XT!Y159,XT!AC159,XT!AG159))=6), 0), 0)), "")</f>
        <v/>
      </c>
      <c r="W159" s="51" t="str">
        <f>IF(XT!$P159&gt;0,V159,"")</f>
        <v/>
      </c>
      <c r="X159" s="51" t="str">
        <f>IF(XT!$P159=0,V159,"")</f>
        <v/>
      </c>
      <c r="Y159">
        <f>SUMPRODUCT((MONTH(CHOOSE({1,2,3,4},XT!U159,XT!Y159,XT!AC159,XT!AG159))=7)*(CHOOSE({1,2,3,4},XT!X159,XT!AB159,XT!AF159,XT!AJ159)))</f>
        <v>0</v>
      </c>
      <c r="Z159" t="str">
        <f>IFERROR(INDEX(CHOOSE({1,2,3,4}, DAY(XT!U159), DAY(XT!Y159), DAY(XT!AC159), DAY(XT!AG159)), MATCH(1, INDEX(--(MONTH(CHOOSE({1,2,3,4}, XT!U159,XT!Y159,XT!AC159,XT!AG159))=7), 0), 0)), "")</f>
        <v/>
      </c>
      <c r="AA159" s="51" t="str">
        <f>IF(XT!$P159&gt;0,Z159,"")</f>
        <v/>
      </c>
      <c r="AB159" s="51" t="str">
        <f>IF(XT!$P159=0,Z159,"")</f>
        <v/>
      </c>
      <c r="AC159">
        <f>SUMPRODUCT((MONTH(CHOOSE({1,2,3,4},XT!U159,XT!Y159,XT!AC159,XT!AG159))=8)*(CHOOSE({1,2,3,4},XT!X159,XT!AB159,XT!AF159,XT!AJ159)))</f>
        <v>0</v>
      </c>
      <c r="AD159" t="str">
        <f>IFERROR(INDEX(CHOOSE({1,2,3,4}, DAY(XT!U159), DAY(XT!Y159), DAY(XT!AC159), DAY(XT!AG159)), MATCH(1, INDEX(--(MONTH(CHOOSE({1,2,3,4}, XT!U159,XT!Y159,XT!AC159,XT!AG159))=8), 0), 0)), "")</f>
        <v/>
      </c>
      <c r="AE159" s="51" t="str">
        <f>IF(XT!$P159&gt;0,AD159,"")</f>
        <v/>
      </c>
      <c r="AF159" s="51" t="str">
        <f>IF(XT!$P159=0,AD159,"")</f>
        <v/>
      </c>
      <c r="AG159">
        <f>SUMPRODUCT((MONTH(CHOOSE({1,2,3,4},XT!U159,XT!Y159,XT!AC159,XT!AG159))=9)*(CHOOSE({1,2,3,4},XT!X159,XT!AB159,XT!AF159,XT!AJ159)))</f>
        <v>0</v>
      </c>
      <c r="AH159" t="str">
        <f>IFERROR(INDEX(CHOOSE({1,2,3,4}, DAY(XT!U159), DAY(XT!Y159), DAY(XT!AC159), DAY(XT!AG159)), MATCH(1, INDEX(--(MONTH(CHOOSE({1,2,3,4}, XT!U159,XT!Y159,XT!AC159,XT!AG159))=9), 0), 0)), "")</f>
        <v/>
      </c>
      <c r="AI159" s="51" t="str">
        <f>IF(XT!$P159&gt;0,AH159,"")</f>
        <v/>
      </c>
      <c r="AJ159" s="51" t="str">
        <f>IF(XT!$P159=0,AH159,"")</f>
        <v/>
      </c>
      <c r="AK159">
        <f>SUMPRODUCT((MONTH(CHOOSE({1,2,3,4},XT!U159,XT!Y159,XT!AC159,XT!AG159))=10)*(CHOOSE({1,2,3,4},XT!X159,XT!AB159,XT!AF159,XT!AJ159)))</f>
        <v>0</v>
      </c>
      <c r="AL159" t="str">
        <f>IFERROR(INDEX(CHOOSE({1,2,3,4}, DAY(XT!U159), DAY(XT!Y159), DAY(XT!AC159), DAY(XT!AG159)), MATCH(1, INDEX(--(MONTH(CHOOSE({1,2,3,4}, XT!U159,XT!Y159,XT!AC159,XT!AG159))=10), 0), 0)), "")</f>
        <v/>
      </c>
      <c r="AM159" s="51" t="str">
        <f>IF(XT!$P159&gt;0,AL159,"")</f>
        <v/>
      </c>
      <c r="AN159" s="51" t="str">
        <f>IF(XT!$P159=0,AL159,"")</f>
        <v/>
      </c>
      <c r="AO159">
        <f>SUMPRODUCT((MONTH(CHOOSE({1,2,3,4},XT!U159,XT!Y159,XT!AC159,XT!AG159))=11)*(CHOOSE({1,2,3,4},XT!X159,XT!AB159,XT!AF159,XT!AJ159)))</f>
        <v>0</v>
      </c>
      <c r="AP159" t="str">
        <f>IFERROR(INDEX(CHOOSE({1,2,3,4}, DAY(XT!U159), DAY(XT!Y159), DAY(XT!AC159), DAY(XT!AG159)), MATCH(1, INDEX(--(MONTH(CHOOSE({1,2,3,4}, XT!U159,XT!Y159,XT!AC159,XT!AG159))=11), 0), 0)), "")</f>
        <v/>
      </c>
      <c r="AQ159" s="51" t="str">
        <f>IF(XT!$P159&gt;0,AP159,"")</f>
        <v/>
      </c>
      <c r="AR159" s="51" t="str">
        <f>IF(XT!$P159=0,AP159,"")</f>
        <v/>
      </c>
      <c r="AS159">
        <f>SUMPRODUCT((MONTH(CHOOSE({1,2,3,4},XT!U159,XT!Y159,XT!AC159,XT!AG159))=12)*(CHOOSE({1,2,3,4},XT!X159,XT!AB159,XT!AF159,XT!AJ159)))</f>
        <v>0</v>
      </c>
      <c r="AT159" t="str">
        <f>IFERROR(INDEX(CHOOSE({1,2,3,4}, DAY(XT!U159), DAY(XT!Y159), DAY(XT!AC159), DAY(XT!AG159)), MATCH(1, INDEX(--(MONTH(CHOOSE({1,2,3,4}, XT!U159,XT!Y159,XT!AC159,XT!AG159))=12), 0), 0)), "")</f>
        <v/>
      </c>
      <c r="AU159" s="51" t="str">
        <f>IF(XT!$P159&gt;0,AT159,"")</f>
        <v/>
      </c>
      <c r="AV159" s="51" t="str">
        <f>IF(XT!$P159=0,AT159,"")</f>
        <v/>
      </c>
    </row>
    <row r="160" spans="1:48">
      <c r="A160">
        <f>SUMPRODUCT((MONTH(CHOOSE({1,2,3,4},XT!U160,XT!Y160,XT!AC160,XT!AG160))=1)*(CHOOSE({1,2,3,4},XT!X160,XT!AB160,XT!AF160,XT!AJ160)))</f>
        <v>0</v>
      </c>
      <c r="B160">
        <f>IFERROR(INDEX(CHOOSE({1,2,3,4}, DAY(XT!U160), DAY(XT!Y160), DAY(XT!AC160), DAY(XT!AG160)), MATCH(1, INDEX(--(MONTH(CHOOSE({1,2,3,4}, XT!U160,XT!Y160,XT!AC160,XT!AG160))=1), 0), 0)), "")</f>
        <v>0</v>
      </c>
      <c r="C160" s="51" t="str">
        <f>IF(XT!$P160&gt;0,B160,"")</f>
        <v/>
      </c>
      <c r="D160" s="51">
        <f>IF(XT!$P160=0,B160,"")</f>
        <v>0</v>
      </c>
      <c r="E160">
        <f>SUMPRODUCT((MONTH(CHOOSE({1,2,3,4},XT!U160,XT!Y160,XT!AC160,XT!AG160))=2)*(CHOOSE({1,2,3,4},XT!X160,XT!AB160,XT!AF160,XT!AJ160)))</f>
        <v>0</v>
      </c>
      <c r="F160" t="str">
        <f>IFERROR(INDEX(CHOOSE({1,2,3,4}, DAY(XT!U160), DAY(XT!Y160), DAY(XT!AC160), DAY(XT!AG160)), MATCH(1, INDEX(--(MONTH(CHOOSE({1,2,3,4}, XT!U160,XT!Y160,XT!AC160,XT!AG160))=2), 0), 0)), "")</f>
        <v/>
      </c>
      <c r="G160" s="51" t="str">
        <f>IF(XT!$P160&gt;0,F160,"")</f>
        <v/>
      </c>
      <c r="H160" s="51" t="str">
        <f>IF(XT!$P160=0,F160,"")</f>
        <v/>
      </c>
      <c r="I160">
        <f>SUMPRODUCT((MONTH(CHOOSE({1,2,3,4},XT!U160,XT!Y160,XT!AC160,XT!AG160))=3)*(CHOOSE({1,2,3,4},XT!X160,XT!AB160,XT!AF160,XT!AJ160)))</f>
        <v>0</v>
      </c>
      <c r="J160" t="str">
        <f>IFERROR(INDEX(CHOOSE({1,2,3,4}, DAY(XT!U160), DAY(XT!Y160), DAY(XT!AC160), DAY(XT!AG160)), MATCH(1, INDEX(--(MONTH(CHOOSE({1,2,3,4}, XT!U160,XT!Y160,XT!AC160,XT!AG160))=3), 0), 0)), "")</f>
        <v/>
      </c>
      <c r="K160" s="51" t="str">
        <f>IF(XT!$P160&gt;0,J160,"")</f>
        <v/>
      </c>
      <c r="L160" s="51" t="str">
        <f>IF(XT!$P160=0,J160,"")</f>
        <v/>
      </c>
      <c r="M160">
        <f>SUMPRODUCT((MONTH(CHOOSE({1,2,3,4},XT!U160,XT!Y160,XT!AC160,XT!AG160))=4)*(CHOOSE({1,2,3,4},XT!X160,XT!AB160,XT!AF160,XT!AJ160)))</f>
        <v>0</v>
      </c>
      <c r="N160" t="str">
        <f>IFERROR(INDEX(CHOOSE({1,2,3,4}, DAY(XT!U160), DAY(XT!Y160), DAY(XT!AC160), DAY(XT!AG160)), MATCH(1, INDEX(--(MONTH(CHOOSE({1,2,3,4}, XT!U160,XT!Y160,XT!AC160,XT!AG160))=4), 0), 0)), "")</f>
        <v/>
      </c>
      <c r="O160" s="51" t="str">
        <f>IF(XT!$P160&gt;0,N160,"")</f>
        <v/>
      </c>
      <c r="P160" s="51" t="str">
        <f>IF(XT!$P160=0,N160,"")</f>
        <v/>
      </c>
      <c r="Q160">
        <f>SUMPRODUCT((MONTH(CHOOSE({1,2,3,4},XT!U160,XT!Y160,XT!AC160,XT!AG160))=5)*(CHOOSE({1,2,3,4},XT!X160,XT!AB160,XT!AF160,XT!AJ160)))</f>
        <v>0</v>
      </c>
      <c r="R160" t="str">
        <f>IFERROR(INDEX(CHOOSE({1,2,3,4}, DAY(XT!U160), DAY(XT!Y160), DAY(XT!AC160), DAY(XT!AG160)), MATCH(1, INDEX(--(MONTH(CHOOSE({1,2,3,4}, XT!U160,XT!Y160,XT!AC160,XT!AG160))=5), 0), 0)), "")</f>
        <v/>
      </c>
      <c r="S160" s="51" t="str">
        <f>IF(XT!$P160&gt;0,R160,"")</f>
        <v/>
      </c>
      <c r="T160" s="51" t="str">
        <f>IF(XT!$P160=0,R160,"")</f>
        <v/>
      </c>
      <c r="U160">
        <f>SUMPRODUCT((MONTH(CHOOSE({1,2,3,4},XT!U160,XT!Y160,XT!AC160,XT!AG160))=6)*(CHOOSE({1,2,3,4},XT!X160,XT!AB160,XT!AF160,XT!AJ160)))</f>
        <v>0</v>
      </c>
      <c r="V160" t="str">
        <f>IFERROR(INDEX(CHOOSE({1,2,3,4}, DAY(XT!U160), DAY(XT!Y160), DAY(XT!AC160), DAY(XT!AG160)), MATCH(1, INDEX(--(MONTH(CHOOSE({1,2,3,4}, XT!U160,XT!Y160,XT!AC160,XT!AG160))=6), 0), 0)), "")</f>
        <v/>
      </c>
      <c r="W160" s="51" t="str">
        <f>IF(XT!$P160&gt;0,V160,"")</f>
        <v/>
      </c>
      <c r="X160" s="51" t="str">
        <f>IF(XT!$P160=0,V160,"")</f>
        <v/>
      </c>
      <c r="Y160">
        <f>SUMPRODUCT((MONTH(CHOOSE({1,2,3,4},XT!U160,XT!Y160,XT!AC160,XT!AG160))=7)*(CHOOSE({1,2,3,4},XT!X160,XT!AB160,XT!AF160,XT!AJ160)))</f>
        <v>0</v>
      </c>
      <c r="Z160" t="str">
        <f>IFERROR(INDEX(CHOOSE({1,2,3,4}, DAY(XT!U160), DAY(XT!Y160), DAY(XT!AC160), DAY(XT!AG160)), MATCH(1, INDEX(--(MONTH(CHOOSE({1,2,3,4}, XT!U160,XT!Y160,XT!AC160,XT!AG160))=7), 0), 0)), "")</f>
        <v/>
      </c>
      <c r="AA160" s="51" t="str">
        <f>IF(XT!$P160&gt;0,Z160,"")</f>
        <v/>
      </c>
      <c r="AB160" s="51" t="str">
        <f>IF(XT!$P160=0,Z160,"")</f>
        <v/>
      </c>
      <c r="AC160">
        <f>SUMPRODUCT((MONTH(CHOOSE({1,2,3,4},XT!U160,XT!Y160,XT!AC160,XT!AG160))=8)*(CHOOSE({1,2,3,4},XT!X160,XT!AB160,XT!AF160,XT!AJ160)))</f>
        <v>0</v>
      </c>
      <c r="AD160" t="str">
        <f>IFERROR(INDEX(CHOOSE({1,2,3,4}, DAY(XT!U160), DAY(XT!Y160), DAY(XT!AC160), DAY(XT!AG160)), MATCH(1, INDEX(--(MONTH(CHOOSE({1,2,3,4}, XT!U160,XT!Y160,XT!AC160,XT!AG160))=8), 0), 0)), "")</f>
        <v/>
      </c>
      <c r="AE160" s="51" t="str">
        <f>IF(XT!$P160&gt;0,AD160,"")</f>
        <v/>
      </c>
      <c r="AF160" s="51" t="str">
        <f>IF(XT!$P160=0,AD160,"")</f>
        <v/>
      </c>
      <c r="AG160">
        <f>SUMPRODUCT((MONTH(CHOOSE({1,2,3,4},XT!U160,XT!Y160,XT!AC160,XT!AG160))=9)*(CHOOSE({1,2,3,4},XT!X160,XT!AB160,XT!AF160,XT!AJ160)))</f>
        <v>0</v>
      </c>
      <c r="AH160" t="str">
        <f>IFERROR(INDEX(CHOOSE({1,2,3,4}, DAY(XT!U160), DAY(XT!Y160), DAY(XT!AC160), DAY(XT!AG160)), MATCH(1, INDEX(--(MONTH(CHOOSE({1,2,3,4}, XT!U160,XT!Y160,XT!AC160,XT!AG160))=9), 0), 0)), "")</f>
        <v/>
      </c>
      <c r="AI160" s="51" t="str">
        <f>IF(XT!$P160&gt;0,AH160,"")</f>
        <v/>
      </c>
      <c r="AJ160" s="51" t="str">
        <f>IF(XT!$P160=0,AH160,"")</f>
        <v/>
      </c>
      <c r="AK160">
        <f>SUMPRODUCT((MONTH(CHOOSE({1,2,3,4},XT!U160,XT!Y160,XT!AC160,XT!AG160))=10)*(CHOOSE({1,2,3,4},XT!X160,XT!AB160,XT!AF160,XT!AJ160)))</f>
        <v>0</v>
      </c>
      <c r="AL160" t="str">
        <f>IFERROR(INDEX(CHOOSE({1,2,3,4}, DAY(XT!U160), DAY(XT!Y160), DAY(XT!AC160), DAY(XT!AG160)), MATCH(1, INDEX(--(MONTH(CHOOSE({1,2,3,4}, XT!U160,XT!Y160,XT!AC160,XT!AG160))=10), 0), 0)), "")</f>
        <v/>
      </c>
      <c r="AM160" s="51" t="str">
        <f>IF(XT!$P160&gt;0,AL160,"")</f>
        <v/>
      </c>
      <c r="AN160" s="51" t="str">
        <f>IF(XT!$P160=0,AL160,"")</f>
        <v/>
      </c>
      <c r="AO160">
        <f>SUMPRODUCT((MONTH(CHOOSE({1,2,3,4},XT!U160,XT!Y160,XT!AC160,XT!AG160))=11)*(CHOOSE({1,2,3,4},XT!X160,XT!AB160,XT!AF160,XT!AJ160)))</f>
        <v>0</v>
      </c>
      <c r="AP160" t="str">
        <f>IFERROR(INDEX(CHOOSE({1,2,3,4}, DAY(XT!U160), DAY(XT!Y160), DAY(XT!AC160), DAY(XT!AG160)), MATCH(1, INDEX(--(MONTH(CHOOSE({1,2,3,4}, XT!U160,XT!Y160,XT!AC160,XT!AG160))=11), 0), 0)), "")</f>
        <v/>
      </c>
      <c r="AQ160" s="51" t="str">
        <f>IF(XT!$P160&gt;0,AP160,"")</f>
        <v/>
      </c>
      <c r="AR160" s="51" t="str">
        <f>IF(XT!$P160=0,AP160,"")</f>
        <v/>
      </c>
      <c r="AS160">
        <f>SUMPRODUCT((MONTH(CHOOSE({1,2,3,4},XT!U160,XT!Y160,XT!AC160,XT!AG160))=12)*(CHOOSE({1,2,3,4},XT!X160,XT!AB160,XT!AF160,XT!AJ160)))</f>
        <v>0</v>
      </c>
      <c r="AT160" t="str">
        <f>IFERROR(INDEX(CHOOSE({1,2,3,4}, DAY(XT!U160), DAY(XT!Y160), DAY(XT!AC160), DAY(XT!AG160)), MATCH(1, INDEX(--(MONTH(CHOOSE({1,2,3,4}, XT!U160,XT!Y160,XT!AC160,XT!AG160))=12), 0), 0)), "")</f>
        <v/>
      </c>
      <c r="AU160" s="51" t="str">
        <f>IF(XT!$P160&gt;0,AT160,"")</f>
        <v/>
      </c>
      <c r="AV160" s="51" t="str">
        <f>IF(XT!$P160=0,AT160,"")</f>
        <v/>
      </c>
    </row>
    <row r="161" spans="1:48">
      <c r="A161">
        <f>SUMPRODUCT((MONTH(CHOOSE({1,2,3,4},XT!U161,XT!Y161,XT!AC161,XT!AG161))=1)*(CHOOSE({1,2,3,4},XT!X161,XT!AB161,XT!AF161,XT!AJ161)))</f>
        <v>0</v>
      </c>
      <c r="B161">
        <f>IFERROR(INDEX(CHOOSE({1,2,3,4}, DAY(XT!U161), DAY(XT!Y161), DAY(XT!AC161), DAY(XT!AG161)), MATCH(1, INDEX(--(MONTH(CHOOSE({1,2,3,4}, XT!U161,XT!Y161,XT!AC161,XT!AG161))=1), 0), 0)), "")</f>
        <v>0</v>
      </c>
      <c r="C161" s="51" t="str">
        <f>IF(XT!$P161&gt;0,B161,"")</f>
        <v/>
      </c>
      <c r="D161" s="51">
        <f>IF(XT!$P161=0,B161,"")</f>
        <v>0</v>
      </c>
      <c r="E161">
        <f>SUMPRODUCT((MONTH(CHOOSE({1,2,3,4},XT!U161,XT!Y161,XT!AC161,XT!AG161))=2)*(CHOOSE({1,2,3,4},XT!X161,XT!AB161,XT!AF161,XT!AJ161)))</f>
        <v>0</v>
      </c>
      <c r="F161" t="str">
        <f>IFERROR(INDEX(CHOOSE({1,2,3,4}, DAY(XT!U161), DAY(XT!Y161), DAY(XT!AC161), DAY(XT!AG161)), MATCH(1, INDEX(--(MONTH(CHOOSE({1,2,3,4}, XT!U161,XT!Y161,XT!AC161,XT!AG161))=2), 0), 0)), "")</f>
        <v/>
      </c>
      <c r="G161" s="51" t="str">
        <f>IF(XT!$P161&gt;0,F161,"")</f>
        <v/>
      </c>
      <c r="H161" s="51" t="str">
        <f>IF(XT!$P161=0,F161,"")</f>
        <v/>
      </c>
      <c r="I161">
        <f>SUMPRODUCT((MONTH(CHOOSE({1,2,3,4},XT!U161,XT!Y161,XT!AC161,XT!AG161))=3)*(CHOOSE({1,2,3,4},XT!X161,XT!AB161,XT!AF161,XT!AJ161)))</f>
        <v>0</v>
      </c>
      <c r="J161" t="str">
        <f>IFERROR(INDEX(CHOOSE({1,2,3,4}, DAY(XT!U161), DAY(XT!Y161), DAY(XT!AC161), DAY(XT!AG161)), MATCH(1, INDEX(--(MONTH(CHOOSE({1,2,3,4}, XT!U161,XT!Y161,XT!AC161,XT!AG161))=3), 0), 0)), "")</f>
        <v/>
      </c>
      <c r="K161" s="51" t="str">
        <f>IF(XT!$P161&gt;0,J161,"")</f>
        <v/>
      </c>
      <c r="L161" s="51" t="str">
        <f>IF(XT!$P161=0,J161,"")</f>
        <v/>
      </c>
      <c r="M161">
        <f>SUMPRODUCT((MONTH(CHOOSE({1,2,3,4},XT!U161,XT!Y161,XT!AC161,XT!AG161))=4)*(CHOOSE({1,2,3,4},XT!X161,XT!AB161,XT!AF161,XT!AJ161)))</f>
        <v>0</v>
      </c>
      <c r="N161" t="str">
        <f>IFERROR(INDEX(CHOOSE({1,2,3,4}, DAY(XT!U161), DAY(XT!Y161), DAY(XT!AC161), DAY(XT!AG161)), MATCH(1, INDEX(--(MONTH(CHOOSE({1,2,3,4}, XT!U161,XT!Y161,XT!AC161,XT!AG161))=4), 0), 0)), "")</f>
        <v/>
      </c>
      <c r="O161" s="51" t="str">
        <f>IF(XT!$P161&gt;0,N161,"")</f>
        <v/>
      </c>
      <c r="P161" s="51" t="str">
        <f>IF(XT!$P161=0,N161,"")</f>
        <v/>
      </c>
      <c r="Q161">
        <f>SUMPRODUCT((MONTH(CHOOSE({1,2,3,4},XT!U161,XT!Y161,XT!AC161,XT!AG161))=5)*(CHOOSE({1,2,3,4},XT!X161,XT!AB161,XT!AF161,XT!AJ161)))</f>
        <v>0</v>
      </c>
      <c r="R161" t="str">
        <f>IFERROR(INDEX(CHOOSE({1,2,3,4}, DAY(XT!U161), DAY(XT!Y161), DAY(XT!AC161), DAY(XT!AG161)), MATCH(1, INDEX(--(MONTH(CHOOSE({1,2,3,4}, XT!U161,XT!Y161,XT!AC161,XT!AG161))=5), 0), 0)), "")</f>
        <v/>
      </c>
      <c r="S161" s="51" t="str">
        <f>IF(XT!$P161&gt;0,R161,"")</f>
        <v/>
      </c>
      <c r="T161" s="51" t="str">
        <f>IF(XT!$P161=0,R161,"")</f>
        <v/>
      </c>
      <c r="U161">
        <f>SUMPRODUCT((MONTH(CHOOSE({1,2,3,4},XT!U161,XT!Y161,XT!AC161,XT!AG161))=6)*(CHOOSE({1,2,3,4},XT!X161,XT!AB161,XT!AF161,XT!AJ161)))</f>
        <v>0</v>
      </c>
      <c r="V161" t="str">
        <f>IFERROR(INDEX(CHOOSE({1,2,3,4}, DAY(XT!U161), DAY(XT!Y161), DAY(XT!AC161), DAY(XT!AG161)), MATCH(1, INDEX(--(MONTH(CHOOSE({1,2,3,4}, XT!U161,XT!Y161,XT!AC161,XT!AG161))=6), 0), 0)), "")</f>
        <v/>
      </c>
      <c r="W161" s="51" t="str">
        <f>IF(XT!$P161&gt;0,V161,"")</f>
        <v/>
      </c>
      <c r="X161" s="51" t="str">
        <f>IF(XT!$P161=0,V161,"")</f>
        <v/>
      </c>
      <c r="Y161">
        <f>SUMPRODUCT((MONTH(CHOOSE({1,2,3,4},XT!U161,XT!Y161,XT!AC161,XT!AG161))=7)*(CHOOSE({1,2,3,4},XT!X161,XT!AB161,XT!AF161,XT!AJ161)))</f>
        <v>0</v>
      </c>
      <c r="Z161" t="str">
        <f>IFERROR(INDEX(CHOOSE({1,2,3,4}, DAY(XT!U161), DAY(XT!Y161), DAY(XT!AC161), DAY(XT!AG161)), MATCH(1, INDEX(--(MONTH(CHOOSE({1,2,3,4}, XT!U161,XT!Y161,XT!AC161,XT!AG161))=7), 0), 0)), "")</f>
        <v/>
      </c>
      <c r="AA161" s="51" t="str">
        <f>IF(XT!$P161&gt;0,Z161,"")</f>
        <v/>
      </c>
      <c r="AB161" s="51" t="str">
        <f>IF(XT!$P161=0,Z161,"")</f>
        <v/>
      </c>
      <c r="AC161">
        <f>SUMPRODUCT((MONTH(CHOOSE({1,2,3,4},XT!U161,XT!Y161,XT!AC161,XT!AG161))=8)*(CHOOSE({1,2,3,4},XT!X161,XT!AB161,XT!AF161,XT!AJ161)))</f>
        <v>0</v>
      </c>
      <c r="AD161" t="str">
        <f>IFERROR(INDEX(CHOOSE({1,2,3,4}, DAY(XT!U161), DAY(XT!Y161), DAY(XT!AC161), DAY(XT!AG161)), MATCH(1, INDEX(--(MONTH(CHOOSE({1,2,3,4}, XT!U161,XT!Y161,XT!AC161,XT!AG161))=8), 0), 0)), "")</f>
        <v/>
      </c>
      <c r="AE161" s="51" t="str">
        <f>IF(XT!$P161&gt;0,AD161,"")</f>
        <v/>
      </c>
      <c r="AF161" s="51" t="str">
        <f>IF(XT!$P161=0,AD161,"")</f>
        <v/>
      </c>
      <c r="AG161">
        <f>SUMPRODUCT((MONTH(CHOOSE({1,2,3,4},XT!U161,XT!Y161,XT!AC161,XT!AG161))=9)*(CHOOSE({1,2,3,4},XT!X161,XT!AB161,XT!AF161,XT!AJ161)))</f>
        <v>0</v>
      </c>
      <c r="AH161" t="str">
        <f>IFERROR(INDEX(CHOOSE({1,2,3,4}, DAY(XT!U161), DAY(XT!Y161), DAY(XT!AC161), DAY(XT!AG161)), MATCH(1, INDEX(--(MONTH(CHOOSE({1,2,3,4}, XT!U161,XT!Y161,XT!AC161,XT!AG161))=9), 0), 0)), "")</f>
        <v/>
      </c>
      <c r="AI161" s="51" t="str">
        <f>IF(XT!$P161&gt;0,AH161,"")</f>
        <v/>
      </c>
      <c r="AJ161" s="51" t="str">
        <f>IF(XT!$P161=0,AH161,"")</f>
        <v/>
      </c>
      <c r="AK161">
        <f>SUMPRODUCT((MONTH(CHOOSE({1,2,3,4},XT!U161,XT!Y161,XT!AC161,XT!AG161))=10)*(CHOOSE({1,2,3,4},XT!X161,XT!AB161,XT!AF161,XT!AJ161)))</f>
        <v>0</v>
      </c>
      <c r="AL161" t="str">
        <f>IFERROR(INDEX(CHOOSE({1,2,3,4}, DAY(XT!U161), DAY(XT!Y161), DAY(XT!AC161), DAY(XT!AG161)), MATCH(1, INDEX(--(MONTH(CHOOSE({1,2,3,4}, XT!U161,XT!Y161,XT!AC161,XT!AG161))=10), 0), 0)), "")</f>
        <v/>
      </c>
      <c r="AM161" s="51" t="str">
        <f>IF(XT!$P161&gt;0,AL161,"")</f>
        <v/>
      </c>
      <c r="AN161" s="51" t="str">
        <f>IF(XT!$P161=0,AL161,"")</f>
        <v/>
      </c>
      <c r="AO161">
        <f>SUMPRODUCT((MONTH(CHOOSE({1,2,3,4},XT!U161,XT!Y161,XT!AC161,XT!AG161))=11)*(CHOOSE({1,2,3,4},XT!X161,XT!AB161,XT!AF161,XT!AJ161)))</f>
        <v>0</v>
      </c>
      <c r="AP161" t="str">
        <f>IFERROR(INDEX(CHOOSE({1,2,3,4}, DAY(XT!U161), DAY(XT!Y161), DAY(XT!AC161), DAY(XT!AG161)), MATCH(1, INDEX(--(MONTH(CHOOSE({1,2,3,4}, XT!U161,XT!Y161,XT!AC161,XT!AG161))=11), 0), 0)), "")</f>
        <v/>
      </c>
      <c r="AQ161" s="51" t="str">
        <f>IF(XT!$P161&gt;0,AP161,"")</f>
        <v/>
      </c>
      <c r="AR161" s="51" t="str">
        <f>IF(XT!$P161=0,AP161,"")</f>
        <v/>
      </c>
      <c r="AS161">
        <f>SUMPRODUCT((MONTH(CHOOSE({1,2,3,4},XT!U161,XT!Y161,XT!AC161,XT!AG161))=12)*(CHOOSE({1,2,3,4},XT!X161,XT!AB161,XT!AF161,XT!AJ161)))</f>
        <v>0</v>
      </c>
      <c r="AT161" t="str">
        <f>IFERROR(INDEX(CHOOSE({1,2,3,4}, DAY(XT!U161), DAY(XT!Y161), DAY(XT!AC161), DAY(XT!AG161)), MATCH(1, INDEX(--(MONTH(CHOOSE({1,2,3,4}, XT!U161,XT!Y161,XT!AC161,XT!AG161))=12), 0), 0)), "")</f>
        <v/>
      </c>
      <c r="AU161" s="51" t="str">
        <f>IF(XT!$P161&gt;0,AT161,"")</f>
        <v/>
      </c>
      <c r="AV161" s="51" t="str">
        <f>IF(XT!$P161=0,AT161,"")</f>
        <v/>
      </c>
    </row>
    <row r="162" spans="1:48">
      <c r="A162">
        <f>SUMPRODUCT((MONTH(CHOOSE({1,2,3,4},XT!U162,XT!Y162,XT!AC162,XT!AG162))=1)*(CHOOSE({1,2,3,4},XT!X162,XT!AB162,XT!AF162,XT!AJ162)))</f>
        <v>0</v>
      </c>
      <c r="B162">
        <f>IFERROR(INDEX(CHOOSE({1,2,3,4}, DAY(XT!U162), DAY(XT!Y162), DAY(XT!AC162), DAY(XT!AG162)), MATCH(1, INDEX(--(MONTH(CHOOSE({1,2,3,4}, XT!U162,XT!Y162,XT!AC162,XT!AG162))=1), 0), 0)), "")</f>
        <v>0</v>
      </c>
      <c r="C162" s="51" t="str">
        <f>IF(XT!$P162&gt;0,B162,"")</f>
        <v/>
      </c>
      <c r="D162" s="51">
        <f>IF(XT!$P162=0,B162,"")</f>
        <v>0</v>
      </c>
      <c r="E162">
        <f>SUMPRODUCT((MONTH(CHOOSE({1,2,3,4},XT!U162,XT!Y162,XT!AC162,XT!AG162))=2)*(CHOOSE({1,2,3,4},XT!X162,XT!AB162,XT!AF162,XT!AJ162)))</f>
        <v>0</v>
      </c>
      <c r="F162" t="str">
        <f>IFERROR(INDEX(CHOOSE({1,2,3,4}, DAY(XT!U162), DAY(XT!Y162), DAY(XT!AC162), DAY(XT!AG162)), MATCH(1, INDEX(--(MONTH(CHOOSE({1,2,3,4}, XT!U162,XT!Y162,XT!AC162,XT!AG162))=2), 0), 0)), "")</f>
        <v/>
      </c>
      <c r="G162" s="51" t="str">
        <f>IF(XT!$P162&gt;0,F162,"")</f>
        <v/>
      </c>
      <c r="H162" s="51" t="str">
        <f>IF(XT!$P162=0,F162,"")</f>
        <v/>
      </c>
      <c r="I162">
        <f>SUMPRODUCT((MONTH(CHOOSE({1,2,3,4},XT!U162,XT!Y162,XT!AC162,XT!AG162))=3)*(CHOOSE({1,2,3,4},XT!X162,XT!AB162,XT!AF162,XT!AJ162)))</f>
        <v>0</v>
      </c>
      <c r="J162" t="str">
        <f>IFERROR(INDEX(CHOOSE({1,2,3,4}, DAY(XT!U162), DAY(XT!Y162), DAY(XT!AC162), DAY(XT!AG162)), MATCH(1, INDEX(--(MONTH(CHOOSE({1,2,3,4}, XT!U162,XT!Y162,XT!AC162,XT!AG162))=3), 0), 0)), "")</f>
        <v/>
      </c>
      <c r="K162" s="51" t="str">
        <f>IF(XT!$P162&gt;0,J162,"")</f>
        <v/>
      </c>
      <c r="L162" s="51" t="str">
        <f>IF(XT!$P162=0,J162,"")</f>
        <v/>
      </c>
      <c r="M162">
        <f>SUMPRODUCT((MONTH(CHOOSE({1,2,3,4},XT!U162,XT!Y162,XT!AC162,XT!AG162))=4)*(CHOOSE({1,2,3,4},XT!X162,XT!AB162,XT!AF162,XT!AJ162)))</f>
        <v>0</v>
      </c>
      <c r="N162" t="str">
        <f>IFERROR(INDEX(CHOOSE({1,2,3,4}, DAY(XT!U162), DAY(XT!Y162), DAY(XT!AC162), DAY(XT!AG162)), MATCH(1, INDEX(--(MONTH(CHOOSE({1,2,3,4}, XT!U162,XT!Y162,XT!AC162,XT!AG162))=4), 0), 0)), "")</f>
        <v/>
      </c>
      <c r="O162" s="51" t="str">
        <f>IF(XT!$P162&gt;0,N162,"")</f>
        <v/>
      </c>
      <c r="P162" s="51" t="str">
        <f>IF(XT!$P162=0,N162,"")</f>
        <v/>
      </c>
      <c r="Q162">
        <f>SUMPRODUCT((MONTH(CHOOSE({1,2,3,4},XT!U162,XT!Y162,XT!AC162,XT!AG162))=5)*(CHOOSE({1,2,3,4},XT!X162,XT!AB162,XT!AF162,XT!AJ162)))</f>
        <v>0</v>
      </c>
      <c r="R162" t="str">
        <f>IFERROR(INDEX(CHOOSE({1,2,3,4}, DAY(XT!U162), DAY(XT!Y162), DAY(XT!AC162), DAY(XT!AG162)), MATCH(1, INDEX(--(MONTH(CHOOSE({1,2,3,4}, XT!U162,XT!Y162,XT!AC162,XT!AG162))=5), 0), 0)), "")</f>
        <v/>
      </c>
      <c r="S162" s="51" t="str">
        <f>IF(XT!$P162&gt;0,R162,"")</f>
        <v/>
      </c>
      <c r="T162" s="51" t="str">
        <f>IF(XT!$P162=0,R162,"")</f>
        <v/>
      </c>
      <c r="U162">
        <f>SUMPRODUCT((MONTH(CHOOSE({1,2,3,4},XT!U162,XT!Y162,XT!AC162,XT!AG162))=6)*(CHOOSE({1,2,3,4},XT!X162,XT!AB162,XT!AF162,XT!AJ162)))</f>
        <v>0</v>
      </c>
      <c r="V162" t="str">
        <f>IFERROR(INDEX(CHOOSE({1,2,3,4}, DAY(XT!U162), DAY(XT!Y162), DAY(XT!AC162), DAY(XT!AG162)), MATCH(1, INDEX(--(MONTH(CHOOSE({1,2,3,4}, XT!U162,XT!Y162,XT!AC162,XT!AG162))=6), 0), 0)), "")</f>
        <v/>
      </c>
      <c r="W162" s="51" t="str">
        <f>IF(XT!$P162&gt;0,V162,"")</f>
        <v/>
      </c>
      <c r="X162" s="51" t="str">
        <f>IF(XT!$P162=0,V162,"")</f>
        <v/>
      </c>
      <c r="Y162">
        <f>SUMPRODUCT((MONTH(CHOOSE({1,2,3,4},XT!U162,XT!Y162,XT!AC162,XT!AG162))=7)*(CHOOSE({1,2,3,4},XT!X162,XT!AB162,XT!AF162,XT!AJ162)))</f>
        <v>0</v>
      </c>
      <c r="Z162" t="str">
        <f>IFERROR(INDEX(CHOOSE({1,2,3,4}, DAY(XT!U162), DAY(XT!Y162), DAY(XT!AC162), DAY(XT!AG162)), MATCH(1, INDEX(--(MONTH(CHOOSE({1,2,3,4}, XT!U162,XT!Y162,XT!AC162,XT!AG162))=7), 0), 0)), "")</f>
        <v/>
      </c>
      <c r="AA162" s="51" t="str">
        <f>IF(XT!$P162&gt;0,Z162,"")</f>
        <v/>
      </c>
      <c r="AB162" s="51" t="str">
        <f>IF(XT!$P162=0,Z162,"")</f>
        <v/>
      </c>
      <c r="AC162">
        <f>SUMPRODUCT((MONTH(CHOOSE({1,2,3,4},XT!U162,XT!Y162,XT!AC162,XT!AG162))=8)*(CHOOSE({1,2,3,4},XT!X162,XT!AB162,XT!AF162,XT!AJ162)))</f>
        <v>0</v>
      </c>
      <c r="AD162" t="str">
        <f>IFERROR(INDEX(CHOOSE({1,2,3,4}, DAY(XT!U162), DAY(XT!Y162), DAY(XT!AC162), DAY(XT!AG162)), MATCH(1, INDEX(--(MONTH(CHOOSE({1,2,3,4}, XT!U162,XT!Y162,XT!AC162,XT!AG162))=8), 0), 0)), "")</f>
        <v/>
      </c>
      <c r="AE162" s="51" t="str">
        <f>IF(XT!$P162&gt;0,AD162,"")</f>
        <v/>
      </c>
      <c r="AF162" s="51" t="str">
        <f>IF(XT!$P162=0,AD162,"")</f>
        <v/>
      </c>
      <c r="AG162">
        <f>SUMPRODUCT((MONTH(CHOOSE({1,2,3,4},XT!U162,XT!Y162,XT!AC162,XT!AG162))=9)*(CHOOSE({1,2,3,4},XT!X162,XT!AB162,XT!AF162,XT!AJ162)))</f>
        <v>0</v>
      </c>
      <c r="AH162" t="str">
        <f>IFERROR(INDEX(CHOOSE({1,2,3,4}, DAY(XT!U162), DAY(XT!Y162), DAY(XT!AC162), DAY(XT!AG162)), MATCH(1, INDEX(--(MONTH(CHOOSE({1,2,3,4}, XT!U162,XT!Y162,XT!AC162,XT!AG162))=9), 0), 0)), "")</f>
        <v/>
      </c>
      <c r="AI162" s="51" t="str">
        <f>IF(XT!$P162&gt;0,AH162,"")</f>
        <v/>
      </c>
      <c r="AJ162" s="51" t="str">
        <f>IF(XT!$P162=0,AH162,"")</f>
        <v/>
      </c>
      <c r="AK162">
        <f>SUMPRODUCT((MONTH(CHOOSE({1,2,3,4},XT!U162,XT!Y162,XT!AC162,XT!AG162))=10)*(CHOOSE({1,2,3,4},XT!X162,XT!AB162,XT!AF162,XT!AJ162)))</f>
        <v>0</v>
      </c>
      <c r="AL162" t="str">
        <f>IFERROR(INDEX(CHOOSE({1,2,3,4}, DAY(XT!U162), DAY(XT!Y162), DAY(XT!AC162), DAY(XT!AG162)), MATCH(1, INDEX(--(MONTH(CHOOSE({1,2,3,4}, XT!U162,XT!Y162,XT!AC162,XT!AG162))=10), 0), 0)), "")</f>
        <v/>
      </c>
      <c r="AM162" s="51" t="str">
        <f>IF(XT!$P162&gt;0,AL162,"")</f>
        <v/>
      </c>
      <c r="AN162" s="51" t="str">
        <f>IF(XT!$P162=0,AL162,"")</f>
        <v/>
      </c>
      <c r="AO162">
        <f>SUMPRODUCT((MONTH(CHOOSE({1,2,3,4},XT!U162,XT!Y162,XT!AC162,XT!AG162))=11)*(CHOOSE({1,2,3,4},XT!X162,XT!AB162,XT!AF162,XT!AJ162)))</f>
        <v>0</v>
      </c>
      <c r="AP162" t="str">
        <f>IFERROR(INDEX(CHOOSE({1,2,3,4}, DAY(XT!U162), DAY(XT!Y162), DAY(XT!AC162), DAY(XT!AG162)), MATCH(1, INDEX(--(MONTH(CHOOSE({1,2,3,4}, XT!U162,XT!Y162,XT!AC162,XT!AG162))=11), 0), 0)), "")</f>
        <v/>
      </c>
      <c r="AQ162" s="51" t="str">
        <f>IF(XT!$P162&gt;0,AP162,"")</f>
        <v/>
      </c>
      <c r="AR162" s="51" t="str">
        <f>IF(XT!$P162=0,AP162,"")</f>
        <v/>
      </c>
      <c r="AS162">
        <f>SUMPRODUCT((MONTH(CHOOSE({1,2,3,4},XT!U162,XT!Y162,XT!AC162,XT!AG162))=12)*(CHOOSE({1,2,3,4},XT!X162,XT!AB162,XT!AF162,XT!AJ162)))</f>
        <v>0</v>
      </c>
      <c r="AT162" t="str">
        <f>IFERROR(INDEX(CHOOSE({1,2,3,4}, DAY(XT!U162), DAY(XT!Y162), DAY(XT!AC162), DAY(XT!AG162)), MATCH(1, INDEX(--(MONTH(CHOOSE({1,2,3,4}, XT!U162,XT!Y162,XT!AC162,XT!AG162))=12), 0), 0)), "")</f>
        <v/>
      </c>
      <c r="AU162" s="51" t="str">
        <f>IF(XT!$P162&gt;0,AT162,"")</f>
        <v/>
      </c>
      <c r="AV162" s="51" t="str">
        <f>IF(XT!$P162=0,AT162,"")</f>
        <v/>
      </c>
    </row>
    <row r="163" spans="1:48">
      <c r="A163">
        <f>SUMPRODUCT((MONTH(CHOOSE({1,2,3,4},XT!U163,XT!Y163,XT!AC163,XT!AG163))=1)*(CHOOSE({1,2,3,4},XT!X163,XT!AB163,XT!AF163,XT!AJ163)))</f>
        <v>0</v>
      </c>
      <c r="B163">
        <f>IFERROR(INDEX(CHOOSE({1,2,3,4}, DAY(XT!U163), DAY(XT!Y163), DAY(XT!AC163), DAY(XT!AG163)), MATCH(1, INDEX(--(MONTH(CHOOSE({1,2,3,4}, XT!U163,XT!Y163,XT!AC163,XT!AG163))=1), 0), 0)), "")</f>
        <v>0</v>
      </c>
      <c r="C163" s="51" t="str">
        <f>IF(XT!$P163&gt;0,B163,"")</f>
        <v/>
      </c>
      <c r="D163" s="51">
        <f>IF(XT!$P163=0,B163,"")</f>
        <v>0</v>
      </c>
      <c r="E163">
        <f>SUMPRODUCT((MONTH(CHOOSE({1,2,3,4},XT!U163,XT!Y163,XT!AC163,XT!AG163))=2)*(CHOOSE({1,2,3,4},XT!X163,XT!AB163,XT!AF163,XT!AJ163)))</f>
        <v>0</v>
      </c>
      <c r="F163" t="str">
        <f>IFERROR(INDEX(CHOOSE({1,2,3,4}, DAY(XT!U163), DAY(XT!Y163), DAY(XT!AC163), DAY(XT!AG163)), MATCH(1, INDEX(--(MONTH(CHOOSE({1,2,3,4}, XT!U163,XT!Y163,XT!AC163,XT!AG163))=2), 0), 0)), "")</f>
        <v/>
      </c>
      <c r="G163" s="51" t="str">
        <f>IF(XT!$P163&gt;0,F163,"")</f>
        <v/>
      </c>
      <c r="H163" s="51" t="str">
        <f>IF(XT!$P163=0,F163,"")</f>
        <v/>
      </c>
      <c r="I163">
        <f>SUMPRODUCT((MONTH(CHOOSE({1,2,3,4},XT!U163,XT!Y163,XT!AC163,XT!AG163))=3)*(CHOOSE({1,2,3,4},XT!X163,XT!AB163,XT!AF163,XT!AJ163)))</f>
        <v>0</v>
      </c>
      <c r="J163" t="str">
        <f>IFERROR(INDEX(CHOOSE({1,2,3,4}, DAY(XT!U163), DAY(XT!Y163), DAY(XT!AC163), DAY(XT!AG163)), MATCH(1, INDEX(--(MONTH(CHOOSE({1,2,3,4}, XT!U163,XT!Y163,XT!AC163,XT!AG163))=3), 0), 0)), "")</f>
        <v/>
      </c>
      <c r="K163" s="51" t="str">
        <f>IF(XT!$P163&gt;0,J163,"")</f>
        <v/>
      </c>
      <c r="L163" s="51" t="str">
        <f>IF(XT!$P163=0,J163,"")</f>
        <v/>
      </c>
      <c r="M163">
        <f>SUMPRODUCT((MONTH(CHOOSE({1,2,3,4},XT!U163,XT!Y163,XT!AC163,XT!AG163))=4)*(CHOOSE({1,2,3,4},XT!X163,XT!AB163,XT!AF163,XT!AJ163)))</f>
        <v>0</v>
      </c>
      <c r="N163" t="str">
        <f>IFERROR(INDEX(CHOOSE({1,2,3,4}, DAY(XT!U163), DAY(XT!Y163), DAY(XT!AC163), DAY(XT!AG163)), MATCH(1, INDEX(--(MONTH(CHOOSE({1,2,3,4}, XT!U163,XT!Y163,XT!AC163,XT!AG163))=4), 0), 0)), "")</f>
        <v/>
      </c>
      <c r="O163" s="51" t="str">
        <f>IF(XT!$P163&gt;0,N163,"")</f>
        <v/>
      </c>
      <c r="P163" s="51" t="str">
        <f>IF(XT!$P163=0,N163,"")</f>
        <v/>
      </c>
      <c r="Q163">
        <f>SUMPRODUCT((MONTH(CHOOSE({1,2,3,4},XT!U163,XT!Y163,XT!AC163,XT!AG163))=5)*(CHOOSE({1,2,3,4},XT!X163,XT!AB163,XT!AF163,XT!AJ163)))</f>
        <v>0</v>
      </c>
      <c r="R163" t="str">
        <f>IFERROR(INDEX(CHOOSE({1,2,3,4}, DAY(XT!U163), DAY(XT!Y163), DAY(XT!AC163), DAY(XT!AG163)), MATCH(1, INDEX(--(MONTH(CHOOSE({1,2,3,4}, XT!U163,XT!Y163,XT!AC163,XT!AG163))=5), 0), 0)), "")</f>
        <v/>
      </c>
      <c r="S163" s="51" t="str">
        <f>IF(XT!$P163&gt;0,R163,"")</f>
        <v/>
      </c>
      <c r="T163" s="51" t="str">
        <f>IF(XT!$P163=0,R163,"")</f>
        <v/>
      </c>
      <c r="U163">
        <f>SUMPRODUCT((MONTH(CHOOSE({1,2,3,4},XT!U163,XT!Y163,XT!AC163,XT!AG163))=6)*(CHOOSE({1,2,3,4},XT!X163,XT!AB163,XT!AF163,XT!AJ163)))</f>
        <v>0</v>
      </c>
      <c r="V163" t="str">
        <f>IFERROR(INDEX(CHOOSE({1,2,3,4}, DAY(XT!U163), DAY(XT!Y163), DAY(XT!AC163), DAY(XT!AG163)), MATCH(1, INDEX(--(MONTH(CHOOSE({1,2,3,4}, XT!U163,XT!Y163,XT!AC163,XT!AG163))=6), 0), 0)), "")</f>
        <v/>
      </c>
      <c r="W163" s="51" t="str">
        <f>IF(XT!$P163&gt;0,V163,"")</f>
        <v/>
      </c>
      <c r="X163" s="51" t="str">
        <f>IF(XT!$P163=0,V163,"")</f>
        <v/>
      </c>
      <c r="Y163">
        <f>SUMPRODUCT((MONTH(CHOOSE({1,2,3,4},XT!U163,XT!Y163,XT!AC163,XT!AG163))=7)*(CHOOSE({1,2,3,4},XT!X163,XT!AB163,XT!AF163,XT!AJ163)))</f>
        <v>0</v>
      </c>
      <c r="Z163" t="str">
        <f>IFERROR(INDEX(CHOOSE({1,2,3,4}, DAY(XT!U163), DAY(XT!Y163), DAY(XT!AC163), DAY(XT!AG163)), MATCH(1, INDEX(--(MONTH(CHOOSE({1,2,3,4}, XT!U163,XT!Y163,XT!AC163,XT!AG163))=7), 0), 0)), "")</f>
        <v/>
      </c>
      <c r="AA163" s="51" t="str">
        <f>IF(XT!$P163&gt;0,Z163,"")</f>
        <v/>
      </c>
      <c r="AB163" s="51" t="str">
        <f>IF(XT!$P163=0,Z163,"")</f>
        <v/>
      </c>
      <c r="AC163">
        <f>SUMPRODUCT((MONTH(CHOOSE({1,2,3,4},XT!U163,XT!Y163,XT!AC163,XT!AG163))=8)*(CHOOSE({1,2,3,4},XT!X163,XT!AB163,XT!AF163,XT!AJ163)))</f>
        <v>0</v>
      </c>
      <c r="AD163" t="str">
        <f>IFERROR(INDEX(CHOOSE({1,2,3,4}, DAY(XT!U163), DAY(XT!Y163), DAY(XT!AC163), DAY(XT!AG163)), MATCH(1, INDEX(--(MONTH(CHOOSE({1,2,3,4}, XT!U163,XT!Y163,XT!AC163,XT!AG163))=8), 0), 0)), "")</f>
        <v/>
      </c>
      <c r="AE163" s="51" t="str">
        <f>IF(XT!$P163&gt;0,AD163,"")</f>
        <v/>
      </c>
      <c r="AF163" s="51" t="str">
        <f>IF(XT!$P163=0,AD163,"")</f>
        <v/>
      </c>
      <c r="AG163">
        <f>SUMPRODUCT((MONTH(CHOOSE({1,2,3,4},XT!U163,XT!Y163,XT!AC163,XT!AG163))=9)*(CHOOSE({1,2,3,4},XT!X163,XT!AB163,XT!AF163,XT!AJ163)))</f>
        <v>0</v>
      </c>
      <c r="AH163" t="str">
        <f>IFERROR(INDEX(CHOOSE({1,2,3,4}, DAY(XT!U163), DAY(XT!Y163), DAY(XT!AC163), DAY(XT!AG163)), MATCH(1, INDEX(--(MONTH(CHOOSE({1,2,3,4}, XT!U163,XT!Y163,XT!AC163,XT!AG163))=9), 0), 0)), "")</f>
        <v/>
      </c>
      <c r="AI163" s="51" t="str">
        <f>IF(XT!$P163&gt;0,AH163,"")</f>
        <v/>
      </c>
      <c r="AJ163" s="51" t="str">
        <f>IF(XT!$P163=0,AH163,"")</f>
        <v/>
      </c>
      <c r="AK163">
        <f>SUMPRODUCT((MONTH(CHOOSE({1,2,3,4},XT!U163,XT!Y163,XT!AC163,XT!AG163))=10)*(CHOOSE({1,2,3,4},XT!X163,XT!AB163,XT!AF163,XT!AJ163)))</f>
        <v>0</v>
      </c>
      <c r="AL163" t="str">
        <f>IFERROR(INDEX(CHOOSE({1,2,3,4}, DAY(XT!U163), DAY(XT!Y163), DAY(XT!AC163), DAY(XT!AG163)), MATCH(1, INDEX(--(MONTH(CHOOSE({1,2,3,4}, XT!U163,XT!Y163,XT!AC163,XT!AG163))=10), 0), 0)), "")</f>
        <v/>
      </c>
      <c r="AM163" s="51" t="str">
        <f>IF(XT!$P163&gt;0,AL163,"")</f>
        <v/>
      </c>
      <c r="AN163" s="51" t="str">
        <f>IF(XT!$P163=0,AL163,"")</f>
        <v/>
      </c>
      <c r="AO163">
        <f>SUMPRODUCT((MONTH(CHOOSE({1,2,3,4},XT!U163,XT!Y163,XT!AC163,XT!AG163))=11)*(CHOOSE({1,2,3,4},XT!X163,XT!AB163,XT!AF163,XT!AJ163)))</f>
        <v>0</v>
      </c>
      <c r="AP163" t="str">
        <f>IFERROR(INDEX(CHOOSE({1,2,3,4}, DAY(XT!U163), DAY(XT!Y163), DAY(XT!AC163), DAY(XT!AG163)), MATCH(1, INDEX(--(MONTH(CHOOSE({1,2,3,4}, XT!U163,XT!Y163,XT!AC163,XT!AG163))=11), 0), 0)), "")</f>
        <v/>
      </c>
      <c r="AQ163" s="51" t="str">
        <f>IF(XT!$P163&gt;0,AP163,"")</f>
        <v/>
      </c>
      <c r="AR163" s="51" t="str">
        <f>IF(XT!$P163=0,AP163,"")</f>
        <v/>
      </c>
      <c r="AS163">
        <f>SUMPRODUCT((MONTH(CHOOSE({1,2,3,4},XT!U163,XT!Y163,XT!AC163,XT!AG163))=12)*(CHOOSE({1,2,3,4},XT!X163,XT!AB163,XT!AF163,XT!AJ163)))</f>
        <v>0</v>
      </c>
      <c r="AT163" t="str">
        <f>IFERROR(INDEX(CHOOSE({1,2,3,4}, DAY(XT!U163), DAY(XT!Y163), DAY(XT!AC163), DAY(XT!AG163)), MATCH(1, INDEX(--(MONTH(CHOOSE({1,2,3,4}, XT!U163,XT!Y163,XT!AC163,XT!AG163))=12), 0), 0)), "")</f>
        <v/>
      </c>
      <c r="AU163" s="51" t="str">
        <f>IF(XT!$P163&gt;0,AT163,"")</f>
        <v/>
      </c>
      <c r="AV163" s="51" t="str">
        <f>IF(XT!$P163=0,AT163,"")</f>
        <v/>
      </c>
    </row>
    <row r="164" spans="1:48">
      <c r="A164">
        <f>SUMPRODUCT((MONTH(CHOOSE({1,2,3,4},XT!U164,XT!Y164,XT!AC164,XT!AG164))=1)*(CHOOSE({1,2,3,4},XT!X164,XT!AB164,XT!AF164,XT!AJ164)))</f>
        <v>0</v>
      </c>
      <c r="B164">
        <f>IFERROR(INDEX(CHOOSE({1,2,3,4}, DAY(XT!U164), DAY(XT!Y164), DAY(XT!AC164), DAY(XT!AG164)), MATCH(1, INDEX(--(MONTH(CHOOSE({1,2,3,4}, XT!U164,XT!Y164,XT!AC164,XT!AG164))=1), 0), 0)), "")</f>
        <v>0</v>
      </c>
      <c r="C164" s="51" t="str">
        <f>IF(XT!$P164&gt;0,B164,"")</f>
        <v/>
      </c>
      <c r="D164" s="51">
        <f>IF(XT!$P164=0,B164,"")</f>
        <v>0</v>
      </c>
      <c r="E164">
        <f>SUMPRODUCT((MONTH(CHOOSE({1,2,3,4},XT!U164,XT!Y164,XT!AC164,XT!AG164))=2)*(CHOOSE({1,2,3,4},XT!X164,XT!AB164,XT!AF164,XT!AJ164)))</f>
        <v>0</v>
      </c>
      <c r="F164" t="str">
        <f>IFERROR(INDEX(CHOOSE({1,2,3,4}, DAY(XT!U164), DAY(XT!Y164), DAY(XT!AC164), DAY(XT!AG164)), MATCH(1, INDEX(--(MONTH(CHOOSE({1,2,3,4}, XT!U164,XT!Y164,XT!AC164,XT!AG164))=2), 0), 0)), "")</f>
        <v/>
      </c>
      <c r="G164" s="51" t="str">
        <f>IF(XT!$P164&gt;0,F164,"")</f>
        <v/>
      </c>
      <c r="H164" s="51" t="str">
        <f>IF(XT!$P164=0,F164,"")</f>
        <v/>
      </c>
      <c r="I164">
        <f>SUMPRODUCT((MONTH(CHOOSE({1,2,3,4},XT!U164,XT!Y164,XT!AC164,XT!AG164))=3)*(CHOOSE({1,2,3,4},XT!X164,XT!AB164,XT!AF164,XT!AJ164)))</f>
        <v>0</v>
      </c>
      <c r="J164" t="str">
        <f>IFERROR(INDEX(CHOOSE({1,2,3,4}, DAY(XT!U164), DAY(XT!Y164), DAY(XT!AC164), DAY(XT!AG164)), MATCH(1, INDEX(--(MONTH(CHOOSE({1,2,3,4}, XT!U164,XT!Y164,XT!AC164,XT!AG164))=3), 0), 0)), "")</f>
        <v/>
      </c>
      <c r="K164" s="51" t="str">
        <f>IF(XT!$P164&gt;0,J164,"")</f>
        <v/>
      </c>
      <c r="L164" s="51" t="str">
        <f>IF(XT!$P164=0,J164,"")</f>
        <v/>
      </c>
      <c r="M164">
        <f>SUMPRODUCT((MONTH(CHOOSE({1,2,3,4},XT!U164,XT!Y164,XT!AC164,XT!AG164))=4)*(CHOOSE({1,2,3,4},XT!X164,XT!AB164,XT!AF164,XT!AJ164)))</f>
        <v>0</v>
      </c>
      <c r="N164" t="str">
        <f>IFERROR(INDEX(CHOOSE({1,2,3,4}, DAY(XT!U164), DAY(XT!Y164), DAY(XT!AC164), DAY(XT!AG164)), MATCH(1, INDEX(--(MONTH(CHOOSE({1,2,3,4}, XT!U164,XT!Y164,XT!AC164,XT!AG164))=4), 0), 0)), "")</f>
        <v/>
      </c>
      <c r="O164" s="51" t="str">
        <f>IF(XT!$P164&gt;0,N164,"")</f>
        <v/>
      </c>
      <c r="P164" s="51" t="str">
        <f>IF(XT!$P164=0,N164,"")</f>
        <v/>
      </c>
      <c r="Q164">
        <f>SUMPRODUCT((MONTH(CHOOSE({1,2,3,4},XT!U164,XT!Y164,XT!AC164,XT!AG164))=5)*(CHOOSE({1,2,3,4},XT!X164,XT!AB164,XT!AF164,XT!AJ164)))</f>
        <v>0</v>
      </c>
      <c r="R164" t="str">
        <f>IFERROR(INDEX(CHOOSE({1,2,3,4}, DAY(XT!U164), DAY(XT!Y164), DAY(XT!AC164), DAY(XT!AG164)), MATCH(1, INDEX(--(MONTH(CHOOSE({1,2,3,4}, XT!U164,XT!Y164,XT!AC164,XT!AG164))=5), 0), 0)), "")</f>
        <v/>
      </c>
      <c r="S164" s="51" t="str">
        <f>IF(XT!$P164&gt;0,R164,"")</f>
        <v/>
      </c>
      <c r="T164" s="51" t="str">
        <f>IF(XT!$P164=0,R164,"")</f>
        <v/>
      </c>
      <c r="U164">
        <f>SUMPRODUCT((MONTH(CHOOSE({1,2,3,4},XT!U164,XT!Y164,XT!AC164,XT!AG164))=6)*(CHOOSE({1,2,3,4},XT!X164,XT!AB164,XT!AF164,XT!AJ164)))</f>
        <v>0</v>
      </c>
      <c r="V164" t="str">
        <f>IFERROR(INDEX(CHOOSE({1,2,3,4}, DAY(XT!U164), DAY(XT!Y164), DAY(XT!AC164), DAY(XT!AG164)), MATCH(1, INDEX(--(MONTH(CHOOSE({1,2,3,4}, XT!U164,XT!Y164,XT!AC164,XT!AG164))=6), 0), 0)), "")</f>
        <v/>
      </c>
      <c r="W164" s="51" t="str">
        <f>IF(XT!$P164&gt;0,V164,"")</f>
        <v/>
      </c>
      <c r="X164" s="51" t="str">
        <f>IF(XT!$P164=0,V164,"")</f>
        <v/>
      </c>
      <c r="Y164">
        <f>SUMPRODUCT((MONTH(CHOOSE({1,2,3,4},XT!U164,XT!Y164,XT!AC164,XT!AG164))=7)*(CHOOSE({1,2,3,4},XT!X164,XT!AB164,XT!AF164,XT!AJ164)))</f>
        <v>0</v>
      </c>
      <c r="Z164" t="str">
        <f>IFERROR(INDEX(CHOOSE({1,2,3,4}, DAY(XT!U164), DAY(XT!Y164), DAY(XT!AC164), DAY(XT!AG164)), MATCH(1, INDEX(--(MONTH(CHOOSE({1,2,3,4}, XT!U164,XT!Y164,XT!AC164,XT!AG164))=7), 0), 0)), "")</f>
        <v/>
      </c>
      <c r="AA164" s="51" t="str">
        <f>IF(XT!$P164&gt;0,Z164,"")</f>
        <v/>
      </c>
      <c r="AB164" s="51" t="str">
        <f>IF(XT!$P164=0,Z164,"")</f>
        <v/>
      </c>
      <c r="AC164">
        <f>SUMPRODUCT((MONTH(CHOOSE({1,2,3,4},XT!U164,XT!Y164,XT!AC164,XT!AG164))=8)*(CHOOSE({1,2,3,4},XT!X164,XT!AB164,XT!AF164,XT!AJ164)))</f>
        <v>0</v>
      </c>
      <c r="AD164" t="str">
        <f>IFERROR(INDEX(CHOOSE({1,2,3,4}, DAY(XT!U164), DAY(XT!Y164), DAY(XT!AC164), DAY(XT!AG164)), MATCH(1, INDEX(--(MONTH(CHOOSE({1,2,3,4}, XT!U164,XT!Y164,XT!AC164,XT!AG164))=8), 0), 0)), "")</f>
        <v/>
      </c>
      <c r="AE164" s="51" t="str">
        <f>IF(XT!$P164&gt;0,AD164,"")</f>
        <v/>
      </c>
      <c r="AF164" s="51" t="str">
        <f>IF(XT!$P164=0,AD164,"")</f>
        <v/>
      </c>
      <c r="AG164">
        <f>SUMPRODUCT((MONTH(CHOOSE({1,2,3,4},XT!U164,XT!Y164,XT!AC164,XT!AG164))=9)*(CHOOSE({1,2,3,4},XT!X164,XT!AB164,XT!AF164,XT!AJ164)))</f>
        <v>0</v>
      </c>
      <c r="AH164" t="str">
        <f>IFERROR(INDEX(CHOOSE({1,2,3,4}, DAY(XT!U164), DAY(XT!Y164), DAY(XT!AC164), DAY(XT!AG164)), MATCH(1, INDEX(--(MONTH(CHOOSE({1,2,3,4}, XT!U164,XT!Y164,XT!AC164,XT!AG164))=9), 0), 0)), "")</f>
        <v/>
      </c>
      <c r="AI164" s="51" t="str">
        <f>IF(XT!$P164&gt;0,AH164,"")</f>
        <v/>
      </c>
      <c r="AJ164" s="51" t="str">
        <f>IF(XT!$P164=0,AH164,"")</f>
        <v/>
      </c>
      <c r="AK164">
        <f>SUMPRODUCT((MONTH(CHOOSE({1,2,3,4},XT!U164,XT!Y164,XT!AC164,XT!AG164))=10)*(CHOOSE({1,2,3,4},XT!X164,XT!AB164,XT!AF164,XT!AJ164)))</f>
        <v>0</v>
      </c>
      <c r="AL164" t="str">
        <f>IFERROR(INDEX(CHOOSE({1,2,3,4}, DAY(XT!U164), DAY(XT!Y164), DAY(XT!AC164), DAY(XT!AG164)), MATCH(1, INDEX(--(MONTH(CHOOSE({1,2,3,4}, XT!U164,XT!Y164,XT!AC164,XT!AG164))=10), 0), 0)), "")</f>
        <v/>
      </c>
      <c r="AM164" s="51" t="str">
        <f>IF(XT!$P164&gt;0,AL164,"")</f>
        <v/>
      </c>
      <c r="AN164" s="51" t="str">
        <f>IF(XT!$P164=0,AL164,"")</f>
        <v/>
      </c>
      <c r="AO164">
        <f>SUMPRODUCT((MONTH(CHOOSE({1,2,3,4},XT!U164,XT!Y164,XT!AC164,XT!AG164))=11)*(CHOOSE({1,2,3,4},XT!X164,XT!AB164,XT!AF164,XT!AJ164)))</f>
        <v>0</v>
      </c>
      <c r="AP164" t="str">
        <f>IFERROR(INDEX(CHOOSE({1,2,3,4}, DAY(XT!U164), DAY(XT!Y164), DAY(XT!AC164), DAY(XT!AG164)), MATCH(1, INDEX(--(MONTH(CHOOSE({1,2,3,4}, XT!U164,XT!Y164,XT!AC164,XT!AG164))=11), 0), 0)), "")</f>
        <v/>
      </c>
      <c r="AQ164" s="51" t="str">
        <f>IF(XT!$P164&gt;0,AP164,"")</f>
        <v/>
      </c>
      <c r="AR164" s="51" t="str">
        <f>IF(XT!$P164=0,AP164,"")</f>
        <v/>
      </c>
      <c r="AS164">
        <f>SUMPRODUCT((MONTH(CHOOSE({1,2,3,4},XT!U164,XT!Y164,XT!AC164,XT!AG164))=12)*(CHOOSE({1,2,3,4},XT!X164,XT!AB164,XT!AF164,XT!AJ164)))</f>
        <v>0</v>
      </c>
      <c r="AT164" t="str">
        <f>IFERROR(INDEX(CHOOSE({1,2,3,4}, DAY(XT!U164), DAY(XT!Y164), DAY(XT!AC164), DAY(XT!AG164)), MATCH(1, INDEX(--(MONTH(CHOOSE({1,2,3,4}, XT!U164,XT!Y164,XT!AC164,XT!AG164))=12), 0), 0)), "")</f>
        <v/>
      </c>
      <c r="AU164" s="51" t="str">
        <f>IF(XT!$P164&gt;0,AT164,"")</f>
        <v/>
      </c>
      <c r="AV164" s="51" t="str">
        <f>IF(XT!$P164=0,AT164,"")</f>
        <v/>
      </c>
    </row>
    <row r="165" spans="1:48">
      <c r="A165">
        <f>SUMPRODUCT((MONTH(CHOOSE({1,2,3,4},XT!U165,XT!Y165,XT!AC165,XT!AG165))=1)*(CHOOSE({1,2,3,4},XT!X165,XT!AB165,XT!AF165,XT!AJ165)))</f>
        <v>0</v>
      </c>
      <c r="B165">
        <f>IFERROR(INDEX(CHOOSE({1,2,3,4}, DAY(XT!U165), DAY(XT!Y165), DAY(XT!AC165), DAY(XT!AG165)), MATCH(1, INDEX(--(MONTH(CHOOSE({1,2,3,4}, XT!U165,XT!Y165,XT!AC165,XT!AG165))=1), 0), 0)), "")</f>
        <v>0</v>
      </c>
      <c r="C165" s="51" t="str">
        <f>IF(XT!$P165&gt;0,B165,"")</f>
        <v/>
      </c>
      <c r="D165" s="51">
        <f>IF(XT!$P165=0,B165,"")</f>
        <v>0</v>
      </c>
      <c r="E165">
        <f>SUMPRODUCT((MONTH(CHOOSE({1,2,3,4},XT!U165,XT!Y165,XT!AC165,XT!AG165))=2)*(CHOOSE({1,2,3,4},XT!X165,XT!AB165,XT!AF165,XT!AJ165)))</f>
        <v>0</v>
      </c>
      <c r="F165" t="str">
        <f>IFERROR(INDEX(CHOOSE({1,2,3,4}, DAY(XT!U165), DAY(XT!Y165), DAY(XT!AC165), DAY(XT!AG165)), MATCH(1, INDEX(--(MONTH(CHOOSE({1,2,3,4}, XT!U165,XT!Y165,XT!AC165,XT!AG165))=2), 0), 0)), "")</f>
        <v/>
      </c>
      <c r="G165" s="51" t="str">
        <f>IF(XT!$P165&gt;0,F165,"")</f>
        <v/>
      </c>
      <c r="H165" s="51" t="str">
        <f>IF(XT!$P165=0,F165,"")</f>
        <v/>
      </c>
      <c r="I165">
        <f>SUMPRODUCT((MONTH(CHOOSE({1,2,3,4},XT!U165,XT!Y165,XT!AC165,XT!AG165))=3)*(CHOOSE({1,2,3,4},XT!X165,XT!AB165,XT!AF165,XT!AJ165)))</f>
        <v>0</v>
      </c>
      <c r="J165" t="str">
        <f>IFERROR(INDEX(CHOOSE({1,2,3,4}, DAY(XT!U165), DAY(XT!Y165), DAY(XT!AC165), DAY(XT!AG165)), MATCH(1, INDEX(--(MONTH(CHOOSE({1,2,3,4}, XT!U165,XT!Y165,XT!AC165,XT!AG165))=3), 0), 0)), "")</f>
        <v/>
      </c>
      <c r="K165" s="51" t="str">
        <f>IF(XT!$P165&gt;0,J165,"")</f>
        <v/>
      </c>
      <c r="L165" s="51" t="str">
        <f>IF(XT!$P165=0,J165,"")</f>
        <v/>
      </c>
      <c r="M165">
        <f>SUMPRODUCT((MONTH(CHOOSE({1,2,3,4},XT!U165,XT!Y165,XT!AC165,XT!AG165))=4)*(CHOOSE({1,2,3,4},XT!X165,XT!AB165,XT!AF165,XT!AJ165)))</f>
        <v>0</v>
      </c>
      <c r="N165" t="str">
        <f>IFERROR(INDEX(CHOOSE({1,2,3,4}, DAY(XT!U165), DAY(XT!Y165), DAY(XT!AC165), DAY(XT!AG165)), MATCH(1, INDEX(--(MONTH(CHOOSE({1,2,3,4}, XT!U165,XT!Y165,XT!AC165,XT!AG165))=4), 0), 0)), "")</f>
        <v/>
      </c>
      <c r="O165" s="51" t="str">
        <f>IF(XT!$P165&gt;0,N165,"")</f>
        <v/>
      </c>
      <c r="P165" s="51" t="str">
        <f>IF(XT!$P165=0,N165,"")</f>
        <v/>
      </c>
      <c r="Q165">
        <f>SUMPRODUCT((MONTH(CHOOSE({1,2,3,4},XT!U165,XT!Y165,XT!AC165,XT!AG165))=5)*(CHOOSE({1,2,3,4},XT!X165,XT!AB165,XT!AF165,XT!AJ165)))</f>
        <v>0</v>
      </c>
      <c r="R165" t="str">
        <f>IFERROR(INDEX(CHOOSE({1,2,3,4}, DAY(XT!U165), DAY(XT!Y165), DAY(XT!AC165), DAY(XT!AG165)), MATCH(1, INDEX(--(MONTH(CHOOSE({1,2,3,4}, XT!U165,XT!Y165,XT!AC165,XT!AG165))=5), 0), 0)), "")</f>
        <v/>
      </c>
      <c r="S165" s="51" t="str">
        <f>IF(XT!$P165&gt;0,R165,"")</f>
        <v/>
      </c>
      <c r="T165" s="51" t="str">
        <f>IF(XT!$P165=0,R165,"")</f>
        <v/>
      </c>
      <c r="U165">
        <f>SUMPRODUCT((MONTH(CHOOSE({1,2,3,4},XT!U165,XT!Y165,XT!AC165,XT!AG165))=6)*(CHOOSE({1,2,3,4},XT!X165,XT!AB165,XT!AF165,XT!AJ165)))</f>
        <v>0</v>
      </c>
      <c r="V165" t="str">
        <f>IFERROR(INDEX(CHOOSE({1,2,3,4}, DAY(XT!U165), DAY(XT!Y165), DAY(XT!AC165), DAY(XT!AG165)), MATCH(1, INDEX(--(MONTH(CHOOSE({1,2,3,4}, XT!U165,XT!Y165,XT!AC165,XT!AG165))=6), 0), 0)), "")</f>
        <v/>
      </c>
      <c r="W165" s="51" t="str">
        <f>IF(XT!$P165&gt;0,V165,"")</f>
        <v/>
      </c>
      <c r="X165" s="51" t="str">
        <f>IF(XT!$P165=0,V165,"")</f>
        <v/>
      </c>
      <c r="Y165">
        <f>SUMPRODUCT((MONTH(CHOOSE({1,2,3,4},XT!U165,XT!Y165,XT!AC165,XT!AG165))=7)*(CHOOSE({1,2,3,4},XT!X165,XT!AB165,XT!AF165,XT!AJ165)))</f>
        <v>0</v>
      </c>
      <c r="Z165" t="str">
        <f>IFERROR(INDEX(CHOOSE({1,2,3,4}, DAY(XT!U165), DAY(XT!Y165), DAY(XT!AC165), DAY(XT!AG165)), MATCH(1, INDEX(--(MONTH(CHOOSE({1,2,3,4}, XT!U165,XT!Y165,XT!AC165,XT!AG165))=7), 0), 0)), "")</f>
        <v/>
      </c>
      <c r="AA165" s="51" t="str">
        <f>IF(XT!$P165&gt;0,Z165,"")</f>
        <v/>
      </c>
      <c r="AB165" s="51" t="str">
        <f>IF(XT!$P165=0,Z165,"")</f>
        <v/>
      </c>
      <c r="AC165">
        <f>SUMPRODUCT((MONTH(CHOOSE({1,2,3,4},XT!U165,XT!Y165,XT!AC165,XT!AG165))=8)*(CHOOSE({1,2,3,4},XT!X165,XT!AB165,XT!AF165,XT!AJ165)))</f>
        <v>0</v>
      </c>
      <c r="AD165" t="str">
        <f>IFERROR(INDEX(CHOOSE({1,2,3,4}, DAY(XT!U165), DAY(XT!Y165), DAY(XT!AC165), DAY(XT!AG165)), MATCH(1, INDEX(--(MONTH(CHOOSE({1,2,3,4}, XT!U165,XT!Y165,XT!AC165,XT!AG165))=8), 0), 0)), "")</f>
        <v/>
      </c>
      <c r="AE165" s="51" t="str">
        <f>IF(XT!$P165&gt;0,AD165,"")</f>
        <v/>
      </c>
      <c r="AF165" s="51" t="str">
        <f>IF(XT!$P165=0,AD165,"")</f>
        <v/>
      </c>
      <c r="AG165">
        <f>SUMPRODUCT((MONTH(CHOOSE({1,2,3,4},XT!U165,XT!Y165,XT!AC165,XT!AG165))=9)*(CHOOSE({1,2,3,4},XT!X165,XT!AB165,XT!AF165,XT!AJ165)))</f>
        <v>0</v>
      </c>
      <c r="AH165" t="str">
        <f>IFERROR(INDEX(CHOOSE({1,2,3,4}, DAY(XT!U165), DAY(XT!Y165), DAY(XT!AC165), DAY(XT!AG165)), MATCH(1, INDEX(--(MONTH(CHOOSE({1,2,3,4}, XT!U165,XT!Y165,XT!AC165,XT!AG165))=9), 0), 0)), "")</f>
        <v/>
      </c>
      <c r="AI165" s="51" t="str">
        <f>IF(XT!$P165&gt;0,AH165,"")</f>
        <v/>
      </c>
      <c r="AJ165" s="51" t="str">
        <f>IF(XT!$P165=0,AH165,"")</f>
        <v/>
      </c>
      <c r="AK165">
        <f>SUMPRODUCT((MONTH(CHOOSE({1,2,3,4},XT!U165,XT!Y165,XT!AC165,XT!AG165))=10)*(CHOOSE({1,2,3,4},XT!X165,XT!AB165,XT!AF165,XT!AJ165)))</f>
        <v>0</v>
      </c>
      <c r="AL165" t="str">
        <f>IFERROR(INDEX(CHOOSE({1,2,3,4}, DAY(XT!U165), DAY(XT!Y165), DAY(XT!AC165), DAY(XT!AG165)), MATCH(1, INDEX(--(MONTH(CHOOSE({1,2,3,4}, XT!U165,XT!Y165,XT!AC165,XT!AG165))=10), 0), 0)), "")</f>
        <v/>
      </c>
      <c r="AM165" s="51" t="str">
        <f>IF(XT!$P165&gt;0,AL165,"")</f>
        <v/>
      </c>
      <c r="AN165" s="51" t="str">
        <f>IF(XT!$P165=0,AL165,"")</f>
        <v/>
      </c>
      <c r="AO165">
        <f>SUMPRODUCT((MONTH(CHOOSE({1,2,3,4},XT!U165,XT!Y165,XT!AC165,XT!AG165))=11)*(CHOOSE({1,2,3,4},XT!X165,XT!AB165,XT!AF165,XT!AJ165)))</f>
        <v>0</v>
      </c>
      <c r="AP165" t="str">
        <f>IFERROR(INDEX(CHOOSE({1,2,3,4}, DAY(XT!U165), DAY(XT!Y165), DAY(XT!AC165), DAY(XT!AG165)), MATCH(1, INDEX(--(MONTH(CHOOSE({1,2,3,4}, XT!U165,XT!Y165,XT!AC165,XT!AG165))=11), 0), 0)), "")</f>
        <v/>
      </c>
      <c r="AQ165" s="51" t="str">
        <f>IF(XT!$P165&gt;0,AP165,"")</f>
        <v/>
      </c>
      <c r="AR165" s="51" t="str">
        <f>IF(XT!$P165=0,AP165,"")</f>
        <v/>
      </c>
      <c r="AS165">
        <f>SUMPRODUCT((MONTH(CHOOSE({1,2,3,4},XT!U165,XT!Y165,XT!AC165,XT!AG165))=12)*(CHOOSE({1,2,3,4},XT!X165,XT!AB165,XT!AF165,XT!AJ165)))</f>
        <v>0</v>
      </c>
      <c r="AT165" t="str">
        <f>IFERROR(INDEX(CHOOSE({1,2,3,4}, DAY(XT!U165), DAY(XT!Y165), DAY(XT!AC165), DAY(XT!AG165)), MATCH(1, INDEX(--(MONTH(CHOOSE({1,2,3,4}, XT!U165,XT!Y165,XT!AC165,XT!AG165))=12), 0), 0)), "")</f>
        <v/>
      </c>
      <c r="AU165" s="51" t="str">
        <f>IF(XT!$P165&gt;0,AT165,"")</f>
        <v/>
      </c>
      <c r="AV165" s="51" t="str">
        <f>IF(XT!$P165=0,AT165,"")</f>
        <v/>
      </c>
    </row>
    <row r="166" spans="1:48">
      <c r="A166">
        <f>SUMPRODUCT((MONTH(CHOOSE({1,2,3,4},XT!U166,XT!Y166,XT!AC166,XT!AG166))=1)*(CHOOSE({1,2,3,4},XT!X166,XT!AB166,XT!AF166,XT!AJ166)))</f>
        <v>0</v>
      </c>
      <c r="B166">
        <f>IFERROR(INDEX(CHOOSE({1,2,3,4}, DAY(XT!U166), DAY(XT!Y166), DAY(XT!AC166), DAY(XT!AG166)), MATCH(1, INDEX(--(MONTH(CHOOSE({1,2,3,4}, XT!U166,XT!Y166,XT!AC166,XT!AG166))=1), 0), 0)), "")</f>
        <v>0</v>
      </c>
      <c r="C166" s="51" t="str">
        <f>IF(XT!$P166&gt;0,B166,"")</f>
        <v/>
      </c>
      <c r="D166" s="51">
        <f>IF(XT!$P166=0,B166,"")</f>
        <v>0</v>
      </c>
      <c r="E166">
        <f>SUMPRODUCT((MONTH(CHOOSE({1,2,3,4},XT!U166,XT!Y166,XT!AC166,XT!AG166))=2)*(CHOOSE({1,2,3,4},XT!X166,XT!AB166,XT!AF166,XT!AJ166)))</f>
        <v>0</v>
      </c>
      <c r="F166" t="str">
        <f>IFERROR(INDEX(CHOOSE({1,2,3,4}, DAY(XT!U166), DAY(XT!Y166), DAY(XT!AC166), DAY(XT!AG166)), MATCH(1, INDEX(--(MONTH(CHOOSE({1,2,3,4}, XT!U166,XT!Y166,XT!AC166,XT!AG166))=2), 0), 0)), "")</f>
        <v/>
      </c>
      <c r="G166" s="51" t="str">
        <f>IF(XT!$P166&gt;0,F166,"")</f>
        <v/>
      </c>
      <c r="H166" s="51" t="str">
        <f>IF(XT!$P166=0,F166,"")</f>
        <v/>
      </c>
      <c r="I166">
        <f>SUMPRODUCT((MONTH(CHOOSE({1,2,3,4},XT!U166,XT!Y166,XT!AC166,XT!AG166))=3)*(CHOOSE({1,2,3,4},XT!X166,XT!AB166,XT!AF166,XT!AJ166)))</f>
        <v>0</v>
      </c>
      <c r="J166" t="str">
        <f>IFERROR(INDEX(CHOOSE({1,2,3,4}, DAY(XT!U166), DAY(XT!Y166), DAY(XT!AC166), DAY(XT!AG166)), MATCH(1, INDEX(--(MONTH(CHOOSE({1,2,3,4}, XT!U166,XT!Y166,XT!AC166,XT!AG166))=3), 0), 0)), "")</f>
        <v/>
      </c>
      <c r="K166" s="51" t="str">
        <f>IF(XT!$P166&gt;0,J166,"")</f>
        <v/>
      </c>
      <c r="L166" s="51" t="str">
        <f>IF(XT!$P166=0,J166,"")</f>
        <v/>
      </c>
      <c r="M166">
        <f>SUMPRODUCT((MONTH(CHOOSE({1,2,3,4},XT!U166,XT!Y166,XT!AC166,XT!AG166))=4)*(CHOOSE({1,2,3,4},XT!X166,XT!AB166,XT!AF166,XT!AJ166)))</f>
        <v>0</v>
      </c>
      <c r="N166" t="str">
        <f>IFERROR(INDEX(CHOOSE({1,2,3,4}, DAY(XT!U166), DAY(XT!Y166), DAY(XT!AC166), DAY(XT!AG166)), MATCH(1, INDEX(--(MONTH(CHOOSE({1,2,3,4}, XT!U166,XT!Y166,XT!AC166,XT!AG166))=4), 0), 0)), "")</f>
        <v/>
      </c>
      <c r="O166" s="51" t="str">
        <f>IF(XT!$P166&gt;0,N166,"")</f>
        <v/>
      </c>
      <c r="P166" s="51" t="str">
        <f>IF(XT!$P166=0,N166,"")</f>
        <v/>
      </c>
      <c r="Q166">
        <f>SUMPRODUCT((MONTH(CHOOSE({1,2,3,4},XT!U166,XT!Y166,XT!AC166,XT!AG166))=5)*(CHOOSE({1,2,3,4},XT!X166,XT!AB166,XT!AF166,XT!AJ166)))</f>
        <v>0</v>
      </c>
      <c r="R166" t="str">
        <f>IFERROR(INDEX(CHOOSE({1,2,3,4}, DAY(XT!U166), DAY(XT!Y166), DAY(XT!AC166), DAY(XT!AG166)), MATCH(1, INDEX(--(MONTH(CHOOSE({1,2,3,4}, XT!U166,XT!Y166,XT!AC166,XT!AG166))=5), 0), 0)), "")</f>
        <v/>
      </c>
      <c r="S166" s="51" t="str">
        <f>IF(XT!$P166&gt;0,R166,"")</f>
        <v/>
      </c>
      <c r="T166" s="51" t="str">
        <f>IF(XT!$P166=0,R166,"")</f>
        <v/>
      </c>
      <c r="U166">
        <f>SUMPRODUCT((MONTH(CHOOSE({1,2,3,4},XT!U166,XT!Y166,XT!AC166,XT!AG166))=6)*(CHOOSE({1,2,3,4},XT!X166,XT!AB166,XT!AF166,XT!AJ166)))</f>
        <v>0</v>
      </c>
      <c r="V166" t="str">
        <f>IFERROR(INDEX(CHOOSE({1,2,3,4}, DAY(XT!U166), DAY(XT!Y166), DAY(XT!AC166), DAY(XT!AG166)), MATCH(1, INDEX(--(MONTH(CHOOSE({1,2,3,4}, XT!U166,XT!Y166,XT!AC166,XT!AG166))=6), 0), 0)), "")</f>
        <v/>
      </c>
      <c r="W166" s="51" t="str">
        <f>IF(XT!$P166&gt;0,V166,"")</f>
        <v/>
      </c>
      <c r="X166" s="51" t="str">
        <f>IF(XT!$P166=0,V166,"")</f>
        <v/>
      </c>
      <c r="Y166">
        <f>SUMPRODUCT((MONTH(CHOOSE({1,2,3,4},XT!U166,XT!Y166,XT!AC166,XT!AG166))=7)*(CHOOSE({1,2,3,4},XT!X166,XT!AB166,XT!AF166,XT!AJ166)))</f>
        <v>0</v>
      </c>
      <c r="Z166" t="str">
        <f>IFERROR(INDEX(CHOOSE({1,2,3,4}, DAY(XT!U166), DAY(XT!Y166), DAY(XT!AC166), DAY(XT!AG166)), MATCH(1, INDEX(--(MONTH(CHOOSE({1,2,3,4}, XT!U166,XT!Y166,XT!AC166,XT!AG166))=7), 0), 0)), "")</f>
        <v/>
      </c>
      <c r="AA166" s="51" t="str">
        <f>IF(XT!$P166&gt;0,Z166,"")</f>
        <v/>
      </c>
      <c r="AB166" s="51" t="str">
        <f>IF(XT!$P166=0,Z166,"")</f>
        <v/>
      </c>
      <c r="AC166">
        <f>SUMPRODUCT((MONTH(CHOOSE({1,2,3,4},XT!U166,XT!Y166,XT!AC166,XT!AG166))=8)*(CHOOSE({1,2,3,4},XT!X166,XT!AB166,XT!AF166,XT!AJ166)))</f>
        <v>0</v>
      </c>
      <c r="AD166" t="str">
        <f>IFERROR(INDEX(CHOOSE({1,2,3,4}, DAY(XT!U166), DAY(XT!Y166), DAY(XT!AC166), DAY(XT!AG166)), MATCH(1, INDEX(--(MONTH(CHOOSE({1,2,3,4}, XT!U166,XT!Y166,XT!AC166,XT!AG166))=8), 0), 0)), "")</f>
        <v/>
      </c>
      <c r="AE166" s="51" t="str">
        <f>IF(XT!$P166&gt;0,AD166,"")</f>
        <v/>
      </c>
      <c r="AF166" s="51" t="str">
        <f>IF(XT!$P166=0,AD166,"")</f>
        <v/>
      </c>
      <c r="AG166">
        <f>SUMPRODUCT((MONTH(CHOOSE({1,2,3,4},XT!U166,XT!Y166,XT!AC166,XT!AG166))=9)*(CHOOSE({1,2,3,4},XT!X166,XT!AB166,XT!AF166,XT!AJ166)))</f>
        <v>0</v>
      </c>
      <c r="AH166" t="str">
        <f>IFERROR(INDEX(CHOOSE({1,2,3,4}, DAY(XT!U166), DAY(XT!Y166), DAY(XT!AC166), DAY(XT!AG166)), MATCH(1, INDEX(--(MONTH(CHOOSE({1,2,3,4}, XT!U166,XT!Y166,XT!AC166,XT!AG166))=9), 0), 0)), "")</f>
        <v/>
      </c>
      <c r="AI166" s="51" t="str">
        <f>IF(XT!$P166&gt;0,AH166,"")</f>
        <v/>
      </c>
      <c r="AJ166" s="51" t="str">
        <f>IF(XT!$P166=0,AH166,"")</f>
        <v/>
      </c>
      <c r="AK166">
        <f>SUMPRODUCT((MONTH(CHOOSE({1,2,3,4},XT!U166,XT!Y166,XT!AC166,XT!AG166))=10)*(CHOOSE({1,2,3,4},XT!X166,XT!AB166,XT!AF166,XT!AJ166)))</f>
        <v>0</v>
      </c>
      <c r="AL166" t="str">
        <f>IFERROR(INDEX(CHOOSE({1,2,3,4}, DAY(XT!U166), DAY(XT!Y166), DAY(XT!AC166), DAY(XT!AG166)), MATCH(1, INDEX(--(MONTH(CHOOSE({1,2,3,4}, XT!U166,XT!Y166,XT!AC166,XT!AG166))=10), 0), 0)), "")</f>
        <v/>
      </c>
      <c r="AM166" s="51" t="str">
        <f>IF(XT!$P166&gt;0,AL166,"")</f>
        <v/>
      </c>
      <c r="AN166" s="51" t="str">
        <f>IF(XT!$P166=0,AL166,"")</f>
        <v/>
      </c>
      <c r="AO166">
        <f>SUMPRODUCT((MONTH(CHOOSE({1,2,3,4},XT!U166,XT!Y166,XT!AC166,XT!AG166))=11)*(CHOOSE({1,2,3,4},XT!X166,XT!AB166,XT!AF166,XT!AJ166)))</f>
        <v>0</v>
      </c>
      <c r="AP166" t="str">
        <f>IFERROR(INDEX(CHOOSE({1,2,3,4}, DAY(XT!U166), DAY(XT!Y166), DAY(XT!AC166), DAY(XT!AG166)), MATCH(1, INDEX(--(MONTH(CHOOSE({1,2,3,4}, XT!U166,XT!Y166,XT!AC166,XT!AG166))=11), 0), 0)), "")</f>
        <v/>
      </c>
      <c r="AQ166" s="51" t="str">
        <f>IF(XT!$P166&gt;0,AP166,"")</f>
        <v/>
      </c>
      <c r="AR166" s="51" t="str">
        <f>IF(XT!$P166=0,AP166,"")</f>
        <v/>
      </c>
      <c r="AS166">
        <f>SUMPRODUCT((MONTH(CHOOSE({1,2,3,4},XT!U166,XT!Y166,XT!AC166,XT!AG166))=12)*(CHOOSE({1,2,3,4},XT!X166,XT!AB166,XT!AF166,XT!AJ166)))</f>
        <v>0</v>
      </c>
      <c r="AT166" t="str">
        <f>IFERROR(INDEX(CHOOSE({1,2,3,4}, DAY(XT!U166), DAY(XT!Y166), DAY(XT!AC166), DAY(XT!AG166)), MATCH(1, INDEX(--(MONTH(CHOOSE({1,2,3,4}, XT!U166,XT!Y166,XT!AC166,XT!AG166))=12), 0), 0)), "")</f>
        <v/>
      </c>
      <c r="AU166" s="51" t="str">
        <f>IF(XT!$P166&gt;0,AT166,"")</f>
        <v/>
      </c>
      <c r="AV166" s="51" t="str">
        <f>IF(XT!$P166=0,AT166,"")</f>
        <v/>
      </c>
    </row>
    <row r="167" spans="1:48">
      <c r="A167">
        <f>SUMPRODUCT((MONTH(CHOOSE({1,2,3,4},XT!U167,XT!Y167,XT!AC167,XT!AG167))=1)*(CHOOSE({1,2,3,4},XT!X167,XT!AB167,XT!AF167,XT!AJ167)))</f>
        <v>0</v>
      </c>
      <c r="B167">
        <f>IFERROR(INDEX(CHOOSE({1,2,3,4}, DAY(XT!U167), DAY(XT!Y167), DAY(XT!AC167), DAY(XT!AG167)), MATCH(1, INDEX(--(MONTH(CHOOSE({1,2,3,4}, XT!U167,XT!Y167,XT!AC167,XT!AG167))=1), 0), 0)), "")</f>
        <v>0</v>
      </c>
      <c r="C167" s="51" t="str">
        <f>IF(XT!$P167&gt;0,B167,"")</f>
        <v/>
      </c>
      <c r="D167" s="51">
        <f>IF(XT!$P167=0,B167,"")</f>
        <v>0</v>
      </c>
      <c r="E167">
        <f>SUMPRODUCT((MONTH(CHOOSE({1,2,3,4},XT!U167,XT!Y167,XT!AC167,XT!AG167))=2)*(CHOOSE({1,2,3,4},XT!X167,XT!AB167,XT!AF167,XT!AJ167)))</f>
        <v>0</v>
      </c>
      <c r="F167" t="str">
        <f>IFERROR(INDEX(CHOOSE({1,2,3,4}, DAY(XT!U167), DAY(XT!Y167), DAY(XT!AC167), DAY(XT!AG167)), MATCH(1, INDEX(--(MONTH(CHOOSE({1,2,3,4}, XT!U167,XT!Y167,XT!AC167,XT!AG167))=2), 0), 0)), "")</f>
        <v/>
      </c>
      <c r="G167" s="51" t="str">
        <f>IF(XT!$P167&gt;0,F167,"")</f>
        <v/>
      </c>
      <c r="H167" s="51" t="str">
        <f>IF(XT!$P167=0,F167,"")</f>
        <v/>
      </c>
      <c r="I167">
        <f>SUMPRODUCT((MONTH(CHOOSE({1,2,3,4},XT!U167,XT!Y167,XT!AC167,XT!AG167))=3)*(CHOOSE({1,2,3,4},XT!X167,XT!AB167,XT!AF167,XT!AJ167)))</f>
        <v>0</v>
      </c>
      <c r="J167" t="str">
        <f>IFERROR(INDEX(CHOOSE({1,2,3,4}, DAY(XT!U167), DAY(XT!Y167), DAY(XT!AC167), DAY(XT!AG167)), MATCH(1, INDEX(--(MONTH(CHOOSE({1,2,3,4}, XT!U167,XT!Y167,XT!AC167,XT!AG167))=3), 0), 0)), "")</f>
        <v/>
      </c>
      <c r="K167" s="51" t="str">
        <f>IF(XT!$P167&gt;0,J167,"")</f>
        <v/>
      </c>
      <c r="L167" s="51" t="str">
        <f>IF(XT!$P167=0,J167,"")</f>
        <v/>
      </c>
      <c r="M167">
        <f>SUMPRODUCT((MONTH(CHOOSE({1,2,3,4},XT!U167,XT!Y167,XT!AC167,XT!AG167))=4)*(CHOOSE({1,2,3,4},XT!X167,XT!AB167,XT!AF167,XT!AJ167)))</f>
        <v>0</v>
      </c>
      <c r="N167" t="str">
        <f>IFERROR(INDEX(CHOOSE({1,2,3,4}, DAY(XT!U167), DAY(XT!Y167), DAY(XT!AC167), DAY(XT!AG167)), MATCH(1, INDEX(--(MONTH(CHOOSE({1,2,3,4}, XT!U167,XT!Y167,XT!AC167,XT!AG167))=4), 0), 0)), "")</f>
        <v/>
      </c>
      <c r="O167" s="51" t="str">
        <f>IF(XT!$P167&gt;0,N167,"")</f>
        <v/>
      </c>
      <c r="P167" s="51" t="str">
        <f>IF(XT!$P167=0,N167,"")</f>
        <v/>
      </c>
      <c r="Q167">
        <f>SUMPRODUCT((MONTH(CHOOSE({1,2,3,4},XT!U167,XT!Y167,XT!AC167,XT!AG167))=5)*(CHOOSE({1,2,3,4},XT!X167,XT!AB167,XT!AF167,XT!AJ167)))</f>
        <v>0</v>
      </c>
      <c r="R167" t="str">
        <f>IFERROR(INDEX(CHOOSE({1,2,3,4}, DAY(XT!U167), DAY(XT!Y167), DAY(XT!AC167), DAY(XT!AG167)), MATCH(1, INDEX(--(MONTH(CHOOSE({1,2,3,4}, XT!U167,XT!Y167,XT!AC167,XT!AG167))=5), 0), 0)), "")</f>
        <v/>
      </c>
      <c r="S167" s="51" t="str">
        <f>IF(XT!$P167&gt;0,R167,"")</f>
        <v/>
      </c>
      <c r="T167" s="51" t="str">
        <f>IF(XT!$P167=0,R167,"")</f>
        <v/>
      </c>
      <c r="U167">
        <f>SUMPRODUCT((MONTH(CHOOSE({1,2,3,4},XT!U167,XT!Y167,XT!AC167,XT!AG167))=6)*(CHOOSE({1,2,3,4},XT!X167,XT!AB167,XT!AF167,XT!AJ167)))</f>
        <v>0</v>
      </c>
      <c r="V167" t="str">
        <f>IFERROR(INDEX(CHOOSE({1,2,3,4}, DAY(XT!U167), DAY(XT!Y167), DAY(XT!AC167), DAY(XT!AG167)), MATCH(1, INDEX(--(MONTH(CHOOSE({1,2,3,4}, XT!U167,XT!Y167,XT!AC167,XT!AG167))=6), 0), 0)), "")</f>
        <v/>
      </c>
      <c r="W167" s="51" t="str">
        <f>IF(XT!$P167&gt;0,V167,"")</f>
        <v/>
      </c>
      <c r="X167" s="51" t="str">
        <f>IF(XT!$P167=0,V167,"")</f>
        <v/>
      </c>
      <c r="Y167">
        <f>SUMPRODUCT((MONTH(CHOOSE({1,2,3,4},XT!U167,XT!Y167,XT!AC167,XT!AG167))=7)*(CHOOSE({1,2,3,4},XT!X167,XT!AB167,XT!AF167,XT!AJ167)))</f>
        <v>0</v>
      </c>
      <c r="Z167" t="str">
        <f>IFERROR(INDEX(CHOOSE({1,2,3,4}, DAY(XT!U167), DAY(XT!Y167), DAY(XT!AC167), DAY(XT!AG167)), MATCH(1, INDEX(--(MONTH(CHOOSE({1,2,3,4}, XT!U167,XT!Y167,XT!AC167,XT!AG167))=7), 0), 0)), "")</f>
        <v/>
      </c>
      <c r="AA167" s="51" t="str">
        <f>IF(XT!$P167&gt;0,Z167,"")</f>
        <v/>
      </c>
      <c r="AB167" s="51" t="str">
        <f>IF(XT!$P167=0,Z167,"")</f>
        <v/>
      </c>
      <c r="AC167">
        <f>SUMPRODUCT((MONTH(CHOOSE({1,2,3,4},XT!U167,XT!Y167,XT!AC167,XT!AG167))=8)*(CHOOSE({1,2,3,4},XT!X167,XT!AB167,XT!AF167,XT!AJ167)))</f>
        <v>0</v>
      </c>
      <c r="AD167" t="str">
        <f>IFERROR(INDEX(CHOOSE({1,2,3,4}, DAY(XT!U167), DAY(XT!Y167), DAY(XT!AC167), DAY(XT!AG167)), MATCH(1, INDEX(--(MONTH(CHOOSE({1,2,3,4}, XT!U167,XT!Y167,XT!AC167,XT!AG167))=8), 0), 0)), "")</f>
        <v/>
      </c>
      <c r="AE167" s="51" t="str">
        <f>IF(XT!$P167&gt;0,AD167,"")</f>
        <v/>
      </c>
      <c r="AF167" s="51" t="str">
        <f>IF(XT!$P167=0,AD167,"")</f>
        <v/>
      </c>
      <c r="AG167">
        <f>SUMPRODUCT((MONTH(CHOOSE({1,2,3,4},XT!U167,XT!Y167,XT!AC167,XT!AG167))=9)*(CHOOSE({1,2,3,4},XT!X167,XT!AB167,XT!AF167,XT!AJ167)))</f>
        <v>0</v>
      </c>
      <c r="AH167" t="str">
        <f>IFERROR(INDEX(CHOOSE({1,2,3,4}, DAY(XT!U167), DAY(XT!Y167), DAY(XT!AC167), DAY(XT!AG167)), MATCH(1, INDEX(--(MONTH(CHOOSE({1,2,3,4}, XT!U167,XT!Y167,XT!AC167,XT!AG167))=9), 0), 0)), "")</f>
        <v/>
      </c>
      <c r="AI167" s="51" t="str">
        <f>IF(XT!$P167&gt;0,AH167,"")</f>
        <v/>
      </c>
      <c r="AJ167" s="51" t="str">
        <f>IF(XT!$P167=0,AH167,"")</f>
        <v/>
      </c>
      <c r="AK167">
        <f>SUMPRODUCT((MONTH(CHOOSE({1,2,3,4},XT!U167,XT!Y167,XT!AC167,XT!AG167))=10)*(CHOOSE({1,2,3,4},XT!X167,XT!AB167,XT!AF167,XT!AJ167)))</f>
        <v>0</v>
      </c>
      <c r="AL167" t="str">
        <f>IFERROR(INDEX(CHOOSE({1,2,3,4}, DAY(XT!U167), DAY(XT!Y167), DAY(XT!AC167), DAY(XT!AG167)), MATCH(1, INDEX(--(MONTH(CHOOSE({1,2,3,4}, XT!U167,XT!Y167,XT!AC167,XT!AG167))=10), 0), 0)), "")</f>
        <v/>
      </c>
      <c r="AM167" s="51" t="str">
        <f>IF(XT!$P167&gt;0,AL167,"")</f>
        <v/>
      </c>
      <c r="AN167" s="51" t="str">
        <f>IF(XT!$P167=0,AL167,"")</f>
        <v/>
      </c>
      <c r="AO167">
        <f>SUMPRODUCT((MONTH(CHOOSE({1,2,3,4},XT!U167,XT!Y167,XT!AC167,XT!AG167))=11)*(CHOOSE({1,2,3,4},XT!X167,XT!AB167,XT!AF167,XT!AJ167)))</f>
        <v>0</v>
      </c>
      <c r="AP167" t="str">
        <f>IFERROR(INDEX(CHOOSE({1,2,3,4}, DAY(XT!U167), DAY(XT!Y167), DAY(XT!AC167), DAY(XT!AG167)), MATCH(1, INDEX(--(MONTH(CHOOSE({1,2,3,4}, XT!U167,XT!Y167,XT!AC167,XT!AG167))=11), 0), 0)), "")</f>
        <v/>
      </c>
      <c r="AQ167" s="51" t="str">
        <f>IF(XT!$P167&gt;0,AP167,"")</f>
        <v/>
      </c>
      <c r="AR167" s="51" t="str">
        <f>IF(XT!$P167=0,AP167,"")</f>
        <v/>
      </c>
      <c r="AS167">
        <f>SUMPRODUCT((MONTH(CHOOSE({1,2,3,4},XT!U167,XT!Y167,XT!AC167,XT!AG167))=12)*(CHOOSE({1,2,3,4},XT!X167,XT!AB167,XT!AF167,XT!AJ167)))</f>
        <v>0</v>
      </c>
      <c r="AT167" t="str">
        <f>IFERROR(INDEX(CHOOSE({1,2,3,4}, DAY(XT!U167), DAY(XT!Y167), DAY(XT!AC167), DAY(XT!AG167)), MATCH(1, INDEX(--(MONTH(CHOOSE({1,2,3,4}, XT!U167,XT!Y167,XT!AC167,XT!AG167))=12), 0), 0)), "")</f>
        <v/>
      </c>
      <c r="AU167" s="51" t="str">
        <f>IF(XT!$P167&gt;0,AT167,"")</f>
        <v/>
      </c>
      <c r="AV167" s="51" t="str">
        <f>IF(XT!$P167=0,AT167,"")</f>
        <v/>
      </c>
    </row>
    <row r="168" spans="1:48">
      <c r="A168">
        <f>SUMPRODUCT((MONTH(CHOOSE({1,2,3,4},XT!U168,XT!Y168,XT!AC168,XT!AG168))=1)*(CHOOSE({1,2,3,4},XT!X168,XT!AB168,XT!AF168,XT!AJ168)))</f>
        <v>0</v>
      </c>
      <c r="B168">
        <f>IFERROR(INDEX(CHOOSE({1,2,3,4}, DAY(XT!U168), DAY(XT!Y168), DAY(XT!AC168), DAY(XT!AG168)), MATCH(1, INDEX(--(MONTH(CHOOSE({1,2,3,4}, XT!U168,XT!Y168,XT!AC168,XT!AG168))=1), 0), 0)), "")</f>
        <v>0</v>
      </c>
      <c r="C168" s="51" t="str">
        <f>IF(XT!$P168&gt;0,B168,"")</f>
        <v/>
      </c>
      <c r="D168" s="51">
        <f>IF(XT!$P168=0,B168,"")</f>
        <v>0</v>
      </c>
      <c r="E168">
        <f>SUMPRODUCT((MONTH(CHOOSE({1,2,3,4},XT!U168,XT!Y168,XT!AC168,XT!AG168))=2)*(CHOOSE({1,2,3,4},XT!X168,XT!AB168,XT!AF168,XT!AJ168)))</f>
        <v>0</v>
      </c>
      <c r="F168" t="str">
        <f>IFERROR(INDEX(CHOOSE({1,2,3,4}, DAY(XT!U168), DAY(XT!Y168), DAY(XT!AC168), DAY(XT!AG168)), MATCH(1, INDEX(--(MONTH(CHOOSE({1,2,3,4}, XT!U168,XT!Y168,XT!AC168,XT!AG168))=2), 0), 0)), "")</f>
        <v/>
      </c>
      <c r="G168" s="51" t="str">
        <f>IF(XT!$P168&gt;0,F168,"")</f>
        <v/>
      </c>
      <c r="H168" s="51" t="str">
        <f>IF(XT!$P168=0,F168,"")</f>
        <v/>
      </c>
      <c r="I168">
        <f>SUMPRODUCT((MONTH(CHOOSE({1,2,3,4},XT!U168,XT!Y168,XT!AC168,XT!AG168))=3)*(CHOOSE({1,2,3,4},XT!X168,XT!AB168,XT!AF168,XT!AJ168)))</f>
        <v>0</v>
      </c>
      <c r="J168" t="str">
        <f>IFERROR(INDEX(CHOOSE({1,2,3,4}, DAY(XT!U168), DAY(XT!Y168), DAY(XT!AC168), DAY(XT!AG168)), MATCH(1, INDEX(--(MONTH(CHOOSE({1,2,3,4}, XT!U168,XT!Y168,XT!AC168,XT!AG168))=3), 0), 0)), "")</f>
        <v/>
      </c>
      <c r="K168" s="51" t="str">
        <f>IF(XT!$P168&gt;0,J168,"")</f>
        <v/>
      </c>
      <c r="L168" s="51" t="str">
        <f>IF(XT!$P168=0,J168,"")</f>
        <v/>
      </c>
      <c r="M168">
        <f>SUMPRODUCT((MONTH(CHOOSE({1,2,3,4},XT!U168,XT!Y168,XT!AC168,XT!AG168))=4)*(CHOOSE({1,2,3,4},XT!X168,XT!AB168,XT!AF168,XT!AJ168)))</f>
        <v>0</v>
      </c>
      <c r="N168" t="str">
        <f>IFERROR(INDEX(CHOOSE({1,2,3,4}, DAY(XT!U168), DAY(XT!Y168), DAY(XT!AC168), DAY(XT!AG168)), MATCH(1, INDEX(--(MONTH(CHOOSE({1,2,3,4}, XT!U168,XT!Y168,XT!AC168,XT!AG168))=4), 0), 0)), "")</f>
        <v/>
      </c>
      <c r="O168" s="51" t="str">
        <f>IF(XT!$P168&gt;0,N168,"")</f>
        <v/>
      </c>
      <c r="P168" s="51" t="str">
        <f>IF(XT!$P168=0,N168,"")</f>
        <v/>
      </c>
      <c r="Q168">
        <f>SUMPRODUCT((MONTH(CHOOSE({1,2,3,4},XT!U168,XT!Y168,XT!AC168,XT!AG168))=5)*(CHOOSE({1,2,3,4},XT!X168,XT!AB168,XT!AF168,XT!AJ168)))</f>
        <v>0</v>
      </c>
      <c r="R168" t="str">
        <f>IFERROR(INDEX(CHOOSE({1,2,3,4}, DAY(XT!U168), DAY(XT!Y168), DAY(XT!AC168), DAY(XT!AG168)), MATCH(1, INDEX(--(MONTH(CHOOSE({1,2,3,4}, XT!U168,XT!Y168,XT!AC168,XT!AG168))=5), 0), 0)), "")</f>
        <v/>
      </c>
      <c r="S168" s="51" t="str">
        <f>IF(XT!$P168&gt;0,R168,"")</f>
        <v/>
      </c>
      <c r="T168" s="51" t="str">
        <f>IF(XT!$P168=0,R168,"")</f>
        <v/>
      </c>
      <c r="U168">
        <f>SUMPRODUCT((MONTH(CHOOSE({1,2,3,4},XT!U168,XT!Y168,XT!AC168,XT!AG168))=6)*(CHOOSE({1,2,3,4},XT!X168,XT!AB168,XT!AF168,XT!AJ168)))</f>
        <v>0</v>
      </c>
      <c r="V168" t="str">
        <f>IFERROR(INDEX(CHOOSE({1,2,3,4}, DAY(XT!U168), DAY(XT!Y168), DAY(XT!AC168), DAY(XT!AG168)), MATCH(1, INDEX(--(MONTH(CHOOSE({1,2,3,4}, XT!U168,XT!Y168,XT!AC168,XT!AG168))=6), 0), 0)), "")</f>
        <v/>
      </c>
      <c r="W168" s="51" t="str">
        <f>IF(XT!$P168&gt;0,V168,"")</f>
        <v/>
      </c>
      <c r="X168" s="51" t="str">
        <f>IF(XT!$P168=0,V168,"")</f>
        <v/>
      </c>
      <c r="Y168">
        <f>SUMPRODUCT((MONTH(CHOOSE({1,2,3,4},XT!U168,XT!Y168,XT!AC168,XT!AG168))=7)*(CHOOSE({1,2,3,4},XT!X168,XT!AB168,XT!AF168,XT!AJ168)))</f>
        <v>0</v>
      </c>
      <c r="Z168" t="str">
        <f>IFERROR(INDEX(CHOOSE({1,2,3,4}, DAY(XT!U168), DAY(XT!Y168), DAY(XT!AC168), DAY(XT!AG168)), MATCH(1, INDEX(--(MONTH(CHOOSE({1,2,3,4}, XT!U168,XT!Y168,XT!AC168,XT!AG168))=7), 0), 0)), "")</f>
        <v/>
      </c>
      <c r="AA168" s="51" t="str">
        <f>IF(XT!$P168&gt;0,Z168,"")</f>
        <v/>
      </c>
      <c r="AB168" s="51" t="str">
        <f>IF(XT!$P168=0,Z168,"")</f>
        <v/>
      </c>
      <c r="AC168">
        <f>SUMPRODUCT((MONTH(CHOOSE({1,2,3,4},XT!U168,XT!Y168,XT!AC168,XT!AG168))=8)*(CHOOSE({1,2,3,4},XT!X168,XT!AB168,XT!AF168,XT!AJ168)))</f>
        <v>0</v>
      </c>
      <c r="AD168" t="str">
        <f>IFERROR(INDEX(CHOOSE({1,2,3,4}, DAY(XT!U168), DAY(XT!Y168), DAY(XT!AC168), DAY(XT!AG168)), MATCH(1, INDEX(--(MONTH(CHOOSE({1,2,3,4}, XT!U168,XT!Y168,XT!AC168,XT!AG168))=8), 0), 0)), "")</f>
        <v/>
      </c>
      <c r="AE168" s="51" t="str">
        <f>IF(XT!$P168&gt;0,AD168,"")</f>
        <v/>
      </c>
      <c r="AF168" s="51" t="str">
        <f>IF(XT!$P168=0,AD168,"")</f>
        <v/>
      </c>
      <c r="AG168">
        <f>SUMPRODUCT((MONTH(CHOOSE({1,2,3,4},XT!U168,XT!Y168,XT!AC168,XT!AG168))=9)*(CHOOSE({1,2,3,4},XT!X168,XT!AB168,XT!AF168,XT!AJ168)))</f>
        <v>0</v>
      </c>
      <c r="AH168" t="str">
        <f>IFERROR(INDEX(CHOOSE({1,2,3,4}, DAY(XT!U168), DAY(XT!Y168), DAY(XT!AC168), DAY(XT!AG168)), MATCH(1, INDEX(--(MONTH(CHOOSE({1,2,3,4}, XT!U168,XT!Y168,XT!AC168,XT!AG168))=9), 0), 0)), "")</f>
        <v/>
      </c>
      <c r="AI168" s="51" t="str">
        <f>IF(XT!$P168&gt;0,AH168,"")</f>
        <v/>
      </c>
      <c r="AJ168" s="51" t="str">
        <f>IF(XT!$P168=0,AH168,"")</f>
        <v/>
      </c>
      <c r="AK168">
        <f>SUMPRODUCT((MONTH(CHOOSE({1,2,3,4},XT!U168,XT!Y168,XT!AC168,XT!AG168))=10)*(CHOOSE({1,2,3,4},XT!X168,XT!AB168,XT!AF168,XT!AJ168)))</f>
        <v>0</v>
      </c>
      <c r="AL168" t="str">
        <f>IFERROR(INDEX(CHOOSE({1,2,3,4}, DAY(XT!U168), DAY(XT!Y168), DAY(XT!AC168), DAY(XT!AG168)), MATCH(1, INDEX(--(MONTH(CHOOSE({1,2,3,4}, XT!U168,XT!Y168,XT!AC168,XT!AG168))=10), 0), 0)), "")</f>
        <v/>
      </c>
      <c r="AM168" s="51" t="str">
        <f>IF(XT!$P168&gt;0,AL168,"")</f>
        <v/>
      </c>
      <c r="AN168" s="51" t="str">
        <f>IF(XT!$P168=0,AL168,"")</f>
        <v/>
      </c>
      <c r="AO168">
        <f>SUMPRODUCT((MONTH(CHOOSE({1,2,3,4},XT!U168,XT!Y168,XT!AC168,XT!AG168))=11)*(CHOOSE({1,2,3,4},XT!X168,XT!AB168,XT!AF168,XT!AJ168)))</f>
        <v>0</v>
      </c>
      <c r="AP168" t="str">
        <f>IFERROR(INDEX(CHOOSE({1,2,3,4}, DAY(XT!U168), DAY(XT!Y168), DAY(XT!AC168), DAY(XT!AG168)), MATCH(1, INDEX(--(MONTH(CHOOSE({1,2,3,4}, XT!U168,XT!Y168,XT!AC168,XT!AG168))=11), 0), 0)), "")</f>
        <v/>
      </c>
      <c r="AQ168" s="51" t="str">
        <f>IF(XT!$P168&gt;0,AP168,"")</f>
        <v/>
      </c>
      <c r="AR168" s="51" t="str">
        <f>IF(XT!$P168=0,AP168,"")</f>
        <v/>
      </c>
      <c r="AS168">
        <f>SUMPRODUCT((MONTH(CHOOSE({1,2,3,4},XT!U168,XT!Y168,XT!AC168,XT!AG168))=12)*(CHOOSE({1,2,3,4},XT!X168,XT!AB168,XT!AF168,XT!AJ168)))</f>
        <v>0</v>
      </c>
      <c r="AT168" t="str">
        <f>IFERROR(INDEX(CHOOSE({1,2,3,4}, DAY(XT!U168), DAY(XT!Y168), DAY(XT!AC168), DAY(XT!AG168)), MATCH(1, INDEX(--(MONTH(CHOOSE({1,2,3,4}, XT!U168,XT!Y168,XT!AC168,XT!AG168))=12), 0), 0)), "")</f>
        <v/>
      </c>
      <c r="AU168" s="51" t="str">
        <f>IF(XT!$P168&gt;0,AT168,"")</f>
        <v/>
      </c>
      <c r="AV168" s="51" t="str">
        <f>IF(XT!$P168=0,AT168,"")</f>
        <v/>
      </c>
    </row>
    <row r="169" spans="1:48">
      <c r="A169">
        <f>SUMPRODUCT((MONTH(CHOOSE({1,2,3,4},XT!U169,XT!Y169,XT!AC169,XT!AG169))=1)*(CHOOSE({1,2,3,4},XT!X169,XT!AB169,XT!AF169,XT!AJ169)))</f>
        <v>0</v>
      </c>
      <c r="B169">
        <f>IFERROR(INDEX(CHOOSE({1,2,3,4}, DAY(XT!U169), DAY(XT!Y169), DAY(XT!AC169), DAY(XT!AG169)), MATCH(1, INDEX(--(MONTH(CHOOSE({1,2,3,4}, XT!U169,XT!Y169,XT!AC169,XT!AG169))=1), 0), 0)), "")</f>
        <v>0</v>
      </c>
      <c r="C169" s="51" t="str">
        <f>IF(XT!$P169&gt;0,B169,"")</f>
        <v/>
      </c>
      <c r="D169" s="51">
        <f>IF(XT!$P169=0,B169,"")</f>
        <v>0</v>
      </c>
      <c r="E169">
        <f>SUMPRODUCT((MONTH(CHOOSE({1,2,3,4},XT!U169,XT!Y169,XT!AC169,XT!AG169))=2)*(CHOOSE({1,2,3,4},XT!X169,XT!AB169,XT!AF169,XT!AJ169)))</f>
        <v>0</v>
      </c>
      <c r="F169" t="str">
        <f>IFERROR(INDEX(CHOOSE({1,2,3,4}, DAY(XT!U169), DAY(XT!Y169), DAY(XT!AC169), DAY(XT!AG169)), MATCH(1, INDEX(--(MONTH(CHOOSE({1,2,3,4}, XT!U169,XT!Y169,XT!AC169,XT!AG169))=2), 0), 0)), "")</f>
        <v/>
      </c>
      <c r="G169" s="51" t="str">
        <f>IF(XT!$P169&gt;0,F169,"")</f>
        <v/>
      </c>
      <c r="H169" s="51" t="str">
        <f>IF(XT!$P169=0,F169,"")</f>
        <v/>
      </c>
      <c r="I169">
        <f>SUMPRODUCT((MONTH(CHOOSE({1,2,3,4},XT!U169,XT!Y169,XT!AC169,XT!AG169))=3)*(CHOOSE({1,2,3,4},XT!X169,XT!AB169,XT!AF169,XT!AJ169)))</f>
        <v>0</v>
      </c>
      <c r="J169" t="str">
        <f>IFERROR(INDEX(CHOOSE({1,2,3,4}, DAY(XT!U169), DAY(XT!Y169), DAY(XT!AC169), DAY(XT!AG169)), MATCH(1, INDEX(--(MONTH(CHOOSE({1,2,3,4}, XT!U169,XT!Y169,XT!AC169,XT!AG169))=3), 0), 0)), "")</f>
        <v/>
      </c>
      <c r="K169" s="51" t="str">
        <f>IF(XT!$P169&gt;0,J169,"")</f>
        <v/>
      </c>
      <c r="L169" s="51" t="str">
        <f>IF(XT!$P169=0,J169,"")</f>
        <v/>
      </c>
      <c r="M169">
        <f>SUMPRODUCT((MONTH(CHOOSE({1,2,3,4},XT!U169,XT!Y169,XT!AC169,XT!AG169))=4)*(CHOOSE({1,2,3,4},XT!X169,XT!AB169,XT!AF169,XT!AJ169)))</f>
        <v>0</v>
      </c>
      <c r="N169" t="str">
        <f>IFERROR(INDEX(CHOOSE({1,2,3,4}, DAY(XT!U169), DAY(XT!Y169), DAY(XT!AC169), DAY(XT!AG169)), MATCH(1, INDEX(--(MONTH(CHOOSE({1,2,3,4}, XT!U169,XT!Y169,XT!AC169,XT!AG169))=4), 0), 0)), "")</f>
        <v/>
      </c>
      <c r="O169" s="51" t="str">
        <f>IF(XT!$P169&gt;0,N169,"")</f>
        <v/>
      </c>
      <c r="P169" s="51" t="str">
        <f>IF(XT!$P169=0,N169,"")</f>
        <v/>
      </c>
      <c r="Q169">
        <f>SUMPRODUCT((MONTH(CHOOSE({1,2,3,4},XT!U169,XT!Y169,XT!AC169,XT!AG169))=5)*(CHOOSE({1,2,3,4},XT!X169,XT!AB169,XT!AF169,XT!AJ169)))</f>
        <v>0</v>
      </c>
      <c r="R169" t="str">
        <f>IFERROR(INDEX(CHOOSE({1,2,3,4}, DAY(XT!U169), DAY(XT!Y169), DAY(XT!AC169), DAY(XT!AG169)), MATCH(1, INDEX(--(MONTH(CHOOSE({1,2,3,4}, XT!U169,XT!Y169,XT!AC169,XT!AG169))=5), 0), 0)), "")</f>
        <v/>
      </c>
      <c r="S169" s="51" t="str">
        <f>IF(XT!$P169&gt;0,R169,"")</f>
        <v/>
      </c>
      <c r="T169" s="51" t="str">
        <f>IF(XT!$P169=0,R169,"")</f>
        <v/>
      </c>
      <c r="U169">
        <f>SUMPRODUCT((MONTH(CHOOSE({1,2,3,4},XT!U169,XT!Y169,XT!AC169,XT!AG169))=6)*(CHOOSE({1,2,3,4},XT!X169,XT!AB169,XT!AF169,XT!AJ169)))</f>
        <v>0</v>
      </c>
      <c r="V169" t="str">
        <f>IFERROR(INDEX(CHOOSE({1,2,3,4}, DAY(XT!U169), DAY(XT!Y169), DAY(XT!AC169), DAY(XT!AG169)), MATCH(1, INDEX(--(MONTH(CHOOSE({1,2,3,4}, XT!U169,XT!Y169,XT!AC169,XT!AG169))=6), 0), 0)), "")</f>
        <v/>
      </c>
      <c r="W169" s="51" t="str">
        <f>IF(XT!$P169&gt;0,V169,"")</f>
        <v/>
      </c>
      <c r="X169" s="51" t="str">
        <f>IF(XT!$P169=0,V169,"")</f>
        <v/>
      </c>
      <c r="Y169">
        <f>SUMPRODUCT((MONTH(CHOOSE({1,2,3,4},XT!U169,XT!Y169,XT!AC169,XT!AG169))=7)*(CHOOSE({1,2,3,4},XT!X169,XT!AB169,XT!AF169,XT!AJ169)))</f>
        <v>0</v>
      </c>
      <c r="Z169" t="str">
        <f>IFERROR(INDEX(CHOOSE({1,2,3,4}, DAY(XT!U169), DAY(XT!Y169), DAY(XT!AC169), DAY(XT!AG169)), MATCH(1, INDEX(--(MONTH(CHOOSE({1,2,3,4}, XT!U169,XT!Y169,XT!AC169,XT!AG169))=7), 0), 0)), "")</f>
        <v/>
      </c>
      <c r="AA169" s="51" t="str">
        <f>IF(XT!$P169&gt;0,Z169,"")</f>
        <v/>
      </c>
      <c r="AB169" s="51" t="str">
        <f>IF(XT!$P169=0,Z169,"")</f>
        <v/>
      </c>
      <c r="AC169">
        <f>SUMPRODUCT((MONTH(CHOOSE({1,2,3,4},XT!U169,XT!Y169,XT!AC169,XT!AG169))=8)*(CHOOSE({1,2,3,4},XT!X169,XT!AB169,XT!AF169,XT!AJ169)))</f>
        <v>0</v>
      </c>
      <c r="AD169" t="str">
        <f>IFERROR(INDEX(CHOOSE({1,2,3,4}, DAY(XT!U169), DAY(XT!Y169), DAY(XT!AC169), DAY(XT!AG169)), MATCH(1, INDEX(--(MONTH(CHOOSE({1,2,3,4}, XT!U169,XT!Y169,XT!AC169,XT!AG169))=8), 0), 0)), "")</f>
        <v/>
      </c>
      <c r="AE169" s="51" t="str">
        <f>IF(XT!$P169&gt;0,AD169,"")</f>
        <v/>
      </c>
      <c r="AF169" s="51" t="str">
        <f>IF(XT!$P169=0,AD169,"")</f>
        <v/>
      </c>
      <c r="AG169">
        <f>SUMPRODUCT((MONTH(CHOOSE({1,2,3,4},XT!U169,XT!Y169,XT!AC169,XT!AG169))=9)*(CHOOSE({1,2,3,4},XT!X169,XT!AB169,XT!AF169,XT!AJ169)))</f>
        <v>0</v>
      </c>
      <c r="AH169" t="str">
        <f>IFERROR(INDEX(CHOOSE({1,2,3,4}, DAY(XT!U169), DAY(XT!Y169), DAY(XT!AC169), DAY(XT!AG169)), MATCH(1, INDEX(--(MONTH(CHOOSE({1,2,3,4}, XT!U169,XT!Y169,XT!AC169,XT!AG169))=9), 0), 0)), "")</f>
        <v/>
      </c>
      <c r="AI169" s="51" t="str">
        <f>IF(XT!$P169&gt;0,AH169,"")</f>
        <v/>
      </c>
      <c r="AJ169" s="51" t="str">
        <f>IF(XT!$P169=0,AH169,"")</f>
        <v/>
      </c>
      <c r="AK169">
        <f>SUMPRODUCT((MONTH(CHOOSE({1,2,3,4},XT!U169,XT!Y169,XT!AC169,XT!AG169))=10)*(CHOOSE({1,2,3,4},XT!X169,XT!AB169,XT!AF169,XT!AJ169)))</f>
        <v>0</v>
      </c>
      <c r="AL169" t="str">
        <f>IFERROR(INDEX(CHOOSE({1,2,3,4}, DAY(XT!U169), DAY(XT!Y169), DAY(XT!AC169), DAY(XT!AG169)), MATCH(1, INDEX(--(MONTH(CHOOSE({1,2,3,4}, XT!U169,XT!Y169,XT!AC169,XT!AG169))=10), 0), 0)), "")</f>
        <v/>
      </c>
      <c r="AM169" s="51" t="str">
        <f>IF(XT!$P169&gt;0,AL169,"")</f>
        <v/>
      </c>
      <c r="AN169" s="51" t="str">
        <f>IF(XT!$P169=0,AL169,"")</f>
        <v/>
      </c>
      <c r="AO169">
        <f>SUMPRODUCT((MONTH(CHOOSE({1,2,3,4},XT!U169,XT!Y169,XT!AC169,XT!AG169))=11)*(CHOOSE({1,2,3,4},XT!X169,XT!AB169,XT!AF169,XT!AJ169)))</f>
        <v>0</v>
      </c>
      <c r="AP169" t="str">
        <f>IFERROR(INDEX(CHOOSE({1,2,3,4}, DAY(XT!U169), DAY(XT!Y169), DAY(XT!AC169), DAY(XT!AG169)), MATCH(1, INDEX(--(MONTH(CHOOSE({1,2,3,4}, XT!U169,XT!Y169,XT!AC169,XT!AG169))=11), 0), 0)), "")</f>
        <v/>
      </c>
      <c r="AQ169" s="51" t="str">
        <f>IF(XT!$P169&gt;0,AP169,"")</f>
        <v/>
      </c>
      <c r="AR169" s="51" t="str">
        <f>IF(XT!$P169=0,AP169,"")</f>
        <v/>
      </c>
      <c r="AS169">
        <f>SUMPRODUCT((MONTH(CHOOSE({1,2,3,4},XT!U169,XT!Y169,XT!AC169,XT!AG169))=12)*(CHOOSE({1,2,3,4},XT!X169,XT!AB169,XT!AF169,XT!AJ169)))</f>
        <v>0</v>
      </c>
      <c r="AT169" t="str">
        <f>IFERROR(INDEX(CHOOSE({1,2,3,4}, DAY(XT!U169), DAY(XT!Y169), DAY(XT!AC169), DAY(XT!AG169)), MATCH(1, INDEX(--(MONTH(CHOOSE({1,2,3,4}, XT!U169,XT!Y169,XT!AC169,XT!AG169))=12), 0), 0)), "")</f>
        <v/>
      </c>
      <c r="AU169" s="51" t="str">
        <f>IF(XT!$P169&gt;0,AT169,"")</f>
        <v/>
      </c>
      <c r="AV169" s="51" t="str">
        <f>IF(XT!$P169=0,AT169,"")</f>
        <v/>
      </c>
    </row>
    <row r="170" spans="1:48">
      <c r="A170">
        <f>SUMPRODUCT((MONTH(CHOOSE({1,2,3,4},XT!U170,XT!Y170,XT!AC170,XT!AG170))=1)*(CHOOSE({1,2,3,4},XT!X170,XT!AB170,XT!AF170,XT!AJ170)))</f>
        <v>0</v>
      </c>
      <c r="B170">
        <f>IFERROR(INDEX(CHOOSE({1,2,3,4}, DAY(XT!U170), DAY(XT!Y170), DAY(XT!AC170), DAY(XT!AG170)), MATCH(1, INDEX(--(MONTH(CHOOSE({1,2,3,4}, XT!U170,XT!Y170,XT!AC170,XT!AG170))=1), 0), 0)), "")</f>
        <v>0</v>
      </c>
      <c r="C170" s="51" t="str">
        <f>IF(XT!$P170&gt;0,B170,"")</f>
        <v/>
      </c>
      <c r="D170" s="51">
        <f>IF(XT!$P170=0,B170,"")</f>
        <v>0</v>
      </c>
      <c r="E170">
        <f>SUMPRODUCT((MONTH(CHOOSE({1,2,3,4},XT!U170,XT!Y170,XT!AC170,XT!AG170))=2)*(CHOOSE({1,2,3,4},XT!X170,XT!AB170,XT!AF170,XT!AJ170)))</f>
        <v>0</v>
      </c>
      <c r="F170" t="str">
        <f>IFERROR(INDEX(CHOOSE({1,2,3,4}, DAY(XT!U170), DAY(XT!Y170), DAY(XT!AC170), DAY(XT!AG170)), MATCH(1, INDEX(--(MONTH(CHOOSE({1,2,3,4}, XT!U170,XT!Y170,XT!AC170,XT!AG170))=2), 0), 0)), "")</f>
        <v/>
      </c>
      <c r="G170" s="51" t="str">
        <f>IF(XT!$P170&gt;0,F170,"")</f>
        <v/>
      </c>
      <c r="H170" s="51" t="str">
        <f>IF(XT!$P170=0,F170,"")</f>
        <v/>
      </c>
      <c r="I170">
        <f>SUMPRODUCT((MONTH(CHOOSE({1,2,3,4},XT!U170,XT!Y170,XT!AC170,XT!AG170))=3)*(CHOOSE({1,2,3,4},XT!X170,XT!AB170,XT!AF170,XT!AJ170)))</f>
        <v>0</v>
      </c>
      <c r="J170" t="str">
        <f>IFERROR(INDEX(CHOOSE({1,2,3,4}, DAY(XT!U170), DAY(XT!Y170), DAY(XT!AC170), DAY(XT!AG170)), MATCH(1, INDEX(--(MONTH(CHOOSE({1,2,3,4}, XT!U170,XT!Y170,XT!AC170,XT!AG170))=3), 0), 0)), "")</f>
        <v/>
      </c>
      <c r="K170" s="51" t="str">
        <f>IF(XT!$P170&gt;0,J170,"")</f>
        <v/>
      </c>
      <c r="L170" s="51" t="str">
        <f>IF(XT!$P170=0,J170,"")</f>
        <v/>
      </c>
      <c r="M170">
        <f>SUMPRODUCT((MONTH(CHOOSE({1,2,3,4},XT!U170,XT!Y170,XT!AC170,XT!AG170))=4)*(CHOOSE({1,2,3,4},XT!X170,XT!AB170,XT!AF170,XT!AJ170)))</f>
        <v>0</v>
      </c>
      <c r="N170" t="str">
        <f>IFERROR(INDEX(CHOOSE({1,2,3,4}, DAY(XT!U170), DAY(XT!Y170), DAY(XT!AC170), DAY(XT!AG170)), MATCH(1, INDEX(--(MONTH(CHOOSE({1,2,3,4}, XT!U170,XT!Y170,XT!AC170,XT!AG170))=4), 0), 0)), "")</f>
        <v/>
      </c>
      <c r="O170" s="51" t="str">
        <f>IF(XT!$P170&gt;0,N170,"")</f>
        <v/>
      </c>
      <c r="P170" s="51" t="str">
        <f>IF(XT!$P170=0,N170,"")</f>
        <v/>
      </c>
      <c r="Q170">
        <f>SUMPRODUCT((MONTH(CHOOSE({1,2,3,4},XT!U170,XT!Y170,XT!AC170,XT!AG170))=5)*(CHOOSE({1,2,3,4},XT!X170,XT!AB170,XT!AF170,XT!AJ170)))</f>
        <v>0</v>
      </c>
      <c r="R170" t="str">
        <f>IFERROR(INDEX(CHOOSE({1,2,3,4}, DAY(XT!U170), DAY(XT!Y170), DAY(XT!AC170), DAY(XT!AG170)), MATCH(1, INDEX(--(MONTH(CHOOSE({1,2,3,4}, XT!U170,XT!Y170,XT!AC170,XT!AG170))=5), 0), 0)), "")</f>
        <v/>
      </c>
      <c r="S170" s="51" t="str">
        <f>IF(XT!$P170&gt;0,R170,"")</f>
        <v/>
      </c>
      <c r="T170" s="51" t="str">
        <f>IF(XT!$P170=0,R170,"")</f>
        <v/>
      </c>
      <c r="U170">
        <f>SUMPRODUCT((MONTH(CHOOSE({1,2,3,4},XT!U170,XT!Y170,XT!AC170,XT!AG170))=6)*(CHOOSE({1,2,3,4},XT!X170,XT!AB170,XT!AF170,XT!AJ170)))</f>
        <v>0</v>
      </c>
      <c r="V170" t="str">
        <f>IFERROR(INDEX(CHOOSE({1,2,3,4}, DAY(XT!U170), DAY(XT!Y170), DAY(XT!AC170), DAY(XT!AG170)), MATCH(1, INDEX(--(MONTH(CHOOSE({1,2,3,4}, XT!U170,XT!Y170,XT!AC170,XT!AG170))=6), 0), 0)), "")</f>
        <v/>
      </c>
      <c r="W170" s="51" t="str">
        <f>IF(XT!$P170&gt;0,V170,"")</f>
        <v/>
      </c>
      <c r="X170" s="51" t="str">
        <f>IF(XT!$P170=0,V170,"")</f>
        <v/>
      </c>
      <c r="Y170">
        <f>SUMPRODUCT((MONTH(CHOOSE({1,2,3,4},XT!U170,XT!Y170,XT!AC170,XT!AG170))=7)*(CHOOSE({1,2,3,4},XT!X170,XT!AB170,XT!AF170,XT!AJ170)))</f>
        <v>0</v>
      </c>
      <c r="Z170" t="str">
        <f>IFERROR(INDEX(CHOOSE({1,2,3,4}, DAY(XT!U170), DAY(XT!Y170), DAY(XT!AC170), DAY(XT!AG170)), MATCH(1, INDEX(--(MONTH(CHOOSE({1,2,3,4}, XT!U170,XT!Y170,XT!AC170,XT!AG170))=7), 0), 0)), "")</f>
        <v/>
      </c>
      <c r="AA170" s="51" t="str">
        <f>IF(XT!$P170&gt;0,Z170,"")</f>
        <v/>
      </c>
      <c r="AB170" s="51" t="str">
        <f>IF(XT!$P170=0,Z170,"")</f>
        <v/>
      </c>
      <c r="AC170">
        <f>SUMPRODUCT((MONTH(CHOOSE({1,2,3,4},XT!U170,XT!Y170,XT!AC170,XT!AG170))=8)*(CHOOSE({1,2,3,4},XT!X170,XT!AB170,XT!AF170,XT!AJ170)))</f>
        <v>0</v>
      </c>
      <c r="AD170" t="str">
        <f>IFERROR(INDEX(CHOOSE({1,2,3,4}, DAY(XT!U170), DAY(XT!Y170), DAY(XT!AC170), DAY(XT!AG170)), MATCH(1, INDEX(--(MONTH(CHOOSE({1,2,3,4}, XT!U170,XT!Y170,XT!AC170,XT!AG170))=8), 0), 0)), "")</f>
        <v/>
      </c>
      <c r="AE170" s="51" t="str">
        <f>IF(XT!$P170&gt;0,AD170,"")</f>
        <v/>
      </c>
      <c r="AF170" s="51" t="str">
        <f>IF(XT!$P170=0,AD170,"")</f>
        <v/>
      </c>
      <c r="AG170">
        <f>SUMPRODUCT((MONTH(CHOOSE({1,2,3,4},XT!U170,XT!Y170,XT!AC170,XT!AG170))=9)*(CHOOSE({1,2,3,4},XT!X170,XT!AB170,XT!AF170,XT!AJ170)))</f>
        <v>0</v>
      </c>
      <c r="AH170" t="str">
        <f>IFERROR(INDEX(CHOOSE({1,2,3,4}, DAY(XT!U170), DAY(XT!Y170), DAY(XT!AC170), DAY(XT!AG170)), MATCH(1, INDEX(--(MONTH(CHOOSE({1,2,3,4}, XT!U170,XT!Y170,XT!AC170,XT!AG170))=9), 0), 0)), "")</f>
        <v/>
      </c>
      <c r="AI170" s="51" t="str">
        <f>IF(XT!$P170&gt;0,AH170,"")</f>
        <v/>
      </c>
      <c r="AJ170" s="51" t="str">
        <f>IF(XT!$P170=0,AH170,"")</f>
        <v/>
      </c>
      <c r="AK170">
        <f>SUMPRODUCT((MONTH(CHOOSE({1,2,3,4},XT!U170,XT!Y170,XT!AC170,XT!AG170))=10)*(CHOOSE({1,2,3,4},XT!X170,XT!AB170,XT!AF170,XT!AJ170)))</f>
        <v>0</v>
      </c>
      <c r="AL170" t="str">
        <f>IFERROR(INDEX(CHOOSE({1,2,3,4}, DAY(XT!U170), DAY(XT!Y170), DAY(XT!AC170), DAY(XT!AG170)), MATCH(1, INDEX(--(MONTH(CHOOSE({1,2,3,4}, XT!U170,XT!Y170,XT!AC170,XT!AG170))=10), 0), 0)), "")</f>
        <v/>
      </c>
      <c r="AM170" s="51" t="str">
        <f>IF(XT!$P170&gt;0,AL170,"")</f>
        <v/>
      </c>
      <c r="AN170" s="51" t="str">
        <f>IF(XT!$P170=0,AL170,"")</f>
        <v/>
      </c>
      <c r="AO170">
        <f>SUMPRODUCT((MONTH(CHOOSE({1,2,3,4},XT!U170,XT!Y170,XT!AC170,XT!AG170))=11)*(CHOOSE({1,2,3,4},XT!X170,XT!AB170,XT!AF170,XT!AJ170)))</f>
        <v>0</v>
      </c>
      <c r="AP170" t="str">
        <f>IFERROR(INDEX(CHOOSE({1,2,3,4}, DAY(XT!U170), DAY(XT!Y170), DAY(XT!AC170), DAY(XT!AG170)), MATCH(1, INDEX(--(MONTH(CHOOSE({1,2,3,4}, XT!U170,XT!Y170,XT!AC170,XT!AG170))=11), 0), 0)), "")</f>
        <v/>
      </c>
      <c r="AQ170" s="51" t="str">
        <f>IF(XT!$P170&gt;0,AP170,"")</f>
        <v/>
      </c>
      <c r="AR170" s="51" t="str">
        <f>IF(XT!$P170=0,AP170,"")</f>
        <v/>
      </c>
      <c r="AS170">
        <f>SUMPRODUCT((MONTH(CHOOSE({1,2,3,4},XT!U170,XT!Y170,XT!AC170,XT!AG170))=12)*(CHOOSE({1,2,3,4},XT!X170,XT!AB170,XT!AF170,XT!AJ170)))</f>
        <v>0</v>
      </c>
      <c r="AT170" t="str">
        <f>IFERROR(INDEX(CHOOSE({1,2,3,4}, DAY(XT!U170), DAY(XT!Y170), DAY(XT!AC170), DAY(XT!AG170)), MATCH(1, INDEX(--(MONTH(CHOOSE({1,2,3,4}, XT!U170,XT!Y170,XT!AC170,XT!AG170))=12), 0), 0)), "")</f>
        <v/>
      </c>
      <c r="AU170" s="51" t="str">
        <f>IF(XT!$P170&gt;0,AT170,"")</f>
        <v/>
      </c>
      <c r="AV170" s="51" t="str">
        <f>IF(XT!$P170=0,AT170,"")</f>
        <v/>
      </c>
    </row>
    <row r="171" spans="1:48">
      <c r="A171">
        <f>SUMPRODUCT((MONTH(CHOOSE({1,2,3,4},XT!U171,XT!Y171,XT!AC171,XT!AG171))=1)*(CHOOSE({1,2,3,4},XT!X171,XT!AB171,XT!AF171,XT!AJ171)))</f>
        <v>0</v>
      </c>
      <c r="B171">
        <f>IFERROR(INDEX(CHOOSE({1,2,3,4}, DAY(XT!U171), DAY(XT!Y171), DAY(XT!AC171), DAY(XT!AG171)), MATCH(1, INDEX(--(MONTH(CHOOSE({1,2,3,4}, XT!U171,XT!Y171,XT!AC171,XT!AG171))=1), 0), 0)), "")</f>
        <v>0</v>
      </c>
      <c r="C171" s="51" t="str">
        <f>IF(XT!$P171&gt;0,B171,"")</f>
        <v/>
      </c>
      <c r="D171" s="51">
        <f>IF(XT!$P171=0,B171,"")</f>
        <v>0</v>
      </c>
      <c r="E171">
        <f>SUMPRODUCT((MONTH(CHOOSE({1,2,3,4},XT!U171,XT!Y171,XT!AC171,XT!AG171))=2)*(CHOOSE({1,2,3,4},XT!X171,XT!AB171,XT!AF171,XT!AJ171)))</f>
        <v>0</v>
      </c>
      <c r="F171" t="str">
        <f>IFERROR(INDEX(CHOOSE({1,2,3,4}, DAY(XT!U171), DAY(XT!Y171), DAY(XT!AC171), DAY(XT!AG171)), MATCH(1, INDEX(--(MONTH(CHOOSE({1,2,3,4}, XT!U171,XT!Y171,XT!AC171,XT!AG171))=2), 0), 0)), "")</f>
        <v/>
      </c>
      <c r="G171" s="51" t="str">
        <f>IF(XT!$P171&gt;0,F171,"")</f>
        <v/>
      </c>
      <c r="H171" s="51" t="str">
        <f>IF(XT!$P171=0,F171,"")</f>
        <v/>
      </c>
      <c r="I171">
        <f>SUMPRODUCT((MONTH(CHOOSE({1,2,3,4},XT!U171,XT!Y171,XT!AC171,XT!AG171))=3)*(CHOOSE({1,2,3,4},XT!X171,XT!AB171,XT!AF171,XT!AJ171)))</f>
        <v>0</v>
      </c>
      <c r="J171" t="str">
        <f>IFERROR(INDEX(CHOOSE({1,2,3,4}, DAY(XT!U171), DAY(XT!Y171), DAY(XT!AC171), DAY(XT!AG171)), MATCH(1, INDEX(--(MONTH(CHOOSE({1,2,3,4}, XT!U171,XT!Y171,XT!AC171,XT!AG171))=3), 0), 0)), "")</f>
        <v/>
      </c>
      <c r="K171" s="51" t="str">
        <f>IF(XT!$P171&gt;0,J171,"")</f>
        <v/>
      </c>
      <c r="L171" s="51" t="str">
        <f>IF(XT!$P171=0,J171,"")</f>
        <v/>
      </c>
      <c r="M171">
        <f>SUMPRODUCT((MONTH(CHOOSE({1,2,3,4},XT!U171,XT!Y171,XT!AC171,XT!AG171))=4)*(CHOOSE({1,2,3,4},XT!X171,XT!AB171,XT!AF171,XT!AJ171)))</f>
        <v>0</v>
      </c>
      <c r="N171" t="str">
        <f>IFERROR(INDEX(CHOOSE({1,2,3,4}, DAY(XT!U171), DAY(XT!Y171), DAY(XT!AC171), DAY(XT!AG171)), MATCH(1, INDEX(--(MONTH(CHOOSE({1,2,3,4}, XT!U171,XT!Y171,XT!AC171,XT!AG171))=4), 0), 0)), "")</f>
        <v/>
      </c>
      <c r="O171" s="51" t="str">
        <f>IF(XT!$P171&gt;0,N171,"")</f>
        <v/>
      </c>
      <c r="P171" s="51" t="str">
        <f>IF(XT!$P171=0,N171,"")</f>
        <v/>
      </c>
      <c r="Q171">
        <f>SUMPRODUCT((MONTH(CHOOSE({1,2,3,4},XT!U171,XT!Y171,XT!AC171,XT!AG171))=5)*(CHOOSE({1,2,3,4},XT!X171,XT!AB171,XT!AF171,XT!AJ171)))</f>
        <v>0</v>
      </c>
      <c r="R171" t="str">
        <f>IFERROR(INDEX(CHOOSE({1,2,3,4}, DAY(XT!U171), DAY(XT!Y171), DAY(XT!AC171), DAY(XT!AG171)), MATCH(1, INDEX(--(MONTH(CHOOSE({1,2,3,4}, XT!U171,XT!Y171,XT!AC171,XT!AG171))=5), 0), 0)), "")</f>
        <v/>
      </c>
      <c r="S171" s="51" t="str">
        <f>IF(XT!$P171&gt;0,R171,"")</f>
        <v/>
      </c>
      <c r="T171" s="51" t="str">
        <f>IF(XT!$P171=0,R171,"")</f>
        <v/>
      </c>
      <c r="U171">
        <f>SUMPRODUCT((MONTH(CHOOSE({1,2,3,4},XT!U171,XT!Y171,XT!AC171,XT!AG171))=6)*(CHOOSE({1,2,3,4},XT!X171,XT!AB171,XT!AF171,XT!AJ171)))</f>
        <v>0</v>
      </c>
      <c r="V171" t="str">
        <f>IFERROR(INDEX(CHOOSE({1,2,3,4}, DAY(XT!U171), DAY(XT!Y171), DAY(XT!AC171), DAY(XT!AG171)), MATCH(1, INDEX(--(MONTH(CHOOSE({1,2,3,4}, XT!U171,XT!Y171,XT!AC171,XT!AG171))=6), 0), 0)), "")</f>
        <v/>
      </c>
      <c r="W171" s="51" t="str">
        <f>IF(XT!$P171&gt;0,V171,"")</f>
        <v/>
      </c>
      <c r="X171" s="51" t="str">
        <f>IF(XT!$P171=0,V171,"")</f>
        <v/>
      </c>
      <c r="Y171">
        <f>SUMPRODUCT((MONTH(CHOOSE({1,2,3,4},XT!U171,XT!Y171,XT!AC171,XT!AG171))=7)*(CHOOSE({1,2,3,4},XT!X171,XT!AB171,XT!AF171,XT!AJ171)))</f>
        <v>0</v>
      </c>
      <c r="Z171" t="str">
        <f>IFERROR(INDEX(CHOOSE({1,2,3,4}, DAY(XT!U171), DAY(XT!Y171), DAY(XT!AC171), DAY(XT!AG171)), MATCH(1, INDEX(--(MONTH(CHOOSE({1,2,3,4}, XT!U171,XT!Y171,XT!AC171,XT!AG171))=7), 0), 0)), "")</f>
        <v/>
      </c>
      <c r="AA171" s="51" t="str">
        <f>IF(XT!$P171&gt;0,Z171,"")</f>
        <v/>
      </c>
      <c r="AB171" s="51" t="str">
        <f>IF(XT!$P171=0,Z171,"")</f>
        <v/>
      </c>
      <c r="AC171">
        <f>SUMPRODUCT((MONTH(CHOOSE({1,2,3,4},XT!U171,XT!Y171,XT!AC171,XT!AG171))=8)*(CHOOSE({1,2,3,4},XT!X171,XT!AB171,XT!AF171,XT!AJ171)))</f>
        <v>0</v>
      </c>
      <c r="AD171" t="str">
        <f>IFERROR(INDEX(CHOOSE({1,2,3,4}, DAY(XT!U171), DAY(XT!Y171), DAY(XT!AC171), DAY(XT!AG171)), MATCH(1, INDEX(--(MONTH(CHOOSE({1,2,3,4}, XT!U171,XT!Y171,XT!AC171,XT!AG171))=8), 0), 0)), "")</f>
        <v/>
      </c>
      <c r="AE171" s="51" t="str">
        <f>IF(XT!$P171&gt;0,AD171,"")</f>
        <v/>
      </c>
      <c r="AF171" s="51" t="str">
        <f>IF(XT!$P171=0,AD171,"")</f>
        <v/>
      </c>
      <c r="AG171">
        <f>SUMPRODUCT((MONTH(CHOOSE({1,2,3,4},XT!U171,XT!Y171,XT!AC171,XT!AG171))=9)*(CHOOSE({1,2,3,4},XT!X171,XT!AB171,XT!AF171,XT!AJ171)))</f>
        <v>0</v>
      </c>
      <c r="AH171" t="str">
        <f>IFERROR(INDEX(CHOOSE({1,2,3,4}, DAY(XT!U171), DAY(XT!Y171), DAY(XT!AC171), DAY(XT!AG171)), MATCH(1, INDEX(--(MONTH(CHOOSE({1,2,3,4}, XT!U171,XT!Y171,XT!AC171,XT!AG171))=9), 0), 0)), "")</f>
        <v/>
      </c>
      <c r="AI171" s="51" t="str">
        <f>IF(XT!$P171&gt;0,AH171,"")</f>
        <v/>
      </c>
      <c r="AJ171" s="51" t="str">
        <f>IF(XT!$P171=0,AH171,"")</f>
        <v/>
      </c>
      <c r="AK171">
        <f>SUMPRODUCT((MONTH(CHOOSE({1,2,3,4},XT!U171,XT!Y171,XT!AC171,XT!AG171))=10)*(CHOOSE({1,2,3,4},XT!X171,XT!AB171,XT!AF171,XT!AJ171)))</f>
        <v>0</v>
      </c>
      <c r="AL171" t="str">
        <f>IFERROR(INDEX(CHOOSE({1,2,3,4}, DAY(XT!U171), DAY(XT!Y171), DAY(XT!AC171), DAY(XT!AG171)), MATCH(1, INDEX(--(MONTH(CHOOSE({1,2,3,4}, XT!U171,XT!Y171,XT!AC171,XT!AG171))=10), 0), 0)), "")</f>
        <v/>
      </c>
      <c r="AM171" s="51" t="str">
        <f>IF(XT!$P171&gt;0,AL171,"")</f>
        <v/>
      </c>
      <c r="AN171" s="51" t="str">
        <f>IF(XT!$P171=0,AL171,"")</f>
        <v/>
      </c>
      <c r="AO171">
        <f>SUMPRODUCT((MONTH(CHOOSE({1,2,3,4},XT!U171,XT!Y171,XT!AC171,XT!AG171))=11)*(CHOOSE({1,2,3,4},XT!X171,XT!AB171,XT!AF171,XT!AJ171)))</f>
        <v>0</v>
      </c>
      <c r="AP171" t="str">
        <f>IFERROR(INDEX(CHOOSE({1,2,3,4}, DAY(XT!U171), DAY(XT!Y171), DAY(XT!AC171), DAY(XT!AG171)), MATCH(1, INDEX(--(MONTH(CHOOSE({1,2,3,4}, XT!U171,XT!Y171,XT!AC171,XT!AG171))=11), 0), 0)), "")</f>
        <v/>
      </c>
      <c r="AQ171" s="51" t="str">
        <f>IF(XT!$P171&gt;0,AP171,"")</f>
        <v/>
      </c>
      <c r="AR171" s="51" t="str">
        <f>IF(XT!$P171=0,AP171,"")</f>
        <v/>
      </c>
      <c r="AS171">
        <f>SUMPRODUCT((MONTH(CHOOSE({1,2,3,4},XT!U171,XT!Y171,XT!AC171,XT!AG171))=12)*(CHOOSE({1,2,3,4},XT!X171,XT!AB171,XT!AF171,XT!AJ171)))</f>
        <v>0</v>
      </c>
      <c r="AT171" t="str">
        <f>IFERROR(INDEX(CHOOSE({1,2,3,4}, DAY(XT!U171), DAY(XT!Y171), DAY(XT!AC171), DAY(XT!AG171)), MATCH(1, INDEX(--(MONTH(CHOOSE({1,2,3,4}, XT!U171,XT!Y171,XT!AC171,XT!AG171))=12), 0), 0)), "")</f>
        <v/>
      </c>
      <c r="AU171" s="51" t="str">
        <f>IF(XT!$P171&gt;0,AT171,"")</f>
        <v/>
      </c>
      <c r="AV171" s="51" t="str">
        <f>IF(XT!$P171=0,AT171,"")</f>
        <v/>
      </c>
    </row>
    <row r="172" spans="1:48">
      <c r="A172">
        <f>SUMPRODUCT((MONTH(CHOOSE({1,2,3,4},XT!U172,XT!Y172,XT!AC172,XT!AG172))=1)*(CHOOSE({1,2,3,4},XT!X172,XT!AB172,XT!AF172,XT!AJ172)))</f>
        <v>0</v>
      </c>
      <c r="B172">
        <f>IFERROR(INDEX(CHOOSE({1,2,3,4}, DAY(XT!U172), DAY(XT!Y172), DAY(XT!AC172), DAY(XT!AG172)), MATCH(1, INDEX(--(MONTH(CHOOSE({1,2,3,4}, XT!U172,XT!Y172,XT!AC172,XT!AG172))=1), 0), 0)), "")</f>
        <v>0</v>
      </c>
      <c r="C172" s="51" t="str">
        <f>IF(XT!$P172&gt;0,B172,"")</f>
        <v/>
      </c>
      <c r="D172" s="51">
        <f>IF(XT!$P172=0,B172,"")</f>
        <v>0</v>
      </c>
      <c r="E172">
        <f>SUMPRODUCT((MONTH(CHOOSE({1,2,3,4},XT!U172,XT!Y172,XT!AC172,XT!AG172))=2)*(CHOOSE({1,2,3,4},XT!X172,XT!AB172,XT!AF172,XT!AJ172)))</f>
        <v>0</v>
      </c>
      <c r="F172" t="str">
        <f>IFERROR(INDEX(CHOOSE({1,2,3,4}, DAY(XT!U172), DAY(XT!Y172), DAY(XT!AC172), DAY(XT!AG172)), MATCH(1, INDEX(--(MONTH(CHOOSE({1,2,3,4}, XT!U172,XT!Y172,XT!AC172,XT!AG172))=2), 0), 0)), "")</f>
        <v/>
      </c>
      <c r="G172" s="51" t="str">
        <f>IF(XT!$P172&gt;0,F172,"")</f>
        <v/>
      </c>
      <c r="H172" s="51" t="str">
        <f>IF(XT!$P172=0,F172,"")</f>
        <v/>
      </c>
      <c r="I172">
        <f>SUMPRODUCT((MONTH(CHOOSE({1,2,3,4},XT!U172,XT!Y172,XT!AC172,XT!AG172))=3)*(CHOOSE({1,2,3,4},XT!X172,XT!AB172,XT!AF172,XT!AJ172)))</f>
        <v>0</v>
      </c>
      <c r="J172" t="str">
        <f>IFERROR(INDEX(CHOOSE({1,2,3,4}, DAY(XT!U172), DAY(XT!Y172), DAY(XT!AC172), DAY(XT!AG172)), MATCH(1, INDEX(--(MONTH(CHOOSE({1,2,3,4}, XT!U172,XT!Y172,XT!AC172,XT!AG172))=3), 0), 0)), "")</f>
        <v/>
      </c>
      <c r="K172" s="51" t="str">
        <f>IF(XT!$P172&gt;0,J172,"")</f>
        <v/>
      </c>
      <c r="L172" s="51" t="str">
        <f>IF(XT!$P172=0,J172,"")</f>
        <v/>
      </c>
      <c r="M172">
        <f>SUMPRODUCT((MONTH(CHOOSE({1,2,3,4},XT!U172,XT!Y172,XT!AC172,XT!AG172))=4)*(CHOOSE({1,2,3,4},XT!X172,XT!AB172,XT!AF172,XT!AJ172)))</f>
        <v>0</v>
      </c>
      <c r="N172" t="str">
        <f>IFERROR(INDEX(CHOOSE({1,2,3,4}, DAY(XT!U172), DAY(XT!Y172), DAY(XT!AC172), DAY(XT!AG172)), MATCH(1, INDEX(--(MONTH(CHOOSE({1,2,3,4}, XT!U172,XT!Y172,XT!AC172,XT!AG172))=4), 0), 0)), "")</f>
        <v/>
      </c>
      <c r="O172" s="51" t="str">
        <f>IF(XT!$P172&gt;0,N172,"")</f>
        <v/>
      </c>
      <c r="P172" s="51" t="str">
        <f>IF(XT!$P172=0,N172,"")</f>
        <v/>
      </c>
      <c r="Q172">
        <f>SUMPRODUCT((MONTH(CHOOSE({1,2,3,4},XT!U172,XT!Y172,XT!AC172,XT!AG172))=5)*(CHOOSE({1,2,3,4},XT!X172,XT!AB172,XT!AF172,XT!AJ172)))</f>
        <v>0</v>
      </c>
      <c r="R172" t="str">
        <f>IFERROR(INDEX(CHOOSE({1,2,3,4}, DAY(XT!U172), DAY(XT!Y172), DAY(XT!AC172), DAY(XT!AG172)), MATCH(1, INDEX(--(MONTH(CHOOSE({1,2,3,4}, XT!U172,XT!Y172,XT!AC172,XT!AG172))=5), 0), 0)), "")</f>
        <v/>
      </c>
      <c r="S172" s="51" t="str">
        <f>IF(XT!$P172&gt;0,R172,"")</f>
        <v/>
      </c>
      <c r="T172" s="51" t="str">
        <f>IF(XT!$P172=0,R172,"")</f>
        <v/>
      </c>
      <c r="U172">
        <f>SUMPRODUCT((MONTH(CHOOSE({1,2,3,4},XT!U172,XT!Y172,XT!AC172,XT!AG172))=6)*(CHOOSE({1,2,3,4},XT!X172,XT!AB172,XT!AF172,XT!AJ172)))</f>
        <v>0</v>
      </c>
      <c r="V172" t="str">
        <f>IFERROR(INDEX(CHOOSE({1,2,3,4}, DAY(XT!U172), DAY(XT!Y172), DAY(XT!AC172), DAY(XT!AG172)), MATCH(1, INDEX(--(MONTH(CHOOSE({1,2,3,4}, XT!U172,XT!Y172,XT!AC172,XT!AG172))=6), 0), 0)), "")</f>
        <v/>
      </c>
      <c r="W172" s="51" t="str">
        <f>IF(XT!$P172&gt;0,V172,"")</f>
        <v/>
      </c>
      <c r="X172" s="51" t="str">
        <f>IF(XT!$P172=0,V172,"")</f>
        <v/>
      </c>
      <c r="Y172">
        <f>SUMPRODUCT((MONTH(CHOOSE({1,2,3,4},XT!U172,XT!Y172,XT!AC172,XT!AG172))=7)*(CHOOSE({1,2,3,4},XT!X172,XT!AB172,XT!AF172,XT!AJ172)))</f>
        <v>0</v>
      </c>
      <c r="Z172" t="str">
        <f>IFERROR(INDEX(CHOOSE({1,2,3,4}, DAY(XT!U172), DAY(XT!Y172), DAY(XT!AC172), DAY(XT!AG172)), MATCH(1, INDEX(--(MONTH(CHOOSE({1,2,3,4}, XT!U172,XT!Y172,XT!AC172,XT!AG172))=7), 0), 0)), "")</f>
        <v/>
      </c>
      <c r="AA172" s="51" t="str">
        <f>IF(XT!$P172&gt;0,Z172,"")</f>
        <v/>
      </c>
      <c r="AB172" s="51" t="str">
        <f>IF(XT!$P172=0,Z172,"")</f>
        <v/>
      </c>
      <c r="AC172">
        <f>SUMPRODUCT((MONTH(CHOOSE({1,2,3,4},XT!U172,XT!Y172,XT!AC172,XT!AG172))=8)*(CHOOSE({1,2,3,4},XT!X172,XT!AB172,XT!AF172,XT!AJ172)))</f>
        <v>0</v>
      </c>
      <c r="AD172" t="str">
        <f>IFERROR(INDEX(CHOOSE({1,2,3,4}, DAY(XT!U172), DAY(XT!Y172), DAY(XT!AC172), DAY(XT!AG172)), MATCH(1, INDEX(--(MONTH(CHOOSE({1,2,3,4}, XT!U172,XT!Y172,XT!AC172,XT!AG172))=8), 0), 0)), "")</f>
        <v/>
      </c>
      <c r="AE172" s="51" t="str">
        <f>IF(XT!$P172&gt;0,AD172,"")</f>
        <v/>
      </c>
      <c r="AF172" s="51" t="str">
        <f>IF(XT!$P172=0,AD172,"")</f>
        <v/>
      </c>
      <c r="AG172">
        <f>SUMPRODUCT((MONTH(CHOOSE({1,2,3,4},XT!U172,XT!Y172,XT!AC172,XT!AG172))=9)*(CHOOSE({1,2,3,4},XT!X172,XT!AB172,XT!AF172,XT!AJ172)))</f>
        <v>0</v>
      </c>
      <c r="AH172" t="str">
        <f>IFERROR(INDEX(CHOOSE({1,2,3,4}, DAY(XT!U172), DAY(XT!Y172), DAY(XT!AC172), DAY(XT!AG172)), MATCH(1, INDEX(--(MONTH(CHOOSE({1,2,3,4}, XT!U172,XT!Y172,XT!AC172,XT!AG172))=9), 0), 0)), "")</f>
        <v/>
      </c>
      <c r="AI172" s="51" t="str">
        <f>IF(XT!$P172&gt;0,AH172,"")</f>
        <v/>
      </c>
      <c r="AJ172" s="51" t="str">
        <f>IF(XT!$P172=0,AH172,"")</f>
        <v/>
      </c>
      <c r="AK172">
        <f>SUMPRODUCT((MONTH(CHOOSE({1,2,3,4},XT!U172,XT!Y172,XT!AC172,XT!AG172))=10)*(CHOOSE({1,2,3,4},XT!X172,XT!AB172,XT!AF172,XT!AJ172)))</f>
        <v>0</v>
      </c>
      <c r="AL172" t="str">
        <f>IFERROR(INDEX(CHOOSE({1,2,3,4}, DAY(XT!U172), DAY(XT!Y172), DAY(XT!AC172), DAY(XT!AG172)), MATCH(1, INDEX(--(MONTH(CHOOSE({1,2,3,4}, XT!U172,XT!Y172,XT!AC172,XT!AG172))=10), 0), 0)), "")</f>
        <v/>
      </c>
      <c r="AM172" s="51" t="str">
        <f>IF(XT!$P172&gt;0,AL172,"")</f>
        <v/>
      </c>
      <c r="AN172" s="51" t="str">
        <f>IF(XT!$P172=0,AL172,"")</f>
        <v/>
      </c>
      <c r="AO172">
        <f>SUMPRODUCT((MONTH(CHOOSE({1,2,3,4},XT!U172,XT!Y172,XT!AC172,XT!AG172))=11)*(CHOOSE({1,2,3,4},XT!X172,XT!AB172,XT!AF172,XT!AJ172)))</f>
        <v>0</v>
      </c>
      <c r="AP172" t="str">
        <f>IFERROR(INDEX(CHOOSE({1,2,3,4}, DAY(XT!U172), DAY(XT!Y172), DAY(XT!AC172), DAY(XT!AG172)), MATCH(1, INDEX(--(MONTH(CHOOSE({1,2,3,4}, XT!U172,XT!Y172,XT!AC172,XT!AG172))=11), 0), 0)), "")</f>
        <v/>
      </c>
      <c r="AQ172" s="51" t="str">
        <f>IF(XT!$P172&gt;0,AP172,"")</f>
        <v/>
      </c>
      <c r="AR172" s="51" t="str">
        <f>IF(XT!$P172=0,AP172,"")</f>
        <v/>
      </c>
      <c r="AS172">
        <f>SUMPRODUCT((MONTH(CHOOSE({1,2,3,4},XT!U172,XT!Y172,XT!AC172,XT!AG172))=12)*(CHOOSE({1,2,3,4},XT!X172,XT!AB172,XT!AF172,XT!AJ172)))</f>
        <v>0</v>
      </c>
      <c r="AT172" t="str">
        <f>IFERROR(INDEX(CHOOSE({1,2,3,4}, DAY(XT!U172), DAY(XT!Y172), DAY(XT!AC172), DAY(XT!AG172)), MATCH(1, INDEX(--(MONTH(CHOOSE({1,2,3,4}, XT!U172,XT!Y172,XT!AC172,XT!AG172))=12), 0), 0)), "")</f>
        <v/>
      </c>
      <c r="AU172" s="51" t="str">
        <f>IF(XT!$P172&gt;0,AT172,"")</f>
        <v/>
      </c>
      <c r="AV172" s="51" t="str">
        <f>IF(XT!$P172=0,AT172,"")</f>
        <v/>
      </c>
    </row>
    <row r="173" spans="1:48">
      <c r="A173">
        <f>SUMPRODUCT((MONTH(CHOOSE({1,2,3,4},XT!U173,XT!Y173,XT!AC173,XT!AG173))=1)*(CHOOSE({1,2,3,4},XT!X173,XT!AB173,XT!AF173,XT!AJ173)))</f>
        <v>0</v>
      </c>
      <c r="B173">
        <f>IFERROR(INDEX(CHOOSE({1,2,3,4}, DAY(XT!U173), DAY(XT!Y173), DAY(XT!AC173), DAY(XT!AG173)), MATCH(1, INDEX(--(MONTH(CHOOSE({1,2,3,4}, XT!U173,XT!Y173,XT!AC173,XT!AG173))=1), 0), 0)), "")</f>
        <v>0</v>
      </c>
      <c r="C173" s="51" t="str">
        <f>IF(XT!$P173&gt;0,B173,"")</f>
        <v/>
      </c>
      <c r="D173" s="51">
        <f>IF(XT!$P173=0,B173,"")</f>
        <v>0</v>
      </c>
      <c r="E173">
        <f>SUMPRODUCT((MONTH(CHOOSE({1,2,3,4},XT!U173,XT!Y173,XT!AC173,XT!AG173))=2)*(CHOOSE({1,2,3,4},XT!X173,XT!AB173,XT!AF173,XT!AJ173)))</f>
        <v>0</v>
      </c>
      <c r="F173" t="str">
        <f>IFERROR(INDEX(CHOOSE({1,2,3,4}, DAY(XT!U173), DAY(XT!Y173), DAY(XT!AC173), DAY(XT!AG173)), MATCH(1, INDEX(--(MONTH(CHOOSE({1,2,3,4}, XT!U173,XT!Y173,XT!AC173,XT!AG173))=2), 0), 0)), "")</f>
        <v/>
      </c>
      <c r="G173" s="51" t="str">
        <f>IF(XT!$P173&gt;0,F173,"")</f>
        <v/>
      </c>
      <c r="H173" s="51" t="str">
        <f>IF(XT!$P173=0,F173,"")</f>
        <v/>
      </c>
      <c r="I173">
        <f>SUMPRODUCT((MONTH(CHOOSE({1,2,3,4},XT!U173,XT!Y173,XT!AC173,XT!AG173))=3)*(CHOOSE({1,2,3,4},XT!X173,XT!AB173,XT!AF173,XT!AJ173)))</f>
        <v>0</v>
      </c>
      <c r="J173" t="str">
        <f>IFERROR(INDEX(CHOOSE({1,2,3,4}, DAY(XT!U173), DAY(XT!Y173), DAY(XT!AC173), DAY(XT!AG173)), MATCH(1, INDEX(--(MONTH(CHOOSE({1,2,3,4}, XT!U173,XT!Y173,XT!AC173,XT!AG173))=3), 0), 0)), "")</f>
        <v/>
      </c>
      <c r="K173" s="51" t="str">
        <f>IF(XT!$P173&gt;0,J173,"")</f>
        <v/>
      </c>
      <c r="L173" s="51" t="str">
        <f>IF(XT!$P173=0,J173,"")</f>
        <v/>
      </c>
      <c r="M173">
        <f>SUMPRODUCT((MONTH(CHOOSE({1,2,3,4},XT!U173,XT!Y173,XT!AC173,XT!AG173))=4)*(CHOOSE({1,2,3,4},XT!X173,XT!AB173,XT!AF173,XT!AJ173)))</f>
        <v>0</v>
      </c>
      <c r="N173" t="str">
        <f>IFERROR(INDEX(CHOOSE({1,2,3,4}, DAY(XT!U173), DAY(XT!Y173), DAY(XT!AC173), DAY(XT!AG173)), MATCH(1, INDEX(--(MONTH(CHOOSE({1,2,3,4}, XT!U173,XT!Y173,XT!AC173,XT!AG173))=4), 0), 0)), "")</f>
        <v/>
      </c>
      <c r="O173" s="51" t="str">
        <f>IF(XT!$P173&gt;0,N173,"")</f>
        <v/>
      </c>
      <c r="P173" s="51" t="str">
        <f>IF(XT!$P173=0,N173,"")</f>
        <v/>
      </c>
      <c r="Q173">
        <f>SUMPRODUCT((MONTH(CHOOSE({1,2,3,4},XT!U173,XT!Y173,XT!AC173,XT!AG173))=5)*(CHOOSE({1,2,3,4},XT!X173,XT!AB173,XT!AF173,XT!AJ173)))</f>
        <v>0</v>
      </c>
      <c r="R173" t="str">
        <f>IFERROR(INDEX(CHOOSE({1,2,3,4}, DAY(XT!U173), DAY(XT!Y173), DAY(XT!AC173), DAY(XT!AG173)), MATCH(1, INDEX(--(MONTH(CHOOSE({1,2,3,4}, XT!U173,XT!Y173,XT!AC173,XT!AG173))=5), 0), 0)), "")</f>
        <v/>
      </c>
      <c r="S173" s="51" t="str">
        <f>IF(XT!$P173&gt;0,R173,"")</f>
        <v/>
      </c>
      <c r="T173" s="51" t="str">
        <f>IF(XT!$P173=0,R173,"")</f>
        <v/>
      </c>
      <c r="U173">
        <f>SUMPRODUCT((MONTH(CHOOSE({1,2,3,4},XT!U173,XT!Y173,XT!AC173,XT!AG173))=6)*(CHOOSE({1,2,3,4},XT!X173,XT!AB173,XT!AF173,XT!AJ173)))</f>
        <v>0</v>
      </c>
      <c r="V173" t="str">
        <f>IFERROR(INDEX(CHOOSE({1,2,3,4}, DAY(XT!U173), DAY(XT!Y173), DAY(XT!AC173), DAY(XT!AG173)), MATCH(1, INDEX(--(MONTH(CHOOSE({1,2,3,4}, XT!U173,XT!Y173,XT!AC173,XT!AG173))=6), 0), 0)), "")</f>
        <v/>
      </c>
      <c r="W173" s="51" t="str">
        <f>IF(XT!$P173&gt;0,V173,"")</f>
        <v/>
      </c>
      <c r="X173" s="51" t="str">
        <f>IF(XT!$P173=0,V173,"")</f>
        <v/>
      </c>
      <c r="Y173">
        <f>SUMPRODUCT((MONTH(CHOOSE({1,2,3,4},XT!U173,XT!Y173,XT!AC173,XT!AG173))=7)*(CHOOSE({1,2,3,4},XT!X173,XT!AB173,XT!AF173,XT!AJ173)))</f>
        <v>0</v>
      </c>
      <c r="Z173" t="str">
        <f>IFERROR(INDEX(CHOOSE({1,2,3,4}, DAY(XT!U173), DAY(XT!Y173), DAY(XT!AC173), DAY(XT!AG173)), MATCH(1, INDEX(--(MONTH(CHOOSE({1,2,3,4}, XT!U173,XT!Y173,XT!AC173,XT!AG173))=7), 0), 0)), "")</f>
        <v/>
      </c>
      <c r="AA173" s="51" t="str">
        <f>IF(XT!$P173&gt;0,Z173,"")</f>
        <v/>
      </c>
      <c r="AB173" s="51" t="str">
        <f>IF(XT!$P173=0,Z173,"")</f>
        <v/>
      </c>
      <c r="AC173">
        <f>SUMPRODUCT((MONTH(CHOOSE({1,2,3,4},XT!U173,XT!Y173,XT!AC173,XT!AG173))=8)*(CHOOSE({1,2,3,4},XT!X173,XT!AB173,XT!AF173,XT!AJ173)))</f>
        <v>0</v>
      </c>
      <c r="AD173" t="str">
        <f>IFERROR(INDEX(CHOOSE({1,2,3,4}, DAY(XT!U173), DAY(XT!Y173), DAY(XT!AC173), DAY(XT!AG173)), MATCH(1, INDEX(--(MONTH(CHOOSE({1,2,3,4}, XT!U173,XT!Y173,XT!AC173,XT!AG173))=8), 0), 0)), "")</f>
        <v/>
      </c>
      <c r="AE173" s="51" t="str">
        <f>IF(XT!$P173&gt;0,AD173,"")</f>
        <v/>
      </c>
      <c r="AF173" s="51" t="str">
        <f>IF(XT!$P173=0,AD173,"")</f>
        <v/>
      </c>
      <c r="AG173">
        <f>SUMPRODUCT((MONTH(CHOOSE({1,2,3,4},XT!U173,XT!Y173,XT!AC173,XT!AG173))=9)*(CHOOSE({1,2,3,4},XT!X173,XT!AB173,XT!AF173,XT!AJ173)))</f>
        <v>0</v>
      </c>
      <c r="AH173" t="str">
        <f>IFERROR(INDEX(CHOOSE({1,2,3,4}, DAY(XT!U173), DAY(XT!Y173), DAY(XT!AC173), DAY(XT!AG173)), MATCH(1, INDEX(--(MONTH(CHOOSE({1,2,3,4}, XT!U173,XT!Y173,XT!AC173,XT!AG173))=9), 0), 0)), "")</f>
        <v/>
      </c>
      <c r="AI173" s="51" t="str">
        <f>IF(XT!$P173&gt;0,AH173,"")</f>
        <v/>
      </c>
      <c r="AJ173" s="51" t="str">
        <f>IF(XT!$P173=0,AH173,"")</f>
        <v/>
      </c>
      <c r="AK173">
        <f>SUMPRODUCT((MONTH(CHOOSE({1,2,3,4},XT!U173,XT!Y173,XT!AC173,XT!AG173))=10)*(CHOOSE({1,2,3,4},XT!X173,XT!AB173,XT!AF173,XT!AJ173)))</f>
        <v>0</v>
      </c>
      <c r="AL173" t="str">
        <f>IFERROR(INDEX(CHOOSE({1,2,3,4}, DAY(XT!U173), DAY(XT!Y173), DAY(XT!AC173), DAY(XT!AG173)), MATCH(1, INDEX(--(MONTH(CHOOSE({1,2,3,4}, XT!U173,XT!Y173,XT!AC173,XT!AG173))=10), 0), 0)), "")</f>
        <v/>
      </c>
      <c r="AM173" s="51" t="str">
        <f>IF(XT!$P173&gt;0,AL173,"")</f>
        <v/>
      </c>
      <c r="AN173" s="51" t="str">
        <f>IF(XT!$P173=0,AL173,"")</f>
        <v/>
      </c>
      <c r="AO173">
        <f>SUMPRODUCT((MONTH(CHOOSE({1,2,3,4},XT!U173,XT!Y173,XT!AC173,XT!AG173))=11)*(CHOOSE({1,2,3,4},XT!X173,XT!AB173,XT!AF173,XT!AJ173)))</f>
        <v>0</v>
      </c>
      <c r="AP173" t="str">
        <f>IFERROR(INDEX(CHOOSE({1,2,3,4}, DAY(XT!U173), DAY(XT!Y173), DAY(XT!AC173), DAY(XT!AG173)), MATCH(1, INDEX(--(MONTH(CHOOSE({1,2,3,4}, XT!U173,XT!Y173,XT!AC173,XT!AG173))=11), 0), 0)), "")</f>
        <v/>
      </c>
      <c r="AQ173" s="51" t="str">
        <f>IF(XT!$P173&gt;0,AP173,"")</f>
        <v/>
      </c>
      <c r="AR173" s="51" t="str">
        <f>IF(XT!$P173=0,AP173,"")</f>
        <v/>
      </c>
      <c r="AS173">
        <f>SUMPRODUCT((MONTH(CHOOSE({1,2,3,4},XT!U173,XT!Y173,XT!AC173,XT!AG173))=12)*(CHOOSE({1,2,3,4},XT!X173,XT!AB173,XT!AF173,XT!AJ173)))</f>
        <v>0</v>
      </c>
      <c r="AT173" t="str">
        <f>IFERROR(INDEX(CHOOSE({1,2,3,4}, DAY(XT!U173), DAY(XT!Y173), DAY(XT!AC173), DAY(XT!AG173)), MATCH(1, INDEX(--(MONTH(CHOOSE({1,2,3,4}, XT!U173,XT!Y173,XT!AC173,XT!AG173))=12), 0), 0)), "")</f>
        <v/>
      </c>
      <c r="AU173" s="51" t="str">
        <f>IF(XT!$P173&gt;0,AT173,"")</f>
        <v/>
      </c>
      <c r="AV173" s="51" t="str">
        <f>IF(XT!$P173=0,AT173,"")</f>
        <v/>
      </c>
    </row>
    <row r="174" spans="1:48">
      <c r="A174">
        <f>SUMPRODUCT((MONTH(CHOOSE({1,2,3,4},XT!U174,XT!Y174,XT!AC174,XT!AG174))=1)*(CHOOSE({1,2,3,4},XT!X174,XT!AB174,XT!AF174,XT!AJ174)))</f>
        <v>0</v>
      </c>
      <c r="B174">
        <f>IFERROR(INDEX(CHOOSE({1,2,3,4}, DAY(XT!U174), DAY(XT!Y174), DAY(XT!AC174), DAY(XT!AG174)), MATCH(1, INDEX(--(MONTH(CHOOSE({1,2,3,4}, XT!U174,XT!Y174,XT!AC174,XT!AG174))=1), 0), 0)), "")</f>
        <v>0</v>
      </c>
      <c r="C174" s="51" t="str">
        <f>IF(XT!$P174&gt;0,B174,"")</f>
        <v/>
      </c>
      <c r="D174" s="51">
        <f>IF(XT!$P174=0,B174,"")</f>
        <v>0</v>
      </c>
      <c r="E174">
        <f>SUMPRODUCT((MONTH(CHOOSE({1,2,3,4},XT!U174,XT!Y174,XT!AC174,XT!AG174))=2)*(CHOOSE({1,2,3,4},XT!X174,XT!AB174,XT!AF174,XT!AJ174)))</f>
        <v>0</v>
      </c>
      <c r="F174" t="str">
        <f>IFERROR(INDEX(CHOOSE({1,2,3,4}, DAY(XT!U174), DAY(XT!Y174), DAY(XT!AC174), DAY(XT!AG174)), MATCH(1, INDEX(--(MONTH(CHOOSE({1,2,3,4}, XT!U174,XT!Y174,XT!AC174,XT!AG174))=2), 0), 0)), "")</f>
        <v/>
      </c>
      <c r="G174" s="51" t="str">
        <f>IF(XT!$P174&gt;0,F174,"")</f>
        <v/>
      </c>
      <c r="H174" s="51" t="str">
        <f>IF(XT!$P174=0,F174,"")</f>
        <v/>
      </c>
      <c r="I174">
        <f>SUMPRODUCT((MONTH(CHOOSE({1,2,3,4},XT!U174,XT!Y174,XT!AC174,XT!AG174))=3)*(CHOOSE({1,2,3,4},XT!X174,XT!AB174,XT!AF174,XT!AJ174)))</f>
        <v>0</v>
      </c>
      <c r="J174" t="str">
        <f>IFERROR(INDEX(CHOOSE({1,2,3,4}, DAY(XT!U174), DAY(XT!Y174), DAY(XT!AC174), DAY(XT!AG174)), MATCH(1, INDEX(--(MONTH(CHOOSE({1,2,3,4}, XT!U174,XT!Y174,XT!AC174,XT!AG174))=3), 0), 0)), "")</f>
        <v/>
      </c>
      <c r="K174" s="51" t="str">
        <f>IF(XT!$P174&gt;0,J174,"")</f>
        <v/>
      </c>
      <c r="L174" s="51" t="str">
        <f>IF(XT!$P174=0,J174,"")</f>
        <v/>
      </c>
      <c r="M174">
        <f>SUMPRODUCT((MONTH(CHOOSE({1,2,3,4},XT!U174,XT!Y174,XT!AC174,XT!AG174))=4)*(CHOOSE({1,2,3,4},XT!X174,XT!AB174,XT!AF174,XT!AJ174)))</f>
        <v>0</v>
      </c>
      <c r="N174" t="str">
        <f>IFERROR(INDEX(CHOOSE({1,2,3,4}, DAY(XT!U174), DAY(XT!Y174), DAY(XT!AC174), DAY(XT!AG174)), MATCH(1, INDEX(--(MONTH(CHOOSE({1,2,3,4}, XT!U174,XT!Y174,XT!AC174,XT!AG174))=4), 0), 0)), "")</f>
        <v/>
      </c>
      <c r="O174" s="51" t="str">
        <f>IF(XT!$P174&gt;0,N174,"")</f>
        <v/>
      </c>
      <c r="P174" s="51" t="str">
        <f>IF(XT!$P174=0,N174,"")</f>
        <v/>
      </c>
      <c r="Q174">
        <f>SUMPRODUCT((MONTH(CHOOSE({1,2,3,4},XT!U174,XT!Y174,XT!AC174,XT!AG174))=5)*(CHOOSE({1,2,3,4},XT!X174,XT!AB174,XT!AF174,XT!AJ174)))</f>
        <v>0</v>
      </c>
      <c r="R174" t="str">
        <f>IFERROR(INDEX(CHOOSE({1,2,3,4}, DAY(XT!U174), DAY(XT!Y174), DAY(XT!AC174), DAY(XT!AG174)), MATCH(1, INDEX(--(MONTH(CHOOSE({1,2,3,4}, XT!U174,XT!Y174,XT!AC174,XT!AG174))=5), 0), 0)), "")</f>
        <v/>
      </c>
      <c r="S174" s="51" t="str">
        <f>IF(XT!$P174&gt;0,R174,"")</f>
        <v/>
      </c>
      <c r="T174" s="51" t="str">
        <f>IF(XT!$P174=0,R174,"")</f>
        <v/>
      </c>
      <c r="U174">
        <f>SUMPRODUCT((MONTH(CHOOSE({1,2,3,4},XT!U174,XT!Y174,XT!AC174,XT!AG174))=6)*(CHOOSE({1,2,3,4},XT!X174,XT!AB174,XT!AF174,XT!AJ174)))</f>
        <v>0</v>
      </c>
      <c r="V174" t="str">
        <f>IFERROR(INDEX(CHOOSE({1,2,3,4}, DAY(XT!U174), DAY(XT!Y174), DAY(XT!AC174), DAY(XT!AG174)), MATCH(1, INDEX(--(MONTH(CHOOSE({1,2,3,4}, XT!U174,XT!Y174,XT!AC174,XT!AG174))=6), 0), 0)), "")</f>
        <v/>
      </c>
      <c r="W174" s="51" t="str">
        <f>IF(XT!$P174&gt;0,V174,"")</f>
        <v/>
      </c>
      <c r="X174" s="51" t="str">
        <f>IF(XT!$P174=0,V174,"")</f>
        <v/>
      </c>
      <c r="Y174">
        <f>SUMPRODUCT((MONTH(CHOOSE({1,2,3,4},XT!U174,XT!Y174,XT!AC174,XT!AG174))=7)*(CHOOSE({1,2,3,4},XT!X174,XT!AB174,XT!AF174,XT!AJ174)))</f>
        <v>0</v>
      </c>
      <c r="Z174" t="str">
        <f>IFERROR(INDEX(CHOOSE({1,2,3,4}, DAY(XT!U174), DAY(XT!Y174), DAY(XT!AC174), DAY(XT!AG174)), MATCH(1, INDEX(--(MONTH(CHOOSE({1,2,3,4}, XT!U174,XT!Y174,XT!AC174,XT!AG174))=7), 0), 0)), "")</f>
        <v/>
      </c>
      <c r="AA174" s="51" t="str">
        <f>IF(XT!$P174&gt;0,Z174,"")</f>
        <v/>
      </c>
      <c r="AB174" s="51" t="str">
        <f>IF(XT!$P174=0,Z174,"")</f>
        <v/>
      </c>
      <c r="AC174">
        <f>SUMPRODUCT((MONTH(CHOOSE({1,2,3,4},XT!U174,XT!Y174,XT!AC174,XT!AG174))=8)*(CHOOSE({1,2,3,4},XT!X174,XT!AB174,XT!AF174,XT!AJ174)))</f>
        <v>0</v>
      </c>
      <c r="AD174" t="str">
        <f>IFERROR(INDEX(CHOOSE({1,2,3,4}, DAY(XT!U174), DAY(XT!Y174), DAY(XT!AC174), DAY(XT!AG174)), MATCH(1, INDEX(--(MONTH(CHOOSE({1,2,3,4}, XT!U174,XT!Y174,XT!AC174,XT!AG174))=8), 0), 0)), "")</f>
        <v/>
      </c>
      <c r="AE174" s="51" t="str">
        <f>IF(XT!$P174&gt;0,AD174,"")</f>
        <v/>
      </c>
      <c r="AF174" s="51" t="str">
        <f>IF(XT!$P174=0,AD174,"")</f>
        <v/>
      </c>
      <c r="AG174">
        <f>SUMPRODUCT((MONTH(CHOOSE({1,2,3,4},XT!U174,XT!Y174,XT!AC174,XT!AG174))=9)*(CHOOSE({1,2,3,4},XT!X174,XT!AB174,XT!AF174,XT!AJ174)))</f>
        <v>0</v>
      </c>
      <c r="AH174" t="str">
        <f>IFERROR(INDEX(CHOOSE({1,2,3,4}, DAY(XT!U174), DAY(XT!Y174), DAY(XT!AC174), DAY(XT!AG174)), MATCH(1, INDEX(--(MONTH(CHOOSE({1,2,3,4}, XT!U174,XT!Y174,XT!AC174,XT!AG174))=9), 0), 0)), "")</f>
        <v/>
      </c>
      <c r="AI174" s="51" t="str">
        <f>IF(XT!$P174&gt;0,AH174,"")</f>
        <v/>
      </c>
      <c r="AJ174" s="51" t="str">
        <f>IF(XT!$P174=0,AH174,"")</f>
        <v/>
      </c>
      <c r="AK174">
        <f>SUMPRODUCT((MONTH(CHOOSE({1,2,3,4},XT!U174,XT!Y174,XT!AC174,XT!AG174))=10)*(CHOOSE({1,2,3,4},XT!X174,XT!AB174,XT!AF174,XT!AJ174)))</f>
        <v>0</v>
      </c>
      <c r="AL174" t="str">
        <f>IFERROR(INDEX(CHOOSE({1,2,3,4}, DAY(XT!U174), DAY(XT!Y174), DAY(XT!AC174), DAY(XT!AG174)), MATCH(1, INDEX(--(MONTH(CHOOSE({1,2,3,4}, XT!U174,XT!Y174,XT!AC174,XT!AG174))=10), 0), 0)), "")</f>
        <v/>
      </c>
      <c r="AM174" s="51" t="str">
        <f>IF(XT!$P174&gt;0,AL174,"")</f>
        <v/>
      </c>
      <c r="AN174" s="51" t="str">
        <f>IF(XT!$P174=0,AL174,"")</f>
        <v/>
      </c>
      <c r="AO174">
        <f>SUMPRODUCT((MONTH(CHOOSE({1,2,3,4},XT!U174,XT!Y174,XT!AC174,XT!AG174))=11)*(CHOOSE({1,2,3,4},XT!X174,XT!AB174,XT!AF174,XT!AJ174)))</f>
        <v>0</v>
      </c>
      <c r="AP174" t="str">
        <f>IFERROR(INDEX(CHOOSE({1,2,3,4}, DAY(XT!U174), DAY(XT!Y174), DAY(XT!AC174), DAY(XT!AG174)), MATCH(1, INDEX(--(MONTH(CHOOSE({1,2,3,4}, XT!U174,XT!Y174,XT!AC174,XT!AG174))=11), 0), 0)), "")</f>
        <v/>
      </c>
      <c r="AQ174" s="51" t="str">
        <f>IF(XT!$P174&gt;0,AP174,"")</f>
        <v/>
      </c>
      <c r="AR174" s="51" t="str">
        <f>IF(XT!$P174=0,AP174,"")</f>
        <v/>
      </c>
      <c r="AS174">
        <f>SUMPRODUCT((MONTH(CHOOSE({1,2,3,4},XT!U174,XT!Y174,XT!AC174,XT!AG174))=12)*(CHOOSE({1,2,3,4},XT!X174,XT!AB174,XT!AF174,XT!AJ174)))</f>
        <v>0</v>
      </c>
      <c r="AT174" t="str">
        <f>IFERROR(INDEX(CHOOSE({1,2,3,4}, DAY(XT!U174), DAY(XT!Y174), DAY(XT!AC174), DAY(XT!AG174)), MATCH(1, INDEX(--(MONTH(CHOOSE({1,2,3,4}, XT!U174,XT!Y174,XT!AC174,XT!AG174))=12), 0), 0)), "")</f>
        <v/>
      </c>
      <c r="AU174" s="51" t="str">
        <f>IF(XT!$P174&gt;0,AT174,"")</f>
        <v/>
      </c>
      <c r="AV174" s="51" t="str">
        <f>IF(XT!$P174=0,AT174,"")</f>
        <v/>
      </c>
    </row>
    <row r="175" spans="1:48">
      <c r="A175">
        <f>SUMPRODUCT((MONTH(CHOOSE({1,2,3,4},XT!U175,XT!Y175,XT!AC175,XT!AG175))=1)*(CHOOSE({1,2,3,4},XT!X175,XT!AB175,XT!AF175,XT!AJ175)))</f>
        <v>0</v>
      </c>
      <c r="B175">
        <f>IFERROR(INDEX(CHOOSE({1,2,3,4}, DAY(XT!U175), DAY(XT!Y175), DAY(XT!AC175), DAY(XT!AG175)), MATCH(1, INDEX(--(MONTH(CHOOSE({1,2,3,4}, XT!U175,XT!Y175,XT!AC175,XT!AG175))=1), 0), 0)), "")</f>
        <v>0</v>
      </c>
      <c r="C175" s="51" t="str">
        <f>IF(XT!$P175&gt;0,B175,"")</f>
        <v/>
      </c>
      <c r="D175" s="51">
        <f>IF(XT!$P175=0,B175,"")</f>
        <v>0</v>
      </c>
      <c r="E175">
        <f>SUMPRODUCT((MONTH(CHOOSE({1,2,3,4},XT!U175,XT!Y175,XT!AC175,XT!AG175))=2)*(CHOOSE({1,2,3,4},XT!X175,XT!AB175,XT!AF175,XT!AJ175)))</f>
        <v>0</v>
      </c>
      <c r="F175" t="str">
        <f>IFERROR(INDEX(CHOOSE({1,2,3,4}, DAY(XT!U175), DAY(XT!Y175), DAY(XT!AC175), DAY(XT!AG175)), MATCH(1, INDEX(--(MONTH(CHOOSE({1,2,3,4}, XT!U175,XT!Y175,XT!AC175,XT!AG175))=2), 0), 0)), "")</f>
        <v/>
      </c>
      <c r="G175" s="51" t="str">
        <f>IF(XT!$P175&gt;0,F175,"")</f>
        <v/>
      </c>
      <c r="H175" s="51" t="str">
        <f>IF(XT!$P175=0,F175,"")</f>
        <v/>
      </c>
      <c r="I175">
        <f>SUMPRODUCT((MONTH(CHOOSE({1,2,3,4},XT!U175,XT!Y175,XT!AC175,XT!AG175))=3)*(CHOOSE({1,2,3,4},XT!X175,XT!AB175,XT!AF175,XT!AJ175)))</f>
        <v>0</v>
      </c>
      <c r="J175" t="str">
        <f>IFERROR(INDEX(CHOOSE({1,2,3,4}, DAY(XT!U175), DAY(XT!Y175), DAY(XT!AC175), DAY(XT!AG175)), MATCH(1, INDEX(--(MONTH(CHOOSE({1,2,3,4}, XT!U175,XT!Y175,XT!AC175,XT!AG175))=3), 0), 0)), "")</f>
        <v/>
      </c>
      <c r="K175" s="51" t="str">
        <f>IF(XT!$P175&gt;0,J175,"")</f>
        <v/>
      </c>
      <c r="L175" s="51" t="str">
        <f>IF(XT!$P175=0,J175,"")</f>
        <v/>
      </c>
      <c r="M175">
        <f>SUMPRODUCT((MONTH(CHOOSE({1,2,3,4},XT!U175,XT!Y175,XT!AC175,XT!AG175))=4)*(CHOOSE({1,2,3,4},XT!X175,XT!AB175,XT!AF175,XT!AJ175)))</f>
        <v>0</v>
      </c>
      <c r="N175" t="str">
        <f>IFERROR(INDEX(CHOOSE({1,2,3,4}, DAY(XT!U175), DAY(XT!Y175), DAY(XT!AC175), DAY(XT!AG175)), MATCH(1, INDEX(--(MONTH(CHOOSE({1,2,3,4}, XT!U175,XT!Y175,XT!AC175,XT!AG175))=4), 0), 0)), "")</f>
        <v/>
      </c>
      <c r="O175" s="51" t="str">
        <f>IF(XT!$P175&gt;0,N175,"")</f>
        <v/>
      </c>
      <c r="P175" s="51" t="str">
        <f>IF(XT!$P175=0,N175,"")</f>
        <v/>
      </c>
      <c r="Q175">
        <f>SUMPRODUCT((MONTH(CHOOSE({1,2,3,4},XT!U175,XT!Y175,XT!AC175,XT!AG175))=5)*(CHOOSE({1,2,3,4},XT!X175,XT!AB175,XT!AF175,XT!AJ175)))</f>
        <v>0</v>
      </c>
      <c r="R175" t="str">
        <f>IFERROR(INDEX(CHOOSE({1,2,3,4}, DAY(XT!U175), DAY(XT!Y175), DAY(XT!AC175), DAY(XT!AG175)), MATCH(1, INDEX(--(MONTH(CHOOSE({1,2,3,4}, XT!U175,XT!Y175,XT!AC175,XT!AG175))=5), 0), 0)), "")</f>
        <v/>
      </c>
      <c r="S175" s="51" t="str">
        <f>IF(XT!$P175&gt;0,R175,"")</f>
        <v/>
      </c>
      <c r="T175" s="51" t="str">
        <f>IF(XT!$P175=0,R175,"")</f>
        <v/>
      </c>
      <c r="U175">
        <f>SUMPRODUCT((MONTH(CHOOSE({1,2,3,4},XT!U175,XT!Y175,XT!AC175,XT!AG175))=6)*(CHOOSE({1,2,3,4},XT!X175,XT!AB175,XT!AF175,XT!AJ175)))</f>
        <v>0</v>
      </c>
      <c r="V175" t="str">
        <f>IFERROR(INDEX(CHOOSE({1,2,3,4}, DAY(XT!U175), DAY(XT!Y175), DAY(XT!AC175), DAY(XT!AG175)), MATCH(1, INDEX(--(MONTH(CHOOSE({1,2,3,4}, XT!U175,XT!Y175,XT!AC175,XT!AG175))=6), 0), 0)), "")</f>
        <v/>
      </c>
      <c r="W175" s="51" t="str">
        <f>IF(XT!$P175&gt;0,V175,"")</f>
        <v/>
      </c>
      <c r="X175" s="51" t="str">
        <f>IF(XT!$P175=0,V175,"")</f>
        <v/>
      </c>
      <c r="Y175">
        <f>SUMPRODUCT((MONTH(CHOOSE({1,2,3,4},XT!U175,XT!Y175,XT!AC175,XT!AG175))=7)*(CHOOSE({1,2,3,4},XT!X175,XT!AB175,XT!AF175,XT!AJ175)))</f>
        <v>0</v>
      </c>
      <c r="Z175" t="str">
        <f>IFERROR(INDEX(CHOOSE({1,2,3,4}, DAY(XT!U175), DAY(XT!Y175), DAY(XT!AC175), DAY(XT!AG175)), MATCH(1, INDEX(--(MONTH(CHOOSE({1,2,3,4}, XT!U175,XT!Y175,XT!AC175,XT!AG175))=7), 0), 0)), "")</f>
        <v/>
      </c>
      <c r="AA175" s="51" t="str">
        <f>IF(XT!$P175&gt;0,Z175,"")</f>
        <v/>
      </c>
      <c r="AB175" s="51" t="str">
        <f>IF(XT!$P175=0,Z175,"")</f>
        <v/>
      </c>
      <c r="AC175">
        <f>SUMPRODUCT((MONTH(CHOOSE({1,2,3,4},XT!U175,XT!Y175,XT!AC175,XT!AG175))=8)*(CHOOSE({1,2,3,4},XT!X175,XT!AB175,XT!AF175,XT!AJ175)))</f>
        <v>0</v>
      </c>
      <c r="AD175" t="str">
        <f>IFERROR(INDEX(CHOOSE({1,2,3,4}, DAY(XT!U175), DAY(XT!Y175), DAY(XT!AC175), DAY(XT!AG175)), MATCH(1, INDEX(--(MONTH(CHOOSE({1,2,3,4}, XT!U175,XT!Y175,XT!AC175,XT!AG175))=8), 0), 0)), "")</f>
        <v/>
      </c>
      <c r="AE175" s="51" t="str">
        <f>IF(XT!$P175&gt;0,AD175,"")</f>
        <v/>
      </c>
      <c r="AF175" s="51" t="str">
        <f>IF(XT!$P175=0,AD175,"")</f>
        <v/>
      </c>
      <c r="AG175">
        <f>SUMPRODUCT((MONTH(CHOOSE({1,2,3,4},XT!U175,XT!Y175,XT!AC175,XT!AG175))=9)*(CHOOSE({1,2,3,4},XT!X175,XT!AB175,XT!AF175,XT!AJ175)))</f>
        <v>0</v>
      </c>
      <c r="AH175" t="str">
        <f>IFERROR(INDEX(CHOOSE({1,2,3,4}, DAY(XT!U175), DAY(XT!Y175), DAY(XT!AC175), DAY(XT!AG175)), MATCH(1, INDEX(--(MONTH(CHOOSE({1,2,3,4}, XT!U175,XT!Y175,XT!AC175,XT!AG175))=9), 0), 0)), "")</f>
        <v/>
      </c>
      <c r="AI175" s="51" t="str">
        <f>IF(XT!$P175&gt;0,AH175,"")</f>
        <v/>
      </c>
      <c r="AJ175" s="51" t="str">
        <f>IF(XT!$P175=0,AH175,"")</f>
        <v/>
      </c>
      <c r="AK175">
        <f>SUMPRODUCT((MONTH(CHOOSE({1,2,3,4},XT!U175,XT!Y175,XT!AC175,XT!AG175))=10)*(CHOOSE({1,2,3,4},XT!X175,XT!AB175,XT!AF175,XT!AJ175)))</f>
        <v>0</v>
      </c>
      <c r="AL175" t="str">
        <f>IFERROR(INDEX(CHOOSE({1,2,3,4}, DAY(XT!U175), DAY(XT!Y175), DAY(XT!AC175), DAY(XT!AG175)), MATCH(1, INDEX(--(MONTH(CHOOSE({1,2,3,4}, XT!U175,XT!Y175,XT!AC175,XT!AG175))=10), 0), 0)), "")</f>
        <v/>
      </c>
      <c r="AM175" s="51" t="str">
        <f>IF(XT!$P175&gt;0,AL175,"")</f>
        <v/>
      </c>
      <c r="AN175" s="51" t="str">
        <f>IF(XT!$P175=0,AL175,"")</f>
        <v/>
      </c>
      <c r="AO175">
        <f>SUMPRODUCT((MONTH(CHOOSE({1,2,3,4},XT!U175,XT!Y175,XT!AC175,XT!AG175))=11)*(CHOOSE({1,2,3,4},XT!X175,XT!AB175,XT!AF175,XT!AJ175)))</f>
        <v>0</v>
      </c>
      <c r="AP175" t="str">
        <f>IFERROR(INDEX(CHOOSE({1,2,3,4}, DAY(XT!U175), DAY(XT!Y175), DAY(XT!AC175), DAY(XT!AG175)), MATCH(1, INDEX(--(MONTH(CHOOSE({1,2,3,4}, XT!U175,XT!Y175,XT!AC175,XT!AG175))=11), 0), 0)), "")</f>
        <v/>
      </c>
      <c r="AQ175" s="51" t="str">
        <f>IF(XT!$P175&gt;0,AP175,"")</f>
        <v/>
      </c>
      <c r="AR175" s="51" t="str">
        <f>IF(XT!$P175=0,AP175,"")</f>
        <v/>
      </c>
      <c r="AS175">
        <f>SUMPRODUCT((MONTH(CHOOSE({1,2,3,4},XT!U175,XT!Y175,XT!AC175,XT!AG175))=12)*(CHOOSE({1,2,3,4},XT!X175,XT!AB175,XT!AF175,XT!AJ175)))</f>
        <v>0</v>
      </c>
      <c r="AT175" t="str">
        <f>IFERROR(INDEX(CHOOSE({1,2,3,4}, DAY(XT!U175), DAY(XT!Y175), DAY(XT!AC175), DAY(XT!AG175)), MATCH(1, INDEX(--(MONTH(CHOOSE({1,2,3,4}, XT!U175,XT!Y175,XT!AC175,XT!AG175))=12), 0), 0)), "")</f>
        <v/>
      </c>
      <c r="AU175" s="51" t="str">
        <f>IF(XT!$P175&gt;0,AT175,"")</f>
        <v/>
      </c>
      <c r="AV175" s="51" t="str">
        <f>IF(XT!$P175=0,AT175,"")</f>
        <v/>
      </c>
    </row>
    <row r="176" spans="1:48">
      <c r="A176">
        <f>SUMPRODUCT((MONTH(CHOOSE({1,2,3,4},XT!U176,XT!Y176,XT!AC176,XT!AG176))=1)*(CHOOSE({1,2,3,4},XT!X176,XT!AB176,XT!AF176,XT!AJ176)))</f>
        <v>0</v>
      </c>
      <c r="B176">
        <f>IFERROR(INDEX(CHOOSE({1,2,3,4}, DAY(XT!U176), DAY(XT!Y176), DAY(XT!AC176), DAY(XT!AG176)), MATCH(1, INDEX(--(MONTH(CHOOSE({1,2,3,4}, XT!U176,XT!Y176,XT!AC176,XT!AG176))=1), 0), 0)), "")</f>
        <v>0</v>
      </c>
      <c r="C176" s="51" t="str">
        <f>IF(XT!$P176&gt;0,B176,"")</f>
        <v/>
      </c>
      <c r="D176" s="51">
        <f>IF(XT!$P176=0,B176,"")</f>
        <v>0</v>
      </c>
      <c r="E176">
        <f>SUMPRODUCT((MONTH(CHOOSE({1,2,3,4},XT!U176,XT!Y176,XT!AC176,XT!AG176))=2)*(CHOOSE({1,2,3,4},XT!X176,XT!AB176,XT!AF176,XT!AJ176)))</f>
        <v>0</v>
      </c>
      <c r="F176" t="str">
        <f>IFERROR(INDEX(CHOOSE({1,2,3,4}, DAY(XT!U176), DAY(XT!Y176), DAY(XT!AC176), DAY(XT!AG176)), MATCH(1, INDEX(--(MONTH(CHOOSE({1,2,3,4}, XT!U176,XT!Y176,XT!AC176,XT!AG176))=2), 0), 0)), "")</f>
        <v/>
      </c>
      <c r="G176" s="51" t="str">
        <f>IF(XT!$P176&gt;0,F176,"")</f>
        <v/>
      </c>
      <c r="H176" s="51" t="str">
        <f>IF(XT!$P176=0,F176,"")</f>
        <v/>
      </c>
      <c r="I176">
        <f>SUMPRODUCT((MONTH(CHOOSE({1,2,3,4},XT!U176,XT!Y176,XT!AC176,XT!AG176))=3)*(CHOOSE({1,2,3,4},XT!X176,XT!AB176,XT!AF176,XT!AJ176)))</f>
        <v>0</v>
      </c>
      <c r="J176" t="str">
        <f>IFERROR(INDEX(CHOOSE({1,2,3,4}, DAY(XT!U176), DAY(XT!Y176), DAY(XT!AC176), DAY(XT!AG176)), MATCH(1, INDEX(--(MONTH(CHOOSE({1,2,3,4}, XT!U176,XT!Y176,XT!AC176,XT!AG176))=3), 0), 0)), "")</f>
        <v/>
      </c>
      <c r="K176" s="51" t="str">
        <f>IF(XT!$P176&gt;0,J176,"")</f>
        <v/>
      </c>
      <c r="L176" s="51" t="str">
        <f>IF(XT!$P176=0,J176,"")</f>
        <v/>
      </c>
      <c r="M176">
        <f>SUMPRODUCT((MONTH(CHOOSE({1,2,3,4},XT!U176,XT!Y176,XT!AC176,XT!AG176))=4)*(CHOOSE({1,2,3,4},XT!X176,XT!AB176,XT!AF176,XT!AJ176)))</f>
        <v>0</v>
      </c>
      <c r="N176" t="str">
        <f>IFERROR(INDEX(CHOOSE({1,2,3,4}, DAY(XT!U176), DAY(XT!Y176), DAY(XT!AC176), DAY(XT!AG176)), MATCH(1, INDEX(--(MONTH(CHOOSE({1,2,3,4}, XT!U176,XT!Y176,XT!AC176,XT!AG176))=4), 0), 0)), "")</f>
        <v/>
      </c>
      <c r="O176" s="51" t="str">
        <f>IF(XT!$P176&gt;0,N176,"")</f>
        <v/>
      </c>
      <c r="P176" s="51" t="str">
        <f>IF(XT!$P176=0,N176,"")</f>
        <v/>
      </c>
      <c r="Q176">
        <f>SUMPRODUCT((MONTH(CHOOSE({1,2,3,4},XT!U176,XT!Y176,XT!AC176,XT!AG176))=5)*(CHOOSE({1,2,3,4},XT!X176,XT!AB176,XT!AF176,XT!AJ176)))</f>
        <v>0</v>
      </c>
      <c r="R176" t="str">
        <f>IFERROR(INDEX(CHOOSE({1,2,3,4}, DAY(XT!U176), DAY(XT!Y176), DAY(XT!AC176), DAY(XT!AG176)), MATCH(1, INDEX(--(MONTH(CHOOSE({1,2,3,4}, XT!U176,XT!Y176,XT!AC176,XT!AG176))=5), 0), 0)), "")</f>
        <v/>
      </c>
      <c r="S176" s="51" t="str">
        <f>IF(XT!$P176&gt;0,R176,"")</f>
        <v/>
      </c>
      <c r="T176" s="51" t="str">
        <f>IF(XT!$P176=0,R176,"")</f>
        <v/>
      </c>
      <c r="U176">
        <f>SUMPRODUCT((MONTH(CHOOSE({1,2,3,4},XT!U176,XT!Y176,XT!AC176,XT!AG176))=6)*(CHOOSE({1,2,3,4},XT!X176,XT!AB176,XT!AF176,XT!AJ176)))</f>
        <v>0</v>
      </c>
      <c r="V176" t="str">
        <f>IFERROR(INDEX(CHOOSE({1,2,3,4}, DAY(XT!U176), DAY(XT!Y176), DAY(XT!AC176), DAY(XT!AG176)), MATCH(1, INDEX(--(MONTH(CHOOSE({1,2,3,4}, XT!U176,XT!Y176,XT!AC176,XT!AG176))=6), 0), 0)), "")</f>
        <v/>
      </c>
      <c r="W176" s="51" t="str">
        <f>IF(XT!$P176&gt;0,V176,"")</f>
        <v/>
      </c>
      <c r="X176" s="51" t="str">
        <f>IF(XT!$P176=0,V176,"")</f>
        <v/>
      </c>
      <c r="Y176">
        <f>SUMPRODUCT((MONTH(CHOOSE({1,2,3,4},XT!U176,XT!Y176,XT!AC176,XT!AG176))=7)*(CHOOSE({1,2,3,4},XT!X176,XT!AB176,XT!AF176,XT!AJ176)))</f>
        <v>0</v>
      </c>
      <c r="Z176" t="str">
        <f>IFERROR(INDEX(CHOOSE({1,2,3,4}, DAY(XT!U176), DAY(XT!Y176), DAY(XT!AC176), DAY(XT!AG176)), MATCH(1, INDEX(--(MONTH(CHOOSE({1,2,3,4}, XT!U176,XT!Y176,XT!AC176,XT!AG176))=7), 0), 0)), "")</f>
        <v/>
      </c>
      <c r="AA176" s="51" t="str">
        <f>IF(XT!$P176&gt;0,Z176,"")</f>
        <v/>
      </c>
      <c r="AB176" s="51" t="str">
        <f>IF(XT!$P176=0,Z176,"")</f>
        <v/>
      </c>
      <c r="AC176">
        <f>SUMPRODUCT((MONTH(CHOOSE({1,2,3,4},XT!U176,XT!Y176,XT!AC176,XT!AG176))=8)*(CHOOSE({1,2,3,4},XT!X176,XT!AB176,XT!AF176,XT!AJ176)))</f>
        <v>0</v>
      </c>
      <c r="AD176" t="str">
        <f>IFERROR(INDEX(CHOOSE({1,2,3,4}, DAY(XT!U176), DAY(XT!Y176), DAY(XT!AC176), DAY(XT!AG176)), MATCH(1, INDEX(--(MONTH(CHOOSE({1,2,3,4}, XT!U176,XT!Y176,XT!AC176,XT!AG176))=8), 0), 0)), "")</f>
        <v/>
      </c>
      <c r="AE176" s="51" t="str">
        <f>IF(XT!$P176&gt;0,AD176,"")</f>
        <v/>
      </c>
      <c r="AF176" s="51" t="str">
        <f>IF(XT!$P176=0,AD176,"")</f>
        <v/>
      </c>
      <c r="AG176">
        <f>SUMPRODUCT((MONTH(CHOOSE({1,2,3,4},XT!U176,XT!Y176,XT!AC176,XT!AG176))=9)*(CHOOSE({1,2,3,4},XT!X176,XT!AB176,XT!AF176,XT!AJ176)))</f>
        <v>0</v>
      </c>
      <c r="AH176" t="str">
        <f>IFERROR(INDEX(CHOOSE({1,2,3,4}, DAY(XT!U176), DAY(XT!Y176), DAY(XT!AC176), DAY(XT!AG176)), MATCH(1, INDEX(--(MONTH(CHOOSE({1,2,3,4}, XT!U176,XT!Y176,XT!AC176,XT!AG176))=9), 0), 0)), "")</f>
        <v/>
      </c>
      <c r="AI176" s="51" t="str">
        <f>IF(XT!$P176&gt;0,AH176,"")</f>
        <v/>
      </c>
      <c r="AJ176" s="51" t="str">
        <f>IF(XT!$P176=0,AH176,"")</f>
        <v/>
      </c>
      <c r="AK176">
        <f>SUMPRODUCT((MONTH(CHOOSE({1,2,3,4},XT!U176,XT!Y176,XT!AC176,XT!AG176))=10)*(CHOOSE({1,2,3,4},XT!X176,XT!AB176,XT!AF176,XT!AJ176)))</f>
        <v>0</v>
      </c>
      <c r="AL176" t="str">
        <f>IFERROR(INDEX(CHOOSE({1,2,3,4}, DAY(XT!U176), DAY(XT!Y176), DAY(XT!AC176), DAY(XT!AG176)), MATCH(1, INDEX(--(MONTH(CHOOSE({1,2,3,4}, XT!U176,XT!Y176,XT!AC176,XT!AG176))=10), 0), 0)), "")</f>
        <v/>
      </c>
      <c r="AM176" s="51" t="str">
        <f>IF(XT!$P176&gt;0,AL176,"")</f>
        <v/>
      </c>
      <c r="AN176" s="51" t="str">
        <f>IF(XT!$P176=0,AL176,"")</f>
        <v/>
      </c>
      <c r="AO176">
        <f>SUMPRODUCT((MONTH(CHOOSE({1,2,3,4},XT!U176,XT!Y176,XT!AC176,XT!AG176))=11)*(CHOOSE({1,2,3,4},XT!X176,XT!AB176,XT!AF176,XT!AJ176)))</f>
        <v>0</v>
      </c>
      <c r="AP176" t="str">
        <f>IFERROR(INDEX(CHOOSE({1,2,3,4}, DAY(XT!U176), DAY(XT!Y176), DAY(XT!AC176), DAY(XT!AG176)), MATCH(1, INDEX(--(MONTH(CHOOSE({1,2,3,4}, XT!U176,XT!Y176,XT!AC176,XT!AG176))=11), 0), 0)), "")</f>
        <v/>
      </c>
      <c r="AQ176" s="51" t="str">
        <f>IF(XT!$P176&gt;0,AP176,"")</f>
        <v/>
      </c>
      <c r="AR176" s="51" t="str">
        <f>IF(XT!$P176=0,AP176,"")</f>
        <v/>
      </c>
      <c r="AS176">
        <f>SUMPRODUCT((MONTH(CHOOSE({1,2,3,4},XT!U176,XT!Y176,XT!AC176,XT!AG176))=12)*(CHOOSE({1,2,3,4},XT!X176,XT!AB176,XT!AF176,XT!AJ176)))</f>
        <v>0</v>
      </c>
      <c r="AT176" t="str">
        <f>IFERROR(INDEX(CHOOSE({1,2,3,4}, DAY(XT!U176), DAY(XT!Y176), DAY(XT!AC176), DAY(XT!AG176)), MATCH(1, INDEX(--(MONTH(CHOOSE({1,2,3,4}, XT!U176,XT!Y176,XT!AC176,XT!AG176))=12), 0), 0)), "")</f>
        <v/>
      </c>
      <c r="AU176" s="51" t="str">
        <f>IF(XT!$P176&gt;0,AT176,"")</f>
        <v/>
      </c>
      <c r="AV176" s="51" t="str">
        <f>IF(XT!$P176=0,AT176,"")</f>
        <v/>
      </c>
    </row>
    <row r="177" spans="1:48">
      <c r="A177">
        <f>SUMPRODUCT((MONTH(CHOOSE({1,2,3,4},XT!U177,XT!Y177,XT!AC177,XT!AG177))=1)*(CHOOSE({1,2,3,4},XT!X177,XT!AB177,XT!AF177,XT!AJ177)))</f>
        <v>0</v>
      </c>
      <c r="B177">
        <f>IFERROR(INDEX(CHOOSE({1,2,3,4}, DAY(XT!U177), DAY(XT!Y177), DAY(XT!AC177), DAY(XT!AG177)), MATCH(1, INDEX(--(MONTH(CHOOSE({1,2,3,4}, XT!U177,XT!Y177,XT!AC177,XT!AG177))=1), 0), 0)), "")</f>
        <v>0</v>
      </c>
      <c r="C177" s="51" t="str">
        <f>IF(XT!$P177&gt;0,B177,"")</f>
        <v/>
      </c>
      <c r="D177" s="51">
        <f>IF(XT!$P177=0,B177,"")</f>
        <v>0</v>
      </c>
      <c r="E177">
        <f>SUMPRODUCT((MONTH(CHOOSE({1,2,3,4},XT!U177,XT!Y177,XT!AC177,XT!AG177))=2)*(CHOOSE({1,2,3,4},XT!X177,XT!AB177,XT!AF177,XT!AJ177)))</f>
        <v>0</v>
      </c>
      <c r="F177" t="str">
        <f>IFERROR(INDEX(CHOOSE({1,2,3,4}, DAY(XT!U177), DAY(XT!Y177), DAY(XT!AC177), DAY(XT!AG177)), MATCH(1, INDEX(--(MONTH(CHOOSE({1,2,3,4}, XT!U177,XT!Y177,XT!AC177,XT!AG177))=2), 0), 0)), "")</f>
        <v/>
      </c>
      <c r="G177" s="51" t="str">
        <f>IF(XT!$P177&gt;0,F177,"")</f>
        <v/>
      </c>
      <c r="H177" s="51" t="str">
        <f>IF(XT!$P177=0,F177,"")</f>
        <v/>
      </c>
      <c r="I177">
        <f>SUMPRODUCT((MONTH(CHOOSE({1,2,3,4},XT!U177,XT!Y177,XT!AC177,XT!AG177))=3)*(CHOOSE({1,2,3,4},XT!X177,XT!AB177,XT!AF177,XT!AJ177)))</f>
        <v>0</v>
      </c>
      <c r="J177" t="str">
        <f>IFERROR(INDEX(CHOOSE({1,2,3,4}, DAY(XT!U177), DAY(XT!Y177), DAY(XT!AC177), DAY(XT!AG177)), MATCH(1, INDEX(--(MONTH(CHOOSE({1,2,3,4}, XT!U177,XT!Y177,XT!AC177,XT!AG177))=3), 0), 0)), "")</f>
        <v/>
      </c>
      <c r="K177" s="51" t="str">
        <f>IF(XT!$P177&gt;0,J177,"")</f>
        <v/>
      </c>
      <c r="L177" s="51" t="str">
        <f>IF(XT!$P177=0,J177,"")</f>
        <v/>
      </c>
      <c r="M177">
        <f>SUMPRODUCT((MONTH(CHOOSE({1,2,3,4},XT!U177,XT!Y177,XT!AC177,XT!AG177))=4)*(CHOOSE({1,2,3,4},XT!X177,XT!AB177,XT!AF177,XT!AJ177)))</f>
        <v>0</v>
      </c>
      <c r="N177" t="str">
        <f>IFERROR(INDEX(CHOOSE({1,2,3,4}, DAY(XT!U177), DAY(XT!Y177), DAY(XT!AC177), DAY(XT!AG177)), MATCH(1, INDEX(--(MONTH(CHOOSE({1,2,3,4}, XT!U177,XT!Y177,XT!AC177,XT!AG177))=4), 0), 0)), "")</f>
        <v/>
      </c>
      <c r="O177" s="51" t="str">
        <f>IF(XT!$P177&gt;0,N177,"")</f>
        <v/>
      </c>
      <c r="P177" s="51" t="str">
        <f>IF(XT!$P177=0,N177,"")</f>
        <v/>
      </c>
      <c r="Q177">
        <f>SUMPRODUCT((MONTH(CHOOSE({1,2,3,4},XT!U177,XT!Y177,XT!AC177,XT!AG177))=5)*(CHOOSE({1,2,3,4},XT!X177,XT!AB177,XT!AF177,XT!AJ177)))</f>
        <v>0</v>
      </c>
      <c r="R177" t="str">
        <f>IFERROR(INDEX(CHOOSE({1,2,3,4}, DAY(XT!U177), DAY(XT!Y177), DAY(XT!AC177), DAY(XT!AG177)), MATCH(1, INDEX(--(MONTH(CHOOSE({1,2,3,4}, XT!U177,XT!Y177,XT!AC177,XT!AG177))=5), 0), 0)), "")</f>
        <v/>
      </c>
      <c r="S177" s="51" t="str">
        <f>IF(XT!$P177&gt;0,R177,"")</f>
        <v/>
      </c>
      <c r="T177" s="51" t="str">
        <f>IF(XT!$P177=0,R177,"")</f>
        <v/>
      </c>
      <c r="U177">
        <f>SUMPRODUCT((MONTH(CHOOSE({1,2,3,4},XT!U177,XT!Y177,XT!AC177,XT!AG177))=6)*(CHOOSE({1,2,3,4},XT!X177,XT!AB177,XT!AF177,XT!AJ177)))</f>
        <v>0</v>
      </c>
      <c r="V177" t="str">
        <f>IFERROR(INDEX(CHOOSE({1,2,3,4}, DAY(XT!U177), DAY(XT!Y177), DAY(XT!AC177), DAY(XT!AG177)), MATCH(1, INDEX(--(MONTH(CHOOSE({1,2,3,4}, XT!U177,XT!Y177,XT!AC177,XT!AG177))=6), 0), 0)), "")</f>
        <v/>
      </c>
      <c r="W177" s="51" t="str">
        <f>IF(XT!$P177&gt;0,V177,"")</f>
        <v/>
      </c>
      <c r="X177" s="51" t="str">
        <f>IF(XT!$P177=0,V177,"")</f>
        <v/>
      </c>
      <c r="Y177">
        <f>SUMPRODUCT((MONTH(CHOOSE({1,2,3,4},XT!U177,XT!Y177,XT!AC177,XT!AG177))=7)*(CHOOSE({1,2,3,4},XT!X177,XT!AB177,XT!AF177,XT!AJ177)))</f>
        <v>0</v>
      </c>
      <c r="Z177" t="str">
        <f>IFERROR(INDEX(CHOOSE({1,2,3,4}, DAY(XT!U177), DAY(XT!Y177), DAY(XT!AC177), DAY(XT!AG177)), MATCH(1, INDEX(--(MONTH(CHOOSE({1,2,3,4}, XT!U177,XT!Y177,XT!AC177,XT!AG177))=7), 0), 0)), "")</f>
        <v/>
      </c>
      <c r="AA177" s="51" t="str">
        <f>IF(XT!$P177&gt;0,Z177,"")</f>
        <v/>
      </c>
      <c r="AB177" s="51" t="str">
        <f>IF(XT!$P177=0,Z177,"")</f>
        <v/>
      </c>
      <c r="AC177">
        <f>SUMPRODUCT((MONTH(CHOOSE({1,2,3,4},XT!U177,XT!Y177,XT!AC177,XT!AG177))=8)*(CHOOSE({1,2,3,4},XT!X177,XT!AB177,XT!AF177,XT!AJ177)))</f>
        <v>0</v>
      </c>
      <c r="AD177" t="str">
        <f>IFERROR(INDEX(CHOOSE({1,2,3,4}, DAY(XT!U177), DAY(XT!Y177), DAY(XT!AC177), DAY(XT!AG177)), MATCH(1, INDEX(--(MONTH(CHOOSE({1,2,3,4}, XT!U177,XT!Y177,XT!AC177,XT!AG177))=8), 0), 0)), "")</f>
        <v/>
      </c>
      <c r="AE177" s="51" t="str">
        <f>IF(XT!$P177&gt;0,AD177,"")</f>
        <v/>
      </c>
      <c r="AF177" s="51" t="str">
        <f>IF(XT!$P177=0,AD177,"")</f>
        <v/>
      </c>
      <c r="AG177">
        <f>SUMPRODUCT((MONTH(CHOOSE({1,2,3,4},XT!U177,XT!Y177,XT!AC177,XT!AG177))=9)*(CHOOSE({1,2,3,4},XT!X177,XT!AB177,XT!AF177,XT!AJ177)))</f>
        <v>0</v>
      </c>
      <c r="AH177" t="str">
        <f>IFERROR(INDEX(CHOOSE({1,2,3,4}, DAY(XT!U177), DAY(XT!Y177), DAY(XT!AC177), DAY(XT!AG177)), MATCH(1, INDEX(--(MONTH(CHOOSE({1,2,3,4}, XT!U177,XT!Y177,XT!AC177,XT!AG177))=9), 0), 0)), "")</f>
        <v/>
      </c>
      <c r="AI177" s="51" t="str">
        <f>IF(XT!$P177&gt;0,AH177,"")</f>
        <v/>
      </c>
      <c r="AJ177" s="51" t="str">
        <f>IF(XT!$P177=0,AH177,"")</f>
        <v/>
      </c>
      <c r="AK177">
        <f>SUMPRODUCT((MONTH(CHOOSE({1,2,3,4},XT!U177,XT!Y177,XT!AC177,XT!AG177))=10)*(CHOOSE({1,2,3,4},XT!X177,XT!AB177,XT!AF177,XT!AJ177)))</f>
        <v>0</v>
      </c>
      <c r="AL177" t="str">
        <f>IFERROR(INDEX(CHOOSE({1,2,3,4}, DAY(XT!U177), DAY(XT!Y177), DAY(XT!AC177), DAY(XT!AG177)), MATCH(1, INDEX(--(MONTH(CHOOSE({1,2,3,4}, XT!U177,XT!Y177,XT!AC177,XT!AG177))=10), 0), 0)), "")</f>
        <v/>
      </c>
      <c r="AM177" s="51" t="str">
        <f>IF(XT!$P177&gt;0,AL177,"")</f>
        <v/>
      </c>
      <c r="AN177" s="51" t="str">
        <f>IF(XT!$P177=0,AL177,"")</f>
        <v/>
      </c>
      <c r="AO177">
        <f>SUMPRODUCT((MONTH(CHOOSE({1,2,3,4},XT!U177,XT!Y177,XT!AC177,XT!AG177))=11)*(CHOOSE({1,2,3,4},XT!X177,XT!AB177,XT!AF177,XT!AJ177)))</f>
        <v>0</v>
      </c>
      <c r="AP177" t="str">
        <f>IFERROR(INDEX(CHOOSE({1,2,3,4}, DAY(XT!U177), DAY(XT!Y177), DAY(XT!AC177), DAY(XT!AG177)), MATCH(1, INDEX(--(MONTH(CHOOSE({1,2,3,4}, XT!U177,XT!Y177,XT!AC177,XT!AG177))=11), 0), 0)), "")</f>
        <v/>
      </c>
      <c r="AQ177" s="51" t="str">
        <f>IF(XT!$P177&gt;0,AP177,"")</f>
        <v/>
      </c>
      <c r="AR177" s="51" t="str">
        <f>IF(XT!$P177=0,AP177,"")</f>
        <v/>
      </c>
      <c r="AS177">
        <f>SUMPRODUCT((MONTH(CHOOSE({1,2,3,4},XT!U177,XT!Y177,XT!AC177,XT!AG177))=12)*(CHOOSE({1,2,3,4},XT!X177,XT!AB177,XT!AF177,XT!AJ177)))</f>
        <v>0</v>
      </c>
      <c r="AT177" t="str">
        <f>IFERROR(INDEX(CHOOSE({1,2,3,4}, DAY(XT!U177), DAY(XT!Y177), DAY(XT!AC177), DAY(XT!AG177)), MATCH(1, INDEX(--(MONTH(CHOOSE({1,2,3,4}, XT!U177,XT!Y177,XT!AC177,XT!AG177))=12), 0), 0)), "")</f>
        <v/>
      </c>
      <c r="AU177" s="51" t="str">
        <f>IF(XT!$P177&gt;0,AT177,"")</f>
        <v/>
      </c>
      <c r="AV177" s="51" t="str">
        <f>IF(XT!$P177=0,AT177,"")</f>
        <v/>
      </c>
    </row>
    <row r="178" spans="1:48">
      <c r="A178">
        <f>SUMPRODUCT((MONTH(CHOOSE({1,2,3,4},XT!U178,XT!Y178,XT!AC178,XT!AG178))=1)*(CHOOSE({1,2,3,4},XT!X178,XT!AB178,XT!AF178,XT!AJ178)))</f>
        <v>0</v>
      </c>
      <c r="B178">
        <f>IFERROR(INDEX(CHOOSE({1,2,3,4}, DAY(XT!U178), DAY(XT!Y178), DAY(XT!AC178), DAY(XT!AG178)), MATCH(1, INDEX(--(MONTH(CHOOSE({1,2,3,4}, XT!U178,XT!Y178,XT!AC178,XT!AG178))=1), 0), 0)), "")</f>
        <v>0</v>
      </c>
      <c r="C178" s="51" t="str">
        <f>IF(XT!$P178&gt;0,B178,"")</f>
        <v/>
      </c>
      <c r="D178" s="51">
        <f>IF(XT!$P178=0,B178,"")</f>
        <v>0</v>
      </c>
      <c r="E178">
        <f>SUMPRODUCT((MONTH(CHOOSE({1,2,3,4},XT!U178,XT!Y178,XT!AC178,XT!AG178))=2)*(CHOOSE({1,2,3,4},XT!X178,XT!AB178,XT!AF178,XT!AJ178)))</f>
        <v>0</v>
      </c>
      <c r="F178" t="str">
        <f>IFERROR(INDEX(CHOOSE({1,2,3,4}, DAY(XT!U178), DAY(XT!Y178), DAY(XT!AC178), DAY(XT!AG178)), MATCH(1, INDEX(--(MONTH(CHOOSE({1,2,3,4}, XT!U178,XT!Y178,XT!AC178,XT!AG178))=2), 0), 0)), "")</f>
        <v/>
      </c>
      <c r="G178" s="51" t="str">
        <f>IF(XT!$P178&gt;0,F178,"")</f>
        <v/>
      </c>
      <c r="H178" s="51" t="str">
        <f>IF(XT!$P178=0,F178,"")</f>
        <v/>
      </c>
      <c r="I178">
        <f>SUMPRODUCT((MONTH(CHOOSE({1,2,3,4},XT!U178,XT!Y178,XT!AC178,XT!AG178))=3)*(CHOOSE({1,2,3,4},XT!X178,XT!AB178,XT!AF178,XT!AJ178)))</f>
        <v>0</v>
      </c>
      <c r="J178" t="str">
        <f>IFERROR(INDEX(CHOOSE({1,2,3,4}, DAY(XT!U178), DAY(XT!Y178), DAY(XT!AC178), DAY(XT!AG178)), MATCH(1, INDEX(--(MONTH(CHOOSE({1,2,3,4}, XT!U178,XT!Y178,XT!AC178,XT!AG178))=3), 0), 0)), "")</f>
        <v/>
      </c>
      <c r="K178" s="51" t="str">
        <f>IF(XT!$P178&gt;0,J178,"")</f>
        <v/>
      </c>
      <c r="L178" s="51" t="str">
        <f>IF(XT!$P178=0,J178,"")</f>
        <v/>
      </c>
      <c r="M178">
        <f>SUMPRODUCT((MONTH(CHOOSE({1,2,3,4},XT!U178,XT!Y178,XT!AC178,XT!AG178))=4)*(CHOOSE({1,2,3,4},XT!X178,XT!AB178,XT!AF178,XT!AJ178)))</f>
        <v>0</v>
      </c>
      <c r="N178" t="str">
        <f>IFERROR(INDEX(CHOOSE({1,2,3,4}, DAY(XT!U178), DAY(XT!Y178), DAY(XT!AC178), DAY(XT!AG178)), MATCH(1, INDEX(--(MONTH(CHOOSE({1,2,3,4}, XT!U178,XT!Y178,XT!AC178,XT!AG178))=4), 0), 0)), "")</f>
        <v/>
      </c>
      <c r="O178" s="51" t="str">
        <f>IF(XT!$P178&gt;0,N178,"")</f>
        <v/>
      </c>
      <c r="P178" s="51" t="str">
        <f>IF(XT!$P178=0,N178,"")</f>
        <v/>
      </c>
      <c r="Q178">
        <f>SUMPRODUCT((MONTH(CHOOSE({1,2,3,4},XT!U178,XT!Y178,XT!AC178,XT!AG178))=5)*(CHOOSE({1,2,3,4},XT!X178,XT!AB178,XT!AF178,XT!AJ178)))</f>
        <v>0</v>
      </c>
      <c r="R178" t="str">
        <f>IFERROR(INDEX(CHOOSE({1,2,3,4}, DAY(XT!U178), DAY(XT!Y178), DAY(XT!AC178), DAY(XT!AG178)), MATCH(1, INDEX(--(MONTH(CHOOSE({1,2,3,4}, XT!U178,XT!Y178,XT!AC178,XT!AG178))=5), 0), 0)), "")</f>
        <v/>
      </c>
      <c r="S178" s="51" t="str">
        <f>IF(XT!$P178&gt;0,R178,"")</f>
        <v/>
      </c>
      <c r="T178" s="51" t="str">
        <f>IF(XT!$P178=0,R178,"")</f>
        <v/>
      </c>
      <c r="U178">
        <f>SUMPRODUCT((MONTH(CHOOSE({1,2,3,4},XT!U178,XT!Y178,XT!AC178,XT!AG178))=6)*(CHOOSE({1,2,3,4},XT!X178,XT!AB178,XT!AF178,XT!AJ178)))</f>
        <v>0</v>
      </c>
      <c r="V178" t="str">
        <f>IFERROR(INDEX(CHOOSE({1,2,3,4}, DAY(XT!U178), DAY(XT!Y178), DAY(XT!AC178), DAY(XT!AG178)), MATCH(1, INDEX(--(MONTH(CHOOSE({1,2,3,4}, XT!U178,XT!Y178,XT!AC178,XT!AG178))=6), 0), 0)), "")</f>
        <v/>
      </c>
      <c r="W178" s="51" t="str">
        <f>IF(XT!$P178&gt;0,V178,"")</f>
        <v/>
      </c>
      <c r="X178" s="51" t="str">
        <f>IF(XT!$P178=0,V178,"")</f>
        <v/>
      </c>
      <c r="Y178">
        <f>SUMPRODUCT((MONTH(CHOOSE({1,2,3,4},XT!U178,XT!Y178,XT!AC178,XT!AG178))=7)*(CHOOSE({1,2,3,4},XT!X178,XT!AB178,XT!AF178,XT!AJ178)))</f>
        <v>0</v>
      </c>
      <c r="Z178" t="str">
        <f>IFERROR(INDEX(CHOOSE({1,2,3,4}, DAY(XT!U178), DAY(XT!Y178), DAY(XT!AC178), DAY(XT!AG178)), MATCH(1, INDEX(--(MONTH(CHOOSE({1,2,3,4}, XT!U178,XT!Y178,XT!AC178,XT!AG178))=7), 0), 0)), "")</f>
        <v/>
      </c>
      <c r="AA178" s="51" t="str">
        <f>IF(XT!$P178&gt;0,Z178,"")</f>
        <v/>
      </c>
      <c r="AB178" s="51" t="str">
        <f>IF(XT!$P178=0,Z178,"")</f>
        <v/>
      </c>
      <c r="AC178">
        <f>SUMPRODUCT((MONTH(CHOOSE({1,2,3,4},XT!U178,XT!Y178,XT!AC178,XT!AG178))=8)*(CHOOSE({1,2,3,4},XT!X178,XT!AB178,XT!AF178,XT!AJ178)))</f>
        <v>0</v>
      </c>
      <c r="AD178" t="str">
        <f>IFERROR(INDEX(CHOOSE({1,2,3,4}, DAY(XT!U178), DAY(XT!Y178), DAY(XT!AC178), DAY(XT!AG178)), MATCH(1, INDEX(--(MONTH(CHOOSE({1,2,3,4}, XT!U178,XT!Y178,XT!AC178,XT!AG178))=8), 0), 0)), "")</f>
        <v/>
      </c>
      <c r="AE178" s="51" t="str">
        <f>IF(XT!$P178&gt;0,AD178,"")</f>
        <v/>
      </c>
      <c r="AF178" s="51" t="str">
        <f>IF(XT!$P178=0,AD178,"")</f>
        <v/>
      </c>
      <c r="AG178">
        <f>SUMPRODUCT((MONTH(CHOOSE({1,2,3,4},XT!U178,XT!Y178,XT!AC178,XT!AG178))=9)*(CHOOSE({1,2,3,4},XT!X178,XT!AB178,XT!AF178,XT!AJ178)))</f>
        <v>0</v>
      </c>
      <c r="AH178" t="str">
        <f>IFERROR(INDEX(CHOOSE({1,2,3,4}, DAY(XT!U178), DAY(XT!Y178), DAY(XT!AC178), DAY(XT!AG178)), MATCH(1, INDEX(--(MONTH(CHOOSE({1,2,3,4}, XT!U178,XT!Y178,XT!AC178,XT!AG178))=9), 0), 0)), "")</f>
        <v/>
      </c>
      <c r="AI178" s="51" t="str">
        <f>IF(XT!$P178&gt;0,AH178,"")</f>
        <v/>
      </c>
      <c r="AJ178" s="51" t="str">
        <f>IF(XT!$P178=0,AH178,"")</f>
        <v/>
      </c>
      <c r="AK178">
        <f>SUMPRODUCT((MONTH(CHOOSE({1,2,3,4},XT!U178,XT!Y178,XT!AC178,XT!AG178))=10)*(CHOOSE({1,2,3,4},XT!X178,XT!AB178,XT!AF178,XT!AJ178)))</f>
        <v>0</v>
      </c>
      <c r="AL178" t="str">
        <f>IFERROR(INDEX(CHOOSE({1,2,3,4}, DAY(XT!U178), DAY(XT!Y178), DAY(XT!AC178), DAY(XT!AG178)), MATCH(1, INDEX(--(MONTH(CHOOSE({1,2,3,4}, XT!U178,XT!Y178,XT!AC178,XT!AG178))=10), 0), 0)), "")</f>
        <v/>
      </c>
      <c r="AM178" s="51" t="str">
        <f>IF(XT!$P178&gt;0,AL178,"")</f>
        <v/>
      </c>
      <c r="AN178" s="51" t="str">
        <f>IF(XT!$P178=0,AL178,"")</f>
        <v/>
      </c>
      <c r="AO178">
        <f>SUMPRODUCT((MONTH(CHOOSE({1,2,3,4},XT!U178,XT!Y178,XT!AC178,XT!AG178))=11)*(CHOOSE({1,2,3,4},XT!X178,XT!AB178,XT!AF178,XT!AJ178)))</f>
        <v>0</v>
      </c>
      <c r="AP178" t="str">
        <f>IFERROR(INDEX(CHOOSE({1,2,3,4}, DAY(XT!U178), DAY(XT!Y178), DAY(XT!AC178), DAY(XT!AG178)), MATCH(1, INDEX(--(MONTH(CHOOSE({1,2,3,4}, XT!U178,XT!Y178,XT!AC178,XT!AG178))=11), 0), 0)), "")</f>
        <v/>
      </c>
      <c r="AQ178" s="51" t="str">
        <f>IF(XT!$P178&gt;0,AP178,"")</f>
        <v/>
      </c>
      <c r="AR178" s="51" t="str">
        <f>IF(XT!$P178=0,AP178,"")</f>
        <v/>
      </c>
      <c r="AS178">
        <f>SUMPRODUCT((MONTH(CHOOSE({1,2,3,4},XT!U178,XT!Y178,XT!AC178,XT!AG178))=12)*(CHOOSE({1,2,3,4},XT!X178,XT!AB178,XT!AF178,XT!AJ178)))</f>
        <v>0</v>
      </c>
      <c r="AT178" t="str">
        <f>IFERROR(INDEX(CHOOSE({1,2,3,4}, DAY(XT!U178), DAY(XT!Y178), DAY(XT!AC178), DAY(XT!AG178)), MATCH(1, INDEX(--(MONTH(CHOOSE({1,2,3,4}, XT!U178,XT!Y178,XT!AC178,XT!AG178))=12), 0), 0)), "")</f>
        <v/>
      </c>
      <c r="AU178" s="51" t="str">
        <f>IF(XT!$P178&gt;0,AT178,"")</f>
        <v/>
      </c>
      <c r="AV178" s="51" t="str">
        <f>IF(XT!$P178=0,AT178,"")</f>
        <v/>
      </c>
    </row>
    <row r="179" spans="1:48">
      <c r="A179">
        <f>SUMPRODUCT((MONTH(CHOOSE({1,2,3,4},XT!U179,XT!Y179,XT!AC179,XT!AG179))=1)*(CHOOSE({1,2,3,4},XT!X179,XT!AB179,XT!AF179,XT!AJ179)))</f>
        <v>0</v>
      </c>
      <c r="B179">
        <f>IFERROR(INDEX(CHOOSE({1,2,3,4}, DAY(XT!U179), DAY(XT!Y179), DAY(XT!AC179), DAY(XT!AG179)), MATCH(1, INDEX(--(MONTH(CHOOSE({1,2,3,4}, XT!U179,XT!Y179,XT!AC179,XT!AG179))=1), 0), 0)), "")</f>
        <v>0</v>
      </c>
      <c r="C179" s="51" t="str">
        <f>IF(XT!$P179&gt;0,B179,"")</f>
        <v/>
      </c>
      <c r="D179" s="51">
        <f>IF(XT!$P179=0,B179,"")</f>
        <v>0</v>
      </c>
      <c r="E179">
        <f>SUMPRODUCT((MONTH(CHOOSE({1,2,3,4},XT!U179,XT!Y179,XT!AC179,XT!AG179))=2)*(CHOOSE({1,2,3,4},XT!X179,XT!AB179,XT!AF179,XT!AJ179)))</f>
        <v>0</v>
      </c>
      <c r="F179" t="str">
        <f>IFERROR(INDEX(CHOOSE({1,2,3,4}, DAY(XT!U179), DAY(XT!Y179), DAY(XT!AC179), DAY(XT!AG179)), MATCH(1, INDEX(--(MONTH(CHOOSE({1,2,3,4}, XT!U179,XT!Y179,XT!AC179,XT!AG179))=2), 0), 0)), "")</f>
        <v/>
      </c>
      <c r="G179" s="51" t="str">
        <f>IF(XT!$P179&gt;0,F179,"")</f>
        <v/>
      </c>
      <c r="H179" s="51" t="str">
        <f>IF(XT!$P179=0,F179,"")</f>
        <v/>
      </c>
      <c r="I179">
        <f>SUMPRODUCT((MONTH(CHOOSE({1,2,3,4},XT!U179,XT!Y179,XT!AC179,XT!AG179))=3)*(CHOOSE({1,2,3,4},XT!X179,XT!AB179,XT!AF179,XT!AJ179)))</f>
        <v>0</v>
      </c>
      <c r="J179" t="str">
        <f>IFERROR(INDEX(CHOOSE({1,2,3,4}, DAY(XT!U179), DAY(XT!Y179), DAY(XT!AC179), DAY(XT!AG179)), MATCH(1, INDEX(--(MONTH(CHOOSE({1,2,3,4}, XT!U179,XT!Y179,XT!AC179,XT!AG179))=3), 0), 0)), "")</f>
        <v/>
      </c>
      <c r="K179" s="51" t="str">
        <f>IF(XT!$P179&gt;0,J179,"")</f>
        <v/>
      </c>
      <c r="L179" s="51" t="str">
        <f>IF(XT!$P179=0,J179,"")</f>
        <v/>
      </c>
      <c r="M179">
        <f>SUMPRODUCT((MONTH(CHOOSE({1,2,3,4},XT!U179,XT!Y179,XT!AC179,XT!AG179))=4)*(CHOOSE({1,2,3,4},XT!X179,XT!AB179,XT!AF179,XT!AJ179)))</f>
        <v>0</v>
      </c>
      <c r="N179" t="str">
        <f>IFERROR(INDEX(CHOOSE({1,2,3,4}, DAY(XT!U179), DAY(XT!Y179), DAY(XT!AC179), DAY(XT!AG179)), MATCH(1, INDEX(--(MONTH(CHOOSE({1,2,3,4}, XT!U179,XT!Y179,XT!AC179,XT!AG179))=4), 0), 0)), "")</f>
        <v/>
      </c>
      <c r="O179" s="51" t="str">
        <f>IF(XT!$P179&gt;0,N179,"")</f>
        <v/>
      </c>
      <c r="P179" s="51" t="str">
        <f>IF(XT!$P179=0,N179,"")</f>
        <v/>
      </c>
      <c r="Q179">
        <f>SUMPRODUCT((MONTH(CHOOSE({1,2,3,4},XT!U179,XT!Y179,XT!AC179,XT!AG179))=5)*(CHOOSE({1,2,3,4},XT!X179,XT!AB179,XT!AF179,XT!AJ179)))</f>
        <v>0</v>
      </c>
      <c r="R179" t="str">
        <f>IFERROR(INDEX(CHOOSE({1,2,3,4}, DAY(XT!U179), DAY(XT!Y179), DAY(XT!AC179), DAY(XT!AG179)), MATCH(1, INDEX(--(MONTH(CHOOSE({1,2,3,4}, XT!U179,XT!Y179,XT!AC179,XT!AG179))=5), 0), 0)), "")</f>
        <v/>
      </c>
      <c r="S179" s="51" t="str">
        <f>IF(XT!$P179&gt;0,R179,"")</f>
        <v/>
      </c>
      <c r="T179" s="51" t="str">
        <f>IF(XT!$P179=0,R179,"")</f>
        <v/>
      </c>
      <c r="U179">
        <f>SUMPRODUCT((MONTH(CHOOSE({1,2,3,4},XT!U179,XT!Y179,XT!AC179,XT!AG179))=6)*(CHOOSE({1,2,3,4},XT!X179,XT!AB179,XT!AF179,XT!AJ179)))</f>
        <v>0</v>
      </c>
      <c r="V179" t="str">
        <f>IFERROR(INDEX(CHOOSE({1,2,3,4}, DAY(XT!U179), DAY(XT!Y179), DAY(XT!AC179), DAY(XT!AG179)), MATCH(1, INDEX(--(MONTH(CHOOSE({1,2,3,4}, XT!U179,XT!Y179,XT!AC179,XT!AG179))=6), 0), 0)), "")</f>
        <v/>
      </c>
      <c r="W179" s="51" t="str">
        <f>IF(XT!$P179&gt;0,V179,"")</f>
        <v/>
      </c>
      <c r="X179" s="51" t="str">
        <f>IF(XT!$P179=0,V179,"")</f>
        <v/>
      </c>
      <c r="Y179">
        <f>SUMPRODUCT((MONTH(CHOOSE({1,2,3,4},XT!U179,XT!Y179,XT!AC179,XT!AG179))=7)*(CHOOSE({1,2,3,4},XT!X179,XT!AB179,XT!AF179,XT!AJ179)))</f>
        <v>0</v>
      </c>
      <c r="Z179" t="str">
        <f>IFERROR(INDEX(CHOOSE({1,2,3,4}, DAY(XT!U179), DAY(XT!Y179), DAY(XT!AC179), DAY(XT!AG179)), MATCH(1, INDEX(--(MONTH(CHOOSE({1,2,3,4}, XT!U179,XT!Y179,XT!AC179,XT!AG179))=7), 0), 0)), "")</f>
        <v/>
      </c>
      <c r="AA179" s="51" t="str">
        <f>IF(XT!$P179&gt;0,Z179,"")</f>
        <v/>
      </c>
      <c r="AB179" s="51" t="str">
        <f>IF(XT!$P179=0,Z179,"")</f>
        <v/>
      </c>
      <c r="AC179">
        <f>SUMPRODUCT((MONTH(CHOOSE({1,2,3,4},XT!U179,XT!Y179,XT!AC179,XT!AG179))=8)*(CHOOSE({1,2,3,4},XT!X179,XT!AB179,XT!AF179,XT!AJ179)))</f>
        <v>0</v>
      </c>
      <c r="AD179" t="str">
        <f>IFERROR(INDEX(CHOOSE({1,2,3,4}, DAY(XT!U179), DAY(XT!Y179), DAY(XT!AC179), DAY(XT!AG179)), MATCH(1, INDEX(--(MONTH(CHOOSE({1,2,3,4}, XT!U179,XT!Y179,XT!AC179,XT!AG179))=8), 0), 0)), "")</f>
        <v/>
      </c>
      <c r="AE179" s="51" t="str">
        <f>IF(XT!$P179&gt;0,AD179,"")</f>
        <v/>
      </c>
      <c r="AF179" s="51" t="str">
        <f>IF(XT!$P179=0,AD179,"")</f>
        <v/>
      </c>
      <c r="AG179">
        <f>SUMPRODUCT((MONTH(CHOOSE({1,2,3,4},XT!U179,XT!Y179,XT!AC179,XT!AG179))=9)*(CHOOSE({1,2,3,4},XT!X179,XT!AB179,XT!AF179,XT!AJ179)))</f>
        <v>0</v>
      </c>
      <c r="AH179" t="str">
        <f>IFERROR(INDEX(CHOOSE({1,2,3,4}, DAY(XT!U179), DAY(XT!Y179), DAY(XT!AC179), DAY(XT!AG179)), MATCH(1, INDEX(--(MONTH(CHOOSE({1,2,3,4}, XT!U179,XT!Y179,XT!AC179,XT!AG179))=9), 0), 0)), "")</f>
        <v/>
      </c>
      <c r="AI179" s="51" t="str">
        <f>IF(XT!$P179&gt;0,AH179,"")</f>
        <v/>
      </c>
      <c r="AJ179" s="51" t="str">
        <f>IF(XT!$P179=0,AH179,"")</f>
        <v/>
      </c>
      <c r="AK179">
        <f>SUMPRODUCT((MONTH(CHOOSE({1,2,3,4},XT!U179,XT!Y179,XT!AC179,XT!AG179))=10)*(CHOOSE({1,2,3,4},XT!X179,XT!AB179,XT!AF179,XT!AJ179)))</f>
        <v>0</v>
      </c>
      <c r="AL179" t="str">
        <f>IFERROR(INDEX(CHOOSE({1,2,3,4}, DAY(XT!U179), DAY(XT!Y179), DAY(XT!AC179), DAY(XT!AG179)), MATCH(1, INDEX(--(MONTH(CHOOSE({1,2,3,4}, XT!U179,XT!Y179,XT!AC179,XT!AG179))=10), 0), 0)), "")</f>
        <v/>
      </c>
      <c r="AM179" s="51" t="str">
        <f>IF(XT!$P179&gt;0,AL179,"")</f>
        <v/>
      </c>
      <c r="AN179" s="51" t="str">
        <f>IF(XT!$P179=0,AL179,"")</f>
        <v/>
      </c>
      <c r="AO179">
        <f>SUMPRODUCT((MONTH(CHOOSE({1,2,3,4},XT!U179,XT!Y179,XT!AC179,XT!AG179))=11)*(CHOOSE({1,2,3,4},XT!X179,XT!AB179,XT!AF179,XT!AJ179)))</f>
        <v>0</v>
      </c>
      <c r="AP179" t="str">
        <f>IFERROR(INDEX(CHOOSE({1,2,3,4}, DAY(XT!U179), DAY(XT!Y179), DAY(XT!AC179), DAY(XT!AG179)), MATCH(1, INDEX(--(MONTH(CHOOSE({1,2,3,4}, XT!U179,XT!Y179,XT!AC179,XT!AG179))=11), 0), 0)), "")</f>
        <v/>
      </c>
      <c r="AQ179" s="51" t="str">
        <f>IF(XT!$P179&gt;0,AP179,"")</f>
        <v/>
      </c>
      <c r="AR179" s="51" t="str">
        <f>IF(XT!$P179=0,AP179,"")</f>
        <v/>
      </c>
      <c r="AS179">
        <f>SUMPRODUCT((MONTH(CHOOSE({1,2,3,4},XT!U179,XT!Y179,XT!AC179,XT!AG179))=12)*(CHOOSE({1,2,3,4},XT!X179,XT!AB179,XT!AF179,XT!AJ179)))</f>
        <v>0</v>
      </c>
      <c r="AT179" t="str">
        <f>IFERROR(INDEX(CHOOSE({1,2,3,4}, DAY(XT!U179), DAY(XT!Y179), DAY(XT!AC179), DAY(XT!AG179)), MATCH(1, INDEX(--(MONTH(CHOOSE({1,2,3,4}, XT!U179,XT!Y179,XT!AC179,XT!AG179))=12), 0), 0)), "")</f>
        <v/>
      </c>
      <c r="AU179" s="51" t="str">
        <f>IF(XT!$P179&gt;0,AT179,"")</f>
        <v/>
      </c>
      <c r="AV179" s="51" t="str">
        <f>IF(XT!$P179=0,AT179,"")</f>
        <v/>
      </c>
    </row>
    <row r="180" spans="1:48">
      <c r="A180">
        <f>SUMPRODUCT((MONTH(CHOOSE({1,2,3,4},XT!U180,XT!Y180,XT!AC180,XT!AG180))=1)*(CHOOSE({1,2,3,4},XT!X180,XT!AB180,XT!AF180,XT!AJ180)))</f>
        <v>0</v>
      </c>
      <c r="B180">
        <f>IFERROR(INDEX(CHOOSE({1,2,3,4}, DAY(XT!U180), DAY(XT!Y180), DAY(XT!AC180), DAY(XT!AG180)), MATCH(1, INDEX(--(MONTH(CHOOSE({1,2,3,4}, XT!U180,XT!Y180,XT!AC180,XT!AG180))=1), 0), 0)), "")</f>
        <v>0</v>
      </c>
      <c r="C180" s="51" t="str">
        <f>IF(XT!$P180&gt;0,B180,"")</f>
        <v/>
      </c>
      <c r="D180" s="51">
        <f>IF(XT!$P180=0,B180,"")</f>
        <v>0</v>
      </c>
      <c r="E180">
        <f>SUMPRODUCT((MONTH(CHOOSE({1,2,3,4},XT!U180,XT!Y180,XT!AC180,XT!AG180))=2)*(CHOOSE({1,2,3,4},XT!X180,XT!AB180,XT!AF180,XT!AJ180)))</f>
        <v>0</v>
      </c>
      <c r="F180" t="str">
        <f>IFERROR(INDEX(CHOOSE({1,2,3,4}, DAY(XT!U180), DAY(XT!Y180), DAY(XT!AC180), DAY(XT!AG180)), MATCH(1, INDEX(--(MONTH(CHOOSE({1,2,3,4}, XT!U180,XT!Y180,XT!AC180,XT!AG180))=2), 0), 0)), "")</f>
        <v/>
      </c>
      <c r="G180" s="51" t="str">
        <f>IF(XT!$P180&gt;0,F180,"")</f>
        <v/>
      </c>
      <c r="H180" s="51" t="str">
        <f>IF(XT!$P180=0,F180,"")</f>
        <v/>
      </c>
      <c r="I180">
        <f>SUMPRODUCT((MONTH(CHOOSE({1,2,3,4},XT!U180,XT!Y180,XT!AC180,XT!AG180))=3)*(CHOOSE({1,2,3,4},XT!X180,XT!AB180,XT!AF180,XT!AJ180)))</f>
        <v>0</v>
      </c>
      <c r="J180" t="str">
        <f>IFERROR(INDEX(CHOOSE({1,2,3,4}, DAY(XT!U180), DAY(XT!Y180), DAY(XT!AC180), DAY(XT!AG180)), MATCH(1, INDEX(--(MONTH(CHOOSE({1,2,3,4}, XT!U180,XT!Y180,XT!AC180,XT!AG180))=3), 0), 0)), "")</f>
        <v/>
      </c>
      <c r="K180" s="51" t="str">
        <f>IF(XT!$P180&gt;0,J180,"")</f>
        <v/>
      </c>
      <c r="L180" s="51" t="str">
        <f>IF(XT!$P180=0,J180,"")</f>
        <v/>
      </c>
      <c r="M180">
        <f>SUMPRODUCT((MONTH(CHOOSE({1,2,3,4},XT!U180,XT!Y180,XT!AC180,XT!AG180))=4)*(CHOOSE({1,2,3,4},XT!X180,XT!AB180,XT!AF180,XT!AJ180)))</f>
        <v>0</v>
      </c>
      <c r="N180" t="str">
        <f>IFERROR(INDEX(CHOOSE({1,2,3,4}, DAY(XT!U180), DAY(XT!Y180), DAY(XT!AC180), DAY(XT!AG180)), MATCH(1, INDEX(--(MONTH(CHOOSE({1,2,3,4}, XT!U180,XT!Y180,XT!AC180,XT!AG180))=4), 0), 0)), "")</f>
        <v/>
      </c>
      <c r="O180" s="51" t="str">
        <f>IF(XT!$P180&gt;0,N180,"")</f>
        <v/>
      </c>
      <c r="P180" s="51" t="str">
        <f>IF(XT!$P180=0,N180,"")</f>
        <v/>
      </c>
      <c r="Q180">
        <f>SUMPRODUCT((MONTH(CHOOSE({1,2,3,4},XT!U180,XT!Y180,XT!AC180,XT!AG180))=5)*(CHOOSE({1,2,3,4},XT!X180,XT!AB180,XT!AF180,XT!AJ180)))</f>
        <v>0</v>
      </c>
      <c r="R180" t="str">
        <f>IFERROR(INDEX(CHOOSE({1,2,3,4}, DAY(XT!U180), DAY(XT!Y180), DAY(XT!AC180), DAY(XT!AG180)), MATCH(1, INDEX(--(MONTH(CHOOSE({1,2,3,4}, XT!U180,XT!Y180,XT!AC180,XT!AG180))=5), 0), 0)), "")</f>
        <v/>
      </c>
      <c r="S180" s="51" t="str">
        <f>IF(XT!$P180&gt;0,R180,"")</f>
        <v/>
      </c>
      <c r="T180" s="51" t="str">
        <f>IF(XT!$P180=0,R180,"")</f>
        <v/>
      </c>
      <c r="U180">
        <f>SUMPRODUCT((MONTH(CHOOSE({1,2,3,4},XT!U180,XT!Y180,XT!AC180,XT!AG180))=6)*(CHOOSE({1,2,3,4},XT!X180,XT!AB180,XT!AF180,XT!AJ180)))</f>
        <v>0</v>
      </c>
      <c r="V180" t="str">
        <f>IFERROR(INDEX(CHOOSE({1,2,3,4}, DAY(XT!U180), DAY(XT!Y180), DAY(XT!AC180), DAY(XT!AG180)), MATCH(1, INDEX(--(MONTH(CHOOSE({1,2,3,4}, XT!U180,XT!Y180,XT!AC180,XT!AG180))=6), 0), 0)), "")</f>
        <v/>
      </c>
      <c r="W180" s="51" t="str">
        <f>IF(XT!$P180&gt;0,V180,"")</f>
        <v/>
      </c>
      <c r="X180" s="51" t="str">
        <f>IF(XT!$P180=0,V180,"")</f>
        <v/>
      </c>
      <c r="Y180">
        <f>SUMPRODUCT((MONTH(CHOOSE({1,2,3,4},XT!U180,XT!Y180,XT!AC180,XT!AG180))=7)*(CHOOSE({1,2,3,4},XT!X180,XT!AB180,XT!AF180,XT!AJ180)))</f>
        <v>0</v>
      </c>
      <c r="Z180" t="str">
        <f>IFERROR(INDEX(CHOOSE({1,2,3,4}, DAY(XT!U180), DAY(XT!Y180), DAY(XT!AC180), DAY(XT!AG180)), MATCH(1, INDEX(--(MONTH(CHOOSE({1,2,3,4}, XT!U180,XT!Y180,XT!AC180,XT!AG180))=7), 0), 0)), "")</f>
        <v/>
      </c>
      <c r="AA180" s="51" t="str">
        <f>IF(XT!$P180&gt;0,Z180,"")</f>
        <v/>
      </c>
      <c r="AB180" s="51" t="str">
        <f>IF(XT!$P180=0,Z180,"")</f>
        <v/>
      </c>
      <c r="AC180">
        <f>SUMPRODUCT((MONTH(CHOOSE({1,2,3,4},XT!U180,XT!Y180,XT!AC180,XT!AG180))=8)*(CHOOSE({1,2,3,4},XT!X180,XT!AB180,XT!AF180,XT!AJ180)))</f>
        <v>0</v>
      </c>
      <c r="AD180" t="str">
        <f>IFERROR(INDEX(CHOOSE({1,2,3,4}, DAY(XT!U180), DAY(XT!Y180), DAY(XT!AC180), DAY(XT!AG180)), MATCH(1, INDEX(--(MONTH(CHOOSE({1,2,3,4}, XT!U180,XT!Y180,XT!AC180,XT!AG180))=8), 0), 0)), "")</f>
        <v/>
      </c>
      <c r="AE180" s="51" t="str">
        <f>IF(XT!$P180&gt;0,AD180,"")</f>
        <v/>
      </c>
      <c r="AF180" s="51" t="str">
        <f>IF(XT!$P180=0,AD180,"")</f>
        <v/>
      </c>
      <c r="AG180">
        <f>SUMPRODUCT((MONTH(CHOOSE({1,2,3,4},XT!U180,XT!Y180,XT!AC180,XT!AG180))=9)*(CHOOSE({1,2,3,4},XT!X180,XT!AB180,XT!AF180,XT!AJ180)))</f>
        <v>0</v>
      </c>
      <c r="AH180" t="str">
        <f>IFERROR(INDEX(CHOOSE({1,2,3,4}, DAY(XT!U180), DAY(XT!Y180), DAY(XT!AC180), DAY(XT!AG180)), MATCH(1, INDEX(--(MONTH(CHOOSE({1,2,3,4}, XT!U180,XT!Y180,XT!AC180,XT!AG180))=9), 0), 0)), "")</f>
        <v/>
      </c>
      <c r="AI180" s="51" t="str">
        <f>IF(XT!$P180&gt;0,AH180,"")</f>
        <v/>
      </c>
      <c r="AJ180" s="51" t="str">
        <f>IF(XT!$P180=0,AH180,"")</f>
        <v/>
      </c>
      <c r="AK180">
        <f>SUMPRODUCT((MONTH(CHOOSE({1,2,3,4},XT!U180,XT!Y180,XT!AC180,XT!AG180))=10)*(CHOOSE({1,2,3,4},XT!X180,XT!AB180,XT!AF180,XT!AJ180)))</f>
        <v>0</v>
      </c>
      <c r="AL180" t="str">
        <f>IFERROR(INDEX(CHOOSE({1,2,3,4}, DAY(XT!U180), DAY(XT!Y180), DAY(XT!AC180), DAY(XT!AG180)), MATCH(1, INDEX(--(MONTH(CHOOSE({1,2,3,4}, XT!U180,XT!Y180,XT!AC180,XT!AG180))=10), 0), 0)), "")</f>
        <v/>
      </c>
      <c r="AM180" s="51" t="str">
        <f>IF(XT!$P180&gt;0,AL180,"")</f>
        <v/>
      </c>
      <c r="AN180" s="51" t="str">
        <f>IF(XT!$P180=0,AL180,"")</f>
        <v/>
      </c>
      <c r="AO180">
        <f>SUMPRODUCT((MONTH(CHOOSE({1,2,3,4},XT!U180,XT!Y180,XT!AC180,XT!AG180))=11)*(CHOOSE({1,2,3,4},XT!X180,XT!AB180,XT!AF180,XT!AJ180)))</f>
        <v>0</v>
      </c>
      <c r="AP180" t="str">
        <f>IFERROR(INDEX(CHOOSE({1,2,3,4}, DAY(XT!U180), DAY(XT!Y180), DAY(XT!AC180), DAY(XT!AG180)), MATCH(1, INDEX(--(MONTH(CHOOSE({1,2,3,4}, XT!U180,XT!Y180,XT!AC180,XT!AG180))=11), 0), 0)), "")</f>
        <v/>
      </c>
      <c r="AQ180" s="51" t="str">
        <f>IF(XT!$P180&gt;0,AP180,"")</f>
        <v/>
      </c>
      <c r="AR180" s="51" t="str">
        <f>IF(XT!$P180=0,AP180,"")</f>
        <v/>
      </c>
      <c r="AS180">
        <f>SUMPRODUCT((MONTH(CHOOSE({1,2,3,4},XT!U180,XT!Y180,XT!AC180,XT!AG180))=12)*(CHOOSE({1,2,3,4},XT!X180,XT!AB180,XT!AF180,XT!AJ180)))</f>
        <v>0</v>
      </c>
      <c r="AT180" t="str">
        <f>IFERROR(INDEX(CHOOSE({1,2,3,4}, DAY(XT!U180), DAY(XT!Y180), DAY(XT!AC180), DAY(XT!AG180)), MATCH(1, INDEX(--(MONTH(CHOOSE({1,2,3,4}, XT!U180,XT!Y180,XT!AC180,XT!AG180))=12), 0), 0)), "")</f>
        <v/>
      </c>
      <c r="AU180" s="51" t="str">
        <f>IF(XT!$P180&gt;0,AT180,"")</f>
        <v/>
      </c>
      <c r="AV180" s="51" t="str">
        <f>IF(XT!$P180=0,AT180,"")</f>
        <v/>
      </c>
    </row>
    <row r="181" spans="1:48">
      <c r="A181">
        <f>SUMPRODUCT((MONTH(CHOOSE({1,2,3,4},XT!U181,XT!Y181,XT!AC181,XT!AG181))=1)*(CHOOSE({1,2,3,4},XT!X181,XT!AB181,XT!AF181,XT!AJ181)))</f>
        <v>0</v>
      </c>
      <c r="B181">
        <f>IFERROR(INDEX(CHOOSE({1,2,3,4}, DAY(XT!U181), DAY(XT!Y181), DAY(XT!AC181), DAY(XT!AG181)), MATCH(1, INDEX(--(MONTH(CHOOSE({1,2,3,4}, XT!U181,XT!Y181,XT!AC181,XT!AG181))=1), 0), 0)), "")</f>
        <v>0</v>
      </c>
      <c r="C181" s="51" t="str">
        <f>IF(XT!$P181&gt;0,B181,"")</f>
        <v/>
      </c>
      <c r="D181" s="51">
        <f>IF(XT!$P181=0,B181,"")</f>
        <v>0</v>
      </c>
      <c r="E181">
        <f>SUMPRODUCT((MONTH(CHOOSE({1,2,3,4},XT!U181,XT!Y181,XT!AC181,XT!AG181))=2)*(CHOOSE({1,2,3,4},XT!X181,XT!AB181,XT!AF181,XT!AJ181)))</f>
        <v>0</v>
      </c>
      <c r="F181" t="str">
        <f>IFERROR(INDEX(CHOOSE({1,2,3,4}, DAY(XT!U181), DAY(XT!Y181), DAY(XT!AC181), DAY(XT!AG181)), MATCH(1, INDEX(--(MONTH(CHOOSE({1,2,3,4}, XT!U181,XT!Y181,XT!AC181,XT!AG181))=2), 0), 0)), "")</f>
        <v/>
      </c>
      <c r="G181" s="51" t="str">
        <f>IF(XT!$P181&gt;0,F181,"")</f>
        <v/>
      </c>
      <c r="H181" s="51" t="str">
        <f>IF(XT!$P181=0,F181,"")</f>
        <v/>
      </c>
      <c r="I181">
        <f>SUMPRODUCT((MONTH(CHOOSE({1,2,3,4},XT!U181,XT!Y181,XT!AC181,XT!AG181))=3)*(CHOOSE({1,2,3,4},XT!X181,XT!AB181,XT!AF181,XT!AJ181)))</f>
        <v>0</v>
      </c>
      <c r="J181" t="str">
        <f>IFERROR(INDEX(CHOOSE({1,2,3,4}, DAY(XT!U181), DAY(XT!Y181), DAY(XT!AC181), DAY(XT!AG181)), MATCH(1, INDEX(--(MONTH(CHOOSE({1,2,3,4}, XT!U181,XT!Y181,XT!AC181,XT!AG181))=3), 0), 0)), "")</f>
        <v/>
      </c>
      <c r="K181" s="51" t="str">
        <f>IF(XT!$P181&gt;0,J181,"")</f>
        <v/>
      </c>
      <c r="L181" s="51" t="str">
        <f>IF(XT!$P181=0,J181,"")</f>
        <v/>
      </c>
      <c r="M181">
        <f>SUMPRODUCT((MONTH(CHOOSE({1,2,3,4},XT!U181,XT!Y181,XT!AC181,XT!AG181))=4)*(CHOOSE({1,2,3,4},XT!X181,XT!AB181,XT!AF181,XT!AJ181)))</f>
        <v>0</v>
      </c>
      <c r="N181" t="str">
        <f>IFERROR(INDEX(CHOOSE({1,2,3,4}, DAY(XT!U181), DAY(XT!Y181), DAY(XT!AC181), DAY(XT!AG181)), MATCH(1, INDEX(--(MONTH(CHOOSE({1,2,3,4}, XT!U181,XT!Y181,XT!AC181,XT!AG181))=4), 0), 0)), "")</f>
        <v/>
      </c>
      <c r="O181" s="51" t="str">
        <f>IF(XT!$P181&gt;0,N181,"")</f>
        <v/>
      </c>
      <c r="P181" s="51" t="str">
        <f>IF(XT!$P181=0,N181,"")</f>
        <v/>
      </c>
      <c r="Q181">
        <f>SUMPRODUCT((MONTH(CHOOSE({1,2,3,4},XT!U181,XT!Y181,XT!AC181,XT!AG181))=5)*(CHOOSE({1,2,3,4},XT!X181,XT!AB181,XT!AF181,XT!AJ181)))</f>
        <v>0</v>
      </c>
      <c r="R181" t="str">
        <f>IFERROR(INDEX(CHOOSE({1,2,3,4}, DAY(XT!U181), DAY(XT!Y181), DAY(XT!AC181), DAY(XT!AG181)), MATCH(1, INDEX(--(MONTH(CHOOSE({1,2,3,4}, XT!U181,XT!Y181,XT!AC181,XT!AG181))=5), 0), 0)), "")</f>
        <v/>
      </c>
      <c r="S181" s="51" t="str">
        <f>IF(XT!$P181&gt;0,R181,"")</f>
        <v/>
      </c>
      <c r="T181" s="51" t="str">
        <f>IF(XT!$P181=0,R181,"")</f>
        <v/>
      </c>
      <c r="U181">
        <f>SUMPRODUCT((MONTH(CHOOSE({1,2,3,4},XT!U181,XT!Y181,XT!AC181,XT!AG181))=6)*(CHOOSE({1,2,3,4},XT!X181,XT!AB181,XT!AF181,XT!AJ181)))</f>
        <v>0</v>
      </c>
      <c r="V181" t="str">
        <f>IFERROR(INDEX(CHOOSE({1,2,3,4}, DAY(XT!U181), DAY(XT!Y181), DAY(XT!AC181), DAY(XT!AG181)), MATCH(1, INDEX(--(MONTH(CHOOSE({1,2,3,4}, XT!U181,XT!Y181,XT!AC181,XT!AG181))=6), 0), 0)), "")</f>
        <v/>
      </c>
      <c r="W181" s="51" t="str">
        <f>IF(XT!$P181&gt;0,V181,"")</f>
        <v/>
      </c>
      <c r="X181" s="51" t="str">
        <f>IF(XT!$P181=0,V181,"")</f>
        <v/>
      </c>
      <c r="Y181">
        <f>SUMPRODUCT((MONTH(CHOOSE({1,2,3,4},XT!U181,XT!Y181,XT!AC181,XT!AG181))=7)*(CHOOSE({1,2,3,4},XT!X181,XT!AB181,XT!AF181,XT!AJ181)))</f>
        <v>0</v>
      </c>
      <c r="Z181" t="str">
        <f>IFERROR(INDEX(CHOOSE({1,2,3,4}, DAY(XT!U181), DAY(XT!Y181), DAY(XT!AC181), DAY(XT!AG181)), MATCH(1, INDEX(--(MONTH(CHOOSE({1,2,3,4}, XT!U181,XT!Y181,XT!AC181,XT!AG181))=7), 0), 0)), "")</f>
        <v/>
      </c>
      <c r="AA181" s="51" t="str">
        <f>IF(XT!$P181&gt;0,Z181,"")</f>
        <v/>
      </c>
      <c r="AB181" s="51" t="str">
        <f>IF(XT!$P181=0,Z181,"")</f>
        <v/>
      </c>
      <c r="AC181">
        <f>SUMPRODUCT((MONTH(CHOOSE({1,2,3,4},XT!U181,XT!Y181,XT!AC181,XT!AG181))=8)*(CHOOSE({1,2,3,4},XT!X181,XT!AB181,XT!AF181,XT!AJ181)))</f>
        <v>0</v>
      </c>
      <c r="AD181" t="str">
        <f>IFERROR(INDEX(CHOOSE({1,2,3,4}, DAY(XT!U181), DAY(XT!Y181), DAY(XT!AC181), DAY(XT!AG181)), MATCH(1, INDEX(--(MONTH(CHOOSE({1,2,3,4}, XT!U181,XT!Y181,XT!AC181,XT!AG181))=8), 0), 0)), "")</f>
        <v/>
      </c>
      <c r="AE181" s="51" t="str">
        <f>IF(XT!$P181&gt;0,AD181,"")</f>
        <v/>
      </c>
      <c r="AF181" s="51" t="str">
        <f>IF(XT!$P181=0,AD181,"")</f>
        <v/>
      </c>
      <c r="AG181">
        <f>SUMPRODUCT((MONTH(CHOOSE({1,2,3,4},XT!U181,XT!Y181,XT!AC181,XT!AG181))=9)*(CHOOSE({1,2,3,4},XT!X181,XT!AB181,XT!AF181,XT!AJ181)))</f>
        <v>0</v>
      </c>
      <c r="AH181" t="str">
        <f>IFERROR(INDEX(CHOOSE({1,2,3,4}, DAY(XT!U181), DAY(XT!Y181), DAY(XT!AC181), DAY(XT!AG181)), MATCH(1, INDEX(--(MONTH(CHOOSE({1,2,3,4}, XT!U181,XT!Y181,XT!AC181,XT!AG181))=9), 0), 0)), "")</f>
        <v/>
      </c>
      <c r="AI181" s="51" t="str">
        <f>IF(XT!$P181&gt;0,AH181,"")</f>
        <v/>
      </c>
      <c r="AJ181" s="51" t="str">
        <f>IF(XT!$P181=0,AH181,"")</f>
        <v/>
      </c>
      <c r="AK181">
        <f>SUMPRODUCT((MONTH(CHOOSE({1,2,3,4},XT!U181,XT!Y181,XT!AC181,XT!AG181))=10)*(CHOOSE({1,2,3,4},XT!X181,XT!AB181,XT!AF181,XT!AJ181)))</f>
        <v>0</v>
      </c>
      <c r="AL181" t="str">
        <f>IFERROR(INDEX(CHOOSE({1,2,3,4}, DAY(XT!U181), DAY(XT!Y181), DAY(XT!AC181), DAY(XT!AG181)), MATCH(1, INDEX(--(MONTH(CHOOSE({1,2,3,4}, XT!U181,XT!Y181,XT!AC181,XT!AG181))=10), 0), 0)), "")</f>
        <v/>
      </c>
      <c r="AM181" s="51" t="str">
        <f>IF(XT!$P181&gt;0,AL181,"")</f>
        <v/>
      </c>
      <c r="AN181" s="51" t="str">
        <f>IF(XT!$P181=0,AL181,"")</f>
        <v/>
      </c>
      <c r="AO181">
        <f>SUMPRODUCT((MONTH(CHOOSE({1,2,3,4},XT!U181,XT!Y181,XT!AC181,XT!AG181))=11)*(CHOOSE({1,2,3,4},XT!X181,XT!AB181,XT!AF181,XT!AJ181)))</f>
        <v>0</v>
      </c>
      <c r="AP181" t="str">
        <f>IFERROR(INDEX(CHOOSE({1,2,3,4}, DAY(XT!U181), DAY(XT!Y181), DAY(XT!AC181), DAY(XT!AG181)), MATCH(1, INDEX(--(MONTH(CHOOSE({1,2,3,4}, XT!U181,XT!Y181,XT!AC181,XT!AG181))=11), 0), 0)), "")</f>
        <v/>
      </c>
      <c r="AQ181" s="51" t="str">
        <f>IF(XT!$P181&gt;0,AP181,"")</f>
        <v/>
      </c>
      <c r="AR181" s="51" t="str">
        <f>IF(XT!$P181=0,AP181,"")</f>
        <v/>
      </c>
      <c r="AS181">
        <f>SUMPRODUCT((MONTH(CHOOSE({1,2,3,4},XT!U181,XT!Y181,XT!AC181,XT!AG181))=12)*(CHOOSE({1,2,3,4},XT!X181,XT!AB181,XT!AF181,XT!AJ181)))</f>
        <v>0</v>
      </c>
      <c r="AT181" t="str">
        <f>IFERROR(INDEX(CHOOSE({1,2,3,4}, DAY(XT!U181), DAY(XT!Y181), DAY(XT!AC181), DAY(XT!AG181)), MATCH(1, INDEX(--(MONTH(CHOOSE({1,2,3,4}, XT!U181,XT!Y181,XT!AC181,XT!AG181))=12), 0), 0)), "")</f>
        <v/>
      </c>
      <c r="AU181" s="51" t="str">
        <f>IF(XT!$P181&gt;0,AT181,"")</f>
        <v/>
      </c>
      <c r="AV181" s="51" t="str">
        <f>IF(XT!$P181=0,AT181,"")</f>
        <v/>
      </c>
    </row>
    <row r="182" spans="1:48">
      <c r="A182">
        <f>SUMPRODUCT((MONTH(CHOOSE({1,2,3,4},XT!U182,XT!Y182,XT!AC182,XT!AG182))=1)*(CHOOSE({1,2,3,4},XT!X182,XT!AB182,XT!AF182,XT!AJ182)))</f>
        <v>0</v>
      </c>
      <c r="B182">
        <f>IFERROR(INDEX(CHOOSE({1,2,3,4}, DAY(XT!U182), DAY(XT!Y182), DAY(XT!AC182), DAY(XT!AG182)), MATCH(1, INDEX(--(MONTH(CHOOSE({1,2,3,4}, XT!U182,XT!Y182,XT!AC182,XT!AG182))=1), 0), 0)), "")</f>
        <v>0</v>
      </c>
      <c r="C182" s="51" t="str">
        <f>IF(XT!$P182&gt;0,B182,"")</f>
        <v/>
      </c>
      <c r="D182" s="51">
        <f>IF(XT!$P182=0,B182,"")</f>
        <v>0</v>
      </c>
      <c r="E182">
        <f>SUMPRODUCT((MONTH(CHOOSE({1,2,3,4},XT!U182,XT!Y182,XT!AC182,XT!AG182))=2)*(CHOOSE({1,2,3,4},XT!X182,XT!AB182,XT!AF182,XT!AJ182)))</f>
        <v>0</v>
      </c>
      <c r="F182" t="str">
        <f>IFERROR(INDEX(CHOOSE({1,2,3,4}, DAY(XT!U182), DAY(XT!Y182), DAY(XT!AC182), DAY(XT!AG182)), MATCH(1, INDEX(--(MONTH(CHOOSE({1,2,3,4}, XT!U182,XT!Y182,XT!AC182,XT!AG182))=2), 0), 0)), "")</f>
        <v/>
      </c>
      <c r="G182" s="51" t="str">
        <f>IF(XT!$P182&gt;0,F182,"")</f>
        <v/>
      </c>
      <c r="H182" s="51" t="str">
        <f>IF(XT!$P182=0,F182,"")</f>
        <v/>
      </c>
      <c r="I182">
        <f>SUMPRODUCT((MONTH(CHOOSE({1,2,3,4},XT!U182,XT!Y182,XT!AC182,XT!AG182))=3)*(CHOOSE({1,2,3,4},XT!X182,XT!AB182,XT!AF182,XT!AJ182)))</f>
        <v>0</v>
      </c>
      <c r="J182" t="str">
        <f>IFERROR(INDEX(CHOOSE({1,2,3,4}, DAY(XT!U182), DAY(XT!Y182), DAY(XT!AC182), DAY(XT!AG182)), MATCH(1, INDEX(--(MONTH(CHOOSE({1,2,3,4}, XT!U182,XT!Y182,XT!AC182,XT!AG182))=3), 0), 0)), "")</f>
        <v/>
      </c>
      <c r="K182" s="51" t="str">
        <f>IF(XT!$P182&gt;0,J182,"")</f>
        <v/>
      </c>
      <c r="L182" s="51" t="str">
        <f>IF(XT!$P182=0,J182,"")</f>
        <v/>
      </c>
      <c r="M182">
        <f>SUMPRODUCT((MONTH(CHOOSE({1,2,3,4},XT!U182,XT!Y182,XT!AC182,XT!AG182))=4)*(CHOOSE({1,2,3,4},XT!X182,XT!AB182,XT!AF182,XT!AJ182)))</f>
        <v>0</v>
      </c>
      <c r="N182" t="str">
        <f>IFERROR(INDEX(CHOOSE({1,2,3,4}, DAY(XT!U182), DAY(XT!Y182), DAY(XT!AC182), DAY(XT!AG182)), MATCH(1, INDEX(--(MONTH(CHOOSE({1,2,3,4}, XT!U182,XT!Y182,XT!AC182,XT!AG182))=4), 0), 0)), "")</f>
        <v/>
      </c>
      <c r="O182" s="51" t="str">
        <f>IF(XT!$P182&gt;0,N182,"")</f>
        <v/>
      </c>
      <c r="P182" s="51" t="str">
        <f>IF(XT!$P182=0,N182,"")</f>
        <v/>
      </c>
      <c r="Q182">
        <f>SUMPRODUCT((MONTH(CHOOSE({1,2,3,4},XT!U182,XT!Y182,XT!AC182,XT!AG182))=5)*(CHOOSE({1,2,3,4},XT!X182,XT!AB182,XT!AF182,XT!AJ182)))</f>
        <v>0</v>
      </c>
      <c r="R182" t="str">
        <f>IFERROR(INDEX(CHOOSE({1,2,3,4}, DAY(XT!U182), DAY(XT!Y182), DAY(XT!AC182), DAY(XT!AG182)), MATCH(1, INDEX(--(MONTH(CHOOSE({1,2,3,4}, XT!U182,XT!Y182,XT!AC182,XT!AG182))=5), 0), 0)), "")</f>
        <v/>
      </c>
      <c r="S182" s="51" t="str">
        <f>IF(XT!$P182&gt;0,R182,"")</f>
        <v/>
      </c>
      <c r="T182" s="51" t="str">
        <f>IF(XT!$P182=0,R182,"")</f>
        <v/>
      </c>
      <c r="U182">
        <f>SUMPRODUCT((MONTH(CHOOSE({1,2,3,4},XT!U182,XT!Y182,XT!AC182,XT!AG182))=6)*(CHOOSE({1,2,3,4},XT!X182,XT!AB182,XT!AF182,XT!AJ182)))</f>
        <v>0</v>
      </c>
      <c r="V182" t="str">
        <f>IFERROR(INDEX(CHOOSE({1,2,3,4}, DAY(XT!U182), DAY(XT!Y182), DAY(XT!AC182), DAY(XT!AG182)), MATCH(1, INDEX(--(MONTH(CHOOSE({1,2,3,4}, XT!U182,XT!Y182,XT!AC182,XT!AG182))=6), 0), 0)), "")</f>
        <v/>
      </c>
      <c r="W182" s="51" t="str">
        <f>IF(XT!$P182&gt;0,V182,"")</f>
        <v/>
      </c>
      <c r="X182" s="51" t="str">
        <f>IF(XT!$P182=0,V182,"")</f>
        <v/>
      </c>
      <c r="Y182">
        <f>SUMPRODUCT((MONTH(CHOOSE({1,2,3,4},XT!U182,XT!Y182,XT!AC182,XT!AG182))=7)*(CHOOSE({1,2,3,4},XT!X182,XT!AB182,XT!AF182,XT!AJ182)))</f>
        <v>0</v>
      </c>
      <c r="Z182" t="str">
        <f>IFERROR(INDEX(CHOOSE({1,2,3,4}, DAY(XT!U182), DAY(XT!Y182), DAY(XT!AC182), DAY(XT!AG182)), MATCH(1, INDEX(--(MONTH(CHOOSE({1,2,3,4}, XT!U182,XT!Y182,XT!AC182,XT!AG182))=7), 0), 0)), "")</f>
        <v/>
      </c>
      <c r="AA182" s="51" t="str">
        <f>IF(XT!$P182&gt;0,Z182,"")</f>
        <v/>
      </c>
      <c r="AB182" s="51" t="str">
        <f>IF(XT!$P182=0,Z182,"")</f>
        <v/>
      </c>
      <c r="AC182">
        <f>SUMPRODUCT((MONTH(CHOOSE({1,2,3,4},XT!U182,XT!Y182,XT!AC182,XT!AG182))=8)*(CHOOSE({1,2,3,4},XT!X182,XT!AB182,XT!AF182,XT!AJ182)))</f>
        <v>0</v>
      </c>
      <c r="AD182" t="str">
        <f>IFERROR(INDEX(CHOOSE({1,2,3,4}, DAY(XT!U182), DAY(XT!Y182), DAY(XT!AC182), DAY(XT!AG182)), MATCH(1, INDEX(--(MONTH(CHOOSE({1,2,3,4}, XT!U182,XT!Y182,XT!AC182,XT!AG182))=8), 0), 0)), "")</f>
        <v/>
      </c>
      <c r="AE182" s="51" t="str">
        <f>IF(XT!$P182&gt;0,AD182,"")</f>
        <v/>
      </c>
      <c r="AF182" s="51" t="str">
        <f>IF(XT!$P182=0,AD182,"")</f>
        <v/>
      </c>
      <c r="AG182">
        <f>SUMPRODUCT((MONTH(CHOOSE({1,2,3,4},XT!U182,XT!Y182,XT!AC182,XT!AG182))=9)*(CHOOSE({1,2,3,4},XT!X182,XT!AB182,XT!AF182,XT!AJ182)))</f>
        <v>0</v>
      </c>
      <c r="AH182" t="str">
        <f>IFERROR(INDEX(CHOOSE({1,2,3,4}, DAY(XT!U182), DAY(XT!Y182), DAY(XT!AC182), DAY(XT!AG182)), MATCH(1, INDEX(--(MONTH(CHOOSE({1,2,3,4}, XT!U182,XT!Y182,XT!AC182,XT!AG182))=9), 0), 0)), "")</f>
        <v/>
      </c>
      <c r="AI182" s="51" t="str">
        <f>IF(XT!$P182&gt;0,AH182,"")</f>
        <v/>
      </c>
      <c r="AJ182" s="51" t="str">
        <f>IF(XT!$P182=0,AH182,"")</f>
        <v/>
      </c>
      <c r="AK182">
        <f>SUMPRODUCT((MONTH(CHOOSE({1,2,3,4},XT!U182,XT!Y182,XT!AC182,XT!AG182))=10)*(CHOOSE({1,2,3,4},XT!X182,XT!AB182,XT!AF182,XT!AJ182)))</f>
        <v>0</v>
      </c>
      <c r="AL182" t="str">
        <f>IFERROR(INDEX(CHOOSE({1,2,3,4}, DAY(XT!U182), DAY(XT!Y182), DAY(XT!AC182), DAY(XT!AG182)), MATCH(1, INDEX(--(MONTH(CHOOSE({1,2,3,4}, XT!U182,XT!Y182,XT!AC182,XT!AG182))=10), 0), 0)), "")</f>
        <v/>
      </c>
      <c r="AM182" s="51" t="str">
        <f>IF(XT!$P182&gt;0,AL182,"")</f>
        <v/>
      </c>
      <c r="AN182" s="51" t="str">
        <f>IF(XT!$P182=0,AL182,"")</f>
        <v/>
      </c>
      <c r="AO182">
        <f>SUMPRODUCT((MONTH(CHOOSE({1,2,3,4},XT!U182,XT!Y182,XT!AC182,XT!AG182))=11)*(CHOOSE({1,2,3,4},XT!X182,XT!AB182,XT!AF182,XT!AJ182)))</f>
        <v>0</v>
      </c>
      <c r="AP182" t="str">
        <f>IFERROR(INDEX(CHOOSE({1,2,3,4}, DAY(XT!U182), DAY(XT!Y182), DAY(XT!AC182), DAY(XT!AG182)), MATCH(1, INDEX(--(MONTH(CHOOSE({1,2,3,4}, XT!U182,XT!Y182,XT!AC182,XT!AG182))=11), 0), 0)), "")</f>
        <v/>
      </c>
      <c r="AQ182" s="51" t="str">
        <f>IF(XT!$P182&gt;0,AP182,"")</f>
        <v/>
      </c>
      <c r="AR182" s="51" t="str">
        <f>IF(XT!$P182=0,AP182,"")</f>
        <v/>
      </c>
      <c r="AS182">
        <f>SUMPRODUCT((MONTH(CHOOSE({1,2,3,4},XT!U182,XT!Y182,XT!AC182,XT!AG182))=12)*(CHOOSE({1,2,3,4},XT!X182,XT!AB182,XT!AF182,XT!AJ182)))</f>
        <v>0</v>
      </c>
      <c r="AT182" t="str">
        <f>IFERROR(INDEX(CHOOSE({1,2,3,4}, DAY(XT!U182), DAY(XT!Y182), DAY(XT!AC182), DAY(XT!AG182)), MATCH(1, INDEX(--(MONTH(CHOOSE({1,2,3,4}, XT!U182,XT!Y182,XT!AC182,XT!AG182))=12), 0), 0)), "")</f>
        <v/>
      </c>
      <c r="AU182" s="51" t="str">
        <f>IF(XT!$P182&gt;0,AT182,"")</f>
        <v/>
      </c>
      <c r="AV182" s="51" t="str">
        <f>IF(XT!$P182=0,AT182,"")</f>
        <v/>
      </c>
    </row>
    <row r="183" spans="1:48">
      <c r="A183">
        <f>SUMPRODUCT((MONTH(CHOOSE({1,2,3,4},XT!U183,XT!Y183,XT!AC183,XT!AG183))=1)*(CHOOSE({1,2,3,4},XT!X183,XT!AB183,XT!AF183,XT!AJ183)))</f>
        <v>0</v>
      </c>
      <c r="B183">
        <f>IFERROR(INDEX(CHOOSE({1,2,3,4}, DAY(XT!U183), DAY(XT!Y183), DAY(XT!AC183), DAY(XT!AG183)), MATCH(1, INDEX(--(MONTH(CHOOSE({1,2,3,4}, XT!U183,XT!Y183,XT!AC183,XT!AG183))=1), 0), 0)), "")</f>
        <v>0</v>
      </c>
      <c r="C183" s="51" t="str">
        <f>IF(XT!$P183&gt;0,B183,"")</f>
        <v/>
      </c>
      <c r="D183" s="51">
        <f>IF(XT!$P183=0,B183,"")</f>
        <v>0</v>
      </c>
      <c r="E183">
        <f>SUMPRODUCT((MONTH(CHOOSE({1,2,3,4},XT!U183,XT!Y183,XT!AC183,XT!AG183))=2)*(CHOOSE({1,2,3,4},XT!X183,XT!AB183,XT!AF183,XT!AJ183)))</f>
        <v>0</v>
      </c>
      <c r="F183" t="str">
        <f>IFERROR(INDEX(CHOOSE({1,2,3,4}, DAY(XT!U183), DAY(XT!Y183), DAY(XT!AC183), DAY(XT!AG183)), MATCH(1, INDEX(--(MONTH(CHOOSE({1,2,3,4}, XT!U183,XT!Y183,XT!AC183,XT!AG183))=2), 0), 0)), "")</f>
        <v/>
      </c>
      <c r="G183" s="51" t="str">
        <f>IF(XT!$P183&gt;0,F183,"")</f>
        <v/>
      </c>
      <c r="H183" s="51" t="str">
        <f>IF(XT!$P183=0,F183,"")</f>
        <v/>
      </c>
      <c r="I183">
        <f>SUMPRODUCT((MONTH(CHOOSE({1,2,3,4},XT!U183,XT!Y183,XT!AC183,XT!AG183))=3)*(CHOOSE({1,2,3,4},XT!X183,XT!AB183,XT!AF183,XT!AJ183)))</f>
        <v>0</v>
      </c>
      <c r="J183" t="str">
        <f>IFERROR(INDEX(CHOOSE({1,2,3,4}, DAY(XT!U183), DAY(XT!Y183), DAY(XT!AC183), DAY(XT!AG183)), MATCH(1, INDEX(--(MONTH(CHOOSE({1,2,3,4}, XT!U183,XT!Y183,XT!AC183,XT!AG183))=3), 0), 0)), "")</f>
        <v/>
      </c>
      <c r="K183" s="51" t="str">
        <f>IF(XT!$P183&gt;0,J183,"")</f>
        <v/>
      </c>
      <c r="L183" s="51" t="str">
        <f>IF(XT!$P183=0,J183,"")</f>
        <v/>
      </c>
      <c r="M183">
        <f>SUMPRODUCT((MONTH(CHOOSE({1,2,3,4},XT!U183,XT!Y183,XT!AC183,XT!AG183))=4)*(CHOOSE({1,2,3,4},XT!X183,XT!AB183,XT!AF183,XT!AJ183)))</f>
        <v>0</v>
      </c>
      <c r="N183" t="str">
        <f>IFERROR(INDEX(CHOOSE({1,2,3,4}, DAY(XT!U183), DAY(XT!Y183), DAY(XT!AC183), DAY(XT!AG183)), MATCH(1, INDEX(--(MONTH(CHOOSE({1,2,3,4}, XT!U183,XT!Y183,XT!AC183,XT!AG183))=4), 0), 0)), "")</f>
        <v/>
      </c>
      <c r="O183" s="51" t="str">
        <f>IF(XT!$P183&gt;0,N183,"")</f>
        <v/>
      </c>
      <c r="P183" s="51" t="str">
        <f>IF(XT!$P183=0,N183,"")</f>
        <v/>
      </c>
      <c r="Q183">
        <f>SUMPRODUCT((MONTH(CHOOSE({1,2,3,4},XT!U183,XT!Y183,XT!AC183,XT!AG183))=5)*(CHOOSE({1,2,3,4},XT!X183,XT!AB183,XT!AF183,XT!AJ183)))</f>
        <v>0</v>
      </c>
      <c r="R183" t="str">
        <f>IFERROR(INDEX(CHOOSE({1,2,3,4}, DAY(XT!U183), DAY(XT!Y183), DAY(XT!AC183), DAY(XT!AG183)), MATCH(1, INDEX(--(MONTH(CHOOSE({1,2,3,4}, XT!U183,XT!Y183,XT!AC183,XT!AG183))=5), 0), 0)), "")</f>
        <v/>
      </c>
      <c r="S183" s="51" t="str">
        <f>IF(XT!$P183&gt;0,R183,"")</f>
        <v/>
      </c>
      <c r="T183" s="51" t="str">
        <f>IF(XT!$P183=0,R183,"")</f>
        <v/>
      </c>
      <c r="U183">
        <f>SUMPRODUCT((MONTH(CHOOSE({1,2,3,4},XT!U183,XT!Y183,XT!AC183,XT!AG183))=6)*(CHOOSE({1,2,3,4},XT!X183,XT!AB183,XT!AF183,XT!AJ183)))</f>
        <v>0</v>
      </c>
      <c r="V183" t="str">
        <f>IFERROR(INDEX(CHOOSE({1,2,3,4}, DAY(XT!U183), DAY(XT!Y183), DAY(XT!AC183), DAY(XT!AG183)), MATCH(1, INDEX(--(MONTH(CHOOSE({1,2,3,4}, XT!U183,XT!Y183,XT!AC183,XT!AG183))=6), 0), 0)), "")</f>
        <v/>
      </c>
      <c r="W183" s="51" t="str">
        <f>IF(XT!$P183&gt;0,V183,"")</f>
        <v/>
      </c>
      <c r="X183" s="51" t="str">
        <f>IF(XT!$P183=0,V183,"")</f>
        <v/>
      </c>
      <c r="Y183">
        <f>SUMPRODUCT((MONTH(CHOOSE({1,2,3,4},XT!U183,XT!Y183,XT!AC183,XT!AG183))=7)*(CHOOSE({1,2,3,4},XT!X183,XT!AB183,XT!AF183,XT!AJ183)))</f>
        <v>0</v>
      </c>
      <c r="Z183" t="str">
        <f>IFERROR(INDEX(CHOOSE({1,2,3,4}, DAY(XT!U183), DAY(XT!Y183), DAY(XT!AC183), DAY(XT!AG183)), MATCH(1, INDEX(--(MONTH(CHOOSE({1,2,3,4}, XT!U183,XT!Y183,XT!AC183,XT!AG183))=7), 0), 0)), "")</f>
        <v/>
      </c>
      <c r="AA183" s="51" t="str">
        <f>IF(XT!$P183&gt;0,Z183,"")</f>
        <v/>
      </c>
      <c r="AB183" s="51" t="str">
        <f>IF(XT!$P183=0,Z183,"")</f>
        <v/>
      </c>
      <c r="AC183">
        <f>SUMPRODUCT((MONTH(CHOOSE({1,2,3,4},XT!U183,XT!Y183,XT!AC183,XT!AG183))=8)*(CHOOSE({1,2,3,4},XT!X183,XT!AB183,XT!AF183,XT!AJ183)))</f>
        <v>0</v>
      </c>
      <c r="AD183" t="str">
        <f>IFERROR(INDEX(CHOOSE({1,2,3,4}, DAY(XT!U183), DAY(XT!Y183), DAY(XT!AC183), DAY(XT!AG183)), MATCH(1, INDEX(--(MONTH(CHOOSE({1,2,3,4}, XT!U183,XT!Y183,XT!AC183,XT!AG183))=8), 0), 0)), "")</f>
        <v/>
      </c>
      <c r="AE183" s="51" t="str">
        <f>IF(XT!$P183&gt;0,AD183,"")</f>
        <v/>
      </c>
      <c r="AF183" s="51" t="str">
        <f>IF(XT!$P183=0,AD183,"")</f>
        <v/>
      </c>
      <c r="AG183">
        <f>SUMPRODUCT((MONTH(CHOOSE({1,2,3,4},XT!U183,XT!Y183,XT!AC183,XT!AG183))=9)*(CHOOSE({1,2,3,4},XT!X183,XT!AB183,XT!AF183,XT!AJ183)))</f>
        <v>0</v>
      </c>
      <c r="AH183" t="str">
        <f>IFERROR(INDEX(CHOOSE({1,2,3,4}, DAY(XT!U183), DAY(XT!Y183), DAY(XT!AC183), DAY(XT!AG183)), MATCH(1, INDEX(--(MONTH(CHOOSE({1,2,3,4}, XT!U183,XT!Y183,XT!AC183,XT!AG183))=9), 0), 0)), "")</f>
        <v/>
      </c>
      <c r="AI183" s="51" t="str">
        <f>IF(XT!$P183&gt;0,AH183,"")</f>
        <v/>
      </c>
      <c r="AJ183" s="51" t="str">
        <f>IF(XT!$P183=0,AH183,"")</f>
        <v/>
      </c>
      <c r="AK183">
        <f>SUMPRODUCT((MONTH(CHOOSE({1,2,3,4},XT!U183,XT!Y183,XT!AC183,XT!AG183))=10)*(CHOOSE({1,2,3,4},XT!X183,XT!AB183,XT!AF183,XT!AJ183)))</f>
        <v>0</v>
      </c>
      <c r="AL183" t="str">
        <f>IFERROR(INDEX(CHOOSE({1,2,3,4}, DAY(XT!U183), DAY(XT!Y183), DAY(XT!AC183), DAY(XT!AG183)), MATCH(1, INDEX(--(MONTH(CHOOSE({1,2,3,4}, XT!U183,XT!Y183,XT!AC183,XT!AG183))=10), 0), 0)), "")</f>
        <v/>
      </c>
      <c r="AM183" s="51" t="str">
        <f>IF(XT!$P183&gt;0,AL183,"")</f>
        <v/>
      </c>
      <c r="AN183" s="51" t="str">
        <f>IF(XT!$P183=0,AL183,"")</f>
        <v/>
      </c>
      <c r="AO183">
        <f>SUMPRODUCT((MONTH(CHOOSE({1,2,3,4},XT!U183,XT!Y183,XT!AC183,XT!AG183))=11)*(CHOOSE({1,2,3,4},XT!X183,XT!AB183,XT!AF183,XT!AJ183)))</f>
        <v>0</v>
      </c>
      <c r="AP183" t="str">
        <f>IFERROR(INDEX(CHOOSE({1,2,3,4}, DAY(XT!U183), DAY(XT!Y183), DAY(XT!AC183), DAY(XT!AG183)), MATCH(1, INDEX(--(MONTH(CHOOSE({1,2,3,4}, XT!U183,XT!Y183,XT!AC183,XT!AG183))=11), 0), 0)), "")</f>
        <v/>
      </c>
      <c r="AQ183" s="51" t="str">
        <f>IF(XT!$P183&gt;0,AP183,"")</f>
        <v/>
      </c>
      <c r="AR183" s="51" t="str">
        <f>IF(XT!$P183=0,AP183,"")</f>
        <v/>
      </c>
      <c r="AS183">
        <f>SUMPRODUCT((MONTH(CHOOSE({1,2,3,4},XT!U183,XT!Y183,XT!AC183,XT!AG183))=12)*(CHOOSE({1,2,3,4},XT!X183,XT!AB183,XT!AF183,XT!AJ183)))</f>
        <v>0</v>
      </c>
      <c r="AT183" t="str">
        <f>IFERROR(INDEX(CHOOSE({1,2,3,4}, DAY(XT!U183), DAY(XT!Y183), DAY(XT!AC183), DAY(XT!AG183)), MATCH(1, INDEX(--(MONTH(CHOOSE({1,2,3,4}, XT!U183,XT!Y183,XT!AC183,XT!AG183))=12), 0), 0)), "")</f>
        <v/>
      </c>
      <c r="AU183" s="51" t="str">
        <f>IF(XT!$P183&gt;0,AT183,"")</f>
        <v/>
      </c>
      <c r="AV183" s="51" t="str">
        <f>IF(XT!$P183=0,AT183,"")</f>
        <v/>
      </c>
    </row>
    <row r="184" spans="1:48">
      <c r="A184">
        <f>SUMPRODUCT((MONTH(CHOOSE({1,2,3,4},XT!U184,XT!Y184,XT!AC184,XT!AG184))=1)*(CHOOSE({1,2,3,4},XT!X184,XT!AB184,XT!AF184,XT!AJ184)))</f>
        <v>0</v>
      </c>
      <c r="B184">
        <f>IFERROR(INDEX(CHOOSE({1,2,3,4}, DAY(XT!U184), DAY(XT!Y184), DAY(XT!AC184), DAY(XT!AG184)), MATCH(1, INDEX(--(MONTH(CHOOSE({1,2,3,4}, XT!U184,XT!Y184,XT!AC184,XT!AG184))=1), 0), 0)), "")</f>
        <v>0</v>
      </c>
      <c r="C184" s="51" t="str">
        <f>IF(XT!$P184&gt;0,B184,"")</f>
        <v/>
      </c>
      <c r="D184" s="51">
        <f>IF(XT!$P184=0,B184,"")</f>
        <v>0</v>
      </c>
      <c r="E184">
        <f>SUMPRODUCT((MONTH(CHOOSE({1,2,3,4},XT!U184,XT!Y184,XT!AC184,XT!AG184))=2)*(CHOOSE({1,2,3,4},XT!X184,XT!AB184,XT!AF184,XT!AJ184)))</f>
        <v>0</v>
      </c>
      <c r="F184" t="str">
        <f>IFERROR(INDEX(CHOOSE({1,2,3,4}, DAY(XT!U184), DAY(XT!Y184), DAY(XT!AC184), DAY(XT!AG184)), MATCH(1, INDEX(--(MONTH(CHOOSE({1,2,3,4}, XT!U184,XT!Y184,XT!AC184,XT!AG184))=2), 0), 0)), "")</f>
        <v/>
      </c>
      <c r="G184" s="51" t="str">
        <f>IF(XT!$P184&gt;0,F184,"")</f>
        <v/>
      </c>
      <c r="H184" s="51" t="str">
        <f>IF(XT!$P184=0,F184,"")</f>
        <v/>
      </c>
      <c r="I184">
        <f>SUMPRODUCT((MONTH(CHOOSE({1,2,3,4},XT!U184,XT!Y184,XT!AC184,XT!AG184))=3)*(CHOOSE({1,2,3,4},XT!X184,XT!AB184,XT!AF184,XT!AJ184)))</f>
        <v>0</v>
      </c>
      <c r="J184" t="str">
        <f>IFERROR(INDEX(CHOOSE({1,2,3,4}, DAY(XT!U184), DAY(XT!Y184), DAY(XT!AC184), DAY(XT!AG184)), MATCH(1, INDEX(--(MONTH(CHOOSE({1,2,3,4}, XT!U184,XT!Y184,XT!AC184,XT!AG184))=3), 0), 0)), "")</f>
        <v/>
      </c>
      <c r="K184" s="51" t="str">
        <f>IF(XT!$P184&gt;0,J184,"")</f>
        <v/>
      </c>
      <c r="L184" s="51" t="str">
        <f>IF(XT!$P184=0,J184,"")</f>
        <v/>
      </c>
      <c r="M184">
        <f>SUMPRODUCT((MONTH(CHOOSE({1,2,3,4},XT!U184,XT!Y184,XT!AC184,XT!AG184))=4)*(CHOOSE({1,2,3,4},XT!X184,XT!AB184,XT!AF184,XT!AJ184)))</f>
        <v>0</v>
      </c>
      <c r="N184" t="str">
        <f>IFERROR(INDEX(CHOOSE({1,2,3,4}, DAY(XT!U184), DAY(XT!Y184), DAY(XT!AC184), DAY(XT!AG184)), MATCH(1, INDEX(--(MONTH(CHOOSE({1,2,3,4}, XT!U184,XT!Y184,XT!AC184,XT!AG184))=4), 0), 0)), "")</f>
        <v/>
      </c>
      <c r="O184" s="51" t="str">
        <f>IF(XT!$P184&gt;0,N184,"")</f>
        <v/>
      </c>
      <c r="P184" s="51" t="str">
        <f>IF(XT!$P184=0,N184,"")</f>
        <v/>
      </c>
      <c r="Q184">
        <f>SUMPRODUCT((MONTH(CHOOSE({1,2,3,4},XT!U184,XT!Y184,XT!AC184,XT!AG184))=5)*(CHOOSE({1,2,3,4},XT!X184,XT!AB184,XT!AF184,XT!AJ184)))</f>
        <v>0</v>
      </c>
      <c r="R184" t="str">
        <f>IFERROR(INDEX(CHOOSE({1,2,3,4}, DAY(XT!U184), DAY(XT!Y184), DAY(XT!AC184), DAY(XT!AG184)), MATCH(1, INDEX(--(MONTH(CHOOSE({1,2,3,4}, XT!U184,XT!Y184,XT!AC184,XT!AG184))=5), 0), 0)), "")</f>
        <v/>
      </c>
      <c r="S184" s="51" t="str">
        <f>IF(XT!$P184&gt;0,R184,"")</f>
        <v/>
      </c>
      <c r="T184" s="51" t="str">
        <f>IF(XT!$P184=0,R184,"")</f>
        <v/>
      </c>
      <c r="U184">
        <f>SUMPRODUCT((MONTH(CHOOSE({1,2,3,4},XT!U184,XT!Y184,XT!AC184,XT!AG184))=6)*(CHOOSE({1,2,3,4},XT!X184,XT!AB184,XT!AF184,XT!AJ184)))</f>
        <v>0</v>
      </c>
      <c r="V184" t="str">
        <f>IFERROR(INDEX(CHOOSE({1,2,3,4}, DAY(XT!U184), DAY(XT!Y184), DAY(XT!AC184), DAY(XT!AG184)), MATCH(1, INDEX(--(MONTH(CHOOSE({1,2,3,4}, XT!U184,XT!Y184,XT!AC184,XT!AG184))=6), 0), 0)), "")</f>
        <v/>
      </c>
      <c r="W184" s="51" t="str">
        <f>IF(XT!$P184&gt;0,V184,"")</f>
        <v/>
      </c>
      <c r="X184" s="51" t="str">
        <f>IF(XT!$P184=0,V184,"")</f>
        <v/>
      </c>
      <c r="Y184">
        <f>SUMPRODUCT((MONTH(CHOOSE({1,2,3,4},XT!U184,XT!Y184,XT!AC184,XT!AG184))=7)*(CHOOSE({1,2,3,4},XT!X184,XT!AB184,XT!AF184,XT!AJ184)))</f>
        <v>0</v>
      </c>
      <c r="Z184" t="str">
        <f>IFERROR(INDEX(CHOOSE({1,2,3,4}, DAY(XT!U184), DAY(XT!Y184), DAY(XT!AC184), DAY(XT!AG184)), MATCH(1, INDEX(--(MONTH(CHOOSE({1,2,3,4}, XT!U184,XT!Y184,XT!AC184,XT!AG184))=7), 0), 0)), "")</f>
        <v/>
      </c>
      <c r="AA184" s="51" t="str">
        <f>IF(XT!$P184&gt;0,Z184,"")</f>
        <v/>
      </c>
      <c r="AB184" s="51" t="str">
        <f>IF(XT!$P184=0,Z184,"")</f>
        <v/>
      </c>
      <c r="AC184">
        <f>SUMPRODUCT((MONTH(CHOOSE({1,2,3,4},XT!U184,XT!Y184,XT!AC184,XT!AG184))=8)*(CHOOSE({1,2,3,4},XT!X184,XT!AB184,XT!AF184,XT!AJ184)))</f>
        <v>0</v>
      </c>
      <c r="AD184" t="str">
        <f>IFERROR(INDEX(CHOOSE({1,2,3,4}, DAY(XT!U184), DAY(XT!Y184), DAY(XT!AC184), DAY(XT!AG184)), MATCH(1, INDEX(--(MONTH(CHOOSE({1,2,3,4}, XT!U184,XT!Y184,XT!AC184,XT!AG184))=8), 0), 0)), "")</f>
        <v/>
      </c>
      <c r="AE184" s="51" t="str">
        <f>IF(XT!$P184&gt;0,AD184,"")</f>
        <v/>
      </c>
      <c r="AF184" s="51" t="str">
        <f>IF(XT!$P184=0,AD184,"")</f>
        <v/>
      </c>
      <c r="AG184">
        <f>SUMPRODUCT((MONTH(CHOOSE({1,2,3,4},XT!U184,XT!Y184,XT!AC184,XT!AG184))=9)*(CHOOSE({1,2,3,4},XT!X184,XT!AB184,XT!AF184,XT!AJ184)))</f>
        <v>0</v>
      </c>
      <c r="AH184" t="str">
        <f>IFERROR(INDEX(CHOOSE({1,2,3,4}, DAY(XT!U184), DAY(XT!Y184), DAY(XT!AC184), DAY(XT!AG184)), MATCH(1, INDEX(--(MONTH(CHOOSE({1,2,3,4}, XT!U184,XT!Y184,XT!AC184,XT!AG184))=9), 0), 0)), "")</f>
        <v/>
      </c>
      <c r="AI184" s="51" t="str">
        <f>IF(XT!$P184&gt;0,AH184,"")</f>
        <v/>
      </c>
      <c r="AJ184" s="51" t="str">
        <f>IF(XT!$P184=0,AH184,"")</f>
        <v/>
      </c>
      <c r="AK184">
        <f>SUMPRODUCT((MONTH(CHOOSE({1,2,3,4},XT!U184,XT!Y184,XT!AC184,XT!AG184))=10)*(CHOOSE({1,2,3,4},XT!X184,XT!AB184,XT!AF184,XT!AJ184)))</f>
        <v>0</v>
      </c>
      <c r="AL184" t="str">
        <f>IFERROR(INDEX(CHOOSE({1,2,3,4}, DAY(XT!U184), DAY(XT!Y184), DAY(XT!AC184), DAY(XT!AG184)), MATCH(1, INDEX(--(MONTH(CHOOSE({1,2,3,4}, XT!U184,XT!Y184,XT!AC184,XT!AG184))=10), 0), 0)), "")</f>
        <v/>
      </c>
      <c r="AM184" s="51" t="str">
        <f>IF(XT!$P184&gt;0,AL184,"")</f>
        <v/>
      </c>
      <c r="AN184" s="51" t="str">
        <f>IF(XT!$P184=0,AL184,"")</f>
        <v/>
      </c>
      <c r="AO184">
        <f>SUMPRODUCT((MONTH(CHOOSE({1,2,3,4},XT!U184,XT!Y184,XT!AC184,XT!AG184))=11)*(CHOOSE({1,2,3,4},XT!X184,XT!AB184,XT!AF184,XT!AJ184)))</f>
        <v>0</v>
      </c>
      <c r="AP184" t="str">
        <f>IFERROR(INDEX(CHOOSE({1,2,3,4}, DAY(XT!U184), DAY(XT!Y184), DAY(XT!AC184), DAY(XT!AG184)), MATCH(1, INDEX(--(MONTH(CHOOSE({1,2,3,4}, XT!U184,XT!Y184,XT!AC184,XT!AG184))=11), 0), 0)), "")</f>
        <v/>
      </c>
      <c r="AQ184" s="51" t="str">
        <f>IF(XT!$P184&gt;0,AP184,"")</f>
        <v/>
      </c>
      <c r="AR184" s="51" t="str">
        <f>IF(XT!$P184=0,AP184,"")</f>
        <v/>
      </c>
      <c r="AS184">
        <f>SUMPRODUCT((MONTH(CHOOSE({1,2,3,4},XT!U184,XT!Y184,XT!AC184,XT!AG184))=12)*(CHOOSE({1,2,3,4},XT!X184,XT!AB184,XT!AF184,XT!AJ184)))</f>
        <v>0</v>
      </c>
      <c r="AT184" t="str">
        <f>IFERROR(INDEX(CHOOSE({1,2,3,4}, DAY(XT!U184), DAY(XT!Y184), DAY(XT!AC184), DAY(XT!AG184)), MATCH(1, INDEX(--(MONTH(CHOOSE({1,2,3,4}, XT!U184,XT!Y184,XT!AC184,XT!AG184))=12), 0), 0)), "")</f>
        <v/>
      </c>
      <c r="AU184" s="51" t="str">
        <f>IF(XT!$P184&gt;0,AT184,"")</f>
        <v/>
      </c>
      <c r="AV184" s="51" t="str">
        <f>IF(XT!$P184=0,AT184,"")</f>
        <v/>
      </c>
    </row>
    <row r="185" spans="1:48">
      <c r="A185">
        <f>SUMPRODUCT((MONTH(CHOOSE({1,2,3,4},XT!U185,XT!Y185,XT!AC185,XT!AG185))=1)*(CHOOSE({1,2,3,4},XT!X185,XT!AB185,XT!AF185,XT!AJ185)))</f>
        <v>0</v>
      </c>
      <c r="B185">
        <f>IFERROR(INDEX(CHOOSE({1,2,3,4}, DAY(XT!U185), DAY(XT!Y185), DAY(XT!AC185), DAY(XT!AG185)), MATCH(1, INDEX(--(MONTH(CHOOSE({1,2,3,4}, XT!U185,XT!Y185,XT!AC185,XT!AG185))=1), 0), 0)), "")</f>
        <v>0</v>
      </c>
      <c r="C185" s="51" t="str">
        <f>IF(XT!$P185&gt;0,B185,"")</f>
        <v/>
      </c>
      <c r="D185" s="51">
        <f>IF(XT!$P185=0,B185,"")</f>
        <v>0</v>
      </c>
      <c r="E185">
        <f>SUMPRODUCT((MONTH(CHOOSE({1,2,3,4},XT!U185,XT!Y185,XT!AC185,XT!AG185))=2)*(CHOOSE({1,2,3,4},XT!X185,XT!AB185,XT!AF185,XT!AJ185)))</f>
        <v>0</v>
      </c>
      <c r="F185" t="str">
        <f>IFERROR(INDEX(CHOOSE({1,2,3,4}, DAY(XT!U185), DAY(XT!Y185), DAY(XT!AC185), DAY(XT!AG185)), MATCH(1, INDEX(--(MONTH(CHOOSE({1,2,3,4}, XT!U185,XT!Y185,XT!AC185,XT!AG185))=2), 0), 0)), "")</f>
        <v/>
      </c>
      <c r="G185" s="51" t="str">
        <f>IF(XT!$P185&gt;0,F185,"")</f>
        <v/>
      </c>
      <c r="H185" s="51" t="str">
        <f>IF(XT!$P185=0,F185,"")</f>
        <v/>
      </c>
      <c r="I185">
        <f>SUMPRODUCT((MONTH(CHOOSE({1,2,3,4},XT!U185,XT!Y185,XT!AC185,XT!AG185))=3)*(CHOOSE({1,2,3,4},XT!X185,XT!AB185,XT!AF185,XT!AJ185)))</f>
        <v>0</v>
      </c>
      <c r="J185" t="str">
        <f>IFERROR(INDEX(CHOOSE({1,2,3,4}, DAY(XT!U185), DAY(XT!Y185), DAY(XT!AC185), DAY(XT!AG185)), MATCH(1, INDEX(--(MONTH(CHOOSE({1,2,3,4}, XT!U185,XT!Y185,XT!AC185,XT!AG185))=3), 0), 0)), "")</f>
        <v/>
      </c>
      <c r="K185" s="51" t="str">
        <f>IF(XT!$P185&gt;0,J185,"")</f>
        <v/>
      </c>
      <c r="L185" s="51" t="str">
        <f>IF(XT!$P185=0,J185,"")</f>
        <v/>
      </c>
      <c r="M185">
        <f>SUMPRODUCT((MONTH(CHOOSE({1,2,3,4},XT!U185,XT!Y185,XT!AC185,XT!AG185))=4)*(CHOOSE({1,2,3,4},XT!X185,XT!AB185,XT!AF185,XT!AJ185)))</f>
        <v>0</v>
      </c>
      <c r="N185" t="str">
        <f>IFERROR(INDEX(CHOOSE({1,2,3,4}, DAY(XT!U185), DAY(XT!Y185), DAY(XT!AC185), DAY(XT!AG185)), MATCH(1, INDEX(--(MONTH(CHOOSE({1,2,3,4}, XT!U185,XT!Y185,XT!AC185,XT!AG185))=4), 0), 0)), "")</f>
        <v/>
      </c>
      <c r="O185" s="51" t="str">
        <f>IF(XT!$P185&gt;0,N185,"")</f>
        <v/>
      </c>
      <c r="P185" s="51" t="str">
        <f>IF(XT!$P185=0,N185,"")</f>
        <v/>
      </c>
      <c r="Q185">
        <f>SUMPRODUCT((MONTH(CHOOSE({1,2,3,4},XT!U185,XT!Y185,XT!AC185,XT!AG185))=5)*(CHOOSE({1,2,3,4},XT!X185,XT!AB185,XT!AF185,XT!AJ185)))</f>
        <v>0</v>
      </c>
      <c r="R185" t="str">
        <f>IFERROR(INDEX(CHOOSE({1,2,3,4}, DAY(XT!U185), DAY(XT!Y185), DAY(XT!AC185), DAY(XT!AG185)), MATCH(1, INDEX(--(MONTH(CHOOSE({1,2,3,4}, XT!U185,XT!Y185,XT!AC185,XT!AG185))=5), 0), 0)), "")</f>
        <v/>
      </c>
      <c r="S185" s="51" t="str">
        <f>IF(XT!$P185&gt;0,R185,"")</f>
        <v/>
      </c>
      <c r="T185" s="51" t="str">
        <f>IF(XT!$P185=0,R185,"")</f>
        <v/>
      </c>
      <c r="U185">
        <f>SUMPRODUCT((MONTH(CHOOSE({1,2,3,4},XT!U185,XT!Y185,XT!AC185,XT!AG185))=6)*(CHOOSE({1,2,3,4},XT!X185,XT!AB185,XT!AF185,XT!AJ185)))</f>
        <v>0</v>
      </c>
      <c r="V185" t="str">
        <f>IFERROR(INDEX(CHOOSE({1,2,3,4}, DAY(XT!U185), DAY(XT!Y185), DAY(XT!AC185), DAY(XT!AG185)), MATCH(1, INDEX(--(MONTH(CHOOSE({1,2,3,4}, XT!U185,XT!Y185,XT!AC185,XT!AG185))=6), 0), 0)), "")</f>
        <v/>
      </c>
      <c r="W185" s="51" t="str">
        <f>IF(XT!$P185&gt;0,V185,"")</f>
        <v/>
      </c>
      <c r="X185" s="51" t="str">
        <f>IF(XT!$P185=0,V185,"")</f>
        <v/>
      </c>
      <c r="Y185">
        <f>SUMPRODUCT((MONTH(CHOOSE({1,2,3,4},XT!U185,XT!Y185,XT!AC185,XT!AG185))=7)*(CHOOSE({1,2,3,4},XT!X185,XT!AB185,XT!AF185,XT!AJ185)))</f>
        <v>0</v>
      </c>
      <c r="Z185" t="str">
        <f>IFERROR(INDEX(CHOOSE({1,2,3,4}, DAY(XT!U185), DAY(XT!Y185), DAY(XT!AC185), DAY(XT!AG185)), MATCH(1, INDEX(--(MONTH(CHOOSE({1,2,3,4}, XT!U185,XT!Y185,XT!AC185,XT!AG185))=7), 0), 0)), "")</f>
        <v/>
      </c>
      <c r="AA185" s="51" t="str">
        <f>IF(XT!$P185&gt;0,Z185,"")</f>
        <v/>
      </c>
      <c r="AB185" s="51" t="str">
        <f>IF(XT!$P185=0,Z185,"")</f>
        <v/>
      </c>
      <c r="AC185">
        <f>SUMPRODUCT((MONTH(CHOOSE({1,2,3,4},XT!U185,XT!Y185,XT!AC185,XT!AG185))=8)*(CHOOSE({1,2,3,4},XT!X185,XT!AB185,XT!AF185,XT!AJ185)))</f>
        <v>0</v>
      </c>
      <c r="AD185" t="str">
        <f>IFERROR(INDEX(CHOOSE({1,2,3,4}, DAY(XT!U185), DAY(XT!Y185), DAY(XT!AC185), DAY(XT!AG185)), MATCH(1, INDEX(--(MONTH(CHOOSE({1,2,3,4}, XT!U185,XT!Y185,XT!AC185,XT!AG185))=8), 0), 0)), "")</f>
        <v/>
      </c>
      <c r="AE185" s="51" t="str">
        <f>IF(XT!$P185&gt;0,AD185,"")</f>
        <v/>
      </c>
      <c r="AF185" s="51" t="str">
        <f>IF(XT!$P185=0,AD185,"")</f>
        <v/>
      </c>
      <c r="AG185">
        <f>SUMPRODUCT((MONTH(CHOOSE({1,2,3,4},XT!U185,XT!Y185,XT!AC185,XT!AG185))=9)*(CHOOSE({1,2,3,4},XT!X185,XT!AB185,XT!AF185,XT!AJ185)))</f>
        <v>0</v>
      </c>
      <c r="AH185" t="str">
        <f>IFERROR(INDEX(CHOOSE({1,2,3,4}, DAY(XT!U185), DAY(XT!Y185), DAY(XT!AC185), DAY(XT!AG185)), MATCH(1, INDEX(--(MONTH(CHOOSE({1,2,3,4}, XT!U185,XT!Y185,XT!AC185,XT!AG185))=9), 0), 0)), "")</f>
        <v/>
      </c>
      <c r="AI185" s="51" t="str">
        <f>IF(XT!$P185&gt;0,AH185,"")</f>
        <v/>
      </c>
      <c r="AJ185" s="51" t="str">
        <f>IF(XT!$P185=0,AH185,"")</f>
        <v/>
      </c>
      <c r="AK185">
        <f>SUMPRODUCT((MONTH(CHOOSE({1,2,3,4},XT!U185,XT!Y185,XT!AC185,XT!AG185))=10)*(CHOOSE({1,2,3,4},XT!X185,XT!AB185,XT!AF185,XT!AJ185)))</f>
        <v>0</v>
      </c>
      <c r="AL185" t="str">
        <f>IFERROR(INDEX(CHOOSE({1,2,3,4}, DAY(XT!U185), DAY(XT!Y185), DAY(XT!AC185), DAY(XT!AG185)), MATCH(1, INDEX(--(MONTH(CHOOSE({1,2,3,4}, XT!U185,XT!Y185,XT!AC185,XT!AG185))=10), 0), 0)), "")</f>
        <v/>
      </c>
      <c r="AM185" s="51" t="str">
        <f>IF(XT!$P185&gt;0,AL185,"")</f>
        <v/>
      </c>
      <c r="AN185" s="51" t="str">
        <f>IF(XT!$P185=0,AL185,"")</f>
        <v/>
      </c>
      <c r="AO185">
        <f>SUMPRODUCT((MONTH(CHOOSE({1,2,3,4},XT!U185,XT!Y185,XT!AC185,XT!AG185))=11)*(CHOOSE({1,2,3,4},XT!X185,XT!AB185,XT!AF185,XT!AJ185)))</f>
        <v>0</v>
      </c>
      <c r="AP185" t="str">
        <f>IFERROR(INDEX(CHOOSE({1,2,3,4}, DAY(XT!U185), DAY(XT!Y185), DAY(XT!AC185), DAY(XT!AG185)), MATCH(1, INDEX(--(MONTH(CHOOSE({1,2,3,4}, XT!U185,XT!Y185,XT!AC185,XT!AG185))=11), 0), 0)), "")</f>
        <v/>
      </c>
      <c r="AQ185" s="51" t="str">
        <f>IF(XT!$P185&gt;0,AP185,"")</f>
        <v/>
      </c>
      <c r="AR185" s="51" t="str">
        <f>IF(XT!$P185=0,AP185,"")</f>
        <v/>
      </c>
      <c r="AS185">
        <f>SUMPRODUCT((MONTH(CHOOSE({1,2,3,4},XT!U185,XT!Y185,XT!AC185,XT!AG185))=12)*(CHOOSE({1,2,3,4},XT!X185,XT!AB185,XT!AF185,XT!AJ185)))</f>
        <v>0</v>
      </c>
      <c r="AT185" t="str">
        <f>IFERROR(INDEX(CHOOSE({1,2,3,4}, DAY(XT!U185), DAY(XT!Y185), DAY(XT!AC185), DAY(XT!AG185)), MATCH(1, INDEX(--(MONTH(CHOOSE({1,2,3,4}, XT!U185,XT!Y185,XT!AC185,XT!AG185))=12), 0), 0)), "")</f>
        <v/>
      </c>
      <c r="AU185" s="51" t="str">
        <f>IF(XT!$P185&gt;0,AT185,"")</f>
        <v/>
      </c>
      <c r="AV185" s="51" t="str">
        <f>IF(XT!$P185=0,AT185,"")</f>
        <v/>
      </c>
    </row>
    <row r="186" spans="1:48">
      <c r="A186">
        <f>SUMPRODUCT((MONTH(CHOOSE({1,2,3,4},XT!U186,XT!Y186,XT!AC186,XT!AG186))=1)*(CHOOSE({1,2,3,4},XT!X186,XT!AB186,XT!AF186,XT!AJ186)))</f>
        <v>0</v>
      </c>
      <c r="B186">
        <f>IFERROR(INDEX(CHOOSE({1,2,3,4}, DAY(XT!U186), DAY(XT!Y186), DAY(XT!AC186), DAY(XT!AG186)), MATCH(1, INDEX(--(MONTH(CHOOSE({1,2,3,4}, XT!U186,XT!Y186,XT!AC186,XT!AG186))=1), 0), 0)), "")</f>
        <v>0</v>
      </c>
      <c r="C186" s="51" t="str">
        <f>IF(XT!$P186&gt;0,B186,"")</f>
        <v/>
      </c>
      <c r="D186" s="51">
        <f>IF(XT!$P186=0,B186,"")</f>
        <v>0</v>
      </c>
      <c r="E186">
        <f>SUMPRODUCT((MONTH(CHOOSE({1,2,3,4},XT!U186,XT!Y186,XT!AC186,XT!AG186))=2)*(CHOOSE({1,2,3,4},XT!X186,XT!AB186,XT!AF186,XT!AJ186)))</f>
        <v>0</v>
      </c>
      <c r="F186" t="str">
        <f>IFERROR(INDEX(CHOOSE({1,2,3,4}, DAY(XT!U186), DAY(XT!Y186), DAY(XT!AC186), DAY(XT!AG186)), MATCH(1, INDEX(--(MONTH(CHOOSE({1,2,3,4}, XT!U186,XT!Y186,XT!AC186,XT!AG186))=2), 0), 0)), "")</f>
        <v/>
      </c>
      <c r="G186" s="51" t="str">
        <f>IF(XT!$P186&gt;0,F186,"")</f>
        <v/>
      </c>
      <c r="H186" s="51" t="str">
        <f>IF(XT!$P186=0,F186,"")</f>
        <v/>
      </c>
      <c r="I186">
        <f>SUMPRODUCT((MONTH(CHOOSE({1,2,3,4},XT!U186,XT!Y186,XT!AC186,XT!AG186))=3)*(CHOOSE({1,2,3,4},XT!X186,XT!AB186,XT!AF186,XT!AJ186)))</f>
        <v>0</v>
      </c>
      <c r="J186" t="str">
        <f>IFERROR(INDEX(CHOOSE({1,2,3,4}, DAY(XT!U186), DAY(XT!Y186), DAY(XT!AC186), DAY(XT!AG186)), MATCH(1, INDEX(--(MONTH(CHOOSE({1,2,3,4}, XT!U186,XT!Y186,XT!AC186,XT!AG186))=3), 0), 0)), "")</f>
        <v/>
      </c>
      <c r="K186" s="51" t="str">
        <f>IF(XT!$P186&gt;0,J186,"")</f>
        <v/>
      </c>
      <c r="L186" s="51" t="str">
        <f>IF(XT!$P186=0,J186,"")</f>
        <v/>
      </c>
      <c r="M186">
        <f>SUMPRODUCT((MONTH(CHOOSE({1,2,3,4},XT!U186,XT!Y186,XT!AC186,XT!AG186))=4)*(CHOOSE({1,2,3,4},XT!X186,XT!AB186,XT!AF186,XT!AJ186)))</f>
        <v>0</v>
      </c>
      <c r="N186" t="str">
        <f>IFERROR(INDEX(CHOOSE({1,2,3,4}, DAY(XT!U186), DAY(XT!Y186), DAY(XT!AC186), DAY(XT!AG186)), MATCH(1, INDEX(--(MONTH(CHOOSE({1,2,3,4}, XT!U186,XT!Y186,XT!AC186,XT!AG186))=4), 0), 0)), "")</f>
        <v/>
      </c>
      <c r="O186" s="51" t="str">
        <f>IF(XT!$P186&gt;0,N186,"")</f>
        <v/>
      </c>
      <c r="P186" s="51" t="str">
        <f>IF(XT!$P186=0,N186,"")</f>
        <v/>
      </c>
      <c r="Q186">
        <f>SUMPRODUCT((MONTH(CHOOSE({1,2,3,4},XT!U186,XT!Y186,XT!AC186,XT!AG186))=5)*(CHOOSE({1,2,3,4},XT!X186,XT!AB186,XT!AF186,XT!AJ186)))</f>
        <v>0</v>
      </c>
      <c r="R186" t="str">
        <f>IFERROR(INDEX(CHOOSE({1,2,3,4}, DAY(XT!U186), DAY(XT!Y186), DAY(XT!AC186), DAY(XT!AG186)), MATCH(1, INDEX(--(MONTH(CHOOSE({1,2,3,4}, XT!U186,XT!Y186,XT!AC186,XT!AG186))=5), 0), 0)), "")</f>
        <v/>
      </c>
      <c r="S186" s="51" t="str">
        <f>IF(XT!$P186&gt;0,R186,"")</f>
        <v/>
      </c>
      <c r="T186" s="51" t="str">
        <f>IF(XT!$P186=0,R186,"")</f>
        <v/>
      </c>
      <c r="U186">
        <f>SUMPRODUCT((MONTH(CHOOSE({1,2,3,4},XT!U186,XT!Y186,XT!AC186,XT!AG186))=6)*(CHOOSE({1,2,3,4},XT!X186,XT!AB186,XT!AF186,XT!AJ186)))</f>
        <v>0</v>
      </c>
      <c r="V186" t="str">
        <f>IFERROR(INDEX(CHOOSE({1,2,3,4}, DAY(XT!U186), DAY(XT!Y186), DAY(XT!AC186), DAY(XT!AG186)), MATCH(1, INDEX(--(MONTH(CHOOSE({1,2,3,4}, XT!U186,XT!Y186,XT!AC186,XT!AG186))=6), 0), 0)), "")</f>
        <v/>
      </c>
      <c r="W186" s="51" t="str">
        <f>IF(XT!$P186&gt;0,V186,"")</f>
        <v/>
      </c>
      <c r="X186" s="51" t="str">
        <f>IF(XT!$P186=0,V186,"")</f>
        <v/>
      </c>
      <c r="Y186">
        <f>SUMPRODUCT((MONTH(CHOOSE({1,2,3,4},XT!U186,XT!Y186,XT!AC186,XT!AG186))=7)*(CHOOSE({1,2,3,4},XT!X186,XT!AB186,XT!AF186,XT!AJ186)))</f>
        <v>0</v>
      </c>
      <c r="Z186" t="str">
        <f>IFERROR(INDEX(CHOOSE({1,2,3,4}, DAY(XT!U186), DAY(XT!Y186), DAY(XT!AC186), DAY(XT!AG186)), MATCH(1, INDEX(--(MONTH(CHOOSE({1,2,3,4}, XT!U186,XT!Y186,XT!AC186,XT!AG186))=7), 0), 0)), "")</f>
        <v/>
      </c>
      <c r="AA186" s="51" t="str">
        <f>IF(XT!$P186&gt;0,Z186,"")</f>
        <v/>
      </c>
      <c r="AB186" s="51" t="str">
        <f>IF(XT!$P186=0,Z186,"")</f>
        <v/>
      </c>
      <c r="AC186">
        <f>SUMPRODUCT((MONTH(CHOOSE({1,2,3,4},XT!U186,XT!Y186,XT!AC186,XT!AG186))=8)*(CHOOSE({1,2,3,4},XT!X186,XT!AB186,XT!AF186,XT!AJ186)))</f>
        <v>0</v>
      </c>
      <c r="AD186" t="str">
        <f>IFERROR(INDEX(CHOOSE({1,2,3,4}, DAY(XT!U186), DAY(XT!Y186), DAY(XT!AC186), DAY(XT!AG186)), MATCH(1, INDEX(--(MONTH(CHOOSE({1,2,3,4}, XT!U186,XT!Y186,XT!AC186,XT!AG186))=8), 0), 0)), "")</f>
        <v/>
      </c>
      <c r="AE186" s="51" t="str">
        <f>IF(XT!$P186&gt;0,AD186,"")</f>
        <v/>
      </c>
      <c r="AF186" s="51" t="str">
        <f>IF(XT!$P186=0,AD186,"")</f>
        <v/>
      </c>
      <c r="AG186">
        <f>SUMPRODUCT((MONTH(CHOOSE({1,2,3,4},XT!U186,XT!Y186,XT!AC186,XT!AG186))=9)*(CHOOSE({1,2,3,4},XT!X186,XT!AB186,XT!AF186,XT!AJ186)))</f>
        <v>0</v>
      </c>
      <c r="AH186" t="str">
        <f>IFERROR(INDEX(CHOOSE({1,2,3,4}, DAY(XT!U186), DAY(XT!Y186), DAY(XT!AC186), DAY(XT!AG186)), MATCH(1, INDEX(--(MONTH(CHOOSE({1,2,3,4}, XT!U186,XT!Y186,XT!AC186,XT!AG186))=9), 0), 0)), "")</f>
        <v/>
      </c>
      <c r="AI186" s="51" t="str">
        <f>IF(XT!$P186&gt;0,AH186,"")</f>
        <v/>
      </c>
      <c r="AJ186" s="51" t="str">
        <f>IF(XT!$P186=0,AH186,"")</f>
        <v/>
      </c>
      <c r="AK186">
        <f>SUMPRODUCT((MONTH(CHOOSE({1,2,3,4},XT!U186,XT!Y186,XT!AC186,XT!AG186))=10)*(CHOOSE({1,2,3,4},XT!X186,XT!AB186,XT!AF186,XT!AJ186)))</f>
        <v>0</v>
      </c>
      <c r="AL186" t="str">
        <f>IFERROR(INDEX(CHOOSE({1,2,3,4}, DAY(XT!U186), DAY(XT!Y186), DAY(XT!AC186), DAY(XT!AG186)), MATCH(1, INDEX(--(MONTH(CHOOSE({1,2,3,4}, XT!U186,XT!Y186,XT!AC186,XT!AG186))=10), 0), 0)), "")</f>
        <v/>
      </c>
      <c r="AM186" s="51" t="str">
        <f>IF(XT!$P186&gt;0,AL186,"")</f>
        <v/>
      </c>
      <c r="AN186" s="51" t="str">
        <f>IF(XT!$P186=0,AL186,"")</f>
        <v/>
      </c>
      <c r="AO186">
        <f>SUMPRODUCT((MONTH(CHOOSE({1,2,3,4},XT!U186,XT!Y186,XT!AC186,XT!AG186))=11)*(CHOOSE({1,2,3,4},XT!X186,XT!AB186,XT!AF186,XT!AJ186)))</f>
        <v>0</v>
      </c>
      <c r="AP186" t="str">
        <f>IFERROR(INDEX(CHOOSE({1,2,3,4}, DAY(XT!U186), DAY(XT!Y186), DAY(XT!AC186), DAY(XT!AG186)), MATCH(1, INDEX(--(MONTH(CHOOSE({1,2,3,4}, XT!U186,XT!Y186,XT!AC186,XT!AG186))=11), 0), 0)), "")</f>
        <v/>
      </c>
      <c r="AQ186" s="51" t="str">
        <f>IF(XT!$P186&gt;0,AP186,"")</f>
        <v/>
      </c>
      <c r="AR186" s="51" t="str">
        <f>IF(XT!$P186=0,AP186,"")</f>
        <v/>
      </c>
      <c r="AS186">
        <f>SUMPRODUCT((MONTH(CHOOSE({1,2,3,4},XT!U186,XT!Y186,XT!AC186,XT!AG186))=12)*(CHOOSE({1,2,3,4},XT!X186,XT!AB186,XT!AF186,XT!AJ186)))</f>
        <v>0</v>
      </c>
      <c r="AT186" t="str">
        <f>IFERROR(INDEX(CHOOSE({1,2,3,4}, DAY(XT!U186), DAY(XT!Y186), DAY(XT!AC186), DAY(XT!AG186)), MATCH(1, INDEX(--(MONTH(CHOOSE({1,2,3,4}, XT!U186,XT!Y186,XT!AC186,XT!AG186))=12), 0), 0)), "")</f>
        <v/>
      </c>
      <c r="AU186" s="51" t="str">
        <f>IF(XT!$P186&gt;0,AT186,"")</f>
        <v/>
      </c>
      <c r="AV186" s="51" t="str">
        <f>IF(XT!$P186=0,AT186,"")</f>
        <v/>
      </c>
    </row>
    <row r="187" spans="1:48">
      <c r="A187">
        <f>SUMPRODUCT((MONTH(CHOOSE({1,2,3,4},XT!U187,XT!Y187,XT!AC187,XT!AG187))=1)*(CHOOSE({1,2,3,4},XT!X187,XT!AB187,XT!AF187,XT!AJ187)))</f>
        <v>0</v>
      </c>
      <c r="B187">
        <f>IFERROR(INDEX(CHOOSE({1,2,3,4}, DAY(XT!U187), DAY(XT!Y187), DAY(XT!AC187), DAY(XT!AG187)), MATCH(1, INDEX(--(MONTH(CHOOSE({1,2,3,4}, XT!U187,XT!Y187,XT!AC187,XT!AG187))=1), 0), 0)), "")</f>
        <v>0</v>
      </c>
      <c r="C187" s="51" t="str">
        <f>IF(XT!$P187&gt;0,B187,"")</f>
        <v/>
      </c>
      <c r="D187" s="51">
        <f>IF(XT!$P187=0,B187,"")</f>
        <v>0</v>
      </c>
      <c r="E187">
        <f>SUMPRODUCT((MONTH(CHOOSE({1,2,3,4},XT!U187,XT!Y187,XT!AC187,XT!AG187))=2)*(CHOOSE({1,2,3,4},XT!X187,XT!AB187,XT!AF187,XT!AJ187)))</f>
        <v>0</v>
      </c>
      <c r="F187" t="str">
        <f>IFERROR(INDEX(CHOOSE({1,2,3,4}, DAY(XT!U187), DAY(XT!Y187), DAY(XT!AC187), DAY(XT!AG187)), MATCH(1, INDEX(--(MONTH(CHOOSE({1,2,3,4}, XT!U187,XT!Y187,XT!AC187,XT!AG187))=2), 0), 0)), "")</f>
        <v/>
      </c>
      <c r="G187" s="51" t="str">
        <f>IF(XT!$P187&gt;0,F187,"")</f>
        <v/>
      </c>
      <c r="H187" s="51" t="str">
        <f>IF(XT!$P187=0,F187,"")</f>
        <v/>
      </c>
      <c r="I187">
        <f>SUMPRODUCT((MONTH(CHOOSE({1,2,3,4},XT!U187,XT!Y187,XT!AC187,XT!AG187))=3)*(CHOOSE({1,2,3,4},XT!X187,XT!AB187,XT!AF187,XT!AJ187)))</f>
        <v>0</v>
      </c>
      <c r="J187" t="str">
        <f>IFERROR(INDEX(CHOOSE({1,2,3,4}, DAY(XT!U187), DAY(XT!Y187), DAY(XT!AC187), DAY(XT!AG187)), MATCH(1, INDEX(--(MONTH(CHOOSE({1,2,3,4}, XT!U187,XT!Y187,XT!AC187,XT!AG187))=3), 0), 0)), "")</f>
        <v/>
      </c>
      <c r="K187" s="51" t="str">
        <f>IF(XT!$P187&gt;0,J187,"")</f>
        <v/>
      </c>
      <c r="L187" s="51" t="str">
        <f>IF(XT!$P187=0,J187,"")</f>
        <v/>
      </c>
      <c r="M187">
        <f>SUMPRODUCT((MONTH(CHOOSE({1,2,3,4},XT!U187,XT!Y187,XT!AC187,XT!AG187))=4)*(CHOOSE({1,2,3,4},XT!X187,XT!AB187,XT!AF187,XT!AJ187)))</f>
        <v>0</v>
      </c>
      <c r="N187" t="str">
        <f>IFERROR(INDEX(CHOOSE({1,2,3,4}, DAY(XT!U187), DAY(XT!Y187), DAY(XT!AC187), DAY(XT!AG187)), MATCH(1, INDEX(--(MONTH(CHOOSE({1,2,3,4}, XT!U187,XT!Y187,XT!AC187,XT!AG187))=4), 0), 0)), "")</f>
        <v/>
      </c>
      <c r="O187" s="51" t="str">
        <f>IF(XT!$P187&gt;0,N187,"")</f>
        <v/>
      </c>
      <c r="P187" s="51" t="str">
        <f>IF(XT!$P187=0,N187,"")</f>
        <v/>
      </c>
      <c r="Q187">
        <f>SUMPRODUCT((MONTH(CHOOSE({1,2,3,4},XT!U187,XT!Y187,XT!AC187,XT!AG187))=5)*(CHOOSE({1,2,3,4},XT!X187,XT!AB187,XT!AF187,XT!AJ187)))</f>
        <v>0</v>
      </c>
      <c r="R187" t="str">
        <f>IFERROR(INDEX(CHOOSE({1,2,3,4}, DAY(XT!U187), DAY(XT!Y187), DAY(XT!AC187), DAY(XT!AG187)), MATCH(1, INDEX(--(MONTH(CHOOSE({1,2,3,4}, XT!U187,XT!Y187,XT!AC187,XT!AG187))=5), 0), 0)), "")</f>
        <v/>
      </c>
      <c r="S187" s="51" t="str">
        <f>IF(XT!$P187&gt;0,R187,"")</f>
        <v/>
      </c>
      <c r="T187" s="51" t="str">
        <f>IF(XT!$P187=0,R187,"")</f>
        <v/>
      </c>
      <c r="U187">
        <f>SUMPRODUCT((MONTH(CHOOSE({1,2,3,4},XT!U187,XT!Y187,XT!AC187,XT!AG187))=6)*(CHOOSE({1,2,3,4},XT!X187,XT!AB187,XT!AF187,XT!AJ187)))</f>
        <v>0</v>
      </c>
      <c r="V187" t="str">
        <f>IFERROR(INDEX(CHOOSE({1,2,3,4}, DAY(XT!U187), DAY(XT!Y187), DAY(XT!AC187), DAY(XT!AG187)), MATCH(1, INDEX(--(MONTH(CHOOSE({1,2,3,4}, XT!U187,XT!Y187,XT!AC187,XT!AG187))=6), 0), 0)), "")</f>
        <v/>
      </c>
      <c r="W187" s="51" t="str">
        <f>IF(XT!$P187&gt;0,V187,"")</f>
        <v/>
      </c>
      <c r="X187" s="51" t="str">
        <f>IF(XT!$P187=0,V187,"")</f>
        <v/>
      </c>
      <c r="Y187">
        <f>SUMPRODUCT((MONTH(CHOOSE({1,2,3,4},XT!U187,XT!Y187,XT!AC187,XT!AG187))=7)*(CHOOSE({1,2,3,4},XT!X187,XT!AB187,XT!AF187,XT!AJ187)))</f>
        <v>0</v>
      </c>
      <c r="Z187" t="str">
        <f>IFERROR(INDEX(CHOOSE({1,2,3,4}, DAY(XT!U187), DAY(XT!Y187), DAY(XT!AC187), DAY(XT!AG187)), MATCH(1, INDEX(--(MONTH(CHOOSE({1,2,3,4}, XT!U187,XT!Y187,XT!AC187,XT!AG187))=7), 0), 0)), "")</f>
        <v/>
      </c>
      <c r="AA187" s="51" t="str">
        <f>IF(XT!$P187&gt;0,Z187,"")</f>
        <v/>
      </c>
      <c r="AB187" s="51" t="str">
        <f>IF(XT!$P187=0,Z187,"")</f>
        <v/>
      </c>
      <c r="AC187">
        <f>SUMPRODUCT((MONTH(CHOOSE({1,2,3,4},XT!U187,XT!Y187,XT!AC187,XT!AG187))=8)*(CHOOSE({1,2,3,4},XT!X187,XT!AB187,XT!AF187,XT!AJ187)))</f>
        <v>0</v>
      </c>
      <c r="AD187" t="str">
        <f>IFERROR(INDEX(CHOOSE({1,2,3,4}, DAY(XT!U187), DAY(XT!Y187), DAY(XT!AC187), DAY(XT!AG187)), MATCH(1, INDEX(--(MONTH(CHOOSE({1,2,3,4}, XT!U187,XT!Y187,XT!AC187,XT!AG187))=8), 0), 0)), "")</f>
        <v/>
      </c>
      <c r="AE187" s="51" t="str">
        <f>IF(XT!$P187&gt;0,AD187,"")</f>
        <v/>
      </c>
      <c r="AF187" s="51" t="str">
        <f>IF(XT!$P187=0,AD187,"")</f>
        <v/>
      </c>
      <c r="AG187">
        <f>SUMPRODUCT((MONTH(CHOOSE({1,2,3,4},XT!U187,XT!Y187,XT!AC187,XT!AG187))=9)*(CHOOSE({1,2,3,4},XT!X187,XT!AB187,XT!AF187,XT!AJ187)))</f>
        <v>0</v>
      </c>
      <c r="AH187" t="str">
        <f>IFERROR(INDEX(CHOOSE({1,2,3,4}, DAY(XT!U187), DAY(XT!Y187), DAY(XT!AC187), DAY(XT!AG187)), MATCH(1, INDEX(--(MONTH(CHOOSE({1,2,3,4}, XT!U187,XT!Y187,XT!AC187,XT!AG187))=9), 0), 0)), "")</f>
        <v/>
      </c>
      <c r="AI187" s="51" t="str">
        <f>IF(XT!$P187&gt;0,AH187,"")</f>
        <v/>
      </c>
      <c r="AJ187" s="51" t="str">
        <f>IF(XT!$P187=0,AH187,"")</f>
        <v/>
      </c>
      <c r="AK187">
        <f>SUMPRODUCT((MONTH(CHOOSE({1,2,3,4},XT!U187,XT!Y187,XT!AC187,XT!AG187))=10)*(CHOOSE({1,2,3,4},XT!X187,XT!AB187,XT!AF187,XT!AJ187)))</f>
        <v>0</v>
      </c>
      <c r="AL187" t="str">
        <f>IFERROR(INDEX(CHOOSE({1,2,3,4}, DAY(XT!U187), DAY(XT!Y187), DAY(XT!AC187), DAY(XT!AG187)), MATCH(1, INDEX(--(MONTH(CHOOSE({1,2,3,4}, XT!U187,XT!Y187,XT!AC187,XT!AG187))=10), 0), 0)), "")</f>
        <v/>
      </c>
      <c r="AM187" s="51" t="str">
        <f>IF(XT!$P187&gt;0,AL187,"")</f>
        <v/>
      </c>
      <c r="AN187" s="51" t="str">
        <f>IF(XT!$P187=0,AL187,"")</f>
        <v/>
      </c>
      <c r="AO187">
        <f>SUMPRODUCT((MONTH(CHOOSE({1,2,3,4},XT!U187,XT!Y187,XT!AC187,XT!AG187))=11)*(CHOOSE({1,2,3,4},XT!X187,XT!AB187,XT!AF187,XT!AJ187)))</f>
        <v>0</v>
      </c>
      <c r="AP187" t="str">
        <f>IFERROR(INDEX(CHOOSE({1,2,3,4}, DAY(XT!U187), DAY(XT!Y187), DAY(XT!AC187), DAY(XT!AG187)), MATCH(1, INDEX(--(MONTH(CHOOSE({1,2,3,4}, XT!U187,XT!Y187,XT!AC187,XT!AG187))=11), 0), 0)), "")</f>
        <v/>
      </c>
      <c r="AQ187" s="51" t="str">
        <f>IF(XT!$P187&gt;0,AP187,"")</f>
        <v/>
      </c>
      <c r="AR187" s="51" t="str">
        <f>IF(XT!$P187=0,AP187,"")</f>
        <v/>
      </c>
      <c r="AS187">
        <f>SUMPRODUCT((MONTH(CHOOSE({1,2,3,4},XT!U187,XT!Y187,XT!AC187,XT!AG187))=12)*(CHOOSE({1,2,3,4},XT!X187,XT!AB187,XT!AF187,XT!AJ187)))</f>
        <v>0</v>
      </c>
      <c r="AT187" t="str">
        <f>IFERROR(INDEX(CHOOSE({1,2,3,4}, DAY(XT!U187), DAY(XT!Y187), DAY(XT!AC187), DAY(XT!AG187)), MATCH(1, INDEX(--(MONTH(CHOOSE({1,2,3,4}, XT!U187,XT!Y187,XT!AC187,XT!AG187))=12), 0), 0)), "")</f>
        <v/>
      </c>
      <c r="AU187" s="51" t="str">
        <f>IF(XT!$P187&gt;0,AT187,"")</f>
        <v/>
      </c>
      <c r="AV187" s="51" t="str">
        <f>IF(XT!$P187=0,AT187,"")</f>
        <v/>
      </c>
    </row>
    <row r="188" spans="1:48">
      <c r="A188">
        <f>SUMPRODUCT((MONTH(CHOOSE({1,2,3,4},XT!U188,XT!Y188,XT!AC188,XT!AG188))=1)*(CHOOSE({1,2,3,4},XT!X188,XT!AB188,XT!AF188,XT!AJ188)))</f>
        <v>0</v>
      </c>
      <c r="B188">
        <f>IFERROR(INDEX(CHOOSE({1,2,3,4}, DAY(XT!U188), DAY(XT!Y188), DAY(XT!AC188), DAY(XT!AG188)), MATCH(1, INDEX(--(MONTH(CHOOSE({1,2,3,4}, XT!U188,XT!Y188,XT!AC188,XT!AG188))=1), 0), 0)), "")</f>
        <v>0</v>
      </c>
      <c r="C188" s="51" t="str">
        <f>IF(XT!$P188&gt;0,B188,"")</f>
        <v/>
      </c>
      <c r="D188" s="51">
        <f>IF(XT!$P188=0,B188,"")</f>
        <v>0</v>
      </c>
      <c r="E188">
        <f>SUMPRODUCT((MONTH(CHOOSE({1,2,3,4},XT!U188,XT!Y188,XT!AC188,XT!AG188))=2)*(CHOOSE({1,2,3,4},XT!X188,XT!AB188,XT!AF188,XT!AJ188)))</f>
        <v>0</v>
      </c>
      <c r="F188" t="str">
        <f>IFERROR(INDEX(CHOOSE({1,2,3,4}, DAY(XT!U188), DAY(XT!Y188), DAY(XT!AC188), DAY(XT!AG188)), MATCH(1, INDEX(--(MONTH(CHOOSE({1,2,3,4}, XT!U188,XT!Y188,XT!AC188,XT!AG188))=2), 0), 0)), "")</f>
        <v/>
      </c>
      <c r="G188" s="51" t="str">
        <f>IF(XT!$P188&gt;0,F188,"")</f>
        <v/>
      </c>
      <c r="H188" s="51" t="str">
        <f>IF(XT!$P188=0,F188,"")</f>
        <v/>
      </c>
      <c r="I188">
        <f>SUMPRODUCT((MONTH(CHOOSE({1,2,3,4},XT!U188,XT!Y188,XT!AC188,XT!AG188))=3)*(CHOOSE({1,2,3,4},XT!X188,XT!AB188,XT!AF188,XT!AJ188)))</f>
        <v>0</v>
      </c>
      <c r="J188" t="str">
        <f>IFERROR(INDEX(CHOOSE({1,2,3,4}, DAY(XT!U188), DAY(XT!Y188), DAY(XT!AC188), DAY(XT!AG188)), MATCH(1, INDEX(--(MONTH(CHOOSE({1,2,3,4}, XT!U188,XT!Y188,XT!AC188,XT!AG188))=3), 0), 0)), "")</f>
        <v/>
      </c>
      <c r="K188" s="51" t="str">
        <f>IF(XT!$P188&gt;0,J188,"")</f>
        <v/>
      </c>
      <c r="L188" s="51" t="str">
        <f>IF(XT!$P188=0,J188,"")</f>
        <v/>
      </c>
      <c r="M188">
        <f>SUMPRODUCT((MONTH(CHOOSE({1,2,3,4},XT!U188,XT!Y188,XT!AC188,XT!AG188))=4)*(CHOOSE({1,2,3,4},XT!X188,XT!AB188,XT!AF188,XT!AJ188)))</f>
        <v>0</v>
      </c>
      <c r="N188" t="str">
        <f>IFERROR(INDEX(CHOOSE({1,2,3,4}, DAY(XT!U188), DAY(XT!Y188), DAY(XT!AC188), DAY(XT!AG188)), MATCH(1, INDEX(--(MONTH(CHOOSE({1,2,3,4}, XT!U188,XT!Y188,XT!AC188,XT!AG188))=4), 0), 0)), "")</f>
        <v/>
      </c>
      <c r="O188" s="51" t="str">
        <f>IF(XT!$P188&gt;0,N188,"")</f>
        <v/>
      </c>
      <c r="P188" s="51" t="str">
        <f>IF(XT!$P188=0,N188,"")</f>
        <v/>
      </c>
      <c r="Q188">
        <f>SUMPRODUCT((MONTH(CHOOSE({1,2,3,4},XT!U188,XT!Y188,XT!AC188,XT!AG188))=5)*(CHOOSE({1,2,3,4},XT!X188,XT!AB188,XT!AF188,XT!AJ188)))</f>
        <v>0</v>
      </c>
      <c r="R188" t="str">
        <f>IFERROR(INDEX(CHOOSE({1,2,3,4}, DAY(XT!U188), DAY(XT!Y188), DAY(XT!AC188), DAY(XT!AG188)), MATCH(1, INDEX(--(MONTH(CHOOSE({1,2,3,4}, XT!U188,XT!Y188,XT!AC188,XT!AG188))=5), 0), 0)), "")</f>
        <v/>
      </c>
      <c r="S188" s="51" t="str">
        <f>IF(XT!$P188&gt;0,R188,"")</f>
        <v/>
      </c>
      <c r="T188" s="51" t="str">
        <f>IF(XT!$P188=0,R188,"")</f>
        <v/>
      </c>
      <c r="U188">
        <f>SUMPRODUCT((MONTH(CHOOSE({1,2,3,4},XT!U188,XT!Y188,XT!AC188,XT!AG188))=6)*(CHOOSE({1,2,3,4},XT!X188,XT!AB188,XT!AF188,XT!AJ188)))</f>
        <v>0</v>
      </c>
      <c r="V188" t="str">
        <f>IFERROR(INDEX(CHOOSE({1,2,3,4}, DAY(XT!U188), DAY(XT!Y188), DAY(XT!AC188), DAY(XT!AG188)), MATCH(1, INDEX(--(MONTH(CHOOSE({1,2,3,4}, XT!U188,XT!Y188,XT!AC188,XT!AG188))=6), 0), 0)), "")</f>
        <v/>
      </c>
      <c r="W188" s="51" t="str">
        <f>IF(XT!$P188&gt;0,V188,"")</f>
        <v/>
      </c>
      <c r="X188" s="51" t="str">
        <f>IF(XT!$P188=0,V188,"")</f>
        <v/>
      </c>
      <c r="Y188">
        <f>SUMPRODUCT((MONTH(CHOOSE({1,2,3,4},XT!U188,XT!Y188,XT!AC188,XT!AG188))=7)*(CHOOSE({1,2,3,4},XT!X188,XT!AB188,XT!AF188,XT!AJ188)))</f>
        <v>0</v>
      </c>
      <c r="Z188" t="str">
        <f>IFERROR(INDEX(CHOOSE({1,2,3,4}, DAY(XT!U188), DAY(XT!Y188), DAY(XT!AC188), DAY(XT!AG188)), MATCH(1, INDEX(--(MONTH(CHOOSE({1,2,3,4}, XT!U188,XT!Y188,XT!AC188,XT!AG188))=7), 0), 0)), "")</f>
        <v/>
      </c>
      <c r="AA188" s="51" t="str">
        <f>IF(XT!$P188&gt;0,Z188,"")</f>
        <v/>
      </c>
      <c r="AB188" s="51" t="str">
        <f>IF(XT!$P188=0,Z188,"")</f>
        <v/>
      </c>
      <c r="AC188">
        <f>SUMPRODUCT((MONTH(CHOOSE({1,2,3,4},XT!U188,XT!Y188,XT!AC188,XT!AG188))=8)*(CHOOSE({1,2,3,4},XT!X188,XT!AB188,XT!AF188,XT!AJ188)))</f>
        <v>0</v>
      </c>
      <c r="AD188" t="str">
        <f>IFERROR(INDEX(CHOOSE({1,2,3,4}, DAY(XT!U188), DAY(XT!Y188), DAY(XT!AC188), DAY(XT!AG188)), MATCH(1, INDEX(--(MONTH(CHOOSE({1,2,3,4}, XT!U188,XT!Y188,XT!AC188,XT!AG188))=8), 0), 0)), "")</f>
        <v/>
      </c>
      <c r="AE188" s="51" t="str">
        <f>IF(XT!$P188&gt;0,AD188,"")</f>
        <v/>
      </c>
      <c r="AF188" s="51" t="str">
        <f>IF(XT!$P188=0,AD188,"")</f>
        <v/>
      </c>
      <c r="AG188">
        <f>SUMPRODUCT((MONTH(CHOOSE({1,2,3,4},XT!U188,XT!Y188,XT!AC188,XT!AG188))=9)*(CHOOSE({1,2,3,4},XT!X188,XT!AB188,XT!AF188,XT!AJ188)))</f>
        <v>0</v>
      </c>
      <c r="AH188" t="str">
        <f>IFERROR(INDEX(CHOOSE({1,2,3,4}, DAY(XT!U188), DAY(XT!Y188), DAY(XT!AC188), DAY(XT!AG188)), MATCH(1, INDEX(--(MONTH(CHOOSE({1,2,3,4}, XT!U188,XT!Y188,XT!AC188,XT!AG188))=9), 0), 0)), "")</f>
        <v/>
      </c>
      <c r="AI188" s="51" t="str">
        <f>IF(XT!$P188&gt;0,AH188,"")</f>
        <v/>
      </c>
      <c r="AJ188" s="51" t="str">
        <f>IF(XT!$P188=0,AH188,"")</f>
        <v/>
      </c>
      <c r="AK188">
        <f>SUMPRODUCT((MONTH(CHOOSE({1,2,3,4},XT!U188,XT!Y188,XT!AC188,XT!AG188))=10)*(CHOOSE({1,2,3,4},XT!X188,XT!AB188,XT!AF188,XT!AJ188)))</f>
        <v>0</v>
      </c>
      <c r="AL188" t="str">
        <f>IFERROR(INDEX(CHOOSE({1,2,3,4}, DAY(XT!U188), DAY(XT!Y188), DAY(XT!AC188), DAY(XT!AG188)), MATCH(1, INDEX(--(MONTH(CHOOSE({1,2,3,4}, XT!U188,XT!Y188,XT!AC188,XT!AG188))=10), 0), 0)), "")</f>
        <v/>
      </c>
      <c r="AM188" s="51" t="str">
        <f>IF(XT!$P188&gt;0,AL188,"")</f>
        <v/>
      </c>
      <c r="AN188" s="51" t="str">
        <f>IF(XT!$P188=0,AL188,"")</f>
        <v/>
      </c>
      <c r="AO188">
        <f>SUMPRODUCT((MONTH(CHOOSE({1,2,3,4},XT!U188,XT!Y188,XT!AC188,XT!AG188))=11)*(CHOOSE({1,2,3,4},XT!X188,XT!AB188,XT!AF188,XT!AJ188)))</f>
        <v>0</v>
      </c>
      <c r="AP188" t="str">
        <f>IFERROR(INDEX(CHOOSE({1,2,3,4}, DAY(XT!U188), DAY(XT!Y188), DAY(XT!AC188), DAY(XT!AG188)), MATCH(1, INDEX(--(MONTH(CHOOSE({1,2,3,4}, XT!U188,XT!Y188,XT!AC188,XT!AG188))=11), 0), 0)), "")</f>
        <v/>
      </c>
      <c r="AQ188" s="51" t="str">
        <f>IF(XT!$P188&gt;0,AP188,"")</f>
        <v/>
      </c>
      <c r="AR188" s="51" t="str">
        <f>IF(XT!$P188=0,AP188,"")</f>
        <v/>
      </c>
      <c r="AS188">
        <f>SUMPRODUCT((MONTH(CHOOSE({1,2,3,4},XT!U188,XT!Y188,XT!AC188,XT!AG188))=12)*(CHOOSE({1,2,3,4},XT!X188,XT!AB188,XT!AF188,XT!AJ188)))</f>
        <v>0</v>
      </c>
      <c r="AT188" t="str">
        <f>IFERROR(INDEX(CHOOSE({1,2,3,4}, DAY(XT!U188), DAY(XT!Y188), DAY(XT!AC188), DAY(XT!AG188)), MATCH(1, INDEX(--(MONTH(CHOOSE({1,2,3,4}, XT!U188,XT!Y188,XT!AC188,XT!AG188))=12), 0), 0)), "")</f>
        <v/>
      </c>
      <c r="AU188" s="51" t="str">
        <f>IF(XT!$P188&gt;0,AT188,"")</f>
        <v/>
      </c>
      <c r="AV188" s="51" t="str">
        <f>IF(XT!$P188=0,AT188,"")</f>
        <v/>
      </c>
    </row>
    <row r="189" spans="1:48">
      <c r="A189">
        <f>SUMPRODUCT((MONTH(CHOOSE({1,2,3,4},XT!U189,XT!Y189,XT!AC189,XT!AG189))=1)*(CHOOSE({1,2,3,4},XT!X189,XT!AB189,XT!AF189,XT!AJ189)))</f>
        <v>0</v>
      </c>
      <c r="B189">
        <f>IFERROR(INDEX(CHOOSE({1,2,3,4}, DAY(XT!U189), DAY(XT!Y189), DAY(XT!AC189), DAY(XT!AG189)), MATCH(1, INDEX(--(MONTH(CHOOSE({1,2,3,4}, XT!U189,XT!Y189,XT!AC189,XT!AG189))=1), 0), 0)), "")</f>
        <v>0</v>
      </c>
      <c r="C189" s="51" t="str">
        <f>IF(XT!$P189&gt;0,B189,"")</f>
        <v/>
      </c>
      <c r="D189" s="51">
        <f>IF(XT!$P189=0,B189,"")</f>
        <v>0</v>
      </c>
      <c r="E189">
        <f>SUMPRODUCT((MONTH(CHOOSE({1,2,3,4},XT!U189,XT!Y189,XT!AC189,XT!AG189))=2)*(CHOOSE({1,2,3,4},XT!X189,XT!AB189,XT!AF189,XT!AJ189)))</f>
        <v>0</v>
      </c>
      <c r="F189" t="str">
        <f>IFERROR(INDEX(CHOOSE({1,2,3,4}, DAY(XT!U189), DAY(XT!Y189), DAY(XT!AC189), DAY(XT!AG189)), MATCH(1, INDEX(--(MONTH(CHOOSE({1,2,3,4}, XT!U189,XT!Y189,XT!AC189,XT!AG189))=2), 0), 0)), "")</f>
        <v/>
      </c>
      <c r="G189" s="51" t="str">
        <f>IF(XT!$P189&gt;0,F189,"")</f>
        <v/>
      </c>
      <c r="H189" s="51" t="str">
        <f>IF(XT!$P189=0,F189,"")</f>
        <v/>
      </c>
      <c r="I189">
        <f>SUMPRODUCT((MONTH(CHOOSE({1,2,3,4},XT!U189,XT!Y189,XT!AC189,XT!AG189))=3)*(CHOOSE({1,2,3,4},XT!X189,XT!AB189,XT!AF189,XT!AJ189)))</f>
        <v>0</v>
      </c>
      <c r="J189" t="str">
        <f>IFERROR(INDEX(CHOOSE({1,2,3,4}, DAY(XT!U189), DAY(XT!Y189), DAY(XT!AC189), DAY(XT!AG189)), MATCH(1, INDEX(--(MONTH(CHOOSE({1,2,3,4}, XT!U189,XT!Y189,XT!AC189,XT!AG189))=3), 0), 0)), "")</f>
        <v/>
      </c>
      <c r="K189" s="51" t="str">
        <f>IF(XT!$P189&gt;0,J189,"")</f>
        <v/>
      </c>
      <c r="L189" s="51" t="str">
        <f>IF(XT!$P189=0,J189,"")</f>
        <v/>
      </c>
      <c r="M189">
        <f>SUMPRODUCT((MONTH(CHOOSE({1,2,3,4},XT!U189,XT!Y189,XT!AC189,XT!AG189))=4)*(CHOOSE({1,2,3,4},XT!X189,XT!AB189,XT!AF189,XT!AJ189)))</f>
        <v>0</v>
      </c>
      <c r="N189" t="str">
        <f>IFERROR(INDEX(CHOOSE({1,2,3,4}, DAY(XT!U189), DAY(XT!Y189), DAY(XT!AC189), DAY(XT!AG189)), MATCH(1, INDEX(--(MONTH(CHOOSE({1,2,3,4}, XT!U189,XT!Y189,XT!AC189,XT!AG189))=4), 0), 0)), "")</f>
        <v/>
      </c>
      <c r="O189" s="51" t="str">
        <f>IF(XT!$P189&gt;0,N189,"")</f>
        <v/>
      </c>
      <c r="P189" s="51" t="str">
        <f>IF(XT!$P189=0,N189,"")</f>
        <v/>
      </c>
      <c r="Q189">
        <f>SUMPRODUCT((MONTH(CHOOSE({1,2,3,4},XT!U189,XT!Y189,XT!AC189,XT!AG189))=5)*(CHOOSE({1,2,3,4},XT!X189,XT!AB189,XT!AF189,XT!AJ189)))</f>
        <v>0</v>
      </c>
      <c r="R189" t="str">
        <f>IFERROR(INDEX(CHOOSE({1,2,3,4}, DAY(XT!U189), DAY(XT!Y189), DAY(XT!AC189), DAY(XT!AG189)), MATCH(1, INDEX(--(MONTH(CHOOSE({1,2,3,4}, XT!U189,XT!Y189,XT!AC189,XT!AG189))=5), 0), 0)), "")</f>
        <v/>
      </c>
      <c r="S189" s="51" t="str">
        <f>IF(XT!$P189&gt;0,R189,"")</f>
        <v/>
      </c>
      <c r="T189" s="51" t="str">
        <f>IF(XT!$P189=0,R189,"")</f>
        <v/>
      </c>
      <c r="U189">
        <f>SUMPRODUCT((MONTH(CHOOSE({1,2,3,4},XT!U189,XT!Y189,XT!AC189,XT!AG189))=6)*(CHOOSE({1,2,3,4},XT!X189,XT!AB189,XT!AF189,XT!AJ189)))</f>
        <v>0</v>
      </c>
      <c r="V189" t="str">
        <f>IFERROR(INDEX(CHOOSE({1,2,3,4}, DAY(XT!U189), DAY(XT!Y189), DAY(XT!AC189), DAY(XT!AG189)), MATCH(1, INDEX(--(MONTH(CHOOSE({1,2,3,4}, XT!U189,XT!Y189,XT!AC189,XT!AG189))=6), 0), 0)), "")</f>
        <v/>
      </c>
      <c r="W189" s="51" t="str">
        <f>IF(XT!$P189&gt;0,V189,"")</f>
        <v/>
      </c>
      <c r="X189" s="51" t="str">
        <f>IF(XT!$P189=0,V189,"")</f>
        <v/>
      </c>
      <c r="Y189">
        <f>SUMPRODUCT((MONTH(CHOOSE({1,2,3,4},XT!U189,XT!Y189,XT!AC189,XT!AG189))=7)*(CHOOSE({1,2,3,4},XT!X189,XT!AB189,XT!AF189,XT!AJ189)))</f>
        <v>0</v>
      </c>
      <c r="Z189" t="str">
        <f>IFERROR(INDEX(CHOOSE({1,2,3,4}, DAY(XT!U189), DAY(XT!Y189), DAY(XT!AC189), DAY(XT!AG189)), MATCH(1, INDEX(--(MONTH(CHOOSE({1,2,3,4}, XT!U189,XT!Y189,XT!AC189,XT!AG189))=7), 0), 0)), "")</f>
        <v/>
      </c>
      <c r="AA189" s="51" t="str">
        <f>IF(XT!$P189&gt;0,Z189,"")</f>
        <v/>
      </c>
      <c r="AB189" s="51" t="str">
        <f>IF(XT!$P189=0,Z189,"")</f>
        <v/>
      </c>
      <c r="AC189">
        <f>SUMPRODUCT((MONTH(CHOOSE({1,2,3,4},XT!U189,XT!Y189,XT!AC189,XT!AG189))=8)*(CHOOSE({1,2,3,4},XT!X189,XT!AB189,XT!AF189,XT!AJ189)))</f>
        <v>0</v>
      </c>
      <c r="AD189" t="str">
        <f>IFERROR(INDEX(CHOOSE({1,2,3,4}, DAY(XT!U189), DAY(XT!Y189), DAY(XT!AC189), DAY(XT!AG189)), MATCH(1, INDEX(--(MONTH(CHOOSE({1,2,3,4}, XT!U189,XT!Y189,XT!AC189,XT!AG189))=8), 0), 0)), "")</f>
        <v/>
      </c>
      <c r="AE189" s="51" t="str">
        <f>IF(XT!$P189&gt;0,AD189,"")</f>
        <v/>
      </c>
      <c r="AF189" s="51" t="str">
        <f>IF(XT!$P189=0,AD189,"")</f>
        <v/>
      </c>
      <c r="AG189">
        <f>SUMPRODUCT((MONTH(CHOOSE({1,2,3,4},XT!U189,XT!Y189,XT!AC189,XT!AG189))=9)*(CHOOSE({1,2,3,4},XT!X189,XT!AB189,XT!AF189,XT!AJ189)))</f>
        <v>0</v>
      </c>
      <c r="AH189" t="str">
        <f>IFERROR(INDEX(CHOOSE({1,2,3,4}, DAY(XT!U189), DAY(XT!Y189), DAY(XT!AC189), DAY(XT!AG189)), MATCH(1, INDEX(--(MONTH(CHOOSE({1,2,3,4}, XT!U189,XT!Y189,XT!AC189,XT!AG189))=9), 0), 0)), "")</f>
        <v/>
      </c>
      <c r="AI189" s="51" t="str">
        <f>IF(XT!$P189&gt;0,AH189,"")</f>
        <v/>
      </c>
      <c r="AJ189" s="51" t="str">
        <f>IF(XT!$P189=0,AH189,"")</f>
        <v/>
      </c>
      <c r="AK189">
        <f>SUMPRODUCT((MONTH(CHOOSE({1,2,3,4},XT!U189,XT!Y189,XT!AC189,XT!AG189))=10)*(CHOOSE({1,2,3,4},XT!X189,XT!AB189,XT!AF189,XT!AJ189)))</f>
        <v>0</v>
      </c>
      <c r="AL189" t="str">
        <f>IFERROR(INDEX(CHOOSE({1,2,3,4}, DAY(XT!U189), DAY(XT!Y189), DAY(XT!AC189), DAY(XT!AG189)), MATCH(1, INDEX(--(MONTH(CHOOSE({1,2,3,4}, XT!U189,XT!Y189,XT!AC189,XT!AG189))=10), 0), 0)), "")</f>
        <v/>
      </c>
      <c r="AM189" s="51" t="str">
        <f>IF(XT!$P189&gt;0,AL189,"")</f>
        <v/>
      </c>
      <c r="AN189" s="51" t="str">
        <f>IF(XT!$P189=0,AL189,"")</f>
        <v/>
      </c>
      <c r="AO189">
        <f>SUMPRODUCT((MONTH(CHOOSE({1,2,3,4},XT!U189,XT!Y189,XT!AC189,XT!AG189))=11)*(CHOOSE({1,2,3,4},XT!X189,XT!AB189,XT!AF189,XT!AJ189)))</f>
        <v>0</v>
      </c>
      <c r="AP189" t="str">
        <f>IFERROR(INDEX(CHOOSE({1,2,3,4}, DAY(XT!U189), DAY(XT!Y189), DAY(XT!AC189), DAY(XT!AG189)), MATCH(1, INDEX(--(MONTH(CHOOSE({1,2,3,4}, XT!U189,XT!Y189,XT!AC189,XT!AG189))=11), 0), 0)), "")</f>
        <v/>
      </c>
      <c r="AQ189" s="51" t="str">
        <f>IF(XT!$P189&gt;0,AP189,"")</f>
        <v/>
      </c>
      <c r="AR189" s="51" t="str">
        <f>IF(XT!$P189=0,AP189,"")</f>
        <v/>
      </c>
      <c r="AS189">
        <f>SUMPRODUCT((MONTH(CHOOSE({1,2,3,4},XT!U189,XT!Y189,XT!AC189,XT!AG189))=12)*(CHOOSE({1,2,3,4},XT!X189,XT!AB189,XT!AF189,XT!AJ189)))</f>
        <v>0</v>
      </c>
      <c r="AT189" t="str">
        <f>IFERROR(INDEX(CHOOSE({1,2,3,4}, DAY(XT!U189), DAY(XT!Y189), DAY(XT!AC189), DAY(XT!AG189)), MATCH(1, INDEX(--(MONTH(CHOOSE({1,2,3,4}, XT!U189,XT!Y189,XT!AC189,XT!AG189))=12), 0), 0)), "")</f>
        <v/>
      </c>
      <c r="AU189" s="51" t="str">
        <f>IF(XT!$P189&gt;0,AT189,"")</f>
        <v/>
      </c>
      <c r="AV189" s="51" t="str">
        <f>IF(XT!$P189=0,AT189,"")</f>
        <v/>
      </c>
    </row>
    <row r="190" spans="1:48">
      <c r="A190">
        <f>SUMPRODUCT((MONTH(CHOOSE({1,2,3,4},XT!U190,XT!Y190,XT!AC190,XT!AG190))=1)*(CHOOSE({1,2,3,4},XT!X190,XT!AB190,XT!AF190,XT!AJ190)))</f>
        <v>0</v>
      </c>
      <c r="B190">
        <f>IFERROR(INDEX(CHOOSE({1,2,3,4}, DAY(XT!U190), DAY(XT!Y190), DAY(XT!AC190), DAY(XT!AG190)), MATCH(1, INDEX(--(MONTH(CHOOSE({1,2,3,4}, XT!U190,XT!Y190,XT!AC190,XT!AG190))=1), 0), 0)), "")</f>
        <v>0</v>
      </c>
      <c r="C190" s="51" t="str">
        <f>IF(XT!$P190&gt;0,B190,"")</f>
        <v/>
      </c>
      <c r="D190" s="51">
        <f>IF(XT!$P190=0,B190,"")</f>
        <v>0</v>
      </c>
      <c r="E190">
        <f>SUMPRODUCT((MONTH(CHOOSE({1,2,3,4},XT!U190,XT!Y190,XT!AC190,XT!AG190))=2)*(CHOOSE({1,2,3,4},XT!X190,XT!AB190,XT!AF190,XT!AJ190)))</f>
        <v>0</v>
      </c>
      <c r="F190" t="str">
        <f>IFERROR(INDEX(CHOOSE({1,2,3,4}, DAY(XT!U190), DAY(XT!Y190), DAY(XT!AC190), DAY(XT!AG190)), MATCH(1, INDEX(--(MONTH(CHOOSE({1,2,3,4}, XT!U190,XT!Y190,XT!AC190,XT!AG190))=2), 0), 0)), "")</f>
        <v/>
      </c>
      <c r="G190" s="51" t="str">
        <f>IF(XT!$P190&gt;0,F190,"")</f>
        <v/>
      </c>
      <c r="H190" s="51" t="str">
        <f>IF(XT!$P190=0,F190,"")</f>
        <v/>
      </c>
      <c r="I190">
        <f>SUMPRODUCT((MONTH(CHOOSE({1,2,3,4},XT!U190,XT!Y190,XT!AC190,XT!AG190))=3)*(CHOOSE({1,2,3,4},XT!X190,XT!AB190,XT!AF190,XT!AJ190)))</f>
        <v>0</v>
      </c>
      <c r="J190" t="str">
        <f>IFERROR(INDEX(CHOOSE({1,2,3,4}, DAY(XT!U190), DAY(XT!Y190), DAY(XT!AC190), DAY(XT!AG190)), MATCH(1, INDEX(--(MONTH(CHOOSE({1,2,3,4}, XT!U190,XT!Y190,XT!AC190,XT!AG190))=3), 0), 0)), "")</f>
        <v/>
      </c>
      <c r="K190" s="51" t="str">
        <f>IF(XT!$P190&gt;0,J190,"")</f>
        <v/>
      </c>
      <c r="L190" s="51" t="str">
        <f>IF(XT!$P190=0,J190,"")</f>
        <v/>
      </c>
      <c r="M190">
        <f>SUMPRODUCT((MONTH(CHOOSE({1,2,3,4},XT!U190,XT!Y190,XT!AC190,XT!AG190))=4)*(CHOOSE({1,2,3,4},XT!X190,XT!AB190,XT!AF190,XT!AJ190)))</f>
        <v>0</v>
      </c>
      <c r="N190" t="str">
        <f>IFERROR(INDEX(CHOOSE({1,2,3,4}, DAY(XT!U190), DAY(XT!Y190), DAY(XT!AC190), DAY(XT!AG190)), MATCH(1, INDEX(--(MONTH(CHOOSE({1,2,3,4}, XT!U190,XT!Y190,XT!AC190,XT!AG190))=4), 0), 0)), "")</f>
        <v/>
      </c>
      <c r="O190" s="51" t="str">
        <f>IF(XT!$P190&gt;0,N190,"")</f>
        <v/>
      </c>
      <c r="P190" s="51" t="str">
        <f>IF(XT!$P190=0,N190,"")</f>
        <v/>
      </c>
      <c r="Q190">
        <f>SUMPRODUCT((MONTH(CHOOSE({1,2,3,4},XT!U190,XT!Y190,XT!AC190,XT!AG190))=5)*(CHOOSE({1,2,3,4},XT!X190,XT!AB190,XT!AF190,XT!AJ190)))</f>
        <v>0</v>
      </c>
      <c r="R190" t="str">
        <f>IFERROR(INDEX(CHOOSE({1,2,3,4}, DAY(XT!U190), DAY(XT!Y190), DAY(XT!AC190), DAY(XT!AG190)), MATCH(1, INDEX(--(MONTH(CHOOSE({1,2,3,4}, XT!U190,XT!Y190,XT!AC190,XT!AG190))=5), 0), 0)), "")</f>
        <v/>
      </c>
      <c r="S190" s="51" t="str">
        <f>IF(XT!$P190&gt;0,R190,"")</f>
        <v/>
      </c>
      <c r="T190" s="51" t="str">
        <f>IF(XT!$P190=0,R190,"")</f>
        <v/>
      </c>
      <c r="U190">
        <f>SUMPRODUCT((MONTH(CHOOSE({1,2,3,4},XT!U190,XT!Y190,XT!AC190,XT!AG190))=6)*(CHOOSE({1,2,3,4},XT!X190,XT!AB190,XT!AF190,XT!AJ190)))</f>
        <v>0</v>
      </c>
      <c r="V190" t="str">
        <f>IFERROR(INDEX(CHOOSE({1,2,3,4}, DAY(XT!U190), DAY(XT!Y190), DAY(XT!AC190), DAY(XT!AG190)), MATCH(1, INDEX(--(MONTH(CHOOSE({1,2,3,4}, XT!U190,XT!Y190,XT!AC190,XT!AG190))=6), 0), 0)), "")</f>
        <v/>
      </c>
      <c r="W190" s="51" t="str">
        <f>IF(XT!$P190&gt;0,V190,"")</f>
        <v/>
      </c>
      <c r="X190" s="51" t="str">
        <f>IF(XT!$P190=0,V190,"")</f>
        <v/>
      </c>
      <c r="Y190">
        <f>SUMPRODUCT((MONTH(CHOOSE({1,2,3,4},XT!U190,XT!Y190,XT!AC190,XT!AG190))=7)*(CHOOSE({1,2,3,4},XT!X190,XT!AB190,XT!AF190,XT!AJ190)))</f>
        <v>0</v>
      </c>
      <c r="Z190" t="str">
        <f>IFERROR(INDEX(CHOOSE({1,2,3,4}, DAY(XT!U190), DAY(XT!Y190), DAY(XT!AC190), DAY(XT!AG190)), MATCH(1, INDEX(--(MONTH(CHOOSE({1,2,3,4}, XT!U190,XT!Y190,XT!AC190,XT!AG190))=7), 0), 0)), "")</f>
        <v/>
      </c>
      <c r="AA190" s="51" t="str">
        <f>IF(XT!$P190&gt;0,Z190,"")</f>
        <v/>
      </c>
      <c r="AB190" s="51" t="str">
        <f>IF(XT!$P190=0,Z190,"")</f>
        <v/>
      </c>
      <c r="AC190">
        <f>SUMPRODUCT((MONTH(CHOOSE({1,2,3,4},XT!U190,XT!Y190,XT!AC190,XT!AG190))=8)*(CHOOSE({1,2,3,4},XT!X190,XT!AB190,XT!AF190,XT!AJ190)))</f>
        <v>0</v>
      </c>
      <c r="AD190" t="str">
        <f>IFERROR(INDEX(CHOOSE({1,2,3,4}, DAY(XT!U190), DAY(XT!Y190), DAY(XT!AC190), DAY(XT!AG190)), MATCH(1, INDEX(--(MONTH(CHOOSE({1,2,3,4}, XT!U190,XT!Y190,XT!AC190,XT!AG190))=8), 0), 0)), "")</f>
        <v/>
      </c>
      <c r="AE190" s="51" t="str">
        <f>IF(XT!$P190&gt;0,AD190,"")</f>
        <v/>
      </c>
      <c r="AF190" s="51" t="str">
        <f>IF(XT!$P190=0,AD190,"")</f>
        <v/>
      </c>
      <c r="AG190">
        <f>SUMPRODUCT((MONTH(CHOOSE({1,2,3,4},XT!U190,XT!Y190,XT!AC190,XT!AG190))=9)*(CHOOSE({1,2,3,4},XT!X190,XT!AB190,XT!AF190,XT!AJ190)))</f>
        <v>0</v>
      </c>
      <c r="AH190" t="str">
        <f>IFERROR(INDEX(CHOOSE({1,2,3,4}, DAY(XT!U190), DAY(XT!Y190), DAY(XT!AC190), DAY(XT!AG190)), MATCH(1, INDEX(--(MONTH(CHOOSE({1,2,3,4}, XT!U190,XT!Y190,XT!AC190,XT!AG190))=9), 0), 0)), "")</f>
        <v/>
      </c>
      <c r="AI190" s="51" t="str">
        <f>IF(XT!$P190&gt;0,AH190,"")</f>
        <v/>
      </c>
      <c r="AJ190" s="51" t="str">
        <f>IF(XT!$P190=0,AH190,"")</f>
        <v/>
      </c>
      <c r="AK190">
        <f>SUMPRODUCT((MONTH(CHOOSE({1,2,3,4},XT!U190,XT!Y190,XT!AC190,XT!AG190))=10)*(CHOOSE({1,2,3,4},XT!X190,XT!AB190,XT!AF190,XT!AJ190)))</f>
        <v>0</v>
      </c>
      <c r="AL190" t="str">
        <f>IFERROR(INDEX(CHOOSE({1,2,3,4}, DAY(XT!U190), DAY(XT!Y190), DAY(XT!AC190), DAY(XT!AG190)), MATCH(1, INDEX(--(MONTH(CHOOSE({1,2,3,4}, XT!U190,XT!Y190,XT!AC190,XT!AG190))=10), 0), 0)), "")</f>
        <v/>
      </c>
      <c r="AM190" s="51" t="str">
        <f>IF(XT!$P190&gt;0,AL190,"")</f>
        <v/>
      </c>
      <c r="AN190" s="51" t="str">
        <f>IF(XT!$P190=0,AL190,"")</f>
        <v/>
      </c>
      <c r="AO190">
        <f>SUMPRODUCT((MONTH(CHOOSE({1,2,3,4},XT!U190,XT!Y190,XT!AC190,XT!AG190))=11)*(CHOOSE({1,2,3,4},XT!X190,XT!AB190,XT!AF190,XT!AJ190)))</f>
        <v>0</v>
      </c>
      <c r="AP190" t="str">
        <f>IFERROR(INDEX(CHOOSE({1,2,3,4}, DAY(XT!U190), DAY(XT!Y190), DAY(XT!AC190), DAY(XT!AG190)), MATCH(1, INDEX(--(MONTH(CHOOSE({1,2,3,4}, XT!U190,XT!Y190,XT!AC190,XT!AG190))=11), 0), 0)), "")</f>
        <v/>
      </c>
      <c r="AQ190" s="51" t="str">
        <f>IF(XT!$P190&gt;0,AP190,"")</f>
        <v/>
      </c>
      <c r="AR190" s="51" t="str">
        <f>IF(XT!$P190=0,AP190,"")</f>
        <v/>
      </c>
      <c r="AS190">
        <f>SUMPRODUCT((MONTH(CHOOSE({1,2,3,4},XT!U190,XT!Y190,XT!AC190,XT!AG190))=12)*(CHOOSE({1,2,3,4},XT!X190,XT!AB190,XT!AF190,XT!AJ190)))</f>
        <v>0</v>
      </c>
      <c r="AT190" t="str">
        <f>IFERROR(INDEX(CHOOSE({1,2,3,4}, DAY(XT!U190), DAY(XT!Y190), DAY(XT!AC190), DAY(XT!AG190)), MATCH(1, INDEX(--(MONTH(CHOOSE({1,2,3,4}, XT!U190,XT!Y190,XT!AC190,XT!AG190))=12), 0), 0)), "")</f>
        <v/>
      </c>
      <c r="AU190" s="51" t="str">
        <f>IF(XT!$P190&gt;0,AT190,"")</f>
        <v/>
      </c>
      <c r="AV190" s="51" t="str">
        <f>IF(XT!$P190=0,AT190,"")</f>
        <v/>
      </c>
    </row>
    <row r="191" spans="1:48">
      <c r="A191">
        <f>SUMPRODUCT((MONTH(CHOOSE({1,2,3,4},XT!U191,XT!Y191,XT!AC191,XT!AG191))=1)*(CHOOSE({1,2,3,4},XT!X191,XT!AB191,XT!AF191,XT!AJ191)))</f>
        <v>0</v>
      </c>
      <c r="B191">
        <f>IFERROR(INDEX(CHOOSE({1,2,3,4}, DAY(XT!U191), DAY(XT!Y191), DAY(XT!AC191), DAY(XT!AG191)), MATCH(1, INDEX(--(MONTH(CHOOSE({1,2,3,4}, XT!U191,XT!Y191,XT!AC191,XT!AG191))=1), 0), 0)), "")</f>
        <v>0</v>
      </c>
      <c r="C191" s="51" t="str">
        <f>IF(XT!$P191&gt;0,B191,"")</f>
        <v/>
      </c>
      <c r="D191" s="51">
        <f>IF(XT!$P191=0,B191,"")</f>
        <v>0</v>
      </c>
      <c r="E191">
        <f>SUMPRODUCT((MONTH(CHOOSE({1,2,3,4},XT!U191,XT!Y191,XT!AC191,XT!AG191))=2)*(CHOOSE({1,2,3,4},XT!X191,XT!AB191,XT!AF191,XT!AJ191)))</f>
        <v>0</v>
      </c>
      <c r="F191" t="str">
        <f>IFERROR(INDEX(CHOOSE({1,2,3,4}, DAY(XT!U191), DAY(XT!Y191), DAY(XT!AC191), DAY(XT!AG191)), MATCH(1, INDEX(--(MONTH(CHOOSE({1,2,3,4}, XT!U191,XT!Y191,XT!AC191,XT!AG191))=2), 0), 0)), "")</f>
        <v/>
      </c>
      <c r="G191" s="51" t="str">
        <f>IF(XT!$P191&gt;0,F191,"")</f>
        <v/>
      </c>
      <c r="H191" s="51" t="str">
        <f>IF(XT!$P191=0,F191,"")</f>
        <v/>
      </c>
      <c r="I191">
        <f>SUMPRODUCT((MONTH(CHOOSE({1,2,3,4},XT!U191,XT!Y191,XT!AC191,XT!AG191))=3)*(CHOOSE({1,2,3,4},XT!X191,XT!AB191,XT!AF191,XT!AJ191)))</f>
        <v>0</v>
      </c>
      <c r="J191" t="str">
        <f>IFERROR(INDEX(CHOOSE({1,2,3,4}, DAY(XT!U191), DAY(XT!Y191), DAY(XT!AC191), DAY(XT!AG191)), MATCH(1, INDEX(--(MONTH(CHOOSE({1,2,3,4}, XT!U191,XT!Y191,XT!AC191,XT!AG191))=3), 0), 0)), "")</f>
        <v/>
      </c>
      <c r="K191" s="51" t="str">
        <f>IF(XT!$P191&gt;0,J191,"")</f>
        <v/>
      </c>
      <c r="L191" s="51" t="str">
        <f>IF(XT!$P191=0,J191,"")</f>
        <v/>
      </c>
      <c r="M191">
        <f>SUMPRODUCT((MONTH(CHOOSE({1,2,3,4},XT!U191,XT!Y191,XT!AC191,XT!AG191))=4)*(CHOOSE({1,2,3,4},XT!X191,XT!AB191,XT!AF191,XT!AJ191)))</f>
        <v>0</v>
      </c>
      <c r="N191" t="str">
        <f>IFERROR(INDEX(CHOOSE({1,2,3,4}, DAY(XT!U191), DAY(XT!Y191), DAY(XT!AC191), DAY(XT!AG191)), MATCH(1, INDEX(--(MONTH(CHOOSE({1,2,3,4}, XT!U191,XT!Y191,XT!AC191,XT!AG191))=4), 0), 0)), "")</f>
        <v/>
      </c>
      <c r="O191" s="51" t="str">
        <f>IF(XT!$P191&gt;0,N191,"")</f>
        <v/>
      </c>
      <c r="P191" s="51" t="str">
        <f>IF(XT!$P191=0,N191,"")</f>
        <v/>
      </c>
      <c r="Q191">
        <f>SUMPRODUCT((MONTH(CHOOSE({1,2,3,4},XT!U191,XT!Y191,XT!AC191,XT!AG191))=5)*(CHOOSE({1,2,3,4},XT!X191,XT!AB191,XT!AF191,XT!AJ191)))</f>
        <v>0</v>
      </c>
      <c r="R191" t="str">
        <f>IFERROR(INDEX(CHOOSE({1,2,3,4}, DAY(XT!U191), DAY(XT!Y191), DAY(XT!AC191), DAY(XT!AG191)), MATCH(1, INDEX(--(MONTH(CHOOSE({1,2,3,4}, XT!U191,XT!Y191,XT!AC191,XT!AG191))=5), 0), 0)), "")</f>
        <v/>
      </c>
      <c r="S191" s="51" t="str">
        <f>IF(XT!$P191&gt;0,R191,"")</f>
        <v/>
      </c>
      <c r="T191" s="51" t="str">
        <f>IF(XT!$P191=0,R191,"")</f>
        <v/>
      </c>
      <c r="U191">
        <f>SUMPRODUCT((MONTH(CHOOSE({1,2,3,4},XT!U191,XT!Y191,XT!AC191,XT!AG191))=6)*(CHOOSE({1,2,3,4},XT!X191,XT!AB191,XT!AF191,XT!AJ191)))</f>
        <v>0</v>
      </c>
      <c r="V191" t="str">
        <f>IFERROR(INDEX(CHOOSE({1,2,3,4}, DAY(XT!U191), DAY(XT!Y191), DAY(XT!AC191), DAY(XT!AG191)), MATCH(1, INDEX(--(MONTH(CHOOSE({1,2,3,4}, XT!U191,XT!Y191,XT!AC191,XT!AG191))=6), 0), 0)), "")</f>
        <v/>
      </c>
      <c r="W191" s="51" t="str">
        <f>IF(XT!$P191&gt;0,V191,"")</f>
        <v/>
      </c>
      <c r="X191" s="51" t="str">
        <f>IF(XT!$P191=0,V191,"")</f>
        <v/>
      </c>
      <c r="Y191">
        <f>SUMPRODUCT((MONTH(CHOOSE({1,2,3,4},XT!U191,XT!Y191,XT!AC191,XT!AG191))=7)*(CHOOSE({1,2,3,4},XT!X191,XT!AB191,XT!AF191,XT!AJ191)))</f>
        <v>0</v>
      </c>
      <c r="Z191" t="str">
        <f>IFERROR(INDEX(CHOOSE({1,2,3,4}, DAY(XT!U191), DAY(XT!Y191), DAY(XT!AC191), DAY(XT!AG191)), MATCH(1, INDEX(--(MONTH(CHOOSE({1,2,3,4}, XT!U191,XT!Y191,XT!AC191,XT!AG191))=7), 0), 0)), "")</f>
        <v/>
      </c>
      <c r="AA191" s="51" t="str">
        <f>IF(XT!$P191&gt;0,Z191,"")</f>
        <v/>
      </c>
      <c r="AB191" s="51" t="str">
        <f>IF(XT!$P191=0,Z191,"")</f>
        <v/>
      </c>
      <c r="AC191">
        <f>SUMPRODUCT((MONTH(CHOOSE({1,2,3,4},XT!U191,XT!Y191,XT!AC191,XT!AG191))=8)*(CHOOSE({1,2,3,4},XT!X191,XT!AB191,XT!AF191,XT!AJ191)))</f>
        <v>0</v>
      </c>
      <c r="AD191" t="str">
        <f>IFERROR(INDEX(CHOOSE({1,2,3,4}, DAY(XT!U191), DAY(XT!Y191), DAY(XT!AC191), DAY(XT!AG191)), MATCH(1, INDEX(--(MONTH(CHOOSE({1,2,3,4}, XT!U191,XT!Y191,XT!AC191,XT!AG191))=8), 0), 0)), "")</f>
        <v/>
      </c>
      <c r="AE191" s="51" t="str">
        <f>IF(XT!$P191&gt;0,AD191,"")</f>
        <v/>
      </c>
      <c r="AF191" s="51" t="str">
        <f>IF(XT!$P191=0,AD191,"")</f>
        <v/>
      </c>
      <c r="AG191">
        <f>SUMPRODUCT((MONTH(CHOOSE({1,2,3,4},XT!U191,XT!Y191,XT!AC191,XT!AG191))=9)*(CHOOSE({1,2,3,4},XT!X191,XT!AB191,XT!AF191,XT!AJ191)))</f>
        <v>0</v>
      </c>
      <c r="AH191" t="str">
        <f>IFERROR(INDEX(CHOOSE({1,2,3,4}, DAY(XT!U191), DAY(XT!Y191), DAY(XT!AC191), DAY(XT!AG191)), MATCH(1, INDEX(--(MONTH(CHOOSE({1,2,3,4}, XT!U191,XT!Y191,XT!AC191,XT!AG191))=9), 0), 0)), "")</f>
        <v/>
      </c>
      <c r="AI191" s="51" t="str">
        <f>IF(XT!$P191&gt;0,AH191,"")</f>
        <v/>
      </c>
      <c r="AJ191" s="51" t="str">
        <f>IF(XT!$P191=0,AH191,"")</f>
        <v/>
      </c>
      <c r="AK191">
        <f>SUMPRODUCT((MONTH(CHOOSE({1,2,3,4},XT!U191,XT!Y191,XT!AC191,XT!AG191))=10)*(CHOOSE({1,2,3,4},XT!X191,XT!AB191,XT!AF191,XT!AJ191)))</f>
        <v>0</v>
      </c>
      <c r="AL191" t="str">
        <f>IFERROR(INDEX(CHOOSE({1,2,3,4}, DAY(XT!U191), DAY(XT!Y191), DAY(XT!AC191), DAY(XT!AG191)), MATCH(1, INDEX(--(MONTH(CHOOSE({1,2,3,4}, XT!U191,XT!Y191,XT!AC191,XT!AG191))=10), 0), 0)), "")</f>
        <v/>
      </c>
      <c r="AM191" s="51" t="str">
        <f>IF(XT!$P191&gt;0,AL191,"")</f>
        <v/>
      </c>
      <c r="AN191" s="51" t="str">
        <f>IF(XT!$P191=0,AL191,"")</f>
        <v/>
      </c>
      <c r="AO191">
        <f>SUMPRODUCT((MONTH(CHOOSE({1,2,3,4},XT!U191,XT!Y191,XT!AC191,XT!AG191))=11)*(CHOOSE({1,2,3,4},XT!X191,XT!AB191,XT!AF191,XT!AJ191)))</f>
        <v>0</v>
      </c>
      <c r="AP191" t="str">
        <f>IFERROR(INDEX(CHOOSE({1,2,3,4}, DAY(XT!U191), DAY(XT!Y191), DAY(XT!AC191), DAY(XT!AG191)), MATCH(1, INDEX(--(MONTH(CHOOSE({1,2,3,4}, XT!U191,XT!Y191,XT!AC191,XT!AG191))=11), 0), 0)), "")</f>
        <v/>
      </c>
      <c r="AQ191" s="51" t="str">
        <f>IF(XT!$P191&gt;0,AP191,"")</f>
        <v/>
      </c>
      <c r="AR191" s="51" t="str">
        <f>IF(XT!$P191=0,AP191,"")</f>
        <v/>
      </c>
      <c r="AS191">
        <f>SUMPRODUCT((MONTH(CHOOSE({1,2,3,4},XT!U191,XT!Y191,XT!AC191,XT!AG191))=12)*(CHOOSE({1,2,3,4},XT!X191,XT!AB191,XT!AF191,XT!AJ191)))</f>
        <v>0</v>
      </c>
      <c r="AT191" t="str">
        <f>IFERROR(INDEX(CHOOSE({1,2,3,4}, DAY(XT!U191), DAY(XT!Y191), DAY(XT!AC191), DAY(XT!AG191)), MATCH(1, INDEX(--(MONTH(CHOOSE({1,2,3,4}, XT!U191,XT!Y191,XT!AC191,XT!AG191))=12), 0), 0)), "")</f>
        <v/>
      </c>
      <c r="AU191" s="51" t="str">
        <f>IF(XT!$P191&gt;0,AT191,"")</f>
        <v/>
      </c>
      <c r="AV191" s="51" t="str">
        <f>IF(XT!$P191=0,AT191,"")</f>
        <v/>
      </c>
    </row>
    <row r="192" spans="1:48">
      <c r="A192">
        <f>SUMPRODUCT((MONTH(CHOOSE({1,2,3,4},XT!U192,XT!Y192,XT!AC192,XT!AG192))=1)*(CHOOSE({1,2,3,4},XT!X192,XT!AB192,XT!AF192,XT!AJ192)))</f>
        <v>0</v>
      </c>
      <c r="B192">
        <f>IFERROR(INDEX(CHOOSE({1,2,3,4}, DAY(XT!U192), DAY(XT!Y192), DAY(XT!AC192), DAY(XT!AG192)), MATCH(1, INDEX(--(MONTH(CHOOSE({1,2,3,4}, XT!U192,XT!Y192,XT!AC192,XT!AG192))=1), 0), 0)), "")</f>
        <v>0</v>
      </c>
      <c r="C192" s="51" t="str">
        <f>IF(XT!$P192&gt;0,B192,"")</f>
        <v/>
      </c>
      <c r="D192" s="51">
        <f>IF(XT!$P192=0,B192,"")</f>
        <v>0</v>
      </c>
      <c r="E192">
        <f>SUMPRODUCT((MONTH(CHOOSE({1,2,3,4},XT!U192,XT!Y192,XT!AC192,XT!AG192))=2)*(CHOOSE({1,2,3,4},XT!X192,XT!AB192,XT!AF192,XT!AJ192)))</f>
        <v>0</v>
      </c>
      <c r="F192" t="str">
        <f>IFERROR(INDEX(CHOOSE({1,2,3,4}, DAY(XT!U192), DAY(XT!Y192), DAY(XT!AC192), DAY(XT!AG192)), MATCH(1, INDEX(--(MONTH(CHOOSE({1,2,3,4}, XT!U192,XT!Y192,XT!AC192,XT!AG192))=2), 0), 0)), "")</f>
        <v/>
      </c>
      <c r="G192" s="51" t="str">
        <f>IF(XT!$P192&gt;0,F192,"")</f>
        <v/>
      </c>
      <c r="H192" s="51" t="str">
        <f>IF(XT!$P192=0,F192,"")</f>
        <v/>
      </c>
      <c r="I192">
        <f>SUMPRODUCT((MONTH(CHOOSE({1,2,3,4},XT!U192,XT!Y192,XT!AC192,XT!AG192))=3)*(CHOOSE({1,2,3,4},XT!X192,XT!AB192,XT!AF192,XT!AJ192)))</f>
        <v>0</v>
      </c>
      <c r="J192" t="str">
        <f>IFERROR(INDEX(CHOOSE({1,2,3,4}, DAY(XT!U192), DAY(XT!Y192), DAY(XT!AC192), DAY(XT!AG192)), MATCH(1, INDEX(--(MONTH(CHOOSE({1,2,3,4}, XT!U192,XT!Y192,XT!AC192,XT!AG192))=3), 0), 0)), "")</f>
        <v/>
      </c>
      <c r="K192" s="51" t="str">
        <f>IF(XT!$P192&gt;0,J192,"")</f>
        <v/>
      </c>
      <c r="L192" s="51" t="str">
        <f>IF(XT!$P192=0,J192,"")</f>
        <v/>
      </c>
      <c r="M192">
        <f>SUMPRODUCT((MONTH(CHOOSE({1,2,3,4},XT!U192,XT!Y192,XT!AC192,XT!AG192))=4)*(CHOOSE({1,2,3,4},XT!X192,XT!AB192,XT!AF192,XT!AJ192)))</f>
        <v>0</v>
      </c>
      <c r="N192" t="str">
        <f>IFERROR(INDEX(CHOOSE({1,2,3,4}, DAY(XT!U192), DAY(XT!Y192), DAY(XT!AC192), DAY(XT!AG192)), MATCH(1, INDEX(--(MONTH(CHOOSE({1,2,3,4}, XT!U192,XT!Y192,XT!AC192,XT!AG192))=4), 0), 0)), "")</f>
        <v/>
      </c>
      <c r="O192" s="51" t="str">
        <f>IF(XT!$P192&gt;0,N192,"")</f>
        <v/>
      </c>
      <c r="P192" s="51" t="str">
        <f>IF(XT!$P192=0,N192,"")</f>
        <v/>
      </c>
      <c r="Q192">
        <f>SUMPRODUCT((MONTH(CHOOSE({1,2,3,4},XT!U192,XT!Y192,XT!AC192,XT!AG192))=5)*(CHOOSE({1,2,3,4},XT!X192,XT!AB192,XT!AF192,XT!AJ192)))</f>
        <v>0</v>
      </c>
      <c r="R192" t="str">
        <f>IFERROR(INDEX(CHOOSE({1,2,3,4}, DAY(XT!U192), DAY(XT!Y192), DAY(XT!AC192), DAY(XT!AG192)), MATCH(1, INDEX(--(MONTH(CHOOSE({1,2,3,4}, XT!U192,XT!Y192,XT!AC192,XT!AG192))=5), 0), 0)), "")</f>
        <v/>
      </c>
      <c r="S192" s="51" t="str">
        <f>IF(XT!$P192&gt;0,R192,"")</f>
        <v/>
      </c>
      <c r="T192" s="51" t="str">
        <f>IF(XT!$P192=0,R192,"")</f>
        <v/>
      </c>
      <c r="U192">
        <f>SUMPRODUCT((MONTH(CHOOSE({1,2,3,4},XT!U192,XT!Y192,XT!AC192,XT!AG192))=6)*(CHOOSE({1,2,3,4},XT!X192,XT!AB192,XT!AF192,XT!AJ192)))</f>
        <v>0</v>
      </c>
      <c r="V192" t="str">
        <f>IFERROR(INDEX(CHOOSE({1,2,3,4}, DAY(XT!U192), DAY(XT!Y192), DAY(XT!AC192), DAY(XT!AG192)), MATCH(1, INDEX(--(MONTH(CHOOSE({1,2,3,4}, XT!U192,XT!Y192,XT!AC192,XT!AG192))=6), 0), 0)), "")</f>
        <v/>
      </c>
      <c r="W192" s="51" t="str">
        <f>IF(XT!$P192&gt;0,V192,"")</f>
        <v/>
      </c>
      <c r="X192" s="51" t="str">
        <f>IF(XT!$P192=0,V192,"")</f>
        <v/>
      </c>
      <c r="Y192">
        <f>SUMPRODUCT((MONTH(CHOOSE({1,2,3,4},XT!U192,XT!Y192,XT!AC192,XT!AG192))=7)*(CHOOSE({1,2,3,4},XT!X192,XT!AB192,XT!AF192,XT!AJ192)))</f>
        <v>0</v>
      </c>
      <c r="Z192" t="str">
        <f>IFERROR(INDEX(CHOOSE({1,2,3,4}, DAY(XT!U192), DAY(XT!Y192), DAY(XT!AC192), DAY(XT!AG192)), MATCH(1, INDEX(--(MONTH(CHOOSE({1,2,3,4}, XT!U192,XT!Y192,XT!AC192,XT!AG192))=7), 0), 0)), "")</f>
        <v/>
      </c>
      <c r="AA192" s="51" t="str">
        <f>IF(XT!$P192&gt;0,Z192,"")</f>
        <v/>
      </c>
      <c r="AB192" s="51" t="str">
        <f>IF(XT!$P192=0,Z192,"")</f>
        <v/>
      </c>
      <c r="AC192">
        <f>SUMPRODUCT((MONTH(CHOOSE({1,2,3,4},XT!U192,XT!Y192,XT!AC192,XT!AG192))=8)*(CHOOSE({1,2,3,4},XT!X192,XT!AB192,XT!AF192,XT!AJ192)))</f>
        <v>0</v>
      </c>
      <c r="AD192" t="str">
        <f>IFERROR(INDEX(CHOOSE({1,2,3,4}, DAY(XT!U192), DAY(XT!Y192), DAY(XT!AC192), DAY(XT!AG192)), MATCH(1, INDEX(--(MONTH(CHOOSE({1,2,3,4}, XT!U192,XT!Y192,XT!AC192,XT!AG192))=8), 0), 0)), "")</f>
        <v/>
      </c>
      <c r="AE192" s="51" t="str">
        <f>IF(XT!$P192&gt;0,AD192,"")</f>
        <v/>
      </c>
      <c r="AF192" s="51" t="str">
        <f>IF(XT!$P192=0,AD192,"")</f>
        <v/>
      </c>
      <c r="AG192">
        <f>SUMPRODUCT((MONTH(CHOOSE({1,2,3,4},XT!U192,XT!Y192,XT!AC192,XT!AG192))=9)*(CHOOSE({1,2,3,4},XT!X192,XT!AB192,XT!AF192,XT!AJ192)))</f>
        <v>0</v>
      </c>
      <c r="AH192" t="str">
        <f>IFERROR(INDEX(CHOOSE({1,2,3,4}, DAY(XT!U192), DAY(XT!Y192), DAY(XT!AC192), DAY(XT!AG192)), MATCH(1, INDEX(--(MONTH(CHOOSE({1,2,3,4}, XT!U192,XT!Y192,XT!AC192,XT!AG192))=9), 0), 0)), "")</f>
        <v/>
      </c>
      <c r="AI192" s="51" t="str">
        <f>IF(XT!$P192&gt;0,AH192,"")</f>
        <v/>
      </c>
      <c r="AJ192" s="51" t="str">
        <f>IF(XT!$P192=0,AH192,"")</f>
        <v/>
      </c>
      <c r="AK192">
        <f>SUMPRODUCT((MONTH(CHOOSE({1,2,3,4},XT!U192,XT!Y192,XT!AC192,XT!AG192))=10)*(CHOOSE({1,2,3,4},XT!X192,XT!AB192,XT!AF192,XT!AJ192)))</f>
        <v>0</v>
      </c>
      <c r="AL192" t="str">
        <f>IFERROR(INDEX(CHOOSE({1,2,3,4}, DAY(XT!U192), DAY(XT!Y192), DAY(XT!AC192), DAY(XT!AG192)), MATCH(1, INDEX(--(MONTH(CHOOSE({1,2,3,4}, XT!U192,XT!Y192,XT!AC192,XT!AG192))=10), 0), 0)), "")</f>
        <v/>
      </c>
      <c r="AM192" s="51" t="str">
        <f>IF(XT!$P192&gt;0,AL192,"")</f>
        <v/>
      </c>
      <c r="AN192" s="51" t="str">
        <f>IF(XT!$P192=0,AL192,"")</f>
        <v/>
      </c>
      <c r="AO192">
        <f>SUMPRODUCT((MONTH(CHOOSE({1,2,3,4},XT!U192,XT!Y192,XT!AC192,XT!AG192))=11)*(CHOOSE({1,2,3,4},XT!X192,XT!AB192,XT!AF192,XT!AJ192)))</f>
        <v>0</v>
      </c>
      <c r="AP192" t="str">
        <f>IFERROR(INDEX(CHOOSE({1,2,3,4}, DAY(XT!U192), DAY(XT!Y192), DAY(XT!AC192), DAY(XT!AG192)), MATCH(1, INDEX(--(MONTH(CHOOSE({1,2,3,4}, XT!U192,XT!Y192,XT!AC192,XT!AG192))=11), 0), 0)), "")</f>
        <v/>
      </c>
      <c r="AQ192" s="51" t="str">
        <f>IF(XT!$P192&gt;0,AP192,"")</f>
        <v/>
      </c>
      <c r="AR192" s="51" t="str">
        <f>IF(XT!$P192=0,AP192,"")</f>
        <v/>
      </c>
      <c r="AS192">
        <f>SUMPRODUCT((MONTH(CHOOSE({1,2,3,4},XT!U192,XT!Y192,XT!AC192,XT!AG192))=12)*(CHOOSE({1,2,3,4},XT!X192,XT!AB192,XT!AF192,XT!AJ192)))</f>
        <v>0</v>
      </c>
      <c r="AT192" t="str">
        <f>IFERROR(INDEX(CHOOSE({1,2,3,4}, DAY(XT!U192), DAY(XT!Y192), DAY(XT!AC192), DAY(XT!AG192)), MATCH(1, INDEX(--(MONTH(CHOOSE({1,2,3,4}, XT!U192,XT!Y192,XT!AC192,XT!AG192))=12), 0), 0)), "")</f>
        <v/>
      </c>
      <c r="AU192" s="51" t="str">
        <f>IF(XT!$P192&gt;0,AT192,"")</f>
        <v/>
      </c>
      <c r="AV192" s="51" t="str">
        <f>IF(XT!$P192=0,AT192,"")</f>
        <v/>
      </c>
    </row>
    <row r="193" spans="1:48">
      <c r="A193">
        <f>SUMPRODUCT((MONTH(CHOOSE({1,2,3,4},XT!U193,XT!Y193,XT!AC193,XT!AG193))=1)*(CHOOSE({1,2,3,4},XT!X193,XT!AB193,XT!AF193,XT!AJ193)))</f>
        <v>0</v>
      </c>
      <c r="B193">
        <f>IFERROR(INDEX(CHOOSE({1,2,3,4}, DAY(XT!U193), DAY(XT!Y193), DAY(XT!AC193), DAY(XT!AG193)), MATCH(1, INDEX(--(MONTH(CHOOSE({1,2,3,4}, XT!U193,XT!Y193,XT!AC193,XT!AG193))=1), 0), 0)), "")</f>
        <v>0</v>
      </c>
      <c r="C193" s="51" t="str">
        <f>IF(XT!$P193&gt;0,B193,"")</f>
        <v/>
      </c>
      <c r="D193" s="51">
        <f>IF(XT!$P193=0,B193,"")</f>
        <v>0</v>
      </c>
      <c r="E193">
        <f>SUMPRODUCT((MONTH(CHOOSE({1,2,3,4},XT!U193,XT!Y193,XT!AC193,XT!AG193))=2)*(CHOOSE({1,2,3,4},XT!X193,XT!AB193,XT!AF193,XT!AJ193)))</f>
        <v>0</v>
      </c>
      <c r="F193" t="str">
        <f>IFERROR(INDEX(CHOOSE({1,2,3,4}, DAY(XT!U193), DAY(XT!Y193), DAY(XT!AC193), DAY(XT!AG193)), MATCH(1, INDEX(--(MONTH(CHOOSE({1,2,3,4}, XT!U193,XT!Y193,XT!AC193,XT!AG193))=2), 0), 0)), "")</f>
        <v/>
      </c>
      <c r="G193" s="51" t="str">
        <f>IF(XT!$P193&gt;0,F193,"")</f>
        <v/>
      </c>
      <c r="H193" s="51" t="str">
        <f>IF(XT!$P193=0,F193,"")</f>
        <v/>
      </c>
      <c r="I193">
        <f>SUMPRODUCT((MONTH(CHOOSE({1,2,3,4},XT!U193,XT!Y193,XT!AC193,XT!AG193))=3)*(CHOOSE({1,2,3,4},XT!X193,XT!AB193,XT!AF193,XT!AJ193)))</f>
        <v>0</v>
      </c>
      <c r="J193" t="str">
        <f>IFERROR(INDEX(CHOOSE({1,2,3,4}, DAY(XT!U193), DAY(XT!Y193), DAY(XT!AC193), DAY(XT!AG193)), MATCH(1, INDEX(--(MONTH(CHOOSE({1,2,3,4}, XT!U193,XT!Y193,XT!AC193,XT!AG193))=3), 0), 0)), "")</f>
        <v/>
      </c>
      <c r="K193" s="51" t="str">
        <f>IF(XT!$P193&gt;0,J193,"")</f>
        <v/>
      </c>
      <c r="L193" s="51" t="str">
        <f>IF(XT!$P193=0,J193,"")</f>
        <v/>
      </c>
      <c r="M193">
        <f>SUMPRODUCT((MONTH(CHOOSE({1,2,3,4},XT!U193,XT!Y193,XT!AC193,XT!AG193))=4)*(CHOOSE({1,2,3,4},XT!X193,XT!AB193,XT!AF193,XT!AJ193)))</f>
        <v>0</v>
      </c>
      <c r="N193" t="str">
        <f>IFERROR(INDEX(CHOOSE({1,2,3,4}, DAY(XT!U193), DAY(XT!Y193), DAY(XT!AC193), DAY(XT!AG193)), MATCH(1, INDEX(--(MONTH(CHOOSE({1,2,3,4}, XT!U193,XT!Y193,XT!AC193,XT!AG193))=4), 0), 0)), "")</f>
        <v/>
      </c>
      <c r="O193" s="51" t="str">
        <f>IF(XT!$P193&gt;0,N193,"")</f>
        <v/>
      </c>
      <c r="P193" s="51" t="str">
        <f>IF(XT!$P193=0,N193,"")</f>
        <v/>
      </c>
      <c r="Q193">
        <f>SUMPRODUCT((MONTH(CHOOSE({1,2,3,4},XT!U193,XT!Y193,XT!AC193,XT!AG193))=5)*(CHOOSE({1,2,3,4},XT!X193,XT!AB193,XT!AF193,XT!AJ193)))</f>
        <v>0</v>
      </c>
      <c r="R193" t="str">
        <f>IFERROR(INDEX(CHOOSE({1,2,3,4}, DAY(XT!U193), DAY(XT!Y193), DAY(XT!AC193), DAY(XT!AG193)), MATCH(1, INDEX(--(MONTH(CHOOSE({1,2,3,4}, XT!U193,XT!Y193,XT!AC193,XT!AG193))=5), 0), 0)), "")</f>
        <v/>
      </c>
      <c r="S193" s="51" t="str">
        <f>IF(XT!$P193&gt;0,R193,"")</f>
        <v/>
      </c>
      <c r="T193" s="51" t="str">
        <f>IF(XT!$P193=0,R193,"")</f>
        <v/>
      </c>
      <c r="U193">
        <f>SUMPRODUCT((MONTH(CHOOSE({1,2,3,4},XT!U193,XT!Y193,XT!AC193,XT!AG193))=6)*(CHOOSE({1,2,3,4},XT!X193,XT!AB193,XT!AF193,XT!AJ193)))</f>
        <v>0</v>
      </c>
      <c r="V193" t="str">
        <f>IFERROR(INDEX(CHOOSE({1,2,3,4}, DAY(XT!U193), DAY(XT!Y193), DAY(XT!AC193), DAY(XT!AG193)), MATCH(1, INDEX(--(MONTH(CHOOSE({1,2,3,4}, XT!U193,XT!Y193,XT!AC193,XT!AG193))=6), 0), 0)), "")</f>
        <v/>
      </c>
      <c r="W193" s="51" t="str">
        <f>IF(XT!$P193&gt;0,V193,"")</f>
        <v/>
      </c>
      <c r="X193" s="51" t="str">
        <f>IF(XT!$P193=0,V193,"")</f>
        <v/>
      </c>
      <c r="Y193">
        <f>SUMPRODUCT((MONTH(CHOOSE({1,2,3,4},XT!U193,XT!Y193,XT!AC193,XT!AG193))=7)*(CHOOSE({1,2,3,4},XT!X193,XT!AB193,XT!AF193,XT!AJ193)))</f>
        <v>0</v>
      </c>
      <c r="Z193" t="str">
        <f>IFERROR(INDEX(CHOOSE({1,2,3,4}, DAY(XT!U193), DAY(XT!Y193), DAY(XT!AC193), DAY(XT!AG193)), MATCH(1, INDEX(--(MONTH(CHOOSE({1,2,3,4}, XT!U193,XT!Y193,XT!AC193,XT!AG193))=7), 0), 0)), "")</f>
        <v/>
      </c>
      <c r="AA193" s="51" t="str">
        <f>IF(XT!$P193&gt;0,Z193,"")</f>
        <v/>
      </c>
      <c r="AB193" s="51" t="str">
        <f>IF(XT!$P193=0,Z193,"")</f>
        <v/>
      </c>
      <c r="AC193">
        <f>SUMPRODUCT((MONTH(CHOOSE({1,2,3,4},XT!U193,XT!Y193,XT!AC193,XT!AG193))=8)*(CHOOSE({1,2,3,4},XT!X193,XT!AB193,XT!AF193,XT!AJ193)))</f>
        <v>0</v>
      </c>
      <c r="AD193" t="str">
        <f>IFERROR(INDEX(CHOOSE({1,2,3,4}, DAY(XT!U193), DAY(XT!Y193), DAY(XT!AC193), DAY(XT!AG193)), MATCH(1, INDEX(--(MONTH(CHOOSE({1,2,3,4}, XT!U193,XT!Y193,XT!AC193,XT!AG193))=8), 0), 0)), "")</f>
        <v/>
      </c>
      <c r="AE193" s="51" t="str">
        <f>IF(XT!$P193&gt;0,AD193,"")</f>
        <v/>
      </c>
      <c r="AF193" s="51" t="str">
        <f>IF(XT!$P193=0,AD193,"")</f>
        <v/>
      </c>
      <c r="AG193">
        <f>SUMPRODUCT((MONTH(CHOOSE({1,2,3,4},XT!U193,XT!Y193,XT!AC193,XT!AG193))=9)*(CHOOSE({1,2,3,4},XT!X193,XT!AB193,XT!AF193,XT!AJ193)))</f>
        <v>0</v>
      </c>
      <c r="AH193" t="str">
        <f>IFERROR(INDEX(CHOOSE({1,2,3,4}, DAY(XT!U193), DAY(XT!Y193), DAY(XT!AC193), DAY(XT!AG193)), MATCH(1, INDEX(--(MONTH(CHOOSE({1,2,3,4}, XT!U193,XT!Y193,XT!AC193,XT!AG193))=9), 0), 0)), "")</f>
        <v/>
      </c>
      <c r="AI193" s="51" t="str">
        <f>IF(XT!$P193&gt;0,AH193,"")</f>
        <v/>
      </c>
      <c r="AJ193" s="51" t="str">
        <f>IF(XT!$P193=0,AH193,"")</f>
        <v/>
      </c>
      <c r="AK193">
        <f>SUMPRODUCT((MONTH(CHOOSE({1,2,3,4},XT!U193,XT!Y193,XT!AC193,XT!AG193))=10)*(CHOOSE({1,2,3,4},XT!X193,XT!AB193,XT!AF193,XT!AJ193)))</f>
        <v>0</v>
      </c>
      <c r="AL193" t="str">
        <f>IFERROR(INDEX(CHOOSE({1,2,3,4}, DAY(XT!U193), DAY(XT!Y193), DAY(XT!AC193), DAY(XT!AG193)), MATCH(1, INDEX(--(MONTH(CHOOSE({1,2,3,4}, XT!U193,XT!Y193,XT!AC193,XT!AG193))=10), 0), 0)), "")</f>
        <v/>
      </c>
      <c r="AM193" s="51" t="str">
        <f>IF(XT!$P193&gt;0,AL193,"")</f>
        <v/>
      </c>
      <c r="AN193" s="51" t="str">
        <f>IF(XT!$P193=0,AL193,"")</f>
        <v/>
      </c>
      <c r="AO193">
        <f>SUMPRODUCT((MONTH(CHOOSE({1,2,3,4},XT!U193,XT!Y193,XT!AC193,XT!AG193))=11)*(CHOOSE({1,2,3,4},XT!X193,XT!AB193,XT!AF193,XT!AJ193)))</f>
        <v>0</v>
      </c>
      <c r="AP193" t="str">
        <f>IFERROR(INDEX(CHOOSE({1,2,3,4}, DAY(XT!U193), DAY(XT!Y193), DAY(XT!AC193), DAY(XT!AG193)), MATCH(1, INDEX(--(MONTH(CHOOSE({1,2,3,4}, XT!U193,XT!Y193,XT!AC193,XT!AG193))=11), 0), 0)), "")</f>
        <v/>
      </c>
      <c r="AQ193" s="51" t="str">
        <f>IF(XT!$P193&gt;0,AP193,"")</f>
        <v/>
      </c>
      <c r="AR193" s="51" t="str">
        <f>IF(XT!$P193=0,AP193,"")</f>
        <v/>
      </c>
      <c r="AS193">
        <f>SUMPRODUCT((MONTH(CHOOSE({1,2,3,4},XT!U193,XT!Y193,XT!AC193,XT!AG193))=12)*(CHOOSE({1,2,3,4},XT!X193,XT!AB193,XT!AF193,XT!AJ193)))</f>
        <v>0</v>
      </c>
      <c r="AT193" t="str">
        <f>IFERROR(INDEX(CHOOSE({1,2,3,4}, DAY(XT!U193), DAY(XT!Y193), DAY(XT!AC193), DAY(XT!AG193)), MATCH(1, INDEX(--(MONTH(CHOOSE({1,2,3,4}, XT!U193,XT!Y193,XT!AC193,XT!AG193))=12), 0), 0)), "")</f>
        <v/>
      </c>
      <c r="AU193" s="51" t="str">
        <f>IF(XT!$P193&gt;0,AT193,"")</f>
        <v/>
      </c>
      <c r="AV193" s="51" t="str">
        <f>IF(XT!$P193=0,AT193,"")</f>
        <v/>
      </c>
    </row>
    <row r="194" spans="1:48">
      <c r="A194">
        <f>SUMPRODUCT((MONTH(CHOOSE({1,2,3,4},XT!U194,XT!Y194,XT!AC194,XT!AG194))=1)*(CHOOSE({1,2,3,4},XT!X194,XT!AB194,XT!AF194,XT!AJ194)))</f>
        <v>0</v>
      </c>
      <c r="B194">
        <f>IFERROR(INDEX(CHOOSE({1,2,3,4}, DAY(XT!U194), DAY(XT!Y194), DAY(XT!AC194), DAY(XT!AG194)), MATCH(1, INDEX(--(MONTH(CHOOSE({1,2,3,4}, XT!U194,XT!Y194,XT!AC194,XT!AG194))=1), 0), 0)), "")</f>
        <v>0</v>
      </c>
      <c r="C194" s="51" t="str">
        <f>IF(XT!$P194&gt;0,B194,"")</f>
        <v/>
      </c>
      <c r="D194" s="51">
        <f>IF(XT!$P194=0,B194,"")</f>
        <v>0</v>
      </c>
      <c r="E194">
        <f>SUMPRODUCT((MONTH(CHOOSE({1,2,3,4},XT!U194,XT!Y194,XT!AC194,XT!AG194))=2)*(CHOOSE({1,2,3,4},XT!X194,XT!AB194,XT!AF194,XT!AJ194)))</f>
        <v>0</v>
      </c>
      <c r="F194" t="str">
        <f>IFERROR(INDEX(CHOOSE({1,2,3,4}, DAY(XT!U194), DAY(XT!Y194), DAY(XT!AC194), DAY(XT!AG194)), MATCH(1, INDEX(--(MONTH(CHOOSE({1,2,3,4}, XT!U194,XT!Y194,XT!AC194,XT!AG194))=2), 0), 0)), "")</f>
        <v/>
      </c>
      <c r="G194" s="51" t="str">
        <f>IF(XT!$P194&gt;0,F194,"")</f>
        <v/>
      </c>
      <c r="H194" s="51" t="str">
        <f>IF(XT!$P194=0,F194,"")</f>
        <v/>
      </c>
      <c r="I194">
        <f>SUMPRODUCT((MONTH(CHOOSE({1,2,3,4},XT!U194,XT!Y194,XT!AC194,XT!AG194))=3)*(CHOOSE({1,2,3,4},XT!X194,XT!AB194,XT!AF194,XT!AJ194)))</f>
        <v>0</v>
      </c>
      <c r="J194" t="str">
        <f>IFERROR(INDEX(CHOOSE({1,2,3,4}, DAY(XT!U194), DAY(XT!Y194), DAY(XT!AC194), DAY(XT!AG194)), MATCH(1, INDEX(--(MONTH(CHOOSE({1,2,3,4}, XT!U194,XT!Y194,XT!AC194,XT!AG194))=3), 0), 0)), "")</f>
        <v/>
      </c>
      <c r="K194" s="51" t="str">
        <f>IF(XT!$P194&gt;0,J194,"")</f>
        <v/>
      </c>
      <c r="L194" s="51" t="str">
        <f>IF(XT!$P194=0,J194,"")</f>
        <v/>
      </c>
      <c r="M194">
        <f>SUMPRODUCT((MONTH(CHOOSE({1,2,3,4},XT!U194,XT!Y194,XT!AC194,XT!AG194))=4)*(CHOOSE({1,2,3,4},XT!X194,XT!AB194,XT!AF194,XT!AJ194)))</f>
        <v>0</v>
      </c>
      <c r="N194" t="str">
        <f>IFERROR(INDEX(CHOOSE({1,2,3,4}, DAY(XT!U194), DAY(XT!Y194), DAY(XT!AC194), DAY(XT!AG194)), MATCH(1, INDEX(--(MONTH(CHOOSE({1,2,3,4}, XT!U194,XT!Y194,XT!AC194,XT!AG194))=4), 0), 0)), "")</f>
        <v/>
      </c>
      <c r="O194" s="51" t="str">
        <f>IF(XT!$P194&gt;0,N194,"")</f>
        <v/>
      </c>
      <c r="P194" s="51" t="str">
        <f>IF(XT!$P194=0,N194,"")</f>
        <v/>
      </c>
      <c r="Q194">
        <f>SUMPRODUCT((MONTH(CHOOSE({1,2,3,4},XT!U194,XT!Y194,XT!AC194,XT!AG194))=5)*(CHOOSE({1,2,3,4},XT!X194,XT!AB194,XT!AF194,XT!AJ194)))</f>
        <v>0</v>
      </c>
      <c r="R194" t="str">
        <f>IFERROR(INDEX(CHOOSE({1,2,3,4}, DAY(XT!U194), DAY(XT!Y194), DAY(XT!AC194), DAY(XT!AG194)), MATCH(1, INDEX(--(MONTH(CHOOSE({1,2,3,4}, XT!U194,XT!Y194,XT!AC194,XT!AG194))=5), 0), 0)), "")</f>
        <v/>
      </c>
      <c r="S194" s="51" t="str">
        <f>IF(XT!$P194&gt;0,R194,"")</f>
        <v/>
      </c>
      <c r="T194" s="51" t="str">
        <f>IF(XT!$P194=0,R194,"")</f>
        <v/>
      </c>
      <c r="U194">
        <f>SUMPRODUCT((MONTH(CHOOSE({1,2,3,4},XT!U194,XT!Y194,XT!AC194,XT!AG194))=6)*(CHOOSE({1,2,3,4},XT!X194,XT!AB194,XT!AF194,XT!AJ194)))</f>
        <v>0</v>
      </c>
      <c r="V194" t="str">
        <f>IFERROR(INDEX(CHOOSE({1,2,3,4}, DAY(XT!U194), DAY(XT!Y194), DAY(XT!AC194), DAY(XT!AG194)), MATCH(1, INDEX(--(MONTH(CHOOSE({1,2,3,4}, XT!U194,XT!Y194,XT!AC194,XT!AG194))=6), 0), 0)), "")</f>
        <v/>
      </c>
      <c r="W194" s="51" t="str">
        <f>IF(XT!$P194&gt;0,V194,"")</f>
        <v/>
      </c>
      <c r="X194" s="51" t="str">
        <f>IF(XT!$P194=0,V194,"")</f>
        <v/>
      </c>
      <c r="Y194">
        <f>SUMPRODUCT((MONTH(CHOOSE({1,2,3,4},XT!U194,XT!Y194,XT!AC194,XT!AG194))=7)*(CHOOSE({1,2,3,4},XT!X194,XT!AB194,XT!AF194,XT!AJ194)))</f>
        <v>0</v>
      </c>
      <c r="Z194" t="str">
        <f>IFERROR(INDEX(CHOOSE({1,2,3,4}, DAY(XT!U194), DAY(XT!Y194), DAY(XT!AC194), DAY(XT!AG194)), MATCH(1, INDEX(--(MONTH(CHOOSE({1,2,3,4}, XT!U194,XT!Y194,XT!AC194,XT!AG194))=7), 0), 0)), "")</f>
        <v/>
      </c>
      <c r="AA194" s="51" t="str">
        <f>IF(XT!$P194&gt;0,Z194,"")</f>
        <v/>
      </c>
      <c r="AB194" s="51" t="str">
        <f>IF(XT!$P194=0,Z194,"")</f>
        <v/>
      </c>
      <c r="AC194">
        <f>SUMPRODUCT((MONTH(CHOOSE({1,2,3,4},XT!U194,XT!Y194,XT!AC194,XT!AG194))=8)*(CHOOSE({1,2,3,4},XT!X194,XT!AB194,XT!AF194,XT!AJ194)))</f>
        <v>0</v>
      </c>
      <c r="AD194" t="str">
        <f>IFERROR(INDEX(CHOOSE({1,2,3,4}, DAY(XT!U194), DAY(XT!Y194), DAY(XT!AC194), DAY(XT!AG194)), MATCH(1, INDEX(--(MONTH(CHOOSE({1,2,3,4}, XT!U194,XT!Y194,XT!AC194,XT!AG194))=8), 0), 0)), "")</f>
        <v/>
      </c>
      <c r="AE194" s="51" t="str">
        <f>IF(XT!$P194&gt;0,AD194,"")</f>
        <v/>
      </c>
      <c r="AF194" s="51" t="str">
        <f>IF(XT!$P194=0,AD194,"")</f>
        <v/>
      </c>
      <c r="AG194">
        <f>SUMPRODUCT((MONTH(CHOOSE({1,2,3,4},XT!U194,XT!Y194,XT!AC194,XT!AG194))=9)*(CHOOSE({1,2,3,4},XT!X194,XT!AB194,XT!AF194,XT!AJ194)))</f>
        <v>0</v>
      </c>
      <c r="AH194" t="str">
        <f>IFERROR(INDEX(CHOOSE({1,2,3,4}, DAY(XT!U194), DAY(XT!Y194), DAY(XT!AC194), DAY(XT!AG194)), MATCH(1, INDEX(--(MONTH(CHOOSE({1,2,3,4}, XT!U194,XT!Y194,XT!AC194,XT!AG194))=9), 0), 0)), "")</f>
        <v/>
      </c>
      <c r="AI194" s="51" t="str">
        <f>IF(XT!$P194&gt;0,AH194,"")</f>
        <v/>
      </c>
      <c r="AJ194" s="51" t="str">
        <f>IF(XT!$P194=0,AH194,"")</f>
        <v/>
      </c>
      <c r="AK194">
        <f>SUMPRODUCT((MONTH(CHOOSE({1,2,3,4},XT!U194,XT!Y194,XT!AC194,XT!AG194))=10)*(CHOOSE({1,2,3,4},XT!X194,XT!AB194,XT!AF194,XT!AJ194)))</f>
        <v>0</v>
      </c>
      <c r="AL194" t="str">
        <f>IFERROR(INDEX(CHOOSE({1,2,3,4}, DAY(XT!U194), DAY(XT!Y194), DAY(XT!AC194), DAY(XT!AG194)), MATCH(1, INDEX(--(MONTH(CHOOSE({1,2,3,4}, XT!U194,XT!Y194,XT!AC194,XT!AG194))=10), 0), 0)), "")</f>
        <v/>
      </c>
      <c r="AM194" s="51" t="str">
        <f>IF(XT!$P194&gt;0,AL194,"")</f>
        <v/>
      </c>
      <c r="AN194" s="51" t="str">
        <f>IF(XT!$P194=0,AL194,"")</f>
        <v/>
      </c>
      <c r="AO194">
        <f>SUMPRODUCT((MONTH(CHOOSE({1,2,3,4},XT!U194,XT!Y194,XT!AC194,XT!AG194))=11)*(CHOOSE({1,2,3,4},XT!X194,XT!AB194,XT!AF194,XT!AJ194)))</f>
        <v>0</v>
      </c>
      <c r="AP194" t="str">
        <f>IFERROR(INDEX(CHOOSE({1,2,3,4}, DAY(XT!U194), DAY(XT!Y194), DAY(XT!AC194), DAY(XT!AG194)), MATCH(1, INDEX(--(MONTH(CHOOSE({1,2,3,4}, XT!U194,XT!Y194,XT!AC194,XT!AG194))=11), 0), 0)), "")</f>
        <v/>
      </c>
      <c r="AQ194" s="51" t="str">
        <f>IF(XT!$P194&gt;0,AP194,"")</f>
        <v/>
      </c>
      <c r="AR194" s="51" t="str">
        <f>IF(XT!$P194=0,AP194,"")</f>
        <v/>
      </c>
      <c r="AS194">
        <f>SUMPRODUCT((MONTH(CHOOSE({1,2,3,4},XT!U194,XT!Y194,XT!AC194,XT!AG194))=12)*(CHOOSE({1,2,3,4},XT!X194,XT!AB194,XT!AF194,XT!AJ194)))</f>
        <v>0</v>
      </c>
      <c r="AT194" t="str">
        <f>IFERROR(INDEX(CHOOSE({1,2,3,4}, DAY(XT!U194), DAY(XT!Y194), DAY(XT!AC194), DAY(XT!AG194)), MATCH(1, INDEX(--(MONTH(CHOOSE({1,2,3,4}, XT!U194,XT!Y194,XT!AC194,XT!AG194))=12), 0), 0)), "")</f>
        <v/>
      </c>
      <c r="AU194" s="51" t="str">
        <f>IF(XT!$P194&gt;0,AT194,"")</f>
        <v/>
      </c>
      <c r="AV194" s="51" t="str">
        <f>IF(XT!$P194=0,AT194,"")</f>
        <v/>
      </c>
    </row>
    <row r="195" spans="1:48">
      <c r="A195">
        <f>SUMPRODUCT((MONTH(CHOOSE({1,2,3,4},XT!U195,XT!Y195,XT!AC195,XT!AG195))=1)*(CHOOSE({1,2,3,4},XT!X195,XT!AB195,XT!AF195,XT!AJ195)))</f>
        <v>0</v>
      </c>
      <c r="B195">
        <f>IFERROR(INDEX(CHOOSE({1,2,3,4}, DAY(XT!U195), DAY(XT!Y195), DAY(XT!AC195), DAY(XT!AG195)), MATCH(1, INDEX(--(MONTH(CHOOSE({1,2,3,4}, XT!U195,XT!Y195,XT!AC195,XT!AG195))=1), 0), 0)), "")</f>
        <v>0</v>
      </c>
      <c r="C195" s="51" t="str">
        <f>IF(XT!$P195&gt;0,B195,"")</f>
        <v/>
      </c>
      <c r="D195" s="51">
        <f>IF(XT!$P195=0,B195,"")</f>
        <v>0</v>
      </c>
      <c r="E195">
        <f>SUMPRODUCT((MONTH(CHOOSE({1,2,3,4},XT!U195,XT!Y195,XT!AC195,XT!AG195))=2)*(CHOOSE({1,2,3,4},XT!X195,XT!AB195,XT!AF195,XT!AJ195)))</f>
        <v>0</v>
      </c>
      <c r="F195" t="str">
        <f>IFERROR(INDEX(CHOOSE({1,2,3,4}, DAY(XT!U195), DAY(XT!Y195), DAY(XT!AC195), DAY(XT!AG195)), MATCH(1, INDEX(--(MONTH(CHOOSE({1,2,3,4}, XT!U195,XT!Y195,XT!AC195,XT!AG195))=2), 0), 0)), "")</f>
        <v/>
      </c>
      <c r="G195" s="51" t="str">
        <f>IF(XT!$P195&gt;0,F195,"")</f>
        <v/>
      </c>
      <c r="H195" s="51" t="str">
        <f>IF(XT!$P195=0,F195,"")</f>
        <v/>
      </c>
      <c r="I195">
        <f>SUMPRODUCT((MONTH(CHOOSE({1,2,3,4},XT!U195,XT!Y195,XT!AC195,XT!AG195))=3)*(CHOOSE({1,2,3,4},XT!X195,XT!AB195,XT!AF195,XT!AJ195)))</f>
        <v>0</v>
      </c>
      <c r="J195" t="str">
        <f>IFERROR(INDEX(CHOOSE({1,2,3,4}, DAY(XT!U195), DAY(XT!Y195), DAY(XT!AC195), DAY(XT!AG195)), MATCH(1, INDEX(--(MONTH(CHOOSE({1,2,3,4}, XT!U195,XT!Y195,XT!AC195,XT!AG195))=3), 0), 0)), "")</f>
        <v/>
      </c>
      <c r="K195" s="51" t="str">
        <f>IF(XT!$P195&gt;0,J195,"")</f>
        <v/>
      </c>
      <c r="L195" s="51" t="str">
        <f>IF(XT!$P195=0,J195,"")</f>
        <v/>
      </c>
      <c r="M195">
        <f>SUMPRODUCT((MONTH(CHOOSE({1,2,3,4},XT!U195,XT!Y195,XT!AC195,XT!AG195))=4)*(CHOOSE({1,2,3,4},XT!X195,XT!AB195,XT!AF195,XT!AJ195)))</f>
        <v>0</v>
      </c>
      <c r="N195" t="str">
        <f>IFERROR(INDEX(CHOOSE({1,2,3,4}, DAY(XT!U195), DAY(XT!Y195), DAY(XT!AC195), DAY(XT!AG195)), MATCH(1, INDEX(--(MONTH(CHOOSE({1,2,3,4}, XT!U195,XT!Y195,XT!AC195,XT!AG195))=4), 0), 0)), "")</f>
        <v/>
      </c>
      <c r="O195" s="51" t="str">
        <f>IF(XT!$P195&gt;0,N195,"")</f>
        <v/>
      </c>
      <c r="P195" s="51" t="str">
        <f>IF(XT!$P195=0,N195,"")</f>
        <v/>
      </c>
      <c r="Q195">
        <f>SUMPRODUCT((MONTH(CHOOSE({1,2,3,4},XT!U195,XT!Y195,XT!AC195,XT!AG195))=5)*(CHOOSE({1,2,3,4},XT!X195,XT!AB195,XT!AF195,XT!AJ195)))</f>
        <v>0</v>
      </c>
      <c r="R195" t="str">
        <f>IFERROR(INDEX(CHOOSE({1,2,3,4}, DAY(XT!U195), DAY(XT!Y195), DAY(XT!AC195), DAY(XT!AG195)), MATCH(1, INDEX(--(MONTH(CHOOSE({1,2,3,4}, XT!U195,XT!Y195,XT!AC195,XT!AG195))=5), 0), 0)), "")</f>
        <v/>
      </c>
      <c r="S195" s="51" t="str">
        <f>IF(XT!$P195&gt;0,R195,"")</f>
        <v/>
      </c>
      <c r="T195" s="51" t="str">
        <f>IF(XT!$P195=0,R195,"")</f>
        <v/>
      </c>
      <c r="U195">
        <f>SUMPRODUCT((MONTH(CHOOSE({1,2,3,4},XT!U195,XT!Y195,XT!AC195,XT!AG195))=6)*(CHOOSE({1,2,3,4},XT!X195,XT!AB195,XT!AF195,XT!AJ195)))</f>
        <v>0</v>
      </c>
      <c r="V195" t="str">
        <f>IFERROR(INDEX(CHOOSE({1,2,3,4}, DAY(XT!U195), DAY(XT!Y195), DAY(XT!AC195), DAY(XT!AG195)), MATCH(1, INDEX(--(MONTH(CHOOSE({1,2,3,4}, XT!U195,XT!Y195,XT!AC195,XT!AG195))=6), 0), 0)), "")</f>
        <v/>
      </c>
      <c r="W195" s="51" t="str">
        <f>IF(XT!$P195&gt;0,V195,"")</f>
        <v/>
      </c>
      <c r="X195" s="51" t="str">
        <f>IF(XT!$P195=0,V195,"")</f>
        <v/>
      </c>
      <c r="Y195">
        <f>SUMPRODUCT((MONTH(CHOOSE({1,2,3,4},XT!U195,XT!Y195,XT!AC195,XT!AG195))=7)*(CHOOSE({1,2,3,4},XT!X195,XT!AB195,XT!AF195,XT!AJ195)))</f>
        <v>0</v>
      </c>
      <c r="Z195" t="str">
        <f>IFERROR(INDEX(CHOOSE({1,2,3,4}, DAY(XT!U195), DAY(XT!Y195), DAY(XT!AC195), DAY(XT!AG195)), MATCH(1, INDEX(--(MONTH(CHOOSE({1,2,3,4}, XT!U195,XT!Y195,XT!AC195,XT!AG195))=7), 0), 0)), "")</f>
        <v/>
      </c>
      <c r="AA195" s="51" t="str">
        <f>IF(XT!$P195&gt;0,Z195,"")</f>
        <v/>
      </c>
      <c r="AB195" s="51" t="str">
        <f>IF(XT!$P195=0,Z195,"")</f>
        <v/>
      </c>
      <c r="AC195">
        <f>SUMPRODUCT((MONTH(CHOOSE({1,2,3,4},XT!U195,XT!Y195,XT!AC195,XT!AG195))=8)*(CHOOSE({1,2,3,4},XT!X195,XT!AB195,XT!AF195,XT!AJ195)))</f>
        <v>0</v>
      </c>
      <c r="AD195" t="str">
        <f>IFERROR(INDEX(CHOOSE({1,2,3,4}, DAY(XT!U195), DAY(XT!Y195), DAY(XT!AC195), DAY(XT!AG195)), MATCH(1, INDEX(--(MONTH(CHOOSE({1,2,3,4}, XT!U195,XT!Y195,XT!AC195,XT!AG195))=8), 0), 0)), "")</f>
        <v/>
      </c>
      <c r="AE195" s="51" t="str">
        <f>IF(XT!$P195&gt;0,AD195,"")</f>
        <v/>
      </c>
      <c r="AF195" s="51" t="str">
        <f>IF(XT!$P195=0,AD195,"")</f>
        <v/>
      </c>
      <c r="AG195">
        <f>SUMPRODUCT((MONTH(CHOOSE({1,2,3,4},XT!U195,XT!Y195,XT!AC195,XT!AG195))=9)*(CHOOSE({1,2,3,4},XT!X195,XT!AB195,XT!AF195,XT!AJ195)))</f>
        <v>0</v>
      </c>
      <c r="AH195" t="str">
        <f>IFERROR(INDEX(CHOOSE({1,2,3,4}, DAY(XT!U195), DAY(XT!Y195), DAY(XT!AC195), DAY(XT!AG195)), MATCH(1, INDEX(--(MONTH(CHOOSE({1,2,3,4}, XT!U195,XT!Y195,XT!AC195,XT!AG195))=9), 0), 0)), "")</f>
        <v/>
      </c>
      <c r="AI195" s="51" t="str">
        <f>IF(XT!$P195&gt;0,AH195,"")</f>
        <v/>
      </c>
      <c r="AJ195" s="51" t="str">
        <f>IF(XT!$P195=0,AH195,"")</f>
        <v/>
      </c>
      <c r="AK195">
        <f>SUMPRODUCT((MONTH(CHOOSE({1,2,3,4},XT!U195,XT!Y195,XT!AC195,XT!AG195))=10)*(CHOOSE({1,2,3,4},XT!X195,XT!AB195,XT!AF195,XT!AJ195)))</f>
        <v>0</v>
      </c>
      <c r="AL195" t="str">
        <f>IFERROR(INDEX(CHOOSE({1,2,3,4}, DAY(XT!U195), DAY(XT!Y195), DAY(XT!AC195), DAY(XT!AG195)), MATCH(1, INDEX(--(MONTH(CHOOSE({1,2,3,4}, XT!U195,XT!Y195,XT!AC195,XT!AG195))=10), 0), 0)), "")</f>
        <v/>
      </c>
      <c r="AM195" s="51" t="str">
        <f>IF(XT!$P195&gt;0,AL195,"")</f>
        <v/>
      </c>
      <c r="AN195" s="51" t="str">
        <f>IF(XT!$P195=0,AL195,"")</f>
        <v/>
      </c>
      <c r="AO195">
        <f>SUMPRODUCT((MONTH(CHOOSE({1,2,3,4},XT!U195,XT!Y195,XT!AC195,XT!AG195))=11)*(CHOOSE({1,2,3,4},XT!X195,XT!AB195,XT!AF195,XT!AJ195)))</f>
        <v>0</v>
      </c>
      <c r="AP195" t="str">
        <f>IFERROR(INDEX(CHOOSE({1,2,3,4}, DAY(XT!U195), DAY(XT!Y195), DAY(XT!AC195), DAY(XT!AG195)), MATCH(1, INDEX(--(MONTH(CHOOSE({1,2,3,4}, XT!U195,XT!Y195,XT!AC195,XT!AG195))=11), 0), 0)), "")</f>
        <v/>
      </c>
      <c r="AQ195" s="51" t="str">
        <f>IF(XT!$P195&gt;0,AP195,"")</f>
        <v/>
      </c>
      <c r="AR195" s="51" t="str">
        <f>IF(XT!$P195=0,AP195,"")</f>
        <v/>
      </c>
      <c r="AS195">
        <f>SUMPRODUCT((MONTH(CHOOSE({1,2,3,4},XT!U195,XT!Y195,XT!AC195,XT!AG195))=12)*(CHOOSE({1,2,3,4},XT!X195,XT!AB195,XT!AF195,XT!AJ195)))</f>
        <v>0</v>
      </c>
      <c r="AT195" t="str">
        <f>IFERROR(INDEX(CHOOSE({1,2,3,4}, DAY(XT!U195), DAY(XT!Y195), DAY(XT!AC195), DAY(XT!AG195)), MATCH(1, INDEX(--(MONTH(CHOOSE({1,2,3,4}, XT!U195,XT!Y195,XT!AC195,XT!AG195))=12), 0), 0)), "")</f>
        <v/>
      </c>
      <c r="AU195" s="51" t="str">
        <f>IF(XT!$P195&gt;0,AT195,"")</f>
        <v/>
      </c>
      <c r="AV195" s="51" t="str">
        <f>IF(XT!$P195=0,AT195,"")</f>
        <v/>
      </c>
    </row>
    <row r="196" spans="1:48">
      <c r="A196">
        <f>SUMPRODUCT((MONTH(CHOOSE({1,2,3,4},XT!U196,XT!Y196,XT!AC196,XT!AG196))=1)*(CHOOSE({1,2,3,4},XT!X196,XT!AB196,XT!AF196,XT!AJ196)))</f>
        <v>0</v>
      </c>
      <c r="B196">
        <f>IFERROR(INDEX(CHOOSE({1,2,3,4}, DAY(XT!U196), DAY(XT!Y196), DAY(XT!AC196), DAY(XT!AG196)), MATCH(1, INDEX(--(MONTH(CHOOSE({1,2,3,4}, XT!U196,XT!Y196,XT!AC196,XT!AG196))=1), 0), 0)), "")</f>
        <v>0</v>
      </c>
      <c r="C196" s="51" t="str">
        <f>IF(XT!$P196&gt;0,B196,"")</f>
        <v/>
      </c>
      <c r="D196" s="51">
        <f>IF(XT!$P196=0,B196,"")</f>
        <v>0</v>
      </c>
      <c r="E196">
        <f>SUMPRODUCT((MONTH(CHOOSE({1,2,3,4},XT!U196,XT!Y196,XT!AC196,XT!AG196))=2)*(CHOOSE({1,2,3,4},XT!X196,XT!AB196,XT!AF196,XT!AJ196)))</f>
        <v>0</v>
      </c>
      <c r="F196" t="str">
        <f>IFERROR(INDEX(CHOOSE({1,2,3,4}, DAY(XT!U196), DAY(XT!Y196), DAY(XT!AC196), DAY(XT!AG196)), MATCH(1, INDEX(--(MONTH(CHOOSE({1,2,3,4}, XT!U196,XT!Y196,XT!AC196,XT!AG196))=2), 0), 0)), "")</f>
        <v/>
      </c>
      <c r="G196" s="51" t="str">
        <f>IF(XT!$P196&gt;0,F196,"")</f>
        <v/>
      </c>
      <c r="H196" s="51" t="str">
        <f>IF(XT!$P196=0,F196,"")</f>
        <v/>
      </c>
      <c r="I196">
        <f>SUMPRODUCT((MONTH(CHOOSE({1,2,3,4},XT!U196,XT!Y196,XT!AC196,XT!AG196))=3)*(CHOOSE({1,2,3,4},XT!X196,XT!AB196,XT!AF196,XT!AJ196)))</f>
        <v>0</v>
      </c>
      <c r="J196" t="str">
        <f>IFERROR(INDEX(CHOOSE({1,2,3,4}, DAY(XT!U196), DAY(XT!Y196), DAY(XT!AC196), DAY(XT!AG196)), MATCH(1, INDEX(--(MONTH(CHOOSE({1,2,3,4}, XT!U196,XT!Y196,XT!AC196,XT!AG196))=3), 0), 0)), "")</f>
        <v/>
      </c>
      <c r="K196" s="51" t="str">
        <f>IF(XT!$P196&gt;0,J196,"")</f>
        <v/>
      </c>
      <c r="L196" s="51" t="str">
        <f>IF(XT!$P196=0,J196,"")</f>
        <v/>
      </c>
      <c r="M196">
        <f>SUMPRODUCT((MONTH(CHOOSE({1,2,3,4},XT!U196,XT!Y196,XT!AC196,XT!AG196))=4)*(CHOOSE({1,2,3,4},XT!X196,XT!AB196,XT!AF196,XT!AJ196)))</f>
        <v>0</v>
      </c>
      <c r="N196" t="str">
        <f>IFERROR(INDEX(CHOOSE({1,2,3,4}, DAY(XT!U196), DAY(XT!Y196), DAY(XT!AC196), DAY(XT!AG196)), MATCH(1, INDEX(--(MONTH(CHOOSE({1,2,3,4}, XT!U196,XT!Y196,XT!AC196,XT!AG196))=4), 0), 0)), "")</f>
        <v/>
      </c>
      <c r="O196" s="51" t="str">
        <f>IF(XT!$P196&gt;0,N196,"")</f>
        <v/>
      </c>
      <c r="P196" s="51" t="str">
        <f>IF(XT!$P196=0,N196,"")</f>
        <v/>
      </c>
      <c r="Q196">
        <f>SUMPRODUCT((MONTH(CHOOSE({1,2,3,4},XT!U196,XT!Y196,XT!AC196,XT!AG196))=5)*(CHOOSE({1,2,3,4},XT!X196,XT!AB196,XT!AF196,XT!AJ196)))</f>
        <v>0</v>
      </c>
      <c r="R196" t="str">
        <f>IFERROR(INDEX(CHOOSE({1,2,3,4}, DAY(XT!U196), DAY(XT!Y196), DAY(XT!AC196), DAY(XT!AG196)), MATCH(1, INDEX(--(MONTH(CHOOSE({1,2,3,4}, XT!U196,XT!Y196,XT!AC196,XT!AG196))=5), 0), 0)), "")</f>
        <v/>
      </c>
      <c r="S196" s="51" t="str">
        <f>IF(XT!$P196&gt;0,R196,"")</f>
        <v/>
      </c>
      <c r="T196" s="51" t="str">
        <f>IF(XT!$P196=0,R196,"")</f>
        <v/>
      </c>
      <c r="U196">
        <f>SUMPRODUCT((MONTH(CHOOSE({1,2,3,4},XT!U196,XT!Y196,XT!AC196,XT!AG196))=6)*(CHOOSE({1,2,3,4},XT!X196,XT!AB196,XT!AF196,XT!AJ196)))</f>
        <v>0</v>
      </c>
      <c r="V196" t="str">
        <f>IFERROR(INDEX(CHOOSE({1,2,3,4}, DAY(XT!U196), DAY(XT!Y196), DAY(XT!AC196), DAY(XT!AG196)), MATCH(1, INDEX(--(MONTH(CHOOSE({1,2,3,4}, XT!U196,XT!Y196,XT!AC196,XT!AG196))=6), 0), 0)), "")</f>
        <v/>
      </c>
      <c r="W196" s="51" t="str">
        <f>IF(XT!$P196&gt;0,V196,"")</f>
        <v/>
      </c>
      <c r="X196" s="51" t="str">
        <f>IF(XT!$P196=0,V196,"")</f>
        <v/>
      </c>
      <c r="Y196">
        <f>SUMPRODUCT((MONTH(CHOOSE({1,2,3,4},XT!U196,XT!Y196,XT!AC196,XT!AG196))=7)*(CHOOSE({1,2,3,4},XT!X196,XT!AB196,XT!AF196,XT!AJ196)))</f>
        <v>0</v>
      </c>
      <c r="Z196" t="str">
        <f>IFERROR(INDEX(CHOOSE({1,2,3,4}, DAY(XT!U196), DAY(XT!Y196), DAY(XT!AC196), DAY(XT!AG196)), MATCH(1, INDEX(--(MONTH(CHOOSE({1,2,3,4}, XT!U196,XT!Y196,XT!AC196,XT!AG196))=7), 0), 0)), "")</f>
        <v/>
      </c>
      <c r="AA196" s="51" t="str">
        <f>IF(XT!$P196&gt;0,Z196,"")</f>
        <v/>
      </c>
      <c r="AB196" s="51" t="str">
        <f>IF(XT!$P196=0,Z196,"")</f>
        <v/>
      </c>
      <c r="AC196">
        <f>SUMPRODUCT((MONTH(CHOOSE({1,2,3,4},XT!U196,XT!Y196,XT!AC196,XT!AG196))=8)*(CHOOSE({1,2,3,4},XT!X196,XT!AB196,XT!AF196,XT!AJ196)))</f>
        <v>0</v>
      </c>
      <c r="AD196" t="str">
        <f>IFERROR(INDEX(CHOOSE({1,2,3,4}, DAY(XT!U196), DAY(XT!Y196), DAY(XT!AC196), DAY(XT!AG196)), MATCH(1, INDEX(--(MONTH(CHOOSE({1,2,3,4}, XT!U196,XT!Y196,XT!AC196,XT!AG196))=8), 0), 0)), "")</f>
        <v/>
      </c>
      <c r="AE196" s="51" t="str">
        <f>IF(XT!$P196&gt;0,AD196,"")</f>
        <v/>
      </c>
      <c r="AF196" s="51" t="str">
        <f>IF(XT!$P196=0,AD196,"")</f>
        <v/>
      </c>
      <c r="AG196">
        <f>SUMPRODUCT((MONTH(CHOOSE({1,2,3,4},XT!U196,XT!Y196,XT!AC196,XT!AG196))=9)*(CHOOSE({1,2,3,4},XT!X196,XT!AB196,XT!AF196,XT!AJ196)))</f>
        <v>0</v>
      </c>
      <c r="AH196" t="str">
        <f>IFERROR(INDEX(CHOOSE({1,2,3,4}, DAY(XT!U196), DAY(XT!Y196), DAY(XT!AC196), DAY(XT!AG196)), MATCH(1, INDEX(--(MONTH(CHOOSE({1,2,3,4}, XT!U196,XT!Y196,XT!AC196,XT!AG196))=9), 0), 0)), "")</f>
        <v/>
      </c>
      <c r="AI196" s="51" t="str">
        <f>IF(XT!$P196&gt;0,AH196,"")</f>
        <v/>
      </c>
      <c r="AJ196" s="51" t="str">
        <f>IF(XT!$P196=0,AH196,"")</f>
        <v/>
      </c>
      <c r="AK196">
        <f>SUMPRODUCT((MONTH(CHOOSE({1,2,3,4},XT!U196,XT!Y196,XT!AC196,XT!AG196))=10)*(CHOOSE({1,2,3,4},XT!X196,XT!AB196,XT!AF196,XT!AJ196)))</f>
        <v>0</v>
      </c>
      <c r="AL196" t="str">
        <f>IFERROR(INDEX(CHOOSE({1,2,3,4}, DAY(XT!U196), DAY(XT!Y196), DAY(XT!AC196), DAY(XT!AG196)), MATCH(1, INDEX(--(MONTH(CHOOSE({1,2,3,4}, XT!U196,XT!Y196,XT!AC196,XT!AG196))=10), 0), 0)), "")</f>
        <v/>
      </c>
      <c r="AM196" s="51" t="str">
        <f>IF(XT!$P196&gt;0,AL196,"")</f>
        <v/>
      </c>
      <c r="AN196" s="51" t="str">
        <f>IF(XT!$P196=0,AL196,"")</f>
        <v/>
      </c>
      <c r="AO196">
        <f>SUMPRODUCT((MONTH(CHOOSE({1,2,3,4},XT!U196,XT!Y196,XT!AC196,XT!AG196))=11)*(CHOOSE({1,2,3,4},XT!X196,XT!AB196,XT!AF196,XT!AJ196)))</f>
        <v>0</v>
      </c>
      <c r="AP196" t="str">
        <f>IFERROR(INDEX(CHOOSE({1,2,3,4}, DAY(XT!U196), DAY(XT!Y196), DAY(XT!AC196), DAY(XT!AG196)), MATCH(1, INDEX(--(MONTH(CHOOSE({1,2,3,4}, XT!U196,XT!Y196,XT!AC196,XT!AG196))=11), 0), 0)), "")</f>
        <v/>
      </c>
      <c r="AQ196" s="51" t="str">
        <f>IF(XT!$P196&gt;0,AP196,"")</f>
        <v/>
      </c>
      <c r="AR196" s="51" t="str">
        <f>IF(XT!$P196=0,AP196,"")</f>
        <v/>
      </c>
      <c r="AS196">
        <f>SUMPRODUCT((MONTH(CHOOSE({1,2,3,4},XT!U196,XT!Y196,XT!AC196,XT!AG196))=12)*(CHOOSE({1,2,3,4},XT!X196,XT!AB196,XT!AF196,XT!AJ196)))</f>
        <v>0</v>
      </c>
      <c r="AT196" t="str">
        <f>IFERROR(INDEX(CHOOSE({1,2,3,4}, DAY(XT!U196), DAY(XT!Y196), DAY(XT!AC196), DAY(XT!AG196)), MATCH(1, INDEX(--(MONTH(CHOOSE({1,2,3,4}, XT!U196,XT!Y196,XT!AC196,XT!AG196))=12), 0), 0)), "")</f>
        <v/>
      </c>
      <c r="AU196" s="51" t="str">
        <f>IF(XT!$P196&gt;0,AT196,"")</f>
        <v/>
      </c>
      <c r="AV196" s="51" t="str">
        <f>IF(XT!$P196=0,AT196,"")</f>
        <v/>
      </c>
    </row>
    <row r="197" spans="1:48">
      <c r="A197">
        <f>SUMPRODUCT((MONTH(CHOOSE({1,2,3,4},XT!U197,XT!Y197,XT!AC197,XT!AG197))=1)*(CHOOSE({1,2,3,4},XT!X197,XT!AB197,XT!AF197,XT!AJ197)))</f>
        <v>0</v>
      </c>
      <c r="B197">
        <f>IFERROR(INDEX(CHOOSE({1,2,3,4}, DAY(XT!U197), DAY(XT!Y197), DAY(XT!AC197), DAY(XT!AG197)), MATCH(1, INDEX(--(MONTH(CHOOSE({1,2,3,4}, XT!U197,XT!Y197,XT!AC197,XT!AG197))=1), 0), 0)), "")</f>
        <v>0</v>
      </c>
      <c r="C197" s="51" t="str">
        <f>IF(XT!$P197&gt;0,B197,"")</f>
        <v/>
      </c>
      <c r="D197" s="51">
        <f>IF(XT!$P197=0,B197,"")</f>
        <v>0</v>
      </c>
      <c r="E197">
        <f>SUMPRODUCT((MONTH(CHOOSE({1,2,3,4},XT!U197,XT!Y197,XT!AC197,XT!AG197))=2)*(CHOOSE({1,2,3,4},XT!X197,XT!AB197,XT!AF197,XT!AJ197)))</f>
        <v>0</v>
      </c>
      <c r="F197" t="str">
        <f>IFERROR(INDEX(CHOOSE({1,2,3,4}, DAY(XT!U197), DAY(XT!Y197), DAY(XT!AC197), DAY(XT!AG197)), MATCH(1, INDEX(--(MONTH(CHOOSE({1,2,3,4}, XT!U197,XT!Y197,XT!AC197,XT!AG197))=2), 0), 0)), "")</f>
        <v/>
      </c>
      <c r="G197" s="51" t="str">
        <f>IF(XT!$P197&gt;0,F197,"")</f>
        <v/>
      </c>
      <c r="H197" s="51" t="str">
        <f>IF(XT!$P197=0,F197,"")</f>
        <v/>
      </c>
      <c r="I197">
        <f>SUMPRODUCT((MONTH(CHOOSE({1,2,3,4},XT!U197,XT!Y197,XT!AC197,XT!AG197))=3)*(CHOOSE({1,2,3,4},XT!X197,XT!AB197,XT!AF197,XT!AJ197)))</f>
        <v>0</v>
      </c>
      <c r="J197" t="str">
        <f>IFERROR(INDEX(CHOOSE({1,2,3,4}, DAY(XT!U197), DAY(XT!Y197), DAY(XT!AC197), DAY(XT!AG197)), MATCH(1, INDEX(--(MONTH(CHOOSE({1,2,3,4}, XT!U197,XT!Y197,XT!AC197,XT!AG197))=3), 0), 0)), "")</f>
        <v/>
      </c>
      <c r="K197" s="51" t="str">
        <f>IF(XT!$P197&gt;0,J197,"")</f>
        <v/>
      </c>
      <c r="L197" s="51" t="str">
        <f>IF(XT!$P197=0,J197,"")</f>
        <v/>
      </c>
      <c r="M197">
        <f>SUMPRODUCT((MONTH(CHOOSE({1,2,3,4},XT!U197,XT!Y197,XT!AC197,XT!AG197))=4)*(CHOOSE({1,2,3,4},XT!X197,XT!AB197,XT!AF197,XT!AJ197)))</f>
        <v>0</v>
      </c>
      <c r="N197" t="str">
        <f>IFERROR(INDEX(CHOOSE({1,2,3,4}, DAY(XT!U197), DAY(XT!Y197), DAY(XT!AC197), DAY(XT!AG197)), MATCH(1, INDEX(--(MONTH(CHOOSE({1,2,3,4}, XT!U197,XT!Y197,XT!AC197,XT!AG197))=4), 0), 0)), "")</f>
        <v/>
      </c>
      <c r="O197" s="51" t="str">
        <f>IF(XT!$P197&gt;0,N197,"")</f>
        <v/>
      </c>
      <c r="P197" s="51" t="str">
        <f>IF(XT!$P197=0,N197,"")</f>
        <v/>
      </c>
      <c r="Q197">
        <f>SUMPRODUCT((MONTH(CHOOSE({1,2,3,4},XT!U197,XT!Y197,XT!AC197,XT!AG197))=5)*(CHOOSE({1,2,3,4},XT!X197,XT!AB197,XT!AF197,XT!AJ197)))</f>
        <v>0</v>
      </c>
      <c r="R197" t="str">
        <f>IFERROR(INDEX(CHOOSE({1,2,3,4}, DAY(XT!U197), DAY(XT!Y197), DAY(XT!AC197), DAY(XT!AG197)), MATCH(1, INDEX(--(MONTH(CHOOSE({1,2,3,4}, XT!U197,XT!Y197,XT!AC197,XT!AG197))=5), 0), 0)), "")</f>
        <v/>
      </c>
      <c r="S197" s="51" t="str">
        <f>IF(XT!$P197&gt;0,R197,"")</f>
        <v/>
      </c>
      <c r="T197" s="51" t="str">
        <f>IF(XT!$P197=0,R197,"")</f>
        <v/>
      </c>
      <c r="U197">
        <f>SUMPRODUCT((MONTH(CHOOSE({1,2,3,4},XT!U197,XT!Y197,XT!AC197,XT!AG197))=6)*(CHOOSE({1,2,3,4},XT!X197,XT!AB197,XT!AF197,XT!AJ197)))</f>
        <v>0</v>
      </c>
      <c r="V197" t="str">
        <f>IFERROR(INDEX(CHOOSE({1,2,3,4}, DAY(XT!U197), DAY(XT!Y197), DAY(XT!AC197), DAY(XT!AG197)), MATCH(1, INDEX(--(MONTH(CHOOSE({1,2,3,4}, XT!U197,XT!Y197,XT!AC197,XT!AG197))=6), 0), 0)), "")</f>
        <v/>
      </c>
      <c r="W197" s="51" t="str">
        <f>IF(XT!$P197&gt;0,V197,"")</f>
        <v/>
      </c>
      <c r="X197" s="51" t="str">
        <f>IF(XT!$P197=0,V197,"")</f>
        <v/>
      </c>
      <c r="Y197">
        <f>SUMPRODUCT((MONTH(CHOOSE({1,2,3,4},XT!U197,XT!Y197,XT!AC197,XT!AG197))=7)*(CHOOSE({1,2,3,4},XT!X197,XT!AB197,XT!AF197,XT!AJ197)))</f>
        <v>0</v>
      </c>
      <c r="Z197" t="str">
        <f>IFERROR(INDEX(CHOOSE({1,2,3,4}, DAY(XT!U197), DAY(XT!Y197), DAY(XT!AC197), DAY(XT!AG197)), MATCH(1, INDEX(--(MONTH(CHOOSE({1,2,3,4}, XT!U197,XT!Y197,XT!AC197,XT!AG197))=7), 0), 0)), "")</f>
        <v/>
      </c>
      <c r="AA197" s="51" t="str">
        <f>IF(XT!$P197&gt;0,Z197,"")</f>
        <v/>
      </c>
      <c r="AB197" s="51" t="str">
        <f>IF(XT!$P197=0,Z197,"")</f>
        <v/>
      </c>
      <c r="AC197">
        <f>SUMPRODUCT((MONTH(CHOOSE({1,2,3,4},XT!U197,XT!Y197,XT!AC197,XT!AG197))=8)*(CHOOSE({1,2,3,4},XT!X197,XT!AB197,XT!AF197,XT!AJ197)))</f>
        <v>0</v>
      </c>
      <c r="AD197" t="str">
        <f>IFERROR(INDEX(CHOOSE({1,2,3,4}, DAY(XT!U197), DAY(XT!Y197), DAY(XT!AC197), DAY(XT!AG197)), MATCH(1, INDEX(--(MONTH(CHOOSE({1,2,3,4}, XT!U197,XT!Y197,XT!AC197,XT!AG197))=8), 0), 0)), "")</f>
        <v/>
      </c>
      <c r="AE197" s="51" t="str">
        <f>IF(XT!$P197&gt;0,AD197,"")</f>
        <v/>
      </c>
      <c r="AF197" s="51" t="str">
        <f>IF(XT!$P197=0,AD197,"")</f>
        <v/>
      </c>
      <c r="AG197">
        <f>SUMPRODUCT((MONTH(CHOOSE({1,2,3,4},XT!U197,XT!Y197,XT!AC197,XT!AG197))=9)*(CHOOSE({1,2,3,4},XT!X197,XT!AB197,XT!AF197,XT!AJ197)))</f>
        <v>0</v>
      </c>
      <c r="AH197" t="str">
        <f>IFERROR(INDEX(CHOOSE({1,2,3,4}, DAY(XT!U197), DAY(XT!Y197), DAY(XT!AC197), DAY(XT!AG197)), MATCH(1, INDEX(--(MONTH(CHOOSE({1,2,3,4}, XT!U197,XT!Y197,XT!AC197,XT!AG197))=9), 0), 0)), "")</f>
        <v/>
      </c>
      <c r="AI197" s="51" t="str">
        <f>IF(XT!$P197&gt;0,AH197,"")</f>
        <v/>
      </c>
      <c r="AJ197" s="51" t="str">
        <f>IF(XT!$P197=0,AH197,"")</f>
        <v/>
      </c>
      <c r="AK197">
        <f>SUMPRODUCT((MONTH(CHOOSE({1,2,3,4},XT!U197,XT!Y197,XT!AC197,XT!AG197))=10)*(CHOOSE({1,2,3,4},XT!X197,XT!AB197,XT!AF197,XT!AJ197)))</f>
        <v>0</v>
      </c>
      <c r="AL197" t="str">
        <f>IFERROR(INDEX(CHOOSE({1,2,3,4}, DAY(XT!U197), DAY(XT!Y197), DAY(XT!AC197), DAY(XT!AG197)), MATCH(1, INDEX(--(MONTH(CHOOSE({1,2,3,4}, XT!U197,XT!Y197,XT!AC197,XT!AG197))=10), 0), 0)), "")</f>
        <v/>
      </c>
      <c r="AM197" s="51" t="str">
        <f>IF(XT!$P197&gt;0,AL197,"")</f>
        <v/>
      </c>
      <c r="AN197" s="51" t="str">
        <f>IF(XT!$P197=0,AL197,"")</f>
        <v/>
      </c>
      <c r="AO197">
        <f>SUMPRODUCT((MONTH(CHOOSE({1,2,3,4},XT!U197,XT!Y197,XT!AC197,XT!AG197))=11)*(CHOOSE({1,2,3,4},XT!X197,XT!AB197,XT!AF197,XT!AJ197)))</f>
        <v>0</v>
      </c>
      <c r="AP197" t="str">
        <f>IFERROR(INDEX(CHOOSE({1,2,3,4}, DAY(XT!U197), DAY(XT!Y197), DAY(XT!AC197), DAY(XT!AG197)), MATCH(1, INDEX(--(MONTH(CHOOSE({1,2,3,4}, XT!U197,XT!Y197,XT!AC197,XT!AG197))=11), 0), 0)), "")</f>
        <v/>
      </c>
      <c r="AQ197" s="51" t="str">
        <f>IF(XT!$P197&gt;0,AP197,"")</f>
        <v/>
      </c>
      <c r="AR197" s="51" t="str">
        <f>IF(XT!$P197=0,AP197,"")</f>
        <v/>
      </c>
      <c r="AS197">
        <f>SUMPRODUCT((MONTH(CHOOSE({1,2,3,4},XT!U197,XT!Y197,XT!AC197,XT!AG197))=12)*(CHOOSE({1,2,3,4},XT!X197,XT!AB197,XT!AF197,XT!AJ197)))</f>
        <v>0</v>
      </c>
      <c r="AT197" t="str">
        <f>IFERROR(INDEX(CHOOSE({1,2,3,4}, DAY(XT!U197), DAY(XT!Y197), DAY(XT!AC197), DAY(XT!AG197)), MATCH(1, INDEX(--(MONTH(CHOOSE({1,2,3,4}, XT!U197,XT!Y197,XT!AC197,XT!AG197))=12), 0), 0)), "")</f>
        <v/>
      </c>
      <c r="AU197" s="51" t="str">
        <f>IF(XT!$P197&gt;0,AT197,"")</f>
        <v/>
      </c>
      <c r="AV197" s="51" t="str">
        <f>IF(XT!$P197=0,AT197,"")</f>
        <v/>
      </c>
    </row>
    <row r="198" spans="1:48">
      <c r="A198">
        <f>SUMPRODUCT((MONTH(CHOOSE({1,2,3,4},XT!U198,XT!Y198,XT!AC198,XT!AG198))=1)*(CHOOSE({1,2,3,4},XT!X198,XT!AB198,XT!AF198,XT!AJ198)))</f>
        <v>0</v>
      </c>
      <c r="B198">
        <f>IFERROR(INDEX(CHOOSE({1,2,3,4}, DAY(XT!U198), DAY(XT!Y198), DAY(XT!AC198), DAY(XT!AG198)), MATCH(1, INDEX(--(MONTH(CHOOSE({1,2,3,4}, XT!U198,XT!Y198,XT!AC198,XT!AG198))=1), 0), 0)), "")</f>
        <v>0</v>
      </c>
      <c r="C198" s="51" t="str">
        <f>IF(XT!$P198&gt;0,B198,"")</f>
        <v/>
      </c>
      <c r="D198" s="51">
        <f>IF(XT!$P198=0,B198,"")</f>
        <v>0</v>
      </c>
      <c r="E198">
        <f>SUMPRODUCT((MONTH(CHOOSE({1,2,3,4},XT!U198,XT!Y198,XT!AC198,XT!AG198))=2)*(CHOOSE({1,2,3,4},XT!X198,XT!AB198,XT!AF198,XT!AJ198)))</f>
        <v>0</v>
      </c>
      <c r="F198" t="str">
        <f>IFERROR(INDEX(CHOOSE({1,2,3,4}, DAY(XT!U198), DAY(XT!Y198), DAY(XT!AC198), DAY(XT!AG198)), MATCH(1, INDEX(--(MONTH(CHOOSE({1,2,3,4}, XT!U198,XT!Y198,XT!AC198,XT!AG198))=2), 0), 0)), "")</f>
        <v/>
      </c>
      <c r="G198" s="51" t="str">
        <f>IF(XT!$P198&gt;0,F198,"")</f>
        <v/>
      </c>
      <c r="H198" s="51" t="str">
        <f>IF(XT!$P198=0,F198,"")</f>
        <v/>
      </c>
      <c r="I198">
        <f>SUMPRODUCT((MONTH(CHOOSE({1,2,3,4},XT!U198,XT!Y198,XT!AC198,XT!AG198))=3)*(CHOOSE({1,2,3,4},XT!X198,XT!AB198,XT!AF198,XT!AJ198)))</f>
        <v>0</v>
      </c>
      <c r="J198" t="str">
        <f>IFERROR(INDEX(CHOOSE({1,2,3,4}, DAY(XT!U198), DAY(XT!Y198), DAY(XT!AC198), DAY(XT!AG198)), MATCH(1, INDEX(--(MONTH(CHOOSE({1,2,3,4}, XT!U198,XT!Y198,XT!AC198,XT!AG198))=3), 0), 0)), "")</f>
        <v/>
      </c>
      <c r="K198" s="51" t="str">
        <f>IF(XT!$P198&gt;0,J198,"")</f>
        <v/>
      </c>
      <c r="L198" s="51" t="str">
        <f>IF(XT!$P198=0,J198,"")</f>
        <v/>
      </c>
      <c r="M198">
        <f>SUMPRODUCT((MONTH(CHOOSE({1,2,3,4},XT!U198,XT!Y198,XT!AC198,XT!AG198))=4)*(CHOOSE({1,2,3,4},XT!X198,XT!AB198,XT!AF198,XT!AJ198)))</f>
        <v>0</v>
      </c>
      <c r="N198" t="str">
        <f>IFERROR(INDEX(CHOOSE({1,2,3,4}, DAY(XT!U198), DAY(XT!Y198), DAY(XT!AC198), DAY(XT!AG198)), MATCH(1, INDEX(--(MONTH(CHOOSE({1,2,3,4}, XT!U198,XT!Y198,XT!AC198,XT!AG198))=4), 0), 0)), "")</f>
        <v/>
      </c>
      <c r="O198" s="51" t="str">
        <f>IF(XT!$P198&gt;0,N198,"")</f>
        <v/>
      </c>
      <c r="P198" s="51" t="str">
        <f>IF(XT!$P198=0,N198,"")</f>
        <v/>
      </c>
      <c r="Q198">
        <f>SUMPRODUCT((MONTH(CHOOSE({1,2,3,4},XT!U198,XT!Y198,XT!AC198,XT!AG198))=5)*(CHOOSE({1,2,3,4},XT!X198,XT!AB198,XT!AF198,XT!AJ198)))</f>
        <v>0</v>
      </c>
      <c r="R198" t="str">
        <f>IFERROR(INDEX(CHOOSE({1,2,3,4}, DAY(XT!U198), DAY(XT!Y198), DAY(XT!AC198), DAY(XT!AG198)), MATCH(1, INDEX(--(MONTH(CHOOSE({1,2,3,4}, XT!U198,XT!Y198,XT!AC198,XT!AG198))=5), 0), 0)), "")</f>
        <v/>
      </c>
      <c r="S198" s="51" t="str">
        <f>IF(XT!$P198&gt;0,R198,"")</f>
        <v/>
      </c>
      <c r="T198" s="51" t="str">
        <f>IF(XT!$P198=0,R198,"")</f>
        <v/>
      </c>
      <c r="U198">
        <f>SUMPRODUCT((MONTH(CHOOSE({1,2,3,4},XT!U198,XT!Y198,XT!AC198,XT!AG198))=6)*(CHOOSE({1,2,3,4},XT!X198,XT!AB198,XT!AF198,XT!AJ198)))</f>
        <v>0</v>
      </c>
      <c r="V198" t="str">
        <f>IFERROR(INDEX(CHOOSE({1,2,3,4}, DAY(XT!U198), DAY(XT!Y198), DAY(XT!AC198), DAY(XT!AG198)), MATCH(1, INDEX(--(MONTH(CHOOSE({1,2,3,4}, XT!U198,XT!Y198,XT!AC198,XT!AG198))=6), 0), 0)), "")</f>
        <v/>
      </c>
      <c r="W198" s="51" t="str">
        <f>IF(XT!$P198&gt;0,V198,"")</f>
        <v/>
      </c>
      <c r="X198" s="51" t="str">
        <f>IF(XT!$P198=0,V198,"")</f>
        <v/>
      </c>
      <c r="Y198">
        <f>SUMPRODUCT((MONTH(CHOOSE({1,2,3,4},XT!U198,XT!Y198,XT!AC198,XT!AG198))=7)*(CHOOSE({1,2,3,4},XT!X198,XT!AB198,XT!AF198,XT!AJ198)))</f>
        <v>0</v>
      </c>
      <c r="Z198" t="str">
        <f>IFERROR(INDEX(CHOOSE({1,2,3,4}, DAY(XT!U198), DAY(XT!Y198), DAY(XT!AC198), DAY(XT!AG198)), MATCH(1, INDEX(--(MONTH(CHOOSE({1,2,3,4}, XT!U198,XT!Y198,XT!AC198,XT!AG198))=7), 0), 0)), "")</f>
        <v/>
      </c>
      <c r="AA198" s="51" t="str">
        <f>IF(XT!$P198&gt;0,Z198,"")</f>
        <v/>
      </c>
      <c r="AB198" s="51" t="str">
        <f>IF(XT!$P198=0,Z198,"")</f>
        <v/>
      </c>
      <c r="AC198">
        <f>SUMPRODUCT((MONTH(CHOOSE({1,2,3,4},XT!U198,XT!Y198,XT!AC198,XT!AG198))=8)*(CHOOSE({1,2,3,4},XT!X198,XT!AB198,XT!AF198,XT!AJ198)))</f>
        <v>0</v>
      </c>
      <c r="AD198" t="str">
        <f>IFERROR(INDEX(CHOOSE({1,2,3,4}, DAY(XT!U198), DAY(XT!Y198), DAY(XT!AC198), DAY(XT!AG198)), MATCH(1, INDEX(--(MONTH(CHOOSE({1,2,3,4}, XT!U198,XT!Y198,XT!AC198,XT!AG198))=8), 0), 0)), "")</f>
        <v/>
      </c>
      <c r="AE198" s="51" t="str">
        <f>IF(XT!$P198&gt;0,AD198,"")</f>
        <v/>
      </c>
      <c r="AF198" s="51" t="str">
        <f>IF(XT!$P198=0,AD198,"")</f>
        <v/>
      </c>
      <c r="AG198">
        <f>SUMPRODUCT((MONTH(CHOOSE({1,2,3,4},XT!U198,XT!Y198,XT!AC198,XT!AG198))=9)*(CHOOSE({1,2,3,4},XT!X198,XT!AB198,XT!AF198,XT!AJ198)))</f>
        <v>0</v>
      </c>
      <c r="AH198" t="str">
        <f>IFERROR(INDEX(CHOOSE({1,2,3,4}, DAY(XT!U198), DAY(XT!Y198), DAY(XT!AC198), DAY(XT!AG198)), MATCH(1, INDEX(--(MONTH(CHOOSE({1,2,3,4}, XT!U198,XT!Y198,XT!AC198,XT!AG198))=9), 0), 0)), "")</f>
        <v/>
      </c>
      <c r="AI198" s="51" t="str">
        <f>IF(XT!$P198&gt;0,AH198,"")</f>
        <v/>
      </c>
      <c r="AJ198" s="51" t="str">
        <f>IF(XT!$P198=0,AH198,"")</f>
        <v/>
      </c>
      <c r="AK198">
        <f>SUMPRODUCT((MONTH(CHOOSE({1,2,3,4},XT!U198,XT!Y198,XT!AC198,XT!AG198))=10)*(CHOOSE({1,2,3,4},XT!X198,XT!AB198,XT!AF198,XT!AJ198)))</f>
        <v>0</v>
      </c>
      <c r="AL198" t="str">
        <f>IFERROR(INDEX(CHOOSE({1,2,3,4}, DAY(XT!U198), DAY(XT!Y198), DAY(XT!AC198), DAY(XT!AG198)), MATCH(1, INDEX(--(MONTH(CHOOSE({1,2,3,4}, XT!U198,XT!Y198,XT!AC198,XT!AG198))=10), 0), 0)), "")</f>
        <v/>
      </c>
      <c r="AM198" s="51" t="str">
        <f>IF(XT!$P198&gt;0,AL198,"")</f>
        <v/>
      </c>
      <c r="AN198" s="51" t="str">
        <f>IF(XT!$P198=0,AL198,"")</f>
        <v/>
      </c>
      <c r="AO198">
        <f>SUMPRODUCT((MONTH(CHOOSE({1,2,3,4},XT!U198,XT!Y198,XT!AC198,XT!AG198))=11)*(CHOOSE({1,2,3,4},XT!X198,XT!AB198,XT!AF198,XT!AJ198)))</f>
        <v>0</v>
      </c>
      <c r="AP198" t="str">
        <f>IFERROR(INDEX(CHOOSE({1,2,3,4}, DAY(XT!U198), DAY(XT!Y198), DAY(XT!AC198), DAY(XT!AG198)), MATCH(1, INDEX(--(MONTH(CHOOSE({1,2,3,4}, XT!U198,XT!Y198,XT!AC198,XT!AG198))=11), 0), 0)), "")</f>
        <v/>
      </c>
      <c r="AQ198" s="51" t="str">
        <f>IF(XT!$P198&gt;0,AP198,"")</f>
        <v/>
      </c>
      <c r="AR198" s="51" t="str">
        <f>IF(XT!$P198=0,AP198,"")</f>
        <v/>
      </c>
      <c r="AS198">
        <f>SUMPRODUCT((MONTH(CHOOSE({1,2,3,4},XT!U198,XT!Y198,XT!AC198,XT!AG198))=12)*(CHOOSE({1,2,3,4},XT!X198,XT!AB198,XT!AF198,XT!AJ198)))</f>
        <v>0</v>
      </c>
      <c r="AT198" t="str">
        <f>IFERROR(INDEX(CHOOSE({1,2,3,4}, DAY(XT!U198), DAY(XT!Y198), DAY(XT!AC198), DAY(XT!AG198)), MATCH(1, INDEX(--(MONTH(CHOOSE({1,2,3,4}, XT!U198,XT!Y198,XT!AC198,XT!AG198))=12), 0), 0)), "")</f>
        <v/>
      </c>
      <c r="AU198" s="51" t="str">
        <f>IF(XT!$P198&gt;0,AT198,"")</f>
        <v/>
      </c>
      <c r="AV198" s="51" t="str">
        <f>IF(XT!$P198=0,AT198,"")</f>
        <v/>
      </c>
    </row>
    <row r="199" spans="1:48">
      <c r="A199">
        <f>SUMPRODUCT((MONTH(CHOOSE({1,2,3,4},XT!U199,XT!Y199,XT!AC199,XT!AG199))=1)*(CHOOSE({1,2,3,4},XT!X199,XT!AB199,XT!AF199,XT!AJ199)))</f>
        <v>0</v>
      </c>
      <c r="B199">
        <f>IFERROR(INDEX(CHOOSE({1,2,3,4}, DAY(XT!U199), DAY(XT!Y199), DAY(XT!AC199), DAY(XT!AG199)), MATCH(1, INDEX(--(MONTH(CHOOSE({1,2,3,4}, XT!U199,XT!Y199,XT!AC199,XT!AG199))=1), 0), 0)), "")</f>
        <v>0</v>
      </c>
      <c r="C199" s="51" t="str">
        <f>IF(XT!$P199&gt;0,B199,"")</f>
        <v/>
      </c>
      <c r="D199" s="51">
        <f>IF(XT!$P199=0,B199,"")</f>
        <v>0</v>
      </c>
      <c r="E199">
        <f>SUMPRODUCT((MONTH(CHOOSE({1,2,3,4},XT!U199,XT!Y199,XT!AC199,XT!AG199))=2)*(CHOOSE({1,2,3,4},XT!X199,XT!AB199,XT!AF199,XT!AJ199)))</f>
        <v>0</v>
      </c>
      <c r="F199" t="str">
        <f>IFERROR(INDEX(CHOOSE({1,2,3,4}, DAY(XT!U199), DAY(XT!Y199), DAY(XT!AC199), DAY(XT!AG199)), MATCH(1, INDEX(--(MONTH(CHOOSE({1,2,3,4}, XT!U199,XT!Y199,XT!AC199,XT!AG199))=2), 0), 0)), "")</f>
        <v/>
      </c>
      <c r="G199" s="51" t="str">
        <f>IF(XT!$P199&gt;0,F199,"")</f>
        <v/>
      </c>
      <c r="H199" s="51" t="str">
        <f>IF(XT!$P199=0,F199,"")</f>
        <v/>
      </c>
      <c r="I199">
        <f>SUMPRODUCT((MONTH(CHOOSE({1,2,3,4},XT!U199,XT!Y199,XT!AC199,XT!AG199))=3)*(CHOOSE({1,2,3,4},XT!X199,XT!AB199,XT!AF199,XT!AJ199)))</f>
        <v>0</v>
      </c>
      <c r="J199" t="str">
        <f>IFERROR(INDEX(CHOOSE({1,2,3,4}, DAY(XT!U199), DAY(XT!Y199), DAY(XT!AC199), DAY(XT!AG199)), MATCH(1, INDEX(--(MONTH(CHOOSE({1,2,3,4}, XT!U199,XT!Y199,XT!AC199,XT!AG199))=3), 0), 0)), "")</f>
        <v/>
      </c>
      <c r="K199" s="51" t="str">
        <f>IF(XT!$P199&gt;0,J199,"")</f>
        <v/>
      </c>
      <c r="L199" s="51" t="str">
        <f>IF(XT!$P199=0,J199,"")</f>
        <v/>
      </c>
      <c r="M199">
        <f>SUMPRODUCT((MONTH(CHOOSE({1,2,3,4},XT!U199,XT!Y199,XT!AC199,XT!AG199))=4)*(CHOOSE({1,2,3,4},XT!X199,XT!AB199,XT!AF199,XT!AJ199)))</f>
        <v>0</v>
      </c>
      <c r="N199" t="str">
        <f>IFERROR(INDEX(CHOOSE({1,2,3,4}, DAY(XT!U199), DAY(XT!Y199), DAY(XT!AC199), DAY(XT!AG199)), MATCH(1, INDEX(--(MONTH(CHOOSE({1,2,3,4}, XT!U199,XT!Y199,XT!AC199,XT!AG199))=4), 0), 0)), "")</f>
        <v/>
      </c>
      <c r="O199" s="51" t="str">
        <f>IF(XT!$P199&gt;0,N199,"")</f>
        <v/>
      </c>
      <c r="P199" s="51" t="str">
        <f>IF(XT!$P199=0,N199,"")</f>
        <v/>
      </c>
      <c r="Q199">
        <f>SUMPRODUCT((MONTH(CHOOSE({1,2,3,4},XT!U199,XT!Y199,XT!AC199,XT!AG199))=5)*(CHOOSE({1,2,3,4},XT!X199,XT!AB199,XT!AF199,XT!AJ199)))</f>
        <v>0</v>
      </c>
      <c r="R199" t="str">
        <f>IFERROR(INDEX(CHOOSE({1,2,3,4}, DAY(XT!U199), DAY(XT!Y199), DAY(XT!AC199), DAY(XT!AG199)), MATCH(1, INDEX(--(MONTH(CHOOSE({1,2,3,4}, XT!U199,XT!Y199,XT!AC199,XT!AG199))=5), 0), 0)), "")</f>
        <v/>
      </c>
      <c r="S199" s="51" t="str">
        <f>IF(XT!$P199&gt;0,R199,"")</f>
        <v/>
      </c>
      <c r="T199" s="51" t="str">
        <f>IF(XT!$P199=0,R199,"")</f>
        <v/>
      </c>
      <c r="U199">
        <f>SUMPRODUCT((MONTH(CHOOSE({1,2,3,4},XT!U199,XT!Y199,XT!AC199,XT!AG199))=6)*(CHOOSE({1,2,3,4},XT!X199,XT!AB199,XT!AF199,XT!AJ199)))</f>
        <v>0</v>
      </c>
      <c r="V199" t="str">
        <f>IFERROR(INDEX(CHOOSE({1,2,3,4}, DAY(XT!U199), DAY(XT!Y199), DAY(XT!AC199), DAY(XT!AG199)), MATCH(1, INDEX(--(MONTH(CHOOSE({1,2,3,4}, XT!U199,XT!Y199,XT!AC199,XT!AG199))=6), 0), 0)), "")</f>
        <v/>
      </c>
      <c r="W199" s="51" t="str">
        <f>IF(XT!$P199&gt;0,V199,"")</f>
        <v/>
      </c>
      <c r="X199" s="51" t="str">
        <f>IF(XT!$P199=0,V199,"")</f>
        <v/>
      </c>
      <c r="Y199">
        <f>SUMPRODUCT((MONTH(CHOOSE({1,2,3,4},XT!U199,XT!Y199,XT!AC199,XT!AG199))=7)*(CHOOSE({1,2,3,4},XT!X199,XT!AB199,XT!AF199,XT!AJ199)))</f>
        <v>0</v>
      </c>
      <c r="Z199" t="str">
        <f>IFERROR(INDEX(CHOOSE({1,2,3,4}, DAY(XT!U199), DAY(XT!Y199), DAY(XT!AC199), DAY(XT!AG199)), MATCH(1, INDEX(--(MONTH(CHOOSE({1,2,3,4}, XT!U199,XT!Y199,XT!AC199,XT!AG199))=7), 0), 0)), "")</f>
        <v/>
      </c>
      <c r="AA199" s="51" t="str">
        <f>IF(XT!$P199&gt;0,Z199,"")</f>
        <v/>
      </c>
      <c r="AB199" s="51" t="str">
        <f>IF(XT!$P199=0,Z199,"")</f>
        <v/>
      </c>
      <c r="AC199">
        <f>SUMPRODUCT((MONTH(CHOOSE({1,2,3,4},XT!U199,XT!Y199,XT!AC199,XT!AG199))=8)*(CHOOSE({1,2,3,4},XT!X199,XT!AB199,XT!AF199,XT!AJ199)))</f>
        <v>0</v>
      </c>
      <c r="AD199" t="str">
        <f>IFERROR(INDEX(CHOOSE({1,2,3,4}, DAY(XT!U199), DAY(XT!Y199), DAY(XT!AC199), DAY(XT!AG199)), MATCH(1, INDEX(--(MONTH(CHOOSE({1,2,3,4}, XT!U199,XT!Y199,XT!AC199,XT!AG199))=8), 0), 0)), "")</f>
        <v/>
      </c>
      <c r="AE199" s="51" t="str">
        <f>IF(XT!$P199&gt;0,AD199,"")</f>
        <v/>
      </c>
      <c r="AF199" s="51" t="str">
        <f>IF(XT!$P199=0,AD199,"")</f>
        <v/>
      </c>
      <c r="AG199">
        <f>SUMPRODUCT((MONTH(CHOOSE({1,2,3,4},XT!U199,XT!Y199,XT!AC199,XT!AG199))=9)*(CHOOSE({1,2,3,4},XT!X199,XT!AB199,XT!AF199,XT!AJ199)))</f>
        <v>0</v>
      </c>
      <c r="AH199" t="str">
        <f>IFERROR(INDEX(CHOOSE({1,2,3,4}, DAY(XT!U199), DAY(XT!Y199), DAY(XT!AC199), DAY(XT!AG199)), MATCH(1, INDEX(--(MONTH(CHOOSE({1,2,3,4}, XT!U199,XT!Y199,XT!AC199,XT!AG199))=9), 0), 0)), "")</f>
        <v/>
      </c>
      <c r="AI199" s="51" t="str">
        <f>IF(XT!$P199&gt;0,AH199,"")</f>
        <v/>
      </c>
      <c r="AJ199" s="51" t="str">
        <f>IF(XT!$P199=0,AH199,"")</f>
        <v/>
      </c>
      <c r="AK199">
        <f>SUMPRODUCT((MONTH(CHOOSE({1,2,3,4},XT!U199,XT!Y199,XT!AC199,XT!AG199))=10)*(CHOOSE({1,2,3,4},XT!X199,XT!AB199,XT!AF199,XT!AJ199)))</f>
        <v>0</v>
      </c>
      <c r="AL199" t="str">
        <f>IFERROR(INDEX(CHOOSE({1,2,3,4}, DAY(XT!U199), DAY(XT!Y199), DAY(XT!AC199), DAY(XT!AG199)), MATCH(1, INDEX(--(MONTH(CHOOSE({1,2,3,4}, XT!U199,XT!Y199,XT!AC199,XT!AG199))=10), 0), 0)), "")</f>
        <v/>
      </c>
      <c r="AM199" s="51" t="str">
        <f>IF(XT!$P199&gt;0,AL199,"")</f>
        <v/>
      </c>
      <c r="AN199" s="51" t="str">
        <f>IF(XT!$P199=0,AL199,"")</f>
        <v/>
      </c>
      <c r="AO199">
        <f>SUMPRODUCT((MONTH(CHOOSE({1,2,3,4},XT!U199,XT!Y199,XT!AC199,XT!AG199))=11)*(CHOOSE({1,2,3,4},XT!X199,XT!AB199,XT!AF199,XT!AJ199)))</f>
        <v>0</v>
      </c>
      <c r="AP199" t="str">
        <f>IFERROR(INDEX(CHOOSE({1,2,3,4}, DAY(XT!U199), DAY(XT!Y199), DAY(XT!AC199), DAY(XT!AG199)), MATCH(1, INDEX(--(MONTH(CHOOSE({1,2,3,4}, XT!U199,XT!Y199,XT!AC199,XT!AG199))=11), 0), 0)), "")</f>
        <v/>
      </c>
      <c r="AQ199" s="51" t="str">
        <f>IF(XT!$P199&gt;0,AP199,"")</f>
        <v/>
      </c>
      <c r="AR199" s="51" t="str">
        <f>IF(XT!$P199=0,AP199,"")</f>
        <v/>
      </c>
      <c r="AS199">
        <f>SUMPRODUCT((MONTH(CHOOSE({1,2,3,4},XT!U199,XT!Y199,XT!AC199,XT!AG199))=12)*(CHOOSE({1,2,3,4},XT!X199,XT!AB199,XT!AF199,XT!AJ199)))</f>
        <v>0</v>
      </c>
      <c r="AT199" t="str">
        <f>IFERROR(INDEX(CHOOSE({1,2,3,4}, DAY(XT!U199), DAY(XT!Y199), DAY(XT!AC199), DAY(XT!AG199)), MATCH(1, INDEX(--(MONTH(CHOOSE({1,2,3,4}, XT!U199,XT!Y199,XT!AC199,XT!AG199))=12), 0), 0)), "")</f>
        <v/>
      </c>
      <c r="AU199" s="51" t="str">
        <f>IF(XT!$P199&gt;0,AT199,"")</f>
        <v/>
      </c>
      <c r="AV199" s="51" t="str">
        <f>IF(XT!$P199=0,AT199,"")</f>
        <v/>
      </c>
    </row>
    <row r="200" spans="1:48">
      <c r="A200">
        <f>SUMPRODUCT((MONTH(CHOOSE({1,2,3,4},XT!U200,XT!Y200,XT!AC200,XT!AG200))=1)*(CHOOSE({1,2,3,4},XT!X200,XT!AB200,XT!AF200,XT!AJ200)))</f>
        <v>0</v>
      </c>
      <c r="B200">
        <f>IFERROR(INDEX(CHOOSE({1,2,3,4}, DAY(XT!U200), DAY(XT!Y200), DAY(XT!AC200), DAY(XT!AG200)), MATCH(1, INDEX(--(MONTH(CHOOSE({1,2,3,4}, XT!U200,XT!Y200,XT!AC200,XT!AG200))=1), 0), 0)), "")</f>
        <v>0</v>
      </c>
      <c r="C200" s="51" t="str">
        <f>IF(XT!$P200&gt;0,B200,"")</f>
        <v/>
      </c>
      <c r="D200" s="51">
        <f>IF(XT!$P200=0,B200,"")</f>
        <v>0</v>
      </c>
      <c r="E200">
        <f>SUMPRODUCT((MONTH(CHOOSE({1,2,3,4},XT!U200,XT!Y200,XT!AC200,XT!AG200))=2)*(CHOOSE({1,2,3,4},XT!X200,XT!AB200,XT!AF200,XT!AJ200)))</f>
        <v>0</v>
      </c>
      <c r="F200" t="str">
        <f>IFERROR(INDEX(CHOOSE({1,2,3,4}, DAY(XT!U200), DAY(XT!Y200), DAY(XT!AC200), DAY(XT!AG200)), MATCH(1, INDEX(--(MONTH(CHOOSE({1,2,3,4}, XT!U200,XT!Y200,XT!AC200,XT!AG200))=2), 0), 0)), "")</f>
        <v/>
      </c>
      <c r="G200" s="51" t="str">
        <f>IF(XT!$P200&gt;0,F200,"")</f>
        <v/>
      </c>
      <c r="H200" s="51" t="str">
        <f>IF(XT!$P200=0,F200,"")</f>
        <v/>
      </c>
      <c r="I200">
        <f>SUMPRODUCT((MONTH(CHOOSE({1,2,3,4},XT!U200,XT!Y200,XT!AC200,XT!AG200))=3)*(CHOOSE({1,2,3,4},XT!X200,XT!AB200,XT!AF200,XT!AJ200)))</f>
        <v>0</v>
      </c>
      <c r="J200" t="str">
        <f>IFERROR(INDEX(CHOOSE({1,2,3,4}, DAY(XT!U200), DAY(XT!Y200), DAY(XT!AC200), DAY(XT!AG200)), MATCH(1, INDEX(--(MONTH(CHOOSE({1,2,3,4}, XT!U200,XT!Y200,XT!AC200,XT!AG200))=3), 0), 0)), "")</f>
        <v/>
      </c>
      <c r="K200" s="51" t="str">
        <f>IF(XT!$P200&gt;0,J200,"")</f>
        <v/>
      </c>
      <c r="L200" s="51" t="str">
        <f>IF(XT!$P200=0,J200,"")</f>
        <v/>
      </c>
      <c r="M200">
        <f>SUMPRODUCT((MONTH(CHOOSE({1,2,3,4},XT!U200,XT!Y200,XT!AC200,XT!AG200))=4)*(CHOOSE({1,2,3,4},XT!X200,XT!AB200,XT!AF200,XT!AJ200)))</f>
        <v>0</v>
      </c>
      <c r="N200" t="str">
        <f>IFERROR(INDEX(CHOOSE({1,2,3,4}, DAY(XT!U200), DAY(XT!Y200), DAY(XT!AC200), DAY(XT!AG200)), MATCH(1, INDEX(--(MONTH(CHOOSE({1,2,3,4}, XT!U200,XT!Y200,XT!AC200,XT!AG200))=4), 0), 0)), "")</f>
        <v/>
      </c>
      <c r="O200" s="51" t="str">
        <f>IF(XT!$P200&gt;0,N200,"")</f>
        <v/>
      </c>
      <c r="P200" s="51" t="str">
        <f>IF(XT!$P200=0,N200,"")</f>
        <v/>
      </c>
      <c r="Q200">
        <f>SUMPRODUCT((MONTH(CHOOSE({1,2,3,4},XT!U200,XT!Y200,XT!AC200,XT!AG200))=5)*(CHOOSE({1,2,3,4},XT!X200,XT!AB200,XT!AF200,XT!AJ200)))</f>
        <v>0</v>
      </c>
      <c r="R200" t="str">
        <f>IFERROR(INDEX(CHOOSE({1,2,3,4}, DAY(XT!U200), DAY(XT!Y200), DAY(XT!AC200), DAY(XT!AG200)), MATCH(1, INDEX(--(MONTH(CHOOSE({1,2,3,4}, XT!U200,XT!Y200,XT!AC200,XT!AG200))=5), 0), 0)), "")</f>
        <v/>
      </c>
      <c r="S200" s="51" t="str">
        <f>IF(XT!$P200&gt;0,R200,"")</f>
        <v/>
      </c>
      <c r="T200" s="51" t="str">
        <f>IF(XT!$P200=0,R200,"")</f>
        <v/>
      </c>
      <c r="U200">
        <f>SUMPRODUCT((MONTH(CHOOSE({1,2,3,4},XT!U200,XT!Y200,XT!AC200,XT!AG200))=6)*(CHOOSE({1,2,3,4},XT!X200,XT!AB200,XT!AF200,XT!AJ200)))</f>
        <v>0</v>
      </c>
      <c r="V200" t="str">
        <f>IFERROR(INDEX(CHOOSE({1,2,3,4}, DAY(XT!U200), DAY(XT!Y200), DAY(XT!AC200), DAY(XT!AG200)), MATCH(1, INDEX(--(MONTH(CHOOSE({1,2,3,4}, XT!U200,XT!Y200,XT!AC200,XT!AG200))=6), 0), 0)), "")</f>
        <v/>
      </c>
      <c r="W200" s="51" t="str">
        <f>IF(XT!$P200&gt;0,V200,"")</f>
        <v/>
      </c>
      <c r="X200" s="51" t="str">
        <f>IF(XT!$P200=0,V200,"")</f>
        <v/>
      </c>
      <c r="Y200">
        <f>SUMPRODUCT((MONTH(CHOOSE({1,2,3,4},XT!U200,XT!Y200,XT!AC200,XT!AG200))=7)*(CHOOSE({1,2,3,4},XT!X200,XT!AB200,XT!AF200,XT!AJ200)))</f>
        <v>0</v>
      </c>
      <c r="Z200" t="str">
        <f>IFERROR(INDEX(CHOOSE({1,2,3,4}, DAY(XT!U200), DAY(XT!Y200), DAY(XT!AC200), DAY(XT!AG200)), MATCH(1, INDEX(--(MONTH(CHOOSE({1,2,3,4}, XT!U200,XT!Y200,XT!AC200,XT!AG200))=7), 0), 0)), "")</f>
        <v/>
      </c>
      <c r="AA200" s="51" t="str">
        <f>IF(XT!$P200&gt;0,Z200,"")</f>
        <v/>
      </c>
      <c r="AB200" s="51" t="str">
        <f>IF(XT!$P200=0,Z200,"")</f>
        <v/>
      </c>
      <c r="AC200">
        <f>SUMPRODUCT((MONTH(CHOOSE({1,2,3,4},XT!U200,XT!Y200,XT!AC200,XT!AG200))=8)*(CHOOSE({1,2,3,4},XT!X200,XT!AB200,XT!AF200,XT!AJ200)))</f>
        <v>0</v>
      </c>
      <c r="AD200" t="str">
        <f>IFERROR(INDEX(CHOOSE({1,2,3,4}, DAY(XT!U200), DAY(XT!Y200), DAY(XT!AC200), DAY(XT!AG200)), MATCH(1, INDEX(--(MONTH(CHOOSE({1,2,3,4}, XT!U200,XT!Y200,XT!AC200,XT!AG200))=8), 0), 0)), "")</f>
        <v/>
      </c>
      <c r="AE200" s="51" t="str">
        <f>IF(XT!$P200&gt;0,AD200,"")</f>
        <v/>
      </c>
      <c r="AF200" s="51" t="str">
        <f>IF(XT!$P200=0,AD200,"")</f>
        <v/>
      </c>
      <c r="AG200">
        <f>SUMPRODUCT((MONTH(CHOOSE({1,2,3,4},XT!U200,XT!Y200,XT!AC200,XT!AG200))=9)*(CHOOSE({1,2,3,4},XT!X200,XT!AB200,XT!AF200,XT!AJ200)))</f>
        <v>0</v>
      </c>
      <c r="AH200" t="str">
        <f>IFERROR(INDEX(CHOOSE({1,2,3,4}, DAY(XT!U200), DAY(XT!Y200), DAY(XT!AC200), DAY(XT!AG200)), MATCH(1, INDEX(--(MONTH(CHOOSE({1,2,3,4}, XT!U200,XT!Y200,XT!AC200,XT!AG200))=9), 0), 0)), "")</f>
        <v/>
      </c>
      <c r="AI200" s="51" t="str">
        <f>IF(XT!$P200&gt;0,AH200,"")</f>
        <v/>
      </c>
      <c r="AJ200" s="51" t="str">
        <f>IF(XT!$P200=0,AH200,"")</f>
        <v/>
      </c>
      <c r="AK200">
        <f>SUMPRODUCT((MONTH(CHOOSE({1,2,3,4},XT!U200,XT!Y200,XT!AC200,XT!AG200))=10)*(CHOOSE({1,2,3,4},XT!X200,XT!AB200,XT!AF200,XT!AJ200)))</f>
        <v>0</v>
      </c>
      <c r="AL200" t="str">
        <f>IFERROR(INDEX(CHOOSE({1,2,3,4}, DAY(XT!U200), DAY(XT!Y200), DAY(XT!AC200), DAY(XT!AG200)), MATCH(1, INDEX(--(MONTH(CHOOSE({1,2,3,4}, XT!U200,XT!Y200,XT!AC200,XT!AG200))=10), 0), 0)), "")</f>
        <v/>
      </c>
      <c r="AM200" s="51" t="str">
        <f>IF(XT!$P200&gt;0,AL200,"")</f>
        <v/>
      </c>
      <c r="AN200" s="51" t="str">
        <f>IF(XT!$P200=0,AL200,"")</f>
        <v/>
      </c>
      <c r="AO200">
        <f>SUMPRODUCT((MONTH(CHOOSE({1,2,3,4},XT!U200,XT!Y200,XT!AC200,XT!AG200))=11)*(CHOOSE({1,2,3,4},XT!X200,XT!AB200,XT!AF200,XT!AJ200)))</f>
        <v>0</v>
      </c>
      <c r="AP200" t="str">
        <f>IFERROR(INDEX(CHOOSE({1,2,3,4}, DAY(XT!U200), DAY(XT!Y200), DAY(XT!AC200), DAY(XT!AG200)), MATCH(1, INDEX(--(MONTH(CHOOSE({1,2,3,4}, XT!U200,XT!Y200,XT!AC200,XT!AG200))=11), 0), 0)), "")</f>
        <v/>
      </c>
      <c r="AQ200" s="51" t="str">
        <f>IF(XT!$P200&gt;0,AP200,"")</f>
        <v/>
      </c>
      <c r="AR200" s="51" t="str">
        <f>IF(XT!$P200=0,AP200,"")</f>
        <v/>
      </c>
      <c r="AS200">
        <f>SUMPRODUCT((MONTH(CHOOSE({1,2,3,4},XT!U200,XT!Y200,XT!AC200,XT!AG200))=12)*(CHOOSE({1,2,3,4},XT!X200,XT!AB200,XT!AF200,XT!AJ200)))</f>
        <v>0</v>
      </c>
      <c r="AT200" t="str">
        <f>IFERROR(INDEX(CHOOSE({1,2,3,4}, DAY(XT!U200), DAY(XT!Y200), DAY(XT!AC200), DAY(XT!AG200)), MATCH(1, INDEX(--(MONTH(CHOOSE({1,2,3,4}, XT!U200,XT!Y200,XT!AC200,XT!AG200))=12), 0), 0)), "")</f>
        <v/>
      </c>
      <c r="AU200" s="51" t="str">
        <f>IF(XT!$P200&gt;0,AT200,"")</f>
        <v/>
      </c>
      <c r="AV200" s="51" t="str">
        <f>IF(XT!$P200=0,AT200,"")</f>
        <v/>
      </c>
    </row>
    <row r="201" spans="1:48">
      <c r="A201">
        <f>SUMPRODUCT((MONTH(CHOOSE({1,2,3,4},XT!U201,XT!Y201,XT!AC201,XT!AG201))=1)*(CHOOSE({1,2,3,4},XT!X201,XT!AB201,XT!AF201,XT!AJ201)))</f>
        <v>0</v>
      </c>
      <c r="B201">
        <f>IFERROR(INDEX(CHOOSE({1,2,3,4}, DAY(XT!U201), DAY(XT!Y201), DAY(XT!AC201), DAY(XT!AG201)), MATCH(1, INDEX(--(MONTH(CHOOSE({1,2,3,4}, XT!U201,XT!Y201,XT!AC201,XT!AG201))=1), 0), 0)), "")</f>
        <v>0</v>
      </c>
      <c r="C201" s="51" t="str">
        <f>IF(XT!$P201&gt;0,B201,"")</f>
        <v/>
      </c>
      <c r="D201" s="51">
        <f>IF(XT!$P201=0,B201,"")</f>
        <v>0</v>
      </c>
      <c r="E201">
        <f>SUMPRODUCT((MONTH(CHOOSE({1,2,3,4},XT!U201,XT!Y201,XT!AC201,XT!AG201))=2)*(CHOOSE({1,2,3,4},XT!X201,XT!AB201,XT!AF201,XT!AJ201)))</f>
        <v>0</v>
      </c>
      <c r="F201" t="str">
        <f>IFERROR(INDEX(CHOOSE({1,2,3,4}, DAY(XT!U201), DAY(XT!Y201), DAY(XT!AC201), DAY(XT!AG201)), MATCH(1, INDEX(--(MONTH(CHOOSE({1,2,3,4}, XT!U201,XT!Y201,XT!AC201,XT!AG201))=2), 0), 0)), "")</f>
        <v/>
      </c>
      <c r="G201" s="51" t="str">
        <f>IF(XT!$P201&gt;0,F201,"")</f>
        <v/>
      </c>
      <c r="H201" s="51" t="str">
        <f>IF(XT!$P201=0,F201,"")</f>
        <v/>
      </c>
      <c r="I201">
        <f>SUMPRODUCT((MONTH(CHOOSE({1,2,3,4},XT!U201,XT!Y201,XT!AC201,XT!AG201))=3)*(CHOOSE({1,2,3,4},XT!X201,XT!AB201,XT!AF201,XT!AJ201)))</f>
        <v>0</v>
      </c>
      <c r="J201" t="str">
        <f>IFERROR(INDEX(CHOOSE({1,2,3,4}, DAY(XT!U201), DAY(XT!Y201), DAY(XT!AC201), DAY(XT!AG201)), MATCH(1, INDEX(--(MONTH(CHOOSE({1,2,3,4}, XT!U201,XT!Y201,XT!AC201,XT!AG201))=3), 0), 0)), "")</f>
        <v/>
      </c>
      <c r="K201" s="51" t="str">
        <f>IF(XT!$P201&gt;0,J201,"")</f>
        <v/>
      </c>
      <c r="L201" s="51" t="str">
        <f>IF(XT!$P201=0,J201,"")</f>
        <v/>
      </c>
      <c r="M201">
        <f>SUMPRODUCT((MONTH(CHOOSE({1,2,3,4},XT!U201,XT!Y201,XT!AC201,XT!AG201))=4)*(CHOOSE({1,2,3,4},XT!X201,XT!AB201,XT!AF201,XT!AJ201)))</f>
        <v>0</v>
      </c>
      <c r="N201" t="str">
        <f>IFERROR(INDEX(CHOOSE({1,2,3,4}, DAY(XT!U201), DAY(XT!Y201), DAY(XT!AC201), DAY(XT!AG201)), MATCH(1, INDEX(--(MONTH(CHOOSE({1,2,3,4}, XT!U201,XT!Y201,XT!AC201,XT!AG201))=4), 0), 0)), "")</f>
        <v/>
      </c>
      <c r="O201" s="51" t="str">
        <f>IF(XT!$P201&gt;0,N201,"")</f>
        <v/>
      </c>
      <c r="P201" s="51" t="str">
        <f>IF(XT!$P201=0,N201,"")</f>
        <v/>
      </c>
      <c r="Q201">
        <f>SUMPRODUCT((MONTH(CHOOSE({1,2,3,4},XT!U201,XT!Y201,XT!AC201,XT!AG201))=5)*(CHOOSE({1,2,3,4},XT!X201,XT!AB201,XT!AF201,XT!AJ201)))</f>
        <v>0</v>
      </c>
      <c r="R201" t="str">
        <f>IFERROR(INDEX(CHOOSE({1,2,3,4}, DAY(XT!U201), DAY(XT!Y201), DAY(XT!AC201), DAY(XT!AG201)), MATCH(1, INDEX(--(MONTH(CHOOSE({1,2,3,4}, XT!U201,XT!Y201,XT!AC201,XT!AG201))=5), 0), 0)), "")</f>
        <v/>
      </c>
      <c r="S201" s="51" t="str">
        <f>IF(XT!$P201&gt;0,R201,"")</f>
        <v/>
      </c>
      <c r="T201" s="51" t="str">
        <f>IF(XT!$P201=0,R201,"")</f>
        <v/>
      </c>
      <c r="U201">
        <f>SUMPRODUCT((MONTH(CHOOSE({1,2,3,4},XT!U201,XT!Y201,XT!AC201,XT!AG201))=6)*(CHOOSE({1,2,3,4},XT!X201,XT!AB201,XT!AF201,XT!AJ201)))</f>
        <v>0</v>
      </c>
      <c r="V201" t="str">
        <f>IFERROR(INDEX(CHOOSE({1,2,3,4}, DAY(XT!U201), DAY(XT!Y201), DAY(XT!AC201), DAY(XT!AG201)), MATCH(1, INDEX(--(MONTH(CHOOSE({1,2,3,4}, XT!U201,XT!Y201,XT!AC201,XT!AG201))=6), 0), 0)), "")</f>
        <v/>
      </c>
      <c r="W201" s="51" t="str">
        <f>IF(XT!$P201&gt;0,V201,"")</f>
        <v/>
      </c>
      <c r="X201" s="51" t="str">
        <f>IF(XT!$P201=0,V201,"")</f>
        <v/>
      </c>
      <c r="Y201">
        <f>SUMPRODUCT((MONTH(CHOOSE({1,2,3,4},XT!U201,XT!Y201,XT!AC201,XT!AG201))=7)*(CHOOSE({1,2,3,4},XT!X201,XT!AB201,XT!AF201,XT!AJ201)))</f>
        <v>0</v>
      </c>
      <c r="Z201" t="str">
        <f>IFERROR(INDEX(CHOOSE({1,2,3,4}, DAY(XT!U201), DAY(XT!Y201), DAY(XT!AC201), DAY(XT!AG201)), MATCH(1, INDEX(--(MONTH(CHOOSE({1,2,3,4}, XT!U201,XT!Y201,XT!AC201,XT!AG201))=7), 0), 0)), "")</f>
        <v/>
      </c>
      <c r="AA201" s="51" t="str">
        <f>IF(XT!$P201&gt;0,Z201,"")</f>
        <v/>
      </c>
      <c r="AB201" s="51" t="str">
        <f>IF(XT!$P201=0,Z201,"")</f>
        <v/>
      </c>
      <c r="AC201">
        <f>SUMPRODUCT((MONTH(CHOOSE({1,2,3,4},XT!U201,XT!Y201,XT!AC201,XT!AG201))=8)*(CHOOSE({1,2,3,4},XT!X201,XT!AB201,XT!AF201,XT!AJ201)))</f>
        <v>0</v>
      </c>
      <c r="AD201" t="str">
        <f>IFERROR(INDEX(CHOOSE({1,2,3,4}, DAY(XT!U201), DAY(XT!Y201), DAY(XT!AC201), DAY(XT!AG201)), MATCH(1, INDEX(--(MONTH(CHOOSE({1,2,3,4}, XT!U201,XT!Y201,XT!AC201,XT!AG201))=8), 0), 0)), "")</f>
        <v/>
      </c>
      <c r="AE201" s="51" t="str">
        <f>IF(XT!$P201&gt;0,AD201,"")</f>
        <v/>
      </c>
      <c r="AF201" s="51" t="str">
        <f>IF(XT!$P201=0,AD201,"")</f>
        <v/>
      </c>
      <c r="AG201">
        <f>SUMPRODUCT((MONTH(CHOOSE({1,2,3,4},XT!U201,XT!Y201,XT!AC201,XT!AG201))=9)*(CHOOSE({1,2,3,4},XT!X201,XT!AB201,XT!AF201,XT!AJ201)))</f>
        <v>0</v>
      </c>
      <c r="AH201" t="str">
        <f>IFERROR(INDEX(CHOOSE({1,2,3,4}, DAY(XT!U201), DAY(XT!Y201), DAY(XT!AC201), DAY(XT!AG201)), MATCH(1, INDEX(--(MONTH(CHOOSE({1,2,3,4}, XT!U201,XT!Y201,XT!AC201,XT!AG201))=9), 0), 0)), "")</f>
        <v/>
      </c>
      <c r="AI201" s="51" t="str">
        <f>IF(XT!$P201&gt;0,AH201,"")</f>
        <v/>
      </c>
      <c r="AJ201" s="51" t="str">
        <f>IF(XT!$P201=0,AH201,"")</f>
        <v/>
      </c>
      <c r="AK201">
        <f>SUMPRODUCT((MONTH(CHOOSE({1,2,3,4},XT!U201,XT!Y201,XT!AC201,XT!AG201))=10)*(CHOOSE({1,2,3,4},XT!X201,XT!AB201,XT!AF201,XT!AJ201)))</f>
        <v>0</v>
      </c>
      <c r="AL201" t="str">
        <f>IFERROR(INDEX(CHOOSE({1,2,3,4}, DAY(XT!U201), DAY(XT!Y201), DAY(XT!AC201), DAY(XT!AG201)), MATCH(1, INDEX(--(MONTH(CHOOSE({1,2,3,4}, XT!U201,XT!Y201,XT!AC201,XT!AG201))=10), 0), 0)), "")</f>
        <v/>
      </c>
      <c r="AM201" s="51" t="str">
        <f>IF(XT!$P201&gt;0,AL201,"")</f>
        <v/>
      </c>
      <c r="AN201" s="51" t="str">
        <f>IF(XT!$P201=0,AL201,"")</f>
        <v/>
      </c>
      <c r="AO201">
        <f>SUMPRODUCT((MONTH(CHOOSE({1,2,3,4},XT!U201,XT!Y201,XT!AC201,XT!AG201))=11)*(CHOOSE({1,2,3,4},XT!X201,XT!AB201,XT!AF201,XT!AJ201)))</f>
        <v>0</v>
      </c>
      <c r="AP201" t="str">
        <f>IFERROR(INDEX(CHOOSE({1,2,3,4}, DAY(XT!U201), DAY(XT!Y201), DAY(XT!AC201), DAY(XT!AG201)), MATCH(1, INDEX(--(MONTH(CHOOSE({1,2,3,4}, XT!U201,XT!Y201,XT!AC201,XT!AG201))=11), 0), 0)), "")</f>
        <v/>
      </c>
      <c r="AQ201" s="51" t="str">
        <f>IF(XT!$P201&gt;0,AP201,"")</f>
        <v/>
      </c>
      <c r="AR201" s="51" t="str">
        <f>IF(XT!$P201=0,AP201,"")</f>
        <v/>
      </c>
      <c r="AS201">
        <f>SUMPRODUCT((MONTH(CHOOSE({1,2,3,4},XT!U201,XT!Y201,XT!AC201,XT!AG201))=12)*(CHOOSE({1,2,3,4},XT!X201,XT!AB201,XT!AF201,XT!AJ201)))</f>
        <v>0</v>
      </c>
      <c r="AT201" t="str">
        <f>IFERROR(INDEX(CHOOSE({1,2,3,4}, DAY(XT!U201), DAY(XT!Y201), DAY(XT!AC201), DAY(XT!AG201)), MATCH(1, INDEX(--(MONTH(CHOOSE({1,2,3,4}, XT!U201,XT!Y201,XT!AC201,XT!AG201))=12), 0), 0)), "")</f>
        <v/>
      </c>
      <c r="AU201" s="51" t="str">
        <f>IF(XT!$P201&gt;0,AT201,"")</f>
        <v/>
      </c>
      <c r="AV201" s="51" t="str">
        <f>IF(XT!$P201=0,AT201,"")</f>
        <v/>
      </c>
    </row>
    <row r="202" spans="1:48">
      <c r="A202">
        <f>SUMPRODUCT((MONTH(CHOOSE({1,2,3,4},XT!U202,XT!Y202,XT!AC202,XT!AG202))=1)*(CHOOSE({1,2,3,4},XT!X202,XT!AB202,XT!AF202,XT!AJ202)))</f>
        <v>0</v>
      </c>
      <c r="B202">
        <f>IFERROR(INDEX(CHOOSE({1,2,3,4}, DAY(XT!U202), DAY(XT!Y202), DAY(XT!AC202), DAY(XT!AG202)), MATCH(1, INDEX(--(MONTH(CHOOSE({1,2,3,4}, XT!U202,XT!Y202,XT!AC202,XT!AG202))=1), 0), 0)), "")</f>
        <v>0</v>
      </c>
      <c r="C202" s="51" t="str">
        <f>IF(XT!$P202&gt;0,B202,"")</f>
        <v/>
      </c>
      <c r="D202" s="51">
        <f>IF(XT!$P202=0,B202,"")</f>
        <v>0</v>
      </c>
      <c r="E202">
        <f>SUMPRODUCT((MONTH(CHOOSE({1,2,3,4},XT!U202,XT!Y202,XT!AC202,XT!AG202))=2)*(CHOOSE({1,2,3,4},XT!X202,XT!AB202,XT!AF202,XT!AJ202)))</f>
        <v>0</v>
      </c>
      <c r="F202" t="str">
        <f>IFERROR(INDEX(CHOOSE({1,2,3,4}, DAY(XT!U202), DAY(XT!Y202), DAY(XT!AC202), DAY(XT!AG202)), MATCH(1, INDEX(--(MONTH(CHOOSE({1,2,3,4}, XT!U202,XT!Y202,XT!AC202,XT!AG202))=2), 0), 0)), "")</f>
        <v/>
      </c>
      <c r="G202" s="51" t="str">
        <f>IF(XT!$P202&gt;0,F202,"")</f>
        <v/>
      </c>
      <c r="H202" s="51" t="str">
        <f>IF(XT!$P202=0,F202,"")</f>
        <v/>
      </c>
      <c r="I202">
        <f>SUMPRODUCT((MONTH(CHOOSE({1,2,3,4},XT!U202,XT!Y202,XT!AC202,XT!AG202))=3)*(CHOOSE({1,2,3,4},XT!X202,XT!AB202,XT!AF202,XT!AJ202)))</f>
        <v>0</v>
      </c>
      <c r="J202" t="str">
        <f>IFERROR(INDEX(CHOOSE({1,2,3,4}, DAY(XT!U202), DAY(XT!Y202), DAY(XT!AC202), DAY(XT!AG202)), MATCH(1, INDEX(--(MONTH(CHOOSE({1,2,3,4}, XT!U202,XT!Y202,XT!AC202,XT!AG202))=3), 0), 0)), "")</f>
        <v/>
      </c>
      <c r="K202" s="51" t="str">
        <f>IF(XT!$P202&gt;0,J202,"")</f>
        <v/>
      </c>
      <c r="L202" s="51" t="str">
        <f>IF(XT!$P202=0,J202,"")</f>
        <v/>
      </c>
      <c r="M202">
        <f>SUMPRODUCT((MONTH(CHOOSE({1,2,3,4},XT!U202,XT!Y202,XT!AC202,XT!AG202))=4)*(CHOOSE({1,2,3,4},XT!X202,XT!AB202,XT!AF202,XT!AJ202)))</f>
        <v>0</v>
      </c>
      <c r="N202" t="str">
        <f>IFERROR(INDEX(CHOOSE({1,2,3,4}, DAY(XT!U202), DAY(XT!Y202), DAY(XT!AC202), DAY(XT!AG202)), MATCH(1, INDEX(--(MONTH(CHOOSE({1,2,3,4}, XT!U202,XT!Y202,XT!AC202,XT!AG202))=4), 0), 0)), "")</f>
        <v/>
      </c>
      <c r="O202" s="51" t="str">
        <f>IF(XT!$P202&gt;0,N202,"")</f>
        <v/>
      </c>
      <c r="P202" s="51" t="str">
        <f>IF(XT!$P202=0,N202,"")</f>
        <v/>
      </c>
      <c r="Q202">
        <f>SUMPRODUCT((MONTH(CHOOSE({1,2,3,4},XT!U202,XT!Y202,XT!AC202,XT!AG202))=5)*(CHOOSE({1,2,3,4},XT!X202,XT!AB202,XT!AF202,XT!AJ202)))</f>
        <v>0</v>
      </c>
      <c r="R202" t="str">
        <f>IFERROR(INDEX(CHOOSE({1,2,3,4}, DAY(XT!U202), DAY(XT!Y202), DAY(XT!AC202), DAY(XT!AG202)), MATCH(1, INDEX(--(MONTH(CHOOSE({1,2,3,4}, XT!U202,XT!Y202,XT!AC202,XT!AG202))=5), 0), 0)), "")</f>
        <v/>
      </c>
      <c r="S202" s="51" t="str">
        <f>IF(XT!$P202&gt;0,R202,"")</f>
        <v/>
      </c>
      <c r="T202" s="51" t="str">
        <f>IF(XT!$P202=0,R202,"")</f>
        <v/>
      </c>
      <c r="U202">
        <f>SUMPRODUCT((MONTH(CHOOSE({1,2,3,4},XT!U202,XT!Y202,XT!AC202,XT!AG202))=6)*(CHOOSE({1,2,3,4},XT!X202,XT!AB202,XT!AF202,XT!AJ202)))</f>
        <v>0</v>
      </c>
      <c r="V202" t="str">
        <f>IFERROR(INDEX(CHOOSE({1,2,3,4}, DAY(XT!U202), DAY(XT!Y202), DAY(XT!AC202), DAY(XT!AG202)), MATCH(1, INDEX(--(MONTH(CHOOSE({1,2,3,4}, XT!U202,XT!Y202,XT!AC202,XT!AG202))=6), 0), 0)), "")</f>
        <v/>
      </c>
      <c r="W202" s="51" t="str">
        <f>IF(XT!$P202&gt;0,V202,"")</f>
        <v/>
      </c>
      <c r="X202" s="51" t="str">
        <f>IF(XT!$P202=0,V202,"")</f>
        <v/>
      </c>
      <c r="Y202">
        <f>SUMPRODUCT((MONTH(CHOOSE({1,2,3,4},XT!U202,XT!Y202,XT!AC202,XT!AG202))=7)*(CHOOSE({1,2,3,4},XT!X202,XT!AB202,XT!AF202,XT!AJ202)))</f>
        <v>0</v>
      </c>
      <c r="Z202" t="str">
        <f>IFERROR(INDEX(CHOOSE({1,2,3,4}, DAY(XT!U202), DAY(XT!Y202), DAY(XT!AC202), DAY(XT!AG202)), MATCH(1, INDEX(--(MONTH(CHOOSE({1,2,3,4}, XT!U202,XT!Y202,XT!AC202,XT!AG202))=7), 0), 0)), "")</f>
        <v/>
      </c>
      <c r="AA202" s="51" t="str">
        <f>IF(XT!$P202&gt;0,Z202,"")</f>
        <v/>
      </c>
      <c r="AB202" s="51" t="str">
        <f>IF(XT!$P202=0,Z202,"")</f>
        <v/>
      </c>
      <c r="AC202">
        <f>SUMPRODUCT((MONTH(CHOOSE({1,2,3,4},XT!U202,XT!Y202,XT!AC202,XT!AG202))=8)*(CHOOSE({1,2,3,4},XT!X202,XT!AB202,XT!AF202,XT!AJ202)))</f>
        <v>0</v>
      </c>
      <c r="AD202" t="str">
        <f>IFERROR(INDEX(CHOOSE({1,2,3,4}, DAY(XT!U202), DAY(XT!Y202), DAY(XT!AC202), DAY(XT!AG202)), MATCH(1, INDEX(--(MONTH(CHOOSE({1,2,3,4}, XT!U202,XT!Y202,XT!AC202,XT!AG202))=8), 0), 0)), "")</f>
        <v/>
      </c>
      <c r="AE202" s="51" t="str">
        <f>IF(XT!$P202&gt;0,AD202,"")</f>
        <v/>
      </c>
      <c r="AF202" s="51" t="str">
        <f>IF(XT!$P202=0,AD202,"")</f>
        <v/>
      </c>
      <c r="AG202">
        <f>SUMPRODUCT((MONTH(CHOOSE({1,2,3,4},XT!U202,XT!Y202,XT!AC202,XT!AG202))=9)*(CHOOSE({1,2,3,4},XT!X202,XT!AB202,XT!AF202,XT!AJ202)))</f>
        <v>0</v>
      </c>
      <c r="AH202" t="str">
        <f>IFERROR(INDEX(CHOOSE({1,2,3,4}, DAY(XT!U202), DAY(XT!Y202), DAY(XT!AC202), DAY(XT!AG202)), MATCH(1, INDEX(--(MONTH(CHOOSE({1,2,3,4}, XT!U202,XT!Y202,XT!AC202,XT!AG202))=9), 0), 0)), "")</f>
        <v/>
      </c>
      <c r="AI202" s="51" t="str">
        <f>IF(XT!$P202&gt;0,AH202,"")</f>
        <v/>
      </c>
      <c r="AJ202" s="51" t="str">
        <f>IF(XT!$P202=0,AH202,"")</f>
        <v/>
      </c>
      <c r="AK202">
        <f>SUMPRODUCT((MONTH(CHOOSE({1,2,3,4},XT!U202,XT!Y202,XT!AC202,XT!AG202))=10)*(CHOOSE({1,2,3,4},XT!X202,XT!AB202,XT!AF202,XT!AJ202)))</f>
        <v>0</v>
      </c>
      <c r="AL202" t="str">
        <f>IFERROR(INDEX(CHOOSE({1,2,3,4}, DAY(XT!U202), DAY(XT!Y202), DAY(XT!AC202), DAY(XT!AG202)), MATCH(1, INDEX(--(MONTH(CHOOSE({1,2,3,4}, XT!U202,XT!Y202,XT!AC202,XT!AG202))=10), 0), 0)), "")</f>
        <v/>
      </c>
      <c r="AM202" s="51" t="str">
        <f>IF(XT!$P202&gt;0,AL202,"")</f>
        <v/>
      </c>
      <c r="AN202" s="51" t="str">
        <f>IF(XT!$P202=0,AL202,"")</f>
        <v/>
      </c>
      <c r="AO202">
        <f>SUMPRODUCT((MONTH(CHOOSE({1,2,3,4},XT!U202,XT!Y202,XT!AC202,XT!AG202))=11)*(CHOOSE({1,2,3,4},XT!X202,XT!AB202,XT!AF202,XT!AJ202)))</f>
        <v>0</v>
      </c>
      <c r="AP202" t="str">
        <f>IFERROR(INDEX(CHOOSE({1,2,3,4}, DAY(XT!U202), DAY(XT!Y202), DAY(XT!AC202), DAY(XT!AG202)), MATCH(1, INDEX(--(MONTH(CHOOSE({1,2,3,4}, XT!U202,XT!Y202,XT!AC202,XT!AG202))=11), 0), 0)), "")</f>
        <v/>
      </c>
      <c r="AQ202" s="51" t="str">
        <f>IF(XT!$P202&gt;0,AP202,"")</f>
        <v/>
      </c>
      <c r="AR202" s="51" t="str">
        <f>IF(XT!$P202=0,AP202,"")</f>
        <v/>
      </c>
      <c r="AS202">
        <f>SUMPRODUCT((MONTH(CHOOSE({1,2,3,4},XT!U202,XT!Y202,XT!AC202,XT!AG202))=12)*(CHOOSE({1,2,3,4},XT!X202,XT!AB202,XT!AF202,XT!AJ202)))</f>
        <v>0</v>
      </c>
      <c r="AT202" t="str">
        <f>IFERROR(INDEX(CHOOSE({1,2,3,4}, DAY(XT!U202), DAY(XT!Y202), DAY(XT!AC202), DAY(XT!AG202)), MATCH(1, INDEX(--(MONTH(CHOOSE({1,2,3,4}, XT!U202,XT!Y202,XT!AC202,XT!AG202))=12), 0), 0)), "")</f>
        <v/>
      </c>
      <c r="AU202" s="51" t="str">
        <f>IF(XT!$P202&gt;0,AT202,"")</f>
        <v/>
      </c>
      <c r="AV202" s="51" t="str">
        <f>IF(XT!$P202=0,AT202,"")</f>
        <v/>
      </c>
    </row>
    <row r="203" spans="1:48">
      <c r="A203">
        <f>SUMPRODUCT((MONTH(CHOOSE({1,2,3,4},XT!U203,XT!Y203,XT!AC203,XT!AG203))=1)*(CHOOSE({1,2,3,4},XT!X203,XT!AB203,XT!AF203,XT!AJ203)))</f>
        <v>0</v>
      </c>
      <c r="B203">
        <f>IFERROR(INDEX(CHOOSE({1,2,3,4}, DAY(XT!U203), DAY(XT!Y203), DAY(XT!AC203), DAY(XT!AG203)), MATCH(1, INDEX(--(MONTH(CHOOSE({1,2,3,4}, XT!U203,XT!Y203,XT!AC203,XT!AG203))=1), 0), 0)), "")</f>
        <v>0</v>
      </c>
      <c r="C203" s="51" t="str">
        <f>IF(XT!$P203&gt;0,B203,"")</f>
        <v/>
      </c>
      <c r="D203" s="51">
        <f>IF(XT!$P203=0,B203,"")</f>
        <v>0</v>
      </c>
      <c r="E203">
        <f>SUMPRODUCT((MONTH(CHOOSE({1,2,3,4},XT!U203,XT!Y203,XT!AC203,XT!AG203))=2)*(CHOOSE({1,2,3,4},XT!X203,XT!AB203,XT!AF203,XT!AJ203)))</f>
        <v>0</v>
      </c>
      <c r="F203" t="str">
        <f>IFERROR(INDEX(CHOOSE({1,2,3,4}, DAY(XT!U203), DAY(XT!Y203), DAY(XT!AC203), DAY(XT!AG203)), MATCH(1, INDEX(--(MONTH(CHOOSE({1,2,3,4}, XT!U203,XT!Y203,XT!AC203,XT!AG203))=2), 0), 0)), "")</f>
        <v/>
      </c>
      <c r="G203" s="51" t="str">
        <f>IF(XT!$P203&gt;0,F203,"")</f>
        <v/>
      </c>
      <c r="H203" s="51" t="str">
        <f>IF(XT!$P203=0,F203,"")</f>
        <v/>
      </c>
      <c r="I203">
        <f>SUMPRODUCT((MONTH(CHOOSE({1,2,3,4},XT!U203,XT!Y203,XT!AC203,XT!AG203))=3)*(CHOOSE({1,2,3,4},XT!X203,XT!AB203,XT!AF203,XT!AJ203)))</f>
        <v>0</v>
      </c>
      <c r="J203" t="str">
        <f>IFERROR(INDEX(CHOOSE({1,2,3,4}, DAY(XT!U203), DAY(XT!Y203), DAY(XT!AC203), DAY(XT!AG203)), MATCH(1, INDEX(--(MONTH(CHOOSE({1,2,3,4}, XT!U203,XT!Y203,XT!AC203,XT!AG203))=3), 0), 0)), "")</f>
        <v/>
      </c>
      <c r="K203" s="51" t="str">
        <f>IF(XT!$P203&gt;0,J203,"")</f>
        <v/>
      </c>
      <c r="L203" s="51" t="str">
        <f>IF(XT!$P203=0,J203,"")</f>
        <v/>
      </c>
      <c r="M203">
        <f>SUMPRODUCT((MONTH(CHOOSE({1,2,3,4},XT!U203,XT!Y203,XT!AC203,XT!AG203))=4)*(CHOOSE({1,2,3,4},XT!X203,XT!AB203,XT!AF203,XT!AJ203)))</f>
        <v>0</v>
      </c>
      <c r="N203" t="str">
        <f>IFERROR(INDEX(CHOOSE({1,2,3,4}, DAY(XT!U203), DAY(XT!Y203), DAY(XT!AC203), DAY(XT!AG203)), MATCH(1, INDEX(--(MONTH(CHOOSE({1,2,3,4}, XT!U203,XT!Y203,XT!AC203,XT!AG203))=4), 0), 0)), "")</f>
        <v/>
      </c>
      <c r="O203" s="51" t="str">
        <f>IF(XT!$P203&gt;0,N203,"")</f>
        <v/>
      </c>
      <c r="P203" s="51" t="str">
        <f>IF(XT!$P203=0,N203,"")</f>
        <v/>
      </c>
      <c r="Q203">
        <f>SUMPRODUCT((MONTH(CHOOSE({1,2,3,4},XT!U203,XT!Y203,XT!AC203,XT!AG203))=5)*(CHOOSE({1,2,3,4},XT!X203,XT!AB203,XT!AF203,XT!AJ203)))</f>
        <v>0</v>
      </c>
      <c r="R203" t="str">
        <f>IFERROR(INDEX(CHOOSE({1,2,3,4}, DAY(XT!U203), DAY(XT!Y203), DAY(XT!AC203), DAY(XT!AG203)), MATCH(1, INDEX(--(MONTH(CHOOSE({1,2,3,4}, XT!U203,XT!Y203,XT!AC203,XT!AG203))=5), 0), 0)), "")</f>
        <v/>
      </c>
      <c r="S203" s="51" t="str">
        <f>IF(XT!$P203&gt;0,R203,"")</f>
        <v/>
      </c>
      <c r="T203" s="51" t="str">
        <f>IF(XT!$P203=0,R203,"")</f>
        <v/>
      </c>
      <c r="U203">
        <f>SUMPRODUCT((MONTH(CHOOSE({1,2,3,4},XT!U203,XT!Y203,XT!AC203,XT!AG203))=6)*(CHOOSE({1,2,3,4},XT!X203,XT!AB203,XT!AF203,XT!AJ203)))</f>
        <v>0</v>
      </c>
      <c r="V203" t="str">
        <f>IFERROR(INDEX(CHOOSE({1,2,3,4}, DAY(XT!U203), DAY(XT!Y203), DAY(XT!AC203), DAY(XT!AG203)), MATCH(1, INDEX(--(MONTH(CHOOSE({1,2,3,4}, XT!U203,XT!Y203,XT!AC203,XT!AG203))=6), 0), 0)), "")</f>
        <v/>
      </c>
      <c r="W203" s="51" t="str">
        <f>IF(XT!$P203&gt;0,V203,"")</f>
        <v/>
      </c>
      <c r="X203" s="51" t="str">
        <f>IF(XT!$P203=0,V203,"")</f>
        <v/>
      </c>
      <c r="Y203">
        <f>SUMPRODUCT((MONTH(CHOOSE({1,2,3,4},XT!U203,XT!Y203,XT!AC203,XT!AG203))=7)*(CHOOSE({1,2,3,4},XT!X203,XT!AB203,XT!AF203,XT!AJ203)))</f>
        <v>0</v>
      </c>
      <c r="Z203" t="str">
        <f>IFERROR(INDEX(CHOOSE({1,2,3,4}, DAY(XT!U203), DAY(XT!Y203), DAY(XT!AC203), DAY(XT!AG203)), MATCH(1, INDEX(--(MONTH(CHOOSE({1,2,3,4}, XT!U203,XT!Y203,XT!AC203,XT!AG203))=7), 0), 0)), "")</f>
        <v/>
      </c>
      <c r="AA203" s="51" t="str">
        <f>IF(XT!$P203&gt;0,Z203,"")</f>
        <v/>
      </c>
      <c r="AB203" s="51" t="str">
        <f>IF(XT!$P203=0,Z203,"")</f>
        <v/>
      </c>
      <c r="AC203">
        <f>SUMPRODUCT((MONTH(CHOOSE({1,2,3,4},XT!U203,XT!Y203,XT!AC203,XT!AG203))=8)*(CHOOSE({1,2,3,4},XT!X203,XT!AB203,XT!AF203,XT!AJ203)))</f>
        <v>0</v>
      </c>
      <c r="AD203" t="str">
        <f>IFERROR(INDEX(CHOOSE({1,2,3,4}, DAY(XT!U203), DAY(XT!Y203), DAY(XT!AC203), DAY(XT!AG203)), MATCH(1, INDEX(--(MONTH(CHOOSE({1,2,3,4}, XT!U203,XT!Y203,XT!AC203,XT!AG203))=8), 0), 0)), "")</f>
        <v/>
      </c>
      <c r="AE203" s="51" t="str">
        <f>IF(XT!$P203&gt;0,AD203,"")</f>
        <v/>
      </c>
      <c r="AF203" s="51" t="str">
        <f>IF(XT!$P203=0,AD203,"")</f>
        <v/>
      </c>
      <c r="AG203">
        <f>SUMPRODUCT((MONTH(CHOOSE({1,2,3,4},XT!U203,XT!Y203,XT!AC203,XT!AG203))=9)*(CHOOSE({1,2,3,4},XT!X203,XT!AB203,XT!AF203,XT!AJ203)))</f>
        <v>0</v>
      </c>
      <c r="AH203" t="str">
        <f>IFERROR(INDEX(CHOOSE({1,2,3,4}, DAY(XT!U203), DAY(XT!Y203), DAY(XT!AC203), DAY(XT!AG203)), MATCH(1, INDEX(--(MONTH(CHOOSE({1,2,3,4}, XT!U203,XT!Y203,XT!AC203,XT!AG203))=9), 0), 0)), "")</f>
        <v/>
      </c>
      <c r="AI203" s="51" t="str">
        <f>IF(XT!$P203&gt;0,AH203,"")</f>
        <v/>
      </c>
      <c r="AJ203" s="51" t="str">
        <f>IF(XT!$P203=0,AH203,"")</f>
        <v/>
      </c>
      <c r="AK203">
        <f>SUMPRODUCT((MONTH(CHOOSE({1,2,3,4},XT!U203,XT!Y203,XT!AC203,XT!AG203))=10)*(CHOOSE({1,2,3,4},XT!X203,XT!AB203,XT!AF203,XT!AJ203)))</f>
        <v>0</v>
      </c>
      <c r="AL203" t="str">
        <f>IFERROR(INDEX(CHOOSE({1,2,3,4}, DAY(XT!U203), DAY(XT!Y203), DAY(XT!AC203), DAY(XT!AG203)), MATCH(1, INDEX(--(MONTH(CHOOSE({1,2,3,4}, XT!U203,XT!Y203,XT!AC203,XT!AG203))=10), 0), 0)), "")</f>
        <v/>
      </c>
      <c r="AM203" s="51" t="str">
        <f>IF(XT!$P203&gt;0,AL203,"")</f>
        <v/>
      </c>
      <c r="AN203" s="51" t="str">
        <f>IF(XT!$P203=0,AL203,"")</f>
        <v/>
      </c>
      <c r="AO203">
        <f>SUMPRODUCT((MONTH(CHOOSE({1,2,3,4},XT!U203,XT!Y203,XT!AC203,XT!AG203))=11)*(CHOOSE({1,2,3,4},XT!X203,XT!AB203,XT!AF203,XT!AJ203)))</f>
        <v>0</v>
      </c>
      <c r="AP203" t="str">
        <f>IFERROR(INDEX(CHOOSE({1,2,3,4}, DAY(XT!U203), DAY(XT!Y203), DAY(XT!AC203), DAY(XT!AG203)), MATCH(1, INDEX(--(MONTH(CHOOSE({1,2,3,4}, XT!U203,XT!Y203,XT!AC203,XT!AG203))=11), 0), 0)), "")</f>
        <v/>
      </c>
      <c r="AQ203" s="51" t="str">
        <f>IF(XT!$P203&gt;0,AP203,"")</f>
        <v/>
      </c>
      <c r="AR203" s="51" t="str">
        <f>IF(XT!$P203=0,AP203,"")</f>
        <v/>
      </c>
      <c r="AS203">
        <f>SUMPRODUCT((MONTH(CHOOSE({1,2,3,4},XT!U203,XT!Y203,XT!AC203,XT!AG203))=12)*(CHOOSE({1,2,3,4},XT!X203,XT!AB203,XT!AF203,XT!AJ203)))</f>
        <v>0</v>
      </c>
      <c r="AT203" t="str">
        <f>IFERROR(INDEX(CHOOSE({1,2,3,4}, DAY(XT!U203), DAY(XT!Y203), DAY(XT!AC203), DAY(XT!AG203)), MATCH(1, INDEX(--(MONTH(CHOOSE({1,2,3,4}, XT!U203,XT!Y203,XT!AC203,XT!AG203))=12), 0), 0)), "")</f>
        <v/>
      </c>
      <c r="AU203" s="51" t="str">
        <f>IF(XT!$P203&gt;0,AT203,"")</f>
        <v/>
      </c>
      <c r="AV203" s="51" t="str">
        <f>IF(XT!$P203=0,AT203,"")</f>
        <v/>
      </c>
    </row>
    <row r="204" spans="1:48">
      <c r="A204">
        <f>SUMPRODUCT((MONTH(CHOOSE({1,2,3,4},XT!U204,XT!Y204,XT!AC204,XT!AG204))=1)*(CHOOSE({1,2,3,4},XT!X204,XT!AB204,XT!AF204,XT!AJ204)))</f>
        <v>0</v>
      </c>
      <c r="B204">
        <f>IFERROR(INDEX(CHOOSE({1,2,3,4}, DAY(XT!U204), DAY(XT!Y204), DAY(XT!AC204), DAY(XT!AG204)), MATCH(1, INDEX(--(MONTH(CHOOSE({1,2,3,4}, XT!U204,XT!Y204,XT!AC204,XT!AG204))=1), 0), 0)), "")</f>
        <v>0</v>
      </c>
      <c r="C204" s="51" t="str">
        <f>IF(XT!$P204&gt;0,B204,"")</f>
        <v/>
      </c>
      <c r="D204" s="51">
        <f>IF(XT!$P204=0,B204,"")</f>
        <v>0</v>
      </c>
      <c r="E204">
        <f>SUMPRODUCT((MONTH(CHOOSE({1,2,3,4},XT!U204,XT!Y204,XT!AC204,XT!AG204))=2)*(CHOOSE({1,2,3,4},XT!X204,XT!AB204,XT!AF204,XT!AJ204)))</f>
        <v>0</v>
      </c>
      <c r="F204" t="str">
        <f>IFERROR(INDEX(CHOOSE({1,2,3,4}, DAY(XT!U204), DAY(XT!Y204), DAY(XT!AC204), DAY(XT!AG204)), MATCH(1, INDEX(--(MONTH(CHOOSE({1,2,3,4}, XT!U204,XT!Y204,XT!AC204,XT!AG204))=2), 0), 0)), "")</f>
        <v/>
      </c>
      <c r="G204" s="51" t="str">
        <f>IF(XT!$P204&gt;0,F204,"")</f>
        <v/>
      </c>
      <c r="H204" s="51" t="str">
        <f>IF(XT!$P204=0,F204,"")</f>
        <v/>
      </c>
      <c r="I204">
        <f>SUMPRODUCT((MONTH(CHOOSE({1,2,3,4},XT!U204,XT!Y204,XT!AC204,XT!AG204))=3)*(CHOOSE({1,2,3,4},XT!X204,XT!AB204,XT!AF204,XT!AJ204)))</f>
        <v>0</v>
      </c>
      <c r="J204" t="str">
        <f>IFERROR(INDEX(CHOOSE({1,2,3,4}, DAY(XT!U204), DAY(XT!Y204), DAY(XT!AC204), DAY(XT!AG204)), MATCH(1, INDEX(--(MONTH(CHOOSE({1,2,3,4}, XT!U204,XT!Y204,XT!AC204,XT!AG204))=3), 0), 0)), "")</f>
        <v/>
      </c>
      <c r="K204" s="51" t="str">
        <f>IF(XT!$P204&gt;0,J204,"")</f>
        <v/>
      </c>
      <c r="L204" s="51" t="str">
        <f>IF(XT!$P204=0,J204,"")</f>
        <v/>
      </c>
      <c r="M204">
        <f>SUMPRODUCT((MONTH(CHOOSE({1,2,3,4},XT!U204,XT!Y204,XT!AC204,XT!AG204))=4)*(CHOOSE({1,2,3,4},XT!X204,XT!AB204,XT!AF204,XT!AJ204)))</f>
        <v>0</v>
      </c>
      <c r="N204" t="str">
        <f>IFERROR(INDEX(CHOOSE({1,2,3,4}, DAY(XT!U204), DAY(XT!Y204), DAY(XT!AC204), DAY(XT!AG204)), MATCH(1, INDEX(--(MONTH(CHOOSE({1,2,3,4}, XT!U204,XT!Y204,XT!AC204,XT!AG204))=4), 0), 0)), "")</f>
        <v/>
      </c>
      <c r="O204" s="51" t="str">
        <f>IF(XT!$P204&gt;0,N204,"")</f>
        <v/>
      </c>
      <c r="P204" s="51" t="str">
        <f>IF(XT!$P204=0,N204,"")</f>
        <v/>
      </c>
      <c r="Q204">
        <f>SUMPRODUCT((MONTH(CHOOSE({1,2,3,4},XT!U204,XT!Y204,XT!AC204,XT!AG204))=5)*(CHOOSE({1,2,3,4},XT!X204,XT!AB204,XT!AF204,XT!AJ204)))</f>
        <v>0</v>
      </c>
      <c r="R204" t="str">
        <f>IFERROR(INDEX(CHOOSE({1,2,3,4}, DAY(XT!U204), DAY(XT!Y204), DAY(XT!AC204), DAY(XT!AG204)), MATCH(1, INDEX(--(MONTH(CHOOSE({1,2,3,4}, XT!U204,XT!Y204,XT!AC204,XT!AG204))=5), 0), 0)), "")</f>
        <v/>
      </c>
      <c r="S204" s="51" t="str">
        <f>IF(XT!$P204&gt;0,R204,"")</f>
        <v/>
      </c>
      <c r="T204" s="51" t="str">
        <f>IF(XT!$P204=0,R204,"")</f>
        <v/>
      </c>
      <c r="U204">
        <f>SUMPRODUCT((MONTH(CHOOSE({1,2,3,4},XT!U204,XT!Y204,XT!AC204,XT!AG204))=6)*(CHOOSE({1,2,3,4},XT!X204,XT!AB204,XT!AF204,XT!AJ204)))</f>
        <v>0</v>
      </c>
      <c r="V204" t="str">
        <f>IFERROR(INDEX(CHOOSE({1,2,3,4}, DAY(XT!U204), DAY(XT!Y204), DAY(XT!AC204), DAY(XT!AG204)), MATCH(1, INDEX(--(MONTH(CHOOSE({1,2,3,4}, XT!U204,XT!Y204,XT!AC204,XT!AG204))=6), 0), 0)), "")</f>
        <v/>
      </c>
      <c r="W204" s="51" t="str">
        <f>IF(XT!$P204&gt;0,V204,"")</f>
        <v/>
      </c>
      <c r="X204" s="51" t="str">
        <f>IF(XT!$P204=0,V204,"")</f>
        <v/>
      </c>
      <c r="Y204">
        <f>SUMPRODUCT((MONTH(CHOOSE({1,2,3,4},XT!U204,XT!Y204,XT!AC204,XT!AG204))=7)*(CHOOSE({1,2,3,4},XT!X204,XT!AB204,XT!AF204,XT!AJ204)))</f>
        <v>0</v>
      </c>
      <c r="Z204" t="str">
        <f>IFERROR(INDEX(CHOOSE({1,2,3,4}, DAY(XT!U204), DAY(XT!Y204), DAY(XT!AC204), DAY(XT!AG204)), MATCH(1, INDEX(--(MONTH(CHOOSE({1,2,3,4}, XT!U204,XT!Y204,XT!AC204,XT!AG204))=7), 0), 0)), "")</f>
        <v/>
      </c>
      <c r="AA204" s="51" t="str">
        <f>IF(XT!$P204&gt;0,Z204,"")</f>
        <v/>
      </c>
      <c r="AB204" s="51" t="str">
        <f>IF(XT!$P204=0,Z204,"")</f>
        <v/>
      </c>
      <c r="AC204">
        <f>SUMPRODUCT((MONTH(CHOOSE({1,2,3,4},XT!U204,XT!Y204,XT!AC204,XT!AG204))=8)*(CHOOSE({1,2,3,4},XT!X204,XT!AB204,XT!AF204,XT!AJ204)))</f>
        <v>0</v>
      </c>
      <c r="AD204" t="str">
        <f>IFERROR(INDEX(CHOOSE({1,2,3,4}, DAY(XT!U204), DAY(XT!Y204), DAY(XT!AC204), DAY(XT!AG204)), MATCH(1, INDEX(--(MONTH(CHOOSE({1,2,3,4}, XT!U204,XT!Y204,XT!AC204,XT!AG204))=8), 0), 0)), "")</f>
        <v/>
      </c>
      <c r="AE204" s="51" t="str">
        <f>IF(XT!$P204&gt;0,AD204,"")</f>
        <v/>
      </c>
      <c r="AF204" s="51" t="str">
        <f>IF(XT!$P204=0,AD204,"")</f>
        <v/>
      </c>
      <c r="AG204">
        <f>SUMPRODUCT((MONTH(CHOOSE({1,2,3,4},XT!U204,XT!Y204,XT!AC204,XT!AG204))=9)*(CHOOSE({1,2,3,4},XT!X204,XT!AB204,XT!AF204,XT!AJ204)))</f>
        <v>0</v>
      </c>
      <c r="AH204" t="str">
        <f>IFERROR(INDEX(CHOOSE({1,2,3,4}, DAY(XT!U204), DAY(XT!Y204), DAY(XT!AC204), DAY(XT!AG204)), MATCH(1, INDEX(--(MONTH(CHOOSE({1,2,3,4}, XT!U204,XT!Y204,XT!AC204,XT!AG204))=9), 0), 0)), "")</f>
        <v/>
      </c>
      <c r="AI204" s="51" t="str">
        <f>IF(XT!$P204&gt;0,AH204,"")</f>
        <v/>
      </c>
      <c r="AJ204" s="51" t="str">
        <f>IF(XT!$P204=0,AH204,"")</f>
        <v/>
      </c>
      <c r="AK204">
        <f>SUMPRODUCT((MONTH(CHOOSE({1,2,3,4},XT!U204,XT!Y204,XT!AC204,XT!AG204))=10)*(CHOOSE({1,2,3,4},XT!X204,XT!AB204,XT!AF204,XT!AJ204)))</f>
        <v>0</v>
      </c>
      <c r="AL204" t="str">
        <f>IFERROR(INDEX(CHOOSE({1,2,3,4}, DAY(XT!U204), DAY(XT!Y204), DAY(XT!AC204), DAY(XT!AG204)), MATCH(1, INDEX(--(MONTH(CHOOSE({1,2,3,4}, XT!U204,XT!Y204,XT!AC204,XT!AG204))=10), 0), 0)), "")</f>
        <v/>
      </c>
      <c r="AM204" s="51" t="str">
        <f>IF(XT!$P204&gt;0,AL204,"")</f>
        <v/>
      </c>
      <c r="AN204" s="51" t="str">
        <f>IF(XT!$P204=0,AL204,"")</f>
        <v/>
      </c>
      <c r="AO204">
        <f>SUMPRODUCT((MONTH(CHOOSE({1,2,3,4},XT!U204,XT!Y204,XT!AC204,XT!AG204))=11)*(CHOOSE({1,2,3,4},XT!X204,XT!AB204,XT!AF204,XT!AJ204)))</f>
        <v>0</v>
      </c>
      <c r="AP204" t="str">
        <f>IFERROR(INDEX(CHOOSE({1,2,3,4}, DAY(XT!U204), DAY(XT!Y204), DAY(XT!AC204), DAY(XT!AG204)), MATCH(1, INDEX(--(MONTH(CHOOSE({1,2,3,4}, XT!U204,XT!Y204,XT!AC204,XT!AG204))=11), 0), 0)), "")</f>
        <v/>
      </c>
      <c r="AQ204" s="51" t="str">
        <f>IF(XT!$P204&gt;0,AP204,"")</f>
        <v/>
      </c>
      <c r="AR204" s="51" t="str">
        <f>IF(XT!$P204=0,AP204,"")</f>
        <v/>
      </c>
      <c r="AS204">
        <f>SUMPRODUCT((MONTH(CHOOSE({1,2,3,4},XT!U204,XT!Y204,XT!AC204,XT!AG204))=12)*(CHOOSE({1,2,3,4},XT!X204,XT!AB204,XT!AF204,XT!AJ204)))</f>
        <v>0</v>
      </c>
      <c r="AT204" t="str">
        <f>IFERROR(INDEX(CHOOSE({1,2,3,4}, DAY(XT!U204), DAY(XT!Y204), DAY(XT!AC204), DAY(XT!AG204)), MATCH(1, INDEX(--(MONTH(CHOOSE({1,2,3,4}, XT!U204,XT!Y204,XT!AC204,XT!AG204))=12), 0), 0)), "")</f>
        <v/>
      </c>
      <c r="AU204" s="51" t="str">
        <f>IF(XT!$P204&gt;0,AT204,"")</f>
        <v/>
      </c>
      <c r="AV204" s="51" t="str">
        <f>IF(XT!$P204=0,AT204,"")</f>
        <v/>
      </c>
    </row>
    <row r="205" spans="1:48">
      <c r="A205">
        <f>SUMPRODUCT((MONTH(CHOOSE({1,2,3,4},XT!U205,XT!Y205,XT!AC205,XT!AG205))=1)*(CHOOSE({1,2,3,4},XT!X205,XT!AB205,XT!AF205,XT!AJ205)))</f>
        <v>0</v>
      </c>
      <c r="B205">
        <f>IFERROR(INDEX(CHOOSE({1,2,3,4}, DAY(XT!U205), DAY(XT!Y205), DAY(XT!AC205), DAY(XT!AG205)), MATCH(1, INDEX(--(MONTH(CHOOSE({1,2,3,4}, XT!U205,XT!Y205,XT!AC205,XT!AG205))=1), 0), 0)), "")</f>
        <v>0</v>
      </c>
      <c r="C205" s="51" t="str">
        <f>IF(XT!$P205&gt;0,B205,"")</f>
        <v/>
      </c>
      <c r="D205" s="51">
        <f>IF(XT!$P205=0,B205,"")</f>
        <v>0</v>
      </c>
      <c r="E205">
        <f>SUMPRODUCT((MONTH(CHOOSE({1,2,3,4},XT!U205,XT!Y205,XT!AC205,XT!AG205))=2)*(CHOOSE({1,2,3,4},XT!X205,XT!AB205,XT!AF205,XT!AJ205)))</f>
        <v>0</v>
      </c>
      <c r="F205" t="str">
        <f>IFERROR(INDEX(CHOOSE({1,2,3,4}, DAY(XT!U205), DAY(XT!Y205), DAY(XT!AC205), DAY(XT!AG205)), MATCH(1, INDEX(--(MONTH(CHOOSE({1,2,3,4}, XT!U205,XT!Y205,XT!AC205,XT!AG205))=2), 0), 0)), "")</f>
        <v/>
      </c>
      <c r="G205" s="51" t="str">
        <f>IF(XT!$P205&gt;0,F205,"")</f>
        <v/>
      </c>
      <c r="H205" s="51" t="str">
        <f>IF(XT!$P205=0,F205,"")</f>
        <v/>
      </c>
      <c r="I205">
        <f>SUMPRODUCT((MONTH(CHOOSE({1,2,3,4},XT!U205,XT!Y205,XT!AC205,XT!AG205))=3)*(CHOOSE({1,2,3,4},XT!X205,XT!AB205,XT!AF205,XT!AJ205)))</f>
        <v>0</v>
      </c>
      <c r="J205" t="str">
        <f>IFERROR(INDEX(CHOOSE({1,2,3,4}, DAY(XT!U205), DAY(XT!Y205), DAY(XT!AC205), DAY(XT!AG205)), MATCH(1, INDEX(--(MONTH(CHOOSE({1,2,3,4}, XT!U205,XT!Y205,XT!AC205,XT!AG205))=3), 0), 0)), "")</f>
        <v/>
      </c>
      <c r="K205" s="51" t="str">
        <f>IF(XT!$P205&gt;0,J205,"")</f>
        <v/>
      </c>
      <c r="L205" s="51" t="str">
        <f>IF(XT!$P205=0,J205,"")</f>
        <v/>
      </c>
      <c r="M205">
        <f>SUMPRODUCT((MONTH(CHOOSE({1,2,3,4},XT!U205,XT!Y205,XT!AC205,XT!AG205))=4)*(CHOOSE({1,2,3,4},XT!X205,XT!AB205,XT!AF205,XT!AJ205)))</f>
        <v>0</v>
      </c>
      <c r="N205" t="str">
        <f>IFERROR(INDEX(CHOOSE({1,2,3,4}, DAY(XT!U205), DAY(XT!Y205), DAY(XT!AC205), DAY(XT!AG205)), MATCH(1, INDEX(--(MONTH(CHOOSE({1,2,3,4}, XT!U205,XT!Y205,XT!AC205,XT!AG205))=4), 0), 0)), "")</f>
        <v/>
      </c>
      <c r="O205" s="51" t="str">
        <f>IF(XT!$P205&gt;0,N205,"")</f>
        <v/>
      </c>
      <c r="P205" s="51" t="str">
        <f>IF(XT!$P205=0,N205,"")</f>
        <v/>
      </c>
      <c r="Q205">
        <f>SUMPRODUCT((MONTH(CHOOSE({1,2,3,4},XT!U205,XT!Y205,XT!AC205,XT!AG205))=5)*(CHOOSE({1,2,3,4},XT!X205,XT!AB205,XT!AF205,XT!AJ205)))</f>
        <v>0</v>
      </c>
      <c r="R205" t="str">
        <f>IFERROR(INDEX(CHOOSE({1,2,3,4}, DAY(XT!U205), DAY(XT!Y205), DAY(XT!AC205), DAY(XT!AG205)), MATCH(1, INDEX(--(MONTH(CHOOSE({1,2,3,4}, XT!U205,XT!Y205,XT!AC205,XT!AG205))=5), 0), 0)), "")</f>
        <v/>
      </c>
      <c r="S205" s="51" t="str">
        <f>IF(XT!$P205&gt;0,R205,"")</f>
        <v/>
      </c>
      <c r="T205" s="51" t="str">
        <f>IF(XT!$P205=0,R205,"")</f>
        <v/>
      </c>
      <c r="U205">
        <f>SUMPRODUCT((MONTH(CHOOSE({1,2,3,4},XT!U205,XT!Y205,XT!AC205,XT!AG205))=6)*(CHOOSE({1,2,3,4},XT!X205,XT!AB205,XT!AF205,XT!AJ205)))</f>
        <v>0</v>
      </c>
      <c r="V205" t="str">
        <f>IFERROR(INDEX(CHOOSE({1,2,3,4}, DAY(XT!U205), DAY(XT!Y205), DAY(XT!AC205), DAY(XT!AG205)), MATCH(1, INDEX(--(MONTH(CHOOSE({1,2,3,4}, XT!U205,XT!Y205,XT!AC205,XT!AG205))=6), 0), 0)), "")</f>
        <v/>
      </c>
      <c r="W205" s="51" t="str">
        <f>IF(XT!$P205&gt;0,V205,"")</f>
        <v/>
      </c>
      <c r="X205" s="51" t="str">
        <f>IF(XT!$P205=0,V205,"")</f>
        <v/>
      </c>
      <c r="Y205">
        <f>SUMPRODUCT((MONTH(CHOOSE({1,2,3,4},XT!U205,XT!Y205,XT!AC205,XT!AG205))=7)*(CHOOSE({1,2,3,4},XT!X205,XT!AB205,XT!AF205,XT!AJ205)))</f>
        <v>0</v>
      </c>
      <c r="Z205" t="str">
        <f>IFERROR(INDEX(CHOOSE({1,2,3,4}, DAY(XT!U205), DAY(XT!Y205), DAY(XT!AC205), DAY(XT!AG205)), MATCH(1, INDEX(--(MONTH(CHOOSE({1,2,3,4}, XT!U205,XT!Y205,XT!AC205,XT!AG205))=7), 0), 0)), "")</f>
        <v/>
      </c>
      <c r="AA205" s="51" t="str">
        <f>IF(XT!$P205&gt;0,Z205,"")</f>
        <v/>
      </c>
      <c r="AB205" s="51" t="str">
        <f>IF(XT!$P205=0,Z205,"")</f>
        <v/>
      </c>
      <c r="AC205">
        <f>SUMPRODUCT((MONTH(CHOOSE({1,2,3,4},XT!U205,XT!Y205,XT!AC205,XT!AG205))=8)*(CHOOSE({1,2,3,4},XT!X205,XT!AB205,XT!AF205,XT!AJ205)))</f>
        <v>0</v>
      </c>
      <c r="AD205" t="str">
        <f>IFERROR(INDEX(CHOOSE({1,2,3,4}, DAY(XT!U205), DAY(XT!Y205), DAY(XT!AC205), DAY(XT!AG205)), MATCH(1, INDEX(--(MONTH(CHOOSE({1,2,3,4}, XT!U205,XT!Y205,XT!AC205,XT!AG205))=8), 0), 0)), "")</f>
        <v/>
      </c>
      <c r="AE205" s="51" t="str">
        <f>IF(XT!$P205&gt;0,AD205,"")</f>
        <v/>
      </c>
      <c r="AF205" s="51" t="str">
        <f>IF(XT!$P205=0,AD205,"")</f>
        <v/>
      </c>
      <c r="AG205">
        <f>SUMPRODUCT((MONTH(CHOOSE({1,2,3,4},XT!U205,XT!Y205,XT!AC205,XT!AG205))=9)*(CHOOSE({1,2,3,4},XT!X205,XT!AB205,XT!AF205,XT!AJ205)))</f>
        <v>0</v>
      </c>
      <c r="AH205" t="str">
        <f>IFERROR(INDEX(CHOOSE({1,2,3,4}, DAY(XT!U205), DAY(XT!Y205), DAY(XT!AC205), DAY(XT!AG205)), MATCH(1, INDEX(--(MONTH(CHOOSE({1,2,3,4}, XT!U205,XT!Y205,XT!AC205,XT!AG205))=9), 0), 0)), "")</f>
        <v/>
      </c>
      <c r="AI205" s="51" t="str">
        <f>IF(XT!$P205&gt;0,AH205,"")</f>
        <v/>
      </c>
      <c r="AJ205" s="51" t="str">
        <f>IF(XT!$P205=0,AH205,"")</f>
        <v/>
      </c>
      <c r="AK205">
        <f>SUMPRODUCT((MONTH(CHOOSE({1,2,3,4},XT!U205,XT!Y205,XT!AC205,XT!AG205))=10)*(CHOOSE({1,2,3,4},XT!X205,XT!AB205,XT!AF205,XT!AJ205)))</f>
        <v>0</v>
      </c>
      <c r="AL205" t="str">
        <f>IFERROR(INDEX(CHOOSE({1,2,3,4}, DAY(XT!U205), DAY(XT!Y205), DAY(XT!AC205), DAY(XT!AG205)), MATCH(1, INDEX(--(MONTH(CHOOSE({1,2,3,4}, XT!U205,XT!Y205,XT!AC205,XT!AG205))=10), 0), 0)), "")</f>
        <v/>
      </c>
      <c r="AM205" s="51" t="str">
        <f>IF(XT!$P205&gt;0,AL205,"")</f>
        <v/>
      </c>
      <c r="AN205" s="51" t="str">
        <f>IF(XT!$P205=0,AL205,"")</f>
        <v/>
      </c>
      <c r="AO205">
        <f>SUMPRODUCT((MONTH(CHOOSE({1,2,3,4},XT!U205,XT!Y205,XT!AC205,XT!AG205))=11)*(CHOOSE({1,2,3,4},XT!X205,XT!AB205,XT!AF205,XT!AJ205)))</f>
        <v>0</v>
      </c>
      <c r="AP205" t="str">
        <f>IFERROR(INDEX(CHOOSE({1,2,3,4}, DAY(XT!U205), DAY(XT!Y205), DAY(XT!AC205), DAY(XT!AG205)), MATCH(1, INDEX(--(MONTH(CHOOSE({1,2,3,4}, XT!U205,XT!Y205,XT!AC205,XT!AG205))=11), 0), 0)), "")</f>
        <v/>
      </c>
      <c r="AQ205" s="51" t="str">
        <f>IF(XT!$P205&gt;0,AP205,"")</f>
        <v/>
      </c>
      <c r="AR205" s="51" t="str">
        <f>IF(XT!$P205=0,AP205,"")</f>
        <v/>
      </c>
      <c r="AS205">
        <f>SUMPRODUCT((MONTH(CHOOSE({1,2,3,4},XT!U205,XT!Y205,XT!AC205,XT!AG205))=12)*(CHOOSE({1,2,3,4},XT!X205,XT!AB205,XT!AF205,XT!AJ205)))</f>
        <v>0</v>
      </c>
      <c r="AT205" t="str">
        <f>IFERROR(INDEX(CHOOSE({1,2,3,4}, DAY(XT!U205), DAY(XT!Y205), DAY(XT!AC205), DAY(XT!AG205)), MATCH(1, INDEX(--(MONTH(CHOOSE({1,2,3,4}, XT!U205,XT!Y205,XT!AC205,XT!AG205))=12), 0), 0)), "")</f>
        <v/>
      </c>
      <c r="AU205" s="51" t="str">
        <f>IF(XT!$P205&gt;0,AT205,"")</f>
        <v/>
      </c>
      <c r="AV205" s="51" t="str">
        <f>IF(XT!$P205=0,AT205,"")</f>
        <v/>
      </c>
    </row>
    <row r="206" spans="1:48">
      <c r="A206">
        <f>SUMPRODUCT((MONTH(CHOOSE({1,2,3,4},XT!U206,XT!Y206,XT!AC206,XT!AG206))=1)*(CHOOSE({1,2,3,4},XT!X206,XT!AB206,XT!AF206,XT!AJ206)))</f>
        <v>0</v>
      </c>
      <c r="B206">
        <f>IFERROR(INDEX(CHOOSE({1,2,3,4}, DAY(XT!U206), DAY(XT!Y206), DAY(XT!AC206), DAY(XT!AG206)), MATCH(1, INDEX(--(MONTH(CHOOSE({1,2,3,4}, XT!U206,XT!Y206,XT!AC206,XT!AG206))=1), 0), 0)), "")</f>
        <v>0</v>
      </c>
      <c r="C206" s="51" t="str">
        <f>IF(XT!$P206&gt;0,B206,"")</f>
        <v/>
      </c>
      <c r="D206" s="51">
        <f>IF(XT!$P206=0,B206,"")</f>
        <v>0</v>
      </c>
      <c r="E206">
        <f>SUMPRODUCT((MONTH(CHOOSE({1,2,3,4},XT!U206,XT!Y206,XT!AC206,XT!AG206))=2)*(CHOOSE({1,2,3,4},XT!X206,XT!AB206,XT!AF206,XT!AJ206)))</f>
        <v>0</v>
      </c>
      <c r="F206" t="str">
        <f>IFERROR(INDEX(CHOOSE({1,2,3,4}, DAY(XT!U206), DAY(XT!Y206), DAY(XT!AC206), DAY(XT!AG206)), MATCH(1, INDEX(--(MONTH(CHOOSE({1,2,3,4}, XT!U206,XT!Y206,XT!AC206,XT!AG206))=2), 0), 0)), "")</f>
        <v/>
      </c>
      <c r="G206" s="51" t="str">
        <f>IF(XT!$P206&gt;0,F206,"")</f>
        <v/>
      </c>
      <c r="H206" s="51" t="str">
        <f>IF(XT!$P206=0,F206,"")</f>
        <v/>
      </c>
      <c r="I206">
        <f>SUMPRODUCT((MONTH(CHOOSE({1,2,3,4},XT!U206,XT!Y206,XT!AC206,XT!AG206))=3)*(CHOOSE({1,2,3,4},XT!X206,XT!AB206,XT!AF206,XT!AJ206)))</f>
        <v>0</v>
      </c>
      <c r="J206" t="str">
        <f>IFERROR(INDEX(CHOOSE({1,2,3,4}, DAY(XT!U206), DAY(XT!Y206), DAY(XT!AC206), DAY(XT!AG206)), MATCH(1, INDEX(--(MONTH(CHOOSE({1,2,3,4}, XT!U206,XT!Y206,XT!AC206,XT!AG206))=3), 0), 0)), "")</f>
        <v/>
      </c>
      <c r="K206" s="51" t="str">
        <f>IF(XT!$P206&gt;0,J206,"")</f>
        <v/>
      </c>
      <c r="L206" s="51" t="str">
        <f>IF(XT!$P206=0,J206,"")</f>
        <v/>
      </c>
      <c r="M206">
        <f>SUMPRODUCT((MONTH(CHOOSE({1,2,3,4},XT!U206,XT!Y206,XT!AC206,XT!AG206))=4)*(CHOOSE({1,2,3,4},XT!X206,XT!AB206,XT!AF206,XT!AJ206)))</f>
        <v>0</v>
      </c>
      <c r="N206" t="str">
        <f>IFERROR(INDEX(CHOOSE({1,2,3,4}, DAY(XT!U206), DAY(XT!Y206), DAY(XT!AC206), DAY(XT!AG206)), MATCH(1, INDEX(--(MONTH(CHOOSE({1,2,3,4}, XT!U206,XT!Y206,XT!AC206,XT!AG206))=4), 0), 0)), "")</f>
        <v/>
      </c>
      <c r="O206" s="51" t="str">
        <f>IF(XT!$P206&gt;0,N206,"")</f>
        <v/>
      </c>
      <c r="P206" s="51" t="str">
        <f>IF(XT!$P206=0,N206,"")</f>
        <v/>
      </c>
      <c r="Q206">
        <f>SUMPRODUCT((MONTH(CHOOSE({1,2,3,4},XT!U206,XT!Y206,XT!AC206,XT!AG206))=5)*(CHOOSE({1,2,3,4},XT!X206,XT!AB206,XT!AF206,XT!AJ206)))</f>
        <v>0</v>
      </c>
      <c r="R206" t="str">
        <f>IFERROR(INDEX(CHOOSE({1,2,3,4}, DAY(XT!U206), DAY(XT!Y206), DAY(XT!AC206), DAY(XT!AG206)), MATCH(1, INDEX(--(MONTH(CHOOSE({1,2,3,4}, XT!U206,XT!Y206,XT!AC206,XT!AG206))=5), 0), 0)), "")</f>
        <v/>
      </c>
      <c r="S206" s="51" t="str">
        <f>IF(XT!$P206&gt;0,R206,"")</f>
        <v/>
      </c>
      <c r="T206" s="51" t="str">
        <f>IF(XT!$P206=0,R206,"")</f>
        <v/>
      </c>
      <c r="U206">
        <f>SUMPRODUCT((MONTH(CHOOSE({1,2,3,4},XT!U206,XT!Y206,XT!AC206,XT!AG206))=6)*(CHOOSE({1,2,3,4},XT!X206,XT!AB206,XT!AF206,XT!AJ206)))</f>
        <v>0</v>
      </c>
      <c r="V206" t="str">
        <f>IFERROR(INDEX(CHOOSE({1,2,3,4}, DAY(XT!U206), DAY(XT!Y206), DAY(XT!AC206), DAY(XT!AG206)), MATCH(1, INDEX(--(MONTH(CHOOSE({1,2,3,4}, XT!U206,XT!Y206,XT!AC206,XT!AG206))=6), 0), 0)), "")</f>
        <v/>
      </c>
      <c r="W206" s="51" t="str">
        <f>IF(XT!$P206&gt;0,V206,"")</f>
        <v/>
      </c>
      <c r="X206" s="51" t="str">
        <f>IF(XT!$P206=0,V206,"")</f>
        <v/>
      </c>
      <c r="Y206">
        <f>SUMPRODUCT((MONTH(CHOOSE({1,2,3,4},XT!U206,XT!Y206,XT!AC206,XT!AG206))=7)*(CHOOSE({1,2,3,4},XT!X206,XT!AB206,XT!AF206,XT!AJ206)))</f>
        <v>0</v>
      </c>
      <c r="Z206" t="str">
        <f>IFERROR(INDEX(CHOOSE({1,2,3,4}, DAY(XT!U206), DAY(XT!Y206), DAY(XT!AC206), DAY(XT!AG206)), MATCH(1, INDEX(--(MONTH(CHOOSE({1,2,3,4}, XT!U206,XT!Y206,XT!AC206,XT!AG206))=7), 0), 0)), "")</f>
        <v/>
      </c>
      <c r="AA206" s="51" t="str">
        <f>IF(XT!$P206&gt;0,Z206,"")</f>
        <v/>
      </c>
      <c r="AB206" s="51" t="str">
        <f>IF(XT!$P206=0,Z206,"")</f>
        <v/>
      </c>
      <c r="AC206">
        <f>SUMPRODUCT((MONTH(CHOOSE({1,2,3,4},XT!U206,XT!Y206,XT!AC206,XT!AG206))=8)*(CHOOSE({1,2,3,4},XT!X206,XT!AB206,XT!AF206,XT!AJ206)))</f>
        <v>0</v>
      </c>
      <c r="AD206" t="str">
        <f>IFERROR(INDEX(CHOOSE({1,2,3,4}, DAY(XT!U206), DAY(XT!Y206), DAY(XT!AC206), DAY(XT!AG206)), MATCH(1, INDEX(--(MONTH(CHOOSE({1,2,3,4}, XT!U206,XT!Y206,XT!AC206,XT!AG206))=8), 0), 0)), "")</f>
        <v/>
      </c>
      <c r="AE206" s="51" t="str">
        <f>IF(XT!$P206&gt;0,AD206,"")</f>
        <v/>
      </c>
      <c r="AF206" s="51" t="str">
        <f>IF(XT!$P206=0,AD206,"")</f>
        <v/>
      </c>
      <c r="AG206">
        <f>SUMPRODUCT((MONTH(CHOOSE({1,2,3,4},XT!U206,XT!Y206,XT!AC206,XT!AG206))=9)*(CHOOSE({1,2,3,4},XT!X206,XT!AB206,XT!AF206,XT!AJ206)))</f>
        <v>0</v>
      </c>
      <c r="AH206" t="str">
        <f>IFERROR(INDEX(CHOOSE({1,2,3,4}, DAY(XT!U206), DAY(XT!Y206), DAY(XT!AC206), DAY(XT!AG206)), MATCH(1, INDEX(--(MONTH(CHOOSE({1,2,3,4}, XT!U206,XT!Y206,XT!AC206,XT!AG206))=9), 0), 0)), "")</f>
        <v/>
      </c>
      <c r="AI206" s="51" t="str">
        <f>IF(XT!$P206&gt;0,AH206,"")</f>
        <v/>
      </c>
      <c r="AJ206" s="51" t="str">
        <f>IF(XT!$P206=0,AH206,"")</f>
        <v/>
      </c>
      <c r="AK206">
        <f>SUMPRODUCT((MONTH(CHOOSE({1,2,3,4},XT!U206,XT!Y206,XT!AC206,XT!AG206))=10)*(CHOOSE({1,2,3,4},XT!X206,XT!AB206,XT!AF206,XT!AJ206)))</f>
        <v>0</v>
      </c>
      <c r="AL206" t="str">
        <f>IFERROR(INDEX(CHOOSE({1,2,3,4}, DAY(XT!U206), DAY(XT!Y206), DAY(XT!AC206), DAY(XT!AG206)), MATCH(1, INDEX(--(MONTH(CHOOSE({1,2,3,4}, XT!U206,XT!Y206,XT!AC206,XT!AG206))=10), 0), 0)), "")</f>
        <v/>
      </c>
      <c r="AM206" s="51" t="str">
        <f>IF(XT!$P206&gt;0,AL206,"")</f>
        <v/>
      </c>
      <c r="AN206" s="51" t="str">
        <f>IF(XT!$P206=0,AL206,"")</f>
        <v/>
      </c>
      <c r="AO206">
        <f>SUMPRODUCT((MONTH(CHOOSE({1,2,3,4},XT!U206,XT!Y206,XT!AC206,XT!AG206))=11)*(CHOOSE({1,2,3,4},XT!X206,XT!AB206,XT!AF206,XT!AJ206)))</f>
        <v>0</v>
      </c>
      <c r="AP206" t="str">
        <f>IFERROR(INDEX(CHOOSE({1,2,3,4}, DAY(XT!U206), DAY(XT!Y206), DAY(XT!AC206), DAY(XT!AG206)), MATCH(1, INDEX(--(MONTH(CHOOSE({1,2,3,4}, XT!U206,XT!Y206,XT!AC206,XT!AG206))=11), 0), 0)), "")</f>
        <v/>
      </c>
      <c r="AQ206" s="51" t="str">
        <f>IF(XT!$P206&gt;0,AP206,"")</f>
        <v/>
      </c>
      <c r="AR206" s="51" t="str">
        <f>IF(XT!$P206=0,AP206,"")</f>
        <v/>
      </c>
      <c r="AS206">
        <f>SUMPRODUCT((MONTH(CHOOSE({1,2,3,4},XT!U206,XT!Y206,XT!AC206,XT!AG206))=12)*(CHOOSE({1,2,3,4},XT!X206,XT!AB206,XT!AF206,XT!AJ206)))</f>
        <v>0</v>
      </c>
      <c r="AT206" t="str">
        <f>IFERROR(INDEX(CHOOSE({1,2,3,4}, DAY(XT!U206), DAY(XT!Y206), DAY(XT!AC206), DAY(XT!AG206)), MATCH(1, INDEX(--(MONTH(CHOOSE({1,2,3,4}, XT!U206,XT!Y206,XT!AC206,XT!AG206))=12), 0), 0)), "")</f>
        <v/>
      </c>
      <c r="AU206" s="51" t="str">
        <f>IF(XT!$P206&gt;0,AT206,"")</f>
        <v/>
      </c>
      <c r="AV206" s="51" t="str">
        <f>IF(XT!$P206=0,AT206,"")</f>
        <v/>
      </c>
    </row>
    <row r="207" spans="1:48">
      <c r="A207">
        <f>SUMPRODUCT((MONTH(CHOOSE({1,2,3,4},XT!U207,XT!Y207,XT!AC207,XT!AG207))=1)*(CHOOSE({1,2,3,4},XT!X207,XT!AB207,XT!AF207,XT!AJ207)))</f>
        <v>0</v>
      </c>
      <c r="B207">
        <f>IFERROR(INDEX(CHOOSE({1,2,3,4}, DAY(XT!U207), DAY(XT!Y207), DAY(XT!AC207), DAY(XT!AG207)), MATCH(1, INDEX(--(MONTH(CHOOSE({1,2,3,4}, XT!U207,XT!Y207,XT!AC207,XT!AG207))=1), 0), 0)), "")</f>
        <v>0</v>
      </c>
      <c r="C207" s="51" t="str">
        <f>IF(XT!$P207&gt;0,B207,"")</f>
        <v/>
      </c>
      <c r="D207" s="51">
        <f>IF(XT!$P207=0,B207,"")</f>
        <v>0</v>
      </c>
      <c r="E207">
        <f>SUMPRODUCT((MONTH(CHOOSE({1,2,3,4},XT!U207,XT!Y207,XT!AC207,XT!AG207))=2)*(CHOOSE({1,2,3,4},XT!X207,XT!AB207,XT!AF207,XT!AJ207)))</f>
        <v>0</v>
      </c>
      <c r="F207" t="str">
        <f>IFERROR(INDEX(CHOOSE({1,2,3,4}, DAY(XT!U207), DAY(XT!Y207), DAY(XT!AC207), DAY(XT!AG207)), MATCH(1, INDEX(--(MONTH(CHOOSE({1,2,3,4}, XT!U207,XT!Y207,XT!AC207,XT!AG207))=2), 0), 0)), "")</f>
        <v/>
      </c>
      <c r="G207" s="51" t="str">
        <f>IF(XT!$P207&gt;0,F207,"")</f>
        <v/>
      </c>
      <c r="H207" s="51" t="str">
        <f>IF(XT!$P207=0,F207,"")</f>
        <v/>
      </c>
      <c r="I207">
        <f>SUMPRODUCT((MONTH(CHOOSE({1,2,3,4},XT!U207,XT!Y207,XT!AC207,XT!AG207))=3)*(CHOOSE({1,2,3,4},XT!X207,XT!AB207,XT!AF207,XT!AJ207)))</f>
        <v>0</v>
      </c>
      <c r="J207" t="str">
        <f>IFERROR(INDEX(CHOOSE({1,2,3,4}, DAY(XT!U207), DAY(XT!Y207), DAY(XT!AC207), DAY(XT!AG207)), MATCH(1, INDEX(--(MONTH(CHOOSE({1,2,3,4}, XT!U207,XT!Y207,XT!AC207,XT!AG207))=3), 0), 0)), "")</f>
        <v/>
      </c>
      <c r="K207" s="51" t="str">
        <f>IF(XT!$P207&gt;0,J207,"")</f>
        <v/>
      </c>
      <c r="L207" s="51" t="str">
        <f>IF(XT!$P207=0,J207,"")</f>
        <v/>
      </c>
      <c r="M207">
        <f>SUMPRODUCT((MONTH(CHOOSE({1,2,3,4},XT!U207,XT!Y207,XT!AC207,XT!AG207))=4)*(CHOOSE({1,2,3,4},XT!X207,XT!AB207,XT!AF207,XT!AJ207)))</f>
        <v>0</v>
      </c>
      <c r="N207" t="str">
        <f>IFERROR(INDEX(CHOOSE({1,2,3,4}, DAY(XT!U207), DAY(XT!Y207), DAY(XT!AC207), DAY(XT!AG207)), MATCH(1, INDEX(--(MONTH(CHOOSE({1,2,3,4}, XT!U207,XT!Y207,XT!AC207,XT!AG207))=4), 0), 0)), "")</f>
        <v/>
      </c>
      <c r="O207" s="51" t="str">
        <f>IF(XT!$P207&gt;0,N207,"")</f>
        <v/>
      </c>
      <c r="P207" s="51" t="str">
        <f>IF(XT!$P207=0,N207,"")</f>
        <v/>
      </c>
      <c r="Q207">
        <f>SUMPRODUCT((MONTH(CHOOSE({1,2,3,4},XT!U207,XT!Y207,XT!AC207,XT!AG207))=5)*(CHOOSE({1,2,3,4},XT!X207,XT!AB207,XT!AF207,XT!AJ207)))</f>
        <v>0</v>
      </c>
      <c r="R207" t="str">
        <f>IFERROR(INDEX(CHOOSE({1,2,3,4}, DAY(XT!U207), DAY(XT!Y207), DAY(XT!AC207), DAY(XT!AG207)), MATCH(1, INDEX(--(MONTH(CHOOSE({1,2,3,4}, XT!U207,XT!Y207,XT!AC207,XT!AG207))=5), 0), 0)), "")</f>
        <v/>
      </c>
      <c r="S207" s="51" t="str">
        <f>IF(XT!$P207&gt;0,R207,"")</f>
        <v/>
      </c>
      <c r="T207" s="51" t="str">
        <f>IF(XT!$P207=0,R207,"")</f>
        <v/>
      </c>
      <c r="U207">
        <f>SUMPRODUCT((MONTH(CHOOSE({1,2,3,4},XT!U207,XT!Y207,XT!AC207,XT!AG207))=6)*(CHOOSE({1,2,3,4},XT!X207,XT!AB207,XT!AF207,XT!AJ207)))</f>
        <v>0</v>
      </c>
      <c r="V207" t="str">
        <f>IFERROR(INDEX(CHOOSE({1,2,3,4}, DAY(XT!U207), DAY(XT!Y207), DAY(XT!AC207), DAY(XT!AG207)), MATCH(1, INDEX(--(MONTH(CHOOSE({1,2,3,4}, XT!U207,XT!Y207,XT!AC207,XT!AG207))=6), 0), 0)), "")</f>
        <v/>
      </c>
      <c r="W207" s="51" t="str">
        <f>IF(XT!$P207&gt;0,V207,"")</f>
        <v/>
      </c>
      <c r="X207" s="51" t="str">
        <f>IF(XT!$P207=0,V207,"")</f>
        <v/>
      </c>
      <c r="Y207">
        <f>SUMPRODUCT((MONTH(CHOOSE({1,2,3,4},XT!U207,XT!Y207,XT!AC207,XT!AG207))=7)*(CHOOSE({1,2,3,4},XT!X207,XT!AB207,XT!AF207,XT!AJ207)))</f>
        <v>0</v>
      </c>
      <c r="Z207" t="str">
        <f>IFERROR(INDEX(CHOOSE({1,2,3,4}, DAY(XT!U207), DAY(XT!Y207), DAY(XT!AC207), DAY(XT!AG207)), MATCH(1, INDEX(--(MONTH(CHOOSE({1,2,3,4}, XT!U207,XT!Y207,XT!AC207,XT!AG207))=7), 0), 0)), "")</f>
        <v/>
      </c>
      <c r="AA207" s="51" t="str">
        <f>IF(XT!$P207&gt;0,Z207,"")</f>
        <v/>
      </c>
      <c r="AB207" s="51" t="str">
        <f>IF(XT!$P207=0,Z207,"")</f>
        <v/>
      </c>
      <c r="AC207">
        <f>SUMPRODUCT((MONTH(CHOOSE({1,2,3,4},XT!U207,XT!Y207,XT!AC207,XT!AG207))=8)*(CHOOSE({1,2,3,4},XT!X207,XT!AB207,XT!AF207,XT!AJ207)))</f>
        <v>0</v>
      </c>
      <c r="AD207" t="str">
        <f>IFERROR(INDEX(CHOOSE({1,2,3,4}, DAY(XT!U207), DAY(XT!Y207), DAY(XT!AC207), DAY(XT!AG207)), MATCH(1, INDEX(--(MONTH(CHOOSE({1,2,3,4}, XT!U207,XT!Y207,XT!AC207,XT!AG207))=8), 0), 0)), "")</f>
        <v/>
      </c>
      <c r="AE207" s="51" t="str">
        <f>IF(XT!$P207&gt;0,AD207,"")</f>
        <v/>
      </c>
      <c r="AF207" s="51" t="str">
        <f>IF(XT!$P207=0,AD207,"")</f>
        <v/>
      </c>
      <c r="AG207">
        <f>SUMPRODUCT((MONTH(CHOOSE({1,2,3,4},XT!U207,XT!Y207,XT!AC207,XT!AG207))=9)*(CHOOSE({1,2,3,4},XT!X207,XT!AB207,XT!AF207,XT!AJ207)))</f>
        <v>0</v>
      </c>
      <c r="AH207" t="str">
        <f>IFERROR(INDEX(CHOOSE({1,2,3,4}, DAY(XT!U207), DAY(XT!Y207), DAY(XT!AC207), DAY(XT!AG207)), MATCH(1, INDEX(--(MONTH(CHOOSE({1,2,3,4}, XT!U207,XT!Y207,XT!AC207,XT!AG207))=9), 0), 0)), "")</f>
        <v/>
      </c>
      <c r="AI207" s="51" t="str">
        <f>IF(XT!$P207&gt;0,AH207,"")</f>
        <v/>
      </c>
      <c r="AJ207" s="51" t="str">
        <f>IF(XT!$P207=0,AH207,"")</f>
        <v/>
      </c>
      <c r="AK207">
        <f>SUMPRODUCT((MONTH(CHOOSE({1,2,3,4},XT!U207,XT!Y207,XT!AC207,XT!AG207))=10)*(CHOOSE({1,2,3,4},XT!X207,XT!AB207,XT!AF207,XT!AJ207)))</f>
        <v>0</v>
      </c>
      <c r="AL207" t="str">
        <f>IFERROR(INDEX(CHOOSE({1,2,3,4}, DAY(XT!U207), DAY(XT!Y207), DAY(XT!AC207), DAY(XT!AG207)), MATCH(1, INDEX(--(MONTH(CHOOSE({1,2,3,4}, XT!U207,XT!Y207,XT!AC207,XT!AG207))=10), 0), 0)), "")</f>
        <v/>
      </c>
      <c r="AM207" s="51" t="str">
        <f>IF(XT!$P207&gt;0,AL207,"")</f>
        <v/>
      </c>
      <c r="AN207" s="51" t="str">
        <f>IF(XT!$P207=0,AL207,"")</f>
        <v/>
      </c>
      <c r="AO207">
        <f>SUMPRODUCT((MONTH(CHOOSE({1,2,3,4},XT!U207,XT!Y207,XT!AC207,XT!AG207))=11)*(CHOOSE({1,2,3,4},XT!X207,XT!AB207,XT!AF207,XT!AJ207)))</f>
        <v>0</v>
      </c>
      <c r="AP207" t="str">
        <f>IFERROR(INDEX(CHOOSE({1,2,3,4}, DAY(XT!U207), DAY(XT!Y207), DAY(XT!AC207), DAY(XT!AG207)), MATCH(1, INDEX(--(MONTH(CHOOSE({1,2,3,4}, XT!U207,XT!Y207,XT!AC207,XT!AG207))=11), 0), 0)), "")</f>
        <v/>
      </c>
      <c r="AQ207" s="51" t="str">
        <f>IF(XT!$P207&gt;0,AP207,"")</f>
        <v/>
      </c>
      <c r="AR207" s="51" t="str">
        <f>IF(XT!$P207=0,AP207,"")</f>
        <v/>
      </c>
      <c r="AS207">
        <f>SUMPRODUCT((MONTH(CHOOSE({1,2,3,4},XT!U207,XT!Y207,XT!AC207,XT!AG207))=12)*(CHOOSE({1,2,3,4},XT!X207,XT!AB207,XT!AF207,XT!AJ207)))</f>
        <v>0</v>
      </c>
      <c r="AT207" t="str">
        <f>IFERROR(INDEX(CHOOSE({1,2,3,4}, DAY(XT!U207), DAY(XT!Y207), DAY(XT!AC207), DAY(XT!AG207)), MATCH(1, INDEX(--(MONTH(CHOOSE({1,2,3,4}, XT!U207,XT!Y207,XT!AC207,XT!AG207))=12), 0), 0)), "")</f>
        <v/>
      </c>
      <c r="AU207" s="51" t="str">
        <f>IF(XT!$P207&gt;0,AT207,"")</f>
        <v/>
      </c>
      <c r="AV207" s="51" t="str">
        <f>IF(XT!$P207=0,AT207,"")</f>
        <v/>
      </c>
    </row>
    <row r="208" spans="1:48">
      <c r="A208">
        <f>SUMPRODUCT((MONTH(CHOOSE({1,2,3,4},XT!U208,XT!Y208,XT!AC208,XT!AG208))=1)*(CHOOSE({1,2,3,4},XT!X208,XT!AB208,XT!AF208,XT!AJ208)))</f>
        <v>0</v>
      </c>
      <c r="B208">
        <f>IFERROR(INDEX(CHOOSE({1,2,3,4}, DAY(XT!U208), DAY(XT!Y208), DAY(XT!AC208), DAY(XT!AG208)), MATCH(1, INDEX(--(MONTH(CHOOSE({1,2,3,4}, XT!U208,XT!Y208,XT!AC208,XT!AG208))=1), 0), 0)), "")</f>
        <v>0</v>
      </c>
      <c r="C208" s="51" t="str">
        <f>IF(XT!$P208&gt;0,B208,"")</f>
        <v/>
      </c>
      <c r="D208" s="51">
        <f>IF(XT!$P208=0,B208,"")</f>
        <v>0</v>
      </c>
      <c r="E208">
        <f>SUMPRODUCT((MONTH(CHOOSE({1,2,3,4},XT!U208,XT!Y208,XT!AC208,XT!AG208))=2)*(CHOOSE({1,2,3,4},XT!X208,XT!AB208,XT!AF208,XT!AJ208)))</f>
        <v>0</v>
      </c>
      <c r="F208" t="str">
        <f>IFERROR(INDEX(CHOOSE({1,2,3,4}, DAY(XT!U208), DAY(XT!Y208), DAY(XT!AC208), DAY(XT!AG208)), MATCH(1, INDEX(--(MONTH(CHOOSE({1,2,3,4}, XT!U208,XT!Y208,XT!AC208,XT!AG208))=2), 0), 0)), "")</f>
        <v/>
      </c>
      <c r="G208" s="51" t="str">
        <f>IF(XT!$P208&gt;0,F208,"")</f>
        <v/>
      </c>
      <c r="H208" s="51" t="str">
        <f>IF(XT!$P208=0,F208,"")</f>
        <v/>
      </c>
      <c r="I208">
        <f>SUMPRODUCT((MONTH(CHOOSE({1,2,3,4},XT!U208,XT!Y208,XT!AC208,XT!AG208))=3)*(CHOOSE({1,2,3,4},XT!X208,XT!AB208,XT!AF208,XT!AJ208)))</f>
        <v>0</v>
      </c>
      <c r="J208" t="str">
        <f>IFERROR(INDEX(CHOOSE({1,2,3,4}, DAY(XT!U208), DAY(XT!Y208), DAY(XT!AC208), DAY(XT!AG208)), MATCH(1, INDEX(--(MONTH(CHOOSE({1,2,3,4}, XT!U208,XT!Y208,XT!AC208,XT!AG208))=3), 0), 0)), "")</f>
        <v/>
      </c>
      <c r="K208" s="51" t="str">
        <f>IF(XT!$P208&gt;0,J208,"")</f>
        <v/>
      </c>
      <c r="L208" s="51" t="str">
        <f>IF(XT!$P208=0,J208,"")</f>
        <v/>
      </c>
      <c r="M208">
        <f>SUMPRODUCT((MONTH(CHOOSE({1,2,3,4},XT!U208,XT!Y208,XT!AC208,XT!AG208))=4)*(CHOOSE({1,2,3,4},XT!X208,XT!AB208,XT!AF208,XT!AJ208)))</f>
        <v>0</v>
      </c>
      <c r="N208" t="str">
        <f>IFERROR(INDEX(CHOOSE({1,2,3,4}, DAY(XT!U208), DAY(XT!Y208), DAY(XT!AC208), DAY(XT!AG208)), MATCH(1, INDEX(--(MONTH(CHOOSE({1,2,3,4}, XT!U208,XT!Y208,XT!AC208,XT!AG208))=4), 0), 0)), "")</f>
        <v/>
      </c>
      <c r="O208" s="51" t="str">
        <f>IF(XT!$P208&gt;0,N208,"")</f>
        <v/>
      </c>
      <c r="P208" s="51" t="str">
        <f>IF(XT!$P208=0,N208,"")</f>
        <v/>
      </c>
      <c r="Q208">
        <f>SUMPRODUCT((MONTH(CHOOSE({1,2,3,4},XT!U208,XT!Y208,XT!AC208,XT!AG208))=5)*(CHOOSE({1,2,3,4},XT!X208,XT!AB208,XT!AF208,XT!AJ208)))</f>
        <v>0</v>
      </c>
      <c r="R208" t="str">
        <f>IFERROR(INDEX(CHOOSE({1,2,3,4}, DAY(XT!U208), DAY(XT!Y208), DAY(XT!AC208), DAY(XT!AG208)), MATCH(1, INDEX(--(MONTH(CHOOSE({1,2,3,4}, XT!U208,XT!Y208,XT!AC208,XT!AG208))=5), 0), 0)), "")</f>
        <v/>
      </c>
      <c r="S208" s="51" t="str">
        <f>IF(XT!$P208&gt;0,R208,"")</f>
        <v/>
      </c>
      <c r="T208" s="51" t="str">
        <f>IF(XT!$P208=0,R208,"")</f>
        <v/>
      </c>
      <c r="U208">
        <f>SUMPRODUCT((MONTH(CHOOSE({1,2,3,4},XT!U208,XT!Y208,XT!AC208,XT!AG208))=6)*(CHOOSE({1,2,3,4},XT!X208,XT!AB208,XT!AF208,XT!AJ208)))</f>
        <v>0</v>
      </c>
      <c r="V208" t="str">
        <f>IFERROR(INDEX(CHOOSE({1,2,3,4}, DAY(XT!U208), DAY(XT!Y208), DAY(XT!AC208), DAY(XT!AG208)), MATCH(1, INDEX(--(MONTH(CHOOSE({1,2,3,4}, XT!U208,XT!Y208,XT!AC208,XT!AG208))=6), 0), 0)), "")</f>
        <v/>
      </c>
      <c r="W208" s="51" t="str">
        <f>IF(XT!$P208&gt;0,V208,"")</f>
        <v/>
      </c>
      <c r="X208" s="51" t="str">
        <f>IF(XT!$P208=0,V208,"")</f>
        <v/>
      </c>
      <c r="Y208">
        <f>SUMPRODUCT((MONTH(CHOOSE({1,2,3,4},XT!U208,XT!Y208,XT!AC208,XT!AG208))=7)*(CHOOSE({1,2,3,4},XT!X208,XT!AB208,XT!AF208,XT!AJ208)))</f>
        <v>0</v>
      </c>
      <c r="Z208" t="str">
        <f>IFERROR(INDEX(CHOOSE({1,2,3,4}, DAY(XT!U208), DAY(XT!Y208), DAY(XT!AC208), DAY(XT!AG208)), MATCH(1, INDEX(--(MONTH(CHOOSE({1,2,3,4}, XT!U208,XT!Y208,XT!AC208,XT!AG208))=7), 0), 0)), "")</f>
        <v/>
      </c>
      <c r="AA208" s="51" t="str">
        <f>IF(XT!$P208&gt;0,Z208,"")</f>
        <v/>
      </c>
      <c r="AB208" s="51" t="str">
        <f>IF(XT!$P208=0,Z208,"")</f>
        <v/>
      </c>
      <c r="AC208">
        <f>SUMPRODUCT((MONTH(CHOOSE({1,2,3,4},XT!U208,XT!Y208,XT!AC208,XT!AG208))=8)*(CHOOSE({1,2,3,4},XT!X208,XT!AB208,XT!AF208,XT!AJ208)))</f>
        <v>0</v>
      </c>
      <c r="AD208" t="str">
        <f>IFERROR(INDEX(CHOOSE({1,2,3,4}, DAY(XT!U208), DAY(XT!Y208), DAY(XT!AC208), DAY(XT!AG208)), MATCH(1, INDEX(--(MONTH(CHOOSE({1,2,3,4}, XT!U208,XT!Y208,XT!AC208,XT!AG208))=8), 0), 0)), "")</f>
        <v/>
      </c>
      <c r="AE208" s="51" t="str">
        <f>IF(XT!$P208&gt;0,AD208,"")</f>
        <v/>
      </c>
      <c r="AF208" s="51" t="str">
        <f>IF(XT!$P208=0,AD208,"")</f>
        <v/>
      </c>
      <c r="AG208">
        <f>SUMPRODUCT((MONTH(CHOOSE({1,2,3,4},XT!U208,XT!Y208,XT!AC208,XT!AG208))=9)*(CHOOSE({1,2,3,4},XT!X208,XT!AB208,XT!AF208,XT!AJ208)))</f>
        <v>0</v>
      </c>
      <c r="AH208" t="str">
        <f>IFERROR(INDEX(CHOOSE({1,2,3,4}, DAY(XT!U208), DAY(XT!Y208), DAY(XT!AC208), DAY(XT!AG208)), MATCH(1, INDEX(--(MONTH(CHOOSE({1,2,3,4}, XT!U208,XT!Y208,XT!AC208,XT!AG208))=9), 0), 0)), "")</f>
        <v/>
      </c>
      <c r="AI208" s="51" t="str">
        <f>IF(XT!$P208&gt;0,AH208,"")</f>
        <v/>
      </c>
      <c r="AJ208" s="51" t="str">
        <f>IF(XT!$P208=0,AH208,"")</f>
        <v/>
      </c>
      <c r="AK208">
        <f>SUMPRODUCT((MONTH(CHOOSE({1,2,3,4},XT!U208,XT!Y208,XT!AC208,XT!AG208))=10)*(CHOOSE({1,2,3,4},XT!X208,XT!AB208,XT!AF208,XT!AJ208)))</f>
        <v>0</v>
      </c>
      <c r="AL208" t="str">
        <f>IFERROR(INDEX(CHOOSE({1,2,3,4}, DAY(XT!U208), DAY(XT!Y208), DAY(XT!AC208), DAY(XT!AG208)), MATCH(1, INDEX(--(MONTH(CHOOSE({1,2,3,4}, XT!U208,XT!Y208,XT!AC208,XT!AG208))=10), 0), 0)), "")</f>
        <v/>
      </c>
      <c r="AM208" s="51" t="str">
        <f>IF(XT!$P208&gt;0,AL208,"")</f>
        <v/>
      </c>
      <c r="AN208" s="51" t="str">
        <f>IF(XT!$P208=0,AL208,"")</f>
        <v/>
      </c>
      <c r="AO208">
        <f>SUMPRODUCT((MONTH(CHOOSE({1,2,3,4},XT!U208,XT!Y208,XT!AC208,XT!AG208))=11)*(CHOOSE({1,2,3,4},XT!X208,XT!AB208,XT!AF208,XT!AJ208)))</f>
        <v>0</v>
      </c>
      <c r="AP208" t="str">
        <f>IFERROR(INDEX(CHOOSE({1,2,3,4}, DAY(XT!U208), DAY(XT!Y208), DAY(XT!AC208), DAY(XT!AG208)), MATCH(1, INDEX(--(MONTH(CHOOSE({1,2,3,4}, XT!U208,XT!Y208,XT!AC208,XT!AG208))=11), 0), 0)), "")</f>
        <v/>
      </c>
      <c r="AQ208" s="51" t="str">
        <f>IF(XT!$P208&gt;0,AP208,"")</f>
        <v/>
      </c>
      <c r="AR208" s="51" t="str">
        <f>IF(XT!$P208=0,AP208,"")</f>
        <v/>
      </c>
      <c r="AS208">
        <f>SUMPRODUCT((MONTH(CHOOSE({1,2,3,4},XT!U208,XT!Y208,XT!AC208,XT!AG208))=12)*(CHOOSE({1,2,3,4},XT!X208,XT!AB208,XT!AF208,XT!AJ208)))</f>
        <v>0</v>
      </c>
      <c r="AT208" t="str">
        <f>IFERROR(INDEX(CHOOSE({1,2,3,4}, DAY(XT!U208), DAY(XT!Y208), DAY(XT!AC208), DAY(XT!AG208)), MATCH(1, INDEX(--(MONTH(CHOOSE({1,2,3,4}, XT!U208,XT!Y208,XT!AC208,XT!AG208))=12), 0), 0)), "")</f>
        <v/>
      </c>
      <c r="AU208" s="51" t="str">
        <f>IF(XT!$P208&gt;0,AT208,"")</f>
        <v/>
      </c>
      <c r="AV208" s="51" t="str">
        <f>IF(XT!$P208=0,AT208,"")</f>
        <v/>
      </c>
    </row>
    <row r="209" spans="1:48">
      <c r="A209">
        <f>SUMPRODUCT((MONTH(CHOOSE({1,2,3,4},XT!U209,XT!Y209,XT!AC209,XT!AG209))=1)*(CHOOSE({1,2,3,4},XT!X209,XT!AB209,XT!AF209,XT!AJ209)))</f>
        <v>0</v>
      </c>
      <c r="B209">
        <f>IFERROR(INDEX(CHOOSE({1,2,3,4}, DAY(XT!U209), DAY(XT!Y209), DAY(XT!AC209), DAY(XT!AG209)), MATCH(1, INDEX(--(MONTH(CHOOSE({1,2,3,4}, XT!U209,XT!Y209,XT!AC209,XT!AG209))=1), 0), 0)), "")</f>
        <v>0</v>
      </c>
      <c r="C209" s="51" t="str">
        <f>IF(XT!$P209&gt;0,B209,"")</f>
        <v/>
      </c>
      <c r="D209" s="51">
        <f>IF(XT!$P209=0,B209,"")</f>
        <v>0</v>
      </c>
      <c r="E209">
        <f>SUMPRODUCT((MONTH(CHOOSE({1,2,3,4},XT!U209,XT!Y209,XT!AC209,XT!AG209))=2)*(CHOOSE({1,2,3,4},XT!X209,XT!AB209,XT!AF209,XT!AJ209)))</f>
        <v>0</v>
      </c>
      <c r="F209" t="str">
        <f>IFERROR(INDEX(CHOOSE({1,2,3,4}, DAY(XT!U209), DAY(XT!Y209), DAY(XT!AC209), DAY(XT!AG209)), MATCH(1, INDEX(--(MONTH(CHOOSE({1,2,3,4}, XT!U209,XT!Y209,XT!AC209,XT!AG209))=2), 0), 0)), "")</f>
        <v/>
      </c>
      <c r="G209" s="51" t="str">
        <f>IF(XT!$P209&gt;0,F209,"")</f>
        <v/>
      </c>
      <c r="H209" s="51" t="str">
        <f>IF(XT!$P209=0,F209,"")</f>
        <v/>
      </c>
      <c r="I209">
        <f>SUMPRODUCT((MONTH(CHOOSE({1,2,3,4},XT!U209,XT!Y209,XT!AC209,XT!AG209))=3)*(CHOOSE({1,2,3,4},XT!X209,XT!AB209,XT!AF209,XT!AJ209)))</f>
        <v>0</v>
      </c>
      <c r="J209" t="str">
        <f>IFERROR(INDEX(CHOOSE({1,2,3,4}, DAY(XT!U209), DAY(XT!Y209), DAY(XT!AC209), DAY(XT!AG209)), MATCH(1, INDEX(--(MONTH(CHOOSE({1,2,3,4}, XT!U209,XT!Y209,XT!AC209,XT!AG209))=3), 0), 0)), "")</f>
        <v/>
      </c>
      <c r="K209" s="51" t="str">
        <f>IF(XT!$P209&gt;0,J209,"")</f>
        <v/>
      </c>
      <c r="L209" s="51" t="str">
        <f>IF(XT!$P209=0,J209,"")</f>
        <v/>
      </c>
      <c r="M209">
        <f>SUMPRODUCT((MONTH(CHOOSE({1,2,3,4},XT!U209,XT!Y209,XT!AC209,XT!AG209))=4)*(CHOOSE({1,2,3,4},XT!X209,XT!AB209,XT!AF209,XT!AJ209)))</f>
        <v>0</v>
      </c>
      <c r="N209" t="str">
        <f>IFERROR(INDEX(CHOOSE({1,2,3,4}, DAY(XT!U209), DAY(XT!Y209), DAY(XT!AC209), DAY(XT!AG209)), MATCH(1, INDEX(--(MONTH(CHOOSE({1,2,3,4}, XT!U209,XT!Y209,XT!AC209,XT!AG209))=4), 0), 0)), "")</f>
        <v/>
      </c>
      <c r="O209" s="51" t="str">
        <f>IF(XT!$P209&gt;0,N209,"")</f>
        <v/>
      </c>
      <c r="P209" s="51" t="str">
        <f>IF(XT!$P209=0,N209,"")</f>
        <v/>
      </c>
      <c r="Q209">
        <f>SUMPRODUCT((MONTH(CHOOSE({1,2,3,4},XT!U209,XT!Y209,XT!AC209,XT!AG209))=5)*(CHOOSE({1,2,3,4},XT!X209,XT!AB209,XT!AF209,XT!AJ209)))</f>
        <v>0</v>
      </c>
      <c r="R209" t="str">
        <f>IFERROR(INDEX(CHOOSE({1,2,3,4}, DAY(XT!U209), DAY(XT!Y209), DAY(XT!AC209), DAY(XT!AG209)), MATCH(1, INDEX(--(MONTH(CHOOSE({1,2,3,4}, XT!U209,XT!Y209,XT!AC209,XT!AG209))=5), 0), 0)), "")</f>
        <v/>
      </c>
      <c r="S209" s="51" t="str">
        <f>IF(XT!$P209&gt;0,R209,"")</f>
        <v/>
      </c>
      <c r="T209" s="51" t="str">
        <f>IF(XT!$P209=0,R209,"")</f>
        <v/>
      </c>
      <c r="U209">
        <f>SUMPRODUCT((MONTH(CHOOSE({1,2,3,4},XT!U209,XT!Y209,XT!AC209,XT!AG209))=6)*(CHOOSE({1,2,3,4},XT!X209,XT!AB209,XT!AF209,XT!AJ209)))</f>
        <v>0</v>
      </c>
      <c r="V209" t="str">
        <f>IFERROR(INDEX(CHOOSE({1,2,3,4}, DAY(XT!U209), DAY(XT!Y209), DAY(XT!AC209), DAY(XT!AG209)), MATCH(1, INDEX(--(MONTH(CHOOSE({1,2,3,4}, XT!U209,XT!Y209,XT!AC209,XT!AG209))=6), 0), 0)), "")</f>
        <v/>
      </c>
      <c r="W209" s="51" t="str">
        <f>IF(XT!$P209&gt;0,V209,"")</f>
        <v/>
      </c>
      <c r="X209" s="51" t="str">
        <f>IF(XT!$P209=0,V209,"")</f>
        <v/>
      </c>
      <c r="Y209">
        <f>SUMPRODUCT((MONTH(CHOOSE({1,2,3,4},XT!U209,XT!Y209,XT!AC209,XT!AG209))=7)*(CHOOSE({1,2,3,4},XT!X209,XT!AB209,XT!AF209,XT!AJ209)))</f>
        <v>0</v>
      </c>
      <c r="Z209" t="str">
        <f>IFERROR(INDEX(CHOOSE({1,2,3,4}, DAY(XT!U209), DAY(XT!Y209), DAY(XT!AC209), DAY(XT!AG209)), MATCH(1, INDEX(--(MONTH(CHOOSE({1,2,3,4}, XT!U209,XT!Y209,XT!AC209,XT!AG209))=7), 0), 0)), "")</f>
        <v/>
      </c>
      <c r="AA209" s="51" t="str">
        <f>IF(XT!$P209&gt;0,Z209,"")</f>
        <v/>
      </c>
      <c r="AB209" s="51" t="str">
        <f>IF(XT!$P209=0,Z209,"")</f>
        <v/>
      </c>
      <c r="AC209">
        <f>SUMPRODUCT((MONTH(CHOOSE({1,2,3,4},XT!U209,XT!Y209,XT!AC209,XT!AG209))=8)*(CHOOSE({1,2,3,4},XT!X209,XT!AB209,XT!AF209,XT!AJ209)))</f>
        <v>0</v>
      </c>
      <c r="AD209" t="str">
        <f>IFERROR(INDEX(CHOOSE({1,2,3,4}, DAY(XT!U209), DAY(XT!Y209), DAY(XT!AC209), DAY(XT!AG209)), MATCH(1, INDEX(--(MONTH(CHOOSE({1,2,3,4}, XT!U209,XT!Y209,XT!AC209,XT!AG209))=8), 0), 0)), "")</f>
        <v/>
      </c>
      <c r="AE209" s="51" t="str">
        <f>IF(XT!$P209&gt;0,AD209,"")</f>
        <v/>
      </c>
      <c r="AF209" s="51" t="str">
        <f>IF(XT!$P209=0,AD209,"")</f>
        <v/>
      </c>
      <c r="AG209">
        <f>SUMPRODUCT((MONTH(CHOOSE({1,2,3,4},XT!U209,XT!Y209,XT!AC209,XT!AG209))=9)*(CHOOSE({1,2,3,4},XT!X209,XT!AB209,XT!AF209,XT!AJ209)))</f>
        <v>0</v>
      </c>
      <c r="AH209" t="str">
        <f>IFERROR(INDEX(CHOOSE({1,2,3,4}, DAY(XT!U209), DAY(XT!Y209), DAY(XT!AC209), DAY(XT!AG209)), MATCH(1, INDEX(--(MONTH(CHOOSE({1,2,3,4}, XT!U209,XT!Y209,XT!AC209,XT!AG209))=9), 0), 0)), "")</f>
        <v/>
      </c>
      <c r="AI209" s="51" t="str">
        <f>IF(XT!$P209&gt;0,AH209,"")</f>
        <v/>
      </c>
      <c r="AJ209" s="51" t="str">
        <f>IF(XT!$P209=0,AH209,"")</f>
        <v/>
      </c>
      <c r="AK209">
        <f>SUMPRODUCT((MONTH(CHOOSE({1,2,3,4},XT!U209,XT!Y209,XT!AC209,XT!AG209))=10)*(CHOOSE({1,2,3,4},XT!X209,XT!AB209,XT!AF209,XT!AJ209)))</f>
        <v>0</v>
      </c>
      <c r="AL209" t="str">
        <f>IFERROR(INDEX(CHOOSE({1,2,3,4}, DAY(XT!U209), DAY(XT!Y209), DAY(XT!AC209), DAY(XT!AG209)), MATCH(1, INDEX(--(MONTH(CHOOSE({1,2,3,4}, XT!U209,XT!Y209,XT!AC209,XT!AG209))=10), 0), 0)), "")</f>
        <v/>
      </c>
      <c r="AM209" s="51" t="str">
        <f>IF(XT!$P209&gt;0,AL209,"")</f>
        <v/>
      </c>
      <c r="AN209" s="51" t="str">
        <f>IF(XT!$P209=0,AL209,"")</f>
        <v/>
      </c>
      <c r="AO209">
        <f>SUMPRODUCT((MONTH(CHOOSE({1,2,3,4},XT!U209,XT!Y209,XT!AC209,XT!AG209))=11)*(CHOOSE({1,2,3,4},XT!X209,XT!AB209,XT!AF209,XT!AJ209)))</f>
        <v>0</v>
      </c>
      <c r="AP209" t="str">
        <f>IFERROR(INDEX(CHOOSE({1,2,3,4}, DAY(XT!U209), DAY(XT!Y209), DAY(XT!AC209), DAY(XT!AG209)), MATCH(1, INDEX(--(MONTH(CHOOSE({1,2,3,4}, XT!U209,XT!Y209,XT!AC209,XT!AG209))=11), 0), 0)), "")</f>
        <v/>
      </c>
      <c r="AQ209" s="51" t="str">
        <f>IF(XT!$P209&gt;0,AP209,"")</f>
        <v/>
      </c>
      <c r="AR209" s="51" t="str">
        <f>IF(XT!$P209=0,AP209,"")</f>
        <v/>
      </c>
      <c r="AS209">
        <f>SUMPRODUCT((MONTH(CHOOSE({1,2,3,4},XT!U209,XT!Y209,XT!AC209,XT!AG209))=12)*(CHOOSE({1,2,3,4},XT!X209,XT!AB209,XT!AF209,XT!AJ209)))</f>
        <v>0</v>
      </c>
      <c r="AT209" t="str">
        <f>IFERROR(INDEX(CHOOSE({1,2,3,4}, DAY(XT!U209), DAY(XT!Y209), DAY(XT!AC209), DAY(XT!AG209)), MATCH(1, INDEX(--(MONTH(CHOOSE({1,2,3,4}, XT!U209,XT!Y209,XT!AC209,XT!AG209))=12), 0), 0)), "")</f>
        <v/>
      </c>
      <c r="AU209" s="51" t="str">
        <f>IF(XT!$P209&gt;0,AT209,"")</f>
        <v/>
      </c>
      <c r="AV209" s="51" t="str">
        <f>IF(XT!$P209=0,AT209,"")</f>
        <v/>
      </c>
    </row>
    <row r="210" spans="1:48">
      <c r="A210">
        <f>SUMPRODUCT((MONTH(CHOOSE({1,2,3,4},XT!U210,XT!Y210,XT!AC210,XT!AG210))=1)*(CHOOSE({1,2,3,4},XT!X210,XT!AB210,XT!AF210,XT!AJ210)))</f>
        <v>0</v>
      </c>
      <c r="B210">
        <f>IFERROR(INDEX(CHOOSE({1,2,3,4}, DAY(XT!U210), DAY(XT!Y210), DAY(XT!AC210), DAY(XT!AG210)), MATCH(1, INDEX(--(MONTH(CHOOSE({1,2,3,4}, XT!U210,XT!Y210,XT!AC210,XT!AG210))=1), 0), 0)), "")</f>
        <v>0</v>
      </c>
      <c r="C210" s="51" t="str">
        <f>IF(XT!$P210&gt;0,B210,"")</f>
        <v/>
      </c>
      <c r="D210" s="51">
        <f>IF(XT!$P210=0,B210,"")</f>
        <v>0</v>
      </c>
      <c r="E210">
        <f>SUMPRODUCT((MONTH(CHOOSE({1,2,3,4},XT!U210,XT!Y210,XT!AC210,XT!AG210))=2)*(CHOOSE({1,2,3,4},XT!X210,XT!AB210,XT!AF210,XT!AJ210)))</f>
        <v>0</v>
      </c>
      <c r="F210" t="str">
        <f>IFERROR(INDEX(CHOOSE({1,2,3,4}, DAY(XT!U210), DAY(XT!Y210), DAY(XT!AC210), DAY(XT!AG210)), MATCH(1, INDEX(--(MONTH(CHOOSE({1,2,3,4}, XT!U210,XT!Y210,XT!AC210,XT!AG210))=2), 0), 0)), "")</f>
        <v/>
      </c>
      <c r="G210" s="51" t="str">
        <f>IF(XT!$P210&gt;0,F210,"")</f>
        <v/>
      </c>
      <c r="H210" s="51" t="str">
        <f>IF(XT!$P210=0,F210,"")</f>
        <v/>
      </c>
      <c r="I210">
        <f>SUMPRODUCT((MONTH(CHOOSE({1,2,3,4},XT!U210,XT!Y210,XT!AC210,XT!AG210))=3)*(CHOOSE({1,2,3,4},XT!X210,XT!AB210,XT!AF210,XT!AJ210)))</f>
        <v>0</v>
      </c>
      <c r="J210" t="str">
        <f>IFERROR(INDEX(CHOOSE({1,2,3,4}, DAY(XT!U210), DAY(XT!Y210), DAY(XT!AC210), DAY(XT!AG210)), MATCH(1, INDEX(--(MONTH(CHOOSE({1,2,3,4}, XT!U210,XT!Y210,XT!AC210,XT!AG210))=3), 0), 0)), "")</f>
        <v/>
      </c>
      <c r="K210" s="51" t="str">
        <f>IF(XT!$P210&gt;0,J210,"")</f>
        <v/>
      </c>
      <c r="L210" s="51" t="str">
        <f>IF(XT!$P210=0,J210,"")</f>
        <v/>
      </c>
      <c r="M210">
        <f>SUMPRODUCT((MONTH(CHOOSE({1,2,3,4},XT!U210,XT!Y210,XT!AC210,XT!AG210))=4)*(CHOOSE({1,2,3,4},XT!X210,XT!AB210,XT!AF210,XT!AJ210)))</f>
        <v>0</v>
      </c>
      <c r="N210" t="str">
        <f>IFERROR(INDEX(CHOOSE({1,2,3,4}, DAY(XT!U210), DAY(XT!Y210), DAY(XT!AC210), DAY(XT!AG210)), MATCH(1, INDEX(--(MONTH(CHOOSE({1,2,3,4}, XT!U210,XT!Y210,XT!AC210,XT!AG210))=4), 0), 0)), "")</f>
        <v/>
      </c>
      <c r="O210" s="51" t="str">
        <f>IF(XT!$P210&gt;0,N210,"")</f>
        <v/>
      </c>
      <c r="P210" s="51" t="str">
        <f>IF(XT!$P210=0,N210,"")</f>
        <v/>
      </c>
      <c r="Q210">
        <f>SUMPRODUCT((MONTH(CHOOSE({1,2,3,4},XT!U210,XT!Y210,XT!AC210,XT!AG210))=5)*(CHOOSE({1,2,3,4},XT!X210,XT!AB210,XT!AF210,XT!AJ210)))</f>
        <v>0</v>
      </c>
      <c r="R210" t="str">
        <f>IFERROR(INDEX(CHOOSE({1,2,3,4}, DAY(XT!U210), DAY(XT!Y210), DAY(XT!AC210), DAY(XT!AG210)), MATCH(1, INDEX(--(MONTH(CHOOSE({1,2,3,4}, XT!U210,XT!Y210,XT!AC210,XT!AG210))=5), 0), 0)), "")</f>
        <v/>
      </c>
      <c r="S210" s="51" t="str">
        <f>IF(XT!$P210&gt;0,R210,"")</f>
        <v/>
      </c>
      <c r="T210" s="51" t="str">
        <f>IF(XT!$P210=0,R210,"")</f>
        <v/>
      </c>
      <c r="U210">
        <f>SUMPRODUCT((MONTH(CHOOSE({1,2,3,4},XT!U210,XT!Y210,XT!AC210,XT!AG210))=6)*(CHOOSE({1,2,3,4},XT!X210,XT!AB210,XT!AF210,XT!AJ210)))</f>
        <v>0</v>
      </c>
      <c r="V210" t="str">
        <f>IFERROR(INDEX(CHOOSE({1,2,3,4}, DAY(XT!U210), DAY(XT!Y210), DAY(XT!AC210), DAY(XT!AG210)), MATCH(1, INDEX(--(MONTH(CHOOSE({1,2,3,4}, XT!U210,XT!Y210,XT!AC210,XT!AG210))=6), 0), 0)), "")</f>
        <v/>
      </c>
      <c r="W210" s="51" t="str">
        <f>IF(XT!$P210&gt;0,V210,"")</f>
        <v/>
      </c>
      <c r="X210" s="51" t="str">
        <f>IF(XT!$P210=0,V210,"")</f>
        <v/>
      </c>
      <c r="Y210">
        <f>SUMPRODUCT((MONTH(CHOOSE({1,2,3,4},XT!U210,XT!Y210,XT!AC210,XT!AG210))=7)*(CHOOSE({1,2,3,4},XT!X210,XT!AB210,XT!AF210,XT!AJ210)))</f>
        <v>0</v>
      </c>
      <c r="Z210" t="str">
        <f>IFERROR(INDEX(CHOOSE({1,2,3,4}, DAY(XT!U210), DAY(XT!Y210), DAY(XT!AC210), DAY(XT!AG210)), MATCH(1, INDEX(--(MONTH(CHOOSE({1,2,3,4}, XT!U210,XT!Y210,XT!AC210,XT!AG210))=7), 0), 0)), "")</f>
        <v/>
      </c>
      <c r="AA210" s="51" t="str">
        <f>IF(XT!$P210&gt;0,Z210,"")</f>
        <v/>
      </c>
      <c r="AB210" s="51" t="str">
        <f>IF(XT!$P210=0,Z210,"")</f>
        <v/>
      </c>
      <c r="AC210">
        <f>SUMPRODUCT((MONTH(CHOOSE({1,2,3,4},XT!U210,XT!Y210,XT!AC210,XT!AG210))=8)*(CHOOSE({1,2,3,4},XT!X210,XT!AB210,XT!AF210,XT!AJ210)))</f>
        <v>0</v>
      </c>
      <c r="AD210" t="str">
        <f>IFERROR(INDEX(CHOOSE({1,2,3,4}, DAY(XT!U210), DAY(XT!Y210), DAY(XT!AC210), DAY(XT!AG210)), MATCH(1, INDEX(--(MONTH(CHOOSE({1,2,3,4}, XT!U210,XT!Y210,XT!AC210,XT!AG210))=8), 0), 0)), "")</f>
        <v/>
      </c>
      <c r="AE210" s="51" t="str">
        <f>IF(XT!$P210&gt;0,AD210,"")</f>
        <v/>
      </c>
      <c r="AF210" s="51" t="str">
        <f>IF(XT!$P210=0,AD210,"")</f>
        <v/>
      </c>
      <c r="AG210">
        <f>SUMPRODUCT((MONTH(CHOOSE({1,2,3,4},XT!U210,XT!Y210,XT!AC210,XT!AG210))=9)*(CHOOSE({1,2,3,4},XT!X210,XT!AB210,XT!AF210,XT!AJ210)))</f>
        <v>0</v>
      </c>
      <c r="AH210" t="str">
        <f>IFERROR(INDEX(CHOOSE({1,2,3,4}, DAY(XT!U210), DAY(XT!Y210), DAY(XT!AC210), DAY(XT!AG210)), MATCH(1, INDEX(--(MONTH(CHOOSE({1,2,3,4}, XT!U210,XT!Y210,XT!AC210,XT!AG210))=9), 0), 0)), "")</f>
        <v/>
      </c>
      <c r="AI210" s="51" t="str">
        <f>IF(XT!$P210&gt;0,AH210,"")</f>
        <v/>
      </c>
      <c r="AJ210" s="51" t="str">
        <f>IF(XT!$P210=0,AH210,"")</f>
        <v/>
      </c>
      <c r="AK210">
        <f>SUMPRODUCT((MONTH(CHOOSE({1,2,3,4},XT!U210,XT!Y210,XT!AC210,XT!AG210))=10)*(CHOOSE({1,2,3,4},XT!X210,XT!AB210,XT!AF210,XT!AJ210)))</f>
        <v>0</v>
      </c>
      <c r="AL210" t="str">
        <f>IFERROR(INDEX(CHOOSE({1,2,3,4}, DAY(XT!U210), DAY(XT!Y210), DAY(XT!AC210), DAY(XT!AG210)), MATCH(1, INDEX(--(MONTH(CHOOSE({1,2,3,4}, XT!U210,XT!Y210,XT!AC210,XT!AG210))=10), 0), 0)), "")</f>
        <v/>
      </c>
      <c r="AM210" s="51" t="str">
        <f>IF(XT!$P210&gt;0,AL210,"")</f>
        <v/>
      </c>
      <c r="AN210" s="51" t="str">
        <f>IF(XT!$P210=0,AL210,"")</f>
        <v/>
      </c>
      <c r="AO210">
        <f>SUMPRODUCT((MONTH(CHOOSE({1,2,3,4},XT!U210,XT!Y210,XT!AC210,XT!AG210))=11)*(CHOOSE({1,2,3,4},XT!X210,XT!AB210,XT!AF210,XT!AJ210)))</f>
        <v>0</v>
      </c>
      <c r="AP210" t="str">
        <f>IFERROR(INDEX(CHOOSE({1,2,3,4}, DAY(XT!U210), DAY(XT!Y210), DAY(XT!AC210), DAY(XT!AG210)), MATCH(1, INDEX(--(MONTH(CHOOSE({1,2,3,4}, XT!U210,XT!Y210,XT!AC210,XT!AG210))=11), 0), 0)), "")</f>
        <v/>
      </c>
      <c r="AQ210" s="51" t="str">
        <f>IF(XT!$P210&gt;0,AP210,"")</f>
        <v/>
      </c>
      <c r="AR210" s="51" t="str">
        <f>IF(XT!$P210=0,AP210,"")</f>
        <v/>
      </c>
      <c r="AS210">
        <f>SUMPRODUCT((MONTH(CHOOSE({1,2,3,4},XT!U210,XT!Y210,XT!AC210,XT!AG210))=12)*(CHOOSE({1,2,3,4},XT!X210,XT!AB210,XT!AF210,XT!AJ210)))</f>
        <v>0</v>
      </c>
      <c r="AT210" t="str">
        <f>IFERROR(INDEX(CHOOSE({1,2,3,4}, DAY(XT!U210), DAY(XT!Y210), DAY(XT!AC210), DAY(XT!AG210)), MATCH(1, INDEX(--(MONTH(CHOOSE({1,2,3,4}, XT!U210,XT!Y210,XT!AC210,XT!AG210))=12), 0), 0)), "")</f>
        <v/>
      </c>
      <c r="AU210" s="51" t="str">
        <f>IF(XT!$P210&gt;0,AT210,"")</f>
        <v/>
      </c>
      <c r="AV210" s="51" t="str">
        <f>IF(XT!$P210=0,AT210,"")</f>
        <v/>
      </c>
    </row>
    <row r="211" spans="1:48">
      <c r="A211">
        <f>SUMPRODUCT((MONTH(CHOOSE({1,2,3,4},XT!U211,XT!Y211,XT!AC211,XT!AG211))=1)*(CHOOSE({1,2,3,4},XT!X211,XT!AB211,XT!AF211,XT!AJ211)))</f>
        <v>0</v>
      </c>
      <c r="B211">
        <f>IFERROR(INDEX(CHOOSE({1,2,3,4}, DAY(XT!U211), DAY(XT!Y211), DAY(XT!AC211), DAY(XT!AG211)), MATCH(1, INDEX(--(MONTH(CHOOSE({1,2,3,4}, XT!U211,XT!Y211,XT!AC211,XT!AG211))=1), 0), 0)), "")</f>
        <v>0</v>
      </c>
      <c r="C211" s="51" t="str">
        <f>IF(XT!$P211&gt;0,B211,"")</f>
        <v/>
      </c>
      <c r="D211" s="51">
        <f>IF(XT!$P211=0,B211,"")</f>
        <v>0</v>
      </c>
      <c r="E211">
        <f>SUMPRODUCT((MONTH(CHOOSE({1,2,3,4},XT!U211,XT!Y211,XT!AC211,XT!AG211))=2)*(CHOOSE({1,2,3,4},XT!X211,XT!AB211,XT!AF211,XT!AJ211)))</f>
        <v>0</v>
      </c>
      <c r="F211" t="str">
        <f>IFERROR(INDEX(CHOOSE({1,2,3,4}, DAY(XT!U211), DAY(XT!Y211), DAY(XT!AC211), DAY(XT!AG211)), MATCH(1, INDEX(--(MONTH(CHOOSE({1,2,3,4}, XT!U211,XT!Y211,XT!AC211,XT!AG211))=2), 0), 0)), "")</f>
        <v/>
      </c>
      <c r="G211" s="51" t="str">
        <f>IF(XT!$P211&gt;0,F211,"")</f>
        <v/>
      </c>
      <c r="H211" s="51" t="str">
        <f>IF(XT!$P211=0,F211,"")</f>
        <v/>
      </c>
      <c r="I211">
        <f>SUMPRODUCT((MONTH(CHOOSE({1,2,3,4},XT!U211,XT!Y211,XT!AC211,XT!AG211))=3)*(CHOOSE({1,2,3,4},XT!X211,XT!AB211,XT!AF211,XT!AJ211)))</f>
        <v>0</v>
      </c>
      <c r="J211" t="str">
        <f>IFERROR(INDEX(CHOOSE({1,2,3,4}, DAY(XT!U211), DAY(XT!Y211), DAY(XT!AC211), DAY(XT!AG211)), MATCH(1, INDEX(--(MONTH(CHOOSE({1,2,3,4}, XT!U211,XT!Y211,XT!AC211,XT!AG211))=3), 0), 0)), "")</f>
        <v/>
      </c>
      <c r="K211" s="51" t="str">
        <f>IF(XT!$P211&gt;0,J211,"")</f>
        <v/>
      </c>
      <c r="L211" s="51" t="str">
        <f>IF(XT!$P211=0,J211,"")</f>
        <v/>
      </c>
      <c r="M211">
        <f>SUMPRODUCT((MONTH(CHOOSE({1,2,3,4},XT!U211,XT!Y211,XT!AC211,XT!AG211))=4)*(CHOOSE({1,2,3,4},XT!X211,XT!AB211,XT!AF211,XT!AJ211)))</f>
        <v>0</v>
      </c>
      <c r="N211" t="str">
        <f>IFERROR(INDEX(CHOOSE({1,2,3,4}, DAY(XT!U211), DAY(XT!Y211), DAY(XT!AC211), DAY(XT!AG211)), MATCH(1, INDEX(--(MONTH(CHOOSE({1,2,3,4}, XT!U211,XT!Y211,XT!AC211,XT!AG211))=4), 0), 0)), "")</f>
        <v/>
      </c>
      <c r="O211" s="51" t="str">
        <f>IF(XT!$P211&gt;0,N211,"")</f>
        <v/>
      </c>
      <c r="P211" s="51" t="str">
        <f>IF(XT!$P211=0,N211,"")</f>
        <v/>
      </c>
      <c r="Q211">
        <f>SUMPRODUCT((MONTH(CHOOSE({1,2,3,4},XT!U211,XT!Y211,XT!AC211,XT!AG211))=5)*(CHOOSE({1,2,3,4},XT!X211,XT!AB211,XT!AF211,XT!AJ211)))</f>
        <v>0</v>
      </c>
      <c r="R211" t="str">
        <f>IFERROR(INDEX(CHOOSE({1,2,3,4}, DAY(XT!U211), DAY(XT!Y211), DAY(XT!AC211), DAY(XT!AG211)), MATCH(1, INDEX(--(MONTH(CHOOSE({1,2,3,4}, XT!U211,XT!Y211,XT!AC211,XT!AG211))=5), 0), 0)), "")</f>
        <v/>
      </c>
      <c r="S211" s="51" t="str">
        <f>IF(XT!$P211&gt;0,R211,"")</f>
        <v/>
      </c>
      <c r="T211" s="51" t="str">
        <f>IF(XT!$P211=0,R211,"")</f>
        <v/>
      </c>
      <c r="U211">
        <f>SUMPRODUCT((MONTH(CHOOSE({1,2,3,4},XT!U211,XT!Y211,XT!AC211,XT!AG211))=6)*(CHOOSE({1,2,3,4},XT!X211,XT!AB211,XT!AF211,XT!AJ211)))</f>
        <v>0</v>
      </c>
      <c r="V211" t="str">
        <f>IFERROR(INDEX(CHOOSE({1,2,3,4}, DAY(XT!U211), DAY(XT!Y211), DAY(XT!AC211), DAY(XT!AG211)), MATCH(1, INDEX(--(MONTH(CHOOSE({1,2,3,4}, XT!U211,XT!Y211,XT!AC211,XT!AG211))=6), 0), 0)), "")</f>
        <v/>
      </c>
      <c r="W211" s="51" t="str">
        <f>IF(XT!$P211&gt;0,V211,"")</f>
        <v/>
      </c>
      <c r="X211" s="51" t="str">
        <f>IF(XT!$P211=0,V211,"")</f>
        <v/>
      </c>
      <c r="Y211">
        <f>SUMPRODUCT((MONTH(CHOOSE({1,2,3,4},XT!U211,XT!Y211,XT!AC211,XT!AG211))=7)*(CHOOSE({1,2,3,4},XT!X211,XT!AB211,XT!AF211,XT!AJ211)))</f>
        <v>0</v>
      </c>
      <c r="Z211" t="str">
        <f>IFERROR(INDEX(CHOOSE({1,2,3,4}, DAY(XT!U211), DAY(XT!Y211), DAY(XT!AC211), DAY(XT!AG211)), MATCH(1, INDEX(--(MONTH(CHOOSE({1,2,3,4}, XT!U211,XT!Y211,XT!AC211,XT!AG211))=7), 0), 0)), "")</f>
        <v/>
      </c>
      <c r="AA211" s="51" t="str">
        <f>IF(XT!$P211&gt;0,Z211,"")</f>
        <v/>
      </c>
      <c r="AB211" s="51" t="str">
        <f>IF(XT!$P211=0,Z211,"")</f>
        <v/>
      </c>
      <c r="AC211">
        <f>SUMPRODUCT((MONTH(CHOOSE({1,2,3,4},XT!U211,XT!Y211,XT!AC211,XT!AG211))=8)*(CHOOSE({1,2,3,4},XT!X211,XT!AB211,XT!AF211,XT!AJ211)))</f>
        <v>0</v>
      </c>
      <c r="AD211" t="str">
        <f>IFERROR(INDEX(CHOOSE({1,2,3,4}, DAY(XT!U211), DAY(XT!Y211), DAY(XT!AC211), DAY(XT!AG211)), MATCH(1, INDEX(--(MONTH(CHOOSE({1,2,3,4}, XT!U211,XT!Y211,XT!AC211,XT!AG211))=8), 0), 0)), "")</f>
        <v/>
      </c>
      <c r="AE211" s="51" t="str">
        <f>IF(XT!$P211&gt;0,AD211,"")</f>
        <v/>
      </c>
      <c r="AF211" s="51" t="str">
        <f>IF(XT!$P211=0,AD211,"")</f>
        <v/>
      </c>
      <c r="AG211">
        <f>SUMPRODUCT((MONTH(CHOOSE({1,2,3,4},XT!U211,XT!Y211,XT!AC211,XT!AG211))=9)*(CHOOSE({1,2,3,4},XT!X211,XT!AB211,XT!AF211,XT!AJ211)))</f>
        <v>0</v>
      </c>
      <c r="AH211" t="str">
        <f>IFERROR(INDEX(CHOOSE({1,2,3,4}, DAY(XT!U211), DAY(XT!Y211), DAY(XT!AC211), DAY(XT!AG211)), MATCH(1, INDEX(--(MONTH(CHOOSE({1,2,3,4}, XT!U211,XT!Y211,XT!AC211,XT!AG211))=9), 0), 0)), "")</f>
        <v/>
      </c>
      <c r="AI211" s="51" t="str">
        <f>IF(XT!$P211&gt;0,AH211,"")</f>
        <v/>
      </c>
      <c r="AJ211" s="51" t="str">
        <f>IF(XT!$P211=0,AH211,"")</f>
        <v/>
      </c>
      <c r="AK211">
        <f>SUMPRODUCT((MONTH(CHOOSE({1,2,3,4},XT!U211,XT!Y211,XT!AC211,XT!AG211))=10)*(CHOOSE({1,2,3,4},XT!X211,XT!AB211,XT!AF211,XT!AJ211)))</f>
        <v>0</v>
      </c>
      <c r="AL211" t="str">
        <f>IFERROR(INDEX(CHOOSE({1,2,3,4}, DAY(XT!U211), DAY(XT!Y211), DAY(XT!AC211), DAY(XT!AG211)), MATCH(1, INDEX(--(MONTH(CHOOSE({1,2,3,4}, XT!U211,XT!Y211,XT!AC211,XT!AG211))=10), 0), 0)), "")</f>
        <v/>
      </c>
      <c r="AM211" s="51" t="str">
        <f>IF(XT!$P211&gt;0,AL211,"")</f>
        <v/>
      </c>
      <c r="AN211" s="51" t="str">
        <f>IF(XT!$P211=0,AL211,"")</f>
        <v/>
      </c>
      <c r="AO211">
        <f>SUMPRODUCT((MONTH(CHOOSE({1,2,3,4},XT!U211,XT!Y211,XT!AC211,XT!AG211))=11)*(CHOOSE({1,2,3,4},XT!X211,XT!AB211,XT!AF211,XT!AJ211)))</f>
        <v>0</v>
      </c>
      <c r="AP211" t="str">
        <f>IFERROR(INDEX(CHOOSE({1,2,3,4}, DAY(XT!U211), DAY(XT!Y211), DAY(XT!AC211), DAY(XT!AG211)), MATCH(1, INDEX(--(MONTH(CHOOSE({1,2,3,4}, XT!U211,XT!Y211,XT!AC211,XT!AG211))=11), 0), 0)), "")</f>
        <v/>
      </c>
      <c r="AQ211" s="51" t="str">
        <f>IF(XT!$P211&gt;0,AP211,"")</f>
        <v/>
      </c>
      <c r="AR211" s="51" t="str">
        <f>IF(XT!$P211=0,AP211,"")</f>
        <v/>
      </c>
      <c r="AS211">
        <f>SUMPRODUCT((MONTH(CHOOSE({1,2,3,4},XT!U211,XT!Y211,XT!AC211,XT!AG211))=12)*(CHOOSE({1,2,3,4},XT!X211,XT!AB211,XT!AF211,XT!AJ211)))</f>
        <v>0</v>
      </c>
      <c r="AT211" t="str">
        <f>IFERROR(INDEX(CHOOSE({1,2,3,4}, DAY(XT!U211), DAY(XT!Y211), DAY(XT!AC211), DAY(XT!AG211)), MATCH(1, INDEX(--(MONTH(CHOOSE({1,2,3,4}, XT!U211,XT!Y211,XT!AC211,XT!AG211))=12), 0), 0)), "")</f>
        <v/>
      </c>
      <c r="AU211" s="51" t="str">
        <f>IF(XT!$P211&gt;0,AT211,"")</f>
        <v/>
      </c>
      <c r="AV211" s="51" t="str">
        <f>IF(XT!$P211=0,AT211,"")</f>
        <v/>
      </c>
    </row>
    <row r="212" spans="1:48">
      <c r="A212">
        <f>SUMPRODUCT((MONTH(CHOOSE({1,2,3,4},XT!U212,XT!Y212,XT!AC212,XT!AG212))=1)*(CHOOSE({1,2,3,4},XT!X212,XT!AB212,XT!AF212,XT!AJ212)))</f>
        <v>0</v>
      </c>
      <c r="B212">
        <f>IFERROR(INDEX(CHOOSE({1,2,3,4}, DAY(XT!U212), DAY(XT!Y212), DAY(XT!AC212), DAY(XT!AG212)), MATCH(1, INDEX(--(MONTH(CHOOSE({1,2,3,4}, XT!U212,XT!Y212,XT!AC212,XT!AG212))=1), 0), 0)), "")</f>
        <v>0</v>
      </c>
      <c r="C212" s="51" t="str">
        <f>IF(XT!$P212&gt;0,B212,"")</f>
        <v/>
      </c>
      <c r="D212" s="51">
        <f>IF(XT!$P212=0,B212,"")</f>
        <v>0</v>
      </c>
      <c r="E212">
        <f>SUMPRODUCT((MONTH(CHOOSE({1,2,3,4},XT!U212,XT!Y212,XT!AC212,XT!AG212))=2)*(CHOOSE({1,2,3,4},XT!X212,XT!AB212,XT!AF212,XT!AJ212)))</f>
        <v>0</v>
      </c>
      <c r="F212" t="str">
        <f>IFERROR(INDEX(CHOOSE({1,2,3,4}, DAY(XT!U212), DAY(XT!Y212), DAY(XT!AC212), DAY(XT!AG212)), MATCH(1, INDEX(--(MONTH(CHOOSE({1,2,3,4}, XT!U212,XT!Y212,XT!AC212,XT!AG212))=2), 0), 0)), "")</f>
        <v/>
      </c>
      <c r="G212" s="51" t="str">
        <f>IF(XT!$P212&gt;0,F212,"")</f>
        <v/>
      </c>
      <c r="H212" s="51" t="str">
        <f>IF(XT!$P212=0,F212,"")</f>
        <v/>
      </c>
      <c r="I212">
        <f>SUMPRODUCT((MONTH(CHOOSE({1,2,3,4},XT!U212,XT!Y212,XT!AC212,XT!AG212))=3)*(CHOOSE({1,2,3,4},XT!X212,XT!AB212,XT!AF212,XT!AJ212)))</f>
        <v>0</v>
      </c>
      <c r="J212" t="str">
        <f>IFERROR(INDEX(CHOOSE({1,2,3,4}, DAY(XT!U212), DAY(XT!Y212), DAY(XT!AC212), DAY(XT!AG212)), MATCH(1, INDEX(--(MONTH(CHOOSE({1,2,3,4}, XT!U212,XT!Y212,XT!AC212,XT!AG212))=3), 0), 0)), "")</f>
        <v/>
      </c>
      <c r="K212" s="51" t="str">
        <f>IF(XT!$P212&gt;0,J212,"")</f>
        <v/>
      </c>
      <c r="L212" s="51" t="str">
        <f>IF(XT!$P212=0,J212,"")</f>
        <v/>
      </c>
      <c r="M212">
        <f>SUMPRODUCT((MONTH(CHOOSE({1,2,3,4},XT!U212,XT!Y212,XT!AC212,XT!AG212))=4)*(CHOOSE({1,2,3,4},XT!X212,XT!AB212,XT!AF212,XT!AJ212)))</f>
        <v>0</v>
      </c>
      <c r="N212" t="str">
        <f>IFERROR(INDEX(CHOOSE({1,2,3,4}, DAY(XT!U212), DAY(XT!Y212), DAY(XT!AC212), DAY(XT!AG212)), MATCH(1, INDEX(--(MONTH(CHOOSE({1,2,3,4}, XT!U212,XT!Y212,XT!AC212,XT!AG212))=4), 0), 0)), "")</f>
        <v/>
      </c>
      <c r="O212" s="51" t="str">
        <f>IF(XT!$P212&gt;0,N212,"")</f>
        <v/>
      </c>
      <c r="P212" s="51" t="str">
        <f>IF(XT!$P212=0,N212,"")</f>
        <v/>
      </c>
      <c r="Q212">
        <f>SUMPRODUCT((MONTH(CHOOSE({1,2,3,4},XT!U212,XT!Y212,XT!AC212,XT!AG212))=5)*(CHOOSE({1,2,3,4},XT!X212,XT!AB212,XT!AF212,XT!AJ212)))</f>
        <v>0</v>
      </c>
      <c r="R212" t="str">
        <f>IFERROR(INDEX(CHOOSE({1,2,3,4}, DAY(XT!U212), DAY(XT!Y212), DAY(XT!AC212), DAY(XT!AG212)), MATCH(1, INDEX(--(MONTH(CHOOSE({1,2,3,4}, XT!U212,XT!Y212,XT!AC212,XT!AG212))=5), 0), 0)), "")</f>
        <v/>
      </c>
      <c r="S212" s="51" t="str">
        <f>IF(XT!$P212&gt;0,R212,"")</f>
        <v/>
      </c>
      <c r="T212" s="51" t="str">
        <f>IF(XT!$P212=0,R212,"")</f>
        <v/>
      </c>
      <c r="U212">
        <f>SUMPRODUCT((MONTH(CHOOSE({1,2,3,4},XT!U212,XT!Y212,XT!AC212,XT!AG212))=6)*(CHOOSE({1,2,3,4},XT!X212,XT!AB212,XT!AF212,XT!AJ212)))</f>
        <v>0</v>
      </c>
      <c r="V212" t="str">
        <f>IFERROR(INDEX(CHOOSE({1,2,3,4}, DAY(XT!U212), DAY(XT!Y212), DAY(XT!AC212), DAY(XT!AG212)), MATCH(1, INDEX(--(MONTH(CHOOSE({1,2,3,4}, XT!U212,XT!Y212,XT!AC212,XT!AG212))=6), 0), 0)), "")</f>
        <v/>
      </c>
      <c r="W212" s="51" t="str">
        <f>IF(XT!$P212&gt;0,V212,"")</f>
        <v/>
      </c>
      <c r="X212" s="51" t="str">
        <f>IF(XT!$P212=0,V212,"")</f>
        <v/>
      </c>
      <c r="Y212">
        <f>SUMPRODUCT((MONTH(CHOOSE({1,2,3,4},XT!U212,XT!Y212,XT!AC212,XT!AG212))=7)*(CHOOSE({1,2,3,4},XT!X212,XT!AB212,XT!AF212,XT!AJ212)))</f>
        <v>0</v>
      </c>
      <c r="Z212" t="str">
        <f>IFERROR(INDEX(CHOOSE({1,2,3,4}, DAY(XT!U212), DAY(XT!Y212), DAY(XT!AC212), DAY(XT!AG212)), MATCH(1, INDEX(--(MONTH(CHOOSE({1,2,3,4}, XT!U212,XT!Y212,XT!AC212,XT!AG212))=7), 0), 0)), "")</f>
        <v/>
      </c>
      <c r="AA212" s="51" t="str">
        <f>IF(XT!$P212&gt;0,Z212,"")</f>
        <v/>
      </c>
      <c r="AB212" s="51" t="str">
        <f>IF(XT!$P212=0,Z212,"")</f>
        <v/>
      </c>
      <c r="AC212">
        <f>SUMPRODUCT((MONTH(CHOOSE({1,2,3,4},XT!U212,XT!Y212,XT!AC212,XT!AG212))=8)*(CHOOSE({1,2,3,4},XT!X212,XT!AB212,XT!AF212,XT!AJ212)))</f>
        <v>0</v>
      </c>
      <c r="AD212" t="str">
        <f>IFERROR(INDEX(CHOOSE({1,2,3,4}, DAY(XT!U212), DAY(XT!Y212), DAY(XT!AC212), DAY(XT!AG212)), MATCH(1, INDEX(--(MONTH(CHOOSE({1,2,3,4}, XT!U212,XT!Y212,XT!AC212,XT!AG212))=8), 0), 0)), "")</f>
        <v/>
      </c>
      <c r="AE212" s="51" t="str">
        <f>IF(XT!$P212&gt;0,AD212,"")</f>
        <v/>
      </c>
      <c r="AF212" s="51" t="str">
        <f>IF(XT!$P212=0,AD212,"")</f>
        <v/>
      </c>
      <c r="AG212">
        <f>SUMPRODUCT((MONTH(CHOOSE({1,2,3,4},XT!U212,XT!Y212,XT!AC212,XT!AG212))=9)*(CHOOSE({1,2,3,4},XT!X212,XT!AB212,XT!AF212,XT!AJ212)))</f>
        <v>0</v>
      </c>
      <c r="AH212" t="str">
        <f>IFERROR(INDEX(CHOOSE({1,2,3,4}, DAY(XT!U212), DAY(XT!Y212), DAY(XT!AC212), DAY(XT!AG212)), MATCH(1, INDEX(--(MONTH(CHOOSE({1,2,3,4}, XT!U212,XT!Y212,XT!AC212,XT!AG212))=9), 0), 0)), "")</f>
        <v/>
      </c>
      <c r="AI212" s="51" t="str">
        <f>IF(XT!$P212&gt;0,AH212,"")</f>
        <v/>
      </c>
      <c r="AJ212" s="51" t="str">
        <f>IF(XT!$P212=0,AH212,"")</f>
        <v/>
      </c>
      <c r="AK212">
        <f>SUMPRODUCT((MONTH(CHOOSE({1,2,3,4},XT!U212,XT!Y212,XT!AC212,XT!AG212))=10)*(CHOOSE({1,2,3,4},XT!X212,XT!AB212,XT!AF212,XT!AJ212)))</f>
        <v>0</v>
      </c>
      <c r="AL212" t="str">
        <f>IFERROR(INDEX(CHOOSE({1,2,3,4}, DAY(XT!U212), DAY(XT!Y212), DAY(XT!AC212), DAY(XT!AG212)), MATCH(1, INDEX(--(MONTH(CHOOSE({1,2,3,4}, XT!U212,XT!Y212,XT!AC212,XT!AG212))=10), 0), 0)), "")</f>
        <v/>
      </c>
      <c r="AM212" s="51" t="str">
        <f>IF(XT!$P212&gt;0,AL212,"")</f>
        <v/>
      </c>
      <c r="AN212" s="51" t="str">
        <f>IF(XT!$P212=0,AL212,"")</f>
        <v/>
      </c>
      <c r="AO212">
        <f>SUMPRODUCT((MONTH(CHOOSE({1,2,3,4},XT!U212,XT!Y212,XT!AC212,XT!AG212))=11)*(CHOOSE({1,2,3,4},XT!X212,XT!AB212,XT!AF212,XT!AJ212)))</f>
        <v>0</v>
      </c>
      <c r="AP212" t="str">
        <f>IFERROR(INDEX(CHOOSE({1,2,3,4}, DAY(XT!U212), DAY(XT!Y212), DAY(XT!AC212), DAY(XT!AG212)), MATCH(1, INDEX(--(MONTH(CHOOSE({1,2,3,4}, XT!U212,XT!Y212,XT!AC212,XT!AG212))=11), 0), 0)), "")</f>
        <v/>
      </c>
      <c r="AQ212" s="51" t="str">
        <f>IF(XT!$P212&gt;0,AP212,"")</f>
        <v/>
      </c>
      <c r="AR212" s="51" t="str">
        <f>IF(XT!$P212=0,AP212,"")</f>
        <v/>
      </c>
      <c r="AS212">
        <f>SUMPRODUCT((MONTH(CHOOSE({1,2,3,4},XT!U212,XT!Y212,XT!AC212,XT!AG212))=12)*(CHOOSE({1,2,3,4},XT!X212,XT!AB212,XT!AF212,XT!AJ212)))</f>
        <v>0</v>
      </c>
      <c r="AT212" t="str">
        <f>IFERROR(INDEX(CHOOSE({1,2,3,4}, DAY(XT!U212), DAY(XT!Y212), DAY(XT!AC212), DAY(XT!AG212)), MATCH(1, INDEX(--(MONTH(CHOOSE({1,2,3,4}, XT!U212,XT!Y212,XT!AC212,XT!AG212))=12), 0), 0)), "")</f>
        <v/>
      </c>
      <c r="AU212" s="51" t="str">
        <f>IF(XT!$P212&gt;0,AT212,"")</f>
        <v/>
      </c>
      <c r="AV212" s="51" t="str">
        <f>IF(XT!$P212=0,AT212,"")</f>
        <v/>
      </c>
    </row>
    <row r="213" spans="1:48">
      <c r="A213">
        <f>SUMPRODUCT((MONTH(CHOOSE({1,2,3,4},XT!U213,XT!Y213,XT!AC213,XT!AG213))=1)*(CHOOSE({1,2,3,4},XT!X213,XT!AB213,XT!AF213,XT!AJ213)))</f>
        <v>0</v>
      </c>
      <c r="B213">
        <f>IFERROR(INDEX(CHOOSE({1,2,3,4}, DAY(XT!U213), DAY(XT!Y213), DAY(XT!AC213), DAY(XT!AG213)), MATCH(1, INDEX(--(MONTH(CHOOSE({1,2,3,4}, XT!U213,XT!Y213,XT!AC213,XT!AG213))=1), 0), 0)), "")</f>
        <v>0</v>
      </c>
      <c r="C213" s="51" t="str">
        <f>IF(XT!$P213&gt;0,B213,"")</f>
        <v/>
      </c>
      <c r="D213" s="51">
        <f>IF(XT!$P213=0,B213,"")</f>
        <v>0</v>
      </c>
      <c r="E213">
        <f>SUMPRODUCT((MONTH(CHOOSE({1,2,3,4},XT!U213,XT!Y213,XT!AC213,XT!AG213))=2)*(CHOOSE({1,2,3,4},XT!X213,XT!AB213,XT!AF213,XT!AJ213)))</f>
        <v>0</v>
      </c>
      <c r="F213" t="str">
        <f>IFERROR(INDEX(CHOOSE({1,2,3,4}, DAY(XT!U213), DAY(XT!Y213), DAY(XT!AC213), DAY(XT!AG213)), MATCH(1, INDEX(--(MONTH(CHOOSE({1,2,3,4}, XT!U213,XT!Y213,XT!AC213,XT!AG213))=2), 0), 0)), "")</f>
        <v/>
      </c>
      <c r="G213" s="51" t="str">
        <f>IF(XT!$P213&gt;0,F213,"")</f>
        <v/>
      </c>
      <c r="H213" s="51" t="str">
        <f>IF(XT!$P213=0,F213,"")</f>
        <v/>
      </c>
      <c r="I213">
        <f>SUMPRODUCT((MONTH(CHOOSE({1,2,3,4},XT!U213,XT!Y213,XT!AC213,XT!AG213))=3)*(CHOOSE({1,2,3,4},XT!X213,XT!AB213,XT!AF213,XT!AJ213)))</f>
        <v>0</v>
      </c>
      <c r="J213" t="str">
        <f>IFERROR(INDEX(CHOOSE({1,2,3,4}, DAY(XT!U213), DAY(XT!Y213), DAY(XT!AC213), DAY(XT!AG213)), MATCH(1, INDEX(--(MONTH(CHOOSE({1,2,3,4}, XT!U213,XT!Y213,XT!AC213,XT!AG213))=3), 0), 0)), "")</f>
        <v/>
      </c>
      <c r="K213" s="51" t="str">
        <f>IF(XT!$P213&gt;0,J213,"")</f>
        <v/>
      </c>
      <c r="L213" s="51" t="str">
        <f>IF(XT!$P213=0,J213,"")</f>
        <v/>
      </c>
      <c r="M213">
        <f>SUMPRODUCT((MONTH(CHOOSE({1,2,3,4},XT!U213,XT!Y213,XT!AC213,XT!AG213))=4)*(CHOOSE({1,2,3,4},XT!X213,XT!AB213,XT!AF213,XT!AJ213)))</f>
        <v>0</v>
      </c>
      <c r="N213" t="str">
        <f>IFERROR(INDEX(CHOOSE({1,2,3,4}, DAY(XT!U213), DAY(XT!Y213), DAY(XT!AC213), DAY(XT!AG213)), MATCH(1, INDEX(--(MONTH(CHOOSE({1,2,3,4}, XT!U213,XT!Y213,XT!AC213,XT!AG213))=4), 0), 0)), "")</f>
        <v/>
      </c>
      <c r="O213" s="51" t="str">
        <f>IF(XT!$P213&gt;0,N213,"")</f>
        <v/>
      </c>
      <c r="P213" s="51" t="str">
        <f>IF(XT!$P213=0,N213,"")</f>
        <v/>
      </c>
      <c r="Q213">
        <f>SUMPRODUCT((MONTH(CHOOSE({1,2,3,4},XT!U213,XT!Y213,XT!AC213,XT!AG213))=5)*(CHOOSE({1,2,3,4},XT!X213,XT!AB213,XT!AF213,XT!AJ213)))</f>
        <v>0</v>
      </c>
      <c r="R213" t="str">
        <f>IFERROR(INDEX(CHOOSE({1,2,3,4}, DAY(XT!U213), DAY(XT!Y213), DAY(XT!AC213), DAY(XT!AG213)), MATCH(1, INDEX(--(MONTH(CHOOSE({1,2,3,4}, XT!U213,XT!Y213,XT!AC213,XT!AG213))=5), 0), 0)), "")</f>
        <v/>
      </c>
      <c r="S213" s="51" t="str">
        <f>IF(XT!$P213&gt;0,R213,"")</f>
        <v/>
      </c>
      <c r="T213" s="51" t="str">
        <f>IF(XT!$P213=0,R213,"")</f>
        <v/>
      </c>
      <c r="U213">
        <f>SUMPRODUCT((MONTH(CHOOSE({1,2,3,4},XT!U213,XT!Y213,XT!AC213,XT!AG213))=6)*(CHOOSE({1,2,3,4},XT!X213,XT!AB213,XT!AF213,XT!AJ213)))</f>
        <v>0</v>
      </c>
      <c r="V213" t="str">
        <f>IFERROR(INDEX(CHOOSE({1,2,3,4}, DAY(XT!U213), DAY(XT!Y213), DAY(XT!AC213), DAY(XT!AG213)), MATCH(1, INDEX(--(MONTH(CHOOSE({1,2,3,4}, XT!U213,XT!Y213,XT!AC213,XT!AG213))=6), 0), 0)), "")</f>
        <v/>
      </c>
      <c r="W213" s="51" t="str">
        <f>IF(XT!$P213&gt;0,V213,"")</f>
        <v/>
      </c>
      <c r="X213" s="51" t="str">
        <f>IF(XT!$P213=0,V213,"")</f>
        <v/>
      </c>
      <c r="Y213">
        <f>SUMPRODUCT((MONTH(CHOOSE({1,2,3,4},XT!U213,XT!Y213,XT!AC213,XT!AG213))=7)*(CHOOSE({1,2,3,4},XT!X213,XT!AB213,XT!AF213,XT!AJ213)))</f>
        <v>0</v>
      </c>
      <c r="Z213" t="str">
        <f>IFERROR(INDEX(CHOOSE({1,2,3,4}, DAY(XT!U213), DAY(XT!Y213), DAY(XT!AC213), DAY(XT!AG213)), MATCH(1, INDEX(--(MONTH(CHOOSE({1,2,3,4}, XT!U213,XT!Y213,XT!AC213,XT!AG213))=7), 0), 0)), "")</f>
        <v/>
      </c>
      <c r="AA213" s="51" t="str">
        <f>IF(XT!$P213&gt;0,Z213,"")</f>
        <v/>
      </c>
      <c r="AB213" s="51" t="str">
        <f>IF(XT!$P213=0,Z213,"")</f>
        <v/>
      </c>
      <c r="AC213">
        <f>SUMPRODUCT((MONTH(CHOOSE({1,2,3,4},XT!U213,XT!Y213,XT!AC213,XT!AG213))=8)*(CHOOSE({1,2,3,4},XT!X213,XT!AB213,XT!AF213,XT!AJ213)))</f>
        <v>0</v>
      </c>
      <c r="AD213" t="str">
        <f>IFERROR(INDEX(CHOOSE({1,2,3,4}, DAY(XT!U213), DAY(XT!Y213), DAY(XT!AC213), DAY(XT!AG213)), MATCH(1, INDEX(--(MONTH(CHOOSE({1,2,3,4}, XT!U213,XT!Y213,XT!AC213,XT!AG213))=8), 0), 0)), "")</f>
        <v/>
      </c>
      <c r="AE213" s="51" t="str">
        <f>IF(XT!$P213&gt;0,AD213,"")</f>
        <v/>
      </c>
      <c r="AF213" s="51" t="str">
        <f>IF(XT!$P213=0,AD213,"")</f>
        <v/>
      </c>
      <c r="AG213">
        <f>SUMPRODUCT((MONTH(CHOOSE({1,2,3,4},XT!U213,XT!Y213,XT!AC213,XT!AG213))=9)*(CHOOSE({1,2,3,4},XT!X213,XT!AB213,XT!AF213,XT!AJ213)))</f>
        <v>0</v>
      </c>
      <c r="AH213" t="str">
        <f>IFERROR(INDEX(CHOOSE({1,2,3,4}, DAY(XT!U213), DAY(XT!Y213), DAY(XT!AC213), DAY(XT!AG213)), MATCH(1, INDEX(--(MONTH(CHOOSE({1,2,3,4}, XT!U213,XT!Y213,XT!AC213,XT!AG213))=9), 0), 0)), "")</f>
        <v/>
      </c>
      <c r="AI213" s="51" t="str">
        <f>IF(XT!$P213&gt;0,AH213,"")</f>
        <v/>
      </c>
      <c r="AJ213" s="51" t="str">
        <f>IF(XT!$P213=0,AH213,"")</f>
        <v/>
      </c>
      <c r="AK213">
        <f>SUMPRODUCT((MONTH(CHOOSE({1,2,3,4},XT!U213,XT!Y213,XT!AC213,XT!AG213))=10)*(CHOOSE({1,2,3,4},XT!X213,XT!AB213,XT!AF213,XT!AJ213)))</f>
        <v>0</v>
      </c>
      <c r="AL213" t="str">
        <f>IFERROR(INDEX(CHOOSE({1,2,3,4}, DAY(XT!U213), DAY(XT!Y213), DAY(XT!AC213), DAY(XT!AG213)), MATCH(1, INDEX(--(MONTH(CHOOSE({1,2,3,4}, XT!U213,XT!Y213,XT!AC213,XT!AG213))=10), 0), 0)), "")</f>
        <v/>
      </c>
      <c r="AM213" s="51" t="str">
        <f>IF(XT!$P213&gt;0,AL213,"")</f>
        <v/>
      </c>
      <c r="AN213" s="51" t="str">
        <f>IF(XT!$P213=0,AL213,"")</f>
        <v/>
      </c>
      <c r="AO213">
        <f>SUMPRODUCT((MONTH(CHOOSE({1,2,3,4},XT!U213,XT!Y213,XT!AC213,XT!AG213))=11)*(CHOOSE({1,2,3,4},XT!X213,XT!AB213,XT!AF213,XT!AJ213)))</f>
        <v>0</v>
      </c>
      <c r="AP213" t="str">
        <f>IFERROR(INDEX(CHOOSE({1,2,3,4}, DAY(XT!U213), DAY(XT!Y213), DAY(XT!AC213), DAY(XT!AG213)), MATCH(1, INDEX(--(MONTH(CHOOSE({1,2,3,4}, XT!U213,XT!Y213,XT!AC213,XT!AG213))=11), 0), 0)), "")</f>
        <v/>
      </c>
      <c r="AQ213" s="51" t="str">
        <f>IF(XT!$P213&gt;0,AP213,"")</f>
        <v/>
      </c>
      <c r="AR213" s="51" t="str">
        <f>IF(XT!$P213=0,AP213,"")</f>
        <v/>
      </c>
      <c r="AS213">
        <f>SUMPRODUCT((MONTH(CHOOSE({1,2,3,4},XT!U213,XT!Y213,XT!AC213,XT!AG213))=12)*(CHOOSE({1,2,3,4},XT!X213,XT!AB213,XT!AF213,XT!AJ213)))</f>
        <v>0</v>
      </c>
      <c r="AT213" t="str">
        <f>IFERROR(INDEX(CHOOSE({1,2,3,4}, DAY(XT!U213), DAY(XT!Y213), DAY(XT!AC213), DAY(XT!AG213)), MATCH(1, INDEX(--(MONTH(CHOOSE({1,2,3,4}, XT!U213,XT!Y213,XT!AC213,XT!AG213))=12), 0), 0)), "")</f>
        <v/>
      </c>
      <c r="AU213" s="51" t="str">
        <f>IF(XT!$P213&gt;0,AT213,"")</f>
        <v/>
      </c>
      <c r="AV213" s="51" t="str">
        <f>IF(XT!$P213=0,AT213,"")</f>
        <v/>
      </c>
    </row>
    <row r="214" spans="1:48">
      <c r="A214">
        <f>SUMPRODUCT((MONTH(CHOOSE({1,2,3,4},XT!U214,XT!Y214,XT!AC214,XT!AG214))=1)*(CHOOSE({1,2,3,4},XT!X214,XT!AB214,XT!AF214,XT!AJ214)))</f>
        <v>0</v>
      </c>
      <c r="B214">
        <f>IFERROR(INDEX(CHOOSE({1,2,3,4}, DAY(XT!U214), DAY(XT!Y214), DAY(XT!AC214), DAY(XT!AG214)), MATCH(1, INDEX(--(MONTH(CHOOSE({1,2,3,4}, XT!U214,XT!Y214,XT!AC214,XT!AG214))=1), 0), 0)), "")</f>
        <v>0</v>
      </c>
      <c r="C214" s="51" t="str">
        <f>IF(XT!$P214&gt;0,B214,"")</f>
        <v/>
      </c>
      <c r="D214" s="51">
        <f>IF(XT!$P214=0,B214,"")</f>
        <v>0</v>
      </c>
      <c r="E214">
        <f>SUMPRODUCT((MONTH(CHOOSE({1,2,3,4},XT!U214,XT!Y214,XT!AC214,XT!AG214))=2)*(CHOOSE({1,2,3,4},XT!X214,XT!AB214,XT!AF214,XT!AJ214)))</f>
        <v>0</v>
      </c>
      <c r="F214" t="str">
        <f>IFERROR(INDEX(CHOOSE({1,2,3,4}, DAY(XT!U214), DAY(XT!Y214), DAY(XT!AC214), DAY(XT!AG214)), MATCH(1, INDEX(--(MONTH(CHOOSE({1,2,3,4}, XT!U214,XT!Y214,XT!AC214,XT!AG214))=2), 0), 0)), "")</f>
        <v/>
      </c>
      <c r="G214" s="51" t="str">
        <f>IF(XT!$P214&gt;0,F214,"")</f>
        <v/>
      </c>
      <c r="H214" s="51" t="str">
        <f>IF(XT!$P214=0,F214,"")</f>
        <v/>
      </c>
      <c r="I214">
        <f>SUMPRODUCT((MONTH(CHOOSE({1,2,3,4},XT!U214,XT!Y214,XT!AC214,XT!AG214))=3)*(CHOOSE({1,2,3,4},XT!X214,XT!AB214,XT!AF214,XT!AJ214)))</f>
        <v>0</v>
      </c>
      <c r="J214" t="str">
        <f>IFERROR(INDEX(CHOOSE({1,2,3,4}, DAY(XT!U214), DAY(XT!Y214), DAY(XT!AC214), DAY(XT!AG214)), MATCH(1, INDEX(--(MONTH(CHOOSE({1,2,3,4}, XT!U214,XT!Y214,XT!AC214,XT!AG214))=3), 0), 0)), "")</f>
        <v/>
      </c>
      <c r="K214" s="51" t="str">
        <f>IF(XT!$P214&gt;0,J214,"")</f>
        <v/>
      </c>
      <c r="L214" s="51" t="str">
        <f>IF(XT!$P214=0,J214,"")</f>
        <v/>
      </c>
      <c r="M214">
        <f>SUMPRODUCT((MONTH(CHOOSE({1,2,3,4},XT!U214,XT!Y214,XT!AC214,XT!AG214))=4)*(CHOOSE({1,2,3,4},XT!X214,XT!AB214,XT!AF214,XT!AJ214)))</f>
        <v>0</v>
      </c>
      <c r="N214" t="str">
        <f>IFERROR(INDEX(CHOOSE({1,2,3,4}, DAY(XT!U214), DAY(XT!Y214), DAY(XT!AC214), DAY(XT!AG214)), MATCH(1, INDEX(--(MONTH(CHOOSE({1,2,3,4}, XT!U214,XT!Y214,XT!AC214,XT!AG214))=4), 0), 0)), "")</f>
        <v/>
      </c>
      <c r="O214" s="51" t="str">
        <f>IF(XT!$P214&gt;0,N214,"")</f>
        <v/>
      </c>
      <c r="P214" s="51" t="str">
        <f>IF(XT!$P214=0,N214,"")</f>
        <v/>
      </c>
      <c r="Q214">
        <f>SUMPRODUCT((MONTH(CHOOSE({1,2,3,4},XT!U214,XT!Y214,XT!AC214,XT!AG214))=5)*(CHOOSE({1,2,3,4},XT!X214,XT!AB214,XT!AF214,XT!AJ214)))</f>
        <v>0</v>
      </c>
      <c r="R214" t="str">
        <f>IFERROR(INDEX(CHOOSE({1,2,3,4}, DAY(XT!U214), DAY(XT!Y214), DAY(XT!AC214), DAY(XT!AG214)), MATCH(1, INDEX(--(MONTH(CHOOSE({1,2,3,4}, XT!U214,XT!Y214,XT!AC214,XT!AG214))=5), 0), 0)), "")</f>
        <v/>
      </c>
      <c r="S214" s="51" t="str">
        <f>IF(XT!$P214&gt;0,R214,"")</f>
        <v/>
      </c>
      <c r="T214" s="51" t="str">
        <f>IF(XT!$P214=0,R214,"")</f>
        <v/>
      </c>
      <c r="U214">
        <f>SUMPRODUCT((MONTH(CHOOSE({1,2,3,4},XT!U214,XT!Y214,XT!AC214,XT!AG214))=6)*(CHOOSE({1,2,3,4},XT!X214,XT!AB214,XT!AF214,XT!AJ214)))</f>
        <v>0</v>
      </c>
      <c r="V214" t="str">
        <f>IFERROR(INDEX(CHOOSE({1,2,3,4}, DAY(XT!U214), DAY(XT!Y214), DAY(XT!AC214), DAY(XT!AG214)), MATCH(1, INDEX(--(MONTH(CHOOSE({1,2,3,4}, XT!U214,XT!Y214,XT!AC214,XT!AG214))=6), 0), 0)), "")</f>
        <v/>
      </c>
      <c r="W214" s="51" t="str">
        <f>IF(XT!$P214&gt;0,V214,"")</f>
        <v/>
      </c>
      <c r="X214" s="51" t="str">
        <f>IF(XT!$P214=0,V214,"")</f>
        <v/>
      </c>
      <c r="Y214">
        <f>SUMPRODUCT((MONTH(CHOOSE({1,2,3,4},XT!U214,XT!Y214,XT!AC214,XT!AG214))=7)*(CHOOSE({1,2,3,4},XT!X214,XT!AB214,XT!AF214,XT!AJ214)))</f>
        <v>0</v>
      </c>
      <c r="Z214" t="str">
        <f>IFERROR(INDEX(CHOOSE({1,2,3,4}, DAY(XT!U214), DAY(XT!Y214), DAY(XT!AC214), DAY(XT!AG214)), MATCH(1, INDEX(--(MONTH(CHOOSE({1,2,3,4}, XT!U214,XT!Y214,XT!AC214,XT!AG214))=7), 0), 0)), "")</f>
        <v/>
      </c>
      <c r="AA214" s="51" t="str">
        <f>IF(XT!$P214&gt;0,Z214,"")</f>
        <v/>
      </c>
      <c r="AB214" s="51" t="str">
        <f>IF(XT!$P214=0,Z214,"")</f>
        <v/>
      </c>
      <c r="AC214">
        <f>SUMPRODUCT((MONTH(CHOOSE({1,2,3,4},XT!U214,XT!Y214,XT!AC214,XT!AG214))=8)*(CHOOSE({1,2,3,4},XT!X214,XT!AB214,XT!AF214,XT!AJ214)))</f>
        <v>0</v>
      </c>
      <c r="AD214" t="str">
        <f>IFERROR(INDEX(CHOOSE({1,2,3,4}, DAY(XT!U214), DAY(XT!Y214), DAY(XT!AC214), DAY(XT!AG214)), MATCH(1, INDEX(--(MONTH(CHOOSE({1,2,3,4}, XT!U214,XT!Y214,XT!AC214,XT!AG214))=8), 0), 0)), "")</f>
        <v/>
      </c>
      <c r="AE214" s="51" t="str">
        <f>IF(XT!$P214&gt;0,AD214,"")</f>
        <v/>
      </c>
      <c r="AF214" s="51" t="str">
        <f>IF(XT!$P214=0,AD214,"")</f>
        <v/>
      </c>
      <c r="AG214">
        <f>SUMPRODUCT((MONTH(CHOOSE({1,2,3,4},XT!U214,XT!Y214,XT!AC214,XT!AG214))=9)*(CHOOSE({1,2,3,4},XT!X214,XT!AB214,XT!AF214,XT!AJ214)))</f>
        <v>0</v>
      </c>
      <c r="AH214" t="str">
        <f>IFERROR(INDEX(CHOOSE({1,2,3,4}, DAY(XT!U214), DAY(XT!Y214), DAY(XT!AC214), DAY(XT!AG214)), MATCH(1, INDEX(--(MONTH(CHOOSE({1,2,3,4}, XT!U214,XT!Y214,XT!AC214,XT!AG214))=9), 0), 0)), "")</f>
        <v/>
      </c>
      <c r="AI214" s="51" t="str">
        <f>IF(XT!$P214&gt;0,AH214,"")</f>
        <v/>
      </c>
      <c r="AJ214" s="51" t="str">
        <f>IF(XT!$P214=0,AH214,"")</f>
        <v/>
      </c>
      <c r="AK214">
        <f>SUMPRODUCT((MONTH(CHOOSE({1,2,3,4},XT!U214,XT!Y214,XT!AC214,XT!AG214))=10)*(CHOOSE({1,2,3,4},XT!X214,XT!AB214,XT!AF214,XT!AJ214)))</f>
        <v>0</v>
      </c>
      <c r="AL214" t="str">
        <f>IFERROR(INDEX(CHOOSE({1,2,3,4}, DAY(XT!U214), DAY(XT!Y214), DAY(XT!AC214), DAY(XT!AG214)), MATCH(1, INDEX(--(MONTH(CHOOSE({1,2,3,4}, XT!U214,XT!Y214,XT!AC214,XT!AG214))=10), 0), 0)), "")</f>
        <v/>
      </c>
      <c r="AM214" s="51" t="str">
        <f>IF(XT!$P214&gt;0,AL214,"")</f>
        <v/>
      </c>
      <c r="AN214" s="51" t="str">
        <f>IF(XT!$P214=0,AL214,"")</f>
        <v/>
      </c>
      <c r="AO214">
        <f>SUMPRODUCT((MONTH(CHOOSE({1,2,3,4},XT!U214,XT!Y214,XT!AC214,XT!AG214))=11)*(CHOOSE({1,2,3,4},XT!X214,XT!AB214,XT!AF214,XT!AJ214)))</f>
        <v>0</v>
      </c>
      <c r="AP214" t="str">
        <f>IFERROR(INDEX(CHOOSE({1,2,3,4}, DAY(XT!U214), DAY(XT!Y214), DAY(XT!AC214), DAY(XT!AG214)), MATCH(1, INDEX(--(MONTH(CHOOSE({1,2,3,4}, XT!U214,XT!Y214,XT!AC214,XT!AG214))=11), 0), 0)), "")</f>
        <v/>
      </c>
      <c r="AQ214" s="51" t="str">
        <f>IF(XT!$P214&gt;0,AP214,"")</f>
        <v/>
      </c>
      <c r="AR214" s="51" t="str">
        <f>IF(XT!$P214=0,AP214,"")</f>
        <v/>
      </c>
      <c r="AS214">
        <f>SUMPRODUCT((MONTH(CHOOSE({1,2,3,4},XT!U214,XT!Y214,XT!AC214,XT!AG214))=12)*(CHOOSE({1,2,3,4},XT!X214,XT!AB214,XT!AF214,XT!AJ214)))</f>
        <v>0</v>
      </c>
      <c r="AT214" t="str">
        <f>IFERROR(INDEX(CHOOSE({1,2,3,4}, DAY(XT!U214), DAY(XT!Y214), DAY(XT!AC214), DAY(XT!AG214)), MATCH(1, INDEX(--(MONTH(CHOOSE({1,2,3,4}, XT!U214,XT!Y214,XT!AC214,XT!AG214))=12), 0), 0)), "")</f>
        <v/>
      </c>
      <c r="AU214" s="51" t="str">
        <f>IF(XT!$P214&gt;0,AT214,"")</f>
        <v/>
      </c>
      <c r="AV214" s="51" t="str">
        <f>IF(XT!$P214=0,AT214,"")</f>
        <v/>
      </c>
    </row>
    <row r="215" spans="1:48">
      <c r="A215">
        <f>SUMPRODUCT((MONTH(CHOOSE({1,2,3,4},XT!U215,XT!Y215,XT!AC215,XT!AG215))=1)*(CHOOSE({1,2,3,4},XT!X215,XT!AB215,XT!AF215,XT!AJ215)))</f>
        <v>0</v>
      </c>
      <c r="B215">
        <f>IFERROR(INDEX(CHOOSE({1,2,3,4}, DAY(XT!U215), DAY(XT!Y215), DAY(XT!AC215), DAY(XT!AG215)), MATCH(1, INDEX(--(MONTH(CHOOSE({1,2,3,4}, XT!U215,XT!Y215,XT!AC215,XT!AG215))=1), 0), 0)), "")</f>
        <v>0</v>
      </c>
      <c r="C215" s="51" t="str">
        <f>IF(XT!$P215&gt;0,B215,"")</f>
        <v/>
      </c>
      <c r="D215" s="51">
        <f>IF(XT!$P215=0,B215,"")</f>
        <v>0</v>
      </c>
      <c r="E215">
        <f>SUMPRODUCT((MONTH(CHOOSE({1,2,3,4},XT!U215,XT!Y215,XT!AC215,XT!AG215))=2)*(CHOOSE({1,2,3,4},XT!X215,XT!AB215,XT!AF215,XT!AJ215)))</f>
        <v>0</v>
      </c>
      <c r="F215" t="str">
        <f>IFERROR(INDEX(CHOOSE({1,2,3,4}, DAY(XT!U215), DAY(XT!Y215), DAY(XT!AC215), DAY(XT!AG215)), MATCH(1, INDEX(--(MONTH(CHOOSE({1,2,3,4}, XT!U215,XT!Y215,XT!AC215,XT!AG215))=2), 0), 0)), "")</f>
        <v/>
      </c>
      <c r="G215" s="51" t="str">
        <f>IF(XT!$P215&gt;0,F215,"")</f>
        <v/>
      </c>
      <c r="H215" s="51" t="str">
        <f>IF(XT!$P215=0,F215,"")</f>
        <v/>
      </c>
      <c r="I215">
        <f>SUMPRODUCT((MONTH(CHOOSE({1,2,3,4},XT!U215,XT!Y215,XT!AC215,XT!AG215))=3)*(CHOOSE({1,2,3,4},XT!X215,XT!AB215,XT!AF215,XT!AJ215)))</f>
        <v>0</v>
      </c>
      <c r="J215" t="str">
        <f>IFERROR(INDEX(CHOOSE({1,2,3,4}, DAY(XT!U215), DAY(XT!Y215), DAY(XT!AC215), DAY(XT!AG215)), MATCH(1, INDEX(--(MONTH(CHOOSE({1,2,3,4}, XT!U215,XT!Y215,XT!AC215,XT!AG215))=3), 0), 0)), "")</f>
        <v/>
      </c>
      <c r="K215" s="51" t="str">
        <f>IF(XT!$P215&gt;0,J215,"")</f>
        <v/>
      </c>
      <c r="L215" s="51" t="str">
        <f>IF(XT!$P215=0,J215,"")</f>
        <v/>
      </c>
      <c r="M215">
        <f>SUMPRODUCT((MONTH(CHOOSE({1,2,3,4},XT!U215,XT!Y215,XT!AC215,XT!AG215))=4)*(CHOOSE({1,2,3,4},XT!X215,XT!AB215,XT!AF215,XT!AJ215)))</f>
        <v>0</v>
      </c>
      <c r="N215" t="str">
        <f>IFERROR(INDEX(CHOOSE({1,2,3,4}, DAY(XT!U215), DAY(XT!Y215), DAY(XT!AC215), DAY(XT!AG215)), MATCH(1, INDEX(--(MONTH(CHOOSE({1,2,3,4}, XT!U215,XT!Y215,XT!AC215,XT!AG215))=4), 0), 0)), "")</f>
        <v/>
      </c>
      <c r="O215" s="51" t="str">
        <f>IF(XT!$P215&gt;0,N215,"")</f>
        <v/>
      </c>
      <c r="P215" s="51" t="str">
        <f>IF(XT!$P215=0,N215,"")</f>
        <v/>
      </c>
      <c r="Q215">
        <f>SUMPRODUCT((MONTH(CHOOSE({1,2,3,4},XT!U215,XT!Y215,XT!AC215,XT!AG215))=5)*(CHOOSE({1,2,3,4},XT!X215,XT!AB215,XT!AF215,XT!AJ215)))</f>
        <v>0</v>
      </c>
      <c r="R215" t="str">
        <f>IFERROR(INDEX(CHOOSE({1,2,3,4}, DAY(XT!U215), DAY(XT!Y215), DAY(XT!AC215), DAY(XT!AG215)), MATCH(1, INDEX(--(MONTH(CHOOSE({1,2,3,4}, XT!U215,XT!Y215,XT!AC215,XT!AG215))=5), 0), 0)), "")</f>
        <v/>
      </c>
      <c r="S215" s="51" t="str">
        <f>IF(XT!$P215&gt;0,R215,"")</f>
        <v/>
      </c>
      <c r="T215" s="51" t="str">
        <f>IF(XT!$P215=0,R215,"")</f>
        <v/>
      </c>
      <c r="U215">
        <f>SUMPRODUCT((MONTH(CHOOSE({1,2,3,4},XT!U215,XT!Y215,XT!AC215,XT!AG215))=6)*(CHOOSE({1,2,3,4},XT!X215,XT!AB215,XT!AF215,XT!AJ215)))</f>
        <v>0</v>
      </c>
      <c r="V215" t="str">
        <f>IFERROR(INDEX(CHOOSE({1,2,3,4}, DAY(XT!U215), DAY(XT!Y215), DAY(XT!AC215), DAY(XT!AG215)), MATCH(1, INDEX(--(MONTH(CHOOSE({1,2,3,4}, XT!U215,XT!Y215,XT!AC215,XT!AG215))=6), 0), 0)), "")</f>
        <v/>
      </c>
      <c r="W215" s="51" t="str">
        <f>IF(XT!$P215&gt;0,V215,"")</f>
        <v/>
      </c>
      <c r="X215" s="51" t="str">
        <f>IF(XT!$P215=0,V215,"")</f>
        <v/>
      </c>
      <c r="Y215">
        <f>SUMPRODUCT((MONTH(CHOOSE({1,2,3,4},XT!U215,XT!Y215,XT!AC215,XT!AG215))=7)*(CHOOSE({1,2,3,4},XT!X215,XT!AB215,XT!AF215,XT!AJ215)))</f>
        <v>0</v>
      </c>
      <c r="Z215" t="str">
        <f>IFERROR(INDEX(CHOOSE({1,2,3,4}, DAY(XT!U215), DAY(XT!Y215), DAY(XT!AC215), DAY(XT!AG215)), MATCH(1, INDEX(--(MONTH(CHOOSE({1,2,3,4}, XT!U215,XT!Y215,XT!AC215,XT!AG215))=7), 0), 0)), "")</f>
        <v/>
      </c>
      <c r="AA215" s="51" t="str">
        <f>IF(XT!$P215&gt;0,Z215,"")</f>
        <v/>
      </c>
      <c r="AB215" s="51" t="str">
        <f>IF(XT!$P215=0,Z215,"")</f>
        <v/>
      </c>
      <c r="AC215">
        <f>SUMPRODUCT((MONTH(CHOOSE({1,2,3,4},XT!U215,XT!Y215,XT!AC215,XT!AG215))=8)*(CHOOSE({1,2,3,4},XT!X215,XT!AB215,XT!AF215,XT!AJ215)))</f>
        <v>0</v>
      </c>
      <c r="AD215" t="str">
        <f>IFERROR(INDEX(CHOOSE({1,2,3,4}, DAY(XT!U215), DAY(XT!Y215), DAY(XT!AC215), DAY(XT!AG215)), MATCH(1, INDEX(--(MONTH(CHOOSE({1,2,3,4}, XT!U215,XT!Y215,XT!AC215,XT!AG215))=8), 0), 0)), "")</f>
        <v/>
      </c>
      <c r="AE215" s="51" t="str">
        <f>IF(XT!$P215&gt;0,AD215,"")</f>
        <v/>
      </c>
      <c r="AF215" s="51" t="str">
        <f>IF(XT!$P215=0,AD215,"")</f>
        <v/>
      </c>
      <c r="AG215">
        <f>SUMPRODUCT((MONTH(CHOOSE({1,2,3,4},XT!U215,XT!Y215,XT!AC215,XT!AG215))=9)*(CHOOSE({1,2,3,4},XT!X215,XT!AB215,XT!AF215,XT!AJ215)))</f>
        <v>0</v>
      </c>
      <c r="AH215" t="str">
        <f>IFERROR(INDEX(CHOOSE({1,2,3,4}, DAY(XT!U215), DAY(XT!Y215), DAY(XT!AC215), DAY(XT!AG215)), MATCH(1, INDEX(--(MONTH(CHOOSE({1,2,3,4}, XT!U215,XT!Y215,XT!AC215,XT!AG215))=9), 0), 0)), "")</f>
        <v/>
      </c>
      <c r="AI215" s="51" t="str">
        <f>IF(XT!$P215&gt;0,AH215,"")</f>
        <v/>
      </c>
      <c r="AJ215" s="51" t="str">
        <f>IF(XT!$P215=0,AH215,"")</f>
        <v/>
      </c>
      <c r="AK215">
        <f>SUMPRODUCT((MONTH(CHOOSE({1,2,3,4},XT!U215,XT!Y215,XT!AC215,XT!AG215))=10)*(CHOOSE({1,2,3,4},XT!X215,XT!AB215,XT!AF215,XT!AJ215)))</f>
        <v>0</v>
      </c>
      <c r="AL215" t="str">
        <f>IFERROR(INDEX(CHOOSE({1,2,3,4}, DAY(XT!U215), DAY(XT!Y215), DAY(XT!AC215), DAY(XT!AG215)), MATCH(1, INDEX(--(MONTH(CHOOSE({1,2,3,4}, XT!U215,XT!Y215,XT!AC215,XT!AG215))=10), 0), 0)), "")</f>
        <v/>
      </c>
      <c r="AM215" s="51" t="str">
        <f>IF(XT!$P215&gt;0,AL215,"")</f>
        <v/>
      </c>
      <c r="AN215" s="51" t="str">
        <f>IF(XT!$P215=0,AL215,"")</f>
        <v/>
      </c>
      <c r="AO215">
        <f>SUMPRODUCT((MONTH(CHOOSE({1,2,3,4},XT!U215,XT!Y215,XT!AC215,XT!AG215))=11)*(CHOOSE({1,2,3,4},XT!X215,XT!AB215,XT!AF215,XT!AJ215)))</f>
        <v>0</v>
      </c>
      <c r="AP215" t="str">
        <f>IFERROR(INDEX(CHOOSE({1,2,3,4}, DAY(XT!U215), DAY(XT!Y215), DAY(XT!AC215), DAY(XT!AG215)), MATCH(1, INDEX(--(MONTH(CHOOSE({1,2,3,4}, XT!U215,XT!Y215,XT!AC215,XT!AG215))=11), 0), 0)), "")</f>
        <v/>
      </c>
      <c r="AQ215" s="51" t="str">
        <f>IF(XT!$P215&gt;0,AP215,"")</f>
        <v/>
      </c>
      <c r="AR215" s="51" t="str">
        <f>IF(XT!$P215=0,AP215,"")</f>
        <v/>
      </c>
      <c r="AS215">
        <f>SUMPRODUCT((MONTH(CHOOSE({1,2,3,4},XT!U215,XT!Y215,XT!AC215,XT!AG215))=12)*(CHOOSE({1,2,3,4},XT!X215,XT!AB215,XT!AF215,XT!AJ215)))</f>
        <v>0</v>
      </c>
      <c r="AT215" t="str">
        <f>IFERROR(INDEX(CHOOSE({1,2,3,4}, DAY(XT!U215), DAY(XT!Y215), DAY(XT!AC215), DAY(XT!AG215)), MATCH(1, INDEX(--(MONTH(CHOOSE({1,2,3,4}, XT!U215,XT!Y215,XT!AC215,XT!AG215))=12), 0), 0)), "")</f>
        <v/>
      </c>
      <c r="AU215" s="51" t="str">
        <f>IF(XT!$P215&gt;0,AT215,"")</f>
        <v/>
      </c>
      <c r="AV215" s="51" t="str">
        <f>IF(XT!$P215=0,AT215,"")</f>
        <v/>
      </c>
    </row>
    <row r="216" spans="1:48">
      <c r="A216">
        <f>SUMPRODUCT((MONTH(CHOOSE({1,2,3,4},XT!U216,XT!Y216,XT!AC216,XT!AG216))=1)*(CHOOSE({1,2,3,4},XT!X216,XT!AB216,XT!AF216,XT!AJ216)))</f>
        <v>0</v>
      </c>
      <c r="B216">
        <f>IFERROR(INDEX(CHOOSE({1,2,3,4}, DAY(XT!U216), DAY(XT!Y216), DAY(XT!AC216), DAY(XT!AG216)), MATCH(1, INDEX(--(MONTH(CHOOSE({1,2,3,4}, XT!U216,XT!Y216,XT!AC216,XT!AG216))=1), 0), 0)), "")</f>
        <v>0</v>
      </c>
      <c r="C216" s="51" t="str">
        <f>IF(XT!$P216&gt;0,B216,"")</f>
        <v/>
      </c>
      <c r="D216" s="51">
        <f>IF(XT!$P216=0,B216,"")</f>
        <v>0</v>
      </c>
      <c r="E216">
        <f>SUMPRODUCT((MONTH(CHOOSE({1,2,3,4},XT!U216,XT!Y216,XT!AC216,XT!AG216))=2)*(CHOOSE({1,2,3,4},XT!X216,XT!AB216,XT!AF216,XT!AJ216)))</f>
        <v>0</v>
      </c>
      <c r="F216" t="str">
        <f>IFERROR(INDEX(CHOOSE({1,2,3,4}, DAY(XT!U216), DAY(XT!Y216), DAY(XT!AC216), DAY(XT!AG216)), MATCH(1, INDEX(--(MONTH(CHOOSE({1,2,3,4}, XT!U216,XT!Y216,XT!AC216,XT!AG216))=2), 0), 0)), "")</f>
        <v/>
      </c>
      <c r="G216" s="51" t="str">
        <f>IF(XT!$P216&gt;0,F216,"")</f>
        <v/>
      </c>
      <c r="H216" s="51" t="str">
        <f>IF(XT!$P216=0,F216,"")</f>
        <v/>
      </c>
      <c r="I216">
        <f>SUMPRODUCT((MONTH(CHOOSE({1,2,3,4},XT!U216,XT!Y216,XT!AC216,XT!AG216))=3)*(CHOOSE({1,2,3,4},XT!X216,XT!AB216,XT!AF216,XT!AJ216)))</f>
        <v>0</v>
      </c>
      <c r="J216" t="str">
        <f>IFERROR(INDEX(CHOOSE({1,2,3,4}, DAY(XT!U216), DAY(XT!Y216), DAY(XT!AC216), DAY(XT!AG216)), MATCH(1, INDEX(--(MONTH(CHOOSE({1,2,3,4}, XT!U216,XT!Y216,XT!AC216,XT!AG216))=3), 0), 0)), "")</f>
        <v/>
      </c>
      <c r="K216" s="51" t="str">
        <f>IF(XT!$P216&gt;0,J216,"")</f>
        <v/>
      </c>
      <c r="L216" s="51" t="str">
        <f>IF(XT!$P216=0,J216,"")</f>
        <v/>
      </c>
      <c r="M216">
        <f>SUMPRODUCT((MONTH(CHOOSE({1,2,3,4},XT!U216,XT!Y216,XT!AC216,XT!AG216))=4)*(CHOOSE({1,2,3,4},XT!X216,XT!AB216,XT!AF216,XT!AJ216)))</f>
        <v>0</v>
      </c>
      <c r="N216" t="str">
        <f>IFERROR(INDEX(CHOOSE({1,2,3,4}, DAY(XT!U216), DAY(XT!Y216), DAY(XT!AC216), DAY(XT!AG216)), MATCH(1, INDEX(--(MONTH(CHOOSE({1,2,3,4}, XT!U216,XT!Y216,XT!AC216,XT!AG216))=4), 0), 0)), "")</f>
        <v/>
      </c>
      <c r="O216" s="51" t="str">
        <f>IF(XT!$P216&gt;0,N216,"")</f>
        <v/>
      </c>
      <c r="P216" s="51" t="str">
        <f>IF(XT!$P216=0,N216,"")</f>
        <v/>
      </c>
      <c r="Q216">
        <f>SUMPRODUCT((MONTH(CHOOSE({1,2,3,4},XT!U216,XT!Y216,XT!AC216,XT!AG216))=5)*(CHOOSE({1,2,3,4},XT!X216,XT!AB216,XT!AF216,XT!AJ216)))</f>
        <v>0</v>
      </c>
      <c r="R216" t="str">
        <f>IFERROR(INDEX(CHOOSE({1,2,3,4}, DAY(XT!U216), DAY(XT!Y216), DAY(XT!AC216), DAY(XT!AG216)), MATCH(1, INDEX(--(MONTH(CHOOSE({1,2,3,4}, XT!U216,XT!Y216,XT!AC216,XT!AG216))=5), 0), 0)), "")</f>
        <v/>
      </c>
      <c r="S216" s="51" t="str">
        <f>IF(XT!$P216&gt;0,R216,"")</f>
        <v/>
      </c>
      <c r="T216" s="51" t="str">
        <f>IF(XT!$P216=0,R216,"")</f>
        <v/>
      </c>
      <c r="U216">
        <f>SUMPRODUCT((MONTH(CHOOSE({1,2,3,4},XT!U216,XT!Y216,XT!AC216,XT!AG216))=6)*(CHOOSE({1,2,3,4},XT!X216,XT!AB216,XT!AF216,XT!AJ216)))</f>
        <v>0</v>
      </c>
      <c r="V216" t="str">
        <f>IFERROR(INDEX(CHOOSE({1,2,3,4}, DAY(XT!U216), DAY(XT!Y216), DAY(XT!AC216), DAY(XT!AG216)), MATCH(1, INDEX(--(MONTH(CHOOSE({1,2,3,4}, XT!U216,XT!Y216,XT!AC216,XT!AG216))=6), 0), 0)), "")</f>
        <v/>
      </c>
      <c r="W216" s="51" t="str">
        <f>IF(XT!$P216&gt;0,V216,"")</f>
        <v/>
      </c>
      <c r="X216" s="51" t="str">
        <f>IF(XT!$P216=0,V216,"")</f>
        <v/>
      </c>
      <c r="Y216">
        <f>SUMPRODUCT((MONTH(CHOOSE({1,2,3,4},XT!U216,XT!Y216,XT!AC216,XT!AG216))=7)*(CHOOSE({1,2,3,4},XT!X216,XT!AB216,XT!AF216,XT!AJ216)))</f>
        <v>0</v>
      </c>
      <c r="Z216" t="str">
        <f>IFERROR(INDEX(CHOOSE({1,2,3,4}, DAY(XT!U216), DAY(XT!Y216), DAY(XT!AC216), DAY(XT!AG216)), MATCH(1, INDEX(--(MONTH(CHOOSE({1,2,3,4}, XT!U216,XT!Y216,XT!AC216,XT!AG216))=7), 0), 0)), "")</f>
        <v/>
      </c>
      <c r="AA216" s="51" t="str">
        <f>IF(XT!$P216&gt;0,Z216,"")</f>
        <v/>
      </c>
      <c r="AB216" s="51" t="str">
        <f>IF(XT!$P216=0,Z216,"")</f>
        <v/>
      </c>
      <c r="AC216">
        <f>SUMPRODUCT((MONTH(CHOOSE({1,2,3,4},XT!U216,XT!Y216,XT!AC216,XT!AG216))=8)*(CHOOSE({1,2,3,4},XT!X216,XT!AB216,XT!AF216,XT!AJ216)))</f>
        <v>0</v>
      </c>
      <c r="AD216" t="str">
        <f>IFERROR(INDEX(CHOOSE({1,2,3,4}, DAY(XT!U216), DAY(XT!Y216), DAY(XT!AC216), DAY(XT!AG216)), MATCH(1, INDEX(--(MONTH(CHOOSE({1,2,3,4}, XT!U216,XT!Y216,XT!AC216,XT!AG216))=8), 0), 0)), "")</f>
        <v/>
      </c>
      <c r="AE216" s="51" t="str">
        <f>IF(XT!$P216&gt;0,AD216,"")</f>
        <v/>
      </c>
      <c r="AF216" s="51" t="str">
        <f>IF(XT!$P216=0,AD216,"")</f>
        <v/>
      </c>
      <c r="AG216">
        <f>SUMPRODUCT((MONTH(CHOOSE({1,2,3,4},XT!U216,XT!Y216,XT!AC216,XT!AG216))=9)*(CHOOSE({1,2,3,4},XT!X216,XT!AB216,XT!AF216,XT!AJ216)))</f>
        <v>0</v>
      </c>
      <c r="AH216" t="str">
        <f>IFERROR(INDEX(CHOOSE({1,2,3,4}, DAY(XT!U216), DAY(XT!Y216), DAY(XT!AC216), DAY(XT!AG216)), MATCH(1, INDEX(--(MONTH(CHOOSE({1,2,3,4}, XT!U216,XT!Y216,XT!AC216,XT!AG216))=9), 0), 0)), "")</f>
        <v/>
      </c>
      <c r="AI216" s="51" t="str">
        <f>IF(XT!$P216&gt;0,AH216,"")</f>
        <v/>
      </c>
      <c r="AJ216" s="51" t="str">
        <f>IF(XT!$P216=0,AH216,"")</f>
        <v/>
      </c>
      <c r="AK216">
        <f>SUMPRODUCT((MONTH(CHOOSE({1,2,3,4},XT!U216,XT!Y216,XT!AC216,XT!AG216))=10)*(CHOOSE({1,2,3,4},XT!X216,XT!AB216,XT!AF216,XT!AJ216)))</f>
        <v>0</v>
      </c>
      <c r="AL216" t="str">
        <f>IFERROR(INDEX(CHOOSE({1,2,3,4}, DAY(XT!U216), DAY(XT!Y216), DAY(XT!AC216), DAY(XT!AG216)), MATCH(1, INDEX(--(MONTH(CHOOSE({1,2,3,4}, XT!U216,XT!Y216,XT!AC216,XT!AG216))=10), 0), 0)), "")</f>
        <v/>
      </c>
      <c r="AM216" s="51" t="str">
        <f>IF(XT!$P216&gt;0,AL216,"")</f>
        <v/>
      </c>
      <c r="AN216" s="51" t="str">
        <f>IF(XT!$P216=0,AL216,"")</f>
        <v/>
      </c>
      <c r="AO216">
        <f>SUMPRODUCT((MONTH(CHOOSE({1,2,3,4},XT!U216,XT!Y216,XT!AC216,XT!AG216))=11)*(CHOOSE({1,2,3,4},XT!X216,XT!AB216,XT!AF216,XT!AJ216)))</f>
        <v>0</v>
      </c>
      <c r="AP216" t="str">
        <f>IFERROR(INDEX(CHOOSE({1,2,3,4}, DAY(XT!U216), DAY(XT!Y216), DAY(XT!AC216), DAY(XT!AG216)), MATCH(1, INDEX(--(MONTH(CHOOSE({1,2,3,4}, XT!U216,XT!Y216,XT!AC216,XT!AG216))=11), 0), 0)), "")</f>
        <v/>
      </c>
      <c r="AQ216" s="51" t="str">
        <f>IF(XT!$P216&gt;0,AP216,"")</f>
        <v/>
      </c>
      <c r="AR216" s="51" t="str">
        <f>IF(XT!$P216=0,AP216,"")</f>
        <v/>
      </c>
      <c r="AS216">
        <f>SUMPRODUCT((MONTH(CHOOSE({1,2,3,4},XT!U216,XT!Y216,XT!AC216,XT!AG216))=12)*(CHOOSE({1,2,3,4},XT!X216,XT!AB216,XT!AF216,XT!AJ216)))</f>
        <v>0</v>
      </c>
      <c r="AT216" t="str">
        <f>IFERROR(INDEX(CHOOSE({1,2,3,4}, DAY(XT!U216), DAY(XT!Y216), DAY(XT!AC216), DAY(XT!AG216)), MATCH(1, INDEX(--(MONTH(CHOOSE({1,2,3,4}, XT!U216,XT!Y216,XT!AC216,XT!AG216))=12), 0), 0)), "")</f>
        <v/>
      </c>
      <c r="AU216" s="51" t="str">
        <f>IF(XT!$P216&gt;0,AT216,"")</f>
        <v/>
      </c>
      <c r="AV216" s="51" t="str">
        <f>IF(XT!$P216=0,AT216,"")</f>
        <v/>
      </c>
    </row>
    <row r="217" spans="1:48">
      <c r="A217">
        <f>SUMPRODUCT((MONTH(CHOOSE({1,2,3,4},XT!U217,XT!Y217,XT!AC217,XT!AG217))=1)*(CHOOSE({1,2,3,4},XT!X217,XT!AB217,XT!AF217,XT!AJ217)))</f>
        <v>0</v>
      </c>
      <c r="B217">
        <f>IFERROR(INDEX(CHOOSE({1,2,3,4}, DAY(XT!U217), DAY(XT!Y217), DAY(XT!AC217), DAY(XT!AG217)), MATCH(1, INDEX(--(MONTH(CHOOSE({1,2,3,4}, XT!U217,XT!Y217,XT!AC217,XT!AG217))=1), 0), 0)), "")</f>
        <v>0</v>
      </c>
      <c r="C217" s="51" t="str">
        <f>IF(XT!$P217&gt;0,B217,"")</f>
        <v/>
      </c>
      <c r="D217" s="51">
        <f>IF(XT!$P217=0,B217,"")</f>
        <v>0</v>
      </c>
      <c r="E217">
        <f>SUMPRODUCT((MONTH(CHOOSE({1,2,3,4},XT!U217,XT!Y217,XT!AC217,XT!AG217))=2)*(CHOOSE({1,2,3,4},XT!X217,XT!AB217,XT!AF217,XT!AJ217)))</f>
        <v>0</v>
      </c>
      <c r="F217" t="str">
        <f>IFERROR(INDEX(CHOOSE({1,2,3,4}, DAY(XT!U217), DAY(XT!Y217), DAY(XT!AC217), DAY(XT!AG217)), MATCH(1, INDEX(--(MONTH(CHOOSE({1,2,3,4}, XT!U217,XT!Y217,XT!AC217,XT!AG217))=2), 0), 0)), "")</f>
        <v/>
      </c>
      <c r="G217" s="51" t="str">
        <f>IF(XT!$P217&gt;0,F217,"")</f>
        <v/>
      </c>
      <c r="H217" s="51" t="str">
        <f>IF(XT!$P217=0,F217,"")</f>
        <v/>
      </c>
      <c r="I217">
        <f>SUMPRODUCT((MONTH(CHOOSE({1,2,3,4},XT!U217,XT!Y217,XT!AC217,XT!AG217))=3)*(CHOOSE({1,2,3,4},XT!X217,XT!AB217,XT!AF217,XT!AJ217)))</f>
        <v>0</v>
      </c>
      <c r="J217" t="str">
        <f>IFERROR(INDEX(CHOOSE({1,2,3,4}, DAY(XT!U217), DAY(XT!Y217), DAY(XT!AC217), DAY(XT!AG217)), MATCH(1, INDEX(--(MONTH(CHOOSE({1,2,3,4}, XT!U217,XT!Y217,XT!AC217,XT!AG217))=3), 0), 0)), "")</f>
        <v/>
      </c>
      <c r="K217" s="51" t="str">
        <f>IF(XT!$P217&gt;0,J217,"")</f>
        <v/>
      </c>
      <c r="L217" s="51" t="str">
        <f>IF(XT!$P217=0,J217,"")</f>
        <v/>
      </c>
      <c r="M217">
        <f>SUMPRODUCT((MONTH(CHOOSE({1,2,3,4},XT!U217,XT!Y217,XT!AC217,XT!AG217))=4)*(CHOOSE({1,2,3,4},XT!X217,XT!AB217,XT!AF217,XT!AJ217)))</f>
        <v>0</v>
      </c>
      <c r="N217" t="str">
        <f>IFERROR(INDEX(CHOOSE({1,2,3,4}, DAY(XT!U217), DAY(XT!Y217), DAY(XT!AC217), DAY(XT!AG217)), MATCH(1, INDEX(--(MONTH(CHOOSE({1,2,3,4}, XT!U217,XT!Y217,XT!AC217,XT!AG217))=4), 0), 0)), "")</f>
        <v/>
      </c>
      <c r="O217" s="51" t="str">
        <f>IF(XT!$P217&gt;0,N217,"")</f>
        <v/>
      </c>
      <c r="P217" s="51" t="str">
        <f>IF(XT!$P217=0,N217,"")</f>
        <v/>
      </c>
      <c r="Q217">
        <f>SUMPRODUCT((MONTH(CHOOSE({1,2,3,4},XT!U217,XT!Y217,XT!AC217,XT!AG217))=5)*(CHOOSE({1,2,3,4},XT!X217,XT!AB217,XT!AF217,XT!AJ217)))</f>
        <v>0</v>
      </c>
      <c r="R217" t="str">
        <f>IFERROR(INDEX(CHOOSE({1,2,3,4}, DAY(XT!U217), DAY(XT!Y217), DAY(XT!AC217), DAY(XT!AG217)), MATCH(1, INDEX(--(MONTH(CHOOSE({1,2,3,4}, XT!U217,XT!Y217,XT!AC217,XT!AG217))=5), 0), 0)), "")</f>
        <v/>
      </c>
      <c r="S217" s="51" t="str">
        <f>IF(XT!$P217&gt;0,R217,"")</f>
        <v/>
      </c>
      <c r="T217" s="51" t="str">
        <f>IF(XT!$P217=0,R217,"")</f>
        <v/>
      </c>
      <c r="U217">
        <f>SUMPRODUCT((MONTH(CHOOSE({1,2,3,4},XT!U217,XT!Y217,XT!AC217,XT!AG217))=6)*(CHOOSE({1,2,3,4},XT!X217,XT!AB217,XT!AF217,XT!AJ217)))</f>
        <v>0</v>
      </c>
      <c r="V217" t="str">
        <f>IFERROR(INDEX(CHOOSE({1,2,3,4}, DAY(XT!U217), DAY(XT!Y217), DAY(XT!AC217), DAY(XT!AG217)), MATCH(1, INDEX(--(MONTH(CHOOSE({1,2,3,4}, XT!U217,XT!Y217,XT!AC217,XT!AG217))=6), 0), 0)), "")</f>
        <v/>
      </c>
      <c r="W217" s="51" t="str">
        <f>IF(XT!$P217&gt;0,V217,"")</f>
        <v/>
      </c>
      <c r="X217" s="51" t="str">
        <f>IF(XT!$P217=0,V217,"")</f>
        <v/>
      </c>
      <c r="Y217">
        <f>SUMPRODUCT((MONTH(CHOOSE({1,2,3,4},XT!U217,XT!Y217,XT!AC217,XT!AG217))=7)*(CHOOSE({1,2,3,4},XT!X217,XT!AB217,XT!AF217,XT!AJ217)))</f>
        <v>0</v>
      </c>
      <c r="Z217" t="str">
        <f>IFERROR(INDEX(CHOOSE({1,2,3,4}, DAY(XT!U217), DAY(XT!Y217), DAY(XT!AC217), DAY(XT!AG217)), MATCH(1, INDEX(--(MONTH(CHOOSE({1,2,3,4}, XT!U217,XT!Y217,XT!AC217,XT!AG217))=7), 0), 0)), "")</f>
        <v/>
      </c>
      <c r="AA217" s="51" t="str">
        <f>IF(XT!$P217&gt;0,Z217,"")</f>
        <v/>
      </c>
      <c r="AB217" s="51" t="str">
        <f>IF(XT!$P217=0,Z217,"")</f>
        <v/>
      </c>
      <c r="AC217">
        <f>SUMPRODUCT((MONTH(CHOOSE({1,2,3,4},XT!U217,XT!Y217,XT!AC217,XT!AG217))=8)*(CHOOSE({1,2,3,4},XT!X217,XT!AB217,XT!AF217,XT!AJ217)))</f>
        <v>0</v>
      </c>
      <c r="AD217" t="str">
        <f>IFERROR(INDEX(CHOOSE({1,2,3,4}, DAY(XT!U217), DAY(XT!Y217), DAY(XT!AC217), DAY(XT!AG217)), MATCH(1, INDEX(--(MONTH(CHOOSE({1,2,3,4}, XT!U217,XT!Y217,XT!AC217,XT!AG217))=8), 0), 0)), "")</f>
        <v/>
      </c>
      <c r="AE217" s="51" t="str">
        <f>IF(XT!$P217&gt;0,AD217,"")</f>
        <v/>
      </c>
      <c r="AF217" s="51" t="str">
        <f>IF(XT!$P217=0,AD217,"")</f>
        <v/>
      </c>
      <c r="AG217">
        <f>SUMPRODUCT((MONTH(CHOOSE({1,2,3,4},XT!U217,XT!Y217,XT!AC217,XT!AG217))=9)*(CHOOSE({1,2,3,4},XT!X217,XT!AB217,XT!AF217,XT!AJ217)))</f>
        <v>0</v>
      </c>
      <c r="AH217" t="str">
        <f>IFERROR(INDEX(CHOOSE({1,2,3,4}, DAY(XT!U217), DAY(XT!Y217), DAY(XT!AC217), DAY(XT!AG217)), MATCH(1, INDEX(--(MONTH(CHOOSE({1,2,3,4}, XT!U217,XT!Y217,XT!AC217,XT!AG217))=9), 0), 0)), "")</f>
        <v/>
      </c>
      <c r="AI217" s="51" t="str">
        <f>IF(XT!$P217&gt;0,AH217,"")</f>
        <v/>
      </c>
      <c r="AJ217" s="51" t="str">
        <f>IF(XT!$P217=0,AH217,"")</f>
        <v/>
      </c>
      <c r="AK217">
        <f>SUMPRODUCT((MONTH(CHOOSE({1,2,3,4},XT!U217,XT!Y217,XT!AC217,XT!AG217))=10)*(CHOOSE({1,2,3,4},XT!X217,XT!AB217,XT!AF217,XT!AJ217)))</f>
        <v>0</v>
      </c>
      <c r="AL217" t="str">
        <f>IFERROR(INDEX(CHOOSE({1,2,3,4}, DAY(XT!U217), DAY(XT!Y217), DAY(XT!AC217), DAY(XT!AG217)), MATCH(1, INDEX(--(MONTH(CHOOSE({1,2,3,4}, XT!U217,XT!Y217,XT!AC217,XT!AG217))=10), 0), 0)), "")</f>
        <v/>
      </c>
      <c r="AM217" s="51" t="str">
        <f>IF(XT!$P217&gt;0,AL217,"")</f>
        <v/>
      </c>
      <c r="AN217" s="51" t="str">
        <f>IF(XT!$P217=0,AL217,"")</f>
        <v/>
      </c>
      <c r="AO217">
        <f>SUMPRODUCT((MONTH(CHOOSE({1,2,3,4},XT!U217,XT!Y217,XT!AC217,XT!AG217))=11)*(CHOOSE({1,2,3,4},XT!X217,XT!AB217,XT!AF217,XT!AJ217)))</f>
        <v>0</v>
      </c>
      <c r="AP217" t="str">
        <f>IFERROR(INDEX(CHOOSE({1,2,3,4}, DAY(XT!U217), DAY(XT!Y217), DAY(XT!AC217), DAY(XT!AG217)), MATCH(1, INDEX(--(MONTH(CHOOSE({1,2,3,4}, XT!U217,XT!Y217,XT!AC217,XT!AG217))=11), 0), 0)), "")</f>
        <v/>
      </c>
      <c r="AQ217" s="51" t="str">
        <f>IF(XT!$P217&gt;0,AP217,"")</f>
        <v/>
      </c>
      <c r="AR217" s="51" t="str">
        <f>IF(XT!$P217=0,AP217,"")</f>
        <v/>
      </c>
      <c r="AS217">
        <f>SUMPRODUCT((MONTH(CHOOSE({1,2,3,4},XT!U217,XT!Y217,XT!AC217,XT!AG217))=12)*(CHOOSE({1,2,3,4},XT!X217,XT!AB217,XT!AF217,XT!AJ217)))</f>
        <v>0</v>
      </c>
      <c r="AT217" t="str">
        <f>IFERROR(INDEX(CHOOSE({1,2,3,4}, DAY(XT!U217), DAY(XT!Y217), DAY(XT!AC217), DAY(XT!AG217)), MATCH(1, INDEX(--(MONTH(CHOOSE({1,2,3,4}, XT!U217,XT!Y217,XT!AC217,XT!AG217))=12), 0), 0)), "")</f>
        <v/>
      </c>
      <c r="AU217" s="51" t="str">
        <f>IF(XT!$P217&gt;0,AT217,"")</f>
        <v/>
      </c>
      <c r="AV217" s="51" t="str">
        <f>IF(XT!$P217=0,AT217,"")</f>
        <v/>
      </c>
    </row>
    <row r="218" spans="1:48">
      <c r="A218">
        <f>SUMPRODUCT((MONTH(CHOOSE({1,2,3,4},XT!U218,XT!Y218,XT!AC218,XT!AG218))=1)*(CHOOSE({1,2,3,4},XT!X218,XT!AB218,XT!AF218,XT!AJ218)))</f>
        <v>0</v>
      </c>
      <c r="B218">
        <f>IFERROR(INDEX(CHOOSE({1,2,3,4}, DAY(XT!U218), DAY(XT!Y218), DAY(XT!AC218), DAY(XT!AG218)), MATCH(1, INDEX(--(MONTH(CHOOSE({1,2,3,4}, XT!U218,XT!Y218,XT!AC218,XT!AG218))=1), 0), 0)), "")</f>
        <v>0</v>
      </c>
      <c r="C218" s="51" t="str">
        <f>IF(XT!$P218&gt;0,B218,"")</f>
        <v/>
      </c>
      <c r="D218" s="51">
        <f>IF(XT!$P218=0,B218,"")</f>
        <v>0</v>
      </c>
      <c r="E218">
        <f>SUMPRODUCT((MONTH(CHOOSE({1,2,3,4},XT!U218,XT!Y218,XT!AC218,XT!AG218))=2)*(CHOOSE({1,2,3,4},XT!X218,XT!AB218,XT!AF218,XT!AJ218)))</f>
        <v>0</v>
      </c>
      <c r="F218" t="str">
        <f>IFERROR(INDEX(CHOOSE({1,2,3,4}, DAY(XT!U218), DAY(XT!Y218), DAY(XT!AC218), DAY(XT!AG218)), MATCH(1, INDEX(--(MONTH(CHOOSE({1,2,3,4}, XT!U218,XT!Y218,XT!AC218,XT!AG218))=2), 0), 0)), "")</f>
        <v/>
      </c>
      <c r="G218" s="51" t="str">
        <f>IF(XT!$P218&gt;0,F218,"")</f>
        <v/>
      </c>
      <c r="H218" s="51" t="str">
        <f>IF(XT!$P218=0,F218,"")</f>
        <v/>
      </c>
      <c r="I218">
        <f>SUMPRODUCT((MONTH(CHOOSE({1,2,3,4},XT!U218,XT!Y218,XT!AC218,XT!AG218))=3)*(CHOOSE({1,2,3,4},XT!X218,XT!AB218,XT!AF218,XT!AJ218)))</f>
        <v>0</v>
      </c>
      <c r="J218" t="str">
        <f>IFERROR(INDEX(CHOOSE({1,2,3,4}, DAY(XT!U218), DAY(XT!Y218), DAY(XT!AC218), DAY(XT!AG218)), MATCH(1, INDEX(--(MONTH(CHOOSE({1,2,3,4}, XT!U218,XT!Y218,XT!AC218,XT!AG218))=3), 0), 0)), "")</f>
        <v/>
      </c>
      <c r="K218" s="51" t="str">
        <f>IF(XT!$P218&gt;0,J218,"")</f>
        <v/>
      </c>
      <c r="L218" s="51" t="str">
        <f>IF(XT!$P218=0,J218,"")</f>
        <v/>
      </c>
      <c r="M218">
        <f>SUMPRODUCT((MONTH(CHOOSE({1,2,3,4},XT!U218,XT!Y218,XT!AC218,XT!AG218))=4)*(CHOOSE({1,2,3,4},XT!X218,XT!AB218,XT!AF218,XT!AJ218)))</f>
        <v>0</v>
      </c>
      <c r="N218" t="str">
        <f>IFERROR(INDEX(CHOOSE({1,2,3,4}, DAY(XT!U218), DAY(XT!Y218), DAY(XT!AC218), DAY(XT!AG218)), MATCH(1, INDEX(--(MONTH(CHOOSE({1,2,3,4}, XT!U218,XT!Y218,XT!AC218,XT!AG218))=4), 0), 0)), "")</f>
        <v/>
      </c>
      <c r="O218" s="51" t="str">
        <f>IF(XT!$P218&gt;0,N218,"")</f>
        <v/>
      </c>
      <c r="P218" s="51" t="str">
        <f>IF(XT!$P218=0,N218,"")</f>
        <v/>
      </c>
      <c r="Q218">
        <f>SUMPRODUCT((MONTH(CHOOSE({1,2,3,4},XT!U218,XT!Y218,XT!AC218,XT!AG218))=5)*(CHOOSE({1,2,3,4},XT!X218,XT!AB218,XT!AF218,XT!AJ218)))</f>
        <v>0</v>
      </c>
      <c r="R218" t="str">
        <f>IFERROR(INDEX(CHOOSE({1,2,3,4}, DAY(XT!U218), DAY(XT!Y218), DAY(XT!AC218), DAY(XT!AG218)), MATCH(1, INDEX(--(MONTH(CHOOSE({1,2,3,4}, XT!U218,XT!Y218,XT!AC218,XT!AG218))=5), 0), 0)), "")</f>
        <v/>
      </c>
      <c r="S218" s="51" t="str">
        <f>IF(XT!$P218&gt;0,R218,"")</f>
        <v/>
      </c>
      <c r="T218" s="51" t="str">
        <f>IF(XT!$P218=0,R218,"")</f>
        <v/>
      </c>
      <c r="U218">
        <f>SUMPRODUCT((MONTH(CHOOSE({1,2,3,4},XT!U218,XT!Y218,XT!AC218,XT!AG218))=6)*(CHOOSE({1,2,3,4},XT!X218,XT!AB218,XT!AF218,XT!AJ218)))</f>
        <v>0</v>
      </c>
      <c r="V218" t="str">
        <f>IFERROR(INDEX(CHOOSE({1,2,3,4}, DAY(XT!U218), DAY(XT!Y218), DAY(XT!AC218), DAY(XT!AG218)), MATCH(1, INDEX(--(MONTH(CHOOSE({1,2,3,4}, XT!U218,XT!Y218,XT!AC218,XT!AG218))=6), 0), 0)), "")</f>
        <v/>
      </c>
      <c r="W218" s="51" t="str">
        <f>IF(XT!$P218&gt;0,V218,"")</f>
        <v/>
      </c>
      <c r="X218" s="51" t="str">
        <f>IF(XT!$P218=0,V218,"")</f>
        <v/>
      </c>
      <c r="Y218">
        <f>SUMPRODUCT((MONTH(CHOOSE({1,2,3,4},XT!U218,XT!Y218,XT!AC218,XT!AG218))=7)*(CHOOSE({1,2,3,4},XT!X218,XT!AB218,XT!AF218,XT!AJ218)))</f>
        <v>0</v>
      </c>
      <c r="Z218" t="str">
        <f>IFERROR(INDEX(CHOOSE({1,2,3,4}, DAY(XT!U218), DAY(XT!Y218), DAY(XT!AC218), DAY(XT!AG218)), MATCH(1, INDEX(--(MONTH(CHOOSE({1,2,3,4}, XT!U218,XT!Y218,XT!AC218,XT!AG218))=7), 0), 0)), "")</f>
        <v/>
      </c>
      <c r="AA218" s="51" t="str">
        <f>IF(XT!$P218&gt;0,Z218,"")</f>
        <v/>
      </c>
      <c r="AB218" s="51" t="str">
        <f>IF(XT!$P218=0,Z218,"")</f>
        <v/>
      </c>
      <c r="AC218">
        <f>SUMPRODUCT((MONTH(CHOOSE({1,2,3,4},XT!U218,XT!Y218,XT!AC218,XT!AG218))=8)*(CHOOSE({1,2,3,4},XT!X218,XT!AB218,XT!AF218,XT!AJ218)))</f>
        <v>0</v>
      </c>
      <c r="AD218" t="str">
        <f>IFERROR(INDEX(CHOOSE({1,2,3,4}, DAY(XT!U218), DAY(XT!Y218), DAY(XT!AC218), DAY(XT!AG218)), MATCH(1, INDEX(--(MONTH(CHOOSE({1,2,3,4}, XT!U218,XT!Y218,XT!AC218,XT!AG218))=8), 0), 0)), "")</f>
        <v/>
      </c>
      <c r="AE218" s="51" t="str">
        <f>IF(XT!$P218&gt;0,AD218,"")</f>
        <v/>
      </c>
      <c r="AF218" s="51" t="str">
        <f>IF(XT!$P218=0,AD218,"")</f>
        <v/>
      </c>
      <c r="AG218">
        <f>SUMPRODUCT((MONTH(CHOOSE({1,2,3,4},XT!U218,XT!Y218,XT!AC218,XT!AG218))=9)*(CHOOSE({1,2,3,4},XT!X218,XT!AB218,XT!AF218,XT!AJ218)))</f>
        <v>0</v>
      </c>
      <c r="AH218" t="str">
        <f>IFERROR(INDEX(CHOOSE({1,2,3,4}, DAY(XT!U218), DAY(XT!Y218), DAY(XT!AC218), DAY(XT!AG218)), MATCH(1, INDEX(--(MONTH(CHOOSE({1,2,3,4}, XT!U218,XT!Y218,XT!AC218,XT!AG218))=9), 0), 0)), "")</f>
        <v/>
      </c>
      <c r="AI218" s="51" t="str">
        <f>IF(XT!$P218&gt;0,AH218,"")</f>
        <v/>
      </c>
      <c r="AJ218" s="51" t="str">
        <f>IF(XT!$P218=0,AH218,"")</f>
        <v/>
      </c>
      <c r="AK218">
        <f>SUMPRODUCT((MONTH(CHOOSE({1,2,3,4},XT!U218,XT!Y218,XT!AC218,XT!AG218))=10)*(CHOOSE({1,2,3,4},XT!X218,XT!AB218,XT!AF218,XT!AJ218)))</f>
        <v>0</v>
      </c>
      <c r="AL218" t="str">
        <f>IFERROR(INDEX(CHOOSE({1,2,3,4}, DAY(XT!U218), DAY(XT!Y218), DAY(XT!AC218), DAY(XT!AG218)), MATCH(1, INDEX(--(MONTH(CHOOSE({1,2,3,4}, XT!U218,XT!Y218,XT!AC218,XT!AG218))=10), 0), 0)), "")</f>
        <v/>
      </c>
      <c r="AM218" s="51" t="str">
        <f>IF(XT!$P218&gt;0,AL218,"")</f>
        <v/>
      </c>
      <c r="AN218" s="51" t="str">
        <f>IF(XT!$P218=0,AL218,"")</f>
        <v/>
      </c>
      <c r="AO218">
        <f>SUMPRODUCT((MONTH(CHOOSE({1,2,3,4},XT!U218,XT!Y218,XT!AC218,XT!AG218))=11)*(CHOOSE({1,2,3,4},XT!X218,XT!AB218,XT!AF218,XT!AJ218)))</f>
        <v>0</v>
      </c>
      <c r="AP218" t="str">
        <f>IFERROR(INDEX(CHOOSE({1,2,3,4}, DAY(XT!U218), DAY(XT!Y218), DAY(XT!AC218), DAY(XT!AG218)), MATCH(1, INDEX(--(MONTH(CHOOSE({1,2,3,4}, XT!U218,XT!Y218,XT!AC218,XT!AG218))=11), 0), 0)), "")</f>
        <v/>
      </c>
      <c r="AQ218" s="51" t="str">
        <f>IF(XT!$P218&gt;0,AP218,"")</f>
        <v/>
      </c>
      <c r="AR218" s="51" t="str">
        <f>IF(XT!$P218=0,AP218,"")</f>
        <v/>
      </c>
      <c r="AS218">
        <f>SUMPRODUCT((MONTH(CHOOSE({1,2,3,4},XT!U218,XT!Y218,XT!AC218,XT!AG218))=12)*(CHOOSE({1,2,3,4},XT!X218,XT!AB218,XT!AF218,XT!AJ218)))</f>
        <v>0</v>
      </c>
      <c r="AT218" t="str">
        <f>IFERROR(INDEX(CHOOSE({1,2,3,4}, DAY(XT!U218), DAY(XT!Y218), DAY(XT!AC218), DAY(XT!AG218)), MATCH(1, INDEX(--(MONTH(CHOOSE({1,2,3,4}, XT!U218,XT!Y218,XT!AC218,XT!AG218))=12), 0), 0)), "")</f>
        <v/>
      </c>
      <c r="AU218" s="51" t="str">
        <f>IF(XT!$P218&gt;0,AT218,"")</f>
        <v/>
      </c>
      <c r="AV218" s="51" t="str">
        <f>IF(XT!$P218=0,AT218,"")</f>
        <v/>
      </c>
    </row>
    <row r="219" spans="1:48">
      <c r="A219">
        <f>SUMPRODUCT((MONTH(CHOOSE({1,2,3,4},XT!U219,XT!Y219,XT!AC219,XT!AG219))=1)*(CHOOSE({1,2,3,4},XT!X219,XT!AB219,XT!AF219,XT!AJ219)))</f>
        <v>0</v>
      </c>
      <c r="B219">
        <f>IFERROR(INDEX(CHOOSE({1,2,3,4}, DAY(XT!U219), DAY(XT!Y219), DAY(XT!AC219), DAY(XT!AG219)), MATCH(1, INDEX(--(MONTH(CHOOSE({1,2,3,4}, XT!U219,XT!Y219,XT!AC219,XT!AG219))=1), 0), 0)), "")</f>
        <v>0</v>
      </c>
      <c r="C219" s="51" t="str">
        <f>IF(XT!$P219&gt;0,B219,"")</f>
        <v/>
      </c>
      <c r="D219" s="51">
        <f>IF(XT!$P219=0,B219,"")</f>
        <v>0</v>
      </c>
      <c r="E219">
        <f>SUMPRODUCT((MONTH(CHOOSE({1,2,3,4},XT!U219,XT!Y219,XT!AC219,XT!AG219))=2)*(CHOOSE({1,2,3,4},XT!X219,XT!AB219,XT!AF219,XT!AJ219)))</f>
        <v>0</v>
      </c>
      <c r="F219" t="str">
        <f>IFERROR(INDEX(CHOOSE({1,2,3,4}, DAY(XT!U219), DAY(XT!Y219), DAY(XT!AC219), DAY(XT!AG219)), MATCH(1, INDEX(--(MONTH(CHOOSE({1,2,3,4}, XT!U219,XT!Y219,XT!AC219,XT!AG219))=2), 0), 0)), "")</f>
        <v/>
      </c>
      <c r="G219" s="51" t="str">
        <f>IF(XT!$P219&gt;0,F219,"")</f>
        <v/>
      </c>
      <c r="H219" s="51" t="str">
        <f>IF(XT!$P219=0,F219,"")</f>
        <v/>
      </c>
      <c r="I219">
        <f>SUMPRODUCT((MONTH(CHOOSE({1,2,3,4},XT!U219,XT!Y219,XT!AC219,XT!AG219))=3)*(CHOOSE({1,2,3,4},XT!X219,XT!AB219,XT!AF219,XT!AJ219)))</f>
        <v>0</v>
      </c>
      <c r="J219" t="str">
        <f>IFERROR(INDEX(CHOOSE({1,2,3,4}, DAY(XT!U219), DAY(XT!Y219), DAY(XT!AC219), DAY(XT!AG219)), MATCH(1, INDEX(--(MONTH(CHOOSE({1,2,3,4}, XT!U219,XT!Y219,XT!AC219,XT!AG219))=3), 0), 0)), "")</f>
        <v/>
      </c>
      <c r="K219" s="51" t="str">
        <f>IF(XT!$P219&gt;0,J219,"")</f>
        <v/>
      </c>
      <c r="L219" s="51" t="str">
        <f>IF(XT!$P219=0,J219,"")</f>
        <v/>
      </c>
      <c r="M219">
        <f>SUMPRODUCT((MONTH(CHOOSE({1,2,3,4},XT!U219,XT!Y219,XT!AC219,XT!AG219))=4)*(CHOOSE({1,2,3,4},XT!X219,XT!AB219,XT!AF219,XT!AJ219)))</f>
        <v>0</v>
      </c>
      <c r="N219" t="str">
        <f>IFERROR(INDEX(CHOOSE({1,2,3,4}, DAY(XT!U219), DAY(XT!Y219), DAY(XT!AC219), DAY(XT!AG219)), MATCH(1, INDEX(--(MONTH(CHOOSE({1,2,3,4}, XT!U219,XT!Y219,XT!AC219,XT!AG219))=4), 0), 0)), "")</f>
        <v/>
      </c>
      <c r="O219" s="51" t="str">
        <f>IF(XT!$P219&gt;0,N219,"")</f>
        <v/>
      </c>
      <c r="P219" s="51" t="str">
        <f>IF(XT!$P219=0,N219,"")</f>
        <v/>
      </c>
      <c r="Q219">
        <f>SUMPRODUCT((MONTH(CHOOSE({1,2,3,4},XT!U219,XT!Y219,XT!AC219,XT!AG219))=5)*(CHOOSE({1,2,3,4},XT!X219,XT!AB219,XT!AF219,XT!AJ219)))</f>
        <v>0</v>
      </c>
      <c r="R219" t="str">
        <f>IFERROR(INDEX(CHOOSE({1,2,3,4}, DAY(XT!U219), DAY(XT!Y219), DAY(XT!AC219), DAY(XT!AG219)), MATCH(1, INDEX(--(MONTH(CHOOSE({1,2,3,4}, XT!U219,XT!Y219,XT!AC219,XT!AG219))=5), 0), 0)), "")</f>
        <v/>
      </c>
      <c r="S219" s="51" t="str">
        <f>IF(XT!$P219&gt;0,R219,"")</f>
        <v/>
      </c>
      <c r="T219" s="51" t="str">
        <f>IF(XT!$P219=0,R219,"")</f>
        <v/>
      </c>
      <c r="U219">
        <f>SUMPRODUCT((MONTH(CHOOSE({1,2,3,4},XT!U219,XT!Y219,XT!AC219,XT!AG219))=6)*(CHOOSE({1,2,3,4},XT!X219,XT!AB219,XT!AF219,XT!AJ219)))</f>
        <v>0</v>
      </c>
      <c r="V219" t="str">
        <f>IFERROR(INDEX(CHOOSE({1,2,3,4}, DAY(XT!U219), DAY(XT!Y219), DAY(XT!AC219), DAY(XT!AG219)), MATCH(1, INDEX(--(MONTH(CHOOSE({1,2,3,4}, XT!U219,XT!Y219,XT!AC219,XT!AG219))=6), 0), 0)), "")</f>
        <v/>
      </c>
      <c r="W219" s="51" t="str">
        <f>IF(XT!$P219&gt;0,V219,"")</f>
        <v/>
      </c>
      <c r="X219" s="51" t="str">
        <f>IF(XT!$P219=0,V219,"")</f>
        <v/>
      </c>
      <c r="Y219">
        <f>SUMPRODUCT((MONTH(CHOOSE({1,2,3,4},XT!U219,XT!Y219,XT!AC219,XT!AG219))=7)*(CHOOSE({1,2,3,4},XT!X219,XT!AB219,XT!AF219,XT!AJ219)))</f>
        <v>0</v>
      </c>
      <c r="Z219" t="str">
        <f>IFERROR(INDEX(CHOOSE({1,2,3,4}, DAY(XT!U219), DAY(XT!Y219), DAY(XT!AC219), DAY(XT!AG219)), MATCH(1, INDEX(--(MONTH(CHOOSE({1,2,3,4}, XT!U219,XT!Y219,XT!AC219,XT!AG219))=7), 0), 0)), "")</f>
        <v/>
      </c>
      <c r="AA219" s="51" t="str">
        <f>IF(XT!$P219&gt;0,Z219,"")</f>
        <v/>
      </c>
      <c r="AB219" s="51" t="str">
        <f>IF(XT!$P219=0,Z219,"")</f>
        <v/>
      </c>
      <c r="AC219">
        <f>SUMPRODUCT((MONTH(CHOOSE({1,2,3,4},XT!U219,XT!Y219,XT!AC219,XT!AG219))=8)*(CHOOSE({1,2,3,4},XT!X219,XT!AB219,XT!AF219,XT!AJ219)))</f>
        <v>0</v>
      </c>
      <c r="AD219" t="str">
        <f>IFERROR(INDEX(CHOOSE({1,2,3,4}, DAY(XT!U219), DAY(XT!Y219), DAY(XT!AC219), DAY(XT!AG219)), MATCH(1, INDEX(--(MONTH(CHOOSE({1,2,3,4}, XT!U219,XT!Y219,XT!AC219,XT!AG219))=8), 0), 0)), "")</f>
        <v/>
      </c>
      <c r="AE219" s="51" t="str">
        <f>IF(XT!$P219&gt;0,AD219,"")</f>
        <v/>
      </c>
      <c r="AF219" s="51" t="str">
        <f>IF(XT!$P219=0,AD219,"")</f>
        <v/>
      </c>
      <c r="AG219">
        <f>SUMPRODUCT((MONTH(CHOOSE({1,2,3,4},XT!U219,XT!Y219,XT!AC219,XT!AG219))=9)*(CHOOSE({1,2,3,4},XT!X219,XT!AB219,XT!AF219,XT!AJ219)))</f>
        <v>0</v>
      </c>
      <c r="AH219" t="str">
        <f>IFERROR(INDEX(CHOOSE({1,2,3,4}, DAY(XT!U219), DAY(XT!Y219), DAY(XT!AC219), DAY(XT!AG219)), MATCH(1, INDEX(--(MONTH(CHOOSE({1,2,3,4}, XT!U219,XT!Y219,XT!AC219,XT!AG219))=9), 0), 0)), "")</f>
        <v/>
      </c>
      <c r="AI219" s="51" t="str">
        <f>IF(XT!$P219&gt;0,AH219,"")</f>
        <v/>
      </c>
      <c r="AJ219" s="51" t="str">
        <f>IF(XT!$P219=0,AH219,"")</f>
        <v/>
      </c>
      <c r="AK219">
        <f>SUMPRODUCT((MONTH(CHOOSE({1,2,3,4},XT!U219,XT!Y219,XT!AC219,XT!AG219))=10)*(CHOOSE({1,2,3,4},XT!X219,XT!AB219,XT!AF219,XT!AJ219)))</f>
        <v>0</v>
      </c>
      <c r="AL219" t="str">
        <f>IFERROR(INDEX(CHOOSE({1,2,3,4}, DAY(XT!U219), DAY(XT!Y219), DAY(XT!AC219), DAY(XT!AG219)), MATCH(1, INDEX(--(MONTH(CHOOSE({1,2,3,4}, XT!U219,XT!Y219,XT!AC219,XT!AG219))=10), 0), 0)), "")</f>
        <v/>
      </c>
      <c r="AM219" s="51" t="str">
        <f>IF(XT!$P219&gt;0,AL219,"")</f>
        <v/>
      </c>
      <c r="AN219" s="51" t="str">
        <f>IF(XT!$P219=0,AL219,"")</f>
        <v/>
      </c>
      <c r="AO219">
        <f>SUMPRODUCT((MONTH(CHOOSE({1,2,3,4},XT!U219,XT!Y219,XT!AC219,XT!AG219))=11)*(CHOOSE({1,2,3,4},XT!X219,XT!AB219,XT!AF219,XT!AJ219)))</f>
        <v>0</v>
      </c>
      <c r="AP219" t="str">
        <f>IFERROR(INDEX(CHOOSE({1,2,3,4}, DAY(XT!U219), DAY(XT!Y219), DAY(XT!AC219), DAY(XT!AG219)), MATCH(1, INDEX(--(MONTH(CHOOSE({1,2,3,4}, XT!U219,XT!Y219,XT!AC219,XT!AG219))=11), 0), 0)), "")</f>
        <v/>
      </c>
      <c r="AQ219" s="51" t="str">
        <f>IF(XT!$P219&gt;0,AP219,"")</f>
        <v/>
      </c>
      <c r="AR219" s="51" t="str">
        <f>IF(XT!$P219=0,AP219,"")</f>
        <v/>
      </c>
      <c r="AS219">
        <f>SUMPRODUCT((MONTH(CHOOSE({1,2,3,4},XT!U219,XT!Y219,XT!AC219,XT!AG219))=12)*(CHOOSE({1,2,3,4},XT!X219,XT!AB219,XT!AF219,XT!AJ219)))</f>
        <v>0</v>
      </c>
      <c r="AT219" t="str">
        <f>IFERROR(INDEX(CHOOSE({1,2,3,4}, DAY(XT!U219), DAY(XT!Y219), DAY(XT!AC219), DAY(XT!AG219)), MATCH(1, INDEX(--(MONTH(CHOOSE({1,2,3,4}, XT!U219,XT!Y219,XT!AC219,XT!AG219))=12), 0), 0)), "")</f>
        <v/>
      </c>
      <c r="AU219" s="51" t="str">
        <f>IF(XT!$P219&gt;0,AT219,"")</f>
        <v/>
      </c>
      <c r="AV219" s="51" t="str">
        <f>IF(XT!$P219=0,AT219,"")</f>
        <v/>
      </c>
    </row>
    <row r="220" spans="1:48">
      <c r="A220">
        <f>SUMPRODUCT((MONTH(CHOOSE({1,2,3,4},XT!U220,XT!Y220,XT!AC220,XT!AG220))=1)*(CHOOSE({1,2,3,4},XT!X220,XT!AB220,XT!AF220,XT!AJ220)))</f>
        <v>0</v>
      </c>
      <c r="B220">
        <f>IFERROR(INDEX(CHOOSE({1,2,3,4}, DAY(XT!U220), DAY(XT!Y220), DAY(XT!AC220), DAY(XT!AG220)), MATCH(1, INDEX(--(MONTH(CHOOSE({1,2,3,4}, XT!U220,XT!Y220,XT!AC220,XT!AG220))=1), 0), 0)), "")</f>
        <v>0</v>
      </c>
      <c r="C220" s="51" t="str">
        <f>IF(XT!$P220&gt;0,B220,"")</f>
        <v/>
      </c>
      <c r="D220" s="51">
        <f>IF(XT!$P220=0,B220,"")</f>
        <v>0</v>
      </c>
      <c r="E220">
        <f>SUMPRODUCT((MONTH(CHOOSE({1,2,3,4},XT!U220,XT!Y220,XT!AC220,XT!AG220))=2)*(CHOOSE({1,2,3,4},XT!X220,XT!AB220,XT!AF220,XT!AJ220)))</f>
        <v>0</v>
      </c>
      <c r="F220" t="str">
        <f>IFERROR(INDEX(CHOOSE({1,2,3,4}, DAY(XT!U220), DAY(XT!Y220), DAY(XT!AC220), DAY(XT!AG220)), MATCH(1, INDEX(--(MONTH(CHOOSE({1,2,3,4}, XT!U220,XT!Y220,XT!AC220,XT!AG220))=2), 0), 0)), "")</f>
        <v/>
      </c>
      <c r="G220" s="51" t="str">
        <f>IF(XT!$P220&gt;0,F220,"")</f>
        <v/>
      </c>
      <c r="H220" s="51" t="str">
        <f>IF(XT!$P220=0,F220,"")</f>
        <v/>
      </c>
      <c r="I220">
        <f>SUMPRODUCT((MONTH(CHOOSE({1,2,3,4},XT!U220,XT!Y220,XT!AC220,XT!AG220))=3)*(CHOOSE({1,2,3,4},XT!X220,XT!AB220,XT!AF220,XT!AJ220)))</f>
        <v>0</v>
      </c>
      <c r="J220" t="str">
        <f>IFERROR(INDEX(CHOOSE({1,2,3,4}, DAY(XT!U220), DAY(XT!Y220), DAY(XT!AC220), DAY(XT!AG220)), MATCH(1, INDEX(--(MONTH(CHOOSE({1,2,3,4}, XT!U220,XT!Y220,XT!AC220,XT!AG220))=3), 0), 0)), "")</f>
        <v/>
      </c>
      <c r="K220" s="51" t="str">
        <f>IF(XT!$P220&gt;0,J220,"")</f>
        <v/>
      </c>
      <c r="L220" s="51" t="str">
        <f>IF(XT!$P220=0,J220,"")</f>
        <v/>
      </c>
      <c r="M220">
        <f>SUMPRODUCT((MONTH(CHOOSE({1,2,3,4},XT!U220,XT!Y220,XT!AC220,XT!AG220))=4)*(CHOOSE({1,2,3,4},XT!X220,XT!AB220,XT!AF220,XT!AJ220)))</f>
        <v>0</v>
      </c>
      <c r="N220" t="str">
        <f>IFERROR(INDEX(CHOOSE({1,2,3,4}, DAY(XT!U220), DAY(XT!Y220), DAY(XT!AC220), DAY(XT!AG220)), MATCH(1, INDEX(--(MONTH(CHOOSE({1,2,3,4}, XT!U220,XT!Y220,XT!AC220,XT!AG220))=4), 0), 0)), "")</f>
        <v/>
      </c>
      <c r="O220" s="51" t="str">
        <f>IF(XT!$P220&gt;0,N220,"")</f>
        <v/>
      </c>
      <c r="P220" s="51" t="str">
        <f>IF(XT!$P220=0,N220,"")</f>
        <v/>
      </c>
      <c r="Q220">
        <f>SUMPRODUCT((MONTH(CHOOSE({1,2,3,4},XT!U220,XT!Y220,XT!AC220,XT!AG220))=5)*(CHOOSE({1,2,3,4},XT!X220,XT!AB220,XT!AF220,XT!AJ220)))</f>
        <v>0</v>
      </c>
      <c r="R220" t="str">
        <f>IFERROR(INDEX(CHOOSE({1,2,3,4}, DAY(XT!U220), DAY(XT!Y220), DAY(XT!AC220), DAY(XT!AG220)), MATCH(1, INDEX(--(MONTH(CHOOSE({1,2,3,4}, XT!U220,XT!Y220,XT!AC220,XT!AG220))=5), 0), 0)), "")</f>
        <v/>
      </c>
      <c r="S220" s="51" t="str">
        <f>IF(XT!$P220&gt;0,R220,"")</f>
        <v/>
      </c>
      <c r="T220" s="51" t="str">
        <f>IF(XT!$P220=0,R220,"")</f>
        <v/>
      </c>
      <c r="U220">
        <f>SUMPRODUCT((MONTH(CHOOSE({1,2,3,4},XT!U220,XT!Y220,XT!AC220,XT!AG220))=6)*(CHOOSE({1,2,3,4},XT!X220,XT!AB220,XT!AF220,XT!AJ220)))</f>
        <v>0</v>
      </c>
      <c r="V220" t="str">
        <f>IFERROR(INDEX(CHOOSE({1,2,3,4}, DAY(XT!U220), DAY(XT!Y220), DAY(XT!AC220), DAY(XT!AG220)), MATCH(1, INDEX(--(MONTH(CHOOSE({1,2,3,4}, XT!U220,XT!Y220,XT!AC220,XT!AG220))=6), 0), 0)), "")</f>
        <v/>
      </c>
      <c r="W220" s="51" t="str">
        <f>IF(XT!$P220&gt;0,V220,"")</f>
        <v/>
      </c>
      <c r="X220" s="51" t="str">
        <f>IF(XT!$P220=0,V220,"")</f>
        <v/>
      </c>
      <c r="Y220">
        <f>SUMPRODUCT((MONTH(CHOOSE({1,2,3,4},XT!U220,XT!Y220,XT!AC220,XT!AG220))=7)*(CHOOSE({1,2,3,4},XT!X220,XT!AB220,XT!AF220,XT!AJ220)))</f>
        <v>0</v>
      </c>
      <c r="Z220" t="str">
        <f>IFERROR(INDEX(CHOOSE({1,2,3,4}, DAY(XT!U220), DAY(XT!Y220), DAY(XT!AC220), DAY(XT!AG220)), MATCH(1, INDEX(--(MONTH(CHOOSE({1,2,3,4}, XT!U220,XT!Y220,XT!AC220,XT!AG220))=7), 0), 0)), "")</f>
        <v/>
      </c>
      <c r="AA220" s="51" t="str">
        <f>IF(XT!$P220&gt;0,Z220,"")</f>
        <v/>
      </c>
      <c r="AB220" s="51" t="str">
        <f>IF(XT!$P220=0,Z220,"")</f>
        <v/>
      </c>
      <c r="AC220">
        <f>SUMPRODUCT((MONTH(CHOOSE({1,2,3,4},XT!U220,XT!Y220,XT!AC220,XT!AG220))=8)*(CHOOSE({1,2,3,4},XT!X220,XT!AB220,XT!AF220,XT!AJ220)))</f>
        <v>0</v>
      </c>
      <c r="AD220" t="str">
        <f>IFERROR(INDEX(CHOOSE({1,2,3,4}, DAY(XT!U220), DAY(XT!Y220), DAY(XT!AC220), DAY(XT!AG220)), MATCH(1, INDEX(--(MONTH(CHOOSE({1,2,3,4}, XT!U220,XT!Y220,XT!AC220,XT!AG220))=8), 0), 0)), "")</f>
        <v/>
      </c>
      <c r="AE220" s="51" t="str">
        <f>IF(XT!$P220&gt;0,AD220,"")</f>
        <v/>
      </c>
      <c r="AF220" s="51" t="str">
        <f>IF(XT!$P220=0,AD220,"")</f>
        <v/>
      </c>
      <c r="AG220">
        <f>SUMPRODUCT((MONTH(CHOOSE({1,2,3,4},XT!U220,XT!Y220,XT!AC220,XT!AG220))=9)*(CHOOSE({1,2,3,4},XT!X220,XT!AB220,XT!AF220,XT!AJ220)))</f>
        <v>0</v>
      </c>
      <c r="AH220" t="str">
        <f>IFERROR(INDEX(CHOOSE({1,2,3,4}, DAY(XT!U220), DAY(XT!Y220), DAY(XT!AC220), DAY(XT!AG220)), MATCH(1, INDEX(--(MONTH(CHOOSE({1,2,3,4}, XT!U220,XT!Y220,XT!AC220,XT!AG220))=9), 0), 0)), "")</f>
        <v/>
      </c>
      <c r="AI220" s="51" t="str">
        <f>IF(XT!$P220&gt;0,AH220,"")</f>
        <v/>
      </c>
      <c r="AJ220" s="51" t="str">
        <f>IF(XT!$P220=0,AH220,"")</f>
        <v/>
      </c>
      <c r="AK220">
        <f>SUMPRODUCT((MONTH(CHOOSE({1,2,3,4},XT!U220,XT!Y220,XT!AC220,XT!AG220))=10)*(CHOOSE({1,2,3,4},XT!X220,XT!AB220,XT!AF220,XT!AJ220)))</f>
        <v>0</v>
      </c>
      <c r="AL220" t="str">
        <f>IFERROR(INDEX(CHOOSE({1,2,3,4}, DAY(XT!U220), DAY(XT!Y220), DAY(XT!AC220), DAY(XT!AG220)), MATCH(1, INDEX(--(MONTH(CHOOSE({1,2,3,4}, XT!U220,XT!Y220,XT!AC220,XT!AG220))=10), 0), 0)), "")</f>
        <v/>
      </c>
      <c r="AM220" s="51" t="str">
        <f>IF(XT!$P220&gt;0,AL220,"")</f>
        <v/>
      </c>
      <c r="AN220" s="51" t="str">
        <f>IF(XT!$P220=0,AL220,"")</f>
        <v/>
      </c>
      <c r="AO220">
        <f>SUMPRODUCT((MONTH(CHOOSE({1,2,3,4},XT!U220,XT!Y220,XT!AC220,XT!AG220))=11)*(CHOOSE({1,2,3,4},XT!X220,XT!AB220,XT!AF220,XT!AJ220)))</f>
        <v>0</v>
      </c>
      <c r="AP220" t="str">
        <f>IFERROR(INDEX(CHOOSE({1,2,3,4}, DAY(XT!U220), DAY(XT!Y220), DAY(XT!AC220), DAY(XT!AG220)), MATCH(1, INDEX(--(MONTH(CHOOSE({1,2,3,4}, XT!U220,XT!Y220,XT!AC220,XT!AG220))=11), 0), 0)), "")</f>
        <v/>
      </c>
      <c r="AQ220" s="51" t="str">
        <f>IF(XT!$P220&gt;0,AP220,"")</f>
        <v/>
      </c>
      <c r="AR220" s="51" t="str">
        <f>IF(XT!$P220=0,AP220,"")</f>
        <v/>
      </c>
      <c r="AS220">
        <f>SUMPRODUCT((MONTH(CHOOSE({1,2,3,4},XT!U220,XT!Y220,XT!AC220,XT!AG220))=12)*(CHOOSE({1,2,3,4},XT!X220,XT!AB220,XT!AF220,XT!AJ220)))</f>
        <v>0</v>
      </c>
      <c r="AT220" t="str">
        <f>IFERROR(INDEX(CHOOSE({1,2,3,4}, DAY(XT!U220), DAY(XT!Y220), DAY(XT!AC220), DAY(XT!AG220)), MATCH(1, INDEX(--(MONTH(CHOOSE({1,2,3,4}, XT!U220,XT!Y220,XT!AC220,XT!AG220))=12), 0), 0)), "")</f>
        <v/>
      </c>
      <c r="AU220" s="51" t="str">
        <f>IF(XT!$P220&gt;0,AT220,"")</f>
        <v/>
      </c>
      <c r="AV220" s="51" t="str">
        <f>IF(XT!$P220=0,AT220,"")</f>
        <v/>
      </c>
    </row>
    <row r="221" spans="1:48">
      <c r="A221">
        <f>SUMPRODUCT((MONTH(CHOOSE({1,2,3,4},XT!U221,XT!Y221,XT!AC221,XT!AG221))=1)*(CHOOSE({1,2,3,4},XT!X221,XT!AB221,XT!AF221,XT!AJ221)))</f>
        <v>0</v>
      </c>
      <c r="B221">
        <f>IFERROR(INDEX(CHOOSE({1,2,3,4}, DAY(XT!U221), DAY(XT!Y221), DAY(XT!AC221), DAY(XT!AG221)), MATCH(1, INDEX(--(MONTH(CHOOSE({1,2,3,4}, XT!U221,XT!Y221,XT!AC221,XT!AG221))=1), 0), 0)), "")</f>
        <v>0</v>
      </c>
      <c r="C221" s="51" t="str">
        <f>IF(XT!$P221&gt;0,B221,"")</f>
        <v/>
      </c>
      <c r="D221" s="51">
        <f>IF(XT!$P221=0,B221,"")</f>
        <v>0</v>
      </c>
      <c r="E221">
        <f>SUMPRODUCT((MONTH(CHOOSE({1,2,3,4},XT!U221,XT!Y221,XT!AC221,XT!AG221))=2)*(CHOOSE({1,2,3,4},XT!X221,XT!AB221,XT!AF221,XT!AJ221)))</f>
        <v>0</v>
      </c>
      <c r="F221" t="str">
        <f>IFERROR(INDEX(CHOOSE({1,2,3,4}, DAY(XT!U221), DAY(XT!Y221), DAY(XT!AC221), DAY(XT!AG221)), MATCH(1, INDEX(--(MONTH(CHOOSE({1,2,3,4}, XT!U221,XT!Y221,XT!AC221,XT!AG221))=2), 0), 0)), "")</f>
        <v/>
      </c>
      <c r="G221" s="51" t="str">
        <f>IF(XT!$P221&gt;0,F221,"")</f>
        <v/>
      </c>
      <c r="H221" s="51" t="str">
        <f>IF(XT!$P221=0,F221,"")</f>
        <v/>
      </c>
      <c r="I221">
        <f>SUMPRODUCT((MONTH(CHOOSE({1,2,3,4},XT!U221,XT!Y221,XT!AC221,XT!AG221))=3)*(CHOOSE({1,2,3,4},XT!X221,XT!AB221,XT!AF221,XT!AJ221)))</f>
        <v>0</v>
      </c>
      <c r="J221" t="str">
        <f>IFERROR(INDEX(CHOOSE({1,2,3,4}, DAY(XT!U221), DAY(XT!Y221), DAY(XT!AC221), DAY(XT!AG221)), MATCH(1, INDEX(--(MONTH(CHOOSE({1,2,3,4}, XT!U221,XT!Y221,XT!AC221,XT!AG221))=3), 0), 0)), "")</f>
        <v/>
      </c>
      <c r="K221" s="51" t="str">
        <f>IF(XT!$P221&gt;0,J221,"")</f>
        <v/>
      </c>
      <c r="L221" s="51" t="str">
        <f>IF(XT!$P221=0,J221,"")</f>
        <v/>
      </c>
      <c r="M221">
        <f>SUMPRODUCT((MONTH(CHOOSE({1,2,3,4},XT!U221,XT!Y221,XT!AC221,XT!AG221))=4)*(CHOOSE({1,2,3,4},XT!X221,XT!AB221,XT!AF221,XT!AJ221)))</f>
        <v>0</v>
      </c>
      <c r="N221" t="str">
        <f>IFERROR(INDEX(CHOOSE({1,2,3,4}, DAY(XT!U221), DAY(XT!Y221), DAY(XT!AC221), DAY(XT!AG221)), MATCH(1, INDEX(--(MONTH(CHOOSE({1,2,3,4}, XT!U221,XT!Y221,XT!AC221,XT!AG221))=4), 0), 0)), "")</f>
        <v/>
      </c>
      <c r="O221" s="51" t="str">
        <f>IF(XT!$P221&gt;0,N221,"")</f>
        <v/>
      </c>
      <c r="P221" s="51" t="str">
        <f>IF(XT!$P221=0,N221,"")</f>
        <v/>
      </c>
      <c r="Q221">
        <f>SUMPRODUCT((MONTH(CHOOSE({1,2,3,4},XT!U221,XT!Y221,XT!AC221,XT!AG221))=5)*(CHOOSE({1,2,3,4},XT!X221,XT!AB221,XT!AF221,XT!AJ221)))</f>
        <v>0</v>
      </c>
      <c r="R221" t="str">
        <f>IFERROR(INDEX(CHOOSE({1,2,3,4}, DAY(XT!U221), DAY(XT!Y221), DAY(XT!AC221), DAY(XT!AG221)), MATCH(1, INDEX(--(MONTH(CHOOSE({1,2,3,4}, XT!U221,XT!Y221,XT!AC221,XT!AG221))=5), 0), 0)), "")</f>
        <v/>
      </c>
      <c r="S221" s="51" t="str">
        <f>IF(XT!$P221&gt;0,R221,"")</f>
        <v/>
      </c>
      <c r="T221" s="51" t="str">
        <f>IF(XT!$P221=0,R221,"")</f>
        <v/>
      </c>
      <c r="U221">
        <f>SUMPRODUCT((MONTH(CHOOSE({1,2,3,4},XT!U221,XT!Y221,XT!AC221,XT!AG221))=6)*(CHOOSE({1,2,3,4},XT!X221,XT!AB221,XT!AF221,XT!AJ221)))</f>
        <v>0</v>
      </c>
      <c r="V221" t="str">
        <f>IFERROR(INDEX(CHOOSE({1,2,3,4}, DAY(XT!U221), DAY(XT!Y221), DAY(XT!AC221), DAY(XT!AG221)), MATCH(1, INDEX(--(MONTH(CHOOSE({1,2,3,4}, XT!U221,XT!Y221,XT!AC221,XT!AG221))=6), 0), 0)), "")</f>
        <v/>
      </c>
      <c r="W221" s="51" t="str">
        <f>IF(XT!$P221&gt;0,V221,"")</f>
        <v/>
      </c>
      <c r="X221" s="51" t="str">
        <f>IF(XT!$P221=0,V221,"")</f>
        <v/>
      </c>
      <c r="Y221">
        <f>SUMPRODUCT((MONTH(CHOOSE({1,2,3,4},XT!U221,XT!Y221,XT!AC221,XT!AG221))=7)*(CHOOSE({1,2,3,4},XT!X221,XT!AB221,XT!AF221,XT!AJ221)))</f>
        <v>0</v>
      </c>
      <c r="Z221" t="str">
        <f>IFERROR(INDEX(CHOOSE({1,2,3,4}, DAY(XT!U221), DAY(XT!Y221), DAY(XT!AC221), DAY(XT!AG221)), MATCH(1, INDEX(--(MONTH(CHOOSE({1,2,3,4}, XT!U221,XT!Y221,XT!AC221,XT!AG221))=7), 0), 0)), "")</f>
        <v/>
      </c>
      <c r="AA221" s="51" t="str">
        <f>IF(XT!$P221&gt;0,Z221,"")</f>
        <v/>
      </c>
      <c r="AB221" s="51" t="str">
        <f>IF(XT!$P221=0,Z221,"")</f>
        <v/>
      </c>
      <c r="AC221">
        <f>SUMPRODUCT((MONTH(CHOOSE({1,2,3,4},XT!U221,XT!Y221,XT!AC221,XT!AG221))=8)*(CHOOSE({1,2,3,4},XT!X221,XT!AB221,XT!AF221,XT!AJ221)))</f>
        <v>0</v>
      </c>
      <c r="AD221" t="str">
        <f>IFERROR(INDEX(CHOOSE({1,2,3,4}, DAY(XT!U221), DAY(XT!Y221), DAY(XT!AC221), DAY(XT!AG221)), MATCH(1, INDEX(--(MONTH(CHOOSE({1,2,3,4}, XT!U221,XT!Y221,XT!AC221,XT!AG221))=8), 0), 0)), "")</f>
        <v/>
      </c>
      <c r="AE221" s="51" t="str">
        <f>IF(XT!$P221&gt;0,AD221,"")</f>
        <v/>
      </c>
      <c r="AF221" s="51" t="str">
        <f>IF(XT!$P221=0,AD221,"")</f>
        <v/>
      </c>
      <c r="AG221">
        <f>SUMPRODUCT((MONTH(CHOOSE({1,2,3,4},XT!U221,XT!Y221,XT!AC221,XT!AG221))=9)*(CHOOSE({1,2,3,4},XT!X221,XT!AB221,XT!AF221,XT!AJ221)))</f>
        <v>0</v>
      </c>
      <c r="AH221" t="str">
        <f>IFERROR(INDEX(CHOOSE({1,2,3,4}, DAY(XT!U221), DAY(XT!Y221), DAY(XT!AC221), DAY(XT!AG221)), MATCH(1, INDEX(--(MONTH(CHOOSE({1,2,3,4}, XT!U221,XT!Y221,XT!AC221,XT!AG221))=9), 0), 0)), "")</f>
        <v/>
      </c>
      <c r="AI221" s="51" t="str">
        <f>IF(XT!$P221&gt;0,AH221,"")</f>
        <v/>
      </c>
      <c r="AJ221" s="51" t="str">
        <f>IF(XT!$P221=0,AH221,"")</f>
        <v/>
      </c>
      <c r="AK221">
        <f>SUMPRODUCT((MONTH(CHOOSE({1,2,3,4},XT!U221,XT!Y221,XT!AC221,XT!AG221))=10)*(CHOOSE({1,2,3,4},XT!X221,XT!AB221,XT!AF221,XT!AJ221)))</f>
        <v>0</v>
      </c>
      <c r="AL221" t="str">
        <f>IFERROR(INDEX(CHOOSE({1,2,3,4}, DAY(XT!U221), DAY(XT!Y221), DAY(XT!AC221), DAY(XT!AG221)), MATCH(1, INDEX(--(MONTH(CHOOSE({1,2,3,4}, XT!U221,XT!Y221,XT!AC221,XT!AG221))=10), 0), 0)), "")</f>
        <v/>
      </c>
      <c r="AM221" s="51" t="str">
        <f>IF(XT!$P221&gt;0,AL221,"")</f>
        <v/>
      </c>
      <c r="AN221" s="51" t="str">
        <f>IF(XT!$P221=0,AL221,"")</f>
        <v/>
      </c>
      <c r="AO221">
        <f>SUMPRODUCT((MONTH(CHOOSE({1,2,3,4},XT!U221,XT!Y221,XT!AC221,XT!AG221))=11)*(CHOOSE({1,2,3,4},XT!X221,XT!AB221,XT!AF221,XT!AJ221)))</f>
        <v>0</v>
      </c>
      <c r="AP221" t="str">
        <f>IFERROR(INDEX(CHOOSE({1,2,3,4}, DAY(XT!U221), DAY(XT!Y221), DAY(XT!AC221), DAY(XT!AG221)), MATCH(1, INDEX(--(MONTH(CHOOSE({1,2,3,4}, XT!U221,XT!Y221,XT!AC221,XT!AG221))=11), 0), 0)), "")</f>
        <v/>
      </c>
      <c r="AQ221" s="51" t="str">
        <f>IF(XT!$P221&gt;0,AP221,"")</f>
        <v/>
      </c>
      <c r="AR221" s="51" t="str">
        <f>IF(XT!$P221=0,AP221,"")</f>
        <v/>
      </c>
      <c r="AS221">
        <f>SUMPRODUCT((MONTH(CHOOSE({1,2,3,4},XT!U221,XT!Y221,XT!AC221,XT!AG221))=12)*(CHOOSE({1,2,3,4},XT!X221,XT!AB221,XT!AF221,XT!AJ221)))</f>
        <v>0</v>
      </c>
      <c r="AT221" t="str">
        <f>IFERROR(INDEX(CHOOSE({1,2,3,4}, DAY(XT!U221), DAY(XT!Y221), DAY(XT!AC221), DAY(XT!AG221)), MATCH(1, INDEX(--(MONTH(CHOOSE({1,2,3,4}, XT!U221,XT!Y221,XT!AC221,XT!AG221))=12), 0), 0)), "")</f>
        <v/>
      </c>
      <c r="AU221" s="51" t="str">
        <f>IF(XT!$P221&gt;0,AT221,"")</f>
        <v/>
      </c>
      <c r="AV221" s="51" t="str">
        <f>IF(XT!$P221=0,AT221,"")</f>
        <v/>
      </c>
    </row>
    <row r="222" spans="1:48">
      <c r="A222">
        <f>SUMPRODUCT((MONTH(CHOOSE({1,2,3,4},XT!U222,XT!Y222,XT!AC222,XT!AG222))=1)*(CHOOSE({1,2,3,4},XT!X222,XT!AB222,XT!AF222,XT!AJ222)))</f>
        <v>0</v>
      </c>
      <c r="B222">
        <f>IFERROR(INDEX(CHOOSE({1,2,3,4}, DAY(XT!U222), DAY(XT!Y222), DAY(XT!AC222), DAY(XT!AG222)), MATCH(1, INDEX(--(MONTH(CHOOSE({1,2,3,4}, XT!U222,XT!Y222,XT!AC222,XT!AG222))=1), 0), 0)), "")</f>
        <v>0</v>
      </c>
      <c r="C222" s="51" t="str">
        <f>IF(XT!$P222&gt;0,B222,"")</f>
        <v/>
      </c>
      <c r="D222" s="51">
        <f>IF(XT!$P222=0,B222,"")</f>
        <v>0</v>
      </c>
      <c r="E222">
        <f>SUMPRODUCT((MONTH(CHOOSE({1,2,3,4},XT!U222,XT!Y222,XT!AC222,XT!AG222))=2)*(CHOOSE({1,2,3,4},XT!X222,XT!AB222,XT!AF222,XT!AJ222)))</f>
        <v>0</v>
      </c>
      <c r="F222" t="str">
        <f>IFERROR(INDEX(CHOOSE({1,2,3,4}, DAY(XT!U222), DAY(XT!Y222), DAY(XT!AC222), DAY(XT!AG222)), MATCH(1, INDEX(--(MONTH(CHOOSE({1,2,3,4}, XT!U222,XT!Y222,XT!AC222,XT!AG222))=2), 0), 0)), "")</f>
        <v/>
      </c>
      <c r="G222" s="51" t="str">
        <f>IF(XT!$P222&gt;0,F222,"")</f>
        <v/>
      </c>
      <c r="H222" s="51" t="str">
        <f>IF(XT!$P222=0,F222,"")</f>
        <v/>
      </c>
      <c r="I222">
        <f>SUMPRODUCT((MONTH(CHOOSE({1,2,3,4},XT!U222,XT!Y222,XT!AC222,XT!AG222))=3)*(CHOOSE({1,2,3,4},XT!X222,XT!AB222,XT!AF222,XT!AJ222)))</f>
        <v>0</v>
      </c>
      <c r="J222" t="str">
        <f>IFERROR(INDEX(CHOOSE({1,2,3,4}, DAY(XT!U222), DAY(XT!Y222), DAY(XT!AC222), DAY(XT!AG222)), MATCH(1, INDEX(--(MONTH(CHOOSE({1,2,3,4}, XT!U222,XT!Y222,XT!AC222,XT!AG222))=3), 0), 0)), "")</f>
        <v/>
      </c>
      <c r="K222" s="51" t="str">
        <f>IF(XT!$P222&gt;0,J222,"")</f>
        <v/>
      </c>
      <c r="L222" s="51" t="str">
        <f>IF(XT!$P222=0,J222,"")</f>
        <v/>
      </c>
      <c r="M222">
        <f>SUMPRODUCT((MONTH(CHOOSE({1,2,3,4},XT!U222,XT!Y222,XT!AC222,XT!AG222))=4)*(CHOOSE({1,2,3,4},XT!X222,XT!AB222,XT!AF222,XT!AJ222)))</f>
        <v>0</v>
      </c>
      <c r="N222" t="str">
        <f>IFERROR(INDEX(CHOOSE({1,2,3,4}, DAY(XT!U222), DAY(XT!Y222), DAY(XT!AC222), DAY(XT!AG222)), MATCH(1, INDEX(--(MONTH(CHOOSE({1,2,3,4}, XT!U222,XT!Y222,XT!AC222,XT!AG222))=4), 0), 0)), "")</f>
        <v/>
      </c>
      <c r="O222" s="51" t="str">
        <f>IF(XT!$P222&gt;0,N222,"")</f>
        <v/>
      </c>
      <c r="P222" s="51" t="str">
        <f>IF(XT!$P222=0,N222,"")</f>
        <v/>
      </c>
      <c r="Q222">
        <f>SUMPRODUCT((MONTH(CHOOSE({1,2,3,4},XT!U222,XT!Y222,XT!AC222,XT!AG222))=5)*(CHOOSE({1,2,3,4},XT!X222,XT!AB222,XT!AF222,XT!AJ222)))</f>
        <v>0</v>
      </c>
      <c r="R222" t="str">
        <f>IFERROR(INDEX(CHOOSE({1,2,3,4}, DAY(XT!U222), DAY(XT!Y222), DAY(XT!AC222), DAY(XT!AG222)), MATCH(1, INDEX(--(MONTH(CHOOSE({1,2,3,4}, XT!U222,XT!Y222,XT!AC222,XT!AG222))=5), 0), 0)), "")</f>
        <v/>
      </c>
      <c r="S222" s="51" t="str">
        <f>IF(XT!$P222&gt;0,R222,"")</f>
        <v/>
      </c>
      <c r="T222" s="51" t="str">
        <f>IF(XT!$P222=0,R222,"")</f>
        <v/>
      </c>
      <c r="U222">
        <f>SUMPRODUCT((MONTH(CHOOSE({1,2,3,4},XT!U222,XT!Y222,XT!AC222,XT!AG222))=6)*(CHOOSE({1,2,3,4},XT!X222,XT!AB222,XT!AF222,XT!AJ222)))</f>
        <v>0</v>
      </c>
      <c r="V222" t="str">
        <f>IFERROR(INDEX(CHOOSE({1,2,3,4}, DAY(XT!U222), DAY(XT!Y222), DAY(XT!AC222), DAY(XT!AG222)), MATCH(1, INDEX(--(MONTH(CHOOSE({1,2,3,4}, XT!U222,XT!Y222,XT!AC222,XT!AG222))=6), 0), 0)), "")</f>
        <v/>
      </c>
      <c r="W222" s="51" t="str">
        <f>IF(XT!$P222&gt;0,V222,"")</f>
        <v/>
      </c>
      <c r="X222" s="51" t="str">
        <f>IF(XT!$P222=0,V222,"")</f>
        <v/>
      </c>
      <c r="Y222">
        <f>SUMPRODUCT((MONTH(CHOOSE({1,2,3,4},XT!U222,XT!Y222,XT!AC222,XT!AG222))=7)*(CHOOSE({1,2,3,4},XT!X222,XT!AB222,XT!AF222,XT!AJ222)))</f>
        <v>0</v>
      </c>
      <c r="Z222" t="str">
        <f>IFERROR(INDEX(CHOOSE({1,2,3,4}, DAY(XT!U222), DAY(XT!Y222), DAY(XT!AC222), DAY(XT!AG222)), MATCH(1, INDEX(--(MONTH(CHOOSE({1,2,3,4}, XT!U222,XT!Y222,XT!AC222,XT!AG222))=7), 0), 0)), "")</f>
        <v/>
      </c>
      <c r="AA222" s="51" t="str">
        <f>IF(XT!$P222&gt;0,Z222,"")</f>
        <v/>
      </c>
      <c r="AB222" s="51" t="str">
        <f>IF(XT!$P222=0,Z222,"")</f>
        <v/>
      </c>
      <c r="AC222">
        <f>SUMPRODUCT((MONTH(CHOOSE({1,2,3,4},XT!U222,XT!Y222,XT!AC222,XT!AG222))=8)*(CHOOSE({1,2,3,4},XT!X222,XT!AB222,XT!AF222,XT!AJ222)))</f>
        <v>0</v>
      </c>
      <c r="AD222" t="str">
        <f>IFERROR(INDEX(CHOOSE({1,2,3,4}, DAY(XT!U222), DAY(XT!Y222), DAY(XT!AC222), DAY(XT!AG222)), MATCH(1, INDEX(--(MONTH(CHOOSE({1,2,3,4}, XT!U222,XT!Y222,XT!AC222,XT!AG222))=8), 0), 0)), "")</f>
        <v/>
      </c>
      <c r="AE222" s="51" t="str">
        <f>IF(XT!$P222&gt;0,AD222,"")</f>
        <v/>
      </c>
      <c r="AF222" s="51" t="str">
        <f>IF(XT!$P222=0,AD222,"")</f>
        <v/>
      </c>
      <c r="AG222">
        <f>SUMPRODUCT((MONTH(CHOOSE({1,2,3,4},XT!U222,XT!Y222,XT!AC222,XT!AG222))=9)*(CHOOSE({1,2,3,4},XT!X222,XT!AB222,XT!AF222,XT!AJ222)))</f>
        <v>0</v>
      </c>
      <c r="AH222" t="str">
        <f>IFERROR(INDEX(CHOOSE({1,2,3,4}, DAY(XT!U222), DAY(XT!Y222), DAY(XT!AC222), DAY(XT!AG222)), MATCH(1, INDEX(--(MONTH(CHOOSE({1,2,3,4}, XT!U222,XT!Y222,XT!AC222,XT!AG222))=9), 0), 0)), "")</f>
        <v/>
      </c>
      <c r="AI222" s="51" t="str">
        <f>IF(XT!$P222&gt;0,AH222,"")</f>
        <v/>
      </c>
      <c r="AJ222" s="51" t="str">
        <f>IF(XT!$P222=0,AH222,"")</f>
        <v/>
      </c>
      <c r="AK222">
        <f>SUMPRODUCT((MONTH(CHOOSE({1,2,3,4},XT!U222,XT!Y222,XT!AC222,XT!AG222))=10)*(CHOOSE({1,2,3,4},XT!X222,XT!AB222,XT!AF222,XT!AJ222)))</f>
        <v>0</v>
      </c>
      <c r="AL222" t="str">
        <f>IFERROR(INDEX(CHOOSE({1,2,3,4}, DAY(XT!U222), DAY(XT!Y222), DAY(XT!AC222), DAY(XT!AG222)), MATCH(1, INDEX(--(MONTH(CHOOSE({1,2,3,4}, XT!U222,XT!Y222,XT!AC222,XT!AG222))=10), 0), 0)), "")</f>
        <v/>
      </c>
      <c r="AM222" s="51" t="str">
        <f>IF(XT!$P222&gt;0,AL222,"")</f>
        <v/>
      </c>
      <c r="AN222" s="51" t="str">
        <f>IF(XT!$P222=0,AL222,"")</f>
        <v/>
      </c>
      <c r="AO222">
        <f>SUMPRODUCT((MONTH(CHOOSE({1,2,3,4},XT!U222,XT!Y222,XT!AC222,XT!AG222))=11)*(CHOOSE({1,2,3,4},XT!X222,XT!AB222,XT!AF222,XT!AJ222)))</f>
        <v>0</v>
      </c>
      <c r="AP222" t="str">
        <f>IFERROR(INDEX(CHOOSE({1,2,3,4}, DAY(XT!U222), DAY(XT!Y222), DAY(XT!AC222), DAY(XT!AG222)), MATCH(1, INDEX(--(MONTH(CHOOSE({1,2,3,4}, XT!U222,XT!Y222,XT!AC222,XT!AG222))=11), 0), 0)), "")</f>
        <v/>
      </c>
      <c r="AQ222" s="51" t="str">
        <f>IF(XT!$P222&gt;0,AP222,"")</f>
        <v/>
      </c>
      <c r="AR222" s="51" t="str">
        <f>IF(XT!$P222=0,AP222,"")</f>
        <v/>
      </c>
      <c r="AS222">
        <f>SUMPRODUCT((MONTH(CHOOSE({1,2,3,4},XT!U222,XT!Y222,XT!AC222,XT!AG222))=12)*(CHOOSE({1,2,3,4},XT!X222,XT!AB222,XT!AF222,XT!AJ222)))</f>
        <v>0</v>
      </c>
      <c r="AT222" t="str">
        <f>IFERROR(INDEX(CHOOSE({1,2,3,4}, DAY(XT!U222), DAY(XT!Y222), DAY(XT!AC222), DAY(XT!AG222)), MATCH(1, INDEX(--(MONTH(CHOOSE({1,2,3,4}, XT!U222,XT!Y222,XT!AC222,XT!AG222))=12), 0), 0)), "")</f>
        <v/>
      </c>
      <c r="AU222" s="51" t="str">
        <f>IF(XT!$P222&gt;0,AT222,"")</f>
        <v/>
      </c>
      <c r="AV222" s="51" t="str">
        <f>IF(XT!$P222=0,AT222,"")</f>
        <v/>
      </c>
    </row>
    <row r="223" spans="1:48">
      <c r="A223">
        <f>SUMPRODUCT((MONTH(CHOOSE({1,2,3,4},XT!U223,XT!Y223,XT!AC223,XT!AG223))=1)*(CHOOSE({1,2,3,4},XT!X223,XT!AB223,XT!AF223,XT!AJ223)))</f>
        <v>0</v>
      </c>
      <c r="B223">
        <f>IFERROR(INDEX(CHOOSE({1,2,3,4}, DAY(XT!U223), DAY(XT!Y223), DAY(XT!AC223), DAY(XT!AG223)), MATCH(1, INDEX(--(MONTH(CHOOSE({1,2,3,4}, XT!U223,XT!Y223,XT!AC223,XT!AG223))=1), 0), 0)), "")</f>
        <v>0</v>
      </c>
      <c r="C223" s="51" t="str">
        <f>IF(XT!$P223&gt;0,B223,"")</f>
        <v/>
      </c>
      <c r="D223" s="51">
        <f>IF(XT!$P223=0,B223,"")</f>
        <v>0</v>
      </c>
      <c r="E223">
        <f>SUMPRODUCT((MONTH(CHOOSE({1,2,3,4},XT!U223,XT!Y223,XT!AC223,XT!AG223))=2)*(CHOOSE({1,2,3,4},XT!X223,XT!AB223,XT!AF223,XT!AJ223)))</f>
        <v>0</v>
      </c>
      <c r="F223" t="str">
        <f>IFERROR(INDEX(CHOOSE({1,2,3,4}, DAY(XT!U223), DAY(XT!Y223), DAY(XT!AC223), DAY(XT!AG223)), MATCH(1, INDEX(--(MONTH(CHOOSE({1,2,3,4}, XT!U223,XT!Y223,XT!AC223,XT!AG223))=2), 0), 0)), "")</f>
        <v/>
      </c>
      <c r="G223" s="51" t="str">
        <f>IF(XT!$P223&gt;0,F223,"")</f>
        <v/>
      </c>
      <c r="H223" s="51" t="str">
        <f>IF(XT!$P223=0,F223,"")</f>
        <v/>
      </c>
      <c r="I223">
        <f>SUMPRODUCT((MONTH(CHOOSE({1,2,3,4},XT!U223,XT!Y223,XT!AC223,XT!AG223))=3)*(CHOOSE({1,2,3,4},XT!X223,XT!AB223,XT!AF223,XT!AJ223)))</f>
        <v>0</v>
      </c>
      <c r="J223" t="str">
        <f>IFERROR(INDEX(CHOOSE({1,2,3,4}, DAY(XT!U223), DAY(XT!Y223), DAY(XT!AC223), DAY(XT!AG223)), MATCH(1, INDEX(--(MONTH(CHOOSE({1,2,3,4}, XT!U223,XT!Y223,XT!AC223,XT!AG223))=3), 0), 0)), "")</f>
        <v/>
      </c>
      <c r="K223" s="51" t="str">
        <f>IF(XT!$P223&gt;0,J223,"")</f>
        <v/>
      </c>
      <c r="L223" s="51" t="str">
        <f>IF(XT!$P223=0,J223,"")</f>
        <v/>
      </c>
      <c r="M223">
        <f>SUMPRODUCT((MONTH(CHOOSE({1,2,3,4},XT!U223,XT!Y223,XT!AC223,XT!AG223))=4)*(CHOOSE({1,2,3,4},XT!X223,XT!AB223,XT!AF223,XT!AJ223)))</f>
        <v>0</v>
      </c>
      <c r="N223" t="str">
        <f>IFERROR(INDEX(CHOOSE({1,2,3,4}, DAY(XT!U223), DAY(XT!Y223), DAY(XT!AC223), DAY(XT!AG223)), MATCH(1, INDEX(--(MONTH(CHOOSE({1,2,3,4}, XT!U223,XT!Y223,XT!AC223,XT!AG223))=4), 0), 0)), "")</f>
        <v/>
      </c>
      <c r="O223" s="51" t="str">
        <f>IF(XT!$P223&gt;0,N223,"")</f>
        <v/>
      </c>
      <c r="P223" s="51" t="str">
        <f>IF(XT!$P223=0,N223,"")</f>
        <v/>
      </c>
      <c r="Q223">
        <f>SUMPRODUCT((MONTH(CHOOSE({1,2,3,4},XT!U223,XT!Y223,XT!AC223,XT!AG223))=5)*(CHOOSE({1,2,3,4},XT!X223,XT!AB223,XT!AF223,XT!AJ223)))</f>
        <v>0</v>
      </c>
      <c r="R223" t="str">
        <f>IFERROR(INDEX(CHOOSE({1,2,3,4}, DAY(XT!U223), DAY(XT!Y223), DAY(XT!AC223), DAY(XT!AG223)), MATCH(1, INDEX(--(MONTH(CHOOSE({1,2,3,4}, XT!U223,XT!Y223,XT!AC223,XT!AG223))=5), 0), 0)), "")</f>
        <v/>
      </c>
      <c r="S223" s="51" t="str">
        <f>IF(XT!$P223&gt;0,R223,"")</f>
        <v/>
      </c>
      <c r="T223" s="51" t="str">
        <f>IF(XT!$P223=0,R223,"")</f>
        <v/>
      </c>
      <c r="U223">
        <f>SUMPRODUCT((MONTH(CHOOSE({1,2,3,4},XT!U223,XT!Y223,XT!AC223,XT!AG223))=6)*(CHOOSE({1,2,3,4},XT!X223,XT!AB223,XT!AF223,XT!AJ223)))</f>
        <v>0</v>
      </c>
      <c r="V223" t="str">
        <f>IFERROR(INDEX(CHOOSE({1,2,3,4}, DAY(XT!U223), DAY(XT!Y223), DAY(XT!AC223), DAY(XT!AG223)), MATCH(1, INDEX(--(MONTH(CHOOSE({1,2,3,4}, XT!U223,XT!Y223,XT!AC223,XT!AG223))=6), 0), 0)), "")</f>
        <v/>
      </c>
      <c r="W223" s="51" t="str">
        <f>IF(XT!$P223&gt;0,V223,"")</f>
        <v/>
      </c>
      <c r="X223" s="51" t="str">
        <f>IF(XT!$P223=0,V223,"")</f>
        <v/>
      </c>
      <c r="Y223">
        <f>SUMPRODUCT((MONTH(CHOOSE({1,2,3,4},XT!U223,XT!Y223,XT!AC223,XT!AG223))=7)*(CHOOSE({1,2,3,4},XT!X223,XT!AB223,XT!AF223,XT!AJ223)))</f>
        <v>0</v>
      </c>
      <c r="Z223" t="str">
        <f>IFERROR(INDEX(CHOOSE({1,2,3,4}, DAY(XT!U223), DAY(XT!Y223), DAY(XT!AC223), DAY(XT!AG223)), MATCH(1, INDEX(--(MONTH(CHOOSE({1,2,3,4}, XT!U223,XT!Y223,XT!AC223,XT!AG223))=7), 0), 0)), "")</f>
        <v/>
      </c>
      <c r="AA223" s="51" t="str">
        <f>IF(XT!$P223&gt;0,Z223,"")</f>
        <v/>
      </c>
      <c r="AB223" s="51" t="str">
        <f>IF(XT!$P223=0,Z223,"")</f>
        <v/>
      </c>
      <c r="AC223">
        <f>SUMPRODUCT((MONTH(CHOOSE({1,2,3,4},XT!U223,XT!Y223,XT!AC223,XT!AG223))=8)*(CHOOSE({1,2,3,4},XT!X223,XT!AB223,XT!AF223,XT!AJ223)))</f>
        <v>0</v>
      </c>
      <c r="AD223" t="str">
        <f>IFERROR(INDEX(CHOOSE({1,2,3,4}, DAY(XT!U223), DAY(XT!Y223), DAY(XT!AC223), DAY(XT!AG223)), MATCH(1, INDEX(--(MONTH(CHOOSE({1,2,3,4}, XT!U223,XT!Y223,XT!AC223,XT!AG223))=8), 0), 0)), "")</f>
        <v/>
      </c>
      <c r="AE223" s="51" t="str">
        <f>IF(XT!$P223&gt;0,AD223,"")</f>
        <v/>
      </c>
      <c r="AF223" s="51" t="str">
        <f>IF(XT!$P223=0,AD223,"")</f>
        <v/>
      </c>
      <c r="AG223">
        <f>SUMPRODUCT((MONTH(CHOOSE({1,2,3,4},XT!U223,XT!Y223,XT!AC223,XT!AG223))=9)*(CHOOSE({1,2,3,4},XT!X223,XT!AB223,XT!AF223,XT!AJ223)))</f>
        <v>0</v>
      </c>
      <c r="AH223" t="str">
        <f>IFERROR(INDEX(CHOOSE({1,2,3,4}, DAY(XT!U223), DAY(XT!Y223), DAY(XT!AC223), DAY(XT!AG223)), MATCH(1, INDEX(--(MONTH(CHOOSE({1,2,3,4}, XT!U223,XT!Y223,XT!AC223,XT!AG223))=9), 0), 0)), "")</f>
        <v/>
      </c>
      <c r="AI223" s="51" t="str">
        <f>IF(XT!$P223&gt;0,AH223,"")</f>
        <v/>
      </c>
      <c r="AJ223" s="51" t="str">
        <f>IF(XT!$P223=0,AH223,"")</f>
        <v/>
      </c>
      <c r="AK223">
        <f>SUMPRODUCT((MONTH(CHOOSE({1,2,3,4},XT!U223,XT!Y223,XT!AC223,XT!AG223))=10)*(CHOOSE({1,2,3,4},XT!X223,XT!AB223,XT!AF223,XT!AJ223)))</f>
        <v>0</v>
      </c>
      <c r="AL223" t="str">
        <f>IFERROR(INDEX(CHOOSE({1,2,3,4}, DAY(XT!U223), DAY(XT!Y223), DAY(XT!AC223), DAY(XT!AG223)), MATCH(1, INDEX(--(MONTH(CHOOSE({1,2,3,4}, XT!U223,XT!Y223,XT!AC223,XT!AG223))=10), 0), 0)), "")</f>
        <v/>
      </c>
      <c r="AM223" s="51" t="str">
        <f>IF(XT!$P223&gt;0,AL223,"")</f>
        <v/>
      </c>
      <c r="AN223" s="51" t="str">
        <f>IF(XT!$P223=0,AL223,"")</f>
        <v/>
      </c>
      <c r="AO223">
        <f>SUMPRODUCT((MONTH(CHOOSE({1,2,3,4},XT!U223,XT!Y223,XT!AC223,XT!AG223))=11)*(CHOOSE({1,2,3,4},XT!X223,XT!AB223,XT!AF223,XT!AJ223)))</f>
        <v>0</v>
      </c>
      <c r="AP223" t="str">
        <f>IFERROR(INDEX(CHOOSE({1,2,3,4}, DAY(XT!U223), DAY(XT!Y223), DAY(XT!AC223), DAY(XT!AG223)), MATCH(1, INDEX(--(MONTH(CHOOSE({1,2,3,4}, XT!U223,XT!Y223,XT!AC223,XT!AG223))=11), 0), 0)), "")</f>
        <v/>
      </c>
      <c r="AQ223" s="51" t="str">
        <f>IF(XT!$P223&gt;0,AP223,"")</f>
        <v/>
      </c>
      <c r="AR223" s="51" t="str">
        <f>IF(XT!$P223=0,AP223,"")</f>
        <v/>
      </c>
      <c r="AS223">
        <f>SUMPRODUCT((MONTH(CHOOSE({1,2,3,4},XT!U223,XT!Y223,XT!AC223,XT!AG223))=12)*(CHOOSE({1,2,3,4},XT!X223,XT!AB223,XT!AF223,XT!AJ223)))</f>
        <v>0</v>
      </c>
      <c r="AT223" t="str">
        <f>IFERROR(INDEX(CHOOSE({1,2,3,4}, DAY(XT!U223), DAY(XT!Y223), DAY(XT!AC223), DAY(XT!AG223)), MATCH(1, INDEX(--(MONTH(CHOOSE({1,2,3,4}, XT!U223,XT!Y223,XT!AC223,XT!AG223))=12), 0), 0)), "")</f>
        <v/>
      </c>
      <c r="AU223" s="51" t="str">
        <f>IF(XT!$P223&gt;0,AT223,"")</f>
        <v/>
      </c>
      <c r="AV223" s="51" t="str">
        <f>IF(XT!$P223=0,AT223,"")</f>
        <v/>
      </c>
    </row>
    <row r="224" spans="1:48">
      <c r="A224">
        <f>SUMPRODUCT((MONTH(CHOOSE({1,2,3,4},XT!U224,XT!Y224,XT!AC224,XT!AG224))=1)*(CHOOSE({1,2,3,4},XT!X224,XT!AB224,XT!AF224,XT!AJ224)))</f>
        <v>0</v>
      </c>
      <c r="B224">
        <f>IFERROR(INDEX(CHOOSE({1,2,3,4}, DAY(XT!U224), DAY(XT!Y224), DAY(XT!AC224), DAY(XT!AG224)), MATCH(1, INDEX(--(MONTH(CHOOSE({1,2,3,4}, XT!U224,XT!Y224,XT!AC224,XT!AG224))=1), 0), 0)), "")</f>
        <v>0</v>
      </c>
      <c r="C224" s="51" t="str">
        <f>IF(XT!$P224&gt;0,B224,"")</f>
        <v/>
      </c>
      <c r="D224" s="51">
        <f>IF(XT!$P224=0,B224,"")</f>
        <v>0</v>
      </c>
      <c r="E224">
        <f>SUMPRODUCT((MONTH(CHOOSE({1,2,3,4},XT!U224,XT!Y224,XT!AC224,XT!AG224))=2)*(CHOOSE({1,2,3,4},XT!X224,XT!AB224,XT!AF224,XT!AJ224)))</f>
        <v>0</v>
      </c>
      <c r="F224" t="str">
        <f>IFERROR(INDEX(CHOOSE({1,2,3,4}, DAY(XT!U224), DAY(XT!Y224), DAY(XT!AC224), DAY(XT!AG224)), MATCH(1, INDEX(--(MONTH(CHOOSE({1,2,3,4}, XT!U224,XT!Y224,XT!AC224,XT!AG224))=2), 0), 0)), "")</f>
        <v/>
      </c>
      <c r="G224" s="51" t="str">
        <f>IF(XT!$P224&gt;0,F224,"")</f>
        <v/>
      </c>
      <c r="H224" s="51" t="str">
        <f>IF(XT!$P224=0,F224,"")</f>
        <v/>
      </c>
      <c r="I224">
        <f>SUMPRODUCT((MONTH(CHOOSE({1,2,3,4},XT!U224,XT!Y224,XT!AC224,XT!AG224))=3)*(CHOOSE({1,2,3,4},XT!X224,XT!AB224,XT!AF224,XT!AJ224)))</f>
        <v>0</v>
      </c>
      <c r="J224" t="str">
        <f>IFERROR(INDEX(CHOOSE({1,2,3,4}, DAY(XT!U224), DAY(XT!Y224), DAY(XT!AC224), DAY(XT!AG224)), MATCH(1, INDEX(--(MONTH(CHOOSE({1,2,3,4}, XT!U224,XT!Y224,XT!AC224,XT!AG224))=3), 0), 0)), "")</f>
        <v/>
      </c>
      <c r="K224" s="51" t="str">
        <f>IF(XT!$P224&gt;0,J224,"")</f>
        <v/>
      </c>
      <c r="L224" s="51" t="str">
        <f>IF(XT!$P224=0,J224,"")</f>
        <v/>
      </c>
      <c r="M224">
        <f>SUMPRODUCT((MONTH(CHOOSE({1,2,3,4},XT!U224,XT!Y224,XT!AC224,XT!AG224))=4)*(CHOOSE({1,2,3,4},XT!X224,XT!AB224,XT!AF224,XT!AJ224)))</f>
        <v>0</v>
      </c>
      <c r="N224" t="str">
        <f>IFERROR(INDEX(CHOOSE({1,2,3,4}, DAY(XT!U224), DAY(XT!Y224), DAY(XT!AC224), DAY(XT!AG224)), MATCH(1, INDEX(--(MONTH(CHOOSE({1,2,3,4}, XT!U224,XT!Y224,XT!AC224,XT!AG224))=4), 0), 0)), "")</f>
        <v/>
      </c>
      <c r="O224" s="51" t="str">
        <f>IF(XT!$P224&gt;0,N224,"")</f>
        <v/>
      </c>
      <c r="P224" s="51" t="str">
        <f>IF(XT!$P224=0,N224,"")</f>
        <v/>
      </c>
      <c r="Q224">
        <f>SUMPRODUCT((MONTH(CHOOSE({1,2,3,4},XT!U224,XT!Y224,XT!AC224,XT!AG224))=5)*(CHOOSE({1,2,3,4},XT!X224,XT!AB224,XT!AF224,XT!AJ224)))</f>
        <v>0</v>
      </c>
      <c r="R224" t="str">
        <f>IFERROR(INDEX(CHOOSE({1,2,3,4}, DAY(XT!U224), DAY(XT!Y224), DAY(XT!AC224), DAY(XT!AG224)), MATCH(1, INDEX(--(MONTH(CHOOSE({1,2,3,4}, XT!U224,XT!Y224,XT!AC224,XT!AG224))=5), 0), 0)), "")</f>
        <v/>
      </c>
      <c r="S224" s="51" t="str">
        <f>IF(XT!$P224&gt;0,R224,"")</f>
        <v/>
      </c>
      <c r="T224" s="51" t="str">
        <f>IF(XT!$P224=0,R224,"")</f>
        <v/>
      </c>
      <c r="U224">
        <f>SUMPRODUCT((MONTH(CHOOSE({1,2,3,4},XT!U224,XT!Y224,XT!AC224,XT!AG224))=6)*(CHOOSE({1,2,3,4},XT!X224,XT!AB224,XT!AF224,XT!AJ224)))</f>
        <v>0</v>
      </c>
      <c r="V224" t="str">
        <f>IFERROR(INDEX(CHOOSE({1,2,3,4}, DAY(XT!U224), DAY(XT!Y224), DAY(XT!AC224), DAY(XT!AG224)), MATCH(1, INDEX(--(MONTH(CHOOSE({1,2,3,4}, XT!U224,XT!Y224,XT!AC224,XT!AG224))=6), 0), 0)), "")</f>
        <v/>
      </c>
      <c r="W224" s="51" t="str">
        <f>IF(XT!$P224&gt;0,V224,"")</f>
        <v/>
      </c>
      <c r="X224" s="51" t="str">
        <f>IF(XT!$P224=0,V224,"")</f>
        <v/>
      </c>
      <c r="Y224">
        <f>SUMPRODUCT((MONTH(CHOOSE({1,2,3,4},XT!U224,XT!Y224,XT!AC224,XT!AG224))=7)*(CHOOSE({1,2,3,4},XT!X224,XT!AB224,XT!AF224,XT!AJ224)))</f>
        <v>0</v>
      </c>
      <c r="Z224" t="str">
        <f>IFERROR(INDEX(CHOOSE({1,2,3,4}, DAY(XT!U224), DAY(XT!Y224), DAY(XT!AC224), DAY(XT!AG224)), MATCH(1, INDEX(--(MONTH(CHOOSE({1,2,3,4}, XT!U224,XT!Y224,XT!AC224,XT!AG224))=7), 0), 0)), "")</f>
        <v/>
      </c>
      <c r="AA224" s="51" t="str">
        <f>IF(XT!$P224&gt;0,Z224,"")</f>
        <v/>
      </c>
      <c r="AB224" s="51" t="str">
        <f>IF(XT!$P224=0,Z224,"")</f>
        <v/>
      </c>
      <c r="AC224">
        <f>SUMPRODUCT((MONTH(CHOOSE({1,2,3,4},XT!U224,XT!Y224,XT!AC224,XT!AG224))=8)*(CHOOSE({1,2,3,4},XT!X224,XT!AB224,XT!AF224,XT!AJ224)))</f>
        <v>0</v>
      </c>
      <c r="AD224" t="str">
        <f>IFERROR(INDEX(CHOOSE({1,2,3,4}, DAY(XT!U224), DAY(XT!Y224), DAY(XT!AC224), DAY(XT!AG224)), MATCH(1, INDEX(--(MONTH(CHOOSE({1,2,3,4}, XT!U224,XT!Y224,XT!AC224,XT!AG224))=8), 0), 0)), "")</f>
        <v/>
      </c>
      <c r="AE224" s="51" t="str">
        <f>IF(XT!$P224&gt;0,AD224,"")</f>
        <v/>
      </c>
      <c r="AF224" s="51" t="str">
        <f>IF(XT!$P224=0,AD224,"")</f>
        <v/>
      </c>
      <c r="AG224">
        <f>SUMPRODUCT((MONTH(CHOOSE({1,2,3,4},XT!U224,XT!Y224,XT!AC224,XT!AG224))=9)*(CHOOSE({1,2,3,4},XT!X224,XT!AB224,XT!AF224,XT!AJ224)))</f>
        <v>0</v>
      </c>
      <c r="AH224" t="str">
        <f>IFERROR(INDEX(CHOOSE({1,2,3,4}, DAY(XT!U224), DAY(XT!Y224), DAY(XT!AC224), DAY(XT!AG224)), MATCH(1, INDEX(--(MONTH(CHOOSE({1,2,3,4}, XT!U224,XT!Y224,XT!AC224,XT!AG224))=9), 0), 0)), "")</f>
        <v/>
      </c>
      <c r="AI224" s="51" t="str">
        <f>IF(XT!$P224&gt;0,AH224,"")</f>
        <v/>
      </c>
      <c r="AJ224" s="51" t="str">
        <f>IF(XT!$P224=0,AH224,"")</f>
        <v/>
      </c>
      <c r="AK224">
        <f>SUMPRODUCT((MONTH(CHOOSE({1,2,3,4},XT!U224,XT!Y224,XT!AC224,XT!AG224))=10)*(CHOOSE({1,2,3,4},XT!X224,XT!AB224,XT!AF224,XT!AJ224)))</f>
        <v>0</v>
      </c>
      <c r="AL224" t="str">
        <f>IFERROR(INDEX(CHOOSE({1,2,3,4}, DAY(XT!U224), DAY(XT!Y224), DAY(XT!AC224), DAY(XT!AG224)), MATCH(1, INDEX(--(MONTH(CHOOSE({1,2,3,4}, XT!U224,XT!Y224,XT!AC224,XT!AG224))=10), 0), 0)), "")</f>
        <v/>
      </c>
      <c r="AM224" s="51" t="str">
        <f>IF(XT!$P224&gt;0,AL224,"")</f>
        <v/>
      </c>
      <c r="AN224" s="51" t="str">
        <f>IF(XT!$P224=0,AL224,"")</f>
        <v/>
      </c>
      <c r="AO224">
        <f>SUMPRODUCT((MONTH(CHOOSE({1,2,3,4},XT!U224,XT!Y224,XT!AC224,XT!AG224))=11)*(CHOOSE({1,2,3,4},XT!X224,XT!AB224,XT!AF224,XT!AJ224)))</f>
        <v>0</v>
      </c>
      <c r="AP224" t="str">
        <f>IFERROR(INDEX(CHOOSE({1,2,3,4}, DAY(XT!U224), DAY(XT!Y224), DAY(XT!AC224), DAY(XT!AG224)), MATCH(1, INDEX(--(MONTH(CHOOSE({1,2,3,4}, XT!U224,XT!Y224,XT!AC224,XT!AG224))=11), 0), 0)), "")</f>
        <v/>
      </c>
      <c r="AQ224" s="51" t="str">
        <f>IF(XT!$P224&gt;0,AP224,"")</f>
        <v/>
      </c>
      <c r="AR224" s="51" t="str">
        <f>IF(XT!$P224=0,AP224,"")</f>
        <v/>
      </c>
      <c r="AS224">
        <f>SUMPRODUCT((MONTH(CHOOSE({1,2,3,4},XT!U224,XT!Y224,XT!AC224,XT!AG224))=12)*(CHOOSE({1,2,3,4},XT!X224,XT!AB224,XT!AF224,XT!AJ224)))</f>
        <v>0</v>
      </c>
      <c r="AT224" t="str">
        <f>IFERROR(INDEX(CHOOSE({1,2,3,4}, DAY(XT!U224), DAY(XT!Y224), DAY(XT!AC224), DAY(XT!AG224)), MATCH(1, INDEX(--(MONTH(CHOOSE({1,2,3,4}, XT!U224,XT!Y224,XT!AC224,XT!AG224))=12), 0), 0)), "")</f>
        <v/>
      </c>
      <c r="AU224" s="51" t="str">
        <f>IF(XT!$P224&gt;0,AT224,"")</f>
        <v/>
      </c>
      <c r="AV224" s="51" t="str">
        <f>IF(XT!$P224=0,AT224,"")</f>
        <v/>
      </c>
    </row>
    <row r="225" spans="1:48">
      <c r="A225">
        <f>SUMPRODUCT((MONTH(CHOOSE({1,2,3,4},XT!U225,XT!Y225,XT!AC225,XT!AG225))=1)*(CHOOSE({1,2,3,4},XT!X225,XT!AB225,XT!AF225,XT!AJ225)))</f>
        <v>0</v>
      </c>
      <c r="B225">
        <f>IFERROR(INDEX(CHOOSE({1,2,3,4}, DAY(XT!U225), DAY(XT!Y225), DAY(XT!AC225), DAY(XT!AG225)), MATCH(1, INDEX(--(MONTH(CHOOSE({1,2,3,4}, XT!U225,XT!Y225,XT!AC225,XT!AG225))=1), 0), 0)), "")</f>
        <v>0</v>
      </c>
      <c r="C225" s="51" t="str">
        <f>IF(XT!$P225&gt;0,B225,"")</f>
        <v/>
      </c>
      <c r="D225" s="51">
        <f>IF(XT!$P225=0,B225,"")</f>
        <v>0</v>
      </c>
      <c r="E225">
        <f>SUMPRODUCT((MONTH(CHOOSE({1,2,3,4},XT!U225,XT!Y225,XT!AC225,XT!AG225))=2)*(CHOOSE({1,2,3,4},XT!X225,XT!AB225,XT!AF225,XT!AJ225)))</f>
        <v>0</v>
      </c>
      <c r="F225" t="str">
        <f>IFERROR(INDEX(CHOOSE({1,2,3,4}, DAY(XT!U225), DAY(XT!Y225), DAY(XT!AC225), DAY(XT!AG225)), MATCH(1, INDEX(--(MONTH(CHOOSE({1,2,3,4}, XT!U225,XT!Y225,XT!AC225,XT!AG225))=2), 0), 0)), "")</f>
        <v/>
      </c>
      <c r="G225" s="51" t="str">
        <f>IF(XT!$P225&gt;0,F225,"")</f>
        <v/>
      </c>
      <c r="H225" s="51" t="str">
        <f>IF(XT!$P225=0,F225,"")</f>
        <v/>
      </c>
      <c r="I225">
        <f>SUMPRODUCT((MONTH(CHOOSE({1,2,3,4},XT!U225,XT!Y225,XT!AC225,XT!AG225))=3)*(CHOOSE({1,2,3,4},XT!X225,XT!AB225,XT!AF225,XT!AJ225)))</f>
        <v>0</v>
      </c>
      <c r="J225" t="str">
        <f>IFERROR(INDEX(CHOOSE({1,2,3,4}, DAY(XT!U225), DAY(XT!Y225), DAY(XT!AC225), DAY(XT!AG225)), MATCH(1, INDEX(--(MONTH(CHOOSE({1,2,3,4}, XT!U225,XT!Y225,XT!AC225,XT!AG225))=3), 0), 0)), "")</f>
        <v/>
      </c>
      <c r="K225" s="51" t="str">
        <f>IF(XT!$P225&gt;0,J225,"")</f>
        <v/>
      </c>
      <c r="L225" s="51" t="str">
        <f>IF(XT!$P225=0,J225,"")</f>
        <v/>
      </c>
      <c r="M225">
        <f>SUMPRODUCT((MONTH(CHOOSE({1,2,3,4},XT!U225,XT!Y225,XT!AC225,XT!AG225))=4)*(CHOOSE({1,2,3,4},XT!X225,XT!AB225,XT!AF225,XT!AJ225)))</f>
        <v>0</v>
      </c>
      <c r="N225" t="str">
        <f>IFERROR(INDEX(CHOOSE({1,2,3,4}, DAY(XT!U225), DAY(XT!Y225), DAY(XT!AC225), DAY(XT!AG225)), MATCH(1, INDEX(--(MONTH(CHOOSE({1,2,3,4}, XT!U225,XT!Y225,XT!AC225,XT!AG225))=4), 0), 0)), "")</f>
        <v/>
      </c>
      <c r="O225" s="51" t="str">
        <f>IF(XT!$P225&gt;0,N225,"")</f>
        <v/>
      </c>
      <c r="P225" s="51" t="str">
        <f>IF(XT!$P225=0,N225,"")</f>
        <v/>
      </c>
      <c r="Q225">
        <f>SUMPRODUCT((MONTH(CHOOSE({1,2,3,4},XT!U225,XT!Y225,XT!AC225,XT!AG225))=5)*(CHOOSE({1,2,3,4},XT!X225,XT!AB225,XT!AF225,XT!AJ225)))</f>
        <v>0</v>
      </c>
      <c r="R225" t="str">
        <f>IFERROR(INDEX(CHOOSE({1,2,3,4}, DAY(XT!U225), DAY(XT!Y225), DAY(XT!AC225), DAY(XT!AG225)), MATCH(1, INDEX(--(MONTH(CHOOSE({1,2,3,4}, XT!U225,XT!Y225,XT!AC225,XT!AG225))=5), 0), 0)), "")</f>
        <v/>
      </c>
      <c r="S225" s="51" t="str">
        <f>IF(XT!$P225&gt;0,R225,"")</f>
        <v/>
      </c>
      <c r="T225" s="51" t="str">
        <f>IF(XT!$P225=0,R225,"")</f>
        <v/>
      </c>
      <c r="U225">
        <f>SUMPRODUCT((MONTH(CHOOSE({1,2,3,4},XT!U225,XT!Y225,XT!AC225,XT!AG225))=6)*(CHOOSE({1,2,3,4},XT!X225,XT!AB225,XT!AF225,XT!AJ225)))</f>
        <v>0</v>
      </c>
      <c r="V225" t="str">
        <f>IFERROR(INDEX(CHOOSE({1,2,3,4}, DAY(XT!U225), DAY(XT!Y225), DAY(XT!AC225), DAY(XT!AG225)), MATCH(1, INDEX(--(MONTH(CHOOSE({1,2,3,4}, XT!U225,XT!Y225,XT!AC225,XT!AG225))=6), 0), 0)), "")</f>
        <v/>
      </c>
      <c r="W225" s="51" t="str">
        <f>IF(XT!$P225&gt;0,V225,"")</f>
        <v/>
      </c>
      <c r="X225" s="51" t="str">
        <f>IF(XT!$P225=0,V225,"")</f>
        <v/>
      </c>
      <c r="Y225">
        <f>SUMPRODUCT((MONTH(CHOOSE({1,2,3,4},XT!U225,XT!Y225,XT!AC225,XT!AG225))=7)*(CHOOSE({1,2,3,4},XT!X225,XT!AB225,XT!AF225,XT!AJ225)))</f>
        <v>0</v>
      </c>
      <c r="Z225" t="str">
        <f>IFERROR(INDEX(CHOOSE({1,2,3,4}, DAY(XT!U225), DAY(XT!Y225), DAY(XT!AC225), DAY(XT!AG225)), MATCH(1, INDEX(--(MONTH(CHOOSE({1,2,3,4}, XT!U225,XT!Y225,XT!AC225,XT!AG225))=7), 0), 0)), "")</f>
        <v/>
      </c>
      <c r="AA225" s="51" t="str">
        <f>IF(XT!$P225&gt;0,Z225,"")</f>
        <v/>
      </c>
      <c r="AB225" s="51" t="str">
        <f>IF(XT!$P225=0,Z225,"")</f>
        <v/>
      </c>
      <c r="AC225">
        <f>SUMPRODUCT((MONTH(CHOOSE({1,2,3,4},XT!U225,XT!Y225,XT!AC225,XT!AG225))=8)*(CHOOSE({1,2,3,4},XT!X225,XT!AB225,XT!AF225,XT!AJ225)))</f>
        <v>0</v>
      </c>
      <c r="AD225" t="str">
        <f>IFERROR(INDEX(CHOOSE({1,2,3,4}, DAY(XT!U225), DAY(XT!Y225), DAY(XT!AC225), DAY(XT!AG225)), MATCH(1, INDEX(--(MONTH(CHOOSE({1,2,3,4}, XT!U225,XT!Y225,XT!AC225,XT!AG225))=8), 0), 0)), "")</f>
        <v/>
      </c>
      <c r="AE225" s="51" t="str">
        <f>IF(XT!$P225&gt;0,AD225,"")</f>
        <v/>
      </c>
      <c r="AF225" s="51" t="str">
        <f>IF(XT!$P225=0,AD225,"")</f>
        <v/>
      </c>
      <c r="AG225">
        <f>SUMPRODUCT((MONTH(CHOOSE({1,2,3,4},XT!U225,XT!Y225,XT!AC225,XT!AG225))=9)*(CHOOSE({1,2,3,4},XT!X225,XT!AB225,XT!AF225,XT!AJ225)))</f>
        <v>0</v>
      </c>
      <c r="AH225" t="str">
        <f>IFERROR(INDEX(CHOOSE({1,2,3,4}, DAY(XT!U225), DAY(XT!Y225), DAY(XT!AC225), DAY(XT!AG225)), MATCH(1, INDEX(--(MONTH(CHOOSE({1,2,3,4}, XT!U225,XT!Y225,XT!AC225,XT!AG225))=9), 0), 0)), "")</f>
        <v/>
      </c>
      <c r="AI225" s="51" t="str">
        <f>IF(XT!$P225&gt;0,AH225,"")</f>
        <v/>
      </c>
      <c r="AJ225" s="51" t="str">
        <f>IF(XT!$P225=0,AH225,"")</f>
        <v/>
      </c>
      <c r="AK225">
        <f>SUMPRODUCT((MONTH(CHOOSE({1,2,3,4},XT!U225,XT!Y225,XT!AC225,XT!AG225))=10)*(CHOOSE({1,2,3,4},XT!X225,XT!AB225,XT!AF225,XT!AJ225)))</f>
        <v>0</v>
      </c>
      <c r="AL225" t="str">
        <f>IFERROR(INDEX(CHOOSE({1,2,3,4}, DAY(XT!U225), DAY(XT!Y225), DAY(XT!AC225), DAY(XT!AG225)), MATCH(1, INDEX(--(MONTH(CHOOSE({1,2,3,4}, XT!U225,XT!Y225,XT!AC225,XT!AG225))=10), 0), 0)), "")</f>
        <v/>
      </c>
      <c r="AM225" s="51" t="str">
        <f>IF(XT!$P225&gt;0,AL225,"")</f>
        <v/>
      </c>
      <c r="AN225" s="51" t="str">
        <f>IF(XT!$P225=0,AL225,"")</f>
        <v/>
      </c>
      <c r="AO225">
        <f>SUMPRODUCT((MONTH(CHOOSE({1,2,3,4},XT!U225,XT!Y225,XT!AC225,XT!AG225))=11)*(CHOOSE({1,2,3,4},XT!X225,XT!AB225,XT!AF225,XT!AJ225)))</f>
        <v>0</v>
      </c>
      <c r="AP225" t="str">
        <f>IFERROR(INDEX(CHOOSE({1,2,3,4}, DAY(XT!U225), DAY(XT!Y225), DAY(XT!AC225), DAY(XT!AG225)), MATCH(1, INDEX(--(MONTH(CHOOSE({1,2,3,4}, XT!U225,XT!Y225,XT!AC225,XT!AG225))=11), 0), 0)), "")</f>
        <v/>
      </c>
      <c r="AQ225" s="51" t="str">
        <f>IF(XT!$P225&gt;0,AP225,"")</f>
        <v/>
      </c>
      <c r="AR225" s="51" t="str">
        <f>IF(XT!$P225=0,AP225,"")</f>
        <v/>
      </c>
      <c r="AS225">
        <f>SUMPRODUCT((MONTH(CHOOSE({1,2,3,4},XT!U225,XT!Y225,XT!AC225,XT!AG225))=12)*(CHOOSE({1,2,3,4},XT!X225,XT!AB225,XT!AF225,XT!AJ225)))</f>
        <v>0</v>
      </c>
      <c r="AT225" t="str">
        <f>IFERROR(INDEX(CHOOSE({1,2,3,4}, DAY(XT!U225), DAY(XT!Y225), DAY(XT!AC225), DAY(XT!AG225)), MATCH(1, INDEX(--(MONTH(CHOOSE({1,2,3,4}, XT!U225,XT!Y225,XT!AC225,XT!AG225))=12), 0), 0)), "")</f>
        <v/>
      </c>
      <c r="AU225" s="51" t="str">
        <f>IF(XT!$P225&gt;0,AT225,"")</f>
        <v/>
      </c>
      <c r="AV225" s="51" t="str">
        <f>IF(XT!$P225=0,AT225,"")</f>
        <v/>
      </c>
    </row>
    <row r="226" spans="1:48">
      <c r="A226">
        <f>SUMPRODUCT((MONTH(CHOOSE({1,2,3,4},XT!U226,XT!Y226,XT!AC226,XT!AG226))=1)*(CHOOSE({1,2,3,4},XT!X226,XT!AB226,XT!AF226,XT!AJ226)))</f>
        <v>0</v>
      </c>
      <c r="B226">
        <f>IFERROR(INDEX(CHOOSE({1,2,3,4}, DAY(XT!U226), DAY(XT!Y226), DAY(XT!AC226), DAY(XT!AG226)), MATCH(1, INDEX(--(MONTH(CHOOSE({1,2,3,4}, XT!U226,XT!Y226,XT!AC226,XT!AG226))=1), 0), 0)), "")</f>
        <v>0</v>
      </c>
      <c r="C226" s="51" t="str">
        <f>IF(XT!$P226&gt;0,B226,"")</f>
        <v/>
      </c>
      <c r="D226" s="51">
        <f>IF(XT!$P226=0,B226,"")</f>
        <v>0</v>
      </c>
      <c r="E226">
        <f>SUMPRODUCT((MONTH(CHOOSE({1,2,3,4},XT!U226,XT!Y226,XT!AC226,XT!AG226))=2)*(CHOOSE({1,2,3,4},XT!X226,XT!AB226,XT!AF226,XT!AJ226)))</f>
        <v>0</v>
      </c>
      <c r="F226" t="str">
        <f>IFERROR(INDEX(CHOOSE({1,2,3,4}, DAY(XT!U226), DAY(XT!Y226), DAY(XT!AC226), DAY(XT!AG226)), MATCH(1, INDEX(--(MONTH(CHOOSE({1,2,3,4}, XT!U226,XT!Y226,XT!AC226,XT!AG226))=2), 0), 0)), "")</f>
        <v/>
      </c>
      <c r="G226" s="51" t="str">
        <f>IF(XT!$P226&gt;0,F226,"")</f>
        <v/>
      </c>
      <c r="H226" s="51" t="str">
        <f>IF(XT!$P226=0,F226,"")</f>
        <v/>
      </c>
      <c r="I226">
        <f>SUMPRODUCT((MONTH(CHOOSE({1,2,3,4},XT!U226,XT!Y226,XT!AC226,XT!AG226))=3)*(CHOOSE({1,2,3,4},XT!X226,XT!AB226,XT!AF226,XT!AJ226)))</f>
        <v>0</v>
      </c>
      <c r="J226" t="str">
        <f>IFERROR(INDEX(CHOOSE({1,2,3,4}, DAY(XT!U226), DAY(XT!Y226), DAY(XT!AC226), DAY(XT!AG226)), MATCH(1, INDEX(--(MONTH(CHOOSE({1,2,3,4}, XT!U226,XT!Y226,XT!AC226,XT!AG226))=3), 0), 0)), "")</f>
        <v/>
      </c>
      <c r="K226" s="51" t="str">
        <f>IF(XT!$P226&gt;0,J226,"")</f>
        <v/>
      </c>
      <c r="L226" s="51" t="str">
        <f>IF(XT!$P226=0,J226,"")</f>
        <v/>
      </c>
      <c r="M226">
        <f>SUMPRODUCT((MONTH(CHOOSE({1,2,3,4},XT!U226,XT!Y226,XT!AC226,XT!AG226))=4)*(CHOOSE({1,2,3,4},XT!X226,XT!AB226,XT!AF226,XT!AJ226)))</f>
        <v>0</v>
      </c>
      <c r="N226" t="str">
        <f>IFERROR(INDEX(CHOOSE({1,2,3,4}, DAY(XT!U226), DAY(XT!Y226), DAY(XT!AC226), DAY(XT!AG226)), MATCH(1, INDEX(--(MONTH(CHOOSE({1,2,3,4}, XT!U226,XT!Y226,XT!AC226,XT!AG226))=4), 0), 0)), "")</f>
        <v/>
      </c>
      <c r="O226" s="51" t="str">
        <f>IF(XT!$P226&gt;0,N226,"")</f>
        <v/>
      </c>
      <c r="P226" s="51" t="str">
        <f>IF(XT!$P226=0,N226,"")</f>
        <v/>
      </c>
      <c r="Q226">
        <f>SUMPRODUCT((MONTH(CHOOSE({1,2,3,4},XT!U226,XT!Y226,XT!AC226,XT!AG226))=5)*(CHOOSE({1,2,3,4},XT!X226,XT!AB226,XT!AF226,XT!AJ226)))</f>
        <v>0</v>
      </c>
      <c r="R226" t="str">
        <f>IFERROR(INDEX(CHOOSE({1,2,3,4}, DAY(XT!U226), DAY(XT!Y226), DAY(XT!AC226), DAY(XT!AG226)), MATCH(1, INDEX(--(MONTH(CHOOSE({1,2,3,4}, XT!U226,XT!Y226,XT!AC226,XT!AG226))=5), 0), 0)), "")</f>
        <v/>
      </c>
      <c r="S226" s="51" t="str">
        <f>IF(XT!$P226&gt;0,R226,"")</f>
        <v/>
      </c>
      <c r="T226" s="51" t="str">
        <f>IF(XT!$P226=0,R226,"")</f>
        <v/>
      </c>
      <c r="U226">
        <f>SUMPRODUCT((MONTH(CHOOSE({1,2,3,4},XT!U226,XT!Y226,XT!AC226,XT!AG226))=6)*(CHOOSE({1,2,3,4},XT!X226,XT!AB226,XT!AF226,XT!AJ226)))</f>
        <v>0</v>
      </c>
      <c r="V226" t="str">
        <f>IFERROR(INDEX(CHOOSE({1,2,3,4}, DAY(XT!U226), DAY(XT!Y226), DAY(XT!AC226), DAY(XT!AG226)), MATCH(1, INDEX(--(MONTH(CHOOSE({1,2,3,4}, XT!U226,XT!Y226,XT!AC226,XT!AG226))=6), 0), 0)), "")</f>
        <v/>
      </c>
      <c r="W226" s="51" t="str">
        <f>IF(XT!$P226&gt;0,V226,"")</f>
        <v/>
      </c>
      <c r="X226" s="51" t="str">
        <f>IF(XT!$P226=0,V226,"")</f>
        <v/>
      </c>
      <c r="Y226">
        <f>SUMPRODUCT((MONTH(CHOOSE({1,2,3,4},XT!U226,XT!Y226,XT!AC226,XT!AG226))=7)*(CHOOSE({1,2,3,4},XT!X226,XT!AB226,XT!AF226,XT!AJ226)))</f>
        <v>0</v>
      </c>
      <c r="Z226" t="str">
        <f>IFERROR(INDEX(CHOOSE({1,2,3,4}, DAY(XT!U226), DAY(XT!Y226), DAY(XT!AC226), DAY(XT!AG226)), MATCH(1, INDEX(--(MONTH(CHOOSE({1,2,3,4}, XT!U226,XT!Y226,XT!AC226,XT!AG226))=7), 0), 0)), "")</f>
        <v/>
      </c>
      <c r="AA226" s="51" t="str">
        <f>IF(XT!$P226&gt;0,Z226,"")</f>
        <v/>
      </c>
      <c r="AB226" s="51" t="str">
        <f>IF(XT!$P226=0,Z226,"")</f>
        <v/>
      </c>
      <c r="AC226">
        <f>SUMPRODUCT((MONTH(CHOOSE({1,2,3,4},XT!U226,XT!Y226,XT!AC226,XT!AG226))=8)*(CHOOSE({1,2,3,4},XT!X226,XT!AB226,XT!AF226,XT!AJ226)))</f>
        <v>0</v>
      </c>
      <c r="AD226" t="str">
        <f>IFERROR(INDEX(CHOOSE({1,2,3,4}, DAY(XT!U226), DAY(XT!Y226), DAY(XT!AC226), DAY(XT!AG226)), MATCH(1, INDEX(--(MONTH(CHOOSE({1,2,3,4}, XT!U226,XT!Y226,XT!AC226,XT!AG226))=8), 0), 0)), "")</f>
        <v/>
      </c>
      <c r="AE226" s="51" t="str">
        <f>IF(XT!$P226&gt;0,AD226,"")</f>
        <v/>
      </c>
      <c r="AF226" s="51" t="str">
        <f>IF(XT!$P226=0,AD226,"")</f>
        <v/>
      </c>
      <c r="AG226">
        <f>SUMPRODUCT((MONTH(CHOOSE({1,2,3,4},XT!U226,XT!Y226,XT!AC226,XT!AG226))=9)*(CHOOSE({1,2,3,4},XT!X226,XT!AB226,XT!AF226,XT!AJ226)))</f>
        <v>0</v>
      </c>
      <c r="AH226" t="str">
        <f>IFERROR(INDEX(CHOOSE({1,2,3,4}, DAY(XT!U226), DAY(XT!Y226), DAY(XT!AC226), DAY(XT!AG226)), MATCH(1, INDEX(--(MONTH(CHOOSE({1,2,3,4}, XT!U226,XT!Y226,XT!AC226,XT!AG226))=9), 0), 0)), "")</f>
        <v/>
      </c>
      <c r="AI226" s="51" t="str">
        <f>IF(XT!$P226&gt;0,AH226,"")</f>
        <v/>
      </c>
      <c r="AJ226" s="51" t="str">
        <f>IF(XT!$P226=0,AH226,"")</f>
        <v/>
      </c>
      <c r="AK226">
        <f>SUMPRODUCT((MONTH(CHOOSE({1,2,3,4},XT!U226,XT!Y226,XT!AC226,XT!AG226))=10)*(CHOOSE({1,2,3,4},XT!X226,XT!AB226,XT!AF226,XT!AJ226)))</f>
        <v>0</v>
      </c>
      <c r="AL226" t="str">
        <f>IFERROR(INDEX(CHOOSE({1,2,3,4}, DAY(XT!U226), DAY(XT!Y226), DAY(XT!AC226), DAY(XT!AG226)), MATCH(1, INDEX(--(MONTH(CHOOSE({1,2,3,4}, XT!U226,XT!Y226,XT!AC226,XT!AG226))=10), 0), 0)), "")</f>
        <v/>
      </c>
      <c r="AM226" s="51" t="str">
        <f>IF(XT!$P226&gt;0,AL226,"")</f>
        <v/>
      </c>
      <c r="AN226" s="51" t="str">
        <f>IF(XT!$P226=0,AL226,"")</f>
        <v/>
      </c>
      <c r="AO226">
        <f>SUMPRODUCT((MONTH(CHOOSE({1,2,3,4},XT!U226,XT!Y226,XT!AC226,XT!AG226))=11)*(CHOOSE({1,2,3,4},XT!X226,XT!AB226,XT!AF226,XT!AJ226)))</f>
        <v>0</v>
      </c>
      <c r="AP226" t="str">
        <f>IFERROR(INDEX(CHOOSE({1,2,3,4}, DAY(XT!U226), DAY(XT!Y226), DAY(XT!AC226), DAY(XT!AG226)), MATCH(1, INDEX(--(MONTH(CHOOSE({1,2,3,4}, XT!U226,XT!Y226,XT!AC226,XT!AG226))=11), 0), 0)), "")</f>
        <v/>
      </c>
      <c r="AQ226" s="51" t="str">
        <f>IF(XT!$P226&gt;0,AP226,"")</f>
        <v/>
      </c>
      <c r="AR226" s="51" t="str">
        <f>IF(XT!$P226=0,AP226,"")</f>
        <v/>
      </c>
      <c r="AS226">
        <f>SUMPRODUCT((MONTH(CHOOSE({1,2,3,4},XT!U226,XT!Y226,XT!AC226,XT!AG226))=12)*(CHOOSE({1,2,3,4},XT!X226,XT!AB226,XT!AF226,XT!AJ226)))</f>
        <v>0</v>
      </c>
      <c r="AT226" t="str">
        <f>IFERROR(INDEX(CHOOSE({1,2,3,4}, DAY(XT!U226), DAY(XT!Y226), DAY(XT!AC226), DAY(XT!AG226)), MATCH(1, INDEX(--(MONTH(CHOOSE({1,2,3,4}, XT!U226,XT!Y226,XT!AC226,XT!AG226))=12), 0), 0)), "")</f>
        <v/>
      </c>
      <c r="AU226" s="51" t="str">
        <f>IF(XT!$P226&gt;0,AT226,"")</f>
        <v/>
      </c>
      <c r="AV226" s="51" t="str">
        <f>IF(XT!$P226=0,AT226,"")</f>
        <v/>
      </c>
    </row>
    <row r="227" spans="1:48">
      <c r="A227">
        <f>SUMPRODUCT((MONTH(CHOOSE({1,2,3,4},XT!U227,XT!Y227,XT!AC227,XT!AG227))=1)*(CHOOSE({1,2,3,4},XT!X227,XT!AB227,XT!AF227,XT!AJ227)))</f>
        <v>0</v>
      </c>
      <c r="B227">
        <f>IFERROR(INDEX(CHOOSE({1,2,3,4}, DAY(XT!U227), DAY(XT!Y227), DAY(XT!AC227), DAY(XT!AG227)), MATCH(1, INDEX(--(MONTH(CHOOSE({1,2,3,4}, XT!U227,XT!Y227,XT!AC227,XT!AG227))=1), 0), 0)), "")</f>
        <v>0</v>
      </c>
      <c r="C227" s="51" t="str">
        <f>IF(XT!$P227&gt;0,B227,"")</f>
        <v/>
      </c>
      <c r="D227" s="51">
        <f>IF(XT!$P227=0,B227,"")</f>
        <v>0</v>
      </c>
      <c r="E227">
        <f>SUMPRODUCT((MONTH(CHOOSE({1,2,3,4},XT!U227,XT!Y227,XT!AC227,XT!AG227))=2)*(CHOOSE({1,2,3,4},XT!X227,XT!AB227,XT!AF227,XT!AJ227)))</f>
        <v>0</v>
      </c>
      <c r="F227" t="str">
        <f>IFERROR(INDEX(CHOOSE({1,2,3,4}, DAY(XT!U227), DAY(XT!Y227), DAY(XT!AC227), DAY(XT!AG227)), MATCH(1, INDEX(--(MONTH(CHOOSE({1,2,3,4}, XT!U227,XT!Y227,XT!AC227,XT!AG227))=2), 0), 0)), "")</f>
        <v/>
      </c>
      <c r="G227" s="51" t="str">
        <f>IF(XT!$P227&gt;0,F227,"")</f>
        <v/>
      </c>
      <c r="H227" s="51" t="str">
        <f>IF(XT!$P227=0,F227,"")</f>
        <v/>
      </c>
      <c r="I227">
        <f>SUMPRODUCT((MONTH(CHOOSE({1,2,3,4},XT!U227,XT!Y227,XT!AC227,XT!AG227))=3)*(CHOOSE({1,2,3,4},XT!X227,XT!AB227,XT!AF227,XT!AJ227)))</f>
        <v>0</v>
      </c>
      <c r="J227" t="str">
        <f>IFERROR(INDEX(CHOOSE({1,2,3,4}, DAY(XT!U227), DAY(XT!Y227), DAY(XT!AC227), DAY(XT!AG227)), MATCH(1, INDEX(--(MONTH(CHOOSE({1,2,3,4}, XT!U227,XT!Y227,XT!AC227,XT!AG227))=3), 0), 0)), "")</f>
        <v/>
      </c>
      <c r="K227" s="51" t="str">
        <f>IF(XT!$P227&gt;0,J227,"")</f>
        <v/>
      </c>
      <c r="L227" s="51" t="str">
        <f>IF(XT!$P227=0,J227,"")</f>
        <v/>
      </c>
      <c r="M227">
        <f>SUMPRODUCT((MONTH(CHOOSE({1,2,3,4},XT!U227,XT!Y227,XT!AC227,XT!AG227))=4)*(CHOOSE({1,2,3,4},XT!X227,XT!AB227,XT!AF227,XT!AJ227)))</f>
        <v>0</v>
      </c>
      <c r="N227" t="str">
        <f>IFERROR(INDEX(CHOOSE({1,2,3,4}, DAY(XT!U227), DAY(XT!Y227), DAY(XT!AC227), DAY(XT!AG227)), MATCH(1, INDEX(--(MONTH(CHOOSE({1,2,3,4}, XT!U227,XT!Y227,XT!AC227,XT!AG227))=4), 0), 0)), "")</f>
        <v/>
      </c>
      <c r="O227" s="51" t="str">
        <f>IF(XT!$P227&gt;0,N227,"")</f>
        <v/>
      </c>
      <c r="P227" s="51" t="str">
        <f>IF(XT!$P227=0,N227,"")</f>
        <v/>
      </c>
      <c r="Q227">
        <f>SUMPRODUCT((MONTH(CHOOSE({1,2,3,4},XT!U227,XT!Y227,XT!AC227,XT!AG227))=5)*(CHOOSE({1,2,3,4},XT!X227,XT!AB227,XT!AF227,XT!AJ227)))</f>
        <v>0</v>
      </c>
      <c r="R227" t="str">
        <f>IFERROR(INDEX(CHOOSE({1,2,3,4}, DAY(XT!U227), DAY(XT!Y227), DAY(XT!AC227), DAY(XT!AG227)), MATCH(1, INDEX(--(MONTH(CHOOSE({1,2,3,4}, XT!U227,XT!Y227,XT!AC227,XT!AG227))=5), 0), 0)), "")</f>
        <v/>
      </c>
      <c r="S227" s="51" t="str">
        <f>IF(XT!$P227&gt;0,R227,"")</f>
        <v/>
      </c>
      <c r="T227" s="51" t="str">
        <f>IF(XT!$P227=0,R227,"")</f>
        <v/>
      </c>
      <c r="U227">
        <f>SUMPRODUCT((MONTH(CHOOSE({1,2,3,4},XT!U227,XT!Y227,XT!AC227,XT!AG227))=6)*(CHOOSE({1,2,3,4},XT!X227,XT!AB227,XT!AF227,XT!AJ227)))</f>
        <v>0</v>
      </c>
      <c r="V227" t="str">
        <f>IFERROR(INDEX(CHOOSE({1,2,3,4}, DAY(XT!U227), DAY(XT!Y227), DAY(XT!AC227), DAY(XT!AG227)), MATCH(1, INDEX(--(MONTH(CHOOSE({1,2,3,4}, XT!U227,XT!Y227,XT!AC227,XT!AG227))=6), 0), 0)), "")</f>
        <v/>
      </c>
      <c r="W227" s="51" t="str">
        <f>IF(XT!$P227&gt;0,V227,"")</f>
        <v/>
      </c>
      <c r="X227" s="51" t="str">
        <f>IF(XT!$P227=0,V227,"")</f>
        <v/>
      </c>
      <c r="Y227">
        <f>SUMPRODUCT((MONTH(CHOOSE({1,2,3,4},XT!U227,XT!Y227,XT!AC227,XT!AG227))=7)*(CHOOSE({1,2,3,4},XT!X227,XT!AB227,XT!AF227,XT!AJ227)))</f>
        <v>0</v>
      </c>
      <c r="Z227" t="str">
        <f>IFERROR(INDEX(CHOOSE({1,2,3,4}, DAY(XT!U227), DAY(XT!Y227), DAY(XT!AC227), DAY(XT!AG227)), MATCH(1, INDEX(--(MONTH(CHOOSE({1,2,3,4}, XT!U227,XT!Y227,XT!AC227,XT!AG227))=7), 0), 0)), "")</f>
        <v/>
      </c>
      <c r="AA227" s="51" t="str">
        <f>IF(XT!$P227&gt;0,Z227,"")</f>
        <v/>
      </c>
      <c r="AB227" s="51" t="str">
        <f>IF(XT!$P227=0,Z227,"")</f>
        <v/>
      </c>
      <c r="AC227">
        <f>SUMPRODUCT((MONTH(CHOOSE({1,2,3,4},XT!U227,XT!Y227,XT!AC227,XT!AG227))=8)*(CHOOSE({1,2,3,4},XT!X227,XT!AB227,XT!AF227,XT!AJ227)))</f>
        <v>0</v>
      </c>
      <c r="AD227" t="str">
        <f>IFERROR(INDEX(CHOOSE({1,2,3,4}, DAY(XT!U227), DAY(XT!Y227), DAY(XT!AC227), DAY(XT!AG227)), MATCH(1, INDEX(--(MONTH(CHOOSE({1,2,3,4}, XT!U227,XT!Y227,XT!AC227,XT!AG227))=8), 0), 0)), "")</f>
        <v/>
      </c>
      <c r="AE227" s="51" t="str">
        <f>IF(XT!$P227&gt;0,AD227,"")</f>
        <v/>
      </c>
      <c r="AF227" s="51" t="str">
        <f>IF(XT!$P227=0,AD227,"")</f>
        <v/>
      </c>
      <c r="AG227">
        <f>SUMPRODUCT((MONTH(CHOOSE({1,2,3,4},XT!U227,XT!Y227,XT!AC227,XT!AG227))=9)*(CHOOSE({1,2,3,4},XT!X227,XT!AB227,XT!AF227,XT!AJ227)))</f>
        <v>0</v>
      </c>
      <c r="AH227" t="str">
        <f>IFERROR(INDEX(CHOOSE({1,2,3,4}, DAY(XT!U227), DAY(XT!Y227), DAY(XT!AC227), DAY(XT!AG227)), MATCH(1, INDEX(--(MONTH(CHOOSE({1,2,3,4}, XT!U227,XT!Y227,XT!AC227,XT!AG227))=9), 0), 0)), "")</f>
        <v/>
      </c>
      <c r="AI227" s="51" t="str">
        <f>IF(XT!$P227&gt;0,AH227,"")</f>
        <v/>
      </c>
      <c r="AJ227" s="51" t="str">
        <f>IF(XT!$P227=0,AH227,"")</f>
        <v/>
      </c>
      <c r="AK227">
        <f>SUMPRODUCT((MONTH(CHOOSE({1,2,3,4},XT!U227,XT!Y227,XT!AC227,XT!AG227))=10)*(CHOOSE({1,2,3,4},XT!X227,XT!AB227,XT!AF227,XT!AJ227)))</f>
        <v>0</v>
      </c>
      <c r="AL227" t="str">
        <f>IFERROR(INDEX(CHOOSE({1,2,3,4}, DAY(XT!U227), DAY(XT!Y227), DAY(XT!AC227), DAY(XT!AG227)), MATCH(1, INDEX(--(MONTH(CHOOSE({1,2,3,4}, XT!U227,XT!Y227,XT!AC227,XT!AG227))=10), 0), 0)), "")</f>
        <v/>
      </c>
      <c r="AM227" s="51" t="str">
        <f>IF(XT!$P227&gt;0,AL227,"")</f>
        <v/>
      </c>
      <c r="AN227" s="51" t="str">
        <f>IF(XT!$P227=0,AL227,"")</f>
        <v/>
      </c>
      <c r="AO227">
        <f>SUMPRODUCT((MONTH(CHOOSE({1,2,3,4},XT!U227,XT!Y227,XT!AC227,XT!AG227))=11)*(CHOOSE({1,2,3,4},XT!X227,XT!AB227,XT!AF227,XT!AJ227)))</f>
        <v>0</v>
      </c>
      <c r="AP227" t="str">
        <f>IFERROR(INDEX(CHOOSE({1,2,3,4}, DAY(XT!U227), DAY(XT!Y227), DAY(XT!AC227), DAY(XT!AG227)), MATCH(1, INDEX(--(MONTH(CHOOSE({1,2,3,4}, XT!U227,XT!Y227,XT!AC227,XT!AG227))=11), 0), 0)), "")</f>
        <v/>
      </c>
      <c r="AQ227" s="51" t="str">
        <f>IF(XT!$P227&gt;0,AP227,"")</f>
        <v/>
      </c>
      <c r="AR227" s="51" t="str">
        <f>IF(XT!$P227=0,AP227,"")</f>
        <v/>
      </c>
      <c r="AS227">
        <f>SUMPRODUCT((MONTH(CHOOSE({1,2,3,4},XT!U227,XT!Y227,XT!AC227,XT!AG227))=12)*(CHOOSE({1,2,3,4},XT!X227,XT!AB227,XT!AF227,XT!AJ227)))</f>
        <v>0</v>
      </c>
      <c r="AT227" t="str">
        <f>IFERROR(INDEX(CHOOSE({1,2,3,4}, DAY(XT!U227), DAY(XT!Y227), DAY(XT!AC227), DAY(XT!AG227)), MATCH(1, INDEX(--(MONTH(CHOOSE({1,2,3,4}, XT!U227,XT!Y227,XT!AC227,XT!AG227))=12), 0), 0)), "")</f>
        <v/>
      </c>
      <c r="AU227" s="51" t="str">
        <f>IF(XT!$P227&gt;0,AT227,"")</f>
        <v/>
      </c>
      <c r="AV227" s="51" t="str">
        <f>IF(XT!$P227=0,AT227,"")</f>
        <v/>
      </c>
    </row>
    <row r="228" spans="1:48">
      <c r="A228">
        <f>SUMPRODUCT((MONTH(CHOOSE({1,2,3,4},XT!U228,XT!Y228,XT!AC228,XT!AG228))=1)*(CHOOSE({1,2,3,4},XT!X228,XT!AB228,XT!AF228,XT!AJ228)))</f>
        <v>0</v>
      </c>
      <c r="B228">
        <f>IFERROR(INDEX(CHOOSE({1,2,3,4}, DAY(XT!U228), DAY(XT!Y228), DAY(XT!AC228), DAY(XT!AG228)), MATCH(1, INDEX(--(MONTH(CHOOSE({1,2,3,4}, XT!U228,XT!Y228,XT!AC228,XT!AG228))=1), 0), 0)), "")</f>
        <v>0</v>
      </c>
      <c r="C228" s="51" t="str">
        <f>IF(XT!$P228&gt;0,B228,"")</f>
        <v/>
      </c>
      <c r="D228" s="51">
        <f>IF(XT!$P228=0,B228,"")</f>
        <v>0</v>
      </c>
      <c r="E228">
        <f>SUMPRODUCT((MONTH(CHOOSE({1,2,3,4},XT!U228,XT!Y228,XT!AC228,XT!AG228))=2)*(CHOOSE({1,2,3,4},XT!X228,XT!AB228,XT!AF228,XT!AJ228)))</f>
        <v>0</v>
      </c>
      <c r="F228" t="str">
        <f>IFERROR(INDEX(CHOOSE({1,2,3,4}, DAY(XT!U228), DAY(XT!Y228), DAY(XT!AC228), DAY(XT!AG228)), MATCH(1, INDEX(--(MONTH(CHOOSE({1,2,3,4}, XT!U228,XT!Y228,XT!AC228,XT!AG228))=2), 0), 0)), "")</f>
        <v/>
      </c>
      <c r="G228" s="51" t="str">
        <f>IF(XT!$P228&gt;0,F228,"")</f>
        <v/>
      </c>
      <c r="H228" s="51" t="str">
        <f>IF(XT!$P228=0,F228,"")</f>
        <v/>
      </c>
      <c r="I228">
        <f>SUMPRODUCT((MONTH(CHOOSE({1,2,3,4},XT!U228,XT!Y228,XT!AC228,XT!AG228))=3)*(CHOOSE({1,2,3,4},XT!X228,XT!AB228,XT!AF228,XT!AJ228)))</f>
        <v>0</v>
      </c>
      <c r="J228" t="str">
        <f>IFERROR(INDEX(CHOOSE({1,2,3,4}, DAY(XT!U228), DAY(XT!Y228), DAY(XT!AC228), DAY(XT!AG228)), MATCH(1, INDEX(--(MONTH(CHOOSE({1,2,3,4}, XT!U228,XT!Y228,XT!AC228,XT!AG228))=3), 0), 0)), "")</f>
        <v/>
      </c>
      <c r="K228" s="51" t="str">
        <f>IF(XT!$P228&gt;0,J228,"")</f>
        <v/>
      </c>
      <c r="L228" s="51" t="str">
        <f>IF(XT!$P228=0,J228,"")</f>
        <v/>
      </c>
      <c r="M228">
        <f>SUMPRODUCT((MONTH(CHOOSE({1,2,3,4},XT!U228,XT!Y228,XT!AC228,XT!AG228))=4)*(CHOOSE({1,2,3,4},XT!X228,XT!AB228,XT!AF228,XT!AJ228)))</f>
        <v>0</v>
      </c>
      <c r="N228" t="str">
        <f>IFERROR(INDEX(CHOOSE({1,2,3,4}, DAY(XT!U228), DAY(XT!Y228), DAY(XT!AC228), DAY(XT!AG228)), MATCH(1, INDEX(--(MONTH(CHOOSE({1,2,3,4}, XT!U228,XT!Y228,XT!AC228,XT!AG228))=4), 0), 0)), "")</f>
        <v/>
      </c>
      <c r="O228" s="51" t="str">
        <f>IF(XT!$P228&gt;0,N228,"")</f>
        <v/>
      </c>
      <c r="P228" s="51" t="str">
        <f>IF(XT!$P228=0,N228,"")</f>
        <v/>
      </c>
      <c r="Q228">
        <f>SUMPRODUCT((MONTH(CHOOSE({1,2,3,4},XT!U228,XT!Y228,XT!AC228,XT!AG228))=5)*(CHOOSE({1,2,3,4},XT!X228,XT!AB228,XT!AF228,XT!AJ228)))</f>
        <v>0</v>
      </c>
      <c r="R228" t="str">
        <f>IFERROR(INDEX(CHOOSE({1,2,3,4}, DAY(XT!U228), DAY(XT!Y228), DAY(XT!AC228), DAY(XT!AG228)), MATCH(1, INDEX(--(MONTH(CHOOSE({1,2,3,4}, XT!U228,XT!Y228,XT!AC228,XT!AG228))=5), 0), 0)), "")</f>
        <v/>
      </c>
      <c r="S228" s="51" t="str">
        <f>IF(XT!$P228&gt;0,R228,"")</f>
        <v/>
      </c>
      <c r="T228" s="51" t="str">
        <f>IF(XT!$P228=0,R228,"")</f>
        <v/>
      </c>
      <c r="U228">
        <f>SUMPRODUCT((MONTH(CHOOSE({1,2,3,4},XT!U228,XT!Y228,XT!AC228,XT!AG228))=6)*(CHOOSE({1,2,3,4},XT!X228,XT!AB228,XT!AF228,XT!AJ228)))</f>
        <v>0</v>
      </c>
      <c r="V228" t="str">
        <f>IFERROR(INDEX(CHOOSE({1,2,3,4}, DAY(XT!U228), DAY(XT!Y228), DAY(XT!AC228), DAY(XT!AG228)), MATCH(1, INDEX(--(MONTH(CHOOSE({1,2,3,4}, XT!U228,XT!Y228,XT!AC228,XT!AG228))=6), 0), 0)), "")</f>
        <v/>
      </c>
      <c r="W228" s="51" t="str">
        <f>IF(XT!$P228&gt;0,V228,"")</f>
        <v/>
      </c>
      <c r="X228" s="51" t="str">
        <f>IF(XT!$P228=0,V228,"")</f>
        <v/>
      </c>
      <c r="Y228">
        <f>SUMPRODUCT((MONTH(CHOOSE({1,2,3,4},XT!U228,XT!Y228,XT!AC228,XT!AG228))=7)*(CHOOSE({1,2,3,4},XT!X228,XT!AB228,XT!AF228,XT!AJ228)))</f>
        <v>0</v>
      </c>
      <c r="Z228" t="str">
        <f>IFERROR(INDEX(CHOOSE({1,2,3,4}, DAY(XT!U228), DAY(XT!Y228), DAY(XT!AC228), DAY(XT!AG228)), MATCH(1, INDEX(--(MONTH(CHOOSE({1,2,3,4}, XT!U228,XT!Y228,XT!AC228,XT!AG228))=7), 0), 0)), "")</f>
        <v/>
      </c>
      <c r="AA228" s="51" t="str">
        <f>IF(XT!$P228&gt;0,Z228,"")</f>
        <v/>
      </c>
      <c r="AB228" s="51" t="str">
        <f>IF(XT!$P228=0,Z228,"")</f>
        <v/>
      </c>
      <c r="AC228">
        <f>SUMPRODUCT((MONTH(CHOOSE({1,2,3,4},XT!U228,XT!Y228,XT!AC228,XT!AG228))=8)*(CHOOSE({1,2,3,4},XT!X228,XT!AB228,XT!AF228,XT!AJ228)))</f>
        <v>0</v>
      </c>
      <c r="AD228" t="str">
        <f>IFERROR(INDEX(CHOOSE({1,2,3,4}, DAY(XT!U228), DAY(XT!Y228), DAY(XT!AC228), DAY(XT!AG228)), MATCH(1, INDEX(--(MONTH(CHOOSE({1,2,3,4}, XT!U228,XT!Y228,XT!AC228,XT!AG228))=8), 0), 0)), "")</f>
        <v/>
      </c>
      <c r="AE228" s="51" t="str">
        <f>IF(XT!$P228&gt;0,AD228,"")</f>
        <v/>
      </c>
      <c r="AF228" s="51" t="str">
        <f>IF(XT!$P228=0,AD228,"")</f>
        <v/>
      </c>
      <c r="AG228">
        <f>SUMPRODUCT((MONTH(CHOOSE({1,2,3,4},XT!U228,XT!Y228,XT!AC228,XT!AG228))=9)*(CHOOSE({1,2,3,4},XT!X228,XT!AB228,XT!AF228,XT!AJ228)))</f>
        <v>0</v>
      </c>
      <c r="AH228" t="str">
        <f>IFERROR(INDEX(CHOOSE({1,2,3,4}, DAY(XT!U228), DAY(XT!Y228), DAY(XT!AC228), DAY(XT!AG228)), MATCH(1, INDEX(--(MONTH(CHOOSE({1,2,3,4}, XT!U228,XT!Y228,XT!AC228,XT!AG228))=9), 0), 0)), "")</f>
        <v/>
      </c>
      <c r="AI228" s="51" t="str">
        <f>IF(XT!$P228&gt;0,AH228,"")</f>
        <v/>
      </c>
      <c r="AJ228" s="51" t="str">
        <f>IF(XT!$P228=0,AH228,"")</f>
        <v/>
      </c>
      <c r="AK228">
        <f>SUMPRODUCT((MONTH(CHOOSE({1,2,3,4},XT!U228,XT!Y228,XT!AC228,XT!AG228))=10)*(CHOOSE({1,2,3,4},XT!X228,XT!AB228,XT!AF228,XT!AJ228)))</f>
        <v>0</v>
      </c>
      <c r="AL228" t="str">
        <f>IFERROR(INDEX(CHOOSE({1,2,3,4}, DAY(XT!U228), DAY(XT!Y228), DAY(XT!AC228), DAY(XT!AG228)), MATCH(1, INDEX(--(MONTH(CHOOSE({1,2,3,4}, XT!U228,XT!Y228,XT!AC228,XT!AG228))=10), 0), 0)), "")</f>
        <v/>
      </c>
      <c r="AM228" s="51" t="str">
        <f>IF(XT!$P228&gt;0,AL228,"")</f>
        <v/>
      </c>
      <c r="AN228" s="51" t="str">
        <f>IF(XT!$P228=0,AL228,"")</f>
        <v/>
      </c>
      <c r="AO228">
        <f>SUMPRODUCT((MONTH(CHOOSE({1,2,3,4},XT!U228,XT!Y228,XT!AC228,XT!AG228))=11)*(CHOOSE({1,2,3,4},XT!X228,XT!AB228,XT!AF228,XT!AJ228)))</f>
        <v>0</v>
      </c>
      <c r="AP228" t="str">
        <f>IFERROR(INDEX(CHOOSE({1,2,3,4}, DAY(XT!U228), DAY(XT!Y228), DAY(XT!AC228), DAY(XT!AG228)), MATCH(1, INDEX(--(MONTH(CHOOSE({1,2,3,4}, XT!U228,XT!Y228,XT!AC228,XT!AG228))=11), 0), 0)), "")</f>
        <v/>
      </c>
      <c r="AQ228" s="51" t="str">
        <f>IF(XT!$P228&gt;0,AP228,"")</f>
        <v/>
      </c>
      <c r="AR228" s="51" t="str">
        <f>IF(XT!$P228=0,AP228,"")</f>
        <v/>
      </c>
      <c r="AS228">
        <f>SUMPRODUCT((MONTH(CHOOSE({1,2,3,4},XT!U228,XT!Y228,XT!AC228,XT!AG228))=12)*(CHOOSE({1,2,3,4},XT!X228,XT!AB228,XT!AF228,XT!AJ228)))</f>
        <v>0</v>
      </c>
      <c r="AT228" t="str">
        <f>IFERROR(INDEX(CHOOSE({1,2,3,4}, DAY(XT!U228), DAY(XT!Y228), DAY(XT!AC228), DAY(XT!AG228)), MATCH(1, INDEX(--(MONTH(CHOOSE({1,2,3,4}, XT!U228,XT!Y228,XT!AC228,XT!AG228))=12), 0), 0)), "")</f>
        <v/>
      </c>
      <c r="AU228" s="51" t="str">
        <f>IF(XT!$P228&gt;0,AT228,"")</f>
        <v/>
      </c>
      <c r="AV228" s="51" t="str">
        <f>IF(XT!$P228=0,AT228,"")</f>
        <v/>
      </c>
    </row>
    <row r="229" spans="1:48">
      <c r="A229">
        <f>SUMPRODUCT((MONTH(CHOOSE({1,2,3,4},XT!U229,XT!Y229,XT!AC229,XT!AG229))=1)*(CHOOSE({1,2,3,4},XT!X229,XT!AB229,XT!AF229,XT!AJ229)))</f>
        <v>0</v>
      </c>
      <c r="B229">
        <f>IFERROR(INDEX(CHOOSE({1,2,3,4}, DAY(XT!U229), DAY(XT!Y229), DAY(XT!AC229), DAY(XT!AG229)), MATCH(1, INDEX(--(MONTH(CHOOSE({1,2,3,4}, XT!U229,XT!Y229,XT!AC229,XT!AG229))=1), 0), 0)), "")</f>
        <v>0</v>
      </c>
      <c r="C229" s="51" t="str">
        <f>IF(XT!$P229&gt;0,B229,"")</f>
        <v/>
      </c>
      <c r="D229" s="51">
        <f>IF(XT!$P229=0,B229,"")</f>
        <v>0</v>
      </c>
      <c r="E229">
        <f>SUMPRODUCT((MONTH(CHOOSE({1,2,3,4},XT!U229,XT!Y229,XT!AC229,XT!AG229))=2)*(CHOOSE({1,2,3,4},XT!X229,XT!AB229,XT!AF229,XT!AJ229)))</f>
        <v>0</v>
      </c>
      <c r="F229" t="str">
        <f>IFERROR(INDEX(CHOOSE({1,2,3,4}, DAY(XT!U229), DAY(XT!Y229), DAY(XT!AC229), DAY(XT!AG229)), MATCH(1, INDEX(--(MONTH(CHOOSE({1,2,3,4}, XT!U229,XT!Y229,XT!AC229,XT!AG229))=2), 0), 0)), "")</f>
        <v/>
      </c>
      <c r="G229" s="51" t="str">
        <f>IF(XT!$P229&gt;0,F229,"")</f>
        <v/>
      </c>
      <c r="H229" s="51" t="str">
        <f>IF(XT!$P229=0,F229,"")</f>
        <v/>
      </c>
      <c r="I229">
        <f>SUMPRODUCT((MONTH(CHOOSE({1,2,3,4},XT!U229,XT!Y229,XT!AC229,XT!AG229))=3)*(CHOOSE({1,2,3,4},XT!X229,XT!AB229,XT!AF229,XT!AJ229)))</f>
        <v>0</v>
      </c>
      <c r="J229" t="str">
        <f>IFERROR(INDEX(CHOOSE({1,2,3,4}, DAY(XT!U229), DAY(XT!Y229), DAY(XT!AC229), DAY(XT!AG229)), MATCH(1, INDEX(--(MONTH(CHOOSE({1,2,3,4}, XT!U229,XT!Y229,XT!AC229,XT!AG229))=3), 0), 0)), "")</f>
        <v/>
      </c>
      <c r="K229" s="51" t="str">
        <f>IF(XT!$P229&gt;0,J229,"")</f>
        <v/>
      </c>
      <c r="L229" s="51" t="str">
        <f>IF(XT!$P229=0,J229,"")</f>
        <v/>
      </c>
      <c r="M229">
        <f>SUMPRODUCT((MONTH(CHOOSE({1,2,3,4},XT!U229,XT!Y229,XT!AC229,XT!AG229))=4)*(CHOOSE({1,2,3,4},XT!X229,XT!AB229,XT!AF229,XT!AJ229)))</f>
        <v>0</v>
      </c>
      <c r="N229" t="str">
        <f>IFERROR(INDEX(CHOOSE({1,2,3,4}, DAY(XT!U229), DAY(XT!Y229), DAY(XT!AC229), DAY(XT!AG229)), MATCH(1, INDEX(--(MONTH(CHOOSE({1,2,3,4}, XT!U229,XT!Y229,XT!AC229,XT!AG229))=4), 0), 0)), "")</f>
        <v/>
      </c>
      <c r="O229" s="51" t="str">
        <f>IF(XT!$P229&gt;0,N229,"")</f>
        <v/>
      </c>
      <c r="P229" s="51" t="str">
        <f>IF(XT!$P229=0,N229,"")</f>
        <v/>
      </c>
      <c r="Q229">
        <f>SUMPRODUCT((MONTH(CHOOSE({1,2,3,4},XT!U229,XT!Y229,XT!AC229,XT!AG229))=5)*(CHOOSE({1,2,3,4},XT!X229,XT!AB229,XT!AF229,XT!AJ229)))</f>
        <v>0</v>
      </c>
      <c r="R229" t="str">
        <f>IFERROR(INDEX(CHOOSE({1,2,3,4}, DAY(XT!U229), DAY(XT!Y229), DAY(XT!AC229), DAY(XT!AG229)), MATCH(1, INDEX(--(MONTH(CHOOSE({1,2,3,4}, XT!U229,XT!Y229,XT!AC229,XT!AG229))=5), 0), 0)), "")</f>
        <v/>
      </c>
      <c r="S229" s="51" t="str">
        <f>IF(XT!$P229&gt;0,R229,"")</f>
        <v/>
      </c>
      <c r="T229" s="51" t="str">
        <f>IF(XT!$P229=0,R229,"")</f>
        <v/>
      </c>
      <c r="U229">
        <f>SUMPRODUCT((MONTH(CHOOSE({1,2,3,4},XT!U229,XT!Y229,XT!AC229,XT!AG229))=6)*(CHOOSE({1,2,3,4},XT!X229,XT!AB229,XT!AF229,XT!AJ229)))</f>
        <v>0</v>
      </c>
      <c r="V229" t="str">
        <f>IFERROR(INDEX(CHOOSE({1,2,3,4}, DAY(XT!U229), DAY(XT!Y229), DAY(XT!AC229), DAY(XT!AG229)), MATCH(1, INDEX(--(MONTH(CHOOSE({1,2,3,4}, XT!U229,XT!Y229,XT!AC229,XT!AG229))=6), 0), 0)), "")</f>
        <v/>
      </c>
      <c r="W229" s="51" t="str">
        <f>IF(XT!$P229&gt;0,V229,"")</f>
        <v/>
      </c>
      <c r="X229" s="51" t="str">
        <f>IF(XT!$P229=0,V229,"")</f>
        <v/>
      </c>
      <c r="Y229">
        <f>SUMPRODUCT((MONTH(CHOOSE({1,2,3,4},XT!U229,XT!Y229,XT!AC229,XT!AG229))=7)*(CHOOSE({1,2,3,4},XT!X229,XT!AB229,XT!AF229,XT!AJ229)))</f>
        <v>0</v>
      </c>
      <c r="Z229" t="str">
        <f>IFERROR(INDEX(CHOOSE({1,2,3,4}, DAY(XT!U229), DAY(XT!Y229), DAY(XT!AC229), DAY(XT!AG229)), MATCH(1, INDEX(--(MONTH(CHOOSE({1,2,3,4}, XT!U229,XT!Y229,XT!AC229,XT!AG229))=7), 0), 0)), "")</f>
        <v/>
      </c>
      <c r="AA229" s="51" t="str">
        <f>IF(XT!$P229&gt;0,Z229,"")</f>
        <v/>
      </c>
      <c r="AB229" s="51" t="str">
        <f>IF(XT!$P229=0,Z229,"")</f>
        <v/>
      </c>
      <c r="AC229">
        <f>SUMPRODUCT((MONTH(CHOOSE({1,2,3,4},XT!U229,XT!Y229,XT!AC229,XT!AG229))=8)*(CHOOSE({1,2,3,4},XT!X229,XT!AB229,XT!AF229,XT!AJ229)))</f>
        <v>0</v>
      </c>
      <c r="AD229" t="str">
        <f>IFERROR(INDEX(CHOOSE({1,2,3,4}, DAY(XT!U229), DAY(XT!Y229), DAY(XT!AC229), DAY(XT!AG229)), MATCH(1, INDEX(--(MONTH(CHOOSE({1,2,3,4}, XT!U229,XT!Y229,XT!AC229,XT!AG229))=8), 0), 0)), "")</f>
        <v/>
      </c>
      <c r="AE229" s="51" t="str">
        <f>IF(XT!$P229&gt;0,AD229,"")</f>
        <v/>
      </c>
      <c r="AF229" s="51" t="str">
        <f>IF(XT!$P229=0,AD229,"")</f>
        <v/>
      </c>
      <c r="AG229">
        <f>SUMPRODUCT((MONTH(CHOOSE({1,2,3,4},XT!U229,XT!Y229,XT!AC229,XT!AG229))=9)*(CHOOSE({1,2,3,4},XT!X229,XT!AB229,XT!AF229,XT!AJ229)))</f>
        <v>0</v>
      </c>
      <c r="AH229" t="str">
        <f>IFERROR(INDEX(CHOOSE({1,2,3,4}, DAY(XT!U229), DAY(XT!Y229), DAY(XT!AC229), DAY(XT!AG229)), MATCH(1, INDEX(--(MONTH(CHOOSE({1,2,3,4}, XT!U229,XT!Y229,XT!AC229,XT!AG229))=9), 0), 0)), "")</f>
        <v/>
      </c>
      <c r="AI229" s="51" t="str">
        <f>IF(XT!$P229&gt;0,AH229,"")</f>
        <v/>
      </c>
      <c r="AJ229" s="51" t="str">
        <f>IF(XT!$P229=0,AH229,"")</f>
        <v/>
      </c>
      <c r="AK229">
        <f>SUMPRODUCT((MONTH(CHOOSE({1,2,3,4},XT!U229,XT!Y229,XT!AC229,XT!AG229))=10)*(CHOOSE({1,2,3,4},XT!X229,XT!AB229,XT!AF229,XT!AJ229)))</f>
        <v>0</v>
      </c>
      <c r="AL229" t="str">
        <f>IFERROR(INDEX(CHOOSE({1,2,3,4}, DAY(XT!U229), DAY(XT!Y229), DAY(XT!AC229), DAY(XT!AG229)), MATCH(1, INDEX(--(MONTH(CHOOSE({1,2,3,4}, XT!U229,XT!Y229,XT!AC229,XT!AG229))=10), 0), 0)), "")</f>
        <v/>
      </c>
      <c r="AM229" s="51" t="str">
        <f>IF(XT!$P229&gt;0,AL229,"")</f>
        <v/>
      </c>
      <c r="AN229" s="51" t="str">
        <f>IF(XT!$P229=0,AL229,"")</f>
        <v/>
      </c>
      <c r="AO229">
        <f>SUMPRODUCT((MONTH(CHOOSE({1,2,3,4},XT!U229,XT!Y229,XT!AC229,XT!AG229))=11)*(CHOOSE({1,2,3,4},XT!X229,XT!AB229,XT!AF229,XT!AJ229)))</f>
        <v>0</v>
      </c>
      <c r="AP229" t="str">
        <f>IFERROR(INDEX(CHOOSE({1,2,3,4}, DAY(XT!U229), DAY(XT!Y229), DAY(XT!AC229), DAY(XT!AG229)), MATCH(1, INDEX(--(MONTH(CHOOSE({1,2,3,4}, XT!U229,XT!Y229,XT!AC229,XT!AG229))=11), 0), 0)), "")</f>
        <v/>
      </c>
      <c r="AQ229" s="51" t="str">
        <f>IF(XT!$P229&gt;0,AP229,"")</f>
        <v/>
      </c>
      <c r="AR229" s="51" t="str">
        <f>IF(XT!$P229=0,AP229,"")</f>
        <v/>
      </c>
      <c r="AS229">
        <f>SUMPRODUCT((MONTH(CHOOSE({1,2,3,4},XT!U229,XT!Y229,XT!AC229,XT!AG229))=12)*(CHOOSE({1,2,3,4},XT!X229,XT!AB229,XT!AF229,XT!AJ229)))</f>
        <v>0</v>
      </c>
      <c r="AT229" t="str">
        <f>IFERROR(INDEX(CHOOSE({1,2,3,4}, DAY(XT!U229), DAY(XT!Y229), DAY(XT!AC229), DAY(XT!AG229)), MATCH(1, INDEX(--(MONTH(CHOOSE({1,2,3,4}, XT!U229,XT!Y229,XT!AC229,XT!AG229))=12), 0), 0)), "")</f>
        <v/>
      </c>
      <c r="AU229" s="51" t="str">
        <f>IF(XT!$P229&gt;0,AT229,"")</f>
        <v/>
      </c>
      <c r="AV229" s="51" t="str">
        <f>IF(XT!$P229=0,AT229,"")</f>
        <v/>
      </c>
    </row>
    <row r="230" spans="1:48">
      <c r="A230">
        <f>SUMPRODUCT((MONTH(CHOOSE({1,2,3,4},XT!U230,XT!Y230,XT!AC230,XT!AG230))=1)*(CHOOSE({1,2,3,4},XT!X230,XT!AB230,XT!AF230,XT!AJ230)))</f>
        <v>0</v>
      </c>
      <c r="B230">
        <f>IFERROR(INDEX(CHOOSE({1,2,3,4}, DAY(XT!U230), DAY(XT!Y230), DAY(XT!AC230), DAY(XT!AG230)), MATCH(1, INDEX(--(MONTH(CHOOSE({1,2,3,4}, XT!U230,XT!Y230,XT!AC230,XT!AG230))=1), 0), 0)), "")</f>
        <v>0</v>
      </c>
      <c r="C230" s="51" t="str">
        <f>IF(XT!$P230&gt;0,B230,"")</f>
        <v/>
      </c>
      <c r="D230" s="51">
        <f>IF(XT!$P230=0,B230,"")</f>
        <v>0</v>
      </c>
      <c r="E230">
        <f>SUMPRODUCT((MONTH(CHOOSE({1,2,3,4},XT!U230,XT!Y230,XT!AC230,XT!AG230))=2)*(CHOOSE({1,2,3,4},XT!X230,XT!AB230,XT!AF230,XT!AJ230)))</f>
        <v>0</v>
      </c>
      <c r="F230" t="str">
        <f>IFERROR(INDEX(CHOOSE({1,2,3,4}, DAY(XT!U230), DAY(XT!Y230), DAY(XT!AC230), DAY(XT!AG230)), MATCH(1, INDEX(--(MONTH(CHOOSE({1,2,3,4}, XT!U230,XT!Y230,XT!AC230,XT!AG230))=2), 0), 0)), "")</f>
        <v/>
      </c>
      <c r="G230" s="51" t="str">
        <f>IF(XT!$P230&gt;0,F230,"")</f>
        <v/>
      </c>
      <c r="H230" s="51" t="str">
        <f>IF(XT!$P230=0,F230,"")</f>
        <v/>
      </c>
      <c r="I230">
        <f>SUMPRODUCT((MONTH(CHOOSE({1,2,3,4},XT!U230,XT!Y230,XT!AC230,XT!AG230))=3)*(CHOOSE({1,2,3,4},XT!X230,XT!AB230,XT!AF230,XT!AJ230)))</f>
        <v>0</v>
      </c>
      <c r="J230" t="str">
        <f>IFERROR(INDEX(CHOOSE({1,2,3,4}, DAY(XT!U230), DAY(XT!Y230), DAY(XT!AC230), DAY(XT!AG230)), MATCH(1, INDEX(--(MONTH(CHOOSE({1,2,3,4}, XT!U230,XT!Y230,XT!AC230,XT!AG230))=3), 0), 0)), "")</f>
        <v/>
      </c>
      <c r="K230" s="51" t="str">
        <f>IF(XT!$P230&gt;0,J230,"")</f>
        <v/>
      </c>
      <c r="L230" s="51" t="str">
        <f>IF(XT!$P230=0,J230,"")</f>
        <v/>
      </c>
      <c r="M230">
        <f>SUMPRODUCT((MONTH(CHOOSE({1,2,3,4},XT!U230,XT!Y230,XT!AC230,XT!AG230))=4)*(CHOOSE({1,2,3,4},XT!X230,XT!AB230,XT!AF230,XT!AJ230)))</f>
        <v>0</v>
      </c>
      <c r="N230" t="str">
        <f>IFERROR(INDEX(CHOOSE({1,2,3,4}, DAY(XT!U230), DAY(XT!Y230), DAY(XT!AC230), DAY(XT!AG230)), MATCH(1, INDEX(--(MONTH(CHOOSE({1,2,3,4}, XT!U230,XT!Y230,XT!AC230,XT!AG230))=4), 0), 0)), "")</f>
        <v/>
      </c>
      <c r="O230" s="51" t="str">
        <f>IF(XT!$P230&gt;0,N230,"")</f>
        <v/>
      </c>
      <c r="P230" s="51" t="str">
        <f>IF(XT!$P230=0,N230,"")</f>
        <v/>
      </c>
      <c r="Q230">
        <f>SUMPRODUCT((MONTH(CHOOSE({1,2,3,4},XT!U230,XT!Y230,XT!AC230,XT!AG230))=5)*(CHOOSE({1,2,3,4},XT!X230,XT!AB230,XT!AF230,XT!AJ230)))</f>
        <v>0</v>
      </c>
      <c r="R230" t="str">
        <f>IFERROR(INDEX(CHOOSE({1,2,3,4}, DAY(XT!U230), DAY(XT!Y230), DAY(XT!AC230), DAY(XT!AG230)), MATCH(1, INDEX(--(MONTH(CHOOSE({1,2,3,4}, XT!U230,XT!Y230,XT!AC230,XT!AG230))=5), 0), 0)), "")</f>
        <v/>
      </c>
      <c r="S230" s="51" t="str">
        <f>IF(XT!$P230&gt;0,R230,"")</f>
        <v/>
      </c>
      <c r="T230" s="51" t="str">
        <f>IF(XT!$P230=0,R230,"")</f>
        <v/>
      </c>
      <c r="U230">
        <f>SUMPRODUCT((MONTH(CHOOSE({1,2,3,4},XT!U230,XT!Y230,XT!AC230,XT!AG230))=6)*(CHOOSE({1,2,3,4},XT!X230,XT!AB230,XT!AF230,XT!AJ230)))</f>
        <v>0</v>
      </c>
      <c r="V230" t="str">
        <f>IFERROR(INDEX(CHOOSE({1,2,3,4}, DAY(XT!U230), DAY(XT!Y230), DAY(XT!AC230), DAY(XT!AG230)), MATCH(1, INDEX(--(MONTH(CHOOSE({1,2,3,4}, XT!U230,XT!Y230,XT!AC230,XT!AG230))=6), 0), 0)), "")</f>
        <v/>
      </c>
      <c r="W230" s="51" t="str">
        <f>IF(XT!$P230&gt;0,V230,"")</f>
        <v/>
      </c>
      <c r="X230" s="51" t="str">
        <f>IF(XT!$P230=0,V230,"")</f>
        <v/>
      </c>
      <c r="Y230">
        <f>SUMPRODUCT((MONTH(CHOOSE({1,2,3,4},XT!U230,XT!Y230,XT!AC230,XT!AG230))=7)*(CHOOSE({1,2,3,4},XT!X230,XT!AB230,XT!AF230,XT!AJ230)))</f>
        <v>0</v>
      </c>
      <c r="Z230" t="str">
        <f>IFERROR(INDEX(CHOOSE({1,2,3,4}, DAY(XT!U230), DAY(XT!Y230), DAY(XT!AC230), DAY(XT!AG230)), MATCH(1, INDEX(--(MONTH(CHOOSE({1,2,3,4}, XT!U230,XT!Y230,XT!AC230,XT!AG230))=7), 0), 0)), "")</f>
        <v/>
      </c>
      <c r="AA230" s="51" t="str">
        <f>IF(XT!$P230&gt;0,Z230,"")</f>
        <v/>
      </c>
      <c r="AB230" s="51" t="str">
        <f>IF(XT!$P230=0,Z230,"")</f>
        <v/>
      </c>
      <c r="AC230">
        <f>SUMPRODUCT((MONTH(CHOOSE({1,2,3,4},XT!U230,XT!Y230,XT!AC230,XT!AG230))=8)*(CHOOSE({1,2,3,4},XT!X230,XT!AB230,XT!AF230,XT!AJ230)))</f>
        <v>0</v>
      </c>
      <c r="AD230" t="str">
        <f>IFERROR(INDEX(CHOOSE({1,2,3,4}, DAY(XT!U230), DAY(XT!Y230), DAY(XT!AC230), DAY(XT!AG230)), MATCH(1, INDEX(--(MONTH(CHOOSE({1,2,3,4}, XT!U230,XT!Y230,XT!AC230,XT!AG230))=8), 0), 0)), "")</f>
        <v/>
      </c>
      <c r="AE230" s="51" t="str">
        <f>IF(XT!$P230&gt;0,AD230,"")</f>
        <v/>
      </c>
      <c r="AF230" s="51" t="str">
        <f>IF(XT!$P230=0,AD230,"")</f>
        <v/>
      </c>
      <c r="AG230">
        <f>SUMPRODUCT((MONTH(CHOOSE({1,2,3,4},XT!U230,XT!Y230,XT!AC230,XT!AG230))=9)*(CHOOSE({1,2,3,4},XT!X230,XT!AB230,XT!AF230,XT!AJ230)))</f>
        <v>0</v>
      </c>
      <c r="AH230" t="str">
        <f>IFERROR(INDEX(CHOOSE({1,2,3,4}, DAY(XT!U230), DAY(XT!Y230), DAY(XT!AC230), DAY(XT!AG230)), MATCH(1, INDEX(--(MONTH(CHOOSE({1,2,3,4}, XT!U230,XT!Y230,XT!AC230,XT!AG230))=9), 0), 0)), "")</f>
        <v/>
      </c>
      <c r="AI230" s="51" t="str">
        <f>IF(XT!$P230&gt;0,AH230,"")</f>
        <v/>
      </c>
      <c r="AJ230" s="51" t="str">
        <f>IF(XT!$P230=0,AH230,"")</f>
        <v/>
      </c>
      <c r="AK230">
        <f>SUMPRODUCT((MONTH(CHOOSE({1,2,3,4},XT!U230,XT!Y230,XT!AC230,XT!AG230))=10)*(CHOOSE({1,2,3,4},XT!X230,XT!AB230,XT!AF230,XT!AJ230)))</f>
        <v>0</v>
      </c>
      <c r="AL230" t="str">
        <f>IFERROR(INDEX(CHOOSE({1,2,3,4}, DAY(XT!U230), DAY(XT!Y230), DAY(XT!AC230), DAY(XT!AG230)), MATCH(1, INDEX(--(MONTH(CHOOSE({1,2,3,4}, XT!U230,XT!Y230,XT!AC230,XT!AG230))=10), 0), 0)), "")</f>
        <v/>
      </c>
      <c r="AM230" s="51" t="str">
        <f>IF(XT!$P230&gt;0,AL230,"")</f>
        <v/>
      </c>
      <c r="AN230" s="51" t="str">
        <f>IF(XT!$P230=0,AL230,"")</f>
        <v/>
      </c>
      <c r="AO230">
        <f>SUMPRODUCT((MONTH(CHOOSE({1,2,3,4},XT!U230,XT!Y230,XT!AC230,XT!AG230))=11)*(CHOOSE({1,2,3,4},XT!X230,XT!AB230,XT!AF230,XT!AJ230)))</f>
        <v>0</v>
      </c>
      <c r="AP230" t="str">
        <f>IFERROR(INDEX(CHOOSE({1,2,3,4}, DAY(XT!U230), DAY(XT!Y230), DAY(XT!AC230), DAY(XT!AG230)), MATCH(1, INDEX(--(MONTH(CHOOSE({1,2,3,4}, XT!U230,XT!Y230,XT!AC230,XT!AG230))=11), 0), 0)), "")</f>
        <v/>
      </c>
      <c r="AQ230" s="51" t="str">
        <f>IF(XT!$P230&gt;0,AP230,"")</f>
        <v/>
      </c>
      <c r="AR230" s="51" t="str">
        <f>IF(XT!$P230=0,AP230,"")</f>
        <v/>
      </c>
      <c r="AS230">
        <f>SUMPRODUCT((MONTH(CHOOSE({1,2,3,4},XT!U230,XT!Y230,XT!AC230,XT!AG230))=12)*(CHOOSE({1,2,3,4},XT!X230,XT!AB230,XT!AF230,XT!AJ230)))</f>
        <v>0</v>
      </c>
      <c r="AT230" t="str">
        <f>IFERROR(INDEX(CHOOSE({1,2,3,4}, DAY(XT!U230), DAY(XT!Y230), DAY(XT!AC230), DAY(XT!AG230)), MATCH(1, INDEX(--(MONTH(CHOOSE({1,2,3,4}, XT!U230,XT!Y230,XT!AC230,XT!AG230))=12), 0), 0)), "")</f>
        <v/>
      </c>
      <c r="AU230" s="51" t="str">
        <f>IF(XT!$P230&gt;0,AT230,"")</f>
        <v/>
      </c>
      <c r="AV230" s="51" t="str">
        <f>IF(XT!$P230=0,AT230,"")</f>
        <v/>
      </c>
    </row>
    <row r="231" spans="1:48">
      <c r="A231">
        <f>SUMPRODUCT((MONTH(CHOOSE({1,2,3,4},XT!U231,XT!Y231,XT!AC231,XT!AG231))=1)*(CHOOSE({1,2,3,4},XT!X231,XT!AB231,XT!AF231,XT!AJ231)))</f>
        <v>0</v>
      </c>
      <c r="B231">
        <f>IFERROR(INDEX(CHOOSE({1,2,3,4}, DAY(XT!U231), DAY(XT!Y231), DAY(XT!AC231), DAY(XT!AG231)), MATCH(1, INDEX(--(MONTH(CHOOSE({1,2,3,4}, XT!U231,XT!Y231,XT!AC231,XT!AG231))=1), 0), 0)), "")</f>
        <v>0</v>
      </c>
      <c r="C231" s="51" t="str">
        <f>IF(XT!$P231&gt;0,B231,"")</f>
        <v/>
      </c>
      <c r="D231" s="51">
        <f>IF(XT!$P231=0,B231,"")</f>
        <v>0</v>
      </c>
      <c r="E231">
        <f>SUMPRODUCT((MONTH(CHOOSE({1,2,3,4},XT!U231,XT!Y231,XT!AC231,XT!AG231))=2)*(CHOOSE({1,2,3,4},XT!X231,XT!AB231,XT!AF231,XT!AJ231)))</f>
        <v>0</v>
      </c>
      <c r="F231" t="str">
        <f>IFERROR(INDEX(CHOOSE({1,2,3,4}, DAY(XT!U231), DAY(XT!Y231), DAY(XT!AC231), DAY(XT!AG231)), MATCH(1, INDEX(--(MONTH(CHOOSE({1,2,3,4}, XT!U231,XT!Y231,XT!AC231,XT!AG231))=2), 0), 0)), "")</f>
        <v/>
      </c>
      <c r="G231" s="51" t="str">
        <f>IF(XT!$P231&gt;0,F231,"")</f>
        <v/>
      </c>
      <c r="H231" s="51" t="str">
        <f>IF(XT!$P231=0,F231,"")</f>
        <v/>
      </c>
      <c r="I231">
        <f>SUMPRODUCT((MONTH(CHOOSE({1,2,3,4},XT!U231,XT!Y231,XT!AC231,XT!AG231))=3)*(CHOOSE({1,2,3,4},XT!X231,XT!AB231,XT!AF231,XT!AJ231)))</f>
        <v>0</v>
      </c>
      <c r="J231" t="str">
        <f>IFERROR(INDEX(CHOOSE({1,2,3,4}, DAY(XT!U231), DAY(XT!Y231), DAY(XT!AC231), DAY(XT!AG231)), MATCH(1, INDEX(--(MONTH(CHOOSE({1,2,3,4}, XT!U231,XT!Y231,XT!AC231,XT!AG231))=3), 0), 0)), "")</f>
        <v/>
      </c>
      <c r="K231" s="51" t="str">
        <f>IF(XT!$P231&gt;0,J231,"")</f>
        <v/>
      </c>
      <c r="L231" s="51" t="str">
        <f>IF(XT!$P231=0,J231,"")</f>
        <v/>
      </c>
      <c r="M231">
        <f>SUMPRODUCT((MONTH(CHOOSE({1,2,3,4},XT!U231,XT!Y231,XT!AC231,XT!AG231))=4)*(CHOOSE({1,2,3,4},XT!X231,XT!AB231,XT!AF231,XT!AJ231)))</f>
        <v>0</v>
      </c>
      <c r="N231" t="str">
        <f>IFERROR(INDEX(CHOOSE({1,2,3,4}, DAY(XT!U231), DAY(XT!Y231), DAY(XT!AC231), DAY(XT!AG231)), MATCH(1, INDEX(--(MONTH(CHOOSE({1,2,3,4}, XT!U231,XT!Y231,XT!AC231,XT!AG231))=4), 0), 0)), "")</f>
        <v/>
      </c>
      <c r="O231" s="51" t="str">
        <f>IF(XT!$P231&gt;0,N231,"")</f>
        <v/>
      </c>
      <c r="P231" s="51" t="str">
        <f>IF(XT!$P231=0,N231,"")</f>
        <v/>
      </c>
      <c r="Q231">
        <f>SUMPRODUCT((MONTH(CHOOSE({1,2,3,4},XT!U231,XT!Y231,XT!AC231,XT!AG231))=5)*(CHOOSE({1,2,3,4},XT!X231,XT!AB231,XT!AF231,XT!AJ231)))</f>
        <v>0</v>
      </c>
      <c r="R231" t="str">
        <f>IFERROR(INDEX(CHOOSE({1,2,3,4}, DAY(XT!U231), DAY(XT!Y231), DAY(XT!AC231), DAY(XT!AG231)), MATCH(1, INDEX(--(MONTH(CHOOSE({1,2,3,4}, XT!U231,XT!Y231,XT!AC231,XT!AG231))=5), 0), 0)), "")</f>
        <v/>
      </c>
      <c r="S231" s="51" t="str">
        <f>IF(XT!$P231&gt;0,R231,"")</f>
        <v/>
      </c>
      <c r="T231" s="51" t="str">
        <f>IF(XT!$P231=0,R231,"")</f>
        <v/>
      </c>
      <c r="U231">
        <f>SUMPRODUCT((MONTH(CHOOSE({1,2,3,4},XT!U231,XT!Y231,XT!AC231,XT!AG231))=6)*(CHOOSE({1,2,3,4},XT!X231,XT!AB231,XT!AF231,XT!AJ231)))</f>
        <v>0</v>
      </c>
      <c r="V231" t="str">
        <f>IFERROR(INDEX(CHOOSE({1,2,3,4}, DAY(XT!U231), DAY(XT!Y231), DAY(XT!AC231), DAY(XT!AG231)), MATCH(1, INDEX(--(MONTH(CHOOSE({1,2,3,4}, XT!U231,XT!Y231,XT!AC231,XT!AG231))=6), 0), 0)), "")</f>
        <v/>
      </c>
      <c r="W231" s="51" t="str">
        <f>IF(XT!$P231&gt;0,V231,"")</f>
        <v/>
      </c>
      <c r="X231" s="51" t="str">
        <f>IF(XT!$P231=0,V231,"")</f>
        <v/>
      </c>
      <c r="Y231">
        <f>SUMPRODUCT((MONTH(CHOOSE({1,2,3,4},XT!U231,XT!Y231,XT!AC231,XT!AG231))=7)*(CHOOSE({1,2,3,4},XT!X231,XT!AB231,XT!AF231,XT!AJ231)))</f>
        <v>0</v>
      </c>
      <c r="Z231" t="str">
        <f>IFERROR(INDEX(CHOOSE({1,2,3,4}, DAY(XT!U231), DAY(XT!Y231), DAY(XT!AC231), DAY(XT!AG231)), MATCH(1, INDEX(--(MONTH(CHOOSE({1,2,3,4}, XT!U231,XT!Y231,XT!AC231,XT!AG231))=7), 0), 0)), "")</f>
        <v/>
      </c>
      <c r="AA231" s="51" t="str">
        <f>IF(XT!$P231&gt;0,Z231,"")</f>
        <v/>
      </c>
      <c r="AB231" s="51" t="str">
        <f>IF(XT!$P231=0,Z231,"")</f>
        <v/>
      </c>
      <c r="AC231">
        <f>SUMPRODUCT((MONTH(CHOOSE({1,2,3,4},XT!U231,XT!Y231,XT!AC231,XT!AG231))=8)*(CHOOSE({1,2,3,4},XT!X231,XT!AB231,XT!AF231,XT!AJ231)))</f>
        <v>0</v>
      </c>
      <c r="AD231" t="str">
        <f>IFERROR(INDEX(CHOOSE({1,2,3,4}, DAY(XT!U231), DAY(XT!Y231), DAY(XT!AC231), DAY(XT!AG231)), MATCH(1, INDEX(--(MONTH(CHOOSE({1,2,3,4}, XT!U231,XT!Y231,XT!AC231,XT!AG231))=8), 0), 0)), "")</f>
        <v/>
      </c>
      <c r="AE231" s="51" t="str">
        <f>IF(XT!$P231&gt;0,AD231,"")</f>
        <v/>
      </c>
      <c r="AF231" s="51" t="str">
        <f>IF(XT!$P231=0,AD231,"")</f>
        <v/>
      </c>
      <c r="AG231">
        <f>SUMPRODUCT((MONTH(CHOOSE({1,2,3,4},XT!U231,XT!Y231,XT!AC231,XT!AG231))=9)*(CHOOSE({1,2,3,4},XT!X231,XT!AB231,XT!AF231,XT!AJ231)))</f>
        <v>0</v>
      </c>
      <c r="AH231" t="str">
        <f>IFERROR(INDEX(CHOOSE({1,2,3,4}, DAY(XT!U231), DAY(XT!Y231), DAY(XT!AC231), DAY(XT!AG231)), MATCH(1, INDEX(--(MONTH(CHOOSE({1,2,3,4}, XT!U231,XT!Y231,XT!AC231,XT!AG231))=9), 0), 0)), "")</f>
        <v/>
      </c>
      <c r="AI231" s="51" t="str">
        <f>IF(XT!$P231&gt;0,AH231,"")</f>
        <v/>
      </c>
      <c r="AJ231" s="51" t="str">
        <f>IF(XT!$P231=0,AH231,"")</f>
        <v/>
      </c>
      <c r="AK231">
        <f>SUMPRODUCT((MONTH(CHOOSE({1,2,3,4},XT!U231,XT!Y231,XT!AC231,XT!AG231))=10)*(CHOOSE({1,2,3,4},XT!X231,XT!AB231,XT!AF231,XT!AJ231)))</f>
        <v>0</v>
      </c>
      <c r="AL231" t="str">
        <f>IFERROR(INDEX(CHOOSE({1,2,3,4}, DAY(XT!U231), DAY(XT!Y231), DAY(XT!AC231), DAY(XT!AG231)), MATCH(1, INDEX(--(MONTH(CHOOSE({1,2,3,4}, XT!U231,XT!Y231,XT!AC231,XT!AG231))=10), 0), 0)), "")</f>
        <v/>
      </c>
      <c r="AM231" s="51" t="str">
        <f>IF(XT!$P231&gt;0,AL231,"")</f>
        <v/>
      </c>
      <c r="AN231" s="51" t="str">
        <f>IF(XT!$P231=0,AL231,"")</f>
        <v/>
      </c>
      <c r="AO231">
        <f>SUMPRODUCT((MONTH(CHOOSE({1,2,3,4},XT!U231,XT!Y231,XT!AC231,XT!AG231))=11)*(CHOOSE({1,2,3,4},XT!X231,XT!AB231,XT!AF231,XT!AJ231)))</f>
        <v>0</v>
      </c>
      <c r="AP231" t="str">
        <f>IFERROR(INDEX(CHOOSE({1,2,3,4}, DAY(XT!U231), DAY(XT!Y231), DAY(XT!AC231), DAY(XT!AG231)), MATCH(1, INDEX(--(MONTH(CHOOSE({1,2,3,4}, XT!U231,XT!Y231,XT!AC231,XT!AG231))=11), 0), 0)), "")</f>
        <v/>
      </c>
      <c r="AQ231" s="51" t="str">
        <f>IF(XT!$P231&gt;0,AP231,"")</f>
        <v/>
      </c>
      <c r="AR231" s="51" t="str">
        <f>IF(XT!$P231=0,AP231,"")</f>
        <v/>
      </c>
      <c r="AS231">
        <f>SUMPRODUCT((MONTH(CHOOSE({1,2,3,4},XT!U231,XT!Y231,XT!AC231,XT!AG231))=12)*(CHOOSE({1,2,3,4},XT!X231,XT!AB231,XT!AF231,XT!AJ231)))</f>
        <v>0</v>
      </c>
      <c r="AT231" t="str">
        <f>IFERROR(INDEX(CHOOSE({1,2,3,4}, DAY(XT!U231), DAY(XT!Y231), DAY(XT!AC231), DAY(XT!AG231)), MATCH(1, INDEX(--(MONTH(CHOOSE({1,2,3,4}, XT!U231,XT!Y231,XT!AC231,XT!AG231))=12), 0), 0)), "")</f>
        <v/>
      </c>
      <c r="AU231" s="51" t="str">
        <f>IF(XT!$P231&gt;0,AT231,"")</f>
        <v/>
      </c>
      <c r="AV231" s="51" t="str">
        <f>IF(XT!$P231=0,AT231,"")</f>
        <v/>
      </c>
    </row>
    <row r="232" spans="1:48">
      <c r="A232">
        <f>SUMPRODUCT((MONTH(CHOOSE({1,2,3,4},XT!U232,XT!Y232,XT!AC232,XT!AG232))=1)*(CHOOSE({1,2,3,4},XT!X232,XT!AB232,XT!AF232,XT!AJ232)))</f>
        <v>0</v>
      </c>
      <c r="B232">
        <f>IFERROR(INDEX(CHOOSE({1,2,3,4}, DAY(XT!U232), DAY(XT!Y232), DAY(XT!AC232), DAY(XT!AG232)), MATCH(1, INDEX(--(MONTH(CHOOSE({1,2,3,4}, XT!U232,XT!Y232,XT!AC232,XT!AG232))=1), 0), 0)), "")</f>
        <v>0</v>
      </c>
      <c r="C232" s="51" t="str">
        <f>IF(XT!$P232&gt;0,B232,"")</f>
        <v/>
      </c>
      <c r="D232" s="51">
        <f>IF(XT!$P232=0,B232,"")</f>
        <v>0</v>
      </c>
      <c r="E232">
        <f>SUMPRODUCT((MONTH(CHOOSE({1,2,3,4},XT!U232,XT!Y232,XT!AC232,XT!AG232))=2)*(CHOOSE({1,2,3,4},XT!X232,XT!AB232,XT!AF232,XT!AJ232)))</f>
        <v>0</v>
      </c>
      <c r="F232" t="str">
        <f>IFERROR(INDEX(CHOOSE({1,2,3,4}, DAY(XT!U232), DAY(XT!Y232), DAY(XT!AC232), DAY(XT!AG232)), MATCH(1, INDEX(--(MONTH(CHOOSE({1,2,3,4}, XT!U232,XT!Y232,XT!AC232,XT!AG232))=2), 0), 0)), "")</f>
        <v/>
      </c>
      <c r="G232" s="51" t="str">
        <f>IF(XT!$P232&gt;0,F232,"")</f>
        <v/>
      </c>
      <c r="H232" s="51" t="str">
        <f>IF(XT!$P232=0,F232,"")</f>
        <v/>
      </c>
      <c r="I232">
        <f>SUMPRODUCT((MONTH(CHOOSE({1,2,3,4},XT!U232,XT!Y232,XT!AC232,XT!AG232))=3)*(CHOOSE({1,2,3,4},XT!X232,XT!AB232,XT!AF232,XT!AJ232)))</f>
        <v>0</v>
      </c>
      <c r="J232" t="str">
        <f>IFERROR(INDEX(CHOOSE({1,2,3,4}, DAY(XT!U232), DAY(XT!Y232), DAY(XT!AC232), DAY(XT!AG232)), MATCH(1, INDEX(--(MONTH(CHOOSE({1,2,3,4}, XT!U232,XT!Y232,XT!AC232,XT!AG232))=3), 0), 0)), "")</f>
        <v/>
      </c>
      <c r="K232" s="51" t="str">
        <f>IF(XT!$P232&gt;0,J232,"")</f>
        <v/>
      </c>
      <c r="L232" s="51" t="str">
        <f>IF(XT!$P232=0,J232,"")</f>
        <v/>
      </c>
      <c r="M232">
        <f>SUMPRODUCT((MONTH(CHOOSE({1,2,3,4},XT!U232,XT!Y232,XT!AC232,XT!AG232))=4)*(CHOOSE({1,2,3,4},XT!X232,XT!AB232,XT!AF232,XT!AJ232)))</f>
        <v>0</v>
      </c>
      <c r="N232" t="str">
        <f>IFERROR(INDEX(CHOOSE({1,2,3,4}, DAY(XT!U232), DAY(XT!Y232), DAY(XT!AC232), DAY(XT!AG232)), MATCH(1, INDEX(--(MONTH(CHOOSE({1,2,3,4}, XT!U232,XT!Y232,XT!AC232,XT!AG232))=4), 0), 0)), "")</f>
        <v/>
      </c>
      <c r="O232" s="51" t="str">
        <f>IF(XT!$P232&gt;0,N232,"")</f>
        <v/>
      </c>
      <c r="P232" s="51" t="str">
        <f>IF(XT!$P232=0,N232,"")</f>
        <v/>
      </c>
      <c r="Q232">
        <f>SUMPRODUCT((MONTH(CHOOSE({1,2,3,4},XT!U232,XT!Y232,XT!AC232,XT!AG232))=5)*(CHOOSE({1,2,3,4},XT!X232,XT!AB232,XT!AF232,XT!AJ232)))</f>
        <v>0</v>
      </c>
      <c r="R232" t="str">
        <f>IFERROR(INDEX(CHOOSE({1,2,3,4}, DAY(XT!U232), DAY(XT!Y232), DAY(XT!AC232), DAY(XT!AG232)), MATCH(1, INDEX(--(MONTH(CHOOSE({1,2,3,4}, XT!U232,XT!Y232,XT!AC232,XT!AG232))=5), 0), 0)), "")</f>
        <v/>
      </c>
      <c r="S232" s="51" t="str">
        <f>IF(XT!$P232&gt;0,R232,"")</f>
        <v/>
      </c>
      <c r="T232" s="51" t="str">
        <f>IF(XT!$P232=0,R232,"")</f>
        <v/>
      </c>
      <c r="U232">
        <f>SUMPRODUCT((MONTH(CHOOSE({1,2,3,4},XT!U232,XT!Y232,XT!AC232,XT!AG232))=6)*(CHOOSE({1,2,3,4},XT!X232,XT!AB232,XT!AF232,XT!AJ232)))</f>
        <v>0</v>
      </c>
      <c r="V232" t="str">
        <f>IFERROR(INDEX(CHOOSE({1,2,3,4}, DAY(XT!U232), DAY(XT!Y232), DAY(XT!AC232), DAY(XT!AG232)), MATCH(1, INDEX(--(MONTH(CHOOSE({1,2,3,4}, XT!U232,XT!Y232,XT!AC232,XT!AG232))=6), 0), 0)), "")</f>
        <v/>
      </c>
      <c r="W232" s="51" t="str">
        <f>IF(XT!$P232&gt;0,V232,"")</f>
        <v/>
      </c>
      <c r="X232" s="51" t="str">
        <f>IF(XT!$P232=0,V232,"")</f>
        <v/>
      </c>
      <c r="Y232">
        <f>SUMPRODUCT((MONTH(CHOOSE({1,2,3,4},XT!U232,XT!Y232,XT!AC232,XT!AG232))=7)*(CHOOSE({1,2,3,4},XT!X232,XT!AB232,XT!AF232,XT!AJ232)))</f>
        <v>0</v>
      </c>
      <c r="Z232" t="str">
        <f>IFERROR(INDEX(CHOOSE({1,2,3,4}, DAY(XT!U232), DAY(XT!Y232), DAY(XT!AC232), DAY(XT!AG232)), MATCH(1, INDEX(--(MONTH(CHOOSE({1,2,3,4}, XT!U232,XT!Y232,XT!AC232,XT!AG232))=7), 0), 0)), "")</f>
        <v/>
      </c>
      <c r="AA232" s="51" t="str">
        <f>IF(XT!$P232&gt;0,Z232,"")</f>
        <v/>
      </c>
      <c r="AB232" s="51" t="str">
        <f>IF(XT!$P232=0,Z232,"")</f>
        <v/>
      </c>
      <c r="AC232">
        <f>SUMPRODUCT((MONTH(CHOOSE({1,2,3,4},XT!U232,XT!Y232,XT!AC232,XT!AG232))=8)*(CHOOSE({1,2,3,4},XT!X232,XT!AB232,XT!AF232,XT!AJ232)))</f>
        <v>0</v>
      </c>
      <c r="AD232" t="str">
        <f>IFERROR(INDEX(CHOOSE({1,2,3,4}, DAY(XT!U232), DAY(XT!Y232), DAY(XT!AC232), DAY(XT!AG232)), MATCH(1, INDEX(--(MONTH(CHOOSE({1,2,3,4}, XT!U232,XT!Y232,XT!AC232,XT!AG232))=8), 0), 0)), "")</f>
        <v/>
      </c>
      <c r="AE232" s="51" t="str">
        <f>IF(XT!$P232&gt;0,AD232,"")</f>
        <v/>
      </c>
      <c r="AF232" s="51" t="str">
        <f>IF(XT!$P232=0,AD232,"")</f>
        <v/>
      </c>
      <c r="AG232">
        <f>SUMPRODUCT((MONTH(CHOOSE({1,2,3,4},XT!U232,XT!Y232,XT!AC232,XT!AG232))=9)*(CHOOSE({1,2,3,4},XT!X232,XT!AB232,XT!AF232,XT!AJ232)))</f>
        <v>0</v>
      </c>
      <c r="AH232" t="str">
        <f>IFERROR(INDEX(CHOOSE({1,2,3,4}, DAY(XT!U232), DAY(XT!Y232), DAY(XT!AC232), DAY(XT!AG232)), MATCH(1, INDEX(--(MONTH(CHOOSE({1,2,3,4}, XT!U232,XT!Y232,XT!AC232,XT!AG232))=9), 0), 0)), "")</f>
        <v/>
      </c>
      <c r="AI232" s="51" t="str">
        <f>IF(XT!$P232&gt;0,AH232,"")</f>
        <v/>
      </c>
      <c r="AJ232" s="51" t="str">
        <f>IF(XT!$P232=0,AH232,"")</f>
        <v/>
      </c>
      <c r="AK232">
        <f>SUMPRODUCT((MONTH(CHOOSE({1,2,3,4},XT!U232,XT!Y232,XT!AC232,XT!AG232))=10)*(CHOOSE({1,2,3,4},XT!X232,XT!AB232,XT!AF232,XT!AJ232)))</f>
        <v>0</v>
      </c>
      <c r="AL232" t="str">
        <f>IFERROR(INDEX(CHOOSE({1,2,3,4}, DAY(XT!U232), DAY(XT!Y232), DAY(XT!AC232), DAY(XT!AG232)), MATCH(1, INDEX(--(MONTH(CHOOSE({1,2,3,4}, XT!U232,XT!Y232,XT!AC232,XT!AG232))=10), 0), 0)), "")</f>
        <v/>
      </c>
      <c r="AM232" s="51" t="str">
        <f>IF(XT!$P232&gt;0,AL232,"")</f>
        <v/>
      </c>
      <c r="AN232" s="51" t="str">
        <f>IF(XT!$P232=0,AL232,"")</f>
        <v/>
      </c>
      <c r="AO232">
        <f>SUMPRODUCT((MONTH(CHOOSE({1,2,3,4},XT!U232,XT!Y232,XT!AC232,XT!AG232))=11)*(CHOOSE({1,2,3,4},XT!X232,XT!AB232,XT!AF232,XT!AJ232)))</f>
        <v>0</v>
      </c>
      <c r="AP232" t="str">
        <f>IFERROR(INDEX(CHOOSE({1,2,3,4}, DAY(XT!U232), DAY(XT!Y232), DAY(XT!AC232), DAY(XT!AG232)), MATCH(1, INDEX(--(MONTH(CHOOSE({1,2,3,4}, XT!U232,XT!Y232,XT!AC232,XT!AG232))=11), 0), 0)), "")</f>
        <v/>
      </c>
      <c r="AQ232" s="51" t="str">
        <f>IF(XT!$P232&gt;0,AP232,"")</f>
        <v/>
      </c>
      <c r="AR232" s="51" t="str">
        <f>IF(XT!$P232=0,AP232,"")</f>
        <v/>
      </c>
      <c r="AS232">
        <f>SUMPRODUCT((MONTH(CHOOSE({1,2,3,4},XT!U232,XT!Y232,XT!AC232,XT!AG232))=12)*(CHOOSE({1,2,3,4},XT!X232,XT!AB232,XT!AF232,XT!AJ232)))</f>
        <v>0</v>
      </c>
      <c r="AT232" t="str">
        <f>IFERROR(INDEX(CHOOSE({1,2,3,4}, DAY(XT!U232), DAY(XT!Y232), DAY(XT!AC232), DAY(XT!AG232)), MATCH(1, INDEX(--(MONTH(CHOOSE({1,2,3,4}, XT!U232,XT!Y232,XT!AC232,XT!AG232))=12), 0), 0)), "")</f>
        <v/>
      </c>
      <c r="AU232" s="51" t="str">
        <f>IF(XT!$P232&gt;0,AT232,"")</f>
        <v/>
      </c>
      <c r="AV232" s="51" t="str">
        <f>IF(XT!$P232=0,AT232,"")</f>
        <v/>
      </c>
    </row>
    <row r="233" spans="1:48">
      <c r="A233">
        <f>SUMPRODUCT((MONTH(CHOOSE({1,2,3,4},XT!U233,XT!Y233,XT!AC233,XT!AG233))=1)*(CHOOSE({1,2,3,4},XT!X233,XT!AB233,XT!AF233,XT!AJ233)))</f>
        <v>0</v>
      </c>
      <c r="B233">
        <f>IFERROR(INDEX(CHOOSE({1,2,3,4}, DAY(XT!U233), DAY(XT!Y233), DAY(XT!AC233), DAY(XT!AG233)), MATCH(1, INDEX(--(MONTH(CHOOSE({1,2,3,4}, XT!U233,XT!Y233,XT!AC233,XT!AG233))=1), 0), 0)), "")</f>
        <v>0</v>
      </c>
      <c r="C233" s="51" t="str">
        <f>IF(XT!$P233&gt;0,B233,"")</f>
        <v/>
      </c>
      <c r="D233" s="51">
        <f>IF(XT!$P233=0,B233,"")</f>
        <v>0</v>
      </c>
      <c r="E233">
        <f>SUMPRODUCT((MONTH(CHOOSE({1,2,3,4},XT!U233,XT!Y233,XT!AC233,XT!AG233))=2)*(CHOOSE({1,2,3,4},XT!X233,XT!AB233,XT!AF233,XT!AJ233)))</f>
        <v>0</v>
      </c>
      <c r="F233" t="str">
        <f>IFERROR(INDEX(CHOOSE({1,2,3,4}, DAY(XT!U233), DAY(XT!Y233), DAY(XT!AC233), DAY(XT!AG233)), MATCH(1, INDEX(--(MONTH(CHOOSE({1,2,3,4}, XT!U233,XT!Y233,XT!AC233,XT!AG233))=2), 0), 0)), "")</f>
        <v/>
      </c>
      <c r="G233" s="51" t="str">
        <f>IF(XT!$P233&gt;0,F233,"")</f>
        <v/>
      </c>
      <c r="H233" s="51" t="str">
        <f>IF(XT!$P233=0,F233,"")</f>
        <v/>
      </c>
      <c r="I233">
        <f>SUMPRODUCT((MONTH(CHOOSE({1,2,3,4},XT!U233,XT!Y233,XT!AC233,XT!AG233))=3)*(CHOOSE({1,2,3,4},XT!X233,XT!AB233,XT!AF233,XT!AJ233)))</f>
        <v>0</v>
      </c>
      <c r="J233" t="str">
        <f>IFERROR(INDEX(CHOOSE({1,2,3,4}, DAY(XT!U233), DAY(XT!Y233), DAY(XT!AC233), DAY(XT!AG233)), MATCH(1, INDEX(--(MONTH(CHOOSE({1,2,3,4}, XT!U233,XT!Y233,XT!AC233,XT!AG233))=3), 0), 0)), "")</f>
        <v/>
      </c>
      <c r="K233" s="51" t="str">
        <f>IF(XT!$P233&gt;0,J233,"")</f>
        <v/>
      </c>
      <c r="L233" s="51" t="str">
        <f>IF(XT!$P233=0,J233,"")</f>
        <v/>
      </c>
      <c r="M233">
        <f>SUMPRODUCT((MONTH(CHOOSE({1,2,3,4},XT!U233,XT!Y233,XT!AC233,XT!AG233))=4)*(CHOOSE({1,2,3,4},XT!X233,XT!AB233,XT!AF233,XT!AJ233)))</f>
        <v>0</v>
      </c>
      <c r="N233" t="str">
        <f>IFERROR(INDEX(CHOOSE({1,2,3,4}, DAY(XT!U233), DAY(XT!Y233), DAY(XT!AC233), DAY(XT!AG233)), MATCH(1, INDEX(--(MONTH(CHOOSE({1,2,3,4}, XT!U233,XT!Y233,XT!AC233,XT!AG233))=4), 0), 0)), "")</f>
        <v/>
      </c>
      <c r="O233" s="51" t="str">
        <f>IF(XT!$P233&gt;0,N233,"")</f>
        <v/>
      </c>
      <c r="P233" s="51" t="str">
        <f>IF(XT!$P233=0,N233,"")</f>
        <v/>
      </c>
      <c r="Q233">
        <f>SUMPRODUCT((MONTH(CHOOSE({1,2,3,4},XT!U233,XT!Y233,XT!AC233,XT!AG233))=5)*(CHOOSE({1,2,3,4},XT!X233,XT!AB233,XT!AF233,XT!AJ233)))</f>
        <v>0</v>
      </c>
      <c r="R233" t="str">
        <f>IFERROR(INDEX(CHOOSE({1,2,3,4}, DAY(XT!U233), DAY(XT!Y233), DAY(XT!AC233), DAY(XT!AG233)), MATCH(1, INDEX(--(MONTH(CHOOSE({1,2,3,4}, XT!U233,XT!Y233,XT!AC233,XT!AG233))=5), 0), 0)), "")</f>
        <v/>
      </c>
      <c r="S233" s="51" t="str">
        <f>IF(XT!$P233&gt;0,R233,"")</f>
        <v/>
      </c>
      <c r="T233" s="51" t="str">
        <f>IF(XT!$P233=0,R233,"")</f>
        <v/>
      </c>
      <c r="U233">
        <f>SUMPRODUCT((MONTH(CHOOSE({1,2,3,4},XT!U233,XT!Y233,XT!AC233,XT!AG233))=6)*(CHOOSE({1,2,3,4},XT!X233,XT!AB233,XT!AF233,XT!AJ233)))</f>
        <v>0</v>
      </c>
      <c r="V233" t="str">
        <f>IFERROR(INDEX(CHOOSE({1,2,3,4}, DAY(XT!U233), DAY(XT!Y233), DAY(XT!AC233), DAY(XT!AG233)), MATCH(1, INDEX(--(MONTH(CHOOSE({1,2,3,4}, XT!U233,XT!Y233,XT!AC233,XT!AG233))=6), 0), 0)), "")</f>
        <v/>
      </c>
      <c r="W233" s="51" t="str">
        <f>IF(XT!$P233&gt;0,V233,"")</f>
        <v/>
      </c>
      <c r="X233" s="51" t="str">
        <f>IF(XT!$P233=0,V233,"")</f>
        <v/>
      </c>
      <c r="Y233">
        <f>SUMPRODUCT((MONTH(CHOOSE({1,2,3,4},XT!U233,XT!Y233,XT!AC233,XT!AG233))=7)*(CHOOSE({1,2,3,4},XT!X233,XT!AB233,XT!AF233,XT!AJ233)))</f>
        <v>0</v>
      </c>
      <c r="Z233" t="str">
        <f>IFERROR(INDEX(CHOOSE({1,2,3,4}, DAY(XT!U233), DAY(XT!Y233), DAY(XT!AC233), DAY(XT!AG233)), MATCH(1, INDEX(--(MONTH(CHOOSE({1,2,3,4}, XT!U233,XT!Y233,XT!AC233,XT!AG233))=7), 0), 0)), "")</f>
        <v/>
      </c>
      <c r="AA233" s="51" t="str">
        <f>IF(XT!$P233&gt;0,Z233,"")</f>
        <v/>
      </c>
      <c r="AB233" s="51" t="str">
        <f>IF(XT!$P233=0,Z233,"")</f>
        <v/>
      </c>
      <c r="AC233">
        <f>SUMPRODUCT((MONTH(CHOOSE({1,2,3,4},XT!U233,XT!Y233,XT!AC233,XT!AG233))=8)*(CHOOSE({1,2,3,4},XT!X233,XT!AB233,XT!AF233,XT!AJ233)))</f>
        <v>0</v>
      </c>
      <c r="AD233" t="str">
        <f>IFERROR(INDEX(CHOOSE({1,2,3,4}, DAY(XT!U233), DAY(XT!Y233), DAY(XT!AC233), DAY(XT!AG233)), MATCH(1, INDEX(--(MONTH(CHOOSE({1,2,3,4}, XT!U233,XT!Y233,XT!AC233,XT!AG233))=8), 0), 0)), "")</f>
        <v/>
      </c>
      <c r="AE233" s="51" t="str">
        <f>IF(XT!$P233&gt;0,AD233,"")</f>
        <v/>
      </c>
      <c r="AF233" s="51" t="str">
        <f>IF(XT!$P233=0,AD233,"")</f>
        <v/>
      </c>
      <c r="AG233">
        <f>SUMPRODUCT((MONTH(CHOOSE({1,2,3,4},XT!U233,XT!Y233,XT!AC233,XT!AG233))=9)*(CHOOSE({1,2,3,4},XT!X233,XT!AB233,XT!AF233,XT!AJ233)))</f>
        <v>0</v>
      </c>
      <c r="AH233" t="str">
        <f>IFERROR(INDEX(CHOOSE({1,2,3,4}, DAY(XT!U233), DAY(XT!Y233), DAY(XT!AC233), DAY(XT!AG233)), MATCH(1, INDEX(--(MONTH(CHOOSE({1,2,3,4}, XT!U233,XT!Y233,XT!AC233,XT!AG233))=9), 0), 0)), "")</f>
        <v/>
      </c>
      <c r="AI233" s="51" t="str">
        <f>IF(XT!$P233&gt;0,AH233,"")</f>
        <v/>
      </c>
      <c r="AJ233" s="51" t="str">
        <f>IF(XT!$P233=0,AH233,"")</f>
        <v/>
      </c>
      <c r="AK233">
        <f>SUMPRODUCT((MONTH(CHOOSE({1,2,3,4},XT!U233,XT!Y233,XT!AC233,XT!AG233))=10)*(CHOOSE({1,2,3,4},XT!X233,XT!AB233,XT!AF233,XT!AJ233)))</f>
        <v>0</v>
      </c>
      <c r="AL233" t="str">
        <f>IFERROR(INDEX(CHOOSE({1,2,3,4}, DAY(XT!U233), DAY(XT!Y233), DAY(XT!AC233), DAY(XT!AG233)), MATCH(1, INDEX(--(MONTH(CHOOSE({1,2,3,4}, XT!U233,XT!Y233,XT!AC233,XT!AG233))=10), 0), 0)), "")</f>
        <v/>
      </c>
      <c r="AM233" s="51" t="str">
        <f>IF(XT!$P233&gt;0,AL233,"")</f>
        <v/>
      </c>
      <c r="AN233" s="51" t="str">
        <f>IF(XT!$P233=0,AL233,"")</f>
        <v/>
      </c>
      <c r="AO233">
        <f>SUMPRODUCT((MONTH(CHOOSE({1,2,3,4},XT!U233,XT!Y233,XT!AC233,XT!AG233))=11)*(CHOOSE({1,2,3,4},XT!X233,XT!AB233,XT!AF233,XT!AJ233)))</f>
        <v>0</v>
      </c>
      <c r="AP233" t="str">
        <f>IFERROR(INDEX(CHOOSE({1,2,3,4}, DAY(XT!U233), DAY(XT!Y233), DAY(XT!AC233), DAY(XT!AG233)), MATCH(1, INDEX(--(MONTH(CHOOSE({1,2,3,4}, XT!U233,XT!Y233,XT!AC233,XT!AG233))=11), 0), 0)), "")</f>
        <v/>
      </c>
      <c r="AQ233" s="51" t="str">
        <f>IF(XT!$P233&gt;0,AP233,"")</f>
        <v/>
      </c>
      <c r="AR233" s="51" t="str">
        <f>IF(XT!$P233=0,AP233,"")</f>
        <v/>
      </c>
      <c r="AS233">
        <f>SUMPRODUCT((MONTH(CHOOSE({1,2,3,4},XT!U233,XT!Y233,XT!AC233,XT!AG233))=12)*(CHOOSE({1,2,3,4},XT!X233,XT!AB233,XT!AF233,XT!AJ233)))</f>
        <v>0</v>
      </c>
      <c r="AT233" t="str">
        <f>IFERROR(INDEX(CHOOSE({1,2,3,4}, DAY(XT!U233), DAY(XT!Y233), DAY(XT!AC233), DAY(XT!AG233)), MATCH(1, INDEX(--(MONTH(CHOOSE({1,2,3,4}, XT!U233,XT!Y233,XT!AC233,XT!AG233))=12), 0), 0)), "")</f>
        <v/>
      </c>
      <c r="AU233" s="51" t="str">
        <f>IF(XT!$P233&gt;0,AT233,"")</f>
        <v/>
      </c>
      <c r="AV233" s="51" t="str">
        <f>IF(XT!$P233=0,AT233,"")</f>
        <v/>
      </c>
    </row>
    <row r="234" spans="1:48">
      <c r="A234">
        <f>SUMPRODUCT((MONTH(CHOOSE({1,2,3,4},XT!U234,XT!Y234,XT!AC234,XT!AG234))=1)*(CHOOSE({1,2,3,4},XT!X234,XT!AB234,XT!AF234,XT!AJ234)))</f>
        <v>0</v>
      </c>
      <c r="B234">
        <f>IFERROR(INDEX(CHOOSE({1,2,3,4}, DAY(XT!U234), DAY(XT!Y234), DAY(XT!AC234), DAY(XT!AG234)), MATCH(1, INDEX(--(MONTH(CHOOSE({1,2,3,4}, XT!U234,XT!Y234,XT!AC234,XT!AG234))=1), 0), 0)), "")</f>
        <v>0</v>
      </c>
      <c r="C234" s="51" t="str">
        <f>IF(XT!$P234&gt;0,B234,"")</f>
        <v/>
      </c>
      <c r="D234" s="51">
        <f>IF(XT!$P234=0,B234,"")</f>
        <v>0</v>
      </c>
      <c r="E234">
        <f>SUMPRODUCT((MONTH(CHOOSE({1,2,3,4},XT!U234,XT!Y234,XT!AC234,XT!AG234))=2)*(CHOOSE({1,2,3,4},XT!X234,XT!AB234,XT!AF234,XT!AJ234)))</f>
        <v>0</v>
      </c>
      <c r="F234" t="str">
        <f>IFERROR(INDEX(CHOOSE({1,2,3,4}, DAY(XT!U234), DAY(XT!Y234), DAY(XT!AC234), DAY(XT!AG234)), MATCH(1, INDEX(--(MONTH(CHOOSE({1,2,3,4}, XT!U234,XT!Y234,XT!AC234,XT!AG234))=2), 0), 0)), "")</f>
        <v/>
      </c>
      <c r="G234" s="51" t="str">
        <f>IF(XT!$P234&gt;0,F234,"")</f>
        <v/>
      </c>
      <c r="H234" s="51" t="str">
        <f>IF(XT!$P234=0,F234,"")</f>
        <v/>
      </c>
      <c r="I234">
        <f>SUMPRODUCT((MONTH(CHOOSE({1,2,3,4},XT!U234,XT!Y234,XT!AC234,XT!AG234))=3)*(CHOOSE({1,2,3,4},XT!X234,XT!AB234,XT!AF234,XT!AJ234)))</f>
        <v>0</v>
      </c>
      <c r="J234" t="str">
        <f>IFERROR(INDEX(CHOOSE({1,2,3,4}, DAY(XT!U234), DAY(XT!Y234), DAY(XT!AC234), DAY(XT!AG234)), MATCH(1, INDEX(--(MONTH(CHOOSE({1,2,3,4}, XT!U234,XT!Y234,XT!AC234,XT!AG234))=3), 0), 0)), "")</f>
        <v/>
      </c>
      <c r="K234" s="51" t="str">
        <f>IF(XT!$P234&gt;0,J234,"")</f>
        <v/>
      </c>
      <c r="L234" s="51" t="str">
        <f>IF(XT!$P234=0,J234,"")</f>
        <v/>
      </c>
      <c r="M234">
        <f>SUMPRODUCT((MONTH(CHOOSE({1,2,3,4},XT!U234,XT!Y234,XT!AC234,XT!AG234))=4)*(CHOOSE({1,2,3,4},XT!X234,XT!AB234,XT!AF234,XT!AJ234)))</f>
        <v>0</v>
      </c>
      <c r="N234" t="str">
        <f>IFERROR(INDEX(CHOOSE({1,2,3,4}, DAY(XT!U234), DAY(XT!Y234), DAY(XT!AC234), DAY(XT!AG234)), MATCH(1, INDEX(--(MONTH(CHOOSE({1,2,3,4}, XT!U234,XT!Y234,XT!AC234,XT!AG234))=4), 0), 0)), "")</f>
        <v/>
      </c>
      <c r="O234" s="51" t="str">
        <f>IF(XT!$P234&gt;0,N234,"")</f>
        <v/>
      </c>
      <c r="P234" s="51" t="str">
        <f>IF(XT!$P234=0,N234,"")</f>
        <v/>
      </c>
      <c r="Q234">
        <f>SUMPRODUCT((MONTH(CHOOSE({1,2,3,4},XT!U234,XT!Y234,XT!AC234,XT!AG234))=5)*(CHOOSE({1,2,3,4},XT!X234,XT!AB234,XT!AF234,XT!AJ234)))</f>
        <v>0</v>
      </c>
      <c r="R234" t="str">
        <f>IFERROR(INDEX(CHOOSE({1,2,3,4}, DAY(XT!U234), DAY(XT!Y234), DAY(XT!AC234), DAY(XT!AG234)), MATCH(1, INDEX(--(MONTH(CHOOSE({1,2,3,4}, XT!U234,XT!Y234,XT!AC234,XT!AG234))=5), 0), 0)), "")</f>
        <v/>
      </c>
      <c r="S234" s="51" t="str">
        <f>IF(XT!$P234&gt;0,R234,"")</f>
        <v/>
      </c>
      <c r="T234" s="51" t="str">
        <f>IF(XT!$P234=0,R234,"")</f>
        <v/>
      </c>
      <c r="U234">
        <f>SUMPRODUCT((MONTH(CHOOSE({1,2,3,4},XT!U234,XT!Y234,XT!AC234,XT!AG234))=6)*(CHOOSE({1,2,3,4},XT!X234,XT!AB234,XT!AF234,XT!AJ234)))</f>
        <v>0</v>
      </c>
      <c r="V234" t="str">
        <f>IFERROR(INDEX(CHOOSE({1,2,3,4}, DAY(XT!U234), DAY(XT!Y234), DAY(XT!AC234), DAY(XT!AG234)), MATCH(1, INDEX(--(MONTH(CHOOSE({1,2,3,4}, XT!U234,XT!Y234,XT!AC234,XT!AG234))=6), 0), 0)), "")</f>
        <v/>
      </c>
      <c r="W234" s="51" t="str">
        <f>IF(XT!$P234&gt;0,V234,"")</f>
        <v/>
      </c>
      <c r="X234" s="51" t="str">
        <f>IF(XT!$P234=0,V234,"")</f>
        <v/>
      </c>
      <c r="Y234">
        <f>SUMPRODUCT((MONTH(CHOOSE({1,2,3,4},XT!U234,XT!Y234,XT!AC234,XT!AG234))=7)*(CHOOSE({1,2,3,4},XT!X234,XT!AB234,XT!AF234,XT!AJ234)))</f>
        <v>0</v>
      </c>
      <c r="Z234" t="str">
        <f>IFERROR(INDEX(CHOOSE({1,2,3,4}, DAY(XT!U234), DAY(XT!Y234), DAY(XT!AC234), DAY(XT!AG234)), MATCH(1, INDEX(--(MONTH(CHOOSE({1,2,3,4}, XT!U234,XT!Y234,XT!AC234,XT!AG234))=7), 0), 0)), "")</f>
        <v/>
      </c>
      <c r="AA234" s="51" t="str">
        <f>IF(XT!$P234&gt;0,Z234,"")</f>
        <v/>
      </c>
      <c r="AB234" s="51" t="str">
        <f>IF(XT!$P234=0,Z234,"")</f>
        <v/>
      </c>
      <c r="AC234">
        <f>SUMPRODUCT((MONTH(CHOOSE({1,2,3,4},XT!U234,XT!Y234,XT!AC234,XT!AG234))=8)*(CHOOSE({1,2,3,4},XT!X234,XT!AB234,XT!AF234,XT!AJ234)))</f>
        <v>0</v>
      </c>
      <c r="AD234" t="str">
        <f>IFERROR(INDEX(CHOOSE({1,2,3,4}, DAY(XT!U234), DAY(XT!Y234), DAY(XT!AC234), DAY(XT!AG234)), MATCH(1, INDEX(--(MONTH(CHOOSE({1,2,3,4}, XT!U234,XT!Y234,XT!AC234,XT!AG234))=8), 0), 0)), "")</f>
        <v/>
      </c>
      <c r="AE234" s="51" t="str">
        <f>IF(XT!$P234&gt;0,AD234,"")</f>
        <v/>
      </c>
      <c r="AF234" s="51" t="str">
        <f>IF(XT!$P234=0,AD234,"")</f>
        <v/>
      </c>
      <c r="AG234">
        <f>SUMPRODUCT((MONTH(CHOOSE({1,2,3,4},XT!U234,XT!Y234,XT!AC234,XT!AG234))=9)*(CHOOSE({1,2,3,4},XT!X234,XT!AB234,XT!AF234,XT!AJ234)))</f>
        <v>0</v>
      </c>
      <c r="AH234" t="str">
        <f>IFERROR(INDEX(CHOOSE({1,2,3,4}, DAY(XT!U234), DAY(XT!Y234), DAY(XT!AC234), DAY(XT!AG234)), MATCH(1, INDEX(--(MONTH(CHOOSE({1,2,3,4}, XT!U234,XT!Y234,XT!AC234,XT!AG234))=9), 0), 0)), "")</f>
        <v/>
      </c>
      <c r="AI234" s="51" t="str">
        <f>IF(XT!$P234&gt;0,AH234,"")</f>
        <v/>
      </c>
      <c r="AJ234" s="51" t="str">
        <f>IF(XT!$P234=0,AH234,"")</f>
        <v/>
      </c>
      <c r="AK234">
        <f>SUMPRODUCT((MONTH(CHOOSE({1,2,3,4},XT!U234,XT!Y234,XT!AC234,XT!AG234))=10)*(CHOOSE({1,2,3,4},XT!X234,XT!AB234,XT!AF234,XT!AJ234)))</f>
        <v>0</v>
      </c>
      <c r="AL234" t="str">
        <f>IFERROR(INDEX(CHOOSE({1,2,3,4}, DAY(XT!U234), DAY(XT!Y234), DAY(XT!AC234), DAY(XT!AG234)), MATCH(1, INDEX(--(MONTH(CHOOSE({1,2,3,4}, XT!U234,XT!Y234,XT!AC234,XT!AG234))=10), 0), 0)), "")</f>
        <v/>
      </c>
      <c r="AM234" s="51" t="str">
        <f>IF(XT!$P234&gt;0,AL234,"")</f>
        <v/>
      </c>
      <c r="AN234" s="51" t="str">
        <f>IF(XT!$P234=0,AL234,"")</f>
        <v/>
      </c>
      <c r="AO234">
        <f>SUMPRODUCT((MONTH(CHOOSE({1,2,3,4},XT!U234,XT!Y234,XT!AC234,XT!AG234))=11)*(CHOOSE({1,2,3,4},XT!X234,XT!AB234,XT!AF234,XT!AJ234)))</f>
        <v>0</v>
      </c>
      <c r="AP234" t="str">
        <f>IFERROR(INDEX(CHOOSE({1,2,3,4}, DAY(XT!U234), DAY(XT!Y234), DAY(XT!AC234), DAY(XT!AG234)), MATCH(1, INDEX(--(MONTH(CHOOSE({1,2,3,4}, XT!U234,XT!Y234,XT!AC234,XT!AG234))=11), 0), 0)), "")</f>
        <v/>
      </c>
      <c r="AQ234" s="51" t="str">
        <f>IF(XT!$P234&gt;0,AP234,"")</f>
        <v/>
      </c>
      <c r="AR234" s="51" t="str">
        <f>IF(XT!$P234=0,AP234,"")</f>
        <v/>
      </c>
      <c r="AS234">
        <f>SUMPRODUCT((MONTH(CHOOSE({1,2,3,4},XT!U234,XT!Y234,XT!AC234,XT!AG234))=12)*(CHOOSE({1,2,3,4},XT!X234,XT!AB234,XT!AF234,XT!AJ234)))</f>
        <v>0</v>
      </c>
      <c r="AT234" t="str">
        <f>IFERROR(INDEX(CHOOSE({1,2,3,4}, DAY(XT!U234), DAY(XT!Y234), DAY(XT!AC234), DAY(XT!AG234)), MATCH(1, INDEX(--(MONTH(CHOOSE({1,2,3,4}, XT!U234,XT!Y234,XT!AC234,XT!AG234))=12), 0), 0)), "")</f>
        <v/>
      </c>
      <c r="AU234" s="51" t="str">
        <f>IF(XT!$P234&gt;0,AT234,"")</f>
        <v/>
      </c>
      <c r="AV234" s="51" t="str">
        <f>IF(XT!$P234=0,AT234,"")</f>
        <v/>
      </c>
    </row>
    <row r="235" spans="1:48">
      <c r="A235">
        <f>SUMPRODUCT((MONTH(CHOOSE({1,2,3,4},XT!U235,XT!Y235,XT!AC235,XT!AG235))=1)*(CHOOSE({1,2,3,4},XT!X235,XT!AB235,XT!AF235,XT!AJ235)))</f>
        <v>0</v>
      </c>
      <c r="B235">
        <f>IFERROR(INDEX(CHOOSE({1,2,3,4}, DAY(XT!U235), DAY(XT!Y235), DAY(XT!AC235), DAY(XT!AG235)), MATCH(1, INDEX(--(MONTH(CHOOSE({1,2,3,4}, XT!U235,XT!Y235,XT!AC235,XT!AG235))=1), 0), 0)), "")</f>
        <v>0</v>
      </c>
      <c r="C235" s="51" t="str">
        <f>IF(XT!$P235&gt;0,B235,"")</f>
        <v/>
      </c>
      <c r="D235" s="51">
        <f>IF(XT!$P235=0,B235,"")</f>
        <v>0</v>
      </c>
      <c r="E235">
        <f>SUMPRODUCT((MONTH(CHOOSE({1,2,3,4},XT!U235,XT!Y235,XT!AC235,XT!AG235))=2)*(CHOOSE({1,2,3,4},XT!X235,XT!AB235,XT!AF235,XT!AJ235)))</f>
        <v>0</v>
      </c>
      <c r="F235" t="str">
        <f>IFERROR(INDEX(CHOOSE({1,2,3,4}, DAY(XT!U235), DAY(XT!Y235), DAY(XT!AC235), DAY(XT!AG235)), MATCH(1, INDEX(--(MONTH(CHOOSE({1,2,3,4}, XT!U235,XT!Y235,XT!AC235,XT!AG235))=2), 0), 0)), "")</f>
        <v/>
      </c>
      <c r="G235" s="51" t="str">
        <f>IF(XT!$P235&gt;0,F235,"")</f>
        <v/>
      </c>
      <c r="H235" s="51" t="str">
        <f>IF(XT!$P235=0,F235,"")</f>
        <v/>
      </c>
      <c r="I235">
        <f>SUMPRODUCT((MONTH(CHOOSE({1,2,3,4},XT!U235,XT!Y235,XT!AC235,XT!AG235))=3)*(CHOOSE({1,2,3,4},XT!X235,XT!AB235,XT!AF235,XT!AJ235)))</f>
        <v>0</v>
      </c>
      <c r="J235" t="str">
        <f>IFERROR(INDEX(CHOOSE({1,2,3,4}, DAY(XT!U235), DAY(XT!Y235), DAY(XT!AC235), DAY(XT!AG235)), MATCH(1, INDEX(--(MONTH(CHOOSE({1,2,3,4}, XT!U235,XT!Y235,XT!AC235,XT!AG235))=3), 0), 0)), "")</f>
        <v/>
      </c>
      <c r="K235" s="51" t="str">
        <f>IF(XT!$P235&gt;0,J235,"")</f>
        <v/>
      </c>
      <c r="L235" s="51" t="str">
        <f>IF(XT!$P235=0,J235,"")</f>
        <v/>
      </c>
      <c r="M235">
        <f>SUMPRODUCT((MONTH(CHOOSE({1,2,3,4},XT!U235,XT!Y235,XT!AC235,XT!AG235))=4)*(CHOOSE({1,2,3,4},XT!X235,XT!AB235,XT!AF235,XT!AJ235)))</f>
        <v>0</v>
      </c>
      <c r="N235" t="str">
        <f>IFERROR(INDEX(CHOOSE({1,2,3,4}, DAY(XT!U235), DAY(XT!Y235), DAY(XT!AC235), DAY(XT!AG235)), MATCH(1, INDEX(--(MONTH(CHOOSE({1,2,3,4}, XT!U235,XT!Y235,XT!AC235,XT!AG235))=4), 0), 0)), "")</f>
        <v/>
      </c>
      <c r="O235" s="51" t="str">
        <f>IF(XT!$P235&gt;0,N235,"")</f>
        <v/>
      </c>
      <c r="P235" s="51" t="str">
        <f>IF(XT!$P235=0,N235,"")</f>
        <v/>
      </c>
      <c r="Q235">
        <f>SUMPRODUCT((MONTH(CHOOSE({1,2,3,4},XT!U235,XT!Y235,XT!AC235,XT!AG235))=5)*(CHOOSE({1,2,3,4},XT!X235,XT!AB235,XT!AF235,XT!AJ235)))</f>
        <v>0</v>
      </c>
      <c r="R235" t="str">
        <f>IFERROR(INDEX(CHOOSE({1,2,3,4}, DAY(XT!U235), DAY(XT!Y235), DAY(XT!AC235), DAY(XT!AG235)), MATCH(1, INDEX(--(MONTH(CHOOSE({1,2,3,4}, XT!U235,XT!Y235,XT!AC235,XT!AG235))=5), 0), 0)), "")</f>
        <v/>
      </c>
      <c r="S235" s="51" t="str">
        <f>IF(XT!$P235&gt;0,R235,"")</f>
        <v/>
      </c>
      <c r="T235" s="51" t="str">
        <f>IF(XT!$P235=0,R235,"")</f>
        <v/>
      </c>
      <c r="U235">
        <f>SUMPRODUCT((MONTH(CHOOSE({1,2,3,4},XT!U235,XT!Y235,XT!AC235,XT!AG235))=6)*(CHOOSE({1,2,3,4},XT!X235,XT!AB235,XT!AF235,XT!AJ235)))</f>
        <v>0</v>
      </c>
      <c r="V235" t="str">
        <f>IFERROR(INDEX(CHOOSE({1,2,3,4}, DAY(XT!U235), DAY(XT!Y235), DAY(XT!AC235), DAY(XT!AG235)), MATCH(1, INDEX(--(MONTH(CHOOSE({1,2,3,4}, XT!U235,XT!Y235,XT!AC235,XT!AG235))=6), 0), 0)), "")</f>
        <v/>
      </c>
      <c r="W235" s="51" t="str">
        <f>IF(XT!$P235&gt;0,V235,"")</f>
        <v/>
      </c>
      <c r="X235" s="51" t="str">
        <f>IF(XT!$P235=0,V235,"")</f>
        <v/>
      </c>
      <c r="Y235">
        <f>SUMPRODUCT((MONTH(CHOOSE({1,2,3,4},XT!U235,XT!Y235,XT!AC235,XT!AG235))=7)*(CHOOSE({1,2,3,4},XT!X235,XT!AB235,XT!AF235,XT!AJ235)))</f>
        <v>0</v>
      </c>
      <c r="Z235" t="str">
        <f>IFERROR(INDEX(CHOOSE({1,2,3,4}, DAY(XT!U235), DAY(XT!Y235), DAY(XT!AC235), DAY(XT!AG235)), MATCH(1, INDEX(--(MONTH(CHOOSE({1,2,3,4}, XT!U235,XT!Y235,XT!AC235,XT!AG235))=7), 0), 0)), "")</f>
        <v/>
      </c>
      <c r="AA235" s="51" t="str">
        <f>IF(XT!$P235&gt;0,Z235,"")</f>
        <v/>
      </c>
      <c r="AB235" s="51" t="str">
        <f>IF(XT!$P235=0,Z235,"")</f>
        <v/>
      </c>
      <c r="AC235">
        <f>SUMPRODUCT((MONTH(CHOOSE({1,2,3,4},XT!U235,XT!Y235,XT!AC235,XT!AG235))=8)*(CHOOSE({1,2,3,4},XT!X235,XT!AB235,XT!AF235,XT!AJ235)))</f>
        <v>0</v>
      </c>
      <c r="AD235" t="str">
        <f>IFERROR(INDEX(CHOOSE({1,2,3,4}, DAY(XT!U235), DAY(XT!Y235), DAY(XT!AC235), DAY(XT!AG235)), MATCH(1, INDEX(--(MONTH(CHOOSE({1,2,3,4}, XT!U235,XT!Y235,XT!AC235,XT!AG235))=8), 0), 0)), "")</f>
        <v/>
      </c>
      <c r="AE235" s="51" t="str">
        <f>IF(XT!$P235&gt;0,AD235,"")</f>
        <v/>
      </c>
      <c r="AF235" s="51" t="str">
        <f>IF(XT!$P235=0,AD235,"")</f>
        <v/>
      </c>
      <c r="AG235">
        <f>SUMPRODUCT((MONTH(CHOOSE({1,2,3,4},XT!U235,XT!Y235,XT!AC235,XT!AG235))=9)*(CHOOSE({1,2,3,4},XT!X235,XT!AB235,XT!AF235,XT!AJ235)))</f>
        <v>0</v>
      </c>
      <c r="AH235" t="str">
        <f>IFERROR(INDEX(CHOOSE({1,2,3,4}, DAY(XT!U235), DAY(XT!Y235), DAY(XT!AC235), DAY(XT!AG235)), MATCH(1, INDEX(--(MONTH(CHOOSE({1,2,3,4}, XT!U235,XT!Y235,XT!AC235,XT!AG235))=9), 0), 0)), "")</f>
        <v/>
      </c>
      <c r="AI235" s="51" t="str">
        <f>IF(XT!$P235&gt;0,AH235,"")</f>
        <v/>
      </c>
      <c r="AJ235" s="51" t="str">
        <f>IF(XT!$P235=0,AH235,"")</f>
        <v/>
      </c>
      <c r="AK235">
        <f>SUMPRODUCT((MONTH(CHOOSE({1,2,3,4},XT!U235,XT!Y235,XT!AC235,XT!AG235))=10)*(CHOOSE({1,2,3,4},XT!X235,XT!AB235,XT!AF235,XT!AJ235)))</f>
        <v>0</v>
      </c>
      <c r="AL235" t="str">
        <f>IFERROR(INDEX(CHOOSE({1,2,3,4}, DAY(XT!U235), DAY(XT!Y235), DAY(XT!AC235), DAY(XT!AG235)), MATCH(1, INDEX(--(MONTH(CHOOSE({1,2,3,4}, XT!U235,XT!Y235,XT!AC235,XT!AG235))=10), 0), 0)), "")</f>
        <v/>
      </c>
      <c r="AM235" s="51" t="str">
        <f>IF(XT!$P235&gt;0,AL235,"")</f>
        <v/>
      </c>
      <c r="AN235" s="51" t="str">
        <f>IF(XT!$P235=0,AL235,"")</f>
        <v/>
      </c>
      <c r="AO235">
        <f>SUMPRODUCT((MONTH(CHOOSE({1,2,3,4},XT!U235,XT!Y235,XT!AC235,XT!AG235))=11)*(CHOOSE({1,2,3,4},XT!X235,XT!AB235,XT!AF235,XT!AJ235)))</f>
        <v>0</v>
      </c>
      <c r="AP235" t="str">
        <f>IFERROR(INDEX(CHOOSE({1,2,3,4}, DAY(XT!U235), DAY(XT!Y235), DAY(XT!AC235), DAY(XT!AG235)), MATCH(1, INDEX(--(MONTH(CHOOSE({1,2,3,4}, XT!U235,XT!Y235,XT!AC235,XT!AG235))=11), 0), 0)), "")</f>
        <v/>
      </c>
      <c r="AQ235" s="51" t="str">
        <f>IF(XT!$P235&gt;0,AP235,"")</f>
        <v/>
      </c>
      <c r="AR235" s="51" t="str">
        <f>IF(XT!$P235=0,AP235,"")</f>
        <v/>
      </c>
      <c r="AS235">
        <f>SUMPRODUCT((MONTH(CHOOSE({1,2,3,4},XT!U235,XT!Y235,XT!AC235,XT!AG235))=12)*(CHOOSE({1,2,3,4},XT!X235,XT!AB235,XT!AF235,XT!AJ235)))</f>
        <v>0</v>
      </c>
      <c r="AT235" t="str">
        <f>IFERROR(INDEX(CHOOSE({1,2,3,4}, DAY(XT!U235), DAY(XT!Y235), DAY(XT!AC235), DAY(XT!AG235)), MATCH(1, INDEX(--(MONTH(CHOOSE({1,2,3,4}, XT!U235,XT!Y235,XT!AC235,XT!AG235))=12), 0), 0)), "")</f>
        <v/>
      </c>
      <c r="AU235" s="51" t="str">
        <f>IF(XT!$P235&gt;0,AT235,"")</f>
        <v/>
      </c>
      <c r="AV235" s="51" t="str">
        <f>IF(XT!$P235=0,AT235,"")</f>
        <v/>
      </c>
    </row>
    <row r="236" spans="1:48">
      <c r="A236">
        <f>SUMPRODUCT((MONTH(CHOOSE({1,2,3,4},XT!U236,XT!Y236,XT!AC236,XT!AG236))=1)*(CHOOSE({1,2,3,4},XT!X236,XT!AB236,XT!AF236,XT!AJ236)))</f>
        <v>0</v>
      </c>
      <c r="B236">
        <f>IFERROR(INDEX(CHOOSE({1,2,3,4}, DAY(XT!U236), DAY(XT!Y236), DAY(XT!AC236), DAY(XT!AG236)), MATCH(1, INDEX(--(MONTH(CHOOSE({1,2,3,4}, XT!U236,XT!Y236,XT!AC236,XT!AG236))=1), 0), 0)), "")</f>
        <v>0</v>
      </c>
      <c r="C236" s="51" t="str">
        <f>IF(XT!$P236&gt;0,B236,"")</f>
        <v/>
      </c>
      <c r="D236" s="51">
        <f>IF(XT!$P236=0,B236,"")</f>
        <v>0</v>
      </c>
      <c r="E236">
        <f>SUMPRODUCT((MONTH(CHOOSE({1,2,3,4},XT!U236,XT!Y236,XT!AC236,XT!AG236))=2)*(CHOOSE({1,2,3,4},XT!X236,XT!AB236,XT!AF236,XT!AJ236)))</f>
        <v>0</v>
      </c>
      <c r="F236" t="str">
        <f>IFERROR(INDEX(CHOOSE({1,2,3,4}, DAY(XT!U236), DAY(XT!Y236), DAY(XT!AC236), DAY(XT!AG236)), MATCH(1, INDEX(--(MONTH(CHOOSE({1,2,3,4}, XT!U236,XT!Y236,XT!AC236,XT!AG236))=2), 0), 0)), "")</f>
        <v/>
      </c>
      <c r="G236" s="51" t="str">
        <f>IF(XT!$P236&gt;0,F236,"")</f>
        <v/>
      </c>
      <c r="H236" s="51" t="str">
        <f>IF(XT!$P236=0,F236,"")</f>
        <v/>
      </c>
      <c r="I236">
        <f>SUMPRODUCT((MONTH(CHOOSE({1,2,3,4},XT!U236,XT!Y236,XT!AC236,XT!AG236))=3)*(CHOOSE({1,2,3,4},XT!X236,XT!AB236,XT!AF236,XT!AJ236)))</f>
        <v>0</v>
      </c>
      <c r="J236" t="str">
        <f>IFERROR(INDEX(CHOOSE({1,2,3,4}, DAY(XT!U236), DAY(XT!Y236), DAY(XT!AC236), DAY(XT!AG236)), MATCH(1, INDEX(--(MONTH(CHOOSE({1,2,3,4}, XT!U236,XT!Y236,XT!AC236,XT!AG236))=3), 0), 0)), "")</f>
        <v/>
      </c>
      <c r="K236" s="51" t="str">
        <f>IF(XT!$P236&gt;0,J236,"")</f>
        <v/>
      </c>
      <c r="L236" s="51" t="str">
        <f>IF(XT!$P236=0,J236,"")</f>
        <v/>
      </c>
      <c r="M236">
        <f>SUMPRODUCT((MONTH(CHOOSE({1,2,3,4},XT!U236,XT!Y236,XT!AC236,XT!AG236))=4)*(CHOOSE({1,2,3,4},XT!X236,XT!AB236,XT!AF236,XT!AJ236)))</f>
        <v>0</v>
      </c>
      <c r="N236" t="str">
        <f>IFERROR(INDEX(CHOOSE({1,2,3,4}, DAY(XT!U236), DAY(XT!Y236), DAY(XT!AC236), DAY(XT!AG236)), MATCH(1, INDEX(--(MONTH(CHOOSE({1,2,3,4}, XT!U236,XT!Y236,XT!AC236,XT!AG236))=4), 0), 0)), "")</f>
        <v/>
      </c>
      <c r="O236" s="51" t="str">
        <f>IF(XT!$P236&gt;0,N236,"")</f>
        <v/>
      </c>
      <c r="P236" s="51" t="str">
        <f>IF(XT!$P236=0,N236,"")</f>
        <v/>
      </c>
      <c r="Q236">
        <f>SUMPRODUCT((MONTH(CHOOSE({1,2,3,4},XT!U236,XT!Y236,XT!AC236,XT!AG236))=5)*(CHOOSE({1,2,3,4},XT!X236,XT!AB236,XT!AF236,XT!AJ236)))</f>
        <v>0</v>
      </c>
      <c r="R236" t="str">
        <f>IFERROR(INDEX(CHOOSE({1,2,3,4}, DAY(XT!U236), DAY(XT!Y236), DAY(XT!AC236), DAY(XT!AG236)), MATCH(1, INDEX(--(MONTH(CHOOSE({1,2,3,4}, XT!U236,XT!Y236,XT!AC236,XT!AG236))=5), 0), 0)), "")</f>
        <v/>
      </c>
      <c r="S236" s="51" t="str">
        <f>IF(XT!$P236&gt;0,R236,"")</f>
        <v/>
      </c>
      <c r="T236" s="51" t="str">
        <f>IF(XT!$P236=0,R236,"")</f>
        <v/>
      </c>
      <c r="U236">
        <f>SUMPRODUCT((MONTH(CHOOSE({1,2,3,4},XT!U236,XT!Y236,XT!AC236,XT!AG236))=6)*(CHOOSE({1,2,3,4},XT!X236,XT!AB236,XT!AF236,XT!AJ236)))</f>
        <v>0</v>
      </c>
      <c r="V236" t="str">
        <f>IFERROR(INDEX(CHOOSE({1,2,3,4}, DAY(XT!U236), DAY(XT!Y236), DAY(XT!AC236), DAY(XT!AG236)), MATCH(1, INDEX(--(MONTH(CHOOSE({1,2,3,4}, XT!U236,XT!Y236,XT!AC236,XT!AG236))=6), 0), 0)), "")</f>
        <v/>
      </c>
      <c r="W236" s="51" t="str">
        <f>IF(XT!$P236&gt;0,V236,"")</f>
        <v/>
      </c>
      <c r="X236" s="51" t="str">
        <f>IF(XT!$P236=0,V236,"")</f>
        <v/>
      </c>
      <c r="Y236">
        <f>SUMPRODUCT((MONTH(CHOOSE({1,2,3,4},XT!U236,XT!Y236,XT!AC236,XT!AG236))=7)*(CHOOSE({1,2,3,4},XT!X236,XT!AB236,XT!AF236,XT!AJ236)))</f>
        <v>0</v>
      </c>
      <c r="Z236" t="str">
        <f>IFERROR(INDEX(CHOOSE({1,2,3,4}, DAY(XT!U236), DAY(XT!Y236), DAY(XT!AC236), DAY(XT!AG236)), MATCH(1, INDEX(--(MONTH(CHOOSE({1,2,3,4}, XT!U236,XT!Y236,XT!AC236,XT!AG236))=7), 0), 0)), "")</f>
        <v/>
      </c>
      <c r="AA236" s="51" t="str">
        <f>IF(XT!$P236&gt;0,Z236,"")</f>
        <v/>
      </c>
      <c r="AB236" s="51" t="str">
        <f>IF(XT!$P236=0,Z236,"")</f>
        <v/>
      </c>
      <c r="AC236">
        <f>SUMPRODUCT((MONTH(CHOOSE({1,2,3,4},XT!U236,XT!Y236,XT!AC236,XT!AG236))=8)*(CHOOSE({1,2,3,4},XT!X236,XT!AB236,XT!AF236,XT!AJ236)))</f>
        <v>0</v>
      </c>
      <c r="AD236" t="str">
        <f>IFERROR(INDEX(CHOOSE({1,2,3,4}, DAY(XT!U236), DAY(XT!Y236), DAY(XT!AC236), DAY(XT!AG236)), MATCH(1, INDEX(--(MONTH(CHOOSE({1,2,3,4}, XT!U236,XT!Y236,XT!AC236,XT!AG236))=8), 0), 0)), "")</f>
        <v/>
      </c>
      <c r="AE236" s="51" t="str">
        <f>IF(XT!$P236&gt;0,AD236,"")</f>
        <v/>
      </c>
      <c r="AF236" s="51" t="str">
        <f>IF(XT!$P236=0,AD236,"")</f>
        <v/>
      </c>
      <c r="AG236">
        <f>SUMPRODUCT((MONTH(CHOOSE({1,2,3,4},XT!U236,XT!Y236,XT!AC236,XT!AG236))=9)*(CHOOSE({1,2,3,4},XT!X236,XT!AB236,XT!AF236,XT!AJ236)))</f>
        <v>0</v>
      </c>
      <c r="AH236" t="str">
        <f>IFERROR(INDEX(CHOOSE({1,2,3,4}, DAY(XT!U236), DAY(XT!Y236), DAY(XT!AC236), DAY(XT!AG236)), MATCH(1, INDEX(--(MONTH(CHOOSE({1,2,3,4}, XT!U236,XT!Y236,XT!AC236,XT!AG236))=9), 0), 0)), "")</f>
        <v/>
      </c>
      <c r="AI236" s="51" t="str">
        <f>IF(XT!$P236&gt;0,AH236,"")</f>
        <v/>
      </c>
      <c r="AJ236" s="51" t="str">
        <f>IF(XT!$P236=0,AH236,"")</f>
        <v/>
      </c>
      <c r="AK236">
        <f>SUMPRODUCT((MONTH(CHOOSE({1,2,3,4},XT!U236,XT!Y236,XT!AC236,XT!AG236))=10)*(CHOOSE({1,2,3,4},XT!X236,XT!AB236,XT!AF236,XT!AJ236)))</f>
        <v>0</v>
      </c>
      <c r="AL236" t="str">
        <f>IFERROR(INDEX(CHOOSE({1,2,3,4}, DAY(XT!U236), DAY(XT!Y236), DAY(XT!AC236), DAY(XT!AG236)), MATCH(1, INDEX(--(MONTH(CHOOSE({1,2,3,4}, XT!U236,XT!Y236,XT!AC236,XT!AG236))=10), 0), 0)), "")</f>
        <v/>
      </c>
      <c r="AM236" s="51" t="str">
        <f>IF(XT!$P236&gt;0,AL236,"")</f>
        <v/>
      </c>
      <c r="AN236" s="51" t="str">
        <f>IF(XT!$P236=0,AL236,"")</f>
        <v/>
      </c>
      <c r="AO236">
        <f>SUMPRODUCT((MONTH(CHOOSE({1,2,3,4},XT!U236,XT!Y236,XT!AC236,XT!AG236))=11)*(CHOOSE({1,2,3,4},XT!X236,XT!AB236,XT!AF236,XT!AJ236)))</f>
        <v>0</v>
      </c>
      <c r="AP236" t="str">
        <f>IFERROR(INDEX(CHOOSE({1,2,3,4}, DAY(XT!U236), DAY(XT!Y236), DAY(XT!AC236), DAY(XT!AG236)), MATCH(1, INDEX(--(MONTH(CHOOSE({1,2,3,4}, XT!U236,XT!Y236,XT!AC236,XT!AG236))=11), 0), 0)), "")</f>
        <v/>
      </c>
      <c r="AQ236" s="51" t="str">
        <f>IF(XT!$P236&gt;0,AP236,"")</f>
        <v/>
      </c>
      <c r="AR236" s="51" t="str">
        <f>IF(XT!$P236=0,AP236,"")</f>
        <v/>
      </c>
      <c r="AS236">
        <f>SUMPRODUCT((MONTH(CHOOSE({1,2,3,4},XT!U236,XT!Y236,XT!AC236,XT!AG236))=12)*(CHOOSE({1,2,3,4},XT!X236,XT!AB236,XT!AF236,XT!AJ236)))</f>
        <v>0</v>
      </c>
      <c r="AT236" t="str">
        <f>IFERROR(INDEX(CHOOSE({1,2,3,4}, DAY(XT!U236), DAY(XT!Y236), DAY(XT!AC236), DAY(XT!AG236)), MATCH(1, INDEX(--(MONTH(CHOOSE({1,2,3,4}, XT!U236,XT!Y236,XT!AC236,XT!AG236))=12), 0), 0)), "")</f>
        <v/>
      </c>
      <c r="AU236" s="51" t="str">
        <f>IF(XT!$P236&gt;0,AT236,"")</f>
        <v/>
      </c>
      <c r="AV236" s="51" t="str">
        <f>IF(XT!$P236=0,AT236,"")</f>
        <v/>
      </c>
    </row>
    <row r="237" spans="1:48">
      <c r="A237">
        <f>SUMPRODUCT((MONTH(CHOOSE({1,2,3,4},XT!U237,XT!Y237,XT!AC237,XT!AG237))=1)*(CHOOSE({1,2,3,4},XT!X237,XT!AB237,XT!AF237,XT!AJ237)))</f>
        <v>0</v>
      </c>
      <c r="B237">
        <f>IFERROR(INDEX(CHOOSE({1,2,3,4}, DAY(XT!U237), DAY(XT!Y237), DAY(XT!AC237), DAY(XT!AG237)), MATCH(1, INDEX(--(MONTH(CHOOSE({1,2,3,4}, XT!U237,XT!Y237,XT!AC237,XT!AG237))=1), 0), 0)), "")</f>
        <v>0</v>
      </c>
      <c r="C237" s="51" t="str">
        <f>IF(XT!$P237&gt;0,B237,"")</f>
        <v/>
      </c>
      <c r="D237" s="51">
        <f>IF(XT!$P237=0,B237,"")</f>
        <v>0</v>
      </c>
      <c r="E237">
        <f>SUMPRODUCT((MONTH(CHOOSE({1,2,3,4},XT!U237,XT!Y237,XT!AC237,XT!AG237))=2)*(CHOOSE({1,2,3,4},XT!X237,XT!AB237,XT!AF237,XT!AJ237)))</f>
        <v>0</v>
      </c>
      <c r="F237" t="str">
        <f>IFERROR(INDEX(CHOOSE({1,2,3,4}, DAY(XT!U237), DAY(XT!Y237), DAY(XT!AC237), DAY(XT!AG237)), MATCH(1, INDEX(--(MONTH(CHOOSE({1,2,3,4}, XT!U237,XT!Y237,XT!AC237,XT!AG237))=2), 0), 0)), "")</f>
        <v/>
      </c>
      <c r="G237" s="51" t="str">
        <f>IF(XT!$P237&gt;0,F237,"")</f>
        <v/>
      </c>
      <c r="H237" s="51" t="str">
        <f>IF(XT!$P237=0,F237,"")</f>
        <v/>
      </c>
      <c r="I237">
        <f>SUMPRODUCT((MONTH(CHOOSE({1,2,3,4},XT!U237,XT!Y237,XT!AC237,XT!AG237))=3)*(CHOOSE({1,2,3,4},XT!X237,XT!AB237,XT!AF237,XT!AJ237)))</f>
        <v>0</v>
      </c>
      <c r="J237" t="str">
        <f>IFERROR(INDEX(CHOOSE({1,2,3,4}, DAY(XT!U237), DAY(XT!Y237), DAY(XT!AC237), DAY(XT!AG237)), MATCH(1, INDEX(--(MONTH(CHOOSE({1,2,3,4}, XT!U237,XT!Y237,XT!AC237,XT!AG237))=3), 0), 0)), "")</f>
        <v/>
      </c>
      <c r="K237" s="51" t="str">
        <f>IF(XT!$P237&gt;0,J237,"")</f>
        <v/>
      </c>
      <c r="L237" s="51" t="str">
        <f>IF(XT!$P237=0,J237,"")</f>
        <v/>
      </c>
      <c r="M237">
        <f>SUMPRODUCT((MONTH(CHOOSE({1,2,3,4},XT!U237,XT!Y237,XT!AC237,XT!AG237))=4)*(CHOOSE({1,2,3,4},XT!X237,XT!AB237,XT!AF237,XT!AJ237)))</f>
        <v>0</v>
      </c>
      <c r="N237" t="str">
        <f>IFERROR(INDEX(CHOOSE({1,2,3,4}, DAY(XT!U237), DAY(XT!Y237), DAY(XT!AC237), DAY(XT!AG237)), MATCH(1, INDEX(--(MONTH(CHOOSE({1,2,3,4}, XT!U237,XT!Y237,XT!AC237,XT!AG237))=4), 0), 0)), "")</f>
        <v/>
      </c>
      <c r="O237" s="51" t="str">
        <f>IF(XT!$P237&gt;0,N237,"")</f>
        <v/>
      </c>
      <c r="P237" s="51" t="str">
        <f>IF(XT!$P237=0,N237,"")</f>
        <v/>
      </c>
      <c r="Q237">
        <f>SUMPRODUCT((MONTH(CHOOSE({1,2,3,4},XT!U237,XT!Y237,XT!AC237,XT!AG237))=5)*(CHOOSE({1,2,3,4},XT!X237,XT!AB237,XT!AF237,XT!AJ237)))</f>
        <v>0</v>
      </c>
      <c r="R237" t="str">
        <f>IFERROR(INDEX(CHOOSE({1,2,3,4}, DAY(XT!U237), DAY(XT!Y237), DAY(XT!AC237), DAY(XT!AG237)), MATCH(1, INDEX(--(MONTH(CHOOSE({1,2,3,4}, XT!U237,XT!Y237,XT!AC237,XT!AG237))=5), 0), 0)), "")</f>
        <v/>
      </c>
      <c r="S237" s="51" t="str">
        <f>IF(XT!$P237&gt;0,R237,"")</f>
        <v/>
      </c>
      <c r="T237" s="51" t="str">
        <f>IF(XT!$P237=0,R237,"")</f>
        <v/>
      </c>
      <c r="U237">
        <f>SUMPRODUCT((MONTH(CHOOSE({1,2,3,4},XT!U237,XT!Y237,XT!AC237,XT!AG237))=6)*(CHOOSE({1,2,3,4},XT!X237,XT!AB237,XT!AF237,XT!AJ237)))</f>
        <v>0</v>
      </c>
      <c r="V237" t="str">
        <f>IFERROR(INDEX(CHOOSE({1,2,3,4}, DAY(XT!U237), DAY(XT!Y237), DAY(XT!AC237), DAY(XT!AG237)), MATCH(1, INDEX(--(MONTH(CHOOSE({1,2,3,4}, XT!U237,XT!Y237,XT!AC237,XT!AG237))=6), 0), 0)), "")</f>
        <v/>
      </c>
      <c r="W237" s="51" t="str">
        <f>IF(XT!$P237&gt;0,V237,"")</f>
        <v/>
      </c>
      <c r="X237" s="51" t="str">
        <f>IF(XT!$P237=0,V237,"")</f>
        <v/>
      </c>
      <c r="Y237">
        <f>SUMPRODUCT((MONTH(CHOOSE({1,2,3,4},XT!U237,XT!Y237,XT!AC237,XT!AG237))=7)*(CHOOSE({1,2,3,4},XT!X237,XT!AB237,XT!AF237,XT!AJ237)))</f>
        <v>0</v>
      </c>
      <c r="Z237" t="str">
        <f>IFERROR(INDEX(CHOOSE({1,2,3,4}, DAY(XT!U237), DAY(XT!Y237), DAY(XT!AC237), DAY(XT!AG237)), MATCH(1, INDEX(--(MONTH(CHOOSE({1,2,3,4}, XT!U237,XT!Y237,XT!AC237,XT!AG237))=7), 0), 0)), "")</f>
        <v/>
      </c>
      <c r="AA237" s="51" t="str">
        <f>IF(XT!$P237&gt;0,Z237,"")</f>
        <v/>
      </c>
      <c r="AB237" s="51" t="str">
        <f>IF(XT!$P237=0,Z237,"")</f>
        <v/>
      </c>
      <c r="AC237">
        <f>SUMPRODUCT((MONTH(CHOOSE({1,2,3,4},XT!U237,XT!Y237,XT!AC237,XT!AG237))=8)*(CHOOSE({1,2,3,4},XT!X237,XT!AB237,XT!AF237,XT!AJ237)))</f>
        <v>0</v>
      </c>
      <c r="AD237" t="str">
        <f>IFERROR(INDEX(CHOOSE({1,2,3,4}, DAY(XT!U237), DAY(XT!Y237), DAY(XT!AC237), DAY(XT!AG237)), MATCH(1, INDEX(--(MONTH(CHOOSE({1,2,3,4}, XT!U237,XT!Y237,XT!AC237,XT!AG237))=8), 0), 0)), "")</f>
        <v/>
      </c>
      <c r="AE237" s="51" t="str">
        <f>IF(XT!$P237&gt;0,AD237,"")</f>
        <v/>
      </c>
      <c r="AF237" s="51" t="str">
        <f>IF(XT!$P237=0,AD237,"")</f>
        <v/>
      </c>
      <c r="AG237">
        <f>SUMPRODUCT((MONTH(CHOOSE({1,2,3,4},XT!U237,XT!Y237,XT!AC237,XT!AG237))=9)*(CHOOSE({1,2,3,4},XT!X237,XT!AB237,XT!AF237,XT!AJ237)))</f>
        <v>0</v>
      </c>
      <c r="AH237" t="str">
        <f>IFERROR(INDEX(CHOOSE({1,2,3,4}, DAY(XT!U237), DAY(XT!Y237), DAY(XT!AC237), DAY(XT!AG237)), MATCH(1, INDEX(--(MONTH(CHOOSE({1,2,3,4}, XT!U237,XT!Y237,XT!AC237,XT!AG237))=9), 0), 0)), "")</f>
        <v/>
      </c>
      <c r="AI237" s="51" t="str">
        <f>IF(XT!$P237&gt;0,AH237,"")</f>
        <v/>
      </c>
      <c r="AJ237" s="51" t="str">
        <f>IF(XT!$P237=0,AH237,"")</f>
        <v/>
      </c>
      <c r="AK237">
        <f>SUMPRODUCT((MONTH(CHOOSE({1,2,3,4},XT!U237,XT!Y237,XT!AC237,XT!AG237))=10)*(CHOOSE({1,2,3,4},XT!X237,XT!AB237,XT!AF237,XT!AJ237)))</f>
        <v>0</v>
      </c>
      <c r="AL237" t="str">
        <f>IFERROR(INDEX(CHOOSE({1,2,3,4}, DAY(XT!U237), DAY(XT!Y237), DAY(XT!AC237), DAY(XT!AG237)), MATCH(1, INDEX(--(MONTH(CHOOSE({1,2,3,4}, XT!U237,XT!Y237,XT!AC237,XT!AG237))=10), 0), 0)), "")</f>
        <v/>
      </c>
      <c r="AM237" s="51" t="str">
        <f>IF(XT!$P237&gt;0,AL237,"")</f>
        <v/>
      </c>
      <c r="AN237" s="51" t="str">
        <f>IF(XT!$P237=0,AL237,"")</f>
        <v/>
      </c>
      <c r="AO237">
        <f>SUMPRODUCT((MONTH(CHOOSE({1,2,3,4},XT!U237,XT!Y237,XT!AC237,XT!AG237))=11)*(CHOOSE({1,2,3,4},XT!X237,XT!AB237,XT!AF237,XT!AJ237)))</f>
        <v>0</v>
      </c>
      <c r="AP237" t="str">
        <f>IFERROR(INDEX(CHOOSE({1,2,3,4}, DAY(XT!U237), DAY(XT!Y237), DAY(XT!AC237), DAY(XT!AG237)), MATCH(1, INDEX(--(MONTH(CHOOSE({1,2,3,4}, XT!U237,XT!Y237,XT!AC237,XT!AG237))=11), 0), 0)), "")</f>
        <v/>
      </c>
      <c r="AQ237" s="51" t="str">
        <f>IF(XT!$P237&gt;0,AP237,"")</f>
        <v/>
      </c>
      <c r="AR237" s="51" t="str">
        <f>IF(XT!$P237=0,AP237,"")</f>
        <v/>
      </c>
      <c r="AS237">
        <f>SUMPRODUCT((MONTH(CHOOSE({1,2,3,4},XT!U237,XT!Y237,XT!AC237,XT!AG237))=12)*(CHOOSE({1,2,3,4},XT!X237,XT!AB237,XT!AF237,XT!AJ237)))</f>
        <v>0</v>
      </c>
      <c r="AT237" t="str">
        <f>IFERROR(INDEX(CHOOSE({1,2,3,4}, DAY(XT!U237), DAY(XT!Y237), DAY(XT!AC237), DAY(XT!AG237)), MATCH(1, INDEX(--(MONTH(CHOOSE({1,2,3,4}, XT!U237,XT!Y237,XT!AC237,XT!AG237))=12), 0), 0)), "")</f>
        <v/>
      </c>
      <c r="AU237" s="51" t="str">
        <f>IF(XT!$P237&gt;0,AT237,"")</f>
        <v/>
      </c>
      <c r="AV237" s="51" t="str">
        <f>IF(XT!$P237=0,AT237,"")</f>
        <v/>
      </c>
    </row>
    <row r="238" spans="1:48">
      <c r="A238">
        <f>SUMPRODUCT((MONTH(CHOOSE({1,2,3,4},XT!U238,XT!Y238,XT!AC238,XT!AG238))=1)*(CHOOSE({1,2,3,4},XT!X238,XT!AB238,XT!AF238,XT!AJ238)))</f>
        <v>0</v>
      </c>
      <c r="B238">
        <f>IFERROR(INDEX(CHOOSE({1,2,3,4}, DAY(XT!U238), DAY(XT!Y238), DAY(XT!AC238), DAY(XT!AG238)), MATCH(1, INDEX(--(MONTH(CHOOSE({1,2,3,4}, XT!U238,XT!Y238,XT!AC238,XT!AG238))=1), 0), 0)), "")</f>
        <v>0</v>
      </c>
      <c r="C238" s="51" t="str">
        <f>IF(XT!$P238&gt;0,B238,"")</f>
        <v/>
      </c>
      <c r="D238" s="51">
        <f>IF(XT!$P238=0,B238,"")</f>
        <v>0</v>
      </c>
      <c r="E238">
        <f>SUMPRODUCT((MONTH(CHOOSE({1,2,3,4},XT!U238,XT!Y238,XT!AC238,XT!AG238))=2)*(CHOOSE({1,2,3,4},XT!X238,XT!AB238,XT!AF238,XT!AJ238)))</f>
        <v>0</v>
      </c>
      <c r="F238" t="str">
        <f>IFERROR(INDEX(CHOOSE({1,2,3,4}, DAY(XT!U238), DAY(XT!Y238), DAY(XT!AC238), DAY(XT!AG238)), MATCH(1, INDEX(--(MONTH(CHOOSE({1,2,3,4}, XT!U238,XT!Y238,XT!AC238,XT!AG238))=2), 0), 0)), "")</f>
        <v/>
      </c>
      <c r="G238" s="51" t="str">
        <f>IF(XT!$P238&gt;0,F238,"")</f>
        <v/>
      </c>
      <c r="H238" s="51" t="str">
        <f>IF(XT!$P238=0,F238,"")</f>
        <v/>
      </c>
      <c r="I238">
        <f>SUMPRODUCT((MONTH(CHOOSE({1,2,3,4},XT!U238,XT!Y238,XT!AC238,XT!AG238))=3)*(CHOOSE({1,2,3,4},XT!X238,XT!AB238,XT!AF238,XT!AJ238)))</f>
        <v>0</v>
      </c>
      <c r="J238" t="str">
        <f>IFERROR(INDEX(CHOOSE({1,2,3,4}, DAY(XT!U238), DAY(XT!Y238), DAY(XT!AC238), DAY(XT!AG238)), MATCH(1, INDEX(--(MONTH(CHOOSE({1,2,3,4}, XT!U238,XT!Y238,XT!AC238,XT!AG238))=3), 0), 0)), "")</f>
        <v/>
      </c>
      <c r="K238" s="51" t="str">
        <f>IF(XT!$P238&gt;0,J238,"")</f>
        <v/>
      </c>
      <c r="L238" s="51" t="str">
        <f>IF(XT!$P238=0,J238,"")</f>
        <v/>
      </c>
      <c r="M238">
        <f>SUMPRODUCT((MONTH(CHOOSE({1,2,3,4},XT!U238,XT!Y238,XT!AC238,XT!AG238))=4)*(CHOOSE({1,2,3,4},XT!X238,XT!AB238,XT!AF238,XT!AJ238)))</f>
        <v>0</v>
      </c>
      <c r="N238" t="str">
        <f>IFERROR(INDEX(CHOOSE({1,2,3,4}, DAY(XT!U238), DAY(XT!Y238), DAY(XT!AC238), DAY(XT!AG238)), MATCH(1, INDEX(--(MONTH(CHOOSE({1,2,3,4}, XT!U238,XT!Y238,XT!AC238,XT!AG238))=4), 0), 0)), "")</f>
        <v/>
      </c>
      <c r="O238" s="51" t="str">
        <f>IF(XT!$P238&gt;0,N238,"")</f>
        <v/>
      </c>
      <c r="P238" s="51" t="str">
        <f>IF(XT!$P238=0,N238,"")</f>
        <v/>
      </c>
      <c r="Q238">
        <f>SUMPRODUCT((MONTH(CHOOSE({1,2,3,4},XT!U238,XT!Y238,XT!AC238,XT!AG238))=5)*(CHOOSE({1,2,3,4},XT!X238,XT!AB238,XT!AF238,XT!AJ238)))</f>
        <v>0</v>
      </c>
      <c r="R238" t="str">
        <f>IFERROR(INDEX(CHOOSE({1,2,3,4}, DAY(XT!U238), DAY(XT!Y238), DAY(XT!AC238), DAY(XT!AG238)), MATCH(1, INDEX(--(MONTH(CHOOSE({1,2,3,4}, XT!U238,XT!Y238,XT!AC238,XT!AG238))=5), 0), 0)), "")</f>
        <v/>
      </c>
      <c r="S238" s="51" t="str">
        <f>IF(XT!$P238&gt;0,R238,"")</f>
        <v/>
      </c>
      <c r="T238" s="51" t="str">
        <f>IF(XT!$P238=0,R238,"")</f>
        <v/>
      </c>
      <c r="U238">
        <f>SUMPRODUCT((MONTH(CHOOSE({1,2,3,4},XT!U238,XT!Y238,XT!AC238,XT!AG238))=6)*(CHOOSE({1,2,3,4},XT!X238,XT!AB238,XT!AF238,XT!AJ238)))</f>
        <v>0</v>
      </c>
      <c r="V238" t="str">
        <f>IFERROR(INDEX(CHOOSE({1,2,3,4}, DAY(XT!U238), DAY(XT!Y238), DAY(XT!AC238), DAY(XT!AG238)), MATCH(1, INDEX(--(MONTH(CHOOSE({1,2,3,4}, XT!U238,XT!Y238,XT!AC238,XT!AG238))=6), 0), 0)), "")</f>
        <v/>
      </c>
      <c r="W238" s="51" t="str">
        <f>IF(XT!$P238&gt;0,V238,"")</f>
        <v/>
      </c>
      <c r="X238" s="51" t="str">
        <f>IF(XT!$P238=0,V238,"")</f>
        <v/>
      </c>
      <c r="Y238">
        <f>SUMPRODUCT((MONTH(CHOOSE({1,2,3,4},XT!U238,XT!Y238,XT!AC238,XT!AG238))=7)*(CHOOSE({1,2,3,4},XT!X238,XT!AB238,XT!AF238,XT!AJ238)))</f>
        <v>0</v>
      </c>
      <c r="Z238" t="str">
        <f>IFERROR(INDEX(CHOOSE({1,2,3,4}, DAY(XT!U238), DAY(XT!Y238), DAY(XT!AC238), DAY(XT!AG238)), MATCH(1, INDEX(--(MONTH(CHOOSE({1,2,3,4}, XT!U238,XT!Y238,XT!AC238,XT!AG238))=7), 0), 0)), "")</f>
        <v/>
      </c>
      <c r="AA238" s="51" t="str">
        <f>IF(XT!$P238&gt;0,Z238,"")</f>
        <v/>
      </c>
      <c r="AB238" s="51" t="str">
        <f>IF(XT!$P238=0,Z238,"")</f>
        <v/>
      </c>
      <c r="AC238">
        <f>SUMPRODUCT((MONTH(CHOOSE({1,2,3,4},XT!U238,XT!Y238,XT!AC238,XT!AG238))=8)*(CHOOSE({1,2,3,4},XT!X238,XT!AB238,XT!AF238,XT!AJ238)))</f>
        <v>0</v>
      </c>
      <c r="AD238" t="str">
        <f>IFERROR(INDEX(CHOOSE({1,2,3,4}, DAY(XT!U238), DAY(XT!Y238), DAY(XT!AC238), DAY(XT!AG238)), MATCH(1, INDEX(--(MONTH(CHOOSE({1,2,3,4}, XT!U238,XT!Y238,XT!AC238,XT!AG238))=8), 0), 0)), "")</f>
        <v/>
      </c>
      <c r="AE238" s="51" t="str">
        <f>IF(XT!$P238&gt;0,AD238,"")</f>
        <v/>
      </c>
      <c r="AF238" s="51" t="str">
        <f>IF(XT!$P238=0,AD238,"")</f>
        <v/>
      </c>
      <c r="AG238">
        <f>SUMPRODUCT((MONTH(CHOOSE({1,2,3,4},XT!U238,XT!Y238,XT!AC238,XT!AG238))=9)*(CHOOSE({1,2,3,4},XT!X238,XT!AB238,XT!AF238,XT!AJ238)))</f>
        <v>0</v>
      </c>
      <c r="AH238" t="str">
        <f>IFERROR(INDEX(CHOOSE({1,2,3,4}, DAY(XT!U238), DAY(XT!Y238), DAY(XT!AC238), DAY(XT!AG238)), MATCH(1, INDEX(--(MONTH(CHOOSE({1,2,3,4}, XT!U238,XT!Y238,XT!AC238,XT!AG238))=9), 0), 0)), "")</f>
        <v/>
      </c>
      <c r="AI238" s="51" t="str">
        <f>IF(XT!$P238&gt;0,AH238,"")</f>
        <v/>
      </c>
      <c r="AJ238" s="51" t="str">
        <f>IF(XT!$P238=0,AH238,"")</f>
        <v/>
      </c>
      <c r="AK238">
        <f>SUMPRODUCT((MONTH(CHOOSE({1,2,3,4},XT!U238,XT!Y238,XT!AC238,XT!AG238))=10)*(CHOOSE({1,2,3,4},XT!X238,XT!AB238,XT!AF238,XT!AJ238)))</f>
        <v>0</v>
      </c>
      <c r="AL238" t="str">
        <f>IFERROR(INDEX(CHOOSE({1,2,3,4}, DAY(XT!U238), DAY(XT!Y238), DAY(XT!AC238), DAY(XT!AG238)), MATCH(1, INDEX(--(MONTH(CHOOSE({1,2,3,4}, XT!U238,XT!Y238,XT!AC238,XT!AG238))=10), 0), 0)), "")</f>
        <v/>
      </c>
      <c r="AM238" s="51" t="str">
        <f>IF(XT!$P238&gt;0,AL238,"")</f>
        <v/>
      </c>
      <c r="AN238" s="51" t="str">
        <f>IF(XT!$P238=0,AL238,"")</f>
        <v/>
      </c>
      <c r="AO238">
        <f>SUMPRODUCT((MONTH(CHOOSE({1,2,3,4},XT!U238,XT!Y238,XT!AC238,XT!AG238))=11)*(CHOOSE({1,2,3,4},XT!X238,XT!AB238,XT!AF238,XT!AJ238)))</f>
        <v>0</v>
      </c>
      <c r="AP238" t="str">
        <f>IFERROR(INDEX(CHOOSE({1,2,3,4}, DAY(XT!U238), DAY(XT!Y238), DAY(XT!AC238), DAY(XT!AG238)), MATCH(1, INDEX(--(MONTH(CHOOSE({1,2,3,4}, XT!U238,XT!Y238,XT!AC238,XT!AG238))=11), 0), 0)), "")</f>
        <v/>
      </c>
      <c r="AQ238" s="51" t="str">
        <f>IF(XT!$P238&gt;0,AP238,"")</f>
        <v/>
      </c>
      <c r="AR238" s="51" t="str">
        <f>IF(XT!$P238=0,AP238,"")</f>
        <v/>
      </c>
      <c r="AS238">
        <f>SUMPRODUCT((MONTH(CHOOSE({1,2,3,4},XT!U238,XT!Y238,XT!AC238,XT!AG238))=12)*(CHOOSE({1,2,3,4},XT!X238,XT!AB238,XT!AF238,XT!AJ238)))</f>
        <v>0</v>
      </c>
      <c r="AT238" t="str">
        <f>IFERROR(INDEX(CHOOSE({1,2,3,4}, DAY(XT!U238), DAY(XT!Y238), DAY(XT!AC238), DAY(XT!AG238)), MATCH(1, INDEX(--(MONTH(CHOOSE({1,2,3,4}, XT!U238,XT!Y238,XT!AC238,XT!AG238))=12), 0), 0)), "")</f>
        <v/>
      </c>
      <c r="AU238" s="51" t="str">
        <f>IF(XT!$P238&gt;0,AT238,"")</f>
        <v/>
      </c>
      <c r="AV238" s="51" t="str">
        <f>IF(XT!$P238=0,AT238,"")</f>
        <v/>
      </c>
    </row>
    <row r="239" spans="1:48">
      <c r="A239">
        <f>SUMPRODUCT((MONTH(CHOOSE({1,2,3,4},XT!U239,XT!Y239,XT!AC239,XT!AG239))=1)*(CHOOSE({1,2,3,4},XT!X239,XT!AB239,XT!AF239,XT!AJ239)))</f>
        <v>0</v>
      </c>
      <c r="B239">
        <f>IFERROR(INDEX(CHOOSE({1,2,3,4}, DAY(XT!U239), DAY(XT!Y239), DAY(XT!AC239), DAY(XT!AG239)), MATCH(1, INDEX(--(MONTH(CHOOSE({1,2,3,4}, XT!U239,XT!Y239,XT!AC239,XT!AG239))=1), 0), 0)), "")</f>
        <v>0</v>
      </c>
      <c r="C239" s="51" t="str">
        <f>IF(XT!$P239&gt;0,B239,"")</f>
        <v/>
      </c>
      <c r="D239" s="51">
        <f>IF(XT!$P239=0,B239,"")</f>
        <v>0</v>
      </c>
      <c r="E239">
        <f>SUMPRODUCT((MONTH(CHOOSE({1,2,3,4},XT!U239,XT!Y239,XT!AC239,XT!AG239))=2)*(CHOOSE({1,2,3,4},XT!X239,XT!AB239,XT!AF239,XT!AJ239)))</f>
        <v>0</v>
      </c>
      <c r="F239" t="str">
        <f>IFERROR(INDEX(CHOOSE({1,2,3,4}, DAY(XT!U239), DAY(XT!Y239), DAY(XT!AC239), DAY(XT!AG239)), MATCH(1, INDEX(--(MONTH(CHOOSE({1,2,3,4}, XT!U239,XT!Y239,XT!AC239,XT!AG239))=2), 0), 0)), "")</f>
        <v/>
      </c>
      <c r="G239" s="51" t="str">
        <f>IF(XT!$P239&gt;0,F239,"")</f>
        <v/>
      </c>
      <c r="H239" s="51" t="str">
        <f>IF(XT!$P239=0,F239,"")</f>
        <v/>
      </c>
      <c r="I239">
        <f>SUMPRODUCT((MONTH(CHOOSE({1,2,3,4},XT!U239,XT!Y239,XT!AC239,XT!AG239))=3)*(CHOOSE({1,2,3,4},XT!X239,XT!AB239,XT!AF239,XT!AJ239)))</f>
        <v>0</v>
      </c>
      <c r="J239" t="str">
        <f>IFERROR(INDEX(CHOOSE({1,2,3,4}, DAY(XT!U239), DAY(XT!Y239), DAY(XT!AC239), DAY(XT!AG239)), MATCH(1, INDEX(--(MONTH(CHOOSE({1,2,3,4}, XT!U239,XT!Y239,XT!AC239,XT!AG239))=3), 0), 0)), "")</f>
        <v/>
      </c>
      <c r="K239" s="51" t="str">
        <f>IF(XT!$P239&gt;0,J239,"")</f>
        <v/>
      </c>
      <c r="L239" s="51" t="str">
        <f>IF(XT!$P239=0,J239,"")</f>
        <v/>
      </c>
      <c r="M239">
        <f>SUMPRODUCT((MONTH(CHOOSE({1,2,3,4},XT!U239,XT!Y239,XT!AC239,XT!AG239))=4)*(CHOOSE({1,2,3,4},XT!X239,XT!AB239,XT!AF239,XT!AJ239)))</f>
        <v>0</v>
      </c>
      <c r="N239" t="str">
        <f>IFERROR(INDEX(CHOOSE({1,2,3,4}, DAY(XT!U239), DAY(XT!Y239), DAY(XT!AC239), DAY(XT!AG239)), MATCH(1, INDEX(--(MONTH(CHOOSE({1,2,3,4}, XT!U239,XT!Y239,XT!AC239,XT!AG239))=4), 0), 0)), "")</f>
        <v/>
      </c>
      <c r="O239" s="51" t="str">
        <f>IF(XT!$P239&gt;0,N239,"")</f>
        <v/>
      </c>
      <c r="P239" s="51" t="str">
        <f>IF(XT!$P239=0,N239,"")</f>
        <v/>
      </c>
      <c r="Q239">
        <f>SUMPRODUCT((MONTH(CHOOSE({1,2,3,4},XT!U239,XT!Y239,XT!AC239,XT!AG239))=5)*(CHOOSE({1,2,3,4},XT!X239,XT!AB239,XT!AF239,XT!AJ239)))</f>
        <v>0</v>
      </c>
      <c r="R239" t="str">
        <f>IFERROR(INDEX(CHOOSE({1,2,3,4}, DAY(XT!U239), DAY(XT!Y239), DAY(XT!AC239), DAY(XT!AG239)), MATCH(1, INDEX(--(MONTH(CHOOSE({1,2,3,4}, XT!U239,XT!Y239,XT!AC239,XT!AG239))=5), 0), 0)), "")</f>
        <v/>
      </c>
      <c r="S239" s="51" t="str">
        <f>IF(XT!$P239&gt;0,R239,"")</f>
        <v/>
      </c>
      <c r="T239" s="51" t="str">
        <f>IF(XT!$P239=0,R239,"")</f>
        <v/>
      </c>
      <c r="U239">
        <f>SUMPRODUCT((MONTH(CHOOSE({1,2,3,4},XT!U239,XT!Y239,XT!AC239,XT!AG239))=6)*(CHOOSE({1,2,3,4},XT!X239,XT!AB239,XT!AF239,XT!AJ239)))</f>
        <v>0</v>
      </c>
      <c r="V239" t="str">
        <f>IFERROR(INDEX(CHOOSE({1,2,3,4}, DAY(XT!U239), DAY(XT!Y239), DAY(XT!AC239), DAY(XT!AG239)), MATCH(1, INDEX(--(MONTH(CHOOSE({1,2,3,4}, XT!U239,XT!Y239,XT!AC239,XT!AG239))=6), 0), 0)), "")</f>
        <v/>
      </c>
      <c r="W239" s="51" t="str">
        <f>IF(XT!$P239&gt;0,V239,"")</f>
        <v/>
      </c>
      <c r="X239" s="51" t="str">
        <f>IF(XT!$P239=0,V239,"")</f>
        <v/>
      </c>
      <c r="Y239">
        <f>SUMPRODUCT((MONTH(CHOOSE({1,2,3,4},XT!U239,XT!Y239,XT!AC239,XT!AG239))=7)*(CHOOSE({1,2,3,4},XT!X239,XT!AB239,XT!AF239,XT!AJ239)))</f>
        <v>0</v>
      </c>
      <c r="Z239" t="str">
        <f>IFERROR(INDEX(CHOOSE({1,2,3,4}, DAY(XT!U239), DAY(XT!Y239), DAY(XT!AC239), DAY(XT!AG239)), MATCH(1, INDEX(--(MONTH(CHOOSE({1,2,3,4}, XT!U239,XT!Y239,XT!AC239,XT!AG239))=7), 0), 0)), "")</f>
        <v/>
      </c>
      <c r="AA239" s="51" t="str">
        <f>IF(XT!$P239&gt;0,Z239,"")</f>
        <v/>
      </c>
      <c r="AB239" s="51" t="str">
        <f>IF(XT!$P239=0,Z239,"")</f>
        <v/>
      </c>
      <c r="AC239">
        <f>SUMPRODUCT((MONTH(CHOOSE({1,2,3,4},XT!U239,XT!Y239,XT!AC239,XT!AG239))=8)*(CHOOSE({1,2,3,4},XT!X239,XT!AB239,XT!AF239,XT!AJ239)))</f>
        <v>0</v>
      </c>
      <c r="AD239" t="str">
        <f>IFERROR(INDEX(CHOOSE({1,2,3,4}, DAY(XT!U239), DAY(XT!Y239), DAY(XT!AC239), DAY(XT!AG239)), MATCH(1, INDEX(--(MONTH(CHOOSE({1,2,3,4}, XT!U239,XT!Y239,XT!AC239,XT!AG239))=8), 0), 0)), "")</f>
        <v/>
      </c>
      <c r="AE239" s="51" t="str">
        <f>IF(XT!$P239&gt;0,AD239,"")</f>
        <v/>
      </c>
      <c r="AF239" s="51" t="str">
        <f>IF(XT!$P239=0,AD239,"")</f>
        <v/>
      </c>
      <c r="AG239">
        <f>SUMPRODUCT((MONTH(CHOOSE({1,2,3,4},XT!U239,XT!Y239,XT!AC239,XT!AG239))=9)*(CHOOSE({1,2,3,4},XT!X239,XT!AB239,XT!AF239,XT!AJ239)))</f>
        <v>0</v>
      </c>
      <c r="AH239" t="str">
        <f>IFERROR(INDEX(CHOOSE({1,2,3,4}, DAY(XT!U239), DAY(XT!Y239), DAY(XT!AC239), DAY(XT!AG239)), MATCH(1, INDEX(--(MONTH(CHOOSE({1,2,3,4}, XT!U239,XT!Y239,XT!AC239,XT!AG239))=9), 0), 0)), "")</f>
        <v/>
      </c>
      <c r="AI239" s="51" t="str">
        <f>IF(XT!$P239&gt;0,AH239,"")</f>
        <v/>
      </c>
      <c r="AJ239" s="51" t="str">
        <f>IF(XT!$P239=0,AH239,"")</f>
        <v/>
      </c>
      <c r="AK239">
        <f>SUMPRODUCT((MONTH(CHOOSE({1,2,3,4},XT!U239,XT!Y239,XT!AC239,XT!AG239))=10)*(CHOOSE({1,2,3,4},XT!X239,XT!AB239,XT!AF239,XT!AJ239)))</f>
        <v>0</v>
      </c>
      <c r="AL239" t="str">
        <f>IFERROR(INDEX(CHOOSE({1,2,3,4}, DAY(XT!U239), DAY(XT!Y239), DAY(XT!AC239), DAY(XT!AG239)), MATCH(1, INDEX(--(MONTH(CHOOSE({1,2,3,4}, XT!U239,XT!Y239,XT!AC239,XT!AG239))=10), 0), 0)), "")</f>
        <v/>
      </c>
      <c r="AM239" s="51" t="str">
        <f>IF(XT!$P239&gt;0,AL239,"")</f>
        <v/>
      </c>
      <c r="AN239" s="51" t="str">
        <f>IF(XT!$P239=0,AL239,"")</f>
        <v/>
      </c>
      <c r="AO239">
        <f>SUMPRODUCT((MONTH(CHOOSE({1,2,3,4},XT!U239,XT!Y239,XT!AC239,XT!AG239))=11)*(CHOOSE({1,2,3,4},XT!X239,XT!AB239,XT!AF239,XT!AJ239)))</f>
        <v>0</v>
      </c>
      <c r="AP239" t="str">
        <f>IFERROR(INDEX(CHOOSE({1,2,3,4}, DAY(XT!U239), DAY(XT!Y239), DAY(XT!AC239), DAY(XT!AG239)), MATCH(1, INDEX(--(MONTH(CHOOSE({1,2,3,4}, XT!U239,XT!Y239,XT!AC239,XT!AG239))=11), 0), 0)), "")</f>
        <v/>
      </c>
      <c r="AQ239" s="51" t="str">
        <f>IF(XT!$P239&gt;0,AP239,"")</f>
        <v/>
      </c>
      <c r="AR239" s="51" t="str">
        <f>IF(XT!$P239=0,AP239,"")</f>
        <v/>
      </c>
      <c r="AS239">
        <f>SUMPRODUCT((MONTH(CHOOSE({1,2,3,4},XT!U239,XT!Y239,XT!AC239,XT!AG239))=12)*(CHOOSE({1,2,3,4},XT!X239,XT!AB239,XT!AF239,XT!AJ239)))</f>
        <v>0</v>
      </c>
      <c r="AT239" t="str">
        <f>IFERROR(INDEX(CHOOSE({1,2,3,4}, DAY(XT!U239), DAY(XT!Y239), DAY(XT!AC239), DAY(XT!AG239)), MATCH(1, INDEX(--(MONTH(CHOOSE({1,2,3,4}, XT!U239,XT!Y239,XT!AC239,XT!AG239))=12), 0), 0)), "")</f>
        <v/>
      </c>
      <c r="AU239" s="51" t="str">
        <f>IF(XT!$P239&gt;0,AT239,"")</f>
        <v/>
      </c>
      <c r="AV239" s="51" t="str">
        <f>IF(XT!$P239=0,AT239,"")</f>
        <v/>
      </c>
    </row>
    <row r="240" spans="1:48">
      <c r="A240">
        <f>SUMPRODUCT((MONTH(CHOOSE({1,2,3,4},XT!U240,XT!Y240,XT!AC240,XT!AG240))=1)*(CHOOSE({1,2,3,4},XT!X240,XT!AB240,XT!AF240,XT!AJ240)))</f>
        <v>0</v>
      </c>
      <c r="B240">
        <f>IFERROR(INDEX(CHOOSE({1,2,3,4}, DAY(XT!U240), DAY(XT!Y240), DAY(XT!AC240), DAY(XT!AG240)), MATCH(1, INDEX(--(MONTH(CHOOSE({1,2,3,4}, XT!U240,XT!Y240,XT!AC240,XT!AG240))=1), 0), 0)), "")</f>
        <v>0</v>
      </c>
      <c r="C240" s="51" t="str">
        <f>IF(XT!$P240&gt;0,B240,"")</f>
        <v/>
      </c>
      <c r="D240" s="51">
        <f>IF(XT!$P240=0,B240,"")</f>
        <v>0</v>
      </c>
      <c r="E240">
        <f>SUMPRODUCT((MONTH(CHOOSE({1,2,3,4},XT!U240,XT!Y240,XT!AC240,XT!AG240))=2)*(CHOOSE({1,2,3,4},XT!X240,XT!AB240,XT!AF240,XT!AJ240)))</f>
        <v>0</v>
      </c>
      <c r="F240" t="str">
        <f>IFERROR(INDEX(CHOOSE({1,2,3,4}, DAY(XT!U240), DAY(XT!Y240), DAY(XT!AC240), DAY(XT!AG240)), MATCH(1, INDEX(--(MONTH(CHOOSE({1,2,3,4}, XT!U240,XT!Y240,XT!AC240,XT!AG240))=2), 0), 0)), "")</f>
        <v/>
      </c>
      <c r="G240" s="51" t="str">
        <f>IF(XT!$P240&gt;0,F240,"")</f>
        <v/>
      </c>
      <c r="H240" s="51" t="str">
        <f>IF(XT!$P240=0,F240,"")</f>
        <v/>
      </c>
      <c r="I240">
        <f>SUMPRODUCT((MONTH(CHOOSE({1,2,3,4},XT!U240,XT!Y240,XT!AC240,XT!AG240))=3)*(CHOOSE({1,2,3,4},XT!X240,XT!AB240,XT!AF240,XT!AJ240)))</f>
        <v>0</v>
      </c>
      <c r="J240" t="str">
        <f>IFERROR(INDEX(CHOOSE({1,2,3,4}, DAY(XT!U240), DAY(XT!Y240), DAY(XT!AC240), DAY(XT!AG240)), MATCH(1, INDEX(--(MONTH(CHOOSE({1,2,3,4}, XT!U240,XT!Y240,XT!AC240,XT!AG240))=3), 0), 0)), "")</f>
        <v/>
      </c>
      <c r="K240" s="51" t="str">
        <f>IF(XT!$P240&gt;0,J240,"")</f>
        <v/>
      </c>
      <c r="L240" s="51" t="str">
        <f>IF(XT!$P240=0,J240,"")</f>
        <v/>
      </c>
      <c r="M240">
        <f>SUMPRODUCT((MONTH(CHOOSE({1,2,3,4},XT!U240,XT!Y240,XT!AC240,XT!AG240))=4)*(CHOOSE({1,2,3,4},XT!X240,XT!AB240,XT!AF240,XT!AJ240)))</f>
        <v>0</v>
      </c>
      <c r="N240" t="str">
        <f>IFERROR(INDEX(CHOOSE({1,2,3,4}, DAY(XT!U240), DAY(XT!Y240), DAY(XT!AC240), DAY(XT!AG240)), MATCH(1, INDEX(--(MONTH(CHOOSE({1,2,3,4}, XT!U240,XT!Y240,XT!AC240,XT!AG240))=4), 0), 0)), "")</f>
        <v/>
      </c>
      <c r="O240" s="51" t="str">
        <f>IF(XT!$P240&gt;0,N240,"")</f>
        <v/>
      </c>
      <c r="P240" s="51" t="str">
        <f>IF(XT!$P240=0,N240,"")</f>
        <v/>
      </c>
      <c r="Q240">
        <f>SUMPRODUCT((MONTH(CHOOSE({1,2,3,4},XT!U240,XT!Y240,XT!AC240,XT!AG240))=5)*(CHOOSE({1,2,3,4},XT!X240,XT!AB240,XT!AF240,XT!AJ240)))</f>
        <v>0</v>
      </c>
      <c r="R240" t="str">
        <f>IFERROR(INDEX(CHOOSE({1,2,3,4}, DAY(XT!U240), DAY(XT!Y240), DAY(XT!AC240), DAY(XT!AG240)), MATCH(1, INDEX(--(MONTH(CHOOSE({1,2,3,4}, XT!U240,XT!Y240,XT!AC240,XT!AG240))=5), 0), 0)), "")</f>
        <v/>
      </c>
      <c r="S240" s="51" t="str">
        <f>IF(XT!$P240&gt;0,R240,"")</f>
        <v/>
      </c>
      <c r="T240" s="51" t="str">
        <f>IF(XT!$P240=0,R240,"")</f>
        <v/>
      </c>
      <c r="U240">
        <f>SUMPRODUCT((MONTH(CHOOSE({1,2,3,4},XT!U240,XT!Y240,XT!AC240,XT!AG240))=6)*(CHOOSE({1,2,3,4},XT!X240,XT!AB240,XT!AF240,XT!AJ240)))</f>
        <v>0</v>
      </c>
      <c r="V240" t="str">
        <f>IFERROR(INDEX(CHOOSE({1,2,3,4}, DAY(XT!U240), DAY(XT!Y240), DAY(XT!AC240), DAY(XT!AG240)), MATCH(1, INDEX(--(MONTH(CHOOSE({1,2,3,4}, XT!U240,XT!Y240,XT!AC240,XT!AG240))=6), 0), 0)), "")</f>
        <v/>
      </c>
      <c r="W240" s="51" t="str">
        <f>IF(XT!$P240&gt;0,V240,"")</f>
        <v/>
      </c>
      <c r="X240" s="51" t="str">
        <f>IF(XT!$P240=0,V240,"")</f>
        <v/>
      </c>
      <c r="Y240">
        <f>SUMPRODUCT((MONTH(CHOOSE({1,2,3,4},XT!U240,XT!Y240,XT!AC240,XT!AG240))=7)*(CHOOSE({1,2,3,4},XT!X240,XT!AB240,XT!AF240,XT!AJ240)))</f>
        <v>0</v>
      </c>
      <c r="Z240" t="str">
        <f>IFERROR(INDEX(CHOOSE({1,2,3,4}, DAY(XT!U240), DAY(XT!Y240), DAY(XT!AC240), DAY(XT!AG240)), MATCH(1, INDEX(--(MONTH(CHOOSE({1,2,3,4}, XT!U240,XT!Y240,XT!AC240,XT!AG240))=7), 0), 0)), "")</f>
        <v/>
      </c>
      <c r="AA240" s="51" t="str">
        <f>IF(XT!$P240&gt;0,Z240,"")</f>
        <v/>
      </c>
      <c r="AB240" s="51" t="str">
        <f>IF(XT!$P240=0,Z240,"")</f>
        <v/>
      </c>
      <c r="AC240">
        <f>SUMPRODUCT((MONTH(CHOOSE({1,2,3,4},XT!U240,XT!Y240,XT!AC240,XT!AG240))=8)*(CHOOSE({1,2,3,4},XT!X240,XT!AB240,XT!AF240,XT!AJ240)))</f>
        <v>0</v>
      </c>
      <c r="AD240" t="str">
        <f>IFERROR(INDEX(CHOOSE({1,2,3,4}, DAY(XT!U240), DAY(XT!Y240), DAY(XT!AC240), DAY(XT!AG240)), MATCH(1, INDEX(--(MONTH(CHOOSE({1,2,3,4}, XT!U240,XT!Y240,XT!AC240,XT!AG240))=8), 0), 0)), "")</f>
        <v/>
      </c>
      <c r="AE240" s="51" t="str">
        <f>IF(XT!$P240&gt;0,AD240,"")</f>
        <v/>
      </c>
      <c r="AF240" s="51" t="str">
        <f>IF(XT!$P240=0,AD240,"")</f>
        <v/>
      </c>
      <c r="AG240">
        <f>SUMPRODUCT((MONTH(CHOOSE({1,2,3,4},XT!U240,XT!Y240,XT!AC240,XT!AG240))=9)*(CHOOSE({1,2,3,4},XT!X240,XT!AB240,XT!AF240,XT!AJ240)))</f>
        <v>0</v>
      </c>
      <c r="AH240" t="str">
        <f>IFERROR(INDEX(CHOOSE({1,2,3,4}, DAY(XT!U240), DAY(XT!Y240), DAY(XT!AC240), DAY(XT!AG240)), MATCH(1, INDEX(--(MONTH(CHOOSE({1,2,3,4}, XT!U240,XT!Y240,XT!AC240,XT!AG240))=9), 0), 0)), "")</f>
        <v/>
      </c>
      <c r="AI240" s="51" t="str">
        <f>IF(XT!$P240&gt;0,AH240,"")</f>
        <v/>
      </c>
      <c r="AJ240" s="51" t="str">
        <f>IF(XT!$P240=0,AH240,"")</f>
        <v/>
      </c>
      <c r="AK240">
        <f>SUMPRODUCT((MONTH(CHOOSE({1,2,3,4},XT!U240,XT!Y240,XT!AC240,XT!AG240))=10)*(CHOOSE({1,2,3,4},XT!X240,XT!AB240,XT!AF240,XT!AJ240)))</f>
        <v>0</v>
      </c>
      <c r="AL240" t="str">
        <f>IFERROR(INDEX(CHOOSE({1,2,3,4}, DAY(XT!U240), DAY(XT!Y240), DAY(XT!AC240), DAY(XT!AG240)), MATCH(1, INDEX(--(MONTH(CHOOSE({1,2,3,4}, XT!U240,XT!Y240,XT!AC240,XT!AG240))=10), 0), 0)), "")</f>
        <v/>
      </c>
      <c r="AM240" s="51" t="str">
        <f>IF(XT!$P240&gt;0,AL240,"")</f>
        <v/>
      </c>
      <c r="AN240" s="51" t="str">
        <f>IF(XT!$P240=0,AL240,"")</f>
        <v/>
      </c>
      <c r="AO240">
        <f>SUMPRODUCT((MONTH(CHOOSE({1,2,3,4},XT!U240,XT!Y240,XT!AC240,XT!AG240))=11)*(CHOOSE({1,2,3,4},XT!X240,XT!AB240,XT!AF240,XT!AJ240)))</f>
        <v>0</v>
      </c>
      <c r="AP240" t="str">
        <f>IFERROR(INDEX(CHOOSE({1,2,3,4}, DAY(XT!U240), DAY(XT!Y240), DAY(XT!AC240), DAY(XT!AG240)), MATCH(1, INDEX(--(MONTH(CHOOSE({1,2,3,4}, XT!U240,XT!Y240,XT!AC240,XT!AG240))=11), 0), 0)), "")</f>
        <v/>
      </c>
      <c r="AQ240" s="51" t="str">
        <f>IF(XT!$P240&gt;0,AP240,"")</f>
        <v/>
      </c>
      <c r="AR240" s="51" t="str">
        <f>IF(XT!$P240=0,AP240,"")</f>
        <v/>
      </c>
      <c r="AS240">
        <f>SUMPRODUCT((MONTH(CHOOSE({1,2,3,4},XT!U240,XT!Y240,XT!AC240,XT!AG240))=12)*(CHOOSE({1,2,3,4},XT!X240,XT!AB240,XT!AF240,XT!AJ240)))</f>
        <v>0</v>
      </c>
      <c r="AT240" t="str">
        <f>IFERROR(INDEX(CHOOSE({1,2,3,4}, DAY(XT!U240), DAY(XT!Y240), DAY(XT!AC240), DAY(XT!AG240)), MATCH(1, INDEX(--(MONTH(CHOOSE({1,2,3,4}, XT!U240,XT!Y240,XT!AC240,XT!AG240))=12), 0), 0)), "")</f>
        <v/>
      </c>
      <c r="AU240" s="51" t="str">
        <f>IF(XT!$P240&gt;0,AT240,"")</f>
        <v/>
      </c>
      <c r="AV240" s="51" t="str">
        <f>IF(XT!$P240=0,AT240,"")</f>
        <v/>
      </c>
    </row>
    <row r="241" spans="1:48">
      <c r="A241">
        <f>SUMPRODUCT((MONTH(CHOOSE({1,2,3,4},XT!U241,XT!Y241,XT!AC241,XT!AG241))=1)*(CHOOSE({1,2,3,4},XT!X241,XT!AB241,XT!AF241,XT!AJ241)))</f>
        <v>0</v>
      </c>
      <c r="B241">
        <f>IFERROR(INDEX(CHOOSE({1,2,3,4}, DAY(XT!U241), DAY(XT!Y241), DAY(XT!AC241), DAY(XT!AG241)), MATCH(1, INDEX(--(MONTH(CHOOSE({1,2,3,4}, XT!U241,XT!Y241,XT!AC241,XT!AG241))=1), 0), 0)), "")</f>
        <v>0</v>
      </c>
      <c r="C241" s="51" t="str">
        <f>IF(XT!$P241&gt;0,B241,"")</f>
        <v/>
      </c>
      <c r="D241" s="51">
        <f>IF(XT!$P241=0,B241,"")</f>
        <v>0</v>
      </c>
      <c r="E241">
        <f>SUMPRODUCT((MONTH(CHOOSE({1,2,3,4},XT!U241,XT!Y241,XT!AC241,XT!AG241))=2)*(CHOOSE({1,2,3,4},XT!X241,XT!AB241,XT!AF241,XT!AJ241)))</f>
        <v>0</v>
      </c>
      <c r="F241" t="str">
        <f>IFERROR(INDEX(CHOOSE({1,2,3,4}, DAY(XT!U241), DAY(XT!Y241), DAY(XT!AC241), DAY(XT!AG241)), MATCH(1, INDEX(--(MONTH(CHOOSE({1,2,3,4}, XT!U241,XT!Y241,XT!AC241,XT!AG241))=2), 0), 0)), "")</f>
        <v/>
      </c>
      <c r="G241" s="51" t="str">
        <f>IF(XT!$P241&gt;0,F241,"")</f>
        <v/>
      </c>
      <c r="H241" s="51" t="str">
        <f>IF(XT!$P241=0,F241,"")</f>
        <v/>
      </c>
      <c r="I241">
        <f>SUMPRODUCT((MONTH(CHOOSE({1,2,3,4},XT!U241,XT!Y241,XT!AC241,XT!AG241))=3)*(CHOOSE({1,2,3,4},XT!X241,XT!AB241,XT!AF241,XT!AJ241)))</f>
        <v>0</v>
      </c>
      <c r="J241" t="str">
        <f>IFERROR(INDEX(CHOOSE({1,2,3,4}, DAY(XT!U241), DAY(XT!Y241), DAY(XT!AC241), DAY(XT!AG241)), MATCH(1, INDEX(--(MONTH(CHOOSE({1,2,3,4}, XT!U241,XT!Y241,XT!AC241,XT!AG241))=3), 0), 0)), "")</f>
        <v/>
      </c>
      <c r="K241" s="51" t="str">
        <f>IF(XT!$P241&gt;0,J241,"")</f>
        <v/>
      </c>
      <c r="L241" s="51" t="str">
        <f>IF(XT!$P241=0,J241,"")</f>
        <v/>
      </c>
      <c r="M241">
        <f>SUMPRODUCT((MONTH(CHOOSE({1,2,3,4},XT!U241,XT!Y241,XT!AC241,XT!AG241))=4)*(CHOOSE({1,2,3,4},XT!X241,XT!AB241,XT!AF241,XT!AJ241)))</f>
        <v>0</v>
      </c>
      <c r="N241" t="str">
        <f>IFERROR(INDEX(CHOOSE({1,2,3,4}, DAY(XT!U241), DAY(XT!Y241), DAY(XT!AC241), DAY(XT!AG241)), MATCH(1, INDEX(--(MONTH(CHOOSE({1,2,3,4}, XT!U241,XT!Y241,XT!AC241,XT!AG241))=4), 0), 0)), "")</f>
        <v/>
      </c>
      <c r="O241" s="51" t="str">
        <f>IF(XT!$P241&gt;0,N241,"")</f>
        <v/>
      </c>
      <c r="P241" s="51" t="str">
        <f>IF(XT!$P241=0,N241,"")</f>
        <v/>
      </c>
      <c r="Q241">
        <f>SUMPRODUCT((MONTH(CHOOSE({1,2,3,4},XT!U241,XT!Y241,XT!AC241,XT!AG241))=5)*(CHOOSE({1,2,3,4},XT!X241,XT!AB241,XT!AF241,XT!AJ241)))</f>
        <v>0</v>
      </c>
      <c r="R241" t="str">
        <f>IFERROR(INDEX(CHOOSE({1,2,3,4}, DAY(XT!U241), DAY(XT!Y241), DAY(XT!AC241), DAY(XT!AG241)), MATCH(1, INDEX(--(MONTH(CHOOSE({1,2,3,4}, XT!U241,XT!Y241,XT!AC241,XT!AG241))=5), 0), 0)), "")</f>
        <v/>
      </c>
      <c r="S241" s="51" t="str">
        <f>IF(XT!$P241&gt;0,R241,"")</f>
        <v/>
      </c>
      <c r="T241" s="51" t="str">
        <f>IF(XT!$P241=0,R241,"")</f>
        <v/>
      </c>
      <c r="U241">
        <f>SUMPRODUCT((MONTH(CHOOSE({1,2,3,4},XT!U241,XT!Y241,XT!AC241,XT!AG241))=6)*(CHOOSE({1,2,3,4},XT!X241,XT!AB241,XT!AF241,XT!AJ241)))</f>
        <v>0</v>
      </c>
      <c r="V241" t="str">
        <f>IFERROR(INDEX(CHOOSE({1,2,3,4}, DAY(XT!U241), DAY(XT!Y241), DAY(XT!AC241), DAY(XT!AG241)), MATCH(1, INDEX(--(MONTH(CHOOSE({1,2,3,4}, XT!U241,XT!Y241,XT!AC241,XT!AG241))=6), 0), 0)), "")</f>
        <v/>
      </c>
      <c r="W241" s="51" t="str">
        <f>IF(XT!$P241&gt;0,V241,"")</f>
        <v/>
      </c>
      <c r="X241" s="51" t="str">
        <f>IF(XT!$P241=0,V241,"")</f>
        <v/>
      </c>
      <c r="Y241">
        <f>SUMPRODUCT((MONTH(CHOOSE({1,2,3,4},XT!U241,XT!Y241,XT!AC241,XT!AG241))=7)*(CHOOSE({1,2,3,4},XT!X241,XT!AB241,XT!AF241,XT!AJ241)))</f>
        <v>0</v>
      </c>
      <c r="Z241" t="str">
        <f>IFERROR(INDEX(CHOOSE({1,2,3,4}, DAY(XT!U241), DAY(XT!Y241), DAY(XT!AC241), DAY(XT!AG241)), MATCH(1, INDEX(--(MONTH(CHOOSE({1,2,3,4}, XT!U241,XT!Y241,XT!AC241,XT!AG241))=7), 0), 0)), "")</f>
        <v/>
      </c>
      <c r="AA241" s="51" t="str">
        <f>IF(XT!$P241&gt;0,Z241,"")</f>
        <v/>
      </c>
      <c r="AB241" s="51" t="str">
        <f>IF(XT!$P241=0,Z241,"")</f>
        <v/>
      </c>
      <c r="AC241">
        <f>SUMPRODUCT((MONTH(CHOOSE({1,2,3,4},XT!U241,XT!Y241,XT!AC241,XT!AG241))=8)*(CHOOSE({1,2,3,4},XT!X241,XT!AB241,XT!AF241,XT!AJ241)))</f>
        <v>0</v>
      </c>
      <c r="AD241" t="str">
        <f>IFERROR(INDEX(CHOOSE({1,2,3,4}, DAY(XT!U241), DAY(XT!Y241), DAY(XT!AC241), DAY(XT!AG241)), MATCH(1, INDEX(--(MONTH(CHOOSE({1,2,3,4}, XT!U241,XT!Y241,XT!AC241,XT!AG241))=8), 0), 0)), "")</f>
        <v/>
      </c>
      <c r="AE241" s="51" t="str">
        <f>IF(XT!$P241&gt;0,AD241,"")</f>
        <v/>
      </c>
      <c r="AF241" s="51" t="str">
        <f>IF(XT!$P241=0,AD241,"")</f>
        <v/>
      </c>
      <c r="AG241">
        <f>SUMPRODUCT((MONTH(CHOOSE({1,2,3,4},XT!U241,XT!Y241,XT!AC241,XT!AG241))=9)*(CHOOSE({1,2,3,4},XT!X241,XT!AB241,XT!AF241,XT!AJ241)))</f>
        <v>0</v>
      </c>
      <c r="AH241" t="str">
        <f>IFERROR(INDEX(CHOOSE({1,2,3,4}, DAY(XT!U241), DAY(XT!Y241), DAY(XT!AC241), DAY(XT!AG241)), MATCH(1, INDEX(--(MONTH(CHOOSE({1,2,3,4}, XT!U241,XT!Y241,XT!AC241,XT!AG241))=9), 0), 0)), "")</f>
        <v/>
      </c>
      <c r="AI241" s="51" t="str">
        <f>IF(XT!$P241&gt;0,AH241,"")</f>
        <v/>
      </c>
      <c r="AJ241" s="51" t="str">
        <f>IF(XT!$P241=0,AH241,"")</f>
        <v/>
      </c>
      <c r="AK241">
        <f>SUMPRODUCT((MONTH(CHOOSE({1,2,3,4},XT!U241,XT!Y241,XT!AC241,XT!AG241))=10)*(CHOOSE({1,2,3,4},XT!X241,XT!AB241,XT!AF241,XT!AJ241)))</f>
        <v>0</v>
      </c>
      <c r="AL241" t="str">
        <f>IFERROR(INDEX(CHOOSE({1,2,3,4}, DAY(XT!U241), DAY(XT!Y241), DAY(XT!AC241), DAY(XT!AG241)), MATCH(1, INDEX(--(MONTH(CHOOSE({1,2,3,4}, XT!U241,XT!Y241,XT!AC241,XT!AG241))=10), 0), 0)), "")</f>
        <v/>
      </c>
      <c r="AM241" s="51" t="str">
        <f>IF(XT!$P241&gt;0,AL241,"")</f>
        <v/>
      </c>
      <c r="AN241" s="51" t="str">
        <f>IF(XT!$P241=0,AL241,"")</f>
        <v/>
      </c>
      <c r="AO241">
        <f>SUMPRODUCT((MONTH(CHOOSE({1,2,3,4},XT!U241,XT!Y241,XT!AC241,XT!AG241))=11)*(CHOOSE({1,2,3,4},XT!X241,XT!AB241,XT!AF241,XT!AJ241)))</f>
        <v>0</v>
      </c>
      <c r="AP241" t="str">
        <f>IFERROR(INDEX(CHOOSE({1,2,3,4}, DAY(XT!U241), DAY(XT!Y241), DAY(XT!AC241), DAY(XT!AG241)), MATCH(1, INDEX(--(MONTH(CHOOSE({1,2,3,4}, XT!U241,XT!Y241,XT!AC241,XT!AG241))=11), 0), 0)), "")</f>
        <v/>
      </c>
      <c r="AQ241" s="51" t="str">
        <f>IF(XT!$P241&gt;0,AP241,"")</f>
        <v/>
      </c>
      <c r="AR241" s="51" t="str">
        <f>IF(XT!$P241=0,AP241,"")</f>
        <v/>
      </c>
      <c r="AS241">
        <f>SUMPRODUCT((MONTH(CHOOSE({1,2,3,4},XT!U241,XT!Y241,XT!AC241,XT!AG241))=12)*(CHOOSE({1,2,3,4},XT!X241,XT!AB241,XT!AF241,XT!AJ241)))</f>
        <v>0</v>
      </c>
      <c r="AT241" t="str">
        <f>IFERROR(INDEX(CHOOSE({1,2,3,4}, DAY(XT!U241), DAY(XT!Y241), DAY(XT!AC241), DAY(XT!AG241)), MATCH(1, INDEX(--(MONTH(CHOOSE({1,2,3,4}, XT!U241,XT!Y241,XT!AC241,XT!AG241))=12), 0), 0)), "")</f>
        <v/>
      </c>
      <c r="AU241" s="51" t="str">
        <f>IF(XT!$P241&gt;0,AT241,"")</f>
        <v/>
      </c>
      <c r="AV241" s="51" t="str">
        <f>IF(XT!$P241=0,AT241,"")</f>
        <v/>
      </c>
    </row>
    <row r="242" spans="1:48">
      <c r="A242">
        <f>SUMPRODUCT((MONTH(CHOOSE({1,2,3,4},XT!U242,XT!Y242,XT!AC242,XT!AG242))=1)*(CHOOSE({1,2,3,4},XT!X242,XT!AB242,XT!AF242,XT!AJ242)))</f>
        <v>0</v>
      </c>
      <c r="B242">
        <f>IFERROR(INDEX(CHOOSE({1,2,3,4}, DAY(XT!U242), DAY(XT!Y242), DAY(XT!AC242), DAY(XT!AG242)), MATCH(1, INDEX(--(MONTH(CHOOSE({1,2,3,4}, XT!U242,XT!Y242,XT!AC242,XT!AG242))=1), 0), 0)), "")</f>
        <v>0</v>
      </c>
      <c r="C242" s="51" t="str">
        <f>IF(XT!$P242&gt;0,B242,"")</f>
        <v/>
      </c>
      <c r="D242" s="51">
        <f>IF(XT!$P242=0,B242,"")</f>
        <v>0</v>
      </c>
      <c r="E242">
        <f>SUMPRODUCT((MONTH(CHOOSE({1,2,3,4},XT!U242,XT!Y242,XT!AC242,XT!AG242))=2)*(CHOOSE({1,2,3,4},XT!X242,XT!AB242,XT!AF242,XT!AJ242)))</f>
        <v>0</v>
      </c>
      <c r="F242" t="str">
        <f>IFERROR(INDEX(CHOOSE({1,2,3,4}, DAY(XT!U242), DAY(XT!Y242), DAY(XT!AC242), DAY(XT!AG242)), MATCH(1, INDEX(--(MONTH(CHOOSE({1,2,3,4}, XT!U242,XT!Y242,XT!AC242,XT!AG242))=2), 0), 0)), "")</f>
        <v/>
      </c>
      <c r="G242" s="51" t="str">
        <f>IF(XT!$P242&gt;0,F242,"")</f>
        <v/>
      </c>
      <c r="H242" s="51" t="str">
        <f>IF(XT!$P242=0,F242,"")</f>
        <v/>
      </c>
      <c r="I242">
        <f>SUMPRODUCT((MONTH(CHOOSE({1,2,3,4},XT!U242,XT!Y242,XT!AC242,XT!AG242))=3)*(CHOOSE({1,2,3,4},XT!X242,XT!AB242,XT!AF242,XT!AJ242)))</f>
        <v>0</v>
      </c>
      <c r="J242" t="str">
        <f>IFERROR(INDEX(CHOOSE({1,2,3,4}, DAY(XT!U242), DAY(XT!Y242), DAY(XT!AC242), DAY(XT!AG242)), MATCH(1, INDEX(--(MONTH(CHOOSE({1,2,3,4}, XT!U242,XT!Y242,XT!AC242,XT!AG242))=3), 0), 0)), "")</f>
        <v/>
      </c>
      <c r="K242" s="51" t="str">
        <f>IF(XT!$P242&gt;0,J242,"")</f>
        <v/>
      </c>
      <c r="L242" s="51" t="str">
        <f>IF(XT!$P242=0,J242,"")</f>
        <v/>
      </c>
      <c r="M242">
        <f>SUMPRODUCT((MONTH(CHOOSE({1,2,3,4},XT!U242,XT!Y242,XT!AC242,XT!AG242))=4)*(CHOOSE({1,2,3,4},XT!X242,XT!AB242,XT!AF242,XT!AJ242)))</f>
        <v>0</v>
      </c>
      <c r="N242" t="str">
        <f>IFERROR(INDEX(CHOOSE({1,2,3,4}, DAY(XT!U242), DAY(XT!Y242), DAY(XT!AC242), DAY(XT!AG242)), MATCH(1, INDEX(--(MONTH(CHOOSE({1,2,3,4}, XT!U242,XT!Y242,XT!AC242,XT!AG242))=4), 0), 0)), "")</f>
        <v/>
      </c>
      <c r="O242" s="51" t="str">
        <f>IF(XT!$P242&gt;0,N242,"")</f>
        <v/>
      </c>
      <c r="P242" s="51" t="str">
        <f>IF(XT!$P242=0,N242,"")</f>
        <v/>
      </c>
      <c r="Q242">
        <f>SUMPRODUCT((MONTH(CHOOSE({1,2,3,4},XT!U242,XT!Y242,XT!AC242,XT!AG242))=5)*(CHOOSE({1,2,3,4},XT!X242,XT!AB242,XT!AF242,XT!AJ242)))</f>
        <v>0</v>
      </c>
      <c r="R242" t="str">
        <f>IFERROR(INDEX(CHOOSE({1,2,3,4}, DAY(XT!U242), DAY(XT!Y242), DAY(XT!AC242), DAY(XT!AG242)), MATCH(1, INDEX(--(MONTH(CHOOSE({1,2,3,4}, XT!U242,XT!Y242,XT!AC242,XT!AG242))=5), 0), 0)), "")</f>
        <v/>
      </c>
      <c r="S242" s="51" t="str">
        <f>IF(XT!$P242&gt;0,R242,"")</f>
        <v/>
      </c>
      <c r="T242" s="51" t="str">
        <f>IF(XT!$P242=0,R242,"")</f>
        <v/>
      </c>
      <c r="U242">
        <f>SUMPRODUCT((MONTH(CHOOSE({1,2,3,4},XT!U242,XT!Y242,XT!AC242,XT!AG242))=6)*(CHOOSE({1,2,3,4},XT!X242,XT!AB242,XT!AF242,XT!AJ242)))</f>
        <v>0</v>
      </c>
      <c r="V242" t="str">
        <f>IFERROR(INDEX(CHOOSE({1,2,3,4}, DAY(XT!U242), DAY(XT!Y242), DAY(XT!AC242), DAY(XT!AG242)), MATCH(1, INDEX(--(MONTH(CHOOSE({1,2,3,4}, XT!U242,XT!Y242,XT!AC242,XT!AG242))=6), 0), 0)), "")</f>
        <v/>
      </c>
      <c r="W242" s="51" t="str">
        <f>IF(XT!$P242&gt;0,V242,"")</f>
        <v/>
      </c>
      <c r="X242" s="51" t="str">
        <f>IF(XT!$P242=0,V242,"")</f>
        <v/>
      </c>
      <c r="Y242">
        <f>SUMPRODUCT((MONTH(CHOOSE({1,2,3,4},XT!U242,XT!Y242,XT!AC242,XT!AG242))=7)*(CHOOSE({1,2,3,4},XT!X242,XT!AB242,XT!AF242,XT!AJ242)))</f>
        <v>0</v>
      </c>
      <c r="Z242" t="str">
        <f>IFERROR(INDEX(CHOOSE({1,2,3,4}, DAY(XT!U242), DAY(XT!Y242), DAY(XT!AC242), DAY(XT!AG242)), MATCH(1, INDEX(--(MONTH(CHOOSE({1,2,3,4}, XT!U242,XT!Y242,XT!AC242,XT!AG242))=7), 0), 0)), "")</f>
        <v/>
      </c>
      <c r="AA242" s="51" t="str">
        <f>IF(XT!$P242&gt;0,Z242,"")</f>
        <v/>
      </c>
      <c r="AB242" s="51" t="str">
        <f>IF(XT!$P242=0,Z242,"")</f>
        <v/>
      </c>
      <c r="AC242">
        <f>SUMPRODUCT((MONTH(CHOOSE({1,2,3,4},XT!U242,XT!Y242,XT!AC242,XT!AG242))=8)*(CHOOSE({1,2,3,4},XT!X242,XT!AB242,XT!AF242,XT!AJ242)))</f>
        <v>0</v>
      </c>
      <c r="AD242" t="str">
        <f>IFERROR(INDEX(CHOOSE({1,2,3,4}, DAY(XT!U242), DAY(XT!Y242), DAY(XT!AC242), DAY(XT!AG242)), MATCH(1, INDEX(--(MONTH(CHOOSE({1,2,3,4}, XT!U242,XT!Y242,XT!AC242,XT!AG242))=8), 0), 0)), "")</f>
        <v/>
      </c>
      <c r="AE242" s="51" t="str">
        <f>IF(XT!$P242&gt;0,AD242,"")</f>
        <v/>
      </c>
      <c r="AF242" s="51" t="str">
        <f>IF(XT!$P242=0,AD242,"")</f>
        <v/>
      </c>
      <c r="AG242">
        <f>SUMPRODUCT((MONTH(CHOOSE({1,2,3,4},XT!U242,XT!Y242,XT!AC242,XT!AG242))=9)*(CHOOSE({1,2,3,4},XT!X242,XT!AB242,XT!AF242,XT!AJ242)))</f>
        <v>0</v>
      </c>
      <c r="AH242" t="str">
        <f>IFERROR(INDEX(CHOOSE({1,2,3,4}, DAY(XT!U242), DAY(XT!Y242), DAY(XT!AC242), DAY(XT!AG242)), MATCH(1, INDEX(--(MONTH(CHOOSE({1,2,3,4}, XT!U242,XT!Y242,XT!AC242,XT!AG242))=9), 0), 0)), "")</f>
        <v/>
      </c>
      <c r="AI242" s="51" t="str">
        <f>IF(XT!$P242&gt;0,AH242,"")</f>
        <v/>
      </c>
      <c r="AJ242" s="51" t="str">
        <f>IF(XT!$P242=0,AH242,"")</f>
        <v/>
      </c>
      <c r="AK242">
        <f>SUMPRODUCT((MONTH(CHOOSE({1,2,3,4},XT!U242,XT!Y242,XT!AC242,XT!AG242))=10)*(CHOOSE({1,2,3,4},XT!X242,XT!AB242,XT!AF242,XT!AJ242)))</f>
        <v>0</v>
      </c>
      <c r="AL242" t="str">
        <f>IFERROR(INDEX(CHOOSE({1,2,3,4}, DAY(XT!U242), DAY(XT!Y242), DAY(XT!AC242), DAY(XT!AG242)), MATCH(1, INDEX(--(MONTH(CHOOSE({1,2,3,4}, XT!U242,XT!Y242,XT!AC242,XT!AG242))=10), 0), 0)), "")</f>
        <v/>
      </c>
      <c r="AM242" s="51" t="str">
        <f>IF(XT!$P242&gt;0,AL242,"")</f>
        <v/>
      </c>
      <c r="AN242" s="51" t="str">
        <f>IF(XT!$P242=0,AL242,"")</f>
        <v/>
      </c>
      <c r="AO242">
        <f>SUMPRODUCT((MONTH(CHOOSE({1,2,3,4},XT!U242,XT!Y242,XT!AC242,XT!AG242))=11)*(CHOOSE({1,2,3,4},XT!X242,XT!AB242,XT!AF242,XT!AJ242)))</f>
        <v>0</v>
      </c>
      <c r="AP242" t="str">
        <f>IFERROR(INDEX(CHOOSE({1,2,3,4}, DAY(XT!U242), DAY(XT!Y242), DAY(XT!AC242), DAY(XT!AG242)), MATCH(1, INDEX(--(MONTH(CHOOSE({1,2,3,4}, XT!U242,XT!Y242,XT!AC242,XT!AG242))=11), 0), 0)), "")</f>
        <v/>
      </c>
      <c r="AQ242" s="51" t="str">
        <f>IF(XT!$P242&gt;0,AP242,"")</f>
        <v/>
      </c>
      <c r="AR242" s="51" t="str">
        <f>IF(XT!$P242=0,AP242,"")</f>
        <v/>
      </c>
      <c r="AS242">
        <f>SUMPRODUCT((MONTH(CHOOSE({1,2,3,4},XT!U242,XT!Y242,XT!AC242,XT!AG242))=12)*(CHOOSE({1,2,3,4},XT!X242,XT!AB242,XT!AF242,XT!AJ242)))</f>
        <v>0</v>
      </c>
      <c r="AT242" t="str">
        <f>IFERROR(INDEX(CHOOSE({1,2,3,4}, DAY(XT!U242), DAY(XT!Y242), DAY(XT!AC242), DAY(XT!AG242)), MATCH(1, INDEX(--(MONTH(CHOOSE({1,2,3,4}, XT!U242,XT!Y242,XT!AC242,XT!AG242))=12), 0), 0)), "")</f>
        <v/>
      </c>
      <c r="AU242" s="51" t="str">
        <f>IF(XT!$P242&gt;0,AT242,"")</f>
        <v/>
      </c>
      <c r="AV242" s="51" t="str">
        <f>IF(XT!$P242=0,AT242,"")</f>
        <v/>
      </c>
    </row>
    <row r="243" spans="1:48">
      <c r="A243">
        <f>SUMPRODUCT((MONTH(CHOOSE({1,2,3,4},XT!U243,XT!Y243,XT!AC243,XT!AG243))=1)*(CHOOSE({1,2,3,4},XT!X243,XT!AB243,XT!AF243,XT!AJ243)))</f>
        <v>0</v>
      </c>
      <c r="B243">
        <f>IFERROR(INDEX(CHOOSE({1,2,3,4}, DAY(XT!U243), DAY(XT!Y243), DAY(XT!AC243), DAY(XT!AG243)), MATCH(1, INDEX(--(MONTH(CHOOSE({1,2,3,4}, XT!U243,XT!Y243,XT!AC243,XT!AG243))=1), 0), 0)), "")</f>
        <v>0</v>
      </c>
      <c r="C243" s="51" t="str">
        <f>IF(XT!$P243&gt;0,B243,"")</f>
        <v/>
      </c>
      <c r="D243" s="51">
        <f>IF(XT!$P243=0,B243,"")</f>
        <v>0</v>
      </c>
      <c r="E243">
        <f>SUMPRODUCT((MONTH(CHOOSE({1,2,3,4},XT!U243,XT!Y243,XT!AC243,XT!AG243))=2)*(CHOOSE({1,2,3,4},XT!X243,XT!AB243,XT!AF243,XT!AJ243)))</f>
        <v>0</v>
      </c>
      <c r="F243" t="str">
        <f>IFERROR(INDEX(CHOOSE({1,2,3,4}, DAY(XT!U243), DAY(XT!Y243), DAY(XT!AC243), DAY(XT!AG243)), MATCH(1, INDEX(--(MONTH(CHOOSE({1,2,3,4}, XT!U243,XT!Y243,XT!AC243,XT!AG243))=2), 0), 0)), "")</f>
        <v/>
      </c>
      <c r="G243" s="51" t="str">
        <f>IF(XT!$P243&gt;0,F243,"")</f>
        <v/>
      </c>
      <c r="H243" s="51" t="str">
        <f>IF(XT!$P243=0,F243,"")</f>
        <v/>
      </c>
      <c r="I243">
        <f>SUMPRODUCT((MONTH(CHOOSE({1,2,3,4},XT!U243,XT!Y243,XT!AC243,XT!AG243))=3)*(CHOOSE({1,2,3,4},XT!X243,XT!AB243,XT!AF243,XT!AJ243)))</f>
        <v>0</v>
      </c>
      <c r="J243" t="str">
        <f>IFERROR(INDEX(CHOOSE({1,2,3,4}, DAY(XT!U243), DAY(XT!Y243), DAY(XT!AC243), DAY(XT!AG243)), MATCH(1, INDEX(--(MONTH(CHOOSE({1,2,3,4}, XT!U243,XT!Y243,XT!AC243,XT!AG243))=3), 0), 0)), "")</f>
        <v/>
      </c>
      <c r="K243" s="51" t="str">
        <f>IF(XT!$P243&gt;0,J243,"")</f>
        <v/>
      </c>
      <c r="L243" s="51" t="str">
        <f>IF(XT!$P243=0,J243,"")</f>
        <v/>
      </c>
      <c r="M243">
        <f>SUMPRODUCT((MONTH(CHOOSE({1,2,3,4},XT!U243,XT!Y243,XT!AC243,XT!AG243))=4)*(CHOOSE({1,2,3,4},XT!X243,XT!AB243,XT!AF243,XT!AJ243)))</f>
        <v>0</v>
      </c>
      <c r="N243" t="str">
        <f>IFERROR(INDEX(CHOOSE({1,2,3,4}, DAY(XT!U243), DAY(XT!Y243), DAY(XT!AC243), DAY(XT!AG243)), MATCH(1, INDEX(--(MONTH(CHOOSE({1,2,3,4}, XT!U243,XT!Y243,XT!AC243,XT!AG243))=4), 0), 0)), "")</f>
        <v/>
      </c>
      <c r="O243" s="51" t="str">
        <f>IF(XT!$P243&gt;0,N243,"")</f>
        <v/>
      </c>
      <c r="P243" s="51" t="str">
        <f>IF(XT!$P243=0,N243,"")</f>
        <v/>
      </c>
      <c r="Q243">
        <f>SUMPRODUCT((MONTH(CHOOSE({1,2,3,4},XT!U243,XT!Y243,XT!AC243,XT!AG243))=5)*(CHOOSE({1,2,3,4},XT!X243,XT!AB243,XT!AF243,XT!AJ243)))</f>
        <v>0</v>
      </c>
      <c r="R243" t="str">
        <f>IFERROR(INDEX(CHOOSE({1,2,3,4}, DAY(XT!U243), DAY(XT!Y243), DAY(XT!AC243), DAY(XT!AG243)), MATCH(1, INDEX(--(MONTH(CHOOSE({1,2,3,4}, XT!U243,XT!Y243,XT!AC243,XT!AG243))=5), 0), 0)), "")</f>
        <v/>
      </c>
      <c r="S243" s="51" t="str">
        <f>IF(XT!$P243&gt;0,R243,"")</f>
        <v/>
      </c>
      <c r="T243" s="51" t="str">
        <f>IF(XT!$P243=0,R243,"")</f>
        <v/>
      </c>
      <c r="U243">
        <f>SUMPRODUCT((MONTH(CHOOSE({1,2,3,4},XT!U243,XT!Y243,XT!AC243,XT!AG243))=6)*(CHOOSE({1,2,3,4},XT!X243,XT!AB243,XT!AF243,XT!AJ243)))</f>
        <v>0</v>
      </c>
      <c r="V243" t="str">
        <f>IFERROR(INDEX(CHOOSE({1,2,3,4}, DAY(XT!U243), DAY(XT!Y243), DAY(XT!AC243), DAY(XT!AG243)), MATCH(1, INDEX(--(MONTH(CHOOSE({1,2,3,4}, XT!U243,XT!Y243,XT!AC243,XT!AG243))=6), 0), 0)), "")</f>
        <v/>
      </c>
      <c r="W243" s="51" t="str">
        <f>IF(XT!$P243&gt;0,V243,"")</f>
        <v/>
      </c>
      <c r="X243" s="51" t="str">
        <f>IF(XT!$P243=0,V243,"")</f>
        <v/>
      </c>
      <c r="Y243">
        <f>SUMPRODUCT((MONTH(CHOOSE({1,2,3,4},XT!U243,XT!Y243,XT!AC243,XT!AG243))=7)*(CHOOSE({1,2,3,4},XT!X243,XT!AB243,XT!AF243,XT!AJ243)))</f>
        <v>0</v>
      </c>
      <c r="Z243" t="str">
        <f>IFERROR(INDEX(CHOOSE({1,2,3,4}, DAY(XT!U243), DAY(XT!Y243), DAY(XT!AC243), DAY(XT!AG243)), MATCH(1, INDEX(--(MONTH(CHOOSE({1,2,3,4}, XT!U243,XT!Y243,XT!AC243,XT!AG243))=7), 0), 0)), "")</f>
        <v/>
      </c>
      <c r="AA243" s="51" t="str">
        <f>IF(XT!$P243&gt;0,Z243,"")</f>
        <v/>
      </c>
      <c r="AB243" s="51" t="str">
        <f>IF(XT!$P243=0,Z243,"")</f>
        <v/>
      </c>
      <c r="AC243">
        <f>SUMPRODUCT((MONTH(CHOOSE({1,2,3,4},XT!U243,XT!Y243,XT!AC243,XT!AG243))=8)*(CHOOSE({1,2,3,4},XT!X243,XT!AB243,XT!AF243,XT!AJ243)))</f>
        <v>0</v>
      </c>
      <c r="AD243" t="str">
        <f>IFERROR(INDEX(CHOOSE({1,2,3,4}, DAY(XT!U243), DAY(XT!Y243), DAY(XT!AC243), DAY(XT!AG243)), MATCH(1, INDEX(--(MONTH(CHOOSE({1,2,3,4}, XT!U243,XT!Y243,XT!AC243,XT!AG243))=8), 0), 0)), "")</f>
        <v/>
      </c>
      <c r="AE243" s="51" t="str">
        <f>IF(XT!$P243&gt;0,AD243,"")</f>
        <v/>
      </c>
      <c r="AF243" s="51" t="str">
        <f>IF(XT!$P243=0,AD243,"")</f>
        <v/>
      </c>
      <c r="AG243">
        <f>SUMPRODUCT((MONTH(CHOOSE({1,2,3,4},XT!U243,XT!Y243,XT!AC243,XT!AG243))=9)*(CHOOSE({1,2,3,4},XT!X243,XT!AB243,XT!AF243,XT!AJ243)))</f>
        <v>0</v>
      </c>
      <c r="AH243" t="str">
        <f>IFERROR(INDEX(CHOOSE({1,2,3,4}, DAY(XT!U243), DAY(XT!Y243), DAY(XT!AC243), DAY(XT!AG243)), MATCH(1, INDEX(--(MONTH(CHOOSE({1,2,3,4}, XT!U243,XT!Y243,XT!AC243,XT!AG243))=9), 0), 0)), "")</f>
        <v/>
      </c>
      <c r="AI243" s="51" t="str">
        <f>IF(XT!$P243&gt;0,AH243,"")</f>
        <v/>
      </c>
      <c r="AJ243" s="51" t="str">
        <f>IF(XT!$P243=0,AH243,"")</f>
        <v/>
      </c>
      <c r="AK243">
        <f>SUMPRODUCT((MONTH(CHOOSE({1,2,3,4},XT!U243,XT!Y243,XT!AC243,XT!AG243))=10)*(CHOOSE({1,2,3,4},XT!X243,XT!AB243,XT!AF243,XT!AJ243)))</f>
        <v>0</v>
      </c>
      <c r="AL243" t="str">
        <f>IFERROR(INDEX(CHOOSE({1,2,3,4}, DAY(XT!U243), DAY(XT!Y243), DAY(XT!AC243), DAY(XT!AG243)), MATCH(1, INDEX(--(MONTH(CHOOSE({1,2,3,4}, XT!U243,XT!Y243,XT!AC243,XT!AG243))=10), 0), 0)), "")</f>
        <v/>
      </c>
      <c r="AM243" s="51" t="str">
        <f>IF(XT!$P243&gt;0,AL243,"")</f>
        <v/>
      </c>
      <c r="AN243" s="51" t="str">
        <f>IF(XT!$P243=0,AL243,"")</f>
        <v/>
      </c>
      <c r="AO243">
        <f>SUMPRODUCT((MONTH(CHOOSE({1,2,3,4},XT!U243,XT!Y243,XT!AC243,XT!AG243))=11)*(CHOOSE({1,2,3,4},XT!X243,XT!AB243,XT!AF243,XT!AJ243)))</f>
        <v>0</v>
      </c>
      <c r="AP243" t="str">
        <f>IFERROR(INDEX(CHOOSE({1,2,3,4}, DAY(XT!U243), DAY(XT!Y243), DAY(XT!AC243), DAY(XT!AG243)), MATCH(1, INDEX(--(MONTH(CHOOSE({1,2,3,4}, XT!U243,XT!Y243,XT!AC243,XT!AG243))=11), 0), 0)), "")</f>
        <v/>
      </c>
      <c r="AQ243" s="51" t="str">
        <f>IF(XT!$P243&gt;0,AP243,"")</f>
        <v/>
      </c>
      <c r="AR243" s="51" t="str">
        <f>IF(XT!$P243=0,AP243,"")</f>
        <v/>
      </c>
      <c r="AS243">
        <f>SUMPRODUCT((MONTH(CHOOSE({1,2,3,4},XT!U243,XT!Y243,XT!AC243,XT!AG243))=12)*(CHOOSE({1,2,3,4},XT!X243,XT!AB243,XT!AF243,XT!AJ243)))</f>
        <v>0</v>
      </c>
      <c r="AT243" t="str">
        <f>IFERROR(INDEX(CHOOSE({1,2,3,4}, DAY(XT!U243), DAY(XT!Y243), DAY(XT!AC243), DAY(XT!AG243)), MATCH(1, INDEX(--(MONTH(CHOOSE({1,2,3,4}, XT!U243,XT!Y243,XT!AC243,XT!AG243))=12), 0), 0)), "")</f>
        <v/>
      </c>
      <c r="AU243" s="51" t="str">
        <f>IF(XT!$P243&gt;0,AT243,"")</f>
        <v/>
      </c>
      <c r="AV243" s="51" t="str">
        <f>IF(XT!$P243=0,AT243,"")</f>
        <v/>
      </c>
    </row>
    <row r="244" spans="1:48">
      <c r="A244">
        <f>SUMPRODUCT((MONTH(CHOOSE({1,2,3,4},XT!U244,XT!Y244,XT!AC244,XT!AG244))=1)*(CHOOSE({1,2,3,4},XT!X244,XT!AB244,XT!AF244,XT!AJ244)))</f>
        <v>0</v>
      </c>
      <c r="B244">
        <f>IFERROR(INDEX(CHOOSE({1,2,3,4}, DAY(XT!U244), DAY(XT!Y244), DAY(XT!AC244), DAY(XT!AG244)), MATCH(1, INDEX(--(MONTH(CHOOSE({1,2,3,4}, XT!U244,XT!Y244,XT!AC244,XT!AG244))=1), 0), 0)), "")</f>
        <v>0</v>
      </c>
      <c r="C244" s="51" t="str">
        <f>IF(XT!$P244&gt;0,B244,"")</f>
        <v/>
      </c>
      <c r="D244" s="51">
        <f>IF(XT!$P244=0,B244,"")</f>
        <v>0</v>
      </c>
      <c r="E244">
        <f>SUMPRODUCT((MONTH(CHOOSE({1,2,3,4},XT!U244,XT!Y244,XT!AC244,XT!AG244))=2)*(CHOOSE({1,2,3,4},XT!X244,XT!AB244,XT!AF244,XT!AJ244)))</f>
        <v>0</v>
      </c>
      <c r="F244" t="str">
        <f>IFERROR(INDEX(CHOOSE({1,2,3,4}, DAY(XT!U244), DAY(XT!Y244), DAY(XT!AC244), DAY(XT!AG244)), MATCH(1, INDEX(--(MONTH(CHOOSE({1,2,3,4}, XT!U244,XT!Y244,XT!AC244,XT!AG244))=2), 0), 0)), "")</f>
        <v/>
      </c>
      <c r="G244" s="51" t="str">
        <f>IF(XT!$P244&gt;0,F244,"")</f>
        <v/>
      </c>
      <c r="H244" s="51" t="str">
        <f>IF(XT!$P244=0,F244,"")</f>
        <v/>
      </c>
      <c r="I244">
        <f>SUMPRODUCT((MONTH(CHOOSE({1,2,3,4},XT!U244,XT!Y244,XT!AC244,XT!AG244))=3)*(CHOOSE({1,2,3,4},XT!X244,XT!AB244,XT!AF244,XT!AJ244)))</f>
        <v>0</v>
      </c>
      <c r="J244" t="str">
        <f>IFERROR(INDEX(CHOOSE({1,2,3,4}, DAY(XT!U244), DAY(XT!Y244), DAY(XT!AC244), DAY(XT!AG244)), MATCH(1, INDEX(--(MONTH(CHOOSE({1,2,3,4}, XT!U244,XT!Y244,XT!AC244,XT!AG244))=3), 0), 0)), "")</f>
        <v/>
      </c>
      <c r="K244" s="51" t="str">
        <f>IF(XT!$P244&gt;0,J244,"")</f>
        <v/>
      </c>
      <c r="L244" s="51" t="str">
        <f>IF(XT!$P244=0,J244,"")</f>
        <v/>
      </c>
      <c r="M244">
        <f>SUMPRODUCT((MONTH(CHOOSE({1,2,3,4},XT!U244,XT!Y244,XT!AC244,XT!AG244))=4)*(CHOOSE({1,2,3,4},XT!X244,XT!AB244,XT!AF244,XT!AJ244)))</f>
        <v>0</v>
      </c>
      <c r="N244" t="str">
        <f>IFERROR(INDEX(CHOOSE({1,2,3,4}, DAY(XT!U244), DAY(XT!Y244), DAY(XT!AC244), DAY(XT!AG244)), MATCH(1, INDEX(--(MONTH(CHOOSE({1,2,3,4}, XT!U244,XT!Y244,XT!AC244,XT!AG244))=4), 0), 0)), "")</f>
        <v/>
      </c>
      <c r="O244" s="51" t="str">
        <f>IF(XT!$P244&gt;0,N244,"")</f>
        <v/>
      </c>
      <c r="P244" s="51" t="str">
        <f>IF(XT!$P244=0,N244,"")</f>
        <v/>
      </c>
      <c r="Q244">
        <f>SUMPRODUCT((MONTH(CHOOSE({1,2,3,4},XT!U244,XT!Y244,XT!AC244,XT!AG244))=5)*(CHOOSE({1,2,3,4},XT!X244,XT!AB244,XT!AF244,XT!AJ244)))</f>
        <v>0</v>
      </c>
      <c r="R244" t="str">
        <f>IFERROR(INDEX(CHOOSE({1,2,3,4}, DAY(XT!U244), DAY(XT!Y244), DAY(XT!AC244), DAY(XT!AG244)), MATCH(1, INDEX(--(MONTH(CHOOSE({1,2,3,4}, XT!U244,XT!Y244,XT!AC244,XT!AG244))=5), 0), 0)), "")</f>
        <v/>
      </c>
      <c r="S244" s="51" t="str">
        <f>IF(XT!$P244&gt;0,R244,"")</f>
        <v/>
      </c>
      <c r="T244" s="51" t="str">
        <f>IF(XT!$P244=0,R244,"")</f>
        <v/>
      </c>
      <c r="U244">
        <f>SUMPRODUCT((MONTH(CHOOSE({1,2,3,4},XT!U244,XT!Y244,XT!AC244,XT!AG244))=6)*(CHOOSE({1,2,3,4},XT!X244,XT!AB244,XT!AF244,XT!AJ244)))</f>
        <v>0</v>
      </c>
      <c r="V244" t="str">
        <f>IFERROR(INDEX(CHOOSE({1,2,3,4}, DAY(XT!U244), DAY(XT!Y244), DAY(XT!AC244), DAY(XT!AG244)), MATCH(1, INDEX(--(MONTH(CHOOSE({1,2,3,4}, XT!U244,XT!Y244,XT!AC244,XT!AG244))=6), 0), 0)), "")</f>
        <v/>
      </c>
      <c r="W244" s="51" t="str">
        <f>IF(XT!$P244&gt;0,V244,"")</f>
        <v/>
      </c>
      <c r="X244" s="51" t="str">
        <f>IF(XT!$P244=0,V244,"")</f>
        <v/>
      </c>
      <c r="Y244">
        <f>SUMPRODUCT((MONTH(CHOOSE({1,2,3,4},XT!U244,XT!Y244,XT!AC244,XT!AG244))=7)*(CHOOSE({1,2,3,4},XT!X244,XT!AB244,XT!AF244,XT!AJ244)))</f>
        <v>0</v>
      </c>
      <c r="Z244" t="str">
        <f>IFERROR(INDEX(CHOOSE({1,2,3,4}, DAY(XT!U244), DAY(XT!Y244), DAY(XT!AC244), DAY(XT!AG244)), MATCH(1, INDEX(--(MONTH(CHOOSE({1,2,3,4}, XT!U244,XT!Y244,XT!AC244,XT!AG244))=7), 0), 0)), "")</f>
        <v/>
      </c>
      <c r="AA244" s="51" t="str">
        <f>IF(XT!$P244&gt;0,Z244,"")</f>
        <v/>
      </c>
      <c r="AB244" s="51" t="str">
        <f>IF(XT!$P244=0,Z244,"")</f>
        <v/>
      </c>
      <c r="AC244">
        <f>SUMPRODUCT((MONTH(CHOOSE({1,2,3,4},XT!U244,XT!Y244,XT!AC244,XT!AG244))=8)*(CHOOSE({1,2,3,4},XT!X244,XT!AB244,XT!AF244,XT!AJ244)))</f>
        <v>0</v>
      </c>
      <c r="AD244" t="str">
        <f>IFERROR(INDEX(CHOOSE({1,2,3,4}, DAY(XT!U244), DAY(XT!Y244), DAY(XT!AC244), DAY(XT!AG244)), MATCH(1, INDEX(--(MONTH(CHOOSE({1,2,3,4}, XT!U244,XT!Y244,XT!AC244,XT!AG244))=8), 0), 0)), "")</f>
        <v/>
      </c>
      <c r="AE244" s="51" t="str">
        <f>IF(XT!$P244&gt;0,AD244,"")</f>
        <v/>
      </c>
      <c r="AF244" s="51" t="str">
        <f>IF(XT!$P244=0,AD244,"")</f>
        <v/>
      </c>
      <c r="AG244">
        <f>SUMPRODUCT((MONTH(CHOOSE({1,2,3,4},XT!U244,XT!Y244,XT!AC244,XT!AG244))=9)*(CHOOSE({1,2,3,4},XT!X244,XT!AB244,XT!AF244,XT!AJ244)))</f>
        <v>0</v>
      </c>
      <c r="AH244" t="str">
        <f>IFERROR(INDEX(CHOOSE({1,2,3,4}, DAY(XT!U244), DAY(XT!Y244), DAY(XT!AC244), DAY(XT!AG244)), MATCH(1, INDEX(--(MONTH(CHOOSE({1,2,3,4}, XT!U244,XT!Y244,XT!AC244,XT!AG244))=9), 0), 0)), "")</f>
        <v/>
      </c>
      <c r="AI244" s="51" t="str">
        <f>IF(XT!$P244&gt;0,AH244,"")</f>
        <v/>
      </c>
      <c r="AJ244" s="51" t="str">
        <f>IF(XT!$P244=0,AH244,"")</f>
        <v/>
      </c>
      <c r="AK244">
        <f>SUMPRODUCT((MONTH(CHOOSE({1,2,3,4},XT!U244,XT!Y244,XT!AC244,XT!AG244))=10)*(CHOOSE({1,2,3,4},XT!X244,XT!AB244,XT!AF244,XT!AJ244)))</f>
        <v>0</v>
      </c>
      <c r="AL244" t="str">
        <f>IFERROR(INDEX(CHOOSE({1,2,3,4}, DAY(XT!U244), DAY(XT!Y244), DAY(XT!AC244), DAY(XT!AG244)), MATCH(1, INDEX(--(MONTH(CHOOSE({1,2,3,4}, XT!U244,XT!Y244,XT!AC244,XT!AG244))=10), 0), 0)), "")</f>
        <v/>
      </c>
      <c r="AM244" s="51" t="str">
        <f>IF(XT!$P244&gt;0,AL244,"")</f>
        <v/>
      </c>
      <c r="AN244" s="51" t="str">
        <f>IF(XT!$P244=0,AL244,"")</f>
        <v/>
      </c>
      <c r="AO244">
        <f>SUMPRODUCT((MONTH(CHOOSE({1,2,3,4},XT!U244,XT!Y244,XT!AC244,XT!AG244))=11)*(CHOOSE({1,2,3,4},XT!X244,XT!AB244,XT!AF244,XT!AJ244)))</f>
        <v>0</v>
      </c>
      <c r="AP244" t="str">
        <f>IFERROR(INDEX(CHOOSE({1,2,3,4}, DAY(XT!U244), DAY(XT!Y244), DAY(XT!AC244), DAY(XT!AG244)), MATCH(1, INDEX(--(MONTH(CHOOSE({1,2,3,4}, XT!U244,XT!Y244,XT!AC244,XT!AG244))=11), 0), 0)), "")</f>
        <v/>
      </c>
      <c r="AQ244" s="51" t="str">
        <f>IF(XT!$P244&gt;0,AP244,"")</f>
        <v/>
      </c>
      <c r="AR244" s="51" t="str">
        <f>IF(XT!$P244=0,AP244,"")</f>
        <v/>
      </c>
      <c r="AS244">
        <f>SUMPRODUCT((MONTH(CHOOSE({1,2,3,4},XT!U244,XT!Y244,XT!AC244,XT!AG244))=12)*(CHOOSE({1,2,3,4},XT!X244,XT!AB244,XT!AF244,XT!AJ244)))</f>
        <v>0</v>
      </c>
      <c r="AT244" t="str">
        <f>IFERROR(INDEX(CHOOSE({1,2,3,4}, DAY(XT!U244), DAY(XT!Y244), DAY(XT!AC244), DAY(XT!AG244)), MATCH(1, INDEX(--(MONTH(CHOOSE({1,2,3,4}, XT!U244,XT!Y244,XT!AC244,XT!AG244))=12), 0), 0)), "")</f>
        <v/>
      </c>
      <c r="AU244" s="51" t="str">
        <f>IF(XT!$P244&gt;0,AT244,"")</f>
        <v/>
      </c>
      <c r="AV244" s="51" t="str">
        <f>IF(XT!$P244=0,AT244,"")</f>
        <v/>
      </c>
    </row>
    <row r="245" spans="1:48">
      <c r="A245">
        <f>SUMPRODUCT((MONTH(CHOOSE({1,2,3,4},XT!U245,XT!Y245,XT!AC245,XT!AG245))=1)*(CHOOSE({1,2,3,4},XT!X245,XT!AB245,XT!AF245,XT!AJ245)))</f>
        <v>0</v>
      </c>
      <c r="B245">
        <f>IFERROR(INDEX(CHOOSE({1,2,3,4}, DAY(XT!U245), DAY(XT!Y245), DAY(XT!AC245), DAY(XT!AG245)), MATCH(1, INDEX(--(MONTH(CHOOSE({1,2,3,4}, XT!U245,XT!Y245,XT!AC245,XT!AG245))=1), 0), 0)), "")</f>
        <v>0</v>
      </c>
      <c r="C245" s="51" t="str">
        <f>IF(XT!$P245&gt;0,B245,"")</f>
        <v/>
      </c>
      <c r="D245" s="51">
        <f>IF(XT!$P245=0,B245,"")</f>
        <v>0</v>
      </c>
      <c r="E245">
        <f>SUMPRODUCT((MONTH(CHOOSE({1,2,3,4},XT!U245,XT!Y245,XT!AC245,XT!AG245))=2)*(CHOOSE({1,2,3,4},XT!X245,XT!AB245,XT!AF245,XT!AJ245)))</f>
        <v>0</v>
      </c>
      <c r="F245" t="str">
        <f>IFERROR(INDEX(CHOOSE({1,2,3,4}, DAY(XT!U245), DAY(XT!Y245), DAY(XT!AC245), DAY(XT!AG245)), MATCH(1, INDEX(--(MONTH(CHOOSE({1,2,3,4}, XT!U245,XT!Y245,XT!AC245,XT!AG245))=2), 0), 0)), "")</f>
        <v/>
      </c>
      <c r="G245" s="51" t="str">
        <f>IF(XT!$P245&gt;0,F245,"")</f>
        <v/>
      </c>
      <c r="H245" s="51" t="str">
        <f>IF(XT!$P245=0,F245,"")</f>
        <v/>
      </c>
      <c r="I245">
        <f>SUMPRODUCT((MONTH(CHOOSE({1,2,3,4},XT!U245,XT!Y245,XT!AC245,XT!AG245))=3)*(CHOOSE({1,2,3,4},XT!X245,XT!AB245,XT!AF245,XT!AJ245)))</f>
        <v>0</v>
      </c>
      <c r="J245" t="str">
        <f>IFERROR(INDEX(CHOOSE({1,2,3,4}, DAY(XT!U245), DAY(XT!Y245), DAY(XT!AC245), DAY(XT!AG245)), MATCH(1, INDEX(--(MONTH(CHOOSE({1,2,3,4}, XT!U245,XT!Y245,XT!AC245,XT!AG245))=3), 0), 0)), "")</f>
        <v/>
      </c>
      <c r="K245" s="51" t="str">
        <f>IF(XT!$P245&gt;0,J245,"")</f>
        <v/>
      </c>
      <c r="L245" s="51" t="str">
        <f>IF(XT!$P245=0,J245,"")</f>
        <v/>
      </c>
      <c r="M245">
        <f>SUMPRODUCT((MONTH(CHOOSE({1,2,3,4},XT!U245,XT!Y245,XT!AC245,XT!AG245))=4)*(CHOOSE({1,2,3,4},XT!X245,XT!AB245,XT!AF245,XT!AJ245)))</f>
        <v>0</v>
      </c>
      <c r="N245" t="str">
        <f>IFERROR(INDEX(CHOOSE({1,2,3,4}, DAY(XT!U245), DAY(XT!Y245), DAY(XT!AC245), DAY(XT!AG245)), MATCH(1, INDEX(--(MONTH(CHOOSE({1,2,3,4}, XT!U245,XT!Y245,XT!AC245,XT!AG245))=4), 0), 0)), "")</f>
        <v/>
      </c>
      <c r="O245" s="51" t="str">
        <f>IF(XT!$P245&gt;0,N245,"")</f>
        <v/>
      </c>
      <c r="P245" s="51" t="str">
        <f>IF(XT!$P245=0,N245,"")</f>
        <v/>
      </c>
      <c r="Q245">
        <f>SUMPRODUCT((MONTH(CHOOSE({1,2,3,4},XT!U245,XT!Y245,XT!AC245,XT!AG245))=5)*(CHOOSE({1,2,3,4},XT!X245,XT!AB245,XT!AF245,XT!AJ245)))</f>
        <v>0</v>
      </c>
      <c r="R245" t="str">
        <f>IFERROR(INDEX(CHOOSE({1,2,3,4}, DAY(XT!U245), DAY(XT!Y245), DAY(XT!AC245), DAY(XT!AG245)), MATCH(1, INDEX(--(MONTH(CHOOSE({1,2,3,4}, XT!U245,XT!Y245,XT!AC245,XT!AG245))=5), 0), 0)), "")</f>
        <v/>
      </c>
      <c r="S245" s="51" t="str">
        <f>IF(XT!$P245&gt;0,R245,"")</f>
        <v/>
      </c>
      <c r="T245" s="51" t="str">
        <f>IF(XT!$P245=0,R245,"")</f>
        <v/>
      </c>
      <c r="U245">
        <f>SUMPRODUCT((MONTH(CHOOSE({1,2,3,4},XT!U245,XT!Y245,XT!AC245,XT!AG245))=6)*(CHOOSE({1,2,3,4},XT!X245,XT!AB245,XT!AF245,XT!AJ245)))</f>
        <v>0</v>
      </c>
      <c r="V245" t="str">
        <f>IFERROR(INDEX(CHOOSE({1,2,3,4}, DAY(XT!U245), DAY(XT!Y245), DAY(XT!AC245), DAY(XT!AG245)), MATCH(1, INDEX(--(MONTH(CHOOSE({1,2,3,4}, XT!U245,XT!Y245,XT!AC245,XT!AG245))=6), 0), 0)), "")</f>
        <v/>
      </c>
      <c r="W245" s="51" t="str">
        <f>IF(XT!$P245&gt;0,V245,"")</f>
        <v/>
      </c>
      <c r="X245" s="51" t="str">
        <f>IF(XT!$P245=0,V245,"")</f>
        <v/>
      </c>
      <c r="Y245">
        <f>SUMPRODUCT((MONTH(CHOOSE({1,2,3,4},XT!U245,XT!Y245,XT!AC245,XT!AG245))=7)*(CHOOSE({1,2,3,4},XT!X245,XT!AB245,XT!AF245,XT!AJ245)))</f>
        <v>0</v>
      </c>
      <c r="Z245" t="str">
        <f>IFERROR(INDEX(CHOOSE({1,2,3,4}, DAY(XT!U245), DAY(XT!Y245), DAY(XT!AC245), DAY(XT!AG245)), MATCH(1, INDEX(--(MONTH(CHOOSE({1,2,3,4}, XT!U245,XT!Y245,XT!AC245,XT!AG245))=7), 0), 0)), "")</f>
        <v/>
      </c>
      <c r="AA245" s="51" t="str">
        <f>IF(XT!$P245&gt;0,Z245,"")</f>
        <v/>
      </c>
      <c r="AB245" s="51" t="str">
        <f>IF(XT!$P245=0,Z245,"")</f>
        <v/>
      </c>
      <c r="AC245">
        <f>SUMPRODUCT((MONTH(CHOOSE({1,2,3,4},XT!U245,XT!Y245,XT!AC245,XT!AG245))=8)*(CHOOSE({1,2,3,4},XT!X245,XT!AB245,XT!AF245,XT!AJ245)))</f>
        <v>0</v>
      </c>
      <c r="AD245" t="str">
        <f>IFERROR(INDEX(CHOOSE({1,2,3,4}, DAY(XT!U245), DAY(XT!Y245), DAY(XT!AC245), DAY(XT!AG245)), MATCH(1, INDEX(--(MONTH(CHOOSE({1,2,3,4}, XT!U245,XT!Y245,XT!AC245,XT!AG245))=8), 0), 0)), "")</f>
        <v/>
      </c>
      <c r="AE245" s="51" t="str">
        <f>IF(XT!$P245&gt;0,AD245,"")</f>
        <v/>
      </c>
      <c r="AF245" s="51" t="str">
        <f>IF(XT!$P245=0,AD245,"")</f>
        <v/>
      </c>
      <c r="AG245">
        <f>SUMPRODUCT((MONTH(CHOOSE({1,2,3,4},XT!U245,XT!Y245,XT!AC245,XT!AG245))=9)*(CHOOSE({1,2,3,4},XT!X245,XT!AB245,XT!AF245,XT!AJ245)))</f>
        <v>0</v>
      </c>
      <c r="AH245" t="str">
        <f>IFERROR(INDEX(CHOOSE({1,2,3,4}, DAY(XT!U245), DAY(XT!Y245), DAY(XT!AC245), DAY(XT!AG245)), MATCH(1, INDEX(--(MONTH(CHOOSE({1,2,3,4}, XT!U245,XT!Y245,XT!AC245,XT!AG245))=9), 0), 0)), "")</f>
        <v/>
      </c>
      <c r="AI245" s="51" t="str">
        <f>IF(XT!$P245&gt;0,AH245,"")</f>
        <v/>
      </c>
      <c r="AJ245" s="51" t="str">
        <f>IF(XT!$P245=0,AH245,"")</f>
        <v/>
      </c>
      <c r="AK245">
        <f>SUMPRODUCT((MONTH(CHOOSE({1,2,3,4},XT!U245,XT!Y245,XT!AC245,XT!AG245))=10)*(CHOOSE({1,2,3,4},XT!X245,XT!AB245,XT!AF245,XT!AJ245)))</f>
        <v>0</v>
      </c>
      <c r="AL245" t="str">
        <f>IFERROR(INDEX(CHOOSE({1,2,3,4}, DAY(XT!U245), DAY(XT!Y245), DAY(XT!AC245), DAY(XT!AG245)), MATCH(1, INDEX(--(MONTH(CHOOSE({1,2,3,4}, XT!U245,XT!Y245,XT!AC245,XT!AG245))=10), 0), 0)), "")</f>
        <v/>
      </c>
      <c r="AM245" s="51" t="str">
        <f>IF(XT!$P245&gt;0,AL245,"")</f>
        <v/>
      </c>
      <c r="AN245" s="51" t="str">
        <f>IF(XT!$P245=0,AL245,"")</f>
        <v/>
      </c>
      <c r="AO245">
        <f>SUMPRODUCT((MONTH(CHOOSE({1,2,3,4},XT!U245,XT!Y245,XT!AC245,XT!AG245))=11)*(CHOOSE({1,2,3,4},XT!X245,XT!AB245,XT!AF245,XT!AJ245)))</f>
        <v>0</v>
      </c>
      <c r="AP245" t="str">
        <f>IFERROR(INDEX(CHOOSE({1,2,3,4}, DAY(XT!U245), DAY(XT!Y245), DAY(XT!AC245), DAY(XT!AG245)), MATCH(1, INDEX(--(MONTH(CHOOSE({1,2,3,4}, XT!U245,XT!Y245,XT!AC245,XT!AG245))=11), 0), 0)), "")</f>
        <v/>
      </c>
      <c r="AQ245" s="51" t="str">
        <f>IF(XT!$P245&gt;0,AP245,"")</f>
        <v/>
      </c>
      <c r="AR245" s="51" t="str">
        <f>IF(XT!$P245=0,AP245,"")</f>
        <v/>
      </c>
      <c r="AS245">
        <f>SUMPRODUCT((MONTH(CHOOSE({1,2,3,4},XT!U245,XT!Y245,XT!AC245,XT!AG245))=12)*(CHOOSE({1,2,3,4},XT!X245,XT!AB245,XT!AF245,XT!AJ245)))</f>
        <v>0</v>
      </c>
      <c r="AT245" t="str">
        <f>IFERROR(INDEX(CHOOSE({1,2,3,4}, DAY(XT!U245), DAY(XT!Y245), DAY(XT!AC245), DAY(XT!AG245)), MATCH(1, INDEX(--(MONTH(CHOOSE({1,2,3,4}, XT!U245,XT!Y245,XT!AC245,XT!AG245))=12), 0), 0)), "")</f>
        <v/>
      </c>
      <c r="AU245" s="51" t="str">
        <f>IF(XT!$P245&gt;0,AT245,"")</f>
        <v/>
      </c>
      <c r="AV245" s="51" t="str">
        <f>IF(XT!$P245=0,AT245,"")</f>
        <v/>
      </c>
    </row>
    <row r="246" spans="1:48">
      <c r="A246">
        <f>SUMPRODUCT((MONTH(CHOOSE({1,2,3,4},XT!U246,XT!Y246,XT!AC246,XT!AG246))=1)*(CHOOSE({1,2,3,4},XT!X246,XT!AB246,XT!AF246,XT!AJ246)))</f>
        <v>0</v>
      </c>
      <c r="B246">
        <f>IFERROR(INDEX(CHOOSE({1,2,3,4}, DAY(XT!U246), DAY(XT!Y246), DAY(XT!AC246), DAY(XT!AG246)), MATCH(1, INDEX(--(MONTH(CHOOSE({1,2,3,4}, XT!U246,XT!Y246,XT!AC246,XT!AG246))=1), 0), 0)), "")</f>
        <v>0</v>
      </c>
      <c r="C246" s="51" t="str">
        <f>IF(XT!$P246&gt;0,B246,"")</f>
        <v/>
      </c>
      <c r="D246" s="51">
        <f>IF(XT!$P246=0,B246,"")</f>
        <v>0</v>
      </c>
      <c r="E246">
        <f>SUMPRODUCT((MONTH(CHOOSE({1,2,3,4},XT!U246,XT!Y246,XT!AC246,XT!AG246))=2)*(CHOOSE({1,2,3,4},XT!X246,XT!AB246,XT!AF246,XT!AJ246)))</f>
        <v>0</v>
      </c>
      <c r="F246" t="str">
        <f>IFERROR(INDEX(CHOOSE({1,2,3,4}, DAY(XT!U246), DAY(XT!Y246), DAY(XT!AC246), DAY(XT!AG246)), MATCH(1, INDEX(--(MONTH(CHOOSE({1,2,3,4}, XT!U246,XT!Y246,XT!AC246,XT!AG246))=2), 0), 0)), "")</f>
        <v/>
      </c>
      <c r="G246" s="51" t="str">
        <f>IF(XT!$P246&gt;0,F246,"")</f>
        <v/>
      </c>
      <c r="H246" s="51" t="str">
        <f>IF(XT!$P246=0,F246,"")</f>
        <v/>
      </c>
      <c r="I246">
        <f>SUMPRODUCT((MONTH(CHOOSE({1,2,3,4},XT!U246,XT!Y246,XT!AC246,XT!AG246))=3)*(CHOOSE({1,2,3,4},XT!X246,XT!AB246,XT!AF246,XT!AJ246)))</f>
        <v>0</v>
      </c>
      <c r="J246" t="str">
        <f>IFERROR(INDEX(CHOOSE({1,2,3,4}, DAY(XT!U246), DAY(XT!Y246), DAY(XT!AC246), DAY(XT!AG246)), MATCH(1, INDEX(--(MONTH(CHOOSE({1,2,3,4}, XT!U246,XT!Y246,XT!AC246,XT!AG246))=3), 0), 0)), "")</f>
        <v/>
      </c>
      <c r="K246" s="51" t="str">
        <f>IF(XT!$P246&gt;0,J246,"")</f>
        <v/>
      </c>
      <c r="L246" s="51" t="str">
        <f>IF(XT!$P246=0,J246,"")</f>
        <v/>
      </c>
      <c r="M246">
        <f>SUMPRODUCT((MONTH(CHOOSE({1,2,3,4},XT!U246,XT!Y246,XT!AC246,XT!AG246))=4)*(CHOOSE({1,2,3,4},XT!X246,XT!AB246,XT!AF246,XT!AJ246)))</f>
        <v>0</v>
      </c>
      <c r="N246" t="str">
        <f>IFERROR(INDEX(CHOOSE({1,2,3,4}, DAY(XT!U246), DAY(XT!Y246), DAY(XT!AC246), DAY(XT!AG246)), MATCH(1, INDEX(--(MONTH(CHOOSE({1,2,3,4}, XT!U246,XT!Y246,XT!AC246,XT!AG246))=4), 0), 0)), "")</f>
        <v/>
      </c>
      <c r="O246" s="51" t="str">
        <f>IF(XT!$P246&gt;0,N246,"")</f>
        <v/>
      </c>
      <c r="P246" s="51" t="str">
        <f>IF(XT!$P246=0,N246,"")</f>
        <v/>
      </c>
      <c r="Q246">
        <f>SUMPRODUCT((MONTH(CHOOSE({1,2,3,4},XT!U246,XT!Y246,XT!AC246,XT!AG246))=5)*(CHOOSE({1,2,3,4},XT!X246,XT!AB246,XT!AF246,XT!AJ246)))</f>
        <v>0</v>
      </c>
      <c r="R246" t="str">
        <f>IFERROR(INDEX(CHOOSE({1,2,3,4}, DAY(XT!U246), DAY(XT!Y246), DAY(XT!AC246), DAY(XT!AG246)), MATCH(1, INDEX(--(MONTH(CHOOSE({1,2,3,4}, XT!U246,XT!Y246,XT!AC246,XT!AG246))=5), 0), 0)), "")</f>
        <v/>
      </c>
      <c r="S246" s="51" t="str">
        <f>IF(XT!$P246&gt;0,R246,"")</f>
        <v/>
      </c>
      <c r="T246" s="51" t="str">
        <f>IF(XT!$P246=0,R246,"")</f>
        <v/>
      </c>
      <c r="U246">
        <f>SUMPRODUCT((MONTH(CHOOSE({1,2,3,4},XT!U246,XT!Y246,XT!AC246,XT!AG246))=6)*(CHOOSE({1,2,3,4},XT!X246,XT!AB246,XT!AF246,XT!AJ246)))</f>
        <v>0</v>
      </c>
      <c r="V246" t="str">
        <f>IFERROR(INDEX(CHOOSE({1,2,3,4}, DAY(XT!U246), DAY(XT!Y246), DAY(XT!AC246), DAY(XT!AG246)), MATCH(1, INDEX(--(MONTH(CHOOSE({1,2,3,4}, XT!U246,XT!Y246,XT!AC246,XT!AG246))=6), 0), 0)), "")</f>
        <v/>
      </c>
      <c r="W246" s="51" t="str">
        <f>IF(XT!$P246&gt;0,V246,"")</f>
        <v/>
      </c>
      <c r="X246" s="51" t="str">
        <f>IF(XT!$P246=0,V246,"")</f>
        <v/>
      </c>
      <c r="Y246">
        <f>SUMPRODUCT((MONTH(CHOOSE({1,2,3,4},XT!U246,XT!Y246,XT!AC246,XT!AG246))=7)*(CHOOSE({1,2,3,4},XT!X246,XT!AB246,XT!AF246,XT!AJ246)))</f>
        <v>0</v>
      </c>
      <c r="Z246" t="str">
        <f>IFERROR(INDEX(CHOOSE({1,2,3,4}, DAY(XT!U246), DAY(XT!Y246), DAY(XT!AC246), DAY(XT!AG246)), MATCH(1, INDEX(--(MONTH(CHOOSE({1,2,3,4}, XT!U246,XT!Y246,XT!AC246,XT!AG246))=7), 0), 0)), "")</f>
        <v/>
      </c>
      <c r="AA246" s="51" t="str">
        <f>IF(XT!$P246&gt;0,Z246,"")</f>
        <v/>
      </c>
      <c r="AB246" s="51" t="str">
        <f>IF(XT!$P246=0,Z246,"")</f>
        <v/>
      </c>
      <c r="AC246">
        <f>SUMPRODUCT((MONTH(CHOOSE({1,2,3,4},XT!U246,XT!Y246,XT!AC246,XT!AG246))=8)*(CHOOSE({1,2,3,4},XT!X246,XT!AB246,XT!AF246,XT!AJ246)))</f>
        <v>0</v>
      </c>
      <c r="AD246" t="str">
        <f>IFERROR(INDEX(CHOOSE({1,2,3,4}, DAY(XT!U246), DAY(XT!Y246), DAY(XT!AC246), DAY(XT!AG246)), MATCH(1, INDEX(--(MONTH(CHOOSE({1,2,3,4}, XT!U246,XT!Y246,XT!AC246,XT!AG246))=8), 0), 0)), "")</f>
        <v/>
      </c>
      <c r="AE246" s="51" t="str">
        <f>IF(XT!$P246&gt;0,AD246,"")</f>
        <v/>
      </c>
      <c r="AF246" s="51" t="str">
        <f>IF(XT!$P246=0,AD246,"")</f>
        <v/>
      </c>
      <c r="AG246">
        <f>SUMPRODUCT((MONTH(CHOOSE({1,2,3,4},XT!U246,XT!Y246,XT!AC246,XT!AG246))=9)*(CHOOSE({1,2,3,4},XT!X246,XT!AB246,XT!AF246,XT!AJ246)))</f>
        <v>0</v>
      </c>
      <c r="AH246" t="str">
        <f>IFERROR(INDEX(CHOOSE({1,2,3,4}, DAY(XT!U246), DAY(XT!Y246), DAY(XT!AC246), DAY(XT!AG246)), MATCH(1, INDEX(--(MONTH(CHOOSE({1,2,3,4}, XT!U246,XT!Y246,XT!AC246,XT!AG246))=9), 0), 0)), "")</f>
        <v/>
      </c>
      <c r="AI246" s="51" t="str">
        <f>IF(XT!$P246&gt;0,AH246,"")</f>
        <v/>
      </c>
      <c r="AJ246" s="51" t="str">
        <f>IF(XT!$P246=0,AH246,"")</f>
        <v/>
      </c>
      <c r="AK246">
        <f>SUMPRODUCT((MONTH(CHOOSE({1,2,3,4},XT!U246,XT!Y246,XT!AC246,XT!AG246))=10)*(CHOOSE({1,2,3,4},XT!X246,XT!AB246,XT!AF246,XT!AJ246)))</f>
        <v>0</v>
      </c>
      <c r="AL246" t="str">
        <f>IFERROR(INDEX(CHOOSE({1,2,3,4}, DAY(XT!U246), DAY(XT!Y246), DAY(XT!AC246), DAY(XT!AG246)), MATCH(1, INDEX(--(MONTH(CHOOSE({1,2,3,4}, XT!U246,XT!Y246,XT!AC246,XT!AG246))=10), 0), 0)), "")</f>
        <v/>
      </c>
      <c r="AM246" s="51" t="str">
        <f>IF(XT!$P246&gt;0,AL246,"")</f>
        <v/>
      </c>
      <c r="AN246" s="51" t="str">
        <f>IF(XT!$P246=0,AL246,"")</f>
        <v/>
      </c>
      <c r="AO246">
        <f>SUMPRODUCT((MONTH(CHOOSE({1,2,3,4},XT!U246,XT!Y246,XT!AC246,XT!AG246))=11)*(CHOOSE({1,2,3,4},XT!X246,XT!AB246,XT!AF246,XT!AJ246)))</f>
        <v>0</v>
      </c>
      <c r="AP246" t="str">
        <f>IFERROR(INDEX(CHOOSE({1,2,3,4}, DAY(XT!U246), DAY(XT!Y246), DAY(XT!AC246), DAY(XT!AG246)), MATCH(1, INDEX(--(MONTH(CHOOSE({1,2,3,4}, XT!U246,XT!Y246,XT!AC246,XT!AG246))=11), 0), 0)), "")</f>
        <v/>
      </c>
      <c r="AQ246" s="51" t="str">
        <f>IF(XT!$P246&gt;0,AP246,"")</f>
        <v/>
      </c>
      <c r="AR246" s="51" t="str">
        <f>IF(XT!$P246=0,AP246,"")</f>
        <v/>
      </c>
      <c r="AS246">
        <f>SUMPRODUCT((MONTH(CHOOSE({1,2,3,4},XT!U246,XT!Y246,XT!AC246,XT!AG246))=12)*(CHOOSE({1,2,3,4},XT!X246,XT!AB246,XT!AF246,XT!AJ246)))</f>
        <v>0</v>
      </c>
      <c r="AT246" t="str">
        <f>IFERROR(INDEX(CHOOSE({1,2,3,4}, DAY(XT!U246), DAY(XT!Y246), DAY(XT!AC246), DAY(XT!AG246)), MATCH(1, INDEX(--(MONTH(CHOOSE({1,2,3,4}, XT!U246,XT!Y246,XT!AC246,XT!AG246))=12), 0), 0)), "")</f>
        <v/>
      </c>
      <c r="AU246" s="51" t="str">
        <f>IF(XT!$P246&gt;0,AT246,"")</f>
        <v/>
      </c>
      <c r="AV246" s="51" t="str">
        <f>IF(XT!$P246=0,AT246,"")</f>
        <v/>
      </c>
    </row>
    <row r="247" spans="1:48">
      <c r="A247">
        <f>SUMPRODUCT((MONTH(CHOOSE({1,2,3,4},XT!U247,XT!Y247,XT!AC247,XT!AG247))=1)*(CHOOSE({1,2,3,4},XT!X247,XT!AB247,XT!AF247,XT!AJ247)))</f>
        <v>0</v>
      </c>
      <c r="B247">
        <f>IFERROR(INDEX(CHOOSE({1,2,3,4}, DAY(XT!U247), DAY(XT!Y247), DAY(XT!AC247), DAY(XT!AG247)), MATCH(1, INDEX(--(MONTH(CHOOSE({1,2,3,4}, XT!U247,XT!Y247,XT!AC247,XT!AG247))=1), 0), 0)), "")</f>
        <v>0</v>
      </c>
      <c r="C247" s="51" t="str">
        <f>IF(XT!$P247&gt;0,B247,"")</f>
        <v/>
      </c>
      <c r="D247" s="51">
        <f>IF(XT!$P247=0,B247,"")</f>
        <v>0</v>
      </c>
      <c r="E247">
        <f>SUMPRODUCT((MONTH(CHOOSE({1,2,3,4},XT!U247,XT!Y247,XT!AC247,XT!AG247))=2)*(CHOOSE({1,2,3,4},XT!X247,XT!AB247,XT!AF247,XT!AJ247)))</f>
        <v>0</v>
      </c>
      <c r="F247" t="str">
        <f>IFERROR(INDEX(CHOOSE({1,2,3,4}, DAY(XT!U247), DAY(XT!Y247), DAY(XT!AC247), DAY(XT!AG247)), MATCH(1, INDEX(--(MONTH(CHOOSE({1,2,3,4}, XT!U247,XT!Y247,XT!AC247,XT!AG247))=2), 0), 0)), "")</f>
        <v/>
      </c>
      <c r="G247" s="51" t="str">
        <f>IF(XT!$P247&gt;0,F247,"")</f>
        <v/>
      </c>
      <c r="H247" s="51" t="str">
        <f>IF(XT!$P247=0,F247,"")</f>
        <v/>
      </c>
      <c r="I247">
        <f>SUMPRODUCT((MONTH(CHOOSE({1,2,3,4},XT!U247,XT!Y247,XT!AC247,XT!AG247))=3)*(CHOOSE({1,2,3,4},XT!X247,XT!AB247,XT!AF247,XT!AJ247)))</f>
        <v>0</v>
      </c>
      <c r="J247" t="str">
        <f>IFERROR(INDEX(CHOOSE({1,2,3,4}, DAY(XT!U247), DAY(XT!Y247), DAY(XT!AC247), DAY(XT!AG247)), MATCH(1, INDEX(--(MONTH(CHOOSE({1,2,3,4}, XT!U247,XT!Y247,XT!AC247,XT!AG247))=3), 0), 0)), "")</f>
        <v/>
      </c>
      <c r="K247" s="51" t="str">
        <f>IF(XT!$P247&gt;0,J247,"")</f>
        <v/>
      </c>
      <c r="L247" s="51" t="str">
        <f>IF(XT!$P247=0,J247,"")</f>
        <v/>
      </c>
      <c r="M247">
        <f>SUMPRODUCT((MONTH(CHOOSE({1,2,3,4},XT!U247,XT!Y247,XT!AC247,XT!AG247))=4)*(CHOOSE({1,2,3,4},XT!X247,XT!AB247,XT!AF247,XT!AJ247)))</f>
        <v>0</v>
      </c>
      <c r="N247" t="str">
        <f>IFERROR(INDEX(CHOOSE({1,2,3,4}, DAY(XT!U247), DAY(XT!Y247), DAY(XT!AC247), DAY(XT!AG247)), MATCH(1, INDEX(--(MONTH(CHOOSE({1,2,3,4}, XT!U247,XT!Y247,XT!AC247,XT!AG247))=4), 0), 0)), "")</f>
        <v/>
      </c>
      <c r="O247" s="51" t="str">
        <f>IF(XT!$P247&gt;0,N247,"")</f>
        <v/>
      </c>
      <c r="P247" s="51" t="str">
        <f>IF(XT!$P247=0,N247,"")</f>
        <v/>
      </c>
      <c r="Q247">
        <f>SUMPRODUCT((MONTH(CHOOSE({1,2,3,4},XT!U247,XT!Y247,XT!AC247,XT!AG247))=5)*(CHOOSE({1,2,3,4},XT!X247,XT!AB247,XT!AF247,XT!AJ247)))</f>
        <v>0</v>
      </c>
      <c r="R247" t="str">
        <f>IFERROR(INDEX(CHOOSE({1,2,3,4}, DAY(XT!U247), DAY(XT!Y247), DAY(XT!AC247), DAY(XT!AG247)), MATCH(1, INDEX(--(MONTH(CHOOSE({1,2,3,4}, XT!U247,XT!Y247,XT!AC247,XT!AG247))=5), 0), 0)), "")</f>
        <v/>
      </c>
      <c r="S247" s="51" t="str">
        <f>IF(XT!$P247&gt;0,R247,"")</f>
        <v/>
      </c>
      <c r="T247" s="51" t="str">
        <f>IF(XT!$P247=0,R247,"")</f>
        <v/>
      </c>
      <c r="U247">
        <f>SUMPRODUCT((MONTH(CHOOSE({1,2,3,4},XT!U247,XT!Y247,XT!AC247,XT!AG247))=6)*(CHOOSE({1,2,3,4},XT!X247,XT!AB247,XT!AF247,XT!AJ247)))</f>
        <v>0</v>
      </c>
      <c r="V247" t="str">
        <f>IFERROR(INDEX(CHOOSE({1,2,3,4}, DAY(XT!U247), DAY(XT!Y247), DAY(XT!AC247), DAY(XT!AG247)), MATCH(1, INDEX(--(MONTH(CHOOSE({1,2,3,4}, XT!U247,XT!Y247,XT!AC247,XT!AG247))=6), 0), 0)), "")</f>
        <v/>
      </c>
      <c r="W247" s="51" t="str">
        <f>IF(XT!$P247&gt;0,V247,"")</f>
        <v/>
      </c>
      <c r="X247" s="51" t="str">
        <f>IF(XT!$P247=0,V247,"")</f>
        <v/>
      </c>
      <c r="Y247">
        <f>SUMPRODUCT((MONTH(CHOOSE({1,2,3,4},XT!U247,XT!Y247,XT!AC247,XT!AG247))=7)*(CHOOSE({1,2,3,4},XT!X247,XT!AB247,XT!AF247,XT!AJ247)))</f>
        <v>0</v>
      </c>
      <c r="Z247" t="str">
        <f>IFERROR(INDEX(CHOOSE({1,2,3,4}, DAY(XT!U247), DAY(XT!Y247), DAY(XT!AC247), DAY(XT!AG247)), MATCH(1, INDEX(--(MONTH(CHOOSE({1,2,3,4}, XT!U247,XT!Y247,XT!AC247,XT!AG247))=7), 0), 0)), "")</f>
        <v/>
      </c>
      <c r="AA247" s="51" t="str">
        <f>IF(XT!$P247&gt;0,Z247,"")</f>
        <v/>
      </c>
      <c r="AB247" s="51" t="str">
        <f>IF(XT!$P247=0,Z247,"")</f>
        <v/>
      </c>
      <c r="AC247">
        <f>SUMPRODUCT((MONTH(CHOOSE({1,2,3,4},XT!U247,XT!Y247,XT!AC247,XT!AG247))=8)*(CHOOSE({1,2,3,4},XT!X247,XT!AB247,XT!AF247,XT!AJ247)))</f>
        <v>0</v>
      </c>
      <c r="AD247" t="str">
        <f>IFERROR(INDEX(CHOOSE({1,2,3,4}, DAY(XT!U247), DAY(XT!Y247), DAY(XT!AC247), DAY(XT!AG247)), MATCH(1, INDEX(--(MONTH(CHOOSE({1,2,3,4}, XT!U247,XT!Y247,XT!AC247,XT!AG247))=8), 0), 0)), "")</f>
        <v/>
      </c>
      <c r="AE247" s="51" t="str">
        <f>IF(XT!$P247&gt;0,AD247,"")</f>
        <v/>
      </c>
      <c r="AF247" s="51" t="str">
        <f>IF(XT!$P247=0,AD247,"")</f>
        <v/>
      </c>
      <c r="AG247">
        <f>SUMPRODUCT((MONTH(CHOOSE({1,2,3,4},XT!U247,XT!Y247,XT!AC247,XT!AG247))=9)*(CHOOSE({1,2,3,4},XT!X247,XT!AB247,XT!AF247,XT!AJ247)))</f>
        <v>0</v>
      </c>
      <c r="AH247" t="str">
        <f>IFERROR(INDEX(CHOOSE({1,2,3,4}, DAY(XT!U247), DAY(XT!Y247), DAY(XT!AC247), DAY(XT!AG247)), MATCH(1, INDEX(--(MONTH(CHOOSE({1,2,3,4}, XT!U247,XT!Y247,XT!AC247,XT!AG247))=9), 0), 0)), "")</f>
        <v/>
      </c>
      <c r="AI247" s="51" t="str">
        <f>IF(XT!$P247&gt;0,AH247,"")</f>
        <v/>
      </c>
      <c r="AJ247" s="51" t="str">
        <f>IF(XT!$P247=0,AH247,"")</f>
        <v/>
      </c>
      <c r="AK247">
        <f>SUMPRODUCT((MONTH(CHOOSE({1,2,3,4},XT!U247,XT!Y247,XT!AC247,XT!AG247))=10)*(CHOOSE({1,2,3,4},XT!X247,XT!AB247,XT!AF247,XT!AJ247)))</f>
        <v>0</v>
      </c>
      <c r="AL247" t="str">
        <f>IFERROR(INDEX(CHOOSE({1,2,3,4}, DAY(XT!U247), DAY(XT!Y247), DAY(XT!AC247), DAY(XT!AG247)), MATCH(1, INDEX(--(MONTH(CHOOSE({1,2,3,4}, XT!U247,XT!Y247,XT!AC247,XT!AG247))=10), 0), 0)), "")</f>
        <v/>
      </c>
      <c r="AM247" s="51" t="str">
        <f>IF(XT!$P247&gt;0,AL247,"")</f>
        <v/>
      </c>
      <c r="AN247" s="51" t="str">
        <f>IF(XT!$P247=0,AL247,"")</f>
        <v/>
      </c>
      <c r="AO247">
        <f>SUMPRODUCT((MONTH(CHOOSE({1,2,3,4},XT!U247,XT!Y247,XT!AC247,XT!AG247))=11)*(CHOOSE({1,2,3,4},XT!X247,XT!AB247,XT!AF247,XT!AJ247)))</f>
        <v>0</v>
      </c>
      <c r="AP247" t="str">
        <f>IFERROR(INDEX(CHOOSE({1,2,3,4}, DAY(XT!U247), DAY(XT!Y247), DAY(XT!AC247), DAY(XT!AG247)), MATCH(1, INDEX(--(MONTH(CHOOSE({1,2,3,4}, XT!U247,XT!Y247,XT!AC247,XT!AG247))=11), 0), 0)), "")</f>
        <v/>
      </c>
      <c r="AQ247" s="51" t="str">
        <f>IF(XT!$P247&gt;0,AP247,"")</f>
        <v/>
      </c>
      <c r="AR247" s="51" t="str">
        <f>IF(XT!$P247=0,AP247,"")</f>
        <v/>
      </c>
      <c r="AS247">
        <f>SUMPRODUCT((MONTH(CHOOSE({1,2,3,4},XT!U247,XT!Y247,XT!AC247,XT!AG247))=12)*(CHOOSE({1,2,3,4},XT!X247,XT!AB247,XT!AF247,XT!AJ247)))</f>
        <v>0</v>
      </c>
      <c r="AT247" t="str">
        <f>IFERROR(INDEX(CHOOSE({1,2,3,4}, DAY(XT!U247), DAY(XT!Y247), DAY(XT!AC247), DAY(XT!AG247)), MATCH(1, INDEX(--(MONTH(CHOOSE({1,2,3,4}, XT!U247,XT!Y247,XT!AC247,XT!AG247))=12), 0), 0)), "")</f>
        <v/>
      </c>
      <c r="AU247" s="51" t="str">
        <f>IF(XT!$P247&gt;0,AT247,"")</f>
        <v/>
      </c>
      <c r="AV247" s="51" t="str">
        <f>IF(XT!$P247=0,AT247,"")</f>
        <v/>
      </c>
    </row>
    <row r="248" spans="1:48">
      <c r="A248">
        <f>SUMPRODUCT((MONTH(CHOOSE({1,2,3,4},XT!U248,XT!Y248,XT!AC248,XT!AG248))=1)*(CHOOSE({1,2,3,4},XT!X248,XT!AB248,XT!AF248,XT!AJ248)))</f>
        <v>0</v>
      </c>
      <c r="B248">
        <f>IFERROR(INDEX(CHOOSE({1,2,3,4}, DAY(XT!U248), DAY(XT!Y248), DAY(XT!AC248), DAY(XT!AG248)), MATCH(1, INDEX(--(MONTH(CHOOSE({1,2,3,4}, XT!U248,XT!Y248,XT!AC248,XT!AG248))=1), 0), 0)), "")</f>
        <v>0</v>
      </c>
      <c r="C248" s="51" t="str">
        <f>IF(XT!$P248&gt;0,B248,"")</f>
        <v/>
      </c>
      <c r="D248" s="51">
        <f>IF(XT!$P248=0,B248,"")</f>
        <v>0</v>
      </c>
      <c r="E248">
        <f>SUMPRODUCT((MONTH(CHOOSE({1,2,3,4},XT!U248,XT!Y248,XT!AC248,XT!AG248))=2)*(CHOOSE({1,2,3,4},XT!X248,XT!AB248,XT!AF248,XT!AJ248)))</f>
        <v>0</v>
      </c>
      <c r="F248" t="str">
        <f>IFERROR(INDEX(CHOOSE({1,2,3,4}, DAY(XT!U248), DAY(XT!Y248), DAY(XT!AC248), DAY(XT!AG248)), MATCH(1, INDEX(--(MONTH(CHOOSE({1,2,3,4}, XT!U248,XT!Y248,XT!AC248,XT!AG248))=2), 0), 0)), "")</f>
        <v/>
      </c>
      <c r="G248" s="51" t="str">
        <f>IF(XT!$P248&gt;0,F248,"")</f>
        <v/>
      </c>
      <c r="H248" s="51" t="str">
        <f>IF(XT!$P248=0,F248,"")</f>
        <v/>
      </c>
      <c r="I248">
        <f>SUMPRODUCT((MONTH(CHOOSE({1,2,3,4},XT!U248,XT!Y248,XT!AC248,XT!AG248))=3)*(CHOOSE({1,2,3,4},XT!X248,XT!AB248,XT!AF248,XT!AJ248)))</f>
        <v>0</v>
      </c>
      <c r="J248" t="str">
        <f>IFERROR(INDEX(CHOOSE({1,2,3,4}, DAY(XT!U248), DAY(XT!Y248), DAY(XT!AC248), DAY(XT!AG248)), MATCH(1, INDEX(--(MONTH(CHOOSE({1,2,3,4}, XT!U248,XT!Y248,XT!AC248,XT!AG248))=3), 0), 0)), "")</f>
        <v/>
      </c>
      <c r="K248" s="51" t="str">
        <f>IF(XT!$P248&gt;0,J248,"")</f>
        <v/>
      </c>
      <c r="L248" s="51" t="str">
        <f>IF(XT!$P248=0,J248,"")</f>
        <v/>
      </c>
      <c r="M248">
        <f>SUMPRODUCT((MONTH(CHOOSE({1,2,3,4},XT!U248,XT!Y248,XT!AC248,XT!AG248))=4)*(CHOOSE({1,2,3,4},XT!X248,XT!AB248,XT!AF248,XT!AJ248)))</f>
        <v>0</v>
      </c>
      <c r="N248" t="str">
        <f>IFERROR(INDEX(CHOOSE({1,2,3,4}, DAY(XT!U248), DAY(XT!Y248), DAY(XT!AC248), DAY(XT!AG248)), MATCH(1, INDEX(--(MONTH(CHOOSE({1,2,3,4}, XT!U248,XT!Y248,XT!AC248,XT!AG248))=4), 0), 0)), "")</f>
        <v/>
      </c>
      <c r="O248" s="51" t="str">
        <f>IF(XT!$P248&gt;0,N248,"")</f>
        <v/>
      </c>
      <c r="P248" s="51" t="str">
        <f>IF(XT!$P248=0,N248,"")</f>
        <v/>
      </c>
      <c r="Q248">
        <f>SUMPRODUCT((MONTH(CHOOSE({1,2,3,4},XT!U248,XT!Y248,XT!AC248,XT!AG248))=5)*(CHOOSE({1,2,3,4},XT!X248,XT!AB248,XT!AF248,XT!AJ248)))</f>
        <v>0</v>
      </c>
      <c r="R248" t="str">
        <f>IFERROR(INDEX(CHOOSE({1,2,3,4}, DAY(XT!U248), DAY(XT!Y248), DAY(XT!AC248), DAY(XT!AG248)), MATCH(1, INDEX(--(MONTH(CHOOSE({1,2,3,4}, XT!U248,XT!Y248,XT!AC248,XT!AG248))=5), 0), 0)), "")</f>
        <v/>
      </c>
      <c r="S248" s="51" t="str">
        <f>IF(XT!$P248&gt;0,R248,"")</f>
        <v/>
      </c>
      <c r="T248" s="51" t="str">
        <f>IF(XT!$P248=0,R248,"")</f>
        <v/>
      </c>
      <c r="U248">
        <f>SUMPRODUCT((MONTH(CHOOSE({1,2,3,4},XT!U248,XT!Y248,XT!AC248,XT!AG248))=6)*(CHOOSE({1,2,3,4},XT!X248,XT!AB248,XT!AF248,XT!AJ248)))</f>
        <v>0</v>
      </c>
      <c r="V248" t="str">
        <f>IFERROR(INDEX(CHOOSE({1,2,3,4}, DAY(XT!U248), DAY(XT!Y248), DAY(XT!AC248), DAY(XT!AG248)), MATCH(1, INDEX(--(MONTH(CHOOSE({1,2,3,4}, XT!U248,XT!Y248,XT!AC248,XT!AG248))=6), 0), 0)), "")</f>
        <v/>
      </c>
      <c r="W248" s="51" t="str">
        <f>IF(XT!$P248&gt;0,V248,"")</f>
        <v/>
      </c>
      <c r="X248" s="51" t="str">
        <f>IF(XT!$P248=0,V248,"")</f>
        <v/>
      </c>
      <c r="Y248">
        <f>SUMPRODUCT((MONTH(CHOOSE({1,2,3,4},XT!U248,XT!Y248,XT!AC248,XT!AG248))=7)*(CHOOSE({1,2,3,4},XT!X248,XT!AB248,XT!AF248,XT!AJ248)))</f>
        <v>0</v>
      </c>
      <c r="Z248" t="str">
        <f>IFERROR(INDEX(CHOOSE({1,2,3,4}, DAY(XT!U248), DAY(XT!Y248), DAY(XT!AC248), DAY(XT!AG248)), MATCH(1, INDEX(--(MONTH(CHOOSE({1,2,3,4}, XT!U248,XT!Y248,XT!AC248,XT!AG248))=7), 0), 0)), "")</f>
        <v/>
      </c>
      <c r="AA248" s="51" t="str">
        <f>IF(XT!$P248&gt;0,Z248,"")</f>
        <v/>
      </c>
      <c r="AB248" s="51" t="str">
        <f>IF(XT!$P248=0,Z248,"")</f>
        <v/>
      </c>
      <c r="AC248">
        <f>SUMPRODUCT((MONTH(CHOOSE({1,2,3,4},XT!U248,XT!Y248,XT!AC248,XT!AG248))=8)*(CHOOSE({1,2,3,4},XT!X248,XT!AB248,XT!AF248,XT!AJ248)))</f>
        <v>0</v>
      </c>
      <c r="AD248" t="str">
        <f>IFERROR(INDEX(CHOOSE({1,2,3,4}, DAY(XT!U248), DAY(XT!Y248), DAY(XT!AC248), DAY(XT!AG248)), MATCH(1, INDEX(--(MONTH(CHOOSE({1,2,3,4}, XT!U248,XT!Y248,XT!AC248,XT!AG248))=8), 0), 0)), "")</f>
        <v/>
      </c>
      <c r="AE248" s="51" t="str">
        <f>IF(XT!$P248&gt;0,AD248,"")</f>
        <v/>
      </c>
      <c r="AF248" s="51" t="str">
        <f>IF(XT!$P248=0,AD248,"")</f>
        <v/>
      </c>
      <c r="AG248">
        <f>SUMPRODUCT((MONTH(CHOOSE({1,2,3,4},XT!U248,XT!Y248,XT!AC248,XT!AG248))=9)*(CHOOSE({1,2,3,4},XT!X248,XT!AB248,XT!AF248,XT!AJ248)))</f>
        <v>0</v>
      </c>
      <c r="AH248" t="str">
        <f>IFERROR(INDEX(CHOOSE({1,2,3,4}, DAY(XT!U248), DAY(XT!Y248), DAY(XT!AC248), DAY(XT!AG248)), MATCH(1, INDEX(--(MONTH(CHOOSE({1,2,3,4}, XT!U248,XT!Y248,XT!AC248,XT!AG248))=9), 0), 0)), "")</f>
        <v/>
      </c>
      <c r="AI248" s="51" t="str">
        <f>IF(XT!$P248&gt;0,AH248,"")</f>
        <v/>
      </c>
      <c r="AJ248" s="51" t="str">
        <f>IF(XT!$P248=0,AH248,"")</f>
        <v/>
      </c>
      <c r="AK248">
        <f>SUMPRODUCT((MONTH(CHOOSE({1,2,3,4},XT!U248,XT!Y248,XT!AC248,XT!AG248))=10)*(CHOOSE({1,2,3,4},XT!X248,XT!AB248,XT!AF248,XT!AJ248)))</f>
        <v>0</v>
      </c>
      <c r="AL248" t="str">
        <f>IFERROR(INDEX(CHOOSE({1,2,3,4}, DAY(XT!U248), DAY(XT!Y248), DAY(XT!AC248), DAY(XT!AG248)), MATCH(1, INDEX(--(MONTH(CHOOSE({1,2,3,4}, XT!U248,XT!Y248,XT!AC248,XT!AG248))=10), 0), 0)), "")</f>
        <v/>
      </c>
      <c r="AM248" s="51" t="str">
        <f>IF(XT!$P248&gt;0,AL248,"")</f>
        <v/>
      </c>
      <c r="AN248" s="51" t="str">
        <f>IF(XT!$P248=0,AL248,"")</f>
        <v/>
      </c>
      <c r="AO248">
        <f>SUMPRODUCT((MONTH(CHOOSE({1,2,3,4},XT!U248,XT!Y248,XT!AC248,XT!AG248))=11)*(CHOOSE({1,2,3,4},XT!X248,XT!AB248,XT!AF248,XT!AJ248)))</f>
        <v>0</v>
      </c>
      <c r="AP248" t="str">
        <f>IFERROR(INDEX(CHOOSE({1,2,3,4}, DAY(XT!U248), DAY(XT!Y248), DAY(XT!AC248), DAY(XT!AG248)), MATCH(1, INDEX(--(MONTH(CHOOSE({1,2,3,4}, XT!U248,XT!Y248,XT!AC248,XT!AG248))=11), 0), 0)), "")</f>
        <v/>
      </c>
      <c r="AQ248" s="51" t="str">
        <f>IF(XT!$P248&gt;0,AP248,"")</f>
        <v/>
      </c>
      <c r="AR248" s="51" t="str">
        <f>IF(XT!$P248=0,AP248,"")</f>
        <v/>
      </c>
      <c r="AS248">
        <f>SUMPRODUCT((MONTH(CHOOSE({1,2,3,4},XT!U248,XT!Y248,XT!AC248,XT!AG248))=12)*(CHOOSE({1,2,3,4},XT!X248,XT!AB248,XT!AF248,XT!AJ248)))</f>
        <v>0</v>
      </c>
      <c r="AT248" t="str">
        <f>IFERROR(INDEX(CHOOSE({1,2,3,4}, DAY(XT!U248), DAY(XT!Y248), DAY(XT!AC248), DAY(XT!AG248)), MATCH(1, INDEX(--(MONTH(CHOOSE({1,2,3,4}, XT!U248,XT!Y248,XT!AC248,XT!AG248))=12), 0), 0)), "")</f>
        <v/>
      </c>
      <c r="AU248" s="51" t="str">
        <f>IF(XT!$P248&gt;0,AT248,"")</f>
        <v/>
      </c>
      <c r="AV248" s="51" t="str">
        <f>IF(XT!$P248=0,AT248,"")</f>
        <v/>
      </c>
    </row>
    <row r="249" spans="1:48">
      <c r="A249">
        <f>SUMPRODUCT((MONTH(CHOOSE({1,2,3,4},XT!U249,XT!Y249,XT!AC249,XT!AG249))=1)*(CHOOSE({1,2,3,4},XT!X249,XT!AB249,XT!AF249,XT!AJ249)))</f>
        <v>0</v>
      </c>
      <c r="B249">
        <f>IFERROR(INDEX(CHOOSE({1,2,3,4}, DAY(XT!U249), DAY(XT!Y249), DAY(XT!AC249), DAY(XT!AG249)), MATCH(1, INDEX(--(MONTH(CHOOSE({1,2,3,4}, XT!U249,XT!Y249,XT!AC249,XT!AG249))=1), 0), 0)), "")</f>
        <v>0</v>
      </c>
      <c r="C249" s="51" t="str">
        <f>IF(XT!$P249&gt;0,B249,"")</f>
        <v/>
      </c>
      <c r="D249" s="51">
        <f>IF(XT!$P249=0,B249,"")</f>
        <v>0</v>
      </c>
      <c r="E249">
        <f>SUMPRODUCT((MONTH(CHOOSE({1,2,3,4},XT!U249,XT!Y249,XT!AC249,XT!AG249))=2)*(CHOOSE({1,2,3,4},XT!X249,XT!AB249,XT!AF249,XT!AJ249)))</f>
        <v>0</v>
      </c>
      <c r="F249" t="str">
        <f>IFERROR(INDEX(CHOOSE({1,2,3,4}, DAY(XT!U249), DAY(XT!Y249), DAY(XT!AC249), DAY(XT!AG249)), MATCH(1, INDEX(--(MONTH(CHOOSE({1,2,3,4}, XT!U249,XT!Y249,XT!AC249,XT!AG249))=2), 0), 0)), "")</f>
        <v/>
      </c>
      <c r="G249" s="51" t="str">
        <f>IF(XT!$P249&gt;0,F249,"")</f>
        <v/>
      </c>
      <c r="H249" s="51" t="str">
        <f>IF(XT!$P249=0,F249,"")</f>
        <v/>
      </c>
      <c r="I249">
        <f>SUMPRODUCT((MONTH(CHOOSE({1,2,3,4},XT!U249,XT!Y249,XT!AC249,XT!AG249))=3)*(CHOOSE({1,2,3,4},XT!X249,XT!AB249,XT!AF249,XT!AJ249)))</f>
        <v>0</v>
      </c>
      <c r="J249" t="str">
        <f>IFERROR(INDEX(CHOOSE({1,2,3,4}, DAY(XT!U249), DAY(XT!Y249), DAY(XT!AC249), DAY(XT!AG249)), MATCH(1, INDEX(--(MONTH(CHOOSE({1,2,3,4}, XT!U249,XT!Y249,XT!AC249,XT!AG249))=3), 0), 0)), "")</f>
        <v/>
      </c>
      <c r="K249" s="51" t="str">
        <f>IF(XT!$P249&gt;0,J249,"")</f>
        <v/>
      </c>
      <c r="L249" s="51" t="str">
        <f>IF(XT!$P249=0,J249,"")</f>
        <v/>
      </c>
      <c r="M249">
        <f>SUMPRODUCT((MONTH(CHOOSE({1,2,3,4},XT!U249,XT!Y249,XT!AC249,XT!AG249))=4)*(CHOOSE({1,2,3,4},XT!X249,XT!AB249,XT!AF249,XT!AJ249)))</f>
        <v>0</v>
      </c>
      <c r="N249" t="str">
        <f>IFERROR(INDEX(CHOOSE({1,2,3,4}, DAY(XT!U249), DAY(XT!Y249), DAY(XT!AC249), DAY(XT!AG249)), MATCH(1, INDEX(--(MONTH(CHOOSE({1,2,3,4}, XT!U249,XT!Y249,XT!AC249,XT!AG249))=4), 0), 0)), "")</f>
        <v/>
      </c>
      <c r="O249" s="51" t="str">
        <f>IF(XT!$P249&gt;0,N249,"")</f>
        <v/>
      </c>
      <c r="P249" s="51" t="str">
        <f>IF(XT!$P249=0,N249,"")</f>
        <v/>
      </c>
      <c r="Q249">
        <f>SUMPRODUCT((MONTH(CHOOSE({1,2,3,4},XT!U249,XT!Y249,XT!AC249,XT!AG249))=5)*(CHOOSE({1,2,3,4},XT!X249,XT!AB249,XT!AF249,XT!AJ249)))</f>
        <v>0</v>
      </c>
      <c r="R249" t="str">
        <f>IFERROR(INDEX(CHOOSE({1,2,3,4}, DAY(XT!U249), DAY(XT!Y249), DAY(XT!AC249), DAY(XT!AG249)), MATCH(1, INDEX(--(MONTH(CHOOSE({1,2,3,4}, XT!U249,XT!Y249,XT!AC249,XT!AG249))=5), 0), 0)), "")</f>
        <v/>
      </c>
      <c r="S249" s="51" t="str">
        <f>IF(XT!$P249&gt;0,R249,"")</f>
        <v/>
      </c>
      <c r="T249" s="51" t="str">
        <f>IF(XT!$P249=0,R249,"")</f>
        <v/>
      </c>
      <c r="U249">
        <f>SUMPRODUCT((MONTH(CHOOSE({1,2,3,4},XT!U249,XT!Y249,XT!AC249,XT!AG249))=6)*(CHOOSE({1,2,3,4},XT!X249,XT!AB249,XT!AF249,XT!AJ249)))</f>
        <v>0</v>
      </c>
      <c r="V249" t="str">
        <f>IFERROR(INDEX(CHOOSE({1,2,3,4}, DAY(XT!U249), DAY(XT!Y249), DAY(XT!AC249), DAY(XT!AG249)), MATCH(1, INDEX(--(MONTH(CHOOSE({1,2,3,4}, XT!U249,XT!Y249,XT!AC249,XT!AG249))=6), 0), 0)), "")</f>
        <v/>
      </c>
      <c r="W249" s="51" t="str">
        <f>IF(XT!$P249&gt;0,V249,"")</f>
        <v/>
      </c>
      <c r="X249" s="51" t="str">
        <f>IF(XT!$P249=0,V249,"")</f>
        <v/>
      </c>
      <c r="Y249">
        <f>SUMPRODUCT((MONTH(CHOOSE({1,2,3,4},XT!U249,XT!Y249,XT!AC249,XT!AG249))=7)*(CHOOSE({1,2,3,4},XT!X249,XT!AB249,XT!AF249,XT!AJ249)))</f>
        <v>0</v>
      </c>
      <c r="Z249" t="str">
        <f>IFERROR(INDEX(CHOOSE({1,2,3,4}, DAY(XT!U249), DAY(XT!Y249), DAY(XT!AC249), DAY(XT!AG249)), MATCH(1, INDEX(--(MONTH(CHOOSE({1,2,3,4}, XT!U249,XT!Y249,XT!AC249,XT!AG249))=7), 0), 0)), "")</f>
        <v/>
      </c>
      <c r="AA249" s="51" t="str">
        <f>IF(XT!$P249&gt;0,Z249,"")</f>
        <v/>
      </c>
      <c r="AB249" s="51" t="str">
        <f>IF(XT!$P249=0,Z249,"")</f>
        <v/>
      </c>
      <c r="AC249">
        <f>SUMPRODUCT((MONTH(CHOOSE({1,2,3,4},XT!U249,XT!Y249,XT!AC249,XT!AG249))=8)*(CHOOSE({1,2,3,4},XT!X249,XT!AB249,XT!AF249,XT!AJ249)))</f>
        <v>0</v>
      </c>
      <c r="AD249" t="str">
        <f>IFERROR(INDEX(CHOOSE({1,2,3,4}, DAY(XT!U249), DAY(XT!Y249), DAY(XT!AC249), DAY(XT!AG249)), MATCH(1, INDEX(--(MONTH(CHOOSE({1,2,3,4}, XT!U249,XT!Y249,XT!AC249,XT!AG249))=8), 0), 0)), "")</f>
        <v/>
      </c>
      <c r="AE249" s="51" t="str">
        <f>IF(XT!$P249&gt;0,AD249,"")</f>
        <v/>
      </c>
      <c r="AF249" s="51" t="str">
        <f>IF(XT!$P249=0,AD249,"")</f>
        <v/>
      </c>
      <c r="AG249">
        <f>SUMPRODUCT((MONTH(CHOOSE({1,2,3,4},XT!U249,XT!Y249,XT!AC249,XT!AG249))=9)*(CHOOSE({1,2,3,4},XT!X249,XT!AB249,XT!AF249,XT!AJ249)))</f>
        <v>0</v>
      </c>
      <c r="AH249" t="str">
        <f>IFERROR(INDEX(CHOOSE({1,2,3,4}, DAY(XT!U249), DAY(XT!Y249), DAY(XT!AC249), DAY(XT!AG249)), MATCH(1, INDEX(--(MONTH(CHOOSE({1,2,3,4}, XT!U249,XT!Y249,XT!AC249,XT!AG249))=9), 0), 0)), "")</f>
        <v/>
      </c>
      <c r="AI249" s="51" t="str">
        <f>IF(XT!$P249&gt;0,AH249,"")</f>
        <v/>
      </c>
      <c r="AJ249" s="51" t="str">
        <f>IF(XT!$P249=0,AH249,"")</f>
        <v/>
      </c>
      <c r="AK249">
        <f>SUMPRODUCT((MONTH(CHOOSE({1,2,3,4},XT!U249,XT!Y249,XT!AC249,XT!AG249))=10)*(CHOOSE({1,2,3,4},XT!X249,XT!AB249,XT!AF249,XT!AJ249)))</f>
        <v>0</v>
      </c>
      <c r="AL249" t="str">
        <f>IFERROR(INDEX(CHOOSE({1,2,3,4}, DAY(XT!U249), DAY(XT!Y249), DAY(XT!AC249), DAY(XT!AG249)), MATCH(1, INDEX(--(MONTH(CHOOSE({1,2,3,4}, XT!U249,XT!Y249,XT!AC249,XT!AG249))=10), 0), 0)), "")</f>
        <v/>
      </c>
      <c r="AM249" s="51" t="str">
        <f>IF(XT!$P249&gt;0,AL249,"")</f>
        <v/>
      </c>
      <c r="AN249" s="51" t="str">
        <f>IF(XT!$P249=0,AL249,"")</f>
        <v/>
      </c>
      <c r="AO249">
        <f>SUMPRODUCT((MONTH(CHOOSE({1,2,3,4},XT!U249,XT!Y249,XT!AC249,XT!AG249))=11)*(CHOOSE({1,2,3,4},XT!X249,XT!AB249,XT!AF249,XT!AJ249)))</f>
        <v>0</v>
      </c>
      <c r="AP249" t="str">
        <f>IFERROR(INDEX(CHOOSE({1,2,3,4}, DAY(XT!U249), DAY(XT!Y249), DAY(XT!AC249), DAY(XT!AG249)), MATCH(1, INDEX(--(MONTH(CHOOSE({1,2,3,4}, XT!U249,XT!Y249,XT!AC249,XT!AG249))=11), 0), 0)), "")</f>
        <v/>
      </c>
      <c r="AQ249" s="51" t="str">
        <f>IF(XT!$P249&gt;0,AP249,"")</f>
        <v/>
      </c>
      <c r="AR249" s="51" t="str">
        <f>IF(XT!$P249=0,AP249,"")</f>
        <v/>
      </c>
      <c r="AS249">
        <f>SUMPRODUCT((MONTH(CHOOSE({1,2,3,4},XT!U249,XT!Y249,XT!AC249,XT!AG249))=12)*(CHOOSE({1,2,3,4},XT!X249,XT!AB249,XT!AF249,XT!AJ249)))</f>
        <v>0</v>
      </c>
      <c r="AT249" t="str">
        <f>IFERROR(INDEX(CHOOSE({1,2,3,4}, DAY(XT!U249), DAY(XT!Y249), DAY(XT!AC249), DAY(XT!AG249)), MATCH(1, INDEX(--(MONTH(CHOOSE({1,2,3,4}, XT!U249,XT!Y249,XT!AC249,XT!AG249))=12), 0), 0)), "")</f>
        <v/>
      </c>
      <c r="AU249" s="51" t="str">
        <f>IF(XT!$P249&gt;0,AT249,"")</f>
        <v/>
      </c>
      <c r="AV249" s="51" t="str">
        <f>IF(XT!$P249=0,AT249,"")</f>
        <v/>
      </c>
    </row>
    <row r="250" spans="1:48">
      <c r="A250">
        <f>SUMPRODUCT((MONTH(CHOOSE({1,2,3,4},XT!U250,XT!Y250,XT!AC250,XT!AG250))=1)*(CHOOSE({1,2,3,4},XT!X250,XT!AB250,XT!AF250,XT!AJ250)))</f>
        <v>0</v>
      </c>
      <c r="B250">
        <f>IFERROR(INDEX(CHOOSE({1,2,3,4}, DAY(XT!U250), DAY(XT!Y250), DAY(XT!AC250), DAY(XT!AG250)), MATCH(1, INDEX(--(MONTH(CHOOSE({1,2,3,4}, XT!U250,XT!Y250,XT!AC250,XT!AG250))=1), 0), 0)), "")</f>
        <v>0</v>
      </c>
      <c r="C250" s="51" t="str">
        <f>IF(XT!$P250&gt;0,B250,"")</f>
        <v/>
      </c>
      <c r="D250" s="51">
        <f>IF(XT!$P250=0,B250,"")</f>
        <v>0</v>
      </c>
      <c r="E250">
        <f>SUMPRODUCT((MONTH(CHOOSE({1,2,3,4},XT!U250,XT!Y250,XT!AC250,XT!AG250))=2)*(CHOOSE({1,2,3,4},XT!X250,XT!AB250,XT!AF250,XT!AJ250)))</f>
        <v>0</v>
      </c>
      <c r="F250" t="str">
        <f>IFERROR(INDEX(CHOOSE({1,2,3,4}, DAY(XT!U250), DAY(XT!Y250), DAY(XT!AC250), DAY(XT!AG250)), MATCH(1, INDEX(--(MONTH(CHOOSE({1,2,3,4}, XT!U250,XT!Y250,XT!AC250,XT!AG250))=2), 0), 0)), "")</f>
        <v/>
      </c>
      <c r="G250" s="51" t="str">
        <f>IF(XT!$P250&gt;0,F250,"")</f>
        <v/>
      </c>
      <c r="H250" s="51" t="str">
        <f>IF(XT!$P250=0,F250,"")</f>
        <v/>
      </c>
      <c r="I250">
        <f>SUMPRODUCT((MONTH(CHOOSE({1,2,3,4},XT!U250,XT!Y250,XT!AC250,XT!AG250))=3)*(CHOOSE({1,2,3,4},XT!X250,XT!AB250,XT!AF250,XT!AJ250)))</f>
        <v>0</v>
      </c>
      <c r="J250" t="str">
        <f>IFERROR(INDEX(CHOOSE({1,2,3,4}, DAY(XT!U250), DAY(XT!Y250), DAY(XT!AC250), DAY(XT!AG250)), MATCH(1, INDEX(--(MONTH(CHOOSE({1,2,3,4}, XT!U250,XT!Y250,XT!AC250,XT!AG250))=3), 0), 0)), "")</f>
        <v/>
      </c>
      <c r="K250" s="51" t="str">
        <f>IF(XT!$P250&gt;0,J250,"")</f>
        <v/>
      </c>
      <c r="L250" s="51" t="str">
        <f>IF(XT!$P250=0,J250,"")</f>
        <v/>
      </c>
      <c r="M250">
        <f>SUMPRODUCT((MONTH(CHOOSE({1,2,3,4},XT!U250,XT!Y250,XT!AC250,XT!AG250))=4)*(CHOOSE({1,2,3,4},XT!X250,XT!AB250,XT!AF250,XT!AJ250)))</f>
        <v>0</v>
      </c>
      <c r="N250" t="str">
        <f>IFERROR(INDEX(CHOOSE({1,2,3,4}, DAY(XT!U250), DAY(XT!Y250), DAY(XT!AC250), DAY(XT!AG250)), MATCH(1, INDEX(--(MONTH(CHOOSE({1,2,3,4}, XT!U250,XT!Y250,XT!AC250,XT!AG250))=4), 0), 0)), "")</f>
        <v/>
      </c>
      <c r="O250" s="51" t="str">
        <f>IF(XT!$P250&gt;0,N250,"")</f>
        <v/>
      </c>
      <c r="P250" s="51" t="str">
        <f>IF(XT!$P250=0,N250,"")</f>
        <v/>
      </c>
      <c r="Q250">
        <f>SUMPRODUCT((MONTH(CHOOSE({1,2,3,4},XT!U250,XT!Y250,XT!AC250,XT!AG250))=5)*(CHOOSE({1,2,3,4},XT!X250,XT!AB250,XT!AF250,XT!AJ250)))</f>
        <v>0</v>
      </c>
      <c r="R250" t="str">
        <f>IFERROR(INDEX(CHOOSE({1,2,3,4}, DAY(XT!U250), DAY(XT!Y250), DAY(XT!AC250), DAY(XT!AG250)), MATCH(1, INDEX(--(MONTH(CHOOSE({1,2,3,4}, XT!U250,XT!Y250,XT!AC250,XT!AG250))=5), 0), 0)), "")</f>
        <v/>
      </c>
      <c r="S250" s="51" t="str">
        <f>IF(XT!$P250&gt;0,R250,"")</f>
        <v/>
      </c>
      <c r="T250" s="51" t="str">
        <f>IF(XT!$P250=0,R250,"")</f>
        <v/>
      </c>
      <c r="U250">
        <f>SUMPRODUCT((MONTH(CHOOSE({1,2,3,4},XT!U250,XT!Y250,XT!AC250,XT!AG250))=6)*(CHOOSE({1,2,3,4},XT!X250,XT!AB250,XT!AF250,XT!AJ250)))</f>
        <v>0</v>
      </c>
      <c r="V250" t="str">
        <f>IFERROR(INDEX(CHOOSE({1,2,3,4}, DAY(XT!U250), DAY(XT!Y250), DAY(XT!AC250), DAY(XT!AG250)), MATCH(1, INDEX(--(MONTH(CHOOSE({1,2,3,4}, XT!U250,XT!Y250,XT!AC250,XT!AG250))=6), 0), 0)), "")</f>
        <v/>
      </c>
      <c r="W250" s="51" t="str">
        <f>IF(XT!$P250&gt;0,V250,"")</f>
        <v/>
      </c>
      <c r="X250" s="51" t="str">
        <f>IF(XT!$P250=0,V250,"")</f>
        <v/>
      </c>
      <c r="Y250">
        <f>SUMPRODUCT((MONTH(CHOOSE({1,2,3,4},XT!U250,XT!Y250,XT!AC250,XT!AG250))=7)*(CHOOSE({1,2,3,4},XT!X250,XT!AB250,XT!AF250,XT!AJ250)))</f>
        <v>0</v>
      </c>
      <c r="Z250" t="str">
        <f>IFERROR(INDEX(CHOOSE({1,2,3,4}, DAY(XT!U250), DAY(XT!Y250), DAY(XT!AC250), DAY(XT!AG250)), MATCH(1, INDEX(--(MONTH(CHOOSE({1,2,3,4}, XT!U250,XT!Y250,XT!AC250,XT!AG250))=7), 0), 0)), "")</f>
        <v/>
      </c>
      <c r="AA250" s="51" t="str">
        <f>IF(XT!$P250&gt;0,Z250,"")</f>
        <v/>
      </c>
      <c r="AB250" s="51" t="str">
        <f>IF(XT!$P250=0,Z250,"")</f>
        <v/>
      </c>
      <c r="AC250">
        <f>SUMPRODUCT((MONTH(CHOOSE({1,2,3,4},XT!U250,XT!Y250,XT!AC250,XT!AG250))=8)*(CHOOSE({1,2,3,4},XT!X250,XT!AB250,XT!AF250,XT!AJ250)))</f>
        <v>0</v>
      </c>
      <c r="AD250" t="str">
        <f>IFERROR(INDEX(CHOOSE({1,2,3,4}, DAY(XT!U250), DAY(XT!Y250), DAY(XT!AC250), DAY(XT!AG250)), MATCH(1, INDEX(--(MONTH(CHOOSE({1,2,3,4}, XT!U250,XT!Y250,XT!AC250,XT!AG250))=8), 0), 0)), "")</f>
        <v/>
      </c>
      <c r="AE250" s="51" t="str">
        <f>IF(XT!$P250&gt;0,AD250,"")</f>
        <v/>
      </c>
      <c r="AF250" s="51" t="str">
        <f>IF(XT!$P250=0,AD250,"")</f>
        <v/>
      </c>
      <c r="AG250">
        <f>SUMPRODUCT((MONTH(CHOOSE({1,2,3,4},XT!U250,XT!Y250,XT!AC250,XT!AG250))=9)*(CHOOSE({1,2,3,4},XT!X250,XT!AB250,XT!AF250,XT!AJ250)))</f>
        <v>0</v>
      </c>
      <c r="AH250" t="str">
        <f>IFERROR(INDEX(CHOOSE({1,2,3,4}, DAY(XT!U250), DAY(XT!Y250), DAY(XT!AC250), DAY(XT!AG250)), MATCH(1, INDEX(--(MONTH(CHOOSE({1,2,3,4}, XT!U250,XT!Y250,XT!AC250,XT!AG250))=9), 0), 0)), "")</f>
        <v/>
      </c>
      <c r="AI250" s="51" t="str">
        <f>IF(XT!$P250&gt;0,AH250,"")</f>
        <v/>
      </c>
      <c r="AJ250" s="51" t="str">
        <f>IF(XT!$P250=0,AH250,"")</f>
        <v/>
      </c>
      <c r="AK250">
        <f>SUMPRODUCT((MONTH(CHOOSE({1,2,3,4},XT!U250,XT!Y250,XT!AC250,XT!AG250))=10)*(CHOOSE({1,2,3,4},XT!X250,XT!AB250,XT!AF250,XT!AJ250)))</f>
        <v>0</v>
      </c>
      <c r="AL250" t="str">
        <f>IFERROR(INDEX(CHOOSE({1,2,3,4}, DAY(XT!U250), DAY(XT!Y250), DAY(XT!AC250), DAY(XT!AG250)), MATCH(1, INDEX(--(MONTH(CHOOSE({1,2,3,4}, XT!U250,XT!Y250,XT!AC250,XT!AG250))=10), 0), 0)), "")</f>
        <v/>
      </c>
      <c r="AM250" s="51" t="str">
        <f>IF(XT!$P250&gt;0,AL250,"")</f>
        <v/>
      </c>
      <c r="AN250" s="51" t="str">
        <f>IF(XT!$P250=0,AL250,"")</f>
        <v/>
      </c>
      <c r="AO250">
        <f>SUMPRODUCT((MONTH(CHOOSE({1,2,3,4},XT!U250,XT!Y250,XT!AC250,XT!AG250))=11)*(CHOOSE({1,2,3,4},XT!X250,XT!AB250,XT!AF250,XT!AJ250)))</f>
        <v>0</v>
      </c>
      <c r="AP250" t="str">
        <f>IFERROR(INDEX(CHOOSE({1,2,3,4}, DAY(XT!U250), DAY(XT!Y250), DAY(XT!AC250), DAY(XT!AG250)), MATCH(1, INDEX(--(MONTH(CHOOSE({1,2,3,4}, XT!U250,XT!Y250,XT!AC250,XT!AG250))=11), 0), 0)), "")</f>
        <v/>
      </c>
      <c r="AQ250" s="51" t="str">
        <f>IF(XT!$P250&gt;0,AP250,"")</f>
        <v/>
      </c>
      <c r="AR250" s="51" t="str">
        <f>IF(XT!$P250=0,AP250,"")</f>
        <v/>
      </c>
      <c r="AS250">
        <f>SUMPRODUCT((MONTH(CHOOSE({1,2,3,4},XT!U250,XT!Y250,XT!AC250,XT!AG250))=12)*(CHOOSE({1,2,3,4},XT!X250,XT!AB250,XT!AF250,XT!AJ250)))</f>
        <v>0</v>
      </c>
      <c r="AT250" t="str">
        <f>IFERROR(INDEX(CHOOSE({1,2,3,4}, DAY(XT!U250), DAY(XT!Y250), DAY(XT!AC250), DAY(XT!AG250)), MATCH(1, INDEX(--(MONTH(CHOOSE({1,2,3,4}, XT!U250,XT!Y250,XT!AC250,XT!AG250))=12), 0), 0)), "")</f>
        <v/>
      </c>
      <c r="AU250" s="51" t="str">
        <f>IF(XT!$P250&gt;0,AT250,"")</f>
        <v/>
      </c>
      <c r="AV250" s="51" t="str">
        <f>IF(XT!$P250=0,AT250,"")</f>
        <v/>
      </c>
    </row>
    <row r="251" spans="1:48">
      <c r="A251">
        <f>SUMPRODUCT((MONTH(CHOOSE({1,2,3,4},XT!U251,XT!Y251,XT!AC251,XT!AG251))=1)*(CHOOSE({1,2,3,4},XT!X251,XT!AB251,XT!AF251,XT!AJ251)))</f>
        <v>0</v>
      </c>
      <c r="B251">
        <f>IFERROR(INDEX(CHOOSE({1,2,3,4}, DAY(XT!U251), DAY(XT!Y251), DAY(XT!AC251), DAY(XT!AG251)), MATCH(1, INDEX(--(MONTH(CHOOSE({1,2,3,4}, XT!U251,XT!Y251,XT!AC251,XT!AG251))=1), 0), 0)), "")</f>
        <v>0</v>
      </c>
      <c r="C251" s="51" t="str">
        <f>IF(XT!$P251&gt;0,B251,"")</f>
        <v/>
      </c>
      <c r="D251" s="51">
        <f>IF(XT!$P251=0,B251,"")</f>
        <v>0</v>
      </c>
      <c r="E251">
        <f>SUMPRODUCT((MONTH(CHOOSE({1,2,3,4},XT!U251,XT!Y251,XT!AC251,XT!AG251))=2)*(CHOOSE({1,2,3,4},XT!X251,XT!AB251,XT!AF251,XT!AJ251)))</f>
        <v>0</v>
      </c>
      <c r="F251" t="str">
        <f>IFERROR(INDEX(CHOOSE({1,2,3,4}, DAY(XT!U251), DAY(XT!Y251), DAY(XT!AC251), DAY(XT!AG251)), MATCH(1, INDEX(--(MONTH(CHOOSE({1,2,3,4}, XT!U251,XT!Y251,XT!AC251,XT!AG251))=2), 0), 0)), "")</f>
        <v/>
      </c>
      <c r="G251" s="51" t="str">
        <f>IF(XT!$P251&gt;0,F251,"")</f>
        <v/>
      </c>
      <c r="H251" s="51" t="str">
        <f>IF(XT!$P251=0,F251,"")</f>
        <v/>
      </c>
      <c r="I251">
        <f>SUMPRODUCT((MONTH(CHOOSE({1,2,3,4},XT!U251,XT!Y251,XT!AC251,XT!AG251))=3)*(CHOOSE({1,2,3,4},XT!X251,XT!AB251,XT!AF251,XT!AJ251)))</f>
        <v>0</v>
      </c>
      <c r="J251" t="str">
        <f>IFERROR(INDEX(CHOOSE({1,2,3,4}, DAY(XT!U251), DAY(XT!Y251), DAY(XT!AC251), DAY(XT!AG251)), MATCH(1, INDEX(--(MONTH(CHOOSE({1,2,3,4}, XT!U251,XT!Y251,XT!AC251,XT!AG251))=3), 0), 0)), "")</f>
        <v/>
      </c>
      <c r="K251" s="51" t="str">
        <f>IF(XT!$P251&gt;0,J251,"")</f>
        <v/>
      </c>
      <c r="L251" s="51" t="str">
        <f>IF(XT!$P251=0,J251,"")</f>
        <v/>
      </c>
      <c r="M251">
        <f>SUMPRODUCT((MONTH(CHOOSE({1,2,3,4},XT!U251,XT!Y251,XT!AC251,XT!AG251))=4)*(CHOOSE({1,2,3,4},XT!X251,XT!AB251,XT!AF251,XT!AJ251)))</f>
        <v>0</v>
      </c>
      <c r="N251" t="str">
        <f>IFERROR(INDEX(CHOOSE({1,2,3,4}, DAY(XT!U251), DAY(XT!Y251), DAY(XT!AC251), DAY(XT!AG251)), MATCH(1, INDEX(--(MONTH(CHOOSE({1,2,3,4}, XT!U251,XT!Y251,XT!AC251,XT!AG251))=4), 0), 0)), "")</f>
        <v/>
      </c>
      <c r="O251" s="51" t="str">
        <f>IF(XT!$P251&gt;0,N251,"")</f>
        <v/>
      </c>
      <c r="P251" s="51" t="str">
        <f>IF(XT!$P251=0,N251,"")</f>
        <v/>
      </c>
      <c r="Q251">
        <f>SUMPRODUCT((MONTH(CHOOSE({1,2,3,4},XT!U251,XT!Y251,XT!AC251,XT!AG251))=5)*(CHOOSE({1,2,3,4},XT!X251,XT!AB251,XT!AF251,XT!AJ251)))</f>
        <v>0</v>
      </c>
      <c r="R251" t="str">
        <f>IFERROR(INDEX(CHOOSE({1,2,3,4}, DAY(XT!U251), DAY(XT!Y251), DAY(XT!AC251), DAY(XT!AG251)), MATCH(1, INDEX(--(MONTH(CHOOSE({1,2,3,4}, XT!U251,XT!Y251,XT!AC251,XT!AG251))=5), 0), 0)), "")</f>
        <v/>
      </c>
      <c r="S251" s="51" t="str">
        <f>IF(XT!$P251&gt;0,R251,"")</f>
        <v/>
      </c>
      <c r="T251" s="51" t="str">
        <f>IF(XT!$P251=0,R251,"")</f>
        <v/>
      </c>
      <c r="U251">
        <f>SUMPRODUCT((MONTH(CHOOSE({1,2,3,4},XT!U251,XT!Y251,XT!AC251,XT!AG251))=6)*(CHOOSE({1,2,3,4},XT!X251,XT!AB251,XT!AF251,XT!AJ251)))</f>
        <v>0</v>
      </c>
      <c r="V251" t="str">
        <f>IFERROR(INDEX(CHOOSE({1,2,3,4}, DAY(XT!U251), DAY(XT!Y251), DAY(XT!AC251), DAY(XT!AG251)), MATCH(1, INDEX(--(MONTH(CHOOSE({1,2,3,4}, XT!U251,XT!Y251,XT!AC251,XT!AG251))=6), 0), 0)), "")</f>
        <v/>
      </c>
      <c r="W251" s="51" t="str">
        <f>IF(XT!$P251&gt;0,V251,"")</f>
        <v/>
      </c>
      <c r="X251" s="51" t="str">
        <f>IF(XT!$P251=0,V251,"")</f>
        <v/>
      </c>
      <c r="Y251">
        <f>SUMPRODUCT((MONTH(CHOOSE({1,2,3,4},XT!U251,XT!Y251,XT!AC251,XT!AG251))=7)*(CHOOSE({1,2,3,4},XT!X251,XT!AB251,XT!AF251,XT!AJ251)))</f>
        <v>0</v>
      </c>
      <c r="Z251" t="str">
        <f>IFERROR(INDEX(CHOOSE({1,2,3,4}, DAY(XT!U251), DAY(XT!Y251), DAY(XT!AC251), DAY(XT!AG251)), MATCH(1, INDEX(--(MONTH(CHOOSE({1,2,3,4}, XT!U251,XT!Y251,XT!AC251,XT!AG251))=7), 0), 0)), "")</f>
        <v/>
      </c>
      <c r="AA251" s="51" t="str">
        <f>IF(XT!$P251&gt;0,Z251,"")</f>
        <v/>
      </c>
      <c r="AB251" s="51" t="str">
        <f>IF(XT!$P251=0,Z251,"")</f>
        <v/>
      </c>
      <c r="AC251">
        <f>SUMPRODUCT((MONTH(CHOOSE({1,2,3,4},XT!U251,XT!Y251,XT!AC251,XT!AG251))=8)*(CHOOSE({1,2,3,4},XT!X251,XT!AB251,XT!AF251,XT!AJ251)))</f>
        <v>0</v>
      </c>
      <c r="AD251" t="str">
        <f>IFERROR(INDEX(CHOOSE({1,2,3,4}, DAY(XT!U251), DAY(XT!Y251), DAY(XT!AC251), DAY(XT!AG251)), MATCH(1, INDEX(--(MONTH(CHOOSE({1,2,3,4}, XT!U251,XT!Y251,XT!AC251,XT!AG251))=8), 0), 0)), "")</f>
        <v/>
      </c>
      <c r="AE251" s="51" t="str">
        <f>IF(XT!$P251&gt;0,AD251,"")</f>
        <v/>
      </c>
      <c r="AF251" s="51" t="str">
        <f>IF(XT!$P251=0,AD251,"")</f>
        <v/>
      </c>
      <c r="AG251">
        <f>SUMPRODUCT((MONTH(CHOOSE({1,2,3,4},XT!U251,XT!Y251,XT!AC251,XT!AG251))=9)*(CHOOSE({1,2,3,4},XT!X251,XT!AB251,XT!AF251,XT!AJ251)))</f>
        <v>0</v>
      </c>
      <c r="AH251" t="str">
        <f>IFERROR(INDEX(CHOOSE({1,2,3,4}, DAY(XT!U251), DAY(XT!Y251), DAY(XT!AC251), DAY(XT!AG251)), MATCH(1, INDEX(--(MONTH(CHOOSE({1,2,3,4}, XT!U251,XT!Y251,XT!AC251,XT!AG251))=9), 0), 0)), "")</f>
        <v/>
      </c>
      <c r="AI251" s="51" t="str">
        <f>IF(XT!$P251&gt;0,AH251,"")</f>
        <v/>
      </c>
      <c r="AJ251" s="51" t="str">
        <f>IF(XT!$P251=0,AH251,"")</f>
        <v/>
      </c>
      <c r="AK251">
        <f>SUMPRODUCT((MONTH(CHOOSE({1,2,3,4},XT!U251,XT!Y251,XT!AC251,XT!AG251))=10)*(CHOOSE({1,2,3,4},XT!X251,XT!AB251,XT!AF251,XT!AJ251)))</f>
        <v>0</v>
      </c>
      <c r="AL251" t="str">
        <f>IFERROR(INDEX(CHOOSE({1,2,3,4}, DAY(XT!U251), DAY(XT!Y251), DAY(XT!AC251), DAY(XT!AG251)), MATCH(1, INDEX(--(MONTH(CHOOSE({1,2,3,4}, XT!U251,XT!Y251,XT!AC251,XT!AG251))=10), 0), 0)), "")</f>
        <v/>
      </c>
      <c r="AM251" s="51" t="str">
        <f>IF(XT!$P251&gt;0,AL251,"")</f>
        <v/>
      </c>
      <c r="AN251" s="51" t="str">
        <f>IF(XT!$P251=0,AL251,"")</f>
        <v/>
      </c>
      <c r="AO251">
        <f>SUMPRODUCT((MONTH(CHOOSE({1,2,3,4},XT!U251,XT!Y251,XT!AC251,XT!AG251))=11)*(CHOOSE({1,2,3,4},XT!X251,XT!AB251,XT!AF251,XT!AJ251)))</f>
        <v>0</v>
      </c>
      <c r="AP251" t="str">
        <f>IFERROR(INDEX(CHOOSE({1,2,3,4}, DAY(XT!U251), DAY(XT!Y251), DAY(XT!AC251), DAY(XT!AG251)), MATCH(1, INDEX(--(MONTH(CHOOSE({1,2,3,4}, XT!U251,XT!Y251,XT!AC251,XT!AG251))=11), 0), 0)), "")</f>
        <v/>
      </c>
      <c r="AQ251" s="51" t="str">
        <f>IF(XT!$P251&gt;0,AP251,"")</f>
        <v/>
      </c>
      <c r="AR251" s="51" t="str">
        <f>IF(XT!$P251=0,AP251,"")</f>
        <v/>
      </c>
      <c r="AS251">
        <f>SUMPRODUCT((MONTH(CHOOSE({1,2,3,4},XT!U251,XT!Y251,XT!AC251,XT!AG251))=12)*(CHOOSE({1,2,3,4},XT!X251,XT!AB251,XT!AF251,XT!AJ251)))</f>
        <v>0</v>
      </c>
      <c r="AT251" t="str">
        <f>IFERROR(INDEX(CHOOSE({1,2,3,4}, DAY(XT!U251), DAY(XT!Y251), DAY(XT!AC251), DAY(XT!AG251)), MATCH(1, INDEX(--(MONTH(CHOOSE({1,2,3,4}, XT!U251,XT!Y251,XT!AC251,XT!AG251))=12), 0), 0)), "")</f>
        <v/>
      </c>
      <c r="AU251" s="51" t="str">
        <f>IF(XT!$P251&gt;0,AT251,"")</f>
        <v/>
      </c>
      <c r="AV251" s="51" t="str">
        <f>IF(XT!$P251=0,AT251,"")</f>
        <v/>
      </c>
    </row>
    <row r="252" spans="1:48">
      <c r="A252">
        <f>SUMPRODUCT((MONTH(CHOOSE({1,2,3,4},XT!U252,XT!Y252,XT!AC252,XT!AG252))=1)*(CHOOSE({1,2,3,4},XT!X252,XT!AB252,XT!AF252,XT!AJ252)))</f>
        <v>0</v>
      </c>
      <c r="B252">
        <f>IFERROR(INDEX(CHOOSE({1,2,3,4}, DAY(XT!U252), DAY(XT!Y252), DAY(XT!AC252), DAY(XT!AG252)), MATCH(1, INDEX(--(MONTH(CHOOSE({1,2,3,4}, XT!U252,XT!Y252,XT!AC252,XT!AG252))=1), 0), 0)), "")</f>
        <v>0</v>
      </c>
      <c r="C252" s="51" t="str">
        <f>IF(XT!$P252&gt;0,B252,"")</f>
        <v/>
      </c>
      <c r="D252" s="51">
        <f>IF(XT!$P252=0,B252,"")</f>
        <v>0</v>
      </c>
      <c r="E252">
        <f>SUMPRODUCT((MONTH(CHOOSE({1,2,3,4},XT!U252,XT!Y252,XT!AC252,XT!AG252))=2)*(CHOOSE({1,2,3,4},XT!X252,XT!AB252,XT!AF252,XT!AJ252)))</f>
        <v>0</v>
      </c>
      <c r="F252" t="str">
        <f>IFERROR(INDEX(CHOOSE({1,2,3,4}, DAY(XT!U252), DAY(XT!Y252), DAY(XT!AC252), DAY(XT!AG252)), MATCH(1, INDEX(--(MONTH(CHOOSE({1,2,3,4}, XT!U252,XT!Y252,XT!AC252,XT!AG252))=2), 0), 0)), "")</f>
        <v/>
      </c>
      <c r="G252" s="51" t="str">
        <f>IF(XT!$P252&gt;0,F252,"")</f>
        <v/>
      </c>
      <c r="H252" s="51" t="str">
        <f>IF(XT!$P252=0,F252,"")</f>
        <v/>
      </c>
      <c r="I252">
        <f>SUMPRODUCT((MONTH(CHOOSE({1,2,3,4},XT!U252,XT!Y252,XT!AC252,XT!AG252))=3)*(CHOOSE({1,2,3,4},XT!X252,XT!AB252,XT!AF252,XT!AJ252)))</f>
        <v>0</v>
      </c>
      <c r="J252" t="str">
        <f>IFERROR(INDEX(CHOOSE({1,2,3,4}, DAY(XT!U252), DAY(XT!Y252), DAY(XT!AC252), DAY(XT!AG252)), MATCH(1, INDEX(--(MONTH(CHOOSE({1,2,3,4}, XT!U252,XT!Y252,XT!AC252,XT!AG252))=3), 0), 0)), "")</f>
        <v/>
      </c>
      <c r="K252" s="51" t="str">
        <f>IF(XT!$P252&gt;0,J252,"")</f>
        <v/>
      </c>
      <c r="L252" s="51" t="str">
        <f>IF(XT!$P252=0,J252,"")</f>
        <v/>
      </c>
      <c r="M252">
        <f>SUMPRODUCT((MONTH(CHOOSE({1,2,3,4},XT!U252,XT!Y252,XT!AC252,XT!AG252))=4)*(CHOOSE({1,2,3,4},XT!X252,XT!AB252,XT!AF252,XT!AJ252)))</f>
        <v>0</v>
      </c>
      <c r="N252" t="str">
        <f>IFERROR(INDEX(CHOOSE({1,2,3,4}, DAY(XT!U252), DAY(XT!Y252), DAY(XT!AC252), DAY(XT!AG252)), MATCH(1, INDEX(--(MONTH(CHOOSE({1,2,3,4}, XT!U252,XT!Y252,XT!AC252,XT!AG252))=4), 0), 0)), "")</f>
        <v/>
      </c>
      <c r="O252" s="51" t="str">
        <f>IF(XT!$P252&gt;0,N252,"")</f>
        <v/>
      </c>
      <c r="P252" s="51" t="str">
        <f>IF(XT!$P252=0,N252,"")</f>
        <v/>
      </c>
      <c r="Q252">
        <f>SUMPRODUCT((MONTH(CHOOSE({1,2,3,4},XT!U252,XT!Y252,XT!AC252,XT!AG252))=5)*(CHOOSE({1,2,3,4},XT!X252,XT!AB252,XT!AF252,XT!AJ252)))</f>
        <v>0</v>
      </c>
      <c r="R252" t="str">
        <f>IFERROR(INDEX(CHOOSE({1,2,3,4}, DAY(XT!U252), DAY(XT!Y252), DAY(XT!AC252), DAY(XT!AG252)), MATCH(1, INDEX(--(MONTH(CHOOSE({1,2,3,4}, XT!U252,XT!Y252,XT!AC252,XT!AG252))=5), 0), 0)), "")</f>
        <v/>
      </c>
      <c r="S252" s="51" t="str">
        <f>IF(XT!$P252&gt;0,R252,"")</f>
        <v/>
      </c>
      <c r="T252" s="51" t="str">
        <f>IF(XT!$P252=0,R252,"")</f>
        <v/>
      </c>
      <c r="U252">
        <f>SUMPRODUCT((MONTH(CHOOSE({1,2,3,4},XT!U252,XT!Y252,XT!AC252,XT!AG252))=6)*(CHOOSE({1,2,3,4},XT!X252,XT!AB252,XT!AF252,XT!AJ252)))</f>
        <v>0</v>
      </c>
      <c r="V252" t="str">
        <f>IFERROR(INDEX(CHOOSE({1,2,3,4}, DAY(XT!U252), DAY(XT!Y252), DAY(XT!AC252), DAY(XT!AG252)), MATCH(1, INDEX(--(MONTH(CHOOSE({1,2,3,4}, XT!U252,XT!Y252,XT!AC252,XT!AG252))=6), 0), 0)), "")</f>
        <v/>
      </c>
      <c r="W252" s="51" t="str">
        <f>IF(XT!$P252&gt;0,V252,"")</f>
        <v/>
      </c>
      <c r="X252" s="51" t="str">
        <f>IF(XT!$P252=0,V252,"")</f>
        <v/>
      </c>
      <c r="Y252">
        <f>SUMPRODUCT((MONTH(CHOOSE({1,2,3,4},XT!U252,XT!Y252,XT!AC252,XT!AG252))=7)*(CHOOSE({1,2,3,4},XT!X252,XT!AB252,XT!AF252,XT!AJ252)))</f>
        <v>0</v>
      </c>
      <c r="Z252" t="str">
        <f>IFERROR(INDEX(CHOOSE({1,2,3,4}, DAY(XT!U252), DAY(XT!Y252), DAY(XT!AC252), DAY(XT!AG252)), MATCH(1, INDEX(--(MONTH(CHOOSE({1,2,3,4}, XT!U252,XT!Y252,XT!AC252,XT!AG252))=7), 0), 0)), "")</f>
        <v/>
      </c>
      <c r="AA252" s="51" t="str">
        <f>IF(XT!$P252&gt;0,Z252,"")</f>
        <v/>
      </c>
      <c r="AB252" s="51" t="str">
        <f>IF(XT!$P252=0,Z252,"")</f>
        <v/>
      </c>
      <c r="AC252">
        <f>SUMPRODUCT((MONTH(CHOOSE({1,2,3,4},XT!U252,XT!Y252,XT!AC252,XT!AG252))=8)*(CHOOSE({1,2,3,4},XT!X252,XT!AB252,XT!AF252,XT!AJ252)))</f>
        <v>0</v>
      </c>
      <c r="AD252" t="str">
        <f>IFERROR(INDEX(CHOOSE({1,2,3,4}, DAY(XT!U252), DAY(XT!Y252), DAY(XT!AC252), DAY(XT!AG252)), MATCH(1, INDEX(--(MONTH(CHOOSE({1,2,3,4}, XT!U252,XT!Y252,XT!AC252,XT!AG252))=8), 0), 0)), "")</f>
        <v/>
      </c>
      <c r="AE252" s="51" t="str">
        <f>IF(XT!$P252&gt;0,AD252,"")</f>
        <v/>
      </c>
      <c r="AF252" s="51" t="str">
        <f>IF(XT!$P252=0,AD252,"")</f>
        <v/>
      </c>
      <c r="AG252">
        <f>SUMPRODUCT((MONTH(CHOOSE({1,2,3,4},XT!U252,XT!Y252,XT!AC252,XT!AG252))=9)*(CHOOSE({1,2,3,4},XT!X252,XT!AB252,XT!AF252,XT!AJ252)))</f>
        <v>0</v>
      </c>
      <c r="AH252" t="str">
        <f>IFERROR(INDEX(CHOOSE({1,2,3,4}, DAY(XT!U252), DAY(XT!Y252), DAY(XT!AC252), DAY(XT!AG252)), MATCH(1, INDEX(--(MONTH(CHOOSE({1,2,3,4}, XT!U252,XT!Y252,XT!AC252,XT!AG252))=9), 0), 0)), "")</f>
        <v/>
      </c>
      <c r="AI252" s="51" t="str">
        <f>IF(XT!$P252&gt;0,AH252,"")</f>
        <v/>
      </c>
      <c r="AJ252" s="51" t="str">
        <f>IF(XT!$P252=0,AH252,"")</f>
        <v/>
      </c>
      <c r="AK252">
        <f>SUMPRODUCT((MONTH(CHOOSE({1,2,3,4},XT!U252,XT!Y252,XT!AC252,XT!AG252))=10)*(CHOOSE({1,2,3,4},XT!X252,XT!AB252,XT!AF252,XT!AJ252)))</f>
        <v>0</v>
      </c>
      <c r="AL252" t="str">
        <f>IFERROR(INDEX(CHOOSE({1,2,3,4}, DAY(XT!U252), DAY(XT!Y252), DAY(XT!AC252), DAY(XT!AG252)), MATCH(1, INDEX(--(MONTH(CHOOSE({1,2,3,4}, XT!U252,XT!Y252,XT!AC252,XT!AG252))=10), 0), 0)), "")</f>
        <v/>
      </c>
      <c r="AM252" s="51" t="str">
        <f>IF(XT!$P252&gt;0,AL252,"")</f>
        <v/>
      </c>
      <c r="AN252" s="51" t="str">
        <f>IF(XT!$P252=0,AL252,"")</f>
        <v/>
      </c>
      <c r="AO252">
        <f>SUMPRODUCT((MONTH(CHOOSE({1,2,3,4},XT!U252,XT!Y252,XT!AC252,XT!AG252))=11)*(CHOOSE({1,2,3,4},XT!X252,XT!AB252,XT!AF252,XT!AJ252)))</f>
        <v>0</v>
      </c>
      <c r="AP252" t="str">
        <f>IFERROR(INDEX(CHOOSE({1,2,3,4}, DAY(XT!U252), DAY(XT!Y252), DAY(XT!AC252), DAY(XT!AG252)), MATCH(1, INDEX(--(MONTH(CHOOSE({1,2,3,4}, XT!U252,XT!Y252,XT!AC252,XT!AG252))=11), 0), 0)), "")</f>
        <v/>
      </c>
      <c r="AQ252" s="51" t="str">
        <f>IF(XT!$P252&gt;0,AP252,"")</f>
        <v/>
      </c>
      <c r="AR252" s="51" t="str">
        <f>IF(XT!$P252=0,AP252,"")</f>
        <v/>
      </c>
      <c r="AS252">
        <f>SUMPRODUCT((MONTH(CHOOSE({1,2,3,4},XT!U252,XT!Y252,XT!AC252,XT!AG252))=12)*(CHOOSE({1,2,3,4},XT!X252,XT!AB252,XT!AF252,XT!AJ252)))</f>
        <v>0</v>
      </c>
      <c r="AT252" t="str">
        <f>IFERROR(INDEX(CHOOSE({1,2,3,4}, DAY(XT!U252), DAY(XT!Y252), DAY(XT!AC252), DAY(XT!AG252)), MATCH(1, INDEX(--(MONTH(CHOOSE({1,2,3,4}, XT!U252,XT!Y252,XT!AC252,XT!AG252))=12), 0), 0)), "")</f>
        <v/>
      </c>
      <c r="AU252" s="51" t="str">
        <f>IF(XT!$P252&gt;0,AT252,"")</f>
        <v/>
      </c>
      <c r="AV252" s="51" t="str">
        <f>IF(XT!$P252=0,AT252,"")</f>
        <v/>
      </c>
    </row>
    <row r="253" spans="1:48">
      <c r="A253">
        <f>SUMPRODUCT((MONTH(CHOOSE({1,2,3,4},XT!U253,XT!Y253,XT!AC253,XT!AG253))=1)*(CHOOSE({1,2,3,4},XT!X253,XT!AB253,XT!AF253,XT!AJ253)))</f>
        <v>0</v>
      </c>
      <c r="B253">
        <f>IFERROR(INDEX(CHOOSE({1,2,3,4}, DAY(XT!U253), DAY(XT!Y253), DAY(XT!AC253), DAY(XT!AG253)), MATCH(1, INDEX(--(MONTH(CHOOSE({1,2,3,4}, XT!U253,XT!Y253,XT!AC253,XT!AG253))=1), 0), 0)), "")</f>
        <v>0</v>
      </c>
      <c r="C253" s="51" t="str">
        <f>IF(XT!$P253&gt;0,B253,"")</f>
        <v/>
      </c>
      <c r="D253" s="51">
        <f>IF(XT!$P253=0,B253,"")</f>
        <v>0</v>
      </c>
      <c r="E253">
        <f>SUMPRODUCT((MONTH(CHOOSE({1,2,3,4},XT!U253,XT!Y253,XT!AC253,XT!AG253))=2)*(CHOOSE({1,2,3,4},XT!X253,XT!AB253,XT!AF253,XT!AJ253)))</f>
        <v>0</v>
      </c>
      <c r="F253" t="str">
        <f>IFERROR(INDEX(CHOOSE({1,2,3,4}, DAY(XT!U253), DAY(XT!Y253), DAY(XT!AC253), DAY(XT!AG253)), MATCH(1, INDEX(--(MONTH(CHOOSE({1,2,3,4}, XT!U253,XT!Y253,XT!AC253,XT!AG253))=2), 0), 0)), "")</f>
        <v/>
      </c>
      <c r="G253" s="51" t="str">
        <f>IF(XT!$P253&gt;0,F253,"")</f>
        <v/>
      </c>
      <c r="H253" s="51" t="str">
        <f>IF(XT!$P253=0,F253,"")</f>
        <v/>
      </c>
      <c r="I253">
        <f>SUMPRODUCT((MONTH(CHOOSE({1,2,3,4},XT!U253,XT!Y253,XT!AC253,XT!AG253))=3)*(CHOOSE({1,2,3,4},XT!X253,XT!AB253,XT!AF253,XT!AJ253)))</f>
        <v>0</v>
      </c>
      <c r="J253" t="str">
        <f>IFERROR(INDEX(CHOOSE({1,2,3,4}, DAY(XT!U253), DAY(XT!Y253), DAY(XT!AC253), DAY(XT!AG253)), MATCH(1, INDEX(--(MONTH(CHOOSE({1,2,3,4}, XT!U253,XT!Y253,XT!AC253,XT!AG253))=3), 0), 0)), "")</f>
        <v/>
      </c>
      <c r="K253" s="51" t="str">
        <f>IF(XT!$P253&gt;0,J253,"")</f>
        <v/>
      </c>
      <c r="L253" s="51" t="str">
        <f>IF(XT!$P253=0,J253,"")</f>
        <v/>
      </c>
      <c r="M253">
        <f>SUMPRODUCT((MONTH(CHOOSE({1,2,3,4},XT!U253,XT!Y253,XT!AC253,XT!AG253))=4)*(CHOOSE({1,2,3,4},XT!X253,XT!AB253,XT!AF253,XT!AJ253)))</f>
        <v>0</v>
      </c>
      <c r="N253" t="str">
        <f>IFERROR(INDEX(CHOOSE({1,2,3,4}, DAY(XT!U253), DAY(XT!Y253), DAY(XT!AC253), DAY(XT!AG253)), MATCH(1, INDEX(--(MONTH(CHOOSE({1,2,3,4}, XT!U253,XT!Y253,XT!AC253,XT!AG253))=4), 0), 0)), "")</f>
        <v/>
      </c>
      <c r="O253" s="51" t="str">
        <f>IF(XT!$P253&gt;0,N253,"")</f>
        <v/>
      </c>
      <c r="P253" s="51" t="str">
        <f>IF(XT!$P253=0,N253,"")</f>
        <v/>
      </c>
      <c r="Q253">
        <f>SUMPRODUCT((MONTH(CHOOSE({1,2,3,4},XT!U253,XT!Y253,XT!AC253,XT!AG253))=5)*(CHOOSE({1,2,3,4},XT!X253,XT!AB253,XT!AF253,XT!AJ253)))</f>
        <v>0</v>
      </c>
      <c r="R253" t="str">
        <f>IFERROR(INDEX(CHOOSE({1,2,3,4}, DAY(XT!U253), DAY(XT!Y253), DAY(XT!AC253), DAY(XT!AG253)), MATCH(1, INDEX(--(MONTH(CHOOSE({1,2,3,4}, XT!U253,XT!Y253,XT!AC253,XT!AG253))=5), 0), 0)), "")</f>
        <v/>
      </c>
      <c r="S253" s="51" t="str">
        <f>IF(XT!$P253&gt;0,R253,"")</f>
        <v/>
      </c>
      <c r="T253" s="51" t="str">
        <f>IF(XT!$P253=0,R253,"")</f>
        <v/>
      </c>
      <c r="U253">
        <f>SUMPRODUCT((MONTH(CHOOSE({1,2,3,4},XT!U253,XT!Y253,XT!AC253,XT!AG253))=6)*(CHOOSE({1,2,3,4},XT!X253,XT!AB253,XT!AF253,XT!AJ253)))</f>
        <v>0</v>
      </c>
      <c r="V253" t="str">
        <f>IFERROR(INDEX(CHOOSE({1,2,3,4}, DAY(XT!U253), DAY(XT!Y253), DAY(XT!AC253), DAY(XT!AG253)), MATCH(1, INDEX(--(MONTH(CHOOSE({1,2,3,4}, XT!U253,XT!Y253,XT!AC253,XT!AG253))=6), 0), 0)), "")</f>
        <v/>
      </c>
      <c r="W253" s="51" t="str">
        <f>IF(XT!$P253&gt;0,V253,"")</f>
        <v/>
      </c>
      <c r="X253" s="51" t="str">
        <f>IF(XT!$P253=0,V253,"")</f>
        <v/>
      </c>
      <c r="Y253">
        <f>SUMPRODUCT((MONTH(CHOOSE({1,2,3,4},XT!U253,XT!Y253,XT!AC253,XT!AG253))=7)*(CHOOSE({1,2,3,4},XT!X253,XT!AB253,XT!AF253,XT!AJ253)))</f>
        <v>0</v>
      </c>
      <c r="Z253" t="str">
        <f>IFERROR(INDEX(CHOOSE({1,2,3,4}, DAY(XT!U253), DAY(XT!Y253), DAY(XT!AC253), DAY(XT!AG253)), MATCH(1, INDEX(--(MONTH(CHOOSE({1,2,3,4}, XT!U253,XT!Y253,XT!AC253,XT!AG253))=7), 0), 0)), "")</f>
        <v/>
      </c>
      <c r="AA253" s="51" t="str">
        <f>IF(XT!$P253&gt;0,Z253,"")</f>
        <v/>
      </c>
      <c r="AB253" s="51" t="str">
        <f>IF(XT!$P253=0,Z253,"")</f>
        <v/>
      </c>
      <c r="AC253">
        <f>SUMPRODUCT((MONTH(CHOOSE({1,2,3,4},XT!U253,XT!Y253,XT!AC253,XT!AG253))=8)*(CHOOSE({1,2,3,4},XT!X253,XT!AB253,XT!AF253,XT!AJ253)))</f>
        <v>0</v>
      </c>
      <c r="AD253" t="str">
        <f>IFERROR(INDEX(CHOOSE({1,2,3,4}, DAY(XT!U253), DAY(XT!Y253), DAY(XT!AC253), DAY(XT!AG253)), MATCH(1, INDEX(--(MONTH(CHOOSE({1,2,3,4}, XT!U253,XT!Y253,XT!AC253,XT!AG253))=8), 0), 0)), "")</f>
        <v/>
      </c>
      <c r="AE253" s="51" t="str">
        <f>IF(XT!$P253&gt;0,AD253,"")</f>
        <v/>
      </c>
      <c r="AF253" s="51" t="str">
        <f>IF(XT!$P253=0,AD253,"")</f>
        <v/>
      </c>
      <c r="AG253">
        <f>SUMPRODUCT((MONTH(CHOOSE({1,2,3,4},XT!U253,XT!Y253,XT!AC253,XT!AG253))=9)*(CHOOSE({1,2,3,4},XT!X253,XT!AB253,XT!AF253,XT!AJ253)))</f>
        <v>0</v>
      </c>
      <c r="AH253" t="str">
        <f>IFERROR(INDEX(CHOOSE({1,2,3,4}, DAY(XT!U253), DAY(XT!Y253), DAY(XT!AC253), DAY(XT!AG253)), MATCH(1, INDEX(--(MONTH(CHOOSE({1,2,3,4}, XT!U253,XT!Y253,XT!AC253,XT!AG253))=9), 0), 0)), "")</f>
        <v/>
      </c>
      <c r="AI253" s="51" t="str">
        <f>IF(XT!$P253&gt;0,AH253,"")</f>
        <v/>
      </c>
      <c r="AJ253" s="51" t="str">
        <f>IF(XT!$P253=0,AH253,"")</f>
        <v/>
      </c>
      <c r="AK253">
        <f>SUMPRODUCT((MONTH(CHOOSE({1,2,3,4},XT!U253,XT!Y253,XT!AC253,XT!AG253))=10)*(CHOOSE({1,2,3,4},XT!X253,XT!AB253,XT!AF253,XT!AJ253)))</f>
        <v>0</v>
      </c>
      <c r="AL253" t="str">
        <f>IFERROR(INDEX(CHOOSE({1,2,3,4}, DAY(XT!U253), DAY(XT!Y253), DAY(XT!AC253), DAY(XT!AG253)), MATCH(1, INDEX(--(MONTH(CHOOSE({1,2,3,4}, XT!U253,XT!Y253,XT!AC253,XT!AG253))=10), 0), 0)), "")</f>
        <v/>
      </c>
      <c r="AM253" s="51" t="str">
        <f>IF(XT!$P253&gt;0,AL253,"")</f>
        <v/>
      </c>
      <c r="AN253" s="51" t="str">
        <f>IF(XT!$P253=0,AL253,"")</f>
        <v/>
      </c>
      <c r="AO253">
        <f>SUMPRODUCT((MONTH(CHOOSE({1,2,3,4},XT!U253,XT!Y253,XT!AC253,XT!AG253))=11)*(CHOOSE({1,2,3,4},XT!X253,XT!AB253,XT!AF253,XT!AJ253)))</f>
        <v>0</v>
      </c>
      <c r="AP253" t="str">
        <f>IFERROR(INDEX(CHOOSE({1,2,3,4}, DAY(XT!U253), DAY(XT!Y253), DAY(XT!AC253), DAY(XT!AG253)), MATCH(1, INDEX(--(MONTH(CHOOSE({1,2,3,4}, XT!U253,XT!Y253,XT!AC253,XT!AG253))=11), 0), 0)), "")</f>
        <v/>
      </c>
      <c r="AQ253" s="51" t="str">
        <f>IF(XT!$P253&gt;0,AP253,"")</f>
        <v/>
      </c>
      <c r="AR253" s="51" t="str">
        <f>IF(XT!$P253=0,AP253,"")</f>
        <v/>
      </c>
      <c r="AS253">
        <f>SUMPRODUCT((MONTH(CHOOSE({1,2,3,4},XT!U253,XT!Y253,XT!AC253,XT!AG253))=12)*(CHOOSE({1,2,3,4},XT!X253,XT!AB253,XT!AF253,XT!AJ253)))</f>
        <v>0</v>
      </c>
      <c r="AT253" t="str">
        <f>IFERROR(INDEX(CHOOSE({1,2,3,4}, DAY(XT!U253), DAY(XT!Y253), DAY(XT!AC253), DAY(XT!AG253)), MATCH(1, INDEX(--(MONTH(CHOOSE({1,2,3,4}, XT!U253,XT!Y253,XT!AC253,XT!AG253))=12), 0), 0)), "")</f>
        <v/>
      </c>
      <c r="AU253" s="51" t="str">
        <f>IF(XT!$P253&gt;0,AT253,"")</f>
        <v/>
      </c>
      <c r="AV253" s="51" t="str">
        <f>IF(XT!$P253=0,AT253,"")</f>
        <v/>
      </c>
    </row>
    <row r="254" spans="1:48">
      <c r="A254">
        <f>SUMPRODUCT((MONTH(CHOOSE({1,2,3,4},XT!U254,XT!Y254,XT!AC254,XT!AG254))=1)*(CHOOSE({1,2,3,4},XT!X254,XT!AB254,XT!AF254,XT!AJ254)))</f>
        <v>0</v>
      </c>
      <c r="B254">
        <f>IFERROR(INDEX(CHOOSE({1,2,3,4}, DAY(XT!U254), DAY(XT!Y254), DAY(XT!AC254), DAY(XT!AG254)), MATCH(1, INDEX(--(MONTH(CHOOSE({1,2,3,4}, XT!U254,XT!Y254,XT!AC254,XT!AG254))=1), 0), 0)), "")</f>
        <v>0</v>
      </c>
      <c r="C254" s="51" t="str">
        <f>IF(XT!$P254&gt;0,B254,"")</f>
        <v/>
      </c>
      <c r="D254" s="51">
        <f>IF(XT!$P254=0,B254,"")</f>
        <v>0</v>
      </c>
      <c r="E254">
        <f>SUMPRODUCT((MONTH(CHOOSE({1,2,3,4},XT!U254,XT!Y254,XT!AC254,XT!AG254))=2)*(CHOOSE({1,2,3,4},XT!X254,XT!AB254,XT!AF254,XT!AJ254)))</f>
        <v>0</v>
      </c>
      <c r="F254" t="str">
        <f>IFERROR(INDEX(CHOOSE({1,2,3,4}, DAY(XT!U254), DAY(XT!Y254), DAY(XT!AC254), DAY(XT!AG254)), MATCH(1, INDEX(--(MONTH(CHOOSE({1,2,3,4}, XT!U254,XT!Y254,XT!AC254,XT!AG254))=2), 0), 0)), "")</f>
        <v/>
      </c>
      <c r="G254" s="51" t="str">
        <f>IF(XT!$P254&gt;0,F254,"")</f>
        <v/>
      </c>
      <c r="H254" s="51" t="str">
        <f>IF(XT!$P254=0,F254,"")</f>
        <v/>
      </c>
      <c r="I254">
        <f>SUMPRODUCT((MONTH(CHOOSE({1,2,3,4},XT!U254,XT!Y254,XT!AC254,XT!AG254))=3)*(CHOOSE({1,2,3,4},XT!X254,XT!AB254,XT!AF254,XT!AJ254)))</f>
        <v>0</v>
      </c>
      <c r="J254" t="str">
        <f>IFERROR(INDEX(CHOOSE({1,2,3,4}, DAY(XT!U254), DAY(XT!Y254), DAY(XT!AC254), DAY(XT!AG254)), MATCH(1, INDEX(--(MONTH(CHOOSE({1,2,3,4}, XT!U254,XT!Y254,XT!AC254,XT!AG254))=3), 0), 0)), "")</f>
        <v/>
      </c>
      <c r="K254" s="51" t="str">
        <f>IF(XT!$P254&gt;0,J254,"")</f>
        <v/>
      </c>
      <c r="L254" s="51" t="str">
        <f>IF(XT!$P254=0,J254,"")</f>
        <v/>
      </c>
      <c r="M254">
        <f>SUMPRODUCT((MONTH(CHOOSE({1,2,3,4},XT!U254,XT!Y254,XT!AC254,XT!AG254))=4)*(CHOOSE({1,2,3,4},XT!X254,XT!AB254,XT!AF254,XT!AJ254)))</f>
        <v>0</v>
      </c>
      <c r="N254" t="str">
        <f>IFERROR(INDEX(CHOOSE({1,2,3,4}, DAY(XT!U254), DAY(XT!Y254), DAY(XT!AC254), DAY(XT!AG254)), MATCH(1, INDEX(--(MONTH(CHOOSE({1,2,3,4}, XT!U254,XT!Y254,XT!AC254,XT!AG254))=4), 0), 0)), "")</f>
        <v/>
      </c>
      <c r="O254" s="51" t="str">
        <f>IF(XT!$P254&gt;0,N254,"")</f>
        <v/>
      </c>
      <c r="P254" s="51" t="str">
        <f>IF(XT!$P254=0,N254,"")</f>
        <v/>
      </c>
      <c r="Q254">
        <f>SUMPRODUCT((MONTH(CHOOSE({1,2,3,4},XT!U254,XT!Y254,XT!AC254,XT!AG254))=5)*(CHOOSE({1,2,3,4},XT!X254,XT!AB254,XT!AF254,XT!AJ254)))</f>
        <v>0</v>
      </c>
      <c r="R254" t="str">
        <f>IFERROR(INDEX(CHOOSE({1,2,3,4}, DAY(XT!U254), DAY(XT!Y254), DAY(XT!AC254), DAY(XT!AG254)), MATCH(1, INDEX(--(MONTH(CHOOSE({1,2,3,4}, XT!U254,XT!Y254,XT!AC254,XT!AG254))=5), 0), 0)), "")</f>
        <v/>
      </c>
      <c r="S254" s="51" t="str">
        <f>IF(XT!$P254&gt;0,R254,"")</f>
        <v/>
      </c>
      <c r="T254" s="51" t="str">
        <f>IF(XT!$P254=0,R254,"")</f>
        <v/>
      </c>
      <c r="U254">
        <f>SUMPRODUCT((MONTH(CHOOSE({1,2,3,4},XT!U254,XT!Y254,XT!AC254,XT!AG254))=6)*(CHOOSE({1,2,3,4},XT!X254,XT!AB254,XT!AF254,XT!AJ254)))</f>
        <v>0</v>
      </c>
      <c r="V254" t="str">
        <f>IFERROR(INDEX(CHOOSE({1,2,3,4}, DAY(XT!U254), DAY(XT!Y254), DAY(XT!AC254), DAY(XT!AG254)), MATCH(1, INDEX(--(MONTH(CHOOSE({1,2,3,4}, XT!U254,XT!Y254,XT!AC254,XT!AG254))=6), 0), 0)), "")</f>
        <v/>
      </c>
      <c r="W254" s="51" t="str">
        <f>IF(XT!$P254&gt;0,V254,"")</f>
        <v/>
      </c>
      <c r="X254" s="51" t="str">
        <f>IF(XT!$P254=0,V254,"")</f>
        <v/>
      </c>
      <c r="Y254">
        <f>SUMPRODUCT((MONTH(CHOOSE({1,2,3,4},XT!U254,XT!Y254,XT!AC254,XT!AG254))=7)*(CHOOSE({1,2,3,4},XT!X254,XT!AB254,XT!AF254,XT!AJ254)))</f>
        <v>0</v>
      </c>
      <c r="Z254" t="str">
        <f>IFERROR(INDEX(CHOOSE({1,2,3,4}, DAY(XT!U254), DAY(XT!Y254), DAY(XT!AC254), DAY(XT!AG254)), MATCH(1, INDEX(--(MONTH(CHOOSE({1,2,3,4}, XT!U254,XT!Y254,XT!AC254,XT!AG254))=7), 0), 0)), "")</f>
        <v/>
      </c>
      <c r="AA254" s="51" t="str">
        <f>IF(XT!$P254&gt;0,Z254,"")</f>
        <v/>
      </c>
      <c r="AB254" s="51" t="str">
        <f>IF(XT!$P254=0,Z254,"")</f>
        <v/>
      </c>
      <c r="AC254">
        <f>SUMPRODUCT((MONTH(CHOOSE({1,2,3,4},XT!U254,XT!Y254,XT!AC254,XT!AG254))=8)*(CHOOSE({1,2,3,4},XT!X254,XT!AB254,XT!AF254,XT!AJ254)))</f>
        <v>0</v>
      </c>
      <c r="AD254" t="str">
        <f>IFERROR(INDEX(CHOOSE({1,2,3,4}, DAY(XT!U254), DAY(XT!Y254), DAY(XT!AC254), DAY(XT!AG254)), MATCH(1, INDEX(--(MONTH(CHOOSE({1,2,3,4}, XT!U254,XT!Y254,XT!AC254,XT!AG254))=8), 0), 0)), "")</f>
        <v/>
      </c>
      <c r="AE254" s="51" t="str">
        <f>IF(XT!$P254&gt;0,AD254,"")</f>
        <v/>
      </c>
      <c r="AF254" s="51" t="str">
        <f>IF(XT!$P254=0,AD254,"")</f>
        <v/>
      </c>
      <c r="AG254">
        <f>SUMPRODUCT((MONTH(CHOOSE({1,2,3,4},XT!U254,XT!Y254,XT!AC254,XT!AG254))=9)*(CHOOSE({1,2,3,4},XT!X254,XT!AB254,XT!AF254,XT!AJ254)))</f>
        <v>0</v>
      </c>
      <c r="AH254" t="str">
        <f>IFERROR(INDEX(CHOOSE({1,2,3,4}, DAY(XT!U254), DAY(XT!Y254), DAY(XT!AC254), DAY(XT!AG254)), MATCH(1, INDEX(--(MONTH(CHOOSE({1,2,3,4}, XT!U254,XT!Y254,XT!AC254,XT!AG254))=9), 0), 0)), "")</f>
        <v/>
      </c>
      <c r="AI254" s="51" t="str">
        <f>IF(XT!$P254&gt;0,AH254,"")</f>
        <v/>
      </c>
      <c r="AJ254" s="51" t="str">
        <f>IF(XT!$P254=0,AH254,"")</f>
        <v/>
      </c>
      <c r="AK254">
        <f>SUMPRODUCT((MONTH(CHOOSE({1,2,3,4},XT!U254,XT!Y254,XT!AC254,XT!AG254))=10)*(CHOOSE({1,2,3,4},XT!X254,XT!AB254,XT!AF254,XT!AJ254)))</f>
        <v>0</v>
      </c>
      <c r="AL254" t="str">
        <f>IFERROR(INDEX(CHOOSE({1,2,3,4}, DAY(XT!U254), DAY(XT!Y254), DAY(XT!AC254), DAY(XT!AG254)), MATCH(1, INDEX(--(MONTH(CHOOSE({1,2,3,4}, XT!U254,XT!Y254,XT!AC254,XT!AG254))=10), 0), 0)), "")</f>
        <v/>
      </c>
      <c r="AM254" s="51" t="str">
        <f>IF(XT!$P254&gt;0,AL254,"")</f>
        <v/>
      </c>
      <c r="AN254" s="51" t="str">
        <f>IF(XT!$P254=0,AL254,"")</f>
        <v/>
      </c>
      <c r="AO254">
        <f>SUMPRODUCT((MONTH(CHOOSE({1,2,3,4},XT!U254,XT!Y254,XT!AC254,XT!AG254))=11)*(CHOOSE({1,2,3,4},XT!X254,XT!AB254,XT!AF254,XT!AJ254)))</f>
        <v>0</v>
      </c>
      <c r="AP254" t="str">
        <f>IFERROR(INDEX(CHOOSE({1,2,3,4}, DAY(XT!U254), DAY(XT!Y254), DAY(XT!AC254), DAY(XT!AG254)), MATCH(1, INDEX(--(MONTH(CHOOSE({1,2,3,4}, XT!U254,XT!Y254,XT!AC254,XT!AG254))=11), 0), 0)), "")</f>
        <v/>
      </c>
      <c r="AQ254" s="51" t="str">
        <f>IF(XT!$P254&gt;0,AP254,"")</f>
        <v/>
      </c>
      <c r="AR254" s="51" t="str">
        <f>IF(XT!$P254=0,AP254,"")</f>
        <v/>
      </c>
      <c r="AS254">
        <f>SUMPRODUCT((MONTH(CHOOSE({1,2,3,4},XT!U254,XT!Y254,XT!AC254,XT!AG254))=12)*(CHOOSE({1,2,3,4},XT!X254,XT!AB254,XT!AF254,XT!AJ254)))</f>
        <v>0</v>
      </c>
      <c r="AT254" t="str">
        <f>IFERROR(INDEX(CHOOSE({1,2,3,4}, DAY(XT!U254), DAY(XT!Y254), DAY(XT!AC254), DAY(XT!AG254)), MATCH(1, INDEX(--(MONTH(CHOOSE({1,2,3,4}, XT!U254,XT!Y254,XT!AC254,XT!AG254))=12), 0), 0)), "")</f>
        <v/>
      </c>
      <c r="AU254" s="51" t="str">
        <f>IF(XT!$P254&gt;0,AT254,"")</f>
        <v/>
      </c>
      <c r="AV254" s="51" t="str">
        <f>IF(XT!$P254=0,AT254,"")</f>
        <v/>
      </c>
    </row>
    <row r="255" spans="1:48">
      <c r="A255">
        <f>SUMPRODUCT((MONTH(CHOOSE({1,2,3,4},XT!U255,XT!Y255,XT!AC255,XT!AG255))=1)*(CHOOSE({1,2,3,4},XT!X255,XT!AB255,XT!AF255,XT!AJ255)))</f>
        <v>0</v>
      </c>
      <c r="B255">
        <f>IFERROR(INDEX(CHOOSE({1,2,3,4}, DAY(XT!U255), DAY(XT!Y255), DAY(XT!AC255), DAY(XT!AG255)), MATCH(1, INDEX(--(MONTH(CHOOSE({1,2,3,4}, XT!U255,XT!Y255,XT!AC255,XT!AG255))=1), 0), 0)), "")</f>
        <v>0</v>
      </c>
      <c r="C255" s="51" t="str">
        <f>IF(XT!$P255&gt;0,B255,"")</f>
        <v/>
      </c>
      <c r="D255" s="51">
        <f>IF(XT!$P255=0,B255,"")</f>
        <v>0</v>
      </c>
      <c r="E255">
        <f>SUMPRODUCT((MONTH(CHOOSE({1,2,3,4},XT!U255,XT!Y255,XT!AC255,XT!AG255))=2)*(CHOOSE({1,2,3,4},XT!X255,XT!AB255,XT!AF255,XT!AJ255)))</f>
        <v>0</v>
      </c>
      <c r="F255" t="str">
        <f>IFERROR(INDEX(CHOOSE({1,2,3,4}, DAY(XT!U255), DAY(XT!Y255), DAY(XT!AC255), DAY(XT!AG255)), MATCH(1, INDEX(--(MONTH(CHOOSE({1,2,3,4}, XT!U255,XT!Y255,XT!AC255,XT!AG255))=2), 0), 0)), "")</f>
        <v/>
      </c>
      <c r="G255" s="51" t="str">
        <f>IF(XT!$P255&gt;0,F255,"")</f>
        <v/>
      </c>
      <c r="H255" s="51" t="str">
        <f>IF(XT!$P255=0,F255,"")</f>
        <v/>
      </c>
      <c r="I255">
        <f>SUMPRODUCT((MONTH(CHOOSE({1,2,3,4},XT!U255,XT!Y255,XT!AC255,XT!AG255))=3)*(CHOOSE({1,2,3,4},XT!X255,XT!AB255,XT!AF255,XT!AJ255)))</f>
        <v>0</v>
      </c>
      <c r="J255" t="str">
        <f>IFERROR(INDEX(CHOOSE({1,2,3,4}, DAY(XT!U255), DAY(XT!Y255), DAY(XT!AC255), DAY(XT!AG255)), MATCH(1, INDEX(--(MONTH(CHOOSE({1,2,3,4}, XT!U255,XT!Y255,XT!AC255,XT!AG255))=3), 0), 0)), "")</f>
        <v/>
      </c>
      <c r="K255" s="51" t="str">
        <f>IF(XT!$P255&gt;0,J255,"")</f>
        <v/>
      </c>
      <c r="L255" s="51" t="str">
        <f>IF(XT!$P255=0,J255,"")</f>
        <v/>
      </c>
      <c r="M255">
        <f>SUMPRODUCT((MONTH(CHOOSE({1,2,3,4},XT!U255,XT!Y255,XT!AC255,XT!AG255))=4)*(CHOOSE({1,2,3,4},XT!X255,XT!AB255,XT!AF255,XT!AJ255)))</f>
        <v>0</v>
      </c>
      <c r="N255" t="str">
        <f>IFERROR(INDEX(CHOOSE({1,2,3,4}, DAY(XT!U255), DAY(XT!Y255), DAY(XT!AC255), DAY(XT!AG255)), MATCH(1, INDEX(--(MONTH(CHOOSE({1,2,3,4}, XT!U255,XT!Y255,XT!AC255,XT!AG255))=4), 0), 0)), "")</f>
        <v/>
      </c>
      <c r="O255" s="51" t="str">
        <f>IF(XT!$P255&gt;0,N255,"")</f>
        <v/>
      </c>
      <c r="P255" s="51" t="str">
        <f>IF(XT!$P255=0,N255,"")</f>
        <v/>
      </c>
      <c r="Q255">
        <f>SUMPRODUCT((MONTH(CHOOSE({1,2,3,4},XT!U255,XT!Y255,XT!AC255,XT!AG255))=5)*(CHOOSE({1,2,3,4},XT!X255,XT!AB255,XT!AF255,XT!AJ255)))</f>
        <v>0</v>
      </c>
      <c r="R255" t="str">
        <f>IFERROR(INDEX(CHOOSE({1,2,3,4}, DAY(XT!U255), DAY(XT!Y255), DAY(XT!AC255), DAY(XT!AG255)), MATCH(1, INDEX(--(MONTH(CHOOSE({1,2,3,4}, XT!U255,XT!Y255,XT!AC255,XT!AG255))=5), 0), 0)), "")</f>
        <v/>
      </c>
      <c r="S255" s="51" t="str">
        <f>IF(XT!$P255&gt;0,R255,"")</f>
        <v/>
      </c>
      <c r="T255" s="51" t="str">
        <f>IF(XT!$P255=0,R255,"")</f>
        <v/>
      </c>
      <c r="U255">
        <f>SUMPRODUCT((MONTH(CHOOSE({1,2,3,4},XT!U255,XT!Y255,XT!AC255,XT!AG255))=6)*(CHOOSE({1,2,3,4},XT!X255,XT!AB255,XT!AF255,XT!AJ255)))</f>
        <v>0</v>
      </c>
      <c r="V255" t="str">
        <f>IFERROR(INDEX(CHOOSE({1,2,3,4}, DAY(XT!U255), DAY(XT!Y255), DAY(XT!AC255), DAY(XT!AG255)), MATCH(1, INDEX(--(MONTH(CHOOSE({1,2,3,4}, XT!U255,XT!Y255,XT!AC255,XT!AG255))=6), 0), 0)), "")</f>
        <v/>
      </c>
      <c r="W255" s="51" t="str">
        <f>IF(XT!$P255&gt;0,V255,"")</f>
        <v/>
      </c>
      <c r="X255" s="51" t="str">
        <f>IF(XT!$P255=0,V255,"")</f>
        <v/>
      </c>
      <c r="Y255">
        <f>SUMPRODUCT((MONTH(CHOOSE({1,2,3,4},XT!U255,XT!Y255,XT!AC255,XT!AG255))=7)*(CHOOSE({1,2,3,4},XT!X255,XT!AB255,XT!AF255,XT!AJ255)))</f>
        <v>0</v>
      </c>
      <c r="Z255" t="str">
        <f>IFERROR(INDEX(CHOOSE({1,2,3,4}, DAY(XT!U255), DAY(XT!Y255), DAY(XT!AC255), DAY(XT!AG255)), MATCH(1, INDEX(--(MONTH(CHOOSE({1,2,3,4}, XT!U255,XT!Y255,XT!AC255,XT!AG255))=7), 0), 0)), "")</f>
        <v/>
      </c>
      <c r="AA255" s="51" t="str">
        <f>IF(XT!$P255&gt;0,Z255,"")</f>
        <v/>
      </c>
      <c r="AB255" s="51" t="str">
        <f>IF(XT!$P255=0,Z255,"")</f>
        <v/>
      </c>
      <c r="AC255">
        <f>SUMPRODUCT((MONTH(CHOOSE({1,2,3,4},XT!U255,XT!Y255,XT!AC255,XT!AG255))=8)*(CHOOSE({1,2,3,4},XT!X255,XT!AB255,XT!AF255,XT!AJ255)))</f>
        <v>0</v>
      </c>
      <c r="AD255" t="str">
        <f>IFERROR(INDEX(CHOOSE({1,2,3,4}, DAY(XT!U255), DAY(XT!Y255), DAY(XT!AC255), DAY(XT!AG255)), MATCH(1, INDEX(--(MONTH(CHOOSE({1,2,3,4}, XT!U255,XT!Y255,XT!AC255,XT!AG255))=8), 0), 0)), "")</f>
        <v/>
      </c>
      <c r="AE255" s="51" t="str">
        <f>IF(XT!$P255&gt;0,AD255,"")</f>
        <v/>
      </c>
      <c r="AF255" s="51" t="str">
        <f>IF(XT!$P255=0,AD255,"")</f>
        <v/>
      </c>
      <c r="AG255">
        <f>SUMPRODUCT((MONTH(CHOOSE({1,2,3,4},XT!U255,XT!Y255,XT!AC255,XT!AG255))=9)*(CHOOSE({1,2,3,4},XT!X255,XT!AB255,XT!AF255,XT!AJ255)))</f>
        <v>0</v>
      </c>
      <c r="AH255" t="str">
        <f>IFERROR(INDEX(CHOOSE({1,2,3,4}, DAY(XT!U255), DAY(XT!Y255), DAY(XT!AC255), DAY(XT!AG255)), MATCH(1, INDEX(--(MONTH(CHOOSE({1,2,3,4}, XT!U255,XT!Y255,XT!AC255,XT!AG255))=9), 0), 0)), "")</f>
        <v/>
      </c>
      <c r="AI255" s="51" t="str">
        <f>IF(XT!$P255&gt;0,AH255,"")</f>
        <v/>
      </c>
      <c r="AJ255" s="51" t="str">
        <f>IF(XT!$P255=0,AH255,"")</f>
        <v/>
      </c>
      <c r="AK255">
        <f>SUMPRODUCT((MONTH(CHOOSE({1,2,3,4},XT!U255,XT!Y255,XT!AC255,XT!AG255))=10)*(CHOOSE({1,2,3,4},XT!X255,XT!AB255,XT!AF255,XT!AJ255)))</f>
        <v>0</v>
      </c>
      <c r="AL255" t="str">
        <f>IFERROR(INDEX(CHOOSE({1,2,3,4}, DAY(XT!U255), DAY(XT!Y255), DAY(XT!AC255), DAY(XT!AG255)), MATCH(1, INDEX(--(MONTH(CHOOSE({1,2,3,4}, XT!U255,XT!Y255,XT!AC255,XT!AG255))=10), 0), 0)), "")</f>
        <v/>
      </c>
      <c r="AM255" s="51" t="str">
        <f>IF(XT!$P255&gt;0,AL255,"")</f>
        <v/>
      </c>
      <c r="AN255" s="51" t="str">
        <f>IF(XT!$P255=0,AL255,"")</f>
        <v/>
      </c>
      <c r="AO255">
        <f>SUMPRODUCT((MONTH(CHOOSE({1,2,3,4},XT!U255,XT!Y255,XT!AC255,XT!AG255))=11)*(CHOOSE({1,2,3,4},XT!X255,XT!AB255,XT!AF255,XT!AJ255)))</f>
        <v>0</v>
      </c>
      <c r="AP255" t="str">
        <f>IFERROR(INDEX(CHOOSE({1,2,3,4}, DAY(XT!U255), DAY(XT!Y255), DAY(XT!AC255), DAY(XT!AG255)), MATCH(1, INDEX(--(MONTH(CHOOSE({1,2,3,4}, XT!U255,XT!Y255,XT!AC255,XT!AG255))=11), 0), 0)), "")</f>
        <v/>
      </c>
      <c r="AQ255" s="51" t="str">
        <f>IF(XT!$P255&gt;0,AP255,"")</f>
        <v/>
      </c>
      <c r="AR255" s="51" t="str">
        <f>IF(XT!$P255=0,AP255,"")</f>
        <v/>
      </c>
      <c r="AS255">
        <f>SUMPRODUCT((MONTH(CHOOSE({1,2,3,4},XT!U255,XT!Y255,XT!AC255,XT!AG255))=12)*(CHOOSE({1,2,3,4},XT!X255,XT!AB255,XT!AF255,XT!AJ255)))</f>
        <v>0</v>
      </c>
      <c r="AT255" t="str">
        <f>IFERROR(INDEX(CHOOSE({1,2,3,4}, DAY(XT!U255), DAY(XT!Y255), DAY(XT!AC255), DAY(XT!AG255)), MATCH(1, INDEX(--(MONTH(CHOOSE({1,2,3,4}, XT!U255,XT!Y255,XT!AC255,XT!AG255))=12), 0), 0)), "")</f>
        <v/>
      </c>
      <c r="AU255" s="51" t="str">
        <f>IF(XT!$P255&gt;0,AT255,"")</f>
        <v/>
      </c>
      <c r="AV255" s="51" t="str">
        <f>IF(XT!$P255=0,AT255,"")</f>
        <v/>
      </c>
    </row>
    <row r="256" spans="1:48">
      <c r="A256">
        <f>SUMPRODUCT((MONTH(CHOOSE({1,2,3,4},XT!U256,XT!Y256,XT!AC256,XT!AG256))=1)*(CHOOSE({1,2,3,4},XT!X256,XT!AB256,XT!AF256,XT!AJ256)))</f>
        <v>0</v>
      </c>
      <c r="B256">
        <f>IFERROR(INDEX(CHOOSE({1,2,3,4}, DAY(XT!U256), DAY(XT!Y256), DAY(XT!AC256), DAY(XT!AG256)), MATCH(1, INDEX(--(MONTH(CHOOSE({1,2,3,4}, XT!U256,XT!Y256,XT!AC256,XT!AG256))=1), 0), 0)), "")</f>
        <v>0</v>
      </c>
      <c r="C256" s="51" t="str">
        <f>IF(XT!$P256&gt;0,B256,"")</f>
        <v/>
      </c>
      <c r="D256" s="51">
        <f>IF(XT!$P256=0,B256,"")</f>
        <v>0</v>
      </c>
      <c r="E256">
        <f>SUMPRODUCT((MONTH(CHOOSE({1,2,3,4},XT!U256,XT!Y256,XT!AC256,XT!AG256))=2)*(CHOOSE({1,2,3,4},XT!X256,XT!AB256,XT!AF256,XT!AJ256)))</f>
        <v>0</v>
      </c>
      <c r="F256" t="str">
        <f>IFERROR(INDEX(CHOOSE({1,2,3,4}, DAY(XT!U256), DAY(XT!Y256), DAY(XT!AC256), DAY(XT!AG256)), MATCH(1, INDEX(--(MONTH(CHOOSE({1,2,3,4}, XT!U256,XT!Y256,XT!AC256,XT!AG256))=2), 0), 0)), "")</f>
        <v/>
      </c>
      <c r="G256" s="51" t="str">
        <f>IF(XT!$P256&gt;0,F256,"")</f>
        <v/>
      </c>
      <c r="H256" s="51" t="str">
        <f>IF(XT!$P256=0,F256,"")</f>
        <v/>
      </c>
      <c r="I256">
        <f>SUMPRODUCT((MONTH(CHOOSE({1,2,3,4},XT!U256,XT!Y256,XT!AC256,XT!AG256))=3)*(CHOOSE({1,2,3,4},XT!X256,XT!AB256,XT!AF256,XT!AJ256)))</f>
        <v>0</v>
      </c>
      <c r="J256" t="str">
        <f>IFERROR(INDEX(CHOOSE({1,2,3,4}, DAY(XT!U256), DAY(XT!Y256), DAY(XT!AC256), DAY(XT!AG256)), MATCH(1, INDEX(--(MONTH(CHOOSE({1,2,3,4}, XT!U256,XT!Y256,XT!AC256,XT!AG256))=3), 0), 0)), "")</f>
        <v/>
      </c>
      <c r="K256" s="51" t="str">
        <f>IF(XT!$P256&gt;0,J256,"")</f>
        <v/>
      </c>
      <c r="L256" s="51" t="str">
        <f>IF(XT!$P256=0,J256,"")</f>
        <v/>
      </c>
      <c r="M256">
        <f>SUMPRODUCT((MONTH(CHOOSE({1,2,3,4},XT!U256,XT!Y256,XT!AC256,XT!AG256))=4)*(CHOOSE({1,2,3,4},XT!X256,XT!AB256,XT!AF256,XT!AJ256)))</f>
        <v>0</v>
      </c>
      <c r="N256" t="str">
        <f>IFERROR(INDEX(CHOOSE({1,2,3,4}, DAY(XT!U256), DAY(XT!Y256), DAY(XT!AC256), DAY(XT!AG256)), MATCH(1, INDEX(--(MONTH(CHOOSE({1,2,3,4}, XT!U256,XT!Y256,XT!AC256,XT!AG256))=4), 0), 0)), "")</f>
        <v/>
      </c>
      <c r="O256" s="51" t="str">
        <f>IF(XT!$P256&gt;0,N256,"")</f>
        <v/>
      </c>
      <c r="P256" s="51" t="str">
        <f>IF(XT!$P256=0,N256,"")</f>
        <v/>
      </c>
      <c r="Q256">
        <f>SUMPRODUCT((MONTH(CHOOSE({1,2,3,4},XT!U256,XT!Y256,XT!AC256,XT!AG256))=5)*(CHOOSE({1,2,3,4},XT!X256,XT!AB256,XT!AF256,XT!AJ256)))</f>
        <v>0</v>
      </c>
      <c r="R256" t="str">
        <f>IFERROR(INDEX(CHOOSE({1,2,3,4}, DAY(XT!U256), DAY(XT!Y256), DAY(XT!AC256), DAY(XT!AG256)), MATCH(1, INDEX(--(MONTH(CHOOSE({1,2,3,4}, XT!U256,XT!Y256,XT!AC256,XT!AG256))=5), 0), 0)), "")</f>
        <v/>
      </c>
      <c r="S256" s="51" t="str">
        <f>IF(XT!$P256&gt;0,R256,"")</f>
        <v/>
      </c>
      <c r="T256" s="51" t="str">
        <f>IF(XT!$P256=0,R256,"")</f>
        <v/>
      </c>
      <c r="U256">
        <f>SUMPRODUCT((MONTH(CHOOSE({1,2,3,4},XT!U256,XT!Y256,XT!AC256,XT!AG256))=6)*(CHOOSE({1,2,3,4},XT!X256,XT!AB256,XT!AF256,XT!AJ256)))</f>
        <v>0</v>
      </c>
      <c r="V256" t="str">
        <f>IFERROR(INDEX(CHOOSE({1,2,3,4}, DAY(XT!U256), DAY(XT!Y256), DAY(XT!AC256), DAY(XT!AG256)), MATCH(1, INDEX(--(MONTH(CHOOSE({1,2,3,4}, XT!U256,XT!Y256,XT!AC256,XT!AG256))=6), 0), 0)), "")</f>
        <v/>
      </c>
      <c r="W256" s="51" t="str">
        <f>IF(XT!$P256&gt;0,V256,"")</f>
        <v/>
      </c>
      <c r="X256" s="51" t="str">
        <f>IF(XT!$P256=0,V256,"")</f>
        <v/>
      </c>
      <c r="Y256">
        <f>SUMPRODUCT((MONTH(CHOOSE({1,2,3,4},XT!U256,XT!Y256,XT!AC256,XT!AG256))=7)*(CHOOSE({1,2,3,4},XT!X256,XT!AB256,XT!AF256,XT!AJ256)))</f>
        <v>0</v>
      </c>
      <c r="Z256" t="str">
        <f>IFERROR(INDEX(CHOOSE({1,2,3,4}, DAY(XT!U256), DAY(XT!Y256), DAY(XT!AC256), DAY(XT!AG256)), MATCH(1, INDEX(--(MONTH(CHOOSE({1,2,3,4}, XT!U256,XT!Y256,XT!AC256,XT!AG256))=7), 0), 0)), "")</f>
        <v/>
      </c>
      <c r="AA256" s="51" t="str">
        <f>IF(XT!$P256&gt;0,Z256,"")</f>
        <v/>
      </c>
      <c r="AB256" s="51" t="str">
        <f>IF(XT!$P256=0,Z256,"")</f>
        <v/>
      </c>
      <c r="AC256">
        <f>SUMPRODUCT((MONTH(CHOOSE({1,2,3,4},XT!U256,XT!Y256,XT!AC256,XT!AG256))=8)*(CHOOSE({1,2,3,4},XT!X256,XT!AB256,XT!AF256,XT!AJ256)))</f>
        <v>0</v>
      </c>
      <c r="AD256" t="str">
        <f>IFERROR(INDEX(CHOOSE({1,2,3,4}, DAY(XT!U256), DAY(XT!Y256), DAY(XT!AC256), DAY(XT!AG256)), MATCH(1, INDEX(--(MONTH(CHOOSE({1,2,3,4}, XT!U256,XT!Y256,XT!AC256,XT!AG256))=8), 0), 0)), "")</f>
        <v/>
      </c>
      <c r="AE256" s="51" t="str">
        <f>IF(XT!$P256&gt;0,AD256,"")</f>
        <v/>
      </c>
      <c r="AF256" s="51" t="str">
        <f>IF(XT!$P256=0,AD256,"")</f>
        <v/>
      </c>
      <c r="AG256">
        <f>SUMPRODUCT((MONTH(CHOOSE({1,2,3,4},XT!U256,XT!Y256,XT!AC256,XT!AG256))=9)*(CHOOSE({1,2,3,4},XT!X256,XT!AB256,XT!AF256,XT!AJ256)))</f>
        <v>0</v>
      </c>
      <c r="AH256" t="str">
        <f>IFERROR(INDEX(CHOOSE({1,2,3,4}, DAY(XT!U256), DAY(XT!Y256), DAY(XT!AC256), DAY(XT!AG256)), MATCH(1, INDEX(--(MONTH(CHOOSE({1,2,3,4}, XT!U256,XT!Y256,XT!AC256,XT!AG256))=9), 0), 0)), "")</f>
        <v/>
      </c>
      <c r="AI256" s="51" t="str">
        <f>IF(XT!$P256&gt;0,AH256,"")</f>
        <v/>
      </c>
      <c r="AJ256" s="51" t="str">
        <f>IF(XT!$P256=0,AH256,"")</f>
        <v/>
      </c>
      <c r="AK256">
        <f>SUMPRODUCT((MONTH(CHOOSE({1,2,3,4},XT!U256,XT!Y256,XT!AC256,XT!AG256))=10)*(CHOOSE({1,2,3,4},XT!X256,XT!AB256,XT!AF256,XT!AJ256)))</f>
        <v>0</v>
      </c>
      <c r="AL256" t="str">
        <f>IFERROR(INDEX(CHOOSE({1,2,3,4}, DAY(XT!U256), DAY(XT!Y256), DAY(XT!AC256), DAY(XT!AG256)), MATCH(1, INDEX(--(MONTH(CHOOSE({1,2,3,4}, XT!U256,XT!Y256,XT!AC256,XT!AG256))=10), 0), 0)), "")</f>
        <v/>
      </c>
      <c r="AM256" s="51" t="str">
        <f>IF(XT!$P256&gt;0,AL256,"")</f>
        <v/>
      </c>
      <c r="AN256" s="51" t="str">
        <f>IF(XT!$P256=0,AL256,"")</f>
        <v/>
      </c>
      <c r="AO256">
        <f>SUMPRODUCT((MONTH(CHOOSE({1,2,3,4},XT!U256,XT!Y256,XT!AC256,XT!AG256))=11)*(CHOOSE({1,2,3,4},XT!X256,XT!AB256,XT!AF256,XT!AJ256)))</f>
        <v>0</v>
      </c>
      <c r="AP256" t="str">
        <f>IFERROR(INDEX(CHOOSE({1,2,3,4}, DAY(XT!U256), DAY(XT!Y256), DAY(XT!AC256), DAY(XT!AG256)), MATCH(1, INDEX(--(MONTH(CHOOSE({1,2,3,4}, XT!U256,XT!Y256,XT!AC256,XT!AG256))=11), 0), 0)), "")</f>
        <v/>
      </c>
      <c r="AQ256" s="51" t="str">
        <f>IF(XT!$P256&gt;0,AP256,"")</f>
        <v/>
      </c>
      <c r="AR256" s="51" t="str">
        <f>IF(XT!$P256=0,AP256,"")</f>
        <v/>
      </c>
      <c r="AS256">
        <f>SUMPRODUCT((MONTH(CHOOSE({1,2,3,4},XT!U256,XT!Y256,XT!AC256,XT!AG256))=12)*(CHOOSE({1,2,3,4},XT!X256,XT!AB256,XT!AF256,XT!AJ256)))</f>
        <v>0</v>
      </c>
      <c r="AT256" t="str">
        <f>IFERROR(INDEX(CHOOSE({1,2,3,4}, DAY(XT!U256), DAY(XT!Y256), DAY(XT!AC256), DAY(XT!AG256)), MATCH(1, INDEX(--(MONTH(CHOOSE({1,2,3,4}, XT!U256,XT!Y256,XT!AC256,XT!AG256))=12), 0), 0)), "")</f>
        <v/>
      </c>
      <c r="AU256" s="51" t="str">
        <f>IF(XT!$P256&gt;0,AT256,"")</f>
        <v/>
      </c>
      <c r="AV256" s="51" t="str">
        <f>IF(XT!$P256=0,AT256,"")</f>
        <v/>
      </c>
    </row>
    <row r="257" spans="1:48">
      <c r="A257">
        <f>SUMPRODUCT((MONTH(CHOOSE({1,2,3,4},XT!U257,XT!Y257,XT!AC257,XT!AG257))=1)*(CHOOSE({1,2,3,4},XT!X257,XT!AB257,XT!AF257,XT!AJ257)))</f>
        <v>0</v>
      </c>
      <c r="B257">
        <f>IFERROR(INDEX(CHOOSE({1,2,3,4}, DAY(XT!U257), DAY(XT!Y257), DAY(XT!AC257), DAY(XT!AG257)), MATCH(1, INDEX(--(MONTH(CHOOSE({1,2,3,4}, XT!U257,XT!Y257,XT!AC257,XT!AG257))=1), 0), 0)), "")</f>
        <v>0</v>
      </c>
      <c r="C257" s="51" t="str">
        <f>IF(XT!$P257&gt;0,B257,"")</f>
        <v/>
      </c>
      <c r="D257" s="51">
        <f>IF(XT!$P257=0,B257,"")</f>
        <v>0</v>
      </c>
      <c r="E257">
        <f>SUMPRODUCT((MONTH(CHOOSE({1,2,3,4},XT!U257,XT!Y257,XT!AC257,XT!AG257))=2)*(CHOOSE({1,2,3,4},XT!X257,XT!AB257,XT!AF257,XT!AJ257)))</f>
        <v>0</v>
      </c>
      <c r="F257" t="str">
        <f>IFERROR(INDEX(CHOOSE({1,2,3,4}, DAY(XT!U257), DAY(XT!Y257), DAY(XT!AC257), DAY(XT!AG257)), MATCH(1, INDEX(--(MONTH(CHOOSE({1,2,3,4}, XT!U257,XT!Y257,XT!AC257,XT!AG257))=2), 0), 0)), "")</f>
        <v/>
      </c>
      <c r="G257" s="51" t="str">
        <f>IF(XT!$P257&gt;0,F257,"")</f>
        <v/>
      </c>
      <c r="H257" s="51" t="str">
        <f>IF(XT!$P257=0,F257,"")</f>
        <v/>
      </c>
      <c r="I257">
        <f>SUMPRODUCT((MONTH(CHOOSE({1,2,3,4},XT!U257,XT!Y257,XT!AC257,XT!AG257))=3)*(CHOOSE({1,2,3,4},XT!X257,XT!AB257,XT!AF257,XT!AJ257)))</f>
        <v>0</v>
      </c>
      <c r="J257" t="str">
        <f>IFERROR(INDEX(CHOOSE({1,2,3,4}, DAY(XT!U257), DAY(XT!Y257), DAY(XT!AC257), DAY(XT!AG257)), MATCH(1, INDEX(--(MONTH(CHOOSE({1,2,3,4}, XT!U257,XT!Y257,XT!AC257,XT!AG257))=3), 0), 0)), "")</f>
        <v/>
      </c>
      <c r="K257" s="51" t="str">
        <f>IF(XT!$P257&gt;0,J257,"")</f>
        <v/>
      </c>
      <c r="L257" s="51" t="str">
        <f>IF(XT!$P257=0,J257,"")</f>
        <v/>
      </c>
      <c r="M257">
        <f>SUMPRODUCT((MONTH(CHOOSE({1,2,3,4},XT!U257,XT!Y257,XT!AC257,XT!AG257))=4)*(CHOOSE({1,2,3,4},XT!X257,XT!AB257,XT!AF257,XT!AJ257)))</f>
        <v>0</v>
      </c>
      <c r="N257" t="str">
        <f>IFERROR(INDEX(CHOOSE({1,2,3,4}, DAY(XT!U257), DAY(XT!Y257), DAY(XT!AC257), DAY(XT!AG257)), MATCH(1, INDEX(--(MONTH(CHOOSE({1,2,3,4}, XT!U257,XT!Y257,XT!AC257,XT!AG257))=4), 0), 0)), "")</f>
        <v/>
      </c>
      <c r="O257" s="51" t="str">
        <f>IF(XT!$P257&gt;0,N257,"")</f>
        <v/>
      </c>
      <c r="P257" s="51" t="str">
        <f>IF(XT!$P257=0,N257,"")</f>
        <v/>
      </c>
      <c r="Q257">
        <f>SUMPRODUCT((MONTH(CHOOSE({1,2,3,4},XT!U257,XT!Y257,XT!AC257,XT!AG257))=5)*(CHOOSE({1,2,3,4},XT!X257,XT!AB257,XT!AF257,XT!AJ257)))</f>
        <v>0</v>
      </c>
      <c r="R257" t="str">
        <f>IFERROR(INDEX(CHOOSE({1,2,3,4}, DAY(XT!U257), DAY(XT!Y257), DAY(XT!AC257), DAY(XT!AG257)), MATCH(1, INDEX(--(MONTH(CHOOSE({1,2,3,4}, XT!U257,XT!Y257,XT!AC257,XT!AG257))=5), 0), 0)), "")</f>
        <v/>
      </c>
      <c r="S257" s="51" t="str">
        <f>IF(XT!$P257&gt;0,R257,"")</f>
        <v/>
      </c>
      <c r="T257" s="51" t="str">
        <f>IF(XT!$P257=0,R257,"")</f>
        <v/>
      </c>
      <c r="U257">
        <f>SUMPRODUCT((MONTH(CHOOSE({1,2,3,4},XT!U257,XT!Y257,XT!AC257,XT!AG257))=6)*(CHOOSE({1,2,3,4},XT!X257,XT!AB257,XT!AF257,XT!AJ257)))</f>
        <v>0</v>
      </c>
      <c r="V257" t="str">
        <f>IFERROR(INDEX(CHOOSE({1,2,3,4}, DAY(XT!U257), DAY(XT!Y257), DAY(XT!AC257), DAY(XT!AG257)), MATCH(1, INDEX(--(MONTH(CHOOSE({1,2,3,4}, XT!U257,XT!Y257,XT!AC257,XT!AG257))=6), 0), 0)), "")</f>
        <v/>
      </c>
      <c r="W257" s="51" t="str">
        <f>IF(XT!$P257&gt;0,V257,"")</f>
        <v/>
      </c>
      <c r="X257" s="51" t="str">
        <f>IF(XT!$P257=0,V257,"")</f>
        <v/>
      </c>
      <c r="Y257">
        <f>SUMPRODUCT((MONTH(CHOOSE({1,2,3,4},XT!U257,XT!Y257,XT!AC257,XT!AG257))=7)*(CHOOSE({1,2,3,4},XT!X257,XT!AB257,XT!AF257,XT!AJ257)))</f>
        <v>0</v>
      </c>
      <c r="Z257" t="str">
        <f>IFERROR(INDEX(CHOOSE({1,2,3,4}, DAY(XT!U257), DAY(XT!Y257), DAY(XT!AC257), DAY(XT!AG257)), MATCH(1, INDEX(--(MONTH(CHOOSE({1,2,3,4}, XT!U257,XT!Y257,XT!AC257,XT!AG257))=7), 0), 0)), "")</f>
        <v/>
      </c>
      <c r="AA257" s="51" t="str">
        <f>IF(XT!$P257&gt;0,Z257,"")</f>
        <v/>
      </c>
      <c r="AB257" s="51" t="str">
        <f>IF(XT!$P257=0,Z257,"")</f>
        <v/>
      </c>
      <c r="AC257">
        <f>SUMPRODUCT((MONTH(CHOOSE({1,2,3,4},XT!U257,XT!Y257,XT!AC257,XT!AG257))=8)*(CHOOSE({1,2,3,4},XT!X257,XT!AB257,XT!AF257,XT!AJ257)))</f>
        <v>0</v>
      </c>
      <c r="AD257" t="str">
        <f>IFERROR(INDEX(CHOOSE({1,2,3,4}, DAY(XT!U257), DAY(XT!Y257), DAY(XT!AC257), DAY(XT!AG257)), MATCH(1, INDEX(--(MONTH(CHOOSE({1,2,3,4}, XT!U257,XT!Y257,XT!AC257,XT!AG257))=8), 0), 0)), "")</f>
        <v/>
      </c>
      <c r="AE257" s="51" t="str">
        <f>IF(XT!$P257&gt;0,AD257,"")</f>
        <v/>
      </c>
      <c r="AF257" s="51" t="str">
        <f>IF(XT!$P257=0,AD257,"")</f>
        <v/>
      </c>
      <c r="AG257">
        <f>SUMPRODUCT((MONTH(CHOOSE({1,2,3,4},XT!U257,XT!Y257,XT!AC257,XT!AG257))=9)*(CHOOSE({1,2,3,4},XT!X257,XT!AB257,XT!AF257,XT!AJ257)))</f>
        <v>0</v>
      </c>
      <c r="AH257" t="str">
        <f>IFERROR(INDEX(CHOOSE({1,2,3,4}, DAY(XT!U257), DAY(XT!Y257), DAY(XT!AC257), DAY(XT!AG257)), MATCH(1, INDEX(--(MONTH(CHOOSE({1,2,3,4}, XT!U257,XT!Y257,XT!AC257,XT!AG257))=9), 0), 0)), "")</f>
        <v/>
      </c>
      <c r="AI257" s="51" t="str">
        <f>IF(XT!$P257&gt;0,AH257,"")</f>
        <v/>
      </c>
      <c r="AJ257" s="51" t="str">
        <f>IF(XT!$P257=0,AH257,"")</f>
        <v/>
      </c>
      <c r="AK257">
        <f>SUMPRODUCT((MONTH(CHOOSE({1,2,3,4},XT!U257,XT!Y257,XT!AC257,XT!AG257))=10)*(CHOOSE({1,2,3,4},XT!X257,XT!AB257,XT!AF257,XT!AJ257)))</f>
        <v>0</v>
      </c>
      <c r="AL257" t="str">
        <f>IFERROR(INDEX(CHOOSE({1,2,3,4}, DAY(XT!U257), DAY(XT!Y257), DAY(XT!AC257), DAY(XT!AG257)), MATCH(1, INDEX(--(MONTH(CHOOSE({1,2,3,4}, XT!U257,XT!Y257,XT!AC257,XT!AG257))=10), 0), 0)), "")</f>
        <v/>
      </c>
      <c r="AM257" s="51" t="str">
        <f>IF(XT!$P257&gt;0,AL257,"")</f>
        <v/>
      </c>
      <c r="AN257" s="51" t="str">
        <f>IF(XT!$P257=0,AL257,"")</f>
        <v/>
      </c>
      <c r="AO257">
        <f>SUMPRODUCT((MONTH(CHOOSE({1,2,3,4},XT!U257,XT!Y257,XT!AC257,XT!AG257))=11)*(CHOOSE({1,2,3,4},XT!X257,XT!AB257,XT!AF257,XT!AJ257)))</f>
        <v>0</v>
      </c>
      <c r="AP257" t="str">
        <f>IFERROR(INDEX(CHOOSE({1,2,3,4}, DAY(XT!U257), DAY(XT!Y257), DAY(XT!AC257), DAY(XT!AG257)), MATCH(1, INDEX(--(MONTH(CHOOSE({1,2,3,4}, XT!U257,XT!Y257,XT!AC257,XT!AG257))=11), 0), 0)), "")</f>
        <v/>
      </c>
      <c r="AQ257" s="51" t="str">
        <f>IF(XT!$P257&gt;0,AP257,"")</f>
        <v/>
      </c>
      <c r="AR257" s="51" t="str">
        <f>IF(XT!$P257=0,AP257,"")</f>
        <v/>
      </c>
      <c r="AS257">
        <f>SUMPRODUCT((MONTH(CHOOSE({1,2,3,4},XT!U257,XT!Y257,XT!AC257,XT!AG257))=12)*(CHOOSE({1,2,3,4},XT!X257,XT!AB257,XT!AF257,XT!AJ257)))</f>
        <v>0</v>
      </c>
      <c r="AT257" t="str">
        <f>IFERROR(INDEX(CHOOSE({1,2,3,4}, DAY(XT!U257), DAY(XT!Y257), DAY(XT!AC257), DAY(XT!AG257)), MATCH(1, INDEX(--(MONTH(CHOOSE({1,2,3,4}, XT!U257,XT!Y257,XT!AC257,XT!AG257))=12), 0), 0)), "")</f>
        <v/>
      </c>
      <c r="AU257" s="51" t="str">
        <f>IF(XT!$P257&gt;0,AT257,"")</f>
        <v/>
      </c>
      <c r="AV257" s="51" t="str">
        <f>IF(XT!$P257=0,AT257,"")</f>
        <v/>
      </c>
    </row>
    <row r="258" spans="1:48">
      <c r="A258">
        <f>SUMPRODUCT((MONTH(CHOOSE({1,2,3,4},XT!U258,XT!Y258,XT!AC258,XT!AG258))=1)*(CHOOSE({1,2,3,4},XT!X258,XT!AB258,XT!AF258,XT!AJ258)))</f>
        <v>0</v>
      </c>
      <c r="B258">
        <f>IFERROR(INDEX(CHOOSE({1,2,3,4}, DAY(XT!U258), DAY(XT!Y258), DAY(XT!AC258), DAY(XT!AG258)), MATCH(1, INDEX(--(MONTH(CHOOSE({1,2,3,4}, XT!U258,XT!Y258,XT!AC258,XT!AG258))=1), 0), 0)), "")</f>
        <v>0</v>
      </c>
      <c r="C258" s="51" t="str">
        <f>IF(XT!$P258&gt;0,B258,"")</f>
        <v/>
      </c>
      <c r="D258" s="51">
        <f>IF(XT!$P258=0,B258,"")</f>
        <v>0</v>
      </c>
      <c r="E258">
        <f>SUMPRODUCT((MONTH(CHOOSE({1,2,3,4},XT!U258,XT!Y258,XT!AC258,XT!AG258))=2)*(CHOOSE({1,2,3,4},XT!X258,XT!AB258,XT!AF258,XT!AJ258)))</f>
        <v>0</v>
      </c>
      <c r="F258" t="str">
        <f>IFERROR(INDEX(CHOOSE({1,2,3,4}, DAY(XT!U258), DAY(XT!Y258), DAY(XT!AC258), DAY(XT!AG258)), MATCH(1, INDEX(--(MONTH(CHOOSE({1,2,3,4}, XT!U258,XT!Y258,XT!AC258,XT!AG258))=2), 0), 0)), "")</f>
        <v/>
      </c>
      <c r="G258" s="51" t="str">
        <f>IF(XT!$P258&gt;0,F258,"")</f>
        <v/>
      </c>
      <c r="H258" s="51" t="str">
        <f>IF(XT!$P258=0,F258,"")</f>
        <v/>
      </c>
      <c r="I258">
        <f>SUMPRODUCT((MONTH(CHOOSE({1,2,3,4},XT!U258,XT!Y258,XT!AC258,XT!AG258))=3)*(CHOOSE({1,2,3,4},XT!X258,XT!AB258,XT!AF258,XT!AJ258)))</f>
        <v>0</v>
      </c>
      <c r="J258" t="str">
        <f>IFERROR(INDEX(CHOOSE({1,2,3,4}, DAY(XT!U258), DAY(XT!Y258), DAY(XT!AC258), DAY(XT!AG258)), MATCH(1, INDEX(--(MONTH(CHOOSE({1,2,3,4}, XT!U258,XT!Y258,XT!AC258,XT!AG258))=3), 0), 0)), "")</f>
        <v/>
      </c>
      <c r="K258" s="51" t="str">
        <f>IF(XT!$P258&gt;0,J258,"")</f>
        <v/>
      </c>
      <c r="L258" s="51" t="str">
        <f>IF(XT!$P258=0,J258,"")</f>
        <v/>
      </c>
      <c r="M258">
        <f>SUMPRODUCT((MONTH(CHOOSE({1,2,3,4},XT!U258,XT!Y258,XT!AC258,XT!AG258))=4)*(CHOOSE({1,2,3,4},XT!X258,XT!AB258,XT!AF258,XT!AJ258)))</f>
        <v>0</v>
      </c>
      <c r="N258" t="str">
        <f>IFERROR(INDEX(CHOOSE({1,2,3,4}, DAY(XT!U258), DAY(XT!Y258), DAY(XT!AC258), DAY(XT!AG258)), MATCH(1, INDEX(--(MONTH(CHOOSE({1,2,3,4}, XT!U258,XT!Y258,XT!AC258,XT!AG258))=4), 0), 0)), "")</f>
        <v/>
      </c>
      <c r="O258" s="51" t="str">
        <f>IF(XT!$P258&gt;0,N258,"")</f>
        <v/>
      </c>
      <c r="P258" s="51" t="str">
        <f>IF(XT!$P258=0,N258,"")</f>
        <v/>
      </c>
      <c r="Q258">
        <f>SUMPRODUCT((MONTH(CHOOSE({1,2,3,4},XT!U258,XT!Y258,XT!AC258,XT!AG258))=5)*(CHOOSE({1,2,3,4},XT!X258,XT!AB258,XT!AF258,XT!AJ258)))</f>
        <v>0</v>
      </c>
      <c r="R258" t="str">
        <f>IFERROR(INDEX(CHOOSE({1,2,3,4}, DAY(XT!U258), DAY(XT!Y258), DAY(XT!AC258), DAY(XT!AG258)), MATCH(1, INDEX(--(MONTH(CHOOSE({1,2,3,4}, XT!U258,XT!Y258,XT!AC258,XT!AG258))=5), 0), 0)), "")</f>
        <v/>
      </c>
      <c r="S258" s="51" t="str">
        <f>IF(XT!$P258&gt;0,R258,"")</f>
        <v/>
      </c>
      <c r="T258" s="51" t="str">
        <f>IF(XT!$P258=0,R258,"")</f>
        <v/>
      </c>
      <c r="U258">
        <f>SUMPRODUCT((MONTH(CHOOSE({1,2,3,4},XT!U258,XT!Y258,XT!AC258,XT!AG258))=6)*(CHOOSE({1,2,3,4},XT!X258,XT!AB258,XT!AF258,XT!AJ258)))</f>
        <v>0</v>
      </c>
      <c r="V258" t="str">
        <f>IFERROR(INDEX(CHOOSE({1,2,3,4}, DAY(XT!U258), DAY(XT!Y258), DAY(XT!AC258), DAY(XT!AG258)), MATCH(1, INDEX(--(MONTH(CHOOSE({1,2,3,4}, XT!U258,XT!Y258,XT!AC258,XT!AG258))=6), 0), 0)), "")</f>
        <v/>
      </c>
      <c r="W258" s="51" t="str">
        <f>IF(XT!$P258&gt;0,V258,"")</f>
        <v/>
      </c>
      <c r="X258" s="51" t="str">
        <f>IF(XT!$P258=0,V258,"")</f>
        <v/>
      </c>
      <c r="Y258">
        <f>SUMPRODUCT((MONTH(CHOOSE({1,2,3,4},XT!U258,XT!Y258,XT!AC258,XT!AG258))=7)*(CHOOSE({1,2,3,4},XT!X258,XT!AB258,XT!AF258,XT!AJ258)))</f>
        <v>0</v>
      </c>
      <c r="Z258" t="str">
        <f>IFERROR(INDEX(CHOOSE({1,2,3,4}, DAY(XT!U258), DAY(XT!Y258), DAY(XT!AC258), DAY(XT!AG258)), MATCH(1, INDEX(--(MONTH(CHOOSE({1,2,3,4}, XT!U258,XT!Y258,XT!AC258,XT!AG258))=7), 0), 0)), "")</f>
        <v/>
      </c>
      <c r="AA258" s="51" t="str">
        <f>IF(XT!$P258&gt;0,Z258,"")</f>
        <v/>
      </c>
      <c r="AB258" s="51" t="str">
        <f>IF(XT!$P258=0,Z258,"")</f>
        <v/>
      </c>
      <c r="AC258">
        <f>SUMPRODUCT((MONTH(CHOOSE({1,2,3,4},XT!U258,XT!Y258,XT!AC258,XT!AG258))=8)*(CHOOSE({1,2,3,4},XT!X258,XT!AB258,XT!AF258,XT!AJ258)))</f>
        <v>0</v>
      </c>
      <c r="AD258" t="str">
        <f>IFERROR(INDEX(CHOOSE({1,2,3,4}, DAY(XT!U258), DAY(XT!Y258), DAY(XT!AC258), DAY(XT!AG258)), MATCH(1, INDEX(--(MONTH(CHOOSE({1,2,3,4}, XT!U258,XT!Y258,XT!AC258,XT!AG258))=8), 0), 0)), "")</f>
        <v/>
      </c>
      <c r="AE258" s="51" t="str">
        <f>IF(XT!$P258&gt;0,AD258,"")</f>
        <v/>
      </c>
      <c r="AF258" s="51" t="str">
        <f>IF(XT!$P258=0,AD258,"")</f>
        <v/>
      </c>
      <c r="AG258">
        <f>SUMPRODUCT((MONTH(CHOOSE({1,2,3,4},XT!U258,XT!Y258,XT!AC258,XT!AG258))=9)*(CHOOSE({1,2,3,4},XT!X258,XT!AB258,XT!AF258,XT!AJ258)))</f>
        <v>0</v>
      </c>
      <c r="AH258" t="str">
        <f>IFERROR(INDEX(CHOOSE({1,2,3,4}, DAY(XT!U258), DAY(XT!Y258), DAY(XT!AC258), DAY(XT!AG258)), MATCH(1, INDEX(--(MONTH(CHOOSE({1,2,3,4}, XT!U258,XT!Y258,XT!AC258,XT!AG258))=9), 0), 0)), "")</f>
        <v/>
      </c>
      <c r="AI258" s="51" t="str">
        <f>IF(XT!$P258&gt;0,AH258,"")</f>
        <v/>
      </c>
      <c r="AJ258" s="51" t="str">
        <f>IF(XT!$P258=0,AH258,"")</f>
        <v/>
      </c>
      <c r="AK258">
        <f>SUMPRODUCT((MONTH(CHOOSE({1,2,3,4},XT!U258,XT!Y258,XT!AC258,XT!AG258))=10)*(CHOOSE({1,2,3,4},XT!X258,XT!AB258,XT!AF258,XT!AJ258)))</f>
        <v>0</v>
      </c>
      <c r="AL258" t="str">
        <f>IFERROR(INDEX(CHOOSE({1,2,3,4}, DAY(XT!U258), DAY(XT!Y258), DAY(XT!AC258), DAY(XT!AG258)), MATCH(1, INDEX(--(MONTH(CHOOSE({1,2,3,4}, XT!U258,XT!Y258,XT!AC258,XT!AG258))=10), 0), 0)), "")</f>
        <v/>
      </c>
      <c r="AM258" s="51" t="str">
        <f>IF(XT!$P258&gt;0,AL258,"")</f>
        <v/>
      </c>
      <c r="AN258" s="51" t="str">
        <f>IF(XT!$P258=0,AL258,"")</f>
        <v/>
      </c>
      <c r="AO258">
        <f>SUMPRODUCT((MONTH(CHOOSE({1,2,3,4},XT!U258,XT!Y258,XT!AC258,XT!AG258))=11)*(CHOOSE({1,2,3,4},XT!X258,XT!AB258,XT!AF258,XT!AJ258)))</f>
        <v>0</v>
      </c>
      <c r="AP258" t="str">
        <f>IFERROR(INDEX(CHOOSE({1,2,3,4}, DAY(XT!U258), DAY(XT!Y258), DAY(XT!AC258), DAY(XT!AG258)), MATCH(1, INDEX(--(MONTH(CHOOSE({1,2,3,4}, XT!U258,XT!Y258,XT!AC258,XT!AG258))=11), 0), 0)), "")</f>
        <v/>
      </c>
      <c r="AQ258" s="51" t="str">
        <f>IF(XT!$P258&gt;0,AP258,"")</f>
        <v/>
      </c>
      <c r="AR258" s="51" t="str">
        <f>IF(XT!$P258=0,AP258,"")</f>
        <v/>
      </c>
      <c r="AS258">
        <f>SUMPRODUCT((MONTH(CHOOSE({1,2,3,4},XT!U258,XT!Y258,XT!AC258,XT!AG258))=12)*(CHOOSE({1,2,3,4},XT!X258,XT!AB258,XT!AF258,XT!AJ258)))</f>
        <v>0</v>
      </c>
      <c r="AT258" t="str">
        <f>IFERROR(INDEX(CHOOSE({1,2,3,4}, DAY(XT!U258), DAY(XT!Y258), DAY(XT!AC258), DAY(XT!AG258)), MATCH(1, INDEX(--(MONTH(CHOOSE({1,2,3,4}, XT!U258,XT!Y258,XT!AC258,XT!AG258))=12), 0), 0)), "")</f>
        <v/>
      </c>
      <c r="AU258" s="51" t="str">
        <f>IF(XT!$P258&gt;0,AT258,"")</f>
        <v/>
      </c>
      <c r="AV258" s="51" t="str">
        <f>IF(XT!$P258=0,AT258,"")</f>
        <v/>
      </c>
    </row>
    <row r="259" spans="1:48">
      <c r="A259">
        <f>SUMPRODUCT((MONTH(CHOOSE({1,2,3,4},XT!U259,XT!Y259,XT!AC259,XT!AG259))=1)*(CHOOSE({1,2,3,4},XT!X259,XT!AB259,XT!AF259,XT!AJ259)))</f>
        <v>0</v>
      </c>
      <c r="B259">
        <f>IFERROR(INDEX(CHOOSE({1,2,3,4}, DAY(XT!U259), DAY(XT!Y259), DAY(XT!AC259), DAY(XT!AG259)), MATCH(1, INDEX(--(MONTH(CHOOSE({1,2,3,4}, XT!U259,XT!Y259,XT!AC259,XT!AG259))=1), 0), 0)), "")</f>
        <v>0</v>
      </c>
      <c r="C259" s="51" t="str">
        <f>IF(XT!$P259&gt;0,B259,"")</f>
        <v/>
      </c>
      <c r="D259" s="51">
        <f>IF(XT!$P259=0,B259,"")</f>
        <v>0</v>
      </c>
      <c r="E259">
        <f>SUMPRODUCT((MONTH(CHOOSE({1,2,3,4},XT!U259,XT!Y259,XT!AC259,XT!AG259))=2)*(CHOOSE({1,2,3,4},XT!X259,XT!AB259,XT!AF259,XT!AJ259)))</f>
        <v>0</v>
      </c>
      <c r="F259" t="str">
        <f>IFERROR(INDEX(CHOOSE({1,2,3,4}, DAY(XT!U259), DAY(XT!Y259), DAY(XT!AC259), DAY(XT!AG259)), MATCH(1, INDEX(--(MONTH(CHOOSE({1,2,3,4}, XT!U259,XT!Y259,XT!AC259,XT!AG259))=2), 0), 0)), "")</f>
        <v/>
      </c>
      <c r="G259" s="51" t="str">
        <f>IF(XT!$P259&gt;0,F259,"")</f>
        <v/>
      </c>
      <c r="H259" s="51" t="str">
        <f>IF(XT!$P259=0,F259,"")</f>
        <v/>
      </c>
      <c r="I259">
        <f>SUMPRODUCT((MONTH(CHOOSE({1,2,3,4},XT!U259,XT!Y259,XT!AC259,XT!AG259))=3)*(CHOOSE({1,2,3,4},XT!X259,XT!AB259,XT!AF259,XT!AJ259)))</f>
        <v>0</v>
      </c>
      <c r="J259" t="str">
        <f>IFERROR(INDEX(CHOOSE({1,2,3,4}, DAY(XT!U259), DAY(XT!Y259), DAY(XT!AC259), DAY(XT!AG259)), MATCH(1, INDEX(--(MONTH(CHOOSE({1,2,3,4}, XT!U259,XT!Y259,XT!AC259,XT!AG259))=3), 0), 0)), "")</f>
        <v/>
      </c>
      <c r="K259" s="51" t="str">
        <f>IF(XT!$P259&gt;0,J259,"")</f>
        <v/>
      </c>
      <c r="L259" s="51" t="str">
        <f>IF(XT!$P259=0,J259,"")</f>
        <v/>
      </c>
      <c r="M259">
        <f>SUMPRODUCT((MONTH(CHOOSE({1,2,3,4},XT!U259,XT!Y259,XT!AC259,XT!AG259))=4)*(CHOOSE({1,2,3,4},XT!X259,XT!AB259,XT!AF259,XT!AJ259)))</f>
        <v>0</v>
      </c>
      <c r="N259" t="str">
        <f>IFERROR(INDEX(CHOOSE({1,2,3,4}, DAY(XT!U259), DAY(XT!Y259), DAY(XT!AC259), DAY(XT!AG259)), MATCH(1, INDEX(--(MONTH(CHOOSE({1,2,3,4}, XT!U259,XT!Y259,XT!AC259,XT!AG259))=4), 0), 0)), "")</f>
        <v/>
      </c>
      <c r="O259" s="51" t="str">
        <f>IF(XT!$P259&gt;0,N259,"")</f>
        <v/>
      </c>
      <c r="P259" s="51" t="str">
        <f>IF(XT!$P259=0,N259,"")</f>
        <v/>
      </c>
      <c r="Q259">
        <f>SUMPRODUCT((MONTH(CHOOSE({1,2,3,4},XT!U259,XT!Y259,XT!AC259,XT!AG259))=5)*(CHOOSE({1,2,3,4},XT!X259,XT!AB259,XT!AF259,XT!AJ259)))</f>
        <v>0</v>
      </c>
      <c r="R259" t="str">
        <f>IFERROR(INDEX(CHOOSE({1,2,3,4}, DAY(XT!U259), DAY(XT!Y259), DAY(XT!AC259), DAY(XT!AG259)), MATCH(1, INDEX(--(MONTH(CHOOSE({1,2,3,4}, XT!U259,XT!Y259,XT!AC259,XT!AG259))=5), 0), 0)), "")</f>
        <v/>
      </c>
      <c r="S259" s="51" t="str">
        <f>IF(XT!$P259&gt;0,R259,"")</f>
        <v/>
      </c>
      <c r="T259" s="51" t="str">
        <f>IF(XT!$P259=0,R259,"")</f>
        <v/>
      </c>
      <c r="U259">
        <f>SUMPRODUCT((MONTH(CHOOSE({1,2,3,4},XT!U259,XT!Y259,XT!AC259,XT!AG259))=6)*(CHOOSE({1,2,3,4},XT!X259,XT!AB259,XT!AF259,XT!AJ259)))</f>
        <v>0</v>
      </c>
      <c r="V259" t="str">
        <f>IFERROR(INDEX(CHOOSE({1,2,3,4}, DAY(XT!U259), DAY(XT!Y259), DAY(XT!AC259), DAY(XT!AG259)), MATCH(1, INDEX(--(MONTH(CHOOSE({1,2,3,4}, XT!U259,XT!Y259,XT!AC259,XT!AG259))=6), 0), 0)), "")</f>
        <v/>
      </c>
      <c r="W259" s="51" t="str">
        <f>IF(XT!$P259&gt;0,V259,"")</f>
        <v/>
      </c>
      <c r="X259" s="51" t="str">
        <f>IF(XT!$P259=0,V259,"")</f>
        <v/>
      </c>
      <c r="Y259">
        <f>SUMPRODUCT((MONTH(CHOOSE({1,2,3,4},XT!U259,XT!Y259,XT!AC259,XT!AG259))=7)*(CHOOSE({1,2,3,4},XT!X259,XT!AB259,XT!AF259,XT!AJ259)))</f>
        <v>0</v>
      </c>
      <c r="Z259" t="str">
        <f>IFERROR(INDEX(CHOOSE({1,2,3,4}, DAY(XT!U259), DAY(XT!Y259), DAY(XT!AC259), DAY(XT!AG259)), MATCH(1, INDEX(--(MONTH(CHOOSE({1,2,3,4}, XT!U259,XT!Y259,XT!AC259,XT!AG259))=7), 0), 0)), "")</f>
        <v/>
      </c>
      <c r="AA259" s="51" t="str">
        <f>IF(XT!$P259&gt;0,Z259,"")</f>
        <v/>
      </c>
      <c r="AB259" s="51" t="str">
        <f>IF(XT!$P259=0,Z259,"")</f>
        <v/>
      </c>
      <c r="AC259">
        <f>SUMPRODUCT((MONTH(CHOOSE({1,2,3,4},XT!U259,XT!Y259,XT!AC259,XT!AG259))=8)*(CHOOSE({1,2,3,4},XT!X259,XT!AB259,XT!AF259,XT!AJ259)))</f>
        <v>0</v>
      </c>
      <c r="AD259" t="str">
        <f>IFERROR(INDEX(CHOOSE({1,2,3,4}, DAY(XT!U259), DAY(XT!Y259), DAY(XT!AC259), DAY(XT!AG259)), MATCH(1, INDEX(--(MONTH(CHOOSE({1,2,3,4}, XT!U259,XT!Y259,XT!AC259,XT!AG259))=8), 0), 0)), "")</f>
        <v/>
      </c>
      <c r="AE259" s="51" t="str">
        <f>IF(XT!$P259&gt;0,AD259,"")</f>
        <v/>
      </c>
      <c r="AF259" s="51" t="str">
        <f>IF(XT!$P259=0,AD259,"")</f>
        <v/>
      </c>
      <c r="AG259">
        <f>SUMPRODUCT((MONTH(CHOOSE({1,2,3,4},XT!U259,XT!Y259,XT!AC259,XT!AG259))=9)*(CHOOSE({1,2,3,4},XT!X259,XT!AB259,XT!AF259,XT!AJ259)))</f>
        <v>0</v>
      </c>
      <c r="AH259" t="str">
        <f>IFERROR(INDEX(CHOOSE({1,2,3,4}, DAY(XT!U259), DAY(XT!Y259), DAY(XT!AC259), DAY(XT!AG259)), MATCH(1, INDEX(--(MONTH(CHOOSE({1,2,3,4}, XT!U259,XT!Y259,XT!AC259,XT!AG259))=9), 0), 0)), "")</f>
        <v/>
      </c>
      <c r="AI259" s="51" t="str">
        <f>IF(XT!$P259&gt;0,AH259,"")</f>
        <v/>
      </c>
      <c r="AJ259" s="51" t="str">
        <f>IF(XT!$P259=0,AH259,"")</f>
        <v/>
      </c>
      <c r="AK259">
        <f>SUMPRODUCT((MONTH(CHOOSE({1,2,3,4},XT!U259,XT!Y259,XT!AC259,XT!AG259))=10)*(CHOOSE({1,2,3,4},XT!X259,XT!AB259,XT!AF259,XT!AJ259)))</f>
        <v>0</v>
      </c>
      <c r="AL259" t="str">
        <f>IFERROR(INDEX(CHOOSE({1,2,3,4}, DAY(XT!U259), DAY(XT!Y259), DAY(XT!AC259), DAY(XT!AG259)), MATCH(1, INDEX(--(MONTH(CHOOSE({1,2,3,4}, XT!U259,XT!Y259,XT!AC259,XT!AG259))=10), 0), 0)), "")</f>
        <v/>
      </c>
      <c r="AM259" s="51" t="str">
        <f>IF(XT!$P259&gt;0,AL259,"")</f>
        <v/>
      </c>
      <c r="AN259" s="51" t="str">
        <f>IF(XT!$P259=0,AL259,"")</f>
        <v/>
      </c>
      <c r="AO259">
        <f>SUMPRODUCT((MONTH(CHOOSE({1,2,3,4},XT!U259,XT!Y259,XT!AC259,XT!AG259))=11)*(CHOOSE({1,2,3,4},XT!X259,XT!AB259,XT!AF259,XT!AJ259)))</f>
        <v>0</v>
      </c>
      <c r="AP259" t="str">
        <f>IFERROR(INDEX(CHOOSE({1,2,3,4}, DAY(XT!U259), DAY(XT!Y259), DAY(XT!AC259), DAY(XT!AG259)), MATCH(1, INDEX(--(MONTH(CHOOSE({1,2,3,4}, XT!U259,XT!Y259,XT!AC259,XT!AG259))=11), 0), 0)), "")</f>
        <v/>
      </c>
      <c r="AQ259" s="51" t="str">
        <f>IF(XT!$P259&gt;0,AP259,"")</f>
        <v/>
      </c>
      <c r="AR259" s="51" t="str">
        <f>IF(XT!$P259=0,AP259,"")</f>
        <v/>
      </c>
      <c r="AS259">
        <f>SUMPRODUCT((MONTH(CHOOSE({1,2,3,4},XT!U259,XT!Y259,XT!AC259,XT!AG259))=12)*(CHOOSE({1,2,3,4},XT!X259,XT!AB259,XT!AF259,XT!AJ259)))</f>
        <v>0</v>
      </c>
      <c r="AT259" t="str">
        <f>IFERROR(INDEX(CHOOSE({1,2,3,4}, DAY(XT!U259), DAY(XT!Y259), DAY(XT!AC259), DAY(XT!AG259)), MATCH(1, INDEX(--(MONTH(CHOOSE({1,2,3,4}, XT!U259,XT!Y259,XT!AC259,XT!AG259))=12), 0), 0)), "")</f>
        <v/>
      </c>
      <c r="AU259" s="51" t="str">
        <f>IF(XT!$P259&gt;0,AT259,"")</f>
        <v/>
      </c>
      <c r="AV259" s="51" t="str">
        <f>IF(XT!$P259=0,AT259,"")</f>
        <v/>
      </c>
    </row>
    <row r="260" spans="1:48">
      <c r="A260">
        <f>SUMPRODUCT((MONTH(CHOOSE({1,2,3,4},XT!U260,XT!Y260,XT!AC260,XT!AG260))=1)*(CHOOSE({1,2,3,4},XT!X260,XT!AB260,XT!AF260,XT!AJ260)))</f>
        <v>0</v>
      </c>
      <c r="B260">
        <f>IFERROR(INDEX(CHOOSE({1,2,3,4}, DAY(XT!U260), DAY(XT!Y260), DAY(XT!AC260), DAY(XT!AG260)), MATCH(1, INDEX(--(MONTH(CHOOSE({1,2,3,4}, XT!U260,XT!Y260,XT!AC260,XT!AG260))=1), 0), 0)), "")</f>
        <v>0</v>
      </c>
      <c r="C260" s="51" t="str">
        <f>IF(XT!$P260&gt;0,B260,"")</f>
        <v/>
      </c>
      <c r="D260" s="51">
        <f>IF(XT!$P260=0,B260,"")</f>
        <v>0</v>
      </c>
      <c r="E260">
        <f>SUMPRODUCT((MONTH(CHOOSE({1,2,3,4},XT!U260,XT!Y260,XT!AC260,XT!AG260))=2)*(CHOOSE({1,2,3,4},XT!X260,XT!AB260,XT!AF260,XT!AJ260)))</f>
        <v>0</v>
      </c>
      <c r="F260" t="str">
        <f>IFERROR(INDEX(CHOOSE({1,2,3,4}, DAY(XT!U260), DAY(XT!Y260), DAY(XT!AC260), DAY(XT!AG260)), MATCH(1, INDEX(--(MONTH(CHOOSE({1,2,3,4}, XT!U260,XT!Y260,XT!AC260,XT!AG260))=2), 0), 0)), "")</f>
        <v/>
      </c>
      <c r="G260" s="51" t="str">
        <f>IF(XT!$P260&gt;0,F260,"")</f>
        <v/>
      </c>
      <c r="H260" s="51" t="str">
        <f>IF(XT!$P260=0,F260,"")</f>
        <v/>
      </c>
      <c r="I260">
        <f>SUMPRODUCT((MONTH(CHOOSE({1,2,3,4},XT!U260,XT!Y260,XT!AC260,XT!AG260))=3)*(CHOOSE({1,2,3,4},XT!X260,XT!AB260,XT!AF260,XT!AJ260)))</f>
        <v>0</v>
      </c>
      <c r="J260" t="str">
        <f>IFERROR(INDEX(CHOOSE({1,2,3,4}, DAY(XT!U260), DAY(XT!Y260), DAY(XT!AC260), DAY(XT!AG260)), MATCH(1, INDEX(--(MONTH(CHOOSE({1,2,3,4}, XT!U260,XT!Y260,XT!AC260,XT!AG260))=3), 0), 0)), "")</f>
        <v/>
      </c>
      <c r="K260" s="51" t="str">
        <f>IF(XT!$P260&gt;0,J260,"")</f>
        <v/>
      </c>
      <c r="L260" s="51" t="str">
        <f>IF(XT!$P260=0,J260,"")</f>
        <v/>
      </c>
      <c r="M260">
        <f>SUMPRODUCT((MONTH(CHOOSE({1,2,3,4},XT!U260,XT!Y260,XT!AC260,XT!AG260))=4)*(CHOOSE({1,2,3,4},XT!X260,XT!AB260,XT!AF260,XT!AJ260)))</f>
        <v>0</v>
      </c>
      <c r="N260" t="str">
        <f>IFERROR(INDEX(CHOOSE({1,2,3,4}, DAY(XT!U260), DAY(XT!Y260), DAY(XT!AC260), DAY(XT!AG260)), MATCH(1, INDEX(--(MONTH(CHOOSE({1,2,3,4}, XT!U260,XT!Y260,XT!AC260,XT!AG260))=4), 0), 0)), "")</f>
        <v/>
      </c>
      <c r="O260" s="51" t="str">
        <f>IF(XT!$P260&gt;0,N260,"")</f>
        <v/>
      </c>
      <c r="P260" s="51" t="str">
        <f>IF(XT!$P260=0,N260,"")</f>
        <v/>
      </c>
      <c r="Q260">
        <f>SUMPRODUCT((MONTH(CHOOSE({1,2,3,4},XT!U260,XT!Y260,XT!AC260,XT!AG260))=5)*(CHOOSE({1,2,3,4},XT!X260,XT!AB260,XT!AF260,XT!AJ260)))</f>
        <v>0</v>
      </c>
      <c r="R260" t="str">
        <f>IFERROR(INDEX(CHOOSE({1,2,3,4}, DAY(XT!U260), DAY(XT!Y260), DAY(XT!AC260), DAY(XT!AG260)), MATCH(1, INDEX(--(MONTH(CHOOSE({1,2,3,4}, XT!U260,XT!Y260,XT!AC260,XT!AG260))=5), 0), 0)), "")</f>
        <v/>
      </c>
      <c r="S260" s="51" t="str">
        <f>IF(XT!$P260&gt;0,R260,"")</f>
        <v/>
      </c>
      <c r="T260" s="51" t="str">
        <f>IF(XT!$P260=0,R260,"")</f>
        <v/>
      </c>
      <c r="U260">
        <f>SUMPRODUCT((MONTH(CHOOSE({1,2,3,4},XT!U260,XT!Y260,XT!AC260,XT!AG260))=6)*(CHOOSE({1,2,3,4},XT!X260,XT!AB260,XT!AF260,XT!AJ260)))</f>
        <v>0</v>
      </c>
      <c r="V260" t="str">
        <f>IFERROR(INDEX(CHOOSE({1,2,3,4}, DAY(XT!U260), DAY(XT!Y260), DAY(XT!AC260), DAY(XT!AG260)), MATCH(1, INDEX(--(MONTH(CHOOSE({1,2,3,4}, XT!U260,XT!Y260,XT!AC260,XT!AG260))=6), 0), 0)), "")</f>
        <v/>
      </c>
      <c r="W260" s="51" t="str">
        <f>IF(XT!$P260&gt;0,V260,"")</f>
        <v/>
      </c>
      <c r="X260" s="51" t="str">
        <f>IF(XT!$P260=0,V260,"")</f>
        <v/>
      </c>
      <c r="Y260">
        <f>SUMPRODUCT((MONTH(CHOOSE({1,2,3,4},XT!U260,XT!Y260,XT!AC260,XT!AG260))=7)*(CHOOSE({1,2,3,4},XT!X260,XT!AB260,XT!AF260,XT!AJ260)))</f>
        <v>0</v>
      </c>
      <c r="Z260" t="str">
        <f>IFERROR(INDEX(CHOOSE({1,2,3,4}, DAY(XT!U260), DAY(XT!Y260), DAY(XT!AC260), DAY(XT!AG260)), MATCH(1, INDEX(--(MONTH(CHOOSE({1,2,3,4}, XT!U260,XT!Y260,XT!AC260,XT!AG260))=7), 0), 0)), "")</f>
        <v/>
      </c>
      <c r="AA260" s="51" t="str">
        <f>IF(XT!$P260&gt;0,Z260,"")</f>
        <v/>
      </c>
      <c r="AB260" s="51" t="str">
        <f>IF(XT!$P260=0,Z260,"")</f>
        <v/>
      </c>
      <c r="AC260">
        <f>SUMPRODUCT((MONTH(CHOOSE({1,2,3,4},XT!U260,XT!Y260,XT!AC260,XT!AG260))=8)*(CHOOSE({1,2,3,4},XT!X260,XT!AB260,XT!AF260,XT!AJ260)))</f>
        <v>0</v>
      </c>
      <c r="AD260" t="str">
        <f>IFERROR(INDEX(CHOOSE({1,2,3,4}, DAY(XT!U260), DAY(XT!Y260), DAY(XT!AC260), DAY(XT!AG260)), MATCH(1, INDEX(--(MONTH(CHOOSE({1,2,3,4}, XT!U260,XT!Y260,XT!AC260,XT!AG260))=8), 0), 0)), "")</f>
        <v/>
      </c>
      <c r="AE260" s="51" t="str">
        <f>IF(XT!$P260&gt;0,AD260,"")</f>
        <v/>
      </c>
      <c r="AF260" s="51" t="str">
        <f>IF(XT!$P260=0,AD260,"")</f>
        <v/>
      </c>
      <c r="AG260">
        <f>SUMPRODUCT((MONTH(CHOOSE({1,2,3,4},XT!U260,XT!Y260,XT!AC260,XT!AG260))=9)*(CHOOSE({1,2,3,4},XT!X260,XT!AB260,XT!AF260,XT!AJ260)))</f>
        <v>0</v>
      </c>
      <c r="AH260" t="str">
        <f>IFERROR(INDEX(CHOOSE({1,2,3,4}, DAY(XT!U260), DAY(XT!Y260), DAY(XT!AC260), DAY(XT!AG260)), MATCH(1, INDEX(--(MONTH(CHOOSE({1,2,3,4}, XT!U260,XT!Y260,XT!AC260,XT!AG260))=9), 0), 0)), "")</f>
        <v/>
      </c>
      <c r="AI260" s="51" t="str">
        <f>IF(XT!$P260&gt;0,AH260,"")</f>
        <v/>
      </c>
      <c r="AJ260" s="51" t="str">
        <f>IF(XT!$P260=0,AH260,"")</f>
        <v/>
      </c>
      <c r="AK260">
        <f>SUMPRODUCT((MONTH(CHOOSE({1,2,3,4},XT!U260,XT!Y260,XT!AC260,XT!AG260))=10)*(CHOOSE({1,2,3,4},XT!X260,XT!AB260,XT!AF260,XT!AJ260)))</f>
        <v>0</v>
      </c>
      <c r="AL260" t="str">
        <f>IFERROR(INDEX(CHOOSE({1,2,3,4}, DAY(XT!U260), DAY(XT!Y260), DAY(XT!AC260), DAY(XT!AG260)), MATCH(1, INDEX(--(MONTH(CHOOSE({1,2,3,4}, XT!U260,XT!Y260,XT!AC260,XT!AG260))=10), 0), 0)), "")</f>
        <v/>
      </c>
      <c r="AM260" s="51" t="str">
        <f>IF(XT!$P260&gt;0,AL260,"")</f>
        <v/>
      </c>
      <c r="AN260" s="51" t="str">
        <f>IF(XT!$P260=0,AL260,"")</f>
        <v/>
      </c>
      <c r="AO260">
        <f>SUMPRODUCT((MONTH(CHOOSE({1,2,3,4},XT!U260,XT!Y260,XT!AC260,XT!AG260))=11)*(CHOOSE({1,2,3,4},XT!X260,XT!AB260,XT!AF260,XT!AJ260)))</f>
        <v>0</v>
      </c>
      <c r="AP260" t="str">
        <f>IFERROR(INDEX(CHOOSE({1,2,3,4}, DAY(XT!U260), DAY(XT!Y260), DAY(XT!AC260), DAY(XT!AG260)), MATCH(1, INDEX(--(MONTH(CHOOSE({1,2,3,4}, XT!U260,XT!Y260,XT!AC260,XT!AG260))=11), 0), 0)), "")</f>
        <v/>
      </c>
      <c r="AQ260" s="51" t="str">
        <f>IF(XT!$P260&gt;0,AP260,"")</f>
        <v/>
      </c>
      <c r="AR260" s="51" t="str">
        <f>IF(XT!$P260=0,AP260,"")</f>
        <v/>
      </c>
      <c r="AS260">
        <f>SUMPRODUCT((MONTH(CHOOSE({1,2,3,4},XT!U260,XT!Y260,XT!AC260,XT!AG260))=12)*(CHOOSE({1,2,3,4},XT!X260,XT!AB260,XT!AF260,XT!AJ260)))</f>
        <v>0</v>
      </c>
      <c r="AT260" t="str">
        <f>IFERROR(INDEX(CHOOSE({1,2,3,4}, DAY(XT!U260), DAY(XT!Y260), DAY(XT!AC260), DAY(XT!AG260)), MATCH(1, INDEX(--(MONTH(CHOOSE({1,2,3,4}, XT!U260,XT!Y260,XT!AC260,XT!AG260))=12), 0), 0)), "")</f>
        <v/>
      </c>
      <c r="AU260" s="51" t="str">
        <f>IF(XT!$P260&gt;0,AT260,"")</f>
        <v/>
      </c>
      <c r="AV260" s="51" t="str">
        <f>IF(XT!$P260=0,AT260,"")</f>
        <v/>
      </c>
    </row>
    <row r="261" spans="1:48">
      <c r="A261">
        <f>SUMPRODUCT((MONTH(CHOOSE({1,2,3,4},XT!U261,XT!Y261,XT!AC261,XT!AG261))=1)*(CHOOSE({1,2,3,4},XT!X261,XT!AB261,XT!AF261,XT!AJ261)))</f>
        <v>0</v>
      </c>
      <c r="B261">
        <f>IFERROR(INDEX(CHOOSE({1,2,3,4}, DAY(XT!U261), DAY(XT!Y261), DAY(XT!AC261), DAY(XT!AG261)), MATCH(1, INDEX(--(MONTH(CHOOSE({1,2,3,4}, XT!U261,XT!Y261,XT!AC261,XT!AG261))=1), 0), 0)), "")</f>
        <v>0</v>
      </c>
      <c r="C261" s="51" t="str">
        <f>IF(XT!$P261&gt;0,B261,"")</f>
        <v/>
      </c>
      <c r="D261" s="51">
        <f>IF(XT!$P261=0,B261,"")</f>
        <v>0</v>
      </c>
      <c r="E261">
        <f>SUMPRODUCT((MONTH(CHOOSE({1,2,3,4},XT!U261,XT!Y261,XT!AC261,XT!AG261))=2)*(CHOOSE({1,2,3,4},XT!X261,XT!AB261,XT!AF261,XT!AJ261)))</f>
        <v>0</v>
      </c>
      <c r="F261" t="str">
        <f>IFERROR(INDEX(CHOOSE({1,2,3,4}, DAY(XT!U261), DAY(XT!Y261), DAY(XT!AC261), DAY(XT!AG261)), MATCH(1, INDEX(--(MONTH(CHOOSE({1,2,3,4}, XT!U261,XT!Y261,XT!AC261,XT!AG261))=2), 0), 0)), "")</f>
        <v/>
      </c>
      <c r="G261" s="51" t="str">
        <f>IF(XT!$P261&gt;0,F261,"")</f>
        <v/>
      </c>
      <c r="H261" s="51" t="str">
        <f>IF(XT!$P261=0,F261,"")</f>
        <v/>
      </c>
      <c r="I261">
        <f>SUMPRODUCT((MONTH(CHOOSE({1,2,3,4},XT!U261,XT!Y261,XT!AC261,XT!AG261))=3)*(CHOOSE({1,2,3,4},XT!X261,XT!AB261,XT!AF261,XT!AJ261)))</f>
        <v>0</v>
      </c>
      <c r="J261" t="str">
        <f>IFERROR(INDEX(CHOOSE({1,2,3,4}, DAY(XT!U261), DAY(XT!Y261), DAY(XT!AC261), DAY(XT!AG261)), MATCH(1, INDEX(--(MONTH(CHOOSE({1,2,3,4}, XT!U261,XT!Y261,XT!AC261,XT!AG261))=3), 0), 0)), "")</f>
        <v/>
      </c>
      <c r="K261" s="51" t="str">
        <f>IF(XT!$P261&gt;0,J261,"")</f>
        <v/>
      </c>
      <c r="L261" s="51" t="str">
        <f>IF(XT!$P261=0,J261,"")</f>
        <v/>
      </c>
      <c r="M261">
        <f>SUMPRODUCT((MONTH(CHOOSE({1,2,3,4},XT!U261,XT!Y261,XT!AC261,XT!AG261))=4)*(CHOOSE({1,2,3,4},XT!X261,XT!AB261,XT!AF261,XT!AJ261)))</f>
        <v>0</v>
      </c>
      <c r="N261" t="str">
        <f>IFERROR(INDEX(CHOOSE({1,2,3,4}, DAY(XT!U261), DAY(XT!Y261), DAY(XT!AC261), DAY(XT!AG261)), MATCH(1, INDEX(--(MONTH(CHOOSE({1,2,3,4}, XT!U261,XT!Y261,XT!AC261,XT!AG261))=4), 0), 0)), "")</f>
        <v/>
      </c>
      <c r="O261" s="51" t="str">
        <f>IF(XT!$P261&gt;0,N261,"")</f>
        <v/>
      </c>
      <c r="P261" s="51" t="str">
        <f>IF(XT!$P261=0,N261,"")</f>
        <v/>
      </c>
      <c r="Q261">
        <f>SUMPRODUCT((MONTH(CHOOSE({1,2,3,4},XT!U261,XT!Y261,XT!AC261,XT!AG261))=5)*(CHOOSE({1,2,3,4},XT!X261,XT!AB261,XT!AF261,XT!AJ261)))</f>
        <v>0</v>
      </c>
      <c r="R261" t="str">
        <f>IFERROR(INDEX(CHOOSE({1,2,3,4}, DAY(XT!U261), DAY(XT!Y261), DAY(XT!AC261), DAY(XT!AG261)), MATCH(1, INDEX(--(MONTH(CHOOSE({1,2,3,4}, XT!U261,XT!Y261,XT!AC261,XT!AG261))=5), 0), 0)), "")</f>
        <v/>
      </c>
      <c r="S261" s="51" t="str">
        <f>IF(XT!$P261&gt;0,R261,"")</f>
        <v/>
      </c>
      <c r="T261" s="51" t="str">
        <f>IF(XT!$P261=0,R261,"")</f>
        <v/>
      </c>
      <c r="U261">
        <f>SUMPRODUCT((MONTH(CHOOSE({1,2,3,4},XT!U261,XT!Y261,XT!AC261,XT!AG261))=6)*(CHOOSE({1,2,3,4},XT!X261,XT!AB261,XT!AF261,XT!AJ261)))</f>
        <v>0</v>
      </c>
      <c r="V261" t="str">
        <f>IFERROR(INDEX(CHOOSE({1,2,3,4}, DAY(XT!U261), DAY(XT!Y261), DAY(XT!AC261), DAY(XT!AG261)), MATCH(1, INDEX(--(MONTH(CHOOSE({1,2,3,4}, XT!U261,XT!Y261,XT!AC261,XT!AG261))=6), 0), 0)), "")</f>
        <v/>
      </c>
      <c r="W261" s="51" t="str">
        <f>IF(XT!$P261&gt;0,V261,"")</f>
        <v/>
      </c>
      <c r="X261" s="51" t="str">
        <f>IF(XT!$P261=0,V261,"")</f>
        <v/>
      </c>
      <c r="Y261">
        <f>SUMPRODUCT((MONTH(CHOOSE({1,2,3,4},XT!U261,XT!Y261,XT!AC261,XT!AG261))=7)*(CHOOSE({1,2,3,4},XT!X261,XT!AB261,XT!AF261,XT!AJ261)))</f>
        <v>0</v>
      </c>
      <c r="Z261" t="str">
        <f>IFERROR(INDEX(CHOOSE({1,2,3,4}, DAY(XT!U261), DAY(XT!Y261), DAY(XT!AC261), DAY(XT!AG261)), MATCH(1, INDEX(--(MONTH(CHOOSE({1,2,3,4}, XT!U261,XT!Y261,XT!AC261,XT!AG261))=7), 0), 0)), "")</f>
        <v/>
      </c>
      <c r="AA261" s="51" t="str">
        <f>IF(XT!$P261&gt;0,Z261,"")</f>
        <v/>
      </c>
      <c r="AB261" s="51" t="str">
        <f>IF(XT!$P261=0,Z261,"")</f>
        <v/>
      </c>
      <c r="AC261">
        <f>SUMPRODUCT((MONTH(CHOOSE({1,2,3,4},XT!U261,XT!Y261,XT!AC261,XT!AG261))=8)*(CHOOSE({1,2,3,4},XT!X261,XT!AB261,XT!AF261,XT!AJ261)))</f>
        <v>0</v>
      </c>
      <c r="AD261" t="str">
        <f>IFERROR(INDEX(CHOOSE({1,2,3,4}, DAY(XT!U261), DAY(XT!Y261), DAY(XT!AC261), DAY(XT!AG261)), MATCH(1, INDEX(--(MONTH(CHOOSE({1,2,3,4}, XT!U261,XT!Y261,XT!AC261,XT!AG261))=8), 0), 0)), "")</f>
        <v/>
      </c>
      <c r="AE261" s="51" t="str">
        <f>IF(XT!$P261&gt;0,AD261,"")</f>
        <v/>
      </c>
      <c r="AF261" s="51" t="str">
        <f>IF(XT!$P261=0,AD261,"")</f>
        <v/>
      </c>
      <c r="AG261">
        <f>SUMPRODUCT((MONTH(CHOOSE({1,2,3,4},XT!U261,XT!Y261,XT!AC261,XT!AG261))=9)*(CHOOSE({1,2,3,4},XT!X261,XT!AB261,XT!AF261,XT!AJ261)))</f>
        <v>0</v>
      </c>
      <c r="AH261" t="str">
        <f>IFERROR(INDEX(CHOOSE({1,2,3,4}, DAY(XT!U261), DAY(XT!Y261), DAY(XT!AC261), DAY(XT!AG261)), MATCH(1, INDEX(--(MONTH(CHOOSE({1,2,3,4}, XT!U261,XT!Y261,XT!AC261,XT!AG261))=9), 0), 0)), "")</f>
        <v/>
      </c>
      <c r="AI261" s="51" t="str">
        <f>IF(XT!$P261&gt;0,AH261,"")</f>
        <v/>
      </c>
      <c r="AJ261" s="51" t="str">
        <f>IF(XT!$P261=0,AH261,"")</f>
        <v/>
      </c>
      <c r="AK261">
        <f>SUMPRODUCT((MONTH(CHOOSE({1,2,3,4},XT!U261,XT!Y261,XT!AC261,XT!AG261))=10)*(CHOOSE({1,2,3,4},XT!X261,XT!AB261,XT!AF261,XT!AJ261)))</f>
        <v>0</v>
      </c>
      <c r="AL261" t="str">
        <f>IFERROR(INDEX(CHOOSE({1,2,3,4}, DAY(XT!U261), DAY(XT!Y261), DAY(XT!AC261), DAY(XT!AG261)), MATCH(1, INDEX(--(MONTH(CHOOSE({1,2,3,4}, XT!U261,XT!Y261,XT!AC261,XT!AG261))=10), 0), 0)), "")</f>
        <v/>
      </c>
      <c r="AM261" s="51" t="str">
        <f>IF(XT!$P261&gt;0,AL261,"")</f>
        <v/>
      </c>
      <c r="AN261" s="51" t="str">
        <f>IF(XT!$P261=0,AL261,"")</f>
        <v/>
      </c>
      <c r="AO261">
        <f>SUMPRODUCT((MONTH(CHOOSE({1,2,3,4},XT!U261,XT!Y261,XT!AC261,XT!AG261))=11)*(CHOOSE({1,2,3,4},XT!X261,XT!AB261,XT!AF261,XT!AJ261)))</f>
        <v>0</v>
      </c>
      <c r="AP261" t="str">
        <f>IFERROR(INDEX(CHOOSE({1,2,3,4}, DAY(XT!U261), DAY(XT!Y261), DAY(XT!AC261), DAY(XT!AG261)), MATCH(1, INDEX(--(MONTH(CHOOSE({1,2,3,4}, XT!U261,XT!Y261,XT!AC261,XT!AG261))=11), 0), 0)), "")</f>
        <v/>
      </c>
      <c r="AQ261" s="51" t="str">
        <f>IF(XT!$P261&gt;0,AP261,"")</f>
        <v/>
      </c>
      <c r="AR261" s="51" t="str">
        <f>IF(XT!$P261=0,AP261,"")</f>
        <v/>
      </c>
      <c r="AS261">
        <f>SUMPRODUCT((MONTH(CHOOSE({1,2,3,4},XT!U261,XT!Y261,XT!AC261,XT!AG261))=12)*(CHOOSE({1,2,3,4},XT!X261,XT!AB261,XT!AF261,XT!AJ261)))</f>
        <v>0</v>
      </c>
      <c r="AT261" t="str">
        <f>IFERROR(INDEX(CHOOSE({1,2,3,4}, DAY(XT!U261), DAY(XT!Y261), DAY(XT!AC261), DAY(XT!AG261)), MATCH(1, INDEX(--(MONTH(CHOOSE({1,2,3,4}, XT!U261,XT!Y261,XT!AC261,XT!AG261))=12), 0), 0)), "")</f>
        <v/>
      </c>
      <c r="AU261" s="51" t="str">
        <f>IF(XT!$P261&gt;0,AT261,"")</f>
        <v/>
      </c>
      <c r="AV261" s="51" t="str">
        <f>IF(XT!$P261=0,AT261,"")</f>
        <v/>
      </c>
    </row>
    <row r="262" spans="1:48">
      <c r="A262">
        <f>SUMPRODUCT((MONTH(CHOOSE({1,2,3,4},XT!U262,XT!Y262,XT!AC262,XT!AG262))=1)*(CHOOSE({1,2,3,4},XT!X262,XT!AB262,XT!AF262,XT!AJ262)))</f>
        <v>0</v>
      </c>
      <c r="B262">
        <f>IFERROR(INDEX(CHOOSE({1,2,3,4}, DAY(XT!U262), DAY(XT!Y262), DAY(XT!AC262), DAY(XT!AG262)), MATCH(1, INDEX(--(MONTH(CHOOSE({1,2,3,4}, XT!U262,XT!Y262,XT!AC262,XT!AG262))=1), 0), 0)), "")</f>
        <v>0</v>
      </c>
      <c r="C262" s="51" t="str">
        <f>IF(XT!$P262&gt;0,B262,"")</f>
        <v/>
      </c>
      <c r="D262" s="51">
        <f>IF(XT!$P262=0,B262,"")</f>
        <v>0</v>
      </c>
      <c r="E262">
        <f>SUMPRODUCT((MONTH(CHOOSE({1,2,3,4},XT!U262,XT!Y262,XT!AC262,XT!AG262))=2)*(CHOOSE({1,2,3,4},XT!X262,XT!AB262,XT!AF262,XT!AJ262)))</f>
        <v>0</v>
      </c>
      <c r="F262" t="str">
        <f>IFERROR(INDEX(CHOOSE({1,2,3,4}, DAY(XT!U262), DAY(XT!Y262), DAY(XT!AC262), DAY(XT!AG262)), MATCH(1, INDEX(--(MONTH(CHOOSE({1,2,3,4}, XT!U262,XT!Y262,XT!AC262,XT!AG262))=2), 0), 0)), "")</f>
        <v/>
      </c>
      <c r="G262" s="51" t="str">
        <f>IF(XT!$P262&gt;0,F262,"")</f>
        <v/>
      </c>
      <c r="H262" s="51" t="str">
        <f>IF(XT!$P262=0,F262,"")</f>
        <v/>
      </c>
      <c r="I262">
        <f>SUMPRODUCT((MONTH(CHOOSE({1,2,3,4},XT!U262,XT!Y262,XT!AC262,XT!AG262))=3)*(CHOOSE({1,2,3,4},XT!X262,XT!AB262,XT!AF262,XT!AJ262)))</f>
        <v>0</v>
      </c>
      <c r="J262" t="str">
        <f>IFERROR(INDEX(CHOOSE({1,2,3,4}, DAY(XT!U262), DAY(XT!Y262), DAY(XT!AC262), DAY(XT!AG262)), MATCH(1, INDEX(--(MONTH(CHOOSE({1,2,3,4}, XT!U262,XT!Y262,XT!AC262,XT!AG262))=3), 0), 0)), "")</f>
        <v/>
      </c>
      <c r="K262" s="51" t="str">
        <f>IF(XT!$P262&gt;0,J262,"")</f>
        <v/>
      </c>
      <c r="L262" s="51" t="str">
        <f>IF(XT!$P262=0,J262,"")</f>
        <v/>
      </c>
      <c r="M262">
        <f>SUMPRODUCT((MONTH(CHOOSE({1,2,3,4},XT!U262,XT!Y262,XT!AC262,XT!AG262))=4)*(CHOOSE({1,2,3,4},XT!X262,XT!AB262,XT!AF262,XT!AJ262)))</f>
        <v>0</v>
      </c>
      <c r="N262" t="str">
        <f>IFERROR(INDEX(CHOOSE({1,2,3,4}, DAY(XT!U262), DAY(XT!Y262), DAY(XT!AC262), DAY(XT!AG262)), MATCH(1, INDEX(--(MONTH(CHOOSE({1,2,3,4}, XT!U262,XT!Y262,XT!AC262,XT!AG262))=4), 0), 0)), "")</f>
        <v/>
      </c>
      <c r="O262" s="51" t="str">
        <f>IF(XT!$P262&gt;0,N262,"")</f>
        <v/>
      </c>
      <c r="P262" s="51" t="str">
        <f>IF(XT!$P262=0,N262,"")</f>
        <v/>
      </c>
      <c r="Q262">
        <f>SUMPRODUCT((MONTH(CHOOSE({1,2,3,4},XT!U262,XT!Y262,XT!AC262,XT!AG262))=5)*(CHOOSE({1,2,3,4},XT!X262,XT!AB262,XT!AF262,XT!AJ262)))</f>
        <v>0</v>
      </c>
      <c r="R262" t="str">
        <f>IFERROR(INDEX(CHOOSE({1,2,3,4}, DAY(XT!U262), DAY(XT!Y262), DAY(XT!AC262), DAY(XT!AG262)), MATCH(1, INDEX(--(MONTH(CHOOSE({1,2,3,4}, XT!U262,XT!Y262,XT!AC262,XT!AG262))=5), 0), 0)), "")</f>
        <v/>
      </c>
      <c r="S262" s="51" t="str">
        <f>IF(XT!$P262&gt;0,R262,"")</f>
        <v/>
      </c>
      <c r="T262" s="51" t="str">
        <f>IF(XT!$P262=0,R262,"")</f>
        <v/>
      </c>
      <c r="U262">
        <f>SUMPRODUCT((MONTH(CHOOSE({1,2,3,4},XT!U262,XT!Y262,XT!AC262,XT!AG262))=6)*(CHOOSE({1,2,3,4},XT!X262,XT!AB262,XT!AF262,XT!AJ262)))</f>
        <v>0</v>
      </c>
      <c r="V262" t="str">
        <f>IFERROR(INDEX(CHOOSE({1,2,3,4}, DAY(XT!U262), DAY(XT!Y262), DAY(XT!AC262), DAY(XT!AG262)), MATCH(1, INDEX(--(MONTH(CHOOSE({1,2,3,4}, XT!U262,XT!Y262,XT!AC262,XT!AG262))=6), 0), 0)), "")</f>
        <v/>
      </c>
      <c r="W262" s="51" t="str">
        <f>IF(XT!$P262&gt;0,V262,"")</f>
        <v/>
      </c>
      <c r="X262" s="51" t="str">
        <f>IF(XT!$P262=0,V262,"")</f>
        <v/>
      </c>
      <c r="Y262">
        <f>SUMPRODUCT((MONTH(CHOOSE({1,2,3,4},XT!U262,XT!Y262,XT!AC262,XT!AG262))=7)*(CHOOSE({1,2,3,4},XT!X262,XT!AB262,XT!AF262,XT!AJ262)))</f>
        <v>0</v>
      </c>
      <c r="Z262" t="str">
        <f>IFERROR(INDEX(CHOOSE({1,2,3,4}, DAY(XT!U262), DAY(XT!Y262), DAY(XT!AC262), DAY(XT!AG262)), MATCH(1, INDEX(--(MONTH(CHOOSE({1,2,3,4}, XT!U262,XT!Y262,XT!AC262,XT!AG262))=7), 0), 0)), "")</f>
        <v/>
      </c>
      <c r="AA262" s="51" t="str">
        <f>IF(XT!$P262&gt;0,Z262,"")</f>
        <v/>
      </c>
      <c r="AB262" s="51" t="str">
        <f>IF(XT!$P262=0,Z262,"")</f>
        <v/>
      </c>
      <c r="AC262">
        <f>SUMPRODUCT((MONTH(CHOOSE({1,2,3,4},XT!U262,XT!Y262,XT!AC262,XT!AG262))=8)*(CHOOSE({1,2,3,4},XT!X262,XT!AB262,XT!AF262,XT!AJ262)))</f>
        <v>0</v>
      </c>
      <c r="AD262" t="str">
        <f>IFERROR(INDEX(CHOOSE({1,2,3,4}, DAY(XT!U262), DAY(XT!Y262), DAY(XT!AC262), DAY(XT!AG262)), MATCH(1, INDEX(--(MONTH(CHOOSE({1,2,3,4}, XT!U262,XT!Y262,XT!AC262,XT!AG262))=8), 0), 0)), "")</f>
        <v/>
      </c>
      <c r="AE262" s="51" t="str">
        <f>IF(XT!$P262&gt;0,AD262,"")</f>
        <v/>
      </c>
      <c r="AF262" s="51" t="str">
        <f>IF(XT!$P262=0,AD262,"")</f>
        <v/>
      </c>
      <c r="AG262">
        <f>SUMPRODUCT((MONTH(CHOOSE({1,2,3,4},XT!U262,XT!Y262,XT!AC262,XT!AG262))=9)*(CHOOSE({1,2,3,4},XT!X262,XT!AB262,XT!AF262,XT!AJ262)))</f>
        <v>0</v>
      </c>
      <c r="AH262" t="str">
        <f>IFERROR(INDEX(CHOOSE({1,2,3,4}, DAY(XT!U262), DAY(XT!Y262), DAY(XT!AC262), DAY(XT!AG262)), MATCH(1, INDEX(--(MONTH(CHOOSE({1,2,3,4}, XT!U262,XT!Y262,XT!AC262,XT!AG262))=9), 0), 0)), "")</f>
        <v/>
      </c>
      <c r="AI262" s="51" t="str">
        <f>IF(XT!$P262&gt;0,AH262,"")</f>
        <v/>
      </c>
      <c r="AJ262" s="51" t="str">
        <f>IF(XT!$P262=0,AH262,"")</f>
        <v/>
      </c>
      <c r="AK262">
        <f>SUMPRODUCT((MONTH(CHOOSE({1,2,3,4},XT!U262,XT!Y262,XT!AC262,XT!AG262))=10)*(CHOOSE({1,2,3,4},XT!X262,XT!AB262,XT!AF262,XT!AJ262)))</f>
        <v>0</v>
      </c>
      <c r="AL262" t="str">
        <f>IFERROR(INDEX(CHOOSE({1,2,3,4}, DAY(XT!U262), DAY(XT!Y262), DAY(XT!AC262), DAY(XT!AG262)), MATCH(1, INDEX(--(MONTH(CHOOSE({1,2,3,4}, XT!U262,XT!Y262,XT!AC262,XT!AG262))=10), 0), 0)), "")</f>
        <v/>
      </c>
      <c r="AM262" s="51" t="str">
        <f>IF(XT!$P262&gt;0,AL262,"")</f>
        <v/>
      </c>
      <c r="AN262" s="51" t="str">
        <f>IF(XT!$P262=0,AL262,"")</f>
        <v/>
      </c>
      <c r="AO262">
        <f>SUMPRODUCT((MONTH(CHOOSE({1,2,3,4},XT!U262,XT!Y262,XT!AC262,XT!AG262))=11)*(CHOOSE({1,2,3,4},XT!X262,XT!AB262,XT!AF262,XT!AJ262)))</f>
        <v>0</v>
      </c>
      <c r="AP262" t="str">
        <f>IFERROR(INDEX(CHOOSE({1,2,3,4}, DAY(XT!U262), DAY(XT!Y262), DAY(XT!AC262), DAY(XT!AG262)), MATCH(1, INDEX(--(MONTH(CHOOSE({1,2,3,4}, XT!U262,XT!Y262,XT!AC262,XT!AG262))=11), 0), 0)), "")</f>
        <v/>
      </c>
      <c r="AQ262" s="51" t="str">
        <f>IF(XT!$P262&gt;0,AP262,"")</f>
        <v/>
      </c>
      <c r="AR262" s="51" t="str">
        <f>IF(XT!$P262=0,AP262,"")</f>
        <v/>
      </c>
      <c r="AS262">
        <f>SUMPRODUCT((MONTH(CHOOSE({1,2,3,4},XT!U262,XT!Y262,XT!AC262,XT!AG262))=12)*(CHOOSE({1,2,3,4},XT!X262,XT!AB262,XT!AF262,XT!AJ262)))</f>
        <v>0</v>
      </c>
      <c r="AT262" t="str">
        <f>IFERROR(INDEX(CHOOSE({1,2,3,4}, DAY(XT!U262), DAY(XT!Y262), DAY(XT!AC262), DAY(XT!AG262)), MATCH(1, INDEX(--(MONTH(CHOOSE({1,2,3,4}, XT!U262,XT!Y262,XT!AC262,XT!AG262))=12), 0), 0)), "")</f>
        <v/>
      </c>
      <c r="AU262" s="51" t="str">
        <f>IF(XT!$P262&gt;0,AT262,"")</f>
        <v/>
      </c>
      <c r="AV262" s="51" t="str">
        <f>IF(XT!$P262=0,AT262,"")</f>
        <v/>
      </c>
    </row>
    <row r="263" spans="1:48">
      <c r="A263">
        <f>SUMPRODUCT((MONTH(CHOOSE({1,2,3,4},XT!U263,XT!Y263,XT!AC263,XT!AG263))=1)*(CHOOSE({1,2,3,4},XT!X263,XT!AB263,XT!AF263,XT!AJ263)))</f>
        <v>0</v>
      </c>
      <c r="B263">
        <f>IFERROR(INDEX(CHOOSE({1,2,3,4}, DAY(XT!U263), DAY(XT!Y263), DAY(XT!AC263), DAY(XT!AG263)), MATCH(1, INDEX(--(MONTH(CHOOSE({1,2,3,4}, XT!U263,XT!Y263,XT!AC263,XT!AG263))=1), 0), 0)), "")</f>
        <v>0</v>
      </c>
      <c r="C263" s="51" t="str">
        <f>IF(XT!$P263&gt;0,B263,"")</f>
        <v/>
      </c>
      <c r="D263" s="51">
        <f>IF(XT!$P263=0,B263,"")</f>
        <v>0</v>
      </c>
      <c r="E263">
        <f>SUMPRODUCT((MONTH(CHOOSE({1,2,3,4},XT!U263,XT!Y263,XT!AC263,XT!AG263))=2)*(CHOOSE({1,2,3,4},XT!X263,XT!AB263,XT!AF263,XT!AJ263)))</f>
        <v>0</v>
      </c>
      <c r="F263" t="str">
        <f>IFERROR(INDEX(CHOOSE({1,2,3,4}, DAY(XT!U263), DAY(XT!Y263), DAY(XT!AC263), DAY(XT!AG263)), MATCH(1, INDEX(--(MONTH(CHOOSE({1,2,3,4}, XT!U263,XT!Y263,XT!AC263,XT!AG263))=2), 0), 0)), "")</f>
        <v/>
      </c>
      <c r="G263" s="51" t="str">
        <f>IF(XT!$P263&gt;0,F263,"")</f>
        <v/>
      </c>
      <c r="H263" s="51" t="str">
        <f>IF(XT!$P263=0,F263,"")</f>
        <v/>
      </c>
      <c r="I263">
        <f>SUMPRODUCT((MONTH(CHOOSE({1,2,3,4},XT!U263,XT!Y263,XT!AC263,XT!AG263))=3)*(CHOOSE({1,2,3,4},XT!X263,XT!AB263,XT!AF263,XT!AJ263)))</f>
        <v>0</v>
      </c>
      <c r="J263" t="str">
        <f>IFERROR(INDEX(CHOOSE({1,2,3,4}, DAY(XT!U263), DAY(XT!Y263), DAY(XT!AC263), DAY(XT!AG263)), MATCH(1, INDEX(--(MONTH(CHOOSE({1,2,3,4}, XT!U263,XT!Y263,XT!AC263,XT!AG263))=3), 0), 0)), "")</f>
        <v/>
      </c>
      <c r="K263" s="51" t="str">
        <f>IF(XT!$P263&gt;0,J263,"")</f>
        <v/>
      </c>
      <c r="L263" s="51" t="str">
        <f>IF(XT!$P263=0,J263,"")</f>
        <v/>
      </c>
      <c r="M263">
        <f>SUMPRODUCT((MONTH(CHOOSE({1,2,3,4},XT!U263,XT!Y263,XT!AC263,XT!AG263))=4)*(CHOOSE({1,2,3,4},XT!X263,XT!AB263,XT!AF263,XT!AJ263)))</f>
        <v>0</v>
      </c>
      <c r="N263" t="str">
        <f>IFERROR(INDEX(CHOOSE({1,2,3,4}, DAY(XT!U263), DAY(XT!Y263), DAY(XT!AC263), DAY(XT!AG263)), MATCH(1, INDEX(--(MONTH(CHOOSE({1,2,3,4}, XT!U263,XT!Y263,XT!AC263,XT!AG263))=4), 0), 0)), "")</f>
        <v/>
      </c>
      <c r="O263" s="51" t="str">
        <f>IF(XT!$P263&gt;0,N263,"")</f>
        <v/>
      </c>
      <c r="P263" s="51" t="str">
        <f>IF(XT!$P263=0,N263,"")</f>
        <v/>
      </c>
      <c r="Q263">
        <f>SUMPRODUCT((MONTH(CHOOSE({1,2,3,4},XT!U263,XT!Y263,XT!AC263,XT!AG263))=5)*(CHOOSE({1,2,3,4},XT!X263,XT!AB263,XT!AF263,XT!AJ263)))</f>
        <v>0</v>
      </c>
      <c r="R263" t="str">
        <f>IFERROR(INDEX(CHOOSE({1,2,3,4}, DAY(XT!U263), DAY(XT!Y263), DAY(XT!AC263), DAY(XT!AG263)), MATCH(1, INDEX(--(MONTH(CHOOSE({1,2,3,4}, XT!U263,XT!Y263,XT!AC263,XT!AG263))=5), 0), 0)), "")</f>
        <v/>
      </c>
      <c r="S263" s="51" t="str">
        <f>IF(XT!$P263&gt;0,R263,"")</f>
        <v/>
      </c>
      <c r="T263" s="51" t="str">
        <f>IF(XT!$P263=0,R263,"")</f>
        <v/>
      </c>
      <c r="U263">
        <f>SUMPRODUCT((MONTH(CHOOSE({1,2,3,4},XT!U263,XT!Y263,XT!AC263,XT!AG263))=6)*(CHOOSE({1,2,3,4},XT!X263,XT!AB263,XT!AF263,XT!AJ263)))</f>
        <v>0</v>
      </c>
      <c r="V263" t="str">
        <f>IFERROR(INDEX(CHOOSE({1,2,3,4}, DAY(XT!U263), DAY(XT!Y263), DAY(XT!AC263), DAY(XT!AG263)), MATCH(1, INDEX(--(MONTH(CHOOSE({1,2,3,4}, XT!U263,XT!Y263,XT!AC263,XT!AG263))=6), 0), 0)), "")</f>
        <v/>
      </c>
      <c r="W263" s="51" t="str">
        <f>IF(XT!$P263&gt;0,V263,"")</f>
        <v/>
      </c>
      <c r="X263" s="51" t="str">
        <f>IF(XT!$P263=0,V263,"")</f>
        <v/>
      </c>
      <c r="Y263">
        <f>SUMPRODUCT((MONTH(CHOOSE({1,2,3,4},XT!U263,XT!Y263,XT!AC263,XT!AG263))=7)*(CHOOSE({1,2,3,4},XT!X263,XT!AB263,XT!AF263,XT!AJ263)))</f>
        <v>0</v>
      </c>
      <c r="Z263" t="str">
        <f>IFERROR(INDEX(CHOOSE({1,2,3,4}, DAY(XT!U263), DAY(XT!Y263), DAY(XT!AC263), DAY(XT!AG263)), MATCH(1, INDEX(--(MONTH(CHOOSE({1,2,3,4}, XT!U263,XT!Y263,XT!AC263,XT!AG263))=7), 0), 0)), "")</f>
        <v/>
      </c>
      <c r="AA263" s="51" t="str">
        <f>IF(XT!$P263&gt;0,Z263,"")</f>
        <v/>
      </c>
      <c r="AB263" s="51" t="str">
        <f>IF(XT!$P263=0,Z263,"")</f>
        <v/>
      </c>
      <c r="AC263">
        <f>SUMPRODUCT((MONTH(CHOOSE({1,2,3,4},XT!U263,XT!Y263,XT!AC263,XT!AG263))=8)*(CHOOSE({1,2,3,4},XT!X263,XT!AB263,XT!AF263,XT!AJ263)))</f>
        <v>0</v>
      </c>
      <c r="AD263" t="str">
        <f>IFERROR(INDEX(CHOOSE({1,2,3,4}, DAY(XT!U263), DAY(XT!Y263), DAY(XT!AC263), DAY(XT!AG263)), MATCH(1, INDEX(--(MONTH(CHOOSE({1,2,3,4}, XT!U263,XT!Y263,XT!AC263,XT!AG263))=8), 0), 0)), "")</f>
        <v/>
      </c>
      <c r="AE263" s="51" t="str">
        <f>IF(XT!$P263&gt;0,AD263,"")</f>
        <v/>
      </c>
      <c r="AF263" s="51" t="str">
        <f>IF(XT!$P263=0,AD263,"")</f>
        <v/>
      </c>
      <c r="AG263">
        <f>SUMPRODUCT((MONTH(CHOOSE({1,2,3,4},XT!U263,XT!Y263,XT!AC263,XT!AG263))=9)*(CHOOSE({1,2,3,4},XT!X263,XT!AB263,XT!AF263,XT!AJ263)))</f>
        <v>0</v>
      </c>
      <c r="AH263" t="str">
        <f>IFERROR(INDEX(CHOOSE({1,2,3,4}, DAY(XT!U263), DAY(XT!Y263), DAY(XT!AC263), DAY(XT!AG263)), MATCH(1, INDEX(--(MONTH(CHOOSE({1,2,3,4}, XT!U263,XT!Y263,XT!AC263,XT!AG263))=9), 0), 0)), "")</f>
        <v/>
      </c>
      <c r="AI263" s="51" t="str">
        <f>IF(XT!$P263&gt;0,AH263,"")</f>
        <v/>
      </c>
      <c r="AJ263" s="51" t="str">
        <f>IF(XT!$P263=0,AH263,"")</f>
        <v/>
      </c>
      <c r="AK263">
        <f>SUMPRODUCT((MONTH(CHOOSE({1,2,3,4},XT!U263,XT!Y263,XT!AC263,XT!AG263))=10)*(CHOOSE({1,2,3,4},XT!X263,XT!AB263,XT!AF263,XT!AJ263)))</f>
        <v>0</v>
      </c>
      <c r="AL263" t="str">
        <f>IFERROR(INDEX(CHOOSE({1,2,3,4}, DAY(XT!U263), DAY(XT!Y263), DAY(XT!AC263), DAY(XT!AG263)), MATCH(1, INDEX(--(MONTH(CHOOSE({1,2,3,4}, XT!U263,XT!Y263,XT!AC263,XT!AG263))=10), 0), 0)), "")</f>
        <v/>
      </c>
      <c r="AM263" s="51" t="str">
        <f>IF(XT!$P263&gt;0,AL263,"")</f>
        <v/>
      </c>
      <c r="AN263" s="51" t="str">
        <f>IF(XT!$P263=0,AL263,"")</f>
        <v/>
      </c>
      <c r="AO263">
        <f>SUMPRODUCT((MONTH(CHOOSE({1,2,3,4},XT!U263,XT!Y263,XT!AC263,XT!AG263))=11)*(CHOOSE({1,2,3,4},XT!X263,XT!AB263,XT!AF263,XT!AJ263)))</f>
        <v>0</v>
      </c>
      <c r="AP263" t="str">
        <f>IFERROR(INDEX(CHOOSE({1,2,3,4}, DAY(XT!U263), DAY(XT!Y263), DAY(XT!AC263), DAY(XT!AG263)), MATCH(1, INDEX(--(MONTH(CHOOSE({1,2,3,4}, XT!U263,XT!Y263,XT!AC263,XT!AG263))=11), 0), 0)), "")</f>
        <v/>
      </c>
      <c r="AQ263" s="51" t="str">
        <f>IF(XT!$P263&gt;0,AP263,"")</f>
        <v/>
      </c>
      <c r="AR263" s="51" t="str">
        <f>IF(XT!$P263=0,AP263,"")</f>
        <v/>
      </c>
      <c r="AS263">
        <f>SUMPRODUCT((MONTH(CHOOSE({1,2,3,4},XT!U263,XT!Y263,XT!AC263,XT!AG263))=12)*(CHOOSE({1,2,3,4},XT!X263,XT!AB263,XT!AF263,XT!AJ263)))</f>
        <v>0</v>
      </c>
      <c r="AT263" t="str">
        <f>IFERROR(INDEX(CHOOSE({1,2,3,4}, DAY(XT!U263), DAY(XT!Y263), DAY(XT!AC263), DAY(XT!AG263)), MATCH(1, INDEX(--(MONTH(CHOOSE({1,2,3,4}, XT!U263,XT!Y263,XT!AC263,XT!AG263))=12), 0), 0)), "")</f>
        <v/>
      </c>
      <c r="AU263" s="51" t="str">
        <f>IF(XT!$P263&gt;0,AT263,"")</f>
        <v/>
      </c>
      <c r="AV263" s="51" t="str">
        <f>IF(XT!$P263=0,AT263,"")</f>
        <v/>
      </c>
    </row>
    <row r="264" spans="1:48">
      <c r="A264">
        <f>SUMPRODUCT((MONTH(CHOOSE({1,2,3,4},XT!U264,XT!Y264,XT!AC264,XT!AG264))=1)*(CHOOSE({1,2,3,4},XT!X264,XT!AB264,XT!AF264,XT!AJ264)))</f>
        <v>0</v>
      </c>
      <c r="B264">
        <f>IFERROR(INDEX(CHOOSE({1,2,3,4}, DAY(XT!U264), DAY(XT!Y264), DAY(XT!AC264), DAY(XT!AG264)), MATCH(1, INDEX(--(MONTH(CHOOSE({1,2,3,4}, XT!U264,XT!Y264,XT!AC264,XT!AG264))=1), 0), 0)), "")</f>
        <v>0</v>
      </c>
      <c r="C264" s="51" t="str">
        <f>IF(XT!$P264&gt;0,B264,"")</f>
        <v/>
      </c>
      <c r="D264" s="51">
        <f>IF(XT!$P264=0,B264,"")</f>
        <v>0</v>
      </c>
      <c r="E264">
        <f>SUMPRODUCT((MONTH(CHOOSE({1,2,3,4},XT!U264,XT!Y264,XT!AC264,XT!AG264))=2)*(CHOOSE({1,2,3,4},XT!X264,XT!AB264,XT!AF264,XT!AJ264)))</f>
        <v>0</v>
      </c>
      <c r="F264" t="str">
        <f>IFERROR(INDEX(CHOOSE({1,2,3,4}, DAY(XT!U264), DAY(XT!Y264), DAY(XT!AC264), DAY(XT!AG264)), MATCH(1, INDEX(--(MONTH(CHOOSE({1,2,3,4}, XT!U264,XT!Y264,XT!AC264,XT!AG264))=2), 0), 0)), "")</f>
        <v/>
      </c>
      <c r="G264" s="51" t="str">
        <f>IF(XT!$P264&gt;0,F264,"")</f>
        <v/>
      </c>
      <c r="H264" s="51" t="str">
        <f>IF(XT!$P264=0,F264,"")</f>
        <v/>
      </c>
      <c r="I264">
        <f>SUMPRODUCT((MONTH(CHOOSE({1,2,3,4},XT!U264,XT!Y264,XT!AC264,XT!AG264))=3)*(CHOOSE({1,2,3,4},XT!X264,XT!AB264,XT!AF264,XT!AJ264)))</f>
        <v>0</v>
      </c>
      <c r="J264" t="str">
        <f>IFERROR(INDEX(CHOOSE({1,2,3,4}, DAY(XT!U264), DAY(XT!Y264), DAY(XT!AC264), DAY(XT!AG264)), MATCH(1, INDEX(--(MONTH(CHOOSE({1,2,3,4}, XT!U264,XT!Y264,XT!AC264,XT!AG264))=3), 0), 0)), "")</f>
        <v/>
      </c>
      <c r="K264" s="51" t="str">
        <f>IF(XT!$P264&gt;0,J264,"")</f>
        <v/>
      </c>
      <c r="L264" s="51" t="str">
        <f>IF(XT!$P264=0,J264,"")</f>
        <v/>
      </c>
      <c r="M264">
        <f>SUMPRODUCT((MONTH(CHOOSE({1,2,3,4},XT!U264,XT!Y264,XT!AC264,XT!AG264))=4)*(CHOOSE({1,2,3,4},XT!X264,XT!AB264,XT!AF264,XT!AJ264)))</f>
        <v>0</v>
      </c>
      <c r="N264" t="str">
        <f>IFERROR(INDEX(CHOOSE({1,2,3,4}, DAY(XT!U264), DAY(XT!Y264), DAY(XT!AC264), DAY(XT!AG264)), MATCH(1, INDEX(--(MONTH(CHOOSE({1,2,3,4}, XT!U264,XT!Y264,XT!AC264,XT!AG264))=4), 0), 0)), "")</f>
        <v/>
      </c>
      <c r="O264" s="51" t="str">
        <f>IF(XT!$P264&gt;0,N264,"")</f>
        <v/>
      </c>
      <c r="P264" s="51" t="str">
        <f>IF(XT!$P264=0,N264,"")</f>
        <v/>
      </c>
      <c r="Q264">
        <f>SUMPRODUCT((MONTH(CHOOSE({1,2,3,4},XT!U264,XT!Y264,XT!AC264,XT!AG264))=5)*(CHOOSE({1,2,3,4},XT!X264,XT!AB264,XT!AF264,XT!AJ264)))</f>
        <v>0</v>
      </c>
      <c r="R264" t="str">
        <f>IFERROR(INDEX(CHOOSE({1,2,3,4}, DAY(XT!U264), DAY(XT!Y264), DAY(XT!AC264), DAY(XT!AG264)), MATCH(1, INDEX(--(MONTH(CHOOSE({1,2,3,4}, XT!U264,XT!Y264,XT!AC264,XT!AG264))=5), 0), 0)), "")</f>
        <v/>
      </c>
      <c r="S264" s="51" t="str">
        <f>IF(XT!$P264&gt;0,R264,"")</f>
        <v/>
      </c>
      <c r="T264" s="51" t="str">
        <f>IF(XT!$P264=0,R264,"")</f>
        <v/>
      </c>
      <c r="U264">
        <f>SUMPRODUCT((MONTH(CHOOSE({1,2,3,4},XT!U264,XT!Y264,XT!AC264,XT!AG264))=6)*(CHOOSE({1,2,3,4},XT!X264,XT!AB264,XT!AF264,XT!AJ264)))</f>
        <v>0</v>
      </c>
      <c r="V264" t="str">
        <f>IFERROR(INDEX(CHOOSE({1,2,3,4}, DAY(XT!U264), DAY(XT!Y264), DAY(XT!AC264), DAY(XT!AG264)), MATCH(1, INDEX(--(MONTH(CHOOSE({1,2,3,4}, XT!U264,XT!Y264,XT!AC264,XT!AG264))=6), 0), 0)), "")</f>
        <v/>
      </c>
      <c r="W264" s="51" t="str">
        <f>IF(XT!$P264&gt;0,V264,"")</f>
        <v/>
      </c>
      <c r="X264" s="51" t="str">
        <f>IF(XT!$P264=0,V264,"")</f>
        <v/>
      </c>
      <c r="Y264">
        <f>SUMPRODUCT((MONTH(CHOOSE({1,2,3,4},XT!U264,XT!Y264,XT!AC264,XT!AG264))=7)*(CHOOSE({1,2,3,4},XT!X264,XT!AB264,XT!AF264,XT!AJ264)))</f>
        <v>0</v>
      </c>
      <c r="Z264" t="str">
        <f>IFERROR(INDEX(CHOOSE({1,2,3,4}, DAY(XT!U264), DAY(XT!Y264), DAY(XT!AC264), DAY(XT!AG264)), MATCH(1, INDEX(--(MONTH(CHOOSE({1,2,3,4}, XT!U264,XT!Y264,XT!AC264,XT!AG264))=7), 0), 0)), "")</f>
        <v/>
      </c>
      <c r="AA264" s="51" t="str">
        <f>IF(XT!$P264&gt;0,Z264,"")</f>
        <v/>
      </c>
      <c r="AB264" s="51" t="str">
        <f>IF(XT!$P264=0,Z264,"")</f>
        <v/>
      </c>
      <c r="AC264">
        <f>SUMPRODUCT((MONTH(CHOOSE({1,2,3,4},XT!U264,XT!Y264,XT!AC264,XT!AG264))=8)*(CHOOSE({1,2,3,4},XT!X264,XT!AB264,XT!AF264,XT!AJ264)))</f>
        <v>0</v>
      </c>
      <c r="AD264" t="str">
        <f>IFERROR(INDEX(CHOOSE({1,2,3,4}, DAY(XT!U264), DAY(XT!Y264), DAY(XT!AC264), DAY(XT!AG264)), MATCH(1, INDEX(--(MONTH(CHOOSE({1,2,3,4}, XT!U264,XT!Y264,XT!AC264,XT!AG264))=8), 0), 0)), "")</f>
        <v/>
      </c>
      <c r="AE264" s="51" t="str">
        <f>IF(XT!$P264&gt;0,AD264,"")</f>
        <v/>
      </c>
      <c r="AF264" s="51" t="str">
        <f>IF(XT!$P264=0,AD264,"")</f>
        <v/>
      </c>
      <c r="AG264">
        <f>SUMPRODUCT((MONTH(CHOOSE({1,2,3,4},XT!U264,XT!Y264,XT!AC264,XT!AG264))=9)*(CHOOSE({1,2,3,4},XT!X264,XT!AB264,XT!AF264,XT!AJ264)))</f>
        <v>0</v>
      </c>
      <c r="AH264" t="str">
        <f>IFERROR(INDEX(CHOOSE({1,2,3,4}, DAY(XT!U264), DAY(XT!Y264), DAY(XT!AC264), DAY(XT!AG264)), MATCH(1, INDEX(--(MONTH(CHOOSE({1,2,3,4}, XT!U264,XT!Y264,XT!AC264,XT!AG264))=9), 0), 0)), "")</f>
        <v/>
      </c>
      <c r="AI264" s="51" t="str">
        <f>IF(XT!$P264&gt;0,AH264,"")</f>
        <v/>
      </c>
      <c r="AJ264" s="51" t="str">
        <f>IF(XT!$P264=0,AH264,"")</f>
        <v/>
      </c>
      <c r="AK264">
        <f>SUMPRODUCT((MONTH(CHOOSE({1,2,3,4},XT!U264,XT!Y264,XT!AC264,XT!AG264))=10)*(CHOOSE({1,2,3,4},XT!X264,XT!AB264,XT!AF264,XT!AJ264)))</f>
        <v>0</v>
      </c>
      <c r="AL264" t="str">
        <f>IFERROR(INDEX(CHOOSE({1,2,3,4}, DAY(XT!U264), DAY(XT!Y264), DAY(XT!AC264), DAY(XT!AG264)), MATCH(1, INDEX(--(MONTH(CHOOSE({1,2,3,4}, XT!U264,XT!Y264,XT!AC264,XT!AG264))=10), 0), 0)), "")</f>
        <v/>
      </c>
      <c r="AM264" s="51" t="str">
        <f>IF(XT!$P264&gt;0,AL264,"")</f>
        <v/>
      </c>
      <c r="AN264" s="51" t="str">
        <f>IF(XT!$P264=0,AL264,"")</f>
        <v/>
      </c>
      <c r="AO264">
        <f>SUMPRODUCT((MONTH(CHOOSE({1,2,3,4},XT!U264,XT!Y264,XT!AC264,XT!AG264))=11)*(CHOOSE({1,2,3,4},XT!X264,XT!AB264,XT!AF264,XT!AJ264)))</f>
        <v>0</v>
      </c>
      <c r="AP264" t="str">
        <f>IFERROR(INDEX(CHOOSE({1,2,3,4}, DAY(XT!U264), DAY(XT!Y264), DAY(XT!AC264), DAY(XT!AG264)), MATCH(1, INDEX(--(MONTH(CHOOSE({1,2,3,4}, XT!U264,XT!Y264,XT!AC264,XT!AG264))=11), 0), 0)), "")</f>
        <v/>
      </c>
      <c r="AQ264" s="51" t="str">
        <f>IF(XT!$P264&gt;0,AP264,"")</f>
        <v/>
      </c>
      <c r="AR264" s="51" t="str">
        <f>IF(XT!$P264=0,AP264,"")</f>
        <v/>
      </c>
      <c r="AS264">
        <f>SUMPRODUCT((MONTH(CHOOSE({1,2,3,4},XT!U264,XT!Y264,XT!AC264,XT!AG264))=12)*(CHOOSE({1,2,3,4},XT!X264,XT!AB264,XT!AF264,XT!AJ264)))</f>
        <v>0</v>
      </c>
      <c r="AT264" t="str">
        <f>IFERROR(INDEX(CHOOSE({1,2,3,4}, DAY(XT!U264), DAY(XT!Y264), DAY(XT!AC264), DAY(XT!AG264)), MATCH(1, INDEX(--(MONTH(CHOOSE({1,2,3,4}, XT!U264,XT!Y264,XT!AC264,XT!AG264))=12), 0), 0)), "")</f>
        <v/>
      </c>
      <c r="AU264" s="51" t="str">
        <f>IF(XT!$P264&gt;0,AT264,"")</f>
        <v/>
      </c>
      <c r="AV264" s="51" t="str">
        <f>IF(XT!$P264=0,AT264,"")</f>
        <v/>
      </c>
    </row>
    <row r="265" spans="1:48">
      <c r="A265">
        <f>SUMPRODUCT((MONTH(CHOOSE({1,2,3,4},XT!U265,XT!Y265,XT!AC265,XT!AG265))=1)*(CHOOSE({1,2,3,4},XT!X265,XT!AB265,XT!AF265,XT!AJ265)))</f>
        <v>0</v>
      </c>
      <c r="B265">
        <f>IFERROR(INDEX(CHOOSE({1,2,3,4}, DAY(XT!U265), DAY(XT!Y265), DAY(XT!AC265), DAY(XT!AG265)), MATCH(1, INDEX(--(MONTH(CHOOSE({1,2,3,4}, XT!U265,XT!Y265,XT!AC265,XT!AG265))=1), 0), 0)), "")</f>
        <v>0</v>
      </c>
      <c r="C265" s="51" t="str">
        <f>IF(XT!$P265&gt;0,B265,"")</f>
        <v/>
      </c>
      <c r="D265" s="51">
        <f>IF(XT!$P265=0,B265,"")</f>
        <v>0</v>
      </c>
      <c r="E265">
        <f>SUMPRODUCT((MONTH(CHOOSE({1,2,3,4},XT!U265,XT!Y265,XT!AC265,XT!AG265))=2)*(CHOOSE({1,2,3,4},XT!X265,XT!AB265,XT!AF265,XT!AJ265)))</f>
        <v>0</v>
      </c>
      <c r="F265" t="str">
        <f>IFERROR(INDEX(CHOOSE({1,2,3,4}, DAY(XT!U265), DAY(XT!Y265), DAY(XT!AC265), DAY(XT!AG265)), MATCH(1, INDEX(--(MONTH(CHOOSE({1,2,3,4}, XT!U265,XT!Y265,XT!AC265,XT!AG265))=2), 0), 0)), "")</f>
        <v/>
      </c>
      <c r="G265" s="51" t="str">
        <f>IF(XT!$P265&gt;0,F265,"")</f>
        <v/>
      </c>
      <c r="H265" s="51" t="str">
        <f>IF(XT!$P265=0,F265,"")</f>
        <v/>
      </c>
      <c r="I265">
        <f>SUMPRODUCT((MONTH(CHOOSE({1,2,3,4},XT!U265,XT!Y265,XT!AC265,XT!AG265))=3)*(CHOOSE({1,2,3,4},XT!X265,XT!AB265,XT!AF265,XT!AJ265)))</f>
        <v>0</v>
      </c>
      <c r="J265" t="str">
        <f>IFERROR(INDEX(CHOOSE({1,2,3,4}, DAY(XT!U265), DAY(XT!Y265), DAY(XT!AC265), DAY(XT!AG265)), MATCH(1, INDEX(--(MONTH(CHOOSE({1,2,3,4}, XT!U265,XT!Y265,XT!AC265,XT!AG265))=3), 0), 0)), "")</f>
        <v/>
      </c>
      <c r="K265" s="51" t="str">
        <f>IF(XT!$P265&gt;0,J265,"")</f>
        <v/>
      </c>
      <c r="L265" s="51" t="str">
        <f>IF(XT!$P265=0,J265,"")</f>
        <v/>
      </c>
      <c r="M265">
        <f>SUMPRODUCT((MONTH(CHOOSE({1,2,3,4},XT!U265,XT!Y265,XT!AC265,XT!AG265))=4)*(CHOOSE({1,2,3,4},XT!X265,XT!AB265,XT!AF265,XT!AJ265)))</f>
        <v>0</v>
      </c>
      <c r="N265" t="str">
        <f>IFERROR(INDEX(CHOOSE({1,2,3,4}, DAY(XT!U265), DAY(XT!Y265), DAY(XT!AC265), DAY(XT!AG265)), MATCH(1, INDEX(--(MONTH(CHOOSE({1,2,3,4}, XT!U265,XT!Y265,XT!AC265,XT!AG265))=4), 0), 0)), "")</f>
        <v/>
      </c>
      <c r="O265" s="51" t="str">
        <f>IF(XT!$P265&gt;0,N265,"")</f>
        <v/>
      </c>
      <c r="P265" s="51" t="str">
        <f>IF(XT!$P265=0,N265,"")</f>
        <v/>
      </c>
      <c r="Q265">
        <f>SUMPRODUCT((MONTH(CHOOSE({1,2,3,4},XT!U265,XT!Y265,XT!AC265,XT!AG265))=5)*(CHOOSE({1,2,3,4},XT!X265,XT!AB265,XT!AF265,XT!AJ265)))</f>
        <v>0</v>
      </c>
      <c r="R265" t="str">
        <f>IFERROR(INDEX(CHOOSE({1,2,3,4}, DAY(XT!U265), DAY(XT!Y265), DAY(XT!AC265), DAY(XT!AG265)), MATCH(1, INDEX(--(MONTH(CHOOSE({1,2,3,4}, XT!U265,XT!Y265,XT!AC265,XT!AG265))=5), 0), 0)), "")</f>
        <v/>
      </c>
      <c r="S265" s="51" t="str">
        <f>IF(XT!$P265&gt;0,R265,"")</f>
        <v/>
      </c>
      <c r="T265" s="51" t="str">
        <f>IF(XT!$P265=0,R265,"")</f>
        <v/>
      </c>
      <c r="U265">
        <f>SUMPRODUCT((MONTH(CHOOSE({1,2,3,4},XT!U265,XT!Y265,XT!AC265,XT!AG265))=6)*(CHOOSE({1,2,3,4},XT!X265,XT!AB265,XT!AF265,XT!AJ265)))</f>
        <v>0</v>
      </c>
      <c r="V265" t="str">
        <f>IFERROR(INDEX(CHOOSE({1,2,3,4}, DAY(XT!U265), DAY(XT!Y265), DAY(XT!AC265), DAY(XT!AG265)), MATCH(1, INDEX(--(MONTH(CHOOSE({1,2,3,4}, XT!U265,XT!Y265,XT!AC265,XT!AG265))=6), 0), 0)), "")</f>
        <v/>
      </c>
      <c r="W265" s="51" t="str">
        <f>IF(XT!$P265&gt;0,V265,"")</f>
        <v/>
      </c>
      <c r="X265" s="51" t="str">
        <f>IF(XT!$P265=0,V265,"")</f>
        <v/>
      </c>
      <c r="Y265">
        <f>SUMPRODUCT((MONTH(CHOOSE({1,2,3,4},XT!U265,XT!Y265,XT!AC265,XT!AG265))=7)*(CHOOSE({1,2,3,4},XT!X265,XT!AB265,XT!AF265,XT!AJ265)))</f>
        <v>0</v>
      </c>
      <c r="Z265" t="str">
        <f>IFERROR(INDEX(CHOOSE({1,2,3,4}, DAY(XT!U265), DAY(XT!Y265), DAY(XT!AC265), DAY(XT!AG265)), MATCH(1, INDEX(--(MONTH(CHOOSE({1,2,3,4}, XT!U265,XT!Y265,XT!AC265,XT!AG265))=7), 0), 0)), "")</f>
        <v/>
      </c>
      <c r="AA265" s="51" t="str">
        <f>IF(XT!$P265&gt;0,Z265,"")</f>
        <v/>
      </c>
      <c r="AB265" s="51" t="str">
        <f>IF(XT!$P265=0,Z265,"")</f>
        <v/>
      </c>
      <c r="AC265">
        <f>SUMPRODUCT((MONTH(CHOOSE({1,2,3,4},XT!U265,XT!Y265,XT!AC265,XT!AG265))=8)*(CHOOSE({1,2,3,4},XT!X265,XT!AB265,XT!AF265,XT!AJ265)))</f>
        <v>0</v>
      </c>
      <c r="AD265" t="str">
        <f>IFERROR(INDEX(CHOOSE({1,2,3,4}, DAY(XT!U265), DAY(XT!Y265), DAY(XT!AC265), DAY(XT!AG265)), MATCH(1, INDEX(--(MONTH(CHOOSE({1,2,3,4}, XT!U265,XT!Y265,XT!AC265,XT!AG265))=8), 0), 0)), "")</f>
        <v/>
      </c>
      <c r="AE265" s="51" t="str">
        <f>IF(XT!$P265&gt;0,AD265,"")</f>
        <v/>
      </c>
      <c r="AF265" s="51" t="str">
        <f>IF(XT!$P265=0,AD265,"")</f>
        <v/>
      </c>
      <c r="AG265">
        <f>SUMPRODUCT((MONTH(CHOOSE({1,2,3,4},XT!U265,XT!Y265,XT!AC265,XT!AG265))=9)*(CHOOSE({1,2,3,4},XT!X265,XT!AB265,XT!AF265,XT!AJ265)))</f>
        <v>0</v>
      </c>
      <c r="AH265" t="str">
        <f>IFERROR(INDEX(CHOOSE({1,2,3,4}, DAY(XT!U265), DAY(XT!Y265), DAY(XT!AC265), DAY(XT!AG265)), MATCH(1, INDEX(--(MONTH(CHOOSE({1,2,3,4}, XT!U265,XT!Y265,XT!AC265,XT!AG265))=9), 0), 0)), "")</f>
        <v/>
      </c>
      <c r="AI265" s="51" t="str">
        <f>IF(XT!$P265&gt;0,AH265,"")</f>
        <v/>
      </c>
      <c r="AJ265" s="51" t="str">
        <f>IF(XT!$P265=0,AH265,"")</f>
        <v/>
      </c>
      <c r="AK265">
        <f>SUMPRODUCT((MONTH(CHOOSE({1,2,3,4},XT!U265,XT!Y265,XT!AC265,XT!AG265))=10)*(CHOOSE({1,2,3,4},XT!X265,XT!AB265,XT!AF265,XT!AJ265)))</f>
        <v>0</v>
      </c>
      <c r="AL265" t="str">
        <f>IFERROR(INDEX(CHOOSE({1,2,3,4}, DAY(XT!U265), DAY(XT!Y265), DAY(XT!AC265), DAY(XT!AG265)), MATCH(1, INDEX(--(MONTH(CHOOSE({1,2,3,4}, XT!U265,XT!Y265,XT!AC265,XT!AG265))=10), 0), 0)), "")</f>
        <v/>
      </c>
      <c r="AM265" s="51" t="str">
        <f>IF(XT!$P265&gt;0,AL265,"")</f>
        <v/>
      </c>
      <c r="AN265" s="51" t="str">
        <f>IF(XT!$P265=0,AL265,"")</f>
        <v/>
      </c>
      <c r="AO265">
        <f>SUMPRODUCT((MONTH(CHOOSE({1,2,3,4},XT!U265,XT!Y265,XT!AC265,XT!AG265))=11)*(CHOOSE({1,2,3,4},XT!X265,XT!AB265,XT!AF265,XT!AJ265)))</f>
        <v>0</v>
      </c>
      <c r="AP265" t="str">
        <f>IFERROR(INDEX(CHOOSE({1,2,3,4}, DAY(XT!U265), DAY(XT!Y265), DAY(XT!AC265), DAY(XT!AG265)), MATCH(1, INDEX(--(MONTH(CHOOSE({1,2,3,4}, XT!U265,XT!Y265,XT!AC265,XT!AG265))=11), 0), 0)), "")</f>
        <v/>
      </c>
      <c r="AQ265" s="51" t="str">
        <f>IF(XT!$P265&gt;0,AP265,"")</f>
        <v/>
      </c>
      <c r="AR265" s="51" t="str">
        <f>IF(XT!$P265=0,AP265,"")</f>
        <v/>
      </c>
      <c r="AS265">
        <f>SUMPRODUCT((MONTH(CHOOSE({1,2,3,4},XT!U265,XT!Y265,XT!AC265,XT!AG265))=12)*(CHOOSE({1,2,3,4},XT!X265,XT!AB265,XT!AF265,XT!AJ265)))</f>
        <v>0</v>
      </c>
      <c r="AT265" t="str">
        <f>IFERROR(INDEX(CHOOSE({1,2,3,4}, DAY(XT!U265), DAY(XT!Y265), DAY(XT!AC265), DAY(XT!AG265)), MATCH(1, INDEX(--(MONTH(CHOOSE({1,2,3,4}, XT!U265,XT!Y265,XT!AC265,XT!AG265))=12), 0), 0)), "")</f>
        <v/>
      </c>
      <c r="AU265" s="51" t="str">
        <f>IF(XT!$P265&gt;0,AT265,"")</f>
        <v/>
      </c>
      <c r="AV265" s="51" t="str">
        <f>IF(XT!$P265=0,AT265,"")</f>
        <v/>
      </c>
    </row>
    <row r="266" spans="1:48">
      <c r="A266">
        <f>SUMPRODUCT((MONTH(CHOOSE({1,2,3,4},XT!U266,XT!Y266,XT!AC266,XT!AG266))=1)*(CHOOSE({1,2,3,4},XT!X266,XT!AB266,XT!AF266,XT!AJ266)))</f>
        <v>0</v>
      </c>
      <c r="B266">
        <f>IFERROR(INDEX(CHOOSE({1,2,3,4}, DAY(XT!U266), DAY(XT!Y266), DAY(XT!AC266), DAY(XT!AG266)), MATCH(1, INDEX(--(MONTH(CHOOSE({1,2,3,4}, XT!U266,XT!Y266,XT!AC266,XT!AG266))=1), 0), 0)), "")</f>
        <v>0</v>
      </c>
      <c r="C266" s="51" t="str">
        <f>IF(XT!$P266&gt;0,B266,"")</f>
        <v/>
      </c>
      <c r="D266" s="51">
        <f>IF(XT!$P266=0,B266,"")</f>
        <v>0</v>
      </c>
      <c r="E266">
        <f>SUMPRODUCT((MONTH(CHOOSE({1,2,3,4},XT!U266,XT!Y266,XT!AC266,XT!AG266))=2)*(CHOOSE({1,2,3,4},XT!X266,XT!AB266,XT!AF266,XT!AJ266)))</f>
        <v>0</v>
      </c>
      <c r="F266" t="str">
        <f>IFERROR(INDEX(CHOOSE({1,2,3,4}, DAY(XT!U266), DAY(XT!Y266), DAY(XT!AC266), DAY(XT!AG266)), MATCH(1, INDEX(--(MONTH(CHOOSE({1,2,3,4}, XT!U266,XT!Y266,XT!AC266,XT!AG266))=2), 0), 0)), "")</f>
        <v/>
      </c>
      <c r="G266" s="51" t="str">
        <f>IF(XT!$P266&gt;0,F266,"")</f>
        <v/>
      </c>
      <c r="H266" s="51" t="str">
        <f>IF(XT!$P266=0,F266,"")</f>
        <v/>
      </c>
      <c r="I266">
        <f>SUMPRODUCT((MONTH(CHOOSE({1,2,3,4},XT!U266,XT!Y266,XT!AC266,XT!AG266))=3)*(CHOOSE({1,2,3,4},XT!X266,XT!AB266,XT!AF266,XT!AJ266)))</f>
        <v>0</v>
      </c>
      <c r="J266" t="str">
        <f>IFERROR(INDEX(CHOOSE({1,2,3,4}, DAY(XT!U266), DAY(XT!Y266), DAY(XT!AC266), DAY(XT!AG266)), MATCH(1, INDEX(--(MONTH(CHOOSE({1,2,3,4}, XT!U266,XT!Y266,XT!AC266,XT!AG266))=3), 0), 0)), "")</f>
        <v/>
      </c>
      <c r="K266" s="51" t="str">
        <f>IF(XT!$P266&gt;0,J266,"")</f>
        <v/>
      </c>
      <c r="L266" s="51" t="str">
        <f>IF(XT!$P266=0,J266,"")</f>
        <v/>
      </c>
      <c r="M266">
        <f>SUMPRODUCT((MONTH(CHOOSE({1,2,3,4},XT!U266,XT!Y266,XT!AC266,XT!AG266))=4)*(CHOOSE({1,2,3,4},XT!X266,XT!AB266,XT!AF266,XT!AJ266)))</f>
        <v>0</v>
      </c>
      <c r="N266" t="str">
        <f>IFERROR(INDEX(CHOOSE({1,2,3,4}, DAY(XT!U266), DAY(XT!Y266), DAY(XT!AC266), DAY(XT!AG266)), MATCH(1, INDEX(--(MONTH(CHOOSE({1,2,3,4}, XT!U266,XT!Y266,XT!AC266,XT!AG266))=4), 0), 0)), "")</f>
        <v/>
      </c>
      <c r="O266" s="51" t="str">
        <f>IF(XT!$P266&gt;0,N266,"")</f>
        <v/>
      </c>
      <c r="P266" s="51" t="str">
        <f>IF(XT!$P266=0,N266,"")</f>
        <v/>
      </c>
      <c r="Q266">
        <f>SUMPRODUCT((MONTH(CHOOSE({1,2,3,4},XT!U266,XT!Y266,XT!AC266,XT!AG266))=5)*(CHOOSE({1,2,3,4},XT!X266,XT!AB266,XT!AF266,XT!AJ266)))</f>
        <v>0</v>
      </c>
      <c r="R266" t="str">
        <f>IFERROR(INDEX(CHOOSE({1,2,3,4}, DAY(XT!U266), DAY(XT!Y266), DAY(XT!AC266), DAY(XT!AG266)), MATCH(1, INDEX(--(MONTH(CHOOSE({1,2,3,4}, XT!U266,XT!Y266,XT!AC266,XT!AG266))=5), 0), 0)), "")</f>
        <v/>
      </c>
      <c r="S266" s="51" t="str">
        <f>IF(XT!$P266&gt;0,R266,"")</f>
        <v/>
      </c>
      <c r="T266" s="51" t="str">
        <f>IF(XT!$P266=0,R266,"")</f>
        <v/>
      </c>
      <c r="U266">
        <f>SUMPRODUCT((MONTH(CHOOSE({1,2,3,4},XT!U266,XT!Y266,XT!AC266,XT!AG266))=6)*(CHOOSE({1,2,3,4},XT!X266,XT!AB266,XT!AF266,XT!AJ266)))</f>
        <v>0</v>
      </c>
      <c r="V266" t="str">
        <f>IFERROR(INDEX(CHOOSE({1,2,3,4}, DAY(XT!U266), DAY(XT!Y266), DAY(XT!AC266), DAY(XT!AG266)), MATCH(1, INDEX(--(MONTH(CHOOSE({1,2,3,4}, XT!U266,XT!Y266,XT!AC266,XT!AG266))=6), 0), 0)), "")</f>
        <v/>
      </c>
      <c r="W266" s="51" t="str">
        <f>IF(XT!$P266&gt;0,V266,"")</f>
        <v/>
      </c>
      <c r="X266" s="51" t="str">
        <f>IF(XT!$P266=0,V266,"")</f>
        <v/>
      </c>
      <c r="Y266">
        <f>SUMPRODUCT((MONTH(CHOOSE({1,2,3,4},XT!U266,XT!Y266,XT!AC266,XT!AG266))=7)*(CHOOSE({1,2,3,4},XT!X266,XT!AB266,XT!AF266,XT!AJ266)))</f>
        <v>0</v>
      </c>
      <c r="Z266" t="str">
        <f>IFERROR(INDEX(CHOOSE({1,2,3,4}, DAY(XT!U266), DAY(XT!Y266), DAY(XT!AC266), DAY(XT!AG266)), MATCH(1, INDEX(--(MONTH(CHOOSE({1,2,3,4}, XT!U266,XT!Y266,XT!AC266,XT!AG266))=7), 0), 0)), "")</f>
        <v/>
      </c>
      <c r="AA266" s="51" t="str">
        <f>IF(XT!$P266&gt;0,Z266,"")</f>
        <v/>
      </c>
      <c r="AB266" s="51" t="str">
        <f>IF(XT!$P266=0,Z266,"")</f>
        <v/>
      </c>
      <c r="AC266">
        <f>SUMPRODUCT((MONTH(CHOOSE({1,2,3,4},XT!U266,XT!Y266,XT!AC266,XT!AG266))=8)*(CHOOSE({1,2,3,4},XT!X266,XT!AB266,XT!AF266,XT!AJ266)))</f>
        <v>0</v>
      </c>
      <c r="AD266" t="str">
        <f>IFERROR(INDEX(CHOOSE({1,2,3,4}, DAY(XT!U266), DAY(XT!Y266), DAY(XT!AC266), DAY(XT!AG266)), MATCH(1, INDEX(--(MONTH(CHOOSE({1,2,3,4}, XT!U266,XT!Y266,XT!AC266,XT!AG266))=8), 0), 0)), "")</f>
        <v/>
      </c>
      <c r="AE266" s="51" t="str">
        <f>IF(XT!$P266&gt;0,AD266,"")</f>
        <v/>
      </c>
      <c r="AF266" s="51" t="str">
        <f>IF(XT!$P266=0,AD266,"")</f>
        <v/>
      </c>
      <c r="AG266">
        <f>SUMPRODUCT((MONTH(CHOOSE({1,2,3,4},XT!U266,XT!Y266,XT!AC266,XT!AG266))=9)*(CHOOSE({1,2,3,4},XT!X266,XT!AB266,XT!AF266,XT!AJ266)))</f>
        <v>0</v>
      </c>
      <c r="AH266" t="str">
        <f>IFERROR(INDEX(CHOOSE({1,2,3,4}, DAY(XT!U266), DAY(XT!Y266), DAY(XT!AC266), DAY(XT!AG266)), MATCH(1, INDEX(--(MONTH(CHOOSE({1,2,3,4}, XT!U266,XT!Y266,XT!AC266,XT!AG266))=9), 0), 0)), "")</f>
        <v/>
      </c>
      <c r="AI266" s="51" t="str">
        <f>IF(XT!$P266&gt;0,AH266,"")</f>
        <v/>
      </c>
      <c r="AJ266" s="51" t="str">
        <f>IF(XT!$P266=0,AH266,"")</f>
        <v/>
      </c>
      <c r="AK266">
        <f>SUMPRODUCT((MONTH(CHOOSE({1,2,3,4},XT!U266,XT!Y266,XT!AC266,XT!AG266))=10)*(CHOOSE({1,2,3,4},XT!X266,XT!AB266,XT!AF266,XT!AJ266)))</f>
        <v>0</v>
      </c>
      <c r="AL266" t="str">
        <f>IFERROR(INDEX(CHOOSE({1,2,3,4}, DAY(XT!U266), DAY(XT!Y266), DAY(XT!AC266), DAY(XT!AG266)), MATCH(1, INDEX(--(MONTH(CHOOSE({1,2,3,4}, XT!U266,XT!Y266,XT!AC266,XT!AG266))=10), 0), 0)), "")</f>
        <v/>
      </c>
      <c r="AM266" s="51" t="str">
        <f>IF(XT!$P266&gt;0,AL266,"")</f>
        <v/>
      </c>
      <c r="AN266" s="51" t="str">
        <f>IF(XT!$P266=0,AL266,"")</f>
        <v/>
      </c>
      <c r="AO266">
        <f>SUMPRODUCT((MONTH(CHOOSE({1,2,3,4},XT!U266,XT!Y266,XT!AC266,XT!AG266))=11)*(CHOOSE({1,2,3,4},XT!X266,XT!AB266,XT!AF266,XT!AJ266)))</f>
        <v>0</v>
      </c>
      <c r="AP266" t="str">
        <f>IFERROR(INDEX(CHOOSE({1,2,3,4}, DAY(XT!U266), DAY(XT!Y266), DAY(XT!AC266), DAY(XT!AG266)), MATCH(1, INDEX(--(MONTH(CHOOSE({1,2,3,4}, XT!U266,XT!Y266,XT!AC266,XT!AG266))=11), 0), 0)), "")</f>
        <v/>
      </c>
      <c r="AQ266" s="51" t="str">
        <f>IF(XT!$P266&gt;0,AP266,"")</f>
        <v/>
      </c>
      <c r="AR266" s="51" t="str">
        <f>IF(XT!$P266=0,AP266,"")</f>
        <v/>
      </c>
      <c r="AS266">
        <f>SUMPRODUCT((MONTH(CHOOSE({1,2,3,4},XT!U266,XT!Y266,XT!AC266,XT!AG266))=12)*(CHOOSE({1,2,3,4},XT!X266,XT!AB266,XT!AF266,XT!AJ266)))</f>
        <v>0</v>
      </c>
      <c r="AT266" t="str">
        <f>IFERROR(INDEX(CHOOSE({1,2,3,4}, DAY(XT!U266), DAY(XT!Y266), DAY(XT!AC266), DAY(XT!AG266)), MATCH(1, INDEX(--(MONTH(CHOOSE({1,2,3,4}, XT!U266,XT!Y266,XT!AC266,XT!AG266))=12), 0), 0)), "")</f>
        <v/>
      </c>
      <c r="AU266" s="51" t="str">
        <f>IF(XT!$P266&gt;0,AT266,"")</f>
        <v/>
      </c>
      <c r="AV266" s="51" t="str">
        <f>IF(XT!$P266=0,AT266,"")</f>
        <v/>
      </c>
    </row>
    <row r="267" spans="1:48">
      <c r="A267">
        <f>SUMPRODUCT((MONTH(CHOOSE({1,2,3,4},XT!U267,XT!Y267,XT!AC267,XT!AG267))=1)*(CHOOSE({1,2,3,4},XT!X267,XT!AB267,XT!AF267,XT!AJ267)))</f>
        <v>0</v>
      </c>
      <c r="B267">
        <f>IFERROR(INDEX(CHOOSE({1,2,3,4}, DAY(XT!U267), DAY(XT!Y267), DAY(XT!AC267), DAY(XT!AG267)), MATCH(1, INDEX(--(MONTH(CHOOSE({1,2,3,4}, XT!U267,XT!Y267,XT!AC267,XT!AG267))=1), 0), 0)), "")</f>
        <v>0</v>
      </c>
      <c r="C267" s="51" t="str">
        <f>IF(XT!$P267&gt;0,B267,"")</f>
        <v/>
      </c>
      <c r="D267" s="51">
        <f>IF(XT!$P267=0,B267,"")</f>
        <v>0</v>
      </c>
      <c r="E267">
        <f>SUMPRODUCT((MONTH(CHOOSE({1,2,3,4},XT!U267,XT!Y267,XT!AC267,XT!AG267))=2)*(CHOOSE({1,2,3,4},XT!X267,XT!AB267,XT!AF267,XT!AJ267)))</f>
        <v>0</v>
      </c>
      <c r="F267" t="str">
        <f>IFERROR(INDEX(CHOOSE({1,2,3,4}, DAY(XT!U267), DAY(XT!Y267), DAY(XT!AC267), DAY(XT!AG267)), MATCH(1, INDEX(--(MONTH(CHOOSE({1,2,3,4}, XT!U267,XT!Y267,XT!AC267,XT!AG267))=2), 0), 0)), "")</f>
        <v/>
      </c>
      <c r="G267" s="51" t="str">
        <f>IF(XT!$P267&gt;0,F267,"")</f>
        <v/>
      </c>
      <c r="H267" s="51" t="str">
        <f>IF(XT!$P267=0,F267,"")</f>
        <v/>
      </c>
      <c r="I267">
        <f>SUMPRODUCT((MONTH(CHOOSE({1,2,3,4},XT!U267,XT!Y267,XT!AC267,XT!AG267))=3)*(CHOOSE({1,2,3,4},XT!X267,XT!AB267,XT!AF267,XT!AJ267)))</f>
        <v>0</v>
      </c>
      <c r="J267" t="str">
        <f>IFERROR(INDEX(CHOOSE({1,2,3,4}, DAY(XT!U267), DAY(XT!Y267), DAY(XT!AC267), DAY(XT!AG267)), MATCH(1, INDEX(--(MONTH(CHOOSE({1,2,3,4}, XT!U267,XT!Y267,XT!AC267,XT!AG267))=3), 0), 0)), "")</f>
        <v/>
      </c>
      <c r="K267" s="51" t="str">
        <f>IF(XT!$P267&gt;0,J267,"")</f>
        <v/>
      </c>
      <c r="L267" s="51" t="str">
        <f>IF(XT!$P267=0,J267,"")</f>
        <v/>
      </c>
      <c r="M267">
        <f>SUMPRODUCT((MONTH(CHOOSE({1,2,3,4},XT!U267,XT!Y267,XT!AC267,XT!AG267))=4)*(CHOOSE({1,2,3,4},XT!X267,XT!AB267,XT!AF267,XT!AJ267)))</f>
        <v>0</v>
      </c>
      <c r="N267" t="str">
        <f>IFERROR(INDEX(CHOOSE({1,2,3,4}, DAY(XT!U267), DAY(XT!Y267), DAY(XT!AC267), DAY(XT!AG267)), MATCH(1, INDEX(--(MONTH(CHOOSE({1,2,3,4}, XT!U267,XT!Y267,XT!AC267,XT!AG267))=4), 0), 0)), "")</f>
        <v/>
      </c>
      <c r="O267" s="51" t="str">
        <f>IF(XT!$P267&gt;0,N267,"")</f>
        <v/>
      </c>
      <c r="P267" s="51" t="str">
        <f>IF(XT!$P267=0,N267,"")</f>
        <v/>
      </c>
      <c r="Q267">
        <f>SUMPRODUCT((MONTH(CHOOSE({1,2,3,4},XT!U267,XT!Y267,XT!AC267,XT!AG267))=5)*(CHOOSE({1,2,3,4},XT!X267,XT!AB267,XT!AF267,XT!AJ267)))</f>
        <v>0</v>
      </c>
      <c r="R267" t="str">
        <f>IFERROR(INDEX(CHOOSE({1,2,3,4}, DAY(XT!U267), DAY(XT!Y267), DAY(XT!AC267), DAY(XT!AG267)), MATCH(1, INDEX(--(MONTH(CHOOSE({1,2,3,4}, XT!U267,XT!Y267,XT!AC267,XT!AG267))=5), 0), 0)), "")</f>
        <v/>
      </c>
      <c r="S267" s="51" t="str">
        <f>IF(XT!$P267&gt;0,R267,"")</f>
        <v/>
      </c>
      <c r="T267" s="51" t="str">
        <f>IF(XT!$P267=0,R267,"")</f>
        <v/>
      </c>
      <c r="U267">
        <f>SUMPRODUCT((MONTH(CHOOSE({1,2,3,4},XT!U267,XT!Y267,XT!AC267,XT!AG267))=6)*(CHOOSE({1,2,3,4},XT!X267,XT!AB267,XT!AF267,XT!AJ267)))</f>
        <v>0</v>
      </c>
      <c r="V267" t="str">
        <f>IFERROR(INDEX(CHOOSE({1,2,3,4}, DAY(XT!U267), DAY(XT!Y267), DAY(XT!AC267), DAY(XT!AG267)), MATCH(1, INDEX(--(MONTH(CHOOSE({1,2,3,4}, XT!U267,XT!Y267,XT!AC267,XT!AG267))=6), 0), 0)), "")</f>
        <v/>
      </c>
      <c r="W267" s="51" t="str">
        <f>IF(XT!$P267&gt;0,V267,"")</f>
        <v/>
      </c>
      <c r="X267" s="51" t="str">
        <f>IF(XT!$P267=0,V267,"")</f>
        <v/>
      </c>
      <c r="Y267">
        <f>SUMPRODUCT((MONTH(CHOOSE({1,2,3,4},XT!U267,XT!Y267,XT!AC267,XT!AG267))=7)*(CHOOSE({1,2,3,4},XT!X267,XT!AB267,XT!AF267,XT!AJ267)))</f>
        <v>0</v>
      </c>
      <c r="Z267" t="str">
        <f>IFERROR(INDEX(CHOOSE({1,2,3,4}, DAY(XT!U267), DAY(XT!Y267), DAY(XT!AC267), DAY(XT!AG267)), MATCH(1, INDEX(--(MONTH(CHOOSE({1,2,3,4}, XT!U267,XT!Y267,XT!AC267,XT!AG267))=7), 0), 0)), "")</f>
        <v/>
      </c>
      <c r="AA267" s="51" t="str">
        <f>IF(XT!$P267&gt;0,Z267,"")</f>
        <v/>
      </c>
      <c r="AB267" s="51" t="str">
        <f>IF(XT!$P267=0,Z267,"")</f>
        <v/>
      </c>
      <c r="AC267">
        <f>SUMPRODUCT((MONTH(CHOOSE({1,2,3,4},XT!U267,XT!Y267,XT!AC267,XT!AG267))=8)*(CHOOSE({1,2,3,4},XT!X267,XT!AB267,XT!AF267,XT!AJ267)))</f>
        <v>0</v>
      </c>
      <c r="AD267" t="str">
        <f>IFERROR(INDEX(CHOOSE({1,2,3,4}, DAY(XT!U267), DAY(XT!Y267), DAY(XT!AC267), DAY(XT!AG267)), MATCH(1, INDEX(--(MONTH(CHOOSE({1,2,3,4}, XT!U267,XT!Y267,XT!AC267,XT!AG267))=8), 0), 0)), "")</f>
        <v/>
      </c>
      <c r="AE267" s="51" t="str">
        <f>IF(XT!$P267&gt;0,AD267,"")</f>
        <v/>
      </c>
      <c r="AF267" s="51" t="str">
        <f>IF(XT!$P267=0,AD267,"")</f>
        <v/>
      </c>
      <c r="AG267">
        <f>SUMPRODUCT((MONTH(CHOOSE({1,2,3,4},XT!U267,XT!Y267,XT!AC267,XT!AG267))=9)*(CHOOSE({1,2,3,4},XT!X267,XT!AB267,XT!AF267,XT!AJ267)))</f>
        <v>0</v>
      </c>
      <c r="AH267" t="str">
        <f>IFERROR(INDEX(CHOOSE({1,2,3,4}, DAY(XT!U267), DAY(XT!Y267), DAY(XT!AC267), DAY(XT!AG267)), MATCH(1, INDEX(--(MONTH(CHOOSE({1,2,3,4}, XT!U267,XT!Y267,XT!AC267,XT!AG267))=9), 0), 0)), "")</f>
        <v/>
      </c>
      <c r="AI267" s="51" t="str">
        <f>IF(XT!$P267&gt;0,AH267,"")</f>
        <v/>
      </c>
      <c r="AJ267" s="51" t="str">
        <f>IF(XT!$P267=0,AH267,"")</f>
        <v/>
      </c>
      <c r="AK267">
        <f>SUMPRODUCT((MONTH(CHOOSE({1,2,3,4},XT!U267,XT!Y267,XT!AC267,XT!AG267))=10)*(CHOOSE({1,2,3,4},XT!X267,XT!AB267,XT!AF267,XT!AJ267)))</f>
        <v>0</v>
      </c>
      <c r="AL267" t="str">
        <f>IFERROR(INDEX(CHOOSE({1,2,3,4}, DAY(XT!U267), DAY(XT!Y267), DAY(XT!AC267), DAY(XT!AG267)), MATCH(1, INDEX(--(MONTH(CHOOSE({1,2,3,4}, XT!U267,XT!Y267,XT!AC267,XT!AG267))=10), 0), 0)), "")</f>
        <v/>
      </c>
      <c r="AM267" s="51" t="str">
        <f>IF(XT!$P267&gt;0,AL267,"")</f>
        <v/>
      </c>
      <c r="AN267" s="51" t="str">
        <f>IF(XT!$P267=0,AL267,"")</f>
        <v/>
      </c>
      <c r="AO267">
        <f>SUMPRODUCT((MONTH(CHOOSE({1,2,3,4},XT!U267,XT!Y267,XT!AC267,XT!AG267))=11)*(CHOOSE({1,2,3,4},XT!X267,XT!AB267,XT!AF267,XT!AJ267)))</f>
        <v>0</v>
      </c>
      <c r="AP267" t="str">
        <f>IFERROR(INDEX(CHOOSE({1,2,3,4}, DAY(XT!U267), DAY(XT!Y267), DAY(XT!AC267), DAY(XT!AG267)), MATCH(1, INDEX(--(MONTH(CHOOSE({1,2,3,4}, XT!U267,XT!Y267,XT!AC267,XT!AG267))=11), 0), 0)), "")</f>
        <v/>
      </c>
      <c r="AQ267" s="51" t="str">
        <f>IF(XT!$P267&gt;0,AP267,"")</f>
        <v/>
      </c>
      <c r="AR267" s="51" t="str">
        <f>IF(XT!$P267=0,AP267,"")</f>
        <v/>
      </c>
      <c r="AS267">
        <f>SUMPRODUCT((MONTH(CHOOSE({1,2,3,4},XT!U267,XT!Y267,XT!AC267,XT!AG267))=12)*(CHOOSE({1,2,3,4},XT!X267,XT!AB267,XT!AF267,XT!AJ267)))</f>
        <v>0</v>
      </c>
      <c r="AT267" t="str">
        <f>IFERROR(INDEX(CHOOSE({1,2,3,4}, DAY(XT!U267), DAY(XT!Y267), DAY(XT!AC267), DAY(XT!AG267)), MATCH(1, INDEX(--(MONTH(CHOOSE({1,2,3,4}, XT!U267,XT!Y267,XT!AC267,XT!AG267))=12), 0), 0)), "")</f>
        <v/>
      </c>
      <c r="AU267" s="51" t="str">
        <f>IF(XT!$P267&gt;0,AT267,"")</f>
        <v/>
      </c>
      <c r="AV267" s="51" t="str">
        <f>IF(XT!$P267=0,AT267,"")</f>
        <v/>
      </c>
    </row>
    <row r="268" spans="1:48">
      <c r="A268">
        <f>SUMPRODUCT((MONTH(CHOOSE({1,2,3,4},XT!U268,XT!Y268,XT!AC268,XT!AG268))=1)*(CHOOSE({1,2,3,4},XT!X268,XT!AB268,XT!AF268,XT!AJ268)))</f>
        <v>0</v>
      </c>
      <c r="B268">
        <f>IFERROR(INDEX(CHOOSE({1,2,3,4}, DAY(XT!U268), DAY(XT!Y268), DAY(XT!AC268), DAY(XT!AG268)), MATCH(1, INDEX(--(MONTH(CHOOSE({1,2,3,4}, XT!U268,XT!Y268,XT!AC268,XT!AG268))=1), 0), 0)), "")</f>
        <v>0</v>
      </c>
      <c r="C268" s="51" t="str">
        <f>IF(XT!$P268&gt;0,B268,"")</f>
        <v/>
      </c>
      <c r="D268" s="51">
        <f>IF(XT!$P268=0,B268,"")</f>
        <v>0</v>
      </c>
      <c r="E268">
        <f>SUMPRODUCT((MONTH(CHOOSE({1,2,3,4},XT!U268,XT!Y268,XT!AC268,XT!AG268))=2)*(CHOOSE({1,2,3,4},XT!X268,XT!AB268,XT!AF268,XT!AJ268)))</f>
        <v>0</v>
      </c>
      <c r="F268" t="str">
        <f>IFERROR(INDEX(CHOOSE({1,2,3,4}, DAY(XT!U268), DAY(XT!Y268), DAY(XT!AC268), DAY(XT!AG268)), MATCH(1, INDEX(--(MONTH(CHOOSE({1,2,3,4}, XT!U268,XT!Y268,XT!AC268,XT!AG268))=2), 0), 0)), "")</f>
        <v/>
      </c>
      <c r="G268" s="51" t="str">
        <f>IF(XT!$P268&gt;0,F268,"")</f>
        <v/>
      </c>
      <c r="H268" s="51" t="str">
        <f>IF(XT!$P268=0,F268,"")</f>
        <v/>
      </c>
      <c r="I268">
        <f>SUMPRODUCT((MONTH(CHOOSE({1,2,3,4},XT!U268,XT!Y268,XT!AC268,XT!AG268))=3)*(CHOOSE({1,2,3,4},XT!X268,XT!AB268,XT!AF268,XT!AJ268)))</f>
        <v>0</v>
      </c>
      <c r="J268" t="str">
        <f>IFERROR(INDEX(CHOOSE({1,2,3,4}, DAY(XT!U268), DAY(XT!Y268), DAY(XT!AC268), DAY(XT!AG268)), MATCH(1, INDEX(--(MONTH(CHOOSE({1,2,3,4}, XT!U268,XT!Y268,XT!AC268,XT!AG268))=3), 0), 0)), "")</f>
        <v/>
      </c>
      <c r="K268" s="51" t="str">
        <f>IF(XT!$P268&gt;0,J268,"")</f>
        <v/>
      </c>
      <c r="L268" s="51" t="str">
        <f>IF(XT!$P268=0,J268,"")</f>
        <v/>
      </c>
      <c r="M268">
        <f>SUMPRODUCT((MONTH(CHOOSE({1,2,3,4},XT!U268,XT!Y268,XT!AC268,XT!AG268))=4)*(CHOOSE({1,2,3,4},XT!X268,XT!AB268,XT!AF268,XT!AJ268)))</f>
        <v>0</v>
      </c>
      <c r="N268" t="str">
        <f>IFERROR(INDEX(CHOOSE({1,2,3,4}, DAY(XT!U268), DAY(XT!Y268), DAY(XT!AC268), DAY(XT!AG268)), MATCH(1, INDEX(--(MONTH(CHOOSE({1,2,3,4}, XT!U268,XT!Y268,XT!AC268,XT!AG268))=4), 0), 0)), "")</f>
        <v/>
      </c>
      <c r="O268" s="51" t="str">
        <f>IF(XT!$P268&gt;0,N268,"")</f>
        <v/>
      </c>
      <c r="P268" s="51" t="str">
        <f>IF(XT!$P268=0,N268,"")</f>
        <v/>
      </c>
      <c r="Q268">
        <f>SUMPRODUCT((MONTH(CHOOSE({1,2,3,4},XT!U268,XT!Y268,XT!AC268,XT!AG268))=5)*(CHOOSE({1,2,3,4},XT!X268,XT!AB268,XT!AF268,XT!AJ268)))</f>
        <v>0</v>
      </c>
      <c r="R268" t="str">
        <f>IFERROR(INDEX(CHOOSE({1,2,3,4}, DAY(XT!U268), DAY(XT!Y268), DAY(XT!AC268), DAY(XT!AG268)), MATCH(1, INDEX(--(MONTH(CHOOSE({1,2,3,4}, XT!U268,XT!Y268,XT!AC268,XT!AG268))=5), 0), 0)), "")</f>
        <v/>
      </c>
      <c r="S268" s="51" t="str">
        <f>IF(XT!$P268&gt;0,R268,"")</f>
        <v/>
      </c>
      <c r="T268" s="51" t="str">
        <f>IF(XT!$P268=0,R268,"")</f>
        <v/>
      </c>
      <c r="U268">
        <f>SUMPRODUCT((MONTH(CHOOSE({1,2,3,4},XT!U268,XT!Y268,XT!AC268,XT!AG268))=6)*(CHOOSE({1,2,3,4},XT!X268,XT!AB268,XT!AF268,XT!AJ268)))</f>
        <v>0</v>
      </c>
      <c r="V268" t="str">
        <f>IFERROR(INDEX(CHOOSE({1,2,3,4}, DAY(XT!U268), DAY(XT!Y268), DAY(XT!AC268), DAY(XT!AG268)), MATCH(1, INDEX(--(MONTH(CHOOSE({1,2,3,4}, XT!U268,XT!Y268,XT!AC268,XT!AG268))=6), 0), 0)), "")</f>
        <v/>
      </c>
      <c r="W268" s="51" t="str">
        <f>IF(XT!$P268&gt;0,V268,"")</f>
        <v/>
      </c>
      <c r="X268" s="51" t="str">
        <f>IF(XT!$P268=0,V268,"")</f>
        <v/>
      </c>
      <c r="Y268">
        <f>SUMPRODUCT((MONTH(CHOOSE({1,2,3,4},XT!U268,XT!Y268,XT!AC268,XT!AG268))=7)*(CHOOSE({1,2,3,4},XT!X268,XT!AB268,XT!AF268,XT!AJ268)))</f>
        <v>0</v>
      </c>
      <c r="Z268" t="str">
        <f>IFERROR(INDEX(CHOOSE({1,2,3,4}, DAY(XT!U268), DAY(XT!Y268), DAY(XT!AC268), DAY(XT!AG268)), MATCH(1, INDEX(--(MONTH(CHOOSE({1,2,3,4}, XT!U268,XT!Y268,XT!AC268,XT!AG268))=7), 0), 0)), "")</f>
        <v/>
      </c>
      <c r="AA268" s="51" t="str">
        <f>IF(XT!$P268&gt;0,Z268,"")</f>
        <v/>
      </c>
      <c r="AB268" s="51" t="str">
        <f>IF(XT!$P268=0,Z268,"")</f>
        <v/>
      </c>
      <c r="AC268">
        <f>SUMPRODUCT((MONTH(CHOOSE({1,2,3,4},XT!U268,XT!Y268,XT!AC268,XT!AG268))=8)*(CHOOSE({1,2,3,4},XT!X268,XT!AB268,XT!AF268,XT!AJ268)))</f>
        <v>0</v>
      </c>
      <c r="AD268" t="str">
        <f>IFERROR(INDEX(CHOOSE({1,2,3,4}, DAY(XT!U268), DAY(XT!Y268), DAY(XT!AC268), DAY(XT!AG268)), MATCH(1, INDEX(--(MONTH(CHOOSE({1,2,3,4}, XT!U268,XT!Y268,XT!AC268,XT!AG268))=8), 0), 0)), "")</f>
        <v/>
      </c>
      <c r="AE268" s="51" t="str">
        <f>IF(XT!$P268&gt;0,AD268,"")</f>
        <v/>
      </c>
      <c r="AF268" s="51" t="str">
        <f>IF(XT!$P268=0,AD268,"")</f>
        <v/>
      </c>
      <c r="AG268">
        <f>SUMPRODUCT((MONTH(CHOOSE({1,2,3,4},XT!U268,XT!Y268,XT!AC268,XT!AG268))=9)*(CHOOSE({1,2,3,4},XT!X268,XT!AB268,XT!AF268,XT!AJ268)))</f>
        <v>0</v>
      </c>
      <c r="AH268" t="str">
        <f>IFERROR(INDEX(CHOOSE({1,2,3,4}, DAY(XT!U268), DAY(XT!Y268), DAY(XT!AC268), DAY(XT!AG268)), MATCH(1, INDEX(--(MONTH(CHOOSE({1,2,3,4}, XT!U268,XT!Y268,XT!AC268,XT!AG268))=9), 0), 0)), "")</f>
        <v/>
      </c>
      <c r="AI268" s="51" t="str">
        <f>IF(XT!$P268&gt;0,AH268,"")</f>
        <v/>
      </c>
      <c r="AJ268" s="51" t="str">
        <f>IF(XT!$P268=0,AH268,"")</f>
        <v/>
      </c>
      <c r="AK268">
        <f>SUMPRODUCT((MONTH(CHOOSE({1,2,3,4},XT!U268,XT!Y268,XT!AC268,XT!AG268))=10)*(CHOOSE({1,2,3,4},XT!X268,XT!AB268,XT!AF268,XT!AJ268)))</f>
        <v>0</v>
      </c>
      <c r="AL268" t="str">
        <f>IFERROR(INDEX(CHOOSE({1,2,3,4}, DAY(XT!U268), DAY(XT!Y268), DAY(XT!AC268), DAY(XT!AG268)), MATCH(1, INDEX(--(MONTH(CHOOSE({1,2,3,4}, XT!U268,XT!Y268,XT!AC268,XT!AG268))=10), 0), 0)), "")</f>
        <v/>
      </c>
      <c r="AM268" s="51" t="str">
        <f>IF(XT!$P268&gt;0,AL268,"")</f>
        <v/>
      </c>
      <c r="AN268" s="51" t="str">
        <f>IF(XT!$P268=0,AL268,"")</f>
        <v/>
      </c>
      <c r="AO268">
        <f>SUMPRODUCT((MONTH(CHOOSE({1,2,3,4},XT!U268,XT!Y268,XT!AC268,XT!AG268))=11)*(CHOOSE({1,2,3,4},XT!X268,XT!AB268,XT!AF268,XT!AJ268)))</f>
        <v>0</v>
      </c>
      <c r="AP268" t="str">
        <f>IFERROR(INDEX(CHOOSE({1,2,3,4}, DAY(XT!U268), DAY(XT!Y268), DAY(XT!AC268), DAY(XT!AG268)), MATCH(1, INDEX(--(MONTH(CHOOSE({1,2,3,4}, XT!U268,XT!Y268,XT!AC268,XT!AG268))=11), 0), 0)), "")</f>
        <v/>
      </c>
      <c r="AQ268" s="51" t="str">
        <f>IF(XT!$P268&gt;0,AP268,"")</f>
        <v/>
      </c>
      <c r="AR268" s="51" t="str">
        <f>IF(XT!$P268=0,AP268,"")</f>
        <v/>
      </c>
      <c r="AS268">
        <f>SUMPRODUCT((MONTH(CHOOSE({1,2,3,4},XT!U268,XT!Y268,XT!AC268,XT!AG268))=12)*(CHOOSE({1,2,3,4},XT!X268,XT!AB268,XT!AF268,XT!AJ268)))</f>
        <v>0</v>
      </c>
      <c r="AT268" t="str">
        <f>IFERROR(INDEX(CHOOSE({1,2,3,4}, DAY(XT!U268), DAY(XT!Y268), DAY(XT!AC268), DAY(XT!AG268)), MATCH(1, INDEX(--(MONTH(CHOOSE({1,2,3,4}, XT!U268,XT!Y268,XT!AC268,XT!AG268))=12), 0), 0)), "")</f>
        <v/>
      </c>
      <c r="AU268" s="51" t="str">
        <f>IF(XT!$P268&gt;0,AT268,"")</f>
        <v/>
      </c>
      <c r="AV268" s="51" t="str">
        <f>IF(XT!$P268=0,AT268,"")</f>
        <v/>
      </c>
    </row>
    <row r="269" spans="1:48">
      <c r="A269">
        <f>SUMPRODUCT((MONTH(CHOOSE({1,2,3,4},XT!U269,XT!Y269,XT!AC269,XT!AG269))=1)*(CHOOSE({1,2,3,4},XT!X269,XT!AB269,XT!AF269,XT!AJ269)))</f>
        <v>0</v>
      </c>
      <c r="B269">
        <f>IFERROR(INDEX(CHOOSE({1,2,3,4}, DAY(XT!U269), DAY(XT!Y269), DAY(XT!AC269), DAY(XT!AG269)), MATCH(1, INDEX(--(MONTH(CHOOSE({1,2,3,4}, XT!U269,XT!Y269,XT!AC269,XT!AG269))=1), 0), 0)), "")</f>
        <v>0</v>
      </c>
      <c r="C269" s="51" t="str">
        <f>IF(XT!$P269&gt;0,B269,"")</f>
        <v/>
      </c>
      <c r="D269" s="51">
        <f>IF(XT!$P269=0,B269,"")</f>
        <v>0</v>
      </c>
      <c r="E269">
        <f>SUMPRODUCT((MONTH(CHOOSE({1,2,3,4},XT!U269,XT!Y269,XT!AC269,XT!AG269))=2)*(CHOOSE({1,2,3,4},XT!X269,XT!AB269,XT!AF269,XT!AJ269)))</f>
        <v>0</v>
      </c>
      <c r="F269" t="str">
        <f>IFERROR(INDEX(CHOOSE({1,2,3,4}, DAY(XT!U269), DAY(XT!Y269), DAY(XT!AC269), DAY(XT!AG269)), MATCH(1, INDEX(--(MONTH(CHOOSE({1,2,3,4}, XT!U269,XT!Y269,XT!AC269,XT!AG269))=2), 0), 0)), "")</f>
        <v/>
      </c>
      <c r="G269" s="51" t="str">
        <f>IF(XT!$P269&gt;0,F269,"")</f>
        <v/>
      </c>
      <c r="H269" s="51" t="str">
        <f>IF(XT!$P269=0,F269,"")</f>
        <v/>
      </c>
      <c r="I269">
        <f>SUMPRODUCT((MONTH(CHOOSE({1,2,3,4},XT!U269,XT!Y269,XT!AC269,XT!AG269))=3)*(CHOOSE({1,2,3,4},XT!X269,XT!AB269,XT!AF269,XT!AJ269)))</f>
        <v>0</v>
      </c>
      <c r="J269" t="str">
        <f>IFERROR(INDEX(CHOOSE({1,2,3,4}, DAY(XT!U269), DAY(XT!Y269), DAY(XT!AC269), DAY(XT!AG269)), MATCH(1, INDEX(--(MONTH(CHOOSE({1,2,3,4}, XT!U269,XT!Y269,XT!AC269,XT!AG269))=3), 0), 0)), "")</f>
        <v/>
      </c>
      <c r="K269" s="51" t="str">
        <f>IF(XT!$P269&gt;0,J269,"")</f>
        <v/>
      </c>
      <c r="L269" s="51" t="str">
        <f>IF(XT!$P269=0,J269,"")</f>
        <v/>
      </c>
      <c r="M269">
        <f>SUMPRODUCT((MONTH(CHOOSE({1,2,3,4},XT!U269,XT!Y269,XT!AC269,XT!AG269))=4)*(CHOOSE({1,2,3,4},XT!X269,XT!AB269,XT!AF269,XT!AJ269)))</f>
        <v>0</v>
      </c>
      <c r="N269" t="str">
        <f>IFERROR(INDEX(CHOOSE({1,2,3,4}, DAY(XT!U269), DAY(XT!Y269), DAY(XT!AC269), DAY(XT!AG269)), MATCH(1, INDEX(--(MONTH(CHOOSE({1,2,3,4}, XT!U269,XT!Y269,XT!AC269,XT!AG269))=4), 0), 0)), "")</f>
        <v/>
      </c>
      <c r="O269" s="51" t="str">
        <f>IF(XT!$P269&gt;0,N269,"")</f>
        <v/>
      </c>
      <c r="P269" s="51" t="str">
        <f>IF(XT!$P269=0,N269,"")</f>
        <v/>
      </c>
      <c r="Q269">
        <f>SUMPRODUCT((MONTH(CHOOSE({1,2,3,4},XT!U269,XT!Y269,XT!AC269,XT!AG269))=5)*(CHOOSE({1,2,3,4},XT!X269,XT!AB269,XT!AF269,XT!AJ269)))</f>
        <v>0</v>
      </c>
      <c r="R269" t="str">
        <f>IFERROR(INDEX(CHOOSE({1,2,3,4}, DAY(XT!U269), DAY(XT!Y269), DAY(XT!AC269), DAY(XT!AG269)), MATCH(1, INDEX(--(MONTH(CHOOSE({1,2,3,4}, XT!U269,XT!Y269,XT!AC269,XT!AG269))=5), 0), 0)), "")</f>
        <v/>
      </c>
      <c r="S269" s="51" t="str">
        <f>IF(XT!$P269&gt;0,R269,"")</f>
        <v/>
      </c>
      <c r="T269" s="51" t="str">
        <f>IF(XT!$P269=0,R269,"")</f>
        <v/>
      </c>
      <c r="U269">
        <f>SUMPRODUCT((MONTH(CHOOSE({1,2,3,4},XT!U269,XT!Y269,XT!AC269,XT!AG269))=6)*(CHOOSE({1,2,3,4},XT!X269,XT!AB269,XT!AF269,XT!AJ269)))</f>
        <v>0</v>
      </c>
      <c r="V269" t="str">
        <f>IFERROR(INDEX(CHOOSE({1,2,3,4}, DAY(XT!U269), DAY(XT!Y269), DAY(XT!AC269), DAY(XT!AG269)), MATCH(1, INDEX(--(MONTH(CHOOSE({1,2,3,4}, XT!U269,XT!Y269,XT!AC269,XT!AG269))=6), 0), 0)), "")</f>
        <v/>
      </c>
      <c r="W269" s="51" t="str">
        <f>IF(XT!$P269&gt;0,V269,"")</f>
        <v/>
      </c>
      <c r="X269" s="51" t="str">
        <f>IF(XT!$P269=0,V269,"")</f>
        <v/>
      </c>
      <c r="Y269">
        <f>SUMPRODUCT((MONTH(CHOOSE({1,2,3,4},XT!U269,XT!Y269,XT!AC269,XT!AG269))=7)*(CHOOSE({1,2,3,4},XT!X269,XT!AB269,XT!AF269,XT!AJ269)))</f>
        <v>0</v>
      </c>
      <c r="Z269" t="str">
        <f>IFERROR(INDEX(CHOOSE({1,2,3,4}, DAY(XT!U269), DAY(XT!Y269), DAY(XT!AC269), DAY(XT!AG269)), MATCH(1, INDEX(--(MONTH(CHOOSE({1,2,3,4}, XT!U269,XT!Y269,XT!AC269,XT!AG269))=7), 0), 0)), "")</f>
        <v/>
      </c>
      <c r="AA269" s="51" t="str">
        <f>IF(XT!$P269&gt;0,Z269,"")</f>
        <v/>
      </c>
      <c r="AB269" s="51" t="str">
        <f>IF(XT!$P269=0,Z269,"")</f>
        <v/>
      </c>
      <c r="AC269">
        <f>SUMPRODUCT((MONTH(CHOOSE({1,2,3,4},XT!U269,XT!Y269,XT!AC269,XT!AG269))=8)*(CHOOSE({1,2,3,4},XT!X269,XT!AB269,XT!AF269,XT!AJ269)))</f>
        <v>0</v>
      </c>
      <c r="AD269" t="str">
        <f>IFERROR(INDEX(CHOOSE({1,2,3,4}, DAY(XT!U269), DAY(XT!Y269), DAY(XT!AC269), DAY(XT!AG269)), MATCH(1, INDEX(--(MONTH(CHOOSE({1,2,3,4}, XT!U269,XT!Y269,XT!AC269,XT!AG269))=8), 0), 0)), "")</f>
        <v/>
      </c>
      <c r="AE269" s="51" t="str">
        <f>IF(XT!$P269&gt;0,AD269,"")</f>
        <v/>
      </c>
      <c r="AF269" s="51" t="str">
        <f>IF(XT!$P269=0,AD269,"")</f>
        <v/>
      </c>
      <c r="AG269">
        <f>SUMPRODUCT((MONTH(CHOOSE({1,2,3,4},XT!U269,XT!Y269,XT!AC269,XT!AG269))=9)*(CHOOSE({1,2,3,4},XT!X269,XT!AB269,XT!AF269,XT!AJ269)))</f>
        <v>0</v>
      </c>
      <c r="AH269" t="str">
        <f>IFERROR(INDEX(CHOOSE({1,2,3,4}, DAY(XT!U269), DAY(XT!Y269), DAY(XT!AC269), DAY(XT!AG269)), MATCH(1, INDEX(--(MONTH(CHOOSE({1,2,3,4}, XT!U269,XT!Y269,XT!AC269,XT!AG269))=9), 0), 0)), "")</f>
        <v/>
      </c>
      <c r="AI269" s="51" t="str">
        <f>IF(XT!$P269&gt;0,AH269,"")</f>
        <v/>
      </c>
      <c r="AJ269" s="51" t="str">
        <f>IF(XT!$P269=0,AH269,"")</f>
        <v/>
      </c>
      <c r="AK269">
        <f>SUMPRODUCT((MONTH(CHOOSE({1,2,3,4},XT!U269,XT!Y269,XT!AC269,XT!AG269))=10)*(CHOOSE({1,2,3,4},XT!X269,XT!AB269,XT!AF269,XT!AJ269)))</f>
        <v>0</v>
      </c>
      <c r="AL269" t="str">
        <f>IFERROR(INDEX(CHOOSE({1,2,3,4}, DAY(XT!U269), DAY(XT!Y269), DAY(XT!AC269), DAY(XT!AG269)), MATCH(1, INDEX(--(MONTH(CHOOSE({1,2,3,4}, XT!U269,XT!Y269,XT!AC269,XT!AG269))=10), 0), 0)), "")</f>
        <v/>
      </c>
      <c r="AM269" s="51" t="str">
        <f>IF(XT!$P269&gt;0,AL269,"")</f>
        <v/>
      </c>
      <c r="AN269" s="51" t="str">
        <f>IF(XT!$P269=0,AL269,"")</f>
        <v/>
      </c>
      <c r="AO269">
        <f>SUMPRODUCT((MONTH(CHOOSE({1,2,3,4},XT!U269,XT!Y269,XT!AC269,XT!AG269))=11)*(CHOOSE({1,2,3,4},XT!X269,XT!AB269,XT!AF269,XT!AJ269)))</f>
        <v>0</v>
      </c>
      <c r="AP269" t="str">
        <f>IFERROR(INDEX(CHOOSE({1,2,3,4}, DAY(XT!U269), DAY(XT!Y269), DAY(XT!AC269), DAY(XT!AG269)), MATCH(1, INDEX(--(MONTH(CHOOSE({1,2,3,4}, XT!U269,XT!Y269,XT!AC269,XT!AG269))=11), 0), 0)), "")</f>
        <v/>
      </c>
      <c r="AQ269" s="51" t="str">
        <f>IF(XT!$P269&gt;0,AP269,"")</f>
        <v/>
      </c>
      <c r="AR269" s="51" t="str">
        <f>IF(XT!$P269=0,AP269,"")</f>
        <v/>
      </c>
      <c r="AS269">
        <f>SUMPRODUCT((MONTH(CHOOSE({1,2,3,4},XT!U269,XT!Y269,XT!AC269,XT!AG269))=12)*(CHOOSE({1,2,3,4},XT!X269,XT!AB269,XT!AF269,XT!AJ269)))</f>
        <v>0</v>
      </c>
      <c r="AT269" t="str">
        <f>IFERROR(INDEX(CHOOSE({1,2,3,4}, DAY(XT!U269), DAY(XT!Y269), DAY(XT!AC269), DAY(XT!AG269)), MATCH(1, INDEX(--(MONTH(CHOOSE({1,2,3,4}, XT!U269,XT!Y269,XT!AC269,XT!AG269))=12), 0), 0)), "")</f>
        <v/>
      </c>
      <c r="AU269" s="51" t="str">
        <f>IF(XT!$P269&gt;0,AT269,"")</f>
        <v/>
      </c>
      <c r="AV269" s="51" t="str">
        <f>IF(XT!$P269=0,AT269,"")</f>
        <v/>
      </c>
    </row>
    <row r="270" spans="1:48">
      <c r="A270">
        <f>SUMPRODUCT((MONTH(CHOOSE({1,2,3,4},XT!U270,XT!Y270,XT!AC270,XT!AG270))=1)*(CHOOSE({1,2,3,4},XT!X270,XT!AB270,XT!AF270,XT!AJ270)))</f>
        <v>0</v>
      </c>
      <c r="B270">
        <f>IFERROR(INDEX(CHOOSE({1,2,3,4}, DAY(XT!U270), DAY(XT!Y270), DAY(XT!AC270), DAY(XT!AG270)), MATCH(1, INDEX(--(MONTH(CHOOSE({1,2,3,4}, XT!U270,XT!Y270,XT!AC270,XT!AG270))=1), 0), 0)), "")</f>
        <v>0</v>
      </c>
      <c r="C270" s="51" t="str">
        <f>IF(XT!$P270&gt;0,B270,"")</f>
        <v/>
      </c>
      <c r="D270" s="51">
        <f>IF(XT!$P270=0,B270,"")</f>
        <v>0</v>
      </c>
      <c r="E270">
        <f>SUMPRODUCT((MONTH(CHOOSE({1,2,3,4},XT!U270,XT!Y270,XT!AC270,XT!AG270))=2)*(CHOOSE({1,2,3,4},XT!X270,XT!AB270,XT!AF270,XT!AJ270)))</f>
        <v>0</v>
      </c>
      <c r="F270" t="str">
        <f>IFERROR(INDEX(CHOOSE({1,2,3,4}, DAY(XT!U270), DAY(XT!Y270), DAY(XT!AC270), DAY(XT!AG270)), MATCH(1, INDEX(--(MONTH(CHOOSE({1,2,3,4}, XT!U270,XT!Y270,XT!AC270,XT!AG270))=2), 0), 0)), "")</f>
        <v/>
      </c>
      <c r="G270" s="51" t="str">
        <f>IF(XT!$P270&gt;0,F270,"")</f>
        <v/>
      </c>
      <c r="H270" s="51" t="str">
        <f>IF(XT!$P270=0,F270,"")</f>
        <v/>
      </c>
      <c r="I270">
        <f>SUMPRODUCT((MONTH(CHOOSE({1,2,3,4},XT!U270,XT!Y270,XT!AC270,XT!AG270))=3)*(CHOOSE({1,2,3,4},XT!X270,XT!AB270,XT!AF270,XT!AJ270)))</f>
        <v>0</v>
      </c>
      <c r="J270" t="str">
        <f>IFERROR(INDEX(CHOOSE({1,2,3,4}, DAY(XT!U270), DAY(XT!Y270), DAY(XT!AC270), DAY(XT!AG270)), MATCH(1, INDEX(--(MONTH(CHOOSE({1,2,3,4}, XT!U270,XT!Y270,XT!AC270,XT!AG270))=3), 0), 0)), "")</f>
        <v/>
      </c>
      <c r="K270" s="51" t="str">
        <f>IF(XT!$P270&gt;0,J270,"")</f>
        <v/>
      </c>
      <c r="L270" s="51" t="str">
        <f>IF(XT!$P270=0,J270,"")</f>
        <v/>
      </c>
      <c r="M270">
        <f>SUMPRODUCT((MONTH(CHOOSE({1,2,3,4},XT!U270,XT!Y270,XT!AC270,XT!AG270))=4)*(CHOOSE({1,2,3,4},XT!X270,XT!AB270,XT!AF270,XT!AJ270)))</f>
        <v>0</v>
      </c>
      <c r="N270" t="str">
        <f>IFERROR(INDEX(CHOOSE({1,2,3,4}, DAY(XT!U270), DAY(XT!Y270), DAY(XT!AC270), DAY(XT!AG270)), MATCH(1, INDEX(--(MONTH(CHOOSE({1,2,3,4}, XT!U270,XT!Y270,XT!AC270,XT!AG270))=4), 0), 0)), "")</f>
        <v/>
      </c>
      <c r="O270" s="51" t="str">
        <f>IF(XT!$P270&gt;0,N270,"")</f>
        <v/>
      </c>
      <c r="P270" s="51" t="str">
        <f>IF(XT!$P270=0,N270,"")</f>
        <v/>
      </c>
      <c r="Q270">
        <f>SUMPRODUCT((MONTH(CHOOSE({1,2,3,4},XT!U270,XT!Y270,XT!AC270,XT!AG270))=5)*(CHOOSE({1,2,3,4},XT!X270,XT!AB270,XT!AF270,XT!AJ270)))</f>
        <v>0</v>
      </c>
      <c r="R270" t="str">
        <f>IFERROR(INDEX(CHOOSE({1,2,3,4}, DAY(XT!U270), DAY(XT!Y270), DAY(XT!AC270), DAY(XT!AG270)), MATCH(1, INDEX(--(MONTH(CHOOSE({1,2,3,4}, XT!U270,XT!Y270,XT!AC270,XT!AG270))=5), 0), 0)), "")</f>
        <v/>
      </c>
      <c r="S270" s="51" t="str">
        <f>IF(XT!$P270&gt;0,R270,"")</f>
        <v/>
      </c>
      <c r="T270" s="51" t="str">
        <f>IF(XT!$P270=0,R270,"")</f>
        <v/>
      </c>
      <c r="U270">
        <f>SUMPRODUCT((MONTH(CHOOSE({1,2,3,4},XT!U270,XT!Y270,XT!AC270,XT!AG270))=6)*(CHOOSE({1,2,3,4},XT!X270,XT!AB270,XT!AF270,XT!AJ270)))</f>
        <v>0</v>
      </c>
      <c r="V270" t="str">
        <f>IFERROR(INDEX(CHOOSE({1,2,3,4}, DAY(XT!U270), DAY(XT!Y270), DAY(XT!AC270), DAY(XT!AG270)), MATCH(1, INDEX(--(MONTH(CHOOSE({1,2,3,4}, XT!U270,XT!Y270,XT!AC270,XT!AG270))=6), 0), 0)), "")</f>
        <v/>
      </c>
      <c r="W270" s="51" t="str">
        <f>IF(XT!$P270&gt;0,V270,"")</f>
        <v/>
      </c>
      <c r="X270" s="51" t="str">
        <f>IF(XT!$P270=0,V270,"")</f>
        <v/>
      </c>
      <c r="Y270">
        <f>SUMPRODUCT((MONTH(CHOOSE({1,2,3,4},XT!U270,XT!Y270,XT!AC270,XT!AG270))=7)*(CHOOSE({1,2,3,4},XT!X270,XT!AB270,XT!AF270,XT!AJ270)))</f>
        <v>0</v>
      </c>
      <c r="Z270" t="str">
        <f>IFERROR(INDEX(CHOOSE({1,2,3,4}, DAY(XT!U270), DAY(XT!Y270), DAY(XT!AC270), DAY(XT!AG270)), MATCH(1, INDEX(--(MONTH(CHOOSE({1,2,3,4}, XT!U270,XT!Y270,XT!AC270,XT!AG270))=7), 0), 0)), "")</f>
        <v/>
      </c>
      <c r="AA270" s="51" t="str">
        <f>IF(XT!$P270&gt;0,Z270,"")</f>
        <v/>
      </c>
      <c r="AB270" s="51" t="str">
        <f>IF(XT!$P270=0,Z270,"")</f>
        <v/>
      </c>
      <c r="AC270">
        <f>SUMPRODUCT((MONTH(CHOOSE({1,2,3,4},XT!U270,XT!Y270,XT!AC270,XT!AG270))=8)*(CHOOSE({1,2,3,4},XT!X270,XT!AB270,XT!AF270,XT!AJ270)))</f>
        <v>0</v>
      </c>
      <c r="AD270" t="str">
        <f>IFERROR(INDEX(CHOOSE({1,2,3,4}, DAY(XT!U270), DAY(XT!Y270), DAY(XT!AC270), DAY(XT!AG270)), MATCH(1, INDEX(--(MONTH(CHOOSE({1,2,3,4}, XT!U270,XT!Y270,XT!AC270,XT!AG270))=8), 0), 0)), "")</f>
        <v/>
      </c>
      <c r="AE270" s="51" t="str">
        <f>IF(XT!$P270&gt;0,AD270,"")</f>
        <v/>
      </c>
      <c r="AF270" s="51" t="str">
        <f>IF(XT!$P270=0,AD270,"")</f>
        <v/>
      </c>
      <c r="AG270">
        <f>SUMPRODUCT((MONTH(CHOOSE({1,2,3,4},XT!U270,XT!Y270,XT!AC270,XT!AG270))=9)*(CHOOSE({1,2,3,4},XT!X270,XT!AB270,XT!AF270,XT!AJ270)))</f>
        <v>0</v>
      </c>
      <c r="AH270" t="str">
        <f>IFERROR(INDEX(CHOOSE({1,2,3,4}, DAY(XT!U270), DAY(XT!Y270), DAY(XT!AC270), DAY(XT!AG270)), MATCH(1, INDEX(--(MONTH(CHOOSE({1,2,3,4}, XT!U270,XT!Y270,XT!AC270,XT!AG270))=9), 0), 0)), "")</f>
        <v/>
      </c>
      <c r="AI270" s="51" t="str">
        <f>IF(XT!$P270&gt;0,AH270,"")</f>
        <v/>
      </c>
      <c r="AJ270" s="51" t="str">
        <f>IF(XT!$P270=0,AH270,"")</f>
        <v/>
      </c>
      <c r="AK270">
        <f>SUMPRODUCT((MONTH(CHOOSE({1,2,3,4},XT!U270,XT!Y270,XT!AC270,XT!AG270))=10)*(CHOOSE({1,2,3,4},XT!X270,XT!AB270,XT!AF270,XT!AJ270)))</f>
        <v>0</v>
      </c>
      <c r="AL270" t="str">
        <f>IFERROR(INDEX(CHOOSE({1,2,3,4}, DAY(XT!U270), DAY(XT!Y270), DAY(XT!AC270), DAY(XT!AG270)), MATCH(1, INDEX(--(MONTH(CHOOSE({1,2,3,4}, XT!U270,XT!Y270,XT!AC270,XT!AG270))=10), 0), 0)), "")</f>
        <v/>
      </c>
      <c r="AM270" s="51" t="str">
        <f>IF(XT!$P270&gt;0,AL270,"")</f>
        <v/>
      </c>
      <c r="AN270" s="51" t="str">
        <f>IF(XT!$P270=0,AL270,"")</f>
        <v/>
      </c>
      <c r="AO270">
        <f>SUMPRODUCT((MONTH(CHOOSE({1,2,3,4},XT!U270,XT!Y270,XT!AC270,XT!AG270))=11)*(CHOOSE({1,2,3,4},XT!X270,XT!AB270,XT!AF270,XT!AJ270)))</f>
        <v>0</v>
      </c>
      <c r="AP270" t="str">
        <f>IFERROR(INDEX(CHOOSE({1,2,3,4}, DAY(XT!U270), DAY(XT!Y270), DAY(XT!AC270), DAY(XT!AG270)), MATCH(1, INDEX(--(MONTH(CHOOSE({1,2,3,4}, XT!U270,XT!Y270,XT!AC270,XT!AG270))=11), 0), 0)), "")</f>
        <v/>
      </c>
      <c r="AQ270" s="51" t="str">
        <f>IF(XT!$P270&gt;0,AP270,"")</f>
        <v/>
      </c>
      <c r="AR270" s="51" t="str">
        <f>IF(XT!$P270=0,AP270,"")</f>
        <v/>
      </c>
      <c r="AS270">
        <f>SUMPRODUCT((MONTH(CHOOSE({1,2,3,4},XT!U270,XT!Y270,XT!AC270,XT!AG270))=12)*(CHOOSE({1,2,3,4},XT!X270,XT!AB270,XT!AF270,XT!AJ270)))</f>
        <v>0</v>
      </c>
      <c r="AT270" t="str">
        <f>IFERROR(INDEX(CHOOSE({1,2,3,4}, DAY(XT!U270), DAY(XT!Y270), DAY(XT!AC270), DAY(XT!AG270)), MATCH(1, INDEX(--(MONTH(CHOOSE({1,2,3,4}, XT!U270,XT!Y270,XT!AC270,XT!AG270))=12), 0), 0)), "")</f>
        <v/>
      </c>
      <c r="AU270" s="51" t="str">
        <f>IF(XT!$P270&gt;0,AT270,"")</f>
        <v/>
      </c>
      <c r="AV270" s="51" t="str">
        <f>IF(XT!$P270=0,AT270,"")</f>
        <v/>
      </c>
    </row>
    <row r="271" spans="1:48">
      <c r="A271">
        <f>SUMPRODUCT((MONTH(CHOOSE({1,2,3,4},XT!U271,XT!Y271,XT!AC271,XT!AG271))=1)*(CHOOSE({1,2,3,4},XT!X271,XT!AB271,XT!AF271,XT!AJ271)))</f>
        <v>0</v>
      </c>
      <c r="B271">
        <f>IFERROR(INDEX(CHOOSE({1,2,3,4}, DAY(XT!U271), DAY(XT!Y271), DAY(XT!AC271), DAY(XT!AG271)), MATCH(1, INDEX(--(MONTH(CHOOSE({1,2,3,4}, XT!U271,XT!Y271,XT!AC271,XT!AG271))=1), 0), 0)), "")</f>
        <v>0</v>
      </c>
      <c r="C271" s="51" t="str">
        <f>IF(XT!$P271&gt;0,B271,"")</f>
        <v/>
      </c>
      <c r="D271" s="51">
        <f>IF(XT!$P271=0,B271,"")</f>
        <v>0</v>
      </c>
      <c r="E271">
        <f>SUMPRODUCT((MONTH(CHOOSE({1,2,3,4},XT!U271,XT!Y271,XT!AC271,XT!AG271))=2)*(CHOOSE({1,2,3,4},XT!X271,XT!AB271,XT!AF271,XT!AJ271)))</f>
        <v>0</v>
      </c>
      <c r="F271" t="str">
        <f>IFERROR(INDEX(CHOOSE({1,2,3,4}, DAY(XT!U271), DAY(XT!Y271), DAY(XT!AC271), DAY(XT!AG271)), MATCH(1, INDEX(--(MONTH(CHOOSE({1,2,3,4}, XT!U271,XT!Y271,XT!AC271,XT!AG271))=2), 0), 0)), "")</f>
        <v/>
      </c>
      <c r="G271" s="51" t="str">
        <f>IF(XT!$P271&gt;0,F271,"")</f>
        <v/>
      </c>
      <c r="H271" s="51" t="str">
        <f>IF(XT!$P271=0,F271,"")</f>
        <v/>
      </c>
      <c r="I271">
        <f>SUMPRODUCT((MONTH(CHOOSE({1,2,3,4},XT!U271,XT!Y271,XT!AC271,XT!AG271))=3)*(CHOOSE({1,2,3,4},XT!X271,XT!AB271,XT!AF271,XT!AJ271)))</f>
        <v>0</v>
      </c>
      <c r="J271" t="str">
        <f>IFERROR(INDEX(CHOOSE({1,2,3,4}, DAY(XT!U271), DAY(XT!Y271), DAY(XT!AC271), DAY(XT!AG271)), MATCH(1, INDEX(--(MONTH(CHOOSE({1,2,3,4}, XT!U271,XT!Y271,XT!AC271,XT!AG271))=3), 0), 0)), "")</f>
        <v/>
      </c>
      <c r="K271" s="51" t="str">
        <f>IF(XT!$P271&gt;0,J271,"")</f>
        <v/>
      </c>
      <c r="L271" s="51" t="str">
        <f>IF(XT!$P271=0,J271,"")</f>
        <v/>
      </c>
      <c r="M271">
        <f>SUMPRODUCT((MONTH(CHOOSE({1,2,3,4},XT!U271,XT!Y271,XT!AC271,XT!AG271))=4)*(CHOOSE({1,2,3,4},XT!X271,XT!AB271,XT!AF271,XT!AJ271)))</f>
        <v>0</v>
      </c>
      <c r="N271" t="str">
        <f>IFERROR(INDEX(CHOOSE({1,2,3,4}, DAY(XT!U271), DAY(XT!Y271), DAY(XT!AC271), DAY(XT!AG271)), MATCH(1, INDEX(--(MONTH(CHOOSE({1,2,3,4}, XT!U271,XT!Y271,XT!AC271,XT!AG271))=4), 0), 0)), "")</f>
        <v/>
      </c>
      <c r="O271" s="51" t="str">
        <f>IF(XT!$P271&gt;0,N271,"")</f>
        <v/>
      </c>
      <c r="P271" s="51" t="str">
        <f>IF(XT!$P271=0,N271,"")</f>
        <v/>
      </c>
      <c r="Q271">
        <f>SUMPRODUCT((MONTH(CHOOSE({1,2,3,4},XT!U271,XT!Y271,XT!AC271,XT!AG271))=5)*(CHOOSE({1,2,3,4},XT!X271,XT!AB271,XT!AF271,XT!AJ271)))</f>
        <v>0</v>
      </c>
      <c r="R271" t="str">
        <f>IFERROR(INDEX(CHOOSE({1,2,3,4}, DAY(XT!U271), DAY(XT!Y271), DAY(XT!AC271), DAY(XT!AG271)), MATCH(1, INDEX(--(MONTH(CHOOSE({1,2,3,4}, XT!U271,XT!Y271,XT!AC271,XT!AG271))=5), 0), 0)), "")</f>
        <v/>
      </c>
      <c r="S271" s="51" t="str">
        <f>IF(XT!$P271&gt;0,R271,"")</f>
        <v/>
      </c>
      <c r="T271" s="51" t="str">
        <f>IF(XT!$P271=0,R271,"")</f>
        <v/>
      </c>
      <c r="U271">
        <f>SUMPRODUCT((MONTH(CHOOSE({1,2,3,4},XT!U271,XT!Y271,XT!AC271,XT!AG271))=6)*(CHOOSE({1,2,3,4},XT!X271,XT!AB271,XT!AF271,XT!AJ271)))</f>
        <v>0</v>
      </c>
      <c r="V271" t="str">
        <f>IFERROR(INDEX(CHOOSE({1,2,3,4}, DAY(XT!U271), DAY(XT!Y271), DAY(XT!AC271), DAY(XT!AG271)), MATCH(1, INDEX(--(MONTH(CHOOSE({1,2,3,4}, XT!U271,XT!Y271,XT!AC271,XT!AG271))=6), 0), 0)), "")</f>
        <v/>
      </c>
      <c r="W271" s="51" t="str">
        <f>IF(XT!$P271&gt;0,V271,"")</f>
        <v/>
      </c>
      <c r="X271" s="51" t="str">
        <f>IF(XT!$P271=0,V271,"")</f>
        <v/>
      </c>
      <c r="Y271">
        <f>SUMPRODUCT((MONTH(CHOOSE({1,2,3,4},XT!U271,XT!Y271,XT!AC271,XT!AG271))=7)*(CHOOSE({1,2,3,4},XT!X271,XT!AB271,XT!AF271,XT!AJ271)))</f>
        <v>0</v>
      </c>
      <c r="Z271" t="str">
        <f>IFERROR(INDEX(CHOOSE({1,2,3,4}, DAY(XT!U271), DAY(XT!Y271), DAY(XT!AC271), DAY(XT!AG271)), MATCH(1, INDEX(--(MONTH(CHOOSE({1,2,3,4}, XT!U271,XT!Y271,XT!AC271,XT!AG271))=7), 0), 0)), "")</f>
        <v/>
      </c>
      <c r="AA271" s="51" t="str">
        <f>IF(XT!$P271&gt;0,Z271,"")</f>
        <v/>
      </c>
      <c r="AB271" s="51" t="str">
        <f>IF(XT!$P271=0,Z271,"")</f>
        <v/>
      </c>
      <c r="AC271">
        <f>SUMPRODUCT((MONTH(CHOOSE({1,2,3,4},XT!U271,XT!Y271,XT!AC271,XT!AG271))=8)*(CHOOSE({1,2,3,4},XT!X271,XT!AB271,XT!AF271,XT!AJ271)))</f>
        <v>0</v>
      </c>
      <c r="AD271" t="str">
        <f>IFERROR(INDEX(CHOOSE({1,2,3,4}, DAY(XT!U271), DAY(XT!Y271), DAY(XT!AC271), DAY(XT!AG271)), MATCH(1, INDEX(--(MONTH(CHOOSE({1,2,3,4}, XT!U271,XT!Y271,XT!AC271,XT!AG271))=8), 0), 0)), "")</f>
        <v/>
      </c>
      <c r="AE271" s="51" t="str">
        <f>IF(XT!$P271&gt;0,AD271,"")</f>
        <v/>
      </c>
      <c r="AF271" s="51" t="str">
        <f>IF(XT!$P271=0,AD271,"")</f>
        <v/>
      </c>
      <c r="AG271">
        <f>SUMPRODUCT((MONTH(CHOOSE({1,2,3,4},XT!U271,XT!Y271,XT!AC271,XT!AG271))=9)*(CHOOSE({1,2,3,4},XT!X271,XT!AB271,XT!AF271,XT!AJ271)))</f>
        <v>0</v>
      </c>
      <c r="AH271" t="str">
        <f>IFERROR(INDEX(CHOOSE({1,2,3,4}, DAY(XT!U271), DAY(XT!Y271), DAY(XT!AC271), DAY(XT!AG271)), MATCH(1, INDEX(--(MONTH(CHOOSE({1,2,3,4}, XT!U271,XT!Y271,XT!AC271,XT!AG271))=9), 0), 0)), "")</f>
        <v/>
      </c>
      <c r="AI271" s="51" t="str">
        <f>IF(XT!$P271&gt;0,AH271,"")</f>
        <v/>
      </c>
      <c r="AJ271" s="51" t="str">
        <f>IF(XT!$P271=0,AH271,"")</f>
        <v/>
      </c>
      <c r="AK271">
        <f>SUMPRODUCT((MONTH(CHOOSE({1,2,3,4},XT!U271,XT!Y271,XT!AC271,XT!AG271))=10)*(CHOOSE({1,2,3,4},XT!X271,XT!AB271,XT!AF271,XT!AJ271)))</f>
        <v>0</v>
      </c>
      <c r="AL271" t="str">
        <f>IFERROR(INDEX(CHOOSE({1,2,3,4}, DAY(XT!U271), DAY(XT!Y271), DAY(XT!AC271), DAY(XT!AG271)), MATCH(1, INDEX(--(MONTH(CHOOSE({1,2,3,4}, XT!U271,XT!Y271,XT!AC271,XT!AG271))=10), 0), 0)), "")</f>
        <v/>
      </c>
      <c r="AM271" s="51" t="str">
        <f>IF(XT!$P271&gt;0,AL271,"")</f>
        <v/>
      </c>
      <c r="AN271" s="51" t="str">
        <f>IF(XT!$P271=0,AL271,"")</f>
        <v/>
      </c>
      <c r="AO271">
        <f>SUMPRODUCT((MONTH(CHOOSE({1,2,3,4},XT!U271,XT!Y271,XT!AC271,XT!AG271))=11)*(CHOOSE({1,2,3,4},XT!X271,XT!AB271,XT!AF271,XT!AJ271)))</f>
        <v>0</v>
      </c>
      <c r="AP271" t="str">
        <f>IFERROR(INDEX(CHOOSE({1,2,3,4}, DAY(XT!U271), DAY(XT!Y271), DAY(XT!AC271), DAY(XT!AG271)), MATCH(1, INDEX(--(MONTH(CHOOSE({1,2,3,4}, XT!U271,XT!Y271,XT!AC271,XT!AG271))=11), 0), 0)), "")</f>
        <v/>
      </c>
      <c r="AQ271" s="51" t="str">
        <f>IF(XT!$P271&gt;0,AP271,"")</f>
        <v/>
      </c>
      <c r="AR271" s="51" t="str">
        <f>IF(XT!$P271=0,AP271,"")</f>
        <v/>
      </c>
      <c r="AS271">
        <f>SUMPRODUCT((MONTH(CHOOSE({1,2,3,4},XT!U271,XT!Y271,XT!AC271,XT!AG271))=12)*(CHOOSE({1,2,3,4},XT!X271,XT!AB271,XT!AF271,XT!AJ271)))</f>
        <v>0</v>
      </c>
      <c r="AT271" t="str">
        <f>IFERROR(INDEX(CHOOSE({1,2,3,4}, DAY(XT!U271), DAY(XT!Y271), DAY(XT!AC271), DAY(XT!AG271)), MATCH(1, INDEX(--(MONTH(CHOOSE({1,2,3,4}, XT!U271,XT!Y271,XT!AC271,XT!AG271))=12), 0), 0)), "")</f>
        <v/>
      </c>
      <c r="AU271" s="51" t="str">
        <f>IF(XT!$P271&gt;0,AT271,"")</f>
        <v/>
      </c>
      <c r="AV271" s="51" t="str">
        <f>IF(XT!$P271=0,AT271,"")</f>
        <v/>
      </c>
    </row>
    <row r="272" spans="1:48">
      <c r="A272">
        <f>SUMPRODUCT((MONTH(CHOOSE({1,2,3,4},XT!U272,XT!Y272,XT!AC272,XT!AG272))=1)*(CHOOSE({1,2,3,4},XT!X272,XT!AB272,XT!AF272,XT!AJ272)))</f>
        <v>0</v>
      </c>
      <c r="B272">
        <f>IFERROR(INDEX(CHOOSE({1,2,3,4}, DAY(XT!U272), DAY(XT!Y272), DAY(XT!AC272), DAY(XT!AG272)), MATCH(1, INDEX(--(MONTH(CHOOSE({1,2,3,4}, XT!U272,XT!Y272,XT!AC272,XT!AG272))=1), 0), 0)), "")</f>
        <v>0</v>
      </c>
      <c r="C272" s="51" t="str">
        <f>IF(XT!$P272&gt;0,B272,"")</f>
        <v/>
      </c>
      <c r="D272" s="51">
        <f>IF(XT!$P272=0,B272,"")</f>
        <v>0</v>
      </c>
      <c r="E272">
        <f>SUMPRODUCT((MONTH(CHOOSE({1,2,3,4},XT!U272,XT!Y272,XT!AC272,XT!AG272))=2)*(CHOOSE({1,2,3,4},XT!X272,XT!AB272,XT!AF272,XT!AJ272)))</f>
        <v>0</v>
      </c>
      <c r="F272" t="str">
        <f>IFERROR(INDEX(CHOOSE({1,2,3,4}, DAY(XT!U272), DAY(XT!Y272), DAY(XT!AC272), DAY(XT!AG272)), MATCH(1, INDEX(--(MONTH(CHOOSE({1,2,3,4}, XT!U272,XT!Y272,XT!AC272,XT!AG272))=2), 0), 0)), "")</f>
        <v/>
      </c>
      <c r="G272" s="51" t="str">
        <f>IF(XT!$P272&gt;0,F272,"")</f>
        <v/>
      </c>
      <c r="H272" s="51" t="str">
        <f>IF(XT!$P272=0,F272,"")</f>
        <v/>
      </c>
      <c r="I272">
        <f>SUMPRODUCT((MONTH(CHOOSE({1,2,3,4},XT!U272,XT!Y272,XT!AC272,XT!AG272))=3)*(CHOOSE({1,2,3,4},XT!X272,XT!AB272,XT!AF272,XT!AJ272)))</f>
        <v>0</v>
      </c>
      <c r="J272" t="str">
        <f>IFERROR(INDEX(CHOOSE({1,2,3,4}, DAY(XT!U272), DAY(XT!Y272), DAY(XT!AC272), DAY(XT!AG272)), MATCH(1, INDEX(--(MONTH(CHOOSE({1,2,3,4}, XT!U272,XT!Y272,XT!AC272,XT!AG272))=3), 0), 0)), "")</f>
        <v/>
      </c>
      <c r="K272" s="51" t="str">
        <f>IF(XT!$P272&gt;0,J272,"")</f>
        <v/>
      </c>
      <c r="L272" s="51" t="str">
        <f>IF(XT!$P272=0,J272,"")</f>
        <v/>
      </c>
      <c r="M272">
        <f>SUMPRODUCT((MONTH(CHOOSE({1,2,3,4},XT!U272,XT!Y272,XT!AC272,XT!AG272))=4)*(CHOOSE({1,2,3,4},XT!X272,XT!AB272,XT!AF272,XT!AJ272)))</f>
        <v>0</v>
      </c>
      <c r="N272" t="str">
        <f>IFERROR(INDEX(CHOOSE({1,2,3,4}, DAY(XT!U272), DAY(XT!Y272), DAY(XT!AC272), DAY(XT!AG272)), MATCH(1, INDEX(--(MONTH(CHOOSE({1,2,3,4}, XT!U272,XT!Y272,XT!AC272,XT!AG272))=4), 0), 0)), "")</f>
        <v/>
      </c>
      <c r="O272" s="51" t="str">
        <f>IF(XT!$P272&gt;0,N272,"")</f>
        <v/>
      </c>
      <c r="P272" s="51" t="str">
        <f>IF(XT!$P272=0,N272,"")</f>
        <v/>
      </c>
      <c r="Q272">
        <f>SUMPRODUCT((MONTH(CHOOSE({1,2,3,4},XT!U272,XT!Y272,XT!AC272,XT!AG272))=5)*(CHOOSE({1,2,3,4},XT!X272,XT!AB272,XT!AF272,XT!AJ272)))</f>
        <v>0</v>
      </c>
      <c r="R272" t="str">
        <f>IFERROR(INDEX(CHOOSE({1,2,3,4}, DAY(XT!U272), DAY(XT!Y272), DAY(XT!AC272), DAY(XT!AG272)), MATCH(1, INDEX(--(MONTH(CHOOSE({1,2,3,4}, XT!U272,XT!Y272,XT!AC272,XT!AG272))=5), 0), 0)), "")</f>
        <v/>
      </c>
      <c r="S272" s="51" t="str">
        <f>IF(XT!$P272&gt;0,R272,"")</f>
        <v/>
      </c>
      <c r="T272" s="51" t="str">
        <f>IF(XT!$P272=0,R272,"")</f>
        <v/>
      </c>
      <c r="U272">
        <f>SUMPRODUCT((MONTH(CHOOSE({1,2,3,4},XT!U272,XT!Y272,XT!AC272,XT!AG272))=6)*(CHOOSE({1,2,3,4},XT!X272,XT!AB272,XT!AF272,XT!AJ272)))</f>
        <v>0</v>
      </c>
      <c r="V272" t="str">
        <f>IFERROR(INDEX(CHOOSE({1,2,3,4}, DAY(XT!U272), DAY(XT!Y272), DAY(XT!AC272), DAY(XT!AG272)), MATCH(1, INDEX(--(MONTH(CHOOSE({1,2,3,4}, XT!U272,XT!Y272,XT!AC272,XT!AG272))=6), 0), 0)), "")</f>
        <v/>
      </c>
      <c r="W272" s="51" t="str">
        <f>IF(XT!$P272&gt;0,V272,"")</f>
        <v/>
      </c>
      <c r="X272" s="51" t="str">
        <f>IF(XT!$P272=0,V272,"")</f>
        <v/>
      </c>
      <c r="Y272">
        <f>SUMPRODUCT((MONTH(CHOOSE({1,2,3,4},XT!U272,XT!Y272,XT!AC272,XT!AG272))=7)*(CHOOSE({1,2,3,4},XT!X272,XT!AB272,XT!AF272,XT!AJ272)))</f>
        <v>0</v>
      </c>
      <c r="Z272" t="str">
        <f>IFERROR(INDEX(CHOOSE({1,2,3,4}, DAY(XT!U272), DAY(XT!Y272), DAY(XT!AC272), DAY(XT!AG272)), MATCH(1, INDEX(--(MONTH(CHOOSE({1,2,3,4}, XT!U272,XT!Y272,XT!AC272,XT!AG272))=7), 0), 0)), "")</f>
        <v/>
      </c>
      <c r="AA272" s="51" t="str">
        <f>IF(XT!$P272&gt;0,Z272,"")</f>
        <v/>
      </c>
      <c r="AB272" s="51" t="str">
        <f>IF(XT!$P272=0,Z272,"")</f>
        <v/>
      </c>
      <c r="AC272">
        <f>SUMPRODUCT((MONTH(CHOOSE({1,2,3,4},XT!U272,XT!Y272,XT!AC272,XT!AG272))=8)*(CHOOSE({1,2,3,4},XT!X272,XT!AB272,XT!AF272,XT!AJ272)))</f>
        <v>0</v>
      </c>
      <c r="AD272" t="str">
        <f>IFERROR(INDEX(CHOOSE({1,2,3,4}, DAY(XT!U272), DAY(XT!Y272), DAY(XT!AC272), DAY(XT!AG272)), MATCH(1, INDEX(--(MONTH(CHOOSE({1,2,3,4}, XT!U272,XT!Y272,XT!AC272,XT!AG272))=8), 0), 0)), "")</f>
        <v/>
      </c>
      <c r="AE272" s="51" t="str">
        <f>IF(XT!$P272&gt;0,AD272,"")</f>
        <v/>
      </c>
      <c r="AF272" s="51" t="str">
        <f>IF(XT!$P272=0,AD272,"")</f>
        <v/>
      </c>
      <c r="AG272">
        <f>SUMPRODUCT((MONTH(CHOOSE({1,2,3,4},XT!U272,XT!Y272,XT!AC272,XT!AG272))=9)*(CHOOSE({1,2,3,4},XT!X272,XT!AB272,XT!AF272,XT!AJ272)))</f>
        <v>0</v>
      </c>
      <c r="AH272" t="str">
        <f>IFERROR(INDEX(CHOOSE({1,2,3,4}, DAY(XT!U272), DAY(XT!Y272), DAY(XT!AC272), DAY(XT!AG272)), MATCH(1, INDEX(--(MONTH(CHOOSE({1,2,3,4}, XT!U272,XT!Y272,XT!AC272,XT!AG272))=9), 0), 0)), "")</f>
        <v/>
      </c>
      <c r="AI272" s="51" t="str">
        <f>IF(XT!$P272&gt;0,AH272,"")</f>
        <v/>
      </c>
      <c r="AJ272" s="51" t="str">
        <f>IF(XT!$P272=0,AH272,"")</f>
        <v/>
      </c>
      <c r="AK272">
        <f>SUMPRODUCT((MONTH(CHOOSE({1,2,3,4},XT!U272,XT!Y272,XT!AC272,XT!AG272))=10)*(CHOOSE({1,2,3,4},XT!X272,XT!AB272,XT!AF272,XT!AJ272)))</f>
        <v>0</v>
      </c>
      <c r="AL272" t="str">
        <f>IFERROR(INDEX(CHOOSE({1,2,3,4}, DAY(XT!U272), DAY(XT!Y272), DAY(XT!AC272), DAY(XT!AG272)), MATCH(1, INDEX(--(MONTH(CHOOSE({1,2,3,4}, XT!U272,XT!Y272,XT!AC272,XT!AG272))=10), 0), 0)), "")</f>
        <v/>
      </c>
      <c r="AM272" s="51" t="str">
        <f>IF(XT!$P272&gt;0,AL272,"")</f>
        <v/>
      </c>
      <c r="AN272" s="51" t="str">
        <f>IF(XT!$P272=0,AL272,"")</f>
        <v/>
      </c>
      <c r="AO272">
        <f>SUMPRODUCT((MONTH(CHOOSE({1,2,3,4},XT!U272,XT!Y272,XT!AC272,XT!AG272))=11)*(CHOOSE({1,2,3,4},XT!X272,XT!AB272,XT!AF272,XT!AJ272)))</f>
        <v>0</v>
      </c>
      <c r="AP272" t="str">
        <f>IFERROR(INDEX(CHOOSE({1,2,3,4}, DAY(XT!U272), DAY(XT!Y272), DAY(XT!AC272), DAY(XT!AG272)), MATCH(1, INDEX(--(MONTH(CHOOSE({1,2,3,4}, XT!U272,XT!Y272,XT!AC272,XT!AG272))=11), 0), 0)), "")</f>
        <v/>
      </c>
      <c r="AQ272" s="51" t="str">
        <f>IF(XT!$P272&gt;0,AP272,"")</f>
        <v/>
      </c>
      <c r="AR272" s="51" t="str">
        <f>IF(XT!$P272=0,AP272,"")</f>
        <v/>
      </c>
      <c r="AS272">
        <f>SUMPRODUCT((MONTH(CHOOSE({1,2,3,4},XT!U272,XT!Y272,XT!AC272,XT!AG272))=12)*(CHOOSE({1,2,3,4},XT!X272,XT!AB272,XT!AF272,XT!AJ272)))</f>
        <v>0</v>
      </c>
      <c r="AT272" t="str">
        <f>IFERROR(INDEX(CHOOSE({1,2,3,4}, DAY(XT!U272), DAY(XT!Y272), DAY(XT!AC272), DAY(XT!AG272)), MATCH(1, INDEX(--(MONTH(CHOOSE({1,2,3,4}, XT!U272,XT!Y272,XT!AC272,XT!AG272))=12), 0), 0)), "")</f>
        <v/>
      </c>
      <c r="AU272" s="51" t="str">
        <f>IF(XT!$P272&gt;0,AT272,"")</f>
        <v/>
      </c>
      <c r="AV272" s="51" t="str">
        <f>IF(XT!$P272=0,AT272,"")</f>
        <v/>
      </c>
    </row>
    <row r="273" spans="1:48">
      <c r="A273">
        <f>SUMPRODUCT((MONTH(CHOOSE({1,2,3,4},XT!U273,XT!Y273,XT!AC273,XT!AG273))=1)*(CHOOSE({1,2,3,4},XT!X273,XT!AB273,XT!AF273,XT!AJ273)))</f>
        <v>0</v>
      </c>
      <c r="B273">
        <f>IFERROR(INDEX(CHOOSE({1,2,3,4}, DAY(XT!U273), DAY(XT!Y273), DAY(XT!AC273), DAY(XT!AG273)), MATCH(1, INDEX(--(MONTH(CHOOSE({1,2,3,4}, XT!U273,XT!Y273,XT!AC273,XT!AG273))=1), 0), 0)), "")</f>
        <v>0</v>
      </c>
      <c r="C273" s="51" t="str">
        <f>IF(XT!$P273&gt;0,B273,"")</f>
        <v/>
      </c>
      <c r="D273" s="51">
        <f>IF(XT!$P273=0,B273,"")</f>
        <v>0</v>
      </c>
      <c r="E273">
        <f>SUMPRODUCT((MONTH(CHOOSE({1,2,3,4},XT!U273,XT!Y273,XT!AC273,XT!AG273))=2)*(CHOOSE({1,2,3,4},XT!X273,XT!AB273,XT!AF273,XT!AJ273)))</f>
        <v>0</v>
      </c>
      <c r="F273" t="str">
        <f>IFERROR(INDEX(CHOOSE({1,2,3,4}, DAY(XT!U273), DAY(XT!Y273), DAY(XT!AC273), DAY(XT!AG273)), MATCH(1, INDEX(--(MONTH(CHOOSE({1,2,3,4}, XT!U273,XT!Y273,XT!AC273,XT!AG273))=2), 0), 0)), "")</f>
        <v/>
      </c>
      <c r="G273" s="51" t="str">
        <f>IF(XT!$P273&gt;0,F273,"")</f>
        <v/>
      </c>
      <c r="H273" s="51" t="str">
        <f>IF(XT!$P273=0,F273,"")</f>
        <v/>
      </c>
      <c r="I273">
        <f>SUMPRODUCT((MONTH(CHOOSE({1,2,3,4},XT!U273,XT!Y273,XT!AC273,XT!AG273))=3)*(CHOOSE({1,2,3,4},XT!X273,XT!AB273,XT!AF273,XT!AJ273)))</f>
        <v>0</v>
      </c>
      <c r="J273" t="str">
        <f>IFERROR(INDEX(CHOOSE({1,2,3,4}, DAY(XT!U273), DAY(XT!Y273), DAY(XT!AC273), DAY(XT!AG273)), MATCH(1, INDEX(--(MONTH(CHOOSE({1,2,3,4}, XT!U273,XT!Y273,XT!AC273,XT!AG273))=3), 0), 0)), "")</f>
        <v/>
      </c>
      <c r="K273" s="51" t="str">
        <f>IF(XT!$P273&gt;0,J273,"")</f>
        <v/>
      </c>
      <c r="L273" s="51" t="str">
        <f>IF(XT!$P273=0,J273,"")</f>
        <v/>
      </c>
      <c r="M273">
        <f>SUMPRODUCT((MONTH(CHOOSE({1,2,3,4},XT!U273,XT!Y273,XT!AC273,XT!AG273))=4)*(CHOOSE({1,2,3,4},XT!X273,XT!AB273,XT!AF273,XT!AJ273)))</f>
        <v>0</v>
      </c>
      <c r="N273" t="str">
        <f>IFERROR(INDEX(CHOOSE({1,2,3,4}, DAY(XT!U273), DAY(XT!Y273), DAY(XT!AC273), DAY(XT!AG273)), MATCH(1, INDEX(--(MONTH(CHOOSE({1,2,3,4}, XT!U273,XT!Y273,XT!AC273,XT!AG273))=4), 0), 0)), "")</f>
        <v/>
      </c>
      <c r="O273" s="51" t="str">
        <f>IF(XT!$P273&gt;0,N273,"")</f>
        <v/>
      </c>
      <c r="P273" s="51" t="str">
        <f>IF(XT!$P273=0,N273,"")</f>
        <v/>
      </c>
      <c r="Q273">
        <f>SUMPRODUCT((MONTH(CHOOSE({1,2,3,4},XT!U273,XT!Y273,XT!AC273,XT!AG273))=5)*(CHOOSE({1,2,3,4},XT!X273,XT!AB273,XT!AF273,XT!AJ273)))</f>
        <v>0</v>
      </c>
      <c r="R273" t="str">
        <f>IFERROR(INDEX(CHOOSE({1,2,3,4}, DAY(XT!U273), DAY(XT!Y273), DAY(XT!AC273), DAY(XT!AG273)), MATCH(1, INDEX(--(MONTH(CHOOSE({1,2,3,4}, XT!U273,XT!Y273,XT!AC273,XT!AG273))=5), 0), 0)), "")</f>
        <v/>
      </c>
      <c r="S273" s="51" t="str">
        <f>IF(XT!$P273&gt;0,R273,"")</f>
        <v/>
      </c>
      <c r="T273" s="51" t="str">
        <f>IF(XT!$P273=0,R273,"")</f>
        <v/>
      </c>
      <c r="U273">
        <f>SUMPRODUCT((MONTH(CHOOSE({1,2,3,4},XT!U273,XT!Y273,XT!AC273,XT!AG273))=6)*(CHOOSE({1,2,3,4},XT!X273,XT!AB273,XT!AF273,XT!AJ273)))</f>
        <v>0</v>
      </c>
      <c r="V273" t="str">
        <f>IFERROR(INDEX(CHOOSE({1,2,3,4}, DAY(XT!U273), DAY(XT!Y273), DAY(XT!AC273), DAY(XT!AG273)), MATCH(1, INDEX(--(MONTH(CHOOSE({1,2,3,4}, XT!U273,XT!Y273,XT!AC273,XT!AG273))=6), 0), 0)), "")</f>
        <v/>
      </c>
      <c r="W273" s="51" t="str">
        <f>IF(XT!$P273&gt;0,V273,"")</f>
        <v/>
      </c>
      <c r="X273" s="51" t="str">
        <f>IF(XT!$P273=0,V273,"")</f>
        <v/>
      </c>
      <c r="Y273">
        <f>SUMPRODUCT((MONTH(CHOOSE({1,2,3,4},XT!U273,XT!Y273,XT!AC273,XT!AG273))=7)*(CHOOSE({1,2,3,4},XT!X273,XT!AB273,XT!AF273,XT!AJ273)))</f>
        <v>0</v>
      </c>
      <c r="Z273" t="str">
        <f>IFERROR(INDEX(CHOOSE({1,2,3,4}, DAY(XT!U273), DAY(XT!Y273), DAY(XT!AC273), DAY(XT!AG273)), MATCH(1, INDEX(--(MONTH(CHOOSE({1,2,3,4}, XT!U273,XT!Y273,XT!AC273,XT!AG273))=7), 0), 0)), "")</f>
        <v/>
      </c>
      <c r="AA273" s="51" t="str">
        <f>IF(XT!$P273&gt;0,Z273,"")</f>
        <v/>
      </c>
      <c r="AB273" s="51" t="str">
        <f>IF(XT!$P273=0,Z273,"")</f>
        <v/>
      </c>
      <c r="AC273">
        <f>SUMPRODUCT((MONTH(CHOOSE({1,2,3,4},XT!U273,XT!Y273,XT!AC273,XT!AG273))=8)*(CHOOSE({1,2,3,4},XT!X273,XT!AB273,XT!AF273,XT!AJ273)))</f>
        <v>0</v>
      </c>
      <c r="AD273" t="str">
        <f>IFERROR(INDEX(CHOOSE({1,2,3,4}, DAY(XT!U273), DAY(XT!Y273), DAY(XT!AC273), DAY(XT!AG273)), MATCH(1, INDEX(--(MONTH(CHOOSE({1,2,3,4}, XT!U273,XT!Y273,XT!AC273,XT!AG273))=8), 0), 0)), "")</f>
        <v/>
      </c>
      <c r="AE273" s="51" t="str">
        <f>IF(XT!$P273&gt;0,AD273,"")</f>
        <v/>
      </c>
      <c r="AF273" s="51" t="str">
        <f>IF(XT!$P273=0,AD273,"")</f>
        <v/>
      </c>
      <c r="AG273">
        <f>SUMPRODUCT((MONTH(CHOOSE({1,2,3,4},XT!U273,XT!Y273,XT!AC273,XT!AG273))=9)*(CHOOSE({1,2,3,4},XT!X273,XT!AB273,XT!AF273,XT!AJ273)))</f>
        <v>0</v>
      </c>
      <c r="AH273" t="str">
        <f>IFERROR(INDEX(CHOOSE({1,2,3,4}, DAY(XT!U273), DAY(XT!Y273), DAY(XT!AC273), DAY(XT!AG273)), MATCH(1, INDEX(--(MONTH(CHOOSE({1,2,3,4}, XT!U273,XT!Y273,XT!AC273,XT!AG273))=9), 0), 0)), "")</f>
        <v/>
      </c>
      <c r="AI273" s="51" t="str">
        <f>IF(XT!$P273&gt;0,AH273,"")</f>
        <v/>
      </c>
      <c r="AJ273" s="51" t="str">
        <f>IF(XT!$P273=0,AH273,"")</f>
        <v/>
      </c>
      <c r="AK273">
        <f>SUMPRODUCT((MONTH(CHOOSE({1,2,3,4},XT!U273,XT!Y273,XT!AC273,XT!AG273))=10)*(CHOOSE({1,2,3,4},XT!X273,XT!AB273,XT!AF273,XT!AJ273)))</f>
        <v>0</v>
      </c>
      <c r="AL273" t="str">
        <f>IFERROR(INDEX(CHOOSE({1,2,3,4}, DAY(XT!U273), DAY(XT!Y273), DAY(XT!AC273), DAY(XT!AG273)), MATCH(1, INDEX(--(MONTH(CHOOSE({1,2,3,4}, XT!U273,XT!Y273,XT!AC273,XT!AG273))=10), 0), 0)), "")</f>
        <v/>
      </c>
      <c r="AM273" s="51" t="str">
        <f>IF(XT!$P273&gt;0,AL273,"")</f>
        <v/>
      </c>
      <c r="AN273" s="51" t="str">
        <f>IF(XT!$P273=0,AL273,"")</f>
        <v/>
      </c>
      <c r="AO273">
        <f>SUMPRODUCT((MONTH(CHOOSE({1,2,3,4},XT!U273,XT!Y273,XT!AC273,XT!AG273))=11)*(CHOOSE({1,2,3,4},XT!X273,XT!AB273,XT!AF273,XT!AJ273)))</f>
        <v>0</v>
      </c>
      <c r="AP273" t="str">
        <f>IFERROR(INDEX(CHOOSE({1,2,3,4}, DAY(XT!U273), DAY(XT!Y273), DAY(XT!AC273), DAY(XT!AG273)), MATCH(1, INDEX(--(MONTH(CHOOSE({1,2,3,4}, XT!U273,XT!Y273,XT!AC273,XT!AG273))=11), 0), 0)), "")</f>
        <v/>
      </c>
      <c r="AQ273" s="51" t="str">
        <f>IF(XT!$P273&gt;0,AP273,"")</f>
        <v/>
      </c>
      <c r="AR273" s="51" t="str">
        <f>IF(XT!$P273=0,AP273,"")</f>
        <v/>
      </c>
      <c r="AS273">
        <f>SUMPRODUCT((MONTH(CHOOSE({1,2,3,4},XT!U273,XT!Y273,XT!AC273,XT!AG273))=12)*(CHOOSE({1,2,3,4},XT!X273,XT!AB273,XT!AF273,XT!AJ273)))</f>
        <v>0</v>
      </c>
      <c r="AT273" t="str">
        <f>IFERROR(INDEX(CHOOSE({1,2,3,4}, DAY(XT!U273), DAY(XT!Y273), DAY(XT!AC273), DAY(XT!AG273)), MATCH(1, INDEX(--(MONTH(CHOOSE({1,2,3,4}, XT!U273,XT!Y273,XT!AC273,XT!AG273))=12), 0), 0)), "")</f>
        <v/>
      </c>
      <c r="AU273" s="51" t="str">
        <f>IF(XT!$P273&gt;0,AT273,"")</f>
        <v/>
      </c>
      <c r="AV273" s="51" t="str">
        <f>IF(XT!$P273=0,AT273,"")</f>
        <v/>
      </c>
    </row>
    <row r="274" spans="1:48">
      <c r="A274">
        <f>SUMPRODUCT((MONTH(CHOOSE({1,2,3,4},XT!U274,XT!Y274,XT!AC274,XT!AG274))=1)*(CHOOSE({1,2,3,4},XT!X274,XT!AB274,XT!AF274,XT!AJ274)))</f>
        <v>0</v>
      </c>
      <c r="B274">
        <f>IFERROR(INDEX(CHOOSE({1,2,3,4}, DAY(XT!U274), DAY(XT!Y274), DAY(XT!AC274), DAY(XT!AG274)), MATCH(1, INDEX(--(MONTH(CHOOSE({1,2,3,4}, XT!U274,XT!Y274,XT!AC274,XT!AG274))=1), 0), 0)), "")</f>
        <v>0</v>
      </c>
      <c r="C274" s="51" t="str">
        <f>IF(XT!$P274&gt;0,B274,"")</f>
        <v/>
      </c>
      <c r="D274" s="51">
        <f>IF(XT!$P274=0,B274,"")</f>
        <v>0</v>
      </c>
      <c r="E274">
        <f>SUMPRODUCT((MONTH(CHOOSE({1,2,3,4},XT!U274,XT!Y274,XT!AC274,XT!AG274))=2)*(CHOOSE({1,2,3,4},XT!X274,XT!AB274,XT!AF274,XT!AJ274)))</f>
        <v>0</v>
      </c>
      <c r="F274" t="str">
        <f>IFERROR(INDEX(CHOOSE({1,2,3,4}, DAY(XT!U274), DAY(XT!Y274), DAY(XT!AC274), DAY(XT!AG274)), MATCH(1, INDEX(--(MONTH(CHOOSE({1,2,3,4}, XT!U274,XT!Y274,XT!AC274,XT!AG274))=2), 0), 0)), "")</f>
        <v/>
      </c>
      <c r="G274" s="51" t="str">
        <f>IF(XT!$P274&gt;0,F274,"")</f>
        <v/>
      </c>
      <c r="H274" s="51" t="str">
        <f>IF(XT!$P274=0,F274,"")</f>
        <v/>
      </c>
      <c r="I274">
        <f>SUMPRODUCT((MONTH(CHOOSE({1,2,3,4},XT!U274,XT!Y274,XT!AC274,XT!AG274))=3)*(CHOOSE({1,2,3,4},XT!X274,XT!AB274,XT!AF274,XT!AJ274)))</f>
        <v>0</v>
      </c>
      <c r="J274" t="str">
        <f>IFERROR(INDEX(CHOOSE({1,2,3,4}, DAY(XT!U274), DAY(XT!Y274), DAY(XT!AC274), DAY(XT!AG274)), MATCH(1, INDEX(--(MONTH(CHOOSE({1,2,3,4}, XT!U274,XT!Y274,XT!AC274,XT!AG274))=3), 0), 0)), "")</f>
        <v/>
      </c>
      <c r="K274" s="51" t="str">
        <f>IF(XT!$P274&gt;0,J274,"")</f>
        <v/>
      </c>
      <c r="L274" s="51" t="str">
        <f>IF(XT!$P274=0,J274,"")</f>
        <v/>
      </c>
      <c r="M274">
        <f>SUMPRODUCT((MONTH(CHOOSE({1,2,3,4},XT!U274,XT!Y274,XT!AC274,XT!AG274))=4)*(CHOOSE({1,2,3,4},XT!X274,XT!AB274,XT!AF274,XT!AJ274)))</f>
        <v>0</v>
      </c>
      <c r="N274" t="str">
        <f>IFERROR(INDEX(CHOOSE({1,2,3,4}, DAY(XT!U274), DAY(XT!Y274), DAY(XT!AC274), DAY(XT!AG274)), MATCH(1, INDEX(--(MONTH(CHOOSE({1,2,3,4}, XT!U274,XT!Y274,XT!AC274,XT!AG274))=4), 0), 0)), "")</f>
        <v/>
      </c>
      <c r="O274" s="51" t="str">
        <f>IF(XT!$P274&gt;0,N274,"")</f>
        <v/>
      </c>
      <c r="P274" s="51" t="str">
        <f>IF(XT!$P274=0,N274,"")</f>
        <v/>
      </c>
      <c r="Q274">
        <f>SUMPRODUCT((MONTH(CHOOSE({1,2,3,4},XT!U274,XT!Y274,XT!AC274,XT!AG274))=5)*(CHOOSE({1,2,3,4},XT!X274,XT!AB274,XT!AF274,XT!AJ274)))</f>
        <v>0</v>
      </c>
      <c r="R274" t="str">
        <f>IFERROR(INDEX(CHOOSE({1,2,3,4}, DAY(XT!U274), DAY(XT!Y274), DAY(XT!AC274), DAY(XT!AG274)), MATCH(1, INDEX(--(MONTH(CHOOSE({1,2,3,4}, XT!U274,XT!Y274,XT!AC274,XT!AG274))=5), 0), 0)), "")</f>
        <v/>
      </c>
      <c r="S274" s="51" t="str">
        <f>IF(XT!$P274&gt;0,R274,"")</f>
        <v/>
      </c>
      <c r="T274" s="51" t="str">
        <f>IF(XT!$P274=0,R274,"")</f>
        <v/>
      </c>
      <c r="U274">
        <f>SUMPRODUCT((MONTH(CHOOSE({1,2,3,4},XT!U274,XT!Y274,XT!AC274,XT!AG274))=6)*(CHOOSE({1,2,3,4},XT!X274,XT!AB274,XT!AF274,XT!AJ274)))</f>
        <v>0</v>
      </c>
      <c r="V274" t="str">
        <f>IFERROR(INDEX(CHOOSE({1,2,3,4}, DAY(XT!U274), DAY(XT!Y274), DAY(XT!AC274), DAY(XT!AG274)), MATCH(1, INDEX(--(MONTH(CHOOSE({1,2,3,4}, XT!U274,XT!Y274,XT!AC274,XT!AG274))=6), 0), 0)), "")</f>
        <v/>
      </c>
      <c r="W274" s="51" t="str">
        <f>IF(XT!$P274&gt;0,V274,"")</f>
        <v/>
      </c>
      <c r="X274" s="51" t="str">
        <f>IF(XT!$P274=0,V274,"")</f>
        <v/>
      </c>
      <c r="Y274">
        <f>SUMPRODUCT((MONTH(CHOOSE({1,2,3,4},XT!U274,XT!Y274,XT!AC274,XT!AG274))=7)*(CHOOSE({1,2,3,4},XT!X274,XT!AB274,XT!AF274,XT!AJ274)))</f>
        <v>0</v>
      </c>
      <c r="Z274" t="str">
        <f>IFERROR(INDEX(CHOOSE({1,2,3,4}, DAY(XT!U274), DAY(XT!Y274), DAY(XT!AC274), DAY(XT!AG274)), MATCH(1, INDEX(--(MONTH(CHOOSE({1,2,3,4}, XT!U274,XT!Y274,XT!AC274,XT!AG274))=7), 0), 0)), "")</f>
        <v/>
      </c>
      <c r="AA274" s="51" t="str">
        <f>IF(XT!$P274&gt;0,Z274,"")</f>
        <v/>
      </c>
      <c r="AB274" s="51" t="str">
        <f>IF(XT!$P274=0,Z274,"")</f>
        <v/>
      </c>
      <c r="AC274">
        <f>SUMPRODUCT((MONTH(CHOOSE({1,2,3,4},XT!U274,XT!Y274,XT!AC274,XT!AG274))=8)*(CHOOSE({1,2,3,4},XT!X274,XT!AB274,XT!AF274,XT!AJ274)))</f>
        <v>0</v>
      </c>
      <c r="AD274" t="str">
        <f>IFERROR(INDEX(CHOOSE({1,2,3,4}, DAY(XT!U274), DAY(XT!Y274), DAY(XT!AC274), DAY(XT!AG274)), MATCH(1, INDEX(--(MONTH(CHOOSE({1,2,3,4}, XT!U274,XT!Y274,XT!AC274,XT!AG274))=8), 0), 0)), "")</f>
        <v/>
      </c>
      <c r="AE274" s="51" t="str">
        <f>IF(XT!$P274&gt;0,AD274,"")</f>
        <v/>
      </c>
      <c r="AF274" s="51" t="str">
        <f>IF(XT!$P274=0,AD274,"")</f>
        <v/>
      </c>
      <c r="AG274">
        <f>SUMPRODUCT((MONTH(CHOOSE({1,2,3,4},XT!U274,XT!Y274,XT!AC274,XT!AG274))=9)*(CHOOSE({1,2,3,4},XT!X274,XT!AB274,XT!AF274,XT!AJ274)))</f>
        <v>0</v>
      </c>
      <c r="AH274" t="str">
        <f>IFERROR(INDEX(CHOOSE({1,2,3,4}, DAY(XT!U274), DAY(XT!Y274), DAY(XT!AC274), DAY(XT!AG274)), MATCH(1, INDEX(--(MONTH(CHOOSE({1,2,3,4}, XT!U274,XT!Y274,XT!AC274,XT!AG274))=9), 0), 0)), "")</f>
        <v/>
      </c>
      <c r="AI274" s="51" t="str">
        <f>IF(XT!$P274&gt;0,AH274,"")</f>
        <v/>
      </c>
      <c r="AJ274" s="51" t="str">
        <f>IF(XT!$P274=0,AH274,"")</f>
        <v/>
      </c>
      <c r="AK274">
        <f>SUMPRODUCT((MONTH(CHOOSE({1,2,3,4},XT!U274,XT!Y274,XT!AC274,XT!AG274))=10)*(CHOOSE({1,2,3,4},XT!X274,XT!AB274,XT!AF274,XT!AJ274)))</f>
        <v>0</v>
      </c>
      <c r="AL274" t="str">
        <f>IFERROR(INDEX(CHOOSE({1,2,3,4}, DAY(XT!U274), DAY(XT!Y274), DAY(XT!AC274), DAY(XT!AG274)), MATCH(1, INDEX(--(MONTH(CHOOSE({1,2,3,4}, XT!U274,XT!Y274,XT!AC274,XT!AG274))=10), 0), 0)), "")</f>
        <v/>
      </c>
      <c r="AM274" s="51" t="str">
        <f>IF(XT!$P274&gt;0,AL274,"")</f>
        <v/>
      </c>
      <c r="AN274" s="51" t="str">
        <f>IF(XT!$P274=0,AL274,"")</f>
        <v/>
      </c>
      <c r="AO274">
        <f>SUMPRODUCT((MONTH(CHOOSE({1,2,3,4},XT!U274,XT!Y274,XT!AC274,XT!AG274))=11)*(CHOOSE({1,2,3,4},XT!X274,XT!AB274,XT!AF274,XT!AJ274)))</f>
        <v>0</v>
      </c>
      <c r="AP274" t="str">
        <f>IFERROR(INDEX(CHOOSE({1,2,3,4}, DAY(XT!U274), DAY(XT!Y274), DAY(XT!AC274), DAY(XT!AG274)), MATCH(1, INDEX(--(MONTH(CHOOSE({1,2,3,4}, XT!U274,XT!Y274,XT!AC274,XT!AG274))=11), 0), 0)), "")</f>
        <v/>
      </c>
      <c r="AQ274" s="51" t="str">
        <f>IF(XT!$P274&gt;0,AP274,"")</f>
        <v/>
      </c>
      <c r="AR274" s="51" t="str">
        <f>IF(XT!$P274=0,AP274,"")</f>
        <v/>
      </c>
      <c r="AS274">
        <f>SUMPRODUCT((MONTH(CHOOSE({1,2,3,4},XT!U274,XT!Y274,XT!AC274,XT!AG274))=12)*(CHOOSE({1,2,3,4},XT!X274,XT!AB274,XT!AF274,XT!AJ274)))</f>
        <v>0</v>
      </c>
      <c r="AT274" t="str">
        <f>IFERROR(INDEX(CHOOSE({1,2,3,4}, DAY(XT!U274), DAY(XT!Y274), DAY(XT!AC274), DAY(XT!AG274)), MATCH(1, INDEX(--(MONTH(CHOOSE({1,2,3,4}, XT!U274,XT!Y274,XT!AC274,XT!AG274))=12), 0), 0)), "")</f>
        <v/>
      </c>
      <c r="AU274" s="51" t="str">
        <f>IF(XT!$P274&gt;0,AT274,"")</f>
        <v/>
      </c>
      <c r="AV274" s="51" t="str">
        <f>IF(XT!$P274=0,AT274,"")</f>
        <v/>
      </c>
    </row>
    <row r="275" spans="1:48">
      <c r="A275">
        <f>SUMPRODUCT((MONTH(CHOOSE({1,2,3,4},XT!U275,XT!Y275,XT!AC275,XT!AG275))=1)*(CHOOSE({1,2,3,4},XT!X275,XT!AB275,XT!AF275,XT!AJ275)))</f>
        <v>0</v>
      </c>
      <c r="B275">
        <f>IFERROR(INDEX(CHOOSE({1,2,3,4}, DAY(XT!U275), DAY(XT!Y275), DAY(XT!AC275), DAY(XT!AG275)), MATCH(1, INDEX(--(MONTH(CHOOSE({1,2,3,4}, XT!U275,XT!Y275,XT!AC275,XT!AG275))=1), 0), 0)), "")</f>
        <v>0</v>
      </c>
      <c r="C275" s="51" t="str">
        <f>IF(XT!$P275&gt;0,B275,"")</f>
        <v/>
      </c>
      <c r="D275" s="51">
        <f>IF(XT!$P275=0,B275,"")</f>
        <v>0</v>
      </c>
      <c r="E275">
        <f>SUMPRODUCT((MONTH(CHOOSE({1,2,3,4},XT!U275,XT!Y275,XT!AC275,XT!AG275))=2)*(CHOOSE({1,2,3,4},XT!X275,XT!AB275,XT!AF275,XT!AJ275)))</f>
        <v>0</v>
      </c>
      <c r="F275" t="str">
        <f>IFERROR(INDEX(CHOOSE({1,2,3,4}, DAY(XT!U275), DAY(XT!Y275), DAY(XT!AC275), DAY(XT!AG275)), MATCH(1, INDEX(--(MONTH(CHOOSE({1,2,3,4}, XT!U275,XT!Y275,XT!AC275,XT!AG275))=2), 0), 0)), "")</f>
        <v/>
      </c>
      <c r="G275" s="51" t="str">
        <f>IF(XT!$P275&gt;0,F275,"")</f>
        <v/>
      </c>
      <c r="H275" s="51" t="str">
        <f>IF(XT!$P275=0,F275,"")</f>
        <v/>
      </c>
      <c r="I275">
        <f>SUMPRODUCT((MONTH(CHOOSE({1,2,3,4},XT!U275,XT!Y275,XT!AC275,XT!AG275))=3)*(CHOOSE({1,2,3,4},XT!X275,XT!AB275,XT!AF275,XT!AJ275)))</f>
        <v>0</v>
      </c>
      <c r="J275" t="str">
        <f>IFERROR(INDEX(CHOOSE({1,2,3,4}, DAY(XT!U275), DAY(XT!Y275), DAY(XT!AC275), DAY(XT!AG275)), MATCH(1, INDEX(--(MONTH(CHOOSE({1,2,3,4}, XT!U275,XT!Y275,XT!AC275,XT!AG275))=3), 0), 0)), "")</f>
        <v/>
      </c>
      <c r="K275" s="51" t="str">
        <f>IF(XT!$P275&gt;0,J275,"")</f>
        <v/>
      </c>
      <c r="L275" s="51" t="str">
        <f>IF(XT!$P275=0,J275,"")</f>
        <v/>
      </c>
      <c r="M275">
        <f>SUMPRODUCT((MONTH(CHOOSE({1,2,3,4},XT!U275,XT!Y275,XT!AC275,XT!AG275))=4)*(CHOOSE({1,2,3,4},XT!X275,XT!AB275,XT!AF275,XT!AJ275)))</f>
        <v>0</v>
      </c>
      <c r="N275" t="str">
        <f>IFERROR(INDEX(CHOOSE({1,2,3,4}, DAY(XT!U275), DAY(XT!Y275), DAY(XT!AC275), DAY(XT!AG275)), MATCH(1, INDEX(--(MONTH(CHOOSE({1,2,3,4}, XT!U275,XT!Y275,XT!AC275,XT!AG275))=4), 0), 0)), "")</f>
        <v/>
      </c>
      <c r="O275" s="51" t="str">
        <f>IF(XT!$P275&gt;0,N275,"")</f>
        <v/>
      </c>
      <c r="P275" s="51" t="str">
        <f>IF(XT!$P275=0,N275,"")</f>
        <v/>
      </c>
      <c r="Q275">
        <f>SUMPRODUCT((MONTH(CHOOSE({1,2,3,4},XT!U275,XT!Y275,XT!AC275,XT!AG275))=5)*(CHOOSE({1,2,3,4},XT!X275,XT!AB275,XT!AF275,XT!AJ275)))</f>
        <v>0</v>
      </c>
      <c r="R275" t="str">
        <f>IFERROR(INDEX(CHOOSE({1,2,3,4}, DAY(XT!U275), DAY(XT!Y275), DAY(XT!AC275), DAY(XT!AG275)), MATCH(1, INDEX(--(MONTH(CHOOSE({1,2,3,4}, XT!U275,XT!Y275,XT!AC275,XT!AG275))=5), 0), 0)), "")</f>
        <v/>
      </c>
      <c r="S275" s="51" t="str">
        <f>IF(XT!$P275&gt;0,R275,"")</f>
        <v/>
      </c>
      <c r="T275" s="51" t="str">
        <f>IF(XT!$P275=0,R275,"")</f>
        <v/>
      </c>
      <c r="U275">
        <f>SUMPRODUCT((MONTH(CHOOSE({1,2,3,4},XT!U275,XT!Y275,XT!AC275,XT!AG275))=6)*(CHOOSE({1,2,3,4},XT!X275,XT!AB275,XT!AF275,XT!AJ275)))</f>
        <v>0</v>
      </c>
      <c r="V275" t="str">
        <f>IFERROR(INDEX(CHOOSE({1,2,3,4}, DAY(XT!U275), DAY(XT!Y275), DAY(XT!AC275), DAY(XT!AG275)), MATCH(1, INDEX(--(MONTH(CHOOSE({1,2,3,4}, XT!U275,XT!Y275,XT!AC275,XT!AG275))=6), 0), 0)), "")</f>
        <v/>
      </c>
      <c r="W275" s="51" t="str">
        <f>IF(XT!$P275&gt;0,V275,"")</f>
        <v/>
      </c>
      <c r="X275" s="51" t="str">
        <f>IF(XT!$P275=0,V275,"")</f>
        <v/>
      </c>
      <c r="Y275">
        <f>SUMPRODUCT((MONTH(CHOOSE({1,2,3,4},XT!U275,XT!Y275,XT!AC275,XT!AG275))=7)*(CHOOSE({1,2,3,4},XT!X275,XT!AB275,XT!AF275,XT!AJ275)))</f>
        <v>0</v>
      </c>
      <c r="Z275" t="str">
        <f>IFERROR(INDEX(CHOOSE({1,2,3,4}, DAY(XT!U275), DAY(XT!Y275), DAY(XT!AC275), DAY(XT!AG275)), MATCH(1, INDEX(--(MONTH(CHOOSE({1,2,3,4}, XT!U275,XT!Y275,XT!AC275,XT!AG275))=7), 0), 0)), "")</f>
        <v/>
      </c>
      <c r="AA275" s="51" t="str">
        <f>IF(XT!$P275&gt;0,Z275,"")</f>
        <v/>
      </c>
      <c r="AB275" s="51" t="str">
        <f>IF(XT!$P275=0,Z275,"")</f>
        <v/>
      </c>
      <c r="AC275">
        <f>SUMPRODUCT((MONTH(CHOOSE({1,2,3,4},XT!U275,XT!Y275,XT!AC275,XT!AG275))=8)*(CHOOSE({1,2,3,4},XT!X275,XT!AB275,XT!AF275,XT!AJ275)))</f>
        <v>0</v>
      </c>
      <c r="AD275" t="str">
        <f>IFERROR(INDEX(CHOOSE({1,2,3,4}, DAY(XT!U275), DAY(XT!Y275), DAY(XT!AC275), DAY(XT!AG275)), MATCH(1, INDEX(--(MONTH(CHOOSE({1,2,3,4}, XT!U275,XT!Y275,XT!AC275,XT!AG275))=8), 0), 0)), "")</f>
        <v/>
      </c>
      <c r="AE275" s="51" t="str">
        <f>IF(XT!$P275&gt;0,AD275,"")</f>
        <v/>
      </c>
      <c r="AF275" s="51" t="str">
        <f>IF(XT!$P275=0,AD275,"")</f>
        <v/>
      </c>
      <c r="AG275">
        <f>SUMPRODUCT((MONTH(CHOOSE({1,2,3,4},XT!U275,XT!Y275,XT!AC275,XT!AG275))=9)*(CHOOSE({1,2,3,4},XT!X275,XT!AB275,XT!AF275,XT!AJ275)))</f>
        <v>0</v>
      </c>
      <c r="AH275" t="str">
        <f>IFERROR(INDEX(CHOOSE({1,2,3,4}, DAY(XT!U275), DAY(XT!Y275), DAY(XT!AC275), DAY(XT!AG275)), MATCH(1, INDEX(--(MONTH(CHOOSE({1,2,3,4}, XT!U275,XT!Y275,XT!AC275,XT!AG275))=9), 0), 0)), "")</f>
        <v/>
      </c>
      <c r="AI275" s="51" t="str">
        <f>IF(XT!$P275&gt;0,AH275,"")</f>
        <v/>
      </c>
      <c r="AJ275" s="51" t="str">
        <f>IF(XT!$P275=0,AH275,"")</f>
        <v/>
      </c>
      <c r="AK275">
        <f>SUMPRODUCT((MONTH(CHOOSE({1,2,3,4},XT!U275,XT!Y275,XT!AC275,XT!AG275))=10)*(CHOOSE({1,2,3,4},XT!X275,XT!AB275,XT!AF275,XT!AJ275)))</f>
        <v>0</v>
      </c>
      <c r="AL275" t="str">
        <f>IFERROR(INDEX(CHOOSE({1,2,3,4}, DAY(XT!U275), DAY(XT!Y275), DAY(XT!AC275), DAY(XT!AG275)), MATCH(1, INDEX(--(MONTH(CHOOSE({1,2,3,4}, XT!U275,XT!Y275,XT!AC275,XT!AG275))=10), 0), 0)), "")</f>
        <v/>
      </c>
      <c r="AM275" s="51" t="str">
        <f>IF(XT!$P275&gt;0,AL275,"")</f>
        <v/>
      </c>
      <c r="AN275" s="51" t="str">
        <f>IF(XT!$P275=0,AL275,"")</f>
        <v/>
      </c>
      <c r="AO275">
        <f>SUMPRODUCT((MONTH(CHOOSE({1,2,3,4},XT!U275,XT!Y275,XT!AC275,XT!AG275))=11)*(CHOOSE({1,2,3,4},XT!X275,XT!AB275,XT!AF275,XT!AJ275)))</f>
        <v>0</v>
      </c>
      <c r="AP275" t="str">
        <f>IFERROR(INDEX(CHOOSE({1,2,3,4}, DAY(XT!U275), DAY(XT!Y275), DAY(XT!AC275), DAY(XT!AG275)), MATCH(1, INDEX(--(MONTH(CHOOSE({1,2,3,4}, XT!U275,XT!Y275,XT!AC275,XT!AG275))=11), 0), 0)), "")</f>
        <v/>
      </c>
      <c r="AQ275" s="51" t="str">
        <f>IF(XT!$P275&gt;0,AP275,"")</f>
        <v/>
      </c>
      <c r="AR275" s="51" t="str">
        <f>IF(XT!$P275=0,AP275,"")</f>
        <v/>
      </c>
      <c r="AS275">
        <f>SUMPRODUCT((MONTH(CHOOSE({1,2,3,4},XT!U275,XT!Y275,XT!AC275,XT!AG275))=12)*(CHOOSE({1,2,3,4},XT!X275,XT!AB275,XT!AF275,XT!AJ275)))</f>
        <v>0</v>
      </c>
      <c r="AT275" t="str">
        <f>IFERROR(INDEX(CHOOSE({1,2,3,4}, DAY(XT!U275), DAY(XT!Y275), DAY(XT!AC275), DAY(XT!AG275)), MATCH(1, INDEX(--(MONTH(CHOOSE({1,2,3,4}, XT!U275,XT!Y275,XT!AC275,XT!AG275))=12), 0), 0)), "")</f>
        <v/>
      </c>
      <c r="AU275" s="51" t="str">
        <f>IF(XT!$P275&gt;0,AT275,"")</f>
        <v/>
      </c>
      <c r="AV275" s="51" t="str">
        <f>IF(XT!$P275=0,AT275,"")</f>
        <v/>
      </c>
    </row>
    <row r="276" spans="1:48">
      <c r="A276">
        <f>SUMPRODUCT((MONTH(CHOOSE({1,2,3,4},XT!U276,XT!Y276,XT!AC276,XT!AG276))=1)*(CHOOSE({1,2,3,4},XT!X276,XT!AB276,XT!AF276,XT!AJ276)))</f>
        <v>0</v>
      </c>
      <c r="B276">
        <f>IFERROR(INDEX(CHOOSE({1,2,3,4}, DAY(XT!U276), DAY(XT!Y276), DAY(XT!AC276), DAY(XT!AG276)), MATCH(1, INDEX(--(MONTH(CHOOSE({1,2,3,4}, XT!U276,XT!Y276,XT!AC276,XT!AG276))=1), 0), 0)), "")</f>
        <v>0</v>
      </c>
      <c r="C276" s="51" t="str">
        <f>IF(XT!$P276&gt;0,B276,"")</f>
        <v/>
      </c>
      <c r="D276" s="51">
        <f>IF(XT!$P276=0,B276,"")</f>
        <v>0</v>
      </c>
      <c r="E276">
        <f>SUMPRODUCT((MONTH(CHOOSE({1,2,3,4},XT!U276,XT!Y276,XT!AC276,XT!AG276))=2)*(CHOOSE({1,2,3,4},XT!X276,XT!AB276,XT!AF276,XT!AJ276)))</f>
        <v>0</v>
      </c>
      <c r="F276" t="str">
        <f>IFERROR(INDEX(CHOOSE({1,2,3,4}, DAY(XT!U276), DAY(XT!Y276), DAY(XT!AC276), DAY(XT!AG276)), MATCH(1, INDEX(--(MONTH(CHOOSE({1,2,3,4}, XT!U276,XT!Y276,XT!AC276,XT!AG276))=2), 0), 0)), "")</f>
        <v/>
      </c>
      <c r="G276" s="51" t="str">
        <f>IF(XT!$P276&gt;0,F276,"")</f>
        <v/>
      </c>
      <c r="H276" s="51" t="str">
        <f>IF(XT!$P276=0,F276,"")</f>
        <v/>
      </c>
      <c r="I276">
        <f>SUMPRODUCT((MONTH(CHOOSE({1,2,3,4},XT!U276,XT!Y276,XT!AC276,XT!AG276))=3)*(CHOOSE({1,2,3,4},XT!X276,XT!AB276,XT!AF276,XT!AJ276)))</f>
        <v>0</v>
      </c>
      <c r="J276" t="str">
        <f>IFERROR(INDEX(CHOOSE({1,2,3,4}, DAY(XT!U276), DAY(XT!Y276), DAY(XT!AC276), DAY(XT!AG276)), MATCH(1, INDEX(--(MONTH(CHOOSE({1,2,3,4}, XT!U276,XT!Y276,XT!AC276,XT!AG276))=3), 0), 0)), "")</f>
        <v/>
      </c>
      <c r="K276" s="51" t="str">
        <f>IF(XT!$P276&gt;0,J276,"")</f>
        <v/>
      </c>
      <c r="L276" s="51" t="str">
        <f>IF(XT!$P276=0,J276,"")</f>
        <v/>
      </c>
      <c r="M276">
        <f>SUMPRODUCT((MONTH(CHOOSE({1,2,3,4},XT!U276,XT!Y276,XT!AC276,XT!AG276))=4)*(CHOOSE({1,2,3,4},XT!X276,XT!AB276,XT!AF276,XT!AJ276)))</f>
        <v>0</v>
      </c>
      <c r="N276" t="str">
        <f>IFERROR(INDEX(CHOOSE({1,2,3,4}, DAY(XT!U276), DAY(XT!Y276), DAY(XT!AC276), DAY(XT!AG276)), MATCH(1, INDEX(--(MONTH(CHOOSE({1,2,3,4}, XT!U276,XT!Y276,XT!AC276,XT!AG276))=4), 0), 0)), "")</f>
        <v/>
      </c>
      <c r="O276" s="51" t="str">
        <f>IF(XT!$P276&gt;0,N276,"")</f>
        <v/>
      </c>
      <c r="P276" s="51" t="str">
        <f>IF(XT!$P276=0,N276,"")</f>
        <v/>
      </c>
      <c r="Q276">
        <f>SUMPRODUCT((MONTH(CHOOSE({1,2,3,4},XT!U276,XT!Y276,XT!AC276,XT!AG276))=5)*(CHOOSE({1,2,3,4},XT!X276,XT!AB276,XT!AF276,XT!AJ276)))</f>
        <v>0</v>
      </c>
      <c r="R276" t="str">
        <f>IFERROR(INDEX(CHOOSE({1,2,3,4}, DAY(XT!U276), DAY(XT!Y276), DAY(XT!AC276), DAY(XT!AG276)), MATCH(1, INDEX(--(MONTH(CHOOSE({1,2,3,4}, XT!U276,XT!Y276,XT!AC276,XT!AG276))=5), 0), 0)), "")</f>
        <v/>
      </c>
      <c r="S276" s="51" t="str">
        <f>IF(XT!$P276&gt;0,R276,"")</f>
        <v/>
      </c>
      <c r="T276" s="51" t="str">
        <f>IF(XT!$P276=0,R276,"")</f>
        <v/>
      </c>
      <c r="U276">
        <f>SUMPRODUCT((MONTH(CHOOSE({1,2,3,4},XT!U276,XT!Y276,XT!AC276,XT!AG276))=6)*(CHOOSE({1,2,3,4},XT!X276,XT!AB276,XT!AF276,XT!AJ276)))</f>
        <v>0</v>
      </c>
      <c r="V276" t="str">
        <f>IFERROR(INDEX(CHOOSE({1,2,3,4}, DAY(XT!U276), DAY(XT!Y276), DAY(XT!AC276), DAY(XT!AG276)), MATCH(1, INDEX(--(MONTH(CHOOSE({1,2,3,4}, XT!U276,XT!Y276,XT!AC276,XT!AG276))=6), 0), 0)), "")</f>
        <v/>
      </c>
      <c r="W276" s="51" t="str">
        <f>IF(XT!$P276&gt;0,V276,"")</f>
        <v/>
      </c>
      <c r="X276" s="51" t="str">
        <f>IF(XT!$P276=0,V276,"")</f>
        <v/>
      </c>
      <c r="Y276">
        <f>SUMPRODUCT((MONTH(CHOOSE({1,2,3,4},XT!U276,XT!Y276,XT!AC276,XT!AG276))=7)*(CHOOSE({1,2,3,4},XT!X276,XT!AB276,XT!AF276,XT!AJ276)))</f>
        <v>0</v>
      </c>
      <c r="Z276" t="str">
        <f>IFERROR(INDEX(CHOOSE({1,2,3,4}, DAY(XT!U276), DAY(XT!Y276), DAY(XT!AC276), DAY(XT!AG276)), MATCH(1, INDEX(--(MONTH(CHOOSE({1,2,3,4}, XT!U276,XT!Y276,XT!AC276,XT!AG276))=7), 0), 0)), "")</f>
        <v/>
      </c>
      <c r="AA276" s="51" t="str">
        <f>IF(XT!$P276&gt;0,Z276,"")</f>
        <v/>
      </c>
      <c r="AB276" s="51" t="str">
        <f>IF(XT!$P276=0,Z276,"")</f>
        <v/>
      </c>
      <c r="AC276">
        <f>SUMPRODUCT((MONTH(CHOOSE({1,2,3,4},XT!U276,XT!Y276,XT!AC276,XT!AG276))=8)*(CHOOSE({1,2,3,4},XT!X276,XT!AB276,XT!AF276,XT!AJ276)))</f>
        <v>0</v>
      </c>
      <c r="AD276" t="str">
        <f>IFERROR(INDEX(CHOOSE({1,2,3,4}, DAY(XT!U276), DAY(XT!Y276), DAY(XT!AC276), DAY(XT!AG276)), MATCH(1, INDEX(--(MONTH(CHOOSE({1,2,3,4}, XT!U276,XT!Y276,XT!AC276,XT!AG276))=8), 0), 0)), "")</f>
        <v/>
      </c>
      <c r="AE276" s="51" t="str">
        <f>IF(XT!$P276&gt;0,AD276,"")</f>
        <v/>
      </c>
      <c r="AF276" s="51" t="str">
        <f>IF(XT!$P276=0,AD276,"")</f>
        <v/>
      </c>
      <c r="AG276">
        <f>SUMPRODUCT((MONTH(CHOOSE({1,2,3,4},XT!U276,XT!Y276,XT!AC276,XT!AG276))=9)*(CHOOSE({1,2,3,4},XT!X276,XT!AB276,XT!AF276,XT!AJ276)))</f>
        <v>0</v>
      </c>
      <c r="AH276" t="str">
        <f>IFERROR(INDEX(CHOOSE({1,2,3,4}, DAY(XT!U276), DAY(XT!Y276), DAY(XT!AC276), DAY(XT!AG276)), MATCH(1, INDEX(--(MONTH(CHOOSE({1,2,3,4}, XT!U276,XT!Y276,XT!AC276,XT!AG276))=9), 0), 0)), "")</f>
        <v/>
      </c>
      <c r="AI276" s="51" t="str">
        <f>IF(XT!$P276&gt;0,AH276,"")</f>
        <v/>
      </c>
      <c r="AJ276" s="51" t="str">
        <f>IF(XT!$P276=0,AH276,"")</f>
        <v/>
      </c>
      <c r="AK276">
        <f>SUMPRODUCT((MONTH(CHOOSE({1,2,3,4},XT!U276,XT!Y276,XT!AC276,XT!AG276))=10)*(CHOOSE({1,2,3,4},XT!X276,XT!AB276,XT!AF276,XT!AJ276)))</f>
        <v>0</v>
      </c>
      <c r="AL276" t="str">
        <f>IFERROR(INDEX(CHOOSE({1,2,3,4}, DAY(XT!U276), DAY(XT!Y276), DAY(XT!AC276), DAY(XT!AG276)), MATCH(1, INDEX(--(MONTH(CHOOSE({1,2,3,4}, XT!U276,XT!Y276,XT!AC276,XT!AG276))=10), 0), 0)), "")</f>
        <v/>
      </c>
      <c r="AM276" s="51" t="str">
        <f>IF(XT!$P276&gt;0,AL276,"")</f>
        <v/>
      </c>
      <c r="AN276" s="51" t="str">
        <f>IF(XT!$P276=0,AL276,"")</f>
        <v/>
      </c>
      <c r="AO276">
        <f>SUMPRODUCT((MONTH(CHOOSE({1,2,3,4},XT!U276,XT!Y276,XT!AC276,XT!AG276))=11)*(CHOOSE({1,2,3,4},XT!X276,XT!AB276,XT!AF276,XT!AJ276)))</f>
        <v>0</v>
      </c>
      <c r="AP276" t="str">
        <f>IFERROR(INDEX(CHOOSE({1,2,3,4}, DAY(XT!U276), DAY(XT!Y276), DAY(XT!AC276), DAY(XT!AG276)), MATCH(1, INDEX(--(MONTH(CHOOSE({1,2,3,4}, XT!U276,XT!Y276,XT!AC276,XT!AG276))=11), 0), 0)), "")</f>
        <v/>
      </c>
      <c r="AQ276" s="51" t="str">
        <f>IF(XT!$P276&gt;0,AP276,"")</f>
        <v/>
      </c>
      <c r="AR276" s="51" t="str">
        <f>IF(XT!$P276=0,AP276,"")</f>
        <v/>
      </c>
      <c r="AS276">
        <f>SUMPRODUCT((MONTH(CHOOSE({1,2,3,4},XT!U276,XT!Y276,XT!AC276,XT!AG276))=12)*(CHOOSE({1,2,3,4},XT!X276,XT!AB276,XT!AF276,XT!AJ276)))</f>
        <v>0</v>
      </c>
      <c r="AT276" t="str">
        <f>IFERROR(INDEX(CHOOSE({1,2,3,4}, DAY(XT!U276), DAY(XT!Y276), DAY(XT!AC276), DAY(XT!AG276)), MATCH(1, INDEX(--(MONTH(CHOOSE({1,2,3,4}, XT!U276,XT!Y276,XT!AC276,XT!AG276))=12), 0), 0)), "")</f>
        <v/>
      </c>
      <c r="AU276" s="51" t="str">
        <f>IF(XT!$P276&gt;0,AT276,"")</f>
        <v/>
      </c>
      <c r="AV276" s="51" t="str">
        <f>IF(XT!$P276=0,AT276,"")</f>
        <v/>
      </c>
    </row>
    <row r="277" spans="1:48">
      <c r="A277">
        <f>SUMPRODUCT((MONTH(CHOOSE({1,2,3,4},XT!U277,XT!Y277,XT!AC277,XT!AG277))=1)*(CHOOSE({1,2,3,4},XT!X277,XT!AB277,XT!AF277,XT!AJ277)))</f>
        <v>0</v>
      </c>
      <c r="B277">
        <f>IFERROR(INDEX(CHOOSE({1,2,3,4}, DAY(XT!U277), DAY(XT!Y277), DAY(XT!AC277), DAY(XT!AG277)), MATCH(1, INDEX(--(MONTH(CHOOSE({1,2,3,4}, XT!U277,XT!Y277,XT!AC277,XT!AG277))=1), 0), 0)), "")</f>
        <v>0</v>
      </c>
      <c r="C277" s="51" t="str">
        <f>IF(XT!$P277&gt;0,B277,"")</f>
        <v/>
      </c>
      <c r="D277" s="51">
        <f>IF(XT!$P277=0,B277,"")</f>
        <v>0</v>
      </c>
      <c r="E277">
        <f>SUMPRODUCT((MONTH(CHOOSE({1,2,3,4},XT!U277,XT!Y277,XT!AC277,XT!AG277))=2)*(CHOOSE({1,2,3,4},XT!X277,XT!AB277,XT!AF277,XT!AJ277)))</f>
        <v>0</v>
      </c>
      <c r="F277" t="str">
        <f>IFERROR(INDEX(CHOOSE({1,2,3,4}, DAY(XT!U277), DAY(XT!Y277), DAY(XT!AC277), DAY(XT!AG277)), MATCH(1, INDEX(--(MONTH(CHOOSE({1,2,3,4}, XT!U277,XT!Y277,XT!AC277,XT!AG277))=2), 0), 0)), "")</f>
        <v/>
      </c>
      <c r="G277" s="51" t="str">
        <f>IF(XT!$P277&gt;0,F277,"")</f>
        <v/>
      </c>
      <c r="H277" s="51" t="str">
        <f>IF(XT!$P277=0,F277,"")</f>
        <v/>
      </c>
      <c r="I277">
        <f>SUMPRODUCT((MONTH(CHOOSE({1,2,3,4},XT!U277,XT!Y277,XT!AC277,XT!AG277))=3)*(CHOOSE({1,2,3,4},XT!X277,XT!AB277,XT!AF277,XT!AJ277)))</f>
        <v>0</v>
      </c>
      <c r="J277" t="str">
        <f>IFERROR(INDEX(CHOOSE({1,2,3,4}, DAY(XT!U277), DAY(XT!Y277), DAY(XT!AC277), DAY(XT!AG277)), MATCH(1, INDEX(--(MONTH(CHOOSE({1,2,3,4}, XT!U277,XT!Y277,XT!AC277,XT!AG277))=3), 0), 0)), "")</f>
        <v/>
      </c>
      <c r="K277" s="51" t="str">
        <f>IF(XT!$P277&gt;0,J277,"")</f>
        <v/>
      </c>
      <c r="L277" s="51" t="str">
        <f>IF(XT!$P277=0,J277,"")</f>
        <v/>
      </c>
      <c r="M277">
        <f>SUMPRODUCT((MONTH(CHOOSE({1,2,3,4},XT!U277,XT!Y277,XT!AC277,XT!AG277))=4)*(CHOOSE({1,2,3,4},XT!X277,XT!AB277,XT!AF277,XT!AJ277)))</f>
        <v>0</v>
      </c>
      <c r="N277" t="str">
        <f>IFERROR(INDEX(CHOOSE({1,2,3,4}, DAY(XT!U277), DAY(XT!Y277), DAY(XT!AC277), DAY(XT!AG277)), MATCH(1, INDEX(--(MONTH(CHOOSE({1,2,3,4}, XT!U277,XT!Y277,XT!AC277,XT!AG277))=4), 0), 0)), "")</f>
        <v/>
      </c>
      <c r="O277" s="51" t="str">
        <f>IF(XT!$P277&gt;0,N277,"")</f>
        <v/>
      </c>
      <c r="P277" s="51" t="str">
        <f>IF(XT!$P277=0,N277,"")</f>
        <v/>
      </c>
      <c r="Q277">
        <f>SUMPRODUCT((MONTH(CHOOSE({1,2,3,4},XT!U277,XT!Y277,XT!AC277,XT!AG277))=5)*(CHOOSE({1,2,3,4},XT!X277,XT!AB277,XT!AF277,XT!AJ277)))</f>
        <v>0</v>
      </c>
      <c r="R277" t="str">
        <f>IFERROR(INDEX(CHOOSE({1,2,3,4}, DAY(XT!U277), DAY(XT!Y277), DAY(XT!AC277), DAY(XT!AG277)), MATCH(1, INDEX(--(MONTH(CHOOSE({1,2,3,4}, XT!U277,XT!Y277,XT!AC277,XT!AG277))=5), 0), 0)), "")</f>
        <v/>
      </c>
      <c r="S277" s="51" t="str">
        <f>IF(XT!$P277&gt;0,R277,"")</f>
        <v/>
      </c>
      <c r="T277" s="51" t="str">
        <f>IF(XT!$P277=0,R277,"")</f>
        <v/>
      </c>
      <c r="U277">
        <f>SUMPRODUCT((MONTH(CHOOSE({1,2,3,4},XT!U277,XT!Y277,XT!AC277,XT!AG277))=6)*(CHOOSE({1,2,3,4},XT!X277,XT!AB277,XT!AF277,XT!AJ277)))</f>
        <v>0</v>
      </c>
      <c r="V277" t="str">
        <f>IFERROR(INDEX(CHOOSE({1,2,3,4}, DAY(XT!U277), DAY(XT!Y277), DAY(XT!AC277), DAY(XT!AG277)), MATCH(1, INDEX(--(MONTH(CHOOSE({1,2,3,4}, XT!U277,XT!Y277,XT!AC277,XT!AG277))=6), 0), 0)), "")</f>
        <v/>
      </c>
      <c r="W277" s="51" t="str">
        <f>IF(XT!$P277&gt;0,V277,"")</f>
        <v/>
      </c>
      <c r="X277" s="51" t="str">
        <f>IF(XT!$P277=0,V277,"")</f>
        <v/>
      </c>
      <c r="Y277">
        <f>SUMPRODUCT((MONTH(CHOOSE({1,2,3,4},XT!U277,XT!Y277,XT!AC277,XT!AG277))=7)*(CHOOSE({1,2,3,4},XT!X277,XT!AB277,XT!AF277,XT!AJ277)))</f>
        <v>0</v>
      </c>
      <c r="Z277" t="str">
        <f>IFERROR(INDEX(CHOOSE({1,2,3,4}, DAY(XT!U277), DAY(XT!Y277), DAY(XT!AC277), DAY(XT!AG277)), MATCH(1, INDEX(--(MONTH(CHOOSE({1,2,3,4}, XT!U277,XT!Y277,XT!AC277,XT!AG277))=7), 0), 0)), "")</f>
        <v/>
      </c>
      <c r="AA277" s="51" t="str">
        <f>IF(XT!$P277&gt;0,Z277,"")</f>
        <v/>
      </c>
      <c r="AB277" s="51" t="str">
        <f>IF(XT!$P277=0,Z277,"")</f>
        <v/>
      </c>
      <c r="AC277">
        <f>SUMPRODUCT((MONTH(CHOOSE({1,2,3,4},XT!U277,XT!Y277,XT!AC277,XT!AG277))=8)*(CHOOSE({1,2,3,4},XT!X277,XT!AB277,XT!AF277,XT!AJ277)))</f>
        <v>0</v>
      </c>
      <c r="AD277" t="str">
        <f>IFERROR(INDEX(CHOOSE({1,2,3,4}, DAY(XT!U277), DAY(XT!Y277), DAY(XT!AC277), DAY(XT!AG277)), MATCH(1, INDEX(--(MONTH(CHOOSE({1,2,3,4}, XT!U277,XT!Y277,XT!AC277,XT!AG277))=8), 0), 0)), "")</f>
        <v/>
      </c>
      <c r="AE277" s="51" t="str">
        <f>IF(XT!$P277&gt;0,AD277,"")</f>
        <v/>
      </c>
      <c r="AF277" s="51" t="str">
        <f>IF(XT!$P277=0,AD277,"")</f>
        <v/>
      </c>
      <c r="AG277">
        <f>SUMPRODUCT((MONTH(CHOOSE({1,2,3,4},XT!U277,XT!Y277,XT!AC277,XT!AG277))=9)*(CHOOSE({1,2,3,4},XT!X277,XT!AB277,XT!AF277,XT!AJ277)))</f>
        <v>0</v>
      </c>
      <c r="AH277" t="str">
        <f>IFERROR(INDEX(CHOOSE({1,2,3,4}, DAY(XT!U277), DAY(XT!Y277), DAY(XT!AC277), DAY(XT!AG277)), MATCH(1, INDEX(--(MONTH(CHOOSE({1,2,3,4}, XT!U277,XT!Y277,XT!AC277,XT!AG277))=9), 0), 0)), "")</f>
        <v/>
      </c>
      <c r="AI277" s="51" t="str">
        <f>IF(XT!$P277&gt;0,AH277,"")</f>
        <v/>
      </c>
      <c r="AJ277" s="51" t="str">
        <f>IF(XT!$P277=0,AH277,"")</f>
        <v/>
      </c>
      <c r="AK277">
        <f>SUMPRODUCT((MONTH(CHOOSE({1,2,3,4},XT!U277,XT!Y277,XT!AC277,XT!AG277))=10)*(CHOOSE({1,2,3,4},XT!X277,XT!AB277,XT!AF277,XT!AJ277)))</f>
        <v>0</v>
      </c>
      <c r="AL277" t="str">
        <f>IFERROR(INDEX(CHOOSE({1,2,3,4}, DAY(XT!U277), DAY(XT!Y277), DAY(XT!AC277), DAY(XT!AG277)), MATCH(1, INDEX(--(MONTH(CHOOSE({1,2,3,4}, XT!U277,XT!Y277,XT!AC277,XT!AG277))=10), 0), 0)), "")</f>
        <v/>
      </c>
      <c r="AM277" s="51" t="str">
        <f>IF(XT!$P277&gt;0,AL277,"")</f>
        <v/>
      </c>
      <c r="AN277" s="51" t="str">
        <f>IF(XT!$P277=0,AL277,"")</f>
        <v/>
      </c>
      <c r="AO277">
        <f>SUMPRODUCT((MONTH(CHOOSE({1,2,3,4},XT!U277,XT!Y277,XT!AC277,XT!AG277))=11)*(CHOOSE({1,2,3,4},XT!X277,XT!AB277,XT!AF277,XT!AJ277)))</f>
        <v>0</v>
      </c>
      <c r="AP277" t="str">
        <f>IFERROR(INDEX(CHOOSE({1,2,3,4}, DAY(XT!U277), DAY(XT!Y277), DAY(XT!AC277), DAY(XT!AG277)), MATCH(1, INDEX(--(MONTH(CHOOSE({1,2,3,4}, XT!U277,XT!Y277,XT!AC277,XT!AG277))=11), 0), 0)), "")</f>
        <v/>
      </c>
      <c r="AQ277" s="51" t="str">
        <f>IF(XT!$P277&gt;0,AP277,"")</f>
        <v/>
      </c>
      <c r="AR277" s="51" t="str">
        <f>IF(XT!$P277=0,AP277,"")</f>
        <v/>
      </c>
      <c r="AS277">
        <f>SUMPRODUCT((MONTH(CHOOSE({1,2,3,4},XT!U277,XT!Y277,XT!AC277,XT!AG277))=12)*(CHOOSE({1,2,3,4},XT!X277,XT!AB277,XT!AF277,XT!AJ277)))</f>
        <v>0</v>
      </c>
      <c r="AT277" t="str">
        <f>IFERROR(INDEX(CHOOSE({1,2,3,4}, DAY(XT!U277), DAY(XT!Y277), DAY(XT!AC277), DAY(XT!AG277)), MATCH(1, INDEX(--(MONTH(CHOOSE({1,2,3,4}, XT!U277,XT!Y277,XT!AC277,XT!AG277))=12), 0), 0)), "")</f>
        <v/>
      </c>
      <c r="AU277" s="51" t="str">
        <f>IF(XT!$P277&gt;0,AT277,"")</f>
        <v/>
      </c>
      <c r="AV277" s="51" t="str">
        <f>IF(XT!$P277=0,AT277,"")</f>
        <v/>
      </c>
    </row>
    <row r="278" spans="1:48">
      <c r="A278">
        <f>SUMPRODUCT((MONTH(CHOOSE({1,2,3,4},XT!U278,XT!Y278,XT!AC278,XT!AG278))=1)*(CHOOSE({1,2,3,4},XT!X278,XT!AB278,XT!AF278,XT!AJ278)))</f>
        <v>0</v>
      </c>
      <c r="B278">
        <f>IFERROR(INDEX(CHOOSE({1,2,3,4}, DAY(XT!U278), DAY(XT!Y278), DAY(XT!AC278), DAY(XT!AG278)), MATCH(1, INDEX(--(MONTH(CHOOSE({1,2,3,4}, XT!U278,XT!Y278,XT!AC278,XT!AG278))=1), 0), 0)), "")</f>
        <v>0</v>
      </c>
      <c r="C278" s="51" t="str">
        <f>IF(XT!$P278&gt;0,B278,"")</f>
        <v/>
      </c>
      <c r="D278" s="51">
        <f>IF(XT!$P278=0,B278,"")</f>
        <v>0</v>
      </c>
      <c r="E278">
        <f>SUMPRODUCT((MONTH(CHOOSE({1,2,3,4},XT!U278,XT!Y278,XT!AC278,XT!AG278))=2)*(CHOOSE({1,2,3,4},XT!X278,XT!AB278,XT!AF278,XT!AJ278)))</f>
        <v>0</v>
      </c>
      <c r="F278" t="str">
        <f>IFERROR(INDEX(CHOOSE({1,2,3,4}, DAY(XT!U278), DAY(XT!Y278), DAY(XT!AC278), DAY(XT!AG278)), MATCH(1, INDEX(--(MONTH(CHOOSE({1,2,3,4}, XT!U278,XT!Y278,XT!AC278,XT!AG278))=2), 0), 0)), "")</f>
        <v/>
      </c>
      <c r="G278" s="51" t="str">
        <f>IF(XT!$P278&gt;0,F278,"")</f>
        <v/>
      </c>
      <c r="H278" s="51" t="str">
        <f>IF(XT!$P278=0,F278,"")</f>
        <v/>
      </c>
      <c r="I278">
        <f>SUMPRODUCT((MONTH(CHOOSE({1,2,3,4},XT!U278,XT!Y278,XT!AC278,XT!AG278))=3)*(CHOOSE({1,2,3,4},XT!X278,XT!AB278,XT!AF278,XT!AJ278)))</f>
        <v>0</v>
      </c>
      <c r="J278" t="str">
        <f>IFERROR(INDEX(CHOOSE({1,2,3,4}, DAY(XT!U278), DAY(XT!Y278), DAY(XT!AC278), DAY(XT!AG278)), MATCH(1, INDEX(--(MONTH(CHOOSE({1,2,3,4}, XT!U278,XT!Y278,XT!AC278,XT!AG278))=3), 0), 0)), "")</f>
        <v/>
      </c>
      <c r="K278" s="51" t="str">
        <f>IF(XT!$P278&gt;0,J278,"")</f>
        <v/>
      </c>
      <c r="L278" s="51" t="str">
        <f>IF(XT!$P278=0,J278,"")</f>
        <v/>
      </c>
      <c r="M278">
        <f>SUMPRODUCT((MONTH(CHOOSE({1,2,3,4},XT!U278,XT!Y278,XT!AC278,XT!AG278))=4)*(CHOOSE({1,2,3,4},XT!X278,XT!AB278,XT!AF278,XT!AJ278)))</f>
        <v>0</v>
      </c>
      <c r="N278" t="str">
        <f>IFERROR(INDEX(CHOOSE({1,2,3,4}, DAY(XT!U278), DAY(XT!Y278), DAY(XT!AC278), DAY(XT!AG278)), MATCH(1, INDEX(--(MONTH(CHOOSE({1,2,3,4}, XT!U278,XT!Y278,XT!AC278,XT!AG278))=4), 0), 0)), "")</f>
        <v/>
      </c>
      <c r="O278" s="51" t="str">
        <f>IF(XT!$P278&gt;0,N278,"")</f>
        <v/>
      </c>
      <c r="P278" s="51" t="str">
        <f>IF(XT!$P278=0,N278,"")</f>
        <v/>
      </c>
      <c r="Q278">
        <f>SUMPRODUCT((MONTH(CHOOSE({1,2,3,4},XT!U278,XT!Y278,XT!AC278,XT!AG278))=5)*(CHOOSE({1,2,3,4},XT!X278,XT!AB278,XT!AF278,XT!AJ278)))</f>
        <v>0</v>
      </c>
      <c r="R278" t="str">
        <f>IFERROR(INDEX(CHOOSE({1,2,3,4}, DAY(XT!U278), DAY(XT!Y278), DAY(XT!AC278), DAY(XT!AG278)), MATCH(1, INDEX(--(MONTH(CHOOSE({1,2,3,4}, XT!U278,XT!Y278,XT!AC278,XT!AG278))=5), 0), 0)), "")</f>
        <v/>
      </c>
      <c r="S278" s="51" t="str">
        <f>IF(XT!$P278&gt;0,R278,"")</f>
        <v/>
      </c>
      <c r="T278" s="51" t="str">
        <f>IF(XT!$P278=0,R278,"")</f>
        <v/>
      </c>
      <c r="U278">
        <f>SUMPRODUCT((MONTH(CHOOSE({1,2,3,4},XT!U278,XT!Y278,XT!AC278,XT!AG278))=6)*(CHOOSE({1,2,3,4},XT!X278,XT!AB278,XT!AF278,XT!AJ278)))</f>
        <v>0</v>
      </c>
      <c r="V278" t="str">
        <f>IFERROR(INDEX(CHOOSE({1,2,3,4}, DAY(XT!U278), DAY(XT!Y278), DAY(XT!AC278), DAY(XT!AG278)), MATCH(1, INDEX(--(MONTH(CHOOSE({1,2,3,4}, XT!U278,XT!Y278,XT!AC278,XT!AG278))=6), 0), 0)), "")</f>
        <v/>
      </c>
      <c r="W278" s="51" t="str">
        <f>IF(XT!$P278&gt;0,V278,"")</f>
        <v/>
      </c>
      <c r="X278" s="51" t="str">
        <f>IF(XT!$P278=0,V278,"")</f>
        <v/>
      </c>
      <c r="Y278">
        <f>SUMPRODUCT((MONTH(CHOOSE({1,2,3,4},XT!U278,XT!Y278,XT!AC278,XT!AG278))=7)*(CHOOSE({1,2,3,4},XT!X278,XT!AB278,XT!AF278,XT!AJ278)))</f>
        <v>0</v>
      </c>
      <c r="Z278" t="str">
        <f>IFERROR(INDEX(CHOOSE({1,2,3,4}, DAY(XT!U278), DAY(XT!Y278), DAY(XT!AC278), DAY(XT!AG278)), MATCH(1, INDEX(--(MONTH(CHOOSE({1,2,3,4}, XT!U278,XT!Y278,XT!AC278,XT!AG278))=7), 0), 0)), "")</f>
        <v/>
      </c>
      <c r="AA278" s="51" t="str">
        <f>IF(XT!$P278&gt;0,Z278,"")</f>
        <v/>
      </c>
      <c r="AB278" s="51" t="str">
        <f>IF(XT!$P278=0,Z278,"")</f>
        <v/>
      </c>
      <c r="AC278">
        <f>SUMPRODUCT((MONTH(CHOOSE({1,2,3,4},XT!U278,XT!Y278,XT!AC278,XT!AG278))=8)*(CHOOSE({1,2,3,4},XT!X278,XT!AB278,XT!AF278,XT!AJ278)))</f>
        <v>0</v>
      </c>
      <c r="AD278" t="str">
        <f>IFERROR(INDEX(CHOOSE({1,2,3,4}, DAY(XT!U278), DAY(XT!Y278), DAY(XT!AC278), DAY(XT!AG278)), MATCH(1, INDEX(--(MONTH(CHOOSE({1,2,3,4}, XT!U278,XT!Y278,XT!AC278,XT!AG278))=8), 0), 0)), "")</f>
        <v/>
      </c>
      <c r="AE278" s="51" t="str">
        <f>IF(XT!$P278&gt;0,AD278,"")</f>
        <v/>
      </c>
      <c r="AF278" s="51" t="str">
        <f>IF(XT!$P278=0,AD278,"")</f>
        <v/>
      </c>
      <c r="AG278">
        <f>SUMPRODUCT((MONTH(CHOOSE({1,2,3,4},XT!U278,XT!Y278,XT!AC278,XT!AG278))=9)*(CHOOSE({1,2,3,4},XT!X278,XT!AB278,XT!AF278,XT!AJ278)))</f>
        <v>0</v>
      </c>
      <c r="AH278" t="str">
        <f>IFERROR(INDEX(CHOOSE({1,2,3,4}, DAY(XT!U278), DAY(XT!Y278), DAY(XT!AC278), DAY(XT!AG278)), MATCH(1, INDEX(--(MONTH(CHOOSE({1,2,3,4}, XT!U278,XT!Y278,XT!AC278,XT!AG278))=9), 0), 0)), "")</f>
        <v/>
      </c>
      <c r="AI278" s="51" t="str">
        <f>IF(XT!$P278&gt;0,AH278,"")</f>
        <v/>
      </c>
      <c r="AJ278" s="51" t="str">
        <f>IF(XT!$P278=0,AH278,"")</f>
        <v/>
      </c>
      <c r="AK278">
        <f>SUMPRODUCT((MONTH(CHOOSE({1,2,3,4},XT!U278,XT!Y278,XT!AC278,XT!AG278))=10)*(CHOOSE({1,2,3,4},XT!X278,XT!AB278,XT!AF278,XT!AJ278)))</f>
        <v>0</v>
      </c>
      <c r="AL278" t="str">
        <f>IFERROR(INDEX(CHOOSE({1,2,3,4}, DAY(XT!U278), DAY(XT!Y278), DAY(XT!AC278), DAY(XT!AG278)), MATCH(1, INDEX(--(MONTH(CHOOSE({1,2,3,4}, XT!U278,XT!Y278,XT!AC278,XT!AG278))=10), 0), 0)), "")</f>
        <v/>
      </c>
      <c r="AM278" s="51" t="str">
        <f>IF(XT!$P278&gt;0,AL278,"")</f>
        <v/>
      </c>
      <c r="AN278" s="51" t="str">
        <f>IF(XT!$P278=0,AL278,"")</f>
        <v/>
      </c>
      <c r="AO278">
        <f>SUMPRODUCT((MONTH(CHOOSE({1,2,3,4},XT!U278,XT!Y278,XT!AC278,XT!AG278))=11)*(CHOOSE({1,2,3,4},XT!X278,XT!AB278,XT!AF278,XT!AJ278)))</f>
        <v>0</v>
      </c>
      <c r="AP278" t="str">
        <f>IFERROR(INDEX(CHOOSE({1,2,3,4}, DAY(XT!U278), DAY(XT!Y278), DAY(XT!AC278), DAY(XT!AG278)), MATCH(1, INDEX(--(MONTH(CHOOSE({1,2,3,4}, XT!U278,XT!Y278,XT!AC278,XT!AG278))=11), 0), 0)), "")</f>
        <v/>
      </c>
      <c r="AQ278" s="51" t="str">
        <f>IF(XT!$P278&gt;0,AP278,"")</f>
        <v/>
      </c>
      <c r="AR278" s="51" t="str">
        <f>IF(XT!$P278=0,AP278,"")</f>
        <v/>
      </c>
      <c r="AS278">
        <f>SUMPRODUCT((MONTH(CHOOSE({1,2,3,4},XT!U278,XT!Y278,XT!AC278,XT!AG278))=12)*(CHOOSE({1,2,3,4},XT!X278,XT!AB278,XT!AF278,XT!AJ278)))</f>
        <v>0</v>
      </c>
      <c r="AT278" t="str">
        <f>IFERROR(INDEX(CHOOSE({1,2,3,4}, DAY(XT!U278), DAY(XT!Y278), DAY(XT!AC278), DAY(XT!AG278)), MATCH(1, INDEX(--(MONTH(CHOOSE({1,2,3,4}, XT!U278,XT!Y278,XT!AC278,XT!AG278))=12), 0), 0)), "")</f>
        <v/>
      </c>
      <c r="AU278" s="51" t="str">
        <f>IF(XT!$P278&gt;0,AT278,"")</f>
        <v/>
      </c>
      <c r="AV278" s="51" t="str">
        <f>IF(XT!$P278=0,AT278,"")</f>
        <v/>
      </c>
    </row>
    <row r="279" spans="1:48">
      <c r="A279">
        <f>SUMPRODUCT((MONTH(CHOOSE({1,2,3,4},XT!U279,XT!Y279,XT!AC279,XT!AG279))=1)*(CHOOSE({1,2,3,4},XT!X279,XT!AB279,XT!AF279,XT!AJ279)))</f>
        <v>0</v>
      </c>
      <c r="B279">
        <f>IFERROR(INDEX(CHOOSE({1,2,3,4}, DAY(XT!U279), DAY(XT!Y279), DAY(XT!AC279), DAY(XT!AG279)), MATCH(1, INDEX(--(MONTH(CHOOSE({1,2,3,4}, XT!U279,XT!Y279,XT!AC279,XT!AG279))=1), 0), 0)), "")</f>
        <v>0</v>
      </c>
      <c r="C279" s="51" t="str">
        <f>IF(XT!$P279&gt;0,B279,"")</f>
        <v/>
      </c>
      <c r="D279" s="51">
        <f>IF(XT!$P279=0,B279,"")</f>
        <v>0</v>
      </c>
      <c r="E279">
        <f>SUMPRODUCT((MONTH(CHOOSE({1,2,3,4},XT!U279,XT!Y279,XT!AC279,XT!AG279))=2)*(CHOOSE({1,2,3,4},XT!X279,XT!AB279,XT!AF279,XT!AJ279)))</f>
        <v>0</v>
      </c>
      <c r="F279" t="str">
        <f>IFERROR(INDEX(CHOOSE({1,2,3,4}, DAY(XT!U279), DAY(XT!Y279), DAY(XT!AC279), DAY(XT!AG279)), MATCH(1, INDEX(--(MONTH(CHOOSE({1,2,3,4}, XT!U279,XT!Y279,XT!AC279,XT!AG279))=2), 0), 0)), "")</f>
        <v/>
      </c>
      <c r="G279" s="51" t="str">
        <f>IF(XT!$P279&gt;0,F279,"")</f>
        <v/>
      </c>
      <c r="H279" s="51" t="str">
        <f>IF(XT!$P279=0,F279,"")</f>
        <v/>
      </c>
      <c r="I279">
        <f>SUMPRODUCT((MONTH(CHOOSE({1,2,3,4},XT!U279,XT!Y279,XT!AC279,XT!AG279))=3)*(CHOOSE({1,2,3,4},XT!X279,XT!AB279,XT!AF279,XT!AJ279)))</f>
        <v>0</v>
      </c>
      <c r="J279" t="str">
        <f>IFERROR(INDEX(CHOOSE({1,2,3,4}, DAY(XT!U279), DAY(XT!Y279), DAY(XT!AC279), DAY(XT!AG279)), MATCH(1, INDEX(--(MONTH(CHOOSE({1,2,3,4}, XT!U279,XT!Y279,XT!AC279,XT!AG279))=3), 0), 0)), "")</f>
        <v/>
      </c>
      <c r="K279" s="51" t="str">
        <f>IF(XT!$P279&gt;0,J279,"")</f>
        <v/>
      </c>
      <c r="L279" s="51" t="str">
        <f>IF(XT!$P279=0,J279,"")</f>
        <v/>
      </c>
      <c r="M279">
        <f>SUMPRODUCT((MONTH(CHOOSE({1,2,3,4},XT!U279,XT!Y279,XT!AC279,XT!AG279))=4)*(CHOOSE({1,2,3,4},XT!X279,XT!AB279,XT!AF279,XT!AJ279)))</f>
        <v>0</v>
      </c>
      <c r="N279" t="str">
        <f>IFERROR(INDEX(CHOOSE({1,2,3,4}, DAY(XT!U279), DAY(XT!Y279), DAY(XT!AC279), DAY(XT!AG279)), MATCH(1, INDEX(--(MONTH(CHOOSE({1,2,3,4}, XT!U279,XT!Y279,XT!AC279,XT!AG279))=4), 0), 0)), "")</f>
        <v/>
      </c>
      <c r="O279" s="51" t="str">
        <f>IF(XT!$P279&gt;0,N279,"")</f>
        <v/>
      </c>
      <c r="P279" s="51" t="str">
        <f>IF(XT!$P279=0,N279,"")</f>
        <v/>
      </c>
      <c r="Q279">
        <f>SUMPRODUCT((MONTH(CHOOSE({1,2,3,4},XT!U279,XT!Y279,XT!AC279,XT!AG279))=5)*(CHOOSE({1,2,3,4},XT!X279,XT!AB279,XT!AF279,XT!AJ279)))</f>
        <v>0</v>
      </c>
      <c r="R279" t="str">
        <f>IFERROR(INDEX(CHOOSE({1,2,3,4}, DAY(XT!U279), DAY(XT!Y279), DAY(XT!AC279), DAY(XT!AG279)), MATCH(1, INDEX(--(MONTH(CHOOSE({1,2,3,4}, XT!U279,XT!Y279,XT!AC279,XT!AG279))=5), 0), 0)), "")</f>
        <v/>
      </c>
      <c r="S279" s="51" t="str">
        <f>IF(XT!$P279&gt;0,R279,"")</f>
        <v/>
      </c>
      <c r="T279" s="51" t="str">
        <f>IF(XT!$P279=0,R279,"")</f>
        <v/>
      </c>
      <c r="U279">
        <f>SUMPRODUCT((MONTH(CHOOSE({1,2,3,4},XT!U279,XT!Y279,XT!AC279,XT!AG279))=6)*(CHOOSE({1,2,3,4},XT!X279,XT!AB279,XT!AF279,XT!AJ279)))</f>
        <v>0</v>
      </c>
      <c r="V279" t="str">
        <f>IFERROR(INDEX(CHOOSE({1,2,3,4}, DAY(XT!U279), DAY(XT!Y279), DAY(XT!AC279), DAY(XT!AG279)), MATCH(1, INDEX(--(MONTH(CHOOSE({1,2,3,4}, XT!U279,XT!Y279,XT!AC279,XT!AG279))=6), 0), 0)), "")</f>
        <v/>
      </c>
      <c r="W279" s="51" t="str">
        <f>IF(XT!$P279&gt;0,V279,"")</f>
        <v/>
      </c>
      <c r="X279" s="51" t="str">
        <f>IF(XT!$P279=0,V279,"")</f>
        <v/>
      </c>
      <c r="Y279">
        <f>SUMPRODUCT((MONTH(CHOOSE({1,2,3,4},XT!U279,XT!Y279,XT!AC279,XT!AG279))=7)*(CHOOSE({1,2,3,4},XT!X279,XT!AB279,XT!AF279,XT!AJ279)))</f>
        <v>0</v>
      </c>
      <c r="Z279" t="str">
        <f>IFERROR(INDEX(CHOOSE({1,2,3,4}, DAY(XT!U279), DAY(XT!Y279), DAY(XT!AC279), DAY(XT!AG279)), MATCH(1, INDEX(--(MONTH(CHOOSE({1,2,3,4}, XT!U279,XT!Y279,XT!AC279,XT!AG279))=7), 0), 0)), "")</f>
        <v/>
      </c>
      <c r="AA279" s="51" t="str">
        <f>IF(XT!$P279&gt;0,Z279,"")</f>
        <v/>
      </c>
      <c r="AB279" s="51" t="str">
        <f>IF(XT!$P279=0,Z279,"")</f>
        <v/>
      </c>
      <c r="AC279">
        <f>SUMPRODUCT((MONTH(CHOOSE({1,2,3,4},XT!U279,XT!Y279,XT!AC279,XT!AG279))=8)*(CHOOSE({1,2,3,4},XT!X279,XT!AB279,XT!AF279,XT!AJ279)))</f>
        <v>0</v>
      </c>
      <c r="AD279" t="str">
        <f>IFERROR(INDEX(CHOOSE({1,2,3,4}, DAY(XT!U279), DAY(XT!Y279), DAY(XT!AC279), DAY(XT!AG279)), MATCH(1, INDEX(--(MONTH(CHOOSE({1,2,3,4}, XT!U279,XT!Y279,XT!AC279,XT!AG279))=8), 0), 0)), "")</f>
        <v/>
      </c>
      <c r="AE279" s="51" t="str">
        <f>IF(XT!$P279&gt;0,AD279,"")</f>
        <v/>
      </c>
      <c r="AF279" s="51" t="str">
        <f>IF(XT!$P279=0,AD279,"")</f>
        <v/>
      </c>
      <c r="AG279">
        <f>SUMPRODUCT((MONTH(CHOOSE({1,2,3,4},XT!U279,XT!Y279,XT!AC279,XT!AG279))=9)*(CHOOSE({1,2,3,4},XT!X279,XT!AB279,XT!AF279,XT!AJ279)))</f>
        <v>0</v>
      </c>
      <c r="AH279" t="str">
        <f>IFERROR(INDEX(CHOOSE({1,2,3,4}, DAY(XT!U279), DAY(XT!Y279), DAY(XT!AC279), DAY(XT!AG279)), MATCH(1, INDEX(--(MONTH(CHOOSE({1,2,3,4}, XT!U279,XT!Y279,XT!AC279,XT!AG279))=9), 0), 0)), "")</f>
        <v/>
      </c>
      <c r="AI279" s="51" t="str">
        <f>IF(XT!$P279&gt;0,AH279,"")</f>
        <v/>
      </c>
      <c r="AJ279" s="51" t="str">
        <f>IF(XT!$P279=0,AH279,"")</f>
        <v/>
      </c>
      <c r="AK279">
        <f>SUMPRODUCT((MONTH(CHOOSE({1,2,3,4},XT!U279,XT!Y279,XT!AC279,XT!AG279))=10)*(CHOOSE({1,2,3,4},XT!X279,XT!AB279,XT!AF279,XT!AJ279)))</f>
        <v>0</v>
      </c>
      <c r="AL279" t="str">
        <f>IFERROR(INDEX(CHOOSE({1,2,3,4}, DAY(XT!U279), DAY(XT!Y279), DAY(XT!AC279), DAY(XT!AG279)), MATCH(1, INDEX(--(MONTH(CHOOSE({1,2,3,4}, XT!U279,XT!Y279,XT!AC279,XT!AG279))=10), 0), 0)), "")</f>
        <v/>
      </c>
      <c r="AM279" s="51" t="str">
        <f>IF(XT!$P279&gt;0,AL279,"")</f>
        <v/>
      </c>
      <c r="AN279" s="51" t="str">
        <f>IF(XT!$P279=0,AL279,"")</f>
        <v/>
      </c>
      <c r="AO279">
        <f>SUMPRODUCT((MONTH(CHOOSE({1,2,3,4},XT!U279,XT!Y279,XT!AC279,XT!AG279))=11)*(CHOOSE({1,2,3,4},XT!X279,XT!AB279,XT!AF279,XT!AJ279)))</f>
        <v>0</v>
      </c>
      <c r="AP279" t="str">
        <f>IFERROR(INDEX(CHOOSE({1,2,3,4}, DAY(XT!U279), DAY(XT!Y279), DAY(XT!AC279), DAY(XT!AG279)), MATCH(1, INDEX(--(MONTH(CHOOSE({1,2,3,4}, XT!U279,XT!Y279,XT!AC279,XT!AG279))=11), 0), 0)), "")</f>
        <v/>
      </c>
      <c r="AQ279" s="51" t="str">
        <f>IF(XT!$P279&gt;0,AP279,"")</f>
        <v/>
      </c>
      <c r="AR279" s="51" t="str">
        <f>IF(XT!$P279=0,AP279,"")</f>
        <v/>
      </c>
      <c r="AS279">
        <f>SUMPRODUCT((MONTH(CHOOSE({1,2,3,4},XT!U279,XT!Y279,XT!AC279,XT!AG279))=12)*(CHOOSE({1,2,3,4},XT!X279,XT!AB279,XT!AF279,XT!AJ279)))</f>
        <v>0</v>
      </c>
      <c r="AT279" t="str">
        <f>IFERROR(INDEX(CHOOSE({1,2,3,4}, DAY(XT!U279), DAY(XT!Y279), DAY(XT!AC279), DAY(XT!AG279)), MATCH(1, INDEX(--(MONTH(CHOOSE({1,2,3,4}, XT!U279,XT!Y279,XT!AC279,XT!AG279))=12), 0), 0)), "")</f>
        <v/>
      </c>
      <c r="AU279" s="51" t="str">
        <f>IF(XT!$P279&gt;0,AT279,"")</f>
        <v/>
      </c>
      <c r="AV279" s="51" t="str">
        <f>IF(XT!$P279=0,AT279,"")</f>
        <v/>
      </c>
    </row>
    <row r="280" spans="1:48">
      <c r="A280">
        <f>SUMPRODUCT((MONTH(CHOOSE({1,2,3,4},XT!U280,XT!Y280,XT!AC280,XT!AG280))=1)*(CHOOSE({1,2,3,4},XT!X280,XT!AB280,XT!AF280,XT!AJ280)))</f>
        <v>0</v>
      </c>
      <c r="B280">
        <f>IFERROR(INDEX(CHOOSE({1,2,3,4}, DAY(XT!U280), DAY(XT!Y280), DAY(XT!AC280), DAY(XT!AG280)), MATCH(1, INDEX(--(MONTH(CHOOSE({1,2,3,4}, XT!U280,XT!Y280,XT!AC280,XT!AG280))=1), 0), 0)), "")</f>
        <v>0</v>
      </c>
      <c r="C280" s="51" t="str">
        <f>IF(XT!$P280&gt;0,B280,"")</f>
        <v/>
      </c>
      <c r="D280" s="51">
        <f>IF(XT!$P280=0,B280,"")</f>
        <v>0</v>
      </c>
      <c r="E280">
        <f>SUMPRODUCT((MONTH(CHOOSE({1,2,3,4},XT!U280,XT!Y280,XT!AC280,XT!AG280))=2)*(CHOOSE({1,2,3,4},XT!X280,XT!AB280,XT!AF280,XT!AJ280)))</f>
        <v>0</v>
      </c>
      <c r="F280" t="str">
        <f>IFERROR(INDEX(CHOOSE({1,2,3,4}, DAY(XT!U280), DAY(XT!Y280), DAY(XT!AC280), DAY(XT!AG280)), MATCH(1, INDEX(--(MONTH(CHOOSE({1,2,3,4}, XT!U280,XT!Y280,XT!AC280,XT!AG280))=2), 0), 0)), "")</f>
        <v/>
      </c>
      <c r="G280" s="51" t="str">
        <f>IF(XT!$P280&gt;0,F280,"")</f>
        <v/>
      </c>
      <c r="H280" s="51" t="str">
        <f>IF(XT!$P280=0,F280,"")</f>
        <v/>
      </c>
      <c r="I280">
        <f>SUMPRODUCT((MONTH(CHOOSE({1,2,3,4},XT!U280,XT!Y280,XT!AC280,XT!AG280))=3)*(CHOOSE({1,2,3,4},XT!X280,XT!AB280,XT!AF280,XT!AJ280)))</f>
        <v>0</v>
      </c>
      <c r="J280" t="str">
        <f>IFERROR(INDEX(CHOOSE({1,2,3,4}, DAY(XT!U280), DAY(XT!Y280), DAY(XT!AC280), DAY(XT!AG280)), MATCH(1, INDEX(--(MONTH(CHOOSE({1,2,3,4}, XT!U280,XT!Y280,XT!AC280,XT!AG280))=3), 0), 0)), "")</f>
        <v/>
      </c>
      <c r="K280" s="51" t="str">
        <f>IF(XT!$P280&gt;0,J280,"")</f>
        <v/>
      </c>
      <c r="L280" s="51" t="str">
        <f>IF(XT!$P280=0,J280,"")</f>
        <v/>
      </c>
      <c r="M280">
        <f>SUMPRODUCT((MONTH(CHOOSE({1,2,3,4},XT!U280,XT!Y280,XT!AC280,XT!AG280))=4)*(CHOOSE({1,2,3,4},XT!X280,XT!AB280,XT!AF280,XT!AJ280)))</f>
        <v>0</v>
      </c>
      <c r="N280" t="str">
        <f>IFERROR(INDEX(CHOOSE({1,2,3,4}, DAY(XT!U280), DAY(XT!Y280), DAY(XT!AC280), DAY(XT!AG280)), MATCH(1, INDEX(--(MONTH(CHOOSE({1,2,3,4}, XT!U280,XT!Y280,XT!AC280,XT!AG280))=4), 0), 0)), "")</f>
        <v/>
      </c>
      <c r="O280" s="51" t="str">
        <f>IF(XT!$P280&gt;0,N280,"")</f>
        <v/>
      </c>
      <c r="P280" s="51" t="str">
        <f>IF(XT!$P280=0,N280,"")</f>
        <v/>
      </c>
      <c r="Q280">
        <f>SUMPRODUCT((MONTH(CHOOSE({1,2,3,4},XT!U280,XT!Y280,XT!AC280,XT!AG280))=5)*(CHOOSE({1,2,3,4},XT!X280,XT!AB280,XT!AF280,XT!AJ280)))</f>
        <v>0</v>
      </c>
      <c r="R280" t="str">
        <f>IFERROR(INDEX(CHOOSE({1,2,3,4}, DAY(XT!U280), DAY(XT!Y280), DAY(XT!AC280), DAY(XT!AG280)), MATCH(1, INDEX(--(MONTH(CHOOSE({1,2,3,4}, XT!U280,XT!Y280,XT!AC280,XT!AG280))=5), 0), 0)), "")</f>
        <v/>
      </c>
      <c r="S280" s="51" t="str">
        <f>IF(XT!$P280&gt;0,R280,"")</f>
        <v/>
      </c>
      <c r="T280" s="51" t="str">
        <f>IF(XT!$P280=0,R280,"")</f>
        <v/>
      </c>
      <c r="U280">
        <f>SUMPRODUCT((MONTH(CHOOSE({1,2,3,4},XT!U280,XT!Y280,XT!AC280,XT!AG280))=6)*(CHOOSE({1,2,3,4},XT!X280,XT!AB280,XT!AF280,XT!AJ280)))</f>
        <v>0</v>
      </c>
      <c r="V280" t="str">
        <f>IFERROR(INDEX(CHOOSE({1,2,3,4}, DAY(XT!U280), DAY(XT!Y280), DAY(XT!AC280), DAY(XT!AG280)), MATCH(1, INDEX(--(MONTH(CHOOSE({1,2,3,4}, XT!U280,XT!Y280,XT!AC280,XT!AG280))=6), 0), 0)), "")</f>
        <v/>
      </c>
      <c r="W280" s="51" t="str">
        <f>IF(XT!$P280&gt;0,V280,"")</f>
        <v/>
      </c>
      <c r="X280" s="51" t="str">
        <f>IF(XT!$P280=0,V280,"")</f>
        <v/>
      </c>
      <c r="Y280">
        <f>SUMPRODUCT((MONTH(CHOOSE({1,2,3,4},XT!U280,XT!Y280,XT!AC280,XT!AG280))=7)*(CHOOSE({1,2,3,4},XT!X280,XT!AB280,XT!AF280,XT!AJ280)))</f>
        <v>0</v>
      </c>
      <c r="Z280" t="str">
        <f>IFERROR(INDEX(CHOOSE({1,2,3,4}, DAY(XT!U280), DAY(XT!Y280), DAY(XT!AC280), DAY(XT!AG280)), MATCH(1, INDEX(--(MONTH(CHOOSE({1,2,3,4}, XT!U280,XT!Y280,XT!AC280,XT!AG280))=7), 0), 0)), "")</f>
        <v/>
      </c>
      <c r="AA280" s="51" t="str">
        <f>IF(XT!$P280&gt;0,Z280,"")</f>
        <v/>
      </c>
      <c r="AB280" s="51" t="str">
        <f>IF(XT!$P280=0,Z280,"")</f>
        <v/>
      </c>
      <c r="AC280">
        <f>SUMPRODUCT((MONTH(CHOOSE({1,2,3,4},XT!U280,XT!Y280,XT!AC280,XT!AG280))=8)*(CHOOSE({1,2,3,4},XT!X280,XT!AB280,XT!AF280,XT!AJ280)))</f>
        <v>0</v>
      </c>
      <c r="AD280" t="str">
        <f>IFERROR(INDEX(CHOOSE({1,2,3,4}, DAY(XT!U280), DAY(XT!Y280), DAY(XT!AC280), DAY(XT!AG280)), MATCH(1, INDEX(--(MONTH(CHOOSE({1,2,3,4}, XT!U280,XT!Y280,XT!AC280,XT!AG280))=8), 0), 0)), "")</f>
        <v/>
      </c>
      <c r="AE280" s="51" t="str">
        <f>IF(XT!$P280&gt;0,AD280,"")</f>
        <v/>
      </c>
      <c r="AF280" s="51" t="str">
        <f>IF(XT!$P280=0,AD280,"")</f>
        <v/>
      </c>
      <c r="AG280">
        <f>SUMPRODUCT((MONTH(CHOOSE({1,2,3,4},XT!U280,XT!Y280,XT!AC280,XT!AG280))=9)*(CHOOSE({1,2,3,4},XT!X280,XT!AB280,XT!AF280,XT!AJ280)))</f>
        <v>0</v>
      </c>
      <c r="AH280" t="str">
        <f>IFERROR(INDEX(CHOOSE({1,2,3,4}, DAY(XT!U280), DAY(XT!Y280), DAY(XT!AC280), DAY(XT!AG280)), MATCH(1, INDEX(--(MONTH(CHOOSE({1,2,3,4}, XT!U280,XT!Y280,XT!AC280,XT!AG280))=9), 0), 0)), "")</f>
        <v/>
      </c>
      <c r="AI280" s="51" t="str">
        <f>IF(XT!$P280&gt;0,AH280,"")</f>
        <v/>
      </c>
      <c r="AJ280" s="51" t="str">
        <f>IF(XT!$P280=0,AH280,"")</f>
        <v/>
      </c>
      <c r="AK280">
        <f>SUMPRODUCT((MONTH(CHOOSE({1,2,3,4},XT!U280,XT!Y280,XT!AC280,XT!AG280))=10)*(CHOOSE({1,2,3,4},XT!X280,XT!AB280,XT!AF280,XT!AJ280)))</f>
        <v>0</v>
      </c>
      <c r="AL280" t="str">
        <f>IFERROR(INDEX(CHOOSE({1,2,3,4}, DAY(XT!U280), DAY(XT!Y280), DAY(XT!AC280), DAY(XT!AG280)), MATCH(1, INDEX(--(MONTH(CHOOSE({1,2,3,4}, XT!U280,XT!Y280,XT!AC280,XT!AG280))=10), 0), 0)), "")</f>
        <v/>
      </c>
      <c r="AM280" s="51" t="str">
        <f>IF(XT!$P280&gt;0,AL280,"")</f>
        <v/>
      </c>
      <c r="AN280" s="51" t="str">
        <f>IF(XT!$P280=0,AL280,"")</f>
        <v/>
      </c>
      <c r="AO280">
        <f>SUMPRODUCT((MONTH(CHOOSE({1,2,3,4},XT!U280,XT!Y280,XT!AC280,XT!AG280))=11)*(CHOOSE({1,2,3,4},XT!X280,XT!AB280,XT!AF280,XT!AJ280)))</f>
        <v>0</v>
      </c>
      <c r="AP280" t="str">
        <f>IFERROR(INDEX(CHOOSE({1,2,3,4}, DAY(XT!U280), DAY(XT!Y280), DAY(XT!AC280), DAY(XT!AG280)), MATCH(1, INDEX(--(MONTH(CHOOSE({1,2,3,4}, XT!U280,XT!Y280,XT!AC280,XT!AG280))=11), 0), 0)), "")</f>
        <v/>
      </c>
      <c r="AQ280" s="51" t="str">
        <f>IF(XT!$P280&gt;0,AP280,"")</f>
        <v/>
      </c>
      <c r="AR280" s="51" t="str">
        <f>IF(XT!$P280=0,AP280,"")</f>
        <v/>
      </c>
      <c r="AS280">
        <f>SUMPRODUCT((MONTH(CHOOSE({1,2,3,4},XT!U280,XT!Y280,XT!AC280,XT!AG280))=12)*(CHOOSE({1,2,3,4},XT!X280,XT!AB280,XT!AF280,XT!AJ280)))</f>
        <v>0</v>
      </c>
      <c r="AT280" t="str">
        <f>IFERROR(INDEX(CHOOSE({1,2,3,4}, DAY(XT!U280), DAY(XT!Y280), DAY(XT!AC280), DAY(XT!AG280)), MATCH(1, INDEX(--(MONTH(CHOOSE({1,2,3,4}, XT!U280,XT!Y280,XT!AC280,XT!AG280))=12), 0), 0)), "")</f>
        <v/>
      </c>
      <c r="AU280" s="51" t="str">
        <f>IF(XT!$P280&gt;0,AT280,"")</f>
        <v/>
      </c>
      <c r="AV280" s="51" t="str">
        <f>IF(XT!$P280=0,AT280,"")</f>
        <v/>
      </c>
    </row>
    <row r="281" spans="1:48">
      <c r="A281">
        <f>SUMPRODUCT((MONTH(CHOOSE({1,2,3,4},XT!U281,XT!Y281,XT!AC281,XT!AG281))=1)*(CHOOSE({1,2,3,4},XT!X281,XT!AB281,XT!AF281,XT!AJ281)))</f>
        <v>0</v>
      </c>
      <c r="B281">
        <f>IFERROR(INDEX(CHOOSE({1,2,3,4}, DAY(XT!U281), DAY(XT!Y281), DAY(XT!AC281), DAY(XT!AG281)), MATCH(1, INDEX(--(MONTH(CHOOSE({1,2,3,4}, XT!U281,XT!Y281,XT!AC281,XT!AG281))=1), 0), 0)), "")</f>
        <v>0</v>
      </c>
      <c r="C281" s="51" t="str">
        <f>IF(XT!$P281&gt;0,B281,"")</f>
        <v/>
      </c>
      <c r="D281" s="51">
        <f>IF(XT!$P281=0,B281,"")</f>
        <v>0</v>
      </c>
      <c r="E281">
        <f>SUMPRODUCT((MONTH(CHOOSE({1,2,3,4},XT!U281,XT!Y281,XT!AC281,XT!AG281))=2)*(CHOOSE({1,2,3,4},XT!X281,XT!AB281,XT!AF281,XT!AJ281)))</f>
        <v>0</v>
      </c>
      <c r="F281" t="str">
        <f>IFERROR(INDEX(CHOOSE({1,2,3,4}, DAY(XT!U281), DAY(XT!Y281), DAY(XT!AC281), DAY(XT!AG281)), MATCH(1, INDEX(--(MONTH(CHOOSE({1,2,3,4}, XT!U281,XT!Y281,XT!AC281,XT!AG281))=2), 0), 0)), "")</f>
        <v/>
      </c>
      <c r="G281" s="51" t="str">
        <f>IF(XT!$P281&gt;0,F281,"")</f>
        <v/>
      </c>
      <c r="H281" s="51" t="str">
        <f>IF(XT!$P281=0,F281,"")</f>
        <v/>
      </c>
      <c r="I281">
        <f>SUMPRODUCT((MONTH(CHOOSE({1,2,3,4},XT!U281,XT!Y281,XT!AC281,XT!AG281))=3)*(CHOOSE({1,2,3,4},XT!X281,XT!AB281,XT!AF281,XT!AJ281)))</f>
        <v>0</v>
      </c>
      <c r="J281" t="str">
        <f>IFERROR(INDEX(CHOOSE({1,2,3,4}, DAY(XT!U281), DAY(XT!Y281), DAY(XT!AC281), DAY(XT!AG281)), MATCH(1, INDEX(--(MONTH(CHOOSE({1,2,3,4}, XT!U281,XT!Y281,XT!AC281,XT!AG281))=3), 0), 0)), "")</f>
        <v/>
      </c>
      <c r="K281" s="51" t="str">
        <f>IF(XT!$P281&gt;0,J281,"")</f>
        <v/>
      </c>
      <c r="L281" s="51" t="str">
        <f>IF(XT!$P281=0,J281,"")</f>
        <v/>
      </c>
      <c r="M281">
        <f>SUMPRODUCT((MONTH(CHOOSE({1,2,3,4},XT!U281,XT!Y281,XT!AC281,XT!AG281))=4)*(CHOOSE({1,2,3,4},XT!X281,XT!AB281,XT!AF281,XT!AJ281)))</f>
        <v>0</v>
      </c>
      <c r="N281" t="str">
        <f>IFERROR(INDEX(CHOOSE({1,2,3,4}, DAY(XT!U281), DAY(XT!Y281), DAY(XT!AC281), DAY(XT!AG281)), MATCH(1, INDEX(--(MONTH(CHOOSE({1,2,3,4}, XT!U281,XT!Y281,XT!AC281,XT!AG281))=4), 0), 0)), "")</f>
        <v/>
      </c>
      <c r="O281" s="51" t="str">
        <f>IF(XT!$P281&gt;0,N281,"")</f>
        <v/>
      </c>
      <c r="P281" s="51" t="str">
        <f>IF(XT!$P281=0,N281,"")</f>
        <v/>
      </c>
      <c r="Q281">
        <f>SUMPRODUCT((MONTH(CHOOSE({1,2,3,4},XT!U281,XT!Y281,XT!AC281,XT!AG281))=5)*(CHOOSE({1,2,3,4},XT!X281,XT!AB281,XT!AF281,XT!AJ281)))</f>
        <v>0</v>
      </c>
      <c r="R281" t="str">
        <f>IFERROR(INDEX(CHOOSE({1,2,3,4}, DAY(XT!U281), DAY(XT!Y281), DAY(XT!AC281), DAY(XT!AG281)), MATCH(1, INDEX(--(MONTH(CHOOSE({1,2,3,4}, XT!U281,XT!Y281,XT!AC281,XT!AG281))=5), 0), 0)), "")</f>
        <v/>
      </c>
      <c r="S281" s="51" t="str">
        <f>IF(XT!$P281&gt;0,R281,"")</f>
        <v/>
      </c>
      <c r="T281" s="51" t="str">
        <f>IF(XT!$P281=0,R281,"")</f>
        <v/>
      </c>
      <c r="U281">
        <f>SUMPRODUCT((MONTH(CHOOSE({1,2,3,4},XT!U281,XT!Y281,XT!AC281,XT!AG281))=6)*(CHOOSE({1,2,3,4},XT!X281,XT!AB281,XT!AF281,XT!AJ281)))</f>
        <v>0</v>
      </c>
      <c r="V281" t="str">
        <f>IFERROR(INDEX(CHOOSE({1,2,3,4}, DAY(XT!U281), DAY(XT!Y281), DAY(XT!AC281), DAY(XT!AG281)), MATCH(1, INDEX(--(MONTH(CHOOSE({1,2,3,4}, XT!U281,XT!Y281,XT!AC281,XT!AG281))=6), 0), 0)), "")</f>
        <v/>
      </c>
      <c r="W281" s="51" t="str">
        <f>IF(XT!$P281&gt;0,V281,"")</f>
        <v/>
      </c>
      <c r="X281" s="51" t="str">
        <f>IF(XT!$P281=0,V281,"")</f>
        <v/>
      </c>
      <c r="Y281">
        <f>SUMPRODUCT((MONTH(CHOOSE({1,2,3,4},XT!U281,XT!Y281,XT!AC281,XT!AG281))=7)*(CHOOSE({1,2,3,4},XT!X281,XT!AB281,XT!AF281,XT!AJ281)))</f>
        <v>0</v>
      </c>
      <c r="Z281" t="str">
        <f>IFERROR(INDEX(CHOOSE({1,2,3,4}, DAY(XT!U281), DAY(XT!Y281), DAY(XT!AC281), DAY(XT!AG281)), MATCH(1, INDEX(--(MONTH(CHOOSE({1,2,3,4}, XT!U281,XT!Y281,XT!AC281,XT!AG281))=7), 0), 0)), "")</f>
        <v/>
      </c>
      <c r="AA281" s="51" t="str">
        <f>IF(XT!$P281&gt;0,Z281,"")</f>
        <v/>
      </c>
      <c r="AB281" s="51" t="str">
        <f>IF(XT!$P281=0,Z281,"")</f>
        <v/>
      </c>
      <c r="AC281">
        <f>SUMPRODUCT((MONTH(CHOOSE({1,2,3,4},XT!U281,XT!Y281,XT!AC281,XT!AG281))=8)*(CHOOSE({1,2,3,4},XT!X281,XT!AB281,XT!AF281,XT!AJ281)))</f>
        <v>0</v>
      </c>
      <c r="AD281" t="str">
        <f>IFERROR(INDEX(CHOOSE({1,2,3,4}, DAY(XT!U281), DAY(XT!Y281), DAY(XT!AC281), DAY(XT!AG281)), MATCH(1, INDEX(--(MONTH(CHOOSE({1,2,3,4}, XT!U281,XT!Y281,XT!AC281,XT!AG281))=8), 0), 0)), "")</f>
        <v/>
      </c>
      <c r="AE281" s="51" t="str">
        <f>IF(XT!$P281&gt;0,AD281,"")</f>
        <v/>
      </c>
      <c r="AF281" s="51" t="str">
        <f>IF(XT!$P281=0,AD281,"")</f>
        <v/>
      </c>
      <c r="AG281">
        <f>SUMPRODUCT((MONTH(CHOOSE({1,2,3,4},XT!U281,XT!Y281,XT!AC281,XT!AG281))=9)*(CHOOSE({1,2,3,4},XT!X281,XT!AB281,XT!AF281,XT!AJ281)))</f>
        <v>0</v>
      </c>
      <c r="AH281" t="str">
        <f>IFERROR(INDEX(CHOOSE({1,2,3,4}, DAY(XT!U281), DAY(XT!Y281), DAY(XT!AC281), DAY(XT!AG281)), MATCH(1, INDEX(--(MONTH(CHOOSE({1,2,3,4}, XT!U281,XT!Y281,XT!AC281,XT!AG281))=9), 0), 0)), "")</f>
        <v/>
      </c>
      <c r="AI281" s="51" t="str">
        <f>IF(XT!$P281&gt;0,AH281,"")</f>
        <v/>
      </c>
      <c r="AJ281" s="51" t="str">
        <f>IF(XT!$P281=0,AH281,"")</f>
        <v/>
      </c>
      <c r="AK281">
        <f>SUMPRODUCT((MONTH(CHOOSE({1,2,3,4},XT!U281,XT!Y281,XT!AC281,XT!AG281))=10)*(CHOOSE({1,2,3,4},XT!X281,XT!AB281,XT!AF281,XT!AJ281)))</f>
        <v>0</v>
      </c>
      <c r="AL281" t="str">
        <f>IFERROR(INDEX(CHOOSE({1,2,3,4}, DAY(XT!U281), DAY(XT!Y281), DAY(XT!AC281), DAY(XT!AG281)), MATCH(1, INDEX(--(MONTH(CHOOSE({1,2,3,4}, XT!U281,XT!Y281,XT!AC281,XT!AG281))=10), 0), 0)), "")</f>
        <v/>
      </c>
      <c r="AM281" s="51" t="str">
        <f>IF(XT!$P281&gt;0,AL281,"")</f>
        <v/>
      </c>
      <c r="AN281" s="51" t="str">
        <f>IF(XT!$P281=0,AL281,"")</f>
        <v/>
      </c>
      <c r="AO281">
        <f>SUMPRODUCT((MONTH(CHOOSE({1,2,3,4},XT!U281,XT!Y281,XT!AC281,XT!AG281))=11)*(CHOOSE({1,2,3,4},XT!X281,XT!AB281,XT!AF281,XT!AJ281)))</f>
        <v>0</v>
      </c>
      <c r="AP281" t="str">
        <f>IFERROR(INDEX(CHOOSE({1,2,3,4}, DAY(XT!U281), DAY(XT!Y281), DAY(XT!AC281), DAY(XT!AG281)), MATCH(1, INDEX(--(MONTH(CHOOSE({1,2,3,4}, XT!U281,XT!Y281,XT!AC281,XT!AG281))=11), 0), 0)), "")</f>
        <v/>
      </c>
      <c r="AQ281" s="51" t="str">
        <f>IF(XT!$P281&gt;0,AP281,"")</f>
        <v/>
      </c>
      <c r="AR281" s="51" t="str">
        <f>IF(XT!$P281=0,AP281,"")</f>
        <v/>
      </c>
      <c r="AS281">
        <f>SUMPRODUCT((MONTH(CHOOSE({1,2,3,4},XT!U281,XT!Y281,XT!AC281,XT!AG281))=12)*(CHOOSE({1,2,3,4},XT!X281,XT!AB281,XT!AF281,XT!AJ281)))</f>
        <v>0</v>
      </c>
      <c r="AT281" t="str">
        <f>IFERROR(INDEX(CHOOSE({1,2,3,4}, DAY(XT!U281), DAY(XT!Y281), DAY(XT!AC281), DAY(XT!AG281)), MATCH(1, INDEX(--(MONTH(CHOOSE({1,2,3,4}, XT!U281,XT!Y281,XT!AC281,XT!AG281))=12), 0), 0)), "")</f>
        <v/>
      </c>
      <c r="AU281" s="51" t="str">
        <f>IF(XT!$P281&gt;0,AT281,"")</f>
        <v/>
      </c>
      <c r="AV281" s="51" t="str">
        <f>IF(XT!$P281=0,AT281,"")</f>
        <v/>
      </c>
    </row>
    <row r="282" spans="1:48">
      <c r="A282">
        <f>SUMPRODUCT((MONTH(CHOOSE({1,2,3,4},XT!U282,XT!Y282,XT!AC282,XT!AG282))=1)*(CHOOSE({1,2,3,4},XT!X282,XT!AB282,XT!AF282,XT!AJ282)))</f>
        <v>0</v>
      </c>
      <c r="B282">
        <f>IFERROR(INDEX(CHOOSE({1,2,3,4}, DAY(XT!U282), DAY(XT!Y282), DAY(XT!AC282), DAY(XT!AG282)), MATCH(1, INDEX(--(MONTH(CHOOSE({1,2,3,4}, XT!U282,XT!Y282,XT!AC282,XT!AG282))=1), 0), 0)), "")</f>
        <v>0</v>
      </c>
      <c r="C282" s="51" t="str">
        <f>IF(XT!$P282&gt;0,B282,"")</f>
        <v/>
      </c>
      <c r="D282" s="51">
        <f>IF(XT!$P282=0,B282,"")</f>
        <v>0</v>
      </c>
      <c r="E282">
        <f>SUMPRODUCT((MONTH(CHOOSE({1,2,3,4},XT!U282,XT!Y282,XT!AC282,XT!AG282))=2)*(CHOOSE({1,2,3,4},XT!X282,XT!AB282,XT!AF282,XT!AJ282)))</f>
        <v>0</v>
      </c>
      <c r="F282" t="str">
        <f>IFERROR(INDEX(CHOOSE({1,2,3,4}, DAY(XT!U282), DAY(XT!Y282), DAY(XT!AC282), DAY(XT!AG282)), MATCH(1, INDEX(--(MONTH(CHOOSE({1,2,3,4}, XT!U282,XT!Y282,XT!AC282,XT!AG282))=2), 0), 0)), "")</f>
        <v/>
      </c>
      <c r="G282" s="51" t="str">
        <f>IF(XT!$P282&gt;0,F282,"")</f>
        <v/>
      </c>
      <c r="H282" s="51" t="str">
        <f>IF(XT!$P282=0,F282,"")</f>
        <v/>
      </c>
      <c r="I282">
        <f>SUMPRODUCT((MONTH(CHOOSE({1,2,3,4},XT!U282,XT!Y282,XT!AC282,XT!AG282))=3)*(CHOOSE({1,2,3,4},XT!X282,XT!AB282,XT!AF282,XT!AJ282)))</f>
        <v>0</v>
      </c>
      <c r="J282" t="str">
        <f>IFERROR(INDEX(CHOOSE({1,2,3,4}, DAY(XT!U282), DAY(XT!Y282), DAY(XT!AC282), DAY(XT!AG282)), MATCH(1, INDEX(--(MONTH(CHOOSE({1,2,3,4}, XT!U282,XT!Y282,XT!AC282,XT!AG282))=3), 0), 0)), "")</f>
        <v/>
      </c>
      <c r="K282" s="51" t="str">
        <f>IF(XT!$P282&gt;0,J282,"")</f>
        <v/>
      </c>
      <c r="L282" s="51" t="str">
        <f>IF(XT!$P282=0,J282,"")</f>
        <v/>
      </c>
      <c r="M282">
        <f>SUMPRODUCT((MONTH(CHOOSE({1,2,3,4},XT!U282,XT!Y282,XT!AC282,XT!AG282))=4)*(CHOOSE({1,2,3,4},XT!X282,XT!AB282,XT!AF282,XT!AJ282)))</f>
        <v>0</v>
      </c>
      <c r="N282" t="str">
        <f>IFERROR(INDEX(CHOOSE({1,2,3,4}, DAY(XT!U282), DAY(XT!Y282), DAY(XT!AC282), DAY(XT!AG282)), MATCH(1, INDEX(--(MONTH(CHOOSE({1,2,3,4}, XT!U282,XT!Y282,XT!AC282,XT!AG282))=4), 0), 0)), "")</f>
        <v/>
      </c>
      <c r="O282" s="51" t="str">
        <f>IF(XT!$P282&gt;0,N282,"")</f>
        <v/>
      </c>
      <c r="P282" s="51" t="str">
        <f>IF(XT!$P282=0,N282,"")</f>
        <v/>
      </c>
      <c r="Q282">
        <f>SUMPRODUCT((MONTH(CHOOSE({1,2,3,4},XT!U282,XT!Y282,XT!AC282,XT!AG282))=5)*(CHOOSE({1,2,3,4},XT!X282,XT!AB282,XT!AF282,XT!AJ282)))</f>
        <v>0</v>
      </c>
      <c r="R282" t="str">
        <f>IFERROR(INDEX(CHOOSE({1,2,3,4}, DAY(XT!U282), DAY(XT!Y282), DAY(XT!AC282), DAY(XT!AG282)), MATCH(1, INDEX(--(MONTH(CHOOSE({1,2,3,4}, XT!U282,XT!Y282,XT!AC282,XT!AG282))=5), 0), 0)), "")</f>
        <v/>
      </c>
      <c r="S282" s="51" t="str">
        <f>IF(XT!$P282&gt;0,R282,"")</f>
        <v/>
      </c>
      <c r="T282" s="51" t="str">
        <f>IF(XT!$P282=0,R282,"")</f>
        <v/>
      </c>
      <c r="U282">
        <f>SUMPRODUCT((MONTH(CHOOSE({1,2,3,4},XT!U282,XT!Y282,XT!AC282,XT!AG282))=6)*(CHOOSE({1,2,3,4},XT!X282,XT!AB282,XT!AF282,XT!AJ282)))</f>
        <v>0</v>
      </c>
      <c r="V282" t="str">
        <f>IFERROR(INDEX(CHOOSE({1,2,3,4}, DAY(XT!U282), DAY(XT!Y282), DAY(XT!AC282), DAY(XT!AG282)), MATCH(1, INDEX(--(MONTH(CHOOSE({1,2,3,4}, XT!U282,XT!Y282,XT!AC282,XT!AG282))=6), 0), 0)), "")</f>
        <v/>
      </c>
      <c r="W282" s="51" t="str">
        <f>IF(XT!$P282&gt;0,V282,"")</f>
        <v/>
      </c>
      <c r="X282" s="51" t="str">
        <f>IF(XT!$P282=0,V282,"")</f>
        <v/>
      </c>
      <c r="Y282">
        <f>SUMPRODUCT((MONTH(CHOOSE({1,2,3,4},XT!U282,XT!Y282,XT!AC282,XT!AG282))=7)*(CHOOSE({1,2,3,4},XT!X282,XT!AB282,XT!AF282,XT!AJ282)))</f>
        <v>0</v>
      </c>
      <c r="Z282" t="str">
        <f>IFERROR(INDEX(CHOOSE({1,2,3,4}, DAY(XT!U282), DAY(XT!Y282), DAY(XT!AC282), DAY(XT!AG282)), MATCH(1, INDEX(--(MONTH(CHOOSE({1,2,3,4}, XT!U282,XT!Y282,XT!AC282,XT!AG282))=7), 0), 0)), "")</f>
        <v/>
      </c>
      <c r="AA282" s="51" t="str">
        <f>IF(XT!$P282&gt;0,Z282,"")</f>
        <v/>
      </c>
      <c r="AB282" s="51" t="str">
        <f>IF(XT!$P282=0,Z282,"")</f>
        <v/>
      </c>
      <c r="AC282">
        <f>SUMPRODUCT((MONTH(CHOOSE({1,2,3,4},XT!U282,XT!Y282,XT!AC282,XT!AG282))=8)*(CHOOSE({1,2,3,4},XT!X282,XT!AB282,XT!AF282,XT!AJ282)))</f>
        <v>0</v>
      </c>
      <c r="AD282" t="str">
        <f>IFERROR(INDEX(CHOOSE({1,2,3,4}, DAY(XT!U282), DAY(XT!Y282), DAY(XT!AC282), DAY(XT!AG282)), MATCH(1, INDEX(--(MONTH(CHOOSE({1,2,3,4}, XT!U282,XT!Y282,XT!AC282,XT!AG282))=8), 0), 0)), "")</f>
        <v/>
      </c>
      <c r="AE282" s="51" t="str">
        <f>IF(XT!$P282&gt;0,AD282,"")</f>
        <v/>
      </c>
      <c r="AF282" s="51" t="str">
        <f>IF(XT!$P282=0,AD282,"")</f>
        <v/>
      </c>
      <c r="AG282">
        <f>SUMPRODUCT((MONTH(CHOOSE({1,2,3,4},XT!U282,XT!Y282,XT!AC282,XT!AG282))=9)*(CHOOSE({1,2,3,4},XT!X282,XT!AB282,XT!AF282,XT!AJ282)))</f>
        <v>0</v>
      </c>
      <c r="AH282" t="str">
        <f>IFERROR(INDEX(CHOOSE({1,2,3,4}, DAY(XT!U282), DAY(XT!Y282), DAY(XT!AC282), DAY(XT!AG282)), MATCH(1, INDEX(--(MONTH(CHOOSE({1,2,3,4}, XT!U282,XT!Y282,XT!AC282,XT!AG282))=9), 0), 0)), "")</f>
        <v/>
      </c>
      <c r="AI282" s="51" t="str">
        <f>IF(XT!$P282&gt;0,AH282,"")</f>
        <v/>
      </c>
      <c r="AJ282" s="51" t="str">
        <f>IF(XT!$P282=0,AH282,"")</f>
        <v/>
      </c>
      <c r="AK282">
        <f>SUMPRODUCT((MONTH(CHOOSE({1,2,3,4},XT!U282,XT!Y282,XT!AC282,XT!AG282))=10)*(CHOOSE({1,2,3,4},XT!X282,XT!AB282,XT!AF282,XT!AJ282)))</f>
        <v>0</v>
      </c>
      <c r="AL282" t="str">
        <f>IFERROR(INDEX(CHOOSE({1,2,3,4}, DAY(XT!U282), DAY(XT!Y282), DAY(XT!AC282), DAY(XT!AG282)), MATCH(1, INDEX(--(MONTH(CHOOSE({1,2,3,4}, XT!U282,XT!Y282,XT!AC282,XT!AG282))=10), 0), 0)), "")</f>
        <v/>
      </c>
      <c r="AM282" s="51" t="str">
        <f>IF(XT!$P282&gt;0,AL282,"")</f>
        <v/>
      </c>
      <c r="AN282" s="51" t="str">
        <f>IF(XT!$P282=0,AL282,"")</f>
        <v/>
      </c>
      <c r="AO282">
        <f>SUMPRODUCT((MONTH(CHOOSE({1,2,3,4},XT!U282,XT!Y282,XT!AC282,XT!AG282))=11)*(CHOOSE({1,2,3,4},XT!X282,XT!AB282,XT!AF282,XT!AJ282)))</f>
        <v>0</v>
      </c>
      <c r="AP282" t="str">
        <f>IFERROR(INDEX(CHOOSE({1,2,3,4}, DAY(XT!U282), DAY(XT!Y282), DAY(XT!AC282), DAY(XT!AG282)), MATCH(1, INDEX(--(MONTH(CHOOSE({1,2,3,4}, XT!U282,XT!Y282,XT!AC282,XT!AG282))=11), 0), 0)), "")</f>
        <v/>
      </c>
      <c r="AQ282" s="51" t="str">
        <f>IF(XT!$P282&gt;0,AP282,"")</f>
        <v/>
      </c>
      <c r="AR282" s="51" t="str">
        <f>IF(XT!$P282=0,AP282,"")</f>
        <v/>
      </c>
      <c r="AS282">
        <f>SUMPRODUCT((MONTH(CHOOSE({1,2,3,4},XT!U282,XT!Y282,XT!AC282,XT!AG282))=12)*(CHOOSE({1,2,3,4},XT!X282,XT!AB282,XT!AF282,XT!AJ282)))</f>
        <v>0</v>
      </c>
      <c r="AT282" t="str">
        <f>IFERROR(INDEX(CHOOSE({1,2,3,4}, DAY(XT!U282), DAY(XT!Y282), DAY(XT!AC282), DAY(XT!AG282)), MATCH(1, INDEX(--(MONTH(CHOOSE({1,2,3,4}, XT!U282,XT!Y282,XT!AC282,XT!AG282))=12), 0), 0)), "")</f>
        <v/>
      </c>
      <c r="AU282" s="51" t="str">
        <f>IF(XT!$P282&gt;0,AT282,"")</f>
        <v/>
      </c>
      <c r="AV282" s="51" t="str">
        <f>IF(XT!$P282=0,AT282,"")</f>
        <v/>
      </c>
    </row>
    <row r="283" spans="1:48">
      <c r="A283">
        <f>SUMPRODUCT((MONTH(CHOOSE({1,2,3,4},XT!U283,XT!Y283,XT!AC283,XT!AG283))=1)*(CHOOSE({1,2,3,4},XT!X283,XT!AB283,XT!AF283,XT!AJ283)))</f>
        <v>0</v>
      </c>
      <c r="B283">
        <f>IFERROR(INDEX(CHOOSE({1,2,3,4}, DAY(XT!U283), DAY(XT!Y283), DAY(XT!AC283), DAY(XT!AG283)), MATCH(1, INDEX(--(MONTH(CHOOSE({1,2,3,4}, XT!U283,XT!Y283,XT!AC283,XT!AG283))=1), 0), 0)), "")</f>
        <v>0</v>
      </c>
      <c r="C283" s="51" t="str">
        <f>IF(XT!$P283&gt;0,B283,"")</f>
        <v/>
      </c>
      <c r="D283" s="51">
        <f>IF(XT!$P283=0,B283,"")</f>
        <v>0</v>
      </c>
      <c r="E283">
        <f>SUMPRODUCT((MONTH(CHOOSE({1,2,3,4},XT!U283,XT!Y283,XT!AC283,XT!AG283))=2)*(CHOOSE({1,2,3,4},XT!X283,XT!AB283,XT!AF283,XT!AJ283)))</f>
        <v>0</v>
      </c>
      <c r="F283" t="str">
        <f>IFERROR(INDEX(CHOOSE({1,2,3,4}, DAY(XT!U283), DAY(XT!Y283), DAY(XT!AC283), DAY(XT!AG283)), MATCH(1, INDEX(--(MONTH(CHOOSE({1,2,3,4}, XT!U283,XT!Y283,XT!AC283,XT!AG283))=2), 0), 0)), "")</f>
        <v/>
      </c>
      <c r="G283" s="51" t="str">
        <f>IF(XT!$P283&gt;0,F283,"")</f>
        <v/>
      </c>
      <c r="H283" s="51" t="str">
        <f>IF(XT!$P283=0,F283,"")</f>
        <v/>
      </c>
      <c r="I283">
        <f>SUMPRODUCT((MONTH(CHOOSE({1,2,3,4},XT!U283,XT!Y283,XT!AC283,XT!AG283))=3)*(CHOOSE({1,2,3,4},XT!X283,XT!AB283,XT!AF283,XT!AJ283)))</f>
        <v>0</v>
      </c>
      <c r="J283" t="str">
        <f>IFERROR(INDEX(CHOOSE({1,2,3,4}, DAY(XT!U283), DAY(XT!Y283), DAY(XT!AC283), DAY(XT!AG283)), MATCH(1, INDEX(--(MONTH(CHOOSE({1,2,3,4}, XT!U283,XT!Y283,XT!AC283,XT!AG283))=3), 0), 0)), "")</f>
        <v/>
      </c>
      <c r="K283" s="51" t="str">
        <f>IF(XT!$P283&gt;0,J283,"")</f>
        <v/>
      </c>
      <c r="L283" s="51" t="str">
        <f>IF(XT!$P283=0,J283,"")</f>
        <v/>
      </c>
      <c r="M283">
        <f>SUMPRODUCT((MONTH(CHOOSE({1,2,3,4},XT!U283,XT!Y283,XT!AC283,XT!AG283))=4)*(CHOOSE({1,2,3,4},XT!X283,XT!AB283,XT!AF283,XT!AJ283)))</f>
        <v>0</v>
      </c>
      <c r="N283" t="str">
        <f>IFERROR(INDEX(CHOOSE({1,2,3,4}, DAY(XT!U283), DAY(XT!Y283), DAY(XT!AC283), DAY(XT!AG283)), MATCH(1, INDEX(--(MONTH(CHOOSE({1,2,3,4}, XT!U283,XT!Y283,XT!AC283,XT!AG283))=4), 0), 0)), "")</f>
        <v/>
      </c>
      <c r="O283" s="51" t="str">
        <f>IF(XT!$P283&gt;0,N283,"")</f>
        <v/>
      </c>
      <c r="P283" s="51" t="str">
        <f>IF(XT!$P283=0,N283,"")</f>
        <v/>
      </c>
      <c r="Q283">
        <f>SUMPRODUCT((MONTH(CHOOSE({1,2,3,4},XT!U283,XT!Y283,XT!AC283,XT!AG283))=5)*(CHOOSE({1,2,3,4},XT!X283,XT!AB283,XT!AF283,XT!AJ283)))</f>
        <v>0</v>
      </c>
      <c r="R283" t="str">
        <f>IFERROR(INDEX(CHOOSE({1,2,3,4}, DAY(XT!U283), DAY(XT!Y283), DAY(XT!AC283), DAY(XT!AG283)), MATCH(1, INDEX(--(MONTH(CHOOSE({1,2,3,4}, XT!U283,XT!Y283,XT!AC283,XT!AG283))=5), 0), 0)), "")</f>
        <v/>
      </c>
      <c r="S283" s="51" t="str">
        <f>IF(XT!$P283&gt;0,R283,"")</f>
        <v/>
      </c>
      <c r="T283" s="51" t="str">
        <f>IF(XT!$P283=0,R283,"")</f>
        <v/>
      </c>
      <c r="U283">
        <f>SUMPRODUCT((MONTH(CHOOSE({1,2,3,4},XT!U283,XT!Y283,XT!AC283,XT!AG283))=6)*(CHOOSE({1,2,3,4},XT!X283,XT!AB283,XT!AF283,XT!AJ283)))</f>
        <v>0</v>
      </c>
      <c r="V283" t="str">
        <f>IFERROR(INDEX(CHOOSE({1,2,3,4}, DAY(XT!U283), DAY(XT!Y283), DAY(XT!AC283), DAY(XT!AG283)), MATCH(1, INDEX(--(MONTH(CHOOSE({1,2,3,4}, XT!U283,XT!Y283,XT!AC283,XT!AG283))=6), 0), 0)), "")</f>
        <v/>
      </c>
      <c r="W283" s="51" t="str">
        <f>IF(XT!$P283&gt;0,V283,"")</f>
        <v/>
      </c>
      <c r="X283" s="51" t="str">
        <f>IF(XT!$P283=0,V283,"")</f>
        <v/>
      </c>
      <c r="Y283">
        <f>SUMPRODUCT((MONTH(CHOOSE({1,2,3,4},XT!U283,XT!Y283,XT!AC283,XT!AG283))=7)*(CHOOSE({1,2,3,4},XT!X283,XT!AB283,XT!AF283,XT!AJ283)))</f>
        <v>0</v>
      </c>
      <c r="Z283" t="str">
        <f>IFERROR(INDEX(CHOOSE({1,2,3,4}, DAY(XT!U283), DAY(XT!Y283), DAY(XT!AC283), DAY(XT!AG283)), MATCH(1, INDEX(--(MONTH(CHOOSE({1,2,3,4}, XT!U283,XT!Y283,XT!AC283,XT!AG283))=7), 0), 0)), "")</f>
        <v/>
      </c>
      <c r="AA283" s="51" t="str">
        <f>IF(XT!$P283&gt;0,Z283,"")</f>
        <v/>
      </c>
      <c r="AB283" s="51" t="str">
        <f>IF(XT!$P283=0,Z283,"")</f>
        <v/>
      </c>
      <c r="AC283">
        <f>SUMPRODUCT((MONTH(CHOOSE({1,2,3,4},XT!U283,XT!Y283,XT!AC283,XT!AG283))=8)*(CHOOSE({1,2,3,4},XT!X283,XT!AB283,XT!AF283,XT!AJ283)))</f>
        <v>0</v>
      </c>
      <c r="AD283" t="str">
        <f>IFERROR(INDEX(CHOOSE({1,2,3,4}, DAY(XT!U283), DAY(XT!Y283), DAY(XT!AC283), DAY(XT!AG283)), MATCH(1, INDEX(--(MONTH(CHOOSE({1,2,3,4}, XT!U283,XT!Y283,XT!AC283,XT!AG283))=8), 0), 0)), "")</f>
        <v/>
      </c>
      <c r="AE283" s="51" t="str">
        <f>IF(XT!$P283&gt;0,AD283,"")</f>
        <v/>
      </c>
      <c r="AF283" s="51" t="str">
        <f>IF(XT!$P283=0,AD283,"")</f>
        <v/>
      </c>
      <c r="AG283">
        <f>SUMPRODUCT((MONTH(CHOOSE({1,2,3,4},XT!U283,XT!Y283,XT!AC283,XT!AG283))=9)*(CHOOSE({1,2,3,4},XT!X283,XT!AB283,XT!AF283,XT!AJ283)))</f>
        <v>0</v>
      </c>
      <c r="AH283" t="str">
        <f>IFERROR(INDEX(CHOOSE({1,2,3,4}, DAY(XT!U283), DAY(XT!Y283), DAY(XT!AC283), DAY(XT!AG283)), MATCH(1, INDEX(--(MONTH(CHOOSE({1,2,3,4}, XT!U283,XT!Y283,XT!AC283,XT!AG283))=9), 0), 0)), "")</f>
        <v/>
      </c>
      <c r="AI283" s="51" t="str">
        <f>IF(XT!$P283&gt;0,AH283,"")</f>
        <v/>
      </c>
      <c r="AJ283" s="51" t="str">
        <f>IF(XT!$P283=0,AH283,"")</f>
        <v/>
      </c>
      <c r="AK283">
        <f>SUMPRODUCT((MONTH(CHOOSE({1,2,3,4},XT!U283,XT!Y283,XT!AC283,XT!AG283))=10)*(CHOOSE({1,2,3,4},XT!X283,XT!AB283,XT!AF283,XT!AJ283)))</f>
        <v>0</v>
      </c>
      <c r="AL283" t="str">
        <f>IFERROR(INDEX(CHOOSE({1,2,3,4}, DAY(XT!U283), DAY(XT!Y283), DAY(XT!AC283), DAY(XT!AG283)), MATCH(1, INDEX(--(MONTH(CHOOSE({1,2,3,4}, XT!U283,XT!Y283,XT!AC283,XT!AG283))=10), 0), 0)), "")</f>
        <v/>
      </c>
      <c r="AM283" s="51" t="str">
        <f>IF(XT!$P283&gt;0,AL283,"")</f>
        <v/>
      </c>
      <c r="AN283" s="51" t="str">
        <f>IF(XT!$P283=0,AL283,"")</f>
        <v/>
      </c>
      <c r="AO283">
        <f>SUMPRODUCT((MONTH(CHOOSE({1,2,3,4},XT!U283,XT!Y283,XT!AC283,XT!AG283))=11)*(CHOOSE({1,2,3,4},XT!X283,XT!AB283,XT!AF283,XT!AJ283)))</f>
        <v>0</v>
      </c>
      <c r="AP283" t="str">
        <f>IFERROR(INDEX(CHOOSE({1,2,3,4}, DAY(XT!U283), DAY(XT!Y283), DAY(XT!AC283), DAY(XT!AG283)), MATCH(1, INDEX(--(MONTH(CHOOSE({1,2,3,4}, XT!U283,XT!Y283,XT!AC283,XT!AG283))=11), 0), 0)), "")</f>
        <v/>
      </c>
      <c r="AQ283" s="51" t="str">
        <f>IF(XT!$P283&gt;0,AP283,"")</f>
        <v/>
      </c>
      <c r="AR283" s="51" t="str">
        <f>IF(XT!$P283=0,AP283,"")</f>
        <v/>
      </c>
      <c r="AS283">
        <f>SUMPRODUCT((MONTH(CHOOSE({1,2,3,4},XT!U283,XT!Y283,XT!AC283,XT!AG283))=12)*(CHOOSE({1,2,3,4},XT!X283,XT!AB283,XT!AF283,XT!AJ283)))</f>
        <v>0</v>
      </c>
      <c r="AT283" t="str">
        <f>IFERROR(INDEX(CHOOSE({1,2,3,4}, DAY(XT!U283), DAY(XT!Y283), DAY(XT!AC283), DAY(XT!AG283)), MATCH(1, INDEX(--(MONTH(CHOOSE({1,2,3,4}, XT!U283,XT!Y283,XT!AC283,XT!AG283))=12), 0), 0)), "")</f>
        <v/>
      </c>
      <c r="AU283" s="51" t="str">
        <f>IF(XT!$P283&gt;0,AT283,"")</f>
        <v/>
      </c>
      <c r="AV283" s="51" t="str">
        <f>IF(XT!$P283=0,AT283,"")</f>
        <v/>
      </c>
    </row>
    <row r="284" spans="1:48">
      <c r="A284">
        <f>SUMPRODUCT((MONTH(CHOOSE({1,2,3,4},XT!U284,XT!Y284,XT!AC284,XT!AG284))=1)*(CHOOSE({1,2,3,4},XT!X284,XT!AB284,XT!AF284,XT!AJ284)))</f>
        <v>0</v>
      </c>
      <c r="B284">
        <f>IFERROR(INDEX(CHOOSE({1,2,3,4}, DAY(XT!U284), DAY(XT!Y284), DAY(XT!AC284), DAY(XT!AG284)), MATCH(1, INDEX(--(MONTH(CHOOSE({1,2,3,4}, XT!U284,XT!Y284,XT!AC284,XT!AG284))=1), 0), 0)), "")</f>
        <v>0</v>
      </c>
      <c r="C284" s="51" t="str">
        <f>IF(XT!$P284&gt;0,B284,"")</f>
        <v/>
      </c>
      <c r="D284" s="51">
        <f>IF(XT!$P284=0,B284,"")</f>
        <v>0</v>
      </c>
      <c r="E284">
        <f>SUMPRODUCT((MONTH(CHOOSE({1,2,3,4},XT!U284,XT!Y284,XT!AC284,XT!AG284))=2)*(CHOOSE({1,2,3,4},XT!X284,XT!AB284,XT!AF284,XT!AJ284)))</f>
        <v>0</v>
      </c>
      <c r="F284" t="str">
        <f>IFERROR(INDEX(CHOOSE({1,2,3,4}, DAY(XT!U284), DAY(XT!Y284), DAY(XT!AC284), DAY(XT!AG284)), MATCH(1, INDEX(--(MONTH(CHOOSE({1,2,3,4}, XT!U284,XT!Y284,XT!AC284,XT!AG284))=2), 0), 0)), "")</f>
        <v/>
      </c>
      <c r="G284" s="51" t="str">
        <f>IF(XT!$P284&gt;0,F284,"")</f>
        <v/>
      </c>
      <c r="H284" s="51" t="str">
        <f>IF(XT!$P284=0,F284,"")</f>
        <v/>
      </c>
      <c r="I284">
        <f>SUMPRODUCT((MONTH(CHOOSE({1,2,3,4},XT!U284,XT!Y284,XT!AC284,XT!AG284))=3)*(CHOOSE({1,2,3,4},XT!X284,XT!AB284,XT!AF284,XT!AJ284)))</f>
        <v>0</v>
      </c>
      <c r="J284" t="str">
        <f>IFERROR(INDEX(CHOOSE({1,2,3,4}, DAY(XT!U284), DAY(XT!Y284), DAY(XT!AC284), DAY(XT!AG284)), MATCH(1, INDEX(--(MONTH(CHOOSE({1,2,3,4}, XT!U284,XT!Y284,XT!AC284,XT!AG284))=3), 0), 0)), "")</f>
        <v/>
      </c>
      <c r="K284" s="51" t="str">
        <f>IF(XT!$P284&gt;0,J284,"")</f>
        <v/>
      </c>
      <c r="L284" s="51" t="str">
        <f>IF(XT!$P284=0,J284,"")</f>
        <v/>
      </c>
      <c r="M284">
        <f>SUMPRODUCT((MONTH(CHOOSE({1,2,3,4},XT!U284,XT!Y284,XT!AC284,XT!AG284))=4)*(CHOOSE({1,2,3,4},XT!X284,XT!AB284,XT!AF284,XT!AJ284)))</f>
        <v>0</v>
      </c>
      <c r="N284" t="str">
        <f>IFERROR(INDEX(CHOOSE({1,2,3,4}, DAY(XT!U284), DAY(XT!Y284), DAY(XT!AC284), DAY(XT!AG284)), MATCH(1, INDEX(--(MONTH(CHOOSE({1,2,3,4}, XT!U284,XT!Y284,XT!AC284,XT!AG284))=4), 0), 0)), "")</f>
        <v/>
      </c>
      <c r="O284" s="51" t="str">
        <f>IF(XT!$P284&gt;0,N284,"")</f>
        <v/>
      </c>
      <c r="P284" s="51" t="str">
        <f>IF(XT!$P284=0,N284,"")</f>
        <v/>
      </c>
      <c r="Q284">
        <f>SUMPRODUCT((MONTH(CHOOSE({1,2,3,4},XT!U284,XT!Y284,XT!AC284,XT!AG284))=5)*(CHOOSE({1,2,3,4},XT!X284,XT!AB284,XT!AF284,XT!AJ284)))</f>
        <v>0</v>
      </c>
      <c r="R284" t="str">
        <f>IFERROR(INDEX(CHOOSE({1,2,3,4}, DAY(XT!U284), DAY(XT!Y284), DAY(XT!AC284), DAY(XT!AG284)), MATCH(1, INDEX(--(MONTH(CHOOSE({1,2,3,4}, XT!U284,XT!Y284,XT!AC284,XT!AG284))=5), 0), 0)), "")</f>
        <v/>
      </c>
      <c r="S284" s="51" t="str">
        <f>IF(XT!$P284&gt;0,R284,"")</f>
        <v/>
      </c>
      <c r="T284" s="51" t="str">
        <f>IF(XT!$P284=0,R284,"")</f>
        <v/>
      </c>
      <c r="U284">
        <f>SUMPRODUCT((MONTH(CHOOSE({1,2,3,4},XT!U284,XT!Y284,XT!AC284,XT!AG284))=6)*(CHOOSE({1,2,3,4},XT!X284,XT!AB284,XT!AF284,XT!AJ284)))</f>
        <v>0</v>
      </c>
      <c r="V284" t="str">
        <f>IFERROR(INDEX(CHOOSE({1,2,3,4}, DAY(XT!U284), DAY(XT!Y284), DAY(XT!AC284), DAY(XT!AG284)), MATCH(1, INDEX(--(MONTH(CHOOSE({1,2,3,4}, XT!U284,XT!Y284,XT!AC284,XT!AG284))=6), 0), 0)), "")</f>
        <v/>
      </c>
      <c r="W284" s="51" t="str">
        <f>IF(XT!$P284&gt;0,V284,"")</f>
        <v/>
      </c>
      <c r="X284" s="51" t="str">
        <f>IF(XT!$P284=0,V284,"")</f>
        <v/>
      </c>
      <c r="Y284">
        <f>SUMPRODUCT((MONTH(CHOOSE({1,2,3,4},XT!U284,XT!Y284,XT!AC284,XT!AG284))=7)*(CHOOSE({1,2,3,4},XT!X284,XT!AB284,XT!AF284,XT!AJ284)))</f>
        <v>0</v>
      </c>
      <c r="Z284" t="str">
        <f>IFERROR(INDEX(CHOOSE({1,2,3,4}, DAY(XT!U284), DAY(XT!Y284), DAY(XT!AC284), DAY(XT!AG284)), MATCH(1, INDEX(--(MONTH(CHOOSE({1,2,3,4}, XT!U284,XT!Y284,XT!AC284,XT!AG284))=7), 0), 0)), "")</f>
        <v/>
      </c>
      <c r="AA284" s="51" t="str">
        <f>IF(XT!$P284&gt;0,Z284,"")</f>
        <v/>
      </c>
      <c r="AB284" s="51" t="str">
        <f>IF(XT!$P284=0,Z284,"")</f>
        <v/>
      </c>
      <c r="AC284">
        <f>SUMPRODUCT((MONTH(CHOOSE({1,2,3,4},XT!U284,XT!Y284,XT!AC284,XT!AG284))=8)*(CHOOSE({1,2,3,4},XT!X284,XT!AB284,XT!AF284,XT!AJ284)))</f>
        <v>0</v>
      </c>
      <c r="AD284" t="str">
        <f>IFERROR(INDEX(CHOOSE({1,2,3,4}, DAY(XT!U284), DAY(XT!Y284), DAY(XT!AC284), DAY(XT!AG284)), MATCH(1, INDEX(--(MONTH(CHOOSE({1,2,3,4}, XT!U284,XT!Y284,XT!AC284,XT!AG284))=8), 0), 0)), "")</f>
        <v/>
      </c>
      <c r="AE284" s="51" t="str">
        <f>IF(XT!$P284&gt;0,AD284,"")</f>
        <v/>
      </c>
      <c r="AF284" s="51" t="str">
        <f>IF(XT!$P284=0,AD284,"")</f>
        <v/>
      </c>
      <c r="AG284">
        <f>SUMPRODUCT((MONTH(CHOOSE({1,2,3,4},XT!U284,XT!Y284,XT!AC284,XT!AG284))=9)*(CHOOSE({1,2,3,4},XT!X284,XT!AB284,XT!AF284,XT!AJ284)))</f>
        <v>0</v>
      </c>
      <c r="AH284" t="str">
        <f>IFERROR(INDEX(CHOOSE({1,2,3,4}, DAY(XT!U284), DAY(XT!Y284), DAY(XT!AC284), DAY(XT!AG284)), MATCH(1, INDEX(--(MONTH(CHOOSE({1,2,3,4}, XT!U284,XT!Y284,XT!AC284,XT!AG284))=9), 0), 0)), "")</f>
        <v/>
      </c>
      <c r="AI284" s="51" t="str">
        <f>IF(XT!$P284&gt;0,AH284,"")</f>
        <v/>
      </c>
      <c r="AJ284" s="51" t="str">
        <f>IF(XT!$P284=0,AH284,"")</f>
        <v/>
      </c>
      <c r="AK284">
        <f>SUMPRODUCT((MONTH(CHOOSE({1,2,3,4},XT!U284,XT!Y284,XT!AC284,XT!AG284))=10)*(CHOOSE({1,2,3,4},XT!X284,XT!AB284,XT!AF284,XT!AJ284)))</f>
        <v>0</v>
      </c>
      <c r="AL284" t="str">
        <f>IFERROR(INDEX(CHOOSE({1,2,3,4}, DAY(XT!U284), DAY(XT!Y284), DAY(XT!AC284), DAY(XT!AG284)), MATCH(1, INDEX(--(MONTH(CHOOSE({1,2,3,4}, XT!U284,XT!Y284,XT!AC284,XT!AG284))=10), 0), 0)), "")</f>
        <v/>
      </c>
      <c r="AM284" s="51" t="str">
        <f>IF(XT!$P284&gt;0,AL284,"")</f>
        <v/>
      </c>
      <c r="AN284" s="51" t="str">
        <f>IF(XT!$P284=0,AL284,"")</f>
        <v/>
      </c>
      <c r="AO284">
        <f>SUMPRODUCT((MONTH(CHOOSE({1,2,3,4},XT!U284,XT!Y284,XT!AC284,XT!AG284))=11)*(CHOOSE({1,2,3,4},XT!X284,XT!AB284,XT!AF284,XT!AJ284)))</f>
        <v>0</v>
      </c>
      <c r="AP284" t="str">
        <f>IFERROR(INDEX(CHOOSE({1,2,3,4}, DAY(XT!U284), DAY(XT!Y284), DAY(XT!AC284), DAY(XT!AG284)), MATCH(1, INDEX(--(MONTH(CHOOSE({1,2,3,4}, XT!U284,XT!Y284,XT!AC284,XT!AG284))=11), 0), 0)), "")</f>
        <v/>
      </c>
      <c r="AQ284" s="51" t="str">
        <f>IF(XT!$P284&gt;0,AP284,"")</f>
        <v/>
      </c>
      <c r="AR284" s="51" t="str">
        <f>IF(XT!$P284=0,AP284,"")</f>
        <v/>
      </c>
      <c r="AS284">
        <f>SUMPRODUCT((MONTH(CHOOSE({1,2,3,4},XT!U284,XT!Y284,XT!AC284,XT!AG284))=12)*(CHOOSE({1,2,3,4},XT!X284,XT!AB284,XT!AF284,XT!AJ284)))</f>
        <v>0</v>
      </c>
      <c r="AT284" t="str">
        <f>IFERROR(INDEX(CHOOSE({1,2,3,4}, DAY(XT!U284), DAY(XT!Y284), DAY(XT!AC284), DAY(XT!AG284)), MATCH(1, INDEX(--(MONTH(CHOOSE({1,2,3,4}, XT!U284,XT!Y284,XT!AC284,XT!AG284))=12), 0), 0)), "")</f>
        <v/>
      </c>
      <c r="AU284" s="51" t="str">
        <f>IF(XT!$P284&gt;0,AT284,"")</f>
        <v/>
      </c>
      <c r="AV284" s="51" t="str">
        <f>IF(XT!$P284=0,AT284,"")</f>
        <v/>
      </c>
    </row>
    <row r="285" spans="1:48">
      <c r="A285">
        <f>SUMPRODUCT((MONTH(CHOOSE({1,2,3,4},XT!U285,XT!Y285,XT!AC285,XT!AG285))=1)*(CHOOSE({1,2,3,4},XT!X285,XT!AB285,XT!AF285,XT!AJ285)))</f>
        <v>0</v>
      </c>
      <c r="B285">
        <f>IFERROR(INDEX(CHOOSE({1,2,3,4}, DAY(XT!U285), DAY(XT!Y285), DAY(XT!AC285), DAY(XT!AG285)), MATCH(1, INDEX(--(MONTH(CHOOSE({1,2,3,4}, XT!U285,XT!Y285,XT!AC285,XT!AG285))=1), 0), 0)), "")</f>
        <v>0</v>
      </c>
      <c r="C285" s="51" t="str">
        <f>IF(XT!$P285&gt;0,B285,"")</f>
        <v/>
      </c>
      <c r="D285" s="51">
        <f>IF(XT!$P285=0,B285,"")</f>
        <v>0</v>
      </c>
      <c r="E285">
        <f>SUMPRODUCT((MONTH(CHOOSE({1,2,3,4},XT!U285,XT!Y285,XT!AC285,XT!AG285))=2)*(CHOOSE({1,2,3,4},XT!X285,XT!AB285,XT!AF285,XT!AJ285)))</f>
        <v>0</v>
      </c>
      <c r="F285" t="str">
        <f>IFERROR(INDEX(CHOOSE({1,2,3,4}, DAY(XT!U285), DAY(XT!Y285), DAY(XT!AC285), DAY(XT!AG285)), MATCH(1, INDEX(--(MONTH(CHOOSE({1,2,3,4}, XT!U285,XT!Y285,XT!AC285,XT!AG285))=2), 0), 0)), "")</f>
        <v/>
      </c>
      <c r="G285" s="51" t="str">
        <f>IF(XT!$P285&gt;0,F285,"")</f>
        <v/>
      </c>
      <c r="H285" s="51" t="str">
        <f>IF(XT!$P285=0,F285,"")</f>
        <v/>
      </c>
      <c r="I285">
        <f>SUMPRODUCT((MONTH(CHOOSE({1,2,3,4},XT!U285,XT!Y285,XT!AC285,XT!AG285))=3)*(CHOOSE({1,2,3,4},XT!X285,XT!AB285,XT!AF285,XT!AJ285)))</f>
        <v>0</v>
      </c>
      <c r="J285" t="str">
        <f>IFERROR(INDEX(CHOOSE({1,2,3,4}, DAY(XT!U285), DAY(XT!Y285), DAY(XT!AC285), DAY(XT!AG285)), MATCH(1, INDEX(--(MONTH(CHOOSE({1,2,3,4}, XT!U285,XT!Y285,XT!AC285,XT!AG285))=3), 0), 0)), "")</f>
        <v/>
      </c>
      <c r="K285" s="51" t="str">
        <f>IF(XT!$P285&gt;0,J285,"")</f>
        <v/>
      </c>
      <c r="L285" s="51" t="str">
        <f>IF(XT!$P285=0,J285,"")</f>
        <v/>
      </c>
      <c r="M285">
        <f>SUMPRODUCT((MONTH(CHOOSE({1,2,3,4},XT!U285,XT!Y285,XT!AC285,XT!AG285))=4)*(CHOOSE({1,2,3,4},XT!X285,XT!AB285,XT!AF285,XT!AJ285)))</f>
        <v>0</v>
      </c>
      <c r="N285" t="str">
        <f>IFERROR(INDEX(CHOOSE({1,2,3,4}, DAY(XT!U285), DAY(XT!Y285), DAY(XT!AC285), DAY(XT!AG285)), MATCH(1, INDEX(--(MONTH(CHOOSE({1,2,3,4}, XT!U285,XT!Y285,XT!AC285,XT!AG285))=4), 0), 0)), "")</f>
        <v/>
      </c>
      <c r="O285" s="51" t="str">
        <f>IF(XT!$P285&gt;0,N285,"")</f>
        <v/>
      </c>
      <c r="P285" s="51" t="str">
        <f>IF(XT!$P285=0,N285,"")</f>
        <v/>
      </c>
      <c r="Q285">
        <f>SUMPRODUCT((MONTH(CHOOSE({1,2,3,4},XT!U285,XT!Y285,XT!AC285,XT!AG285))=5)*(CHOOSE({1,2,3,4},XT!X285,XT!AB285,XT!AF285,XT!AJ285)))</f>
        <v>0</v>
      </c>
      <c r="R285" t="str">
        <f>IFERROR(INDEX(CHOOSE({1,2,3,4}, DAY(XT!U285), DAY(XT!Y285), DAY(XT!AC285), DAY(XT!AG285)), MATCH(1, INDEX(--(MONTH(CHOOSE({1,2,3,4}, XT!U285,XT!Y285,XT!AC285,XT!AG285))=5), 0), 0)), "")</f>
        <v/>
      </c>
      <c r="S285" s="51" t="str">
        <f>IF(XT!$P285&gt;0,R285,"")</f>
        <v/>
      </c>
      <c r="T285" s="51" t="str">
        <f>IF(XT!$P285=0,R285,"")</f>
        <v/>
      </c>
      <c r="U285">
        <f>SUMPRODUCT((MONTH(CHOOSE({1,2,3,4},XT!U285,XT!Y285,XT!AC285,XT!AG285))=6)*(CHOOSE({1,2,3,4},XT!X285,XT!AB285,XT!AF285,XT!AJ285)))</f>
        <v>0</v>
      </c>
      <c r="V285" t="str">
        <f>IFERROR(INDEX(CHOOSE({1,2,3,4}, DAY(XT!U285), DAY(XT!Y285), DAY(XT!AC285), DAY(XT!AG285)), MATCH(1, INDEX(--(MONTH(CHOOSE({1,2,3,4}, XT!U285,XT!Y285,XT!AC285,XT!AG285))=6), 0), 0)), "")</f>
        <v/>
      </c>
      <c r="W285" s="51" t="str">
        <f>IF(XT!$P285&gt;0,V285,"")</f>
        <v/>
      </c>
      <c r="X285" s="51" t="str">
        <f>IF(XT!$P285=0,V285,"")</f>
        <v/>
      </c>
      <c r="Y285">
        <f>SUMPRODUCT((MONTH(CHOOSE({1,2,3,4},XT!U285,XT!Y285,XT!AC285,XT!AG285))=7)*(CHOOSE({1,2,3,4},XT!X285,XT!AB285,XT!AF285,XT!AJ285)))</f>
        <v>0</v>
      </c>
      <c r="Z285" t="str">
        <f>IFERROR(INDEX(CHOOSE({1,2,3,4}, DAY(XT!U285), DAY(XT!Y285), DAY(XT!AC285), DAY(XT!AG285)), MATCH(1, INDEX(--(MONTH(CHOOSE({1,2,3,4}, XT!U285,XT!Y285,XT!AC285,XT!AG285))=7), 0), 0)), "")</f>
        <v/>
      </c>
      <c r="AA285" s="51" t="str">
        <f>IF(XT!$P285&gt;0,Z285,"")</f>
        <v/>
      </c>
      <c r="AB285" s="51" t="str">
        <f>IF(XT!$P285=0,Z285,"")</f>
        <v/>
      </c>
      <c r="AC285">
        <f>SUMPRODUCT((MONTH(CHOOSE({1,2,3,4},XT!U285,XT!Y285,XT!AC285,XT!AG285))=8)*(CHOOSE({1,2,3,4},XT!X285,XT!AB285,XT!AF285,XT!AJ285)))</f>
        <v>0</v>
      </c>
      <c r="AD285" t="str">
        <f>IFERROR(INDEX(CHOOSE({1,2,3,4}, DAY(XT!U285), DAY(XT!Y285), DAY(XT!AC285), DAY(XT!AG285)), MATCH(1, INDEX(--(MONTH(CHOOSE({1,2,3,4}, XT!U285,XT!Y285,XT!AC285,XT!AG285))=8), 0), 0)), "")</f>
        <v/>
      </c>
      <c r="AE285" s="51" t="str">
        <f>IF(XT!$P285&gt;0,AD285,"")</f>
        <v/>
      </c>
      <c r="AF285" s="51" t="str">
        <f>IF(XT!$P285=0,AD285,"")</f>
        <v/>
      </c>
      <c r="AG285">
        <f>SUMPRODUCT((MONTH(CHOOSE({1,2,3,4},XT!U285,XT!Y285,XT!AC285,XT!AG285))=9)*(CHOOSE({1,2,3,4},XT!X285,XT!AB285,XT!AF285,XT!AJ285)))</f>
        <v>0</v>
      </c>
      <c r="AH285" t="str">
        <f>IFERROR(INDEX(CHOOSE({1,2,3,4}, DAY(XT!U285), DAY(XT!Y285), DAY(XT!AC285), DAY(XT!AG285)), MATCH(1, INDEX(--(MONTH(CHOOSE({1,2,3,4}, XT!U285,XT!Y285,XT!AC285,XT!AG285))=9), 0), 0)), "")</f>
        <v/>
      </c>
      <c r="AI285" s="51" t="str">
        <f>IF(XT!$P285&gt;0,AH285,"")</f>
        <v/>
      </c>
      <c r="AJ285" s="51" t="str">
        <f>IF(XT!$P285=0,AH285,"")</f>
        <v/>
      </c>
      <c r="AK285">
        <f>SUMPRODUCT((MONTH(CHOOSE({1,2,3,4},XT!U285,XT!Y285,XT!AC285,XT!AG285))=10)*(CHOOSE({1,2,3,4},XT!X285,XT!AB285,XT!AF285,XT!AJ285)))</f>
        <v>0</v>
      </c>
      <c r="AL285" t="str">
        <f>IFERROR(INDEX(CHOOSE({1,2,3,4}, DAY(XT!U285), DAY(XT!Y285), DAY(XT!AC285), DAY(XT!AG285)), MATCH(1, INDEX(--(MONTH(CHOOSE({1,2,3,4}, XT!U285,XT!Y285,XT!AC285,XT!AG285))=10), 0), 0)), "")</f>
        <v/>
      </c>
      <c r="AM285" s="51" t="str">
        <f>IF(XT!$P285&gt;0,AL285,"")</f>
        <v/>
      </c>
      <c r="AN285" s="51" t="str">
        <f>IF(XT!$P285=0,AL285,"")</f>
        <v/>
      </c>
      <c r="AO285">
        <f>SUMPRODUCT((MONTH(CHOOSE({1,2,3,4},XT!U285,XT!Y285,XT!AC285,XT!AG285))=11)*(CHOOSE({1,2,3,4},XT!X285,XT!AB285,XT!AF285,XT!AJ285)))</f>
        <v>0</v>
      </c>
      <c r="AP285" t="str">
        <f>IFERROR(INDEX(CHOOSE({1,2,3,4}, DAY(XT!U285), DAY(XT!Y285), DAY(XT!AC285), DAY(XT!AG285)), MATCH(1, INDEX(--(MONTH(CHOOSE({1,2,3,4}, XT!U285,XT!Y285,XT!AC285,XT!AG285))=11), 0), 0)), "")</f>
        <v/>
      </c>
      <c r="AQ285" s="51" t="str">
        <f>IF(XT!$P285&gt;0,AP285,"")</f>
        <v/>
      </c>
      <c r="AR285" s="51" t="str">
        <f>IF(XT!$P285=0,AP285,"")</f>
        <v/>
      </c>
      <c r="AS285">
        <f>SUMPRODUCT((MONTH(CHOOSE({1,2,3,4},XT!U285,XT!Y285,XT!AC285,XT!AG285))=12)*(CHOOSE({1,2,3,4},XT!X285,XT!AB285,XT!AF285,XT!AJ285)))</f>
        <v>0</v>
      </c>
      <c r="AT285" t="str">
        <f>IFERROR(INDEX(CHOOSE({1,2,3,4}, DAY(XT!U285), DAY(XT!Y285), DAY(XT!AC285), DAY(XT!AG285)), MATCH(1, INDEX(--(MONTH(CHOOSE({1,2,3,4}, XT!U285,XT!Y285,XT!AC285,XT!AG285))=12), 0), 0)), "")</f>
        <v/>
      </c>
      <c r="AU285" s="51" t="str">
        <f>IF(XT!$P285&gt;0,AT285,"")</f>
        <v/>
      </c>
      <c r="AV285" s="51" t="str">
        <f>IF(XT!$P285=0,AT285,"")</f>
        <v/>
      </c>
    </row>
    <row r="286" spans="1:48">
      <c r="A286">
        <f>SUMPRODUCT((MONTH(CHOOSE({1,2,3,4},XT!U286,XT!Y286,XT!AC286,XT!AG286))=1)*(CHOOSE({1,2,3,4},XT!X286,XT!AB286,XT!AF286,XT!AJ286)))</f>
        <v>0</v>
      </c>
      <c r="B286">
        <f>IFERROR(INDEX(CHOOSE({1,2,3,4}, DAY(XT!U286), DAY(XT!Y286), DAY(XT!AC286), DAY(XT!AG286)), MATCH(1, INDEX(--(MONTH(CHOOSE({1,2,3,4}, XT!U286,XT!Y286,XT!AC286,XT!AG286))=1), 0), 0)), "")</f>
        <v>0</v>
      </c>
      <c r="C286" s="51" t="str">
        <f>IF(XT!$P286&gt;0,B286,"")</f>
        <v/>
      </c>
      <c r="D286" s="51">
        <f>IF(XT!$P286=0,B286,"")</f>
        <v>0</v>
      </c>
      <c r="E286">
        <f>SUMPRODUCT((MONTH(CHOOSE({1,2,3,4},XT!U286,XT!Y286,XT!AC286,XT!AG286))=2)*(CHOOSE({1,2,3,4},XT!X286,XT!AB286,XT!AF286,XT!AJ286)))</f>
        <v>0</v>
      </c>
      <c r="F286" t="str">
        <f>IFERROR(INDEX(CHOOSE({1,2,3,4}, DAY(XT!U286), DAY(XT!Y286), DAY(XT!AC286), DAY(XT!AG286)), MATCH(1, INDEX(--(MONTH(CHOOSE({1,2,3,4}, XT!U286,XT!Y286,XT!AC286,XT!AG286))=2), 0), 0)), "")</f>
        <v/>
      </c>
      <c r="G286" s="51" t="str">
        <f>IF(XT!$P286&gt;0,F286,"")</f>
        <v/>
      </c>
      <c r="H286" s="51" t="str">
        <f>IF(XT!$P286=0,F286,"")</f>
        <v/>
      </c>
      <c r="I286">
        <f>SUMPRODUCT((MONTH(CHOOSE({1,2,3,4},XT!U286,XT!Y286,XT!AC286,XT!AG286))=3)*(CHOOSE({1,2,3,4},XT!X286,XT!AB286,XT!AF286,XT!AJ286)))</f>
        <v>0</v>
      </c>
      <c r="J286" t="str">
        <f>IFERROR(INDEX(CHOOSE({1,2,3,4}, DAY(XT!U286), DAY(XT!Y286), DAY(XT!AC286), DAY(XT!AG286)), MATCH(1, INDEX(--(MONTH(CHOOSE({1,2,3,4}, XT!U286,XT!Y286,XT!AC286,XT!AG286))=3), 0), 0)), "")</f>
        <v/>
      </c>
      <c r="K286" s="51" t="str">
        <f>IF(XT!$P286&gt;0,J286,"")</f>
        <v/>
      </c>
      <c r="L286" s="51" t="str">
        <f>IF(XT!$P286=0,J286,"")</f>
        <v/>
      </c>
      <c r="M286">
        <f>SUMPRODUCT((MONTH(CHOOSE({1,2,3,4},XT!U286,XT!Y286,XT!AC286,XT!AG286))=4)*(CHOOSE({1,2,3,4},XT!X286,XT!AB286,XT!AF286,XT!AJ286)))</f>
        <v>0</v>
      </c>
      <c r="N286" t="str">
        <f>IFERROR(INDEX(CHOOSE({1,2,3,4}, DAY(XT!U286), DAY(XT!Y286), DAY(XT!AC286), DAY(XT!AG286)), MATCH(1, INDEX(--(MONTH(CHOOSE({1,2,3,4}, XT!U286,XT!Y286,XT!AC286,XT!AG286))=4), 0), 0)), "")</f>
        <v/>
      </c>
      <c r="O286" s="51" t="str">
        <f>IF(XT!$P286&gt;0,N286,"")</f>
        <v/>
      </c>
      <c r="P286" s="51" t="str">
        <f>IF(XT!$P286=0,N286,"")</f>
        <v/>
      </c>
      <c r="Q286">
        <f>SUMPRODUCT((MONTH(CHOOSE({1,2,3,4},XT!U286,XT!Y286,XT!AC286,XT!AG286))=5)*(CHOOSE({1,2,3,4},XT!X286,XT!AB286,XT!AF286,XT!AJ286)))</f>
        <v>0</v>
      </c>
      <c r="R286" t="str">
        <f>IFERROR(INDEX(CHOOSE({1,2,3,4}, DAY(XT!U286), DAY(XT!Y286), DAY(XT!AC286), DAY(XT!AG286)), MATCH(1, INDEX(--(MONTH(CHOOSE({1,2,3,4}, XT!U286,XT!Y286,XT!AC286,XT!AG286))=5), 0), 0)), "")</f>
        <v/>
      </c>
      <c r="S286" s="51" t="str">
        <f>IF(XT!$P286&gt;0,R286,"")</f>
        <v/>
      </c>
      <c r="T286" s="51" t="str">
        <f>IF(XT!$P286=0,R286,"")</f>
        <v/>
      </c>
      <c r="U286">
        <f>SUMPRODUCT((MONTH(CHOOSE({1,2,3,4},XT!U286,XT!Y286,XT!AC286,XT!AG286))=6)*(CHOOSE({1,2,3,4},XT!X286,XT!AB286,XT!AF286,XT!AJ286)))</f>
        <v>0</v>
      </c>
      <c r="V286" t="str">
        <f>IFERROR(INDEX(CHOOSE({1,2,3,4}, DAY(XT!U286), DAY(XT!Y286), DAY(XT!AC286), DAY(XT!AG286)), MATCH(1, INDEX(--(MONTH(CHOOSE({1,2,3,4}, XT!U286,XT!Y286,XT!AC286,XT!AG286))=6), 0), 0)), "")</f>
        <v/>
      </c>
      <c r="W286" s="51" t="str">
        <f>IF(XT!$P286&gt;0,V286,"")</f>
        <v/>
      </c>
      <c r="X286" s="51" t="str">
        <f>IF(XT!$P286=0,V286,"")</f>
        <v/>
      </c>
      <c r="Y286">
        <f>SUMPRODUCT((MONTH(CHOOSE({1,2,3,4},XT!U286,XT!Y286,XT!AC286,XT!AG286))=7)*(CHOOSE({1,2,3,4},XT!X286,XT!AB286,XT!AF286,XT!AJ286)))</f>
        <v>0</v>
      </c>
      <c r="Z286" t="str">
        <f>IFERROR(INDEX(CHOOSE({1,2,3,4}, DAY(XT!U286), DAY(XT!Y286), DAY(XT!AC286), DAY(XT!AG286)), MATCH(1, INDEX(--(MONTH(CHOOSE({1,2,3,4}, XT!U286,XT!Y286,XT!AC286,XT!AG286))=7), 0), 0)), "")</f>
        <v/>
      </c>
      <c r="AA286" s="51" t="str">
        <f>IF(XT!$P286&gt;0,Z286,"")</f>
        <v/>
      </c>
      <c r="AB286" s="51" t="str">
        <f>IF(XT!$P286=0,Z286,"")</f>
        <v/>
      </c>
      <c r="AC286">
        <f>SUMPRODUCT((MONTH(CHOOSE({1,2,3,4},XT!U286,XT!Y286,XT!AC286,XT!AG286))=8)*(CHOOSE({1,2,3,4},XT!X286,XT!AB286,XT!AF286,XT!AJ286)))</f>
        <v>0</v>
      </c>
      <c r="AD286" t="str">
        <f>IFERROR(INDEX(CHOOSE({1,2,3,4}, DAY(XT!U286), DAY(XT!Y286), DAY(XT!AC286), DAY(XT!AG286)), MATCH(1, INDEX(--(MONTH(CHOOSE({1,2,3,4}, XT!U286,XT!Y286,XT!AC286,XT!AG286))=8), 0), 0)), "")</f>
        <v/>
      </c>
      <c r="AE286" s="51" t="str">
        <f>IF(XT!$P286&gt;0,AD286,"")</f>
        <v/>
      </c>
      <c r="AF286" s="51" t="str">
        <f>IF(XT!$P286=0,AD286,"")</f>
        <v/>
      </c>
      <c r="AG286">
        <f>SUMPRODUCT((MONTH(CHOOSE({1,2,3,4},XT!U286,XT!Y286,XT!AC286,XT!AG286))=9)*(CHOOSE({1,2,3,4},XT!X286,XT!AB286,XT!AF286,XT!AJ286)))</f>
        <v>0</v>
      </c>
      <c r="AH286" t="str">
        <f>IFERROR(INDEX(CHOOSE({1,2,3,4}, DAY(XT!U286), DAY(XT!Y286), DAY(XT!AC286), DAY(XT!AG286)), MATCH(1, INDEX(--(MONTH(CHOOSE({1,2,3,4}, XT!U286,XT!Y286,XT!AC286,XT!AG286))=9), 0), 0)), "")</f>
        <v/>
      </c>
      <c r="AI286" s="51" t="str">
        <f>IF(XT!$P286&gt;0,AH286,"")</f>
        <v/>
      </c>
      <c r="AJ286" s="51" t="str">
        <f>IF(XT!$P286=0,AH286,"")</f>
        <v/>
      </c>
      <c r="AK286">
        <f>SUMPRODUCT((MONTH(CHOOSE({1,2,3,4},XT!U286,XT!Y286,XT!AC286,XT!AG286))=10)*(CHOOSE({1,2,3,4},XT!X286,XT!AB286,XT!AF286,XT!AJ286)))</f>
        <v>0</v>
      </c>
      <c r="AL286" t="str">
        <f>IFERROR(INDEX(CHOOSE({1,2,3,4}, DAY(XT!U286), DAY(XT!Y286), DAY(XT!AC286), DAY(XT!AG286)), MATCH(1, INDEX(--(MONTH(CHOOSE({1,2,3,4}, XT!U286,XT!Y286,XT!AC286,XT!AG286))=10), 0), 0)), "")</f>
        <v/>
      </c>
      <c r="AM286" s="51" t="str">
        <f>IF(XT!$P286&gt;0,AL286,"")</f>
        <v/>
      </c>
      <c r="AN286" s="51" t="str">
        <f>IF(XT!$P286=0,AL286,"")</f>
        <v/>
      </c>
      <c r="AO286">
        <f>SUMPRODUCT((MONTH(CHOOSE({1,2,3,4},XT!U286,XT!Y286,XT!AC286,XT!AG286))=11)*(CHOOSE({1,2,3,4},XT!X286,XT!AB286,XT!AF286,XT!AJ286)))</f>
        <v>0</v>
      </c>
      <c r="AP286" t="str">
        <f>IFERROR(INDEX(CHOOSE({1,2,3,4}, DAY(XT!U286), DAY(XT!Y286), DAY(XT!AC286), DAY(XT!AG286)), MATCH(1, INDEX(--(MONTH(CHOOSE({1,2,3,4}, XT!U286,XT!Y286,XT!AC286,XT!AG286))=11), 0), 0)), "")</f>
        <v/>
      </c>
      <c r="AQ286" s="51" t="str">
        <f>IF(XT!$P286&gt;0,AP286,"")</f>
        <v/>
      </c>
      <c r="AR286" s="51" t="str">
        <f>IF(XT!$P286=0,AP286,"")</f>
        <v/>
      </c>
      <c r="AS286">
        <f>SUMPRODUCT((MONTH(CHOOSE({1,2,3,4},XT!U286,XT!Y286,XT!AC286,XT!AG286))=12)*(CHOOSE({1,2,3,4},XT!X286,XT!AB286,XT!AF286,XT!AJ286)))</f>
        <v>0</v>
      </c>
      <c r="AT286" t="str">
        <f>IFERROR(INDEX(CHOOSE({1,2,3,4}, DAY(XT!U286), DAY(XT!Y286), DAY(XT!AC286), DAY(XT!AG286)), MATCH(1, INDEX(--(MONTH(CHOOSE({1,2,3,4}, XT!U286,XT!Y286,XT!AC286,XT!AG286))=12), 0), 0)), "")</f>
        <v/>
      </c>
      <c r="AU286" s="51" t="str">
        <f>IF(XT!$P286&gt;0,AT286,"")</f>
        <v/>
      </c>
      <c r="AV286" s="51" t="str">
        <f>IF(XT!$P286=0,AT286,"")</f>
        <v/>
      </c>
    </row>
    <row r="287" spans="1:48">
      <c r="A287">
        <f>SUMPRODUCT((MONTH(CHOOSE({1,2,3,4},XT!U287,XT!Y287,XT!AC287,XT!AG287))=1)*(CHOOSE({1,2,3,4},XT!X287,XT!AB287,XT!AF287,XT!AJ287)))</f>
        <v>0</v>
      </c>
      <c r="B287">
        <f>IFERROR(INDEX(CHOOSE({1,2,3,4}, DAY(XT!U287), DAY(XT!Y287), DAY(XT!AC287), DAY(XT!AG287)), MATCH(1, INDEX(--(MONTH(CHOOSE({1,2,3,4}, XT!U287,XT!Y287,XT!AC287,XT!AG287))=1), 0), 0)), "")</f>
        <v>0</v>
      </c>
      <c r="C287" s="51" t="str">
        <f>IF(XT!$P287&gt;0,B287,"")</f>
        <v/>
      </c>
      <c r="D287" s="51">
        <f>IF(XT!$P287=0,B287,"")</f>
        <v>0</v>
      </c>
      <c r="E287">
        <f>SUMPRODUCT((MONTH(CHOOSE({1,2,3,4},XT!U287,XT!Y287,XT!AC287,XT!AG287))=2)*(CHOOSE({1,2,3,4},XT!X287,XT!AB287,XT!AF287,XT!AJ287)))</f>
        <v>0</v>
      </c>
      <c r="F287" t="str">
        <f>IFERROR(INDEX(CHOOSE({1,2,3,4}, DAY(XT!U287), DAY(XT!Y287), DAY(XT!AC287), DAY(XT!AG287)), MATCH(1, INDEX(--(MONTH(CHOOSE({1,2,3,4}, XT!U287,XT!Y287,XT!AC287,XT!AG287))=2), 0), 0)), "")</f>
        <v/>
      </c>
      <c r="G287" s="51" t="str">
        <f>IF(XT!$P287&gt;0,F287,"")</f>
        <v/>
      </c>
      <c r="H287" s="51" t="str">
        <f>IF(XT!$P287=0,F287,"")</f>
        <v/>
      </c>
      <c r="I287">
        <f>SUMPRODUCT((MONTH(CHOOSE({1,2,3,4},XT!U287,XT!Y287,XT!AC287,XT!AG287))=3)*(CHOOSE({1,2,3,4},XT!X287,XT!AB287,XT!AF287,XT!AJ287)))</f>
        <v>0</v>
      </c>
      <c r="J287" t="str">
        <f>IFERROR(INDEX(CHOOSE({1,2,3,4}, DAY(XT!U287), DAY(XT!Y287), DAY(XT!AC287), DAY(XT!AG287)), MATCH(1, INDEX(--(MONTH(CHOOSE({1,2,3,4}, XT!U287,XT!Y287,XT!AC287,XT!AG287))=3), 0), 0)), "")</f>
        <v/>
      </c>
      <c r="K287" s="51" t="str">
        <f>IF(XT!$P287&gt;0,J287,"")</f>
        <v/>
      </c>
      <c r="L287" s="51" t="str">
        <f>IF(XT!$P287=0,J287,"")</f>
        <v/>
      </c>
      <c r="M287">
        <f>SUMPRODUCT((MONTH(CHOOSE({1,2,3,4},XT!U287,XT!Y287,XT!AC287,XT!AG287))=4)*(CHOOSE({1,2,3,4},XT!X287,XT!AB287,XT!AF287,XT!AJ287)))</f>
        <v>0</v>
      </c>
      <c r="N287" t="str">
        <f>IFERROR(INDEX(CHOOSE({1,2,3,4}, DAY(XT!U287), DAY(XT!Y287), DAY(XT!AC287), DAY(XT!AG287)), MATCH(1, INDEX(--(MONTH(CHOOSE({1,2,3,4}, XT!U287,XT!Y287,XT!AC287,XT!AG287))=4), 0), 0)), "")</f>
        <v/>
      </c>
      <c r="O287" s="51" t="str">
        <f>IF(XT!$P287&gt;0,N287,"")</f>
        <v/>
      </c>
      <c r="P287" s="51" t="str">
        <f>IF(XT!$P287=0,N287,"")</f>
        <v/>
      </c>
      <c r="Q287">
        <f>SUMPRODUCT((MONTH(CHOOSE({1,2,3,4},XT!U287,XT!Y287,XT!AC287,XT!AG287))=5)*(CHOOSE({1,2,3,4},XT!X287,XT!AB287,XT!AF287,XT!AJ287)))</f>
        <v>0</v>
      </c>
      <c r="R287" t="str">
        <f>IFERROR(INDEX(CHOOSE({1,2,3,4}, DAY(XT!U287), DAY(XT!Y287), DAY(XT!AC287), DAY(XT!AG287)), MATCH(1, INDEX(--(MONTH(CHOOSE({1,2,3,4}, XT!U287,XT!Y287,XT!AC287,XT!AG287))=5), 0), 0)), "")</f>
        <v/>
      </c>
      <c r="S287" s="51" t="str">
        <f>IF(XT!$P287&gt;0,R287,"")</f>
        <v/>
      </c>
      <c r="T287" s="51" t="str">
        <f>IF(XT!$P287=0,R287,"")</f>
        <v/>
      </c>
      <c r="U287">
        <f>SUMPRODUCT((MONTH(CHOOSE({1,2,3,4},XT!U287,XT!Y287,XT!AC287,XT!AG287))=6)*(CHOOSE({1,2,3,4},XT!X287,XT!AB287,XT!AF287,XT!AJ287)))</f>
        <v>0</v>
      </c>
      <c r="V287" t="str">
        <f>IFERROR(INDEX(CHOOSE({1,2,3,4}, DAY(XT!U287), DAY(XT!Y287), DAY(XT!AC287), DAY(XT!AG287)), MATCH(1, INDEX(--(MONTH(CHOOSE({1,2,3,4}, XT!U287,XT!Y287,XT!AC287,XT!AG287))=6), 0), 0)), "")</f>
        <v/>
      </c>
      <c r="W287" s="51" t="str">
        <f>IF(XT!$P287&gt;0,V287,"")</f>
        <v/>
      </c>
      <c r="X287" s="51" t="str">
        <f>IF(XT!$P287=0,V287,"")</f>
        <v/>
      </c>
      <c r="Y287">
        <f>SUMPRODUCT((MONTH(CHOOSE({1,2,3,4},XT!U287,XT!Y287,XT!AC287,XT!AG287))=7)*(CHOOSE({1,2,3,4},XT!X287,XT!AB287,XT!AF287,XT!AJ287)))</f>
        <v>0</v>
      </c>
      <c r="Z287" t="str">
        <f>IFERROR(INDEX(CHOOSE({1,2,3,4}, DAY(XT!U287), DAY(XT!Y287), DAY(XT!AC287), DAY(XT!AG287)), MATCH(1, INDEX(--(MONTH(CHOOSE({1,2,3,4}, XT!U287,XT!Y287,XT!AC287,XT!AG287))=7), 0), 0)), "")</f>
        <v/>
      </c>
      <c r="AA287" s="51" t="str">
        <f>IF(XT!$P287&gt;0,Z287,"")</f>
        <v/>
      </c>
      <c r="AB287" s="51" t="str">
        <f>IF(XT!$P287=0,Z287,"")</f>
        <v/>
      </c>
      <c r="AC287">
        <f>SUMPRODUCT((MONTH(CHOOSE({1,2,3,4},XT!U287,XT!Y287,XT!AC287,XT!AG287))=8)*(CHOOSE({1,2,3,4},XT!X287,XT!AB287,XT!AF287,XT!AJ287)))</f>
        <v>0</v>
      </c>
      <c r="AD287" t="str">
        <f>IFERROR(INDEX(CHOOSE({1,2,3,4}, DAY(XT!U287), DAY(XT!Y287), DAY(XT!AC287), DAY(XT!AG287)), MATCH(1, INDEX(--(MONTH(CHOOSE({1,2,3,4}, XT!U287,XT!Y287,XT!AC287,XT!AG287))=8), 0), 0)), "")</f>
        <v/>
      </c>
      <c r="AE287" s="51" t="str">
        <f>IF(XT!$P287&gt;0,AD287,"")</f>
        <v/>
      </c>
      <c r="AF287" s="51" t="str">
        <f>IF(XT!$P287=0,AD287,"")</f>
        <v/>
      </c>
      <c r="AG287">
        <f>SUMPRODUCT((MONTH(CHOOSE({1,2,3,4},XT!U287,XT!Y287,XT!AC287,XT!AG287))=9)*(CHOOSE({1,2,3,4},XT!X287,XT!AB287,XT!AF287,XT!AJ287)))</f>
        <v>0</v>
      </c>
      <c r="AH287" t="str">
        <f>IFERROR(INDEX(CHOOSE({1,2,3,4}, DAY(XT!U287), DAY(XT!Y287), DAY(XT!AC287), DAY(XT!AG287)), MATCH(1, INDEX(--(MONTH(CHOOSE({1,2,3,4}, XT!U287,XT!Y287,XT!AC287,XT!AG287))=9), 0), 0)), "")</f>
        <v/>
      </c>
      <c r="AI287" s="51" t="str">
        <f>IF(XT!$P287&gt;0,AH287,"")</f>
        <v/>
      </c>
      <c r="AJ287" s="51" t="str">
        <f>IF(XT!$P287=0,AH287,"")</f>
        <v/>
      </c>
      <c r="AK287">
        <f>SUMPRODUCT((MONTH(CHOOSE({1,2,3,4},XT!U287,XT!Y287,XT!AC287,XT!AG287))=10)*(CHOOSE({1,2,3,4},XT!X287,XT!AB287,XT!AF287,XT!AJ287)))</f>
        <v>0</v>
      </c>
      <c r="AL287" t="str">
        <f>IFERROR(INDEX(CHOOSE({1,2,3,4}, DAY(XT!U287), DAY(XT!Y287), DAY(XT!AC287), DAY(XT!AG287)), MATCH(1, INDEX(--(MONTH(CHOOSE({1,2,3,4}, XT!U287,XT!Y287,XT!AC287,XT!AG287))=10), 0), 0)), "")</f>
        <v/>
      </c>
      <c r="AM287" s="51" t="str">
        <f>IF(XT!$P287&gt;0,AL287,"")</f>
        <v/>
      </c>
      <c r="AN287" s="51" t="str">
        <f>IF(XT!$P287=0,AL287,"")</f>
        <v/>
      </c>
      <c r="AO287">
        <f>SUMPRODUCT((MONTH(CHOOSE({1,2,3,4},XT!U287,XT!Y287,XT!AC287,XT!AG287))=11)*(CHOOSE({1,2,3,4},XT!X287,XT!AB287,XT!AF287,XT!AJ287)))</f>
        <v>0</v>
      </c>
      <c r="AP287" t="str">
        <f>IFERROR(INDEX(CHOOSE({1,2,3,4}, DAY(XT!U287), DAY(XT!Y287), DAY(XT!AC287), DAY(XT!AG287)), MATCH(1, INDEX(--(MONTH(CHOOSE({1,2,3,4}, XT!U287,XT!Y287,XT!AC287,XT!AG287))=11), 0), 0)), "")</f>
        <v/>
      </c>
      <c r="AQ287" s="51" t="str">
        <f>IF(XT!$P287&gt;0,AP287,"")</f>
        <v/>
      </c>
      <c r="AR287" s="51" t="str">
        <f>IF(XT!$P287=0,AP287,"")</f>
        <v/>
      </c>
      <c r="AS287">
        <f>SUMPRODUCT((MONTH(CHOOSE({1,2,3,4},XT!U287,XT!Y287,XT!AC287,XT!AG287))=12)*(CHOOSE({1,2,3,4},XT!X287,XT!AB287,XT!AF287,XT!AJ287)))</f>
        <v>0</v>
      </c>
      <c r="AT287" t="str">
        <f>IFERROR(INDEX(CHOOSE({1,2,3,4}, DAY(XT!U287), DAY(XT!Y287), DAY(XT!AC287), DAY(XT!AG287)), MATCH(1, INDEX(--(MONTH(CHOOSE({1,2,3,4}, XT!U287,XT!Y287,XT!AC287,XT!AG287))=12), 0), 0)), "")</f>
        <v/>
      </c>
      <c r="AU287" s="51" t="str">
        <f>IF(XT!$P287&gt;0,AT287,"")</f>
        <v/>
      </c>
      <c r="AV287" s="51" t="str">
        <f>IF(XT!$P287=0,AT287,"")</f>
        <v/>
      </c>
    </row>
    <row r="288" spans="1:48">
      <c r="A288">
        <f>SUMPRODUCT((MONTH(CHOOSE({1,2,3,4},XT!U288,XT!Y288,XT!AC288,XT!AG288))=1)*(CHOOSE({1,2,3,4},XT!X288,XT!AB288,XT!AF288,XT!AJ288)))</f>
        <v>0</v>
      </c>
      <c r="B288">
        <f>IFERROR(INDEX(CHOOSE({1,2,3,4}, DAY(XT!U288), DAY(XT!Y288), DAY(XT!AC288), DAY(XT!AG288)), MATCH(1, INDEX(--(MONTH(CHOOSE({1,2,3,4}, XT!U288,XT!Y288,XT!AC288,XT!AG288))=1), 0), 0)), "")</f>
        <v>0</v>
      </c>
      <c r="C288" s="51" t="str">
        <f>IF(XT!$P288&gt;0,B288,"")</f>
        <v/>
      </c>
      <c r="D288" s="51">
        <f>IF(XT!$P288=0,B288,"")</f>
        <v>0</v>
      </c>
      <c r="E288">
        <f>SUMPRODUCT((MONTH(CHOOSE({1,2,3,4},XT!U288,XT!Y288,XT!AC288,XT!AG288))=2)*(CHOOSE({1,2,3,4},XT!X288,XT!AB288,XT!AF288,XT!AJ288)))</f>
        <v>0</v>
      </c>
      <c r="F288" t="str">
        <f>IFERROR(INDEX(CHOOSE({1,2,3,4}, DAY(XT!U288), DAY(XT!Y288), DAY(XT!AC288), DAY(XT!AG288)), MATCH(1, INDEX(--(MONTH(CHOOSE({1,2,3,4}, XT!U288,XT!Y288,XT!AC288,XT!AG288))=2), 0), 0)), "")</f>
        <v/>
      </c>
      <c r="G288" s="51" t="str">
        <f>IF(XT!$P288&gt;0,F288,"")</f>
        <v/>
      </c>
      <c r="H288" s="51" t="str">
        <f>IF(XT!$P288=0,F288,"")</f>
        <v/>
      </c>
      <c r="I288">
        <f>SUMPRODUCT((MONTH(CHOOSE({1,2,3,4},XT!U288,XT!Y288,XT!AC288,XT!AG288))=3)*(CHOOSE({1,2,3,4},XT!X288,XT!AB288,XT!AF288,XT!AJ288)))</f>
        <v>0</v>
      </c>
      <c r="J288" t="str">
        <f>IFERROR(INDEX(CHOOSE({1,2,3,4}, DAY(XT!U288), DAY(XT!Y288), DAY(XT!AC288), DAY(XT!AG288)), MATCH(1, INDEX(--(MONTH(CHOOSE({1,2,3,4}, XT!U288,XT!Y288,XT!AC288,XT!AG288))=3), 0), 0)), "")</f>
        <v/>
      </c>
      <c r="K288" s="51" t="str">
        <f>IF(XT!$P288&gt;0,J288,"")</f>
        <v/>
      </c>
      <c r="L288" s="51" t="str">
        <f>IF(XT!$P288=0,J288,"")</f>
        <v/>
      </c>
      <c r="M288">
        <f>SUMPRODUCT((MONTH(CHOOSE({1,2,3,4},XT!U288,XT!Y288,XT!AC288,XT!AG288))=4)*(CHOOSE({1,2,3,4},XT!X288,XT!AB288,XT!AF288,XT!AJ288)))</f>
        <v>0</v>
      </c>
      <c r="N288" t="str">
        <f>IFERROR(INDEX(CHOOSE({1,2,3,4}, DAY(XT!U288), DAY(XT!Y288), DAY(XT!AC288), DAY(XT!AG288)), MATCH(1, INDEX(--(MONTH(CHOOSE({1,2,3,4}, XT!U288,XT!Y288,XT!AC288,XT!AG288))=4), 0), 0)), "")</f>
        <v/>
      </c>
      <c r="O288" s="51" t="str">
        <f>IF(XT!$P288&gt;0,N288,"")</f>
        <v/>
      </c>
      <c r="P288" s="51" t="str">
        <f>IF(XT!$P288=0,N288,"")</f>
        <v/>
      </c>
      <c r="Q288">
        <f>SUMPRODUCT((MONTH(CHOOSE({1,2,3,4},XT!U288,XT!Y288,XT!AC288,XT!AG288))=5)*(CHOOSE({1,2,3,4},XT!X288,XT!AB288,XT!AF288,XT!AJ288)))</f>
        <v>0</v>
      </c>
      <c r="R288" t="str">
        <f>IFERROR(INDEX(CHOOSE({1,2,3,4}, DAY(XT!U288), DAY(XT!Y288), DAY(XT!AC288), DAY(XT!AG288)), MATCH(1, INDEX(--(MONTH(CHOOSE({1,2,3,4}, XT!U288,XT!Y288,XT!AC288,XT!AG288))=5), 0), 0)), "")</f>
        <v/>
      </c>
      <c r="S288" s="51" t="str">
        <f>IF(XT!$P288&gt;0,R288,"")</f>
        <v/>
      </c>
      <c r="T288" s="51" t="str">
        <f>IF(XT!$P288=0,R288,"")</f>
        <v/>
      </c>
      <c r="U288">
        <f>SUMPRODUCT((MONTH(CHOOSE({1,2,3,4},XT!U288,XT!Y288,XT!AC288,XT!AG288))=6)*(CHOOSE({1,2,3,4},XT!X288,XT!AB288,XT!AF288,XT!AJ288)))</f>
        <v>0</v>
      </c>
      <c r="V288" t="str">
        <f>IFERROR(INDEX(CHOOSE({1,2,3,4}, DAY(XT!U288), DAY(XT!Y288), DAY(XT!AC288), DAY(XT!AG288)), MATCH(1, INDEX(--(MONTH(CHOOSE({1,2,3,4}, XT!U288,XT!Y288,XT!AC288,XT!AG288))=6), 0), 0)), "")</f>
        <v/>
      </c>
      <c r="W288" s="51" t="str">
        <f>IF(XT!$P288&gt;0,V288,"")</f>
        <v/>
      </c>
      <c r="X288" s="51" t="str">
        <f>IF(XT!$P288=0,V288,"")</f>
        <v/>
      </c>
      <c r="Y288">
        <f>SUMPRODUCT((MONTH(CHOOSE({1,2,3,4},XT!U288,XT!Y288,XT!AC288,XT!AG288))=7)*(CHOOSE({1,2,3,4},XT!X288,XT!AB288,XT!AF288,XT!AJ288)))</f>
        <v>0</v>
      </c>
      <c r="Z288" t="str">
        <f>IFERROR(INDEX(CHOOSE({1,2,3,4}, DAY(XT!U288), DAY(XT!Y288), DAY(XT!AC288), DAY(XT!AG288)), MATCH(1, INDEX(--(MONTH(CHOOSE({1,2,3,4}, XT!U288,XT!Y288,XT!AC288,XT!AG288))=7), 0), 0)), "")</f>
        <v/>
      </c>
      <c r="AA288" s="51" t="str">
        <f>IF(XT!$P288&gt;0,Z288,"")</f>
        <v/>
      </c>
      <c r="AB288" s="51" t="str">
        <f>IF(XT!$P288=0,Z288,"")</f>
        <v/>
      </c>
      <c r="AC288">
        <f>SUMPRODUCT((MONTH(CHOOSE({1,2,3,4},XT!U288,XT!Y288,XT!AC288,XT!AG288))=8)*(CHOOSE({1,2,3,4},XT!X288,XT!AB288,XT!AF288,XT!AJ288)))</f>
        <v>0</v>
      </c>
      <c r="AD288" t="str">
        <f>IFERROR(INDEX(CHOOSE({1,2,3,4}, DAY(XT!U288), DAY(XT!Y288), DAY(XT!AC288), DAY(XT!AG288)), MATCH(1, INDEX(--(MONTH(CHOOSE({1,2,3,4}, XT!U288,XT!Y288,XT!AC288,XT!AG288))=8), 0), 0)), "")</f>
        <v/>
      </c>
      <c r="AE288" s="51" t="str">
        <f>IF(XT!$P288&gt;0,AD288,"")</f>
        <v/>
      </c>
      <c r="AF288" s="51" t="str">
        <f>IF(XT!$P288=0,AD288,"")</f>
        <v/>
      </c>
      <c r="AG288">
        <f>SUMPRODUCT((MONTH(CHOOSE({1,2,3,4},XT!U288,XT!Y288,XT!AC288,XT!AG288))=9)*(CHOOSE({1,2,3,4},XT!X288,XT!AB288,XT!AF288,XT!AJ288)))</f>
        <v>0</v>
      </c>
      <c r="AH288" t="str">
        <f>IFERROR(INDEX(CHOOSE({1,2,3,4}, DAY(XT!U288), DAY(XT!Y288), DAY(XT!AC288), DAY(XT!AG288)), MATCH(1, INDEX(--(MONTH(CHOOSE({1,2,3,4}, XT!U288,XT!Y288,XT!AC288,XT!AG288))=9), 0), 0)), "")</f>
        <v/>
      </c>
      <c r="AI288" s="51" t="str">
        <f>IF(XT!$P288&gt;0,AH288,"")</f>
        <v/>
      </c>
      <c r="AJ288" s="51" t="str">
        <f>IF(XT!$P288=0,AH288,"")</f>
        <v/>
      </c>
      <c r="AK288">
        <f>SUMPRODUCT((MONTH(CHOOSE({1,2,3,4},XT!U288,XT!Y288,XT!AC288,XT!AG288))=10)*(CHOOSE({1,2,3,4},XT!X288,XT!AB288,XT!AF288,XT!AJ288)))</f>
        <v>0</v>
      </c>
      <c r="AL288" t="str">
        <f>IFERROR(INDEX(CHOOSE({1,2,3,4}, DAY(XT!U288), DAY(XT!Y288), DAY(XT!AC288), DAY(XT!AG288)), MATCH(1, INDEX(--(MONTH(CHOOSE({1,2,3,4}, XT!U288,XT!Y288,XT!AC288,XT!AG288))=10), 0), 0)), "")</f>
        <v/>
      </c>
      <c r="AM288" s="51" t="str">
        <f>IF(XT!$P288&gt;0,AL288,"")</f>
        <v/>
      </c>
      <c r="AN288" s="51" t="str">
        <f>IF(XT!$P288=0,AL288,"")</f>
        <v/>
      </c>
      <c r="AO288">
        <f>SUMPRODUCT((MONTH(CHOOSE({1,2,3,4},XT!U288,XT!Y288,XT!AC288,XT!AG288))=11)*(CHOOSE({1,2,3,4},XT!X288,XT!AB288,XT!AF288,XT!AJ288)))</f>
        <v>0</v>
      </c>
      <c r="AP288" t="str">
        <f>IFERROR(INDEX(CHOOSE({1,2,3,4}, DAY(XT!U288), DAY(XT!Y288), DAY(XT!AC288), DAY(XT!AG288)), MATCH(1, INDEX(--(MONTH(CHOOSE({1,2,3,4}, XT!U288,XT!Y288,XT!AC288,XT!AG288))=11), 0), 0)), "")</f>
        <v/>
      </c>
      <c r="AQ288" s="51" t="str">
        <f>IF(XT!$P288&gt;0,AP288,"")</f>
        <v/>
      </c>
      <c r="AR288" s="51" t="str">
        <f>IF(XT!$P288=0,AP288,"")</f>
        <v/>
      </c>
      <c r="AS288">
        <f>SUMPRODUCT((MONTH(CHOOSE({1,2,3,4},XT!U288,XT!Y288,XT!AC288,XT!AG288))=12)*(CHOOSE({1,2,3,4},XT!X288,XT!AB288,XT!AF288,XT!AJ288)))</f>
        <v>0</v>
      </c>
      <c r="AT288" t="str">
        <f>IFERROR(INDEX(CHOOSE({1,2,3,4}, DAY(XT!U288), DAY(XT!Y288), DAY(XT!AC288), DAY(XT!AG288)), MATCH(1, INDEX(--(MONTH(CHOOSE({1,2,3,4}, XT!U288,XT!Y288,XT!AC288,XT!AG288))=12), 0), 0)), "")</f>
        <v/>
      </c>
      <c r="AU288" s="51" t="str">
        <f>IF(XT!$P288&gt;0,AT288,"")</f>
        <v/>
      </c>
      <c r="AV288" s="51" t="str">
        <f>IF(XT!$P288=0,AT288,"")</f>
        <v/>
      </c>
    </row>
    <row r="289" spans="1:48">
      <c r="A289">
        <f>SUMPRODUCT((MONTH(CHOOSE({1,2,3,4},XT!U289,XT!Y289,XT!AC289,XT!AG289))=1)*(CHOOSE({1,2,3,4},XT!X289,XT!AB289,XT!AF289,XT!AJ289)))</f>
        <v>0</v>
      </c>
      <c r="B289">
        <f>IFERROR(INDEX(CHOOSE({1,2,3,4}, DAY(XT!U289), DAY(XT!Y289), DAY(XT!AC289), DAY(XT!AG289)), MATCH(1, INDEX(--(MONTH(CHOOSE({1,2,3,4}, XT!U289,XT!Y289,XT!AC289,XT!AG289))=1), 0), 0)), "")</f>
        <v>0</v>
      </c>
      <c r="C289" s="51" t="str">
        <f>IF(XT!$P289&gt;0,B289,"")</f>
        <v/>
      </c>
      <c r="D289" s="51">
        <f>IF(XT!$P289=0,B289,"")</f>
        <v>0</v>
      </c>
      <c r="E289">
        <f>SUMPRODUCT((MONTH(CHOOSE({1,2,3,4},XT!U289,XT!Y289,XT!AC289,XT!AG289))=2)*(CHOOSE({1,2,3,4},XT!X289,XT!AB289,XT!AF289,XT!AJ289)))</f>
        <v>0</v>
      </c>
      <c r="F289" t="str">
        <f>IFERROR(INDEX(CHOOSE({1,2,3,4}, DAY(XT!U289), DAY(XT!Y289), DAY(XT!AC289), DAY(XT!AG289)), MATCH(1, INDEX(--(MONTH(CHOOSE({1,2,3,4}, XT!U289,XT!Y289,XT!AC289,XT!AG289))=2), 0), 0)), "")</f>
        <v/>
      </c>
      <c r="G289" s="51" t="str">
        <f>IF(XT!$P289&gt;0,F289,"")</f>
        <v/>
      </c>
      <c r="H289" s="51" t="str">
        <f>IF(XT!$P289=0,F289,"")</f>
        <v/>
      </c>
      <c r="I289">
        <f>SUMPRODUCT((MONTH(CHOOSE({1,2,3,4},XT!U289,XT!Y289,XT!AC289,XT!AG289))=3)*(CHOOSE({1,2,3,4},XT!X289,XT!AB289,XT!AF289,XT!AJ289)))</f>
        <v>0</v>
      </c>
      <c r="J289" t="str">
        <f>IFERROR(INDEX(CHOOSE({1,2,3,4}, DAY(XT!U289), DAY(XT!Y289), DAY(XT!AC289), DAY(XT!AG289)), MATCH(1, INDEX(--(MONTH(CHOOSE({1,2,3,4}, XT!U289,XT!Y289,XT!AC289,XT!AG289))=3), 0), 0)), "")</f>
        <v/>
      </c>
      <c r="K289" s="51" t="str">
        <f>IF(XT!$P289&gt;0,J289,"")</f>
        <v/>
      </c>
      <c r="L289" s="51" t="str">
        <f>IF(XT!$P289=0,J289,"")</f>
        <v/>
      </c>
      <c r="M289">
        <f>SUMPRODUCT((MONTH(CHOOSE({1,2,3,4},XT!U289,XT!Y289,XT!AC289,XT!AG289))=4)*(CHOOSE({1,2,3,4},XT!X289,XT!AB289,XT!AF289,XT!AJ289)))</f>
        <v>0</v>
      </c>
      <c r="N289" t="str">
        <f>IFERROR(INDEX(CHOOSE({1,2,3,4}, DAY(XT!U289), DAY(XT!Y289), DAY(XT!AC289), DAY(XT!AG289)), MATCH(1, INDEX(--(MONTH(CHOOSE({1,2,3,4}, XT!U289,XT!Y289,XT!AC289,XT!AG289))=4), 0), 0)), "")</f>
        <v/>
      </c>
      <c r="O289" s="51" t="str">
        <f>IF(XT!$P289&gt;0,N289,"")</f>
        <v/>
      </c>
      <c r="P289" s="51" t="str">
        <f>IF(XT!$P289=0,N289,"")</f>
        <v/>
      </c>
      <c r="Q289">
        <f>SUMPRODUCT((MONTH(CHOOSE({1,2,3,4},XT!U289,XT!Y289,XT!AC289,XT!AG289))=5)*(CHOOSE({1,2,3,4},XT!X289,XT!AB289,XT!AF289,XT!AJ289)))</f>
        <v>0</v>
      </c>
      <c r="R289" t="str">
        <f>IFERROR(INDEX(CHOOSE({1,2,3,4}, DAY(XT!U289), DAY(XT!Y289), DAY(XT!AC289), DAY(XT!AG289)), MATCH(1, INDEX(--(MONTH(CHOOSE({1,2,3,4}, XT!U289,XT!Y289,XT!AC289,XT!AG289))=5), 0), 0)), "")</f>
        <v/>
      </c>
      <c r="S289" s="51" t="str">
        <f>IF(XT!$P289&gt;0,R289,"")</f>
        <v/>
      </c>
      <c r="T289" s="51" t="str">
        <f>IF(XT!$P289=0,R289,"")</f>
        <v/>
      </c>
      <c r="U289">
        <f>SUMPRODUCT((MONTH(CHOOSE({1,2,3,4},XT!U289,XT!Y289,XT!AC289,XT!AG289))=6)*(CHOOSE({1,2,3,4},XT!X289,XT!AB289,XT!AF289,XT!AJ289)))</f>
        <v>0</v>
      </c>
      <c r="V289" t="str">
        <f>IFERROR(INDEX(CHOOSE({1,2,3,4}, DAY(XT!U289), DAY(XT!Y289), DAY(XT!AC289), DAY(XT!AG289)), MATCH(1, INDEX(--(MONTH(CHOOSE({1,2,3,4}, XT!U289,XT!Y289,XT!AC289,XT!AG289))=6), 0), 0)), "")</f>
        <v/>
      </c>
      <c r="W289" s="51" t="str">
        <f>IF(XT!$P289&gt;0,V289,"")</f>
        <v/>
      </c>
      <c r="X289" s="51" t="str">
        <f>IF(XT!$P289=0,V289,"")</f>
        <v/>
      </c>
      <c r="Y289">
        <f>SUMPRODUCT((MONTH(CHOOSE({1,2,3,4},XT!U289,XT!Y289,XT!AC289,XT!AG289))=7)*(CHOOSE({1,2,3,4},XT!X289,XT!AB289,XT!AF289,XT!AJ289)))</f>
        <v>0</v>
      </c>
      <c r="Z289" t="str">
        <f>IFERROR(INDEX(CHOOSE({1,2,3,4}, DAY(XT!U289), DAY(XT!Y289), DAY(XT!AC289), DAY(XT!AG289)), MATCH(1, INDEX(--(MONTH(CHOOSE({1,2,3,4}, XT!U289,XT!Y289,XT!AC289,XT!AG289))=7), 0), 0)), "")</f>
        <v/>
      </c>
      <c r="AA289" s="51" t="str">
        <f>IF(XT!$P289&gt;0,Z289,"")</f>
        <v/>
      </c>
      <c r="AB289" s="51" t="str">
        <f>IF(XT!$P289=0,Z289,"")</f>
        <v/>
      </c>
      <c r="AC289">
        <f>SUMPRODUCT((MONTH(CHOOSE({1,2,3,4},XT!U289,XT!Y289,XT!AC289,XT!AG289))=8)*(CHOOSE({1,2,3,4},XT!X289,XT!AB289,XT!AF289,XT!AJ289)))</f>
        <v>0</v>
      </c>
      <c r="AD289" t="str">
        <f>IFERROR(INDEX(CHOOSE({1,2,3,4}, DAY(XT!U289), DAY(XT!Y289), DAY(XT!AC289), DAY(XT!AG289)), MATCH(1, INDEX(--(MONTH(CHOOSE({1,2,3,4}, XT!U289,XT!Y289,XT!AC289,XT!AG289))=8), 0), 0)), "")</f>
        <v/>
      </c>
      <c r="AE289" s="51" t="str">
        <f>IF(XT!$P289&gt;0,AD289,"")</f>
        <v/>
      </c>
      <c r="AF289" s="51" t="str">
        <f>IF(XT!$P289=0,AD289,"")</f>
        <v/>
      </c>
      <c r="AG289">
        <f>SUMPRODUCT((MONTH(CHOOSE({1,2,3,4},XT!U289,XT!Y289,XT!AC289,XT!AG289))=9)*(CHOOSE({1,2,3,4},XT!X289,XT!AB289,XT!AF289,XT!AJ289)))</f>
        <v>0</v>
      </c>
      <c r="AH289" t="str">
        <f>IFERROR(INDEX(CHOOSE({1,2,3,4}, DAY(XT!U289), DAY(XT!Y289), DAY(XT!AC289), DAY(XT!AG289)), MATCH(1, INDEX(--(MONTH(CHOOSE({1,2,3,4}, XT!U289,XT!Y289,XT!AC289,XT!AG289))=9), 0), 0)), "")</f>
        <v/>
      </c>
      <c r="AI289" s="51" t="str">
        <f>IF(XT!$P289&gt;0,AH289,"")</f>
        <v/>
      </c>
      <c r="AJ289" s="51" t="str">
        <f>IF(XT!$P289=0,AH289,"")</f>
        <v/>
      </c>
      <c r="AK289">
        <f>SUMPRODUCT((MONTH(CHOOSE({1,2,3,4},XT!U289,XT!Y289,XT!AC289,XT!AG289))=10)*(CHOOSE({1,2,3,4},XT!X289,XT!AB289,XT!AF289,XT!AJ289)))</f>
        <v>0</v>
      </c>
      <c r="AL289" t="str">
        <f>IFERROR(INDEX(CHOOSE({1,2,3,4}, DAY(XT!U289), DAY(XT!Y289), DAY(XT!AC289), DAY(XT!AG289)), MATCH(1, INDEX(--(MONTH(CHOOSE({1,2,3,4}, XT!U289,XT!Y289,XT!AC289,XT!AG289))=10), 0), 0)), "")</f>
        <v/>
      </c>
      <c r="AM289" s="51" t="str">
        <f>IF(XT!$P289&gt;0,AL289,"")</f>
        <v/>
      </c>
      <c r="AN289" s="51" t="str">
        <f>IF(XT!$P289=0,AL289,"")</f>
        <v/>
      </c>
      <c r="AO289">
        <f>SUMPRODUCT((MONTH(CHOOSE({1,2,3,4},XT!U289,XT!Y289,XT!AC289,XT!AG289))=11)*(CHOOSE({1,2,3,4},XT!X289,XT!AB289,XT!AF289,XT!AJ289)))</f>
        <v>0</v>
      </c>
      <c r="AP289" t="str">
        <f>IFERROR(INDEX(CHOOSE({1,2,3,4}, DAY(XT!U289), DAY(XT!Y289), DAY(XT!AC289), DAY(XT!AG289)), MATCH(1, INDEX(--(MONTH(CHOOSE({1,2,3,4}, XT!U289,XT!Y289,XT!AC289,XT!AG289))=11), 0), 0)), "")</f>
        <v/>
      </c>
      <c r="AQ289" s="51" t="str">
        <f>IF(XT!$P289&gt;0,AP289,"")</f>
        <v/>
      </c>
      <c r="AR289" s="51" t="str">
        <f>IF(XT!$P289=0,AP289,"")</f>
        <v/>
      </c>
      <c r="AS289">
        <f>SUMPRODUCT((MONTH(CHOOSE({1,2,3,4},XT!U289,XT!Y289,XT!AC289,XT!AG289))=12)*(CHOOSE({1,2,3,4},XT!X289,XT!AB289,XT!AF289,XT!AJ289)))</f>
        <v>0</v>
      </c>
      <c r="AT289" t="str">
        <f>IFERROR(INDEX(CHOOSE({1,2,3,4}, DAY(XT!U289), DAY(XT!Y289), DAY(XT!AC289), DAY(XT!AG289)), MATCH(1, INDEX(--(MONTH(CHOOSE({1,2,3,4}, XT!U289,XT!Y289,XT!AC289,XT!AG289))=12), 0), 0)), "")</f>
        <v/>
      </c>
      <c r="AU289" s="51" t="str">
        <f>IF(XT!$P289&gt;0,AT289,"")</f>
        <v/>
      </c>
      <c r="AV289" s="51" t="str">
        <f>IF(XT!$P289=0,AT289,"")</f>
        <v/>
      </c>
    </row>
    <row r="290" spans="1:48">
      <c r="A290">
        <f>SUMPRODUCT((MONTH(CHOOSE({1,2,3,4},XT!U290,XT!Y290,XT!AC290,XT!AG290))=1)*(CHOOSE({1,2,3,4},XT!X290,XT!AB290,XT!AF290,XT!AJ290)))</f>
        <v>0</v>
      </c>
      <c r="B290">
        <f>IFERROR(INDEX(CHOOSE({1,2,3,4}, DAY(XT!U290), DAY(XT!Y290), DAY(XT!AC290), DAY(XT!AG290)), MATCH(1, INDEX(--(MONTH(CHOOSE({1,2,3,4}, XT!U290,XT!Y290,XT!AC290,XT!AG290))=1), 0), 0)), "")</f>
        <v>0</v>
      </c>
      <c r="C290" s="51" t="str">
        <f>IF(XT!$P290&gt;0,B290,"")</f>
        <v/>
      </c>
      <c r="D290" s="51">
        <f>IF(XT!$P290=0,B290,"")</f>
        <v>0</v>
      </c>
      <c r="E290">
        <f>SUMPRODUCT((MONTH(CHOOSE({1,2,3,4},XT!U290,XT!Y290,XT!AC290,XT!AG290))=2)*(CHOOSE({1,2,3,4},XT!X290,XT!AB290,XT!AF290,XT!AJ290)))</f>
        <v>0</v>
      </c>
      <c r="F290" t="str">
        <f>IFERROR(INDEX(CHOOSE({1,2,3,4}, DAY(XT!U290), DAY(XT!Y290), DAY(XT!AC290), DAY(XT!AG290)), MATCH(1, INDEX(--(MONTH(CHOOSE({1,2,3,4}, XT!U290,XT!Y290,XT!AC290,XT!AG290))=2), 0), 0)), "")</f>
        <v/>
      </c>
      <c r="G290" s="51" t="str">
        <f>IF(XT!$P290&gt;0,F290,"")</f>
        <v/>
      </c>
      <c r="H290" s="51" t="str">
        <f>IF(XT!$P290=0,F290,"")</f>
        <v/>
      </c>
      <c r="I290">
        <f>SUMPRODUCT((MONTH(CHOOSE({1,2,3,4},XT!U290,XT!Y290,XT!AC290,XT!AG290))=3)*(CHOOSE({1,2,3,4},XT!X290,XT!AB290,XT!AF290,XT!AJ290)))</f>
        <v>0</v>
      </c>
      <c r="J290" t="str">
        <f>IFERROR(INDEX(CHOOSE({1,2,3,4}, DAY(XT!U290), DAY(XT!Y290), DAY(XT!AC290), DAY(XT!AG290)), MATCH(1, INDEX(--(MONTH(CHOOSE({1,2,3,4}, XT!U290,XT!Y290,XT!AC290,XT!AG290))=3), 0), 0)), "")</f>
        <v/>
      </c>
      <c r="K290" s="51" t="str">
        <f>IF(XT!$P290&gt;0,J290,"")</f>
        <v/>
      </c>
      <c r="L290" s="51" t="str">
        <f>IF(XT!$P290=0,J290,"")</f>
        <v/>
      </c>
      <c r="M290">
        <f>SUMPRODUCT((MONTH(CHOOSE({1,2,3,4},XT!U290,XT!Y290,XT!AC290,XT!AG290))=4)*(CHOOSE({1,2,3,4},XT!X290,XT!AB290,XT!AF290,XT!AJ290)))</f>
        <v>0</v>
      </c>
      <c r="N290" t="str">
        <f>IFERROR(INDEX(CHOOSE({1,2,3,4}, DAY(XT!U290), DAY(XT!Y290), DAY(XT!AC290), DAY(XT!AG290)), MATCH(1, INDEX(--(MONTH(CHOOSE({1,2,3,4}, XT!U290,XT!Y290,XT!AC290,XT!AG290))=4), 0), 0)), "")</f>
        <v/>
      </c>
      <c r="O290" s="51" t="str">
        <f>IF(XT!$P290&gt;0,N290,"")</f>
        <v/>
      </c>
      <c r="P290" s="51" t="str">
        <f>IF(XT!$P290=0,N290,"")</f>
        <v/>
      </c>
      <c r="Q290">
        <f>SUMPRODUCT((MONTH(CHOOSE({1,2,3,4},XT!U290,XT!Y290,XT!AC290,XT!AG290))=5)*(CHOOSE({1,2,3,4},XT!X290,XT!AB290,XT!AF290,XT!AJ290)))</f>
        <v>0</v>
      </c>
      <c r="R290" t="str">
        <f>IFERROR(INDEX(CHOOSE({1,2,3,4}, DAY(XT!U290), DAY(XT!Y290), DAY(XT!AC290), DAY(XT!AG290)), MATCH(1, INDEX(--(MONTH(CHOOSE({1,2,3,4}, XT!U290,XT!Y290,XT!AC290,XT!AG290))=5), 0), 0)), "")</f>
        <v/>
      </c>
      <c r="S290" s="51" t="str">
        <f>IF(XT!$P290&gt;0,R290,"")</f>
        <v/>
      </c>
      <c r="T290" s="51" t="str">
        <f>IF(XT!$P290=0,R290,"")</f>
        <v/>
      </c>
      <c r="U290">
        <f>SUMPRODUCT((MONTH(CHOOSE({1,2,3,4},XT!U290,XT!Y290,XT!AC290,XT!AG290))=6)*(CHOOSE({1,2,3,4},XT!X290,XT!AB290,XT!AF290,XT!AJ290)))</f>
        <v>0</v>
      </c>
      <c r="V290" t="str">
        <f>IFERROR(INDEX(CHOOSE({1,2,3,4}, DAY(XT!U290), DAY(XT!Y290), DAY(XT!AC290), DAY(XT!AG290)), MATCH(1, INDEX(--(MONTH(CHOOSE({1,2,3,4}, XT!U290,XT!Y290,XT!AC290,XT!AG290))=6), 0), 0)), "")</f>
        <v/>
      </c>
      <c r="W290" s="51" t="str">
        <f>IF(XT!$P290&gt;0,V290,"")</f>
        <v/>
      </c>
      <c r="X290" s="51" t="str">
        <f>IF(XT!$P290=0,V290,"")</f>
        <v/>
      </c>
      <c r="Y290">
        <f>SUMPRODUCT((MONTH(CHOOSE({1,2,3,4},XT!U290,XT!Y290,XT!AC290,XT!AG290))=7)*(CHOOSE({1,2,3,4},XT!X290,XT!AB290,XT!AF290,XT!AJ290)))</f>
        <v>0</v>
      </c>
      <c r="Z290" t="str">
        <f>IFERROR(INDEX(CHOOSE({1,2,3,4}, DAY(XT!U290), DAY(XT!Y290), DAY(XT!AC290), DAY(XT!AG290)), MATCH(1, INDEX(--(MONTH(CHOOSE({1,2,3,4}, XT!U290,XT!Y290,XT!AC290,XT!AG290))=7), 0), 0)), "")</f>
        <v/>
      </c>
      <c r="AA290" s="51" t="str">
        <f>IF(XT!$P290&gt;0,Z290,"")</f>
        <v/>
      </c>
      <c r="AB290" s="51" t="str">
        <f>IF(XT!$P290=0,Z290,"")</f>
        <v/>
      </c>
      <c r="AC290">
        <f>SUMPRODUCT((MONTH(CHOOSE({1,2,3,4},XT!U290,XT!Y290,XT!AC290,XT!AG290))=8)*(CHOOSE({1,2,3,4},XT!X290,XT!AB290,XT!AF290,XT!AJ290)))</f>
        <v>0</v>
      </c>
      <c r="AD290" t="str">
        <f>IFERROR(INDEX(CHOOSE({1,2,3,4}, DAY(XT!U290), DAY(XT!Y290), DAY(XT!AC290), DAY(XT!AG290)), MATCH(1, INDEX(--(MONTH(CHOOSE({1,2,3,4}, XT!U290,XT!Y290,XT!AC290,XT!AG290))=8), 0), 0)), "")</f>
        <v/>
      </c>
      <c r="AE290" s="51" t="str">
        <f>IF(XT!$P290&gt;0,AD290,"")</f>
        <v/>
      </c>
      <c r="AF290" s="51" t="str">
        <f>IF(XT!$P290=0,AD290,"")</f>
        <v/>
      </c>
      <c r="AG290">
        <f>SUMPRODUCT((MONTH(CHOOSE({1,2,3,4},XT!U290,XT!Y290,XT!AC290,XT!AG290))=9)*(CHOOSE({1,2,3,4},XT!X290,XT!AB290,XT!AF290,XT!AJ290)))</f>
        <v>0</v>
      </c>
      <c r="AH290" t="str">
        <f>IFERROR(INDEX(CHOOSE({1,2,3,4}, DAY(XT!U290), DAY(XT!Y290), DAY(XT!AC290), DAY(XT!AG290)), MATCH(1, INDEX(--(MONTH(CHOOSE({1,2,3,4}, XT!U290,XT!Y290,XT!AC290,XT!AG290))=9), 0), 0)), "")</f>
        <v/>
      </c>
      <c r="AI290" s="51" t="str">
        <f>IF(XT!$P290&gt;0,AH290,"")</f>
        <v/>
      </c>
      <c r="AJ290" s="51" t="str">
        <f>IF(XT!$P290=0,AH290,"")</f>
        <v/>
      </c>
      <c r="AK290">
        <f>SUMPRODUCT((MONTH(CHOOSE({1,2,3,4},XT!U290,XT!Y290,XT!AC290,XT!AG290))=10)*(CHOOSE({1,2,3,4},XT!X290,XT!AB290,XT!AF290,XT!AJ290)))</f>
        <v>0</v>
      </c>
      <c r="AL290" t="str">
        <f>IFERROR(INDEX(CHOOSE({1,2,3,4}, DAY(XT!U290), DAY(XT!Y290), DAY(XT!AC290), DAY(XT!AG290)), MATCH(1, INDEX(--(MONTH(CHOOSE({1,2,3,4}, XT!U290,XT!Y290,XT!AC290,XT!AG290))=10), 0), 0)), "")</f>
        <v/>
      </c>
      <c r="AM290" s="51" t="str">
        <f>IF(XT!$P290&gt;0,AL290,"")</f>
        <v/>
      </c>
      <c r="AN290" s="51" t="str">
        <f>IF(XT!$P290=0,AL290,"")</f>
        <v/>
      </c>
      <c r="AO290">
        <f>SUMPRODUCT((MONTH(CHOOSE({1,2,3,4},XT!U290,XT!Y290,XT!AC290,XT!AG290))=11)*(CHOOSE({1,2,3,4},XT!X290,XT!AB290,XT!AF290,XT!AJ290)))</f>
        <v>0</v>
      </c>
      <c r="AP290" t="str">
        <f>IFERROR(INDEX(CHOOSE({1,2,3,4}, DAY(XT!U290), DAY(XT!Y290), DAY(XT!AC290), DAY(XT!AG290)), MATCH(1, INDEX(--(MONTH(CHOOSE({1,2,3,4}, XT!U290,XT!Y290,XT!AC290,XT!AG290))=11), 0), 0)), "")</f>
        <v/>
      </c>
      <c r="AQ290" s="51" t="str">
        <f>IF(XT!$P290&gt;0,AP290,"")</f>
        <v/>
      </c>
      <c r="AR290" s="51" t="str">
        <f>IF(XT!$P290=0,AP290,"")</f>
        <v/>
      </c>
      <c r="AS290">
        <f>SUMPRODUCT((MONTH(CHOOSE({1,2,3,4},XT!U290,XT!Y290,XT!AC290,XT!AG290))=12)*(CHOOSE({1,2,3,4},XT!X290,XT!AB290,XT!AF290,XT!AJ290)))</f>
        <v>0</v>
      </c>
      <c r="AT290" t="str">
        <f>IFERROR(INDEX(CHOOSE({1,2,3,4}, DAY(XT!U290), DAY(XT!Y290), DAY(XT!AC290), DAY(XT!AG290)), MATCH(1, INDEX(--(MONTH(CHOOSE({1,2,3,4}, XT!U290,XT!Y290,XT!AC290,XT!AG290))=12), 0), 0)), "")</f>
        <v/>
      </c>
      <c r="AU290" s="51" t="str">
        <f>IF(XT!$P290&gt;0,AT290,"")</f>
        <v/>
      </c>
      <c r="AV290" s="51" t="str">
        <f>IF(XT!$P290=0,AT290,"")</f>
        <v/>
      </c>
    </row>
    <row r="291" spans="1:48">
      <c r="A291">
        <f>SUMPRODUCT((MONTH(CHOOSE({1,2,3,4},XT!U291,XT!Y291,XT!AC291,XT!AG291))=1)*(CHOOSE({1,2,3,4},XT!X291,XT!AB291,XT!AF291,XT!AJ291)))</f>
        <v>0</v>
      </c>
      <c r="B291">
        <f>IFERROR(INDEX(CHOOSE({1,2,3,4}, DAY(XT!U291), DAY(XT!Y291), DAY(XT!AC291), DAY(XT!AG291)), MATCH(1, INDEX(--(MONTH(CHOOSE({1,2,3,4}, XT!U291,XT!Y291,XT!AC291,XT!AG291))=1), 0), 0)), "")</f>
        <v>0</v>
      </c>
      <c r="C291" s="51" t="str">
        <f>IF(XT!$P291&gt;0,B291,"")</f>
        <v/>
      </c>
      <c r="D291" s="51">
        <f>IF(XT!$P291=0,B291,"")</f>
        <v>0</v>
      </c>
      <c r="E291">
        <f>SUMPRODUCT((MONTH(CHOOSE({1,2,3,4},XT!U291,XT!Y291,XT!AC291,XT!AG291))=2)*(CHOOSE({1,2,3,4},XT!X291,XT!AB291,XT!AF291,XT!AJ291)))</f>
        <v>0</v>
      </c>
      <c r="F291" t="str">
        <f>IFERROR(INDEX(CHOOSE({1,2,3,4}, DAY(XT!U291), DAY(XT!Y291), DAY(XT!AC291), DAY(XT!AG291)), MATCH(1, INDEX(--(MONTH(CHOOSE({1,2,3,4}, XT!U291,XT!Y291,XT!AC291,XT!AG291))=2), 0), 0)), "")</f>
        <v/>
      </c>
      <c r="G291" s="51" t="str">
        <f>IF(XT!$P291&gt;0,F291,"")</f>
        <v/>
      </c>
      <c r="H291" s="51" t="str">
        <f>IF(XT!$P291=0,F291,"")</f>
        <v/>
      </c>
      <c r="I291">
        <f>SUMPRODUCT((MONTH(CHOOSE({1,2,3,4},XT!U291,XT!Y291,XT!AC291,XT!AG291))=3)*(CHOOSE({1,2,3,4},XT!X291,XT!AB291,XT!AF291,XT!AJ291)))</f>
        <v>0</v>
      </c>
      <c r="J291" t="str">
        <f>IFERROR(INDEX(CHOOSE({1,2,3,4}, DAY(XT!U291), DAY(XT!Y291), DAY(XT!AC291), DAY(XT!AG291)), MATCH(1, INDEX(--(MONTH(CHOOSE({1,2,3,4}, XT!U291,XT!Y291,XT!AC291,XT!AG291))=3), 0), 0)), "")</f>
        <v/>
      </c>
      <c r="K291" s="51" t="str">
        <f>IF(XT!$P291&gt;0,J291,"")</f>
        <v/>
      </c>
      <c r="L291" s="51" t="str">
        <f>IF(XT!$P291=0,J291,"")</f>
        <v/>
      </c>
      <c r="M291">
        <f>SUMPRODUCT((MONTH(CHOOSE({1,2,3,4},XT!U291,XT!Y291,XT!AC291,XT!AG291))=4)*(CHOOSE({1,2,3,4},XT!X291,XT!AB291,XT!AF291,XT!AJ291)))</f>
        <v>0</v>
      </c>
      <c r="N291" t="str">
        <f>IFERROR(INDEX(CHOOSE({1,2,3,4}, DAY(XT!U291), DAY(XT!Y291), DAY(XT!AC291), DAY(XT!AG291)), MATCH(1, INDEX(--(MONTH(CHOOSE({1,2,3,4}, XT!U291,XT!Y291,XT!AC291,XT!AG291))=4), 0), 0)), "")</f>
        <v/>
      </c>
      <c r="O291" s="51" t="str">
        <f>IF(XT!$P291&gt;0,N291,"")</f>
        <v/>
      </c>
      <c r="P291" s="51" t="str">
        <f>IF(XT!$P291=0,N291,"")</f>
        <v/>
      </c>
      <c r="Q291">
        <f>SUMPRODUCT((MONTH(CHOOSE({1,2,3,4},XT!U291,XT!Y291,XT!AC291,XT!AG291))=5)*(CHOOSE({1,2,3,4},XT!X291,XT!AB291,XT!AF291,XT!AJ291)))</f>
        <v>0</v>
      </c>
      <c r="R291" t="str">
        <f>IFERROR(INDEX(CHOOSE({1,2,3,4}, DAY(XT!U291), DAY(XT!Y291), DAY(XT!AC291), DAY(XT!AG291)), MATCH(1, INDEX(--(MONTH(CHOOSE({1,2,3,4}, XT!U291,XT!Y291,XT!AC291,XT!AG291))=5), 0), 0)), "")</f>
        <v/>
      </c>
      <c r="S291" s="51" t="str">
        <f>IF(XT!$P291&gt;0,R291,"")</f>
        <v/>
      </c>
      <c r="T291" s="51" t="str">
        <f>IF(XT!$P291=0,R291,"")</f>
        <v/>
      </c>
      <c r="U291">
        <f>SUMPRODUCT((MONTH(CHOOSE({1,2,3,4},XT!U291,XT!Y291,XT!AC291,XT!AG291))=6)*(CHOOSE({1,2,3,4},XT!X291,XT!AB291,XT!AF291,XT!AJ291)))</f>
        <v>0</v>
      </c>
      <c r="V291" t="str">
        <f>IFERROR(INDEX(CHOOSE({1,2,3,4}, DAY(XT!U291), DAY(XT!Y291), DAY(XT!AC291), DAY(XT!AG291)), MATCH(1, INDEX(--(MONTH(CHOOSE({1,2,3,4}, XT!U291,XT!Y291,XT!AC291,XT!AG291))=6), 0), 0)), "")</f>
        <v/>
      </c>
      <c r="W291" s="51" t="str">
        <f>IF(XT!$P291&gt;0,V291,"")</f>
        <v/>
      </c>
      <c r="X291" s="51" t="str">
        <f>IF(XT!$P291=0,V291,"")</f>
        <v/>
      </c>
      <c r="Y291">
        <f>SUMPRODUCT((MONTH(CHOOSE({1,2,3,4},XT!U291,XT!Y291,XT!AC291,XT!AG291))=7)*(CHOOSE({1,2,3,4},XT!X291,XT!AB291,XT!AF291,XT!AJ291)))</f>
        <v>0</v>
      </c>
      <c r="Z291" t="str">
        <f>IFERROR(INDEX(CHOOSE({1,2,3,4}, DAY(XT!U291), DAY(XT!Y291), DAY(XT!AC291), DAY(XT!AG291)), MATCH(1, INDEX(--(MONTH(CHOOSE({1,2,3,4}, XT!U291,XT!Y291,XT!AC291,XT!AG291))=7), 0), 0)), "")</f>
        <v/>
      </c>
      <c r="AA291" s="51" t="str">
        <f>IF(XT!$P291&gt;0,Z291,"")</f>
        <v/>
      </c>
      <c r="AB291" s="51" t="str">
        <f>IF(XT!$P291=0,Z291,"")</f>
        <v/>
      </c>
      <c r="AC291">
        <f>SUMPRODUCT((MONTH(CHOOSE({1,2,3,4},XT!U291,XT!Y291,XT!AC291,XT!AG291))=8)*(CHOOSE({1,2,3,4},XT!X291,XT!AB291,XT!AF291,XT!AJ291)))</f>
        <v>0</v>
      </c>
      <c r="AD291" t="str">
        <f>IFERROR(INDEX(CHOOSE({1,2,3,4}, DAY(XT!U291), DAY(XT!Y291), DAY(XT!AC291), DAY(XT!AG291)), MATCH(1, INDEX(--(MONTH(CHOOSE({1,2,3,4}, XT!U291,XT!Y291,XT!AC291,XT!AG291))=8), 0), 0)), "")</f>
        <v/>
      </c>
      <c r="AE291" s="51" t="str">
        <f>IF(XT!$P291&gt;0,AD291,"")</f>
        <v/>
      </c>
      <c r="AF291" s="51" t="str">
        <f>IF(XT!$P291=0,AD291,"")</f>
        <v/>
      </c>
      <c r="AG291">
        <f>SUMPRODUCT((MONTH(CHOOSE({1,2,3,4},XT!U291,XT!Y291,XT!AC291,XT!AG291))=9)*(CHOOSE({1,2,3,4},XT!X291,XT!AB291,XT!AF291,XT!AJ291)))</f>
        <v>0</v>
      </c>
      <c r="AH291" t="str">
        <f>IFERROR(INDEX(CHOOSE({1,2,3,4}, DAY(XT!U291), DAY(XT!Y291), DAY(XT!AC291), DAY(XT!AG291)), MATCH(1, INDEX(--(MONTH(CHOOSE({1,2,3,4}, XT!U291,XT!Y291,XT!AC291,XT!AG291))=9), 0), 0)), "")</f>
        <v/>
      </c>
      <c r="AI291" s="51" t="str">
        <f>IF(XT!$P291&gt;0,AH291,"")</f>
        <v/>
      </c>
      <c r="AJ291" s="51" t="str">
        <f>IF(XT!$P291=0,AH291,"")</f>
        <v/>
      </c>
      <c r="AK291">
        <f>SUMPRODUCT((MONTH(CHOOSE({1,2,3,4},XT!U291,XT!Y291,XT!AC291,XT!AG291))=10)*(CHOOSE({1,2,3,4},XT!X291,XT!AB291,XT!AF291,XT!AJ291)))</f>
        <v>0</v>
      </c>
      <c r="AL291" t="str">
        <f>IFERROR(INDEX(CHOOSE({1,2,3,4}, DAY(XT!U291), DAY(XT!Y291), DAY(XT!AC291), DAY(XT!AG291)), MATCH(1, INDEX(--(MONTH(CHOOSE({1,2,3,4}, XT!U291,XT!Y291,XT!AC291,XT!AG291))=10), 0), 0)), "")</f>
        <v/>
      </c>
      <c r="AM291" s="51" t="str">
        <f>IF(XT!$P291&gt;0,AL291,"")</f>
        <v/>
      </c>
      <c r="AN291" s="51" t="str">
        <f>IF(XT!$P291=0,AL291,"")</f>
        <v/>
      </c>
      <c r="AO291">
        <f>SUMPRODUCT((MONTH(CHOOSE({1,2,3,4},XT!U291,XT!Y291,XT!AC291,XT!AG291))=11)*(CHOOSE({1,2,3,4},XT!X291,XT!AB291,XT!AF291,XT!AJ291)))</f>
        <v>0</v>
      </c>
      <c r="AP291" t="str">
        <f>IFERROR(INDEX(CHOOSE({1,2,3,4}, DAY(XT!U291), DAY(XT!Y291), DAY(XT!AC291), DAY(XT!AG291)), MATCH(1, INDEX(--(MONTH(CHOOSE({1,2,3,4}, XT!U291,XT!Y291,XT!AC291,XT!AG291))=11), 0), 0)), "")</f>
        <v/>
      </c>
      <c r="AQ291" s="51" t="str">
        <f>IF(XT!$P291&gt;0,AP291,"")</f>
        <v/>
      </c>
      <c r="AR291" s="51" t="str">
        <f>IF(XT!$P291=0,AP291,"")</f>
        <v/>
      </c>
      <c r="AS291">
        <f>SUMPRODUCT((MONTH(CHOOSE({1,2,3,4},XT!U291,XT!Y291,XT!AC291,XT!AG291))=12)*(CHOOSE({1,2,3,4},XT!X291,XT!AB291,XT!AF291,XT!AJ291)))</f>
        <v>0</v>
      </c>
      <c r="AT291" t="str">
        <f>IFERROR(INDEX(CHOOSE({1,2,3,4}, DAY(XT!U291), DAY(XT!Y291), DAY(XT!AC291), DAY(XT!AG291)), MATCH(1, INDEX(--(MONTH(CHOOSE({1,2,3,4}, XT!U291,XT!Y291,XT!AC291,XT!AG291))=12), 0), 0)), "")</f>
        <v/>
      </c>
      <c r="AU291" s="51" t="str">
        <f>IF(XT!$P291&gt;0,AT291,"")</f>
        <v/>
      </c>
      <c r="AV291" s="51" t="str">
        <f>IF(XT!$P291=0,AT291,"")</f>
        <v/>
      </c>
    </row>
    <row r="292" spans="1:48">
      <c r="A292">
        <f>SUMPRODUCT((MONTH(CHOOSE({1,2,3,4},XT!U292,XT!Y292,XT!AC292,XT!AG292))=1)*(CHOOSE({1,2,3,4},XT!X292,XT!AB292,XT!AF292,XT!AJ292)))</f>
        <v>0</v>
      </c>
      <c r="B292">
        <f>IFERROR(INDEX(CHOOSE({1,2,3,4}, DAY(XT!U292), DAY(XT!Y292), DAY(XT!AC292), DAY(XT!AG292)), MATCH(1, INDEX(--(MONTH(CHOOSE({1,2,3,4}, XT!U292,XT!Y292,XT!AC292,XT!AG292))=1), 0), 0)), "")</f>
        <v>0</v>
      </c>
      <c r="C292" s="51" t="str">
        <f>IF(XT!$P292&gt;0,B292,"")</f>
        <v/>
      </c>
      <c r="D292" s="51">
        <f>IF(XT!$P292=0,B292,"")</f>
        <v>0</v>
      </c>
      <c r="E292">
        <f>SUMPRODUCT((MONTH(CHOOSE({1,2,3,4},XT!U292,XT!Y292,XT!AC292,XT!AG292))=2)*(CHOOSE({1,2,3,4},XT!X292,XT!AB292,XT!AF292,XT!AJ292)))</f>
        <v>0</v>
      </c>
      <c r="F292" t="str">
        <f>IFERROR(INDEX(CHOOSE({1,2,3,4}, DAY(XT!U292), DAY(XT!Y292), DAY(XT!AC292), DAY(XT!AG292)), MATCH(1, INDEX(--(MONTH(CHOOSE({1,2,3,4}, XT!U292,XT!Y292,XT!AC292,XT!AG292))=2), 0), 0)), "")</f>
        <v/>
      </c>
      <c r="G292" s="51" t="str">
        <f>IF(XT!$P292&gt;0,F292,"")</f>
        <v/>
      </c>
      <c r="H292" s="51" t="str">
        <f>IF(XT!$P292=0,F292,"")</f>
        <v/>
      </c>
      <c r="I292">
        <f>SUMPRODUCT((MONTH(CHOOSE({1,2,3,4},XT!U292,XT!Y292,XT!AC292,XT!AG292))=3)*(CHOOSE({1,2,3,4},XT!X292,XT!AB292,XT!AF292,XT!AJ292)))</f>
        <v>0</v>
      </c>
      <c r="J292" t="str">
        <f>IFERROR(INDEX(CHOOSE({1,2,3,4}, DAY(XT!U292), DAY(XT!Y292), DAY(XT!AC292), DAY(XT!AG292)), MATCH(1, INDEX(--(MONTH(CHOOSE({1,2,3,4}, XT!U292,XT!Y292,XT!AC292,XT!AG292))=3), 0), 0)), "")</f>
        <v/>
      </c>
      <c r="K292" s="51" t="str">
        <f>IF(XT!$P292&gt;0,J292,"")</f>
        <v/>
      </c>
      <c r="L292" s="51" t="str">
        <f>IF(XT!$P292=0,J292,"")</f>
        <v/>
      </c>
      <c r="M292">
        <f>SUMPRODUCT((MONTH(CHOOSE({1,2,3,4},XT!U292,XT!Y292,XT!AC292,XT!AG292))=4)*(CHOOSE({1,2,3,4},XT!X292,XT!AB292,XT!AF292,XT!AJ292)))</f>
        <v>0</v>
      </c>
      <c r="N292" t="str">
        <f>IFERROR(INDEX(CHOOSE({1,2,3,4}, DAY(XT!U292), DAY(XT!Y292), DAY(XT!AC292), DAY(XT!AG292)), MATCH(1, INDEX(--(MONTH(CHOOSE({1,2,3,4}, XT!U292,XT!Y292,XT!AC292,XT!AG292))=4), 0), 0)), "")</f>
        <v/>
      </c>
      <c r="O292" s="51" t="str">
        <f>IF(XT!$P292&gt;0,N292,"")</f>
        <v/>
      </c>
      <c r="P292" s="51" t="str">
        <f>IF(XT!$P292=0,N292,"")</f>
        <v/>
      </c>
      <c r="Q292">
        <f>SUMPRODUCT((MONTH(CHOOSE({1,2,3,4},XT!U292,XT!Y292,XT!AC292,XT!AG292))=5)*(CHOOSE({1,2,3,4},XT!X292,XT!AB292,XT!AF292,XT!AJ292)))</f>
        <v>0</v>
      </c>
      <c r="R292" t="str">
        <f>IFERROR(INDEX(CHOOSE({1,2,3,4}, DAY(XT!U292), DAY(XT!Y292), DAY(XT!AC292), DAY(XT!AG292)), MATCH(1, INDEX(--(MONTH(CHOOSE({1,2,3,4}, XT!U292,XT!Y292,XT!AC292,XT!AG292))=5), 0), 0)), "")</f>
        <v/>
      </c>
      <c r="S292" s="51" t="str">
        <f>IF(XT!$P292&gt;0,R292,"")</f>
        <v/>
      </c>
      <c r="T292" s="51" t="str">
        <f>IF(XT!$P292=0,R292,"")</f>
        <v/>
      </c>
      <c r="U292">
        <f>SUMPRODUCT((MONTH(CHOOSE({1,2,3,4},XT!U292,XT!Y292,XT!AC292,XT!AG292))=6)*(CHOOSE({1,2,3,4},XT!X292,XT!AB292,XT!AF292,XT!AJ292)))</f>
        <v>0</v>
      </c>
      <c r="V292" t="str">
        <f>IFERROR(INDEX(CHOOSE({1,2,3,4}, DAY(XT!U292), DAY(XT!Y292), DAY(XT!AC292), DAY(XT!AG292)), MATCH(1, INDEX(--(MONTH(CHOOSE({1,2,3,4}, XT!U292,XT!Y292,XT!AC292,XT!AG292))=6), 0), 0)), "")</f>
        <v/>
      </c>
      <c r="W292" s="51" t="str">
        <f>IF(XT!$P292&gt;0,V292,"")</f>
        <v/>
      </c>
      <c r="X292" s="51" t="str">
        <f>IF(XT!$P292=0,V292,"")</f>
        <v/>
      </c>
      <c r="Y292">
        <f>SUMPRODUCT((MONTH(CHOOSE({1,2,3,4},XT!U292,XT!Y292,XT!AC292,XT!AG292))=7)*(CHOOSE({1,2,3,4},XT!X292,XT!AB292,XT!AF292,XT!AJ292)))</f>
        <v>0</v>
      </c>
      <c r="Z292" t="str">
        <f>IFERROR(INDEX(CHOOSE({1,2,3,4}, DAY(XT!U292), DAY(XT!Y292), DAY(XT!AC292), DAY(XT!AG292)), MATCH(1, INDEX(--(MONTH(CHOOSE({1,2,3,4}, XT!U292,XT!Y292,XT!AC292,XT!AG292))=7), 0), 0)), "")</f>
        <v/>
      </c>
      <c r="AA292" s="51" t="str">
        <f>IF(XT!$P292&gt;0,Z292,"")</f>
        <v/>
      </c>
      <c r="AB292" s="51" t="str">
        <f>IF(XT!$P292=0,Z292,"")</f>
        <v/>
      </c>
      <c r="AC292">
        <f>SUMPRODUCT((MONTH(CHOOSE({1,2,3,4},XT!U292,XT!Y292,XT!AC292,XT!AG292))=8)*(CHOOSE({1,2,3,4},XT!X292,XT!AB292,XT!AF292,XT!AJ292)))</f>
        <v>0</v>
      </c>
      <c r="AD292" t="str">
        <f>IFERROR(INDEX(CHOOSE({1,2,3,4}, DAY(XT!U292), DAY(XT!Y292), DAY(XT!AC292), DAY(XT!AG292)), MATCH(1, INDEX(--(MONTH(CHOOSE({1,2,3,4}, XT!U292,XT!Y292,XT!AC292,XT!AG292))=8), 0), 0)), "")</f>
        <v/>
      </c>
      <c r="AE292" s="51" t="str">
        <f>IF(XT!$P292&gt;0,AD292,"")</f>
        <v/>
      </c>
      <c r="AF292" s="51" t="str">
        <f>IF(XT!$P292=0,AD292,"")</f>
        <v/>
      </c>
      <c r="AG292">
        <f>SUMPRODUCT((MONTH(CHOOSE({1,2,3,4},XT!U292,XT!Y292,XT!AC292,XT!AG292))=9)*(CHOOSE({1,2,3,4},XT!X292,XT!AB292,XT!AF292,XT!AJ292)))</f>
        <v>0</v>
      </c>
      <c r="AH292" t="str">
        <f>IFERROR(INDEX(CHOOSE({1,2,3,4}, DAY(XT!U292), DAY(XT!Y292), DAY(XT!AC292), DAY(XT!AG292)), MATCH(1, INDEX(--(MONTH(CHOOSE({1,2,3,4}, XT!U292,XT!Y292,XT!AC292,XT!AG292))=9), 0), 0)), "")</f>
        <v/>
      </c>
      <c r="AI292" s="51" t="str">
        <f>IF(XT!$P292&gt;0,AH292,"")</f>
        <v/>
      </c>
      <c r="AJ292" s="51" t="str">
        <f>IF(XT!$P292=0,AH292,"")</f>
        <v/>
      </c>
      <c r="AK292">
        <f>SUMPRODUCT((MONTH(CHOOSE({1,2,3,4},XT!U292,XT!Y292,XT!AC292,XT!AG292))=10)*(CHOOSE({1,2,3,4},XT!X292,XT!AB292,XT!AF292,XT!AJ292)))</f>
        <v>0</v>
      </c>
      <c r="AL292" t="str">
        <f>IFERROR(INDEX(CHOOSE({1,2,3,4}, DAY(XT!U292), DAY(XT!Y292), DAY(XT!AC292), DAY(XT!AG292)), MATCH(1, INDEX(--(MONTH(CHOOSE({1,2,3,4}, XT!U292,XT!Y292,XT!AC292,XT!AG292))=10), 0), 0)), "")</f>
        <v/>
      </c>
      <c r="AM292" s="51" t="str">
        <f>IF(XT!$P292&gt;0,AL292,"")</f>
        <v/>
      </c>
      <c r="AN292" s="51" t="str">
        <f>IF(XT!$P292=0,AL292,"")</f>
        <v/>
      </c>
      <c r="AO292">
        <f>SUMPRODUCT((MONTH(CHOOSE({1,2,3,4},XT!U292,XT!Y292,XT!AC292,XT!AG292))=11)*(CHOOSE({1,2,3,4},XT!X292,XT!AB292,XT!AF292,XT!AJ292)))</f>
        <v>0</v>
      </c>
      <c r="AP292" t="str">
        <f>IFERROR(INDEX(CHOOSE({1,2,3,4}, DAY(XT!U292), DAY(XT!Y292), DAY(XT!AC292), DAY(XT!AG292)), MATCH(1, INDEX(--(MONTH(CHOOSE({1,2,3,4}, XT!U292,XT!Y292,XT!AC292,XT!AG292))=11), 0), 0)), "")</f>
        <v/>
      </c>
      <c r="AQ292" s="51" t="str">
        <f>IF(XT!$P292&gt;0,AP292,"")</f>
        <v/>
      </c>
      <c r="AR292" s="51" t="str">
        <f>IF(XT!$P292=0,AP292,"")</f>
        <v/>
      </c>
      <c r="AS292">
        <f>SUMPRODUCT((MONTH(CHOOSE({1,2,3,4},XT!U292,XT!Y292,XT!AC292,XT!AG292))=12)*(CHOOSE({1,2,3,4},XT!X292,XT!AB292,XT!AF292,XT!AJ292)))</f>
        <v>0</v>
      </c>
      <c r="AT292" t="str">
        <f>IFERROR(INDEX(CHOOSE({1,2,3,4}, DAY(XT!U292), DAY(XT!Y292), DAY(XT!AC292), DAY(XT!AG292)), MATCH(1, INDEX(--(MONTH(CHOOSE({1,2,3,4}, XT!U292,XT!Y292,XT!AC292,XT!AG292))=12), 0), 0)), "")</f>
        <v/>
      </c>
      <c r="AU292" s="51" t="str">
        <f>IF(XT!$P292&gt;0,AT292,"")</f>
        <v/>
      </c>
      <c r="AV292" s="51" t="str">
        <f>IF(XT!$P292=0,AT292,"")</f>
        <v/>
      </c>
    </row>
    <row r="293" spans="1:48">
      <c r="A293">
        <f>SUMPRODUCT((MONTH(CHOOSE({1,2,3,4},XT!U293,XT!Y293,XT!AC293,XT!AG293))=1)*(CHOOSE({1,2,3,4},XT!X293,XT!AB293,XT!AF293,XT!AJ293)))</f>
        <v>0</v>
      </c>
      <c r="B293">
        <f>IFERROR(INDEX(CHOOSE({1,2,3,4}, DAY(XT!U293), DAY(XT!Y293), DAY(XT!AC293), DAY(XT!AG293)), MATCH(1, INDEX(--(MONTH(CHOOSE({1,2,3,4}, XT!U293,XT!Y293,XT!AC293,XT!AG293))=1), 0), 0)), "")</f>
        <v>0</v>
      </c>
      <c r="C293" s="51" t="str">
        <f>IF(XT!$P293&gt;0,B293,"")</f>
        <v/>
      </c>
      <c r="D293" s="51">
        <f>IF(XT!$P293=0,B293,"")</f>
        <v>0</v>
      </c>
      <c r="E293">
        <f>SUMPRODUCT((MONTH(CHOOSE({1,2,3,4},XT!U293,XT!Y293,XT!AC293,XT!AG293))=2)*(CHOOSE({1,2,3,4},XT!X293,XT!AB293,XT!AF293,XT!AJ293)))</f>
        <v>0</v>
      </c>
      <c r="F293" t="str">
        <f>IFERROR(INDEX(CHOOSE({1,2,3,4}, DAY(XT!U293), DAY(XT!Y293), DAY(XT!AC293), DAY(XT!AG293)), MATCH(1, INDEX(--(MONTH(CHOOSE({1,2,3,4}, XT!U293,XT!Y293,XT!AC293,XT!AG293))=2), 0), 0)), "")</f>
        <v/>
      </c>
      <c r="G293" s="51" t="str">
        <f>IF(XT!$P293&gt;0,F293,"")</f>
        <v/>
      </c>
      <c r="H293" s="51" t="str">
        <f>IF(XT!$P293=0,F293,"")</f>
        <v/>
      </c>
      <c r="I293">
        <f>SUMPRODUCT((MONTH(CHOOSE({1,2,3,4},XT!U293,XT!Y293,XT!AC293,XT!AG293))=3)*(CHOOSE({1,2,3,4},XT!X293,XT!AB293,XT!AF293,XT!AJ293)))</f>
        <v>0</v>
      </c>
      <c r="J293" t="str">
        <f>IFERROR(INDEX(CHOOSE({1,2,3,4}, DAY(XT!U293), DAY(XT!Y293), DAY(XT!AC293), DAY(XT!AG293)), MATCH(1, INDEX(--(MONTH(CHOOSE({1,2,3,4}, XT!U293,XT!Y293,XT!AC293,XT!AG293))=3), 0), 0)), "")</f>
        <v/>
      </c>
      <c r="K293" s="51" t="str">
        <f>IF(XT!$P293&gt;0,J293,"")</f>
        <v/>
      </c>
      <c r="L293" s="51" t="str">
        <f>IF(XT!$P293=0,J293,"")</f>
        <v/>
      </c>
      <c r="M293">
        <f>SUMPRODUCT((MONTH(CHOOSE({1,2,3,4},XT!U293,XT!Y293,XT!AC293,XT!AG293))=4)*(CHOOSE({1,2,3,4},XT!X293,XT!AB293,XT!AF293,XT!AJ293)))</f>
        <v>0</v>
      </c>
      <c r="N293" t="str">
        <f>IFERROR(INDEX(CHOOSE({1,2,3,4}, DAY(XT!U293), DAY(XT!Y293), DAY(XT!AC293), DAY(XT!AG293)), MATCH(1, INDEX(--(MONTH(CHOOSE({1,2,3,4}, XT!U293,XT!Y293,XT!AC293,XT!AG293))=4), 0), 0)), "")</f>
        <v/>
      </c>
      <c r="O293" s="51" t="str">
        <f>IF(XT!$P293&gt;0,N293,"")</f>
        <v/>
      </c>
      <c r="P293" s="51" t="str">
        <f>IF(XT!$P293=0,N293,"")</f>
        <v/>
      </c>
      <c r="Q293">
        <f>SUMPRODUCT((MONTH(CHOOSE({1,2,3,4},XT!U293,XT!Y293,XT!AC293,XT!AG293))=5)*(CHOOSE({1,2,3,4},XT!X293,XT!AB293,XT!AF293,XT!AJ293)))</f>
        <v>0</v>
      </c>
      <c r="R293" t="str">
        <f>IFERROR(INDEX(CHOOSE({1,2,3,4}, DAY(XT!U293), DAY(XT!Y293), DAY(XT!AC293), DAY(XT!AG293)), MATCH(1, INDEX(--(MONTH(CHOOSE({1,2,3,4}, XT!U293,XT!Y293,XT!AC293,XT!AG293))=5), 0), 0)), "")</f>
        <v/>
      </c>
      <c r="S293" s="51" t="str">
        <f>IF(XT!$P293&gt;0,R293,"")</f>
        <v/>
      </c>
      <c r="T293" s="51" t="str">
        <f>IF(XT!$P293=0,R293,"")</f>
        <v/>
      </c>
      <c r="U293">
        <f>SUMPRODUCT((MONTH(CHOOSE({1,2,3,4},XT!U293,XT!Y293,XT!AC293,XT!AG293))=6)*(CHOOSE({1,2,3,4},XT!X293,XT!AB293,XT!AF293,XT!AJ293)))</f>
        <v>0</v>
      </c>
      <c r="V293" t="str">
        <f>IFERROR(INDEX(CHOOSE({1,2,3,4}, DAY(XT!U293), DAY(XT!Y293), DAY(XT!AC293), DAY(XT!AG293)), MATCH(1, INDEX(--(MONTH(CHOOSE({1,2,3,4}, XT!U293,XT!Y293,XT!AC293,XT!AG293))=6), 0), 0)), "")</f>
        <v/>
      </c>
      <c r="W293" s="51" t="str">
        <f>IF(XT!$P293&gt;0,V293,"")</f>
        <v/>
      </c>
      <c r="X293" s="51" t="str">
        <f>IF(XT!$P293=0,V293,"")</f>
        <v/>
      </c>
      <c r="Y293">
        <f>SUMPRODUCT((MONTH(CHOOSE({1,2,3,4},XT!U293,XT!Y293,XT!AC293,XT!AG293))=7)*(CHOOSE({1,2,3,4},XT!X293,XT!AB293,XT!AF293,XT!AJ293)))</f>
        <v>0</v>
      </c>
      <c r="Z293" t="str">
        <f>IFERROR(INDEX(CHOOSE({1,2,3,4}, DAY(XT!U293), DAY(XT!Y293), DAY(XT!AC293), DAY(XT!AG293)), MATCH(1, INDEX(--(MONTH(CHOOSE({1,2,3,4}, XT!U293,XT!Y293,XT!AC293,XT!AG293))=7), 0), 0)), "")</f>
        <v/>
      </c>
      <c r="AA293" s="51" t="str">
        <f>IF(XT!$P293&gt;0,Z293,"")</f>
        <v/>
      </c>
      <c r="AB293" s="51" t="str">
        <f>IF(XT!$P293=0,Z293,"")</f>
        <v/>
      </c>
      <c r="AC293">
        <f>SUMPRODUCT((MONTH(CHOOSE({1,2,3,4},XT!U293,XT!Y293,XT!AC293,XT!AG293))=8)*(CHOOSE({1,2,3,4},XT!X293,XT!AB293,XT!AF293,XT!AJ293)))</f>
        <v>0</v>
      </c>
      <c r="AD293" t="str">
        <f>IFERROR(INDEX(CHOOSE({1,2,3,4}, DAY(XT!U293), DAY(XT!Y293), DAY(XT!AC293), DAY(XT!AG293)), MATCH(1, INDEX(--(MONTH(CHOOSE({1,2,3,4}, XT!U293,XT!Y293,XT!AC293,XT!AG293))=8), 0), 0)), "")</f>
        <v/>
      </c>
      <c r="AE293" s="51" t="str">
        <f>IF(XT!$P293&gt;0,AD293,"")</f>
        <v/>
      </c>
      <c r="AF293" s="51" t="str">
        <f>IF(XT!$P293=0,AD293,"")</f>
        <v/>
      </c>
      <c r="AG293">
        <f>SUMPRODUCT((MONTH(CHOOSE({1,2,3,4},XT!U293,XT!Y293,XT!AC293,XT!AG293))=9)*(CHOOSE({1,2,3,4},XT!X293,XT!AB293,XT!AF293,XT!AJ293)))</f>
        <v>0</v>
      </c>
      <c r="AH293" t="str">
        <f>IFERROR(INDEX(CHOOSE({1,2,3,4}, DAY(XT!U293), DAY(XT!Y293), DAY(XT!AC293), DAY(XT!AG293)), MATCH(1, INDEX(--(MONTH(CHOOSE({1,2,3,4}, XT!U293,XT!Y293,XT!AC293,XT!AG293))=9), 0), 0)), "")</f>
        <v/>
      </c>
      <c r="AI293" s="51" t="str">
        <f>IF(XT!$P293&gt;0,AH293,"")</f>
        <v/>
      </c>
      <c r="AJ293" s="51" t="str">
        <f>IF(XT!$P293=0,AH293,"")</f>
        <v/>
      </c>
      <c r="AK293">
        <f>SUMPRODUCT((MONTH(CHOOSE({1,2,3,4},XT!U293,XT!Y293,XT!AC293,XT!AG293))=10)*(CHOOSE({1,2,3,4},XT!X293,XT!AB293,XT!AF293,XT!AJ293)))</f>
        <v>0</v>
      </c>
      <c r="AL293" t="str">
        <f>IFERROR(INDEX(CHOOSE({1,2,3,4}, DAY(XT!U293), DAY(XT!Y293), DAY(XT!AC293), DAY(XT!AG293)), MATCH(1, INDEX(--(MONTH(CHOOSE({1,2,3,4}, XT!U293,XT!Y293,XT!AC293,XT!AG293))=10), 0), 0)), "")</f>
        <v/>
      </c>
      <c r="AM293" s="51" t="str">
        <f>IF(XT!$P293&gt;0,AL293,"")</f>
        <v/>
      </c>
      <c r="AN293" s="51" t="str">
        <f>IF(XT!$P293=0,AL293,"")</f>
        <v/>
      </c>
      <c r="AO293">
        <f>SUMPRODUCT((MONTH(CHOOSE({1,2,3,4},XT!U293,XT!Y293,XT!AC293,XT!AG293))=11)*(CHOOSE({1,2,3,4},XT!X293,XT!AB293,XT!AF293,XT!AJ293)))</f>
        <v>0</v>
      </c>
      <c r="AP293" t="str">
        <f>IFERROR(INDEX(CHOOSE({1,2,3,4}, DAY(XT!U293), DAY(XT!Y293), DAY(XT!AC293), DAY(XT!AG293)), MATCH(1, INDEX(--(MONTH(CHOOSE({1,2,3,4}, XT!U293,XT!Y293,XT!AC293,XT!AG293))=11), 0), 0)), "")</f>
        <v/>
      </c>
      <c r="AQ293" s="51" t="str">
        <f>IF(XT!$P293&gt;0,AP293,"")</f>
        <v/>
      </c>
      <c r="AR293" s="51" t="str">
        <f>IF(XT!$P293=0,AP293,"")</f>
        <v/>
      </c>
      <c r="AS293">
        <f>SUMPRODUCT((MONTH(CHOOSE({1,2,3,4},XT!U293,XT!Y293,XT!AC293,XT!AG293))=12)*(CHOOSE({1,2,3,4},XT!X293,XT!AB293,XT!AF293,XT!AJ293)))</f>
        <v>0</v>
      </c>
      <c r="AT293" t="str">
        <f>IFERROR(INDEX(CHOOSE({1,2,3,4}, DAY(XT!U293), DAY(XT!Y293), DAY(XT!AC293), DAY(XT!AG293)), MATCH(1, INDEX(--(MONTH(CHOOSE({1,2,3,4}, XT!U293,XT!Y293,XT!AC293,XT!AG293))=12), 0), 0)), "")</f>
        <v/>
      </c>
      <c r="AU293" s="51" t="str">
        <f>IF(XT!$P293&gt;0,AT293,"")</f>
        <v/>
      </c>
      <c r="AV293" s="51" t="str">
        <f>IF(XT!$P293=0,AT293,"")</f>
        <v/>
      </c>
    </row>
    <row r="294" spans="1:48">
      <c r="A294">
        <f>SUMPRODUCT((MONTH(CHOOSE({1,2,3,4},XT!U294,XT!Y294,XT!AC294,XT!AG294))=1)*(CHOOSE({1,2,3,4},XT!X294,XT!AB294,XT!AF294,XT!AJ294)))</f>
        <v>0</v>
      </c>
      <c r="B294">
        <f>IFERROR(INDEX(CHOOSE({1,2,3,4}, DAY(XT!U294), DAY(XT!Y294), DAY(XT!AC294), DAY(XT!AG294)), MATCH(1, INDEX(--(MONTH(CHOOSE({1,2,3,4}, XT!U294,XT!Y294,XT!AC294,XT!AG294))=1), 0), 0)), "")</f>
        <v>0</v>
      </c>
      <c r="C294" s="51" t="str">
        <f>IF(XT!$P294&gt;0,B294,"")</f>
        <v/>
      </c>
      <c r="D294" s="51">
        <f>IF(XT!$P294=0,B294,"")</f>
        <v>0</v>
      </c>
      <c r="E294">
        <f>SUMPRODUCT((MONTH(CHOOSE({1,2,3,4},XT!U294,XT!Y294,XT!AC294,XT!AG294))=2)*(CHOOSE({1,2,3,4},XT!X294,XT!AB294,XT!AF294,XT!AJ294)))</f>
        <v>0</v>
      </c>
      <c r="F294" t="str">
        <f>IFERROR(INDEX(CHOOSE({1,2,3,4}, DAY(XT!U294), DAY(XT!Y294), DAY(XT!AC294), DAY(XT!AG294)), MATCH(1, INDEX(--(MONTH(CHOOSE({1,2,3,4}, XT!U294,XT!Y294,XT!AC294,XT!AG294))=2), 0), 0)), "")</f>
        <v/>
      </c>
      <c r="G294" s="51" t="str">
        <f>IF(XT!$P294&gt;0,F294,"")</f>
        <v/>
      </c>
      <c r="H294" s="51" t="str">
        <f>IF(XT!$P294=0,F294,"")</f>
        <v/>
      </c>
      <c r="I294">
        <f>SUMPRODUCT((MONTH(CHOOSE({1,2,3,4},XT!U294,XT!Y294,XT!AC294,XT!AG294))=3)*(CHOOSE({1,2,3,4},XT!X294,XT!AB294,XT!AF294,XT!AJ294)))</f>
        <v>0</v>
      </c>
      <c r="J294" t="str">
        <f>IFERROR(INDEX(CHOOSE({1,2,3,4}, DAY(XT!U294), DAY(XT!Y294), DAY(XT!AC294), DAY(XT!AG294)), MATCH(1, INDEX(--(MONTH(CHOOSE({1,2,3,4}, XT!U294,XT!Y294,XT!AC294,XT!AG294))=3), 0), 0)), "")</f>
        <v/>
      </c>
      <c r="K294" s="51" t="str">
        <f>IF(XT!$P294&gt;0,J294,"")</f>
        <v/>
      </c>
      <c r="L294" s="51" t="str">
        <f>IF(XT!$P294=0,J294,"")</f>
        <v/>
      </c>
      <c r="M294">
        <f>SUMPRODUCT((MONTH(CHOOSE({1,2,3,4},XT!U294,XT!Y294,XT!AC294,XT!AG294))=4)*(CHOOSE({1,2,3,4},XT!X294,XT!AB294,XT!AF294,XT!AJ294)))</f>
        <v>0</v>
      </c>
      <c r="N294" t="str">
        <f>IFERROR(INDEX(CHOOSE({1,2,3,4}, DAY(XT!U294), DAY(XT!Y294), DAY(XT!AC294), DAY(XT!AG294)), MATCH(1, INDEX(--(MONTH(CHOOSE({1,2,3,4}, XT!U294,XT!Y294,XT!AC294,XT!AG294))=4), 0), 0)), "")</f>
        <v/>
      </c>
      <c r="O294" s="51" t="str">
        <f>IF(XT!$P294&gt;0,N294,"")</f>
        <v/>
      </c>
      <c r="P294" s="51" t="str">
        <f>IF(XT!$P294=0,N294,"")</f>
        <v/>
      </c>
      <c r="Q294">
        <f>SUMPRODUCT((MONTH(CHOOSE({1,2,3,4},XT!U294,XT!Y294,XT!AC294,XT!AG294))=5)*(CHOOSE({1,2,3,4},XT!X294,XT!AB294,XT!AF294,XT!AJ294)))</f>
        <v>0</v>
      </c>
      <c r="R294" t="str">
        <f>IFERROR(INDEX(CHOOSE({1,2,3,4}, DAY(XT!U294), DAY(XT!Y294), DAY(XT!AC294), DAY(XT!AG294)), MATCH(1, INDEX(--(MONTH(CHOOSE({1,2,3,4}, XT!U294,XT!Y294,XT!AC294,XT!AG294))=5), 0), 0)), "")</f>
        <v/>
      </c>
      <c r="S294" s="51" t="str">
        <f>IF(XT!$P294&gt;0,R294,"")</f>
        <v/>
      </c>
      <c r="T294" s="51" t="str">
        <f>IF(XT!$P294=0,R294,"")</f>
        <v/>
      </c>
      <c r="U294">
        <f>SUMPRODUCT((MONTH(CHOOSE({1,2,3,4},XT!U294,XT!Y294,XT!AC294,XT!AG294))=6)*(CHOOSE({1,2,3,4},XT!X294,XT!AB294,XT!AF294,XT!AJ294)))</f>
        <v>0</v>
      </c>
      <c r="V294" t="str">
        <f>IFERROR(INDEX(CHOOSE({1,2,3,4}, DAY(XT!U294), DAY(XT!Y294), DAY(XT!AC294), DAY(XT!AG294)), MATCH(1, INDEX(--(MONTH(CHOOSE({1,2,3,4}, XT!U294,XT!Y294,XT!AC294,XT!AG294))=6), 0), 0)), "")</f>
        <v/>
      </c>
      <c r="W294" s="51" t="str">
        <f>IF(XT!$P294&gt;0,V294,"")</f>
        <v/>
      </c>
      <c r="X294" s="51" t="str">
        <f>IF(XT!$P294=0,V294,"")</f>
        <v/>
      </c>
      <c r="Y294">
        <f>SUMPRODUCT((MONTH(CHOOSE({1,2,3,4},XT!U294,XT!Y294,XT!AC294,XT!AG294))=7)*(CHOOSE({1,2,3,4},XT!X294,XT!AB294,XT!AF294,XT!AJ294)))</f>
        <v>0</v>
      </c>
      <c r="Z294" t="str">
        <f>IFERROR(INDEX(CHOOSE({1,2,3,4}, DAY(XT!U294), DAY(XT!Y294), DAY(XT!AC294), DAY(XT!AG294)), MATCH(1, INDEX(--(MONTH(CHOOSE({1,2,3,4}, XT!U294,XT!Y294,XT!AC294,XT!AG294))=7), 0), 0)), "")</f>
        <v/>
      </c>
      <c r="AA294" s="51" t="str">
        <f>IF(XT!$P294&gt;0,Z294,"")</f>
        <v/>
      </c>
      <c r="AB294" s="51" t="str">
        <f>IF(XT!$P294=0,Z294,"")</f>
        <v/>
      </c>
      <c r="AC294">
        <f>SUMPRODUCT((MONTH(CHOOSE({1,2,3,4},XT!U294,XT!Y294,XT!AC294,XT!AG294))=8)*(CHOOSE({1,2,3,4},XT!X294,XT!AB294,XT!AF294,XT!AJ294)))</f>
        <v>0</v>
      </c>
      <c r="AD294" t="str">
        <f>IFERROR(INDEX(CHOOSE({1,2,3,4}, DAY(XT!U294), DAY(XT!Y294), DAY(XT!AC294), DAY(XT!AG294)), MATCH(1, INDEX(--(MONTH(CHOOSE({1,2,3,4}, XT!U294,XT!Y294,XT!AC294,XT!AG294))=8), 0), 0)), "")</f>
        <v/>
      </c>
      <c r="AE294" s="51" t="str">
        <f>IF(XT!$P294&gt;0,AD294,"")</f>
        <v/>
      </c>
      <c r="AF294" s="51" t="str">
        <f>IF(XT!$P294=0,AD294,"")</f>
        <v/>
      </c>
      <c r="AG294">
        <f>SUMPRODUCT((MONTH(CHOOSE({1,2,3,4},XT!U294,XT!Y294,XT!AC294,XT!AG294))=9)*(CHOOSE({1,2,3,4},XT!X294,XT!AB294,XT!AF294,XT!AJ294)))</f>
        <v>0</v>
      </c>
      <c r="AH294" t="str">
        <f>IFERROR(INDEX(CHOOSE({1,2,3,4}, DAY(XT!U294), DAY(XT!Y294), DAY(XT!AC294), DAY(XT!AG294)), MATCH(1, INDEX(--(MONTH(CHOOSE({1,2,3,4}, XT!U294,XT!Y294,XT!AC294,XT!AG294))=9), 0), 0)), "")</f>
        <v/>
      </c>
      <c r="AI294" s="51" t="str">
        <f>IF(XT!$P294&gt;0,AH294,"")</f>
        <v/>
      </c>
      <c r="AJ294" s="51" t="str">
        <f>IF(XT!$P294=0,AH294,"")</f>
        <v/>
      </c>
      <c r="AK294">
        <f>SUMPRODUCT((MONTH(CHOOSE({1,2,3,4},XT!U294,XT!Y294,XT!AC294,XT!AG294))=10)*(CHOOSE({1,2,3,4},XT!X294,XT!AB294,XT!AF294,XT!AJ294)))</f>
        <v>0</v>
      </c>
      <c r="AL294" t="str">
        <f>IFERROR(INDEX(CHOOSE({1,2,3,4}, DAY(XT!U294), DAY(XT!Y294), DAY(XT!AC294), DAY(XT!AG294)), MATCH(1, INDEX(--(MONTH(CHOOSE({1,2,3,4}, XT!U294,XT!Y294,XT!AC294,XT!AG294))=10), 0), 0)), "")</f>
        <v/>
      </c>
      <c r="AM294" s="51" t="str">
        <f>IF(XT!$P294&gt;0,AL294,"")</f>
        <v/>
      </c>
      <c r="AN294" s="51" t="str">
        <f>IF(XT!$P294=0,AL294,"")</f>
        <v/>
      </c>
      <c r="AO294">
        <f>SUMPRODUCT((MONTH(CHOOSE({1,2,3,4},XT!U294,XT!Y294,XT!AC294,XT!AG294))=11)*(CHOOSE({1,2,3,4},XT!X294,XT!AB294,XT!AF294,XT!AJ294)))</f>
        <v>0</v>
      </c>
      <c r="AP294" t="str">
        <f>IFERROR(INDEX(CHOOSE({1,2,3,4}, DAY(XT!U294), DAY(XT!Y294), DAY(XT!AC294), DAY(XT!AG294)), MATCH(1, INDEX(--(MONTH(CHOOSE({1,2,3,4}, XT!U294,XT!Y294,XT!AC294,XT!AG294))=11), 0), 0)), "")</f>
        <v/>
      </c>
      <c r="AQ294" s="51" t="str">
        <f>IF(XT!$P294&gt;0,AP294,"")</f>
        <v/>
      </c>
      <c r="AR294" s="51" t="str">
        <f>IF(XT!$P294=0,AP294,"")</f>
        <v/>
      </c>
      <c r="AS294">
        <f>SUMPRODUCT((MONTH(CHOOSE({1,2,3,4},XT!U294,XT!Y294,XT!AC294,XT!AG294))=12)*(CHOOSE({1,2,3,4},XT!X294,XT!AB294,XT!AF294,XT!AJ294)))</f>
        <v>0</v>
      </c>
      <c r="AT294" t="str">
        <f>IFERROR(INDEX(CHOOSE({1,2,3,4}, DAY(XT!U294), DAY(XT!Y294), DAY(XT!AC294), DAY(XT!AG294)), MATCH(1, INDEX(--(MONTH(CHOOSE({1,2,3,4}, XT!U294,XT!Y294,XT!AC294,XT!AG294))=12), 0), 0)), "")</f>
        <v/>
      </c>
      <c r="AU294" s="51" t="str">
        <f>IF(XT!$P294&gt;0,AT294,"")</f>
        <v/>
      </c>
      <c r="AV294" s="51" t="str">
        <f>IF(XT!$P294=0,AT294,"")</f>
        <v/>
      </c>
    </row>
    <row r="295" spans="1:48">
      <c r="A295">
        <f>SUMPRODUCT((MONTH(CHOOSE({1,2,3,4},XT!U295,XT!Y295,XT!AC295,XT!AG295))=1)*(CHOOSE({1,2,3,4},XT!X295,XT!AB295,XT!AF295,XT!AJ295)))</f>
        <v>0</v>
      </c>
      <c r="B295">
        <f>IFERROR(INDEX(CHOOSE({1,2,3,4}, DAY(XT!U295), DAY(XT!Y295), DAY(XT!AC295), DAY(XT!AG295)), MATCH(1, INDEX(--(MONTH(CHOOSE({1,2,3,4}, XT!U295,XT!Y295,XT!AC295,XT!AG295))=1), 0), 0)), "")</f>
        <v>0</v>
      </c>
      <c r="C295" s="51" t="str">
        <f>IF(XT!$P295&gt;0,B295,"")</f>
        <v/>
      </c>
      <c r="D295" s="51">
        <f>IF(XT!$P295=0,B295,"")</f>
        <v>0</v>
      </c>
      <c r="E295">
        <f>SUMPRODUCT((MONTH(CHOOSE({1,2,3,4},XT!U295,XT!Y295,XT!AC295,XT!AG295))=2)*(CHOOSE({1,2,3,4},XT!X295,XT!AB295,XT!AF295,XT!AJ295)))</f>
        <v>0</v>
      </c>
      <c r="F295" t="str">
        <f>IFERROR(INDEX(CHOOSE({1,2,3,4}, DAY(XT!U295), DAY(XT!Y295), DAY(XT!AC295), DAY(XT!AG295)), MATCH(1, INDEX(--(MONTH(CHOOSE({1,2,3,4}, XT!U295,XT!Y295,XT!AC295,XT!AG295))=2), 0), 0)), "")</f>
        <v/>
      </c>
      <c r="G295" s="51" t="str">
        <f>IF(XT!$P295&gt;0,F295,"")</f>
        <v/>
      </c>
      <c r="H295" s="51" t="str">
        <f>IF(XT!$P295=0,F295,"")</f>
        <v/>
      </c>
      <c r="I295">
        <f>SUMPRODUCT((MONTH(CHOOSE({1,2,3,4},XT!U295,XT!Y295,XT!AC295,XT!AG295))=3)*(CHOOSE({1,2,3,4},XT!X295,XT!AB295,XT!AF295,XT!AJ295)))</f>
        <v>0</v>
      </c>
      <c r="J295" t="str">
        <f>IFERROR(INDEX(CHOOSE({1,2,3,4}, DAY(XT!U295), DAY(XT!Y295), DAY(XT!AC295), DAY(XT!AG295)), MATCH(1, INDEX(--(MONTH(CHOOSE({1,2,3,4}, XT!U295,XT!Y295,XT!AC295,XT!AG295))=3), 0), 0)), "")</f>
        <v/>
      </c>
      <c r="K295" s="51" t="str">
        <f>IF(XT!$P295&gt;0,J295,"")</f>
        <v/>
      </c>
      <c r="L295" s="51" t="str">
        <f>IF(XT!$P295=0,J295,"")</f>
        <v/>
      </c>
      <c r="M295">
        <f>SUMPRODUCT((MONTH(CHOOSE({1,2,3,4},XT!U295,XT!Y295,XT!AC295,XT!AG295))=4)*(CHOOSE({1,2,3,4},XT!X295,XT!AB295,XT!AF295,XT!AJ295)))</f>
        <v>0</v>
      </c>
      <c r="N295" t="str">
        <f>IFERROR(INDEX(CHOOSE({1,2,3,4}, DAY(XT!U295), DAY(XT!Y295), DAY(XT!AC295), DAY(XT!AG295)), MATCH(1, INDEX(--(MONTH(CHOOSE({1,2,3,4}, XT!U295,XT!Y295,XT!AC295,XT!AG295))=4), 0), 0)), "")</f>
        <v/>
      </c>
      <c r="O295" s="51" t="str">
        <f>IF(XT!$P295&gt;0,N295,"")</f>
        <v/>
      </c>
      <c r="P295" s="51" t="str">
        <f>IF(XT!$P295=0,N295,"")</f>
        <v/>
      </c>
      <c r="Q295">
        <f>SUMPRODUCT((MONTH(CHOOSE({1,2,3,4},XT!U295,XT!Y295,XT!AC295,XT!AG295))=5)*(CHOOSE({1,2,3,4},XT!X295,XT!AB295,XT!AF295,XT!AJ295)))</f>
        <v>0</v>
      </c>
      <c r="R295" t="str">
        <f>IFERROR(INDEX(CHOOSE({1,2,3,4}, DAY(XT!U295), DAY(XT!Y295), DAY(XT!AC295), DAY(XT!AG295)), MATCH(1, INDEX(--(MONTH(CHOOSE({1,2,3,4}, XT!U295,XT!Y295,XT!AC295,XT!AG295))=5), 0), 0)), "")</f>
        <v/>
      </c>
      <c r="S295" s="51" t="str">
        <f>IF(XT!$P295&gt;0,R295,"")</f>
        <v/>
      </c>
      <c r="T295" s="51" t="str">
        <f>IF(XT!$P295=0,R295,"")</f>
        <v/>
      </c>
      <c r="U295">
        <f>SUMPRODUCT((MONTH(CHOOSE({1,2,3,4},XT!U295,XT!Y295,XT!AC295,XT!AG295))=6)*(CHOOSE({1,2,3,4},XT!X295,XT!AB295,XT!AF295,XT!AJ295)))</f>
        <v>0</v>
      </c>
      <c r="V295" t="str">
        <f>IFERROR(INDEX(CHOOSE({1,2,3,4}, DAY(XT!U295), DAY(XT!Y295), DAY(XT!AC295), DAY(XT!AG295)), MATCH(1, INDEX(--(MONTH(CHOOSE({1,2,3,4}, XT!U295,XT!Y295,XT!AC295,XT!AG295))=6), 0), 0)), "")</f>
        <v/>
      </c>
      <c r="W295" s="51" t="str">
        <f>IF(XT!$P295&gt;0,V295,"")</f>
        <v/>
      </c>
      <c r="X295" s="51" t="str">
        <f>IF(XT!$P295=0,V295,"")</f>
        <v/>
      </c>
      <c r="Y295">
        <f>SUMPRODUCT((MONTH(CHOOSE({1,2,3,4},XT!U295,XT!Y295,XT!AC295,XT!AG295))=7)*(CHOOSE({1,2,3,4},XT!X295,XT!AB295,XT!AF295,XT!AJ295)))</f>
        <v>0</v>
      </c>
      <c r="Z295" t="str">
        <f>IFERROR(INDEX(CHOOSE({1,2,3,4}, DAY(XT!U295), DAY(XT!Y295), DAY(XT!AC295), DAY(XT!AG295)), MATCH(1, INDEX(--(MONTH(CHOOSE({1,2,3,4}, XT!U295,XT!Y295,XT!AC295,XT!AG295))=7), 0), 0)), "")</f>
        <v/>
      </c>
      <c r="AA295" s="51" t="str">
        <f>IF(XT!$P295&gt;0,Z295,"")</f>
        <v/>
      </c>
      <c r="AB295" s="51" t="str">
        <f>IF(XT!$P295=0,Z295,"")</f>
        <v/>
      </c>
      <c r="AC295">
        <f>SUMPRODUCT((MONTH(CHOOSE({1,2,3,4},XT!U295,XT!Y295,XT!AC295,XT!AG295))=8)*(CHOOSE({1,2,3,4},XT!X295,XT!AB295,XT!AF295,XT!AJ295)))</f>
        <v>0</v>
      </c>
      <c r="AD295" t="str">
        <f>IFERROR(INDEX(CHOOSE({1,2,3,4}, DAY(XT!U295), DAY(XT!Y295), DAY(XT!AC295), DAY(XT!AG295)), MATCH(1, INDEX(--(MONTH(CHOOSE({1,2,3,4}, XT!U295,XT!Y295,XT!AC295,XT!AG295))=8), 0), 0)), "")</f>
        <v/>
      </c>
      <c r="AE295" s="51" t="str">
        <f>IF(XT!$P295&gt;0,AD295,"")</f>
        <v/>
      </c>
      <c r="AF295" s="51" t="str">
        <f>IF(XT!$P295=0,AD295,"")</f>
        <v/>
      </c>
      <c r="AG295">
        <f>SUMPRODUCT((MONTH(CHOOSE({1,2,3,4},XT!U295,XT!Y295,XT!AC295,XT!AG295))=9)*(CHOOSE({1,2,3,4},XT!X295,XT!AB295,XT!AF295,XT!AJ295)))</f>
        <v>0</v>
      </c>
      <c r="AH295" t="str">
        <f>IFERROR(INDEX(CHOOSE({1,2,3,4}, DAY(XT!U295), DAY(XT!Y295), DAY(XT!AC295), DAY(XT!AG295)), MATCH(1, INDEX(--(MONTH(CHOOSE({1,2,3,4}, XT!U295,XT!Y295,XT!AC295,XT!AG295))=9), 0), 0)), "")</f>
        <v/>
      </c>
      <c r="AI295" s="51" t="str">
        <f>IF(XT!$P295&gt;0,AH295,"")</f>
        <v/>
      </c>
      <c r="AJ295" s="51" t="str">
        <f>IF(XT!$P295=0,AH295,"")</f>
        <v/>
      </c>
      <c r="AK295">
        <f>SUMPRODUCT((MONTH(CHOOSE({1,2,3,4},XT!U295,XT!Y295,XT!AC295,XT!AG295))=10)*(CHOOSE({1,2,3,4},XT!X295,XT!AB295,XT!AF295,XT!AJ295)))</f>
        <v>0</v>
      </c>
      <c r="AL295" t="str">
        <f>IFERROR(INDEX(CHOOSE({1,2,3,4}, DAY(XT!U295), DAY(XT!Y295), DAY(XT!AC295), DAY(XT!AG295)), MATCH(1, INDEX(--(MONTH(CHOOSE({1,2,3,4}, XT!U295,XT!Y295,XT!AC295,XT!AG295))=10), 0), 0)), "")</f>
        <v/>
      </c>
      <c r="AM295" s="51" t="str">
        <f>IF(XT!$P295&gt;0,AL295,"")</f>
        <v/>
      </c>
      <c r="AN295" s="51" t="str">
        <f>IF(XT!$P295=0,AL295,"")</f>
        <v/>
      </c>
      <c r="AO295">
        <f>SUMPRODUCT((MONTH(CHOOSE({1,2,3,4},XT!U295,XT!Y295,XT!AC295,XT!AG295))=11)*(CHOOSE({1,2,3,4},XT!X295,XT!AB295,XT!AF295,XT!AJ295)))</f>
        <v>0</v>
      </c>
      <c r="AP295" t="str">
        <f>IFERROR(INDEX(CHOOSE({1,2,3,4}, DAY(XT!U295), DAY(XT!Y295), DAY(XT!AC295), DAY(XT!AG295)), MATCH(1, INDEX(--(MONTH(CHOOSE({1,2,3,4}, XT!U295,XT!Y295,XT!AC295,XT!AG295))=11), 0), 0)), "")</f>
        <v/>
      </c>
      <c r="AQ295" s="51" t="str">
        <f>IF(XT!$P295&gt;0,AP295,"")</f>
        <v/>
      </c>
      <c r="AR295" s="51" t="str">
        <f>IF(XT!$P295=0,AP295,"")</f>
        <v/>
      </c>
      <c r="AS295">
        <f>SUMPRODUCT((MONTH(CHOOSE({1,2,3,4},XT!U295,XT!Y295,XT!AC295,XT!AG295))=12)*(CHOOSE({1,2,3,4},XT!X295,XT!AB295,XT!AF295,XT!AJ295)))</f>
        <v>0</v>
      </c>
      <c r="AT295" t="str">
        <f>IFERROR(INDEX(CHOOSE({1,2,3,4}, DAY(XT!U295), DAY(XT!Y295), DAY(XT!AC295), DAY(XT!AG295)), MATCH(1, INDEX(--(MONTH(CHOOSE({1,2,3,4}, XT!U295,XT!Y295,XT!AC295,XT!AG295))=12), 0), 0)), "")</f>
        <v/>
      </c>
      <c r="AU295" s="51" t="str">
        <f>IF(XT!$P295&gt;0,AT295,"")</f>
        <v/>
      </c>
      <c r="AV295" s="51" t="str">
        <f>IF(XT!$P295=0,AT295,"")</f>
        <v/>
      </c>
    </row>
    <row r="296" spans="1:48">
      <c r="A296">
        <f>SUMPRODUCT((MONTH(CHOOSE({1,2,3,4},XT!U296,XT!Y296,XT!AC296,XT!AG296))=1)*(CHOOSE({1,2,3,4},XT!X296,XT!AB296,XT!AF296,XT!AJ296)))</f>
        <v>0</v>
      </c>
      <c r="B296">
        <f>IFERROR(INDEX(CHOOSE({1,2,3,4}, DAY(XT!U296), DAY(XT!Y296), DAY(XT!AC296), DAY(XT!AG296)), MATCH(1, INDEX(--(MONTH(CHOOSE({1,2,3,4}, XT!U296,XT!Y296,XT!AC296,XT!AG296))=1), 0), 0)), "")</f>
        <v>0</v>
      </c>
      <c r="C296" s="51" t="str">
        <f>IF(XT!$P296&gt;0,B296,"")</f>
        <v/>
      </c>
      <c r="D296" s="51">
        <f>IF(XT!$P296=0,B296,"")</f>
        <v>0</v>
      </c>
      <c r="E296">
        <f>SUMPRODUCT((MONTH(CHOOSE({1,2,3,4},XT!U296,XT!Y296,XT!AC296,XT!AG296))=2)*(CHOOSE({1,2,3,4},XT!X296,XT!AB296,XT!AF296,XT!AJ296)))</f>
        <v>0</v>
      </c>
      <c r="F296" t="str">
        <f>IFERROR(INDEX(CHOOSE({1,2,3,4}, DAY(XT!U296), DAY(XT!Y296), DAY(XT!AC296), DAY(XT!AG296)), MATCH(1, INDEX(--(MONTH(CHOOSE({1,2,3,4}, XT!U296,XT!Y296,XT!AC296,XT!AG296))=2), 0), 0)), "")</f>
        <v/>
      </c>
      <c r="G296" s="51" t="str">
        <f>IF(XT!$P296&gt;0,F296,"")</f>
        <v/>
      </c>
      <c r="H296" s="51" t="str">
        <f>IF(XT!$P296=0,F296,"")</f>
        <v/>
      </c>
      <c r="I296">
        <f>SUMPRODUCT((MONTH(CHOOSE({1,2,3,4},XT!U296,XT!Y296,XT!AC296,XT!AG296))=3)*(CHOOSE({1,2,3,4},XT!X296,XT!AB296,XT!AF296,XT!AJ296)))</f>
        <v>0</v>
      </c>
      <c r="J296" t="str">
        <f>IFERROR(INDEX(CHOOSE({1,2,3,4}, DAY(XT!U296), DAY(XT!Y296), DAY(XT!AC296), DAY(XT!AG296)), MATCH(1, INDEX(--(MONTH(CHOOSE({1,2,3,4}, XT!U296,XT!Y296,XT!AC296,XT!AG296))=3), 0), 0)), "")</f>
        <v/>
      </c>
      <c r="K296" s="51" t="str">
        <f>IF(XT!$P296&gt;0,J296,"")</f>
        <v/>
      </c>
      <c r="L296" s="51" t="str">
        <f>IF(XT!$P296=0,J296,"")</f>
        <v/>
      </c>
      <c r="M296">
        <f>SUMPRODUCT((MONTH(CHOOSE({1,2,3,4},XT!U296,XT!Y296,XT!AC296,XT!AG296))=4)*(CHOOSE({1,2,3,4},XT!X296,XT!AB296,XT!AF296,XT!AJ296)))</f>
        <v>0</v>
      </c>
      <c r="N296" t="str">
        <f>IFERROR(INDEX(CHOOSE({1,2,3,4}, DAY(XT!U296), DAY(XT!Y296), DAY(XT!AC296), DAY(XT!AG296)), MATCH(1, INDEX(--(MONTH(CHOOSE({1,2,3,4}, XT!U296,XT!Y296,XT!AC296,XT!AG296))=4), 0), 0)), "")</f>
        <v/>
      </c>
      <c r="O296" s="51" t="str">
        <f>IF(XT!$P296&gt;0,N296,"")</f>
        <v/>
      </c>
      <c r="P296" s="51" t="str">
        <f>IF(XT!$P296=0,N296,"")</f>
        <v/>
      </c>
      <c r="Q296">
        <f>SUMPRODUCT((MONTH(CHOOSE({1,2,3,4},XT!U296,XT!Y296,XT!AC296,XT!AG296))=5)*(CHOOSE({1,2,3,4},XT!X296,XT!AB296,XT!AF296,XT!AJ296)))</f>
        <v>0</v>
      </c>
      <c r="R296" t="str">
        <f>IFERROR(INDEX(CHOOSE({1,2,3,4}, DAY(XT!U296), DAY(XT!Y296), DAY(XT!AC296), DAY(XT!AG296)), MATCH(1, INDEX(--(MONTH(CHOOSE({1,2,3,4}, XT!U296,XT!Y296,XT!AC296,XT!AG296))=5), 0), 0)), "")</f>
        <v/>
      </c>
      <c r="S296" s="51" t="str">
        <f>IF(XT!$P296&gt;0,R296,"")</f>
        <v/>
      </c>
      <c r="T296" s="51" t="str">
        <f>IF(XT!$P296=0,R296,"")</f>
        <v/>
      </c>
      <c r="U296">
        <f>SUMPRODUCT((MONTH(CHOOSE({1,2,3,4},XT!U296,XT!Y296,XT!AC296,XT!AG296))=6)*(CHOOSE({1,2,3,4},XT!X296,XT!AB296,XT!AF296,XT!AJ296)))</f>
        <v>0</v>
      </c>
      <c r="V296" t="str">
        <f>IFERROR(INDEX(CHOOSE({1,2,3,4}, DAY(XT!U296), DAY(XT!Y296), DAY(XT!AC296), DAY(XT!AG296)), MATCH(1, INDEX(--(MONTH(CHOOSE({1,2,3,4}, XT!U296,XT!Y296,XT!AC296,XT!AG296))=6), 0), 0)), "")</f>
        <v/>
      </c>
      <c r="W296" s="51" t="str">
        <f>IF(XT!$P296&gt;0,V296,"")</f>
        <v/>
      </c>
      <c r="X296" s="51" t="str">
        <f>IF(XT!$P296=0,V296,"")</f>
        <v/>
      </c>
      <c r="Y296">
        <f>SUMPRODUCT((MONTH(CHOOSE({1,2,3,4},XT!U296,XT!Y296,XT!AC296,XT!AG296))=7)*(CHOOSE({1,2,3,4},XT!X296,XT!AB296,XT!AF296,XT!AJ296)))</f>
        <v>0</v>
      </c>
      <c r="Z296" t="str">
        <f>IFERROR(INDEX(CHOOSE({1,2,3,4}, DAY(XT!U296), DAY(XT!Y296), DAY(XT!AC296), DAY(XT!AG296)), MATCH(1, INDEX(--(MONTH(CHOOSE({1,2,3,4}, XT!U296,XT!Y296,XT!AC296,XT!AG296))=7), 0), 0)), "")</f>
        <v/>
      </c>
      <c r="AA296" s="51" t="str">
        <f>IF(XT!$P296&gt;0,Z296,"")</f>
        <v/>
      </c>
      <c r="AB296" s="51" t="str">
        <f>IF(XT!$P296=0,Z296,"")</f>
        <v/>
      </c>
      <c r="AC296">
        <f>SUMPRODUCT((MONTH(CHOOSE({1,2,3,4},XT!U296,XT!Y296,XT!AC296,XT!AG296))=8)*(CHOOSE({1,2,3,4},XT!X296,XT!AB296,XT!AF296,XT!AJ296)))</f>
        <v>0</v>
      </c>
      <c r="AD296" t="str">
        <f>IFERROR(INDEX(CHOOSE({1,2,3,4}, DAY(XT!U296), DAY(XT!Y296), DAY(XT!AC296), DAY(XT!AG296)), MATCH(1, INDEX(--(MONTH(CHOOSE({1,2,3,4}, XT!U296,XT!Y296,XT!AC296,XT!AG296))=8), 0), 0)), "")</f>
        <v/>
      </c>
      <c r="AE296" s="51" t="str">
        <f>IF(XT!$P296&gt;0,AD296,"")</f>
        <v/>
      </c>
      <c r="AF296" s="51" t="str">
        <f>IF(XT!$P296=0,AD296,"")</f>
        <v/>
      </c>
      <c r="AG296">
        <f>SUMPRODUCT((MONTH(CHOOSE({1,2,3,4},XT!U296,XT!Y296,XT!AC296,XT!AG296))=9)*(CHOOSE({1,2,3,4},XT!X296,XT!AB296,XT!AF296,XT!AJ296)))</f>
        <v>0</v>
      </c>
      <c r="AH296" t="str">
        <f>IFERROR(INDEX(CHOOSE({1,2,3,4}, DAY(XT!U296), DAY(XT!Y296), DAY(XT!AC296), DAY(XT!AG296)), MATCH(1, INDEX(--(MONTH(CHOOSE({1,2,3,4}, XT!U296,XT!Y296,XT!AC296,XT!AG296))=9), 0), 0)), "")</f>
        <v/>
      </c>
      <c r="AI296" s="51" t="str">
        <f>IF(XT!$P296&gt;0,AH296,"")</f>
        <v/>
      </c>
      <c r="AJ296" s="51" t="str">
        <f>IF(XT!$P296=0,AH296,"")</f>
        <v/>
      </c>
      <c r="AK296">
        <f>SUMPRODUCT((MONTH(CHOOSE({1,2,3,4},XT!U296,XT!Y296,XT!AC296,XT!AG296))=10)*(CHOOSE({1,2,3,4},XT!X296,XT!AB296,XT!AF296,XT!AJ296)))</f>
        <v>0</v>
      </c>
      <c r="AL296" t="str">
        <f>IFERROR(INDEX(CHOOSE({1,2,3,4}, DAY(XT!U296), DAY(XT!Y296), DAY(XT!AC296), DAY(XT!AG296)), MATCH(1, INDEX(--(MONTH(CHOOSE({1,2,3,4}, XT!U296,XT!Y296,XT!AC296,XT!AG296))=10), 0), 0)), "")</f>
        <v/>
      </c>
      <c r="AM296" s="51" t="str">
        <f>IF(XT!$P296&gt;0,AL296,"")</f>
        <v/>
      </c>
      <c r="AN296" s="51" t="str">
        <f>IF(XT!$P296=0,AL296,"")</f>
        <v/>
      </c>
      <c r="AO296">
        <f>SUMPRODUCT((MONTH(CHOOSE({1,2,3,4},XT!U296,XT!Y296,XT!AC296,XT!AG296))=11)*(CHOOSE({1,2,3,4},XT!X296,XT!AB296,XT!AF296,XT!AJ296)))</f>
        <v>0</v>
      </c>
      <c r="AP296" t="str">
        <f>IFERROR(INDEX(CHOOSE({1,2,3,4}, DAY(XT!U296), DAY(XT!Y296), DAY(XT!AC296), DAY(XT!AG296)), MATCH(1, INDEX(--(MONTH(CHOOSE({1,2,3,4}, XT!U296,XT!Y296,XT!AC296,XT!AG296))=11), 0), 0)), "")</f>
        <v/>
      </c>
      <c r="AQ296" s="51" t="str">
        <f>IF(XT!$P296&gt;0,AP296,"")</f>
        <v/>
      </c>
      <c r="AR296" s="51" t="str">
        <f>IF(XT!$P296=0,AP296,"")</f>
        <v/>
      </c>
      <c r="AS296">
        <f>SUMPRODUCT((MONTH(CHOOSE({1,2,3,4},XT!U296,XT!Y296,XT!AC296,XT!AG296))=12)*(CHOOSE({1,2,3,4},XT!X296,XT!AB296,XT!AF296,XT!AJ296)))</f>
        <v>0</v>
      </c>
      <c r="AT296" t="str">
        <f>IFERROR(INDEX(CHOOSE({1,2,3,4}, DAY(XT!U296), DAY(XT!Y296), DAY(XT!AC296), DAY(XT!AG296)), MATCH(1, INDEX(--(MONTH(CHOOSE({1,2,3,4}, XT!U296,XT!Y296,XT!AC296,XT!AG296))=12), 0), 0)), "")</f>
        <v/>
      </c>
      <c r="AU296" s="51" t="str">
        <f>IF(XT!$P296&gt;0,AT296,"")</f>
        <v/>
      </c>
      <c r="AV296" s="51" t="str">
        <f>IF(XT!$P296=0,AT296,"")</f>
        <v/>
      </c>
    </row>
    <row r="297" spans="1:48">
      <c r="A297">
        <f>SUMPRODUCT((MONTH(CHOOSE({1,2,3,4},XT!U297,XT!Y297,XT!AC297,XT!AG297))=1)*(CHOOSE({1,2,3,4},XT!X297,XT!AB297,XT!AF297,XT!AJ297)))</f>
        <v>0</v>
      </c>
      <c r="B297">
        <f>IFERROR(INDEX(CHOOSE({1,2,3,4}, DAY(XT!U297), DAY(XT!Y297), DAY(XT!AC297), DAY(XT!AG297)), MATCH(1, INDEX(--(MONTH(CHOOSE({1,2,3,4}, XT!U297,XT!Y297,XT!AC297,XT!AG297))=1), 0), 0)), "")</f>
        <v>0</v>
      </c>
      <c r="C297" s="51" t="str">
        <f>IF(XT!$P297&gt;0,B297,"")</f>
        <v/>
      </c>
      <c r="D297" s="51">
        <f>IF(XT!$P297=0,B297,"")</f>
        <v>0</v>
      </c>
      <c r="E297">
        <f>SUMPRODUCT((MONTH(CHOOSE({1,2,3,4},XT!U297,XT!Y297,XT!AC297,XT!AG297))=2)*(CHOOSE({1,2,3,4},XT!X297,XT!AB297,XT!AF297,XT!AJ297)))</f>
        <v>0</v>
      </c>
      <c r="F297" t="str">
        <f>IFERROR(INDEX(CHOOSE({1,2,3,4}, DAY(XT!U297), DAY(XT!Y297), DAY(XT!AC297), DAY(XT!AG297)), MATCH(1, INDEX(--(MONTH(CHOOSE({1,2,3,4}, XT!U297,XT!Y297,XT!AC297,XT!AG297))=2), 0), 0)), "")</f>
        <v/>
      </c>
      <c r="G297" s="51" t="str">
        <f>IF(XT!$P297&gt;0,F297,"")</f>
        <v/>
      </c>
      <c r="H297" s="51" t="str">
        <f>IF(XT!$P297=0,F297,"")</f>
        <v/>
      </c>
      <c r="I297">
        <f>SUMPRODUCT((MONTH(CHOOSE({1,2,3,4},XT!U297,XT!Y297,XT!AC297,XT!AG297))=3)*(CHOOSE({1,2,3,4},XT!X297,XT!AB297,XT!AF297,XT!AJ297)))</f>
        <v>0</v>
      </c>
      <c r="J297" t="str">
        <f>IFERROR(INDEX(CHOOSE({1,2,3,4}, DAY(XT!U297), DAY(XT!Y297), DAY(XT!AC297), DAY(XT!AG297)), MATCH(1, INDEX(--(MONTH(CHOOSE({1,2,3,4}, XT!U297,XT!Y297,XT!AC297,XT!AG297))=3), 0), 0)), "")</f>
        <v/>
      </c>
      <c r="K297" s="51" t="str">
        <f>IF(XT!$P297&gt;0,J297,"")</f>
        <v/>
      </c>
      <c r="L297" s="51" t="str">
        <f>IF(XT!$P297=0,J297,"")</f>
        <v/>
      </c>
      <c r="M297">
        <f>SUMPRODUCT((MONTH(CHOOSE({1,2,3,4},XT!U297,XT!Y297,XT!AC297,XT!AG297))=4)*(CHOOSE({1,2,3,4},XT!X297,XT!AB297,XT!AF297,XT!AJ297)))</f>
        <v>0</v>
      </c>
      <c r="N297" t="str">
        <f>IFERROR(INDEX(CHOOSE({1,2,3,4}, DAY(XT!U297), DAY(XT!Y297), DAY(XT!AC297), DAY(XT!AG297)), MATCH(1, INDEX(--(MONTH(CHOOSE({1,2,3,4}, XT!U297,XT!Y297,XT!AC297,XT!AG297))=4), 0), 0)), "")</f>
        <v/>
      </c>
      <c r="O297" s="51" t="str">
        <f>IF(XT!$P297&gt;0,N297,"")</f>
        <v/>
      </c>
      <c r="P297" s="51" t="str">
        <f>IF(XT!$P297=0,N297,"")</f>
        <v/>
      </c>
      <c r="Q297">
        <f>SUMPRODUCT((MONTH(CHOOSE({1,2,3,4},XT!U297,XT!Y297,XT!AC297,XT!AG297))=5)*(CHOOSE({1,2,3,4},XT!X297,XT!AB297,XT!AF297,XT!AJ297)))</f>
        <v>0</v>
      </c>
      <c r="R297" t="str">
        <f>IFERROR(INDEX(CHOOSE({1,2,3,4}, DAY(XT!U297), DAY(XT!Y297), DAY(XT!AC297), DAY(XT!AG297)), MATCH(1, INDEX(--(MONTH(CHOOSE({1,2,3,4}, XT!U297,XT!Y297,XT!AC297,XT!AG297))=5), 0), 0)), "")</f>
        <v/>
      </c>
      <c r="S297" s="51" t="str">
        <f>IF(XT!$P297&gt;0,R297,"")</f>
        <v/>
      </c>
      <c r="T297" s="51" t="str">
        <f>IF(XT!$P297=0,R297,"")</f>
        <v/>
      </c>
      <c r="U297">
        <f>SUMPRODUCT((MONTH(CHOOSE({1,2,3,4},XT!U297,XT!Y297,XT!AC297,XT!AG297))=6)*(CHOOSE({1,2,3,4},XT!X297,XT!AB297,XT!AF297,XT!AJ297)))</f>
        <v>0</v>
      </c>
      <c r="V297" t="str">
        <f>IFERROR(INDEX(CHOOSE({1,2,3,4}, DAY(XT!U297), DAY(XT!Y297), DAY(XT!AC297), DAY(XT!AG297)), MATCH(1, INDEX(--(MONTH(CHOOSE({1,2,3,4}, XT!U297,XT!Y297,XT!AC297,XT!AG297))=6), 0), 0)), "")</f>
        <v/>
      </c>
      <c r="W297" s="51" t="str">
        <f>IF(XT!$P297&gt;0,V297,"")</f>
        <v/>
      </c>
      <c r="X297" s="51" t="str">
        <f>IF(XT!$P297=0,V297,"")</f>
        <v/>
      </c>
      <c r="Y297">
        <f>SUMPRODUCT((MONTH(CHOOSE({1,2,3,4},XT!U297,XT!Y297,XT!AC297,XT!AG297))=7)*(CHOOSE({1,2,3,4},XT!X297,XT!AB297,XT!AF297,XT!AJ297)))</f>
        <v>0</v>
      </c>
      <c r="Z297" t="str">
        <f>IFERROR(INDEX(CHOOSE({1,2,3,4}, DAY(XT!U297), DAY(XT!Y297), DAY(XT!AC297), DAY(XT!AG297)), MATCH(1, INDEX(--(MONTH(CHOOSE({1,2,3,4}, XT!U297,XT!Y297,XT!AC297,XT!AG297))=7), 0), 0)), "")</f>
        <v/>
      </c>
      <c r="AA297" s="51" t="str">
        <f>IF(XT!$P297&gt;0,Z297,"")</f>
        <v/>
      </c>
      <c r="AB297" s="51" t="str">
        <f>IF(XT!$P297=0,Z297,"")</f>
        <v/>
      </c>
      <c r="AC297">
        <f>SUMPRODUCT((MONTH(CHOOSE({1,2,3,4},XT!U297,XT!Y297,XT!AC297,XT!AG297))=8)*(CHOOSE({1,2,3,4},XT!X297,XT!AB297,XT!AF297,XT!AJ297)))</f>
        <v>0</v>
      </c>
      <c r="AD297" t="str">
        <f>IFERROR(INDEX(CHOOSE({1,2,3,4}, DAY(XT!U297), DAY(XT!Y297), DAY(XT!AC297), DAY(XT!AG297)), MATCH(1, INDEX(--(MONTH(CHOOSE({1,2,3,4}, XT!U297,XT!Y297,XT!AC297,XT!AG297))=8), 0), 0)), "")</f>
        <v/>
      </c>
      <c r="AE297" s="51" t="str">
        <f>IF(XT!$P297&gt;0,AD297,"")</f>
        <v/>
      </c>
      <c r="AF297" s="51" t="str">
        <f>IF(XT!$P297=0,AD297,"")</f>
        <v/>
      </c>
      <c r="AG297">
        <f>SUMPRODUCT((MONTH(CHOOSE({1,2,3,4},XT!U297,XT!Y297,XT!AC297,XT!AG297))=9)*(CHOOSE({1,2,3,4},XT!X297,XT!AB297,XT!AF297,XT!AJ297)))</f>
        <v>0</v>
      </c>
      <c r="AH297" t="str">
        <f>IFERROR(INDEX(CHOOSE({1,2,3,4}, DAY(XT!U297), DAY(XT!Y297), DAY(XT!AC297), DAY(XT!AG297)), MATCH(1, INDEX(--(MONTH(CHOOSE({1,2,3,4}, XT!U297,XT!Y297,XT!AC297,XT!AG297))=9), 0), 0)), "")</f>
        <v/>
      </c>
      <c r="AI297" s="51" t="str">
        <f>IF(XT!$P297&gt;0,AH297,"")</f>
        <v/>
      </c>
      <c r="AJ297" s="51" t="str">
        <f>IF(XT!$P297=0,AH297,"")</f>
        <v/>
      </c>
      <c r="AK297">
        <f>SUMPRODUCT((MONTH(CHOOSE({1,2,3,4},XT!U297,XT!Y297,XT!AC297,XT!AG297))=10)*(CHOOSE({1,2,3,4},XT!X297,XT!AB297,XT!AF297,XT!AJ297)))</f>
        <v>0</v>
      </c>
      <c r="AL297" t="str">
        <f>IFERROR(INDEX(CHOOSE({1,2,3,4}, DAY(XT!U297), DAY(XT!Y297), DAY(XT!AC297), DAY(XT!AG297)), MATCH(1, INDEX(--(MONTH(CHOOSE({1,2,3,4}, XT!U297,XT!Y297,XT!AC297,XT!AG297))=10), 0), 0)), "")</f>
        <v/>
      </c>
      <c r="AM297" s="51" t="str">
        <f>IF(XT!$P297&gt;0,AL297,"")</f>
        <v/>
      </c>
      <c r="AN297" s="51" t="str">
        <f>IF(XT!$P297=0,AL297,"")</f>
        <v/>
      </c>
      <c r="AO297">
        <f>SUMPRODUCT((MONTH(CHOOSE({1,2,3,4},XT!U297,XT!Y297,XT!AC297,XT!AG297))=11)*(CHOOSE({1,2,3,4},XT!X297,XT!AB297,XT!AF297,XT!AJ297)))</f>
        <v>0</v>
      </c>
      <c r="AP297" t="str">
        <f>IFERROR(INDEX(CHOOSE({1,2,3,4}, DAY(XT!U297), DAY(XT!Y297), DAY(XT!AC297), DAY(XT!AG297)), MATCH(1, INDEX(--(MONTH(CHOOSE({1,2,3,4}, XT!U297,XT!Y297,XT!AC297,XT!AG297))=11), 0), 0)), "")</f>
        <v/>
      </c>
      <c r="AQ297" s="51" t="str">
        <f>IF(XT!$P297&gt;0,AP297,"")</f>
        <v/>
      </c>
      <c r="AR297" s="51" t="str">
        <f>IF(XT!$P297=0,AP297,"")</f>
        <v/>
      </c>
      <c r="AS297">
        <f>SUMPRODUCT((MONTH(CHOOSE({1,2,3,4},XT!U297,XT!Y297,XT!AC297,XT!AG297))=12)*(CHOOSE({1,2,3,4},XT!X297,XT!AB297,XT!AF297,XT!AJ297)))</f>
        <v>0</v>
      </c>
      <c r="AT297" t="str">
        <f>IFERROR(INDEX(CHOOSE({1,2,3,4}, DAY(XT!U297), DAY(XT!Y297), DAY(XT!AC297), DAY(XT!AG297)), MATCH(1, INDEX(--(MONTH(CHOOSE({1,2,3,4}, XT!U297,XT!Y297,XT!AC297,XT!AG297))=12), 0), 0)), "")</f>
        <v/>
      </c>
      <c r="AU297" s="51" t="str">
        <f>IF(XT!$P297&gt;0,AT297,"")</f>
        <v/>
      </c>
      <c r="AV297" s="51" t="str">
        <f>IF(XT!$P297=0,AT297,"")</f>
        <v/>
      </c>
    </row>
    <row r="298" spans="1:48">
      <c r="A298">
        <f>SUMPRODUCT((MONTH(CHOOSE({1,2,3,4},XT!U298,XT!Y298,XT!AC298,XT!AG298))=1)*(CHOOSE({1,2,3,4},XT!X298,XT!AB298,XT!AF298,XT!AJ298)))</f>
        <v>0</v>
      </c>
      <c r="B298">
        <f>IFERROR(INDEX(CHOOSE({1,2,3,4}, DAY(XT!U298), DAY(XT!Y298), DAY(XT!AC298), DAY(XT!AG298)), MATCH(1, INDEX(--(MONTH(CHOOSE({1,2,3,4}, XT!U298,XT!Y298,XT!AC298,XT!AG298))=1), 0), 0)), "")</f>
        <v>0</v>
      </c>
      <c r="C298" s="51" t="str">
        <f>IF(XT!$P298&gt;0,B298,"")</f>
        <v/>
      </c>
      <c r="D298" s="51">
        <f>IF(XT!$P298=0,B298,"")</f>
        <v>0</v>
      </c>
      <c r="E298">
        <f>SUMPRODUCT((MONTH(CHOOSE({1,2,3,4},XT!U298,XT!Y298,XT!AC298,XT!AG298))=2)*(CHOOSE({1,2,3,4},XT!X298,XT!AB298,XT!AF298,XT!AJ298)))</f>
        <v>0</v>
      </c>
      <c r="F298" t="str">
        <f>IFERROR(INDEX(CHOOSE({1,2,3,4}, DAY(XT!U298), DAY(XT!Y298), DAY(XT!AC298), DAY(XT!AG298)), MATCH(1, INDEX(--(MONTH(CHOOSE({1,2,3,4}, XT!U298,XT!Y298,XT!AC298,XT!AG298))=2), 0), 0)), "")</f>
        <v/>
      </c>
      <c r="G298" s="51" t="str">
        <f>IF(XT!$P298&gt;0,F298,"")</f>
        <v/>
      </c>
      <c r="H298" s="51" t="str">
        <f>IF(XT!$P298=0,F298,"")</f>
        <v/>
      </c>
      <c r="I298">
        <f>SUMPRODUCT((MONTH(CHOOSE({1,2,3,4},XT!U298,XT!Y298,XT!AC298,XT!AG298))=3)*(CHOOSE({1,2,3,4},XT!X298,XT!AB298,XT!AF298,XT!AJ298)))</f>
        <v>0</v>
      </c>
      <c r="J298" t="str">
        <f>IFERROR(INDEX(CHOOSE({1,2,3,4}, DAY(XT!U298), DAY(XT!Y298), DAY(XT!AC298), DAY(XT!AG298)), MATCH(1, INDEX(--(MONTH(CHOOSE({1,2,3,4}, XT!U298,XT!Y298,XT!AC298,XT!AG298))=3), 0), 0)), "")</f>
        <v/>
      </c>
      <c r="K298" s="51" t="str">
        <f>IF(XT!$P298&gt;0,J298,"")</f>
        <v/>
      </c>
      <c r="L298" s="51" t="str">
        <f>IF(XT!$P298=0,J298,"")</f>
        <v/>
      </c>
      <c r="M298">
        <f>SUMPRODUCT((MONTH(CHOOSE({1,2,3,4},XT!U298,XT!Y298,XT!AC298,XT!AG298))=4)*(CHOOSE({1,2,3,4},XT!X298,XT!AB298,XT!AF298,XT!AJ298)))</f>
        <v>0</v>
      </c>
      <c r="N298" t="str">
        <f>IFERROR(INDEX(CHOOSE({1,2,3,4}, DAY(XT!U298), DAY(XT!Y298), DAY(XT!AC298), DAY(XT!AG298)), MATCH(1, INDEX(--(MONTH(CHOOSE({1,2,3,4}, XT!U298,XT!Y298,XT!AC298,XT!AG298))=4), 0), 0)), "")</f>
        <v/>
      </c>
      <c r="O298" s="51" t="str">
        <f>IF(XT!$P298&gt;0,N298,"")</f>
        <v/>
      </c>
      <c r="P298" s="51" t="str">
        <f>IF(XT!$P298=0,N298,"")</f>
        <v/>
      </c>
      <c r="Q298">
        <f>SUMPRODUCT((MONTH(CHOOSE({1,2,3,4},XT!U298,XT!Y298,XT!AC298,XT!AG298))=5)*(CHOOSE({1,2,3,4},XT!X298,XT!AB298,XT!AF298,XT!AJ298)))</f>
        <v>0</v>
      </c>
      <c r="R298" t="str">
        <f>IFERROR(INDEX(CHOOSE({1,2,3,4}, DAY(XT!U298), DAY(XT!Y298), DAY(XT!AC298), DAY(XT!AG298)), MATCH(1, INDEX(--(MONTH(CHOOSE({1,2,3,4}, XT!U298,XT!Y298,XT!AC298,XT!AG298))=5), 0), 0)), "")</f>
        <v/>
      </c>
      <c r="S298" s="51" t="str">
        <f>IF(XT!$P298&gt;0,R298,"")</f>
        <v/>
      </c>
      <c r="T298" s="51" t="str">
        <f>IF(XT!$P298=0,R298,"")</f>
        <v/>
      </c>
      <c r="U298">
        <f>SUMPRODUCT((MONTH(CHOOSE({1,2,3,4},XT!U298,XT!Y298,XT!AC298,XT!AG298))=6)*(CHOOSE({1,2,3,4},XT!X298,XT!AB298,XT!AF298,XT!AJ298)))</f>
        <v>0</v>
      </c>
      <c r="V298" t="str">
        <f>IFERROR(INDEX(CHOOSE({1,2,3,4}, DAY(XT!U298), DAY(XT!Y298), DAY(XT!AC298), DAY(XT!AG298)), MATCH(1, INDEX(--(MONTH(CHOOSE({1,2,3,4}, XT!U298,XT!Y298,XT!AC298,XT!AG298))=6), 0), 0)), "")</f>
        <v/>
      </c>
      <c r="W298" s="51" t="str">
        <f>IF(XT!$P298&gt;0,V298,"")</f>
        <v/>
      </c>
      <c r="X298" s="51" t="str">
        <f>IF(XT!$P298=0,V298,"")</f>
        <v/>
      </c>
      <c r="Y298">
        <f>SUMPRODUCT((MONTH(CHOOSE({1,2,3,4},XT!U298,XT!Y298,XT!AC298,XT!AG298))=7)*(CHOOSE({1,2,3,4},XT!X298,XT!AB298,XT!AF298,XT!AJ298)))</f>
        <v>0</v>
      </c>
      <c r="Z298" t="str">
        <f>IFERROR(INDEX(CHOOSE({1,2,3,4}, DAY(XT!U298), DAY(XT!Y298), DAY(XT!AC298), DAY(XT!AG298)), MATCH(1, INDEX(--(MONTH(CHOOSE({1,2,3,4}, XT!U298,XT!Y298,XT!AC298,XT!AG298))=7), 0), 0)), "")</f>
        <v/>
      </c>
      <c r="AA298" s="51" t="str">
        <f>IF(XT!$P298&gt;0,Z298,"")</f>
        <v/>
      </c>
      <c r="AB298" s="51" t="str">
        <f>IF(XT!$P298=0,Z298,"")</f>
        <v/>
      </c>
      <c r="AC298">
        <f>SUMPRODUCT((MONTH(CHOOSE({1,2,3,4},XT!U298,XT!Y298,XT!AC298,XT!AG298))=8)*(CHOOSE({1,2,3,4},XT!X298,XT!AB298,XT!AF298,XT!AJ298)))</f>
        <v>0</v>
      </c>
      <c r="AD298" t="str">
        <f>IFERROR(INDEX(CHOOSE({1,2,3,4}, DAY(XT!U298), DAY(XT!Y298), DAY(XT!AC298), DAY(XT!AG298)), MATCH(1, INDEX(--(MONTH(CHOOSE({1,2,3,4}, XT!U298,XT!Y298,XT!AC298,XT!AG298))=8), 0), 0)), "")</f>
        <v/>
      </c>
      <c r="AE298" s="51" t="str">
        <f>IF(XT!$P298&gt;0,AD298,"")</f>
        <v/>
      </c>
      <c r="AF298" s="51" t="str">
        <f>IF(XT!$P298=0,AD298,"")</f>
        <v/>
      </c>
      <c r="AG298">
        <f>SUMPRODUCT((MONTH(CHOOSE({1,2,3,4},XT!U298,XT!Y298,XT!AC298,XT!AG298))=9)*(CHOOSE({1,2,3,4},XT!X298,XT!AB298,XT!AF298,XT!AJ298)))</f>
        <v>0</v>
      </c>
      <c r="AH298" t="str">
        <f>IFERROR(INDEX(CHOOSE({1,2,3,4}, DAY(XT!U298), DAY(XT!Y298), DAY(XT!AC298), DAY(XT!AG298)), MATCH(1, INDEX(--(MONTH(CHOOSE({1,2,3,4}, XT!U298,XT!Y298,XT!AC298,XT!AG298))=9), 0), 0)), "")</f>
        <v/>
      </c>
      <c r="AI298" s="51" t="str">
        <f>IF(XT!$P298&gt;0,AH298,"")</f>
        <v/>
      </c>
      <c r="AJ298" s="51" t="str">
        <f>IF(XT!$P298=0,AH298,"")</f>
        <v/>
      </c>
      <c r="AK298">
        <f>SUMPRODUCT((MONTH(CHOOSE({1,2,3,4},XT!U298,XT!Y298,XT!AC298,XT!AG298))=10)*(CHOOSE({1,2,3,4},XT!X298,XT!AB298,XT!AF298,XT!AJ298)))</f>
        <v>0</v>
      </c>
      <c r="AL298" t="str">
        <f>IFERROR(INDEX(CHOOSE({1,2,3,4}, DAY(XT!U298), DAY(XT!Y298), DAY(XT!AC298), DAY(XT!AG298)), MATCH(1, INDEX(--(MONTH(CHOOSE({1,2,3,4}, XT!U298,XT!Y298,XT!AC298,XT!AG298))=10), 0), 0)), "")</f>
        <v/>
      </c>
      <c r="AM298" s="51" t="str">
        <f>IF(XT!$P298&gt;0,AL298,"")</f>
        <v/>
      </c>
      <c r="AN298" s="51" t="str">
        <f>IF(XT!$P298=0,AL298,"")</f>
        <v/>
      </c>
      <c r="AO298">
        <f>SUMPRODUCT((MONTH(CHOOSE({1,2,3,4},XT!U298,XT!Y298,XT!AC298,XT!AG298))=11)*(CHOOSE({1,2,3,4},XT!X298,XT!AB298,XT!AF298,XT!AJ298)))</f>
        <v>0</v>
      </c>
      <c r="AP298" t="str">
        <f>IFERROR(INDEX(CHOOSE({1,2,3,4}, DAY(XT!U298), DAY(XT!Y298), DAY(XT!AC298), DAY(XT!AG298)), MATCH(1, INDEX(--(MONTH(CHOOSE({1,2,3,4}, XT!U298,XT!Y298,XT!AC298,XT!AG298))=11), 0), 0)), "")</f>
        <v/>
      </c>
      <c r="AQ298" s="51" t="str">
        <f>IF(XT!$P298&gt;0,AP298,"")</f>
        <v/>
      </c>
      <c r="AR298" s="51" t="str">
        <f>IF(XT!$P298=0,AP298,"")</f>
        <v/>
      </c>
      <c r="AS298">
        <f>SUMPRODUCT((MONTH(CHOOSE({1,2,3,4},XT!U298,XT!Y298,XT!AC298,XT!AG298))=12)*(CHOOSE({1,2,3,4},XT!X298,XT!AB298,XT!AF298,XT!AJ298)))</f>
        <v>0</v>
      </c>
      <c r="AT298" t="str">
        <f>IFERROR(INDEX(CHOOSE({1,2,3,4}, DAY(XT!U298), DAY(XT!Y298), DAY(XT!AC298), DAY(XT!AG298)), MATCH(1, INDEX(--(MONTH(CHOOSE({1,2,3,4}, XT!U298,XT!Y298,XT!AC298,XT!AG298))=12), 0), 0)), "")</f>
        <v/>
      </c>
      <c r="AU298" s="51" t="str">
        <f>IF(XT!$P298&gt;0,AT298,"")</f>
        <v/>
      </c>
      <c r="AV298" s="51" t="str">
        <f>IF(XT!$P298=0,AT298,"")</f>
        <v/>
      </c>
    </row>
    <row r="299" spans="1:48">
      <c r="A299">
        <f>SUMPRODUCT((MONTH(CHOOSE({1,2,3,4},XT!U299,XT!Y299,XT!AC299,XT!AG299))=1)*(CHOOSE({1,2,3,4},XT!X299,XT!AB299,XT!AF299,XT!AJ299)))</f>
        <v>0</v>
      </c>
      <c r="B299">
        <f>IFERROR(INDEX(CHOOSE({1,2,3,4}, DAY(XT!U299), DAY(XT!Y299), DAY(XT!AC299), DAY(XT!AG299)), MATCH(1, INDEX(--(MONTH(CHOOSE({1,2,3,4}, XT!U299,XT!Y299,XT!AC299,XT!AG299))=1), 0), 0)), "")</f>
        <v>0</v>
      </c>
      <c r="C299" s="51" t="str">
        <f>IF(XT!$P299&gt;0,B299,"")</f>
        <v/>
      </c>
      <c r="D299" s="51">
        <f>IF(XT!$P299=0,B299,"")</f>
        <v>0</v>
      </c>
      <c r="E299">
        <f>SUMPRODUCT((MONTH(CHOOSE({1,2,3,4},XT!U299,XT!Y299,XT!AC299,XT!AG299))=2)*(CHOOSE({1,2,3,4},XT!X299,XT!AB299,XT!AF299,XT!AJ299)))</f>
        <v>0</v>
      </c>
      <c r="F299" t="str">
        <f>IFERROR(INDEX(CHOOSE({1,2,3,4}, DAY(XT!U299), DAY(XT!Y299), DAY(XT!AC299), DAY(XT!AG299)), MATCH(1, INDEX(--(MONTH(CHOOSE({1,2,3,4}, XT!U299,XT!Y299,XT!AC299,XT!AG299))=2), 0), 0)), "")</f>
        <v/>
      </c>
      <c r="G299" s="51" t="str">
        <f>IF(XT!$P299&gt;0,F299,"")</f>
        <v/>
      </c>
      <c r="H299" s="51" t="str">
        <f>IF(XT!$P299=0,F299,"")</f>
        <v/>
      </c>
      <c r="I299">
        <f>SUMPRODUCT((MONTH(CHOOSE({1,2,3,4},XT!U299,XT!Y299,XT!AC299,XT!AG299))=3)*(CHOOSE({1,2,3,4},XT!X299,XT!AB299,XT!AF299,XT!AJ299)))</f>
        <v>0</v>
      </c>
      <c r="J299" t="str">
        <f>IFERROR(INDEX(CHOOSE({1,2,3,4}, DAY(XT!U299), DAY(XT!Y299), DAY(XT!AC299), DAY(XT!AG299)), MATCH(1, INDEX(--(MONTH(CHOOSE({1,2,3,4}, XT!U299,XT!Y299,XT!AC299,XT!AG299))=3), 0), 0)), "")</f>
        <v/>
      </c>
      <c r="K299" s="51" t="str">
        <f>IF(XT!$P299&gt;0,J299,"")</f>
        <v/>
      </c>
      <c r="L299" s="51" t="str">
        <f>IF(XT!$P299=0,J299,"")</f>
        <v/>
      </c>
      <c r="M299">
        <f>SUMPRODUCT((MONTH(CHOOSE({1,2,3,4},XT!U299,XT!Y299,XT!AC299,XT!AG299))=4)*(CHOOSE({1,2,3,4},XT!X299,XT!AB299,XT!AF299,XT!AJ299)))</f>
        <v>0</v>
      </c>
      <c r="N299" t="str">
        <f>IFERROR(INDEX(CHOOSE({1,2,3,4}, DAY(XT!U299), DAY(XT!Y299), DAY(XT!AC299), DAY(XT!AG299)), MATCH(1, INDEX(--(MONTH(CHOOSE({1,2,3,4}, XT!U299,XT!Y299,XT!AC299,XT!AG299))=4), 0), 0)), "")</f>
        <v/>
      </c>
      <c r="O299" s="51" t="str">
        <f>IF(XT!$P299&gt;0,N299,"")</f>
        <v/>
      </c>
      <c r="P299" s="51" t="str">
        <f>IF(XT!$P299=0,N299,"")</f>
        <v/>
      </c>
      <c r="Q299">
        <f>SUMPRODUCT((MONTH(CHOOSE({1,2,3,4},XT!U299,XT!Y299,XT!AC299,XT!AG299))=5)*(CHOOSE({1,2,3,4},XT!X299,XT!AB299,XT!AF299,XT!AJ299)))</f>
        <v>0</v>
      </c>
      <c r="R299" t="str">
        <f>IFERROR(INDEX(CHOOSE({1,2,3,4}, DAY(XT!U299), DAY(XT!Y299), DAY(XT!AC299), DAY(XT!AG299)), MATCH(1, INDEX(--(MONTH(CHOOSE({1,2,3,4}, XT!U299,XT!Y299,XT!AC299,XT!AG299))=5), 0), 0)), "")</f>
        <v/>
      </c>
      <c r="S299" s="51" t="str">
        <f>IF(XT!$P299&gt;0,R299,"")</f>
        <v/>
      </c>
      <c r="T299" s="51" t="str">
        <f>IF(XT!$P299=0,R299,"")</f>
        <v/>
      </c>
      <c r="U299">
        <f>SUMPRODUCT((MONTH(CHOOSE({1,2,3,4},XT!U299,XT!Y299,XT!AC299,XT!AG299))=6)*(CHOOSE({1,2,3,4},XT!X299,XT!AB299,XT!AF299,XT!AJ299)))</f>
        <v>0</v>
      </c>
      <c r="V299" t="str">
        <f>IFERROR(INDEX(CHOOSE({1,2,3,4}, DAY(XT!U299), DAY(XT!Y299), DAY(XT!AC299), DAY(XT!AG299)), MATCH(1, INDEX(--(MONTH(CHOOSE({1,2,3,4}, XT!U299,XT!Y299,XT!AC299,XT!AG299))=6), 0), 0)), "")</f>
        <v/>
      </c>
      <c r="W299" s="51" t="str">
        <f>IF(XT!$P299&gt;0,V299,"")</f>
        <v/>
      </c>
      <c r="X299" s="51" t="str">
        <f>IF(XT!$P299=0,V299,"")</f>
        <v/>
      </c>
      <c r="Y299">
        <f>SUMPRODUCT((MONTH(CHOOSE({1,2,3,4},XT!U299,XT!Y299,XT!AC299,XT!AG299))=7)*(CHOOSE({1,2,3,4},XT!X299,XT!AB299,XT!AF299,XT!AJ299)))</f>
        <v>0</v>
      </c>
      <c r="Z299" t="str">
        <f>IFERROR(INDEX(CHOOSE({1,2,3,4}, DAY(XT!U299), DAY(XT!Y299), DAY(XT!AC299), DAY(XT!AG299)), MATCH(1, INDEX(--(MONTH(CHOOSE({1,2,3,4}, XT!U299,XT!Y299,XT!AC299,XT!AG299))=7), 0), 0)), "")</f>
        <v/>
      </c>
      <c r="AA299" s="51" t="str">
        <f>IF(XT!$P299&gt;0,Z299,"")</f>
        <v/>
      </c>
      <c r="AB299" s="51" t="str">
        <f>IF(XT!$P299=0,Z299,"")</f>
        <v/>
      </c>
      <c r="AC299">
        <f>SUMPRODUCT((MONTH(CHOOSE({1,2,3,4},XT!U299,XT!Y299,XT!AC299,XT!AG299))=8)*(CHOOSE({1,2,3,4},XT!X299,XT!AB299,XT!AF299,XT!AJ299)))</f>
        <v>0</v>
      </c>
      <c r="AD299" t="str">
        <f>IFERROR(INDEX(CHOOSE({1,2,3,4}, DAY(XT!U299), DAY(XT!Y299), DAY(XT!AC299), DAY(XT!AG299)), MATCH(1, INDEX(--(MONTH(CHOOSE({1,2,3,4}, XT!U299,XT!Y299,XT!AC299,XT!AG299))=8), 0), 0)), "")</f>
        <v/>
      </c>
      <c r="AE299" s="51" t="str">
        <f>IF(XT!$P299&gt;0,AD299,"")</f>
        <v/>
      </c>
      <c r="AF299" s="51" t="str">
        <f>IF(XT!$P299=0,AD299,"")</f>
        <v/>
      </c>
      <c r="AG299">
        <f>SUMPRODUCT((MONTH(CHOOSE({1,2,3,4},XT!U299,XT!Y299,XT!AC299,XT!AG299))=9)*(CHOOSE({1,2,3,4},XT!X299,XT!AB299,XT!AF299,XT!AJ299)))</f>
        <v>0</v>
      </c>
      <c r="AH299" t="str">
        <f>IFERROR(INDEX(CHOOSE({1,2,3,4}, DAY(XT!U299), DAY(XT!Y299), DAY(XT!AC299), DAY(XT!AG299)), MATCH(1, INDEX(--(MONTH(CHOOSE({1,2,3,4}, XT!U299,XT!Y299,XT!AC299,XT!AG299))=9), 0), 0)), "")</f>
        <v/>
      </c>
      <c r="AI299" s="51" t="str">
        <f>IF(XT!$P299&gt;0,AH299,"")</f>
        <v/>
      </c>
      <c r="AJ299" s="51" t="str">
        <f>IF(XT!$P299=0,AH299,"")</f>
        <v/>
      </c>
      <c r="AK299">
        <f>SUMPRODUCT((MONTH(CHOOSE({1,2,3,4},XT!U299,XT!Y299,XT!AC299,XT!AG299))=10)*(CHOOSE({1,2,3,4},XT!X299,XT!AB299,XT!AF299,XT!AJ299)))</f>
        <v>0</v>
      </c>
      <c r="AL299" t="str">
        <f>IFERROR(INDEX(CHOOSE({1,2,3,4}, DAY(XT!U299), DAY(XT!Y299), DAY(XT!AC299), DAY(XT!AG299)), MATCH(1, INDEX(--(MONTH(CHOOSE({1,2,3,4}, XT!U299,XT!Y299,XT!AC299,XT!AG299))=10), 0), 0)), "")</f>
        <v/>
      </c>
      <c r="AM299" s="51" t="str">
        <f>IF(XT!$P299&gt;0,AL299,"")</f>
        <v/>
      </c>
      <c r="AN299" s="51" t="str">
        <f>IF(XT!$P299=0,AL299,"")</f>
        <v/>
      </c>
      <c r="AO299">
        <f>SUMPRODUCT((MONTH(CHOOSE({1,2,3,4},XT!U299,XT!Y299,XT!AC299,XT!AG299))=11)*(CHOOSE({1,2,3,4},XT!X299,XT!AB299,XT!AF299,XT!AJ299)))</f>
        <v>0</v>
      </c>
      <c r="AP299" t="str">
        <f>IFERROR(INDEX(CHOOSE({1,2,3,4}, DAY(XT!U299), DAY(XT!Y299), DAY(XT!AC299), DAY(XT!AG299)), MATCH(1, INDEX(--(MONTH(CHOOSE({1,2,3,4}, XT!U299,XT!Y299,XT!AC299,XT!AG299))=11), 0), 0)), "")</f>
        <v/>
      </c>
      <c r="AQ299" s="51" t="str">
        <f>IF(XT!$P299&gt;0,AP299,"")</f>
        <v/>
      </c>
      <c r="AR299" s="51" t="str">
        <f>IF(XT!$P299=0,AP299,"")</f>
        <v/>
      </c>
      <c r="AS299">
        <f>SUMPRODUCT((MONTH(CHOOSE({1,2,3,4},XT!U299,XT!Y299,XT!AC299,XT!AG299))=12)*(CHOOSE({1,2,3,4},XT!X299,XT!AB299,XT!AF299,XT!AJ299)))</f>
        <v>0</v>
      </c>
      <c r="AT299" t="str">
        <f>IFERROR(INDEX(CHOOSE({1,2,3,4}, DAY(XT!U299), DAY(XT!Y299), DAY(XT!AC299), DAY(XT!AG299)), MATCH(1, INDEX(--(MONTH(CHOOSE({1,2,3,4}, XT!U299,XT!Y299,XT!AC299,XT!AG299))=12), 0), 0)), "")</f>
        <v/>
      </c>
      <c r="AU299" s="51" t="str">
        <f>IF(XT!$P299&gt;0,AT299,"")</f>
        <v/>
      </c>
      <c r="AV299" s="51" t="str">
        <f>IF(XT!$P299=0,AT299,"")</f>
        <v/>
      </c>
    </row>
    <row r="300" spans="1:48">
      <c r="A300">
        <f>SUMPRODUCT((MONTH(CHOOSE({1,2,3,4},XT!U300,XT!Y300,XT!AC300,XT!AG300))=1)*(CHOOSE({1,2,3,4},XT!X300,XT!AB300,XT!AF300,XT!AJ300)))</f>
        <v>0</v>
      </c>
      <c r="B300">
        <f>IFERROR(INDEX(CHOOSE({1,2,3,4}, DAY(XT!U300), DAY(XT!Y300), DAY(XT!AC300), DAY(XT!AG300)), MATCH(1, INDEX(--(MONTH(CHOOSE({1,2,3,4}, XT!U300,XT!Y300,XT!AC300,XT!AG300))=1), 0), 0)), "")</f>
        <v>0</v>
      </c>
      <c r="C300" s="51" t="str">
        <f>IF(XT!$P300&gt;0,B300,"")</f>
        <v/>
      </c>
      <c r="D300" s="51">
        <f>IF(XT!$P300=0,B300,"")</f>
        <v>0</v>
      </c>
      <c r="E300">
        <f>SUMPRODUCT((MONTH(CHOOSE({1,2,3,4},XT!U300,XT!Y300,XT!AC300,XT!AG300))=2)*(CHOOSE({1,2,3,4},XT!X300,XT!AB300,XT!AF300,XT!AJ300)))</f>
        <v>0</v>
      </c>
      <c r="F300" t="str">
        <f>IFERROR(INDEX(CHOOSE({1,2,3,4}, DAY(XT!U300), DAY(XT!Y300), DAY(XT!AC300), DAY(XT!AG300)), MATCH(1, INDEX(--(MONTH(CHOOSE({1,2,3,4}, XT!U300,XT!Y300,XT!AC300,XT!AG300))=2), 0), 0)), "")</f>
        <v/>
      </c>
      <c r="G300" s="51" t="str">
        <f>IF(XT!$P300&gt;0,F300,"")</f>
        <v/>
      </c>
      <c r="H300" s="51" t="str">
        <f>IF(XT!$P300=0,F300,"")</f>
        <v/>
      </c>
      <c r="I300">
        <f>SUMPRODUCT((MONTH(CHOOSE({1,2,3,4},XT!U300,XT!Y300,XT!AC300,XT!AG300))=3)*(CHOOSE({1,2,3,4},XT!X300,XT!AB300,XT!AF300,XT!AJ300)))</f>
        <v>0</v>
      </c>
      <c r="J300" t="str">
        <f>IFERROR(INDEX(CHOOSE({1,2,3,4}, DAY(XT!U300), DAY(XT!Y300), DAY(XT!AC300), DAY(XT!AG300)), MATCH(1, INDEX(--(MONTH(CHOOSE({1,2,3,4}, XT!U300,XT!Y300,XT!AC300,XT!AG300))=3), 0), 0)), "")</f>
        <v/>
      </c>
      <c r="K300" s="51" t="str">
        <f>IF(XT!$P300&gt;0,J300,"")</f>
        <v/>
      </c>
      <c r="L300" s="51" t="str">
        <f>IF(XT!$P300=0,J300,"")</f>
        <v/>
      </c>
      <c r="M300">
        <f>SUMPRODUCT((MONTH(CHOOSE({1,2,3,4},XT!U300,XT!Y300,XT!AC300,XT!AG300))=4)*(CHOOSE({1,2,3,4},XT!X300,XT!AB300,XT!AF300,XT!AJ300)))</f>
        <v>0</v>
      </c>
      <c r="N300" t="str">
        <f>IFERROR(INDEX(CHOOSE({1,2,3,4}, DAY(XT!U300), DAY(XT!Y300), DAY(XT!AC300), DAY(XT!AG300)), MATCH(1, INDEX(--(MONTH(CHOOSE({1,2,3,4}, XT!U300,XT!Y300,XT!AC300,XT!AG300))=4), 0), 0)), "")</f>
        <v/>
      </c>
      <c r="O300" s="51" t="str">
        <f>IF(XT!$P300&gt;0,N300,"")</f>
        <v/>
      </c>
      <c r="P300" s="51" t="str">
        <f>IF(XT!$P300=0,N300,"")</f>
        <v/>
      </c>
      <c r="Q300">
        <f>SUMPRODUCT((MONTH(CHOOSE({1,2,3,4},XT!U300,XT!Y300,XT!AC300,XT!AG300))=5)*(CHOOSE({1,2,3,4},XT!X300,XT!AB300,XT!AF300,XT!AJ300)))</f>
        <v>0</v>
      </c>
      <c r="R300" t="str">
        <f>IFERROR(INDEX(CHOOSE({1,2,3,4}, DAY(XT!U300), DAY(XT!Y300), DAY(XT!AC300), DAY(XT!AG300)), MATCH(1, INDEX(--(MONTH(CHOOSE({1,2,3,4}, XT!U300,XT!Y300,XT!AC300,XT!AG300))=5), 0), 0)), "")</f>
        <v/>
      </c>
      <c r="S300" s="51" t="str">
        <f>IF(XT!$P300&gt;0,R300,"")</f>
        <v/>
      </c>
      <c r="T300" s="51" t="str">
        <f>IF(XT!$P300=0,R300,"")</f>
        <v/>
      </c>
      <c r="U300">
        <f>SUMPRODUCT((MONTH(CHOOSE({1,2,3,4},XT!U300,XT!Y300,XT!AC300,XT!AG300))=6)*(CHOOSE({1,2,3,4},XT!X300,XT!AB300,XT!AF300,XT!AJ300)))</f>
        <v>0</v>
      </c>
      <c r="V300" t="str">
        <f>IFERROR(INDEX(CHOOSE({1,2,3,4}, DAY(XT!U300), DAY(XT!Y300), DAY(XT!AC300), DAY(XT!AG300)), MATCH(1, INDEX(--(MONTH(CHOOSE({1,2,3,4}, XT!U300,XT!Y300,XT!AC300,XT!AG300))=6), 0), 0)), "")</f>
        <v/>
      </c>
      <c r="W300" s="51" t="str">
        <f>IF(XT!$P300&gt;0,V300,"")</f>
        <v/>
      </c>
      <c r="X300" s="51" t="str">
        <f>IF(XT!$P300=0,V300,"")</f>
        <v/>
      </c>
      <c r="Y300">
        <f>SUMPRODUCT((MONTH(CHOOSE({1,2,3,4},XT!U300,XT!Y300,XT!AC300,XT!AG300))=7)*(CHOOSE({1,2,3,4},XT!X300,XT!AB300,XT!AF300,XT!AJ300)))</f>
        <v>0</v>
      </c>
      <c r="Z300" t="str">
        <f>IFERROR(INDEX(CHOOSE({1,2,3,4}, DAY(XT!U300), DAY(XT!Y300), DAY(XT!AC300), DAY(XT!AG300)), MATCH(1, INDEX(--(MONTH(CHOOSE({1,2,3,4}, XT!U300,XT!Y300,XT!AC300,XT!AG300))=7), 0), 0)), "")</f>
        <v/>
      </c>
      <c r="AA300" s="51" t="str">
        <f>IF(XT!$P300&gt;0,Z300,"")</f>
        <v/>
      </c>
      <c r="AB300" s="51" t="str">
        <f>IF(XT!$P300=0,Z300,"")</f>
        <v/>
      </c>
      <c r="AC300">
        <f>SUMPRODUCT((MONTH(CHOOSE({1,2,3,4},XT!U300,XT!Y300,XT!AC300,XT!AG300))=8)*(CHOOSE({1,2,3,4},XT!X300,XT!AB300,XT!AF300,XT!AJ300)))</f>
        <v>0</v>
      </c>
      <c r="AD300" t="str">
        <f>IFERROR(INDEX(CHOOSE({1,2,3,4}, DAY(XT!U300), DAY(XT!Y300), DAY(XT!AC300), DAY(XT!AG300)), MATCH(1, INDEX(--(MONTH(CHOOSE({1,2,3,4}, XT!U300,XT!Y300,XT!AC300,XT!AG300))=8), 0), 0)), "")</f>
        <v/>
      </c>
      <c r="AE300" s="51" t="str">
        <f>IF(XT!$P300&gt;0,AD300,"")</f>
        <v/>
      </c>
      <c r="AF300" s="51" t="str">
        <f>IF(XT!$P300=0,AD300,"")</f>
        <v/>
      </c>
      <c r="AG300">
        <f>SUMPRODUCT((MONTH(CHOOSE({1,2,3,4},XT!U300,XT!Y300,XT!AC300,XT!AG300))=9)*(CHOOSE({1,2,3,4},XT!X300,XT!AB300,XT!AF300,XT!AJ300)))</f>
        <v>0</v>
      </c>
      <c r="AH300" t="str">
        <f>IFERROR(INDEX(CHOOSE({1,2,3,4}, DAY(XT!U300), DAY(XT!Y300), DAY(XT!AC300), DAY(XT!AG300)), MATCH(1, INDEX(--(MONTH(CHOOSE({1,2,3,4}, XT!U300,XT!Y300,XT!AC300,XT!AG300))=9), 0), 0)), "")</f>
        <v/>
      </c>
      <c r="AI300" s="51" t="str">
        <f>IF(XT!$P300&gt;0,AH300,"")</f>
        <v/>
      </c>
      <c r="AJ300" s="51" t="str">
        <f>IF(XT!$P300=0,AH300,"")</f>
        <v/>
      </c>
      <c r="AK300">
        <f>SUMPRODUCT((MONTH(CHOOSE({1,2,3,4},XT!U300,XT!Y300,XT!AC300,XT!AG300))=10)*(CHOOSE({1,2,3,4},XT!X300,XT!AB300,XT!AF300,XT!AJ300)))</f>
        <v>0</v>
      </c>
      <c r="AL300" t="str">
        <f>IFERROR(INDEX(CHOOSE({1,2,3,4}, DAY(XT!U300), DAY(XT!Y300), DAY(XT!AC300), DAY(XT!AG300)), MATCH(1, INDEX(--(MONTH(CHOOSE({1,2,3,4}, XT!U300,XT!Y300,XT!AC300,XT!AG300))=10), 0), 0)), "")</f>
        <v/>
      </c>
      <c r="AM300" s="51" t="str">
        <f>IF(XT!$P300&gt;0,AL300,"")</f>
        <v/>
      </c>
      <c r="AN300" s="51" t="str">
        <f>IF(XT!$P300=0,AL300,"")</f>
        <v/>
      </c>
      <c r="AO300">
        <f>SUMPRODUCT((MONTH(CHOOSE({1,2,3,4},XT!U300,XT!Y300,XT!AC300,XT!AG300))=11)*(CHOOSE({1,2,3,4},XT!X300,XT!AB300,XT!AF300,XT!AJ300)))</f>
        <v>0</v>
      </c>
      <c r="AP300" t="str">
        <f>IFERROR(INDEX(CHOOSE({1,2,3,4}, DAY(XT!U300), DAY(XT!Y300), DAY(XT!AC300), DAY(XT!AG300)), MATCH(1, INDEX(--(MONTH(CHOOSE({1,2,3,4}, XT!U300,XT!Y300,XT!AC300,XT!AG300))=11), 0), 0)), "")</f>
        <v/>
      </c>
      <c r="AQ300" s="51" t="str">
        <f>IF(XT!$P300&gt;0,AP300,"")</f>
        <v/>
      </c>
      <c r="AR300" s="51" t="str">
        <f>IF(XT!$P300=0,AP300,"")</f>
        <v/>
      </c>
      <c r="AS300">
        <f>SUMPRODUCT((MONTH(CHOOSE({1,2,3,4},XT!U300,XT!Y300,XT!AC300,XT!AG300))=12)*(CHOOSE({1,2,3,4},XT!X300,XT!AB300,XT!AF300,XT!AJ300)))</f>
        <v>0</v>
      </c>
      <c r="AT300" t="str">
        <f>IFERROR(INDEX(CHOOSE({1,2,3,4}, DAY(XT!U300), DAY(XT!Y300), DAY(XT!AC300), DAY(XT!AG300)), MATCH(1, INDEX(--(MONTH(CHOOSE({1,2,3,4}, XT!U300,XT!Y300,XT!AC300,XT!AG300))=12), 0), 0)), "")</f>
        <v/>
      </c>
      <c r="AU300" s="51" t="str">
        <f>IF(XT!$P300&gt;0,AT300,"")</f>
        <v/>
      </c>
      <c r="AV300" s="51" t="str">
        <f>IF(XT!$P300=0,AT300,"")</f>
        <v/>
      </c>
    </row>
    <row r="301" spans="1:48">
      <c r="A301">
        <f>SUMPRODUCT((MONTH(CHOOSE({1,2,3,4},XT!U301,XT!Y301,XT!AC301,XT!AG301))=1)*(CHOOSE({1,2,3,4},XT!X301,XT!AB301,XT!AF301,XT!AJ301)))</f>
        <v>0</v>
      </c>
      <c r="B301">
        <f>IFERROR(INDEX(CHOOSE({1,2,3,4}, DAY(XT!U301), DAY(XT!Y301), DAY(XT!AC301), DAY(XT!AG301)), MATCH(1, INDEX(--(MONTH(CHOOSE({1,2,3,4}, XT!U301,XT!Y301,XT!AC301,XT!AG301))=1), 0), 0)), "")</f>
        <v>0</v>
      </c>
      <c r="C301" s="51" t="str">
        <f>IF(XT!$P301&gt;0,B301,"")</f>
        <v/>
      </c>
      <c r="D301" s="51">
        <f>IF(XT!$P301=0,B301,"")</f>
        <v>0</v>
      </c>
      <c r="E301">
        <f>SUMPRODUCT((MONTH(CHOOSE({1,2,3,4},XT!U301,XT!Y301,XT!AC301,XT!AG301))=2)*(CHOOSE({1,2,3,4},XT!X301,XT!AB301,XT!AF301,XT!AJ301)))</f>
        <v>0</v>
      </c>
      <c r="F301" t="str">
        <f>IFERROR(INDEX(CHOOSE({1,2,3,4}, DAY(XT!U301), DAY(XT!Y301), DAY(XT!AC301), DAY(XT!AG301)), MATCH(1, INDEX(--(MONTH(CHOOSE({1,2,3,4}, XT!U301,XT!Y301,XT!AC301,XT!AG301))=2), 0), 0)), "")</f>
        <v/>
      </c>
      <c r="G301" s="51" t="str">
        <f>IF(XT!$P301&gt;0,F301,"")</f>
        <v/>
      </c>
      <c r="H301" s="51" t="str">
        <f>IF(XT!$P301=0,F301,"")</f>
        <v/>
      </c>
      <c r="I301">
        <f>SUMPRODUCT((MONTH(CHOOSE({1,2,3,4},XT!U301,XT!Y301,XT!AC301,XT!AG301))=3)*(CHOOSE({1,2,3,4},XT!X301,XT!AB301,XT!AF301,XT!AJ301)))</f>
        <v>0</v>
      </c>
      <c r="J301" t="str">
        <f>IFERROR(INDEX(CHOOSE({1,2,3,4}, DAY(XT!U301), DAY(XT!Y301), DAY(XT!AC301), DAY(XT!AG301)), MATCH(1, INDEX(--(MONTH(CHOOSE({1,2,3,4}, XT!U301,XT!Y301,XT!AC301,XT!AG301))=3), 0), 0)), "")</f>
        <v/>
      </c>
      <c r="K301" s="51" t="str">
        <f>IF(XT!$P301&gt;0,J301,"")</f>
        <v/>
      </c>
      <c r="L301" s="51" t="str">
        <f>IF(XT!$P301=0,J301,"")</f>
        <v/>
      </c>
      <c r="M301">
        <f>SUMPRODUCT((MONTH(CHOOSE({1,2,3,4},XT!U301,XT!Y301,XT!AC301,XT!AG301))=4)*(CHOOSE({1,2,3,4},XT!X301,XT!AB301,XT!AF301,XT!AJ301)))</f>
        <v>0</v>
      </c>
      <c r="N301" t="str">
        <f>IFERROR(INDEX(CHOOSE({1,2,3,4}, DAY(XT!U301), DAY(XT!Y301), DAY(XT!AC301), DAY(XT!AG301)), MATCH(1, INDEX(--(MONTH(CHOOSE({1,2,3,4}, XT!U301,XT!Y301,XT!AC301,XT!AG301))=4), 0), 0)), "")</f>
        <v/>
      </c>
      <c r="O301" s="51" t="str">
        <f>IF(XT!$P301&gt;0,N301,"")</f>
        <v/>
      </c>
      <c r="P301" s="51" t="str">
        <f>IF(XT!$P301=0,N301,"")</f>
        <v/>
      </c>
      <c r="Q301">
        <f>SUMPRODUCT((MONTH(CHOOSE({1,2,3,4},XT!U301,XT!Y301,XT!AC301,XT!AG301))=5)*(CHOOSE({1,2,3,4},XT!X301,XT!AB301,XT!AF301,XT!AJ301)))</f>
        <v>0</v>
      </c>
      <c r="R301" t="str">
        <f>IFERROR(INDEX(CHOOSE({1,2,3,4}, DAY(XT!U301), DAY(XT!Y301), DAY(XT!AC301), DAY(XT!AG301)), MATCH(1, INDEX(--(MONTH(CHOOSE({1,2,3,4}, XT!U301,XT!Y301,XT!AC301,XT!AG301))=5), 0), 0)), "")</f>
        <v/>
      </c>
      <c r="S301" s="51" t="str">
        <f>IF(XT!$P301&gt;0,R301,"")</f>
        <v/>
      </c>
      <c r="T301" s="51" t="str">
        <f>IF(XT!$P301=0,R301,"")</f>
        <v/>
      </c>
      <c r="U301">
        <f>SUMPRODUCT((MONTH(CHOOSE({1,2,3,4},XT!U301,XT!Y301,XT!AC301,XT!AG301))=6)*(CHOOSE({1,2,3,4},XT!X301,XT!AB301,XT!AF301,XT!AJ301)))</f>
        <v>0</v>
      </c>
      <c r="V301" t="str">
        <f>IFERROR(INDEX(CHOOSE({1,2,3,4}, DAY(XT!U301), DAY(XT!Y301), DAY(XT!AC301), DAY(XT!AG301)), MATCH(1, INDEX(--(MONTH(CHOOSE({1,2,3,4}, XT!U301,XT!Y301,XT!AC301,XT!AG301))=6), 0), 0)), "")</f>
        <v/>
      </c>
      <c r="W301" s="51" t="str">
        <f>IF(XT!$P301&gt;0,V301,"")</f>
        <v/>
      </c>
      <c r="X301" s="51" t="str">
        <f>IF(XT!$P301=0,V301,"")</f>
        <v/>
      </c>
      <c r="Y301">
        <f>SUMPRODUCT((MONTH(CHOOSE({1,2,3,4},XT!U301,XT!Y301,XT!AC301,XT!AG301))=7)*(CHOOSE({1,2,3,4},XT!X301,XT!AB301,XT!AF301,XT!AJ301)))</f>
        <v>0</v>
      </c>
      <c r="Z301" t="str">
        <f>IFERROR(INDEX(CHOOSE({1,2,3,4}, DAY(XT!U301), DAY(XT!Y301), DAY(XT!AC301), DAY(XT!AG301)), MATCH(1, INDEX(--(MONTH(CHOOSE({1,2,3,4}, XT!U301,XT!Y301,XT!AC301,XT!AG301))=7), 0), 0)), "")</f>
        <v/>
      </c>
      <c r="AA301" s="51" t="str">
        <f>IF(XT!$P301&gt;0,Z301,"")</f>
        <v/>
      </c>
      <c r="AB301" s="51" t="str">
        <f>IF(XT!$P301=0,Z301,"")</f>
        <v/>
      </c>
      <c r="AC301">
        <f>SUMPRODUCT((MONTH(CHOOSE({1,2,3,4},XT!U301,XT!Y301,XT!AC301,XT!AG301))=8)*(CHOOSE({1,2,3,4},XT!X301,XT!AB301,XT!AF301,XT!AJ301)))</f>
        <v>0</v>
      </c>
      <c r="AD301" t="str">
        <f>IFERROR(INDEX(CHOOSE({1,2,3,4}, DAY(XT!U301), DAY(XT!Y301), DAY(XT!AC301), DAY(XT!AG301)), MATCH(1, INDEX(--(MONTH(CHOOSE({1,2,3,4}, XT!U301,XT!Y301,XT!AC301,XT!AG301))=8), 0), 0)), "")</f>
        <v/>
      </c>
      <c r="AE301" s="51" t="str">
        <f>IF(XT!$P301&gt;0,AD301,"")</f>
        <v/>
      </c>
      <c r="AF301" s="51" t="str">
        <f>IF(XT!$P301=0,AD301,"")</f>
        <v/>
      </c>
      <c r="AG301">
        <f>SUMPRODUCT((MONTH(CHOOSE({1,2,3,4},XT!U301,XT!Y301,XT!AC301,XT!AG301))=9)*(CHOOSE({1,2,3,4},XT!X301,XT!AB301,XT!AF301,XT!AJ301)))</f>
        <v>0</v>
      </c>
      <c r="AH301" t="str">
        <f>IFERROR(INDEX(CHOOSE({1,2,3,4}, DAY(XT!U301), DAY(XT!Y301), DAY(XT!AC301), DAY(XT!AG301)), MATCH(1, INDEX(--(MONTH(CHOOSE({1,2,3,4}, XT!U301,XT!Y301,XT!AC301,XT!AG301))=9), 0), 0)), "")</f>
        <v/>
      </c>
      <c r="AI301" s="51" t="str">
        <f>IF(XT!$P301&gt;0,AH301,"")</f>
        <v/>
      </c>
      <c r="AJ301" s="51" t="str">
        <f>IF(XT!$P301=0,AH301,"")</f>
        <v/>
      </c>
      <c r="AK301">
        <f>SUMPRODUCT((MONTH(CHOOSE({1,2,3,4},XT!U301,XT!Y301,XT!AC301,XT!AG301))=10)*(CHOOSE({1,2,3,4},XT!X301,XT!AB301,XT!AF301,XT!AJ301)))</f>
        <v>0</v>
      </c>
      <c r="AL301" t="str">
        <f>IFERROR(INDEX(CHOOSE({1,2,3,4}, DAY(XT!U301), DAY(XT!Y301), DAY(XT!AC301), DAY(XT!AG301)), MATCH(1, INDEX(--(MONTH(CHOOSE({1,2,3,4}, XT!U301,XT!Y301,XT!AC301,XT!AG301))=10), 0), 0)), "")</f>
        <v/>
      </c>
      <c r="AM301" s="51" t="str">
        <f>IF(XT!$P301&gt;0,AL301,"")</f>
        <v/>
      </c>
      <c r="AN301" s="51" t="str">
        <f>IF(XT!$P301=0,AL301,"")</f>
        <v/>
      </c>
      <c r="AO301">
        <f>SUMPRODUCT((MONTH(CHOOSE({1,2,3,4},XT!U301,XT!Y301,XT!AC301,XT!AG301))=11)*(CHOOSE({1,2,3,4},XT!X301,XT!AB301,XT!AF301,XT!AJ301)))</f>
        <v>0</v>
      </c>
      <c r="AP301" t="str">
        <f>IFERROR(INDEX(CHOOSE({1,2,3,4}, DAY(XT!U301), DAY(XT!Y301), DAY(XT!AC301), DAY(XT!AG301)), MATCH(1, INDEX(--(MONTH(CHOOSE({1,2,3,4}, XT!U301,XT!Y301,XT!AC301,XT!AG301))=11), 0), 0)), "")</f>
        <v/>
      </c>
      <c r="AQ301" s="51" t="str">
        <f>IF(XT!$P301&gt;0,AP301,"")</f>
        <v/>
      </c>
      <c r="AR301" s="51" t="str">
        <f>IF(XT!$P301=0,AP301,"")</f>
        <v/>
      </c>
      <c r="AS301">
        <f>SUMPRODUCT((MONTH(CHOOSE({1,2,3,4},XT!U301,XT!Y301,XT!AC301,XT!AG301))=12)*(CHOOSE({1,2,3,4},XT!X301,XT!AB301,XT!AF301,XT!AJ301)))</f>
        <v>0</v>
      </c>
      <c r="AT301" t="str">
        <f>IFERROR(INDEX(CHOOSE({1,2,3,4}, DAY(XT!U301), DAY(XT!Y301), DAY(XT!AC301), DAY(XT!AG301)), MATCH(1, INDEX(--(MONTH(CHOOSE({1,2,3,4}, XT!U301,XT!Y301,XT!AC301,XT!AG301))=12), 0), 0)), "")</f>
        <v/>
      </c>
      <c r="AU301" s="51" t="str">
        <f>IF(XT!$P301&gt;0,AT301,"")</f>
        <v/>
      </c>
      <c r="AV301" s="51" t="str">
        <f>IF(XT!$P301=0,AT301,"")</f>
        <v/>
      </c>
    </row>
    <row r="302" spans="1:48">
      <c r="A302">
        <f>SUMPRODUCT((MONTH(CHOOSE({1,2,3,4},XT!U302,XT!Y302,XT!AC302,XT!AG302))=1)*(CHOOSE({1,2,3,4},XT!X302,XT!AB302,XT!AF302,XT!AJ302)))</f>
        <v>0</v>
      </c>
      <c r="B302">
        <f>IFERROR(INDEX(CHOOSE({1,2,3,4}, DAY(XT!U302), DAY(XT!Y302), DAY(XT!AC302), DAY(XT!AG302)), MATCH(1, INDEX(--(MONTH(CHOOSE({1,2,3,4}, XT!U302,XT!Y302,XT!AC302,XT!AG302))=1), 0), 0)), "")</f>
        <v>0</v>
      </c>
      <c r="C302" s="51" t="str">
        <f>IF(XT!$P302&gt;0,B302,"")</f>
        <v/>
      </c>
      <c r="D302" s="51">
        <f>IF(XT!$P302=0,B302,"")</f>
        <v>0</v>
      </c>
      <c r="E302">
        <f>SUMPRODUCT((MONTH(CHOOSE({1,2,3,4},XT!U302,XT!Y302,XT!AC302,XT!AG302))=2)*(CHOOSE({1,2,3,4},XT!X302,XT!AB302,XT!AF302,XT!AJ302)))</f>
        <v>0</v>
      </c>
      <c r="F302" t="str">
        <f>IFERROR(INDEX(CHOOSE({1,2,3,4}, DAY(XT!U302), DAY(XT!Y302), DAY(XT!AC302), DAY(XT!AG302)), MATCH(1, INDEX(--(MONTH(CHOOSE({1,2,3,4}, XT!U302,XT!Y302,XT!AC302,XT!AG302))=2), 0), 0)), "")</f>
        <v/>
      </c>
      <c r="G302" s="51" t="str">
        <f>IF(XT!$P302&gt;0,F302,"")</f>
        <v/>
      </c>
      <c r="H302" s="51" t="str">
        <f>IF(XT!$P302=0,F302,"")</f>
        <v/>
      </c>
      <c r="I302">
        <f>SUMPRODUCT((MONTH(CHOOSE({1,2,3,4},XT!U302,XT!Y302,XT!AC302,XT!AG302))=3)*(CHOOSE({1,2,3,4},XT!X302,XT!AB302,XT!AF302,XT!AJ302)))</f>
        <v>0</v>
      </c>
      <c r="J302" t="str">
        <f>IFERROR(INDEX(CHOOSE({1,2,3,4}, DAY(XT!U302), DAY(XT!Y302), DAY(XT!AC302), DAY(XT!AG302)), MATCH(1, INDEX(--(MONTH(CHOOSE({1,2,3,4}, XT!U302,XT!Y302,XT!AC302,XT!AG302))=3), 0), 0)), "")</f>
        <v/>
      </c>
      <c r="K302" s="51" t="str">
        <f>IF(XT!$P302&gt;0,J302,"")</f>
        <v/>
      </c>
      <c r="L302" s="51" t="str">
        <f>IF(XT!$P302=0,J302,"")</f>
        <v/>
      </c>
      <c r="M302">
        <f>SUMPRODUCT((MONTH(CHOOSE({1,2,3,4},XT!U302,XT!Y302,XT!AC302,XT!AG302))=4)*(CHOOSE({1,2,3,4},XT!X302,XT!AB302,XT!AF302,XT!AJ302)))</f>
        <v>0</v>
      </c>
      <c r="N302" t="str">
        <f>IFERROR(INDEX(CHOOSE({1,2,3,4}, DAY(XT!U302), DAY(XT!Y302), DAY(XT!AC302), DAY(XT!AG302)), MATCH(1, INDEX(--(MONTH(CHOOSE({1,2,3,4}, XT!U302,XT!Y302,XT!AC302,XT!AG302))=4), 0), 0)), "")</f>
        <v/>
      </c>
      <c r="O302" s="51" t="str">
        <f>IF(XT!$P302&gt;0,N302,"")</f>
        <v/>
      </c>
      <c r="P302" s="51" t="str">
        <f>IF(XT!$P302=0,N302,"")</f>
        <v/>
      </c>
      <c r="Q302">
        <f>SUMPRODUCT((MONTH(CHOOSE({1,2,3,4},XT!U302,XT!Y302,XT!AC302,XT!AG302))=5)*(CHOOSE({1,2,3,4},XT!X302,XT!AB302,XT!AF302,XT!AJ302)))</f>
        <v>0</v>
      </c>
      <c r="R302" t="str">
        <f>IFERROR(INDEX(CHOOSE({1,2,3,4}, DAY(XT!U302), DAY(XT!Y302), DAY(XT!AC302), DAY(XT!AG302)), MATCH(1, INDEX(--(MONTH(CHOOSE({1,2,3,4}, XT!U302,XT!Y302,XT!AC302,XT!AG302))=5), 0), 0)), "")</f>
        <v/>
      </c>
      <c r="S302" s="51" t="str">
        <f>IF(XT!$P302&gt;0,R302,"")</f>
        <v/>
      </c>
      <c r="T302" s="51" t="str">
        <f>IF(XT!$P302=0,R302,"")</f>
        <v/>
      </c>
      <c r="U302">
        <f>SUMPRODUCT((MONTH(CHOOSE({1,2,3,4},XT!U302,XT!Y302,XT!AC302,XT!AG302))=6)*(CHOOSE({1,2,3,4},XT!X302,XT!AB302,XT!AF302,XT!AJ302)))</f>
        <v>0</v>
      </c>
      <c r="V302" t="str">
        <f>IFERROR(INDEX(CHOOSE({1,2,3,4}, DAY(XT!U302), DAY(XT!Y302), DAY(XT!AC302), DAY(XT!AG302)), MATCH(1, INDEX(--(MONTH(CHOOSE({1,2,3,4}, XT!U302,XT!Y302,XT!AC302,XT!AG302))=6), 0), 0)), "")</f>
        <v/>
      </c>
      <c r="W302" s="51" t="str">
        <f>IF(XT!$P302&gt;0,V302,"")</f>
        <v/>
      </c>
      <c r="X302" s="51" t="str">
        <f>IF(XT!$P302=0,V302,"")</f>
        <v/>
      </c>
      <c r="Y302">
        <f>SUMPRODUCT((MONTH(CHOOSE({1,2,3,4},XT!U302,XT!Y302,XT!AC302,XT!AG302))=7)*(CHOOSE({1,2,3,4},XT!X302,XT!AB302,XT!AF302,XT!AJ302)))</f>
        <v>0</v>
      </c>
      <c r="Z302" t="str">
        <f>IFERROR(INDEX(CHOOSE({1,2,3,4}, DAY(XT!U302), DAY(XT!Y302), DAY(XT!AC302), DAY(XT!AG302)), MATCH(1, INDEX(--(MONTH(CHOOSE({1,2,3,4}, XT!U302,XT!Y302,XT!AC302,XT!AG302))=7), 0), 0)), "")</f>
        <v/>
      </c>
      <c r="AA302" s="51" t="str">
        <f>IF(XT!$P302&gt;0,Z302,"")</f>
        <v/>
      </c>
      <c r="AB302" s="51" t="str">
        <f>IF(XT!$P302=0,Z302,"")</f>
        <v/>
      </c>
      <c r="AC302">
        <f>SUMPRODUCT((MONTH(CHOOSE({1,2,3,4},XT!U302,XT!Y302,XT!AC302,XT!AG302))=8)*(CHOOSE({1,2,3,4},XT!X302,XT!AB302,XT!AF302,XT!AJ302)))</f>
        <v>0</v>
      </c>
      <c r="AD302" t="str">
        <f>IFERROR(INDEX(CHOOSE({1,2,3,4}, DAY(XT!U302), DAY(XT!Y302), DAY(XT!AC302), DAY(XT!AG302)), MATCH(1, INDEX(--(MONTH(CHOOSE({1,2,3,4}, XT!U302,XT!Y302,XT!AC302,XT!AG302))=8), 0), 0)), "")</f>
        <v/>
      </c>
      <c r="AE302" s="51" t="str">
        <f>IF(XT!$P302&gt;0,AD302,"")</f>
        <v/>
      </c>
      <c r="AF302" s="51" t="str">
        <f>IF(XT!$P302=0,AD302,"")</f>
        <v/>
      </c>
      <c r="AG302">
        <f>SUMPRODUCT((MONTH(CHOOSE({1,2,3,4},XT!U302,XT!Y302,XT!AC302,XT!AG302))=9)*(CHOOSE({1,2,3,4},XT!X302,XT!AB302,XT!AF302,XT!AJ302)))</f>
        <v>0</v>
      </c>
      <c r="AH302" t="str">
        <f>IFERROR(INDEX(CHOOSE({1,2,3,4}, DAY(XT!U302), DAY(XT!Y302), DAY(XT!AC302), DAY(XT!AG302)), MATCH(1, INDEX(--(MONTH(CHOOSE({1,2,3,4}, XT!U302,XT!Y302,XT!AC302,XT!AG302))=9), 0), 0)), "")</f>
        <v/>
      </c>
      <c r="AI302" s="51" t="str">
        <f>IF(XT!$P302&gt;0,AH302,"")</f>
        <v/>
      </c>
      <c r="AJ302" s="51" t="str">
        <f>IF(XT!$P302=0,AH302,"")</f>
        <v/>
      </c>
      <c r="AK302">
        <f>SUMPRODUCT((MONTH(CHOOSE({1,2,3,4},XT!U302,XT!Y302,XT!AC302,XT!AG302))=10)*(CHOOSE({1,2,3,4},XT!X302,XT!AB302,XT!AF302,XT!AJ302)))</f>
        <v>0</v>
      </c>
      <c r="AL302" t="str">
        <f>IFERROR(INDEX(CHOOSE({1,2,3,4}, DAY(XT!U302), DAY(XT!Y302), DAY(XT!AC302), DAY(XT!AG302)), MATCH(1, INDEX(--(MONTH(CHOOSE({1,2,3,4}, XT!U302,XT!Y302,XT!AC302,XT!AG302))=10), 0), 0)), "")</f>
        <v/>
      </c>
      <c r="AM302" s="51" t="str">
        <f>IF(XT!$P302&gt;0,AL302,"")</f>
        <v/>
      </c>
      <c r="AN302" s="51" t="str">
        <f>IF(XT!$P302=0,AL302,"")</f>
        <v/>
      </c>
      <c r="AO302">
        <f>SUMPRODUCT((MONTH(CHOOSE({1,2,3,4},XT!U302,XT!Y302,XT!AC302,XT!AG302))=11)*(CHOOSE({1,2,3,4},XT!X302,XT!AB302,XT!AF302,XT!AJ302)))</f>
        <v>0</v>
      </c>
      <c r="AP302" t="str">
        <f>IFERROR(INDEX(CHOOSE({1,2,3,4}, DAY(XT!U302), DAY(XT!Y302), DAY(XT!AC302), DAY(XT!AG302)), MATCH(1, INDEX(--(MONTH(CHOOSE({1,2,3,4}, XT!U302,XT!Y302,XT!AC302,XT!AG302))=11), 0), 0)), "")</f>
        <v/>
      </c>
      <c r="AQ302" s="51" t="str">
        <f>IF(XT!$P302&gt;0,AP302,"")</f>
        <v/>
      </c>
      <c r="AR302" s="51" t="str">
        <f>IF(XT!$P302=0,AP302,"")</f>
        <v/>
      </c>
      <c r="AS302">
        <f>SUMPRODUCT((MONTH(CHOOSE({1,2,3,4},XT!U302,XT!Y302,XT!AC302,XT!AG302))=12)*(CHOOSE({1,2,3,4},XT!X302,XT!AB302,XT!AF302,XT!AJ302)))</f>
        <v>0</v>
      </c>
      <c r="AT302" t="str">
        <f>IFERROR(INDEX(CHOOSE({1,2,3,4}, DAY(XT!U302), DAY(XT!Y302), DAY(XT!AC302), DAY(XT!AG302)), MATCH(1, INDEX(--(MONTH(CHOOSE({1,2,3,4}, XT!U302,XT!Y302,XT!AC302,XT!AG302))=12), 0), 0)), "")</f>
        <v/>
      </c>
      <c r="AU302" s="51" t="str">
        <f>IF(XT!$P302&gt;0,AT302,"")</f>
        <v/>
      </c>
      <c r="AV302" s="51" t="str">
        <f>IF(XT!$P302=0,AT302,"")</f>
        <v/>
      </c>
    </row>
    <row r="303" spans="1:48">
      <c r="A303">
        <f>SUMPRODUCT((MONTH(CHOOSE({1,2,3,4},XT!U303,XT!Y303,XT!AC303,XT!AG303))=1)*(CHOOSE({1,2,3,4},XT!X303,XT!AB303,XT!AF303,XT!AJ303)))</f>
        <v>0</v>
      </c>
      <c r="B303">
        <f>IFERROR(INDEX(CHOOSE({1,2,3,4}, DAY(XT!U303), DAY(XT!Y303), DAY(XT!AC303), DAY(XT!AG303)), MATCH(1, INDEX(--(MONTH(CHOOSE({1,2,3,4}, XT!U303,XT!Y303,XT!AC303,XT!AG303))=1), 0), 0)), "")</f>
        <v>0</v>
      </c>
      <c r="C303" s="51" t="str">
        <f>IF(XT!$P303&gt;0,B303,"")</f>
        <v/>
      </c>
      <c r="D303" s="51">
        <f>IF(XT!$P303=0,B303,"")</f>
        <v>0</v>
      </c>
      <c r="E303">
        <f>SUMPRODUCT((MONTH(CHOOSE({1,2,3,4},XT!U303,XT!Y303,XT!AC303,XT!AG303))=2)*(CHOOSE({1,2,3,4},XT!X303,XT!AB303,XT!AF303,XT!AJ303)))</f>
        <v>0</v>
      </c>
      <c r="F303" t="str">
        <f>IFERROR(INDEX(CHOOSE({1,2,3,4}, DAY(XT!U303), DAY(XT!Y303), DAY(XT!AC303), DAY(XT!AG303)), MATCH(1, INDEX(--(MONTH(CHOOSE({1,2,3,4}, XT!U303,XT!Y303,XT!AC303,XT!AG303))=2), 0), 0)), "")</f>
        <v/>
      </c>
      <c r="G303" s="51" t="str">
        <f>IF(XT!$P303&gt;0,F303,"")</f>
        <v/>
      </c>
      <c r="H303" s="51" t="str">
        <f>IF(XT!$P303=0,F303,"")</f>
        <v/>
      </c>
      <c r="I303">
        <f>SUMPRODUCT((MONTH(CHOOSE({1,2,3,4},XT!U303,XT!Y303,XT!AC303,XT!AG303))=3)*(CHOOSE({1,2,3,4},XT!X303,XT!AB303,XT!AF303,XT!AJ303)))</f>
        <v>0</v>
      </c>
      <c r="J303" t="str">
        <f>IFERROR(INDEX(CHOOSE({1,2,3,4}, DAY(XT!U303), DAY(XT!Y303), DAY(XT!AC303), DAY(XT!AG303)), MATCH(1, INDEX(--(MONTH(CHOOSE({1,2,3,4}, XT!U303,XT!Y303,XT!AC303,XT!AG303))=3), 0), 0)), "")</f>
        <v/>
      </c>
      <c r="K303" s="51" t="str">
        <f>IF(XT!$P303&gt;0,J303,"")</f>
        <v/>
      </c>
      <c r="L303" s="51" t="str">
        <f>IF(XT!$P303=0,J303,"")</f>
        <v/>
      </c>
      <c r="M303">
        <f>SUMPRODUCT((MONTH(CHOOSE({1,2,3,4},XT!U303,XT!Y303,XT!AC303,XT!AG303))=4)*(CHOOSE({1,2,3,4},XT!X303,XT!AB303,XT!AF303,XT!AJ303)))</f>
        <v>0</v>
      </c>
      <c r="N303" t="str">
        <f>IFERROR(INDEX(CHOOSE({1,2,3,4}, DAY(XT!U303), DAY(XT!Y303), DAY(XT!AC303), DAY(XT!AG303)), MATCH(1, INDEX(--(MONTH(CHOOSE({1,2,3,4}, XT!U303,XT!Y303,XT!AC303,XT!AG303))=4), 0), 0)), "")</f>
        <v/>
      </c>
      <c r="O303" s="51" t="str">
        <f>IF(XT!$P303&gt;0,N303,"")</f>
        <v/>
      </c>
      <c r="P303" s="51" t="str">
        <f>IF(XT!$P303=0,N303,"")</f>
        <v/>
      </c>
      <c r="Q303">
        <f>SUMPRODUCT((MONTH(CHOOSE({1,2,3,4},XT!U303,XT!Y303,XT!AC303,XT!AG303))=5)*(CHOOSE({1,2,3,4},XT!X303,XT!AB303,XT!AF303,XT!AJ303)))</f>
        <v>0</v>
      </c>
      <c r="R303" t="str">
        <f>IFERROR(INDEX(CHOOSE({1,2,3,4}, DAY(XT!U303), DAY(XT!Y303), DAY(XT!AC303), DAY(XT!AG303)), MATCH(1, INDEX(--(MONTH(CHOOSE({1,2,3,4}, XT!U303,XT!Y303,XT!AC303,XT!AG303))=5), 0), 0)), "")</f>
        <v/>
      </c>
      <c r="S303" s="51" t="str">
        <f>IF(XT!$P303&gt;0,R303,"")</f>
        <v/>
      </c>
      <c r="T303" s="51" t="str">
        <f>IF(XT!$P303=0,R303,"")</f>
        <v/>
      </c>
      <c r="U303">
        <f>SUMPRODUCT((MONTH(CHOOSE({1,2,3,4},XT!U303,XT!Y303,XT!AC303,XT!AG303))=6)*(CHOOSE({1,2,3,4},XT!X303,XT!AB303,XT!AF303,XT!AJ303)))</f>
        <v>0</v>
      </c>
      <c r="V303" t="str">
        <f>IFERROR(INDEX(CHOOSE({1,2,3,4}, DAY(XT!U303), DAY(XT!Y303), DAY(XT!AC303), DAY(XT!AG303)), MATCH(1, INDEX(--(MONTH(CHOOSE({1,2,3,4}, XT!U303,XT!Y303,XT!AC303,XT!AG303))=6), 0), 0)), "")</f>
        <v/>
      </c>
      <c r="W303" s="51" t="str">
        <f>IF(XT!$P303&gt;0,V303,"")</f>
        <v/>
      </c>
      <c r="X303" s="51" t="str">
        <f>IF(XT!$P303=0,V303,"")</f>
        <v/>
      </c>
      <c r="Y303">
        <f>SUMPRODUCT((MONTH(CHOOSE({1,2,3,4},XT!U303,XT!Y303,XT!AC303,XT!AG303))=7)*(CHOOSE({1,2,3,4},XT!X303,XT!AB303,XT!AF303,XT!AJ303)))</f>
        <v>0</v>
      </c>
      <c r="Z303" t="str">
        <f>IFERROR(INDEX(CHOOSE({1,2,3,4}, DAY(XT!U303), DAY(XT!Y303), DAY(XT!AC303), DAY(XT!AG303)), MATCH(1, INDEX(--(MONTH(CHOOSE({1,2,3,4}, XT!U303,XT!Y303,XT!AC303,XT!AG303))=7), 0), 0)), "")</f>
        <v/>
      </c>
      <c r="AA303" s="51" t="str">
        <f>IF(XT!$P303&gt;0,Z303,"")</f>
        <v/>
      </c>
      <c r="AB303" s="51" t="str">
        <f>IF(XT!$P303=0,Z303,"")</f>
        <v/>
      </c>
      <c r="AC303">
        <f>SUMPRODUCT((MONTH(CHOOSE({1,2,3,4},XT!U303,XT!Y303,XT!AC303,XT!AG303))=8)*(CHOOSE({1,2,3,4},XT!X303,XT!AB303,XT!AF303,XT!AJ303)))</f>
        <v>0</v>
      </c>
      <c r="AD303" t="str">
        <f>IFERROR(INDEX(CHOOSE({1,2,3,4}, DAY(XT!U303), DAY(XT!Y303), DAY(XT!AC303), DAY(XT!AG303)), MATCH(1, INDEX(--(MONTH(CHOOSE({1,2,3,4}, XT!U303,XT!Y303,XT!AC303,XT!AG303))=8), 0), 0)), "")</f>
        <v/>
      </c>
      <c r="AE303" s="51" t="str">
        <f>IF(XT!$P303&gt;0,AD303,"")</f>
        <v/>
      </c>
      <c r="AF303" s="51" t="str">
        <f>IF(XT!$P303=0,AD303,"")</f>
        <v/>
      </c>
      <c r="AG303">
        <f>SUMPRODUCT((MONTH(CHOOSE({1,2,3,4},XT!U303,XT!Y303,XT!AC303,XT!AG303))=9)*(CHOOSE({1,2,3,4},XT!X303,XT!AB303,XT!AF303,XT!AJ303)))</f>
        <v>0</v>
      </c>
      <c r="AH303" t="str">
        <f>IFERROR(INDEX(CHOOSE({1,2,3,4}, DAY(XT!U303), DAY(XT!Y303), DAY(XT!AC303), DAY(XT!AG303)), MATCH(1, INDEX(--(MONTH(CHOOSE({1,2,3,4}, XT!U303,XT!Y303,XT!AC303,XT!AG303))=9), 0), 0)), "")</f>
        <v/>
      </c>
      <c r="AI303" s="51" t="str">
        <f>IF(XT!$P303&gt;0,AH303,"")</f>
        <v/>
      </c>
      <c r="AJ303" s="51" t="str">
        <f>IF(XT!$P303=0,AH303,"")</f>
        <v/>
      </c>
      <c r="AK303">
        <f>SUMPRODUCT((MONTH(CHOOSE({1,2,3,4},XT!U303,XT!Y303,XT!AC303,XT!AG303))=10)*(CHOOSE({1,2,3,4},XT!X303,XT!AB303,XT!AF303,XT!AJ303)))</f>
        <v>0</v>
      </c>
      <c r="AL303" t="str">
        <f>IFERROR(INDEX(CHOOSE({1,2,3,4}, DAY(XT!U303), DAY(XT!Y303), DAY(XT!AC303), DAY(XT!AG303)), MATCH(1, INDEX(--(MONTH(CHOOSE({1,2,3,4}, XT!U303,XT!Y303,XT!AC303,XT!AG303))=10), 0), 0)), "")</f>
        <v/>
      </c>
      <c r="AM303" s="51" t="str">
        <f>IF(XT!$P303&gt;0,AL303,"")</f>
        <v/>
      </c>
      <c r="AN303" s="51" t="str">
        <f>IF(XT!$P303=0,AL303,"")</f>
        <v/>
      </c>
      <c r="AO303">
        <f>SUMPRODUCT((MONTH(CHOOSE({1,2,3,4},XT!U303,XT!Y303,XT!AC303,XT!AG303))=11)*(CHOOSE({1,2,3,4},XT!X303,XT!AB303,XT!AF303,XT!AJ303)))</f>
        <v>0</v>
      </c>
      <c r="AP303" t="str">
        <f>IFERROR(INDEX(CHOOSE({1,2,3,4}, DAY(XT!U303), DAY(XT!Y303), DAY(XT!AC303), DAY(XT!AG303)), MATCH(1, INDEX(--(MONTH(CHOOSE({1,2,3,4}, XT!U303,XT!Y303,XT!AC303,XT!AG303))=11), 0), 0)), "")</f>
        <v/>
      </c>
      <c r="AQ303" s="51" t="str">
        <f>IF(XT!$P303&gt;0,AP303,"")</f>
        <v/>
      </c>
      <c r="AR303" s="51" t="str">
        <f>IF(XT!$P303=0,AP303,"")</f>
        <v/>
      </c>
      <c r="AS303">
        <f>SUMPRODUCT((MONTH(CHOOSE({1,2,3,4},XT!U303,XT!Y303,XT!AC303,XT!AG303))=12)*(CHOOSE({1,2,3,4},XT!X303,XT!AB303,XT!AF303,XT!AJ303)))</f>
        <v>0</v>
      </c>
      <c r="AT303" t="str">
        <f>IFERROR(INDEX(CHOOSE({1,2,3,4}, DAY(XT!U303), DAY(XT!Y303), DAY(XT!AC303), DAY(XT!AG303)), MATCH(1, INDEX(--(MONTH(CHOOSE({1,2,3,4}, XT!U303,XT!Y303,XT!AC303,XT!AG303))=12), 0), 0)), "")</f>
        <v/>
      </c>
      <c r="AU303" s="51" t="str">
        <f>IF(XT!$P303&gt;0,AT303,"")</f>
        <v/>
      </c>
      <c r="AV303" s="51" t="str">
        <f>IF(XT!$P303=0,AT303,"")</f>
        <v/>
      </c>
    </row>
    <row r="304" spans="1:48">
      <c r="A304">
        <f>SUMPRODUCT((MONTH(CHOOSE({1,2,3,4},XT!U304,XT!Y304,XT!AC304,XT!AG304))=1)*(CHOOSE({1,2,3,4},XT!X304,XT!AB304,XT!AF304,XT!AJ304)))</f>
        <v>0</v>
      </c>
      <c r="B304">
        <f>IFERROR(INDEX(CHOOSE({1,2,3,4}, DAY(XT!U304), DAY(XT!Y304), DAY(XT!AC304), DAY(XT!AG304)), MATCH(1, INDEX(--(MONTH(CHOOSE({1,2,3,4}, XT!U304,XT!Y304,XT!AC304,XT!AG304))=1), 0), 0)), "")</f>
        <v>0</v>
      </c>
      <c r="C304" s="51" t="str">
        <f>IF(XT!$P304&gt;0,B304,"")</f>
        <v/>
      </c>
      <c r="D304" s="51">
        <f>IF(XT!$P304=0,B304,"")</f>
        <v>0</v>
      </c>
      <c r="E304">
        <f>SUMPRODUCT((MONTH(CHOOSE({1,2,3,4},XT!U304,XT!Y304,XT!AC304,XT!AG304))=2)*(CHOOSE({1,2,3,4},XT!X304,XT!AB304,XT!AF304,XT!AJ304)))</f>
        <v>0</v>
      </c>
      <c r="F304" t="str">
        <f>IFERROR(INDEX(CHOOSE({1,2,3,4}, DAY(XT!U304), DAY(XT!Y304), DAY(XT!AC304), DAY(XT!AG304)), MATCH(1, INDEX(--(MONTH(CHOOSE({1,2,3,4}, XT!U304,XT!Y304,XT!AC304,XT!AG304))=2), 0), 0)), "")</f>
        <v/>
      </c>
      <c r="G304" s="51" t="str">
        <f>IF(XT!$P304&gt;0,F304,"")</f>
        <v/>
      </c>
      <c r="H304" s="51" t="str">
        <f>IF(XT!$P304=0,F304,"")</f>
        <v/>
      </c>
      <c r="I304">
        <f>SUMPRODUCT((MONTH(CHOOSE({1,2,3,4},XT!U304,XT!Y304,XT!AC304,XT!AG304))=3)*(CHOOSE({1,2,3,4},XT!X304,XT!AB304,XT!AF304,XT!AJ304)))</f>
        <v>0</v>
      </c>
      <c r="J304" t="str">
        <f>IFERROR(INDEX(CHOOSE({1,2,3,4}, DAY(XT!U304), DAY(XT!Y304), DAY(XT!AC304), DAY(XT!AG304)), MATCH(1, INDEX(--(MONTH(CHOOSE({1,2,3,4}, XT!U304,XT!Y304,XT!AC304,XT!AG304))=3), 0), 0)), "")</f>
        <v/>
      </c>
      <c r="K304" s="51" t="str">
        <f>IF(XT!$P304&gt;0,J304,"")</f>
        <v/>
      </c>
      <c r="L304" s="51" t="str">
        <f>IF(XT!$P304=0,J304,"")</f>
        <v/>
      </c>
      <c r="M304">
        <f>SUMPRODUCT((MONTH(CHOOSE({1,2,3,4},XT!U304,XT!Y304,XT!AC304,XT!AG304))=4)*(CHOOSE({1,2,3,4},XT!X304,XT!AB304,XT!AF304,XT!AJ304)))</f>
        <v>0</v>
      </c>
      <c r="N304" t="str">
        <f>IFERROR(INDEX(CHOOSE({1,2,3,4}, DAY(XT!U304), DAY(XT!Y304), DAY(XT!AC304), DAY(XT!AG304)), MATCH(1, INDEX(--(MONTH(CHOOSE({1,2,3,4}, XT!U304,XT!Y304,XT!AC304,XT!AG304))=4), 0), 0)), "")</f>
        <v/>
      </c>
      <c r="O304" s="51" t="str">
        <f>IF(XT!$P304&gt;0,N304,"")</f>
        <v/>
      </c>
      <c r="P304" s="51" t="str">
        <f>IF(XT!$P304=0,N304,"")</f>
        <v/>
      </c>
      <c r="Q304">
        <f>SUMPRODUCT((MONTH(CHOOSE({1,2,3,4},XT!U304,XT!Y304,XT!AC304,XT!AG304))=5)*(CHOOSE({1,2,3,4},XT!X304,XT!AB304,XT!AF304,XT!AJ304)))</f>
        <v>0</v>
      </c>
      <c r="R304" t="str">
        <f>IFERROR(INDEX(CHOOSE({1,2,3,4}, DAY(XT!U304), DAY(XT!Y304), DAY(XT!AC304), DAY(XT!AG304)), MATCH(1, INDEX(--(MONTH(CHOOSE({1,2,3,4}, XT!U304,XT!Y304,XT!AC304,XT!AG304))=5), 0), 0)), "")</f>
        <v/>
      </c>
      <c r="S304" s="51" t="str">
        <f>IF(XT!$P304&gt;0,R304,"")</f>
        <v/>
      </c>
      <c r="T304" s="51" t="str">
        <f>IF(XT!$P304=0,R304,"")</f>
        <v/>
      </c>
      <c r="U304">
        <f>SUMPRODUCT((MONTH(CHOOSE({1,2,3,4},XT!U304,XT!Y304,XT!AC304,XT!AG304))=6)*(CHOOSE({1,2,3,4},XT!X304,XT!AB304,XT!AF304,XT!AJ304)))</f>
        <v>0</v>
      </c>
      <c r="V304" t="str">
        <f>IFERROR(INDEX(CHOOSE({1,2,3,4}, DAY(XT!U304), DAY(XT!Y304), DAY(XT!AC304), DAY(XT!AG304)), MATCH(1, INDEX(--(MONTH(CHOOSE({1,2,3,4}, XT!U304,XT!Y304,XT!AC304,XT!AG304))=6), 0), 0)), "")</f>
        <v/>
      </c>
      <c r="W304" s="51" t="str">
        <f>IF(XT!$P304&gt;0,V304,"")</f>
        <v/>
      </c>
      <c r="X304" s="51" t="str">
        <f>IF(XT!$P304=0,V304,"")</f>
        <v/>
      </c>
      <c r="Y304">
        <f>SUMPRODUCT((MONTH(CHOOSE({1,2,3,4},XT!U304,XT!Y304,XT!AC304,XT!AG304))=7)*(CHOOSE({1,2,3,4},XT!X304,XT!AB304,XT!AF304,XT!AJ304)))</f>
        <v>0</v>
      </c>
      <c r="Z304" t="str">
        <f>IFERROR(INDEX(CHOOSE({1,2,3,4}, DAY(XT!U304), DAY(XT!Y304), DAY(XT!AC304), DAY(XT!AG304)), MATCH(1, INDEX(--(MONTH(CHOOSE({1,2,3,4}, XT!U304,XT!Y304,XT!AC304,XT!AG304))=7), 0), 0)), "")</f>
        <v/>
      </c>
      <c r="AA304" s="51" t="str">
        <f>IF(XT!$P304&gt;0,Z304,"")</f>
        <v/>
      </c>
      <c r="AB304" s="51" t="str">
        <f>IF(XT!$P304=0,Z304,"")</f>
        <v/>
      </c>
      <c r="AC304">
        <f>SUMPRODUCT((MONTH(CHOOSE({1,2,3,4},XT!U304,XT!Y304,XT!AC304,XT!AG304))=8)*(CHOOSE({1,2,3,4},XT!X304,XT!AB304,XT!AF304,XT!AJ304)))</f>
        <v>0</v>
      </c>
      <c r="AD304" t="str">
        <f>IFERROR(INDEX(CHOOSE({1,2,3,4}, DAY(XT!U304), DAY(XT!Y304), DAY(XT!AC304), DAY(XT!AG304)), MATCH(1, INDEX(--(MONTH(CHOOSE({1,2,3,4}, XT!U304,XT!Y304,XT!AC304,XT!AG304))=8), 0), 0)), "")</f>
        <v/>
      </c>
      <c r="AE304" s="51" t="str">
        <f>IF(XT!$P304&gt;0,AD304,"")</f>
        <v/>
      </c>
      <c r="AF304" s="51" t="str">
        <f>IF(XT!$P304=0,AD304,"")</f>
        <v/>
      </c>
      <c r="AG304">
        <f>SUMPRODUCT((MONTH(CHOOSE({1,2,3,4},XT!U304,XT!Y304,XT!AC304,XT!AG304))=9)*(CHOOSE({1,2,3,4},XT!X304,XT!AB304,XT!AF304,XT!AJ304)))</f>
        <v>0</v>
      </c>
      <c r="AH304" t="str">
        <f>IFERROR(INDEX(CHOOSE({1,2,3,4}, DAY(XT!U304), DAY(XT!Y304), DAY(XT!AC304), DAY(XT!AG304)), MATCH(1, INDEX(--(MONTH(CHOOSE({1,2,3,4}, XT!U304,XT!Y304,XT!AC304,XT!AG304))=9), 0), 0)), "")</f>
        <v/>
      </c>
      <c r="AI304" s="51" t="str">
        <f>IF(XT!$P304&gt;0,AH304,"")</f>
        <v/>
      </c>
      <c r="AJ304" s="51" t="str">
        <f>IF(XT!$P304=0,AH304,"")</f>
        <v/>
      </c>
      <c r="AK304">
        <f>SUMPRODUCT((MONTH(CHOOSE({1,2,3,4},XT!U304,XT!Y304,XT!AC304,XT!AG304))=10)*(CHOOSE({1,2,3,4},XT!X304,XT!AB304,XT!AF304,XT!AJ304)))</f>
        <v>0</v>
      </c>
      <c r="AL304" t="str">
        <f>IFERROR(INDEX(CHOOSE({1,2,3,4}, DAY(XT!U304), DAY(XT!Y304), DAY(XT!AC304), DAY(XT!AG304)), MATCH(1, INDEX(--(MONTH(CHOOSE({1,2,3,4}, XT!U304,XT!Y304,XT!AC304,XT!AG304))=10), 0), 0)), "")</f>
        <v/>
      </c>
      <c r="AM304" s="51" t="str">
        <f>IF(XT!$P304&gt;0,AL304,"")</f>
        <v/>
      </c>
      <c r="AN304" s="51" t="str">
        <f>IF(XT!$P304=0,AL304,"")</f>
        <v/>
      </c>
      <c r="AO304">
        <f>SUMPRODUCT((MONTH(CHOOSE({1,2,3,4},XT!U304,XT!Y304,XT!AC304,XT!AG304))=11)*(CHOOSE({1,2,3,4},XT!X304,XT!AB304,XT!AF304,XT!AJ304)))</f>
        <v>0</v>
      </c>
      <c r="AP304" t="str">
        <f>IFERROR(INDEX(CHOOSE({1,2,3,4}, DAY(XT!U304), DAY(XT!Y304), DAY(XT!AC304), DAY(XT!AG304)), MATCH(1, INDEX(--(MONTH(CHOOSE({1,2,3,4}, XT!U304,XT!Y304,XT!AC304,XT!AG304))=11), 0), 0)), "")</f>
        <v/>
      </c>
      <c r="AQ304" s="51" t="str">
        <f>IF(XT!$P304&gt;0,AP304,"")</f>
        <v/>
      </c>
      <c r="AR304" s="51" t="str">
        <f>IF(XT!$P304=0,AP304,"")</f>
        <v/>
      </c>
      <c r="AS304">
        <f>SUMPRODUCT((MONTH(CHOOSE({1,2,3,4},XT!U304,XT!Y304,XT!AC304,XT!AG304))=12)*(CHOOSE({1,2,3,4},XT!X304,XT!AB304,XT!AF304,XT!AJ304)))</f>
        <v>0</v>
      </c>
      <c r="AT304" t="str">
        <f>IFERROR(INDEX(CHOOSE({1,2,3,4}, DAY(XT!U304), DAY(XT!Y304), DAY(XT!AC304), DAY(XT!AG304)), MATCH(1, INDEX(--(MONTH(CHOOSE({1,2,3,4}, XT!U304,XT!Y304,XT!AC304,XT!AG304))=12), 0), 0)), "")</f>
        <v/>
      </c>
      <c r="AU304" s="51" t="str">
        <f>IF(XT!$P304&gt;0,AT304,"")</f>
        <v/>
      </c>
      <c r="AV304" s="51" t="str">
        <f>IF(XT!$P304=0,AT304,"")</f>
        <v/>
      </c>
    </row>
    <row r="305" spans="1:48">
      <c r="A305">
        <f>SUMPRODUCT((MONTH(CHOOSE({1,2,3,4},XT!U305,XT!Y305,XT!AC305,XT!AG305))=1)*(CHOOSE({1,2,3,4},XT!X305,XT!AB305,XT!AF305,XT!AJ305)))</f>
        <v>0</v>
      </c>
      <c r="B305">
        <f>IFERROR(INDEX(CHOOSE({1,2,3,4}, DAY(XT!U305), DAY(XT!Y305), DAY(XT!AC305), DAY(XT!AG305)), MATCH(1, INDEX(--(MONTH(CHOOSE({1,2,3,4}, XT!U305,XT!Y305,XT!AC305,XT!AG305))=1), 0), 0)), "")</f>
        <v>0</v>
      </c>
      <c r="C305" s="51" t="str">
        <f>IF(XT!$P305&gt;0,B305,"")</f>
        <v/>
      </c>
      <c r="D305" s="51">
        <f>IF(XT!$P305=0,B305,"")</f>
        <v>0</v>
      </c>
      <c r="E305">
        <f>SUMPRODUCT((MONTH(CHOOSE({1,2,3,4},XT!U305,XT!Y305,XT!AC305,XT!AG305))=2)*(CHOOSE({1,2,3,4},XT!X305,XT!AB305,XT!AF305,XT!AJ305)))</f>
        <v>0</v>
      </c>
      <c r="F305" t="str">
        <f>IFERROR(INDEX(CHOOSE({1,2,3,4}, DAY(XT!U305), DAY(XT!Y305), DAY(XT!AC305), DAY(XT!AG305)), MATCH(1, INDEX(--(MONTH(CHOOSE({1,2,3,4}, XT!U305,XT!Y305,XT!AC305,XT!AG305))=2), 0), 0)), "")</f>
        <v/>
      </c>
      <c r="G305" s="51" t="str">
        <f>IF(XT!$P305&gt;0,F305,"")</f>
        <v/>
      </c>
      <c r="H305" s="51" t="str">
        <f>IF(XT!$P305=0,F305,"")</f>
        <v/>
      </c>
      <c r="I305">
        <f>SUMPRODUCT((MONTH(CHOOSE({1,2,3,4},XT!U305,XT!Y305,XT!AC305,XT!AG305))=3)*(CHOOSE({1,2,3,4},XT!X305,XT!AB305,XT!AF305,XT!AJ305)))</f>
        <v>0</v>
      </c>
      <c r="J305" t="str">
        <f>IFERROR(INDEX(CHOOSE({1,2,3,4}, DAY(XT!U305), DAY(XT!Y305), DAY(XT!AC305), DAY(XT!AG305)), MATCH(1, INDEX(--(MONTH(CHOOSE({1,2,3,4}, XT!U305,XT!Y305,XT!AC305,XT!AG305))=3), 0), 0)), "")</f>
        <v/>
      </c>
      <c r="K305" s="51" t="str">
        <f>IF(XT!$P305&gt;0,J305,"")</f>
        <v/>
      </c>
      <c r="L305" s="51" t="str">
        <f>IF(XT!$P305=0,J305,"")</f>
        <v/>
      </c>
      <c r="M305">
        <f>SUMPRODUCT((MONTH(CHOOSE({1,2,3,4},XT!U305,XT!Y305,XT!AC305,XT!AG305))=4)*(CHOOSE({1,2,3,4},XT!X305,XT!AB305,XT!AF305,XT!AJ305)))</f>
        <v>0</v>
      </c>
      <c r="N305" t="str">
        <f>IFERROR(INDEX(CHOOSE({1,2,3,4}, DAY(XT!U305), DAY(XT!Y305), DAY(XT!AC305), DAY(XT!AG305)), MATCH(1, INDEX(--(MONTH(CHOOSE({1,2,3,4}, XT!U305,XT!Y305,XT!AC305,XT!AG305))=4), 0), 0)), "")</f>
        <v/>
      </c>
      <c r="O305" s="51" t="str">
        <f>IF(XT!$P305&gt;0,N305,"")</f>
        <v/>
      </c>
      <c r="P305" s="51" t="str">
        <f>IF(XT!$P305=0,N305,"")</f>
        <v/>
      </c>
      <c r="Q305">
        <f>SUMPRODUCT((MONTH(CHOOSE({1,2,3,4},XT!U305,XT!Y305,XT!AC305,XT!AG305))=5)*(CHOOSE({1,2,3,4},XT!X305,XT!AB305,XT!AF305,XT!AJ305)))</f>
        <v>0</v>
      </c>
      <c r="R305" t="str">
        <f>IFERROR(INDEX(CHOOSE({1,2,3,4}, DAY(XT!U305), DAY(XT!Y305), DAY(XT!AC305), DAY(XT!AG305)), MATCH(1, INDEX(--(MONTH(CHOOSE({1,2,3,4}, XT!U305,XT!Y305,XT!AC305,XT!AG305))=5), 0), 0)), "")</f>
        <v/>
      </c>
      <c r="S305" s="51" t="str">
        <f>IF(XT!$P305&gt;0,R305,"")</f>
        <v/>
      </c>
      <c r="T305" s="51" t="str">
        <f>IF(XT!$P305=0,R305,"")</f>
        <v/>
      </c>
      <c r="U305">
        <f>SUMPRODUCT((MONTH(CHOOSE({1,2,3,4},XT!U305,XT!Y305,XT!AC305,XT!AG305))=6)*(CHOOSE({1,2,3,4},XT!X305,XT!AB305,XT!AF305,XT!AJ305)))</f>
        <v>0</v>
      </c>
      <c r="V305" t="str">
        <f>IFERROR(INDEX(CHOOSE({1,2,3,4}, DAY(XT!U305), DAY(XT!Y305), DAY(XT!AC305), DAY(XT!AG305)), MATCH(1, INDEX(--(MONTH(CHOOSE({1,2,3,4}, XT!U305,XT!Y305,XT!AC305,XT!AG305))=6), 0), 0)), "")</f>
        <v/>
      </c>
      <c r="W305" s="51" t="str">
        <f>IF(XT!$P305&gt;0,V305,"")</f>
        <v/>
      </c>
      <c r="X305" s="51" t="str">
        <f>IF(XT!$P305=0,V305,"")</f>
        <v/>
      </c>
      <c r="Y305">
        <f>SUMPRODUCT((MONTH(CHOOSE({1,2,3,4},XT!U305,XT!Y305,XT!AC305,XT!AG305))=7)*(CHOOSE({1,2,3,4},XT!X305,XT!AB305,XT!AF305,XT!AJ305)))</f>
        <v>0</v>
      </c>
      <c r="Z305" t="str">
        <f>IFERROR(INDEX(CHOOSE({1,2,3,4}, DAY(XT!U305), DAY(XT!Y305), DAY(XT!AC305), DAY(XT!AG305)), MATCH(1, INDEX(--(MONTH(CHOOSE({1,2,3,4}, XT!U305,XT!Y305,XT!AC305,XT!AG305))=7), 0), 0)), "")</f>
        <v/>
      </c>
      <c r="AA305" s="51" t="str">
        <f>IF(XT!$P305&gt;0,Z305,"")</f>
        <v/>
      </c>
      <c r="AB305" s="51" t="str">
        <f>IF(XT!$P305=0,Z305,"")</f>
        <v/>
      </c>
      <c r="AC305">
        <f>SUMPRODUCT((MONTH(CHOOSE({1,2,3,4},XT!U305,XT!Y305,XT!AC305,XT!AG305))=8)*(CHOOSE({1,2,3,4},XT!X305,XT!AB305,XT!AF305,XT!AJ305)))</f>
        <v>0</v>
      </c>
      <c r="AD305" t="str">
        <f>IFERROR(INDEX(CHOOSE({1,2,3,4}, DAY(XT!U305), DAY(XT!Y305), DAY(XT!AC305), DAY(XT!AG305)), MATCH(1, INDEX(--(MONTH(CHOOSE({1,2,3,4}, XT!U305,XT!Y305,XT!AC305,XT!AG305))=8), 0), 0)), "")</f>
        <v/>
      </c>
      <c r="AE305" s="51" t="str">
        <f>IF(XT!$P305&gt;0,AD305,"")</f>
        <v/>
      </c>
      <c r="AF305" s="51" t="str">
        <f>IF(XT!$P305=0,AD305,"")</f>
        <v/>
      </c>
      <c r="AG305">
        <f>SUMPRODUCT((MONTH(CHOOSE({1,2,3,4},XT!U305,XT!Y305,XT!AC305,XT!AG305))=9)*(CHOOSE({1,2,3,4},XT!X305,XT!AB305,XT!AF305,XT!AJ305)))</f>
        <v>0</v>
      </c>
      <c r="AH305" t="str">
        <f>IFERROR(INDEX(CHOOSE({1,2,3,4}, DAY(XT!U305), DAY(XT!Y305), DAY(XT!AC305), DAY(XT!AG305)), MATCH(1, INDEX(--(MONTH(CHOOSE({1,2,3,4}, XT!U305,XT!Y305,XT!AC305,XT!AG305))=9), 0), 0)), "")</f>
        <v/>
      </c>
      <c r="AI305" s="51" t="str">
        <f>IF(XT!$P305&gt;0,AH305,"")</f>
        <v/>
      </c>
      <c r="AJ305" s="51" t="str">
        <f>IF(XT!$P305=0,AH305,"")</f>
        <v/>
      </c>
      <c r="AK305">
        <f>SUMPRODUCT((MONTH(CHOOSE({1,2,3,4},XT!U305,XT!Y305,XT!AC305,XT!AG305))=10)*(CHOOSE({1,2,3,4},XT!X305,XT!AB305,XT!AF305,XT!AJ305)))</f>
        <v>0</v>
      </c>
      <c r="AL305" t="str">
        <f>IFERROR(INDEX(CHOOSE({1,2,3,4}, DAY(XT!U305), DAY(XT!Y305), DAY(XT!AC305), DAY(XT!AG305)), MATCH(1, INDEX(--(MONTH(CHOOSE({1,2,3,4}, XT!U305,XT!Y305,XT!AC305,XT!AG305))=10), 0), 0)), "")</f>
        <v/>
      </c>
      <c r="AM305" s="51" t="str">
        <f>IF(XT!$P305&gt;0,AL305,"")</f>
        <v/>
      </c>
      <c r="AN305" s="51" t="str">
        <f>IF(XT!$P305=0,AL305,"")</f>
        <v/>
      </c>
      <c r="AO305">
        <f>SUMPRODUCT((MONTH(CHOOSE({1,2,3,4},XT!U305,XT!Y305,XT!AC305,XT!AG305))=11)*(CHOOSE({1,2,3,4},XT!X305,XT!AB305,XT!AF305,XT!AJ305)))</f>
        <v>0</v>
      </c>
      <c r="AP305" t="str">
        <f>IFERROR(INDEX(CHOOSE({1,2,3,4}, DAY(XT!U305), DAY(XT!Y305), DAY(XT!AC305), DAY(XT!AG305)), MATCH(1, INDEX(--(MONTH(CHOOSE({1,2,3,4}, XT!U305,XT!Y305,XT!AC305,XT!AG305))=11), 0), 0)), "")</f>
        <v/>
      </c>
      <c r="AQ305" s="51" t="str">
        <f>IF(XT!$P305&gt;0,AP305,"")</f>
        <v/>
      </c>
      <c r="AR305" s="51" t="str">
        <f>IF(XT!$P305=0,AP305,"")</f>
        <v/>
      </c>
      <c r="AS305">
        <f>SUMPRODUCT((MONTH(CHOOSE({1,2,3,4},XT!U305,XT!Y305,XT!AC305,XT!AG305))=12)*(CHOOSE({1,2,3,4},XT!X305,XT!AB305,XT!AF305,XT!AJ305)))</f>
        <v>0</v>
      </c>
      <c r="AT305" t="str">
        <f>IFERROR(INDEX(CHOOSE({1,2,3,4}, DAY(XT!U305), DAY(XT!Y305), DAY(XT!AC305), DAY(XT!AG305)), MATCH(1, INDEX(--(MONTH(CHOOSE({1,2,3,4}, XT!U305,XT!Y305,XT!AC305,XT!AG305))=12), 0), 0)), "")</f>
        <v/>
      </c>
      <c r="AU305" s="51" t="str">
        <f>IF(XT!$P305&gt;0,AT305,"")</f>
        <v/>
      </c>
      <c r="AV305" s="51" t="str">
        <f>IF(XT!$P305=0,AT305,"")</f>
        <v/>
      </c>
    </row>
    <row r="306" spans="1:48">
      <c r="A306">
        <f>SUMPRODUCT((MONTH(CHOOSE({1,2,3,4},XT!U306,XT!Y306,XT!AC306,XT!AG306))=1)*(CHOOSE({1,2,3,4},XT!X306,XT!AB306,XT!AF306,XT!AJ306)))</f>
        <v>0</v>
      </c>
      <c r="B306">
        <f>IFERROR(INDEX(CHOOSE({1,2,3,4}, DAY(XT!U306), DAY(XT!Y306), DAY(XT!AC306), DAY(XT!AG306)), MATCH(1, INDEX(--(MONTH(CHOOSE({1,2,3,4}, XT!U306,XT!Y306,XT!AC306,XT!AG306))=1), 0), 0)), "")</f>
        <v>0</v>
      </c>
      <c r="C306" s="51" t="str">
        <f>IF(XT!$P306&gt;0,B306,"")</f>
        <v/>
      </c>
      <c r="D306" s="51">
        <f>IF(XT!$P306=0,B306,"")</f>
        <v>0</v>
      </c>
      <c r="E306">
        <f>SUMPRODUCT((MONTH(CHOOSE({1,2,3,4},XT!U306,XT!Y306,XT!AC306,XT!AG306))=2)*(CHOOSE({1,2,3,4},XT!X306,XT!AB306,XT!AF306,XT!AJ306)))</f>
        <v>0</v>
      </c>
      <c r="F306" t="str">
        <f>IFERROR(INDEX(CHOOSE({1,2,3,4}, DAY(XT!U306), DAY(XT!Y306), DAY(XT!AC306), DAY(XT!AG306)), MATCH(1, INDEX(--(MONTH(CHOOSE({1,2,3,4}, XT!U306,XT!Y306,XT!AC306,XT!AG306))=2), 0), 0)), "")</f>
        <v/>
      </c>
      <c r="G306" s="51" t="str">
        <f>IF(XT!$P306&gt;0,F306,"")</f>
        <v/>
      </c>
      <c r="H306" s="51" t="str">
        <f>IF(XT!$P306=0,F306,"")</f>
        <v/>
      </c>
      <c r="I306">
        <f>SUMPRODUCT((MONTH(CHOOSE({1,2,3,4},XT!U306,XT!Y306,XT!AC306,XT!AG306))=3)*(CHOOSE({1,2,3,4},XT!X306,XT!AB306,XT!AF306,XT!AJ306)))</f>
        <v>0</v>
      </c>
      <c r="J306" t="str">
        <f>IFERROR(INDEX(CHOOSE({1,2,3,4}, DAY(XT!U306), DAY(XT!Y306), DAY(XT!AC306), DAY(XT!AG306)), MATCH(1, INDEX(--(MONTH(CHOOSE({1,2,3,4}, XT!U306,XT!Y306,XT!AC306,XT!AG306))=3), 0), 0)), "")</f>
        <v/>
      </c>
      <c r="K306" s="51" t="str">
        <f>IF(XT!$P306&gt;0,J306,"")</f>
        <v/>
      </c>
      <c r="L306" s="51" t="str">
        <f>IF(XT!$P306=0,J306,"")</f>
        <v/>
      </c>
      <c r="M306">
        <f>SUMPRODUCT((MONTH(CHOOSE({1,2,3,4},XT!U306,XT!Y306,XT!AC306,XT!AG306))=4)*(CHOOSE({1,2,3,4},XT!X306,XT!AB306,XT!AF306,XT!AJ306)))</f>
        <v>0</v>
      </c>
      <c r="N306" t="str">
        <f>IFERROR(INDEX(CHOOSE({1,2,3,4}, DAY(XT!U306), DAY(XT!Y306), DAY(XT!AC306), DAY(XT!AG306)), MATCH(1, INDEX(--(MONTH(CHOOSE({1,2,3,4}, XT!U306,XT!Y306,XT!AC306,XT!AG306))=4), 0), 0)), "")</f>
        <v/>
      </c>
      <c r="O306" s="51" t="str">
        <f>IF(XT!$P306&gt;0,N306,"")</f>
        <v/>
      </c>
      <c r="P306" s="51" t="str">
        <f>IF(XT!$P306=0,N306,"")</f>
        <v/>
      </c>
      <c r="Q306">
        <f>SUMPRODUCT((MONTH(CHOOSE({1,2,3,4},XT!U306,XT!Y306,XT!AC306,XT!AG306))=5)*(CHOOSE({1,2,3,4},XT!X306,XT!AB306,XT!AF306,XT!AJ306)))</f>
        <v>0</v>
      </c>
      <c r="R306" t="str">
        <f>IFERROR(INDEX(CHOOSE({1,2,3,4}, DAY(XT!U306), DAY(XT!Y306), DAY(XT!AC306), DAY(XT!AG306)), MATCH(1, INDEX(--(MONTH(CHOOSE({1,2,3,4}, XT!U306,XT!Y306,XT!AC306,XT!AG306))=5), 0), 0)), "")</f>
        <v/>
      </c>
      <c r="S306" s="51" t="str">
        <f>IF(XT!$P306&gt;0,R306,"")</f>
        <v/>
      </c>
      <c r="T306" s="51" t="str">
        <f>IF(XT!$P306=0,R306,"")</f>
        <v/>
      </c>
      <c r="U306">
        <f>SUMPRODUCT((MONTH(CHOOSE({1,2,3,4},XT!U306,XT!Y306,XT!AC306,XT!AG306))=6)*(CHOOSE({1,2,3,4},XT!X306,XT!AB306,XT!AF306,XT!AJ306)))</f>
        <v>0</v>
      </c>
      <c r="V306" t="str">
        <f>IFERROR(INDEX(CHOOSE({1,2,3,4}, DAY(XT!U306), DAY(XT!Y306), DAY(XT!AC306), DAY(XT!AG306)), MATCH(1, INDEX(--(MONTH(CHOOSE({1,2,3,4}, XT!U306,XT!Y306,XT!AC306,XT!AG306))=6), 0), 0)), "")</f>
        <v/>
      </c>
      <c r="W306" s="51" t="str">
        <f>IF(XT!$P306&gt;0,V306,"")</f>
        <v/>
      </c>
      <c r="X306" s="51" t="str">
        <f>IF(XT!$P306=0,V306,"")</f>
        <v/>
      </c>
      <c r="Y306">
        <f>SUMPRODUCT((MONTH(CHOOSE({1,2,3,4},XT!U306,XT!Y306,XT!AC306,XT!AG306))=7)*(CHOOSE({1,2,3,4},XT!X306,XT!AB306,XT!AF306,XT!AJ306)))</f>
        <v>0</v>
      </c>
      <c r="Z306" t="str">
        <f>IFERROR(INDEX(CHOOSE({1,2,3,4}, DAY(XT!U306), DAY(XT!Y306), DAY(XT!AC306), DAY(XT!AG306)), MATCH(1, INDEX(--(MONTH(CHOOSE({1,2,3,4}, XT!U306,XT!Y306,XT!AC306,XT!AG306))=7), 0), 0)), "")</f>
        <v/>
      </c>
      <c r="AA306" s="51" t="str">
        <f>IF(XT!$P306&gt;0,Z306,"")</f>
        <v/>
      </c>
      <c r="AB306" s="51" t="str">
        <f>IF(XT!$P306=0,Z306,"")</f>
        <v/>
      </c>
      <c r="AC306">
        <f>SUMPRODUCT((MONTH(CHOOSE({1,2,3,4},XT!U306,XT!Y306,XT!AC306,XT!AG306))=8)*(CHOOSE({1,2,3,4},XT!X306,XT!AB306,XT!AF306,XT!AJ306)))</f>
        <v>0</v>
      </c>
      <c r="AD306" t="str">
        <f>IFERROR(INDEX(CHOOSE({1,2,3,4}, DAY(XT!U306), DAY(XT!Y306), DAY(XT!AC306), DAY(XT!AG306)), MATCH(1, INDEX(--(MONTH(CHOOSE({1,2,3,4}, XT!U306,XT!Y306,XT!AC306,XT!AG306))=8), 0), 0)), "")</f>
        <v/>
      </c>
      <c r="AE306" s="51" t="str">
        <f>IF(XT!$P306&gt;0,AD306,"")</f>
        <v/>
      </c>
      <c r="AF306" s="51" t="str">
        <f>IF(XT!$P306=0,AD306,"")</f>
        <v/>
      </c>
      <c r="AG306">
        <f>SUMPRODUCT((MONTH(CHOOSE({1,2,3,4},XT!U306,XT!Y306,XT!AC306,XT!AG306))=9)*(CHOOSE({1,2,3,4},XT!X306,XT!AB306,XT!AF306,XT!AJ306)))</f>
        <v>0</v>
      </c>
      <c r="AH306" t="str">
        <f>IFERROR(INDEX(CHOOSE({1,2,3,4}, DAY(XT!U306), DAY(XT!Y306), DAY(XT!AC306), DAY(XT!AG306)), MATCH(1, INDEX(--(MONTH(CHOOSE({1,2,3,4}, XT!U306,XT!Y306,XT!AC306,XT!AG306))=9), 0), 0)), "")</f>
        <v/>
      </c>
      <c r="AI306" s="51" t="str">
        <f>IF(XT!$P306&gt;0,AH306,"")</f>
        <v/>
      </c>
      <c r="AJ306" s="51" t="str">
        <f>IF(XT!$P306=0,AH306,"")</f>
        <v/>
      </c>
      <c r="AK306">
        <f>SUMPRODUCT((MONTH(CHOOSE({1,2,3,4},XT!U306,XT!Y306,XT!AC306,XT!AG306))=10)*(CHOOSE({1,2,3,4},XT!X306,XT!AB306,XT!AF306,XT!AJ306)))</f>
        <v>0</v>
      </c>
      <c r="AL306" t="str">
        <f>IFERROR(INDEX(CHOOSE({1,2,3,4}, DAY(XT!U306), DAY(XT!Y306), DAY(XT!AC306), DAY(XT!AG306)), MATCH(1, INDEX(--(MONTH(CHOOSE({1,2,3,4}, XT!U306,XT!Y306,XT!AC306,XT!AG306))=10), 0), 0)), "")</f>
        <v/>
      </c>
      <c r="AM306" s="51" t="str">
        <f>IF(XT!$P306&gt;0,AL306,"")</f>
        <v/>
      </c>
      <c r="AN306" s="51" t="str">
        <f>IF(XT!$P306=0,AL306,"")</f>
        <v/>
      </c>
      <c r="AO306">
        <f>SUMPRODUCT((MONTH(CHOOSE({1,2,3,4},XT!U306,XT!Y306,XT!AC306,XT!AG306))=11)*(CHOOSE({1,2,3,4},XT!X306,XT!AB306,XT!AF306,XT!AJ306)))</f>
        <v>0</v>
      </c>
      <c r="AP306" t="str">
        <f>IFERROR(INDEX(CHOOSE({1,2,3,4}, DAY(XT!U306), DAY(XT!Y306), DAY(XT!AC306), DAY(XT!AG306)), MATCH(1, INDEX(--(MONTH(CHOOSE({1,2,3,4}, XT!U306,XT!Y306,XT!AC306,XT!AG306))=11), 0), 0)), "")</f>
        <v/>
      </c>
      <c r="AQ306" s="51" t="str">
        <f>IF(XT!$P306&gt;0,AP306,"")</f>
        <v/>
      </c>
      <c r="AR306" s="51" t="str">
        <f>IF(XT!$P306=0,AP306,"")</f>
        <v/>
      </c>
      <c r="AS306">
        <f>SUMPRODUCT((MONTH(CHOOSE({1,2,3,4},XT!U306,XT!Y306,XT!AC306,XT!AG306))=12)*(CHOOSE({1,2,3,4},XT!X306,XT!AB306,XT!AF306,XT!AJ306)))</f>
        <v>0</v>
      </c>
      <c r="AT306" t="str">
        <f>IFERROR(INDEX(CHOOSE({1,2,3,4}, DAY(XT!U306), DAY(XT!Y306), DAY(XT!AC306), DAY(XT!AG306)), MATCH(1, INDEX(--(MONTH(CHOOSE({1,2,3,4}, XT!U306,XT!Y306,XT!AC306,XT!AG306))=12), 0), 0)), "")</f>
        <v/>
      </c>
      <c r="AU306" s="51" t="str">
        <f>IF(XT!$P306&gt;0,AT306,"")</f>
        <v/>
      </c>
      <c r="AV306" s="51" t="str">
        <f>IF(XT!$P306=0,AT306,"")</f>
        <v/>
      </c>
    </row>
    <row r="307" spans="1:48">
      <c r="A307">
        <f>SUMPRODUCT((MONTH(CHOOSE({1,2,3,4},XT!U307,XT!Y307,XT!AC307,XT!AG307))=1)*(CHOOSE({1,2,3,4},XT!X307,XT!AB307,XT!AF307,XT!AJ307)))</f>
        <v>0</v>
      </c>
      <c r="B307">
        <f>IFERROR(INDEX(CHOOSE({1,2,3,4}, DAY(XT!U307), DAY(XT!Y307), DAY(XT!AC307), DAY(XT!AG307)), MATCH(1, INDEX(--(MONTH(CHOOSE({1,2,3,4}, XT!U307,XT!Y307,XT!AC307,XT!AG307))=1), 0), 0)), "")</f>
        <v>0</v>
      </c>
      <c r="C307" s="51" t="str">
        <f>IF(XT!$P307&gt;0,B307,"")</f>
        <v/>
      </c>
      <c r="D307" s="51">
        <f>IF(XT!$P307=0,B307,"")</f>
        <v>0</v>
      </c>
      <c r="E307">
        <f>SUMPRODUCT((MONTH(CHOOSE({1,2,3,4},XT!U307,XT!Y307,XT!AC307,XT!AG307))=2)*(CHOOSE({1,2,3,4},XT!X307,XT!AB307,XT!AF307,XT!AJ307)))</f>
        <v>0</v>
      </c>
      <c r="F307" t="str">
        <f>IFERROR(INDEX(CHOOSE({1,2,3,4}, DAY(XT!U307), DAY(XT!Y307), DAY(XT!AC307), DAY(XT!AG307)), MATCH(1, INDEX(--(MONTH(CHOOSE({1,2,3,4}, XT!U307,XT!Y307,XT!AC307,XT!AG307))=2), 0), 0)), "")</f>
        <v/>
      </c>
      <c r="G307" s="51" t="str">
        <f>IF(XT!$P307&gt;0,F307,"")</f>
        <v/>
      </c>
      <c r="H307" s="51" t="str">
        <f>IF(XT!$P307=0,F307,"")</f>
        <v/>
      </c>
      <c r="I307">
        <f>SUMPRODUCT((MONTH(CHOOSE({1,2,3,4},XT!U307,XT!Y307,XT!AC307,XT!AG307))=3)*(CHOOSE({1,2,3,4},XT!X307,XT!AB307,XT!AF307,XT!AJ307)))</f>
        <v>0</v>
      </c>
      <c r="J307" t="str">
        <f>IFERROR(INDEX(CHOOSE({1,2,3,4}, DAY(XT!U307), DAY(XT!Y307), DAY(XT!AC307), DAY(XT!AG307)), MATCH(1, INDEX(--(MONTH(CHOOSE({1,2,3,4}, XT!U307,XT!Y307,XT!AC307,XT!AG307))=3), 0), 0)), "")</f>
        <v/>
      </c>
      <c r="K307" s="51" t="str">
        <f>IF(XT!$P307&gt;0,J307,"")</f>
        <v/>
      </c>
      <c r="L307" s="51" t="str">
        <f>IF(XT!$P307=0,J307,"")</f>
        <v/>
      </c>
      <c r="M307">
        <f>SUMPRODUCT((MONTH(CHOOSE({1,2,3,4},XT!U307,XT!Y307,XT!AC307,XT!AG307))=4)*(CHOOSE({1,2,3,4},XT!X307,XT!AB307,XT!AF307,XT!AJ307)))</f>
        <v>0</v>
      </c>
      <c r="N307" t="str">
        <f>IFERROR(INDEX(CHOOSE({1,2,3,4}, DAY(XT!U307), DAY(XT!Y307), DAY(XT!AC307), DAY(XT!AG307)), MATCH(1, INDEX(--(MONTH(CHOOSE({1,2,3,4}, XT!U307,XT!Y307,XT!AC307,XT!AG307))=4), 0), 0)), "")</f>
        <v/>
      </c>
      <c r="O307" s="51" t="str">
        <f>IF(XT!$P307&gt;0,N307,"")</f>
        <v/>
      </c>
      <c r="P307" s="51" t="str">
        <f>IF(XT!$P307=0,N307,"")</f>
        <v/>
      </c>
      <c r="Q307">
        <f>SUMPRODUCT((MONTH(CHOOSE({1,2,3,4},XT!U307,XT!Y307,XT!AC307,XT!AG307))=5)*(CHOOSE({1,2,3,4},XT!X307,XT!AB307,XT!AF307,XT!AJ307)))</f>
        <v>0</v>
      </c>
      <c r="R307" t="str">
        <f>IFERROR(INDEX(CHOOSE({1,2,3,4}, DAY(XT!U307), DAY(XT!Y307), DAY(XT!AC307), DAY(XT!AG307)), MATCH(1, INDEX(--(MONTH(CHOOSE({1,2,3,4}, XT!U307,XT!Y307,XT!AC307,XT!AG307))=5), 0), 0)), "")</f>
        <v/>
      </c>
      <c r="S307" s="51" t="str">
        <f>IF(XT!$P307&gt;0,R307,"")</f>
        <v/>
      </c>
      <c r="T307" s="51" t="str">
        <f>IF(XT!$P307=0,R307,"")</f>
        <v/>
      </c>
      <c r="U307">
        <f>SUMPRODUCT((MONTH(CHOOSE({1,2,3,4},XT!U307,XT!Y307,XT!AC307,XT!AG307))=6)*(CHOOSE({1,2,3,4},XT!X307,XT!AB307,XT!AF307,XT!AJ307)))</f>
        <v>0</v>
      </c>
      <c r="V307" t="str">
        <f>IFERROR(INDEX(CHOOSE({1,2,3,4}, DAY(XT!U307), DAY(XT!Y307), DAY(XT!AC307), DAY(XT!AG307)), MATCH(1, INDEX(--(MONTH(CHOOSE({1,2,3,4}, XT!U307,XT!Y307,XT!AC307,XT!AG307))=6), 0), 0)), "")</f>
        <v/>
      </c>
      <c r="W307" s="51" t="str">
        <f>IF(XT!$P307&gt;0,V307,"")</f>
        <v/>
      </c>
      <c r="X307" s="51" t="str">
        <f>IF(XT!$P307=0,V307,"")</f>
        <v/>
      </c>
      <c r="Y307">
        <f>SUMPRODUCT((MONTH(CHOOSE({1,2,3,4},XT!U307,XT!Y307,XT!AC307,XT!AG307))=7)*(CHOOSE({1,2,3,4},XT!X307,XT!AB307,XT!AF307,XT!AJ307)))</f>
        <v>0</v>
      </c>
      <c r="Z307" t="str">
        <f>IFERROR(INDEX(CHOOSE({1,2,3,4}, DAY(XT!U307), DAY(XT!Y307), DAY(XT!AC307), DAY(XT!AG307)), MATCH(1, INDEX(--(MONTH(CHOOSE({1,2,3,4}, XT!U307,XT!Y307,XT!AC307,XT!AG307))=7), 0), 0)), "")</f>
        <v/>
      </c>
      <c r="AA307" s="51" t="str">
        <f>IF(XT!$P307&gt;0,Z307,"")</f>
        <v/>
      </c>
      <c r="AB307" s="51" t="str">
        <f>IF(XT!$P307=0,Z307,"")</f>
        <v/>
      </c>
      <c r="AC307">
        <f>SUMPRODUCT((MONTH(CHOOSE({1,2,3,4},XT!U307,XT!Y307,XT!AC307,XT!AG307))=8)*(CHOOSE({1,2,3,4},XT!X307,XT!AB307,XT!AF307,XT!AJ307)))</f>
        <v>0</v>
      </c>
      <c r="AD307" t="str">
        <f>IFERROR(INDEX(CHOOSE({1,2,3,4}, DAY(XT!U307), DAY(XT!Y307), DAY(XT!AC307), DAY(XT!AG307)), MATCH(1, INDEX(--(MONTH(CHOOSE({1,2,3,4}, XT!U307,XT!Y307,XT!AC307,XT!AG307))=8), 0), 0)), "")</f>
        <v/>
      </c>
      <c r="AE307" s="51" t="str">
        <f>IF(XT!$P307&gt;0,AD307,"")</f>
        <v/>
      </c>
      <c r="AF307" s="51" t="str">
        <f>IF(XT!$P307=0,AD307,"")</f>
        <v/>
      </c>
      <c r="AG307">
        <f>SUMPRODUCT((MONTH(CHOOSE({1,2,3,4},XT!U307,XT!Y307,XT!AC307,XT!AG307))=9)*(CHOOSE({1,2,3,4},XT!X307,XT!AB307,XT!AF307,XT!AJ307)))</f>
        <v>0</v>
      </c>
      <c r="AH307" t="str">
        <f>IFERROR(INDEX(CHOOSE({1,2,3,4}, DAY(XT!U307), DAY(XT!Y307), DAY(XT!AC307), DAY(XT!AG307)), MATCH(1, INDEX(--(MONTH(CHOOSE({1,2,3,4}, XT!U307,XT!Y307,XT!AC307,XT!AG307))=9), 0), 0)), "")</f>
        <v/>
      </c>
      <c r="AI307" s="51" t="str">
        <f>IF(XT!$P307&gt;0,AH307,"")</f>
        <v/>
      </c>
      <c r="AJ307" s="51" t="str">
        <f>IF(XT!$P307=0,AH307,"")</f>
        <v/>
      </c>
      <c r="AK307">
        <f>SUMPRODUCT((MONTH(CHOOSE({1,2,3,4},XT!U307,XT!Y307,XT!AC307,XT!AG307))=10)*(CHOOSE({1,2,3,4},XT!X307,XT!AB307,XT!AF307,XT!AJ307)))</f>
        <v>0</v>
      </c>
      <c r="AL307" t="str">
        <f>IFERROR(INDEX(CHOOSE({1,2,3,4}, DAY(XT!U307), DAY(XT!Y307), DAY(XT!AC307), DAY(XT!AG307)), MATCH(1, INDEX(--(MONTH(CHOOSE({1,2,3,4}, XT!U307,XT!Y307,XT!AC307,XT!AG307))=10), 0), 0)), "")</f>
        <v/>
      </c>
      <c r="AM307" s="51" t="str">
        <f>IF(XT!$P307&gt;0,AL307,"")</f>
        <v/>
      </c>
      <c r="AN307" s="51" t="str">
        <f>IF(XT!$P307=0,AL307,"")</f>
        <v/>
      </c>
      <c r="AO307">
        <f>SUMPRODUCT((MONTH(CHOOSE({1,2,3,4},XT!U307,XT!Y307,XT!AC307,XT!AG307))=11)*(CHOOSE({1,2,3,4},XT!X307,XT!AB307,XT!AF307,XT!AJ307)))</f>
        <v>0</v>
      </c>
      <c r="AP307" t="str">
        <f>IFERROR(INDEX(CHOOSE({1,2,3,4}, DAY(XT!U307), DAY(XT!Y307), DAY(XT!AC307), DAY(XT!AG307)), MATCH(1, INDEX(--(MONTH(CHOOSE({1,2,3,4}, XT!U307,XT!Y307,XT!AC307,XT!AG307))=11), 0), 0)), "")</f>
        <v/>
      </c>
      <c r="AQ307" s="51" t="str">
        <f>IF(XT!$P307&gt;0,AP307,"")</f>
        <v/>
      </c>
      <c r="AR307" s="51" t="str">
        <f>IF(XT!$P307=0,AP307,"")</f>
        <v/>
      </c>
      <c r="AS307">
        <f>SUMPRODUCT((MONTH(CHOOSE({1,2,3,4},XT!U307,XT!Y307,XT!AC307,XT!AG307))=12)*(CHOOSE({1,2,3,4},XT!X307,XT!AB307,XT!AF307,XT!AJ307)))</f>
        <v>0</v>
      </c>
      <c r="AT307" t="str">
        <f>IFERROR(INDEX(CHOOSE({1,2,3,4}, DAY(XT!U307), DAY(XT!Y307), DAY(XT!AC307), DAY(XT!AG307)), MATCH(1, INDEX(--(MONTH(CHOOSE({1,2,3,4}, XT!U307,XT!Y307,XT!AC307,XT!AG307))=12), 0), 0)), "")</f>
        <v/>
      </c>
      <c r="AU307" s="51" t="str">
        <f>IF(XT!$P307&gt;0,AT307,"")</f>
        <v/>
      </c>
      <c r="AV307" s="51" t="str">
        <f>IF(XT!$P307=0,AT307,"")</f>
        <v/>
      </c>
    </row>
    <row r="308" spans="1:48">
      <c r="A308">
        <f>SUMPRODUCT((MONTH(CHOOSE({1,2,3,4},XT!U308,XT!Y308,XT!AC308,XT!AG308))=1)*(CHOOSE({1,2,3,4},XT!X308,XT!AB308,XT!AF308,XT!AJ308)))</f>
        <v>0</v>
      </c>
      <c r="B308">
        <f>IFERROR(INDEX(CHOOSE({1,2,3,4}, DAY(XT!U308), DAY(XT!Y308), DAY(XT!AC308), DAY(XT!AG308)), MATCH(1, INDEX(--(MONTH(CHOOSE({1,2,3,4}, XT!U308,XT!Y308,XT!AC308,XT!AG308))=1), 0), 0)), "")</f>
        <v>0</v>
      </c>
      <c r="C308" s="51" t="str">
        <f>IF(XT!$P308&gt;0,B308,"")</f>
        <v/>
      </c>
      <c r="D308" s="51">
        <f>IF(XT!$P308=0,B308,"")</f>
        <v>0</v>
      </c>
      <c r="E308">
        <f>SUMPRODUCT((MONTH(CHOOSE({1,2,3,4},XT!U308,XT!Y308,XT!AC308,XT!AG308))=2)*(CHOOSE({1,2,3,4},XT!X308,XT!AB308,XT!AF308,XT!AJ308)))</f>
        <v>0</v>
      </c>
      <c r="F308" t="str">
        <f>IFERROR(INDEX(CHOOSE({1,2,3,4}, DAY(XT!U308), DAY(XT!Y308), DAY(XT!AC308), DAY(XT!AG308)), MATCH(1, INDEX(--(MONTH(CHOOSE({1,2,3,4}, XT!U308,XT!Y308,XT!AC308,XT!AG308))=2), 0), 0)), "")</f>
        <v/>
      </c>
      <c r="G308" s="51" t="str">
        <f>IF(XT!$P308&gt;0,F308,"")</f>
        <v/>
      </c>
      <c r="H308" s="51" t="str">
        <f>IF(XT!$P308=0,F308,"")</f>
        <v/>
      </c>
      <c r="I308">
        <f>SUMPRODUCT((MONTH(CHOOSE({1,2,3,4},XT!U308,XT!Y308,XT!AC308,XT!AG308))=3)*(CHOOSE({1,2,3,4},XT!X308,XT!AB308,XT!AF308,XT!AJ308)))</f>
        <v>0</v>
      </c>
      <c r="J308" t="str">
        <f>IFERROR(INDEX(CHOOSE({1,2,3,4}, DAY(XT!U308), DAY(XT!Y308), DAY(XT!AC308), DAY(XT!AG308)), MATCH(1, INDEX(--(MONTH(CHOOSE({1,2,3,4}, XT!U308,XT!Y308,XT!AC308,XT!AG308))=3), 0), 0)), "")</f>
        <v/>
      </c>
      <c r="K308" s="51" t="str">
        <f>IF(XT!$P308&gt;0,J308,"")</f>
        <v/>
      </c>
      <c r="L308" s="51" t="str">
        <f>IF(XT!$P308=0,J308,"")</f>
        <v/>
      </c>
      <c r="M308">
        <f>SUMPRODUCT((MONTH(CHOOSE({1,2,3,4},XT!U308,XT!Y308,XT!AC308,XT!AG308))=4)*(CHOOSE({1,2,3,4},XT!X308,XT!AB308,XT!AF308,XT!AJ308)))</f>
        <v>0</v>
      </c>
      <c r="N308" t="str">
        <f>IFERROR(INDEX(CHOOSE({1,2,3,4}, DAY(XT!U308), DAY(XT!Y308), DAY(XT!AC308), DAY(XT!AG308)), MATCH(1, INDEX(--(MONTH(CHOOSE({1,2,3,4}, XT!U308,XT!Y308,XT!AC308,XT!AG308))=4), 0), 0)), "")</f>
        <v/>
      </c>
      <c r="O308" s="51" t="str">
        <f>IF(XT!$P308&gt;0,N308,"")</f>
        <v/>
      </c>
      <c r="P308" s="51" t="str">
        <f>IF(XT!$P308=0,N308,"")</f>
        <v/>
      </c>
      <c r="Q308">
        <f>SUMPRODUCT((MONTH(CHOOSE({1,2,3,4},XT!U308,XT!Y308,XT!AC308,XT!AG308))=5)*(CHOOSE({1,2,3,4},XT!X308,XT!AB308,XT!AF308,XT!AJ308)))</f>
        <v>0</v>
      </c>
      <c r="R308" t="str">
        <f>IFERROR(INDEX(CHOOSE({1,2,3,4}, DAY(XT!U308), DAY(XT!Y308), DAY(XT!AC308), DAY(XT!AG308)), MATCH(1, INDEX(--(MONTH(CHOOSE({1,2,3,4}, XT!U308,XT!Y308,XT!AC308,XT!AG308))=5), 0), 0)), "")</f>
        <v/>
      </c>
      <c r="S308" s="51" t="str">
        <f>IF(XT!$P308&gt;0,R308,"")</f>
        <v/>
      </c>
      <c r="T308" s="51" t="str">
        <f>IF(XT!$P308=0,R308,"")</f>
        <v/>
      </c>
      <c r="U308">
        <f>SUMPRODUCT((MONTH(CHOOSE({1,2,3,4},XT!U308,XT!Y308,XT!AC308,XT!AG308))=6)*(CHOOSE({1,2,3,4},XT!X308,XT!AB308,XT!AF308,XT!AJ308)))</f>
        <v>0</v>
      </c>
      <c r="V308" t="str">
        <f>IFERROR(INDEX(CHOOSE({1,2,3,4}, DAY(XT!U308), DAY(XT!Y308), DAY(XT!AC308), DAY(XT!AG308)), MATCH(1, INDEX(--(MONTH(CHOOSE({1,2,3,4}, XT!U308,XT!Y308,XT!AC308,XT!AG308))=6), 0), 0)), "")</f>
        <v/>
      </c>
      <c r="W308" s="51" t="str">
        <f>IF(XT!$P308&gt;0,V308,"")</f>
        <v/>
      </c>
      <c r="X308" s="51" t="str">
        <f>IF(XT!$P308=0,V308,"")</f>
        <v/>
      </c>
      <c r="Y308">
        <f>SUMPRODUCT((MONTH(CHOOSE({1,2,3,4},XT!U308,XT!Y308,XT!AC308,XT!AG308))=7)*(CHOOSE({1,2,3,4},XT!X308,XT!AB308,XT!AF308,XT!AJ308)))</f>
        <v>0</v>
      </c>
      <c r="Z308" t="str">
        <f>IFERROR(INDEX(CHOOSE({1,2,3,4}, DAY(XT!U308), DAY(XT!Y308), DAY(XT!AC308), DAY(XT!AG308)), MATCH(1, INDEX(--(MONTH(CHOOSE({1,2,3,4}, XT!U308,XT!Y308,XT!AC308,XT!AG308))=7), 0), 0)), "")</f>
        <v/>
      </c>
      <c r="AA308" s="51" t="str">
        <f>IF(XT!$P308&gt;0,Z308,"")</f>
        <v/>
      </c>
      <c r="AB308" s="51" t="str">
        <f>IF(XT!$P308=0,Z308,"")</f>
        <v/>
      </c>
      <c r="AC308">
        <f>SUMPRODUCT((MONTH(CHOOSE({1,2,3,4},XT!U308,XT!Y308,XT!AC308,XT!AG308))=8)*(CHOOSE({1,2,3,4},XT!X308,XT!AB308,XT!AF308,XT!AJ308)))</f>
        <v>0</v>
      </c>
      <c r="AD308" t="str">
        <f>IFERROR(INDEX(CHOOSE({1,2,3,4}, DAY(XT!U308), DAY(XT!Y308), DAY(XT!AC308), DAY(XT!AG308)), MATCH(1, INDEX(--(MONTH(CHOOSE({1,2,3,4}, XT!U308,XT!Y308,XT!AC308,XT!AG308))=8), 0), 0)), "")</f>
        <v/>
      </c>
      <c r="AE308" s="51" t="str">
        <f>IF(XT!$P308&gt;0,AD308,"")</f>
        <v/>
      </c>
      <c r="AF308" s="51" t="str">
        <f>IF(XT!$P308=0,AD308,"")</f>
        <v/>
      </c>
      <c r="AG308">
        <f>SUMPRODUCT((MONTH(CHOOSE({1,2,3,4},XT!U308,XT!Y308,XT!AC308,XT!AG308))=9)*(CHOOSE({1,2,3,4},XT!X308,XT!AB308,XT!AF308,XT!AJ308)))</f>
        <v>0</v>
      </c>
      <c r="AH308" t="str">
        <f>IFERROR(INDEX(CHOOSE({1,2,3,4}, DAY(XT!U308), DAY(XT!Y308), DAY(XT!AC308), DAY(XT!AG308)), MATCH(1, INDEX(--(MONTH(CHOOSE({1,2,3,4}, XT!U308,XT!Y308,XT!AC308,XT!AG308))=9), 0), 0)), "")</f>
        <v/>
      </c>
      <c r="AI308" s="51" t="str">
        <f>IF(XT!$P308&gt;0,AH308,"")</f>
        <v/>
      </c>
      <c r="AJ308" s="51" t="str">
        <f>IF(XT!$P308=0,AH308,"")</f>
        <v/>
      </c>
      <c r="AK308">
        <f>SUMPRODUCT((MONTH(CHOOSE({1,2,3,4},XT!U308,XT!Y308,XT!AC308,XT!AG308))=10)*(CHOOSE({1,2,3,4},XT!X308,XT!AB308,XT!AF308,XT!AJ308)))</f>
        <v>0</v>
      </c>
      <c r="AL308" t="str">
        <f>IFERROR(INDEX(CHOOSE({1,2,3,4}, DAY(XT!U308), DAY(XT!Y308), DAY(XT!AC308), DAY(XT!AG308)), MATCH(1, INDEX(--(MONTH(CHOOSE({1,2,3,4}, XT!U308,XT!Y308,XT!AC308,XT!AG308))=10), 0), 0)), "")</f>
        <v/>
      </c>
      <c r="AM308" s="51" t="str">
        <f>IF(XT!$P308&gt;0,AL308,"")</f>
        <v/>
      </c>
      <c r="AN308" s="51" t="str">
        <f>IF(XT!$P308=0,AL308,"")</f>
        <v/>
      </c>
      <c r="AO308">
        <f>SUMPRODUCT((MONTH(CHOOSE({1,2,3,4},XT!U308,XT!Y308,XT!AC308,XT!AG308))=11)*(CHOOSE({1,2,3,4},XT!X308,XT!AB308,XT!AF308,XT!AJ308)))</f>
        <v>0</v>
      </c>
      <c r="AP308" t="str">
        <f>IFERROR(INDEX(CHOOSE({1,2,3,4}, DAY(XT!U308), DAY(XT!Y308), DAY(XT!AC308), DAY(XT!AG308)), MATCH(1, INDEX(--(MONTH(CHOOSE({1,2,3,4}, XT!U308,XT!Y308,XT!AC308,XT!AG308))=11), 0), 0)), "")</f>
        <v/>
      </c>
      <c r="AQ308" s="51" t="str">
        <f>IF(XT!$P308&gt;0,AP308,"")</f>
        <v/>
      </c>
      <c r="AR308" s="51" t="str">
        <f>IF(XT!$P308=0,AP308,"")</f>
        <v/>
      </c>
      <c r="AS308">
        <f>SUMPRODUCT((MONTH(CHOOSE({1,2,3,4},XT!U308,XT!Y308,XT!AC308,XT!AG308))=12)*(CHOOSE({1,2,3,4},XT!X308,XT!AB308,XT!AF308,XT!AJ308)))</f>
        <v>0</v>
      </c>
      <c r="AT308" t="str">
        <f>IFERROR(INDEX(CHOOSE({1,2,3,4}, DAY(XT!U308), DAY(XT!Y308), DAY(XT!AC308), DAY(XT!AG308)), MATCH(1, INDEX(--(MONTH(CHOOSE({1,2,3,4}, XT!U308,XT!Y308,XT!AC308,XT!AG308))=12), 0), 0)), "")</f>
        <v/>
      </c>
      <c r="AU308" s="51" t="str">
        <f>IF(XT!$P308&gt;0,AT308,"")</f>
        <v/>
      </c>
      <c r="AV308" s="51" t="str">
        <f>IF(XT!$P308=0,AT308,"")</f>
        <v/>
      </c>
    </row>
    <row r="309" spans="1:48">
      <c r="A309">
        <f>SUMPRODUCT((MONTH(CHOOSE({1,2,3,4},XT!U309,XT!Y309,XT!AC309,XT!AG309))=1)*(CHOOSE({1,2,3,4},XT!X309,XT!AB309,XT!AF309,XT!AJ309)))</f>
        <v>0</v>
      </c>
      <c r="B309">
        <f>IFERROR(INDEX(CHOOSE({1,2,3,4}, DAY(XT!U309), DAY(XT!Y309), DAY(XT!AC309), DAY(XT!AG309)), MATCH(1, INDEX(--(MONTH(CHOOSE({1,2,3,4}, XT!U309,XT!Y309,XT!AC309,XT!AG309))=1), 0), 0)), "")</f>
        <v>0</v>
      </c>
      <c r="C309" s="51" t="str">
        <f>IF(XT!$P309&gt;0,B309,"")</f>
        <v/>
      </c>
      <c r="D309" s="51">
        <f>IF(XT!$P309=0,B309,"")</f>
        <v>0</v>
      </c>
      <c r="E309">
        <f>SUMPRODUCT((MONTH(CHOOSE({1,2,3,4},XT!U309,XT!Y309,XT!AC309,XT!AG309))=2)*(CHOOSE({1,2,3,4},XT!X309,XT!AB309,XT!AF309,XT!AJ309)))</f>
        <v>0</v>
      </c>
      <c r="F309" t="str">
        <f>IFERROR(INDEX(CHOOSE({1,2,3,4}, DAY(XT!U309), DAY(XT!Y309), DAY(XT!AC309), DAY(XT!AG309)), MATCH(1, INDEX(--(MONTH(CHOOSE({1,2,3,4}, XT!U309,XT!Y309,XT!AC309,XT!AG309))=2), 0), 0)), "")</f>
        <v/>
      </c>
      <c r="G309" s="51" t="str">
        <f>IF(XT!$P309&gt;0,F309,"")</f>
        <v/>
      </c>
      <c r="H309" s="51" t="str">
        <f>IF(XT!$P309=0,F309,"")</f>
        <v/>
      </c>
      <c r="I309">
        <f>SUMPRODUCT((MONTH(CHOOSE({1,2,3,4},XT!U309,XT!Y309,XT!AC309,XT!AG309))=3)*(CHOOSE({1,2,3,4},XT!X309,XT!AB309,XT!AF309,XT!AJ309)))</f>
        <v>0</v>
      </c>
      <c r="J309" t="str">
        <f>IFERROR(INDEX(CHOOSE({1,2,3,4}, DAY(XT!U309), DAY(XT!Y309), DAY(XT!AC309), DAY(XT!AG309)), MATCH(1, INDEX(--(MONTH(CHOOSE({1,2,3,4}, XT!U309,XT!Y309,XT!AC309,XT!AG309))=3), 0), 0)), "")</f>
        <v/>
      </c>
      <c r="K309" s="51" t="str">
        <f>IF(XT!$P309&gt;0,J309,"")</f>
        <v/>
      </c>
      <c r="L309" s="51" t="str">
        <f>IF(XT!$P309=0,J309,"")</f>
        <v/>
      </c>
      <c r="M309">
        <f>SUMPRODUCT((MONTH(CHOOSE({1,2,3,4},XT!U309,XT!Y309,XT!AC309,XT!AG309))=4)*(CHOOSE({1,2,3,4},XT!X309,XT!AB309,XT!AF309,XT!AJ309)))</f>
        <v>0</v>
      </c>
      <c r="N309" t="str">
        <f>IFERROR(INDEX(CHOOSE({1,2,3,4}, DAY(XT!U309), DAY(XT!Y309), DAY(XT!AC309), DAY(XT!AG309)), MATCH(1, INDEX(--(MONTH(CHOOSE({1,2,3,4}, XT!U309,XT!Y309,XT!AC309,XT!AG309))=4), 0), 0)), "")</f>
        <v/>
      </c>
      <c r="O309" s="51" t="str">
        <f>IF(XT!$P309&gt;0,N309,"")</f>
        <v/>
      </c>
      <c r="P309" s="51" t="str">
        <f>IF(XT!$P309=0,N309,"")</f>
        <v/>
      </c>
      <c r="Q309">
        <f>SUMPRODUCT((MONTH(CHOOSE({1,2,3,4},XT!U309,XT!Y309,XT!AC309,XT!AG309))=5)*(CHOOSE({1,2,3,4},XT!X309,XT!AB309,XT!AF309,XT!AJ309)))</f>
        <v>0</v>
      </c>
      <c r="R309" t="str">
        <f>IFERROR(INDEX(CHOOSE({1,2,3,4}, DAY(XT!U309), DAY(XT!Y309), DAY(XT!AC309), DAY(XT!AG309)), MATCH(1, INDEX(--(MONTH(CHOOSE({1,2,3,4}, XT!U309,XT!Y309,XT!AC309,XT!AG309))=5), 0), 0)), "")</f>
        <v/>
      </c>
      <c r="S309" s="51" t="str">
        <f>IF(XT!$P309&gt;0,R309,"")</f>
        <v/>
      </c>
      <c r="T309" s="51" t="str">
        <f>IF(XT!$P309=0,R309,"")</f>
        <v/>
      </c>
      <c r="U309">
        <f>SUMPRODUCT((MONTH(CHOOSE({1,2,3,4},XT!U309,XT!Y309,XT!AC309,XT!AG309))=6)*(CHOOSE({1,2,3,4},XT!X309,XT!AB309,XT!AF309,XT!AJ309)))</f>
        <v>0</v>
      </c>
      <c r="V309" t="str">
        <f>IFERROR(INDEX(CHOOSE({1,2,3,4}, DAY(XT!U309), DAY(XT!Y309), DAY(XT!AC309), DAY(XT!AG309)), MATCH(1, INDEX(--(MONTH(CHOOSE({1,2,3,4}, XT!U309,XT!Y309,XT!AC309,XT!AG309))=6), 0), 0)), "")</f>
        <v/>
      </c>
      <c r="W309" s="51" t="str">
        <f>IF(XT!$P309&gt;0,V309,"")</f>
        <v/>
      </c>
      <c r="X309" s="51" t="str">
        <f>IF(XT!$P309=0,V309,"")</f>
        <v/>
      </c>
      <c r="Y309">
        <f>SUMPRODUCT((MONTH(CHOOSE({1,2,3,4},XT!U309,XT!Y309,XT!AC309,XT!AG309))=7)*(CHOOSE({1,2,3,4},XT!X309,XT!AB309,XT!AF309,XT!AJ309)))</f>
        <v>0</v>
      </c>
      <c r="Z309" t="str">
        <f>IFERROR(INDEX(CHOOSE({1,2,3,4}, DAY(XT!U309), DAY(XT!Y309), DAY(XT!AC309), DAY(XT!AG309)), MATCH(1, INDEX(--(MONTH(CHOOSE({1,2,3,4}, XT!U309,XT!Y309,XT!AC309,XT!AG309))=7), 0), 0)), "")</f>
        <v/>
      </c>
      <c r="AA309" s="51" t="str">
        <f>IF(XT!$P309&gt;0,Z309,"")</f>
        <v/>
      </c>
      <c r="AB309" s="51" t="str">
        <f>IF(XT!$P309=0,Z309,"")</f>
        <v/>
      </c>
      <c r="AC309">
        <f>SUMPRODUCT((MONTH(CHOOSE({1,2,3,4},XT!U309,XT!Y309,XT!AC309,XT!AG309))=8)*(CHOOSE({1,2,3,4},XT!X309,XT!AB309,XT!AF309,XT!AJ309)))</f>
        <v>0</v>
      </c>
      <c r="AD309" t="str">
        <f>IFERROR(INDEX(CHOOSE({1,2,3,4}, DAY(XT!U309), DAY(XT!Y309), DAY(XT!AC309), DAY(XT!AG309)), MATCH(1, INDEX(--(MONTH(CHOOSE({1,2,3,4}, XT!U309,XT!Y309,XT!AC309,XT!AG309))=8), 0), 0)), "")</f>
        <v/>
      </c>
      <c r="AE309" s="51" t="str">
        <f>IF(XT!$P309&gt;0,AD309,"")</f>
        <v/>
      </c>
      <c r="AF309" s="51" t="str">
        <f>IF(XT!$P309=0,AD309,"")</f>
        <v/>
      </c>
      <c r="AG309">
        <f>SUMPRODUCT((MONTH(CHOOSE({1,2,3,4},XT!U309,XT!Y309,XT!AC309,XT!AG309))=9)*(CHOOSE({1,2,3,4},XT!X309,XT!AB309,XT!AF309,XT!AJ309)))</f>
        <v>0</v>
      </c>
      <c r="AH309" t="str">
        <f>IFERROR(INDEX(CHOOSE({1,2,3,4}, DAY(XT!U309), DAY(XT!Y309), DAY(XT!AC309), DAY(XT!AG309)), MATCH(1, INDEX(--(MONTH(CHOOSE({1,2,3,4}, XT!U309,XT!Y309,XT!AC309,XT!AG309))=9), 0), 0)), "")</f>
        <v/>
      </c>
      <c r="AI309" s="51" t="str">
        <f>IF(XT!$P309&gt;0,AH309,"")</f>
        <v/>
      </c>
      <c r="AJ309" s="51" t="str">
        <f>IF(XT!$P309=0,AH309,"")</f>
        <v/>
      </c>
      <c r="AK309">
        <f>SUMPRODUCT((MONTH(CHOOSE({1,2,3,4},XT!U309,XT!Y309,XT!AC309,XT!AG309))=10)*(CHOOSE({1,2,3,4},XT!X309,XT!AB309,XT!AF309,XT!AJ309)))</f>
        <v>0</v>
      </c>
      <c r="AL309" t="str">
        <f>IFERROR(INDEX(CHOOSE({1,2,3,4}, DAY(XT!U309), DAY(XT!Y309), DAY(XT!AC309), DAY(XT!AG309)), MATCH(1, INDEX(--(MONTH(CHOOSE({1,2,3,4}, XT!U309,XT!Y309,XT!AC309,XT!AG309))=10), 0), 0)), "")</f>
        <v/>
      </c>
      <c r="AM309" s="51" t="str">
        <f>IF(XT!$P309&gt;0,AL309,"")</f>
        <v/>
      </c>
      <c r="AN309" s="51" t="str">
        <f>IF(XT!$P309=0,AL309,"")</f>
        <v/>
      </c>
      <c r="AO309">
        <f>SUMPRODUCT((MONTH(CHOOSE({1,2,3,4},XT!U309,XT!Y309,XT!AC309,XT!AG309))=11)*(CHOOSE({1,2,3,4},XT!X309,XT!AB309,XT!AF309,XT!AJ309)))</f>
        <v>0</v>
      </c>
      <c r="AP309" t="str">
        <f>IFERROR(INDEX(CHOOSE({1,2,3,4}, DAY(XT!U309), DAY(XT!Y309), DAY(XT!AC309), DAY(XT!AG309)), MATCH(1, INDEX(--(MONTH(CHOOSE({1,2,3,4}, XT!U309,XT!Y309,XT!AC309,XT!AG309))=11), 0), 0)), "")</f>
        <v/>
      </c>
      <c r="AQ309" s="51" t="str">
        <f>IF(XT!$P309&gt;0,AP309,"")</f>
        <v/>
      </c>
      <c r="AR309" s="51" t="str">
        <f>IF(XT!$P309=0,AP309,"")</f>
        <v/>
      </c>
      <c r="AS309">
        <f>SUMPRODUCT((MONTH(CHOOSE({1,2,3,4},XT!U309,XT!Y309,XT!AC309,XT!AG309))=12)*(CHOOSE({1,2,3,4},XT!X309,XT!AB309,XT!AF309,XT!AJ309)))</f>
        <v>0</v>
      </c>
      <c r="AT309" t="str">
        <f>IFERROR(INDEX(CHOOSE({1,2,3,4}, DAY(XT!U309), DAY(XT!Y309), DAY(XT!AC309), DAY(XT!AG309)), MATCH(1, INDEX(--(MONTH(CHOOSE({1,2,3,4}, XT!U309,XT!Y309,XT!AC309,XT!AG309))=12), 0), 0)), "")</f>
        <v/>
      </c>
      <c r="AU309" s="51" t="str">
        <f>IF(XT!$P309&gt;0,AT309,"")</f>
        <v/>
      </c>
      <c r="AV309" s="51" t="str">
        <f>IF(XT!$P309=0,AT309,"")</f>
        <v/>
      </c>
    </row>
    <row r="310" spans="1:48">
      <c r="A310">
        <f>SUMPRODUCT((MONTH(CHOOSE({1,2,3,4},XT!U310,XT!Y310,XT!AC310,XT!AG310))=1)*(CHOOSE({1,2,3,4},XT!X310,XT!AB310,XT!AF310,XT!AJ310)))</f>
        <v>0</v>
      </c>
      <c r="B310">
        <f>IFERROR(INDEX(CHOOSE({1,2,3,4}, DAY(XT!U310), DAY(XT!Y310), DAY(XT!AC310), DAY(XT!AG310)), MATCH(1, INDEX(--(MONTH(CHOOSE({1,2,3,4}, XT!U310,XT!Y310,XT!AC310,XT!AG310))=1), 0), 0)), "")</f>
        <v>0</v>
      </c>
      <c r="C310" s="51" t="str">
        <f>IF(XT!$P310&gt;0,B310,"")</f>
        <v/>
      </c>
      <c r="D310" s="51">
        <f>IF(XT!$P310=0,B310,"")</f>
        <v>0</v>
      </c>
      <c r="E310">
        <f>SUMPRODUCT((MONTH(CHOOSE({1,2,3,4},XT!U310,XT!Y310,XT!AC310,XT!AG310))=2)*(CHOOSE({1,2,3,4},XT!X310,XT!AB310,XT!AF310,XT!AJ310)))</f>
        <v>0</v>
      </c>
      <c r="F310" t="str">
        <f>IFERROR(INDEX(CHOOSE({1,2,3,4}, DAY(XT!U310), DAY(XT!Y310), DAY(XT!AC310), DAY(XT!AG310)), MATCH(1, INDEX(--(MONTH(CHOOSE({1,2,3,4}, XT!U310,XT!Y310,XT!AC310,XT!AG310))=2), 0), 0)), "")</f>
        <v/>
      </c>
      <c r="G310" s="51" t="str">
        <f>IF(XT!$P310&gt;0,F310,"")</f>
        <v/>
      </c>
      <c r="H310" s="51" t="str">
        <f>IF(XT!$P310=0,F310,"")</f>
        <v/>
      </c>
      <c r="I310">
        <f>SUMPRODUCT((MONTH(CHOOSE({1,2,3,4},XT!U310,XT!Y310,XT!AC310,XT!AG310))=3)*(CHOOSE({1,2,3,4},XT!X310,XT!AB310,XT!AF310,XT!AJ310)))</f>
        <v>0</v>
      </c>
      <c r="J310" t="str">
        <f>IFERROR(INDEX(CHOOSE({1,2,3,4}, DAY(XT!U310), DAY(XT!Y310), DAY(XT!AC310), DAY(XT!AG310)), MATCH(1, INDEX(--(MONTH(CHOOSE({1,2,3,4}, XT!U310,XT!Y310,XT!AC310,XT!AG310))=3), 0), 0)), "")</f>
        <v/>
      </c>
      <c r="K310" s="51" t="str">
        <f>IF(XT!$P310&gt;0,J310,"")</f>
        <v/>
      </c>
      <c r="L310" s="51" t="str">
        <f>IF(XT!$P310=0,J310,"")</f>
        <v/>
      </c>
      <c r="M310">
        <f>SUMPRODUCT((MONTH(CHOOSE({1,2,3,4},XT!U310,XT!Y310,XT!AC310,XT!AG310))=4)*(CHOOSE({1,2,3,4},XT!X310,XT!AB310,XT!AF310,XT!AJ310)))</f>
        <v>0</v>
      </c>
      <c r="N310" t="str">
        <f>IFERROR(INDEX(CHOOSE({1,2,3,4}, DAY(XT!U310), DAY(XT!Y310), DAY(XT!AC310), DAY(XT!AG310)), MATCH(1, INDEX(--(MONTH(CHOOSE({1,2,3,4}, XT!U310,XT!Y310,XT!AC310,XT!AG310))=4), 0), 0)), "")</f>
        <v/>
      </c>
      <c r="O310" s="51" t="str">
        <f>IF(XT!$P310&gt;0,N310,"")</f>
        <v/>
      </c>
      <c r="P310" s="51" t="str">
        <f>IF(XT!$P310=0,N310,"")</f>
        <v/>
      </c>
      <c r="Q310">
        <f>SUMPRODUCT((MONTH(CHOOSE({1,2,3,4},XT!U310,XT!Y310,XT!AC310,XT!AG310))=5)*(CHOOSE({1,2,3,4},XT!X310,XT!AB310,XT!AF310,XT!AJ310)))</f>
        <v>0</v>
      </c>
      <c r="R310" t="str">
        <f>IFERROR(INDEX(CHOOSE({1,2,3,4}, DAY(XT!U310), DAY(XT!Y310), DAY(XT!AC310), DAY(XT!AG310)), MATCH(1, INDEX(--(MONTH(CHOOSE({1,2,3,4}, XT!U310,XT!Y310,XT!AC310,XT!AG310))=5), 0), 0)), "")</f>
        <v/>
      </c>
      <c r="S310" s="51" t="str">
        <f>IF(XT!$P310&gt;0,R310,"")</f>
        <v/>
      </c>
      <c r="T310" s="51" t="str">
        <f>IF(XT!$P310=0,R310,"")</f>
        <v/>
      </c>
      <c r="U310">
        <f>SUMPRODUCT((MONTH(CHOOSE({1,2,3,4},XT!U310,XT!Y310,XT!AC310,XT!AG310))=6)*(CHOOSE({1,2,3,4},XT!X310,XT!AB310,XT!AF310,XT!AJ310)))</f>
        <v>0</v>
      </c>
      <c r="V310" t="str">
        <f>IFERROR(INDEX(CHOOSE({1,2,3,4}, DAY(XT!U310), DAY(XT!Y310), DAY(XT!AC310), DAY(XT!AG310)), MATCH(1, INDEX(--(MONTH(CHOOSE({1,2,3,4}, XT!U310,XT!Y310,XT!AC310,XT!AG310))=6), 0), 0)), "")</f>
        <v/>
      </c>
      <c r="W310" s="51" t="str">
        <f>IF(XT!$P310&gt;0,V310,"")</f>
        <v/>
      </c>
      <c r="X310" s="51" t="str">
        <f>IF(XT!$P310=0,V310,"")</f>
        <v/>
      </c>
      <c r="Y310">
        <f>SUMPRODUCT((MONTH(CHOOSE({1,2,3,4},XT!U310,XT!Y310,XT!AC310,XT!AG310))=7)*(CHOOSE({1,2,3,4},XT!X310,XT!AB310,XT!AF310,XT!AJ310)))</f>
        <v>0</v>
      </c>
      <c r="Z310" t="str">
        <f>IFERROR(INDEX(CHOOSE({1,2,3,4}, DAY(XT!U310), DAY(XT!Y310), DAY(XT!AC310), DAY(XT!AG310)), MATCH(1, INDEX(--(MONTH(CHOOSE({1,2,3,4}, XT!U310,XT!Y310,XT!AC310,XT!AG310))=7), 0), 0)), "")</f>
        <v/>
      </c>
      <c r="AA310" s="51" t="str">
        <f>IF(XT!$P310&gt;0,Z310,"")</f>
        <v/>
      </c>
      <c r="AB310" s="51" t="str">
        <f>IF(XT!$P310=0,Z310,"")</f>
        <v/>
      </c>
      <c r="AC310">
        <f>SUMPRODUCT((MONTH(CHOOSE({1,2,3,4},XT!U310,XT!Y310,XT!AC310,XT!AG310))=8)*(CHOOSE({1,2,3,4},XT!X310,XT!AB310,XT!AF310,XT!AJ310)))</f>
        <v>0</v>
      </c>
      <c r="AD310" t="str">
        <f>IFERROR(INDEX(CHOOSE({1,2,3,4}, DAY(XT!U310), DAY(XT!Y310), DAY(XT!AC310), DAY(XT!AG310)), MATCH(1, INDEX(--(MONTH(CHOOSE({1,2,3,4}, XT!U310,XT!Y310,XT!AC310,XT!AG310))=8), 0), 0)), "")</f>
        <v/>
      </c>
      <c r="AE310" s="51" t="str">
        <f>IF(XT!$P310&gt;0,AD310,"")</f>
        <v/>
      </c>
      <c r="AF310" s="51" t="str">
        <f>IF(XT!$P310=0,AD310,"")</f>
        <v/>
      </c>
      <c r="AG310">
        <f>SUMPRODUCT((MONTH(CHOOSE({1,2,3,4},XT!U310,XT!Y310,XT!AC310,XT!AG310))=9)*(CHOOSE({1,2,3,4},XT!X310,XT!AB310,XT!AF310,XT!AJ310)))</f>
        <v>0</v>
      </c>
      <c r="AH310" t="str">
        <f>IFERROR(INDEX(CHOOSE({1,2,3,4}, DAY(XT!U310), DAY(XT!Y310), DAY(XT!AC310), DAY(XT!AG310)), MATCH(1, INDEX(--(MONTH(CHOOSE({1,2,3,4}, XT!U310,XT!Y310,XT!AC310,XT!AG310))=9), 0), 0)), "")</f>
        <v/>
      </c>
      <c r="AI310" s="51" t="str">
        <f>IF(XT!$P310&gt;0,AH310,"")</f>
        <v/>
      </c>
      <c r="AJ310" s="51" t="str">
        <f>IF(XT!$P310=0,AH310,"")</f>
        <v/>
      </c>
      <c r="AK310">
        <f>SUMPRODUCT((MONTH(CHOOSE({1,2,3,4},XT!U310,XT!Y310,XT!AC310,XT!AG310))=10)*(CHOOSE({1,2,3,4},XT!X310,XT!AB310,XT!AF310,XT!AJ310)))</f>
        <v>0</v>
      </c>
      <c r="AL310" t="str">
        <f>IFERROR(INDEX(CHOOSE({1,2,3,4}, DAY(XT!U310), DAY(XT!Y310), DAY(XT!AC310), DAY(XT!AG310)), MATCH(1, INDEX(--(MONTH(CHOOSE({1,2,3,4}, XT!U310,XT!Y310,XT!AC310,XT!AG310))=10), 0), 0)), "")</f>
        <v/>
      </c>
      <c r="AM310" s="51" t="str">
        <f>IF(XT!$P310&gt;0,AL310,"")</f>
        <v/>
      </c>
      <c r="AN310" s="51" t="str">
        <f>IF(XT!$P310=0,AL310,"")</f>
        <v/>
      </c>
      <c r="AO310">
        <f>SUMPRODUCT((MONTH(CHOOSE({1,2,3,4},XT!U310,XT!Y310,XT!AC310,XT!AG310))=11)*(CHOOSE({1,2,3,4},XT!X310,XT!AB310,XT!AF310,XT!AJ310)))</f>
        <v>0</v>
      </c>
      <c r="AP310" t="str">
        <f>IFERROR(INDEX(CHOOSE({1,2,3,4}, DAY(XT!U310), DAY(XT!Y310), DAY(XT!AC310), DAY(XT!AG310)), MATCH(1, INDEX(--(MONTH(CHOOSE({1,2,3,4}, XT!U310,XT!Y310,XT!AC310,XT!AG310))=11), 0), 0)), "")</f>
        <v/>
      </c>
      <c r="AQ310" s="51" t="str">
        <f>IF(XT!$P310&gt;0,AP310,"")</f>
        <v/>
      </c>
      <c r="AR310" s="51" t="str">
        <f>IF(XT!$P310=0,AP310,"")</f>
        <v/>
      </c>
      <c r="AS310">
        <f>SUMPRODUCT((MONTH(CHOOSE({1,2,3,4},XT!U310,XT!Y310,XT!AC310,XT!AG310))=12)*(CHOOSE({1,2,3,4},XT!X310,XT!AB310,XT!AF310,XT!AJ310)))</f>
        <v>0</v>
      </c>
      <c r="AT310" t="str">
        <f>IFERROR(INDEX(CHOOSE({1,2,3,4}, DAY(XT!U310), DAY(XT!Y310), DAY(XT!AC310), DAY(XT!AG310)), MATCH(1, INDEX(--(MONTH(CHOOSE({1,2,3,4}, XT!U310,XT!Y310,XT!AC310,XT!AG310))=12), 0), 0)), "")</f>
        <v/>
      </c>
      <c r="AU310" s="51" t="str">
        <f>IF(XT!$P310&gt;0,AT310,"")</f>
        <v/>
      </c>
      <c r="AV310" s="51" t="str">
        <f>IF(XT!$P310=0,AT310,"")</f>
        <v/>
      </c>
    </row>
    <row r="311" spans="1:48">
      <c r="A311">
        <f>SUMPRODUCT((MONTH(CHOOSE({1,2,3,4},XT!U311,XT!Y311,XT!AC311,XT!AG311))=1)*(CHOOSE({1,2,3,4},XT!X311,XT!AB311,XT!AF311,XT!AJ311)))</f>
        <v>0</v>
      </c>
      <c r="B311">
        <f>IFERROR(INDEX(CHOOSE({1,2,3,4}, DAY(XT!U311), DAY(XT!Y311), DAY(XT!AC311), DAY(XT!AG311)), MATCH(1, INDEX(--(MONTH(CHOOSE({1,2,3,4}, XT!U311,XT!Y311,XT!AC311,XT!AG311))=1), 0), 0)), "")</f>
        <v>0</v>
      </c>
      <c r="C311" s="51" t="str">
        <f>IF(XT!$P311&gt;0,B311,"")</f>
        <v/>
      </c>
      <c r="D311" s="51">
        <f>IF(XT!$P311=0,B311,"")</f>
        <v>0</v>
      </c>
      <c r="E311">
        <f>SUMPRODUCT((MONTH(CHOOSE({1,2,3,4},XT!U311,XT!Y311,XT!AC311,XT!AG311))=2)*(CHOOSE({1,2,3,4},XT!X311,XT!AB311,XT!AF311,XT!AJ311)))</f>
        <v>0</v>
      </c>
      <c r="F311" t="str">
        <f>IFERROR(INDEX(CHOOSE({1,2,3,4}, DAY(XT!U311), DAY(XT!Y311), DAY(XT!AC311), DAY(XT!AG311)), MATCH(1, INDEX(--(MONTH(CHOOSE({1,2,3,4}, XT!U311,XT!Y311,XT!AC311,XT!AG311))=2), 0), 0)), "")</f>
        <v/>
      </c>
      <c r="G311" s="51" t="str">
        <f>IF(XT!$P311&gt;0,F311,"")</f>
        <v/>
      </c>
      <c r="H311" s="51" t="str">
        <f>IF(XT!$P311=0,F311,"")</f>
        <v/>
      </c>
      <c r="I311">
        <f>SUMPRODUCT((MONTH(CHOOSE({1,2,3,4},XT!U311,XT!Y311,XT!AC311,XT!AG311))=3)*(CHOOSE({1,2,3,4},XT!X311,XT!AB311,XT!AF311,XT!AJ311)))</f>
        <v>0</v>
      </c>
      <c r="J311" t="str">
        <f>IFERROR(INDEX(CHOOSE({1,2,3,4}, DAY(XT!U311), DAY(XT!Y311), DAY(XT!AC311), DAY(XT!AG311)), MATCH(1, INDEX(--(MONTH(CHOOSE({1,2,3,4}, XT!U311,XT!Y311,XT!AC311,XT!AG311))=3), 0), 0)), "")</f>
        <v/>
      </c>
      <c r="K311" s="51" t="str">
        <f>IF(XT!$P311&gt;0,J311,"")</f>
        <v/>
      </c>
      <c r="L311" s="51" t="str">
        <f>IF(XT!$P311=0,J311,"")</f>
        <v/>
      </c>
      <c r="M311">
        <f>SUMPRODUCT((MONTH(CHOOSE({1,2,3,4},XT!U311,XT!Y311,XT!AC311,XT!AG311))=4)*(CHOOSE({1,2,3,4},XT!X311,XT!AB311,XT!AF311,XT!AJ311)))</f>
        <v>0</v>
      </c>
      <c r="N311" t="str">
        <f>IFERROR(INDEX(CHOOSE({1,2,3,4}, DAY(XT!U311), DAY(XT!Y311), DAY(XT!AC311), DAY(XT!AG311)), MATCH(1, INDEX(--(MONTH(CHOOSE({1,2,3,4}, XT!U311,XT!Y311,XT!AC311,XT!AG311))=4), 0), 0)), "")</f>
        <v/>
      </c>
      <c r="O311" s="51" t="str">
        <f>IF(XT!$P311&gt;0,N311,"")</f>
        <v/>
      </c>
      <c r="P311" s="51" t="str">
        <f>IF(XT!$P311=0,N311,"")</f>
        <v/>
      </c>
      <c r="Q311">
        <f>SUMPRODUCT((MONTH(CHOOSE({1,2,3,4},XT!U311,XT!Y311,XT!AC311,XT!AG311))=5)*(CHOOSE({1,2,3,4},XT!X311,XT!AB311,XT!AF311,XT!AJ311)))</f>
        <v>0</v>
      </c>
      <c r="R311" t="str">
        <f>IFERROR(INDEX(CHOOSE({1,2,3,4}, DAY(XT!U311), DAY(XT!Y311), DAY(XT!AC311), DAY(XT!AG311)), MATCH(1, INDEX(--(MONTH(CHOOSE({1,2,3,4}, XT!U311,XT!Y311,XT!AC311,XT!AG311))=5), 0), 0)), "")</f>
        <v/>
      </c>
      <c r="S311" s="51" t="str">
        <f>IF(XT!$P311&gt;0,R311,"")</f>
        <v/>
      </c>
      <c r="T311" s="51" t="str">
        <f>IF(XT!$P311=0,R311,"")</f>
        <v/>
      </c>
      <c r="U311">
        <f>SUMPRODUCT((MONTH(CHOOSE({1,2,3,4},XT!U311,XT!Y311,XT!AC311,XT!AG311))=6)*(CHOOSE({1,2,3,4},XT!X311,XT!AB311,XT!AF311,XT!AJ311)))</f>
        <v>0</v>
      </c>
      <c r="V311" t="str">
        <f>IFERROR(INDEX(CHOOSE({1,2,3,4}, DAY(XT!U311), DAY(XT!Y311), DAY(XT!AC311), DAY(XT!AG311)), MATCH(1, INDEX(--(MONTH(CHOOSE({1,2,3,4}, XT!U311,XT!Y311,XT!AC311,XT!AG311))=6), 0), 0)), "")</f>
        <v/>
      </c>
      <c r="W311" s="51" t="str">
        <f>IF(XT!$P311&gt;0,V311,"")</f>
        <v/>
      </c>
      <c r="X311" s="51" t="str">
        <f>IF(XT!$P311=0,V311,"")</f>
        <v/>
      </c>
      <c r="Y311">
        <f>SUMPRODUCT((MONTH(CHOOSE({1,2,3,4},XT!U311,XT!Y311,XT!AC311,XT!AG311))=7)*(CHOOSE({1,2,3,4},XT!X311,XT!AB311,XT!AF311,XT!AJ311)))</f>
        <v>0</v>
      </c>
      <c r="Z311" t="str">
        <f>IFERROR(INDEX(CHOOSE({1,2,3,4}, DAY(XT!U311), DAY(XT!Y311), DAY(XT!AC311), DAY(XT!AG311)), MATCH(1, INDEX(--(MONTH(CHOOSE({1,2,3,4}, XT!U311,XT!Y311,XT!AC311,XT!AG311))=7), 0), 0)), "")</f>
        <v/>
      </c>
      <c r="AA311" s="51" t="str">
        <f>IF(XT!$P311&gt;0,Z311,"")</f>
        <v/>
      </c>
      <c r="AB311" s="51" t="str">
        <f>IF(XT!$P311=0,Z311,"")</f>
        <v/>
      </c>
      <c r="AC311">
        <f>SUMPRODUCT((MONTH(CHOOSE({1,2,3,4},XT!U311,XT!Y311,XT!AC311,XT!AG311))=8)*(CHOOSE({1,2,3,4},XT!X311,XT!AB311,XT!AF311,XT!AJ311)))</f>
        <v>0</v>
      </c>
      <c r="AD311" t="str">
        <f>IFERROR(INDEX(CHOOSE({1,2,3,4}, DAY(XT!U311), DAY(XT!Y311), DAY(XT!AC311), DAY(XT!AG311)), MATCH(1, INDEX(--(MONTH(CHOOSE({1,2,3,4}, XT!U311,XT!Y311,XT!AC311,XT!AG311))=8), 0), 0)), "")</f>
        <v/>
      </c>
      <c r="AE311" s="51" t="str">
        <f>IF(XT!$P311&gt;0,AD311,"")</f>
        <v/>
      </c>
      <c r="AF311" s="51" t="str">
        <f>IF(XT!$P311=0,AD311,"")</f>
        <v/>
      </c>
      <c r="AG311">
        <f>SUMPRODUCT((MONTH(CHOOSE({1,2,3,4},XT!U311,XT!Y311,XT!AC311,XT!AG311))=9)*(CHOOSE({1,2,3,4},XT!X311,XT!AB311,XT!AF311,XT!AJ311)))</f>
        <v>0</v>
      </c>
      <c r="AH311" t="str">
        <f>IFERROR(INDEX(CHOOSE({1,2,3,4}, DAY(XT!U311), DAY(XT!Y311), DAY(XT!AC311), DAY(XT!AG311)), MATCH(1, INDEX(--(MONTH(CHOOSE({1,2,3,4}, XT!U311,XT!Y311,XT!AC311,XT!AG311))=9), 0), 0)), "")</f>
        <v/>
      </c>
      <c r="AI311" s="51" t="str">
        <f>IF(XT!$P311&gt;0,AH311,"")</f>
        <v/>
      </c>
      <c r="AJ311" s="51" t="str">
        <f>IF(XT!$P311=0,AH311,"")</f>
        <v/>
      </c>
      <c r="AK311">
        <f>SUMPRODUCT((MONTH(CHOOSE({1,2,3,4},XT!U311,XT!Y311,XT!AC311,XT!AG311))=10)*(CHOOSE({1,2,3,4},XT!X311,XT!AB311,XT!AF311,XT!AJ311)))</f>
        <v>0</v>
      </c>
      <c r="AL311" t="str">
        <f>IFERROR(INDEX(CHOOSE({1,2,3,4}, DAY(XT!U311), DAY(XT!Y311), DAY(XT!AC311), DAY(XT!AG311)), MATCH(1, INDEX(--(MONTH(CHOOSE({1,2,3,4}, XT!U311,XT!Y311,XT!AC311,XT!AG311))=10), 0), 0)), "")</f>
        <v/>
      </c>
      <c r="AM311" s="51" t="str">
        <f>IF(XT!$P311&gt;0,AL311,"")</f>
        <v/>
      </c>
      <c r="AN311" s="51" t="str">
        <f>IF(XT!$P311=0,AL311,"")</f>
        <v/>
      </c>
      <c r="AO311">
        <f>SUMPRODUCT((MONTH(CHOOSE({1,2,3,4},XT!U311,XT!Y311,XT!AC311,XT!AG311))=11)*(CHOOSE({1,2,3,4},XT!X311,XT!AB311,XT!AF311,XT!AJ311)))</f>
        <v>0</v>
      </c>
      <c r="AP311" t="str">
        <f>IFERROR(INDEX(CHOOSE({1,2,3,4}, DAY(XT!U311), DAY(XT!Y311), DAY(XT!AC311), DAY(XT!AG311)), MATCH(1, INDEX(--(MONTH(CHOOSE({1,2,3,4}, XT!U311,XT!Y311,XT!AC311,XT!AG311))=11), 0), 0)), "")</f>
        <v/>
      </c>
      <c r="AQ311" s="51" t="str">
        <f>IF(XT!$P311&gt;0,AP311,"")</f>
        <v/>
      </c>
      <c r="AR311" s="51" t="str">
        <f>IF(XT!$P311=0,AP311,"")</f>
        <v/>
      </c>
      <c r="AS311">
        <f>SUMPRODUCT((MONTH(CHOOSE({1,2,3,4},XT!U311,XT!Y311,XT!AC311,XT!AG311))=12)*(CHOOSE({1,2,3,4},XT!X311,XT!AB311,XT!AF311,XT!AJ311)))</f>
        <v>0</v>
      </c>
      <c r="AT311" t="str">
        <f>IFERROR(INDEX(CHOOSE({1,2,3,4}, DAY(XT!U311), DAY(XT!Y311), DAY(XT!AC311), DAY(XT!AG311)), MATCH(1, INDEX(--(MONTH(CHOOSE({1,2,3,4}, XT!U311,XT!Y311,XT!AC311,XT!AG311))=12), 0), 0)), "")</f>
        <v/>
      </c>
      <c r="AU311" s="51" t="str">
        <f>IF(XT!$P311&gt;0,AT311,"")</f>
        <v/>
      </c>
      <c r="AV311" s="51" t="str">
        <f>IF(XT!$P311=0,AT311,"")</f>
        <v/>
      </c>
    </row>
    <row r="312" spans="1:48">
      <c r="A312">
        <f>SUMPRODUCT((MONTH(CHOOSE({1,2,3,4},XT!U312,XT!Y312,XT!AC312,XT!AG312))=1)*(CHOOSE({1,2,3,4},XT!X312,XT!AB312,XT!AF312,XT!AJ312)))</f>
        <v>0</v>
      </c>
      <c r="B312">
        <f>IFERROR(INDEX(CHOOSE({1,2,3,4}, DAY(XT!U312), DAY(XT!Y312), DAY(XT!AC312), DAY(XT!AG312)), MATCH(1, INDEX(--(MONTH(CHOOSE({1,2,3,4}, XT!U312,XT!Y312,XT!AC312,XT!AG312))=1), 0), 0)), "")</f>
        <v>0</v>
      </c>
      <c r="C312" s="51" t="str">
        <f>IF(XT!$P312&gt;0,B312,"")</f>
        <v/>
      </c>
      <c r="D312" s="51">
        <f>IF(XT!$P312=0,B312,"")</f>
        <v>0</v>
      </c>
      <c r="E312">
        <f>SUMPRODUCT((MONTH(CHOOSE({1,2,3,4},XT!U312,XT!Y312,XT!AC312,XT!AG312))=2)*(CHOOSE({1,2,3,4},XT!X312,XT!AB312,XT!AF312,XT!AJ312)))</f>
        <v>0</v>
      </c>
      <c r="F312" t="str">
        <f>IFERROR(INDEX(CHOOSE({1,2,3,4}, DAY(XT!U312), DAY(XT!Y312), DAY(XT!AC312), DAY(XT!AG312)), MATCH(1, INDEX(--(MONTH(CHOOSE({1,2,3,4}, XT!U312,XT!Y312,XT!AC312,XT!AG312))=2), 0), 0)), "")</f>
        <v/>
      </c>
      <c r="G312" s="51" t="str">
        <f>IF(XT!$P312&gt;0,F312,"")</f>
        <v/>
      </c>
      <c r="H312" s="51" t="str">
        <f>IF(XT!$P312=0,F312,"")</f>
        <v/>
      </c>
      <c r="I312">
        <f>SUMPRODUCT((MONTH(CHOOSE({1,2,3,4},XT!U312,XT!Y312,XT!AC312,XT!AG312))=3)*(CHOOSE({1,2,3,4},XT!X312,XT!AB312,XT!AF312,XT!AJ312)))</f>
        <v>0</v>
      </c>
      <c r="J312" t="str">
        <f>IFERROR(INDEX(CHOOSE({1,2,3,4}, DAY(XT!U312), DAY(XT!Y312), DAY(XT!AC312), DAY(XT!AG312)), MATCH(1, INDEX(--(MONTH(CHOOSE({1,2,3,4}, XT!U312,XT!Y312,XT!AC312,XT!AG312))=3), 0), 0)), "")</f>
        <v/>
      </c>
      <c r="K312" s="51" t="str">
        <f>IF(XT!$P312&gt;0,J312,"")</f>
        <v/>
      </c>
      <c r="L312" s="51" t="str">
        <f>IF(XT!$P312=0,J312,"")</f>
        <v/>
      </c>
      <c r="M312">
        <f>SUMPRODUCT((MONTH(CHOOSE({1,2,3,4},XT!U312,XT!Y312,XT!AC312,XT!AG312))=4)*(CHOOSE({1,2,3,4},XT!X312,XT!AB312,XT!AF312,XT!AJ312)))</f>
        <v>0</v>
      </c>
      <c r="N312" t="str">
        <f>IFERROR(INDEX(CHOOSE({1,2,3,4}, DAY(XT!U312), DAY(XT!Y312), DAY(XT!AC312), DAY(XT!AG312)), MATCH(1, INDEX(--(MONTH(CHOOSE({1,2,3,4}, XT!U312,XT!Y312,XT!AC312,XT!AG312))=4), 0), 0)), "")</f>
        <v/>
      </c>
      <c r="O312" s="51" t="str">
        <f>IF(XT!$P312&gt;0,N312,"")</f>
        <v/>
      </c>
      <c r="P312" s="51" t="str">
        <f>IF(XT!$P312=0,N312,"")</f>
        <v/>
      </c>
      <c r="Q312">
        <f>SUMPRODUCT((MONTH(CHOOSE({1,2,3,4},XT!U312,XT!Y312,XT!AC312,XT!AG312))=5)*(CHOOSE({1,2,3,4},XT!X312,XT!AB312,XT!AF312,XT!AJ312)))</f>
        <v>0</v>
      </c>
      <c r="R312" t="str">
        <f>IFERROR(INDEX(CHOOSE({1,2,3,4}, DAY(XT!U312), DAY(XT!Y312), DAY(XT!AC312), DAY(XT!AG312)), MATCH(1, INDEX(--(MONTH(CHOOSE({1,2,3,4}, XT!U312,XT!Y312,XT!AC312,XT!AG312))=5), 0), 0)), "")</f>
        <v/>
      </c>
      <c r="S312" s="51" t="str">
        <f>IF(XT!$P312&gt;0,R312,"")</f>
        <v/>
      </c>
      <c r="T312" s="51" t="str">
        <f>IF(XT!$P312=0,R312,"")</f>
        <v/>
      </c>
      <c r="U312">
        <f>SUMPRODUCT((MONTH(CHOOSE({1,2,3,4},XT!U312,XT!Y312,XT!AC312,XT!AG312))=6)*(CHOOSE({1,2,3,4},XT!X312,XT!AB312,XT!AF312,XT!AJ312)))</f>
        <v>0</v>
      </c>
      <c r="V312" t="str">
        <f>IFERROR(INDEX(CHOOSE({1,2,3,4}, DAY(XT!U312), DAY(XT!Y312), DAY(XT!AC312), DAY(XT!AG312)), MATCH(1, INDEX(--(MONTH(CHOOSE({1,2,3,4}, XT!U312,XT!Y312,XT!AC312,XT!AG312))=6), 0), 0)), "")</f>
        <v/>
      </c>
      <c r="W312" s="51" t="str">
        <f>IF(XT!$P312&gt;0,V312,"")</f>
        <v/>
      </c>
      <c r="X312" s="51" t="str">
        <f>IF(XT!$P312=0,V312,"")</f>
        <v/>
      </c>
      <c r="Y312">
        <f>SUMPRODUCT((MONTH(CHOOSE({1,2,3,4},XT!U312,XT!Y312,XT!AC312,XT!AG312))=7)*(CHOOSE({1,2,3,4},XT!X312,XT!AB312,XT!AF312,XT!AJ312)))</f>
        <v>0</v>
      </c>
      <c r="Z312" t="str">
        <f>IFERROR(INDEX(CHOOSE({1,2,3,4}, DAY(XT!U312), DAY(XT!Y312), DAY(XT!AC312), DAY(XT!AG312)), MATCH(1, INDEX(--(MONTH(CHOOSE({1,2,3,4}, XT!U312,XT!Y312,XT!AC312,XT!AG312))=7), 0), 0)), "")</f>
        <v/>
      </c>
      <c r="AA312" s="51" t="str">
        <f>IF(XT!$P312&gt;0,Z312,"")</f>
        <v/>
      </c>
      <c r="AB312" s="51" t="str">
        <f>IF(XT!$P312=0,Z312,"")</f>
        <v/>
      </c>
      <c r="AC312">
        <f>SUMPRODUCT((MONTH(CHOOSE({1,2,3,4},XT!U312,XT!Y312,XT!AC312,XT!AG312))=8)*(CHOOSE({1,2,3,4},XT!X312,XT!AB312,XT!AF312,XT!AJ312)))</f>
        <v>0</v>
      </c>
      <c r="AD312" t="str">
        <f>IFERROR(INDEX(CHOOSE({1,2,3,4}, DAY(XT!U312), DAY(XT!Y312), DAY(XT!AC312), DAY(XT!AG312)), MATCH(1, INDEX(--(MONTH(CHOOSE({1,2,3,4}, XT!U312,XT!Y312,XT!AC312,XT!AG312))=8), 0), 0)), "")</f>
        <v/>
      </c>
      <c r="AE312" s="51" t="str">
        <f>IF(XT!$P312&gt;0,AD312,"")</f>
        <v/>
      </c>
      <c r="AF312" s="51" t="str">
        <f>IF(XT!$P312=0,AD312,"")</f>
        <v/>
      </c>
      <c r="AG312">
        <f>SUMPRODUCT((MONTH(CHOOSE({1,2,3,4},XT!U312,XT!Y312,XT!AC312,XT!AG312))=9)*(CHOOSE({1,2,3,4},XT!X312,XT!AB312,XT!AF312,XT!AJ312)))</f>
        <v>0</v>
      </c>
      <c r="AH312" t="str">
        <f>IFERROR(INDEX(CHOOSE({1,2,3,4}, DAY(XT!U312), DAY(XT!Y312), DAY(XT!AC312), DAY(XT!AG312)), MATCH(1, INDEX(--(MONTH(CHOOSE({1,2,3,4}, XT!U312,XT!Y312,XT!AC312,XT!AG312))=9), 0), 0)), "")</f>
        <v/>
      </c>
      <c r="AI312" s="51" t="str">
        <f>IF(XT!$P312&gt;0,AH312,"")</f>
        <v/>
      </c>
      <c r="AJ312" s="51" t="str">
        <f>IF(XT!$P312=0,AH312,"")</f>
        <v/>
      </c>
      <c r="AK312">
        <f>SUMPRODUCT((MONTH(CHOOSE({1,2,3,4},XT!U312,XT!Y312,XT!AC312,XT!AG312))=10)*(CHOOSE({1,2,3,4},XT!X312,XT!AB312,XT!AF312,XT!AJ312)))</f>
        <v>0</v>
      </c>
      <c r="AL312" t="str">
        <f>IFERROR(INDEX(CHOOSE({1,2,3,4}, DAY(XT!U312), DAY(XT!Y312), DAY(XT!AC312), DAY(XT!AG312)), MATCH(1, INDEX(--(MONTH(CHOOSE({1,2,3,4}, XT!U312,XT!Y312,XT!AC312,XT!AG312))=10), 0), 0)), "")</f>
        <v/>
      </c>
      <c r="AM312" s="51" t="str">
        <f>IF(XT!$P312&gt;0,AL312,"")</f>
        <v/>
      </c>
      <c r="AN312" s="51" t="str">
        <f>IF(XT!$P312=0,AL312,"")</f>
        <v/>
      </c>
      <c r="AO312">
        <f>SUMPRODUCT((MONTH(CHOOSE({1,2,3,4},XT!U312,XT!Y312,XT!AC312,XT!AG312))=11)*(CHOOSE({1,2,3,4},XT!X312,XT!AB312,XT!AF312,XT!AJ312)))</f>
        <v>0</v>
      </c>
      <c r="AP312" t="str">
        <f>IFERROR(INDEX(CHOOSE({1,2,3,4}, DAY(XT!U312), DAY(XT!Y312), DAY(XT!AC312), DAY(XT!AG312)), MATCH(1, INDEX(--(MONTH(CHOOSE({1,2,3,4}, XT!U312,XT!Y312,XT!AC312,XT!AG312))=11), 0), 0)), "")</f>
        <v/>
      </c>
      <c r="AQ312" s="51" t="str">
        <f>IF(XT!$P312&gt;0,AP312,"")</f>
        <v/>
      </c>
      <c r="AR312" s="51" t="str">
        <f>IF(XT!$P312=0,AP312,"")</f>
        <v/>
      </c>
      <c r="AS312">
        <f>SUMPRODUCT((MONTH(CHOOSE({1,2,3,4},XT!U312,XT!Y312,XT!AC312,XT!AG312))=12)*(CHOOSE({1,2,3,4},XT!X312,XT!AB312,XT!AF312,XT!AJ312)))</f>
        <v>0</v>
      </c>
      <c r="AT312" t="str">
        <f>IFERROR(INDEX(CHOOSE({1,2,3,4}, DAY(XT!U312), DAY(XT!Y312), DAY(XT!AC312), DAY(XT!AG312)), MATCH(1, INDEX(--(MONTH(CHOOSE({1,2,3,4}, XT!U312,XT!Y312,XT!AC312,XT!AG312))=12), 0), 0)), "")</f>
        <v/>
      </c>
      <c r="AU312" s="51" t="str">
        <f>IF(XT!$P312&gt;0,AT312,"")</f>
        <v/>
      </c>
      <c r="AV312" s="51" t="str">
        <f>IF(XT!$P312=0,AT312,"")</f>
        <v/>
      </c>
    </row>
    <row r="313" spans="1:48">
      <c r="A313">
        <f>SUMPRODUCT((MONTH(CHOOSE({1,2,3,4},XT!U313,XT!Y313,XT!AC313,XT!AG313))=1)*(CHOOSE({1,2,3,4},XT!X313,XT!AB313,XT!AF313,XT!AJ313)))</f>
        <v>0</v>
      </c>
      <c r="B313">
        <f>IFERROR(INDEX(CHOOSE({1,2,3,4}, DAY(XT!U313), DAY(XT!Y313), DAY(XT!AC313), DAY(XT!AG313)), MATCH(1, INDEX(--(MONTH(CHOOSE({1,2,3,4}, XT!U313,XT!Y313,XT!AC313,XT!AG313))=1), 0), 0)), "")</f>
        <v>0</v>
      </c>
      <c r="C313" s="51" t="str">
        <f>IF(XT!$P313&gt;0,B313,"")</f>
        <v/>
      </c>
      <c r="D313" s="51">
        <f>IF(XT!$P313=0,B313,"")</f>
        <v>0</v>
      </c>
      <c r="E313">
        <f>SUMPRODUCT((MONTH(CHOOSE({1,2,3,4},XT!U313,XT!Y313,XT!AC313,XT!AG313))=2)*(CHOOSE({1,2,3,4},XT!X313,XT!AB313,XT!AF313,XT!AJ313)))</f>
        <v>0</v>
      </c>
      <c r="F313" t="str">
        <f>IFERROR(INDEX(CHOOSE({1,2,3,4}, DAY(XT!U313), DAY(XT!Y313), DAY(XT!AC313), DAY(XT!AG313)), MATCH(1, INDEX(--(MONTH(CHOOSE({1,2,3,4}, XT!U313,XT!Y313,XT!AC313,XT!AG313))=2), 0), 0)), "")</f>
        <v/>
      </c>
      <c r="G313" s="51" t="str">
        <f>IF(XT!$P313&gt;0,F313,"")</f>
        <v/>
      </c>
      <c r="H313" s="51" t="str">
        <f>IF(XT!$P313=0,F313,"")</f>
        <v/>
      </c>
      <c r="I313">
        <f>SUMPRODUCT((MONTH(CHOOSE({1,2,3,4},XT!U313,XT!Y313,XT!AC313,XT!AG313))=3)*(CHOOSE({1,2,3,4},XT!X313,XT!AB313,XT!AF313,XT!AJ313)))</f>
        <v>0</v>
      </c>
      <c r="J313" t="str">
        <f>IFERROR(INDEX(CHOOSE({1,2,3,4}, DAY(XT!U313), DAY(XT!Y313), DAY(XT!AC313), DAY(XT!AG313)), MATCH(1, INDEX(--(MONTH(CHOOSE({1,2,3,4}, XT!U313,XT!Y313,XT!AC313,XT!AG313))=3), 0), 0)), "")</f>
        <v/>
      </c>
      <c r="K313" s="51" t="str">
        <f>IF(XT!$P313&gt;0,J313,"")</f>
        <v/>
      </c>
      <c r="L313" s="51" t="str">
        <f>IF(XT!$P313=0,J313,"")</f>
        <v/>
      </c>
      <c r="M313">
        <f>SUMPRODUCT((MONTH(CHOOSE({1,2,3,4},XT!U313,XT!Y313,XT!AC313,XT!AG313))=4)*(CHOOSE({1,2,3,4},XT!X313,XT!AB313,XT!AF313,XT!AJ313)))</f>
        <v>0</v>
      </c>
      <c r="N313" t="str">
        <f>IFERROR(INDEX(CHOOSE({1,2,3,4}, DAY(XT!U313), DAY(XT!Y313), DAY(XT!AC313), DAY(XT!AG313)), MATCH(1, INDEX(--(MONTH(CHOOSE({1,2,3,4}, XT!U313,XT!Y313,XT!AC313,XT!AG313))=4), 0), 0)), "")</f>
        <v/>
      </c>
      <c r="O313" s="51" t="str">
        <f>IF(XT!$P313&gt;0,N313,"")</f>
        <v/>
      </c>
      <c r="P313" s="51" t="str">
        <f>IF(XT!$P313=0,N313,"")</f>
        <v/>
      </c>
      <c r="Q313">
        <f>SUMPRODUCT((MONTH(CHOOSE({1,2,3,4},XT!U313,XT!Y313,XT!AC313,XT!AG313))=5)*(CHOOSE({1,2,3,4},XT!X313,XT!AB313,XT!AF313,XT!AJ313)))</f>
        <v>0</v>
      </c>
      <c r="R313" t="str">
        <f>IFERROR(INDEX(CHOOSE({1,2,3,4}, DAY(XT!U313), DAY(XT!Y313), DAY(XT!AC313), DAY(XT!AG313)), MATCH(1, INDEX(--(MONTH(CHOOSE({1,2,3,4}, XT!U313,XT!Y313,XT!AC313,XT!AG313))=5), 0), 0)), "")</f>
        <v/>
      </c>
      <c r="S313" s="51" t="str">
        <f>IF(XT!$P313&gt;0,R313,"")</f>
        <v/>
      </c>
      <c r="T313" s="51" t="str">
        <f>IF(XT!$P313=0,R313,"")</f>
        <v/>
      </c>
      <c r="U313">
        <f>SUMPRODUCT((MONTH(CHOOSE({1,2,3,4},XT!U313,XT!Y313,XT!AC313,XT!AG313))=6)*(CHOOSE({1,2,3,4},XT!X313,XT!AB313,XT!AF313,XT!AJ313)))</f>
        <v>0</v>
      </c>
      <c r="V313" t="str">
        <f>IFERROR(INDEX(CHOOSE({1,2,3,4}, DAY(XT!U313), DAY(XT!Y313), DAY(XT!AC313), DAY(XT!AG313)), MATCH(1, INDEX(--(MONTH(CHOOSE({1,2,3,4}, XT!U313,XT!Y313,XT!AC313,XT!AG313))=6), 0), 0)), "")</f>
        <v/>
      </c>
      <c r="W313" s="51" t="str">
        <f>IF(XT!$P313&gt;0,V313,"")</f>
        <v/>
      </c>
      <c r="X313" s="51" t="str">
        <f>IF(XT!$P313=0,V313,"")</f>
        <v/>
      </c>
      <c r="Y313">
        <f>SUMPRODUCT((MONTH(CHOOSE({1,2,3,4},XT!U313,XT!Y313,XT!AC313,XT!AG313))=7)*(CHOOSE({1,2,3,4},XT!X313,XT!AB313,XT!AF313,XT!AJ313)))</f>
        <v>0</v>
      </c>
      <c r="Z313" t="str">
        <f>IFERROR(INDEX(CHOOSE({1,2,3,4}, DAY(XT!U313), DAY(XT!Y313), DAY(XT!AC313), DAY(XT!AG313)), MATCH(1, INDEX(--(MONTH(CHOOSE({1,2,3,4}, XT!U313,XT!Y313,XT!AC313,XT!AG313))=7), 0), 0)), "")</f>
        <v/>
      </c>
      <c r="AA313" s="51" t="str">
        <f>IF(XT!$P313&gt;0,Z313,"")</f>
        <v/>
      </c>
      <c r="AB313" s="51" t="str">
        <f>IF(XT!$P313=0,Z313,"")</f>
        <v/>
      </c>
      <c r="AC313">
        <f>SUMPRODUCT((MONTH(CHOOSE({1,2,3,4},XT!U313,XT!Y313,XT!AC313,XT!AG313))=8)*(CHOOSE({1,2,3,4},XT!X313,XT!AB313,XT!AF313,XT!AJ313)))</f>
        <v>0</v>
      </c>
      <c r="AD313" t="str">
        <f>IFERROR(INDEX(CHOOSE({1,2,3,4}, DAY(XT!U313), DAY(XT!Y313), DAY(XT!AC313), DAY(XT!AG313)), MATCH(1, INDEX(--(MONTH(CHOOSE({1,2,3,4}, XT!U313,XT!Y313,XT!AC313,XT!AG313))=8), 0), 0)), "")</f>
        <v/>
      </c>
      <c r="AE313" s="51" t="str">
        <f>IF(XT!$P313&gt;0,AD313,"")</f>
        <v/>
      </c>
      <c r="AF313" s="51" t="str">
        <f>IF(XT!$P313=0,AD313,"")</f>
        <v/>
      </c>
      <c r="AG313">
        <f>SUMPRODUCT((MONTH(CHOOSE({1,2,3,4},XT!U313,XT!Y313,XT!AC313,XT!AG313))=9)*(CHOOSE({1,2,3,4},XT!X313,XT!AB313,XT!AF313,XT!AJ313)))</f>
        <v>0</v>
      </c>
      <c r="AH313" t="str">
        <f>IFERROR(INDEX(CHOOSE({1,2,3,4}, DAY(XT!U313), DAY(XT!Y313), DAY(XT!AC313), DAY(XT!AG313)), MATCH(1, INDEX(--(MONTH(CHOOSE({1,2,3,4}, XT!U313,XT!Y313,XT!AC313,XT!AG313))=9), 0), 0)), "")</f>
        <v/>
      </c>
      <c r="AI313" s="51" t="str">
        <f>IF(XT!$P313&gt;0,AH313,"")</f>
        <v/>
      </c>
      <c r="AJ313" s="51" t="str">
        <f>IF(XT!$P313=0,AH313,"")</f>
        <v/>
      </c>
      <c r="AK313">
        <f>SUMPRODUCT((MONTH(CHOOSE({1,2,3,4},XT!U313,XT!Y313,XT!AC313,XT!AG313))=10)*(CHOOSE({1,2,3,4},XT!X313,XT!AB313,XT!AF313,XT!AJ313)))</f>
        <v>0</v>
      </c>
      <c r="AL313" t="str">
        <f>IFERROR(INDEX(CHOOSE({1,2,3,4}, DAY(XT!U313), DAY(XT!Y313), DAY(XT!AC313), DAY(XT!AG313)), MATCH(1, INDEX(--(MONTH(CHOOSE({1,2,3,4}, XT!U313,XT!Y313,XT!AC313,XT!AG313))=10), 0), 0)), "")</f>
        <v/>
      </c>
      <c r="AM313" s="51" t="str">
        <f>IF(XT!$P313&gt;0,AL313,"")</f>
        <v/>
      </c>
      <c r="AN313" s="51" t="str">
        <f>IF(XT!$P313=0,AL313,"")</f>
        <v/>
      </c>
      <c r="AO313">
        <f>SUMPRODUCT((MONTH(CHOOSE({1,2,3,4},XT!U313,XT!Y313,XT!AC313,XT!AG313))=11)*(CHOOSE({1,2,3,4},XT!X313,XT!AB313,XT!AF313,XT!AJ313)))</f>
        <v>0</v>
      </c>
      <c r="AP313" t="str">
        <f>IFERROR(INDEX(CHOOSE({1,2,3,4}, DAY(XT!U313), DAY(XT!Y313), DAY(XT!AC313), DAY(XT!AG313)), MATCH(1, INDEX(--(MONTH(CHOOSE({1,2,3,4}, XT!U313,XT!Y313,XT!AC313,XT!AG313))=11), 0), 0)), "")</f>
        <v/>
      </c>
      <c r="AQ313" s="51" t="str">
        <f>IF(XT!$P313&gt;0,AP313,"")</f>
        <v/>
      </c>
      <c r="AR313" s="51" t="str">
        <f>IF(XT!$P313=0,AP313,"")</f>
        <v/>
      </c>
      <c r="AS313">
        <f>SUMPRODUCT((MONTH(CHOOSE({1,2,3,4},XT!U313,XT!Y313,XT!AC313,XT!AG313))=12)*(CHOOSE({1,2,3,4},XT!X313,XT!AB313,XT!AF313,XT!AJ313)))</f>
        <v>0</v>
      </c>
      <c r="AT313" t="str">
        <f>IFERROR(INDEX(CHOOSE({1,2,3,4}, DAY(XT!U313), DAY(XT!Y313), DAY(XT!AC313), DAY(XT!AG313)), MATCH(1, INDEX(--(MONTH(CHOOSE({1,2,3,4}, XT!U313,XT!Y313,XT!AC313,XT!AG313))=12), 0), 0)), "")</f>
        <v/>
      </c>
      <c r="AU313" s="51" t="str">
        <f>IF(XT!$P313&gt;0,AT313,"")</f>
        <v/>
      </c>
      <c r="AV313" s="51" t="str">
        <f>IF(XT!$P313=0,AT313,"")</f>
        <v/>
      </c>
    </row>
    <row r="314" spans="1:48">
      <c r="A314">
        <f>SUMPRODUCT((MONTH(CHOOSE({1,2,3,4},XT!U314,XT!Y314,XT!AC314,XT!AG314))=1)*(CHOOSE({1,2,3,4},XT!X314,XT!AB314,XT!AF314,XT!AJ314)))</f>
        <v>0</v>
      </c>
      <c r="B314">
        <f>IFERROR(INDEX(CHOOSE({1,2,3,4}, DAY(XT!U314), DAY(XT!Y314), DAY(XT!AC314), DAY(XT!AG314)), MATCH(1, INDEX(--(MONTH(CHOOSE({1,2,3,4}, XT!U314,XT!Y314,XT!AC314,XT!AG314))=1), 0), 0)), "")</f>
        <v>0</v>
      </c>
      <c r="C314" s="51" t="str">
        <f>IF(XT!$P314&gt;0,B314,"")</f>
        <v/>
      </c>
      <c r="D314" s="51">
        <f>IF(XT!$P314=0,B314,"")</f>
        <v>0</v>
      </c>
      <c r="E314">
        <f>SUMPRODUCT((MONTH(CHOOSE({1,2,3,4},XT!U314,XT!Y314,XT!AC314,XT!AG314))=2)*(CHOOSE({1,2,3,4},XT!X314,XT!AB314,XT!AF314,XT!AJ314)))</f>
        <v>0</v>
      </c>
      <c r="F314" t="str">
        <f>IFERROR(INDEX(CHOOSE({1,2,3,4}, DAY(XT!U314), DAY(XT!Y314), DAY(XT!AC314), DAY(XT!AG314)), MATCH(1, INDEX(--(MONTH(CHOOSE({1,2,3,4}, XT!U314,XT!Y314,XT!AC314,XT!AG314))=2), 0), 0)), "")</f>
        <v/>
      </c>
      <c r="G314" s="51" t="str">
        <f>IF(XT!$P314&gt;0,F314,"")</f>
        <v/>
      </c>
      <c r="H314" s="51" t="str">
        <f>IF(XT!$P314=0,F314,"")</f>
        <v/>
      </c>
      <c r="I314">
        <f>SUMPRODUCT((MONTH(CHOOSE({1,2,3,4},XT!U314,XT!Y314,XT!AC314,XT!AG314))=3)*(CHOOSE({1,2,3,4},XT!X314,XT!AB314,XT!AF314,XT!AJ314)))</f>
        <v>0</v>
      </c>
      <c r="J314" t="str">
        <f>IFERROR(INDEX(CHOOSE({1,2,3,4}, DAY(XT!U314), DAY(XT!Y314), DAY(XT!AC314), DAY(XT!AG314)), MATCH(1, INDEX(--(MONTH(CHOOSE({1,2,3,4}, XT!U314,XT!Y314,XT!AC314,XT!AG314))=3), 0), 0)), "")</f>
        <v/>
      </c>
      <c r="K314" s="51" t="str">
        <f>IF(XT!$P314&gt;0,J314,"")</f>
        <v/>
      </c>
      <c r="L314" s="51" t="str">
        <f>IF(XT!$P314=0,J314,"")</f>
        <v/>
      </c>
      <c r="M314">
        <f>SUMPRODUCT((MONTH(CHOOSE({1,2,3,4},XT!U314,XT!Y314,XT!AC314,XT!AG314))=4)*(CHOOSE({1,2,3,4},XT!X314,XT!AB314,XT!AF314,XT!AJ314)))</f>
        <v>0</v>
      </c>
      <c r="N314" t="str">
        <f>IFERROR(INDEX(CHOOSE({1,2,3,4}, DAY(XT!U314), DAY(XT!Y314), DAY(XT!AC314), DAY(XT!AG314)), MATCH(1, INDEX(--(MONTH(CHOOSE({1,2,3,4}, XT!U314,XT!Y314,XT!AC314,XT!AG314))=4), 0), 0)), "")</f>
        <v/>
      </c>
      <c r="O314" s="51" t="str">
        <f>IF(XT!$P314&gt;0,N314,"")</f>
        <v/>
      </c>
      <c r="P314" s="51" t="str">
        <f>IF(XT!$P314=0,N314,"")</f>
        <v/>
      </c>
      <c r="Q314">
        <f>SUMPRODUCT((MONTH(CHOOSE({1,2,3,4},XT!U314,XT!Y314,XT!AC314,XT!AG314))=5)*(CHOOSE({1,2,3,4},XT!X314,XT!AB314,XT!AF314,XT!AJ314)))</f>
        <v>0</v>
      </c>
      <c r="R314" t="str">
        <f>IFERROR(INDEX(CHOOSE({1,2,3,4}, DAY(XT!U314), DAY(XT!Y314), DAY(XT!AC314), DAY(XT!AG314)), MATCH(1, INDEX(--(MONTH(CHOOSE({1,2,3,4}, XT!U314,XT!Y314,XT!AC314,XT!AG314))=5), 0), 0)), "")</f>
        <v/>
      </c>
      <c r="S314" s="51" t="str">
        <f>IF(XT!$P314&gt;0,R314,"")</f>
        <v/>
      </c>
      <c r="T314" s="51" t="str">
        <f>IF(XT!$P314=0,R314,"")</f>
        <v/>
      </c>
      <c r="U314">
        <f>SUMPRODUCT((MONTH(CHOOSE({1,2,3,4},XT!U314,XT!Y314,XT!AC314,XT!AG314))=6)*(CHOOSE({1,2,3,4},XT!X314,XT!AB314,XT!AF314,XT!AJ314)))</f>
        <v>0</v>
      </c>
      <c r="V314" t="str">
        <f>IFERROR(INDEX(CHOOSE({1,2,3,4}, DAY(XT!U314), DAY(XT!Y314), DAY(XT!AC314), DAY(XT!AG314)), MATCH(1, INDEX(--(MONTH(CHOOSE({1,2,3,4}, XT!U314,XT!Y314,XT!AC314,XT!AG314))=6), 0), 0)), "")</f>
        <v/>
      </c>
      <c r="W314" s="51" t="str">
        <f>IF(XT!$P314&gt;0,V314,"")</f>
        <v/>
      </c>
      <c r="X314" s="51" t="str">
        <f>IF(XT!$P314=0,V314,"")</f>
        <v/>
      </c>
      <c r="Y314">
        <f>SUMPRODUCT((MONTH(CHOOSE({1,2,3,4},XT!U314,XT!Y314,XT!AC314,XT!AG314))=7)*(CHOOSE({1,2,3,4},XT!X314,XT!AB314,XT!AF314,XT!AJ314)))</f>
        <v>0</v>
      </c>
      <c r="Z314" t="str">
        <f>IFERROR(INDEX(CHOOSE({1,2,3,4}, DAY(XT!U314), DAY(XT!Y314), DAY(XT!AC314), DAY(XT!AG314)), MATCH(1, INDEX(--(MONTH(CHOOSE({1,2,3,4}, XT!U314,XT!Y314,XT!AC314,XT!AG314))=7), 0), 0)), "")</f>
        <v/>
      </c>
      <c r="AA314" s="51" t="str">
        <f>IF(XT!$P314&gt;0,Z314,"")</f>
        <v/>
      </c>
      <c r="AB314" s="51" t="str">
        <f>IF(XT!$P314=0,Z314,"")</f>
        <v/>
      </c>
      <c r="AC314">
        <f>SUMPRODUCT((MONTH(CHOOSE({1,2,3,4},XT!U314,XT!Y314,XT!AC314,XT!AG314))=8)*(CHOOSE({1,2,3,4},XT!X314,XT!AB314,XT!AF314,XT!AJ314)))</f>
        <v>0</v>
      </c>
      <c r="AD314" t="str">
        <f>IFERROR(INDEX(CHOOSE({1,2,3,4}, DAY(XT!U314), DAY(XT!Y314), DAY(XT!AC314), DAY(XT!AG314)), MATCH(1, INDEX(--(MONTH(CHOOSE({1,2,3,4}, XT!U314,XT!Y314,XT!AC314,XT!AG314))=8), 0), 0)), "")</f>
        <v/>
      </c>
      <c r="AE314" s="51" t="str">
        <f>IF(XT!$P314&gt;0,AD314,"")</f>
        <v/>
      </c>
      <c r="AF314" s="51" t="str">
        <f>IF(XT!$P314=0,AD314,"")</f>
        <v/>
      </c>
      <c r="AG314">
        <f>SUMPRODUCT((MONTH(CHOOSE({1,2,3,4},XT!U314,XT!Y314,XT!AC314,XT!AG314))=9)*(CHOOSE({1,2,3,4},XT!X314,XT!AB314,XT!AF314,XT!AJ314)))</f>
        <v>0</v>
      </c>
      <c r="AH314" t="str">
        <f>IFERROR(INDEX(CHOOSE({1,2,3,4}, DAY(XT!U314), DAY(XT!Y314), DAY(XT!AC314), DAY(XT!AG314)), MATCH(1, INDEX(--(MONTH(CHOOSE({1,2,3,4}, XT!U314,XT!Y314,XT!AC314,XT!AG314))=9), 0), 0)), "")</f>
        <v/>
      </c>
      <c r="AI314" s="51" t="str">
        <f>IF(XT!$P314&gt;0,AH314,"")</f>
        <v/>
      </c>
      <c r="AJ314" s="51" t="str">
        <f>IF(XT!$P314=0,AH314,"")</f>
        <v/>
      </c>
      <c r="AK314">
        <f>SUMPRODUCT((MONTH(CHOOSE({1,2,3,4},XT!U314,XT!Y314,XT!AC314,XT!AG314))=10)*(CHOOSE({1,2,3,4},XT!X314,XT!AB314,XT!AF314,XT!AJ314)))</f>
        <v>0</v>
      </c>
      <c r="AL314" t="str">
        <f>IFERROR(INDEX(CHOOSE({1,2,3,4}, DAY(XT!U314), DAY(XT!Y314), DAY(XT!AC314), DAY(XT!AG314)), MATCH(1, INDEX(--(MONTH(CHOOSE({1,2,3,4}, XT!U314,XT!Y314,XT!AC314,XT!AG314))=10), 0), 0)), "")</f>
        <v/>
      </c>
      <c r="AM314" s="51" t="str">
        <f>IF(XT!$P314&gt;0,AL314,"")</f>
        <v/>
      </c>
      <c r="AN314" s="51" t="str">
        <f>IF(XT!$P314=0,AL314,"")</f>
        <v/>
      </c>
      <c r="AO314">
        <f>SUMPRODUCT((MONTH(CHOOSE({1,2,3,4},XT!U314,XT!Y314,XT!AC314,XT!AG314))=11)*(CHOOSE({1,2,3,4},XT!X314,XT!AB314,XT!AF314,XT!AJ314)))</f>
        <v>0</v>
      </c>
      <c r="AP314" t="str">
        <f>IFERROR(INDEX(CHOOSE({1,2,3,4}, DAY(XT!U314), DAY(XT!Y314), DAY(XT!AC314), DAY(XT!AG314)), MATCH(1, INDEX(--(MONTH(CHOOSE({1,2,3,4}, XT!U314,XT!Y314,XT!AC314,XT!AG314))=11), 0), 0)), "")</f>
        <v/>
      </c>
      <c r="AQ314" s="51" t="str">
        <f>IF(XT!$P314&gt;0,AP314,"")</f>
        <v/>
      </c>
      <c r="AR314" s="51" t="str">
        <f>IF(XT!$P314=0,AP314,"")</f>
        <v/>
      </c>
      <c r="AS314">
        <f>SUMPRODUCT((MONTH(CHOOSE({1,2,3,4},XT!U314,XT!Y314,XT!AC314,XT!AG314))=12)*(CHOOSE({1,2,3,4},XT!X314,XT!AB314,XT!AF314,XT!AJ314)))</f>
        <v>0</v>
      </c>
      <c r="AT314" t="str">
        <f>IFERROR(INDEX(CHOOSE({1,2,3,4}, DAY(XT!U314), DAY(XT!Y314), DAY(XT!AC314), DAY(XT!AG314)), MATCH(1, INDEX(--(MONTH(CHOOSE({1,2,3,4}, XT!U314,XT!Y314,XT!AC314,XT!AG314))=12), 0), 0)), "")</f>
        <v/>
      </c>
      <c r="AU314" s="51" t="str">
        <f>IF(XT!$P314&gt;0,AT314,"")</f>
        <v/>
      </c>
      <c r="AV314" s="51" t="str">
        <f>IF(XT!$P314=0,AT314,"")</f>
        <v/>
      </c>
    </row>
    <row r="315" spans="1:48">
      <c r="A315">
        <f>SUMPRODUCT((MONTH(CHOOSE({1,2,3,4},XT!U315,XT!Y315,XT!AC315,XT!AG315))=1)*(CHOOSE({1,2,3,4},XT!X315,XT!AB315,XT!AF315,XT!AJ315)))</f>
        <v>0</v>
      </c>
      <c r="B315">
        <f>IFERROR(INDEX(CHOOSE({1,2,3,4}, DAY(XT!U315), DAY(XT!Y315), DAY(XT!AC315), DAY(XT!AG315)), MATCH(1, INDEX(--(MONTH(CHOOSE({1,2,3,4}, XT!U315,XT!Y315,XT!AC315,XT!AG315))=1), 0), 0)), "")</f>
        <v>0</v>
      </c>
      <c r="C315" s="51" t="str">
        <f>IF(XT!$P315&gt;0,B315,"")</f>
        <v/>
      </c>
      <c r="D315" s="51">
        <f>IF(XT!$P315=0,B315,"")</f>
        <v>0</v>
      </c>
      <c r="E315">
        <f>SUMPRODUCT((MONTH(CHOOSE({1,2,3,4},XT!U315,XT!Y315,XT!AC315,XT!AG315))=2)*(CHOOSE({1,2,3,4},XT!X315,XT!AB315,XT!AF315,XT!AJ315)))</f>
        <v>0</v>
      </c>
      <c r="F315" t="str">
        <f>IFERROR(INDEX(CHOOSE({1,2,3,4}, DAY(XT!U315), DAY(XT!Y315), DAY(XT!AC315), DAY(XT!AG315)), MATCH(1, INDEX(--(MONTH(CHOOSE({1,2,3,4}, XT!U315,XT!Y315,XT!AC315,XT!AG315))=2), 0), 0)), "")</f>
        <v/>
      </c>
      <c r="G315" s="51" t="str">
        <f>IF(XT!$P315&gt;0,F315,"")</f>
        <v/>
      </c>
      <c r="H315" s="51" t="str">
        <f>IF(XT!$P315=0,F315,"")</f>
        <v/>
      </c>
      <c r="I315">
        <f>SUMPRODUCT((MONTH(CHOOSE({1,2,3,4},XT!U315,XT!Y315,XT!AC315,XT!AG315))=3)*(CHOOSE({1,2,3,4},XT!X315,XT!AB315,XT!AF315,XT!AJ315)))</f>
        <v>0</v>
      </c>
      <c r="J315" t="str">
        <f>IFERROR(INDEX(CHOOSE({1,2,3,4}, DAY(XT!U315), DAY(XT!Y315), DAY(XT!AC315), DAY(XT!AG315)), MATCH(1, INDEX(--(MONTH(CHOOSE({1,2,3,4}, XT!U315,XT!Y315,XT!AC315,XT!AG315))=3), 0), 0)), "")</f>
        <v/>
      </c>
      <c r="K315" s="51" t="str">
        <f>IF(XT!$P315&gt;0,J315,"")</f>
        <v/>
      </c>
      <c r="L315" s="51" t="str">
        <f>IF(XT!$P315=0,J315,"")</f>
        <v/>
      </c>
      <c r="M315">
        <f>SUMPRODUCT((MONTH(CHOOSE({1,2,3,4},XT!U315,XT!Y315,XT!AC315,XT!AG315))=4)*(CHOOSE({1,2,3,4},XT!X315,XT!AB315,XT!AF315,XT!AJ315)))</f>
        <v>0</v>
      </c>
      <c r="N315" t="str">
        <f>IFERROR(INDEX(CHOOSE({1,2,3,4}, DAY(XT!U315), DAY(XT!Y315), DAY(XT!AC315), DAY(XT!AG315)), MATCH(1, INDEX(--(MONTH(CHOOSE({1,2,3,4}, XT!U315,XT!Y315,XT!AC315,XT!AG315))=4), 0), 0)), "")</f>
        <v/>
      </c>
      <c r="O315" s="51" t="str">
        <f>IF(XT!$P315&gt;0,N315,"")</f>
        <v/>
      </c>
      <c r="P315" s="51" t="str">
        <f>IF(XT!$P315=0,N315,"")</f>
        <v/>
      </c>
      <c r="Q315">
        <f>SUMPRODUCT((MONTH(CHOOSE({1,2,3,4},XT!U315,XT!Y315,XT!AC315,XT!AG315))=5)*(CHOOSE({1,2,3,4},XT!X315,XT!AB315,XT!AF315,XT!AJ315)))</f>
        <v>0</v>
      </c>
      <c r="R315" t="str">
        <f>IFERROR(INDEX(CHOOSE({1,2,3,4}, DAY(XT!U315), DAY(XT!Y315), DAY(XT!AC315), DAY(XT!AG315)), MATCH(1, INDEX(--(MONTH(CHOOSE({1,2,3,4}, XT!U315,XT!Y315,XT!AC315,XT!AG315))=5), 0), 0)), "")</f>
        <v/>
      </c>
      <c r="S315" s="51" t="str">
        <f>IF(XT!$P315&gt;0,R315,"")</f>
        <v/>
      </c>
      <c r="T315" s="51" t="str">
        <f>IF(XT!$P315=0,R315,"")</f>
        <v/>
      </c>
      <c r="U315">
        <f>SUMPRODUCT((MONTH(CHOOSE({1,2,3,4},XT!U315,XT!Y315,XT!AC315,XT!AG315))=6)*(CHOOSE({1,2,3,4},XT!X315,XT!AB315,XT!AF315,XT!AJ315)))</f>
        <v>0</v>
      </c>
      <c r="V315" t="str">
        <f>IFERROR(INDEX(CHOOSE({1,2,3,4}, DAY(XT!U315), DAY(XT!Y315), DAY(XT!AC315), DAY(XT!AG315)), MATCH(1, INDEX(--(MONTH(CHOOSE({1,2,3,4}, XT!U315,XT!Y315,XT!AC315,XT!AG315))=6), 0), 0)), "")</f>
        <v/>
      </c>
      <c r="W315" s="51" t="str">
        <f>IF(XT!$P315&gt;0,V315,"")</f>
        <v/>
      </c>
      <c r="X315" s="51" t="str">
        <f>IF(XT!$P315=0,V315,"")</f>
        <v/>
      </c>
      <c r="Y315">
        <f>SUMPRODUCT((MONTH(CHOOSE({1,2,3,4},XT!U315,XT!Y315,XT!AC315,XT!AG315))=7)*(CHOOSE({1,2,3,4},XT!X315,XT!AB315,XT!AF315,XT!AJ315)))</f>
        <v>0</v>
      </c>
      <c r="Z315" t="str">
        <f>IFERROR(INDEX(CHOOSE({1,2,3,4}, DAY(XT!U315), DAY(XT!Y315), DAY(XT!AC315), DAY(XT!AG315)), MATCH(1, INDEX(--(MONTH(CHOOSE({1,2,3,4}, XT!U315,XT!Y315,XT!AC315,XT!AG315))=7), 0), 0)), "")</f>
        <v/>
      </c>
      <c r="AA315" s="51" t="str">
        <f>IF(XT!$P315&gt;0,Z315,"")</f>
        <v/>
      </c>
      <c r="AB315" s="51" t="str">
        <f>IF(XT!$P315=0,Z315,"")</f>
        <v/>
      </c>
      <c r="AC315">
        <f>SUMPRODUCT((MONTH(CHOOSE({1,2,3,4},XT!U315,XT!Y315,XT!AC315,XT!AG315))=8)*(CHOOSE({1,2,3,4},XT!X315,XT!AB315,XT!AF315,XT!AJ315)))</f>
        <v>0</v>
      </c>
      <c r="AD315" t="str">
        <f>IFERROR(INDEX(CHOOSE({1,2,3,4}, DAY(XT!U315), DAY(XT!Y315), DAY(XT!AC315), DAY(XT!AG315)), MATCH(1, INDEX(--(MONTH(CHOOSE({1,2,3,4}, XT!U315,XT!Y315,XT!AC315,XT!AG315))=8), 0), 0)), "")</f>
        <v/>
      </c>
      <c r="AE315" s="51" t="str">
        <f>IF(XT!$P315&gt;0,AD315,"")</f>
        <v/>
      </c>
      <c r="AF315" s="51" t="str">
        <f>IF(XT!$P315=0,AD315,"")</f>
        <v/>
      </c>
      <c r="AG315">
        <f>SUMPRODUCT((MONTH(CHOOSE({1,2,3,4},XT!U315,XT!Y315,XT!AC315,XT!AG315))=9)*(CHOOSE({1,2,3,4},XT!X315,XT!AB315,XT!AF315,XT!AJ315)))</f>
        <v>0</v>
      </c>
      <c r="AH315" t="str">
        <f>IFERROR(INDEX(CHOOSE({1,2,3,4}, DAY(XT!U315), DAY(XT!Y315), DAY(XT!AC315), DAY(XT!AG315)), MATCH(1, INDEX(--(MONTH(CHOOSE({1,2,3,4}, XT!U315,XT!Y315,XT!AC315,XT!AG315))=9), 0), 0)), "")</f>
        <v/>
      </c>
      <c r="AI315" s="51" t="str">
        <f>IF(XT!$P315&gt;0,AH315,"")</f>
        <v/>
      </c>
      <c r="AJ315" s="51" t="str">
        <f>IF(XT!$P315=0,AH315,"")</f>
        <v/>
      </c>
      <c r="AK315">
        <f>SUMPRODUCT((MONTH(CHOOSE({1,2,3,4},XT!U315,XT!Y315,XT!AC315,XT!AG315))=10)*(CHOOSE({1,2,3,4},XT!X315,XT!AB315,XT!AF315,XT!AJ315)))</f>
        <v>0</v>
      </c>
      <c r="AL315" t="str">
        <f>IFERROR(INDEX(CHOOSE({1,2,3,4}, DAY(XT!U315), DAY(XT!Y315), DAY(XT!AC315), DAY(XT!AG315)), MATCH(1, INDEX(--(MONTH(CHOOSE({1,2,3,4}, XT!U315,XT!Y315,XT!AC315,XT!AG315))=10), 0), 0)), "")</f>
        <v/>
      </c>
      <c r="AM315" s="51" t="str">
        <f>IF(XT!$P315&gt;0,AL315,"")</f>
        <v/>
      </c>
      <c r="AN315" s="51" t="str">
        <f>IF(XT!$P315=0,AL315,"")</f>
        <v/>
      </c>
      <c r="AO315">
        <f>SUMPRODUCT((MONTH(CHOOSE({1,2,3,4},XT!U315,XT!Y315,XT!AC315,XT!AG315))=11)*(CHOOSE({1,2,3,4},XT!X315,XT!AB315,XT!AF315,XT!AJ315)))</f>
        <v>0</v>
      </c>
      <c r="AP315" t="str">
        <f>IFERROR(INDEX(CHOOSE({1,2,3,4}, DAY(XT!U315), DAY(XT!Y315), DAY(XT!AC315), DAY(XT!AG315)), MATCH(1, INDEX(--(MONTH(CHOOSE({1,2,3,4}, XT!U315,XT!Y315,XT!AC315,XT!AG315))=11), 0), 0)), "")</f>
        <v/>
      </c>
      <c r="AQ315" s="51" t="str">
        <f>IF(XT!$P315&gt;0,AP315,"")</f>
        <v/>
      </c>
      <c r="AR315" s="51" t="str">
        <f>IF(XT!$P315=0,AP315,"")</f>
        <v/>
      </c>
      <c r="AS315">
        <f>SUMPRODUCT((MONTH(CHOOSE({1,2,3,4},XT!U315,XT!Y315,XT!AC315,XT!AG315))=12)*(CHOOSE({1,2,3,4},XT!X315,XT!AB315,XT!AF315,XT!AJ315)))</f>
        <v>0</v>
      </c>
      <c r="AT315" t="str">
        <f>IFERROR(INDEX(CHOOSE({1,2,3,4}, DAY(XT!U315), DAY(XT!Y315), DAY(XT!AC315), DAY(XT!AG315)), MATCH(1, INDEX(--(MONTH(CHOOSE({1,2,3,4}, XT!U315,XT!Y315,XT!AC315,XT!AG315))=12), 0), 0)), "")</f>
        <v/>
      </c>
      <c r="AU315" s="51" t="str">
        <f>IF(XT!$P315&gt;0,AT315,"")</f>
        <v/>
      </c>
      <c r="AV315" s="51" t="str">
        <f>IF(XT!$P315=0,AT315,"")</f>
        <v/>
      </c>
    </row>
    <row r="316" spans="1:48">
      <c r="A316">
        <f>SUMPRODUCT((MONTH(CHOOSE({1,2,3,4},XT!U316,XT!Y316,XT!AC316,XT!AG316))=1)*(CHOOSE({1,2,3,4},XT!X316,XT!AB316,XT!AF316,XT!AJ316)))</f>
        <v>0</v>
      </c>
      <c r="B316">
        <f>IFERROR(INDEX(CHOOSE({1,2,3,4}, DAY(XT!U316), DAY(XT!Y316), DAY(XT!AC316), DAY(XT!AG316)), MATCH(1, INDEX(--(MONTH(CHOOSE({1,2,3,4}, XT!U316,XT!Y316,XT!AC316,XT!AG316))=1), 0), 0)), "")</f>
        <v>0</v>
      </c>
      <c r="C316" s="51" t="str">
        <f>IF(XT!$P316&gt;0,B316,"")</f>
        <v/>
      </c>
      <c r="D316" s="51">
        <f>IF(XT!$P316=0,B316,"")</f>
        <v>0</v>
      </c>
      <c r="E316">
        <f>SUMPRODUCT((MONTH(CHOOSE({1,2,3,4},XT!U316,XT!Y316,XT!AC316,XT!AG316))=2)*(CHOOSE({1,2,3,4},XT!X316,XT!AB316,XT!AF316,XT!AJ316)))</f>
        <v>0</v>
      </c>
      <c r="F316" t="str">
        <f>IFERROR(INDEX(CHOOSE({1,2,3,4}, DAY(XT!U316), DAY(XT!Y316), DAY(XT!AC316), DAY(XT!AG316)), MATCH(1, INDEX(--(MONTH(CHOOSE({1,2,3,4}, XT!U316,XT!Y316,XT!AC316,XT!AG316))=2), 0), 0)), "")</f>
        <v/>
      </c>
      <c r="G316" s="51" t="str">
        <f>IF(XT!$P316&gt;0,F316,"")</f>
        <v/>
      </c>
      <c r="H316" s="51" t="str">
        <f>IF(XT!$P316=0,F316,"")</f>
        <v/>
      </c>
      <c r="I316">
        <f>SUMPRODUCT((MONTH(CHOOSE({1,2,3,4},XT!U316,XT!Y316,XT!AC316,XT!AG316))=3)*(CHOOSE({1,2,3,4},XT!X316,XT!AB316,XT!AF316,XT!AJ316)))</f>
        <v>0</v>
      </c>
      <c r="J316" t="str">
        <f>IFERROR(INDEX(CHOOSE({1,2,3,4}, DAY(XT!U316), DAY(XT!Y316), DAY(XT!AC316), DAY(XT!AG316)), MATCH(1, INDEX(--(MONTH(CHOOSE({1,2,3,4}, XT!U316,XT!Y316,XT!AC316,XT!AG316))=3), 0), 0)), "")</f>
        <v/>
      </c>
      <c r="K316" s="51" t="str">
        <f>IF(XT!$P316&gt;0,J316,"")</f>
        <v/>
      </c>
      <c r="L316" s="51" t="str">
        <f>IF(XT!$P316=0,J316,"")</f>
        <v/>
      </c>
      <c r="M316">
        <f>SUMPRODUCT((MONTH(CHOOSE({1,2,3,4},XT!U316,XT!Y316,XT!AC316,XT!AG316))=4)*(CHOOSE({1,2,3,4},XT!X316,XT!AB316,XT!AF316,XT!AJ316)))</f>
        <v>0</v>
      </c>
      <c r="N316" t="str">
        <f>IFERROR(INDEX(CHOOSE({1,2,3,4}, DAY(XT!U316), DAY(XT!Y316), DAY(XT!AC316), DAY(XT!AG316)), MATCH(1, INDEX(--(MONTH(CHOOSE({1,2,3,4}, XT!U316,XT!Y316,XT!AC316,XT!AG316))=4), 0), 0)), "")</f>
        <v/>
      </c>
      <c r="O316" s="51" t="str">
        <f>IF(XT!$P316&gt;0,N316,"")</f>
        <v/>
      </c>
      <c r="P316" s="51" t="str">
        <f>IF(XT!$P316=0,N316,"")</f>
        <v/>
      </c>
      <c r="Q316">
        <f>SUMPRODUCT((MONTH(CHOOSE({1,2,3,4},XT!U316,XT!Y316,XT!AC316,XT!AG316))=5)*(CHOOSE({1,2,3,4},XT!X316,XT!AB316,XT!AF316,XT!AJ316)))</f>
        <v>0</v>
      </c>
      <c r="R316" t="str">
        <f>IFERROR(INDEX(CHOOSE({1,2,3,4}, DAY(XT!U316), DAY(XT!Y316), DAY(XT!AC316), DAY(XT!AG316)), MATCH(1, INDEX(--(MONTH(CHOOSE({1,2,3,4}, XT!U316,XT!Y316,XT!AC316,XT!AG316))=5), 0), 0)), "")</f>
        <v/>
      </c>
      <c r="S316" s="51" t="str">
        <f>IF(XT!$P316&gt;0,R316,"")</f>
        <v/>
      </c>
      <c r="T316" s="51" t="str">
        <f>IF(XT!$P316=0,R316,"")</f>
        <v/>
      </c>
      <c r="U316">
        <f>SUMPRODUCT((MONTH(CHOOSE({1,2,3,4},XT!U316,XT!Y316,XT!AC316,XT!AG316))=6)*(CHOOSE({1,2,3,4},XT!X316,XT!AB316,XT!AF316,XT!AJ316)))</f>
        <v>0</v>
      </c>
      <c r="V316" t="str">
        <f>IFERROR(INDEX(CHOOSE({1,2,3,4}, DAY(XT!U316), DAY(XT!Y316), DAY(XT!AC316), DAY(XT!AG316)), MATCH(1, INDEX(--(MONTH(CHOOSE({1,2,3,4}, XT!U316,XT!Y316,XT!AC316,XT!AG316))=6), 0), 0)), "")</f>
        <v/>
      </c>
      <c r="W316" s="51" t="str">
        <f>IF(XT!$P316&gt;0,V316,"")</f>
        <v/>
      </c>
      <c r="X316" s="51" t="str">
        <f>IF(XT!$P316=0,V316,"")</f>
        <v/>
      </c>
      <c r="Y316">
        <f>SUMPRODUCT((MONTH(CHOOSE({1,2,3,4},XT!U316,XT!Y316,XT!AC316,XT!AG316))=7)*(CHOOSE({1,2,3,4},XT!X316,XT!AB316,XT!AF316,XT!AJ316)))</f>
        <v>0</v>
      </c>
      <c r="Z316" t="str">
        <f>IFERROR(INDEX(CHOOSE({1,2,3,4}, DAY(XT!U316), DAY(XT!Y316), DAY(XT!AC316), DAY(XT!AG316)), MATCH(1, INDEX(--(MONTH(CHOOSE({1,2,3,4}, XT!U316,XT!Y316,XT!AC316,XT!AG316))=7), 0), 0)), "")</f>
        <v/>
      </c>
      <c r="AA316" s="51" t="str">
        <f>IF(XT!$P316&gt;0,Z316,"")</f>
        <v/>
      </c>
      <c r="AB316" s="51" t="str">
        <f>IF(XT!$P316=0,Z316,"")</f>
        <v/>
      </c>
      <c r="AC316">
        <f>SUMPRODUCT((MONTH(CHOOSE({1,2,3,4},XT!U316,XT!Y316,XT!AC316,XT!AG316))=8)*(CHOOSE({1,2,3,4},XT!X316,XT!AB316,XT!AF316,XT!AJ316)))</f>
        <v>0</v>
      </c>
      <c r="AD316" t="str">
        <f>IFERROR(INDEX(CHOOSE({1,2,3,4}, DAY(XT!U316), DAY(XT!Y316), DAY(XT!AC316), DAY(XT!AG316)), MATCH(1, INDEX(--(MONTH(CHOOSE({1,2,3,4}, XT!U316,XT!Y316,XT!AC316,XT!AG316))=8), 0), 0)), "")</f>
        <v/>
      </c>
      <c r="AE316" s="51" t="str">
        <f>IF(XT!$P316&gt;0,AD316,"")</f>
        <v/>
      </c>
      <c r="AF316" s="51" t="str">
        <f>IF(XT!$P316=0,AD316,"")</f>
        <v/>
      </c>
      <c r="AG316">
        <f>SUMPRODUCT((MONTH(CHOOSE({1,2,3,4},XT!U316,XT!Y316,XT!AC316,XT!AG316))=9)*(CHOOSE({1,2,3,4},XT!X316,XT!AB316,XT!AF316,XT!AJ316)))</f>
        <v>0</v>
      </c>
      <c r="AH316" t="str">
        <f>IFERROR(INDEX(CHOOSE({1,2,3,4}, DAY(XT!U316), DAY(XT!Y316), DAY(XT!AC316), DAY(XT!AG316)), MATCH(1, INDEX(--(MONTH(CHOOSE({1,2,3,4}, XT!U316,XT!Y316,XT!AC316,XT!AG316))=9), 0), 0)), "")</f>
        <v/>
      </c>
      <c r="AI316" s="51" t="str">
        <f>IF(XT!$P316&gt;0,AH316,"")</f>
        <v/>
      </c>
      <c r="AJ316" s="51" t="str">
        <f>IF(XT!$P316=0,AH316,"")</f>
        <v/>
      </c>
      <c r="AK316">
        <f>SUMPRODUCT((MONTH(CHOOSE({1,2,3,4},XT!U316,XT!Y316,XT!AC316,XT!AG316))=10)*(CHOOSE({1,2,3,4},XT!X316,XT!AB316,XT!AF316,XT!AJ316)))</f>
        <v>0</v>
      </c>
      <c r="AL316" t="str">
        <f>IFERROR(INDEX(CHOOSE({1,2,3,4}, DAY(XT!U316), DAY(XT!Y316), DAY(XT!AC316), DAY(XT!AG316)), MATCH(1, INDEX(--(MONTH(CHOOSE({1,2,3,4}, XT!U316,XT!Y316,XT!AC316,XT!AG316))=10), 0), 0)), "")</f>
        <v/>
      </c>
      <c r="AM316" s="51" t="str">
        <f>IF(XT!$P316&gt;0,AL316,"")</f>
        <v/>
      </c>
      <c r="AN316" s="51" t="str">
        <f>IF(XT!$P316=0,AL316,"")</f>
        <v/>
      </c>
      <c r="AO316">
        <f>SUMPRODUCT((MONTH(CHOOSE({1,2,3,4},XT!U316,XT!Y316,XT!AC316,XT!AG316))=11)*(CHOOSE({1,2,3,4},XT!X316,XT!AB316,XT!AF316,XT!AJ316)))</f>
        <v>0</v>
      </c>
      <c r="AP316" t="str">
        <f>IFERROR(INDEX(CHOOSE({1,2,3,4}, DAY(XT!U316), DAY(XT!Y316), DAY(XT!AC316), DAY(XT!AG316)), MATCH(1, INDEX(--(MONTH(CHOOSE({1,2,3,4}, XT!U316,XT!Y316,XT!AC316,XT!AG316))=11), 0), 0)), "")</f>
        <v/>
      </c>
      <c r="AQ316" s="51" t="str">
        <f>IF(XT!$P316&gt;0,AP316,"")</f>
        <v/>
      </c>
      <c r="AR316" s="51" t="str">
        <f>IF(XT!$P316=0,AP316,"")</f>
        <v/>
      </c>
      <c r="AS316">
        <f>SUMPRODUCT((MONTH(CHOOSE({1,2,3,4},XT!U316,XT!Y316,XT!AC316,XT!AG316))=12)*(CHOOSE({1,2,3,4},XT!X316,XT!AB316,XT!AF316,XT!AJ316)))</f>
        <v>0</v>
      </c>
      <c r="AT316" t="str">
        <f>IFERROR(INDEX(CHOOSE({1,2,3,4}, DAY(XT!U316), DAY(XT!Y316), DAY(XT!AC316), DAY(XT!AG316)), MATCH(1, INDEX(--(MONTH(CHOOSE({1,2,3,4}, XT!U316,XT!Y316,XT!AC316,XT!AG316))=12), 0), 0)), "")</f>
        <v/>
      </c>
      <c r="AU316" s="51" t="str">
        <f>IF(XT!$P316&gt;0,AT316,"")</f>
        <v/>
      </c>
      <c r="AV316" s="51" t="str">
        <f>IF(XT!$P316=0,AT316,"")</f>
        <v/>
      </c>
    </row>
    <row r="317" spans="1:48">
      <c r="A317">
        <f>SUMPRODUCT((MONTH(CHOOSE({1,2,3,4},XT!U317,XT!Y317,XT!AC317,XT!AG317))=1)*(CHOOSE({1,2,3,4},XT!X317,XT!AB317,XT!AF317,XT!AJ317)))</f>
        <v>0</v>
      </c>
      <c r="B317">
        <f>IFERROR(INDEX(CHOOSE({1,2,3,4}, DAY(XT!U317), DAY(XT!Y317), DAY(XT!AC317), DAY(XT!AG317)), MATCH(1, INDEX(--(MONTH(CHOOSE({1,2,3,4}, XT!U317,XT!Y317,XT!AC317,XT!AG317))=1), 0), 0)), "")</f>
        <v>0</v>
      </c>
      <c r="C317" s="51" t="str">
        <f>IF(XT!$P317&gt;0,B317,"")</f>
        <v/>
      </c>
      <c r="D317" s="51">
        <f>IF(XT!$P317=0,B317,"")</f>
        <v>0</v>
      </c>
      <c r="E317">
        <f>SUMPRODUCT((MONTH(CHOOSE({1,2,3,4},XT!U317,XT!Y317,XT!AC317,XT!AG317))=2)*(CHOOSE({1,2,3,4},XT!X317,XT!AB317,XT!AF317,XT!AJ317)))</f>
        <v>0</v>
      </c>
      <c r="F317" t="str">
        <f>IFERROR(INDEX(CHOOSE({1,2,3,4}, DAY(XT!U317), DAY(XT!Y317), DAY(XT!AC317), DAY(XT!AG317)), MATCH(1, INDEX(--(MONTH(CHOOSE({1,2,3,4}, XT!U317,XT!Y317,XT!AC317,XT!AG317))=2), 0), 0)), "")</f>
        <v/>
      </c>
      <c r="G317" s="51" t="str">
        <f>IF(XT!$P317&gt;0,F317,"")</f>
        <v/>
      </c>
      <c r="H317" s="51" t="str">
        <f>IF(XT!$P317=0,F317,"")</f>
        <v/>
      </c>
      <c r="I317">
        <f>SUMPRODUCT((MONTH(CHOOSE({1,2,3,4},XT!U317,XT!Y317,XT!AC317,XT!AG317))=3)*(CHOOSE({1,2,3,4},XT!X317,XT!AB317,XT!AF317,XT!AJ317)))</f>
        <v>0</v>
      </c>
      <c r="J317" t="str">
        <f>IFERROR(INDEX(CHOOSE({1,2,3,4}, DAY(XT!U317), DAY(XT!Y317), DAY(XT!AC317), DAY(XT!AG317)), MATCH(1, INDEX(--(MONTH(CHOOSE({1,2,3,4}, XT!U317,XT!Y317,XT!AC317,XT!AG317))=3), 0), 0)), "")</f>
        <v/>
      </c>
      <c r="K317" s="51" t="str">
        <f>IF(XT!$P317&gt;0,J317,"")</f>
        <v/>
      </c>
      <c r="L317" s="51" t="str">
        <f>IF(XT!$P317=0,J317,"")</f>
        <v/>
      </c>
      <c r="M317">
        <f>SUMPRODUCT((MONTH(CHOOSE({1,2,3,4},XT!U317,XT!Y317,XT!AC317,XT!AG317))=4)*(CHOOSE({1,2,3,4},XT!X317,XT!AB317,XT!AF317,XT!AJ317)))</f>
        <v>0</v>
      </c>
      <c r="N317" t="str">
        <f>IFERROR(INDEX(CHOOSE({1,2,3,4}, DAY(XT!U317), DAY(XT!Y317), DAY(XT!AC317), DAY(XT!AG317)), MATCH(1, INDEX(--(MONTH(CHOOSE({1,2,3,4}, XT!U317,XT!Y317,XT!AC317,XT!AG317))=4), 0), 0)), "")</f>
        <v/>
      </c>
      <c r="O317" s="51" t="str">
        <f>IF(XT!$P317&gt;0,N317,"")</f>
        <v/>
      </c>
      <c r="P317" s="51" t="str">
        <f>IF(XT!$P317=0,N317,"")</f>
        <v/>
      </c>
      <c r="Q317">
        <f>SUMPRODUCT((MONTH(CHOOSE({1,2,3,4},XT!U317,XT!Y317,XT!AC317,XT!AG317))=5)*(CHOOSE({1,2,3,4},XT!X317,XT!AB317,XT!AF317,XT!AJ317)))</f>
        <v>0</v>
      </c>
      <c r="R317" t="str">
        <f>IFERROR(INDEX(CHOOSE({1,2,3,4}, DAY(XT!U317), DAY(XT!Y317), DAY(XT!AC317), DAY(XT!AG317)), MATCH(1, INDEX(--(MONTH(CHOOSE({1,2,3,4}, XT!U317,XT!Y317,XT!AC317,XT!AG317))=5), 0), 0)), "")</f>
        <v/>
      </c>
      <c r="S317" s="51" t="str">
        <f>IF(XT!$P317&gt;0,R317,"")</f>
        <v/>
      </c>
      <c r="T317" s="51" t="str">
        <f>IF(XT!$P317=0,R317,"")</f>
        <v/>
      </c>
      <c r="U317">
        <f>SUMPRODUCT((MONTH(CHOOSE({1,2,3,4},XT!U317,XT!Y317,XT!AC317,XT!AG317))=6)*(CHOOSE({1,2,3,4},XT!X317,XT!AB317,XT!AF317,XT!AJ317)))</f>
        <v>0</v>
      </c>
      <c r="V317" t="str">
        <f>IFERROR(INDEX(CHOOSE({1,2,3,4}, DAY(XT!U317), DAY(XT!Y317), DAY(XT!AC317), DAY(XT!AG317)), MATCH(1, INDEX(--(MONTH(CHOOSE({1,2,3,4}, XT!U317,XT!Y317,XT!AC317,XT!AG317))=6), 0), 0)), "")</f>
        <v/>
      </c>
      <c r="W317" s="51" t="str">
        <f>IF(XT!$P317&gt;0,V317,"")</f>
        <v/>
      </c>
      <c r="X317" s="51" t="str">
        <f>IF(XT!$P317=0,V317,"")</f>
        <v/>
      </c>
      <c r="Y317">
        <f>SUMPRODUCT((MONTH(CHOOSE({1,2,3,4},XT!U317,XT!Y317,XT!AC317,XT!AG317))=7)*(CHOOSE({1,2,3,4},XT!X317,XT!AB317,XT!AF317,XT!AJ317)))</f>
        <v>0</v>
      </c>
      <c r="Z317" t="str">
        <f>IFERROR(INDEX(CHOOSE({1,2,3,4}, DAY(XT!U317), DAY(XT!Y317), DAY(XT!AC317), DAY(XT!AG317)), MATCH(1, INDEX(--(MONTH(CHOOSE({1,2,3,4}, XT!U317,XT!Y317,XT!AC317,XT!AG317))=7), 0), 0)), "")</f>
        <v/>
      </c>
      <c r="AA317" s="51" t="str">
        <f>IF(XT!$P317&gt;0,Z317,"")</f>
        <v/>
      </c>
      <c r="AB317" s="51" t="str">
        <f>IF(XT!$P317=0,Z317,"")</f>
        <v/>
      </c>
      <c r="AC317">
        <f>SUMPRODUCT((MONTH(CHOOSE({1,2,3,4},XT!U317,XT!Y317,XT!AC317,XT!AG317))=8)*(CHOOSE({1,2,3,4},XT!X317,XT!AB317,XT!AF317,XT!AJ317)))</f>
        <v>0</v>
      </c>
      <c r="AD317" t="str">
        <f>IFERROR(INDEX(CHOOSE({1,2,3,4}, DAY(XT!U317), DAY(XT!Y317), DAY(XT!AC317), DAY(XT!AG317)), MATCH(1, INDEX(--(MONTH(CHOOSE({1,2,3,4}, XT!U317,XT!Y317,XT!AC317,XT!AG317))=8), 0), 0)), "")</f>
        <v/>
      </c>
      <c r="AE317" s="51" t="str">
        <f>IF(XT!$P317&gt;0,AD317,"")</f>
        <v/>
      </c>
      <c r="AF317" s="51" t="str">
        <f>IF(XT!$P317=0,AD317,"")</f>
        <v/>
      </c>
      <c r="AG317">
        <f>SUMPRODUCT((MONTH(CHOOSE({1,2,3,4},XT!U317,XT!Y317,XT!AC317,XT!AG317))=9)*(CHOOSE({1,2,3,4},XT!X317,XT!AB317,XT!AF317,XT!AJ317)))</f>
        <v>0</v>
      </c>
      <c r="AH317" t="str">
        <f>IFERROR(INDEX(CHOOSE({1,2,3,4}, DAY(XT!U317), DAY(XT!Y317), DAY(XT!AC317), DAY(XT!AG317)), MATCH(1, INDEX(--(MONTH(CHOOSE({1,2,3,4}, XT!U317,XT!Y317,XT!AC317,XT!AG317))=9), 0), 0)), "")</f>
        <v/>
      </c>
      <c r="AI317" s="51" t="str">
        <f>IF(XT!$P317&gt;0,AH317,"")</f>
        <v/>
      </c>
      <c r="AJ317" s="51" t="str">
        <f>IF(XT!$P317=0,AH317,"")</f>
        <v/>
      </c>
      <c r="AK317">
        <f>SUMPRODUCT((MONTH(CHOOSE({1,2,3,4},XT!U317,XT!Y317,XT!AC317,XT!AG317))=10)*(CHOOSE({1,2,3,4},XT!X317,XT!AB317,XT!AF317,XT!AJ317)))</f>
        <v>0</v>
      </c>
      <c r="AL317" t="str">
        <f>IFERROR(INDEX(CHOOSE({1,2,3,4}, DAY(XT!U317), DAY(XT!Y317), DAY(XT!AC317), DAY(XT!AG317)), MATCH(1, INDEX(--(MONTH(CHOOSE({1,2,3,4}, XT!U317,XT!Y317,XT!AC317,XT!AG317))=10), 0), 0)), "")</f>
        <v/>
      </c>
      <c r="AM317" s="51" t="str">
        <f>IF(XT!$P317&gt;0,AL317,"")</f>
        <v/>
      </c>
      <c r="AN317" s="51" t="str">
        <f>IF(XT!$P317=0,AL317,"")</f>
        <v/>
      </c>
      <c r="AO317">
        <f>SUMPRODUCT((MONTH(CHOOSE({1,2,3,4},XT!U317,XT!Y317,XT!AC317,XT!AG317))=11)*(CHOOSE({1,2,3,4},XT!X317,XT!AB317,XT!AF317,XT!AJ317)))</f>
        <v>0</v>
      </c>
      <c r="AP317" t="str">
        <f>IFERROR(INDEX(CHOOSE({1,2,3,4}, DAY(XT!U317), DAY(XT!Y317), DAY(XT!AC317), DAY(XT!AG317)), MATCH(1, INDEX(--(MONTH(CHOOSE({1,2,3,4}, XT!U317,XT!Y317,XT!AC317,XT!AG317))=11), 0), 0)), "")</f>
        <v/>
      </c>
      <c r="AQ317" s="51" t="str">
        <f>IF(XT!$P317&gt;0,AP317,"")</f>
        <v/>
      </c>
      <c r="AR317" s="51" t="str">
        <f>IF(XT!$P317=0,AP317,"")</f>
        <v/>
      </c>
      <c r="AS317">
        <f>SUMPRODUCT((MONTH(CHOOSE({1,2,3,4},XT!U317,XT!Y317,XT!AC317,XT!AG317))=12)*(CHOOSE({1,2,3,4},XT!X317,XT!AB317,XT!AF317,XT!AJ317)))</f>
        <v>0</v>
      </c>
      <c r="AT317" t="str">
        <f>IFERROR(INDEX(CHOOSE({1,2,3,4}, DAY(XT!U317), DAY(XT!Y317), DAY(XT!AC317), DAY(XT!AG317)), MATCH(1, INDEX(--(MONTH(CHOOSE({1,2,3,4}, XT!U317,XT!Y317,XT!AC317,XT!AG317))=12), 0), 0)), "")</f>
        <v/>
      </c>
      <c r="AU317" s="51" t="str">
        <f>IF(XT!$P317&gt;0,AT317,"")</f>
        <v/>
      </c>
      <c r="AV317" s="51" t="str">
        <f>IF(XT!$P317=0,AT317,"")</f>
        <v/>
      </c>
    </row>
    <row r="318" spans="1:48">
      <c r="A318">
        <f>SUMPRODUCT((MONTH(CHOOSE({1,2,3,4},XT!U318,XT!Y318,XT!AC318,XT!AG318))=1)*(CHOOSE({1,2,3,4},XT!X318,XT!AB318,XT!AF318,XT!AJ318)))</f>
        <v>0</v>
      </c>
      <c r="B318">
        <f>IFERROR(INDEX(CHOOSE({1,2,3,4}, DAY(XT!U318), DAY(XT!Y318), DAY(XT!AC318), DAY(XT!AG318)), MATCH(1, INDEX(--(MONTH(CHOOSE({1,2,3,4}, XT!U318,XT!Y318,XT!AC318,XT!AG318))=1), 0), 0)), "")</f>
        <v>0</v>
      </c>
      <c r="C318" s="51" t="str">
        <f>IF(XT!$P318&gt;0,B318,"")</f>
        <v/>
      </c>
      <c r="D318" s="51">
        <f>IF(XT!$P318=0,B318,"")</f>
        <v>0</v>
      </c>
      <c r="E318">
        <f>SUMPRODUCT((MONTH(CHOOSE({1,2,3,4},XT!U318,XT!Y318,XT!AC318,XT!AG318))=2)*(CHOOSE({1,2,3,4},XT!X318,XT!AB318,XT!AF318,XT!AJ318)))</f>
        <v>0</v>
      </c>
      <c r="F318" t="str">
        <f>IFERROR(INDEX(CHOOSE({1,2,3,4}, DAY(XT!U318), DAY(XT!Y318), DAY(XT!AC318), DAY(XT!AG318)), MATCH(1, INDEX(--(MONTH(CHOOSE({1,2,3,4}, XT!U318,XT!Y318,XT!AC318,XT!AG318))=2), 0), 0)), "")</f>
        <v/>
      </c>
      <c r="G318" s="51" t="str">
        <f>IF(XT!$P318&gt;0,F318,"")</f>
        <v/>
      </c>
      <c r="H318" s="51" t="str">
        <f>IF(XT!$P318=0,F318,"")</f>
        <v/>
      </c>
      <c r="I318">
        <f>SUMPRODUCT((MONTH(CHOOSE({1,2,3,4},XT!U318,XT!Y318,XT!AC318,XT!AG318))=3)*(CHOOSE({1,2,3,4},XT!X318,XT!AB318,XT!AF318,XT!AJ318)))</f>
        <v>0</v>
      </c>
      <c r="J318" t="str">
        <f>IFERROR(INDEX(CHOOSE({1,2,3,4}, DAY(XT!U318), DAY(XT!Y318), DAY(XT!AC318), DAY(XT!AG318)), MATCH(1, INDEX(--(MONTH(CHOOSE({1,2,3,4}, XT!U318,XT!Y318,XT!AC318,XT!AG318))=3), 0), 0)), "")</f>
        <v/>
      </c>
      <c r="K318" s="51" t="str">
        <f>IF(XT!$P318&gt;0,J318,"")</f>
        <v/>
      </c>
      <c r="L318" s="51" t="str">
        <f>IF(XT!$P318=0,J318,"")</f>
        <v/>
      </c>
      <c r="M318">
        <f>SUMPRODUCT((MONTH(CHOOSE({1,2,3,4},XT!U318,XT!Y318,XT!AC318,XT!AG318))=4)*(CHOOSE({1,2,3,4},XT!X318,XT!AB318,XT!AF318,XT!AJ318)))</f>
        <v>0</v>
      </c>
      <c r="N318" t="str">
        <f>IFERROR(INDEX(CHOOSE({1,2,3,4}, DAY(XT!U318), DAY(XT!Y318), DAY(XT!AC318), DAY(XT!AG318)), MATCH(1, INDEX(--(MONTH(CHOOSE({1,2,3,4}, XT!U318,XT!Y318,XT!AC318,XT!AG318))=4), 0), 0)), "")</f>
        <v/>
      </c>
      <c r="O318" s="51" t="str">
        <f>IF(XT!$P318&gt;0,N318,"")</f>
        <v/>
      </c>
      <c r="P318" s="51" t="str">
        <f>IF(XT!$P318=0,N318,"")</f>
        <v/>
      </c>
      <c r="Q318">
        <f>SUMPRODUCT((MONTH(CHOOSE({1,2,3,4},XT!U318,XT!Y318,XT!AC318,XT!AG318))=5)*(CHOOSE({1,2,3,4},XT!X318,XT!AB318,XT!AF318,XT!AJ318)))</f>
        <v>0</v>
      </c>
      <c r="R318" t="str">
        <f>IFERROR(INDEX(CHOOSE({1,2,3,4}, DAY(XT!U318), DAY(XT!Y318), DAY(XT!AC318), DAY(XT!AG318)), MATCH(1, INDEX(--(MONTH(CHOOSE({1,2,3,4}, XT!U318,XT!Y318,XT!AC318,XT!AG318))=5), 0), 0)), "")</f>
        <v/>
      </c>
      <c r="S318" s="51" t="str">
        <f>IF(XT!$P318&gt;0,R318,"")</f>
        <v/>
      </c>
      <c r="T318" s="51" t="str">
        <f>IF(XT!$P318=0,R318,"")</f>
        <v/>
      </c>
      <c r="U318">
        <f>SUMPRODUCT((MONTH(CHOOSE({1,2,3,4},XT!U318,XT!Y318,XT!AC318,XT!AG318))=6)*(CHOOSE({1,2,3,4},XT!X318,XT!AB318,XT!AF318,XT!AJ318)))</f>
        <v>0</v>
      </c>
      <c r="V318" t="str">
        <f>IFERROR(INDEX(CHOOSE({1,2,3,4}, DAY(XT!U318), DAY(XT!Y318), DAY(XT!AC318), DAY(XT!AG318)), MATCH(1, INDEX(--(MONTH(CHOOSE({1,2,3,4}, XT!U318,XT!Y318,XT!AC318,XT!AG318))=6), 0), 0)), "")</f>
        <v/>
      </c>
      <c r="W318" s="51" t="str">
        <f>IF(XT!$P318&gt;0,V318,"")</f>
        <v/>
      </c>
      <c r="X318" s="51" t="str">
        <f>IF(XT!$P318=0,V318,"")</f>
        <v/>
      </c>
      <c r="Y318">
        <f>SUMPRODUCT((MONTH(CHOOSE({1,2,3,4},XT!U318,XT!Y318,XT!AC318,XT!AG318))=7)*(CHOOSE({1,2,3,4},XT!X318,XT!AB318,XT!AF318,XT!AJ318)))</f>
        <v>0</v>
      </c>
      <c r="Z318" t="str">
        <f>IFERROR(INDEX(CHOOSE({1,2,3,4}, DAY(XT!U318), DAY(XT!Y318), DAY(XT!AC318), DAY(XT!AG318)), MATCH(1, INDEX(--(MONTH(CHOOSE({1,2,3,4}, XT!U318,XT!Y318,XT!AC318,XT!AG318))=7), 0), 0)), "")</f>
        <v/>
      </c>
      <c r="AA318" s="51" t="str">
        <f>IF(XT!$P318&gt;0,Z318,"")</f>
        <v/>
      </c>
      <c r="AB318" s="51" t="str">
        <f>IF(XT!$P318=0,Z318,"")</f>
        <v/>
      </c>
      <c r="AC318">
        <f>SUMPRODUCT((MONTH(CHOOSE({1,2,3,4},XT!U318,XT!Y318,XT!AC318,XT!AG318))=8)*(CHOOSE({1,2,3,4},XT!X318,XT!AB318,XT!AF318,XT!AJ318)))</f>
        <v>0</v>
      </c>
      <c r="AD318" t="str">
        <f>IFERROR(INDEX(CHOOSE({1,2,3,4}, DAY(XT!U318), DAY(XT!Y318), DAY(XT!AC318), DAY(XT!AG318)), MATCH(1, INDEX(--(MONTH(CHOOSE({1,2,3,4}, XT!U318,XT!Y318,XT!AC318,XT!AG318))=8), 0), 0)), "")</f>
        <v/>
      </c>
      <c r="AE318" s="51" t="str">
        <f>IF(XT!$P318&gt;0,AD318,"")</f>
        <v/>
      </c>
      <c r="AF318" s="51" t="str">
        <f>IF(XT!$P318=0,AD318,"")</f>
        <v/>
      </c>
      <c r="AG318">
        <f>SUMPRODUCT((MONTH(CHOOSE({1,2,3,4},XT!U318,XT!Y318,XT!AC318,XT!AG318))=9)*(CHOOSE({1,2,3,4},XT!X318,XT!AB318,XT!AF318,XT!AJ318)))</f>
        <v>0</v>
      </c>
      <c r="AH318" t="str">
        <f>IFERROR(INDEX(CHOOSE({1,2,3,4}, DAY(XT!U318), DAY(XT!Y318), DAY(XT!AC318), DAY(XT!AG318)), MATCH(1, INDEX(--(MONTH(CHOOSE({1,2,3,4}, XT!U318,XT!Y318,XT!AC318,XT!AG318))=9), 0), 0)), "")</f>
        <v/>
      </c>
      <c r="AI318" s="51" t="str">
        <f>IF(XT!$P318&gt;0,AH318,"")</f>
        <v/>
      </c>
      <c r="AJ318" s="51" t="str">
        <f>IF(XT!$P318=0,AH318,"")</f>
        <v/>
      </c>
      <c r="AK318">
        <f>SUMPRODUCT((MONTH(CHOOSE({1,2,3,4},XT!U318,XT!Y318,XT!AC318,XT!AG318))=10)*(CHOOSE({1,2,3,4},XT!X318,XT!AB318,XT!AF318,XT!AJ318)))</f>
        <v>0</v>
      </c>
      <c r="AL318" t="str">
        <f>IFERROR(INDEX(CHOOSE({1,2,3,4}, DAY(XT!U318), DAY(XT!Y318), DAY(XT!AC318), DAY(XT!AG318)), MATCH(1, INDEX(--(MONTH(CHOOSE({1,2,3,4}, XT!U318,XT!Y318,XT!AC318,XT!AG318))=10), 0), 0)), "")</f>
        <v/>
      </c>
      <c r="AM318" s="51" t="str">
        <f>IF(XT!$P318&gt;0,AL318,"")</f>
        <v/>
      </c>
      <c r="AN318" s="51" t="str">
        <f>IF(XT!$P318=0,AL318,"")</f>
        <v/>
      </c>
      <c r="AO318">
        <f>SUMPRODUCT((MONTH(CHOOSE({1,2,3,4},XT!U318,XT!Y318,XT!AC318,XT!AG318))=11)*(CHOOSE({1,2,3,4},XT!X318,XT!AB318,XT!AF318,XT!AJ318)))</f>
        <v>0</v>
      </c>
      <c r="AP318" t="str">
        <f>IFERROR(INDEX(CHOOSE({1,2,3,4}, DAY(XT!U318), DAY(XT!Y318), DAY(XT!AC318), DAY(XT!AG318)), MATCH(1, INDEX(--(MONTH(CHOOSE({1,2,3,4}, XT!U318,XT!Y318,XT!AC318,XT!AG318))=11), 0), 0)), "")</f>
        <v/>
      </c>
      <c r="AQ318" s="51" t="str">
        <f>IF(XT!$P318&gt;0,AP318,"")</f>
        <v/>
      </c>
      <c r="AR318" s="51" t="str">
        <f>IF(XT!$P318=0,AP318,"")</f>
        <v/>
      </c>
      <c r="AS318">
        <f>SUMPRODUCT((MONTH(CHOOSE({1,2,3,4},XT!U318,XT!Y318,XT!AC318,XT!AG318))=12)*(CHOOSE({1,2,3,4},XT!X318,XT!AB318,XT!AF318,XT!AJ318)))</f>
        <v>0</v>
      </c>
      <c r="AT318" t="str">
        <f>IFERROR(INDEX(CHOOSE({1,2,3,4}, DAY(XT!U318), DAY(XT!Y318), DAY(XT!AC318), DAY(XT!AG318)), MATCH(1, INDEX(--(MONTH(CHOOSE({1,2,3,4}, XT!U318,XT!Y318,XT!AC318,XT!AG318))=12), 0), 0)), "")</f>
        <v/>
      </c>
      <c r="AU318" s="51" t="str">
        <f>IF(XT!$P318&gt;0,AT318,"")</f>
        <v/>
      </c>
      <c r="AV318" s="51" t="str">
        <f>IF(XT!$P318=0,AT318,"")</f>
        <v/>
      </c>
    </row>
    <row r="319" spans="1:48">
      <c r="A319">
        <f>SUMPRODUCT((MONTH(CHOOSE({1,2,3,4},XT!U319,XT!Y319,XT!AC319,XT!AG319))=1)*(CHOOSE({1,2,3,4},XT!X319,XT!AB319,XT!AF319,XT!AJ319)))</f>
        <v>0</v>
      </c>
      <c r="B319">
        <f>IFERROR(INDEX(CHOOSE({1,2,3,4}, DAY(XT!U319), DAY(XT!Y319), DAY(XT!AC319), DAY(XT!AG319)), MATCH(1, INDEX(--(MONTH(CHOOSE({1,2,3,4}, XT!U319,XT!Y319,XT!AC319,XT!AG319))=1), 0), 0)), "")</f>
        <v>0</v>
      </c>
      <c r="C319" s="51" t="str">
        <f>IF(XT!$P319&gt;0,B319,"")</f>
        <v/>
      </c>
      <c r="D319" s="51">
        <f>IF(XT!$P319=0,B319,"")</f>
        <v>0</v>
      </c>
      <c r="E319">
        <f>SUMPRODUCT((MONTH(CHOOSE({1,2,3,4},XT!U319,XT!Y319,XT!AC319,XT!AG319))=2)*(CHOOSE({1,2,3,4},XT!X319,XT!AB319,XT!AF319,XT!AJ319)))</f>
        <v>0</v>
      </c>
      <c r="F319" t="str">
        <f>IFERROR(INDEX(CHOOSE({1,2,3,4}, DAY(XT!U319), DAY(XT!Y319), DAY(XT!AC319), DAY(XT!AG319)), MATCH(1, INDEX(--(MONTH(CHOOSE({1,2,3,4}, XT!U319,XT!Y319,XT!AC319,XT!AG319))=2), 0), 0)), "")</f>
        <v/>
      </c>
      <c r="G319" s="51" t="str">
        <f>IF(XT!$P319&gt;0,F319,"")</f>
        <v/>
      </c>
      <c r="H319" s="51" t="str">
        <f>IF(XT!$P319=0,F319,"")</f>
        <v/>
      </c>
      <c r="I319">
        <f>SUMPRODUCT((MONTH(CHOOSE({1,2,3,4},XT!U319,XT!Y319,XT!AC319,XT!AG319))=3)*(CHOOSE({1,2,3,4},XT!X319,XT!AB319,XT!AF319,XT!AJ319)))</f>
        <v>0</v>
      </c>
      <c r="J319" t="str">
        <f>IFERROR(INDEX(CHOOSE({1,2,3,4}, DAY(XT!U319), DAY(XT!Y319), DAY(XT!AC319), DAY(XT!AG319)), MATCH(1, INDEX(--(MONTH(CHOOSE({1,2,3,4}, XT!U319,XT!Y319,XT!AC319,XT!AG319))=3), 0), 0)), "")</f>
        <v/>
      </c>
      <c r="K319" s="51" t="str">
        <f>IF(XT!$P319&gt;0,J319,"")</f>
        <v/>
      </c>
      <c r="L319" s="51" t="str">
        <f>IF(XT!$P319=0,J319,"")</f>
        <v/>
      </c>
      <c r="M319">
        <f>SUMPRODUCT((MONTH(CHOOSE({1,2,3,4},XT!U319,XT!Y319,XT!AC319,XT!AG319))=4)*(CHOOSE({1,2,3,4},XT!X319,XT!AB319,XT!AF319,XT!AJ319)))</f>
        <v>0</v>
      </c>
      <c r="N319" t="str">
        <f>IFERROR(INDEX(CHOOSE({1,2,3,4}, DAY(XT!U319), DAY(XT!Y319), DAY(XT!AC319), DAY(XT!AG319)), MATCH(1, INDEX(--(MONTH(CHOOSE({1,2,3,4}, XT!U319,XT!Y319,XT!AC319,XT!AG319))=4), 0), 0)), "")</f>
        <v/>
      </c>
      <c r="O319" s="51" t="str">
        <f>IF(XT!$P319&gt;0,N319,"")</f>
        <v/>
      </c>
      <c r="P319" s="51" t="str">
        <f>IF(XT!$P319=0,N319,"")</f>
        <v/>
      </c>
      <c r="Q319">
        <f>SUMPRODUCT((MONTH(CHOOSE({1,2,3,4},XT!U319,XT!Y319,XT!AC319,XT!AG319))=5)*(CHOOSE({1,2,3,4},XT!X319,XT!AB319,XT!AF319,XT!AJ319)))</f>
        <v>0</v>
      </c>
      <c r="R319" t="str">
        <f>IFERROR(INDEX(CHOOSE({1,2,3,4}, DAY(XT!U319), DAY(XT!Y319), DAY(XT!AC319), DAY(XT!AG319)), MATCH(1, INDEX(--(MONTH(CHOOSE({1,2,3,4}, XT!U319,XT!Y319,XT!AC319,XT!AG319))=5), 0), 0)), "")</f>
        <v/>
      </c>
      <c r="S319" s="51" t="str">
        <f>IF(XT!$P319&gt;0,R319,"")</f>
        <v/>
      </c>
      <c r="T319" s="51" t="str">
        <f>IF(XT!$P319=0,R319,"")</f>
        <v/>
      </c>
      <c r="U319">
        <f>SUMPRODUCT((MONTH(CHOOSE({1,2,3,4},XT!U319,XT!Y319,XT!AC319,XT!AG319))=6)*(CHOOSE({1,2,3,4},XT!X319,XT!AB319,XT!AF319,XT!AJ319)))</f>
        <v>0</v>
      </c>
      <c r="V319" t="str">
        <f>IFERROR(INDEX(CHOOSE({1,2,3,4}, DAY(XT!U319), DAY(XT!Y319), DAY(XT!AC319), DAY(XT!AG319)), MATCH(1, INDEX(--(MONTH(CHOOSE({1,2,3,4}, XT!U319,XT!Y319,XT!AC319,XT!AG319))=6), 0), 0)), "")</f>
        <v/>
      </c>
      <c r="W319" s="51" t="str">
        <f>IF(XT!$P319&gt;0,V319,"")</f>
        <v/>
      </c>
      <c r="X319" s="51" t="str">
        <f>IF(XT!$P319=0,V319,"")</f>
        <v/>
      </c>
      <c r="Y319">
        <f>SUMPRODUCT((MONTH(CHOOSE({1,2,3,4},XT!U319,XT!Y319,XT!AC319,XT!AG319))=7)*(CHOOSE({1,2,3,4},XT!X319,XT!AB319,XT!AF319,XT!AJ319)))</f>
        <v>0</v>
      </c>
      <c r="Z319" t="str">
        <f>IFERROR(INDEX(CHOOSE({1,2,3,4}, DAY(XT!U319), DAY(XT!Y319), DAY(XT!AC319), DAY(XT!AG319)), MATCH(1, INDEX(--(MONTH(CHOOSE({1,2,3,4}, XT!U319,XT!Y319,XT!AC319,XT!AG319))=7), 0), 0)), "")</f>
        <v/>
      </c>
      <c r="AA319" s="51" t="str">
        <f>IF(XT!$P319&gt;0,Z319,"")</f>
        <v/>
      </c>
      <c r="AB319" s="51" t="str">
        <f>IF(XT!$P319=0,Z319,"")</f>
        <v/>
      </c>
      <c r="AC319">
        <f>SUMPRODUCT((MONTH(CHOOSE({1,2,3,4},XT!U319,XT!Y319,XT!AC319,XT!AG319))=8)*(CHOOSE({1,2,3,4},XT!X319,XT!AB319,XT!AF319,XT!AJ319)))</f>
        <v>0</v>
      </c>
      <c r="AD319" t="str">
        <f>IFERROR(INDEX(CHOOSE({1,2,3,4}, DAY(XT!U319), DAY(XT!Y319), DAY(XT!AC319), DAY(XT!AG319)), MATCH(1, INDEX(--(MONTH(CHOOSE({1,2,3,4}, XT!U319,XT!Y319,XT!AC319,XT!AG319))=8), 0), 0)), "")</f>
        <v/>
      </c>
      <c r="AE319" s="51" t="str">
        <f>IF(XT!$P319&gt;0,AD319,"")</f>
        <v/>
      </c>
      <c r="AF319" s="51" t="str">
        <f>IF(XT!$P319=0,AD319,"")</f>
        <v/>
      </c>
      <c r="AG319">
        <f>SUMPRODUCT((MONTH(CHOOSE({1,2,3,4},XT!U319,XT!Y319,XT!AC319,XT!AG319))=9)*(CHOOSE({1,2,3,4},XT!X319,XT!AB319,XT!AF319,XT!AJ319)))</f>
        <v>0</v>
      </c>
      <c r="AH319" t="str">
        <f>IFERROR(INDEX(CHOOSE({1,2,3,4}, DAY(XT!U319), DAY(XT!Y319), DAY(XT!AC319), DAY(XT!AG319)), MATCH(1, INDEX(--(MONTH(CHOOSE({1,2,3,4}, XT!U319,XT!Y319,XT!AC319,XT!AG319))=9), 0), 0)), "")</f>
        <v/>
      </c>
      <c r="AI319" s="51" t="str">
        <f>IF(XT!$P319&gt;0,AH319,"")</f>
        <v/>
      </c>
      <c r="AJ319" s="51" t="str">
        <f>IF(XT!$P319=0,AH319,"")</f>
        <v/>
      </c>
      <c r="AK319">
        <f>SUMPRODUCT((MONTH(CHOOSE({1,2,3,4},XT!U319,XT!Y319,XT!AC319,XT!AG319))=10)*(CHOOSE({1,2,3,4},XT!X319,XT!AB319,XT!AF319,XT!AJ319)))</f>
        <v>0</v>
      </c>
      <c r="AL319" t="str">
        <f>IFERROR(INDEX(CHOOSE({1,2,3,4}, DAY(XT!U319), DAY(XT!Y319), DAY(XT!AC319), DAY(XT!AG319)), MATCH(1, INDEX(--(MONTH(CHOOSE({1,2,3,4}, XT!U319,XT!Y319,XT!AC319,XT!AG319))=10), 0), 0)), "")</f>
        <v/>
      </c>
      <c r="AM319" s="51" t="str">
        <f>IF(XT!$P319&gt;0,AL319,"")</f>
        <v/>
      </c>
      <c r="AN319" s="51" t="str">
        <f>IF(XT!$P319=0,AL319,"")</f>
        <v/>
      </c>
      <c r="AO319">
        <f>SUMPRODUCT((MONTH(CHOOSE({1,2,3,4},XT!U319,XT!Y319,XT!AC319,XT!AG319))=11)*(CHOOSE({1,2,3,4},XT!X319,XT!AB319,XT!AF319,XT!AJ319)))</f>
        <v>0</v>
      </c>
      <c r="AP319" t="str">
        <f>IFERROR(INDEX(CHOOSE({1,2,3,4}, DAY(XT!U319), DAY(XT!Y319), DAY(XT!AC319), DAY(XT!AG319)), MATCH(1, INDEX(--(MONTH(CHOOSE({1,2,3,4}, XT!U319,XT!Y319,XT!AC319,XT!AG319))=11), 0), 0)), "")</f>
        <v/>
      </c>
      <c r="AQ319" s="51" t="str">
        <f>IF(XT!$P319&gt;0,AP319,"")</f>
        <v/>
      </c>
      <c r="AR319" s="51" t="str">
        <f>IF(XT!$P319=0,AP319,"")</f>
        <v/>
      </c>
      <c r="AS319">
        <f>SUMPRODUCT((MONTH(CHOOSE({1,2,3,4},XT!U319,XT!Y319,XT!AC319,XT!AG319))=12)*(CHOOSE({1,2,3,4},XT!X319,XT!AB319,XT!AF319,XT!AJ319)))</f>
        <v>0</v>
      </c>
      <c r="AT319" t="str">
        <f>IFERROR(INDEX(CHOOSE({1,2,3,4}, DAY(XT!U319), DAY(XT!Y319), DAY(XT!AC319), DAY(XT!AG319)), MATCH(1, INDEX(--(MONTH(CHOOSE({1,2,3,4}, XT!U319,XT!Y319,XT!AC319,XT!AG319))=12), 0), 0)), "")</f>
        <v/>
      </c>
      <c r="AU319" s="51" t="str">
        <f>IF(XT!$P319&gt;0,AT319,"")</f>
        <v/>
      </c>
      <c r="AV319" s="51" t="str">
        <f>IF(XT!$P319=0,AT319,"")</f>
        <v/>
      </c>
    </row>
    <row r="320" spans="1:48">
      <c r="A320">
        <f>SUMPRODUCT((MONTH(CHOOSE({1,2,3,4},XT!U320,XT!Y320,XT!AC320,XT!AG320))=1)*(CHOOSE({1,2,3,4},XT!X320,XT!AB320,XT!AF320,XT!AJ320)))</f>
        <v>0</v>
      </c>
      <c r="B320">
        <f>IFERROR(INDEX(CHOOSE({1,2,3,4}, DAY(XT!U320), DAY(XT!Y320), DAY(XT!AC320), DAY(XT!AG320)), MATCH(1, INDEX(--(MONTH(CHOOSE({1,2,3,4}, XT!U320,XT!Y320,XT!AC320,XT!AG320))=1), 0), 0)), "")</f>
        <v>0</v>
      </c>
      <c r="C320" s="51" t="str">
        <f>IF(XT!$P320&gt;0,B320,"")</f>
        <v/>
      </c>
      <c r="D320" s="51">
        <f>IF(XT!$P320=0,B320,"")</f>
        <v>0</v>
      </c>
      <c r="E320">
        <f>SUMPRODUCT((MONTH(CHOOSE({1,2,3,4},XT!U320,XT!Y320,XT!AC320,XT!AG320))=2)*(CHOOSE({1,2,3,4},XT!X320,XT!AB320,XT!AF320,XT!AJ320)))</f>
        <v>0</v>
      </c>
      <c r="F320" t="str">
        <f>IFERROR(INDEX(CHOOSE({1,2,3,4}, DAY(XT!U320), DAY(XT!Y320), DAY(XT!AC320), DAY(XT!AG320)), MATCH(1, INDEX(--(MONTH(CHOOSE({1,2,3,4}, XT!U320,XT!Y320,XT!AC320,XT!AG320))=2), 0), 0)), "")</f>
        <v/>
      </c>
      <c r="G320" s="51" t="str">
        <f>IF(XT!$P320&gt;0,F320,"")</f>
        <v/>
      </c>
      <c r="H320" s="51" t="str">
        <f>IF(XT!$P320=0,F320,"")</f>
        <v/>
      </c>
      <c r="I320">
        <f>SUMPRODUCT((MONTH(CHOOSE({1,2,3,4},XT!U320,XT!Y320,XT!AC320,XT!AG320))=3)*(CHOOSE({1,2,3,4},XT!X320,XT!AB320,XT!AF320,XT!AJ320)))</f>
        <v>0</v>
      </c>
      <c r="J320" t="str">
        <f>IFERROR(INDEX(CHOOSE({1,2,3,4}, DAY(XT!U320), DAY(XT!Y320), DAY(XT!AC320), DAY(XT!AG320)), MATCH(1, INDEX(--(MONTH(CHOOSE({1,2,3,4}, XT!U320,XT!Y320,XT!AC320,XT!AG320))=3), 0), 0)), "")</f>
        <v/>
      </c>
      <c r="K320" s="51" t="str">
        <f>IF(XT!$P320&gt;0,J320,"")</f>
        <v/>
      </c>
      <c r="L320" s="51" t="str">
        <f>IF(XT!$P320=0,J320,"")</f>
        <v/>
      </c>
      <c r="M320">
        <f>SUMPRODUCT((MONTH(CHOOSE({1,2,3,4},XT!U320,XT!Y320,XT!AC320,XT!AG320))=4)*(CHOOSE({1,2,3,4},XT!X320,XT!AB320,XT!AF320,XT!AJ320)))</f>
        <v>0</v>
      </c>
      <c r="N320" t="str">
        <f>IFERROR(INDEX(CHOOSE({1,2,3,4}, DAY(XT!U320), DAY(XT!Y320), DAY(XT!AC320), DAY(XT!AG320)), MATCH(1, INDEX(--(MONTH(CHOOSE({1,2,3,4}, XT!U320,XT!Y320,XT!AC320,XT!AG320))=4), 0), 0)), "")</f>
        <v/>
      </c>
      <c r="O320" s="51" t="str">
        <f>IF(XT!$P320&gt;0,N320,"")</f>
        <v/>
      </c>
      <c r="P320" s="51" t="str">
        <f>IF(XT!$P320=0,N320,"")</f>
        <v/>
      </c>
      <c r="Q320">
        <f>SUMPRODUCT((MONTH(CHOOSE({1,2,3,4},XT!U320,XT!Y320,XT!AC320,XT!AG320))=5)*(CHOOSE({1,2,3,4},XT!X320,XT!AB320,XT!AF320,XT!AJ320)))</f>
        <v>0</v>
      </c>
      <c r="R320" t="str">
        <f>IFERROR(INDEX(CHOOSE({1,2,3,4}, DAY(XT!U320), DAY(XT!Y320), DAY(XT!AC320), DAY(XT!AG320)), MATCH(1, INDEX(--(MONTH(CHOOSE({1,2,3,4}, XT!U320,XT!Y320,XT!AC320,XT!AG320))=5), 0), 0)), "")</f>
        <v/>
      </c>
      <c r="S320" s="51" t="str">
        <f>IF(XT!$P320&gt;0,R320,"")</f>
        <v/>
      </c>
      <c r="T320" s="51" t="str">
        <f>IF(XT!$P320=0,R320,"")</f>
        <v/>
      </c>
      <c r="U320">
        <f>SUMPRODUCT((MONTH(CHOOSE({1,2,3,4},XT!U320,XT!Y320,XT!AC320,XT!AG320))=6)*(CHOOSE({1,2,3,4},XT!X320,XT!AB320,XT!AF320,XT!AJ320)))</f>
        <v>0</v>
      </c>
      <c r="V320" t="str">
        <f>IFERROR(INDEX(CHOOSE({1,2,3,4}, DAY(XT!U320), DAY(XT!Y320), DAY(XT!AC320), DAY(XT!AG320)), MATCH(1, INDEX(--(MONTH(CHOOSE({1,2,3,4}, XT!U320,XT!Y320,XT!AC320,XT!AG320))=6), 0), 0)), "")</f>
        <v/>
      </c>
      <c r="W320" s="51" t="str">
        <f>IF(XT!$P320&gt;0,V320,"")</f>
        <v/>
      </c>
      <c r="X320" s="51" t="str">
        <f>IF(XT!$P320=0,V320,"")</f>
        <v/>
      </c>
      <c r="Y320">
        <f>SUMPRODUCT((MONTH(CHOOSE({1,2,3,4},XT!U320,XT!Y320,XT!AC320,XT!AG320))=7)*(CHOOSE({1,2,3,4},XT!X320,XT!AB320,XT!AF320,XT!AJ320)))</f>
        <v>0</v>
      </c>
      <c r="Z320" t="str">
        <f>IFERROR(INDEX(CHOOSE({1,2,3,4}, DAY(XT!U320), DAY(XT!Y320), DAY(XT!AC320), DAY(XT!AG320)), MATCH(1, INDEX(--(MONTH(CHOOSE({1,2,3,4}, XT!U320,XT!Y320,XT!AC320,XT!AG320))=7), 0), 0)), "")</f>
        <v/>
      </c>
      <c r="AA320" s="51" t="str">
        <f>IF(XT!$P320&gt;0,Z320,"")</f>
        <v/>
      </c>
      <c r="AB320" s="51" t="str">
        <f>IF(XT!$P320=0,Z320,"")</f>
        <v/>
      </c>
      <c r="AC320">
        <f>SUMPRODUCT((MONTH(CHOOSE({1,2,3,4},XT!U320,XT!Y320,XT!AC320,XT!AG320))=8)*(CHOOSE({1,2,3,4},XT!X320,XT!AB320,XT!AF320,XT!AJ320)))</f>
        <v>0</v>
      </c>
      <c r="AD320" t="str">
        <f>IFERROR(INDEX(CHOOSE({1,2,3,4}, DAY(XT!U320), DAY(XT!Y320), DAY(XT!AC320), DAY(XT!AG320)), MATCH(1, INDEX(--(MONTH(CHOOSE({1,2,3,4}, XT!U320,XT!Y320,XT!AC320,XT!AG320))=8), 0), 0)), "")</f>
        <v/>
      </c>
      <c r="AE320" s="51" t="str">
        <f>IF(XT!$P320&gt;0,AD320,"")</f>
        <v/>
      </c>
      <c r="AF320" s="51" t="str">
        <f>IF(XT!$P320=0,AD320,"")</f>
        <v/>
      </c>
      <c r="AG320">
        <f>SUMPRODUCT((MONTH(CHOOSE({1,2,3,4},XT!U320,XT!Y320,XT!AC320,XT!AG320))=9)*(CHOOSE({1,2,3,4},XT!X320,XT!AB320,XT!AF320,XT!AJ320)))</f>
        <v>0</v>
      </c>
      <c r="AH320" t="str">
        <f>IFERROR(INDEX(CHOOSE({1,2,3,4}, DAY(XT!U320), DAY(XT!Y320), DAY(XT!AC320), DAY(XT!AG320)), MATCH(1, INDEX(--(MONTH(CHOOSE({1,2,3,4}, XT!U320,XT!Y320,XT!AC320,XT!AG320))=9), 0), 0)), "")</f>
        <v/>
      </c>
      <c r="AI320" s="51" t="str">
        <f>IF(XT!$P320&gt;0,AH320,"")</f>
        <v/>
      </c>
      <c r="AJ320" s="51" t="str">
        <f>IF(XT!$P320=0,AH320,"")</f>
        <v/>
      </c>
      <c r="AK320">
        <f>SUMPRODUCT((MONTH(CHOOSE({1,2,3,4},XT!U320,XT!Y320,XT!AC320,XT!AG320))=10)*(CHOOSE({1,2,3,4},XT!X320,XT!AB320,XT!AF320,XT!AJ320)))</f>
        <v>0</v>
      </c>
      <c r="AL320" t="str">
        <f>IFERROR(INDEX(CHOOSE({1,2,3,4}, DAY(XT!U320), DAY(XT!Y320), DAY(XT!AC320), DAY(XT!AG320)), MATCH(1, INDEX(--(MONTH(CHOOSE({1,2,3,4}, XT!U320,XT!Y320,XT!AC320,XT!AG320))=10), 0), 0)), "")</f>
        <v/>
      </c>
      <c r="AM320" s="51" t="str">
        <f>IF(XT!$P320&gt;0,AL320,"")</f>
        <v/>
      </c>
      <c r="AN320" s="51" t="str">
        <f>IF(XT!$P320=0,AL320,"")</f>
        <v/>
      </c>
      <c r="AO320">
        <f>SUMPRODUCT((MONTH(CHOOSE({1,2,3,4},XT!U320,XT!Y320,XT!AC320,XT!AG320))=11)*(CHOOSE({1,2,3,4},XT!X320,XT!AB320,XT!AF320,XT!AJ320)))</f>
        <v>0</v>
      </c>
      <c r="AP320" t="str">
        <f>IFERROR(INDEX(CHOOSE({1,2,3,4}, DAY(XT!U320), DAY(XT!Y320), DAY(XT!AC320), DAY(XT!AG320)), MATCH(1, INDEX(--(MONTH(CHOOSE({1,2,3,4}, XT!U320,XT!Y320,XT!AC320,XT!AG320))=11), 0), 0)), "")</f>
        <v/>
      </c>
      <c r="AQ320" s="51" t="str">
        <f>IF(XT!$P320&gt;0,AP320,"")</f>
        <v/>
      </c>
      <c r="AR320" s="51" t="str">
        <f>IF(XT!$P320=0,AP320,"")</f>
        <v/>
      </c>
      <c r="AS320">
        <f>SUMPRODUCT((MONTH(CHOOSE({1,2,3,4},XT!U320,XT!Y320,XT!AC320,XT!AG320))=12)*(CHOOSE({1,2,3,4},XT!X320,XT!AB320,XT!AF320,XT!AJ320)))</f>
        <v>0</v>
      </c>
      <c r="AT320" t="str">
        <f>IFERROR(INDEX(CHOOSE({1,2,3,4}, DAY(XT!U320), DAY(XT!Y320), DAY(XT!AC320), DAY(XT!AG320)), MATCH(1, INDEX(--(MONTH(CHOOSE({1,2,3,4}, XT!U320,XT!Y320,XT!AC320,XT!AG320))=12), 0), 0)), "")</f>
        <v/>
      </c>
      <c r="AU320" s="51" t="str">
        <f>IF(XT!$P320&gt;0,AT320,"")</f>
        <v/>
      </c>
      <c r="AV320" s="51" t="str">
        <f>IF(XT!$P320=0,AT320,"")</f>
        <v/>
      </c>
    </row>
    <row r="321" spans="1:48">
      <c r="A321">
        <f>SUMPRODUCT((MONTH(CHOOSE({1,2,3,4},XT!U321,XT!Y321,XT!AC321,XT!AG321))=1)*(CHOOSE({1,2,3,4},XT!X321,XT!AB321,XT!AF321,XT!AJ321)))</f>
        <v>0</v>
      </c>
      <c r="B321">
        <f>IFERROR(INDEX(CHOOSE({1,2,3,4}, DAY(XT!U321), DAY(XT!Y321), DAY(XT!AC321), DAY(XT!AG321)), MATCH(1, INDEX(--(MONTH(CHOOSE({1,2,3,4}, XT!U321,XT!Y321,XT!AC321,XT!AG321))=1), 0), 0)), "")</f>
        <v>0</v>
      </c>
      <c r="C321" s="51" t="str">
        <f>IF(XT!$P321&gt;0,B321,"")</f>
        <v/>
      </c>
      <c r="D321" s="51">
        <f>IF(XT!$P321=0,B321,"")</f>
        <v>0</v>
      </c>
      <c r="E321">
        <f>SUMPRODUCT((MONTH(CHOOSE({1,2,3,4},XT!U321,XT!Y321,XT!AC321,XT!AG321))=2)*(CHOOSE({1,2,3,4},XT!X321,XT!AB321,XT!AF321,XT!AJ321)))</f>
        <v>0</v>
      </c>
      <c r="F321" t="str">
        <f>IFERROR(INDEX(CHOOSE({1,2,3,4}, DAY(XT!U321), DAY(XT!Y321), DAY(XT!AC321), DAY(XT!AG321)), MATCH(1, INDEX(--(MONTH(CHOOSE({1,2,3,4}, XT!U321,XT!Y321,XT!AC321,XT!AG321))=2), 0), 0)), "")</f>
        <v/>
      </c>
      <c r="G321" s="51" t="str">
        <f>IF(XT!$P321&gt;0,F321,"")</f>
        <v/>
      </c>
      <c r="H321" s="51" t="str">
        <f>IF(XT!$P321=0,F321,"")</f>
        <v/>
      </c>
      <c r="I321">
        <f>SUMPRODUCT((MONTH(CHOOSE({1,2,3,4},XT!U321,XT!Y321,XT!AC321,XT!AG321))=3)*(CHOOSE({1,2,3,4},XT!X321,XT!AB321,XT!AF321,XT!AJ321)))</f>
        <v>0</v>
      </c>
      <c r="J321" t="str">
        <f>IFERROR(INDEX(CHOOSE({1,2,3,4}, DAY(XT!U321), DAY(XT!Y321), DAY(XT!AC321), DAY(XT!AG321)), MATCH(1, INDEX(--(MONTH(CHOOSE({1,2,3,4}, XT!U321,XT!Y321,XT!AC321,XT!AG321))=3), 0), 0)), "")</f>
        <v/>
      </c>
      <c r="K321" s="51" t="str">
        <f>IF(XT!$P321&gt;0,J321,"")</f>
        <v/>
      </c>
      <c r="L321" s="51" t="str">
        <f>IF(XT!$P321=0,J321,"")</f>
        <v/>
      </c>
      <c r="M321">
        <f>SUMPRODUCT((MONTH(CHOOSE({1,2,3,4},XT!U321,XT!Y321,XT!AC321,XT!AG321))=4)*(CHOOSE({1,2,3,4},XT!X321,XT!AB321,XT!AF321,XT!AJ321)))</f>
        <v>0</v>
      </c>
      <c r="N321" t="str">
        <f>IFERROR(INDEX(CHOOSE({1,2,3,4}, DAY(XT!U321), DAY(XT!Y321), DAY(XT!AC321), DAY(XT!AG321)), MATCH(1, INDEX(--(MONTH(CHOOSE({1,2,3,4}, XT!U321,XT!Y321,XT!AC321,XT!AG321))=4), 0), 0)), "")</f>
        <v/>
      </c>
      <c r="O321" s="51" t="str">
        <f>IF(XT!$P321&gt;0,N321,"")</f>
        <v/>
      </c>
      <c r="P321" s="51" t="str">
        <f>IF(XT!$P321=0,N321,"")</f>
        <v/>
      </c>
      <c r="Q321">
        <f>SUMPRODUCT((MONTH(CHOOSE({1,2,3,4},XT!U321,XT!Y321,XT!AC321,XT!AG321))=5)*(CHOOSE({1,2,3,4},XT!X321,XT!AB321,XT!AF321,XT!AJ321)))</f>
        <v>0</v>
      </c>
      <c r="R321" t="str">
        <f>IFERROR(INDEX(CHOOSE({1,2,3,4}, DAY(XT!U321), DAY(XT!Y321), DAY(XT!AC321), DAY(XT!AG321)), MATCH(1, INDEX(--(MONTH(CHOOSE({1,2,3,4}, XT!U321,XT!Y321,XT!AC321,XT!AG321))=5), 0), 0)), "")</f>
        <v/>
      </c>
      <c r="S321" s="51" t="str">
        <f>IF(XT!$P321&gt;0,R321,"")</f>
        <v/>
      </c>
      <c r="T321" s="51" t="str">
        <f>IF(XT!$P321=0,R321,"")</f>
        <v/>
      </c>
      <c r="U321">
        <f>SUMPRODUCT((MONTH(CHOOSE({1,2,3,4},XT!U321,XT!Y321,XT!AC321,XT!AG321))=6)*(CHOOSE({1,2,3,4},XT!X321,XT!AB321,XT!AF321,XT!AJ321)))</f>
        <v>0</v>
      </c>
      <c r="V321" t="str">
        <f>IFERROR(INDEX(CHOOSE({1,2,3,4}, DAY(XT!U321), DAY(XT!Y321), DAY(XT!AC321), DAY(XT!AG321)), MATCH(1, INDEX(--(MONTH(CHOOSE({1,2,3,4}, XT!U321,XT!Y321,XT!AC321,XT!AG321))=6), 0), 0)), "")</f>
        <v/>
      </c>
      <c r="W321" s="51" t="str">
        <f>IF(XT!$P321&gt;0,V321,"")</f>
        <v/>
      </c>
      <c r="X321" s="51" t="str">
        <f>IF(XT!$P321=0,V321,"")</f>
        <v/>
      </c>
      <c r="Y321">
        <f>SUMPRODUCT((MONTH(CHOOSE({1,2,3,4},XT!U321,XT!Y321,XT!AC321,XT!AG321))=7)*(CHOOSE({1,2,3,4},XT!X321,XT!AB321,XT!AF321,XT!AJ321)))</f>
        <v>0</v>
      </c>
      <c r="Z321" t="str">
        <f>IFERROR(INDEX(CHOOSE({1,2,3,4}, DAY(XT!U321), DAY(XT!Y321), DAY(XT!AC321), DAY(XT!AG321)), MATCH(1, INDEX(--(MONTH(CHOOSE({1,2,3,4}, XT!U321,XT!Y321,XT!AC321,XT!AG321))=7), 0), 0)), "")</f>
        <v/>
      </c>
      <c r="AA321" s="51" t="str">
        <f>IF(XT!$P321&gt;0,Z321,"")</f>
        <v/>
      </c>
      <c r="AB321" s="51" t="str">
        <f>IF(XT!$P321=0,Z321,"")</f>
        <v/>
      </c>
      <c r="AC321">
        <f>SUMPRODUCT((MONTH(CHOOSE({1,2,3,4},XT!U321,XT!Y321,XT!AC321,XT!AG321))=8)*(CHOOSE({1,2,3,4},XT!X321,XT!AB321,XT!AF321,XT!AJ321)))</f>
        <v>0</v>
      </c>
      <c r="AD321" t="str">
        <f>IFERROR(INDEX(CHOOSE({1,2,3,4}, DAY(XT!U321), DAY(XT!Y321), DAY(XT!AC321), DAY(XT!AG321)), MATCH(1, INDEX(--(MONTH(CHOOSE({1,2,3,4}, XT!U321,XT!Y321,XT!AC321,XT!AG321))=8), 0), 0)), "")</f>
        <v/>
      </c>
      <c r="AE321" s="51" t="str">
        <f>IF(XT!$P321&gt;0,AD321,"")</f>
        <v/>
      </c>
      <c r="AF321" s="51" t="str">
        <f>IF(XT!$P321=0,AD321,"")</f>
        <v/>
      </c>
      <c r="AG321">
        <f>SUMPRODUCT((MONTH(CHOOSE({1,2,3,4},XT!U321,XT!Y321,XT!AC321,XT!AG321))=9)*(CHOOSE({1,2,3,4},XT!X321,XT!AB321,XT!AF321,XT!AJ321)))</f>
        <v>0</v>
      </c>
      <c r="AH321" t="str">
        <f>IFERROR(INDEX(CHOOSE({1,2,3,4}, DAY(XT!U321), DAY(XT!Y321), DAY(XT!AC321), DAY(XT!AG321)), MATCH(1, INDEX(--(MONTH(CHOOSE({1,2,3,4}, XT!U321,XT!Y321,XT!AC321,XT!AG321))=9), 0), 0)), "")</f>
        <v/>
      </c>
      <c r="AI321" s="51" t="str">
        <f>IF(XT!$P321&gt;0,AH321,"")</f>
        <v/>
      </c>
      <c r="AJ321" s="51" t="str">
        <f>IF(XT!$P321=0,AH321,"")</f>
        <v/>
      </c>
      <c r="AK321">
        <f>SUMPRODUCT((MONTH(CHOOSE({1,2,3,4},XT!U321,XT!Y321,XT!AC321,XT!AG321))=10)*(CHOOSE({1,2,3,4},XT!X321,XT!AB321,XT!AF321,XT!AJ321)))</f>
        <v>0</v>
      </c>
      <c r="AL321" t="str">
        <f>IFERROR(INDEX(CHOOSE({1,2,3,4}, DAY(XT!U321), DAY(XT!Y321), DAY(XT!AC321), DAY(XT!AG321)), MATCH(1, INDEX(--(MONTH(CHOOSE({1,2,3,4}, XT!U321,XT!Y321,XT!AC321,XT!AG321))=10), 0), 0)), "")</f>
        <v/>
      </c>
      <c r="AM321" s="51" t="str">
        <f>IF(XT!$P321&gt;0,AL321,"")</f>
        <v/>
      </c>
      <c r="AN321" s="51" t="str">
        <f>IF(XT!$P321=0,AL321,"")</f>
        <v/>
      </c>
      <c r="AO321">
        <f>SUMPRODUCT((MONTH(CHOOSE({1,2,3,4},XT!U321,XT!Y321,XT!AC321,XT!AG321))=11)*(CHOOSE({1,2,3,4},XT!X321,XT!AB321,XT!AF321,XT!AJ321)))</f>
        <v>0</v>
      </c>
      <c r="AP321" t="str">
        <f>IFERROR(INDEX(CHOOSE({1,2,3,4}, DAY(XT!U321), DAY(XT!Y321), DAY(XT!AC321), DAY(XT!AG321)), MATCH(1, INDEX(--(MONTH(CHOOSE({1,2,3,4}, XT!U321,XT!Y321,XT!AC321,XT!AG321))=11), 0), 0)), "")</f>
        <v/>
      </c>
      <c r="AQ321" s="51" t="str">
        <f>IF(XT!$P321&gt;0,AP321,"")</f>
        <v/>
      </c>
      <c r="AR321" s="51" t="str">
        <f>IF(XT!$P321=0,AP321,"")</f>
        <v/>
      </c>
      <c r="AS321">
        <f>SUMPRODUCT((MONTH(CHOOSE({1,2,3,4},XT!U321,XT!Y321,XT!AC321,XT!AG321))=12)*(CHOOSE({1,2,3,4},XT!X321,XT!AB321,XT!AF321,XT!AJ321)))</f>
        <v>0</v>
      </c>
      <c r="AT321" t="str">
        <f>IFERROR(INDEX(CHOOSE({1,2,3,4}, DAY(XT!U321), DAY(XT!Y321), DAY(XT!AC321), DAY(XT!AG321)), MATCH(1, INDEX(--(MONTH(CHOOSE({1,2,3,4}, XT!U321,XT!Y321,XT!AC321,XT!AG321))=12), 0), 0)), "")</f>
        <v/>
      </c>
      <c r="AU321" s="51" t="str">
        <f>IF(XT!$P321&gt;0,AT321,"")</f>
        <v/>
      </c>
      <c r="AV321" s="51" t="str">
        <f>IF(XT!$P321=0,AT321,"")</f>
        <v/>
      </c>
    </row>
    <row r="322" spans="1:48">
      <c r="A322">
        <f>SUMPRODUCT((MONTH(CHOOSE({1,2,3,4},XT!U322,XT!Y322,XT!AC322,XT!AG322))=1)*(CHOOSE({1,2,3,4},XT!X322,XT!AB322,XT!AF322,XT!AJ322)))</f>
        <v>0</v>
      </c>
      <c r="B322">
        <f>IFERROR(INDEX(CHOOSE({1,2,3,4}, DAY(XT!U322), DAY(XT!Y322), DAY(XT!AC322), DAY(XT!AG322)), MATCH(1, INDEX(--(MONTH(CHOOSE({1,2,3,4}, XT!U322,XT!Y322,XT!AC322,XT!AG322))=1), 0), 0)), "")</f>
        <v>0</v>
      </c>
      <c r="C322" s="51" t="str">
        <f>IF(XT!$P322&gt;0,B322,"")</f>
        <v/>
      </c>
      <c r="D322" s="51">
        <f>IF(XT!$P322=0,B322,"")</f>
        <v>0</v>
      </c>
      <c r="E322">
        <f>SUMPRODUCT((MONTH(CHOOSE({1,2,3,4},XT!U322,XT!Y322,XT!AC322,XT!AG322))=2)*(CHOOSE({1,2,3,4},XT!X322,XT!AB322,XT!AF322,XT!AJ322)))</f>
        <v>0</v>
      </c>
      <c r="F322" t="str">
        <f>IFERROR(INDEX(CHOOSE({1,2,3,4}, DAY(XT!U322), DAY(XT!Y322), DAY(XT!AC322), DAY(XT!AG322)), MATCH(1, INDEX(--(MONTH(CHOOSE({1,2,3,4}, XT!U322,XT!Y322,XT!AC322,XT!AG322))=2), 0), 0)), "")</f>
        <v/>
      </c>
      <c r="G322" s="51" t="str">
        <f>IF(XT!$P322&gt;0,F322,"")</f>
        <v/>
      </c>
      <c r="H322" s="51" t="str">
        <f>IF(XT!$P322=0,F322,"")</f>
        <v/>
      </c>
      <c r="I322">
        <f>SUMPRODUCT((MONTH(CHOOSE({1,2,3,4},XT!U322,XT!Y322,XT!AC322,XT!AG322))=3)*(CHOOSE({1,2,3,4},XT!X322,XT!AB322,XT!AF322,XT!AJ322)))</f>
        <v>0</v>
      </c>
      <c r="J322" t="str">
        <f>IFERROR(INDEX(CHOOSE({1,2,3,4}, DAY(XT!U322), DAY(XT!Y322), DAY(XT!AC322), DAY(XT!AG322)), MATCH(1, INDEX(--(MONTH(CHOOSE({1,2,3,4}, XT!U322,XT!Y322,XT!AC322,XT!AG322))=3), 0), 0)), "")</f>
        <v/>
      </c>
      <c r="K322" s="51" t="str">
        <f>IF(XT!$P322&gt;0,J322,"")</f>
        <v/>
      </c>
      <c r="L322" s="51" t="str">
        <f>IF(XT!$P322=0,J322,"")</f>
        <v/>
      </c>
      <c r="M322">
        <f>SUMPRODUCT((MONTH(CHOOSE({1,2,3,4},XT!U322,XT!Y322,XT!AC322,XT!AG322))=4)*(CHOOSE({1,2,3,4},XT!X322,XT!AB322,XT!AF322,XT!AJ322)))</f>
        <v>0</v>
      </c>
      <c r="N322" t="str">
        <f>IFERROR(INDEX(CHOOSE({1,2,3,4}, DAY(XT!U322), DAY(XT!Y322), DAY(XT!AC322), DAY(XT!AG322)), MATCH(1, INDEX(--(MONTH(CHOOSE({1,2,3,4}, XT!U322,XT!Y322,XT!AC322,XT!AG322))=4), 0), 0)), "")</f>
        <v/>
      </c>
      <c r="O322" s="51" t="str">
        <f>IF(XT!$P322&gt;0,N322,"")</f>
        <v/>
      </c>
      <c r="P322" s="51" t="str">
        <f>IF(XT!$P322=0,N322,"")</f>
        <v/>
      </c>
      <c r="Q322">
        <f>SUMPRODUCT((MONTH(CHOOSE({1,2,3,4},XT!U322,XT!Y322,XT!AC322,XT!AG322))=5)*(CHOOSE({1,2,3,4},XT!X322,XT!AB322,XT!AF322,XT!AJ322)))</f>
        <v>0</v>
      </c>
      <c r="R322" t="str">
        <f>IFERROR(INDEX(CHOOSE({1,2,3,4}, DAY(XT!U322), DAY(XT!Y322), DAY(XT!AC322), DAY(XT!AG322)), MATCH(1, INDEX(--(MONTH(CHOOSE({1,2,3,4}, XT!U322,XT!Y322,XT!AC322,XT!AG322))=5), 0), 0)), "")</f>
        <v/>
      </c>
      <c r="S322" s="51" t="str">
        <f>IF(XT!$P322&gt;0,R322,"")</f>
        <v/>
      </c>
      <c r="T322" s="51" t="str">
        <f>IF(XT!$P322=0,R322,"")</f>
        <v/>
      </c>
      <c r="U322">
        <f>SUMPRODUCT((MONTH(CHOOSE({1,2,3,4},XT!U322,XT!Y322,XT!AC322,XT!AG322))=6)*(CHOOSE({1,2,3,4},XT!X322,XT!AB322,XT!AF322,XT!AJ322)))</f>
        <v>0</v>
      </c>
      <c r="V322" t="str">
        <f>IFERROR(INDEX(CHOOSE({1,2,3,4}, DAY(XT!U322), DAY(XT!Y322), DAY(XT!AC322), DAY(XT!AG322)), MATCH(1, INDEX(--(MONTH(CHOOSE({1,2,3,4}, XT!U322,XT!Y322,XT!AC322,XT!AG322))=6), 0), 0)), "")</f>
        <v/>
      </c>
      <c r="W322" s="51" t="str">
        <f>IF(XT!$P322&gt;0,V322,"")</f>
        <v/>
      </c>
      <c r="X322" s="51" t="str">
        <f>IF(XT!$P322=0,V322,"")</f>
        <v/>
      </c>
      <c r="Y322">
        <f>SUMPRODUCT((MONTH(CHOOSE({1,2,3,4},XT!U322,XT!Y322,XT!AC322,XT!AG322))=7)*(CHOOSE({1,2,3,4},XT!X322,XT!AB322,XT!AF322,XT!AJ322)))</f>
        <v>0</v>
      </c>
      <c r="Z322" t="str">
        <f>IFERROR(INDEX(CHOOSE({1,2,3,4}, DAY(XT!U322), DAY(XT!Y322), DAY(XT!AC322), DAY(XT!AG322)), MATCH(1, INDEX(--(MONTH(CHOOSE({1,2,3,4}, XT!U322,XT!Y322,XT!AC322,XT!AG322))=7), 0), 0)), "")</f>
        <v/>
      </c>
      <c r="AA322" s="51" t="str">
        <f>IF(XT!$P322&gt;0,Z322,"")</f>
        <v/>
      </c>
      <c r="AB322" s="51" t="str">
        <f>IF(XT!$P322=0,Z322,"")</f>
        <v/>
      </c>
      <c r="AC322">
        <f>SUMPRODUCT((MONTH(CHOOSE({1,2,3,4},XT!U322,XT!Y322,XT!AC322,XT!AG322))=8)*(CHOOSE({1,2,3,4},XT!X322,XT!AB322,XT!AF322,XT!AJ322)))</f>
        <v>0</v>
      </c>
      <c r="AD322" t="str">
        <f>IFERROR(INDEX(CHOOSE({1,2,3,4}, DAY(XT!U322), DAY(XT!Y322), DAY(XT!AC322), DAY(XT!AG322)), MATCH(1, INDEX(--(MONTH(CHOOSE({1,2,3,4}, XT!U322,XT!Y322,XT!AC322,XT!AG322))=8), 0), 0)), "")</f>
        <v/>
      </c>
      <c r="AE322" s="51" t="str">
        <f>IF(XT!$P322&gt;0,AD322,"")</f>
        <v/>
      </c>
      <c r="AF322" s="51" t="str">
        <f>IF(XT!$P322=0,AD322,"")</f>
        <v/>
      </c>
      <c r="AG322">
        <f>SUMPRODUCT((MONTH(CHOOSE({1,2,3,4},XT!U322,XT!Y322,XT!AC322,XT!AG322))=9)*(CHOOSE({1,2,3,4},XT!X322,XT!AB322,XT!AF322,XT!AJ322)))</f>
        <v>0</v>
      </c>
      <c r="AH322" t="str">
        <f>IFERROR(INDEX(CHOOSE({1,2,3,4}, DAY(XT!U322), DAY(XT!Y322), DAY(XT!AC322), DAY(XT!AG322)), MATCH(1, INDEX(--(MONTH(CHOOSE({1,2,3,4}, XT!U322,XT!Y322,XT!AC322,XT!AG322))=9), 0), 0)), "")</f>
        <v/>
      </c>
      <c r="AI322" s="51" t="str">
        <f>IF(XT!$P322&gt;0,AH322,"")</f>
        <v/>
      </c>
      <c r="AJ322" s="51" t="str">
        <f>IF(XT!$P322=0,AH322,"")</f>
        <v/>
      </c>
      <c r="AK322">
        <f>SUMPRODUCT((MONTH(CHOOSE({1,2,3,4},XT!U322,XT!Y322,XT!AC322,XT!AG322))=10)*(CHOOSE({1,2,3,4},XT!X322,XT!AB322,XT!AF322,XT!AJ322)))</f>
        <v>0</v>
      </c>
      <c r="AL322" t="str">
        <f>IFERROR(INDEX(CHOOSE({1,2,3,4}, DAY(XT!U322), DAY(XT!Y322), DAY(XT!AC322), DAY(XT!AG322)), MATCH(1, INDEX(--(MONTH(CHOOSE({1,2,3,4}, XT!U322,XT!Y322,XT!AC322,XT!AG322))=10), 0), 0)), "")</f>
        <v/>
      </c>
      <c r="AM322" s="51" t="str">
        <f>IF(XT!$P322&gt;0,AL322,"")</f>
        <v/>
      </c>
      <c r="AN322" s="51" t="str">
        <f>IF(XT!$P322=0,AL322,"")</f>
        <v/>
      </c>
      <c r="AO322">
        <f>SUMPRODUCT((MONTH(CHOOSE({1,2,3,4},XT!U322,XT!Y322,XT!AC322,XT!AG322))=11)*(CHOOSE({1,2,3,4},XT!X322,XT!AB322,XT!AF322,XT!AJ322)))</f>
        <v>0</v>
      </c>
      <c r="AP322" t="str">
        <f>IFERROR(INDEX(CHOOSE({1,2,3,4}, DAY(XT!U322), DAY(XT!Y322), DAY(XT!AC322), DAY(XT!AG322)), MATCH(1, INDEX(--(MONTH(CHOOSE({1,2,3,4}, XT!U322,XT!Y322,XT!AC322,XT!AG322))=11), 0), 0)), "")</f>
        <v/>
      </c>
      <c r="AQ322" s="51" t="str">
        <f>IF(XT!$P322&gt;0,AP322,"")</f>
        <v/>
      </c>
      <c r="AR322" s="51" t="str">
        <f>IF(XT!$P322=0,AP322,"")</f>
        <v/>
      </c>
      <c r="AS322">
        <f>SUMPRODUCT((MONTH(CHOOSE({1,2,3,4},XT!U322,XT!Y322,XT!AC322,XT!AG322))=12)*(CHOOSE({1,2,3,4},XT!X322,XT!AB322,XT!AF322,XT!AJ322)))</f>
        <v>0</v>
      </c>
      <c r="AT322" t="str">
        <f>IFERROR(INDEX(CHOOSE({1,2,3,4}, DAY(XT!U322), DAY(XT!Y322), DAY(XT!AC322), DAY(XT!AG322)), MATCH(1, INDEX(--(MONTH(CHOOSE({1,2,3,4}, XT!U322,XT!Y322,XT!AC322,XT!AG322))=12), 0), 0)), "")</f>
        <v/>
      </c>
      <c r="AU322" s="51" t="str">
        <f>IF(XT!$P322&gt;0,AT322,"")</f>
        <v/>
      </c>
      <c r="AV322" s="51" t="str">
        <f>IF(XT!$P322=0,AT322,"")</f>
        <v/>
      </c>
    </row>
    <row r="323" spans="1:48">
      <c r="A323">
        <f>SUMPRODUCT((MONTH(CHOOSE({1,2,3,4},XT!U323,XT!Y323,XT!AC323,XT!AG323))=1)*(CHOOSE({1,2,3,4},XT!X323,XT!AB323,XT!AF323,XT!AJ323)))</f>
        <v>0</v>
      </c>
      <c r="B323">
        <f>IFERROR(INDEX(CHOOSE({1,2,3,4}, DAY(XT!U323), DAY(XT!Y323), DAY(XT!AC323), DAY(XT!AG323)), MATCH(1, INDEX(--(MONTH(CHOOSE({1,2,3,4}, XT!U323,XT!Y323,XT!AC323,XT!AG323))=1), 0), 0)), "")</f>
        <v>0</v>
      </c>
      <c r="C323" s="51" t="str">
        <f>IF(XT!$P323&gt;0,B323,"")</f>
        <v/>
      </c>
      <c r="D323" s="51">
        <f>IF(XT!$P323=0,B323,"")</f>
        <v>0</v>
      </c>
      <c r="E323">
        <f>SUMPRODUCT((MONTH(CHOOSE({1,2,3,4},XT!U323,XT!Y323,XT!AC323,XT!AG323))=2)*(CHOOSE({1,2,3,4},XT!X323,XT!AB323,XT!AF323,XT!AJ323)))</f>
        <v>0</v>
      </c>
      <c r="F323" t="str">
        <f>IFERROR(INDEX(CHOOSE({1,2,3,4}, DAY(XT!U323), DAY(XT!Y323), DAY(XT!AC323), DAY(XT!AG323)), MATCH(1, INDEX(--(MONTH(CHOOSE({1,2,3,4}, XT!U323,XT!Y323,XT!AC323,XT!AG323))=2), 0), 0)), "")</f>
        <v/>
      </c>
      <c r="G323" s="51" t="str">
        <f>IF(XT!$P323&gt;0,F323,"")</f>
        <v/>
      </c>
      <c r="H323" s="51" t="str">
        <f>IF(XT!$P323=0,F323,"")</f>
        <v/>
      </c>
      <c r="I323">
        <f>SUMPRODUCT((MONTH(CHOOSE({1,2,3,4},XT!U323,XT!Y323,XT!AC323,XT!AG323))=3)*(CHOOSE({1,2,3,4},XT!X323,XT!AB323,XT!AF323,XT!AJ323)))</f>
        <v>0</v>
      </c>
      <c r="J323" t="str">
        <f>IFERROR(INDEX(CHOOSE({1,2,3,4}, DAY(XT!U323), DAY(XT!Y323), DAY(XT!AC323), DAY(XT!AG323)), MATCH(1, INDEX(--(MONTH(CHOOSE({1,2,3,4}, XT!U323,XT!Y323,XT!AC323,XT!AG323))=3), 0), 0)), "")</f>
        <v/>
      </c>
      <c r="K323" s="51" t="str">
        <f>IF(XT!$P323&gt;0,J323,"")</f>
        <v/>
      </c>
      <c r="L323" s="51" t="str">
        <f>IF(XT!$P323=0,J323,"")</f>
        <v/>
      </c>
      <c r="M323">
        <f>SUMPRODUCT((MONTH(CHOOSE({1,2,3,4},XT!U323,XT!Y323,XT!AC323,XT!AG323))=4)*(CHOOSE({1,2,3,4},XT!X323,XT!AB323,XT!AF323,XT!AJ323)))</f>
        <v>0</v>
      </c>
      <c r="N323" t="str">
        <f>IFERROR(INDEX(CHOOSE({1,2,3,4}, DAY(XT!U323), DAY(XT!Y323), DAY(XT!AC323), DAY(XT!AG323)), MATCH(1, INDEX(--(MONTH(CHOOSE({1,2,3,4}, XT!U323,XT!Y323,XT!AC323,XT!AG323))=4), 0), 0)), "")</f>
        <v/>
      </c>
      <c r="O323" s="51" t="str">
        <f>IF(XT!$P323&gt;0,N323,"")</f>
        <v/>
      </c>
      <c r="P323" s="51" t="str">
        <f>IF(XT!$P323=0,N323,"")</f>
        <v/>
      </c>
      <c r="Q323">
        <f>SUMPRODUCT((MONTH(CHOOSE({1,2,3,4},XT!U323,XT!Y323,XT!AC323,XT!AG323))=5)*(CHOOSE({1,2,3,4},XT!X323,XT!AB323,XT!AF323,XT!AJ323)))</f>
        <v>0</v>
      </c>
      <c r="R323" t="str">
        <f>IFERROR(INDEX(CHOOSE({1,2,3,4}, DAY(XT!U323), DAY(XT!Y323), DAY(XT!AC323), DAY(XT!AG323)), MATCH(1, INDEX(--(MONTH(CHOOSE({1,2,3,4}, XT!U323,XT!Y323,XT!AC323,XT!AG323))=5), 0), 0)), "")</f>
        <v/>
      </c>
      <c r="S323" s="51" t="str">
        <f>IF(XT!$P323&gt;0,R323,"")</f>
        <v/>
      </c>
      <c r="T323" s="51" t="str">
        <f>IF(XT!$P323=0,R323,"")</f>
        <v/>
      </c>
      <c r="U323">
        <f>SUMPRODUCT((MONTH(CHOOSE({1,2,3,4},XT!U323,XT!Y323,XT!AC323,XT!AG323))=6)*(CHOOSE({1,2,3,4},XT!X323,XT!AB323,XT!AF323,XT!AJ323)))</f>
        <v>0</v>
      </c>
      <c r="V323" t="str">
        <f>IFERROR(INDEX(CHOOSE({1,2,3,4}, DAY(XT!U323), DAY(XT!Y323), DAY(XT!AC323), DAY(XT!AG323)), MATCH(1, INDEX(--(MONTH(CHOOSE({1,2,3,4}, XT!U323,XT!Y323,XT!AC323,XT!AG323))=6), 0), 0)), "")</f>
        <v/>
      </c>
      <c r="W323" s="51" t="str">
        <f>IF(XT!$P323&gt;0,V323,"")</f>
        <v/>
      </c>
      <c r="X323" s="51" t="str">
        <f>IF(XT!$P323=0,V323,"")</f>
        <v/>
      </c>
      <c r="Y323">
        <f>SUMPRODUCT((MONTH(CHOOSE({1,2,3,4},XT!U323,XT!Y323,XT!AC323,XT!AG323))=7)*(CHOOSE({1,2,3,4},XT!X323,XT!AB323,XT!AF323,XT!AJ323)))</f>
        <v>0</v>
      </c>
      <c r="Z323" t="str">
        <f>IFERROR(INDEX(CHOOSE({1,2,3,4}, DAY(XT!U323), DAY(XT!Y323), DAY(XT!AC323), DAY(XT!AG323)), MATCH(1, INDEX(--(MONTH(CHOOSE({1,2,3,4}, XT!U323,XT!Y323,XT!AC323,XT!AG323))=7), 0), 0)), "")</f>
        <v/>
      </c>
      <c r="AA323" s="51" t="str">
        <f>IF(XT!$P323&gt;0,Z323,"")</f>
        <v/>
      </c>
      <c r="AB323" s="51" t="str">
        <f>IF(XT!$P323=0,Z323,"")</f>
        <v/>
      </c>
      <c r="AC323">
        <f>SUMPRODUCT((MONTH(CHOOSE({1,2,3,4},XT!U323,XT!Y323,XT!AC323,XT!AG323))=8)*(CHOOSE({1,2,3,4},XT!X323,XT!AB323,XT!AF323,XT!AJ323)))</f>
        <v>0</v>
      </c>
      <c r="AD323" t="str">
        <f>IFERROR(INDEX(CHOOSE({1,2,3,4}, DAY(XT!U323), DAY(XT!Y323), DAY(XT!AC323), DAY(XT!AG323)), MATCH(1, INDEX(--(MONTH(CHOOSE({1,2,3,4}, XT!U323,XT!Y323,XT!AC323,XT!AG323))=8), 0), 0)), "")</f>
        <v/>
      </c>
      <c r="AE323" s="51" t="str">
        <f>IF(XT!$P323&gt;0,AD323,"")</f>
        <v/>
      </c>
      <c r="AF323" s="51" t="str">
        <f>IF(XT!$P323=0,AD323,"")</f>
        <v/>
      </c>
      <c r="AG323">
        <f>SUMPRODUCT((MONTH(CHOOSE({1,2,3,4},XT!U323,XT!Y323,XT!AC323,XT!AG323))=9)*(CHOOSE({1,2,3,4},XT!X323,XT!AB323,XT!AF323,XT!AJ323)))</f>
        <v>0</v>
      </c>
      <c r="AH323" t="str">
        <f>IFERROR(INDEX(CHOOSE({1,2,3,4}, DAY(XT!U323), DAY(XT!Y323), DAY(XT!AC323), DAY(XT!AG323)), MATCH(1, INDEX(--(MONTH(CHOOSE({1,2,3,4}, XT!U323,XT!Y323,XT!AC323,XT!AG323))=9), 0), 0)), "")</f>
        <v/>
      </c>
      <c r="AI323" s="51" t="str">
        <f>IF(XT!$P323&gt;0,AH323,"")</f>
        <v/>
      </c>
      <c r="AJ323" s="51" t="str">
        <f>IF(XT!$P323=0,AH323,"")</f>
        <v/>
      </c>
      <c r="AK323">
        <f>SUMPRODUCT((MONTH(CHOOSE({1,2,3,4},XT!U323,XT!Y323,XT!AC323,XT!AG323))=10)*(CHOOSE({1,2,3,4},XT!X323,XT!AB323,XT!AF323,XT!AJ323)))</f>
        <v>0</v>
      </c>
      <c r="AL323" t="str">
        <f>IFERROR(INDEX(CHOOSE({1,2,3,4}, DAY(XT!U323), DAY(XT!Y323), DAY(XT!AC323), DAY(XT!AG323)), MATCH(1, INDEX(--(MONTH(CHOOSE({1,2,3,4}, XT!U323,XT!Y323,XT!AC323,XT!AG323))=10), 0), 0)), "")</f>
        <v/>
      </c>
      <c r="AM323" s="51" t="str">
        <f>IF(XT!$P323&gt;0,AL323,"")</f>
        <v/>
      </c>
      <c r="AN323" s="51" t="str">
        <f>IF(XT!$P323=0,AL323,"")</f>
        <v/>
      </c>
      <c r="AO323">
        <f>SUMPRODUCT((MONTH(CHOOSE({1,2,3,4},XT!U323,XT!Y323,XT!AC323,XT!AG323))=11)*(CHOOSE({1,2,3,4},XT!X323,XT!AB323,XT!AF323,XT!AJ323)))</f>
        <v>0</v>
      </c>
      <c r="AP323" t="str">
        <f>IFERROR(INDEX(CHOOSE({1,2,3,4}, DAY(XT!U323), DAY(XT!Y323), DAY(XT!AC323), DAY(XT!AG323)), MATCH(1, INDEX(--(MONTH(CHOOSE({1,2,3,4}, XT!U323,XT!Y323,XT!AC323,XT!AG323))=11), 0), 0)), "")</f>
        <v/>
      </c>
      <c r="AQ323" s="51" t="str">
        <f>IF(XT!$P323&gt;0,AP323,"")</f>
        <v/>
      </c>
      <c r="AR323" s="51" t="str">
        <f>IF(XT!$P323=0,AP323,"")</f>
        <v/>
      </c>
      <c r="AS323">
        <f>SUMPRODUCT((MONTH(CHOOSE({1,2,3,4},XT!U323,XT!Y323,XT!AC323,XT!AG323))=12)*(CHOOSE({1,2,3,4},XT!X323,XT!AB323,XT!AF323,XT!AJ323)))</f>
        <v>0</v>
      </c>
      <c r="AT323" t="str">
        <f>IFERROR(INDEX(CHOOSE({1,2,3,4}, DAY(XT!U323), DAY(XT!Y323), DAY(XT!AC323), DAY(XT!AG323)), MATCH(1, INDEX(--(MONTH(CHOOSE({1,2,3,4}, XT!U323,XT!Y323,XT!AC323,XT!AG323))=12), 0), 0)), "")</f>
        <v/>
      </c>
      <c r="AU323" s="51" t="str">
        <f>IF(XT!$P323&gt;0,AT323,"")</f>
        <v/>
      </c>
      <c r="AV323" s="51" t="str">
        <f>IF(XT!$P323=0,AT323,"")</f>
        <v/>
      </c>
    </row>
    <row r="324" spans="1:48">
      <c r="A324">
        <f>SUMPRODUCT((MONTH(CHOOSE({1,2,3,4},XT!U324,XT!Y324,XT!AC324,XT!AG324))=1)*(CHOOSE({1,2,3,4},XT!X324,XT!AB324,XT!AF324,XT!AJ324)))</f>
        <v>0</v>
      </c>
      <c r="B324">
        <f>IFERROR(INDEX(CHOOSE({1,2,3,4}, DAY(XT!U324), DAY(XT!Y324), DAY(XT!AC324), DAY(XT!AG324)), MATCH(1, INDEX(--(MONTH(CHOOSE({1,2,3,4}, XT!U324,XT!Y324,XT!AC324,XT!AG324))=1), 0), 0)), "")</f>
        <v>0</v>
      </c>
      <c r="C324" s="51" t="str">
        <f>IF(XT!$P324&gt;0,B324,"")</f>
        <v/>
      </c>
      <c r="D324" s="51">
        <f>IF(XT!$P324=0,B324,"")</f>
        <v>0</v>
      </c>
      <c r="E324">
        <f>SUMPRODUCT((MONTH(CHOOSE({1,2,3,4},XT!U324,XT!Y324,XT!AC324,XT!AG324))=2)*(CHOOSE({1,2,3,4},XT!X324,XT!AB324,XT!AF324,XT!AJ324)))</f>
        <v>0</v>
      </c>
      <c r="F324" t="str">
        <f>IFERROR(INDEX(CHOOSE({1,2,3,4}, DAY(XT!U324), DAY(XT!Y324), DAY(XT!AC324), DAY(XT!AG324)), MATCH(1, INDEX(--(MONTH(CHOOSE({1,2,3,4}, XT!U324,XT!Y324,XT!AC324,XT!AG324))=2), 0), 0)), "")</f>
        <v/>
      </c>
      <c r="G324" s="51" t="str">
        <f>IF(XT!$P324&gt;0,F324,"")</f>
        <v/>
      </c>
      <c r="H324" s="51" t="str">
        <f>IF(XT!$P324=0,F324,"")</f>
        <v/>
      </c>
      <c r="I324">
        <f>SUMPRODUCT((MONTH(CHOOSE({1,2,3,4},XT!U324,XT!Y324,XT!AC324,XT!AG324))=3)*(CHOOSE({1,2,3,4},XT!X324,XT!AB324,XT!AF324,XT!AJ324)))</f>
        <v>0</v>
      </c>
      <c r="J324" t="str">
        <f>IFERROR(INDEX(CHOOSE({1,2,3,4}, DAY(XT!U324), DAY(XT!Y324), DAY(XT!AC324), DAY(XT!AG324)), MATCH(1, INDEX(--(MONTH(CHOOSE({1,2,3,4}, XT!U324,XT!Y324,XT!AC324,XT!AG324))=3), 0), 0)), "")</f>
        <v/>
      </c>
      <c r="K324" s="51" t="str">
        <f>IF(XT!$P324&gt;0,J324,"")</f>
        <v/>
      </c>
      <c r="L324" s="51" t="str">
        <f>IF(XT!$P324=0,J324,"")</f>
        <v/>
      </c>
      <c r="M324">
        <f>SUMPRODUCT((MONTH(CHOOSE({1,2,3,4},XT!U324,XT!Y324,XT!AC324,XT!AG324))=4)*(CHOOSE({1,2,3,4},XT!X324,XT!AB324,XT!AF324,XT!AJ324)))</f>
        <v>0</v>
      </c>
      <c r="N324" t="str">
        <f>IFERROR(INDEX(CHOOSE({1,2,3,4}, DAY(XT!U324), DAY(XT!Y324), DAY(XT!AC324), DAY(XT!AG324)), MATCH(1, INDEX(--(MONTH(CHOOSE({1,2,3,4}, XT!U324,XT!Y324,XT!AC324,XT!AG324))=4), 0), 0)), "")</f>
        <v/>
      </c>
      <c r="O324" s="51" t="str">
        <f>IF(XT!$P324&gt;0,N324,"")</f>
        <v/>
      </c>
      <c r="P324" s="51" t="str">
        <f>IF(XT!$P324=0,N324,"")</f>
        <v/>
      </c>
      <c r="Q324">
        <f>SUMPRODUCT((MONTH(CHOOSE({1,2,3,4},XT!U324,XT!Y324,XT!AC324,XT!AG324))=5)*(CHOOSE({1,2,3,4},XT!X324,XT!AB324,XT!AF324,XT!AJ324)))</f>
        <v>0</v>
      </c>
      <c r="R324" t="str">
        <f>IFERROR(INDEX(CHOOSE({1,2,3,4}, DAY(XT!U324), DAY(XT!Y324), DAY(XT!AC324), DAY(XT!AG324)), MATCH(1, INDEX(--(MONTH(CHOOSE({1,2,3,4}, XT!U324,XT!Y324,XT!AC324,XT!AG324))=5), 0), 0)), "")</f>
        <v/>
      </c>
      <c r="S324" s="51" t="str">
        <f>IF(XT!$P324&gt;0,R324,"")</f>
        <v/>
      </c>
      <c r="T324" s="51" t="str">
        <f>IF(XT!$P324=0,R324,"")</f>
        <v/>
      </c>
      <c r="U324">
        <f>SUMPRODUCT((MONTH(CHOOSE({1,2,3,4},XT!U324,XT!Y324,XT!AC324,XT!AG324))=6)*(CHOOSE({1,2,3,4},XT!X324,XT!AB324,XT!AF324,XT!AJ324)))</f>
        <v>0</v>
      </c>
      <c r="V324" t="str">
        <f>IFERROR(INDEX(CHOOSE({1,2,3,4}, DAY(XT!U324), DAY(XT!Y324), DAY(XT!AC324), DAY(XT!AG324)), MATCH(1, INDEX(--(MONTH(CHOOSE({1,2,3,4}, XT!U324,XT!Y324,XT!AC324,XT!AG324))=6), 0), 0)), "")</f>
        <v/>
      </c>
      <c r="W324" s="51" t="str">
        <f>IF(XT!$P324&gt;0,V324,"")</f>
        <v/>
      </c>
      <c r="X324" s="51" t="str">
        <f>IF(XT!$P324=0,V324,"")</f>
        <v/>
      </c>
      <c r="Y324">
        <f>SUMPRODUCT((MONTH(CHOOSE({1,2,3,4},XT!U324,XT!Y324,XT!AC324,XT!AG324))=7)*(CHOOSE({1,2,3,4},XT!X324,XT!AB324,XT!AF324,XT!AJ324)))</f>
        <v>0</v>
      </c>
      <c r="Z324" t="str">
        <f>IFERROR(INDEX(CHOOSE({1,2,3,4}, DAY(XT!U324), DAY(XT!Y324), DAY(XT!AC324), DAY(XT!AG324)), MATCH(1, INDEX(--(MONTH(CHOOSE({1,2,3,4}, XT!U324,XT!Y324,XT!AC324,XT!AG324))=7), 0), 0)), "")</f>
        <v/>
      </c>
      <c r="AA324" s="51" t="str">
        <f>IF(XT!$P324&gt;0,Z324,"")</f>
        <v/>
      </c>
      <c r="AB324" s="51" t="str">
        <f>IF(XT!$P324=0,Z324,"")</f>
        <v/>
      </c>
      <c r="AC324">
        <f>SUMPRODUCT((MONTH(CHOOSE({1,2,3,4},XT!U324,XT!Y324,XT!AC324,XT!AG324))=8)*(CHOOSE({1,2,3,4},XT!X324,XT!AB324,XT!AF324,XT!AJ324)))</f>
        <v>0</v>
      </c>
      <c r="AD324" t="str">
        <f>IFERROR(INDEX(CHOOSE({1,2,3,4}, DAY(XT!U324), DAY(XT!Y324), DAY(XT!AC324), DAY(XT!AG324)), MATCH(1, INDEX(--(MONTH(CHOOSE({1,2,3,4}, XT!U324,XT!Y324,XT!AC324,XT!AG324))=8), 0), 0)), "")</f>
        <v/>
      </c>
      <c r="AE324" s="51" t="str">
        <f>IF(XT!$P324&gt;0,AD324,"")</f>
        <v/>
      </c>
      <c r="AF324" s="51" t="str">
        <f>IF(XT!$P324=0,AD324,"")</f>
        <v/>
      </c>
      <c r="AG324">
        <f>SUMPRODUCT((MONTH(CHOOSE({1,2,3,4},XT!U324,XT!Y324,XT!AC324,XT!AG324))=9)*(CHOOSE({1,2,3,4},XT!X324,XT!AB324,XT!AF324,XT!AJ324)))</f>
        <v>0</v>
      </c>
      <c r="AH324" t="str">
        <f>IFERROR(INDEX(CHOOSE({1,2,3,4}, DAY(XT!U324), DAY(XT!Y324), DAY(XT!AC324), DAY(XT!AG324)), MATCH(1, INDEX(--(MONTH(CHOOSE({1,2,3,4}, XT!U324,XT!Y324,XT!AC324,XT!AG324))=9), 0), 0)), "")</f>
        <v/>
      </c>
      <c r="AI324" s="51" t="str">
        <f>IF(XT!$P324&gt;0,AH324,"")</f>
        <v/>
      </c>
      <c r="AJ324" s="51" t="str">
        <f>IF(XT!$P324=0,AH324,"")</f>
        <v/>
      </c>
      <c r="AK324">
        <f>SUMPRODUCT((MONTH(CHOOSE({1,2,3,4},XT!U324,XT!Y324,XT!AC324,XT!AG324))=10)*(CHOOSE({1,2,3,4},XT!X324,XT!AB324,XT!AF324,XT!AJ324)))</f>
        <v>0</v>
      </c>
      <c r="AL324" t="str">
        <f>IFERROR(INDEX(CHOOSE({1,2,3,4}, DAY(XT!U324), DAY(XT!Y324), DAY(XT!AC324), DAY(XT!AG324)), MATCH(1, INDEX(--(MONTH(CHOOSE({1,2,3,4}, XT!U324,XT!Y324,XT!AC324,XT!AG324))=10), 0), 0)), "")</f>
        <v/>
      </c>
      <c r="AM324" s="51" t="str">
        <f>IF(XT!$P324&gt;0,AL324,"")</f>
        <v/>
      </c>
      <c r="AN324" s="51" t="str">
        <f>IF(XT!$P324=0,AL324,"")</f>
        <v/>
      </c>
      <c r="AO324">
        <f>SUMPRODUCT((MONTH(CHOOSE({1,2,3,4},XT!U324,XT!Y324,XT!AC324,XT!AG324))=11)*(CHOOSE({1,2,3,4},XT!X324,XT!AB324,XT!AF324,XT!AJ324)))</f>
        <v>0</v>
      </c>
      <c r="AP324" t="str">
        <f>IFERROR(INDEX(CHOOSE({1,2,3,4}, DAY(XT!U324), DAY(XT!Y324), DAY(XT!AC324), DAY(XT!AG324)), MATCH(1, INDEX(--(MONTH(CHOOSE({1,2,3,4}, XT!U324,XT!Y324,XT!AC324,XT!AG324))=11), 0), 0)), "")</f>
        <v/>
      </c>
      <c r="AQ324" s="51" t="str">
        <f>IF(XT!$P324&gt;0,AP324,"")</f>
        <v/>
      </c>
      <c r="AR324" s="51" t="str">
        <f>IF(XT!$P324=0,AP324,"")</f>
        <v/>
      </c>
      <c r="AS324">
        <f>SUMPRODUCT((MONTH(CHOOSE({1,2,3,4},XT!U324,XT!Y324,XT!AC324,XT!AG324))=12)*(CHOOSE({1,2,3,4},XT!X324,XT!AB324,XT!AF324,XT!AJ324)))</f>
        <v>0</v>
      </c>
      <c r="AT324" t="str">
        <f>IFERROR(INDEX(CHOOSE({1,2,3,4}, DAY(XT!U324), DAY(XT!Y324), DAY(XT!AC324), DAY(XT!AG324)), MATCH(1, INDEX(--(MONTH(CHOOSE({1,2,3,4}, XT!U324,XT!Y324,XT!AC324,XT!AG324))=12), 0), 0)), "")</f>
        <v/>
      </c>
      <c r="AU324" s="51" t="str">
        <f>IF(XT!$P324&gt;0,AT324,"")</f>
        <v/>
      </c>
      <c r="AV324" s="51" t="str">
        <f>IF(XT!$P324=0,AT324,"")</f>
        <v/>
      </c>
    </row>
    <row r="325" spans="1:48">
      <c r="A325">
        <f>SUMPRODUCT((MONTH(CHOOSE({1,2,3,4},XT!U325,XT!Y325,XT!AC325,XT!AG325))=1)*(CHOOSE({1,2,3,4},XT!X325,XT!AB325,XT!AF325,XT!AJ325)))</f>
        <v>0</v>
      </c>
      <c r="B325">
        <f>IFERROR(INDEX(CHOOSE({1,2,3,4}, DAY(XT!U325), DAY(XT!Y325), DAY(XT!AC325), DAY(XT!AG325)), MATCH(1, INDEX(--(MONTH(CHOOSE({1,2,3,4}, XT!U325,XT!Y325,XT!AC325,XT!AG325))=1), 0), 0)), "")</f>
        <v>0</v>
      </c>
      <c r="C325" s="51" t="str">
        <f>IF(XT!$P325&gt;0,B325,"")</f>
        <v/>
      </c>
      <c r="D325" s="51">
        <f>IF(XT!$P325=0,B325,"")</f>
        <v>0</v>
      </c>
      <c r="E325">
        <f>SUMPRODUCT((MONTH(CHOOSE({1,2,3,4},XT!U325,XT!Y325,XT!AC325,XT!AG325))=2)*(CHOOSE({1,2,3,4},XT!X325,XT!AB325,XT!AF325,XT!AJ325)))</f>
        <v>0</v>
      </c>
      <c r="F325" t="str">
        <f>IFERROR(INDEX(CHOOSE({1,2,3,4}, DAY(XT!U325), DAY(XT!Y325), DAY(XT!AC325), DAY(XT!AG325)), MATCH(1, INDEX(--(MONTH(CHOOSE({1,2,3,4}, XT!U325,XT!Y325,XT!AC325,XT!AG325))=2), 0), 0)), "")</f>
        <v/>
      </c>
      <c r="G325" s="51" t="str">
        <f>IF(XT!$P325&gt;0,F325,"")</f>
        <v/>
      </c>
      <c r="H325" s="51" t="str">
        <f>IF(XT!$P325=0,F325,"")</f>
        <v/>
      </c>
      <c r="I325">
        <f>SUMPRODUCT((MONTH(CHOOSE({1,2,3,4},XT!U325,XT!Y325,XT!AC325,XT!AG325))=3)*(CHOOSE({1,2,3,4},XT!X325,XT!AB325,XT!AF325,XT!AJ325)))</f>
        <v>0</v>
      </c>
      <c r="J325" t="str">
        <f>IFERROR(INDEX(CHOOSE({1,2,3,4}, DAY(XT!U325), DAY(XT!Y325), DAY(XT!AC325), DAY(XT!AG325)), MATCH(1, INDEX(--(MONTH(CHOOSE({1,2,3,4}, XT!U325,XT!Y325,XT!AC325,XT!AG325))=3), 0), 0)), "")</f>
        <v/>
      </c>
      <c r="K325" s="51" t="str">
        <f>IF(XT!$P325&gt;0,J325,"")</f>
        <v/>
      </c>
      <c r="L325" s="51" t="str">
        <f>IF(XT!$P325=0,J325,"")</f>
        <v/>
      </c>
      <c r="M325">
        <f>SUMPRODUCT((MONTH(CHOOSE({1,2,3,4},XT!U325,XT!Y325,XT!AC325,XT!AG325))=4)*(CHOOSE({1,2,3,4},XT!X325,XT!AB325,XT!AF325,XT!AJ325)))</f>
        <v>0</v>
      </c>
      <c r="N325" t="str">
        <f>IFERROR(INDEX(CHOOSE({1,2,3,4}, DAY(XT!U325), DAY(XT!Y325), DAY(XT!AC325), DAY(XT!AG325)), MATCH(1, INDEX(--(MONTH(CHOOSE({1,2,3,4}, XT!U325,XT!Y325,XT!AC325,XT!AG325))=4), 0), 0)), "")</f>
        <v/>
      </c>
      <c r="O325" s="51" t="str">
        <f>IF(XT!$P325&gt;0,N325,"")</f>
        <v/>
      </c>
      <c r="P325" s="51" t="str">
        <f>IF(XT!$P325=0,N325,"")</f>
        <v/>
      </c>
      <c r="Q325">
        <f>SUMPRODUCT((MONTH(CHOOSE({1,2,3,4},XT!U325,XT!Y325,XT!AC325,XT!AG325))=5)*(CHOOSE({1,2,3,4},XT!X325,XT!AB325,XT!AF325,XT!AJ325)))</f>
        <v>0</v>
      </c>
      <c r="R325" t="str">
        <f>IFERROR(INDEX(CHOOSE({1,2,3,4}, DAY(XT!U325), DAY(XT!Y325), DAY(XT!AC325), DAY(XT!AG325)), MATCH(1, INDEX(--(MONTH(CHOOSE({1,2,3,4}, XT!U325,XT!Y325,XT!AC325,XT!AG325))=5), 0), 0)), "")</f>
        <v/>
      </c>
      <c r="S325" s="51" t="str">
        <f>IF(XT!$P325&gt;0,R325,"")</f>
        <v/>
      </c>
      <c r="T325" s="51" t="str">
        <f>IF(XT!$P325=0,R325,"")</f>
        <v/>
      </c>
      <c r="U325">
        <f>SUMPRODUCT((MONTH(CHOOSE({1,2,3,4},XT!U325,XT!Y325,XT!AC325,XT!AG325))=6)*(CHOOSE({1,2,3,4},XT!X325,XT!AB325,XT!AF325,XT!AJ325)))</f>
        <v>0</v>
      </c>
      <c r="V325" t="str">
        <f>IFERROR(INDEX(CHOOSE({1,2,3,4}, DAY(XT!U325), DAY(XT!Y325), DAY(XT!AC325), DAY(XT!AG325)), MATCH(1, INDEX(--(MONTH(CHOOSE({1,2,3,4}, XT!U325,XT!Y325,XT!AC325,XT!AG325))=6), 0), 0)), "")</f>
        <v/>
      </c>
      <c r="W325" s="51" t="str">
        <f>IF(XT!$P325&gt;0,V325,"")</f>
        <v/>
      </c>
      <c r="X325" s="51" t="str">
        <f>IF(XT!$P325=0,V325,"")</f>
        <v/>
      </c>
      <c r="Y325">
        <f>SUMPRODUCT((MONTH(CHOOSE({1,2,3,4},XT!U325,XT!Y325,XT!AC325,XT!AG325))=7)*(CHOOSE({1,2,3,4},XT!X325,XT!AB325,XT!AF325,XT!AJ325)))</f>
        <v>0</v>
      </c>
      <c r="Z325" t="str">
        <f>IFERROR(INDEX(CHOOSE({1,2,3,4}, DAY(XT!U325), DAY(XT!Y325), DAY(XT!AC325), DAY(XT!AG325)), MATCH(1, INDEX(--(MONTH(CHOOSE({1,2,3,4}, XT!U325,XT!Y325,XT!AC325,XT!AG325))=7), 0), 0)), "")</f>
        <v/>
      </c>
      <c r="AA325" s="51" t="str">
        <f>IF(XT!$P325&gt;0,Z325,"")</f>
        <v/>
      </c>
      <c r="AB325" s="51" t="str">
        <f>IF(XT!$P325=0,Z325,"")</f>
        <v/>
      </c>
      <c r="AC325">
        <f>SUMPRODUCT((MONTH(CHOOSE({1,2,3,4},XT!U325,XT!Y325,XT!AC325,XT!AG325))=8)*(CHOOSE({1,2,3,4},XT!X325,XT!AB325,XT!AF325,XT!AJ325)))</f>
        <v>0</v>
      </c>
      <c r="AD325" t="str">
        <f>IFERROR(INDEX(CHOOSE({1,2,3,4}, DAY(XT!U325), DAY(XT!Y325), DAY(XT!AC325), DAY(XT!AG325)), MATCH(1, INDEX(--(MONTH(CHOOSE({1,2,3,4}, XT!U325,XT!Y325,XT!AC325,XT!AG325))=8), 0), 0)), "")</f>
        <v/>
      </c>
      <c r="AE325" s="51" t="str">
        <f>IF(XT!$P325&gt;0,AD325,"")</f>
        <v/>
      </c>
      <c r="AF325" s="51" t="str">
        <f>IF(XT!$P325=0,AD325,"")</f>
        <v/>
      </c>
      <c r="AG325">
        <f>SUMPRODUCT((MONTH(CHOOSE({1,2,3,4},XT!U325,XT!Y325,XT!AC325,XT!AG325))=9)*(CHOOSE({1,2,3,4},XT!X325,XT!AB325,XT!AF325,XT!AJ325)))</f>
        <v>0</v>
      </c>
      <c r="AH325" t="str">
        <f>IFERROR(INDEX(CHOOSE({1,2,3,4}, DAY(XT!U325), DAY(XT!Y325), DAY(XT!AC325), DAY(XT!AG325)), MATCH(1, INDEX(--(MONTH(CHOOSE({1,2,3,4}, XT!U325,XT!Y325,XT!AC325,XT!AG325))=9), 0), 0)), "")</f>
        <v/>
      </c>
      <c r="AI325" s="51" t="str">
        <f>IF(XT!$P325&gt;0,AH325,"")</f>
        <v/>
      </c>
      <c r="AJ325" s="51" t="str">
        <f>IF(XT!$P325=0,AH325,"")</f>
        <v/>
      </c>
      <c r="AK325">
        <f>SUMPRODUCT((MONTH(CHOOSE({1,2,3,4},XT!U325,XT!Y325,XT!AC325,XT!AG325))=10)*(CHOOSE({1,2,3,4},XT!X325,XT!AB325,XT!AF325,XT!AJ325)))</f>
        <v>0</v>
      </c>
      <c r="AL325" t="str">
        <f>IFERROR(INDEX(CHOOSE({1,2,3,4}, DAY(XT!U325), DAY(XT!Y325), DAY(XT!AC325), DAY(XT!AG325)), MATCH(1, INDEX(--(MONTH(CHOOSE({1,2,3,4}, XT!U325,XT!Y325,XT!AC325,XT!AG325))=10), 0), 0)), "")</f>
        <v/>
      </c>
      <c r="AM325" s="51" t="str">
        <f>IF(XT!$P325&gt;0,AL325,"")</f>
        <v/>
      </c>
      <c r="AN325" s="51" t="str">
        <f>IF(XT!$P325=0,AL325,"")</f>
        <v/>
      </c>
      <c r="AO325">
        <f>SUMPRODUCT((MONTH(CHOOSE({1,2,3,4},XT!U325,XT!Y325,XT!AC325,XT!AG325))=11)*(CHOOSE({1,2,3,4},XT!X325,XT!AB325,XT!AF325,XT!AJ325)))</f>
        <v>0</v>
      </c>
      <c r="AP325" t="str">
        <f>IFERROR(INDEX(CHOOSE({1,2,3,4}, DAY(XT!U325), DAY(XT!Y325), DAY(XT!AC325), DAY(XT!AG325)), MATCH(1, INDEX(--(MONTH(CHOOSE({1,2,3,4}, XT!U325,XT!Y325,XT!AC325,XT!AG325))=11), 0), 0)), "")</f>
        <v/>
      </c>
      <c r="AQ325" s="51" t="str">
        <f>IF(XT!$P325&gt;0,AP325,"")</f>
        <v/>
      </c>
      <c r="AR325" s="51" t="str">
        <f>IF(XT!$P325=0,AP325,"")</f>
        <v/>
      </c>
      <c r="AS325">
        <f>SUMPRODUCT((MONTH(CHOOSE({1,2,3,4},XT!U325,XT!Y325,XT!AC325,XT!AG325))=12)*(CHOOSE({1,2,3,4},XT!X325,XT!AB325,XT!AF325,XT!AJ325)))</f>
        <v>0</v>
      </c>
      <c r="AT325" t="str">
        <f>IFERROR(INDEX(CHOOSE({1,2,3,4}, DAY(XT!U325), DAY(XT!Y325), DAY(XT!AC325), DAY(XT!AG325)), MATCH(1, INDEX(--(MONTH(CHOOSE({1,2,3,4}, XT!U325,XT!Y325,XT!AC325,XT!AG325))=12), 0), 0)), "")</f>
        <v/>
      </c>
      <c r="AU325" s="51" t="str">
        <f>IF(XT!$P325&gt;0,AT325,"")</f>
        <v/>
      </c>
      <c r="AV325" s="51" t="str">
        <f>IF(XT!$P325=0,AT325,"")</f>
        <v/>
      </c>
    </row>
    <row r="326" spans="1:48">
      <c r="A326">
        <f>SUMPRODUCT((MONTH(CHOOSE({1,2,3,4},XT!U326,XT!Y326,XT!AC326,XT!AG326))=1)*(CHOOSE({1,2,3,4},XT!X326,XT!AB326,XT!AF326,XT!AJ326)))</f>
        <v>0</v>
      </c>
      <c r="B326">
        <f>IFERROR(INDEX(CHOOSE({1,2,3,4}, DAY(XT!U326), DAY(XT!Y326), DAY(XT!AC326), DAY(XT!AG326)), MATCH(1, INDEX(--(MONTH(CHOOSE({1,2,3,4}, XT!U326,XT!Y326,XT!AC326,XT!AG326))=1), 0), 0)), "")</f>
        <v>0</v>
      </c>
      <c r="C326" s="51" t="str">
        <f>IF(XT!$P326&gt;0,B326,"")</f>
        <v/>
      </c>
      <c r="D326" s="51">
        <f>IF(XT!$P326=0,B326,"")</f>
        <v>0</v>
      </c>
      <c r="E326">
        <f>SUMPRODUCT((MONTH(CHOOSE({1,2,3,4},XT!U326,XT!Y326,XT!AC326,XT!AG326))=2)*(CHOOSE({1,2,3,4},XT!X326,XT!AB326,XT!AF326,XT!AJ326)))</f>
        <v>0</v>
      </c>
      <c r="F326" t="str">
        <f>IFERROR(INDEX(CHOOSE({1,2,3,4}, DAY(XT!U326), DAY(XT!Y326), DAY(XT!AC326), DAY(XT!AG326)), MATCH(1, INDEX(--(MONTH(CHOOSE({1,2,3,4}, XT!U326,XT!Y326,XT!AC326,XT!AG326))=2), 0), 0)), "")</f>
        <v/>
      </c>
      <c r="G326" s="51" t="str">
        <f>IF(XT!$P326&gt;0,F326,"")</f>
        <v/>
      </c>
      <c r="H326" s="51" t="str">
        <f>IF(XT!$P326=0,F326,"")</f>
        <v/>
      </c>
      <c r="I326">
        <f>SUMPRODUCT((MONTH(CHOOSE({1,2,3,4},XT!U326,XT!Y326,XT!AC326,XT!AG326))=3)*(CHOOSE({1,2,3,4},XT!X326,XT!AB326,XT!AF326,XT!AJ326)))</f>
        <v>0</v>
      </c>
      <c r="J326" t="str">
        <f>IFERROR(INDEX(CHOOSE({1,2,3,4}, DAY(XT!U326), DAY(XT!Y326), DAY(XT!AC326), DAY(XT!AG326)), MATCH(1, INDEX(--(MONTH(CHOOSE({1,2,3,4}, XT!U326,XT!Y326,XT!AC326,XT!AG326))=3), 0), 0)), "")</f>
        <v/>
      </c>
      <c r="K326" s="51" t="str">
        <f>IF(XT!$P326&gt;0,J326,"")</f>
        <v/>
      </c>
      <c r="L326" s="51" t="str">
        <f>IF(XT!$P326=0,J326,"")</f>
        <v/>
      </c>
      <c r="M326">
        <f>SUMPRODUCT((MONTH(CHOOSE({1,2,3,4},XT!U326,XT!Y326,XT!AC326,XT!AG326))=4)*(CHOOSE({1,2,3,4},XT!X326,XT!AB326,XT!AF326,XT!AJ326)))</f>
        <v>0</v>
      </c>
      <c r="N326" t="str">
        <f>IFERROR(INDEX(CHOOSE({1,2,3,4}, DAY(XT!U326), DAY(XT!Y326), DAY(XT!AC326), DAY(XT!AG326)), MATCH(1, INDEX(--(MONTH(CHOOSE({1,2,3,4}, XT!U326,XT!Y326,XT!AC326,XT!AG326))=4), 0), 0)), "")</f>
        <v/>
      </c>
      <c r="O326" s="51" t="str">
        <f>IF(XT!$P326&gt;0,N326,"")</f>
        <v/>
      </c>
      <c r="P326" s="51" t="str">
        <f>IF(XT!$P326=0,N326,"")</f>
        <v/>
      </c>
      <c r="Q326">
        <f>SUMPRODUCT((MONTH(CHOOSE({1,2,3,4},XT!U326,XT!Y326,XT!AC326,XT!AG326))=5)*(CHOOSE({1,2,3,4},XT!X326,XT!AB326,XT!AF326,XT!AJ326)))</f>
        <v>0</v>
      </c>
      <c r="R326" t="str">
        <f>IFERROR(INDEX(CHOOSE({1,2,3,4}, DAY(XT!U326), DAY(XT!Y326), DAY(XT!AC326), DAY(XT!AG326)), MATCH(1, INDEX(--(MONTH(CHOOSE({1,2,3,4}, XT!U326,XT!Y326,XT!AC326,XT!AG326))=5), 0), 0)), "")</f>
        <v/>
      </c>
      <c r="S326" s="51" t="str">
        <f>IF(XT!$P326&gt;0,R326,"")</f>
        <v/>
      </c>
      <c r="T326" s="51" t="str">
        <f>IF(XT!$P326=0,R326,"")</f>
        <v/>
      </c>
      <c r="U326">
        <f>SUMPRODUCT((MONTH(CHOOSE({1,2,3,4},XT!U326,XT!Y326,XT!AC326,XT!AG326))=6)*(CHOOSE({1,2,3,4},XT!X326,XT!AB326,XT!AF326,XT!AJ326)))</f>
        <v>0</v>
      </c>
      <c r="V326" t="str">
        <f>IFERROR(INDEX(CHOOSE({1,2,3,4}, DAY(XT!U326), DAY(XT!Y326), DAY(XT!AC326), DAY(XT!AG326)), MATCH(1, INDEX(--(MONTH(CHOOSE({1,2,3,4}, XT!U326,XT!Y326,XT!AC326,XT!AG326))=6), 0), 0)), "")</f>
        <v/>
      </c>
      <c r="W326" s="51" t="str">
        <f>IF(XT!$P326&gt;0,V326,"")</f>
        <v/>
      </c>
      <c r="X326" s="51" t="str">
        <f>IF(XT!$P326=0,V326,"")</f>
        <v/>
      </c>
      <c r="Y326">
        <f>SUMPRODUCT((MONTH(CHOOSE({1,2,3,4},XT!U326,XT!Y326,XT!AC326,XT!AG326))=7)*(CHOOSE({1,2,3,4},XT!X326,XT!AB326,XT!AF326,XT!AJ326)))</f>
        <v>0</v>
      </c>
      <c r="Z326" t="str">
        <f>IFERROR(INDEX(CHOOSE({1,2,3,4}, DAY(XT!U326), DAY(XT!Y326), DAY(XT!AC326), DAY(XT!AG326)), MATCH(1, INDEX(--(MONTH(CHOOSE({1,2,3,4}, XT!U326,XT!Y326,XT!AC326,XT!AG326))=7), 0), 0)), "")</f>
        <v/>
      </c>
      <c r="AA326" s="51" t="str">
        <f>IF(XT!$P326&gt;0,Z326,"")</f>
        <v/>
      </c>
      <c r="AB326" s="51" t="str">
        <f>IF(XT!$P326=0,Z326,"")</f>
        <v/>
      </c>
      <c r="AC326">
        <f>SUMPRODUCT((MONTH(CHOOSE({1,2,3,4},XT!U326,XT!Y326,XT!AC326,XT!AG326))=8)*(CHOOSE({1,2,3,4},XT!X326,XT!AB326,XT!AF326,XT!AJ326)))</f>
        <v>0</v>
      </c>
      <c r="AD326" t="str">
        <f>IFERROR(INDEX(CHOOSE({1,2,3,4}, DAY(XT!U326), DAY(XT!Y326), DAY(XT!AC326), DAY(XT!AG326)), MATCH(1, INDEX(--(MONTH(CHOOSE({1,2,3,4}, XT!U326,XT!Y326,XT!AC326,XT!AG326))=8), 0), 0)), "")</f>
        <v/>
      </c>
      <c r="AE326" s="51" t="str">
        <f>IF(XT!$P326&gt;0,AD326,"")</f>
        <v/>
      </c>
      <c r="AF326" s="51" t="str">
        <f>IF(XT!$P326=0,AD326,"")</f>
        <v/>
      </c>
      <c r="AG326">
        <f>SUMPRODUCT((MONTH(CHOOSE({1,2,3,4},XT!U326,XT!Y326,XT!AC326,XT!AG326))=9)*(CHOOSE({1,2,3,4},XT!X326,XT!AB326,XT!AF326,XT!AJ326)))</f>
        <v>0</v>
      </c>
      <c r="AH326" t="str">
        <f>IFERROR(INDEX(CHOOSE({1,2,3,4}, DAY(XT!U326), DAY(XT!Y326), DAY(XT!AC326), DAY(XT!AG326)), MATCH(1, INDEX(--(MONTH(CHOOSE({1,2,3,4}, XT!U326,XT!Y326,XT!AC326,XT!AG326))=9), 0), 0)), "")</f>
        <v/>
      </c>
      <c r="AI326" s="51" t="str">
        <f>IF(XT!$P326&gt;0,AH326,"")</f>
        <v/>
      </c>
      <c r="AJ326" s="51" t="str">
        <f>IF(XT!$P326=0,AH326,"")</f>
        <v/>
      </c>
      <c r="AK326">
        <f>SUMPRODUCT((MONTH(CHOOSE({1,2,3,4},XT!U326,XT!Y326,XT!AC326,XT!AG326))=10)*(CHOOSE({1,2,3,4},XT!X326,XT!AB326,XT!AF326,XT!AJ326)))</f>
        <v>0</v>
      </c>
      <c r="AL326" t="str">
        <f>IFERROR(INDEX(CHOOSE({1,2,3,4}, DAY(XT!U326), DAY(XT!Y326), DAY(XT!AC326), DAY(XT!AG326)), MATCH(1, INDEX(--(MONTH(CHOOSE({1,2,3,4}, XT!U326,XT!Y326,XT!AC326,XT!AG326))=10), 0), 0)), "")</f>
        <v/>
      </c>
      <c r="AM326" s="51" t="str">
        <f>IF(XT!$P326&gt;0,AL326,"")</f>
        <v/>
      </c>
      <c r="AN326" s="51" t="str">
        <f>IF(XT!$P326=0,AL326,"")</f>
        <v/>
      </c>
      <c r="AO326">
        <f>SUMPRODUCT((MONTH(CHOOSE({1,2,3,4},XT!U326,XT!Y326,XT!AC326,XT!AG326))=11)*(CHOOSE({1,2,3,4},XT!X326,XT!AB326,XT!AF326,XT!AJ326)))</f>
        <v>0</v>
      </c>
      <c r="AP326" t="str">
        <f>IFERROR(INDEX(CHOOSE({1,2,3,4}, DAY(XT!U326), DAY(XT!Y326), DAY(XT!AC326), DAY(XT!AG326)), MATCH(1, INDEX(--(MONTH(CHOOSE({1,2,3,4}, XT!U326,XT!Y326,XT!AC326,XT!AG326))=11), 0), 0)), "")</f>
        <v/>
      </c>
      <c r="AQ326" s="51" t="str">
        <f>IF(XT!$P326&gt;0,AP326,"")</f>
        <v/>
      </c>
      <c r="AR326" s="51" t="str">
        <f>IF(XT!$P326=0,AP326,"")</f>
        <v/>
      </c>
      <c r="AS326">
        <f>SUMPRODUCT((MONTH(CHOOSE({1,2,3,4},XT!U326,XT!Y326,XT!AC326,XT!AG326))=12)*(CHOOSE({1,2,3,4},XT!X326,XT!AB326,XT!AF326,XT!AJ326)))</f>
        <v>0</v>
      </c>
      <c r="AT326" t="str">
        <f>IFERROR(INDEX(CHOOSE({1,2,3,4}, DAY(XT!U326), DAY(XT!Y326), DAY(XT!AC326), DAY(XT!AG326)), MATCH(1, INDEX(--(MONTH(CHOOSE({1,2,3,4}, XT!U326,XT!Y326,XT!AC326,XT!AG326))=12), 0), 0)), "")</f>
        <v/>
      </c>
      <c r="AU326" s="51" t="str">
        <f>IF(XT!$P326&gt;0,AT326,"")</f>
        <v/>
      </c>
      <c r="AV326" s="51" t="str">
        <f>IF(XT!$P326=0,AT326,"")</f>
        <v/>
      </c>
    </row>
    <row r="327" spans="1:48">
      <c r="A327">
        <f>SUMPRODUCT((MONTH(CHOOSE({1,2,3,4},XT!U327,XT!Y327,XT!AC327,XT!AG327))=1)*(CHOOSE({1,2,3,4},XT!X327,XT!AB327,XT!AF327,XT!AJ327)))</f>
        <v>0</v>
      </c>
      <c r="B327">
        <f>IFERROR(INDEX(CHOOSE({1,2,3,4}, DAY(XT!U327), DAY(XT!Y327), DAY(XT!AC327), DAY(XT!AG327)), MATCH(1, INDEX(--(MONTH(CHOOSE({1,2,3,4}, XT!U327,XT!Y327,XT!AC327,XT!AG327))=1), 0), 0)), "")</f>
        <v>0</v>
      </c>
      <c r="C327" s="51" t="str">
        <f>IF(XT!$P327&gt;0,B327,"")</f>
        <v/>
      </c>
      <c r="D327" s="51">
        <f>IF(XT!$P327=0,B327,"")</f>
        <v>0</v>
      </c>
      <c r="E327">
        <f>SUMPRODUCT((MONTH(CHOOSE({1,2,3,4},XT!U327,XT!Y327,XT!AC327,XT!AG327))=2)*(CHOOSE({1,2,3,4},XT!X327,XT!AB327,XT!AF327,XT!AJ327)))</f>
        <v>0</v>
      </c>
      <c r="F327" t="str">
        <f>IFERROR(INDEX(CHOOSE({1,2,3,4}, DAY(XT!U327), DAY(XT!Y327), DAY(XT!AC327), DAY(XT!AG327)), MATCH(1, INDEX(--(MONTH(CHOOSE({1,2,3,4}, XT!U327,XT!Y327,XT!AC327,XT!AG327))=2), 0), 0)), "")</f>
        <v/>
      </c>
      <c r="G327" s="51" t="str">
        <f>IF(XT!$P327&gt;0,F327,"")</f>
        <v/>
      </c>
      <c r="H327" s="51" t="str">
        <f>IF(XT!$P327=0,F327,"")</f>
        <v/>
      </c>
      <c r="I327">
        <f>SUMPRODUCT((MONTH(CHOOSE({1,2,3,4},XT!U327,XT!Y327,XT!AC327,XT!AG327))=3)*(CHOOSE({1,2,3,4},XT!X327,XT!AB327,XT!AF327,XT!AJ327)))</f>
        <v>0</v>
      </c>
      <c r="J327" t="str">
        <f>IFERROR(INDEX(CHOOSE({1,2,3,4}, DAY(XT!U327), DAY(XT!Y327), DAY(XT!AC327), DAY(XT!AG327)), MATCH(1, INDEX(--(MONTH(CHOOSE({1,2,3,4}, XT!U327,XT!Y327,XT!AC327,XT!AG327))=3), 0), 0)), "")</f>
        <v/>
      </c>
      <c r="K327" s="51" t="str">
        <f>IF(XT!$P327&gt;0,J327,"")</f>
        <v/>
      </c>
      <c r="L327" s="51" t="str">
        <f>IF(XT!$P327=0,J327,"")</f>
        <v/>
      </c>
      <c r="M327">
        <f>SUMPRODUCT((MONTH(CHOOSE({1,2,3,4},XT!U327,XT!Y327,XT!AC327,XT!AG327))=4)*(CHOOSE({1,2,3,4},XT!X327,XT!AB327,XT!AF327,XT!AJ327)))</f>
        <v>0</v>
      </c>
      <c r="N327" t="str">
        <f>IFERROR(INDEX(CHOOSE({1,2,3,4}, DAY(XT!U327), DAY(XT!Y327), DAY(XT!AC327), DAY(XT!AG327)), MATCH(1, INDEX(--(MONTH(CHOOSE({1,2,3,4}, XT!U327,XT!Y327,XT!AC327,XT!AG327))=4), 0), 0)), "")</f>
        <v/>
      </c>
      <c r="O327" s="51" t="str">
        <f>IF(XT!$P327&gt;0,N327,"")</f>
        <v/>
      </c>
      <c r="P327" s="51" t="str">
        <f>IF(XT!$P327=0,N327,"")</f>
        <v/>
      </c>
      <c r="Q327">
        <f>SUMPRODUCT((MONTH(CHOOSE({1,2,3,4},XT!U327,XT!Y327,XT!AC327,XT!AG327))=5)*(CHOOSE({1,2,3,4},XT!X327,XT!AB327,XT!AF327,XT!AJ327)))</f>
        <v>0</v>
      </c>
      <c r="R327" t="str">
        <f>IFERROR(INDEX(CHOOSE({1,2,3,4}, DAY(XT!U327), DAY(XT!Y327), DAY(XT!AC327), DAY(XT!AG327)), MATCH(1, INDEX(--(MONTH(CHOOSE({1,2,3,4}, XT!U327,XT!Y327,XT!AC327,XT!AG327))=5), 0), 0)), "")</f>
        <v/>
      </c>
      <c r="S327" s="51" t="str">
        <f>IF(XT!$P327&gt;0,R327,"")</f>
        <v/>
      </c>
      <c r="T327" s="51" t="str">
        <f>IF(XT!$P327=0,R327,"")</f>
        <v/>
      </c>
      <c r="U327">
        <f>SUMPRODUCT((MONTH(CHOOSE({1,2,3,4},XT!U327,XT!Y327,XT!AC327,XT!AG327))=6)*(CHOOSE({1,2,3,4},XT!X327,XT!AB327,XT!AF327,XT!AJ327)))</f>
        <v>0</v>
      </c>
      <c r="V327" t="str">
        <f>IFERROR(INDEX(CHOOSE({1,2,3,4}, DAY(XT!U327), DAY(XT!Y327), DAY(XT!AC327), DAY(XT!AG327)), MATCH(1, INDEX(--(MONTH(CHOOSE({1,2,3,4}, XT!U327,XT!Y327,XT!AC327,XT!AG327))=6), 0), 0)), "")</f>
        <v/>
      </c>
      <c r="W327" s="51" t="str">
        <f>IF(XT!$P327&gt;0,V327,"")</f>
        <v/>
      </c>
      <c r="X327" s="51" t="str">
        <f>IF(XT!$P327=0,V327,"")</f>
        <v/>
      </c>
      <c r="Y327">
        <f>SUMPRODUCT((MONTH(CHOOSE({1,2,3,4},XT!U327,XT!Y327,XT!AC327,XT!AG327))=7)*(CHOOSE({1,2,3,4},XT!X327,XT!AB327,XT!AF327,XT!AJ327)))</f>
        <v>0</v>
      </c>
      <c r="Z327" t="str">
        <f>IFERROR(INDEX(CHOOSE({1,2,3,4}, DAY(XT!U327), DAY(XT!Y327), DAY(XT!AC327), DAY(XT!AG327)), MATCH(1, INDEX(--(MONTH(CHOOSE({1,2,3,4}, XT!U327,XT!Y327,XT!AC327,XT!AG327))=7), 0), 0)), "")</f>
        <v/>
      </c>
      <c r="AA327" s="51" t="str">
        <f>IF(XT!$P327&gt;0,Z327,"")</f>
        <v/>
      </c>
      <c r="AB327" s="51" t="str">
        <f>IF(XT!$P327=0,Z327,"")</f>
        <v/>
      </c>
      <c r="AC327">
        <f>SUMPRODUCT((MONTH(CHOOSE({1,2,3,4},XT!U327,XT!Y327,XT!AC327,XT!AG327))=8)*(CHOOSE({1,2,3,4},XT!X327,XT!AB327,XT!AF327,XT!AJ327)))</f>
        <v>0</v>
      </c>
      <c r="AD327" t="str">
        <f>IFERROR(INDEX(CHOOSE({1,2,3,4}, DAY(XT!U327), DAY(XT!Y327), DAY(XT!AC327), DAY(XT!AG327)), MATCH(1, INDEX(--(MONTH(CHOOSE({1,2,3,4}, XT!U327,XT!Y327,XT!AC327,XT!AG327))=8), 0), 0)), "")</f>
        <v/>
      </c>
      <c r="AE327" s="51" t="str">
        <f>IF(XT!$P327&gt;0,AD327,"")</f>
        <v/>
      </c>
      <c r="AF327" s="51" t="str">
        <f>IF(XT!$P327=0,AD327,"")</f>
        <v/>
      </c>
      <c r="AG327">
        <f>SUMPRODUCT((MONTH(CHOOSE({1,2,3,4},XT!U327,XT!Y327,XT!AC327,XT!AG327))=9)*(CHOOSE({1,2,3,4},XT!X327,XT!AB327,XT!AF327,XT!AJ327)))</f>
        <v>0</v>
      </c>
      <c r="AH327" t="str">
        <f>IFERROR(INDEX(CHOOSE({1,2,3,4}, DAY(XT!U327), DAY(XT!Y327), DAY(XT!AC327), DAY(XT!AG327)), MATCH(1, INDEX(--(MONTH(CHOOSE({1,2,3,4}, XT!U327,XT!Y327,XT!AC327,XT!AG327))=9), 0), 0)), "")</f>
        <v/>
      </c>
      <c r="AI327" s="51" t="str">
        <f>IF(XT!$P327&gt;0,AH327,"")</f>
        <v/>
      </c>
      <c r="AJ327" s="51" t="str">
        <f>IF(XT!$P327=0,AH327,"")</f>
        <v/>
      </c>
      <c r="AK327">
        <f>SUMPRODUCT((MONTH(CHOOSE({1,2,3,4},XT!U327,XT!Y327,XT!AC327,XT!AG327))=10)*(CHOOSE({1,2,3,4},XT!X327,XT!AB327,XT!AF327,XT!AJ327)))</f>
        <v>0</v>
      </c>
      <c r="AL327" t="str">
        <f>IFERROR(INDEX(CHOOSE({1,2,3,4}, DAY(XT!U327), DAY(XT!Y327), DAY(XT!AC327), DAY(XT!AG327)), MATCH(1, INDEX(--(MONTH(CHOOSE({1,2,3,4}, XT!U327,XT!Y327,XT!AC327,XT!AG327))=10), 0), 0)), "")</f>
        <v/>
      </c>
      <c r="AM327" s="51" t="str">
        <f>IF(XT!$P327&gt;0,AL327,"")</f>
        <v/>
      </c>
      <c r="AN327" s="51" t="str">
        <f>IF(XT!$P327=0,AL327,"")</f>
        <v/>
      </c>
      <c r="AO327">
        <f>SUMPRODUCT((MONTH(CHOOSE({1,2,3,4},XT!U327,XT!Y327,XT!AC327,XT!AG327))=11)*(CHOOSE({1,2,3,4},XT!X327,XT!AB327,XT!AF327,XT!AJ327)))</f>
        <v>0</v>
      </c>
      <c r="AP327" t="str">
        <f>IFERROR(INDEX(CHOOSE({1,2,3,4}, DAY(XT!U327), DAY(XT!Y327), DAY(XT!AC327), DAY(XT!AG327)), MATCH(1, INDEX(--(MONTH(CHOOSE({1,2,3,4}, XT!U327,XT!Y327,XT!AC327,XT!AG327))=11), 0), 0)), "")</f>
        <v/>
      </c>
      <c r="AQ327" s="51" t="str">
        <f>IF(XT!$P327&gt;0,AP327,"")</f>
        <v/>
      </c>
      <c r="AR327" s="51" t="str">
        <f>IF(XT!$P327=0,AP327,"")</f>
        <v/>
      </c>
      <c r="AS327">
        <f>SUMPRODUCT((MONTH(CHOOSE({1,2,3,4},XT!U327,XT!Y327,XT!AC327,XT!AG327))=12)*(CHOOSE({1,2,3,4},XT!X327,XT!AB327,XT!AF327,XT!AJ327)))</f>
        <v>0</v>
      </c>
      <c r="AT327" t="str">
        <f>IFERROR(INDEX(CHOOSE({1,2,3,4}, DAY(XT!U327), DAY(XT!Y327), DAY(XT!AC327), DAY(XT!AG327)), MATCH(1, INDEX(--(MONTH(CHOOSE({1,2,3,4}, XT!U327,XT!Y327,XT!AC327,XT!AG327))=12), 0), 0)), "")</f>
        <v/>
      </c>
      <c r="AU327" s="51" t="str">
        <f>IF(XT!$P327&gt;0,AT327,"")</f>
        <v/>
      </c>
      <c r="AV327" s="51" t="str">
        <f>IF(XT!$P327=0,AT327,"")</f>
        <v/>
      </c>
    </row>
    <row r="328" spans="1:48">
      <c r="A328">
        <f>SUMPRODUCT((MONTH(CHOOSE({1,2,3,4},XT!U328,XT!Y328,XT!AC328,XT!AG328))=1)*(CHOOSE({1,2,3,4},XT!X328,XT!AB328,XT!AF328,XT!AJ328)))</f>
        <v>0</v>
      </c>
      <c r="B328">
        <f>IFERROR(INDEX(CHOOSE({1,2,3,4}, DAY(XT!U328), DAY(XT!Y328), DAY(XT!AC328), DAY(XT!AG328)), MATCH(1, INDEX(--(MONTH(CHOOSE({1,2,3,4}, XT!U328,XT!Y328,XT!AC328,XT!AG328))=1), 0), 0)), "")</f>
        <v>0</v>
      </c>
      <c r="C328" s="51" t="str">
        <f>IF(XT!$P328&gt;0,B328,"")</f>
        <v/>
      </c>
      <c r="D328" s="51">
        <f>IF(XT!$P328=0,B328,"")</f>
        <v>0</v>
      </c>
      <c r="E328">
        <f>SUMPRODUCT((MONTH(CHOOSE({1,2,3,4},XT!U328,XT!Y328,XT!AC328,XT!AG328))=2)*(CHOOSE({1,2,3,4},XT!X328,XT!AB328,XT!AF328,XT!AJ328)))</f>
        <v>0</v>
      </c>
      <c r="F328" t="str">
        <f>IFERROR(INDEX(CHOOSE({1,2,3,4}, DAY(XT!U328), DAY(XT!Y328), DAY(XT!AC328), DAY(XT!AG328)), MATCH(1, INDEX(--(MONTH(CHOOSE({1,2,3,4}, XT!U328,XT!Y328,XT!AC328,XT!AG328))=2), 0), 0)), "")</f>
        <v/>
      </c>
      <c r="G328" s="51" t="str">
        <f>IF(XT!$P328&gt;0,F328,"")</f>
        <v/>
      </c>
      <c r="H328" s="51" t="str">
        <f>IF(XT!$P328=0,F328,"")</f>
        <v/>
      </c>
      <c r="I328">
        <f>SUMPRODUCT((MONTH(CHOOSE({1,2,3,4},XT!U328,XT!Y328,XT!AC328,XT!AG328))=3)*(CHOOSE({1,2,3,4},XT!X328,XT!AB328,XT!AF328,XT!AJ328)))</f>
        <v>0</v>
      </c>
      <c r="J328" t="str">
        <f>IFERROR(INDEX(CHOOSE({1,2,3,4}, DAY(XT!U328), DAY(XT!Y328), DAY(XT!AC328), DAY(XT!AG328)), MATCH(1, INDEX(--(MONTH(CHOOSE({1,2,3,4}, XT!U328,XT!Y328,XT!AC328,XT!AG328))=3), 0), 0)), "")</f>
        <v/>
      </c>
      <c r="K328" s="51" t="str">
        <f>IF(XT!$P328&gt;0,J328,"")</f>
        <v/>
      </c>
      <c r="L328" s="51" t="str">
        <f>IF(XT!$P328=0,J328,"")</f>
        <v/>
      </c>
      <c r="M328">
        <f>SUMPRODUCT((MONTH(CHOOSE({1,2,3,4},XT!U328,XT!Y328,XT!AC328,XT!AG328))=4)*(CHOOSE({1,2,3,4},XT!X328,XT!AB328,XT!AF328,XT!AJ328)))</f>
        <v>0</v>
      </c>
      <c r="N328" t="str">
        <f>IFERROR(INDEX(CHOOSE({1,2,3,4}, DAY(XT!U328), DAY(XT!Y328), DAY(XT!AC328), DAY(XT!AG328)), MATCH(1, INDEX(--(MONTH(CHOOSE({1,2,3,4}, XT!U328,XT!Y328,XT!AC328,XT!AG328))=4), 0), 0)), "")</f>
        <v/>
      </c>
      <c r="O328" s="51" t="str">
        <f>IF(XT!$P328&gt;0,N328,"")</f>
        <v/>
      </c>
      <c r="P328" s="51" t="str">
        <f>IF(XT!$P328=0,N328,"")</f>
        <v/>
      </c>
      <c r="Q328">
        <f>SUMPRODUCT((MONTH(CHOOSE({1,2,3,4},XT!U328,XT!Y328,XT!AC328,XT!AG328))=5)*(CHOOSE({1,2,3,4},XT!X328,XT!AB328,XT!AF328,XT!AJ328)))</f>
        <v>0</v>
      </c>
      <c r="R328" t="str">
        <f>IFERROR(INDEX(CHOOSE({1,2,3,4}, DAY(XT!U328), DAY(XT!Y328), DAY(XT!AC328), DAY(XT!AG328)), MATCH(1, INDEX(--(MONTH(CHOOSE({1,2,3,4}, XT!U328,XT!Y328,XT!AC328,XT!AG328))=5), 0), 0)), "")</f>
        <v/>
      </c>
      <c r="S328" s="51" t="str">
        <f>IF(XT!$P328&gt;0,R328,"")</f>
        <v/>
      </c>
      <c r="T328" s="51" t="str">
        <f>IF(XT!$P328=0,R328,"")</f>
        <v/>
      </c>
      <c r="U328">
        <f>SUMPRODUCT((MONTH(CHOOSE({1,2,3,4},XT!U328,XT!Y328,XT!AC328,XT!AG328))=6)*(CHOOSE({1,2,3,4},XT!X328,XT!AB328,XT!AF328,XT!AJ328)))</f>
        <v>0</v>
      </c>
      <c r="V328" t="str">
        <f>IFERROR(INDEX(CHOOSE({1,2,3,4}, DAY(XT!U328), DAY(XT!Y328), DAY(XT!AC328), DAY(XT!AG328)), MATCH(1, INDEX(--(MONTH(CHOOSE({1,2,3,4}, XT!U328,XT!Y328,XT!AC328,XT!AG328))=6), 0), 0)), "")</f>
        <v/>
      </c>
      <c r="W328" s="51" t="str">
        <f>IF(XT!$P328&gt;0,V328,"")</f>
        <v/>
      </c>
      <c r="X328" s="51" t="str">
        <f>IF(XT!$P328=0,V328,"")</f>
        <v/>
      </c>
      <c r="Y328">
        <f>SUMPRODUCT((MONTH(CHOOSE({1,2,3,4},XT!U328,XT!Y328,XT!AC328,XT!AG328))=7)*(CHOOSE({1,2,3,4},XT!X328,XT!AB328,XT!AF328,XT!AJ328)))</f>
        <v>0</v>
      </c>
      <c r="Z328" t="str">
        <f>IFERROR(INDEX(CHOOSE({1,2,3,4}, DAY(XT!U328), DAY(XT!Y328), DAY(XT!AC328), DAY(XT!AG328)), MATCH(1, INDEX(--(MONTH(CHOOSE({1,2,3,4}, XT!U328,XT!Y328,XT!AC328,XT!AG328))=7), 0), 0)), "")</f>
        <v/>
      </c>
      <c r="AA328" s="51" t="str">
        <f>IF(XT!$P328&gt;0,Z328,"")</f>
        <v/>
      </c>
      <c r="AB328" s="51" t="str">
        <f>IF(XT!$P328=0,Z328,"")</f>
        <v/>
      </c>
      <c r="AC328">
        <f>SUMPRODUCT((MONTH(CHOOSE({1,2,3,4},XT!U328,XT!Y328,XT!AC328,XT!AG328))=8)*(CHOOSE({1,2,3,4},XT!X328,XT!AB328,XT!AF328,XT!AJ328)))</f>
        <v>0</v>
      </c>
      <c r="AD328" t="str">
        <f>IFERROR(INDEX(CHOOSE({1,2,3,4}, DAY(XT!U328), DAY(XT!Y328), DAY(XT!AC328), DAY(XT!AG328)), MATCH(1, INDEX(--(MONTH(CHOOSE({1,2,3,4}, XT!U328,XT!Y328,XT!AC328,XT!AG328))=8), 0), 0)), "")</f>
        <v/>
      </c>
      <c r="AE328" s="51" t="str">
        <f>IF(XT!$P328&gt;0,AD328,"")</f>
        <v/>
      </c>
      <c r="AF328" s="51" t="str">
        <f>IF(XT!$P328=0,AD328,"")</f>
        <v/>
      </c>
      <c r="AG328">
        <f>SUMPRODUCT((MONTH(CHOOSE({1,2,3,4},XT!U328,XT!Y328,XT!AC328,XT!AG328))=9)*(CHOOSE({1,2,3,4},XT!X328,XT!AB328,XT!AF328,XT!AJ328)))</f>
        <v>0</v>
      </c>
      <c r="AH328" t="str">
        <f>IFERROR(INDEX(CHOOSE({1,2,3,4}, DAY(XT!U328), DAY(XT!Y328), DAY(XT!AC328), DAY(XT!AG328)), MATCH(1, INDEX(--(MONTH(CHOOSE({1,2,3,4}, XT!U328,XT!Y328,XT!AC328,XT!AG328))=9), 0), 0)), "")</f>
        <v/>
      </c>
      <c r="AI328" s="51" t="str">
        <f>IF(XT!$P328&gt;0,AH328,"")</f>
        <v/>
      </c>
      <c r="AJ328" s="51" t="str">
        <f>IF(XT!$P328=0,AH328,"")</f>
        <v/>
      </c>
      <c r="AK328">
        <f>SUMPRODUCT((MONTH(CHOOSE({1,2,3,4},XT!U328,XT!Y328,XT!AC328,XT!AG328))=10)*(CHOOSE({1,2,3,4},XT!X328,XT!AB328,XT!AF328,XT!AJ328)))</f>
        <v>0</v>
      </c>
      <c r="AL328" t="str">
        <f>IFERROR(INDEX(CHOOSE({1,2,3,4}, DAY(XT!U328), DAY(XT!Y328), DAY(XT!AC328), DAY(XT!AG328)), MATCH(1, INDEX(--(MONTH(CHOOSE({1,2,3,4}, XT!U328,XT!Y328,XT!AC328,XT!AG328))=10), 0), 0)), "")</f>
        <v/>
      </c>
      <c r="AM328" s="51" t="str">
        <f>IF(XT!$P328&gt;0,AL328,"")</f>
        <v/>
      </c>
      <c r="AN328" s="51" t="str">
        <f>IF(XT!$P328=0,AL328,"")</f>
        <v/>
      </c>
      <c r="AO328">
        <f>SUMPRODUCT((MONTH(CHOOSE({1,2,3,4},XT!U328,XT!Y328,XT!AC328,XT!AG328))=11)*(CHOOSE({1,2,3,4},XT!X328,XT!AB328,XT!AF328,XT!AJ328)))</f>
        <v>0</v>
      </c>
      <c r="AP328" t="str">
        <f>IFERROR(INDEX(CHOOSE({1,2,3,4}, DAY(XT!U328), DAY(XT!Y328), DAY(XT!AC328), DAY(XT!AG328)), MATCH(1, INDEX(--(MONTH(CHOOSE({1,2,3,4}, XT!U328,XT!Y328,XT!AC328,XT!AG328))=11), 0), 0)), "")</f>
        <v/>
      </c>
      <c r="AQ328" s="51" t="str">
        <f>IF(XT!$P328&gt;0,AP328,"")</f>
        <v/>
      </c>
      <c r="AR328" s="51" t="str">
        <f>IF(XT!$P328=0,AP328,"")</f>
        <v/>
      </c>
      <c r="AS328">
        <f>SUMPRODUCT((MONTH(CHOOSE({1,2,3,4},XT!U328,XT!Y328,XT!AC328,XT!AG328))=12)*(CHOOSE({1,2,3,4},XT!X328,XT!AB328,XT!AF328,XT!AJ328)))</f>
        <v>0</v>
      </c>
      <c r="AT328" t="str">
        <f>IFERROR(INDEX(CHOOSE({1,2,3,4}, DAY(XT!U328), DAY(XT!Y328), DAY(XT!AC328), DAY(XT!AG328)), MATCH(1, INDEX(--(MONTH(CHOOSE({1,2,3,4}, XT!U328,XT!Y328,XT!AC328,XT!AG328))=12), 0), 0)), "")</f>
        <v/>
      </c>
      <c r="AU328" s="51" t="str">
        <f>IF(XT!$P328&gt;0,AT328,"")</f>
        <v/>
      </c>
      <c r="AV328" s="51" t="str">
        <f>IF(XT!$P328=0,AT328,"")</f>
        <v/>
      </c>
    </row>
    <row r="329" spans="1:48">
      <c r="A329">
        <f>SUMPRODUCT((MONTH(CHOOSE({1,2,3,4},XT!U329,XT!Y329,XT!AC329,XT!AG329))=1)*(CHOOSE({1,2,3,4},XT!X329,XT!AB329,XT!AF329,XT!AJ329)))</f>
        <v>0</v>
      </c>
      <c r="B329">
        <f>IFERROR(INDEX(CHOOSE({1,2,3,4}, DAY(XT!U329), DAY(XT!Y329), DAY(XT!AC329), DAY(XT!AG329)), MATCH(1, INDEX(--(MONTH(CHOOSE({1,2,3,4}, XT!U329,XT!Y329,XT!AC329,XT!AG329))=1), 0), 0)), "")</f>
        <v>0</v>
      </c>
      <c r="C329" s="51" t="str">
        <f>IF(XT!$P329&gt;0,B329,"")</f>
        <v/>
      </c>
      <c r="D329" s="51">
        <f>IF(XT!$P329=0,B329,"")</f>
        <v>0</v>
      </c>
      <c r="E329">
        <f>SUMPRODUCT((MONTH(CHOOSE({1,2,3,4},XT!U329,XT!Y329,XT!AC329,XT!AG329))=2)*(CHOOSE({1,2,3,4},XT!X329,XT!AB329,XT!AF329,XT!AJ329)))</f>
        <v>0</v>
      </c>
      <c r="F329" t="str">
        <f>IFERROR(INDEX(CHOOSE({1,2,3,4}, DAY(XT!U329), DAY(XT!Y329), DAY(XT!AC329), DAY(XT!AG329)), MATCH(1, INDEX(--(MONTH(CHOOSE({1,2,3,4}, XT!U329,XT!Y329,XT!AC329,XT!AG329))=2), 0), 0)), "")</f>
        <v/>
      </c>
      <c r="G329" s="51" t="str">
        <f>IF(XT!$P329&gt;0,F329,"")</f>
        <v/>
      </c>
      <c r="H329" s="51" t="str">
        <f>IF(XT!$P329=0,F329,"")</f>
        <v/>
      </c>
      <c r="I329">
        <f>SUMPRODUCT((MONTH(CHOOSE({1,2,3,4},XT!U329,XT!Y329,XT!AC329,XT!AG329))=3)*(CHOOSE({1,2,3,4},XT!X329,XT!AB329,XT!AF329,XT!AJ329)))</f>
        <v>0</v>
      </c>
      <c r="J329" t="str">
        <f>IFERROR(INDEX(CHOOSE({1,2,3,4}, DAY(XT!U329), DAY(XT!Y329), DAY(XT!AC329), DAY(XT!AG329)), MATCH(1, INDEX(--(MONTH(CHOOSE({1,2,3,4}, XT!U329,XT!Y329,XT!AC329,XT!AG329))=3), 0), 0)), "")</f>
        <v/>
      </c>
      <c r="K329" s="51" t="str">
        <f>IF(XT!$P329&gt;0,J329,"")</f>
        <v/>
      </c>
      <c r="L329" s="51" t="str">
        <f>IF(XT!$P329=0,J329,"")</f>
        <v/>
      </c>
      <c r="M329">
        <f>SUMPRODUCT((MONTH(CHOOSE({1,2,3,4},XT!U329,XT!Y329,XT!AC329,XT!AG329))=4)*(CHOOSE({1,2,3,4},XT!X329,XT!AB329,XT!AF329,XT!AJ329)))</f>
        <v>0</v>
      </c>
      <c r="N329" t="str">
        <f>IFERROR(INDEX(CHOOSE({1,2,3,4}, DAY(XT!U329), DAY(XT!Y329), DAY(XT!AC329), DAY(XT!AG329)), MATCH(1, INDEX(--(MONTH(CHOOSE({1,2,3,4}, XT!U329,XT!Y329,XT!AC329,XT!AG329))=4), 0), 0)), "")</f>
        <v/>
      </c>
      <c r="O329" s="51" t="str">
        <f>IF(XT!$P329&gt;0,N329,"")</f>
        <v/>
      </c>
      <c r="P329" s="51" t="str">
        <f>IF(XT!$P329=0,N329,"")</f>
        <v/>
      </c>
      <c r="Q329">
        <f>SUMPRODUCT((MONTH(CHOOSE({1,2,3,4},XT!U329,XT!Y329,XT!AC329,XT!AG329))=5)*(CHOOSE({1,2,3,4},XT!X329,XT!AB329,XT!AF329,XT!AJ329)))</f>
        <v>0</v>
      </c>
      <c r="R329" t="str">
        <f>IFERROR(INDEX(CHOOSE({1,2,3,4}, DAY(XT!U329), DAY(XT!Y329), DAY(XT!AC329), DAY(XT!AG329)), MATCH(1, INDEX(--(MONTH(CHOOSE({1,2,3,4}, XT!U329,XT!Y329,XT!AC329,XT!AG329))=5), 0), 0)), "")</f>
        <v/>
      </c>
      <c r="S329" s="51" t="str">
        <f>IF(XT!$P329&gt;0,R329,"")</f>
        <v/>
      </c>
      <c r="T329" s="51" t="str">
        <f>IF(XT!$P329=0,R329,"")</f>
        <v/>
      </c>
      <c r="U329">
        <f>SUMPRODUCT((MONTH(CHOOSE({1,2,3,4},XT!U329,XT!Y329,XT!AC329,XT!AG329))=6)*(CHOOSE({1,2,3,4},XT!X329,XT!AB329,XT!AF329,XT!AJ329)))</f>
        <v>0</v>
      </c>
      <c r="V329" t="str">
        <f>IFERROR(INDEX(CHOOSE({1,2,3,4}, DAY(XT!U329), DAY(XT!Y329), DAY(XT!AC329), DAY(XT!AG329)), MATCH(1, INDEX(--(MONTH(CHOOSE({1,2,3,4}, XT!U329,XT!Y329,XT!AC329,XT!AG329))=6), 0), 0)), "")</f>
        <v/>
      </c>
      <c r="W329" s="51" t="str">
        <f>IF(XT!$P329&gt;0,V329,"")</f>
        <v/>
      </c>
      <c r="X329" s="51" t="str">
        <f>IF(XT!$P329=0,V329,"")</f>
        <v/>
      </c>
      <c r="Y329">
        <f>SUMPRODUCT((MONTH(CHOOSE({1,2,3,4},XT!U329,XT!Y329,XT!AC329,XT!AG329))=7)*(CHOOSE({1,2,3,4},XT!X329,XT!AB329,XT!AF329,XT!AJ329)))</f>
        <v>0</v>
      </c>
      <c r="Z329" t="str">
        <f>IFERROR(INDEX(CHOOSE({1,2,3,4}, DAY(XT!U329), DAY(XT!Y329), DAY(XT!AC329), DAY(XT!AG329)), MATCH(1, INDEX(--(MONTH(CHOOSE({1,2,3,4}, XT!U329,XT!Y329,XT!AC329,XT!AG329))=7), 0), 0)), "")</f>
        <v/>
      </c>
      <c r="AA329" s="51" t="str">
        <f>IF(XT!$P329&gt;0,Z329,"")</f>
        <v/>
      </c>
      <c r="AB329" s="51" t="str">
        <f>IF(XT!$P329=0,Z329,"")</f>
        <v/>
      </c>
      <c r="AC329">
        <f>SUMPRODUCT((MONTH(CHOOSE({1,2,3,4},XT!U329,XT!Y329,XT!AC329,XT!AG329))=8)*(CHOOSE({1,2,3,4},XT!X329,XT!AB329,XT!AF329,XT!AJ329)))</f>
        <v>0</v>
      </c>
      <c r="AD329" t="str">
        <f>IFERROR(INDEX(CHOOSE({1,2,3,4}, DAY(XT!U329), DAY(XT!Y329), DAY(XT!AC329), DAY(XT!AG329)), MATCH(1, INDEX(--(MONTH(CHOOSE({1,2,3,4}, XT!U329,XT!Y329,XT!AC329,XT!AG329))=8), 0), 0)), "")</f>
        <v/>
      </c>
      <c r="AE329" s="51" t="str">
        <f>IF(XT!$P329&gt;0,AD329,"")</f>
        <v/>
      </c>
      <c r="AF329" s="51" t="str">
        <f>IF(XT!$P329=0,AD329,"")</f>
        <v/>
      </c>
      <c r="AG329">
        <f>SUMPRODUCT((MONTH(CHOOSE({1,2,3,4},XT!U329,XT!Y329,XT!AC329,XT!AG329))=9)*(CHOOSE({1,2,3,4},XT!X329,XT!AB329,XT!AF329,XT!AJ329)))</f>
        <v>0</v>
      </c>
      <c r="AH329" t="str">
        <f>IFERROR(INDEX(CHOOSE({1,2,3,4}, DAY(XT!U329), DAY(XT!Y329), DAY(XT!AC329), DAY(XT!AG329)), MATCH(1, INDEX(--(MONTH(CHOOSE({1,2,3,4}, XT!U329,XT!Y329,XT!AC329,XT!AG329))=9), 0), 0)), "")</f>
        <v/>
      </c>
      <c r="AI329" s="51" t="str">
        <f>IF(XT!$P329&gt;0,AH329,"")</f>
        <v/>
      </c>
      <c r="AJ329" s="51" t="str">
        <f>IF(XT!$P329=0,AH329,"")</f>
        <v/>
      </c>
      <c r="AK329">
        <f>SUMPRODUCT((MONTH(CHOOSE({1,2,3,4},XT!U329,XT!Y329,XT!AC329,XT!AG329))=10)*(CHOOSE({1,2,3,4},XT!X329,XT!AB329,XT!AF329,XT!AJ329)))</f>
        <v>0</v>
      </c>
      <c r="AL329" t="str">
        <f>IFERROR(INDEX(CHOOSE({1,2,3,4}, DAY(XT!U329), DAY(XT!Y329), DAY(XT!AC329), DAY(XT!AG329)), MATCH(1, INDEX(--(MONTH(CHOOSE({1,2,3,4}, XT!U329,XT!Y329,XT!AC329,XT!AG329))=10), 0), 0)), "")</f>
        <v/>
      </c>
      <c r="AM329" s="51" t="str">
        <f>IF(XT!$P329&gt;0,AL329,"")</f>
        <v/>
      </c>
      <c r="AN329" s="51" t="str">
        <f>IF(XT!$P329=0,AL329,"")</f>
        <v/>
      </c>
      <c r="AO329">
        <f>SUMPRODUCT((MONTH(CHOOSE({1,2,3,4},XT!U329,XT!Y329,XT!AC329,XT!AG329))=11)*(CHOOSE({1,2,3,4},XT!X329,XT!AB329,XT!AF329,XT!AJ329)))</f>
        <v>0</v>
      </c>
      <c r="AP329" t="str">
        <f>IFERROR(INDEX(CHOOSE({1,2,3,4}, DAY(XT!U329), DAY(XT!Y329), DAY(XT!AC329), DAY(XT!AG329)), MATCH(1, INDEX(--(MONTH(CHOOSE({1,2,3,4}, XT!U329,XT!Y329,XT!AC329,XT!AG329))=11), 0), 0)), "")</f>
        <v/>
      </c>
      <c r="AQ329" s="51" t="str">
        <f>IF(XT!$P329&gt;0,AP329,"")</f>
        <v/>
      </c>
      <c r="AR329" s="51" t="str">
        <f>IF(XT!$P329=0,AP329,"")</f>
        <v/>
      </c>
      <c r="AS329">
        <f>SUMPRODUCT((MONTH(CHOOSE({1,2,3,4},XT!U329,XT!Y329,XT!AC329,XT!AG329))=12)*(CHOOSE({1,2,3,4},XT!X329,XT!AB329,XT!AF329,XT!AJ329)))</f>
        <v>0</v>
      </c>
      <c r="AT329" t="str">
        <f>IFERROR(INDEX(CHOOSE({1,2,3,4}, DAY(XT!U329), DAY(XT!Y329), DAY(XT!AC329), DAY(XT!AG329)), MATCH(1, INDEX(--(MONTH(CHOOSE({1,2,3,4}, XT!U329,XT!Y329,XT!AC329,XT!AG329))=12), 0), 0)), "")</f>
        <v/>
      </c>
      <c r="AU329" s="51" t="str">
        <f>IF(XT!$P329&gt;0,AT329,"")</f>
        <v/>
      </c>
      <c r="AV329" s="51" t="str">
        <f>IF(XT!$P329=0,AT329,"")</f>
        <v/>
      </c>
    </row>
    <row r="330" spans="1:48">
      <c r="A330">
        <f>SUMPRODUCT((MONTH(CHOOSE({1,2,3,4},XT!U330,XT!Y330,XT!AC330,XT!AG330))=1)*(CHOOSE({1,2,3,4},XT!X330,XT!AB330,XT!AF330,XT!AJ330)))</f>
        <v>0</v>
      </c>
      <c r="B330">
        <f>IFERROR(INDEX(CHOOSE({1,2,3,4}, DAY(XT!U330), DAY(XT!Y330), DAY(XT!AC330), DAY(XT!AG330)), MATCH(1, INDEX(--(MONTH(CHOOSE({1,2,3,4}, XT!U330,XT!Y330,XT!AC330,XT!AG330))=1), 0), 0)), "")</f>
        <v>0</v>
      </c>
      <c r="C330" s="51" t="str">
        <f>IF(XT!$P330&gt;0,B330,"")</f>
        <v/>
      </c>
      <c r="D330" s="51">
        <f>IF(XT!$P330=0,B330,"")</f>
        <v>0</v>
      </c>
      <c r="E330">
        <f>SUMPRODUCT((MONTH(CHOOSE({1,2,3,4},XT!U330,XT!Y330,XT!AC330,XT!AG330))=2)*(CHOOSE({1,2,3,4},XT!X330,XT!AB330,XT!AF330,XT!AJ330)))</f>
        <v>0</v>
      </c>
      <c r="F330" t="str">
        <f>IFERROR(INDEX(CHOOSE({1,2,3,4}, DAY(XT!U330), DAY(XT!Y330), DAY(XT!AC330), DAY(XT!AG330)), MATCH(1, INDEX(--(MONTH(CHOOSE({1,2,3,4}, XT!U330,XT!Y330,XT!AC330,XT!AG330))=2), 0), 0)), "")</f>
        <v/>
      </c>
      <c r="G330" s="51" t="str">
        <f>IF(XT!$P330&gt;0,F330,"")</f>
        <v/>
      </c>
      <c r="H330" s="51" t="str">
        <f>IF(XT!$P330=0,F330,"")</f>
        <v/>
      </c>
      <c r="I330">
        <f>SUMPRODUCT((MONTH(CHOOSE({1,2,3,4},XT!U330,XT!Y330,XT!AC330,XT!AG330))=3)*(CHOOSE({1,2,3,4},XT!X330,XT!AB330,XT!AF330,XT!AJ330)))</f>
        <v>0</v>
      </c>
      <c r="J330" t="str">
        <f>IFERROR(INDEX(CHOOSE({1,2,3,4}, DAY(XT!U330), DAY(XT!Y330), DAY(XT!AC330), DAY(XT!AG330)), MATCH(1, INDEX(--(MONTH(CHOOSE({1,2,3,4}, XT!U330,XT!Y330,XT!AC330,XT!AG330))=3), 0), 0)), "")</f>
        <v/>
      </c>
      <c r="K330" s="51" t="str">
        <f>IF(XT!$P330&gt;0,J330,"")</f>
        <v/>
      </c>
      <c r="L330" s="51" t="str">
        <f>IF(XT!$P330=0,J330,"")</f>
        <v/>
      </c>
      <c r="M330">
        <f>SUMPRODUCT((MONTH(CHOOSE({1,2,3,4},XT!U330,XT!Y330,XT!AC330,XT!AG330))=4)*(CHOOSE({1,2,3,4},XT!X330,XT!AB330,XT!AF330,XT!AJ330)))</f>
        <v>0</v>
      </c>
      <c r="N330" t="str">
        <f>IFERROR(INDEX(CHOOSE({1,2,3,4}, DAY(XT!U330), DAY(XT!Y330), DAY(XT!AC330), DAY(XT!AG330)), MATCH(1, INDEX(--(MONTH(CHOOSE({1,2,3,4}, XT!U330,XT!Y330,XT!AC330,XT!AG330))=4), 0), 0)), "")</f>
        <v/>
      </c>
      <c r="O330" s="51" t="str">
        <f>IF(XT!$P330&gt;0,N330,"")</f>
        <v/>
      </c>
      <c r="P330" s="51" t="str">
        <f>IF(XT!$P330=0,N330,"")</f>
        <v/>
      </c>
      <c r="Q330">
        <f>SUMPRODUCT((MONTH(CHOOSE({1,2,3,4},XT!U330,XT!Y330,XT!AC330,XT!AG330))=5)*(CHOOSE({1,2,3,4},XT!X330,XT!AB330,XT!AF330,XT!AJ330)))</f>
        <v>0</v>
      </c>
      <c r="R330" t="str">
        <f>IFERROR(INDEX(CHOOSE({1,2,3,4}, DAY(XT!U330), DAY(XT!Y330), DAY(XT!AC330), DAY(XT!AG330)), MATCH(1, INDEX(--(MONTH(CHOOSE({1,2,3,4}, XT!U330,XT!Y330,XT!AC330,XT!AG330))=5), 0), 0)), "")</f>
        <v/>
      </c>
      <c r="S330" s="51" t="str">
        <f>IF(XT!$P330&gt;0,R330,"")</f>
        <v/>
      </c>
      <c r="T330" s="51" t="str">
        <f>IF(XT!$P330=0,R330,"")</f>
        <v/>
      </c>
      <c r="U330">
        <f>SUMPRODUCT((MONTH(CHOOSE({1,2,3,4},XT!U330,XT!Y330,XT!AC330,XT!AG330))=6)*(CHOOSE({1,2,3,4},XT!X330,XT!AB330,XT!AF330,XT!AJ330)))</f>
        <v>0</v>
      </c>
      <c r="V330" t="str">
        <f>IFERROR(INDEX(CHOOSE({1,2,3,4}, DAY(XT!U330), DAY(XT!Y330), DAY(XT!AC330), DAY(XT!AG330)), MATCH(1, INDEX(--(MONTH(CHOOSE({1,2,3,4}, XT!U330,XT!Y330,XT!AC330,XT!AG330))=6), 0), 0)), "")</f>
        <v/>
      </c>
      <c r="W330" s="51" t="str">
        <f>IF(XT!$P330&gt;0,V330,"")</f>
        <v/>
      </c>
      <c r="X330" s="51" t="str">
        <f>IF(XT!$P330=0,V330,"")</f>
        <v/>
      </c>
      <c r="Y330">
        <f>SUMPRODUCT((MONTH(CHOOSE({1,2,3,4},XT!U330,XT!Y330,XT!AC330,XT!AG330))=7)*(CHOOSE({1,2,3,4},XT!X330,XT!AB330,XT!AF330,XT!AJ330)))</f>
        <v>0</v>
      </c>
      <c r="Z330" t="str">
        <f>IFERROR(INDEX(CHOOSE({1,2,3,4}, DAY(XT!U330), DAY(XT!Y330), DAY(XT!AC330), DAY(XT!AG330)), MATCH(1, INDEX(--(MONTH(CHOOSE({1,2,3,4}, XT!U330,XT!Y330,XT!AC330,XT!AG330))=7), 0), 0)), "")</f>
        <v/>
      </c>
      <c r="AA330" s="51" t="str">
        <f>IF(XT!$P330&gt;0,Z330,"")</f>
        <v/>
      </c>
      <c r="AB330" s="51" t="str">
        <f>IF(XT!$P330=0,Z330,"")</f>
        <v/>
      </c>
      <c r="AC330">
        <f>SUMPRODUCT((MONTH(CHOOSE({1,2,3,4},XT!U330,XT!Y330,XT!AC330,XT!AG330))=8)*(CHOOSE({1,2,3,4},XT!X330,XT!AB330,XT!AF330,XT!AJ330)))</f>
        <v>0</v>
      </c>
      <c r="AD330" t="str">
        <f>IFERROR(INDEX(CHOOSE({1,2,3,4}, DAY(XT!U330), DAY(XT!Y330), DAY(XT!AC330), DAY(XT!AG330)), MATCH(1, INDEX(--(MONTH(CHOOSE({1,2,3,4}, XT!U330,XT!Y330,XT!AC330,XT!AG330))=8), 0), 0)), "")</f>
        <v/>
      </c>
      <c r="AE330" s="51" t="str">
        <f>IF(XT!$P330&gt;0,AD330,"")</f>
        <v/>
      </c>
      <c r="AF330" s="51" t="str">
        <f>IF(XT!$P330=0,AD330,"")</f>
        <v/>
      </c>
      <c r="AG330">
        <f>SUMPRODUCT((MONTH(CHOOSE({1,2,3,4},XT!U330,XT!Y330,XT!AC330,XT!AG330))=9)*(CHOOSE({1,2,3,4},XT!X330,XT!AB330,XT!AF330,XT!AJ330)))</f>
        <v>0</v>
      </c>
      <c r="AH330" t="str">
        <f>IFERROR(INDEX(CHOOSE({1,2,3,4}, DAY(XT!U330), DAY(XT!Y330), DAY(XT!AC330), DAY(XT!AG330)), MATCH(1, INDEX(--(MONTH(CHOOSE({1,2,3,4}, XT!U330,XT!Y330,XT!AC330,XT!AG330))=9), 0), 0)), "")</f>
        <v/>
      </c>
      <c r="AI330" s="51" t="str">
        <f>IF(XT!$P330&gt;0,AH330,"")</f>
        <v/>
      </c>
      <c r="AJ330" s="51" t="str">
        <f>IF(XT!$P330=0,AH330,"")</f>
        <v/>
      </c>
      <c r="AK330">
        <f>SUMPRODUCT((MONTH(CHOOSE({1,2,3,4},XT!U330,XT!Y330,XT!AC330,XT!AG330))=10)*(CHOOSE({1,2,3,4},XT!X330,XT!AB330,XT!AF330,XT!AJ330)))</f>
        <v>0</v>
      </c>
      <c r="AL330" t="str">
        <f>IFERROR(INDEX(CHOOSE({1,2,3,4}, DAY(XT!U330), DAY(XT!Y330), DAY(XT!AC330), DAY(XT!AG330)), MATCH(1, INDEX(--(MONTH(CHOOSE({1,2,3,4}, XT!U330,XT!Y330,XT!AC330,XT!AG330))=10), 0), 0)), "")</f>
        <v/>
      </c>
      <c r="AM330" s="51" t="str">
        <f>IF(XT!$P330&gt;0,AL330,"")</f>
        <v/>
      </c>
      <c r="AN330" s="51" t="str">
        <f>IF(XT!$P330=0,AL330,"")</f>
        <v/>
      </c>
      <c r="AO330">
        <f>SUMPRODUCT((MONTH(CHOOSE({1,2,3,4},XT!U330,XT!Y330,XT!AC330,XT!AG330))=11)*(CHOOSE({1,2,3,4},XT!X330,XT!AB330,XT!AF330,XT!AJ330)))</f>
        <v>0</v>
      </c>
      <c r="AP330" t="str">
        <f>IFERROR(INDEX(CHOOSE({1,2,3,4}, DAY(XT!U330), DAY(XT!Y330), DAY(XT!AC330), DAY(XT!AG330)), MATCH(1, INDEX(--(MONTH(CHOOSE({1,2,3,4}, XT!U330,XT!Y330,XT!AC330,XT!AG330))=11), 0), 0)), "")</f>
        <v/>
      </c>
      <c r="AQ330" s="51" t="str">
        <f>IF(XT!$P330&gt;0,AP330,"")</f>
        <v/>
      </c>
      <c r="AR330" s="51" t="str">
        <f>IF(XT!$P330=0,AP330,"")</f>
        <v/>
      </c>
      <c r="AS330">
        <f>SUMPRODUCT((MONTH(CHOOSE({1,2,3,4},XT!U330,XT!Y330,XT!AC330,XT!AG330))=12)*(CHOOSE({1,2,3,4},XT!X330,XT!AB330,XT!AF330,XT!AJ330)))</f>
        <v>0</v>
      </c>
      <c r="AT330" t="str">
        <f>IFERROR(INDEX(CHOOSE({1,2,3,4}, DAY(XT!U330), DAY(XT!Y330), DAY(XT!AC330), DAY(XT!AG330)), MATCH(1, INDEX(--(MONTH(CHOOSE({1,2,3,4}, XT!U330,XT!Y330,XT!AC330,XT!AG330))=12), 0), 0)), "")</f>
        <v/>
      </c>
      <c r="AU330" s="51" t="str">
        <f>IF(XT!$P330&gt;0,AT330,"")</f>
        <v/>
      </c>
      <c r="AV330" s="51" t="str">
        <f>IF(XT!$P330=0,AT330,"")</f>
        <v/>
      </c>
    </row>
    <row r="331" spans="1:48">
      <c r="A331">
        <f>SUMPRODUCT((MONTH(CHOOSE({1,2,3,4},XT!U331,XT!Y331,XT!AC331,XT!AG331))=1)*(CHOOSE({1,2,3,4},XT!X331,XT!AB331,XT!AF331,XT!AJ331)))</f>
        <v>0</v>
      </c>
      <c r="B331">
        <f>IFERROR(INDEX(CHOOSE({1,2,3,4}, DAY(XT!U331), DAY(XT!Y331), DAY(XT!AC331), DAY(XT!AG331)), MATCH(1, INDEX(--(MONTH(CHOOSE({1,2,3,4}, XT!U331,XT!Y331,XT!AC331,XT!AG331))=1), 0), 0)), "")</f>
        <v>0</v>
      </c>
      <c r="C331" s="51" t="str">
        <f>IF(XT!$P331&gt;0,B331,"")</f>
        <v/>
      </c>
      <c r="D331" s="51">
        <f>IF(XT!$P331=0,B331,"")</f>
        <v>0</v>
      </c>
      <c r="E331">
        <f>SUMPRODUCT((MONTH(CHOOSE({1,2,3,4},XT!U331,XT!Y331,XT!AC331,XT!AG331))=2)*(CHOOSE({1,2,3,4},XT!X331,XT!AB331,XT!AF331,XT!AJ331)))</f>
        <v>0</v>
      </c>
      <c r="F331" t="str">
        <f>IFERROR(INDEX(CHOOSE({1,2,3,4}, DAY(XT!U331), DAY(XT!Y331), DAY(XT!AC331), DAY(XT!AG331)), MATCH(1, INDEX(--(MONTH(CHOOSE({1,2,3,4}, XT!U331,XT!Y331,XT!AC331,XT!AG331))=2), 0), 0)), "")</f>
        <v/>
      </c>
      <c r="G331" s="51" t="str">
        <f>IF(XT!$P331&gt;0,F331,"")</f>
        <v/>
      </c>
      <c r="H331" s="51" t="str">
        <f>IF(XT!$P331=0,F331,"")</f>
        <v/>
      </c>
      <c r="I331">
        <f>SUMPRODUCT((MONTH(CHOOSE({1,2,3,4},XT!U331,XT!Y331,XT!AC331,XT!AG331))=3)*(CHOOSE({1,2,3,4},XT!X331,XT!AB331,XT!AF331,XT!AJ331)))</f>
        <v>0</v>
      </c>
      <c r="J331" t="str">
        <f>IFERROR(INDEX(CHOOSE({1,2,3,4}, DAY(XT!U331), DAY(XT!Y331), DAY(XT!AC331), DAY(XT!AG331)), MATCH(1, INDEX(--(MONTH(CHOOSE({1,2,3,4}, XT!U331,XT!Y331,XT!AC331,XT!AG331))=3), 0), 0)), "")</f>
        <v/>
      </c>
      <c r="K331" s="51" t="str">
        <f>IF(XT!$P331&gt;0,J331,"")</f>
        <v/>
      </c>
      <c r="L331" s="51" t="str">
        <f>IF(XT!$P331=0,J331,"")</f>
        <v/>
      </c>
      <c r="M331">
        <f>SUMPRODUCT((MONTH(CHOOSE({1,2,3,4},XT!U331,XT!Y331,XT!AC331,XT!AG331))=4)*(CHOOSE({1,2,3,4},XT!X331,XT!AB331,XT!AF331,XT!AJ331)))</f>
        <v>0</v>
      </c>
      <c r="N331" t="str">
        <f>IFERROR(INDEX(CHOOSE({1,2,3,4}, DAY(XT!U331), DAY(XT!Y331), DAY(XT!AC331), DAY(XT!AG331)), MATCH(1, INDEX(--(MONTH(CHOOSE({1,2,3,4}, XT!U331,XT!Y331,XT!AC331,XT!AG331))=4), 0), 0)), "")</f>
        <v/>
      </c>
      <c r="O331" s="51" t="str">
        <f>IF(XT!$P331&gt;0,N331,"")</f>
        <v/>
      </c>
      <c r="P331" s="51" t="str">
        <f>IF(XT!$P331=0,N331,"")</f>
        <v/>
      </c>
      <c r="Q331">
        <f>SUMPRODUCT((MONTH(CHOOSE({1,2,3,4},XT!U331,XT!Y331,XT!AC331,XT!AG331))=5)*(CHOOSE({1,2,3,4},XT!X331,XT!AB331,XT!AF331,XT!AJ331)))</f>
        <v>0</v>
      </c>
      <c r="R331" t="str">
        <f>IFERROR(INDEX(CHOOSE({1,2,3,4}, DAY(XT!U331), DAY(XT!Y331), DAY(XT!AC331), DAY(XT!AG331)), MATCH(1, INDEX(--(MONTH(CHOOSE({1,2,3,4}, XT!U331,XT!Y331,XT!AC331,XT!AG331))=5), 0), 0)), "")</f>
        <v/>
      </c>
      <c r="S331" s="51" t="str">
        <f>IF(XT!$P331&gt;0,R331,"")</f>
        <v/>
      </c>
      <c r="T331" s="51" t="str">
        <f>IF(XT!$P331=0,R331,"")</f>
        <v/>
      </c>
      <c r="U331">
        <f>SUMPRODUCT((MONTH(CHOOSE({1,2,3,4},XT!U331,XT!Y331,XT!AC331,XT!AG331))=6)*(CHOOSE({1,2,3,4},XT!X331,XT!AB331,XT!AF331,XT!AJ331)))</f>
        <v>0</v>
      </c>
      <c r="V331" t="str">
        <f>IFERROR(INDEX(CHOOSE({1,2,3,4}, DAY(XT!U331), DAY(XT!Y331), DAY(XT!AC331), DAY(XT!AG331)), MATCH(1, INDEX(--(MONTH(CHOOSE({1,2,3,4}, XT!U331,XT!Y331,XT!AC331,XT!AG331))=6), 0), 0)), "")</f>
        <v/>
      </c>
      <c r="W331" s="51" t="str">
        <f>IF(XT!$P331&gt;0,V331,"")</f>
        <v/>
      </c>
      <c r="X331" s="51" t="str">
        <f>IF(XT!$P331=0,V331,"")</f>
        <v/>
      </c>
      <c r="Y331">
        <f>SUMPRODUCT((MONTH(CHOOSE({1,2,3,4},XT!U331,XT!Y331,XT!AC331,XT!AG331))=7)*(CHOOSE({1,2,3,4},XT!X331,XT!AB331,XT!AF331,XT!AJ331)))</f>
        <v>0</v>
      </c>
      <c r="Z331" t="str">
        <f>IFERROR(INDEX(CHOOSE({1,2,3,4}, DAY(XT!U331), DAY(XT!Y331), DAY(XT!AC331), DAY(XT!AG331)), MATCH(1, INDEX(--(MONTH(CHOOSE({1,2,3,4}, XT!U331,XT!Y331,XT!AC331,XT!AG331))=7), 0), 0)), "")</f>
        <v/>
      </c>
      <c r="AA331" s="51" t="str">
        <f>IF(XT!$P331&gt;0,Z331,"")</f>
        <v/>
      </c>
      <c r="AB331" s="51" t="str">
        <f>IF(XT!$P331=0,Z331,"")</f>
        <v/>
      </c>
      <c r="AC331">
        <f>SUMPRODUCT((MONTH(CHOOSE({1,2,3,4},XT!U331,XT!Y331,XT!AC331,XT!AG331))=8)*(CHOOSE({1,2,3,4},XT!X331,XT!AB331,XT!AF331,XT!AJ331)))</f>
        <v>0</v>
      </c>
      <c r="AD331" t="str">
        <f>IFERROR(INDEX(CHOOSE({1,2,3,4}, DAY(XT!U331), DAY(XT!Y331), DAY(XT!AC331), DAY(XT!AG331)), MATCH(1, INDEX(--(MONTH(CHOOSE({1,2,3,4}, XT!U331,XT!Y331,XT!AC331,XT!AG331))=8), 0), 0)), "")</f>
        <v/>
      </c>
      <c r="AE331" s="51" t="str">
        <f>IF(XT!$P331&gt;0,AD331,"")</f>
        <v/>
      </c>
      <c r="AF331" s="51" t="str">
        <f>IF(XT!$P331=0,AD331,"")</f>
        <v/>
      </c>
      <c r="AG331">
        <f>SUMPRODUCT((MONTH(CHOOSE({1,2,3,4},XT!U331,XT!Y331,XT!AC331,XT!AG331))=9)*(CHOOSE({1,2,3,4},XT!X331,XT!AB331,XT!AF331,XT!AJ331)))</f>
        <v>0</v>
      </c>
      <c r="AH331" t="str">
        <f>IFERROR(INDEX(CHOOSE({1,2,3,4}, DAY(XT!U331), DAY(XT!Y331), DAY(XT!AC331), DAY(XT!AG331)), MATCH(1, INDEX(--(MONTH(CHOOSE({1,2,3,4}, XT!U331,XT!Y331,XT!AC331,XT!AG331))=9), 0), 0)), "")</f>
        <v/>
      </c>
      <c r="AI331" s="51" t="str">
        <f>IF(XT!$P331&gt;0,AH331,"")</f>
        <v/>
      </c>
      <c r="AJ331" s="51" t="str">
        <f>IF(XT!$P331=0,AH331,"")</f>
        <v/>
      </c>
      <c r="AK331">
        <f>SUMPRODUCT((MONTH(CHOOSE({1,2,3,4},XT!U331,XT!Y331,XT!AC331,XT!AG331))=10)*(CHOOSE({1,2,3,4},XT!X331,XT!AB331,XT!AF331,XT!AJ331)))</f>
        <v>0</v>
      </c>
      <c r="AL331" t="str">
        <f>IFERROR(INDEX(CHOOSE({1,2,3,4}, DAY(XT!U331), DAY(XT!Y331), DAY(XT!AC331), DAY(XT!AG331)), MATCH(1, INDEX(--(MONTH(CHOOSE({1,2,3,4}, XT!U331,XT!Y331,XT!AC331,XT!AG331))=10), 0), 0)), "")</f>
        <v/>
      </c>
      <c r="AM331" s="51" t="str">
        <f>IF(XT!$P331&gt;0,AL331,"")</f>
        <v/>
      </c>
      <c r="AN331" s="51" t="str">
        <f>IF(XT!$P331=0,AL331,"")</f>
        <v/>
      </c>
      <c r="AO331">
        <f>SUMPRODUCT((MONTH(CHOOSE({1,2,3,4},XT!U331,XT!Y331,XT!AC331,XT!AG331))=11)*(CHOOSE({1,2,3,4},XT!X331,XT!AB331,XT!AF331,XT!AJ331)))</f>
        <v>0</v>
      </c>
      <c r="AP331" t="str">
        <f>IFERROR(INDEX(CHOOSE({1,2,3,4}, DAY(XT!U331), DAY(XT!Y331), DAY(XT!AC331), DAY(XT!AG331)), MATCH(1, INDEX(--(MONTH(CHOOSE({1,2,3,4}, XT!U331,XT!Y331,XT!AC331,XT!AG331))=11), 0), 0)), "")</f>
        <v/>
      </c>
      <c r="AQ331" s="51" t="str">
        <f>IF(XT!$P331&gt;0,AP331,"")</f>
        <v/>
      </c>
      <c r="AR331" s="51" t="str">
        <f>IF(XT!$P331=0,AP331,"")</f>
        <v/>
      </c>
      <c r="AS331">
        <f>SUMPRODUCT((MONTH(CHOOSE({1,2,3,4},XT!U331,XT!Y331,XT!AC331,XT!AG331))=12)*(CHOOSE({1,2,3,4},XT!X331,XT!AB331,XT!AF331,XT!AJ331)))</f>
        <v>0</v>
      </c>
      <c r="AT331" t="str">
        <f>IFERROR(INDEX(CHOOSE({1,2,3,4}, DAY(XT!U331), DAY(XT!Y331), DAY(XT!AC331), DAY(XT!AG331)), MATCH(1, INDEX(--(MONTH(CHOOSE({1,2,3,4}, XT!U331,XT!Y331,XT!AC331,XT!AG331))=12), 0), 0)), "")</f>
        <v/>
      </c>
      <c r="AU331" s="51" t="str">
        <f>IF(XT!$P331&gt;0,AT331,"")</f>
        <v/>
      </c>
      <c r="AV331" s="51" t="str">
        <f>IF(XT!$P331=0,AT331,"")</f>
        <v/>
      </c>
    </row>
    <row r="332" spans="1:48">
      <c r="A332">
        <f>SUMPRODUCT((MONTH(CHOOSE({1,2,3,4},XT!U332,XT!Y332,XT!AC332,XT!AG332))=1)*(CHOOSE({1,2,3,4},XT!X332,XT!AB332,XT!AF332,XT!AJ332)))</f>
        <v>0</v>
      </c>
      <c r="B332">
        <f>IFERROR(INDEX(CHOOSE({1,2,3,4}, DAY(XT!U332), DAY(XT!Y332), DAY(XT!AC332), DAY(XT!AG332)), MATCH(1, INDEX(--(MONTH(CHOOSE({1,2,3,4}, XT!U332,XT!Y332,XT!AC332,XT!AG332))=1), 0), 0)), "")</f>
        <v>0</v>
      </c>
      <c r="C332" s="51" t="str">
        <f>IF(XT!$P332&gt;0,B332,"")</f>
        <v/>
      </c>
      <c r="D332" s="51">
        <f>IF(XT!$P332=0,B332,"")</f>
        <v>0</v>
      </c>
      <c r="E332">
        <f>SUMPRODUCT((MONTH(CHOOSE({1,2,3,4},XT!U332,XT!Y332,XT!AC332,XT!AG332))=2)*(CHOOSE({1,2,3,4},XT!X332,XT!AB332,XT!AF332,XT!AJ332)))</f>
        <v>0</v>
      </c>
      <c r="F332" t="str">
        <f>IFERROR(INDEX(CHOOSE({1,2,3,4}, DAY(XT!U332), DAY(XT!Y332), DAY(XT!AC332), DAY(XT!AG332)), MATCH(1, INDEX(--(MONTH(CHOOSE({1,2,3,4}, XT!U332,XT!Y332,XT!AC332,XT!AG332))=2), 0), 0)), "")</f>
        <v/>
      </c>
      <c r="G332" s="51" t="str">
        <f>IF(XT!$P332&gt;0,F332,"")</f>
        <v/>
      </c>
      <c r="H332" s="51" t="str">
        <f>IF(XT!$P332=0,F332,"")</f>
        <v/>
      </c>
      <c r="I332">
        <f>SUMPRODUCT((MONTH(CHOOSE({1,2,3,4},XT!U332,XT!Y332,XT!AC332,XT!AG332))=3)*(CHOOSE({1,2,3,4},XT!X332,XT!AB332,XT!AF332,XT!AJ332)))</f>
        <v>0</v>
      </c>
      <c r="J332" t="str">
        <f>IFERROR(INDEX(CHOOSE({1,2,3,4}, DAY(XT!U332), DAY(XT!Y332), DAY(XT!AC332), DAY(XT!AG332)), MATCH(1, INDEX(--(MONTH(CHOOSE({1,2,3,4}, XT!U332,XT!Y332,XT!AC332,XT!AG332))=3), 0), 0)), "")</f>
        <v/>
      </c>
      <c r="K332" s="51" t="str">
        <f>IF(XT!$P332&gt;0,J332,"")</f>
        <v/>
      </c>
      <c r="L332" s="51" t="str">
        <f>IF(XT!$P332=0,J332,"")</f>
        <v/>
      </c>
      <c r="M332">
        <f>SUMPRODUCT((MONTH(CHOOSE({1,2,3,4},XT!U332,XT!Y332,XT!AC332,XT!AG332))=4)*(CHOOSE({1,2,3,4},XT!X332,XT!AB332,XT!AF332,XT!AJ332)))</f>
        <v>0</v>
      </c>
      <c r="N332" t="str">
        <f>IFERROR(INDEX(CHOOSE({1,2,3,4}, DAY(XT!U332), DAY(XT!Y332), DAY(XT!AC332), DAY(XT!AG332)), MATCH(1, INDEX(--(MONTH(CHOOSE({1,2,3,4}, XT!U332,XT!Y332,XT!AC332,XT!AG332))=4), 0), 0)), "")</f>
        <v/>
      </c>
      <c r="O332" s="51" t="str">
        <f>IF(XT!$P332&gt;0,N332,"")</f>
        <v/>
      </c>
      <c r="P332" s="51" t="str">
        <f>IF(XT!$P332=0,N332,"")</f>
        <v/>
      </c>
      <c r="Q332">
        <f>SUMPRODUCT((MONTH(CHOOSE({1,2,3,4},XT!U332,XT!Y332,XT!AC332,XT!AG332))=5)*(CHOOSE({1,2,3,4},XT!X332,XT!AB332,XT!AF332,XT!AJ332)))</f>
        <v>0</v>
      </c>
      <c r="R332" t="str">
        <f>IFERROR(INDEX(CHOOSE({1,2,3,4}, DAY(XT!U332), DAY(XT!Y332), DAY(XT!AC332), DAY(XT!AG332)), MATCH(1, INDEX(--(MONTH(CHOOSE({1,2,3,4}, XT!U332,XT!Y332,XT!AC332,XT!AG332))=5), 0), 0)), "")</f>
        <v/>
      </c>
      <c r="S332" s="51" t="str">
        <f>IF(XT!$P332&gt;0,R332,"")</f>
        <v/>
      </c>
      <c r="T332" s="51" t="str">
        <f>IF(XT!$P332=0,R332,"")</f>
        <v/>
      </c>
      <c r="U332">
        <f>SUMPRODUCT((MONTH(CHOOSE({1,2,3,4},XT!U332,XT!Y332,XT!AC332,XT!AG332))=6)*(CHOOSE({1,2,3,4},XT!X332,XT!AB332,XT!AF332,XT!AJ332)))</f>
        <v>0</v>
      </c>
      <c r="V332" t="str">
        <f>IFERROR(INDEX(CHOOSE({1,2,3,4}, DAY(XT!U332), DAY(XT!Y332), DAY(XT!AC332), DAY(XT!AG332)), MATCH(1, INDEX(--(MONTH(CHOOSE({1,2,3,4}, XT!U332,XT!Y332,XT!AC332,XT!AG332))=6), 0), 0)), "")</f>
        <v/>
      </c>
      <c r="W332" s="51" t="str">
        <f>IF(XT!$P332&gt;0,V332,"")</f>
        <v/>
      </c>
      <c r="X332" s="51" t="str">
        <f>IF(XT!$P332=0,V332,"")</f>
        <v/>
      </c>
      <c r="Y332">
        <f>SUMPRODUCT((MONTH(CHOOSE({1,2,3,4},XT!U332,XT!Y332,XT!AC332,XT!AG332))=7)*(CHOOSE({1,2,3,4},XT!X332,XT!AB332,XT!AF332,XT!AJ332)))</f>
        <v>0</v>
      </c>
      <c r="Z332" t="str">
        <f>IFERROR(INDEX(CHOOSE({1,2,3,4}, DAY(XT!U332), DAY(XT!Y332), DAY(XT!AC332), DAY(XT!AG332)), MATCH(1, INDEX(--(MONTH(CHOOSE({1,2,3,4}, XT!U332,XT!Y332,XT!AC332,XT!AG332))=7), 0), 0)), "")</f>
        <v/>
      </c>
      <c r="AA332" s="51" t="str">
        <f>IF(XT!$P332&gt;0,Z332,"")</f>
        <v/>
      </c>
      <c r="AB332" s="51" t="str">
        <f>IF(XT!$P332=0,Z332,"")</f>
        <v/>
      </c>
      <c r="AC332">
        <f>SUMPRODUCT((MONTH(CHOOSE({1,2,3,4},XT!U332,XT!Y332,XT!AC332,XT!AG332))=8)*(CHOOSE({1,2,3,4},XT!X332,XT!AB332,XT!AF332,XT!AJ332)))</f>
        <v>0</v>
      </c>
      <c r="AD332" t="str">
        <f>IFERROR(INDEX(CHOOSE({1,2,3,4}, DAY(XT!U332), DAY(XT!Y332), DAY(XT!AC332), DAY(XT!AG332)), MATCH(1, INDEX(--(MONTH(CHOOSE({1,2,3,4}, XT!U332,XT!Y332,XT!AC332,XT!AG332))=8), 0), 0)), "")</f>
        <v/>
      </c>
      <c r="AE332" s="51" t="str">
        <f>IF(XT!$P332&gt;0,AD332,"")</f>
        <v/>
      </c>
      <c r="AF332" s="51" t="str">
        <f>IF(XT!$P332=0,AD332,"")</f>
        <v/>
      </c>
      <c r="AG332">
        <f>SUMPRODUCT((MONTH(CHOOSE({1,2,3,4},XT!U332,XT!Y332,XT!AC332,XT!AG332))=9)*(CHOOSE({1,2,3,4},XT!X332,XT!AB332,XT!AF332,XT!AJ332)))</f>
        <v>0</v>
      </c>
      <c r="AH332" t="str">
        <f>IFERROR(INDEX(CHOOSE({1,2,3,4}, DAY(XT!U332), DAY(XT!Y332), DAY(XT!AC332), DAY(XT!AG332)), MATCH(1, INDEX(--(MONTH(CHOOSE({1,2,3,4}, XT!U332,XT!Y332,XT!AC332,XT!AG332))=9), 0), 0)), "")</f>
        <v/>
      </c>
      <c r="AI332" s="51" t="str">
        <f>IF(XT!$P332&gt;0,AH332,"")</f>
        <v/>
      </c>
      <c r="AJ332" s="51" t="str">
        <f>IF(XT!$P332=0,AH332,"")</f>
        <v/>
      </c>
      <c r="AK332">
        <f>SUMPRODUCT((MONTH(CHOOSE({1,2,3,4},XT!U332,XT!Y332,XT!AC332,XT!AG332))=10)*(CHOOSE({1,2,3,4},XT!X332,XT!AB332,XT!AF332,XT!AJ332)))</f>
        <v>0</v>
      </c>
      <c r="AL332" t="str">
        <f>IFERROR(INDEX(CHOOSE({1,2,3,4}, DAY(XT!U332), DAY(XT!Y332), DAY(XT!AC332), DAY(XT!AG332)), MATCH(1, INDEX(--(MONTH(CHOOSE({1,2,3,4}, XT!U332,XT!Y332,XT!AC332,XT!AG332))=10), 0), 0)), "")</f>
        <v/>
      </c>
      <c r="AM332" s="51" t="str">
        <f>IF(XT!$P332&gt;0,AL332,"")</f>
        <v/>
      </c>
      <c r="AN332" s="51" t="str">
        <f>IF(XT!$P332=0,AL332,"")</f>
        <v/>
      </c>
      <c r="AO332">
        <f>SUMPRODUCT((MONTH(CHOOSE({1,2,3,4},XT!U332,XT!Y332,XT!AC332,XT!AG332))=11)*(CHOOSE({1,2,3,4},XT!X332,XT!AB332,XT!AF332,XT!AJ332)))</f>
        <v>0</v>
      </c>
      <c r="AP332" t="str">
        <f>IFERROR(INDEX(CHOOSE({1,2,3,4}, DAY(XT!U332), DAY(XT!Y332), DAY(XT!AC332), DAY(XT!AG332)), MATCH(1, INDEX(--(MONTH(CHOOSE({1,2,3,4}, XT!U332,XT!Y332,XT!AC332,XT!AG332))=11), 0), 0)), "")</f>
        <v/>
      </c>
      <c r="AQ332" s="51" t="str">
        <f>IF(XT!$P332&gt;0,AP332,"")</f>
        <v/>
      </c>
      <c r="AR332" s="51" t="str">
        <f>IF(XT!$P332=0,AP332,"")</f>
        <v/>
      </c>
      <c r="AS332">
        <f>SUMPRODUCT((MONTH(CHOOSE({1,2,3,4},XT!U332,XT!Y332,XT!AC332,XT!AG332))=12)*(CHOOSE({1,2,3,4},XT!X332,XT!AB332,XT!AF332,XT!AJ332)))</f>
        <v>0</v>
      </c>
      <c r="AT332" t="str">
        <f>IFERROR(INDEX(CHOOSE({1,2,3,4}, DAY(XT!U332), DAY(XT!Y332), DAY(XT!AC332), DAY(XT!AG332)), MATCH(1, INDEX(--(MONTH(CHOOSE({1,2,3,4}, XT!U332,XT!Y332,XT!AC332,XT!AG332))=12), 0), 0)), "")</f>
        <v/>
      </c>
      <c r="AU332" s="51" t="str">
        <f>IF(XT!$P332&gt;0,AT332,"")</f>
        <v/>
      </c>
      <c r="AV332" s="51" t="str">
        <f>IF(XT!$P332=0,AT332,"")</f>
        <v/>
      </c>
    </row>
    <row r="333" spans="1:48">
      <c r="A333">
        <f>SUMPRODUCT((MONTH(CHOOSE({1,2,3,4},XT!U333,XT!Y333,XT!AC333,XT!AG333))=1)*(CHOOSE({1,2,3,4},XT!X333,XT!AB333,XT!AF333,XT!AJ333)))</f>
        <v>0</v>
      </c>
      <c r="B333">
        <f>IFERROR(INDEX(CHOOSE({1,2,3,4}, DAY(XT!U333), DAY(XT!Y333), DAY(XT!AC333), DAY(XT!AG333)), MATCH(1, INDEX(--(MONTH(CHOOSE({1,2,3,4}, XT!U333,XT!Y333,XT!AC333,XT!AG333))=1), 0), 0)), "")</f>
        <v>0</v>
      </c>
      <c r="C333" s="51" t="str">
        <f>IF(XT!$P333&gt;0,B333,"")</f>
        <v/>
      </c>
      <c r="D333" s="51">
        <f>IF(XT!$P333=0,B333,"")</f>
        <v>0</v>
      </c>
      <c r="E333">
        <f>SUMPRODUCT((MONTH(CHOOSE({1,2,3,4},XT!U333,XT!Y333,XT!AC333,XT!AG333))=2)*(CHOOSE({1,2,3,4},XT!X333,XT!AB333,XT!AF333,XT!AJ333)))</f>
        <v>0</v>
      </c>
      <c r="F333" t="str">
        <f>IFERROR(INDEX(CHOOSE({1,2,3,4}, DAY(XT!U333), DAY(XT!Y333), DAY(XT!AC333), DAY(XT!AG333)), MATCH(1, INDEX(--(MONTH(CHOOSE({1,2,3,4}, XT!U333,XT!Y333,XT!AC333,XT!AG333))=2), 0), 0)), "")</f>
        <v/>
      </c>
      <c r="G333" s="51" t="str">
        <f>IF(XT!$P333&gt;0,F333,"")</f>
        <v/>
      </c>
      <c r="H333" s="51" t="str">
        <f>IF(XT!$P333=0,F333,"")</f>
        <v/>
      </c>
      <c r="I333">
        <f>SUMPRODUCT((MONTH(CHOOSE({1,2,3,4},XT!U333,XT!Y333,XT!AC333,XT!AG333))=3)*(CHOOSE({1,2,3,4},XT!X333,XT!AB333,XT!AF333,XT!AJ333)))</f>
        <v>0</v>
      </c>
      <c r="J333" t="str">
        <f>IFERROR(INDEX(CHOOSE({1,2,3,4}, DAY(XT!U333), DAY(XT!Y333), DAY(XT!AC333), DAY(XT!AG333)), MATCH(1, INDEX(--(MONTH(CHOOSE({1,2,3,4}, XT!U333,XT!Y333,XT!AC333,XT!AG333))=3), 0), 0)), "")</f>
        <v/>
      </c>
      <c r="K333" s="51" t="str">
        <f>IF(XT!$P333&gt;0,J333,"")</f>
        <v/>
      </c>
      <c r="L333" s="51" t="str">
        <f>IF(XT!$P333=0,J333,"")</f>
        <v/>
      </c>
      <c r="M333">
        <f>SUMPRODUCT((MONTH(CHOOSE({1,2,3,4},XT!U333,XT!Y333,XT!AC333,XT!AG333))=4)*(CHOOSE({1,2,3,4},XT!X333,XT!AB333,XT!AF333,XT!AJ333)))</f>
        <v>0</v>
      </c>
      <c r="N333" t="str">
        <f>IFERROR(INDEX(CHOOSE({1,2,3,4}, DAY(XT!U333), DAY(XT!Y333), DAY(XT!AC333), DAY(XT!AG333)), MATCH(1, INDEX(--(MONTH(CHOOSE({1,2,3,4}, XT!U333,XT!Y333,XT!AC333,XT!AG333))=4), 0), 0)), "")</f>
        <v/>
      </c>
      <c r="O333" s="51" t="str">
        <f>IF(XT!$P333&gt;0,N333,"")</f>
        <v/>
      </c>
      <c r="P333" s="51" t="str">
        <f>IF(XT!$P333=0,N333,"")</f>
        <v/>
      </c>
      <c r="Q333">
        <f>SUMPRODUCT((MONTH(CHOOSE({1,2,3,4},XT!U333,XT!Y333,XT!AC333,XT!AG333))=5)*(CHOOSE({1,2,3,4},XT!X333,XT!AB333,XT!AF333,XT!AJ333)))</f>
        <v>0</v>
      </c>
      <c r="R333" t="str">
        <f>IFERROR(INDEX(CHOOSE({1,2,3,4}, DAY(XT!U333), DAY(XT!Y333), DAY(XT!AC333), DAY(XT!AG333)), MATCH(1, INDEX(--(MONTH(CHOOSE({1,2,3,4}, XT!U333,XT!Y333,XT!AC333,XT!AG333))=5), 0), 0)), "")</f>
        <v/>
      </c>
      <c r="S333" s="51" t="str">
        <f>IF(XT!$P333&gt;0,R333,"")</f>
        <v/>
      </c>
      <c r="T333" s="51" t="str">
        <f>IF(XT!$P333=0,R333,"")</f>
        <v/>
      </c>
      <c r="U333">
        <f>SUMPRODUCT((MONTH(CHOOSE({1,2,3,4},XT!U333,XT!Y333,XT!AC333,XT!AG333))=6)*(CHOOSE({1,2,3,4},XT!X333,XT!AB333,XT!AF333,XT!AJ333)))</f>
        <v>0</v>
      </c>
      <c r="V333" t="str">
        <f>IFERROR(INDEX(CHOOSE({1,2,3,4}, DAY(XT!U333), DAY(XT!Y333), DAY(XT!AC333), DAY(XT!AG333)), MATCH(1, INDEX(--(MONTH(CHOOSE({1,2,3,4}, XT!U333,XT!Y333,XT!AC333,XT!AG333))=6), 0), 0)), "")</f>
        <v/>
      </c>
      <c r="W333" s="51" t="str">
        <f>IF(XT!$P333&gt;0,V333,"")</f>
        <v/>
      </c>
      <c r="X333" s="51" t="str">
        <f>IF(XT!$P333=0,V333,"")</f>
        <v/>
      </c>
      <c r="Y333">
        <f>SUMPRODUCT((MONTH(CHOOSE({1,2,3,4},XT!U333,XT!Y333,XT!AC333,XT!AG333))=7)*(CHOOSE({1,2,3,4},XT!X333,XT!AB333,XT!AF333,XT!AJ333)))</f>
        <v>0</v>
      </c>
      <c r="Z333" t="str">
        <f>IFERROR(INDEX(CHOOSE({1,2,3,4}, DAY(XT!U333), DAY(XT!Y333), DAY(XT!AC333), DAY(XT!AG333)), MATCH(1, INDEX(--(MONTH(CHOOSE({1,2,3,4}, XT!U333,XT!Y333,XT!AC333,XT!AG333))=7), 0), 0)), "")</f>
        <v/>
      </c>
      <c r="AA333" s="51" t="str">
        <f>IF(XT!$P333&gt;0,Z333,"")</f>
        <v/>
      </c>
      <c r="AB333" s="51" t="str">
        <f>IF(XT!$P333=0,Z333,"")</f>
        <v/>
      </c>
      <c r="AC333">
        <f>SUMPRODUCT((MONTH(CHOOSE({1,2,3,4},XT!U333,XT!Y333,XT!AC333,XT!AG333))=8)*(CHOOSE({1,2,3,4},XT!X333,XT!AB333,XT!AF333,XT!AJ333)))</f>
        <v>0</v>
      </c>
      <c r="AD333" t="str">
        <f>IFERROR(INDEX(CHOOSE({1,2,3,4}, DAY(XT!U333), DAY(XT!Y333), DAY(XT!AC333), DAY(XT!AG333)), MATCH(1, INDEX(--(MONTH(CHOOSE({1,2,3,4}, XT!U333,XT!Y333,XT!AC333,XT!AG333))=8), 0), 0)), "")</f>
        <v/>
      </c>
      <c r="AE333" s="51" t="str">
        <f>IF(XT!$P333&gt;0,AD333,"")</f>
        <v/>
      </c>
      <c r="AF333" s="51" t="str">
        <f>IF(XT!$P333=0,AD333,"")</f>
        <v/>
      </c>
      <c r="AG333">
        <f>SUMPRODUCT((MONTH(CHOOSE({1,2,3,4},XT!U333,XT!Y333,XT!AC333,XT!AG333))=9)*(CHOOSE({1,2,3,4},XT!X333,XT!AB333,XT!AF333,XT!AJ333)))</f>
        <v>0</v>
      </c>
      <c r="AH333" t="str">
        <f>IFERROR(INDEX(CHOOSE({1,2,3,4}, DAY(XT!U333), DAY(XT!Y333), DAY(XT!AC333), DAY(XT!AG333)), MATCH(1, INDEX(--(MONTH(CHOOSE({1,2,3,4}, XT!U333,XT!Y333,XT!AC333,XT!AG333))=9), 0), 0)), "")</f>
        <v/>
      </c>
      <c r="AI333" s="51" t="str">
        <f>IF(XT!$P333&gt;0,AH333,"")</f>
        <v/>
      </c>
      <c r="AJ333" s="51" t="str">
        <f>IF(XT!$P333=0,AH333,"")</f>
        <v/>
      </c>
      <c r="AK333">
        <f>SUMPRODUCT((MONTH(CHOOSE({1,2,3,4},XT!U333,XT!Y333,XT!AC333,XT!AG333))=10)*(CHOOSE({1,2,3,4},XT!X333,XT!AB333,XT!AF333,XT!AJ333)))</f>
        <v>0</v>
      </c>
      <c r="AL333" t="str">
        <f>IFERROR(INDEX(CHOOSE({1,2,3,4}, DAY(XT!U333), DAY(XT!Y333), DAY(XT!AC333), DAY(XT!AG333)), MATCH(1, INDEX(--(MONTH(CHOOSE({1,2,3,4}, XT!U333,XT!Y333,XT!AC333,XT!AG333))=10), 0), 0)), "")</f>
        <v/>
      </c>
      <c r="AM333" s="51" t="str">
        <f>IF(XT!$P333&gt;0,AL333,"")</f>
        <v/>
      </c>
      <c r="AN333" s="51" t="str">
        <f>IF(XT!$P333=0,AL333,"")</f>
        <v/>
      </c>
      <c r="AO333">
        <f>SUMPRODUCT((MONTH(CHOOSE({1,2,3,4},XT!U333,XT!Y333,XT!AC333,XT!AG333))=11)*(CHOOSE({1,2,3,4},XT!X333,XT!AB333,XT!AF333,XT!AJ333)))</f>
        <v>0</v>
      </c>
      <c r="AP333" t="str">
        <f>IFERROR(INDEX(CHOOSE({1,2,3,4}, DAY(XT!U333), DAY(XT!Y333), DAY(XT!AC333), DAY(XT!AG333)), MATCH(1, INDEX(--(MONTH(CHOOSE({1,2,3,4}, XT!U333,XT!Y333,XT!AC333,XT!AG333))=11), 0), 0)), "")</f>
        <v/>
      </c>
      <c r="AQ333" s="51" t="str">
        <f>IF(XT!$P333&gt;0,AP333,"")</f>
        <v/>
      </c>
      <c r="AR333" s="51" t="str">
        <f>IF(XT!$P333=0,AP333,"")</f>
        <v/>
      </c>
      <c r="AS333">
        <f>SUMPRODUCT((MONTH(CHOOSE({1,2,3,4},XT!U333,XT!Y333,XT!AC333,XT!AG333))=12)*(CHOOSE({1,2,3,4},XT!X333,XT!AB333,XT!AF333,XT!AJ333)))</f>
        <v>0</v>
      </c>
      <c r="AT333" t="str">
        <f>IFERROR(INDEX(CHOOSE({1,2,3,4}, DAY(XT!U333), DAY(XT!Y333), DAY(XT!AC333), DAY(XT!AG333)), MATCH(1, INDEX(--(MONTH(CHOOSE({1,2,3,4}, XT!U333,XT!Y333,XT!AC333,XT!AG333))=12), 0), 0)), "")</f>
        <v/>
      </c>
      <c r="AU333" s="51" t="str">
        <f>IF(XT!$P333&gt;0,AT333,"")</f>
        <v/>
      </c>
      <c r="AV333" s="51" t="str">
        <f>IF(XT!$P333=0,AT333,"")</f>
        <v/>
      </c>
    </row>
    <row r="334" spans="1:48">
      <c r="A334">
        <f>SUMPRODUCT((MONTH(CHOOSE({1,2,3,4},XT!U334,XT!Y334,XT!AC334,XT!AG334))=1)*(CHOOSE({1,2,3,4},XT!X334,XT!AB334,XT!AF334,XT!AJ334)))</f>
        <v>0</v>
      </c>
      <c r="B334">
        <f>IFERROR(INDEX(CHOOSE({1,2,3,4}, DAY(XT!U334), DAY(XT!Y334), DAY(XT!AC334), DAY(XT!AG334)), MATCH(1, INDEX(--(MONTH(CHOOSE({1,2,3,4}, XT!U334,XT!Y334,XT!AC334,XT!AG334))=1), 0), 0)), "")</f>
        <v>0</v>
      </c>
      <c r="C334" s="51" t="str">
        <f>IF(XT!$P334&gt;0,B334,"")</f>
        <v/>
      </c>
      <c r="D334" s="51">
        <f>IF(XT!$P334=0,B334,"")</f>
        <v>0</v>
      </c>
      <c r="E334">
        <f>SUMPRODUCT((MONTH(CHOOSE({1,2,3,4},XT!U334,XT!Y334,XT!AC334,XT!AG334))=2)*(CHOOSE({1,2,3,4},XT!X334,XT!AB334,XT!AF334,XT!AJ334)))</f>
        <v>0</v>
      </c>
      <c r="F334" t="str">
        <f>IFERROR(INDEX(CHOOSE({1,2,3,4}, DAY(XT!U334), DAY(XT!Y334), DAY(XT!AC334), DAY(XT!AG334)), MATCH(1, INDEX(--(MONTH(CHOOSE({1,2,3,4}, XT!U334,XT!Y334,XT!AC334,XT!AG334))=2), 0), 0)), "")</f>
        <v/>
      </c>
      <c r="G334" s="51" t="str">
        <f>IF(XT!$P334&gt;0,F334,"")</f>
        <v/>
      </c>
      <c r="H334" s="51" t="str">
        <f>IF(XT!$P334=0,F334,"")</f>
        <v/>
      </c>
      <c r="I334">
        <f>SUMPRODUCT((MONTH(CHOOSE({1,2,3,4},XT!U334,XT!Y334,XT!AC334,XT!AG334))=3)*(CHOOSE({1,2,3,4},XT!X334,XT!AB334,XT!AF334,XT!AJ334)))</f>
        <v>0</v>
      </c>
      <c r="J334" t="str">
        <f>IFERROR(INDEX(CHOOSE({1,2,3,4}, DAY(XT!U334), DAY(XT!Y334), DAY(XT!AC334), DAY(XT!AG334)), MATCH(1, INDEX(--(MONTH(CHOOSE({1,2,3,4}, XT!U334,XT!Y334,XT!AC334,XT!AG334))=3), 0), 0)), "")</f>
        <v/>
      </c>
      <c r="K334" s="51" t="str">
        <f>IF(XT!$P334&gt;0,J334,"")</f>
        <v/>
      </c>
      <c r="L334" s="51" t="str">
        <f>IF(XT!$P334=0,J334,"")</f>
        <v/>
      </c>
      <c r="M334">
        <f>SUMPRODUCT((MONTH(CHOOSE({1,2,3,4},XT!U334,XT!Y334,XT!AC334,XT!AG334))=4)*(CHOOSE({1,2,3,4},XT!X334,XT!AB334,XT!AF334,XT!AJ334)))</f>
        <v>0</v>
      </c>
      <c r="N334" t="str">
        <f>IFERROR(INDEX(CHOOSE({1,2,3,4}, DAY(XT!U334), DAY(XT!Y334), DAY(XT!AC334), DAY(XT!AG334)), MATCH(1, INDEX(--(MONTH(CHOOSE({1,2,3,4}, XT!U334,XT!Y334,XT!AC334,XT!AG334))=4), 0), 0)), "")</f>
        <v/>
      </c>
      <c r="O334" s="51" t="str">
        <f>IF(XT!$P334&gt;0,N334,"")</f>
        <v/>
      </c>
      <c r="P334" s="51" t="str">
        <f>IF(XT!$P334=0,N334,"")</f>
        <v/>
      </c>
      <c r="Q334">
        <f>SUMPRODUCT((MONTH(CHOOSE({1,2,3,4},XT!U334,XT!Y334,XT!AC334,XT!AG334))=5)*(CHOOSE({1,2,3,4},XT!X334,XT!AB334,XT!AF334,XT!AJ334)))</f>
        <v>0</v>
      </c>
      <c r="R334" t="str">
        <f>IFERROR(INDEX(CHOOSE({1,2,3,4}, DAY(XT!U334), DAY(XT!Y334), DAY(XT!AC334), DAY(XT!AG334)), MATCH(1, INDEX(--(MONTH(CHOOSE({1,2,3,4}, XT!U334,XT!Y334,XT!AC334,XT!AG334))=5), 0), 0)), "")</f>
        <v/>
      </c>
      <c r="S334" s="51" t="str">
        <f>IF(XT!$P334&gt;0,R334,"")</f>
        <v/>
      </c>
      <c r="T334" s="51" t="str">
        <f>IF(XT!$P334=0,R334,"")</f>
        <v/>
      </c>
      <c r="U334">
        <f>SUMPRODUCT((MONTH(CHOOSE({1,2,3,4},XT!U334,XT!Y334,XT!AC334,XT!AG334))=6)*(CHOOSE({1,2,3,4},XT!X334,XT!AB334,XT!AF334,XT!AJ334)))</f>
        <v>0</v>
      </c>
      <c r="V334" t="str">
        <f>IFERROR(INDEX(CHOOSE({1,2,3,4}, DAY(XT!U334), DAY(XT!Y334), DAY(XT!AC334), DAY(XT!AG334)), MATCH(1, INDEX(--(MONTH(CHOOSE({1,2,3,4}, XT!U334,XT!Y334,XT!AC334,XT!AG334))=6), 0), 0)), "")</f>
        <v/>
      </c>
      <c r="W334" s="51" t="str">
        <f>IF(XT!$P334&gt;0,V334,"")</f>
        <v/>
      </c>
      <c r="X334" s="51" t="str">
        <f>IF(XT!$P334=0,V334,"")</f>
        <v/>
      </c>
      <c r="Y334">
        <f>SUMPRODUCT((MONTH(CHOOSE({1,2,3,4},XT!U334,XT!Y334,XT!AC334,XT!AG334))=7)*(CHOOSE({1,2,3,4},XT!X334,XT!AB334,XT!AF334,XT!AJ334)))</f>
        <v>0</v>
      </c>
      <c r="Z334" t="str">
        <f>IFERROR(INDEX(CHOOSE({1,2,3,4}, DAY(XT!U334), DAY(XT!Y334), DAY(XT!AC334), DAY(XT!AG334)), MATCH(1, INDEX(--(MONTH(CHOOSE({1,2,3,4}, XT!U334,XT!Y334,XT!AC334,XT!AG334))=7), 0), 0)), "")</f>
        <v/>
      </c>
      <c r="AA334" s="51" t="str">
        <f>IF(XT!$P334&gt;0,Z334,"")</f>
        <v/>
      </c>
      <c r="AB334" s="51" t="str">
        <f>IF(XT!$P334=0,Z334,"")</f>
        <v/>
      </c>
      <c r="AC334">
        <f>SUMPRODUCT((MONTH(CHOOSE({1,2,3,4},XT!U334,XT!Y334,XT!AC334,XT!AG334))=8)*(CHOOSE({1,2,3,4},XT!X334,XT!AB334,XT!AF334,XT!AJ334)))</f>
        <v>0</v>
      </c>
      <c r="AD334" t="str">
        <f>IFERROR(INDEX(CHOOSE({1,2,3,4}, DAY(XT!U334), DAY(XT!Y334), DAY(XT!AC334), DAY(XT!AG334)), MATCH(1, INDEX(--(MONTH(CHOOSE({1,2,3,4}, XT!U334,XT!Y334,XT!AC334,XT!AG334))=8), 0), 0)), "")</f>
        <v/>
      </c>
      <c r="AE334" s="51" t="str">
        <f>IF(XT!$P334&gt;0,AD334,"")</f>
        <v/>
      </c>
      <c r="AF334" s="51" t="str">
        <f>IF(XT!$P334=0,AD334,"")</f>
        <v/>
      </c>
      <c r="AG334">
        <f>SUMPRODUCT((MONTH(CHOOSE({1,2,3,4},XT!U334,XT!Y334,XT!AC334,XT!AG334))=9)*(CHOOSE({1,2,3,4},XT!X334,XT!AB334,XT!AF334,XT!AJ334)))</f>
        <v>0</v>
      </c>
      <c r="AH334" t="str">
        <f>IFERROR(INDEX(CHOOSE({1,2,3,4}, DAY(XT!U334), DAY(XT!Y334), DAY(XT!AC334), DAY(XT!AG334)), MATCH(1, INDEX(--(MONTH(CHOOSE({1,2,3,4}, XT!U334,XT!Y334,XT!AC334,XT!AG334))=9), 0), 0)), "")</f>
        <v/>
      </c>
      <c r="AI334" s="51" t="str">
        <f>IF(XT!$P334&gt;0,AH334,"")</f>
        <v/>
      </c>
      <c r="AJ334" s="51" t="str">
        <f>IF(XT!$P334=0,AH334,"")</f>
        <v/>
      </c>
      <c r="AK334">
        <f>SUMPRODUCT((MONTH(CHOOSE({1,2,3,4},XT!U334,XT!Y334,XT!AC334,XT!AG334))=10)*(CHOOSE({1,2,3,4},XT!X334,XT!AB334,XT!AF334,XT!AJ334)))</f>
        <v>0</v>
      </c>
      <c r="AL334" t="str">
        <f>IFERROR(INDEX(CHOOSE({1,2,3,4}, DAY(XT!U334), DAY(XT!Y334), DAY(XT!AC334), DAY(XT!AG334)), MATCH(1, INDEX(--(MONTH(CHOOSE({1,2,3,4}, XT!U334,XT!Y334,XT!AC334,XT!AG334))=10), 0), 0)), "")</f>
        <v/>
      </c>
      <c r="AM334" s="51" t="str">
        <f>IF(XT!$P334&gt;0,AL334,"")</f>
        <v/>
      </c>
      <c r="AN334" s="51" t="str">
        <f>IF(XT!$P334=0,AL334,"")</f>
        <v/>
      </c>
      <c r="AO334">
        <f>SUMPRODUCT((MONTH(CHOOSE({1,2,3,4},XT!U334,XT!Y334,XT!AC334,XT!AG334))=11)*(CHOOSE({1,2,3,4},XT!X334,XT!AB334,XT!AF334,XT!AJ334)))</f>
        <v>0</v>
      </c>
      <c r="AP334" t="str">
        <f>IFERROR(INDEX(CHOOSE({1,2,3,4}, DAY(XT!U334), DAY(XT!Y334), DAY(XT!AC334), DAY(XT!AG334)), MATCH(1, INDEX(--(MONTH(CHOOSE({1,2,3,4}, XT!U334,XT!Y334,XT!AC334,XT!AG334))=11), 0), 0)), "")</f>
        <v/>
      </c>
      <c r="AQ334" s="51" t="str">
        <f>IF(XT!$P334&gt;0,AP334,"")</f>
        <v/>
      </c>
      <c r="AR334" s="51" t="str">
        <f>IF(XT!$P334=0,AP334,"")</f>
        <v/>
      </c>
      <c r="AS334">
        <f>SUMPRODUCT((MONTH(CHOOSE({1,2,3,4},XT!U334,XT!Y334,XT!AC334,XT!AG334))=12)*(CHOOSE({1,2,3,4},XT!X334,XT!AB334,XT!AF334,XT!AJ334)))</f>
        <v>0</v>
      </c>
      <c r="AT334" t="str">
        <f>IFERROR(INDEX(CHOOSE({1,2,3,4}, DAY(XT!U334), DAY(XT!Y334), DAY(XT!AC334), DAY(XT!AG334)), MATCH(1, INDEX(--(MONTH(CHOOSE({1,2,3,4}, XT!U334,XT!Y334,XT!AC334,XT!AG334))=12), 0), 0)), "")</f>
        <v/>
      </c>
      <c r="AU334" s="51" t="str">
        <f>IF(XT!$P334&gt;0,AT334,"")</f>
        <v/>
      </c>
      <c r="AV334" s="51" t="str">
        <f>IF(XT!$P334=0,AT334,"")</f>
        <v/>
      </c>
    </row>
    <row r="335" spans="1:48">
      <c r="A335">
        <f>SUMPRODUCT((MONTH(CHOOSE({1,2,3,4},XT!U335,XT!Y335,XT!AC335,XT!AG335))=1)*(CHOOSE({1,2,3,4},XT!X335,XT!AB335,XT!AF335,XT!AJ335)))</f>
        <v>0</v>
      </c>
      <c r="B335">
        <f>IFERROR(INDEX(CHOOSE({1,2,3,4}, DAY(XT!U335), DAY(XT!Y335), DAY(XT!AC335), DAY(XT!AG335)), MATCH(1, INDEX(--(MONTH(CHOOSE({1,2,3,4}, XT!U335,XT!Y335,XT!AC335,XT!AG335))=1), 0), 0)), "")</f>
        <v>0</v>
      </c>
      <c r="C335" s="51" t="str">
        <f>IF(XT!$P335&gt;0,B335,"")</f>
        <v/>
      </c>
      <c r="D335" s="51">
        <f>IF(XT!$P335=0,B335,"")</f>
        <v>0</v>
      </c>
      <c r="E335">
        <f>SUMPRODUCT((MONTH(CHOOSE({1,2,3,4},XT!U335,XT!Y335,XT!AC335,XT!AG335))=2)*(CHOOSE({1,2,3,4},XT!X335,XT!AB335,XT!AF335,XT!AJ335)))</f>
        <v>0</v>
      </c>
      <c r="F335" t="str">
        <f>IFERROR(INDEX(CHOOSE({1,2,3,4}, DAY(XT!U335), DAY(XT!Y335), DAY(XT!AC335), DAY(XT!AG335)), MATCH(1, INDEX(--(MONTH(CHOOSE({1,2,3,4}, XT!U335,XT!Y335,XT!AC335,XT!AG335))=2), 0), 0)), "")</f>
        <v/>
      </c>
      <c r="G335" s="51" t="str">
        <f>IF(XT!$P335&gt;0,F335,"")</f>
        <v/>
      </c>
      <c r="H335" s="51" t="str">
        <f>IF(XT!$P335=0,F335,"")</f>
        <v/>
      </c>
      <c r="I335">
        <f>SUMPRODUCT((MONTH(CHOOSE({1,2,3,4},XT!U335,XT!Y335,XT!AC335,XT!AG335))=3)*(CHOOSE({1,2,3,4},XT!X335,XT!AB335,XT!AF335,XT!AJ335)))</f>
        <v>0</v>
      </c>
      <c r="J335" t="str">
        <f>IFERROR(INDEX(CHOOSE({1,2,3,4}, DAY(XT!U335), DAY(XT!Y335), DAY(XT!AC335), DAY(XT!AG335)), MATCH(1, INDEX(--(MONTH(CHOOSE({1,2,3,4}, XT!U335,XT!Y335,XT!AC335,XT!AG335))=3), 0), 0)), "")</f>
        <v/>
      </c>
      <c r="K335" s="51" t="str">
        <f>IF(XT!$P335&gt;0,J335,"")</f>
        <v/>
      </c>
      <c r="L335" s="51" t="str">
        <f>IF(XT!$P335=0,J335,"")</f>
        <v/>
      </c>
      <c r="M335">
        <f>SUMPRODUCT((MONTH(CHOOSE({1,2,3,4},XT!U335,XT!Y335,XT!AC335,XT!AG335))=4)*(CHOOSE({1,2,3,4},XT!X335,XT!AB335,XT!AF335,XT!AJ335)))</f>
        <v>0</v>
      </c>
      <c r="N335" t="str">
        <f>IFERROR(INDEX(CHOOSE({1,2,3,4}, DAY(XT!U335), DAY(XT!Y335), DAY(XT!AC335), DAY(XT!AG335)), MATCH(1, INDEX(--(MONTH(CHOOSE({1,2,3,4}, XT!U335,XT!Y335,XT!AC335,XT!AG335))=4), 0), 0)), "")</f>
        <v/>
      </c>
      <c r="O335" s="51" t="str">
        <f>IF(XT!$P335&gt;0,N335,"")</f>
        <v/>
      </c>
      <c r="P335" s="51" t="str">
        <f>IF(XT!$P335=0,N335,"")</f>
        <v/>
      </c>
      <c r="Q335">
        <f>SUMPRODUCT((MONTH(CHOOSE({1,2,3,4},XT!U335,XT!Y335,XT!AC335,XT!AG335))=5)*(CHOOSE({1,2,3,4},XT!X335,XT!AB335,XT!AF335,XT!AJ335)))</f>
        <v>0</v>
      </c>
      <c r="R335" t="str">
        <f>IFERROR(INDEX(CHOOSE({1,2,3,4}, DAY(XT!U335), DAY(XT!Y335), DAY(XT!AC335), DAY(XT!AG335)), MATCH(1, INDEX(--(MONTH(CHOOSE({1,2,3,4}, XT!U335,XT!Y335,XT!AC335,XT!AG335))=5), 0), 0)), "")</f>
        <v/>
      </c>
      <c r="S335" s="51" t="str">
        <f>IF(XT!$P335&gt;0,R335,"")</f>
        <v/>
      </c>
      <c r="T335" s="51" t="str">
        <f>IF(XT!$P335=0,R335,"")</f>
        <v/>
      </c>
      <c r="U335">
        <f>SUMPRODUCT((MONTH(CHOOSE({1,2,3,4},XT!U335,XT!Y335,XT!AC335,XT!AG335))=6)*(CHOOSE({1,2,3,4},XT!X335,XT!AB335,XT!AF335,XT!AJ335)))</f>
        <v>0</v>
      </c>
      <c r="V335" t="str">
        <f>IFERROR(INDEX(CHOOSE({1,2,3,4}, DAY(XT!U335), DAY(XT!Y335), DAY(XT!AC335), DAY(XT!AG335)), MATCH(1, INDEX(--(MONTH(CHOOSE({1,2,3,4}, XT!U335,XT!Y335,XT!AC335,XT!AG335))=6), 0), 0)), "")</f>
        <v/>
      </c>
      <c r="W335" s="51" t="str">
        <f>IF(XT!$P335&gt;0,V335,"")</f>
        <v/>
      </c>
      <c r="X335" s="51" t="str">
        <f>IF(XT!$P335=0,V335,"")</f>
        <v/>
      </c>
      <c r="Y335">
        <f>SUMPRODUCT((MONTH(CHOOSE({1,2,3,4},XT!U335,XT!Y335,XT!AC335,XT!AG335))=7)*(CHOOSE({1,2,3,4},XT!X335,XT!AB335,XT!AF335,XT!AJ335)))</f>
        <v>0</v>
      </c>
      <c r="Z335" t="str">
        <f>IFERROR(INDEX(CHOOSE({1,2,3,4}, DAY(XT!U335), DAY(XT!Y335), DAY(XT!AC335), DAY(XT!AG335)), MATCH(1, INDEX(--(MONTH(CHOOSE({1,2,3,4}, XT!U335,XT!Y335,XT!AC335,XT!AG335))=7), 0), 0)), "")</f>
        <v/>
      </c>
      <c r="AA335" s="51" t="str">
        <f>IF(XT!$P335&gt;0,Z335,"")</f>
        <v/>
      </c>
      <c r="AB335" s="51" t="str">
        <f>IF(XT!$P335=0,Z335,"")</f>
        <v/>
      </c>
      <c r="AC335">
        <f>SUMPRODUCT((MONTH(CHOOSE({1,2,3,4},XT!U335,XT!Y335,XT!AC335,XT!AG335))=8)*(CHOOSE({1,2,3,4},XT!X335,XT!AB335,XT!AF335,XT!AJ335)))</f>
        <v>0</v>
      </c>
      <c r="AD335" t="str">
        <f>IFERROR(INDEX(CHOOSE({1,2,3,4}, DAY(XT!U335), DAY(XT!Y335), DAY(XT!AC335), DAY(XT!AG335)), MATCH(1, INDEX(--(MONTH(CHOOSE({1,2,3,4}, XT!U335,XT!Y335,XT!AC335,XT!AG335))=8), 0), 0)), "")</f>
        <v/>
      </c>
      <c r="AE335" s="51" t="str">
        <f>IF(XT!$P335&gt;0,AD335,"")</f>
        <v/>
      </c>
      <c r="AF335" s="51" t="str">
        <f>IF(XT!$P335=0,AD335,"")</f>
        <v/>
      </c>
      <c r="AG335">
        <f>SUMPRODUCT((MONTH(CHOOSE({1,2,3,4},XT!U335,XT!Y335,XT!AC335,XT!AG335))=9)*(CHOOSE({1,2,3,4},XT!X335,XT!AB335,XT!AF335,XT!AJ335)))</f>
        <v>0</v>
      </c>
      <c r="AH335" t="str">
        <f>IFERROR(INDEX(CHOOSE({1,2,3,4}, DAY(XT!U335), DAY(XT!Y335), DAY(XT!AC335), DAY(XT!AG335)), MATCH(1, INDEX(--(MONTH(CHOOSE({1,2,3,4}, XT!U335,XT!Y335,XT!AC335,XT!AG335))=9), 0), 0)), "")</f>
        <v/>
      </c>
      <c r="AI335" s="51" t="str">
        <f>IF(XT!$P335&gt;0,AH335,"")</f>
        <v/>
      </c>
      <c r="AJ335" s="51" t="str">
        <f>IF(XT!$P335=0,AH335,"")</f>
        <v/>
      </c>
      <c r="AK335">
        <f>SUMPRODUCT((MONTH(CHOOSE({1,2,3,4},XT!U335,XT!Y335,XT!AC335,XT!AG335))=10)*(CHOOSE({1,2,3,4},XT!X335,XT!AB335,XT!AF335,XT!AJ335)))</f>
        <v>0</v>
      </c>
      <c r="AL335" t="str">
        <f>IFERROR(INDEX(CHOOSE({1,2,3,4}, DAY(XT!U335), DAY(XT!Y335), DAY(XT!AC335), DAY(XT!AG335)), MATCH(1, INDEX(--(MONTH(CHOOSE({1,2,3,4}, XT!U335,XT!Y335,XT!AC335,XT!AG335))=10), 0), 0)), "")</f>
        <v/>
      </c>
      <c r="AM335" s="51" t="str">
        <f>IF(XT!$P335&gt;0,AL335,"")</f>
        <v/>
      </c>
      <c r="AN335" s="51" t="str">
        <f>IF(XT!$P335=0,AL335,"")</f>
        <v/>
      </c>
      <c r="AO335">
        <f>SUMPRODUCT((MONTH(CHOOSE({1,2,3,4},XT!U335,XT!Y335,XT!AC335,XT!AG335))=11)*(CHOOSE({1,2,3,4},XT!X335,XT!AB335,XT!AF335,XT!AJ335)))</f>
        <v>0</v>
      </c>
      <c r="AP335" t="str">
        <f>IFERROR(INDEX(CHOOSE({1,2,3,4}, DAY(XT!U335), DAY(XT!Y335), DAY(XT!AC335), DAY(XT!AG335)), MATCH(1, INDEX(--(MONTH(CHOOSE({1,2,3,4}, XT!U335,XT!Y335,XT!AC335,XT!AG335))=11), 0), 0)), "")</f>
        <v/>
      </c>
      <c r="AQ335" s="51" t="str">
        <f>IF(XT!$P335&gt;0,AP335,"")</f>
        <v/>
      </c>
      <c r="AR335" s="51" t="str">
        <f>IF(XT!$P335=0,AP335,"")</f>
        <v/>
      </c>
      <c r="AS335">
        <f>SUMPRODUCT((MONTH(CHOOSE({1,2,3,4},XT!U335,XT!Y335,XT!AC335,XT!AG335))=12)*(CHOOSE({1,2,3,4},XT!X335,XT!AB335,XT!AF335,XT!AJ335)))</f>
        <v>0</v>
      </c>
      <c r="AT335" t="str">
        <f>IFERROR(INDEX(CHOOSE({1,2,3,4}, DAY(XT!U335), DAY(XT!Y335), DAY(XT!AC335), DAY(XT!AG335)), MATCH(1, INDEX(--(MONTH(CHOOSE({1,2,3,4}, XT!U335,XT!Y335,XT!AC335,XT!AG335))=12), 0), 0)), "")</f>
        <v/>
      </c>
      <c r="AU335" s="51" t="str">
        <f>IF(XT!$P335&gt;0,AT335,"")</f>
        <v/>
      </c>
      <c r="AV335" s="51" t="str">
        <f>IF(XT!$P335=0,AT335,"")</f>
        <v/>
      </c>
    </row>
    <row r="336" spans="1:48">
      <c r="A336">
        <f>SUMPRODUCT((MONTH(CHOOSE({1,2,3,4},XT!U336,XT!Y336,XT!AC336,XT!AG336))=1)*(CHOOSE({1,2,3,4},XT!X336,XT!AB336,XT!AF336,XT!AJ336)))</f>
        <v>0</v>
      </c>
      <c r="B336">
        <f>IFERROR(INDEX(CHOOSE({1,2,3,4}, DAY(XT!U336), DAY(XT!Y336), DAY(XT!AC336), DAY(XT!AG336)), MATCH(1, INDEX(--(MONTH(CHOOSE({1,2,3,4}, XT!U336,XT!Y336,XT!AC336,XT!AG336))=1), 0), 0)), "")</f>
        <v>0</v>
      </c>
      <c r="C336" s="51" t="str">
        <f>IF(XT!$P336&gt;0,B336,"")</f>
        <v/>
      </c>
      <c r="D336" s="51">
        <f>IF(XT!$P336=0,B336,"")</f>
        <v>0</v>
      </c>
      <c r="E336">
        <f>SUMPRODUCT((MONTH(CHOOSE({1,2,3,4},XT!U336,XT!Y336,XT!AC336,XT!AG336))=2)*(CHOOSE({1,2,3,4},XT!X336,XT!AB336,XT!AF336,XT!AJ336)))</f>
        <v>0</v>
      </c>
      <c r="F336" t="str">
        <f>IFERROR(INDEX(CHOOSE({1,2,3,4}, DAY(XT!U336), DAY(XT!Y336), DAY(XT!AC336), DAY(XT!AG336)), MATCH(1, INDEX(--(MONTH(CHOOSE({1,2,3,4}, XT!U336,XT!Y336,XT!AC336,XT!AG336))=2), 0), 0)), "")</f>
        <v/>
      </c>
      <c r="G336" s="51" t="str">
        <f>IF(XT!$P336&gt;0,F336,"")</f>
        <v/>
      </c>
      <c r="H336" s="51" t="str">
        <f>IF(XT!$P336=0,F336,"")</f>
        <v/>
      </c>
      <c r="I336">
        <f>SUMPRODUCT((MONTH(CHOOSE({1,2,3,4},XT!U336,XT!Y336,XT!AC336,XT!AG336))=3)*(CHOOSE({1,2,3,4},XT!X336,XT!AB336,XT!AF336,XT!AJ336)))</f>
        <v>0</v>
      </c>
      <c r="J336" t="str">
        <f>IFERROR(INDEX(CHOOSE({1,2,3,4}, DAY(XT!U336), DAY(XT!Y336), DAY(XT!AC336), DAY(XT!AG336)), MATCH(1, INDEX(--(MONTH(CHOOSE({1,2,3,4}, XT!U336,XT!Y336,XT!AC336,XT!AG336))=3), 0), 0)), "")</f>
        <v/>
      </c>
      <c r="K336" s="51" t="str">
        <f>IF(XT!$P336&gt;0,J336,"")</f>
        <v/>
      </c>
      <c r="L336" s="51" t="str">
        <f>IF(XT!$P336=0,J336,"")</f>
        <v/>
      </c>
      <c r="M336">
        <f>SUMPRODUCT((MONTH(CHOOSE({1,2,3,4},XT!U336,XT!Y336,XT!AC336,XT!AG336))=4)*(CHOOSE({1,2,3,4},XT!X336,XT!AB336,XT!AF336,XT!AJ336)))</f>
        <v>0</v>
      </c>
      <c r="N336" t="str">
        <f>IFERROR(INDEX(CHOOSE({1,2,3,4}, DAY(XT!U336), DAY(XT!Y336), DAY(XT!AC336), DAY(XT!AG336)), MATCH(1, INDEX(--(MONTH(CHOOSE({1,2,3,4}, XT!U336,XT!Y336,XT!AC336,XT!AG336))=4), 0), 0)), "")</f>
        <v/>
      </c>
      <c r="O336" s="51" t="str">
        <f>IF(XT!$P336&gt;0,N336,"")</f>
        <v/>
      </c>
      <c r="P336" s="51" t="str">
        <f>IF(XT!$P336=0,N336,"")</f>
        <v/>
      </c>
      <c r="Q336">
        <f>SUMPRODUCT((MONTH(CHOOSE({1,2,3,4},XT!U336,XT!Y336,XT!AC336,XT!AG336))=5)*(CHOOSE({1,2,3,4},XT!X336,XT!AB336,XT!AF336,XT!AJ336)))</f>
        <v>0</v>
      </c>
      <c r="R336" t="str">
        <f>IFERROR(INDEX(CHOOSE({1,2,3,4}, DAY(XT!U336), DAY(XT!Y336), DAY(XT!AC336), DAY(XT!AG336)), MATCH(1, INDEX(--(MONTH(CHOOSE({1,2,3,4}, XT!U336,XT!Y336,XT!AC336,XT!AG336))=5), 0), 0)), "")</f>
        <v/>
      </c>
      <c r="S336" s="51" t="str">
        <f>IF(XT!$P336&gt;0,R336,"")</f>
        <v/>
      </c>
      <c r="T336" s="51" t="str">
        <f>IF(XT!$P336=0,R336,"")</f>
        <v/>
      </c>
      <c r="U336">
        <f>SUMPRODUCT((MONTH(CHOOSE({1,2,3,4},XT!U336,XT!Y336,XT!AC336,XT!AG336))=6)*(CHOOSE({1,2,3,4},XT!X336,XT!AB336,XT!AF336,XT!AJ336)))</f>
        <v>0</v>
      </c>
      <c r="V336" t="str">
        <f>IFERROR(INDEX(CHOOSE({1,2,3,4}, DAY(XT!U336), DAY(XT!Y336), DAY(XT!AC336), DAY(XT!AG336)), MATCH(1, INDEX(--(MONTH(CHOOSE({1,2,3,4}, XT!U336,XT!Y336,XT!AC336,XT!AG336))=6), 0), 0)), "")</f>
        <v/>
      </c>
      <c r="W336" s="51" t="str">
        <f>IF(XT!$P336&gt;0,V336,"")</f>
        <v/>
      </c>
      <c r="X336" s="51" t="str">
        <f>IF(XT!$P336=0,V336,"")</f>
        <v/>
      </c>
      <c r="Y336">
        <f>SUMPRODUCT((MONTH(CHOOSE({1,2,3,4},XT!U336,XT!Y336,XT!AC336,XT!AG336))=7)*(CHOOSE({1,2,3,4},XT!X336,XT!AB336,XT!AF336,XT!AJ336)))</f>
        <v>0</v>
      </c>
      <c r="Z336" t="str">
        <f>IFERROR(INDEX(CHOOSE({1,2,3,4}, DAY(XT!U336), DAY(XT!Y336), DAY(XT!AC336), DAY(XT!AG336)), MATCH(1, INDEX(--(MONTH(CHOOSE({1,2,3,4}, XT!U336,XT!Y336,XT!AC336,XT!AG336))=7), 0), 0)), "")</f>
        <v/>
      </c>
      <c r="AA336" s="51" t="str">
        <f>IF(XT!$P336&gt;0,Z336,"")</f>
        <v/>
      </c>
      <c r="AB336" s="51" t="str">
        <f>IF(XT!$P336=0,Z336,"")</f>
        <v/>
      </c>
      <c r="AC336">
        <f>SUMPRODUCT((MONTH(CHOOSE({1,2,3,4},XT!U336,XT!Y336,XT!AC336,XT!AG336))=8)*(CHOOSE({1,2,3,4},XT!X336,XT!AB336,XT!AF336,XT!AJ336)))</f>
        <v>0</v>
      </c>
      <c r="AD336" t="str">
        <f>IFERROR(INDEX(CHOOSE({1,2,3,4}, DAY(XT!U336), DAY(XT!Y336), DAY(XT!AC336), DAY(XT!AG336)), MATCH(1, INDEX(--(MONTH(CHOOSE({1,2,3,4}, XT!U336,XT!Y336,XT!AC336,XT!AG336))=8), 0), 0)), "")</f>
        <v/>
      </c>
      <c r="AE336" s="51" t="str">
        <f>IF(XT!$P336&gt;0,AD336,"")</f>
        <v/>
      </c>
      <c r="AF336" s="51" t="str">
        <f>IF(XT!$P336=0,AD336,"")</f>
        <v/>
      </c>
      <c r="AG336">
        <f>SUMPRODUCT((MONTH(CHOOSE({1,2,3,4},XT!U336,XT!Y336,XT!AC336,XT!AG336))=9)*(CHOOSE({1,2,3,4},XT!X336,XT!AB336,XT!AF336,XT!AJ336)))</f>
        <v>0</v>
      </c>
      <c r="AH336" t="str">
        <f>IFERROR(INDEX(CHOOSE({1,2,3,4}, DAY(XT!U336), DAY(XT!Y336), DAY(XT!AC336), DAY(XT!AG336)), MATCH(1, INDEX(--(MONTH(CHOOSE({1,2,3,4}, XT!U336,XT!Y336,XT!AC336,XT!AG336))=9), 0), 0)), "")</f>
        <v/>
      </c>
      <c r="AI336" s="51" t="str">
        <f>IF(XT!$P336&gt;0,AH336,"")</f>
        <v/>
      </c>
      <c r="AJ336" s="51" t="str">
        <f>IF(XT!$P336=0,AH336,"")</f>
        <v/>
      </c>
      <c r="AK336">
        <f>SUMPRODUCT((MONTH(CHOOSE({1,2,3,4},XT!U336,XT!Y336,XT!AC336,XT!AG336))=10)*(CHOOSE({1,2,3,4},XT!X336,XT!AB336,XT!AF336,XT!AJ336)))</f>
        <v>0</v>
      </c>
      <c r="AL336" t="str">
        <f>IFERROR(INDEX(CHOOSE({1,2,3,4}, DAY(XT!U336), DAY(XT!Y336), DAY(XT!AC336), DAY(XT!AG336)), MATCH(1, INDEX(--(MONTH(CHOOSE({1,2,3,4}, XT!U336,XT!Y336,XT!AC336,XT!AG336))=10), 0), 0)), "")</f>
        <v/>
      </c>
      <c r="AM336" s="51" t="str">
        <f>IF(XT!$P336&gt;0,AL336,"")</f>
        <v/>
      </c>
      <c r="AN336" s="51" t="str">
        <f>IF(XT!$P336=0,AL336,"")</f>
        <v/>
      </c>
      <c r="AO336">
        <f>SUMPRODUCT((MONTH(CHOOSE({1,2,3,4},XT!U336,XT!Y336,XT!AC336,XT!AG336))=11)*(CHOOSE({1,2,3,4},XT!X336,XT!AB336,XT!AF336,XT!AJ336)))</f>
        <v>0</v>
      </c>
      <c r="AP336" t="str">
        <f>IFERROR(INDEX(CHOOSE({1,2,3,4}, DAY(XT!U336), DAY(XT!Y336), DAY(XT!AC336), DAY(XT!AG336)), MATCH(1, INDEX(--(MONTH(CHOOSE({1,2,3,4}, XT!U336,XT!Y336,XT!AC336,XT!AG336))=11), 0), 0)), "")</f>
        <v/>
      </c>
      <c r="AQ336" s="51" t="str">
        <f>IF(XT!$P336&gt;0,AP336,"")</f>
        <v/>
      </c>
      <c r="AR336" s="51" t="str">
        <f>IF(XT!$P336=0,AP336,"")</f>
        <v/>
      </c>
      <c r="AS336">
        <f>SUMPRODUCT((MONTH(CHOOSE({1,2,3,4},XT!U336,XT!Y336,XT!AC336,XT!AG336))=12)*(CHOOSE({1,2,3,4},XT!X336,XT!AB336,XT!AF336,XT!AJ336)))</f>
        <v>0</v>
      </c>
      <c r="AT336" t="str">
        <f>IFERROR(INDEX(CHOOSE({1,2,3,4}, DAY(XT!U336), DAY(XT!Y336), DAY(XT!AC336), DAY(XT!AG336)), MATCH(1, INDEX(--(MONTH(CHOOSE({1,2,3,4}, XT!U336,XT!Y336,XT!AC336,XT!AG336))=12), 0), 0)), "")</f>
        <v/>
      </c>
      <c r="AU336" s="51" t="str">
        <f>IF(XT!$P336&gt;0,AT336,"")</f>
        <v/>
      </c>
      <c r="AV336" s="51" t="str">
        <f>IF(XT!$P336=0,AT336,"")</f>
        <v/>
      </c>
    </row>
    <row r="337" spans="1:48">
      <c r="A337">
        <f>SUMPRODUCT((MONTH(CHOOSE({1,2,3,4},XT!U337,XT!Y337,XT!AC337,XT!AG337))=1)*(CHOOSE({1,2,3,4},XT!X337,XT!AB337,XT!AF337,XT!AJ337)))</f>
        <v>0</v>
      </c>
      <c r="B337">
        <f>IFERROR(INDEX(CHOOSE({1,2,3,4}, DAY(XT!U337), DAY(XT!Y337), DAY(XT!AC337), DAY(XT!AG337)), MATCH(1, INDEX(--(MONTH(CHOOSE({1,2,3,4}, XT!U337,XT!Y337,XT!AC337,XT!AG337))=1), 0), 0)), "")</f>
        <v>0</v>
      </c>
      <c r="C337" s="51" t="str">
        <f>IF(XT!$P337&gt;0,B337,"")</f>
        <v/>
      </c>
      <c r="D337" s="51">
        <f>IF(XT!$P337=0,B337,"")</f>
        <v>0</v>
      </c>
      <c r="E337">
        <f>SUMPRODUCT((MONTH(CHOOSE({1,2,3,4},XT!U337,XT!Y337,XT!AC337,XT!AG337))=2)*(CHOOSE({1,2,3,4},XT!X337,XT!AB337,XT!AF337,XT!AJ337)))</f>
        <v>0</v>
      </c>
      <c r="F337" t="str">
        <f>IFERROR(INDEX(CHOOSE({1,2,3,4}, DAY(XT!U337), DAY(XT!Y337), DAY(XT!AC337), DAY(XT!AG337)), MATCH(1, INDEX(--(MONTH(CHOOSE({1,2,3,4}, XT!U337,XT!Y337,XT!AC337,XT!AG337))=2), 0), 0)), "")</f>
        <v/>
      </c>
      <c r="G337" s="51" t="str">
        <f>IF(XT!$P337&gt;0,F337,"")</f>
        <v/>
      </c>
      <c r="H337" s="51" t="str">
        <f>IF(XT!$P337=0,F337,"")</f>
        <v/>
      </c>
      <c r="I337">
        <f>SUMPRODUCT((MONTH(CHOOSE({1,2,3,4},XT!U337,XT!Y337,XT!AC337,XT!AG337))=3)*(CHOOSE({1,2,3,4},XT!X337,XT!AB337,XT!AF337,XT!AJ337)))</f>
        <v>0</v>
      </c>
      <c r="J337" t="str">
        <f>IFERROR(INDEX(CHOOSE({1,2,3,4}, DAY(XT!U337), DAY(XT!Y337), DAY(XT!AC337), DAY(XT!AG337)), MATCH(1, INDEX(--(MONTH(CHOOSE({1,2,3,4}, XT!U337,XT!Y337,XT!AC337,XT!AG337))=3), 0), 0)), "")</f>
        <v/>
      </c>
      <c r="K337" s="51" t="str">
        <f>IF(XT!$P337&gt;0,J337,"")</f>
        <v/>
      </c>
      <c r="L337" s="51" t="str">
        <f>IF(XT!$P337=0,J337,"")</f>
        <v/>
      </c>
      <c r="M337">
        <f>SUMPRODUCT((MONTH(CHOOSE({1,2,3,4},XT!U337,XT!Y337,XT!AC337,XT!AG337))=4)*(CHOOSE({1,2,3,4},XT!X337,XT!AB337,XT!AF337,XT!AJ337)))</f>
        <v>0</v>
      </c>
      <c r="N337" t="str">
        <f>IFERROR(INDEX(CHOOSE({1,2,3,4}, DAY(XT!U337), DAY(XT!Y337), DAY(XT!AC337), DAY(XT!AG337)), MATCH(1, INDEX(--(MONTH(CHOOSE({1,2,3,4}, XT!U337,XT!Y337,XT!AC337,XT!AG337))=4), 0), 0)), "")</f>
        <v/>
      </c>
      <c r="O337" s="51" t="str">
        <f>IF(XT!$P337&gt;0,N337,"")</f>
        <v/>
      </c>
      <c r="P337" s="51" t="str">
        <f>IF(XT!$P337=0,N337,"")</f>
        <v/>
      </c>
      <c r="Q337">
        <f>SUMPRODUCT((MONTH(CHOOSE({1,2,3,4},XT!U337,XT!Y337,XT!AC337,XT!AG337))=5)*(CHOOSE({1,2,3,4},XT!X337,XT!AB337,XT!AF337,XT!AJ337)))</f>
        <v>0</v>
      </c>
      <c r="R337" t="str">
        <f>IFERROR(INDEX(CHOOSE({1,2,3,4}, DAY(XT!U337), DAY(XT!Y337), DAY(XT!AC337), DAY(XT!AG337)), MATCH(1, INDEX(--(MONTH(CHOOSE({1,2,3,4}, XT!U337,XT!Y337,XT!AC337,XT!AG337))=5), 0), 0)), "")</f>
        <v/>
      </c>
      <c r="S337" s="51" t="str">
        <f>IF(XT!$P337&gt;0,R337,"")</f>
        <v/>
      </c>
      <c r="T337" s="51" t="str">
        <f>IF(XT!$P337=0,R337,"")</f>
        <v/>
      </c>
      <c r="U337">
        <f>SUMPRODUCT((MONTH(CHOOSE({1,2,3,4},XT!U337,XT!Y337,XT!AC337,XT!AG337))=6)*(CHOOSE({1,2,3,4},XT!X337,XT!AB337,XT!AF337,XT!AJ337)))</f>
        <v>0</v>
      </c>
      <c r="V337" t="str">
        <f>IFERROR(INDEX(CHOOSE({1,2,3,4}, DAY(XT!U337), DAY(XT!Y337), DAY(XT!AC337), DAY(XT!AG337)), MATCH(1, INDEX(--(MONTH(CHOOSE({1,2,3,4}, XT!U337,XT!Y337,XT!AC337,XT!AG337))=6), 0), 0)), "")</f>
        <v/>
      </c>
      <c r="W337" s="51" t="str">
        <f>IF(XT!$P337&gt;0,V337,"")</f>
        <v/>
      </c>
      <c r="X337" s="51" t="str">
        <f>IF(XT!$P337=0,V337,"")</f>
        <v/>
      </c>
      <c r="Y337">
        <f>SUMPRODUCT((MONTH(CHOOSE({1,2,3,4},XT!U337,XT!Y337,XT!AC337,XT!AG337))=7)*(CHOOSE({1,2,3,4},XT!X337,XT!AB337,XT!AF337,XT!AJ337)))</f>
        <v>0</v>
      </c>
      <c r="Z337" t="str">
        <f>IFERROR(INDEX(CHOOSE({1,2,3,4}, DAY(XT!U337), DAY(XT!Y337), DAY(XT!AC337), DAY(XT!AG337)), MATCH(1, INDEX(--(MONTH(CHOOSE({1,2,3,4}, XT!U337,XT!Y337,XT!AC337,XT!AG337))=7), 0), 0)), "")</f>
        <v/>
      </c>
      <c r="AA337" s="51" t="str">
        <f>IF(XT!$P337&gt;0,Z337,"")</f>
        <v/>
      </c>
      <c r="AB337" s="51" t="str">
        <f>IF(XT!$P337=0,Z337,"")</f>
        <v/>
      </c>
      <c r="AC337">
        <f>SUMPRODUCT((MONTH(CHOOSE({1,2,3,4},XT!U337,XT!Y337,XT!AC337,XT!AG337))=8)*(CHOOSE({1,2,3,4},XT!X337,XT!AB337,XT!AF337,XT!AJ337)))</f>
        <v>0</v>
      </c>
      <c r="AD337" t="str">
        <f>IFERROR(INDEX(CHOOSE({1,2,3,4}, DAY(XT!U337), DAY(XT!Y337), DAY(XT!AC337), DAY(XT!AG337)), MATCH(1, INDEX(--(MONTH(CHOOSE({1,2,3,4}, XT!U337,XT!Y337,XT!AC337,XT!AG337))=8), 0), 0)), "")</f>
        <v/>
      </c>
      <c r="AE337" s="51" t="str">
        <f>IF(XT!$P337&gt;0,AD337,"")</f>
        <v/>
      </c>
      <c r="AF337" s="51" t="str">
        <f>IF(XT!$P337=0,AD337,"")</f>
        <v/>
      </c>
      <c r="AG337">
        <f>SUMPRODUCT((MONTH(CHOOSE({1,2,3,4},XT!U337,XT!Y337,XT!AC337,XT!AG337))=9)*(CHOOSE({1,2,3,4},XT!X337,XT!AB337,XT!AF337,XT!AJ337)))</f>
        <v>0</v>
      </c>
      <c r="AH337" t="str">
        <f>IFERROR(INDEX(CHOOSE({1,2,3,4}, DAY(XT!U337), DAY(XT!Y337), DAY(XT!AC337), DAY(XT!AG337)), MATCH(1, INDEX(--(MONTH(CHOOSE({1,2,3,4}, XT!U337,XT!Y337,XT!AC337,XT!AG337))=9), 0), 0)), "")</f>
        <v/>
      </c>
      <c r="AI337" s="51" t="str">
        <f>IF(XT!$P337&gt;0,AH337,"")</f>
        <v/>
      </c>
      <c r="AJ337" s="51" t="str">
        <f>IF(XT!$P337=0,AH337,"")</f>
        <v/>
      </c>
      <c r="AK337">
        <f>SUMPRODUCT((MONTH(CHOOSE({1,2,3,4},XT!U337,XT!Y337,XT!AC337,XT!AG337))=10)*(CHOOSE({1,2,3,4},XT!X337,XT!AB337,XT!AF337,XT!AJ337)))</f>
        <v>0</v>
      </c>
      <c r="AL337" t="str">
        <f>IFERROR(INDEX(CHOOSE({1,2,3,4}, DAY(XT!U337), DAY(XT!Y337), DAY(XT!AC337), DAY(XT!AG337)), MATCH(1, INDEX(--(MONTH(CHOOSE({1,2,3,4}, XT!U337,XT!Y337,XT!AC337,XT!AG337))=10), 0), 0)), "")</f>
        <v/>
      </c>
      <c r="AM337" s="51" t="str">
        <f>IF(XT!$P337&gt;0,AL337,"")</f>
        <v/>
      </c>
      <c r="AN337" s="51" t="str">
        <f>IF(XT!$P337=0,AL337,"")</f>
        <v/>
      </c>
      <c r="AO337">
        <f>SUMPRODUCT((MONTH(CHOOSE({1,2,3,4},XT!U337,XT!Y337,XT!AC337,XT!AG337))=11)*(CHOOSE({1,2,3,4},XT!X337,XT!AB337,XT!AF337,XT!AJ337)))</f>
        <v>0</v>
      </c>
      <c r="AP337" t="str">
        <f>IFERROR(INDEX(CHOOSE({1,2,3,4}, DAY(XT!U337), DAY(XT!Y337), DAY(XT!AC337), DAY(XT!AG337)), MATCH(1, INDEX(--(MONTH(CHOOSE({1,2,3,4}, XT!U337,XT!Y337,XT!AC337,XT!AG337))=11), 0), 0)), "")</f>
        <v/>
      </c>
      <c r="AQ337" s="51" t="str">
        <f>IF(XT!$P337&gt;0,AP337,"")</f>
        <v/>
      </c>
      <c r="AR337" s="51" t="str">
        <f>IF(XT!$P337=0,AP337,"")</f>
        <v/>
      </c>
      <c r="AS337">
        <f>SUMPRODUCT((MONTH(CHOOSE({1,2,3,4},XT!U337,XT!Y337,XT!AC337,XT!AG337))=12)*(CHOOSE({1,2,3,4},XT!X337,XT!AB337,XT!AF337,XT!AJ337)))</f>
        <v>0</v>
      </c>
      <c r="AT337" t="str">
        <f>IFERROR(INDEX(CHOOSE({1,2,3,4}, DAY(XT!U337), DAY(XT!Y337), DAY(XT!AC337), DAY(XT!AG337)), MATCH(1, INDEX(--(MONTH(CHOOSE({1,2,3,4}, XT!U337,XT!Y337,XT!AC337,XT!AG337))=12), 0), 0)), "")</f>
        <v/>
      </c>
      <c r="AU337" s="51" t="str">
        <f>IF(XT!$P337&gt;0,AT337,"")</f>
        <v/>
      </c>
      <c r="AV337" s="51" t="str">
        <f>IF(XT!$P337=0,AT337,"")</f>
        <v/>
      </c>
    </row>
    <row r="338" spans="1:48">
      <c r="A338">
        <f>SUMPRODUCT((MONTH(CHOOSE({1,2,3,4},XT!U338,XT!Y338,XT!AC338,XT!AG338))=1)*(CHOOSE({1,2,3,4},XT!X338,XT!AB338,XT!AF338,XT!AJ338)))</f>
        <v>0</v>
      </c>
      <c r="B338">
        <f>IFERROR(INDEX(CHOOSE({1,2,3,4}, DAY(XT!U338), DAY(XT!Y338), DAY(XT!AC338), DAY(XT!AG338)), MATCH(1, INDEX(--(MONTH(CHOOSE({1,2,3,4}, XT!U338,XT!Y338,XT!AC338,XT!AG338))=1), 0), 0)), "")</f>
        <v>0</v>
      </c>
      <c r="C338" s="51" t="str">
        <f>IF(XT!$P338&gt;0,B338,"")</f>
        <v/>
      </c>
      <c r="D338" s="51">
        <f>IF(XT!$P338=0,B338,"")</f>
        <v>0</v>
      </c>
      <c r="E338">
        <f>SUMPRODUCT((MONTH(CHOOSE({1,2,3,4},XT!U338,XT!Y338,XT!AC338,XT!AG338))=2)*(CHOOSE({1,2,3,4},XT!X338,XT!AB338,XT!AF338,XT!AJ338)))</f>
        <v>0</v>
      </c>
      <c r="F338" t="str">
        <f>IFERROR(INDEX(CHOOSE({1,2,3,4}, DAY(XT!U338), DAY(XT!Y338), DAY(XT!AC338), DAY(XT!AG338)), MATCH(1, INDEX(--(MONTH(CHOOSE({1,2,3,4}, XT!U338,XT!Y338,XT!AC338,XT!AG338))=2), 0), 0)), "")</f>
        <v/>
      </c>
      <c r="G338" s="51" t="str">
        <f>IF(XT!$P338&gt;0,F338,"")</f>
        <v/>
      </c>
      <c r="H338" s="51" t="str">
        <f>IF(XT!$P338=0,F338,"")</f>
        <v/>
      </c>
      <c r="I338">
        <f>SUMPRODUCT((MONTH(CHOOSE({1,2,3,4},XT!U338,XT!Y338,XT!AC338,XT!AG338))=3)*(CHOOSE({1,2,3,4},XT!X338,XT!AB338,XT!AF338,XT!AJ338)))</f>
        <v>0</v>
      </c>
      <c r="J338" t="str">
        <f>IFERROR(INDEX(CHOOSE({1,2,3,4}, DAY(XT!U338), DAY(XT!Y338), DAY(XT!AC338), DAY(XT!AG338)), MATCH(1, INDEX(--(MONTH(CHOOSE({1,2,3,4}, XT!U338,XT!Y338,XT!AC338,XT!AG338))=3), 0), 0)), "")</f>
        <v/>
      </c>
      <c r="K338" s="51" t="str">
        <f>IF(XT!$P338&gt;0,J338,"")</f>
        <v/>
      </c>
      <c r="L338" s="51" t="str">
        <f>IF(XT!$P338=0,J338,"")</f>
        <v/>
      </c>
      <c r="M338">
        <f>SUMPRODUCT((MONTH(CHOOSE({1,2,3,4},XT!U338,XT!Y338,XT!AC338,XT!AG338))=4)*(CHOOSE({1,2,3,4},XT!X338,XT!AB338,XT!AF338,XT!AJ338)))</f>
        <v>0</v>
      </c>
      <c r="N338" t="str">
        <f>IFERROR(INDEX(CHOOSE({1,2,3,4}, DAY(XT!U338), DAY(XT!Y338), DAY(XT!AC338), DAY(XT!AG338)), MATCH(1, INDEX(--(MONTH(CHOOSE({1,2,3,4}, XT!U338,XT!Y338,XT!AC338,XT!AG338))=4), 0), 0)), "")</f>
        <v/>
      </c>
      <c r="O338" s="51" t="str">
        <f>IF(XT!$P338&gt;0,N338,"")</f>
        <v/>
      </c>
      <c r="P338" s="51" t="str">
        <f>IF(XT!$P338=0,N338,"")</f>
        <v/>
      </c>
      <c r="Q338">
        <f>SUMPRODUCT((MONTH(CHOOSE({1,2,3,4},XT!U338,XT!Y338,XT!AC338,XT!AG338))=5)*(CHOOSE({1,2,3,4},XT!X338,XT!AB338,XT!AF338,XT!AJ338)))</f>
        <v>0</v>
      </c>
      <c r="R338" t="str">
        <f>IFERROR(INDEX(CHOOSE({1,2,3,4}, DAY(XT!U338), DAY(XT!Y338), DAY(XT!AC338), DAY(XT!AG338)), MATCH(1, INDEX(--(MONTH(CHOOSE({1,2,3,4}, XT!U338,XT!Y338,XT!AC338,XT!AG338))=5), 0), 0)), "")</f>
        <v/>
      </c>
      <c r="S338" s="51" t="str">
        <f>IF(XT!$P338&gt;0,R338,"")</f>
        <v/>
      </c>
      <c r="T338" s="51" t="str">
        <f>IF(XT!$P338=0,R338,"")</f>
        <v/>
      </c>
      <c r="U338">
        <f>SUMPRODUCT((MONTH(CHOOSE({1,2,3,4},XT!U338,XT!Y338,XT!AC338,XT!AG338))=6)*(CHOOSE({1,2,3,4},XT!X338,XT!AB338,XT!AF338,XT!AJ338)))</f>
        <v>0</v>
      </c>
      <c r="V338" t="str">
        <f>IFERROR(INDEX(CHOOSE({1,2,3,4}, DAY(XT!U338), DAY(XT!Y338), DAY(XT!AC338), DAY(XT!AG338)), MATCH(1, INDEX(--(MONTH(CHOOSE({1,2,3,4}, XT!U338,XT!Y338,XT!AC338,XT!AG338))=6), 0), 0)), "")</f>
        <v/>
      </c>
      <c r="W338" s="51" t="str">
        <f>IF(XT!$P338&gt;0,V338,"")</f>
        <v/>
      </c>
      <c r="X338" s="51" t="str">
        <f>IF(XT!$P338=0,V338,"")</f>
        <v/>
      </c>
      <c r="Y338">
        <f>SUMPRODUCT((MONTH(CHOOSE({1,2,3,4},XT!U338,XT!Y338,XT!AC338,XT!AG338))=7)*(CHOOSE({1,2,3,4},XT!X338,XT!AB338,XT!AF338,XT!AJ338)))</f>
        <v>0</v>
      </c>
      <c r="Z338" t="str">
        <f>IFERROR(INDEX(CHOOSE({1,2,3,4}, DAY(XT!U338), DAY(XT!Y338), DAY(XT!AC338), DAY(XT!AG338)), MATCH(1, INDEX(--(MONTH(CHOOSE({1,2,3,4}, XT!U338,XT!Y338,XT!AC338,XT!AG338))=7), 0), 0)), "")</f>
        <v/>
      </c>
      <c r="AA338" s="51" t="str">
        <f>IF(XT!$P338&gt;0,Z338,"")</f>
        <v/>
      </c>
      <c r="AB338" s="51" t="str">
        <f>IF(XT!$P338=0,Z338,"")</f>
        <v/>
      </c>
      <c r="AC338">
        <f>SUMPRODUCT((MONTH(CHOOSE({1,2,3,4},XT!U338,XT!Y338,XT!AC338,XT!AG338))=8)*(CHOOSE({1,2,3,4},XT!X338,XT!AB338,XT!AF338,XT!AJ338)))</f>
        <v>0</v>
      </c>
      <c r="AD338" t="str">
        <f>IFERROR(INDEX(CHOOSE({1,2,3,4}, DAY(XT!U338), DAY(XT!Y338), DAY(XT!AC338), DAY(XT!AG338)), MATCH(1, INDEX(--(MONTH(CHOOSE({1,2,3,4}, XT!U338,XT!Y338,XT!AC338,XT!AG338))=8), 0), 0)), "")</f>
        <v/>
      </c>
      <c r="AE338" s="51" t="str">
        <f>IF(XT!$P338&gt;0,AD338,"")</f>
        <v/>
      </c>
      <c r="AF338" s="51" t="str">
        <f>IF(XT!$P338=0,AD338,"")</f>
        <v/>
      </c>
      <c r="AG338">
        <f>SUMPRODUCT((MONTH(CHOOSE({1,2,3,4},XT!U338,XT!Y338,XT!AC338,XT!AG338))=9)*(CHOOSE({1,2,3,4},XT!X338,XT!AB338,XT!AF338,XT!AJ338)))</f>
        <v>0</v>
      </c>
      <c r="AH338" t="str">
        <f>IFERROR(INDEX(CHOOSE({1,2,3,4}, DAY(XT!U338), DAY(XT!Y338), DAY(XT!AC338), DAY(XT!AG338)), MATCH(1, INDEX(--(MONTH(CHOOSE({1,2,3,4}, XT!U338,XT!Y338,XT!AC338,XT!AG338))=9), 0), 0)), "")</f>
        <v/>
      </c>
      <c r="AI338" s="51" t="str">
        <f>IF(XT!$P338&gt;0,AH338,"")</f>
        <v/>
      </c>
      <c r="AJ338" s="51" t="str">
        <f>IF(XT!$P338=0,AH338,"")</f>
        <v/>
      </c>
      <c r="AK338">
        <f>SUMPRODUCT((MONTH(CHOOSE({1,2,3,4},XT!U338,XT!Y338,XT!AC338,XT!AG338))=10)*(CHOOSE({1,2,3,4},XT!X338,XT!AB338,XT!AF338,XT!AJ338)))</f>
        <v>0</v>
      </c>
      <c r="AL338" t="str">
        <f>IFERROR(INDEX(CHOOSE({1,2,3,4}, DAY(XT!U338), DAY(XT!Y338), DAY(XT!AC338), DAY(XT!AG338)), MATCH(1, INDEX(--(MONTH(CHOOSE({1,2,3,4}, XT!U338,XT!Y338,XT!AC338,XT!AG338))=10), 0), 0)), "")</f>
        <v/>
      </c>
      <c r="AM338" s="51" t="str">
        <f>IF(XT!$P338&gt;0,AL338,"")</f>
        <v/>
      </c>
      <c r="AN338" s="51" t="str">
        <f>IF(XT!$P338=0,AL338,"")</f>
        <v/>
      </c>
      <c r="AO338">
        <f>SUMPRODUCT((MONTH(CHOOSE({1,2,3,4},XT!U338,XT!Y338,XT!AC338,XT!AG338))=11)*(CHOOSE({1,2,3,4},XT!X338,XT!AB338,XT!AF338,XT!AJ338)))</f>
        <v>0</v>
      </c>
      <c r="AP338" t="str">
        <f>IFERROR(INDEX(CHOOSE({1,2,3,4}, DAY(XT!U338), DAY(XT!Y338), DAY(XT!AC338), DAY(XT!AG338)), MATCH(1, INDEX(--(MONTH(CHOOSE({1,2,3,4}, XT!U338,XT!Y338,XT!AC338,XT!AG338))=11), 0), 0)), "")</f>
        <v/>
      </c>
      <c r="AQ338" s="51" t="str">
        <f>IF(XT!$P338&gt;0,AP338,"")</f>
        <v/>
      </c>
      <c r="AR338" s="51" t="str">
        <f>IF(XT!$P338=0,AP338,"")</f>
        <v/>
      </c>
      <c r="AS338">
        <f>SUMPRODUCT((MONTH(CHOOSE({1,2,3,4},XT!U338,XT!Y338,XT!AC338,XT!AG338))=12)*(CHOOSE({1,2,3,4},XT!X338,XT!AB338,XT!AF338,XT!AJ338)))</f>
        <v>0</v>
      </c>
      <c r="AT338" t="str">
        <f>IFERROR(INDEX(CHOOSE({1,2,3,4}, DAY(XT!U338), DAY(XT!Y338), DAY(XT!AC338), DAY(XT!AG338)), MATCH(1, INDEX(--(MONTH(CHOOSE({1,2,3,4}, XT!U338,XT!Y338,XT!AC338,XT!AG338))=12), 0), 0)), "")</f>
        <v/>
      </c>
      <c r="AU338" s="51" t="str">
        <f>IF(XT!$P338&gt;0,AT338,"")</f>
        <v/>
      </c>
      <c r="AV338" s="51" t="str">
        <f>IF(XT!$P338=0,AT338,"")</f>
        <v/>
      </c>
    </row>
    <row r="339" spans="1:48">
      <c r="A339">
        <f>SUMPRODUCT((MONTH(CHOOSE({1,2,3,4},XT!U339,XT!Y339,XT!AC339,XT!AG339))=1)*(CHOOSE({1,2,3,4},XT!X339,XT!AB339,XT!AF339,XT!AJ339)))</f>
        <v>0</v>
      </c>
      <c r="B339">
        <f>IFERROR(INDEX(CHOOSE({1,2,3,4}, DAY(XT!U339), DAY(XT!Y339), DAY(XT!AC339), DAY(XT!AG339)), MATCH(1, INDEX(--(MONTH(CHOOSE({1,2,3,4}, XT!U339,XT!Y339,XT!AC339,XT!AG339))=1), 0), 0)), "")</f>
        <v>0</v>
      </c>
      <c r="C339" s="51" t="str">
        <f>IF(XT!$P339&gt;0,B339,"")</f>
        <v/>
      </c>
      <c r="D339" s="51">
        <f>IF(XT!$P339=0,B339,"")</f>
        <v>0</v>
      </c>
      <c r="E339">
        <f>SUMPRODUCT((MONTH(CHOOSE({1,2,3,4},XT!U339,XT!Y339,XT!AC339,XT!AG339))=2)*(CHOOSE({1,2,3,4},XT!X339,XT!AB339,XT!AF339,XT!AJ339)))</f>
        <v>0</v>
      </c>
      <c r="F339" t="str">
        <f>IFERROR(INDEX(CHOOSE({1,2,3,4}, DAY(XT!U339), DAY(XT!Y339), DAY(XT!AC339), DAY(XT!AG339)), MATCH(1, INDEX(--(MONTH(CHOOSE({1,2,3,4}, XT!U339,XT!Y339,XT!AC339,XT!AG339))=2), 0), 0)), "")</f>
        <v/>
      </c>
      <c r="G339" s="51" t="str">
        <f>IF(XT!$P339&gt;0,F339,"")</f>
        <v/>
      </c>
      <c r="H339" s="51" t="str">
        <f>IF(XT!$P339=0,F339,"")</f>
        <v/>
      </c>
      <c r="I339">
        <f>SUMPRODUCT((MONTH(CHOOSE({1,2,3,4},XT!U339,XT!Y339,XT!AC339,XT!AG339))=3)*(CHOOSE({1,2,3,4},XT!X339,XT!AB339,XT!AF339,XT!AJ339)))</f>
        <v>0</v>
      </c>
      <c r="J339" t="str">
        <f>IFERROR(INDEX(CHOOSE({1,2,3,4}, DAY(XT!U339), DAY(XT!Y339), DAY(XT!AC339), DAY(XT!AG339)), MATCH(1, INDEX(--(MONTH(CHOOSE({1,2,3,4}, XT!U339,XT!Y339,XT!AC339,XT!AG339))=3), 0), 0)), "")</f>
        <v/>
      </c>
      <c r="K339" s="51" t="str">
        <f>IF(XT!$P339&gt;0,J339,"")</f>
        <v/>
      </c>
      <c r="L339" s="51" t="str">
        <f>IF(XT!$P339=0,J339,"")</f>
        <v/>
      </c>
      <c r="M339">
        <f>SUMPRODUCT((MONTH(CHOOSE({1,2,3,4},XT!U339,XT!Y339,XT!AC339,XT!AG339))=4)*(CHOOSE({1,2,3,4},XT!X339,XT!AB339,XT!AF339,XT!AJ339)))</f>
        <v>0</v>
      </c>
      <c r="N339" t="str">
        <f>IFERROR(INDEX(CHOOSE({1,2,3,4}, DAY(XT!U339), DAY(XT!Y339), DAY(XT!AC339), DAY(XT!AG339)), MATCH(1, INDEX(--(MONTH(CHOOSE({1,2,3,4}, XT!U339,XT!Y339,XT!AC339,XT!AG339))=4), 0), 0)), "")</f>
        <v/>
      </c>
      <c r="O339" s="51" t="str">
        <f>IF(XT!$P339&gt;0,N339,"")</f>
        <v/>
      </c>
      <c r="P339" s="51" t="str">
        <f>IF(XT!$P339=0,N339,"")</f>
        <v/>
      </c>
      <c r="Q339">
        <f>SUMPRODUCT((MONTH(CHOOSE({1,2,3,4},XT!U339,XT!Y339,XT!AC339,XT!AG339))=5)*(CHOOSE({1,2,3,4},XT!X339,XT!AB339,XT!AF339,XT!AJ339)))</f>
        <v>0</v>
      </c>
      <c r="R339" t="str">
        <f>IFERROR(INDEX(CHOOSE({1,2,3,4}, DAY(XT!U339), DAY(XT!Y339), DAY(XT!AC339), DAY(XT!AG339)), MATCH(1, INDEX(--(MONTH(CHOOSE({1,2,3,4}, XT!U339,XT!Y339,XT!AC339,XT!AG339))=5), 0), 0)), "")</f>
        <v/>
      </c>
      <c r="S339" s="51" t="str">
        <f>IF(XT!$P339&gt;0,R339,"")</f>
        <v/>
      </c>
      <c r="T339" s="51" t="str">
        <f>IF(XT!$P339=0,R339,"")</f>
        <v/>
      </c>
      <c r="U339">
        <f>SUMPRODUCT((MONTH(CHOOSE({1,2,3,4},XT!U339,XT!Y339,XT!AC339,XT!AG339))=6)*(CHOOSE({1,2,3,4},XT!X339,XT!AB339,XT!AF339,XT!AJ339)))</f>
        <v>0</v>
      </c>
      <c r="V339" t="str">
        <f>IFERROR(INDEX(CHOOSE({1,2,3,4}, DAY(XT!U339), DAY(XT!Y339), DAY(XT!AC339), DAY(XT!AG339)), MATCH(1, INDEX(--(MONTH(CHOOSE({1,2,3,4}, XT!U339,XT!Y339,XT!AC339,XT!AG339))=6), 0), 0)), "")</f>
        <v/>
      </c>
      <c r="W339" s="51" t="str">
        <f>IF(XT!$P339&gt;0,V339,"")</f>
        <v/>
      </c>
      <c r="X339" s="51" t="str">
        <f>IF(XT!$P339=0,V339,"")</f>
        <v/>
      </c>
      <c r="Y339">
        <f>SUMPRODUCT((MONTH(CHOOSE({1,2,3,4},XT!U339,XT!Y339,XT!AC339,XT!AG339))=7)*(CHOOSE({1,2,3,4},XT!X339,XT!AB339,XT!AF339,XT!AJ339)))</f>
        <v>0</v>
      </c>
      <c r="Z339" t="str">
        <f>IFERROR(INDEX(CHOOSE({1,2,3,4}, DAY(XT!U339), DAY(XT!Y339), DAY(XT!AC339), DAY(XT!AG339)), MATCH(1, INDEX(--(MONTH(CHOOSE({1,2,3,4}, XT!U339,XT!Y339,XT!AC339,XT!AG339))=7), 0), 0)), "")</f>
        <v/>
      </c>
      <c r="AA339" s="51" t="str">
        <f>IF(XT!$P339&gt;0,Z339,"")</f>
        <v/>
      </c>
      <c r="AB339" s="51" t="str">
        <f>IF(XT!$P339=0,Z339,"")</f>
        <v/>
      </c>
      <c r="AC339">
        <f>SUMPRODUCT((MONTH(CHOOSE({1,2,3,4},XT!U339,XT!Y339,XT!AC339,XT!AG339))=8)*(CHOOSE({1,2,3,4},XT!X339,XT!AB339,XT!AF339,XT!AJ339)))</f>
        <v>0</v>
      </c>
      <c r="AD339" t="str">
        <f>IFERROR(INDEX(CHOOSE({1,2,3,4}, DAY(XT!U339), DAY(XT!Y339), DAY(XT!AC339), DAY(XT!AG339)), MATCH(1, INDEX(--(MONTH(CHOOSE({1,2,3,4}, XT!U339,XT!Y339,XT!AC339,XT!AG339))=8), 0), 0)), "")</f>
        <v/>
      </c>
      <c r="AE339" s="51" t="str">
        <f>IF(XT!$P339&gt;0,AD339,"")</f>
        <v/>
      </c>
      <c r="AF339" s="51" t="str">
        <f>IF(XT!$P339=0,AD339,"")</f>
        <v/>
      </c>
      <c r="AG339">
        <f>SUMPRODUCT((MONTH(CHOOSE({1,2,3,4},XT!U339,XT!Y339,XT!AC339,XT!AG339))=9)*(CHOOSE({1,2,3,4},XT!X339,XT!AB339,XT!AF339,XT!AJ339)))</f>
        <v>0</v>
      </c>
      <c r="AH339" t="str">
        <f>IFERROR(INDEX(CHOOSE({1,2,3,4}, DAY(XT!U339), DAY(XT!Y339), DAY(XT!AC339), DAY(XT!AG339)), MATCH(1, INDEX(--(MONTH(CHOOSE({1,2,3,4}, XT!U339,XT!Y339,XT!AC339,XT!AG339))=9), 0), 0)), "")</f>
        <v/>
      </c>
      <c r="AI339" s="51" t="str">
        <f>IF(XT!$P339&gt;0,AH339,"")</f>
        <v/>
      </c>
      <c r="AJ339" s="51" t="str">
        <f>IF(XT!$P339=0,AH339,"")</f>
        <v/>
      </c>
      <c r="AK339">
        <f>SUMPRODUCT((MONTH(CHOOSE({1,2,3,4},XT!U339,XT!Y339,XT!AC339,XT!AG339))=10)*(CHOOSE({1,2,3,4},XT!X339,XT!AB339,XT!AF339,XT!AJ339)))</f>
        <v>0</v>
      </c>
      <c r="AL339" t="str">
        <f>IFERROR(INDEX(CHOOSE({1,2,3,4}, DAY(XT!U339), DAY(XT!Y339), DAY(XT!AC339), DAY(XT!AG339)), MATCH(1, INDEX(--(MONTH(CHOOSE({1,2,3,4}, XT!U339,XT!Y339,XT!AC339,XT!AG339))=10), 0), 0)), "")</f>
        <v/>
      </c>
      <c r="AM339" s="51" t="str">
        <f>IF(XT!$P339&gt;0,AL339,"")</f>
        <v/>
      </c>
      <c r="AN339" s="51" t="str">
        <f>IF(XT!$P339=0,AL339,"")</f>
        <v/>
      </c>
      <c r="AO339">
        <f>SUMPRODUCT((MONTH(CHOOSE({1,2,3,4},XT!U339,XT!Y339,XT!AC339,XT!AG339))=11)*(CHOOSE({1,2,3,4},XT!X339,XT!AB339,XT!AF339,XT!AJ339)))</f>
        <v>0</v>
      </c>
      <c r="AP339" t="str">
        <f>IFERROR(INDEX(CHOOSE({1,2,3,4}, DAY(XT!U339), DAY(XT!Y339), DAY(XT!AC339), DAY(XT!AG339)), MATCH(1, INDEX(--(MONTH(CHOOSE({1,2,3,4}, XT!U339,XT!Y339,XT!AC339,XT!AG339))=11), 0), 0)), "")</f>
        <v/>
      </c>
      <c r="AQ339" s="51" t="str">
        <f>IF(XT!$P339&gt;0,AP339,"")</f>
        <v/>
      </c>
      <c r="AR339" s="51" t="str">
        <f>IF(XT!$P339=0,AP339,"")</f>
        <v/>
      </c>
      <c r="AS339">
        <f>SUMPRODUCT((MONTH(CHOOSE({1,2,3,4},XT!U339,XT!Y339,XT!AC339,XT!AG339))=12)*(CHOOSE({1,2,3,4},XT!X339,XT!AB339,XT!AF339,XT!AJ339)))</f>
        <v>0</v>
      </c>
      <c r="AT339" t="str">
        <f>IFERROR(INDEX(CHOOSE({1,2,3,4}, DAY(XT!U339), DAY(XT!Y339), DAY(XT!AC339), DAY(XT!AG339)), MATCH(1, INDEX(--(MONTH(CHOOSE({1,2,3,4}, XT!U339,XT!Y339,XT!AC339,XT!AG339))=12), 0), 0)), "")</f>
        <v/>
      </c>
      <c r="AU339" s="51" t="str">
        <f>IF(XT!$P339&gt;0,AT339,"")</f>
        <v/>
      </c>
      <c r="AV339" s="51" t="str">
        <f>IF(XT!$P339=0,AT339,"")</f>
        <v/>
      </c>
    </row>
    <row r="340" spans="1:48">
      <c r="A340">
        <f>SUMPRODUCT((MONTH(CHOOSE({1,2,3,4},XT!U340,XT!Y340,XT!AC340,XT!AG340))=1)*(CHOOSE({1,2,3,4},XT!X340,XT!AB340,XT!AF340,XT!AJ340)))</f>
        <v>0</v>
      </c>
      <c r="B340">
        <f>IFERROR(INDEX(CHOOSE({1,2,3,4}, DAY(XT!U340), DAY(XT!Y340), DAY(XT!AC340), DAY(XT!AG340)), MATCH(1, INDEX(--(MONTH(CHOOSE({1,2,3,4}, XT!U340,XT!Y340,XT!AC340,XT!AG340))=1), 0), 0)), "")</f>
        <v>0</v>
      </c>
      <c r="C340" s="51" t="str">
        <f>IF(XT!$P340&gt;0,B340,"")</f>
        <v/>
      </c>
      <c r="D340" s="51">
        <f>IF(XT!$P340=0,B340,"")</f>
        <v>0</v>
      </c>
      <c r="E340">
        <f>SUMPRODUCT((MONTH(CHOOSE({1,2,3,4},XT!U340,XT!Y340,XT!AC340,XT!AG340))=2)*(CHOOSE({1,2,3,4},XT!X340,XT!AB340,XT!AF340,XT!AJ340)))</f>
        <v>0</v>
      </c>
      <c r="F340" t="str">
        <f>IFERROR(INDEX(CHOOSE({1,2,3,4}, DAY(XT!U340), DAY(XT!Y340), DAY(XT!AC340), DAY(XT!AG340)), MATCH(1, INDEX(--(MONTH(CHOOSE({1,2,3,4}, XT!U340,XT!Y340,XT!AC340,XT!AG340))=2), 0), 0)), "")</f>
        <v/>
      </c>
      <c r="G340" s="51" t="str">
        <f>IF(XT!$P340&gt;0,F340,"")</f>
        <v/>
      </c>
      <c r="H340" s="51" t="str">
        <f>IF(XT!$P340=0,F340,"")</f>
        <v/>
      </c>
      <c r="I340">
        <f>SUMPRODUCT((MONTH(CHOOSE({1,2,3,4},XT!U340,XT!Y340,XT!AC340,XT!AG340))=3)*(CHOOSE({1,2,3,4},XT!X340,XT!AB340,XT!AF340,XT!AJ340)))</f>
        <v>0</v>
      </c>
      <c r="J340" t="str">
        <f>IFERROR(INDEX(CHOOSE({1,2,3,4}, DAY(XT!U340), DAY(XT!Y340), DAY(XT!AC340), DAY(XT!AG340)), MATCH(1, INDEX(--(MONTH(CHOOSE({1,2,3,4}, XT!U340,XT!Y340,XT!AC340,XT!AG340))=3), 0), 0)), "")</f>
        <v/>
      </c>
      <c r="K340" s="51" t="str">
        <f>IF(XT!$P340&gt;0,J340,"")</f>
        <v/>
      </c>
      <c r="L340" s="51" t="str">
        <f>IF(XT!$P340=0,J340,"")</f>
        <v/>
      </c>
      <c r="M340">
        <f>SUMPRODUCT((MONTH(CHOOSE({1,2,3,4},XT!U340,XT!Y340,XT!AC340,XT!AG340))=4)*(CHOOSE({1,2,3,4},XT!X340,XT!AB340,XT!AF340,XT!AJ340)))</f>
        <v>0</v>
      </c>
      <c r="N340" t="str">
        <f>IFERROR(INDEX(CHOOSE({1,2,3,4}, DAY(XT!U340), DAY(XT!Y340), DAY(XT!AC340), DAY(XT!AG340)), MATCH(1, INDEX(--(MONTH(CHOOSE({1,2,3,4}, XT!U340,XT!Y340,XT!AC340,XT!AG340))=4), 0), 0)), "")</f>
        <v/>
      </c>
      <c r="O340" s="51" t="str">
        <f>IF(XT!$P340&gt;0,N340,"")</f>
        <v/>
      </c>
      <c r="P340" s="51" t="str">
        <f>IF(XT!$P340=0,N340,"")</f>
        <v/>
      </c>
      <c r="Q340">
        <f>SUMPRODUCT((MONTH(CHOOSE({1,2,3,4},XT!U340,XT!Y340,XT!AC340,XT!AG340))=5)*(CHOOSE({1,2,3,4},XT!X340,XT!AB340,XT!AF340,XT!AJ340)))</f>
        <v>0</v>
      </c>
      <c r="R340" t="str">
        <f>IFERROR(INDEX(CHOOSE({1,2,3,4}, DAY(XT!U340), DAY(XT!Y340), DAY(XT!AC340), DAY(XT!AG340)), MATCH(1, INDEX(--(MONTH(CHOOSE({1,2,3,4}, XT!U340,XT!Y340,XT!AC340,XT!AG340))=5), 0), 0)), "")</f>
        <v/>
      </c>
      <c r="S340" s="51" t="str">
        <f>IF(XT!$P340&gt;0,R340,"")</f>
        <v/>
      </c>
      <c r="T340" s="51" t="str">
        <f>IF(XT!$P340=0,R340,"")</f>
        <v/>
      </c>
      <c r="U340">
        <f>SUMPRODUCT((MONTH(CHOOSE({1,2,3,4},XT!U340,XT!Y340,XT!AC340,XT!AG340))=6)*(CHOOSE({1,2,3,4},XT!X340,XT!AB340,XT!AF340,XT!AJ340)))</f>
        <v>0</v>
      </c>
      <c r="V340" t="str">
        <f>IFERROR(INDEX(CHOOSE({1,2,3,4}, DAY(XT!U340), DAY(XT!Y340), DAY(XT!AC340), DAY(XT!AG340)), MATCH(1, INDEX(--(MONTH(CHOOSE({1,2,3,4}, XT!U340,XT!Y340,XT!AC340,XT!AG340))=6), 0), 0)), "")</f>
        <v/>
      </c>
      <c r="W340" s="51" t="str">
        <f>IF(XT!$P340&gt;0,V340,"")</f>
        <v/>
      </c>
      <c r="X340" s="51" t="str">
        <f>IF(XT!$P340=0,V340,"")</f>
        <v/>
      </c>
      <c r="Y340">
        <f>SUMPRODUCT((MONTH(CHOOSE({1,2,3,4},XT!U340,XT!Y340,XT!AC340,XT!AG340))=7)*(CHOOSE({1,2,3,4},XT!X340,XT!AB340,XT!AF340,XT!AJ340)))</f>
        <v>0</v>
      </c>
      <c r="Z340" t="str">
        <f>IFERROR(INDEX(CHOOSE({1,2,3,4}, DAY(XT!U340), DAY(XT!Y340), DAY(XT!AC340), DAY(XT!AG340)), MATCH(1, INDEX(--(MONTH(CHOOSE({1,2,3,4}, XT!U340,XT!Y340,XT!AC340,XT!AG340))=7), 0), 0)), "")</f>
        <v/>
      </c>
      <c r="AA340" s="51" t="str">
        <f>IF(XT!$P340&gt;0,Z340,"")</f>
        <v/>
      </c>
      <c r="AB340" s="51" t="str">
        <f>IF(XT!$P340=0,Z340,"")</f>
        <v/>
      </c>
      <c r="AC340">
        <f>SUMPRODUCT((MONTH(CHOOSE({1,2,3,4},XT!U340,XT!Y340,XT!AC340,XT!AG340))=8)*(CHOOSE({1,2,3,4},XT!X340,XT!AB340,XT!AF340,XT!AJ340)))</f>
        <v>0</v>
      </c>
      <c r="AD340" t="str">
        <f>IFERROR(INDEX(CHOOSE({1,2,3,4}, DAY(XT!U340), DAY(XT!Y340), DAY(XT!AC340), DAY(XT!AG340)), MATCH(1, INDEX(--(MONTH(CHOOSE({1,2,3,4}, XT!U340,XT!Y340,XT!AC340,XT!AG340))=8), 0), 0)), "")</f>
        <v/>
      </c>
      <c r="AE340" s="51" t="str">
        <f>IF(XT!$P340&gt;0,AD340,"")</f>
        <v/>
      </c>
      <c r="AF340" s="51" t="str">
        <f>IF(XT!$P340=0,AD340,"")</f>
        <v/>
      </c>
      <c r="AG340">
        <f>SUMPRODUCT((MONTH(CHOOSE({1,2,3,4},XT!U340,XT!Y340,XT!AC340,XT!AG340))=9)*(CHOOSE({1,2,3,4},XT!X340,XT!AB340,XT!AF340,XT!AJ340)))</f>
        <v>0</v>
      </c>
      <c r="AH340" t="str">
        <f>IFERROR(INDEX(CHOOSE({1,2,3,4}, DAY(XT!U340), DAY(XT!Y340), DAY(XT!AC340), DAY(XT!AG340)), MATCH(1, INDEX(--(MONTH(CHOOSE({1,2,3,4}, XT!U340,XT!Y340,XT!AC340,XT!AG340))=9), 0), 0)), "")</f>
        <v/>
      </c>
      <c r="AI340" s="51" t="str">
        <f>IF(XT!$P340&gt;0,AH340,"")</f>
        <v/>
      </c>
      <c r="AJ340" s="51" t="str">
        <f>IF(XT!$P340=0,AH340,"")</f>
        <v/>
      </c>
      <c r="AK340">
        <f>SUMPRODUCT((MONTH(CHOOSE({1,2,3,4},XT!U340,XT!Y340,XT!AC340,XT!AG340))=10)*(CHOOSE({1,2,3,4},XT!X340,XT!AB340,XT!AF340,XT!AJ340)))</f>
        <v>0</v>
      </c>
      <c r="AL340" t="str">
        <f>IFERROR(INDEX(CHOOSE({1,2,3,4}, DAY(XT!U340), DAY(XT!Y340), DAY(XT!AC340), DAY(XT!AG340)), MATCH(1, INDEX(--(MONTH(CHOOSE({1,2,3,4}, XT!U340,XT!Y340,XT!AC340,XT!AG340))=10), 0), 0)), "")</f>
        <v/>
      </c>
      <c r="AM340" s="51" t="str">
        <f>IF(XT!$P340&gt;0,AL340,"")</f>
        <v/>
      </c>
      <c r="AN340" s="51" t="str">
        <f>IF(XT!$P340=0,AL340,"")</f>
        <v/>
      </c>
      <c r="AO340">
        <f>SUMPRODUCT((MONTH(CHOOSE({1,2,3,4},XT!U340,XT!Y340,XT!AC340,XT!AG340))=11)*(CHOOSE({1,2,3,4},XT!X340,XT!AB340,XT!AF340,XT!AJ340)))</f>
        <v>0</v>
      </c>
      <c r="AP340" t="str">
        <f>IFERROR(INDEX(CHOOSE({1,2,3,4}, DAY(XT!U340), DAY(XT!Y340), DAY(XT!AC340), DAY(XT!AG340)), MATCH(1, INDEX(--(MONTH(CHOOSE({1,2,3,4}, XT!U340,XT!Y340,XT!AC340,XT!AG340))=11), 0), 0)), "")</f>
        <v/>
      </c>
      <c r="AQ340" s="51" t="str">
        <f>IF(XT!$P340&gt;0,AP340,"")</f>
        <v/>
      </c>
      <c r="AR340" s="51" t="str">
        <f>IF(XT!$P340=0,AP340,"")</f>
        <v/>
      </c>
      <c r="AS340">
        <f>SUMPRODUCT((MONTH(CHOOSE({1,2,3,4},XT!U340,XT!Y340,XT!AC340,XT!AG340))=12)*(CHOOSE({1,2,3,4},XT!X340,XT!AB340,XT!AF340,XT!AJ340)))</f>
        <v>0</v>
      </c>
      <c r="AT340" t="str">
        <f>IFERROR(INDEX(CHOOSE({1,2,3,4}, DAY(XT!U340), DAY(XT!Y340), DAY(XT!AC340), DAY(XT!AG340)), MATCH(1, INDEX(--(MONTH(CHOOSE({1,2,3,4}, XT!U340,XT!Y340,XT!AC340,XT!AG340))=12), 0), 0)), "")</f>
        <v/>
      </c>
      <c r="AU340" s="51" t="str">
        <f>IF(XT!$P340&gt;0,AT340,"")</f>
        <v/>
      </c>
      <c r="AV340" s="51" t="str">
        <f>IF(XT!$P340=0,AT340,"")</f>
        <v/>
      </c>
    </row>
    <row r="341" spans="1:48">
      <c r="A341">
        <f>SUMPRODUCT((MONTH(CHOOSE({1,2,3,4},XT!U341,XT!Y341,XT!AC341,XT!AG341))=1)*(CHOOSE({1,2,3,4},XT!X341,XT!AB341,XT!AF341,XT!AJ341)))</f>
        <v>0</v>
      </c>
      <c r="B341">
        <f>IFERROR(INDEX(CHOOSE({1,2,3,4}, DAY(XT!U341), DAY(XT!Y341), DAY(XT!AC341), DAY(XT!AG341)), MATCH(1, INDEX(--(MONTH(CHOOSE({1,2,3,4}, XT!U341,XT!Y341,XT!AC341,XT!AG341))=1), 0), 0)), "")</f>
        <v>0</v>
      </c>
      <c r="C341" s="51" t="str">
        <f>IF(XT!$P341&gt;0,B341,"")</f>
        <v/>
      </c>
      <c r="D341" s="51">
        <f>IF(XT!$P341=0,B341,"")</f>
        <v>0</v>
      </c>
      <c r="E341">
        <f>SUMPRODUCT((MONTH(CHOOSE({1,2,3,4},XT!U341,XT!Y341,XT!AC341,XT!AG341))=2)*(CHOOSE({1,2,3,4},XT!X341,XT!AB341,XT!AF341,XT!AJ341)))</f>
        <v>0</v>
      </c>
      <c r="F341" t="str">
        <f>IFERROR(INDEX(CHOOSE({1,2,3,4}, DAY(XT!U341), DAY(XT!Y341), DAY(XT!AC341), DAY(XT!AG341)), MATCH(1, INDEX(--(MONTH(CHOOSE({1,2,3,4}, XT!U341,XT!Y341,XT!AC341,XT!AG341))=2), 0), 0)), "")</f>
        <v/>
      </c>
      <c r="G341" s="51" t="str">
        <f>IF(XT!$P341&gt;0,F341,"")</f>
        <v/>
      </c>
      <c r="H341" s="51" t="str">
        <f>IF(XT!$P341=0,F341,"")</f>
        <v/>
      </c>
      <c r="I341">
        <f>SUMPRODUCT((MONTH(CHOOSE({1,2,3,4},XT!U341,XT!Y341,XT!AC341,XT!AG341))=3)*(CHOOSE({1,2,3,4},XT!X341,XT!AB341,XT!AF341,XT!AJ341)))</f>
        <v>0</v>
      </c>
      <c r="J341" t="str">
        <f>IFERROR(INDEX(CHOOSE({1,2,3,4}, DAY(XT!U341), DAY(XT!Y341), DAY(XT!AC341), DAY(XT!AG341)), MATCH(1, INDEX(--(MONTH(CHOOSE({1,2,3,4}, XT!U341,XT!Y341,XT!AC341,XT!AG341))=3), 0), 0)), "")</f>
        <v/>
      </c>
      <c r="K341" s="51" t="str">
        <f>IF(XT!$P341&gt;0,J341,"")</f>
        <v/>
      </c>
      <c r="L341" s="51" t="str">
        <f>IF(XT!$P341=0,J341,"")</f>
        <v/>
      </c>
      <c r="M341">
        <f>SUMPRODUCT((MONTH(CHOOSE({1,2,3,4},XT!U341,XT!Y341,XT!AC341,XT!AG341))=4)*(CHOOSE({1,2,3,4},XT!X341,XT!AB341,XT!AF341,XT!AJ341)))</f>
        <v>0</v>
      </c>
      <c r="N341" t="str">
        <f>IFERROR(INDEX(CHOOSE({1,2,3,4}, DAY(XT!U341), DAY(XT!Y341), DAY(XT!AC341), DAY(XT!AG341)), MATCH(1, INDEX(--(MONTH(CHOOSE({1,2,3,4}, XT!U341,XT!Y341,XT!AC341,XT!AG341))=4), 0), 0)), "")</f>
        <v/>
      </c>
      <c r="O341" s="51" t="str">
        <f>IF(XT!$P341&gt;0,N341,"")</f>
        <v/>
      </c>
      <c r="P341" s="51" t="str">
        <f>IF(XT!$P341=0,N341,"")</f>
        <v/>
      </c>
      <c r="Q341">
        <f>SUMPRODUCT((MONTH(CHOOSE({1,2,3,4},XT!U341,XT!Y341,XT!AC341,XT!AG341))=5)*(CHOOSE({1,2,3,4},XT!X341,XT!AB341,XT!AF341,XT!AJ341)))</f>
        <v>0</v>
      </c>
      <c r="R341" t="str">
        <f>IFERROR(INDEX(CHOOSE({1,2,3,4}, DAY(XT!U341), DAY(XT!Y341), DAY(XT!AC341), DAY(XT!AG341)), MATCH(1, INDEX(--(MONTH(CHOOSE({1,2,3,4}, XT!U341,XT!Y341,XT!AC341,XT!AG341))=5), 0), 0)), "")</f>
        <v/>
      </c>
      <c r="S341" s="51" t="str">
        <f>IF(XT!$P341&gt;0,R341,"")</f>
        <v/>
      </c>
      <c r="T341" s="51" t="str">
        <f>IF(XT!$P341=0,R341,"")</f>
        <v/>
      </c>
      <c r="U341">
        <f>SUMPRODUCT((MONTH(CHOOSE({1,2,3,4},XT!U341,XT!Y341,XT!AC341,XT!AG341))=6)*(CHOOSE({1,2,3,4},XT!X341,XT!AB341,XT!AF341,XT!AJ341)))</f>
        <v>0</v>
      </c>
      <c r="V341" t="str">
        <f>IFERROR(INDEX(CHOOSE({1,2,3,4}, DAY(XT!U341), DAY(XT!Y341), DAY(XT!AC341), DAY(XT!AG341)), MATCH(1, INDEX(--(MONTH(CHOOSE({1,2,3,4}, XT!U341,XT!Y341,XT!AC341,XT!AG341))=6), 0), 0)), "")</f>
        <v/>
      </c>
      <c r="W341" s="51" t="str">
        <f>IF(XT!$P341&gt;0,V341,"")</f>
        <v/>
      </c>
      <c r="X341" s="51" t="str">
        <f>IF(XT!$P341=0,V341,"")</f>
        <v/>
      </c>
      <c r="Y341">
        <f>SUMPRODUCT((MONTH(CHOOSE({1,2,3,4},XT!U341,XT!Y341,XT!AC341,XT!AG341))=7)*(CHOOSE({1,2,3,4},XT!X341,XT!AB341,XT!AF341,XT!AJ341)))</f>
        <v>0</v>
      </c>
      <c r="Z341" t="str">
        <f>IFERROR(INDEX(CHOOSE({1,2,3,4}, DAY(XT!U341), DAY(XT!Y341), DAY(XT!AC341), DAY(XT!AG341)), MATCH(1, INDEX(--(MONTH(CHOOSE({1,2,3,4}, XT!U341,XT!Y341,XT!AC341,XT!AG341))=7), 0), 0)), "")</f>
        <v/>
      </c>
      <c r="AA341" s="51" t="str">
        <f>IF(XT!$P341&gt;0,Z341,"")</f>
        <v/>
      </c>
      <c r="AB341" s="51" t="str">
        <f>IF(XT!$P341=0,Z341,"")</f>
        <v/>
      </c>
      <c r="AC341">
        <f>SUMPRODUCT((MONTH(CHOOSE({1,2,3,4},XT!U341,XT!Y341,XT!AC341,XT!AG341))=8)*(CHOOSE({1,2,3,4},XT!X341,XT!AB341,XT!AF341,XT!AJ341)))</f>
        <v>0</v>
      </c>
      <c r="AD341" t="str">
        <f>IFERROR(INDEX(CHOOSE({1,2,3,4}, DAY(XT!U341), DAY(XT!Y341), DAY(XT!AC341), DAY(XT!AG341)), MATCH(1, INDEX(--(MONTH(CHOOSE({1,2,3,4}, XT!U341,XT!Y341,XT!AC341,XT!AG341))=8), 0), 0)), "")</f>
        <v/>
      </c>
      <c r="AE341" s="51" t="str">
        <f>IF(XT!$P341&gt;0,AD341,"")</f>
        <v/>
      </c>
      <c r="AF341" s="51" t="str">
        <f>IF(XT!$P341=0,AD341,"")</f>
        <v/>
      </c>
      <c r="AG341">
        <f>SUMPRODUCT((MONTH(CHOOSE({1,2,3,4},XT!U341,XT!Y341,XT!AC341,XT!AG341))=9)*(CHOOSE({1,2,3,4},XT!X341,XT!AB341,XT!AF341,XT!AJ341)))</f>
        <v>0</v>
      </c>
      <c r="AH341" t="str">
        <f>IFERROR(INDEX(CHOOSE({1,2,3,4}, DAY(XT!U341), DAY(XT!Y341), DAY(XT!AC341), DAY(XT!AG341)), MATCH(1, INDEX(--(MONTH(CHOOSE({1,2,3,4}, XT!U341,XT!Y341,XT!AC341,XT!AG341))=9), 0), 0)), "")</f>
        <v/>
      </c>
      <c r="AI341" s="51" t="str">
        <f>IF(XT!$P341&gt;0,AH341,"")</f>
        <v/>
      </c>
      <c r="AJ341" s="51" t="str">
        <f>IF(XT!$P341=0,AH341,"")</f>
        <v/>
      </c>
      <c r="AK341">
        <f>SUMPRODUCT((MONTH(CHOOSE({1,2,3,4},XT!U341,XT!Y341,XT!AC341,XT!AG341))=10)*(CHOOSE({1,2,3,4},XT!X341,XT!AB341,XT!AF341,XT!AJ341)))</f>
        <v>0</v>
      </c>
      <c r="AL341" t="str">
        <f>IFERROR(INDEX(CHOOSE({1,2,3,4}, DAY(XT!U341), DAY(XT!Y341), DAY(XT!AC341), DAY(XT!AG341)), MATCH(1, INDEX(--(MONTH(CHOOSE({1,2,3,4}, XT!U341,XT!Y341,XT!AC341,XT!AG341))=10), 0), 0)), "")</f>
        <v/>
      </c>
      <c r="AM341" s="51" t="str">
        <f>IF(XT!$P341&gt;0,AL341,"")</f>
        <v/>
      </c>
      <c r="AN341" s="51" t="str">
        <f>IF(XT!$P341=0,AL341,"")</f>
        <v/>
      </c>
      <c r="AO341">
        <f>SUMPRODUCT((MONTH(CHOOSE({1,2,3,4},XT!U341,XT!Y341,XT!AC341,XT!AG341))=11)*(CHOOSE({1,2,3,4},XT!X341,XT!AB341,XT!AF341,XT!AJ341)))</f>
        <v>0</v>
      </c>
      <c r="AP341" t="str">
        <f>IFERROR(INDEX(CHOOSE({1,2,3,4}, DAY(XT!U341), DAY(XT!Y341), DAY(XT!AC341), DAY(XT!AG341)), MATCH(1, INDEX(--(MONTH(CHOOSE({1,2,3,4}, XT!U341,XT!Y341,XT!AC341,XT!AG341))=11), 0), 0)), "")</f>
        <v/>
      </c>
      <c r="AQ341" s="51" t="str">
        <f>IF(XT!$P341&gt;0,AP341,"")</f>
        <v/>
      </c>
      <c r="AR341" s="51" t="str">
        <f>IF(XT!$P341=0,AP341,"")</f>
        <v/>
      </c>
      <c r="AS341">
        <f>SUMPRODUCT((MONTH(CHOOSE({1,2,3,4},XT!U341,XT!Y341,XT!AC341,XT!AG341))=12)*(CHOOSE({1,2,3,4},XT!X341,XT!AB341,XT!AF341,XT!AJ341)))</f>
        <v>0</v>
      </c>
      <c r="AT341" t="str">
        <f>IFERROR(INDEX(CHOOSE({1,2,3,4}, DAY(XT!U341), DAY(XT!Y341), DAY(XT!AC341), DAY(XT!AG341)), MATCH(1, INDEX(--(MONTH(CHOOSE({1,2,3,4}, XT!U341,XT!Y341,XT!AC341,XT!AG341))=12), 0), 0)), "")</f>
        <v/>
      </c>
      <c r="AU341" s="51" t="str">
        <f>IF(XT!$P341&gt;0,AT341,"")</f>
        <v/>
      </c>
      <c r="AV341" s="51" t="str">
        <f>IF(XT!$P341=0,AT341,"")</f>
        <v/>
      </c>
    </row>
    <row r="342" spans="1:48">
      <c r="A342">
        <f>SUMPRODUCT((MONTH(CHOOSE({1,2,3,4},XT!U342,XT!Y342,XT!AC342,XT!AG342))=1)*(CHOOSE({1,2,3,4},XT!X342,XT!AB342,XT!AF342,XT!AJ342)))</f>
        <v>0</v>
      </c>
      <c r="B342">
        <f>IFERROR(INDEX(CHOOSE({1,2,3,4}, DAY(XT!U342), DAY(XT!Y342), DAY(XT!AC342), DAY(XT!AG342)), MATCH(1, INDEX(--(MONTH(CHOOSE({1,2,3,4}, XT!U342,XT!Y342,XT!AC342,XT!AG342))=1), 0), 0)), "")</f>
        <v>0</v>
      </c>
      <c r="C342" s="51" t="str">
        <f>IF(XT!$P342&gt;0,B342,"")</f>
        <v/>
      </c>
      <c r="D342" s="51">
        <f>IF(XT!$P342=0,B342,"")</f>
        <v>0</v>
      </c>
      <c r="E342">
        <f>SUMPRODUCT((MONTH(CHOOSE({1,2,3,4},XT!U342,XT!Y342,XT!AC342,XT!AG342))=2)*(CHOOSE({1,2,3,4},XT!X342,XT!AB342,XT!AF342,XT!AJ342)))</f>
        <v>0</v>
      </c>
      <c r="F342" t="str">
        <f>IFERROR(INDEX(CHOOSE({1,2,3,4}, DAY(XT!U342), DAY(XT!Y342), DAY(XT!AC342), DAY(XT!AG342)), MATCH(1, INDEX(--(MONTH(CHOOSE({1,2,3,4}, XT!U342,XT!Y342,XT!AC342,XT!AG342))=2), 0), 0)), "")</f>
        <v/>
      </c>
      <c r="G342" s="51" t="str">
        <f>IF(XT!$P342&gt;0,F342,"")</f>
        <v/>
      </c>
      <c r="H342" s="51" t="str">
        <f>IF(XT!$P342=0,F342,"")</f>
        <v/>
      </c>
      <c r="I342">
        <f>SUMPRODUCT((MONTH(CHOOSE({1,2,3,4},XT!U342,XT!Y342,XT!AC342,XT!AG342))=3)*(CHOOSE({1,2,3,4},XT!X342,XT!AB342,XT!AF342,XT!AJ342)))</f>
        <v>0</v>
      </c>
      <c r="J342" t="str">
        <f>IFERROR(INDEX(CHOOSE({1,2,3,4}, DAY(XT!U342), DAY(XT!Y342), DAY(XT!AC342), DAY(XT!AG342)), MATCH(1, INDEX(--(MONTH(CHOOSE({1,2,3,4}, XT!U342,XT!Y342,XT!AC342,XT!AG342))=3), 0), 0)), "")</f>
        <v/>
      </c>
      <c r="K342" s="51" t="str">
        <f>IF(XT!$P342&gt;0,J342,"")</f>
        <v/>
      </c>
      <c r="L342" s="51" t="str">
        <f>IF(XT!$P342=0,J342,"")</f>
        <v/>
      </c>
      <c r="M342">
        <f>SUMPRODUCT((MONTH(CHOOSE({1,2,3,4},XT!U342,XT!Y342,XT!AC342,XT!AG342))=4)*(CHOOSE({1,2,3,4},XT!X342,XT!AB342,XT!AF342,XT!AJ342)))</f>
        <v>0</v>
      </c>
      <c r="N342" t="str">
        <f>IFERROR(INDEX(CHOOSE({1,2,3,4}, DAY(XT!U342), DAY(XT!Y342), DAY(XT!AC342), DAY(XT!AG342)), MATCH(1, INDEX(--(MONTH(CHOOSE({1,2,3,4}, XT!U342,XT!Y342,XT!AC342,XT!AG342))=4), 0), 0)), "")</f>
        <v/>
      </c>
      <c r="O342" s="51" t="str">
        <f>IF(XT!$P342&gt;0,N342,"")</f>
        <v/>
      </c>
      <c r="P342" s="51" t="str">
        <f>IF(XT!$P342=0,N342,"")</f>
        <v/>
      </c>
      <c r="Q342">
        <f>SUMPRODUCT((MONTH(CHOOSE({1,2,3,4},XT!U342,XT!Y342,XT!AC342,XT!AG342))=5)*(CHOOSE({1,2,3,4},XT!X342,XT!AB342,XT!AF342,XT!AJ342)))</f>
        <v>0</v>
      </c>
      <c r="R342" t="str">
        <f>IFERROR(INDEX(CHOOSE({1,2,3,4}, DAY(XT!U342), DAY(XT!Y342), DAY(XT!AC342), DAY(XT!AG342)), MATCH(1, INDEX(--(MONTH(CHOOSE({1,2,3,4}, XT!U342,XT!Y342,XT!AC342,XT!AG342))=5), 0), 0)), "")</f>
        <v/>
      </c>
      <c r="S342" s="51" t="str">
        <f>IF(XT!$P342&gt;0,R342,"")</f>
        <v/>
      </c>
      <c r="T342" s="51" t="str">
        <f>IF(XT!$P342=0,R342,"")</f>
        <v/>
      </c>
      <c r="U342">
        <f>SUMPRODUCT((MONTH(CHOOSE({1,2,3,4},XT!U342,XT!Y342,XT!AC342,XT!AG342))=6)*(CHOOSE({1,2,3,4},XT!X342,XT!AB342,XT!AF342,XT!AJ342)))</f>
        <v>0</v>
      </c>
      <c r="V342" t="str">
        <f>IFERROR(INDEX(CHOOSE({1,2,3,4}, DAY(XT!U342), DAY(XT!Y342), DAY(XT!AC342), DAY(XT!AG342)), MATCH(1, INDEX(--(MONTH(CHOOSE({1,2,3,4}, XT!U342,XT!Y342,XT!AC342,XT!AG342))=6), 0), 0)), "")</f>
        <v/>
      </c>
      <c r="W342" s="51" t="str">
        <f>IF(XT!$P342&gt;0,V342,"")</f>
        <v/>
      </c>
      <c r="X342" s="51" t="str">
        <f>IF(XT!$P342=0,V342,"")</f>
        <v/>
      </c>
      <c r="Y342">
        <f>SUMPRODUCT((MONTH(CHOOSE({1,2,3,4},XT!U342,XT!Y342,XT!AC342,XT!AG342))=7)*(CHOOSE({1,2,3,4},XT!X342,XT!AB342,XT!AF342,XT!AJ342)))</f>
        <v>0</v>
      </c>
      <c r="Z342" t="str">
        <f>IFERROR(INDEX(CHOOSE({1,2,3,4}, DAY(XT!U342), DAY(XT!Y342), DAY(XT!AC342), DAY(XT!AG342)), MATCH(1, INDEX(--(MONTH(CHOOSE({1,2,3,4}, XT!U342,XT!Y342,XT!AC342,XT!AG342))=7), 0), 0)), "")</f>
        <v/>
      </c>
      <c r="AA342" s="51" t="str">
        <f>IF(XT!$P342&gt;0,Z342,"")</f>
        <v/>
      </c>
      <c r="AB342" s="51" t="str">
        <f>IF(XT!$P342=0,Z342,"")</f>
        <v/>
      </c>
      <c r="AC342">
        <f>SUMPRODUCT((MONTH(CHOOSE({1,2,3,4},XT!U342,XT!Y342,XT!AC342,XT!AG342))=8)*(CHOOSE({1,2,3,4},XT!X342,XT!AB342,XT!AF342,XT!AJ342)))</f>
        <v>0</v>
      </c>
      <c r="AD342" t="str">
        <f>IFERROR(INDEX(CHOOSE({1,2,3,4}, DAY(XT!U342), DAY(XT!Y342), DAY(XT!AC342), DAY(XT!AG342)), MATCH(1, INDEX(--(MONTH(CHOOSE({1,2,3,4}, XT!U342,XT!Y342,XT!AC342,XT!AG342))=8), 0), 0)), "")</f>
        <v/>
      </c>
      <c r="AE342" s="51" t="str">
        <f>IF(XT!$P342&gt;0,AD342,"")</f>
        <v/>
      </c>
      <c r="AF342" s="51" t="str">
        <f>IF(XT!$P342=0,AD342,"")</f>
        <v/>
      </c>
      <c r="AG342">
        <f>SUMPRODUCT((MONTH(CHOOSE({1,2,3,4},XT!U342,XT!Y342,XT!AC342,XT!AG342))=9)*(CHOOSE({1,2,3,4},XT!X342,XT!AB342,XT!AF342,XT!AJ342)))</f>
        <v>0</v>
      </c>
      <c r="AH342" t="str">
        <f>IFERROR(INDEX(CHOOSE({1,2,3,4}, DAY(XT!U342), DAY(XT!Y342), DAY(XT!AC342), DAY(XT!AG342)), MATCH(1, INDEX(--(MONTH(CHOOSE({1,2,3,4}, XT!U342,XT!Y342,XT!AC342,XT!AG342))=9), 0), 0)), "")</f>
        <v/>
      </c>
      <c r="AI342" s="51" t="str">
        <f>IF(XT!$P342&gt;0,AH342,"")</f>
        <v/>
      </c>
      <c r="AJ342" s="51" t="str">
        <f>IF(XT!$P342=0,AH342,"")</f>
        <v/>
      </c>
      <c r="AK342">
        <f>SUMPRODUCT((MONTH(CHOOSE({1,2,3,4},XT!U342,XT!Y342,XT!AC342,XT!AG342))=10)*(CHOOSE({1,2,3,4},XT!X342,XT!AB342,XT!AF342,XT!AJ342)))</f>
        <v>0</v>
      </c>
      <c r="AL342" t="str">
        <f>IFERROR(INDEX(CHOOSE({1,2,3,4}, DAY(XT!U342), DAY(XT!Y342), DAY(XT!AC342), DAY(XT!AG342)), MATCH(1, INDEX(--(MONTH(CHOOSE({1,2,3,4}, XT!U342,XT!Y342,XT!AC342,XT!AG342))=10), 0), 0)), "")</f>
        <v/>
      </c>
      <c r="AM342" s="51" t="str">
        <f>IF(XT!$P342&gt;0,AL342,"")</f>
        <v/>
      </c>
      <c r="AN342" s="51" t="str">
        <f>IF(XT!$P342=0,AL342,"")</f>
        <v/>
      </c>
      <c r="AO342">
        <f>SUMPRODUCT((MONTH(CHOOSE({1,2,3,4},XT!U342,XT!Y342,XT!AC342,XT!AG342))=11)*(CHOOSE({1,2,3,4},XT!X342,XT!AB342,XT!AF342,XT!AJ342)))</f>
        <v>0</v>
      </c>
      <c r="AP342" t="str">
        <f>IFERROR(INDEX(CHOOSE({1,2,3,4}, DAY(XT!U342), DAY(XT!Y342), DAY(XT!AC342), DAY(XT!AG342)), MATCH(1, INDEX(--(MONTH(CHOOSE({1,2,3,4}, XT!U342,XT!Y342,XT!AC342,XT!AG342))=11), 0), 0)), "")</f>
        <v/>
      </c>
      <c r="AQ342" s="51" t="str">
        <f>IF(XT!$P342&gt;0,AP342,"")</f>
        <v/>
      </c>
      <c r="AR342" s="51" t="str">
        <f>IF(XT!$P342=0,AP342,"")</f>
        <v/>
      </c>
      <c r="AS342">
        <f>SUMPRODUCT((MONTH(CHOOSE({1,2,3,4},XT!U342,XT!Y342,XT!AC342,XT!AG342))=12)*(CHOOSE({1,2,3,4},XT!X342,XT!AB342,XT!AF342,XT!AJ342)))</f>
        <v>0</v>
      </c>
      <c r="AT342" t="str">
        <f>IFERROR(INDEX(CHOOSE({1,2,3,4}, DAY(XT!U342), DAY(XT!Y342), DAY(XT!AC342), DAY(XT!AG342)), MATCH(1, INDEX(--(MONTH(CHOOSE({1,2,3,4}, XT!U342,XT!Y342,XT!AC342,XT!AG342))=12), 0), 0)), "")</f>
        <v/>
      </c>
      <c r="AU342" s="51" t="str">
        <f>IF(XT!$P342&gt;0,AT342,"")</f>
        <v/>
      </c>
      <c r="AV342" s="51" t="str">
        <f>IF(XT!$P342=0,AT342,"")</f>
        <v/>
      </c>
    </row>
    <row r="343" spans="1:48">
      <c r="A343">
        <f>SUMPRODUCT((MONTH(CHOOSE({1,2,3,4},XT!U343,XT!Y343,XT!AC343,XT!AG343))=1)*(CHOOSE({1,2,3,4},XT!X343,XT!AB343,XT!AF343,XT!AJ343)))</f>
        <v>0</v>
      </c>
      <c r="B343">
        <f>IFERROR(INDEX(CHOOSE({1,2,3,4}, DAY(XT!U343), DAY(XT!Y343), DAY(XT!AC343), DAY(XT!AG343)), MATCH(1, INDEX(--(MONTH(CHOOSE({1,2,3,4}, XT!U343,XT!Y343,XT!AC343,XT!AG343))=1), 0), 0)), "")</f>
        <v>0</v>
      </c>
      <c r="C343" s="51" t="str">
        <f>IF(XT!$P343&gt;0,B343,"")</f>
        <v/>
      </c>
      <c r="D343" s="51">
        <f>IF(XT!$P343=0,B343,"")</f>
        <v>0</v>
      </c>
      <c r="E343">
        <f>SUMPRODUCT((MONTH(CHOOSE({1,2,3,4},XT!U343,XT!Y343,XT!AC343,XT!AG343))=2)*(CHOOSE({1,2,3,4},XT!X343,XT!AB343,XT!AF343,XT!AJ343)))</f>
        <v>0</v>
      </c>
      <c r="F343" t="str">
        <f>IFERROR(INDEX(CHOOSE({1,2,3,4}, DAY(XT!U343), DAY(XT!Y343), DAY(XT!AC343), DAY(XT!AG343)), MATCH(1, INDEX(--(MONTH(CHOOSE({1,2,3,4}, XT!U343,XT!Y343,XT!AC343,XT!AG343))=2), 0), 0)), "")</f>
        <v/>
      </c>
      <c r="G343" s="51" t="str">
        <f>IF(XT!$P343&gt;0,F343,"")</f>
        <v/>
      </c>
      <c r="H343" s="51" t="str">
        <f>IF(XT!$P343=0,F343,"")</f>
        <v/>
      </c>
      <c r="I343">
        <f>SUMPRODUCT((MONTH(CHOOSE({1,2,3,4},XT!U343,XT!Y343,XT!AC343,XT!AG343))=3)*(CHOOSE({1,2,3,4},XT!X343,XT!AB343,XT!AF343,XT!AJ343)))</f>
        <v>0</v>
      </c>
      <c r="J343" t="str">
        <f>IFERROR(INDEX(CHOOSE({1,2,3,4}, DAY(XT!U343), DAY(XT!Y343), DAY(XT!AC343), DAY(XT!AG343)), MATCH(1, INDEX(--(MONTH(CHOOSE({1,2,3,4}, XT!U343,XT!Y343,XT!AC343,XT!AG343))=3), 0), 0)), "")</f>
        <v/>
      </c>
      <c r="K343" s="51" t="str">
        <f>IF(XT!$P343&gt;0,J343,"")</f>
        <v/>
      </c>
      <c r="L343" s="51" t="str">
        <f>IF(XT!$P343=0,J343,"")</f>
        <v/>
      </c>
      <c r="M343">
        <f>SUMPRODUCT((MONTH(CHOOSE({1,2,3,4},XT!U343,XT!Y343,XT!AC343,XT!AG343))=4)*(CHOOSE({1,2,3,4},XT!X343,XT!AB343,XT!AF343,XT!AJ343)))</f>
        <v>0</v>
      </c>
      <c r="N343" t="str">
        <f>IFERROR(INDEX(CHOOSE({1,2,3,4}, DAY(XT!U343), DAY(XT!Y343), DAY(XT!AC343), DAY(XT!AG343)), MATCH(1, INDEX(--(MONTH(CHOOSE({1,2,3,4}, XT!U343,XT!Y343,XT!AC343,XT!AG343))=4), 0), 0)), "")</f>
        <v/>
      </c>
      <c r="O343" s="51" t="str">
        <f>IF(XT!$P343&gt;0,N343,"")</f>
        <v/>
      </c>
      <c r="P343" s="51" t="str">
        <f>IF(XT!$P343=0,N343,"")</f>
        <v/>
      </c>
      <c r="Q343">
        <f>SUMPRODUCT((MONTH(CHOOSE({1,2,3,4},XT!U343,XT!Y343,XT!AC343,XT!AG343))=5)*(CHOOSE({1,2,3,4},XT!X343,XT!AB343,XT!AF343,XT!AJ343)))</f>
        <v>0</v>
      </c>
      <c r="R343" t="str">
        <f>IFERROR(INDEX(CHOOSE({1,2,3,4}, DAY(XT!U343), DAY(XT!Y343), DAY(XT!AC343), DAY(XT!AG343)), MATCH(1, INDEX(--(MONTH(CHOOSE({1,2,3,4}, XT!U343,XT!Y343,XT!AC343,XT!AG343))=5), 0), 0)), "")</f>
        <v/>
      </c>
      <c r="S343" s="51" t="str">
        <f>IF(XT!$P343&gt;0,R343,"")</f>
        <v/>
      </c>
      <c r="T343" s="51" t="str">
        <f>IF(XT!$P343=0,R343,"")</f>
        <v/>
      </c>
      <c r="U343">
        <f>SUMPRODUCT((MONTH(CHOOSE({1,2,3,4},XT!U343,XT!Y343,XT!AC343,XT!AG343))=6)*(CHOOSE({1,2,3,4},XT!X343,XT!AB343,XT!AF343,XT!AJ343)))</f>
        <v>0</v>
      </c>
      <c r="V343" t="str">
        <f>IFERROR(INDEX(CHOOSE({1,2,3,4}, DAY(XT!U343), DAY(XT!Y343), DAY(XT!AC343), DAY(XT!AG343)), MATCH(1, INDEX(--(MONTH(CHOOSE({1,2,3,4}, XT!U343,XT!Y343,XT!AC343,XT!AG343))=6), 0), 0)), "")</f>
        <v/>
      </c>
      <c r="W343" s="51" t="str">
        <f>IF(XT!$P343&gt;0,V343,"")</f>
        <v/>
      </c>
      <c r="X343" s="51" t="str">
        <f>IF(XT!$P343=0,V343,"")</f>
        <v/>
      </c>
      <c r="Y343">
        <f>SUMPRODUCT((MONTH(CHOOSE({1,2,3,4},XT!U343,XT!Y343,XT!AC343,XT!AG343))=7)*(CHOOSE({1,2,3,4},XT!X343,XT!AB343,XT!AF343,XT!AJ343)))</f>
        <v>0</v>
      </c>
      <c r="Z343" t="str">
        <f>IFERROR(INDEX(CHOOSE({1,2,3,4}, DAY(XT!U343), DAY(XT!Y343), DAY(XT!AC343), DAY(XT!AG343)), MATCH(1, INDEX(--(MONTH(CHOOSE({1,2,3,4}, XT!U343,XT!Y343,XT!AC343,XT!AG343))=7), 0), 0)), "")</f>
        <v/>
      </c>
      <c r="AA343" s="51" t="str">
        <f>IF(XT!$P343&gt;0,Z343,"")</f>
        <v/>
      </c>
      <c r="AB343" s="51" t="str">
        <f>IF(XT!$P343=0,Z343,"")</f>
        <v/>
      </c>
      <c r="AC343">
        <f>SUMPRODUCT((MONTH(CHOOSE({1,2,3,4},XT!U343,XT!Y343,XT!AC343,XT!AG343))=8)*(CHOOSE({1,2,3,4},XT!X343,XT!AB343,XT!AF343,XT!AJ343)))</f>
        <v>0</v>
      </c>
      <c r="AD343" t="str">
        <f>IFERROR(INDEX(CHOOSE({1,2,3,4}, DAY(XT!U343), DAY(XT!Y343), DAY(XT!AC343), DAY(XT!AG343)), MATCH(1, INDEX(--(MONTH(CHOOSE({1,2,3,4}, XT!U343,XT!Y343,XT!AC343,XT!AG343))=8), 0), 0)), "")</f>
        <v/>
      </c>
      <c r="AE343" s="51" t="str">
        <f>IF(XT!$P343&gt;0,AD343,"")</f>
        <v/>
      </c>
      <c r="AF343" s="51" t="str">
        <f>IF(XT!$P343=0,AD343,"")</f>
        <v/>
      </c>
      <c r="AG343">
        <f>SUMPRODUCT((MONTH(CHOOSE({1,2,3,4},XT!U343,XT!Y343,XT!AC343,XT!AG343))=9)*(CHOOSE({1,2,3,4},XT!X343,XT!AB343,XT!AF343,XT!AJ343)))</f>
        <v>0</v>
      </c>
      <c r="AH343" t="str">
        <f>IFERROR(INDEX(CHOOSE({1,2,3,4}, DAY(XT!U343), DAY(XT!Y343), DAY(XT!AC343), DAY(XT!AG343)), MATCH(1, INDEX(--(MONTH(CHOOSE({1,2,3,4}, XT!U343,XT!Y343,XT!AC343,XT!AG343))=9), 0), 0)), "")</f>
        <v/>
      </c>
      <c r="AI343" s="51" t="str">
        <f>IF(XT!$P343&gt;0,AH343,"")</f>
        <v/>
      </c>
      <c r="AJ343" s="51" t="str">
        <f>IF(XT!$P343=0,AH343,"")</f>
        <v/>
      </c>
      <c r="AK343">
        <f>SUMPRODUCT((MONTH(CHOOSE({1,2,3,4},XT!U343,XT!Y343,XT!AC343,XT!AG343))=10)*(CHOOSE({1,2,3,4},XT!X343,XT!AB343,XT!AF343,XT!AJ343)))</f>
        <v>0</v>
      </c>
      <c r="AL343" t="str">
        <f>IFERROR(INDEX(CHOOSE({1,2,3,4}, DAY(XT!U343), DAY(XT!Y343), DAY(XT!AC343), DAY(XT!AG343)), MATCH(1, INDEX(--(MONTH(CHOOSE({1,2,3,4}, XT!U343,XT!Y343,XT!AC343,XT!AG343))=10), 0), 0)), "")</f>
        <v/>
      </c>
      <c r="AM343" s="51" t="str">
        <f>IF(XT!$P343&gt;0,AL343,"")</f>
        <v/>
      </c>
      <c r="AN343" s="51" t="str">
        <f>IF(XT!$P343=0,AL343,"")</f>
        <v/>
      </c>
      <c r="AO343">
        <f>SUMPRODUCT((MONTH(CHOOSE({1,2,3,4},XT!U343,XT!Y343,XT!AC343,XT!AG343))=11)*(CHOOSE({1,2,3,4},XT!X343,XT!AB343,XT!AF343,XT!AJ343)))</f>
        <v>0</v>
      </c>
      <c r="AP343" t="str">
        <f>IFERROR(INDEX(CHOOSE({1,2,3,4}, DAY(XT!U343), DAY(XT!Y343), DAY(XT!AC343), DAY(XT!AG343)), MATCH(1, INDEX(--(MONTH(CHOOSE({1,2,3,4}, XT!U343,XT!Y343,XT!AC343,XT!AG343))=11), 0), 0)), "")</f>
        <v/>
      </c>
      <c r="AQ343" s="51" t="str">
        <f>IF(XT!$P343&gt;0,AP343,"")</f>
        <v/>
      </c>
      <c r="AR343" s="51" t="str">
        <f>IF(XT!$P343=0,AP343,"")</f>
        <v/>
      </c>
      <c r="AS343">
        <f>SUMPRODUCT((MONTH(CHOOSE({1,2,3,4},XT!U343,XT!Y343,XT!AC343,XT!AG343))=12)*(CHOOSE({1,2,3,4},XT!X343,XT!AB343,XT!AF343,XT!AJ343)))</f>
        <v>0</v>
      </c>
      <c r="AT343" t="str">
        <f>IFERROR(INDEX(CHOOSE({1,2,3,4}, DAY(XT!U343), DAY(XT!Y343), DAY(XT!AC343), DAY(XT!AG343)), MATCH(1, INDEX(--(MONTH(CHOOSE({1,2,3,4}, XT!U343,XT!Y343,XT!AC343,XT!AG343))=12), 0), 0)), "")</f>
        <v/>
      </c>
      <c r="AU343" s="51" t="str">
        <f>IF(XT!$P343&gt;0,AT343,"")</f>
        <v/>
      </c>
      <c r="AV343" s="51" t="str">
        <f>IF(XT!$P343=0,AT343,"")</f>
        <v/>
      </c>
    </row>
    <row r="344" spans="1:48">
      <c r="A344">
        <f>SUMPRODUCT((MONTH(CHOOSE({1,2,3,4},XT!U344,XT!Y344,XT!AC344,XT!AG344))=1)*(CHOOSE({1,2,3,4},XT!X344,XT!AB344,XT!AF344,XT!AJ344)))</f>
        <v>0</v>
      </c>
      <c r="B344">
        <f>IFERROR(INDEX(CHOOSE({1,2,3,4}, DAY(XT!U344), DAY(XT!Y344), DAY(XT!AC344), DAY(XT!AG344)), MATCH(1, INDEX(--(MONTH(CHOOSE({1,2,3,4}, XT!U344,XT!Y344,XT!AC344,XT!AG344))=1), 0), 0)), "")</f>
        <v>0</v>
      </c>
      <c r="C344" s="51" t="str">
        <f>IF(XT!$P344&gt;0,B344,"")</f>
        <v/>
      </c>
      <c r="D344" s="51">
        <f>IF(XT!$P344=0,B344,"")</f>
        <v>0</v>
      </c>
      <c r="E344">
        <f>SUMPRODUCT((MONTH(CHOOSE({1,2,3,4},XT!U344,XT!Y344,XT!AC344,XT!AG344))=2)*(CHOOSE({1,2,3,4},XT!X344,XT!AB344,XT!AF344,XT!AJ344)))</f>
        <v>0</v>
      </c>
      <c r="F344" t="str">
        <f>IFERROR(INDEX(CHOOSE({1,2,3,4}, DAY(XT!U344), DAY(XT!Y344), DAY(XT!AC344), DAY(XT!AG344)), MATCH(1, INDEX(--(MONTH(CHOOSE({1,2,3,4}, XT!U344,XT!Y344,XT!AC344,XT!AG344))=2), 0), 0)), "")</f>
        <v/>
      </c>
      <c r="G344" s="51" t="str">
        <f>IF(XT!$P344&gt;0,F344,"")</f>
        <v/>
      </c>
      <c r="H344" s="51" t="str">
        <f>IF(XT!$P344=0,F344,"")</f>
        <v/>
      </c>
      <c r="I344">
        <f>SUMPRODUCT((MONTH(CHOOSE({1,2,3,4},XT!U344,XT!Y344,XT!AC344,XT!AG344))=3)*(CHOOSE({1,2,3,4},XT!X344,XT!AB344,XT!AF344,XT!AJ344)))</f>
        <v>0</v>
      </c>
      <c r="J344" t="str">
        <f>IFERROR(INDEX(CHOOSE({1,2,3,4}, DAY(XT!U344), DAY(XT!Y344), DAY(XT!AC344), DAY(XT!AG344)), MATCH(1, INDEX(--(MONTH(CHOOSE({1,2,3,4}, XT!U344,XT!Y344,XT!AC344,XT!AG344))=3), 0), 0)), "")</f>
        <v/>
      </c>
      <c r="K344" s="51" t="str">
        <f>IF(XT!$P344&gt;0,J344,"")</f>
        <v/>
      </c>
      <c r="L344" s="51" t="str">
        <f>IF(XT!$P344=0,J344,"")</f>
        <v/>
      </c>
      <c r="M344">
        <f>SUMPRODUCT((MONTH(CHOOSE({1,2,3,4},XT!U344,XT!Y344,XT!AC344,XT!AG344))=4)*(CHOOSE({1,2,3,4},XT!X344,XT!AB344,XT!AF344,XT!AJ344)))</f>
        <v>0</v>
      </c>
      <c r="N344" t="str">
        <f>IFERROR(INDEX(CHOOSE({1,2,3,4}, DAY(XT!U344), DAY(XT!Y344), DAY(XT!AC344), DAY(XT!AG344)), MATCH(1, INDEX(--(MONTH(CHOOSE({1,2,3,4}, XT!U344,XT!Y344,XT!AC344,XT!AG344))=4), 0), 0)), "")</f>
        <v/>
      </c>
      <c r="O344" s="51" t="str">
        <f>IF(XT!$P344&gt;0,N344,"")</f>
        <v/>
      </c>
      <c r="P344" s="51" t="str">
        <f>IF(XT!$P344=0,N344,"")</f>
        <v/>
      </c>
      <c r="Q344">
        <f>SUMPRODUCT((MONTH(CHOOSE({1,2,3,4},XT!U344,XT!Y344,XT!AC344,XT!AG344))=5)*(CHOOSE({1,2,3,4},XT!X344,XT!AB344,XT!AF344,XT!AJ344)))</f>
        <v>0</v>
      </c>
      <c r="R344" t="str">
        <f>IFERROR(INDEX(CHOOSE({1,2,3,4}, DAY(XT!U344), DAY(XT!Y344), DAY(XT!AC344), DAY(XT!AG344)), MATCH(1, INDEX(--(MONTH(CHOOSE({1,2,3,4}, XT!U344,XT!Y344,XT!AC344,XT!AG344))=5), 0), 0)), "")</f>
        <v/>
      </c>
      <c r="S344" s="51" t="str">
        <f>IF(XT!$P344&gt;0,R344,"")</f>
        <v/>
      </c>
      <c r="T344" s="51" t="str">
        <f>IF(XT!$P344=0,R344,"")</f>
        <v/>
      </c>
      <c r="U344">
        <f>SUMPRODUCT((MONTH(CHOOSE({1,2,3,4},XT!U344,XT!Y344,XT!AC344,XT!AG344))=6)*(CHOOSE({1,2,3,4},XT!X344,XT!AB344,XT!AF344,XT!AJ344)))</f>
        <v>0</v>
      </c>
      <c r="V344" t="str">
        <f>IFERROR(INDEX(CHOOSE({1,2,3,4}, DAY(XT!U344), DAY(XT!Y344), DAY(XT!AC344), DAY(XT!AG344)), MATCH(1, INDEX(--(MONTH(CHOOSE({1,2,3,4}, XT!U344,XT!Y344,XT!AC344,XT!AG344))=6), 0), 0)), "")</f>
        <v/>
      </c>
      <c r="W344" s="51" t="str">
        <f>IF(XT!$P344&gt;0,V344,"")</f>
        <v/>
      </c>
      <c r="X344" s="51" t="str">
        <f>IF(XT!$P344=0,V344,"")</f>
        <v/>
      </c>
      <c r="Y344">
        <f>SUMPRODUCT((MONTH(CHOOSE({1,2,3,4},XT!U344,XT!Y344,XT!AC344,XT!AG344))=7)*(CHOOSE({1,2,3,4},XT!X344,XT!AB344,XT!AF344,XT!AJ344)))</f>
        <v>0</v>
      </c>
      <c r="Z344" t="str">
        <f>IFERROR(INDEX(CHOOSE({1,2,3,4}, DAY(XT!U344), DAY(XT!Y344), DAY(XT!AC344), DAY(XT!AG344)), MATCH(1, INDEX(--(MONTH(CHOOSE({1,2,3,4}, XT!U344,XT!Y344,XT!AC344,XT!AG344))=7), 0), 0)), "")</f>
        <v/>
      </c>
      <c r="AA344" s="51" t="str">
        <f>IF(XT!$P344&gt;0,Z344,"")</f>
        <v/>
      </c>
      <c r="AB344" s="51" t="str">
        <f>IF(XT!$P344=0,Z344,"")</f>
        <v/>
      </c>
      <c r="AC344">
        <f>SUMPRODUCT((MONTH(CHOOSE({1,2,3,4},XT!U344,XT!Y344,XT!AC344,XT!AG344))=8)*(CHOOSE({1,2,3,4},XT!X344,XT!AB344,XT!AF344,XT!AJ344)))</f>
        <v>0</v>
      </c>
      <c r="AD344" t="str">
        <f>IFERROR(INDEX(CHOOSE({1,2,3,4}, DAY(XT!U344), DAY(XT!Y344), DAY(XT!AC344), DAY(XT!AG344)), MATCH(1, INDEX(--(MONTH(CHOOSE({1,2,3,4}, XT!U344,XT!Y344,XT!AC344,XT!AG344))=8), 0), 0)), "")</f>
        <v/>
      </c>
      <c r="AE344" s="51" t="str">
        <f>IF(XT!$P344&gt;0,AD344,"")</f>
        <v/>
      </c>
      <c r="AF344" s="51" t="str">
        <f>IF(XT!$P344=0,AD344,"")</f>
        <v/>
      </c>
      <c r="AG344">
        <f>SUMPRODUCT((MONTH(CHOOSE({1,2,3,4},XT!U344,XT!Y344,XT!AC344,XT!AG344))=9)*(CHOOSE({1,2,3,4},XT!X344,XT!AB344,XT!AF344,XT!AJ344)))</f>
        <v>0</v>
      </c>
      <c r="AH344" t="str">
        <f>IFERROR(INDEX(CHOOSE({1,2,3,4}, DAY(XT!U344), DAY(XT!Y344), DAY(XT!AC344), DAY(XT!AG344)), MATCH(1, INDEX(--(MONTH(CHOOSE({1,2,3,4}, XT!U344,XT!Y344,XT!AC344,XT!AG344))=9), 0), 0)), "")</f>
        <v/>
      </c>
      <c r="AI344" s="51" t="str">
        <f>IF(XT!$P344&gt;0,AH344,"")</f>
        <v/>
      </c>
      <c r="AJ344" s="51" t="str">
        <f>IF(XT!$P344=0,AH344,"")</f>
        <v/>
      </c>
      <c r="AK344">
        <f>SUMPRODUCT((MONTH(CHOOSE({1,2,3,4},XT!U344,XT!Y344,XT!AC344,XT!AG344))=10)*(CHOOSE({1,2,3,4},XT!X344,XT!AB344,XT!AF344,XT!AJ344)))</f>
        <v>0</v>
      </c>
      <c r="AL344" t="str">
        <f>IFERROR(INDEX(CHOOSE({1,2,3,4}, DAY(XT!U344), DAY(XT!Y344), DAY(XT!AC344), DAY(XT!AG344)), MATCH(1, INDEX(--(MONTH(CHOOSE({1,2,3,4}, XT!U344,XT!Y344,XT!AC344,XT!AG344))=10), 0), 0)), "")</f>
        <v/>
      </c>
      <c r="AM344" s="51" t="str">
        <f>IF(XT!$P344&gt;0,AL344,"")</f>
        <v/>
      </c>
      <c r="AN344" s="51" t="str">
        <f>IF(XT!$P344=0,AL344,"")</f>
        <v/>
      </c>
      <c r="AO344">
        <f>SUMPRODUCT((MONTH(CHOOSE({1,2,3,4},XT!U344,XT!Y344,XT!AC344,XT!AG344))=11)*(CHOOSE({1,2,3,4},XT!X344,XT!AB344,XT!AF344,XT!AJ344)))</f>
        <v>0</v>
      </c>
      <c r="AP344" t="str">
        <f>IFERROR(INDEX(CHOOSE({1,2,3,4}, DAY(XT!U344), DAY(XT!Y344), DAY(XT!AC344), DAY(XT!AG344)), MATCH(1, INDEX(--(MONTH(CHOOSE({1,2,3,4}, XT!U344,XT!Y344,XT!AC344,XT!AG344))=11), 0), 0)), "")</f>
        <v/>
      </c>
      <c r="AQ344" s="51" t="str">
        <f>IF(XT!$P344&gt;0,AP344,"")</f>
        <v/>
      </c>
      <c r="AR344" s="51" t="str">
        <f>IF(XT!$P344=0,AP344,"")</f>
        <v/>
      </c>
      <c r="AS344">
        <f>SUMPRODUCT((MONTH(CHOOSE({1,2,3,4},XT!U344,XT!Y344,XT!AC344,XT!AG344))=12)*(CHOOSE({1,2,3,4},XT!X344,XT!AB344,XT!AF344,XT!AJ344)))</f>
        <v>0</v>
      </c>
      <c r="AT344" t="str">
        <f>IFERROR(INDEX(CHOOSE({1,2,3,4}, DAY(XT!U344), DAY(XT!Y344), DAY(XT!AC344), DAY(XT!AG344)), MATCH(1, INDEX(--(MONTH(CHOOSE({1,2,3,4}, XT!U344,XT!Y344,XT!AC344,XT!AG344))=12), 0), 0)), "")</f>
        <v/>
      </c>
      <c r="AU344" s="51" t="str">
        <f>IF(XT!$P344&gt;0,AT344,"")</f>
        <v/>
      </c>
      <c r="AV344" s="51" t="str">
        <f>IF(XT!$P344=0,AT344,"")</f>
        <v/>
      </c>
    </row>
    <row r="345" spans="1:48">
      <c r="A345">
        <f>SUMPRODUCT((MONTH(CHOOSE({1,2,3,4},XT!U345,XT!Y345,XT!AC345,XT!AG345))=1)*(CHOOSE({1,2,3,4},XT!X345,XT!AB345,XT!AF345,XT!AJ345)))</f>
        <v>0</v>
      </c>
      <c r="B345">
        <f>IFERROR(INDEX(CHOOSE({1,2,3,4}, DAY(XT!U345), DAY(XT!Y345), DAY(XT!AC345), DAY(XT!AG345)), MATCH(1, INDEX(--(MONTH(CHOOSE({1,2,3,4}, XT!U345,XT!Y345,XT!AC345,XT!AG345))=1), 0), 0)), "")</f>
        <v>0</v>
      </c>
      <c r="C345" s="51" t="str">
        <f>IF(XT!$P345&gt;0,B345,"")</f>
        <v/>
      </c>
      <c r="D345" s="51">
        <f>IF(XT!$P345=0,B345,"")</f>
        <v>0</v>
      </c>
      <c r="E345">
        <f>SUMPRODUCT((MONTH(CHOOSE({1,2,3,4},XT!U345,XT!Y345,XT!AC345,XT!AG345))=2)*(CHOOSE({1,2,3,4},XT!X345,XT!AB345,XT!AF345,XT!AJ345)))</f>
        <v>0</v>
      </c>
      <c r="F345" t="str">
        <f>IFERROR(INDEX(CHOOSE({1,2,3,4}, DAY(XT!U345), DAY(XT!Y345), DAY(XT!AC345), DAY(XT!AG345)), MATCH(1, INDEX(--(MONTH(CHOOSE({1,2,3,4}, XT!U345,XT!Y345,XT!AC345,XT!AG345))=2), 0), 0)), "")</f>
        <v/>
      </c>
      <c r="G345" s="51" t="str">
        <f>IF(XT!$P345&gt;0,F345,"")</f>
        <v/>
      </c>
      <c r="H345" s="51" t="str">
        <f>IF(XT!$P345=0,F345,"")</f>
        <v/>
      </c>
      <c r="I345">
        <f>SUMPRODUCT((MONTH(CHOOSE({1,2,3,4},XT!U345,XT!Y345,XT!AC345,XT!AG345))=3)*(CHOOSE({1,2,3,4},XT!X345,XT!AB345,XT!AF345,XT!AJ345)))</f>
        <v>0</v>
      </c>
      <c r="J345" t="str">
        <f>IFERROR(INDEX(CHOOSE({1,2,3,4}, DAY(XT!U345), DAY(XT!Y345), DAY(XT!AC345), DAY(XT!AG345)), MATCH(1, INDEX(--(MONTH(CHOOSE({1,2,3,4}, XT!U345,XT!Y345,XT!AC345,XT!AG345))=3), 0), 0)), "")</f>
        <v/>
      </c>
      <c r="K345" s="51" t="str">
        <f>IF(XT!$P345&gt;0,J345,"")</f>
        <v/>
      </c>
      <c r="L345" s="51" t="str">
        <f>IF(XT!$P345=0,J345,"")</f>
        <v/>
      </c>
      <c r="M345">
        <f>SUMPRODUCT((MONTH(CHOOSE({1,2,3,4},XT!U345,XT!Y345,XT!AC345,XT!AG345))=4)*(CHOOSE({1,2,3,4},XT!X345,XT!AB345,XT!AF345,XT!AJ345)))</f>
        <v>0</v>
      </c>
      <c r="N345" t="str">
        <f>IFERROR(INDEX(CHOOSE({1,2,3,4}, DAY(XT!U345), DAY(XT!Y345), DAY(XT!AC345), DAY(XT!AG345)), MATCH(1, INDEX(--(MONTH(CHOOSE({1,2,3,4}, XT!U345,XT!Y345,XT!AC345,XT!AG345))=4), 0), 0)), "")</f>
        <v/>
      </c>
      <c r="O345" s="51" t="str">
        <f>IF(XT!$P345&gt;0,N345,"")</f>
        <v/>
      </c>
      <c r="P345" s="51" t="str">
        <f>IF(XT!$P345=0,N345,"")</f>
        <v/>
      </c>
      <c r="Q345">
        <f>SUMPRODUCT((MONTH(CHOOSE({1,2,3,4},XT!U345,XT!Y345,XT!AC345,XT!AG345))=5)*(CHOOSE({1,2,3,4},XT!X345,XT!AB345,XT!AF345,XT!AJ345)))</f>
        <v>0</v>
      </c>
      <c r="R345" t="str">
        <f>IFERROR(INDEX(CHOOSE({1,2,3,4}, DAY(XT!U345), DAY(XT!Y345), DAY(XT!AC345), DAY(XT!AG345)), MATCH(1, INDEX(--(MONTH(CHOOSE({1,2,3,4}, XT!U345,XT!Y345,XT!AC345,XT!AG345))=5), 0), 0)), "")</f>
        <v/>
      </c>
      <c r="S345" s="51" t="str">
        <f>IF(XT!$P345&gt;0,R345,"")</f>
        <v/>
      </c>
      <c r="T345" s="51" t="str">
        <f>IF(XT!$P345=0,R345,"")</f>
        <v/>
      </c>
      <c r="U345">
        <f>SUMPRODUCT((MONTH(CHOOSE({1,2,3,4},XT!U345,XT!Y345,XT!AC345,XT!AG345))=6)*(CHOOSE({1,2,3,4},XT!X345,XT!AB345,XT!AF345,XT!AJ345)))</f>
        <v>0</v>
      </c>
      <c r="V345" t="str">
        <f>IFERROR(INDEX(CHOOSE({1,2,3,4}, DAY(XT!U345), DAY(XT!Y345), DAY(XT!AC345), DAY(XT!AG345)), MATCH(1, INDEX(--(MONTH(CHOOSE({1,2,3,4}, XT!U345,XT!Y345,XT!AC345,XT!AG345))=6), 0), 0)), "")</f>
        <v/>
      </c>
      <c r="W345" s="51" t="str">
        <f>IF(XT!$P345&gt;0,V345,"")</f>
        <v/>
      </c>
      <c r="X345" s="51" t="str">
        <f>IF(XT!$P345=0,V345,"")</f>
        <v/>
      </c>
      <c r="Y345">
        <f>SUMPRODUCT((MONTH(CHOOSE({1,2,3,4},XT!U345,XT!Y345,XT!AC345,XT!AG345))=7)*(CHOOSE({1,2,3,4},XT!X345,XT!AB345,XT!AF345,XT!AJ345)))</f>
        <v>0</v>
      </c>
      <c r="Z345" t="str">
        <f>IFERROR(INDEX(CHOOSE({1,2,3,4}, DAY(XT!U345), DAY(XT!Y345), DAY(XT!AC345), DAY(XT!AG345)), MATCH(1, INDEX(--(MONTH(CHOOSE({1,2,3,4}, XT!U345,XT!Y345,XT!AC345,XT!AG345))=7), 0), 0)), "")</f>
        <v/>
      </c>
      <c r="AA345" s="51" t="str">
        <f>IF(XT!$P345&gt;0,Z345,"")</f>
        <v/>
      </c>
      <c r="AB345" s="51" t="str">
        <f>IF(XT!$P345=0,Z345,"")</f>
        <v/>
      </c>
      <c r="AC345">
        <f>SUMPRODUCT((MONTH(CHOOSE({1,2,3,4},XT!U345,XT!Y345,XT!AC345,XT!AG345))=8)*(CHOOSE({1,2,3,4},XT!X345,XT!AB345,XT!AF345,XT!AJ345)))</f>
        <v>0</v>
      </c>
      <c r="AD345" t="str">
        <f>IFERROR(INDEX(CHOOSE({1,2,3,4}, DAY(XT!U345), DAY(XT!Y345), DAY(XT!AC345), DAY(XT!AG345)), MATCH(1, INDEX(--(MONTH(CHOOSE({1,2,3,4}, XT!U345,XT!Y345,XT!AC345,XT!AG345))=8), 0), 0)), "")</f>
        <v/>
      </c>
      <c r="AE345" s="51" t="str">
        <f>IF(XT!$P345&gt;0,AD345,"")</f>
        <v/>
      </c>
      <c r="AF345" s="51" t="str">
        <f>IF(XT!$P345=0,AD345,"")</f>
        <v/>
      </c>
      <c r="AG345">
        <f>SUMPRODUCT((MONTH(CHOOSE({1,2,3,4},XT!U345,XT!Y345,XT!AC345,XT!AG345))=9)*(CHOOSE({1,2,3,4},XT!X345,XT!AB345,XT!AF345,XT!AJ345)))</f>
        <v>0</v>
      </c>
      <c r="AH345" t="str">
        <f>IFERROR(INDEX(CHOOSE({1,2,3,4}, DAY(XT!U345), DAY(XT!Y345), DAY(XT!AC345), DAY(XT!AG345)), MATCH(1, INDEX(--(MONTH(CHOOSE({1,2,3,4}, XT!U345,XT!Y345,XT!AC345,XT!AG345))=9), 0), 0)), "")</f>
        <v/>
      </c>
      <c r="AI345" s="51" t="str">
        <f>IF(XT!$P345&gt;0,AH345,"")</f>
        <v/>
      </c>
      <c r="AJ345" s="51" t="str">
        <f>IF(XT!$P345=0,AH345,"")</f>
        <v/>
      </c>
      <c r="AK345">
        <f>SUMPRODUCT((MONTH(CHOOSE({1,2,3,4},XT!U345,XT!Y345,XT!AC345,XT!AG345))=10)*(CHOOSE({1,2,3,4},XT!X345,XT!AB345,XT!AF345,XT!AJ345)))</f>
        <v>0</v>
      </c>
      <c r="AL345" t="str">
        <f>IFERROR(INDEX(CHOOSE({1,2,3,4}, DAY(XT!U345), DAY(XT!Y345), DAY(XT!AC345), DAY(XT!AG345)), MATCH(1, INDEX(--(MONTH(CHOOSE({1,2,3,4}, XT!U345,XT!Y345,XT!AC345,XT!AG345))=10), 0), 0)), "")</f>
        <v/>
      </c>
      <c r="AM345" s="51" t="str">
        <f>IF(XT!$P345&gt;0,AL345,"")</f>
        <v/>
      </c>
      <c r="AN345" s="51" t="str">
        <f>IF(XT!$P345=0,AL345,"")</f>
        <v/>
      </c>
      <c r="AO345">
        <f>SUMPRODUCT((MONTH(CHOOSE({1,2,3,4},XT!U345,XT!Y345,XT!AC345,XT!AG345))=11)*(CHOOSE({1,2,3,4},XT!X345,XT!AB345,XT!AF345,XT!AJ345)))</f>
        <v>0</v>
      </c>
      <c r="AP345" t="str">
        <f>IFERROR(INDEX(CHOOSE({1,2,3,4}, DAY(XT!U345), DAY(XT!Y345), DAY(XT!AC345), DAY(XT!AG345)), MATCH(1, INDEX(--(MONTH(CHOOSE({1,2,3,4}, XT!U345,XT!Y345,XT!AC345,XT!AG345))=11), 0), 0)), "")</f>
        <v/>
      </c>
      <c r="AQ345" s="51" t="str">
        <f>IF(XT!$P345&gt;0,AP345,"")</f>
        <v/>
      </c>
      <c r="AR345" s="51" t="str">
        <f>IF(XT!$P345=0,AP345,"")</f>
        <v/>
      </c>
      <c r="AS345">
        <f>SUMPRODUCT((MONTH(CHOOSE({1,2,3,4},XT!U345,XT!Y345,XT!AC345,XT!AG345))=12)*(CHOOSE({1,2,3,4},XT!X345,XT!AB345,XT!AF345,XT!AJ345)))</f>
        <v>0</v>
      </c>
      <c r="AT345" t="str">
        <f>IFERROR(INDEX(CHOOSE({1,2,3,4}, DAY(XT!U345), DAY(XT!Y345), DAY(XT!AC345), DAY(XT!AG345)), MATCH(1, INDEX(--(MONTH(CHOOSE({1,2,3,4}, XT!U345,XT!Y345,XT!AC345,XT!AG345))=12), 0), 0)), "")</f>
        <v/>
      </c>
      <c r="AU345" s="51" t="str">
        <f>IF(XT!$P345&gt;0,AT345,"")</f>
        <v/>
      </c>
      <c r="AV345" s="51" t="str">
        <f>IF(XT!$P345=0,AT345,"")</f>
        <v/>
      </c>
    </row>
    <row r="346" spans="1:48">
      <c r="A346">
        <f>SUMPRODUCT((MONTH(CHOOSE({1,2,3,4},XT!U346,XT!Y346,XT!AC346,XT!AG346))=1)*(CHOOSE({1,2,3,4},XT!X346,XT!AB346,XT!AF346,XT!AJ346)))</f>
        <v>0</v>
      </c>
      <c r="B346">
        <f>IFERROR(INDEX(CHOOSE({1,2,3,4}, DAY(XT!U346), DAY(XT!Y346), DAY(XT!AC346), DAY(XT!AG346)), MATCH(1, INDEX(--(MONTH(CHOOSE({1,2,3,4}, XT!U346,XT!Y346,XT!AC346,XT!AG346))=1), 0), 0)), "")</f>
        <v>0</v>
      </c>
      <c r="C346" s="51" t="str">
        <f>IF(XT!$P346&gt;0,B346,"")</f>
        <v/>
      </c>
      <c r="D346" s="51">
        <f>IF(XT!$P346=0,B346,"")</f>
        <v>0</v>
      </c>
      <c r="E346">
        <f>SUMPRODUCT((MONTH(CHOOSE({1,2,3,4},XT!U346,XT!Y346,XT!AC346,XT!AG346))=2)*(CHOOSE({1,2,3,4},XT!X346,XT!AB346,XT!AF346,XT!AJ346)))</f>
        <v>0</v>
      </c>
      <c r="F346" t="str">
        <f>IFERROR(INDEX(CHOOSE({1,2,3,4}, DAY(XT!U346), DAY(XT!Y346), DAY(XT!AC346), DAY(XT!AG346)), MATCH(1, INDEX(--(MONTH(CHOOSE({1,2,3,4}, XT!U346,XT!Y346,XT!AC346,XT!AG346))=2), 0), 0)), "")</f>
        <v/>
      </c>
      <c r="G346" s="51" t="str">
        <f>IF(XT!$P346&gt;0,F346,"")</f>
        <v/>
      </c>
      <c r="H346" s="51" t="str">
        <f>IF(XT!$P346=0,F346,"")</f>
        <v/>
      </c>
      <c r="I346">
        <f>SUMPRODUCT((MONTH(CHOOSE({1,2,3,4},XT!U346,XT!Y346,XT!AC346,XT!AG346))=3)*(CHOOSE({1,2,3,4},XT!X346,XT!AB346,XT!AF346,XT!AJ346)))</f>
        <v>0</v>
      </c>
      <c r="J346" t="str">
        <f>IFERROR(INDEX(CHOOSE({1,2,3,4}, DAY(XT!U346), DAY(XT!Y346), DAY(XT!AC346), DAY(XT!AG346)), MATCH(1, INDEX(--(MONTH(CHOOSE({1,2,3,4}, XT!U346,XT!Y346,XT!AC346,XT!AG346))=3), 0), 0)), "")</f>
        <v/>
      </c>
      <c r="K346" s="51" t="str">
        <f>IF(XT!$P346&gt;0,J346,"")</f>
        <v/>
      </c>
      <c r="L346" s="51" t="str">
        <f>IF(XT!$P346=0,J346,"")</f>
        <v/>
      </c>
      <c r="M346">
        <f>SUMPRODUCT((MONTH(CHOOSE({1,2,3,4},XT!U346,XT!Y346,XT!AC346,XT!AG346))=4)*(CHOOSE({1,2,3,4},XT!X346,XT!AB346,XT!AF346,XT!AJ346)))</f>
        <v>0</v>
      </c>
      <c r="N346" t="str">
        <f>IFERROR(INDEX(CHOOSE({1,2,3,4}, DAY(XT!U346), DAY(XT!Y346), DAY(XT!AC346), DAY(XT!AG346)), MATCH(1, INDEX(--(MONTH(CHOOSE({1,2,3,4}, XT!U346,XT!Y346,XT!AC346,XT!AG346))=4), 0), 0)), "")</f>
        <v/>
      </c>
      <c r="O346" s="51" t="str">
        <f>IF(XT!$P346&gt;0,N346,"")</f>
        <v/>
      </c>
      <c r="P346" s="51" t="str">
        <f>IF(XT!$P346=0,N346,"")</f>
        <v/>
      </c>
      <c r="Q346">
        <f>SUMPRODUCT((MONTH(CHOOSE({1,2,3,4},XT!U346,XT!Y346,XT!AC346,XT!AG346))=5)*(CHOOSE({1,2,3,4},XT!X346,XT!AB346,XT!AF346,XT!AJ346)))</f>
        <v>0</v>
      </c>
      <c r="R346" t="str">
        <f>IFERROR(INDEX(CHOOSE({1,2,3,4}, DAY(XT!U346), DAY(XT!Y346), DAY(XT!AC346), DAY(XT!AG346)), MATCH(1, INDEX(--(MONTH(CHOOSE({1,2,3,4}, XT!U346,XT!Y346,XT!AC346,XT!AG346))=5), 0), 0)), "")</f>
        <v/>
      </c>
      <c r="S346" s="51" t="str">
        <f>IF(XT!$P346&gt;0,R346,"")</f>
        <v/>
      </c>
      <c r="T346" s="51" t="str">
        <f>IF(XT!$P346=0,R346,"")</f>
        <v/>
      </c>
      <c r="U346">
        <f>SUMPRODUCT((MONTH(CHOOSE({1,2,3,4},XT!U346,XT!Y346,XT!AC346,XT!AG346))=6)*(CHOOSE({1,2,3,4},XT!X346,XT!AB346,XT!AF346,XT!AJ346)))</f>
        <v>0</v>
      </c>
      <c r="V346" t="str">
        <f>IFERROR(INDEX(CHOOSE({1,2,3,4}, DAY(XT!U346), DAY(XT!Y346), DAY(XT!AC346), DAY(XT!AG346)), MATCH(1, INDEX(--(MONTH(CHOOSE({1,2,3,4}, XT!U346,XT!Y346,XT!AC346,XT!AG346))=6), 0), 0)), "")</f>
        <v/>
      </c>
      <c r="W346" s="51" t="str">
        <f>IF(XT!$P346&gt;0,V346,"")</f>
        <v/>
      </c>
      <c r="X346" s="51" t="str">
        <f>IF(XT!$P346=0,V346,"")</f>
        <v/>
      </c>
      <c r="Y346">
        <f>SUMPRODUCT((MONTH(CHOOSE({1,2,3,4},XT!U346,XT!Y346,XT!AC346,XT!AG346))=7)*(CHOOSE({1,2,3,4},XT!X346,XT!AB346,XT!AF346,XT!AJ346)))</f>
        <v>0</v>
      </c>
      <c r="Z346" t="str">
        <f>IFERROR(INDEX(CHOOSE({1,2,3,4}, DAY(XT!U346), DAY(XT!Y346), DAY(XT!AC346), DAY(XT!AG346)), MATCH(1, INDEX(--(MONTH(CHOOSE({1,2,3,4}, XT!U346,XT!Y346,XT!AC346,XT!AG346))=7), 0), 0)), "")</f>
        <v/>
      </c>
      <c r="AA346" s="51" t="str">
        <f>IF(XT!$P346&gt;0,Z346,"")</f>
        <v/>
      </c>
      <c r="AB346" s="51" t="str">
        <f>IF(XT!$P346=0,Z346,"")</f>
        <v/>
      </c>
      <c r="AC346">
        <f>SUMPRODUCT((MONTH(CHOOSE({1,2,3,4},XT!U346,XT!Y346,XT!AC346,XT!AG346))=8)*(CHOOSE({1,2,3,4},XT!X346,XT!AB346,XT!AF346,XT!AJ346)))</f>
        <v>0</v>
      </c>
      <c r="AD346" t="str">
        <f>IFERROR(INDEX(CHOOSE({1,2,3,4}, DAY(XT!U346), DAY(XT!Y346), DAY(XT!AC346), DAY(XT!AG346)), MATCH(1, INDEX(--(MONTH(CHOOSE({1,2,3,4}, XT!U346,XT!Y346,XT!AC346,XT!AG346))=8), 0), 0)), "")</f>
        <v/>
      </c>
      <c r="AE346" s="51" t="str">
        <f>IF(XT!$P346&gt;0,AD346,"")</f>
        <v/>
      </c>
      <c r="AF346" s="51" t="str">
        <f>IF(XT!$P346=0,AD346,"")</f>
        <v/>
      </c>
      <c r="AG346">
        <f>SUMPRODUCT((MONTH(CHOOSE({1,2,3,4},XT!U346,XT!Y346,XT!AC346,XT!AG346))=9)*(CHOOSE({1,2,3,4},XT!X346,XT!AB346,XT!AF346,XT!AJ346)))</f>
        <v>0</v>
      </c>
      <c r="AH346" t="str">
        <f>IFERROR(INDEX(CHOOSE({1,2,3,4}, DAY(XT!U346), DAY(XT!Y346), DAY(XT!AC346), DAY(XT!AG346)), MATCH(1, INDEX(--(MONTH(CHOOSE({1,2,3,4}, XT!U346,XT!Y346,XT!AC346,XT!AG346))=9), 0), 0)), "")</f>
        <v/>
      </c>
      <c r="AI346" s="51" t="str">
        <f>IF(XT!$P346&gt;0,AH346,"")</f>
        <v/>
      </c>
      <c r="AJ346" s="51" t="str">
        <f>IF(XT!$P346=0,AH346,"")</f>
        <v/>
      </c>
      <c r="AK346">
        <f>SUMPRODUCT((MONTH(CHOOSE({1,2,3,4},XT!U346,XT!Y346,XT!AC346,XT!AG346))=10)*(CHOOSE({1,2,3,4},XT!X346,XT!AB346,XT!AF346,XT!AJ346)))</f>
        <v>0</v>
      </c>
      <c r="AL346" t="str">
        <f>IFERROR(INDEX(CHOOSE({1,2,3,4}, DAY(XT!U346), DAY(XT!Y346), DAY(XT!AC346), DAY(XT!AG346)), MATCH(1, INDEX(--(MONTH(CHOOSE({1,2,3,4}, XT!U346,XT!Y346,XT!AC346,XT!AG346))=10), 0), 0)), "")</f>
        <v/>
      </c>
      <c r="AM346" s="51" t="str">
        <f>IF(XT!$P346&gt;0,AL346,"")</f>
        <v/>
      </c>
      <c r="AN346" s="51" t="str">
        <f>IF(XT!$P346=0,AL346,"")</f>
        <v/>
      </c>
      <c r="AO346">
        <f>SUMPRODUCT((MONTH(CHOOSE({1,2,3,4},XT!U346,XT!Y346,XT!AC346,XT!AG346))=11)*(CHOOSE({1,2,3,4},XT!X346,XT!AB346,XT!AF346,XT!AJ346)))</f>
        <v>0</v>
      </c>
      <c r="AP346" t="str">
        <f>IFERROR(INDEX(CHOOSE({1,2,3,4}, DAY(XT!U346), DAY(XT!Y346), DAY(XT!AC346), DAY(XT!AG346)), MATCH(1, INDEX(--(MONTH(CHOOSE({1,2,3,4}, XT!U346,XT!Y346,XT!AC346,XT!AG346))=11), 0), 0)), "")</f>
        <v/>
      </c>
      <c r="AQ346" s="51" t="str">
        <f>IF(XT!$P346&gt;0,AP346,"")</f>
        <v/>
      </c>
      <c r="AR346" s="51" t="str">
        <f>IF(XT!$P346=0,AP346,"")</f>
        <v/>
      </c>
      <c r="AS346">
        <f>SUMPRODUCT((MONTH(CHOOSE({1,2,3,4},XT!U346,XT!Y346,XT!AC346,XT!AG346))=12)*(CHOOSE({1,2,3,4},XT!X346,XT!AB346,XT!AF346,XT!AJ346)))</f>
        <v>0</v>
      </c>
      <c r="AT346" t="str">
        <f>IFERROR(INDEX(CHOOSE({1,2,3,4}, DAY(XT!U346), DAY(XT!Y346), DAY(XT!AC346), DAY(XT!AG346)), MATCH(1, INDEX(--(MONTH(CHOOSE({1,2,3,4}, XT!U346,XT!Y346,XT!AC346,XT!AG346))=12), 0), 0)), "")</f>
        <v/>
      </c>
      <c r="AU346" s="51" t="str">
        <f>IF(XT!$P346&gt;0,AT346,"")</f>
        <v/>
      </c>
      <c r="AV346" s="51" t="str">
        <f>IF(XT!$P346=0,AT346,"")</f>
        <v/>
      </c>
    </row>
    <row r="347" spans="1:48">
      <c r="A347">
        <f>SUMPRODUCT((MONTH(CHOOSE({1,2,3,4},XT!U347,XT!Y347,XT!AC347,XT!AG347))=1)*(CHOOSE({1,2,3,4},XT!X347,XT!AB347,XT!AF347,XT!AJ347)))</f>
        <v>0</v>
      </c>
      <c r="B347">
        <f>IFERROR(INDEX(CHOOSE({1,2,3,4}, DAY(XT!U347), DAY(XT!Y347), DAY(XT!AC347), DAY(XT!AG347)), MATCH(1, INDEX(--(MONTH(CHOOSE({1,2,3,4}, XT!U347,XT!Y347,XT!AC347,XT!AG347))=1), 0), 0)), "")</f>
        <v>0</v>
      </c>
      <c r="C347" s="51" t="str">
        <f>IF(XT!$P347&gt;0,B347,"")</f>
        <v/>
      </c>
      <c r="D347" s="51">
        <f>IF(XT!$P347=0,B347,"")</f>
        <v>0</v>
      </c>
      <c r="E347">
        <f>SUMPRODUCT((MONTH(CHOOSE({1,2,3,4},XT!U347,XT!Y347,XT!AC347,XT!AG347))=2)*(CHOOSE({1,2,3,4},XT!X347,XT!AB347,XT!AF347,XT!AJ347)))</f>
        <v>0</v>
      </c>
      <c r="F347" t="str">
        <f>IFERROR(INDEX(CHOOSE({1,2,3,4}, DAY(XT!U347), DAY(XT!Y347), DAY(XT!AC347), DAY(XT!AG347)), MATCH(1, INDEX(--(MONTH(CHOOSE({1,2,3,4}, XT!U347,XT!Y347,XT!AC347,XT!AG347))=2), 0), 0)), "")</f>
        <v/>
      </c>
      <c r="G347" s="51" t="str">
        <f>IF(XT!$P347&gt;0,F347,"")</f>
        <v/>
      </c>
      <c r="H347" s="51" t="str">
        <f>IF(XT!$P347=0,F347,"")</f>
        <v/>
      </c>
      <c r="I347">
        <f>SUMPRODUCT((MONTH(CHOOSE({1,2,3,4},XT!U347,XT!Y347,XT!AC347,XT!AG347))=3)*(CHOOSE({1,2,3,4},XT!X347,XT!AB347,XT!AF347,XT!AJ347)))</f>
        <v>0</v>
      </c>
      <c r="J347" t="str">
        <f>IFERROR(INDEX(CHOOSE({1,2,3,4}, DAY(XT!U347), DAY(XT!Y347), DAY(XT!AC347), DAY(XT!AG347)), MATCH(1, INDEX(--(MONTH(CHOOSE({1,2,3,4}, XT!U347,XT!Y347,XT!AC347,XT!AG347))=3), 0), 0)), "")</f>
        <v/>
      </c>
      <c r="K347" s="51" t="str">
        <f>IF(XT!$P347&gt;0,J347,"")</f>
        <v/>
      </c>
      <c r="L347" s="51" t="str">
        <f>IF(XT!$P347=0,J347,"")</f>
        <v/>
      </c>
      <c r="M347">
        <f>SUMPRODUCT((MONTH(CHOOSE({1,2,3,4},XT!U347,XT!Y347,XT!AC347,XT!AG347))=4)*(CHOOSE({1,2,3,4},XT!X347,XT!AB347,XT!AF347,XT!AJ347)))</f>
        <v>0</v>
      </c>
      <c r="N347" t="str">
        <f>IFERROR(INDEX(CHOOSE({1,2,3,4}, DAY(XT!U347), DAY(XT!Y347), DAY(XT!AC347), DAY(XT!AG347)), MATCH(1, INDEX(--(MONTH(CHOOSE({1,2,3,4}, XT!U347,XT!Y347,XT!AC347,XT!AG347))=4), 0), 0)), "")</f>
        <v/>
      </c>
      <c r="O347" s="51" t="str">
        <f>IF(XT!$P347&gt;0,N347,"")</f>
        <v/>
      </c>
      <c r="P347" s="51" t="str">
        <f>IF(XT!$P347=0,N347,"")</f>
        <v/>
      </c>
      <c r="Q347">
        <f>SUMPRODUCT((MONTH(CHOOSE({1,2,3,4},XT!U347,XT!Y347,XT!AC347,XT!AG347))=5)*(CHOOSE({1,2,3,4},XT!X347,XT!AB347,XT!AF347,XT!AJ347)))</f>
        <v>0</v>
      </c>
      <c r="R347" t="str">
        <f>IFERROR(INDEX(CHOOSE({1,2,3,4}, DAY(XT!U347), DAY(XT!Y347), DAY(XT!AC347), DAY(XT!AG347)), MATCH(1, INDEX(--(MONTH(CHOOSE({1,2,3,4}, XT!U347,XT!Y347,XT!AC347,XT!AG347))=5), 0), 0)), "")</f>
        <v/>
      </c>
      <c r="S347" s="51" t="str">
        <f>IF(XT!$P347&gt;0,R347,"")</f>
        <v/>
      </c>
      <c r="T347" s="51" t="str">
        <f>IF(XT!$P347=0,R347,"")</f>
        <v/>
      </c>
      <c r="U347">
        <f>SUMPRODUCT((MONTH(CHOOSE({1,2,3,4},XT!U347,XT!Y347,XT!AC347,XT!AG347))=6)*(CHOOSE({1,2,3,4},XT!X347,XT!AB347,XT!AF347,XT!AJ347)))</f>
        <v>0</v>
      </c>
      <c r="V347" t="str">
        <f>IFERROR(INDEX(CHOOSE({1,2,3,4}, DAY(XT!U347), DAY(XT!Y347), DAY(XT!AC347), DAY(XT!AG347)), MATCH(1, INDEX(--(MONTH(CHOOSE({1,2,3,4}, XT!U347,XT!Y347,XT!AC347,XT!AG347))=6), 0), 0)), "")</f>
        <v/>
      </c>
      <c r="W347" s="51" t="str">
        <f>IF(XT!$P347&gt;0,V347,"")</f>
        <v/>
      </c>
      <c r="X347" s="51" t="str">
        <f>IF(XT!$P347=0,V347,"")</f>
        <v/>
      </c>
      <c r="Y347">
        <f>SUMPRODUCT((MONTH(CHOOSE({1,2,3,4},XT!U347,XT!Y347,XT!AC347,XT!AG347))=7)*(CHOOSE({1,2,3,4},XT!X347,XT!AB347,XT!AF347,XT!AJ347)))</f>
        <v>0</v>
      </c>
      <c r="Z347" t="str">
        <f>IFERROR(INDEX(CHOOSE({1,2,3,4}, DAY(XT!U347), DAY(XT!Y347), DAY(XT!AC347), DAY(XT!AG347)), MATCH(1, INDEX(--(MONTH(CHOOSE({1,2,3,4}, XT!U347,XT!Y347,XT!AC347,XT!AG347))=7), 0), 0)), "")</f>
        <v/>
      </c>
      <c r="AA347" s="51" t="str">
        <f>IF(XT!$P347&gt;0,Z347,"")</f>
        <v/>
      </c>
      <c r="AB347" s="51" t="str">
        <f>IF(XT!$P347=0,Z347,"")</f>
        <v/>
      </c>
      <c r="AC347">
        <f>SUMPRODUCT((MONTH(CHOOSE({1,2,3,4},XT!U347,XT!Y347,XT!AC347,XT!AG347))=8)*(CHOOSE({1,2,3,4},XT!X347,XT!AB347,XT!AF347,XT!AJ347)))</f>
        <v>0</v>
      </c>
      <c r="AD347" t="str">
        <f>IFERROR(INDEX(CHOOSE({1,2,3,4}, DAY(XT!U347), DAY(XT!Y347), DAY(XT!AC347), DAY(XT!AG347)), MATCH(1, INDEX(--(MONTH(CHOOSE({1,2,3,4}, XT!U347,XT!Y347,XT!AC347,XT!AG347))=8), 0), 0)), "")</f>
        <v/>
      </c>
      <c r="AE347" s="51" t="str">
        <f>IF(XT!$P347&gt;0,AD347,"")</f>
        <v/>
      </c>
      <c r="AF347" s="51" t="str">
        <f>IF(XT!$P347=0,AD347,"")</f>
        <v/>
      </c>
      <c r="AG347">
        <f>SUMPRODUCT((MONTH(CHOOSE({1,2,3,4},XT!U347,XT!Y347,XT!AC347,XT!AG347))=9)*(CHOOSE({1,2,3,4},XT!X347,XT!AB347,XT!AF347,XT!AJ347)))</f>
        <v>0</v>
      </c>
      <c r="AH347" t="str">
        <f>IFERROR(INDEX(CHOOSE({1,2,3,4}, DAY(XT!U347), DAY(XT!Y347), DAY(XT!AC347), DAY(XT!AG347)), MATCH(1, INDEX(--(MONTH(CHOOSE({1,2,3,4}, XT!U347,XT!Y347,XT!AC347,XT!AG347))=9), 0), 0)), "")</f>
        <v/>
      </c>
      <c r="AI347" s="51" t="str">
        <f>IF(XT!$P347&gt;0,AH347,"")</f>
        <v/>
      </c>
      <c r="AJ347" s="51" t="str">
        <f>IF(XT!$P347=0,AH347,"")</f>
        <v/>
      </c>
      <c r="AK347">
        <f>SUMPRODUCT((MONTH(CHOOSE({1,2,3,4},XT!U347,XT!Y347,XT!AC347,XT!AG347))=10)*(CHOOSE({1,2,3,4},XT!X347,XT!AB347,XT!AF347,XT!AJ347)))</f>
        <v>0</v>
      </c>
      <c r="AL347" t="str">
        <f>IFERROR(INDEX(CHOOSE({1,2,3,4}, DAY(XT!U347), DAY(XT!Y347), DAY(XT!AC347), DAY(XT!AG347)), MATCH(1, INDEX(--(MONTH(CHOOSE({1,2,3,4}, XT!U347,XT!Y347,XT!AC347,XT!AG347))=10), 0), 0)), "")</f>
        <v/>
      </c>
      <c r="AM347" s="51" t="str">
        <f>IF(XT!$P347&gt;0,AL347,"")</f>
        <v/>
      </c>
      <c r="AN347" s="51" t="str">
        <f>IF(XT!$P347=0,AL347,"")</f>
        <v/>
      </c>
      <c r="AO347">
        <f>SUMPRODUCT((MONTH(CHOOSE({1,2,3,4},XT!U347,XT!Y347,XT!AC347,XT!AG347))=11)*(CHOOSE({1,2,3,4},XT!X347,XT!AB347,XT!AF347,XT!AJ347)))</f>
        <v>0</v>
      </c>
      <c r="AP347" t="str">
        <f>IFERROR(INDEX(CHOOSE({1,2,3,4}, DAY(XT!U347), DAY(XT!Y347), DAY(XT!AC347), DAY(XT!AG347)), MATCH(1, INDEX(--(MONTH(CHOOSE({1,2,3,4}, XT!U347,XT!Y347,XT!AC347,XT!AG347))=11), 0), 0)), "")</f>
        <v/>
      </c>
      <c r="AQ347" s="51" t="str">
        <f>IF(XT!$P347&gt;0,AP347,"")</f>
        <v/>
      </c>
      <c r="AR347" s="51" t="str">
        <f>IF(XT!$P347=0,AP347,"")</f>
        <v/>
      </c>
      <c r="AS347">
        <f>SUMPRODUCT((MONTH(CHOOSE({1,2,3,4},XT!U347,XT!Y347,XT!AC347,XT!AG347))=12)*(CHOOSE({1,2,3,4},XT!X347,XT!AB347,XT!AF347,XT!AJ347)))</f>
        <v>0</v>
      </c>
      <c r="AT347" t="str">
        <f>IFERROR(INDEX(CHOOSE({1,2,3,4}, DAY(XT!U347), DAY(XT!Y347), DAY(XT!AC347), DAY(XT!AG347)), MATCH(1, INDEX(--(MONTH(CHOOSE({1,2,3,4}, XT!U347,XT!Y347,XT!AC347,XT!AG347))=12), 0), 0)), "")</f>
        <v/>
      </c>
      <c r="AU347" s="51" t="str">
        <f>IF(XT!$P347&gt;0,AT347,"")</f>
        <v/>
      </c>
      <c r="AV347" s="51" t="str">
        <f>IF(XT!$P347=0,AT347,"")</f>
        <v/>
      </c>
    </row>
    <row r="348" spans="1:48">
      <c r="A348">
        <f>SUMPRODUCT((MONTH(CHOOSE({1,2,3,4},XT!U348,XT!Y348,XT!AC348,XT!AG348))=1)*(CHOOSE({1,2,3,4},XT!X348,XT!AB348,XT!AF348,XT!AJ348)))</f>
        <v>0</v>
      </c>
      <c r="B348">
        <f>IFERROR(INDEX(CHOOSE({1,2,3,4}, DAY(XT!U348), DAY(XT!Y348), DAY(XT!AC348), DAY(XT!AG348)), MATCH(1, INDEX(--(MONTH(CHOOSE({1,2,3,4}, XT!U348,XT!Y348,XT!AC348,XT!AG348))=1), 0), 0)), "")</f>
        <v>0</v>
      </c>
      <c r="C348" s="51" t="str">
        <f>IF(XT!$P348&gt;0,B348,"")</f>
        <v/>
      </c>
      <c r="D348" s="51">
        <f>IF(XT!$P348=0,B348,"")</f>
        <v>0</v>
      </c>
      <c r="E348">
        <f>SUMPRODUCT((MONTH(CHOOSE({1,2,3,4},XT!U348,XT!Y348,XT!AC348,XT!AG348))=2)*(CHOOSE({1,2,3,4},XT!X348,XT!AB348,XT!AF348,XT!AJ348)))</f>
        <v>0</v>
      </c>
      <c r="F348" t="str">
        <f>IFERROR(INDEX(CHOOSE({1,2,3,4}, DAY(XT!U348), DAY(XT!Y348), DAY(XT!AC348), DAY(XT!AG348)), MATCH(1, INDEX(--(MONTH(CHOOSE({1,2,3,4}, XT!U348,XT!Y348,XT!AC348,XT!AG348))=2), 0), 0)), "")</f>
        <v/>
      </c>
      <c r="G348" s="51" t="str">
        <f>IF(XT!$P348&gt;0,F348,"")</f>
        <v/>
      </c>
      <c r="H348" s="51" t="str">
        <f>IF(XT!$P348=0,F348,"")</f>
        <v/>
      </c>
      <c r="I348">
        <f>SUMPRODUCT((MONTH(CHOOSE({1,2,3,4},XT!U348,XT!Y348,XT!AC348,XT!AG348))=3)*(CHOOSE({1,2,3,4},XT!X348,XT!AB348,XT!AF348,XT!AJ348)))</f>
        <v>0</v>
      </c>
      <c r="J348" t="str">
        <f>IFERROR(INDEX(CHOOSE({1,2,3,4}, DAY(XT!U348), DAY(XT!Y348), DAY(XT!AC348), DAY(XT!AG348)), MATCH(1, INDEX(--(MONTH(CHOOSE({1,2,3,4}, XT!U348,XT!Y348,XT!AC348,XT!AG348))=3), 0), 0)), "")</f>
        <v/>
      </c>
      <c r="K348" s="51" t="str">
        <f>IF(XT!$P348&gt;0,J348,"")</f>
        <v/>
      </c>
      <c r="L348" s="51" t="str">
        <f>IF(XT!$P348=0,J348,"")</f>
        <v/>
      </c>
      <c r="M348">
        <f>SUMPRODUCT((MONTH(CHOOSE({1,2,3,4},XT!U348,XT!Y348,XT!AC348,XT!AG348))=4)*(CHOOSE({1,2,3,4},XT!X348,XT!AB348,XT!AF348,XT!AJ348)))</f>
        <v>0</v>
      </c>
      <c r="N348" t="str">
        <f>IFERROR(INDEX(CHOOSE({1,2,3,4}, DAY(XT!U348), DAY(XT!Y348), DAY(XT!AC348), DAY(XT!AG348)), MATCH(1, INDEX(--(MONTH(CHOOSE({1,2,3,4}, XT!U348,XT!Y348,XT!AC348,XT!AG348))=4), 0), 0)), "")</f>
        <v/>
      </c>
      <c r="O348" s="51" t="str">
        <f>IF(XT!$P348&gt;0,N348,"")</f>
        <v/>
      </c>
      <c r="P348" s="51" t="str">
        <f>IF(XT!$P348=0,N348,"")</f>
        <v/>
      </c>
      <c r="Q348">
        <f>SUMPRODUCT((MONTH(CHOOSE({1,2,3,4},XT!U348,XT!Y348,XT!AC348,XT!AG348))=5)*(CHOOSE({1,2,3,4},XT!X348,XT!AB348,XT!AF348,XT!AJ348)))</f>
        <v>0</v>
      </c>
      <c r="R348" t="str">
        <f>IFERROR(INDEX(CHOOSE({1,2,3,4}, DAY(XT!U348), DAY(XT!Y348), DAY(XT!AC348), DAY(XT!AG348)), MATCH(1, INDEX(--(MONTH(CHOOSE({1,2,3,4}, XT!U348,XT!Y348,XT!AC348,XT!AG348))=5), 0), 0)), "")</f>
        <v/>
      </c>
      <c r="S348" s="51" t="str">
        <f>IF(XT!$P348&gt;0,R348,"")</f>
        <v/>
      </c>
      <c r="T348" s="51" t="str">
        <f>IF(XT!$P348=0,R348,"")</f>
        <v/>
      </c>
      <c r="U348">
        <f>SUMPRODUCT((MONTH(CHOOSE({1,2,3,4},XT!U348,XT!Y348,XT!AC348,XT!AG348))=6)*(CHOOSE({1,2,3,4},XT!X348,XT!AB348,XT!AF348,XT!AJ348)))</f>
        <v>0</v>
      </c>
      <c r="V348" t="str">
        <f>IFERROR(INDEX(CHOOSE({1,2,3,4}, DAY(XT!U348), DAY(XT!Y348), DAY(XT!AC348), DAY(XT!AG348)), MATCH(1, INDEX(--(MONTH(CHOOSE({1,2,3,4}, XT!U348,XT!Y348,XT!AC348,XT!AG348))=6), 0), 0)), "")</f>
        <v/>
      </c>
      <c r="W348" s="51" t="str">
        <f>IF(XT!$P348&gt;0,V348,"")</f>
        <v/>
      </c>
      <c r="X348" s="51" t="str">
        <f>IF(XT!$P348=0,V348,"")</f>
        <v/>
      </c>
      <c r="Y348">
        <f>SUMPRODUCT((MONTH(CHOOSE({1,2,3,4},XT!U348,XT!Y348,XT!AC348,XT!AG348))=7)*(CHOOSE({1,2,3,4},XT!X348,XT!AB348,XT!AF348,XT!AJ348)))</f>
        <v>0</v>
      </c>
      <c r="Z348" t="str">
        <f>IFERROR(INDEX(CHOOSE({1,2,3,4}, DAY(XT!U348), DAY(XT!Y348), DAY(XT!AC348), DAY(XT!AG348)), MATCH(1, INDEX(--(MONTH(CHOOSE({1,2,3,4}, XT!U348,XT!Y348,XT!AC348,XT!AG348))=7), 0), 0)), "")</f>
        <v/>
      </c>
      <c r="AA348" s="51" t="str">
        <f>IF(XT!$P348&gt;0,Z348,"")</f>
        <v/>
      </c>
      <c r="AB348" s="51" t="str">
        <f>IF(XT!$P348=0,Z348,"")</f>
        <v/>
      </c>
      <c r="AC348">
        <f>SUMPRODUCT((MONTH(CHOOSE({1,2,3,4},XT!U348,XT!Y348,XT!AC348,XT!AG348))=8)*(CHOOSE({1,2,3,4},XT!X348,XT!AB348,XT!AF348,XT!AJ348)))</f>
        <v>0</v>
      </c>
      <c r="AD348" t="str">
        <f>IFERROR(INDEX(CHOOSE({1,2,3,4}, DAY(XT!U348), DAY(XT!Y348), DAY(XT!AC348), DAY(XT!AG348)), MATCH(1, INDEX(--(MONTH(CHOOSE({1,2,3,4}, XT!U348,XT!Y348,XT!AC348,XT!AG348))=8), 0), 0)), "")</f>
        <v/>
      </c>
      <c r="AE348" s="51" t="str">
        <f>IF(XT!$P348&gt;0,AD348,"")</f>
        <v/>
      </c>
      <c r="AF348" s="51" t="str">
        <f>IF(XT!$P348=0,AD348,"")</f>
        <v/>
      </c>
      <c r="AG348">
        <f>SUMPRODUCT((MONTH(CHOOSE({1,2,3,4},XT!U348,XT!Y348,XT!AC348,XT!AG348))=9)*(CHOOSE({1,2,3,4},XT!X348,XT!AB348,XT!AF348,XT!AJ348)))</f>
        <v>0</v>
      </c>
      <c r="AH348" t="str">
        <f>IFERROR(INDEX(CHOOSE({1,2,3,4}, DAY(XT!U348), DAY(XT!Y348), DAY(XT!AC348), DAY(XT!AG348)), MATCH(1, INDEX(--(MONTH(CHOOSE({1,2,3,4}, XT!U348,XT!Y348,XT!AC348,XT!AG348))=9), 0), 0)), "")</f>
        <v/>
      </c>
      <c r="AI348" s="51" t="str">
        <f>IF(XT!$P348&gt;0,AH348,"")</f>
        <v/>
      </c>
      <c r="AJ348" s="51" t="str">
        <f>IF(XT!$P348=0,AH348,"")</f>
        <v/>
      </c>
      <c r="AK348">
        <f>SUMPRODUCT((MONTH(CHOOSE({1,2,3,4},XT!U348,XT!Y348,XT!AC348,XT!AG348))=10)*(CHOOSE({1,2,3,4},XT!X348,XT!AB348,XT!AF348,XT!AJ348)))</f>
        <v>0</v>
      </c>
      <c r="AL348" t="str">
        <f>IFERROR(INDEX(CHOOSE({1,2,3,4}, DAY(XT!U348), DAY(XT!Y348), DAY(XT!AC348), DAY(XT!AG348)), MATCH(1, INDEX(--(MONTH(CHOOSE({1,2,3,4}, XT!U348,XT!Y348,XT!AC348,XT!AG348))=10), 0), 0)), "")</f>
        <v/>
      </c>
      <c r="AM348" s="51" t="str">
        <f>IF(XT!$P348&gt;0,AL348,"")</f>
        <v/>
      </c>
      <c r="AN348" s="51" t="str">
        <f>IF(XT!$P348=0,AL348,"")</f>
        <v/>
      </c>
      <c r="AO348">
        <f>SUMPRODUCT((MONTH(CHOOSE({1,2,3,4},XT!U348,XT!Y348,XT!AC348,XT!AG348))=11)*(CHOOSE({1,2,3,4},XT!X348,XT!AB348,XT!AF348,XT!AJ348)))</f>
        <v>0</v>
      </c>
      <c r="AP348" t="str">
        <f>IFERROR(INDEX(CHOOSE({1,2,3,4}, DAY(XT!U348), DAY(XT!Y348), DAY(XT!AC348), DAY(XT!AG348)), MATCH(1, INDEX(--(MONTH(CHOOSE({1,2,3,4}, XT!U348,XT!Y348,XT!AC348,XT!AG348))=11), 0), 0)), "")</f>
        <v/>
      </c>
      <c r="AQ348" s="51" t="str">
        <f>IF(XT!$P348&gt;0,AP348,"")</f>
        <v/>
      </c>
      <c r="AR348" s="51" t="str">
        <f>IF(XT!$P348=0,AP348,"")</f>
        <v/>
      </c>
      <c r="AS348">
        <f>SUMPRODUCT((MONTH(CHOOSE({1,2,3,4},XT!U348,XT!Y348,XT!AC348,XT!AG348))=12)*(CHOOSE({1,2,3,4},XT!X348,XT!AB348,XT!AF348,XT!AJ348)))</f>
        <v>0</v>
      </c>
      <c r="AT348" t="str">
        <f>IFERROR(INDEX(CHOOSE({1,2,3,4}, DAY(XT!U348), DAY(XT!Y348), DAY(XT!AC348), DAY(XT!AG348)), MATCH(1, INDEX(--(MONTH(CHOOSE({1,2,3,4}, XT!U348,XT!Y348,XT!AC348,XT!AG348))=12), 0), 0)), "")</f>
        <v/>
      </c>
      <c r="AU348" s="51" t="str">
        <f>IF(XT!$P348&gt;0,AT348,"")</f>
        <v/>
      </c>
      <c r="AV348" s="51" t="str">
        <f>IF(XT!$P348=0,AT348,"")</f>
        <v/>
      </c>
    </row>
    <row r="349" spans="1:48">
      <c r="A349">
        <f>SUMPRODUCT((MONTH(CHOOSE({1,2,3,4},XT!U349,XT!Y349,XT!AC349,XT!AG349))=1)*(CHOOSE({1,2,3,4},XT!X349,XT!AB349,XT!AF349,XT!AJ349)))</f>
        <v>0</v>
      </c>
      <c r="B349">
        <f>IFERROR(INDEX(CHOOSE({1,2,3,4}, DAY(XT!U349), DAY(XT!Y349), DAY(XT!AC349), DAY(XT!AG349)), MATCH(1, INDEX(--(MONTH(CHOOSE({1,2,3,4}, XT!U349,XT!Y349,XT!AC349,XT!AG349))=1), 0), 0)), "")</f>
        <v>0</v>
      </c>
      <c r="C349" s="51" t="str">
        <f>IF(XT!$P349&gt;0,B349,"")</f>
        <v/>
      </c>
      <c r="D349" s="51">
        <f>IF(XT!$P349=0,B349,"")</f>
        <v>0</v>
      </c>
      <c r="E349">
        <f>SUMPRODUCT((MONTH(CHOOSE({1,2,3,4},XT!U349,XT!Y349,XT!AC349,XT!AG349))=2)*(CHOOSE({1,2,3,4},XT!X349,XT!AB349,XT!AF349,XT!AJ349)))</f>
        <v>0</v>
      </c>
      <c r="F349" t="str">
        <f>IFERROR(INDEX(CHOOSE({1,2,3,4}, DAY(XT!U349), DAY(XT!Y349), DAY(XT!AC349), DAY(XT!AG349)), MATCH(1, INDEX(--(MONTH(CHOOSE({1,2,3,4}, XT!U349,XT!Y349,XT!AC349,XT!AG349))=2), 0), 0)), "")</f>
        <v/>
      </c>
      <c r="G349" s="51" t="str">
        <f>IF(XT!$P349&gt;0,F349,"")</f>
        <v/>
      </c>
      <c r="H349" s="51" t="str">
        <f>IF(XT!$P349=0,F349,"")</f>
        <v/>
      </c>
      <c r="I349">
        <f>SUMPRODUCT((MONTH(CHOOSE({1,2,3,4},XT!U349,XT!Y349,XT!AC349,XT!AG349))=3)*(CHOOSE({1,2,3,4},XT!X349,XT!AB349,XT!AF349,XT!AJ349)))</f>
        <v>0</v>
      </c>
      <c r="J349" t="str">
        <f>IFERROR(INDEX(CHOOSE({1,2,3,4}, DAY(XT!U349), DAY(XT!Y349), DAY(XT!AC349), DAY(XT!AG349)), MATCH(1, INDEX(--(MONTH(CHOOSE({1,2,3,4}, XT!U349,XT!Y349,XT!AC349,XT!AG349))=3), 0), 0)), "")</f>
        <v/>
      </c>
      <c r="K349" s="51" t="str">
        <f>IF(XT!$P349&gt;0,J349,"")</f>
        <v/>
      </c>
      <c r="L349" s="51" t="str">
        <f>IF(XT!$P349=0,J349,"")</f>
        <v/>
      </c>
      <c r="M349">
        <f>SUMPRODUCT((MONTH(CHOOSE({1,2,3,4},XT!U349,XT!Y349,XT!AC349,XT!AG349))=4)*(CHOOSE({1,2,3,4},XT!X349,XT!AB349,XT!AF349,XT!AJ349)))</f>
        <v>0</v>
      </c>
      <c r="N349" t="str">
        <f>IFERROR(INDEX(CHOOSE({1,2,3,4}, DAY(XT!U349), DAY(XT!Y349), DAY(XT!AC349), DAY(XT!AG349)), MATCH(1, INDEX(--(MONTH(CHOOSE({1,2,3,4}, XT!U349,XT!Y349,XT!AC349,XT!AG349))=4), 0), 0)), "")</f>
        <v/>
      </c>
      <c r="O349" s="51" t="str">
        <f>IF(XT!$P349&gt;0,N349,"")</f>
        <v/>
      </c>
      <c r="P349" s="51" t="str">
        <f>IF(XT!$P349=0,N349,"")</f>
        <v/>
      </c>
      <c r="Q349">
        <f>SUMPRODUCT((MONTH(CHOOSE({1,2,3,4},XT!U349,XT!Y349,XT!AC349,XT!AG349))=5)*(CHOOSE({1,2,3,4},XT!X349,XT!AB349,XT!AF349,XT!AJ349)))</f>
        <v>0</v>
      </c>
      <c r="R349" t="str">
        <f>IFERROR(INDEX(CHOOSE({1,2,3,4}, DAY(XT!U349), DAY(XT!Y349), DAY(XT!AC349), DAY(XT!AG349)), MATCH(1, INDEX(--(MONTH(CHOOSE({1,2,3,4}, XT!U349,XT!Y349,XT!AC349,XT!AG349))=5), 0), 0)), "")</f>
        <v/>
      </c>
      <c r="S349" s="51" t="str">
        <f>IF(XT!$P349&gt;0,R349,"")</f>
        <v/>
      </c>
      <c r="T349" s="51" t="str">
        <f>IF(XT!$P349=0,R349,"")</f>
        <v/>
      </c>
      <c r="U349">
        <f>SUMPRODUCT((MONTH(CHOOSE({1,2,3,4},XT!U349,XT!Y349,XT!AC349,XT!AG349))=6)*(CHOOSE({1,2,3,4},XT!X349,XT!AB349,XT!AF349,XT!AJ349)))</f>
        <v>0</v>
      </c>
      <c r="V349" t="str">
        <f>IFERROR(INDEX(CHOOSE({1,2,3,4}, DAY(XT!U349), DAY(XT!Y349), DAY(XT!AC349), DAY(XT!AG349)), MATCH(1, INDEX(--(MONTH(CHOOSE({1,2,3,4}, XT!U349,XT!Y349,XT!AC349,XT!AG349))=6), 0), 0)), "")</f>
        <v/>
      </c>
      <c r="W349" s="51" t="str">
        <f>IF(XT!$P349&gt;0,V349,"")</f>
        <v/>
      </c>
      <c r="X349" s="51" t="str">
        <f>IF(XT!$P349=0,V349,"")</f>
        <v/>
      </c>
      <c r="Y349">
        <f>SUMPRODUCT((MONTH(CHOOSE({1,2,3,4},XT!U349,XT!Y349,XT!AC349,XT!AG349))=7)*(CHOOSE({1,2,3,4},XT!X349,XT!AB349,XT!AF349,XT!AJ349)))</f>
        <v>0</v>
      </c>
      <c r="Z349" t="str">
        <f>IFERROR(INDEX(CHOOSE({1,2,3,4}, DAY(XT!U349), DAY(XT!Y349), DAY(XT!AC349), DAY(XT!AG349)), MATCH(1, INDEX(--(MONTH(CHOOSE({1,2,3,4}, XT!U349,XT!Y349,XT!AC349,XT!AG349))=7), 0), 0)), "")</f>
        <v/>
      </c>
      <c r="AA349" s="51" t="str">
        <f>IF(XT!$P349&gt;0,Z349,"")</f>
        <v/>
      </c>
      <c r="AB349" s="51" t="str">
        <f>IF(XT!$P349=0,Z349,"")</f>
        <v/>
      </c>
      <c r="AC349">
        <f>SUMPRODUCT((MONTH(CHOOSE({1,2,3,4},XT!U349,XT!Y349,XT!AC349,XT!AG349))=8)*(CHOOSE({1,2,3,4},XT!X349,XT!AB349,XT!AF349,XT!AJ349)))</f>
        <v>0</v>
      </c>
      <c r="AD349" t="str">
        <f>IFERROR(INDEX(CHOOSE({1,2,3,4}, DAY(XT!U349), DAY(XT!Y349), DAY(XT!AC349), DAY(XT!AG349)), MATCH(1, INDEX(--(MONTH(CHOOSE({1,2,3,4}, XT!U349,XT!Y349,XT!AC349,XT!AG349))=8), 0), 0)), "")</f>
        <v/>
      </c>
      <c r="AE349" s="51" t="str">
        <f>IF(XT!$P349&gt;0,AD349,"")</f>
        <v/>
      </c>
      <c r="AF349" s="51" t="str">
        <f>IF(XT!$P349=0,AD349,"")</f>
        <v/>
      </c>
      <c r="AG349">
        <f>SUMPRODUCT((MONTH(CHOOSE({1,2,3,4},XT!U349,XT!Y349,XT!AC349,XT!AG349))=9)*(CHOOSE({1,2,3,4},XT!X349,XT!AB349,XT!AF349,XT!AJ349)))</f>
        <v>0</v>
      </c>
      <c r="AH349" t="str">
        <f>IFERROR(INDEX(CHOOSE({1,2,3,4}, DAY(XT!U349), DAY(XT!Y349), DAY(XT!AC349), DAY(XT!AG349)), MATCH(1, INDEX(--(MONTH(CHOOSE({1,2,3,4}, XT!U349,XT!Y349,XT!AC349,XT!AG349))=9), 0), 0)), "")</f>
        <v/>
      </c>
      <c r="AI349" s="51" t="str">
        <f>IF(XT!$P349&gt;0,AH349,"")</f>
        <v/>
      </c>
      <c r="AJ349" s="51" t="str">
        <f>IF(XT!$P349=0,AH349,"")</f>
        <v/>
      </c>
      <c r="AK349">
        <f>SUMPRODUCT((MONTH(CHOOSE({1,2,3,4},XT!U349,XT!Y349,XT!AC349,XT!AG349))=10)*(CHOOSE({1,2,3,4},XT!X349,XT!AB349,XT!AF349,XT!AJ349)))</f>
        <v>0</v>
      </c>
      <c r="AL349" t="str">
        <f>IFERROR(INDEX(CHOOSE({1,2,3,4}, DAY(XT!U349), DAY(XT!Y349), DAY(XT!AC349), DAY(XT!AG349)), MATCH(1, INDEX(--(MONTH(CHOOSE({1,2,3,4}, XT!U349,XT!Y349,XT!AC349,XT!AG349))=10), 0), 0)), "")</f>
        <v/>
      </c>
      <c r="AM349" s="51" t="str">
        <f>IF(XT!$P349&gt;0,AL349,"")</f>
        <v/>
      </c>
      <c r="AN349" s="51" t="str">
        <f>IF(XT!$P349=0,AL349,"")</f>
        <v/>
      </c>
      <c r="AO349">
        <f>SUMPRODUCT((MONTH(CHOOSE({1,2,3,4},XT!U349,XT!Y349,XT!AC349,XT!AG349))=11)*(CHOOSE({1,2,3,4},XT!X349,XT!AB349,XT!AF349,XT!AJ349)))</f>
        <v>0</v>
      </c>
      <c r="AP349" t="str">
        <f>IFERROR(INDEX(CHOOSE({1,2,3,4}, DAY(XT!U349), DAY(XT!Y349), DAY(XT!AC349), DAY(XT!AG349)), MATCH(1, INDEX(--(MONTH(CHOOSE({1,2,3,4}, XT!U349,XT!Y349,XT!AC349,XT!AG349))=11), 0), 0)), "")</f>
        <v/>
      </c>
      <c r="AQ349" s="51" t="str">
        <f>IF(XT!$P349&gt;0,AP349,"")</f>
        <v/>
      </c>
      <c r="AR349" s="51" t="str">
        <f>IF(XT!$P349=0,AP349,"")</f>
        <v/>
      </c>
      <c r="AS349">
        <f>SUMPRODUCT((MONTH(CHOOSE({1,2,3,4},XT!U349,XT!Y349,XT!AC349,XT!AG349))=12)*(CHOOSE({1,2,3,4},XT!X349,XT!AB349,XT!AF349,XT!AJ349)))</f>
        <v>0</v>
      </c>
      <c r="AT349" t="str">
        <f>IFERROR(INDEX(CHOOSE({1,2,3,4}, DAY(XT!U349), DAY(XT!Y349), DAY(XT!AC349), DAY(XT!AG349)), MATCH(1, INDEX(--(MONTH(CHOOSE({1,2,3,4}, XT!U349,XT!Y349,XT!AC349,XT!AG349))=12), 0), 0)), "")</f>
        <v/>
      </c>
      <c r="AU349" s="51" t="str">
        <f>IF(XT!$P349&gt;0,AT349,"")</f>
        <v/>
      </c>
      <c r="AV349" s="51" t="str">
        <f>IF(XT!$P349=0,AT349,"")</f>
        <v/>
      </c>
    </row>
    <row r="350" spans="1:48">
      <c r="A350">
        <f>SUMPRODUCT((MONTH(CHOOSE({1,2,3,4},XT!U350,XT!Y350,XT!AC350,XT!AG350))=1)*(CHOOSE({1,2,3,4},XT!X350,XT!AB350,XT!AF350,XT!AJ350)))</f>
        <v>0</v>
      </c>
      <c r="B350">
        <f>IFERROR(INDEX(CHOOSE({1,2,3,4}, DAY(XT!U350), DAY(XT!Y350), DAY(XT!AC350), DAY(XT!AG350)), MATCH(1, INDEX(--(MONTH(CHOOSE({1,2,3,4}, XT!U350,XT!Y350,XT!AC350,XT!AG350))=1), 0), 0)), "")</f>
        <v>0</v>
      </c>
      <c r="C350" s="51" t="str">
        <f>IF(XT!$P350&gt;0,B350,"")</f>
        <v/>
      </c>
      <c r="D350" s="51">
        <f>IF(XT!$P350=0,B350,"")</f>
        <v>0</v>
      </c>
      <c r="E350">
        <f>SUMPRODUCT((MONTH(CHOOSE({1,2,3,4},XT!U350,XT!Y350,XT!AC350,XT!AG350))=2)*(CHOOSE({1,2,3,4},XT!X350,XT!AB350,XT!AF350,XT!AJ350)))</f>
        <v>0</v>
      </c>
      <c r="F350" t="str">
        <f>IFERROR(INDEX(CHOOSE({1,2,3,4}, DAY(XT!U350), DAY(XT!Y350), DAY(XT!AC350), DAY(XT!AG350)), MATCH(1, INDEX(--(MONTH(CHOOSE({1,2,3,4}, XT!U350,XT!Y350,XT!AC350,XT!AG350))=2), 0), 0)), "")</f>
        <v/>
      </c>
      <c r="G350" s="51" t="str">
        <f>IF(XT!$P350&gt;0,F350,"")</f>
        <v/>
      </c>
      <c r="H350" s="51" t="str">
        <f>IF(XT!$P350=0,F350,"")</f>
        <v/>
      </c>
      <c r="I350">
        <f>SUMPRODUCT((MONTH(CHOOSE({1,2,3,4},XT!U350,XT!Y350,XT!AC350,XT!AG350))=3)*(CHOOSE({1,2,3,4},XT!X350,XT!AB350,XT!AF350,XT!AJ350)))</f>
        <v>0</v>
      </c>
      <c r="J350" t="str">
        <f>IFERROR(INDEX(CHOOSE({1,2,3,4}, DAY(XT!U350), DAY(XT!Y350), DAY(XT!AC350), DAY(XT!AG350)), MATCH(1, INDEX(--(MONTH(CHOOSE({1,2,3,4}, XT!U350,XT!Y350,XT!AC350,XT!AG350))=3), 0), 0)), "")</f>
        <v/>
      </c>
      <c r="K350" s="51" t="str">
        <f>IF(XT!$P350&gt;0,J350,"")</f>
        <v/>
      </c>
      <c r="L350" s="51" t="str">
        <f>IF(XT!$P350=0,J350,"")</f>
        <v/>
      </c>
      <c r="M350">
        <f>SUMPRODUCT((MONTH(CHOOSE({1,2,3,4},XT!U350,XT!Y350,XT!AC350,XT!AG350))=4)*(CHOOSE({1,2,3,4},XT!X350,XT!AB350,XT!AF350,XT!AJ350)))</f>
        <v>0</v>
      </c>
      <c r="N350" t="str">
        <f>IFERROR(INDEX(CHOOSE({1,2,3,4}, DAY(XT!U350), DAY(XT!Y350), DAY(XT!AC350), DAY(XT!AG350)), MATCH(1, INDEX(--(MONTH(CHOOSE({1,2,3,4}, XT!U350,XT!Y350,XT!AC350,XT!AG350))=4), 0), 0)), "")</f>
        <v/>
      </c>
      <c r="O350" s="51" t="str">
        <f>IF(XT!$P350&gt;0,N350,"")</f>
        <v/>
      </c>
      <c r="P350" s="51" t="str">
        <f>IF(XT!$P350=0,N350,"")</f>
        <v/>
      </c>
      <c r="Q350">
        <f>SUMPRODUCT((MONTH(CHOOSE({1,2,3,4},XT!U350,XT!Y350,XT!AC350,XT!AG350))=5)*(CHOOSE({1,2,3,4},XT!X350,XT!AB350,XT!AF350,XT!AJ350)))</f>
        <v>0</v>
      </c>
      <c r="R350" t="str">
        <f>IFERROR(INDEX(CHOOSE({1,2,3,4}, DAY(XT!U350), DAY(XT!Y350), DAY(XT!AC350), DAY(XT!AG350)), MATCH(1, INDEX(--(MONTH(CHOOSE({1,2,3,4}, XT!U350,XT!Y350,XT!AC350,XT!AG350))=5), 0), 0)), "")</f>
        <v/>
      </c>
      <c r="S350" s="51" t="str">
        <f>IF(XT!$P350&gt;0,R350,"")</f>
        <v/>
      </c>
      <c r="T350" s="51" t="str">
        <f>IF(XT!$P350=0,R350,"")</f>
        <v/>
      </c>
      <c r="U350">
        <f>SUMPRODUCT((MONTH(CHOOSE({1,2,3,4},XT!U350,XT!Y350,XT!AC350,XT!AG350))=6)*(CHOOSE({1,2,3,4},XT!X350,XT!AB350,XT!AF350,XT!AJ350)))</f>
        <v>0</v>
      </c>
      <c r="V350" t="str">
        <f>IFERROR(INDEX(CHOOSE({1,2,3,4}, DAY(XT!U350), DAY(XT!Y350), DAY(XT!AC350), DAY(XT!AG350)), MATCH(1, INDEX(--(MONTH(CHOOSE({1,2,3,4}, XT!U350,XT!Y350,XT!AC350,XT!AG350))=6), 0), 0)), "")</f>
        <v/>
      </c>
      <c r="W350" s="51" t="str">
        <f>IF(XT!$P350&gt;0,V350,"")</f>
        <v/>
      </c>
      <c r="X350" s="51" t="str">
        <f>IF(XT!$P350=0,V350,"")</f>
        <v/>
      </c>
      <c r="Y350">
        <f>SUMPRODUCT((MONTH(CHOOSE({1,2,3,4},XT!U350,XT!Y350,XT!AC350,XT!AG350))=7)*(CHOOSE({1,2,3,4},XT!X350,XT!AB350,XT!AF350,XT!AJ350)))</f>
        <v>0</v>
      </c>
      <c r="Z350" t="str">
        <f>IFERROR(INDEX(CHOOSE({1,2,3,4}, DAY(XT!U350), DAY(XT!Y350), DAY(XT!AC350), DAY(XT!AG350)), MATCH(1, INDEX(--(MONTH(CHOOSE({1,2,3,4}, XT!U350,XT!Y350,XT!AC350,XT!AG350))=7), 0), 0)), "")</f>
        <v/>
      </c>
      <c r="AA350" s="51" t="str">
        <f>IF(XT!$P350&gt;0,Z350,"")</f>
        <v/>
      </c>
      <c r="AB350" s="51" t="str">
        <f>IF(XT!$P350=0,Z350,"")</f>
        <v/>
      </c>
      <c r="AC350">
        <f>SUMPRODUCT((MONTH(CHOOSE({1,2,3,4},XT!U350,XT!Y350,XT!AC350,XT!AG350))=8)*(CHOOSE({1,2,3,4},XT!X350,XT!AB350,XT!AF350,XT!AJ350)))</f>
        <v>0</v>
      </c>
      <c r="AD350" t="str">
        <f>IFERROR(INDEX(CHOOSE({1,2,3,4}, DAY(XT!U350), DAY(XT!Y350), DAY(XT!AC350), DAY(XT!AG350)), MATCH(1, INDEX(--(MONTH(CHOOSE({1,2,3,4}, XT!U350,XT!Y350,XT!AC350,XT!AG350))=8), 0), 0)), "")</f>
        <v/>
      </c>
      <c r="AE350" s="51" t="str">
        <f>IF(XT!$P350&gt;0,AD350,"")</f>
        <v/>
      </c>
      <c r="AF350" s="51" t="str">
        <f>IF(XT!$P350=0,AD350,"")</f>
        <v/>
      </c>
      <c r="AG350">
        <f>SUMPRODUCT((MONTH(CHOOSE({1,2,3,4},XT!U350,XT!Y350,XT!AC350,XT!AG350))=9)*(CHOOSE({1,2,3,4},XT!X350,XT!AB350,XT!AF350,XT!AJ350)))</f>
        <v>0</v>
      </c>
      <c r="AH350" t="str">
        <f>IFERROR(INDEX(CHOOSE({1,2,3,4}, DAY(XT!U350), DAY(XT!Y350), DAY(XT!AC350), DAY(XT!AG350)), MATCH(1, INDEX(--(MONTH(CHOOSE({1,2,3,4}, XT!U350,XT!Y350,XT!AC350,XT!AG350))=9), 0), 0)), "")</f>
        <v/>
      </c>
      <c r="AI350" s="51" t="str">
        <f>IF(XT!$P350&gt;0,AH350,"")</f>
        <v/>
      </c>
      <c r="AJ350" s="51" t="str">
        <f>IF(XT!$P350=0,AH350,"")</f>
        <v/>
      </c>
      <c r="AK350">
        <f>SUMPRODUCT((MONTH(CHOOSE({1,2,3,4},XT!U350,XT!Y350,XT!AC350,XT!AG350))=10)*(CHOOSE({1,2,3,4},XT!X350,XT!AB350,XT!AF350,XT!AJ350)))</f>
        <v>0</v>
      </c>
      <c r="AL350" t="str">
        <f>IFERROR(INDEX(CHOOSE({1,2,3,4}, DAY(XT!U350), DAY(XT!Y350), DAY(XT!AC350), DAY(XT!AG350)), MATCH(1, INDEX(--(MONTH(CHOOSE({1,2,3,4}, XT!U350,XT!Y350,XT!AC350,XT!AG350))=10), 0), 0)), "")</f>
        <v/>
      </c>
      <c r="AM350" s="51" t="str">
        <f>IF(XT!$P350&gt;0,AL350,"")</f>
        <v/>
      </c>
      <c r="AN350" s="51" t="str">
        <f>IF(XT!$P350=0,AL350,"")</f>
        <v/>
      </c>
      <c r="AO350">
        <f>SUMPRODUCT((MONTH(CHOOSE({1,2,3,4},XT!U350,XT!Y350,XT!AC350,XT!AG350))=11)*(CHOOSE({1,2,3,4},XT!X350,XT!AB350,XT!AF350,XT!AJ350)))</f>
        <v>0</v>
      </c>
      <c r="AP350" t="str">
        <f>IFERROR(INDEX(CHOOSE({1,2,3,4}, DAY(XT!U350), DAY(XT!Y350), DAY(XT!AC350), DAY(XT!AG350)), MATCH(1, INDEX(--(MONTH(CHOOSE({1,2,3,4}, XT!U350,XT!Y350,XT!AC350,XT!AG350))=11), 0), 0)), "")</f>
        <v/>
      </c>
      <c r="AQ350" s="51" t="str">
        <f>IF(XT!$P350&gt;0,AP350,"")</f>
        <v/>
      </c>
      <c r="AR350" s="51" t="str">
        <f>IF(XT!$P350=0,AP350,"")</f>
        <v/>
      </c>
      <c r="AS350">
        <f>SUMPRODUCT((MONTH(CHOOSE({1,2,3,4},XT!U350,XT!Y350,XT!AC350,XT!AG350))=12)*(CHOOSE({1,2,3,4},XT!X350,XT!AB350,XT!AF350,XT!AJ350)))</f>
        <v>0</v>
      </c>
      <c r="AT350" t="str">
        <f>IFERROR(INDEX(CHOOSE({1,2,3,4}, DAY(XT!U350), DAY(XT!Y350), DAY(XT!AC350), DAY(XT!AG350)), MATCH(1, INDEX(--(MONTH(CHOOSE({1,2,3,4}, XT!U350,XT!Y350,XT!AC350,XT!AG350))=12), 0), 0)), "")</f>
        <v/>
      </c>
      <c r="AU350" s="51" t="str">
        <f>IF(XT!$P350&gt;0,AT350,"")</f>
        <v/>
      </c>
      <c r="AV350" s="51" t="str">
        <f>IF(XT!$P350=0,AT350,"")</f>
        <v/>
      </c>
    </row>
    <row r="351" spans="1:48">
      <c r="A351">
        <f>SUMPRODUCT((MONTH(CHOOSE({1,2,3,4},XT!U351,XT!Y351,XT!AC351,XT!AG351))=1)*(CHOOSE({1,2,3,4},XT!X351,XT!AB351,XT!AF351,XT!AJ351)))</f>
        <v>0</v>
      </c>
      <c r="B351">
        <f>IFERROR(INDEX(CHOOSE({1,2,3,4}, DAY(XT!U351), DAY(XT!Y351), DAY(XT!AC351), DAY(XT!AG351)), MATCH(1, INDEX(--(MONTH(CHOOSE({1,2,3,4}, XT!U351,XT!Y351,XT!AC351,XT!AG351))=1), 0), 0)), "")</f>
        <v>0</v>
      </c>
      <c r="C351" s="51" t="str">
        <f>IF(XT!$P351&gt;0,B351,"")</f>
        <v/>
      </c>
      <c r="D351" s="51">
        <f>IF(XT!$P351=0,B351,"")</f>
        <v>0</v>
      </c>
      <c r="E351">
        <f>SUMPRODUCT((MONTH(CHOOSE({1,2,3,4},XT!U351,XT!Y351,XT!AC351,XT!AG351))=2)*(CHOOSE({1,2,3,4},XT!X351,XT!AB351,XT!AF351,XT!AJ351)))</f>
        <v>0</v>
      </c>
      <c r="F351" t="str">
        <f>IFERROR(INDEX(CHOOSE({1,2,3,4}, DAY(XT!U351), DAY(XT!Y351), DAY(XT!AC351), DAY(XT!AG351)), MATCH(1, INDEX(--(MONTH(CHOOSE({1,2,3,4}, XT!U351,XT!Y351,XT!AC351,XT!AG351))=2), 0), 0)), "")</f>
        <v/>
      </c>
      <c r="G351" s="51" t="str">
        <f>IF(XT!$P351&gt;0,F351,"")</f>
        <v/>
      </c>
      <c r="H351" s="51" t="str">
        <f>IF(XT!$P351=0,F351,"")</f>
        <v/>
      </c>
      <c r="I351">
        <f>SUMPRODUCT((MONTH(CHOOSE({1,2,3,4},XT!U351,XT!Y351,XT!AC351,XT!AG351))=3)*(CHOOSE({1,2,3,4},XT!X351,XT!AB351,XT!AF351,XT!AJ351)))</f>
        <v>0</v>
      </c>
      <c r="J351" t="str">
        <f>IFERROR(INDEX(CHOOSE({1,2,3,4}, DAY(XT!U351), DAY(XT!Y351), DAY(XT!AC351), DAY(XT!AG351)), MATCH(1, INDEX(--(MONTH(CHOOSE({1,2,3,4}, XT!U351,XT!Y351,XT!AC351,XT!AG351))=3), 0), 0)), "")</f>
        <v/>
      </c>
      <c r="K351" s="51" t="str">
        <f>IF(XT!$P351&gt;0,J351,"")</f>
        <v/>
      </c>
      <c r="L351" s="51" t="str">
        <f>IF(XT!$P351=0,J351,"")</f>
        <v/>
      </c>
      <c r="M351">
        <f>SUMPRODUCT((MONTH(CHOOSE({1,2,3,4},XT!U351,XT!Y351,XT!AC351,XT!AG351))=4)*(CHOOSE({1,2,3,4},XT!X351,XT!AB351,XT!AF351,XT!AJ351)))</f>
        <v>0</v>
      </c>
      <c r="N351" t="str">
        <f>IFERROR(INDEX(CHOOSE({1,2,3,4}, DAY(XT!U351), DAY(XT!Y351), DAY(XT!AC351), DAY(XT!AG351)), MATCH(1, INDEX(--(MONTH(CHOOSE({1,2,3,4}, XT!U351,XT!Y351,XT!AC351,XT!AG351))=4), 0), 0)), "")</f>
        <v/>
      </c>
      <c r="O351" s="51" t="str">
        <f>IF(XT!$P351&gt;0,N351,"")</f>
        <v/>
      </c>
      <c r="P351" s="51" t="str">
        <f>IF(XT!$P351=0,N351,"")</f>
        <v/>
      </c>
      <c r="Q351">
        <f>SUMPRODUCT((MONTH(CHOOSE({1,2,3,4},XT!U351,XT!Y351,XT!AC351,XT!AG351))=5)*(CHOOSE({1,2,3,4},XT!X351,XT!AB351,XT!AF351,XT!AJ351)))</f>
        <v>0</v>
      </c>
      <c r="R351" t="str">
        <f>IFERROR(INDEX(CHOOSE({1,2,3,4}, DAY(XT!U351), DAY(XT!Y351), DAY(XT!AC351), DAY(XT!AG351)), MATCH(1, INDEX(--(MONTH(CHOOSE({1,2,3,4}, XT!U351,XT!Y351,XT!AC351,XT!AG351))=5), 0), 0)), "")</f>
        <v/>
      </c>
      <c r="S351" s="51" t="str">
        <f>IF(XT!$P351&gt;0,R351,"")</f>
        <v/>
      </c>
      <c r="T351" s="51" t="str">
        <f>IF(XT!$P351=0,R351,"")</f>
        <v/>
      </c>
      <c r="U351">
        <f>SUMPRODUCT((MONTH(CHOOSE({1,2,3,4},XT!U351,XT!Y351,XT!AC351,XT!AG351))=6)*(CHOOSE({1,2,3,4},XT!X351,XT!AB351,XT!AF351,XT!AJ351)))</f>
        <v>0</v>
      </c>
      <c r="V351" t="str">
        <f>IFERROR(INDEX(CHOOSE({1,2,3,4}, DAY(XT!U351), DAY(XT!Y351), DAY(XT!AC351), DAY(XT!AG351)), MATCH(1, INDEX(--(MONTH(CHOOSE({1,2,3,4}, XT!U351,XT!Y351,XT!AC351,XT!AG351))=6), 0), 0)), "")</f>
        <v/>
      </c>
      <c r="W351" s="51" t="str">
        <f>IF(XT!$P351&gt;0,V351,"")</f>
        <v/>
      </c>
      <c r="X351" s="51" t="str">
        <f>IF(XT!$P351=0,V351,"")</f>
        <v/>
      </c>
      <c r="Y351">
        <f>SUMPRODUCT((MONTH(CHOOSE({1,2,3,4},XT!U351,XT!Y351,XT!AC351,XT!AG351))=7)*(CHOOSE({1,2,3,4},XT!X351,XT!AB351,XT!AF351,XT!AJ351)))</f>
        <v>0</v>
      </c>
      <c r="Z351" t="str">
        <f>IFERROR(INDEX(CHOOSE({1,2,3,4}, DAY(XT!U351), DAY(XT!Y351), DAY(XT!AC351), DAY(XT!AG351)), MATCH(1, INDEX(--(MONTH(CHOOSE({1,2,3,4}, XT!U351,XT!Y351,XT!AC351,XT!AG351))=7), 0), 0)), "")</f>
        <v/>
      </c>
      <c r="AA351" s="51" t="str">
        <f>IF(XT!$P351&gt;0,Z351,"")</f>
        <v/>
      </c>
      <c r="AB351" s="51" t="str">
        <f>IF(XT!$P351=0,Z351,"")</f>
        <v/>
      </c>
      <c r="AC351">
        <f>SUMPRODUCT((MONTH(CHOOSE({1,2,3,4},XT!U351,XT!Y351,XT!AC351,XT!AG351))=8)*(CHOOSE({1,2,3,4},XT!X351,XT!AB351,XT!AF351,XT!AJ351)))</f>
        <v>0</v>
      </c>
      <c r="AD351" t="str">
        <f>IFERROR(INDEX(CHOOSE({1,2,3,4}, DAY(XT!U351), DAY(XT!Y351), DAY(XT!AC351), DAY(XT!AG351)), MATCH(1, INDEX(--(MONTH(CHOOSE({1,2,3,4}, XT!U351,XT!Y351,XT!AC351,XT!AG351))=8), 0), 0)), "")</f>
        <v/>
      </c>
      <c r="AE351" s="51" t="str">
        <f>IF(XT!$P351&gt;0,AD351,"")</f>
        <v/>
      </c>
      <c r="AF351" s="51" t="str">
        <f>IF(XT!$P351=0,AD351,"")</f>
        <v/>
      </c>
      <c r="AG351">
        <f>SUMPRODUCT((MONTH(CHOOSE({1,2,3,4},XT!U351,XT!Y351,XT!AC351,XT!AG351))=9)*(CHOOSE({1,2,3,4},XT!X351,XT!AB351,XT!AF351,XT!AJ351)))</f>
        <v>0</v>
      </c>
      <c r="AH351" t="str">
        <f>IFERROR(INDEX(CHOOSE({1,2,3,4}, DAY(XT!U351), DAY(XT!Y351), DAY(XT!AC351), DAY(XT!AG351)), MATCH(1, INDEX(--(MONTH(CHOOSE({1,2,3,4}, XT!U351,XT!Y351,XT!AC351,XT!AG351))=9), 0), 0)), "")</f>
        <v/>
      </c>
      <c r="AI351" s="51" t="str">
        <f>IF(XT!$P351&gt;0,AH351,"")</f>
        <v/>
      </c>
      <c r="AJ351" s="51" t="str">
        <f>IF(XT!$P351=0,AH351,"")</f>
        <v/>
      </c>
      <c r="AK351">
        <f>SUMPRODUCT((MONTH(CHOOSE({1,2,3,4},XT!U351,XT!Y351,XT!AC351,XT!AG351))=10)*(CHOOSE({1,2,3,4},XT!X351,XT!AB351,XT!AF351,XT!AJ351)))</f>
        <v>0</v>
      </c>
      <c r="AL351" t="str">
        <f>IFERROR(INDEX(CHOOSE({1,2,3,4}, DAY(XT!U351), DAY(XT!Y351), DAY(XT!AC351), DAY(XT!AG351)), MATCH(1, INDEX(--(MONTH(CHOOSE({1,2,3,4}, XT!U351,XT!Y351,XT!AC351,XT!AG351))=10), 0), 0)), "")</f>
        <v/>
      </c>
      <c r="AM351" s="51" t="str">
        <f>IF(XT!$P351&gt;0,AL351,"")</f>
        <v/>
      </c>
      <c r="AN351" s="51" t="str">
        <f>IF(XT!$P351=0,AL351,"")</f>
        <v/>
      </c>
      <c r="AO351">
        <f>SUMPRODUCT((MONTH(CHOOSE({1,2,3,4},XT!U351,XT!Y351,XT!AC351,XT!AG351))=11)*(CHOOSE({1,2,3,4},XT!X351,XT!AB351,XT!AF351,XT!AJ351)))</f>
        <v>0</v>
      </c>
      <c r="AP351" t="str">
        <f>IFERROR(INDEX(CHOOSE({1,2,3,4}, DAY(XT!U351), DAY(XT!Y351), DAY(XT!AC351), DAY(XT!AG351)), MATCH(1, INDEX(--(MONTH(CHOOSE({1,2,3,4}, XT!U351,XT!Y351,XT!AC351,XT!AG351))=11), 0), 0)), "")</f>
        <v/>
      </c>
      <c r="AQ351" s="51" t="str">
        <f>IF(XT!$P351&gt;0,AP351,"")</f>
        <v/>
      </c>
      <c r="AR351" s="51" t="str">
        <f>IF(XT!$P351=0,AP351,"")</f>
        <v/>
      </c>
      <c r="AS351">
        <f>SUMPRODUCT((MONTH(CHOOSE({1,2,3,4},XT!U351,XT!Y351,XT!AC351,XT!AG351))=12)*(CHOOSE({1,2,3,4},XT!X351,XT!AB351,XT!AF351,XT!AJ351)))</f>
        <v>0</v>
      </c>
      <c r="AT351" t="str">
        <f>IFERROR(INDEX(CHOOSE({1,2,3,4}, DAY(XT!U351), DAY(XT!Y351), DAY(XT!AC351), DAY(XT!AG351)), MATCH(1, INDEX(--(MONTH(CHOOSE({1,2,3,4}, XT!U351,XT!Y351,XT!AC351,XT!AG351))=12), 0), 0)), "")</f>
        <v/>
      </c>
      <c r="AU351" s="51" t="str">
        <f>IF(XT!$P351&gt;0,AT351,"")</f>
        <v/>
      </c>
      <c r="AV351" s="51" t="str">
        <f>IF(XT!$P351=0,AT351,"")</f>
        <v/>
      </c>
    </row>
    <row r="352" spans="1:48">
      <c r="A352">
        <f>SUMPRODUCT((MONTH(CHOOSE({1,2,3,4},XT!U352,XT!Y352,XT!AC352,XT!AG352))=1)*(CHOOSE({1,2,3,4},XT!X352,XT!AB352,XT!AF352,XT!AJ352)))</f>
        <v>0</v>
      </c>
      <c r="B352">
        <f>IFERROR(INDEX(CHOOSE({1,2,3,4}, DAY(XT!U352), DAY(XT!Y352), DAY(XT!AC352), DAY(XT!AG352)), MATCH(1, INDEX(--(MONTH(CHOOSE({1,2,3,4}, XT!U352,XT!Y352,XT!AC352,XT!AG352))=1), 0), 0)), "")</f>
        <v>0</v>
      </c>
      <c r="C352" s="51" t="str">
        <f>IF(XT!$P352&gt;0,B352,"")</f>
        <v/>
      </c>
      <c r="D352" s="51">
        <f>IF(XT!$P352=0,B352,"")</f>
        <v>0</v>
      </c>
      <c r="E352">
        <f>SUMPRODUCT((MONTH(CHOOSE({1,2,3,4},XT!U352,XT!Y352,XT!AC352,XT!AG352))=2)*(CHOOSE({1,2,3,4},XT!X352,XT!AB352,XT!AF352,XT!AJ352)))</f>
        <v>0</v>
      </c>
      <c r="F352" t="str">
        <f>IFERROR(INDEX(CHOOSE({1,2,3,4}, DAY(XT!U352), DAY(XT!Y352), DAY(XT!AC352), DAY(XT!AG352)), MATCH(1, INDEX(--(MONTH(CHOOSE({1,2,3,4}, XT!U352,XT!Y352,XT!AC352,XT!AG352))=2), 0), 0)), "")</f>
        <v/>
      </c>
      <c r="G352" s="51" t="str">
        <f>IF(XT!$P352&gt;0,F352,"")</f>
        <v/>
      </c>
      <c r="H352" s="51" t="str">
        <f>IF(XT!$P352=0,F352,"")</f>
        <v/>
      </c>
      <c r="I352">
        <f>SUMPRODUCT((MONTH(CHOOSE({1,2,3,4},XT!U352,XT!Y352,XT!AC352,XT!AG352))=3)*(CHOOSE({1,2,3,4},XT!X352,XT!AB352,XT!AF352,XT!AJ352)))</f>
        <v>0</v>
      </c>
      <c r="J352" t="str">
        <f>IFERROR(INDEX(CHOOSE({1,2,3,4}, DAY(XT!U352), DAY(XT!Y352), DAY(XT!AC352), DAY(XT!AG352)), MATCH(1, INDEX(--(MONTH(CHOOSE({1,2,3,4}, XT!U352,XT!Y352,XT!AC352,XT!AG352))=3), 0), 0)), "")</f>
        <v/>
      </c>
      <c r="K352" s="51" t="str">
        <f>IF(XT!$P352&gt;0,J352,"")</f>
        <v/>
      </c>
      <c r="L352" s="51" t="str">
        <f>IF(XT!$P352=0,J352,"")</f>
        <v/>
      </c>
      <c r="M352">
        <f>SUMPRODUCT((MONTH(CHOOSE({1,2,3,4},XT!U352,XT!Y352,XT!AC352,XT!AG352))=4)*(CHOOSE({1,2,3,4},XT!X352,XT!AB352,XT!AF352,XT!AJ352)))</f>
        <v>0</v>
      </c>
      <c r="N352" t="str">
        <f>IFERROR(INDEX(CHOOSE({1,2,3,4}, DAY(XT!U352), DAY(XT!Y352), DAY(XT!AC352), DAY(XT!AG352)), MATCH(1, INDEX(--(MONTH(CHOOSE({1,2,3,4}, XT!U352,XT!Y352,XT!AC352,XT!AG352))=4), 0), 0)), "")</f>
        <v/>
      </c>
      <c r="O352" s="51" t="str">
        <f>IF(XT!$P352&gt;0,N352,"")</f>
        <v/>
      </c>
      <c r="P352" s="51" t="str">
        <f>IF(XT!$P352=0,N352,"")</f>
        <v/>
      </c>
      <c r="Q352">
        <f>SUMPRODUCT((MONTH(CHOOSE({1,2,3,4},XT!U352,XT!Y352,XT!AC352,XT!AG352))=5)*(CHOOSE({1,2,3,4},XT!X352,XT!AB352,XT!AF352,XT!AJ352)))</f>
        <v>0</v>
      </c>
      <c r="R352" t="str">
        <f>IFERROR(INDEX(CHOOSE({1,2,3,4}, DAY(XT!U352), DAY(XT!Y352), DAY(XT!AC352), DAY(XT!AG352)), MATCH(1, INDEX(--(MONTH(CHOOSE({1,2,3,4}, XT!U352,XT!Y352,XT!AC352,XT!AG352))=5), 0), 0)), "")</f>
        <v/>
      </c>
      <c r="S352" s="51" t="str">
        <f>IF(XT!$P352&gt;0,R352,"")</f>
        <v/>
      </c>
      <c r="T352" s="51" t="str">
        <f>IF(XT!$P352=0,R352,"")</f>
        <v/>
      </c>
      <c r="U352">
        <f>SUMPRODUCT((MONTH(CHOOSE({1,2,3,4},XT!U352,XT!Y352,XT!AC352,XT!AG352))=6)*(CHOOSE({1,2,3,4},XT!X352,XT!AB352,XT!AF352,XT!AJ352)))</f>
        <v>0</v>
      </c>
      <c r="V352" t="str">
        <f>IFERROR(INDEX(CHOOSE({1,2,3,4}, DAY(XT!U352), DAY(XT!Y352), DAY(XT!AC352), DAY(XT!AG352)), MATCH(1, INDEX(--(MONTH(CHOOSE({1,2,3,4}, XT!U352,XT!Y352,XT!AC352,XT!AG352))=6), 0), 0)), "")</f>
        <v/>
      </c>
      <c r="W352" s="51" t="str">
        <f>IF(XT!$P352&gt;0,V352,"")</f>
        <v/>
      </c>
      <c r="X352" s="51" t="str">
        <f>IF(XT!$P352=0,V352,"")</f>
        <v/>
      </c>
      <c r="Y352">
        <f>SUMPRODUCT((MONTH(CHOOSE({1,2,3,4},XT!U352,XT!Y352,XT!AC352,XT!AG352))=7)*(CHOOSE({1,2,3,4},XT!X352,XT!AB352,XT!AF352,XT!AJ352)))</f>
        <v>0</v>
      </c>
      <c r="Z352" t="str">
        <f>IFERROR(INDEX(CHOOSE({1,2,3,4}, DAY(XT!U352), DAY(XT!Y352), DAY(XT!AC352), DAY(XT!AG352)), MATCH(1, INDEX(--(MONTH(CHOOSE({1,2,3,4}, XT!U352,XT!Y352,XT!AC352,XT!AG352))=7), 0), 0)), "")</f>
        <v/>
      </c>
      <c r="AA352" s="51" t="str">
        <f>IF(XT!$P352&gt;0,Z352,"")</f>
        <v/>
      </c>
      <c r="AB352" s="51" t="str">
        <f>IF(XT!$P352=0,Z352,"")</f>
        <v/>
      </c>
      <c r="AC352">
        <f>SUMPRODUCT((MONTH(CHOOSE({1,2,3,4},XT!U352,XT!Y352,XT!AC352,XT!AG352))=8)*(CHOOSE({1,2,3,4},XT!X352,XT!AB352,XT!AF352,XT!AJ352)))</f>
        <v>0</v>
      </c>
      <c r="AD352" t="str">
        <f>IFERROR(INDEX(CHOOSE({1,2,3,4}, DAY(XT!U352), DAY(XT!Y352), DAY(XT!AC352), DAY(XT!AG352)), MATCH(1, INDEX(--(MONTH(CHOOSE({1,2,3,4}, XT!U352,XT!Y352,XT!AC352,XT!AG352))=8), 0), 0)), "")</f>
        <v/>
      </c>
      <c r="AE352" s="51" t="str">
        <f>IF(XT!$P352&gt;0,AD352,"")</f>
        <v/>
      </c>
      <c r="AF352" s="51" t="str">
        <f>IF(XT!$P352=0,AD352,"")</f>
        <v/>
      </c>
      <c r="AG352">
        <f>SUMPRODUCT((MONTH(CHOOSE({1,2,3,4},XT!U352,XT!Y352,XT!AC352,XT!AG352))=9)*(CHOOSE({1,2,3,4},XT!X352,XT!AB352,XT!AF352,XT!AJ352)))</f>
        <v>0</v>
      </c>
      <c r="AH352" t="str">
        <f>IFERROR(INDEX(CHOOSE({1,2,3,4}, DAY(XT!U352), DAY(XT!Y352), DAY(XT!AC352), DAY(XT!AG352)), MATCH(1, INDEX(--(MONTH(CHOOSE({1,2,3,4}, XT!U352,XT!Y352,XT!AC352,XT!AG352))=9), 0), 0)), "")</f>
        <v/>
      </c>
      <c r="AI352" s="51" t="str">
        <f>IF(XT!$P352&gt;0,AH352,"")</f>
        <v/>
      </c>
      <c r="AJ352" s="51" t="str">
        <f>IF(XT!$P352=0,AH352,"")</f>
        <v/>
      </c>
      <c r="AK352">
        <f>SUMPRODUCT((MONTH(CHOOSE({1,2,3,4},XT!U352,XT!Y352,XT!AC352,XT!AG352))=10)*(CHOOSE({1,2,3,4},XT!X352,XT!AB352,XT!AF352,XT!AJ352)))</f>
        <v>0</v>
      </c>
      <c r="AL352" t="str">
        <f>IFERROR(INDEX(CHOOSE({1,2,3,4}, DAY(XT!U352), DAY(XT!Y352), DAY(XT!AC352), DAY(XT!AG352)), MATCH(1, INDEX(--(MONTH(CHOOSE({1,2,3,4}, XT!U352,XT!Y352,XT!AC352,XT!AG352))=10), 0), 0)), "")</f>
        <v/>
      </c>
      <c r="AM352" s="51" t="str">
        <f>IF(XT!$P352&gt;0,AL352,"")</f>
        <v/>
      </c>
      <c r="AN352" s="51" t="str">
        <f>IF(XT!$P352=0,AL352,"")</f>
        <v/>
      </c>
      <c r="AO352">
        <f>SUMPRODUCT((MONTH(CHOOSE({1,2,3,4},XT!U352,XT!Y352,XT!AC352,XT!AG352))=11)*(CHOOSE({1,2,3,4},XT!X352,XT!AB352,XT!AF352,XT!AJ352)))</f>
        <v>0</v>
      </c>
      <c r="AP352" t="str">
        <f>IFERROR(INDEX(CHOOSE({1,2,3,4}, DAY(XT!U352), DAY(XT!Y352), DAY(XT!AC352), DAY(XT!AG352)), MATCH(1, INDEX(--(MONTH(CHOOSE({1,2,3,4}, XT!U352,XT!Y352,XT!AC352,XT!AG352))=11), 0), 0)), "")</f>
        <v/>
      </c>
      <c r="AQ352" s="51" t="str">
        <f>IF(XT!$P352&gt;0,AP352,"")</f>
        <v/>
      </c>
      <c r="AR352" s="51" t="str">
        <f>IF(XT!$P352=0,AP352,"")</f>
        <v/>
      </c>
      <c r="AS352">
        <f>SUMPRODUCT((MONTH(CHOOSE({1,2,3,4},XT!U352,XT!Y352,XT!AC352,XT!AG352))=12)*(CHOOSE({1,2,3,4},XT!X352,XT!AB352,XT!AF352,XT!AJ352)))</f>
        <v>0</v>
      </c>
      <c r="AT352" t="str">
        <f>IFERROR(INDEX(CHOOSE({1,2,3,4}, DAY(XT!U352), DAY(XT!Y352), DAY(XT!AC352), DAY(XT!AG352)), MATCH(1, INDEX(--(MONTH(CHOOSE({1,2,3,4}, XT!U352,XT!Y352,XT!AC352,XT!AG352))=12), 0), 0)), "")</f>
        <v/>
      </c>
      <c r="AU352" s="51" t="str">
        <f>IF(XT!$P352&gt;0,AT352,"")</f>
        <v/>
      </c>
      <c r="AV352" s="51" t="str">
        <f>IF(XT!$P352=0,AT352,"")</f>
        <v/>
      </c>
    </row>
    <row r="353" spans="1:48">
      <c r="A353">
        <f>SUMPRODUCT((MONTH(CHOOSE({1,2,3,4},XT!U353,XT!Y353,XT!AC353,XT!AG353))=1)*(CHOOSE({1,2,3,4},XT!X353,XT!AB353,XT!AF353,XT!AJ353)))</f>
        <v>0</v>
      </c>
      <c r="B353">
        <f>IFERROR(INDEX(CHOOSE({1,2,3,4}, DAY(XT!U353), DAY(XT!Y353), DAY(XT!AC353), DAY(XT!AG353)), MATCH(1, INDEX(--(MONTH(CHOOSE({1,2,3,4}, XT!U353,XT!Y353,XT!AC353,XT!AG353))=1), 0), 0)), "")</f>
        <v>0</v>
      </c>
      <c r="C353" s="51" t="str">
        <f>IF(XT!$P353&gt;0,B353,"")</f>
        <v/>
      </c>
      <c r="D353" s="51">
        <f>IF(XT!$P353=0,B353,"")</f>
        <v>0</v>
      </c>
      <c r="E353">
        <f>SUMPRODUCT((MONTH(CHOOSE({1,2,3,4},XT!U353,XT!Y353,XT!AC353,XT!AG353))=2)*(CHOOSE({1,2,3,4},XT!X353,XT!AB353,XT!AF353,XT!AJ353)))</f>
        <v>0</v>
      </c>
      <c r="F353" t="str">
        <f>IFERROR(INDEX(CHOOSE({1,2,3,4}, DAY(XT!U353), DAY(XT!Y353), DAY(XT!AC353), DAY(XT!AG353)), MATCH(1, INDEX(--(MONTH(CHOOSE({1,2,3,4}, XT!U353,XT!Y353,XT!AC353,XT!AG353))=2), 0), 0)), "")</f>
        <v/>
      </c>
      <c r="G353" s="51" t="str">
        <f>IF(XT!$P353&gt;0,F353,"")</f>
        <v/>
      </c>
      <c r="H353" s="51" t="str">
        <f>IF(XT!$P353=0,F353,"")</f>
        <v/>
      </c>
      <c r="I353">
        <f>SUMPRODUCT((MONTH(CHOOSE({1,2,3,4},XT!U353,XT!Y353,XT!AC353,XT!AG353))=3)*(CHOOSE({1,2,3,4},XT!X353,XT!AB353,XT!AF353,XT!AJ353)))</f>
        <v>0</v>
      </c>
      <c r="J353" t="str">
        <f>IFERROR(INDEX(CHOOSE({1,2,3,4}, DAY(XT!U353), DAY(XT!Y353), DAY(XT!AC353), DAY(XT!AG353)), MATCH(1, INDEX(--(MONTH(CHOOSE({1,2,3,4}, XT!U353,XT!Y353,XT!AC353,XT!AG353))=3), 0), 0)), "")</f>
        <v/>
      </c>
      <c r="K353" s="51" t="str">
        <f>IF(XT!$P353&gt;0,J353,"")</f>
        <v/>
      </c>
      <c r="L353" s="51" t="str">
        <f>IF(XT!$P353=0,J353,"")</f>
        <v/>
      </c>
      <c r="M353">
        <f>SUMPRODUCT((MONTH(CHOOSE({1,2,3,4},XT!U353,XT!Y353,XT!AC353,XT!AG353))=4)*(CHOOSE({1,2,3,4},XT!X353,XT!AB353,XT!AF353,XT!AJ353)))</f>
        <v>0</v>
      </c>
      <c r="N353" t="str">
        <f>IFERROR(INDEX(CHOOSE({1,2,3,4}, DAY(XT!U353), DAY(XT!Y353), DAY(XT!AC353), DAY(XT!AG353)), MATCH(1, INDEX(--(MONTH(CHOOSE({1,2,3,4}, XT!U353,XT!Y353,XT!AC353,XT!AG353))=4), 0), 0)), "")</f>
        <v/>
      </c>
      <c r="O353" s="51" t="str">
        <f>IF(XT!$P353&gt;0,N353,"")</f>
        <v/>
      </c>
      <c r="P353" s="51" t="str">
        <f>IF(XT!$P353=0,N353,"")</f>
        <v/>
      </c>
      <c r="Q353">
        <f>SUMPRODUCT((MONTH(CHOOSE({1,2,3,4},XT!U353,XT!Y353,XT!AC353,XT!AG353))=5)*(CHOOSE({1,2,3,4},XT!X353,XT!AB353,XT!AF353,XT!AJ353)))</f>
        <v>0</v>
      </c>
      <c r="R353" t="str">
        <f>IFERROR(INDEX(CHOOSE({1,2,3,4}, DAY(XT!U353), DAY(XT!Y353), DAY(XT!AC353), DAY(XT!AG353)), MATCH(1, INDEX(--(MONTH(CHOOSE({1,2,3,4}, XT!U353,XT!Y353,XT!AC353,XT!AG353))=5), 0), 0)), "")</f>
        <v/>
      </c>
      <c r="S353" s="51" t="str">
        <f>IF(XT!$P353&gt;0,R353,"")</f>
        <v/>
      </c>
      <c r="T353" s="51" t="str">
        <f>IF(XT!$P353=0,R353,"")</f>
        <v/>
      </c>
      <c r="U353">
        <f>SUMPRODUCT((MONTH(CHOOSE({1,2,3,4},XT!U353,XT!Y353,XT!AC353,XT!AG353))=6)*(CHOOSE({1,2,3,4},XT!X353,XT!AB353,XT!AF353,XT!AJ353)))</f>
        <v>0</v>
      </c>
      <c r="V353" t="str">
        <f>IFERROR(INDEX(CHOOSE({1,2,3,4}, DAY(XT!U353), DAY(XT!Y353), DAY(XT!AC353), DAY(XT!AG353)), MATCH(1, INDEX(--(MONTH(CHOOSE({1,2,3,4}, XT!U353,XT!Y353,XT!AC353,XT!AG353))=6), 0), 0)), "")</f>
        <v/>
      </c>
      <c r="W353" s="51" t="str">
        <f>IF(XT!$P353&gt;0,V353,"")</f>
        <v/>
      </c>
      <c r="X353" s="51" t="str">
        <f>IF(XT!$P353=0,V353,"")</f>
        <v/>
      </c>
      <c r="Y353">
        <f>SUMPRODUCT((MONTH(CHOOSE({1,2,3,4},XT!U353,XT!Y353,XT!AC353,XT!AG353))=7)*(CHOOSE({1,2,3,4},XT!X353,XT!AB353,XT!AF353,XT!AJ353)))</f>
        <v>0</v>
      </c>
      <c r="Z353" t="str">
        <f>IFERROR(INDEX(CHOOSE({1,2,3,4}, DAY(XT!U353), DAY(XT!Y353), DAY(XT!AC353), DAY(XT!AG353)), MATCH(1, INDEX(--(MONTH(CHOOSE({1,2,3,4}, XT!U353,XT!Y353,XT!AC353,XT!AG353))=7), 0), 0)), "")</f>
        <v/>
      </c>
      <c r="AA353" s="51" t="str">
        <f>IF(XT!$P353&gt;0,Z353,"")</f>
        <v/>
      </c>
      <c r="AB353" s="51" t="str">
        <f>IF(XT!$P353=0,Z353,"")</f>
        <v/>
      </c>
      <c r="AC353">
        <f>SUMPRODUCT((MONTH(CHOOSE({1,2,3,4},XT!U353,XT!Y353,XT!AC353,XT!AG353))=8)*(CHOOSE({1,2,3,4},XT!X353,XT!AB353,XT!AF353,XT!AJ353)))</f>
        <v>0</v>
      </c>
      <c r="AD353" t="str">
        <f>IFERROR(INDEX(CHOOSE({1,2,3,4}, DAY(XT!U353), DAY(XT!Y353), DAY(XT!AC353), DAY(XT!AG353)), MATCH(1, INDEX(--(MONTH(CHOOSE({1,2,3,4}, XT!U353,XT!Y353,XT!AC353,XT!AG353))=8), 0), 0)), "")</f>
        <v/>
      </c>
      <c r="AE353" s="51" t="str">
        <f>IF(XT!$P353&gt;0,AD353,"")</f>
        <v/>
      </c>
      <c r="AF353" s="51" t="str">
        <f>IF(XT!$P353=0,AD353,"")</f>
        <v/>
      </c>
      <c r="AG353">
        <f>SUMPRODUCT((MONTH(CHOOSE({1,2,3,4},XT!U353,XT!Y353,XT!AC353,XT!AG353))=9)*(CHOOSE({1,2,3,4},XT!X353,XT!AB353,XT!AF353,XT!AJ353)))</f>
        <v>0</v>
      </c>
      <c r="AH353" t="str">
        <f>IFERROR(INDEX(CHOOSE({1,2,3,4}, DAY(XT!U353), DAY(XT!Y353), DAY(XT!AC353), DAY(XT!AG353)), MATCH(1, INDEX(--(MONTH(CHOOSE({1,2,3,4}, XT!U353,XT!Y353,XT!AC353,XT!AG353))=9), 0), 0)), "")</f>
        <v/>
      </c>
      <c r="AI353" s="51" t="str">
        <f>IF(XT!$P353&gt;0,AH353,"")</f>
        <v/>
      </c>
      <c r="AJ353" s="51" t="str">
        <f>IF(XT!$P353=0,AH353,"")</f>
        <v/>
      </c>
      <c r="AK353">
        <f>SUMPRODUCT((MONTH(CHOOSE({1,2,3,4},XT!U353,XT!Y353,XT!AC353,XT!AG353))=10)*(CHOOSE({1,2,3,4},XT!X353,XT!AB353,XT!AF353,XT!AJ353)))</f>
        <v>0</v>
      </c>
      <c r="AL353" t="str">
        <f>IFERROR(INDEX(CHOOSE({1,2,3,4}, DAY(XT!U353), DAY(XT!Y353), DAY(XT!AC353), DAY(XT!AG353)), MATCH(1, INDEX(--(MONTH(CHOOSE({1,2,3,4}, XT!U353,XT!Y353,XT!AC353,XT!AG353))=10), 0), 0)), "")</f>
        <v/>
      </c>
      <c r="AM353" s="51" t="str">
        <f>IF(XT!$P353&gt;0,AL353,"")</f>
        <v/>
      </c>
      <c r="AN353" s="51" t="str">
        <f>IF(XT!$P353=0,AL353,"")</f>
        <v/>
      </c>
      <c r="AO353">
        <f>SUMPRODUCT((MONTH(CHOOSE({1,2,3,4},XT!U353,XT!Y353,XT!AC353,XT!AG353))=11)*(CHOOSE({1,2,3,4},XT!X353,XT!AB353,XT!AF353,XT!AJ353)))</f>
        <v>0</v>
      </c>
      <c r="AP353" t="str">
        <f>IFERROR(INDEX(CHOOSE({1,2,3,4}, DAY(XT!U353), DAY(XT!Y353), DAY(XT!AC353), DAY(XT!AG353)), MATCH(1, INDEX(--(MONTH(CHOOSE({1,2,3,4}, XT!U353,XT!Y353,XT!AC353,XT!AG353))=11), 0), 0)), "")</f>
        <v/>
      </c>
      <c r="AQ353" s="51" t="str">
        <f>IF(XT!$P353&gt;0,AP353,"")</f>
        <v/>
      </c>
      <c r="AR353" s="51" t="str">
        <f>IF(XT!$P353=0,AP353,"")</f>
        <v/>
      </c>
      <c r="AS353">
        <f>SUMPRODUCT((MONTH(CHOOSE({1,2,3,4},XT!U353,XT!Y353,XT!AC353,XT!AG353))=12)*(CHOOSE({1,2,3,4},XT!X353,XT!AB353,XT!AF353,XT!AJ353)))</f>
        <v>0</v>
      </c>
      <c r="AT353" t="str">
        <f>IFERROR(INDEX(CHOOSE({1,2,3,4}, DAY(XT!U353), DAY(XT!Y353), DAY(XT!AC353), DAY(XT!AG353)), MATCH(1, INDEX(--(MONTH(CHOOSE({1,2,3,4}, XT!U353,XT!Y353,XT!AC353,XT!AG353))=12), 0), 0)), "")</f>
        <v/>
      </c>
      <c r="AU353" s="51" t="str">
        <f>IF(XT!$P353&gt;0,AT353,"")</f>
        <v/>
      </c>
      <c r="AV353" s="51" t="str">
        <f>IF(XT!$P353=0,AT353,"")</f>
        <v/>
      </c>
    </row>
    <row r="354" spans="1:48">
      <c r="A354">
        <f>SUMPRODUCT((MONTH(CHOOSE({1,2,3,4},XT!U354,XT!Y354,XT!AC354,XT!AG354))=1)*(CHOOSE({1,2,3,4},XT!X354,XT!AB354,XT!AF354,XT!AJ354)))</f>
        <v>0</v>
      </c>
      <c r="B354">
        <f>IFERROR(INDEX(CHOOSE({1,2,3,4}, DAY(XT!U354), DAY(XT!Y354), DAY(XT!AC354), DAY(XT!AG354)), MATCH(1, INDEX(--(MONTH(CHOOSE({1,2,3,4}, XT!U354,XT!Y354,XT!AC354,XT!AG354))=1), 0), 0)), "")</f>
        <v>0</v>
      </c>
      <c r="C354" s="51" t="str">
        <f>IF(XT!$P354&gt;0,B354,"")</f>
        <v/>
      </c>
      <c r="D354" s="51">
        <f>IF(XT!$P354=0,B354,"")</f>
        <v>0</v>
      </c>
      <c r="E354">
        <f>SUMPRODUCT((MONTH(CHOOSE({1,2,3,4},XT!U354,XT!Y354,XT!AC354,XT!AG354))=2)*(CHOOSE({1,2,3,4},XT!X354,XT!AB354,XT!AF354,XT!AJ354)))</f>
        <v>0</v>
      </c>
      <c r="F354" t="str">
        <f>IFERROR(INDEX(CHOOSE({1,2,3,4}, DAY(XT!U354), DAY(XT!Y354), DAY(XT!AC354), DAY(XT!AG354)), MATCH(1, INDEX(--(MONTH(CHOOSE({1,2,3,4}, XT!U354,XT!Y354,XT!AC354,XT!AG354))=2), 0), 0)), "")</f>
        <v/>
      </c>
      <c r="G354" s="51" t="str">
        <f>IF(XT!$P354&gt;0,F354,"")</f>
        <v/>
      </c>
      <c r="H354" s="51" t="str">
        <f>IF(XT!$P354=0,F354,"")</f>
        <v/>
      </c>
      <c r="I354">
        <f>SUMPRODUCT((MONTH(CHOOSE({1,2,3,4},XT!U354,XT!Y354,XT!AC354,XT!AG354))=3)*(CHOOSE({1,2,3,4},XT!X354,XT!AB354,XT!AF354,XT!AJ354)))</f>
        <v>0</v>
      </c>
      <c r="J354" t="str">
        <f>IFERROR(INDEX(CHOOSE({1,2,3,4}, DAY(XT!U354), DAY(XT!Y354), DAY(XT!AC354), DAY(XT!AG354)), MATCH(1, INDEX(--(MONTH(CHOOSE({1,2,3,4}, XT!U354,XT!Y354,XT!AC354,XT!AG354))=3), 0), 0)), "")</f>
        <v/>
      </c>
      <c r="K354" s="51" t="str">
        <f>IF(XT!$P354&gt;0,J354,"")</f>
        <v/>
      </c>
      <c r="L354" s="51" t="str">
        <f>IF(XT!$P354=0,J354,"")</f>
        <v/>
      </c>
      <c r="M354">
        <f>SUMPRODUCT((MONTH(CHOOSE({1,2,3,4},XT!U354,XT!Y354,XT!AC354,XT!AG354))=4)*(CHOOSE({1,2,3,4},XT!X354,XT!AB354,XT!AF354,XT!AJ354)))</f>
        <v>0</v>
      </c>
      <c r="N354" t="str">
        <f>IFERROR(INDEX(CHOOSE({1,2,3,4}, DAY(XT!U354), DAY(XT!Y354), DAY(XT!AC354), DAY(XT!AG354)), MATCH(1, INDEX(--(MONTH(CHOOSE({1,2,3,4}, XT!U354,XT!Y354,XT!AC354,XT!AG354))=4), 0), 0)), "")</f>
        <v/>
      </c>
      <c r="O354" s="51" t="str">
        <f>IF(XT!$P354&gt;0,N354,"")</f>
        <v/>
      </c>
      <c r="P354" s="51" t="str">
        <f>IF(XT!$P354=0,N354,"")</f>
        <v/>
      </c>
      <c r="Q354">
        <f>SUMPRODUCT((MONTH(CHOOSE({1,2,3,4},XT!U354,XT!Y354,XT!AC354,XT!AG354))=5)*(CHOOSE({1,2,3,4},XT!X354,XT!AB354,XT!AF354,XT!AJ354)))</f>
        <v>0</v>
      </c>
      <c r="R354" t="str">
        <f>IFERROR(INDEX(CHOOSE({1,2,3,4}, DAY(XT!U354), DAY(XT!Y354), DAY(XT!AC354), DAY(XT!AG354)), MATCH(1, INDEX(--(MONTH(CHOOSE({1,2,3,4}, XT!U354,XT!Y354,XT!AC354,XT!AG354))=5), 0), 0)), "")</f>
        <v/>
      </c>
      <c r="S354" s="51" t="str">
        <f>IF(XT!$P354&gt;0,R354,"")</f>
        <v/>
      </c>
      <c r="T354" s="51" t="str">
        <f>IF(XT!$P354=0,R354,"")</f>
        <v/>
      </c>
      <c r="U354">
        <f>SUMPRODUCT((MONTH(CHOOSE({1,2,3,4},XT!U354,XT!Y354,XT!AC354,XT!AG354))=6)*(CHOOSE({1,2,3,4},XT!X354,XT!AB354,XT!AF354,XT!AJ354)))</f>
        <v>0</v>
      </c>
      <c r="V354" t="str">
        <f>IFERROR(INDEX(CHOOSE({1,2,3,4}, DAY(XT!U354), DAY(XT!Y354), DAY(XT!AC354), DAY(XT!AG354)), MATCH(1, INDEX(--(MONTH(CHOOSE({1,2,3,4}, XT!U354,XT!Y354,XT!AC354,XT!AG354))=6), 0), 0)), "")</f>
        <v/>
      </c>
      <c r="W354" s="51" t="str">
        <f>IF(XT!$P354&gt;0,V354,"")</f>
        <v/>
      </c>
      <c r="X354" s="51" t="str">
        <f>IF(XT!$P354=0,V354,"")</f>
        <v/>
      </c>
      <c r="Y354">
        <f>SUMPRODUCT((MONTH(CHOOSE({1,2,3,4},XT!U354,XT!Y354,XT!AC354,XT!AG354))=7)*(CHOOSE({1,2,3,4},XT!X354,XT!AB354,XT!AF354,XT!AJ354)))</f>
        <v>0</v>
      </c>
      <c r="Z354" t="str">
        <f>IFERROR(INDEX(CHOOSE({1,2,3,4}, DAY(XT!U354), DAY(XT!Y354), DAY(XT!AC354), DAY(XT!AG354)), MATCH(1, INDEX(--(MONTH(CHOOSE({1,2,3,4}, XT!U354,XT!Y354,XT!AC354,XT!AG354))=7), 0), 0)), "")</f>
        <v/>
      </c>
      <c r="AA354" s="51" t="str">
        <f>IF(XT!$P354&gt;0,Z354,"")</f>
        <v/>
      </c>
      <c r="AB354" s="51" t="str">
        <f>IF(XT!$P354=0,Z354,"")</f>
        <v/>
      </c>
      <c r="AC354">
        <f>SUMPRODUCT((MONTH(CHOOSE({1,2,3,4},XT!U354,XT!Y354,XT!AC354,XT!AG354))=8)*(CHOOSE({1,2,3,4},XT!X354,XT!AB354,XT!AF354,XT!AJ354)))</f>
        <v>0</v>
      </c>
      <c r="AD354" t="str">
        <f>IFERROR(INDEX(CHOOSE({1,2,3,4}, DAY(XT!U354), DAY(XT!Y354), DAY(XT!AC354), DAY(XT!AG354)), MATCH(1, INDEX(--(MONTH(CHOOSE({1,2,3,4}, XT!U354,XT!Y354,XT!AC354,XT!AG354))=8), 0), 0)), "")</f>
        <v/>
      </c>
      <c r="AE354" s="51" t="str">
        <f>IF(XT!$P354&gt;0,AD354,"")</f>
        <v/>
      </c>
      <c r="AF354" s="51" t="str">
        <f>IF(XT!$P354=0,AD354,"")</f>
        <v/>
      </c>
      <c r="AG354">
        <f>SUMPRODUCT((MONTH(CHOOSE({1,2,3,4},XT!U354,XT!Y354,XT!AC354,XT!AG354))=9)*(CHOOSE({1,2,3,4},XT!X354,XT!AB354,XT!AF354,XT!AJ354)))</f>
        <v>0</v>
      </c>
      <c r="AH354" t="str">
        <f>IFERROR(INDEX(CHOOSE({1,2,3,4}, DAY(XT!U354), DAY(XT!Y354), DAY(XT!AC354), DAY(XT!AG354)), MATCH(1, INDEX(--(MONTH(CHOOSE({1,2,3,4}, XT!U354,XT!Y354,XT!AC354,XT!AG354))=9), 0), 0)), "")</f>
        <v/>
      </c>
      <c r="AI354" s="51" t="str">
        <f>IF(XT!$P354&gt;0,AH354,"")</f>
        <v/>
      </c>
      <c r="AJ354" s="51" t="str">
        <f>IF(XT!$P354=0,AH354,"")</f>
        <v/>
      </c>
      <c r="AK354">
        <f>SUMPRODUCT((MONTH(CHOOSE({1,2,3,4},XT!U354,XT!Y354,XT!AC354,XT!AG354))=10)*(CHOOSE({1,2,3,4},XT!X354,XT!AB354,XT!AF354,XT!AJ354)))</f>
        <v>0</v>
      </c>
      <c r="AL354" t="str">
        <f>IFERROR(INDEX(CHOOSE({1,2,3,4}, DAY(XT!U354), DAY(XT!Y354), DAY(XT!AC354), DAY(XT!AG354)), MATCH(1, INDEX(--(MONTH(CHOOSE({1,2,3,4}, XT!U354,XT!Y354,XT!AC354,XT!AG354))=10), 0), 0)), "")</f>
        <v/>
      </c>
      <c r="AM354" s="51" t="str">
        <f>IF(XT!$P354&gt;0,AL354,"")</f>
        <v/>
      </c>
      <c r="AN354" s="51" t="str">
        <f>IF(XT!$P354=0,AL354,"")</f>
        <v/>
      </c>
      <c r="AO354">
        <f>SUMPRODUCT((MONTH(CHOOSE({1,2,3,4},XT!U354,XT!Y354,XT!AC354,XT!AG354))=11)*(CHOOSE({1,2,3,4},XT!X354,XT!AB354,XT!AF354,XT!AJ354)))</f>
        <v>0</v>
      </c>
      <c r="AP354" t="str">
        <f>IFERROR(INDEX(CHOOSE({1,2,3,4}, DAY(XT!U354), DAY(XT!Y354), DAY(XT!AC354), DAY(XT!AG354)), MATCH(1, INDEX(--(MONTH(CHOOSE({1,2,3,4}, XT!U354,XT!Y354,XT!AC354,XT!AG354))=11), 0), 0)), "")</f>
        <v/>
      </c>
      <c r="AQ354" s="51" t="str">
        <f>IF(XT!$P354&gt;0,AP354,"")</f>
        <v/>
      </c>
      <c r="AR354" s="51" t="str">
        <f>IF(XT!$P354=0,AP354,"")</f>
        <v/>
      </c>
      <c r="AS354">
        <f>SUMPRODUCT((MONTH(CHOOSE({1,2,3,4},XT!U354,XT!Y354,XT!AC354,XT!AG354))=12)*(CHOOSE({1,2,3,4},XT!X354,XT!AB354,XT!AF354,XT!AJ354)))</f>
        <v>0</v>
      </c>
      <c r="AT354" t="str">
        <f>IFERROR(INDEX(CHOOSE({1,2,3,4}, DAY(XT!U354), DAY(XT!Y354), DAY(XT!AC354), DAY(XT!AG354)), MATCH(1, INDEX(--(MONTH(CHOOSE({1,2,3,4}, XT!U354,XT!Y354,XT!AC354,XT!AG354))=12), 0), 0)), "")</f>
        <v/>
      </c>
      <c r="AU354" s="51" t="str">
        <f>IF(XT!$P354&gt;0,AT354,"")</f>
        <v/>
      </c>
      <c r="AV354" s="51" t="str">
        <f>IF(XT!$P354=0,AT354,"")</f>
        <v/>
      </c>
    </row>
    <row r="355" spans="1:48">
      <c r="A355">
        <f>SUMPRODUCT((MONTH(CHOOSE({1,2,3,4},XT!U355,XT!Y355,XT!AC355,XT!AG355))=1)*(CHOOSE({1,2,3,4},XT!X355,XT!AB355,XT!AF355,XT!AJ355)))</f>
        <v>0</v>
      </c>
      <c r="B355">
        <f>IFERROR(INDEX(CHOOSE({1,2,3,4}, DAY(XT!U355), DAY(XT!Y355), DAY(XT!AC355), DAY(XT!AG355)), MATCH(1, INDEX(--(MONTH(CHOOSE({1,2,3,4}, XT!U355,XT!Y355,XT!AC355,XT!AG355))=1), 0), 0)), "")</f>
        <v>0</v>
      </c>
      <c r="C355" s="51" t="str">
        <f>IF(XT!$P355&gt;0,B355,"")</f>
        <v/>
      </c>
      <c r="D355" s="51">
        <f>IF(XT!$P355=0,B355,"")</f>
        <v>0</v>
      </c>
      <c r="E355">
        <f>SUMPRODUCT((MONTH(CHOOSE({1,2,3,4},XT!U355,XT!Y355,XT!AC355,XT!AG355))=2)*(CHOOSE({1,2,3,4},XT!X355,XT!AB355,XT!AF355,XT!AJ355)))</f>
        <v>0</v>
      </c>
      <c r="F355" t="str">
        <f>IFERROR(INDEX(CHOOSE({1,2,3,4}, DAY(XT!U355), DAY(XT!Y355), DAY(XT!AC355), DAY(XT!AG355)), MATCH(1, INDEX(--(MONTH(CHOOSE({1,2,3,4}, XT!U355,XT!Y355,XT!AC355,XT!AG355))=2), 0), 0)), "")</f>
        <v/>
      </c>
      <c r="G355" s="51" t="str">
        <f>IF(XT!$P355&gt;0,F355,"")</f>
        <v/>
      </c>
      <c r="H355" s="51" t="str">
        <f>IF(XT!$P355=0,F355,"")</f>
        <v/>
      </c>
      <c r="I355">
        <f>SUMPRODUCT((MONTH(CHOOSE({1,2,3,4},XT!U355,XT!Y355,XT!AC355,XT!AG355))=3)*(CHOOSE({1,2,3,4},XT!X355,XT!AB355,XT!AF355,XT!AJ355)))</f>
        <v>0</v>
      </c>
      <c r="J355" t="str">
        <f>IFERROR(INDEX(CHOOSE({1,2,3,4}, DAY(XT!U355), DAY(XT!Y355), DAY(XT!AC355), DAY(XT!AG355)), MATCH(1, INDEX(--(MONTH(CHOOSE({1,2,3,4}, XT!U355,XT!Y355,XT!AC355,XT!AG355))=3), 0), 0)), "")</f>
        <v/>
      </c>
      <c r="K355" s="51" t="str">
        <f>IF(XT!$P355&gt;0,J355,"")</f>
        <v/>
      </c>
      <c r="L355" s="51" t="str">
        <f>IF(XT!$P355=0,J355,"")</f>
        <v/>
      </c>
      <c r="M355">
        <f>SUMPRODUCT((MONTH(CHOOSE({1,2,3,4},XT!U355,XT!Y355,XT!AC355,XT!AG355))=4)*(CHOOSE({1,2,3,4},XT!X355,XT!AB355,XT!AF355,XT!AJ355)))</f>
        <v>0</v>
      </c>
      <c r="N355" t="str">
        <f>IFERROR(INDEX(CHOOSE({1,2,3,4}, DAY(XT!U355), DAY(XT!Y355), DAY(XT!AC355), DAY(XT!AG355)), MATCH(1, INDEX(--(MONTH(CHOOSE({1,2,3,4}, XT!U355,XT!Y355,XT!AC355,XT!AG355))=4), 0), 0)), "")</f>
        <v/>
      </c>
      <c r="O355" s="51" t="str">
        <f>IF(XT!$P355&gt;0,N355,"")</f>
        <v/>
      </c>
      <c r="P355" s="51" t="str">
        <f>IF(XT!$P355=0,N355,"")</f>
        <v/>
      </c>
      <c r="Q355">
        <f>SUMPRODUCT((MONTH(CHOOSE({1,2,3,4},XT!U355,XT!Y355,XT!AC355,XT!AG355))=5)*(CHOOSE({1,2,3,4},XT!X355,XT!AB355,XT!AF355,XT!AJ355)))</f>
        <v>0</v>
      </c>
      <c r="R355" t="str">
        <f>IFERROR(INDEX(CHOOSE({1,2,3,4}, DAY(XT!U355), DAY(XT!Y355), DAY(XT!AC355), DAY(XT!AG355)), MATCH(1, INDEX(--(MONTH(CHOOSE({1,2,3,4}, XT!U355,XT!Y355,XT!AC355,XT!AG355))=5), 0), 0)), "")</f>
        <v/>
      </c>
      <c r="S355" s="51" t="str">
        <f>IF(XT!$P355&gt;0,R355,"")</f>
        <v/>
      </c>
      <c r="T355" s="51" t="str">
        <f>IF(XT!$P355=0,R355,"")</f>
        <v/>
      </c>
      <c r="U355">
        <f>SUMPRODUCT((MONTH(CHOOSE({1,2,3,4},XT!U355,XT!Y355,XT!AC355,XT!AG355))=6)*(CHOOSE({1,2,3,4},XT!X355,XT!AB355,XT!AF355,XT!AJ355)))</f>
        <v>0</v>
      </c>
      <c r="V355" t="str">
        <f>IFERROR(INDEX(CHOOSE({1,2,3,4}, DAY(XT!U355), DAY(XT!Y355), DAY(XT!AC355), DAY(XT!AG355)), MATCH(1, INDEX(--(MONTH(CHOOSE({1,2,3,4}, XT!U355,XT!Y355,XT!AC355,XT!AG355))=6), 0), 0)), "")</f>
        <v/>
      </c>
      <c r="W355" s="51" t="str">
        <f>IF(XT!$P355&gt;0,V355,"")</f>
        <v/>
      </c>
      <c r="X355" s="51" t="str">
        <f>IF(XT!$P355=0,V355,"")</f>
        <v/>
      </c>
      <c r="Y355">
        <f>SUMPRODUCT((MONTH(CHOOSE({1,2,3,4},XT!U355,XT!Y355,XT!AC355,XT!AG355))=7)*(CHOOSE({1,2,3,4},XT!X355,XT!AB355,XT!AF355,XT!AJ355)))</f>
        <v>0</v>
      </c>
      <c r="Z355" t="str">
        <f>IFERROR(INDEX(CHOOSE({1,2,3,4}, DAY(XT!U355), DAY(XT!Y355), DAY(XT!AC355), DAY(XT!AG355)), MATCH(1, INDEX(--(MONTH(CHOOSE({1,2,3,4}, XT!U355,XT!Y355,XT!AC355,XT!AG355))=7), 0), 0)), "")</f>
        <v/>
      </c>
      <c r="AA355" s="51" t="str">
        <f>IF(XT!$P355&gt;0,Z355,"")</f>
        <v/>
      </c>
      <c r="AB355" s="51" t="str">
        <f>IF(XT!$P355=0,Z355,"")</f>
        <v/>
      </c>
      <c r="AC355">
        <f>SUMPRODUCT((MONTH(CHOOSE({1,2,3,4},XT!U355,XT!Y355,XT!AC355,XT!AG355))=8)*(CHOOSE({1,2,3,4},XT!X355,XT!AB355,XT!AF355,XT!AJ355)))</f>
        <v>0</v>
      </c>
      <c r="AD355" t="str">
        <f>IFERROR(INDEX(CHOOSE({1,2,3,4}, DAY(XT!U355), DAY(XT!Y355), DAY(XT!AC355), DAY(XT!AG355)), MATCH(1, INDEX(--(MONTH(CHOOSE({1,2,3,4}, XT!U355,XT!Y355,XT!AC355,XT!AG355))=8), 0), 0)), "")</f>
        <v/>
      </c>
      <c r="AE355" s="51" t="str">
        <f>IF(XT!$P355&gt;0,AD355,"")</f>
        <v/>
      </c>
      <c r="AF355" s="51" t="str">
        <f>IF(XT!$P355=0,AD355,"")</f>
        <v/>
      </c>
      <c r="AG355">
        <f>SUMPRODUCT((MONTH(CHOOSE({1,2,3,4},XT!U355,XT!Y355,XT!AC355,XT!AG355))=9)*(CHOOSE({1,2,3,4},XT!X355,XT!AB355,XT!AF355,XT!AJ355)))</f>
        <v>0</v>
      </c>
      <c r="AH355" t="str">
        <f>IFERROR(INDEX(CHOOSE({1,2,3,4}, DAY(XT!U355), DAY(XT!Y355), DAY(XT!AC355), DAY(XT!AG355)), MATCH(1, INDEX(--(MONTH(CHOOSE({1,2,3,4}, XT!U355,XT!Y355,XT!AC355,XT!AG355))=9), 0), 0)), "")</f>
        <v/>
      </c>
      <c r="AI355" s="51" t="str">
        <f>IF(XT!$P355&gt;0,AH355,"")</f>
        <v/>
      </c>
      <c r="AJ355" s="51" t="str">
        <f>IF(XT!$P355=0,AH355,"")</f>
        <v/>
      </c>
      <c r="AK355">
        <f>SUMPRODUCT((MONTH(CHOOSE({1,2,3,4},XT!U355,XT!Y355,XT!AC355,XT!AG355))=10)*(CHOOSE({1,2,3,4},XT!X355,XT!AB355,XT!AF355,XT!AJ355)))</f>
        <v>0</v>
      </c>
      <c r="AL355" t="str">
        <f>IFERROR(INDEX(CHOOSE({1,2,3,4}, DAY(XT!U355), DAY(XT!Y355), DAY(XT!AC355), DAY(XT!AG355)), MATCH(1, INDEX(--(MONTH(CHOOSE({1,2,3,4}, XT!U355,XT!Y355,XT!AC355,XT!AG355))=10), 0), 0)), "")</f>
        <v/>
      </c>
      <c r="AM355" s="51" t="str">
        <f>IF(XT!$P355&gt;0,AL355,"")</f>
        <v/>
      </c>
      <c r="AN355" s="51" t="str">
        <f>IF(XT!$P355=0,AL355,"")</f>
        <v/>
      </c>
      <c r="AO355">
        <f>SUMPRODUCT((MONTH(CHOOSE({1,2,3,4},XT!U355,XT!Y355,XT!AC355,XT!AG355))=11)*(CHOOSE({1,2,3,4},XT!X355,XT!AB355,XT!AF355,XT!AJ355)))</f>
        <v>0</v>
      </c>
      <c r="AP355" t="str">
        <f>IFERROR(INDEX(CHOOSE({1,2,3,4}, DAY(XT!U355), DAY(XT!Y355), DAY(XT!AC355), DAY(XT!AG355)), MATCH(1, INDEX(--(MONTH(CHOOSE({1,2,3,4}, XT!U355,XT!Y355,XT!AC355,XT!AG355))=11), 0), 0)), "")</f>
        <v/>
      </c>
      <c r="AQ355" s="51" t="str">
        <f>IF(XT!$P355&gt;0,AP355,"")</f>
        <v/>
      </c>
      <c r="AR355" s="51" t="str">
        <f>IF(XT!$P355=0,AP355,"")</f>
        <v/>
      </c>
      <c r="AS355">
        <f>SUMPRODUCT((MONTH(CHOOSE({1,2,3,4},XT!U355,XT!Y355,XT!AC355,XT!AG355))=12)*(CHOOSE({1,2,3,4},XT!X355,XT!AB355,XT!AF355,XT!AJ355)))</f>
        <v>0</v>
      </c>
      <c r="AT355" t="str">
        <f>IFERROR(INDEX(CHOOSE({1,2,3,4}, DAY(XT!U355), DAY(XT!Y355), DAY(XT!AC355), DAY(XT!AG355)), MATCH(1, INDEX(--(MONTH(CHOOSE({1,2,3,4}, XT!U355,XT!Y355,XT!AC355,XT!AG355))=12), 0), 0)), "")</f>
        <v/>
      </c>
      <c r="AU355" s="51" t="str">
        <f>IF(XT!$P355&gt;0,AT355,"")</f>
        <v/>
      </c>
      <c r="AV355" s="51" t="str">
        <f>IF(XT!$P355=0,AT355,"")</f>
        <v/>
      </c>
    </row>
    <row r="356" spans="1:48">
      <c r="A356">
        <f>SUMPRODUCT((MONTH(CHOOSE({1,2,3,4},XT!U356,XT!Y356,XT!AC356,XT!AG356))=1)*(CHOOSE({1,2,3,4},XT!X356,XT!AB356,XT!AF356,XT!AJ356)))</f>
        <v>0</v>
      </c>
      <c r="B356">
        <f>IFERROR(INDEX(CHOOSE({1,2,3,4}, DAY(XT!U356), DAY(XT!Y356), DAY(XT!AC356), DAY(XT!AG356)), MATCH(1, INDEX(--(MONTH(CHOOSE({1,2,3,4}, XT!U356,XT!Y356,XT!AC356,XT!AG356))=1), 0), 0)), "")</f>
        <v>0</v>
      </c>
      <c r="C356" s="51" t="str">
        <f>IF(XT!$P356&gt;0,B356,"")</f>
        <v/>
      </c>
      <c r="D356" s="51">
        <f>IF(XT!$P356=0,B356,"")</f>
        <v>0</v>
      </c>
      <c r="E356">
        <f>SUMPRODUCT((MONTH(CHOOSE({1,2,3,4},XT!U356,XT!Y356,XT!AC356,XT!AG356))=2)*(CHOOSE({1,2,3,4},XT!X356,XT!AB356,XT!AF356,XT!AJ356)))</f>
        <v>0</v>
      </c>
      <c r="F356" t="str">
        <f>IFERROR(INDEX(CHOOSE({1,2,3,4}, DAY(XT!U356), DAY(XT!Y356), DAY(XT!AC356), DAY(XT!AG356)), MATCH(1, INDEX(--(MONTH(CHOOSE({1,2,3,4}, XT!U356,XT!Y356,XT!AC356,XT!AG356))=2), 0), 0)), "")</f>
        <v/>
      </c>
      <c r="G356" s="51" t="str">
        <f>IF(XT!$P356&gt;0,F356,"")</f>
        <v/>
      </c>
      <c r="H356" s="51" t="str">
        <f>IF(XT!$P356=0,F356,"")</f>
        <v/>
      </c>
      <c r="I356">
        <f>SUMPRODUCT((MONTH(CHOOSE({1,2,3,4},XT!U356,XT!Y356,XT!AC356,XT!AG356))=3)*(CHOOSE({1,2,3,4},XT!X356,XT!AB356,XT!AF356,XT!AJ356)))</f>
        <v>0</v>
      </c>
      <c r="J356" t="str">
        <f>IFERROR(INDEX(CHOOSE({1,2,3,4}, DAY(XT!U356), DAY(XT!Y356), DAY(XT!AC356), DAY(XT!AG356)), MATCH(1, INDEX(--(MONTH(CHOOSE({1,2,3,4}, XT!U356,XT!Y356,XT!AC356,XT!AG356))=3), 0), 0)), "")</f>
        <v/>
      </c>
      <c r="K356" s="51" t="str">
        <f>IF(XT!$P356&gt;0,J356,"")</f>
        <v/>
      </c>
      <c r="L356" s="51" t="str">
        <f>IF(XT!$P356=0,J356,"")</f>
        <v/>
      </c>
      <c r="M356">
        <f>SUMPRODUCT((MONTH(CHOOSE({1,2,3,4},XT!U356,XT!Y356,XT!AC356,XT!AG356))=4)*(CHOOSE({1,2,3,4},XT!X356,XT!AB356,XT!AF356,XT!AJ356)))</f>
        <v>0</v>
      </c>
      <c r="N356" t="str">
        <f>IFERROR(INDEX(CHOOSE({1,2,3,4}, DAY(XT!U356), DAY(XT!Y356), DAY(XT!AC356), DAY(XT!AG356)), MATCH(1, INDEX(--(MONTH(CHOOSE({1,2,3,4}, XT!U356,XT!Y356,XT!AC356,XT!AG356))=4), 0), 0)), "")</f>
        <v/>
      </c>
      <c r="O356" s="51" t="str">
        <f>IF(XT!$P356&gt;0,N356,"")</f>
        <v/>
      </c>
      <c r="P356" s="51" t="str">
        <f>IF(XT!$P356=0,N356,"")</f>
        <v/>
      </c>
      <c r="Q356">
        <f>SUMPRODUCT((MONTH(CHOOSE({1,2,3,4},XT!U356,XT!Y356,XT!AC356,XT!AG356))=5)*(CHOOSE({1,2,3,4},XT!X356,XT!AB356,XT!AF356,XT!AJ356)))</f>
        <v>0</v>
      </c>
      <c r="R356" t="str">
        <f>IFERROR(INDEX(CHOOSE({1,2,3,4}, DAY(XT!U356), DAY(XT!Y356), DAY(XT!AC356), DAY(XT!AG356)), MATCH(1, INDEX(--(MONTH(CHOOSE({1,2,3,4}, XT!U356,XT!Y356,XT!AC356,XT!AG356))=5), 0), 0)), "")</f>
        <v/>
      </c>
      <c r="S356" s="51" t="str">
        <f>IF(XT!$P356&gt;0,R356,"")</f>
        <v/>
      </c>
      <c r="T356" s="51" t="str">
        <f>IF(XT!$P356=0,R356,"")</f>
        <v/>
      </c>
      <c r="U356">
        <f>SUMPRODUCT((MONTH(CHOOSE({1,2,3,4},XT!U356,XT!Y356,XT!AC356,XT!AG356))=6)*(CHOOSE({1,2,3,4},XT!X356,XT!AB356,XT!AF356,XT!AJ356)))</f>
        <v>0</v>
      </c>
      <c r="V356" t="str">
        <f>IFERROR(INDEX(CHOOSE({1,2,3,4}, DAY(XT!U356), DAY(XT!Y356), DAY(XT!AC356), DAY(XT!AG356)), MATCH(1, INDEX(--(MONTH(CHOOSE({1,2,3,4}, XT!U356,XT!Y356,XT!AC356,XT!AG356))=6), 0), 0)), "")</f>
        <v/>
      </c>
      <c r="W356" s="51" t="str">
        <f>IF(XT!$P356&gt;0,V356,"")</f>
        <v/>
      </c>
      <c r="X356" s="51" t="str">
        <f>IF(XT!$P356=0,V356,"")</f>
        <v/>
      </c>
      <c r="Y356">
        <f>SUMPRODUCT((MONTH(CHOOSE({1,2,3,4},XT!U356,XT!Y356,XT!AC356,XT!AG356))=7)*(CHOOSE({1,2,3,4},XT!X356,XT!AB356,XT!AF356,XT!AJ356)))</f>
        <v>0</v>
      </c>
      <c r="Z356" t="str">
        <f>IFERROR(INDEX(CHOOSE({1,2,3,4}, DAY(XT!U356), DAY(XT!Y356), DAY(XT!AC356), DAY(XT!AG356)), MATCH(1, INDEX(--(MONTH(CHOOSE({1,2,3,4}, XT!U356,XT!Y356,XT!AC356,XT!AG356))=7), 0), 0)), "")</f>
        <v/>
      </c>
      <c r="AA356" s="51" t="str">
        <f>IF(XT!$P356&gt;0,Z356,"")</f>
        <v/>
      </c>
      <c r="AB356" s="51" t="str">
        <f>IF(XT!$P356=0,Z356,"")</f>
        <v/>
      </c>
      <c r="AC356">
        <f>SUMPRODUCT((MONTH(CHOOSE({1,2,3,4},XT!U356,XT!Y356,XT!AC356,XT!AG356))=8)*(CHOOSE({1,2,3,4},XT!X356,XT!AB356,XT!AF356,XT!AJ356)))</f>
        <v>0</v>
      </c>
      <c r="AD356" t="str">
        <f>IFERROR(INDEX(CHOOSE({1,2,3,4}, DAY(XT!U356), DAY(XT!Y356), DAY(XT!AC356), DAY(XT!AG356)), MATCH(1, INDEX(--(MONTH(CHOOSE({1,2,3,4}, XT!U356,XT!Y356,XT!AC356,XT!AG356))=8), 0), 0)), "")</f>
        <v/>
      </c>
      <c r="AE356" s="51" t="str">
        <f>IF(XT!$P356&gt;0,AD356,"")</f>
        <v/>
      </c>
      <c r="AF356" s="51" t="str">
        <f>IF(XT!$P356=0,AD356,"")</f>
        <v/>
      </c>
      <c r="AG356">
        <f>SUMPRODUCT((MONTH(CHOOSE({1,2,3,4},XT!U356,XT!Y356,XT!AC356,XT!AG356))=9)*(CHOOSE({1,2,3,4},XT!X356,XT!AB356,XT!AF356,XT!AJ356)))</f>
        <v>0</v>
      </c>
      <c r="AH356" t="str">
        <f>IFERROR(INDEX(CHOOSE({1,2,3,4}, DAY(XT!U356), DAY(XT!Y356), DAY(XT!AC356), DAY(XT!AG356)), MATCH(1, INDEX(--(MONTH(CHOOSE({1,2,3,4}, XT!U356,XT!Y356,XT!AC356,XT!AG356))=9), 0), 0)), "")</f>
        <v/>
      </c>
      <c r="AI356" s="51" t="str">
        <f>IF(XT!$P356&gt;0,AH356,"")</f>
        <v/>
      </c>
      <c r="AJ356" s="51" t="str">
        <f>IF(XT!$P356=0,AH356,"")</f>
        <v/>
      </c>
      <c r="AK356">
        <f>SUMPRODUCT((MONTH(CHOOSE({1,2,3,4},XT!U356,XT!Y356,XT!AC356,XT!AG356))=10)*(CHOOSE({1,2,3,4},XT!X356,XT!AB356,XT!AF356,XT!AJ356)))</f>
        <v>0</v>
      </c>
      <c r="AL356" t="str">
        <f>IFERROR(INDEX(CHOOSE({1,2,3,4}, DAY(XT!U356), DAY(XT!Y356), DAY(XT!AC356), DAY(XT!AG356)), MATCH(1, INDEX(--(MONTH(CHOOSE({1,2,3,4}, XT!U356,XT!Y356,XT!AC356,XT!AG356))=10), 0), 0)), "")</f>
        <v/>
      </c>
      <c r="AM356" s="51" t="str">
        <f>IF(XT!$P356&gt;0,AL356,"")</f>
        <v/>
      </c>
      <c r="AN356" s="51" t="str">
        <f>IF(XT!$P356=0,AL356,"")</f>
        <v/>
      </c>
      <c r="AO356">
        <f>SUMPRODUCT((MONTH(CHOOSE({1,2,3,4},XT!U356,XT!Y356,XT!AC356,XT!AG356))=11)*(CHOOSE({1,2,3,4},XT!X356,XT!AB356,XT!AF356,XT!AJ356)))</f>
        <v>0</v>
      </c>
      <c r="AP356" t="str">
        <f>IFERROR(INDEX(CHOOSE({1,2,3,4}, DAY(XT!U356), DAY(XT!Y356), DAY(XT!AC356), DAY(XT!AG356)), MATCH(1, INDEX(--(MONTH(CHOOSE({1,2,3,4}, XT!U356,XT!Y356,XT!AC356,XT!AG356))=11), 0), 0)), "")</f>
        <v/>
      </c>
      <c r="AQ356" s="51" t="str">
        <f>IF(XT!$P356&gt;0,AP356,"")</f>
        <v/>
      </c>
      <c r="AR356" s="51" t="str">
        <f>IF(XT!$P356=0,AP356,"")</f>
        <v/>
      </c>
      <c r="AS356">
        <f>SUMPRODUCT((MONTH(CHOOSE({1,2,3,4},XT!U356,XT!Y356,XT!AC356,XT!AG356))=12)*(CHOOSE({1,2,3,4},XT!X356,XT!AB356,XT!AF356,XT!AJ356)))</f>
        <v>0</v>
      </c>
      <c r="AT356" t="str">
        <f>IFERROR(INDEX(CHOOSE({1,2,3,4}, DAY(XT!U356), DAY(XT!Y356), DAY(XT!AC356), DAY(XT!AG356)), MATCH(1, INDEX(--(MONTH(CHOOSE({1,2,3,4}, XT!U356,XT!Y356,XT!AC356,XT!AG356))=12), 0), 0)), "")</f>
        <v/>
      </c>
      <c r="AU356" s="51" t="str">
        <f>IF(XT!$P356&gt;0,AT356,"")</f>
        <v/>
      </c>
      <c r="AV356" s="51" t="str">
        <f>IF(XT!$P356=0,AT356,"")</f>
        <v/>
      </c>
    </row>
    <row r="357" spans="1:48">
      <c r="A357">
        <f>SUMPRODUCT((MONTH(CHOOSE({1,2,3,4},XT!U357,XT!Y357,XT!AC357,XT!AG357))=1)*(CHOOSE({1,2,3,4},XT!X357,XT!AB357,XT!AF357,XT!AJ357)))</f>
        <v>0</v>
      </c>
      <c r="B357">
        <f>IFERROR(INDEX(CHOOSE({1,2,3,4}, DAY(XT!U357), DAY(XT!Y357), DAY(XT!AC357), DAY(XT!AG357)), MATCH(1, INDEX(--(MONTH(CHOOSE({1,2,3,4}, XT!U357,XT!Y357,XT!AC357,XT!AG357))=1), 0), 0)), "")</f>
        <v>0</v>
      </c>
      <c r="C357" s="51" t="str">
        <f>IF(XT!$P357&gt;0,B357,"")</f>
        <v/>
      </c>
      <c r="D357" s="51">
        <f>IF(XT!$P357=0,B357,"")</f>
        <v>0</v>
      </c>
      <c r="E357">
        <f>SUMPRODUCT((MONTH(CHOOSE({1,2,3,4},XT!U357,XT!Y357,XT!AC357,XT!AG357))=2)*(CHOOSE({1,2,3,4},XT!X357,XT!AB357,XT!AF357,XT!AJ357)))</f>
        <v>0</v>
      </c>
      <c r="F357" t="str">
        <f>IFERROR(INDEX(CHOOSE({1,2,3,4}, DAY(XT!U357), DAY(XT!Y357), DAY(XT!AC357), DAY(XT!AG357)), MATCH(1, INDEX(--(MONTH(CHOOSE({1,2,3,4}, XT!U357,XT!Y357,XT!AC357,XT!AG357))=2), 0), 0)), "")</f>
        <v/>
      </c>
      <c r="G357" s="51" t="str">
        <f>IF(XT!$P357&gt;0,F357,"")</f>
        <v/>
      </c>
      <c r="H357" s="51" t="str">
        <f>IF(XT!$P357=0,F357,"")</f>
        <v/>
      </c>
      <c r="I357">
        <f>SUMPRODUCT((MONTH(CHOOSE({1,2,3,4},XT!U357,XT!Y357,XT!AC357,XT!AG357))=3)*(CHOOSE({1,2,3,4},XT!X357,XT!AB357,XT!AF357,XT!AJ357)))</f>
        <v>0</v>
      </c>
      <c r="J357" t="str">
        <f>IFERROR(INDEX(CHOOSE({1,2,3,4}, DAY(XT!U357), DAY(XT!Y357), DAY(XT!AC357), DAY(XT!AG357)), MATCH(1, INDEX(--(MONTH(CHOOSE({1,2,3,4}, XT!U357,XT!Y357,XT!AC357,XT!AG357))=3), 0), 0)), "")</f>
        <v/>
      </c>
      <c r="K357" s="51" t="str">
        <f>IF(XT!$P357&gt;0,J357,"")</f>
        <v/>
      </c>
      <c r="L357" s="51" t="str">
        <f>IF(XT!$P357=0,J357,"")</f>
        <v/>
      </c>
      <c r="M357">
        <f>SUMPRODUCT((MONTH(CHOOSE({1,2,3,4},XT!U357,XT!Y357,XT!AC357,XT!AG357))=4)*(CHOOSE({1,2,3,4},XT!X357,XT!AB357,XT!AF357,XT!AJ357)))</f>
        <v>0</v>
      </c>
      <c r="N357" t="str">
        <f>IFERROR(INDEX(CHOOSE({1,2,3,4}, DAY(XT!U357), DAY(XT!Y357), DAY(XT!AC357), DAY(XT!AG357)), MATCH(1, INDEX(--(MONTH(CHOOSE({1,2,3,4}, XT!U357,XT!Y357,XT!AC357,XT!AG357))=4), 0), 0)), "")</f>
        <v/>
      </c>
      <c r="O357" s="51" t="str">
        <f>IF(XT!$P357&gt;0,N357,"")</f>
        <v/>
      </c>
      <c r="P357" s="51" t="str">
        <f>IF(XT!$P357=0,N357,"")</f>
        <v/>
      </c>
      <c r="Q357">
        <f>SUMPRODUCT((MONTH(CHOOSE({1,2,3,4},XT!U357,XT!Y357,XT!AC357,XT!AG357))=5)*(CHOOSE({1,2,3,4},XT!X357,XT!AB357,XT!AF357,XT!AJ357)))</f>
        <v>0</v>
      </c>
      <c r="R357" t="str">
        <f>IFERROR(INDEX(CHOOSE({1,2,3,4}, DAY(XT!U357), DAY(XT!Y357), DAY(XT!AC357), DAY(XT!AG357)), MATCH(1, INDEX(--(MONTH(CHOOSE({1,2,3,4}, XT!U357,XT!Y357,XT!AC357,XT!AG357))=5), 0), 0)), "")</f>
        <v/>
      </c>
      <c r="S357" s="51" t="str">
        <f>IF(XT!$P357&gt;0,R357,"")</f>
        <v/>
      </c>
      <c r="T357" s="51" t="str">
        <f>IF(XT!$P357=0,R357,"")</f>
        <v/>
      </c>
      <c r="U357">
        <f>SUMPRODUCT((MONTH(CHOOSE({1,2,3,4},XT!U357,XT!Y357,XT!AC357,XT!AG357))=6)*(CHOOSE({1,2,3,4},XT!X357,XT!AB357,XT!AF357,XT!AJ357)))</f>
        <v>0</v>
      </c>
      <c r="V357" t="str">
        <f>IFERROR(INDEX(CHOOSE({1,2,3,4}, DAY(XT!U357), DAY(XT!Y357), DAY(XT!AC357), DAY(XT!AG357)), MATCH(1, INDEX(--(MONTH(CHOOSE({1,2,3,4}, XT!U357,XT!Y357,XT!AC357,XT!AG357))=6), 0), 0)), "")</f>
        <v/>
      </c>
      <c r="W357" s="51" t="str">
        <f>IF(XT!$P357&gt;0,V357,"")</f>
        <v/>
      </c>
      <c r="X357" s="51" t="str">
        <f>IF(XT!$P357=0,V357,"")</f>
        <v/>
      </c>
      <c r="Y357">
        <f>SUMPRODUCT((MONTH(CHOOSE({1,2,3,4},XT!U357,XT!Y357,XT!AC357,XT!AG357))=7)*(CHOOSE({1,2,3,4},XT!X357,XT!AB357,XT!AF357,XT!AJ357)))</f>
        <v>0</v>
      </c>
      <c r="Z357" t="str">
        <f>IFERROR(INDEX(CHOOSE({1,2,3,4}, DAY(XT!U357), DAY(XT!Y357), DAY(XT!AC357), DAY(XT!AG357)), MATCH(1, INDEX(--(MONTH(CHOOSE({1,2,3,4}, XT!U357,XT!Y357,XT!AC357,XT!AG357))=7), 0), 0)), "")</f>
        <v/>
      </c>
      <c r="AA357" s="51" t="str">
        <f>IF(XT!$P357&gt;0,Z357,"")</f>
        <v/>
      </c>
      <c r="AB357" s="51" t="str">
        <f>IF(XT!$P357=0,Z357,"")</f>
        <v/>
      </c>
      <c r="AC357">
        <f>SUMPRODUCT((MONTH(CHOOSE({1,2,3,4},XT!U357,XT!Y357,XT!AC357,XT!AG357))=8)*(CHOOSE({1,2,3,4},XT!X357,XT!AB357,XT!AF357,XT!AJ357)))</f>
        <v>0</v>
      </c>
      <c r="AD357" t="str">
        <f>IFERROR(INDEX(CHOOSE({1,2,3,4}, DAY(XT!U357), DAY(XT!Y357), DAY(XT!AC357), DAY(XT!AG357)), MATCH(1, INDEX(--(MONTH(CHOOSE({1,2,3,4}, XT!U357,XT!Y357,XT!AC357,XT!AG357))=8), 0), 0)), "")</f>
        <v/>
      </c>
      <c r="AE357" s="51" t="str">
        <f>IF(XT!$P357&gt;0,AD357,"")</f>
        <v/>
      </c>
      <c r="AF357" s="51" t="str">
        <f>IF(XT!$P357=0,AD357,"")</f>
        <v/>
      </c>
      <c r="AG357">
        <f>SUMPRODUCT((MONTH(CHOOSE({1,2,3,4},XT!U357,XT!Y357,XT!AC357,XT!AG357))=9)*(CHOOSE({1,2,3,4},XT!X357,XT!AB357,XT!AF357,XT!AJ357)))</f>
        <v>0</v>
      </c>
      <c r="AH357" t="str">
        <f>IFERROR(INDEX(CHOOSE({1,2,3,4}, DAY(XT!U357), DAY(XT!Y357), DAY(XT!AC357), DAY(XT!AG357)), MATCH(1, INDEX(--(MONTH(CHOOSE({1,2,3,4}, XT!U357,XT!Y357,XT!AC357,XT!AG357))=9), 0), 0)), "")</f>
        <v/>
      </c>
      <c r="AI357" s="51" t="str">
        <f>IF(XT!$P357&gt;0,AH357,"")</f>
        <v/>
      </c>
      <c r="AJ357" s="51" t="str">
        <f>IF(XT!$P357=0,AH357,"")</f>
        <v/>
      </c>
      <c r="AK357">
        <f>SUMPRODUCT((MONTH(CHOOSE({1,2,3,4},XT!U357,XT!Y357,XT!AC357,XT!AG357))=10)*(CHOOSE({1,2,3,4},XT!X357,XT!AB357,XT!AF357,XT!AJ357)))</f>
        <v>0</v>
      </c>
      <c r="AL357" t="str">
        <f>IFERROR(INDEX(CHOOSE({1,2,3,4}, DAY(XT!U357), DAY(XT!Y357), DAY(XT!AC357), DAY(XT!AG357)), MATCH(1, INDEX(--(MONTH(CHOOSE({1,2,3,4}, XT!U357,XT!Y357,XT!AC357,XT!AG357))=10), 0), 0)), "")</f>
        <v/>
      </c>
      <c r="AM357" s="51" t="str">
        <f>IF(XT!$P357&gt;0,AL357,"")</f>
        <v/>
      </c>
      <c r="AN357" s="51" t="str">
        <f>IF(XT!$P357=0,AL357,"")</f>
        <v/>
      </c>
      <c r="AO357">
        <f>SUMPRODUCT((MONTH(CHOOSE({1,2,3,4},XT!U357,XT!Y357,XT!AC357,XT!AG357))=11)*(CHOOSE({1,2,3,4},XT!X357,XT!AB357,XT!AF357,XT!AJ357)))</f>
        <v>0</v>
      </c>
      <c r="AP357" t="str">
        <f>IFERROR(INDEX(CHOOSE({1,2,3,4}, DAY(XT!U357), DAY(XT!Y357), DAY(XT!AC357), DAY(XT!AG357)), MATCH(1, INDEX(--(MONTH(CHOOSE({1,2,3,4}, XT!U357,XT!Y357,XT!AC357,XT!AG357))=11), 0), 0)), "")</f>
        <v/>
      </c>
      <c r="AQ357" s="51" t="str">
        <f>IF(XT!$P357&gt;0,AP357,"")</f>
        <v/>
      </c>
      <c r="AR357" s="51" t="str">
        <f>IF(XT!$P357=0,AP357,"")</f>
        <v/>
      </c>
      <c r="AS357">
        <f>SUMPRODUCT((MONTH(CHOOSE({1,2,3,4},XT!U357,XT!Y357,XT!AC357,XT!AG357))=12)*(CHOOSE({1,2,3,4},XT!X357,XT!AB357,XT!AF357,XT!AJ357)))</f>
        <v>0</v>
      </c>
      <c r="AT357" t="str">
        <f>IFERROR(INDEX(CHOOSE({1,2,3,4}, DAY(XT!U357), DAY(XT!Y357), DAY(XT!AC357), DAY(XT!AG357)), MATCH(1, INDEX(--(MONTH(CHOOSE({1,2,3,4}, XT!U357,XT!Y357,XT!AC357,XT!AG357))=12), 0), 0)), "")</f>
        <v/>
      </c>
      <c r="AU357" s="51" t="str">
        <f>IF(XT!$P357&gt;0,AT357,"")</f>
        <v/>
      </c>
      <c r="AV357" s="51" t="str">
        <f>IF(XT!$P357=0,AT357,"")</f>
        <v/>
      </c>
    </row>
    <row r="358" spans="1:48">
      <c r="A358">
        <f>SUMPRODUCT((MONTH(CHOOSE({1,2,3,4},XT!U358,XT!Y358,XT!AC358,XT!AG358))=1)*(CHOOSE({1,2,3,4},XT!X358,XT!AB358,XT!AF358,XT!AJ358)))</f>
        <v>0</v>
      </c>
      <c r="B358">
        <f>IFERROR(INDEX(CHOOSE({1,2,3,4}, DAY(XT!U358), DAY(XT!Y358), DAY(XT!AC358), DAY(XT!AG358)), MATCH(1, INDEX(--(MONTH(CHOOSE({1,2,3,4}, XT!U358,XT!Y358,XT!AC358,XT!AG358))=1), 0), 0)), "")</f>
        <v>0</v>
      </c>
      <c r="C358" s="51" t="str">
        <f>IF(XT!$P358&gt;0,B358,"")</f>
        <v/>
      </c>
      <c r="D358" s="51">
        <f>IF(XT!$P358=0,B358,"")</f>
        <v>0</v>
      </c>
      <c r="E358">
        <f>SUMPRODUCT((MONTH(CHOOSE({1,2,3,4},XT!U358,XT!Y358,XT!AC358,XT!AG358))=2)*(CHOOSE({1,2,3,4},XT!X358,XT!AB358,XT!AF358,XT!AJ358)))</f>
        <v>0</v>
      </c>
      <c r="F358" t="str">
        <f>IFERROR(INDEX(CHOOSE({1,2,3,4}, DAY(XT!U358), DAY(XT!Y358), DAY(XT!AC358), DAY(XT!AG358)), MATCH(1, INDEX(--(MONTH(CHOOSE({1,2,3,4}, XT!U358,XT!Y358,XT!AC358,XT!AG358))=2), 0), 0)), "")</f>
        <v/>
      </c>
      <c r="G358" s="51" t="str">
        <f>IF(XT!$P358&gt;0,F358,"")</f>
        <v/>
      </c>
      <c r="H358" s="51" t="str">
        <f>IF(XT!$P358=0,F358,"")</f>
        <v/>
      </c>
      <c r="I358">
        <f>SUMPRODUCT((MONTH(CHOOSE({1,2,3,4},XT!U358,XT!Y358,XT!AC358,XT!AG358))=3)*(CHOOSE({1,2,3,4},XT!X358,XT!AB358,XT!AF358,XT!AJ358)))</f>
        <v>0</v>
      </c>
      <c r="J358" t="str">
        <f>IFERROR(INDEX(CHOOSE({1,2,3,4}, DAY(XT!U358), DAY(XT!Y358), DAY(XT!AC358), DAY(XT!AG358)), MATCH(1, INDEX(--(MONTH(CHOOSE({1,2,3,4}, XT!U358,XT!Y358,XT!AC358,XT!AG358))=3), 0), 0)), "")</f>
        <v/>
      </c>
      <c r="K358" s="51" t="str">
        <f>IF(XT!$P358&gt;0,J358,"")</f>
        <v/>
      </c>
      <c r="L358" s="51" t="str">
        <f>IF(XT!$P358=0,J358,"")</f>
        <v/>
      </c>
      <c r="M358">
        <f>SUMPRODUCT((MONTH(CHOOSE({1,2,3,4},XT!U358,XT!Y358,XT!AC358,XT!AG358))=4)*(CHOOSE({1,2,3,4},XT!X358,XT!AB358,XT!AF358,XT!AJ358)))</f>
        <v>0</v>
      </c>
      <c r="N358" t="str">
        <f>IFERROR(INDEX(CHOOSE({1,2,3,4}, DAY(XT!U358), DAY(XT!Y358), DAY(XT!AC358), DAY(XT!AG358)), MATCH(1, INDEX(--(MONTH(CHOOSE({1,2,3,4}, XT!U358,XT!Y358,XT!AC358,XT!AG358))=4), 0), 0)), "")</f>
        <v/>
      </c>
      <c r="O358" s="51" t="str">
        <f>IF(XT!$P358&gt;0,N358,"")</f>
        <v/>
      </c>
      <c r="P358" s="51" t="str">
        <f>IF(XT!$P358=0,N358,"")</f>
        <v/>
      </c>
      <c r="Q358">
        <f>SUMPRODUCT((MONTH(CHOOSE({1,2,3,4},XT!U358,XT!Y358,XT!AC358,XT!AG358))=5)*(CHOOSE({1,2,3,4},XT!X358,XT!AB358,XT!AF358,XT!AJ358)))</f>
        <v>0</v>
      </c>
      <c r="R358" t="str">
        <f>IFERROR(INDEX(CHOOSE({1,2,3,4}, DAY(XT!U358), DAY(XT!Y358), DAY(XT!AC358), DAY(XT!AG358)), MATCH(1, INDEX(--(MONTH(CHOOSE({1,2,3,4}, XT!U358,XT!Y358,XT!AC358,XT!AG358))=5), 0), 0)), "")</f>
        <v/>
      </c>
      <c r="S358" s="51" t="str">
        <f>IF(XT!$P358&gt;0,R358,"")</f>
        <v/>
      </c>
      <c r="T358" s="51" t="str">
        <f>IF(XT!$P358=0,R358,"")</f>
        <v/>
      </c>
      <c r="U358">
        <f>SUMPRODUCT((MONTH(CHOOSE({1,2,3,4},XT!U358,XT!Y358,XT!AC358,XT!AG358))=6)*(CHOOSE({1,2,3,4},XT!X358,XT!AB358,XT!AF358,XT!AJ358)))</f>
        <v>0</v>
      </c>
      <c r="V358" t="str">
        <f>IFERROR(INDEX(CHOOSE({1,2,3,4}, DAY(XT!U358), DAY(XT!Y358), DAY(XT!AC358), DAY(XT!AG358)), MATCH(1, INDEX(--(MONTH(CHOOSE({1,2,3,4}, XT!U358,XT!Y358,XT!AC358,XT!AG358))=6), 0), 0)), "")</f>
        <v/>
      </c>
      <c r="W358" s="51" t="str">
        <f>IF(XT!$P358&gt;0,V358,"")</f>
        <v/>
      </c>
      <c r="X358" s="51" t="str">
        <f>IF(XT!$P358=0,V358,"")</f>
        <v/>
      </c>
      <c r="Y358">
        <f>SUMPRODUCT((MONTH(CHOOSE({1,2,3,4},XT!U358,XT!Y358,XT!AC358,XT!AG358))=7)*(CHOOSE({1,2,3,4},XT!X358,XT!AB358,XT!AF358,XT!AJ358)))</f>
        <v>0</v>
      </c>
      <c r="Z358" t="str">
        <f>IFERROR(INDEX(CHOOSE({1,2,3,4}, DAY(XT!U358), DAY(XT!Y358), DAY(XT!AC358), DAY(XT!AG358)), MATCH(1, INDEX(--(MONTH(CHOOSE({1,2,3,4}, XT!U358,XT!Y358,XT!AC358,XT!AG358))=7), 0), 0)), "")</f>
        <v/>
      </c>
      <c r="AA358" s="51" t="str">
        <f>IF(XT!$P358&gt;0,Z358,"")</f>
        <v/>
      </c>
      <c r="AB358" s="51" t="str">
        <f>IF(XT!$P358=0,Z358,"")</f>
        <v/>
      </c>
      <c r="AC358">
        <f>SUMPRODUCT((MONTH(CHOOSE({1,2,3,4},XT!U358,XT!Y358,XT!AC358,XT!AG358))=8)*(CHOOSE({1,2,3,4},XT!X358,XT!AB358,XT!AF358,XT!AJ358)))</f>
        <v>0</v>
      </c>
      <c r="AD358" t="str">
        <f>IFERROR(INDEX(CHOOSE({1,2,3,4}, DAY(XT!U358), DAY(XT!Y358), DAY(XT!AC358), DAY(XT!AG358)), MATCH(1, INDEX(--(MONTH(CHOOSE({1,2,3,4}, XT!U358,XT!Y358,XT!AC358,XT!AG358))=8), 0), 0)), "")</f>
        <v/>
      </c>
      <c r="AE358" s="51" t="str">
        <f>IF(XT!$P358&gt;0,AD358,"")</f>
        <v/>
      </c>
      <c r="AF358" s="51" t="str">
        <f>IF(XT!$P358=0,AD358,"")</f>
        <v/>
      </c>
      <c r="AG358">
        <f>SUMPRODUCT((MONTH(CHOOSE({1,2,3,4},XT!U358,XT!Y358,XT!AC358,XT!AG358))=9)*(CHOOSE({1,2,3,4},XT!X358,XT!AB358,XT!AF358,XT!AJ358)))</f>
        <v>0</v>
      </c>
      <c r="AH358" t="str">
        <f>IFERROR(INDEX(CHOOSE({1,2,3,4}, DAY(XT!U358), DAY(XT!Y358), DAY(XT!AC358), DAY(XT!AG358)), MATCH(1, INDEX(--(MONTH(CHOOSE({1,2,3,4}, XT!U358,XT!Y358,XT!AC358,XT!AG358))=9), 0), 0)), "")</f>
        <v/>
      </c>
      <c r="AI358" s="51" t="str">
        <f>IF(XT!$P358&gt;0,AH358,"")</f>
        <v/>
      </c>
      <c r="AJ358" s="51" t="str">
        <f>IF(XT!$P358=0,AH358,"")</f>
        <v/>
      </c>
      <c r="AK358">
        <f>SUMPRODUCT((MONTH(CHOOSE({1,2,3,4},XT!U358,XT!Y358,XT!AC358,XT!AG358))=10)*(CHOOSE({1,2,3,4},XT!X358,XT!AB358,XT!AF358,XT!AJ358)))</f>
        <v>0</v>
      </c>
      <c r="AL358" t="str">
        <f>IFERROR(INDEX(CHOOSE({1,2,3,4}, DAY(XT!U358), DAY(XT!Y358), DAY(XT!AC358), DAY(XT!AG358)), MATCH(1, INDEX(--(MONTH(CHOOSE({1,2,3,4}, XT!U358,XT!Y358,XT!AC358,XT!AG358))=10), 0), 0)), "")</f>
        <v/>
      </c>
      <c r="AM358" s="51" t="str">
        <f>IF(XT!$P358&gt;0,AL358,"")</f>
        <v/>
      </c>
      <c r="AN358" s="51" t="str">
        <f>IF(XT!$P358=0,AL358,"")</f>
        <v/>
      </c>
      <c r="AO358">
        <f>SUMPRODUCT((MONTH(CHOOSE({1,2,3,4},XT!U358,XT!Y358,XT!AC358,XT!AG358))=11)*(CHOOSE({1,2,3,4},XT!X358,XT!AB358,XT!AF358,XT!AJ358)))</f>
        <v>0</v>
      </c>
      <c r="AP358" t="str">
        <f>IFERROR(INDEX(CHOOSE({1,2,3,4}, DAY(XT!U358), DAY(XT!Y358), DAY(XT!AC358), DAY(XT!AG358)), MATCH(1, INDEX(--(MONTH(CHOOSE({1,2,3,4}, XT!U358,XT!Y358,XT!AC358,XT!AG358))=11), 0), 0)), "")</f>
        <v/>
      </c>
      <c r="AQ358" s="51" t="str">
        <f>IF(XT!$P358&gt;0,AP358,"")</f>
        <v/>
      </c>
      <c r="AR358" s="51" t="str">
        <f>IF(XT!$P358=0,AP358,"")</f>
        <v/>
      </c>
      <c r="AS358">
        <f>SUMPRODUCT((MONTH(CHOOSE({1,2,3,4},XT!U358,XT!Y358,XT!AC358,XT!AG358))=12)*(CHOOSE({1,2,3,4},XT!X358,XT!AB358,XT!AF358,XT!AJ358)))</f>
        <v>0</v>
      </c>
      <c r="AT358" t="str">
        <f>IFERROR(INDEX(CHOOSE({1,2,3,4}, DAY(XT!U358), DAY(XT!Y358), DAY(XT!AC358), DAY(XT!AG358)), MATCH(1, INDEX(--(MONTH(CHOOSE({1,2,3,4}, XT!U358,XT!Y358,XT!AC358,XT!AG358))=12), 0), 0)), "")</f>
        <v/>
      </c>
      <c r="AU358" s="51" t="str">
        <f>IF(XT!$P358&gt;0,AT358,"")</f>
        <v/>
      </c>
      <c r="AV358" s="51" t="str">
        <f>IF(XT!$P358=0,AT358,"")</f>
        <v/>
      </c>
    </row>
    <row r="359" spans="1:48">
      <c r="A359">
        <f>SUMPRODUCT((MONTH(CHOOSE({1,2,3,4},XT!U359,XT!Y359,XT!AC359,XT!AG359))=1)*(CHOOSE({1,2,3,4},XT!X359,XT!AB359,XT!AF359,XT!AJ359)))</f>
        <v>0</v>
      </c>
      <c r="B359">
        <f>IFERROR(INDEX(CHOOSE({1,2,3,4}, DAY(XT!U359), DAY(XT!Y359), DAY(XT!AC359), DAY(XT!AG359)), MATCH(1, INDEX(--(MONTH(CHOOSE({1,2,3,4}, XT!U359,XT!Y359,XT!AC359,XT!AG359))=1), 0), 0)), "")</f>
        <v>0</v>
      </c>
      <c r="C359" s="51" t="str">
        <f>IF(XT!$P359&gt;0,B359,"")</f>
        <v/>
      </c>
      <c r="D359" s="51">
        <f>IF(XT!$P359=0,B359,"")</f>
        <v>0</v>
      </c>
      <c r="E359">
        <f>SUMPRODUCT((MONTH(CHOOSE({1,2,3,4},XT!U359,XT!Y359,XT!AC359,XT!AG359))=2)*(CHOOSE({1,2,3,4},XT!X359,XT!AB359,XT!AF359,XT!AJ359)))</f>
        <v>0</v>
      </c>
      <c r="F359" t="str">
        <f>IFERROR(INDEX(CHOOSE({1,2,3,4}, DAY(XT!U359), DAY(XT!Y359), DAY(XT!AC359), DAY(XT!AG359)), MATCH(1, INDEX(--(MONTH(CHOOSE({1,2,3,4}, XT!U359,XT!Y359,XT!AC359,XT!AG359))=2), 0), 0)), "")</f>
        <v/>
      </c>
      <c r="G359" s="51" t="str">
        <f>IF(XT!$P359&gt;0,F359,"")</f>
        <v/>
      </c>
      <c r="H359" s="51" t="str">
        <f>IF(XT!$P359=0,F359,"")</f>
        <v/>
      </c>
      <c r="I359">
        <f>SUMPRODUCT((MONTH(CHOOSE({1,2,3,4},XT!U359,XT!Y359,XT!AC359,XT!AG359))=3)*(CHOOSE({1,2,3,4},XT!X359,XT!AB359,XT!AF359,XT!AJ359)))</f>
        <v>0</v>
      </c>
      <c r="J359" t="str">
        <f>IFERROR(INDEX(CHOOSE({1,2,3,4}, DAY(XT!U359), DAY(XT!Y359), DAY(XT!AC359), DAY(XT!AG359)), MATCH(1, INDEX(--(MONTH(CHOOSE({1,2,3,4}, XT!U359,XT!Y359,XT!AC359,XT!AG359))=3), 0), 0)), "")</f>
        <v/>
      </c>
      <c r="K359" s="51" t="str">
        <f>IF(XT!$P359&gt;0,J359,"")</f>
        <v/>
      </c>
      <c r="L359" s="51" t="str">
        <f>IF(XT!$P359=0,J359,"")</f>
        <v/>
      </c>
      <c r="M359">
        <f>SUMPRODUCT((MONTH(CHOOSE({1,2,3,4},XT!U359,XT!Y359,XT!AC359,XT!AG359))=4)*(CHOOSE({1,2,3,4},XT!X359,XT!AB359,XT!AF359,XT!AJ359)))</f>
        <v>0</v>
      </c>
      <c r="N359" t="str">
        <f>IFERROR(INDEX(CHOOSE({1,2,3,4}, DAY(XT!U359), DAY(XT!Y359), DAY(XT!AC359), DAY(XT!AG359)), MATCH(1, INDEX(--(MONTH(CHOOSE({1,2,3,4}, XT!U359,XT!Y359,XT!AC359,XT!AG359))=4), 0), 0)), "")</f>
        <v/>
      </c>
      <c r="O359" s="51" t="str">
        <f>IF(XT!$P359&gt;0,N359,"")</f>
        <v/>
      </c>
      <c r="P359" s="51" t="str">
        <f>IF(XT!$P359=0,N359,"")</f>
        <v/>
      </c>
      <c r="Q359">
        <f>SUMPRODUCT((MONTH(CHOOSE({1,2,3,4},XT!U359,XT!Y359,XT!AC359,XT!AG359))=5)*(CHOOSE({1,2,3,4},XT!X359,XT!AB359,XT!AF359,XT!AJ359)))</f>
        <v>0</v>
      </c>
      <c r="R359" t="str">
        <f>IFERROR(INDEX(CHOOSE({1,2,3,4}, DAY(XT!U359), DAY(XT!Y359), DAY(XT!AC359), DAY(XT!AG359)), MATCH(1, INDEX(--(MONTH(CHOOSE({1,2,3,4}, XT!U359,XT!Y359,XT!AC359,XT!AG359))=5), 0), 0)), "")</f>
        <v/>
      </c>
      <c r="S359" s="51" t="str">
        <f>IF(XT!$P359&gt;0,R359,"")</f>
        <v/>
      </c>
      <c r="T359" s="51" t="str">
        <f>IF(XT!$P359=0,R359,"")</f>
        <v/>
      </c>
      <c r="U359">
        <f>SUMPRODUCT((MONTH(CHOOSE({1,2,3,4},XT!U359,XT!Y359,XT!AC359,XT!AG359))=6)*(CHOOSE({1,2,3,4},XT!X359,XT!AB359,XT!AF359,XT!AJ359)))</f>
        <v>0</v>
      </c>
      <c r="V359" t="str">
        <f>IFERROR(INDEX(CHOOSE({1,2,3,4}, DAY(XT!U359), DAY(XT!Y359), DAY(XT!AC359), DAY(XT!AG359)), MATCH(1, INDEX(--(MONTH(CHOOSE({1,2,3,4}, XT!U359,XT!Y359,XT!AC359,XT!AG359))=6), 0), 0)), "")</f>
        <v/>
      </c>
      <c r="W359" s="51" t="str">
        <f>IF(XT!$P359&gt;0,V359,"")</f>
        <v/>
      </c>
      <c r="X359" s="51" t="str">
        <f>IF(XT!$P359=0,V359,"")</f>
        <v/>
      </c>
      <c r="Y359">
        <f>SUMPRODUCT((MONTH(CHOOSE({1,2,3,4},XT!U359,XT!Y359,XT!AC359,XT!AG359))=7)*(CHOOSE({1,2,3,4},XT!X359,XT!AB359,XT!AF359,XT!AJ359)))</f>
        <v>0</v>
      </c>
      <c r="Z359" t="str">
        <f>IFERROR(INDEX(CHOOSE({1,2,3,4}, DAY(XT!U359), DAY(XT!Y359), DAY(XT!AC359), DAY(XT!AG359)), MATCH(1, INDEX(--(MONTH(CHOOSE({1,2,3,4}, XT!U359,XT!Y359,XT!AC359,XT!AG359))=7), 0), 0)), "")</f>
        <v/>
      </c>
      <c r="AA359" s="51" t="str">
        <f>IF(XT!$P359&gt;0,Z359,"")</f>
        <v/>
      </c>
      <c r="AB359" s="51" t="str">
        <f>IF(XT!$P359=0,Z359,"")</f>
        <v/>
      </c>
      <c r="AC359">
        <f>SUMPRODUCT((MONTH(CHOOSE({1,2,3,4},XT!U359,XT!Y359,XT!AC359,XT!AG359))=8)*(CHOOSE({1,2,3,4},XT!X359,XT!AB359,XT!AF359,XT!AJ359)))</f>
        <v>0</v>
      </c>
      <c r="AD359" t="str">
        <f>IFERROR(INDEX(CHOOSE({1,2,3,4}, DAY(XT!U359), DAY(XT!Y359), DAY(XT!AC359), DAY(XT!AG359)), MATCH(1, INDEX(--(MONTH(CHOOSE({1,2,3,4}, XT!U359,XT!Y359,XT!AC359,XT!AG359))=8), 0), 0)), "")</f>
        <v/>
      </c>
      <c r="AE359" s="51" t="str">
        <f>IF(XT!$P359&gt;0,AD359,"")</f>
        <v/>
      </c>
      <c r="AF359" s="51" t="str">
        <f>IF(XT!$P359=0,AD359,"")</f>
        <v/>
      </c>
      <c r="AG359">
        <f>SUMPRODUCT((MONTH(CHOOSE({1,2,3,4},XT!U359,XT!Y359,XT!AC359,XT!AG359))=9)*(CHOOSE({1,2,3,4},XT!X359,XT!AB359,XT!AF359,XT!AJ359)))</f>
        <v>0</v>
      </c>
      <c r="AH359" t="str">
        <f>IFERROR(INDEX(CHOOSE({1,2,3,4}, DAY(XT!U359), DAY(XT!Y359), DAY(XT!AC359), DAY(XT!AG359)), MATCH(1, INDEX(--(MONTH(CHOOSE({1,2,3,4}, XT!U359,XT!Y359,XT!AC359,XT!AG359))=9), 0), 0)), "")</f>
        <v/>
      </c>
      <c r="AI359" s="51" t="str">
        <f>IF(XT!$P359&gt;0,AH359,"")</f>
        <v/>
      </c>
      <c r="AJ359" s="51" t="str">
        <f>IF(XT!$P359=0,AH359,"")</f>
        <v/>
      </c>
      <c r="AK359">
        <f>SUMPRODUCT((MONTH(CHOOSE({1,2,3,4},XT!U359,XT!Y359,XT!AC359,XT!AG359))=10)*(CHOOSE({1,2,3,4},XT!X359,XT!AB359,XT!AF359,XT!AJ359)))</f>
        <v>0</v>
      </c>
      <c r="AL359" t="str">
        <f>IFERROR(INDEX(CHOOSE({1,2,3,4}, DAY(XT!U359), DAY(XT!Y359), DAY(XT!AC359), DAY(XT!AG359)), MATCH(1, INDEX(--(MONTH(CHOOSE({1,2,3,4}, XT!U359,XT!Y359,XT!AC359,XT!AG359))=10), 0), 0)), "")</f>
        <v/>
      </c>
      <c r="AM359" s="51" t="str">
        <f>IF(XT!$P359&gt;0,AL359,"")</f>
        <v/>
      </c>
      <c r="AN359" s="51" t="str">
        <f>IF(XT!$P359=0,AL359,"")</f>
        <v/>
      </c>
      <c r="AO359">
        <f>SUMPRODUCT((MONTH(CHOOSE({1,2,3,4},XT!U359,XT!Y359,XT!AC359,XT!AG359))=11)*(CHOOSE({1,2,3,4},XT!X359,XT!AB359,XT!AF359,XT!AJ359)))</f>
        <v>0</v>
      </c>
      <c r="AP359" t="str">
        <f>IFERROR(INDEX(CHOOSE({1,2,3,4}, DAY(XT!U359), DAY(XT!Y359), DAY(XT!AC359), DAY(XT!AG359)), MATCH(1, INDEX(--(MONTH(CHOOSE({1,2,3,4}, XT!U359,XT!Y359,XT!AC359,XT!AG359))=11), 0), 0)), "")</f>
        <v/>
      </c>
      <c r="AQ359" s="51" t="str">
        <f>IF(XT!$P359&gt;0,AP359,"")</f>
        <v/>
      </c>
      <c r="AR359" s="51" t="str">
        <f>IF(XT!$P359=0,AP359,"")</f>
        <v/>
      </c>
      <c r="AS359">
        <f>SUMPRODUCT((MONTH(CHOOSE({1,2,3,4},XT!U359,XT!Y359,XT!AC359,XT!AG359))=12)*(CHOOSE({1,2,3,4},XT!X359,XT!AB359,XT!AF359,XT!AJ359)))</f>
        <v>0</v>
      </c>
      <c r="AT359" t="str">
        <f>IFERROR(INDEX(CHOOSE({1,2,3,4}, DAY(XT!U359), DAY(XT!Y359), DAY(XT!AC359), DAY(XT!AG359)), MATCH(1, INDEX(--(MONTH(CHOOSE({1,2,3,4}, XT!U359,XT!Y359,XT!AC359,XT!AG359))=12), 0), 0)), "")</f>
        <v/>
      </c>
      <c r="AU359" s="51" t="str">
        <f>IF(XT!$P359&gt;0,AT359,"")</f>
        <v/>
      </c>
      <c r="AV359" s="51" t="str">
        <f>IF(XT!$P359=0,AT359,"")</f>
        <v/>
      </c>
    </row>
    <row r="360" spans="1:48">
      <c r="A360">
        <f>SUMPRODUCT((MONTH(CHOOSE({1,2,3,4},XT!U360,XT!Y360,XT!AC360,XT!AG360))=1)*(CHOOSE({1,2,3,4},XT!X360,XT!AB360,XT!AF360,XT!AJ360)))</f>
        <v>0</v>
      </c>
      <c r="B360">
        <f>IFERROR(INDEX(CHOOSE({1,2,3,4}, DAY(XT!U360), DAY(XT!Y360), DAY(XT!AC360), DAY(XT!AG360)), MATCH(1, INDEX(--(MONTH(CHOOSE({1,2,3,4}, XT!U360,XT!Y360,XT!AC360,XT!AG360))=1), 0), 0)), "")</f>
        <v>0</v>
      </c>
      <c r="C360" s="51" t="str">
        <f>IF(XT!$P360&gt;0,B360,"")</f>
        <v/>
      </c>
      <c r="D360" s="51">
        <f>IF(XT!$P360=0,B360,"")</f>
        <v>0</v>
      </c>
      <c r="E360">
        <f>SUMPRODUCT((MONTH(CHOOSE({1,2,3,4},XT!U360,XT!Y360,XT!AC360,XT!AG360))=2)*(CHOOSE({1,2,3,4},XT!X360,XT!AB360,XT!AF360,XT!AJ360)))</f>
        <v>0</v>
      </c>
      <c r="F360" t="str">
        <f>IFERROR(INDEX(CHOOSE({1,2,3,4}, DAY(XT!U360), DAY(XT!Y360), DAY(XT!AC360), DAY(XT!AG360)), MATCH(1, INDEX(--(MONTH(CHOOSE({1,2,3,4}, XT!U360,XT!Y360,XT!AC360,XT!AG360))=2), 0), 0)), "")</f>
        <v/>
      </c>
      <c r="G360" s="51" t="str">
        <f>IF(XT!$P360&gt;0,F360,"")</f>
        <v/>
      </c>
      <c r="H360" s="51" t="str">
        <f>IF(XT!$P360=0,F360,"")</f>
        <v/>
      </c>
      <c r="I360">
        <f>SUMPRODUCT((MONTH(CHOOSE({1,2,3,4},XT!U360,XT!Y360,XT!AC360,XT!AG360))=3)*(CHOOSE({1,2,3,4},XT!X360,XT!AB360,XT!AF360,XT!AJ360)))</f>
        <v>0</v>
      </c>
      <c r="J360" t="str">
        <f>IFERROR(INDEX(CHOOSE({1,2,3,4}, DAY(XT!U360), DAY(XT!Y360), DAY(XT!AC360), DAY(XT!AG360)), MATCH(1, INDEX(--(MONTH(CHOOSE({1,2,3,4}, XT!U360,XT!Y360,XT!AC360,XT!AG360))=3), 0), 0)), "")</f>
        <v/>
      </c>
      <c r="K360" s="51" t="str">
        <f>IF(XT!$P360&gt;0,J360,"")</f>
        <v/>
      </c>
      <c r="L360" s="51" t="str">
        <f>IF(XT!$P360=0,J360,"")</f>
        <v/>
      </c>
      <c r="M360">
        <f>SUMPRODUCT((MONTH(CHOOSE({1,2,3,4},XT!U360,XT!Y360,XT!AC360,XT!AG360))=4)*(CHOOSE({1,2,3,4},XT!X360,XT!AB360,XT!AF360,XT!AJ360)))</f>
        <v>0</v>
      </c>
      <c r="N360" t="str">
        <f>IFERROR(INDEX(CHOOSE({1,2,3,4}, DAY(XT!U360), DAY(XT!Y360), DAY(XT!AC360), DAY(XT!AG360)), MATCH(1, INDEX(--(MONTH(CHOOSE({1,2,3,4}, XT!U360,XT!Y360,XT!AC360,XT!AG360))=4), 0), 0)), "")</f>
        <v/>
      </c>
      <c r="O360" s="51" t="str">
        <f>IF(XT!$P360&gt;0,N360,"")</f>
        <v/>
      </c>
      <c r="P360" s="51" t="str">
        <f>IF(XT!$P360=0,N360,"")</f>
        <v/>
      </c>
      <c r="Q360">
        <f>SUMPRODUCT((MONTH(CHOOSE({1,2,3,4},XT!U360,XT!Y360,XT!AC360,XT!AG360))=5)*(CHOOSE({1,2,3,4},XT!X360,XT!AB360,XT!AF360,XT!AJ360)))</f>
        <v>0</v>
      </c>
      <c r="R360" t="str">
        <f>IFERROR(INDEX(CHOOSE({1,2,3,4}, DAY(XT!U360), DAY(XT!Y360), DAY(XT!AC360), DAY(XT!AG360)), MATCH(1, INDEX(--(MONTH(CHOOSE({1,2,3,4}, XT!U360,XT!Y360,XT!AC360,XT!AG360))=5), 0), 0)), "")</f>
        <v/>
      </c>
      <c r="S360" s="51" t="str">
        <f>IF(XT!$P360&gt;0,R360,"")</f>
        <v/>
      </c>
      <c r="T360" s="51" t="str">
        <f>IF(XT!$P360=0,R360,"")</f>
        <v/>
      </c>
      <c r="U360">
        <f>SUMPRODUCT((MONTH(CHOOSE({1,2,3,4},XT!U360,XT!Y360,XT!AC360,XT!AG360))=6)*(CHOOSE({1,2,3,4},XT!X360,XT!AB360,XT!AF360,XT!AJ360)))</f>
        <v>0</v>
      </c>
      <c r="V360" t="str">
        <f>IFERROR(INDEX(CHOOSE({1,2,3,4}, DAY(XT!U360), DAY(XT!Y360), DAY(XT!AC360), DAY(XT!AG360)), MATCH(1, INDEX(--(MONTH(CHOOSE({1,2,3,4}, XT!U360,XT!Y360,XT!AC360,XT!AG360))=6), 0), 0)), "")</f>
        <v/>
      </c>
      <c r="W360" s="51" t="str">
        <f>IF(XT!$P360&gt;0,V360,"")</f>
        <v/>
      </c>
      <c r="X360" s="51" t="str">
        <f>IF(XT!$P360=0,V360,"")</f>
        <v/>
      </c>
      <c r="Y360">
        <f>SUMPRODUCT((MONTH(CHOOSE({1,2,3,4},XT!U360,XT!Y360,XT!AC360,XT!AG360))=7)*(CHOOSE({1,2,3,4},XT!X360,XT!AB360,XT!AF360,XT!AJ360)))</f>
        <v>0</v>
      </c>
      <c r="Z360" t="str">
        <f>IFERROR(INDEX(CHOOSE({1,2,3,4}, DAY(XT!U360), DAY(XT!Y360), DAY(XT!AC360), DAY(XT!AG360)), MATCH(1, INDEX(--(MONTH(CHOOSE({1,2,3,4}, XT!U360,XT!Y360,XT!AC360,XT!AG360))=7), 0), 0)), "")</f>
        <v/>
      </c>
      <c r="AA360" s="51" t="str">
        <f>IF(XT!$P360&gt;0,Z360,"")</f>
        <v/>
      </c>
      <c r="AB360" s="51" t="str">
        <f>IF(XT!$P360=0,Z360,"")</f>
        <v/>
      </c>
      <c r="AC360">
        <f>SUMPRODUCT((MONTH(CHOOSE({1,2,3,4},XT!U360,XT!Y360,XT!AC360,XT!AG360))=8)*(CHOOSE({1,2,3,4},XT!X360,XT!AB360,XT!AF360,XT!AJ360)))</f>
        <v>0</v>
      </c>
      <c r="AD360" t="str">
        <f>IFERROR(INDEX(CHOOSE({1,2,3,4}, DAY(XT!U360), DAY(XT!Y360), DAY(XT!AC360), DAY(XT!AG360)), MATCH(1, INDEX(--(MONTH(CHOOSE({1,2,3,4}, XT!U360,XT!Y360,XT!AC360,XT!AG360))=8), 0), 0)), "")</f>
        <v/>
      </c>
      <c r="AE360" s="51" t="str">
        <f>IF(XT!$P360&gt;0,AD360,"")</f>
        <v/>
      </c>
      <c r="AF360" s="51" t="str">
        <f>IF(XT!$P360=0,AD360,"")</f>
        <v/>
      </c>
      <c r="AG360">
        <f>SUMPRODUCT((MONTH(CHOOSE({1,2,3,4},XT!U360,XT!Y360,XT!AC360,XT!AG360))=9)*(CHOOSE({1,2,3,4},XT!X360,XT!AB360,XT!AF360,XT!AJ360)))</f>
        <v>0</v>
      </c>
      <c r="AH360" t="str">
        <f>IFERROR(INDEX(CHOOSE({1,2,3,4}, DAY(XT!U360), DAY(XT!Y360), DAY(XT!AC360), DAY(XT!AG360)), MATCH(1, INDEX(--(MONTH(CHOOSE({1,2,3,4}, XT!U360,XT!Y360,XT!AC360,XT!AG360))=9), 0), 0)), "")</f>
        <v/>
      </c>
      <c r="AI360" s="51" t="str">
        <f>IF(XT!$P360&gt;0,AH360,"")</f>
        <v/>
      </c>
      <c r="AJ360" s="51" t="str">
        <f>IF(XT!$P360=0,AH360,"")</f>
        <v/>
      </c>
      <c r="AK360">
        <f>SUMPRODUCT((MONTH(CHOOSE({1,2,3,4},XT!U360,XT!Y360,XT!AC360,XT!AG360))=10)*(CHOOSE({1,2,3,4},XT!X360,XT!AB360,XT!AF360,XT!AJ360)))</f>
        <v>0</v>
      </c>
      <c r="AL360" t="str">
        <f>IFERROR(INDEX(CHOOSE({1,2,3,4}, DAY(XT!U360), DAY(XT!Y360), DAY(XT!AC360), DAY(XT!AG360)), MATCH(1, INDEX(--(MONTH(CHOOSE({1,2,3,4}, XT!U360,XT!Y360,XT!AC360,XT!AG360))=10), 0), 0)), "")</f>
        <v/>
      </c>
      <c r="AM360" s="51" t="str">
        <f>IF(XT!$P360&gt;0,AL360,"")</f>
        <v/>
      </c>
      <c r="AN360" s="51" t="str">
        <f>IF(XT!$P360=0,AL360,"")</f>
        <v/>
      </c>
      <c r="AO360">
        <f>SUMPRODUCT((MONTH(CHOOSE({1,2,3,4},XT!U360,XT!Y360,XT!AC360,XT!AG360))=11)*(CHOOSE({1,2,3,4},XT!X360,XT!AB360,XT!AF360,XT!AJ360)))</f>
        <v>0</v>
      </c>
      <c r="AP360" t="str">
        <f>IFERROR(INDEX(CHOOSE({1,2,3,4}, DAY(XT!U360), DAY(XT!Y360), DAY(XT!AC360), DAY(XT!AG360)), MATCH(1, INDEX(--(MONTH(CHOOSE({1,2,3,4}, XT!U360,XT!Y360,XT!AC360,XT!AG360))=11), 0), 0)), "")</f>
        <v/>
      </c>
      <c r="AQ360" s="51" t="str">
        <f>IF(XT!$P360&gt;0,AP360,"")</f>
        <v/>
      </c>
      <c r="AR360" s="51" t="str">
        <f>IF(XT!$P360=0,AP360,"")</f>
        <v/>
      </c>
      <c r="AS360">
        <f>SUMPRODUCT((MONTH(CHOOSE({1,2,3,4},XT!U360,XT!Y360,XT!AC360,XT!AG360))=12)*(CHOOSE({1,2,3,4},XT!X360,XT!AB360,XT!AF360,XT!AJ360)))</f>
        <v>0</v>
      </c>
      <c r="AT360" t="str">
        <f>IFERROR(INDEX(CHOOSE({1,2,3,4}, DAY(XT!U360), DAY(XT!Y360), DAY(XT!AC360), DAY(XT!AG360)), MATCH(1, INDEX(--(MONTH(CHOOSE({1,2,3,4}, XT!U360,XT!Y360,XT!AC360,XT!AG360))=12), 0), 0)), "")</f>
        <v/>
      </c>
      <c r="AU360" s="51" t="str">
        <f>IF(XT!$P360&gt;0,AT360,"")</f>
        <v/>
      </c>
      <c r="AV360" s="51" t="str">
        <f>IF(XT!$P360=0,AT360,"")</f>
        <v/>
      </c>
    </row>
    <row r="361" spans="1:48">
      <c r="A361">
        <f>SUMPRODUCT((MONTH(CHOOSE({1,2,3,4},XT!U361,XT!Y361,XT!AC361,XT!AG361))=1)*(CHOOSE({1,2,3,4},XT!X361,XT!AB361,XT!AF361,XT!AJ361)))</f>
        <v>0</v>
      </c>
      <c r="B361">
        <f>IFERROR(INDEX(CHOOSE({1,2,3,4}, DAY(XT!U361), DAY(XT!Y361), DAY(XT!AC361), DAY(XT!AG361)), MATCH(1, INDEX(--(MONTH(CHOOSE({1,2,3,4}, XT!U361,XT!Y361,XT!AC361,XT!AG361))=1), 0), 0)), "")</f>
        <v>0</v>
      </c>
      <c r="C361" s="51" t="str">
        <f>IF(XT!$P361&gt;0,B361,"")</f>
        <v/>
      </c>
      <c r="D361" s="51">
        <f>IF(XT!$P361=0,B361,"")</f>
        <v>0</v>
      </c>
      <c r="E361">
        <f>SUMPRODUCT((MONTH(CHOOSE({1,2,3,4},XT!U361,XT!Y361,XT!AC361,XT!AG361))=2)*(CHOOSE({1,2,3,4},XT!X361,XT!AB361,XT!AF361,XT!AJ361)))</f>
        <v>0</v>
      </c>
      <c r="F361" t="str">
        <f>IFERROR(INDEX(CHOOSE({1,2,3,4}, DAY(XT!U361), DAY(XT!Y361), DAY(XT!AC361), DAY(XT!AG361)), MATCH(1, INDEX(--(MONTH(CHOOSE({1,2,3,4}, XT!U361,XT!Y361,XT!AC361,XT!AG361))=2), 0), 0)), "")</f>
        <v/>
      </c>
      <c r="G361" s="51" t="str">
        <f>IF(XT!$P361&gt;0,F361,"")</f>
        <v/>
      </c>
      <c r="H361" s="51" t="str">
        <f>IF(XT!$P361=0,F361,"")</f>
        <v/>
      </c>
      <c r="I361">
        <f>SUMPRODUCT((MONTH(CHOOSE({1,2,3,4},XT!U361,XT!Y361,XT!AC361,XT!AG361))=3)*(CHOOSE({1,2,3,4},XT!X361,XT!AB361,XT!AF361,XT!AJ361)))</f>
        <v>0</v>
      </c>
      <c r="J361" t="str">
        <f>IFERROR(INDEX(CHOOSE({1,2,3,4}, DAY(XT!U361), DAY(XT!Y361), DAY(XT!AC361), DAY(XT!AG361)), MATCH(1, INDEX(--(MONTH(CHOOSE({1,2,3,4}, XT!U361,XT!Y361,XT!AC361,XT!AG361))=3), 0), 0)), "")</f>
        <v/>
      </c>
      <c r="K361" s="51" t="str">
        <f>IF(XT!$P361&gt;0,J361,"")</f>
        <v/>
      </c>
      <c r="L361" s="51" t="str">
        <f>IF(XT!$P361=0,J361,"")</f>
        <v/>
      </c>
      <c r="M361">
        <f>SUMPRODUCT((MONTH(CHOOSE({1,2,3,4},XT!U361,XT!Y361,XT!AC361,XT!AG361))=4)*(CHOOSE({1,2,3,4},XT!X361,XT!AB361,XT!AF361,XT!AJ361)))</f>
        <v>0</v>
      </c>
      <c r="N361" t="str">
        <f>IFERROR(INDEX(CHOOSE({1,2,3,4}, DAY(XT!U361), DAY(XT!Y361), DAY(XT!AC361), DAY(XT!AG361)), MATCH(1, INDEX(--(MONTH(CHOOSE({1,2,3,4}, XT!U361,XT!Y361,XT!AC361,XT!AG361))=4), 0), 0)), "")</f>
        <v/>
      </c>
      <c r="O361" s="51" t="str">
        <f>IF(XT!$P361&gt;0,N361,"")</f>
        <v/>
      </c>
      <c r="P361" s="51" t="str">
        <f>IF(XT!$P361=0,N361,"")</f>
        <v/>
      </c>
      <c r="Q361">
        <f>SUMPRODUCT((MONTH(CHOOSE({1,2,3,4},XT!U361,XT!Y361,XT!AC361,XT!AG361))=5)*(CHOOSE({1,2,3,4},XT!X361,XT!AB361,XT!AF361,XT!AJ361)))</f>
        <v>0</v>
      </c>
      <c r="R361" t="str">
        <f>IFERROR(INDEX(CHOOSE({1,2,3,4}, DAY(XT!U361), DAY(XT!Y361), DAY(XT!AC361), DAY(XT!AG361)), MATCH(1, INDEX(--(MONTH(CHOOSE({1,2,3,4}, XT!U361,XT!Y361,XT!AC361,XT!AG361))=5), 0), 0)), "")</f>
        <v/>
      </c>
      <c r="S361" s="51" t="str">
        <f>IF(XT!$P361&gt;0,R361,"")</f>
        <v/>
      </c>
      <c r="T361" s="51" t="str">
        <f>IF(XT!$P361=0,R361,"")</f>
        <v/>
      </c>
      <c r="U361">
        <f>SUMPRODUCT((MONTH(CHOOSE({1,2,3,4},XT!U361,XT!Y361,XT!AC361,XT!AG361))=6)*(CHOOSE({1,2,3,4},XT!X361,XT!AB361,XT!AF361,XT!AJ361)))</f>
        <v>0</v>
      </c>
      <c r="V361" t="str">
        <f>IFERROR(INDEX(CHOOSE({1,2,3,4}, DAY(XT!U361), DAY(XT!Y361), DAY(XT!AC361), DAY(XT!AG361)), MATCH(1, INDEX(--(MONTH(CHOOSE({1,2,3,4}, XT!U361,XT!Y361,XT!AC361,XT!AG361))=6), 0), 0)), "")</f>
        <v/>
      </c>
      <c r="W361" s="51" t="str">
        <f>IF(XT!$P361&gt;0,V361,"")</f>
        <v/>
      </c>
      <c r="X361" s="51" t="str">
        <f>IF(XT!$P361=0,V361,"")</f>
        <v/>
      </c>
      <c r="Y361">
        <f>SUMPRODUCT((MONTH(CHOOSE({1,2,3,4},XT!U361,XT!Y361,XT!AC361,XT!AG361))=7)*(CHOOSE({1,2,3,4},XT!X361,XT!AB361,XT!AF361,XT!AJ361)))</f>
        <v>0</v>
      </c>
      <c r="Z361" t="str">
        <f>IFERROR(INDEX(CHOOSE({1,2,3,4}, DAY(XT!U361), DAY(XT!Y361), DAY(XT!AC361), DAY(XT!AG361)), MATCH(1, INDEX(--(MONTH(CHOOSE({1,2,3,4}, XT!U361,XT!Y361,XT!AC361,XT!AG361))=7), 0), 0)), "")</f>
        <v/>
      </c>
      <c r="AA361" s="51" t="str">
        <f>IF(XT!$P361&gt;0,Z361,"")</f>
        <v/>
      </c>
      <c r="AB361" s="51" t="str">
        <f>IF(XT!$P361=0,Z361,"")</f>
        <v/>
      </c>
      <c r="AC361">
        <f>SUMPRODUCT((MONTH(CHOOSE({1,2,3,4},XT!U361,XT!Y361,XT!AC361,XT!AG361))=8)*(CHOOSE({1,2,3,4},XT!X361,XT!AB361,XT!AF361,XT!AJ361)))</f>
        <v>0</v>
      </c>
      <c r="AD361" t="str">
        <f>IFERROR(INDEX(CHOOSE({1,2,3,4}, DAY(XT!U361), DAY(XT!Y361), DAY(XT!AC361), DAY(XT!AG361)), MATCH(1, INDEX(--(MONTH(CHOOSE({1,2,3,4}, XT!U361,XT!Y361,XT!AC361,XT!AG361))=8), 0), 0)), "")</f>
        <v/>
      </c>
      <c r="AE361" s="51" t="str">
        <f>IF(XT!$P361&gt;0,AD361,"")</f>
        <v/>
      </c>
      <c r="AF361" s="51" t="str">
        <f>IF(XT!$P361=0,AD361,"")</f>
        <v/>
      </c>
      <c r="AG361">
        <f>SUMPRODUCT((MONTH(CHOOSE({1,2,3,4},XT!U361,XT!Y361,XT!AC361,XT!AG361))=9)*(CHOOSE({1,2,3,4},XT!X361,XT!AB361,XT!AF361,XT!AJ361)))</f>
        <v>0</v>
      </c>
      <c r="AH361" t="str">
        <f>IFERROR(INDEX(CHOOSE({1,2,3,4}, DAY(XT!U361), DAY(XT!Y361), DAY(XT!AC361), DAY(XT!AG361)), MATCH(1, INDEX(--(MONTH(CHOOSE({1,2,3,4}, XT!U361,XT!Y361,XT!AC361,XT!AG361))=9), 0), 0)), "")</f>
        <v/>
      </c>
      <c r="AI361" s="51" t="str">
        <f>IF(XT!$P361&gt;0,AH361,"")</f>
        <v/>
      </c>
      <c r="AJ361" s="51" t="str">
        <f>IF(XT!$P361=0,AH361,"")</f>
        <v/>
      </c>
      <c r="AK361">
        <f>SUMPRODUCT((MONTH(CHOOSE({1,2,3,4},XT!U361,XT!Y361,XT!AC361,XT!AG361))=10)*(CHOOSE({1,2,3,4},XT!X361,XT!AB361,XT!AF361,XT!AJ361)))</f>
        <v>0</v>
      </c>
      <c r="AL361" t="str">
        <f>IFERROR(INDEX(CHOOSE({1,2,3,4}, DAY(XT!U361), DAY(XT!Y361), DAY(XT!AC361), DAY(XT!AG361)), MATCH(1, INDEX(--(MONTH(CHOOSE({1,2,3,4}, XT!U361,XT!Y361,XT!AC361,XT!AG361))=10), 0), 0)), "")</f>
        <v/>
      </c>
      <c r="AM361" s="51" t="str">
        <f>IF(XT!$P361&gt;0,AL361,"")</f>
        <v/>
      </c>
      <c r="AN361" s="51" t="str">
        <f>IF(XT!$P361=0,AL361,"")</f>
        <v/>
      </c>
      <c r="AO361">
        <f>SUMPRODUCT((MONTH(CHOOSE({1,2,3,4},XT!U361,XT!Y361,XT!AC361,XT!AG361))=11)*(CHOOSE({1,2,3,4},XT!X361,XT!AB361,XT!AF361,XT!AJ361)))</f>
        <v>0</v>
      </c>
      <c r="AP361" t="str">
        <f>IFERROR(INDEX(CHOOSE({1,2,3,4}, DAY(XT!U361), DAY(XT!Y361), DAY(XT!AC361), DAY(XT!AG361)), MATCH(1, INDEX(--(MONTH(CHOOSE({1,2,3,4}, XT!U361,XT!Y361,XT!AC361,XT!AG361))=11), 0), 0)), "")</f>
        <v/>
      </c>
      <c r="AQ361" s="51" t="str">
        <f>IF(XT!$P361&gt;0,AP361,"")</f>
        <v/>
      </c>
      <c r="AR361" s="51" t="str">
        <f>IF(XT!$P361=0,AP361,"")</f>
        <v/>
      </c>
      <c r="AS361">
        <f>SUMPRODUCT((MONTH(CHOOSE({1,2,3,4},XT!U361,XT!Y361,XT!AC361,XT!AG361))=12)*(CHOOSE({1,2,3,4},XT!X361,XT!AB361,XT!AF361,XT!AJ361)))</f>
        <v>0</v>
      </c>
      <c r="AT361" t="str">
        <f>IFERROR(INDEX(CHOOSE({1,2,3,4}, DAY(XT!U361), DAY(XT!Y361), DAY(XT!AC361), DAY(XT!AG361)), MATCH(1, INDEX(--(MONTH(CHOOSE({1,2,3,4}, XT!U361,XT!Y361,XT!AC361,XT!AG361))=12), 0), 0)), "")</f>
        <v/>
      </c>
      <c r="AU361" s="51" t="str">
        <f>IF(XT!$P361&gt;0,AT361,"")</f>
        <v/>
      </c>
      <c r="AV361" s="51" t="str">
        <f>IF(XT!$P361=0,AT361,"")</f>
        <v/>
      </c>
    </row>
    <row r="362" spans="1:48">
      <c r="A362">
        <f>SUMPRODUCT((MONTH(CHOOSE({1,2,3,4},XT!U362,XT!Y362,XT!AC362,XT!AG362))=1)*(CHOOSE({1,2,3,4},XT!X362,XT!AB362,XT!AF362,XT!AJ362)))</f>
        <v>0</v>
      </c>
      <c r="B362">
        <f>IFERROR(INDEX(CHOOSE({1,2,3,4}, DAY(XT!U362), DAY(XT!Y362), DAY(XT!AC362), DAY(XT!AG362)), MATCH(1, INDEX(--(MONTH(CHOOSE({1,2,3,4}, XT!U362,XT!Y362,XT!AC362,XT!AG362))=1), 0), 0)), "")</f>
        <v>0</v>
      </c>
      <c r="C362" s="51" t="str">
        <f>IF(XT!$P362&gt;0,B362,"")</f>
        <v/>
      </c>
      <c r="D362" s="51">
        <f>IF(XT!$P362=0,B362,"")</f>
        <v>0</v>
      </c>
      <c r="E362">
        <f>SUMPRODUCT((MONTH(CHOOSE({1,2,3,4},XT!U362,XT!Y362,XT!AC362,XT!AG362))=2)*(CHOOSE({1,2,3,4},XT!X362,XT!AB362,XT!AF362,XT!AJ362)))</f>
        <v>0</v>
      </c>
      <c r="F362" t="str">
        <f>IFERROR(INDEX(CHOOSE({1,2,3,4}, DAY(XT!U362), DAY(XT!Y362), DAY(XT!AC362), DAY(XT!AG362)), MATCH(1, INDEX(--(MONTH(CHOOSE({1,2,3,4}, XT!U362,XT!Y362,XT!AC362,XT!AG362))=2), 0), 0)), "")</f>
        <v/>
      </c>
      <c r="G362" s="51" t="str">
        <f>IF(XT!$P362&gt;0,F362,"")</f>
        <v/>
      </c>
      <c r="H362" s="51" t="str">
        <f>IF(XT!$P362=0,F362,"")</f>
        <v/>
      </c>
      <c r="I362">
        <f>SUMPRODUCT((MONTH(CHOOSE({1,2,3,4},XT!U362,XT!Y362,XT!AC362,XT!AG362))=3)*(CHOOSE({1,2,3,4},XT!X362,XT!AB362,XT!AF362,XT!AJ362)))</f>
        <v>0</v>
      </c>
      <c r="J362" t="str">
        <f>IFERROR(INDEX(CHOOSE({1,2,3,4}, DAY(XT!U362), DAY(XT!Y362), DAY(XT!AC362), DAY(XT!AG362)), MATCH(1, INDEX(--(MONTH(CHOOSE({1,2,3,4}, XT!U362,XT!Y362,XT!AC362,XT!AG362))=3), 0), 0)), "")</f>
        <v/>
      </c>
      <c r="K362" s="51" t="str">
        <f>IF(XT!$P362&gt;0,J362,"")</f>
        <v/>
      </c>
      <c r="L362" s="51" t="str">
        <f>IF(XT!$P362=0,J362,"")</f>
        <v/>
      </c>
      <c r="M362">
        <f>SUMPRODUCT((MONTH(CHOOSE({1,2,3,4},XT!U362,XT!Y362,XT!AC362,XT!AG362))=4)*(CHOOSE({1,2,3,4},XT!X362,XT!AB362,XT!AF362,XT!AJ362)))</f>
        <v>0</v>
      </c>
      <c r="N362" t="str">
        <f>IFERROR(INDEX(CHOOSE({1,2,3,4}, DAY(XT!U362), DAY(XT!Y362), DAY(XT!AC362), DAY(XT!AG362)), MATCH(1, INDEX(--(MONTH(CHOOSE({1,2,3,4}, XT!U362,XT!Y362,XT!AC362,XT!AG362))=4), 0), 0)), "")</f>
        <v/>
      </c>
      <c r="O362" s="51" t="str">
        <f>IF(XT!$P362&gt;0,N362,"")</f>
        <v/>
      </c>
      <c r="P362" s="51" t="str">
        <f>IF(XT!$P362=0,N362,"")</f>
        <v/>
      </c>
      <c r="Q362">
        <f>SUMPRODUCT((MONTH(CHOOSE({1,2,3,4},XT!U362,XT!Y362,XT!AC362,XT!AG362))=5)*(CHOOSE({1,2,3,4},XT!X362,XT!AB362,XT!AF362,XT!AJ362)))</f>
        <v>0</v>
      </c>
      <c r="R362" t="str">
        <f>IFERROR(INDEX(CHOOSE({1,2,3,4}, DAY(XT!U362), DAY(XT!Y362), DAY(XT!AC362), DAY(XT!AG362)), MATCH(1, INDEX(--(MONTH(CHOOSE({1,2,3,4}, XT!U362,XT!Y362,XT!AC362,XT!AG362))=5), 0), 0)), "")</f>
        <v/>
      </c>
      <c r="S362" s="51" t="str">
        <f>IF(XT!$P362&gt;0,R362,"")</f>
        <v/>
      </c>
      <c r="T362" s="51" t="str">
        <f>IF(XT!$P362=0,R362,"")</f>
        <v/>
      </c>
      <c r="U362">
        <f>SUMPRODUCT((MONTH(CHOOSE({1,2,3,4},XT!U362,XT!Y362,XT!AC362,XT!AG362))=6)*(CHOOSE({1,2,3,4},XT!X362,XT!AB362,XT!AF362,XT!AJ362)))</f>
        <v>0</v>
      </c>
      <c r="V362" t="str">
        <f>IFERROR(INDEX(CHOOSE({1,2,3,4}, DAY(XT!U362), DAY(XT!Y362), DAY(XT!AC362), DAY(XT!AG362)), MATCH(1, INDEX(--(MONTH(CHOOSE({1,2,3,4}, XT!U362,XT!Y362,XT!AC362,XT!AG362))=6), 0), 0)), "")</f>
        <v/>
      </c>
      <c r="W362" s="51" t="str">
        <f>IF(XT!$P362&gt;0,V362,"")</f>
        <v/>
      </c>
      <c r="X362" s="51" t="str">
        <f>IF(XT!$P362=0,V362,"")</f>
        <v/>
      </c>
      <c r="Y362">
        <f>SUMPRODUCT((MONTH(CHOOSE({1,2,3,4},XT!U362,XT!Y362,XT!AC362,XT!AG362))=7)*(CHOOSE({1,2,3,4},XT!X362,XT!AB362,XT!AF362,XT!AJ362)))</f>
        <v>0</v>
      </c>
      <c r="Z362" t="str">
        <f>IFERROR(INDEX(CHOOSE({1,2,3,4}, DAY(XT!U362), DAY(XT!Y362), DAY(XT!AC362), DAY(XT!AG362)), MATCH(1, INDEX(--(MONTH(CHOOSE({1,2,3,4}, XT!U362,XT!Y362,XT!AC362,XT!AG362))=7), 0), 0)), "")</f>
        <v/>
      </c>
      <c r="AA362" s="51" t="str">
        <f>IF(XT!$P362&gt;0,Z362,"")</f>
        <v/>
      </c>
      <c r="AB362" s="51" t="str">
        <f>IF(XT!$P362=0,Z362,"")</f>
        <v/>
      </c>
      <c r="AC362">
        <f>SUMPRODUCT((MONTH(CHOOSE({1,2,3,4},XT!U362,XT!Y362,XT!AC362,XT!AG362))=8)*(CHOOSE({1,2,3,4},XT!X362,XT!AB362,XT!AF362,XT!AJ362)))</f>
        <v>0</v>
      </c>
      <c r="AD362" t="str">
        <f>IFERROR(INDEX(CHOOSE({1,2,3,4}, DAY(XT!U362), DAY(XT!Y362), DAY(XT!AC362), DAY(XT!AG362)), MATCH(1, INDEX(--(MONTH(CHOOSE({1,2,3,4}, XT!U362,XT!Y362,XT!AC362,XT!AG362))=8), 0), 0)), "")</f>
        <v/>
      </c>
      <c r="AE362" s="51" t="str">
        <f>IF(XT!$P362&gt;0,AD362,"")</f>
        <v/>
      </c>
      <c r="AF362" s="51" t="str">
        <f>IF(XT!$P362=0,AD362,"")</f>
        <v/>
      </c>
      <c r="AG362">
        <f>SUMPRODUCT((MONTH(CHOOSE({1,2,3,4},XT!U362,XT!Y362,XT!AC362,XT!AG362))=9)*(CHOOSE({1,2,3,4},XT!X362,XT!AB362,XT!AF362,XT!AJ362)))</f>
        <v>0</v>
      </c>
      <c r="AH362" t="str">
        <f>IFERROR(INDEX(CHOOSE({1,2,3,4}, DAY(XT!U362), DAY(XT!Y362), DAY(XT!AC362), DAY(XT!AG362)), MATCH(1, INDEX(--(MONTH(CHOOSE({1,2,3,4}, XT!U362,XT!Y362,XT!AC362,XT!AG362))=9), 0), 0)), "")</f>
        <v/>
      </c>
      <c r="AI362" s="51" t="str">
        <f>IF(XT!$P362&gt;0,AH362,"")</f>
        <v/>
      </c>
      <c r="AJ362" s="51" t="str">
        <f>IF(XT!$P362=0,AH362,"")</f>
        <v/>
      </c>
      <c r="AK362">
        <f>SUMPRODUCT((MONTH(CHOOSE({1,2,3,4},XT!U362,XT!Y362,XT!AC362,XT!AG362))=10)*(CHOOSE({1,2,3,4},XT!X362,XT!AB362,XT!AF362,XT!AJ362)))</f>
        <v>0</v>
      </c>
      <c r="AL362" t="str">
        <f>IFERROR(INDEX(CHOOSE({1,2,3,4}, DAY(XT!U362), DAY(XT!Y362), DAY(XT!AC362), DAY(XT!AG362)), MATCH(1, INDEX(--(MONTH(CHOOSE({1,2,3,4}, XT!U362,XT!Y362,XT!AC362,XT!AG362))=10), 0), 0)), "")</f>
        <v/>
      </c>
      <c r="AM362" s="51" t="str">
        <f>IF(XT!$P362&gt;0,AL362,"")</f>
        <v/>
      </c>
      <c r="AN362" s="51" t="str">
        <f>IF(XT!$P362=0,AL362,"")</f>
        <v/>
      </c>
      <c r="AO362">
        <f>SUMPRODUCT((MONTH(CHOOSE({1,2,3,4},XT!U362,XT!Y362,XT!AC362,XT!AG362))=11)*(CHOOSE({1,2,3,4},XT!X362,XT!AB362,XT!AF362,XT!AJ362)))</f>
        <v>0</v>
      </c>
      <c r="AP362" t="str">
        <f>IFERROR(INDEX(CHOOSE({1,2,3,4}, DAY(XT!U362), DAY(XT!Y362), DAY(XT!AC362), DAY(XT!AG362)), MATCH(1, INDEX(--(MONTH(CHOOSE({1,2,3,4}, XT!U362,XT!Y362,XT!AC362,XT!AG362))=11), 0), 0)), "")</f>
        <v/>
      </c>
      <c r="AQ362" s="51" t="str">
        <f>IF(XT!$P362&gt;0,AP362,"")</f>
        <v/>
      </c>
      <c r="AR362" s="51" t="str">
        <f>IF(XT!$P362=0,AP362,"")</f>
        <v/>
      </c>
      <c r="AS362">
        <f>SUMPRODUCT((MONTH(CHOOSE({1,2,3,4},XT!U362,XT!Y362,XT!AC362,XT!AG362))=12)*(CHOOSE({1,2,3,4},XT!X362,XT!AB362,XT!AF362,XT!AJ362)))</f>
        <v>0</v>
      </c>
      <c r="AT362" t="str">
        <f>IFERROR(INDEX(CHOOSE({1,2,3,4}, DAY(XT!U362), DAY(XT!Y362), DAY(XT!AC362), DAY(XT!AG362)), MATCH(1, INDEX(--(MONTH(CHOOSE({1,2,3,4}, XT!U362,XT!Y362,XT!AC362,XT!AG362))=12), 0), 0)), "")</f>
        <v/>
      </c>
      <c r="AU362" s="51" t="str">
        <f>IF(XT!$P362&gt;0,AT362,"")</f>
        <v/>
      </c>
      <c r="AV362" s="51" t="str">
        <f>IF(XT!$P362=0,AT362,"")</f>
        <v/>
      </c>
    </row>
    <row r="363" spans="1:48">
      <c r="A363">
        <f>SUMPRODUCT((MONTH(CHOOSE({1,2,3,4},XT!U363,XT!Y363,XT!AC363,XT!AG363))=1)*(CHOOSE({1,2,3,4},XT!X363,XT!AB363,XT!AF363,XT!AJ363)))</f>
        <v>0</v>
      </c>
      <c r="B363">
        <f>IFERROR(INDEX(CHOOSE({1,2,3,4}, DAY(XT!U363), DAY(XT!Y363), DAY(XT!AC363), DAY(XT!AG363)), MATCH(1, INDEX(--(MONTH(CHOOSE({1,2,3,4}, XT!U363,XT!Y363,XT!AC363,XT!AG363))=1), 0), 0)), "")</f>
        <v>0</v>
      </c>
      <c r="C363" s="51" t="str">
        <f>IF(XT!$P363&gt;0,B363,"")</f>
        <v/>
      </c>
      <c r="D363" s="51">
        <f>IF(XT!$P363=0,B363,"")</f>
        <v>0</v>
      </c>
      <c r="E363">
        <f>SUMPRODUCT((MONTH(CHOOSE({1,2,3,4},XT!U363,XT!Y363,XT!AC363,XT!AG363))=2)*(CHOOSE({1,2,3,4},XT!X363,XT!AB363,XT!AF363,XT!AJ363)))</f>
        <v>0</v>
      </c>
      <c r="F363" t="str">
        <f>IFERROR(INDEX(CHOOSE({1,2,3,4}, DAY(XT!U363), DAY(XT!Y363), DAY(XT!AC363), DAY(XT!AG363)), MATCH(1, INDEX(--(MONTH(CHOOSE({1,2,3,4}, XT!U363,XT!Y363,XT!AC363,XT!AG363))=2), 0), 0)), "")</f>
        <v/>
      </c>
      <c r="G363" s="51" t="str">
        <f>IF(XT!$P363&gt;0,F363,"")</f>
        <v/>
      </c>
      <c r="H363" s="51" t="str">
        <f>IF(XT!$P363=0,F363,"")</f>
        <v/>
      </c>
      <c r="I363">
        <f>SUMPRODUCT((MONTH(CHOOSE({1,2,3,4},XT!U363,XT!Y363,XT!AC363,XT!AG363))=3)*(CHOOSE({1,2,3,4},XT!X363,XT!AB363,XT!AF363,XT!AJ363)))</f>
        <v>0</v>
      </c>
      <c r="J363" t="str">
        <f>IFERROR(INDEX(CHOOSE({1,2,3,4}, DAY(XT!U363), DAY(XT!Y363), DAY(XT!AC363), DAY(XT!AG363)), MATCH(1, INDEX(--(MONTH(CHOOSE({1,2,3,4}, XT!U363,XT!Y363,XT!AC363,XT!AG363))=3), 0), 0)), "")</f>
        <v/>
      </c>
      <c r="K363" s="51" t="str">
        <f>IF(XT!$P363&gt;0,J363,"")</f>
        <v/>
      </c>
      <c r="L363" s="51" t="str">
        <f>IF(XT!$P363=0,J363,"")</f>
        <v/>
      </c>
      <c r="M363">
        <f>SUMPRODUCT((MONTH(CHOOSE({1,2,3,4},XT!U363,XT!Y363,XT!AC363,XT!AG363))=4)*(CHOOSE({1,2,3,4},XT!X363,XT!AB363,XT!AF363,XT!AJ363)))</f>
        <v>0</v>
      </c>
      <c r="N363" t="str">
        <f>IFERROR(INDEX(CHOOSE({1,2,3,4}, DAY(XT!U363), DAY(XT!Y363), DAY(XT!AC363), DAY(XT!AG363)), MATCH(1, INDEX(--(MONTH(CHOOSE({1,2,3,4}, XT!U363,XT!Y363,XT!AC363,XT!AG363))=4), 0), 0)), "")</f>
        <v/>
      </c>
      <c r="O363" s="51" t="str">
        <f>IF(XT!$P363&gt;0,N363,"")</f>
        <v/>
      </c>
      <c r="P363" s="51" t="str">
        <f>IF(XT!$P363=0,N363,"")</f>
        <v/>
      </c>
      <c r="Q363">
        <f>SUMPRODUCT((MONTH(CHOOSE({1,2,3,4},XT!U363,XT!Y363,XT!AC363,XT!AG363))=5)*(CHOOSE({1,2,3,4},XT!X363,XT!AB363,XT!AF363,XT!AJ363)))</f>
        <v>0</v>
      </c>
      <c r="R363" t="str">
        <f>IFERROR(INDEX(CHOOSE({1,2,3,4}, DAY(XT!U363), DAY(XT!Y363), DAY(XT!AC363), DAY(XT!AG363)), MATCH(1, INDEX(--(MONTH(CHOOSE({1,2,3,4}, XT!U363,XT!Y363,XT!AC363,XT!AG363))=5), 0), 0)), "")</f>
        <v/>
      </c>
      <c r="S363" s="51" t="str">
        <f>IF(XT!$P363&gt;0,R363,"")</f>
        <v/>
      </c>
      <c r="T363" s="51" t="str">
        <f>IF(XT!$P363=0,R363,"")</f>
        <v/>
      </c>
      <c r="U363">
        <f>SUMPRODUCT((MONTH(CHOOSE({1,2,3,4},XT!U363,XT!Y363,XT!AC363,XT!AG363))=6)*(CHOOSE({1,2,3,4},XT!X363,XT!AB363,XT!AF363,XT!AJ363)))</f>
        <v>0</v>
      </c>
      <c r="V363" t="str">
        <f>IFERROR(INDEX(CHOOSE({1,2,3,4}, DAY(XT!U363), DAY(XT!Y363), DAY(XT!AC363), DAY(XT!AG363)), MATCH(1, INDEX(--(MONTH(CHOOSE({1,2,3,4}, XT!U363,XT!Y363,XT!AC363,XT!AG363))=6), 0), 0)), "")</f>
        <v/>
      </c>
      <c r="W363" s="51" t="str">
        <f>IF(XT!$P363&gt;0,V363,"")</f>
        <v/>
      </c>
      <c r="X363" s="51" t="str">
        <f>IF(XT!$P363=0,V363,"")</f>
        <v/>
      </c>
      <c r="Y363">
        <f>SUMPRODUCT((MONTH(CHOOSE({1,2,3,4},XT!U363,XT!Y363,XT!AC363,XT!AG363))=7)*(CHOOSE({1,2,3,4},XT!X363,XT!AB363,XT!AF363,XT!AJ363)))</f>
        <v>0</v>
      </c>
      <c r="Z363" t="str">
        <f>IFERROR(INDEX(CHOOSE({1,2,3,4}, DAY(XT!U363), DAY(XT!Y363), DAY(XT!AC363), DAY(XT!AG363)), MATCH(1, INDEX(--(MONTH(CHOOSE({1,2,3,4}, XT!U363,XT!Y363,XT!AC363,XT!AG363))=7), 0), 0)), "")</f>
        <v/>
      </c>
      <c r="AA363" s="51" t="str">
        <f>IF(XT!$P363&gt;0,Z363,"")</f>
        <v/>
      </c>
      <c r="AB363" s="51" t="str">
        <f>IF(XT!$P363=0,Z363,"")</f>
        <v/>
      </c>
      <c r="AC363">
        <f>SUMPRODUCT((MONTH(CHOOSE({1,2,3,4},XT!U363,XT!Y363,XT!AC363,XT!AG363))=8)*(CHOOSE({1,2,3,4},XT!X363,XT!AB363,XT!AF363,XT!AJ363)))</f>
        <v>0</v>
      </c>
      <c r="AD363" t="str">
        <f>IFERROR(INDEX(CHOOSE({1,2,3,4}, DAY(XT!U363), DAY(XT!Y363), DAY(XT!AC363), DAY(XT!AG363)), MATCH(1, INDEX(--(MONTH(CHOOSE({1,2,3,4}, XT!U363,XT!Y363,XT!AC363,XT!AG363))=8), 0), 0)), "")</f>
        <v/>
      </c>
      <c r="AE363" s="51" t="str">
        <f>IF(XT!$P363&gt;0,AD363,"")</f>
        <v/>
      </c>
      <c r="AF363" s="51" t="str">
        <f>IF(XT!$P363=0,AD363,"")</f>
        <v/>
      </c>
      <c r="AG363">
        <f>SUMPRODUCT((MONTH(CHOOSE({1,2,3,4},XT!U363,XT!Y363,XT!AC363,XT!AG363))=9)*(CHOOSE({1,2,3,4},XT!X363,XT!AB363,XT!AF363,XT!AJ363)))</f>
        <v>0</v>
      </c>
      <c r="AH363" t="str">
        <f>IFERROR(INDEX(CHOOSE({1,2,3,4}, DAY(XT!U363), DAY(XT!Y363), DAY(XT!AC363), DAY(XT!AG363)), MATCH(1, INDEX(--(MONTH(CHOOSE({1,2,3,4}, XT!U363,XT!Y363,XT!AC363,XT!AG363))=9), 0), 0)), "")</f>
        <v/>
      </c>
      <c r="AI363" s="51" t="str">
        <f>IF(XT!$P363&gt;0,AH363,"")</f>
        <v/>
      </c>
      <c r="AJ363" s="51" t="str">
        <f>IF(XT!$P363=0,AH363,"")</f>
        <v/>
      </c>
      <c r="AK363">
        <f>SUMPRODUCT((MONTH(CHOOSE({1,2,3,4},XT!U363,XT!Y363,XT!AC363,XT!AG363))=10)*(CHOOSE({1,2,3,4},XT!X363,XT!AB363,XT!AF363,XT!AJ363)))</f>
        <v>0</v>
      </c>
      <c r="AL363" t="str">
        <f>IFERROR(INDEX(CHOOSE({1,2,3,4}, DAY(XT!U363), DAY(XT!Y363), DAY(XT!AC363), DAY(XT!AG363)), MATCH(1, INDEX(--(MONTH(CHOOSE({1,2,3,4}, XT!U363,XT!Y363,XT!AC363,XT!AG363))=10), 0), 0)), "")</f>
        <v/>
      </c>
      <c r="AM363" s="51" t="str">
        <f>IF(XT!$P363&gt;0,AL363,"")</f>
        <v/>
      </c>
      <c r="AN363" s="51" t="str">
        <f>IF(XT!$P363=0,AL363,"")</f>
        <v/>
      </c>
      <c r="AO363">
        <f>SUMPRODUCT((MONTH(CHOOSE({1,2,3,4},XT!U363,XT!Y363,XT!AC363,XT!AG363))=11)*(CHOOSE({1,2,3,4},XT!X363,XT!AB363,XT!AF363,XT!AJ363)))</f>
        <v>0</v>
      </c>
      <c r="AP363" t="str">
        <f>IFERROR(INDEX(CHOOSE({1,2,3,4}, DAY(XT!U363), DAY(XT!Y363), DAY(XT!AC363), DAY(XT!AG363)), MATCH(1, INDEX(--(MONTH(CHOOSE({1,2,3,4}, XT!U363,XT!Y363,XT!AC363,XT!AG363))=11), 0), 0)), "")</f>
        <v/>
      </c>
      <c r="AQ363" s="51" t="str">
        <f>IF(XT!$P363&gt;0,AP363,"")</f>
        <v/>
      </c>
      <c r="AR363" s="51" t="str">
        <f>IF(XT!$P363=0,AP363,"")</f>
        <v/>
      </c>
      <c r="AS363">
        <f>SUMPRODUCT((MONTH(CHOOSE({1,2,3,4},XT!U363,XT!Y363,XT!AC363,XT!AG363))=12)*(CHOOSE({1,2,3,4},XT!X363,XT!AB363,XT!AF363,XT!AJ363)))</f>
        <v>0</v>
      </c>
      <c r="AT363" t="str">
        <f>IFERROR(INDEX(CHOOSE({1,2,3,4}, DAY(XT!U363), DAY(XT!Y363), DAY(XT!AC363), DAY(XT!AG363)), MATCH(1, INDEX(--(MONTH(CHOOSE({1,2,3,4}, XT!U363,XT!Y363,XT!AC363,XT!AG363))=12), 0), 0)), "")</f>
        <v/>
      </c>
      <c r="AU363" s="51" t="str">
        <f>IF(XT!$P363&gt;0,AT363,"")</f>
        <v/>
      </c>
      <c r="AV363" s="51" t="str">
        <f>IF(XT!$P363=0,AT363,"")</f>
        <v/>
      </c>
    </row>
    <row r="364" spans="1:48">
      <c r="A364">
        <f>SUMPRODUCT((MONTH(CHOOSE({1,2,3,4},XT!U364,XT!Y364,XT!AC364,XT!AG364))=1)*(CHOOSE({1,2,3,4},XT!X364,XT!AB364,XT!AF364,XT!AJ364)))</f>
        <v>0</v>
      </c>
      <c r="B364">
        <f>IFERROR(INDEX(CHOOSE({1,2,3,4}, DAY(XT!U364), DAY(XT!Y364), DAY(XT!AC364), DAY(XT!AG364)), MATCH(1, INDEX(--(MONTH(CHOOSE({1,2,3,4}, XT!U364,XT!Y364,XT!AC364,XT!AG364))=1), 0), 0)), "")</f>
        <v>0</v>
      </c>
      <c r="C364" s="51" t="str">
        <f>IF(XT!$P364&gt;0,B364,"")</f>
        <v/>
      </c>
      <c r="D364" s="51">
        <f>IF(XT!$P364=0,B364,"")</f>
        <v>0</v>
      </c>
      <c r="E364">
        <f>SUMPRODUCT((MONTH(CHOOSE({1,2,3,4},XT!U364,XT!Y364,XT!AC364,XT!AG364))=2)*(CHOOSE({1,2,3,4},XT!X364,XT!AB364,XT!AF364,XT!AJ364)))</f>
        <v>0</v>
      </c>
      <c r="F364" t="str">
        <f>IFERROR(INDEX(CHOOSE({1,2,3,4}, DAY(XT!U364), DAY(XT!Y364), DAY(XT!AC364), DAY(XT!AG364)), MATCH(1, INDEX(--(MONTH(CHOOSE({1,2,3,4}, XT!U364,XT!Y364,XT!AC364,XT!AG364))=2), 0), 0)), "")</f>
        <v/>
      </c>
      <c r="G364" s="51" t="str">
        <f>IF(XT!$P364&gt;0,F364,"")</f>
        <v/>
      </c>
      <c r="H364" s="51" t="str">
        <f>IF(XT!$P364=0,F364,"")</f>
        <v/>
      </c>
      <c r="I364">
        <f>SUMPRODUCT((MONTH(CHOOSE({1,2,3,4},XT!U364,XT!Y364,XT!AC364,XT!AG364))=3)*(CHOOSE({1,2,3,4},XT!X364,XT!AB364,XT!AF364,XT!AJ364)))</f>
        <v>0</v>
      </c>
      <c r="J364" t="str">
        <f>IFERROR(INDEX(CHOOSE({1,2,3,4}, DAY(XT!U364), DAY(XT!Y364), DAY(XT!AC364), DAY(XT!AG364)), MATCH(1, INDEX(--(MONTH(CHOOSE({1,2,3,4}, XT!U364,XT!Y364,XT!AC364,XT!AG364))=3), 0), 0)), "")</f>
        <v/>
      </c>
      <c r="K364" s="51" t="str">
        <f>IF(XT!$P364&gt;0,J364,"")</f>
        <v/>
      </c>
      <c r="L364" s="51" t="str">
        <f>IF(XT!$P364=0,J364,"")</f>
        <v/>
      </c>
      <c r="M364">
        <f>SUMPRODUCT((MONTH(CHOOSE({1,2,3,4},XT!U364,XT!Y364,XT!AC364,XT!AG364))=4)*(CHOOSE({1,2,3,4},XT!X364,XT!AB364,XT!AF364,XT!AJ364)))</f>
        <v>0</v>
      </c>
      <c r="N364" t="str">
        <f>IFERROR(INDEX(CHOOSE({1,2,3,4}, DAY(XT!U364), DAY(XT!Y364), DAY(XT!AC364), DAY(XT!AG364)), MATCH(1, INDEX(--(MONTH(CHOOSE({1,2,3,4}, XT!U364,XT!Y364,XT!AC364,XT!AG364))=4), 0), 0)), "")</f>
        <v/>
      </c>
      <c r="O364" s="51" t="str">
        <f>IF(XT!$P364&gt;0,N364,"")</f>
        <v/>
      </c>
      <c r="P364" s="51" t="str">
        <f>IF(XT!$P364=0,N364,"")</f>
        <v/>
      </c>
      <c r="Q364">
        <f>SUMPRODUCT((MONTH(CHOOSE({1,2,3,4},XT!U364,XT!Y364,XT!AC364,XT!AG364))=5)*(CHOOSE({1,2,3,4},XT!X364,XT!AB364,XT!AF364,XT!AJ364)))</f>
        <v>0</v>
      </c>
      <c r="R364" t="str">
        <f>IFERROR(INDEX(CHOOSE({1,2,3,4}, DAY(XT!U364), DAY(XT!Y364), DAY(XT!AC364), DAY(XT!AG364)), MATCH(1, INDEX(--(MONTH(CHOOSE({1,2,3,4}, XT!U364,XT!Y364,XT!AC364,XT!AG364))=5), 0), 0)), "")</f>
        <v/>
      </c>
      <c r="S364" s="51" t="str">
        <f>IF(XT!$P364&gt;0,R364,"")</f>
        <v/>
      </c>
      <c r="T364" s="51" t="str">
        <f>IF(XT!$P364=0,R364,"")</f>
        <v/>
      </c>
      <c r="U364">
        <f>SUMPRODUCT((MONTH(CHOOSE({1,2,3,4},XT!U364,XT!Y364,XT!AC364,XT!AG364))=6)*(CHOOSE({1,2,3,4},XT!X364,XT!AB364,XT!AF364,XT!AJ364)))</f>
        <v>0</v>
      </c>
      <c r="V364" t="str">
        <f>IFERROR(INDEX(CHOOSE({1,2,3,4}, DAY(XT!U364), DAY(XT!Y364), DAY(XT!AC364), DAY(XT!AG364)), MATCH(1, INDEX(--(MONTH(CHOOSE({1,2,3,4}, XT!U364,XT!Y364,XT!AC364,XT!AG364))=6), 0), 0)), "")</f>
        <v/>
      </c>
      <c r="W364" s="51" t="str">
        <f>IF(XT!$P364&gt;0,V364,"")</f>
        <v/>
      </c>
      <c r="X364" s="51" t="str">
        <f>IF(XT!$P364=0,V364,"")</f>
        <v/>
      </c>
      <c r="Y364">
        <f>SUMPRODUCT((MONTH(CHOOSE({1,2,3,4},XT!U364,XT!Y364,XT!AC364,XT!AG364))=7)*(CHOOSE({1,2,3,4},XT!X364,XT!AB364,XT!AF364,XT!AJ364)))</f>
        <v>0</v>
      </c>
      <c r="Z364" t="str">
        <f>IFERROR(INDEX(CHOOSE({1,2,3,4}, DAY(XT!U364), DAY(XT!Y364), DAY(XT!AC364), DAY(XT!AG364)), MATCH(1, INDEX(--(MONTH(CHOOSE({1,2,3,4}, XT!U364,XT!Y364,XT!AC364,XT!AG364))=7), 0), 0)), "")</f>
        <v/>
      </c>
      <c r="AA364" s="51" t="str">
        <f>IF(XT!$P364&gt;0,Z364,"")</f>
        <v/>
      </c>
      <c r="AB364" s="51" t="str">
        <f>IF(XT!$P364=0,Z364,"")</f>
        <v/>
      </c>
      <c r="AC364">
        <f>SUMPRODUCT((MONTH(CHOOSE({1,2,3,4},XT!U364,XT!Y364,XT!AC364,XT!AG364))=8)*(CHOOSE({1,2,3,4},XT!X364,XT!AB364,XT!AF364,XT!AJ364)))</f>
        <v>0</v>
      </c>
      <c r="AD364" t="str">
        <f>IFERROR(INDEX(CHOOSE({1,2,3,4}, DAY(XT!U364), DAY(XT!Y364), DAY(XT!AC364), DAY(XT!AG364)), MATCH(1, INDEX(--(MONTH(CHOOSE({1,2,3,4}, XT!U364,XT!Y364,XT!AC364,XT!AG364))=8), 0), 0)), "")</f>
        <v/>
      </c>
      <c r="AE364" s="51" t="str">
        <f>IF(XT!$P364&gt;0,AD364,"")</f>
        <v/>
      </c>
      <c r="AF364" s="51" t="str">
        <f>IF(XT!$P364=0,AD364,"")</f>
        <v/>
      </c>
      <c r="AG364">
        <f>SUMPRODUCT((MONTH(CHOOSE({1,2,3,4},XT!U364,XT!Y364,XT!AC364,XT!AG364))=9)*(CHOOSE({1,2,3,4},XT!X364,XT!AB364,XT!AF364,XT!AJ364)))</f>
        <v>0</v>
      </c>
      <c r="AH364" t="str">
        <f>IFERROR(INDEX(CHOOSE({1,2,3,4}, DAY(XT!U364), DAY(XT!Y364), DAY(XT!AC364), DAY(XT!AG364)), MATCH(1, INDEX(--(MONTH(CHOOSE({1,2,3,4}, XT!U364,XT!Y364,XT!AC364,XT!AG364))=9), 0), 0)), "")</f>
        <v/>
      </c>
      <c r="AI364" s="51" t="str">
        <f>IF(XT!$P364&gt;0,AH364,"")</f>
        <v/>
      </c>
      <c r="AJ364" s="51" t="str">
        <f>IF(XT!$P364=0,AH364,"")</f>
        <v/>
      </c>
      <c r="AK364">
        <f>SUMPRODUCT((MONTH(CHOOSE({1,2,3,4},XT!U364,XT!Y364,XT!AC364,XT!AG364))=10)*(CHOOSE({1,2,3,4},XT!X364,XT!AB364,XT!AF364,XT!AJ364)))</f>
        <v>0</v>
      </c>
      <c r="AL364" t="str">
        <f>IFERROR(INDEX(CHOOSE({1,2,3,4}, DAY(XT!U364), DAY(XT!Y364), DAY(XT!AC364), DAY(XT!AG364)), MATCH(1, INDEX(--(MONTH(CHOOSE({1,2,3,4}, XT!U364,XT!Y364,XT!AC364,XT!AG364))=10), 0), 0)), "")</f>
        <v/>
      </c>
      <c r="AM364" s="51" t="str">
        <f>IF(XT!$P364&gt;0,AL364,"")</f>
        <v/>
      </c>
      <c r="AN364" s="51" t="str">
        <f>IF(XT!$P364=0,AL364,"")</f>
        <v/>
      </c>
      <c r="AO364">
        <f>SUMPRODUCT((MONTH(CHOOSE({1,2,3,4},XT!U364,XT!Y364,XT!AC364,XT!AG364))=11)*(CHOOSE({1,2,3,4},XT!X364,XT!AB364,XT!AF364,XT!AJ364)))</f>
        <v>0</v>
      </c>
      <c r="AP364" t="str">
        <f>IFERROR(INDEX(CHOOSE({1,2,3,4}, DAY(XT!U364), DAY(XT!Y364), DAY(XT!AC364), DAY(XT!AG364)), MATCH(1, INDEX(--(MONTH(CHOOSE({1,2,3,4}, XT!U364,XT!Y364,XT!AC364,XT!AG364))=11), 0), 0)), "")</f>
        <v/>
      </c>
      <c r="AQ364" s="51" t="str">
        <f>IF(XT!$P364&gt;0,AP364,"")</f>
        <v/>
      </c>
      <c r="AR364" s="51" t="str">
        <f>IF(XT!$P364=0,AP364,"")</f>
        <v/>
      </c>
      <c r="AS364">
        <f>SUMPRODUCT((MONTH(CHOOSE({1,2,3,4},XT!U364,XT!Y364,XT!AC364,XT!AG364))=12)*(CHOOSE({1,2,3,4},XT!X364,XT!AB364,XT!AF364,XT!AJ364)))</f>
        <v>0</v>
      </c>
      <c r="AT364" t="str">
        <f>IFERROR(INDEX(CHOOSE({1,2,3,4}, DAY(XT!U364), DAY(XT!Y364), DAY(XT!AC364), DAY(XT!AG364)), MATCH(1, INDEX(--(MONTH(CHOOSE({1,2,3,4}, XT!U364,XT!Y364,XT!AC364,XT!AG364))=12), 0), 0)), "")</f>
        <v/>
      </c>
      <c r="AU364" s="51" t="str">
        <f>IF(XT!$P364&gt;0,AT364,"")</f>
        <v/>
      </c>
      <c r="AV364" s="51" t="str">
        <f>IF(XT!$P364=0,AT364,"")</f>
        <v/>
      </c>
    </row>
    <row r="365" spans="1:48">
      <c r="A365">
        <f>SUMPRODUCT((MONTH(CHOOSE({1,2,3,4},XT!U365,XT!Y365,XT!AC365,XT!AG365))=1)*(CHOOSE({1,2,3,4},XT!X365,XT!AB365,XT!AF365,XT!AJ365)))</f>
        <v>0</v>
      </c>
      <c r="B365">
        <f>IFERROR(INDEX(CHOOSE({1,2,3,4}, DAY(XT!U365), DAY(XT!Y365), DAY(XT!AC365), DAY(XT!AG365)), MATCH(1, INDEX(--(MONTH(CHOOSE({1,2,3,4}, XT!U365,XT!Y365,XT!AC365,XT!AG365))=1), 0), 0)), "")</f>
        <v>0</v>
      </c>
      <c r="C365" s="51" t="str">
        <f>IF(XT!$P365&gt;0,B365,"")</f>
        <v/>
      </c>
      <c r="D365" s="51">
        <f>IF(XT!$P365=0,B365,"")</f>
        <v>0</v>
      </c>
      <c r="E365">
        <f>SUMPRODUCT((MONTH(CHOOSE({1,2,3,4},XT!U365,XT!Y365,XT!AC365,XT!AG365))=2)*(CHOOSE({1,2,3,4},XT!X365,XT!AB365,XT!AF365,XT!AJ365)))</f>
        <v>0</v>
      </c>
      <c r="F365" t="str">
        <f>IFERROR(INDEX(CHOOSE({1,2,3,4}, DAY(XT!U365), DAY(XT!Y365), DAY(XT!AC365), DAY(XT!AG365)), MATCH(1, INDEX(--(MONTH(CHOOSE({1,2,3,4}, XT!U365,XT!Y365,XT!AC365,XT!AG365))=2), 0), 0)), "")</f>
        <v/>
      </c>
      <c r="G365" s="51" t="str">
        <f>IF(XT!$P365&gt;0,F365,"")</f>
        <v/>
      </c>
      <c r="H365" s="51" t="str">
        <f>IF(XT!$P365=0,F365,"")</f>
        <v/>
      </c>
      <c r="I365">
        <f>SUMPRODUCT((MONTH(CHOOSE({1,2,3,4},XT!U365,XT!Y365,XT!AC365,XT!AG365))=3)*(CHOOSE({1,2,3,4},XT!X365,XT!AB365,XT!AF365,XT!AJ365)))</f>
        <v>0</v>
      </c>
      <c r="J365" t="str">
        <f>IFERROR(INDEX(CHOOSE({1,2,3,4}, DAY(XT!U365), DAY(XT!Y365), DAY(XT!AC365), DAY(XT!AG365)), MATCH(1, INDEX(--(MONTH(CHOOSE({1,2,3,4}, XT!U365,XT!Y365,XT!AC365,XT!AG365))=3), 0), 0)), "")</f>
        <v/>
      </c>
      <c r="K365" s="51" t="str">
        <f>IF(XT!$P365&gt;0,J365,"")</f>
        <v/>
      </c>
      <c r="L365" s="51" t="str">
        <f>IF(XT!$P365=0,J365,"")</f>
        <v/>
      </c>
      <c r="M365">
        <f>SUMPRODUCT((MONTH(CHOOSE({1,2,3,4},XT!U365,XT!Y365,XT!AC365,XT!AG365))=4)*(CHOOSE({1,2,3,4},XT!X365,XT!AB365,XT!AF365,XT!AJ365)))</f>
        <v>0</v>
      </c>
      <c r="N365" t="str">
        <f>IFERROR(INDEX(CHOOSE({1,2,3,4}, DAY(XT!U365), DAY(XT!Y365), DAY(XT!AC365), DAY(XT!AG365)), MATCH(1, INDEX(--(MONTH(CHOOSE({1,2,3,4}, XT!U365,XT!Y365,XT!AC365,XT!AG365))=4), 0), 0)), "")</f>
        <v/>
      </c>
      <c r="O365" s="51" t="str">
        <f>IF(XT!$P365&gt;0,N365,"")</f>
        <v/>
      </c>
      <c r="P365" s="51" t="str">
        <f>IF(XT!$P365=0,N365,"")</f>
        <v/>
      </c>
      <c r="Q365">
        <f>SUMPRODUCT((MONTH(CHOOSE({1,2,3,4},XT!U365,XT!Y365,XT!AC365,XT!AG365))=5)*(CHOOSE({1,2,3,4},XT!X365,XT!AB365,XT!AF365,XT!AJ365)))</f>
        <v>0</v>
      </c>
      <c r="R365" t="str">
        <f>IFERROR(INDEX(CHOOSE({1,2,3,4}, DAY(XT!U365), DAY(XT!Y365), DAY(XT!AC365), DAY(XT!AG365)), MATCH(1, INDEX(--(MONTH(CHOOSE({1,2,3,4}, XT!U365,XT!Y365,XT!AC365,XT!AG365))=5), 0), 0)), "")</f>
        <v/>
      </c>
      <c r="S365" s="51" t="str">
        <f>IF(XT!$P365&gt;0,R365,"")</f>
        <v/>
      </c>
      <c r="T365" s="51" t="str">
        <f>IF(XT!$P365=0,R365,"")</f>
        <v/>
      </c>
      <c r="U365">
        <f>SUMPRODUCT((MONTH(CHOOSE({1,2,3,4},XT!U365,XT!Y365,XT!AC365,XT!AG365))=6)*(CHOOSE({1,2,3,4},XT!X365,XT!AB365,XT!AF365,XT!AJ365)))</f>
        <v>0</v>
      </c>
      <c r="V365" t="str">
        <f>IFERROR(INDEX(CHOOSE({1,2,3,4}, DAY(XT!U365), DAY(XT!Y365), DAY(XT!AC365), DAY(XT!AG365)), MATCH(1, INDEX(--(MONTH(CHOOSE({1,2,3,4}, XT!U365,XT!Y365,XT!AC365,XT!AG365))=6), 0), 0)), "")</f>
        <v/>
      </c>
      <c r="W365" s="51" t="str">
        <f>IF(XT!$P365&gt;0,V365,"")</f>
        <v/>
      </c>
      <c r="X365" s="51" t="str">
        <f>IF(XT!$P365=0,V365,"")</f>
        <v/>
      </c>
      <c r="Y365">
        <f>SUMPRODUCT((MONTH(CHOOSE({1,2,3,4},XT!U365,XT!Y365,XT!AC365,XT!AG365))=7)*(CHOOSE({1,2,3,4},XT!X365,XT!AB365,XT!AF365,XT!AJ365)))</f>
        <v>0</v>
      </c>
      <c r="Z365" t="str">
        <f>IFERROR(INDEX(CHOOSE({1,2,3,4}, DAY(XT!U365), DAY(XT!Y365), DAY(XT!AC365), DAY(XT!AG365)), MATCH(1, INDEX(--(MONTH(CHOOSE({1,2,3,4}, XT!U365,XT!Y365,XT!AC365,XT!AG365))=7), 0), 0)), "")</f>
        <v/>
      </c>
      <c r="AA365" s="51" t="str">
        <f>IF(XT!$P365&gt;0,Z365,"")</f>
        <v/>
      </c>
      <c r="AB365" s="51" t="str">
        <f>IF(XT!$P365=0,Z365,"")</f>
        <v/>
      </c>
      <c r="AC365">
        <f>SUMPRODUCT((MONTH(CHOOSE({1,2,3,4},XT!U365,XT!Y365,XT!AC365,XT!AG365))=8)*(CHOOSE({1,2,3,4},XT!X365,XT!AB365,XT!AF365,XT!AJ365)))</f>
        <v>0</v>
      </c>
      <c r="AD365" t="str">
        <f>IFERROR(INDEX(CHOOSE({1,2,3,4}, DAY(XT!U365), DAY(XT!Y365), DAY(XT!AC365), DAY(XT!AG365)), MATCH(1, INDEX(--(MONTH(CHOOSE({1,2,3,4}, XT!U365,XT!Y365,XT!AC365,XT!AG365))=8), 0), 0)), "")</f>
        <v/>
      </c>
      <c r="AE365" s="51" t="str">
        <f>IF(XT!$P365&gt;0,AD365,"")</f>
        <v/>
      </c>
      <c r="AF365" s="51" t="str">
        <f>IF(XT!$P365=0,AD365,"")</f>
        <v/>
      </c>
      <c r="AG365">
        <f>SUMPRODUCT((MONTH(CHOOSE({1,2,3,4},XT!U365,XT!Y365,XT!AC365,XT!AG365))=9)*(CHOOSE({1,2,3,4},XT!X365,XT!AB365,XT!AF365,XT!AJ365)))</f>
        <v>0</v>
      </c>
      <c r="AH365" t="str">
        <f>IFERROR(INDEX(CHOOSE({1,2,3,4}, DAY(XT!U365), DAY(XT!Y365), DAY(XT!AC365), DAY(XT!AG365)), MATCH(1, INDEX(--(MONTH(CHOOSE({1,2,3,4}, XT!U365,XT!Y365,XT!AC365,XT!AG365))=9), 0), 0)), "")</f>
        <v/>
      </c>
      <c r="AI365" s="51" t="str">
        <f>IF(XT!$P365&gt;0,AH365,"")</f>
        <v/>
      </c>
      <c r="AJ365" s="51" t="str">
        <f>IF(XT!$P365=0,AH365,"")</f>
        <v/>
      </c>
      <c r="AK365">
        <f>SUMPRODUCT((MONTH(CHOOSE({1,2,3,4},XT!U365,XT!Y365,XT!AC365,XT!AG365))=10)*(CHOOSE({1,2,3,4},XT!X365,XT!AB365,XT!AF365,XT!AJ365)))</f>
        <v>0</v>
      </c>
      <c r="AL365" t="str">
        <f>IFERROR(INDEX(CHOOSE({1,2,3,4}, DAY(XT!U365), DAY(XT!Y365), DAY(XT!AC365), DAY(XT!AG365)), MATCH(1, INDEX(--(MONTH(CHOOSE({1,2,3,4}, XT!U365,XT!Y365,XT!AC365,XT!AG365))=10), 0), 0)), "")</f>
        <v/>
      </c>
      <c r="AM365" s="51" t="str">
        <f>IF(XT!$P365&gt;0,AL365,"")</f>
        <v/>
      </c>
      <c r="AN365" s="51" t="str">
        <f>IF(XT!$P365=0,AL365,"")</f>
        <v/>
      </c>
      <c r="AO365">
        <f>SUMPRODUCT((MONTH(CHOOSE({1,2,3,4},XT!U365,XT!Y365,XT!AC365,XT!AG365))=11)*(CHOOSE({1,2,3,4},XT!X365,XT!AB365,XT!AF365,XT!AJ365)))</f>
        <v>0</v>
      </c>
      <c r="AP365" t="str">
        <f>IFERROR(INDEX(CHOOSE({1,2,3,4}, DAY(XT!U365), DAY(XT!Y365), DAY(XT!AC365), DAY(XT!AG365)), MATCH(1, INDEX(--(MONTH(CHOOSE({1,2,3,4}, XT!U365,XT!Y365,XT!AC365,XT!AG365))=11), 0), 0)), "")</f>
        <v/>
      </c>
      <c r="AQ365" s="51" t="str">
        <f>IF(XT!$P365&gt;0,AP365,"")</f>
        <v/>
      </c>
      <c r="AR365" s="51" t="str">
        <f>IF(XT!$P365=0,AP365,"")</f>
        <v/>
      </c>
      <c r="AS365">
        <f>SUMPRODUCT((MONTH(CHOOSE({1,2,3,4},XT!U365,XT!Y365,XT!AC365,XT!AG365))=12)*(CHOOSE({1,2,3,4},XT!X365,XT!AB365,XT!AF365,XT!AJ365)))</f>
        <v>0</v>
      </c>
      <c r="AT365" t="str">
        <f>IFERROR(INDEX(CHOOSE({1,2,3,4}, DAY(XT!U365), DAY(XT!Y365), DAY(XT!AC365), DAY(XT!AG365)), MATCH(1, INDEX(--(MONTH(CHOOSE({1,2,3,4}, XT!U365,XT!Y365,XT!AC365,XT!AG365))=12), 0), 0)), "")</f>
        <v/>
      </c>
      <c r="AU365" s="51" t="str">
        <f>IF(XT!$P365&gt;0,AT365,"")</f>
        <v/>
      </c>
      <c r="AV365" s="51" t="str">
        <f>IF(XT!$P365=0,AT365,"")</f>
        <v/>
      </c>
    </row>
    <row r="366" spans="1:48">
      <c r="A366">
        <f>SUMPRODUCT((MONTH(CHOOSE({1,2,3,4},XT!U366,XT!Y366,XT!AC366,XT!AG366))=1)*(CHOOSE({1,2,3,4},XT!X366,XT!AB366,XT!AF366,XT!AJ366)))</f>
        <v>0</v>
      </c>
      <c r="B366">
        <f>IFERROR(INDEX(CHOOSE({1,2,3,4}, DAY(XT!U366), DAY(XT!Y366), DAY(XT!AC366), DAY(XT!AG366)), MATCH(1, INDEX(--(MONTH(CHOOSE({1,2,3,4}, XT!U366,XT!Y366,XT!AC366,XT!AG366))=1), 0), 0)), "")</f>
        <v>0</v>
      </c>
      <c r="C366" s="51" t="str">
        <f>IF(XT!$P366&gt;0,B366,"")</f>
        <v/>
      </c>
      <c r="D366" s="51">
        <f>IF(XT!$P366=0,B366,"")</f>
        <v>0</v>
      </c>
      <c r="E366">
        <f>SUMPRODUCT((MONTH(CHOOSE({1,2,3,4},XT!U366,XT!Y366,XT!AC366,XT!AG366))=2)*(CHOOSE({1,2,3,4},XT!X366,XT!AB366,XT!AF366,XT!AJ366)))</f>
        <v>0</v>
      </c>
      <c r="F366" t="str">
        <f>IFERROR(INDEX(CHOOSE({1,2,3,4}, DAY(XT!U366), DAY(XT!Y366), DAY(XT!AC366), DAY(XT!AG366)), MATCH(1, INDEX(--(MONTH(CHOOSE({1,2,3,4}, XT!U366,XT!Y366,XT!AC366,XT!AG366))=2), 0), 0)), "")</f>
        <v/>
      </c>
      <c r="G366" s="51" t="str">
        <f>IF(XT!$P366&gt;0,F366,"")</f>
        <v/>
      </c>
      <c r="H366" s="51" t="str">
        <f>IF(XT!$P366=0,F366,"")</f>
        <v/>
      </c>
      <c r="I366">
        <f>SUMPRODUCT((MONTH(CHOOSE({1,2,3,4},XT!U366,XT!Y366,XT!AC366,XT!AG366))=3)*(CHOOSE({1,2,3,4},XT!X366,XT!AB366,XT!AF366,XT!AJ366)))</f>
        <v>0</v>
      </c>
      <c r="J366" t="str">
        <f>IFERROR(INDEX(CHOOSE({1,2,3,4}, DAY(XT!U366), DAY(XT!Y366), DAY(XT!AC366), DAY(XT!AG366)), MATCH(1, INDEX(--(MONTH(CHOOSE({1,2,3,4}, XT!U366,XT!Y366,XT!AC366,XT!AG366))=3), 0), 0)), "")</f>
        <v/>
      </c>
      <c r="K366" s="51" t="str">
        <f>IF(XT!$P366&gt;0,J366,"")</f>
        <v/>
      </c>
      <c r="L366" s="51" t="str">
        <f>IF(XT!$P366=0,J366,"")</f>
        <v/>
      </c>
      <c r="M366">
        <f>SUMPRODUCT((MONTH(CHOOSE({1,2,3,4},XT!U366,XT!Y366,XT!AC366,XT!AG366))=4)*(CHOOSE({1,2,3,4},XT!X366,XT!AB366,XT!AF366,XT!AJ366)))</f>
        <v>0</v>
      </c>
      <c r="N366" t="str">
        <f>IFERROR(INDEX(CHOOSE({1,2,3,4}, DAY(XT!U366), DAY(XT!Y366), DAY(XT!AC366), DAY(XT!AG366)), MATCH(1, INDEX(--(MONTH(CHOOSE({1,2,3,4}, XT!U366,XT!Y366,XT!AC366,XT!AG366))=4), 0), 0)), "")</f>
        <v/>
      </c>
      <c r="O366" s="51" t="str">
        <f>IF(XT!$P366&gt;0,N366,"")</f>
        <v/>
      </c>
      <c r="P366" s="51" t="str">
        <f>IF(XT!$P366=0,N366,"")</f>
        <v/>
      </c>
      <c r="Q366">
        <f>SUMPRODUCT((MONTH(CHOOSE({1,2,3,4},XT!U366,XT!Y366,XT!AC366,XT!AG366))=5)*(CHOOSE({1,2,3,4},XT!X366,XT!AB366,XT!AF366,XT!AJ366)))</f>
        <v>0</v>
      </c>
      <c r="R366" t="str">
        <f>IFERROR(INDEX(CHOOSE({1,2,3,4}, DAY(XT!U366), DAY(XT!Y366), DAY(XT!AC366), DAY(XT!AG366)), MATCH(1, INDEX(--(MONTH(CHOOSE({1,2,3,4}, XT!U366,XT!Y366,XT!AC366,XT!AG366))=5), 0), 0)), "")</f>
        <v/>
      </c>
      <c r="S366" s="51" t="str">
        <f>IF(XT!$P366&gt;0,R366,"")</f>
        <v/>
      </c>
      <c r="T366" s="51" t="str">
        <f>IF(XT!$P366=0,R366,"")</f>
        <v/>
      </c>
      <c r="U366">
        <f>SUMPRODUCT((MONTH(CHOOSE({1,2,3,4},XT!U366,XT!Y366,XT!AC366,XT!AG366))=6)*(CHOOSE({1,2,3,4},XT!X366,XT!AB366,XT!AF366,XT!AJ366)))</f>
        <v>0</v>
      </c>
      <c r="V366" t="str">
        <f>IFERROR(INDEX(CHOOSE({1,2,3,4}, DAY(XT!U366), DAY(XT!Y366), DAY(XT!AC366), DAY(XT!AG366)), MATCH(1, INDEX(--(MONTH(CHOOSE({1,2,3,4}, XT!U366,XT!Y366,XT!AC366,XT!AG366))=6), 0), 0)), "")</f>
        <v/>
      </c>
      <c r="W366" s="51" t="str">
        <f>IF(XT!$P366&gt;0,V366,"")</f>
        <v/>
      </c>
      <c r="X366" s="51" t="str">
        <f>IF(XT!$P366=0,V366,"")</f>
        <v/>
      </c>
      <c r="Y366">
        <f>SUMPRODUCT((MONTH(CHOOSE({1,2,3,4},XT!U366,XT!Y366,XT!AC366,XT!AG366))=7)*(CHOOSE({1,2,3,4},XT!X366,XT!AB366,XT!AF366,XT!AJ366)))</f>
        <v>0</v>
      </c>
      <c r="Z366" t="str">
        <f>IFERROR(INDEX(CHOOSE({1,2,3,4}, DAY(XT!U366), DAY(XT!Y366), DAY(XT!AC366), DAY(XT!AG366)), MATCH(1, INDEX(--(MONTH(CHOOSE({1,2,3,4}, XT!U366,XT!Y366,XT!AC366,XT!AG366))=7), 0), 0)), "")</f>
        <v/>
      </c>
      <c r="AA366" s="51" t="str">
        <f>IF(XT!$P366&gt;0,Z366,"")</f>
        <v/>
      </c>
      <c r="AB366" s="51" t="str">
        <f>IF(XT!$P366=0,Z366,"")</f>
        <v/>
      </c>
      <c r="AC366">
        <f>SUMPRODUCT((MONTH(CHOOSE({1,2,3,4},XT!U366,XT!Y366,XT!AC366,XT!AG366))=8)*(CHOOSE({1,2,3,4},XT!X366,XT!AB366,XT!AF366,XT!AJ366)))</f>
        <v>0</v>
      </c>
      <c r="AD366" t="str">
        <f>IFERROR(INDEX(CHOOSE({1,2,3,4}, DAY(XT!U366), DAY(XT!Y366), DAY(XT!AC366), DAY(XT!AG366)), MATCH(1, INDEX(--(MONTH(CHOOSE({1,2,3,4}, XT!U366,XT!Y366,XT!AC366,XT!AG366))=8), 0), 0)), "")</f>
        <v/>
      </c>
      <c r="AE366" s="51" t="str">
        <f>IF(XT!$P366&gt;0,AD366,"")</f>
        <v/>
      </c>
      <c r="AF366" s="51" t="str">
        <f>IF(XT!$P366=0,AD366,"")</f>
        <v/>
      </c>
      <c r="AG366">
        <f>SUMPRODUCT((MONTH(CHOOSE({1,2,3,4},XT!U366,XT!Y366,XT!AC366,XT!AG366))=9)*(CHOOSE({1,2,3,4},XT!X366,XT!AB366,XT!AF366,XT!AJ366)))</f>
        <v>0</v>
      </c>
      <c r="AH366" t="str">
        <f>IFERROR(INDEX(CHOOSE({1,2,3,4}, DAY(XT!U366), DAY(XT!Y366), DAY(XT!AC366), DAY(XT!AG366)), MATCH(1, INDEX(--(MONTH(CHOOSE({1,2,3,4}, XT!U366,XT!Y366,XT!AC366,XT!AG366))=9), 0), 0)), "")</f>
        <v/>
      </c>
      <c r="AI366" s="51" t="str">
        <f>IF(XT!$P366&gt;0,AH366,"")</f>
        <v/>
      </c>
      <c r="AJ366" s="51" t="str">
        <f>IF(XT!$P366=0,AH366,"")</f>
        <v/>
      </c>
      <c r="AK366">
        <f>SUMPRODUCT((MONTH(CHOOSE({1,2,3,4},XT!U366,XT!Y366,XT!AC366,XT!AG366))=10)*(CHOOSE({1,2,3,4},XT!X366,XT!AB366,XT!AF366,XT!AJ366)))</f>
        <v>0</v>
      </c>
      <c r="AL366" t="str">
        <f>IFERROR(INDEX(CHOOSE({1,2,3,4}, DAY(XT!U366), DAY(XT!Y366), DAY(XT!AC366), DAY(XT!AG366)), MATCH(1, INDEX(--(MONTH(CHOOSE({1,2,3,4}, XT!U366,XT!Y366,XT!AC366,XT!AG366))=10), 0), 0)), "")</f>
        <v/>
      </c>
      <c r="AM366" s="51" t="str">
        <f>IF(XT!$P366&gt;0,AL366,"")</f>
        <v/>
      </c>
      <c r="AN366" s="51" t="str">
        <f>IF(XT!$P366=0,AL366,"")</f>
        <v/>
      </c>
      <c r="AO366">
        <f>SUMPRODUCT((MONTH(CHOOSE({1,2,3,4},XT!U366,XT!Y366,XT!AC366,XT!AG366))=11)*(CHOOSE({1,2,3,4},XT!X366,XT!AB366,XT!AF366,XT!AJ366)))</f>
        <v>0</v>
      </c>
      <c r="AP366" t="str">
        <f>IFERROR(INDEX(CHOOSE({1,2,3,4}, DAY(XT!U366), DAY(XT!Y366), DAY(XT!AC366), DAY(XT!AG366)), MATCH(1, INDEX(--(MONTH(CHOOSE({1,2,3,4}, XT!U366,XT!Y366,XT!AC366,XT!AG366))=11), 0), 0)), "")</f>
        <v/>
      </c>
      <c r="AQ366" s="51" t="str">
        <f>IF(XT!$P366&gt;0,AP366,"")</f>
        <v/>
      </c>
      <c r="AR366" s="51" t="str">
        <f>IF(XT!$P366=0,AP366,"")</f>
        <v/>
      </c>
      <c r="AS366">
        <f>SUMPRODUCT((MONTH(CHOOSE({1,2,3,4},XT!U366,XT!Y366,XT!AC366,XT!AG366))=12)*(CHOOSE({1,2,3,4},XT!X366,XT!AB366,XT!AF366,XT!AJ366)))</f>
        <v>0</v>
      </c>
      <c r="AT366" t="str">
        <f>IFERROR(INDEX(CHOOSE({1,2,3,4}, DAY(XT!U366), DAY(XT!Y366), DAY(XT!AC366), DAY(XT!AG366)), MATCH(1, INDEX(--(MONTH(CHOOSE({1,2,3,4}, XT!U366,XT!Y366,XT!AC366,XT!AG366))=12), 0), 0)), "")</f>
        <v/>
      </c>
      <c r="AU366" s="51" t="str">
        <f>IF(XT!$P366&gt;0,AT366,"")</f>
        <v/>
      </c>
      <c r="AV366" s="51" t="str">
        <f>IF(XT!$P366=0,AT366,"")</f>
        <v/>
      </c>
    </row>
    <row r="367" spans="1:48">
      <c r="A367">
        <f>SUMPRODUCT((MONTH(CHOOSE({1,2,3,4},XT!U367,XT!Y367,XT!AC367,XT!AG367))=1)*(CHOOSE({1,2,3,4},XT!X367,XT!AB367,XT!AF367,XT!AJ367)))</f>
        <v>0</v>
      </c>
      <c r="B367">
        <f>IFERROR(INDEX(CHOOSE({1,2,3,4}, DAY(XT!U367), DAY(XT!Y367), DAY(XT!AC367), DAY(XT!AG367)), MATCH(1, INDEX(--(MONTH(CHOOSE({1,2,3,4}, XT!U367,XT!Y367,XT!AC367,XT!AG367))=1), 0), 0)), "")</f>
        <v>0</v>
      </c>
      <c r="C367" s="51" t="str">
        <f>IF(XT!$P367&gt;0,B367,"")</f>
        <v/>
      </c>
      <c r="D367" s="51">
        <f>IF(XT!$P367=0,B367,"")</f>
        <v>0</v>
      </c>
      <c r="E367">
        <f>SUMPRODUCT((MONTH(CHOOSE({1,2,3,4},XT!U367,XT!Y367,XT!AC367,XT!AG367))=2)*(CHOOSE({1,2,3,4},XT!X367,XT!AB367,XT!AF367,XT!AJ367)))</f>
        <v>0</v>
      </c>
      <c r="F367" t="str">
        <f>IFERROR(INDEX(CHOOSE({1,2,3,4}, DAY(XT!U367), DAY(XT!Y367), DAY(XT!AC367), DAY(XT!AG367)), MATCH(1, INDEX(--(MONTH(CHOOSE({1,2,3,4}, XT!U367,XT!Y367,XT!AC367,XT!AG367))=2), 0), 0)), "")</f>
        <v/>
      </c>
      <c r="G367" s="51" t="str">
        <f>IF(XT!$P367&gt;0,F367,"")</f>
        <v/>
      </c>
      <c r="H367" s="51" t="str">
        <f>IF(XT!$P367=0,F367,"")</f>
        <v/>
      </c>
      <c r="I367">
        <f>SUMPRODUCT((MONTH(CHOOSE({1,2,3,4},XT!U367,XT!Y367,XT!AC367,XT!AG367))=3)*(CHOOSE({1,2,3,4},XT!X367,XT!AB367,XT!AF367,XT!AJ367)))</f>
        <v>0</v>
      </c>
      <c r="J367" t="str">
        <f>IFERROR(INDEX(CHOOSE({1,2,3,4}, DAY(XT!U367), DAY(XT!Y367), DAY(XT!AC367), DAY(XT!AG367)), MATCH(1, INDEX(--(MONTH(CHOOSE({1,2,3,4}, XT!U367,XT!Y367,XT!AC367,XT!AG367))=3), 0), 0)), "")</f>
        <v/>
      </c>
      <c r="K367" s="51" t="str">
        <f>IF(XT!$P367&gt;0,J367,"")</f>
        <v/>
      </c>
      <c r="L367" s="51" t="str">
        <f>IF(XT!$P367=0,J367,"")</f>
        <v/>
      </c>
      <c r="M367">
        <f>SUMPRODUCT((MONTH(CHOOSE({1,2,3,4},XT!U367,XT!Y367,XT!AC367,XT!AG367))=4)*(CHOOSE({1,2,3,4},XT!X367,XT!AB367,XT!AF367,XT!AJ367)))</f>
        <v>0</v>
      </c>
      <c r="N367" t="str">
        <f>IFERROR(INDEX(CHOOSE({1,2,3,4}, DAY(XT!U367), DAY(XT!Y367), DAY(XT!AC367), DAY(XT!AG367)), MATCH(1, INDEX(--(MONTH(CHOOSE({1,2,3,4}, XT!U367,XT!Y367,XT!AC367,XT!AG367))=4), 0), 0)), "")</f>
        <v/>
      </c>
      <c r="O367" s="51" t="str">
        <f>IF(XT!$P367&gt;0,N367,"")</f>
        <v/>
      </c>
      <c r="P367" s="51" t="str">
        <f>IF(XT!$P367=0,N367,"")</f>
        <v/>
      </c>
      <c r="Q367">
        <f>SUMPRODUCT((MONTH(CHOOSE({1,2,3,4},XT!U367,XT!Y367,XT!AC367,XT!AG367))=5)*(CHOOSE({1,2,3,4},XT!X367,XT!AB367,XT!AF367,XT!AJ367)))</f>
        <v>0</v>
      </c>
      <c r="R367" t="str">
        <f>IFERROR(INDEX(CHOOSE({1,2,3,4}, DAY(XT!U367), DAY(XT!Y367), DAY(XT!AC367), DAY(XT!AG367)), MATCH(1, INDEX(--(MONTH(CHOOSE({1,2,3,4}, XT!U367,XT!Y367,XT!AC367,XT!AG367))=5), 0), 0)), "")</f>
        <v/>
      </c>
      <c r="S367" s="51" t="str">
        <f>IF(XT!$P367&gt;0,R367,"")</f>
        <v/>
      </c>
      <c r="T367" s="51" t="str">
        <f>IF(XT!$P367=0,R367,"")</f>
        <v/>
      </c>
      <c r="U367">
        <f>SUMPRODUCT((MONTH(CHOOSE({1,2,3,4},XT!U367,XT!Y367,XT!AC367,XT!AG367))=6)*(CHOOSE({1,2,3,4},XT!X367,XT!AB367,XT!AF367,XT!AJ367)))</f>
        <v>0</v>
      </c>
      <c r="V367" t="str">
        <f>IFERROR(INDEX(CHOOSE({1,2,3,4}, DAY(XT!U367), DAY(XT!Y367), DAY(XT!AC367), DAY(XT!AG367)), MATCH(1, INDEX(--(MONTH(CHOOSE({1,2,3,4}, XT!U367,XT!Y367,XT!AC367,XT!AG367))=6), 0), 0)), "")</f>
        <v/>
      </c>
      <c r="W367" s="51" t="str">
        <f>IF(XT!$P367&gt;0,V367,"")</f>
        <v/>
      </c>
      <c r="X367" s="51" t="str">
        <f>IF(XT!$P367=0,V367,"")</f>
        <v/>
      </c>
      <c r="Y367">
        <f>SUMPRODUCT((MONTH(CHOOSE({1,2,3,4},XT!U367,XT!Y367,XT!AC367,XT!AG367))=7)*(CHOOSE({1,2,3,4},XT!X367,XT!AB367,XT!AF367,XT!AJ367)))</f>
        <v>0</v>
      </c>
      <c r="Z367" t="str">
        <f>IFERROR(INDEX(CHOOSE({1,2,3,4}, DAY(XT!U367), DAY(XT!Y367), DAY(XT!AC367), DAY(XT!AG367)), MATCH(1, INDEX(--(MONTH(CHOOSE({1,2,3,4}, XT!U367,XT!Y367,XT!AC367,XT!AG367))=7), 0), 0)), "")</f>
        <v/>
      </c>
      <c r="AA367" s="51" t="str">
        <f>IF(XT!$P367&gt;0,Z367,"")</f>
        <v/>
      </c>
      <c r="AB367" s="51" t="str">
        <f>IF(XT!$P367=0,Z367,"")</f>
        <v/>
      </c>
      <c r="AC367">
        <f>SUMPRODUCT((MONTH(CHOOSE({1,2,3,4},XT!U367,XT!Y367,XT!AC367,XT!AG367))=8)*(CHOOSE({1,2,3,4},XT!X367,XT!AB367,XT!AF367,XT!AJ367)))</f>
        <v>0</v>
      </c>
      <c r="AD367" t="str">
        <f>IFERROR(INDEX(CHOOSE({1,2,3,4}, DAY(XT!U367), DAY(XT!Y367), DAY(XT!AC367), DAY(XT!AG367)), MATCH(1, INDEX(--(MONTH(CHOOSE({1,2,3,4}, XT!U367,XT!Y367,XT!AC367,XT!AG367))=8), 0), 0)), "")</f>
        <v/>
      </c>
      <c r="AE367" s="51" t="str">
        <f>IF(XT!$P367&gt;0,AD367,"")</f>
        <v/>
      </c>
      <c r="AF367" s="51" t="str">
        <f>IF(XT!$P367=0,AD367,"")</f>
        <v/>
      </c>
      <c r="AG367">
        <f>SUMPRODUCT((MONTH(CHOOSE({1,2,3,4},XT!U367,XT!Y367,XT!AC367,XT!AG367))=9)*(CHOOSE({1,2,3,4},XT!X367,XT!AB367,XT!AF367,XT!AJ367)))</f>
        <v>0</v>
      </c>
      <c r="AH367" t="str">
        <f>IFERROR(INDEX(CHOOSE({1,2,3,4}, DAY(XT!U367), DAY(XT!Y367), DAY(XT!AC367), DAY(XT!AG367)), MATCH(1, INDEX(--(MONTH(CHOOSE({1,2,3,4}, XT!U367,XT!Y367,XT!AC367,XT!AG367))=9), 0), 0)), "")</f>
        <v/>
      </c>
      <c r="AI367" s="51" t="str">
        <f>IF(XT!$P367&gt;0,AH367,"")</f>
        <v/>
      </c>
      <c r="AJ367" s="51" t="str">
        <f>IF(XT!$P367=0,AH367,"")</f>
        <v/>
      </c>
      <c r="AK367">
        <f>SUMPRODUCT((MONTH(CHOOSE({1,2,3,4},XT!U367,XT!Y367,XT!AC367,XT!AG367))=10)*(CHOOSE({1,2,3,4},XT!X367,XT!AB367,XT!AF367,XT!AJ367)))</f>
        <v>0</v>
      </c>
      <c r="AL367" t="str">
        <f>IFERROR(INDEX(CHOOSE({1,2,3,4}, DAY(XT!U367), DAY(XT!Y367), DAY(XT!AC367), DAY(XT!AG367)), MATCH(1, INDEX(--(MONTH(CHOOSE({1,2,3,4}, XT!U367,XT!Y367,XT!AC367,XT!AG367))=10), 0), 0)), "")</f>
        <v/>
      </c>
      <c r="AM367" s="51" t="str">
        <f>IF(XT!$P367&gt;0,AL367,"")</f>
        <v/>
      </c>
      <c r="AN367" s="51" t="str">
        <f>IF(XT!$P367=0,AL367,"")</f>
        <v/>
      </c>
      <c r="AO367">
        <f>SUMPRODUCT((MONTH(CHOOSE({1,2,3,4},XT!U367,XT!Y367,XT!AC367,XT!AG367))=11)*(CHOOSE({1,2,3,4},XT!X367,XT!AB367,XT!AF367,XT!AJ367)))</f>
        <v>0</v>
      </c>
      <c r="AP367" t="str">
        <f>IFERROR(INDEX(CHOOSE({1,2,3,4}, DAY(XT!U367), DAY(XT!Y367), DAY(XT!AC367), DAY(XT!AG367)), MATCH(1, INDEX(--(MONTH(CHOOSE({1,2,3,4}, XT!U367,XT!Y367,XT!AC367,XT!AG367))=11), 0), 0)), "")</f>
        <v/>
      </c>
      <c r="AQ367" s="51" t="str">
        <f>IF(XT!$P367&gt;0,AP367,"")</f>
        <v/>
      </c>
      <c r="AR367" s="51" t="str">
        <f>IF(XT!$P367=0,AP367,"")</f>
        <v/>
      </c>
      <c r="AS367">
        <f>SUMPRODUCT((MONTH(CHOOSE({1,2,3,4},XT!U367,XT!Y367,XT!AC367,XT!AG367))=12)*(CHOOSE({1,2,3,4},XT!X367,XT!AB367,XT!AF367,XT!AJ367)))</f>
        <v>0</v>
      </c>
      <c r="AT367" t="str">
        <f>IFERROR(INDEX(CHOOSE({1,2,3,4}, DAY(XT!U367), DAY(XT!Y367), DAY(XT!AC367), DAY(XT!AG367)), MATCH(1, INDEX(--(MONTH(CHOOSE({1,2,3,4}, XT!U367,XT!Y367,XT!AC367,XT!AG367))=12), 0), 0)), "")</f>
        <v/>
      </c>
      <c r="AU367" s="51" t="str">
        <f>IF(XT!$P367&gt;0,AT367,"")</f>
        <v/>
      </c>
      <c r="AV367" s="51" t="str">
        <f>IF(XT!$P367=0,AT367,"")</f>
        <v/>
      </c>
    </row>
    <row r="368" spans="1:48">
      <c r="A368">
        <f>SUMPRODUCT((MONTH(CHOOSE({1,2,3,4},XT!U368,XT!Y368,XT!AC368,XT!AG368))=1)*(CHOOSE({1,2,3,4},XT!X368,XT!AB368,XT!AF368,XT!AJ368)))</f>
        <v>0</v>
      </c>
      <c r="B368">
        <f>IFERROR(INDEX(CHOOSE({1,2,3,4}, DAY(XT!U368), DAY(XT!Y368), DAY(XT!AC368), DAY(XT!AG368)), MATCH(1, INDEX(--(MONTH(CHOOSE({1,2,3,4}, XT!U368,XT!Y368,XT!AC368,XT!AG368))=1), 0), 0)), "")</f>
        <v>0</v>
      </c>
      <c r="C368" s="51" t="str">
        <f>IF(XT!$P368&gt;0,B368,"")</f>
        <v/>
      </c>
      <c r="D368" s="51">
        <f>IF(XT!$P368=0,B368,"")</f>
        <v>0</v>
      </c>
      <c r="E368">
        <f>SUMPRODUCT((MONTH(CHOOSE({1,2,3,4},XT!U368,XT!Y368,XT!AC368,XT!AG368))=2)*(CHOOSE({1,2,3,4},XT!X368,XT!AB368,XT!AF368,XT!AJ368)))</f>
        <v>0</v>
      </c>
      <c r="F368" t="str">
        <f>IFERROR(INDEX(CHOOSE({1,2,3,4}, DAY(XT!U368), DAY(XT!Y368), DAY(XT!AC368), DAY(XT!AG368)), MATCH(1, INDEX(--(MONTH(CHOOSE({1,2,3,4}, XT!U368,XT!Y368,XT!AC368,XT!AG368))=2), 0), 0)), "")</f>
        <v/>
      </c>
      <c r="G368" s="51" t="str">
        <f>IF(XT!$P368&gt;0,F368,"")</f>
        <v/>
      </c>
      <c r="H368" s="51" t="str">
        <f>IF(XT!$P368=0,F368,"")</f>
        <v/>
      </c>
      <c r="I368">
        <f>SUMPRODUCT((MONTH(CHOOSE({1,2,3,4},XT!U368,XT!Y368,XT!AC368,XT!AG368))=3)*(CHOOSE({1,2,3,4},XT!X368,XT!AB368,XT!AF368,XT!AJ368)))</f>
        <v>0</v>
      </c>
      <c r="J368" t="str">
        <f>IFERROR(INDEX(CHOOSE({1,2,3,4}, DAY(XT!U368), DAY(XT!Y368), DAY(XT!AC368), DAY(XT!AG368)), MATCH(1, INDEX(--(MONTH(CHOOSE({1,2,3,4}, XT!U368,XT!Y368,XT!AC368,XT!AG368))=3), 0), 0)), "")</f>
        <v/>
      </c>
      <c r="K368" s="51" t="str">
        <f>IF(XT!$P368&gt;0,J368,"")</f>
        <v/>
      </c>
      <c r="L368" s="51" t="str">
        <f>IF(XT!$P368=0,J368,"")</f>
        <v/>
      </c>
      <c r="M368">
        <f>SUMPRODUCT((MONTH(CHOOSE({1,2,3,4},XT!U368,XT!Y368,XT!AC368,XT!AG368))=4)*(CHOOSE({1,2,3,4},XT!X368,XT!AB368,XT!AF368,XT!AJ368)))</f>
        <v>0</v>
      </c>
      <c r="N368" t="str">
        <f>IFERROR(INDEX(CHOOSE({1,2,3,4}, DAY(XT!U368), DAY(XT!Y368), DAY(XT!AC368), DAY(XT!AG368)), MATCH(1, INDEX(--(MONTH(CHOOSE({1,2,3,4}, XT!U368,XT!Y368,XT!AC368,XT!AG368))=4), 0), 0)), "")</f>
        <v/>
      </c>
      <c r="O368" s="51" t="str">
        <f>IF(XT!$P368&gt;0,N368,"")</f>
        <v/>
      </c>
      <c r="P368" s="51" t="str">
        <f>IF(XT!$P368=0,N368,"")</f>
        <v/>
      </c>
      <c r="Q368">
        <f>SUMPRODUCT((MONTH(CHOOSE({1,2,3,4},XT!U368,XT!Y368,XT!AC368,XT!AG368))=5)*(CHOOSE({1,2,3,4},XT!X368,XT!AB368,XT!AF368,XT!AJ368)))</f>
        <v>0</v>
      </c>
      <c r="R368" t="str">
        <f>IFERROR(INDEX(CHOOSE({1,2,3,4}, DAY(XT!U368), DAY(XT!Y368), DAY(XT!AC368), DAY(XT!AG368)), MATCH(1, INDEX(--(MONTH(CHOOSE({1,2,3,4}, XT!U368,XT!Y368,XT!AC368,XT!AG368))=5), 0), 0)), "")</f>
        <v/>
      </c>
      <c r="S368" s="51" t="str">
        <f>IF(XT!$P368&gt;0,R368,"")</f>
        <v/>
      </c>
      <c r="T368" s="51" t="str">
        <f>IF(XT!$P368=0,R368,"")</f>
        <v/>
      </c>
      <c r="U368">
        <f>SUMPRODUCT((MONTH(CHOOSE({1,2,3,4},XT!U368,XT!Y368,XT!AC368,XT!AG368))=6)*(CHOOSE({1,2,3,4},XT!X368,XT!AB368,XT!AF368,XT!AJ368)))</f>
        <v>0</v>
      </c>
      <c r="V368" t="str">
        <f>IFERROR(INDEX(CHOOSE({1,2,3,4}, DAY(XT!U368), DAY(XT!Y368), DAY(XT!AC368), DAY(XT!AG368)), MATCH(1, INDEX(--(MONTH(CHOOSE({1,2,3,4}, XT!U368,XT!Y368,XT!AC368,XT!AG368))=6), 0), 0)), "")</f>
        <v/>
      </c>
      <c r="W368" s="51" t="str">
        <f>IF(XT!$P368&gt;0,V368,"")</f>
        <v/>
      </c>
      <c r="X368" s="51" t="str">
        <f>IF(XT!$P368=0,V368,"")</f>
        <v/>
      </c>
      <c r="Y368">
        <f>SUMPRODUCT((MONTH(CHOOSE({1,2,3,4},XT!U368,XT!Y368,XT!AC368,XT!AG368))=7)*(CHOOSE({1,2,3,4},XT!X368,XT!AB368,XT!AF368,XT!AJ368)))</f>
        <v>0</v>
      </c>
      <c r="Z368" t="str">
        <f>IFERROR(INDEX(CHOOSE({1,2,3,4}, DAY(XT!U368), DAY(XT!Y368), DAY(XT!AC368), DAY(XT!AG368)), MATCH(1, INDEX(--(MONTH(CHOOSE({1,2,3,4}, XT!U368,XT!Y368,XT!AC368,XT!AG368))=7), 0), 0)), "")</f>
        <v/>
      </c>
      <c r="AA368" s="51" t="str">
        <f>IF(XT!$P368&gt;0,Z368,"")</f>
        <v/>
      </c>
      <c r="AB368" s="51" t="str">
        <f>IF(XT!$P368=0,Z368,"")</f>
        <v/>
      </c>
      <c r="AC368">
        <f>SUMPRODUCT((MONTH(CHOOSE({1,2,3,4},XT!U368,XT!Y368,XT!AC368,XT!AG368))=8)*(CHOOSE({1,2,3,4},XT!X368,XT!AB368,XT!AF368,XT!AJ368)))</f>
        <v>0</v>
      </c>
      <c r="AD368" t="str">
        <f>IFERROR(INDEX(CHOOSE({1,2,3,4}, DAY(XT!U368), DAY(XT!Y368), DAY(XT!AC368), DAY(XT!AG368)), MATCH(1, INDEX(--(MONTH(CHOOSE({1,2,3,4}, XT!U368,XT!Y368,XT!AC368,XT!AG368))=8), 0), 0)), "")</f>
        <v/>
      </c>
      <c r="AE368" s="51" t="str">
        <f>IF(XT!$P368&gt;0,AD368,"")</f>
        <v/>
      </c>
      <c r="AF368" s="51" t="str">
        <f>IF(XT!$P368=0,AD368,"")</f>
        <v/>
      </c>
      <c r="AG368">
        <f>SUMPRODUCT((MONTH(CHOOSE({1,2,3,4},XT!U368,XT!Y368,XT!AC368,XT!AG368))=9)*(CHOOSE({1,2,3,4},XT!X368,XT!AB368,XT!AF368,XT!AJ368)))</f>
        <v>0</v>
      </c>
      <c r="AH368" t="str">
        <f>IFERROR(INDEX(CHOOSE({1,2,3,4}, DAY(XT!U368), DAY(XT!Y368), DAY(XT!AC368), DAY(XT!AG368)), MATCH(1, INDEX(--(MONTH(CHOOSE({1,2,3,4}, XT!U368,XT!Y368,XT!AC368,XT!AG368))=9), 0), 0)), "")</f>
        <v/>
      </c>
      <c r="AI368" s="51" t="str">
        <f>IF(XT!$P368&gt;0,AH368,"")</f>
        <v/>
      </c>
      <c r="AJ368" s="51" t="str">
        <f>IF(XT!$P368=0,AH368,"")</f>
        <v/>
      </c>
      <c r="AK368">
        <f>SUMPRODUCT((MONTH(CHOOSE({1,2,3,4},XT!U368,XT!Y368,XT!AC368,XT!AG368))=10)*(CHOOSE({1,2,3,4},XT!X368,XT!AB368,XT!AF368,XT!AJ368)))</f>
        <v>0</v>
      </c>
      <c r="AL368" t="str">
        <f>IFERROR(INDEX(CHOOSE({1,2,3,4}, DAY(XT!U368), DAY(XT!Y368), DAY(XT!AC368), DAY(XT!AG368)), MATCH(1, INDEX(--(MONTH(CHOOSE({1,2,3,4}, XT!U368,XT!Y368,XT!AC368,XT!AG368))=10), 0), 0)), "")</f>
        <v/>
      </c>
      <c r="AM368" s="51" t="str">
        <f>IF(XT!$P368&gt;0,AL368,"")</f>
        <v/>
      </c>
      <c r="AN368" s="51" t="str">
        <f>IF(XT!$P368=0,AL368,"")</f>
        <v/>
      </c>
      <c r="AO368">
        <f>SUMPRODUCT((MONTH(CHOOSE({1,2,3,4},XT!U368,XT!Y368,XT!AC368,XT!AG368))=11)*(CHOOSE({1,2,3,4},XT!X368,XT!AB368,XT!AF368,XT!AJ368)))</f>
        <v>0</v>
      </c>
      <c r="AP368" t="str">
        <f>IFERROR(INDEX(CHOOSE({1,2,3,4}, DAY(XT!U368), DAY(XT!Y368), DAY(XT!AC368), DAY(XT!AG368)), MATCH(1, INDEX(--(MONTH(CHOOSE({1,2,3,4}, XT!U368,XT!Y368,XT!AC368,XT!AG368))=11), 0), 0)), "")</f>
        <v/>
      </c>
      <c r="AQ368" s="51" t="str">
        <f>IF(XT!$P368&gt;0,AP368,"")</f>
        <v/>
      </c>
      <c r="AR368" s="51" t="str">
        <f>IF(XT!$P368=0,AP368,"")</f>
        <v/>
      </c>
      <c r="AS368">
        <f>SUMPRODUCT((MONTH(CHOOSE({1,2,3,4},XT!U368,XT!Y368,XT!AC368,XT!AG368))=12)*(CHOOSE({1,2,3,4},XT!X368,XT!AB368,XT!AF368,XT!AJ368)))</f>
        <v>0</v>
      </c>
      <c r="AT368" t="str">
        <f>IFERROR(INDEX(CHOOSE({1,2,3,4}, DAY(XT!U368), DAY(XT!Y368), DAY(XT!AC368), DAY(XT!AG368)), MATCH(1, INDEX(--(MONTH(CHOOSE({1,2,3,4}, XT!U368,XT!Y368,XT!AC368,XT!AG368))=12), 0), 0)), "")</f>
        <v/>
      </c>
      <c r="AU368" s="51" t="str">
        <f>IF(XT!$P368&gt;0,AT368,"")</f>
        <v/>
      </c>
      <c r="AV368" s="51" t="str">
        <f>IF(XT!$P368=0,AT368,"")</f>
        <v/>
      </c>
    </row>
    <row r="369" spans="1:48">
      <c r="A369">
        <f>SUMPRODUCT((MONTH(CHOOSE({1,2,3,4},XT!U369,XT!Y369,XT!AC369,XT!AG369))=1)*(CHOOSE({1,2,3,4},XT!X369,XT!AB369,XT!AF369,XT!AJ369)))</f>
        <v>0</v>
      </c>
      <c r="B369">
        <f>IFERROR(INDEX(CHOOSE({1,2,3,4}, DAY(XT!U369), DAY(XT!Y369), DAY(XT!AC369), DAY(XT!AG369)), MATCH(1, INDEX(--(MONTH(CHOOSE({1,2,3,4}, XT!U369,XT!Y369,XT!AC369,XT!AG369))=1), 0), 0)), "")</f>
        <v>0</v>
      </c>
      <c r="C369" s="51" t="str">
        <f>IF(XT!$P369&gt;0,B369,"")</f>
        <v/>
      </c>
      <c r="D369" s="51">
        <f>IF(XT!$P369=0,B369,"")</f>
        <v>0</v>
      </c>
      <c r="E369">
        <f>SUMPRODUCT((MONTH(CHOOSE({1,2,3,4},XT!U369,XT!Y369,XT!AC369,XT!AG369))=2)*(CHOOSE({1,2,3,4},XT!X369,XT!AB369,XT!AF369,XT!AJ369)))</f>
        <v>0</v>
      </c>
      <c r="F369" t="str">
        <f>IFERROR(INDEX(CHOOSE({1,2,3,4}, DAY(XT!U369), DAY(XT!Y369), DAY(XT!AC369), DAY(XT!AG369)), MATCH(1, INDEX(--(MONTH(CHOOSE({1,2,3,4}, XT!U369,XT!Y369,XT!AC369,XT!AG369))=2), 0), 0)), "")</f>
        <v/>
      </c>
      <c r="G369" s="51" t="str">
        <f>IF(XT!$P369&gt;0,F369,"")</f>
        <v/>
      </c>
      <c r="H369" s="51" t="str">
        <f>IF(XT!$P369=0,F369,"")</f>
        <v/>
      </c>
      <c r="I369">
        <f>SUMPRODUCT((MONTH(CHOOSE({1,2,3,4},XT!U369,XT!Y369,XT!AC369,XT!AG369))=3)*(CHOOSE({1,2,3,4},XT!X369,XT!AB369,XT!AF369,XT!AJ369)))</f>
        <v>0</v>
      </c>
      <c r="J369" t="str">
        <f>IFERROR(INDEX(CHOOSE({1,2,3,4}, DAY(XT!U369), DAY(XT!Y369), DAY(XT!AC369), DAY(XT!AG369)), MATCH(1, INDEX(--(MONTH(CHOOSE({1,2,3,4}, XT!U369,XT!Y369,XT!AC369,XT!AG369))=3), 0), 0)), "")</f>
        <v/>
      </c>
      <c r="K369" s="51" t="str">
        <f>IF(XT!$P369&gt;0,J369,"")</f>
        <v/>
      </c>
      <c r="L369" s="51" t="str">
        <f>IF(XT!$P369=0,J369,"")</f>
        <v/>
      </c>
      <c r="M369">
        <f>SUMPRODUCT((MONTH(CHOOSE({1,2,3,4},XT!U369,XT!Y369,XT!AC369,XT!AG369))=4)*(CHOOSE({1,2,3,4},XT!X369,XT!AB369,XT!AF369,XT!AJ369)))</f>
        <v>0</v>
      </c>
      <c r="N369" t="str">
        <f>IFERROR(INDEX(CHOOSE({1,2,3,4}, DAY(XT!U369), DAY(XT!Y369), DAY(XT!AC369), DAY(XT!AG369)), MATCH(1, INDEX(--(MONTH(CHOOSE({1,2,3,4}, XT!U369,XT!Y369,XT!AC369,XT!AG369))=4), 0), 0)), "")</f>
        <v/>
      </c>
      <c r="O369" s="51" t="str">
        <f>IF(XT!$P369&gt;0,N369,"")</f>
        <v/>
      </c>
      <c r="P369" s="51" t="str">
        <f>IF(XT!$P369=0,N369,"")</f>
        <v/>
      </c>
      <c r="Q369">
        <f>SUMPRODUCT((MONTH(CHOOSE({1,2,3,4},XT!U369,XT!Y369,XT!AC369,XT!AG369))=5)*(CHOOSE({1,2,3,4},XT!X369,XT!AB369,XT!AF369,XT!AJ369)))</f>
        <v>0</v>
      </c>
      <c r="R369" t="str">
        <f>IFERROR(INDEX(CHOOSE({1,2,3,4}, DAY(XT!U369), DAY(XT!Y369), DAY(XT!AC369), DAY(XT!AG369)), MATCH(1, INDEX(--(MONTH(CHOOSE({1,2,3,4}, XT!U369,XT!Y369,XT!AC369,XT!AG369))=5), 0), 0)), "")</f>
        <v/>
      </c>
      <c r="S369" s="51" t="str">
        <f>IF(XT!$P369&gt;0,R369,"")</f>
        <v/>
      </c>
      <c r="T369" s="51" t="str">
        <f>IF(XT!$P369=0,R369,"")</f>
        <v/>
      </c>
      <c r="U369">
        <f>SUMPRODUCT((MONTH(CHOOSE({1,2,3,4},XT!U369,XT!Y369,XT!AC369,XT!AG369))=6)*(CHOOSE({1,2,3,4},XT!X369,XT!AB369,XT!AF369,XT!AJ369)))</f>
        <v>0</v>
      </c>
      <c r="V369" t="str">
        <f>IFERROR(INDEX(CHOOSE({1,2,3,4}, DAY(XT!U369), DAY(XT!Y369), DAY(XT!AC369), DAY(XT!AG369)), MATCH(1, INDEX(--(MONTH(CHOOSE({1,2,3,4}, XT!U369,XT!Y369,XT!AC369,XT!AG369))=6), 0), 0)), "")</f>
        <v/>
      </c>
      <c r="W369" s="51" t="str">
        <f>IF(XT!$P369&gt;0,V369,"")</f>
        <v/>
      </c>
      <c r="X369" s="51" t="str">
        <f>IF(XT!$P369=0,V369,"")</f>
        <v/>
      </c>
      <c r="Y369">
        <f>SUMPRODUCT((MONTH(CHOOSE({1,2,3,4},XT!U369,XT!Y369,XT!AC369,XT!AG369))=7)*(CHOOSE({1,2,3,4},XT!X369,XT!AB369,XT!AF369,XT!AJ369)))</f>
        <v>0</v>
      </c>
      <c r="Z369" t="str">
        <f>IFERROR(INDEX(CHOOSE({1,2,3,4}, DAY(XT!U369), DAY(XT!Y369), DAY(XT!AC369), DAY(XT!AG369)), MATCH(1, INDEX(--(MONTH(CHOOSE({1,2,3,4}, XT!U369,XT!Y369,XT!AC369,XT!AG369))=7), 0), 0)), "")</f>
        <v/>
      </c>
      <c r="AA369" s="51" t="str">
        <f>IF(XT!$P369&gt;0,Z369,"")</f>
        <v/>
      </c>
      <c r="AB369" s="51" t="str">
        <f>IF(XT!$P369=0,Z369,"")</f>
        <v/>
      </c>
      <c r="AC369">
        <f>SUMPRODUCT((MONTH(CHOOSE({1,2,3,4},XT!U369,XT!Y369,XT!AC369,XT!AG369))=8)*(CHOOSE({1,2,3,4},XT!X369,XT!AB369,XT!AF369,XT!AJ369)))</f>
        <v>0</v>
      </c>
      <c r="AD369" t="str">
        <f>IFERROR(INDEX(CHOOSE({1,2,3,4}, DAY(XT!U369), DAY(XT!Y369), DAY(XT!AC369), DAY(XT!AG369)), MATCH(1, INDEX(--(MONTH(CHOOSE({1,2,3,4}, XT!U369,XT!Y369,XT!AC369,XT!AG369))=8), 0), 0)), "")</f>
        <v/>
      </c>
      <c r="AE369" s="51" t="str">
        <f>IF(XT!$P369&gt;0,AD369,"")</f>
        <v/>
      </c>
      <c r="AF369" s="51" t="str">
        <f>IF(XT!$P369=0,AD369,"")</f>
        <v/>
      </c>
      <c r="AG369">
        <f>SUMPRODUCT((MONTH(CHOOSE({1,2,3,4},XT!U369,XT!Y369,XT!AC369,XT!AG369))=9)*(CHOOSE({1,2,3,4},XT!X369,XT!AB369,XT!AF369,XT!AJ369)))</f>
        <v>0</v>
      </c>
      <c r="AH369" t="str">
        <f>IFERROR(INDEX(CHOOSE({1,2,3,4}, DAY(XT!U369), DAY(XT!Y369), DAY(XT!AC369), DAY(XT!AG369)), MATCH(1, INDEX(--(MONTH(CHOOSE({1,2,3,4}, XT!U369,XT!Y369,XT!AC369,XT!AG369))=9), 0), 0)), "")</f>
        <v/>
      </c>
      <c r="AI369" s="51" t="str">
        <f>IF(XT!$P369&gt;0,AH369,"")</f>
        <v/>
      </c>
      <c r="AJ369" s="51" t="str">
        <f>IF(XT!$P369=0,AH369,"")</f>
        <v/>
      </c>
      <c r="AK369">
        <f>SUMPRODUCT((MONTH(CHOOSE({1,2,3,4},XT!U369,XT!Y369,XT!AC369,XT!AG369))=10)*(CHOOSE({1,2,3,4},XT!X369,XT!AB369,XT!AF369,XT!AJ369)))</f>
        <v>0</v>
      </c>
      <c r="AL369" t="str">
        <f>IFERROR(INDEX(CHOOSE({1,2,3,4}, DAY(XT!U369), DAY(XT!Y369), DAY(XT!AC369), DAY(XT!AG369)), MATCH(1, INDEX(--(MONTH(CHOOSE({1,2,3,4}, XT!U369,XT!Y369,XT!AC369,XT!AG369))=10), 0), 0)), "")</f>
        <v/>
      </c>
      <c r="AM369" s="51" t="str">
        <f>IF(XT!$P369&gt;0,AL369,"")</f>
        <v/>
      </c>
      <c r="AN369" s="51" t="str">
        <f>IF(XT!$P369=0,AL369,"")</f>
        <v/>
      </c>
      <c r="AO369">
        <f>SUMPRODUCT((MONTH(CHOOSE({1,2,3,4},XT!U369,XT!Y369,XT!AC369,XT!AG369))=11)*(CHOOSE({1,2,3,4},XT!X369,XT!AB369,XT!AF369,XT!AJ369)))</f>
        <v>0</v>
      </c>
      <c r="AP369" t="str">
        <f>IFERROR(INDEX(CHOOSE({1,2,3,4}, DAY(XT!U369), DAY(XT!Y369), DAY(XT!AC369), DAY(XT!AG369)), MATCH(1, INDEX(--(MONTH(CHOOSE({1,2,3,4}, XT!U369,XT!Y369,XT!AC369,XT!AG369))=11), 0), 0)), "")</f>
        <v/>
      </c>
      <c r="AQ369" s="51" t="str">
        <f>IF(XT!$P369&gt;0,AP369,"")</f>
        <v/>
      </c>
      <c r="AR369" s="51" t="str">
        <f>IF(XT!$P369=0,AP369,"")</f>
        <v/>
      </c>
      <c r="AS369">
        <f>SUMPRODUCT((MONTH(CHOOSE({1,2,3,4},XT!U369,XT!Y369,XT!AC369,XT!AG369))=12)*(CHOOSE({1,2,3,4},XT!X369,XT!AB369,XT!AF369,XT!AJ369)))</f>
        <v>0</v>
      </c>
      <c r="AT369" t="str">
        <f>IFERROR(INDEX(CHOOSE({1,2,3,4}, DAY(XT!U369), DAY(XT!Y369), DAY(XT!AC369), DAY(XT!AG369)), MATCH(1, INDEX(--(MONTH(CHOOSE({1,2,3,4}, XT!U369,XT!Y369,XT!AC369,XT!AG369))=12), 0), 0)), "")</f>
        <v/>
      </c>
      <c r="AU369" s="51" t="str">
        <f>IF(XT!$P369&gt;0,AT369,"")</f>
        <v/>
      </c>
      <c r="AV369" s="51" t="str">
        <f>IF(XT!$P369=0,AT369,"")</f>
        <v/>
      </c>
    </row>
    <row r="370" spans="1:48">
      <c r="A370">
        <f>SUMPRODUCT((MONTH(CHOOSE({1,2,3,4},XT!U370,XT!Y370,XT!AC370,XT!AG370))=1)*(CHOOSE({1,2,3,4},XT!X370,XT!AB370,XT!AF370,XT!AJ370)))</f>
        <v>0</v>
      </c>
      <c r="B370">
        <f>IFERROR(INDEX(CHOOSE({1,2,3,4}, DAY(XT!U370), DAY(XT!Y370), DAY(XT!AC370), DAY(XT!AG370)), MATCH(1, INDEX(--(MONTH(CHOOSE({1,2,3,4}, XT!U370,XT!Y370,XT!AC370,XT!AG370))=1), 0), 0)), "")</f>
        <v>0</v>
      </c>
      <c r="C370" s="51" t="str">
        <f>IF(XT!$P370&gt;0,B370,"")</f>
        <v/>
      </c>
      <c r="D370" s="51">
        <f>IF(XT!$P370=0,B370,"")</f>
        <v>0</v>
      </c>
      <c r="E370">
        <f>SUMPRODUCT((MONTH(CHOOSE({1,2,3,4},XT!U370,XT!Y370,XT!AC370,XT!AG370))=2)*(CHOOSE({1,2,3,4},XT!X370,XT!AB370,XT!AF370,XT!AJ370)))</f>
        <v>0</v>
      </c>
      <c r="F370" t="str">
        <f>IFERROR(INDEX(CHOOSE({1,2,3,4}, DAY(XT!U370), DAY(XT!Y370), DAY(XT!AC370), DAY(XT!AG370)), MATCH(1, INDEX(--(MONTH(CHOOSE({1,2,3,4}, XT!U370,XT!Y370,XT!AC370,XT!AG370))=2), 0), 0)), "")</f>
        <v/>
      </c>
      <c r="G370" s="51" t="str">
        <f>IF(XT!$P370&gt;0,F370,"")</f>
        <v/>
      </c>
      <c r="H370" s="51" t="str">
        <f>IF(XT!$P370=0,F370,"")</f>
        <v/>
      </c>
      <c r="I370">
        <f>SUMPRODUCT((MONTH(CHOOSE({1,2,3,4},XT!U370,XT!Y370,XT!AC370,XT!AG370))=3)*(CHOOSE({1,2,3,4},XT!X370,XT!AB370,XT!AF370,XT!AJ370)))</f>
        <v>0</v>
      </c>
      <c r="J370" t="str">
        <f>IFERROR(INDEX(CHOOSE({1,2,3,4}, DAY(XT!U370), DAY(XT!Y370), DAY(XT!AC370), DAY(XT!AG370)), MATCH(1, INDEX(--(MONTH(CHOOSE({1,2,3,4}, XT!U370,XT!Y370,XT!AC370,XT!AG370))=3), 0), 0)), "")</f>
        <v/>
      </c>
      <c r="K370" s="51" t="str">
        <f>IF(XT!$P370&gt;0,J370,"")</f>
        <v/>
      </c>
      <c r="L370" s="51" t="str">
        <f>IF(XT!$P370=0,J370,"")</f>
        <v/>
      </c>
      <c r="M370">
        <f>SUMPRODUCT((MONTH(CHOOSE({1,2,3,4},XT!U370,XT!Y370,XT!AC370,XT!AG370))=4)*(CHOOSE({1,2,3,4},XT!X370,XT!AB370,XT!AF370,XT!AJ370)))</f>
        <v>0</v>
      </c>
      <c r="N370" t="str">
        <f>IFERROR(INDEX(CHOOSE({1,2,3,4}, DAY(XT!U370), DAY(XT!Y370), DAY(XT!AC370), DAY(XT!AG370)), MATCH(1, INDEX(--(MONTH(CHOOSE({1,2,3,4}, XT!U370,XT!Y370,XT!AC370,XT!AG370))=4), 0), 0)), "")</f>
        <v/>
      </c>
      <c r="O370" s="51" t="str">
        <f>IF(XT!$P370&gt;0,N370,"")</f>
        <v/>
      </c>
      <c r="P370" s="51" t="str">
        <f>IF(XT!$P370=0,N370,"")</f>
        <v/>
      </c>
      <c r="Q370">
        <f>SUMPRODUCT((MONTH(CHOOSE({1,2,3,4},XT!U370,XT!Y370,XT!AC370,XT!AG370))=5)*(CHOOSE({1,2,3,4},XT!X370,XT!AB370,XT!AF370,XT!AJ370)))</f>
        <v>0</v>
      </c>
      <c r="R370" t="str">
        <f>IFERROR(INDEX(CHOOSE({1,2,3,4}, DAY(XT!U370), DAY(XT!Y370), DAY(XT!AC370), DAY(XT!AG370)), MATCH(1, INDEX(--(MONTH(CHOOSE({1,2,3,4}, XT!U370,XT!Y370,XT!AC370,XT!AG370))=5), 0), 0)), "")</f>
        <v/>
      </c>
      <c r="S370" s="51" t="str">
        <f>IF(XT!$P370&gt;0,R370,"")</f>
        <v/>
      </c>
      <c r="T370" s="51" t="str">
        <f>IF(XT!$P370=0,R370,"")</f>
        <v/>
      </c>
      <c r="U370">
        <f>SUMPRODUCT((MONTH(CHOOSE({1,2,3,4},XT!U370,XT!Y370,XT!AC370,XT!AG370))=6)*(CHOOSE({1,2,3,4},XT!X370,XT!AB370,XT!AF370,XT!AJ370)))</f>
        <v>0</v>
      </c>
      <c r="V370" t="str">
        <f>IFERROR(INDEX(CHOOSE({1,2,3,4}, DAY(XT!U370), DAY(XT!Y370), DAY(XT!AC370), DAY(XT!AG370)), MATCH(1, INDEX(--(MONTH(CHOOSE({1,2,3,4}, XT!U370,XT!Y370,XT!AC370,XT!AG370))=6), 0), 0)), "")</f>
        <v/>
      </c>
      <c r="W370" s="51" t="str">
        <f>IF(XT!$P370&gt;0,V370,"")</f>
        <v/>
      </c>
      <c r="X370" s="51" t="str">
        <f>IF(XT!$P370=0,V370,"")</f>
        <v/>
      </c>
      <c r="Y370">
        <f>SUMPRODUCT((MONTH(CHOOSE({1,2,3,4},XT!U370,XT!Y370,XT!AC370,XT!AG370))=7)*(CHOOSE({1,2,3,4},XT!X370,XT!AB370,XT!AF370,XT!AJ370)))</f>
        <v>0</v>
      </c>
      <c r="Z370" t="str">
        <f>IFERROR(INDEX(CHOOSE({1,2,3,4}, DAY(XT!U370), DAY(XT!Y370), DAY(XT!AC370), DAY(XT!AG370)), MATCH(1, INDEX(--(MONTH(CHOOSE({1,2,3,4}, XT!U370,XT!Y370,XT!AC370,XT!AG370))=7), 0), 0)), "")</f>
        <v/>
      </c>
      <c r="AA370" s="51" t="str">
        <f>IF(XT!$P370&gt;0,Z370,"")</f>
        <v/>
      </c>
      <c r="AB370" s="51" t="str">
        <f>IF(XT!$P370=0,Z370,"")</f>
        <v/>
      </c>
      <c r="AC370">
        <f>SUMPRODUCT((MONTH(CHOOSE({1,2,3,4},XT!U370,XT!Y370,XT!AC370,XT!AG370))=8)*(CHOOSE({1,2,3,4},XT!X370,XT!AB370,XT!AF370,XT!AJ370)))</f>
        <v>0</v>
      </c>
      <c r="AD370" t="str">
        <f>IFERROR(INDEX(CHOOSE({1,2,3,4}, DAY(XT!U370), DAY(XT!Y370), DAY(XT!AC370), DAY(XT!AG370)), MATCH(1, INDEX(--(MONTH(CHOOSE({1,2,3,4}, XT!U370,XT!Y370,XT!AC370,XT!AG370))=8), 0), 0)), "")</f>
        <v/>
      </c>
      <c r="AE370" s="51" t="str">
        <f>IF(XT!$P370&gt;0,AD370,"")</f>
        <v/>
      </c>
      <c r="AF370" s="51" t="str">
        <f>IF(XT!$P370=0,AD370,"")</f>
        <v/>
      </c>
      <c r="AG370">
        <f>SUMPRODUCT((MONTH(CHOOSE({1,2,3,4},XT!U370,XT!Y370,XT!AC370,XT!AG370))=9)*(CHOOSE({1,2,3,4},XT!X370,XT!AB370,XT!AF370,XT!AJ370)))</f>
        <v>0</v>
      </c>
      <c r="AH370" t="str">
        <f>IFERROR(INDEX(CHOOSE({1,2,3,4}, DAY(XT!U370), DAY(XT!Y370), DAY(XT!AC370), DAY(XT!AG370)), MATCH(1, INDEX(--(MONTH(CHOOSE({1,2,3,4}, XT!U370,XT!Y370,XT!AC370,XT!AG370))=9), 0), 0)), "")</f>
        <v/>
      </c>
      <c r="AI370" s="51" t="str">
        <f>IF(XT!$P370&gt;0,AH370,"")</f>
        <v/>
      </c>
      <c r="AJ370" s="51" t="str">
        <f>IF(XT!$P370=0,AH370,"")</f>
        <v/>
      </c>
      <c r="AK370">
        <f>SUMPRODUCT((MONTH(CHOOSE({1,2,3,4},XT!U370,XT!Y370,XT!AC370,XT!AG370))=10)*(CHOOSE({1,2,3,4},XT!X370,XT!AB370,XT!AF370,XT!AJ370)))</f>
        <v>0</v>
      </c>
      <c r="AL370" t="str">
        <f>IFERROR(INDEX(CHOOSE({1,2,3,4}, DAY(XT!U370), DAY(XT!Y370), DAY(XT!AC370), DAY(XT!AG370)), MATCH(1, INDEX(--(MONTH(CHOOSE({1,2,3,4}, XT!U370,XT!Y370,XT!AC370,XT!AG370))=10), 0), 0)), "")</f>
        <v/>
      </c>
      <c r="AM370" s="51" t="str">
        <f>IF(XT!$P370&gt;0,AL370,"")</f>
        <v/>
      </c>
      <c r="AN370" s="51" t="str">
        <f>IF(XT!$P370=0,AL370,"")</f>
        <v/>
      </c>
      <c r="AO370">
        <f>SUMPRODUCT((MONTH(CHOOSE({1,2,3,4},XT!U370,XT!Y370,XT!AC370,XT!AG370))=11)*(CHOOSE({1,2,3,4},XT!X370,XT!AB370,XT!AF370,XT!AJ370)))</f>
        <v>0</v>
      </c>
      <c r="AP370" t="str">
        <f>IFERROR(INDEX(CHOOSE({1,2,3,4}, DAY(XT!U370), DAY(XT!Y370), DAY(XT!AC370), DAY(XT!AG370)), MATCH(1, INDEX(--(MONTH(CHOOSE({1,2,3,4}, XT!U370,XT!Y370,XT!AC370,XT!AG370))=11), 0), 0)), "")</f>
        <v/>
      </c>
      <c r="AQ370" s="51" t="str">
        <f>IF(XT!$P370&gt;0,AP370,"")</f>
        <v/>
      </c>
      <c r="AR370" s="51" t="str">
        <f>IF(XT!$P370=0,AP370,"")</f>
        <v/>
      </c>
      <c r="AS370">
        <f>SUMPRODUCT((MONTH(CHOOSE({1,2,3,4},XT!U370,XT!Y370,XT!AC370,XT!AG370))=12)*(CHOOSE({1,2,3,4},XT!X370,XT!AB370,XT!AF370,XT!AJ370)))</f>
        <v>0</v>
      </c>
      <c r="AT370" t="str">
        <f>IFERROR(INDEX(CHOOSE({1,2,3,4}, DAY(XT!U370), DAY(XT!Y370), DAY(XT!AC370), DAY(XT!AG370)), MATCH(1, INDEX(--(MONTH(CHOOSE({1,2,3,4}, XT!U370,XT!Y370,XT!AC370,XT!AG370))=12), 0), 0)), "")</f>
        <v/>
      </c>
      <c r="AU370" s="51" t="str">
        <f>IF(XT!$P370&gt;0,AT370,"")</f>
        <v/>
      </c>
      <c r="AV370" s="51" t="str">
        <f>IF(XT!$P370=0,AT370,"")</f>
        <v/>
      </c>
    </row>
    <row r="371" spans="1:48">
      <c r="A371">
        <f>SUMPRODUCT((MONTH(CHOOSE({1,2,3,4},XT!U371,XT!Y371,XT!AC371,XT!AG371))=1)*(CHOOSE({1,2,3,4},XT!X371,XT!AB371,XT!AF371,XT!AJ371)))</f>
        <v>0</v>
      </c>
      <c r="B371">
        <f>IFERROR(INDEX(CHOOSE({1,2,3,4}, DAY(XT!U371), DAY(XT!Y371), DAY(XT!AC371), DAY(XT!AG371)), MATCH(1, INDEX(--(MONTH(CHOOSE({1,2,3,4}, XT!U371,XT!Y371,XT!AC371,XT!AG371))=1), 0), 0)), "")</f>
        <v>0</v>
      </c>
      <c r="C371" s="51" t="str">
        <f>IF(XT!$P371&gt;0,B371,"")</f>
        <v/>
      </c>
      <c r="D371" s="51">
        <f>IF(XT!$P371=0,B371,"")</f>
        <v>0</v>
      </c>
      <c r="E371">
        <f>SUMPRODUCT((MONTH(CHOOSE({1,2,3,4},XT!U371,XT!Y371,XT!AC371,XT!AG371))=2)*(CHOOSE({1,2,3,4},XT!X371,XT!AB371,XT!AF371,XT!AJ371)))</f>
        <v>0</v>
      </c>
      <c r="F371" t="str">
        <f>IFERROR(INDEX(CHOOSE({1,2,3,4}, DAY(XT!U371), DAY(XT!Y371), DAY(XT!AC371), DAY(XT!AG371)), MATCH(1, INDEX(--(MONTH(CHOOSE({1,2,3,4}, XT!U371,XT!Y371,XT!AC371,XT!AG371))=2), 0), 0)), "")</f>
        <v/>
      </c>
      <c r="G371" s="51" t="str">
        <f>IF(XT!$P371&gt;0,F371,"")</f>
        <v/>
      </c>
      <c r="H371" s="51" t="str">
        <f>IF(XT!$P371=0,F371,"")</f>
        <v/>
      </c>
      <c r="I371">
        <f>SUMPRODUCT((MONTH(CHOOSE({1,2,3,4},XT!U371,XT!Y371,XT!AC371,XT!AG371))=3)*(CHOOSE({1,2,3,4},XT!X371,XT!AB371,XT!AF371,XT!AJ371)))</f>
        <v>0</v>
      </c>
      <c r="J371" t="str">
        <f>IFERROR(INDEX(CHOOSE({1,2,3,4}, DAY(XT!U371), DAY(XT!Y371), DAY(XT!AC371), DAY(XT!AG371)), MATCH(1, INDEX(--(MONTH(CHOOSE({1,2,3,4}, XT!U371,XT!Y371,XT!AC371,XT!AG371))=3), 0), 0)), "")</f>
        <v/>
      </c>
      <c r="K371" s="51" t="str">
        <f>IF(XT!$P371&gt;0,J371,"")</f>
        <v/>
      </c>
      <c r="L371" s="51" t="str">
        <f>IF(XT!$P371=0,J371,"")</f>
        <v/>
      </c>
      <c r="M371">
        <f>SUMPRODUCT((MONTH(CHOOSE({1,2,3,4},XT!U371,XT!Y371,XT!AC371,XT!AG371))=4)*(CHOOSE({1,2,3,4},XT!X371,XT!AB371,XT!AF371,XT!AJ371)))</f>
        <v>0</v>
      </c>
      <c r="N371" t="str">
        <f>IFERROR(INDEX(CHOOSE({1,2,3,4}, DAY(XT!U371), DAY(XT!Y371), DAY(XT!AC371), DAY(XT!AG371)), MATCH(1, INDEX(--(MONTH(CHOOSE({1,2,3,4}, XT!U371,XT!Y371,XT!AC371,XT!AG371))=4), 0), 0)), "")</f>
        <v/>
      </c>
      <c r="O371" s="51" t="str">
        <f>IF(XT!$P371&gt;0,N371,"")</f>
        <v/>
      </c>
      <c r="P371" s="51" t="str">
        <f>IF(XT!$P371=0,N371,"")</f>
        <v/>
      </c>
      <c r="Q371">
        <f>SUMPRODUCT((MONTH(CHOOSE({1,2,3,4},XT!U371,XT!Y371,XT!AC371,XT!AG371))=5)*(CHOOSE({1,2,3,4},XT!X371,XT!AB371,XT!AF371,XT!AJ371)))</f>
        <v>0</v>
      </c>
      <c r="R371" t="str">
        <f>IFERROR(INDEX(CHOOSE({1,2,3,4}, DAY(XT!U371), DAY(XT!Y371), DAY(XT!AC371), DAY(XT!AG371)), MATCH(1, INDEX(--(MONTH(CHOOSE({1,2,3,4}, XT!U371,XT!Y371,XT!AC371,XT!AG371))=5), 0), 0)), "")</f>
        <v/>
      </c>
      <c r="S371" s="51" t="str">
        <f>IF(XT!$P371&gt;0,R371,"")</f>
        <v/>
      </c>
      <c r="T371" s="51" t="str">
        <f>IF(XT!$P371=0,R371,"")</f>
        <v/>
      </c>
      <c r="U371">
        <f>SUMPRODUCT((MONTH(CHOOSE({1,2,3,4},XT!U371,XT!Y371,XT!AC371,XT!AG371))=6)*(CHOOSE({1,2,3,4},XT!X371,XT!AB371,XT!AF371,XT!AJ371)))</f>
        <v>0</v>
      </c>
      <c r="V371" t="str">
        <f>IFERROR(INDEX(CHOOSE({1,2,3,4}, DAY(XT!U371), DAY(XT!Y371), DAY(XT!AC371), DAY(XT!AG371)), MATCH(1, INDEX(--(MONTH(CHOOSE({1,2,3,4}, XT!U371,XT!Y371,XT!AC371,XT!AG371))=6), 0), 0)), "")</f>
        <v/>
      </c>
      <c r="W371" s="51" t="str">
        <f>IF(XT!$P371&gt;0,V371,"")</f>
        <v/>
      </c>
      <c r="X371" s="51" t="str">
        <f>IF(XT!$P371=0,V371,"")</f>
        <v/>
      </c>
      <c r="Y371">
        <f>SUMPRODUCT((MONTH(CHOOSE({1,2,3,4},XT!U371,XT!Y371,XT!AC371,XT!AG371))=7)*(CHOOSE({1,2,3,4},XT!X371,XT!AB371,XT!AF371,XT!AJ371)))</f>
        <v>0</v>
      </c>
      <c r="Z371" t="str">
        <f>IFERROR(INDEX(CHOOSE({1,2,3,4}, DAY(XT!U371), DAY(XT!Y371), DAY(XT!AC371), DAY(XT!AG371)), MATCH(1, INDEX(--(MONTH(CHOOSE({1,2,3,4}, XT!U371,XT!Y371,XT!AC371,XT!AG371))=7), 0), 0)), "")</f>
        <v/>
      </c>
      <c r="AA371" s="51" t="str">
        <f>IF(XT!$P371&gt;0,Z371,"")</f>
        <v/>
      </c>
      <c r="AB371" s="51" t="str">
        <f>IF(XT!$P371=0,Z371,"")</f>
        <v/>
      </c>
      <c r="AC371">
        <f>SUMPRODUCT((MONTH(CHOOSE({1,2,3,4},XT!U371,XT!Y371,XT!AC371,XT!AG371))=8)*(CHOOSE({1,2,3,4},XT!X371,XT!AB371,XT!AF371,XT!AJ371)))</f>
        <v>0</v>
      </c>
      <c r="AD371" t="str">
        <f>IFERROR(INDEX(CHOOSE({1,2,3,4}, DAY(XT!U371), DAY(XT!Y371), DAY(XT!AC371), DAY(XT!AG371)), MATCH(1, INDEX(--(MONTH(CHOOSE({1,2,3,4}, XT!U371,XT!Y371,XT!AC371,XT!AG371))=8), 0), 0)), "")</f>
        <v/>
      </c>
      <c r="AE371" s="51" t="str">
        <f>IF(XT!$P371&gt;0,AD371,"")</f>
        <v/>
      </c>
      <c r="AF371" s="51" t="str">
        <f>IF(XT!$P371=0,AD371,"")</f>
        <v/>
      </c>
      <c r="AG371">
        <f>SUMPRODUCT((MONTH(CHOOSE({1,2,3,4},XT!U371,XT!Y371,XT!AC371,XT!AG371))=9)*(CHOOSE({1,2,3,4},XT!X371,XT!AB371,XT!AF371,XT!AJ371)))</f>
        <v>0</v>
      </c>
      <c r="AH371" t="str">
        <f>IFERROR(INDEX(CHOOSE({1,2,3,4}, DAY(XT!U371), DAY(XT!Y371), DAY(XT!AC371), DAY(XT!AG371)), MATCH(1, INDEX(--(MONTH(CHOOSE({1,2,3,4}, XT!U371,XT!Y371,XT!AC371,XT!AG371))=9), 0), 0)), "")</f>
        <v/>
      </c>
      <c r="AI371" s="51" t="str">
        <f>IF(XT!$P371&gt;0,AH371,"")</f>
        <v/>
      </c>
      <c r="AJ371" s="51" t="str">
        <f>IF(XT!$P371=0,AH371,"")</f>
        <v/>
      </c>
      <c r="AK371">
        <f>SUMPRODUCT((MONTH(CHOOSE({1,2,3,4},XT!U371,XT!Y371,XT!AC371,XT!AG371))=10)*(CHOOSE({1,2,3,4},XT!X371,XT!AB371,XT!AF371,XT!AJ371)))</f>
        <v>0</v>
      </c>
      <c r="AL371" t="str">
        <f>IFERROR(INDEX(CHOOSE({1,2,3,4}, DAY(XT!U371), DAY(XT!Y371), DAY(XT!AC371), DAY(XT!AG371)), MATCH(1, INDEX(--(MONTH(CHOOSE({1,2,3,4}, XT!U371,XT!Y371,XT!AC371,XT!AG371))=10), 0), 0)), "")</f>
        <v/>
      </c>
      <c r="AM371" s="51" t="str">
        <f>IF(XT!$P371&gt;0,AL371,"")</f>
        <v/>
      </c>
      <c r="AN371" s="51" t="str">
        <f>IF(XT!$P371=0,AL371,"")</f>
        <v/>
      </c>
      <c r="AO371">
        <f>SUMPRODUCT((MONTH(CHOOSE({1,2,3,4},XT!U371,XT!Y371,XT!AC371,XT!AG371))=11)*(CHOOSE({1,2,3,4},XT!X371,XT!AB371,XT!AF371,XT!AJ371)))</f>
        <v>0</v>
      </c>
      <c r="AP371" t="str">
        <f>IFERROR(INDEX(CHOOSE({1,2,3,4}, DAY(XT!U371), DAY(XT!Y371), DAY(XT!AC371), DAY(XT!AG371)), MATCH(1, INDEX(--(MONTH(CHOOSE({1,2,3,4}, XT!U371,XT!Y371,XT!AC371,XT!AG371))=11), 0), 0)), "")</f>
        <v/>
      </c>
      <c r="AQ371" s="51" t="str">
        <f>IF(XT!$P371&gt;0,AP371,"")</f>
        <v/>
      </c>
      <c r="AR371" s="51" t="str">
        <f>IF(XT!$P371=0,AP371,"")</f>
        <v/>
      </c>
      <c r="AS371">
        <f>SUMPRODUCT((MONTH(CHOOSE({1,2,3,4},XT!U371,XT!Y371,XT!AC371,XT!AG371))=12)*(CHOOSE({1,2,3,4},XT!X371,XT!AB371,XT!AF371,XT!AJ371)))</f>
        <v>0</v>
      </c>
      <c r="AT371" t="str">
        <f>IFERROR(INDEX(CHOOSE({1,2,3,4}, DAY(XT!U371), DAY(XT!Y371), DAY(XT!AC371), DAY(XT!AG371)), MATCH(1, INDEX(--(MONTH(CHOOSE({1,2,3,4}, XT!U371,XT!Y371,XT!AC371,XT!AG371))=12), 0), 0)), "")</f>
        <v/>
      </c>
      <c r="AU371" s="51" t="str">
        <f>IF(XT!$P371&gt;0,AT371,"")</f>
        <v/>
      </c>
      <c r="AV371" s="51" t="str">
        <f>IF(XT!$P371=0,AT371,"")</f>
        <v/>
      </c>
    </row>
    <row r="372" spans="1:48">
      <c r="A372">
        <f>SUMPRODUCT((MONTH(CHOOSE({1,2,3,4},XT!U372,XT!Y372,XT!AC372,XT!AG372))=1)*(CHOOSE({1,2,3,4},XT!X372,XT!AB372,XT!AF372,XT!AJ372)))</f>
        <v>0</v>
      </c>
      <c r="B372">
        <f>IFERROR(INDEX(CHOOSE({1,2,3,4}, DAY(XT!U372), DAY(XT!Y372), DAY(XT!AC372), DAY(XT!AG372)), MATCH(1, INDEX(--(MONTH(CHOOSE({1,2,3,4}, XT!U372,XT!Y372,XT!AC372,XT!AG372))=1), 0), 0)), "")</f>
        <v>0</v>
      </c>
      <c r="C372" s="51" t="str">
        <f>IF(XT!$P372&gt;0,B372,"")</f>
        <v/>
      </c>
      <c r="D372" s="51">
        <f>IF(XT!$P372=0,B372,"")</f>
        <v>0</v>
      </c>
      <c r="E372">
        <f>SUMPRODUCT((MONTH(CHOOSE({1,2,3,4},XT!U372,XT!Y372,XT!AC372,XT!AG372))=2)*(CHOOSE({1,2,3,4},XT!X372,XT!AB372,XT!AF372,XT!AJ372)))</f>
        <v>0</v>
      </c>
      <c r="F372" t="str">
        <f>IFERROR(INDEX(CHOOSE({1,2,3,4}, DAY(XT!U372), DAY(XT!Y372), DAY(XT!AC372), DAY(XT!AG372)), MATCH(1, INDEX(--(MONTH(CHOOSE({1,2,3,4}, XT!U372,XT!Y372,XT!AC372,XT!AG372))=2), 0), 0)), "")</f>
        <v/>
      </c>
      <c r="G372" s="51" t="str">
        <f>IF(XT!$P372&gt;0,F372,"")</f>
        <v/>
      </c>
      <c r="H372" s="51" t="str">
        <f>IF(XT!$P372=0,F372,"")</f>
        <v/>
      </c>
      <c r="I372">
        <f>SUMPRODUCT((MONTH(CHOOSE({1,2,3,4},XT!U372,XT!Y372,XT!AC372,XT!AG372))=3)*(CHOOSE({1,2,3,4},XT!X372,XT!AB372,XT!AF372,XT!AJ372)))</f>
        <v>0</v>
      </c>
      <c r="J372" t="str">
        <f>IFERROR(INDEX(CHOOSE({1,2,3,4}, DAY(XT!U372), DAY(XT!Y372), DAY(XT!AC372), DAY(XT!AG372)), MATCH(1, INDEX(--(MONTH(CHOOSE({1,2,3,4}, XT!U372,XT!Y372,XT!AC372,XT!AG372))=3), 0), 0)), "")</f>
        <v/>
      </c>
      <c r="K372" s="51" t="str">
        <f>IF(XT!$P372&gt;0,J372,"")</f>
        <v/>
      </c>
      <c r="L372" s="51" t="str">
        <f>IF(XT!$P372=0,J372,"")</f>
        <v/>
      </c>
      <c r="M372">
        <f>SUMPRODUCT((MONTH(CHOOSE({1,2,3,4},XT!U372,XT!Y372,XT!AC372,XT!AG372))=4)*(CHOOSE({1,2,3,4},XT!X372,XT!AB372,XT!AF372,XT!AJ372)))</f>
        <v>0</v>
      </c>
      <c r="N372" t="str">
        <f>IFERROR(INDEX(CHOOSE({1,2,3,4}, DAY(XT!U372), DAY(XT!Y372), DAY(XT!AC372), DAY(XT!AG372)), MATCH(1, INDEX(--(MONTH(CHOOSE({1,2,3,4}, XT!U372,XT!Y372,XT!AC372,XT!AG372))=4), 0), 0)), "")</f>
        <v/>
      </c>
      <c r="O372" s="51" t="str">
        <f>IF(XT!$P372&gt;0,N372,"")</f>
        <v/>
      </c>
      <c r="P372" s="51" t="str">
        <f>IF(XT!$P372=0,N372,"")</f>
        <v/>
      </c>
      <c r="Q372">
        <f>SUMPRODUCT((MONTH(CHOOSE({1,2,3,4},XT!U372,XT!Y372,XT!AC372,XT!AG372))=5)*(CHOOSE({1,2,3,4},XT!X372,XT!AB372,XT!AF372,XT!AJ372)))</f>
        <v>0</v>
      </c>
      <c r="R372" t="str">
        <f>IFERROR(INDEX(CHOOSE({1,2,3,4}, DAY(XT!U372), DAY(XT!Y372), DAY(XT!AC372), DAY(XT!AG372)), MATCH(1, INDEX(--(MONTH(CHOOSE({1,2,3,4}, XT!U372,XT!Y372,XT!AC372,XT!AG372))=5), 0), 0)), "")</f>
        <v/>
      </c>
      <c r="S372" s="51" t="str">
        <f>IF(XT!$P372&gt;0,R372,"")</f>
        <v/>
      </c>
      <c r="T372" s="51" t="str">
        <f>IF(XT!$P372=0,R372,"")</f>
        <v/>
      </c>
      <c r="U372">
        <f>SUMPRODUCT((MONTH(CHOOSE({1,2,3,4},XT!U372,XT!Y372,XT!AC372,XT!AG372))=6)*(CHOOSE({1,2,3,4},XT!X372,XT!AB372,XT!AF372,XT!AJ372)))</f>
        <v>0</v>
      </c>
      <c r="V372" t="str">
        <f>IFERROR(INDEX(CHOOSE({1,2,3,4}, DAY(XT!U372), DAY(XT!Y372), DAY(XT!AC372), DAY(XT!AG372)), MATCH(1, INDEX(--(MONTH(CHOOSE({1,2,3,4}, XT!U372,XT!Y372,XT!AC372,XT!AG372))=6), 0), 0)), "")</f>
        <v/>
      </c>
      <c r="W372" s="51" t="str">
        <f>IF(XT!$P372&gt;0,V372,"")</f>
        <v/>
      </c>
      <c r="X372" s="51" t="str">
        <f>IF(XT!$P372=0,V372,"")</f>
        <v/>
      </c>
      <c r="Y372">
        <f>SUMPRODUCT((MONTH(CHOOSE({1,2,3,4},XT!U372,XT!Y372,XT!AC372,XT!AG372))=7)*(CHOOSE({1,2,3,4},XT!X372,XT!AB372,XT!AF372,XT!AJ372)))</f>
        <v>0</v>
      </c>
      <c r="Z372" t="str">
        <f>IFERROR(INDEX(CHOOSE({1,2,3,4}, DAY(XT!U372), DAY(XT!Y372), DAY(XT!AC372), DAY(XT!AG372)), MATCH(1, INDEX(--(MONTH(CHOOSE({1,2,3,4}, XT!U372,XT!Y372,XT!AC372,XT!AG372))=7), 0), 0)), "")</f>
        <v/>
      </c>
      <c r="AA372" s="51" t="str">
        <f>IF(XT!$P372&gt;0,Z372,"")</f>
        <v/>
      </c>
      <c r="AB372" s="51" t="str">
        <f>IF(XT!$P372=0,Z372,"")</f>
        <v/>
      </c>
      <c r="AC372">
        <f>SUMPRODUCT((MONTH(CHOOSE({1,2,3,4},XT!U372,XT!Y372,XT!AC372,XT!AG372))=8)*(CHOOSE({1,2,3,4},XT!X372,XT!AB372,XT!AF372,XT!AJ372)))</f>
        <v>0</v>
      </c>
      <c r="AD372" t="str">
        <f>IFERROR(INDEX(CHOOSE({1,2,3,4}, DAY(XT!U372), DAY(XT!Y372), DAY(XT!AC372), DAY(XT!AG372)), MATCH(1, INDEX(--(MONTH(CHOOSE({1,2,3,4}, XT!U372,XT!Y372,XT!AC372,XT!AG372))=8), 0), 0)), "")</f>
        <v/>
      </c>
      <c r="AE372" s="51" t="str">
        <f>IF(XT!$P372&gt;0,AD372,"")</f>
        <v/>
      </c>
      <c r="AF372" s="51" t="str">
        <f>IF(XT!$P372=0,AD372,"")</f>
        <v/>
      </c>
      <c r="AG372">
        <f>SUMPRODUCT((MONTH(CHOOSE({1,2,3,4},XT!U372,XT!Y372,XT!AC372,XT!AG372))=9)*(CHOOSE({1,2,3,4},XT!X372,XT!AB372,XT!AF372,XT!AJ372)))</f>
        <v>0</v>
      </c>
      <c r="AH372" t="str">
        <f>IFERROR(INDEX(CHOOSE({1,2,3,4}, DAY(XT!U372), DAY(XT!Y372), DAY(XT!AC372), DAY(XT!AG372)), MATCH(1, INDEX(--(MONTH(CHOOSE({1,2,3,4}, XT!U372,XT!Y372,XT!AC372,XT!AG372))=9), 0), 0)), "")</f>
        <v/>
      </c>
      <c r="AI372" s="51" t="str">
        <f>IF(XT!$P372&gt;0,AH372,"")</f>
        <v/>
      </c>
      <c r="AJ372" s="51" t="str">
        <f>IF(XT!$P372=0,AH372,"")</f>
        <v/>
      </c>
      <c r="AK372">
        <f>SUMPRODUCT((MONTH(CHOOSE({1,2,3,4},XT!U372,XT!Y372,XT!AC372,XT!AG372))=10)*(CHOOSE({1,2,3,4},XT!X372,XT!AB372,XT!AF372,XT!AJ372)))</f>
        <v>0</v>
      </c>
      <c r="AL372" t="str">
        <f>IFERROR(INDEX(CHOOSE({1,2,3,4}, DAY(XT!U372), DAY(XT!Y372), DAY(XT!AC372), DAY(XT!AG372)), MATCH(1, INDEX(--(MONTH(CHOOSE({1,2,3,4}, XT!U372,XT!Y372,XT!AC372,XT!AG372))=10), 0), 0)), "")</f>
        <v/>
      </c>
      <c r="AM372" s="51" t="str">
        <f>IF(XT!$P372&gt;0,AL372,"")</f>
        <v/>
      </c>
      <c r="AN372" s="51" t="str">
        <f>IF(XT!$P372=0,AL372,"")</f>
        <v/>
      </c>
      <c r="AO372">
        <f>SUMPRODUCT((MONTH(CHOOSE({1,2,3,4},XT!U372,XT!Y372,XT!AC372,XT!AG372))=11)*(CHOOSE({1,2,3,4},XT!X372,XT!AB372,XT!AF372,XT!AJ372)))</f>
        <v>0</v>
      </c>
      <c r="AP372" t="str">
        <f>IFERROR(INDEX(CHOOSE({1,2,3,4}, DAY(XT!U372), DAY(XT!Y372), DAY(XT!AC372), DAY(XT!AG372)), MATCH(1, INDEX(--(MONTH(CHOOSE({1,2,3,4}, XT!U372,XT!Y372,XT!AC372,XT!AG372))=11), 0), 0)), "")</f>
        <v/>
      </c>
      <c r="AQ372" s="51" t="str">
        <f>IF(XT!$P372&gt;0,AP372,"")</f>
        <v/>
      </c>
      <c r="AR372" s="51" t="str">
        <f>IF(XT!$P372=0,AP372,"")</f>
        <v/>
      </c>
      <c r="AS372">
        <f>SUMPRODUCT((MONTH(CHOOSE({1,2,3,4},XT!U372,XT!Y372,XT!AC372,XT!AG372))=12)*(CHOOSE({1,2,3,4},XT!X372,XT!AB372,XT!AF372,XT!AJ372)))</f>
        <v>0</v>
      </c>
      <c r="AT372" t="str">
        <f>IFERROR(INDEX(CHOOSE({1,2,3,4}, DAY(XT!U372), DAY(XT!Y372), DAY(XT!AC372), DAY(XT!AG372)), MATCH(1, INDEX(--(MONTH(CHOOSE({1,2,3,4}, XT!U372,XT!Y372,XT!AC372,XT!AG372))=12), 0), 0)), "")</f>
        <v/>
      </c>
      <c r="AU372" s="51" t="str">
        <f>IF(XT!$P372&gt;0,AT372,"")</f>
        <v/>
      </c>
      <c r="AV372" s="51" t="str">
        <f>IF(XT!$P372=0,AT372,"")</f>
        <v/>
      </c>
    </row>
    <row r="373" spans="1:48">
      <c r="A373">
        <f>SUMPRODUCT((MONTH(CHOOSE({1,2,3,4},XT!U373,XT!Y373,XT!AC373,XT!AG373))=1)*(CHOOSE({1,2,3,4},XT!X373,XT!AB373,XT!AF373,XT!AJ373)))</f>
        <v>0</v>
      </c>
      <c r="B373">
        <f>IFERROR(INDEX(CHOOSE({1,2,3,4}, DAY(XT!U373), DAY(XT!Y373), DAY(XT!AC373), DAY(XT!AG373)), MATCH(1, INDEX(--(MONTH(CHOOSE({1,2,3,4}, XT!U373,XT!Y373,XT!AC373,XT!AG373))=1), 0), 0)), "")</f>
        <v>0</v>
      </c>
      <c r="C373" s="51" t="str">
        <f>IF(XT!$P373&gt;0,B373,"")</f>
        <v/>
      </c>
      <c r="D373" s="51">
        <f>IF(XT!$P373=0,B373,"")</f>
        <v>0</v>
      </c>
      <c r="E373">
        <f>SUMPRODUCT((MONTH(CHOOSE({1,2,3,4},XT!U373,XT!Y373,XT!AC373,XT!AG373))=2)*(CHOOSE({1,2,3,4},XT!X373,XT!AB373,XT!AF373,XT!AJ373)))</f>
        <v>0</v>
      </c>
      <c r="F373" t="str">
        <f>IFERROR(INDEX(CHOOSE({1,2,3,4}, DAY(XT!U373), DAY(XT!Y373), DAY(XT!AC373), DAY(XT!AG373)), MATCH(1, INDEX(--(MONTH(CHOOSE({1,2,3,4}, XT!U373,XT!Y373,XT!AC373,XT!AG373))=2), 0), 0)), "")</f>
        <v/>
      </c>
      <c r="G373" s="51" t="str">
        <f>IF(XT!$P373&gt;0,F373,"")</f>
        <v/>
      </c>
      <c r="H373" s="51" t="str">
        <f>IF(XT!$P373=0,F373,"")</f>
        <v/>
      </c>
      <c r="I373">
        <f>SUMPRODUCT((MONTH(CHOOSE({1,2,3,4},XT!U373,XT!Y373,XT!AC373,XT!AG373))=3)*(CHOOSE({1,2,3,4},XT!X373,XT!AB373,XT!AF373,XT!AJ373)))</f>
        <v>0</v>
      </c>
      <c r="J373" t="str">
        <f>IFERROR(INDEX(CHOOSE({1,2,3,4}, DAY(XT!U373), DAY(XT!Y373), DAY(XT!AC373), DAY(XT!AG373)), MATCH(1, INDEX(--(MONTH(CHOOSE({1,2,3,4}, XT!U373,XT!Y373,XT!AC373,XT!AG373))=3), 0), 0)), "")</f>
        <v/>
      </c>
      <c r="K373" s="51" t="str">
        <f>IF(XT!$P373&gt;0,J373,"")</f>
        <v/>
      </c>
      <c r="L373" s="51" t="str">
        <f>IF(XT!$P373=0,J373,"")</f>
        <v/>
      </c>
      <c r="M373">
        <f>SUMPRODUCT((MONTH(CHOOSE({1,2,3,4},XT!U373,XT!Y373,XT!AC373,XT!AG373))=4)*(CHOOSE({1,2,3,4},XT!X373,XT!AB373,XT!AF373,XT!AJ373)))</f>
        <v>0</v>
      </c>
      <c r="N373" t="str">
        <f>IFERROR(INDEX(CHOOSE({1,2,3,4}, DAY(XT!U373), DAY(XT!Y373), DAY(XT!AC373), DAY(XT!AG373)), MATCH(1, INDEX(--(MONTH(CHOOSE({1,2,3,4}, XT!U373,XT!Y373,XT!AC373,XT!AG373))=4), 0), 0)), "")</f>
        <v/>
      </c>
      <c r="O373" s="51" t="str">
        <f>IF(XT!$P373&gt;0,N373,"")</f>
        <v/>
      </c>
      <c r="P373" s="51" t="str">
        <f>IF(XT!$P373=0,N373,"")</f>
        <v/>
      </c>
      <c r="Q373">
        <f>SUMPRODUCT((MONTH(CHOOSE({1,2,3,4},XT!U373,XT!Y373,XT!AC373,XT!AG373))=5)*(CHOOSE({1,2,3,4},XT!X373,XT!AB373,XT!AF373,XT!AJ373)))</f>
        <v>0</v>
      </c>
      <c r="R373" t="str">
        <f>IFERROR(INDEX(CHOOSE({1,2,3,4}, DAY(XT!U373), DAY(XT!Y373), DAY(XT!AC373), DAY(XT!AG373)), MATCH(1, INDEX(--(MONTH(CHOOSE({1,2,3,4}, XT!U373,XT!Y373,XT!AC373,XT!AG373))=5), 0), 0)), "")</f>
        <v/>
      </c>
      <c r="S373" s="51" t="str">
        <f>IF(XT!$P373&gt;0,R373,"")</f>
        <v/>
      </c>
      <c r="T373" s="51" t="str">
        <f>IF(XT!$P373=0,R373,"")</f>
        <v/>
      </c>
      <c r="U373">
        <f>SUMPRODUCT((MONTH(CHOOSE({1,2,3,4},XT!U373,XT!Y373,XT!AC373,XT!AG373))=6)*(CHOOSE({1,2,3,4},XT!X373,XT!AB373,XT!AF373,XT!AJ373)))</f>
        <v>0</v>
      </c>
      <c r="V373" t="str">
        <f>IFERROR(INDEX(CHOOSE({1,2,3,4}, DAY(XT!U373), DAY(XT!Y373), DAY(XT!AC373), DAY(XT!AG373)), MATCH(1, INDEX(--(MONTH(CHOOSE({1,2,3,4}, XT!U373,XT!Y373,XT!AC373,XT!AG373))=6), 0), 0)), "")</f>
        <v/>
      </c>
      <c r="W373" s="51" t="str">
        <f>IF(XT!$P373&gt;0,V373,"")</f>
        <v/>
      </c>
      <c r="X373" s="51" t="str">
        <f>IF(XT!$P373=0,V373,"")</f>
        <v/>
      </c>
      <c r="Y373">
        <f>SUMPRODUCT((MONTH(CHOOSE({1,2,3,4},XT!U373,XT!Y373,XT!AC373,XT!AG373))=7)*(CHOOSE({1,2,3,4},XT!X373,XT!AB373,XT!AF373,XT!AJ373)))</f>
        <v>0</v>
      </c>
      <c r="Z373" t="str">
        <f>IFERROR(INDEX(CHOOSE({1,2,3,4}, DAY(XT!U373), DAY(XT!Y373), DAY(XT!AC373), DAY(XT!AG373)), MATCH(1, INDEX(--(MONTH(CHOOSE({1,2,3,4}, XT!U373,XT!Y373,XT!AC373,XT!AG373))=7), 0), 0)), "")</f>
        <v/>
      </c>
      <c r="AA373" s="51" t="str">
        <f>IF(XT!$P373&gt;0,Z373,"")</f>
        <v/>
      </c>
      <c r="AB373" s="51" t="str">
        <f>IF(XT!$P373=0,Z373,"")</f>
        <v/>
      </c>
      <c r="AC373">
        <f>SUMPRODUCT((MONTH(CHOOSE({1,2,3,4},XT!U373,XT!Y373,XT!AC373,XT!AG373))=8)*(CHOOSE({1,2,3,4},XT!X373,XT!AB373,XT!AF373,XT!AJ373)))</f>
        <v>0</v>
      </c>
      <c r="AD373" t="str">
        <f>IFERROR(INDEX(CHOOSE({1,2,3,4}, DAY(XT!U373), DAY(XT!Y373), DAY(XT!AC373), DAY(XT!AG373)), MATCH(1, INDEX(--(MONTH(CHOOSE({1,2,3,4}, XT!U373,XT!Y373,XT!AC373,XT!AG373))=8), 0), 0)), "")</f>
        <v/>
      </c>
      <c r="AE373" s="51" t="str">
        <f>IF(XT!$P373&gt;0,AD373,"")</f>
        <v/>
      </c>
      <c r="AF373" s="51" t="str">
        <f>IF(XT!$P373=0,AD373,"")</f>
        <v/>
      </c>
      <c r="AG373">
        <f>SUMPRODUCT((MONTH(CHOOSE({1,2,3,4},XT!U373,XT!Y373,XT!AC373,XT!AG373))=9)*(CHOOSE({1,2,3,4},XT!X373,XT!AB373,XT!AF373,XT!AJ373)))</f>
        <v>0</v>
      </c>
      <c r="AH373" t="str">
        <f>IFERROR(INDEX(CHOOSE({1,2,3,4}, DAY(XT!U373), DAY(XT!Y373), DAY(XT!AC373), DAY(XT!AG373)), MATCH(1, INDEX(--(MONTH(CHOOSE({1,2,3,4}, XT!U373,XT!Y373,XT!AC373,XT!AG373))=9), 0), 0)), "")</f>
        <v/>
      </c>
      <c r="AI373" s="51" t="str">
        <f>IF(XT!$P373&gt;0,AH373,"")</f>
        <v/>
      </c>
      <c r="AJ373" s="51" t="str">
        <f>IF(XT!$P373=0,AH373,"")</f>
        <v/>
      </c>
      <c r="AK373">
        <f>SUMPRODUCT((MONTH(CHOOSE({1,2,3,4},XT!U373,XT!Y373,XT!AC373,XT!AG373))=10)*(CHOOSE({1,2,3,4},XT!X373,XT!AB373,XT!AF373,XT!AJ373)))</f>
        <v>0</v>
      </c>
      <c r="AL373" t="str">
        <f>IFERROR(INDEX(CHOOSE({1,2,3,4}, DAY(XT!U373), DAY(XT!Y373), DAY(XT!AC373), DAY(XT!AG373)), MATCH(1, INDEX(--(MONTH(CHOOSE({1,2,3,4}, XT!U373,XT!Y373,XT!AC373,XT!AG373))=10), 0), 0)), "")</f>
        <v/>
      </c>
      <c r="AM373" s="51" t="str">
        <f>IF(XT!$P373&gt;0,AL373,"")</f>
        <v/>
      </c>
      <c r="AN373" s="51" t="str">
        <f>IF(XT!$P373=0,AL373,"")</f>
        <v/>
      </c>
      <c r="AO373">
        <f>SUMPRODUCT((MONTH(CHOOSE({1,2,3,4},XT!U373,XT!Y373,XT!AC373,XT!AG373))=11)*(CHOOSE({1,2,3,4},XT!X373,XT!AB373,XT!AF373,XT!AJ373)))</f>
        <v>0</v>
      </c>
      <c r="AP373" t="str">
        <f>IFERROR(INDEX(CHOOSE({1,2,3,4}, DAY(XT!U373), DAY(XT!Y373), DAY(XT!AC373), DAY(XT!AG373)), MATCH(1, INDEX(--(MONTH(CHOOSE({1,2,3,4}, XT!U373,XT!Y373,XT!AC373,XT!AG373))=11), 0), 0)), "")</f>
        <v/>
      </c>
      <c r="AQ373" s="51" t="str">
        <f>IF(XT!$P373&gt;0,AP373,"")</f>
        <v/>
      </c>
      <c r="AR373" s="51" t="str">
        <f>IF(XT!$P373=0,AP373,"")</f>
        <v/>
      </c>
      <c r="AS373">
        <f>SUMPRODUCT((MONTH(CHOOSE({1,2,3,4},XT!U373,XT!Y373,XT!AC373,XT!AG373))=12)*(CHOOSE({1,2,3,4},XT!X373,XT!AB373,XT!AF373,XT!AJ373)))</f>
        <v>0</v>
      </c>
      <c r="AT373" t="str">
        <f>IFERROR(INDEX(CHOOSE({1,2,3,4}, DAY(XT!U373), DAY(XT!Y373), DAY(XT!AC373), DAY(XT!AG373)), MATCH(1, INDEX(--(MONTH(CHOOSE({1,2,3,4}, XT!U373,XT!Y373,XT!AC373,XT!AG373))=12), 0), 0)), "")</f>
        <v/>
      </c>
      <c r="AU373" s="51" t="str">
        <f>IF(XT!$P373&gt;0,AT373,"")</f>
        <v/>
      </c>
      <c r="AV373" s="51" t="str">
        <f>IF(XT!$P373=0,AT373,"")</f>
        <v/>
      </c>
    </row>
    <row r="374" spans="1:48">
      <c r="A374">
        <f>SUMPRODUCT((MONTH(CHOOSE({1,2,3,4},XT!U374,XT!Y374,XT!AC374,XT!AG374))=1)*(CHOOSE({1,2,3,4},XT!X374,XT!AB374,XT!AF374,XT!AJ374)))</f>
        <v>0</v>
      </c>
      <c r="B374">
        <f>IFERROR(INDEX(CHOOSE({1,2,3,4}, DAY(XT!U374), DAY(XT!Y374), DAY(XT!AC374), DAY(XT!AG374)), MATCH(1, INDEX(--(MONTH(CHOOSE({1,2,3,4}, XT!U374,XT!Y374,XT!AC374,XT!AG374))=1), 0), 0)), "")</f>
        <v>0</v>
      </c>
      <c r="C374" s="51" t="str">
        <f>IF(XT!$P374&gt;0,B374,"")</f>
        <v/>
      </c>
      <c r="D374" s="51">
        <f>IF(XT!$P374=0,B374,"")</f>
        <v>0</v>
      </c>
      <c r="E374">
        <f>SUMPRODUCT((MONTH(CHOOSE({1,2,3,4},XT!U374,XT!Y374,XT!AC374,XT!AG374))=2)*(CHOOSE({1,2,3,4},XT!X374,XT!AB374,XT!AF374,XT!AJ374)))</f>
        <v>0</v>
      </c>
      <c r="F374" t="str">
        <f>IFERROR(INDEX(CHOOSE({1,2,3,4}, DAY(XT!U374), DAY(XT!Y374), DAY(XT!AC374), DAY(XT!AG374)), MATCH(1, INDEX(--(MONTH(CHOOSE({1,2,3,4}, XT!U374,XT!Y374,XT!AC374,XT!AG374))=2), 0), 0)), "")</f>
        <v/>
      </c>
      <c r="G374" s="51" t="str">
        <f>IF(XT!$P374&gt;0,F374,"")</f>
        <v/>
      </c>
      <c r="H374" s="51" t="str">
        <f>IF(XT!$P374=0,F374,"")</f>
        <v/>
      </c>
      <c r="I374">
        <f>SUMPRODUCT((MONTH(CHOOSE({1,2,3,4},XT!U374,XT!Y374,XT!AC374,XT!AG374))=3)*(CHOOSE({1,2,3,4},XT!X374,XT!AB374,XT!AF374,XT!AJ374)))</f>
        <v>0</v>
      </c>
      <c r="J374" t="str">
        <f>IFERROR(INDEX(CHOOSE({1,2,3,4}, DAY(XT!U374), DAY(XT!Y374), DAY(XT!AC374), DAY(XT!AG374)), MATCH(1, INDEX(--(MONTH(CHOOSE({1,2,3,4}, XT!U374,XT!Y374,XT!AC374,XT!AG374))=3), 0), 0)), "")</f>
        <v/>
      </c>
      <c r="K374" s="51" t="str">
        <f>IF(XT!$P374&gt;0,J374,"")</f>
        <v/>
      </c>
      <c r="L374" s="51" t="str">
        <f>IF(XT!$P374=0,J374,"")</f>
        <v/>
      </c>
      <c r="M374">
        <f>SUMPRODUCT((MONTH(CHOOSE({1,2,3,4},XT!U374,XT!Y374,XT!AC374,XT!AG374))=4)*(CHOOSE({1,2,3,4},XT!X374,XT!AB374,XT!AF374,XT!AJ374)))</f>
        <v>0</v>
      </c>
      <c r="N374" t="str">
        <f>IFERROR(INDEX(CHOOSE({1,2,3,4}, DAY(XT!U374), DAY(XT!Y374), DAY(XT!AC374), DAY(XT!AG374)), MATCH(1, INDEX(--(MONTH(CHOOSE({1,2,3,4}, XT!U374,XT!Y374,XT!AC374,XT!AG374))=4), 0), 0)), "")</f>
        <v/>
      </c>
      <c r="O374" s="51" t="str">
        <f>IF(XT!$P374&gt;0,N374,"")</f>
        <v/>
      </c>
      <c r="P374" s="51" t="str">
        <f>IF(XT!$P374=0,N374,"")</f>
        <v/>
      </c>
      <c r="Q374">
        <f>SUMPRODUCT((MONTH(CHOOSE({1,2,3,4},XT!U374,XT!Y374,XT!AC374,XT!AG374))=5)*(CHOOSE({1,2,3,4},XT!X374,XT!AB374,XT!AF374,XT!AJ374)))</f>
        <v>0</v>
      </c>
      <c r="R374" t="str">
        <f>IFERROR(INDEX(CHOOSE({1,2,3,4}, DAY(XT!U374), DAY(XT!Y374), DAY(XT!AC374), DAY(XT!AG374)), MATCH(1, INDEX(--(MONTH(CHOOSE({1,2,3,4}, XT!U374,XT!Y374,XT!AC374,XT!AG374))=5), 0), 0)), "")</f>
        <v/>
      </c>
      <c r="S374" s="51" t="str">
        <f>IF(XT!$P374&gt;0,R374,"")</f>
        <v/>
      </c>
      <c r="T374" s="51" t="str">
        <f>IF(XT!$P374=0,R374,"")</f>
        <v/>
      </c>
      <c r="U374">
        <f>SUMPRODUCT((MONTH(CHOOSE({1,2,3,4},XT!U374,XT!Y374,XT!AC374,XT!AG374))=6)*(CHOOSE({1,2,3,4},XT!X374,XT!AB374,XT!AF374,XT!AJ374)))</f>
        <v>0</v>
      </c>
      <c r="V374" t="str">
        <f>IFERROR(INDEX(CHOOSE({1,2,3,4}, DAY(XT!U374), DAY(XT!Y374), DAY(XT!AC374), DAY(XT!AG374)), MATCH(1, INDEX(--(MONTH(CHOOSE({1,2,3,4}, XT!U374,XT!Y374,XT!AC374,XT!AG374))=6), 0), 0)), "")</f>
        <v/>
      </c>
      <c r="W374" s="51" t="str">
        <f>IF(XT!$P374&gt;0,V374,"")</f>
        <v/>
      </c>
      <c r="X374" s="51" t="str">
        <f>IF(XT!$P374=0,V374,"")</f>
        <v/>
      </c>
      <c r="Y374">
        <f>SUMPRODUCT((MONTH(CHOOSE({1,2,3,4},XT!U374,XT!Y374,XT!AC374,XT!AG374))=7)*(CHOOSE({1,2,3,4},XT!X374,XT!AB374,XT!AF374,XT!AJ374)))</f>
        <v>0</v>
      </c>
      <c r="Z374" t="str">
        <f>IFERROR(INDEX(CHOOSE({1,2,3,4}, DAY(XT!U374), DAY(XT!Y374), DAY(XT!AC374), DAY(XT!AG374)), MATCH(1, INDEX(--(MONTH(CHOOSE({1,2,3,4}, XT!U374,XT!Y374,XT!AC374,XT!AG374))=7), 0), 0)), "")</f>
        <v/>
      </c>
      <c r="AA374" s="51" t="str">
        <f>IF(XT!$P374&gt;0,Z374,"")</f>
        <v/>
      </c>
      <c r="AB374" s="51" t="str">
        <f>IF(XT!$P374=0,Z374,"")</f>
        <v/>
      </c>
      <c r="AC374">
        <f>SUMPRODUCT((MONTH(CHOOSE({1,2,3,4},XT!U374,XT!Y374,XT!AC374,XT!AG374))=8)*(CHOOSE({1,2,3,4},XT!X374,XT!AB374,XT!AF374,XT!AJ374)))</f>
        <v>0</v>
      </c>
      <c r="AD374" t="str">
        <f>IFERROR(INDEX(CHOOSE({1,2,3,4}, DAY(XT!U374), DAY(XT!Y374), DAY(XT!AC374), DAY(XT!AG374)), MATCH(1, INDEX(--(MONTH(CHOOSE({1,2,3,4}, XT!U374,XT!Y374,XT!AC374,XT!AG374))=8), 0), 0)), "")</f>
        <v/>
      </c>
      <c r="AE374" s="51" t="str">
        <f>IF(XT!$P374&gt;0,AD374,"")</f>
        <v/>
      </c>
      <c r="AF374" s="51" t="str">
        <f>IF(XT!$P374=0,AD374,"")</f>
        <v/>
      </c>
      <c r="AG374">
        <f>SUMPRODUCT((MONTH(CHOOSE({1,2,3,4},XT!U374,XT!Y374,XT!AC374,XT!AG374))=9)*(CHOOSE({1,2,3,4},XT!X374,XT!AB374,XT!AF374,XT!AJ374)))</f>
        <v>0</v>
      </c>
      <c r="AH374" t="str">
        <f>IFERROR(INDEX(CHOOSE({1,2,3,4}, DAY(XT!U374), DAY(XT!Y374), DAY(XT!AC374), DAY(XT!AG374)), MATCH(1, INDEX(--(MONTH(CHOOSE({1,2,3,4}, XT!U374,XT!Y374,XT!AC374,XT!AG374))=9), 0), 0)), "")</f>
        <v/>
      </c>
      <c r="AI374" s="51" t="str">
        <f>IF(XT!$P374&gt;0,AH374,"")</f>
        <v/>
      </c>
      <c r="AJ374" s="51" t="str">
        <f>IF(XT!$P374=0,AH374,"")</f>
        <v/>
      </c>
      <c r="AK374">
        <f>SUMPRODUCT((MONTH(CHOOSE({1,2,3,4},XT!U374,XT!Y374,XT!AC374,XT!AG374))=10)*(CHOOSE({1,2,3,4},XT!X374,XT!AB374,XT!AF374,XT!AJ374)))</f>
        <v>0</v>
      </c>
      <c r="AL374" t="str">
        <f>IFERROR(INDEX(CHOOSE({1,2,3,4}, DAY(XT!U374), DAY(XT!Y374), DAY(XT!AC374), DAY(XT!AG374)), MATCH(1, INDEX(--(MONTH(CHOOSE({1,2,3,4}, XT!U374,XT!Y374,XT!AC374,XT!AG374))=10), 0), 0)), "")</f>
        <v/>
      </c>
      <c r="AM374" s="51" t="str">
        <f>IF(XT!$P374&gt;0,AL374,"")</f>
        <v/>
      </c>
      <c r="AN374" s="51" t="str">
        <f>IF(XT!$P374=0,AL374,"")</f>
        <v/>
      </c>
      <c r="AO374">
        <f>SUMPRODUCT((MONTH(CHOOSE({1,2,3,4},XT!U374,XT!Y374,XT!AC374,XT!AG374))=11)*(CHOOSE({1,2,3,4},XT!X374,XT!AB374,XT!AF374,XT!AJ374)))</f>
        <v>0</v>
      </c>
      <c r="AP374" t="str">
        <f>IFERROR(INDEX(CHOOSE({1,2,3,4}, DAY(XT!U374), DAY(XT!Y374), DAY(XT!AC374), DAY(XT!AG374)), MATCH(1, INDEX(--(MONTH(CHOOSE({1,2,3,4}, XT!U374,XT!Y374,XT!AC374,XT!AG374))=11), 0), 0)), "")</f>
        <v/>
      </c>
      <c r="AQ374" s="51" t="str">
        <f>IF(XT!$P374&gt;0,AP374,"")</f>
        <v/>
      </c>
      <c r="AR374" s="51" t="str">
        <f>IF(XT!$P374=0,AP374,"")</f>
        <v/>
      </c>
      <c r="AS374">
        <f>SUMPRODUCT((MONTH(CHOOSE({1,2,3,4},XT!U374,XT!Y374,XT!AC374,XT!AG374))=12)*(CHOOSE({1,2,3,4},XT!X374,XT!AB374,XT!AF374,XT!AJ374)))</f>
        <v>0</v>
      </c>
      <c r="AT374" t="str">
        <f>IFERROR(INDEX(CHOOSE({1,2,3,4}, DAY(XT!U374), DAY(XT!Y374), DAY(XT!AC374), DAY(XT!AG374)), MATCH(1, INDEX(--(MONTH(CHOOSE({1,2,3,4}, XT!U374,XT!Y374,XT!AC374,XT!AG374))=12), 0), 0)), "")</f>
        <v/>
      </c>
      <c r="AU374" s="51" t="str">
        <f>IF(XT!$P374&gt;0,AT374,"")</f>
        <v/>
      </c>
      <c r="AV374" s="51" t="str">
        <f>IF(XT!$P374=0,AT374,"")</f>
        <v/>
      </c>
    </row>
    <row r="375" spans="1:48">
      <c r="A375">
        <f>SUMPRODUCT((MONTH(CHOOSE({1,2,3,4},XT!U375,XT!Y375,XT!AC375,XT!AG375))=1)*(CHOOSE({1,2,3,4},XT!X375,XT!AB375,XT!AF375,XT!AJ375)))</f>
        <v>0</v>
      </c>
      <c r="B375">
        <f>IFERROR(INDEX(CHOOSE({1,2,3,4}, DAY(XT!U375), DAY(XT!Y375), DAY(XT!AC375), DAY(XT!AG375)), MATCH(1, INDEX(--(MONTH(CHOOSE({1,2,3,4}, XT!U375,XT!Y375,XT!AC375,XT!AG375))=1), 0), 0)), "")</f>
        <v>0</v>
      </c>
      <c r="C375" s="51" t="str">
        <f>IF(XT!$P375&gt;0,B375,"")</f>
        <v/>
      </c>
      <c r="D375" s="51">
        <f>IF(XT!$P375=0,B375,"")</f>
        <v>0</v>
      </c>
      <c r="E375">
        <f>SUMPRODUCT((MONTH(CHOOSE({1,2,3,4},XT!U375,XT!Y375,XT!AC375,XT!AG375))=2)*(CHOOSE({1,2,3,4},XT!X375,XT!AB375,XT!AF375,XT!AJ375)))</f>
        <v>0</v>
      </c>
      <c r="F375" t="str">
        <f>IFERROR(INDEX(CHOOSE({1,2,3,4}, DAY(XT!U375), DAY(XT!Y375), DAY(XT!AC375), DAY(XT!AG375)), MATCH(1, INDEX(--(MONTH(CHOOSE({1,2,3,4}, XT!U375,XT!Y375,XT!AC375,XT!AG375))=2), 0), 0)), "")</f>
        <v/>
      </c>
      <c r="G375" s="51" t="str">
        <f>IF(XT!$P375&gt;0,F375,"")</f>
        <v/>
      </c>
      <c r="H375" s="51" t="str">
        <f>IF(XT!$P375=0,F375,"")</f>
        <v/>
      </c>
      <c r="I375">
        <f>SUMPRODUCT((MONTH(CHOOSE({1,2,3,4},XT!U375,XT!Y375,XT!AC375,XT!AG375))=3)*(CHOOSE({1,2,3,4},XT!X375,XT!AB375,XT!AF375,XT!AJ375)))</f>
        <v>0</v>
      </c>
      <c r="J375" t="str">
        <f>IFERROR(INDEX(CHOOSE({1,2,3,4}, DAY(XT!U375), DAY(XT!Y375), DAY(XT!AC375), DAY(XT!AG375)), MATCH(1, INDEX(--(MONTH(CHOOSE({1,2,3,4}, XT!U375,XT!Y375,XT!AC375,XT!AG375))=3), 0), 0)), "")</f>
        <v/>
      </c>
      <c r="K375" s="51" t="str">
        <f>IF(XT!$P375&gt;0,J375,"")</f>
        <v/>
      </c>
      <c r="L375" s="51" t="str">
        <f>IF(XT!$P375=0,J375,"")</f>
        <v/>
      </c>
      <c r="M375">
        <f>SUMPRODUCT((MONTH(CHOOSE({1,2,3,4},XT!U375,XT!Y375,XT!AC375,XT!AG375))=4)*(CHOOSE({1,2,3,4},XT!X375,XT!AB375,XT!AF375,XT!AJ375)))</f>
        <v>0</v>
      </c>
      <c r="N375" t="str">
        <f>IFERROR(INDEX(CHOOSE({1,2,3,4}, DAY(XT!U375), DAY(XT!Y375), DAY(XT!AC375), DAY(XT!AG375)), MATCH(1, INDEX(--(MONTH(CHOOSE({1,2,3,4}, XT!U375,XT!Y375,XT!AC375,XT!AG375))=4), 0), 0)), "")</f>
        <v/>
      </c>
      <c r="O375" s="51" t="str">
        <f>IF(XT!$P375&gt;0,N375,"")</f>
        <v/>
      </c>
      <c r="P375" s="51" t="str">
        <f>IF(XT!$P375=0,N375,"")</f>
        <v/>
      </c>
      <c r="Q375">
        <f>SUMPRODUCT((MONTH(CHOOSE({1,2,3,4},XT!U375,XT!Y375,XT!AC375,XT!AG375))=5)*(CHOOSE({1,2,3,4},XT!X375,XT!AB375,XT!AF375,XT!AJ375)))</f>
        <v>0</v>
      </c>
      <c r="R375" t="str">
        <f>IFERROR(INDEX(CHOOSE({1,2,3,4}, DAY(XT!U375), DAY(XT!Y375), DAY(XT!AC375), DAY(XT!AG375)), MATCH(1, INDEX(--(MONTH(CHOOSE({1,2,3,4}, XT!U375,XT!Y375,XT!AC375,XT!AG375))=5), 0), 0)), "")</f>
        <v/>
      </c>
      <c r="S375" s="51" t="str">
        <f>IF(XT!$P375&gt;0,R375,"")</f>
        <v/>
      </c>
      <c r="T375" s="51" t="str">
        <f>IF(XT!$P375=0,R375,"")</f>
        <v/>
      </c>
      <c r="U375">
        <f>SUMPRODUCT((MONTH(CHOOSE({1,2,3,4},XT!U375,XT!Y375,XT!AC375,XT!AG375))=6)*(CHOOSE({1,2,3,4},XT!X375,XT!AB375,XT!AF375,XT!AJ375)))</f>
        <v>0</v>
      </c>
      <c r="V375" t="str">
        <f>IFERROR(INDEX(CHOOSE({1,2,3,4}, DAY(XT!U375), DAY(XT!Y375), DAY(XT!AC375), DAY(XT!AG375)), MATCH(1, INDEX(--(MONTH(CHOOSE({1,2,3,4}, XT!U375,XT!Y375,XT!AC375,XT!AG375))=6), 0), 0)), "")</f>
        <v/>
      </c>
      <c r="W375" s="51" t="str">
        <f>IF(XT!$P375&gt;0,V375,"")</f>
        <v/>
      </c>
      <c r="X375" s="51" t="str">
        <f>IF(XT!$P375=0,V375,"")</f>
        <v/>
      </c>
      <c r="Y375">
        <f>SUMPRODUCT((MONTH(CHOOSE({1,2,3,4},XT!U375,XT!Y375,XT!AC375,XT!AG375))=7)*(CHOOSE({1,2,3,4},XT!X375,XT!AB375,XT!AF375,XT!AJ375)))</f>
        <v>0</v>
      </c>
      <c r="Z375" t="str">
        <f>IFERROR(INDEX(CHOOSE({1,2,3,4}, DAY(XT!U375), DAY(XT!Y375), DAY(XT!AC375), DAY(XT!AG375)), MATCH(1, INDEX(--(MONTH(CHOOSE({1,2,3,4}, XT!U375,XT!Y375,XT!AC375,XT!AG375))=7), 0), 0)), "")</f>
        <v/>
      </c>
      <c r="AA375" s="51" t="str">
        <f>IF(XT!$P375&gt;0,Z375,"")</f>
        <v/>
      </c>
      <c r="AB375" s="51" t="str">
        <f>IF(XT!$P375=0,Z375,"")</f>
        <v/>
      </c>
      <c r="AC375">
        <f>SUMPRODUCT((MONTH(CHOOSE({1,2,3,4},XT!U375,XT!Y375,XT!AC375,XT!AG375))=8)*(CHOOSE({1,2,3,4},XT!X375,XT!AB375,XT!AF375,XT!AJ375)))</f>
        <v>0</v>
      </c>
      <c r="AD375" t="str">
        <f>IFERROR(INDEX(CHOOSE({1,2,3,4}, DAY(XT!U375), DAY(XT!Y375), DAY(XT!AC375), DAY(XT!AG375)), MATCH(1, INDEX(--(MONTH(CHOOSE({1,2,3,4}, XT!U375,XT!Y375,XT!AC375,XT!AG375))=8), 0), 0)), "")</f>
        <v/>
      </c>
      <c r="AE375" s="51" t="str">
        <f>IF(XT!$P375&gt;0,AD375,"")</f>
        <v/>
      </c>
      <c r="AF375" s="51" t="str">
        <f>IF(XT!$P375=0,AD375,"")</f>
        <v/>
      </c>
      <c r="AG375">
        <f>SUMPRODUCT((MONTH(CHOOSE({1,2,3,4},XT!U375,XT!Y375,XT!AC375,XT!AG375))=9)*(CHOOSE({1,2,3,4},XT!X375,XT!AB375,XT!AF375,XT!AJ375)))</f>
        <v>0</v>
      </c>
      <c r="AH375" t="str">
        <f>IFERROR(INDEX(CHOOSE({1,2,3,4}, DAY(XT!U375), DAY(XT!Y375), DAY(XT!AC375), DAY(XT!AG375)), MATCH(1, INDEX(--(MONTH(CHOOSE({1,2,3,4}, XT!U375,XT!Y375,XT!AC375,XT!AG375))=9), 0), 0)), "")</f>
        <v/>
      </c>
      <c r="AI375" s="51" t="str">
        <f>IF(XT!$P375&gt;0,AH375,"")</f>
        <v/>
      </c>
      <c r="AJ375" s="51" t="str">
        <f>IF(XT!$P375=0,AH375,"")</f>
        <v/>
      </c>
      <c r="AK375">
        <f>SUMPRODUCT((MONTH(CHOOSE({1,2,3,4},XT!U375,XT!Y375,XT!AC375,XT!AG375))=10)*(CHOOSE({1,2,3,4},XT!X375,XT!AB375,XT!AF375,XT!AJ375)))</f>
        <v>0</v>
      </c>
      <c r="AL375" t="str">
        <f>IFERROR(INDEX(CHOOSE({1,2,3,4}, DAY(XT!U375), DAY(XT!Y375), DAY(XT!AC375), DAY(XT!AG375)), MATCH(1, INDEX(--(MONTH(CHOOSE({1,2,3,4}, XT!U375,XT!Y375,XT!AC375,XT!AG375))=10), 0), 0)), "")</f>
        <v/>
      </c>
      <c r="AM375" s="51" t="str">
        <f>IF(XT!$P375&gt;0,AL375,"")</f>
        <v/>
      </c>
      <c r="AN375" s="51" t="str">
        <f>IF(XT!$P375=0,AL375,"")</f>
        <v/>
      </c>
      <c r="AO375">
        <f>SUMPRODUCT((MONTH(CHOOSE({1,2,3,4},XT!U375,XT!Y375,XT!AC375,XT!AG375))=11)*(CHOOSE({1,2,3,4},XT!X375,XT!AB375,XT!AF375,XT!AJ375)))</f>
        <v>0</v>
      </c>
      <c r="AP375" t="str">
        <f>IFERROR(INDEX(CHOOSE({1,2,3,4}, DAY(XT!U375), DAY(XT!Y375), DAY(XT!AC375), DAY(XT!AG375)), MATCH(1, INDEX(--(MONTH(CHOOSE({1,2,3,4}, XT!U375,XT!Y375,XT!AC375,XT!AG375))=11), 0), 0)), "")</f>
        <v/>
      </c>
      <c r="AQ375" s="51" t="str">
        <f>IF(XT!$P375&gt;0,AP375,"")</f>
        <v/>
      </c>
      <c r="AR375" s="51" t="str">
        <f>IF(XT!$P375=0,AP375,"")</f>
        <v/>
      </c>
      <c r="AS375">
        <f>SUMPRODUCT((MONTH(CHOOSE({1,2,3,4},XT!U375,XT!Y375,XT!AC375,XT!AG375))=12)*(CHOOSE({1,2,3,4},XT!X375,XT!AB375,XT!AF375,XT!AJ375)))</f>
        <v>0</v>
      </c>
      <c r="AT375" t="str">
        <f>IFERROR(INDEX(CHOOSE({1,2,3,4}, DAY(XT!U375), DAY(XT!Y375), DAY(XT!AC375), DAY(XT!AG375)), MATCH(1, INDEX(--(MONTH(CHOOSE({1,2,3,4}, XT!U375,XT!Y375,XT!AC375,XT!AG375))=12), 0), 0)), "")</f>
        <v/>
      </c>
      <c r="AU375" s="51" t="str">
        <f>IF(XT!$P375&gt;0,AT375,"")</f>
        <v/>
      </c>
      <c r="AV375" s="51" t="str">
        <f>IF(XT!$P375=0,AT375,"")</f>
        <v/>
      </c>
    </row>
    <row r="376" spans="1:48">
      <c r="A376">
        <f>SUMPRODUCT((MONTH(CHOOSE({1,2,3,4},XT!U376,XT!Y376,XT!AC376,XT!AG376))=1)*(CHOOSE({1,2,3,4},XT!X376,XT!AB376,XT!AF376,XT!AJ376)))</f>
        <v>0</v>
      </c>
      <c r="B376">
        <f>IFERROR(INDEX(CHOOSE({1,2,3,4}, DAY(XT!U376), DAY(XT!Y376), DAY(XT!AC376), DAY(XT!AG376)), MATCH(1, INDEX(--(MONTH(CHOOSE({1,2,3,4}, XT!U376,XT!Y376,XT!AC376,XT!AG376))=1), 0), 0)), "")</f>
        <v>0</v>
      </c>
      <c r="C376" s="51" t="str">
        <f>IF(XT!$P376&gt;0,B376,"")</f>
        <v/>
      </c>
      <c r="D376" s="51">
        <f>IF(XT!$P376=0,B376,"")</f>
        <v>0</v>
      </c>
      <c r="E376">
        <f>SUMPRODUCT((MONTH(CHOOSE({1,2,3,4},XT!U376,XT!Y376,XT!AC376,XT!AG376))=2)*(CHOOSE({1,2,3,4},XT!X376,XT!AB376,XT!AF376,XT!AJ376)))</f>
        <v>0</v>
      </c>
      <c r="F376" t="str">
        <f>IFERROR(INDEX(CHOOSE({1,2,3,4}, DAY(XT!U376), DAY(XT!Y376), DAY(XT!AC376), DAY(XT!AG376)), MATCH(1, INDEX(--(MONTH(CHOOSE({1,2,3,4}, XT!U376,XT!Y376,XT!AC376,XT!AG376))=2), 0), 0)), "")</f>
        <v/>
      </c>
      <c r="G376" s="51" t="str">
        <f>IF(XT!$P376&gt;0,F376,"")</f>
        <v/>
      </c>
      <c r="H376" s="51" t="str">
        <f>IF(XT!$P376=0,F376,"")</f>
        <v/>
      </c>
      <c r="I376">
        <f>SUMPRODUCT((MONTH(CHOOSE({1,2,3,4},XT!U376,XT!Y376,XT!AC376,XT!AG376))=3)*(CHOOSE({1,2,3,4},XT!X376,XT!AB376,XT!AF376,XT!AJ376)))</f>
        <v>0</v>
      </c>
      <c r="J376" t="str">
        <f>IFERROR(INDEX(CHOOSE({1,2,3,4}, DAY(XT!U376), DAY(XT!Y376), DAY(XT!AC376), DAY(XT!AG376)), MATCH(1, INDEX(--(MONTH(CHOOSE({1,2,3,4}, XT!U376,XT!Y376,XT!AC376,XT!AG376))=3), 0), 0)), "")</f>
        <v/>
      </c>
      <c r="K376" s="51" t="str">
        <f>IF(XT!$P376&gt;0,J376,"")</f>
        <v/>
      </c>
      <c r="L376" s="51" t="str">
        <f>IF(XT!$P376=0,J376,"")</f>
        <v/>
      </c>
      <c r="M376">
        <f>SUMPRODUCT((MONTH(CHOOSE({1,2,3,4},XT!U376,XT!Y376,XT!AC376,XT!AG376))=4)*(CHOOSE({1,2,3,4},XT!X376,XT!AB376,XT!AF376,XT!AJ376)))</f>
        <v>0</v>
      </c>
      <c r="N376" t="str">
        <f>IFERROR(INDEX(CHOOSE({1,2,3,4}, DAY(XT!U376), DAY(XT!Y376), DAY(XT!AC376), DAY(XT!AG376)), MATCH(1, INDEX(--(MONTH(CHOOSE({1,2,3,4}, XT!U376,XT!Y376,XT!AC376,XT!AG376))=4), 0), 0)), "")</f>
        <v/>
      </c>
      <c r="O376" s="51" t="str">
        <f>IF(XT!$P376&gt;0,N376,"")</f>
        <v/>
      </c>
      <c r="P376" s="51" t="str">
        <f>IF(XT!$P376=0,N376,"")</f>
        <v/>
      </c>
      <c r="Q376">
        <f>SUMPRODUCT((MONTH(CHOOSE({1,2,3,4},XT!U376,XT!Y376,XT!AC376,XT!AG376))=5)*(CHOOSE({1,2,3,4},XT!X376,XT!AB376,XT!AF376,XT!AJ376)))</f>
        <v>0</v>
      </c>
      <c r="R376" t="str">
        <f>IFERROR(INDEX(CHOOSE({1,2,3,4}, DAY(XT!U376), DAY(XT!Y376), DAY(XT!AC376), DAY(XT!AG376)), MATCH(1, INDEX(--(MONTH(CHOOSE({1,2,3,4}, XT!U376,XT!Y376,XT!AC376,XT!AG376))=5), 0), 0)), "")</f>
        <v/>
      </c>
      <c r="S376" s="51" t="str">
        <f>IF(XT!$P376&gt;0,R376,"")</f>
        <v/>
      </c>
      <c r="T376" s="51" t="str">
        <f>IF(XT!$P376=0,R376,"")</f>
        <v/>
      </c>
      <c r="U376">
        <f>SUMPRODUCT((MONTH(CHOOSE({1,2,3,4},XT!U376,XT!Y376,XT!AC376,XT!AG376))=6)*(CHOOSE({1,2,3,4},XT!X376,XT!AB376,XT!AF376,XT!AJ376)))</f>
        <v>0</v>
      </c>
      <c r="V376" t="str">
        <f>IFERROR(INDEX(CHOOSE({1,2,3,4}, DAY(XT!U376), DAY(XT!Y376), DAY(XT!AC376), DAY(XT!AG376)), MATCH(1, INDEX(--(MONTH(CHOOSE({1,2,3,4}, XT!U376,XT!Y376,XT!AC376,XT!AG376))=6), 0), 0)), "")</f>
        <v/>
      </c>
      <c r="W376" s="51" t="str">
        <f>IF(XT!$P376&gt;0,V376,"")</f>
        <v/>
      </c>
      <c r="X376" s="51" t="str">
        <f>IF(XT!$P376=0,V376,"")</f>
        <v/>
      </c>
      <c r="Y376">
        <f>SUMPRODUCT((MONTH(CHOOSE({1,2,3,4},XT!U376,XT!Y376,XT!AC376,XT!AG376))=7)*(CHOOSE({1,2,3,4},XT!X376,XT!AB376,XT!AF376,XT!AJ376)))</f>
        <v>0</v>
      </c>
      <c r="Z376" t="str">
        <f>IFERROR(INDEX(CHOOSE({1,2,3,4}, DAY(XT!U376), DAY(XT!Y376), DAY(XT!AC376), DAY(XT!AG376)), MATCH(1, INDEX(--(MONTH(CHOOSE({1,2,3,4}, XT!U376,XT!Y376,XT!AC376,XT!AG376))=7), 0), 0)), "")</f>
        <v/>
      </c>
      <c r="AA376" s="51" t="str">
        <f>IF(XT!$P376&gt;0,Z376,"")</f>
        <v/>
      </c>
      <c r="AB376" s="51" t="str">
        <f>IF(XT!$P376=0,Z376,"")</f>
        <v/>
      </c>
      <c r="AC376">
        <f>SUMPRODUCT((MONTH(CHOOSE({1,2,3,4},XT!U376,XT!Y376,XT!AC376,XT!AG376))=8)*(CHOOSE({1,2,3,4},XT!X376,XT!AB376,XT!AF376,XT!AJ376)))</f>
        <v>0</v>
      </c>
      <c r="AD376" t="str">
        <f>IFERROR(INDEX(CHOOSE({1,2,3,4}, DAY(XT!U376), DAY(XT!Y376), DAY(XT!AC376), DAY(XT!AG376)), MATCH(1, INDEX(--(MONTH(CHOOSE({1,2,3,4}, XT!U376,XT!Y376,XT!AC376,XT!AG376))=8), 0), 0)), "")</f>
        <v/>
      </c>
      <c r="AE376" s="51" t="str">
        <f>IF(XT!$P376&gt;0,AD376,"")</f>
        <v/>
      </c>
      <c r="AF376" s="51" t="str">
        <f>IF(XT!$P376=0,AD376,"")</f>
        <v/>
      </c>
      <c r="AG376">
        <f>SUMPRODUCT((MONTH(CHOOSE({1,2,3,4},XT!U376,XT!Y376,XT!AC376,XT!AG376))=9)*(CHOOSE({1,2,3,4},XT!X376,XT!AB376,XT!AF376,XT!AJ376)))</f>
        <v>0</v>
      </c>
      <c r="AH376" t="str">
        <f>IFERROR(INDEX(CHOOSE({1,2,3,4}, DAY(XT!U376), DAY(XT!Y376), DAY(XT!AC376), DAY(XT!AG376)), MATCH(1, INDEX(--(MONTH(CHOOSE({1,2,3,4}, XT!U376,XT!Y376,XT!AC376,XT!AG376))=9), 0), 0)), "")</f>
        <v/>
      </c>
      <c r="AI376" s="51" t="str">
        <f>IF(XT!$P376&gt;0,AH376,"")</f>
        <v/>
      </c>
      <c r="AJ376" s="51" t="str">
        <f>IF(XT!$P376=0,AH376,"")</f>
        <v/>
      </c>
      <c r="AK376">
        <f>SUMPRODUCT((MONTH(CHOOSE({1,2,3,4},XT!U376,XT!Y376,XT!AC376,XT!AG376))=10)*(CHOOSE({1,2,3,4},XT!X376,XT!AB376,XT!AF376,XT!AJ376)))</f>
        <v>0</v>
      </c>
      <c r="AL376" t="str">
        <f>IFERROR(INDEX(CHOOSE({1,2,3,4}, DAY(XT!U376), DAY(XT!Y376), DAY(XT!AC376), DAY(XT!AG376)), MATCH(1, INDEX(--(MONTH(CHOOSE({1,2,3,4}, XT!U376,XT!Y376,XT!AC376,XT!AG376))=10), 0), 0)), "")</f>
        <v/>
      </c>
      <c r="AM376" s="51" t="str">
        <f>IF(XT!$P376&gt;0,AL376,"")</f>
        <v/>
      </c>
      <c r="AN376" s="51" t="str">
        <f>IF(XT!$P376=0,AL376,"")</f>
        <v/>
      </c>
      <c r="AO376">
        <f>SUMPRODUCT((MONTH(CHOOSE({1,2,3,4},XT!U376,XT!Y376,XT!AC376,XT!AG376))=11)*(CHOOSE({1,2,3,4},XT!X376,XT!AB376,XT!AF376,XT!AJ376)))</f>
        <v>0</v>
      </c>
      <c r="AP376" t="str">
        <f>IFERROR(INDEX(CHOOSE({1,2,3,4}, DAY(XT!U376), DAY(XT!Y376), DAY(XT!AC376), DAY(XT!AG376)), MATCH(1, INDEX(--(MONTH(CHOOSE({1,2,3,4}, XT!U376,XT!Y376,XT!AC376,XT!AG376))=11), 0), 0)), "")</f>
        <v/>
      </c>
      <c r="AQ376" s="51" t="str">
        <f>IF(XT!$P376&gt;0,AP376,"")</f>
        <v/>
      </c>
      <c r="AR376" s="51" t="str">
        <f>IF(XT!$P376=0,AP376,"")</f>
        <v/>
      </c>
      <c r="AS376">
        <f>SUMPRODUCT((MONTH(CHOOSE({1,2,3,4},XT!U376,XT!Y376,XT!AC376,XT!AG376))=12)*(CHOOSE({1,2,3,4},XT!X376,XT!AB376,XT!AF376,XT!AJ376)))</f>
        <v>0</v>
      </c>
      <c r="AT376" t="str">
        <f>IFERROR(INDEX(CHOOSE({1,2,3,4}, DAY(XT!U376), DAY(XT!Y376), DAY(XT!AC376), DAY(XT!AG376)), MATCH(1, INDEX(--(MONTH(CHOOSE({1,2,3,4}, XT!U376,XT!Y376,XT!AC376,XT!AG376))=12), 0), 0)), "")</f>
        <v/>
      </c>
      <c r="AU376" s="51" t="str">
        <f>IF(XT!$P376&gt;0,AT376,"")</f>
        <v/>
      </c>
      <c r="AV376" s="51" t="str">
        <f>IF(XT!$P376=0,AT376,"")</f>
        <v/>
      </c>
    </row>
    <row r="377" spans="1:48">
      <c r="A377">
        <f>SUMPRODUCT((MONTH(CHOOSE({1,2,3,4},XT!U377,XT!Y377,XT!AC377,XT!AG377))=1)*(CHOOSE({1,2,3,4},XT!X377,XT!AB377,XT!AF377,XT!AJ377)))</f>
        <v>0</v>
      </c>
      <c r="B377">
        <f>IFERROR(INDEX(CHOOSE({1,2,3,4}, DAY(XT!U377), DAY(XT!Y377), DAY(XT!AC377), DAY(XT!AG377)), MATCH(1, INDEX(--(MONTH(CHOOSE({1,2,3,4}, XT!U377,XT!Y377,XT!AC377,XT!AG377))=1), 0), 0)), "")</f>
        <v>0</v>
      </c>
      <c r="C377" s="51" t="str">
        <f>IF(XT!$P377&gt;0,B377,"")</f>
        <v/>
      </c>
      <c r="D377" s="51">
        <f>IF(XT!$P377=0,B377,"")</f>
        <v>0</v>
      </c>
      <c r="E377">
        <f>SUMPRODUCT((MONTH(CHOOSE({1,2,3,4},XT!U377,XT!Y377,XT!AC377,XT!AG377))=2)*(CHOOSE({1,2,3,4},XT!X377,XT!AB377,XT!AF377,XT!AJ377)))</f>
        <v>0</v>
      </c>
      <c r="F377" t="str">
        <f>IFERROR(INDEX(CHOOSE({1,2,3,4}, DAY(XT!U377), DAY(XT!Y377), DAY(XT!AC377), DAY(XT!AG377)), MATCH(1, INDEX(--(MONTH(CHOOSE({1,2,3,4}, XT!U377,XT!Y377,XT!AC377,XT!AG377))=2), 0), 0)), "")</f>
        <v/>
      </c>
      <c r="G377" s="51" t="str">
        <f>IF(XT!$P377&gt;0,F377,"")</f>
        <v/>
      </c>
      <c r="H377" s="51" t="str">
        <f>IF(XT!$P377=0,F377,"")</f>
        <v/>
      </c>
      <c r="I377">
        <f>SUMPRODUCT((MONTH(CHOOSE({1,2,3,4},XT!U377,XT!Y377,XT!AC377,XT!AG377))=3)*(CHOOSE({1,2,3,4},XT!X377,XT!AB377,XT!AF377,XT!AJ377)))</f>
        <v>0</v>
      </c>
      <c r="J377" t="str">
        <f>IFERROR(INDEX(CHOOSE({1,2,3,4}, DAY(XT!U377), DAY(XT!Y377), DAY(XT!AC377), DAY(XT!AG377)), MATCH(1, INDEX(--(MONTH(CHOOSE({1,2,3,4}, XT!U377,XT!Y377,XT!AC377,XT!AG377))=3), 0), 0)), "")</f>
        <v/>
      </c>
      <c r="K377" s="51" t="str">
        <f>IF(XT!$P377&gt;0,J377,"")</f>
        <v/>
      </c>
      <c r="L377" s="51" t="str">
        <f>IF(XT!$P377=0,J377,"")</f>
        <v/>
      </c>
      <c r="M377">
        <f>SUMPRODUCT((MONTH(CHOOSE({1,2,3,4},XT!U377,XT!Y377,XT!AC377,XT!AG377))=4)*(CHOOSE({1,2,3,4},XT!X377,XT!AB377,XT!AF377,XT!AJ377)))</f>
        <v>0</v>
      </c>
      <c r="N377" t="str">
        <f>IFERROR(INDEX(CHOOSE({1,2,3,4}, DAY(XT!U377), DAY(XT!Y377), DAY(XT!AC377), DAY(XT!AG377)), MATCH(1, INDEX(--(MONTH(CHOOSE({1,2,3,4}, XT!U377,XT!Y377,XT!AC377,XT!AG377))=4), 0), 0)), "")</f>
        <v/>
      </c>
      <c r="O377" s="51" t="str">
        <f>IF(XT!$P377&gt;0,N377,"")</f>
        <v/>
      </c>
      <c r="P377" s="51" t="str">
        <f>IF(XT!$P377=0,N377,"")</f>
        <v/>
      </c>
      <c r="Q377">
        <f>SUMPRODUCT((MONTH(CHOOSE({1,2,3,4},XT!U377,XT!Y377,XT!AC377,XT!AG377))=5)*(CHOOSE({1,2,3,4},XT!X377,XT!AB377,XT!AF377,XT!AJ377)))</f>
        <v>0</v>
      </c>
      <c r="R377" t="str">
        <f>IFERROR(INDEX(CHOOSE({1,2,3,4}, DAY(XT!U377), DAY(XT!Y377), DAY(XT!AC377), DAY(XT!AG377)), MATCH(1, INDEX(--(MONTH(CHOOSE({1,2,3,4}, XT!U377,XT!Y377,XT!AC377,XT!AG377))=5), 0), 0)), "")</f>
        <v/>
      </c>
      <c r="S377" s="51" t="str">
        <f>IF(XT!$P377&gt;0,R377,"")</f>
        <v/>
      </c>
      <c r="T377" s="51" t="str">
        <f>IF(XT!$P377=0,R377,"")</f>
        <v/>
      </c>
      <c r="U377">
        <f>SUMPRODUCT((MONTH(CHOOSE({1,2,3,4},XT!U377,XT!Y377,XT!AC377,XT!AG377))=6)*(CHOOSE({1,2,3,4},XT!X377,XT!AB377,XT!AF377,XT!AJ377)))</f>
        <v>0</v>
      </c>
      <c r="V377" t="str">
        <f>IFERROR(INDEX(CHOOSE({1,2,3,4}, DAY(XT!U377), DAY(XT!Y377), DAY(XT!AC377), DAY(XT!AG377)), MATCH(1, INDEX(--(MONTH(CHOOSE({1,2,3,4}, XT!U377,XT!Y377,XT!AC377,XT!AG377))=6), 0), 0)), "")</f>
        <v/>
      </c>
      <c r="W377" s="51" t="str">
        <f>IF(XT!$P377&gt;0,V377,"")</f>
        <v/>
      </c>
      <c r="X377" s="51" t="str">
        <f>IF(XT!$P377=0,V377,"")</f>
        <v/>
      </c>
      <c r="Y377">
        <f>SUMPRODUCT((MONTH(CHOOSE({1,2,3,4},XT!U377,XT!Y377,XT!AC377,XT!AG377))=7)*(CHOOSE({1,2,3,4},XT!X377,XT!AB377,XT!AF377,XT!AJ377)))</f>
        <v>0</v>
      </c>
      <c r="Z377" t="str">
        <f>IFERROR(INDEX(CHOOSE({1,2,3,4}, DAY(XT!U377), DAY(XT!Y377), DAY(XT!AC377), DAY(XT!AG377)), MATCH(1, INDEX(--(MONTH(CHOOSE({1,2,3,4}, XT!U377,XT!Y377,XT!AC377,XT!AG377))=7), 0), 0)), "")</f>
        <v/>
      </c>
      <c r="AA377" s="51" t="str">
        <f>IF(XT!$P377&gt;0,Z377,"")</f>
        <v/>
      </c>
      <c r="AB377" s="51" t="str">
        <f>IF(XT!$P377=0,Z377,"")</f>
        <v/>
      </c>
      <c r="AC377">
        <f>SUMPRODUCT((MONTH(CHOOSE({1,2,3,4},XT!U377,XT!Y377,XT!AC377,XT!AG377))=8)*(CHOOSE({1,2,3,4},XT!X377,XT!AB377,XT!AF377,XT!AJ377)))</f>
        <v>0</v>
      </c>
      <c r="AD377" t="str">
        <f>IFERROR(INDEX(CHOOSE({1,2,3,4}, DAY(XT!U377), DAY(XT!Y377), DAY(XT!AC377), DAY(XT!AG377)), MATCH(1, INDEX(--(MONTH(CHOOSE({1,2,3,4}, XT!U377,XT!Y377,XT!AC377,XT!AG377))=8), 0), 0)), "")</f>
        <v/>
      </c>
      <c r="AE377" s="51" t="str">
        <f>IF(XT!$P377&gt;0,AD377,"")</f>
        <v/>
      </c>
      <c r="AF377" s="51" t="str">
        <f>IF(XT!$P377=0,AD377,"")</f>
        <v/>
      </c>
      <c r="AG377">
        <f>SUMPRODUCT((MONTH(CHOOSE({1,2,3,4},XT!U377,XT!Y377,XT!AC377,XT!AG377))=9)*(CHOOSE({1,2,3,4},XT!X377,XT!AB377,XT!AF377,XT!AJ377)))</f>
        <v>0</v>
      </c>
      <c r="AH377" t="str">
        <f>IFERROR(INDEX(CHOOSE({1,2,3,4}, DAY(XT!U377), DAY(XT!Y377), DAY(XT!AC377), DAY(XT!AG377)), MATCH(1, INDEX(--(MONTH(CHOOSE({1,2,3,4}, XT!U377,XT!Y377,XT!AC377,XT!AG377))=9), 0), 0)), "")</f>
        <v/>
      </c>
      <c r="AI377" s="51" t="str">
        <f>IF(XT!$P377&gt;0,AH377,"")</f>
        <v/>
      </c>
      <c r="AJ377" s="51" t="str">
        <f>IF(XT!$P377=0,AH377,"")</f>
        <v/>
      </c>
      <c r="AK377">
        <f>SUMPRODUCT((MONTH(CHOOSE({1,2,3,4},XT!U377,XT!Y377,XT!AC377,XT!AG377))=10)*(CHOOSE({1,2,3,4},XT!X377,XT!AB377,XT!AF377,XT!AJ377)))</f>
        <v>0</v>
      </c>
      <c r="AL377" t="str">
        <f>IFERROR(INDEX(CHOOSE({1,2,3,4}, DAY(XT!U377), DAY(XT!Y377), DAY(XT!AC377), DAY(XT!AG377)), MATCH(1, INDEX(--(MONTH(CHOOSE({1,2,3,4}, XT!U377,XT!Y377,XT!AC377,XT!AG377))=10), 0), 0)), "")</f>
        <v/>
      </c>
      <c r="AM377" s="51" t="str">
        <f>IF(XT!$P377&gt;0,AL377,"")</f>
        <v/>
      </c>
      <c r="AN377" s="51" t="str">
        <f>IF(XT!$P377=0,AL377,"")</f>
        <v/>
      </c>
      <c r="AO377">
        <f>SUMPRODUCT((MONTH(CHOOSE({1,2,3,4},XT!U377,XT!Y377,XT!AC377,XT!AG377))=11)*(CHOOSE({1,2,3,4},XT!X377,XT!AB377,XT!AF377,XT!AJ377)))</f>
        <v>0</v>
      </c>
      <c r="AP377" t="str">
        <f>IFERROR(INDEX(CHOOSE({1,2,3,4}, DAY(XT!U377), DAY(XT!Y377), DAY(XT!AC377), DAY(XT!AG377)), MATCH(1, INDEX(--(MONTH(CHOOSE({1,2,3,4}, XT!U377,XT!Y377,XT!AC377,XT!AG377))=11), 0), 0)), "")</f>
        <v/>
      </c>
      <c r="AQ377" s="51" t="str">
        <f>IF(XT!$P377&gt;0,AP377,"")</f>
        <v/>
      </c>
      <c r="AR377" s="51" t="str">
        <f>IF(XT!$P377=0,AP377,"")</f>
        <v/>
      </c>
      <c r="AS377">
        <f>SUMPRODUCT((MONTH(CHOOSE({1,2,3,4},XT!U377,XT!Y377,XT!AC377,XT!AG377))=12)*(CHOOSE({1,2,3,4},XT!X377,XT!AB377,XT!AF377,XT!AJ377)))</f>
        <v>0</v>
      </c>
      <c r="AT377" t="str">
        <f>IFERROR(INDEX(CHOOSE({1,2,3,4}, DAY(XT!U377), DAY(XT!Y377), DAY(XT!AC377), DAY(XT!AG377)), MATCH(1, INDEX(--(MONTH(CHOOSE({1,2,3,4}, XT!U377,XT!Y377,XT!AC377,XT!AG377))=12), 0), 0)), "")</f>
        <v/>
      </c>
      <c r="AU377" s="51" t="str">
        <f>IF(XT!$P377&gt;0,AT377,"")</f>
        <v/>
      </c>
      <c r="AV377" s="51" t="str">
        <f>IF(XT!$P377=0,AT377,"")</f>
        <v/>
      </c>
    </row>
    <row r="378" spans="1:48">
      <c r="A378">
        <f>SUMPRODUCT((MONTH(CHOOSE({1,2,3,4},XT!U378,XT!Y378,XT!AC378,XT!AG378))=1)*(CHOOSE({1,2,3,4},XT!X378,XT!AB378,XT!AF378,XT!AJ378)))</f>
        <v>0</v>
      </c>
      <c r="B378">
        <f>IFERROR(INDEX(CHOOSE({1,2,3,4}, DAY(XT!U378), DAY(XT!Y378), DAY(XT!AC378), DAY(XT!AG378)), MATCH(1, INDEX(--(MONTH(CHOOSE({1,2,3,4}, XT!U378,XT!Y378,XT!AC378,XT!AG378))=1), 0), 0)), "")</f>
        <v>0</v>
      </c>
      <c r="C378" s="51" t="str">
        <f>IF(XT!$P378&gt;0,B378,"")</f>
        <v/>
      </c>
      <c r="D378" s="51">
        <f>IF(XT!$P378=0,B378,"")</f>
        <v>0</v>
      </c>
      <c r="E378">
        <f>SUMPRODUCT((MONTH(CHOOSE({1,2,3,4},XT!U378,XT!Y378,XT!AC378,XT!AG378))=2)*(CHOOSE({1,2,3,4},XT!X378,XT!AB378,XT!AF378,XT!AJ378)))</f>
        <v>0</v>
      </c>
      <c r="F378" t="str">
        <f>IFERROR(INDEX(CHOOSE({1,2,3,4}, DAY(XT!U378), DAY(XT!Y378), DAY(XT!AC378), DAY(XT!AG378)), MATCH(1, INDEX(--(MONTH(CHOOSE({1,2,3,4}, XT!U378,XT!Y378,XT!AC378,XT!AG378))=2), 0), 0)), "")</f>
        <v/>
      </c>
      <c r="G378" s="51" t="str">
        <f>IF(XT!$P378&gt;0,F378,"")</f>
        <v/>
      </c>
      <c r="H378" s="51" t="str">
        <f>IF(XT!$P378=0,F378,"")</f>
        <v/>
      </c>
      <c r="I378">
        <f>SUMPRODUCT((MONTH(CHOOSE({1,2,3,4},XT!U378,XT!Y378,XT!AC378,XT!AG378))=3)*(CHOOSE({1,2,3,4},XT!X378,XT!AB378,XT!AF378,XT!AJ378)))</f>
        <v>0</v>
      </c>
      <c r="J378" t="str">
        <f>IFERROR(INDEX(CHOOSE({1,2,3,4}, DAY(XT!U378), DAY(XT!Y378), DAY(XT!AC378), DAY(XT!AG378)), MATCH(1, INDEX(--(MONTH(CHOOSE({1,2,3,4}, XT!U378,XT!Y378,XT!AC378,XT!AG378))=3), 0), 0)), "")</f>
        <v/>
      </c>
      <c r="K378" s="51" t="str">
        <f>IF(XT!$P378&gt;0,J378,"")</f>
        <v/>
      </c>
      <c r="L378" s="51" t="str">
        <f>IF(XT!$P378=0,J378,"")</f>
        <v/>
      </c>
      <c r="M378">
        <f>SUMPRODUCT((MONTH(CHOOSE({1,2,3,4},XT!U378,XT!Y378,XT!AC378,XT!AG378))=4)*(CHOOSE({1,2,3,4},XT!X378,XT!AB378,XT!AF378,XT!AJ378)))</f>
        <v>0</v>
      </c>
      <c r="N378" t="str">
        <f>IFERROR(INDEX(CHOOSE({1,2,3,4}, DAY(XT!U378), DAY(XT!Y378), DAY(XT!AC378), DAY(XT!AG378)), MATCH(1, INDEX(--(MONTH(CHOOSE({1,2,3,4}, XT!U378,XT!Y378,XT!AC378,XT!AG378))=4), 0), 0)), "")</f>
        <v/>
      </c>
      <c r="O378" s="51" t="str">
        <f>IF(XT!$P378&gt;0,N378,"")</f>
        <v/>
      </c>
      <c r="P378" s="51" t="str">
        <f>IF(XT!$P378=0,N378,"")</f>
        <v/>
      </c>
      <c r="Q378">
        <f>SUMPRODUCT((MONTH(CHOOSE({1,2,3,4},XT!U378,XT!Y378,XT!AC378,XT!AG378))=5)*(CHOOSE({1,2,3,4},XT!X378,XT!AB378,XT!AF378,XT!AJ378)))</f>
        <v>0</v>
      </c>
      <c r="R378" t="str">
        <f>IFERROR(INDEX(CHOOSE({1,2,3,4}, DAY(XT!U378), DAY(XT!Y378), DAY(XT!AC378), DAY(XT!AG378)), MATCH(1, INDEX(--(MONTH(CHOOSE({1,2,3,4}, XT!U378,XT!Y378,XT!AC378,XT!AG378))=5), 0), 0)), "")</f>
        <v/>
      </c>
      <c r="S378" s="51" t="str">
        <f>IF(XT!$P378&gt;0,R378,"")</f>
        <v/>
      </c>
      <c r="T378" s="51" t="str">
        <f>IF(XT!$P378=0,R378,"")</f>
        <v/>
      </c>
      <c r="U378">
        <f>SUMPRODUCT((MONTH(CHOOSE({1,2,3,4},XT!U378,XT!Y378,XT!AC378,XT!AG378))=6)*(CHOOSE({1,2,3,4},XT!X378,XT!AB378,XT!AF378,XT!AJ378)))</f>
        <v>0</v>
      </c>
      <c r="V378" t="str">
        <f>IFERROR(INDEX(CHOOSE({1,2,3,4}, DAY(XT!U378), DAY(XT!Y378), DAY(XT!AC378), DAY(XT!AG378)), MATCH(1, INDEX(--(MONTH(CHOOSE({1,2,3,4}, XT!U378,XT!Y378,XT!AC378,XT!AG378))=6), 0), 0)), "")</f>
        <v/>
      </c>
      <c r="W378" s="51" t="str">
        <f>IF(XT!$P378&gt;0,V378,"")</f>
        <v/>
      </c>
      <c r="X378" s="51" t="str">
        <f>IF(XT!$P378=0,V378,"")</f>
        <v/>
      </c>
      <c r="Y378">
        <f>SUMPRODUCT((MONTH(CHOOSE({1,2,3,4},XT!U378,XT!Y378,XT!AC378,XT!AG378))=7)*(CHOOSE({1,2,3,4},XT!X378,XT!AB378,XT!AF378,XT!AJ378)))</f>
        <v>0</v>
      </c>
      <c r="Z378" t="str">
        <f>IFERROR(INDEX(CHOOSE({1,2,3,4}, DAY(XT!U378), DAY(XT!Y378), DAY(XT!AC378), DAY(XT!AG378)), MATCH(1, INDEX(--(MONTH(CHOOSE({1,2,3,4}, XT!U378,XT!Y378,XT!AC378,XT!AG378))=7), 0), 0)), "")</f>
        <v/>
      </c>
      <c r="AA378" s="51" t="str">
        <f>IF(XT!$P378&gt;0,Z378,"")</f>
        <v/>
      </c>
      <c r="AB378" s="51" t="str">
        <f>IF(XT!$P378=0,Z378,"")</f>
        <v/>
      </c>
      <c r="AC378">
        <f>SUMPRODUCT((MONTH(CHOOSE({1,2,3,4},XT!U378,XT!Y378,XT!AC378,XT!AG378))=8)*(CHOOSE({1,2,3,4},XT!X378,XT!AB378,XT!AF378,XT!AJ378)))</f>
        <v>0</v>
      </c>
      <c r="AD378" t="str">
        <f>IFERROR(INDEX(CHOOSE({1,2,3,4}, DAY(XT!U378), DAY(XT!Y378), DAY(XT!AC378), DAY(XT!AG378)), MATCH(1, INDEX(--(MONTH(CHOOSE({1,2,3,4}, XT!U378,XT!Y378,XT!AC378,XT!AG378))=8), 0), 0)), "")</f>
        <v/>
      </c>
      <c r="AE378" s="51" t="str">
        <f>IF(XT!$P378&gt;0,AD378,"")</f>
        <v/>
      </c>
      <c r="AF378" s="51" t="str">
        <f>IF(XT!$P378=0,AD378,"")</f>
        <v/>
      </c>
      <c r="AG378">
        <f>SUMPRODUCT((MONTH(CHOOSE({1,2,3,4},XT!U378,XT!Y378,XT!AC378,XT!AG378))=9)*(CHOOSE({1,2,3,4},XT!X378,XT!AB378,XT!AF378,XT!AJ378)))</f>
        <v>0</v>
      </c>
      <c r="AH378" t="str">
        <f>IFERROR(INDEX(CHOOSE({1,2,3,4}, DAY(XT!U378), DAY(XT!Y378), DAY(XT!AC378), DAY(XT!AG378)), MATCH(1, INDEX(--(MONTH(CHOOSE({1,2,3,4}, XT!U378,XT!Y378,XT!AC378,XT!AG378))=9), 0), 0)), "")</f>
        <v/>
      </c>
      <c r="AI378" s="51" t="str">
        <f>IF(XT!$P378&gt;0,AH378,"")</f>
        <v/>
      </c>
      <c r="AJ378" s="51" t="str">
        <f>IF(XT!$P378=0,AH378,"")</f>
        <v/>
      </c>
      <c r="AK378">
        <f>SUMPRODUCT((MONTH(CHOOSE({1,2,3,4},XT!U378,XT!Y378,XT!AC378,XT!AG378))=10)*(CHOOSE({1,2,3,4},XT!X378,XT!AB378,XT!AF378,XT!AJ378)))</f>
        <v>0</v>
      </c>
      <c r="AL378" t="str">
        <f>IFERROR(INDEX(CHOOSE({1,2,3,4}, DAY(XT!U378), DAY(XT!Y378), DAY(XT!AC378), DAY(XT!AG378)), MATCH(1, INDEX(--(MONTH(CHOOSE({1,2,3,4}, XT!U378,XT!Y378,XT!AC378,XT!AG378))=10), 0), 0)), "")</f>
        <v/>
      </c>
      <c r="AM378" s="51" t="str">
        <f>IF(XT!$P378&gt;0,AL378,"")</f>
        <v/>
      </c>
      <c r="AN378" s="51" t="str">
        <f>IF(XT!$P378=0,AL378,"")</f>
        <v/>
      </c>
      <c r="AO378">
        <f>SUMPRODUCT((MONTH(CHOOSE({1,2,3,4},XT!U378,XT!Y378,XT!AC378,XT!AG378))=11)*(CHOOSE({1,2,3,4},XT!X378,XT!AB378,XT!AF378,XT!AJ378)))</f>
        <v>0</v>
      </c>
      <c r="AP378" t="str">
        <f>IFERROR(INDEX(CHOOSE({1,2,3,4}, DAY(XT!U378), DAY(XT!Y378), DAY(XT!AC378), DAY(XT!AG378)), MATCH(1, INDEX(--(MONTH(CHOOSE({1,2,3,4}, XT!U378,XT!Y378,XT!AC378,XT!AG378))=11), 0), 0)), "")</f>
        <v/>
      </c>
      <c r="AQ378" s="51" t="str">
        <f>IF(XT!$P378&gt;0,AP378,"")</f>
        <v/>
      </c>
      <c r="AR378" s="51" t="str">
        <f>IF(XT!$P378=0,AP378,"")</f>
        <v/>
      </c>
      <c r="AS378">
        <f>SUMPRODUCT((MONTH(CHOOSE({1,2,3,4},XT!U378,XT!Y378,XT!AC378,XT!AG378))=12)*(CHOOSE({1,2,3,4},XT!X378,XT!AB378,XT!AF378,XT!AJ378)))</f>
        <v>0</v>
      </c>
      <c r="AT378" t="str">
        <f>IFERROR(INDEX(CHOOSE({1,2,3,4}, DAY(XT!U378), DAY(XT!Y378), DAY(XT!AC378), DAY(XT!AG378)), MATCH(1, INDEX(--(MONTH(CHOOSE({1,2,3,4}, XT!U378,XT!Y378,XT!AC378,XT!AG378))=12), 0), 0)), "")</f>
        <v/>
      </c>
      <c r="AU378" s="51" t="str">
        <f>IF(XT!$P378&gt;0,AT378,"")</f>
        <v/>
      </c>
      <c r="AV378" s="51" t="str">
        <f>IF(XT!$P378=0,AT378,"")</f>
        <v/>
      </c>
    </row>
    <row r="379" spans="1:48">
      <c r="A379">
        <f>SUMPRODUCT((MONTH(CHOOSE({1,2,3,4},XT!U379,XT!Y379,XT!AC379,XT!AG379))=1)*(CHOOSE({1,2,3,4},XT!X379,XT!AB379,XT!AF379,XT!AJ379)))</f>
        <v>0</v>
      </c>
      <c r="B379">
        <f>IFERROR(INDEX(CHOOSE({1,2,3,4}, DAY(XT!U379), DAY(XT!Y379), DAY(XT!AC379), DAY(XT!AG379)), MATCH(1, INDEX(--(MONTH(CHOOSE({1,2,3,4}, XT!U379,XT!Y379,XT!AC379,XT!AG379))=1), 0), 0)), "")</f>
        <v>0</v>
      </c>
      <c r="C379" s="51" t="str">
        <f>IF(XT!$P379&gt;0,B379,"")</f>
        <v/>
      </c>
      <c r="D379" s="51">
        <f>IF(XT!$P379=0,B379,"")</f>
        <v>0</v>
      </c>
      <c r="E379">
        <f>SUMPRODUCT((MONTH(CHOOSE({1,2,3,4},XT!U379,XT!Y379,XT!AC379,XT!AG379))=2)*(CHOOSE({1,2,3,4},XT!X379,XT!AB379,XT!AF379,XT!AJ379)))</f>
        <v>0</v>
      </c>
      <c r="F379" t="str">
        <f>IFERROR(INDEX(CHOOSE({1,2,3,4}, DAY(XT!U379), DAY(XT!Y379), DAY(XT!AC379), DAY(XT!AG379)), MATCH(1, INDEX(--(MONTH(CHOOSE({1,2,3,4}, XT!U379,XT!Y379,XT!AC379,XT!AG379))=2), 0), 0)), "")</f>
        <v/>
      </c>
      <c r="G379" s="51" t="str">
        <f>IF(XT!$P379&gt;0,F379,"")</f>
        <v/>
      </c>
      <c r="H379" s="51" t="str">
        <f>IF(XT!$P379=0,F379,"")</f>
        <v/>
      </c>
      <c r="I379">
        <f>SUMPRODUCT((MONTH(CHOOSE({1,2,3,4},XT!U379,XT!Y379,XT!AC379,XT!AG379))=3)*(CHOOSE({1,2,3,4},XT!X379,XT!AB379,XT!AF379,XT!AJ379)))</f>
        <v>0</v>
      </c>
      <c r="J379" t="str">
        <f>IFERROR(INDEX(CHOOSE({1,2,3,4}, DAY(XT!U379), DAY(XT!Y379), DAY(XT!AC379), DAY(XT!AG379)), MATCH(1, INDEX(--(MONTH(CHOOSE({1,2,3,4}, XT!U379,XT!Y379,XT!AC379,XT!AG379))=3), 0), 0)), "")</f>
        <v/>
      </c>
      <c r="K379" s="51" t="str">
        <f>IF(XT!$P379&gt;0,J379,"")</f>
        <v/>
      </c>
      <c r="L379" s="51" t="str">
        <f>IF(XT!$P379=0,J379,"")</f>
        <v/>
      </c>
      <c r="M379">
        <f>SUMPRODUCT((MONTH(CHOOSE({1,2,3,4},XT!U379,XT!Y379,XT!AC379,XT!AG379))=4)*(CHOOSE({1,2,3,4},XT!X379,XT!AB379,XT!AF379,XT!AJ379)))</f>
        <v>0</v>
      </c>
      <c r="N379" t="str">
        <f>IFERROR(INDEX(CHOOSE({1,2,3,4}, DAY(XT!U379), DAY(XT!Y379), DAY(XT!AC379), DAY(XT!AG379)), MATCH(1, INDEX(--(MONTH(CHOOSE({1,2,3,4}, XT!U379,XT!Y379,XT!AC379,XT!AG379))=4), 0), 0)), "")</f>
        <v/>
      </c>
      <c r="O379" s="51" t="str">
        <f>IF(XT!$P379&gt;0,N379,"")</f>
        <v/>
      </c>
      <c r="P379" s="51" t="str">
        <f>IF(XT!$P379=0,N379,"")</f>
        <v/>
      </c>
      <c r="Q379">
        <f>SUMPRODUCT((MONTH(CHOOSE({1,2,3,4},XT!U379,XT!Y379,XT!AC379,XT!AG379))=5)*(CHOOSE({1,2,3,4},XT!X379,XT!AB379,XT!AF379,XT!AJ379)))</f>
        <v>0</v>
      </c>
      <c r="R379" t="str">
        <f>IFERROR(INDEX(CHOOSE({1,2,3,4}, DAY(XT!U379), DAY(XT!Y379), DAY(XT!AC379), DAY(XT!AG379)), MATCH(1, INDEX(--(MONTH(CHOOSE({1,2,3,4}, XT!U379,XT!Y379,XT!AC379,XT!AG379))=5), 0), 0)), "")</f>
        <v/>
      </c>
      <c r="S379" s="51" t="str">
        <f>IF(XT!$P379&gt;0,R379,"")</f>
        <v/>
      </c>
      <c r="T379" s="51" t="str">
        <f>IF(XT!$P379=0,R379,"")</f>
        <v/>
      </c>
      <c r="U379">
        <f>SUMPRODUCT((MONTH(CHOOSE({1,2,3,4},XT!U379,XT!Y379,XT!AC379,XT!AG379))=6)*(CHOOSE({1,2,3,4},XT!X379,XT!AB379,XT!AF379,XT!AJ379)))</f>
        <v>0</v>
      </c>
      <c r="V379" t="str">
        <f>IFERROR(INDEX(CHOOSE({1,2,3,4}, DAY(XT!U379), DAY(XT!Y379), DAY(XT!AC379), DAY(XT!AG379)), MATCH(1, INDEX(--(MONTH(CHOOSE({1,2,3,4}, XT!U379,XT!Y379,XT!AC379,XT!AG379))=6), 0), 0)), "")</f>
        <v/>
      </c>
      <c r="W379" s="51" t="str">
        <f>IF(XT!$P379&gt;0,V379,"")</f>
        <v/>
      </c>
      <c r="X379" s="51" t="str">
        <f>IF(XT!$P379=0,V379,"")</f>
        <v/>
      </c>
      <c r="Y379">
        <f>SUMPRODUCT((MONTH(CHOOSE({1,2,3,4},XT!U379,XT!Y379,XT!AC379,XT!AG379))=7)*(CHOOSE({1,2,3,4},XT!X379,XT!AB379,XT!AF379,XT!AJ379)))</f>
        <v>0</v>
      </c>
      <c r="Z379" t="str">
        <f>IFERROR(INDEX(CHOOSE({1,2,3,4}, DAY(XT!U379), DAY(XT!Y379), DAY(XT!AC379), DAY(XT!AG379)), MATCH(1, INDEX(--(MONTH(CHOOSE({1,2,3,4}, XT!U379,XT!Y379,XT!AC379,XT!AG379))=7), 0), 0)), "")</f>
        <v/>
      </c>
      <c r="AA379" s="51" t="str">
        <f>IF(XT!$P379&gt;0,Z379,"")</f>
        <v/>
      </c>
      <c r="AB379" s="51" t="str">
        <f>IF(XT!$P379=0,Z379,"")</f>
        <v/>
      </c>
      <c r="AC379">
        <f>SUMPRODUCT((MONTH(CHOOSE({1,2,3,4},XT!U379,XT!Y379,XT!AC379,XT!AG379))=8)*(CHOOSE({1,2,3,4},XT!X379,XT!AB379,XT!AF379,XT!AJ379)))</f>
        <v>0</v>
      </c>
      <c r="AD379" t="str">
        <f>IFERROR(INDEX(CHOOSE({1,2,3,4}, DAY(XT!U379), DAY(XT!Y379), DAY(XT!AC379), DAY(XT!AG379)), MATCH(1, INDEX(--(MONTH(CHOOSE({1,2,3,4}, XT!U379,XT!Y379,XT!AC379,XT!AG379))=8), 0), 0)), "")</f>
        <v/>
      </c>
      <c r="AE379" s="51" t="str">
        <f>IF(XT!$P379&gt;0,AD379,"")</f>
        <v/>
      </c>
      <c r="AF379" s="51" t="str">
        <f>IF(XT!$P379=0,AD379,"")</f>
        <v/>
      </c>
      <c r="AG379">
        <f>SUMPRODUCT((MONTH(CHOOSE({1,2,3,4},XT!U379,XT!Y379,XT!AC379,XT!AG379))=9)*(CHOOSE({1,2,3,4},XT!X379,XT!AB379,XT!AF379,XT!AJ379)))</f>
        <v>0</v>
      </c>
      <c r="AH379" t="str">
        <f>IFERROR(INDEX(CHOOSE({1,2,3,4}, DAY(XT!U379), DAY(XT!Y379), DAY(XT!AC379), DAY(XT!AG379)), MATCH(1, INDEX(--(MONTH(CHOOSE({1,2,3,4}, XT!U379,XT!Y379,XT!AC379,XT!AG379))=9), 0), 0)), "")</f>
        <v/>
      </c>
      <c r="AI379" s="51" t="str">
        <f>IF(XT!$P379&gt;0,AH379,"")</f>
        <v/>
      </c>
      <c r="AJ379" s="51" t="str">
        <f>IF(XT!$P379=0,AH379,"")</f>
        <v/>
      </c>
      <c r="AK379">
        <f>SUMPRODUCT((MONTH(CHOOSE({1,2,3,4},XT!U379,XT!Y379,XT!AC379,XT!AG379))=10)*(CHOOSE({1,2,3,4},XT!X379,XT!AB379,XT!AF379,XT!AJ379)))</f>
        <v>0</v>
      </c>
      <c r="AL379" t="str">
        <f>IFERROR(INDEX(CHOOSE({1,2,3,4}, DAY(XT!U379), DAY(XT!Y379), DAY(XT!AC379), DAY(XT!AG379)), MATCH(1, INDEX(--(MONTH(CHOOSE({1,2,3,4}, XT!U379,XT!Y379,XT!AC379,XT!AG379))=10), 0), 0)), "")</f>
        <v/>
      </c>
      <c r="AM379" s="51" t="str">
        <f>IF(XT!$P379&gt;0,AL379,"")</f>
        <v/>
      </c>
      <c r="AN379" s="51" t="str">
        <f>IF(XT!$P379=0,AL379,"")</f>
        <v/>
      </c>
      <c r="AO379">
        <f>SUMPRODUCT((MONTH(CHOOSE({1,2,3,4},XT!U379,XT!Y379,XT!AC379,XT!AG379))=11)*(CHOOSE({1,2,3,4},XT!X379,XT!AB379,XT!AF379,XT!AJ379)))</f>
        <v>0</v>
      </c>
      <c r="AP379" t="str">
        <f>IFERROR(INDEX(CHOOSE({1,2,3,4}, DAY(XT!U379), DAY(XT!Y379), DAY(XT!AC379), DAY(XT!AG379)), MATCH(1, INDEX(--(MONTH(CHOOSE({1,2,3,4}, XT!U379,XT!Y379,XT!AC379,XT!AG379))=11), 0), 0)), "")</f>
        <v/>
      </c>
      <c r="AQ379" s="51" t="str">
        <f>IF(XT!$P379&gt;0,AP379,"")</f>
        <v/>
      </c>
      <c r="AR379" s="51" t="str">
        <f>IF(XT!$P379=0,AP379,"")</f>
        <v/>
      </c>
      <c r="AS379">
        <f>SUMPRODUCT((MONTH(CHOOSE({1,2,3,4},XT!U379,XT!Y379,XT!AC379,XT!AG379))=12)*(CHOOSE({1,2,3,4},XT!X379,XT!AB379,XT!AF379,XT!AJ379)))</f>
        <v>0</v>
      </c>
      <c r="AT379" t="str">
        <f>IFERROR(INDEX(CHOOSE({1,2,3,4}, DAY(XT!U379), DAY(XT!Y379), DAY(XT!AC379), DAY(XT!AG379)), MATCH(1, INDEX(--(MONTH(CHOOSE({1,2,3,4}, XT!U379,XT!Y379,XT!AC379,XT!AG379))=12), 0), 0)), "")</f>
        <v/>
      </c>
      <c r="AU379" s="51" t="str">
        <f>IF(XT!$P379&gt;0,AT379,"")</f>
        <v/>
      </c>
      <c r="AV379" s="51" t="str">
        <f>IF(XT!$P379=0,AT379,"")</f>
        <v/>
      </c>
    </row>
    <row r="380" spans="1:48">
      <c r="A380">
        <f>SUMPRODUCT((MONTH(CHOOSE({1,2,3,4},XT!U380,XT!Y380,XT!AC380,XT!AG380))=1)*(CHOOSE({1,2,3,4},XT!X380,XT!AB380,XT!AF380,XT!AJ380)))</f>
        <v>0</v>
      </c>
      <c r="B380">
        <f>IFERROR(INDEX(CHOOSE({1,2,3,4}, DAY(XT!U380), DAY(XT!Y380), DAY(XT!AC380), DAY(XT!AG380)), MATCH(1, INDEX(--(MONTH(CHOOSE({1,2,3,4}, XT!U380,XT!Y380,XT!AC380,XT!AG380))=1), 0), 0)), "")</f>
        <v>0</v>
      </c>
      <c r="C380" s="51" t="str">
        <f>IF(XT!$P380&gt;0,B380,"")</f>
        <v/>
      </c>
      <c r="D380" s="51">
        <f>IF(XT!$P380=0,B380,"")</f>
        <v>0</v>
      </c>
      <c r="E380">
        <f>SUMPRODUCT((MONTH(CHOOSE({1,2,3,4},XT!U380,XT!Y380,XT!AC380,XT!AG380))=2)*(CHOOSE({1,2,3,4},XT!X380,XT!AB380,XT!AF380,XT!AJ380)))</f>
        <v>0</v>
      </c>
      <c r="F380" t="str">
        <f>IFERROR(INDEX(CHOOSE({1,2,3,4}, DAY(XT!U380), DAY(XT!Y380), DAY(XT!AC380), DAY(XT!AG380)), MATCH(1, INDEX(--(MONTH(CHOOSE({1,2,3,4}, XT!U380,XT!Y380,XT!AC380,XT!AG380))=2), 0), 0)), "")</f>
        <v/>
      </c>
      <c r="G380" s="51" t="str">
        <f>IF(XT!$P380&gt;0,F380,"")</f>
        <v/>
      </c>
      <c r="H380" s="51" t="str">
        <f>IF(XT!$P380=0,F380,"")</f>
        <v/>
      </c>
      <c r="I380">
        <f>SUMPRODUCT((MONTH(CHOOSE({1,2,3,4},XT!U380,XT!Y380,XT!AC380,XT!AG380))=3)*(CHOOSE({1,2,3,4},XT!X380,XT!AB380,XT!AF380,XT!AJ380)))</f>
        <v>0</v>
      </c>
      <c r="J380" t="str">
        <f>IFERROR(INDEX(CHOOSE({1,2,3,4}, DAY(XT!U380), DAY(XT!Y380), DAY(XT!AC380), DAY(XT!AG380)), MATCH(1, INDEX(--(MONTH(CHOOSE({1,2,3,4}, XT!U380,XT!Y380,XT!AC380,XT!AG380))=3), 0), 0)), "")</f>
        <v/>
      </c>
      <c r="K380" s="51" t="str">
        <f>IF(XT!$P380&gt;0,J380,"")</f>
        <v/>
      </c>
      <c r="L380" s="51" t="str">
        <f>IF(XT!$P380=0,J380,"")</f>
        <v/>
      </c>
      <c r="M380">
        <f>SUMPRODUCT((MONTH(CHOOSE({1,2,3,4},XT!U380,XT!Y380,XT!AC380,XT!AG380))=4)*(CHOOSE({1,2,3,4},XT!X380,XT!AB380,XT!AF380,XT!AJ380)))</f>
        <v>0</v>
      </c>
      <c r="N380" t="str">
        <f>IFERROR(INDEX(CHOOSE({1,2,3,4}, DAY(XT!U380), DAY(XT!Y380), DAY(XT!AC380), DAY(XT!AG380)), MATCH(1, INDEX(--(MONTH(CHOOSE({1,2,3,4}, XT!U380,XT!Y380,XT!AC380,XT!AG380))=4), 0), 0)), "")</f>
        <v/>
      </c>
      <c r="O380" s="51" t="str">
        <f>IF(XT!$P380&gt;0,N380,"")</f>
        <v/>
      </c>
      <c r="P380" s="51" t="str">
        <f>IF(XT!$P380=0,N380,"")</f>
        <v/>
      </c>
      <c r="Q380">
        <f>SUMPRODUCT((MONTH(CHOOSE({1,2,3,4},XT!U380,XT!Y380,XT!AC380,XT!AG380))=5)*(CHOOSE({1,2,3,4},XT!X380,XT!AB380,XT!AF380,XT!AJ380)))</f>
        <v>0</v>
      </c>
      <c r="R380" t="str">
        <f>IFERROR(INDEX(CHOOSE({1,2,3,4}, DAY(XT!U380), DAY(XT!Y380), DAY(XT!AC380), DAY(XT!AG380)), MATCH(1, INDEX(--(MONTH(CHOOSE({1,2,3,4}, XT!U380,XT!Y380,XT!AC380,XT!AG380))=5), 0), 0)), "")</f>
        <v/>
      </c>
      <c r="S380" s="51" t="str">
        <f>IF(XT!$P380&gt;0,R380,"")</f>
        <v/>
      </c>
      <c r="T380" s="51" t="str">
        <f>IF(XT!$P380=0,R380,"")</f>
        <v/>
      </c>
      <c r="U380">
        <f>SUMPRODUCT((MONTH(CHOOSE({1,2,3,4},XT!U380,XT!Y380,XT!AC380,XT!AG380))=6)*(CHOOSE({1,2,3,4},XT!X380,XT!AB380,XT!AF380,XT!AJ380)))</f>
        <v>0</v>
      </c>
      <c r="V380" t="str">
        <f>IFERROR(INDEX(CHOOSE({1,2,3,4}, DAY(XT!U380), DAY(XT!Y380), DAY(XT!AC380), DAY(XT!AG380)), MATCH(1, INDEX(--(MONTH(CHOOSE({1,2,3,4}, XT!U380,XT!Y380,XT!AC380,XT!AG380))=6), 0), 0)), "")</f>
        <v/>
      </c>
      <c r="W380" s="51" t="str">
        <f>IF(XT!$P380&gt;0,V380,"")</f>
        <v/>
      </c>
      <c r="X380" s="51" t="str">
        <f>IF(XT!$P380=0,V380,"")</f>
        <v/>
      </c>
      <c r="Y380">
        <f>SUMPRODUCT((MONTH(CHOOSE({1,2,3,4},XT!U380,XT!Y380,XT!AC380,XT!AG380))=7)*(CHOOSE({1,2,3,4},XT!X380,XT!AB380,XT!AF380,XT!AJ380)))</f>
        <v>0</v>
      </c>
      <c r="Z380" t="str">
        <f>IFERROR(INDEX(CHOOSE({1,2,3,4}, DAY(XT!U380), DAY(XT!Y380), DAY(XT!AC380), DAY(XT!AG380)), MATCH(1, INDEX(--(MONTH(CHOOSE({1,2,3,4}, XT!U380,XT!Y380,XT!AC380,XT!AG380))=7), 0), 0)), "")</f>
        <v/>
      </c>
      <c r="AA380" s="51" t="str">
        <f>IF(XT!$P380&gt;0,Z380,"")</f>
        <v/>
      </c>
      <c r="AB380" s="51" t="str">
        <f>IF(XT!$P380=0,Z380,"")</f>
        <v/>
      </c>
      <c r="AC380">
        <f>SUMPRODUCT((MONTH(CHOOSE({1,2,3,4},XT!U380,XT!Y380,XT!AC380,XT!AG380))=8)*(CHOOSE({1,2,3,4},XT!X380,XT!AB380,XT!AF380,XT!AJ380)))</f>
        <v>0</v>
      </c>
      <c r="AD380" t="str">
        <f>IFERROR(INDEX(CHOOSE({1,2,3,4}, DAY(XT!U380), DAY(XT!Y380), DAY(XT!AC380), DAY(XT!AG380)), MATCH(1, INDEX(--(MONTH(CHOOSE({1,2,3,4}, XT!U380,XT!Y380,XT!AC380,XT!AG380))=8), 0), 0)), "")</f>
        <v/>
      </c>
      <c r="AE380" s="51" t="str">
        <f>IF(XT!$P380&gt;0,AD380,"")</f>
        <v/>
      </c>
      <c r="AF380" s="51" t="str">
        <f>IF(XT!$P380=0,AD380,"")</f>
        <v/>
      </c>
      <c r="AG380">
        <f>SUMPRODUCT((MONTH(CHOOSE({1,2,3,4},XT!U380,XT!Y380,XT!AC380,XT!AG380))=9)*(CHOOSE({1,2,3,4},XT!X380,XT!AB380,XT!AF380,XT!AJ380)))</f>
        <v>0</v>
      </c>
      <c r="AH380" t="str">
        <f>IFERROR(INDEX(CHOOSE({1,2,3,4}, DAY(XT!U380), DAY(XT!Y380), DAY(XT!AC380), DAY(XT!AG380)), MATCH(1, INDEX(--(MONTH(CHOOSE({1,2,3,4}, XT!U380,XT!Y380,XT!AC380,XT!AG380))=9), 0), 0)), "")</f>
        <v/>
      </c>
      <c r="AI380" s="51" t="str">
        <f>IF(XT!$P380&gt;0,AH380,"")</f>
        <v/>
      </c>
      <c r="AJ380" s="51" t="str">
        <f>IF(XT!$P380=0,AH380,"")</f>
        <v/>
      </c>
      <c r="AK380">
        <f>SUMPRODUCT((MONTH(CHOOSE({1,2,3,4},XT!U380,XT!Y380,XT!AC380,XT!AG380))=10)*(CHOOSE({1,2,3,4},XT!X380,XT!AB380,XT!AF380,XT!AJ380)))</f>
        <v>0</v>
      </c>
      <c r="AL380" t="str">
        <f>IFERROR(INDEX(CHOOSE({1,2,3,4}, DAY(XT!U380), DAY(XT!Y380), DAY(XT!AC380), DAY(XT!AG380)), MATCH(1, INDEX(--(MONTH(CHOOSE({1,2,3,4}, XT!U380,XT!Y380,XT!AC380,XT!AG380))=10), 0), 0)), "")</f>
        <v/>
      </c>
      <c r="AM380" s="51" t="str">
        <f>IF(XT!$P380&gt;0,AL380,"")</f>
        <v/>
      </c>
      <c r="AN380" s="51" t="str">
        <f>IF(XT!$P380=0,AL380,"")</f>
        <v/>
      </c>
      <c r="AO380">
        <f>SUMPRODUCT((MONTH(CHOOSE({1,2,3,4},XT!U380,XT!Y380,XT!AC380,XT!AG380))=11)*(CHOOSE({1,2,3,4},XT!X380,XT!AB380,XT!AF380,XT!AJ380)))</f>
        <v>0</v>
      </c>
      <c r="AP380" t="str">
        <f>IFERROR(INDEX(CHOOSE({1,2,3,4}, DAY(XT!U380), DAY(XT!Y380), DAY(XT!AC380), DAY(XT!AG380)), MATCH(1, INDEX(--(MONTH(CHOOSE({1,2,3,4}, XT!U380,XT!Y380,XT!AC380,XT!AG380))=11), 0), 0)), "")</f>
        <v/>
      </c>
      <c r="AQ380" s="51" t="str">
        <f>IF(XT!$P380&gt;0,AP380,"")</f>
        <v/>
      </c>
      <c r="AR380" s="51" t="str">
        <f>IF(XT!$P380=0,AP380,"")</f>
        <v/>
      </c>
      <c r="AS380">
        <f>SUMPRODUCT((MONTH(CHOOSE({1,2,3,4},XT!U380,XT!Y380,XT!AC380,XT!AG380))=12)*(CHOOSE({1,2,3,4},XT!X380,XT!AB380,XT!AF380,XT!AJ380)))</f>
        <v>0</v>
      </c>
      <c r="AT380" t="str">
        <f>IFERROR(INDEX(CHOOSE({1,2,3,4}, DAY(XT!U380), DAY(XT!Y380), DAY(XT!AC380), DAY(XT!AG380)), MATCH(1, INDEX(--(MONTH(CHOOSE({1,2,3,4}, XT!U380,XT!Y380,XT!AC380,XT!AG380))=12), 0), 0)), "")</f>
        <v/>
      </c>
      <c r="AU380" s="51" t="str">
        <f>IF(XT!$P380&gt;0,AT380,"")</f>
        <v/>
      </c>
      <c r="AV380" s="51" t="str">
        <f>IF(XT!$P380=0,AT380,"")</f>
        <v/>
      </c>
    </row>
    <row r="381" spans="1:48">
      <c r="A381">
        <f>SUMPRODUCT((MONTH(CHOOSE({1,2,3,4},XT!U381,XT!Y381,XT!AC381,XT!AG381))=1)*(CHOOSE({1,2,3,4},XT!X381,XT!AB381,XT!AF381,XT!AJ381)))</f>
        <v>0</v>
      </c>
      <c r="B381">
        <f>IFERROR(INDEX(CHOOSE({1,2,3,4}, DAY(XT!U381), DAY(XT!Y381), DAY(XT!AC381), DAY(XT!AG381)), MATCH(1, INDEX(--(MONTH(CHOOSE({1,2,3,4}, XT!U381,XT!Y381,XT!AC381,XT!AG381))=1), 0), 0)), "")</f>
        <v>0</v>
      </c>
      <c r="C381" s="51" t="str">
        <f>IF(XT!$P381&gt;0,B381,"")</f>
        <v/>
      </c>
      <c r="D381" s="51">
        <f>IF(XT!$P381=0,B381,"")</f>
        <v>0</v>
      </c>
      <c r="E381">
        <f>SUMPRODUCT((MONTH(CHOOSE({1,2,3,4},XT!U381,XT!Y381,XT!AC381,XT!AG381))=2)*(CHOOSE({1,2,3,4},XT!X381,XT!AB381,XT!AF381,XT!AJ381)))</f>
        <v>0</v>
      </c>
      <c r="F381" t="str">
        <f>IFERROR(INDEX(CHOOSE({1,2,3,4}, DAY(XT!U381), DAY(XT!Y381), DAY(XT!AC381), DAY(XT!AG381)), MATCH(1, INDEX(--(MONTH(CHOOSE({1,2,3,4}, XT!U381,XT!Y381,XT!AC381,XT!AG381))=2), 0), 0)), "")</f>
        <v/>
      </c>
      <c r="G381" s="51" t="str">
        <f>IF(XT!$P381&gt;0,F381,"")</f>
        <v/>
      </c>
      <c r="H381" s="51" t="str">
        <f>IF(XT!$P381=0,F381,"")</f>
        <v/>
      </c>
      <c r="I381">
        <f>SUMPRODUCT((MONTH(CHOOSE({1,2,3,4},XT!U381,XT!Y381,XT!AC381,XT!AG381))=3)*(CHOOSE({1,2,3,4},XT!X381,XT!AB381,XT!AF381,XT!AJ381)))</f>
        <v>0</v>
      </c>
      <c r="J381" t="str">
        <f>IFERROR(INDEX(CHOOSE({1,2,3,4}, DAY(XT!U381), DAY(XT!Y381), DAY(XT!AC381), DAY(XT!AG381)), MATCH(1, INDEX(--(MONTH(CHOOSE({1,2,3,4}, XT!U381,XT!Y381,XT!AC381,XT!AG381))=3), 0), 0)), "")</f>
        <v/>
      </c>
      <c r="K381" s="51" t="str">
        <f>IF(XT!$P381&gt;0,J381,"")</f>
        <v/>
      </c>
      <c r="L381" s="51" t="str">
        <f>IF(XT!$P381=0,J381,"")</f>
        <v/>
      </c>
      <c r="M381">
        <f>SUMPRODUCT((MONTH(CHOOSE({1,2,3,4},XT!U381,XT!Y381,XT!AC381,XT!AG381))=4)*(CHOOSE({1,2,3,4},XT!X381,XT!AB381,XT!AF381,XT!AJ381)))</f>
        <v>0</v>
      </c>
      <c r="N381" t="str">
        <f>IFERROR(INDEX(CHOOSE({1,2,3,4}, DAY(XT!U381), DAY(XT!Y381), DAY(XT!AC381), DAY(XT!AG381)), MATCH(1, INDEX(--(MONTH(CHOOSE({1,2,3,4}, XT!U381,XT!Y381,XT!AC381,XT!AG381))=4), 0), 0)), "")</f>
        <v/>
      </c>
      <c r="O381" s="51" t="str">
        <f>IF(XT!$P381&gt;0,N381,"")</f>
        <v/>
      </c>
      <c r="P381" s="51" t="str">
        <f>IF(XT!$P381=0,N381,"")</f>
        <v/>
      </c>
      <c r="Q381">
        <f>SUMPRODUCT((MONTH(CHOOSE({1,2,3,4},XT!U381,XT!Y381,XT!AC381,XT!AG381))=5)*(CHOOSE({1,2,3,4},XT!X381,XT!AB381,XT!AF381,XT!AJ381)))</f>
        <v>0</v>
      </c>
      <c r="R381" t="str">
        <f>IFERROR(INDEX(CHOOSE({1,2,3,4}, DAY(XT!U381), DAY(XT!Y381), DAY(XT!AC381), DAY(XT!AG381)), MATCH(1, INDEX(--(MONTH(CHOOSE({1,2,3,4}, XT!U381,XT!Y381,XT!AC381,XT!AG381))=5), 0), 0)), "")</f>
        <v/>
      </c>
      <c r="S381" s="51" t="str">
        <f>IF(XT!$P381&gt;0,R381,"")</f>
        <v/>
      </c>
      <c r="T381" s="51" t="str">
        <f>IF(XT!$P381=0,R381,"")</f>
        <v/>
      </c>
      <c r="U381">
        <f>SUMPRODUCT((MONTH(CHOOSE({1,2,3,4},XT!U381,XT!Y381,XT!AC381,XT!AG381))=6)*(CHOOSE({1,2,3,4},XT!X381,XT!AB381,XT!AF381,XT!AJ381)))</f>
        <v>0</v>
      </c>
      <c r="V381" t="str">
        <f>IFERROR(INDEX(CHOOSE({1,2,3,4}, DAY(XT!U381), DAY(XT!Y381), DAY(XT!AC381), DAY(XT!AG381)), MATCH(1, INDEX(--(MONTH(CHOOSE({1,2,3,4}, XT!U381,XT!Y381,XT!AC381,XT!AG381))=6), 0), 0)), "")</f>
        <v/>
      </c>
      <c r="W381" s="51" t="str">
        <f>IF(XT!$P381&gt;0,V381,"")</f>
        <v/>
      </c>
      <c r="X381" s="51" t="str">
        <f>IF(XT!$P381=0,V381,"")</f>
        <v/>
      </c>
      <c r="Y381">
        <f>SUMPRODUCT((MONTH(CHOOSE({1,2,3,4},XT!U381,XT!Y381,XT!AC381,XT!AG381))=7)*(CHOOSE({1,2,3,4},XT!X381,XT!AB381,XT!AF381,XT!AJ381)))</f>
        <v>0</v>
      </c>
      <c r="Z381" t="str">
        <f>IFERROR(INDEX(CHOOSE({1,2,3,4}, DAY(XT!U381), DAY(XT!Y381), DAY(XT!AC381), DAY(XT!AG381)), MATCH(1, INDEX(--(MONTH(CHOOSE({1,2,3,4}, XT!U381,XT!Y381,XT!AC381,XT!AG381))=7), 0), 0)), "")</f>
        <v/>
      </c>
      <c r="AA381" s="51" t="str">
        <f>IF(XT!$P381&gt;0,Z381,"")</f>
        <v/>
      </c>
      <c r="AB381" s="51" t="str">
        <f>IF(XT!$P381=0,Z381,"")</f>
        <v/>
      </c>
      <c r="AC381">
        <f>SUMPRODUCT((MONTH(CHOOSE({1,2,3,4},XT!U381,XT!Y381,XT!AC381,XT!AG381))=8)*(CHOOSE({1,2,3,4},XT!X381,XT!AB381,XT!AF381,XT!AJ381)))</f>
        <v>0</v>
      </c>
      <c r="AD381" t="str">
        <f>IFERROR(INDEX(CHOOSE({1,2,3,4}, DAY(XT!U381), DAY(XT!Y381), DAY(XT!AC381), DAY(XT!AG381)), MATCH(1, INDEX(--(MONTH(CHOOSE({1,2,3,4}, XT!U381,XT!Y381,XT!AC381,XT!AG381))=8), 0), 0)), "")</f>
        <v/>
      </c>
      <c r="AE381" s="51" t="str">
        <f>IF(XT!$P381&gt;0,AD381,"")</f>
        <v/>
      </c>
      <c r="AF381" s="51" t="str">
        <f>IF(XT!$P381=0,AD381,"")</f>
        <v/>
      </c>
      <c r="AG381">
        <f>SUMPRODUCT((MONTH(CHOOSE({1,2,3,4},XT!U381,XT!Y381,XT!AC381,XT!AG381))=9)*(CHOOSE({1,2,3,4},XT!X381,XT!AB381,XT!AF381,XT!AJ381)))</f>
        <v>0</v>
      </c>
      <c r="AH381" t="str">
        <f>IFERROR(INDEX(CHOOSE({1,2,3,4}, DAY(XT!U381), DAY(XT!Y381), DAY(XT!AC381), DAY(XT!AG381)), MATCH(1, INDEX(--(MONTH(CHOOSE({1,2,3,4}, XT!U381,XT!Y381,XT!AC381,XT!AG381))=9), 0), 0)), "")</f>
        <v/>
      </c>
      <c r="AI381" s="51" t="str">
        <f>IF(XT!$P381&gt;0,AH381,"")</f>
        <v/>
      </c>
      <c r="AJ381" s="51" t="str">
        <f>IF(XT!$P381=0,AH381,"")</f>
        <v/>
      </c>
      <c r="AK381">
        <f>SUMPRODUCT((MONTH(CHOOSE({1,2,3,4},XT!U381,XT!Y381,XT!AC381,XT!AG381))=10)*(CHOOSE({1,2,3,4},XT!X381,XT!AB381,XT!AF381,XT!AJ381)))</f>
        <v>0</v>
      </c>
      <c r="AL381" t="str">
        <f>IFERROR(INDEX(CHOOSE({1,2,3,4}, DAY(XT!U381), DAY(XT!Y381), DAY(XT!AC381), DAY(XT!AG381)), MATCH(1, INDEX(--(MONTH(CHOOSE({1,2,3,4}, XT!U381,XT!Y381,XT!AC381,XT!AG381))=10), 0), 0)), "")</f>
        <v/>
      </c>
      <c r="AM381" s="51" t="str">
        <f>IF(XT!$P381&gt;0,AL381,"")</f>
        <v/>
      </c>
      <c r="AN381" s="51" t="str">
        <f>IF(XT!$P381=0,AL381,"")</f>
        <v/>
      </c>
      <c r="AO381">
        <f>SUMPRODUCT((MONTH(CHOOSE({1,2,3,4},XT!U381,XT!Y381,XT!AC381,XT!AG381))=11)*(CHOOSE({1,2,3,4},XT!X381,XT!AB381,XT!AF381,XT!AJ381)))</f>
        <v>0</v>
      </c>
      <c r="AP381" t="str">
        <f>IFERROR(INDEX(CHOOSE({1,2,3,4}, DAY(XT!U381), DAY(XT!Y381), DAY(XT!AC381), DAY(XT!AG381)), MATCH(1, INDEX(--(MONTH(CHOOSE({1,2,3,4}, XT!U381,XT!Y381,XT!AC381,XT!AG381))=11), 0), 0)), "")</f>
        <v/>
      </c>
      <c r="AQ381" s="51" t="str">
        <f>IF(XT!$P381&gt;0,AP381,"")</f>
        <v/>
      </c>
      <c r="AR381" s="51" t="str">
        <f>IF(XT!$P381=0,AP381,"")</f>
        <v/>
      </c>
      <c r="AS381">
        <f>SUMPRODUCT((MONTH(CHOOSE({1,2,3,4},XT!U381,XT!Y381,XT!AC381,XT!AG381))=12)*(CHOOSE({1,2,3,4},XT!X381,XT!AB381,XT!AF381,XT!AJ381)))</f>
        <v>0</v>
      </c>
      <c r="AT381" t="str">
        <f>IFERROR(INDEX(CHOOSE({1,2,3,4}, DAY(XT!U381), DAY(XT!Y381), DAY(XT!AC381), DAY(XT!AG381)), MATCH(1, INDEX(--(MONTH(CHOOSE({1,2,3,4}, XT!U381,XT!Y381,XT!AC381,XT!AG381))=12), 0), 0)), "")</f>
        <v/>
      </c>
      <c r="AU381" s="51" t="str">
        <f>IF(XT!$P381&gt;0,AT381,"")</f>
        <v/>
      </c>
      <c r="AV381" s="51" t="str">
        <f>IF(XT!$P381=0,AT381,"")</f>
        <v/>
      </c>
    </row>
    <row r="382" spans="1:48">
      <c r="A382">
        <f>SUMPRODUCT((MONTH(CHOOSE({1,2,3,4},XT!U382,XT!Y382,XT!AC382,XT!AG382))=1)*(CHOOSE({1,2,3,4},XT!X382,XT!AB382,XT!AF382,XT!AJ382)))</f>
        <v>0</v>
      </c>
      <c r="B382">
        <f>IFERROR(INDEX(CHOOSE({1,2,3,4}, DAY(XT!U382), DAY(XT!Y382), DAY(XT!AC382), DAY(XT!AG382)), MATCH(1, INDEX(--(MONTH(CHOOSE({1,2,3,4}, XT!U382,XT!Y382,XT!AC382,XT!AG382))=1), 0), 0)), "")</f>
        <v>0</v>
      </c>
      <c r="C382" s="51" t="str">
        <f>IF(XT!$P382&gt;0,B382,"")</f>
        <v/>
      </c>
      <c r="D382" s="51">
        <f>IF(XT!$P382=0,B382,"")</f>
        <v>0</v>
      </c>
      <c r="E382">
        <f>SUMPRODUCT((MONTH(CHOOSE({1,2,3,4},XT!U382,XT!Y382,XT!AC382,XT!AG382))=2)*(CHOOSE({1,2,3,4},XT!X382,XT!AB382,XT!AF382,XT!AJ382)))</f>
        <v>0</v>
      </c>
      <c r="F382" t="str">
        <f>IFERROR(INDEX(CHOOSE({1,2,3,4}, DAY(XT!U382), DAY(XT!Y382), DAY(XT!AC382), DAY(XT!AG382)), MATCH(1, INDEX(--(MONTH(CHOOSE({1,2,3,4}, XT!U382,XT!Y382,XT!AC382,XT!AG382))=2), 0), 0)), "")</f>
        <v/>
      </c>
      <c r="G382" s="51" t="str">
        <f>IF(XT!$P382&gt;0,F382,"")</f>
        <v/>
      </c>
      <c r="H382" s="51" t="str">
        <f>IF(XT!$P382=0,F382,"")</f>
        <v/>
      </c>
      <c r="I382">
        <f>SUMPRODUCT((MONTH(CHOOSE({1,2,3,4},XT!U382,XT!Y382,XT!AC382,XT!AG382))=3)*(CHOOSE({1,2,3,4},XT!X382,XT!AB382,XT!AF382,XT!AJ382)))</f>
        <v>0</v>
      </c>
      <c r="J382" t="str">
        <f>IFERROR(INDEX(CHOOSE({1,2,3,4}, DAY(XT!U382), DAY(XT!Y382), DAY(XT!AC382), DAY(XT!AG382)), MATCH(1, INDEX(--(MONTH(CHOOSE({1,2,3,4}, XT!U382,XT!Y382,XT!AC382,XT!AG382))=3), 0), 0)), "")</f>
        <v/>
      </c>
      <c r="K382" s="51" t="str">
        <f>IF(XT!$P382&gt;0,J382,"")</f>
        <v/>
      </c>
      <c r="L382" s="51" t="str">
        <f>IF(XT!$P382=0,J382,"")</f>
        <v/>
      </c>
      <c r="M382">
        <f>SUMPRODUCT((MONTH(CHOOSE({1,2,3,4},XT!U382,XT!Y382,XT!AC382,XT!AG382))=4)*(CHOOSE({1,2,3,4},XT!X382,XT!AB382,XT!AF382,XT!AJ382)))</f>
        <v>0</v>
      </c>
      <c r="N382" t="str">
        <f>IFERROR(INDEX(CHOOSE({1,2,3,4}, DAY(XT!U382), DAY(XT!Y382), DAY(XT!AC382), DAY(XT!AG382)), MATCH(1, INDEX(--(MONTH(CHOOSE({1,2,3,4}, XT!U382,XT!Y382,XT!AC382,XT!AG382))=4), 0), 0)), "")</f>
        <v/>
      </c>
      <c r="O382" s="51" t="str">
        <f>IF(XT!$P382&gt;0,N382,"")</f>
        <v/>
      </c>
      <c r="P382" s="51" t="str">
        <f>IF(XT!$P382=0,N382,"")</f>
        <v/>
      </c>
      <c r="Q382">
        <f>SUMPRODUCT((MONTH(CHOOSE({1,2,3,4},XT!U382,XT!Y382,XT!AC382,XT!AG382))=5)*(CHOOSE({1,2,3,4},XT!X382,XT!AB382,XT!AF382,XT!AJ382)))</f>
        <v>0</v>
      </c>
      <c r="R382" t="str">
        <f>IFERROR(INDEX(CHOOSE({1,2,3,4}, DAY(XT!U382), DAY(XT!Y382), DAY(XT!AC382), DAY(XT!AG382)), MATCH(1, INDEX(--(MONTH(CHOOSE({1,2,3,4}, XT!U382,XT!Y382,XT!AC382,XT!AG382))=5), 0), 0)), "")</f>
        <v/>
      </c>
      <c r="S382" s="51" t="str">
        <f>IF(XT!$P382&gt;0,R382,"")</f>
        <v/>
      </c>
      <c r="T382" s="51" t="str">
        <f>IF(XT!$P382=0,R382,"")</f>
        <v/>
      </c>
      <c r="U382">
        <f>SUMPRODUCT((MONTH(CHOOSE({1,2,3,4},XT!U382,XT!Y382,XT!AC382,XT!AG382))=6)*(CHOOSE({1,2,3,4},XT!X382,XT!AB382,XT!AF382,XT!AJ382)))</f>
        <v>0</v>
      </c>
      <c r="V382" t="str">
        <f>IFERROR(INDEX(CHOOSE({1,2,3,4}, DAY(XT!U382), DAY(XT!Y382), DAY(XT!AC382), DAY(XT!AG382)), MATCH(1, INDEX(--(MONTH(CHOOSE({1,2,3,4}, XT!U382,XT!Y382,XT!AC382,XT!AG382))=6), 0), 0)), "")</f>
        <v/>
      </c>
      <c r="W382" s="51" t="str">
        <f>IF(XT!$P382&gt;0,V382,"")</f>
        <v/>
      </c>
      <c r="X382" s="51" t="str">
        <f>IF(XT!$P382=0,V382,"")</f>
        <v/>
      </c>
      <c r="Y382">
        <f>SUMPRODUCT((MONTH(CHOOSE({1,2,3,4},XT!U382,XT!Y382,XT!AC382,XT!AG382))=7)*(CHOOSE({1,2,3,4},XT!X382,XT!AB382,XT!AF382,XT!AJ382)))</f>
        <v>0</v>
      </c>
      <c r="Z382" t="str">
        <f>IFERROR(INDEX(CHOOSE({1,2,3,4}, DAY(XT!U382), DAY(XT!Y382), DAY(XT!AC382), DAY(XT!AG382)), MATCH(1, INDEX(--(MONTH(CHOOSE({1,2,3,4}, XT!U382,XT!Y382,XT!AC382,XT!AG382))=7), 0), 0)), "")</f>
        <v/>
      </c>
      <c r="AA382" s="51" t="str">
        <f>IF(XT!$P382&gt;0,Z382,"")</f>
        <v/>
      </c>
      <c r="AB382" s="51" t="str">
        <f>IF(XT!$P382=0,Z382,"")</f>
        <v/>
      </c>
      <c r="AC382">
        <f>SUMPRODUCT((MONTH(CHOOSE({1,2,3,4},XT!U382,XT!Y382,XT!AC382,XT!AG382))=8)*(CHOOSE({1,2,3,4},XT!X382,XT!AB382,XT!AF382,XT!AJ382)))</f>
        <v>0</v>
      </c>
      <c r="AD382" t="str">
        <f>IFERROR(INDEX(CHOOSE({1,2,3,4}, DAY(XT!U382), DAY(XT!Y382), DAY(XT!AC382), DAY(XT!AG382)), MATCH(1, INDEX(--(MONTH(CHOOSE({1,2,3,4}, XT!U382,XT!Y382,XT!AC382,XT!AG382))=8), 0), 0)), "")</f>
        <v/>
      </c>
      <c r="AE382" s="51" t="str">
        <f>IF(XT!$P382&gt;0,AD382,"")</f>
        <v/>
      </c>
      <c r="AF382" s="51" t="str">
        <f>IF(XT!$P382=0,AD382,"")</f>
        <v/>
      </c>
      <c r="AG382">
        <f>SUMPRODUCT((MONTH(CHOOSE({1,2,3,4},XT!U382,XT!Y382,XT!AC382,XT!AG382))=9)*(CHOOSE({1,2,3,4},XT!X382,XT!AB382,XT!AF382,XT!AJ382)))</f>
        <v>0</v>
      </c>
      <c r="AH382" t="str">
        <f>IFERROR(INDEX(CHOOSE({1,2,3,4}, DAY(XT!U382), DAY(XT!Y382), DAY(XT!AC382), DAY(XT!AG382)), MATCH(1, INDEX(--(MONTH(CHOOSE({1,2,3,4}, XT!U382,XT!Y382,XT!AC382,XT!AG382))=9), 0), 0)), "")</f>
        <v/>
      </c>
      <c r="AI382" s="51" t="str">
        <f>IF(XT!$P382&gt;0,AH382,"")</f>
        <v/>
      </c>
      <c r="AJ382" s="51" t="str">
        <f>IF(XT!$P382=0,AH382,"")</f>
        <v/>
      </c>
      <c r="AK382">
        <f>SUMPRODUCT((MONTH(CHOOSE({1,2,3,4},XT!U382,XT!Y382,XT!AC382,XT!AG382))=10)*(CHOOSE({1,2,3,4},XT!X382,XT!AB382,XT!AF382,XT!AJ382)))</f>
        <v>0</v>
      </c>
      <c r="AL382" t="str">
        <f>IFERROR(INDEX(CHOOSE({1,2,3,4}, DAY(XT!U382), DAY(XT!Y382), DAY(XT!AC382), DAY(XT!AG382)), MATCH(1, INDEX(--(MONTH(CHOOSE({1,2,3,4}, XT!U382,XT!Y382,XT!AC382,XT!AG382))=10), 0), 0)), "")</f>
        <v/>
      </c>
      <c r="AM382" s="51" t="str">
        <f>IF(XT!$P382&gt;0,AL382,"")</f>
        <v/>
      </c>
      <c r="AN382" s="51" t="str">
        <f>IF(XT!$P382=0,AL382,"")</f>
        <v/>
      </c>
      <c r="AO382">
        <f>SUMPRODUCT((MONTH(CHOOSE({1,2,3,4},XT!U382,XT!Y382,XT!AC382,XT!AG382))=11)*(CHOOSE({1,2,3,4},XT!X382,XT!AB382,XT!AF382,XT!AJ382)))</f>
        <v>0</v>
      </c>
      <c r="AP382" t="str">
        <f>IFERROR(INDEX(CHOOSE({1,2,3,4}, DAY(XT!U382), DAY(XT!Y382), DAY(XT!AC382), DAY(XT!AG382)), MATCH(1, INDEX(--(MONTH(CHOOSE({1,2,3,4}, XT!U382,XT!Y382,XT!AC382,XT!AG382))=11), 0), 0)), "")</f>
        <v/>
      </c>
      <c r="AQ382" s="51" t="str">
        <f>IF(XT!$P382&gt;0,AP382,"")</f>
        <v/>
      </c>
      <c r="AR382" s="51" t="str">
        <f>IF(XT!$P382=0,AP382,"")</f>
        <v/>
      </c>
      <c r="AS382">
        <f>SUMPRODUCT((MONTH(CHOOSE({1,2,3,4},XT!U382,XT!Y382,XT!AC382,XT!AG382))=12)*(CHOOSE({1,2,3,4},XT!X382,XT!AB382,XT!AF382,XT!AJ382)))</f>
        <v>0</v>
      </c>
      <c r="AT382" t="str">
        <f>IFERROR(INDEX(CHOOSE({1,2,3,4}, DAY(XT!U382), DAY(XT!Y382), DAY(XT!AC382), DAY(XT!AG382)), MATCH(1, INDEX(--(MONTH(CHOOSE({1,2,3,4}, XT!U382,XT!Y382,XT!AC382,XT!AG382))=12), 0), 0)), "")</f>
        <v/>
      </c>
      <c r="AU382" s="51" t="str">
        <f>IF(XT!$P382&gt;0,AT382,"")</f>
        <v/>
      </c>
      <c r="AV382" s="51" t="str">
        <f>IF(XT!$P382=0,AT382,"")</f>
        <v/>
      </c>
    </row>
    <row r="383" spans="1:48">
      <c r="A383">
        <f>SUMPRODUCT((MONTH(CHOOSE({1,2,3,4},XT!U383,XT!Y383,XT!AC383,XT!AG383))=1)*(CHOOSE({1,2,3,4},XT!X383,XT!AB383,XT!AF383,XT!AJ383)))</f>
        <v>0</v>
      </c>
      <c r="B383">
        <f>IFERROR(INDEX(CHOOSE({1,2,3,4}, DAY(XT!U383), DAY(XT!Y383), DAY(XT!AC383), DAY(XT!AG383)), MATCH(1, INDEX(--(MONTH(CHOOSE({1,2,3,4}, XT!U383,XT!Y383,XT!AC383,XT!AG383))=1), 0), 0)), "")</f>
        <v>0</v>
      </c>
      <c r="C383" s="51" t="str">
        <f>IF(XT!$P383&gt;0,B383,"")</f>
        <v/>
      </c>
      <c r="D383" s="51">
        <f>IF(XT!$P383=0,B383,"")</f>
        <v>0</v>
      </c>
      <c r="E383">
        <f>SUMPRODUCT((MONTH(CHOOSE({1,2,3,4},XT!U383,XT!Y383,XT!AC383,XT!AG383))=2)*(CHOOSE({1,2,3,4},XT!X383,XT!AB383,XT!AF383,XT!AJ383)))</f>
        <v>0</v>
      </c>
      <c r="F383" t="str">
        <f>IFERROR(INDEX(CHOOSE({1,2,3,4}, DAY(XT!U383), DAY(XT!Y383), DAY(XT!AC383), DAY(XT!AG383)), MATCH(1, INDEX(--(MONTH(CHOOSE({1,2,3,4}, XT!U383,XT!Y383,XT!AC383,XT!AG383))=2), 0), 0)), "")</f>
        <v/>
      </c>
      <c r="G383" s="51" t="str">
        <f>IF(XT!$P383&gt;0,F383,"")</f>
        <v/>
      </c>
      <c r="H383" s="51" t="str">
        <f>IF(XT!$P383=0,F383,"")</f>
        <v/>
      </c>
      <c r="I383">
        <f>SUMPRODUCT((MONTH(CHOOSE({1,2,3,4},XT!U383,XT!Y383,XT!AC383,XT!AG383))=3)*(CHOOSE({1,2,3,4},XT!X383,XT!AB383,XT!AF383,XT!AJ383)))</f>
        <v>0</v>
      </c>
      <c r="J383" t="str">
        <f>IFERROR(INDEX(CHOOSE({1,2,3,4}, DAY(XT!U383), DAY(XT!Y383), DAY(XT!AC383), DAY(XT!AG383)), MATCH(1, INDEX(--(MONTH(CHOOSE({1,2,3,4}, XT!U383,XT!Y383,XT!AC383,XT!AG383))=3), 0), 0)), "")</f>
        <v/>
      </c>
      <c r="K383" s="51" t="str">
        <f>IF(XT!$P383&gt;0,J383,"")</f>
        <v/>
      </c>
      <c r="L383" s="51" t="str">
        <f>IF(XT!$P383=0,J383,"")</f>
        <v/>
      </c>
      <c r="M383">
        <f>SUMPRODUCT((MONTH(CHOOSE({1,2,3,4},XT!U383,XT!Y383,XT!AC383,XT!AG383))=4)*(CHOOSE({1,2,3,4},XT!X383,XT!AB383,XT!AF383,XT!AJ383)))</f>
        <v>0</v>
      </c>
      <c r="N383" t="str">
        <f>IFERROR(INDEX(CHOOSE({1,2,3,4}, DAY(XT!U383), DAY(XT!Y383), DAY(XT!AC383), DAY(XT!AG383)), MATCH(1, INDEX(--(MONTH(CHOOSE({1,2,3,4}, XT!U383,XT!Y383,XT!AC383,XT!AG383))=4), 0), 0)), "")</f>
        <v/>
      </c>
      <c r="O383" s="51" t="str">
        <f>IF(XT!$P383&gt;0,N383,"")</f>
        <v/>
      </c>
      <c r="P383" s="51" t="str">
        <f>IF(XT!$P383=0,N383,"")</f>
        <v/>
      </c>
      <c r="Q383">
        <f>SUMPRODUCT((MONTH(CHOOSE({1,2,3,4},XT!U383,XT!Y383,XT!AC383,XT!AG383))=5)*(CHOOSE({1,2,3,4},XT!X383,XT!AB383,XT!AF383,XT!AJ383)))</f>
        <v>0</v>
      </c>
      <c r="R383" t="str">
        <f>IFERROR(INDEX(CHOOSE({1,2,3,4}, DAY(XT!U383), DAY(XT!Y383), DAY(XT!AC383), DAY(XT!AG383)), MATCH(1, INDEX(--(MONTH(CHOOSE({1,2,3,4}, XT!U383,XT!Y383,XT!AC383,XT!AG383))=5), 0), 0)), "")</f>
        <v/>
      </c>
      <c r="S383" s="51" t="str">
        <f>IF(XT!$P383&gt;0,R383,"")</f>
        <v/>
      </c>
      <c r="T383" s="51" t="str">
        <f>IF(XT!$P383=0,R383,"")</f>
        <v/>
      </c>
      <c r="U383">
        <f>SUMPRODUCT((MONTH(CHOOSE({1,2,3,4},XT!U383,XT!Y383,XT!AC383,XT!AG383))=6)*(CHOOSE({1,2,3,4},XT!X383,XT!AB383,XT!AF383,XT!AJ383)))</f>
        <v>0</v>
      </c>
      <c r="V383" t="str">
        <f>IFERROR(INDEX(CHOOSE({1,2,3,4}, DAY(XT!U383), DAY(XT!Y383), DAY(XT!AC383), DAY(XT!AG383)), MATCH(1, INDEX(--(MONTH(CHOOSE({1,2,3,4}, XT!U383,XT!Y383,XT!AC383,XT!AG383))=6), 0), 0)), "")</f>
        <v/>
      </c>
      <c r="W383" s="51" t="str">
        <f>IF(XT!$P383&gt;0,V383,"")</f>
        <v/>
      </c>
      <c r="X383" s="51" t="str">
        <f>IF(XT!$P383=0,V383,"")</f>
        <v/>
      </c>
      <c r="Y383">
        <f>SUMPRODUCT((MONTH(CHOOSE({1,2,3,4},XT!U383,XT!Y383,XT!AC383,XT!AG383))=7)*(CHOOSE({1,2,3,4},XT!X383,XT!AB383,XT!AF383,XT!AJ383)))</f>
        <v>0</v>
      </c>
      <c r="Z383" t="str">
        <f>IFERROR(INDEX(CHOOSE({1,2,3,4}, DAY(XT!U383), DAY(XT!Y383), DAY(XT!AC383), DAY(XT!AG383)), MATCH(1, INDEX(--(MONTH(CHOOSE({1,2,3,4}, XT!U383,XT!Y383,XT!AC383,XT!AG383))=7), 0), 0)), "")</f>
        <v/>
      </c>
      <c r="AA383" s="51" t="str">
        <f>IF(XT!$P383&gt;0,Z383,"")</f>
        <v/>
      </c>
      <c r="AB383" s="51" t="str">
        <f>IF(XT!$P383=0,Z383,"")</f>
        <v/>
      </c>
      <c r="AC383">
        <f>SUMPRODUCT((MONTH(CHOOSE({1,2,3,4},XT!U383,XT!Y383,XT!AC383,XT!AG383))=8)*(CHOOSE({1,2,3,4},XT!X383,XT!AB383,XT!AF383,XT!AJ383)))</f>
        <v>0</v>
      </c>
      <c r="AD383" t="str">
        <f>IFERROR(INDEX(CHOOSE({1,2,3,4}, DAY(XT!U383), DAY(XT!Y383), DAY(XT!AC383), DAY(XT!AG383)), MATCH(1, INDEX(--(MONTH(CHOOSE({1,2,3,4}, XT!U383,XT!Y383,XT!AC383,XT!AG383))=8), 0), 0)), "")</f>
        <v/>
      </c>
      <c r="AE383" s="51" t="str">
        <f>IF(XT!$P383&gt;0,AD383,"")</f>
        <v/>
      </c>
      <c r="AF383" s="51" t="str">
        <f>IF(XT!$P383=0,AD383,"")</f>
        <v/>
      </c>
      <c r="AG383">
        <f>SUMPRODUCT((MONTH(CHOOSE({1,2,3,4},XT!U383,XT!Y383,XT!AC383,XT!AG383))=9)*(CHOOSE({1,2,3,4},XT!X383,XT!AB383,XT!AF383,XT!AJ383)))</f>
        <v>0</v>
      </c>
      <c r="AH383" t="str">
        <f>IFERROR(INDEX(CHOOSE({1,2,3,4}, DAY(XT!U383), DAY(XT!Y383), DAY(XT!AC383), DAY(XT!AG383)), MATCH(1, INDEX(--(MONTH(CHOOSE({1,2,3,4}, XT!U383,XT!Y383,XT!AC383,XT!AG383))=9), 0), 0)), "")</f>
        <v/>
      </c>
      <c r="AI383" s="51" t="str">
        <f>IF(XT!$P383&gt;0,AH383,"")</f>
        <v/>
      </c>
      <c r="AJ383" s="51" t="str">
        <f>IF(XT!$P383=0,AH383,"")</f>
        <v/>
      </c>
      <c r="AK383">
        <f>SUMPRODUCT((MONTH(CHOOSE({1,2,3,4},XT!U383,XT!Y383,XT!AC383,XT!AG383))=10)*(CHOOSE({1,2,3,4},XT!X383,XT!AB383,XT!AF383,XT!AJ383)))</f>
        <v>0</v>
      </c>
      <c r="AL383" t="str">
        <f>IFERROR(INDEX(CHOOSE({1,2,3,4}, DAY(XT!U383), DAY(XT!Y383), DAY(XT!AC383), DAY(XT!AG383)), MATCH(1, INDEX(--(MONTH(CHOOSE({1,2,3,4}, XT!U383,XT!Y383,XT!AC383,XT!AG383))=10), 0), 0)), "")</f>
        <v/>
      </c>
      <c r="AM383" s="51" t="str">
        <f>IF(XT!$P383&gt;0,AL383,"")</f>
        <v/>
      </c>
      <c r="AN383" s="51" t="str">
        <f>IF(XT!$P383=0,AL383,"")</f>
        <v/>
      </c>
      <c r="AO383">
        <f>SUMPRODUCT((MONTH(CHOOSE({1,2,3,4},XT!U383,XT!Y383,XT!AC383,XT!AG383))=11)*(CHOOSE({1,2,3,4},XT!X383,XT!AB383,XT!AF383,XT!AJ383)))</f>
        <v>0</v>
      </c>
      <c r="AP383" t="str">
        <f>IFERROR(INDEX(CHOOSE({1,2,3,4}, DAY(XT!U383), DAY(XT!Y383), DAY(XT!AC383), DAY(XT!AG383)), MATCH(1, INDEX(--(MONTH(CHOOSE({1,2,3,4}, XT!U383,XT!Y383,XT!AC383,XT!AG383))=11), 0), 0)), "")</f>
        <v/>
      </c>
      <c r="AQ383" s="51" t="str">
        <f>IF(XT!$P383&gt;0,AP383,"")</f>
        <v/>
      </c>
      <c r="AR383" s="51" t="str">
        <f>IF(XT!$P383=0,AP383,"")</f>
        <v/>
      </c>
      <c r="AS383">
        <f>SUMPRODUCT((MONTH(CHOOSE({1,2,3,4},XT!U383,XT!Y383,XT!AC383,XT!AG383))=12)*(CHOOSE({1,2,3,4},XT!X383,XT!AB383,XT!AF383,XT!AJ383)))</f>
        <v>0</v>
      </c>
      <c r="AT383" t="str">
        <f>IFERROR(INDEX(CHOOSE({1,2,3,4}, DAY(XT!U383), DAY(XT!Y383), DAY(XT!AC383), DAY(XT!AG383)), MATCH(1, INDEX(--(MONTH(CHOOSE({1,2,3,4}, XT!U383,XT!Y383,XT!AC383,XT!AG383))=12), 0), 0)), "")</f>
        <v/>
      </c>
      <c r="AU383" s="51" t="str">
        <f>IF(XT!$P383&gt;0,AT383,"")</f>
        <v/>
      </c>
      <c r="AV383" s="51" t="str">
        <f>IF(XT!$P383=0,AT383,"")</f>
        <v/>
      </c>
    </row>
    <row r="384" spans="1:48">
      <c r="A384">
        <f>SUMPRODUCT((MONTH(CHOOSE({1,2,3,4},XT!U384,XT!Y384,XT!AC384,XT!AG384))=1)*(CHOOSE({1,2,3,4},XT!X384,XT!AB384,XT!AF384,XT!AJ384)))</f>
        <v>0</v>
      </c>
      <c r="B384">
        <f>IFERROR(INDEX(CHOOSE({1,2,3,4}, DAY(XT!U384), DAY(XT!Y384), DAY(XT!AC384), DAY(XT!AG384)), MATCH(1, INDEX(--(MONTH(CHOOSE({1,2,3,4}, XT!U384,XT!Y384,XT!AC384,XT!AG384))=1), 0), 0)), "")</f>
        <v>0</v>
      </c>
      <c r="C384" s="51" t="str">
        <f>IF(XT!$P384&gt;0,B384,"")</f>
        <v/>
      </c>
      <c r="D384" s="51">
        <f>IF(XT!$P384=0,B384,"")</f>
        <v>0</v>
      </c>
      <c r="E384">
        <f>SUMPRODUCT((MONTH(CHOOSE({1,2,3,4},XT!U384,XT!Y384,XT!AC384,XT!AG384))=2)*(CHOOSE({1,2,3,4},XT!X384,XT!AB384,XT!AF384,XT!AJ384)))</f>
        <v>0</v>
      </c>
      <c r="F384" t="str">
        <f>IFERROR(INDEX(CHOOSE({1,2,3,4}, DAY(XT!U384), DAY(XT!Y384), DAY(XT!AC384), DAY(XT!AG384)), MATCH(1, INDEX(--(MONTH(CHOOSE({1,2,3,4}, XT!U384,XT!Y384,XT!AC384,XT!AG384))=2), 0), 0)), "")</f>
        <v/>
      </c>
      <c r="G384" s="51" t="str">
        <f>IF(XT!$P384&gt;0,F384,"")</f>
        <v/>
      </c>
      <c r="H384" s="51" t="str">
        <f>IF(XT!$P384=0,F384,"")</f>
        <v/>
      </c>
      <c r="I384">
        <f>SUMPRODUCT((MONTH(CHOOSE({1,2,3,4},XT!U384,XT!Y384,XT!AC384,XT!AG384))=3)*(CHOOSE({1,2,3,4},XT!X384,XT!AB384,XT!AF384,XT!AJ384)))</f>
        <v>0</v>
      </c>
      <c r="J384" t="str">
        <f>IFERROR(INDEX(CHOOSE({1,2,3,4}, DAY(XT!U384), DAY(XT!Y384), DAY(XT!AC384), DAY(XT!AG384)), MATCH(1, INDEX(--(MONTH(CHOOSE({1,2,3,4}, XT!U384,XT!Y384,XT!AC384,XT!AG384))=3), 0), 0)), "")</f>
        <v/>
      </c>
      <c r="K384" s="51" t="str">
        <f>IF(XT!$P384&gt;0,J384,"")</f>
        <v/>
      </c>
      <c r="L384" s="51" t="str">
        <f>IF(XT!$P384=0,J384,"")</f>
        <v/>
      </c>
      <c r="M384">
        <f>SUMPRODUCT((MONTH(CHOOSE({1,2,3,4},XT!U384,XT!Y384,XT!AC384,XT!AG384))=4)*(CHOOSE({1,2,3,4},XT!X384,XT!AB384,XT!AF384,XT!AJ384)))</f>
        <v>0</v>
      </c>
      <c r="N384" t="str">
        <f>IFERROR(INDEX(CHOOSE({1,2,3,4}, DAY(XT!U384), DAY(XT!Y384), DAY(XT!AC384), DAY(XT!AG384)), MATCH(1, INDEX(--(MONTH(CHOOSE({1,2,3,4}, XT!U384,XT!Y384,XT!AC384,XT!AG384))=4), 0), 0)), "")</f>
        <v/>
      </c>
      <c r="O384" s="51" t="str">
        <f>IF(XT!$P384&gt;0,N384,"")</f>
        <v/>
      </c>
      <c r="P384" s="51" t="str">
        <f>IF(XT!$P384=0,N384,"")</f>
        <v/>
      </c>
      <c r="Q384">
        <f>SUMPRODUCT((MONTH(CHOOSE({1,2,3,4},XT!U384,XT!Y384,XT!AC384,XT!AG384))=5)*(CHOOSE({1,2,3,4},XT!X384,XT!AB384,XT!AF384,XT!AJ384)))</f>
        <v>0</v>
      </c>
      <c r="R384" t="str">
        <f>IFERROR(INDEX(CHOOSE({1,2,3,4}, DAY(XT!U384), DAY(XT!Y384), DAY(XT!AC384), DAY(XT!AG384)), MATCH(1, INDEX(--(MONTH(CHOOSE({1,2,3,4}, XT!U384,XT!Y384,XT!AC384,XT!AG384))=5), 0), 0)), "")</f>
        <v/>
      </c>
      <c r="S384" s="51" t="str">
        <f>IF(XT!$P384&gt;0,R384,"")</f>
        <v/>
      </c>
      <c r="T384" s="51" t="str">
        <f>IF(XT!$P384=0,R384,"")</f>
        <v/>
      </c>
      <c r="U384">
        <f>SUMPRODUCT((MONTH(CHOOSE({1,2,3,4},XT!U384,XT!Y384,XT!AC384,XT!AG384))=6)*(CHOOSE({1,2,3,4},XT!X384,XT!AB384,XT!AF384,XT!AJ384)))</f>
        <v>0</v>
      </c>
      <c r="V384" t="str">
        <f>IFERROR(INDEX(CHOOSE({1,2,3,4}, DAY(XT!U384), DAY(XT!Y384), DAY(XT!AC384), DAY(XT!AG384)), MATCH(1, INDEX(--(MONTH(CHOOSE({1,2,3,4}, XT!U384,XT!Y384,XT!AC384,XT!AG384))=6), 0), 0)), "")</f>
        <v/>
      </c>
      <c r="W384" s="51" t="str">
        <f>IF(XT!$P384&gt;0,V384,"")</f>
        <v/>
      </c>
      <c r="X384" s="51" t="str">
        <f>IF(XT!$P384=0,V384,"")</f>
        <v/>
      </c>
      <c r="Y384">
        <f>SUMPRODUCT((MONTH(CHOOSE({1,2,3,4},XT!U384,XT!Y384,XT!AC384,XT!AG384))=7)*(CHOOSE({1,2,3,4},XT!X384,XT!AB384,XT!AF384,XT!AJ384)))</f>
        <v>0</v>
      </c>
      <c r="Z384" t="str">
        <f>IFERROR(INDEX(CHOOSE({1,2,3,4}, DAY(XT!U384), DAY(XT!Y384), DAY(XT!AC384), DAY(XT!AG384)), MATCH(1, INDEX(--(MONTH(CHOOSE({1,2,3,4}, XT!U384,XT!Y384,XT!AC384,XT!AG384))=7), 0), 0)), "")</f>
        <v/>
      </c>
      <c r="AA384" s="51" t="str">
        <f>IF(XT!$P384&gt;0,Z384,"")</f>
        <v/>
      </c>
      <c r="AB384" s="51" t="str">
        <f>IF(XT!$P384=0,Z384,"")</f>
        <v/>
      </c>
      <c r="AC384">
        <f>SUMPRODUCT((MONTH(CHOOSE({1,2,3,4},XT!U384,XT!Y384,XT!AC384,XT!AG384))=8)*(CHOOSE({1,2,3,4},XT!X384,XT!AB384,XT!AF384,XT!AJ384)))</f>
        <v>0</v>
      </c>
      <c r="AD384" t="str">
        <f>IFERROR(INDEX(CHOOSE({1,2,3,4}, DAY(XT!U384), DAY(XT!Y384), DAY(XT!AC384), DAY(XT!AG384)), MATCH(1, INDEX(--(MONTH(CHOOSE({1,2,3,4}, XT!U384,XT!Y384,XT!AC384,XT!AG384))=8), 0), 0)), "")</f>
        <v/>
      </c>
      <c r="AE384" s="51" t="str">
        <f>IF(XT!$P384&gt;0,AD384,"")</f>
        <v/>
      </c>
      <c r="AF384" s="51" t="str">
        <f>IF(XT!$P384=0,AD384,"")</f>
        <v/>
      </c>
      <c r="AG384">
        <f>SUMPRODUCT((MONTH(CHOOSE({1,2,3,4},XT!U384,XT!Y384,XT!AC384,XT!AG384))=9)*(CHOOSE({1,2,3,4},XT!X384,XT!AB384,XT!AF384,XT!AJ384)))</f>
        <v>0</v>
      </c>
      <c r="AH384" t="str">
        <f>IFERROR(INDEX(CHOOSE({1,2,3,4}, DAY(XT!U384), DAY(XT!Y384), DAY(XT!AC384), DAY(XT!AG384)), MATCH(1, INDEX(--(MONTH(CHOOSE({1,2,3,4}, XT!U384,XT!Y384,XT!AC384,XT!AG384))=9), 0), 0)), "")</f>
        <v/>
      </c>
      <c r="AI384" s="51" t="str">
        <f>IF(XT!$P384&gt;0,AH384,"")</f>
        <v/>
      </c>
      <c r="AJ384" s="51" t="str">
        <f>IF(XT!$P384=0,AH384,"")</f>
        <v/>
      </c>
      <c r="AK384">
        <f>SUMPRODUCT((MONTH(CHOOSE({1,2,3,4},XT!U384,XT!Y384,XT!AC384,XT!AG384))=10)*(CHOOSE({1,2,3,4},XT!X384,XT!AB384,XT!AF384,XT!AJ384)))</f>
        <v>0</v>
      </c>
      <c r="AL384" t="str">
        <f>IFERROR(INDEX(CHOOSE({1,2,3,4}, DAY(XT!U384), DAY(XT!Y384), DAY(XT!AC384), DAY(XT!AG384)), MATCH(1, INDEX(--(MONTH(CHOOSE({1,2,3,4}, XT!U384,XT!Y384,XT!AC384,XT!AG384))=10), 0), 0)), "")</f>
        <v/>
      </c>
      <c r="AM384" s="51" t="str">
        <f>IF(XT!$P384&gt;0,AL384,"")</f>
        <v/>
      </c>
      <c r="AN384" s="51" t="str">
        <f>IF(XT!$P384=0,AL384,"")</f>
        <v/>
      </c>
      <c r="AO384">
        <f>SUMPRODUCT((MONTH(CHOOSE({1,2,3,4},XT!U384,XT!Y384,XT!AC384,XT!AG384))=11)*(CHOOSE({1,2,3,4},XT!X384,XT!AB384,XT!AF384,XT!AJ384)))</f>
        <v>0</v>
      </c>
      <c r="AP384" t="str">
        <f>IFERROR(INDEX(CHOOSE({1,2,3,4}, DAY(XT!U384), DAY(XT!Y384), DAY(XT!AC384), DAY(XT!AG384)), MATCH(1, INDEX(--(MONTH(CHOOSE({1,2,3,4}, XT!U384,XT!Y384,XT!AC384,XT!AG384))=11), 0), 0)), "")</f>
        <v/>
      </c>
      <c r="AQ384" s="51" t="str">
        <f>IF(XT!$P384&gt;0,AP384,"")</f>
        <v/>
      </c>
      <c r="AR384" s="51" t="str">
        <f>IF(XT!$P384=0,AP384,"")</f>
        <v/>
      </c>
      <c r="AS384">
        <f>SUMPRODUCT((MONTH(CHOOSE({1,2,3,4},XT!U384,XT!Y384,XT!AC384,XT!AG384))=12)*(CHOOSE({1,2,3,4},XT!X384,XT!AB384,XT!AF384,XT!AJ384)))</f>
        <v>0</v>
      </c>
      <c r="AT384" t="str">
        <f>IFERROR(INDEX(CHOOSE({1,2,3,4}, DAY(XT!U384), DAY(XT!Y384), DAY(XT!AC384), DAY(XT!AG384)), MATCH(1, INDEX(--(MONTH(CHOOSE({1,2,3,4}, XT!U384,XT!Y384,XT!AC384,XT!AG384))=12), 0), 0)), "")</f>
        <v/>
      </c>
      <c r="AU384" s="51" t="str">
        <f>IF(XT!$P384&gt;0,AT384,"")</f>
        <v/>
      </c>
      <c r="AV384" s="51" t="str">
        <f>IF(XT!$P384=0,AT384,"")</f>
        <v/>
      </c>
    </row>
    <row r="385" spans="1:48">
      <c r="A385">
        <f>SUMPRODUCT((MONTH(CHOOSE({1,2,3,4},XT!U385,XT!Y385,XT!AC385,XT!AG385))=1)*(CHOOSE({1,2,3,4},XT!X385,XT!AB385,XT!AF385,XT!AJ385)))</f>
        <v>0</v>
      </c>
      <c r="B385">
        <f>IFERROR(INDEX(CHOOSE({1,2,3,4}, DAY(XT!U385), DAY(XT!Y385), DAY(XT!AC385), DAY(XT!AG385)), MATCH(1, INDEX(--(MONTH(CHOOSE({1,2,3,4}, XT!U385,XT!Y385,XT!AC385,XT!AG385))=1), 0), 0)), "")</f>
        <v>0</v>
      </c>
      <c r="C385" s="51" t="str">
        <f>IF(XT!$P385&gt;0,B385,"")</f>
        <v/>
      </c>
      <c r="D385" s="51">
        <f>IF(XT!$P385=0,B385,"")</f>
        <v>0</v>
      </c>
      <c r="E385">
        <f>SUMPRODUCT((MONTH(CHOOSE({1,2,3,4},XT!U385,XT!Y385,XT!AC385,XT!AG385))=2)*(CHOOSE({1,2,3,4},XT!X385,XT!AB385,XT!AF385,XT!AJ385)))</f>
        <v>0</v>
      </c>
      <c r="F385" t="str">
        <f>IFERROR(INDEX(CHOOSE({1,2,3,4}, DAY(XT!U385), DAY(XT!Y385), DAY(XT!AC385), DAY(XT!AG385)), MATCH(1, INDEX(--(MONTH(CHOOSE({1,2,3,4}, XT!U385,XT!Y385,XT!AC385,XT!AG385))=2), 0), 0)), "")</f>
        <v/>
      </c>
      <c r="G385" s="51" t="str">
        <f>IF(XT!$P385&gt;0,F385,"")</f>
        <v/>
      </c>
      <c r="H385" s="51" t="str">
        <f>IF(XT!$P385=0,F385,"")</f>
        <v/>
      </c>
      <c r="I385">
        <f>SUMPRODUCT((MONTH(CHOOSE({1,2,3,4},XT!U385,XT!Y385,XT!AC385,XT!AG385))=3)*(CHOOSE({1,2,3,4},XT!X385,XT!AB385,XT!AF385,XT!AJ385)))</f>
        <v>0</v>
      </c>
      <c r="J385" t="str">
        <f>IFERROR(INDEX(CHOOSE({1,2,3,4}, DAY(XT!U385), DAY(XT!Y385), DAY(XT!AC385), DAY(XT!AG385)), MATCH(1, INDEX(--(MONTH(CHOOSE({1,2,3,4}, XT!U385,XT!Y385,XT!AC385,XT!AG385))=3), 0), 0)), "")</f>
        <v/>
      </c>
      <c r="K385" s="51" t="str">
        <f>IF(XT!$P385&gt;0,J385,"")</f>
        <v/>
      </c>
      <c r="L385" s="51" t="str">
        <f>IF(XT!$P385=0,J385,"")</f>
        <v/>
      </c>
      <c r="M385">
        <f>SUMPRODUCT((MONTH(CHOOSE({1,2,3,4},XT!U385,XT!Y385,XT!AC385,XT!AG385))=4)*(CHOOSE({1,2,3,4},XT!X385,XT!AB385,XT!AF385,XT!AJ385)))</f>
        <v>0</v>
      </c>
      <c r="N385" t="str">
        <f>IFERROR(INDEX(CHOOSE({1,2,3,4}, DAY(XT!U385), DAY(XT!Y385), DAY(XT!AC385), DAY(XT!AG385)), MATCH(1, INDEX(--(MONTH(CHOOSE({1,2,3,4}, XT!U385,XT!Y385,XT!AC385,XT!AG385))=4), 0), 0)), "")</f>
        <v/>
      </c>
      <c r="O385" s="51" t="str">
        <f>IF(XT!$P385&gt;0,N385,"")</f>
        <v/>
      </c>
      <c r="P385" s="51" t="str">
        <f>IF(XT!$P385=0,N385,"")</f>
        <v/>
      </c>
      <c r="Q385">
        <f>SUMPRODUCT((MONTH(CHOOSE({1,2,3,4},XT!U385,XT!Y385,XT!AC385,XT!AG385))=5)*(CHOOSE({1,2,3,4},XT!X385,XT!AB385,XT!AF385,XT!AJ385)))</f>
        <v>0</v>
      </c>
      <c r="R385" t="str">
        <f>IFERROR(INDEX(CHOOSE({1,2,3,4}, DAY(XT!U385), DAY(XT!Y385), DAY(XT!AC385), DAY(XT!AG385)), MATCH(1, INDEX(--(MONTH(CHOOSE({1,2,3,4}, XT!U385,XT!Y385,XT!AC385,XT!AG385))=5), 0), 0)), "")</f>
        <v/>
      </c>
      <c r="S385" s="51" t="str">
        <f>IF(XT!$P385&gt;0,R385,"")</f>
        <v/>
      </c>
      <c r="T385" s="51" t="str">
        <f>IF(XT!$P385=0,R385,"")</f>
        <v/>
      </c>
      <c r="U385">
        <f>SUMPRODUCT((MONTH(CHOOSE({1,2,3,4},XT!U385,XT!Y385,XT!AC385,XT!AG385))=6)*(CHOOSE({1,2,3,4},XT!X385,XT!AB385,XT!AF385,XT!AJ385)))</f>
        <v>0</v>
      </c>
      <c r="V385" t="str">
        <f>IFERROR(INDEX(CHOOSE({1,2,3,4}, DAY(XT!U385), DAY(XT!Y385), DAY(XT!AC385), DAY(XT!AG385)), MATCH(1, INDEX(--(MONTH(CHOOSE({1,2,3,4}, XT!U385,XT!Y385,XT!AC385,XT!AG385))=6), 0), 0)), "")</f>
        <v/>
      </c>
      <c r="W385" s="51" t="str">
        <f>IF(XT!$P385&gt;0,V385,"")</f>
        <v/>
      </c>
      <c r="X385" s="51" t="str">
        <f>IF(XT!$P385=0,V385,"")</f>
        <v/>
      </c>
      <c r="Y385">
        <f>SUMPRODUCT((MONTH(CHOOSE({1,2,3,4},XT!U385,XT!Y385,XT!AC385,XT!AG385))=7)*(CHOOSE({1,2,3,4},XT!X385,XT!AB385,XT!AF385,XT!AJ385)))</f>
        <v>0</v>
      </c>
      <c r="Z385" t="str">
        <f>IFERROR(INDEX(CHOOSE({1,2,3,4}, DAY(XT!U385), DAY(XT!Y385), DAY(XT!AC385), DAY(XT!AG385)), MATCH(1, INDEX(--(MONTH(CHOOSE({1,2,3,4}, XT!U385,XT!Y385,XT!AC385,XT!AG385))=7), 0), 0)), "")</f>
        <v/>
      </c>
      <c r="AA385" s="51" t="str">
        <f>IF(XT!$P385&gt;0,Z385,"")</f>
        <v/>
      </c>
      <c r="AB385" s="51" t="str">
        <f>IF(XT!$P385=0,Z385,"")</f>
        <v/>
      </c>
      <c r="AC385">
        <f>SUMPRODUCT((MONTH(CHOOSE({1,2,3,4},XT!U385,XT!Y385,XT!AC385,XT!AG385))=8)*(CHOOSE({1,2,3,4},XT!X385,XT!AB385,XT!AF385,XT!AJ385)))</f>
        <v>0</v>
      </c>
      <c r="AD385" t="str">
        <f>IFERROR(INDEX(CHOOSE({1,2,3,4}, DAY(XT!U385), DAY(XT!Y385), DAY(XT!AC385), DAY(XT!AG385)), MATCH(1, INDEX(--(MONTH(CHOOSE({1,2,3,4}, XT!U385,XT!Y385,XT!AC385,XT!AG385))=8), 0), 0)), "")</f>
        <v/>
      </c>
      <c r="AE385" s="51" t="str">
        <f>IF(XT!$P385&gt;0,AD385,"")</f>
        <v/>
      </c>
      <c r="AF385" s="51" t="str">
        <f>IF(XT!$P385=0,AD385,"")</f>
        <v/>
      </c>
      <c r="AG385">
        <f>SUMPRODUCT((MONTH(CHOOSE({1,2,3,4},XT!U385,XT!Y385,XT!AC385,XT!AG385))=9)*(CHOOSE({1,2,3,4},XT!X385,XT!AB385,XT!AF385,XT!AJ385)))</f>
        <v>0</v>
      </c>
      <c r="AH385" t="str">
        <f>IFERROR(INDEX(CHOOSE({1,2,3,4}, DAY(XT!U385), DAY(XT!Y385), DAY(XT!AC385), DAY(XT!AG385)), MATCH(1, INDEX(--(MONTH(CHOOSE({1,2,3,4}, XT!U385,XT!Y385,XT!AC385,XT!AG385))=9), 0), 0)), "")</f>
        <v/>
      </c>
      <c r="AI385" s="51" t="str">
        <f>IF(XT!$P385&gt;0,AH385,"")</f>
        <v/>
      </c>
      <c r="AJ385" s="51" t="str">
        <f>IF(XT!$P385=0,AH385,"")</f>
        <v/>
      </c>
      <c r="AK385">
        <f>SUMPRODUCT((MONTH(CHOOSE({1,2,3,4},XT!U385,XT!Y385,XT!AC385,XT!AG385))=10)*(CHOOSE({1,2,3,4},XT!X385,XT!AB385,XT!AF385,XT!AJ385)))</f>
        <v>0</v>
      </c>
      <c r="AL385" t="str">
        <f>IFERROR(INDEX(CHOOSE({1,2,3,4}, DAY(XT!U385), DAY(XT!Y385), DAY(XT!AC385), DAY(XT!AG385)), MATCH(1, INDEX(--(MONTH(CHOOSE({1,2,3,4}, XT!U385,XT!Y385,XT!AC385,XT!AG385))=10), 0), 0)), "")</f>
        <v/>
      </c>
      <c r="AM385" s="51" t="str">
        <f>IF(XT!$P385&gt;0,AL385,"")</f>
        <v/>
      </c>
      <c r="AN385" s="51" t="str">
        <f>IF(XT!$P385=0,AL385,"")</f>
        <v/>
      </c>
      <c r="AO385">
        <f>SUMPRODUCT((MONTH(CHOOSE({1,2,3,4},XT!U385,XT!Y385,XT!AC385,XT!AG385))=11)*(CHOOSE({1,2,3,4},XT!X385,XT!AB385,XT!AF385,XT!AJ385)))</f>
        <v>0</v>
      </c>
      <c r="AP385" t="str">
        <f>IFERROR(INDEX(CHOOSE({1,2,3,4}, DAY(XT!U385), DAY(XT!Y385), DAY(XT!AC385), DAY(XT!AG385)), MATCH(1, INDEX(--(MONTH(CHOOSE({1,2,3,4}, XT!U385,XT!Y385,XT!AC385,XT!AG385))=11), 0), 0)), "")</f>
        <v/>
      </c>
      <c r="AQ385" s="51" t="str">
        <f>IF(XT!$P385&gt;0,AP385,"")</f>
        <v/>
      </c>
      <c r="AR385" s="51" t="str">
        <f>IF(XT!$P385=0,AP385,"")</f>
        <v/>
      </c>
      <c r="AS385">
        <f>SUMPRODUCT((MONTH(CHOOSE({1,2,3,4},XT!U385,XT!Y385,XT!AC385,XT!AG385))=12)*(CHOOSE({1,2,3,4},XT!X385,XT!AB385,XT!AF385,XT!AJ385)))</f>
        <v>0</v>
      </c>
      <c r="AT385" t="str">
        <f>IFERROR(INDEX(CHOOSE({1,2,3,4}, DAY(XT!U385), DAY(XT!Y385), DAY(XT!AC385), DAY(XT!AG385)), MATCH(1, INDEX(--(MONTH(CHOOSE({1,2,3,4}, XT!U385,XT!Y385,XT!AC385,XT!AG385))=12), 0), 0)), "")</f>
        <v/>
      </c>
      <c r="AU385" s="51" t="str">
        <f>IF(XT!$P385&gt;0,AT385,"")</f>
        <v/>
      </c>
      <c r="AV385" s="51" t="str">
        <f>IF(XT!$P385=0,AT385,"")</f>
        <v/>
      </c>
    </row>
    <row r="386" spans="1:48">
      <c r="A386">
        <f>SUMPRODUCT((MONTH(CHOOSE({1,2,3,4},XT!U386,XT!Y386,XT!AC386,XT!AG386))=1)*(CHOOSE({1,2,3,4},XT!X386,XT!AB386,XT!AF386,XT!AJ386)))</f>
        <v>0</v>
      </c>
      <c r="B386">
        <f>IFERROR(INDEX(CHOOSE({1,2,3,4}, DAY(XT!U386), DAY(XT!Y386), DAY(XT!AC386), DAY(XT!AG386)), MATCH(1, INDEX(--(MONTH(CHOOSE({1,2,3,4}, XT!U386,XT!Y386,XT!AC386,XT!AG386))=1), 0), 0)), "")</f>
        <v>0</v>
      </c>
      <c r="C386" s="51" t="str">
        <f>IF(XT!$P386&gt;0,B386,"")</f>
        <v/>
      </c>
      <c r="D386" s="51">
        <f>IF(XT!$P386=0,B386,"")</f>
        <v>0</v>
      </c>
      <c r="E386">
        <f>SUMPRODUCT((MONTH(CHOOSE({1,2,3,4},XT!U386,XT!Y386,XT!AC386,XT!AG386))=2)*(CHOOSE({1,2,3,4},XT!X386,XT!AB386,XT!AF386,XT!AJ386)))</f>
        <v>0</v>
      </c>
      <c r="F386" t="str">
        <f>IFERROR(INDEX(CHOOSE({1,2,3,4}, DAY(XT!U386), DAY(XT!Y386), DAY(XT!AC386), DAY(XT!AG386)), MATCH(1, INDEX(--(MONTH(CHOOSE({1,2,3,4}, XT!U386,XT!Y386,XT!AC386,XT!AG386))=2), 0), 0)), "")</f>
        <v/>
      </c>
      <c r="G386" s="51" t="str">
        <f>IF(XT!$P386&gt;0,F386,"")</f>
        <v/>
      </c>
      <c r="H386" s="51" t="str">
        <f>IF(XT!$P386=0,F386,"")</f>
        <v/>
      </c>
      <c r="I386">
        <f>SUMPRODUCT((MONTH(CHOOSE({1,2,3,4},XT!U386,XT!Y386,XT!AC386,XT!AG386))=3)*(CHOOSE({1,2,3,4},XT!X386,XT!AB386,XT!AF386,XT!AJ386)))</f>
        <v>0</v>
      </c>
      <c r="J386" t="str">
        <f>IFERROR(INDEX(CHOOSE({1,2,3,4}, DAY(XT!U386), DAY(XT!Y386), DAY(XT!AC386), DAY(XT!AG386)), MATCH(1, INDEX(--(MONTH(CHOOSE({1,2,3,4}, XT!U386,XT!Y386,XT!AC386,XT!AG386))=3), 0), 0)), "")</f>
        <v/>
      </c>
      <c r="K386" s="51" t="str">
        <f>IF(XT!$P386&gt;0,J386,"")</f>
        <v/>
      </c>
      <c r="L386" s="51" t="str">
        <f>IF(XT!$P386=0,J386,"")</f>
        <v/>
      </c>
      <c r="M386">
        <f>SUMPRODUCT((MONTH(CHOOSE({1,2,3,4},XT!U386,XT!Y386,XT!AC386,XT!AG386))=4)*(CHOOSE({1,2,3,4},XT!X386,XT!AB386,XT!AF386,XT!AJ386)))</f>
        <v>0</v>
      </c>
      <c r="N386" t="str">
        <f>IFERROR(INDEX(CHOOSE({1,2,3,4}, DAY(XT!U386), DAY(XT!Y386), DAY(XT!AC386), DAY(XT!AG386)), MATCH(1, INDEX(--(MONTH(CHOOSE({1,2,3,4}, XT!U386,XT!Y386,XT!AC386,XT!AG386))=4), 0), 0)), "")</f>
        <v/>
      </c>
      <c r="O386" s="51" t="str">
        <f>IF(XT!$P386&gt;0,N386,"")</f>
        <v/>
      </c>
      <c r="P386" s="51" t="str">
        <f>IF(XT!$P386=0,N386,"")</f>
        <v/>
      </c>
      <c r="Q386">
        <f>SUMPRODUCT((MONTH(CHOOSE({1,2,3,4},XT!U386,XT!Y386,XT!AC386,XT!AG386))=5)*(CHOOSE({1,2,3,4},XT!X386,XT!AB386,XT!AF386,XT!AJ386)))</f>
        <v>0</v>
      </c>
      <c r="R386" t="str">
        <f>IFERROR(INDEX(CHOOSE({1,2,3,4}, DAY(XT!U386), DAY(XT!Y386), DAY(XT!AC386), DAY(XT!AG386)), MATCH(1, INDEX(--(MONTH(CHOOSE({1,2,3,4}, XT!U386,XT!Y386,XT!AC386,XT!AG386))=5), 0), 0)), "")</f>
        <v/>
      </c>
      <c r="S386" s="51" t="str">
        <f>IF(XT!$P386&gt;0,R386,"")</f>
        <v/>
      </c>
      <c r="T386" s="51" t="str">
        <f>IF(XT!$P386=0,R386,"")</f>
        <v/>
      </c>
      <c r="U386">
        <f>SUMPRODUCT((MONTH(CHOOSE({1,2,3,4},XT!U386,XT!Y386,XT!AC386,XT!AG386))=6)*(CHOOSE({1,2,3,4},XT!X386,XT!AB386,XT!AF386,XT!AJ386)))</f>
        <v>0</v>
      </c>
      <c r="V386" t="str">
        <f>IFERROR(INDEX(CHOOSE({1,2,3,4}, DAY(XT!U386), DAY(XT!Y386), DAY(XT!AC386), DAY(XT!AG386)), MATCH(1, INDEX(--(MONTH(CHOOSE({1,2,3,4}, XT!U386,XT!Y386,XT!AC386,XT!AG386))=6), 0), 0)), "")</f>
        <v/>
      </c>
      <c r="W386" s="51" t="str">
        <f>IF(XT!$P386&gt;0,V386,"")</f>
        <v/>
      </c>
      <c r="X386" s="51" t="str">
        <f>IF(XT!$P386=0,V386,"")</f>
        <v/>
      </c>
      <c r="Y386">
        <f>SUMPRODUCT((MONTH(CHOOSE({1,2,3,4},XT!U386,XT!Y386,XT!AC386,XT!AG386))=7)*(CHOOSE({1,2,3,4},XT!X386,XT!AB386,XT!AF386,XT!AJ386)))</f>
        <v>0</v>
      </c>
      <c r="Z386" t="str">
        <f>IFERROR(INDEX(CHOOSE({1,2,3,4}, DAY(XT!U386), DAY(XT!Y386), DAY(XT!AC386), DAY(XT!AG386)), MATCH(1, INDEX(--(MONTH(CHOOSE({1,2,3,4}, XT!U386,XT!Y386,XT!AC386,XT!AG386))=7), 0), 0)), "")</f>
        <v/>
      </c>
      <c r="AA386" s="51" t="str">
        <f>IF(XT!$P386&gt;0,Z386,"")</f>
        <v/>
      </c>
      <c r="AB386" s="51" t="str">
        <f>IF(XT!$P386=0,Z386,"")</f>
        <v/>
      </c>
      <c r="AC386">
        <f>SUMPRODUCT((MONTH(CHOOSE({1,2,3,4},XT!U386,XT!Y386,XT!AC386,XT!AG386))=8)*(CHOOSE({1,2,3,4},XT!X386,XT!AB386,XT!AF386,XT!AJ386)))</f>
        <v>0</v>
      </c>
      <c r="AD386" t="str">
        <f>IFERROR(INDEX(CHOOSE({1,2,3,4}, DAY(XT!U386), DAY(XT!Y386), DAY(XT!AC386), DAY(XT!AG386)), MATCH(1, INDEX(--(MONTH(CHOOSE({1,2,3,4}, XT!U386,XT!Y386,XT!AC386,XT!AG386))=8), 0), 0)), "")</f>
        <v/>
      </c>
      <c r="AE386" s="51" t="str">
        <f>IF(XT!$P386&gt;0,AD386,"")</f>
        <v/>
      </c>
      <c r="AF386" s="51" t="str">
        <f>IF(XT!$P386=0,AD386,"")</f>
        <v/>
      </c>
      <c r="AG386">
        <f>SUMPRODUCT((MONTH(CHOOSE({1,2,3,4},XT!U386,XT!Y386,XT!AC386,XT!AG386))=9)*(CHOOSE({1,2,3,4},XT!X386,XT!AB386,XT!AF386,XT!AJ386)))</f>
        <v>0</v>
      </c>
      <c r="AH386" t="str">
        <f>IFERROR(INDEX(CHOOSE({1,2,3,4}, DAY(XT!U386), DAY(XT!Y386), DAY(XT!AC386), DAY(XT!AG386)), MATCH(1, INDEX(--(MONTH(CHOOSE({1,2,3,4}, XT!U386,XT!Y386,XT!AC386,XT!AG386))=9), 0), 0)), "")</f>
        <v/>
      </c>
      <c r="AI386" s="51" t="str">
        <f>IF(XT!$P386&gt;0,AH386,"")</f>
        <v/>
      </c>
      <c r="AJ386" s="51" t="str">
        <f>IF(XT!$P386=0,AH386,"")</f>
        <v/>
      </c>
      <c r="AK386">
        <f>SUMPRODUCT((MONTH(CHOOSE({1,2,3,4},XT!U386,XT!Y386,XT!AC386,XT!AG386))=10)*(CHOOSE({1,2,3,4},XT!X386,XT!AB386,XT!AF386,XT!AJ386)))</f>
        <v>0</v>
      </c>
      <c r="AL386" t="str">
        <f>IFERROR(INDEX(CHOOSE({1,2,3,4}, DAY(XT!U386), DAY(XT!Y386), DAY(XT!AC386), DAY(XT!AG386)), MATCH(1, INDEX(--(MONTH(CHOOSE({1,2,3,4}, XT!U386,XT!Y386,XT!AC386,XT!AG386))=10), 0), 0)), "")</f>
        <v/>
      </c>
      <c r="AM386" s="51" t="str">
        <f>IF(XT!$P386&gt;0,AL386,"")</f>
        <v/>
      </c>
      <c r="AN386" s="51" t="str">
        <f>IF(XT!$P386=0,AL386,"")</f>
        <v/>
      </c>
      <c r="AO386">
        <f>SUMPRODUCT((MONTH(CHOOSE({1,2,3,4},XT!U386,XT!Y386,XT!AC386,XT!AG386))=11)*(CHOOSE({1,2,3,4},XT!X386,XT!AB386,XT!AF386,XT!AJ386)))</f>
        <v>0</v>
      </c>
      <c r="AP386" t="str">
        <f>IFERROR(INDEX(CHOOSE({1,2,3,4}, DAY(XT!U386), DAY(XT!Y386), DAY(XT!AC386), DAY(XT!AG386)), MATCH(1, INDEX(--(MONTH(CHOOSE({1,2,3,4}, XT!U386,XT!Y386,XT!AC386,XT!AG386))=11), 0), 0)), "")</f>
        <v/>
      </c>
      <c r="AQ386" s="51" t="str">
        <f>IF(XT!$P386&gt;0,AP386,"")</f>
        <v/>
      </c>
      <c r="AR386" s="51" t="str">
        <f>IF(XT!$P386=0,AP386,"")</f>
        <v/>
      </c>
      <c r="AS386">
        <f>SUMPRODUCT((MONTH(CHOOSE({1,2,3,4},XT!U386,XT!Y386,XT!AC386,XT!AG386))=12)*(CHOOSE({1,2,3,4},XT!X386,XT!AB386,XT!AF386,XT!AJ386)))</f>
        <v>0</v>
      </c>
      <c r="AT386" t="str">
        <f>IFERROR(INDEX(CHOOSE({1,2,3,4}, DAY(XT!U386), DAY(XT!Y386), DAY(XT!AC386), DAY(XT!AG386)), MATCH(1, INDEX(--(MONTH(CHOOSE({1,2,3,4}, XT!U386,XT!Y386,XT!AC386,XT!AG386))=12), 0), 0)), "")</f>
        <v/>
      </c>
      <c r="AU386" s="51" t="str">
        <f>IF(XT!$P386&gt;0,AT386,"")</f>
        <v/>
      </c>
      <c r="AV386" s="51" t="str">
        <f>IF(XT!$P386=0,AT386,"")</f>
        <v/>
      </c>
    </row>
    <row r="387" spans="1:48">
      <c r="A387">
        <f>SUMPRODUCT((MONTH(CHOOSE({1,2,3,4},XT!U387,XT!Y387,XT!AC387,XT!AG387))=1)*(CHOOSE({1,2,3,4},XT!X387,XT!AB387,XT!AF387,XT!AJ387)))</f>
        <v>0</v>
      </c>
      <c r="B387">
        <f>IFERROR(INDEX(CHOOSE({1,2,3,4}, DAY(XT!U387), DAY(XT!Y387), DAY(XT!AC387), DAY(XT!AG387)), MATCH(1, INDEX(--(MONTH(CHOOSE({1,2,3,4}, XT!U387,XT!Y387,XT!AC387,XT!AG387))=1), 0), 0)), "")</f>
        <v>0</v>
      </c>
      <c r="C387" s="51" t="str">
        <f>IF(XT!$P387&gt;0,B387,"")</f>
        <v/>
      </c>
      <c r="D387" s="51">
        <f>IF(XT!$P387=0,B387,"")</f>
        <v>0</v>
      </c>
      <c r="E387">
        <f>SUMPRODUCT((MONTH(CHOOSE({1,2,3,4},XT!U387,XT!Y387,XT!AC387,XT!AG387))=2)*(CHOOSE({1,2,3,4},XT!X387,XT!AB387,XT!AF387,XT!AJ387)))</f>
        <v>0</v>
      </c>
      <c r="F387" t="str">
        <f>IFERROR(INDEX(CHOOSE({1,2,3,4}, DAY(XT!U387), DAY(XT!Y387), DAY(XT!AC387), DAY(XT!AG387)), MATCH(1, INDEX(--(MONTH(CHOOSE({1,2,3,4}, XT!U387,XT!Y387,XT!AC387,XT!AG387))=2), 0), 0)), "")</f>
        <v/>
      </c>
      <c r="G387" s="51" t="str">
        <f>IF(XT!$P387&gt;0,F387,"")</f>
        <v/>
      </c>
      <c r="H387" s="51" t="str">
        <f>IF(XT!$P387=0,F387,"")</f>
        <v/>
      </c>
      <c r="I387">
        <f>SUMPRODUCT((MONTH(CHOOSE({1,2,3,4},XT!U387,XT!Y387,XT!AC387,XT!AG387))=3)*(CHOOSE({1,2,3,4},XT!X387,XT!AB387,XT!AF387,XT!AJ387)))</f>
        <v>0</v>
      </c>
      <c r="J387" t="str">
        <f>IFERROR(INDEX(CHOOSE({1,2,3,4}, DAY(XT!U387), DAY(XT!Y387), DAY(XT!AC387), DAY(XT!AG387)), MATCH(1, INDEX(--(MONTH(CHOOSE({1,2,3,4}, XT!U387,XT!Y387,XT!AC387,XT!AG387))=3), 0), 0)), "")</f>
        <v/>
      </c>
      <c r="K387" s="51" t="str">
        <f>IF(XT!$P387&gt;0,J387,"")</f>
        <v/>
      </c>
      <c r="L387" s="51" t="str">
        <f>IF(XT!$P387=0,J387,"")</f>
        <v/>
      </c>
      <c r="M387">
        <f>SUMPRODUCT((MONTH(CHOOSE({1,2,3,4},XT!U387,XT!Y387,XT!AC387,XT!AG387))=4)*(CHOOSE({1,2,3,4},XT!X387,XT!AB387,XT!AF387,XT!AJ387)))</f>
        <v>0</v>
      </c>
      <c r="N387" t="str">
        <f>IFERROR(INDEX(CHOOSE({1,2,3,4}, DAY(XT!U387), DAY(XT!Y387), DAY(XT!AC387), DAY(XT!AG387)), MATCH(1, INDEX(--(MONTH(CHOOSE({1,2,3,4}, XT!U387,XT!Y387,XT!AC387,XT!AG387))=4), 0), 0)), "")</f>
        <v/>
      </c>
      <c r="O387" s="51" t="str">
        <f>IF(XT!$P387&gt;0,N387,"")</f>
        <v/>
      </c>
      <c r="P387" s="51" t="str">
        <f>IF(XT!$P387=0,N387,"")</f>
        <v/>
      </c>
      <c r="Q387">
        <f>SUMPRODUCT((MONTH(CHOOSE({1,2,3,4},XT!U387,XT!Y387,XT!AC387,XT!AG387))=5)*(CHOOSE({1,2,3,4},XT!X387,XT!AB387,XT!AF387,XT!AJ387)))</f>
        <v>0</v>
      </c>
      <c r="R387" t="str">
        <f>IFERROR(INDEX(CHOOSE({1,2,3,4}, DAY(XT!U387), DAY(XT!Y387), DAY(XT!AC387), DAY(XT!AG387)), MATCH(1, INDEX(--(MONTH(CHOOSE({1,2,3,4}, XT!U387,XT!Y387,XT!AC387,XT!AG387))=5), 0), 0)), "")</f>
        <v/>
      </c>
      <c r="S387" s="51" t="str">
        <f>IF(XT!$P387&gt;0,R387,"")</f>
        <v/>
      </c>
      <c r="T387" s="51" t="str">
        <f>IF(XT!$P387=0,R387,"")</f>
        <v/>
      </c>
      <c r="U387">
        <f>SUMPRODUCT((MONTH(CHOOSE({1,2,3,4},XT!U387,XT!Y387,XT!AC387,XT!AG387))=6)*(CHOOSE({1,2,3,4},XT!X387,XT!AB387,XT!AF387,XT!AJ387)))</f>
        <v>0</v>
      </c>
      <c r="V387" t="str">
        <f>IFERROR(INDEX(CHOOSE({1,2,3,4}, DAY(XT!U387), DAY(XT!Y387), DAY(XT!AC387), DAY(XT!AG387)), MATCH(1, INDEX(--(MONTH(CHOOSE({1,2,3,4}, XT!U387,XT!Y387,XT!AC387,XT!AG387))=6), 0), 0)), "")</f>
        <v/>
      </c>
      <c r="W387" s="51" t="str">
        <f>IF(XT!$P387&gt;0,V387,"")</f>
        <v/>
      </c>
      <c r="X387" s="51" t="str">
        <f>IF(XT!$P387=0,V387,"")</f>
        <v/>
      </c>
      <c r="Y387">
        <f>SUMPRODUCT((MONTH(CHOOSE({1,2,3,4},XT!U387,XT!Y387,XT!AC387,XT!AG387))=7)*(CHOOSE({1,2,3,4},XT!X387,XT!AB387,XT!AF387,XT!AJ387)))</f>
        <v>0</v>
      </c>
      <c r="Z387" t="str">
        <f>IFERROR(INDEX(CHOOSE({1,2,3,4}, DAY(XT!U387), DAY(XT!Y387), DAY(XT!AC387), DAY(XT!AG387)), MATCH(1, INDEX(--(MONTH(CHOOSE({1,2,3,4}, XT!U387,XT!Y387,XT!AC387,XT!AG387))=7), 0), 0)), "")</f>
        <v/>
      </c>
      <c r="AA387" s="51" t="str">
        <f>IF(XT!$P387&gt;0,Z387,"")</f>
        <v/>
      </c>
      <c r="AB387" s="51" t="str">
        <f>IF(XT!$P387=0,Z387,"")</f>
        <v/>
      </c>
      <c r="AC387">
        <f>SUMPRODUCT((MONTH(CHOOSE({1,2,3,4},XT!U387,XT!Y387,XT!AC387,XT!AG387))=8)*(CHOOSE({1,2,3,4},XT!X387,XT!AB387,XT!AF387,XT!AJ387)))</f>
        <v>0</v>
      </c>
      <c r="AD387" t="str">
        <f>IFERROR(INDEX(CHOOSE({1,2,3,4}, DAY(XT!U387), DAY(XT!Y387), DAY(XT!AC387), DAY(XT!AG387)), MATCH(1, INDEX(--(MONTH(CHOOSE({1,2,3,4}, XT!U387,XT!Y387,XT!AC387,XT!AG387))=8), 0), 0)), "")</f>
        <v/>
      </c>
      <c r="AE387" s="51" t="str">
        <f>IF(XT!$P387&gt;0,AD387,"")</f>
        <v/>
      </c>
      <c r="AF387" s="51" t="str">
        <f>IF(XT!$P387=0,AD387,"")</f>
        <v/>
      </c>
      <c r="AG387">
        <f>SUMPRODUCT((MONTH(CHOOSE({1,2,3,4},XT!U387,XT!Y387,XT!AC387,XT!AG387))=9)*(CHOOSE({1,2,3,4},XT!X387,XT!AB387,XT!AF387,XT!AJ387)))</f>
        <v>0</v>
      </c>
      <c r="AH387" t="str">
        <f>IFERROR(INDEX(CHOOSE({1,2,3,4}, DAY(XT!U387), DAY(XT!Y387), DAY(XT!AC387), DAY(XT!AG387)), MATCH(1, INDEX(--(MONTH(CHOOSE({1,2,3,4}, XT!U387,XT!Y387,XT!AC387,XT!AG387))=9), 0), 0)), "")</f>
        <v/>
      </c>
      <c r="AI387" s="51" t="str">
        <f>IF(XT!$P387&gt;0,AH387,"")</f>
        <v/>
      </c>
      <c r="AJ387" s="51" t="str">
        <f>IF(XT!$P387=0,AH387,"")</f>
        <v/>
      </c>
      <c r="AK387">
        <f>SUMPRODUCT((MONTH(CHOOSE({1,2,3,4},XT!U387,XT!Y387,XT!AC387,XT!AG387))=10)*(CHOOSE({1,2,3,4},XT!X387,XT!AB387,XT!AF387,XT!AJ387)))</f>
        <v>0</v>
      </c>
      <c r="AL387" t="str">
        <f>IFERROR(INDEX(CHOOSE({1,2,3,4}, DAY(XT!U387), DAY(XT!Y387), DAY(XT!AC387), DAY(XT!AG387)), MATCH(1, INDEX(--(MONTH(CHOOSE({1,2,3,4}, XT!U387,XT!Y387,XT!AC387,XT!AG387))=10), 0), 0)), "")</f>
        <v/>
      </c>
      <c r="AM387" s="51" t="str">
        <f>IF(XT!$P387&gt;0,AL387,"")</f>
        <v/>
      </c>
      <c r="AN387" s="51" t="str">
        <f>IF(XT!$P387=0,AL387,"")</f>
        <v/>
      </c>
      <c r="AO387">
        <f>SUMPRODUCT((MONTH(CHOOSE({1,2,3,4},XT!U387,XT!Y387,XT!AC387,XT!AG387))=11)*(CHOOSE({1,2,3,4},XT!X387,XT!AB387,XT!AF387,XT!AJ387)))</f>
        <v>0</v>
      </c>
      <c r="AP387" t="str">
        <f>IFERROR(INDEX(CHOOSE({1,2,3,4}, DAY(XT!U387), DAY(XT!Y387), DAY(XT!AC387), DAY(XT!AG387)), MATCH(1, INDEX(--(MONTH(CHOOSE({1,2,3,4}, XT!U387,XT!Y387,XT!AC387,XT!AG387))=11), 0), 0)), "")</f>
        <v/>
      </c>
      <c r="AQ387" s="51" t="str">
        <f>IF(XT!$P387&gt;0,AP387,"")</f>
        <v/>
      </c>
      <c r="AR387" s="51" t="str">
        <f>IF(XT!$P387=0,AP387,"")</f>
        <v/>
      </c>
      <c r="AS387">
        <f>SUMPRODUCT((MONTH(CHOOSE({1,2,3,4},XT!U387,XT!Y387,XT!AC387,XT!AG387))=12)*(CHOOSE({1,2,3,4},XT!X387,XT!AB387,XT!AF387,XT!AJ387)))</f>
        <v>0</v>
      </c>
      <c r="AT387" t="str">
        <f>IFERROR(INDEX(CHOOSE({1,2,3,4}, DAY(XT!U387), DAY(XT!Y387), DAY(XT!AC387), DAY(XT!AG387)), MATCH(1, INDEX(--(MONTH(CHOOSE({1,2,3,4}, XT!U387,XT!Y387,XT!AC387,XT!AG387))=12), 0), 0)), "")</f>
        <v/>
      </c>
      <c r="AU387" s="51" t="str">
        <f>IF(XT!$P387&gt;0,AT387,"")</f>
        <v/>
      </c>
      <c r="AV387" s="51" t="str">
        <f>IF(XT!$P387=0,AT387,"")</f>
        <v/>
      </c>
    </row>
    <row r="388" spans="1:48">
      <c r="A388">
        <f>SUMPRODUCT((MONTH(CHOOSE({1,2,3,4},XT!U388,XT!Y388,XT!AC388,XT!AG388))=1)*(CHOOSE({1,2,3,4},XT!X388,XT!AB388,XT!AF388,XT!AJ388)))</f>
        <v>0</v>
      </c>
      <c r="B388">
        <f>IFERROR(INDEX(CHOOSE({1,2,3,4}, DAY(XT!U388), DAY(XT!Y388), DAY(XT!AC388), DAY(XT!AG388)), MATCH(1, INDEX(--(MONTH(CHOOSE({1,2,3,4}, XT!U388,XT!Y388,XT!AC388,XT!AG388))=1), 0), 0)), "")</f>
        <v>0</v>
      </c>
      <c r="C388" s="51" t="str">
        <f>IF(XT!$P388&gt;0,B388,"")</f>
        <v/>
      </c>
      <c r="D388" s="51">
        <f>IF(XT!$P388=0,B388,"")</f>
        <v>0</v>
      </c>
      <c r="E388">
        <f>SUMPRODUCT((MONTH(CHOOSE({1,2,3,4},XT!U388,XT!Y388,XT!AC388,XT!AG388))=2)*(CHOOSE({1,2,3,4},XT!X388,XT!AB388,XT!AF388,XT!AJ388)))</f>
        <v>0</v>
      </c>
      <c r="F388" t="str">
        <f>IFERROR(INDEX(CHOOSE({1,2,3,4}, DAY(XT!U388), DAY(XT!Y388), DAY(XT!AC388), DAY(XT!AG388)), MATCH(1, INDEX(--(MONTH(CHOOSE({1,2,3,4}, XT!U388,XT!Y388,XT!AC388,XT!AG388))=2), 0), 0)), "")</f>
        <v/>
      </c>
      <c r="G388" s="51" t="str">
        <f>IF(XT!$P388&gt;0,F388,"")</f>
        <v/>
      </c>
      <c r="H388" s="51" t="str">
        <f>IF(XT!$P388=0,F388,"")</f>
        <v/>
      </c>
      <c r="I388">
        <f>SUMPRODUCT((MONTH(CHOOSE({1,2,3,4},XT!U388,XT!Y388,XT!AC388,XT!AG388))=3)*(CHOOSE({1,2,3,4},XT!X388,XT!AB388,XT!AF388,XT!AJ388)))</f>
        <v>0</v>
      </c>
      <c r="J388" t="str">
        <f>IFERROR(INDEX(CHOOSE({1,2,3,4}, DAY(XT!U388), DAY(XT!Y388), DAY(XT!AC388), DAY(XT!AG388)), MATCH(1, INDEX(--(MONTH(CHOOSE({1,2,3,4}, XT!U388,XT!Y388,XT!AC388,XT!AG388))=3), 0), 0)), "")</f>
        <v/>
      </c>
      <c r="K388" s="51" t="str">
        <f>IF(XT!$P388&gt;0,J388,"")</f>
        <v/>
      </c>
      <c r="L388" s="51" t="str">
        <f>IF(XT!$P388=0,J388,"")</f>
        <v/>
      </c>
      <c r="M388">
        <f>SUMPRODUCT((MONTH(CHOOSE({1,2,3,4},XT!U388,XT!Y388,XT!AC388,XT!AG388))=4)*(CHOOSE({1,2,3,4},XT!X388,XT!AB388,XT!AF388,XT!AJ388)))</f>
        <v>0</v>
      </c>
      <c r="N388" t="str">
        <f>IFERROR(INDEX(CHOOSE({1,2,3,4}, DAY(XT!U388), DAY(XT!Y388), DAY(XT!AC388), DAY(XT!AG388)), MATCH(1, INDEX(--(MONTH(CHOOSE({1,2,3,4}, XT!U388,XT!Y388,XT!AC388,XT!AG388))=4), 0), 0)), "")</f>
        <v/>
      </c>
      <c r="O388" s="51" t="str">
        <f>IF(XT!$P388&gt;0,N388,"")</f>
        <v/>
      </c>
      <c r="P388" s="51" t="str">
        <f>IF(XT!$P388=0,N388,"")</f>
        <v/>
      </c>
      <c r="Q388">
        <f>SUMPRODUCT((MONTH(CHOOSE({1,2,3,4},XT!U388,XT!Y388,XT!AC388,XT!AG388))=5)*(CHOOSE({1,2,3,4},XT!X388,XT!AB388,XT!AF388,XT!AJ388)))</f>
        <v>0</v>
      </c>
      <c r="R388" t="str">
        <f>IFERROR(INDEX(CHOOSE({1,2,3,4}, DAY(XT!U388), DAY(XT!Y388), DAY(XT!AC388), DAY(XT!AG388)), MATCH(1, INDEX(--(MONTH(CHOOSE({1,2,3,4}, XT!U388,XT!Y388,XT!AC388,XT!AG388))=5), 0), 0)), "")</f>
        <v/>
      </c>
      <c r="S388" s="51" t="str">
        <f>IF(XT!$P388&gt;0,R388,"")</f>
        <v/>
      </c>
      <c r="T388" s="51" t="str">
        <f>IF(XT!$P388=0,R388,"")</f>
        <v/>
      </c>
      <c r="U388">
        <f>SUMPRODUCT((MONTH(CHOOSE({1,2,3,4},XT!U388,XT!Y388,XT!AC388,XT!AG388))=6)*(CHOOSE({1,2,3,4},XT!X388,XT!AB388,XT!AF388,XT!AJ388)))</f>
        <v>0</v>
      </c>
      <c r="V388" t="str">
        <f>IFERROR(INDEX(CHOOSE({1,2,3,4}, DAY(XT!U388), DAY(XT!Y388), DAY(XT!AC388), DAY(XT!AG388)), MATCH(1, INDEX(--(MONTH(CHOOSE({1,2,3,4}, XT!U388,XT!Y388,XT!AC388,XT!AG388))=6), 0), 0)), "")</f>
        <v/>
      </c>
      <c r="W388" s="51" t="str">
        <f>IF(XT!$P388&gt;0,V388,"")</f>
        <v/>
      </c>
      <c r="X388" s="51" t="str">
        <f>IF(XT!$P388=0,V388,"")</f>
        <v/>
      </c>
      <c r="Y388">
        <f>SUMPRODUCT((MONTH(CHOOSE({1,2,3,4},XT!U388,XT!Y388,XT!AC388,XT!AG388))=7)*(CHOOSE({1,2,3,4},XT!X388,XT!AB388,XT!AF388,XT!AJ388)))</f>
        <v>0</v>
      </c>
      <c r="Z388" t="str">
        <f>IFERROR(INDEX(CHOOSE({1,2,3,4}, DAY(XT!U388), DAY(XT!Y388), DAY(XT!AC388), DAY(XT!AG388)), MATCH(1, INDEX(--(MONTH(CHOOSE({1,2,3,4}, XT!U388,XT!Y388,XT!AC388,XT!AG388))=7), 0), 0)), "")</f>
        <v/>
      </c>
      <c r="AA388" s="51" t="str">
        <f>IF(XT!$P388&gt;0,Z388,"")</f>
        <v/>
      </c>
      <c r="AB388" s="51" t="str">
        <f>IF(XT!$P388=0,Z388,"")</f>
        <v/>
      </c>
      <c r="AC388">
        <f>SUMPRODUCT((MONTH(CHOOSE({1,2,3,4},XT!U388,XT!Y388,XT!AC388,XT!AG388))=8)*(CHOOSE({1,2,3,4},XT!X388,XT!AB388,XT!AF388,XT!AJ388)))</f>
        <v>0</v>
      </c>
      <c r="AD388" t="str">
        <f>IFERROR(INDEX(CHOOSE({1,2,3,4}, DAY(XT!U388), DAY(XT!Y388), DAY(XT!AC388), DAY(XT!AG388)), MATCH(1, INDEX(--(MONTH(CHOOSE({1,2,3,4}, XT!U388,XT!Y388,XT!AC388,XT!AG388))=8), 0), 0)), "")</f>
        <v/>
      </c>
      <c r="AE388" s="51" t="str">
        <f>IF(XT!$P388&gt;0,AD388,"")</f>
        <v/>
      </c>
      <c r="AF388" s="51" t="str">
        <f>IF(XT!$P388=0,AD388,"")</f>
        <v/>
      </c>
      <c r="AG388">
        <f>SUMPRODUCT((MONTH(CHOOSE({1,2,3,4},XT!U388,XT!Y388,XT!AC388,XT!AG388))=9)*(CHOOSE({1,2,3,4},XT!X388,XT!AB388,XT!AF388,XT!AJ388)))</f>
        <v>0</v>
      </c>
      <c r="AH388" t="str">
        <f>IFERROR(INDEX(CHOOSE({1,2,3,4}, DAY(XT!U388), DAY(XT!Y388), DAY(XT!AC388), DAY(XT!AG388)), MATCH(1, INDEX(--(MONTH(CHOOSE({1,2,3,4}, XT!U388,XT!Y388,XT!AC388,XT!AG388))=9), 0), 0)), "")</f>
        <v/>
      </c>
      <c r="AI388" s="51" t="str">
        <f>IF(XT!$P388&gt;0,AH388,"")</f>
        <v/>
      </c>
      <c r="AJ388" s="51" t="str">
        <f>IF(XT!$P388=0,AH388,"")</f>
        <v/>
      </c>
      <c r="AK388">
        <f>SUMPRODUCT((MONTH(CHOOSE({1,2,3,4},XT!U388,XT!Y388,XT!AC388,XT!AG388))=10)*(CHOOSE({1,2,3,4},XT!X388,XT!AB388,XT!AF388,XT!AJ388)))</f>
        <v>0</v>
      </c>
      <c r="AL388" t="str">
        <f>IFERROR(INDEX(CHOOSE({1,2,3,4}, DAY(XT!U388), DAY(XT!Y388), DAY(XT!AC388), DAY(XT!AG388)), MATCH(1, INDEX(--(MONTH(CHOOSE({1,2,3,4}, XT!U388,XT!Y388,XT!AC388,XT!AG388))=10), 0), 0)), "")</f>
        <v/>
      </c>
      <c r="AM388" s="51" t="str">
        <f>IF(XT!$P388&gt;0,AL388,"")</f>
        <v/>
      </c>
      <c r="AN388" s="51" t="str">
        <f>IF(XT!$P388=0,AL388,"")</f>
        <v/>
      </c>
      <c r="AO388">
        <f>SUMPRODUCT((MONTH(CHOOSE({1,2,3,4},XT!U388,XT!Y388,XT!AC388,XT!AG388))=11)*(CHOOSE({1,2,3,4},XT!X388,XT!AB388,XT!AF388,XT!AJ388)))</f>
        <v>0</v>
      </c>
      <c r="AP388" t="str">
        <f>IFERROR(INDEX(CHOOSE({1,2,3,4}, DAY(XT!U388), DAY(XT!Y388), DAY(XT!AC388), DAY(XT!AG388)), MATCH(1, INDEX(--(MONTH(CHOOSE({1,2,3,4}, XT!U388,XT!Y388,XT!AC388,XT!AG388))=11), 0), 0)), "")</f>
        <v/>
      </c>
      <c r="AQ388" s="51" t="str">
        <f>IF(XT!$P388&gt;0,AP388,"")</f>
        <v/>
      </c>
      <c r="AR388" s="51" t="str">
        <f>IF(XT!$P388=0,AP388,"")</f>
        <v/>
      </c>
      <c r="AS388">
        <f>SUMPRODUCT((MONTH(CHOOSE({1,2,3,4},XT!U388,XT!Y388,XT!AC388,XT!AG388))=12)*(CHOOSE({1,2,3,4},XT!X388,XT!AB388,XT!AF388,XT!AJ388)))</f>
        <v>0</v>
      </c>
      <c r="AT388" t="str">
        <f>IFERROR(INDEX(CHOOSE({1,2,3,4}, DAY(XT!U388), DAY(XT!Y388), DAY(XT!AC388), DAY(XT!AG388)), MATCH(1, INDEX(--(MONTH(CHOOSE({1,2,3,4}, XT!U388,XT!Y388,XT!AC388,XT!AG388))=12), 0), 0)), "")</f>
        <v/>
      </c>
      <c r="AU388" s="51" t="str">
        <f>IF(XT!$P388&gt;0,AT388,"")</f>
        <v/>
      </c>
      <c r="AV388" s="51" t="str">
        <f>IF(XT!$P388=0,AT388,"")</f>
        <v/>
      </c>
    </row>
    <row r="389" spans="1:48">
      <c r="A389">
        <f>SUMPRODUCT((MONTH(CHOOSE({1,2,3,4},XT!U389,XT!Y389,XT!AC389,XT!AG389))=1)*(CHOOSE({1,2,3,4},XT!X389,XT!AB389,XT!AF389,XT!AJ389)))</f>
        <v>0</v>
      </c>
      <c r="B389">
        <f>IFERROR(INDEX(CHOOSE({1,2,3,4}, DAY(XT!U389), DAY(XT!Y389), DAY(XT!AC389), DAY(XT!AG389)), MATCH(1, INDEX(--(MONTH(CHOOSE({1,2,3,4}, XT!U389,XT!Y389,XT!AC389,XT!AG389))=1), 0), 0)), "")</f>
        <v>0</v>
      </c>
      <c r="C389" s="51" t="str">
        <f>IF(XT!$P389&gt;0,B389,"")</f>
        <v/>
      </c>
      <c r="D389" s="51">
        <f>IF(XT!$P389=0,B389,"")</f>
        <v>0</v>
      </c>
      <c r="E389">
        <f>SUMPRODUCT((MONTH(CHOOSE({1,2,3,4},XT!U389,XT!Y389,XT!AC389,XT!AG389))=2)*(CHOOSE({1,2,3,4},XT!X389,XT!AB389,XT!AF389,XT!AJ389)))</f>
        <v>0</v>
      </c>
      <c r="F389" t="str">
        <f>IFERROR(INDEX(CHOOSE({1,2,3,4}, DAY(XT!U389), DAY(XT!Y389), DAY(XT!AC389), DAY(XT!AG389)), MATCH(1, INDEX(--(MONTH(CHOOSE({1,2,3,4}, XT!U389,XT!Y389,XT!AC389,XT!AG389))=2), 0), 0)), "")</f>
        <v/>
      </c>
      <c r="G389" s="51" t="str">
        <f>IF(XT!$P389&gt;0,F389,"")</f>
        <v/>
      </c>
      <c r="H389" s="51" t="str">
        <f>IF(XT!$P389=0,F389,"")</f>
        <v/>
      </c>
      <c r="I389">
        <f>SUMPRODUCT((MONTH(CHOOSE({1,2,3,4},XT!U389,XT!Y389,XT!AC389,XT!AG389))=3)*(CHOOSE({1,2,3,4},XT!X389,XT!AB389,XT!AF389,XT!AJ389)))</f>
        <v>0</v>
      </c>
      <c r="J389" t="str">
        <f>IFERROR(INDEX(CHOOSE({1,2,3,4}, DAY(XT!U389), DAY(XT!Y389), DAY(XT!AC389), DAY(XT!AG389)), MATCH(1, INDEX(--(MONTH(CHOOSE({1,2,3,4}, XT!U389,XT!Y389,XT!AC389,XT!AG389))=3), 0), 0)), "")</f>
        <v/>
      </c>
      <c r="K389" s="51" t="str">
        <f>IF(XT!$P389&gt;0,J389,"")</f>
        <v/>
      </c>
      <c r="L389" s="51" t="str">
        <f>IF(XT!$P389=0,J389,"")</f>
        <v/>
      </c>
      <c r="M389">
        <f>SUMPRODUCT((MONTH(CHOOSE({1,2,3,4},XT!U389,XT!Y389,XT!AC389,XT!AG389))=4)*(CHOOSE({1,2,3,4},XT!X389,XT!AB389,XT!AF389,XT!AJ389)))</f>
        <v>0</v>
      </c>
      <c r="N389" t="str">
        <f>IFERROR(INDEX(CHOOSE({1,2,3,4}, DAY(XT!U389), DAY(XT!Y389), DAY(XT!AC389), DAY(XT!AG389)), MATCH(1, INDEX(--(MONTH(CHOOSE({1,2,3,4}, XT!U389,XT!Y389,XT!AC389,XT!AG389))=4), 0), 0)), "")</f>
        <v/>
      </c>
      <c r="O389" s="51" t="str">
        <f>IF(XT!$P389&gt;0,N389,"")</f>
        <v/>
      </c>
      <c r="P389" s="51" t="str">
        <f>IF(XT!$P389=0,N389,"")</f>
        <v/>
      </c>
      <c r="Q389">
        <f>SUMPRODUCT((MONTH(CHOOSE({1,2,3,4},XT!U389,XT!Y389,XT!AC389,XT!AG389))=5)*(CHOOSE({1,2,3,4},XT!X389,XT!AB389,XT!AF389,XT!AJ389)))</f>
        <v>0</v>
      </c>
      <c r="R389" t="str">
        <f>IFERROR(INDEX(CHOOSE({1,2,3,4}, DAY(XT!U389), DAY(XT!Y389), DAY(XT!AC389), DAY(XT!AG389)), MATCH(1, INDEX(--(MONTH(CHOOSE({1,2,3,4}, XT!U389,XT!Y389,XT!AC389,XT!AG389))=5), 0), 0)), "")</f>
        <v/>
      </c>
      <c r="S389" s="51" t="str">
        <f>IF(XT!$P389&gt;0,R389,"")</f>
        <v/>
      </c>
      <c r="T389" s="51" t="str">
        <f>IF(XT!$P389=0,R389,"")</f>
        <v/>
      </c>
      <c r="U389">
        <f>SUMPRODUCT((MONTH(CHOOSE({1,2,3,4},XT!U389,XT!Y389,XT!AC389,XT!AG389))=6)*(CHOOSE({1,2,3,4},XT!X389,XT!AB389,XT!AF389,XT!AJ389)))</f>
        <v>0</v>
      </c>
      <c r="V389" t="str">
        <f>IFERROR(INDEX(CHOOSE({1,2,3,4}, DAY(XT!U389), DAY(XT!Y389), DAY(XT!AC389), DAY(XT!AG389)), MATCH(1, INDEX(--(MONTH(CHOOSE({1,2,3,4}, XT!U389,XT!Y389,XT!AC389,XT!AG389))=6), 0), 0)), "")</f>
        <v/>
      </c>
      <c r="W389" s="51" t="str">
        <f>IF(XT!$P389&gt;0,V389,"")</f>
        <v/>
      </c>
      <c r="X389" s="51" t="str">
        <f>IF(XT!$P389=0,V389,"")</f>
        <v/>
      </c>
      <c r="Y389">
        <f>SUMPRODUCT((MONTH(CHOOSE({1,2,3,4},XT!U389,XT!Y389,XT!AC389,XT!AG389))=7)*(CHOOSE({1,2,3,4},XT!X389,XT!AB389,XT!AF389,XT!AJ389)))</f>
        <v>0</v>
      </c>
      <c r="Z389" t="str">
        <f>IFERROR(INDEX(CHOOSE({1,2,3,4}, DAY(XT!U389), DAY(XT!Y389), DAY(XT!AC389), DAY(XT!AG389)), MATCH(1, INDEX(--(MONTH(CHOOSE({1,2,3,4}, XT!U389,XT!Y389,XT!AC389,XT!AG389))=7), 0), 0)), "")</f>
        <v/>
      </c>
      <c r="AA389" s="51" t="str">
        <f>IF(XT!$P389&gt;0,Z389,"")</f>
        <v/>
      </c>
      <c r="AB389" s="51" t="str">
        <f>IF(XT!$P389=0,Z389,"")</f>
        <v/>
      </c>
      <c r="AC389">
        <f>SUMPRODUCT((MONTH(CHOOSE({1,2,3,4},XT!U389,XT!Y389,XT!AC389,XT!AG389))=8)*(CHOOSE({1,2,3,4},XT!X389,XT!AB389,XT!AF389,XT!AJ389)))</f>
        <v>0</v>
      </c>
      <c r="AD389" t="str">
        <f>IFERROR(INDEX(CHOOSE({1,2,3,4}, DAY(XT!U389), DAY(XT!Y389), DAY(XT!AC389), DAY(XT!AG389)), MATCH(1, INDEX(--(MONTH(CHOOSE({1,2,3,4}, XT!U389,XT!Y389,XT!AC389,XT!AG389))=8), 0), 0)), "")</f>
        <v/>
      </c>
      <c r="AE389" s="51" t="str">
        <f>IF(XT!$P389&gt;0,AD389,"")</f>
        <v/>
      </c>
      <c r="AF389" s="51" t="str">
        <f>IF(XT!$P389=0,AD389,"")</f>
        <v/>
      </c>
      <c r="AG389">
        <f>SUMPRODUCT((MONTH(CHOOSE({1,2,3,4},XT!U389,XT!Y389,XT!AC389,XT!AG389))=9)*(CHOOSE({1,2,3,4},XT!X389,XT!AB389,XT!AF389,XT!AJ389)))</f>
        <v>0</v>
      </c>
      <c r="AH389" t="str">
        <f>IFERROR(INDEX(CHOOSE({1,2,3,4}, DAY(XT!U389), DAY(XT!Y389), DAY(XT!AC389), DAY(XT!AG389)), MATCH(1, INDEX(--(MONTH(CHOOSE({1,2,3,4}, XT!U389,XT!Y389,XT!AC389,XT!AG389))=9), 0), 0)), "")</f>
        <v/>
      </c>
      <c r="AI389" s="51" t="str">
        <f>IF(XT!$P389&gt;0,AH389,"")</f>
        <v/>
      </c>
      <c r="AJ389" s="51" t="str">
        <f>IF(XT!$P389=0,AH389,"")</f>
        <v/>
      </c>
      <c r="AK389">
        <f>SUMPRODUCT((MONTH(CHOOSE({1,2,3,4},XT!U389,XT!Y389,XT!AC389,XT!AG389))=10)*(CHOOSE({1,2,3,4},XT!X389,XT!AB389,XT!AF389,XT!AJ389)))</f>
        <v>0</v>
      </c>
      <c r="AL389" t="str">
        <f>IFERROR(INDEX(CHOOSE({1,2,3,4}, DAY(XT!U389), DAY(XT!Y389), DAY(XT!AC389), DAY(XT!AG389)), MATCH(1, INDEX(--(MONTH(CHOOSE({1,2,3,4}, XT!U389,XT!Y389,XT!AC389,XT!AG389))=10), 0), 0)), "")</f>
        <v/>
      </c>
      <c r="AM389" s="51" t="str">
        <f>IF(XT!$P389&gt;0,AL389,"")</f>
        <v/>
      </c>
      <c r="AN389" s="51" t="str">
        <f>IF(XT!$P389=0,AL389,"")</f>
        <v/>
      </c>
      <c r="AO389">
        <f>SUMPRODUCT((MONTH(CHOOSE({1,2,3,4},XT!U389,XT!Y389,XT!AC389,XT!AG389))=11)*(CHOOSE({1,2,3,4},XT!X389,XT!AB389,XT!AF389,XT!AJ389)))</f>
        <v>0</v>
      </c>
      <c r="AP389" t="str">
        <f>IFERROR(INDEX(CHOOSE({1,2,3,4}, DAY(XT!U389), DAY(XT!Y389), DAY(XT!AC389), DAY(XT!AG389)), MATCH(1, INDEX(--(MONTH(CHOOSE({1,2,3,4}, XT!U389,XT!Y389,XT!AC389,XT!AG389))=11), 0), 0)), "")</f>
        <v/>
      </c>
      <c r="AQ389" s="51" t="str">
        <f>IF(XT!$P389&gt;0,AP389,"")</f>
        <v/>
      </c>
      <c r="AR389" s="51" t="str">
        <f>IF(XT!$P389=0,AP389,"")</f>
        <v/>
      </c>
      <c r="AS389">
        <f>SUMPRODUCT((MONTH(CHOOSE({1,2,3,4},XT!U389,XT!Y389,XT!AC389,XT!AG389))=12)*(CHOOSE({1,2,3,4},XT!X389,XT!AB389,XT!AF389,XT!AJ389)))</f>
        <v>0</v>
      </c>
      <c r="AT389" t="str">
        <f>IFERROR(INDEX(CHOOSE({1,2,3,4}, DAY(XT!U389), DAY(XT!Y389), DAY(XT!AC389), DAY(XT!AG389)), MATCH(1, INDEX(--(MONTH(CHOOSE({1,2,3,4}, XT!U389,XT!Y389,XT!AC389,XT!AG389))=12), 0), 0)), "")</f>
        <v/>
      </c>
      <c r="AU389" s="51" t="str">
        <f>IF(XT!$P389&gt;0,AT389,"")</f>
        <v/>
      </c>
      <c r="AV389" s="51" t="str">
        <f>IF(XT!$P389=0,AT389,"")</f>
        <v/>
      </c>
    </row>
    <row r="390" spans="1:48">
      <c r="A390">
        <f>SUMPRODUCT((MONTH(CHOOSE({1,2,3,4},XT!U390,XT!Y390,XT!AC390,XT!AG390))=1)*(CHOOSE({1,2,3,4},XT!X390,XT!AB390,XT!AF390,XT!AJ390)))</f>
        <v>0</v>
      </c>
      <c r="B390">
        <f>IFERROR(INDEX(CHOOSE({1,2,3,4}, DAY(XT!U390), DAY(XT!Y390), DAY(XT!AC390), DAY(XT!AG390)), MATCH(1, INDEX(--(MONTH(CHOOSE({1,2,3,4}, XT!U390,XT!Y390,XT!AC390,XT!AG390))=1), 0), 0)), "")</f>
        <v>0</v>
      </c>
      <c r="C390" s="51" t="str">
        <f>IF(XT!$P390&gt;0,B390,"")</f>
        <v/>
      </c>
      <c r="D390" s="51">
        <f>IF(XT!$P390=0,B390,"")</f>
        <v>0</v>
      </c>
      <c r="E390">
        <f>SUMPRODUCT((MONTH(CHOOSE({1,2,3,4},XT!U390,XT!Y390,XT!AC390,XT!AG390))=2)*(CHOOSE({1,2,3,4},XT!X390,XT!AB390,XT!AF390,XT!AJ390)))</f>
        <v>0</v>
      </c>
      <c r="F390" t="str">
        <f>IFERROR(INDEX(CHOOSE({1,2,3,4}, DAY(XT!U390), DAY(XT!Y390), DAY(XT!AC390), DAY(XT!AG390)), MATCH(1, INDEX(--(MONTH(CHOOSE({1,2,3,4}, XT!U390,XT!Y390,XT!AC390,XT!AG390))=2), 0), 0)), "")</f>
        <v/>
      </c>
      <c r="G390" s="51" t="str">
        <f>IF(XT!$P390&gt;0,F390,"")</f>
        <v/>
      </c>
      <c r="H390" s="51" t="str">
        <f>IF(XT!$P390=0,F390,"")</f>
        <v/>
      </c>
      <c r="I390">
        <f>SUMPRODUCT((MONTH(CHOOSE({1,2,3,4},XT!U390,XT!Y390,XT!AC390,XT!AG390))=3)*(CHOOSE({1,2,3,4},XT!X390,XT!AB390,XT!AF390,XT!AJ390)))</f>
        <v>0</v>
      </c>
      <c r="J390" t="str">
        <f>IFERROR(INDEX(CHOOSE({1,2,3,4}, DAY(XT!U390), DAY(XT!Y390), DAY(XT!AC390), DAY(XT!AG390)), MATCH(1, INDEX(--(MONTH(CHOOSE({1,2,3,4}, XT!U390,XT!Y390,XT!AC390,XT!AG390))=3), 0), 0)), "")</f>
        <v/>
      </c>
      <c r="K390" s="51" t="str">
        <f>IF(XT!$P390&gt;0,J390,"")</f>
        <v/>
      </c>
      <c r="L390" s="51" t="str">
        <f>IF(XT!$P390=0,J390,"")</f>
        <v/>
      </c>
      <c r="M390">
        <f>SUMPRODUCT((MONTH(CHOOSE({1,2,3,4},XT!U390,XT!Y390,XT!AC390,XT!AG390))=4)*(CHOOSE({1,2,3,4},XT!X390,XT!AB390,XT!AF390,XT!AJ390)))</f>
        <v>0</v>
      </c>
      <c r="N390" t="str">
        <f>IFERROR(INDEX(CHOOSE({1,2,3,4}, DAY(XT!U390), DAY(XT!Y390), DAY(XT!AC390), DAY(XT!AG390)), MATCH(1, INDEX(--(MONTH(CHOOSE({1,2,3,4}, XT!U390,XT!Y390,XT!AC390,XT!AG390))=4), 0), 0)), "")</f>
        <v/>
      </c>
      <c r="O390" s="51" t="str">
        <f>IF(XT!$P390&gt;0,N390,"")</f>
        <v/>
      </c>
      <c r="P390" s="51" t="str">
        <f>IF(XT!$P390=0,N390,"")</f>
        <v/>
      </c>
      <c r="Q390">
        <f>SUMPRODUCT((MONTH(CHOOSE({1,2,3,4},XT!U390,XT!Y390,XT!AC390,XT!AG390))=5)*(CHOOSE({1,2,3,4},XT!X390,XT!AB390,XT!AF390,XT!AJ390)))</f>
        <v>0</v>
      </c>
      <c r="R390" t="str">
        <f>IFERROR(INDEX(CHOOSE({1,2,3,4}, DAY(XT!U390), DAY(XT!Y390), DAY(XT!AC390), DAY(XT!AG390)), MATCH(1, INDEX(--(MONTH(CHOOSE({1,2,3,4}, XT!U390,XT!Y390,XT!AC390,XT!AG390))=5), 0), 0)), "")</f>
        <v/>
      </c>
      <c r="S390" s="51" t="str">
        <f>IF(XT!$P390&gt;0,R390,"")</f>
        <v/>
      </c>
      <c r="T390" s="51" t="str">
        <f>IF(XT!$P390=0,R390,"")</f>
        <v/>
      </c>
      <c r="U390">
        <f>SUMPRODUCT((MONTH(CHOOSE({1,2,3,4},XT!U390,XT!Y390,XT!AC390,XT!AG390))=6)*(CHOOSE({1,2,3,4},XT!X390,XT!AB390,XT!AF390,XT!AJ390)))</f>
        <v>0</v>
      </c>
      <c r="V390" t="str">
        <f>IFERROR(INDEX(CHOOSE({1,2,3,4}, DAY(XT!U390), DAY(XT!Y390), DAY(XT!AC390), DAY(XT!AG390)), MATCH(1, INDEX(--(MONTH(CHOOSE({1,2,3,4}, XT!U390,XT!Y390,XT!AC390,XT!AG390))=6), 0), 0)), "")</f>
        <v/>
      </c>
      <c r="W390" s="51" t="str">
        <f>IF(XT!$P390&gt;0,V390,"")</f>
        <v/>
      </c>
      <c r="X390" s="51" t="str">
        <f>IF(XT!$P390=0,V390,"")</f>
        <v/>
      </c>
      <c r="Y390">
        <f>SUMPRODUCT((MONTH(CHOOSE({1,2,3,4},XT!U390,XT!Y390,XT!AC390,XT!AG390))=7)*(CHOOSE({1,2,3,4},XT!X390,XT!AB390,XT!AF390,XT!AJ390)))</f>
        <v>0</v>
      </c>
      <c r="Z390" t="str">
        <f>IFERROR(INDEX(CHOOSE({1,2,3,4}, DAY(XT!U390), DAY(XT!Y390), DAY(XT!AC390), DAY(XT!AG390)), MATCH(1, INDEX(--(MONTH(CHOOSE({1,2,3,4}, XT!U390,XT!Y390,XT!AC390,XT!AG390))=7), 0), 0)), "")</f>
        <v/>
      </c>
      <c r="AA390" s="51" t="str">
        <f>IF(XT!$P390&gt;0,Z390,"")</f>
        <v/>
      </c>
      <c r="AB390" s="51" t="str">
        <f>IF(XT!$P390=0,Z390,"")</f>
        <v/>
      </c>
      <c r="AC390">
        <f>SUMPRODUCT((MONTH(CHOOSE({1,2,3,4},XT!U390,XT!Y390,XT!AC390,XT!AG390))=8)*(CHOOSE({1,2,3,4},XT!X390,XT!AB390,XT!AF390,XT!AJ390)))</f>
        <v>0</v>
      </c>
      <c r="AD390" t="str">
        <f>IFERROR(INDEX(CHOOSE({1,2,3,4}, DAY(XT!U390), DAY(XT!Y390), DAY(XT!AC390), DAY(XT!AG390)), MATCH(1, INDEX(--(MONTH(CHOOSE({1,2,3,4}, XT!U390,XT!Y390,XT!AC390,XT!AG390))=8), 0), 0)), "")</f>
        <v/>
      </c>
      <c r="AE390" s="51" t="str">
        <f>IF(XT!$P390&gt;0,AD390,"")</f>
        <v/>
      </c>
      <c r="AF390" s="51" t="str">
        <f>IF(XT!$P390=0,AD390,"")</f>
        <v/>
      </c>
      <c r="AG390">
        <f>SUMPRODUCT((MONTH(CHOOSE({1,2,3,4},XT!U390,XT!Y390,XT!AC390,XT!AG390))=9)*(CHOOSE({1,2,3,4},XT!X390,XT!AB390,XT!AF390,XT!AJ390)))</f>
        <v>0</v>
      </c>
      <c r="AH390" t="str">
        <f>IFERROR(INDEX(CHOOSE({1,2,3,4}, DAY(XT!U390), DAY(XT!Y390), DAY(XT!AC390), DAY(XT!AG390)), MATCH(1, INDEX(--(MONTH(CHOOSE({1,2,3,4}, XT!U390,XT!Y390,XT!AC390,XT!AG390))=9), 0), 0)), "")</f>
        <v/>
      </c>
      <c r="AI390" s="51" t="str">
        <f>IF(XT!$P390&gt;0,AH390,"")</f>
        <v/>
      </c>
      <c r="AJ390" s="51" t="str">
        <f>IF(XT!$P390=0,AH390,"")</f>
        <v/>
      </c>
      <c r="AK390">
        <f>SUMPRODUCT((MONTH(CHOOSE({1,2,3,4},XT!U390,XT!Y390,XT!AC390,XT!AG390))=10)*(CHOOSE({1,2,3,4},XT!X390,XT!AB390,XT!AF390,XT!AJ390)))</f>
        <v>0</v>
      </c>
      <c r="AL390" t="str">
        <f>IFERROR(INDEX(CHOOSE({1,2,3,4}, DAY(XT!U390), DAY(XT!Y390), DAY(XT!AC390), DAY(XT!AG390)), MATCH(1, INDEX(--(MONTH(CHOOSE({1,2,3,4}, XT!U390,XT!Y390,XT!AC390,XT!AG390))=10), 0), 0)), "")</f>
        <v/>
      </c>
      <c r="AM390" s="51" t="str">
        <f>IF(XT!$P390&gt;0,AL390,"")</f>
        <v/>
      </c>
      <c r="AN390" s="51" t="str">
        <f>IF(XT!$P390=0,AL390,"")</f>
        <v/>
      </c>
      <c r="AO390">
        <f>SUMPRODUCT((MONTH(CHOOSE({1,2,3,4},XT!U390,XT!Y390,XT!AC390,XT!AG390))=11)*(CHOOSE({1,2,3,4},XT!X390,XT!AB390,XT!AF390,XT!AJ390)))</f>
        <v>0</v>
      </c>
      <c r="AP390" t="str">
        <f>IFERROR(INDEX(CHOOSE({1,2,3,4}, DAY(XT!U390), DAY(XT!Y390), DAY(XT!AC390), DAY(XT!AG390)), MATCH(1, INDEX(--(MONTH(CHOOSE({1,2,3,4}, XT!U390,XT!Y390,XT!AC390,XT!AG390))=11), 0), 0)), "")</f>
        <v/>
      </c>
      <c r="AQ390" s="51" t="str">
        <f>IF(XT!$P390&gt;0,AP390,"")</f>
        <v/>
      </c>
      <c r="AR390" s="51" t="str">
        <f>IF(XT!$P390=0,AP390,"")</f>
        <v/>
      </c>
      <c r="AS390">
        <f>SUMPRODUCT((MONTH(CHOOSE({1,2,3,4},XT!U390,XT!Y390,XT!AC390,XT!AG390))=12)*(CHOOSE({1,2,3,4},XT!X390,XT!AB390,XT!AF390,XT!AJ390)))</f>
        <v>0</v>
      </c>
      <c r="AT390" t="str">
        <f>IFERROR(INDEX(CHOOSE({1,2,3,4}, DAY(XT!U390), DAY(XT!Y390), DAY(XT!AC390), DAY(XT!AG390)), MATCH(1, INDEX(--(MONTH(CHOOSE({1,2,3,4}, XT!U390,XT!Y390,XT!AC390,XT!AG390))=12), 0), 0)), "")</f>
        <v/>
      </c>
      <c r="AU390" s="51" t="str">
        <f>IF(XT!$P390&gt;0,AT390,"")</f>
        <v/>
      </c>
      <c r="AV390" s="51" t="str">
        <f>IF(XT!$P390=0,AT390,"")</f>
        <v/>
      </c>
    </row>
    <row r="391" spans="1:48">
      <c r="A391">
        <f>SUMPRODUCT((MONTH(CHOOSE({1,2,3,4},XT!U391,XT!Y391,XT!AC391,XT!AG391))=1)*(CHOOSE({1,2,3,4},XT!X391,XT!AB391,XT!AF391,XT!AJ391)))</f>
        <v>0</v>
      </c>
      <c r="B391">
        <f>IFERROR(INDEX(CHOOSE({1,2,3,4}, DAY(XT!U391), DAY(XT!Y391), DAY(XT!AC391), DAY(XT!AG391)), MATCH(1, INDEX(--(MONTH(CHOOSE({1,2,3,4}, XT!U391,XT!Y391,XT!AC391,XT!AG391))=1), 0), 0)), "")</f>
        <v>0</v>
      </c>
      <c r="C391" s="51" t="str">
        <f>IF(XT!$P391&gt;0,B391,"")</f>
        <v/>
      </c>
      <c r="D391" s="51">
        <f>IF(XT!$P391=0,B391,"")</f>
        <v>0</v>
      </c>
      <c r="E391">
        <f>SUMPRODUCT((MONTH(CHOOSE({1,2,3,4},XT!U391,XT!Y391,XT!AC391,XT!AG391))=2)*(CHOOSE({1,2,3,4},XT!X391,XT!AB391,XT!AF391,XT!AJ391)))</f>
        <v>0</v>
      </c>
      <c r="F391" t="str">
        <f>IFERROR(INDEX(CHOOSE({1,2,3,4}, DAY(XT!U391), DAY(XT!Y391), DAY(XT!AC391), DAY(XT!AG391)), MATCH(1, INDEX(--(MONTH(CHOOSE({1,2,3,4}, XT!U391,XT!Y391,XT!AC391,XT!AG391))=2), 0), 0)), "")</f>
        <v/>
      </c>
      <c r="G391" s="51" t="str">
        <f>IF(XT!$P391&gt;0,F391,"")</f>
        <v/>
      </c>
      <c r="H391" s="51" t="str">
        <f>IF(XT!$P391=0,F391,"")</f>
        <v/>
      </c>
      <c r="I391">
        <f>SUMPRODUCT((MONTH(CHOOSE({1,2,3,4},XT!U391,XT!Y391,XT!AC391,XT!AG391))=3)*(CHOOSE({1,2,3,4},XT!X391,XT!AB391,XT!AF391,XT!AJ391)))</f>
        <v>0</v>
      </c>
      <c r="J391" t="str">
        <f>IFERROR(INDEX(CHOOSE({1,2,3,4}, DAY(XT!U391), DAY(XT!Y391), DAY(XT!AC391), DAY(XT!AG391)), MATCH(1, INDEX(--(MONTH(CHOOSE({1,2,3,4}, XT!U391,XT!Y391,XT!AC391,XT!AG391))=3), 0), 0)), "")</f>
        <v/>
      </c>
      <c r="K391" s="51" t="str">
        <f>IF(XT!$P391&gt;0,J391,"")</f>
        <v/>
      </c>
      <c r="L391" s="51" t="str">
        <f>IF(XT!$P391=0,J391,"")</f>
        <v/>
      </c>
      <c r="M391">
        <f>SUMPRODUCT((MONTH(CHOOSE({1,2,3,4},XT!U391,XT!Y391,XT!AC391,XT!AG391))=4)*(CHOOSE({1,2,3,4},XT!X391,XT!AB391,XT!AF391,XT!AJ391)))</f>
        <v>0</v>
      </c>
      <c r="N391" t="str">
        <f>IFERROR(INDEX(CHOOSE({1,2,3,4}, DAY(XT!U391), DAY(XT!Y391), DAY(XT!AC391), DAY(XT!AG391)), MATCH(1, INDEX(--(MONTH(CHOOSE({1,2,3,4}, XT!U391,XT!Y391,XT!AC391,XT!AG391))=4), 0), 0)), "")</f>
        <v/>
      </c>
      <c r="O391" s="51" t="str">
        <f>IF(XT!$P391&gt;0,N391,"")</f>
        <v/>
      </c>
      <c r="P391" s="51" t="str">
        <f>IF(XT!$P391=0,N391,"")</f>
        <v/>
      </c>
      <c r="Q391">
        <f>SUMPRODUCT((MONTH(CHOOSE({1,2,3,4},XT!U391,XT!Y391,XT!AC391,XT!AG391))=5)*(CHOOSE({1,2,3,4},XT!X391,XT!AB391,XT!AF391,XT!AJ391)))</f>
        <v>0</v>
      </c>
      <c r="R391" t="str">
        <f>IFERROR(INDEX(CHOOSE({1,2,3,4}, DAY(XT!U391), DAY(XT!Y391), DAY(XT!AC391), DAY(XT!AG391)), MATCH(1, INDEX(--(MONTH(CHOOSE({1,2,3,4}, XT!U391,XT!Y391,XT!AC391,XT!AG391))=5), 0), 0)), "")</f>
        <v/>
      </c>
      <c r="S391" s="51" t="str">
        <f>IF(XT!$P391&gt;0,R391,"")</f>
        <v/>
      </c>
      <c r="T391" s="51" t="str">
        <f>IF(XT!$P391=0,R391,"")</f>
        <v/>
      </c>
      <c r="U391">
        <f>SUMPRODUCT((MONTH(CHOOSE({1,2,3,4},XT!U391,XT!Y391,XT!AC391,XT!AG391))=6)*(CHOOSE({1,2,3,4},XT!X391,XT!AB391,XT!AF391,XT!AJ391)))</f>
        <v>0</v>
      </c>
      <c r="V391" t="str">
        <f>IFERROR(INDEX(CHOOSE({1,2,3,4}, DAY(XT!U391), DAY(XT!Y391), DAY(XT!AC391), DAY(XT!AG391)), MATCH(1, INDEX(--(MONTH(CHOOSE({1,2,3,4}, XT!U391,XT!Y391,XT!AC391,XT!AG391))=6), 0), 0)), "")</f>
        <v/>
      </c>
      <c r="W391" s="51" t="str">
        <f>IF(XT!$P391&gt;0,V391,"")</f>
        <v/>
      </c>
      <c r="X391" s="51" t="str">
        <f>IF(XT!$P391=0,V391,"")</f>
        <v/>
      </c>
      <c r="Y391">
        <f>SUMPRODUCT((MONTH(CHOOSE({1,2,3,4},XT!U391,XT!Y391,XT!AC391,XT!AG391))=7)*(CHOOSE({1,2,3,4},XT!X391,XT!AB391,XT!AF391,XT!AJ391)))</f>
        <v>0</v>
      </c>
      <c r="Z391" t="str">
        <f>IFERROR(INDEX(CHOOSE({1,2,3,4}, DAY(XT!U391), DAY(XT!Y391), DAY(XT!AC391), DAY(XT!AG391)), MATCH(1, INDEX(--(MONTH(CHOOSE({1,2,3,4}, XT!U391,XT!Y391,XT!AC391,XT!AG391))=7), 0), 0)), "")</f>
        <v/>
      </c>
      <c r="AA391" s="51" t="str">
        <f>IF(XT!$P391&gt;0,Z391,"")</f>
        <v/>
      </c>
      <c r="AB391" s="51" t="str">
        <f>IF(XT!$P391=0,Z391,"")</f>
        <v/>
      </c>
      <c r="AC391">
        <f>SUMPRODUCT((MONTH(CHOOSE({1,2,3,4},XT!U391,XT!Y391,XT!AC391,XT!AG391))=8)*(CHOOSE({1,2,3,4},XT!X391,XT!AB391,XT!AF391,XT!AJ391)))</f>
        <v>0</v>
      </c>
      <c r="AD391" t="str">
        <f>IFERROR(INDEX(CHOOSE({1,2,3,4}, DAY(XT!U391), DAY(XT!Y391), DAY(XT!AC391), DAY(XT!AG391)), MATCH(1, INDEX(--(MONTH(CHOOSE({1,2,3,4}, XT!U391,XT!Y391,XT!AC391,XT!AG391))=8), 0), 0)), "")</f>
        <v/>
      </c>
      <c r="AE391" s="51" t="str">
        <f>IF(XT!$P391&gt;0,AD391,"")</f>
        <v/>
      </c>
      <c r="AF391" s="51" t="str">
        <f>IF(XT!$P391=0,AD391,"")</f>
        <v/>
      </c>
      <c r="AG391">
        <f>SUMPRODUCT((MONTH(CHOOSE({1,2,3,4},XT!U391,XT!Y391,XT!AC391,XT!AG391))=9)*(CHOOSE({1,2,3,4},XT!X391,XT!AB391,XT!AF391,XT!AJ391)))</f>
        <v>0</v>
      </c>
      <c r="AH391" t="str">
        <f>IFERROR(INDEX(CHOOSE({1,2,3,4}, DAY(XT!U391), DAY(XT!Y391), DAY(XT!AC391), DAY(XT!AG391)), MATCH(1, INDEX(--(MONTH(CHOOSE({1,2,3,4}, XT!U391,XT!Y391,XT!AC391,XT!AG391))=9), 0), 0)), "")</f>
        <v/>
      </c>
      <c r="AI391" s="51" t="str">
        <f>IF(XT!$P391&gt;0,AH391,"")</f>
        <v/>
      </c>
      <c r="AJ391" s="51" t="str">
        <f>IF(XT!$P391=0,AH391,"")</f>
        <v/>
      </c>
      <c r="AK391">
        <f>SUMPRODUCT((MONTH(CHOOSE({1,2,3,4},XT!U391,XT!Y391,XT!AC391,XT!AG391))=10)*(CHOOSE({1,2,3,4},XT!X391,XT!AB391,XT!AF391,XT!AJ391)))</f>
        <v>0</v>
      </c>
      <c r="AL391" t="str">
        <f>IFERROR(INDEX(CHOOSE({1,2,3,4}, DAY(XT!U391), DAY(XT!Y391), DAY(XT!AC391), DAY(XT!AG391)), MATCH(1, INDEX(--(MONTH(CHOOSE({1,2,3,4}, XT!U391,XT!Y391,XT!AC391,XT!AG391))=10), 0), 0)), "")</f>
        <v/>
      </c>
      <c r="AM391" s="51" t="str">
        <f>IF(XT!$P391&gt;0,AL391,"")</f>
        <v/>
      </c>
      <c r="AN391" s="51" t="str">
        <f>IF(XT!$P391=0,AL391,"")</f>
        <v/>
      </c>
      <c r="AO391">
        <f>SUMPRODUCT((MONTH(CHOOSE({1,2,3,4},XT!U391,XT!Y391,XT!AC391,XT!AG391))=11)*(CHOOSE({1,2,3,4},XT!X391,XT!AB391,XT!AF391,XT!AJ391)))</f>
        <v>0</v>
      </c>
      <c r="AP391" t="str">
        <f>IFERROR(INDEX(CHOOSE({1,2,3,4}, DAY(XT!U391), DAY(XT!Y391), DAY(XT!AC391), DAY(XT!AG391)), MATCH(1, INDEX(--(MONTH(CHOOSE({1,2,3,4}, XT!U391,XT!Y391,XT!AC391,XT!AG391))=11), 0), 0)), "")</f>
        <v/>
      </c>
      <c r="AQ391" s="51" t="str">
        <f>IF(XT!$P391&gt;0,AP391,"")</f>
        <v/>
      </c>
      <c r="AR391" s="51" t="str">
        <f>IF(XT!$P391=0,AP391,"")</f>
        <v/>
      </c>
      <c r="AS391">
        <f>SUMPRODUCT((MONTH(CHOOSE({1,2,3,4},XT!U391,XT!Y391,XT!AC391,XT!AG391))=12)*(CHOOSE({1,2,3,4},XT!X391,XT!AB391,XT!AF391,XT!AJ391)))</f>
        <v>0</v>
      </c>
      <c r="AT391" t="str">
        <f>IFERROR(INDEX(CHOOSE({1,2,3,4}, DAY(XT!U391), DAY(XT!Y391), DAY(XT!AC391), DAY(XT!AG391)), MATCH(1, INDEX(--(MONTH(CHOOSE({1,2,3,4}, XT!U391,XT!Y391,XT!AC391,XT!AG391))=12), 0), 0)), "")</f>
        <v/>
      </c>
      <c r="AU391" s="51" t="str">
        <f>IF(XT!$P391&gt;0,AT391,"")</f>
        <v/>
      </c>
      <c r="AV391" s="51" t="str">
        <f>IF(XT!$P391=0,AT391,"")</f>
        <v/>
      </c>
    </row>
    <row r="392" spans="1:48">
      <c r="A392">
        <f>SUMPRODUCT((MONTH(CHOOSE({1,2,3,4},XT!U392,XT!Y392,XT!AC392,XT!AG392))=1)*(CHOOSE({1,2,3,4},XT!X392,XT!AB392,XT!AF392,XT!AJ392)))</f>
        <v>0</v>
      </c>
      <c r="B392">
        <f>IFERROR(INDEX(CHOOSE({1,2,3,4}, DAY(XT!U392), DAY(XT!Y392), DAY(XT!AC392), DAY(XT!AG392)), MATCH(1, INDEX(--(MONTH(CHOOSE({1,2,3,4}, XT!U392,XT!Y392,XT!AC392,XT!AG392))=1), 0), 0)), "")</f>
        <v>0</v>
      </c>
      <c r="C392" s="51" t="str">
        <f>IF(XT!$P392&gt;0,B392,"")</f>
        <v/>
      </c>
      <c r="D392" s="51">
        <f>IF(XT!$P392=0,B392,"")</f>
        <v>0</v>
      </c>
      <c r="E392">
        <f>SUMPRODUCT((MONTH(CHOOSE({1,2,3,4},XT!U392,XT!Y392,XT!AC392,XT!AG392))=2)*(CHOOSE({1,2,3,4},XT!X392,XT!AB392,XT!AF392,XT!AJ392)))</f>
        <v>0</v>
      </c>
      <c r="F392" t="str">
        <f>IFERROR(INDEX(CHOOSE({1,2,3,4}, DAY(XT!U392), DAY(XT!Y392), DAY(XT!AC392), DAY(XT!AG392)), MATCH(1, INDEX(--(MONTH(CHOOSE({1,2,3,4}, XT!U392,XT!Y392,XT!AC392,XT!AG392))=2), 0), 0)), "")</f>
        <v/>
      </c>
      <c r="G392" s="51" t="str">
        <f>IF(XT!$P392&gt;0,F392,"")</f>
        <v/>
      </c>
      <c r="H392" s="51" t="str">
        <f>IF(XT!$P392=0,F392,"")</f>
        <v/>
      </c>
      <c r="I392">
        <f>SUMPRODUCT((MONTH(CHOOSE({1,2,3,4},XT!U392,XT!Y392,XT!AC392,XT!AG392))=3)*(CHOOSE({1,2,3,4},XT!X392,XT!AB392,XT!AF392,XT!AJ392)))</f>
        <v>0</v>
      </c>
      <c r="J392" t="str">
        <f>IFERROR(INDEX(CHOOSE({1,2,3,4}, DAY(XT!U392), DAY(XT!Y392), DAY(XT!AC392), DAY(XT!AG392)), MATCH(1, INDEX(--(MONTH(CHOOSE({1,2,3,4}, XT!U392,XT!Y392,XT!AC392,XT!AG392))=3), 0), 0)), "")</f>
        <v/>
      </c>
      <c r="K392" s="51" t="str">
        <f>IF(XT!$P392&gt;0,J392,"")</f>
        <v/>
      </c>
      <c r="L392" s="51" t="str">
        <f>IF(XT!$P392=0,J392,"")</f>
        <v/>
      </c>
      <c r="M392">
        <f>SUMPRODUCT((MONTH(CHOOSE({1,2,3,4},XT!U392,XT!Y392,XT!AC392,XT!AG392))=4)*(CHOOSE({1,2,3,4},XT!X392,XT!AB392,XT!AF392,XT!AJ392)))</f>
        <v>0</v>
      </c>
      <c r="N392" t="str">
        <f>IFERROR(INDEX(CHOOSE({1,2,3,4}, DAY(XT!U392), DAY(XT!Y392), DAY(XT!AC392), DAY(XT!AG392)), MATCH(1, INDEX(--(MONTH(CHOOSE({1,2,3,4}, XT!U392,XT!Y392,XT!AC392,XT!AG392))=4), 0), 0)), "")</f>
        <v/>
      </c>
      <c r="O392" s="51" t="str">
        <f>IF(XT!$P392&gt;0,N392,"")</f>
        <v/>
      </c>
      <c r="P392" s="51" t="str">
        <f>IF(XT!$P392=0,N392,"")</f>
        <v/>
      </c>
      <c r="Q392">
        <f>SUMPRODUCT((MONTH(CHOOSE({1,2,3,4},XT!U392,XT!Y392,XT!AC392,XT!AG392))=5)*(CHOOSE({1,2,3,4},XT!X392,XT!AB392,XT!AF392,XT!AJ392)))</f>
        <v>0</v>
      </c>
      <c r="R392" t="str">
        <f>IFERROR(INDEX(CHOOSE({1,2,3,4}, DAY(XT!U392), DAY(XT!Y392), DAY(XT!AC392), DAY(XT!AG392)), MATCH(1, INDEX(--(MONTH(CHOOSE({1,2,3,4}, XT!U392,XT!Y392,XT!AC392,XT!AG392))=5), 0), 0)), "")</f>
        <v/>
      </c>
      <c r="S392" s="51" t="str">
        <f>IF(XT!$P392&gt;0,R392,"")</f>
        <v/>
      </c>
      <c r="T392" s="51" t="str">
        <f>IF(XT!$P392=0,R392,"")</f>
        <v/>
      </c>
      <c r="U392">
        <f>SUMPRODUCT((MONTH(CHOOSE({1,2,3,4},XT!U392,XT!Y392,XT!AC392,XT!AG392))=6)*(CHOOSE({1,2,3,4},XT!X392,XT!AB392,XT!AF392,XT!AJ392)))</f>
        <v>0</v>
      </c>
      <c r="V392" t="str">
        <f>IFERROR(INDEX(CHOOSE({1,2,3,4}, DAY(XT!U392), DAY(XT!Y392), DAY(XT!AC392), DAY(XT!AG392)), MATCH(1, INDEX(--(MONTH(CHOOSE({1,2,3,4}, XT!U392,XT!Y392,XT!AC392,XT!AG392))=6), 0), 0)), "")</f>
        <v/>
      </c>
      <c r="W392" s="51" t="str">
        <f>IF(XT!$P392&gt;0,V392,"")</f>
        <v/>
      </c>
      <c r="X392" s="51" t="str">
        <f>IF(XT!$P392=0,V392,"")</f>
        <v/>
      </c>
      <c r="Y392">
        <f>SUMPRODUCT((MONTH(CHOOSE({1,2,3,4},XT!U392,XT!Y392,XT!AC392,XT!AG392))=7)*(CHOOSE({1,2,3,4},XT!X392,XT!AB392,XT!AF392,XT!AJ392)))</f>
        <v>0</v>
      </c>
      <c r="Z392" t="str">
        <f>IFERROR(INDEX(CHOOSE({1,2,3,4}, DAY(XT!U392), DAY(XT!Y392), DAY(XT!AC392), DAY(XT!AG392)), MATCH(1, INDEX(--(MONTH(CHOOSE({1,2,3,4}, XT!U392,XT!Y392,XT!AC392,XT!AG392))=7), 0), 0)), "")</f>
        <v/>
      </c>
      <c r="AA392" s="51" t="str">
        <f>IF(XT!$P392&gt;0,Z392,"")</f>
        <v/>
      </c>
      <c r="AB392" s="51" t="str">
        <f>IF(XT!$P392=0,Z392,"")</f>
        <v/>
      </c>
      <c r="AC392">
        <f>SUMPRODUCT((MONTH(CHOOSE({1,2,3,4},XT!U392,XT!Y392,XT!AC392,XT!AG392))=8)*(CHOOSE({1,2,3,4},XT!X392,XT!AB392,XT!AF392,XT!AJ392)))</f>
        <v>0</v>
      </c>
      <c r="AD392" t="str">
        <f>IFERROR(INDEX(CHOOSE({1,2,3,4}, DAY(XT!U392), DAY(XT!Y392), DAY(XT!AC392), DAY(XT!AG392)), MATCH(1, INDEX(--(MONTH(CHOOSE({1,2,3,4}, XT!U392,XT!Y392,XT!AC392,XT!AG392))=8), 0), 0)), "")</f>
        <v/>
      </c>
      <c r="AE392" s="51" t="str">
        <f>IF(XT!$P392&gt;0,AD392,"")</f>
        <v/>
      </c>
      <c r="AF392" s="51" t="str">
        <f>IF(XT!$P392=0,AD392,"")</f>
        <v/>
      </c>
      <c r="AG392">
        <f>SUMPRODUCT((MONTH(CHOOSE({1,2,3,4},XT!U392,XT!Y392,XT!AC392,XT!AG392))=9)*(CHOOSE({1,2,3,4},XT!X392,XT!AB392,XT!AF392,XT!AJ392)))</f>
        <v>0</v>
      </c>
      <c r="AH392" t="str">
        <f>IFERROR(INDEX(CHOOSE({1,2,3,4}, DAY(XT!U392), DAY(XT!Y392), DAY(XT!AC392), DAY(XT!AG392)), MATCH(1, INDEX(--(MONTH(CHOOSE({1,2,3,4}, XT!U392,XT!Y392,XT!AC392,XT!AG392))=9), 0), 0)), "")</f>
        <v/>
      </c>
      <c r="AI392" s="51" t="str">
        <f>IF(XT!$P392&gt;0,AH392,"")</f>
        <v/>
      </c>
      <c r="AJ392" s="51" t="str">
        <f>IF(XT!$P392=0,AH392,"")</f>
        <v/>
      </c>
      <c r="AK392">
        <f>SUMPRODUCT((MONTH(CHOOSE({1,2,3,4},XT!U392,XT!Y392,XT!AC392,XT!AG392))=10)*(CHOOSE({1,2,3,4},XT!X392,XT!AB392,XT!AF392,XT!AJ392)))</f>
        <v>0</v>
      </c>
      <c r="AL392" t="str">
        <f>IFERROR(INDEX(CHOOSE({1,2,3,4}, DAY(XT!U392), DAY(XT!Y392), DAY(XT!AC392), DAY(XT!AG392)), MATCH(1, INDEX(--(MONTH(CHOOSE({1,2,3,4}, XT!U392,XT!Y392,XT!AC392,XT!AG392))=10), 0), 0)), "")</f>
        <v/>
      </c>
      <c r="AM392" s="51" t="str">
        <f>IF(XT!$P392&gt;0,AL392,"")</f>
        <v/>
      </c>
      <c r="AN392" s="51" t="str">
        <f>IF(XT!$P392=0,AL392,"")</f>
        <v/>
      </c>
      <c r="AO392">
        <f>SUMPRODUCT((MONTH(CHOOSE({1,2,3,4},XT!U392,XT!Y392,XT!AC392,XT!AG392))=11)*(CHOOSE({1,2,3,4},XT!X392,XT!AB392,XT!AF392,XT!AJ392)))</f>
        <v>0</v>
      </c>
      <c r="AP392" t="str">
        <f>IFERROR(INDEX(CHOOSE({1,2,3,4}, DAY(XT!U392), DAY(XT!Y392), DAY(XT!AC392), DAY(XT!AG392)), MATCH(1, INDEX(--(MONTH(CHOOSE({1,2,3,4}, XT!U392,XT!Y392,XT!AC392,XT!AG392))=11), 0), 0)), "")</f>
        <v/>
      </c>
      <c r="AQ392" s="51" t="str">
        <f>IF(XT!$P392&gt;0,AP392,"")</f>
        <v/>
      </c>
      <c r="AR392" s="51" t="str">
        <f>IF(XT!$P392=0,AP392,"")</f>
        <v/>
      </c>
      <c r="AS392">
        <f>SUMPRODUCT((MONTH(CHOOSE({1,2,3,4},XT!U392,XT!Y392,XT!AC392,XT!AG392))=12)*(CHOOSE({1,2,3,4},XT!X392,XT!AB392,XT!AF392,XT!AJ392)))</f>
        <v>0</v>
      </c>
      <c r="AT392" t="str">
        <f>IFERROR(INDEX(CHOOSE({1,2,3,4}, DAY(XT!U392), DAY(XT!Y392), DAY(XT!AC392), DAY(XT!AG392)), MATCH(1, INDEX(--(MONTH(CHOOSE({1,2,3,4}, XT!U392,XT!Y392,XT!AC392,XT!AG392))=12), 0), 0)), "")</f>
        <v/>
      </c>
      <c r="AU392" s="51" t="str">
        <f>IF(XT!$P392&gt;0,AT392,"")</f>
        <v/>
      </c>
      <c r="AV392" s="51" t="str">
        <f>IF(XT!$P392=0,AT392,"")</f>
        <v/>
      </c>
    </row>
    <row r="393" spans="1:48">
      <c r="A393">
        <f>SUMPRODUCT((MONTH(CHOOSE({1,2,3,4},XT!U393,XT!Y393,XT!AC393,XT!AG393))=1)*(CHOOSE({1,2,3,4},XT!X393,XT!AB393,XT!AF393,XT!AJ393)))</f>
        <v>0</v>
      </c>
      <c r="B393">
        <f>IFERROR(INDEX(CHOOSE({1,2,3,4}, DAY(XT!U393), DAY(XT!Y393), DAY(XT!AC393), DAY(XT!AG393)), MATCH(1, INDEX(--(MONTH(CHOOSE({1,2,3,4}, XT!U393,XT!Y393,XT!AC393,XT!AG393))=1), 0), 0)), "")</f>
        <v>0</v>
      </c>
      <c r="C393" s="51" t="str">
        <f>IF(XT!$P393&gt;0,B393,"")</f>
        <v/>
      </c>
      <c r="D393" s="51">
        <f>IF(XT!$P393=0,B393,"")</f>
        <v>0</v>
      </c>
      <c r="E393">
        <f>SUMPRODUCT((MONTH(CHOOSE({1,2,3,4},XT!U393,XT!Y393,XT!AC393,XT!AG393))=2)*(CHOOSE({1,2,3,4},XT!X393,XT!AB393,XT!AF393,XT!AJ393)))</f>
        <v>0</v>
      </c>
      <c r="F393" t="str">
        <f>IFERROR(INDEX(CHOOSE({1,2,3,4}, DAY(XT!U393), DAY(XT!Y393), DAY(XT!AC393), DAY(XT!AG393)), MATCH(1, INDEX(--(MONTH(CHOOSE({1,2,3,4}, XT!U393,XT!Y393,XT!AC393,XT!AG393))=2), 0), 0)), "")</f>
        <v/>
      </c>
      <c r="G393" s="51" t="str">
        <f>IF(XT!$P393&gt;0,F393,"")</f>
        <v/>
      </c>
      <c r="H393" s="51" t="str">
        <f>IF(XT!$P393=0,F393,"")</f>
        <v/>
      </c>
      <c r="I393">
        <f>SUMPRODUCT((MONTH(CHOOSE({1,2,3,4},XT!U393,XT!Y393,XT!AC393,XT!AG393))=3)*(CHOOSE({1,2,3,4},XT!X393,XT!AB393,XT!AF393,XT!AJ393)))</f>
        <v>0</v>
      </c>
      <c r="J393" t="str">
        <f>IFERROR(INDEX(CHOOSE({1,2,3,4}, DAY(XT!U393), DAY(XT!Y393), DAY(XT!AC393), DAY(XT!AG393)), MATCH(1, INDEX(--(MONTH(CHOOSE({1,2,3,4}, XT!U393,XT!Y393,XT!AC393,XT!AG393))=3), 0), 0)), "")</f>
        <v/>
      </c>
      <c r="K393" s="51" t="str">
        <f>IF(XT!$P393&gt;0,J393,"")</f>
        <v/>
      </c>
      <c r="L393" s="51" t="str">
        <f>IF(XT!$P393=0,J393,"")</f>
        <v/>
      </c>
      <c r="M393">
        <f>SUMPRODUCT((MONTH(CHOOSE({1,2,3,4},XT!U393,XT!Y393,XT!AC393,XT!AG393))=4)*(CHOOSE({1,2,3,4},XT!X393,XT!AB393,XT!AF393,XT!AJ393)))</f>
        <v>0</v>
      </c>
      <c r="N393" t="str">
        <f>IFERROR(INDEX(CHOOSE({1,2,3,4}, DAY(XT!U393), DAY(XT!Y393), DAY(XT!AC393), DAY(XT!AG393)), MATCH(1, INDEX(--(MONTH(CHOOSE({1,2,3,4}, XT!U393,XT!Y393,XT!AC393,XT!AG393))=4), 0), 0)), "")</f>
        <v/>
      </c>
      <c r="O393" s="51" t="str">
        <f>IF(XT!$P393&gt;0,N393,"")</f>
        <v/>
      </c>
      <c r="P393" s="51" t="str">
        <f>IF(XT!$P393=0,N393,"")</f>
        <v/>
      </c>
      <c r="Q393">
        <f>SUMPRODUCT((MONTH(CHOOSE({1,2,3,4},XT!U393,XT!Y393,XT!AC393,XT!AG393))=5)*(CHOOSE({1,2,3,4},XT!X393,XT!AB393,XT!AF393,XT!AJ393)))</f>
        <v>0</v>
      </c>
      <c r="R393" t="str">
        <f>IFERROR(INDEX(CHOOSE({1,2,3,4}, DAY(XT!U393), DAY(XT!Y393), DAY(XT!AC393), DAY(XT!AG393)), MATCH(1, INDEX(--(MONTH(CHOOSE({1,2,3,4}, XT!U393,XT!Y393,XT!AC393,XT!AG393))=5), 0), 0)), "")</f>
        <v/>
      </c>
      <c r="S393" s="51" t="str">
        <f>IF(XT!$P393&gt;0,R393,"")</f>
        <v/>
      </c>
      <c r="T393" s="51" t="str">
        <f>IF(XT!$P393=0,R393,"")</f>
        <v/>
      </c>
      <c r="U393">
        <f>SUMPRODUCT((MONTH(CHOOSE({1,2,3,4},XT!U393,XT!Y393,XT!AC393,XT!AG393))=6)*(CHOOSE({1,2,3,4},XT!X393,XT!AB393,XT!AF393,XT!AJ393)))</f>
        <v>0</v>
      </c>
      <c r="V393" t="str">
        <f>IFERROR(INDEX(CHOOSE({1,2,3,4}, DAY(XT!U393), DAY(XT!Y393), DAY(XT!AC393), DAY(XT!AG393)), MATCH(1, INDEX(--(MONTH(CHOOSE({1,2,3,4}, XT!U393,XT!Y393,XT!AC393,XT!AG393))=6), 0), 0)), "")</f>
        <v/>
      </c>
      <c r="W393" s="51" t="str">
        <f>IF(XT!$P393&gt;0,V393,"")</f>
        <v/>
      </c>
      <c r="X393" s="51" t="str">
        <f>IF(XT!$P393=0,V393,"")</f>
        <v/>
      </c>
      <c r="Y393">
        <f>SUMPRODUCT((MONTH(CHOOSE({1,2,3,4},XT!U393,XT!Y393,XT!AC393,XT!AG393))=7)*(CHOOSE({1,2,3,4},XT!X393,XT!AB393,XT!AF393,XT!AJ393)))</f>
        <v>0</v>
      </c>
      <c r="Z393" t="str">
        <f>IFERROR(INDEX(CHOOSE({1,2,3,4}, DAY(XT!U393), DAY(XT!Y393), DAY(XT!AC393), DAY(XT!AG393)), MATCH(1, INDEX(--(MONTH(CHOOSE({1,2,3,4}, XT!U393,XT!Y393,XT!AC393,XT!AG393))=7), 0), 0)), "")</f>
        <v/>
      </c>
      <c r="AA393" s="51" t="str">
        <f>IF(XT!$P393&gt;0,Z393,"")</f>
        <v/>
      </c>
      <c r="AB393" s="51" t="str">
        <f>IF(XT!$P393=0,Z393,"")</f>
        <v/>
      </c>
      <c r="AC393">
        <f>SUMPRODUCT((MONTH(CHOOSE({1,2,3,4},XT!U393,XT!Y393,XT!AC393,XT!AG393))=8)*(CHOOSE({1,2,3,4},XT!X393,XT!AB393,XT!AF393,XT!AJ393)))</f>
        <v>0</v>
      </c>
      <c r="AD393" t="str">
        <f>IFERROR(INDEX(CHOOSE({1,2,3,4}, DAY(XT!U393), DAY(XT!Y393), DAY(XT!AC393), DAY(XT!AG393)), MATCH(1, INDEX(--(MONTH(CHOOSE({1,2,3,4}, XT!U393,XT!Y393,XT!AC393,XT!AG393))=8), 0), 0)), "")</f>
        <v/>
      </c>
      <c r="AE393" s="51" t="str">
        <f>IF(XT!$P393&gt;0,AD393,"")</f>
        <v/>
      </c>
      <c r="AF393" s="51" t="str">
        <f>IF(XT!$P393=0,AD393,"")</f>
        <v/>
      </c>
      <c r="AG393">
        <f>SUMPRODUCT((MONTH(CHOOSE({1,2,3,4},XT!U393,XT!Y393,XT!AC393,XT!AG393))=9)*(CHOOSE({1,2,3,4},XT!X393,XT!AB393,XT!AF393,XT!AJ393)))</f>
        <v>0</v>
      </c>
      <c r="AH393" t="str">
        <f>IFERROR(INDEX(CHOOSE({1,2,3,4}, DAY(XT!U393), DAY(XT!Y393), DAY(XT!AC393), DAY(XT!AG393)), MATCH(1, INDEX(--(MONTH(CHOOSE({1,2,3,4}, XT!U393,XT!Y393,XT!AC393,XT!AG393))=9), 0), 0)), "")</f>
        <v/>
      </c>
      <c r="AI393" s="51" t="str">
        <f>IF(XT!$P393&gt;0,AH393,"")</f>
        <v/>
      </c>
      <c r="AJ393" s="51" t="str">
        <f>IF(XT!$P393=0,AH393,"")</f>
        <v/>
      </c>
      <c r="AK393">
        <f>SUMPRODUCT((MONTH(CHOOSE({1,2,3,4},XT!U393,XT!Y393,XT!AC393,XT!AG393))=10)*(CHOOSE({1,2,3,4},XT!X393,XT!AB393,XT!AF393,XT!AJ393)))</f>
        <v>0</v>
      </c>
      <c r="AL393" t="str">
        <f>IFERROR(INDEX(CHOOSE({1,2,3,4}, DAY(XT!U393), DAY(XT!Y393), DAY(XT!AC393), DAY(XT!AG393)), MATCH(1, INDEX(--(MONTH(CHOOSE({1,2,3,4}, XT!U393,XT!Y393,XT!AC393,XT!AG393))=10), 0), 0)), "")</f>
        <v/>
      </c>
      <c r="AM393" s="51" t="str">
        <f>IF(XT!$P393&gt;0,AL393,"")</f>
        <v/>
      </c>
      <c r="AN393" s="51" t="str">
        <f>IF(XT!$P393=0,AL393,"")</f>
        <v/>
      </c>
      <c r="AO393">
        <f>SUMPRODUCT((MONTH(CHOOSE({1,2,3,4},XT!U393,XT!Y393,XT!AC393,XT!AG393))=11)*(CHOOSE({1,2,3,4},XT!X393,XT!AB393,XT!AF393,XT!AJ393)))</f>
        <v>0</v>
      </c>
      <c r="AP393" t="str">
        <f>IFERROR(INDEX(CHOOSE({1,2,3,4}, DAY(XT!U393), DAY(XT!Y393), DAY(XT!AC393), DAY(XT!AG393)), MATCH(1, INDEX(--(MONTH(CHOOSE({1,2,3,4}, XT!U393,XT!Y393,XT!AC393,XT!AG393))=11), 0), 0)), "")</f>
        <v/>
      </c>
      <c r="AQ393" s="51" t="str">
        <f>IF(XT!$P393&gt;0,AP393,"")</f>
        <v/>
      </c>
      <c r="AR393" s="51" t="str">
        <f>IF(XT!$P393=0,AP393,"")</f>
        <v/>
      </c>
      <c r="AS393">
        <f>SUMPRODUCT((MONTH(CHOOSE({1,2,3,4},XT!U393,XT!Y393,XT!AC393,XT!AG393))=12)*(CHOOSE({1,2,3,4},XT!X393,XT!AB393,XT!AF393,XT!AJ393)))</f>
        <v>0</v>
      </c>
      <c r="AT393" t="str">
        <f>IFERROR(INDEX(CHOOSE({1,2,3,4}, DAY(XT!U393), DAY(XT!Y393), DAY(XT!AC393), DAY(XT!AG393)), MATCH(1, INDEX(--(MONTH(CHOOSE({1,2,3,4}, XT!U393,XT!Y393,XT!AC393,XT!AG393))=12), 0), 0)), "")</f>
        <v/>
      </c>
      <c r="AU393" s="51" t="str">
        <f>IF(XT!$P393&gt;0,AT393,"")</f>
        <v/>
      </c>
      <c r="AV393" s="51" t="str">
        <f>IF(XT!$P393=0,AT393,"")</f>
        <v/>
      </c>
    </row>
    <row r="394" spans="1:48">
      <c r="A394">
        <f>SUMPRODUCT((MONTH(CHOOSE({1,2,3,4},XT!U394,XT!Y394,XT!AC394,XT!AG394))=1)*(CHOOSE({1,2,3,4},XT!X394,XT!AB394,XT!AF394,XT!AJ394)))</f>
        <v>0</v>
      </c>
      <c r="B394">
        <f>IFERROR(INDEX(CHOOSE({1,2,3,4}, DAY(XT!U394), DAY(XT!Y394), DAY(XT!AC394), DAY(XT!AG394)), MATCH(1, INDEX(--(MONTH(CHOOSE({1,2,3,4}, XT!U394,XT!Y394,XT!AC394,XT!AG394))=1), 0), 0)), "")</f>
        <v>0</v>
      </c>
      <c r="C394" s="51" t="str">
        <f>IF(XT!$P394&gt;0,B394,"")</f>
        <v/>
      </c>
      <c r="D394" s="51">
        <f>IF(XT!$P394=0,B394,"")</f>
        <v>0</v>
      </c>
      <c r="E394">
        <f>SUMPRODUCT((MONTH(CHOOSE({1,2,3,4},XT!U394,XT!Y394,XT!AC394,XT!AG394))=2)*(CHOOSE({1,2,3,4},XT!X394,XT!AB394,XT!AF394,XT!AJ394)))</f>
        <v>0</v>
      </c>
      <c r="F394" t="str">
        <f>IFERROR(INDEX(CHOOSE({1,2,3,4}, DAY(XT!U394), DAY(XT!Y394), DAY(XT!AC394), DAY(XT!AG394)), MATCH(1, INDEX(--(MONTH(CHOOSE({1,2,3,4}, XT!U394,XT!Y394,XT!AC394,XT!AG394))=2), 0), 0)), "")</f>
        <v/>
      </c>
      <c r="G394" s="51" t="str">
        <f>IF(XT!$P394&gt;0,F394,"")</f>
        <v/>
      </c>
      <c r="H394" s="51" t="str">
        <f>IF(XT!$P394=0,F394,"")</f>
        <v/>
      </c>
      <c r="I394">
        <f>SUMPRODUCT((MONTH(CHOOSE({1,2,3,4},XT!U394,XT!Y394,XT!AC394,XT!AG394))=3)*(CHOOSE({1,2,3,4},XT!X394,XT!AB394,XT!AF394,XT!AJ394)))</f>
        <v>0</v>
      </c>
      <c r="J394" t="str">
        <f>IFERROR(INDEX(CHOOSE({1,2,3,4}, DAY(XT!U394), DAY(XT!Y394), DAY(XT!AC394), DAY(XT!AG394)), MATCH(1, INDEX(--(MONTH(CHOOSE({1,2,3,4}, XT!U394,XT!Y394,XT!AC394,XT!AG394))=3), 0), 0)), "")</f>
        <v/>
      </c>
      <c r="K394" s="51" t="str">
        <f>IF(XT!$P394&gt;0,J394,"")</f>
        <v/>
      </c>
      <c r="L394" s="51" t="str">
        <f>IF(XT!$P394=0,J394,"")</f>
        <v/>
      </c>
      <c r="M394">
        <f>SUMPRODUCT((MONTH(CHOOSE({1,2,3,4},XT!U394,XT!Y394,XT!AC394,XT!AG394))=4)*(CHOOSE({1,2,3,4},XT!X394,XT!AB394,XT!AF394,XT!AJ394)))</f>
        <v>0</v>
      </c>
      <c r="N394" t="str">
        <f>IFERROR(INDEX(CHOOSE({1,2,3,4}, DAY(XT!U394), DAY(XT!Y394), DAY(XT!AC394), DAY(XT!AG394)), MATCH(1, INDEX(--(MONTH(CHOOSE({1,2,3,4}, XT!U394,XT!Y394,XT!AC394,XT!AG394))=4), 0), 0)), "")</f>
        <v/>
      </c>
      <c r="O394" s="51" t="str">
        <f>IF(XT!$P394&gt;0,N394,"")</f>
        <v/>
      </c>
      <c r="P394" s="51" t="str">
        <f>IF(XT!$P394=0,N394,"")</f>
        <v/>
      </c>
      <c r="Q394">
        <f>SUMPRODUCT((MONTH(CHOOSE({1,2,3,4},XT!U394,XT!Y394,XT!AC394,XT!AG394))=5)*(CHOOSE({1,2,3,4},XT!X394,XT!AB394,XT!AF394,XT!AJ394)))</f>
        <v>0</v>
      </c>
      <c r="R394" t="str">
        <f>IFERROR(INDEX(CHOOSE({1,2,3,4}, DAY(XT!U394), DAY(XT!Y394), DAY(XT!AC394), DAY(XT!AG394)), MATCH(1, INDEX(--(MONTH(CHOOSE({1,2,3,4}, XT!U394,XT!Y394,XT!AC394,XT!AG394))=5), 0), 0)), "")</f>
        <v/>
      </c>
      <c r="S394" s="51" t="str">
        <f>IF(XT!$P394&gt;0,R394,"")</f>
        <v/>
      </c>
      <c r="T394" s="51" t="str">
        <f>IF(XT!$P394=0,R394,"")</f>
        <v/>
      </c>
      <c r="U394">
        <f>SUMPRODUCT((MONTH(CHOOSE({1,2,3,4},XT!U394,XT!Y394,XT!AC394,XT!AG394))=6)*(CHOOSE({1,2,3,4},XT!X394,XT!AB394,XT!AF394,XT!AJ394)))</f>
        <v>0</v>
      </c>
      <c r="V394" t="str">
        <f>IFERROR(INDEX(CHOOSE({1,2,3,4}, DAY(XT!U394), DAY(XT!Y394), DAY(XT!AC394), DAY(XT!AG394)), MATCH(1, INDEX(--(MONTH(CHOOSE({1,2,3,4}, XT!U394,XT!Y394,XT!AC394,XT!AG394))=6), 0), 0)), "")</f>
        <v/>
      </c>
      <c r="W394" s="51" t="str">
        <f>IF(XT!$P394&gt;0,V394,"")</f>
        <v/>
      </c>
      <c r="X394" s="51" t="str">
        <f>IF(XT!$P394=0,V394,"")</f>
        <v/>
      </c>
      <c r="Y394">
        <f>SUMPRODUCT((MONTH(CHOOSE({1,2,3,4},XT!U394,XT!Y394,XT!AC394,XT!AG394))=7)*(CHOOSE({1,2,3,4},XT!X394,XT!AB394,XT!AF394,XT!AJ394)))</f>
        <v>0</v>
      </c>
      <c r="Z394" t="str">
        <f>IFERROR(INDEX(CHOOSE({1,2,3,4}, DAY(XT!U394), DAY(XT!Y394), DAY(XT!AC394), DAY(XT!AG394)), MATCH(1, INDEX(--(MONTH(CHOOSE({1,2,3,4}, XT!U394,XT!Y394,XT!AC394,XT!AG394))=7), 0), 0)), "")</f>
        <v/>
      </c>
      <c r="AA394" s="51" t="str">
        <f>IF(XT!$P394&gt;0,Z394,"")</f>
        <v/>
      </c>
      <c r="AB394" s="51" t="str">
        <f>IF(XT!$P394=0,Z394,"")</f>
        <v/>
      </c>
      <c r="AC394">
        <f>SUMPRODUCT((MONTH(CHOOSE({1,2,3,4},XT!U394,XT!Y394,XT!AC394,XT!AG394))=8)*(CHOOSE({1,2,3,4},XT!X394,XT!AB394,XT!AF394,XT!AJ394)))</f>
        <v>0</v>
      </c>
      <c r="AD394" t="str">
        <f>IFERROR(INDEX(CHOOSE({1,2,3,4}, DAY(XT!U394), DAY(XT!Y394), DAY(XT!AC394), DAY(XT!AG394)), MATCH(1, INDEX(--(MONTH(CHOOSE({1,2,3,4}, XT!U394,XT!Y394,XT!AC394,XT!AG394))=8), 0), 0)), "")</f>
        <v/>
      </c>
      <c r="AE394" s="51" t="str">
        <f>IF(XT!$P394&gt;0,AD394,"")</f>
        <v/>
      </c>
      <c r="AF394" s="51" t="str">
        <f>IF(XT!$P394=0,AD394,"")</f>
        <v/>
      </c>
      <c r="AG394">
        <f>SUMPRODUCT((MONTH(CHOOSE({1,2,3,4},XT!U394,XT!Y394,XT!AC394,XT!AG394))=9)*(CHOOSE({1,2,3,4},XT!X394,XT!AB394,XT!AF394,XT!AJ394)))</f>
        <v>0</v>
      </c>
      <c r="AH394" t="str">
        <f>IFERROR(INDEX(CHOOSE({1,2,3,4}, DAY(XT!U394), DAY(XT!Y394), DAY(XT!AC394), DAY(XT!AG394)), MATCH(1, INDEX(--(MONTH(CHOOSE({1,2,3,4}, XT!U394,XT!Y394,XT!AC394,XT!AG394))=9), 0), 0)), "")</f>
        <v/>
      </c>
      <c r="AI394" s="51" t="str">
        <f>IF(XT!$P394&gt;0,AH394,"")</f>
        <v/>
      </c>
      <c r="AJ394" s="51" t="str">
        <f>IF(XT!$P394=0,AH394,"")</f>
        <v/>
      </c>
      <c r="AK394">
        <f>SUMPRODUCT((MONTH(CHOOSE({1,2,3,4},XT!U394,XT!Y394,XT!AC394,XT!AG394))=10)*(CHOOSE({1,2,3,4},XT!X394,XT!AB394,XT!AF394,XT!AJ394)))</f>
        <v>0</v>
      </c>
      <c r="AL394" t="str">
        <f>IFERROR(INDEX(CHOOSE({1,2,3,4}, DAY(XT!U394), DAY(XT!Y394), DAY(XT!AC394), DAY(XT!AG394)), MATCH(1, INDEX(--(MONTH(CHOOSE({1,2,3,4}, XT!U394,XT!Y394,XT!AC394,XT!AG394))=10), 0), 0)), "")</f>
        <v/>
      </c>
      <c r="AM394" s="51" t="str">
        <f>IF(XT!$P394&gt;0,AL394,"")</f>
        <v/>
      </c>
      <c r="AN394" s="51" t="str">
        <f>IF(XT!$P394=0,AL394,"")</f>
        <v/>
      </c>
      <c r="AO394">
        <f>SUMPRODUCT((MONTH(CHOOSE({1,2,3,4},XT!U394,XT!Y394,XT!AC394,XT!AG394))=11)*(CHOOSE({1,2,3,4},XT!X394,XT!AB394,XT!AF394,XT!AJ394)))</f>
        <v>0</v>
      </c>
      <c r="AP394" t="str">
        <f>IFERROR(INDEX(CHOOSE({1,2,3,4}, DAY(XT!U394), DAY(XT!Y394), DAY(XT!AC394), DAY(XT!AG394)), MATCH(1, INDEX(--(MONTH(CHOOSE({1,2,3,4}, XT!U394,XT!Y394,XT!AC394,XT!AG394))=11), 0), 0)), "")</f>
        <v/>
      </c>
      <c r="AQ394" s="51" t="str">
        <f>IF(XT!$P394&gt;0,AP394,"")</f>
        <v/>
      </c>
      <c r="AR394" s="51" t="str">
        <f>IF(XT!$P394=0,AP394,"")</f>
        <v/>
      </c>
      <c r="AS394">
        <f>SUMPRODUCT((MONTH(CHOOSE({1,2,3,4},XT!U394,XT!Y394,XT!AC394,XT!AG394))=12)*(CHOOSE({1,2,3,4},XT!X394,XT!AB394,XT!AF394,XT!AJ394)))</f>
        <v>0</v>
      </c>
      <c r="AT394" t="str">
        <f>IFERROR(INDEX(CHOOSE({1,2,3,4}, DAY(XT!U394), DAY(XT!Y394), DAY(XT!AC394), DAY(XT!AG394)), MATCH(1, INDEX(--(MONTH(CHOOSE({1,2,3,4}, XT!U394,XT!Y394,XT!AC394,XT!AG394))=12), 0), 0)), "")</f>
        <v/>
      </c>
      <c r="AU394" s="51" t="str">
        <f>IF(XT!$P394&gt;0,AT394,"")</f>
        <v/>
      </c>
      <c r="AV394" s="51" t="str">
        <f>IF(XT!$P394=0,AT394,"")</f>
        <v/>
      </c>
    </row>
    <row r="395" spans="1:48">
      <c r="A395">
        <f>SUMPRODUCT((MONTH(CHOOSE({1,2,3,4},XT!U395,XT!Y395,XT!AC395,XT!AG395))=1)*(CHOOSE({1,2,3,4},XT!X395,XT!AB395,XT!AF395,XT!AJ395)))</f>
        <v>0</v>
      </c>
      <c r="B395">
        <f>IFERROR(INDEX(CHOOSE({1,2,3,4}, DAY(XT!U395), DAY(XT!Y395), DAY(XT!AC395), DAY(XT!AG395)), MATCH(1, INDEX(--(MONTH(CHOOSE({1,2,3,4}, XT!U395,XT!Y395,XT!AC395,XT!AG395))=1), 0), 0)), "")</f>
        <v>0</v>
      </c>
      <c r="C395" s="51" t="str">
        <f>IF(XT!$P395&gt;0,B395,"")</f>
        <v/>
      </c>
      <c r="D395" s="51">
        <f>IF(XT!$P395=0,B395,"")</f>
        <v>0</v>
      </c>
      <c r="E395">
        <f>SUMPRODUCT((MONTH(CHOOSE({1,2,3,4},XT!U395,XT!Y395,XT!AC395,XT!AG395))=2)*(CHOOSE({1,2,3,4},XT!X395,XT!AB395,XT!AF395,XT!AJ395)))</f>
        <v>0</v>
      </c>
      <c r="F395" t="str">
        <f>IFERROR(INDEX(CHOOSE({1,2,3,4}, DAY(XT!U395), DAY(XT!Y395), DAY(XT!AC395), DAY(XT!AG395)), MATCH(1, INDEX(--(MONTH(CHOOSE({1,2,3,4}, XT!U395,XT!Y395,XT!AC395,XT!AG395))=2), 0), 0)), "")</f>
        <v/>
      </c>
      <c r="G395" s="51" t="str">
        <f>IF(XT!$P395&gt;0,F395,"")</f>
        <v/>
      </c>
      <c r="H395" s="51" t="str">
        <f>IF(XT!$P395=0,F395,"")</f>
        <v/>
      </c>
      <c r="I395">
        <f>SUMPRODUCT((MONTH(CHOOSE({1,2,3,4},XT!U395,XT!Y395,XT!AC395,XT!AG395))=3)*(CHOOSE({1,2,3,4},XT!X395,XT!AB395,XT!AF395,XT!AJ395)))</f>
        <v>0</v>
      </c>
      <c r="J395" t="str">
        <f>IFERROR(INDEX(CHOOSE({1,2,3,4}, DAY(XT!U395), DAY(XT!Y395), DAY(XT!AC395), DAY(XT!AG395)), MATCH(1, INDEX(--(MONTH(CHOOSE({1,2,3,4}, XT!U395,XT!Y395,XT!AC395,XT!AG395))=3), 0), 0)), "")</f>
        <v/>
      </c>
      <c r="K395" s="51" t="str">
        <f>IF(XT!$P395&gt;0,J395,"")</f>
        <v/>
      </c>
      <c r="L395" s="51" t="str">
        <f>IF(XT!$P395=0,J395,"")</f>
        <v/>
      </c>
      <c r="M395">
        <f>SUMPRODUCT((MONTH(CHOOSE({1,2,3,4},XT!U395,XT!Y395,XT!AC395,XT!AG395))=4)*(CHOOSE({1,2,3,4},XT!X395,XT!AB395,XT!AF395,XT!AJ395)))</f>
        <v>0</v>
      </c>
      <c r="N395" t="str">
        <f>IFERROR(INDEX(CHOOSE({1,2,3,4}, DAY(XT!U395), DAY(XT!Y395), DAY(XT!AC395), DAY(XT!AG395)), MATCH(1, INDEX(--(MONTH(CHOOSE({1,2,3,4}, XT!U395,XT!Y395,XT!AC395,XT!AG395))=4), 0), 0)), "")</f>
        <v/>
      </c>
      <c r="O395" s="51" t="str">
        <f>IF(XT!$P395&gt;0,N395,"")</f>
        <v/>
      </c>
      <c r="P395" s="51" t="str">
        <f>IF(XT!$P395=0,N395,"")</f>
        <v/>
      </c>
      <c r="Q395">
        <f>SUMPRODUCT((MONTH(CHOOSE({1,2,3,4},XT!U395,XT!Y395,XT!AC395,XT!AG395))=5)*(CHOOSE({1,2,3,4},XT!X395,XT!AB395,XT!AF395,XT!AJ395)))</f>
        <v>0</v>
      </c>
      <c r="R395" t="str">
        <f>IFERROR(INDEX(CHOOSE({1,2,3,4}, DAY(XT!U395), DAY(XT!Y395), DAY(XT!AC395), DAY(XT!AG395)), MATCH(1, INDEX(--(MONTH(CHOOSE({1,2,3,4}, XT!U395,XT!Y395,XT!AC395,XT!AG395))=5), 0), 0)), "")</f>
        <v/>
      </c>
      <c r="S395" s="51" t="str">
        <f>IF(XT!$P395&gt;0,R395,"")</f>
        <v/>
      </c>
      <c r="T395" s="51" t="str">
        <f>IF(XT!$P395=0,R395,"")</f>
        <v/>
      </c>
      <c r="U395">
        <f>SUMPRODUCT((MONTH(CHOOSE({1,2,3,4},XT!U395,XT!Y395,XT!AC395,XT!AG395))=6)*(CHOOSE({1,2,3,4},XT!X395,XT!AB395,XT!AF395,XT!AJ395)))</f>
        <v>0</v>
      </c>
      <c r="V395" t="str">
        <f>IFERROR(INDEX(CHOOSE({1,2,3,4}, DAY(XT!U395), DAY(XT!Y395), DAY(XT!AC395), DAY(XT!AG395)), MATCH(1, INDEX(--(MONTH(CHOOSE({1,2,3,4}, XT!U395,XT!Y395,XT!AC395,XT!AG395))=6), 0), 0)), "")</f>
        <v/>
      </c>
      <c r="W395" s="51" t="str">
        <f>IF(XT!$P395&gt;0,V395,"")</f>
        <v/>
      </c>
      <c r="X395" s="51" t="str">
        <f>IF(XT!$P395=0,V395,"")</f>
        <v/>
      </c>
      <c r="Y395">
        <f>SUMPRODUCT((MONTH(CHOOSE({1,2,3,4},XT!U395,XT!Y395,XT!AC395,XT!AG395))=7)*(CHOOSE({1,2,3,4},XT!X395,XT!AB395,XT!AF395,XT!AJ395)))</f>
        <v>0</v>
      </c>
      <c r="Z395" t="str">
        <f>IFERROR(INDEX(CHOOSE({1,2,3,4}, DAY(XT!U395), DAY(XT!Y395), DAY(XT!AC395), DAY(XT!AG395)), MATCH(1, INDEX(--(MONTH(CHOOSE({1,2,3,4}, XT!U395,XT!Y395,XT!AC395,XT!AG395))=7), 0), 0)), "")</f>
        <v/>
      </c>
      <c r="AA395" s="51" t="str">
        <f>IF(XT!$P395&gt;0,Z395,"")</f>
        <v/>
      </c>
      <c r="AB395" s="51" t="str">
        <f>IF(XT!$P395=0,Z395,"")</f>
        <v/>
      </c>
      <c r="AC395">
        <f>SUMPRODUCT((MONTH(CHOOSE({1,2,3,4},XT!U395,XT!Y395,XT!AC395,XT!AG395))=8)*(CHOOSE({1,2,3,4},XT!X395,XT!AB395,XT!AF395,XT!AJ395)))</f>
        <v>0</v>
      </c>
      <c r="AD395" t="str">
        <f>IFERROR(INDEX(CHOOSE({1,2,3,4}, DAY(XT!U395), DAY(XT!Y395), DAY(XT!AC395), DAY(XT!AG395)), MATCH(1, INDEX(--(MONTH(CHOOSE({1,2,3,4}, XT!U395,XT!Y395,XT!AC395,XT!AG395))=8), 0), 0)), "")</f>
        <v/>
      </c>
      <c r="AE395" s="51" t="str">
        <f>IF(XT!$P395&gt;0,AD395,"")</f>
        <v/>
      </c>
      <c r="AF395" s="51" t="str">
        <f>IF(XT!$P395=0,AD395,"")</f>
        <v/>
      </c>
      <c r="AG395">
        <f>SUMPRODUCT((MONTH(CHOOSE({1,2,3,4},XT!U395,XT!Y395,XT!AC395,XT!AG395))=9)*(CHOOSE({1,2,3,4},XT!X395,XT!AB395,XT!AF395,XT!AJ395)))</f>
        <v>0</v>
      </c>
      <c r="AH395" t="str">
        <f>IFERROR(INDEX(CHOOSE({1,2,3,4}, DAY(XT!U395), DAY(XT!Y395), DAY(XT!AC395), DAY(XT!AG395)), MATCH(1, INDEX(--(MONTH(CHOOSE({1,2,3,4}, XT!U395,XT!Y395,XT!AC395,XT!AG395))=9), 0), 0)), "")</f>
        <v/>
      </c>
      <c r="AI395" s="51" t="str">
        <f>IF(XT!$P395&gt;0,AH395,"")</f>
        <v/>
      </c>
      <c r="AJ395" s="51" t="str">
        <f>IF(XT!$P395=0,AH395,"")</f>
        <v/>
      </c>
      <c r="AK395">
        <f>SUMPRODUCT((MONTH(CHOOSE({1,2,3,4},XT!U395,XT!Y395,XT!AC395,XT!AG395))=10)*(CHOOSE({1,2,3,4},XT!X395,XT!AB395,XT!AF395,XT!AJ395)))</f>
        <v>0</v>
      </c>
      <c r="AL395" t="str">
        <f>IFERROR(INDEX(CHOOSE({1,2,3,4}, DAY(XT!U395), DAY(XT!Y395), DAY(XT!AC395), DAY(XT!AG395)), MATCH(1, INDEX(--(MONTH(CHOOSE({1,2,3,4}, XT!U395,XT!Y395,XT!AC395,XT!AG395))=10), 0), 0)), "")</f>
        <v/>
      </c>
      <c r="AM395" s="51" t="str">
        <f>IF(XT!$P395&gt;0,AL395,"")</f>
        <v/>
      </c>
      <c r="AN395" s="51" t="str">
        <f>IF(XT!$P395=0,AL395,"")</f>
        <v/>
      </c>
      <c r="AO395">
        <f>SUMPRODUCT((MONTH(CHOOSE({1,2,3,4},XT!U395,XT!Y395,XT!AC395,XT!AG395))=11)*(CHOOSE({1,2,3,4},XT!X395,XT!AB395,XT!AF395,XT!AJ395)))</f>
        <v>0</v>
      </c>
      <c r="AP395" t="str">
        <f>IFERROR(INDEX(CHOOSE({1,2,3,4}, DAY(XT!U395), DAY(XT!Y395), DAY(XT!AC395), DAY(XT!AG395)), MATCH(1, INDEX(--(MONTH(CHOOSE({1,2,3,4}, XT!U395,XT!Y395,XT!AC395,XT!AG395))=11), 0), 0)), "")</f>
        <v/>
      </c>
      <c r="AQ395" s="51" t="str">
        <f>IF(XT!$P395&gt;0,AP395,"")</f>
        <v/>
      </c>
      <c r="AR395" s="51" t="str">
        <f>IF(XT!$P395=0,AP395,"")</f>
        <v/>
      </c>
      <c r="AS395">
        <f>SUMPRODUCT((MONTH(CHOOSE({1,2,3,4},XT!U395,XT!Y395,XT!AC395,XT!AG395))=12)*(CHOOSE({1,2,3,4},XT!X395,XT!AB395,XT!AF395,XT!AJ395)))</f>
        <v>0</v>
      </c>
      <c r="AT395" t="str">
        <f>IFERROR(INDEX(CHOOSE({1,2,3,4}, DAY(XT!U395), DAY(XT!Y395), DAY(XT!AC395), DAY(XT!AG395)), MATCH(1, INDEX(--(MONTH(CHOOSE({1,2,3,4}, XT!U395,XT!Y395,XT!AC395,XT!AG395))=12), 0), 0)), "")</f>
        <v/>
      </c>
      <c r="AU395" s="51" t="str">
        <f>IF(XT!$P395&gt;0,AT395,"")</f>
        <v/>
      </c>
      <c r="AV395" s="51" t="str">
        <f>IF(XT!$P395=0,AT395,"")</f>
        <v/>
      </c>
    </row>
    <row r="396" spans="1:48">
      <c r="A396">
        <f>SUMPRODUCT((MONTH(CHOOSE({1,2,3,4},XT!U396,XT!Y396,XT!AC396,XT!AG396))=1)*(CHOOSE({1,2,3,4},XT!X396,XT!AB396,XT!AF396,XT!AJ396)))</f>
        <v>0</v>
      </c>
      <c r="B396">
        <f>IFERROR(INDEX(CHOOSE({1,2,3,4}, DAY(XT!U396), DAY(XT!Y396), DAY(XT!AC396), DAY(XT!AG396)), MATCH(1, INDEX(--(MONTH(CHOOSE({1,2,3,4}, XT!U396,XT!Y396,XT!AC396,XT!AG396))=1), 0), 0)), "")</f>
        <v>0</v>
      </c>
      <c r="C396" s="51" t="str">
        <f>IF(XT!$P396&gt;0,B396,"")</f>
        <v/>
      </c>
      <c r="D396" s="51">
        <f>IF(XT!$P396=0,B396,"")</f>
        <v>0</v>
      </c>
      <c r="E396">
        <f>SUMPRODUCT((MONTH(CHOOSE({1,2,3,4},XT!U396,XT!Y396,XT!AC396,XT!AG396))=2)*(CHOOSE({1,2,3,4},XT!X396,XT!AB396,XT!AF396,XT!AJ396)))</f>
        <v>0</v>
      </c>
      <c r="F396" t="str">
        <f>IFERROR(INDEX(CHOOSE({1,2,3,4}, DAY(XT!U396), DAY(XT!Y396), DAY(XT!AC396), DAY(XT!AG396)), MATCH(1, INDEX(--(MONTH(CHOOSE({1,2,3,4}, XT!U396,XT!Y396,XT!AC396,XT!AG396))=2), 0), 0)), "")</f>
        <v/>
      </c>
      <c r="G396" s="51" t="str">
        <f>IF(XT!$P396&gt;0,F396,"")</f>
        <v/>
      </c>
      <c r="H396" s="51" t="str">
        <f>IF(XT!$P396=0,F396,"")</f>
        <v/>
      </c>
      <c r="I396">
        <f>SUMPRODUCT((MONTH(CHOOSE({1,2,3,4},XT!U396,XT!Y396,XT!AC396,XT!AG396))=3)*(CHOOSE({1,2,3,4},XT!X396,XT!AB396,XT!AF396,XT!AJ396)))</f>
        <v>0</v>
      </c>
      <c r="J396" t="str">
        <f>IFERROR(INDEX(CHOOSE({1,2,3,4}, DAY(XT!U396), DAY(XT!Y396), DAY(XT!AC396), DAY(XT!AG396)), MATCH(1, INDEX(--(MONTH(CHOOSE({1,2,3,4}, XT!U396,XT!Y396,XT!AC396,XT!AG396))=3), 0), 0)), "")</f>
        <v/>
      </c>
      <c r="K396" s="51" t="str">
        <f>IF(XT!$P396&gt;0,J396,"")</f>
        <v/>
      </c>
      <c r="L396" s="51" t="str">
        <f>IF(XT!$P396=0,J396,"")</f>
        <v/>
      </c>
      <c r="M396">
        <f>SUMPRODUCT((MONTH(CHOOSE({1,2,3,4},XT!U396,XT!Y396,XT!AC396,XT!AG396))=4)*(CHOOSE({1,2,3,4},XT!X396,XT!AB396,XT!AF396,XT!AJ396)))</f>
        <v>0</v>
      </c>
      <c r="N396" t="str">
        <f>IFERROR(INDEX(CHOOSE({1,2,3,4}, DAY(XT!U396), DAY(XT!Y396), DAY(XT!AC396), DAY(XT!AG396)), MATCH(1, INDEX(--(MONTH(CHOOSE({1,2,3,4}, XT!U396,XT!Y396,XT!AC396,XT!AG396))=4), 0), 0)), "")</f>
        <v/>
      </c>
      <c r="O396" s="51" t="str">
        <f>IF(XT!$P396&gt;0,N396,"")</f>
        <v/>
      </c>
      <c r="P396" s="51" t="str">
        <f>IF(XT!$P396=0,N396,"")</f>
        <v/>
      </c>
      <c r="Q396">
        <f>SUMPRODUCT((MONTH(CHOOSE({1,2,3,4},XT!U396,XT!Y396,XT!AC396,XT!AG396))=5)*(CHOOSE({1,2,3,4},XT!X396,XT!AB396,XT!AF396,XT!AJ396)))</f>
        <v>0</v>
      </c>
      <c r="R396" t="str">
        <f>IFERROR(INDEX(CHOOSE({1,2,3,4}, DAY(XT!U396), DAY(XT!Y396), DAY(XT!AC396), DAY(XT!AG396)), MATCH(1, INDEX(--(MONTH(CHOOSE({1,2,3,4}, XT!U396,XT!Y396,XT!AC396,XT!AG396))=5), 0), 0)), "")</f>
        <v/>
      </c>
      <c r="S396" s="51" t="str">
        <f>IF(XT!$P396&gt;0,R396,"")</f>
        <v/>
      </c>
      <c r="T396" s="51" t="str">
        <f>IF(XT!$P396=0,R396,"")</f>
        <v/>
      </c>
      <c r="U396">
        <f>SUMPRODUCT((MONTH(CHOOSE({1,2,3,4},XT!U396,XT!Y396,XT!AC396,XT!AG396))=6)*(CHOOSE({1,2,3,4},XT!X396,XT!AB396,XT!AF396,XT!AJ396)))</f>
        <v>0</v>
      </c>
      <c r="V396" t="str">
        <f>IFERROR(INDEX(CHOOSE({1,2,3,4}, DAY(XT!U396), DAY(XT!Y396), DAY(XT!AC396), DAY(XT!AG396)), MATCH(1, INDEX(--(MONTH(CHOOSE({1,2,3,4}, XT!U396,XT!Y396,XT!AC396,XT!AG396))=6), 0), 0)), "")</f>
        <v/>
      </c>
      <c r="W396" s="51" t="str">
        <f>IF(XT!$P396&gt;0,V396,"")</f>
        <v/>
      </c>
      <c r="X396" s="51" t="str">
        <f>IF(XT!$P396=0,V396,"")</f>
        <v/>
      </c>
      <c r="Y396">
        <f>SUMPRODUCT((MONTH(CHOOSE({1,2,3,4},XT!U396,XT!Y396,XT!AC396,XT!AG396))=7)*(CHOOSE({1,2,3,4},XT!X396,XT!AB396,XT!AF396,XT!AJ396)))</f>
        <v>0</v>
      </c>
      <c r="Z396" t="str">
        <f>IFERROR(INDEX(CHOOSE({1,2,3,4}, DAY(XT!U396), DAY(XT!Y396), DAY(XT!AC396), DAY(XT!AG396)), MATCH(1, INDEX(--(MONTH(CHOOSE({1,2,3,4}, XT!U396,XT!Y396,XT!AC396,XT!AG396))=7), 0), 0)), "")</f>
        <v/>
      </c>
      <c r="AA396" s="51" t="str">
        <f>IF(XT!$P396&gt;0,Z396,"")</f>
        <v/>
      </c>
      <c r="AB396" s="51" t="str">
        <f>IF(XT!$P396=0,Z396,"")</f>
        <v/>
      </c>
      <c r="AC396">
        <f>SUMPRODUCT((MONTH(CHOOSE({1,2,3,4},XT!U396,XT!Y396,XT!AC396,XT!AG396))=8)*(CHOOSE({1,2,3,4},XT!X396,XT!AB396,XT!AF396,XT!AJ396)))</f>
        <v>0</v>
      </c>
      <c r="AD396" t="str">
        <f>IFERROR(INDEX(CHOOSE({1,2,3,4}, DAY(XT!U396), DAY(XT!Y396), DAY(XT!AC396), DAY(XT!AG396)), MATCH(1, INDEX(--(MONTH(CHOOSE({1,2,3,4}, XT!U396,XT!Y396,XT!AC396,XT!AG396))=8), 0), 0)), "")</f>
        <v/>
      </c>
      <c r="AE396" s="51" t="str">
        <f>IF(XT!$P396&gt;0,AD396,"")</f>
        <v/>
      </c>
      <c r="AF396" s="51" t="str">
        <f>IF(XT!$P396=0,AD396,"")</f>
        <v/>
      </c>
      <c r="AG396">
        <f>SUMPRODUCT((MONTH(CHOOSE({1,2,3,4},XT!U396,XT!Y396,XT!AC396,XT!AG396))=9)*(CHOOSE({1,2,3,4},XT!X396,XT!AB396,XT!AF396,XT!AJ396)))</f>
        <v>0</v>
      </c>
      <c r="AH396" t="str">
        <f>IFERROR(INDEX(CHOOSE({1,2,3,4}, DAY(XT!U396), DAY(XT!Y396), DAY(XT!AC396), DAY(XT!AG396)), MATCH(1, INDEX(--(MONTH(CHOOSE({1,2,3,4}, XT!U396,XT!Y396,XT!AC396,XT!AG396))=9), 0), 0)), "")</f>
        <v/>
      </c>
      <c r="AI396" s="51" t="str">
        <f>IF(XT!$P396&gt;0,AH396,"")</f>
        <v/>
      </c>
      <c r="AJ396" s="51" t="str">
        <f>IF(XT!$P396=0,AH396,"")</f>
        <v/>
      </c>
      <c r="AK396">
        <f>SUMPRODUCT((MONTH(CHOOSE({1,2,3,4},XT!U396,XT!Y396,XT!AC396,XT!AG396))=10)*(CHOOSE({1,2,3,4},XT!X396,XT!AB396,XT!AF396,XT!AJ396)))</f>
        <v>0</v>
      </c>
      <c r="AL396" t="str">
        <f>IFERROR(INDEX(CHOOSE({1,2,3,4}, DAY(XT!U396), DAY(XT!Y396), DAY(XT!AC396), DAY(XT!AG396)), MATCH(1, INDEX(--(MONTH(CHOOSE({1,2,3,4}, XT!U396,XT!Y396,XT!AC396,XT!AG396))=10), 0), 0)), "")</f>
        <v/>
      </c>
      <c r="AM396" s="51" t="str">
        <f>IF(XT!$P396&gt;0,AL396,"")</f>
        <v/>
      </c>
      <c r="AN396" s="51" t="str">
        <f>IF(XT!$P396=0,AL396,"")</f>
        <v/>
      </c>
      <c r="AO396">
        <f>SUMPRODUCT((MONTH(CHOOSE({1,2,3,4},XT!U396,XT!Y396,XT!AC396,XT!AG396))=11)*(CHOOSE({1,2,3,4},XT!X396,XT!AB396,XT!AF396,XT!AJ396)))</f>
        <v>0</v>
      </c>
      <c r="AP396" t="str">
        <f>IFERROR(INDEX(CHOOSE({1,2,3,4}, DAY(XT!U396), DAY(XT!Y396), DAY(XT!AC396), DAY(XT!AG396)), MATCH(1, INDEX(--(MONTH(CHOOSE({1,2,3,4}, XT!U396,XT!Y396,XT!AC396,XT!AG396))=11), 0), 0)), "")</f>
        <v/>
      </c>
      <c r="AQ396" s="51" t="str">
        <f>IF(XT!$P396&gt;0,AP396,"")</f>
        <v/>
      </c>
      <c r="AR396" s="51" t="str">
        <f>IF(XT!$P396=0,AP396,"")</f>
        <v/>
      </c>
      <c r="AS396">
        <f>SUMPRODUCT((MONTH(CHOOSE({1,2,3,4},XT!U396,XT!Y396,XT!AC396,XT!AG396))=12)*(CHOOSE({1,2,3,4},XT!X396,XT!AB396,XT!AF396,XT!AJ396)))</f>
        <v>0</v>
      </c>
      <c r="AT396" t="str">
        <f>IFERROR(INDEX(CHOOSE({1,2,3,4}, DAY(XT!U396), DAY(XT!Y396), DAY(XT!AC396), DAY(XT!AG396)), MATCH(1, INDEX(--(MONTH(CHOOSE({1,2,3,4}, XT!U396,XT!Y396,XT!AC396,XT!AG396))=12), 0), 0)), "")</f>
        <v/>
      </c>
      <c r="AU396" s="51" t="str">
        <f>IF(XT!$P396&gt;0,AT396,"")</f>
        <v/>
      </c>
      <c r="AV396" s="51" t="str">
        <f>IF(XT!$P396=0,AT396,"")</f>
        <v/>
      </c>
    </row>
    <row r="397" spans="1:48">
      <c r="A397">
        <f>SUMPRODUCT((MONTH(CHOOSE({1,2,3,4},XT!U397,XT!Y397,XT!AC397,XT!AG397))=1)*(CHOOSE({1,2,3,4},XT!X397,XT!AB397,XT!AF397,XT!AJ397)))</f>
        <v>0</v>
      </c>
      <c r="B397">
        <f>IFERROR(INDEX(CHOOSE({1,2,3,4}, DAY(XT!U397), DAY(XT!Y397), DAY(XT!AC397), DAY(XT!AG397)), MATCH(1, INDEX(--(MONTH(CHOOSE({1,2,3,4}, XT!U397,XT!Y397,XT!AC397,XT!AG397))=1), 0), 0)), "")</f>
        <v>0</v>
      </c>
      <c r="C397" s="51" t="str">
        <f>IF(XT!$P397&gt;0,B397,"")</f>
        <v/>
      </c>
      <c r="D397" s="51">
        <f>IF(XT!$P397=0,B397,"")</f>
        <v>0</v>
      </c>
      <c r="E397">
        <f>SUMPRODUCT((MONTH(CHOOSE({1,2,3,4},XT!U397,XT!Y397,XT!AC397,XT!AG397))=2)*(CHOOSE({1,2,3,4},XT!X397,XT!AB397,XT!AF397,XT!AJ397)))</f>
        <v>0</v>
      </c>
      <c r="F397" t="str">
        <f>IFERROR(INDEX(CHOOSE({1,2,3,4}, DAY(XT!U397), DAY(XT!Y397), DAY(XT!AC397), DAY(XT!AG397)), MATCH(1, INDEX(--(MONTH(CHOOSE({1,2,3,4}, XT!U397,XT!Y397,XT!AC397,XT!AG397))=2), 0), 0)), "")</f>
        <v/>
      </c>
      <c r="G397" s="51" t="str">
        <f>IF(XT!$P397&gt;0,F397,"")</f>
        <v/>
      </c>
      <c r="H397" s="51" t="str">
        <f>IF(XT!$P397=0,F397,"")</f>
        <v/>
      </c>
      <c r="I397">
        <f>SUMPRODUCT((MONTH(CHOOSE({1,2,3,4},XT!U397,XT!Y397,XT!AC397,XT!AG397))=3)*(CHOOSE({1,2,3,4},XT!X397,XT!AB397,XT!AF397,XT!AJ397)))</f>
        <v>0</v>
      </c>
      <c r="J397" t="str">
        <f>IFERROR(INDEX(CHOOSE({1,2,3,4}, DAY(XT!U397), DAY(XT!Y397), DAY(XT!AC397), DAY(XT!AG397)), MATCH(1, INDEX(--(MONTH(CHOOSE({1,2,3,4}, XT!U397,XT!Y397,XT!AC397,XT!AG397))=3), 0), 0)), "")</f>
        <v/>
      </c>
      <c r="K397" s="51" t="str">
        <f>IF(XT!$P397&gt;0,J397,"")</f>
        <v/>
      </c>
      <c r="L397" s="51" t="str">
        <f>IF(XT!$P397=0,J397,"")</f>
        <v/>
      </c>
      <c r="M397">
        <f>SUMPRODUCT((MONTH(CHOOSE({1,2,3,4},XT!U397,XT!Y397,XT!AC397,XT!AG397))=4)*(CHOOSE({1,2,3,4},XT!X397,XT!AB397,XT!AF397,XT!AJ397)))</f>
        <v>0</v>
      </c>
      <c r="N397" t="str">
        <f>IFERROR(INDEX(CHOOSE({1,2,3,4}, DAY(XT!U397), DAY(XT!Y397), DAY(XT!AC397), DAY(XT!AG397)), MATCH(1, INDEX(--(MONTH(CHOOSE({1,2,3,4}, XT!U397,XT!Y397,XT!AC397,XT!AG397))=4), 0), 0)), "")</f>
        <v/>
      </c>
      <c r="O397" s="51" t="str">
        <f>IF(XT!$P397&gt;0,N397,"")</f>
        <v/>
      </c>
      <c r="P397" s="51" t="str">
        <f>IF(XT!$P397=0,N397,"")</f>
        <v/>
      </c>
      <c r="Q397">
        <f>SUMPRODUCT((MONTH(CHOOSE({1,2,3,4},XT!U397,XT!Y397,XT!AC397,XT!AG397))=5)*(CHOOSE({1,2,3,4},XT!X397,XT!AB397,XT!AF397,XT!AJ397)))</f>
        <v>0</v>
      </c>
      <c r="R397" t="str">
        <f>IFERROR(INDEX(CHOOSE({1,2,3,4}, DAY(XT!U397), DAY(XT!Y397), DAY(XT!AC397), DAY(XT!AG397)), MATCH(1, INDEX(--(MONTH(CHOOSE({1,2,3,4}, XT!U397,XT!Y397,XT!AC397,XT!AG397))=5), 0), 0)), "")</f>
        <v/>
      </c>
      <c r="S397" s="51" t="str">
        <f>IF(XT!$P397&gt;0,R397,"")</f>
        <v/>
      </c>
      <c r="T397" s="51" t="str">
        <f>IF(XT!$P397=0,R397,"")</f>
        <v/>
      </c>
      <c r="U397">
        <f>SUMPRODUCT((MONTH(CHOOSE({1,2,3,4},XT!U397,XT!Y397,XT!AC397,XT!AG397))=6)*(CHOOSE({1,2,3,4},XT!X397,XT!AB397,XT!AF397,XT!AJ397)))</f>
        <v>0</v>
      </c>
      <c r="V397" t="str">
        <f>IFERROR(INDEX(CHOOSE({1,2,3,4}, DAY(XT!U397), DAY(XT!Y397), DAY(XT!AC397), DAY(XT!AG397)), MATCH(1, INDEX(--(MONTH(CHOOSE({1,2,3,4}, XT!U397,XT!Y397,XT!AC397,XT!AG397))=6), 0), 0)), "")</f>
        <v/>
      </c>
      <c r="W397" s="51" t="str">
        <f>IF(XT!$P397&gt;0,V397,"")</f>
        <v/>
      </c>
      <c r="X397" s="51" t="str">
        <f>IF(XT!$P397=0,V397,"")</f>
        <v/>
      </c>
      <c r="Y397">
        <f>SUMPRODUCT((MONTH(CHOOSE({1,2,3,4},XT!U397,XT!Y397,XT!AC397,XT!AG397))=7)*(CHOOSE({1,2,3,4},XT!X397,XT!AB397,XT!AF397,XT!AJ397)))</f>
        <v>0</v>
      </c>
      <c r="Z397" t="str">
        <f>IFERROR(INDEX(CHOOSE({1,2,3,4}, DAY(XT!U397), DAY(XT!Y397), DAY(XT!AC397), DAY(XT!AG397)), MATCH(1, INDEX(--(MONTH(CHOOSE({1,2,3,4}, XT!U397,XT!Y397,XT!AC397,XT!AG397))=7), 0), 0)), "")</f>
        <v/>
      </c>
      <c r="AA397" s="51" t="str">
        <f>IF(XT!$P397&gt;0,Z397,"")</f>
        <v/>
      </c>
      <c r="AB397" s="51" t="str">
        <f>IF(XT!$P397=0,Z397,"")</f>
        <v/>
      </c>
      <c r="AC397">
        <f>SUMPRODUCT((MONTH(CHOOSE({1,2,3,4},XT!U397,XT!Y397,XT!AC397,XT!AG397))=8)*(CHOOSE({1,2,3,4},XT!X397,XT!AB397,XT!AF397,XT!AJ397)))</f>
        <v>0</v>
      </c>
      <c r="AD397" t="str">
        <f>IFERROR(INDEX(CHOOSE({1,2,3,4}, DAY(XT!U397), DAY(XT!Y397), DAY(XT!AC397), DAY(XT!AG397)), MATCH(1, INDEX(--(MONTH(CHOOSE({1,2,3,4}, XT!U397,XT!Y397,XT!AC397,XT!AG397))=8), 0), 0)), "")</f>
        <v/>
      </c>
      <c r="AE397" s="51" t="str">
        <f>IF(XT!$P397&gt;0,AD397,"")</f>
        <v/>
      </c>
      <c r="AF397" s="51" t="str">
        <f>IF(XT!$P397=0,AD397,"")</f>
        <v/>
      </c>
      <c r="AG397">
        <f>SUMPRODUCT((MONTH(CHOOSE({1,2,3,4},XT!U397,XT!Y397,XT!AC397,XT!AG397))=9)*(CHOOSE({1,2,3,4},XT!X397,XT!AB397,XT!AF397,XT!AJ397)))</f>
        <v>0</v>
      </c>
      <c r="AH397" t="str">
        <f>IFERROR(INDEX(CHOOSE({1,2,3,4}, DAY(XT!U397), DAY(XT!Y397), DAY(XT!AC397), DAY(XT!AG397)), MATCH(1, INDEX(--(MONTH(CHOOSE({1,2,3,4}, XT!U397,XT!Y397,XT!AC397,XT!AG397))=9), 0), 0)), "")</f>
        <v/>
      </c>
      <c r="AI397" s="51" t="str">
        <f>IF(XT!$P397&gt;0,AH397,"")</f>
        <v/>
      </c>
      <c r="AJ397" s="51" t="str">
        <f>IF(XT!$P397=0,AH397,"")</f>
        <v/>
      </c>
      <c r="AK397">
        <f>SUMPRODUCT((MONTH(CHOOSE({1,2,3,4},XT!U397,XT!Y397,XT!AC397,XT!AG397))=10)*(CHOOSE({1,2,3,4},XT!X397,XT!AB397,XT!AF397,XT!AJ397)))</f>
        <v>0</v>
      </c>
      <c r="AL397" t="str">
        <f>IFERROR(INDEX(CHOOSE({1,2,3,4}, DAY(XT!U397), DAY(XT!Y397), DAY(XT!AC397), DAY(XT!AG397)), MATCH(1, INDEX(--(MONTH(CHOOSE({1,2,3,4}, XT!U397,XT!Y397,XT!AC397,XT!AG397))=10), 0), 0)), "")</f>
        <v/>
      </c>
      <c r="AM397" s="51" t="str">
        <f>IF(XT!$P397&gt;0,AL397,"")</f>
        <v/>
      </c>
      <c r="AN397" s="51" t="str">
        <f>IF(XT!$P397=0,AL397,"")</f>
        <v/>
      </c>
      <c r="AO397">
        <f>SUMPRODUCT((MONTH(CHOOSE({1,2,3,4},XT!U397,XT!Y397,XT!AC397,XT!AG397))=11)*(CHOOSE({1,2,3,4},XT!X397,XT!AB397,XT!AF397,XT!AJ397)))</f>
        <v>0</v>
      </c>
      <c r="AP397" t="str">
        <f>IFERROR(INDEX(CHOOSE({1,2,3,4}, DAY(XT!U397), DAY(XT!Y397), DAY(XT!AC397), DAY(XT!AG397)), MATCH(1, INDEX(--(MONTH(CHOOSE({1,2,3,4}, XT!U397,XT!Y397,XT!AC397,XT!AG397))=11), 0), 0)), "")</f>
        <v/>
      </c>
      <c r="AQ397" s="51" t="str">
        <f>IF(XT!$P397&gt;0,AP397,"")</f>
        <v/>
      </c>
      <c r="AR397" s="51" t="str">
        <f>IF(XT!$P397=0,AP397,"")</f>
        <v/>
      </c>
      <c r="AS397">
        <f>SUMPRODUCT((MONTH(CHOOSE({1,2,3,4},XT!U397,XT!Y397,XT!AC397,XT!AG397))=12)*(CHOOSE({1,2,3,4},XT!X397,XT!AB397,XT!AF397,XT!AJ397)))</f>
        <v>0</v>
      </c>
      <c r="AT397" t="str">
        <f>IFERROR(INDEX(CHOOSE({1,2,3,4}, DAY(XT!U397), DAY(XT!Y397), DAY(XT!AC397), DAY(XT!AG397)), MATCH(1, INDEX(--(MONTH(CHOOSE({1,2,3,4}, XT!U397,XT!Y397,XT!AC397,XT!AG397))=12), 0), 0)), "")</f>
        <v/>
      </c>
      <c r="AU397" s="51" t="str">
        <f>IF(XT!$P397&gt;0,AT397,"")</f>
        <v/>
      </c>
      <c r="AV397" s="51" t="str">
        <f>IF(XT!$P397=0,AT397,"")</f>
        <v/>
      </c>
    </row>
    <row r="398" spans="1:48">
      <c r="A398">
        <f>SUMPRODUCT((MONTH(CHOOSE({1,2,3,4},XT!U398,XT!Y398,XT!AC398,XT!AG398))=1)*(CHOOSE({1,2,3,4},XT!X398,XT!AB398,XT!AF398,XT!AJ398)))</f>
        <v>0</v>
      </c>
      <c r="B398">
        <f>IFERROR(INDEX(CHOOSE({1,2,3,4}, DAY(XT!U398), DAY(XT!Y398), DAY(XT!AC398), DAY(XT!AG398)), MATCH(1, INDEX(--(MONTH(CHOOSE({1,2,3,4}, XT!U398,XT!Y398,XT!AC398,XT!AG398))=1), 0), 0)), "")</f>
        <v>0</v>
      </c>
      <c r="C398" s="51" t="str">
        <f>IF(XT!$P398&gt;0,B398,"")</f>
        <v/>
      </c>
      <c r="D398" s="51">
        <f>IF(XT!$P398=0,B398,"")</f>
        <v>0</v>
      </c>
      <c r="E398">
        <f>SUMPRODUCT((MONTH(CHOOSE({1,2,3,4},XT!U398,XT!Y398,XT!AC398,XT!AG398))=2)*(CHOOSE({1,2,3,4},XT!X398,XT!AB398,XT!AF398,XT!AJ398)))</f>
        <v>0</v>
      </c>
      <c r="F398" t="str">
        <f>IFERROR(INDEX(CHOOSE({1,2,3,4}, DAY(XT!U398), DAY(XT!Y398), DAY(XT!AC398), DAY(XT!AG398)), MATCH(1, INDEX(--(MONTH(CHOOSE({1,2,3,4}, XT!U398,XT!Y398,XT!AC398,XT!AG398))=2), 0), 0)), "")</f>
        <v/>
      </c>
      <c r="G398" s="51" t="str">
        <f>IF(XT!$P398&gt;0,F398,"")</f>
        <v/>
      </c>
      <c r="H398" s="51" t="str">
        <f>IF(XT!$P398=0,F398,"")</f>
        <v/>
      </c>
      <c r="I398">
        <f>SUMPRODUCT((MONTH(CHOOSE({1,2,3,4},XT!U398,XT!Y398,XT!AC398,XT!AG398))=3)*(CHOOSE({1,2,3,4},XT!X398,XT!AB398,XT!AF398,XT!AJ398)))</f>
        <v>0</v>
      </c>
      <c r="J398" t="str">
        <f>IFERROR(INDEX(CHOOSE({1,2,3,4}, DAY(XT!U398), DAY(XT!Y398), DAY(XT!AC398), DAY(XT!AG398)), MATCH(1, INDEX(--(MONTH(CHOOSE({1,2,3,4}, XT!U398,XT!Y398,XT!AC398,XT!AG398))=3), 0), 0)), "")</f>
        <v/>
      </c>
      <c r="K398" s="51" t="str">
        <f>IF(XT!$P398&gt;0,J398,"")</f>
        <v/>
      </c>
      <c r="L398" s="51" t="str">
        <f>IF(XT!$P398=0,J398,"")</f>
        <v/>
      </c>
      <c r="M398">
        <f>SUMPRODUCT((MONTH(CHOOSE({1,2,3,4},XT!U398,XT!Y398,XT!AC398,XT!AG398))=4)*(CHOOSE({1,2,3,4},XT!X398,XT!AB398,XT!AF398,XT!AJ398)))</f>
        <v>0</v>
      </c>
      <c r="N398" t="str">
        <f>IFERROR(INDEX(CHOOSE({1,2,3,4}, DAY(XT!U398), DAY(XT!Y398), DAY(XT!AC398), DAY(XT!AG398)), MATCH(1, INDEX(--(MONTH(CHOOSE({1,2,3,4}, XT!U398,XT!Y398,XT!AC398,XT!AG398))=4), 0), 0)), "")</f>
        <v/>
      </c>
      <c r="O398" s="51" t="str">
        <f>IF(XT!$P398&gt;0,N398,"")</f>
        <v/>
      </c>
      <c r="P398" s="51" t="str">
        <f>IF(XT!$P398=0,N398,"")</f>
        <v/>
      </c>
      <c r="Q398">
        <f>SUMPRODUCT((MONTH(CHOOSE({1,2,3,4},XT!U398,XT!Y398,XT!AC398,XT!AG398))=5)*(CHOOSE({1,2,3,4},XT!X398,XT!AB398,XT!AF398,XT!AJ398)))</f>
        <v>0</v>
      </c>
      <c r="R398" t="str">
        <f>IFERROR(INDEX(CHOOSE({1,2,3,4}, DAY(XT!U398), DAY(XT!Y398), DAY(XT!AC398), DAY(XT!AG398)), MATCH(1, INDEX(--(MONTH(CHOOSE({1,2,3,4}, XT!U398,XT!Y398,XT!AC398,XT!AG398))=5), 0), 0)), "")</f>
        <v/>
      </c>
      <c r="S398" s="51" t="str">
        <f>IF(XT!$P398&gt;0,R398,"")</f>
        <v/>
      </c>
      <c r="T398" s="51" t="str">
        <f>IF(XT!$P398=0,R398,"")</f>
        <v/>
      </c>
      <c r="U398">
        <f>SUMPRODUCT((MONTH(CHOOSE({1,2,3,4},XT!U398,XT!Y398,XT!AC398,XT!AG398))=6)*(CHOOSE({1,2,3,4},XT!X398,XT!AB398,XT!AF398,XT!AJ398)))</f>
        <v>0</v>
      </c>
      <c r="V398" t="str">
        <f>IFERROR(INDEX(CHOOSE({1,2,3,4}, DAY(XT!U398), DAY(XT!Y398), DAY(XT!AC398), DAY(XT!AG398)), MATCH(1, INDEX(--(MONTH(CHOOSE({1,2,3,4}, XT!U398,XT!Y398,XT!AC398,XT!AG398))=6), 0), 0)), "")</f>
        <v/>
      </c>
      <c r="W398" s="51" t="str">
        <f>IF(XT!$P398&gt;0,V398,"")</f>
        <v/>
      </c>
      <c r="X398" s="51" t="str">
        <f>IF(XT!$P398=0,V398,"")</f>
        <v/>
      </c>
      <c r="Y398">
        <f>SUMPRODUCT((MONTH(CHOOSE({1,2,3,4},XT!U398,XT!Y398,XT!AC398,XT!AG398))=7)*(CHOOSE({1,2,3,4},XT!X398,XT!AB398,XT!AF398,XT!AJ398)))</f>
        <v>0</v>
      </c>
      <c r="Z398" t="str">
        <f>IFERROR(INDEX(CHOOSE({1,2,3,4}, DAY(XT!U398), DAY(XT!Y398), DAY(XT!AC398), DAY(XT!AG398)), MATCH(1, INDEX(--(MONTH(CHOOSE({1,2,3,4}, XT!U398,XT!Y398,XT!AC398,XT!AG398))=7), 0), 0)), "")</f>
        <v/>
      </c>
      <c r="AA398" s="51" t="str">
        <f>IF(XT!$P398&gt;0,Z398,"")</f>
        <v/>
      </c>
      <c r="AB398" s="51" t="str">
        <f>IF(XT!$P398=0,Z398,"")</f>
        <v/>
      </c>
      <c r="AC398">
        <f>SUMPRODUCT((MONTH(CHOOSE({1,2,3,4},XT!U398,XT!Y398,XT!AC398,XT!AG398))=8)*(CHOOSE({1,2,3,4},XT!X398,XT!AB398,XT!AF398,XT!AJ398)))</f>
        <v>0</v>
      </c>
      <c r="AD398" t="str">
        <f>IFERROR(INDEX(CHOOSE({1,2,3,4}, DAY(XT!U398), DAY(XT!Y398), DAY(XT!AC398), DAY(XT!AG398)), MATCH(1, INDEX(--(MONTH(CHOOSE({1,2,3,4}, XT!U398,XT!Y398,XT!AC398,XT!AG398))=8), 0), 0)), "")</f>
        <v/>
      </c>
      <c r="AE398" s="51" t="str">
        <f>IF(XT!$P398&gt;0,AD398,"")</f>
        <v/>
      </c>
      <c r="AF398" s="51" t="str">
        <f>IF(XT!$P398=0,AD398,"")</f>
        <v/>
      </c>
      <c r="AG398">
        <f>SUMPRODUCT((MONTH(CHOOSE({1,2,3,4},XT!U398,XT!Y398,XT!AC398,XT!AG398))=9)*(CHOOSE({1,2,3,4},XT!X398,XT!AB398,XT!AF398,XT!AJ398)))</f>
        <v>0</v>
      </c>
      <c r="AH398" t="str">
        <f>IFERROR(INDEX(CHOOSE({1,2,3,4}, DAY(XT!U398), DAY(XT!Y398), DAY(XT!AC398), DAY(XT!AG398)), MATCH(1, INDEX(--(MONTH(CHOOSE({1,2,3,4}, XT!U398,XT!Y398,XT!AC398,XT!AG398))=9), 0), 0)), "")</f>
        <v/>
      </c>
      <c r="AI398" s="51" t="str">
        <f>IF(XT!$P398&gt;0,AH398,"")</f>
        <v/>
      </c>
      <c r="AJ398" s="51" t="str">
        <f>IF(XT!$P398=0,AH398,"")</f>
        <v/>
      </c>
      <c r="AK398">
        <f>SUMPRODUCT((MONTH(CHOOSE({1,2,3,4},XT!U398,XT!Y398,XT!AC398,XT!AG398))=10)*(CHOOSE({1,2,3,4},XT!X398,XT!AB398,XT!AF398,XT!AJ398)))</f>
        <v>0</v>
      </c>
      <c r="AL398" t="str">
        <f>IFERROR(INDEX(CHOOSE({1,2,3,4}, DAY(XT!U398), DAY(XT!Y398), DAY(XT!AC398), DAY(XT!AG398)), MATCH(1, INDEX(--(MONTH(CHOOSE({1,2,3,4}, XT!U398,XT!Y398,XT!AC398,XT!AG398))=10), 0), 0)), "")</f>
        <v/>
      </c>
      <c r="AM398" s="51" t="str">
        <f>IF(XT!$P398&gt;0,AL398,"")</f>
        <v/>
      </c>
      <c r="AN398" s="51" t="str">
        <f>IF(XT!$P398=0,AL398,"")</f>
        <v/>
      </c>
      <c r="AO398">
        <f>SUMPRODUCT((MONTH(CHOOSE({1,2,3,4},XT!U398,XT!Y398,XT!AC398,XT!AG398))=11)*(CHOOSE({1,2,3,4},XT!X398,XT!AB398,XT!AF398,XT!AJ398)))</f>
        <v>0</v>
      </c>
      <c r="AP398" t="str">
        <f>IFERROR(INDEX(CHOOSE({1,2,3,4}, DAY(XT!U398), DAY(XT!Y398), DAY(XT!AC398), DAY(XT!AG398)), MATCH(1, INDEX(--(MONTH(CHOOSE({1,2,3,4}, XT!U398,XT!Y398,XT!AC398,XT!AG398))=11), 0), 0)), "")</f>
        <v/>
      </c>
      <c r="AQ398" s="51" t="str">
        <f>IF(XT!$P398&gt;0,AP398,"")</f>
        <v/>
      </c>
      <c r="AR398" s="51" t="str">
        <f>IF(XT!$P398=0,AP398,"")</f>
        <v/>
      </c>
      <c r="AS398">
        <f>SUMPRODUCT((MONTH(CHOOSE({1,2,3,4},XT!U398,XT!Y398,XT!AC398,XT!AG398))=12)*(CHOOSE({1,2,3,4},XT!X398,XT!AB398,XT!AF398,XT!AJ398)))</f>
        <v>0</v>
      </c>
      <c r="AT398" t="str">
        <f>IFERROR(INDEX(CHOOSE({1,2,3,4}, DAY(XT!U398), DAY(XT!Y398), DAY(XT!AC398), DAY(XT!AG398)), MATCH(1, INDEX(--(MONTH(CHOOSE({1,2,3,4}, XT!U398,XT!Y398,XT!AC398,XT!AG398))=12), 0), 0)), "")</f>
        <v/>
      </c>
      <c r="AU398" s="51" t="str">
        <f>IF(XT!$P398&gt;0,AT398,"")</f>
        <v/>
      </c>
      <c r="AV398" s="51" t="str">
        <f>IF(XT!$P398=0,AT398,"")</f>
        <v/>
      </c>
    </row>
    <row r="399" spans="1:48">
      <c r="A399">
        <f>SUMPRODUCT((MONTH(CHOOSE({1,2,3,4},XT!U399,XT!Y399,XT!AC399,XT!AG399))=1)*(CHOOSE({1,2,3,4},XT!X399,XT!AB399,XT!AF399,XT!AJ399)))</f>
        <v>0</v>
      </c>
      <c r="B399">
        <f>IFERROR(INDEX(CHOOSE({1,2,3,4}, DAY(XT!U399), DAY(XT!Y399), DAY(XT!AC399), DAY(XT!AG399)), MATCH(1, INDEX(--(MONTH(CHOOSE({1,2,3,4}, XT!U399,XT!Y399,XT!AC399,XT!AG399))=1), 0), 0)), "")</f>
        <v>0</v>
      </c>
      <c r="C399" s="51" t="str">
        <f>IF(XT!$P399&gt;0,B399,"")</f>
        <v/>
      </c>
      <c r="D399" s="51">
        <f>IF(XT!$P399=0,B399,"")</f>
        <v>0</v>
      </c>
      <c r="E399">
        <f>SUMPRODUCT((MONTH(CHOOSE({1,2,3,4},XT!U399,XT!Y399,XT!AC399,XT!AG399))=2)*(CHOOSE({1,2,3,4},XT!X399,XT!AB399,XT!AF399,XT!AJ399)))</f>
        <v>0</v>
      </c>
      <c r="F399" t="str">
        <f>IFERROR(INDEX(CHOOSE({1,2,3,4}, DAY(XT!U399), DAY(XT!Y399), DAY(XT!AC399), DAY(XT!AG399)), MATCH(1, INDEX(--(MONTH(CHOOSE({1,2,3,4}, XT!U399,XT!Y399,XT!AC399,XT!AG399))=2), 0), 0)), "")</f>
        <v/>
      </c>
      <c r="G399" s="51" t="str">
        <f>IF(XT!$P399&gt;0,F399,"")</f>
        <v/>
      </c>
      <c r="H399" s="51" t="str">
        <f>IF(XT!$P399=0,F399,"")</f>
        <v/>
      </c>
      <c r="I399">
        <f>SUMPRODUCT((MONTH(CHOOSE({1,2,3,4},XT!U399,XT!Y399,XT!AC399,XT!AG399))=3)*(CHOOSE({1,2,3,4},XT!X399,XT!AB399,XT!AF399,XT!AJ399)))</f>
        <v>0</v>
      </c>
      <c r="J399" t="str">
        <f>IFERROR(INDEX(CHOOSE({1,2,3,4}, DAY(XT!U399), DAY(XT!Y399), DAY(XT!AC399), DAY(XT!AG399)), MATCH(1, INDEX(--(MONTH(CHOOSE({1,2,3,4}, XT!U399,XT!Y399,XT!AC399,XT!AG399))=3), 0), 0)), "")</f>
        <v/>
      </c>
      <c r="K399" s="51" t="str">
        <f>IF(XT!$P399&gt;0,J399,"")</f>
        <v/>
      </c>
      <c r="L399" s="51" t="str">
        <f>IF(XT!$P399=0,J399,"")</f>
        <v/>
      </c>
      <c r="M399">
        <f>SUMPRODUCT((MONTH(CHOOSE({1,2,3,4},XT!U399,XT!Y399,XT!AC399,XT!AG399))=4)*(CHOOSE({1,2,3,4},XT!X399,XT!AB399,XT!AF399,XT!AJ399)))</f>
        <v>0</v>
      </c>
      <c r="N399" t="str">
        <f>IFERROR(INDEX(CHOOSE({1,2,3,4}, DAY(XT!U399), DAY(XT!Y399), DAY(XT!AC399), DAY(XT!AG399)), MATCH(1, INDEX(--(MONTH(CHOOSE({1,2,3,4}, XT!U399,XT!Y399,XT!AC399,XT!AG399))=4), 0), 0)), "")</f>
        <v/>
      </c>
      <c r="O399" s="51" t="str">
        <f>IF(XT!$P399&gt;0,N399,"")</f>
        <v/>
      </c>
      <c r="P399" s="51" t="str">
        <f>IF(XT!$P399=0,N399,"")</f>
        <v/>
      </c>
      <c r="Q399">
        <f>SUMPRODUCT((MONTH(CHOOSE({1,2,3,4},XT!U399,XT!Y399,XT!AC399,XT!AG399))=5)*(CHOOSE({1,2,3,4},XT!X399,XT!AB399,XT!AF399,XT!AJ399)))</f>
        <v>0</v>
      </c>
      <c r="R399" t="str">
        <f>IFERROR(INDEX(CHOOSE({1,2,3,4}, DAY(XT!U399), DAY(XT!Y399), DAY(XT!AC399), DAY(XT!AG399)), MATCH(1, INDEX(--(MONTH(CHOOSE({1,2,3,4}, XT!U399,XT!Y399,XT!AC399,XT!AG399))=5), 0), 0)), "")</f>
        <v/>
      </c>
      <c r="S399" s="51" t="str">
        <f>IF(XT!$P399&gt;0,R399,"")</f>
        <v/>
      </c>
      <c r="T399" s="51" t="str">
        <f>IF(XT!$P399=0,R399,"")</f>
        <v/>
      </c>
      <c r="U399">
        <f>SUMPRODUCT((MONTH(CHOOSE({1,2,3,4},XT!U399,XT!Y399,XT!AC399,XT!AG399))=6)*(CHOOSE({1,2,3,4},XT!X399,XT!AB399,XT!AF399,XT!AJ399)))</f>
        <v>0</v>
      </c>
      <c r="V399" t="str">
        <f>IFERROR(INDEX(CHOOSE({1,2,3,4}, DAY(XT!U399), DAY(XT!Y399), DAY(XT!AC399), DAY(XT!AG399)), MATCH(1, INDEX(--(MONTH(CHOOSE({1,2,3,4}, XT!U399,XT!Y399,XT!AC399,XT!AG399))=6), 0), 0)), "")</f>
        <v/>
      </c>
      <c r="W399" s="51" t="str">
        <f>IF(XT!$P399&gt;0,V399,"")</f>
        <v/>
      </c>
      <c r="X399" s="51" t="str">
        <f>IF(XT!$P399=0,V399,"")</f>
        <v/>
      </c>
      <c r="Y399">
        <f>SUMPRODUCT((MONTH(CHOOSE({1,2,3,4},XT!U399,XT!Y399,XT!AC399,XT!AG399))=7)*(CHOOSE({1,2,3,4},XT!X399,XT!AB399,XT!AF399,XT!AJ399)))</f>
        <v>0</v>
      </c>
      <c r="Z399" t="str">
        <f>IFERROR(INDEX(CHOOSE({1,2,3,4}, DAY(XT!U399), DAY(XT!Y399), DAY(XT!AC399), DAY(XT!AG399)), MATCH(1, INDEX(--(MONTH(CHOOSE({1,2,3,4}, XT!U399,XT!Y399,XT!AC399,XT!AG399))=7), 0), 0)), "")</f>
        <v/>
      </c>
      <c r="AA399" s="51" t="str">
        <f>IF(XT!$P399&gt;0,Z399,"")</f>
        <v/>
      </c>
      <c r="AB399" s="51" t="str">
        <f>IF(XT!$P399=0,Z399,"")</f>
        <v/>
      </c>
      <c r="AC399">
        <f>SUMPRODUCT((MONTH(CHOOSE({1,2,3,4},XT!U399,XT!Y399,XT!AC399,XT!AG399))=8)*(CHOOSE({1,2,3,4},XT!X399,XT!AB399,XT!AF399,XT!AJ399)))</f>
        <v>0</v>
      </c>
      <c r="AD399" t="str">
        <f>IFERROR(INDEX(CHOOSE({1,2,3,4}, DAY(XT!U399), DAY(XT!Y399), DAY(XT!AC399), DAY(XT!AG399)), MATCH(1, INDEX(--(MONTH(CHOOSE({1,2,3,4}, XT!U399,XT!Y399,XT!AC399,XT!AG399))=8), 0), 0)), "")</f>
        <v/>
      </c>
      <c r="AE399" s="51" t="str">
        <f>IF(XT!$P399&gt;0,AD399,"")</f>
        <v/>
      </c>
      <c r="AF399" s="51" t="str">
        <f>IF(XT!$P399=0,AD399,"")</f>
        <v/>
      </c>
      <c r="AG399">
        <f>SUMPRODUCT((MONTH(CHOOSE({1,2,3,4},XT!U399,XT!Y399,XT!AC399,XT!AG399))=9)*(CHOOSE({1,2,3,4},XT!X399,XT!AB399,XT!AF399,XT!AJ399)))</f>
        <v>0</v>
      </c>
      <c r="AH399" t="str">
        <f>IFERROR(INDEX(CHOOSE({1,2,3,4}, DAY(XT!U399), DAY(XT!Y399), DAY(XT!AC399), DAY(XT!AG399)), MATCH(1, INDEX(--(MONTH(CHOOSE({1,2,3,4}, XT!U399,XT!Y399,XT!AC399,XT!AG399))=9), 0), 0)), "")</f>
        <v/>
      </c>
      <c r="AI399" s="51" t="str">
        <f>IF(XT!$P399&gt;0,AH399,"")</f>
        <v/>
      </c>
      <c r="AJ399" s="51" t="str">
        <f>IF(XT!$P399=0,AH399,"")</f>
        <v/>
      </c>
      <c r="AK399">
        <f>SUMPRODUCT((MONTH(CHOOSE({1,2,3,4},XT!U399,XT!Y399,XT!AC399,XT!AG399))=10)*(CHOOSE({1,2,3,4},XT!X399,XT!AB399,XT!AF399,XT!AJ399)))</f>
        <v>0</v>
      </c>
      <c r="AL399" t="str">
        <f>IFERROR(INDEX(CHOOSE({1,2,3,4}, DAY(XT!U399), DAY(XT!Y399), DAY(XT!AC399), DAY(XT!AG399)), MATCH(1, INDEX(--(MONTH(CHOOSE({1,2,3,4}, XT!U399,XT!Y399,XT!AC399,XT!AG399))=10), 0), 0)), "")</f>
        <v/>
      </c>
      <c r="AM399" s="51" t="str">
        <f>IF(XT!$P399&gt;0,AL399,"")</f>
        <v/>
      </c>
      <c r="AN399" s="51" t="str">
        <f>IF(XT!$P399=0,AL399,"")</f>
        <v/>
      </c>
      <c r="AO399">
        <f>SUMPRODUCT((MONTH(CHOOSE({1,2,3,4},XT!U399,XT!Y399,XT!AC399,XT!AG399))=11)*(CHOOSE({1,2,3,4},XT!X399,XT!AB399,XT!AF399,XT!AJ399)))</f>
        <v>0</v>
      </c>
      <c r="AP399" t="str">
        <f>IFERROR(INDEX(CHOOSE({1,2,3,4}, DAY(XT!U399), DAY(XT!Y399), DAY(XT!AC399), DAY(XT!AG399)), MATCH(1, INDEX(--(MONTH(CHOOSE({1,2,3,4}, XT!U399,XT!Y399,XT!AC399,XT!AG399))=11), 0), 0)), "")</f>
        <v/>
      </c>
      <c r="AQ399" s="51" t="str">
        <f>IF(XT!$P399&gt;0,AP399,"")</f>
        <v/>
      </c>
      <c r="AR399" s="51" t="str">
        <f>IF(XT!$P399=0,AP399,"")</f>
        <v/>
      </c>
      <c r="AS399">
        <f>SUMPRODUCT((MONTH(CHOOSE({1,2,3,4},XT!U399,XT!Y399,XT!AC399,XT!AG399))=12)*(CHOOSE({1,2,3,4},XT!X399,XT!AB399,XT!AF399,XT!AJ399)))</f>
        <v>0</v>
      </c>
      <c r="AT399" t="str">
        <f>IFERROR(INDEX(CHOOSE({1,2,3,4}, DAY(XT!U399), DAY(XT!Y399), DAY(XT!AC399), DAY(XT!AG399)), MATCH(1, INDEX(--(MONTH(CHOOSE({1,2,3,4}, XT!U399,XT!Y399,XT!AC399,XT!AG399))=12), 0), 0)), "")</f>
        <v/>
      </c>
      <c r="AU399" s="51" t="str">
        <f>IF(XT!$P399&gt;0,AT399,"")</f>
        <v/>
      </c>
      <c r="AV399" s="51" t="str">
        <f>IF(XT!$P399=0,AT399,"")</f>
        <v/>
      </c>
    </row>
    <row r="400" spans="1:48">
      <c r="A400">
        <f>SUMPRODUCT((MONTH(CHOOSE({1,2,3,4},XT!U400,XT!Y400,XT!AC400,XT!AG400))=1)*(CHOOSE({1,2,3,4},XT!X400,XT!AB400,XT!AF400,XT!AJ400)))</f>
        <v>0</v>
      </c>
      <c r="B400">
        <f>IFERROR(INDEX(CHOOSE({1,2,3,4}, DAY(XT!U400), DAY(XT!Y400), DAY(XT!AC400), DAY(XT!AG400)), MATCH(1, INDEX(--(MONTH(CHOOSE({1,2,3,4}, XT!U400,XT!Y400,XT!AC400,XT!AG400))=1), 0), 0)), "")</f>
        <v>0</v>
      </c>
      <c r="C400" s="51" t="str">
        <f>IF(XT!$P400&gt;0,B400,"")</f>
        <v/>
      </c>
      <c r="D400" s="51">
        <f>IF(XT!$P400=0,B400,"")</f>
        <v>0</v>
      </c>
      <c r="E400">
        <f>SUMPRODUCT((MONTH(CHOOSE({1,2,3,4},XT!U400,XT!Y400,XT!AC400,XT!AG400))=2)*(CHOOSE({1,2,3,4},XT!X400,XT!AB400,XT!AF400,XT!AJ400)))</f>
        <v>0</v>
      </c>
      <c r="F400" t="str">
        <f>IFERROR(INDEX(CHOOSE({1,2,3,4}, DAY(XT!U400), DAY(XT!Y400), DAY(XT!AC400), DAY(XT!AG400)), MATCH(1, INDEX(--(MONTH(CHOOSE({1,2,3,4}, XT!U400,XT!Y400,XT!AC400,XT!AG400))=2), 0), 0)), "")</f>
        <v/>
      </c>
      <c r="G400" s="51" t="str">
        <f>IF(XT!$P400&gt;0,F400,"")</f>
        <v/>
      </c>
      <c r="H400" s="51" t="str">
        <f>IF(XT!$P400=0,F400,"")</f>
        <v/>
      </c>
      <c r="I400">
        <f>SUMPRODUCT((MONTH(CHOOSE({1,2,3,4},XT!U400,XT!Y400,XT!AC400,XT!AG400))=3)*(CHOOSE({1,2,3,4},XT!X400,XT!AB400,XT!AF400,XT!AJ400)))</f>
        <v>0</v>
      </c>
      <c r="J400" t="str">
        <f>IFERROR(INDEX(CHOOSE({1,2,3,4}, DAY(XT!U400), DAY(XT!Y400), DAY(XT!AC400), DAY(XT!AG400)), MATCH(1, INDEX(--(MONTH(CHOOSE({1,2,3,4}, XT!U400,XT!Y400,XT!AC400,XT!AG400))=3), 0), 0)), "")</f>
        <v/>
      </c>
      <c r="K400" s="51" t="str">
        <f>IF(XT!$P400&gt;0,J400,"")</f>
        <v/>
      </c>
      <c r="L400" s="51" t="str">
        <f>IF(XT!$P400=0,J400,"")</f>
        <v/>
      </c>
      <c r="M400">
        <f>SUMPRODUCT((MONTH(CHOOSE({1,2,3,4},XT!U400,XT!Y400,XT!AC400,XT!AG400))=4)*(CHOOSE({1,2,3,4},XT!X400,XT!AB400,XT!AF400,XT!AJ400)))</f>
        <v>0</v>
      </c>
      <c r="N400" t="str">
        <f>IFERROR(INDEX(CHOOSE({1,2,3,4}, DAY(XT!U400), DAY(XT!Y400), DAY(XT!AC400), DAY(XT!AG400)), MATCH(1, INDEX(--(MONTH(CHOOSE({1,2,3,4}, XT!U400,XT!Y400,XT!AC400,XT!AG400))=4), 0), 0)), "")</f>
        <v/>
      </c>
      <c r="O400" s="51" t="str">
        <f>IF(XT!$P400&gt;0,N400,"")</f>
        <v/>
      </c>
      <c r="P400" s="51" t="str">
        <f>IF(XT!$P400=0,N400,"")</f>
        <v/>
      </c>
      <c r="Q400">
        <f>SUMPRODUCT((MONTH(CHOOSE({1,2,3,4},XT!U400,XT!Y400,XT!AC400,XT!AG400))=5)*(CHOOSE({1,2,3,4},XT!X400,XT!AB400,XT!AF400,XT!AJ400)))</f>
        <v>0</v>
      </c>
      <c r="R400" t="str">
        <f>IFERROR(INDEX(CHOOSE({1,2,3,4}, DAY(XT!U400), DAY(XT!Y400), DAY(XT!AC400), DAY(XT!AG400)), MATCH(1, INDEX(--(MONTH(CHOOSE({1,2,3,4}, XT!U400,XT!Y400,XT!AC400,XT!AG400))=5), 0), 0)), "")</f>
        <v/>
      </c>
      <c r="S400" s="51" t="str">
        <f>IF(XT!$P400&gt;0,R400,"")</f>
        <v/>
      </c>
      <c r="T400" s="51" t="str">
        <f>IF(XT!$P400=0,R400,"")</f>
        <v/>
      </c>
      <c r="U400">
        <f>SUMPRODUCT((MONTH(CHOOSE({1,2,3,4},XT!U400,XT!Y400,XT!AC400,XT!AG400))=6)*(CHOOSE({1,2,3,4},XT!X400,XT!AB400,XT!AF400,XT!AJ400)))</f>
        <v>0</v>
      </c>
      <c r="V400" t="str">
        <f>IFERROR(INDEX(CHOOSE({1,2,3,4}, DAY(XT!U400), DAY(XT!Y400), DAY(XT!AC400), DAY(XT!AG400)), MATCH(1, INDEX(--(MONTH(CHOOSE({1,2,3,4}, XT!U400,XT!Y400,XT!AC400,XT!AG400))=6), 0), 0)), "")</f>
        <v/>
      </c>
      <c r="W400" s="51" t="str">
        <f>IF(XT!$P400&gt;0,V400,"")</f>
        <v/>
      </c>
      <c r="X400" s="51" t="str">
        <f>IF(XT!$P400=0,V400,"")</f>
        <v/>
      </c>
      <c r="Y400">
        <f>SUMPRODUCT((MONTH(CHOOSE({1,2,3,4},XT!U400,XT!Y400,XT!AC400,XT!AG400))=7)*(CHOOSE({1,2,3,4},XT!X400,XT!AB400,XT!AF400,XT!AJ400)))</f>
        <v>0</v>
      </c>
      <c r="Z400" t="str">
        <f>IFERROR(INDEX(CHOOSE({1,2,3,4}, DAY(XT!U400), DAY(XT!Y400), DAY(XT!AC400), DAY(XT!AG400)), MATCH(1, INDEX(--(MONTH(CHOOSE({1,2,3,4}, XT!U400,XT!Y400,XT!AC400,XT!AG400))=7), 0), 0)), "")</f>
        <v/>
      </c>
      <c r="AA400" s="51" t="str">
        <f>IF(XT!$P400&gt;0,Z400,"")</f>
        <v/>
      </c>
      <c r="AB400" s="51" t="str">
        <f>IF(XT!$P400=0,Z400,"")</f>
        <v/>
      </c>
      <c r="AC400">
        <f>SUMPRODUCT((MONTH(CHOOSE({1,2,3,4},XT!U400,XT!Y400,XT!AC400,XT!AG400))=8)*(CHOOSE({1,2,3,4},XT!X400,XT!AB400,XT!AF400,XT!AJ400)))</f>
        <v>0</v>
      </c>
      <c r="AD400" t="str">
        <f>IFERROR(INDEX(CHOOSE({1,2,3,4}, DAY(XT!U400), DAY(XT!Y400), DAY(XT!AC400), DAY(XT!AG400)), MATCH(1, INDEX(--(MONTH(CHOOSE({1,2,3,4}, XT!U400,XT!Y400,XT!AC400,XT!AG400))=8), 0), 0)), "")</f>
        <v/>
      </c>
      <c r="AE400" s="51" t="str">
        <f>IF(XT!$P400&gt;0,AD400,"")</f>
        <v/>
      </c>
      <c r="AF400" s="51" t="str">
        <f>IF(XT!$P400=0,AD400,"")</f>
        <v/>
      </c>
      <c r="AG400">
        <f>SUMPRODUCT((MONTH(CHOOSE({1,2,3,4},XT!U400,XT!Y400,XT!AC400,XT!AG400))=9)*(CHOOSE({1,2,3,4},XT!X400,XT!AB400,XT!AF400,XT!AJ400)))</f>
        <v>0</v>
      </c>
      <c r="AH400" t="str">
        <f>IFERROR(INDEX(CHOOSE({1,2,3,4}, DAY(XT!U400), DAY(XT!Y400), DAY(XT!AC400), DAY(XT!AG400)), MATCH(1, INDEX(--(MONTH(CHOOSE({1,2,3,4}, XT!U400,XT!Y400,XT!AC400,XT!AG400))=9), 0), 0)), "")</f>
        <v/>
      </c>
      <c r="AI400" s="51" t="str">
        <f>IF(XT!$P400&gt;0,AH400,"")</f>
        <v/>
      </c>
      <c r="AJ400" s="51" t="str">
        <f>IF(XT!$P400=0,AH400,"")</f>
        <v/>
      </c>
      <c r="AK400">
        <f>SUMPRODUCT((MONTH(CHOOSE({1,2,3,4},XT!U400,XT!Y400,XT!AC400,XT!AG400))=10)*(CHOOSE({1,2,3,4},XT!X400,XT!AB400,XT!AF400,XT!AJ400)))</f>
        <v>0</v>
      </c>
      <c r="AL400" t="str">
        <f>IFERROR(INDEX(CHOOSE({1,2,3,4}, DAY(XT!U400), DAY(XT!Y400), DAY(XT!AC400), DAY(XT!AG400)), MATCH(1, INDEX(--(MONTH(CHOOSE({1,2,3,4}, XT!U400,XT!Y400,XT!AC400,XT!AG400))=10), 0), 0)), "")</f>
        <v/>
      </c>
      <c r="AM400" s="51" t="str">
        <f>IF(XT!$P400&gt;0,AL400,"")</f>
        <v/>
      </c>
      <c r="AN400" s="51" t="str">
        <f>IF(XT!$P400=0,AL400,"")</f>
        <v/>
      </c>
      <c r="AO400">
        <f>SUMPRODUCT((MONTH(CHOOSE({1,2,3,4},XT!U400,XT!Y400,XT!AC400,XT!AG400))=11)*(CHOOSE({1,2,3,4},XT!X400,XT!AB400,XT!AF400,XT!AJ400)))</f>
        <v>0</v>
      </c>
      <c r="AP400" t="str">
        <f>IFERROR(INDEX(CHOOSE({1,2,3,4}, DAY(XT!U400), DAY(XT!Y400), DAY(XT!AC400), DAY(XT!AG400)), MATCH(1, INDEX(--(MONTH(CHOOSE({1,2,3,4}, XT!U400,XT!Y400,XT!AC400,XT!AG400))=11), 0), 0)), "")</f>
        <v/>
      </c>
      <c r="AQ400" s="51" t="str">
        <f>IF(XT!$P400&gt;0,AP400,"")</f>
        <v/>
      </c>
      <c r="AR400" s="51" t="str">
        <f>IF(XT!$P400=0,AP400,"")</f>
        <v/>
      </c>
      <c r="AS400">
        <f>SUMPRODUCT((MONTH(CHOOSE({1,2,3,4},XT!U400,XT!Y400,XT!AC400,XT!AG400))=12)*(CHOOSE({1,2,3,4},XT!X400,XT!AB400,XT!AF400,XT!AJ400)))</f>
        <v>0</v>
      </c>
      <c r="AT400" t="str">
        <f>IFERROR(INDEX(CHOOSE({1,2,3,4}, DAY(XT!U400), DAY(XT!Y400), DAY(XT!AC400), DAY(XT!AG400)), MATCH(1, INDEX(--(MONTH(CHOOSE({1,2,3,4}, XT!U400,XT!Y400,XT!AC400,XT!AG400))=12), 0), 0)), "")</f>
        <v/>
      </c>
      <c r="AU400" s="51" t="str">
        <f>IF(XT!$P400&gt;0,AT400,"")</f>
        <v/>
      </c>
      <c r="AV400" s="51" t="str">
        <f>IF(XT!$P400=0,AT400,"")</f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9"/>
  <dimension ref="A1:L400"/>
  <sheetViews>
    <sheetView workbookViewId="0">
      <selection activeCell="D1" sqref="D1"/>
    </sheetView>
  </sheetViews>
  <sheetFormatPr defaultRowHeight="12.75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40" customFormat="1">
      <c r="A2" s="40">
        <f>SUM(A3:A444)</f>
        <v>0</v>
      </c>
      <c r="B2" s="40">
        <f t="shared" ref="B2:L2" si="1">SUM(B3:B444)</f>
        <v>0</v>
      </c>
      <c r="C2" s="40">
        <f t="shared" si="1"/>
        <v>0</v>
      </c>
      <c r="D2" s="40">
        <f t="shared" si="1"/>
        <v>0</v>
      </c>
      <c r="E2" s="40">
        <f t="shared" si="1"/>
        <v>0</v>
      </c>
      <c r="F2" s="40">
        <f t="shared" si="1"/>
        <v>0</v>
      </c>
      <c r="G2" s="40">
        <f t="shared" si="1"/>
        <v>0</v>
      </c>
      <c r="H2" s="40">
        <f t="shared" si="1"/>
        <v>0</v>
      </c>
      <c r="I2" s="40">
        <f t="shared" si="1"/>
        <v>0</v>
      </c>
      <c r="J2" s="40">
        <f t="shared" si="1"/>
        <v>0</v>
      </c>
      <c r="K2" s="40">
        <f t="shared" si="1"/>
        <v>0</v>
      </c>
      <c r="L2" s="40">
        <f t="shared" si="1"/>
        <v>0</v>
      </c>
    </row>
    <row r="3" spans="1:12" ht="15.75" customHeight="1">
      <c r="A3">
        <f>SUMPRODUCT((MONTH(CHOOSE({1,2,3,4},HN!U3,HN!AA3,HN!AG3,HN!AM3))=1)*(CHOOSE({1,2,3,4},HN!X3,HN!AD3,HN!AJ3,HN!AP3)))</f>
        <v>0</v>
      </c>
      <c r="B3">
        <f>SUMPRODUCT((MONTH(CHOOSE({1,2,3,4},HN!U3,HN!AA3,HN!AG3,HN!AM3))=2)*(CHOOSE({1,2,3,4},HN!X3,HN!AD3,HN!AJ3,HN!AP3)))</f>
        <v>0</v>
      </c>
      <c r="C3">
        <f>SUMPRODUCT((MONTH(CHOOSE({1,2,3,4},HN!U3,HN!AA3,HN!AG3,HN!AM3))=3)*(CHOOSE({1,2,3,4},HN!X3,HN!AD3,HN!AJ3,HN!AP3)))</f>
        <v>0</v>
      </c>
      <c r="D3">
        <f>SUMPRODUCT((MONTH(CHOOSE({1,2,3,4},HN!U3,HN!AA3,HN!AG3,HN!AM3))=4)*(CHOOSE({1,2,3,4},HN!X3,HN!AD3,HN!AJ3,HN!AP3)))</f>
        <v>0</v>
      </c>
      <c r="E3">
        <f>SUMPRODUCT((MONTH(CHOOSE({1,2,3,4},HN!U3,HN!AA3,HN!AG3,HN!AM3))=5)*(CHOOSE({1,2,3,4},HN!X3,HN!AD3,HN!AJ3,HN!AP3)))</f>
        <v>0</v>
      </c>
      <c r="F3">
        <f>SUMPRODUCT((MONTH(CHOOSE({1,2,3,4},HN!U3,HN!AA3,HN!AG3,HN!AM3))=6)*(CHOOSE({1,2,3,4},HN!X3,HN!AD3,HN!AJ3,HN!AP3)))</f>
        <v>0</v>
      </c>
      <c r="G3">
        <f>SUMPRODUCT((MONTH(CHOOSE({1,2,3,4},HN!U3,HN!AA3,HN!AG3,HN!AM3))=7)*(CHOOSE({1,2,3,4},HN!X3,HN!AD3,HN!AJ3,HN!AP3)))</f>
        <v>0</v>
      </c>
      <c r="H3">
        <f>SUMPRODUCT((MONTH(CHOOSE({1,2,3,4},HN!U3,HN!AA3,HN!AG3,HN!AM3))=8)*(CHOOSE({1,2,3,4},HN!X3,HN!AD3,HN!AJ3,HN!AP3)))</f>
        <v>0</v>
      </c>
      <c r="I3">
        <f>SUMPRODUCT((MONTH(CHOOSE({1,2,3,4},HN!U3,HN!AA3,HN!AG3,HN!AM3))=9)*(CHOOSE({1,2,3,4},HN!X3,HN!AD3,HN!AJ3,HN!AP3)))</f>
        <v>0</v>
      </c>
      <c r="J3">
        <f>SUMPRODUCT((MONTH(CHOOSE({1,2,3,4},HN!U3,HN!AA3,HN!AG3,HN!AM3))=10)*(CHOOSE({1,2,3,4},HN!X3,HN!AD3,HN!AJ3,HN!AP3)))</f>
        <v>0</v>
      </c>
      <c r="K3">
        <f>SUMPRODUCT((MONTH(CHOOSE({1,2,3,4},HN!U3,HN!AA3,HN!AG3,HN!AM3))=11)*(CHOOSE({1,2,3,4},HN!X3,HN!AD3,HN!AJ3,HN!AP3)))</f>
        <v>0</v>
      </c>
      <c r="L3">
        <f>SUMPRODUCT((MONTH(CHOOSE({1,2,3,4},HN!U3,HN!AA3,HN!AG3,HN!AM3))=12)*(CHOOSE({1,2,3,4},HN!X3,HN!AD3,HN!AJ3,HN!AP3)))</f>
        <v>0</v>
      </c>
    </row>
    <row r="4" spans="1:12">
      <c r="A4">
        <f>SUMPRODUCT((MONTH(CHOOSE({1,2,3,4},HN!U4,HN!AA4,HN!AG4,HN!AM4))=1)*(CHOOSE({1,2,3,4},HN!X4,HN!AD4,HN!AJ4,HN!AP4)))</f>
        <v>0</v>
      </c>
      <c r="B4">
        <f>SUMPRODUCT((MONTH(CHOOSE({1,2,3,4},HN!U4,HN!AA4,HN!AG4,HN!AM4))=2)*(CHOOSE({1,2,3,4},HN!X4,HN!AD4,HN!AJ4,HN!AP4)))</f>
        <v>0</v>
      </c>
      <c r="C4">
        <f>SUMPRODUCT((MONTH(CHOOSE({1,2,3,4},HN!U4,HN!AA4,HN!AG4,HN!AM4))=3)*(CHOOSE({1,2,3,4},HN!X4,HN!AD4,HN!AJ4,HN!AP4)))</f>
        <v>0</v>
      </c>
      <c r="D4">
        <f>SUMPRODUCT((MONTH(CHOOSE({1,2,3,4},HN!U4,HN!AA4,HN!AG4,HN!AM4))=4)*(CHOOSE({1,2,3,4},HN!X4,HN!AD4,HN!AJ4,HN!AP4)))</f>
        <v>0</v>
      </c>
      <c r="E4">
        <f>SUMPRODUCT((MONTH(CHOOSE({1,2,3,4},HN!U4,HN!AA4,HN!AG4,HN!AM4))=5)*(CHOOSE({1,2,3,4},HN!X4,HN!AD4,HN!AJ4,HN!AP4)))</f>
        <v>0</v>
      </c>
      <c r="F4">
        <f>SUMPRODUCT((MONTH(CHOOSE({1,2,3,4},HN!U4,HN!AA4,HN!AG4,HN!AM4))=6)*(CHOOSE({1,2,3,4},HN!X4,HN!AD4,HN!AJ4,HN!AP4)))</f>
        <v>0</v>
      </c>
      <c r="G4">
        <f>SUMPRODUCT((MONTH(CHOOSE({1,2,3,4},HN!U4,HN!AA4,HN!AG4,HN!AM4))=7)*(CHOOSE({1,2,3,4},HN!X4,HN!AD4,HN!AJ4,HN!AP4)))</f>
        <v>0</v>
      </c>
      <c r="H4">
        <f>SUMPRODUCT((MONTH(CHOOSE({1,2,3,4},HN!U4,HN!AA4,HN!AG4,HN!AM4))=8)*(CHOOSE({1,2,3,4},HN!X4,HN!AD4,HN!AJ4,HN!AP4)))</f>
        <v>0</v>
      </c>
      <c r="I4">
        <f>SUMPRODUCT((MONTH(CHOOSE({1,2,3,4},HN!U4,HN!AA4,HN!AG4,HN!AM4))=9)*(CHOOSE({1,2,3,4},HN!X4,HN!AD4,HN!AJ4,HN!AP4)))</f>
        <v>0</v>
      </c>
      <c r="J4">
        <f>SUMPRODUCT((MONTH(CHOOSE({1,2,3,4},HN!U4,HN!AA4,HN!AG4,HN!AM4))=10)*(CHOOSE({1,2,3,4},HN!X4,HN!AD4,HN!AJ4,HN!AP4)))</f>
        <v>0</v>
      </c>
      <c r="K4">
        <f>SUMPRODUCT((MONTH(CHOOSE({1,2,3,4},HN!U4,HN!AA4,HN!AG4,HN!AM4))=11)*(CHOOSE({1,2,3,4},HN!X4,HN!AD4,HN!AJ4,HN!AP4)))</f>
        <v>0</v>
      </c>
      <c r="L4">
        <f>SUMPRODUCT((MONTH(CHOOSE({1,2,3,4},HN!U4,HN!AA4,HN!AG4,HN!AM4))=12)*(CHOOSE({1,2,3,4},HN!X4,HN!AD4,HN!AJ4,HN!AP4)))</f>
        <v>0</v>
      </c>
    </row>
    <row r="5" spans="1:12">
      <c r="A5">
        <f>SUMPRODUCT((MONTH(CHOOSE({1,2,3,4},HN!U5,HN!AA5,HN!AG5,HN!AM5))=1)*(CHOOSE({1,2,3,4},HN!X5,HN!AD5,HN!AJ5,HN!AP5)))</f>
        <v>0</v>
      </c>
      <c r="B5">
        <f>SUMPRODUCT((MONTH(CHOOSE({1,2,3,4},HN!U5,HN!AA5,HN!AG5,HN!AM5))=2)*(CHOOSE({1,2,3,4},HN!X5,HN!AD5,HN!AJ5,HN!AP5)))</f>
        <v>0</v>
      </c>
      <c r="C5">
        <f>SUMPRODUCT((MONTH(CHOOSE({1,2,3,4},HN!U5,HN!AA5,HN!AG5,HN!AM5))=3)*(CHOOSE({1,2,3,4},HN!X5,HN!AD5,HN!AJ5,HN!AP5)))</f>
        <v>0</v>
      </c>
      <c r="D5">
        <f>SUMPRODUCT((MONTH(CHOOSE({1,2,3,4},HN!U5,HN!AA5,HN!AG5,HN!AM5))=4)*(CHOOSE({1,2,3,4},HN!X5,HN!AD5,HN!AJ5,HN!AP5)))</f>
        <v>0</v>
      </c>
      <c r="E5">
        <f>SUMPRODUCT((MONTH(CHOOSE({1,2,3,4},HN!U5,HN!AA5,HN!AG5,HN!AM5))=5)*(CHOOSE({1,2,3,4},HN!X5,HN!AD5,HN!AJ5,HN!AP5)))</f>
        <v>0</v>
      </c>
      <c r="F5">
        <f>SUMPRODUCT((MONTH(CHOOSE({1,2,3,4},HN!U5,HN!AA5,HN!AG5,HN!AM5))=6)*(CHOOSE({1,2,3,4},HN!X5,HN!AD5,HN!AJ5,HN!AP5)))</f>
        <v>0</v>
      </c>
      <c r="G5">
        <f>SUMPRODUCT((MONTH(CHOOSE({1,2,3,4},HN!U5,HN!AA5,HN!AG5,HN!AM5))=7)*(CHOOSE({1,2,3,4},HN!X5,HN!AD5,HN!AJ5,HN!AP5)))</f>
        <v>0</v>
      </c>
      <c r="H5">
        <f>SUMPRODUCT((MONTH(CHOOSE({1,2,3,4},HN!U5,HN!AA5,HN!AG5,HN!AM5))=8)*(CHOOSE({1,2,3,4},HN!X5,HN!AD5,HN!AJ5,HN!AP5)))</f>
        <v>0</v>
      </c>
      <c r="I5">
        <f>SUMPRODUCT((MONTH(CHOOSE({1,2,3,4},HN!U5,HN!AA5,HN!AG5,HN!AM5))=9)*(CHOOSE({1,2,3,4},HN!X5,HN!AD5,HN!AJ5,HN!AP5)))</f>
        <v>0</v>
      </c>
      <c r="J5">
        <f>SUMPRODUCT((MONTH(CHOOSE({1,2,3,4},HN!U5,HN!AA5,HN!AG5,HN!AM5))=10)*(CHOOSE({1,2,3,4},HN!X5,HN!AD5,HN!AJ5,HN!AP5)))</f>
        <v>0</v>
      </c>
      <c r="K5">
        <f>SUMPRODUCT((MONTH(CHOOSE({1,2,3,4},HN!U5,HN!AA5,HN!AG5,HN!AM5))=11)*(CHOOSE({1,2,3,4},HN!X5,HN!AD5,HN!AJ5,HN!AP5)))</f>
        <v>0</v>
      </c>
      <c r="L5">
        <f>SUMPRODUCT((MONTH(CHOOSE({1,2,3,4},HN!U5,HN!AA5,HN!AG5,HN!AM5))=12)*(CHOOSE({1,2,3,4},HN!X5,HN!AD5,HN!AJ5,HN!AP5)))</f>
        <v>0</v>
      </c>
    </row>
    <row r="6" spans="1:12">
      <c r="A6">
        <f>SUMPRODUCT((MONTH(CHOOSE({1,2,3,4},HN!U6,HN!AA6,HN!AG6,HN!AM6))=1)*(CHOOSE({1,2,3,4},HN!X6,HN!AD6,HN!AJ6,HN!AP6)))</f>
        <v>0</v>
      </c>
      <c r="B6">
        <f>SUMPRODUCT((MONTH(CHOOSE({1,2,3,4},HN!U6,HN!AA6,HN!AG6,HN!AM6))=2)*(CHOOSE({1,2,3,4},HN!X6,HN!AD6,HN!AJ6,HN!AP6)))</f>
        <v>0</v>
      </c>
      <c r="C6">
        <f>SUMPRODUCT((MONTH(CHOOSE({1,2,3,4},HN!U6,HN!AA6,HN!AG6,HN!AM6))=3)*(CHOOSE({1,2,3,4},HN!X6,HN!AD6,HN!AJ6,HN!AP6)))</f>
        <v>0</v>
      </c>
      <c r="D6">
        <f>SUMPRODUCT((MONTH(CHOOSE({1,2,3,4},HN!U6,HN!AA6,HN!AG6,HN!AM6))=4)*(CHOOSE({1,2,3,4},HN!X6,HN!AD6,HN!AJ6,HN!AP6)))</f>
        <v>0</v>
      </c>
      <c r="E6">
        <f>SUMPRODUCT((MONTH(CHOOSE({1,2,3,4},HN!U6,HN!AA6,HN!AG6,HN!AM6))=5)*(CHOOSE({1,2,3,4},HN!X6,HN!AD6,HN!AJ6,HN!AP6)))</f>
        <v>0</v>
      </c>
      <c r="F6">
        <f>SUMPRODUCT((MONTH(CHOOSE({1,2,3,4},HN!U6,HN!AA6,HN!AG6,HN!AM6))=6)*(CHOOSE({1,2,3,4},HN!X6,HN!AD6,HN!AJ6,HN!AP6)))</f>
        <v>0</v>
      </c>
      <c r="G6">
        <f>SUMPRODUCT((MONTH(CHOOSE({1,2,3,4},HN!U6,HN!AA6,HN!AG6,HN!AM6))=7)*(CHOOSE({1,2,3,4},HN!X6,HN!AD6,HN!AJ6,HN!AP6)))</f>
        <v>0</v>
      </c>
      <c r="H6">
        <f>SUMPRODUCT((MONTH(CHOOSE({1,2,3,4},HN!U6,HN!AA6,HN!AG6,HN!AM6))=8)*(CHOOSE({1,2,3,4},HN!X6,HN!AD6,HN!AJ6,HN!AP6)))</f>
        <v>0</v>
      </c>
      <c r="I6">
        <f>SUMPRODUCT((MONTH(CHOOSE({1,2,3,4},HN!U6,HN!AA6,HN!AG6,HN!AM6))=9)*(CHOOSE({1,2,3,4},HN!X6,HN!AD6,HN!AJ6,HN!AP6)))</f>
        <v>0</v>
      </c>
      <c r="J6">
        <f>SUMPRODUCT((MONTH(CHOOSE({1,2,3,4},HN!U6,HN!AA6,HN!AG6,HN!AM6))=10)*(CHOOSE({1,2,3,4},HN!X6,HN!AD6,HN!AJ6,HN!AP6)))</f>
        <v>0</v>
      </c>
      <c r="K6">
        <f>SUMPRODUCT((MONTH(CHOOSE({1,2,3,4},HN!U6,HN!AA6,HN!AG6,HN!AM6))=11)*(CHOOSE({1,2,3,4},HN!X6,HN!AD6,HN!AJ6,HN!AP6)))</f>
        <v>0</v>
      </c>
      <c r="L6">
        <f>SUMPRODUCT((MONTH(CHOOSE({1,2,3,4},HN!U6,HN!AA6,HN!AG6,HN!AM6))=12)*(CHOOSE({1,2,3,4},HN!X6,HN!AD6,HN!AJ6,HN!AP6)))</f>
        <v>0</v>
      </c>
    </row>
    <row r="7" spans="1:12">
      <c r="A7">
        <f>SUMPRODUCT((MONTH(CHOOSE({1,2,3,4},HN!U7,HN!AA7,HN!AG7,HN!AM7))=1)*(CHOOSE({1,2,3,4},HN!X7,HN!AD7,HN!AJ7,HN!AP7)))</f>
        <v>0</v>
      </c>
      <c r="B7">
        <f>SUMPRODUCT((MONTH(CHOOSE({1,2,3,4},HN!U7,HN!AA7,HN!AG7,HN!AM7))=2)*(CHOOSE({1,2,3,4},HN!X7,HN!AD7,HN!AJ7,HN!AP7)))</f>
        <v>0</v>
      </c>
      <c r="C7">
        <f>SUMPRODUCT((MONTH(CHOOSE({1,2,3,4},HN!U7,HN!AA7,HN!AG7,HN!AM7))=3)*(CHOOSE({1,2,3,4},HN!X7,HN!AD7,HN!AJ7,HN!AP7)))</f>
        <v>0</v>
      </c>
      <c r="D7">
        <f>SUMPRODUCT((MONTH(CHOOSE({1,2,3,4},HN!U7,HN!AA7,HN!AG7,HN!AM7))=4)*(CHOOSE({1,2,3,4},HN!X7,HN!AD7,HN!AJ7,HN!AP7)))</f>
        <v>0</v>
      </c>
      <c r="E7">
        <f>SUMPRODUCT((MONTH(CHOOSE({1,2,3,4},HN!U7,HN!AA7,HN!AG7,HN!AM7))=5)*(CHOOSE({1,2,3,4},HN!X7,HN!AD7,HN!AJ7,HN!AP7)))</f>
        <v>0</v>
      </c>
      <c r="F7">
        <f>SUMPRODUCT((MONTH(CHOOSE({1,2,3,4},HN!U7,HN!AA7,HN!AG7,HN!AM7))=6)*(CHOOSE({1,2,3,4},HN!X7,HN!AD7,HN!AJ7,HN!AP7)))</f>
        <v>0</v>
      </c>
      <c r="G7">
        <f>SUMPRODUCT((MONTH(CHOOSE({1,2,3,4},HN!U7,HN!AA7,HN!AG7,HN!AM7))=7)*(CHOOSE({1,2,3,4},HN!X7,HN!AD7,HN!AJ7,HN!AP7)))</f>
        <v>0</v>
      </c>
      <c r="H7">
        <f>SUMPRODUCT((MONTH(CHOOSE({1,2,3,4},HN!U7,HN!AA7,HN!AG7,HN!AM7))=8)*(CHOOSE({1,2,3,4},HN!X7,HN!AD7,HN!AJ7,HN!AP7)))</f>
        <v>0</v>
      </c>
      <c r="I7">
        <f>SUMPRODUCT((MONTH(CHOOSE({1,2,3,4},HN!U7,HN!AA7,HN!AG7,HN!AM7))=9)*(CHOOSE({1,2,3,4},HN!X7,HN!AD7,HN!AJ7,HN!AP7)))</f>
        <v>0</v>
      </c>
      <c r="J7">
        <f>SUMPRODUCT((MONTH(CHOOSE({1,2,3,4},HN!U7,HN!AA7,HN!AG7,HN!AM7))=10)*(CHOOSE({1,2,3,4},HN!X7,HN!AD7,HN!AJ7,HN!AP7)))</f>
        <v>0</v>
      </c>
      <c r="K7">
        <f>SUMPRODUCT((MONTH(CHOOSE({1,2,3,4},HN!U7,HN!AA7,HN!AG7,HN!AM7))=11)*(CHOOSE({1,2,3,4},HN!X7,HN!AD7,HN!AJ7,HN!AP7)))</f>
        <v>0</v>
      </c>
      <c r="L7">
        <f>SUMPRODUCT((MONTH(CHOOSE({1,2,3,4},HN!U7,HN!AA7,HN!AG7,HN!AM7))=12)*(CHOOSE({1,2,3,4},HN!X7,HN!AD7,HN!AJ7,HN!AP7)))</f>
        <v>0</v>
      </c>
    </row>
    <row r="8" spans="1:12">
      <c r="A8">
        <f>SUMPRODUCT((MONTH(CHOOSE({1,2,3,4},HN!U8,HN!AA8,HN!AG8,HN!AM8))=1)*(CHOOSE({1,2,3,4},HN!X8,HN!AD8,HN!AJ8,HN!AP8)))</f>
        <v>0</v>
      </c>
      <c r="B8">
        <f>SUMPRODUCT((MONTH(CHOOSE({1,2,3,4},HN!U8,HN!AA8,HN!AG8,HN!AM8))=2)*(CHOOSE({1,2,3,4},HN!X8,HN!AD8,HN!AJ8,HN!AP8)))</f>
        <v>0</v>
      </c>
      <c r="C8">
        <f>SUMPRODUCT((MONTH(CHOOSE({1,2,3,4},HN!U8,HN!AA8,HN!AG8,HN!AM8))=3)*(CHOOSE({1,2,3,4},HN!X8,HN!AD8,HN!AJ8,HN!AP8)))</f>
        <v>0</v>
      </c>
      <c r="D8">
        <f>SUMPRODUCT((MONTH(CHOOSE({1,2,3,4},HN!U8,HN!AA8,HN!AG8,HN!AM8))=4)*(CHOOSE({1,2,3,4},HN!X8,HN!AD8,HN!AJ8,HN!AP8)))</f>
        <v>0</v>
      </c>
      <c r="E8">
        <f>SUMPRODUCT((MONTH(CHOOSE({1,2,3,4},HN!U8,HN!AA8,HN!AG8,HN!AM8))=5)*(CHOOSE({1,2,3,4},HN!X8,HN!AD8,HN!AJ8,HN!AP8)))</f>
        <v>0</v>
      </c>
      <c r="F8">
        <f>SUMPRODUCT((MONTH(CHOOSE({1,2,3,4},HN!U8,HN!AA8,HN!AG8,HN!AM8))=6)*(CHOOSE({1,2,3,4},HN!X8,HN!AD8,HN!AJ8,HN!AP8)))</f>
        <v>0</v>
      </c>
      <c r="G8">
        <f>SUMPRODUCT((MONTH(CHOOSE({1,2,3,4},HN!U8,HN!AA8,HN!AG8,HN!AM8))=7)*(CHOOSE({1,2,3,4},HN!X8,HN!AD8,HN!AJ8,HN!AP8)))</f>
        <v>0</v>
      </c>
      <c r="H8">
        <f>SUMPRODUCT((MONTH(CHOOSE({1,2,3,4},HN!U8,HN!AA8,HN!AG8,HN!AM8))=8)*(CHOOSE({1,2,3,4},HN!X8,HN!AD8,HN!AJ8,HN!AP8)))</f>
        <v>0</v>
      </c>
      <c r="I8">
        <f>SUMPRODUCT((MONTH(CHOOSE({1,2,3,4},HN!U8,HN!AA8,HN!AG8,HN!AM8))=9)*(CHOOSE({1,2,3,4},HN!X8,HN!AD8,HN!AJ8,HN!AP8)))</f>
        <v>0</v>
      </c>
      <c r="J8">
        <f>SUMPRODUCT((MONTH(CHOOSE({1,2,3,4},HN!U8,HN!AA8,HN!AG8,HN!AM8))=10)*(CHOOSE({1,2,3,4},HN!X8,HN!AD8,HN!AJ8,HN!AP8)))</f>
        <v>0</v>
      </c>
      <c r="K8">
        <f>SUMPRODUCT((MONTH(CHOOSE({1,2,3,4},HN!U8,HN!AA8,HN!AG8,HN!AM8))=11)*(CHOOSE({1,2,3,4},HN!X8,HN!AD8,HN!AJ8,HN!AP8)))</f>
        <v>0</v>
      </c>
      <c r="L8">
        <f>SUMPRODUCT((MONTH(CHOOSE({1,2,3,4},HN!U8,HN!AA8,HN!AG8,HN!AM8))=12)*(CHOOSE({1,2,3,4},HN!X8,HN!AD8,HN!AJ8,HN!AP8)))</f>
        <v>0</v>
      </c>
    </row>
    <row r="9" spans="1:12">
      <c r="A9">
        <f>SUMPRODUCT((MONTH(CHOOSE({1,2,3,4},HN!U9,HN!AA9,HN!AG9,HN!AM9))=1)*(CHOOSE({1,2,3,4},HN!X9,HN!AD9,HN!AJ9,HN!AP9)))</f>
        <v>0</v>
      </c>
      <c r="B9">
        <f>SUMPRODUCT((MONTH(CHOOSE({1,2,3,4},HN!U9,HN!AA9,HN!AG9,HN!AM9))=2)*(CHOOSE({1,2,3,4},HN!X9,HN!AD9,HN!AJ9,HN!AP9)))</f>
        <v>0</v>
      </c>
      <c r="C9">
        <f>SUMPRODUCT((MONTH(CHOOSE({1,2,3,4},HN!U9,HN!AA9,HN!AG9,HN!AM9))=3)*(CHOOSE({1,2,3,4},HN!X9,HN!AD9,HN!AJ9,HN!AP9)))</f>
        <v>0</v>
      </c>
      <c r="D9">
        <f>SUMPRODUCT((MONTH(CHOOSE({1,2,3,4},HN!U9,HN!AA9,HN!AG9,HN!AM9))=4)*(CHOOSE({1,2,3,4},HN!X9,HN!AD9,HN!AJ9,HN!AP9)))</f>
        <v>0</v>
      </c>
      <c r="E9">
        <f>SUMPRODUCT((MONTH(CHOOSE({1,2,3,4},HN!U9,HN!AA9,HN!AG9,HN!AM9))=5)*(CHOOSE({1,2,3,4},HN!X9,HN!AD9,HN!AJ9,HN!AP9)))</f>
        <v>0</v>
      </c>
      <c r="F9">
        <f>SUMPRODUCT((MONTH(CHOOSE({1,2,3,4},HN!U9,HN!AA9,HN!AG9,HN!AM9))=6)*(CHOOSE({1,2,3,4},HN!X9,HN!AD9,HN!AJ9,HN!AP9)))</f>
        <v>0</v>
      </c>
      <c r="G9">
        <f>SUMPRODUCT((MONTH(CHOOSE({1,2,3,4},HN!U9,HN!AA9,HN!AG9,HN!AM9))=7)*(CHOOSE({1,2,3,4},HN!X9,HN!AD9,HN!AJ9,HN!AP9)))</f>
        <v>0</v>
      </c>
      <c r="H9">
        <f>SUMPRODUCT((MONTH(CHOOSE({1,2,3,4},HN!U9,HN!AA9,HN!AG9,HN!AM9))=8)*(CHOOSE({1,2,3,4},HN!X9,HN!AD9,HN!AJ9,HN!AP9)))</f>
        <v>0</v>
      </c>
      <c r="I9">
        <f>SUMPRODUCT((MONTH(CHOOSE({1,2,3,4},HN!U9,HN!AA9,HN!AG9,HN!AM9))=9)*(CHOOSE({1,2,3,4},HN!X9,HN!AD9,HN!AJ9,HN!AP9)))</f>
        <v>0</v>
      </c>
      <c r="J9">
        <f>SUMPRODUCT((MONTH(CHOOSE({1,2,3,4},HN!U9,HN!AA9,HN!AG9,HN!AM9))=10)*(CHOOSE({1,2,3,4},HN!X9,HN!AD9,HN!AJ9,HN!AP9)))</f>
        <v>0</v>
      </c>
      <c r="K9">
        <f>SUMPRODUCT((MONTH(CHOOSE({1,2,3,4},HN!U9,HN!AA9,HN!AG9,HN!AM9))=11)*(CHOOSE({1,2,3,4},HN!X9,HN!AD9,HN!AJ9,HN!AP9)))</f>
        <v>0</v>
      </c>
      <c r="L9">
        <f>SUMPRODUCT((MONTH(CHOOSE({1,2,3,4},HN!U9,HN!AA9,HN!AG9,HN!AM9))=12)*(CHOOSE({1,2,3,4},HN!X9,HN!AD9,HN!AJ9,HN!AP9)))</f>
        <v>0</v>
      </c>
    </row>
    <row r="10" spans="1:12">
      <c r="A10">
        <f>SUMPRODUCT((MONTH(CHOOSE({1,2,3,4},HN!U10,HN!AA10,HN!AG10,HN!AM10))=1)*(CHOOSE({1,2,3,4},HN!X10,HN!AD10,HN!AJ10,HN!AP10)))</f>
        <v>0</v>
      </c>
      <c r="B10">
        <f>SUMPRODUCT((MONTH(CHOOSE({1,2,3,4},HN!U10,HN!AA10,HN!AG10,HN!AM10))=2)*(CHOOSE({1,2,3,4},HN!X10,HN!AD10,HN!AJ10,HN!AP10)))</f>
        <v>0</v>
      </c>
      <c r="C10">
        <f>SUMPRODUCT((MONTH(CHOOSE({1,2,3,4},HN!U10,HN!AA10,HN!AG10,HN!AM10))=3)*(CHOOSE({1,2,3,4},HN!X10,HN!AD10,HN!AJ10,HN!AP10)))</f>
        <v>0</v>
      </c>
      <c r="D10">
        <f>SUMPRODUCT((MONTH(CHOOSE({1,2,3,4},HN!U10,HN!AA10,HN!AG10,HN!AM10))=4)*(CHOOSE({1,2,3,4},HN!X10,HN!AD10,HN!AJ10,HN!AP10)))</f>
        <v>0</v>
      </c>
      <c r="E10">
        <f>SUMPRODUCT((MONTH(CHOOSE({1,2,3,4},HN!U10,HN!AA10,HN!AG10,HN!AM10))=5)*(CHOOSE({1,2,3,4},HN!X10,HN!AD10,HN!AJ10,HN!AP10)))</f>
        <v>0</v>
      </c>
      <c r="F10">
        <f>SUMPRODUCT((MONTH(CHOOSE({1,2,3,4},HN!U10,HN!AA10,HN!AG10,HN!AM10))=6)*(CHOOSE({1,2,3,4},HN!X10,HN!AD10,HN!AJ10,HN!AP10)))</f>
        <v>0</v>
      </c>
      <c r="G10">
        <f>SUMPRODUCT((MONTH(CHOOSE({1,2,3,4},HN!U10,HN!AA10,HN!AG10,HN!AM10))=7)*(CHOOSE({1,2,3,4},HN!X10,HN!AD10,HN!AJ10,HN!AP10)))</f>
        <v>0</v>
      </c>
      <c r="H10">
        <f>SUMPRODUCT((MONTH(CHOOSE({1,2,3,4},HN!U10,HN!AA10,HN!AG10,HN!AM10))=8)*(CHOOSE({1,2,3,4},HN!X10,HN!AD10,HN!AJ10,HN!AP10)))</f>
        <v>0</v>
      </c>
      <c r="I10">
        <f>SUMPRODUCT((MONTH(CHOOSE({1,2,3,4},HN!U10,HN!AA10,HN!AG10,HN!AM10))=9)*(CHOOSE({1,2,3,4},HN!X10,HN!AD10,HN!AJ10,HN!AP10)))</f>
        <v>0</v>
      </c>
      <c r="J10">
        <f>SUMPRODUCT((MONTH(CHOOSE({1,2,3,4},HN!U10,HN!AA10,HN!AG10,HN!AM10))=10)*(CHOOSE({1,2,3,4},HN!X10,HN!AD10,HN!AJ10,HN!AP10)))</f>
        <v>0</v>
      </c>
      <c r="K10">
        <f>SUMPRODUCT((MONTH(CHOOSE({1,2,3,4},HN!U10,HN!AA10,HN!AG10,HN!AM10))=11)*(CHOOSE({1,2,3,4},HN!X10,HN!AD10,HN!AJ10,HN!AP10)))</f>
        <v>0</v>
      </c>
      <c r="L10">
        <f>SUMPRODUCT((MONTH(CHOOSE({1,2,3,4},HN!U10,HN!AA10,HN!AG10,HN!AM10))=12)*(CHOOSE({1,2,3,4},HN!X10,HN!AD10,HN!AJ10,HN!AP10)))</f>
        <v>0</v>
      </c>
    </row>
    <row r="11" spans="1:12">
      <c r="A11">
        <f>SUMPRODUCT((MONTH(CHOOSE({1,2,3,4},HN!U11,HN!AA11,HN!AG11,HN!AM11))=1)*(CHOOSE({1,2,3,4},HN!X11,HN!AD11,HN!AJ11,HN!AP11)))</f>
        <v>0</v>
      </c>
      <c r="B11">
        <f>SUMPRODUCT((MONTH(CHOOSE({1,2,3,4},HN!U11,HN!AA11,HN!AG11,HN!AM11))=2)*(CHOOSE({1,2,3,4},HN!X11,HN!AD11,HN!AJ11,HN!AP11)))</f>
        <v>0</v>
      </c>
      <c r="C11">
        <f>SUMPRODUCT((MONTH(CHOOSE({1,2,3,4},HN!U11,HN!AA11,HN!AG11,HN!AM11))=3)*(CHOOSE({1,2,3,4},HN!X11,HN!AD11,HN!AJ11,HN!AP11)))</f>
        <v>0</v>
      </c>
      <c r="D11">
        <f>SUMPRODUCT((MONTH(CHOOSE({1,2,3,4},HN!U11,HN!AA11,HN!AG11,HN!AM11))=4)*(CHOOSE({1,2,3,4},HN!X11,HN!AD11,HN!AJ11,HN!AP11)))</f>
        <v>0</v>
      </c>
      <c r="E11">
        <f>SUMPRODUCT((MONTH(CHOOSE({1,2,3,4},HN!U11,HN!AA11,HN!AG11,HN!AM11))=5)*(CHOOSE({1,2,3,4},HN!X11,HN!AD11,HN!AJ11,HN!AP11)))</f>
        <v>0</v>
      </c>
      <c r="F11">
        <f>SUMPRODUCT((MONTH(CHOOSE({1,2,3,4},HN!U11,HN!AA11,HN!AG11,HN!AM11))=6)*(CHOOSE({1,2,3,4},HN!X11,HN!AD11,HN!AJ11,HN!AP11)))</f>
        <v>0</v>
      </c>
      <c r="G11">
        <f>SUMPRODUCT((MONTH(CHOOSE({1,2,3,4},HN!U11,HN!AA11,HN!AG11,HN!AM11))=7)*(CHOOSE({1,2,3,4},HN!X11,HN!AD11,HN!AJ11,HN!AP11)))</f>
        <v>0</v>
      </c>
      <c r="H11">
        <f>SUMPRODUCT((MONTH(CHOOSE({1,2,3,4},HN!U11,HN!AA11,HN!AG11,HN!AM11))=8)*(CHOOSE({1,2,3,4},HN!X11,HN!AD11,HN!AJ11,HN!AP11)))</f>
        <v>0</v>
      </c>
      <c r="I11">
        <f>SUMPRODUCT((MONTH(CHOOSE({1,2,3,4},HN!U11,HN!AA11,HN!AG11,HN!AM11))=9)*(CHOOSE({1,2,3,4},HN!X11,HN!AD11,HN!AJ11,HN!AP11)))</f>
        <v>0</v>
      </c>
      <c r="J11">
        <f>SUMPRODUCT((MONTH(CHOOSE({1,2,3,4},HN!U11,HN!AA11,HN!AG11,HN!AM11))=10)*(CHOOSE({1,2,3,4},HN!X11,HN!AD11,HN!AJ11,HN!AP11)))</f>
        <v>0</v>
      </c>
      <c r="K11">
        <f>SUMPRODUCT((MONTH(CHOOSE({1,2,3,4},HN!U11,HN!AA11,HN!AG11,HN!AM11))=11)*(CHOOSE({1,2,3,4},HN!X11,HN!AD11,HN!AJ11,HN!AP11)))</f>
        <v>0</v>
      </c>
      <c r="L11">
        <f>SUMPRODUCT((MONTH(CHOOSE({1,2,3,4},HN!U11,HN!AA11,HN!AG11,HN!AM11))=12)*(CHOOSE({1,2,3,4},HN!X11,HN!AD11,HN!AJ11,HN!AP11)))</f>
        <v>0</v>
      </c>
    </row>
    <row r="12" spans="1:12">
      <c r="A12">
        <f>SUMPRODUCT((MONTH(CHOOSE({1,2,3,4},HN!U12,HN!AA12,HN!AG12,HN!AM12))=1)*(CHOOSE({1,2,3,4},HN!X12,HN!AD12,HN!AJ12,HN!AP12)))</f>
        <v>0</v>
      </c>
      <c r="B12">
        <f>SUMPRODUCT((MONTH(CHOOSE({1,2,3,4},HN!U12,HN!AA12,HN!AG12,HN!AM12))=2)*(CHOOSE({1,2,3,4},HN!X12,HN!AD12,HN!AJ12,HN!AP12)))</f>
        <v>0</v>
      </c>
      <c r="C12">
        <f>SUMPRODUCT((MONTH(CHOOSE({1,2,3,4},HN!U12,HN!AA12,HN!AG12,HN!AM12))=3)*(CHOOSE({1,2,3,4},HN!X12,HN!AD12,HN!AJ12,HN!AP12)))</f>
        <v>0</v>
      </c>
      <c r="D12">
        <f>SUMPRODUCT((MONTH(CHOOSE({1,2,3,4},HN!U12,HN!AA12,HN!AG12,HN!AM12))=4)*(CHOOSE({1,2,3,4},HN!X12,HN!AD12,HN!AJ12,HN!AP12)))</f>
        <v>0</v>
      </c>
      <c r="E12">
        <f>SUMPRODUCT((MONTH(CHOOSE({1,2,3,4},HN!U12,HN!AA12,HN!AG12,HN!AM12))=5)*(CHOOSE({1,2,3,4},HN!X12,HN!AD12,HN!AJ12,HN!AP12)))</f>
        <v>0</v>
      </c>
      <c r="F12">
        <f>SUMPRODUCT((MONTH(CHOOSE({1,2,3,4},HN!U12,HN!AA12,HN!AG12,HN!AM12))=6)*(CHOOSE({1,2,3,4},HN!X12,HN!AD12,HN!AJ12,HN!AP12)))</f>
        <v>0</v>
      </c>
      <c r="G12">
        <f>SUMPRODUCT((MONTH(CHOOSE({1,2,3,4},HN!U12,HN!AA12,HN!AG12,HN!AM12))=7)*(CHOOSE({1,2,3,4},HN!X12,HN!AD12,HN!AJ12,HN!AP12)))</f>
        <v>0</v>
      </c>
      <c r="H12">
        <f>SUMPRODUCT((MONTH(CHOOSE({1,2,3,4},HN!U12,HN!AA12,HN!AG12,HN!AM12))=8)*(CHOOSE({1,2,3,4},HN!X12,HN!AD12,HN!AJ12,HN!AP12)))</f>
        <v>0</v>
      </c>
      <c r="I12">
        <f>SUMPRODUCT((MONTH(CHOOSE({1,2,3,4},HN!U12,HN!AA12,HN!AG12,HN!AM12))=9)*(CHOOSE({1,2,3,4},HN!X12,HN!AD12,HN!AJ12,HN!AP12)))</f>
        <v>0</v>
      </c>
      <c r="J12">
        <f>SUMPRODUCT((MONTH(CHOOSE({1,2,3,4},HN!U12,HN!AA12,HN!AG12,HN!AM12))=10)*(CHOOSE({1,2,3,4},HN!X12,HN!AD12,HN!AJ12,HN!AP12)))</f>
        <v>0</v>
      </c>
      <c r="K12">
        <f>SUMPRODUCT((MONTH(CHOOSE({1,2,3,4},HN!U12,HN!AA12,HN!AG12,HN!AM12))=11)*(CHOOSE({1,2,3,4},HN!X12,HN!AD12,HN!AJ12,HN!AP12)))</f>
        <v>0</v>
      </c>
      <c r="L12">
        <f>SUMPRODUCT((MONTH(CHOOSE({1,2,3,4},HN!U12,HN!AA12,HN!AG12,HN!AM12))=12)*(CHOOSE({1,2,3,4},HN!X12,HN!AD12,HN!AJ12,HN!AP12)))</f>
        <v>0</v>
      </c>
    </row>
    <row r="13" spans="1:12">
      <c r="A13">
        <f>SUMPRODUCT((MONTH(CHOOSE({1,2,3,4},HN!U13,HN!AA13,HN!AG13,HN!AM13))=1)*(CHOOSE({1,2,3,4},HN!X13,HN!AD13,HN!AJ13,HN!AP13)))</f>
        <v>0</v>
      </c>
      <c r="B13">
        <f>SUMPRODUCT((MONTH(CHOOSE({1,2,3,4},HN!U13,HN!AA13,HN!AG13,HN!AM13))=2)*(CHOOSE({1,2,3,4},HN!X13,HN!AD13,HN!AJ13,HN!AP13)))</f>
        <v>0</v>
      </c>
      <c r="C13">
        <f>SUMPRODUCT((MONTH(CHOOSE({1,2,3,4},HN!U13,HN!AA13,HN!AG13,HN!AM13))=3)*(CHOOSE({1,2,3,4},HN!X13,HN!AD13,HN!AJ13,HN!AP13)))</f>
        <v>0</v>
      </c>
      <c r="D13">
        <f>SUMPRODUCT((MONTH(CHOOSE({1,2,3,4},HN!U13,HN!AA13,HN!AG13,HN!AM13))=4)*(CHOOSE({1,2,3,4},HN!X13,HN!AD13,HN!AJ13,HN!AP13)))</f>
        <v>0</v>
      </c>
      <c r="E13">
        <f>SUMPRODUCT((MONTH(CHOOSE({1,2,3,4},HN!U13,HN!AA13,HN!AG13,HN!AM13))=5)*(CHOOSE({1,2,3,4},HN!X13,HN!AD13,HN!AJ13,HN!AP13)))</f>
        <v>0</v>
      </c>
      <c r="F13">
        <f>SUMPRODUCT((MONTH(CHOOSE({1,2,3,4},HN!U13,HN!AA13,HN!AG13,HN!AM13))=6)*(CHOOSE({1,2,3,4},HN!X13,HN!AD13,HN!AJ13,HN!AP13)))</f>
        <v>0</v>
      </c>
      <c r="G13">
        <f>SUMPRODUCT((MONTH(CHOOSE({1,2,3,4},HN!U13,HN!AA13,HN!AG13,HN!AM13))=7)*(CHOOSE({1,2,3,4},HN!X13,HN!AD13,HN!AJ13,HN!AP13)))</f>
        <v>0</v>
      </c>
      <c r="H13">
        <f>SUMPRODUCT((MONTH(CHOOSE({1,2,3,4},HN!U13,HN!AA13,HN!AG13,HN!AM13))=8)*(CHOOSE({1,2,3,4},HN!X13,HN!AD13,HN!AJ13,HN!AP13)))</f>
        <v>0</v>
      </c>
      <c r="I13">
        <f>SUMPRODUCT((MONTH(CHOOSE({1,2,3,4},HN!U13,HN!AA13,HN!AG13,HN!AM13))=9)*(CHOOSE({1,2,3,4},HN!X13,HN!AD13,HN!AJ13,HN!AP13)))</f>
        <v>0</v>
      </c>
      <c r="J13">
        <f>SUMPRODUCT((MONTH(CHOOSE({1,2,3,4},HN!U13,HN!AA13,HN!AG13,HN!AM13))=10)*(CHOOSE({1,2,3,4},HN!X13,HN!AD13,HN!AJ13,HN!AP13)))</f>
        <v>0</v>
      </c>
      <c r="K13">
        <f>SUMPRODUCT((MONTH(CHOOSE({1,2,3,4},HN!U13,HN!AA13,HN!AG13,HN!AM13))=11)*(CHOOSE({1,2,3,4},HN!X13,HN!AD13,HN!AJ13,HN!AP13)))</f>
        <v>0</v>
      </c>
      <c r="L13">
        <f>SUMPRODUCT((MONTH(CHOOSE({1,2,3,4},HN!U13,HN!AA13,HN!AG13,HN!AM13))=12)*(CHOOSE({1,2,3,4},HN!X13,HN!AD13,HN!AJ13,HN!AP13)))</f>
        <v>0</v>
      </c>
    </row>
    <row r="14" spans="1:12">
      <c r="A14">
        <f>SUMPRODUCT((MONTH(CHOOSE({1,2,3,4},HN!U14,HN!AA14,HN!AG14,HN!AM14))=1)*(CHOOSE({1,2,3,4},HN!X14,HN!AD14,HN!AJ14,HN!AP14)))</f>
        <v>0</v>
      </c>
      <c r="B14">
        <f>SUMPRODUCT((MONTH(CHOOSE({1,2,3,4},HN!U14,HN!AA14,HN!AG14,HN!AM14))=2)*(CHOOSE({1,2,3,4},HN!X14,HN!AD14,HN!AJ14,HN!AP14)))</f>
        <v>0</v>
      </c>
      <c r="C14">
        <f>SUMPRODUCT((MONTH(CHOOSE({1,2,3,4},HN!U14,HN!AA14,HN!AG14,HN!AM14))=3)*(CHOOSE({1,2,3,4},HN!X14,HN!AD14,HN!AJ14,HN!AP14)))</f>
        <v>0</v>
      </c>
      <c r="D14">
        <f>SUMPRODUCT((MONTH(CHOOSE({1,2,3,4},HN!U14,HN!AA14,HN!AG14,HN!AM14))=4)*(CHOOSE({1,2,3,4},HN!X14,HN!AD14,HN!AJ14,HN!AP14)))</f>
        <v>0</v>
      </c>
      <c r="E14">
        <f>SUMPRODUCT((MONTH(CHOOSE({1,2,3,4},HN!U14,HN!AA14,HN!AG14,HN!AM14))=5)*(CHOOSE({1,2,3,4},HN!X14,HN!AD14,HN!AJ14,HN!AP14)))</f>
        <v>0</v>
      </c>
      <c r="F14">
        <f>SUMPRODUCT((MONTH(CHOOSE({1,2,3,4},HN!U14,HN!AA14,HN!AG14,HN!AM14))=6)*(CHOOSE({1,2,3,4},HN!X14,HN!AD14,HN!AJ14,HN!AP14)))</f>
        <v>0</v>
      </c>
      <c r="G14">
        <f>SUMPRODUCT((MONTH(CHOOSE({1,2,3,4},HN!U14,HN!AA14,HN!AG14,HN!AM14))=7)*(CHOOSE({1,2,3,4},HN!X14,HN!AD14,HN!AJ14,HN!AP14)))</f>
        <v>0</v>
      </c>
      <c r="H14">
        <f>SUMPRODUCT((MONTH(CHOOSE({1,2,3,4},HN!U14,HN!AA14,HN!AG14,HN!AM14))=8)*(CHOOSE({1,2,3,4},HN!X14,HN!AD14,HN!AJ14,HN!AP14)))</f>
        <v>0</v>
      </c>
      <c r="I14">
        <f>SUMPRODUCT((MONTH(CHOOSE({1,2,3,4},HN!U14,HN!AA14,HN!AG14,HN!AM14))=9)*(CHOOSE({1,2,3,4},HN!X14,HN!AD14,HN!AJ14,HN!AP14)))</f>
        <v>0</v>
      </c>
      <c r="J14">
        <f>SUMPRODUCT((MONTH(CHOOSE({1,2,3,4},HN!U14,HN!AA14,HN!AG14,HN!AM14))=10)*(CHOOSE({1,2,3,4},HN!X14,HN!AD14,HN!AJ14,HN!AP14)))</f>
        <v>0</v>
      </c>
      <c r="K14">
        <f>SUMPRODUCT((MONTH(CHOOSE({1,2,3,4},HN!U14,HN!AA14,HN!AG14,HN!AM14))=11)*(CHOOSE({1,2,3,4},HN!X14,HN!AD14,HN!AJ14,HN!AP14)))</f>
        <v>0</v>
      </c>
      <c r="L14">
        <f>SUMPRODUCT((MONTH(CHOOSE({1,2,3,4},HN!U14,HN!AA14,HN!AG14,HN!AM14))=12)*(CHOOSE({1,2,3,4},HN!X14,HN!AD14,HN!AJ14,HN!AP14)))</f>
        <v>0</v>
      </c>
    </row>
    <row r="15" spans="1:12">
      <c r="A15">
        <f>SUMPRODUCT((MONTH(CHOOSE({1,2,3,4},HN!U15,HN!AA15,HN!AG15,HN!AM15))=1)*(CHOOSE({1,2,3,4},HN!X15,HN!AD15,HN!AJ15,HN!AP15)))</f>
        <v>0</v>
      </c>
      <c r="B15">
        <f>SUMPRODUCT((MONTH(CHOOSE({1,2,3,4},HN!U15,HN!AA15,HN!AG15,HN!AM15))=2)*(CHOOSE({1,2,3,4},HN!X15,HN!AD15,HN!AJ15,HN!AP15)))</f>
        <v>0</v>
      </c>
      <c r="C15">
        <f>SUMPRODUCT((MONTH(CHOOSE({1,2,3,4},HN!U15,HN!AA15,HN!AG15,HN!AM15))=3)*(CHOOSE({1,2,3,4},HN!X15,HN!AD15,HN!AJ15,HN!AP15)))</f>
        <v>0</v>
      </c>
      <c r="D15">
        <f>SUMPRODUCT((MONTH(CHOOSE({1,2,3,4},HN!U15,HN!AA15,HN!AG15,HN!AM15))=4)*(CHOOSE({1,2,3,4},HN!X15,HN!AD15,HN!AJ15,HN!AP15)))</f>
        <v>0</v>
      </c>
      <c r="E15">
        <f>SUMPRODUCT((MONTH(CHOOSE({1,2,3,4},HN!U15,HN!AA15,HN!AG15,HN!AM15))=5)*(CHOOSE({1,2,3,4},HN!X15,HN!AD15,HN!AJ15,HN!AP15)))</f>
        <v>0</v>
      </c>
      <c r="F15">
        <f>SUMPRODUCT((MONTH(CHOOSE({1,2,3,4},HN!U15,HN!AA15,HN!AG15,HN!AM15))=6)*(CHOOSE({1,2,3,4},HN!X15,HN!AD15,HN!AJ15,HN!AP15)))</f>
        <v>0</v>
      </c>
      <c r="G15">
        <f>SUMPRODUCT((MONTH(CHOOSE({1,2,3,4},HN!U15,HN!AA15,HN!AG15,HN!AM15))=7)*(CHOOSE({1,2,3,4},HN!X15,HN!AD15,HN!AJ15,HN!AP15)))</f>
        <v>0</v>
      </c>
      <c r="H15">
        <f>SUMPRODUCT((MONTH(CHOOSE({1,2,3,4},HN!U15,HN!AA15,HN!AG15,HN!AM15))=8)*(CHOOSE({1,2,3,4},HN!X15,HN!AD15,HN!AJ15,HN!AP15)))</f>
        <v>0</v>
      </c>
      <c r="I15">
        <f>SUMPRODUCT((MONTH(CHOOSE({1,2,3,4},HN!U15,HN!AA15,HN!AG15,HN!AM15))=9)*(CHOOSE({1,2,3,4},HN!X15,HN!AD15,HN!AJ15,HN!AP15)))</f>
        <v>0</v>
      </c>
      <c r="J15">
        <f>SUMPRODUCT((MONTH(CHOOSE({1,2,3,4},HN!U15,HN!AA15,HN!AG15,HN!AM15))=10)*(CHOOSE({1,2,3,4},HN!X15,HN!AD15,HN!AJ15,HN!AP15)))</f>
        <v>0</v>
      </c>
      <c r="K15">
        <f>SUMPRODUCT((MONTH(CHOOSE({1,2,3,4},HN!U15,HN!AA15,HN!AG15,HN!AM15))=11)*(CHOOSE({1,2,3,4},HN!X15,HN!AD15,HN!AJ15,HN!AP15)))</f>
        <v>0</v>
      </c>
      <c r="L15">
        <f>SUMPRODUCT((MONTH(CHOOSE({1,2,3,4},HN!U15,HN!AA15,HN!AG15,HN!AM15))=12)*(CHOOSE({1,2,3,4},HN!X15,HN!AD15,HN!AJ15,HN!AP15)))</f>
        <v>0</v>
      </c>
    </row>
    <row r="16" spans="1:12">
      <c r="A16">
        <f>SUMPRODUCT((MONTH(CHOOSE({1,2,3,4},HN!U16,HN!AA16,HN!AG16,HN!AM16))=1)*(CHOOSE({1,2,3,4},HN!X16,HN!AD16,HN!AJ16,HN!AP16)))</f>
        <v>0</v>
      </c>
      <c r="B16">
        <f>SUMPRODUCT((MONTH(CHOOSE({1,2,3,4},HN!U16,HN!AA16,HN!AG16,HN!AM16))=2)*(CHOOSE({1,2,3,4},HN!X16,HN!AD16,HN!AJ16,HN!AP16)))</f>
        <v>0</v>
      </c>
      <c r="C16">
        <f>SUMPRODUCT((MONTH(CHOOSE({1,2,3,4},HN!U16,HN!AA16,HN!AG16,HN!AM16))=3)*(CHOOSE({1,2,3,4},HN!X16,HN!AD16,HN!AJ16,HN!AP16)))</f>
        <v>0</v>
      </c>
      <c r="D16">
        <f>SUMPRODUCT((MONTH(CHOOSE({1,2,3,4},HN!U16,HN!AA16,HN!AG16,HN!AM16))=4)*(CHOOSE({1,2,3,4},HN!X16,HN!AD16,HN!AJ16,HN!AP16)))</f>
        <v>0</v>
      </c>
      <c r="E16">
        <f>SUMPRODUCT((MONTH(CHOOSE({1,2,3,4},HN!U16,HN!AA16,HN!AG16,HN!AM16))=5)*(CHOOSE({1,2,3,4},HN!X16,HN!AD16,HN!AJ16,HN!AP16)))</f>
        <v>0</v>
      </c>
      <c r="F16">
        <f>SUMPRODUCT((MONTH(CHOOSE({1,2,3,4},HN!U16,HN!AA16,HN!AG16,HN!AM16))=6)*(CHOOSE({1,2,3,4},HN!X16,HN!AD16,HN!AJ16,HN!AP16)))</f>
        <v>0</v>
      </c>
      <c r="G16">
        <f>SUMPRODUCT((MONTH(CHOOSE({1,2,3,4},HN!U16,HN!AA16,HN!AG16,HN!AM16))=7)*(CHOOSE({1,2,3,4},HN!X16,HN!AD16,HN!AJ16,HN!AP16)))</f>
        <v>0</v>
      </c>
      <c r="H16">
        <f>SUMPRODUCT((MONTH(CHOOSE({1,2,3,4},HN!U16,HN!AA16,HN!AG16,HN!AM16))=8)*(CHOOSE({1,2,3,4},HN!X16,HN!AD16,HN!AJ16,HN!AP16)))</f>
        <v>0</v>
      </c>
      <c r="I16">
        <f>SUMPRODUCT((MONTH(CHOOSE({1,2,3,4},HN!U16,HN!AA16,HN!AG16,HN!AM16))=9)*(CHOOSE({1,2,3,4},HN!X16,HN!AD16,HN!AJ16,HN!AP16)))</f>
        <v>0</v>
      </c>
      <c r="J16">
        <f>SUMPRODUCT((MONTH(CHOOSE({1,2,3,4},HN!U16,HN!AA16,HN!AG16,HN!AM16))=10)*(CHOOSE({1,2,3,4},HN!X16,HN!AD16,HN!AJ16,HN!AP16)))</f>
        <v>0</v>
      </c>
      <c r="K16">
        <f>SUMPRODUCT((MONTH(CHOOSE({1,2,3,4},HN!U16,HN!AA16,HN!AG16,HN!AM16))=11)*(CHOOSE({1,2,3,4},HN!X16,HN!AD16,HN!AJ16,HN!AP16)))</f>
        <v>0</v>
      </c>
      <c r="L16">
        <f>SUMPRODUCT((MONTH(CHOOSE({1,2,3,4},HN!U16,HN!AA16,HN!AG16,HN!AM16))=12)*(CHOOSE({1,2,3,4},HN!X16,HN!AD16,HN!AJ16,HN!AP16)))</f>
        <v>0</v>
      </c>
    </row>
    <row r="17" spans="1:12">
      <c r="A17">
        <f>SUMPRODUCT((MONTH(CHOOSE({1,2,3,4},HN!U17,HN!AA17,HN!AG17,HN!AM17))=1)*(CHOOSE({1,2,3,4},HN!X17,HN!AD17,HN!AJ17,HN!AP17)))</f>
        <v>0</v>
      </c>
      <c r="B17">
        <f>SUMPRODUCT((MONTH(CHOOSE({1,2,3,4},HN!U17,HN!AA17,HN!AG17,HN!AM17))=2)*(CHOOSE({1,2,3,4},HN!X17,HN!AD17,HN!AJ17,HN!AP17)))</f>
        <v>0</v>
      </c>
      <c r="C17">
        <f>SUMPRODUCT((MONTH(CHOOSE({1,2,3,4},HN!U17,HN!AA17,HN!AG17,HN!AM17))=3)*(CHOOSE({1,2,3,4},HN!X17,HN!AD17,HN!AJ17,HN!AP17)))</f>
        <v>0</v>
      </c>
      <c r="D17">
        <f>SUMPRODUCT((MONTH(CHOOSE({1,2,3,4},HN!U17,HN!AA17,HN!AG17,HN!AM17))=4)*(CHOOSE({1,2,3,4},HN!X17,HN!AD17,HN!AJ17,HN!AP17)))</f>
        <v>0</v>
      </c>
      <c r="E17">
        <f>SUMPRODUCT((MONTH(CHOOSE({1,2,3,4},HN!U17,HN!AA17,HN!AG17,HN!AM17))=5)*(CHOOSE({1,2,3,4},HN!X17,HN!AD17,HN!AJ17,HN!AP17)))</f>
        <v>0</v>
      </c>
      <c r="F17">
        <f>SUMPRODUCT((MONTH(CHOOSE({1,2,3,4},HN!U17,HN!AA17,HN!AG17,HN!AM17))=6)*(CHOOSE({1,2,3,4},HN!X17,HN!AD17,HN!AJ17,HN!AP17)))</f>
        <v>0</v>
      </c>
      <c r="G17">
        <f>SUMPRODUCT((MONTH(CHOOSE({1,2,3,4},HN!U17,HN!AA17,HN!AG17,HN!AM17))=7)*(CHOOSE({1,2,3,4},HN!X17,HN!AD17,HN!AJ17,HN!AP17)))</f>
        <v>0</v>
      </c>
      <c r="H17">
        <f>SUMPRODUCT((MONTH(CHOOSE({1,2,3,4},HN!U17,HN!AA17,HN!AG17,HN!AM17))=8)*(CHOOSE({1,2,3,4},HN!X17,HN!AD17,HN!AJ17,HN!AP17)))</f>
        <v>0</v>
      </c>
      <c r="I17">
        <f>SUMPRODUCT((MONTH(CHOOSE({1,2,3,4},HN!U17,HN!AA17,HN!AG17,HN!AM17))=9)*(CHOOSE({1,2,3,4},HN!X17,HN!AD17,HN!AJ17,HN!AP17)))</f>
        <v>0</v>
      </c>
      <c r="J17">
        <f>SUMPRODUCT((MONTH(CHOOSE({1,2,3,4},HN!U17,HN!AA17,HN!AG17,HN!AM17))=10)*(CHOOSE({1,2,3,4},HN!X17,HN!AD17,HN!AJ17,HN!AP17)))</f>
        <v>0</v>
      </c>
      <c r="K17">
        <f>SUMPRODUCT((MONTH(CHOOSE({1,2,3,4},HN!U17,HN!AA17,HN!AG17,HN!AM17))=11)*(CHOOSE({1,2,3,4},HN!X17,HN!AD17,HN!AJ17,HN!AP17)))</f>
        <v>0</v>
      </c>
      <c r="L17">
        <f>SUMPRODUCT((MONTH(CHOOSE({1,2,3,4},HN!U17,HN!AA17,HN!AG17,HN!AM17))=12)*(CHOOSE({1,2,3,4},HN!X17,HN!AD17,HN!AJ17,HN!AP17)))</f>
        <v>0</v>
      </c>
    </row>
    <row r="18" spans="1:12">
      <c r="A18">
        <f>SUMPRODUCT((MONTH(CHOOSE({1,2,3,4},HN!U18,HN!AA18,HN!AG18,HN!AM18))=1)*(CHOOSE({1,2,3,4},HN!X18,HN!AD18,HN!AJ18,HN!AP18)))</f>
        <v>0</v>
      </c>
      <c r="B18">
        <f>SUMPRODUCT((MONTH(CHOOSE({1,2,3,4},HN!U18,HN!AA18,HN!AG18,HN!AM18))=2)*(CHOOSE({1,2,3,4},HN!X18,HN!AD18,HN!AJ18,HN!AP18)))</f>
        <v>0</v>
      </c>
      <c r="C18">
        <f>SUMPRODUCT((MONTH(CHOOSE({1,2,3,4},HN!U18,HN!AA18,HN!AG18,HN!AM18))=3)*(CHOOSE({1,2,3,4},HN!X18,HN!AD18,HN!AJ18,HN!AP18)))</f>
        <v>0</v>
      </c>
      <c r="D18">
        <f>SUMPRODUCT((MONTH(CHOOSE({1,2,3,4},HN!U18,HN!AA18,HN!AG18,HN!AM18))=4)*(CHOOSE({1,2,3,4},HN!X18,HN!AD18,HN!AJ18,HN!AP18)))</f>
        <v>0</v>
      </c>
      <c r="E18">
        <f>SUMPRODUCT((MONTH(CHOOSE({1,2,3,4},HN!U18,HN!AA18,HN!AG18,HN!AM18))=5)*(CHOOSE({1,2,3,4},HN!X18,HN!AD18,HN!AJ18,HN!AP18)))</f>
        <v>0</v>
      </c>
      <c r="F18">
        <f>SUMPRODUCT((MONTH(CHOOSE({1,2,3,4},HN!U18,HN!AA18,HN!AG18,HN!AM18))=6)*(CHOOSE({1,2,3,4},HN!X18,HN!AD18,HN!AJ18,HN!AP18)))</f>
        <v>0</v>
      </c>
      <c r="G18">
        <f>SUMPRODUCT((MONTH(CHOOSE({1,2,3,4},HN!U18,HN!AA18,HN!AG18,HN!AM18))=7)*(CHOOSE({1,2,3,4},HN!X18,HN!AD18,HN!AJ18,HN!AP18)))</f>
        <v>0</v>
      </c>
      <c r="H18">
        <f>SUMPRODUCT((MONTH(CHOOSE({1,2,3,4},HN!U18,HN!AA18,HN!AG18,HN!AM18))=8)*(CHOOSE({1,2,3,4},HN!X18,HN!AD18,HN!AJ18,HN!AP18)))</f>
        <v>0</v>
      </c>
      <c r="I18">
        <f>SUMPRODUCT((MONTH(CHOOSE({1,2,3,4},HN!U18,HN!AA18,HN!AG18,HN!AM18))=9)*(CHOOSE({1,2,3,4},HN!X18,HN!AD18,HN!AJ18,HN!AP18)))</f>
        <v>0</v>
      </c>
      <c r="J18">
        <f>SUMPRODUCT((MONTH(CHOOSE({1,2,3,4},HN!U18,HN!AA18,HN!AG18,HN!AM18))=10)*(CHOOSE({1,2,3,4},HN!X18,HN!AD18,HN!AJ18,HN!AP18)))</f>
        <v>0</v>
      </c>
      <c r="K18">
        <f>SUMPRODUCT((MONTH(CHOOSE({1,2,3,4},HN!U18,HN!AA18,HN!AG18,HN!AM18))=11)*(CHOOSE({1,2,3,4},HN!X18,HN!AD18,HN!AJ18,HN!AP18)))</f>
        <v>0</v>
      </c>
      <c r="L18">
        <f>SUMPRODUCT((MONTH(CHOOSE({1,2,3,4},HN!U18,HN!AA18,HN!AG18,HN!AM18))=12)*(CHOOSE({1,2,3,4},HN!X18,HN!AD18,HN!AJ18,HN!AP18)))</f>
        <v>0</v>
      </c>
    </row>
    <row r="19" spans="1:12">
      <c r="A19">
        <f>SUMPRODUCT((MONTH(CHOOSE({1,2,3,4},HN!U19,HN!AA19,HN!AG19,HN!AM19))=1)*(CHOOSE({1,2,3,4},HN!X19,HN!AD19,HN!AJ19,HN!AP19)))</f>
        <v>0</v>
      </c>
      <c r="B19">
        <f>SUMPRODUCT((MONTH(CHOOSE({1,2,3,4},HN!U19,HN!AA19,HN!AG19,HN!AM19))=2)*(CHOOSE({1,2,3,4},HN!X19,HN!AD19,HN!AJ19,HN!AP19)))</f>
        <v>0</v>
      </c>
      <c r="C19">
        <f>SUMPRODUCT((MONTH(CHOOSE({1,2,3,4},HN!U19,HN!AA19,HN!AG19,HN!AM19))=3)*(CHOOSE({1,2,3,4},HN!X19,HN!AD19,HN!AJ19,HN!AP19)))</f>
        <v>0</v>
      </c>
      <c r="D19">
        <f>SUMPRODUCT((MONTH(CHOOSE({1,2,3,4},HN!U19,HN!AA19,HN!AG19,HN!AM19))=4)*(CHOOSE({1,2,3,4},HN!X19,HN!AD19,HN!AJ19,HN!AP19)))</f>
        <v>0</v>
      </c>
      <c r="E19">
        <f>SUMPRODUCT((MONTH(CHOOSE({1,2,3,4},HN!U19,HN!AA19,HN!AG19,HN!AM19))=5)*(CHOOSE({1,2,3,4},HN!X19,HN!AD19,HN!AJ19,HN!AP19)))</f>
        <v>0</v>
      </c>
      <c r="F19">
        <f>SUMPRODUCT((MONTH(CHOOSE({1,2,3,4},HN!U19,HN!AA19,HN!AG19,HN!AM19))=6)*(CHOOSE({1,2,3,4},HN!X19,HN!AD19,HN!AJ19,HN!AP19)))</f>
        <v>0</v>
      </c>
      <c r="G19">
        <f>SUMPRODUCT((MONTH(CHOOSE({1,2,3,4},HN!U19,HN!AA19,HN!AG19,HN!AM19))=7)*(CHOOSE({1,2,3,4},HN!X19,HN!AD19,HN!AJ19,HN!AP19)))</f>
        <v>0</v>
      </c>
      <c r="H19">
        <f>SUMPRODUCT((MONTH(CHOOSE({1,2,3,4},HN!U19,HN!AA19,HN!AG19,HN!AM19))=8)*(CHOOSE({1,2,3,4},HN!X19,HN!AD19,HN!AJ19,HN!AP19)))</f>
        <v>0</v>
      </c>
      <c r="I19">
        <f>SUMPRODUCT((MONTH(CHOOSE({1,2,3,4},HN!U19,HN!AA19,HN!AG19,HN!AM19))=9)*(CHOOSE({1,2,3,4},HN!X19,HN!AD19,HN!AJ19,HN!AP19)))</f>
        <v>0</v>
      </c>
      <c r="J19">
        <f>SUMPRODUCT((MONTH(CHOOSE({1,2,3,4},HN!U19,HN!AA19,HN!AG19,HN!AM19))=10)*(CHOOSE({1,2,3,4},HN!X19,HN!AD19,HN!AJ19,HN!AP19)))</f>
        <v>0</v>
      </c>
      <c r="K19">
        <f>SUMPRODUCT((MONTH(CHOOSE({1,2,3,4},HN!U19,HN!AA19,HN!AG19,HN!AM19))=11)*(CHOOSE({1,2,3,4},HN!X19,HN!AD19,HN!AJ19,HN!AP19)))</f>
        <v>0</v>
      </c>
      <c r="L19">
        <f>SUMPRODUCT((MONTH(CHOOSE({1,2,3,4},HN!U19,HN!AA19,HN!AG19,HN!AM19))=12)*(CHOOSE({1,2,3,4},HN!X19,HN!AD19,HN!AJ19,HN!AP19)))</f>
        <v>0</v>
      </c>
    </row>
    <row r="20" spans="1:12">
      <c r="A20">
        <f>SUMPRODUCT((MONTH(CHOOSE({1,2,3,4},HN!U20,HN!AA20,HN!AG20,HN!AM20))=1)*(CHOOSE({1,2,3,4},HN!X20,HN!AD20,HN!AJ20,HN!AP20)))</f>
        <v>0</v>
      </c>
      <c r="B20">
        <f>SUMPRODUCT((MONTH(CHOOSE({1,2,3,4},HN!U20,HN!AA20,HN!AG20,HN!AM20))=2)*(CHOOSE({1,2,3,4},HN!X20,HN!AD20,HN!AJ20,HN!AP20)))</f>
        <v>0</v>
      </c>
      <c r="C20">
        <f>SUMPRODUCT((MONTH(CHOOSE({1,2,3,4},HN!U20,HN!AA20,HN!AG20,HN!AM20))=3)*(CHOOSE({1,2,3,4},HN!X20,HN!AD20,HN!AJ20,HN!AP20)))</f>
        <v>0</v>
      </c>
      <c r="D20">
        <f>SUMPRODUCT((MONTH(CHOOSE({1,2,3,4},HN!U20,HN!AA20,HN!AG20,HN!AM20))=4)*(CHOOSE({1,2,3,4},HN!X20,HN!AD20,HN!AJ20,HN!AP20)))</f>
        <v>0</v>
      </c>
      <c r="E20">
        <f>SUMPRODUCT((MONTH(CHOOSE({1,2,3,4},HN!U20,HN!AA20,HN!AG20,HN!AM20))=5)*(CHOOSE({1,2,3,4},HN!X20,HN!AD20,HN!AJ20,HN!AP20)))</f>
        <v>0</v>
      </c>
      <c r="F20">
        <f>SUMPRODUCT((MONTH(CHOOSE({1,2,3,4},HN!U20,HN!AA20,HN!AG20,HN!AM20))=6)*(CHOOSE({1,2,3,4},HN!X20,HN!AD20,HN!AJ20,HN!AP20)))</f>
        <v>0</v>
      </c>
      <c r="G20">
        <f>SUMPRODUCT((MONTH(CHOOSE({1,2,3,4},HN!U20,HN!AA20,HN!AG20,HN!AM20))=7)*(CHOOSE({1,2,3,4},HN!X20,HN!AD20,HN!AJ20,HN!AP20)))</f>
        <v>0</v>
      </c>
      <c r="H20">
        <f>SUMPRODUCT((MONTH(CHOOSE({1,2,3,4},HN!U20,HN!AA20,HN!AG20,HN!AM20))=8)*(CHOOSE({1,2,3,4},HN!X20,HN!AD20,HN!AJ20,HN!AP20)))</f>
        <v>0</v>
      </c>
      <c r="I20">
        <f>SUMPRODUCT((MONTH(CHOOSE({1,2,3,4},HN!U20,HN!AA20,HN!AG20,HN!AM20))=9)*(CHOOSE({1,2,3,4},HN!X20,HN!AD20,HN!AJ20,HN!AP20)))</f>
        <v>0</v>
      </c>
      <c r="J20">
        <f>SUMPRODUCT((MONTH(CHOOSE({1,2,3,4},HN!U20,HN!AA20,HN!AG20,HN!AM20))=10)*(CHOOSE({1,2,3,4},HN!X20,HN!AD20,HN!AJ20,HN!AP20)))</f>
        <v>0</v>
      </c>
      <c r="K20">
        <f>SUMPRODUCT((MONTH(CHOOSE({1,2,3,4},HN!U20,HN!AA20,HN!AG20,HN!AM20))=11)*(CHOOSE({1,2,3,4},HN!X20,HN!AD20,HN!AJ20,HN!AP20)))</f>
        <v>0</v>
      </c>
      <c r="L20">
        <f>SUMPRODUCT((MONTH(CHOOSE({1,2,3,4},HN!U20,HN!AA20,HN!AG20,HN!AM20))=12)*(CHOOSE({1,2,3,4},HN!X20,HN!AD20,HN!AJ20,HN!AP20)))</f>
        <v>0</v>
      </c>
    </row>
    <row r="21" spans="1:12">
      <c r="A21">
        <f>SUMPRODUCT((MONTH(CHOOSE({1,2,3,4},HN!U21,HN!AA21,HN!AG21,HN!AM21))=1)*(CHOOSE({1,2,3,4},HN!X21,HN!AD21,HN!AJ21,HN!AP21)))</f>
        <v>0</v>
      </c>
      <c r="B21">
        <f>SUMPRODUCT((MONTH(CHOOSE({1,2,3,4},HN!U21,HN!AA21,HN!AG21,HN!AM21))=2)*(CHOOSE({1,2,3,4},HN!X21,HN!AD21,HN!AJ21,HN!AP21)))</f>
        <v>0</v>
      </c>
      <c r="C21">
        <f>SUMPRODUCT((MONTH(CHOOSE({1,2,3,4},HN!U21,HN!AA21,HN!AG21,HN!AM21))=3)*(CHOOSE({1,2,3,4},HN!X21,HN!AD21,HN!AJ21,HN!AP21)))</f>
        <v>0</v>
      </c>
      <c r="D21">
        <f>SUMPRODUCT((MONTH(CHOOSE({1,2,3,4},HN!U21,HN!AA21,HN!AG21,HN!AM21))=4)*(CHOOSE({1,2,3,4},HN!X21,HN!AD21,HN!AJ21,HN!AP21)))</f>
        <v>0</v>
      </c>
      <c r="E21">
        <f>SUMPRODUCT((MONTH(CHOOSE({1,2,3,4},HN!U21,HN!AA21,HN!AG21,HN!AM21))=5)*(CHOOSE({1,2,3,4},HN!X21,HN!AD21,HN!AJ21,HN!AP21)))</f>
        <v>0</v>
      </c>
      <c r="F21">
        <f>SUMPRODUCT((MONTH(CHOOSE({1,2,3,4},HN!U21,HN!AA21,HN!AG21,HN!AM21))=6)*(CHOOSE({1,2,3,4},HN!X21,HN!AD21,HN!AJ21,HN!AP21)))</f>
        <v>0</v>
      </c>
      <c r="G21">
        <f>SUMPRODUCT((MONTH(CHOOSE({1,2,3,4},HN!U21,HN!AA21,HN!AG21,HN!AM21))=7)*(CHOOSE({1,2,3,4},HN!X21,HN!AD21,HN!AJ21,HN!AP21)))</f>
        <v>0</v>
      </c>
      <c r="H21">
        <f>SUMPRODUCT((MONTH(CHOOSE({1,2,3,4},HN!U21,HN!AA21,HN!AG21,HN!AM21))=8)*(CHOOSE({1,2,3,4},HN!X21,HN!AD21,HN!AJ21,HN!AP21)))</f>
        <v>0</v>
      </c>
      <c r="I21">
        <f>SUMPRODUCT((MONTH(CHOOSE({1,2,3,4},HN!U21,HN!AA21,HN!AG21,HN!AM21))=9)*(CHOOSE({1,2,3,4},HN!X21,HN!AD21,HN!AJ21,HN!AP21)))</f>
        <v>0</v>
      </c>
      <c r="J21">
        <f>SUMPRODUCT((MONTH(CHOOSE({1,2,3,4},HN!U21,HN!AA21,HN!AG21,HN!AM21))=10)*(CHOOSE({1,2,3,4},HN!X21,HN!AD21,HN!AJ21,HN!AP21)))</f>
        <v>0</v>
      </c>
      <c r="K21">
        <f>SUMPRODUCT((MONTH(CHOOSE({1,2,3,4},HN!U21,HN!AA21,HN!AG21,HN!AM21))=11)*(CHOOSE({1,2,3,4},HN!X21,HN!AD21,HN!AJ21,HN!AP21)))</f>
        <v>0</v>
      </c>
      <c r="L21">
        <f>SUMPRODUCT((MONTH(CHOOSE({1,2,3,4},HN!U21,HN!AA21,HN!AG21,HN!AM21))=12)*(CHOOSE({1,2,3,4},HN!X21,HN!AD21,HN!AJ21,HN!AP21)))</f>
        <v>0</v>
      </c>
    </row>
    <row r="22" spans="1:12">
      <c r="A22">
        <f>SUMPRODUCT((MONTH(CHOOSE({1,2,3,4},HN!U22,HN!AA22,HN!AG22,HN!AM22))=1)*(CHOOSE({1,2,3,4},HN!X22,HN!AD22,HN!AJ22,HN!AP22)))</f>
        <v>0</v>
      </c>
      <c r="B22">
        <f>SUMPRODUCT((MONTH(CHOOSE({1,2,3,4},HN!U22,HN!AA22,HN!AG22,HN!AM22))=2)*(CHOOSE({1,2,3,4},HN!X22,HN!AD22,HN!AJ22,HN!AP22)))</f>
        <v>0</v>
      </c>
      <c r="C22">
        <f>SUMPRODUCT((MONTH(CHOOSE({1,2,3,4},HN!U22,HN!AA22,HN!AG22,HN!AM22))=3)*(CHOOSE({1,2,3,4},HN!X22,HN!AD22,HN!AJ22,HN!AP22)))</f>
        <v>0</v>
      </c>
      <c r="D22">
        <f>SUMPRODUCT((MONTH(CHOOSE({1,2,3,4},HN!U22,HN!AA22,HN!AG22,HN!AM22))=4)*(CHOOSE({1,2,3,4},HN!X22,HN!AD22,HN!AJ22,HN!AP22)))</f>
        <v>0</v>
      </c>
      <c r="E22">
        <f>SUMPRODUCT((MONTH(CHOOSE({1,2,3,4},HN!U22,HN!AA22,HN!AG22,HN!AM22))=5)*(CHOOSE({1,2,3,4},HN!X22,HN!AD22,HN!AJ22,HN!AP22)))</f>
        <v>0</v>
      </c>
      <c r="F22">
        <f>SUMPRODUCT((MONTH(CHOOSE({1,2,3,4},HN!U22,HN!AA22,HN!AG22,HN!AM22))=6)*(CHOOSE({1,2,3,4},HN!X22,HN!AD22,HN!AJ22,HN!AP22)))</f>
        <v>0</v>
      </c>
      <c r="G22">
        <f>SUMPRODUCT((MONTH(CHOOSE({1,2,3,4},HN!U22,HN!AA22,HN!AG22,HN!AM22))=7)*(CHOOSE({1,2,3,4},HN!X22,HN!AD22,HN!AJ22,HN!AP22)))</f>
        <v>0</v>
      </c>
      <c r="H22">
        <f>SUMPRODUCT((MONTH(CHOOSE({1,2,3,4},HN!U22,HN!AA22,HN!AG22,HN!AM22))=8)*(CHOOSE({1,2,3,4},HN!X22,HN!AD22,HN!AJ22,HN!AP22)))</f>
        <v>0</v>
      </c>
      <c r="I22">
        <f>SUMPRODUCT((MONTH(CHOOSE({1,2,3,4},HN!U22,HN!AA22,HN!AG22,HN!AM22))=9)*(CHOOSE({1,2,3,4},HN!X22,HN!AD22,HN!AJ22,HN!AP22)))</f>
        <v>0</v>
      </c>
      <c r="J22">
        <f>SUMPRODUCT((MONTH(CHOOSE({1,2,3,4},HN!U22,HN!AA22,HN!AG22,HN!AM22))=10)*(CHOOSE({1,2,3,4},HN!X22,HN!AD22,HN!AJ22,HN!AP22)))</f>
        <v>0</v>
      </c>
      <c r="K22">
        <f>SUMPRODUCT((MONTH(CHOOSE({1,2,3,4},HN!U22,HN!AA22,HN!AG22,HN!AM22))=11)*(CHOOSE({1,2,3,4},HN!X22,HN!AD22,HN!AJ22,HN!AP22)))</f>
        <v>0</v>
      </c>
      <c r="L22">
        <f>SUMPRODUCT((MONTH(CHOOSE({1,2,3,4},HN!U22,HN!AA22,HN!AG22,HN!AM22))=12)*(CHOOSE({1,2,3,4},HN!X22,HN!AD22,HN!AJ22,HN!AP22)))</f>
        <v>0</v>
      </c>
    </row>
    <row r="23" spans="1:12">
      <c r="A23">
        <f>SUMPRODUCT((MONTH(CHOOSE({1,2,3,4},HN!U23,HN!AA23,HN!AG23,HN!AM23))=1)*(CHOOSE({1,2,3,4},HN!X23,HN!AD23,HN!AJ23,HN!AP23)))</f>
        <v>0</v>
      </c>
      <c r="B23">
        <f>SUMPRODUCT((MONTH(CHOOSE({1,2,3,4},HN!U23,HN!AA23,HN!AG23,HN!AM23))=2)*(CHOOSE({1,2,3,4},HN!X23,HN!AD23,HN!AJ23,HN!AP23)))</f>
        <v>0</v>
      </c>
      <c r="C23">
        <f>SUMPRODUCT((MONTH(CHOOSE({1,2,3,4},HN!U23,HN!AA23,HN!AG23,HN!AM23))=3)*(CHOOSE({1,2,3,4},HN!X23,HN!AD23,HN!AJ23,HN!AP23)))</f>
        <v>0</v>
      </c>
      <c r="D23">
        <f>SUMPRODUCT((MONTH(CHOOSE({1,2,3,4},HN!U23,HN!AA23,HN!AG23,HN!AM23))=4)*(CHOOSE({1,2,3,4},HN!X23,HN!AD23,HN!AJ23,HN!AP23)))</f>
        <v>0</v>
      </c>
      <c r="E23">
        <f>SUMPRODUCT((MONTH(CHOOSE({1,2,3,4},HN!U23,HN!AA23,HN!AG23,HN!AM23))=5)*(CHOOSE({1,2,3,4},HN!X23,HN!AD23,HN!AJ23,HN!AP23)))</f>
        <v>0</v>
      </c>
      <c r="F23">
        <f>SUMPRODUCT((MONTH(CHOOSE({1,2,3,4},HN!U23,HN!AA23,HN!AG23,HN!AM23))=6)*(CHOOSE({1,2,3,4},HN!X23,HN!AD23,HN!AJ23,HN!AP23)))</f>
        <v>0</v>
      </c>
      <c r="G23">
        <f>SUMPRODUCT((MONTH(CHOOSE({1,2,3,4},HN!U23,HN!AA23,HN!AG23,HN!AM23))=7)*(CHOOSE({1,2,3,4},HN!X23,HN!AD23,HN!AJ23,HN!AP23)))</f>
        <v>0</v>
      </c>
      <c r="H23">
        <f>SUMPRODUCT((MONTH(CHOOSE({1,2,3,4},HN!U23,HN!AA23,HN!AG23,HN!AM23))=8)*(CHOOSE({1,2,3,4},HN!X23,HN!AD23,HN!AJ23,HN!AP23)))</f>
        <v>0</v>
      </c>
      <c r="I23">
        <f>SUMPRODUCT((MONTH(CHOOSE({1,2,3,4},HN!U23,HN!AA23,HN!AG23,HN!AM23))=9)*(CHOOSE({1,2,3,4},HN!X23,HN!AD23,HN!AJ23,HN!AP23)))</f>
        <v>0</v>
      </c>
      <c r="J23">
        <f>SUMPRODUCT((MONTH(CHOOSE({1,2,3,4},HN!U23,HN!AA23,HN!AG23,HN!AM23))=10)*(CHOOSE({1,2,3,4},HN!X23,HN!AD23,HN!AJ23,HN!AP23)))</f>
        <v>0</v>
      </c>
      <c r="K23">
        <f>SUMPRODUCT((MONTH(CHOOSE({1,2,3,4},HN!U23,HN!AA23,HN!AG23,HN!AM23))=11)*(CHOOSE({1,2,3,4},HN!X23,HN!AD23,HN!AJ23,HN!AP23)))</f>
        <v>0</v>
      </c>
      <c r="L23">
        <f>SUMPRODUCT((MONTH(CHOOSE({1,2,3,4},HN!U23,HN!AA23,HN!AG23,HN!AM23))=12)*(CHOOSE({1,2,3,4},HN!X23,HN!AD23,HN!AJ23,HN!AP23)))</f>
        <v>0</v>
      </c>
    </row>
    <row r="24" spans="1:12">
      <c r="A24">
        <f>SUMPRODUCT((MONTH(CHOOSE({1,2,3,4},HN!U24,HN!AA24,HN!AG24,HN!AM24))=1)*(CHOOSE({1,2,3,4},HN!X24,HN!AD24,HN!AJ24,HN!AP24)))</f>
        <v>0</v>
      </c>
      <c r="B24">
        <f>SUMPRODUCT((MONTH(CHOOSE({1,2,3,4},HN!U24,HN!AA24,HN!AG24,HN!AM24))=2)*(CHOOSE({1,2,3,4},HN!X24,HN!AD24,HN!AJ24,HN!AP24)))</f>
        <v>0</v>
      </c>
      <c r="C24">
        <f>SUMPRODUCT((MONTH(CHOOSE({1,2,3,4},HN!U24,HN!AA24,HN!AG24,HN!AM24))=3)*(CHOOSE({1,2,3,4},HN!X24,HN!AD24,HN!AJ24,HN!AP24)))</f>
        <v>0</v>
      </c>
      <c r="D24">
        <f>SUMPRODUCT((MONTH(CHOOSE({1,2,3,4},HN!U24,HN!AA24,HN!AG24,HN!AM24))=4)*(CHOOSE({1,2,3,4},HN!X24,HN!AD24,HN!AJ24,HN!AP24)))</f>
        <v>0</v>
      </c>
      <c r="E24">
        <f>SUMPRODUCT((MONTH(CHOOSE({1,2,3,4},HN!U24,HN!AA24,HN!AG24,HN!AM24))=5)*(CHOOSE({1,2,3,4},HN!X24,HN!AD24,HN!AJ24,HN!AP24)))</f>
        <v>0</v>
      </c>
      <c r="F24">
        <f>SUMPRODUCT((MONTH(CHOOSE({1,2,3,4},HN!U24,HN!AA24,HN!AG24,HN!AM24))=6)*(CHOOSE({1,2,3,4},HN!X24,HN!AD24,HN!AJ24,HN!AP24)))</f>
        <v>0</v>
      </c>
      <c r="G24">
        <f>SUMPRODUCT((MONTH(CHOOSE({1,2,3,4},HN!U24,HN!AA24,HN!AG24,HN!AM24))=7)*(CHOOSE({1,2,3,4},HN!X24,HN!AD24,HN!AJ24,HN!AP24)))</f>
        <v>0</v>
      </c>
      <c r="H24">
        <f>SUMPRODUCT((MONTH(CHOOSE({1,2,3,4},HN!U24,HN!AA24,HN!AG24,HN!AM24))=8)*(CHOOSE({1,2,3,4},HN!X24,HN!AD24,HN!AJ24,HN!AP24)))</f>
        <v>0</v>
      </c>
      <c r="I24">
        <f>SUMPRODUCT((MONTH(CHOOSE({1,2,3,4},HN!U24,HN!AA24,HN!AG24,HN!AM24))=9)*(CHOOSE({1,2,3,4},HN!X24,HN!AD24,HN!AJ24,HN!AP24)))</f>
        <v>0</v>
      </c>
      <c r="J24">
        <f>SUMPRODUCT((MONTH(CHOOSE({1,2,3,4},HN!U24,HN!AA24,HN!AG24,HN!AM24))=10)*(CHOOSE({1,2,3,4},HN!X24,HN!AD24,HN!AJ24,HN!AP24)))</f>
        <v>0</v>
      </c>
      <c r="K24">
        <f>SUMPRODUCT((MONTH(CHOOSE({1,2,3,4},HN!U24,HN!AA24,HN!AG24,HN!AM24))=11)*(CHOOSE({1,2,3,4},HN!X24,HN!AD24,HN!AJ24,HN!AP24)))</f>
        <v>0</v>
      </c>
      <c r="L24">
        <f>SUMPRODUCT((MONTH(CHOOSE({1,2,3,4},HN!U24,HN!AA24,HN!AG24,HN!AM24))=12)*(CHOOSE({1,2,3,4},HN!X24,HN!AD24,HN!AJ24,HN!AP24)))</f>
        <v>0</v>
      </c>
    </row>
    <row r="25" spans="1:12">
      <c r="A25">
        <f>SUMPRODUCT((MONTH(CHOOSE({1,2,3,4},HN!U25,HN!AA25,HN!AG25,HN!AM25))=1)*(CHOOSE({1,2,3,4},HN!X25,HN!AD25,HN!AJ25,HN!AP25)))</f>
        <v>0</v>
      </c>
      <c r="B25">
        <f>SUMPRODUCT((MONTH(CHOOSE({1,2,3,4},HN!U25,HN!AA25,HN!AG25,HN!AM25))=2)*(CHOOSE({1,2,3,4},HN!X25,HN!AD25,HN!AJ25,HN!AP25)))</f>
        <v>0</v>
      </c>
      <c r="C25">
        <f>SUMPRODUCT((MONTH(CHOOSE({1,2,3,4},HN!U25,HN!AA25,HN!AG25,HN!AM25))=3)*(CHOOSE({1,2,3,4},HN!X25,HN!AD25,HN!AJ25,HN!AP25)))</f>
        <v>0</v>
      </c>
      <c r="D25">
        <f>SUMPRODUCT((MONTH(CHOOSE({1,2,3,4},HN!U25,HN!AA25,HN!AG25,HN!AM25))=4)*(CHOOSE({1,2,3,4},HN!X25,HN!AD25,HN!AJ25,HN!AP25)))</f>
        <v>0</v>
      </c>
      <c r="E25">
        <f>SUMPRODUCT((MONTH(CHOOSE({1,2,3,4},HN!U25,HN!AA25,HN!AG25,HN!AM25))=5)*(CHOOSE({1,2,3,4},HN!X25,HN!AD25,HN!AJ25,HN!AP25)))</f>
        <v>0</v>
      </c>
      <c r="F25">
        <f>SUMPRODUCT((MONTH(CHOOSE({1,2,3,4},HN!U25,HN!AA25,HN!AG25,HN!AM25))=6)*(CHOOSE({1,2,3,4},HN!X25,HN!AD25,HN!AJ25,HN!AP25)))</f>
        <v>0</v>
      </c>
      <c r="G25">
        <f>SUMPRODUCT((MONTH(CHOOSE({1,2,3,4},HN!U25,HN!AA25,HN!AG25,HN!AM25))=7)*(CHOOSE({1,2,3,4},HN!X25,HN!AD25,HN!AJ25,HN!AP25)))</f>
        <v>0</v>
      </c>
      <c r="H25">
        <f>SUMPRODUCT((MONTH(CHOOSE({1,2,3,4},HN!U25,HN!AA25,HN!AG25,HN!AM25))=8)*(CHOOSE({1,2,3,4},HN!X25,HN!AD25,HN!AJ25,HN!AP25)))</f>
        <v>0</v>
      </c>
      <c r="I25">
        <f>SUMPRODUCT((MONTH(CHOOSE({1,2,3,4},HN!U25,HN!AA25,HN!AG25,HN!AM25))=9)*(CHOOSE({1,2,3,4},HN!X25,HN!AD25,HN!AJ25,HN!AP25)))</f>
        <v>0</v>
      </c>
      <c r="J25">
        <f>SUMPRODUCT((MONTH(CHOOSE({1,2,3,4},HN!U25,HN!AA25,HN!AG25,HN!AM25))=10)*(CHOOSE({1,2,3,4},HN!X25,HN!AD25,HN!AJ25,HN!AP25)))</f>
        <v>0</v>
      </c>
      <c r="K25">
        <f>SUMPRODUCT((MONTH(CHOOSE({1,2,3,4},HN!U25,HN!AA25,HN!AG25,HN!AM25))=11)*(CHOOSE({1,2,3,4},HN!X25,HN!AD25,HN!AJ25,HN!AP25)))</f>
        <v>0</v>
      </c>
      <c r="L25">
        <f>SUMPRODUCT((MONTH(CHOOSE({1,2,3,4},HN!U25,HN!AA25,HN!AG25,HN!AM25))=12)*(CHOOSE({1,2,3,4},HN!X25,HN!AD25,HN!AJ25,HN!AP25)))</f>
        <v>0</v>
      </c>
    </row>
    <row r="26" spans="1:12">
      <c r="A26">
        <f>SUMPRODUCT((MONTH(CHOOSE({1,2,3,4},HN!U26,HN!AA26,HN!AG26,HN!AM26))=1)*(CHOOSE({1,2,3,4},HN!X26,HN!AD26,HN!AJ26,HN!AP26)))</f>
        <v>0</v>
      </c>
      <c r="B26">
        <f>SUMPRODUCT((MONTH(CHOOSE({1,2,3,4},HN!U26,HN!AA26,HN!AG26,HN!AM26))=2)*(CHOOSE({1,2,3,4},HN!X26,HN!AD26,HN!AJ26,HN!AP26)))</f>
        <v>0</v>
      </c>
      <c r="C26">
        <f>SUMPRODUCT((MONTH(CHOOSE({1,2,3,4},HN!U26,HN!AA26,HN!AG26,HN!AM26))=3)*(CHOOSE({1,2,3,4},HN!X26,HN!AD26,HN!AJ26,HN!AP26)))</f>
        <v>0</v>
      </c>
      <c r="D26">
        <f>SUMPRODUCT((MONTH(CHOOSE({1,2,3,4},HN!U26,HN!AA26,HN!AG26,HN!AM26))=4)*(CHOOSE({1,2,3,4},HN!X26,HN!AD26,HN!AJ26,HN!AP26)))</f>
        <v>0</v>
      </c>
      <c r="E26">
        <f>SUMPRODUCT((MONTH(CHOOSE({1,2,3,4},HN!U26,HN!AA26,HN!AG26,HN!AM26))=5)*(CHOOSE({1,2,3,4},HN!X26,HN!AD26,HN!AJ26,HN!AP26)))</f>
        <v>0</v>
      </c>
      <c r="F26">
        <f>SUMPRODUCT((MONTH(CHOOSE({1,2,3,4},HN!U26,HN!AA26,HN!AG26,HN!AM26))=6)*(CHOOSE({1,2,3,4},HN!X26,HN!AD26,HN!AJ26,HN!AP26)))</f>
        <v>0</v>
      </c>
      <c r="G26">
        <f>SUMPRODUCT((MONTH(CHOOSE({1,2,3,4},HN!U26,HN!AA26,HN!AG26,HN!AM26))=7)*(CHOOSE({1,2,3,4},HN!X26,HN!AD26,HN!AJ26,HN!AP26)))</f>
        <v>0</v>
      </c>
      <c r="H26">
        <f>SUMPRODUCT((MONTH(CHOOSE({1,2,3,4},HN!U26,HN!AA26,HN!AG26,HN!AM26))=8)*(CHOOSE({1,2,3,4},HN!X26,HN!AD26,HN!AJ26,HN!AP26)))</f>
        <v>0</v>
      </c>
      <c r="I26">
        <f>SUMPRODUCT((MONTH(CHOOSE({1,2,3,4},HN!U26,HN!AA26,HN!AG26,HN!AM26))=9)*(CHOOSE({1,2,3,4},HN!X26,HN!AD26,HN!AJ26,HN!AP26)))</f>
        <v>0</v>
      </c>
      <c r="J26">
        <f>SUMPRODUCT((MONTH(CHOOSE({1,2,3,4},HN!U26,HN!AA26,HN!AG26,HN!AM26))=10)*(CHOOSE({1,2,3,4},HN!X26,HN!AD26,HN!AJ26,HN!AP26)))</f>
        <v>0</v>
      </c>
      <c r="K26">
        <f>SUMPRODUCT((MONTH(CHOOSE({1,2,3,4},HN!U26,HN!AA26,HN!AG26,HN!AM26))=11)*(CHOOSE({1,2,3,4},HN!X26,HN!AD26,HN!AJ26,HN!AP26)))</f>
        <v>0</v>
      </c>
      <c r="L26">
        <f>SUMPRODUCT((MONTH(CHOOSE({1,2,3,4},HN!U26,HN!AA26,HN!AG26,HN!AM26))=12)*(CHOOSE({1,2,3,4},HN!X26,HN!AD26,HN!AJ26,HN!AP26)))</f>
        <v>0</v>
      </c>
    </row>
    <row r="27" spans="1:12">
      <c r="A27">
        <f>SUMPRODUCT((MONTH(CHOOSE({1,2,3,4},HN!U27,HN!AA27,HN!AG27,HN!AM27))=1)*(CHOOSE({1,2,3,4},HN!X27,HN!AD27,HN!AJ27,HN!AP27)))</f>
        <v>0</v>
      </c>
      <c r="B27">
        <f>SUMPRODUCT((MONTH(CHOOSE({1,2,3,4},HN!U27,HN!AA27,HN!AG27,HN!AM27))=2)*(CHOOSE({1,2,3,4},HN!X27,HN!AD27,HN!AJ27,HN!AP27)))</f>
        <v>0</v>
      </c>
      <c r="C27">
        <f>SUMPRODUCT((MONTH(CHOOSE({1,2,3,4},HN!U27,HN!AA27,HN!AG27,HN!AM27))=3)*(CHOOSE({1,2,3,4},HN!X27,HN!AD27,HN!AJ27,HN!AP27)))</f>
        <v>0</v>
      </c>
      <c r="D27">
        <f>SUMPRODUCT((MONTH(CHOOSE({1,2,3,4},HN!U27,HN!AA27,HN!AG27,HN!AM27))=4)*(CHOOSE({1,2,3,4},HN!X27,HN!AD27,HN!AJ27,HN!AP27)))</f>
        <v>0</v>
      </c>
      <c r="E27">
        <f>SUMPRODUCT((MONTH(CHOOSE({1,2,3,4},HN!U27,HN!AA27,HN!AG27,HN!AM27))=5)*(CHOOSE({1,2,3,4},HN!X27,HN!AD27,HN!AJ27,HN!AP27)))</f>
        <v>0</v>
      </c>
      <c r="F27">
        <f>SUMPRODUCT((MONTH(CHOOSE({1,2,3,4},HN!U27,HN!AA27,HN!AG27,HN!AM27))=6)*(CHOOSE({1,2,3,4},HN!X27,HN!AD27,HN!AJ27,HN!AP27)))</f>
        <v>0</v>
      </c>
      <c r="G27">
        <f>SUMPRODUCT((MONTH(CHOOSE({1,2,3,4},HN!U27,HN!AA27,HN!AG27,HN!AM27))=7)*(CHOOSE({1,2,3,4},HN!X27,HN!AD27,HN!AJ27,HN!AP27)))</f>
        <v>0</v>
      </c>
      <c r="H27">
        <f>SUMPRODUCT((MONTH(CHOOSE({1,2,3,4},HN!U27,HN!AA27,HN!AG27,HN!AM27))=8)*(CHOOSE({1,2,3,4},HN!X27,HN!AD27,HN!AJ27,HN!AP27)))</f>
        <v>0</v>
      </c>
      <c r="I27">
        <f>SUMPRODUCT((MONTH(CHOOSE({1,2,3,4},HN!U27,HN!AA27,HN!AG27,HN!AM27))=9)*(CHOOSE({1,2,3,4},HN!X27,HN!AD27,HN!AJ27,HN!AP27)))</f>
        <v>0</v>
      </c>
      <c r="J27">
        <f>SUMPRODUCT((MONTH(CHOOSE({1,2,3,4},HN!U27,HN!AA27,HN!AG27,HN!AM27))=10)*(CHOOSE({1,2,3,4},HN!X27,HN!AD27,HN!AJ27,HN!AP27)))</f>
        <v>0</v>
      </c>
      <c r="K27">
        <f>SUMPRODUCT((MONTH(CHOOSE({1,2,3,4},HN!U27,HN!AA27,HN!AG27,HN!AM27))=11)*(CHOOSE({1,2,3,4},HN!X27,HN!AD27,HN!AJ27,HN!AP27)))</f>
        <v>0</v>
      </c>
      <c r="L27">
        <f>SUMPRODUCT((MONTH(CHOOSE({1,2,3,4},HN!U27,HN!AA27,HN!AG27,HN!AM27))=12)*(CHOOSE({1,2,3,4},HN!X27,HN!AD27,HN!AJ27,HN!AP27)))</f>
        <v>0</v>
      </c>
    </row>
    <row r="28" spans="1:12">
      <c r="A28">
        <f>SUMPRODUCT((MONTH(CHOOSE({1,2,3,4},HN!U28,HN!AA28,HN!AG28,HN!AM28))=1)*(CHOOSE({1,2,3,4},HN!X28,HN!AD28,HN!AJ28,HN!AP28)))</f>
        <v>0</v>
      </c>
      <c r="B28">
        <f>SUMPRODUCT((MONTH(CHOOSE({1,2,3,4},HN!U28,HN!AA28,HN!AG28,HN!AM28))=2)*(CHOOSE({1,2,3,4},HN!X28,HN!AD28,HN!AJ28,HN!AP28)))</f>
        <v>0</v>
      </c>
      <c r="C28">
        <f>SUMPRODUCT((MONTH(CHOOSE({1,2,3,4},HN!U28,HN!AA28,HN!AG28,HN!AM28))=3)*(CHOOSE({1,2,3,4},HN!X28,HN!AD28,HN!AJ28,HN!AP28)))</f>
        <v>0</v>
      </c>
      <c r="D28">
        <f>SUMPRODUCT((MONTH(CHOOSE({1,2,3,4},HN!U28,HN!AA28,HN!AG28,HN!AM28))=4)*(CHOOSE({1,2,3,4},HN!X28,HN!AD28,HN!AJ28,HN!AP28)))</f>
        <v>0</v>
      </c>
      <c r="E28">
        <f>SUMPRODUCT((MONTH(CHOOSE({1,2,3,4},HN!U28,HN!AA28,HN!AG28,HN!AM28))=5)*(CHOOSE({1,2,3,4},HN!X28,HN!AD28,HN!AJ28,HN!AP28)))</f>
        <v>0</v>
      </c>
      <c r="F28">
        <f>SUMPRODUCT((MONTH(CHOOSE({1,2,3,4},HN!U28,HN!AA28,HN!AG28,HN!AM28))=6)*(CHOOSE({1,2,3,4},HN!X28,HN!AD28,HN!AJ28,HN!AP28)))</f>
        <v>0</v>
      </c>
      <c r="G28">
        <f>SUMPRODUCT((MONTH(CHOOSE({1,2,3,4},HN!U28,HN!AA28,HN!AG28,HN!AM28))=7)*(CHOOSE({1,2,3,4},HN!X28,HN!AD28,HN!AJ28,HN!AP28)))</f>
        <v>0</v>
      </c>
      <c r="H28">
        <f>SUMPRODUCT((MONTH(CHOOSE({1,2,3,4},HN!U28,HN!AA28,HN!AG28,HN!AM28))=8)*(CHOOSE({1,2,3,4},HN!X28,HN!AD28,HN!AJ28,HN!AP28)))</f>
        <v>0</v>
      </c>
      <c r="I28">
        <f>SUMPRODUCT((MONTH(CHOOSE({1,2,3,4},HN!U28,HN!AA28,HN!AG28,HN!AM28))=9)*(CHOOSE({1,2,3,4},HN!X28,HN!AD28,HN!AJ28,HN!AP28)))</f>
        <v>0</v>
      </c>
      <c r="J28">
        <f>SUMPRODUCT((MONTH(CHOOSE({1,2,3,4},HN!U28,HN!AA28,HN!AG28,HN!AM28))=10)*(CHOOSE({1,2,3,4},HN!X28,HN!AD28,HN!AJ28,HN!AP28)))</f>
        <v>0</v>
      </c>
      <c r="K28">
        <f>SUMPRODUCT((MONTH(CHOOSE({1,2,3,4},HN!U28,HN!AA28,HN!AG28,HN!AM28))=11)*(CHOOSE({1,2,3,4},HN!X28,HN!AD28,HN!AJ28,HN!AP28)))</f>
        <v>0</v>
      </c>
      <c r="L28">
        <f>SUMPRODUCT((MONTH(CHOOSE({1,2,3,4},HN!U28,HN!AA28,HN!AG28,HN!AM28))=12)*(CHOOSE({1,2,3,4},HN!X28,HN!AD28,HN!AJ28,HN!AP28)))</f>
        <v>0</v>
      </c>
    </row>
    <row r="29" spans="1:12">
      <c r="A29">
        <f>SUMPRODUCT((MONTH(CHOOSE({1,2,3,4},HN!U29,HN!AA29,HN!AG29,HN!AM29))=1)*(CHOOSE({1,2,3,4},HN!X29,HN!AD29,HN!AJ29,HN!AP29)))</f>
        <v>0</v>
      </c>
      <c r="B29">
        <f>SUMPRODUCT((MONTH(CHOOSE({1,2,3,4},HN!U29,HN!AA29,HN!AG29,HN!AM29))=2)*(CHOOSE({1,2,3,4},HN!X29,HN!AD29,HN!AJ29,HN!AP29)))</f>
        <v>0</v>
      </c>
      <c r="C29">
        <f>SUMPRODUCT((MONTH(CHOOSE({1,2,3,4},HN!U29,HN!AA29,HN!AG29,HN!AM29))=3)*(CHOOSE({1,2,3,4},HN!X29,HN!AD29,HN!AJ29,HN!AP29)))</f>
        <v>0</v>
      </c>
      <c r="D29">
        <f>SUMPRODUCT((MONTH(CHOOSE({1,2,3,4},HN!U29,HN!AA29,HN!AG29,HN!AM29))=4)*(CHOOSE({1,2,3,4},HN!X29,HN!AD29,HN!AJ29,HN!AP29)))</f>
        <v>0</v>
      </c>
      <c r="E29">
        <f>SUMPRODUCT((MONTH(CHOOSE({1,2,3,4},HN!U29,HN!AA29,HN!AG29,HN!AM29))=5)*(CHOOSE({1,2,3,4},HN!X29,HN!AD29,HN!AJ29,HN!AP29)))</f>
        <v>0</v>
      </c>
      <c r="F29">
        <f>SUMPRODUCT((MONTH(CHOOSE({1,2,3,4},HN!U29,HN!AA29,HN!AG29,HN!AM29))=6)*(CHOOSE({1,2,3,4},HN!X29,HN!AD29,HN!AJ29,HN!AP29)))</f>
        <v>0</v>
      </c>
      <c r="G29">
        <f>SUMPRODUCT((MONTH(CHOOSE({1,2,3,4},HN!U29,HN!AA29,HN!AG29,HN!AM29))=7)*(CHOOSE({1,2,3,4},HN!X29,HN!AD29,HN!AJ29,HN!AP29)))</f>
        <v>0</v>
      </c>
      <c r="H29">
        <f>SUMPRODUCT((MONTH(CHOOSE({1,2,3,4},HN!U29,HN!AA29,HN!AG29,HN!AM29))=8)*(CHOOSE({1,2,3,4},HN!X29,HN!AD29,HN!AJ29,HN!AP29)))</f>
        <v>0</v>
      </c>
      <c r="I29">
        <f>SUMPRODUCT((MONTH(CHOOSE({1,2,3,4},HN!U29,HN!AA29,HN!AG29,HN!AM29))=9)*(CHOOSE({1,2,3,4},HN!X29,HN!AD29,HN!AJ29,HN!AP29)))</f>
        <v>0</v>
      </c>
      <c r="J29">
        <f>SUMPRODUCT((MONTH(CHOOSE({1,2,3,4},HN!U29,HN!AA29,HN!AG29,HN!AM29))=10)*(CHOOSE({1,2,3,4},HN!X29,HN!AD29,HN!AJ29,HN!AP29)))</f>
        <v>0</v>
      </c>
      <c r="K29">
        <f>SUMPRODUCT((MONTH(CHOOSE({1,2,3,4},HN!U29,HN!AA29,HN!AG29,HN!AM29))=11)*(CHOOSE({1,2,3,4},HN!X29,HN!AD29,HN!AJ29,HN!AP29)))</f>
        <v>0</v>
      </c>
      <c r="L29">
        <f>SUMPRODUCT((MONTH(CHOOSE({1,2,3,4},HN!U29,HN!AA29,HN!AG29,HN!AM29))=12)*(CHOOSE({1,2,3,4},HN!X29,HN!AD29,HN!AJ29,HN!AP29)))</f>
        <v>0</v>
      </c>
    </row>
    <row r="30" spans="1:12">
      <c r="A30">
        <f>SUMPRODUCT((MONTH(CHOOSE({1,2,3,4},HN!U30,HN!AA30,HN!AG30,HN!AM30))=1)*(CHOOSE({1,2,3,4},HN!X30,HN!AD30,HN!AJ30,HN!AP30)))</f>
        <v>0</v>
      </c>
      <c r="B30">
        <f>SUMPRODUCT((MONTH(CHOOSE({1,2,3,4},HN!U30,HN!AA30,HN!AG30,HN!AM30))=2)*(CHOOSE({1,2,3,4},HN!X30,HN!AD30,HN!AJ30,HN!AP30)))</f>
        <v>0</v>
      </c>
      <c r="C30">
        <f>SUMPRODUCT((MONTH(CHOOSE({1,2,3,4},HN!U30,HN!AA30,HN!AG30,HN!AM30))=3)*(CHOOSE({1,2,3,4},HN!X30,HN!AD30,HN!AJ30,HN!AP30)))</f>
        <v>0</v>
      </c>
      <c r="D30">
        <f>SUMPRODUCT((MONTH(CHOOSE({1,2,3,4},HN!U30,HN!AA30,HN!AG30,HN!AM30))=4)*(CHOOSE({1,2,3,4},HN!X30,HN!AD30,HN!AJ30,HN!AP30)))</f>
        <v>0</v>
      </c>
      <c r="E30">
        <f>SUMPRODUCT((MONTH(CHOOSE({1,2,3,4},HN!U30,HN!AA30,HN!AG30,HN!AM30))=5)*(CHOOSE({1,2,3,4},HN!X30,HN!AD30,HN!AJ30,HN!AP30)))</f>
        <v>0</v>
      </c>
      <c r="F30">
        <f>SUMPRODUCT((MONTH(CHOOSE({1,2,3,4},HN!U30,HN!AA30,HN!AG30,HN!AM30))=6)*(CHOOSE({1,2,3,4},HN!X30,HN!AD30,HN!AJ30,HN!AP30)))</f>
        <v>0</v>
      </c>
      <c r="G30">
        <f>SUMPRODUCT((MONTH(CHOOSE({1,2,3,4},HN!U30,HN!AA30,HN!AG30,HN!AM30))=7)*(CHOOSE({1,2,3,4},HN!X30,HN!AD30,HN!AJ30,HN!AP30)))</f>
        <v>0</v>
      </c>
      <c r="H30">
        <f>SUMPRODUCT((MONTH(CHOOSE({1,2,3,4},HN!U30,HN!AA30,HN!AG30,HN!AM30))=8)*(CHOOSE({1,2,3,4},HN!X30,HN!AD30,HN!AJ30,HN!AP30)))</f>
        <v>0</v>
      </c>
      <c r="I30">
        <f>SUMPRODUCT((MONTH(CHOOSE({1,2,3,4},HN!U30,HN!AA30,HN!AG30,HN!AM30))=9)*(CHOOSE({1,2,3,4},HN!X30,HN!AD30,HN!AJ30,HN!AP30)))</f>
        <v>0</v>
      </c>
      <c r="J30">
        <f>SUMPRODUCT((MONTH(CHOOSE({1,2,3,4},HN!U30,HN!AA30,HN!AG30,HN!AM30))=10)*(CHOOSE({1,2,3,4},HN!X30,HN!AD30,HN!AJ30,HN!AP30)))</f>
        <v>0</v>
      </c>
      <c r="K30">
        <f>SUMPRODUCT((MONTH(CHOOSE({1,2,3,4},HN!U30,HN!AA30,HN!AG30,HN!AM30))=11)*(CHOOSE({1,2,3,4},HN!X30,HN!AD30,HN!AJ30,HN!AP30)))</f>
        <v>0</v>
      </c>
      <c r="L30">
        <f>SUMPRODUCT((MONTH(CHOOSE({1,2,3,4},HN!U30,HN!AA30,HN!AG30,HN!AM30))=12)*(CHOOSE({1,2,3,4},HN!X30,HN!AD30,HN!AJ30,HN!AP30)))</f>
        <v>0</v>
      </c>
    </row>
    <row r="31" spans="1:12">
      <c r="A31">
        <f>SUMPRODUCT((MONTH(CHOOSE({1,2,3,4},HN!U31,HN!AA31,HN!AG31,HN!AM31))=1)*(CHOOSE({1,2,3,4},HN!X31,HN!AD31,HN!AJ31,HN!AP31)))</f>
        <v>0</v>
      </c>
      <c r="B31">
        <f>SUMPRODUCT((MONTH(CHOOSE({1,2,3,4},HN!U31,HN!AA31,HN!AG31,HN!AM31))=2)*(CHOOSE({1,2,3,4},HN!X31,HN!AD31,HN!AJ31,HN!AP31)))</f>
        <v>0</v>
      </c>
      <c r="C31">
        <f>SUMPRODUCT((MONTH(CHOOSE({1,2,3,4},HN!U31,HN!AA31,HN!AG31,HN!AM31))=3)*(CHOOSE({1,2,3,4},HN!X31,HN!AD31,HN!AJ31,HN!AP31)))</f>
        <v>0</v>
      </c>
      <c r="D31">
        <f>SUMPRODUCT((MONTH(CHOOSE({1,2,3,4},HN!U31,HN!AA31,HN!AG31,HN!AM31))=4)*(CHOOSE({1,2,3,4},HN!X31,HN!AD31,HN!AJ31,HN!AP31)))</f>
        <v>0</v>
      </c>
      <c r="E31">
        <f>SUMPRODUCT((MONTH(CHOOSE({1,2,3,4},HN!U31,HN!AA31,HN!AG31,HN!AM31))=5)*(CHOOSE({1,2,3,4},HN!X31,HN!AD31,HN!AJ31,HN!AP31)))</f>
        <v>0</v>
      </c>
      <c r="F31">
        <f>SUMPRODUCT((MONTH(CHOOSE({1,2,3,4},HN!U31,HN!AA31,HN!AG31,HN!AM31))=6)*(CHOOSE({1,2,3,4},HN!X31,HN!AD31,HN!AJ31,HN!AP31)))</f>
        <v>0</v>
      </c>
      <c r="G31">
        <f>SUMPRODUCT((MONTH(CHOOSE({1,2,3,4},HN!U31,HN!AA31,HN!AG31,HN!AM31))=7)*(CHOOSE({1,2,3,4},HN!X31,HN!AD31,HN!AJ31,HN!AP31)))</f>
        <v>0</v>
      </c>
      <c r="H31">
        <f>SUMPRODUCT((MONTH(CHOOSE({1,2,3,4},HN!U31,HN!AA31,HN!AG31,HN!AM31))=8)*(CHOOSE({1,2,3,4},HN!X31,HN!AD31,HN!AJ31,HN!AP31)))</f>
        <v>0</v>
      </c>
      <c r="I31">
        <f>SUMPRODUCT((MONTH(CHOOSE({1,2,3,4},HN!U31,HN!AA31,HN!AG31,HN!AM31))=9)*(CHOOSE({1,2,3,4},HN!X31,HN!AD31,HN!AJ31,HN!AP31)))</f>
        <v>0</v>
      </c>
      <c r="J31">
        <f>SUMPRODUCT((MONTH(CHOOSE({1,2,3,4},HN!U31,HN!AA31,HN!AG31,HN!AM31))=10)*(CHOOSE({1,2,3,4},HN!X31,HN!AD31,HN!AJ31,HN!AP31)))</f>
        <v>0</v>
      </c>
      <c r="K31">
        <f>SUMPRODUCT((MONTH(CHOOSE({1,2,3,4},HN!U31,HN!AA31,HN!AG31,HN!AM31))=11)*(CHOOSE({1,2,3,4},HN!X31,HN!AD31,HN!AJ31,HN!AP31)))</f>
        <v>0</v>
      </c>
      <c r="L31">
        <f>SUMPRODUCT((MONTH(CHOOSE({1,2,3,4},HN!U31,HN!AA31,HN!AG31,HN!AM31))=12)*(CHOOSE({1,2,3,4},HN!X31,HN!AD31,HN!AJ31,HN!AP31)))</f>
        <v>0</v>
      </c>
    </row>
    <row r="32" spans="1:12">
      <c r="A32">
        <f>SUMPRODUCT((MONTH(CHOOSE({1,2,3,4},HN!U32,HN!AA32,HN!AG32,HN!AM32))=1)*(CHOOSE({1,2,3,4},HN!X32,HN!AD32,HN!AJ32,HN!AP32)))</f>
        <v>0</v>
      </c>
      <c r="B32">
        <f>SUMPRODUCT((MONTH(CHOOSE({1,2,3,4},HN!U32,HN!AA32,HN!AG32,HN!AM32))=2)*(CHOOSE({1,2,3,4},HN!X32,HN!AD32,HN!AJ32,HN!AP32)))</f>
        <v>0</v>
      </c>
      <c r="C32">
        <f>SUMPRODUCT((MONTH(CHOOSE({1,2,3,4},HN!U32,HN!AA32,HN!AG32,HN!AM32))=3)*(CHOOSE({1,2,3,4},HN!X32,HN!AD32,HN!AJ32,HN!AP32)))</f>
        <v>0</v>
      </c>
      <c r="D32">
        <f>SUMPRODUCT((MONTH(CHOOSE({1,2,3,4},HN!U32,HN!AA32,HN!AG32,HN!AM32))=4)*(CHOOSE({1,2,3,4},HN!X32,HN!AD32,HN!AJ32,HN!AP32)))</f>
        <v>0</v>
      </c>
      <c r="E32">
        <f>SUMPRODUCT((MONTH(CHOOSE({1,2,3,4},HN!U32,HN!AA32,HN!AG32,HN!AM32))=5)*(CHOOSE({1,2,3,4},HN!X32,HN!AD32,HN!AJ32,HN!AP32)))</f>
        <v>0</v>
      </c>
      <c r="F32">
        <f>SUMPRODUCT((MONTH(CHOOSE({1,2,3,4},HN!U32,HN!AA32,HN!AG32,HN!AM32))=6)*(CHOOSE({1,2,3,4},HN!X32,HN!AD32,HN!AJ32,HN!AP32)))</f>
        <v>0</v>
      </c>
      <c r="G32">
        <f>SUMPRODUCT((MONTH(CHOOSE({1,2,3,4},HN!U32,HN!AA32,HN!AG32,HN!AM32))=7)*(CHOOSE({1,2,3,4},HN!X32,HN!AD32,HN!AJ32,HN!AP32)))</f>
        <v>0</v>
      </c>
      <c r="H32">
        <f>SUMPRODUCT((MONTH(CHOOSE({1,2,3,4},HN!U32,HN!AA32,HN!AG32,HN!AM32))=8)*(CHOOSE({1,2,3,4},HN!X32,HN!AD32,HN!AJ32,HN!AP32)))</f>
        <v>0</v>
      </c>
      <c r="I32">
        <f>SUMPRODUCT((MONTH(CHOOSE({1,2,3,4},HN!U32,HN!AA32,HN!AG32,HN!AM32))=9)*(CHOOSE({1,2,3,4},HN!X32,HN!AD32,HN!AJ32,HN!AP32)))</f>
        <v>0</v>
      </c>
      <c r="J32">
        <f>SUMPRODUCT((MONTH(CHOOSE({1,2,3,4},HN!U32,HN!AA32,HN!AG32,HN!AM32))=10)*(CHOOSE({1,2,3,4},HN!X32,HN!AD32,HN!AJ32,HN!AP32)))</f>
        <v>0</v>
      </c>
      <c r="K32">
        <f>SUMPRODUCT((MONTH(CHOOSE({1,2,3,4},HN!U32,HN!AA32,HN!AG32,HN!AM32))=11)*(CHOOSE({1,2,3,4},HN!X32,HN!AD32,HN!AJ32,HN!AP32)))</f>
        <v>0</v>
      </c>
      <c r="L32">
        <f>SUMPRODUCT((MONTH(CHOOSE({1,2,3,4},HN!U32,HN!AA32,HN!AG32,HN!AM32))=12)*(CHOOSE({1,2,3,4},HN!X32,HN!AD32,HN!AJ32,HN!AP32)))</f>
        <v>0</v>
      </c>
    </row>
    <row r="33" spans="1:12">
      <c r="A33">
        <f>SUMPRODUCT((MONTH(CHOOSE({1,2,3,4},HN!U33,HN!AA33,HN!AG33,HN!AM33))=1)*(CHOOSE({1,2,3,4},HN!X33,HN!AD33,HN!AJ33,HN!AP33)))</f>
        <v>0</v>
      </c>
      <c r="B33">
        <f>SUMPRODUCT((MONTH(CHOOSE({1,2,3,4},HN!U33,HN!AA33,HN!AG33,HN!AM33))=2)*(CHOOSE({1,2,3,4},HN!X33,HN!AD33,HN!AJ33,HN!AP33)))</f>
        <v>0</v>
      </c>
      <c r="C33">
        <f>SUMPRODUCT((MONTH(CHOOSE({1,2,3,4},HN!U33,HN!AA33,HN!AG33,HN!AM33))=3)*(CHOOSE({1,2,3,4},HN!X33,HN!AD33,HN!AJ33,HN!AP33)))</f>
        <v>0</v>
      </c>
      <c r="D33">
        <f>SUMPRODUCT((MONTH(CHOOSE({1,2,3,4},HN!U33,HN!AA33,HN!AG33,HN!AM33))=4)*(CHOOSE({1,2,3,4},HN!X33,HN!AD33,HN!AJ33,HN!AP33)))</f>
        <v>0</v>
      </c>
      <c r="E33">
        <f>SUMPRODUCT((MONTH(CHOOSE({1,2,3,4},HN!U33,HN!AA33,HN!AG33,HN!AM33))=5)*(CHOOSE({1,2,3,4},HN!X33,HN!AD33,HN!AJ33,HN!AP33)))</f>
        <v>0</v>
      </c>
      <c r="F33">
        <f>SUMPRODUCT((MONTH(CHOOSE({1,2,3,4},HN!U33,HN!AA33,HN!AG33,HN!AM33))=6)*(CHOOSE({1,2,3,4},HN!X33,HN!AD33,HN!AJ33,HN!AP33)))</f>
        <v>0</v>
      </c>
      <c r="G33">
        <f>SUMPRODUCT((MONTH(CHOOSE({1,2,3,4},HN!U33,HN!AA33,HN!AG33,HN!AM33))=7)*(CHOOSE({1,2,3,4},HN!X33,HN!AD33,HN!AJ33,HN!AP33)))</f>
        <v>0</v>
      </c>
      <c r="H33">
        <f>SUMPRODUCT((MONTH(CHOOSE({1,2,3,4},HN!U33,HN!AA33,HN!AG33,HN!AM33))=8)*(CHOOSE({1,2,3,4},HN!X33,HN!AD33,HN!AJ33,HN!AP33)))</f>
        <v>0</v>
      </c>
      <c r="I33">
        <f>SUMPRODUCT((MONTH(CHOOSE({1,2,3,4},HN!U33,HN!AA33,HN!AG33,HN!AM33))=9)*(CHOOSE({1,2,3,4},HN!X33,HN!AD33,HN!AJ33,HN!AP33)))</f>
        <v>0</v>
      </c>
      <c r="J33">
        <f>SUMPRODUCT((MONTH(CHOOSE({1,2,3,4},HN!U33,HN!AA33,HN!AG33,HN!AM33))=10)*(CHOOSE({1,2,3,4},HN!X33,HN!AD33,HN!AJ33,HN!AP33)))</f>
        <v>0</v>
      </c>
      <c r="K33">
        <f>SUMPRODUCT((MONTH(CHOOSE({1,2,3,4},HN!U33,HN!AA33,HN!AG33,HN!AM33))=11)*(CHOOSE({1,2,3,4},HN!X33,HN!AD33,HN!AJ33,HN!AP33)))</f>
        <v>0</v>
      </c>
      <c r="L33">
        <f>SUMPRODUCT((MONTH(CHOOSE({1,2,3,4},HN!U33,HN!AA33,HN!AG33,HN!AM33))=12)*(CHOOSE({1,2,3,4},HN!X33,HN!AD33,HN!AJ33,HN!AP33)))</f>
        <v>0</v>
      </c>
    </row>
    <row r="34" spans="1:12">
      <c r="A34">
        <f>SUMPRODUCT((MONTH(CHOOSE({1,2,3,4},HN!U34,HN!AA34,HN!AG34,HN!AM34))=1)*(CHOOSE({1,2,3,4},HN!X34,HN!AD34,HN!AJ34,HN!AP34)))</f>
        <v>0</v>
      </c>
      <c r="B34">
        <f>SUMPRODUCT((MONTH(CHOOSE({1,2,3,4},HN!U34,HN!AA34,HN!AG34,HN!AM34))=2)*(CHOOSE({1,2,3,4},HN!X34,HN!AD34,HN!AJ34,HN!AP34)))</f>
        <v>0</v>
      </c>
      <c r="C34">
        <f>SUMPRODUCT((MONTH(CHOOSE({1,2,3,4},HN!U34,HN!AA34,HN!AG34,HN!AM34))=3)*(CHOOSE({1,2,3,4},HN!X34,HN!AD34,HN!AJ34,HN!AP34)))</f>
        <v>0</v>
      </c>
      <c r="D34">
        <f>SUMPRODUCT((MONTH(CHOOSE({1,2,3,4},HN!U34,HN!AA34,HN!AG34,HN!AM34))=4)*(CHOOSE({1,2,3,4},HN!X34,HN!AD34,HN!AJ34,HN!AP34)))</f>
        <v>0</v>
      </c>
      <c r="E34">
        <f>SUMPRODUCT((MONTH(CHOOSE({1,2,3,4},HN!U34,HN!AA34,HN!AG34,HN!AM34))=5)*(CHOOSE({1,2,3,4},HN!X34,HN!AD34,HN!AJ34,HN!AP34)))</f>
        <v>0</v>
      </c>
      <c r="F34">
        <f>SUMPRODUCT((MONTH(CHOOSE({1,2,3,4},HN!U34,HN!AA34,HN!AG34,HN!AM34))=6)*(CHOOSE({1,2,3,4},HN!X34,HN!AD34,HN!AJ34,HN!AP34)))</f>
        <v>0</v>
      </c>
      <c r="G34">
        <f>SUMPRODUCT((MONTH(CHOOSE({1,2,3,4},HN!U34,HN!AA34,HN!AG34,HN!AM34))=7)*(CHOOSE({1,2,3,4},HN!X34,HN!AD34,HN!AJ34,HN!AP34)))</f>
        <v>0</v>
      </c>
      <c r="H34">
        <f>SUMPRODUCT((MONTH(CHOOSE({1,2,3,4},HN!U34,HN!AA34,HN!AG34,HN!AM34))=8)*(CHOOSE({1,2,3,4},HN!X34,HN!AD34,HN!AJ34,HN!AP34)))</f>
        <v>0</v>
      </c>
      <c r="I34">
        <f>SUMPRODUCT((MONTH(CHOOSE({1,2,3,4},HN!U34,HN!AA34,HN!AG34,HN!AM34))=9)*(CHOOSE({1,2,3,4},HN!X34,HN!AD34,HN!AJ34,HN!AP34)))</f>
        <v>0</v>
      </c>
      <c r="J34">
        <f>SUMPRODUCT((MONTH(CHOOSE({1,2,3,4},HN!U34,HN!AA34,HN!AG34,HN!AM34))=10)*(CHOOSE({1,2,3,4},HN!X34,HN!AD34,HN!AJ34,HN!AP34)))</f>
        <v>0</v>
      </c>
      <c r="K34">
        <f>SUMPRODUCT((MONTH(CHOOSE({1,2,3,4},HN!U34,HN!AA34,HN!AG34,HN!AM34))=11)*(CHOOSE({1,2,3,4},HN!X34,HN!AD34,HN!AJ34,HN!AP34)))</f>
        <v>0</v>
      </c>
      <c r="L34">
        <f>SUMPRODUCT((MONTH(CHOOSE({1,2,3,4},HN!U34,HN!AA34,HN!AG34,HN!AM34))=12)*(CHOOSE({1,2,3,4},HN!X34,HN!AD34,HN!AJ34,HN!AP34)))</f>
        <v>0</v>
      </c>
    </row>
    <row r="35" spans="1:12">
      <c r="A35">
        <f>SUMPRODUCT((MONTH(CHOOSE({1,2,3,4},HN!U35,HN!AA35,HN!AG35,HN!AM35))=1)*(CHOOSE({1,2,3,4},HN!X35,HN!AD35,HN!AJ35,HN!AP35)))</f>
        <v>0</v>
      </c>
      <c r="B35">
        <f>SUMPRODUCT((MONTH(CHOOSE({1,2,3,4},HN!U35,HN!AA35,HN!AG35,HN!AM35))=2)*(CHOOSE({1,2,3,4},HN!X35,HN!AD35,HN!AJ35,HN!AP35)))</f>
        <v>0</v>
      </c>
      <c r="C35">
        <f>SUMPRODUCT((MONTH(CHOOSE({1,2,3,4},HN!U35,HN!AA35,HN!AG35,HN!AM35))=3)*(CHOOSE({1,2,3,4},HN!X35,HN!AD35,HN!AJ35,HN!AP35)))</f>
        <v>0</v>
      </c>
      <c r="D35">
        <f>SUMPRODUCT((MONTH(CHOOSE({1,2,3,4},HN!U35,HN!AA35,HN!AG35,HN!AM35))=4)*(CHOOSE({1,2,3,4},HN!X35,HN!AD35,HN!AJ35,HN!AP35)))</f>
        <v>0</v>
      </c>
      <c r="E35">
        <f>SUMPRODUCT((MONTH(CHOOSE({1,2,3,4},HN!U35,HN!AA35,HN!AG35,HN!AM35))=5)*(CHOOSE({1,2,3,4},HN!X35,HN!AD35,HN!AJ35,HN!AP35)))</f>
        <v>0</v>
      </c>
      <c r="F35">
        <f>SUMPRODUCT((MONTH(CHOOSE({1,2,3,4},HN!U35,HN!AA35,HN!AG35,HN!AM35))=6)*(CHOOSE({1,2,3,4},HN!X35,HN!AD35,HN!AJ35,HN!AP35)))</f>
        <v>0</v>
      </c>
      <c r="G35">
        <f>SUMPRODUCT((MONTH(CHOOSE({1,2,3,4},HN!U35,HN!AA35,HN!AG35,HN!AM35))=7)*(CHOOSE({1,2,3,4},HN!X35,HN!AD35,HN!AJ35,HN!AP35)))</f>
        <v>0</v>
      </c>
      <c r="H35">
        <f>SUMPRODUCT((MONTH(CHOOSE({1,2,3,4},HN!U35,HN!AA35,HN!AG35,HN!AM35))=8)*(CHOOSE({1,2,3,4},HN!X35,HN!AD35,HN!AJ35,HN!AP35)))</f>
        <v>0</v>
      </c>
      <c r="I35">
        <f>SUMPRODUCT((MONTH(CHOOSE({1,2,3,4},HN!U35,HN!AA35,HN!AG35,HN!AM35))=9)*(CHOOSE({1,2,3,4},HN!X35,HN!AD35,HN!AJ35,HN!AP35)))</f>
        <v>0</v>
      </c>
      <c r="J35">
        <f>SUMPRODUCT((MONTH(CHOOSE({1,2,3,4},HN!U35,HN!AA35,HN!AG35,HN!AM35))=10)*(CHOOSE({1,2,3,4},HN!X35,HN!AD35,HN!AJ35,HN!AP35)))</f>
        <v>0</v>
      </c>
      <c r="K35">
        <f>SUMPRODUCT((MONTH(CHOOSE({1,2,3,4},HN!U35,HN!AA35,HN!AG35,HN!AM35))=11)*(CHOOSE({1,2,3,4},HN!X35,HN!AD35,HN!AJ35,HN!AP35)))</f>
        <v>0</v>
      </c>
      <c r="L35">
        <f>SUMPRODUCT((MONTH(CHOOSE({1,2,3,4},HN!U35,HN!AA35,HN!AG35,HN!AM35))=12)*(CHOOSE({1,2,3,4},HN!X35,HN!AD35,HN!AJ35,HN!AP35)))</f>
        <v>0</v>
      </c>
    </row>
    <row r="36" spans="1:12">
      <c r="A36">
        <f>SUMPRODUCT((MONTH(CHOOSE({1,2,3,4},HN!U36,HN!AA36,HN!AG36,HN!AM36))=1)*(CHOOSE({1,2,3,4},HN!X36,HN!AD36,HN!AJ36,HN!AP36)))</f>
        <v>0</v>
      </c>
      <c r="B36">
        <f>SUMPRODUCT((MONTH(CHOOSE({1,2,3,4},HN!U36,HN!AA36,HN!AG36,HN!AM36))=2)*(CHOOSE({1,2,3,4},HN!X36,HN!AD36,HN!AJ36,HN!AP36)))</f>
        <v>0</v>
      </c>
      <c r="C36">
        <f>SUMPRODUCT((MONTH(CHOOSE({1,2,3,4},HN!U36,HN!AA36,HN!AG36,HN!AM36))=3)*(CHOOSE({1,2,3,4},HN!X36,HN!AD36,HN!AJ36,HN!AP36)))</f>
        <v>0</v>
      </c>
      <c r="D36">
        <f>SUMPRODUCT((MONTH(CHOOSE({1,2,3,4},HN!U36,HN!AA36,HN!AG36,HN!AM36))=4)*(CHOOSE({1,2,3,4},HN!X36,HN!AD36,HN!AJ36,HN!AP36)))</f>
        <v>0</v>
      </c>
      <c r="E36">
        <f>SUMPRODUCT((MONTH(CHOOSE({1,2,3,4},HN!U36,HN!AA36,HN!AG36,HN!AM36))=5)*(CHOOSE({1,2,3,4},HN!X36,HN!AD36,HN!AJ36,HN!AP36)))</f>
        <v>0</v>
      </c>
      <c r="F36">
        <f>SUMPRODUCT((MONTH(CHOOSE({1,2,3,4},HN!U36,HN!AA36,HN!AG36,HN!AM36))=6)*(CHOOSE({1,2,3,4},HN!X36,HN!AD36,HN!AJ36,HN!AP36)))</f>
        <v>0</v>
      </c>
      <c r="G36">
        <f>SUMPRODUCT((MONTH(CHOOSE({1,2,3,4},HN!U36,HN!AA36,HN!AG36,HN!AM36))=7)*(CHOOSE({1,2,3,4},HN!X36,HN!AD36,HN!AJ36,HN!AP36)))</f>
        <v>0</v>
      </c>
      <c r="H36">
        <f>SUMPRODUCT((MONTH(CHOOSE({1,2,3,4},HN!U36,HN!AA36,HN!AG36,HN!AM36))=8)*(CHOOSE({1,2,3,4},HN!X36,HN!AD36,HN!AJ36,HN!AP36)))</f>
        <v>0</v>
      </c>
      <c r="I36">
        <f>SUMPRODUCT((MONTH(CHOOSE({1,2,3,4},HN!U36,HN!AA36,HN!AG36,HN!AM36))=9)*(CHOOSE({1,2,3,4},HN!X36,HN!AD36,HN!AJ36,HN!AP36)))</f>
        <v>0</v>
      </c>
      <c r="J36">
        <f>SUMPRODUCT((MONTH(CHOOSE({1,2,3,4},HN!U36,HN!AA36,HN!AG36,HN!AM36))=10)*(CHOOSE({1,2,3,4},HN!X36,HN!AD36,HN!AJ36,HN!AP36)))</f>
        <v>0</v>
      </c>
      <c r="K36">
        <f>SUMPRODUCT((MONTH(CHOOSE({1,2,3,4},HN!U36,HN!AA36,HN!AG36,HN!AM36))=11)*(CHOOSE({1,2,3,4},HN!X36,HN!AD36,HN!AJ36,HN!AP36)))</f>
        <v>0</v>
      </c>
      <c r="L36">
        <f>SUMPRODUCT((MONTH(CHOOSE({1,2,3,4},HN!U36,HN!AA36,HN!AG36,HN!AM36))=12)*(CHOOSE({1,2,3,4},HN!X36,HN!AD36,HN!AJ36,HN!AP36)))</f>
        <v>0</v>
      </c>
    </row>
    <row r="37" spans="1:12">
      <c r="A37">
        <f>SUMPRODUCT((MONTH(CHOOSE({1,2,3,4},HN!U37,HN!AA37,HN!AG37,HN!AM37))=1)*(CHOOSE({1,2,3,4},HN!X37,HN!AD37,HN!AJ37,HN!AP37)))</f>
        <v>0</v>
      </c>
      <c r="B37">
        <f>SUMPRODUCT((MONTH(CHOOSE({1,2,3,4},HN!U37,HN!AA37,HN!AG37,HN!AM37))=2)*(CHOOSE({1,2,3,4},HN!X37,HN!AD37,HN!AJ37,HN!AP37)))</f>
        <v>0</v>
      </c>
      <c r="C37">
        <f>SUMPRODUCT((MONTH(CHOOSE({1,2,3,4},HN!U37,HN!AA37,HN!AG37,HN!AM37))=3)*(CHOOSE({1,2,3,4},HN!X37,HN!AD37,HN!AJ37,HN!AP37)))</f>
        <v>0</v>
      </c>
      <c r="D37">
        <f>SUMPRODUCT((MONTH(CHOOSE({1,2,3,4},HN!U37,HN!AA37,HN!AG37,HN!AM37))=4)*(CHOOSE({1,2,3,4},HN!X37,HN!AD37,HN!AJ37,HN!AP37)))</f>
        <v>0</v>
      </c>
      <c r="E37">
        <f>SUMPRODUCT((MONTH(CHOOSE({1,2,3,4},HN!U37,HN!AA37,HN!AG37,HN!AM37))=5)*(CHOOSE({1,2,3,4},HN!X37,HN!AD37,HN!AJ37,HN!AP37)))</f>
        <v>0</v>
      </c>
      <c r="F37">
        <f>SUMPRODUCT((MONTH(CHOOSE({1,2,3,4},HN!U37,HN!AA37,HN!AG37,HN!AM37))=6)*(CHOOSE({1,2,3,4},HN!X37,HN!AD37,HN!AJ37,HN!AP37)))</f>
        <v>0</v>
      </c>
      <c r="G37">
        <f>SUMPRODUCT((MONTH(CHOOSE({1,2,3,4},HN!U37,HN!AA37,HN!AG37,HN!AM37))=7)*(CHOOSE({1,2,3,4},HN!X37,HN!AD37,HN!AJ37,HN!AP37)))</f>
        <v>0</v>
      </c>
      <c r="H37">
        <f>SUMPRODUCT((MONTH(CHOOSE({1,2,3,4},HN!U37,HN!AA37,HN!AG37,HN!AM37))=8)*(CHOOSE({1,2,3,4},HN!X37,HN!AD37,HN!AJ37,HN!AP37)))</f>
        <v>0</v>
      </c>
      <c r="I37">
        <f>SUMPRODUCT((MONTH(CHOOSE({1,2,3,4},HN!U37,HN!AA37,HN!AG37,HN!AM37))=9)*(CHOOSE({1,2,3,4},HN!X37,HN!AD37,HN!AJ37,HN!AP37)))</f>
        <v>0</v>
      </c>
      <c r="J37">
        <f>SUMPRODUCT((MONTH(CHOOSE({1,2,3,4},HN!U37,HN!AA37,HN!AG37,HN!AM37))=10)*(CHOOSE({1,2,3,4},HN!X37,HN!AD37,HN!AJ37,HN!AP37)))</f>
        <v>0</v>
      </c>
      <c r="K37">
        <f>SUMPRODUCT((MONTH(CHOOSE({1,2,3,4},HN!U37,HN!AA37,HN!AG37,HN!AM37))=11)*(CHOOSE({1,2,3,4},HN!X37,HN!AD37,HN!AJ37,HN!AP37)))</f>
        <v>0</v>
      </c>
      <c r="L37">
        <f>SUMPRODUCT((MONTH(CHOOSE({1,2,3,4},HN!U37,HN!AA37,HN!AG37,HN!AM37))=12)*(CHOOSE({1,2,3,4},HN!X37,HN!AD37,HN!AJ37,HN!AP37)))</f>
        <v>0</v>
      </c>
    </row>
    <row r="38" spans="1:12">
      <c r="A38">
        <f>SUMPRODUCT((MONTH(CHOOSE({1,2,3,4},HN!U38,HN!AA38,HN!AG38,HN!AM38))=1)*(CHOOSE({1,2,3,4},HN!X38,HN!AD38,HN!AJ38,HN!AP38)))</f>
        <v>0</v>
      </c>
      <c r="B38">
        <f>SUMPRODUCT((MONTH(CHOOSE({1,2,3,4},HN!U38,HN!AA38,HN!AG38,HN!AM38))=2)*(CHOOSE({1,2,3,4},HN!X38,HN!AD38,HN!AJ38,HN!AP38)))</f>
        <v>0</v>
      </c>
      <c r="C38">
        <f>SUMPRODUCT((MONTH(CHOOSE({1,2,3,4},HN!U38,HN!AA38,HN!AG38,HN!AM38))=3)*(CHOOSE({1,2,3,4},HN!X38,HN!AD38,HN!AJ38,HN!AP38)))</f>
        <v>0</v>
      </c>
      <c r="D38">
        <f>SUMPRODUCT((MONTH(CHOOSE({1,2,3,4},HN!U38,HN!AA38,HN!AG38,HN!AM38))=4)*(CHOOSE({1,2,3,4},HN!X38,HN!AD38,HN!AJ38,HN!AP38)))</f>
        <v>0</v>
      </c>
      <c r="E38">
        <f>SUMPRODUCT((MONTH(CHOOSE({1,2,3,4},HN!U38,HN!AA38,HN!AG38,HN!AM38))=5)*(CHOOSE({1,2,3,4},HN!X38,HN!AD38,HN!AJ38,HN!AP38)))</f>
        <v>0</v>
      </c>
      <c r="F38">
        <f>SUMPRODUCT((MONTH(CHOOSE({1,2,3,4},HN!U38,HN!AA38,HN!AG38,HN!AM38))=6)*(CHOOSE({1,2,3,4},HN!X38,HN!AD38,HN!AJ38,HN!AP38)))</f>
        <v>0</v>
      </c>
      <c r="G38">
        <f>SUMPRODUCT((MONTH(CHOOSE({1,2,3,4},HN!U38,HN!AA38,HN!AG38,HN!AM38))=7)*(CHOOSE({1,2,3,4},HN!X38,HN!AD38,HN!AJ38,HN!AP38)))</f>
        <v>0</v>
      </c>
      <c r="H38">
        <f>SUMPRODUCT((MONTH(CHOOSE({1,2,3,4},HN!U38,HN!AA38,HN!AG38,HN!AM38))=8)*(CHOOSE({1,2,3,4},HN!X38,HN!AD38,HN!AJ38,HN!AP38)))</f>
        <v>0</v>
      </c>
      <c r="I38">
        <f>SUMPRODUCT((MONTH(CHOOSE({1,2,3,4},HN!U38,HN!AA38,HN!AG38,HN!AM38))=9)*(CHOOSE({1,2,3,4},HN!X38,HN!AD38,HN!AJ38,HN!AP38)))</f>
        <v>0</v>
      </c>
      <c r="J38">
        <f>SUMPRODUCT((MONTH(CHOOSE({1,2,3,4},HN!U38,HN!AA38,HN!AG38,HN!AM38))=10)*(CHOOSE({1,2,3,4},HN!X38,HN!AD38,HN!AJ38,HN!AP38)))</f>
        <v>0</v>
      </c>
      <c r="K38">
        <f>SUMPRODUCT((MONTH(CHOOSE({1,2,3,4},HN!U38,HN!AA38,HN!AG38,HN!AM38))=11)*(CHOOSE({1,2,3,4},HN!X38,HN!AD38,HN!AJ38,HN!AP38)))</f>
        <v>0</v>
      </c>
      <c r="L38">
        <f>SUMPRODUCT((MONTH(CHOOSE({1,2,3,4},HN!U38,HN!AA38,HN!AG38,HN!AM38))=12)*(CHOOSE({1,2,3,4},HN!X38,HN!AD38,HN!AJ38,HN!AP38)))</f>
        <v>0</v>
      </c>
    </row>
    <row r="39" spans="1:12">
      <c r="A39">
        <f>SUMPRODUCT((MONTH(CHOOSE({1,2,3,4},HN!U39,HN!AA39,HN!AG39,HN!AM39))=1)*(CHOOSE({1,2,3,4},HN!X39,HN!AD39,HN!AJ39,HN!AP39)))</f>
        <v>0</v>
      </c>
      <c r="B39">
        <f>SUMPRODUCT((MONTH(CHOOSE({1,2,3,4},HN!U39,HN!AA39,HN!AG39,HN!AM39))=2)*(CHOOSE({1,2,3,4},HN!X39,HN!AD39,HN!AJ39,HN!AP39)))</f>
        <v>0</v>
      </c>
      <c r="C39">
        <f>SUMPRODUCT((MONTH(CHOOSE({1,2,3,4},HN!U39,HN!AA39,HN!AG39,HN!AM39))=3)*(CHOOSE({1,2,3,4},HN!X39,HN!AD39,HN!AJ39,HN!AP39)))</f>
        <v>0</v>
      </c>
      <c r="D39">
        <f>SUMPRODUCT((MONTH(CHOOSE({1,2,3,4},HN!U39,HN!AA39,HN!AG39,HN!AM39))=4)*(CHOOSE({1,2,3,4},HN!X39,HN!AD39,HN!AJ39,HN!AP39)))</f>
        <v>0</v>
      </c>
      <c r="E39">
        <f>SUMPRODUCT((MONTH(CHOOSE({1,2,3,4},HN!U39,HN!AA39,HN!AG39,HN!AM39))=5)*(CHOOSE({1,2,3,4},HN!X39,HN!AD39,HN!AJ39,HN!AP39)))</f>
        <v>0</v>
      </c>
      <c r="F39">
        <f>SUMPRODUCT((MONTH(CHOOSE({1,2,3,4},HN!U39,HN!AA39,HN!AG39,HN!AM39))=6)*(CHOOSE({1,2,3,4},HN!X39,HN!AD39,HN!AJ39,HN!AP39)))</f>
        <v>0</v>
      </c>
      <c r="G39">
        <f>SUMPRODUCT((MONTH(CHOOSE({1,2,3,4},HN!U39,HN!AA39,HN!AG39,HN!AM39))=7)*(CHOOSE({1,2,3,4},HN!X39,HN!AD39,HN!AJ39,HN!AP39)))</f>
        <v>0</v>
      </c>
      <c r="H39">
        <f>SUMPRODUCT((MONTH(CHOOSE({1,2,3,4},HN!U39,HN!AA39,HN!AG39,HN!AM39))=8)*(CHOOSE({1,2,3,4},HN!X39,HN!AD39,HN!AJ39,HN!AP39)))</f>
        <v>0</v>
      </c>
      <c r="I39">
        <f>SUMPRODUCT((MONTH(CHOOSE({1,2,3,4},HN!U39,HN!AA39,HN!AG39,HN!AM39))=9)*(CHOOSE({1,2,3,4},HN!X39,HN!AD39,HN!AJ39,HN!AP39)))</f>
        <v>0</v>
      </c>
      <c r="J39">
        <f>SUMPRODUCT((MONTH(CHOOSE({1,2,3,4},HN!U39,HN!AA39,HN!AG39,HN!AM39))=10)*(CHOOSE({1,2,3,4},HN!X39,HN!AD39,HN!AJ39,HN!AP39)))</f>
        <v>0</v>
      </c>
      <c r="K39">
        <f>SUMPRODUCT((MONTH(CHOOSE({1,2,3,4},HN!U39,HN!AA39,HN!AG39,HN!AM39))=11)*(CHOOSE({1,2,3,4},HN!X39,HN!AD39,HN!AJ39,HN!AP39)))</f>
        <v>0</v>
      </c>
      <c r="L39">
        <f>SUMPRODUCT((MONTH(CHOOSE({1,2,3,4},HN!U39,HN!AA39,HN!AG39,HN!AM39))=12)*(CHOOSE({1,2,3,4},HN!X39,HN!AD39,HN!AJ39,HN!AP39)))</f>
        <v>0</v>
      </c>
    </row>
    <row r="40" spans="1:12">
      <c r="A40">
        <f>SUMPRODUCT((MONTH(CHOOSE({1,2,3,4},HN!U40,HN!AA40,HN!AG40,HN!AM40))=1)*(CHOOSE({1,2,3,4},HN!X40,HN!AD40,HN!AJ40,HN!AP40)))</f>
        <v>0</v>
      </c>
      <c r="B40">
        <f>SUMPRODUCT((MONTH(CHOOSE({1,2,3,4},HN!U40,HN!AA40,HN!AG40,HN!AM40))=2)*(CHOOSE({1,2,3,4},HN!X40,HN!AD40,HN!AJ40,HN!AP40)))</f>
        <v>0</v>
      </c>
      <c r="C40">
        <f>SUMPRODUCT((MONTH(CHOOSE({1,2,3,4},HN!U40,HN!AA40,HN!AG40,HN!AM40))=3)*(CHOOSE({1,2,3,4},HN!X40,HN!AD40,HN!AJ40,HN!AP40)))</f>
        <v>0</v>
      </c>
      <c r="D40">
        <f>SUMPRODUCT((MONTH(CHOOSE({1,2,3,4},HN!U40,HN!AA40,HN!AG40,HN!AM40))=4)*(CHOOSE({1,2,3,4},HN!X40,HN!AD40,HN!AJ40,HN!AP40)))</f>
        <v>0</v>
      </c>
      <c r="E40">
        <f>SUMPRODUCT((MONTH(CHOOSE({1,2,3,4},HN!U40,HN!AA40,HN!AG40,HN!AM40))=5)*(CHOOSE({1,2,3,4},HN!X40,HN!AD40,HN!AJ40,HN!AP40)))</f>
        <v>0</v>
      </c>
      <c r="F40">
        <f>SUMPRODUCT((MONTH(CHOOSE({1,2,3,4},HN!U40,HN!AA40,HN!AG40,HN!AM40))=6)*(CHOOSE({1,2,3,4},HN!X40,HN!AD40,HN!AJ40,HN!AP40)))</f>
        <v>0</v>
      </c>
      <c r="G40">
        <f>SUMPRODUCT((MONTH(CHOOSE({1,2,3,4},HN!U40,HN!AA40,HN!AG40,HN!AM40))=7)*(CHOOSE({1,2,3,4},HN!X40,HN!AD40,HN!AJ40,HN!AP40)))</f>
        <v>0</v>
      </c>
      <c r="H40">
        <f>SUMPRODUCT((MONTH(CHOOSE({1,2,3,4},HN!U40,HN!AA40,HN!AG40,HN!AM40))=8)*(CHOOSE({1,2,3,4},HN!X40,HN!AD40,HN!AJ40,HN!AP40)))</f>
        <v>0</v>
      </c>
      <c r="I40">
        <f>SUMPRODUCT((MONTH(CHOOSE({1,2,3,4},HN!U40,HN!AA40,HN!AG40,HN!AM40))=9)*(CHOOSE({1,2,3,4},HN!X40,HN!AD40,HN!AJ40,HN!AP40)))</f>
        <v>0</v>
      </c>
      <c r="J40">
        <f>SUMPRODUCT((MONTH(CHOOSE({1,2,3,4},HN!U40,HN!AA40,HN!AG40,HN!AM40))=10)*(CHOOSE({1,2,3,4},HN!X40,HN!AD40,HN!AJ40,HN!AP40)))</f>
        <v>0</v>
      </c>
      <c r="K40">
        <f>SUMPRODUCT((MONTH(CHOOSE({1,2,3,4},HN!U40,HN!AA40,HN!AG40,HN!AM40))=11)*(CHOOSE({1,2,3,4},HN!X40,HN!AD40,HN!AJ40,HN!AP40)))</f>
        <v>0</v>
      </c>
      <c r="L40">
        <f>SUMPRODUCT((MONTH(CHOOSE({1,2,3,4},HN!U40,HN!AA40,HN!AG40,HN!AM40))=12)*(CHOOSE({1,2,3,4},HN!X40,HN!AD40,HN!AJ40,HN!AP40)))</f>
        <v>0</v>
      </c>
    </row>
    <row r="41" spans="1:12">
      <c r="A41">
        <f>SUMPRODUCT((MONTH(CHOOSE({1,2,3,4},HN!U41,HN!AA41,HN!AG41,HN!AM41))=1)*(CHOOSE({1,2,3,4},HN!X41,HN!AD41,HN!AJ41,HN!AP41)))</f>
        <v>0</v>
      </c>
      <c r="B41">
        <f>SUMPRODUCT((MONTH(CHOOSE({1,2,3,4},HN!U41,HN!AA41,HN!AG41,HN!AM41))=2)*(CHOOSE({1,2,3,4},HN!X41,HN!AD41,HN!AJ41,HN!AP41)))</f>
        <v>0</v>
      </c>
      <c r="C41">
        <f>SUMPRODUCT((MONTH(CHOOSE({1,2,3,4},HN!U41,HN!AA41,HN!AG41,HN!AM41))=3)*(CHOOSE({1,2,3,4},HN!X41,HN!AD41,HN!AJ41,HN!AP41)))</f>
        <v>0</v>
      </c>
      <c r="D41">
        <f>SUMPRODUCT((MONTH(CHOOSE({1,2,3,4},HN!U41,HN!AA41,HN!AG41,HN!AM41))=4)*(CHOOSE({1,2,3,4},HN!X41,HN!AD41,HN!AJ41,HN!AP41)))</f>
        <v>0</v>
      </c>
      <c r="E41">
        <f>SUMPRODUCT((MONTH(CHOOSE({1,2,3,4},HN!U41,HN!AA41,HN!AG41,HN!AM41))=5)*(CHOOSE({1,2,3,4},HN!X41,HN!AD41,HN!AJ41,HN!AP41)))</f>
        <v>0</v>
      </c>
      <c r="F41">
        <f>SUMPRODUCT((MONTH(CHOOSE({1,2,3,4},HN!U41,HN!AA41,HN!AG41,HN!AM41))=6)*(CHOOSE({1,2,3,4},HN!X41,HN!AD41,HN!AJ41,HN!AP41)))</f>
        <v>0</v>
      </c>
      <c r="G41">
        <f>SUMPRODUCT((MONTH(CHOOSE({1,2,3,4},HN!U41,HN!AA41,HN!AG41,HN!AM41))=7)*(CHOOSE({1,2,3,4},HN!X41,HN!AD41,HN!AJ41,HN!AP41)))</f>
        <v>0</v>
      </c>
      <c r="H41">
        <f>SUMPRODUCT((MONTH(CHOOSE({1,2,3,4},HN!U41,HN!AA41,HN!AG41,HN!AM41))=8)*(CHOOSE({1,2,3,4},HN!X41,HN!AD41,HN!AJ41,HN!AP41)))</f>
        <v>0</v>
      </c>
      <c r="I41">
        <f>SUMPRODUCT((MONTH(CHOOSE({1,2,3,4},HN!U41,HN!AA41,HN!AG41,HN!AM41))=9)*(CHOOSE({1,2,3,4},HN!X41,HN!AD41,HN!AJ41,HN!AP41)))</f>
        <v>0</v>
      </c>
      <c r="J41">
        <f>SUMPRODUCT((MONTH(CHOOSE({1,2,3,4},HN!U41,HN!AA41,HN!AG41,HN!AM41))=10)*(CHOOSE({1,2,3,4},HN!X41,HN!AD41,HN!AJ41,HN!AP41)))</f>
        <v>0</v>
      </c>
      <c r="K41">
        <f>SUMPRODUCT((MONTH(CHOOSE({1,2,3,4},HN!U41,HN!AA41,HN!AG41,HN!AM41))=11)*(CHOOSE({1,2,3,4},HN!X41,HN!AD41,HN!AJ41,HN!AP41)))</f>
        <v>0</v>
      </c>
      <c r="L41">
        <f>SUMPRODUCT((MONTH(CHOOSE({1,2,3,4},HN!U41,HN!AA41,HN!AG41,HN!AM41))=12)*(CHOOSE({1,2,3,4},HN!X41,HN!AD41,HN!AJ41,HN!AP41)))</f>
        <v>0</v>
      </c>
    </row>
    <row r="42" spans="1:12">
      <c r="A42">
        <f>SUMPRODUCT((MONTH(CHOOSE({1,2,3,4},HN!U42,HN!AA42,HN!AG42,HN!AM42))=1)*(CHOOSE({1,2,3,4},HN!X42,HN!AD42,HN!AJ42,HN!AP42)))</f>
        <v>0</v>
      </c>
      <c r="B42">
        <f>SUMPRODUCT((MONTH(CHOOSE({1,2,3,4},HN!U42,HN!AA42,HN!AG42,HN!AM42))=2)*(CHOOSE({1,2,3,4},HN!X42,HN!AD42,HN!AJ42,HN!AP42)))</f>
        <v>0</v>
      </c>
      <c r="C42">
        <f>SUMPRODUCT((MONTH(CHOOSE({1,2,3,4},HN!U42,HN!AA42,HN!AG42,HN!AM42))=3)*(CHOOSE({1,2,3,4},HN!X42,HN!AD42,HN!AJ42,HN!AP42)))</f>
        <v>0</v>
      </c>
      <c r="D42">
        <f>SUMPRODUCT((MONTH(CHOOSE({1,2,3,4},HN!U42,HN!AA42,HN!AG42,HN!AM42))=4)*(CHOOSE({1,2,3,4},HN!X42,HN!AD42,HN!AJ42,HN!AP42)))</f>
        <v>0</v>
      </c>
      <c r="E42">
        <f>SUMPRODUCT((MONTH(CHOOSE({1,2,3,4},HN!U42,HN!AA42,HN!AG42,HN!AM42))=5)*(CHOOSE({1,2,3,4},HN!X42,HN!AD42,HN!AJ42,HN!AP42)))</f>
        <v>0</v>
      </c>
      <c r="F42">
        <f>SUMPRODUCT((MONTH(CHOOSE({1,2,3,4},HN!U42,HN!AA42,HN!AG42,HN!AM42))=6)*(CHOOSE({1,2,3,4},HN!X42,HN!AD42,HN!AJ42,HN!AP42)))</f>
        <v>0</v>
      </c>
      <c r="G42">
        <f>SUMPRODUCT((MONTH(CHOOSE({1,2,3,4},HN!U42,HN!AA42,HN!AG42,HN!AM42))=7)*(CHOOSE({1,2,3,4},HN!X42,HN!AD42,HN!AJ42,HN!AP42)))</f>
        <v>0</v>
      </c>
      <c r="H42">
        <f>SUMPRODUCT((MONTH(CHOOSE({1,2,3,4},HN!U42,HN!AA42,HN!AG42,HN!AM42))=8)*(CHOOSE({1,2,3,4},HN!X42,HN!AD42,HN!AJ42,HN!AP42)))</f>
        <v>0</v>
      </c>
      <c r="I42">
        <f>SUMPRODUCT((MONTH(CHOOSE({1,2,3,4},HN!U42,HN!AA42,HN!AG42,HN!AM42))=9)*(CHOOSE({1,2,3,4},HN!X42,HN!AD42,HN!AJ42,HN!AP42)))</f>
        <v>0</v>
      </c>
      <c r="J42">
        <f>SUMPRODUCT((MONTH(CHOOSE({1,2,3,4},HN!U42,HN!AA42,HN!AG42,HN!AM42))=10)*(CHOOSE({1,2,3,4},HN!X42,HN!AD42,HN!AJ42,HN!AP42)))</f>
        <v>0</v>
      </c>
      <c r="K42">
        <f>SUMPRODUCT((MONTH(CHOOSE({1,2,3,4},HN!U42,HN!AA42,HN!AG42,HN!AM42))=11)*(CHOOSE({1,2,3,4},HN!X42,HN!AD42,HN!AJ42,HN!AP42)))</f>
        <v>0</v>
      </c>
      <c r="L42">
        <f>SUMPRODUCT((MONTH(CHOOSE({1,2,3,4},HN!U42,HN!AA42,HN!AG42,HN!AM42))=12)*(CHOOSE({1,2,3,4},HN!X42,HN!AD42,HN!AJ42,HN!AP42)))</f>
        <v>0</v>
      </c>
    </row>
    <row r="43" spans="1:12">
      <c r="A43">
        <f>SUMPRODUCT((MONTH(CHOOSE({1,2,3,4},HN!U43,HN!AA43,HN!AG43,HN!AM43))=1)*(CHOOSE({1,2,3,4},HN!X43,HN!AD43,HN!AJ43,HN!AP43)))</f>
        <v>0</v>
      </c>
      <c r="B43">
        <f>SUMPRODUCT((MONTH(CHOOSE({1,2,3,4},HN!U43,HN!AA43,HN!AG43,HN!AM43))=2)*(CHOOSE({1,2,3,4},HN!X43,HN!AD43,HN!AJ43,HN!AP43)))</f>
        <v>0</v>
      </c>
      <c r="C43">
        <f>SUMPRODUCT((MONTH(CHOOSE({1,2,3,4},HN!U43,HN!AA43,HN!AG43,HN!AM43))=3)*(CHOOSE({1,2,3,4},HN!X43,HN!AD43,HN!AJ43,HN!AP43)))</f>
        <v>0</v>
      </c>
      <c r="D43">
        <f>SUMPRODUCT((MONTH(CHOOSE({1,2,3,4},HN!U43,HN!AA43,HN!AG43,HN!AM43))=4)*(CHOOSE({1,2,3,4},HN!X43,HN!AD43,HN!AJ43,HN!AP43)))</f>
        <v>0</v>
      </c>
      <c r="E43">
        <f>SUMPRODUCT((MONTH(CHOOSE({1,2,3,4},HN!U43,HN!AA43,HN!AG43,HN!AM43))=5)*(CHOOSE({1,2,3,4},HN!X43,HN!AD43,HN!AJ43,HN!AP43)))</f>
        <v>0</v>
      </c>
      <c r="F43">
        <f>SUMPRODUCT((MONTH(CHOOSE({1,2,3,4},HN!U43,HN!AA43,HN!AG43,HN!AM43))=6)*(CHOOSE({1,2,3,4},HN!X43,HN!AD43,HN!AJ43,HN!AP43)))</f>
        <v>0</v>
      </c>
      <c r="G43">
        <f>SUMPRODUCT((MONTH(CHOOSE({1,2,3,4},HN!U43,HN!AA43,HN!AG43,HN!AM43))=7)*(CHOOSE({1,2,3,4},HN!X43,HN!AD43,HN!AJ43,HN!AP43)))</f>
        <v>0</v>
      </c>
      <c r="H43">
        <f>SUMPRODUCT((MONTH(CHOOSE({1,2,3,4},HN!U43,HN!AA43,HN!AG43,HN!AM43))=8)*(CHOOSE({1,2,3,4},HN!X43,HN!AD43,HN!AJ43,HN!AP43)))</f>
        <v>0</v>
      </c>
      <c r="I43">
        <f>SUMPRODUCT((MONTH(CHOOSE({1,2,3,4},HN!U43,HN!AA43,HN!AG43,HN!AM43))=9)*(CHOOSE({1,2,3,4},HN!X43,HN!AD43,HN!AJ43,HN!AP43)))</f>
        <v>0</v>
      </c>
      <c r="J43">
        <f>SUMPRODUCT((MONTH(CHOOSE({1,2,3,4},HN!U43,HN!AA43,HN!AG43,HN!AM43))=10)*(CHOOSE({1,2,3,4},HN!X43,HN!AD43,HN!AJ43,HN!AP43)))</f>
        <v>0</v>
      </c>
      <c r="K43">
        <f>SUMPRODUCT((MONTH(CHOOSE({1,2,3,4},HN!U43,HN!AA43,HN!AG43,HN!AM43))=11)*(CHOOSE({1,2,3,4},HN!X43,HN!AD43,HN!AJ43,HN!AP43)))</f>
        <v>0</v>
      </c>
      <c r="L43">
        <f>SUMPRODUCT((MONTH(CHOOSE({1,2,3,4},HN!U43,HN!AA43,HN!AG43,HN!AM43))=12)*(CHOOSE({1,2,3,4},HN!X43,HN!AD43,HN!AJ43,HN!AP43)))</f>
        <v>0</v>
      </c>
    </row>
    <row r="44" spans="1:12">
      <c r="A44">
        <f>SUMPRODUCT((MONTH(CHOOSE({1,2,3,4},HN!U44,HN!AA44,HN!AG44,HN!AM44))=1)*(CHOOSE({1,2,3,4},HN!X44,HN!AD44,HN!AJ44,HN!AP44)))</f>
        <v>0</v>
      </c>
      <c r="B44">
        <f>SUMPRODUCT((MONTH(CHOOSE({1,2,3,4},HN!U44,HN!AA44,HN!AG44,HN!AM44))=2)*(CHOOSE({1,2,3,4},HN!X44,HN!AD44,HN!AJ44,HN!AP44)))</f>
        <v>0</v>
      </c>
      <c r="C44">
        <f>SUMPRODUCT((MONTH(CHOOSE({1,2,3,4},HN!U44,HN!AA44,HN!AG44,HN!AM44))=3)*(CHOOSE({1,2,3,4},HN!X44,HN!AD44,HN!AJ44,HN!AP44)))</f>
        <v>0</v>
      </c>
      <c r="D44">
        <f>SUMPRODUCT((MONTH(CHOOSE({1,2,3,4},HN!U44,HN!AA44,HN!AG44,HN!AM44))=4)*(CHOOSE({1,2,3,4},HN!X44,HN!AD44,HN!AJ44,HN!AP44)))</f>
        <v>0</v>
      </c>
      <c r="E44">
        <f>SUMPRODUCT((MONTH(CHOOSE({1,2,3,4},HN!U44,HN!AA44,HN!AG44,HN!AM44))=5)*(CHOOSE({1,2,3,4},HN!X44,HN!AD44,HN!AJ44,HN!AP44)))</f>
        <v>0</v>
      </c>
      <c r="F44">
        <f>SUMPRODUCT((MONTH(CHOOSE({1,2,3,4},HN!U44,HN!AA44,HN!AG44,HN!AM44))=6)*(CHOOSE({1,2,3,4},HN!X44,HN!AD44,HN!AJ44,HN!AP44)))</f>
        <v>0</v>
      </c>
      <c r="G44">
        <f>SUMPRODUCT((MONTH(CHOOSE({1,2,3,4},HN!U44,HN!AA44,HN!AG44,HN!AM44))=7)*(CHOOSE({1,2,3,4},HN!X44,HN!AD44,HN!AJ44,HN!AP44)))</f>
        <v>0</v>
      </c>
      <c r="H44">
        <f>SUMPRODUCT((MONTH(CHOOSE({1,2,3,4},HN!U44,HN!AA44,HN!AG44,HN!AM44))=8)*(CHOOSE({1,2,3,4},HN!X44,HN!AD44,HN!AJ44,HN!AP44)))</f>
        <v>0</v>
      </c>
      <c r="I44">
        <f>SUMPRODUCT((MONTH(CHOOSE({1,2,3,4},HN!U44,HN!AA44,HN!AG44,HN!AM44))=9)*(CHOOSE({1,2,3,4},HN!X44,HN!AD44,HN!AJ44,HN!AP44)))</f>
        <v>0</v>
      </c>
      <c r="J44">
        <f>SUMPRODUCT((MONTH(CHOOSE({1,2,3,4},HN!U44,HN!AA44,HN!AG44,HN!AM44))=10)*(CHOOSE({1,2,3,4},HN!X44,HN!AD44,HN!AJ44,HN!AP44)))</f>
        <v>0</v>
      </c>
      <c r="K44">
        <f>SUMPRODUCT((MONTH(CHOOSE({1,2,3,4},HN!U44,HN!AA44,HN!AG44,HN!AM44))=11)*(CHOOSE({1,2,3,4},HN!X44,HN!AD44,HN!AJ44,HN!AP44)))</f>
        <v>0</v>
      </c>
      <c r="L44">
        <f>SUMPRODUCT((MONTH(CHOOSE({1,2,3,4},HN!U44,HN!AA44,HN!AG44,HN!AM44))=12)*(CHOOSE({1,2,3,4},HN!X44,HN!AD44,HN!AJ44,HN!AP44)))</f>
        <v>0</v>
      </c>
    </row>
    <row r="45" spans="1:12">
      <c r="A45">
        <f>SUMPRODUCT((MONTH(CHOOSE({1,2,3,4},HN!U45,HN!AA45,HN!AG45,HN!AM45))=1)*(CHOOSE({1,2,3,4},HN!X45,HN!AD45,HN!AJ45,HN!AP45)))</f>
        <v>0</v>
      </c>
      <c r="B45">
        <f>SUMPRODUCT((MONTH(CHOOSE({1,2,3,4},HN!U45,HN!AA45,HN!AG45,HN!AM45))=2)*(CHOOSE({1,2,3,4},HN!X45,HN!AD45,HN!AJ45,HN!AP45)))</f>
        <v>0</v>
      </c>
      <c r="C45">
        <f>SUMPRODUCT((MONTH(CHOOSE({1,2,3,4},HN!U45,HN!AA45,HN!AG45,HN!AM45))=3)*(CHOOSE({1,2,3,4},HN!X45,HN!AD45,HN!AJ45,HN!AP45)))</f>
        <v>0</v>
      </c>
      <c r="D45">
        <f>SUMPRODUCT((MONTH(CHOOSE({1,2,3,4},HN!U45,HN!AA45,HN!AG45,HN!AM45))=4)*(CHOOSE({1,2,3,4},HN!X45,HN!AD45,HN!AJ45,HN!AP45)))</f>
        <v>0</v>
      </c>
      <c r="E45">
        <f>SUMPRODUCT((MONTH(CHOOSE({1,2,3,4},HN!U45,HN!AA45,HN!AG45,HN!AM45))=5)*(CHOOSE({1,2,3,4},HN!X45,HN!AD45,HN!AJ45,HN!AP45)))</f>
        <v>0</v>
      </c>
      <c r="F45">
        <f>SUMPRODUCT((MONTH(CHOOSE({1,2,3,4},HN!U45,HN!AA45,HN!AG45,HN!AM45))=6)*(CHOOSE({1,2,3,4},HN!X45,HN!AD45,HN!AJ45,HN!AP45)))</f>
        <v>0</v>
      </c>
      <c r="G45">
        <f>SUMPRODUCT((MONTH(CHOOSE({1,2,3,4},HN!U45,HN!AA45,HN!AG45,HN!AM45))=7)*(CHOOSE({1,2,3,4},HN!X45,HN!AD45,HN!AJ45,HN!AP45)))</f>
        <v>0</v>
      </c>
      <c r="H45">
        <f>SUMPRODUCT((MONTH(CHOOSE({1,2,3,4},HN!U45,HN!AA45,HN!AG45,HN!AM45))=8)*(CHOOSE({1,2,3,4},HN!X45,HN!AD45,HN!AJ45,HN!AP45)))</f>
        <v>0</v>
      </c>
      <c r="I45">
        <f>SUMPRODUCT((MONTH(CHOOSE({1,2,3,4},HN!U45,HN!AA45,HN!AG45,HN!AM45))=9)*(CHOOSE({1,2,3,4},HN!X45,HN!AD45,HN!AJ45,HN!AP45)))</f>
        <v>0</v>
      </c>
      <c r="J45">
        <f>SUMPRODUCT((MONTH(CHOOSE({1,2,3,4},HN!U45,HN!AA45,HN!AG45,HN!AM45))=10)*(CHOOSE({1,2,3,4},HN!X45,HN!AD45,HN!AJ45,HN!AP45)))</f>
        <v>0</v>
      </c>
      <c r="K45">
        <f>SUMPRODUCT((MONTH(CHOOSE({1,2,3,4},HN!U45,HN!AA45,HN!AG45,HN!AM45))=11)*(CHOOSE({1,2,3,4},HN!X45,HN!AD45,HN!AJ45,HN!AP45)))</f>
        <v>0</v>
      </c>
      <c r="L45">
        <f>SUMPRODUCT((MONTH(CHOOSE({1,2,3,4},HN!U45,HN!AA45,HN!AG45,HN!AM45))=12)*(CHOOSE({1,2,3,4},HN!X45,HN!AD45,HN!AJ45,HN!AP45)))</f>
        <v>0</v>
      </c>
    </row>
    <row r="46" spans="1:12">
      <c r="A46">
        <f>SUMPRODUCT((MONTH(CHOOSE({1,2,3,4},HN!U46,HN!AA46,HN!AG46,HN!AM46))=1)*(CHOOSE({1,2,3,4},HN!X46,HN!AD46,HN!AJ46,HN!AP46)))</f>
        <v>0</v>
      </c>
      <c r="B46">
        <f>SUMPRODUCT((MONTH(CHOOSE({1,2,3,4},HN!U46,HN!AA46,HN!AG46,HN!AM46))=2)*(CHOOSE({1,2,3,4},HN!X46,HN!AD46,HN!AJ46,HN!AP46)))</f>
        <v>0</v>
      </c>
      <c r="C46">
        <f>SUMPRODUCT((MONTH(CHOOSE({1,2,3,4},HN!U46,HN!AA46,HN!AG46,HN!AM46))=3)*(CHOOSE({1,2,3,4},HN!X46,HN!AD46,HN!AJ46,HN!AP46)))</f>
        <v>0</v>
      </c>
      <c r="D46">
        <f>SUMPRODUCT((MONTH(CHOOSE({1,2,3,4},HN!U46,HN!AA46,HN!AG46,HN!AM46))=4)*(CHOOSE({1,2,3,4},HN!X46,HN!AD46,HN!AJ46,HN!AP46)))</f>
        <v>0</v>
      </c>
      <c r="E46">
        <f>SUMPRODUCT((MONTH(CHOOSE({1,2,3,4},HN!U46,HN!AA46,HN!AG46,HN!AM46))=5)*(CHOOSE({1,2,3,4},HN!X46,HN!AD46,HN!AJ46,HN!AP46)))</f>
        <v>0</v>
      </c>
      <c r="F46">
        <f>SUMPRODUCT((MONTH(CHOOSE({1,2,3,4},HN!U46,HN!AA46,HN!AG46,HN!AM46))=6)*(CHOOSE({1,2,3,4},HN!X46,HN!AD46,HN!AJ46,HN!AP46)))</f>
        <v>0</v>
      </c>
      <c r="G46">
        <f>SUMPRODUCT((MONTH(CHOOSE({1,2,3,4},HN!U46,HN!AA46,HN!AG46,HN!AM46))=7)*(CHOOSE({1,2,3,4},HN!X46,HN!AD46,HN!AJ46,HN!AP46)))</f>
        <v>0</v>
      </c>
      <c r="H46">
        <f>SUMPRODUCT((MONTH(CHOOSE({1,2,3,4},HN!U46,HN!AA46,HN!AG46,HN!AM46))=8)*(CHOOSE({1,2,3,4},HN!X46,HN!AD46,HN!AJ46,HN!AP46)))</f>
        <v>0</v>
      </c>
      <c r="I46">
        <f>SUMPRODUCT((MONTH(CHOOSE({1,2,3,4},HN!U46,HN!AA46,HN!AG46,HN!AM46))=9)*(CHOOSE({1,2,3,4},HN!X46,HN!AD46,HN!AJ46,HN!AP46)))</f>
        <v>0</v>
      </c>
      <c r="J46">
        <f>SUMPRODUCT((MONTH(CHOOSE({1,2,3,4},HN!U46,HN!AA46,HN!AG46,HN!AM46))=10)*(CHOOSE({1,2,3,4},HN!X46,HN!AD46,HN!AJ46,HN!AP46)))</f>
        <v>0</v>
      </c>
      <c r="K46">
        <f>SUMPRODUCT((MONTH(CHOOSE({1,2,3,4},HN!U46,HN!AA46,HN!AG46,HN!AM46))=11)*(CHOOSE({1,2,3,4},HN!X46,HN!AD46,HN!AJ46,HN!AP46)))</f>
        <v>0</v>
      </c>
      <c r="L46">
        <f>SUMPRODUCT((MONTH(CHOOSE({1,2,3,4},HN!U46,HN!AA46,HN!AG46,HN!AM46))=12)*(CHOOSE({1,2,3,4},HN!X46,HN!AD46,HN!AJ46,HN!AP46)))</f>
        <v>0</v>
      </c>
    </row>
    <row r="47" spans="1:12">
      <c r="A47">
        <f>SUMPRODUCT((MONTH(CHOOSE({1,2,3,4},HN!U47,HN!AA47,HN!AG47,HN!AM47))=1)*(CHOOSE({1,2,3,4},HN!X47,HN!AD47,HN!AJ47,HN!AP47)))</f>
        <v>0</v>
      </c>
      <c r="B47">
        <f>SUMPRODUCT((MONTH(CHOOSE({1,2,3,4},HN!U47,HN!AA47,HN!AG47,HN!AM47))=2)*(CHOOSE({1,2,3,4},HN!X47,HN!AD47,HN!AJ47,HN!AP47)))</f>
        <v>0</v>
      </c>
      <c r="C47">
        <f>SUMPRODUCT((MONTH(CHOOSE({1,2,3,4},HN!U47,HN!AA47,HN!AG47,HN!AM47))=3)*(CHOOSE({1,2,3,4},HN!X47,HN!AD47,HN!AJ47,HN!AP47)))</f>
        <v>0</v>
      </c>
      <c r="D47">
        <f>SUMPRODUCT((MONTH(CHOOSE({1,2,3,4},HN!U47,HN!AA47,HN!AG47,HN!AM47))=4)*(CHOOSE({1,2,3,4},HN!X47,HN!AD47,HN!AJ47,HN!AP47)))</f>
        <v>0</v>
      </c>
      <c r="E47">
        <f>SUMPRODUCT((MONTH(CHOOSE({1,2,3,4},HN!U47,HN!AA47,HN!AG47,HN!AM47))=5)*(CHOOSE({1,2,3,4},HN!X47,HN!AD47,HN!AJ47,HN!AP47)))</f>
        <v>0</v>
      </c>
      <c r="F47">
        <f>SUMPRODUCT((MONTH(CHOOSE({1,2,3,4},HN!U47,HN!AA47,HN!AG47,HN!AM47))=6)*(CHOOSE({1,2,3,4},HN!X47,HN!AD47,HN!AJ47,HN!AP47)))</f>
        <v>0</v>
      </c>
      <c r="G47">
        <f>SUMPRODUCT((MONTH(CHOOSE({1,2,3,4},HN!U47,HN!AA47,HN!AG47,HN!AM47))=7)*(CHOOSE({1,2,3,4},HN!X47,HN!AD47,HN!AJ47,HN!AP47)))</f>
        <v>0</v>
      </c>
      <c r="H47">
        <f>SUMPRODUCT((MONTH(CHOOSE({1,2,3,4},HN!U47,HN!AA47,HN!AG47,HN!AM47))=8)*(CHOOSE({1,2,3,4},HN!X47,HN!AD47,HN!AJ47,HN!AP47)))</f>
        <v>0</v>
      </c>
      <c r="I47">
        <f>SUMPRODUCT((MONTH(CHOOSE({1,2,3,4},HN!U47,HN!AA47,HN!AG47,HN!AM47))=9)*(CHOOSE({1,2,3,4},HN!X47,HN!AD47,HN!AJ47,HN!AP47)))</f>
        <v>0</v>
      </c>
      <c r="J47">
        <f>SUMPRODUCT((MONTH(CHOOSE({1,2,3,4},HN!U47,HN!AA47,HN!AG47,HN!AM47))=10)*(CHOOSE({1,2,3,4},HN!X47,HN!AD47,HN!AJ47,HN!AP47)))</f>
        <v>0</v>
      </c>
      <c r="K47">
        <f>SUMPRODUCT((MONTH(CHOOSE({1,2,3,4},HN!U47,HN!AA47,HN!AG47,HN!AM47))=11)*(CHOOSE({1,2,3,4},HN!X47,HN!AD47,HN!AJ47,HN!AP47)))</f>
        <v>0</v>
      </c>
      <c r="L47">
        <f>SUMPRODUCT((MONTH(CHOOSE({1,2,3,4},HN!U47,HN!AA47,HN!AG47,HN!AM47))=12)*(CHOOSE({1,2,3,4},HN!X47,HN!AD47,HN!AJ47,HN!AP47)))</f>
        <v>0</v>
      </c>
    </row>
    <row r="48" spans="1:12">
      <c r="A48">
        <f>SUMPRODUCT((MONTH(CHOOSE({1,2,3,4},HN!U48,HN!AA48,HN!AG48,HN!AM48))=1)*(CHOOSE({1,2,3,4},HN!X48,HN!AD48,HN!AJ48,HN!AP48)))</f>
        <v>0</v>
      </c>
      <c r="B48">
        <f>SUMPRODUCT((MONTH(CHOOSE({1,2,3,4},HN!U48,HN!AA48,HN!AG48,HN!AM48))=2)*(CHOOSE({1,2,3,4},HN!X48,HN!AD48,HN!AJ48,HN!AP48)))</f>
        <v>0</v>
      </c>
      <c r="C48">
        <f>SUMPRODUCT((MONTH(CHOOSE({1,2,3,4},HN!U48,HN!AA48,HN!AG48,HN!AM48))=3)*(CHOOSE({1,2,3,4},HN!X48,HN!AD48,HN!AJ48,HN!AP48)))</f>
        <v>0</v>
      </c>
      <c r="D48">
        <f>SUMPRODUCT((MONTH(CHOOSE({1,2,3,4},HN!U48,HN!AA48,HN!AG48,HN!AM48))=4)*(CHOOSE({1,2,3,4},HN!X48,HN!AD48,HN!AJ48,HN!AP48)))</f>
        <v>0</v>
      </c>
      <c r="E48">
        <f>SUMPRODUCT((MONTH(CHOOSE({1,2,3,4},HN!U48,HN!AA48,HN!AG48,HN!AM48))=5)*(CHOOSE({1,2,3,4},HN!X48,HN!AD48,HN!AJ48,HN!AP48)))</f>
        <v>0</v>
      </c>
      <c r="F48">
        <f>SUMPRODUCT((MONTH(CHOOSE({1,2,3,4},HN!U48,HN!AA48,HN!AG48,HN!AM48))=6)*(CHOOSE({1,2,3,4},HN!X48,HN!AD48,HN!AJ48,HN!AP48)))</f>
        <v>0</v>
      </c>
      <c r="G48">
        <f>SUMPRODUCT((MONTH(CHOOSE({1,2,3,4},HN!U48,HN!AA48,HN!AG48,HN!AM48))=7)*(CHOOSE({1,2,3,4},HN!X48,HN!AD48,HN!AJ48,HN!AP48)))</f>
        <v>0</v>
      </c>
      <c r="H48">
        <f>SUMPRODUCT((MONTH(CHOOSE({1,2,3,4},HN!U48,HN!AA48,HN!AG48,HN!AM48))=8)*(CHOOSE({1,2,3,4},HN!X48,HN!AD48,HN!AJ48,HN!AP48)))</f>
        <v>0</v>
      </c>
      <c r="I48">
        <f>SUMPRODUCT((MONTH(CHOOSE({1,2,3,4},HN!U48,HN!AA48,HN!AG48,HN!AM48))=9)*(CHOOSE({1,2,3,4},HN!X48,HN!AD48,HN!AJ48,HN!AP48)))</f>
        <v>0</v>
      </c>
      <c r="J48">
        <f>SUMPRODUCT((MONTH(CHOOSE({1,2,3,4},HN!U48,HN!AA48,HN!AG48,HN!AM48))=10)*(CHOOSE({1,2,3,4},HN!X48,HN!AD48,HN!AJ48,HN!AP48)))</f>
        <v>0</v>
      </c>
      <c r="K48">
        <f>SUMPRODUCT((MONTH(CHOOSE({1,2,3,4},HN!U48,HN!AA48,HN!AG48,HN!AM48))=11)*(CHOOSE({1,2,3,4},HN!X48,HN!AD48,HN!AJ48,HN!AP48)))</f>
        <v>0</v>
      </c>
      <c r="L48">
        <f>SUMPRODUCT((MONTH(CHOOSE({1,2,3,4},HN!U48,HN!AA48,HN!AG48,HN!AM48))=12)*(CHOOSE({1,2,3,4},HN!X48,HN!AD48,HN!AJ48,HN!AP48)))</f>
        <v>0</v>
      </c>
    </row>
    <row r="49" spans="1:12">
      <c r="A49">
        <f>SUMPRODUCT((MONTH(CHOOSE({1,2,3,4},HN!U49,HN!AA49,HN!AG49,HN!AM49))=1)*(CHOOSE({1,2,3,4},HN!X49,HN!AD49,HN!AJ49,HN!AP49)))</f>
        <v>0</v>
      </c>
      <c r="B49">
        <f>SUMPRODUCT((MONTH(CHOOSE({1,2,3,4},HN!U49,HN!AA49,HN!AG49,HN!AM49))=2)*(CHOOSE({1,2,3,4},HN!X49,HN!AD49,HN!AJ49,HN!AP49)))</f>
        <v>0</v>
      </c>
      <c r="C49">
        <f>SUMPRODUCT((MONTH(CHOOSE({1,2,3,4},HN!U49,HN!AA49,HN!AG49,HN!AM49))=3)*(CHOOSE({1,2,3,4},HN!X49,HN!AD49,HN!AJ49,HN!AP49)))</f>
        <v>0</v>
      </c>
      <c r="D49">
        <f>SUMPRODUCT((MONTH(CHOOSE({1,2,3,4},HN!U49,HN!AA49,HN!AG49,HN!AM49))=4)*(CHOOSE({1,2,3,4},HN!X49,HN!AD49,HN!AJ49,HN!AP49)))</f>
        <v>0</v>
      </c>
      <c r="E49">
        <f>SUMPRODUCT((MONTH(CHOOSE({1,2,3,4},HN!U49,HN!AA49,HN!AG49,HN!AM49))=5)*(CHOOSE({1,2,3,4},HN!X49,HN!AD49,HN!AJ49,HN!AP49)))</f>
        <v>0</v>
      </c>
      <c r="F49">
        <f>SUMPRODUCT((MONTH(CHOOSE({1,2,3,4},HN!U49,HN!AA49,HN!AG49,HN!AM49))=6)*(CHOOSE({1,2,3,4},HN!X49,HN!AD49,HN!AJ49,HN!AP49)))</f>
        <v>0</v>
      </c>
      <c r="G49">
        <f>SUMPRODUCT((MONTH(CHOOSE({1,2,3,4},HN!U49,HN!AA49,HN!AG49,HN!AM49))=7)*(CHOOSE({1,2,3,4},HN!X49,HN!AD49,HN!AJ49,HN!AP49)))</f>
        <v>0</v>
      </c>
      <c r="H49">
        <f>SUMPRODUCT((MONTH(CHOOSE({1,2,3,4},HN!U49,HN!AA49,HN!AG49,HN!AM49))=8)*(CHOOSE({1,2,3,4},HN!X49,HN!AD49,HN!AJ49,HN!AP49)))</f>
        <v>0</v>
      </c>
      <c r="I49">
        <f>SUMPRODUCT((MONTH(CHOOSE({1,2,3,4},HN!U49,HN!AA49,HN!AG49,HN!AM49))=9)*(CHOOSE({1,2,3,4},HN!X49,HN!AD49,HN!AJ49,HN!AP49)))</f>
        <v>0</v>
      </c>
      <c r="J49">
        <f>SUMPRODUCT((MONTH(CHOOSE({1,2,3,4},HN!U49,HN!AA49,HN!AG49,HN!AM49))=10)*(CHOOSE({1,2,3,4},HN!X49,HN!AD49,HN!AJ49,HN!AP49)))</f>
        <v>0</v>
      </c>
      <c r="K49">
        <f>SUMPRODUCT((MONTH(CHOOSE({1,2,3,4},HN!U49,HN!AA49,HN!AG49,HN!AM49))=11)*(CHOOSE({1,2,3,4},HN!X49,HN!AD49,HN!AJ49,HN!AP49)))</f>
        <v>0</v>
      </c>
      <c r="L49">
        <f>SUMPRODUCT((MONTH(CHOOSE({1,2,3,4},HN!U49,HN!AA49,HN!AG49,HN!AM49))=12)*(CHOOSE({1,2,3,4},HN!X49,HN!AD49,HN!AJ49,HN!AP49)))</f>
        <v>0</v>
      </c>
    </row>
    <row r="50" spans="1:12">
      <c r="A50">
        <f>SUMPRODUCT((MONTH(CHOOSE({1,2,3,4},HN!U50,HN!AA50,HN!AG50,HN!AM50))=1)*(CHOOSE({1,2,3,4},HN!X50,HN!AD50,HN!AJ50,HN!AP50)))</f>
        <v>0</v>
      </c>
      <c r="B50">
        <f>SUMPRODUCT((MONTH(CHOOSE({1,2,3,4},HN!U50,HN!AA50,HN!AG50,HN!AM50))=2)*(CHOOSE({1,2,3,4},HN!X50,HN!AD50,HN!AJ50,HN!AP50)))</f>
        <v>0</v>
      </c>
      <c r="C50">
        <f>SUMPRODUCT((MONTH(CHOOSE({1,2,3,4},HN!U50,HN!AA50,HN!AG50,HN!AM50))=3)*(CHOOSE({1,2,3,4},HN!X50,HN!AD50,HN!AJ50,HN!AP50)))</f>
        <v>0</v>
      </c>
      <c r="D50">
        <f>SUMPRODUCT((MONTH(CHOOSE({1,2,3,4},HN!U50,HN!AA50,HN!AG50,HN!AM50))=4)*(CHOOSE({1,2,3,4},HN!X50,HN!AD50,HN!AJ50,HN!AP50)))</f>
        <v>0</v>
      </c>
      <c r="E50">
        <f>SUMPRODUCT((MONTH(CHOOSE({1,2,3,4},HN!U50,HN!AA50,HN!AG50,HN!AM50))=5)*(CHOOSE({1,2,3,4},HN!X50,HN!AD50,HN!AJ50,HN!AP50)))</f>
        <v>0</v>
      </c>
      <c r="F50">
        <f>SUMPRODUCT((MONTH(CHOOSE({1,2,3,4},HN!U50,HN!AA50,HN!AG50,HN!AM50))=6)*(CHOOSE({1,2,3,4},HN!X50,HN!AD50,HN!AJ50,HN!AP50)))</f>
        <v>0</v>
      </c>
      <c r="G50">
        <f>SUMPRODUCT((MONTH(CHOOSE({1,2,3,4},HN!U50,HN!AA50,HN!AG50,HN!AM50))=7)*(CHOOSE({1,2,3,4},HN!X50,HN!AD50,HN!AJ50,HN!AP50)))</f>
        <v>0</v>
      </c>
      <c r="H50">
        <f>SUMPRODUCT((MONTH(CHOOSE({1,2,3,4},HN!U50,HN!AA50,HN!AG50,HN!AM50))=8)*(CHOOSE({1,2,3,4},HN!X50,HN!AD50,HN!AJ50,HN!AP50)))</f>
        <v>0</v>
      </c>
      <c r="I50">
        <f>SUMPRODUCT((MONTH(CHOOSE({1,2,3,4},HN!U50,HN!AA50,HN!AG50,HN!AM50))=9)*(CHOOSE({1,2,3,4},HN!X50,HN!AD50,HN!AJ50,HN!AP50)))</f>
        <v>0</v>
      </c>
      <c r="J50">
        <f>SUMPRODUCT((MONTH(CHOOSE({1,2,3,4},HN!U50,HN!AA50,HN!AG50,HN!AM50))=10)*(CHOOSE({1,2,3,4},HN!X50,HN!AD50,HN!AJ50,HN!AP50)))</f>
        <v>0</v>
      </c>
      <c r="K50">
        <f>SUMPRODUCT((MONTH(CHOOSE({1,2,3,4},HN!U50,HN!AA50,HN!AG50,HN!AM50))=11)*(CHOOSE({1,2,3,4},HN!X50,HN!AD50,HN!AJ50,HN!AP50)))</f>
        <v>0</v>
      </c>
      <c r="L50">
        <f>SUMPRODUCT((MONTH(CHOOSE({1,2,3,4},HN!U50,HN!AA50,HN!AG50,HN!AM50))=12)*(CHOOSE({1,2,3,4},HN!X50,HN!AD50,HN!AJ50,HN!AP50)))</f>
        <v>0</v>
      </c>
    </row>
    <row r="51" spans="1:12">
      <c r="A51">
        <f>SUMPRODUCT((MONTH(CHOOSE({1,2,3,4},HN!U51,HN!AA51,HN!AG51,HN!AM51))=1)*(CHOOSE({1,2,3,4},HN!X51,HN!AD51,HN!AJ51,HN!AP51)))</f>
        <v>0</v>
      </c>
      <c r="B51">
        <f>SUMPRODUCT((MONTH(CHOOSE({1,2,3,4},HN!U51,HN!AA51,HN!AG51,HN!AM51))=2)*(CHOOSE({1,2,3,4},HN!X51,HN!AD51,HN!AJ51,HN!AP51)))</f>
        <v>0</v>
      </c>
      <c r="C51">
        <f>SUMPRODUCT((MONTH(CHOOSE({1,2,3,4},HN!U51,HN!AA51,HN!AG51,HN!AM51))=3)*(CHOOSE({1,2,3,4},HN!X51,HN!AD51,HN!AJ51,HN!AP51)))</f>
        <v>0</v>
      </c>
      <c r="D51">
        <f>SUMPRODUCT((MONTH(CHOOSE({1,2,3,4},HN!U51,HN!AA51,HN!AG51,HN!AM51))=4)*(CHOOSE({1,2,3,4},HN!X51,HN!AD51,HN!AJ51,HN!AP51)))</f>
        <v>0</v>
      </c>
      <c r="E51">
        <f>SUMPRODUCT((MONTH(CHOOSE({1,2,3,4},HN!U51,HN!AA51,HN!AG51,HN!AM51))=5)*(CHOOSE({1,2,3,4},HN!X51,HN!AD51,HN!AJ51,HN!AP51)))</f>
        <v>0</v>
      </c>
      <c r="F51">
        <f>SUMPRODUCT((MONTH(CHOOSE({1,2,3,4},HN!U51,HN!AA51,HN!AG51,HN!AM51))=6)*(CHOOSE({1,2,3,4},HN!X51,HN!AD51,HN!AJ51,HN!AP51)))</f>
        <v>0</v>
      </c>
      <c r="G51">
        <f>SUMPRODUCT((MONTH(CHOOSE({1,2,3,4},HN!U51,HN!AA51,HN!AG51,HN!AM51))=7)*(CHOOSE({1,2,3,4},HN!X51,HN!AD51,HN!AJ51,HN!AP51)))</f>
        <v>0</v>
      </c>
      <c r="H51">
        <f>SUMPRODUCT((MONTH(CHOOSE({1,2,3,4},HN!U51,HN!AA51,HN!AG51,HN!AM51))=8)*(CHOOSE({1,2,3,4},HN!X51,HN!AD51,HN!AJ51,HN!AP51)))</f>
        <v>0</v>
      </c>
      <c r="I51">
        <f>SUMPRODUCT((MONTH(CHOOSE({1,2,3,4},HN!U51,HN!AA51,HN!AG51,HN!AM51))=9)*(CHOOSE({1,2,3,4},HN!X51,HN!AD51,HN!AJ51,HN!AP51)))</f>
        <v>0</v>
      </c>
      <c r="J51">
        <f>SUMPRODUCT((MONTH(CHOOSE({1,2,3,4},HN!U51,HN!AA51,HN!AG51,HN!AM51))=10)*(CHOOSE({1,2,3,4},HN!X51,HN!AD51,HN!AJ51,HN!AP51)))</f>
        <v>0</v>
      </c>
      <c r="K51">
        <f>SUMPRODUCT((MONTH(CHOOSE({1,2,3,4},HN!U51,HN!AA51,HN!AG51,HN!AM51))=11)*(CHOOSE({1,2,3,4},HN!X51,HN!AD51,HN!AJ51,HN!AP51)))</f>
        <v>0</v>
      </c>
      <c r="L51">
        <f>SUMPRODUCT((MONTH(CHOOSE({1,2,3,4},HN!U51,HN!AA51,HN!AG51,HN!AM51))=12)*(CHOOSE({1,2,3,4},HN!X51,HN!AD51,HN!AJ51,HN!AP51)))</f>
        <v>0</v>
      </c>
    </row>
    <row r="52" spans="1:12">
      <c r="A52">
        <f>SUMPRODUCT((MONTH(CHOOSE({1,2,3,4},HN!U52,HN!AA52,HN!AG52,HN!AM52))=1)*(CHOOSE({1,2,3,4},HN!X52,HN!AD52,HN!AJ52,HN!AP52)))</f>
        <v>0</v>
      </c>
      <c r="B52">
        <f>SUMPRODUCT((MONTH(CHOOSE({1,2,3,4},HN!U52,HN!AA52,HN!AG52,HN!AM52))=2)*(CHOOSE({1,2,3,4},HN!X52,HN!AD52,HN!AJ52,HN!AP52)))</f>
        <v>0</v>
      </c>
      <c r="C52">
        <f>SUMPRODUCT((MONTH(CHOOSE({1,2,3,4},HN!U52,HN!AA52,HN!AG52,HN!AM52))=3)*(CHOOSE({1,2,3,4},HN!X52,HN!AD52,HN!AJ52,HN!AP52)))</f>
        <v>0</v>
      </c>
      <c r="D52">
        <f>SUMPRODUCT((MONTH(CHOOSE({1,2,3,4},HN!U52,HN!AA52,HN!AG52,HN!AM52))=4)*(CHOOSE({1,2,3,4},HN!X52,HN!AD52,HN!AJ52,HN!AP52)))</f>
        <v>0</v>
      </c>
      <c r="E52">
        <f>SUMPRODUCT((MONTH(CHOOSE({1,2,3,4},HN!U52,HN!AA52,HN!AG52,HN!AM52))=5)*(CHOOSE({1,2,3,4},HN!X52,HN!AD52,HN!AJ52,HN!AP52)))</f>
        <v>0</v>
      </c>
      <c r="F52">
        <f>SUMPRODUCT((MONTH(CHOOSE({1,2,3,4},HN!U52,HN!AA52,HN!AG52,HN!AM52))=6)*(CHOOSE({1,2,3,4},HN!X52,HN!AD52,HN!AJ52,HN!AP52)))</f>
        <v>0</v>
      </c>
      <c r="G52">
        <f>SUMPRODUCT((MONTH(CHOOSE({1,2,3,4},HN!U52,HN!AA52,HN!AG52,HN!AM52))=7)*(CHOOSE({1,2,3,4},HN!X52,HN!AD52,HN!AJ52,HN!AP52)))</f>
        <v>0</v>
      </c>
      <c r="H52">
        <f>SUMPRODUCT((MONTH(CHOOSE({1,2,3,4},HN!U52,HN!AA52,HN!AG52,HN!AM52))=8)*(CHOOSE({1,2,3,4},HN!X52,HN!AD52,HN!AJ52,HN!AP52)))</f>
        <v>0</v>
      </c>
      <c r="I52">
        <f>SUMPRODUCT((MONTH(CHOOSE({1,2,3,4},HN!U52,HN!AA52,HN!AG52,HN!AM52))=9)*(CHOOSE({1,2,3,4},HN!X52,HN!AD52,HN!AJ52,HN!AP52)))</f>
        <v>0</v>
      </c>
      <c r="J52">
        <f>SUMPRODUCT((MONTH(CHOOSE({1,2,3,4},HN!U52,HN!AA52,HN!AG52,HN!AM52))=10)*(CHOOSE({1,2,3,4},HN!X52,HN!AD52,HN!AJ52,HN!AP52)))</f>
        <v>0</v>
      </c>
      <c r="K52">
        <f>SUMPRODUCT((MONTH(CHOOSE({1,2,3,4},HN!U52,HN!AA52,HN!AG52,HN!AM52))=11)*(CHOOSE({1,2,3,4},HN!X52,HN!AD52,HN!AJ52,HN!AP52)))</f>
        <v>0</v>
      </c>
      <c r="L52">
        <f>SUMPRODUCT((MONTH(CHOOSE({1,2,3,4},HN!U52,HN!AA52,HN!AG52,HN!AM52))=12)*(CHOOSE({1,2,3,4},HN!X52,HN!AD52,HN!AJ52,HN!AP52)))</f>
        <v>0</v>
      </c>
    </row>
    <row r="53" spans="1:12">
      <c r="A53">
        <f>SUMPRODUCT((MONTH(CHOOSE({1,2,3,4},HN!U53,HN!AA53,HN!AG53,HN!AM53))=1)*(CHOOSE({1,2,3,4},HN!X53,HN!AD53,HN!AJ53,HN!AP53)))</f>
        <v>0</v>
      </c>
      <c r="B53">
        <f>SUMPRODUCT((MONTH(CHOOSE({1,2,3,4},HN!U53,HN!AA53,HN!AG53,HN!AM53))=2)*(CHOOSE({1,2,3,4},HN!X53,HN!AD53,HN!AJ53,HN!AP53)))</f>
        <v>0</v>
      </c>
      <c r="C53">
        <f>SUMPRODUCT((MONTH(CHOOSE({1,2,3,4},HN!U53,HN!AA53,HN!AG53,HN!AM53))=3)*(CHOOSE({1,2,3,4},HN!X53,HN!AD53,HN!AJ53,HN!AP53)))</f>
        <v>0</v>
      </c>
      <c r="D53">
        <f>SUMPRODUCT((MONTH(CHOOSE({1,2,3,4},HN!U53,HN!AA53,HN!AG53,HN!AM53))=4)*(CHOOSE({1,2,3,4},HN!X53,HN!AD53,HN!AJ53,HN!AP53)))</f>
        <v>0</v>
      </c>
      <c r="E53">
        <f>SUMPRODUCT((MONTH(CHOOSE({1,2,3,4},HN!U53,HN!AA53,HN!AG53,HN!AM53))=5)*(CHOOSE({1,2,3,4},HN!X53,HN!AD53,HN!AJ53,HN!AP53)))</f>
        <v>0</v>
      </c>
      <c r="F53">
        <f>SUMPRODUCT((MONTH(CHOOSE({1,2,3,4},HN!U53,HN!AA53,HN!AG53,HN!AM53))=6)*(CHOOSE({1,2,3,4},HN!X53,HN!AD53,HN!AJ53,HN!AP53)))</f>
        <v>0</v>
      </c>
      <c r="G53">
        <f>SUMPRODUCT((MONTH(CHOOSE({1,2,3,4},HN!U53,HN!AA53,HN!AG53,HN!AM53))=7)*(CHOOSE({1,2,3,4},HN!X53,HN!AD53,HN!AJ53,HN!AP53)))</f>
        <v>0</v>
      </c>
      <c r="H53">
        <f>SUMPRODUCT((MONTH(CHOOSE({1,2,3,4},HN!U53,HN!AA53,HN!AG53,HN!AM53))=8)*(CHOOSE({1,2,3,4},HN!X53,HN!AD53,HN!AJ53,HN!AP53)))</f>
        <v>0</v>
      </c>
      <c r="I53">
        <f>SUMPRODUCT((MONTH(CHOOSE({1,2,3,4},HN!U53,HN!AA53,HN!AG53,HN!AM53))=9)*(CHOOSE({1,2,3,4},HN!X53,HN!AD53,HN!AJ53,HN!AP53)))</f>
        <v>0</v>
      </c>
      <c r="J53">
        <f>SUMPRODUCT((MONTH(CHOOSE({1,2,3,4},HN!U53,HN!AA53,HN!AG53,HN!AM53))=10)*(CHOOSE({1,2,3,4},HN!X53,HN!AD53,HN!AJ53,HN!AP53)))</f>
        <v>0</v>
      </c>
      <c r="K53">
        <f>SUMPRODUCT((MONTH(CHOOSE({1,2,3,4},HN!U53,HN!AA53,HN!AG53,HN!AM53))=11)*(CHOOSE({1,2,3,4},HN!X53,HN!AD53,HN!AJ53,HN!AP53)))</f>
        <v>0</v>
      </c>
      <c r="L53">
        <f>SUMPRODUCT((MONTH(CHOOSE({1,2,3,4},HN!U53,HN!AA53,HN!AG53,HN!AM53))=12)*(CHOOSE({1,2,3,4},HN!X53,HN!AD53,HN!AJ53,HN!AP53)))</f>
        <v>0</v>
      </c>
    </row>
    <row r="54" spans="1:12">
      <c r="A54">
        <f>SUMPRODUCT((MONTH(CHOOSE({1,2,3,4},HN!U54,HN!AA54,HN!AG54,HN!AM54))=1)*(CHOOSE({1,2,3,4},HN!X54,HN!AD54,HN!AJ54,HN!AP54)))</f>
        <v>0</v>
      </c>
      <c r="B54">
        <f>SUMPRODUCT((MONTH(CHOOSE({1,2,3,4},HN!U54,HN!AA54,HN!AG54,HN!AM54))=2)*(CHOOSE({1,2,3,4},HN!X54,HN!AD54,HN!AJ54,HN!AP54)))</f>
        <v>0</v>
      </c>
      <c r="C54">
        <f>SUMPRODUCT((MONTH(CHOOSE({1,2,3,4},HN!U54,HN!AA54,HN!AG54,HN!AM54))=3)*(CHOOSE({1,2,3,4},HN!X54,HN!AD54,HN!AJ54,HN!AP54)))</f>
        <v>0</v>
      </c>
      <c r="D54">
        <f>SUMPRODUCT((MONTH(CHOOSE({1,2,3,4},HN!U54,HN!AA54,HN!AG54,HN!AM54))=4)*(CHOOSE({1,2,3,4},HN!X54,HN!AD54,HN!AJ54,HN!AP54)))</f>
        <v>0</v>
      </c>
      <c r="E54">
        <f>SUMPRODUCT((MONTH(CHOOSE({1,2,3,4},HN!U54,HN!AA54,HN!AG54,HN!AM54))=5)*(CHOOSE({1,2,3,4},HN!X54,HN!AD54,HN!AJ54,HN!AP54)))</f>
        <v>0</v>
      </c>
      <c r="F54">
        <f>SUMPRODUCT((MONTH(CHOOSE({1,2,3,4},HN!U54,HN!AA54,HN!AG54,HN!AM54))=6)*(CHOOSE({1,2,3,4},HN!X54,HN!AD54,HN!AJ54,HN!AP54)))</f>
        <v>0</v>
      </c>
      <c r="G54">
        <f>SUMPRODUCT((MONTH(CHOOSE({1,2,3,4},HN!U54,HN!AA54,HN!AG54,HN!AM54))=7)*(CHOOSE({1,2,3,4},HN!X54,HN!AD54,HN!AJ54,HN!AP54)))</f>
        <v>0</v>
      </c>
      <c r="H54">
        <f>SUMPRODUCT((MONTH(CHOOSE({1,2,3,4},HN!U54,HN!AA54,HN!AG54,HN!AM54))=8)*(CHOOSE({1,2,3,4},HN!X54,HN!AD54,HN!AJ54,HN!AP54)))</f>
        <v>0</v>
      </c>
      <c r="I54">
        <f>SUMPRODUCT((MONTH(CHOOSE({1,2,3,4},HN!U54,HN!AA54,HN!AG54,HN!AM54))=9)*(CHOOSE({1,2,3,4},HN!X54,HN!AD54,HN!AJ54,HN!AP54)))</f>
        <v>0</v>
      </c>
      <c r="J54">
        <f>SUMPRODUCT((MONTH(CHOOSE({1,2,3,4},HN!U54,HN!AA54,HN!AG54,HN!AM54))=10)*(CHOOSE({1,2,3,4},HN!X54,HN!AD54,HN!AJ54,HN!AP54)))</f>
        <v>0</v>
      </c>
      <c r="K54">
        <f>SUMPRODUCT((MONTH(CHOOSE({1,2,3,4},HN!U54,HN!AA54,HN!AG54,HN!AM54))=11)*(CHOOSE({1,2,3,4},HN!X54,HN!AD54,HN!AJ54,HN!AP54)))</f>
        <v>0</v>
      </c>
      <c r="L54">
        <f>SUMPRODUCT((MONTH(CHOOSE({1,2,3,4},HN!U54,HN!AA54,HN!AG54,HN!AM54))=12)*(CHOOSE({1,2,3,4},HN!X54,HN!AD54,HN!AJ54,HN!AP54)))</f>
        <v>0</v>
      </c>
    </row>
    <row r="55" spans="1:12">
      <c r="A55">
        <f>SUMPRODUCT((MONTH(CHOOSE({1,2,3,4},HN!U55,HN!AA55,HN!AG55,HN!AM55))=1)*(CHOOSE({1,2,3,4},HN!X55,HN!AD55,HN!AJ55,HN!AP55)))</f>
        <v>0</v>
      </c>
      <c r="B55">
        <f>SUMPRODUCT((MONTH(CHOOSE({1,2,3,4},HN!U55,HN!AA55,HN!AG55,HN!AM55))=2)*(CHOOSE({1,2,3,4},HN!X55,HN!AD55,HN!AJ55,HN!AP55)))</f>
        <v>0</v>
      </c>
      <c r="C55">
        <f>SUMPRODUCT((MONTH(CHOOSE({1,2,3,4},HN!U55,HN!AA55,HN!AG55,HN!AM55))=3)*(CHOOSE({1,2,3,4},HN!X55,HN!AD55,HN!AJ55,HN!AP55)))</f>
        <v>0</v>
      </c>
      <c r="D55">
        <f>SUMPRODUCT((MONTH(CHOOSE({1,2,3,4},HN!U55,HN!AA55,HN!AG55,HN!AM55))=4)*(CHOOSE({1,2,3,4},HN!X55,HN!AD55,HN!AJ55,HN!AP55)))</f>
        <v>0</v>
      </c>
      <c r="E55">
        <f>SUMPRODUCT((MONTH(CHOOSE({1,2,3,4},HN!U55,HN!AA55,HN!AG55,HN!AM55))=5)*(CHOOSE({1,2,3,4},HN!X55,HN!AD55,HN!AJ55,HN!AP55)))</f>
        <v>0</v>
      </c>
      <c r="F55">
        <f>SUMPRODUCT((MONTH(CHOOSE({1,2,3,4},HN!U55,HN!AA55,HN!AG55,HN!AM55))=6)*(CHOOSE({1,2,3,4},HN!X55,HN!AD55,HN!AJ55,HN!AP55)))</f>
        <v>0</v>
      </c>
      <c r="G55">
        <f>SUMPRODUCT((MONTH(CHOOSE({1,2,3,4},HN!U55,HN!AA55,HN!AG55,HN!AM55))=7)*(CHOOSE({1,2,3,4},HN!X55,HN!AD55,HN!AJ55,HN!AP55)))</f>
        <v>0</v>
      </c>
      <c r="H55">
        <f>SUMPRODUCT((MONTH(CHOOSE({1,2,3,4},HN!U55,HN!AA55,HN!AG55,HN!AM55))=8)*(CHOOSE({1,2,3,4},HN!X55,HN!AD55,HN!AJ55,HN!AP55)))</f>
        <v>0</v>
      </c>
      <c r="I55">
        <f>SUMPRODUCT((MONTH(CHOOSE({1,2,3,4},HN!U55,HN!AA55,HN!AG55,HN!AM55))=9)*(CHOOSE({1,2,3,4},HN!X55,HN!AD55,HN!AJ55,HN!AP55)))</f>
        <v>0</v>
      </c>
      <c r="J55">
        <f>SUMPRODUCT((MONTH(CHOOSE({1,2,3,4},HN!U55,HN!AA55,HN!AG55,HN!AM55))=10)*(CHOOSE({1,2,3,4},HN!X55,HN!AD55,HN!AJ55,HN!AP55)))</f>
        <v>0</v>
      </c>
      <c r="K55">
        <f>SUMPRODUCT((MONTH(CHOOSE({1,2,3,4},HN!U55,HN!AA55,HN!AG55,HN!AM55))=11)*(CHOOSE({1,2,3,4},HN!X55,HN!AD55,HN!AJ55,HN!AP55)))</f>
        <v>0</v>
      </c>
      <c r="L55">
        <f>SUMPRODUCT((MONTH(CHOOSE({1,2,3,4},HN!U55,HN!AA55,HN!AG55,HN!AM55))=12)*(CHOOSE({1,2,3,4},HN!X55,HN!AD55,HN!AJ55,HN!AP55)))</f>
        <v>0</v>
      </c>
    </row>
    <row r="56" spans="1:12">
      <c r="A56">
        <f>SUMPRODUCT((MONTH(CHOOSE({1,2,3,4},HN!U56,HN!AA56,HN!AG56,HN!AM56))=1)*(CHOOSE({1,2,3,4},HN!X56,HN!AD56,HN!AJ56,HN!AP56)))</f>
        <v>0</v>
      </c>
      <c r="B56">
        <f>SUMPRODUCT((MONTH(CHOOSE({1,2,3,4},HN!U56,HN!AA56,HN!AG56,HN!AM56))=2)*(CHOOSE({1,2,3,4},HN!X56,HN!AD56,HN!AJ56,HN!AP56)))</f>
        <v>0</v>
      </c>
      <c r="C56">
        <f>SUMPRODUCT((MONTH(CHOOSE({1,2,3,4},HN!U56,HN!AA56,HN!AG56,HN!AM56))=3)*(CHOOSE({1,2,3,4},HN!X56,HN!AD56,HN!AJ56,HN!AP56)))</f>
        <v>0</v>
      </c>
      <c r="D56">
        <f>SUMPRODUCT((MONTH(CHOOSE({1,2,3,4},HN!U56,HN!AA56,HN!AG56,HN!AM56))=4)*(CHOOSE({1,2,3,4},HN!X56,HN!AD56,HN!AJ56,HN!AP56)))</f>
        <v>0</v>
      </c>
      <c r="E56">
        <f>SUMPRODUCT((MONTH(CHOOSE({1,2,3,4},HN!U56,HN!AA56,HN!AG56,HN!AM56))=5)*(CHOOSE({1,2,3,4},HN!X56,HN!AD56,HN!AJ56,HN!AP56)))</f>
        <v>0</v>
      </c>
      <c r="F56">
        <f>SUMPRODUCT((MONTH(CHOOSE({1,2,3,4},HN!U56,HN!AA56,HN!AG56,HN!AM56))=6)*(CHOOSE({1,2,3,4},HN!X56,HN!AD56,HN!AJ56,HN!AP56)))</f>
        <v>0</v>
      </c>
      <c r="G56">
        <f>SUMPRODUCT((MONTH(CHOOSE({1,2,3,4},HN!U56,HN!AA56,HN!AG56,HN!AM56))=7)*(CHOOSE({1,2,3,4},HN!X56,HN!AD56,HN!AJ56,HN!AP56)))</f>
        <v>0</v>
      </c>
      <c r="H56">
        <f>SUMPRODUCT((MONTH(CHOOSE({1,2,3,4},HN!U56,HN!AA56,HN!AG56,HN!AM56))=8)*(CHOOSE({1,2,3,4},HN!X56,HN!AD56,HN!AJ56,HN!AP56)))</f>
        <v>0</v>
      </c>
      <c r="I56">
        <f>SUMPRODUCT((MONTH(CHOOSE({1,2,3,4},HN!U56,HN!AA56,HN!AG56,HN!AM56))=9)*(CHOOSE({1,2,3,4},HN!X56,HN!AD56,HN!AJ56,HN!AP56)))</f>
        <v>0</v>
      </c>
      <c r="J56">
        <f>SUMPRODUCT((MONTH(CHOOSE({1,2,3,4},HN!U56,HN!AA56,HN!AG56,HN!AM56))=10)*(CHOOSE({1,2,3,4},HN!X56,HN!AD56,HN!AJ56,HN!AP56)))</f>
        <v>0</v>
      </c>
      <c r="K56">
        <f>SUMPRODUCT((MONTH(CHOOSE({1,2,3,4},HN!U56,HN!AA56,HN!AG56,HN!AM56))=11)*(CHOOSE({1,2,3,4},HN!X56,HN!AD56,HN!AJ56,HN!AP56)))</f>
        <v>0</v>
      </c>
      <c r="L56">
        <f>SUMPRODUCT((MONTH(CHOOSE({1,2,3,4},HN!U56,HN!AA56,HN!AG56,HN!AM56))=12)*(CHOOSE({1,2,3,4},HN!X56,HN!AD56,HN!AJ56,HN!AP56)))</f>
        <v>0</v>
      </c>
    </row>
    <row r="57" spans="1:12">
      <c r="A57">
        <f>SUMPRODUCT((MONTH(CHOOSE({1,2,3,4},HN!U57,HN!AA57,HN!AG57,HN!AM57))=1)*(CHOOSE({1,2,3,4},HN!X57,HN!AD57,HN!AJ57,HN!AP57)))</f>
        <v>0</v>
      </c>
      <c r="B57">
        <f>SUMPRODUCT((MONTH(CHOOSE({1,2,3,4},HN!U57,HN!AA57,HN!AG57,HN!AM57))=2)*(CHOOSE({1,2,3,4},HN!X57,HN!AD57,HN!AJ57,HN!AP57)))</f>
        <v>0</v>
      </c>
      <c r="C57">
        <f>SUMPRODUCT((MONTH(CHOOSE({1,2,3,4},HN!U57,HN!AA57,HN!AG57,HN!AM57))=3)*(CHOOSE({1,2,3,4},HN!X57,HN!AD57,HN!AJ57,HN!AP57)))</f>
        <v>0</v>
      </c>
      <c r="D57">
        <f>SUMPRODUCT((MONTH(CHOOSE({1,2,3,4},HN!U57,HN!AA57,HN!AG57,HN!AM57))=4)*(CHOOSE({1,2,3,4},HN!X57,HN!AD57,HN!AJ57,HN!AP57)))</f>
        <v>0</v>
      </c>
      <c r="E57">
        <f>SUMPRODUCT((MONTH(CHOOSE({1,2,3,4},HN!U57,HN!AA57,HN!AG57,HN!AM57))=5)*(CHOOSE({1,2,3,4},HN!X57,HN!AD57,HN!AJ57,HN!AP57)))</f>
        <v>0</v>
      </c>
      <c r="F57">
        <f>SUMPRODUCT((MONTH(CHOOSE({1,2,3,4},HN!U57,HN!AA57,HN!AG57,HN!AM57))=6)*(CHOOSE({1,2,3,4},HN!X57,HN!AD57,HN!AJ57,HN!AP57)))</f>
        <v>0</v>
      </c>
      <c r="G57">
        <f>SUMPRODUCT((MONTH(CHOOSE({1,2,3,4},HN!U57,HN!AA57,HN!AG57,HN!AM57))=7)*(CHOOSE({1,2,3,4},HN!X57,HN!AD57,HN!AJ57,HN!AP57)))</f>
        <v>0</v>
      </c>
      <c r="H57">
        <f>SUMPRODUCT((MONTH(CHOOSE({1,2,3,4},HN!U57,HN!AA57,HN!AG57,HN!AM57))=8)*(CHOOSE({1,2,3,4},HN!X57,HN!AD57,HN!AJ57,HN!AP57)))</f>
        <v>0</v>
      </c>
      <c r="I57">
        <f>SUMPRODUCT((MONTH(CHOOSE({1,2,3,4},HN!U57,HN!AA57,HN!AG57,HN!AM57))=9)*(CHOOSE({1,2,3,4},HN!X57,HN!AD57,HN!AJ57,HN!AP57)))</f>
        <v>0</v>
      </c>
      <c r="J57">
        <f>SUMPRODUCT((MONTH(CHOOSE({1,2,3,4},HN!U57,HN!AA57,HN!AG57,HN!AM57))=10)*(CHOOSE({1,2,3,4},HN!X57,HN!AD57,HN!AJ57,HN!AP57)))</f>
        <v>0</v>
      </c>
      <c r="K57">
        <f>SUMPRODUCT((MONTH(CHOOSE({1,2,3,4},HN!U57,HN!AA57,HN!AG57,HN!AM57))=11)*(CHOOSE({1,2,3,4},HN!X57,HN!AD57,HN!AJ57,HN!AP57)))</f>
        <v>0</v>
      </c>
      <c r="L57">
        <f>SUMPRODUCT((MONTH(CHOOSE({1,2,3,4},HN!U57,HN!AA57,HN!AG57,HN!AM57))=12)*(CHOOSE({1,2,3,4},HN!X57,HN!AD57,HN!AJ57,HN!AP57)))</f>
        <v>0</v>
      </c>
    </row>
    <row r="58" spans="1:12">
      <c r="A58">
        <f>SUMPRODUCT((MONTH(CHOOSE({1,2,3,4},HN!U58,HN!AA58,HN!AG58,HN!AM58))=1)*(CHOOSE({1,2,3,4},HN!X58,HN!AD58,HN!AJ58,HN!AP58)))</f>
        <v>0</v>
      </c>
      <c r="B58">
        <f>SUMPRODUCT((MONTH(CHOOSE({1,2,3,4},HN!U58,HN!AA58,HN!AG58,HN!AM58))=2)*(CHOOSE({1,2,3,4},HN!X58,HN!AD58,HN!AJ58,HN!AP58)))</f>
        <v>0</v>
      </c>
      <c r="C58">
        <f>SUMPRODUCT((MONTH(CHOOSE({1,2,3,4},HN!U58,HN!AA58,HN!AG58,HN!AM58))=3)*(CHOOSE({1,2,3,4},HN!X58,HN!AD58,HN!AJ58,HN!AP58)))</f>
        <v>0</v>
      </c>
      <c r="D58">
        <f>SUMPRODUCT((MONTH(CHOOSE({1,2,3,4},HN!U58,HN!AA58,HN!AG58,HN!AM58))=4)*(CHOOSE({1,2,3,4},HN!X58,HN!AD58,HN!AJ58,HN!AP58)))</f>
        <v>0</v>
      </c>
      <c r="E58">
        <f>SUMPRODUCT((MONTH(CHOOSE({1,2,3,4},HN!U58,HN!AA58,HN!AG58,HN!AM58))=5)*(CHOOSE({1,2,3,4},HN!X58,HN!AD58,HN!AJ58,HN!AP58)))</f>
        <v>0</v>
      </c>
      <c r="F58">
        <f>SUMPRODUCT((MONTH(CHOOSE({1,2,3,4},HN!U58,HN!AA58,HN!AG58,HN!AM58))=6)*(CHOOSE({1,2,3,4},HN!X58,HN!AD58,HN!AJ58,HN!AP58)))</f>
        <v>0</v>
      </c>
      <c r="G58">
        <f>SUMPRODUCT((MONTH(CHOOSE({1,2,3,4},HN!U58,HN!AA58,HN!AG58,HN!AM58))=7)*(CHOOSE({1,2,3,4},HN!X58,HN!AD58,HN!AJ58,HN!AP58)))</f>
        <v>0</v>
      </c>
      <c r="H58">
        <f>SUMPRODUCT((MONTH(CHOOSE({1,2,3,4},HN!U58,HN!AA58,HN!AG58,HN!AM58))=8)*(CHOOSE({1,2,3,4},HN!X58,HN!AD58,HN!AJ58,HN!AP58)))</f>
        <v>0</v>
      </c>
      <c r="I58">
        <f>SUMPRODUCT((MONTH(CHOOSE({1,2,3,4},HN!U58,HN!AA58,HN!AG58,HN!AM58))=9)*(CHOOSE({1,2,3,4},HN!X58,HN!AD58,HN!AJ58,HN!AP58)))</f>
        <v>0</v>
      </c>
      <c r="J58">
        <f>SUMPRODUCT((MONTH(CHOOSE({1,2,3,4},HN!U58,HN!AA58,HN!AG58,HN!AM58))=10)*(CHOOSE({1,2,3,4},HN!X58,HN!AD58,HN!AJ58,HN!AP58)))</f>
        <v>0</v>
      </c>
      <c r="K58">
        <f>SUMPRODUCT((MONTH(CHOOSE({1,2,3,4},HN!U58,HN!AA58,HN!AG58,HN!AM58))=11)*(CHOOSE({1,2,3,4},HN!X58,HN!AD58,HN!AJ58,HN!AP58)))</f>
        <v>0</v>
      </c>
      <c r="L58">
        <f>SUMPRODUCT((MONTH(CHOOSE({1,2,3,4},HN!U58,HN!AA58,HN!AG58,HN!AM58))=12)*(CHOOSE({1,2,3,4},HN!X58,HN!AD58,HN!AJ58,HN!AP58)))</f>
        <v>0</v>
      </c>
    </row>
    <row r="59" spans="1:12">
      <c r="A59">
        <f>SUMPRODUCT((MONTH(CHOOSE({1,2,3,4},HN!U59,HN!AA59,HN!AG59,HN!AM59))=1)*(CHOOSE({1,2,3,4},HN!X59,HN!AD59,HN!AJ59,HN!AP59)))</f>
        <v>0</v>
      </c>
      <c r="B59">
        <f>SUMPRODUCT((MONTH(CHOOSE({1,2,3,4},HN!U59,HN!AA59,HN!AG59,HN!AM59))=2)*(CHOOSE({1,2,3,4},HN!X59,HN!AD59,HN!AJ59,HN!AP59)))</f>
        <v>0</v>
      </c>
      <c r="C59">
        <f>SUMPRODUCT((MONTH(CHOOSE({1,2,3,4},HN!U59,HN!AA59,HN!AG59,HN!AM59))=3)*(CHOOSE({1,2,3,4},HN!X59,HN!AD59,HN!AJ59,HN!AP59)))</f>
        <v>0</v>
      </c>
      <c r="D59">
        <f>SUMPRODUCT((MONTH(CHOOSE({1,2,3,4},HN!U59,HN!AA59,HN!AG59,HN!AM59))=4)*(CHOOSE({1,2,3,4},HN!X59,HN!AD59,HN!AJ59,HN!AP59)))</f>
        <v>0</v>
      </c>
      <c r="E59">
        <f>SUMPRODUCT((MONTH(CHOOSE({1,2,3,4},HN!U59,HN!AA59,HN!AG59,HN!AM59))=5)*(CHOOSE({1,2,3,4},HN!X59,HN!AD59,HN!AJ59,HN!AP59)))</f>
        <v>0</v>
      </c>
      <c r="F59">
        <f>SUMPRODUCT((MONTH(CHOOSE({1,2,3,4},HN!U59,HN!AA59,HN!AG59,HN!AM59))=6)*(CHOOSE({1,2,3,4},HN!X59,HN!AD59,HN!AJ59,HN!AP59)))</f>
        <v>0</v>
      </c>
      <c r="G59">
        <f>SUMPRODUCT((MONTH(CHOOSE({1,2,3,4},HN!U59,HN!AA59,HN!AG59,HN!AM59))=7)*(CHOOSE({1,2,3,4},HN!X59,HN!AD59,HN!AJ59,HN!AP59)))</f>
        <v>0</v>
      </c>
      <c r="H59">
        <f>SUMPRODUCT((MONTH(CHOOSE({1,2,3,4},HN!U59,HN!AA59,HN!AG59,HN!AM59))=8)*(CHOOSE({1,2,3,4},HN!X59,HN!AD59,HN!AJ59,HN!AP59)))</f>
        <v>0</v>
      </c>
      <c r="I59">
        <f>SUMPRODUCT((MONTH(CHOOSE({1,2,3,4},HN!U59,HN!AA59,HN!AG59,HN!AM59))=9)*(CHOOSE({1,2,3,4},HN!X59,HN!AD59,HN!AJ59,HN!AP59)))</f>
        <v>0</v>
      </c>
      <c r="J59">
        <f>SUMPRODUCT((MONTH(CHOOSE({1,2,3,4},HN!U59,HN!AA59,HN!AG59,HN!AM59))=10)*(CHOOSE({1,2,3,4},HN!X59,HN!AD59,HN!AJ59,HN!AP59)))</f>
        <v>0</v>
      </c>
      <c r="K59">
        <f>SUMPRODUCT((MONTH(CHOOSE({1,2,3,4},HN!U59,HN!AA59,HN!AG59,HN!AM59))=11)*(CHOOSE({1,2,3,4},HN!X59,HN!AD59,HN!AJ59,HN!AP59)))</f>
        <v>0</v>
      </c>
      <c r="L59">
        <f>SUMPRODUCT((MONTH(CHOOSE({1,2,3,4},HN!U59,HN!AA59,HN!AG59,HN!AM59))=12)*(CHOOSE({1,2,3,4},HN!X59,HN!AD59,HN!AJ59,HN!AP59)))</f>
        <v>0</v>
      </c>
    </row>
    <row r="60" spans="1:12">
      <c r="A60">
        <f>SUMPRODUCT((MONTH(CHOOSE({1,2,3,4},HN!U60,HN!AA60,HN!AG60,HN!AM60))=1)*(CHOOSE({1,2,3,4},HN!X60,HN!AD60,HN!AJ60,HN!AP60)))</f>
        <v>0</v>
      </c>
      <c r="B60">
        <f>SUMPRODUCT((MONTH(CHOOSE({1,2,3,4},HN!U60,HN!AA60,HN!AG60,HN!AM60))=2)*(CHOOSE({1,2,3,4},HN!X60,HN!AD60,HN!AJ60,HN!AP60)))</f>
        <v>0</v>
      </c>
      <c r="C60">
        <f>SUMPRODUCT((MONTH(CHOOSE({1,2,3,4},HN!U60,HN!AA60,HN!AG60,HN!AM60))=3)*(CHOOSE({1,2,3,4},HN!X60,HN!AD60,HN!AJ60,HN!AP60)))</f>
        <v>0</v>
      </c>
      <c r="D60">
        <f>SUMPRODUCT((MONTH(CHOOSE({1,2,3,4},HN!U60,HN!AA60,HN!AG60,HN!AM60))=4)*(CHOOSE({1,2,3,4},HN!X60,HN!AD60,HN!AJ60,HN!AP60)))</f>
        <v>0</v>
      </c>
      <c r="E60">
        <f>SUMPRODUCT((MONTH(CHOOSE({1,2,3,4},HN!U60,HN!AA60,HN!AG60,HN!AM60))=5)*(CHOOSE({1,2,3,4},HN!X60,HN!AD60,HN!AJ60,HN!AP60)))</f>
        <v>0</v>
      </c>
      <c r="F60">
        <f>SUMPRODUCT((MONTH(CHOOSE({1,2,3,4},HN!U60,HN!AA60,HN!AG60,HN!AM60))=6)*(CHOOSE({1,2,3,4},HN!X60,HN!AD60,HN!AJ60,HN!AP60)))</f>
        <v>0</v>
      </c>
      <c r="G60">
        <f>SUMPRODUCT((MONTH(CHOOSE({1,2,3,4},HN!U60,HN!AA60,HN!AG60,HN!AM60))=7)*(CHOOSE({1,2,3,4},HN!X60,HN!AD60,HN!AJ60,HN!AP60)))</f>
        <v>0</v>
      </c>
      <c r="H60">
        <f>SUMPRODUCT((MONTH(CHOOSE({1,2,3,4},HN!U60,HN!AA60,HN!AG60,HN!AM60))=8)*(CHOOSE({1,2,3,4},HN!X60,HN!AD60,HN!AJ60,HN!AP60)))</f>
        <v>0</v>
      </c>
      <c r="I60">
        <f>SUMPRODUCT((MONTH(CHOOSE({1,2,3,4},HN!U60,HN!AA60,HN!AG60,HN!AM60))=9)*(CHOOSE({1,2,3,4},HN!X60,HN!AD60,HN!AJ60,HN!AP60)))</f>
        <v>0</v>
      </c>
      <c r="J60">
        <f>SUMPRODUCT((MONTH(CHOOSE({1,2,3,4},HN!U60,HN!AA60,HN!AG60,HN!AM60))=10)*(CHOOSE({1,2,3,4},HN!X60,HN!AD60,HN!AJ60,HN!AP60)))</f>
        <v>0</v>
      </c>
      <c r="K60">
        <f>SUMPRODUCT((MONTH(CHOOSE({1,2,3,4},HN!U60,HN!AA60,HN!AG60,HN!AM60))=11)*(CHOOSE({1,2,3,4},HN!X60,HN!AD60,HN!AJ60,HN!AP60)))</f>
        <v>0</v>
      </c>
      <c r="L60">
        <f>SUMPRODUCT((MONTH(CHOOSE({1,2,3,4},HN!U60,HN!AA60,HN!AG60,HN!AM60))=12)*(CHOOSE({1,2,3,4},HN!X60,HN!AD60,HN!AJ60,HN!AP60)))</f>
        <v>0</v>
      </c>
    </row>
    <row r="61" spans="1:12">
      <c r="A61">
        <f>SUMPRODUCT((MONTH(CHOOSE({1,2,3,4},HN!U61,HN!AA61,HN!AG61,HN!AM61))=1)*(CHOOSE({1,2,3,4},HN!X61,HN!AD61,HN!AJ61,HN!AP61)))</f>
        <v>0</v>
      </c>
      <c r="B61">
        <f>SUMPRODUCT((MONTH(CHOOSE({1,2,3,4},HN!U61,HN!AA61,HN!AG61,HN!AM61))=2)*(CHOOSE({1,2,3,4},HN!X61,HN!AD61,HN!AJ61,HN!AP61)))</f>
        <v>0</v>
      </c>
      <c r="C61">
        <f>SUMPRODUCT((MONTH(CHOOSE({1,2,3,4},HN!U61,HN!AA61,HN!AG61,HN!AM61))=3)*(CHOOSE({1,2,3,4},HN!X61,HN!AD61,HN!AJ61,HN!AP61)))</f>
        <v>0</v>
      </c>
      <c r="D61">
        <f>SUMPRODUCT((MONTH(CHOOSE({1,2,3,4},HN!U61,HN!AA61,HN!AG61,HN!AM61))=4)*(CHOOSE({1,2,3,4},HN!X61,HN!AD61,HN!AJ61,HN!AP61)))</f>
        <v>0</v>
      </c>
      <c r="E61">
        <f>SUMPRODUCT((MONTH(CHOOSE({1,2,3,4},HN!U61,HN!AA61,HN!AG61,HN!AM61))=5)*(CHOOSE({1,2,3,4},HN!X61,HN!AD61,HN!AJ61,HN!AP61)))</f>
        <v>0</v>
      </c>
      <c r="F61">
        <f>SUMPRODUCT((MONTH(CHOOSE({1,2,3,4},HN!U61,HN!AA61,HN!AG61,HN!AM61))=6)*(CHOOSE({1,2,3,4},HN!X61,HN!AD61,HN!AJ61,HN!AP61)))</f>
        <v>0</v>
      </c>
      <c r="G61">
        <f>SUMPRODUCT((MONTH(CHOOSE({1,2,3,4},HN!U61,HN!AA61,HN!AG61,HN!AM61))=7)*(CHOOSE({1,2,3,4},HN!X61,HN!AD61,HN!AJ61,HN!AP61)))</f>
        <v>0</v>
      </c>
      <c r="H61">
        <f>SUMPRODUCT((MONTH(CHOOSE({1,2,3,4},HN!U61,HN!AA61,HN!AG61,HN!AM61))=8)*(CHOOSE({1,2,3,4},HN!X61,HN!AD61,HN!AJ61,HN!AP61)))</f>
        <v>0</v>
      </c>
      <c r="I61">
        <f>SUMPRODUCT((MONTH(CHOOSE({1,2,3,4},HN!U61,HN!AA61,HN!AG61,HN!AM61))=9)*(CHOOSE({1,2,3,4},HN!X61,HN!AD61,HN!AJ61,HN!AP61)))</f>
        <v>0</v>
      </c>
      <c r="J61">
        <f>SUMPRODUCT((MONTH(CHOOSE({1,2,3,4},HN!U61,HN!AA61,HN!AG61,HN!AM61))=10)*(CHOOSE({1,2,3,4},HN!X61,HN!AD61,HN!AJ61,HN!AP61)))</f>
        <v>0</v>
      </c>
      <c r="K61">
        <f>SUMPRODUCT((MONTH(CHOOSE({1,2,3,4},HN!U61,HN!AA61,HN!AG61,HN!AM61))=11)*(CHOOSE({1,2,3,4},HN!X61,HN!AD61,HN!AJ61,HN!AP61)))</f>
        <v>0</v>
      </c>
      <c r="L61">
        <f>SUMPRODUCT((MONTH(CHOOSE({1,2,3,4},HN!U61,HN!AA61,HN!AG61,HN!AM61))=12)*(CHOOSE({1,2,3,4},HN!X61,HN!AD61,HN!AJ61,HN!AP61)))</f>
        <v>0</v>
      </c>
    </row>
    <row r="62" spans="1:12">
      <c r="A62">
        <f>SUMPRODUCT((MONTH(CHOOSE({1,2,3,4},HN!U62,HN!AA62,HN!AG62,HN!AM62))=1)*(CHOOSE({1,2,3,4},HN!X62,HN!AD62,HN!AJ62,HN!AP62)))</f>
        <v>0</v>
      </c>
      <c r="B62">
        <f>SUMPRODUCT((MONTH(CHOOSE({1,2,3,4},HN!U62,HN!AA62,HN!AG62,HN!AM62))=2)*(CHOOSE({1,2,3,4},HN!X62,HN!AD62,HN!AJ62,HN!AP62)))</f>
        <v>0</v>
      </c>
      <c r="C62">
        <f>SUMPRODUCT((MONTH(CHOOSE({1,2,3,4},HN!U62,HN!AA62,HN!AG62,HN!AM62))=3)*(CHOOSE({1,2,3,4},HN!X62,HN!AD62,HN!AJ62,HN!AP62)))</f>
        <v>0</v>
      </c>
      <c r="D62">
        <f>SUMPRODUCT((MONTH(CHOOSE({1,2,3,4},HN!U62,HN!AA62,HN!AG62,HN!AM62))=4)*(CHOOSE({1,2,3,4},HN!X62,HN!AD62,HN!AJ62,HN!AP62)))</f>
        <v>0</v>
      </c>
      <c r="E62">
        <f>SUMPRODUCT((MONTH(CHOOSE({1,2,3,4},HN!U62,HN!AA62,HN!AG62,HN!AM62))=5)*(CHOOSE({1,2,3,4},HN!X62,HN!AD62,HN!AJ62,HN!AP62)))</f>
        <v>0</v>
      </c>
      <c r="F62">
        <f>SUMPRODUCT((MONTH(CHOOSE({1,2,3,4},HN!U62,HN!AA62,HN!AG62,HN!AM62))=6)*(CHOOSE({1,2,3,4},HN!X62,HN!AD62,HN!AJ62,HN!AP62)))</f>
        <v>0</v>
      </c>
      <c r="G62">
        <f>SUMPRODUCT((MONTH(CHOOSE({1,2,3,4},HN!U62,HN!AA62,HN!AG62,HN!AM62))=7)*(CHOOSE({1,2,3,4},HN!X62,HN!AD62,HN!AJ62,HN!AP62)))</f>
        <v>0</v>
      </c>
      <c r="H62">
        <f>SUMPRODUCT((MONTH(CHOOSE({1,2,3,4},HN!U62,HN!AA62,HN!AG62,HN!AM62))=8)*(CHOOSE({1,2,3,4},HN!X62,HN!AD62,HN!AJ62,HN!AP62)))</f>
        <v>0</v>
      </c>
      <c r="I62">
        <f>SUMPRODUCT((MONTH(CHOOSE({1,2,3,4},HN!U62,HN!AA62,HN!AG62,HN!AM62))=9)*(CHOOSE({1,2,3,4},HN!X62,HN!AD62,HN!AJ62,HN!AP62)))</f>
        <v>0</v>
      </c>
      <c r="J62">
        <f>SUMPRODUCT((MONTH(CHOOSE({1,2,3,4},HN!U62,HN!AA62,HN!AG62,HN!AM62))=10)*(CHOOSE({1,2,3,4},HN!X62,HN!AD62,HN!AJ62,HN!AP62)))</f>
        <v>0</v>
      </c>
      <c r="K62">
        <f>SUMPRODUCT((MONTH(CHOOSE({1,2,3,4},HN!U62,HN!AA62,HN!AG62,HN!AM62))=11)*(CHOOSE({1,2,3,4},HN!X62,HN!AD62,HN!AJ62,HN!AP62)))</f>
        <v>0</v>
      </c>
      <c r="L62">
        <f>SUMPRODUCT((MONTH(CHOOSE({1,2,3,4},HN!U62,HN!AA62,HN!AG62,HN!AM62))=12)*(CHOOSE({1,2,3,4},HN!X62,HN!AD62,HN!AJ62,HN!AP62)))</f>
        <v>0</v>
      </c>
    </row>
    <row r="63" spans="1:12">
      <c r="A63">
        <f>SUMPRODUCT((MONTH(CHOOSE({1,2,3,4},HN!U63,HN!AA63,HN!AG63,HN!AM63))=1)*(CHOOSE({1,2,3,4},HN!X63,HN!AD63,HN!AJ63,HN!AP63)))</f>
        <v>0</v>
      </c>
      <c r="B63">
        <f>SUMPRODUCT((MONTH(CHOOSE({1,2,3,4},HN!U63,HN!AA63,HN!AG63,HN!AM63))=2)*(CHOOSE({1,2,3,4},HN!X63,HN!AD63,HN!AJ63,HN!AP63)))</f>
        <v>0</v>
      </c>
      <c r="C63">
        <f>SUMPRODUCT((MONTH(CHOOSE({1,2,3,4},HN!U63,HN!AA63,HN!AG63,HN!AM63))=3)*(CHOOSE({1,2,3,4},HN!X63,HN!AD63,HN!AJ63,HN!AP63)))</f>
        <v>0</v>
      </c>
      <c r="D63">
        <f>SUMPRODUCT((MONTH(CHOOSE({1,2,3,4},HN!U63,HN!AA63,HN!AG63,HN!AM63))=4)*(CHOOSE({1,2,3,4},HN!X63,HN!AD63,HN!AJ63,HN!AP63)))</f>
        <v>0</v>
      </c>
      <c r="E63">
        <f>SUMPRODUCT((MONTH(CHOOSE({1,2,3,4},HN!U63,HN!AA63,HN!AG63,HN!AM63))=5)*(CHOOSE({1,2,3,4},HN!X63,HN!AD63,HN!AJ63,HN!AP63)))</f>
        <v>0</v>
      </c>
      <c r="F63">
        <f>SUMPRODUCT((MONTH(CHOOSE({1,2,3,4},HN!U63,HN!AA63,HN!AG63,HN!AM63))=6)*(CHOOSE({1,2,3,4},HN!X63,HN!AD63,HN!AJ63,HN!AP63)))</f>
        <v>0</v>
      </c>
      <c r="G63">
        <f>SUMPRODUCT((MONTH(CHOOSE({1,2,3,4},HN!U63,HN!AA63,HN!AG63,HN!AM63))=7)*(CHOOSE({1,2,3,4},HN!X63,HN!AD63,HN!AJ63,HN!AP63)))</f>
        <v>0</v>
      </c>
      <c r="H63">
        <f>SUMPRODUCT((MONTH(CHOOSE({1,2,3,4},HN!U63,HN!AA63,HN!AG63,HN!AM63))=8)*(CHOOSE({1,2,3,4},HN!X63,HN!AD63,HN!AJ63,HN!AP63)))</f>
        <v>0</v>
      </c>
      <c r="I63">
        <f>SUMPRODUCT((MONTH(CHOOSE({1,2,3,4},HN!U63,HN!AA63,HN!AG63,HN!AM63))=9)*(CHOOSE({1,2,3,4},HN!X63,HN!AD63,HN!AJ63,HN!AP63)))</f>
        <v>0</v>
      </c>
      <c r="J63">
        <f>SUMPRODUCT((MONTH(CHOOSE({1,2,3,4},HN!U63,HN!AA63,HN!AG63,HN!AM63))=10)*(CHOOSE({1,2,3,4},HN!X63,HN!AD63,HN!AJ63,HN!AP63)))</f>
        <v>0</v>
      </c>
      <c r="K63">
        <f>SUMPRODUCT((MONTH(CHOOSE({1,2,3,4},HN!U63,HN!AA63,HN!AG63,HN!AM63))=11)*(CHOOSE({1,2,3,4},HN!X63,HN!AD63,HN!AJ63,HN!AP63)))</f>
        <v>0</v>
      </c>
      <c r="L63">
        <f>SUMPRODUCT((MONTH(CHOOSE({1,2,3,4},HN!U63,HN!AA63,HN!AG63,HN!AM63))=12)*(CHOOSE({1,2,3,4},HN!X63,HN!AD63,HN!AJ63,HN!AP63)))</f>
        <v>0</v>
      </c>
    </row>
    <row r="64" spans="1:12">
      <c r="A64">
        <f>SUMPRODUCT((MONTH(CHOOSE({1,2,3,4},HN!U64,HN!AA64,HN!AG64,HN!AM64))=1)*(CHOOSE({1,2,3,4},HN!X64,HN!AD64,HN!AJ64,HN!AP64)))</f>
        <v>0</v>
      </c>
      <c r="B64">
        <f>SUMPRODUCT((MONTH(CHOOSE({1,2,3,4},HN!U64,HN!AA64,HN!AG64,HN!AM64))=2)*(CHOOSE({1,2,3,4},HN!X64,HN!AD64,HN!AJ64,HN!AP64)))</f>
        <v>0</v>
      </c>
      <c r="C64">
        <f>SUMPRODUCT((MONTH(CHOOSE({1,2,3,4},HN!U64,HN!AA64,HN!AG64,HN!AM64))=3)*(CHOOSE({1,2,3,4},HN!X64,HN!AD64,HN!AJ64,HN!AP64)))</f>
        <v>0</v>
      </c>
      <c r="D64">
        <f>SUMPRODUCT((MONTH(CHOOSE({1,2,3,4},HN!U64,HN!AA64,HN!AG64,HN!AM64))=4)*(CHOOSE({1,2,3,4},HN!X64,HN!AD64,HN!AJ64,HN!AP64)))</f>
        <v>0</v>
      </c>
      <c r="E64">
        <f>SUMPRODUCT((MONTH(CHOOSE({1,2,3,4},HN!U64,HN!AA64,HN!AG64,HN!AM64))=5)*(CHOOSE({1,2,3,4},HN!X64,HN!AD64,HN!AJ64,HN!AP64)))</f>
        <v>0</v>
      </c>
      <c r="F64">
        <f>SUMPRODUCT((MONTH(CHOOSE({1,2,3,4},HN!U64,HN!AA64,HN!AG64,HN!AM64))=6)*(CHOOSE({1,2,3,4},HN!X64,HN!AD64,HN!AJ64,HN!AP64)))</f>
        <v>0</v>
      </c>
      <c r="G64">
        <f>SUMPRODUCT((MONTH(CHOOSE({1,2,3,4},HN!U64,HN!AA64,HN!AG64,HN!AM64))=7)*(CHOOSE({1,2,3,4},HN!X64,HN!AD64,HN!AJ64,HN!AP64)))</f>
        <v>0</v>
      </c>
      <c r="H64">
        <f>SUMPRODUCT((MONTH(CHOOSE({1,2,3,4},HN!U64,HN!AA64,HN!AG64,HN!AM64))=8)*(CHOOSE({1,2,3,4},HN!X64,HN!AD64,HN!AJ64,HN!AP64)))</f>
        <v>0</v>
      </c>
      <c r="I64">
        <f>SUMPRODUCT((MONTH(CHOOSE({1,2,3,4},HN!U64,HN!AA64,HN!AG64,HN!AM64))=9)*(CHOOSE({1,2,3,4},HN!X64,HN!AD64,HN!AJ64,HN!AP64)))</f>
        <v>0</v>
      </c>
      <c r="J64">
        <f>SUMPRODUCT((MONTH(CHOOSE({1,2,3,4},HN!U64,HN!AA64,HN!AG64,HN!AM64))=10)*(CHOOSE({1,2,3,4},HN!X64,HN!AD64,HN!AJ64,HN!AP64)))</f>
        <v>0</v>
      </c>
      <c r="K64">
        <f>SUMPRODUCT((MONTH(CHOOSE({1,2,3,4},HN!U64,HN!AA64,HN!AG64,HN!AM64))=11)*(CHOOSE({1,2,3,4},HN!X64,HN!AD64,HN!AJ64,HN!AP64)))</f>
        <v>0</v>
      </c>
      <c r="L64">
        <f>SUMPRODUCT((MONTH(CHOOSE({1,2,3,4},HN!U64,HN!AA64,HN!AG64,HN!AM64))=12)*(CHOOSE({1,2,3,4},HN!X64,HN!AD64,HN!AJ64,HN!AP64)))</f>
        <v>0</v>
      </c>
    </row>
    <row r="65" spans="1:12">
      <c r="A65">
        <f>SUMPRODUCT((MONTH(CHOOSE({1,2,3,4},HN!U65,HN!AA65,HN!AG65,HN!AM65))=1)*(CHOOSE({1,2,3,4},HN!X65,HN!AD65,HN!AJ65,HN!AP65)))</f>
        <v>0</v>
      </c>
      <c r="B65">
        <f>SUMPRODUCT((MONTH(CHOOSE({1,2,3,4},HN!U65,HN!AA65,HN!AG65,HN!AM65))=2)*(CHOOSE({1,2,3,4},HN!X65,HN!AD65,HN!AJ65,HN!AP65)))</f>
        <v>0</v>
      </c>
      <c r="C65">
        <f>SUMPRODUCT((MONTH(CHOOSE({1,2,3,4},HN!U65,HN!AA65,HN!AG65,HN!AM65))=3)*(CHOOSE({1,2,3,4},HN!X65,HN!AD65,HN!AJ65,HN!AP65)))</f>
        <v>0</v>
      </c>
      <c r="D65">
        <f>SUMPRODUCT((MONTH(CHOOSE({1,2,3,4},HN!U65,HN!AA65,HN!AG65,HN!AM65))=4)*(CHOOSE({1,2,3,4},HN!X65,HN!AD65,HN!AJ65,HN!AP65)))</f>
        <v>0</v>
      </c>
      <c r="E65">
        <f>SUMPRODUCT((MONTH(CHOOSE({1,2,3,4},HN!U65,HN!AA65,HN!AG65,HN!AM65))=5)*(CHOOSE({1,2,3,4},HN!X65,HN!AD65,HN!AJ65,HN!AP65)))</f>
        <v>0</v>
      </c>
      <c r="F65">
        <f>SUMPRODUCT((MONTH(CHOOSE({1,2,3,4},HN!U65,HN!AA65,HN!AG65,HN!AM65))=6)*(CHOOSE({1,2,3,4},HN!X65,HN!AD65,HN!AJ65,HN!AP65)))</f>
        <v>0</v>
      </c>
      <c r="G65">
        <f>SUMPRODUCT((MONTH(CHOOSE({1,2,3,4},HN!U65,HN!AA65,HN!AG65,HN!AM65))=7)*(CHOOSE({1,2,3,4},HN!X65,HN!AD65,HN!AJ65,HN!AP65)))</f>
        <v>0</v>
      </c>
      <c r="H65">
        <f>SUMPRODUCT((MONTH(CHOOSE({1,2,3,4},HN!U65,HN!AA65,HN!AG65,HN!AM65))=8)*(CHOOSE({1,2,3,4},HN!X65,HN!AD65,HN!AJ65,HN!AP65)))</f>
        <v>0</v>
      </c>
      <c r="I65">
        <f>SUMPRODUCT((MONTH(CHOOSE({1,2,3,4},HN!U65,HN!AA65,HN!AG65,HN!AM65))=9)*(CHOOSE({1,2,3,4},HN!X65,HN!AD65,HN!AJ65,HN!AP65)))</f>
        <v>0</v>
      </c>
      <c r="J65">
        <f>SUMPRODUCT((MONTH(CHOOSE({1,2,3,4},HN!U65,HN!AA65,HN!AG65,HN!AM65))=10)*(CHOOSE({1,2,3,4},HN!X65,HN!AD65,HN!AJ65,HN!AP65)))</f>
        <v>0</v>
      </c>
      <c r="K65">
        <f>SUMPRODUCT((MONTH(CHOOSE({1,2,3,4},HN!U65,HN!AA65,HN!AG65,HN!AM65))=11)*(CHOOSE({1,2,3,4},HN!X65,HN!AD65,HN!AJ65,HN!AP65)))</f>
        <v>0</v>
      </c>
      <c r="L65">
        <f>SUMPRODUCT((MONTH(CHOOSE({1,2,3,4},HN!U65,HN!AA65,HN!AG65,HN!AM65))=12)*(CHOOSE({1,2,3,4},HN!X65,HN!AD65,HN!AJ65,HN!AP65)))</f>
        <v>0</v>
      </c>
    </row>
    <row r="66" spans="1:12">
      <c r="A66">
        <f>SUMPRODUCT((MONTH(CHOOSE({1,2,3,4},HN!U66,HN!AA66,HN!AG66,HN!AM66))=1)*(CHOOSE({1,2,3,4},HN!X66,HN!AD66,HN!AJ66,HN!AP66)))</f>
        <v>0</v>
      </c>
      <c r="B66">
        <f>SUMPRODUCT((MONTH(CHOOSE({1,2,3,4},HN!U66,HN!AA66,HN!AG66,HN!AM66))=2)*(CHOOSE({1,2,3,4},HN!X66,HN!AD66,HN!AJ66,HN!AP66)))</f>
        <v>0</v>
      </c>
      <c r="C66">
        <f>SUMPRODUCT((MONTH(CHOOSE({1,2,3,4},HN!U66,HN!AA66,HN!AG66,HN!AM66))=3)*(CHOOSE({1,2,3,4},HN!X66,HN!AD66,HN!AJ66,HN!AP66)))</f>
        <v>0</v>
      </c>
      <c r="D66">
        <f>SUMPRODUCT((MONTH(CHOOSE({1,2,3,4},HN!U66,HN!AA66,HN!AG66,HN!AM66))=4)*(CHOOSE({1,2,3,4},HN!X66,HN!AD66,HN!AJ66,HN!AP66)))</f>
        <v>0</v>
      </c>
      <c r="E66">
        <f>SUMPRODUCT((MONTH(CHOOSE({1,2,3,4},HN!U66,HN!AA66,HN!AG66,HN!AM66))=5)*(CHOOSE({1,2,3,4},HN!X66,HN!AD66,HN!AJ66,HN!AP66)))</f>
        <v>0</v>
      </c>
      <c r="F66">
        <f>SUMPRODUCT((MONTH(CHOOSE({1,2,3,4},HN!U66,HN!AA66,HN!AG66,HN!AM66))=6)*(CHOOSE({1,2,3,4},HN!X66,HN!AD66,HN!AJ66,HN!AP66)))</f>
        <v>0</v>
      </c>
      <c r="G66">
        <f>SUMPRODUCT((MONTH(CHOOSE({1,2,3,4},HN!U66,HN!AA66,HN!AG66,HN!AM66))=7)*(CHOOSE({1,2,3,4},HN!X66,HN!AD66,HN!AJ66,HN!AP66)))</f>
        <v>0</v>
      </c>
      <c r="H66">
        <f>SUMPRODUCT((MONTH(CHOOSE({1,2,3,4},HN!U66,HN!AA66,HN!AG66,HN!AM66))=8)*(CHOOSE({1,2,3,4},HN!X66,HN!AD66,HN!AJ66,HN!AP66)))</f>
        <v>0</v>
      </c>
      <c r="I66">
        <f>SUMPRODUCT((MONTH(CHOOSE({1,2,3,4},HN!U66,HN!AA66,HN!AG66,HN!AM66))=9)*(CHOOSE({1,2,3,4},HN!X66,HN!AD66,HN!AJ66,HN!AP66)))</f>
        <v>0</v>
      </c>
      <c r="J66">
        <f>SUMPRODUCT((MONTH(CHOOSE({1,2,3,4},HN!U66,HN!AA66,HN!AG66,HN!AM66))=10)*(CHOOSE({1,2,3,4},HN!X66,HN!AD66,HN!AJ66,HN!AP66)))</f>
        <v>0</v>
      </c>
      <c r="K66">
        <f>SUMPRODUCT((MONTH(CHOOSE({1,2,3,4},HN!U66,HN!AA66,HN!AG66,HN!AM66))=11)*(CHOOSE({1,2,3,4},HN!X66,HN!AD66,HN!AJ66,HN!AP66)))</f>
        <v>0</v>
      </c>
      <c r="L66">
        <f>SUMPRODUCT((MONTH(CHOOSE({1,2,3,4},HN!U66,HN!AA66,HN!AG66,HN!AM66))=12)*(CHOOSE({1,2,3,4},HN!X66,HN!AD66,HN!AJ66,HN!AP66)))</f>
        <v>0</v>
      </c>
    </row>
    <row r="67" spans="1:12">
      <c r="A67">
        <f>SUMPRODUCT((MONTH(CHOOSE({1,2,3,4},HN!U67,HN!AA67,HN!AG67,HN!AM67))=1)*(CHOOSE({1,2,3,4},HN!X67,HN!AD67,HN!AJ67,HN!AP67)))</f>
        <v>0</v>
      </c>
      <c r="B67">
        <f>SUMPRODUCT((MONTH(CHOOSE({1,2,3,4},HN!U67,HN!AA67,HN!AG67,HN!AM67))=2)*(CHOOSE({1,2,3,4},HN!X67,HN!AD67,HN!AJ67,HN!AP67)))</f>
        <v>0</v>
      </c>
      <c r="C67">
        <f>SUMPRODUCT((MONTH(CHOOSE({1,2,3,4},HN!U67,HN!AA67,HN!AG67,HN!AM67))=3)*(CHOOSE({1,2,3,4},HN!X67,HN!AD67,HN!AJ67,HN!AP67)))</f>
        <v>0</v>
      </c>
      <c r="D67">
        <f>SUMPRODUCT((MONTH(CHOOSE({1,2,3,4},HN!U67,HN!AA67,HN!AG67,HN!AM67))=4)*(CHOOSE({1,2,3,4},HN!X67,HN!AD67,HN!AJ67,HN!AP67)))</f>
        <v>0</v>
      </c>
      <c r="E67">
        <f>SUMPRODUCT((MONTH(CHOOSE({1,2,3,4},HN!U67,HN!AA67,HN!AG67,HN!AM67))=5)*(CHOOSE({1,2,3,4},HN!X67,HN!AD67,HN!AJ67,HN!AP67)))</f>
        <v>0</v>
      </c>
      <c r="F67">
        <f>SUMPRODUCT((MONTH(CHOOSE({1,2,3,4},HN!U67,HN!AA67,HN!AG67,HN!AM67))=6)*(CHOOSE({1,2,3,4},HN!X67,HN!AD67,HN!AJ67,HN!AP67)))</f>
        <v>0</v>
      </c>
      <c r="G67">
        <f>SUMPRODUCT((MONTH(CHOOSE({1,2,3,4},HN!U67,HN!AA67,HN!AG67,HN!AM67))=7)*(CHOOSE({1,2,3,4},HN!X67,HN!AD67,HN!AJ67,HN!AP67)))</f>
        <v>0</v>
      </c>
      <c r="H67">
        <f>SUMPRODUCT((MONTH(CHOOSE({1,2,3,4},HN!U67,HN!AA67,HN!AG67,HN!AM67))=8)*(CHOOSE({1,2,3,4},HN!X67,HN!AD67,HN!AJ67,HN!AP67)))</f>
        <v>0</v>
      </c>
      <c r="I67">
        <f>SUMPRODUCT((MONTH(CHOOSE({1,2,3,4},HN!U67,HN!AA67,HN!AG67,HN!AM67))=9)*(CHOOSE({1,2,3,4},HN!X67,HN!AD67,HN!AJ67,HN!AP67)))</f>
        <v>0</v>
      </c>
      <c r="J67">
        <f>SUMPRODUCT((MONTH(CHOOSE({1,2,3,4},HN!U67,HN!AA67,HN!AG67,HN!AM67))=10)*(CHOOSE({1,2,3,4},HN!X67,HN!AD67,HN!AJ67,HN!AP67)))</f>
        <v>0</v>
      </c>
      <c r="K67">
        <f>SUMPRODUCT((MONTH(CHOOSE({1,2,3,4},HN!U67,HN!AA67,HN!AG67,HN!AM67))=11)*(CHOOSE({1,2,3,4},HN!X67,HN!AD67,HN!AJ67,HN!AP67)))</f>
        <v>0</v>
      </c>
      <c r="L67">
        <f>SUMPRODUCT((MONTH(CHOOSE({1,2,3,4},HN!U67,HN!AA67,HN!AG67,HN!AM67))=12)*(CHOOSE({1,2,3,4},HN!X67,HN!AD67,HN!AJ67,HN!AP67)))</f>
        <v>0</v>
      </c>
    </row>
    <row r="68" spans="1:12">
      <c r="A68">
        <f>SUMPRODUCT((MONTH(CHOOSE({1,2,3,4},HN!U68,HN!AA68,HN!AG68,HN!AM68))=1)*(CHOOSE({1,2,3,4},HN!X68,HN!AD68,HN!AJ68,HN!AP68)))</f>
        <v>0</v>
      </c>
      <c r="B68">
        <f>SUMPRODUCT((MONTH(CHOOSE({1,2,3,4},HN!U68,HN!AA68,HN!AG68,HN!AM68))=2)*(CHOOSE({1,2,3,4},HN!X68,HN!AD68,HN!AJ68,HN!AP68)))</f>
        <v>0</v>
      </c>
      <c r="C68">
        <f>SUMPRODUCT((MONTH(CHOOSE({1,2,3,4},HN!U68,HN!AA68,HN!AG68,HN!AM68))=3)*(CHOOSE({1,2,3,4},HN!X68,HN!AD68,HN!AJ68,HN!AP68)))</f>
        <v>0</v>
      </c>
      <c r="D68">
        <f>SUMPRODUCT((MONTH(CHOOSE({1,2,3,4},HN!U68,HN!AA68,HN!AG68,HN!AM68))=4)*(CHOOSE({1,2,3,4},HN!X68,HN!AD68,HN!AJ68,HN!AP68)))</f>
        <v>0</v>
      </c>
      <c r="E68">
        <f>SUMPRODUCT((MONTH(CHOOSE({1,2,3,4},HN!U68,HN!AA68,HN!AG68,HN!AM68))=5)*(CHOOSE({1,2,3,4},HN!X68,HN!AD68,HN!AJ68,HN!AP68)))</f>
        <v>0</v>
      </c>
      <c r="F68">
        <f>SUMPRODUCT((MONTH(CHOOSE({1,2,3,4},HN!U68,HN!AA68,HN!AG68,HN!AM68))=6)*(CHOOSE({1,2,3,4},HN!X68,HN!AD68,HN!AJ68,HN!AP68)))</f>
        <v>0</v>
      </c>
      <c r="G68">
        <f>SUMPRODUCT((MONTH(CHOOSE({1,2,3,4},HN!U68,HN!AA68,HN!AG68,HN!AM68))=7)*(CHOOSE({1,2,3,4},HN!X68,HN!AD68,HN!AJ68,HN!AP68)))</f>
        <v>0</v>
      </c>
      <c r="H68">
        <f>SUMPRODUCT((MONTH(CHOOSE({1,2,3,4},HN!U68,HN!AA68,HN!AG68,HN!AM68))=8)*(CHOOSE({1,2,3,4},HN!X68,HN!AD68,HN!AJ68,HN!AP68)))</f>
        <v>0</v>
      </c>
      <c r="I68">
        <f>SUMPRODUCT((MONTH(CHOOSE({1,2,3,4},HN!U68,HN!AA68,HN!AG68,HN!AM68))=9)*(CHOOSE({1,2,3,4},HN!X68,HN!AD68,HN!AJ68,HN!AP68)))</f>
        <v>0</v>
      </c>
      <c r="J68">
        <f>SUMPRODUCT((MONTH(CHOOSE({1,2,3,4},HN!U68,HN!AA68,HN!AG68,HN!AM68))=10)*(CHOOSE({1,2,3,4},HN!X68,HN!AD68,HN!AJ68,HN!AP68)))</f>
        <v>0</v>
      </c>
      <c r="K68">
        <f>SUMPRODUCT((MONTH(CHOOSE({1,2,3,4},HN!U68,HN!AA68,HN!AG68,HN!AM68))=11)*(CHOOSE({1,2,3,4},HN!X68,HN!AD68,HN!AJ68,HN!AP68)))</f>
        <v>0</v>
      </c>
      <c r="L68">
        <f>SUMPRODUCT((MONTH(CHOOSE({1,2,3,4},HN!U68,HN!AA68,HN!AG68,HN!AM68))=12)*(CHOOSE({1,2,3,4},HN!X68,HN!AD68,HN!AJ68,HN!AP68)))</f>
        <v>0</v>
      </c>
    </row>
    <row r="69" spans="1:12">
      <c r="A69">
        <f>SUMPRODUCT((MONTH(CHOOSE({1,2,3,4},HN!U69,HN!AA69,HN!AG69,HN!AM69))=1)*(CHOOSE({1,2,3,4},HN!X69,HN!AD69,HN!AJ69,HN!AP69)))</f>
        <v>0</v>
      </c>
      <c r="B69">
        <f>SUMPRODUCT((MONTH(CHOOSE({1,2,3,4},HN!U69,HN!AA69,HN!AG69,HN!AM69))=2)*(CHOOSE({1,2,3,4},HN!X69,HN!AD69,HN!AJ69,HN!AP69)))</f>
        <v>0</v>
      </c>
      <c r="C69">
        <f>SUMPRODUCT((MONTH(CHOOSE({1,2,3,4},HN!U69,HN!AA69,HN!AG69,HN!AM69))=3)*(CHOOSE({1,2,3,4},HN!X69,HN!AD69,HN!AJ69,HN!AP69)))</f>
        <v>0</v>
      </c>
      <c r="D69">
        <f>SUMPRODUCT((MONTH(CHOOSE({1,2,3,4},HN!U69,HN!AA69,HN!AG69,HN!AM69))=4)*(CHOOSE({1,2,3,4},HN!X69,HN!AD69,HN!AJ69,HN!AP69)))</f>
        <v>0</v>
      </c>
      <c r="E69">
        <f>SUMPRODUCT((MONTH(CHOOSE({1,2,3,4},HN!U69,HN!AA69,HN!AG69,HN!AM69))=5)*(CHOOSE({1,2,3,4},HN!X69,HN!AD69,HN!AJ69,HN!AP69)))</f>
        <v>0</v>
      </c>
      <c r="F69">
        <f>SUMPRODUCT((MONTH(CHOOSE({1,2,3,4},HN!U69,HN!AA69,HN!AG69,HN!AM69))=6)*(CHOOSE({1,2,3,4},HN!X69,HN!AD69,HN!AJ69,HN!AP69)))</f>
        <v>0</v>
      </c>
      <c r="G69">
        <f>SUMPRODUCT((MONTH(CHOOSE({1,2,3,4},HN!U69,HN!AA69,HN!AG69,HN!AM69))=7)*(CHOOSE({1,2,3,4},HN!X69,HN!AD69,HN!AJ69,HN!AP69)))</f>
        <v>0</v>
      </c>
      <c r="H69">
        <f>SUMPRODUCT((MONTH(CHOOSE({1,2,3,4},HN!U69,HN!AA69,HN!AG69,HN!AM69))=8)*(CHOOSE({1,2,3,4},HN!X69,HN!AD69,HN!AJ69,HN!AP69)))</f>
        <v>0</v>
      </c>
      <c r="I69">
        <f>SUMPRODUCT((MONTH(CHOOSE({1,2,3,4},HN!U69,HN!AA69,HN!AG69,HN!AM69))=9)*(CHOOSE({1,2,3,4},HN!X69,HN!AD69,HN!AJ69,HN!AP69)))</f>
        <v>0</v>
      </c>
      <c r="J69">
        <f>SUMPRODUCT((MONTH(CHOOSE({1,2,3,4},HN!U69,HN!AA69,HN!AG69,HN!AM69))=10)*(CHOOSE({1,2,3,4},HN!X69,HN!AD69,HN!AJ69,HN!AP69)))</f>
        <v>0</v>
      </c>
      <c r="K69">
        <f>SUMPRODUCT((MONTH(CHOOSE({1,2,3,4},HN!U69,HN!AA69,HN!AG69,HN!AM69))=11)*(CHOOSE({1,2,3,4},HN!X69,HN!AD69,HN!AJ69,HN!AP69)))</f>
        <v>0</v>
      </c>
      <c r="L69">
        <f>SUMPRODUCT((MONTH(CHOOSE({1,2,3,4},HN!U69,HN!AA69,HN!AG69,HN!AM69))=12)*(CHOOSE({1,2,3,4},HN!X69,HN!AD69,HN!AJ69,HN!AP69)))</f>
        <v>0</v>
      </c>
    </row>
    <row r="70" spans="1:12">
      <c r="A70">
        <f>SUMPRODUCT((MONTH(CHOOSE({1,2,3,4},HN!U70,HN!AA70,HN!AG70,HN!AM70))=1)*(CHOOSE({1,2,3,4},HN!X70,HN!AD70,HN!AJ70,HN!AP70)))</f>
        <v>0</v>
      </c>
      <c r="B70">
        <f>SUMPRODUCT((MONTH(CHOOSE({1,2,3,4},HN!U70,HN!AA70,HN!AG70,HN!AM70))=2)*(CHOOSE({1,2,3,4},HN!X70,HN!AD70,HN!AJ70,HN!AP70)))</f>
        <v>0</v>
      </c>
      <c r="C70">
        <f>SUMPRODUCT((MONTH(CHOOSE({1,2,3,4},HN!U70,HN!AA70,HN!AG70,HN!AM70))=3)*(CHOOSE({1,2,3,4},HN!X70,HN!AD70,HN!AJ70,HN!AP70)))</f>
        <v>0</v>
      </c>
      <c r="D70">
        <f>SUMPRODUCT((MONTH(CHOOSE({1,2,3,4},HN!U70,HN!AA70,HN!AG70,HN!AM70))=4)*(CHOOSE({1,2,3,4},HN!X70,HN!AD70,HN!AJ70,HN!AP70)))</f>
        <v>0</v>
      </c>
      <c r="E70">
        <f>SUMPRODUCT((MONTH(CHOOSE({1,2,3,4},HN!U70,HN!AA70,HN!AG70,HN!AM70))=5)*(CHOOSE({1,2,3,4},HN!X70,HN!AD70,HN!AJ70,HN!AP70)))</f>
        <v>0</v>
      </c>
      <c r="F70">
        <f>SUMPRODUCT((MONTH(CHOOSE({1,2,3,4},HN!U70,HN!AA70,HN!AG70,HN!AM70))=6)*(CHOOSE({1,2,3,4},HN!X70,HN!AD70,HN!AJ70,HN!AP70)))</f>
        <v>0</v>
      </c>
      <c r="G70">
        <f>SUMPRODUCT((MONTH(CHOOSE({1,2,3,4},HN!U70,HN!AA70,HN!AG70,HN!AM70))=7)*(CHOOSE({1,2,3,4},HN!X70,HN!AD70,HN!AJ70,HN!AP70)))</f>
        <v>0</v>
      </c>
      <c r="H70">
        <f>SUMPRODUCT((MONTH(CHOOSE({1,2,3,4},HN!U70,HN!AA70,HN!AG70,HN!AM70))=8)*(CHOOSE({1,2,3,4},HN!X70,HN!AD70,HN!AJ70,HN!AP70)))</f>
        <v>0</v>
      </c>
      <c r="I70">
        <f>SUMPRODUCT((MONTH(CHOOSE({1,2,3,4},HN!U70,HN!AA70,HN!AG70,HN!AM70))=9)*(CHOOSE({1,2,3,4},HN!X70,HN!AD70,HN!AJ70,HN!AP70)))</f>
        <v>0</v>
      </c>
      <c r="J70">
        <f>SUMPRODUCT((MONTH(CHOOSE({1,2,3,4},HN!U70,HN!AA70,HN!AG70,HN!AM70))=10)*(CHOOSE({1,2,3,4},HN!X70,HN!AD70,HN!AJ70,HN!AP70)))</f>
        <v>0</v>
      </c>
      <c r="K70">
        <f>SUMPRODUCT((MONTH(CHOOSE({1,2,3,4},HN!U70,HN!AA70,HN!AG70,HN!AM70))=11)*(CHOOSE({1,2,3,4},HN!X70,HN!AD70,HN!AJ70,HN!AP70)))</f>
        <v>0</v>
      </c>
      <c r="L70">
        <f>SUMPRODUCT((MONTH(CHOOSE({1,2,3,4},HN!U70,HN!AA70,HN!AG70,HN!AM70))=12)*(CHOOSE({1,2,3,4},HN!X70,HN!AD70,HN!AJ70,HN!AP70)))</f>
        <v>0</v>
      </c>
    </row>
    <row r="71" spans="1:12">
      <c r="A71">
        <f>SUMPRODUCT((MONTH(CHOOSE({1,2,3,4},HN!U71,HN!AA71,HN!AG71,HN!AM71))=1)*(CHOOSE({1,2,3,4},HN!X71,HN!AD71,HN!AJ71,HN!AP71)))</f>
        <v>0</v>
      </c>
      <c r="B71">
        <f>SUMPRODUCT((MONTH(CHOOSE({1,2,3,4},HN!U71,HN!AA71,HN!AG71,HN!AM71))=2)*(CHOOSE({1,2,3,4},HN!X71,HN!AD71,HN!AJ71,HN!AP71)))</f>
        <v>0</v>
      </c>
      <c r="C71">
        <f>SUMPRODUCT((MONTH(CHOOSE({1,2,3,4},HN!U71,HN!AA71,HN!AG71,HN!AM71))=3)*(CHOOSE({1,2,3,4},HN!X71,HN!AD71,HN!AJ71,HN!AP71)))</f>
        <v>0</v>
      </c>
      <c r="D71">
        <f>SUMPRODUCT((MONTH(CHOOSE({1,2,3,4},HN!U71,HN!AA71,HN!AG71,HN!AM71))=4)*(CHOOSE({1,2,3,4},HN!X71,HN!AD71,HN!AJ71,HN!AP71)))</f>
        <v>0</v>
      </c>
      <c r="E71">
        <f>SUMPRODUCT((MONTH(CHOOSE({1,2,3,4},HN!U71,HN!AA71,HN!AG71,HN!AM71))=5)*(CHOOSE({1,2,3,4},HN!X71,HN!AD71,HN!AJ71,HN!AP71)))</f>
        <v>0</v>
      </c>
      <c r="F71">
        <f>SUMPRODUCT((MONTH(CHOOSE({1,2,3,4},HN!U71,HN!AA71,HN!AG71,HN!AM71))=6)*(CHOOSE({1,2,3,4},HN!X71,HN!AD71,HN!AJ71,HN!AP71)))</f>
        <v>0</v>
      </c>
      <c r="G71">
        <f>SUMPRODUCT((MONTH(CHOOSE({1,2,3,4},HN!U71,HN!AA71,HN!AG71,HN!AM71))=7)*(CHOOSE({1,2,3,4},HN!X71,HN!AD71,HN!AJ71,HN!AP71)))</f>
        <v>0</v>
      </c>
      <c r="H71">
        <f>SUMPRODUCT((MONTH(CHOOSE({1,2,3,4},HN!U71,HN!AA71,HN!AG71,HN!AM71))=8)*(CHOOSE({1,2,3,4},HN!X71,HN!AD71,HN!AJ71,HN!AP71)))</f>
        <v>0</v>
      </c>
      <c r="I71">
        <f>SUMPRODUCT((MONTH(CHOOSE({1,2,3,4},HN!U71,HN!AA71,HN!AG71,HN!AM71))=9)*(CHOOSE({1,2,3,4},HN!X71,HN!AD71,HN!AJ71,HN!AP71)))</f>
        <v>0</v>
      </c>
      <c r="J71">
        <f>SUMPRODUCT((MONTH(CHOOSE({1,2,3,4},HN!U71,HN!AA71,HN!AG71,HN!AM71))=10)*(CHOOSE({1,2,3,4},HN!X71,HN!AD71,HN!AJ71,HN!AP71)))</f>
        <v>0</v>
      </c>
      <c r="K71">
        <f>SUMPRODUCT((MONTH(CHOOSE({1,2,3,4},HN!U71,HN!AA71,HN!AG71,HN!AM71))=11)*(CHOOSE({1,2,3,4},HN!X71,HN!AD71,HN!AJ71,HN!AP71)))</f>
        <v>0</v>
      </c>
      <c r="L71">
        <f>SUMPRODUCT((MONTH(CHOOSE({1,2,3,4},HN!U71,HN!AA71,HN!AG71,HN!AM71))=12)*(CHOOSE({1,2,3,4},HN!X71,HN!AD71,HN!AJ71,HN!AP71)))</f>
        <v>0</v>
      </c>
    </row>
    <row r="72" spans="1:12">
      <c r="A72">
        <f>SUMPRODUCT((MONTH(CHOOSE({1,2,3,4},HN!U72,HN!AA72,HN!AG72,HN!AM72))=1)*(CHOOSE({1,2,3,4},HN!X72,HN!AD72,HN!AJ72,HN!AP72)))</f>
        <v>0</v>
      </c>
      <c r="B72">
        <f>SUMPRODUCT((MONTH(CHOOSE({1,2,3,4},HN!U72,HN!AA72,HN!AG72,HN!AM72))=2)*(CHOOSE({1,2,3,4},HN!X72,HN!AD72,HN!AJ72,HN!AP72)))</f>
        <v>0</v>
      </c>
      <c r="C72">
        <f>SUMPRODUCT((MONTH(CHOOSE({1,2,3,4},HN!U72,HN!AA72,HN!AG72,HN!AM72))=3)*(CHOOSE({1,2,3,4},HN!X72,HN!AD72,HN!AJ72,HN!AP72)))</f>
        <v>0</v>
      </c>
      <c r="D72">
        <f>SUMPRODUCT((MONTH(CHOOSE({1,2,3,4},HN!U72,HN!AA72,HN!AG72,HN!AM72))=4)*(CHOOSE({1,2,3,4},HN!X72,HN!AD72,HN!AJ72,HN!AP72)))</f>
        <v>0</v>
      </c>
      <c r="E72">
        <f>SUMPRODUCT((MONTH(CHOOSE({1,2,3,4},HN!U72,HN!AA72,HN!AG72,HN!AM72))=5)*(CHOOSE({1,2,3,4},HN!X72,HN!AD72,HN!AJ72,HN!AP72)))</f>
        <v>0</v>
      </c>
      <c r="F72">
        <f>SUMPRODUCT((MONTH(CHOOSE({1,2,3,4},HN!U72,HN!AA72,HN!AG72,HN!AM72))=6)*(CHOOSE({1,2,3,4},HN!X72,HN!AD72,HN!AJ72,HN!AP72)))</f>
        <v>0</v>
      </c>
      <c r="G72">
        <f>SUMPRODUCT((MONTH(CHOOSE({1,2,3,4},HN!U72,HN!AA72,HN!AG72,HN!AM72))=7)*(CHOOSE({1,2,3,4},HN!X72,HN!AD72,HN!AJ72,HN!AP72)))</f>
        <v>0</v>
      </c>
      <c r="H72">
        <f>SUMPRODUCT((MONTH(CHOOSE({1,2,3,4},HN!U72,HN!AA72,HN!AG72,HN!AM72))=8)*(CHOOSE({1,2,3,4},HN!X72,HN!AD72,HN!AJ72,HN!AP72)))</f>
        <v>0</v>
      </c>
      <c r="I72">
        <f>SUMPRODUCT((MONTH(CHOOSE({1,2,3,4},HN!U72,HN!AA72,HN!AG72,HN!AM72))=9)*(CHOOSE({1,2,3,4},HN!X72,HN!AD72,HN!AJ72,HN!AP72)))</f>
        <v>0</v>
      </c>
      <c r="J72">
        <f>SUMPRODUCT((MONTH(CHOOSE({1,2,3,4},HN!U72,HN!AA72,HN!AG72,HN!AM72))=10)*(CHOOSE({1,2,3,4},HN!X72,HN!AD72,HN!AJ72,HN!AP72)))</f>
        <v>0</v>
      </c>
      <c r="K72">
        <f>SUMPRODUCT((MONTH(CHOOSE({1,2,3,4},HN!U72,HN!AA72,HN!AG72,HN!AM72))=11)*(CHOOSE({1,2,3,4},HN!X72,HN!AD72,HN!AJ72,HN!AP72)))</f>
        <v>0</v>
      </c>
      <c r="L72">
        <f>SUMPRODUCT((MONTH(CHOOSE({1,2,3,4},HN!U72,HN!AA72,HN!AG72,HN!AM72))=12)*(CHOOSE({1,2,3,4},HN!X72,HN!AD72,HN!AJ72,HN!AP72)))</f>
        <v>0</v>
      </c>
    </row>
    <row r="73" spans="1:12">
      <c r="A73">
        <f>SUMPRODUCT((MONTH(CHOOSE({1,2,3,4},HN!U73,HN!AA73,HN!AG73,HN!AM73))=1)*(CHOOSE({1,2,3,4},HN!X73,HN!AD73,HN!AJ73,HN!AP73)))</f>
        <v>0</v>
      </c>
      <c r="B73">
        <f>SUMPRODUCT((MONTH(CHOOSE({1,2,3,4},HN!U73,HN!AA73,HN!AG73,HN!AM73))=2)*(CHOOSE({1,2,3,4},HN!X73,HN!AD73,HN!AJ73,HN!AP73)))</f>
        <v>0</v>
      </c>
      <c r="C73">
        <f>SUMPRODUCT((MONTH(CHOOSE({1,2,3,4},HN!U73,HN!AA73,HN!AG73,HN!AM73))=3)*(CHOOSE({1,2,3,4},HN!X73,HN!AD73,HN!AJ73,HN!AP73)))</f>
        <v>0</v>
      </c>
      <c r="D73">
        <f>SUMPRODUCT((MONTH(CHOOSE({1,2,3,4},HN!U73,HN!AA73,HN!AG73,HN!AM73))=4)*(CHOOSE({1,2,3,4},HN!X73,HN!AD73,HN!AJ73,HN!AP73)))</f>
        <v>0</v>
      </c>
      <c r="E73">
        <f>SUMPRODUCT((MONTH(CHOOSE({1,2,3,4},HN!U73,HN!AA73,HN!AG73,HN!AM73))=5)*(CHOOSE({1,2,3,4},HN!X73,HN!AD73,HN!AJ73,HN!AP73)))</f>
        <v>0</v>
      </c>
      <c r="F73">
        <f>SUMPRODUCT((MONTH(CHOOSE({1,2,3,4},HN!U73,HN!AA73,HN!AG73,HN!AM73))=6)*(CHOOSE({1,2,3,4},HN!X73,HN!AD73,HN!AJ73,HN!AP73)))</f>
        <v>0</v>
      </c>
      <c r="G73">
        <f>SUMPRODUCT((MONTH(CHOOSE({1,2,3,4},HN!U73,HN!AA73,HN!AG73,HN!AM73))=7)*(CHOOSE({1,2,3,4},HN!X73,HN!AD73,HN!AJ73,HN!AP73)))</f>
        <v>0</v>
      </c>
      <c r="H73">
        <f>SUMPRODUCT((MONTH(CHOOSE({1,2,3,4},HN!U73,HN!AA73,HN!AG73,HN!AM73))=8)*(CHOOSE({1,2,3,4},HN!X73,HN!AD73,HN!AJ73,HN!AP73)))</f>
        <v>0</v>
      </c>
      <c r="I73">
        <f>SUMPRODUCT((MONTH(CHOOSE({1,2,3,4},HN!U73,HN!AA73,HN!AG73,HN!AM73))=9)*(CHOOSE({1,2,3,4},HN!X73,HN!AD73,HN!AJ73,HN!AP73)))</f>
        <v>0</v>
      </c>
      <c r="J73">
        <f>SUMPRODUCT((MONTH(CHOOSE({1,2,3,4},HN!U73,HN!AA73,HN!AG73,HN!AM73))=10)*(CHOOSE({1,2,3,4},HN!X73,HN!AD73,HN!AJ73,HN!AP73)))</f>
        <v>0</v>
      </c>
      <c r="K73">
        <f>SUMPRODUCT((MONTH(CHOOSE({1,2,3,4},HN!U73,HN!AA73,HN!AG73,HN!AM73))=11)*(CHOOSE({1,2,3,4},HN!X73,HN!AD73,HN!AJ73,HN!AP73)))</f>
        <v>0</v>
      </c>
      <c r="L73">
        <f>SUMPRODUCT((MONTH(CHOOSE({1,2,3,4},HN!U73,HN!AA73,HN!AG73,HN!AM73))=12)*(CHOOSE({1,2,3,4},HN!X73,HN!AD73,HN!AJ73,HN!AP73)))</f>
        <v>0</v>
      </c>
    </row>
    <row r="74" spans="1:12">
      <c r="A74">
        <f>SUMPRODUCT((MONTH(CHOOSE({1,2,3,4},HN!U74,HN!AA74,HN!AG74,HN!AM74))=1)*(CHOOSE({1,2,3,4},HN!X74,HN!AD74,HN!AJ74,HN!AP74)))</f>
        <v>0</v>
      </c>
      <c r="B74">
        <f>SUMPRODUCT((MONTH(CHOOSE({1,2,3,4},HN!U74,HN!AA74,HN!AG74,HN!AM74))=2)*(CHOOSE({1,2,3,4},HN!X74,HN!AD74,HN!AJ74,HN!AP74)))</f>
        <v>0</v>
      </c>
      <c r="C74">
        <f>SUMPRODUCT((MONTH(CHOOSE({1,2,3,4},HN!U74,HN!AA74,HN!AG74,HN!AM74))=3)*(CHOOSE({1,2,3,4},HN!X74,HN!AD74,HN!AJ74,HN!AP74)))</f>
        <v>0</v>
      </c>
      <c r="D74">
        <f>SUMPRODUCT((MONTH(CHOOSE({1,2,3,4},HN!U74,HN!AA74,HN!AG74,HN!AM74))=4)*(CHOOSE({1,2,3,4},HN!X74,HN!AD74,HN!AJ74,HN!AP74)))</f>
        <v>0</v>
      </c>
      <c r="E74">
        <f>SUMPRODUCT((MONTH(CHOOSE({1,2,3,4},HN!U74,HN!AA74,HN!AG74,HN!AM74))=5)*(CHOOSE({1,2,3,4},HN!X74,HN!AD74,HN!AJ74,HN!AP74)))</f>
        <v>0</v>
      </c>
      <c r="F74">
        <f>SUMPRODUCT((MONTH(CHOOSE({1,2,3,4},HN!U74,HN!AA74,HN!AG74,HN!AM74))=6)*(CHOOSE({1,2,3,4},HN!X74,HN!AD74,HN!AJ74,HN!AP74)))</f>
        <v>0</v>
      </c>
      <c r="G74">
        <f>SUMPRODUCT((MONTH(CHOOSE({1,2,3,4},HN!U74,HN!AA74,HN!AG74,HN!AM74))=7)*(CHOOSE({1,2,3,4},HN!X74,HN!AD74,HN!AJ74,HN!AP74)))</f>
        <v>0</v>
      </c>
      <c r="H74">
        <f>SUMPRODUCT((MONTH(CHOOSE({1,2,3,4},HN!U74,HN!AA74,HN!AG74,HN!AM74))=8)*(CHOOSE({1,2,3,4},HN!X74,HN!AD74,HN!AJ74,HN!AP74)))</f>
        <v>0</v>
      </c>
      <c r="I74">
        <f>SUMPRODUCT((MONTH(CHOOSE({1,2,3,4},HN!U74,HN!AA74,HN!AG74,HN!AM74))=9)*(CHOOSE({1,2,3,4},HN!X74,HN!AD74,HN!AJ74,HN!AP74)))</f>
        <v>0</v>
      </c>
      <c r="J74">
        <f>SUMPRODUCT((MONTH(CHOOSE({1,2,3,4},HN!U74,HN!AA74,HN!AG74,HN!AM74))=10)*(CHOOSE({1,2,3,4},HN!X74,HN!AD74,HN!AJ74,HN!AP74)))</f>
        <v>0</v>
      </c>
      <c r="K74">
        <f>SUMPRODUCT((MONTH(CHOOSE({1,2,3,4},HN!U74,HN!AA74,HN!AG74,HN!AM74))=11)*(CHOOSE({1,2,3,4},HN!X74,HN!AD74,HN!AJ74,HN!AP74)))</f>
        <v>0</v>
      </c>
      <c r="L74">
        <f>SUMPRODUCT((MONTH(CHOOSE({1,2,3,4},HN!U74,HN!AA74,HN!AG74,HN!AM74))=12)*(CHOOSE({1,2,3,4},HN!X74,HN!AD74,HN!AJ74,HN!AP74)))</f>
        <v>0</v>
      </c>
    </row>
    <row r="75" spans="1:12">
      <c r="A75">
        <f>SUMPRODUCT((MONTH(CHOOSE({1,2,3,4},HN!U75,HN!AA75,HN!AG75,HN!AM75))=1)*(CHOOSE({1,2,3,4},HN!X75,HN!AD75,HN!AJ75,HN!AP75)))</f>
        <v>0</v>
      </c>
      <c r="B75">
        <f>SUMPRODUCT((MONTH(CHOOSE({1,2,3,4},HN!U75,HN!AA75,HN!AG75,HN!AM75))=2)*(CHOOSE({1,2,3,4},HN!X75,HN!AD75,HN!AJ75,HN!AP75)))</f>
        <v>0</v>
      </c>
      <c r="C75">
        <f>SUMPRODUCT((MONTH(CHOOSE({1,2,3,4},HN!U75,HN!AA75,HN!AG75,HN!AM75))=3)*(CHOOSE({1,2,3,4},HN!X75,HN!AD75,HN!AJ75,HN!AP75)))</f>
        <v>0</v>
      </c>
      <c r="D75">
        <f>SUMPRODUCT((MONTH(CHOOSE({1,2,3,4},HN!U75,HN!AA75,HN!AG75,HN!AM75))=4)*(CHOOSE({1,2,3,4},HN!X75,HN!AD75,HN!AJ75,HN!AP75)))</f>
        <v>0</v>
      </c>
      <c r="E75">
        <f>SUMPRODUCT((MONTH(CHOOSE({1,2,3,4},HN!U75,HN!AA75,HN!AG75,HN!AM75))=5)*(CHOOSE({1,2,3,4},HN!X75,HN!AD75,HN!AJ75,HN!AP75)))</f>
        <v>0</v>
      </c>
      <c r="F75">
        <f>SUMPRODUCT((MONTH(CHOOSE({1,2,3,4},HN!U75,HN!AA75,HN!AG75,HN!AM75))=6)*(CHOOSE({1,2,3,4},HN!X75,HN!AD75,HN!AJ75,HN!AP75)))</f>
        <v>0</v>
      </c>
      <c r="G75">
        <f>SUMPRODUCT((MONTH(CHOOSE({1,2,3,4},HN!U75,HN!AA75,HN!AG75,HN!AM75))=7)*(CHOOSE({1,2,3,4},HN!X75,HN!AD75,HN!AJ75,HN!AP75)))</f>
        <v>0</v>
      </c>
      <c r="H75">
        <f>SUMPRODUCT((MONTH(CHOOSE({1,2,3,4},HN!U75,HN!AA75,HN!AG75,HN!AM75))=8)*(CHOOSE({1,2,3,4},HN!X75,HN!AD75,HN!AJ75,HN!AP75)))</f>
        <v>0</v>
      </c>
      <c r="I75">
        <f>SUMPRODUCT((MONTH(CHOOSE({1,2,3,4},HN!U75,HN!AA75,HN!AG75,HN!AM75))=9)*(CHOOSE({1,2,3,4},HN!X75,HN!AD75,HN!AJ75,HN!AP75)))</f>
        <v>0</v>
      </c>
      <c r="J75">
        <f>SUMPRODUCT((MONTH(CHOOSE({1,2,3,4},HN!U75,HN!AA75,HN!AG75,HN!AM75))=10)*(CHOOSE({1,2,3,4},HN!X75,HN!AD75,HN!AJ75,HN!AP75)))</f>
        <v>0</v>
      </c>
      <c r="K75">
        <f>SUMPRODUCT((MONTH(CHOOSE({1,2,3,4},HN!U75,HN!AA75,HN!AG75,HN!AM75))=11)*(CHOOSE({1,2,3,4},HN!X75,HN!AD75,HN!AJ75,HN!AP75)))</f>
        <v>0</v>
      </c>
      <c r="L75">
        <f>SUMPRODUCT((MONTH(CHOOSE({1,2,3,4},HN!U75,HN!AA75,HN!AG75,HN!AM75))=12)*(CHOOSE({1,2,3,4},HN!X75,HN!AD75,HN!AJ75,HN!AP75)))</f>
        <v>0</v>
      </c>
    </row>
    <row r="76" spans="1:12">
      <c r="A76">
        <f>SUMPRODUCT((MONTH(CHOOSE({1,2,3,4},HN!U76,HN!AA76,HN!AG76,HN!AM76))=1)*(CHOOSE({1,2,3,4},HN!X76,HN!AD76,HN!AJ76,HN!AP76)))</f>
        <v>0</v>
      </c>
      <c r="B76">
        <f>SUMPRODUCT((MONTH(CHOOSE({1,2,3,4},HN!U76,HN!AA76,HN!AG76,HN!AM76))=2)*(CHOOSE({1,2,3,4},HN!X76,HN!AD76,HN!AJ76,HN!AP76)))</f>
        <v>0</v>
      </c>
      <c r="C76">
        <f>SUMPRODUCT((MONTH(CHOOSE({1,2,3,4},HN!U76,HN!AA76,HN!AG76,HN!AM76))=3)*(CHOOSE({1,2,3,4},HN!X76,HN!AD76,HN!AJ76,HN!AP76)))</f>
        <v>0</v>
      </c>
      <c r="D76">
        <f>SUMPRODUCT((MONTH(CHOOSE({1,2,3,4},HN!U76,HN!AA76,HN!AG76,HN!AM76))=4)*(CHOOSE({1,2,3,4},HN!X76,HN!AD76,HN!AJ76,HN!AP76)))</f>
        <v>0</v>
      </c>
      <c r="E76">
        <f>SUMPRODUCT((MONTH(CHOOSE({1,2,3,4},HN!U76,HN!AA76,HN!AG76,HN!AM76))=5)*(CHOOSE({1,2,3,4},HN!X76,HN!AD76,HN!AJ76,HN!AP76)))</f>
        <v>0</v>
      </c>
      <c r="F76">
        <f>SUMPRODUCT((MONTH(CHOOSE({1,2,3,4},HN!U76,HN!AA76,HN!AG76,HN!AM76))=6)*(CHOOSE({1,2,3,4},HN!X76,HN!AD76,HN!AJ76,HN!AP76)))</f>
        <v>0</v>
      </c>
      <c r="G76">
        <f>SUMPRODUCT((MONTH(CHOOSE({1,2,3,4},HN!U76,HN!AA76,HN!AG76,HN!AM76))=7)*(CHOOSE({1,2,3,4},HN!X76,HN!AD76,HN!AJ76,HN!AP76)))</f>
        <v>0</v>
      </c>
      <c r="H76">
        <f>SUMPRODUCT((MONTH(CHOOSE({1,2,3,4},HN!U76,HN!AA76,HN!AG76,HN!AM76))=8)*(CHOOSE({1,2,3,4},HN!X76,HN!AD76,HN!AJ76,HN!AP76)))</f>
        <v>0</v>
      </c>
      <c r="I76">
        <f>SUMPRODUCT((MONTH(CHOOSE({1,2,3,4},HN!U76,HN!AA76,HN!AG76,HN!AM76))=9)*(CHOOSE({1,2,3,4},HN!X76,HN!AD76,HN!AJ76,HN!AP76)))</f>
        <v>0</v>
      </c>
      <c r="J76">
        <f>SUMPRODUCT((MONTH(CHOOSE({1,2,3,4},HN!U76,HN!AA76,HN!AG76,HN!AM76))=10)*(CHOOSE({1,2,3,4},HN!X76,HN!AD76,HN!AJ76,HN!AP76)))</f>
        <v>0</v>
      </c>
      <c r="K76">
        <f>SUMPRODUCT((MONTH(CHOOSE({1,2,3,4},HN!U76,HN!AA76,HN!AG76,HN!AM76))=11)*(CHOOSE({1,2,3,4},HN!X76,HN!AD76,HN!AJ76,HN!AP76)))</f>
        <v>0</v>
      </c>
      <c r="L76">
        <f>SUMPRODUCT((MONTH(CHOOSE({1,2,3,4},HN!U76,HN!AA76,HN!AG76,HN!AM76))=12)*(CHOOSE({1,2,3,4},HN!X76,HN!AD76,HN!AJ76,HN!AP76)))</f>
        <v>0</v>
      </c>
    </row>
    <row r="77" spans="1:12">
      <c r="A77">
        <f>SUMPRODUCT((MONTH(CHOOSE({1,2,3,4},HN!U77,HN!AA77,HN!AG77,HN!AM77))=1)*(CHOOSE({1,2,3,4},HN!X77,HN!AD77,HN!AJ77,HN!AP77)))</f>
        <v>0</v>
      </c>
      <c r="B77">
        <f>SUMPRODUCT((MONTH(CHOOSE({1,2,3,4},HN!U77,HN!AA77,HN!AG77,HN!AM77))=2)*(CHOOSE({1,2,3,4},HN!X77,HN!AD77,HN!AJ77,HN!AP77)))</f>
        <v>0</v>
      </c>
      <c r="C77">
        <f>SUMPRODUCT((MONTH(CHOOSE({1,2,3,4},HN!U77,HN!AA77,HN!AG77,HN!AM77))=3)*(CHOOSE({1,2,3,4},HN!X77,HN!AD77,HN!AJ77,HN!AP77)))</f>
        <v>0</v>
      </c>
      <c r="D77">
        <f>SUMPRODUCT((MONTH(CHOOSE({1,2,3,4},HN!U77,HN!AA77,HN!AG77,HN!AM77))=4)*(CHOOSE({1,2,3,4},HN!X77,HN!AD77,HN!AJ77,HN!AP77)))</f>
        <v>0</v>
      </c>
      <c r="E77">
        <f>SUMPRODUCT((MONTH(CHOOSE({1,2,3,4},HN!U77,HN!AA77,HN!AG77,HN!AM77))=5)*(CHOOSE({1,2,3,4},HN!X77,HN!AD77,HN!AJ77,HN!AP77)))</f>
        <v>0</v>
      </c>
      <c r="F77">
        <f>SUMPRODUCT((MONTH(CHOOSE({1,2,3,4},HN!U77,HN!AA77,HN!AG77,HN!AM77))=6)*(CHOOSE({1,2,3,4},HN!X77,HN!AD77,HN!AJ77,HN!AP77)))</f>
        <v>0</v>
      </c>
      <c r="G77">
        <f>SUMPRODUCT((MONTH(CHOOSE({1,2,3,4},HN!U77,HN!AA77,HN!AG77,HN!AM77))=7)*(CHOOSE({1,2,3,4},HN!X77,HN!AD77,HN!AJ77,HN!AP77)))</f>
        <v>0</v>
      </c>
      <c r="H77">
        <f>SUMPRODUCT((MONTH(CHOOSE({1,2,3,4},HN!U77,HN!AA77,HN!AG77,HN!AM77))=8)*(CHOOSE({1,2,3,4},HN!X77,HN!AD77,HN!AJ77,HN!AP77)))</f>
        <v>0</v>
      </c>
      <c r="I77">
        <f>SUMPRODUCT((MONTH(CHOOSE({1,2,3,4},HN!U77,HN!AA77,HN!AG77,HN!AM77))=9)*(CHOOSE({1,2,3,4},HN!X77,HN!AD77,HN!AJ77,HN!AP77)))</f>
        <v>0</v>
      </c>
      <c r="J77">
        <f>SUMPRODUCT((MONTH(CHOOSE({1,2,3,4},HN!U77,HN!AA77,HN!AG77,HN!AM77))=10)*(CHOOSE({1,2,3,4},HN!X77,HN!AD77,HN!AJ77,HN!AP77)))</f>
        <v>0</v>
      </c>
      <c r="K77">
        <f>SUMPRODUCT((MONTH(CHOOSE({1,2,3,4},HN!U77,HN!AA77,HN!AG77,HN!AM77))=11)*(CHOOSE({1,2,3,4},HN!X77,HN!AD77,HN!AJ77,HN!AP77)))</f>
        <v>0</v>
      </c>
      <c r="L77">
        <f>SUMPRODUCT((MONTH(CHOOSE({1,2,3,4},HN!U77,HN!AA77,HN!AG77,HN!AM77))=12)*(CHOOSE({1,2,3,4},HN!X77,HN!AD77,HN!AJ77,HN!AP77)))</f>
        <v>0</v>
      </c>
    </row>
    <row r="78" spans="1:12">
      <c r="A78">
        <f>SUMPRODUCT((MONTH(CHOOSE({1,2,3,4},HN!U78,HN!AA78,HN!AG78,HN!AM78))=1)*(CHOOSE({1,2,3,4},HN!X78,HN!AD78,HN!AJ78,HN!AP78)))</f>
        <v>0</v>
      </c>
      <c r="B78">
        <f>SUMPRODUCT((MONTH(CHOOSE({1,2,3,4},HN!U78,HN!AA78,HN!AG78,HN!AM78))=2)*(CHOOSE({1,2,3,4},HN!X78,HN!AD78,HN!AJ78,HN!AP78)))</f>
        <v>0</v>
      </c>
      <c r="C78">
        <f>SUMPRODUCT((MONTH(CHOOSE({1,2,3,4},HN!U78,HN!AA78,HN!AG78,HN!AM78))=3)*(CHOOSE({1,2,3,4},HN!X78,HN!AD78,HN!AJ78,HN!AP78)))</f>
        <v>0</v>
      </c>
      <c r="D78">
        <f>SUMPRODUCT((MONTH(CHOOSE({1,2,3,4},HN!U78,HN!AA78,HN!AG78,HN!AM78))=4)*(CHOOSE({1,2,3,4},HN!X78,HN!AD78,HN!AJ78,HN!AP78)))</f>
        <v>0</v>
      </c>
      <c r="E78">
        <f>SUMPRODUCT((MONTH(CHOOSE({1,2,3,4},HN!U78,HN!AA78,HN!AG78,HN!AM78))=5)*(CHOOSE({1,2,3,4},HN!X78,HN!AD78,HN!AJ78,HN!AP78)))</f>
        <v>0</v>
      </c>
      <c r="F78">
        <f>SUMPRODUCT((MONTH(CHOOSE({1,2,3,4},HN!U78,HN!AA78,HN!AG78,HN!AM78))=6)*(CHOOSE({1,2,3,4},HN!X78,HN!AD78,HN!AJ78,HN!AP78)))</f>
        <v>0</v>
      </c>
      <c r="G78">
        <f>SUMPRODUCT((MONTH(CHOOSE({1,2,3,4},HN!U78,HN!AA78,HN!AG78,HN!AM78))=7)*(CHOOSE({1,2,3,4},HN!X78,HN!AD78,HN!AJ78,HN!AP78)))</f>
        <v>0</v>
      </c>
      <c r="H78">
        <f>SUMPRODUCT((MONTH(CHOOSE({1,2,3,4},HN!U78,HN!AA78,HN!AG78,HN!AM78))=8)*(CHOOSE({1,2,3,4},HN!X78,HN!AD78,HN!AJ78,HN!AP78)))</f>
        <v>0</v>
      </c>
      <c r="I78">
        <f>SUMPRODUCT((MONTH(CHOOSE({1,2,3,4},HN!U78,HN!AA78,HN!AG78,HN!AM78))=9)*(CHOOSE({1,2,3,4},HN!X78,HN!AD78,HN!AJ78,HN!AP78)))</f>
        <v>0</v>
      </c>
      <c r="J78">
        <f>SUMPRODUCT((MONTH(CHOOSE({1,2,3,4},HN!U78,HN!AA78,HN!AG78,HN!AM78))=10)*(CHOOSE({1,2,3,4},HN!X78,HN!AD78,HN!AJ78,HN!AP78)))</f>
        <v>0</v>
      </c>
      <c r="K78">
        <f>SUMPRODUCT((MONTH(CHOOSE({1,2,3,4},HN!U78,HN!AA78,HN!AG78,HN!AM78))=11)*(CHOOSE({1,2,3,4},HN!X78,HN!AD78,HN!AJ78,HN!AP78)))</f>
        <v>0</v>
      </c>
      <c r="L78">
        <f>SUMPRODUCT((MONTH(CHOOSE({1,2,3,4},HN!U78,HN!AA78,HN!AG78,HN!AM78))=12)*(CHOOSE({1,2,3,4},HN!X78,HN!AD78,HN!AJ78,HN!AP78)))</f>
        <v>0</v>
      </c>
    </row>
    <row r="79" spans="1:12">
      <c r="A79">
        <f>SUMPRODUCT((MONTH(CHOOSE({1,2,3,4},HN!U79,HN!AA79,HN!AG79,HN!AM79))=1)*(CHOOSE({1,2,3,4},HN!X79,HN!AD79,HN!AJ79,HN!AP79)))</f>
        <v>0</v>
      </c>
      <c r="B79">
        <f>SUMPRODUCT((MONTH(CHOOSE({1,2,3,4},HN!U79,HN!AA79,HN!AG79,HN!AM79))=2)*(CHOOSE({1,2,3,4},HN!X79,HN!AD79,HN!AJ79,HN!AP79)))</f>
        <v>0</v>
      </c>
      <c r="C79">
        <f>SUMPRODUCT((MONTH(CHOOSE({1,2,3,4},HN!U79,HN!AA79,HN!AG79,HN!AM79))=3)*(CHOOSE({1,2,3,4},HN!X79,HN!AD79,HN!AJ79,HN!AP79)))</f>
        <v>0</v>
      </c>
      <c r="D79">
        <f>SUMPRODUCT((MONTH(CHOOSE({1,2,3,4},HN!U79,HN!AA79,HN!AG79,HN!AM79))=4)*(CHOOSE({1,2,3,4},HN!X79,HN!AD79,HN!AJ79,HN!AP79)))</f>
        <v>0</v>
      </c>
      <c r="E79">
        <f>SUMPRODUCT((MONTH(CHOOSE({1,2,3,4},HN!U79,HN!AA79,HN!AG79,HN!AM79))=5)*(CHOOSE({1,2,3,4},HN!X79,HN!AD79,HN!AJ79,HN!AP79)))</f>
        <v>0</v>
      </c>
      <c r="F79">
        <f>SUMPRODUCT((MONTH(CHOOSE({1,2,3,4},HN!U79,HN!AA79,HN!AG79,HN!AM79))=6)*(CHOOSE({1,2,3,4},HN!X79,HN!AD79,HN!AJ79,HN!AP79)))</f>
        <v>0</v>
      </c>
      <c r="G79">
        <f>SUMPRODUCT((MONTH(CHOOSE({1,2,3,4},HN!U79,HN!AA79,HN!AG79,HN!AM79))=7)*(CHOOSE({1,2,3,4},HN!X79,HN!AD79,HN!AJ79,HN!AP79)))</f>
        <v>0</v>
      </c>
      <c r="H79">
        <f>SUMPRODUCT((MONTH(CHOOSE({1,2,3,4},HN!U79,HN!AA79,HN!AG79,HN!AM79))=8)*(CHOOSE({1,2,3,4},HN!X79,HN!AD79,HN!AJ79,HN!AP79)))</f>
        <v>0</v>
      </c>
      <c r="I79">
        <f>SUMPRODUCT((MONTH(CHOOSE({1,2,3,4},HN!U79,HN!AA79,HN!AG79,HN!AM79))=9)*(CHOOSE({1,2,3,4},HN!X79,HN!AD79,HN!AJ79,HN!AP79)))</f>
        <v>0</v>
      </c>
      <c r="J79">
        <f>SUMPRODUCT((MONTH(CHOOSE({1,2,3,4},HN!U79,HN!AA79,HN!AG79,HN!AM79))=10)*(CHOOSE({1,2,3,4},HN!X79,HN!AD79,HN!AJ79,HN!AP79)))</f>
        <v>0</v>
      </c>
      <c r="K79">
        <f>SUMPRODUCT((MONTH(CHOOSE({1,2,3,4},HN!U79,HN!AA79,HN!AG79,HN!AM79))=11)*(CHOOSE({1,2,3,4},HN!X79,HN!AD79,HN!AJ79,HN!AP79)))</f>
        <v>0</v>
      </c>
      <c r="L79">
        <f>SUMPRODUCT((MONTH(CHOOSE({1,2,3,4},HN!U79,HN!AA79,HN!AG79,HN!AM79))=12)*(CHOOSE({1,2,3,4},HN!X79,HN!AD79,HN!AJ79,HN!AP79)))</f>
        <v>0</v>
      </c>
    </row>
    <row r="80" spans="1:12">
      <c r="A80">
        <f>SUMPRODUCT((MONTH(CHOOSE({1,2,3,4},HN!U80,HN!AA80,HN!AG80,HN!AM80))=1)*(CHOOSE({1,2,3,4},HN!X80,HN!AD80,HN!AJ80,HN!AP80)))</f>
        <v>0</v>
      </c>
      <c r="B80">
        <f>SUMPRODUCT((MONTH(CHOOSE({1,2,3,4},HN!U80,HN!AA80,HN!AG80,HN!AM80))=2)*(CHOOSE({1,2,3,4},HN!X80,HN!AD80,HN!AJ80,HN!AP80)))</f>
        <v>0</v>
      </c>
      <c r="C80">
        <f>SUMPRODUCT((MONTH(CHOOSE({1,2,3,4},HN!U80,HN!AA80,HN!AG80,HN!AM80))=3)*(CHOOSE({1,2,3,4},HN!X80,HN!AD80,HN!AJ80,HN!AP80)))</f>
        <v>0</v>
      </c>
      <c r="D80">
        <f>SUMPRODUCT((MONTH(CHOOSE({1,2,3,4},HN!U80,HN!AA80,HN!AG80,HN!AM80))=4)*(CHOOSE({1,2,3,4},HN!X80,HN!AD80,HN!AJ80,HN!AP80)))</f>
        <v>0</v>
      </c>
      <c r="E80">
        <f>SUMPRODUCT((MONTH(CHOOSE({1,2,3,4},HN!U80,HN!AA80,HN!AG80,HN!AM80))=5)*(CHOOSE({1,2,3,4},HN!X80,HN!AD80,HN!AJ80,HN!AP80)))</f>
        <v>0</v>
      </c>
      <c r="F80">
        <f>SUMPRODUCT((MONTH(CHOOSE({1,2,3,4},HN!U80,HN!AA80,HN!AG80,HN!AM80))=6)*(CHOOSE({1,2,3,4},HN!X80,HN!AD80,HN!AJ80,HN!AP80)))</f>
        <v>0</v>
      </c>
      <c r="G80">
        <f>SUMPRODUCT((MONTH(CHOOSE({1,2,3,4},HN!U80,HN!AA80,HN!AG80,HN!AM80))=7)*(CHOOSE({1,2,3,4},HN!X80,HN!AD80,HN!AJ80,HN!AP80)))</f>
        <v>0</v>
      </c>
      <c r="H80">
        <f>SUMPRODUCT((MONTH(CHOOSE({1,2,3,4},HN!U80,HN!AA80,HN!AG80,HN!AM80))=8)*(CHOOSE({1,2,3,4},HN!X80,HN!AD80,HN!AJ80,HN!AP80)))</f>
        <v>0</v>
      </c>
      <c r="I80">
        <f>SUMPRODUCT((MONTH(CHOOSE({1,2,3,4},HN!U80,HN!AA80,HN!AG80,HN!AM80))=9)*(CHOOSE({1,2,3,4},HN!X80,HN!AD80,HN!AJ80,HN!AP80)))</f>
        <v>0</v>
      </c>
      <c r="J80">
        <f>SUMPRODUCT((MONTH(CHOOSE({1,2,3,4},HN!U80,HN!AA80,HN!AG80,HN!AM80))=10)*(CHOOSE({1,2,3,4},HN!X80,HN!AD80,HN!AJ80,HN!AP80)))</f>
        <v>0</v>
      </c>
      <c r="K80">
        <f>SUMPRODUCT((MONTH(CHOOSE({1,2,3,4},HN!U80,HN!AA80,HN!AG80,HN!AM80))=11)*(CHOOSE({1,2,3,4},HN!X80,HN!AD80,HN!AJ80,HN!AP80)))</f>
        <v>0</v>
      </c>
      <c r="L80">
        <f>SUMPRODUCT((MONTH(CHOOSE({1,2,3,4},HN!U80,HN!AA80,HN!AG80,HN!AM80))=12)*(CHOOSE({1,2,3,4},HN!X80,HN!AD80,HN!AJ80,HN!AP80)))</f>
        <v>0</v>
      </c>
    </row>
    <row r="81" spans="1:12">
      <c r="A81">
        <f>SUMPRODUCT((MONTH(CHOOSE({1,2,3,4},HN!U81,HN!AA81,HN!AG81,HN!AM81))=1)*(CHOOSE({1,2,3,4},HN!X81,HN!AD81,HN!AJ81,HN!AP81)))</f>
        <v>0</v>
      </c>
      <c r="B81">
        <f>SUMPRODUCT((MONTH(CHOOSE({1,2,3,4},HN!U81,HN!AA81,HN!AG81,HN!AM81))=2)*(CHOOSE({1,2,3,4},HN!X81,HN!AD81,HN!AJ81,HN!AP81)))</f>
        <v>0</v>
      </c>
      <c r="C81">
        <f>SUMPRODUCT((MONTH(CHOOSE({1,2,3,4},HN!U81,HN!AA81,HN!AG81,HN!AM81))=3)*(CHOOSE({1,2,3,4},HN!X81,HN!AD81,HN!AJ81,HN!AP81)))</f>
        <v>0</v>
      </c>
      <c r="D81">
        <f>SUMPRODUCT((MONTH(CHOOSE({1,2,3,4},HN!U81,HN!AA81,HN!AG81,HN!AM81))=4)*(CHOOSE({1,2,3,4},HN!X81,HN!AD81,HN!AJ81,HN!AP81)))</f>
        <v>0</v>
      </c>
      <c r="E81">
        <f>SUMPRODUCT((MONTH(CHOOSE({1,2,3,4},HN!U81,HN!AA81,HN!AG81,HN!AM81))=5)*(CHOOSE({1,2,3,4},HN!X81,HN!AD81,HN!AJ81,HN!AP81)))</f>
        <v>0</v>
      </c>
      <c r="F81">
        <f>SUMPRODUCT((MONTH(CHOOSE({1,2,3,4},HN!U81,HN!AA81,HN!AG81,HN!AM81))=6)*(CHOOSE({1,2,3,4},HN!X81,HN!AD81,HN!AJ81,HN!AP81)))</f>
        <v>0</v>
      </c>
      <c r="G81">
        <f>SUMPRODUCT((MONTH(CHOOSE({1,2,3,4},HN!U81,HN!AA81,HN!AG81,HN!AM81))=7)*(CHOOSE({1,2,3,4},HN!X81,HN!AD81,HN!AJ81,HN!AP81)))</f>
        <v>0</v>
      </c>
      <c r="H81">
        <f>SUMPRODUCT((MONTH(CHOOSE({1,2,3,4},HN!U81,HN!AA81,HN!AG81,HN!AM81))=8)*(CHOOSE({1,2,3,4},HN!X81,HN!AD81,HN!AJ81,HN!AP81)))</f>
        <v>0</v>
      </c>
      <c r="I81">
        <f>SUMPRODUCT((MONTH(CHOOSE({1,2,3,4},HN!U81,HN!AA81,HN!AG81,HN!AM81))=9)*(CHOOSE({1,2,3,4},HN!X81,HN!AD81,HN!AJ81,HN!AP81)))</f>
        <v>0</v>
      </c>
      <c r="J81">
        <f>SUMPRODUCT((MONTH(CHOOSE({1,2,3,4},HN!U81,HN!AA81,HN!AG81,HN!AM81))=10)*(CHOOSE({1,2,3,4},HN!X81,HN!AD81,HN!AJ81,HN!AP81)))</f>
        <v>0</v>
      </c>
      <c r="K81">
        <f>SUMPRODUCT((MONTH(CHOOSE({1,2,3,4},HN!U81,HN!AA81,HN!AG81,HN!AM81))=11)*(CHOOSE({1,2,3,4},HN!X81,HN!AD81,HN!AJ81,HN!AP81)))</f>
        <v>0</v>
      </c>
      <c r="L81">
        <f>SUMPRODUCT((MONTH(CHOOSE({1,2,3,4},HN!U81,HN!AA81,HN!AG81,HN!AM81))=12)*(CHOOSE({1,2,3,4},HN!X81,HN!AD81,HN!AJ81,HN!AP81)))</f>
        <v>0</v>
      </c>
    </row>
    <row r="82" spans="1:12">
      <c r="A82">
        <f>SUMPRODUCT((MONTH(CHOOSE({1,2,3,4},HN!U82,HN!AA82,HN!AG82,HN!AM82))=1)*(CHOOSE({1,2,3,4},HN!X82,HN!AD82,HN!AJ82,HN!AP82)))</f>
        <v>0</v>
      </c>
      <c r="B82">
        <f>SUMPRODUCT((MONTH(CHOOSE({1,2,3,4},HN!U82,HN!AA82,HN!AG82,HN!AM82))=2)*(CHOOSE({1,2,3,4},HN!X82,HN!AD82,HN!AJ82,HN!AP82)))</f>
        <v>0</v>
      </c>
      <c r="C82">
        <f>SUMPRODUCT((MONTH(CHOOSE({1,2,3,4},HN!U82,HN!AA82,HN!AG82,HN!AM82))=3)*(CHOOSE({1,2,3,4},HN!X82,HN!AD82,HN!AJ82,HN!AP82)))</f>
        <v>0</v>
      </c>
      <c r="D82">
        <f>SUMPRODUCT((MONTH(CHOOSE({1,2,3,4},HN!U82,HN!AA82,HN!AG82,HN!AM82))=4)*(CHOOSE({1,2,3,4},HN!X82,HN!AD82,HN!AJ82,HN!AP82)))</f>
        <v>0</v>
      </c>
      <c r="E82">
        <f>SUMPRODUCT((MONTH(CHOOSE({1,2,3,4},HN!U82,HN!AA82,HN!AG82,HN!AM82))=5)*(CHOOSE({1,2,3,4},HN!X82,HN!AD82,HN!AJ82,HN!AP82)))</f>
        <v>0</v>
      </c>
      <c r="F82">
        <f>SUMPRODUCT((MONTH(CHOOSE({1,2,3,4},HN!U82,HN!AA82,HN!AG82,HN!AM82))=6)*(CHOOSE({1,2,3,4},HN!X82,HN!AD82,HN!AJ82,HN!AP82)))</f>
        <v>0</v>
      </c>
      <c r="G82">
        <f>SUMPRODUCT((MONTH(CHOOSE({1,2,3,4},HN!U82,HN!AA82,HN!AG82,HN!AM82))=7)*(CHOOSE({1,2,3,4},HN!X82,HN!AD82,HN!AJ82,HN!AP82)))</f>
        <v>0</v>
      </c>
      <c r="H82">
        <f>SUMPRODUCT((MONTH(CHOOSE({1,2,3,4},HN!U82,HN!AA82,HN!AG82,HN!AM82))=8)*(CHOOSE({1,2,3,4},HN!X82,HN!AD82,HN!AJ82,HN!AP82)))</f>
        <v>0</v>
      </c>
      <c r="I82">
        <f>SUMPRODUCT((MONTH(CHOOSE({1,2,3,4},HN!U82,HN!AA82,HN!AG82,HN!AM82))=9)*(CHOOSE({1,2,3,4},HN!X82,HN!AD82,HN!AJ82,HN!AP82)))</f>
        <v>0</v>
      </c>
      <c r="J82">
        <f>SUMPRODUCT((MONTH(CHOOSE({1,2,3,4},HN!U82,HN!AA82,HN!AG82,HN!AM82))=10)*(CHOOSE({1,2,3,4},HN!X82,HN!AD82,HN!AJ82,HN!AP82)))</f>
        <v>0</v>
      </c>
      <c r="K82">
        <f>SUMPRODUCT((MONTH(CHOOSE({1,2,3,4},HN!U82,HN!AA82,HN!AG82,HN!AM82))=11)*(CHOOSE({1,2,3,4},HN!X82,HN!AD82,HN!AJ82,HN!AP82)))</f>
        <v>0</v>
      </c>
      <c r="L82">
        <f>SUMPRODUCT((MONTH(CHOOSE({1,2,3,4},HN!U82,HN!AA82,HN!AG82,HN!AM82))=12)*(CHOOSE({1,2,3,4},HN!X82,HN!AD82,HN!AJ82,HN!AP82)))</f>
        <v>0</v>
      </c>
    </row>
    <row r="83" spans="1:12">
      <c r="A83">
        <f>SUMPRODUCT((MONTH(CHOOSE({1,2,3,4},HN!U83,HN!AA83,HN!AG83,HN!AM83))=1)*(CHOOSE({1,2,3,4},HN!X83,HN!AD83,HN!AJ83,HN!AP83)))</f>
        <v>0</v>
      </c>
      <c r="B83">
        <f>SUMPRODUCT((MONTH(CHOOSE({1,2,3,4},HN!U83,HN!AA83,HN!AG83,HN!AM83))=2)*(CHOOSE({1,2,3,4},HN!X83,HN!AD83,HN!AJ83,HN!AP83)))</f>
        <v>0</v>
      </c>
      <c r="C83">
        <f>SUMPRODUCT((MONTH(CHOOSE({1,2,3,4},HN!U83,HN!AA83,HN!AG83,HN!AM83))=3)*(CHOOSE({1,2,3,4},HN!X83,HN!AD83,HN!AJ83,HN!AP83)))</f>
        <v>0</v>
      </c>
      <c r="D83">
        <f>SUMPRODUCT((MONTH(CHOOSE({1,2,3,4},HN!U83,HN!AA83,HN!AG83,HN!AM83))=4)*(CHOOSE({1,2,3,4},HN!X83,HN!AD83,HN!AJ83,HN!AP83)))</f>
        <v>0</v>
      </c>
      <c r="E83">
        <f>SUMPRODUCT((MONTH(CHOOSE({1,2,3,4},HN!U83,HN!AA83,HN!AG83,HN!AM83))=5)*(CHOOSE({1,2,3,4},HN!X83,HN!AD83,HN!AJ83,HN!AP83)))</f>
        <v>0</v>
      </c>
      <c r="F83">
        <f>SUMPRODUCT((MONTH(CHOOSE({1,2,3,4},HN!U83,HN!AA83,HN!AG83,HN!AM83))=6)*(CHOOSE({1,2,3,4},HN!X83,HN!AD83,HN!AJ83,HN!AP83)))</f>
        <v>0</v>
      </c>
      <c r="G83">
        <f>SUMPRODUCT((MONTH(CHOOSE({1,2,3,4},HN!U83,HN!AA83,HN!AG83,HN!AM83))=7)*(CHOOSE({1,2,3,4},HN!X83,HN!AD83,HN!AJ83,HN!AP83)))</f>
        <v>0</v>
      </c>
      <c r="H83">
        <f>SUMPRODUCT((MONTH(CHOOSE({1,2,3,4},HN!U83,HN!AA83,HN!AG83,HN!AM83))=8)*(CHOOSE({1,2,3,4},HN!X83,HN!AD83,HN!AJ83,HN!AP83)))</f>
        <v>0</v>
      </c>
      <c r="I83">
        <f>SUMPRODUCT((MONTH(CHOOSE({1,2,3,4},HN!U83,HN!AA83,HN!AG83,HN!AM83))=9)*(CHOOSE({1,2,3,4},HN!X83,HN!AD83,HN!AJ83,HN!AP83)))</f>
        <v>0</v>
      </c>
      <c r="J83">
        <f>SUMPRODUCT((MONTH(CHOOSE({1,2,3,4},HN!U83,HN!AA83,HN!AG83,HN!AM83))=10)*(CHOOSE({1,2,3,4},HN!X83,HN!AD83,HN!AJ83,HN!AP83)))</f>
        <v>0</v>
      </c>
      <c r="K83">
        <f>SUMPRODUCT((MONTH(CHOOSE({1,2,3,4},HN!U83,HN!AA83,HN!AG83,HN!AM83))=11)*(CHOOSE({1,2,3,4},HN!X83,HN!AD83,HN!AJ83,HN!AP83)))</f>
        <v>0</v>
      </c>
      <c r="L83">
        <f>SUMPRODUCT((MONTH(CHOOSE({1,2,3,4},HN!U83,HN!AA83,HN!AG83,HN!AM83))=12)*(CHOOSE({1,2,3,4},HN!X83,HN!AD83,HN!AJ83,HN!AP83)))</f>
        <v>0</v>
      </c>
    </row>
    <row r="84" spans="1:12">
      <c r="A84">
        <f>SUMPRODUCT((MONTH(CHOOSE({1,2,3,4},HN!U84,HN!AA84,HN!AG84,HN!AM84))=1)*(CHOOSE({1,2,3,4},HN!X84,HN!AD84,HN!AJ84,HN!AP84)))</f>
        <v>0</v>
      </c>
      <c r="B84">
        <f>SUMPRODUCT((MONTH(CHOOSE({1,2,3,4},HN!U84,HN!AA84,HN!AG84,HN!AM84))=2)*(CHOOSE({1,2,3,4},HN!X84,HN!AD84,HN!AJ84,HN!AP84)))</f>
        <v>0</v>
      </c>
      <c r="C84">
        <f>SUMPRODUCT((MONTH(CHOOSE({1,2,3,4},HN!U84,HN!AA84,HN!AG84,HN!AM84))=3)*(CHOOSE({1,2,3,4},HN!X84,HN!AD84,HN!AJ84,HN!AP84)))</f>
        <v>0</v>
      </c>
      <c r="D84">
        <f>SUMPRODUCT((MONTH(CHOOSE({1,2,3,4},HN!U84,HN!AA84,HN!AG84,HN!AM84))=4)*(CHOOSE({1,2,3,4},HN!X84,HN!AD84,HN!AJ84,HN!AP84)))</f>
        <v>0</v>
      </c>
      <c r="E84">
        <f>SUMPRODUCT((MONTH(CHOOSE({1,2,3,4},HN!U84,HN!AA84,HN!AG84,HN!AM84))=5)*(CHOOSE({1,2,3,4},HN!X84,HN!AD84,HN!AJ84,HN!AP84)))</f>
        <v>0</v>
      </c>
      <c r="F84">
        <f>SUMPRODUCT((MONTH(CHOOSE({1,2,3,4},HN!U84,HN!AA84,HN!AG84,HN!AM84))=6)*(CHOOSE({1,2,3,4},HN!X84,HN!AD84,HN!AJ84,HN!AP84)))</f>
        <v>0</v>
      </c>
      <c r="G84">
        <f>SUMPRODUCT((MONTH(CHOOSE({1,2,3,4},HN!U84,HN!AA84,HN!AG84,HN!AM84))=7)*(CHOOSE({1,2,3,4},HN!X84,HN!AD84,HN!AJ84,HN!AP84)))</f>
        <v>0</v>
      </c>
      <c r="H84">
        <f>SUMPRODUCT((MONTH(CHOOSE({1,2,3,4},HN!U84,HN!AA84,HN!AG84,HN!AM84))=8)*(CHOOSE({1,2,3,4},HN!X84,HN!AD84,HN!AJ84,HN!AP84)))</f>
        <v>0</v>
      </c>
      <c r="I84">
        <f>SUMPRODUCT((MONTH(CHOOSE({1,2,3,4},HN!U84,HN!AA84,HN!AG84,HN!AM84))=9)*(CHOOSE({1,2,3,4},HN!X84,HN!AD84,HN!AJ84,HN!AP84)))</f>
        <v>0</v>
      </c>
      <c r="J84">
        <f>SUMPRODUCT((MONTH(CHOOSE({1,2,3,4},HN!U84,HN!AA84,HN!AG84,HN!AM84))=10)*(CHOOSE({1,2,3,4},HN!X84,HN!AD84,HN!AJ84,HN!AP84)))</f>
        <v>0</v>
      </c>
      <c r="K84">
        <f>SUMPRODUCT((MONTH(CHOOSE({1,2,3,4},HN!U84,HN!AA84,HN!AG84,HN!AM84))=11)*(CHOOSE({1,2,3,4},HN!X84,HN!AD84,HN!AJ84,HN!AP84)))</f>
        <v>0</v>
      </c>
      <c r="L84">
        <f>SUMPRODUCT((MONTH(CHOOSE({1,2,3,4},HN!U84,HN!AA84,HN!AG84,HN!AM84))=12)*(CHOOSE({1,2,3,4},HN!X84,HN!AD84,HN!AJ84,HN!AP84)))</f>
        <v>0</v>
      </c>
    </row>
    <row r="85" spans="1:12">
      <c r="A85">
        <f>SUMPRODUCT((MONTH(CHOOSE({1,2,3,4},HN!U85,HN!AA85,HN!AG85,HN!AM85))=1)*(CHOOSE({1,2,3,4},HN!X85,HN!AD85,HN!AJ85,HN!AP85)))</f>
        <v>0</v>
      </c>
      <c r="B85">
        <f>SUMPRODUCT((MONTH(CHOOSE({1,2,3,4},HN!U85,HN!AA85,HN!AG85,HN!AM85))=2)*(CHOOSE({1,2,3,4},HN!X85,HN!AD85,HN!AJ85,HN!AP85)))</f>
        <v>0</v>
      </c>
      <c r="C85">
        <f>SUMPRODUCT((MONTH(CHOOSE({1,2,3,4},HN!U85,HN!AA85,HN!AG85,HN!AM85))=3)*(CHOOSE({1,2,3,4},HN!X85,HN!AD85,HN!AJ85,HN!AP85)))</f>
        <v>0</v>
      </c>
      <c r="D85">
        <f>SUMPRODUCT((MONTH(CHOOSE({1,2,3,4},HN!U85,HN!AA85,HN!AG85,HN!AM85))=4)*(CHOOSE({1,2,3,4},HN!X85,HN!AD85,HN!AJ85,HN!AP85)))</f>
        <v>0</v>
      </c>
      <c r="E85">
        <f>SUMPRODUCT((MONTH(CHOOSE({1,2,3,4},HN!U85,HN!AA85,HN!AG85,HN!AM85))=5)*(CHOOSE({1,2,3,4},HN!X85,HN!AD85,HN!AJ85,HN!AP85)))</f>
        <v>0</v>
      </c>
      <c r="F85">
        <f>SUMPRODUCT((MONTH(CHOOSE({1,2,3,4},HN!U85,HN!AA85,HN!AG85,HN!AM85))=6)*(CHOOSE({1,2,3,4},HN!X85,HN!AD85,HN!AJ85,HN!AP85)))</f>
        <v>0</v>
      </c>
      <c r="G85">
        <f>SUMPRODUCT((MONTH(CHOOSE({1,2,3,4},HN!U85,HN!AA85,HN!AG85,HN!AM85))=7)*(CHOOSE({1,2,3,4},HN!X85,HN!AD85,HN!AJ85,HN!AP85)))</f>
        <v>0</v>
      </c>
      <c r="H85">
        <f>SUMPRODUCT((MONTH(CHOOSE({1,2,3,4},HN!U85,HN!AA85,HN!AG85,HN!AM85))=8)*(CHOOSE({1,2,3,4},HN!X85,HN!AD85,HN!AJ85,HN!AP85)))</f>
        <v>0</v>
      </c>
      <c r="I85">
        <f>SUMPRODUCT((MONTH(CHOOSE({1,2,3,4},HN!U85,HN!AA85,HN!AG85,HN!AM85))=9)*(CHOOSE({1,2,3,4},HN!X85,HN!AD85,HN!AJ85,HN!AP85)))</f>
        <v>0</v>
      </c>
      <c r="J85">
        <f>SUMPRODUCT((MONTH(CHOOSE({1,2,3,4},HN!U85,HN!AA85,HN!AG85,HN!AM85))=10)*(CHOOSE({1,2,3,4},HN!X85,HN!AD85,HN!AJ85,HN!AP85)))</f>
        <v>0</v>
      </c>
      <c r="K85">
        <f>SUMPRODUCT((MONTH(CHOOSE({1,2,3,4},HN!U85,HN!AA85,HN!AG85,HN!AM85))=11)*(CHOOSE({1,2,3,4},HN!X85,HN!AD85,HN!AJ85,HN!AP85)))</f>
        <v>0</v>
      </c>
      <c r="L85">
        <f>SUMPRODUCT((MONTH(CHOOSE({1,2,3,4},HN!U85,HN!AA85,HN!AG85,HN!AM85))=12)*(CHOOSE({1,2,3,4},HN!X85,HN!AD85,HN!AJ85,HN!AP85)))</f>
        <v>0</v>
      </c>
    </row>
    <row r="86" spans="1:12">
      <c r="A86">
        <f>SUMPRODUCT((MONTH(CHOOSE({1,2,3,4},HN!U86,HN!AA86,HN!AG86,HN!AM86))=1)*(CHOOSE({1,2,3,4},HN!X86,HN!AD86,HN!AJ86,HN!AP86)))</f>
        <v>0</v>
      </c>
      <c r="B86">
        <f>SUMPRODUCT((MONTH(CHOOSE({1,2,3,4},HN!U86,HN!AA86,HN!AG86,HN!AM86))=2)*(CHOOSE({1,2,3,4},HN!X86,HN!AD86,HN!AJ86,HN!AP86)))</f>
        <v>0</v>
      </c>
      <c r="C86">
        <f>SUMPRODUCT((MONTH(CHOOSE({1,2,3,4},HN!U86,HN!AA86,HN!AG86,HN!AM86))=3)*(CHOOSE({1,2,3,4},HN!X86,HN!AD86,HN!AJ86,HN!AP86)))</f>
        <v>0</v>
      </c>
      <c r="D86">
        <f>SUMPRODUCT((MONTH(CHOOSE({1,2,3,4},HN!U86,HN!AA86,HN!AG86,HN!AM86))=4)*(CHOOSE({1,2,3,4},HN!X86,HN!AD86,HN!AJ86,HN!AP86)))</f>
        <v>0</v>
      </c>
      <c r="E86">
        <f>SUMPRODUCT((MONTH(CHOOSE({1,2,3,4},HN!U86,HN!AA86,HN!AG86,HN!AM86))=5)*(CHOOSE({1,2,3,4},HN!X86,HN!AD86,HN!AJ86,HN!AP86)))</f>
        <v>0</v>
      </c>
      <c r="F86">
        <f>SUMPRODUCT((MONTH(CHOOSE({1,2,3,4},HN!U86,HN!AA86,HN!AG86,HN!AM86))=6)*(CHOOSE({1,2,3,4},HN!X86,HN!AD86,HN!AJ86,HN!AP86)))</f>
        <v>0</v>
      </c>
      <c r="G86">
        <f>SUMPRODUCT((MONTH(CHOOSE({1,2,3,4},HN!U86,HN!AA86,HN!AG86,HN!AM86))=7)*(CHOOSE({1,2,3,4},HN!X86,HN!AD86,HN!AJ86,HN!AP86)))</f>
        <v>0</v>
      </c>
      <c r="H86">
        <f>SUMPRODUCT((MONTH(CHOOSE({1,2,3,4},HN!U86,HN!AA86,HN!AG86,HN!AM86))=8)*(CHOOSE({1,2,3,4},HN!X86,HN!AD86,HN!AJ86,HN!AP86)))</f>
        <v>0</v>
      </c>
      <c r="I86">
        <f>SUMPRODUCT((MONTH(CHOOSE({1,2,3,4},HN!U86,HN!AA86,HN!AG86,HN!AM86))=9)*(CHOOSE({1,2,3,4},HN!X86,HN!AD86,HN!AJ86,HN!AP86)))</f>
        <v>0</v>
      </c>
      <c r="J86">
        <f>SUMPRODUCT((MONTH(CHOOSE({1,2,3,4},HN!U86,HN!AA86,HN!AG86,HN!AM86))=10)*(CHOOSE({1,2,3,4},HN!X86,HN!AD86,HN!AJ86,HN!AP86)))</f>
        <v>0</v>
      </c>
      <c r="K86">
        <f>SUMPRODUCT((MONTH(CHOOSE({1,2,3,4},HN!U86,HN!AA86,HN!AG86,HN!AM86))=11)*(CHOOSE({1,2,3,4},HN!X86,HN!AD86,HN!AJ86,HN!AP86)))</f>
        <v>0</v>
      </c>
      <c r="L86">
        <f>SUMPRODUCT((MONTH(CHOOSE({1,2,3,4},HN!U86,HN!AA86,HN!AG86,HN!AM86))=12)*(CHOOSE({1,2,3,4},HN!X86,HN!AD86,HN!AJ86,HN!AP86)))</f>
        <v>0</v>
      </c>
    </row>
    <row r="87" spans="1:12">
      <c r="A87">
        <f>SUMPRODUCT((MONTH(CHOOSE({1,2,3,4},HN!U87,HN!AA87,HN!AG87,HN!AM87))=1)*(CHOOSE({1,2,3,4},HN!X87,HN!AD87,HN!AJ87,HN!AP87)))</f>
        <v>0</v>
      </c>
      <c r="B87">
        <f>SUMPRODUCT((MONTH(CHOOSE({1,2,3,4},HN!U87,HN!AA87,HN!AG87,HN!AM87))=2)*(CHOOSE({1,2,3,4},HN!X87,HN!AD87,HN!AJ87,HN!AP87)))</f>
        <v>0</v>
      </c>
      <c r="C87">
        <f>SUMPRODUCT((MONTH(CHOOSE({1,2,3,4},HN!U87,HN!AA87,HN!AG87,HN!AM87))=3)*(CHOOSE({1,2,3,4},HN!X87,HN!AD87,HN!AJ87,HN!AP87)))</f>
        <v>0</v>
      </c>
      <c r="D87">
        <f>SUMPRODUCT((MONTH(CHOOSE({1,2,3,4},HN!U87,HN!AA87,HN!AG87,HN!AM87))=4)*(CHOOSE({1,2,3,4},HN!X87,HN!AD87,HN!AJ87,HN!AP87)))</f>
        <v>0</v>
      </c>
      <c r="E87">
        <f>SUMPRODUCT((MONTH(CHOOSE({1,2,3,4},HN!U87,HN!AA87,HN!AG87,HN!AM87))=5)*(CHOOSE({1,2,3,4},HN!X87,HN!AD87,HN!AJ87,HN!AP87)))</f>
        <v>0</v>
      </c>
      <c r="F87">
        <f>SUMPRODUCT((MONTH(CHOOSE({1,2,3,4},HN!U87,HN!AA87,HN!AG87,HN!AM87))=6)*(CHOOSE({1,2,3,4},HN!X87,HN!AD87,HN!AJ87,HN!AP87)))</f>
        <v>0</v>
      </c>
      <c r="G87">
        <f>SUMPRODUCT((MONTH(CHOOSE({1,2,3,4},HN!U87,HN!AA87,HN!AG87,HN!AM87))=7)*(CHOOSE({1,2,3,4},HN!X87,HN!AD87,HN!AJ87,HN!AP87)))</f>
        <v>0</v>
      </c>
      <c r="H87">
        <f>SUMPRODUCT((MONTH(CHOOSE({1,2,3,4},HN!U87,HN!AA87,HN!AG87,HN!AM87))=8)*(CHOOSE({1,2,3,4},HN!X87,HN!AD87,HN!AJ87,HN!AP87)))</f>
        <v>0</v>
      </c>
      <c r="I87">
        <f>SUMPRODUCT((MONTH(CHOOSE({1,2,3,4},HN!U87,HN!AA87,HN!AG87,HN!AM87))=9)*(CHOOSE({1,2,3,4},HN!X87,HN!AD87,HN!AJ87,HN!AP87)))</f>
        <v>0</v>
      </c>
      <c r="J87">
        <f>SUMPRODUCT((MONTH(CHOOSE({1,2,3,4},HN!U87,HN!AA87,HN!AG87,HN!AM87))=10)*(CHOOSE({1,2,3,4},HN!X87,HN!AD87,HN!AJ87,HN!AP87)))</f>
        <v>0</v>
      </c>
      <c r="K87">
        <f>SUMPRODUCT((MONTH(CHOOSE({1,2,3,4},HN!U87,HN!AA87,HN!AG87,HN!AM87))=11)*(CHOOSE({1,2,3,4},HN!X87,HN!AD87,HN!AJ87,HN!AP87)))</f>
        <v>0</v>
      </c>
      <c r="L87">
        <f>SUMPRODUCT((MONTH(CHOOSE({1,2,3,4},HN!U87,HN!AA87,HN!AG87,HN!AM87))=12)*(CHOOSE({1,2,3,4},HN!X87,HN!AD87,HN!AJ87,HN!AP87)))</f>
        <v>0</v>
      </c>
    </row>
    <row r="88" spans="1:12">
      <c r="A88">
        <f>SUMPRODUCT((MONTH(CHOOSE({1,2,3,4},HN!U88,HN!AA88,HN!AG88,HN!AM88))=1)*(CHOOSE({1,2,3,4},HN!X88,HN!AD88,HN!AJ88,HN!AP88)))</f>
        <v>0</v>
      </c>
      <c r="B88">
        <f>SUMPRODUCT((MONTH(CHOOSE({1,2,3,4},HN!U88,HN!AA88,HN!AG88,HN!AM88))=2)*(CHOOSE({1,2,3,4},HN!X88,HN!AD88,HN!AJ88,HN!AP88)))</f>
        <v>0</v>
      </c>
      <c r="C88">
        <f>SUMPRODUCT((MONTH(CHOOSE({1,2,3,4},HN!U88,HN!AA88,HN!AG88,HN!AM88))=3)*(CHOOSE({1,2,3,4},HN!X88,HN!AD88,HN!AJ88,HN!AP88)))</f>
        <v>0</v>
      </c>
      <c r="D88">
        <f>SUMPRODUCT((MONTH(CHOOSE({1,2,3,4},HN!U88,HN!AA88,HN!AG88,HN!AM88))=4)*(CHOOSE({1,2,3,4},HN!X88,HN!AD88,HN!AJ88,HN!AP88)))</f>
        <v>0</v>
      </c>
      <c r="E88">
        <f>SUMPRODUCT((MONTH(CHOOSE({1,2,3,4},HN!U88,HN!AA88,HN!AG88,HN!AM88))=5)*(CHOOSE({1,2,3,4},HN!X88,HN!AD88,HN!AJ88,HN!AP88)))</f>
        <v>0</v>
      </c>
      <c r="F88">
        <f>SUMPRODUCT((MONTH(CHOOSE({1,2,3,4},HN!U88,HN!AA88,HN!AG88,HN!AM88))=6)*(CHOOSE({1,2,3,4},HN!X88,HN!AD88,HN!AJ88,HN!AP88)))</f>
        <v>0</v>
      </c>
      <c r="G88">
        <f>SUMPRODUCT((MONTH(CHOOSE({1,2,3,4},HN!U88,HN!AA88,HN!AG88,HN!AM88))=7)*(CHOOSE({1,2,3,4},HN!X88,HN!AD88,HN!AJ88,HN!AP88)))</f>
        <v>0</v>
      </c>
      <c r="H88">
        <f>SUMPRODUCT((MONTH(CHOOSE({1,2,3,4},HN!U88,HN!AA88,HN!AG88,HN!AM88))=8)*(CHOOSE({1,2,3,4},HN!X88,HN!AD88,HN!AJ88,HN!AP88)))</f>
        <v>0</v>
      </c>
      <c r="I88">
        <f>SUMPRODUCT((MONTH(CHOOSE({1,2,3,4},HN!U88,HN!AA88,HN!AG88,HN!AM88))=9)*(CHOOSE({1,2,3,4},HN!X88,HN!AD88,HN!AJ88,HN!AP88)))</f>
        <v>0</v>
      </c>
      <c r="J88">
        <f>SUMPRODUCT((MONTH(CHOOSE({1,2,3,4},HN!U88,HN!AA88,HN!AG88,HN!AM88))=10)*(CHOOSE({1,2,3,4},HN!X88,HN!AD88,HN!AJ88,HN!AP88)))</f>
        <v>0</v>
      </c>
      <c r="K88">
        <f>SUMPRODUCT((MONTH(CHOOSE({1,2,3,4},HN!U88,HN!AA88,HN!AG88,HN!AM88))=11)*(CHOOSE({1,2,3,4},HN!X88,HN!AD88,HN!AJ88,HN!AP88)))</f>
        <v>0</v>
      </c>
      <c r="L88">
        <f>SUMPRODUCT((MONTH(CHOOSE({1,2,3,4},HN!U88,HN!AA88,HN!AG88,HN!AM88))=12)*(CHOOSE({1,2,3,4},HN!X88,HN!AD88,HN!AJ88,HN!AP88)))</f>
        <v>0</v>
      </c>
    </row>
    <row r="89" spans="1:12">
      <c r="A89">
        <f>SUMPRODUCT((MONTH(CHOOSE({1,2,3,4},HN!U89,HN!AA89,HN!AG89,HN!AM89))=1)*(CHOOSE({1,2,3,4},HN!X89,HN!AD89,HN!AJ89,HN!AP89)))</f>
        <v>0</v>
      </c>
      <c r="B89">
        <f>SUMPRODUCT((MONTH(CHOOSE({1,2,3,4},HN!U89,HN!AA89,HN!AG89,HN!AM89))=2)*(CHOOSE({1,2,3,4},HN!X89,HN!AD89,HN!AJ89,HN!AP89)))</f>
        <v>0</v>
      </c>
      <c r="C89">
        <f>SUMPRODUCT((MONTH(CHOOSE({1,2,3,4},HN!U89,HN!AA89,HN!AG89,HN!AM89))=3)*(CHOOSE({1,2,3,4},HN!X89,HN!AD89,HN!AJ89,HN!AP89)))</f>
        <v>0</v>
      </c>
      <c r="D89">
        <f>SUMPRODUCT((MONTH(CHOOSE({1,2,3,4},HN!U89,HN!AA89,HN!AG89,HN!AM89))=4)*(CHOOSE({1,2,3,4},HN!X89,HN!AD89,HN!AJ89,HN!AP89)))</f>
        <v>0</v>
      </c>
      <c r="E89">
        <f>SUMPRODUCT((MONTH(CHOOSE({1,2,3,4},HN!U89,HN!AA89,HN!AG89,HN!AM89))=5)*(CHOOSE({1,2,3,4},HN!X89,HN!AD89,HN!AJ89,HN!AP89)))</f>
        <v>0</v>
      </c>
      <c r="F89">
        <f>SUMPRODUCT((MONTH(CHOOSE({1,2,3,4},HN!U89,HN!AA89,HN!AG89,HN!AM89))=6)*(CHOOSE({1,2,3,4},HN!X89,HN!AD89,HN!AJ89,HN!AP89)))</f>
        <v>0</v>
      </c>
      <c r="G89">
        <f>SUMPRODUCT((MONTH(CHOOSE({1,2,3,4},HN!U89,HN!AA89,HN!AG89,HN!AM89))=7)*(CHOOSE({1,2,3,4},HN!X89,HN!AD89,HN!AJ89,HN!AP89)))</f>
        <v>0</v>
      </c>
      <c r="H89">
        <f>SUMPRODUCT((MONTH(CHOOSE({1,2,3,4},HN!U89,HN!AA89,HN!AG89,HN!AM89))=8)*(CHOOSE({1,2,3,4},HN!X89,HN!AD89,HN!AJ89,HN!AP89)))</f>
        <v>0</v>
      </c>
      <c r="I89">
        <f>SUMPRODUCT((MONTH(CHOOSE({1,2,3,4},HN!U89,HN!AA89,HN!AG89,HN!AM89))=9)*(CHOOSE({1,2,3,4},HN!X89,HN!AD89,HN!AJ89,HN!AP89)))</f>
        <v>0</v>
      </c>
      <c r="J89">
        <f>SUMPRODUCT((MONTH(CHOOSE({1,2,3,4},HN!U89,HN!AA89,HN!AG89,HN!AM89))=10)*(CHOOSE({1,2,3,4},HN!X89,HN!AD89,HN!AJ89,HN!AP89)))</f>
        <v>0</v>
      </c>
      <c r="K89">
        <f>SUMPRODUCT((MONTH(CHOOSE({1,2,3,4},HN!U89,HN!AA89,HN!AG89,HN!AM89))=11)*(CHOOSE({1,2,3,4},HN!X89,HN!AD89,HN!AJ89,HN!AP89)))</f>
        <v>0</v>
      </c>
      <c r="L89">
        <f>SUMPRODUCT((MONTH(CHOOSE({1,2,3,4},HN!U89,HN!AA89,HN!AG89,HN!AM89))=12)*(CHOOSE({1,2,3,4},HN!X89,HN!AD89,HN!AJ89,HN!AP89)))</f>
        <v>0</v>
      </c>
    </row>
    <row r="90" spans="1:12">
      <c r="A90">
        <f>SUMPRODUCT((MONTH(CHOOSE({1,2,3,4},HN!U90,HN!AA90,HN!AG90,HN!AM90))=1)*(CHOOSE({1,2,3,4},HN!X90,HN!AD90,HN!AJ90,HN!AP90)))</f>
        <v>0</v>
      </c>
      <c r="B90">
        <f>SUMPRODUCT((MONTH(CHOOSE({1,2,3,4},HN!U90,HN!AA90,HN!AG90,HN!AM90))=2)*(CHOOSE({1,2,3,4},HN!X90,HN!AD90,HN!AJ90,HN!AP90)))</f>
        <v>0</v>
      </c>
      <c r="C90">
        <f>SUMPRODUCT((MONTH(CHOOSE({1,2,3,4},HN!U90,HN!AA90,HN!AG90,HN!AM90))=3)*(CHOOSE({1,2,3,4},HN!X90,HN!AD90,HN!AJ90,HN!AP90)))</f>
        <v>0</v>
      </c>
      <c r="D90">
        <f>SUMPRODUCT((MONTH(CHOOSE({1,2,3,4},HN!U90,HN!AA90,HN!AG90,HN!AM90))=4)*(CHOOSE({1,2,3,4},HN!X90,HN!AD90,HN!AJ90,HN!AP90)))</f>
        <v>0</v>
      </c>
      <c r="E90">
        <f>SUMPRODUCT((MONTH(CHOOSE({1,2,3,4},HN!U90,HN!AA90,HN!AG90,HN!AM90))=5)*(CHOOSE({1,2,3,4},HN!X90,HN!AD90,HN!AJ90,HN!AP90)))</f>
        <v>0</v>
      </c>
      <c r="F90">
        <f>SUMPRODUCT((MONTH(CHOOSE({1,2,3,4},HN!U90,HN!AA90,HN!AG90,HN!AM90))=6)*(CHOOSE({1,2,3,4},HN!X90,HN!AD90,HN!AJ90,HN!AP90)))</f>
        <v>0</v>
      </c>
      <c r="G90">
        <f>SUMPRODUCT((MONTH(CHOOSE({1,2,3,4},HN!U90,HN!AA90,HN!AG90,HN!AM90))=7)*(CHOOSE({1,2,3,4},HN!X90,HN!AD90,HN!AJ90,HN!AP90)))</f>
        <v>0</v>
      </c>
      <c r="H90">
        <f>SUMPRODUCT((MONTH(CHOOSE({1,2,3,4},HN!U90,HN!AA90,HN!AG90,HN!AM90))=8)*(CHOOSE({1,2,3,4},HN!X90,HN!AD90,HN!AJ90,HN!AP90)))</f>
        <v>0</v>
      </c>
      <c r="I90">
        <f>SUMPRODUCT((MONTH(CHOOSE({1,2,3,4},HN!U90,HN!AA90,HN!AG90,HN!AM90))=9)*(CHOOSE({1,2,3,4},HN!X90,HN!AD90,HN!AJ90,HN!AP90)))</f>
        <v>0</v>
      </c>
      <c r="J90">
        <f>SUMPRODUCT((MONTH(CHOOSE({1,2,3,4},HN!U90,HN!AA90,HN!AG90,HN!AM90))=10)*(CHOOSE({1,2,3,4},HN!X90,HN!AD90,HN!AJ90,HN!AP90)))</f>
        <v>0</v>
      </c>
      <c r="K90">
        <f>SUMPRODUCT((MONTH(CHOOSE({1,2,3,4},HN!U90,HN!AA90,HN!AG90,HN!AM90))=11)*(CHOOSE({1,2,3,4},HN!X90,HN!AD90,HN!AJ90,HN!AP90)))</f>
        <v>0</v>
      </c>
      <c r="L90">
        <f>SUMPRODUCT((MONTH(CHOOSE({1,2,3,4},HN!U90,HN!AA90,HN!AG90,HN!AM90))=12)*(CHOOSE({1,2,3,4},HN!X90,HN!AD90,HN!AJ90,HN!AP90)))</f>
        <v>0</v>
      </c>
    </row>
    <row r="91" spans="1:12">
      <c r="A91">
        <f>SUMPRODUCT((MONTH(CHOOSE({1,2,3,4},HN!U91,HN!AA91,HN!AG91,HN!AM91))=1)*(CHOOSE({1,2,3,4},HN!X91,HN!AD91,HN!AJ91,HN!AP91)))</f>
        <v>0</v>
      </c>
      <c r="B91">
        <f>SUMPRODUCT((MONTH(CHOOSE({1,2,3,4},HN!U91,HN!AA91,HN!AG91,HN!AM91))=2)*(CHOOSE({1,2,3,4},HN!X91,HN!AD91,HN!AJ91,HN!AP91)))</f>
        <v>0</v>
      </c>
      <c r="C91">
        <f>SUMPRODUCT((MONTH(CHOOSE({1,2,3,4},HN!U91,HN!AA91,HN!AG91,HN!AM91))=3)*(CHOOSE({1,2,3,4},HN!X91,HN!AD91,HN!AJ91,HN!AP91)))</f>
        <v>0</v>
      </c>
      <c r="D91">
        <f>SUMPRODUCT((MONTH(CHOOSE({1,2,3,4},HN!U91,HN!AA91,HN!AG91,HN!AM91))=4)*(CHOOSE({1,2,3,4},HN!X91,HN!AD91,HN!AJ91,HN!AP91)))</f>
        <v>0</v>
      </c>
      <c r="E91">
        <f>SUMPRODUCT((MONTH(CHOOSE({1,2,3,4},HN!U91,HN!AA91,HN!AG91,HN!AM91))=5)*(CHOOSE({1,2,3,4},HN!X91,HN!AD91,HN!AJ91,HN!AP91)))</f>
        <v>0</v>
      </c>
      <c r="F91">
        <f>SUMPRODUCT((MONTH(CHOOSE({1,2,3,4},HN!U91,HN!AA91,HN!AG91,HN!AM91))=6)*(CHOOSE({1,2,3,4},HN!X91,HN!AD91,HN!AJ91,HN!AP91)))</f>
        <v>0</v>
      </c>
      <c r="G91">
        <f>SUMPRODUCT((MONTH(CHOOSE({1,2,3,4},HN!U91,HN!AA91,HN!AG91,HN!AM91))=7)*(CHOOSE({1,2,3,4},HN!X91,HN!AD91,HN!AJ91,HN!AP91)))</f>
        <v>0</v>
      </c>
      <c r="H91">
        <f>SUMPRODUCT((MONTH(CHOOSE({1,2,3,4},HN!U91,HN!AA91,HN!AG91,HN!AM91))=8)*(CHOOSE({1,2,3,4},HN!X91,HN!AD91,HN!AJ91,HN!AP91)))</f>
        <v>0</v>
      </c>
      <c r="I91">
        <f>SUMPRODUCT((MONTH(CHOOSE({1,2,3,4},HN!U91,HN!AA91,HN!AG91,HN!AM91))=9)*(CHOOSE({1,2,3,4},HN!X91,HN!AD91,HN!AJ91,HN!AP91)))</f>
        <v>0</v>
      </c>
      <c r="J91">
        <f>SUMPRODUCT((MONTH(CHOOSE({1,2,3,4},HN!U91,HN!AA91,HN!AG91,HN!AM91))=10)*(CHOOSE({1,2,3,4},HN!X91,HN!AD91,HN!AJ91,HN!AP91)))</f>
        <v>0</v>
      </c>
      <c r="K91">
        <f>SUMPRODUCT((MONTH(CHOOSE({1,2,3,4},HN!U91,HN!AA91,HN!AG91,HN!AM91))=11)*(CHOOSE({1,2,3,4},HN!X91,HN!AD91,HN!AJ91,HN!AP91)))</f>
        <v>0</v>
      </c>
      <c r="L91">
        <f>SUMPRODUCT((MONTH(CHOOSE({1,2,3,4},HN!U91,HN!AA91,HN!AG91,HN!AM91))=12)*(CHOOSE({1,2,3,4},HN!X91,HN!AD91,HN!AJ91,HN!AP91)))</f>
        <v>0</v>
      </c>
    </row>
    <row r="92" spans="1:12">
      <c r="A92">
        <f>SUMPRODUCT((MONTH(CHOOSE({1,2,3,4},HN!U92,HN!AA92,HN!AG92,HN!AM92))=1)*(CHOOSE({1,2,3,4},HN!X92,HN!AD92,HN!AJ92,HN!AP92)))</f>
        <v>0</v>
      </c>
      <c r="B92">
        <f>SUMPRODUCT((MONTH(CHOOSE({1,2,3,4},HN!U92,HN!AA92,HN!AG92,HN!AM92))=2)*(CHOOSE({1,2,3,4},HN!X92,HN!AD92,HN!AJ92,HN!AP92)))</f>
        <v>0</v>
      </c>
      <c r="C92">
        <f>SUMPRODUCT((MONTH(CHOOSE({1,2,3,4},HN!U92,HN!AA92,HN!AG92,HN!AM92))=3)*(CHOOSE({1,2,3,4},HN!X92,HN!AD92,HN!AJ92,HN!AP92)))</f>
        <v>0</v>
      </c>
      <c r="D92">
        <f>SUMPRODUCT((MONTH(CHOOSE({1,2,3,4},HN!U92,HN!AA92,HN!AG92,HN!AM92))=4)*(CHOOSE({1,2,3,4},HN!X92,HN!AD92,HN!AJ92,HN!AP92)))</f>
        <v>0</v>
      </c>
      <c r="E92">
        <f>SUMPRODUCT((MONTH(CHOOSE({1,2,3,4},HN!U92,HN!AA92,HN!AG92,HN!AM92))=5)*(CHOOSE({1,2,3,4},HN!X92,HN!AD92,HN!AJ92,HN!AP92)))</f>
        <v>0</v>
      </c>
      <c r="F92">
        <f>SUMPRODUCT((MONTH(CHOOSE({1,2,3,4},HN!U92,HN!AA92,HN!AG92,HN!AM92))=6)*(CHOOSE({1,2,3,4},HN!X92,HN!AD92,HN!AJ92,HN!AP92)))</f>
        <v>0</v>
      </c>
      <c r="G92">
        <f>SUMPRODUCT((MONTH(CHOOSE({1,2,3,4},HN!U92,HN!AA92,HN!AG92,HN!AM92))=7)*(CHOOSE({1,2,3,4},HN!X92,HN!AD92,HN!AJ92,HN!AP92)))</f>
        <v>0</v>
      </c>
      <c r="H92">
        <f>SUMPRODUCT((MONTH(CHOOSE({1,2,3,4},HN!U92,HN!AA92,HN!AG92,HN!AM92))=8)*(CHOOSE({1,2,3,4},HN!X92,HN!AD92,HN!AJ92,HN!AP92)))</f>
        <v>0</v>
      </c>
      <c r="I92">
        <f>SUMPRODUCT((MONTH(CHOOSE({1,2,3,4},HN!U92,HN!AA92,HN!AG92,HN!AM92))=9)*(CHOOSE({1,2,3,4},HN!X92,HN!AD92,HN!AJ92,HN!AP92)))</f>
        <v>0</v>
      </c>
      <c r="J92">
        <f>SUMPRODUCT((MONTH(CHOOSE({1,2,3,4},HN!U92,HN!AA92,HN!AG92,HN!AM92))=10)*(CHOOSE({1,2,3,4},HN!X92,HN!AD92,HN!AJ92,HN!AP92)))</f>
        <v>0</v>
      </c>
      <c r="K92">
        <f>SUMPRODUCT((MONTH(CHOOSE({1,2,3,4},HN!U92,HN!AA92,HN!AG92,HN!AM92))=11)*(CHOOSE({1,2,3,4},HN!X92,HN!AD92,HN!AJ92,HN!AP92)))</f>
        <v>0</v>
      </c>
      <c r="L92">
        <f>SUMPRODUCT((MONTH(CHOOSE({1,2,3,4},HN!U92,HN!AA92,HN!AG92,HN!AM92))=12)*(CHOOSE({1,2,3,4},HN!X92,HN!AD92,HN!AJ92,HN!AP92)))</f>
        <v>0</v>
      </c>
    </row>
    <row r="93" spans="1:12">
      <c r="A93">
        <f>SUMPRODUCT((MONTH(CHOOSE({1,2,3,4},HN!U93,HN!AA93,HN!AG93,HN!AM93))=1)*(CHOOSE({1,2,3,4},HN!X93,HN!AD93,HN!AJ93,HN!AP93)))</f>
        <v>0</v>
      </c>
      <c r="B93">
        <f>SUMPRODUCT((MONTH(CHOOSE({1,2,3,4},HN!U93,HN!AA93,HN!AG93,HN!AM93))=2)*(CHOOSE({1,2,3,4},HN!X93,HN!AD93,HN!AJ93,HN!AP93)))</f>
        <v>0</v>
      </c>
      <c r="C93">
        <f>SUMPRODUCT((MONTH(CHOOSE({1,2,3,4},HN!U93,HN!AA93,HN!AG93,HN!AM93))=3)*(CHOOSE({1,2,3,4},HN!X93,HN!AD93,HN!AJ93,HN!AP93)))</f>
        <v>0</v>
      </c>
      <c r="D93">
        <f>SUMPRODUCT((MONTH(CHOOSE({1,2,3,4},HN!U93,HN!AA93,HN!AG93,HN!AM93))=4)*(CHOOSE({1,2,3,4},HN!X93,HN!AD93,HN!AJ93,HN!AP93)))</f>
        <v>0</v>
      </c>
      <c r="E93">
        <f>SUMPRODUCT((MONTH(CHOOSE({1,2,3,4},HN!U93,HN!AA93,HN!AG93,HN!AM93))=5)*(CHOOSE({1,2,3,4},HN!X93,HN!AD93,HN!AJ93,HN!AP93)))</f>
        <v>0</v>
      </c>
      <c r="F93">
        <f>SUMPRODUCT((MONTH(CHOOSE({1,2,3,4},HN!U93,HN!AA93,HN!AG93,HN!AM93))=6)*(CHOOSE({1,2,3,4},HN!X93,HN!AD93,HN!AJ93,HN!AP93)))</f>
        <v>0</v>
      </c>
      <c r="G93">
        <f>SUMPRODUCT((MONTH(CHOOSE({1,2,3,4},HN!U93,HN!AA93,HN!AG93,HN!AM93))=7)*(CHOOSE({1,2,3,4},HN!X93,HN!AD93,HN!AJ93,HN!AP93)))</f>
        <v>0</v>
      </c>
      <c r="H93">
        <f>SUMPRODUCT((MONTH(CHOOSE({1,2,3,4},HN!U93,HN!AA93,HN!AG93,HN!AM93))=8)*(CHOOSE({1,2,3,4},HN!X93,HN!AD93,HN!AJ93,HN!AP93)))</f>
        <v>0</v>
      </c>
      <c r="I93">
        <f>SUMPRODUCT((MONTH(CHOOSE({1,2,3,4},HN!U93,HN!AA93,HN!AG93,HN!AM93))=9)*(CHOOSE({1,2,3,4},HN!X93,HN!AD93,HN!AJ93,HN!AP93)))</f>
        <v>0</v>
      </c>
      <c r="J93">
        <f>SUMPRODUCT((MONTH(CHOOSE({1,2,3,4},HN!U93,HN!AA93,HN!AG93,HN!AM93))=10)*(CHOOSE({1,2,3,4},HN!X93,HN!AD93,HN!AJ93,HN!AP93)))</f>
        <v>0</v>
      </c>
      <c r="K93">
        <f>SUMPRODUCT((MONTH(CHOOSE({1,2,3,4},HN!U93,HN!AA93,HN!AG93,HN!AM93))=11)*(CHOOSE({1,2,3,4},HN!X93,HN!AD93,HN!AJ93,HN!AP93)))</f>
        <v>0</v>
      </c>
      <c r="L93">
        <f>SUMPRODUCT((MONTH(CHOOSE({1,2,3,4},HN!U93,HN!AA93,HN!AG93,HN!AM93))=12)*(CHOOSE({1,2,3,4},HN!X93,HN!AD93,HN!AJ93,HN!AP93)))</f>
        <v>0</v>
      </c>
    </row>
    <row r="94" spans="1:12">
      <c r="A94">
        <f>SUMPRODUCT((MONTH(CHOOSE({1,2,3,4},HN!U94,HN!AA94,HN!AG94,HN!AM94))=1)*(CHOOSE({1,2,3,4},HN!X94,HN!AD94,HN!AJ94,HN!AP94)))</f>
        <v>0</v>
      </c>
      <c r="B94">
        <f>SUMPRODUCT((MONTH(CHOOSE({1,2,3,4},HN!U94,HN!AA94,HN!AG94,HN!AM94))=2)*(CHOOSE({1,2,3,4},HN!X94,HN!AD94,HN!AJ94,HN!AP94)))</f>
        <v>0</v>
      </c>
      <c r="C94">
        <f>SUMPRODUCT((MONTH(CHOOSE({1,2,3,4},HN!U94,HN!AA94,HN!AG94,HN!AM94))=3)*(CHOOSE({1,2,3,4},HN!X94,HN!AD94,HN!AJ94,HN!AP94)))</f>
        <v>0</v>
      </c>
      <c r="D94">
        <f>SUMPRODUCT((MONTH(CHOOSE({1,2,3,4},HN!U94,HN!AA94,HN!AG94,HN!AM94))=4)*(CHOOSE({1,2,3,4},HN!X94,HN!AD94,HN!AJ94,HN!AP94)))</f>
        <v>0</v>
      </c>
      <c r="E94">
        <f>SUMPRODUCT((MONTH(CHOOSE({1,2,3,4},HN!U94,HN!AA94,HN!AG94,HN!AM94))=5)*(CHOOSE({1,2,3,4},HN!X94,HN!AD94,HN!AJ94,HN!AP94)))</f>
        <v>0</v>
      </c>
      <c r="F94">
        <f>SUMPRODUCT((MONTH(CHOOSE({1,2,3,4},HN!U94,HN!AA94,HN!AG94,HN!AM94))=6)*(CHOOSE({1,2,3,4},HN!X94,HN!AD94,HN!AJ94,HN!AP94)))</f>
        <v>0</v>
      </c>
      <c r="G94">
        <f>SUMPRODUCT((MONTH(CHOOSE({1,2,3,4},HN!U94,HN!AA94,HN!AG94,HN!AM94))=7)*(CHOOSE({1,2,3,4},HN!X94,HN!AD94,HN!AJ94,HN!AP94)))</f>
        <v>0</v>
      </c>
      <c r="H94">
        <f>SUMPRODUCT((MONTH(CHOOSE({1,2,3,4},HN!U94,HN!AA94,HN!AG94,HN!AM94))=8)*(CHOOSE({1,2,3,4},HN!X94,HN!AD94,HN!AJ94,HN!AP94)))</f>
        <v>0</v>
      </c>
      <c r="I94">
        <f>SUMPRODUCT((MONTH(CHOOSE({1,2,3,4},HN!U94,HN!AA94,HN!AG94,HN!AM94))=9)*(CHOOSE({1,2,3,4},HN!X94,HN!AD94,HN!AJ94,HN!AP94)))</f>
        <v>0</v>
      </c>
      <c r="J94">
        <f>SUMPRODUCT((MONTH(CHOOSE({1,2,3,4},HN!U94,HN!AA94,HN!AG94,HN!AM94))=10)*(CHOOSE({1,2,3,4},HN!X94,HN!AD94,HN!AJ94,HN!AP94)))</f>
        <v>0</v>
      </c>
      <c r="K94">
        <f>SUMPRODUCT((MONTH(CHOOSE({1,2,3,4},HN!U94,HN!AA94,HN!AG94,HN!AM94))=11)*(CHOOSE({1,2,3,4},HN!X94,HN!AD94,HN!AJ94,HN!AP94)))</f>
        <v>0</v>
      </c>
      <c r="L94">
        <f>SUMPRODUCT((MONTH(CHOOSE({1,2,3,4},HN!U94,HN!AA94,HN!AG94,HN!AM94))=12)*(CHOOSE({1,2,3,4},HN!X94,HN!AD94,HN!AJ94,HN!AP94)))</f>
        <v>0</v>
      </c>
    </row>
    <row r="95" spans="1:12">
      <c r="A95">
        <f>SUMPRODUCT((MONTH(CHOOSE({1,2,3,4},HN!U95,HN!AA95,HN!AG95,HN!AM95))=1)*(CHOOSE({1,2,3,4},HN!X95,HN!AD95,HN!AJ95,HN!AP95)))</f>
        <v>0</v>
      </c>
      <c r="B95">
        <f>SUMPRODUCT((MONTH(CHOOSE({1,2,3,4},HN!U95,HN!AA95,HN!AG95,HN!AM95))=2)*(CHOOSE({1,2,3,4},HN!X95,HN!AD95,HN!AJ95,HN!AP95)))</f>
        <v>0</v>
      </c>
      <c r="C95">
        <f>SUMPRODUCT((MONTH(CHOOSE({1,2,3,4},HN!U95,HN!AA95,HN!AG95,HN!AM95))=3)*(CHOOSE({1,2,3,4},HN!X95,HN!AD95,HN!AJ95,HN!AP95)))</f>
        <v>0</v>
      </c>
      <c r="D95">
        <f>SUMPRODUCT((MONTH(CHOOSE({1,2,3,4},HN!U95,HN!AA95,HN!AG95,HN!AM95))=4)*(CHOOSE({1,2,3,4},HN!X95,HN!AD95,HN!AJ95,HN!AP95)))</f>
        <v>0</v>
      </c>
      <c r="E95">
        <f>SUMPRODUCT((MONTH(CHOOSE({1,2,3,4},HN!U95,HN!AA95,HN!AG95,HN!AM95))=5)*(CHOOSE({1,2,3,4},HN!X95,HN!AD95,HN!AJ95,HN!AP95)))</f>
        <v>0</v>
      </c>
      <c r="F95">
        <f>SUMPRODUCT((MONTH(CHOOSE({1,2,3,4},HN!U95,HN!AA95,HN!AG95,HN!AM95))=6)*(CHOOSE({1,2,3,4},HN!X95,HN!AD95,HN!AJ95,HN!AP95)))</f>
        <v>0</v>
      </c>
      <c r="G95">
        <f>SUMPRODUCT((MONTH(CHOOSE({1,2,3,4},HN!U95,HN!AA95,HN!AG95,HN!AM95))=7)*(CHOOSE({1,2,3,4},HN!X95,HN!AD95,HN!AJ95,HN!AP95)))</f>
        <v>0</v>
      </c>
      <c r="H95">
        <f>SUMPRODUCT((MONTH(CHOOSE({1,2,3,4},HN!U95,HN!AA95,HN!AG95,HN!AM95))=8)*(CHOOSE({1,2,3,4},HN!X95,HN!AD95,HN!AJ95,HN!AP95)))</f>
        <v>0</v>
      </c>
      <c r="I95">
        <f>SUMPRODUCT((MONTH(CHOOSE({1,2,3,4},HN!U95,HN!AA95,HN!AG95,HN!AM95))=9)*(CHOOSE({1,2,3,4},HN!X95,HN!AD95,HN!AJ95,HN!AP95)))</f>
        <v>0</v>
      </c>
      <c r="J95">
        <f>SUMPRODUCT((MONTH(CHOOSE({1,2,3,4},HN!U95,HN!AA95,HN!AG95,HN!AM95))=10)*(CHOOSE({1,2,3,4},HN!X95,HN!AD95,HN!AJ95,HN!AP95)))</f>
        <v>0</v>
      </c>
      <c r="K95">
        <f>SUMPRODUCT((MONTH(CHOOSE({1,2,3,4},HN!U95,HN!AA95,HN!AG95,HN!AM95))=11)*(CHOOSE({1,2,3,4},HN!X95,HN!AD95,HN!AJ95,HN!AP95)))</f>
        <v>0</v>
      </c>
      <c r="L95">
        <f>SUMPRODUCT((MONTH(CHOOSE({1,2,3,4},HN!U95,HN!AA95,HN!AG95,HN!AM95))=12)*(CHOOSE({1,2,3,4},HN!X95,HN!AD95,HN!AJ95,HN!AP95)))</f>
        <v>0</v>
      </c>
    </row>
    <row r="96" spans="1:12">
      <c r="A96">
        <f>SUMPRODUCT((MONTH(CHOOSE({1,2,3,4},HN!U96,HN!AA96,HN!AG96,HN!AM96))=1)*(CHOOSE({1,2,3,4},HN!X96,HN!AD96,HN!AJ96,HN!AP96)))</f>
        <v>0</v>
      </c>
      <c r="B96">
        <f>SUMPRODUCT((MONTH(CHOOSE({1,2,3,4},HN!U96,HN!AA96,HN!AG96,HN!AM96))=2)*(CHOOSE({1,2,3,4},HN!X96,HN!AD96,HN!AJ96,HN!AP96)))</f>
        <v>0</v>
      </c>
      <c r="C96">
        <f>SUMPRODUCT((MONTH(CHOOSE({1,2,3,4},HN!U96,HN!AA96,HN!AG96,HN!AM96))=3)*(CHOOSE({1,2,3,4},HN!X96,HN!AD96,HN!AJ96,HN!AP96)))</f>
        <v>0</v>
      </c>
      <c r="D96">
        <f>SUMPRODUCT((MONTH(CHOOSE({1,2,3,4},HN!U96,HN!AA96,HN!AG96,HN!AM96))=4)*(CHOOSE({1,2,3,4},HN!X96,HN!AD96,HN!AJ96,HN!AP96)))</f>
        <v>0</v>
      </c>
      <c r="E96">
        <f>SUMPRODUCT((MONTH(CHOOSE({1,2,3,4},HN!U96,HN!AA96,HN!AG96,HN!AM96))=5)*(CHOOSE({1,2,3,4},HN!X96,HN!AD96,HN!AJ96,HN!AP96)))</f>
        <v>0</v>
      </c>
      <c r="F96">
        <f>SUMPRODUCT((MONTH(CHOOSE({1,2,3,4},HN!U96,HN!AA96,HN!AG96,HN!AM96))=6)*(CHOOSE({1,2,3,4},HN!X96,HN!AD96,HN!AJ96,HN!AP96)))</f>
        <v>0</v>
      </c>
      <c r="G96">
        <f>SUMPRODUCT((MONTH(CHOOSE({1,2,3,4},HN!U96,HN!AA96,HN!AG96,HN!AM96))=7)*(CHOOSE({1,2,3,4},HN!X96,HN!AD96,HN!AJ96,HN!AP96)))</f>
        <v>0</v>
      </c>
      <c r="H96">
        <f>SUMPRODUCT((MONTH(CHOOSE({1,2,3,4},HN!U96,HN!AA96,HN!AG96,HN!AM96))=8)*(CHOOSE({1,2,3,4},HN!X96,HN!AD96,HN!AJ96,HN!AP96)))</f>
        <v>0</v>
      </c>
      <c r="I96">
        <f>SUMPRODUCT((MONTH(CHOOSE({1,2,3,4},HN!U96,HN!AA96,HN!AG96,HN!AM96))=9)*(CHOOSE({1,2,3,4},HN!X96,HN!AD96,HN!AJ96,HN!AP96)))</f>
        <v>0</v>
      </c>
      <c r="J96">
        <f>SUMPRODUCT((MONTH(CHOOSE({1,2,3,4},HN!U96,HN!AA96,HN!AG96,HN!AM96))=10)*(CHOOSE({1,2,3,4},HN!X96,HN!AD96,HN!AJ96,HN!AP96)))</f>
        <v>0</v>
      </c>
      <c r="K96">
        <f>SUMPRODUCT((MONTH(CHOOSE({1,2,3,4},HN!U96,HN!AA96,HN!AG96,HN!AM96))=11)*(CHOOSE({1,2,3,4},HN!X96,HN!AD96,HN!AJ96,HN!AP96)))</f>
        <v>0</v>
      </c>
      <c r="L96">
        <f>SUMPRODUCT((MONTH(CHOOSE({1,2,3,4},HN!U96,HN!AA96,HN!AG96,HN!AM96))=12)*(CHOOSE({1,2,3,4},HN!X96,HN!AD96,HN!AJ96,HN!AP96)))</f>
        <v>0</v>
      </c>
    </row>
    <row r="97" spans="1:12">
      <c r="A97">
        <f>SUMPRODUCT((MONTH(CHOOSE({1,2,3,4},HN!U97,HN!AA97,HN!AG97,HN!AM97))=1)*(CHOOSE({1,2,3,4},HN!X97,HN!AD97,HN!AJ97,HN!AP97)))</f>
        <v>0</v>
      </c>
      <c r="B97">
        <f>SUMPRODUCT((MONTH(CHOOSE({1,2,3,4},HN!U97,HN!AA97,HN!AG97,HN!AM97))=2)*(CHOOSE({1,2,3,4},HN!X97,HN!AD97,HN!AJ97,HN!AP97)))</f>
        <v>0</v>
      </c>
      <c r="C97">
        <f>SUMPRODUCT((MONTH(CHOOSE({1,2,3,4},HN!U97,HN!AA97,HN!AG97,HN!AM97))=3)*(CHOOSE({1,2,3,4},HN!X97,HN!AD97,HN!AJ97,HN!AP97)))</f>
        <v>0</v>
      </c>
      <c r="D97">
        <f>SUMPRODUCT((MONTH(CHOOSE({1,2,3,4},HN!U97,HN!AA97,HN!AG97,HN!AM97))=4)*(CHOOSE({1,2,3,4},HN!X97,HN!AD97,HN!AJ97,HN!AP97)))</f>
        <v>0</v>
      </c>
      <c r="E97">
        <f>SUMPRODUCT((MONTH(CHOOSE({1,2,3,4},HN!U97,HN!AA97,HN!AG97,HN!AM97))=5)*(CHOOSE({1,2,3,4},HN!X97,HN!AD97,HN!AJ97,HN!AP97)))</f>
        <v>0</v>
      </c>
      <c r="F97">
        <f>SUMPRODUCT((MONTH(CHOOSE({1,2,3,4},HN!U97,HN!AA97,HN!AG97,HN!AM97))=6)*(CHOOSE({1,2,3,4},HN!X97,HN!AD97,HN!AJ97,HN!AP97)))</f>
        <v>0</v>
      </c>
      <c r="G97">
        <f>SUMPRODUCT((MONTH(CHOOSE({1,2,3,4},HN!U97,HN!AA97,HN!AG97,HN!AM97))=7)*(CHOOSE({1,2,3,4},HN!X97,HN!AD97,HN!AJ97,HN!AP97)))</f>
        <v>0</v>
      </c>
      <c r="H97">
        <f>SUMPRODUCT((MONTH(CHOOSE({1,2,3,4},HN!U97,HN!AA97,HN!AG97,HN!AM97))=8)*(CHOOSE({1,2,3,4},HN!X97,HN!AD97,HN!AJ97,HN!AP97)))</f>
        <v>0</v>
      </c>
      <c r="I97">
        <f>SUMPRODUCT((MONTH(CHOOSE({1,2,3,4},HN!U97,HN!AA97,HN!AG97,HN!AM97))=9)*(CHOOSE({1,2,3,4},HN!X97,HN!AD97,HN!AJ97,HN!AP97)))</f>
        <v>0</v>
      </c>
      <c r="J97">
        <f>SUMPRODUCT((MONTH(CHOOSE({1,2,3,4},HN!U97,HN!AA97,HN!AG97,HN!AM97))=10)*(CHOOSE({1,2,3,4},HN!X97,HN!AD97,HN!AJ97,HN!AP97)))</f>
        <v>0</v>
      </c>
      <c r="K97">
        <f>SUMPRODUCT((MONTH(CHOOSE({1,2,3,4},HN!U97,HN!AA97,HN!AG97,HN!AM97))=11)*(CHOOSE({1,2,3,4},HN!X97,HN!AD97,HN!AJ97,HN!AP97)))</f>
        <v>0</v>
      </c>
      <c r="L97">
        <f>SUMPRODUCT((MONTH(CHOOSE({1,2,3,4},HN!U97,HN!AA97,HN!AG97,HN!AM97))=12)*(CHOOSE({1,2,3,4},HN!X97,HN!AD97,HN!AJ97,HN!AP97)))</f>
        <v>0</v>
      </c>
    </row>
    <row r="98" spans="1:12">
      <c r="A98">
        <f>SUMPRODUCT((MONTH(CHOOSE({1,2,3,4},HN!U98,HN!AA98,HN!AG98,HN!AM98))=1)*(CHOOSE({1,2,3,4},HN!X98,HN!AD98,HN!AJ98,HN!AP98)))</f>
        <v>0</v>
      </c>
      <c r="B98">
        <f>SUMPRODUCT((MONTH(CHOOSE({1,2,3,4},HN!U98,HN!AA98,HN!AG98,HN!AM98))=2)*(CHOOSE({1,2,3,4},HN!X98,HN!AD98,HN!AJ98,HN!AP98)))</f>
        <v>0</v>
      </c>
      <c r="C98">
        <f>SUMPRODUCT((MONTH(CHOOSE({1,2,3,4},HN!U98,HN!AA98,HN!AG98,HN!AM98))=3)*(CHOOSE({1,2,3,4},HN!X98,HN!AD98,HN!AJ98,HN!AP98)))</f>
        <v>0</v>
      </c>
      <c r="D98">
        <f>SUMPRODUCT((MONTH(CHOOSE({1,2,3,4},HN!U98,HN!AA98,HN!AG98,HN!AM98))=4)*(CHOOSE({1,2,3,4},HN!X98,HN!AD98,HN!AJ98,HN!AP98)))</f>
        <v>0</v>
      </c>
      <c r="E98">
        <f>SUMPRODUCT((MONTH(CHOOSE({1,2,3,4},HN!U98,HN!AA98,HN!AG98,HN!AM98))=5)*(CHOOSE({1,2,3,4},HN!X98,HN!AD98,HN!AJ98,HN!AP98)))</f>
        <v>0</v>
      </c>
      <c r="F98">
        <f>SUMPRODUCT((MONTH(CHOOSE({1,2,3,4},HN!U98,HN!AA98,HN!AG98,HN!AM98))=6)*(CHOOSE({1,2,3,4},HN!X98,HN!AD98,HN!AJ98,HN!AP98)))</f>
        <v>0</v>
      </c>
      <c r="G98">
        <f>SUMPRODUCT((MONTH(CHOOSE({1,2,3,4},HN!U98,HN!AA98,HN!AG98,HN!AM98))=7)*(CHOOSE({1,2,3,4},HN!X98,HN!AD98,HN!AJ98,HN!AP98)))</f>
        <v>0</v>
      </c>
      <c r="H98">
        <f>SUMPRODUCT((MONTH(CHOOSE({1,2,3,4},HN!U98,HN!AA98,HN!AG98,HN!AM98))=8)*(CHOOSE({1,2,3,4},HN!X98,HN!AD98,HN!AJ98,HN!AP98)))</f>
        <v>0</v>
      </c>
      <c r="I98">
        <f>SUMPRODUCT((MONTH(CHOOSE({1,2,3,4},HN!U98,HN!AA98,HN!AG98,HN!AM98))=9)*(CHOOSE({1,2,3,4},HN!X98,HN!AD98,HN!AJ98,HN!AP98)))</f>
        <v>0</v>
      </c>
      <c r="J98">
        <f>SUMPRODUCT((MONTH(CHOOSE({1,2,3,4},HN!U98,HN!AA98,HN!AG98,HN!AM98))=10)*(CHOOSE({1,2,3,4},HN!X98,HN!AD98,HN!AJ98,HN!AP98)))</f>
        <v>0</v>
      </c>
      <c r="K98">
        <f>SUMPRODUCT((MONTH(CHOOSE({1,2,3,4},HN!U98,HN!AA98,HN!AG98,HN!AM98))=11)*(CHOOSE({1,2,3,4},HN!X98,HN!AD98,HN!AJ98,HN!AP98)))</f>
        <v>0</v>
      </c>
      <c r="L98">
        <f>SUMPRODUCT((MONTH(CHOOSE({1,2,3,4},HN!U98,HN!AA98,HN!AG98,HN!AM98))=12)*(CHOOSE({1,2,3,4},HN!X98,HN!AD98,HN!AJ98,HN!AP98)))</f>
        <v>0</v>
      </c>
    </row>
    <row r="99" spans="1:12">
      <c r="A99">
        <f>SUMPRODUCT((MONTH(CHOOSE({1,2,3,4},HN!U99,HN!AA99,HN!AG99,HN!AM99))=1)*(CHOOSE({1,2,3,4},HN!X99,HN!AD99,HN!AJ99,HN!AP99)))</f>
        <v>0</v>
      </c>
      <c r="B99">
        <f>SUMPRODUCT((MONTH(CHOOSE({1,2,3,4},HN!U99,HN!AA99,HN!AG99,HN!AM99))=2)*(CHOOSE({1,2,3,4},HN!X99,HN!AD99,HN!AJ99,HN!AP99)))</f>
        <v>0</v>
      </c>
      <c r="C99">
        <f>SUMPRODUCT((MONTH(CHOOSE({1,2,3,4},HN!U99,HN!AA99,HN!AG99,HN!AM99))=3)*(CHOOSE({1,2,3,4},HN!X99,HN!AD99,HN!AJ99,HN!AP99)))</f>
        <v>0</v>
      </c>
      <c r="D99">
        <f>SUMPRODUCT((MONTH(CHOOSE({1,2,3,4},HN!U99,HN!AA99,HN!AG99,HN!AM99))=4)*(CHOOSE({1,2,3,4},HN!X99,HN!AD99,HN!AJ99,HN!AP99)))</f>
        <v>0</v>
      </c>
      <c r="E99">
        <f>SUMPRODUCT((MONTH(CHOOSE({1,2,3,4},HN!U99,HN!AA99,HN!AG99,HN!AM99))=5)*(CHOOSE({1,2,3,4},HN!X99,HN!AD99,HN!AJ99,HN!AP99)))</f>
        <v>0</v>
      </c>
      <c r="F99">
        <f>SUMPRODUCT((MONTH(CHOOSE({1,2,3,4},HN!U99,HN!AA99,HN!AG99,HN!AM99))=6)*(CHOOSE({1,2,3,4},HN!X99,HN!AD99,HN!AJ99,HN!AP99)))</f>
        <v>0</v>
      </c>
      <c r="G99">
        <f>SUMPRODUCT((MONTH(CHOOSE({1,2,3,4},HN!U99,HN!AA99,HN!AG99,HN!AM99))=7)*(CHOOSE({1,2,3,4},HN!X99,HN!AD99,HN!AJ99,HN!AP99)))</f>
        <v>0</v>
      </c>
      <c r="H99">
        <f>SUMPRODUCT((MONTH(CHOOSE({1,2,3,4},HN!U99,HN!AA99,HN!AG99,HN!AM99))=8)*(CHOOSE({1,2,3,4},HN!X99,HN!AD99,HN!AJ99,HN!AP99)))</f>
        <v>0</v>
      </c>
      <c r="I99">
        <f>SUMPRODUCT((MONTH(CHOOSE({1,2,3,4},HN!U99,HN!AA99,HN!AG99,HN!AM99))=9)*(CHOOSE({1,2,3,4},HN!X99,HN!AD99,HN!AJ99,HN!AP99)))</f>
        <v>0</v>
      </c>
      <c r="J99">
        <f>SUMPRODUCT((MONTH(CHOOSE({1,2,3,4},HN!U99,HN!AA99,HN!AG99,HN!AM99))=10)*(CHOOSE({1,2,3,4},HN!X99,HN!AD99,HN!AJ99,HN!AP99)))</f>
        <v>0</v>
      </c>
      <c r="K99">
        <f>SUMPRODUCT((MONTH(CHOOSE({1,2,3,4},HN!U99,HN!AA99,HN!AG99,HN!AM99))=11)*(CHOOSE({1,2,3,4},HN!X99,HN!AD99,HN!AJ99,HN!AP99)))</f>
        <v>0</v>
      </c>
      <c r="L99">
        <f>SUMPRODUCT((MONTH(CHOOSE({1,2,3,4},HN!U99,HN!AA99,HN!AG99,HN!AM99))=12)*(CHOOSE({1,2,3,4},HN!X99,HN!AD99,HN!AJ99,HN!AP99)))</f>
        <v>0</v>
      </c>
    </row>
    <row r="100" spans="1:12">
      <c r="A100">
        <f>SUMPRODUCT((MONTH(CHOOSE({1,2,3,4},HN!U100,HN!AA100,HN!AG100,HN!AM100))=1)*(CHOOSE({1,2,3,4},HN!X100,HN!AD100,HN!AJ100,HN!AP100)))</f>
        <v>0</v>
      </c>
      <c r="B100">
        <f>SUMPRODUCT((MONTH(CHOOSE({1,2,3,4},HN!U100,HN!AA100,HN!AG100,HN!AM100))=2)*(CHOOSE({1,2,3,4},HN!X100,HN!AD100,HN!AJ100,HN!AP100)))</f>
        <v>0</v>
      </c>
      <c r="C100">
        <f>SUMPRODUCT((MONTH(CHOOSE({1,2,3,4},HN!U100,HN!AA100,HN!AG100,HN!AM100))=3)*(CHOOSE({1,2,3,4},HN!X100,HN!AD100,HN!AJ100,HN!AP100)))</f>
        <v>0</v>
      </c>
      <c r="D100">
        <f>SUMPRODUCT((MONTH(CHOOSE({1,2,3,4},HN!U100,HN!AA100,HN!AG100,HN!AM100))=4)*(CHOOSE({1,2,3,4},HN!X100,HN!AD100,HN!AJ100,HN!AP100)))</f>
        <v>0</v>
      </c>
      <c r="E100">
        <f>SUMPRODUCT((MONTH(CHOOSE({1,2,3,4},HN!U100,HN!AA100,HN!AG100,HN!AM100))=5)*(CHOOSE({1,2,3,4},HN!X100,HN!AD100,HN!AJ100,HN!AP100)))</f>
        <v>0</v>
      </c>
      <c r="F100">
        <f>SUMPRODUCT((MONTH(CHOOSE({1,2,3,4},HN!U100,HN!AA100,HN!AG100,HN!AM100))=6)*(CHOOSE({1,2,3,4},HN!X100,HN!AD100,HN!AJ100,HN!AP100)))</f>
        <v>0</v>
      </c>
      <c r="G100">
        <f>SUMPRODUCT((MONTH(CHOOSE({1,2,3,4},HN!U100,HN!AA100,HN!AG100,HN!AM100))=7)*(CHOOSE({1,2,3,4},HN!X100,HN!AD100,HN!AJ100,HN!AP100)))</f>
        <v>0</v>
      </c>
      <c r="H100">
        <f>SUMPRODUCT((MONTH(CHOOSE({1,2,3,4},HN!U100,HN!AA100,HN!AG100,HN!AM100))=8)*(CHOOSE({1,2,3,4},HN!X100,HN!AD100,HN!AJ100,HN!AP100)))</f>
        <v>0</v>
      </c>
      <c r="I100">
        <f>SUMPRODUCT((MONTH(CHOOSE({1,2,3,4},HN!U100,HN!AA100,HN!AG100,HN!AM100))=9)*(CHOOSE({1,2,3,4},HN!X100,HN!AD100,HN!AJ100,HN!AP100)))</f>
        <v>0</v>
      </c>
      <c r="J100">
        <f>SUMPRODUCT((MONTH(CHOOSE({1,2,3,4},HN!U100,HN!AA100,HN!AG100,HN!AM100))=10)*(CHOOSE({1,2,3,4},HN!X100,HN!AD100,HN!AJ100,HN!AP100)))</f>
        <v>0</v>
      </c>
      <c r="K100">
        <f>SUMPRODUCT((MONTH(CHOOSE({1,2,3,4},HN!U100,HN!AA100,HN!AG100,HN!AM100))=11)*(CHOOSE({1,2,3,4},HN!X100,HN!AD100,HN!AJ100,HN!AP100)))</f>
        <v>0</v>
      </c>
      <c r="L100">
        <f>SUMPRODUCT((MONTH(CHOOSE({1,2,3,4},HN!U100,HN!AA100,HN!AG100,HN!AM100))=12)*(CHOOSE({1,2,3,4},HN!X100,HN!AD100,HN!AJ100,HN!AP100)))</f>
        <v>0</v>
      </c>
    </row>
    <row r="101" spans="1:12">
      <c r="A101">
        <f>SUMPRODUCT((MONTH(CHOOSE({1,2,3,4},HN!U101,HN!AA101,HN!AG101,HN!AM101))=1)*(CHOOSE({1,2,3,4},HN!X101,HN!AD101,HN!AJ101,HN!AP101)))</f>
        <v>0</v>
      </c>
      <c r="B101">
        <f>SUMPRODUCT((MONTH(CHOOSE({1,2,3,4},HN!U101,HN!AA101,HN!AG101,HN!AM101))=2)*(CHOOSE({1,2,3,4},HN!X101,HN!AD101,HN!AJ101,HN!AP101)))</f>
        <v>0</v>
      </c>
      <c r="C101">
        <f>SUMPRODUCT((MONTH(CHOOSE({1,2,3,4},HN!U101,HN!AA101,HN!AG101,HN!AM101))=3)*(CHOOSE({1,2,3,4},HN!X101,HN!AD101,HN!AJ101,HN!AP101)))</f>
        <v>0</v>
      </c>
      <c r="D101">
        <f>SUMPRODUCT((MONTH(CHOOSE({1,2,3,4},HN!U101,HN!AA101,HN!AG101,HN!AM101))=4)*(CHOOSE({1,2,3,4},HN!X101,HN!AD101,HN!AJ101,HN!AP101)))</f>
        <v>0</v>
      </c>
      <c r="E101">
        <f>SUMPRODUCT((MONTH(CHOOSE({1,2,3,4},HN!U101,HN!AA101,HN!AG101,HN!AM101))=5)*(CHOOSE({1,2,3,4},HN!X101,HN!AD101,HN!AJ101,HN!AP101)))</f>
        <v>0</v>
      </c>
      <c r="F101">
        <f>SUMPRODUCT((MONTH(CHOOSE({1,2,3,4},HN!U101,HN!AA101,HN!AG101,HN!AM101))=6)*(CHOOSE({1,2,3,4},HN!X101,HN!AD101,HN!AJ101,HN!AP101)))</f>
        <v>0</v>
      </c>
      <c r="G101">
        <f>SUMPRODUCT((MONTH(CHOOSE({1,2,3,4},HN!U101,HN!AA101,HN!AG101,HN!AM101))=7)*(CHOOSE({1,2,3,4},HN!X101,HN!AD101,HN!AJ101,HN!AP101)))</f>
        <v>0</v>
      </c>
      <c r="H101">
        <f>SUMPRODUCT((MONTH(CHOOSE({1,2,3,4},HN!U101,HN!AA101,HN!AG101,HN!AM101))=8)*(CHOOSE({1,2,3,4},HN!X101,HN!AD101,HN!AJ101,HN!AP101)))</f>
        <v>0</v>
      </c>
      <c r="I101">
        <f>SUMPRODUCT((MONTH(CHOOSE({1,2,3,4},HN!U101,HN!AA101,HN!AG101,HN!AM101))=9)*(CHOOSE({1,2,3,4},HN!X101,HN!AD101,HN!AJ101,HN!AP101)))</f>
        <v>0</v>
      </c>
      <c r="J101">
        <f>SUMPRODUCT((MONTH(CHOOSE({1,2,3,4},HN!U101,HN!AA101,HN!AG101,HN!AM101))=10)*(CHOOSE({1,2,3,4},HN!X101,HN!AD101,HN!AJ101,HN!AP101)))</f>
        <v>0</v>
      </c>
      <c r="K101">
        <f>SUMPRODUCT((MONTH(CHOOSE({1,2,3,4},HN!U101,HN!AA101,HN!AG101,HN!AM101))=11)*(CHOOSE({1,2,3,4},HN!X101,HN!AD101,HN!AJ101,HN!AP101)))</f>
        <v>0</v>
      </c>
      <c r="L101">
        <f>SUMPRODUCT((MONTH(CHOOSE({1,2,3,4},HN!U101,HN!AA101,HN!AG101,HN!AM101))=12)*(CHOOSE({1,2,3,4},HN!X101,HN!AD101,HN!AJ101,HN!AP101)))</f>
        <v>0</v>
      </c>
    </row>
    <row r="102" spans="1:12">
      <c r="A102">
        <f>SUMPRODUCT((MONTH(CHOOSE({1,2,3,4},HN!U102,HN!AA102,HN!AG102,HN!AM102))=1)*(CHOOSE({1,2,3,4},HN!X102,HN!AD102,HN!AJ102,HN!AP102)))</f>
        <v>0</v>
      </c>
      <c r="B102">
        <f>SUMPRODUCT((MONTH(CHOOSE({1,2,3,4},HN!U102,HN!AA102,HN!AG102,HN!AM102))=2)*(CHOOSE({1,2,3,4},HN!X102,HN!AD102,HN!AJ102,HN!AP102)))</f>
        <v>0</v>
      </c>
      <c r="C102">
        <f>SUMPRODUCT((MONTH(CHOOSE({1,2,3,4},HN!U102,HN!AA102,HN!AG102,HN!AM102))=3)*(CHOOSE({1,2,3,4},HN!X102,HN!AD102,HN!AJ102,HN!AP102)))</f>
        <v>0</v>
      </c>
      <c r="D102">
        <f>SUMPRODUCT((MONTH(CHOOSE({1,2,3,4},HN!U102,HN!AA102,HN!AG102,HN!AM102))=4)*(CHOOSE({1,2,3,4},HN!X102,HN!AD102,HN!AJ102,HN!AP102)))</f>
        <v>0</v>
      </c>
      <c r="E102">
        <f>SUMPRODUCT((MONTH(CHOOSE({1,2,3,4},HN!U102,HN!AA102,HN!AG102,HN!AM102))=5)*(CHOOSE({1,2,3,4},HN!X102,HN!AD102,HN!AJ102,HN!AP102)))</f>
        <v>0</v>
      </c>
      <c r="F102">
        <f>SUMPRODUCT((MONTH(CHOOSE({1,2,3,4},HN!U102,HN!AA102,HN!AG102,HN!AM102))=6)*(CHOOSE({1,2,3,4},HN!X102,HN!AD102,HN!AJ102,HN!AP102)))</f>
        <v>0</v>
      </c>
      <c r="G102">
        <f>SUMPRODUCT((MONTH(CHOOSE({1,2,3,4},HN!U102,HN!AA102,HN!AG102,HN!AM102))=7)*(CHOOSE({1,2,3,4},HN!X102,HN!AD102,HN!AJ102,HN!AP102)))</f>
        <v>0</v>
      </c>
      <c r="H102">
        <f>SUMPRODUCT((MONTH(CHOOSE({1,2,3,4},HN!U102,HN!AA102,HN!AG102,HN!AM102))=8)*(CHOOSE({1,2,3,4},HN!X102,HN!AD102,HN!AJ102,HN!AP102)))</f>
        <v>0</v>
      </c>
      <c r="I102">
        <f>SUMPRODUCT((MONTH(CHOOSE({1,2,3,4},HN!U102,HN!AA102,HN!AG102,HN!AM102))=9)*(CHOOSE({1,2,3,4},HN!X102,HN!AD102,HN!AJ102,HN!AP102)))</f>
        <v>0</v>
      </c>
      <c r="J102">
        <f>SUMPRODUCT((MONTH(CHOOSE({1,2,3,4},HN!U102,HN!AA102,HN!AG102,HN!AM102))=10)*(CHOOSE({1,2,3,4},HN!X102,HN!AD102,HN!AJ102,HN!AP102)))</f>
        <v>0</v>
      </c>
      <c r="K102">
        <f>SUMPRODUCT((MONTH(CHOOSE({1,2,3,4},HN!U102,HN!AA102,HN!AG102,HN!AM102))=11)*(CHOOSE({1,2,3,4},HN!X102,HN!AD102,HN!AJ102,HN!AP102)))</f>
        <v>0</v>
      </c>
      <c r="L102">
        <f>SUMPRODUCT((MONTH(CHOOSE({1,2,3,4},HN!U102,HN!AA102,HN!AG102,HN!AM102))=12)*(CHOOSE({1,2,3,4},HN!X102,HN!AD102,HN!AJ102,HN!AP102)))</f>
        <v>0</v>
      </c>
    </row>
    <row r="103" spans="1:12">
      <c r="A103">
        <f>SUMPRODUCT((MONTH(CHOOSE({1,2,3,4},HN!U103,HN!AA103,HN!AG103,HN!AM103))=1)*(CHOOSE({1,2,3,4},HN!X103,HN!AD103,HN!AJ103,HN!AP103)))</f>
        <v>0</v>
      </c>
      <c r="B103">
        <f>SUMPRODUCT((MONTH(CHOOSE({1,2,3,4},HN!U103,HN!AA103,HN!AG103,HN!AM103))=2)*(CHOOSE({1,2,3,4},HN!X103,HN!AD103,HN!AJ103,HN!AP103)))</f>
        <v>0</v>
      </c>
      <c r="C103">
        <f>SUMPRODUCT((MONTH(CHOOSE({1,2,3,4},HN!U103,HN!AA103,HN!AG103,HN!AM103))=3)*(CHOOSE({1,2,3,4},HN!X103,HN!AD103,HN!AJ103,HN!AP103)))</f>
        <v>0</v>
      </c>
      <c r="D103">
        <f>SUMPRODUCT((MONTH(CHOOSE({1,2,3,4},HN!U103,HN!AA103,HN!AG103,HN!AM103))=4)*(CHOOSE({1,2,3,4},HN!X103,HN!AD103,HN!AJ103,HN!AP103)))</f>
        <v>0</v>
      </c>
      <c r="E103">
        <f>SUMPRODUCT((MONTH(CHOOSE({1,2,3,4},HN!U103,HN!AA103,HN!AG103,HN!AM103))=5)*(CHOOSE({1,2,3,4},HN!X103,HN!AD103,HN!AJ103,HN!AP103)))</f>
        <v>0</v>
      </c>
      <c r="F103">
        <f>SUMPRODUCT((MONTH(CHOOSE({1,2,3,4},HN!U103,HN!AA103,HN!AG103,HN!AM103))=6)*(CHOOSE({1,2,3,4},HN!X103,HN!AD103,HN!AJ103,HN!AP103)))</f>
        <v>0</v>
      </c>
      <c r="G103">
        <f>SUMPRODUCT((MONTH(CHOOSE({1,2,3,4},HN!U103,HN!AA103,HN!AG103,HN!AM103))=7)*(CHOOSE({1,2,3,4},HN!X103,HN!AD103,HN!AJ103,HN!AP103)))</f>
        <v>0</v>
      </c>
      <c r="H103">
        <f>SUMPRODUCT((MONTH(CHOOSE({1,2,3,4},HN!U103,HN!AA103,HN!AG103,HN!AM103))=8)*(CHOOSE({1,2,3,4},HN!X103,HN!AD103,HN!AJ103,HN!AP103)))</f>
        <v>0</v>
      </c>
      <c r="I103">
        <f>SUMPRODUCT((MONTH(CHOOSE({1,2,3,4},HN!U103,HN!AA103,HN!AG103,HN!AM103))=9)*(CHOOSE({1,2,3,4},HN!X103,HN!AD103,HN!AJ103,HN!AP103)))</f>
        <v>0</v>
      </c>
      <c r="J103">
        <f>SUMPRODUCT((MONTH(CHOOSE({1,2,3,4},HN!U103,HN!AA103,HN!AG103,HN!AM103))=10)*(CHOOSE({1,2,3,4},HN!X103,HN!AD103,HN!AJ103,HN!AP103)))</f>
        <v>0</v>
      </c>
      <c r="K103">
        <f>SUMPRODUCT((MONTH(CHOOSE({1,2,3,4},HN!U103,HN!AA103,HN!AG103,HN!AM103))=11)*(CHOOSE({1,2,3,4},HN!X103,HN!AD103,HN!AJ103,HN!AP103)))</f>
        <v>0</v>
      </c>
      <c r="L103">
        <f>SUMPRODUCT((MONTH(CHOOSE({1,2,3,4},HN!U103,HN!AA103,HN!AG103,HN!AM103))=12)*(CHOOSE({1,2,3,4},HN!X103,HN!AD103,HN!AJ103,HN!AP103)))</f>
        <v>0</v>
      </c>
    </row>
    <row r="104" spans="1:12">
      <c r="A104">
        <f>SUMPRODUCT((MONTH(CHOOSE({1,2,3,4},HN!U104,HN!AA104,HN!AG104,HN!AM104))=1)*(CHOOSE({1,2,3,4},HN!X104,HN!AD104,HN!AJ104,HN!AP104)))</f>
        <v>0</v>
      </c>
      <c r="B104">
        <f>SUMPRODUCT((MONTH(CHOOSE({1,2,3,4},HN!U104,HN!AA104,HN!AG104,HN!AM104))=2)*(CHOOSE({1,2,3,4},HN!X104,HN!AD104,HN!AJ104,HN!AP104)))</f>
        <v>0</v>
      </c>
      <c r="C104">
        <f>SUMPRODUCT((MONTH(CHOOSE({1,2,3,4},HN!U104,HN!AA104,HN!AG104,HN!AM104))=3)*(CHOOSE({1,2,3,4},HN!X104,HN!AD104,HN!AJ104,HN!AP104)))</f>
        <v>0</v>
      </c>
      <c r="D104">
        <f>SUMPRODUCT((MONTH(CHOOSE({1,2,3,4},HN!U104,HN!AA104,HN!AG104,HN!AM104))=4)*(CHOOSE({1,2,3,4},HN!X104,HN!AD104,HN!AJ104,HN!AP104)))</f>
        <v>0</v>
      </c>
      <c r="E104">
        <f>SUMPRODUCT((MONTH(CHOOSE({1,2,3,4},HN!U104,HN!AA104,HN!AG104,HN!AM104))=5)*(CHOOSE({1,2,3,4},HN!X104,HN!AD104,HN!AJ104,HN!AP104)))</f>
        <v>0</v>
      </c>
      <c r="F104">
        <f>SUMPRODUCT((MONTH(CHOOSE({1,2,3,4},HN!U104,HN!AA104,HN!AG104,HN!AM104))=6)*(CHOOSE({1,2,3,4},HN!X104,HN!AD104,HN!AJ104,HN!AP104)))</f>
        <v>0</v>
      </c>
      <c r="G104">
        <f>SUMPRODUCT((MONTH(CHOOSE({1,2,3,4},HN!U104,HN!AA104,HN!AG104,HN!AM104))=7)*(CHOOSE({1,2,3,4},HN!X104,HN!AD104,HN!AJ104,HN!AP104)))</f>
        <v>0</v>
      </c>
      <c r="H104">
        <f>SUMPRODUCT((MONTH(CHOOSE({1,2,3,4},HN!U104,HN!AA104,HN!AG104,HN!AM104))=8)*(CHOOSE({1,2,3,4},HN!X104,HN!AD104,HN!AJ104,HN!AP104)))</f>
        <v>0</v>
      </c>
      <c r="I104">
        <f>SUMPRODUCT((MONTH(CHOOSE({1,2,3,4},HN!U104,HN!AA104,HN!AG104,HN!AM104))=9)*(CHOOSE({1,2,3,4},HN!X104,HN!AD104,HN!AJ104,HN!AP104)))</f>
        <v>0</v>
      </c>
      <c r="J104">
        <f>SUMPRODUCT((MONTH(CHOOSE({1,2,3,4},HN!U104,HN!AA104,HN!AG104,HN!AM104))=10)*(CHOOSE({1,2,3,4},HN!X104,HN!AD104,HN!AJ104,HN!AP104)))</f>
        <v>0</v>
      </c>
      <c r="K104">
        <f>SUMPRODUCT((MONTH(CHOOSE({1,2,3,4},HN!U104,HN!AA104,HN!AG104,HN!AM104))=11)*(CHOOSE({1,2,3,4},HN!X104,HN!AD104,HN!AJ104,HN!AP104)))</f>
        <v>0</v>
      </c>
      <c r="L104">
        <f>SUMPRODUCT((MONTH(CHOOSE({1,2,3,4},HN!U104,HN!AA104,HN!AG104,HN!AM104))=12)*(CHOOSE({1,2,3,4},HN!X104,HN!AD104,HN!AJ104,HN!AP104)))</f>
        <v>0</v>
      </c>
    </row>
    <row r="105" spans="1:12">
      <c r="A105">
        <f>SUMPRODUCT((MONTH(CHOOSE({1,2,3,4},HN!U105,HN!AA105,HN!AG105,HN!AM105))=1)*(CHOOSE({1,2,3,4},HN!X105,HN!AD105,HN!AJ105,HN!AP105)))</f>
        <v>0</v>
      </c>
      <c r="B105">
        <f>SUMPRODUCT((MONTH(CHOOSE({1,2,3,4},HN!U105,HN!AA105,HN!AG105,HN!AM105))=2)*(CHOOSE({1,2,3,4},HN!X105,HN!AD105,HN!AJ105,HN!AP105)))</f>
        <v>0</v>
      </c>
      <c r="C105">
        <f>SUMPRODUCT((MONTH(CHOOSE({1,2,3,4},HN!U105,HN!AA105,HN!AG105,HN!AM105))=3)*(CHOOSE({1,2,3,4},HN!X105,HN!AD105,HN!AJ105,HN!AP105)))</f>
        <v>0</v>
      </c>
      <c r="D105">
        <f>SUMPRODUCT((MONTH(CHOOSE({1,2,3,4},HN!U105,HN!AA105,HN!AG105,HN!AM105))=4)*(CHOOSE({1,2,3,4},HN!X105,HN!AD105,HN!AJ105,HN!AP105)))</f>
        <v>0</v>
      </c>
      <c r="E105">
        <f>SUMPRODUCT((MONTH(CHOOSE({1,2,3,4},HN!U105,HN!AA105,HN!AG105,HN!AM105))=5)*(CHOOSE({1,2,3,4},HN!X105,HN!AD105,HN!AJ105,HN!AP105)))</f>
        <v>0</v>
      </c>
      <c r="F105">
        <f>SUMPRODUCT((MONTH(CHOOSE({1,2,3,4},HN!U105,HN!AA105,HN!AG105,HN!AM105))=6)*(CHOOSE({1,2,3,4},HN!X105,HN!AD105,HN!AJ105,HN!AP105)))</f>
        <v>0</v>
      </c>
      <c r="G105">
        <f>SUMPRODUCT((MONTH(CHOOSE({1,2,3,4},HN!U105,HN!AA105,HN!AG105,HN!AM105))=7)*(CHOOSE({1,2,3,4},HN!X105,HN!AD105,HN!AJ105,HN!AP105)))</f>
        <v>0</v>
      </c>
      <c r="H105">
        <f>SUMPRODUCT((MONTH(CHOOSE({1,2,3,4},HN!U105,HN!AA105,HN!AG105,HN!AM105))=8)*(CHOOSE({1,2,3,4},HN!X105,HN!AD105,HN!AJ105,HN!AP105)))</f>
        <v>0</v>
      </c>
      <c r="I105">
        <f>SUMPRODUCT((MONTH(CHOOSE({1,2,3,4},HN!U105,HN!AA105,HN!AG105,HN!AM105))=9)*(CHOOSE({1,2,3,4},HN!X105,HN!AD105,HN!AJ105,HN!AP105)))</f>
        <v>0</v>
      </c>
      <c r="J105">
        <f>SUMPRODUCT((MONTH(CHOOSE({1,2,3,4},HN!U105,HN!AA105,HN!AG105,HN!AM105))=10)*(CHOOSE({1,2,3,4},HN!X105,HN!AD105,HN!AJ105,HN!AP105)))</f>
        <v>0</v>
      </c>
      <c r="K105">
        <f>SUMPRODUCT((MONTH(CHOOSE({1,2,3,4},HN!U105,HN!AA105,HN!AG105,HN!AM105))=11)*(CHOOSE({1,2,3,4},HN!X105,HN!AD105,HN!AJ105,HN!AP105)))</f>
        <v>0</v>
      </c>
      <c r="L105">
        <f>SUMPRODUCT((MONTH(CHOOSE({1,2,3,4},HN!U105,HN!AA105,HN!AG105,HN!AM105))=12)*(CHOOSE({1,2,3,4},HN!X105,HN!AD105,HN!AJ105,HN!AP105)))</f>
        <v>0</v>
      </c>
    </row>
    <row r="106" spans="1:12">
      <c r="A106">
        <f>SUMPRODUCT((MONTH(CHOOSE({1,2,3,4},HN!U106,HN!AA106,HN!AG106,HN!AM106))=1)*(CHOOSE({1,2,3,4},HN!X106,HN!AD106,HN!AJ106,HN!AP106)))</f>
        <v>0</v>
      </c>
      <c r="B106">
        <f>SUMPRODUCT((MONTH(CHOOSE({1,2,3,4},HN!U106,HN!AA106,HN!AG106,HN!AM106))=2)*(CHOOSE({1,2,3,4},HN!X106,HN!AD106,HN!AJ106,HN!AP106)))</f>
        <v>0</v>
      </c>
      <c r="C106">
        <f>SUMPRODUCT((MONTH(CHOOSE({1,2,3,4},HN!U106,HN!AA106,HN!AG106,HN!AM106))=3)*(CHOOSE({1,2,3,4},HN!X106,HN!AD106,HN!AJ106,HN!AP106)))</f>
        <v>0</v>
      </c>
      <c r="D106">
        <f>SUMPRODUCT((MONTH(CHOOSE({1,2,3,4},HN!U106,HN!AA106,HN!AG106,HN!AM106))=4)*(CHOOSE({1,2,3,4},HN!X106,HN!AD106,HN!AJ106,HN!AP106)))</f>
        <v>0</v>
      </c>
      <c r="E106">
        <f>SUMPRODUCT((MONTH(CHOOSE({1,2,3,4},HN!U106,HN!AA106,HN!AG106,HN!AM106))=5)*(CHOOSE({1,2,3,4},HN!X106,HN!AD106,HN!AJ106,HN!AP106)))</f>
        <v>0</v>
      </c>
      <c r="F106">
        <f>SUMPRODUCT((MONTH(CHOOSE({1,2,3,4},HN!U106,HN!AA106,HN!AG106,HN!AM106))=6)*(CHOOSE({1,2,3,4},HN!X106,HN!AD106,HN!AJ106,HN!AP106)))</f>
        <v>0</v>
      </c>
      <c r="G106">
        <f>SUMPRODUCT((MONTH(CHOOSE({1,2,3,4},HN!U106,HN!AA106,HN!AG106,HN!AM106))=7)*(CHOOSE({1,2,3,4},HN!X106,HN!AD106,HN!AJ106,HN!AP106)))</f>
        <v>0</v>
      </c>
      <c r="H106">
        <f>SUMPRODUCT((MONTH(CHOOSE({1,2,3,4},HN!U106,HN!AA106,HN!AG106,HN!AM106))=8)*(CHOOSE({1,2,3,4},HN!X106,HN!AD106,HN!AJ106,HN!AP106)))</f>
        <v>0</v>
      </c>
      <c r="I106">
        <f>SUMPRODUCT((MONTH(CHOOSE({1,2,3,4},HN!U106,HN!AA106,HN!AG106,HN!AM106))=9)*(CHOOSE({1,2,3,4},HN!X106,HN!AD106,HN!AJ106,HN!AP106)))</f>
        <v>0</v>
      </c>
      <c r="J106">
        <f>SUMPRODUCT((MONTH(CHOOSE({1,2,3,4},HN!U106,HN!AA106,HN!AG106,HN!AM106))=10)*(CHOOSE({1,2,3,4},HN!X106,HN!AD106,HN!AJ106,HN!AP106)))</f>
        <v>0</v>
      </c>
      <c r="K106">
        <f>SUMPRODUCT((MONTH(CHOOSE({1,2,3,4},HN!U106,HN!AA106,HN!AG106,HN!AM106))=11)*(CHOOSE({1,2,3,4},HN!X106,HN!AD106,HN!AJ106,HN!AP106)))</f>
        <v>0</v>
      </c>
      <c r="L106">
        <f>SUMPRODUCT((MONTH(CHOOSE({1,2,3,4},HN!U106,HN!AA106,HN!AG106,HN!AM106))=12)*(CHOOSE({1,2,3,4},HN!X106,HN!AD106,HN!AJ106,HN!AP106)))</f>
        <v>0</v>
      </c>
    </row>
    <row r="107" spans="1:12">
      <c r="A107">
        <f>SUMPRODUCT((MONTH(CHOOSE({1,2,3,4},HN!U107,HN!AA107,HN!AG107,HN!AM107))=1)*(CHOOSE({1,2,3,4},HN!X107,HN!AD107,HN!AJ107,HN!AP107)))</f>
        <v>0</v>
      </c>
      <c r="B107">
        <f>SUMPRODUCT((MONTH(CHOOSE({1,2,3,4},HN!U107,HN!AA107,HN!AG107,HN!AM107))=2)*(CHOOSE({1,2,3,4},HN!X107,HN!AD107,HN!AJ107,HN!AP107)))</f>
        <v>0</v>
      </c>
      <c r="C107">
        <f>SUMPRODUCT((MONTH(CHOOSE({1,2,3,4},HN!U107,HN!AA107,HN!AG107,HN!AM107))=3)*(CHOOSE({1,2,3,4},HN!X107,HN!AD107,HN!AJ107,HN!AP107)))</f>
        <v>0</v>
      </c>
      <c r="D107">
        <f>SUMPRODUCT((MONTH(CHOOSE({1,2,3,4},HN!U107,HN!AA107,HN!AG107,HN!AM107))=4)*(CHOOSE({1,2,3,4},HN!X107,HN!AD107,HN!AJ107,HN!AP107)))</f>
        <v>0</v>
      </c>
      <c r="E107">
        <f>SUMPRODUCT((MONTH(CHOOSE({1,2,3,4},HN!U107,HN!AA107,HN!AG107,HN!AM107))=5)*(CHOOSE({1,2,3,4},HN!X107,HN!AD107,HN!AJ107,HN!AP107)))</f>
        <v>0</v>
      </c>
      <c r="F107">
        <f>SUMPRODUCT((MONTH(CHOOSE({1,2,3,4},HN!U107,HN!AA107,HN!AG107,HN!AM107))=6)*(CHOOSE({1,2,3,4},HN!X107,HN!AD107,HN!AJ107,HN!AP107)))</f>
        <v>0</v>
      </c>
      <c r="G107">
        <f>SUMPRODUCT((MONTH(CHOOSE({1,2,3,4},HN!U107,HN!AA107,HN!AG107,HN!AM107))=7)*(CHOOSE({1,2,3,4},HN!X107,HN!AD107,HN!AJ107,HN!AP107)))</f>
        <v>0</v>
      </c>
      <c r="H107">
        <f>SUMPRODUCT((MONTH(CHOOSE({1,2,3,4},HN!U107,HN!AA107,HN!AG107,HN!AM107))=8)*(CHOOSE({1,2,3,4},HN!X107,HN!AD107,HN!AJ107,HN!AP107)))</f>
        <v>0</v>
      </c>
      <c r="I107">
        <f>SUMPRODUCT((MONTH(CHOOSE({1,2,3,4},HN!U107,HN!AA107,HN!AG107,HN!AM107))=9)*(CHOOSE({1,2,3,4},HN!X107,HN!AD107,HN!AJ107,HN!AP107)))</f>
        <v>0</v>
      </c>
      <c r="J107">
        <f>SUMPRODUCT((MONTH(CHOOSE({1,2,3,4},HN!U107,HN!AA107,HN!AG107,HN!AM107))=10)*(CHOOSE({1,2,3,4},HN!X107,HN!AD107,HN!AJ107,HN!AP107)))</f>
        <v>0</v>
      </c>
      <c r="K107">
        <f>SUMPRODUCT((MONTH(CHOOSE({1,2,3,4},HN!U107,HN!AA107,HN!AG107,HN!AM107))=11)*(CHOOSE({1,2,3,4},HN!X107,HN!AD107,HN!AJ107,HN!AP107)))</f>
        <v>0</v>
      </c>
      <c r="L107">
        <f>SUMPRODUCT((MONTH(CHOOSE({1,2,3,4},HN!U107,HN!AA107,HN!AG107,HN!AM107))=12)*(CHOOSE({1,2,3,4},HN!X107,HN!AD107,HN!AJ107,HN!AP107)))</f>
        <v>0</v>
      </c>
    </row>
    <row r="108" spans="1:12">
      <c r="A108">
        <f>SUMPRODUCT((MONTH(CHOOSE({1,2,3,4},HN!U108,HN!AA108,HN!AG108,HN!AM108))=1)*(CHOOSE({1,2,3,4},HN!X108,HN!AD108,HN!AJ108,HN!AP108)))</f>
        <v>0</v>
      </c>
      <c r="B108">
        <f>SUMPRODUCT((MONTH(CHOOSE({1,2,3,4},HN!U108,HN!AA108,HN!AG108,HN!AM108))=2)*(CHOOSE({1,2,3,4},HN!X108,HN!AD108,HN!AJ108,HN!AP108)))</f>
        <v>0</v>
      </c>
      <c r="C108">
        <f>SUMPRODUCT((MONTH(CHOOSE({1,2,3,4},HN!U108,HN!AA108,HN!AG108,HN!AM108))=3)*(CHOOSE({1,2,3,4},HN!X108,HN!AD108,HN!AJ108,HN!AP108)))</f>
        <v>0</v>
      </c>
      <c r="D108">
        <f>SUMPRODUCT((MONTH(CHOOSE({1,2,3,4},HN!U108,HN!AA108,HN!AG108,HN!AM108))=4)*(CHOOSE({1,2,3,4},HN!X108,HN!AD108,HN!AJ108,HN!AP108)))</f>
        <v>0</v>
      </c>
      <c r="E108">
        <f>SUMPRODUCT((MONTH(CHOOSE({1,2,3,4},HN!U108,HN!AA108,HN!AG108,HN!AM108))=5)*(CHOOSE({1,2,3,4},HN!X108,HN!AD108,HN!AJ108,HN!AP108)))</f>
        <v>0</v>
      </c>
      <c r="F108">
        <f>SUMPRODUCT((MONTH(CHOOSE({1,2,3,4},HN!U108,HN!AA108,HN!AG108,HN!AM108))=6)*(CHOOSE({1,2,3,4},HN!X108,HN!AD108,HN!AJ108,HN!AP108)))</f>
        <v>0</v>
      </c>
      <c r="G108">
        <f>SUMPRODUCT((MONTH(CHOOSE({1,2,3,4},HN!U108,HN!AA108,HN!AG108,HN!AM108))=7)*(CHOOSE({1,2,3,4},HN!X108,HN!AD108,HN!AJ108,HN!AP108)))</f>
        <v>0</v>
      </c>
      <c r="H108">
        <f>SUMPRODUCT((MONTH(CHOOSE({1,2,3,4},HN!U108,HN!AA108,HN!AG108,HN!AM108))=8)*(CHOOSE({1,2,3,4},HN!X108,HN!AD108,HN!AJ108,HN!AP108)))</f>
        <v>0</v>
      </c>
      <c r="I108">
        <f>SUMPRODUCT((MONTH(CHOOSE({1,2,3,4},HN!U108,HN!AA108,HN!AG108,HN!AM108))=9)*(CHOOSE({1,2,3,4},HN!X108,HN!AD108,HN!AJ108,HN!AP108)))</f>
        <v>0</v>
      </c>
      <c r="J108">
        <f>SUMPRODUCT((MONTH(CHOOSE({1,2,3,4},HN!U108,HN!AA108,HN!AG108,HN!AM108))=10)*(CHOOSE({1,2,3,4},HN!X108,HN!AD108,HN!AJ108,HN!AP108)))</f>
        <v>0</v>
      </c>
      <c r="K108">
        <f>SUMPRODUCT((MONTH(CHOOSE({1,2,3,4},HN!U108,HN!AA108,HN!AG108,HN!AM108))=11)*(CHOOSE({1,2,3,4},HN!X108,HN!AD108,HN!AJ108,HN!AP108)))</f>
        <v>0</v>
      </c>
      <c r="L108">
        <f>SUMPRODUCT((MONTH(CHOOSE({1,2,3,4},HN!U108,HN!AA108,HN!AG108,HN!AM108))=12)*(CHOOSE({1,2,3,4},HN!X108,HN!AD108,HN!AJ108,HN!AP108)))</f>
        <v>0</v>
      </c>
    </row>
    <row r="109" spans="1:12">
      <c r="A109">
        <f>SUMPRODUCT((MONTH(CHOOSE({1,2,3,4},HN!U109,HN!AA109,HN!AG109,HN!AM109))=1)*(CHOOSE({1,2,3,4},HN!X109,HN!AD109,HN!AJ109,HN!AP109)))</f>
        <v>0</v>
      </c>
      <c r="B109">
        <f>SUMPRODUCT((MONTH(CHOOSE({1,2,3,4},HN!U109,HN!AA109,HN!AG109,HN!AM109))=2)*(CHOOSE({1,2,3,4},HN!X109,HN!AD109,HN!AJ109,HN!AP109)))</f>
        <v>0</v>
      </c>
      <c r="C109">
        <f>SUMPRODUCT((MONTH(CHOOSE({1,2,3,4},HN!U109,HN!AA109,HN!AG109,HN!AM109))=3)*(CHOOSE({1,2,3,4},HN!X109,HN!AD109,HN!AJ109,HN!AP109)))</f>
        <v>0</v>
      </c>
      <c r="D109">
        <f>SUMPRODUCT((MONTH(CHOOSE({1,2,3,4},HN!U109,HN!AA109,HN!AG109,HN!AM109))=4)*(CHOOSE({1,2,3,4},HN!X109,HN!AD109,HN!AJ109,HN!AP109)))</f>
        <v>0</v>
      </c>
      <c r="E109">
        <f>SUMPRODUCT((MONTH(CHOOSE({1,2,3,4},HN!U109,HN!AA109,HN!AG109,HN!AM109))=5)*(CHOOSE({1,2,3,4},HN!X109,HN!AD109,HN!AJ109,HN!AP109)))</f>
        <v>0</v>
      </c>
      <c r="F109">
        <f>SUMPRODUCT((MONTH(CHOOSE({1,2,3,4},HN!U109,HN!AA109,HN!AG109,HN!AM109))=6)*(CHOOSE({1,2,3,4},HN!X109,HN!AD109,HN!AJ109,HN!AP109)))</f>
        <v>0</v>
      </c>
      <c r="G109">
        <f>SUMPRODUCT((MONTH(CHOOSE({1,2,3,4},HN!U109,HN!AA109,HN!AG109,HN!AM109))=7)*(CHOOSE({1,2,3,4},HN!X109,HN!AD109,HN!AJ109,HN!AP109)))</f>
        <v>0</v>
      </c>
      <c r="H109">
        <f>SUMPRODUCT((MONTH(CHOOSE({1,2,3,4},HN!U109,HN!AA109,HN!AG109,HN!AM109))=8)*(CHOOSE({1,2,3,4},HN!X109,HN!AD109,HN!AJ109,HN!AP109)))</f>
        <v>0</v>
      </c>
      <c r="I109">
        <f>SUMPRODUCT((MONTH(CHOOSE({1,2,3,4},HN!U109,HN!AA109,HN!AG109,HN!AM109))=9)*(CHOOSE({1,2,3,4},HN!X109,HN!AD109,HN!AJ109,HN!AP109)))</f>
        <v>0</v>
      </c>
      <c r="J109">
        <f>SUMPRODUCT((MONTH(CHOOSE({1,2,3,4},HN!U109,HN!AA109,HN!AG109,HN!AM109))=10)*(CHOOSE({1,2,3,4},HN!X109,HN!AD109,HN!AJ109,HN!AP109)))</f>
        <v>0</v>
      </c>
      <c r="K109">
        <f>SUMPRODUCT((MONTH(CHOOSE({1,2,3,4},HN!U109,HN!AA109,HN!AG109,HN!AM109))=11)*(CHOOSE({1,2,3,4},HN!X109,HN!AD109,HN!AJ109,HN!AP109)))</f>
        <v>0</v>
      </c>
      <c r="L109">
        <f>SUMPRODUCT((MONTH(CHOOSE({1,2,3,4},HN!U109,HN!AA109,HN!AG109,HN!AM109))=12)*(CHOOSE({1,2,3,4},HN!X109,HN!AD109,HN!AJ109,HN!AP109)))</f>
        <v>0</v>
      </c>
    </row>
    <row r="110" spans="1:12">
      <c r="A110">
        <f>SUMPRODUCT((MONTH(CHOOSE({1,2,3,4},HN!U110,HN!AA110,HN!AG110,HN!AM110))=1)*(CHOOSE({1,2,3,4},HN!X110,HN!AD110,HN!AJ110,HN!AP110)))</f>
        <v>0</v>
      </c>
      <c r="B110">
        <f>SUMPRODUCT((MONTH(CHOOSE({1,2,3,4},HN!U110,HN!AA110,HN!AG110,HN!AM110))=2)*(CHOOSE({1,2,3,4},HN!X110,HN!AD110,HN!AJ110,HN!AP110)))</f>
        <v>0</v>
      </c>
      <c r="C110">
        <f>SUMPRODUCT((MONTH(CHOOSE({1,2,3,4},HN!U110,HN!AA110,HN!AG110,HN!AM110))=3)*(CHOOSE({1,2,3,4},HN!X110,HN!AD110,HN!AJ110,HN!AP110)))</f>
        <v>0</v>
      </c>
      <c r="D110">
        <f>SUMPRODUCT((MONTH(CHOOSE({1,2,3,4},HN!U110,HN!AA110,HN!AG110,HN!AM110))=4)*(CHOOSE({1,2,3,4},HN!X110,HN!AD110,HN!AJ110,HN!AP110)))</f>
        <v>0</v>
      </c>
      <c r="E110">
        <f>SUMPRODUCT((MONTH(CHOOSE({1,2,3,4},HN!U110,HN!AA110,HN!AG110,HN!AM110))=5)*(CHOOSE({1,2,3,4},HN!X110,HN!AD110,HN!AJ110,HN!AP110)))</f>
        <v>0</v>
      </c>
      <c r="F110">
        <f>SUMPRODUCT((MONTH(CHOOSE({1,2,3,4},HN!U110,HN!AA110,HN!AG110,HN!AM110))=6)*(CHOOSE({1,2,3,4},HN!X110,HN!AD110,HN!AJ110,HN!AP110)))</f>
        <v>0</v>
      </c>
      <c r="G110">
        <f>SUMPRODUCT((MONTH(CHOOSE({1,2,3,4},HN!U110,HN!AA110,HN!AG110,HN!AM110))=7)*(CHOOSE({1,2,3,4},HN!X110,HN!AD110,HN!AJ110,HN!AP110)))</f>
        <v>0</v>
      </c>
      <c r="H110">
        <f>SUMPRODUCT((MONTH(CHOOSE({1,2,3,4},HN!U110,HN!AA110,HN!AG110,HN!AM110))=8)*(CHOOSE({1,2,3,4},HN!X110,HN!AD110,HN!AJ110,HN!AP110)))</f>
        <v>0</v>
      </c>
      <c r="I110">
        <f>SUMPRODUCT((MONTH(CHOOSE({1,2,3,4},HN!U110,HN!AA110,HN!AG110,HN!AM110))=9)*(CHOOSE({1,2,3,4},HN!X110,HN!AD110,HN!AJ110,HN!AP110)))</f>
        <v>0</v>
      </c>
      <c r="J110">
        <f>SUMPRODUCT((MONTH(CHOOSE({1,2,3,4},HN!U110,HN!AA110,HN!AG110,HN!AM110))=10)*(CHOOSE({1,2,3,4},HN!X110,HN!AD110,HN!AJ110,HN!AP110)))</f>
        <v>0</v>
      </c>
      <c r="K110">
        <f>SUMPRODUCT((MONTH(CHOOSE({1,2,3,4},HN!U110,HN!AA110,HN!AG110,HN!AM110))=11)*(CHOOSE({1,2,3,4},HN!X110,HN!AD110,HN!AJ110,HN!AP110)))</f>
        <v>0</v>
      </c>
      <c r="L110">
        <f>SUMPRODUCT((MONTH(CHOOSE({1,2,3,4},HN!U110,HN!AA110,HN!AG110,HN!AM110))=12)*(CHOOSE({1,2,3,4},HN!X110,HN!AD110,HN!AJ110,HN!AP110)))</f>
        <v>0</v>
      </c>
    </row>
    <row r="111" spans="1:12">
      <c r="A111">
        <f>SUMPRODUCT((MONTH(CHOOSE({1,2,3,4},HN!U111,HN!AA111,HN!AG111,HN!AM111))=1)*(CHOOSE({1,2,3,4},HN!X111,HN!AD111,HN!AJ111,HN!AP111)))</f>
        <v>0</v>
      </c>
      <c r="B111">
        <f>SUMPRODUCT((MONTH(CHOOSE({1,2,3,4},HN!U111,HN!AA111,HN!AG111,HN!AM111))=2)*(CHOOSE({1,2,3,4},HN!X111,HN!AD111,HN!AJ111,HN!AP111)))</f>
        <v>0</v>
      </c>
      <c r="C111">
        <f>SUMPRODUCT((MONTH(CHOOSE({1,2,3,4},HN!U111,HN!AA111,HN!AG111,HN!AM111))=3)*(CHOOSE({1,2,3,4},HN!X111,HN!AD111,HN!AJ111,HN!AP111)))</f>
        <v>0</v>
      </c>
      <c r="D111">
        <f>SUMPRODUCT((MONTH(CHOOSE({1,2,3,4},HN!U111,HN!AA111,HN!AG111,HN!AM111))=4)*(CHOOSE({1,2,3,4},HN!X111,HN!AD111,HN!AJ111,HN!AP111)))</f>
        <v>0</v>
      </c>
      <c r="E111">
        <f>SUMPRODUCT((MONTH(CHOOSE({1,2,3,4},HN!U111,HN!AA111,HN!AG111,HN!AM111))=5)*(CHOOSE({1,2,3,4},HN!X111,HN!AD111,HN!AJ111,HN!AP111)))</f>
        <v>0</v>
      </c>
      <c r="F111">
        <f>SUMPRODUCT((MONTH(CHOOSE({1,2,3,4},HN!U111,HN!AA111,HN!AG111,HN!AM111))=6)*(CHOOSE({1,2,3,4},HN!X111,HN!AD111,HN!AJ111,HN!AP111)))</f>
        <v>0</v>
      </c>
      <c r="G111">
        <f>SUMPRODUCT((MONTH(CHOOSE({1,2,3,4},HN!U111,HN!AA111,HN!AG111,HN!AM111))=7)*(CHOOSE({1,2,3,4},HN!X111,HN!AD111,HN!AJ111,HN!AP111)))</f>
        <v>0</v>
      </c>
      <c r="H111">
        <f>SUMPRODUCT((MONTH(CHOOSE({1,2,3,4},HN!U111,HN!AA111,HN!AG111,HN!AM111))=8)*(CHOOSE({1,2,3,4},HN!X111,HN!AD111,HN!AJ111,HN!AP111)))</f>
        <v>0</v>
      </c>
      <c r="I111">
        <f>SUMPRODUCT((MONTH(CHOOSE({1,2,3,4},HN!U111,HN!AA111,HN!AG111,HN!AM111))=9)*(CHOOSE({1,2,3,4},HN!X111,HN!AD111,HN!AJ111,HN!AP111)))</f>
        <v>0</v>
      </c>
      <c r="J111">
        <f>SUMPRODUCT((MONTH(CHOOSE({1,2,3,4},HN!U111,HN!AA111,HN!AG111,HN!AM111))=10)*(CHOOSE({1,2,3,4},HN!X111,HN!AD111,HN!AJ111,HN!AP111)))</f>
        <v>0</v>
      </c>
      <c r="K111">
        <f>SUMPRODUCT((MONTH(CHOOSE({1,2,3,4},HN!U111,HN!AA111,HN!AG111,HN!AM111))=11)*(CHOOSE({1,2,3,4},HN!X111,HN!AD111,HN!AJ111,HN!AP111)))</f>
        <v>0</v>
      </c>
      <c r="L111">
        <f>SUMPRODUCT((MONTH(CHOOSE({1,2,3,4},HN!U111,HN!AA111,HN!AG111,HN!AM111))=12)*(CHOOSE({1,2,3,4},HN!X111,HN!AD111,HN!AJ111,HN!AP111)))</f>
        <v>0</v>
      </c>
    </row>
    <row r="112" spans="1:12">
      <c r="A112">
        <f>SUMPRODUCT((MONTH(CHOOSE({1,2,3,4},HN!U112,HN!AA112,HN!AG112,HN!AM112))=1)*(CHOOSE({1,2,3,4},HN!X112,HN!AD112,HN!AJ112,HN!AP112)))</f>
        <v>0</v>
      </c>
      <c r="B112">
        <f>SUMPRODUCT((MONTH(CHOOSE({1,2,3,4},HN!U112,HN!AA112,HN!AG112,HN!AM112))=2)*(CHOOSE({1,2,3,4},HN!X112,HN!AD112,HN!AJ112,HN!AP112)))</f>
        <v>0</v>
      </c>
      <c r="C112">
        <f>SUMPRODUCT((MONTH(CHOOSE({1,2,3,4},HN!U112,HN!AA112,HN!AG112,HN!AM112))=3)*(CHOOSE({1,2,3,4},HN!X112,HN!AD112,HN!AJ112,HN!AP112)))</f>
        <v>0</v>
      </c>
      <c r="D112">
        <f>SUMPRODUCT((MONTH(CHOOSE({1,2,3,4},HN!U112,HN!AA112,HN!AG112,HN!AM112))=4)*(CHOOSE({1,2,3,4},HN!X112,HN!AD112,HN!AJ112,HN!AP112)))</f>
        <v>0</v>
      </c>
      <c r="E112">
        <f>SUMPRODUCT((MONTH(CHOOSE({1,2,3,4},HN!U112,HN!AA112,HN!AG112,HN!AM112))=5)*(CHOOSE({1,2,3,4},HN!X112,HN!AD112,HN!AJ112,HN!AP112)))</f>
        <v>0</v>
      </c>
      <c r="F112">
        <f>SUMPRODUCT((MONTH(CHOOSE({1,2,3,4},HN!U112,HN!AA112,HN!AG112,HN!AM112))=6)*(CHOOSE({1,2,3,4},HN!X112,HN!AD112,HN!AJ112,HN!AP112)))</f>
        <v>0</v>
      </c>
      <c r="G112">
        <f>SUMPRODUCT((MONTH(CHOOSE({1,2,3,4},HN!U112,HN!AA112,HN!AG112,HN!AM112))=7)*(CHOOSE({1,2,3,4},HN!X112,HN!AD112,HN!AJ112,HN!AP112)))</f>
        <v>0</v>
      </c>
      <c r="H112">
        <f>SUMPRODUCT((MONTH(CHOOSE({1,2,3,4},HN!U112,HN!AA112,HN!AG112,HN!AM112))=8)*(CHOOSE({1,2,3,4},HN!X112,HN!AD112,HN!AJ112,HN!AP112)))</f>
        <v>0</v>
      </c>
      <c r="I112">
        <f>SUMPRODUCT((MONTH(CHOOSE({1,2,3,4},HN!U112,HN!AA112,HN!AG112,HN!AM112))=9)*(CHOOSE({1,2,3,4},HN!X112,HN!AD112,HN!AJ112,HN!AP112)))</f>
        <v>0</v>
      </c>
      <c r="J112">
        <f>SUMPRODUCT((MONTH(CHOOSE({1,2,3,4},HN!U112,HN!AA112,HN!AG112,HN!AM112))=10)*(CHOOSE({1,2,3,4},HN!X112,HN!AD112,HN!AJ112,HN!AP112)))</f>
        <v>0</v>
      </c>
      <c r="K112">
        <f>SUMPRODUCT((MONTH(CHOOSE({1,2,3,4},HN!U112,HN!AA112,HN!AG112,HN!AM112))=11)*(CHOOSE({1,2,3,4},HN!X112,HN!AD112,HN!AJ112,HN!AP112)))</f>
        <v>0</v>
      </c>
      <c r="L112">
        <f>SUMPRODUCT((MONTH(CHOOSE({1,2,3,4},HN!U112,HN!AA112,HN!AG112,HN!AM112))=12)*(CHOOSE({1,2,3,4},HN!X112,HN!AD112,HN!AJ112,HN!AP112)))</f>
        <v>0</v>
      </c>
    </row>
    <row r="113" spans="1:12">
      <c r="A113">
        <f>SUMPRODUCT((MONTH(CHOOSE({1,2,3,4},HN!U113,HN!AA113,HN!AG113,HN!AM113))=1)*(CHOOSE({1,2,3,4},HN!X113,HN!AD113,HN!AJ113,HN!AP113)))</f>
        <v>0</v>
      </c>
      <c r="B113">
        <f>SUMPRODUCT((MONTH(CHOOSE({1,2,3,4},HN!U113,HN!AA113,HN!AG113,HN!AM113))=2)*(CHOOSE({1,2,3,4},HN!X113,HN!AD113,HN!AJ113,HN!AP113)))</f>
        <v>0</v>
      </c>
      <c r="C113">
        <f>SUMPRODUCT((MONTH(CHOOSE({1,2,3,4},HN!U113,HN!AA113,HN!AG113,HN!AM113))=3)*(CHOOSE({1,2,3,4},HN!X113,HN!AD113,HN!AJ113,HN!AP113)))</f>
        <v>0</v>
      </c>
      <c r="D113">
        <f>SUMPRODUCT((MONTH(CHOOSE({1,2,3,4},HN!U113,HN!AA113,HN!AG113,HN!AM113))=4)*(CHOOSE({1,2,3,4},HN!X113,HN!AD113,HN!AJ113,HN!AP113)))</f>
        <v>0</v>
      </c>
      <c r="E113">
        <f>SUMPRODUCT((MONTH(CHOOSE({1,2,3,4},HN!U113,HN!AA113,HN!AG113,HN!AM113))=5)*(CHOOSE({1,2,3,4},HN!X113,HN!AD113,HN!AJ113,HN!AP113)))</f>
        <v>0</v>
      </c>
      <c r="F113">
        <f>SUMPRODUCT((MONTH(CHOOSE({1,2,3,4},HN!U113,HN!AA113,HN!AG113,HN!AM113))=6)*(CHOOSE({1,2,3,4},HN!X113,HN!AD113,HN!AJ113,HN!AP113)))</f>
        <v>0</v>
      </c>
      <c r="G113">
        <f>SUMPRODUCT((MONTH(CHOOSE({1,2,3,4},HN!U113,HN!AA113,HN!AG113,HN!AM113))=7)*(CHOOSE({1,2,3,4},HN!X113,HN!AD113,HN!AJ113,HN!AP113)))</f>
        <v>0</v>
      </c>
      <c r="H113">
        <f>SUMPRODUCT((MONTH(CHOOSE({1,2,3,4},HN!U113,HN!AA113,HN!AG113,HN!AM113))=8)*(CHOOSE({1,2,3,4},HN!X113,HN!AD113,HN!AJ113,HN!AP113)))</f>
        <v>0</v>
      </c>
      <c r="I113">
        <f>SUMPRODUCT((MONTH(CHOOSE({1,2,3,4},HN!U113,HN!AA113,HN!AG113,HN!AM113))=9)*(CHOOSE({1,2,3,4},HN!X113,HN!AD113,HN!AJ113,HN!AP113)))</f>
        <v>0</v>
      </c>
      <c r="J113">
        <f>SUMPRODUCT((MONTH(CHOOSE({1,2,3,4},HN!U113,HN!AA113,HN!AG113,HN!AM113))=10)*(CHOOSE({1,2,3,4},HN!X113,HN!AD113,HN!AJ113,HN!AP113)))</f>
        <v>0</v>
      </c>
      <c r="K113">
        <f>SUMPRODUCT((MONTH(CHOOSE({1,2,3,4},HN!U113,HN!AA113,HN!AG113,HN!AM113))=11)*(CHOOSE({1,2,3,4},HN!X113,HN!AD113,HN!AJ113,HN!AP113)))</f>
        <v>0</v>
      </c>
      <c r="L113">
        <f>SUMPRODUCT((MONTH(CHOOSE({1,2,3,4},HN!U113,HN!AA113,HN!AG113,HN!AM113))=12)*(CHOOSE({1,2,3,4},HN!X113,HN!AD113,HN!AJ113,HN!AP113)))</f>
        <v>0</v>
      </c>
    </row>
    <row r="114" spans="1:12">
      <c r="A114">
        <f>SUMPRODUCT((MONTH(CHOOSE({1,2,3,4},HN!U114,HN!AA114,HN!AG114,HN!AM114))=1)*(CHOOSE({1,2,3,4},HN!X114,HN!AD114,HN!AJ114,HN!AP114)))</f>
        <v>0</v>
      </c>
      <c r="B114">
        <f>SUMPRODUCT((MONTH(CHOOSE({1,2,3,4},HN!U114,HN!AA114,HN!AG114,HN!AM114))=2)*(CHOOSE({1,2,3,4},HN!X114,HN!AD114,HN!AJ114,HN!AP114)))</f>
        <v>0</v>
      </c>
      <c r="C114">
        <f>SUMPRODUCT((MONTH(CHOOSE({1,2,3,4},HN!U114,HN!AA114,HN!AG114,HN!AM114))=3)*(CHOOSE({1,2,3,4},HN!X114,HN!AD114,HN!AJ114,HN!AP114)))</f>
        <v>0</v>
      </c>
      <c r="D114">
        <f>SUMPRODUCT((MONTH(CHOOSE({1,2,3,4},HN!U114,HN!AA114,HN!AG114,HN!AM114))=4)*(CHOOSE({1,2,3,4},HN!X114,HN!AD114,HN!AJ114,HN!AP114)))</f>
        <v>0</v>
      </c>
      <c r="E114">
        <f>SUMPRODUCT((MONTH(CHOOSE({1,2,3,4},HN!U114,HN!AA114,HN!AG114,HN!AM114))=5)*(CHOOSE({1,2,3,4},HN!X114,HN!AD114,HN!AJ114,HN!AP114)))</f>
        <v>0</v>
      </c>
      <c r="F114">
        <f>SUMPRODUCT((MONTH(CHOOSE({1,2,3,4},HN!U114,HN!AA114,HN!AG114,HN!AM114))=6)*(CHOOSE({1,2,3,4},HN!X114,HN!AD114,HN!AJ114,HN!AP114)))</f>
        <v>0</v>
      </c>
      <c r="G114">
        <f>SUMPRODUCT((MONTH(CHOOSE({1,2,3,4},HN!U114,HN!AA114,HN!AG114,HN!AM114))=7)*(CHOOSE({1,2,3,4},HN!X114,HN!AD114,HN!AJ114,HN!AP114)))</f>
        <v>0</v>
      </c>
      <c r="H114">
        <f>SUMPRODUCT((MONTH(CHOOSE({1,2,3,4},HN!U114,HN!AA114,HN!AG114,HN!AM114))=8)*(CHOOSE({1,2,3,4},HN!X114,HN!AD114,HN!AJ114,HN!AP114)))</f>
        <v>0</v>
      </c>
      <c r="I114">
        <f>SUMPRODUCT((MONTH(CHOOSE({1,2,3,4},HN!U114,HN!AA114,HN!AG114,HN!AM114))=9)*(CHOOSE({1,2,3,4},HN!X114,HN!AD114,HN!AJ114,HN!AP114)))</f>
        <v>0</v>
      </c>
      <c r="J114">
        <f>SUMPRODUCT((MONTH(CHOOSE({1,2,3,4},HN!U114,HN!AA114,HN!AG114,HN!AM114))=10)*(CHOOSE({1,2,3,4},HN!X114,HN!AD114,HN!AJ114,HN!AP114)))</f>
        <v>0</v>
      </c>
      <c r="K114">
        <f>SUMPRODUCT((MONTH(CHOOSE({1,2,3,4},HN!U114,HN!AA114,HN!AG114,HN!AM114))=11)*(CHOOSE({1,2,3,4},HN!X114,HN!AD114,HN!AJ114,HN!AP114)))</f>
        <v>0</v>
      </c>
      <c r="L114">
        <f>SUMPRODUCT((MONTH(CHOOSE({1,2,3,4},HN!U114,HN!AA114,HN!AG114,HN!AM114))=12)*(CHOOSE({1,2,3,4},HN!X114,HN!AD114,HN!AJ114,HN!AP114)))</f>
        <v>0</v>
      </c>
    </row>
    <row r="115" spans="1:12">
      <c r="A115">
        <f>SUMPRODUCT((MONTH(CHOOSE({1,2,3,4},HN!U115,HN!AA115,HN!AG115,HN!AM115))=1)*(CHOOSE({1,2,3,4},HN!X115,HN!AD115,HN!AJ115,HN!AP115)))</f>
        <v>0</v>
      </c>
      <c r="B115">
        <f>SUMPRODUCT((MONTH(CHOOSE({1,2,3,4},HN!U115,HN!AA115,HN!AG115,HN!AM115))=2)*(CHOOSE({1,2,3,4},HN!X115,HN!AD115,HN!AJ115,HN!AP115)))</f>
        <v>0</v>
      </c>
      <c r="C115">
        <f>SUMPRODUCT((MONTH(CHOOSE({1,2,3,4},HN!U115,HN!AA115,HN!AG115,HN!AM115))=3)*(CHOOSE({1,2,3,4},HN!X115,HN!AD115,HN!AJ115,HN!AP115)))</f>
        <v>0</v>
      </c>
      <c r="D115">
        <f>SUMPRODUCT((MONTH(CHOOSE({1,2,3,4},HN!U115,HN!AA115,HN!AG115,HN!AM115))=4)*(CHOOSE({1,2,3,4},HN!X115,HN!AD115,HN!AJ115,HN!AP115)))</f>
        <v>0</v>
      </c>
      <c r="E115">
        <f>SUMPRODUCT((MONTH(CHOOSE({1,2,3,4},HN!U115,HN!AA115,HN!AG115,HN!AM115))=5)*(CHOOSE({1,2,3,4},HN!X115,HN!AD115,HN!AJ115,HN!AP115)))</f>
        <v>0</v>
      </c>
      <c r="F115">
        <f>SUMPRODUCT((MONTH(CHOOSE({1,2,3,4},HN!U115,HN!AA115,HN!AG115,HN!AM115))=6)*(CHOOSE({1,2,3,4},HN!X115,HN!AD115,HN!AJ115,HN!AP115)))</f>
        <v>0</v>
      </c>
      <c r="G115">
        <f>SUMPRODUCT((MONTH(CHOOSE({1,2,3,4},HN!U115,HN!AA115,HN!AG115,HN!AM115))=7)*(CHOOSE({1,2,3,4},HN!X115,HN!AD115,HN!AJ115,HN!AP115)))</f>
        <v>0</v>
      </c>
      <c r="H115">
        <f>SUMPRODUCT((MONTH(CHOOSE({1,2,3,4},HN!U115,HN!AA115,HN!AG115,HN!AM115))=8)*(CHOOSE({1,2,3,4},HN!X115,HN!AD115,HN!AJ115,HN!AP115)))</f>
        <v>0</v>
      </c>
      <c r="I115">
        <f>SUMPRODUCT((MONTH(CHOOSE({1,2,3,4},HN!U115,HN!AA115,HN!AG115,HN!AM115))=9)*(CHOOSE({1,2,3,4},HN!X115,HN!AD115,HN!AJ115,HN!AP115)))</f>
        <v>0</v>
      </c>
      <c r="J115">
        <f>SUMPRODUCT((MONTH(CHOOSE({1,2,3,4},HN!U115,HN!AA115,HN!AG115,HN!AM115))=10)*(CHOOSE({1,2,3,4},HN!X115,HN!AD115,HN!AJ115,HN!AP115)))</f>
        <v>0</v>
      </c>
      <c r="K115">
        <f>SUMPRODUCT((MONTH(CHOOSE({1,2,3,4},HN!U115,HN!AA115,HN!AG115,HN!AM115))=11)*(CHOOSE({1,2,3,4},HN!X115,HN!AD115,HN!AJ115,HN!AP115)))</f>
        <v>0</v>
      </c>
      <c r="L115">
        <f>SUMPRODUCT((MONTH(CHOOSE({1,2,3,4},HN!U115,HN!AA115,HN!AG115,HN!AM115))=12)*(CHOOSE({1,2,3,4},HN!X115,HN!AD115,HN!AJ115,HN!AP115)))</f>
        <v>0</v>
      </c>
    </row>
    <row r="116" spans="1:12">
      <c r="A116">
        <f>SUMPRODUCT((MONTH(CHOOSE({1,2,3,4},HN!U116,HN!AA116,HN!AG116,HN!AM116))=1)*(CHOOSE({1,2,3,4},HN!X116,HN!AD116,HN!AJ116,HN!AP116)))</f>
        <v>0</v>
      </c>
      <c r="B116">
        <f>SUMPRODUCT((MONTH(CHOOSE({1,2,3,4},HN!U116,HN!AA116,HN!AG116,HN!AM116))=2)*(CHOOSE({1,2,3,4},HN!X116,HN!AD116,HN!AJ116,HN!AP116)))</f>
        <v>0</v>
      </c>
      <c r="C116">
        <f>SUMPRODUCT((MONTH(CHOOSE({1,2,3,4},HN!U116,HN!AA116,HN!AG116,HN!AM116))=3)*(CHOOSE({1,2,3,4},HN!X116,HN!AD116,HN!AJ116,HN!AP116)))</f>
        <v>0</v>
      </c>
      <c r="D116">
        <f>SUMPRODUCT((MONTH(CHOOSE({1,2,3,4},HN!U116,HN!AA116,HN!AG116,HN!AM116))=4)*(CHOOSE({1,2,3,4},HN!X116,HN!AD116,HN!AJ116,HN!AP116)))</f>
        <v>0</v>
      </c>
      <c r="E116">
        <f>SUMPRODUCT((MONTH(CHOOSE({1,2,3,4},HN!U116,HN!AA116,HN!AG116,HN!AM116))=5)*(CHOOSE({1,2,3,4},HN!X116,HN!AD116,HN!AJ116,HN!AP116)))</f>
        <v>0</v>
      </c>
      <c r="F116">
        <f>SUMPRODUCT((MONTH(CHOOSE({1,2,3,4},HN!U116,HN!AA116,HN!AG116,HN!AM116))=6)*(CHOOSE({1,2,3,4},HN!X116,HN!AD116,HN!AJ116,HN!AP116)))</f>
        <v>0</v>
      </c>
      <c r="G116">
        <f>SUMPRODUCT((MONTH(CHOOSE({1,2,3,4},HN!U116,HN!AA116,HN!AG116,HN!AM116))=7)*(CHOOSE({1,2,3,4},HN!X116,HN!AD116,HN!AJ116,HN!AP116)))</f>
        <v>0</v>
      </c>
      <c r="H116">
        <f>SUMPRODUCT((MONTH(CHOOSE({1,2,3,4},HN!U116,HN!AA116,HN!AG116,HN!AM116))=8)*(CHOOSE({1,2,3,4},HN!X116,HN!AD116,HN!AJ116,HN!AP116)))</f>
        <v>0</v>
      </c>
      <c r="I116">
        <f>SUMPRODUCT((MONTH(CHOOSE({1,2,3,4},HN!U116,HN!AA116,HN!AG116,HN!AM116))=9)*(CHOOSE({1,2,3,4},HN!X116,HN!AD116,HN!AJ116,HN!AP116)))</f>
        <v>0</v>
      </c>
      <c r="J116">
        <f>SUMPRODUCT((MONTH(CHOOSE({1,2,3,4},HN!U116,HN!AA116,HN!AG116,HN!AM116))=10)*(CHOOSE({1,2,3,4},HN!X116,HN!AD116,HN!AJ116,HN!AP116)))</f>
        <v>0</v>
      </c>
      <c r="K116">
        <f>SUMPRODUCT((MONTH(CHOOSE({1,2,3,4},HN!U116,HN!AA116,HN!AG116,HN!AM116))=11)*(CHOOSE({1,2,3,4},HN!X116,HN!AD116,HN!AJ116,HN!AP116)))</f>
        <v>0</v>
      </c>
      <c r="L116">
        <f>SUMPRODUCT((MONTH(CHOOSE({1,2,3,4},HN!U116,HN!AA116,HN!AG116,HN!AM116))=12)*(CHOOSE({1,2,3,4},HN!X116,HN!AD116,HN!AJ116,HN!AP116)))</f>
        <v>0</v>
      </c>
    </row>
    <row r="117" spans="1:12">
      <c r="A117">
        <f>SUMPRODUCT((MONTH(CHOOSE({1,2,3,4},HN!U117,HN!AA117,HN!AG117,HN!AM117))=1)*(CHOOSE({1,2,3,4},HN!X117,HN!AD117,HN!AJ117,HN!AP117)))</f>
        <v>0</v>
      </c>
      <c r="B117">
        <f>SUMPRODUCT((MONTH(CHOOSE({1,2,3,4},HN!U117,HN!AA117,HN!AG117,HN!AM117))=2)*(CHOOSE({1,2,3,4},HN!X117,HN!AD117,HN!AJ117,HN!AP117)))</f>
        <v>0</v>
      </c>
      <c r="C117">
        <f>SUMPRODUCT((MONTH(CHOOSE({1,2,3,4},HN!U117,HN!AA117,HN!AG117,HN!AM117))=3)*(CHOOSE({1,2,3,4},HN!X117,HN!AD117,HN!AJ117,HN!AP117)))</f>
        <v>0</v>
      </c>
      <c r="D117">
        <f>SUMPRODUCT((MONTH(CHOOSE({1,2,3,4},HN!U117,HN!AA117,HN!AG117,HN!AM117))=4)*(CHOOSE({1,2,3,4},HN!X117,HN!AD117,HN!AJ117,HN!AP117)))</f>
        <v>0</v>
      </c>
      <c r="E117">
        <f>SUMPRODUCT((MONTH(CHOOSE({1,2,3,4},HN!U117,HN!AA117,HN!AG117,HN!AM117))=5)*(CHOOSE({1,2,3,4},HN!X117,HN!AD117,HN!AJ117,HN!AP117)))</f>
        <v>0</v>
      </c>
      <c r="F117">
        <f>SUMPRODUCT((MONTH(CHOOSE({1,2,3,4},HN!U117,HN!AA117,HN!AG117,HN!AM117))=6)*(CHOOSE({1,2,3,4},HN!X117,HN!AD117,HN!AJ117,HN!AP117)))</f>
        <v>0</v>
      </c>
      <c r="G117">
        <f>SUMPRODUCT((MONTH(CHOOSE({1,2,3,4},HN!U117,HN!AA117,HN!AG117,HN!AM117))=7)*(CHOOSE({1,2,3,4},HN!X117,HN!AD117,HN!AJ117,HN!AP117)))</f>
        <v>0</v>
      </c>
      <c r="H117">
        <f>SUMPRODUCT((MONTH(CHOOSE({1,2,3,4},HN!U117,HN!AA117,HN!AG117,HN!AM117))=8)*(CHOOSE({1,2,3,4},HN!X117,HN!AD117,HN!AJ117,HN!AP117)))</f>
        <v>0</v>
      </c>
      <c r="I117">
        <f>SUMPRODUCT((MONTH(CHOOSE({1,2,3,4},HN!U117,HN!AA117,HN!AG117,HN!AM117))=9)*(CHOOSE({1,2,3,4},HN!X117,HN!AD117,HN!AJ117,HN!AP117)))</f>
        <v>0</v>
      </c>
      <c r="J117">
        <f>SUMPRODUCT((MONTH(CHOOSE({1,2,3,4},HN!U117,HN!AA117,HN!AG117,HN!AM117))=10)*(CHOOSE({1,2,3,4},HN!X117,HN!AD117,HN!AJ117,HN!AP117)))</f>
        <v>0</v>
      </c>
      <c r="K117">
        <f>SUMPRODUCT((MONTH(CHOOSE({1,2,3,4},HN!U117,HN!AA117,HN!AG117,HN!AM117))=11)*(CHOOSE({1,2,3,4},HN!X117,HN!AD117,HN!AJ117,HN!AP117)))</f>
        <v>0</v>
      </c>
      <c r="L117">
        <f>SUMPRODUCT((MONTH(CHOOSE({1,2,3,4},HN!U117,HN!AA117,HN!AG117,HN!AM117))=12)*(CHOOSE({1,2,3,4},HN!X117,HN!AD117,HN!AJ117,HN!AP117)))</f>
        <v>0</v>
      </c>
    </row>
    <row r="118" spans="1:12">
      <c r="A118">
        <f>SUMPRODUCT((MONTH(CHOOSE({1,2,3,4},HN!U118,HN!AA118,HN!AG118,HN!AM118))=1)*(CHOOSE({1,2,3,4},HN!X118,HN!AD118,HN!AJ118,HN!AP118)))</f>
        <v>0</v>
      </c>
      <c r="B118">
        <f>SUMPRODUCT((MONTH(CHOOSE({1,2,3,4},HN!U118,HN!AA118,HN!AG118,HN!AM118))=2)*(CHOOSE({1,2,3,4},HN!X118,HN!AD118,HN!AJ118,HN!AP118)))</f>
        <v>0</v>
      </c>
      <c r="C118">
        <f>SUMPRODUCT((MONTH(CHOOSE({1,2,3,4},HN!U118,HN!AA118,HN!AG118,HN!AM118))=3)*(CHOOSE({1,2,3,4},HN!X118,HN!AD118,HN!AJ118,HN!AP118)))</f>
        <v>0</v>
      </c>
      <c r="D118">
        <f>SUMPRODUCT((MONTH(CHOOSE({1,2,3,4},HN!U118,HN!AA118,HN!AG118,HN!AM118))=4)*(CHOOSE({1,2,3,4},HN!X118,HN!AD118,HN!AJ118,HN!AP118)))</f>
        <v>0</v>
      </c>
      <c r="E118">
        <f>SUMPRODUCT((MONTH(CHOOSE({1,2,3,4},HN!U118,HN!AA118,HN!AG118,HN!AM118))=5)*(CHOOSE({1,2,3,4},HN!X118,HN!AD118,HN!AJ118,HN!AP118)))</f>
        <v>0</v>
      </c>
      <c r="F118">
        <f>SUMPRODUCT((MONTH(CHOOSE({1,2,3,4},HN!U118,HN!AA118,HN!AG118,HN!AM118))=6)*(CHOOSE({1,2,3,4},HN!X118,HN!AD118,HN!AJ118,HN!AP118)))</f>
        <v>0</v>
      </c>
      <c r="G118">
        <f>SUMPRODUCT((MONTH(CHOOSE({1,2,3,4},HN!U118,HN!AA118,HN!AG118,HN!AM118))=7)*(CHOOSE({1,2,3,4},HN!X118,HN!AD118,HN!AJ118,HN!AP118)))</f>
        <v>0</v>
      </c>
      <c r="H118">
        <f>SUMPRODUCT((MONTH(CHOOSE({1,2,3,4},HN!U118,HN!AA118,HN!AG118,HN!AM118))=8)*(CHOOSE({1,2,3,4},HN!X118,HN!AD118,HN!AJ118,HN!AP118)))</f>
        <v>0</v>
      </c>
      <c r="I118">
        <f>SUMPRODUCT((MONTH(CHOOSE({1,2,3,4},HN!U118,HN!AA118,HN!AG118,HN!AM118))=9)*(CHOOSE({1,2,3,4},HN!X118,HN!AD118,HN!AJ118,HN!AP118)))</f>
        <v>0</v>
      </c>
      <c r="J118">
        <f>SUMPRODUCT((MONTH(CHOOSE({1,2,3,4},HN!U118,HN!AA118,HN!AG118,HN!AM118))=10)*(CHOOSE({1,2,3,4},HN!X118,HN!AD118,HN!AJ118,HN!AP118)))</f>
        <v>0</v>
      </c>
      <c r="K118">
        <f>SUMPRODUCT((MONTH(CHOOSE({1,2,3,4},HN!U118,HN!AA118,HN!AG118,HN!AM118))=11)*(CHOOSE({1,2,3,4},HN!X118,HN!AD118,HN!AJ118,HN!AP118)))</f>
        <v>0</v>
      </c>
      <c r="L118">
        <f>SUMPRODUCT((MONTH(CHOOSE({1,2,3,4},HN!U118,HN!AA118,HN!AG118,HN!AM118))=12)*(CHOOSE({1,2,3,4},HN!X118,HN!AD118,HN!AJ118,HN!AP118)))</f>
        <v>0</v>
      </c>
    </row>
    <row r="119" spans="1:12">
      <c r="A119">
        <f>SUMPRODUCT((MONTH(CHOOSE({1,2,3,4},HN!U119,HN!AA119,HN!AG119,HN!AM119))=1)*(CHOOSE({1,2,3,4},HN!X119,HN!AD119,HN!AJ119,HN!AP119)))</f>
        <v>0</v>
      </c>
      <c r="B119">
        <f>SUMPRODUCT((MONTH(CHOOSE({1,2,3,4},HN!U119,HN!AA119,HN!AG119,HN!AM119))=2)*(CHOOSE({1,2,3,4},HN!X119,HN!AD119,HN!AJ119,HN!AP119)))</f>
        <v>0</v>
      </c>
      <c r="C119">
        <f>SUMPRODUCT((MONTH(CHOOSE({1,2,3,4},HN!U119,HN!AA119,HN!AG119,HN!AM119))=3)*(CHOOSE({1,2,3,4},HN!X119,HN!AD119,HN!AJ119,HN!AP119)))</f>
        <v>0</v>
      </c>
      <c r="D119">
        <f>SUMPRODUCT((MONTH(CHOOSE({1,2,3,4},HN!U119,HN!AA119,HN!AG119,HN!AM119))=4)*(CHOOSE({1,2,3,4},HN!X119,HN!AD119,HN!AJ119,HN!AP119)))</f>
        <v>0</v>
      </c>
      <c r="E119">
        <f>SUMPRODUCT((MONTH(CHOOSE({1,2,3,4},HN!U119,HN!AA119,HN!AG119,HN!AM119))=5)*(CHOOSE({1,2,3,4},HN!X119,HN!AD119,HN!AJ119,HN!AP119)))</f>
        <v>0</v>
      </c>
      <c r="F119">
        <f>SUMPRODUCT((MONTH(CHOOSE({1,2,3,4},HN!U119,HN!AA119,HN!AG119,HN!AM119))=6)*(CHOOSE({1,2,3,4},HN!X119,HN!AD119,HN!AJ119,HN!AP119)))</f>
        <v>0</v>
      </c>
      <c r="G119">
        <f>SUMPRODUCT((MONTH(CHOOSE({1,2,3,4},HN!U119,HN!AA119,HN!AG119,HN!AM119))=7)*(CHOOSE({1,2,3,4},HN!X119,HN!AD119,HN!AJ119,HN!AP119)))</f>
        <v>0</v>
      </c>
      <c r="H119">
        <f>SUMPRODUCT((MONTH(CHOOSE({1,2,3,4},HN!U119,HN!AA119,HN!AG119,HN!AM119))=8)*(CHOOSE({1,2,3,4},HN!X119,HN!AD119,HN!AJ119,HN!AP119)))</f>
        <v>0</v>
      </c>
      <c r="I119">
        <f>SUMPRODUCT((MONTH(CHOOSE({1,2,3,4},HN!U119,HN!AA119,HN!AG119,HN!AM119))=9)*(CHOOSE({1,2,3,4},HN!X119,HN!AD119,HN!AJ119,HN!AP119)))</f>
        <v>0</v>
      </c>
      <c r="J119">
        <f>SUMPRODUCT((MONTH(CHOOSE({1,2,3,4},HN!U119,HN!AA119,HN!AG119,HN!AM119))=10)*(CHOOSE({1,2,3,4},HN!X119,HN!AD119,HN!AJ119,HN!AP119)))</f>
        <v>0</v>
      </c>
      <c r="K119">
        <f>SUMPRODUCT((MONTH(CHOOSE({1,2,3,4},HN!U119,HN!AA119,HN!AG119,HN!AM119))=11)*(CHOOSE({1,2,3,4},HN!X119,HN!AD119,HN!AJ119,HN!AP119)))</f>
        <v>0</v>
      </c>
      <c r="L119">
        <f>SUMPRODUCT((MONTH(CHOOSE({1,2,3,4},HN!U119,HN!AA119,HN!AG119,HN!AM119))=12)*(CHOOSE({1,2,3,4},HN!X119,HN!AD119,HN!AJ119,HN!AP119)))</f>
        <v>0</v>
      </c>
    </row>
    <row r="120" spans="1:12">
      <c r="A120">
        <f>SUMPRODUCT((MONTH(CHOOSE({1,2,3,4},HN!U120,HN!AA120,HN!AG120,HN!AM120))=1)*(CHOOSE({1,2,3,4},HN!X120,HN!AD120,HN!AJ120,HN!AP120)))</f>
        <v>0</v>
      </c>
      <c r="B120">
        <f>SUMPRODUCT((MONTH(CHOOSE({1,2,3,4},HN!U120,HN!AA120,HN!AG120,HN!AM120))=2)*(CHOOSE({1,2,3,4},HN!X120,HN!AD120,HN!AJ120,HN!AP120)))</f>
        <v>0</v>
      </c>
      <c r="C120">
        <f>SUMPRODUCT((MONTH(CHOOSE({1,2,3,4},HN!U120,HN!AA120,HN!AG120,HN!AM120))=3)*(CHOOSE({1,2,3,4},HN!X120,HN!AD120,HN!AJ120,HN!AP120)))</f>
        <v>0</v>
      </c>
      <c r="D120">
        <f>SUMPRODUCT((MONTH(CHOOSE({1,2,3,4},HN!U120,HN!AA120,HN!AG120,HN!AM120))=4)*(CHOOSE({1,2,3,4},HN!X120,HN!AD120,HN!AJ120,HN!AP120)))</f>
        <v>0</v>
      </c>
      <c r="E120">
        <f>SUMPRODUCT((MONTH(CHOOSE({1,2,3,4},HN!U120,HN!AA120,HN!AG120,HN!AM120))=5)*(CHOOSE({1,2,3,4},HN!X120,HN!AD120,HN!AJ120,HN!AP120)))</f>
        <v>0</v>
      </c>
      <c r="F120">
        <f>SUMPRODUCT((MONTH(CHOOSE({1,2,3,4},HN!U120,HN!AA120,HN!AG120,HN!AM120))=6)*(CHOOSE({1,2,3,4},HN!X120,HN!AD120,HN!AJ120,HN!AP120)))</f>
        <v>0</v>
      </c>
      <c r="G120">
        <f>SUMPRODUCT((MONTH(CHOOSE({1,2,3,4},HN!U120,HN!AA120,HN!AG120,HN!AM120))=7)*(CHOOSE({1,2,3,4},HN!X120,HN!AD120,HN!AJ120,HN!AP120)))</f>
        <v>0</v>
      </c>
      <c r="H120">
        <f>SUMPRODUCT((MONTH(CHOOSE({1,2,3,4},HN!U120,HN!AA120,HN!AG120,HN!AM120))=8)*(CHOOSE({1,2,3,4},HN!X120,HN!AD120,HN!AJ120,HN!AP120)))</f>
        <v>0</v>
      </c>
      <c r="I120">
        <f>SUMPRODUCT((MONTH(CHOOSE({1,2,3,4},HN!U120,HN!AA120,HN!AG120,HN!AM120))=9)*(CHOOSE({1,2,3,4},HN!X120,HN!AD120,HN!AJ120,HN!AP120)))</f>
        <v>0</v>
      </c>
      <c r="J120">
        <f>SUMPRODUCT((MONTH(CHOOSE({1,2,3,4},HN!U120,HN!AA120,HN!AG120,HN!AM120))=10)*(CHOOSE({1,2,3,4},HN!X120,HN!AD120,HN!AJ120,HN!AP120)))</f>
        <v>0</v>
      </c>
      <c r="K120">
        <f>SUMPRODUCT((MONTH(CHOOSE({1,2,3,4},HN!U120,HN!AA120,HN!AG120,HN!AM120))=11)*(CHOOSE({1,2,3,4},HN!X120,HN!AD120,HN!AJ120,HN!AP120)))</f>
        <v>0</v>
      </c>
      <c r="L120">
        <f>SUMPRODUCT((MONTH(CHOOSE({1,2,3,4},HN!U120,HN!AA120,HN!AG120,HN!AM120))=12)*(CHOOSE({1,2,3,4},HN!X120,HN!AD120,HN!AJ120,HN!AP120)))</f>
        <v>0</v>
      </c>
    </row>
    <row r="121" spans="1:12">
      <c r="A121">
        <f>SUMPRODUCT((MONTH(CHOOSE({1,2,3,4},HN!U121,HN!AA121,HN!AG121,HN!AM121))=1)*(CHOOSE({1,2,3,4},HN!X121,HN!AD121,HN!AJ121,HN!AP121)))</f>
        <v>0</v>
      </c>
      <c r="B121">
        <f>SUMPRODUCT((MONTH(CHOOSE({1,2,3,4},HN!U121,HN!AA121,HN!AG121,HN!AM121))=2)*(CHOOSE({1,2,3,4},HN!X121,HN!AD121,HN!AJ121,HN!AP121)))</f>
        <v>0</v>
      </c>
      <c r="C121">
        <f>SUMPRODUCT((MONTH(CHOOSE({1,2,3,4},HN!U121,HN!AA121,HN!AG121,HN!AM121))=3)*(CHOOSE({1,2,3,4},HN!X121,HN!AD121,HN!AJ121,HN!AP121)))</f>
        <v>0</v>
      </c>
      <c r="D121">
        <f>SUMPRODUCT((MONTH(CHOOSE({1,2,3,4},HN!U121,HN!AA121,HN!AG121,HN!AM121))=4)*(CHOOSE({1,2,3,4},HN!X121,HN!AD121,HN!AJ121,HN!AP121)))</f>
        <v>0</v>
      </c>
      <c r="E121">
        <f>SUMPRODUCT((MONTH(CHOOSE({1,2,3,4},HN!U121,HN!AA121,HN!AG121,HN!AM121))=5)*(CHOOSE({1,2,3,4},HN!X121,HN!AD121,HN!AJ121,HN!AP121)))</f>
        <v>0</v>
      </c>
      <c r="F121">
        <f>SUMPRODUCT((MONTH(CHOOSE({1,2,3,4},HN!U121,HN!AA121,HN!AG121,HN!AM121))=6)*(CHOOSE({1,2,3,4},HN!X121,HN!AD121,HN!AJ121,HN!AP121)))</f>
        <v>0</v>
      </c>
      <c r="G121">
        <f>SUMPRODUCT((MONTH(CHOOSE({1,2,3,4},HN!U121,HN!AA121,HN!AG121,HN!AM121))=7)*(CHOOSE({1,2,3,4},HN!X121,HN!AD121,HN!AJ121,HN!AP121)))</f>
        <v>0</v>
      </c>
      <c r="H121">
        <f>SUMPRODUCT((MONTH(CHOOSE({1,2,3,4},HN!U121,HN!AA121,HN!AG121,HN!AM121))=8)*(CHOOSE({1,2,3,4},HN!X121,HN!AD121,HN!AJ121,HN!AP121)))</f>
        <v>0</v>
      </c>
      <c r="I121">
        <f>SUMPRODUCT((MONTH(CHOOSE({1,2,3,4},HN!U121,HN!AA121,HN!AG121,HN!AM121))=9)*(CHOOSE({1,2,3,4},HN!X121,HN!AD121,HN!AJ121,HN!AP121)))</f>
        <v>0</v>
      </c>
      <c r="J121">
        <f>SUMPRODUCT((MONTH(CHOOSE({1,2,3,4},HN!U121,HN!AA121,HN!AG121,HN!AM121))=10)*(CHOOSE({1,2,3,4},HN!X121,HN!AD121,HN!AJ121,HN!AP121)))</f>
        <v>0</v>
      </c>
      <c r="K121">
        <f>SUMPRODUCT((MONTH(CHOOSE({1,2,3,4},HN!U121,HN!AA121,HN!AG121,HN!AM121))=11)*(CHOOSE({1,2,3,4},HN!X121,HN!AD121,HN!AJ121,HN!AP121)))</f>
        <v>0</v>
      </c>
      <c r="L121">
        <f>SUMPRODUCT((MONTH(CHOOSE({1,2,3,4},HN!U121,HN!AA121,HN!AG121,HN!AM121))=12)*(CHOOSE({1,2,3,4},HN!X121,HN!AD121,HN!AJ121,HN!AP121)))</f>
        <v>0</v>
      </c>
    </row>
    <row r="122" spans="1:12">
      <c r="A122">
        <f>SUMPRODUCT((MONTH(CHOOSE({1,2,3,4},HN!U122,HN!AA122,HN!AG122,HN!AM122))=1)*(CHOOSE({1,2,3,4},HN!X122,HN!AD122,HN!AJ122,HN!AP122)))</f>
        <v>0</v>
      </c>
      <c r="B122">
        <f>SUMPRODUCT((MONTH(CHOOSE({1,2,3,4},HN!U122,HN!AA122,HN!AG122,HN!AM122))=2)*(CHOOSE({1,2,3,4},HN!X122,HN!AD122,HN!AJ122,HN!AP122)))</f>
        <v>0</v>
      </c>
      <c r="C122">
        <f>SUMPRODUCT((MONTH(CHOOSE({1,2,3,4},HN!U122,HN!AA122,HN!AG122,HN!AM122))=3)*(CHOOSE({1,2,3,4},HN!X122,HN!AD122,HN!AJ122,HN!AP122)))</f>
        <v>0</v>
      </c>
      <c r="D122">
        <f>SUMPRODUCT((MONTH(CHOOSE({1,2,3,4},HN!U122,HN!AA122,HN!AG122,HN!AM122))=4)*(CHOOSE({1,2,3,4},HN!X122,HN!AD122,HN!AJ122,HN!AP122)))</f>
        <v>0</v>
      </c>
      <c r="E122">
        <f>SUMPRODUCT((MONTH(CHOOSE({1,2,3,4},HN!U122,HN!AA122,HN!AG122,HN!AM122))=5)*(CHOOSE({1,2,3,4},HN!X122,HN!AD122,HN!AJ122,HN!AP122)))</f>
        <v>0</v>
      </c>
      <c r="F122">
        <f>SUMPRODUCT((MONTH(CHOOSE({1,2,3,4},HN!U122,HN!AA122,HN!AG122,HN!AM122))=6)*(CHOOSE({1,2,3,4},HN!X122,HN!AD122,HN!AJ122,HN!AP122)))</f>
        <v>0</v>
      </c>
      <c r="G122">
        <f>SUMPRODUCT((MONTH(CHOOSE({1,2,3,4},HN!U122,HN!AA122,HN!AG122,HN!AM122))=7)*(CHOOSE({1,2,3,4},HN!X122,HN!AD122,HN!AJ122,HN!AP122)))</f>
        <v>0</v>
      </c>
      <c r="H122">
        <f>SUMPRODUCT((MONTH(CHOOSE({1,2,3,4},HN!U122,HN!AA122,HN!AG122,HN!AM122))=8)*(CHOOSE({1,2,3,4},HN!X122,HN!AD122,HN!AJ122,HN!AP122)))</f>
        <v>0</v>
      </c>
      <c r="I122">
        <f>SUMPRODUCT((MONTH(CHOOSE({1,2,3,4},HN!U122,HN!AA122,HN!AG122,HN!AM122))=9)*(CHOOSE({1,2,3,4},HN!X122,HN!AD122,HN!AJ122,HN!AP122)))</f>
        <v>0</v>
      </c>
      <c r="J122">
        <f>SUMPRODUCT((MONTH(CHOOSE({1,2,3,4},HN!U122,HN!AA122,HN!AG122,HN!AM122))=10)*(CHOOSE({1,2,3,4},HN!X122,HN!AD122,HN!AJ122,HN!AP122)))</f>
        <v>0</v>
      </c>
      <c r="K122">
        <f>SUMPRODUCT((MONTH(CHOOSE({1,2,3,4},HN!U122,HN!AA122,HN!AG122,HN!AM122))=11)*(CHOOSE({1,2,3,4},HN!X122,HN!AD122,HN!AJ122,HN!AP122)))</f>
        <v>0</v>
      </c>
      <c r="L122">
        <f>SUMPRODUCT((MONTH(CHOOSE({1,2,3,4},HN!U122,HN!AA122,HN!AG122,HN!AM122))=12)*(CHOOSE({1,2,3,4},HN!X122,HN!AD122,HN!AJ122,HN!AP122)))</f>
        <v>0</v>
      </c>
    </row>
    <row r="123" spans="1:12">
      <c r="A123">
        <f>SUMPRODUCT((MONTH(CHOOSE({1,2,3,4},HN!U123,HN!AA123,HN!AG123,HN!AM123))=1)*(CHOOSE({1,2,3,4},HN!X123,HN!AD123,HN!AJ123,HN!AP123)))</f>
        <v>0</v>
      </c>
      <c r="B123">
        <f>SUMPRODUCT((MONTH(CHOOSE({1,2,3,4},HN!U123,HN!AA123,HN!AG123,HN!AM123))=2)*(CHOOSE({1,2,3,4},HN!X123,HN!AD123,HN!AJ123,HN!AP123)))</f>
        <v>0</v>
      </c>
      <c r="C123">
        <f>SUMPRODUCT((MONTH(CHOOSE({1,2,3,4},HN!U123,HN!AA123,HN!AG123,HN!AM123))=3)*(CHOOSE({1,2,3,4},HN!X123,HN!AD123,HN!AJ123,HN!AP123)))</f>
        <v>0</v>
      </c>
      <c r="D123">
        <f>SUMPRODUCT((MONTH(CHOOSE({1,2,3,4},HN!U123,HN!AA123,HN!AG123,HN!AM123))=4)*(CHOOSE({1,2,3,4},HN!X123,HN!AD123,HN!AJ123,HN!AP123)))</f>
        <v>0</v>
      </c>
      <c r="E123">
        <f>SUMPRODUCT((MONTH(CHOOSE({1,2,3,4},HN!U123,HN!AA123,HN!AG123,HN!AM123))=5)*(CHOOSE({1,2,3,4},HN!X123,HN!AD123,HN!AJ123,HN!AP123)))</f>
        <v>0</v>
      </c>
      <c r="F123">
        <f>SUMPRODUCT((MONTH(CHOOSE({1,2,3,4},HN!U123,HN!AA123,HN!AG123,HN!AM123))=6)*(CHOOSE({1,2,3,4},HN!X123,HN!AD123,HN!AJ123,HN!AP123)))</f>
        <v>0</v>
      </c>
      <c r="G123">
        <f>SUMPRODUCT((MONTH(CHOOSE({1,2,3,4},HN!U123,HN!AA123,HN!AG123,HN!AM123))=7)*(CHOOSE({1,2,3,4},HN!X123,HN!AD123,HN!AJ123,HN!AP123)))</f>
        <v>0</v>
      </c>
      <c r="H123">
        <f>SUMPRODUCT((MONTH(CHOOSE({1,2,3,4},HN!U123,HN!AA123,HN!AG123,HN!AM123))=8)*(CHOOSE({1,2,3,4},HN!X123,HN!AD123,HN!AJ123,HN!AP123)))</f>
        <v>0</v>
      </c>
      <c r="I123">
        <f>SUMPRODUCT((MONTH(CHOOSE({1,2,3,4},HN!U123,HN!AA123,HN!AG123,HN!AM123))=9)*(CHOOSE({1,2,3,4},HN!X123,HN!AD123,HN!AJ123,HN!AP123)))</f>
        <v>0</v>
      </c>
      <c r="J123">
        <f>SUMPRODUCT((MONTH(CHOOSE({1,2,3,4},HN!U123,HN!AA123,HN!AG123,HN!AM123))=10)*(CHOOSE({1,2,3,4},HN!X123,HN!AD123,HN!AJ123,HN!AP123)))</f>
        <v>0</v>
      </c>
      <c r="K123">
        <f>SUMPRODUCT((MONTH(CHOOSE({1,2,3,4},HN!U123,HN!AA123,HN!AG123,HN!AM123))=11)*(CHOOSE({1,2,3,4},HN!X123,HN!AD123,HN!AJ123,HN!AP123)))</f>
        <v>0</v>
      </c>
      <c r="L123">
        <f>SUMPRODUCT((MONTH(CHOOSE({1,2,3,4},HN!U123,HN!AA123,HN!AG123,HN!AM123))=12)*(CHOOSE({1,2,3,4},HN!X123,HN!AD123,HN!AJ123,HN!AP123)))</f>
        <v>0</v>
      </c>
    </row>
    <row r="124" spans="1:12">
      <c r="A124">
        <f>SUMPRODUCT((MONTH(CHOOSE({1,2,3,4},HN!U124,HN!AA124,HN!AG124,HN!AM124))=1)*(CHOOSE({1,2,3,4},HN!X124,HN!AD124,HN!AJ124,HN!AP124)))</f>
        <v>0</v>
      </c>
      <c r="B124">
        <f>SUMPRODUCT((MONTH(CHOOSE({1,2,3,4},HN!U124,HN!AA124,HN!AG124,HN!AM124))=2)*(CHOOSE({1,2,3,4},HN!X124,HN!AD124,HN!AJ124,HN!AP124)))</f>
        <v>0</v>
      </c>
      <c r="C124">
        <f>SUMPRODUCT((MONTH(CHOOSE({1,2,3,4},HN!U124,HN!AA124,HN!AG124,HN!AM124))=3)*(CHOOSE({1,2,3,4},HN!X124,HN!AD124,HN!AJ124,HN!AP124)))</f>
        <v>0</v>
      </c>
      <c r="D124">
        <f>SUMPRODUCT((MONTH(CHOOSE({1,2,3,4},HN!U124,HN!AA124,HN!AG124,HN!AM124))=4)*(CHOOSE({1,2,3,4},HN!X124,HN!AD124,HN!AJ124,HN!AP124)))</f>
        <v>0</v>
      </c>
      <c r="E124">
        <f>SUMPRODUCT((MONTH(CHOOSE({1,2,3,4},HN!U124,HN!AA124,HN!AG124,HN!AM124))=5)*(CHOOSE({1,2,3,4},HN!X124,HN!AD124,HN!AJ124,HN!AP124)))</f>
        <v>0</v>
      </c>
      <c r="F124">
        <f>SUMPRODUCT((MONTH(CHOOSE({1,2,3,4},HN!U124,HN!AA124,HN!AG124,HN!AM124))=6)*(CHOOSE({1,2,3,4},HN!X124,HN!AD124,HN!AJ124,HN!AP124)))</f>
        <v>0</v>
      </c>
      <c r="G124">
        <f>SUMPRODUCT((MONTH(CHOOSE({1,2,3,4},HN!U124,HN!AA124,HN!AG124,HN!AM124))=7)*(CHOOSE({1,2,3,4},HN!X124,HN!AD124,HN!AJ124,HN!AP124)))</f>
        <v>0</v>
      </c>
      <c r="H124">
        <f>SUMPRODUCT((MONTH(CHOOSE({1,2,3,4},HN!U124,HN!AA124,HN!AG124,HN!AM124))=8)*(CHOOSE({1,2,3,4},HN!X124,HN!AD124,HN!AJ124,HN!AP124)))</f>
        <v>0</v>
      </c>
      <c r="I124">
        <f>SUMPRODUCT((MONTH(CHOOSE({1,2,3,4},HN!U124,HN!AA124,HN!AG124,HN!AM124))=9)*(CHOOSE({1,2,3,4},HN!X124,HN!AD124,HN!AJ124,HN!AP124)))</f>
        <v>0</v>
      </c>
      <c r="J124">
        <f>SUMPRODUCT((MONTH(CHOOSE({1,2,3,4},HN!U124,HN!AA124,HN!AG124,HN!AM124))=10)*(CHOOSE({1,2,3,4},HN!X124,HN!AD124,HN!AJ124,HN!AP124)))</f>
        <v>0</v>
      </c>
      <c r="K124">
        <f>SUMPRODUCT((MONTH(CHOOSE({1,2,3,4},HN!U124,HN!AA124,HN!AG124,HN!AM124))=11)*(CHOOSE({1,2,3,4},HN!X124,HN!AD124,HN!AJ124,HN!AP124)))</f>
        <v>0</v>
      </c>
      <c r="L124">
        <f>SUMPRODUCT((MONTH(CHOOSE({1,2,3,4},HN!U124,HN!AA124,HN!AG124,HN!AM124))=12)*(CHOOSE({1,2,3,4},HN!X124,HN!AD124,HN!AJ124,HN!AP124)))</f>
        <v>0</v>
      </c>
    </row>
    <row r="125" spans="1:12">
      <c r="A125">
        <f>SUMPRODUCT((MONTH(CHOOSE({1,2,3,4},HN!U125,HN!AA125,HN!AG125,HN!AM125))=1)*(CHOOSE({1,2,3,4},HN!X125,HN!AD125,HN!AJ125,HN!AP125)))</f>
        <v>0</v>
      </c>
      <c r="B125">
        <f>SUMPRODUCT((MONTH(CHOOSE({1,2,3,4},HN!U125,HN!AA125,HN!AG125,HN!AM125))=2)*(CHOOSE({1,2,3,4},HN!X125,HN!AD125,HN!AJ125,HN!AP125)))</f>
        <v>0</v>
      </c>
      <c r="C125">
        <f>SUMPRODUCT((MONTH(CHOOSE({1,2,3,4},HN!U125,HN!AA125,HN!AG125,HN!AM125))=3)*(CHOOSE({1,2,3,4},HN!X125,HN!AD125,HN!AJ125,HN!AP125)))</f>
        <v>0</v>
      </c>
      <c r="D125">
        <f>SUMPRODUCT((MONTH(CHOOSE({1,2,3,4},HN!U125,HN!AA125,HN!AG125,HN!AM125))=4)*(CHOOSE({1,2,3,4},HN!X125,HN!AD125,HN!AJ125,HN!AP125)))</f>
        <v>0</v>
      </c>
      <c r="E125">
        <f>SUMPRODUCT((MONTH(CHOOSE({1,2,3,4},HN!U125,HN!AA125,HN!AG125,HN!AM125))=5)*(CHOOSE({1,2,3,4},HN!X125,HN!AD125,HN!AJ125,HN!AP125)))</f>
        <v>0</v>
      </c>
      <c r="F125">
        <f>SUMPRODUCT((MONTH(CHOOSE({1,2,3,4},HN!U125,HN!AA125,HN!AG125,HN!AM125))=6)*(CHOOSE({1,2,3,4},HN!X125,HN!AD125,HN!AJ125,HN!AP125)))</f>
        <v>0</v>
      </c>
      <c r="G125">
        <f>SUMPRODUCT((MONTH(CHOOSE({1,2,3,4},HN!U125,HN!AA125,HN!AG125,HN!AM125))=7)*(CHOOSE({1,2,3,4},HN!X125,HN!AD125,HN!AJ125,HN!AP125)))</f>
        <v>0</v>
      </c>
      <c r="H125">
        <f>SUMPRODUCT((MONTH(CHOOSE({1,2,3,4},HN!U125,HN!AA125,HN!AG125,HN!AM125))=8)*(CHOOSE({1,2,3,4},HN!X125,HN!AD125,HN!AJ125,HN!AP125)))</f>
        <v>0</v>
      </c>
      <c r="I125">
        <f>SUMPRODUCT((MONTH(CHOOSE({1,2,3,4},HN!U125,HN!AA125,HN!AG125,HN!AM125))=9)*(CHOOSE({1,2,3,4},HN!X125,HN!AD125,HN!AJ125,HN!AP125)))</f>
        <v>0</v>
      </c>
      <c r="J125">
        <f>SUMPRODUCT((MONTH(CHOOSE({1,2,3,4},HN!U125,HN!AA125,HN!AG125,HN!AM125))=10)*(CHOOSE({1,2,3,4},HN!X125,HN!AD125,HN!AJ125,HN!AP125)))</f>
        <v>0</v>
      </c>
      <c r="K125">
        <f>SUMPRODUCT((MONTH(CHOOSE({1,2,3,4},HN!U125,HN!AA125,HN!AG125,HN!AM125))=11)*(CHOOSE({1,2,3,4},HN!X125,HN!AD125,HN!AJ125,HN!AP125)))</f>
        <v>0</v>
      </c>
      <c r="L125">
        <f>SUMPRODUCT((MONTH(CHOOSE({1,2,3,4},HN!U125,HN!AA125,HN!AG125,HN!AM125))=12)*(CHOOSE({1,2,3,4},HN!X125,HN!AD125,HN!AJ125,HN!AP125)))</f>
        <v>0</v>
      </c>
    </row>
    <row r="126" spans="1:12">
      <c r="A126">
        <f>SUMPRODUCT((MONTH(CHOOSE({1,2,3,4},HN!U126,HN!AA126,HN!AG126,HN!AM126))=1)*(CHOOSE({1,2,3,4},HN!X126,HN!AD126,HN!AJ126,HN!AP126)))</f>
        <v>0</v>
      </c>
      <c r="B126">
        <f>SUMPRODUCT((MONTH(CHOOSE({1,2,3,4},HN!U126,HN!AA126,HN!AG126,HN!AM126))=2)*(CHOOSE({1,2,3,4},HN!X126,HN!AD126,HN!AJ126,HN!AP126)))</f>
        <v>0</v>
      </c>
      <c r="C126">
        <f>SUMPRODUCT((MONTH(CHOOSE({1,2,3,4},HN!U126,HN!AA126,HN!AG126,HN!AM126))=3)*(CHOOSE({1,2,3,4},HN!X126,HN!AD126,HN!AJ126,HN!AP126)))</f>
        <v>0</v>
      </c>
      <c r="D126">
        <f>SUMPRODUCT((MONTH(CHOOSE({1,2,3,4},HN!U126,HN!AA126,HN!AG126,HN!AM126))=4)*(CHOOSE({1,2,3,4},HN!X126,HN!AD126,HN!AJ126,HN!AP126)))</f>
        <v>0</v>
      </c>
      <c r="E126">
        <f>SUMPRODUCT((MONTH(CHOOSE({1,2,3,4},HN!U126,HN!AA126,HN!AG126,HN!AM126))=5)*(CHOOSE({1,2,3,4},HN!X126,HN!AD126,HN!AJ126,HN!AP126)))</f>
        <v>0</v>
      </c>
      <c r="F126">
        <f>SUMPRODUCT((MONTH(CHOOSE({1,2,3,4},HN!U126,HN!AA126,HN!AG126,HN!AM126))=6)*(CHOOSE({1,2,3,4},HN!X126,HN!AD126,HN!AJ126,HN!AP126)))</f>
        <v>0</v>
      </c>
      <c r="G126">
        <f>SUMPRODUCT((MONTH(CHOOSE({1,2,3,4},HN!U126,HN!AA126,HN!AG126,HN!AM126))=7)*(CHOOSE({1,2,3,4},HN!X126,HN!AD126,HN!AJ126,HN!AP126)))</f>
        <v>0</v>
      </c>
      <c r="H126">
        <f>SUMPRODUCT((MONTH(CHOOSE({1,2,3,4},HN!U126,HN!AA126,HN!AG126,HN!AM126))=8)*(CHOOSE({1,2,3,4},HN!X126,HN!AD126,HN!AJ126,HN!AP126)))</f>
        <v>0</v>
      </c>
      <c r="I126">
        <f>SUMPRODUCT((MONTH(CHOOSE({1,2,3,4},HN!U126,HN!AA126,HN!AG126,HN!AM126))=9)*(CHOOSE({1,2,3,4},HN!X126,HN!AD126,HN!AJ126,HN!AP126)))</f>
        <v>0</v>
      </c>
      <c r="J126">
        <f>SUMPRODUCT((MONTH(CHOOSE({1,2,3,4},HN!U126,HN!AA126,HN!AG126,HN!AM126))=10)*(CHOOSE({1,2,3,4},HN!X126,HN!AD126,HN!AJ126,HN!AP126)))</f>
        <v>0</v>
      </c>
      <c r="K126">
        <f>SUMPRODUCT((MONTH(CHOOSE({1,2,3,4},HN!U126,HN!AA126,HN!AG126,HN!AM126))=11)*(CHOOSE({1,2,3,4},HN!X126,HN!AD126,HN!AJ126,HN!AP126)))</f>
        <v>0</v>
      </c>
      <c r="L126">
        <f>SUMPRODUCT((MONTH(CHOOSE({1,2,3,4},HN!U126,HN!AA126,HN!AG126,HN!AM126))=12)*(CHOOSE({1,2,3,4},HN!X126,HN!AD126,HN!AJ126,HN!AP126)))</f>
        <v>0</v>
      </c>
    </row>
    <row r="127" spans="1:12">
      <c r="A127">
        <f>SUMPRODUCT((MONTH(CHOOSE({1,2,3,4},HN!U127,HN!AA127,HN!AG127,HN!AM127))=1)*(CHOOSE({1,2,3,4},HN!X127,HN!AD127,HN!AJ127,HN!AP127)))</f>
        <v>0</v>
      </c>
      <c r="B127">
        <f>SUMPRODUCT((MONTH(CHOOSE({1,2,3,4},HN!U127,HN!AA127,HN!AG127,HN!AM127))=2)*(CHOOSE({1,2,3,4},HN!X127,HN!AD127,HN!AJ127,HN!AP127)))</f>
        <v>0</v>
      </c>
      <c r="C127">
        <f>SUMPRODUCT((MONTH(CHOOSE({1,2,3,4},HN!U127,HN!AA127,HN!AG127,HN!AM127))=3)*(CHOOSE({1,2,3,4},HN!X127,HN!AD127,HN!AJ127,HN!AP127)))</f>
        <v>0</v>
      </c>
      <c r="D127">
        <f>SUMPRODUCT((MONTH(CHOOSE({1,2,3,4},HN!U127,HN!AA127,HN!AG127,HN!AM127))=4)*(CHOOSE({1,2,3,4},HN!X127,HN!AD127,HN!AJ127,HN!AP127)))</f>
        <v>0</v>
      </c>
      <c r="E127">
        <f>SUMPRODUCT((MONTH(CHOOSE({1,2,3,4},HN!U127,HN!AA127,HN!AG127,HN!AM127))=5)*(CHOOSE({1,2,3,4},HN!X127,HN!AD127,HN!AJ127,HN!AP127)))</f>
        <v>0</v>
      </c>
      <c r="F127">
        <f>SUMPRODUCT((MONTH(CHOOSE({1,2,3,4},HN!U127,HN!AA127,HN!AG127,HN!AM127))=6)*(CHOOSE({1,2,3,4},HN!X127,HN!AD127,HN!AJ127,HN!AP127)))</f>
        <v>0</v>
      </c>
      <c r="G127">
        <f>SUMPRODUCT((MONTH(CHOOSE({1,2,3,4},HN!U127,HN!AA127,HN!AG127,HN!AM127))=7)*(CHOOSE({1,2,3,4},HN!X127,HN!AD127,HN!AJ127,HN!AP127)))</f>
        <v>0</v>
      </c>
      <c r="H127">
        <f>SUMPRODUCT((MONTH(CHOOSE({1,2,3,4},HN!U127,HN!AA127,HN!AG127,HN!AM127))=8)*(CHOOSE({1,2,3,4},HN!X127,HN!AD127,HN!AJ127,HN!AP127)))</f>
        <v>0</v>
      </c>
      <c r="I127">
        <f>SUMPRODUCT((MONTH(CHOOSE({1,2,3,4},HN!U127,HN!AA127,HN!AG127,HN!AM127))=9)*(CHOOSE({1,2,3,4},HN!X127,HN!AD127,HN!AJ127,HN!AP127)))</f>
        <v>0</v>
      </c>
      <c r="J127">
        <f>SUMPRODUCT((MONTH(CHOOSE({1,2,3,4},HN!U127,HN!AA127,HN!AG127,HN!AM127))=10)*(CHOOSE({1,2,3,4},HN!X127,HN!AD127,HN!AJ127,HN!AP127)))</f>
        <v>0</v>
      </c>
      <c r="K127">
        <f>SUMPRODUCT((MONTH(CHOOSE({1,2,3,4},HN!U127,HN!AA127,HN!AG127,HN!AM127))=11)*(CHOOSE({1,2,3,4},HN!X127,HN!AD127,HN!AJ127,HN!AP127)))</f>
        <v>0</v>
      </c>
      <c r="L127">
        <f>SUMPRODUCT((MONTH(CHOOSE({1,2,3,4},HN!U127,HN!AA127,HN!AG127,HN!AM127))=12)*(CHOOSE({1,2,3,4},HN!X127,HN!AD127,HN!AJ127,HN!AP127)))</f>
        <v>0</v>
      </c>
    </row>
    <row r="128" spans="1:12">
      <c r="A128">
        <f>SUMPRODUCT((MONTH(CHOOSE({1,2,3,4},HN!U128,HN!AA128,HN!AG128,HN!AM128))=1)*(CHOOSE({1,2,3,4},HN!X128,HN!AD128,HN!AJ128,HN!AP128)))</f>
        <v>0</v>
      </c>
      <c r="B128">
        <f>SUMPRODUCT((MONTH(CHOOSE({1,2,3,4},HN!U128,HN!AA128,HN!AG128,HN!AM128))=2)*(CHOOSE({1,2,3,4},HN!X128,HN!AD128,HN!AJ128,HN!AP128)))</f>
        <v>0</v>
      </c>
      <c r="C128">
        <f>SUMPRODUCT((MONTH(CHOOSE({1,2,3,4},HN!U128,HN!AA128,HN!AG128,HN!AM128))=3)*(CHOOSE({1,2,3,4},HN!X128,HN!AD128,HN!AJ128,HN!AP128)))</f>
        <v>0</v>
      </c>
      <c r="D128">
        <f>SUMPRODUCT((MONTH(CHOOSE({1,2,3,4},HN!U128,HN!AA128,HN!AG128,HN!AM128))=4)*(CHOOSE({1,2,3,4},HN!X128,HN!AD128,HN!AJ128,HN!AP128)))</f>
        <v>0</v>
      </c>
      <c r="E128">
        <f>SUMPRODUCT((MONTH(CHOOSE({1,2,3,4},HN!U128,HN!AA128,HN!AG128,HN!AM128))=5)*(CHOOSE({1,2,3,4},HN!X128,HN!AD128,HN!AJ128,HN!AP128)))</f>
        <v>0</v>
      </c>
      <c r="F128">
        <f>SUMPRODUCT((MONTH(CHOOSE({1,2,3,4},HN!U128,HN!AA128,HN!AG128,HN!AM128))=6)*(CHOOSE({1,2,3,4},HN!X128,HN!AD128,HN!AJ128,HN!AP128)))</f>
        <v>0</v>
      </c>
      <c r="G128">
        <f>SUMPRODUCT((MONTH(CHOOSE({1,2,3,4},HN!U128,HN!AA128,HN!AG128,HN!AM128))=7)*(CHOOSE({1,2,3,4},HN!X128,HN!AD128,HN!AJ128,HN!AP128)))</f>
        <v>0</v>
      </c>
      <c r="H128">
        <f>SUMPRODUCT((MONTH(CHOOSE({1,2,3,4},HN!U128,HN!AA128,HN!AG128,HN!AM128))=8)*(CHOOSE({1,2,3,4},HN!X128,HN!AD128,HN!AJ128,HN!AP128)))</f>
        <v>0</v>
      </c>
      <c r="I128">
        <f>SUMPRODUCT((MONTH(CHOOSE({1,2,3,4},HN!U128,HN!AA128,HN!AG128,HN!AM128))=9)*(CHOOSE({1,2,3,4},HN!X128,HN!AD128,HN!AJ128,HN!AP128)))</f>
        <v>0</v>
      </c>
      <c r="J128">
        <f>SUMPRODUCT((MONTH(CHOOSE({1,2,3,4},HN!U128,HN!AA128,HN!AG128,HN!AM128))=10)*(CHOOSE({1,2,3,4},HN!X128,HN!AD128,HN!AJ128,HN!AP128)))</f>
        <v>0</v>
      </c>
      <c r="K128">
        <f>SUMPRODUCT((MONTH(CHOOSE({1,2,3,4},HN!U128,HN!AA128,HN!AG128,HN!AM128))=11)*(CHOOSE({1,2,3,4},HN!X128,HN!AD128,HN!AJ128,HN!AP128)))</f>
        <v>0</v>
      </c>
      <c r="L128">
        <f>SUMPRODUCT((MONTH(CHOOSE({1,2,3,4},HN!U128,HN!AA128,HN!AG128,HN!AM128))=12)*(CHOOSE({1,2,3,4},HN!X128,HN!AD128,HN!AJ128,HN!AP128)))</f>
        <v>0</v>
      </c>
    </row>
    <row r="129" spans="1:12">
      <c r="A129">
        <f>SUMPRODUCT((MONTH(CHOOSE({1,2,3,4},HN!U129,HN!AA129,HN!AG129,HN!AM129))=1)*(CHOOSE({1,2,3,4},HN!X129,HN!AD129,HN!AJ129,HN!AP129)))</f>
        <v>0</v>
      </c>
      <c r="B129">
        <f>SUMPRODUCT((MONTH(CHOOSE({1,2,3,4},HN!U129,HN!AA129,HN!AG129,HN!AM129))=2)*(CHOOSE({1,2,3,4},HN!X129,HN!AD129,HN!AJ129,HN!AP129)))</f>
        <v>0</v>
      </c>
      <c r="C129">
        <f>SUMPRODUCT((MONTH(CHOOSE({1,2,3,4},HN!U129,HN!AA129,HN!AG129,HN!AM129))=3)*(CHOOSE({1,2,3,4},HN!X129,HN!AD129,HN!AJ129,HN!AP129)))</f>
        <v>0</v>
      </c>
      <c r="D129">
        <f>SUMPRODUCT((MONTH(CHOOSE({1,2,3,4},HN!U129,HN!AA129,HN!AG129,HN!AM129))=4)*(CHOOSE({1,2,3,4},HN!X129,HN!AD129,HN!AJ129,HN!AP129)))</f>
        <v>0</v>
      </c>
      <c r="E129">
        <f>SUMPRODUCT((MONTH(CHOOSE({1,2,3,4},HN!U129,HN!AA129,HN!AG129,HN!AM129))=5)*(CHOOSE({1,2,3,4},HN!X129,HN!AD129,HN!AJ129,HN!AP129)))</f>
        <v>0</v>
      </c>
      <c r="F129">
        <f>SUMPRODUCT((MONTH(CHOOSE({1,2,3,4},HN!U129,HN!AA129,HN!AG129,HN!AM129))=6)*(CHOOSE({1,2,3,4},HN!X129,HN!AD129,HN!AJ129,HN!AP129)))</f>
        <v>0</v>
      </c>
      <c r="G129">
        <f>SUMPRODUCT((MONTH(CHOOSE({1,2,3,4},HN!U129,HN!AA129,HN!AG129,HN!AM129))=7)*(CHOOSE({1,2,3,4},HN!X129,HN!AD129,HN!AJ129,HN!AP129)))</f>
        <v>0</v>
      </c>
      <c r="H129">
        <f>SUMPRODUCT((MONTH(CHOOSE({1,2,3,4},HN!U129,HN!AA129,HN!AG129,HN!AM129))=8)*(CHOOSE({1,2,3,4},HN!X129,HN!AD129,HN!AJ129,HN!AP129)))</f>
        <v>0</v>
      </c>
      <c r="I129">
        <f>SUMPRODUCT((MONTH(CHOOSE({1,2,3,4},HN!U129,HN!AA129,HN!AG129,HN!AM129))=9)*(CHOOSE({1,2,3,4},HN!X129,HN!AD129,HN!AJ129,HN!AP129)))</f>
        <v>0</v>
      </c>
      <c r="J129">
        <f>SUMPRODUCT((MONTH(CHOOSE({1,2,3,4},HN!U129,HN!AA129,HN!AG129,HN!AM129))=10)*(CHOOSE({1,2,3,4},HN!X129,HN!AD129,HN!AJ129,HN!AP129)))</f>
        <v>0</v>
      </c>
      <c r="K129">
        <f>SUMPRODUCT((MONTH(CHOOSE({1,2,3,4},HN!U129,HN!AA129,HN!AG129,HN!AM129))=11)*(CHOOSE({1,2,3,4},HN!X129,HN!AD129,HN!AJ129,HN!AP129)))</f>
        <v>0</v>
      </c>
      <c r="L129">
        <f>SUMPRODUCT((MONTH(CHOOSE({1,2,3,4},HN!U129,HN!AA129,HN!AG129,HN!AM129))=12)*(CHOOSE({1,2,3,4},HN!X129,HN!AD129,HN!AJ129,HN!AP129)))</f>
        <v>0</v>
      </c>
    </row>
    <row r="130" spans="1:12">
      <c r="A130">
        <f>SUMPRODUCT((MONTH(CHOOSE({1,2,3,4},HN!U130,HN!AA130,HN!AG130,HN!AM130))=1)*(CHOOSE({1,2,3,4},HN!X130,HN!AD130,HN!AJ130,HN!AP130)))</f>
        <v>0</v>
      </c>
      <c r="B130">
        <f>SUMPRODUCT((MONTH(CHOOSE({1,2,3,4},HN!U130,HN!AA130,HN!AG130,HN!AM130))=2)*(CHOOSE({1,2,3,4},HN!X130,HN!AD130,HN!AJ130,HN!AP130)))</f>
        <v>0</v>
      </c>
      <c r="C130">
        <f>SUMPRODUCT((MONTH(CHOOSE({1,2,3,4},HN!U130,HN!AA130,HN!AG130,HN!AM130))=3)*(CHOOSE({1,2,3,4},HN!X130,HN!AD130,HN!AJ130,HN!AP130)))</f>
        <v>0</v>
      </c>
      <c r="D130">
        <f>SUMPRODUCT((MONTH(CHOOSE({1,2,3,4},HN!U130,HN!AA130,HN!AG130,HN!AM130))=4)*(CHOOSE({1,2,3,4},HN!X130,HN!AD130,HN!AJ130,HN!AP130)))</f>
        <v>0</v>
      </c>
      <c r="E130">
        <f>SUMPRODUCT((MONTH(CHOOSE({1,2,3,4},HN!U130,HN!AA130,HN!AG130,HN!AM130))=5)*(CHOOSE({1,2,3,4},HN!X130,HN!AD130,HN!AJ130,HN!AP130)))</f>
        <v>0</v>
      </c>
      <c r="F130">
        <f>SUMPRODUCT((MONTH(CHOOSE({1,2,3,4},HN!U130,HN!AA130,HN!AG130,HN!AM130))=6)*(CHOOSE({1,2,3,4},HN!X130,HN!AD130,HN!AJ130,HN!AP130)))</f>
        <v>0</v>
      </c>
      <c r="G130">
        <f>SUMPRODUCT((MONTH(CHOOSE({1,2,3,4},HN!U130,HN!AA130,HN!AG130,HN!AM130))=7)*(CHOOSE({1,2,3,4},HN!X130,HN!AD130,HN!AJ130,HN!AP130)))</f>
        <v>0</v>
      </c>
      <c r="H130">
        <f>SUMPRODUCT((MONTH(CHOOSE({1,2,3,4},HN!U130,HN!AA130,HN!AG130,HN!AM130))=8)*(CHOOSE({1,2,3,4},HN!X130,HN!AD130,HN!AJ130,HN!AP130)))</f>
        <v>0</v>
      </c>
      <c r="I130">
        <f>SUMPRODUCT((MONTH(CHOOSE({1,2,3,4},HN!U130,HN!AA130,HN!AG130,HN!AM130))=9)*(CHOOSE({1,2,3,4},HN!X130,HN!AD130,HN!AJ130,HN!AP130)))</f>
        <v>0</v>
      </c>
      <c r="J130">
        <f>SUMPRODUCT((MONTH(CHOOSE({1,2,3,4},HN!U130,HN!AA130,HN!AG130,HN!AM130))=10)*(CHOOSE({1,2,3,4},HN!X130,HN!AD130,HN!AJ130,HN!AP130)))</f>
        <v>0</v>
      </c>
      <c r="K130">
        <f>SUMPRODUCT((MONTH(CHOOSE({1,2,3,4},HN!U130,HN!AA130,HN!AG130,HN!AM130))=11)*(CHOOSE({1,2,3,4},HN!X130,HN!AD130,HN!AJ130,HN!AP130)))</f>
        <v>0</v>
      </c>
      <c r="L130">
        <f>SUMPRODUCT((MONTH(CHOOSE({1,2,3,4},HN!U130,HN!AA130,HN!AG130,HN!AM130))=12)*(CHOOSE({1,2,3,4},HN!X130,HN!AD130,HN!AJ130,HN!AP130)))</f>
        <v>0</v>
      </c>
    </row>
    <row r="131" spans="1:12">
      <c r="A131">
        <f>SUMPRODUCT((MONTH(CHOOSE({1,2,3,4},HN!U131,HN!AA131,HN!AG131,HN!AM131))=1)*(CHOOSE({1,2,3,4},HN!X131,HN!AD131,HN!AJ131,HN!AP131)))</f>
        <v>0</v>
      </c>
      <c r="B131">
        <f>SUMPRODUCT((MONTH(CHOOSE({1,2,3,4},HN!U131,HN!AA131,HN!AG131,HN!AM131))=2)*(CHOOSE({1,2,3,4},HN!X131,HN!AD131,HN!AJ131,HN!AP131)))</f>
        <v>0</v>
      </c>
      <c r="C131">
        <f>SUMPRODUCT((MONTH(CHOOSE({1,2,3,4},HN!U131,HN!AA131,HN!AG131,HN!AM131))=3)*(CHOOSE({1,2,3,4},HN!X131,HN!AD131,HN!AJ131,HN!AP131)))</f>
        <v>0</v>
      </c>
      <c r="D131">
        <f>SUMPRODUCT((MONTH(CHOOSE({1,2,3,4},HN!U131,HN!AA131,HN!AG131,HN!AM131))=4)*(CHOOSE({1,2,3,4},HN!X131,HN!AD131,HN!AJ131,HN!AP131)))</f>
        <v>0</v>
      </c>
      <c r="E131">
        <f>SUMPRODUCT((MONTH(CHOOSE({1,2,3,4},HN!U131,HN!AA131,HN!AG131,HN!AM131))=5)*(CHOOSE({1,2,3,4},HN!X131,HN!AD131,HN!AJ131,HN!AP131)))</f>
        <v>0</v>
      </c>
      <c r="F131">
        <f>SUMPRODUCT((MONTH(CHOOSE({1,2,3,4},HN!U131,HN!AA131,HN!AG131,HN!AM131))=6)*(CHOOSE({1,2,3,4},HN!X131,HN!AD131,HN!AJ131,HN!AP131)))</f>
        <v>0</v>
      </c>
      <c r="G131">
        <f>SUMPRODUCT((MONTH(CHOOSE({1,2,3,4},HN!U131,HN!AA131,HN!AG131,HN!AM131))=7)*(CHOOSE({1,2,3,4},HN!X131,HN!AD131,HN!AJ131,HN!AP131)))</f>
        <v>0</v>
      </c>
      <c r="H131">
        <f>SUMPRODUCT((MONTH(CHOOSE({1,2,3,4},HN!U131,HN!AA131,HN!AG131,HN!AM131))=8)*(CHOOSE({1,2,3,4},HN!X131,HN!AD131,HN!AJ131,HN!AP131)))</f>
        <v>0</v>
      </c>
      <c r="I131">
        <f>SUMPRODUCT((MONTH(CHOOSE({1,2,3,4},HN!U131,HN!AA131,HN!AG131,HN!AM131))=9)*(CHOOSE({1,2,3,4},HN!X131,HN!AD131,HN!AJ131,HN!AP131)))</f>
        <v>0</v>
      </c>
      <c r="J131">
        <f>SUMPRODUCT((MONTH(CHOOSE({1,2,3,4},HN!U131,HN!AA131,HN!AG131,HN!AM131))=10)*(CHOOSE({1,2,3,4},HN!X131,HN!AD131,HN!AJ131,HN!AP131)))</f>
        <v>0</v>
      </c>
      <c r="K131">
        <f>SUMPRODUCT((MONTH(CHOOSE({1,2,3,4},HN!U131,HN!AA131,HN!AG131,HN!AM131))=11)*(CHOOSE({1,2,3,4},HN!X131,HN!AD131,HN!AJ131,HN!AP131)))</f>
        <v>0</v>
      </c>
      <c r="L131">
        <f>SUMPRODUCT((MONTH(CHOOSE({1,2,3,4},HN!U131,HN!AA131,HN!AG131,HN!AM131))=12)*(CHOOSE({1,2,3,4},HN!X131,HN!AD131,HN!AJ131,HN!AP131)))</f>
        <v>0</v>
      </c>
    </row>
    <row r="132" spans="1:12">
      <c r="A132">
        <f>SUMPRODUCT((MONTH(CHOOSE({1,2,3,4},HN!U132,HN!AA132,HN!AG132,HN!AM132))=1)*(CHOOSE({1,2,3,4},HN!X132,HN!AD132,HN!AJ132,HN!AP132)))</f>
        <v>0</v>
      </c>
      <c r="B132">
        <f>SUMPRODUCT((MONTH(CHOOSE({1,2,3,4},HN!U132,HN!AA132,HN!AG132,HN!AM132))=2)*(CHOOSE({1,2,3,4},HN!X132,HN!AD132,HN!AJ132,HN!AP132)))</f>
        <v>0</v>
      </c>
      <c r="C132">
        <f>SUMPRODUCT((MONTH(CHOOSE({1,2,3,4},HN!U132,HN!AA132,HN!AG132,HN!AM132))=3)*(CHOOSE({1,2,3,4},HN!X132,HN!AD132,HN!AJ132,HN!AP132)))</f>
        <v>0</v>
      </c>
      <c r="D132">
        <f>SUMPRODUCT((MONTH(CHOOSE({1,2,3,4},HN!U132,HN!AA132,HN!AG132,HN!AM132))=4)*(CHOOSE({1,2,3,4},HN!X132,HN!AD132,HN!AJ132,HN!AP132)))</f>
        <v>0</v>
      </c>
      <c r="E132">
        <f>SUMPRODUCT((MONTH(CHOOSE({1,2,3,4},HN!U132,HN!AA132,HN!AG132,HN!AM132))=5)*(CHOOSE({1,2,3,4},HN!X132,HN!AD132,HN!AJ132,HN!AP132)))</f>
        <v>0</v>
      </c>
      <c r="F132">
        <f>SUMPRODUCT((MONTH(CHOOSE({1,2,3,4},HN!U132,HN!AA132,HN!AG132,HN!AM132))=6)*(CHOOSE({1,2,3,4},HN!X132,HN!AD132,HN!AJ132,HN!AP132)))</f>
        <v>0</v>
      </c>
      <c r="G132">
        <f>SUMPRODUCT((MONTH(CHOOSE({1,2,3,4},HN!U132,HN!AA132,HN!AG132,HN!AM132))=7)*(CHOOSE({1,2,3,4},HN!X132,HN!AD132,HN!AJ132,HN!AP132)))</f>
        <v>0</v>
      </c>
      <c r="H132">
        <f>SUMPRODUCT((MONTH(CHOOSE({1,2,3,4},HN!U132,HN!AA132,HN!AG132,HN!AM132))=8)*(CHOOSE({1,2,3,4},HN!X132,HN!AD132,HN!AJ132,HN!AP132)))</f>
        <v>0</v>
      </c>
      <c r="I132">
        <f>SUMPRODUCT((MONTH(CHOOSE({1,2,3,4},HN!U132,HN!AA132,HN!AG132,HN!AM132))=9)*(CHOOSE({1,2,3,4},HN!X132,HN!AD132,HN!AJ132,HN!AP132)))</f>
        <v>0</v>
      </c>
      <c r="J132">
        <f>SUMPRODUCT((MONTH(CHOOSE({1,2,3,4},HN!U132,HN!AA132,HN!AG132,HN!AM132))=10)*(CHOOSE({1,2,3,4},HN!X132,HN!AD132,HN!AJ132,HN!AP132)))</f>
        <v>0</v>
      </c>
      <c r="K132">
        <f>SUMPRODUCT((MONTH(CHOOSE({1,2,3,4},HN!U132,HN!AA132,HN!AG132,HN!AM132))=11)*(CHOOSE({1,2,3,4},HN!X132,HN!AD132,HN!AJ132,HN!AP132)))</f>
        <v>0</v>
      </c>
      <c r="L132">
        <f>SUMPRODUCT((MONTH(CHOOSE({1,2,3,4},HN!U132,HN!AA132,HN!AG132,HN!AM132))=12)*(CHOOSE({1,2,3,4},HN!X132,HN!AD132,HN!AJ132,HN!AP132)))</f>
        <v>0</v>
      </c>
    </row>
    <row r="133" spans="1:12">
      <c r="A133">
        <f>SUMPRODUCT((MONTH(CHOOSE({1,2,3,4},HN!U133,HN!AA133,HN!AG133,HN!AM133))=1)*(CHOOSE({1,2,3,4},HN!X133,HN!AD133,HN!AJ133,HN!AP133)))</f>
        <v>0</v>
      </c>
      <c r="B133">
        <f>SUMPRODUCT((MONTH(CHOOSE({1,2,3,4},HN!U133,HN!AA133,HN!AG133,HN!AM133))=2)*(CHOOSE({1,2,3,4},HN!X133,HN!AD133,HN!AJ133,HN!AP133)))</f>
        <v>0</v>
      </c>
      <c r="C133">
        <f>SUMPRODUCT((MONTH(CHOOSE({1,2,3,4},HN!U133,HN!AA133,HN!AG133,HN!AM133))=3)*(CHOOSE({1,2,3,4},HN!X133,HN!AD133,HN!AJ133,HN!AP133)))</f>
        <v>0</v>
      </c>
      <c r="D133">
        <f>SUMPRODUCT((MONTH(CHOOSE({1,2,3,4},HN!U133,HN!AA133,HN!AG133,HN!AM133))=4)*(CHOOSE({1,2,3,4},HN!X133,HN!AD133,HN!AJ133,HN!AP133)))</f>
        <v>0</v>
      </c>
      <c r="E133">
        <f>SUMPRODUCT((MONTH(CHOOSE({1,2,3,4},HN!U133,HN!AA133,HN!AG133,HN!AM133))=5)*(CHOOSE({1,2,3,4},HN!X133,HN!AD133,HN!AJ133,HN!AP133)))</f>
        <v>0</v>
      </c>
      <c r="F133">
        <f>SUMPRODUCT((MONTH(CHOOSE({1,2,3,4},HN!U133,HN!AA133,HN!AG133,HN!AM133))=6)*(CHOOSE({1,2,3,4},HN!X133,HN!AD133,HN!AJ133,HN!AP133)))</f>
        <v>0</v>
      </c>
      <c r="G133">
        <f>SUMPRODUCT((MONTH(CHOOSE({1,2,3,4},HN!U133,HN!AA133,HN!AG133,HN!AM133))=7)*(CHOOSE({1,2,3,4},HN!X133,HN!AD133,HN!AJ133,HN!AP133)))</f>
        <v>0</v>
      </c>
      <c r="H133">
        <f>SUMPRODUCT((MONTH(CHOOSE({1,2,3,4},HN!U133,HN!AA133,HN!AG133,HN!AM133))=8)*(CHOOSE({1,2,3,4},HN!X133,HN!AD133,HN!AJ133,HN!AP133)))</f>
        <v>0</v>
      </c>
      <c r="I133">
        <f>SUMPRODUCT((MONTH(CHOOSE({1,2,3,4},HN!U133,HN!AA133,HN!AG133,HN!AM133))=9)*(CHOOSE({1,2,3,4},HN!X133,HN!AD133,HN!AJ133,HN!AP133)))</f>
        <v>0</v>
      </c>
      <c r="J133">
        <f>SUMPRODUCT((MONTH(CHOOSE({1,2,3,4},HN!U133,HN!AA133,HN!AG133,HN!AM133))=10)*(CHOOSE({1,2,3,4},HN!X133,HN!AD133,HN!AJ133,HN!AP133)))</f>
        <v>0</v>
      </c>
      <c r="K133">
        <f>SUMPRODUCT((MONTH(CHOOSE({1,2,3,4},HN!U133,HN!AA133,HN!AG133,HN!AM133))=11)*(CHOOSE({1,2,3,4},HN!X133,HN!AD133,HN!AJ133,HN!AP133)))</f>
        <v>0</v>
      </c>
      <c r="L133">
        <f>SUMPRODUCT((MONTH(CHOOSE({1,2,3,4},HN!U133,HN!AA133,HN!AG133,HN!AM133))=12)*(CHOOSE({1,2,3,4},HN!X133,HN!AD133,HN!AJ133,HN!AP133)))</f>
        <v>0</v>
      </c>
    </row>
    <row r="134" spans="1:12">
      <c r="A134">
        <f>SUMPRODUCT((MONTH(CHOOSE({1,2,3,4},HN!U134,HN!AA134,HN!AG134,HN!AM134))=1)*(CHOOSE({1,2,3,4},HN!X134,HN!AD134,HN!AJ134,HN!AP134)))</f>
        <v>0</v>
      </c>
      <c r="B134">
        <f>SUMPRODUCT((MONTH(CHOOSE({1,2,3,4},HN!U134,HN!AA134,HN!AG134,HN!AM134))=2)*(CHOOSE({1,2,3,4},HN!X134,HN!AD134,HN!AJ134,HN!AP134)))</f>
        <v>0</v>
      </c>
      <c r="C134">
        <f>SUMPRODUCT((MONTH(CHOOSE({1,2,3,4},HN!U134,HN!AA134,HN!AG134,HN!AM134))=3)*(CHOOSE({1,2,3,4},HN!X134,HN!AD134,HN!AJ134,HN!AP134)))</f>
        <v>0</v>
      </c>
      <c r="D134">
        <f>SUMPRODUCT((MONTH(CHOOSE({1,2,3,4},HN!U134,HN!AA134,HN!AG134,HN!AM134))=4)*(CHOOSE({1,2,3,4},HN!X134,HN!AD134,HN!AJ134,HN!AP134)))</f>
        <v>0</v>
      </c>
      <c r="E134">
        <f>SUMPRODUCT((MONTH(CHOOSE({1,2,3,4},HN!U134,HN!AA134,HN!AG134,HN!AM134))=5)*(CHOOSE({1,2,3,4},HN!X134,HN!AD134,HN!AJ134,HN!AP134)))</f>
        <v>0</v>
      </c>
      <c r="F134">
        <f>SUMPRODUCT((MONTH(CHOOSE({1,2,3,4},HN!U134,HN!AA134,HN!AG134,HN!AM134))=6)*(CHOOSE({1,2,3,4},HN!X134,HN!AD134,HN!AJ134,HN!AP134)))</f>
        <v>0</v>
      </c>
      <c r="G134">
        <f>SUMPRODUCT((MONTH(CHOOSE({1,2,3,4},HN!U134,HN!AA134,HN!AG134,HN!AM134))=7)*(CHOOSE({1,2,3,4},HN!X134,HN!AD134,HN!AJ134,HN!AP134)))</f>
        <v>0</v>
      </c>
      <c r="H134">
        <f>SUMPRODUCT((MONTH(CHOOSE({1,2,3,4},HN!U134,HN!AA134,HN!AG134,HN!AM134))=8)*(CHOOSE({1,2,3,4},HN!X134,HN!AD134,HN!AJ134,HN!AP134)))</f>
        <v>0</v>
      </c>
      <c r="I134">
        <f>SUMPRODUCT((MONTH(CHOOSE({1,2,3,4},HN!U134,HN!AA134,HN!AG134,HN!AM134))=9)*(CHOOSE({1,2,3,4},HN!X134,HN!AD134,HN!AJ134,HN!AP134)))</f>
        <v>0</v>
      </c>
      <c r="J134">
        <f>SUMPRODUCT((MONTH(CHOOSE({1,2,3,4},HN!U134,HN!AA134,HN!AG134,HN!AM134))=10)*(CHOOSE({1,2,3,4},HN!X134,HN!AD134,HN!AJ134,HN!AP134)))</f>
        <v>0</v>
      </c>
      <c r="K134">
        <f>SUMPRODUCT((MONTH(CHOOSE({1,2,3,4},HN!U134,HN!AA134,HN!AG134,HN!AM134))=11)*(CHOOSE({1,2,3,4},HN!X134,HN!AD134,HN!AJ134,HN!AP134)))</f>
        <v>0</v>
      </c>
      <c r="L134">
        <f>SUMPRODUCT((MONTH(CHOOSE({1,2,3,4},HN!U134,HN!AA134,HN!AG134,HN!AM134))=12)*(CHOOSE({1,2,3,4},HN!X134,HN!AD134,HN!AJ134,HN!AP134)))</f>
        <v>0</v>
      </c>
    </row>
    <row r="135" spans="1:12">
      <c r="A135">
        <f>SUMPRODUCT((MONTH(CHOOSE({1,2,3,4},HN!U135,HN!AA135,HN!AG135,HN!AM135))=1)*(CHOOSE({1,2,3,4},HN!X135,HN!AD135,HN!AJ135,HN!AP135)))</f>
        <v>0</v>
      </c>
      <c r="B135">
        <f>SUMPRODUCT((MONTH(CHOOSE({1,2,3,4},HN!U135,HN!AA135,HN!AG135,HN!AM135))=2)*(CHOOSE({1,2,3,4},HN!X135,HN!AD135,HN!AJ135,HN!AP135)))</f>
        <v>0</v>
      </c>
      <c r="C135">
        <f>SUMPRODUCT((MONTH(CHOOSE({1,2,3,4},HN!U135,HN!AA135,HN!AG135,HN!AM135))=3)*(CHOOSE({1,2,3,4},HN!X135,HN!AD135,HN!AJ135,HN!AP135)))</f>
        <v>0</v>
      </c>
      <c r="D135">
        <f>SUMPRODUCT((MONTH(CHOOSE({1,2,3,4},HN!U135,HN!AA135,HN!AG135,HN!AM135))=4)*(CHOOSE({1,2,3,4},HN!X135,HN!AD135,HN!AJ135,HN!AP135)))</f>
        <v>0</v>
      </c>
      <c r="E135">
        <f>SUMPRODUCT((MONTH(CHOOSE({1,2,3,4},HN!U135,HN!AA135,HN!AG135,HN!AM135))=5)*(CHOOSE({1,2,3,4},HN!X135,HN!AD135,HN!AJ135,HN!AP135)))</f>
        <v>0</v>
      </c>
      <c r="F135">
        <f>SUMPRODUCT((MONTH(CHOOSE({1,2,3,4},HN!U135,HN!AA135,HN!AG135,HN!AM135))=6)*(CHOOSE({1,2,3,4},HN!X135,HN!AD135,HN!AJ135,HN!AP135)))</f>
        <v>0</v>
      </c>
      <c r="G135">
        <f>SUMPRODUCT((MONTH(CHOOSE({1,2,3,4},HN!U135,HN!AA135,HN!AG135,HN!AM135))=7)*(CHOOSE({1,2,3,4},HN!X135,HN!AD135,HN!AJ135,HN!AP135)))</f>
        <v>0</v>
      </c>
      <c r="H135">
        <f>SUMPRODUCT((MONTH(CHOOSE({1,2,3,4},HN!U135,HN!AA135,HN!AG135,HN!AM135))=8)*(CHOOSE({1,2,3,4},HN!X135,HN!AD135,HN!AJ135,HN!AP135)))</f>
        <v>0</v>
      </c>
      <c r="I135">
        <f>SUMPRODUCT((MONTH(CHOOSE({1,2,3,4},HN!U135,HN!AA135,HN!AG135,HN!AM135))=9)*(CHOOSE({1,2,3,4},HN!X135,HN!AD135,HN!AJ135,HN!AP135)))</f>
        <v>0</v>
      </c>
      <c r="J135">
        <f>SUMPRODUCT((MONTH(CHOOSE({1,2,3,4},HN!U135,HN!AA135,HN!AG135,HN!AM135))=10)*(CHOOSE({1,2,3,4},HN!X135,HN!AD135,HN!AJ135,HN!AP135)))</f>
        <v>0</v>
      </c>
      <c r="K135">
        <f>SUMPRODUCT((MONTH(CHOOSE({1,2,3,4},HN!U135,HN!AA135,HN!AG135,HN!AM135))=11)*(CHOOSE({1,2,3,4},HN!X135,HN!AD135,HN!AJ135,HN!AP135)))</f>
        <v>0</v>
      </c>
      <c r="L135">
        <f>SUMPRODUCT((MONTH(CHOOSE({1,2,3,4},HN!U135,HN!AA135,HN!AG135,HN!AM135))=12)*(CHOOSE({1,2,3,4},HN!X135,HN!AD135,HN!AJ135,HN!AP135)))</f>
        <v>0</v>
      </c>
    </row>
    <row r="136" spans="1:12">
      <c r="A136">
        <f>SUMPRODUCT((MONTH(CHOOSE({1,2,3,4},HN!U136,HN!AA136,HN!AG136,HN!AM136))=1)*(CHOOSE({1,2,3,4},HN!X136,HN!AD136,HN!AJ136,HN!AP136)))</f>
        <v>0</v>
      </c>
      <c r="B136">
        <f>SUMPRODUCT((MONTH(CHOOSE({1,2,3,4},HN!U136,HN!AA136,HN!AG136,HN!AM136))=2)*(CHOOSE({1,2,3,4},HN!X136,HN!AD136,HN!AJ136,HN!AP136)))</f>
        <v>0</v>
      </c>
      <c r="C136">
        <f>SUMPRODUCT((MONTH(CHOOSE({1,2,3,4},HN!U136,HN!AA136,HN!AG136,HN!AM136))=3)*(CHOOSE({1,2,3,4},HN!X136,HN!AD136,HN!AJ136,HN!AP136)))</f>
        <v>0</v>
      </c>
      <c r="D136">
        <f>SUMPRODUCT((MONTH(CHOOSE({1,2,3,4},HN!U136,HN!AA136,HN!AG136,HN!AM136))=4)*(CHOOSE({1,2,3,4},HN!X136,HN!AD136,HN!AJ136,HN!AP136)))</f>
        <v>0</v>
      </c>
      <c r="E136">
        <f>SUMPRODUCT((MONTH(CHOOSE({1,2,3,4},HN!U136,HN!AA136,HN!AG136,HN!AM136))=5)*(CHOOSE({1,2,3,4},HN!X136,HN!AD136,HN!AJ136,HN!AP136)))</f>
        <v>0</v>
      </c>
      <c r="F136">
        <f>SUMPRODUCT((MONTH(CHOOSE({1,2,3,4},HN!U136,HN!AA136,HN!AG136,HN!AM136))=6)*(CHOOSE({1,2,3,4},HN!X136,HN!AD136,HN!AJ136,HN!AP136)))</f>
        <v>0</v>
      </c>
      <c r="G136">
        <f>SUMPRODUCT((MONTH(CHOOSE({1,2,3,4},HN!U136,HN!AA136,HN!AG136,HN!AM136))=7)*(CHOOSE({1,2,3,4},HN!X136,HN!AD136,HN!AJ136,HN!AP136)))</f>
        <v>0</v>
      </c>
      <c r="H136">
        <f>SUMPRODUCT((MONTH(CHOOSE({1,2,3,4},HN!U136,HN!AA136,HN!AG136,HN!AM136))=8)*(CHOOSE({1,2,3,4},HN!X136,HN!AD136,HN!AJ136,HN!AP136)))</f>
        <v>0</v>
      </c>
      <c r="I136">
        <f>SUMPRODUCT((MONTH(CHOOSE({1,2,3,4},HN!U136,HN!AA136,HN!AG136,HN!AM136))=9)*(CHOOSE({1,2,3,4},HN!X136,HN!AD136,HN!AJ136,HN!AP136)))</f>
        <v>0</v>
      </c>
      <c r="J136">
        <f>SUMPRODUCT((MONTH(CHOOSE({1,2,3,4},HN!U136,HN!AA136,HN!AG136,HN!AM136))=10)*(CHOOSE({1,2,3,4},HN!X136,HN!AD136,HN!AJ136,HN!AP136)))</f>
        <v>0</v>
      </c>
      <c r="K136">
        <f>SUMPRODUCT((MONTH(CHOOSE({1,2,3,4},HN!U136,HN!AA136,HN!AG136,HN!AM136))=11)*(CHOOSE({1,2,3,4},HN!X136,HN!AD136,HN!AJ136,HN!AP136)))</f>
        <v>0</v>
      </c>
      <c r="L136">
        <f>SUMPRODUCT((MONTH(CHOOSE({1,2,3,4},HN!U136,HN!AA136,HN!AG136,HN!AM136))=12)*(CHOOSE({1,2,3,4},HN!X136,HN!AD136,HN!AJ136,HN!AP136)))</f>
        <v>0</v>
      </c>
    </row>
    <row r="137" spans="1:12">
      <c r="A137">
        <f>SUMPRODUCT((MONTH(CHOOSE({1,2,3,4},HN!U137,HN!AA137,HN!AG137,HN!AM137))=1)*(CHOOSE({1,2,3,4},HN!X137,HN!AD137,HN!AJ137,HN!AP137)))</f>
        <v>0</v>
      </c>
      <c r="B137">
        <f>SUMPRODUCT((MONTH(CHOOSE({1,2,3,4},HN!U137,HN!AA137,HN!AG137,HN!AM137))=2)*(CHOOSE({1,2,3,4},HN!X137,HN!AD137,HN!AJ137,HN!AP137)))</f>
        <v>0</v>
      </c>
      <c r="C137">
        <f>SUMPRODUCT((MONTH(CHOOSE({1,2,3,4},HN!U137,HN!AA137,HN!AG137,HN!AM137))=3)*(CHOOSE({1,2,3,4},HN!X137,HN!AD137,HN!AJ137,HN!AP137)))</f>
        <v>0</v>
      </c>
      <c r="D137">
        <f>SUMPRODUCT((MONTH(CHOOSE({1,2,3,4},HN!U137,HN!AA137,HN!AG137,HN!AM137))=4)*(CHOOSE({1,2,3,4},HN!X137,HN!AD137,HN!AJ137,HN!AP137)))</f>
        <v>0</v>
      </c>
      <c r="E137">
        <f>SUMPRODUCT((MONTH(CHOOSE({1,2,3,4},HN!U137,HN!AA137,HN!AG137,HN!AM137))=5)*(CHOOSE({1,2,3,4},HN!X137,HN!AD137,HN!AJ137,HN!AP137)))</f>
        <v>0</v>
      </c>
      <c r="F137">
        <f>SUMPRODUCT((MONTH(CHOOSE({1,2,3,4},HN!U137,HN!AA137,HN!AG137,HN!AM137))=6)*(CHOOSE({1,2,3,4},HN!X137,HN!AD137,HN!AJ137,HN!AP137)))</f>
        <v>0</v>
      </c>
      <c r="G137">
        <f>SUMPRODUCT((MONTH(CHOOSE({1,2,3,4},HN!U137,HN!AA137,HN!AG137,HN!AM137))=7)*(CHOOSE({1,2,3,4},HN!X137,HN!AD137,HN!AJ137,HN!AP137)))</f>
        <v>0</v>
      </c>
      <c r="H137">
        <f>SUMPRODUCT((MONTH(CHOOSE({1,2,3,4},HN!U137,HN!AA137,HN!AG137,HN!AM137))=8)*(CHOOSE({1,2,3,4},HN!X137,HN!AD137,HN!AJ137,HN!AP137)))</f>
        <v>0</v>
      </c>
      <c r="I137">
        <f>SUMPRODUCT((MONTH(CHOOSE({1,2,3,4},HN!U137,HN!AA137,HN!AG137,HN!AM137))=9)*(CHOOSE({1,2,3,4},HN!X137,HN!AD137,HN!AJ137,HN!AP137)))</f>
        <v>0</v>
      </c>
      <c r="J137">
        <f>SUMPRODUCT((MONTH(CHOOSE({1,2,3,4},HN!U137,HN!AA137,HN!AG137,HN!AM137))=10)*(CHOOSE({1,2,3,4},HN!X137,HN!AD137,HN!AJ137,HN!AP137)))</f>
        <v>0</v>
      </c>
      <c r="K137">
        <f>SUMPRODUCT((MONTH(CHOOSE({1,2,3,4},HN!U137,HN!AA137,HN!AG137,HN!AM137))=11)*(CHOOSE({1,2,3,4},HN!X137,HN!AD137,HN!AJ137,HN!AP137)))</f>
        <v>0</v>
      </c>
      <c r="L137">
        <f>SUMPRODUCT((MONTH(CHOOSE({1,2,3,4},HN!U137,HN!AA137,HN!AG137,HN!AM137))=12)*(CHOOSE({1,2,3,4},HN!X137,HN!AD137,HN!AJ137,HN!AP137)))</f>
        <v>0</v>
      </c>
    </row>
    <row r="138" spans="1:12">
      <c r="A138">
        <f>SUMPRODUCT((MONTH(CHOOSE({1,2,3,4},HN!U138,HN!AA138,HN!AG138,HN!AM138))=1)*(CHOOSE({1,2,3,4},HN!X138,HN!AD138,HN!AJ138,HN!AP138)))</f>
        <v>0</v>
      </c>
      <c r="B138">
        <f>SUMPRODUCT((MONTH(CHOOSE({1,2,3,4},HN!U138,HN!AA138,HN!AG138,HN!AM138))=2)*(CHOOSE({1,2,3,4},HN!X138,HN!AD138,HN!AJ138,HN!AP138)))</f>
        <v>0</v>
      </c>
      <c r="C138">
        <f>SUMPRODUCT((MONTH(CHOOSE({1,2,3,4},HN!U138,HN!AA138,HN!AG138,HN!AM138))=3)*(CHOOSE({1,2,3,4},HN!X138,HN!AD138,HN!AJ138,HN!AP138)))</f>
        <v>0</v>
      </c>
      <c r="D138">
        <f>SUMPRODUCT((MONTH(CHOOSE({1,2,3,4},HN!U138,HN!AA138,HN!AG138,HN!AM138))=4)*(CHOOSE({1,2,3,4},HN!X138,HN!AD138,HN!AJ138,HN!AP138)))</f>
        <v>0</v>
      </c>
      <c r="E138">
        <f>SUMPRODUCT((MONTH(CHOOSE({1,2,3,4},HN!U138,HN!AA138,HN!AG138,HN!AM138))=5)*(CHOOSE({1,2,3,4},HN!X138,HN!AD138,HN!AJ138,HN!AP138)))</f>
        <v>0</v>
      </c>
      <c r="F138">
        <f>SUMPRODUCT((MONTH(CHOOSE({1,2,3,4},HN!U138,HN!AA138,HN!AG138,HN!AM138))=6)*(CHOOSE({1,2,3,4},HN!X138,HN!AD138,HN!AJ138,HN!AP138)))</f>
        <v>0</v>
      </c>
      <c r="G138">
        <f>SUMPRODUCT((MONTH(CHOOSE({1,2,3,4},HN!U138,HN!AA138,HN!AG138,HN!AM138))=7)*(CHOOSE({1,2,3,4},HN!X138,HN!AD138,HN!AJ138,HN!AP138)))</f>
        <v>0</v>
      </c>
      <c r="H138">
        <f>SUMPRODUCT((MONTH(CHOOSE({1,2,3,4},HN!U138,HN!AA138,HN!AG138,HN!AM138))=8)*(CHOOSE({1,2,3,4},HN!X138,HN!AD138,HN!AJ138,HN!AP138)))</f>
        <v>0</v>
      </c>
      <c r="I138">
        <f>SUMPRODUCT((MONTH(CHOOSE({1,2,3,4},HN!U138,HN!AA138,HN!AG138,HN!AM138))=9)*(CHOOSE({1,2,3,4},HN!X138,HN!AD138,HN!AJ138,HN!AP138)))</f>
        <v>0</v>
      </c>
      <c r="J138">
        <f>SUMPRODUCT((MONTH(CHOOSE({1,2,3,4},HN!U138,HN!AA138,HN!AG138,HN!AM138))=10)*(CHOOSE({1,2,3,4},HN!X138,HN!AD138,HN!AJ138,HN!AP138)))</f>
        <v>0</v>
      </c>
      <c r="K138">
        <f>SUMPRODUCT((MONTH(CHOOSE({1,2,3,4},HN!U138,HN!AA138,HN!AG138,HN!AM138))=11)*(CHOOSE({1,2,3,4},HN!X138,HN!AD138,HN!AJ138,HN!AP138)))</f>
        <v>0</v>
      </c>
      <c r="L138">
        <f>SUMPRODUCT((MONTH(CHOOSE({1,2,3,4},HN!U138,HN!AA138,HN!AG138,HN!AM138))=12)*(CHOOSE({1,2,3,4},HN!X138,HN!AD138,HN!AJ138,HN!AP138)))</f>
        <v>0</v>
      </c>
    </row>
    <row r="139" spans="1:12">
      <c r="A139">
        <f>SUMPRODUCT((MONTH(CHOOSE({1,2,3,4},HN!U139,HN!AA139,HN!AG139,HN!AM139))=1)*(CHOOSE({1,2,3,4},HN!X139,HN!AD139,HN!AJ139,HN!AP139)))</f>
        <v>0</v>
      </c>
      <c r="B139">
        <f>SUMPRODUCT((MONTH(CHOOSE({1,2,3,4},HN!U139,HN!AA139,HN!AG139,HN!AM139))=2)*(CHOOSE({1,2,3,4},HN!X139,HN!AD139,HN!AJ139,HN!AP139)))</f>
        <v>0</v>
      </c>
      <c r="C139">
        <f>SUMPRODUCT((MONTH(CHOOSE({1,2,3,4},HN!U139,HN!AA139,HN!AG139,HN!AM139))=3)*(CHOOSE({1,2,3,4},HN!X139,HN!AD139,HN!AJ139,HN!AP139)))</f>
        <v>0</v>
      </c>
      <c r="D139">
        <f>SUMPRODUCT((MONTH(CHOOSE({1,2,3,4},HN!U139,HN!AA139,HN!AG139,HN!AM139))=4)*(CHOOSE({1,2,3,4},HN!X139,HN!AD139,HN!AJ139,HN!AP139)))</f>
        <v>0</v>
      </c>
      <c r="E139">
        <f>SUMPRODUCT((MONTH(CHOOSE({1,2,3,4},HN!U139,HN!AA139,HN!AG139,HN!AM139))=5)*(CHOOSE({1,2,3,4},HN!X139,HN!AD139,HN!AJ139,HN!AP139)))</f>
        <v>0</v>
      </c>
      <c r="F139">
        <f>SUMPRODUCT((MONTH(CHOOSE({1,2,3,4},HN!U139,HN!AA139,HN!AG139,HN!AM139))=6)*(CHOOSE({1,2,3,4},HN!X139,HN!AD139,HN!AJ139,HN!AP139)))</f>
        <v>0</v>
      </c>
      <c r="G139">
        <f>SUMPRODUCT((MONTH(CHOOSE({1,2,3,4},HN!U139,HN!AA139,HN!AG139,HN!AM139))=7)*(CHOOSE({1,2,3,4},HN!X139,HN!AD139,HN!AJ139,HN!AP139)))</f>
        <v>0</v>
      </c>
      <c r="H139">
        <f>SUMPRODUCT((MONTH(CHOOSE({1,2,3,4},HN!U139,HN!AA139,HN!AG139,HN!AM139))=8)*(CHOOSE({1,2,3,4},HN!X139,HN!AD139,HN!AJ139,HN!AP139)))</f>
        <v>0</v>
      </c>
      <c r="I139">
        <f>SUMPRODUCT((MONTH(CHOOSE({1,2,3,4},HN!U139,HN!AA139,HN!AG139,HN!AM139))=9)*(CHOOSE({1,2,3,4},HN!X139,HN!AD139,HN!AJ139,HN!AP139)))</f>
        <v>0</v>
      </c>
      <c r="J139">
        <f>SUMPRODUCT((MONTH(CHOOSE({1,2,3,4},HN!U139,HN!AA139,HN!AG139,HN!AM139))=10)*(CHOOSE({1,2,3,4},HN!X139,HN!AD139,HN!AJ139,HN!AP139)))</f>
        <v>0</v>
      </c>
      <c r="K139">
        <f>SUMPRODUCT((MONTH(CHOOSE({1,2,3,4},HN!U139,HN!AA139,HN!AG139,HN!AM139))=11)*(CHOOSE({1,2,3,4},HN!X139,HN!AD139,HN!AJ139,HN!AP139)))</f>
        <v>0</v>
      </c>
      <c r="L139">
        <f>SUMPRODUCT((MONTH(CHOOSE({1,2,3,4},HN!U139,HN!AA139,HN!AG139,HN!AM139))=12)*(CHOOSE({1,2,3,4},HN!X139,HN!AD139,HN!AJ139,HN!AP139)))</f>
        <v>0</v>
      </c>
    </row>
    <row r="140" spans="1:12">
      <c r="A140">
        <f>SUMPRODUCT((MONTH(CHOOSE({1,2,3,4},HN!U140,HN!AA140,HN!AG140,HN!AM140))=1)*(CHOOSE({1,2,3,4},HN!X140,HN!AD140,HN!AJ140,HN!AP140)))</f>
        <v>0</v>
      </c>
      <c r="B140">
        <f>SUMPRODUCT((MONTH(CHOOSE({1,2,3,4},HN!U140,HN!AA140,HN!AG140,HN!AM140))=2)*(CHOOSE({1,2,3,4},HN!X140,HN!AD140,HN!AJ140,HN!AP140)))</f>
        <v>0</v>
      </c>
      <c r="C140">
        <f>SUMPRODUCT((MONTH(CHOOSE({1,2,3,4},HN!U140,HN!AA140,HN!AG140,HN!AM140))=3)*(CHOOSE({1,2,3,4},HN!X140,HN!AD140,HN!AJ140,HN!AP140)))</f>
        <v>0</v>
      </c>
      <c r="D140">
        <f>SUMPRODUCT((MONTH(CHOOSE({1,2,3,4},HN!U140,HN!AA140,HN!AG140,HN!AM140))=4)*(CHOOSE({1,2,3,4},HN!X140,HN!AD140,HN!AJ140,HN!AP140)))</f>
        <v>0</v>
      </c>
      <c r="E140">
        <f>SUMPRODUCT((MONTH(CHOOSE({1,2,3,4},HN!U140,HN!AA140,HN!AG140,HN!AM140))=5)*(CHOOSE({1,2,3,4},HN!X140,HN!AD140,HN!AJ140,HN!AP140)))</f>
        <v>0</v>
      </c>
      <c r="F140">
        <f>SUMPRODUCT((MONTH(CHOOSE({1,2,3,4},HN!U140,HN!AA140,HN!AG140,HN!AM140))=6)*(CHOOSE({1,2,3,4},HN!X140,HN!AD140,HN!AJ140,HN!AP140)))</f>
        <v>0</v>
      </c>
      <c r="G140">
        <f>SUMPRODUCT((MONTH(CHOOSE({1,2,3,4},HN!U140,HN!AA140,HN!AG140,HN!AM140))=7)*(CHOOSE({1,2,3,4},HN!X140,HN!AD140,HN!AJ140,HN!AP140)))</f>
        <v>0</v>
      </c>
      <c r="H140">
        <f>SUMPRODUCT((MONTH(CHOOSE({1,2,3,4},HN!U140,HN!AA140,HN!AG140,HN!AM140))=8)*(CHOOSE({1,2,3,4},HN!X140,HN!AD140,HN!AJ140,HN!AP140)))</f>
        <v>0</v>
      </c>
      <c r="I140">
        <f>SUMPRODUCT((MONTH(CHOOSE({1,2,3,4},HN!U140,HN!AA140,HN!AG140,HN!AM140))=9)*(CHOOSE({1,2,3,4},HN!X140,HN!AD140,HN!AJ140,HN!AP140)))</f>
        <v>0</v>
      </c>
      <c r="J140">
        <f>SUMPRODUCT((MONTH(CHOOSE({1,2,3,4},HN!U140,HN!AA140,HN!AG140,HN!AM140))=10)*(CHOOSE({1,2,3,4},HN!X140,HN!AD140,HN!AJ140,HN!AP140)))</f>
        <v>0</v>
      </c>
      <c r="K140">
        <f>SUMPRODUCT((MONTH(CHOOSE({1,2,3,4},HN!U140,HN!AA140,HN!AG140,HN!AM140))=11)*(CHOOSE({1,2,3,4},HN!X140,HN!AD140,HN!AJ140,HN!AP140)))</f>
        <v>0</v>
      </c>
      <c r="L140">
        <f>SUMPRODUCT((MONTH(CHOOSE({1,2,3,4},HN!U140,HN!AA140,HN!AG140,HN!AM140))=12)*(CHOOSE({1,2,3,4},HN!X140,HN!AD140,HN!AJ140,HN!AP140)))</f>
        <v>0</v>
      </c>
    </row>
    <row r="141" spans="1:12">
      <c r="A141">
        <f>SUMPRODUCT((MONTH(CHOOSE({1,2,3,4},HN!U141,HN!AA141,HN!AG141,HN!AM141))=1)*(CHOOSE({1,2,3,4},HN!X141,HN!AD141,HN!AJ141,HN!AP141)))</f>
        <v>0</v>
      </c>
      <c r="B141">
        <f>SUMPRODUCT((MONTH(CHOOSE({1,2,3,4},HN!U141,HN!AA141,HN!AG141,HN!AM141))=2)*(CHOOSE({1,2,3,4},HN!X141,HN!AD141,HN!AJ141,HN!AP141)))</f>
        <v>0</v>
      </c>
      <c r="C141">
        <f>SUMPRODUCT((MONTH(CHOOSE({1,2,3,4},HN!U141,HN!AA141,HN!AG141,HN!AM141))=3)*(CHOOSE({1,2,3,4},HN!X141,HN!AD141,HN!AJ141,HN!AP141)))</f>
        <v>0</v>
      </c>
      <c r="D141">
        <f>SUMPRODUCT((MONTH(CHOOSE({1,2,3,4},HN!U141,HN!AA141,HN!AG141,HN!AM141))=4)*(CHOOSE({1,2,3,4},HN!X141,HN!AD141,HN!AJ141,HN!AP141)))</f>
        <v>0</v>
      </c>
      <c r="E141">
        <f>SUMPRODUCT((MONTH(CHOOSE({1,2,3,4},HN!U141,HN!AA141,HN!AG141,HN!AM141))=5)*(CHOOSE({1,2,3,4},HN!X141,HN!AD141,HN!AJ141,HN!AP141)))</f>
        <v>0</v>
      </c>
      <c r="F141">
        <f>SUMPRODUCT((MONTH(CHOOSE({1,2,3,4},HN!U141,HN!AA141,HN!AG141,HN!AM141))=6)*(CHOOSE({1,2,3,4},HN!X141,HN!AD141,HN!AJ141,HN!AP141)))</f>
        <v>0</v>
      </c>
      <c r="G141">
        <f>SUMPRODUCT((MONTH(CHOOSE({1,2,3,4},HN!U141,HN!AA141,HN!AG141,HN!AM141))=7)*(CHOOSE({1,2,3,4},HN!X141,HN!AD141,HN!AJ141,HN!AP141)))</f>
        <v>0</v>
      </c>
      <c r="H141">
        <f>SUMPRODUCT((MONTH(CHOOSE({1,2,3,4},HN!U141,HN!AA141,HN!AG141,HN!AM141))=8)*(CHOOSE({1,2,3,4},HN!X141,HN!AD141,HN!AJ141,HN!AP141)))</f>
        <v>0</v>
      </c>
      <c r="I141">
        <f>SUMPRODUCT((MONTH(CHOOSE({1,2,3,4},HN!U141,HN!AA141,HN!AG141,HN!AM141))=9)*(CHOOSE({1,2,3,4},HN!X141,HN!AD141,HN!AJ141,HN!AP141)))</f>
        <v>0</v>
      </c>
      <c r="J141">
        <f>SUMPRODUCT((MONTH(CHOOSE({1,2,3,4},HN!U141,HN!AA141,HN!AG141,HN!AM141))=10)*(CHOOSE({1,2,3,4},HN!X141,HN!AD141,HN!AJ141,HN!AP141)))</f>
        <v>0</v>
      </c>
      <c r="K141">
        <f>SUMPRODUCT((MONTH(CHOOSE({1,2,3,4},HN!U141,HN!AA141,HN!AG141,HN!AM141))=11)*(CHOOSE({1,2,3,4},HN!X141,HN!AD141,HN!AJ141,HN!AP141)))</f>
        <v>0</v>
      </c>
      <c r="L141">
        <f>SUMPRODUCT((MONTH(CHOOSE({1,2,3,4},HN!U141,HN!AA141,HN!AG141,HN!AM141))=12)*(CHOOSE({1,2,3,4},HN!X141,HN!AD141,HN!AJ141,HN!AP141)))</f>
        <v>0</v>
      </c>
    </row>
    <row r="142" spans="1:12">
      <c r="A142">
        <f>SUMPRODUCT((MONTH(CHOOSE({1,2,3,4},HN!U142,HN!AA142,HN!AG142,HN!AM142))=1)*(CHOOSE({1,2,3,4},HN!X142,HN!AD142,HN!AJ142,HN!AP142)))</f>
        <v>0</v>
      </c>
      <c r="B142">
        <f>SUMPRODUCT((MONTH(CHOOSE({1,2,3,4},HN!U142,HN!AA142,HN!AG142,HN!AM142))=2)*(CHOOSE({1,2,3,4},HN!X142,HN!AD142,HN!AJ142,HN!AP142)))</f>
        <v>0</v>
      </c>
      <c r="C142">
        <f>SUMPRODUCT((MONTH(CHOOSE({1,2,3,4},HN!U142,HN!AA142,HN!AG142,HN!AM142))=3)*(CHOOSE({1,2,3,4},HN!X142,HN!AD142,HN!AJ142,HN!AP142)))</f>
        <v>0</v>
      </c>
      <c r="D142">
        <f>SUMPRODUCT((MONTH(CHOOSE({1,2,3,4},HN!U142,HN!AA142,HN!AG142,HN!AM142))=4)*(CHOOSE({1,2,3,4},HN!X142,HN!AD142,HN!AJ142,HN!AP142)))</f>
        <v>0</v>
      </c>
      <c r="E142">
        <f>SUMPRODUCT((MONTH(CHOOSE({1,2,3,4},HN!U142,HN!AA142,HN!AG142,HN!AM142))=5)*(CHOOSE({1,2,3,4},HN!X142,HN!AD142,HN!AJ142,HN!AP142)))</f>
        <v>0</v>
      </c>
      <c r="F142">
        <f>SUMPRODUCT((MONTH(CHOOSE({1,2,3,4},HN!U142,HN!AA142,HN!AG142,HN!AM142))=6)*(CHOOSE({1,2,3,4},HN!X142,HN!AD142,HN!AJ142,HN!AP142)))</f>
        <v>0</v>
      </c>
      <c r="G142">
        <f>SUMPRODUCT((MONTH(CHOOSE({1,2,3,4},HN!U142,HN!AA142,HN!AG142,HN!AM142))=7)*(CHOOSE({1,2,3,4},HN!X142,HN!AD142,HN!AJ142,HN!AP142)))</f>
        <v>0</v>
      </c>
      <c r="H142">
        <f>SUMPRODUCT((MONTH(CHOOSE({1,2,3,4},HN!U142,HN!AA142,HN!AG142,HN!AM142))=8)*(CHOOSE({1,2,3,4},HN!X142,HN!AD142,HN!AJ142,HN!AP142)))</f>
        <v>0</v>
      </c>
      <c r="I142">
        <f>SUMPRODUCT((MONTH(CHOOSE({1,2,3,4},HN!U142,HN!AA142,HN!AG142,HN!AM142))=9)*(CHOOSE({1,2,3,4},HN!X142,HN!AD142,HN!AJ142,HN!AP142)))</f>
        <v>0</v>
      </c>
      <c r="J142">
        <f>SUMPRODUCT((MONTH(CHOOSE({1,2,3,4},HN!U142,HN!AA142,HN!AG142,HN!AM142))=10)*(CHOOSE({1,2,3,4},HN!X142,HN!AD142,HN!AJ142,HN!AP142)))</f>
        <v>0</v>
      </c>
      <c r="K142">
        <f>SUMPRODUCT((MONTH(CHOOSE({1,2,3,4},HN!U142,HN!AA142,HN!AG142,HN!AM142))=11)*(CHOOSE({1,2,3,4},HN!X142,HN!AD142,HN!AJ142,HN!AP142)))</f>
        <v>0</v>
      </c>
      <c r="L142">
        <f>SUMPRODUCT((MONTH(CHOOSE({1,2,3,4},HN!U142,HN!AA142,HN!AG142,HN!AM142))=12)*(CHOOSE({1,2,3,4},HN!X142,HN!AD142,HN!AJ142,HN!AP142)))</f>
        <v>0</v>
      </c>
    </row>
    <row r="143" spans="1:12">
      <c r="A143">
        <f>SUMPRODUCT((MONTH(CHOOSE({1,2,3,4},HN!U143,HN!AA143,HN!AG143,HN!AM143))=1)*(CHOOSE({1,2,3,4},HN!X143,HN!AD143,HN!AJ143,HN!AP143)))</f>
        <v>0</v>
      </c>
      <c r="B143">
        <f>SUMPRODUCT((MONTH(CHOOSE({1,2,3,4},HN!U143,HN!AA143,HN!AG143,HN!AM143))=2)*(CHOOSE({1,2,3,4},HN!X143,HN!AD143,HN!AJ143,HN!AP143)))</f>
        <v>0</v>
      </c>
      <c r="C143">
        <f>SUMPRODUCT((MONTH(CHOOSE({1,2,3,4},HN!U143,HN!AA143,HN!AG143,HN!AM143))=3)*(CHOOSE({1,2,3,4},HN!X143,HN!AD143,HN!AJ143,HN!AP143)))</f>
        <v>0</v>
      </c>
      <c r="D143">
        <f>SUMPRODUCT((MONTH(CHOOSE({1,2,3,4},HN!U143,HN!AA143,HN!AG143,HN!AM143))=4)*(CHOOSE({1,2,3,4},HN!X143,HN!AD143,HN!AJ143,HN!AP143)))</f>
        <v>0</v>
      </c>
      <c r="E143">
        <f>SUMPRODUCT((MONTH(CHOOSE({1,2,3,4},HN!U143,HN!AA143,HN!AG143,HN!AM143))=5)*(CHOOSE({1,2,3,4},HN!X143,HN!AD143,HN!AJ143,HN!AP143)))</f>
        <v>0</v>
      </c>
      <c r="F143">
        <f>SUMPRODUCT((MONTH(CHOOSE({1,2,3,4},HN!U143,HN!AA143,HN!AG143,HN!AM143))=6)*(CHOOSE({1,2,3,4},HN!X143,HN!AD143,HN!AJ143,HN!AP143)))</f>
        <v>0</v>
      </c>
      <c r="G143">
        <f>SUMPRODUCT((MONTH(CHOOSE({1,2,3,4},HN!U143,HN!AA143,HN!AG143,HN!AM143))=7)*(CHOOSE({1,2,3,4},HN!X143,HN!AD143,HN!AJ143,HN!AP143)))</f>
        <v>0</v>
      </c>
      <c r="H143">
        <f>SUMPRODUCT((MONTH(CHOOSE({1,2,3,4},HN!U143,HN!AA143,HN!AG143,HN!AM143))=8)*(CHOOSE({1,2,3,4},HN!X143,HN!AD143,HN!AJ143,HN!AP143)))</f>
        <v>0</v>
      </c>
      <c r="I143">
        <f>SUMPRODUCT((MONTH(CHOOSE({1,2,3,4},HN!U143,HN!AA143,HN!AG143,HN!AM143))=9)*(CHOOSE({1,2,3,4},HN!X143,HN!AD143,HN!AJ143,HN!AP143)))</f>
        <v>0</v>
      </c>
      <c r="J143">
        <f>SUMPRODUCT((MONTH(CHOOSE({1,2,3,4},HN!U143,HN!AA143,HN!AG143,HN!AM143))=10)*(CHOOSE({1,2,3,4},HN!X143,HN!AD143,HN!AJ143,HN!AP143)))</f>
        <v>0</v>
      </c>
      <c r="K143">
        <f>SUMPRODUCT((MONTH(CHOOSE({1,2,3,4},HN!U143,HN!AA143,HN!AG143,HN!AM143))=11)*(CHOOSE({1,2,3,4},HN!X143,HN!AD143,HN!AJ143,HN!AP143)))</f>
        <v>0</v>
      </c>
      <c r="L143">
        <f>SUMPRODUCT((MONTH(CHOOSE({1,2,3,4},HN!U143,HN!AA143,HN!AG143,HN!AM143))=12)*(CHOOSE({1,2,3,4},HN!X143,HN!AD143,HN!AJ143,HN!AP143)))</f>
        <v>0</v>
      </c>
    </row>
    <row r="144" spans="1:12">
      <c r="A144">
        <f>SUMPRODUCT((MONTH(CHOOSE({1,2,3,4},HN!U144,HN!AA144,HN!AG144,HN!AM144))=1)*(CHOOSE({1,2,3,4},HN!X144,HN!AD144,HN!AJ144,HN!AP144)))</f>
        <v>0</v>
      </c>
      <c r="B144">
        <f>SUMPRODUCT((MONTH(CHOOSE({1,2,3,4},HN!U144,HN!AA144,HN!AG144,HN!AM144))=2)*(CHOOSE({1,2,3,4},HN!X144,HN!AD144,HN!AJ144,HN!AP144)))</f>
        <v>0</v>
      </c>
      <c r="C144">
        <f>SUMPRODUCT((MONTH(CHOOSE({1,2,3,4},HN!U144,HN!AA144,HN!AG144,HN!AM144))=3)*(CHOOSE({1,2,3,4},HN!X144,HN!AD144,HN!AJ144,HN!AP144)))</f>
        <v>0</v>
      </c>
      <c r="D144">
        <f>SUMPRODUCT((MONTH(CHOOSE({1,2,3,4},HN!U144,HN!AA144,HN!AG144,HN!AM144))=4)*(CHOOSE({1,2,3,4},HN!X144,HN!AD144,HN!AJ144,HN!AP144)))</f>
        <v>0</v>
      </c>
      <c r="E144">
        <f>SUMPRODUCT((MONTH(CHOOSE({1,2,3,4},HN!U144,HN!AA144,HN!AG144,HN!AM144))=5)*(CHOOSE({1,2,3,4},HN!X144,HN!AD144,HN!AJ144,HN!AP144)))</f>
        <v>0</v>
      </c>
      <c r="F144">
        <f>SUMPRODUCT((MONTH(CHOOSE({1,2,3,4},HN!U144,HN!AA144,HN!AG144,HN!AM144))=6)*(CHOOSE({1,2,3,4},HN!X144,HN!AD144,HN!AJ144,HN!AP144)))</f>
        <v>0</v>
      </c>
      <c r="G144">
        <f>SUMPRODUCT((MONTH(CHOOSE({1,2,3,4},HN!U144,HN!AA144,HN!AG144,HN!AM144))=7)*(CHOOSE({1,2,3,4},HN!X144,HN!AD144,HN!AJ144,HN!AP144)))</f>
        <v>0</v>
      </c>
      <c r="H144">
        <f>SUMPRODUCT((MONTH(CHOOSE({1,2,3,4},HN!U144,HN!AA144,HN!AG144,HN!AM144))=8)*(CHOOSE({1,2,3,4},HN!X144,HN!AD144,HN!AJ144,HN!AP144)))</f>
        <v>0</v>
      </c>
      <c r="I144">
        <f>SUMPRODUCT((MONTH(CHOOSE({1,2,3,4},HN!U144,HN!AA144,HN!AG144,HN!AM144))=9)*(CHOOSE({1,2,3,4},HN!X144,HN!AD144,HN!AJ144,HN!AP144)))</f>
        <v>0</v>
      </c>
      <c r="J144">
        <f>SUMPRODUCT((MONTH(CHOOSE({1,2,3,4},HN!U144,HN!AA144,HN!AG144,HN!AM144))=10)*(CHOOSE({1,2,3,4},HN!X144,HN!AD144,HN!AJ144,HN!AP144)))</f>
        <v>0</v>
      </c>
      <c r="K144">
        <f>SUMPRODUCT((MONTH(CHOOSE({1,2,3,4},HN!U144,HN!AA144,HN!AG144,HN!AM144))=11)*(CHOOSE({1,2,3,4},HN!X144,HN!AD144,HN!AJ144,HN!AP144)))</f>
        <v>0</v>
      </c>
      <c r="L144">
        <f>SUMPRODUCT((MONTH(CHOOSE({1,2,3,4},HN!U144,HN!AA144,HN!AG144,HN!AM144))=12)*(CHOOSE({1,2,3,4},HN!X144,HN!AD144,HN!AJ144,HN!AP144)))</f>
        <v>0</v>
      </c>
    </row>
    <row r="145" spans="1:12">
      <c r="A145">
        <f>SUMPRODUCT((MONTH(CHOOSE({1,2,3,4},HN!U145,HN!AA145,HN!AG145,HN!AM145))=1)*(CHOOSE({1,2,3,4},HN!X145,HN!AD145,HN!AJ145,HN!AP145)))</f>
        <v>0</v>
      </c>
      <c r="B145">
        <f>SUMPRODUCT((MONTH(CHOOSE({1,2,3,4},HN!U145,HN!AA145,HN!AG145,HN!AM145))=2)*(CHOOSE({1,2,3,4},HN!X145,HN!AD145,HN!AJ145,HN!AP145)))</f>
        <v>0</v>
      </c>
      <c r="C145">
        <f>SUMPRODUCT((MONTH(CHOOSE({1,2,3,4},HN!U145,HN!AA145,HN!AG145,HN!AM145))=3)*(CHOOSE({1,2,3,4},HN!X145,HN!AD145,HN!AJ145,HN!AP145)))</f>
        <v>0</v>
      </c>
      <c r="D145">
        <f>SUMPRODUCT((MONTH(CHOOSE({1,2,3,4},HN!U145,HN!AA145,HN!AG145,HN!AM145))=4)*(CHOOSE({1,2,3,4},HN!X145,HN!AD145,HN!AJ145,HN!AP145)))</f>
        <v>0</v>
      </c>
      <c r="E145">
        <f>SUMPRODUCT((MONTH(CHOOSE({1,2,3,4},HN!U145,HN!AA145,HN!AG145,HN!AM145))=5)*(CHOOSE({1,2,3,4},HN!X145,HN!AD145,HN!AJ145,HN!AP145)))</f>
        <v>0</v>
      </c>
      <c r="F145">
        <f>SUMPRODUCT((MONTH(CHOOSE({1,2,3,4},HN!U145,HN!AA145,HN!AG145,HN!AM145))=6)*(CHOOSE({1,2,3,4},HN!X145,HN!AD145,HN!AJ145,HN!AP145)))</f>
        <v>0</v>
      </c>
      <c r="G145">
        <f>SUMPRODUCT((MONTH(CHOOSE({1,2,3,4},HN!U145,HN!AA145,HN!AG145,HN!AM145))=7)*(CHOOSE({1,2,3,4},HN!X145,HN!AD145,HN!AJ145,HN!AP145)))</f>
        <v>0</v>
      </c>
      <c r="H145">
        <f>SUMPRODUCT((MONTH(CHOOSE({1,2,3,4},HN!U145,HN!AA145,HN!AG145,HN!AM145))=8)*(CHOOSE({1,2,3,4},HN!X145,HN!AD145,HN!AJ145,HN!AP145)))</f>
        <v>0</v>
      </c>
      <c r="I145">
        <f>SUMPRODUCT((MONTH(CHOOSE({1,2,3,4},HN!U145,HN!AA145,HN!AG145,HN!AM145))=9)*(CHOOSE({1,2,3,4},HN!X145,HN!AD145,HN!AJ145,HN!AP145)))</f>
        <v>0</v>
      </c>
      <c r="J145">
        <f>SUMPRODUCT((MONTH(CHOOSE({1,2,3,4},HN!U145,HN!AA145,HN!AG145,HN!AM145))=10)*(CHOOSE({1,2,3,4},HN!X145,HN!AD145,HN!AJ145,HN!AP145)))</f>
        <v>0</v>
      </c>
      <c r="K145">
        <f>SUMPRODUCT((MONTH(CHOOSE({1,2,3,4},HN!U145,HN!AA145,HN!AG145,HN!AM145))=11)*(CHOOSE({1,2,3,4},HN!X145,HN!AD145,HN!AJ145,HN!AP145)))</f>
        <v>0</v>
      </c>
      <c r="L145">
        <f>SUMPRODUCT((MONTH(CHOOSE({1,2,3,4},HN!U145,HN!AA145,HN!AG145,HN!AM145))=12)*(CHOOSE({1,2,3,4},HN!X145,HN!AD145,HN!AJ145,HN!AP145)))</f>
        <v>0</v>
      </c>
    </row>
    <row r="146" spans="1:12">
      <c r="A146">
        <f>SUMPRODUCT((MONTH(CHOOSE({1,2,3,4},HN!U146,HN!AA146,HN!AG146,HN!AM146))=1)*(CHOOSE({1,2,3,4},HN!X146,HN!AD146,HN!AJ146,HN!AP146)))</f>
        <v>0</v>
      </c>
      <c r="B146">
        <f>SUMPRODUCT((MONTH(CHOOSE({1,2,3,4},HN!U146,HN!AA146,HN!AG146,HN!AM146))=2)*(CHOOSE({1,2,3,4},HN!X146,HN!AD146,HN!AJ146,HN!AP146)))</f>
        <v>0</v>
      </c>
      <c r="C146">
        <f>SUMPRODUCT((MONTH(CHOOSE({1,2,3,4},HN!U146,HN!AA146,HN!AG146,HN!AM146))=3)*(CHOOSE({1,2,3,4},HN!X146,HN!AD146,HN!AJ146,HN!AP146)))</f>
        <v>0</v>
      </c>
      <c r="D146">
        <f>SUMPRODUCT((MONTH(CHOOSE({1,2,3,4},HN!U146,HN!AA146,HN!AG146,HN!AM146))=4)*(CHOOSE({1,2,3,4},HN!X146,HN!AD146,HN!AJ146,HN!AP146)))</f>
        <v>0</v>
      </c>
      <c r="E146">
        <f>SUMPRODUCT((MONTH(CHOOSE({1,2,3,4},HN!U146,HN!AA146,HN!AG146,HN!AM146))=5)*(CHOOSE({1,2,3,4},HN!X146,HN!AD146,HN!AJ146,HN!AP146)))</f>
        <v>0</v>
      </c>
      <c r="F146">
        <f>SUMPRODUCT((MONTH(CHOOSE({1,2,3,4},HN!U146,HN!AA146,HN!AG146,HN!AM146))=6)*(CHOOSE({1,2,3,4},HN!X146,HN!AD146,HN!AJ146,HN!AP146)))</f>
        <v>0</v>
      </c>
      <c r="G146">
        <f>SUMPRODUCT((MONTH(CHOOSE({1,2,3,4},HN!U146,HN!AA146,HN!AG146,HN!AM146))=7)*(CHOOSE({1,2,3,4},HN!X146,HN!AD146,HN!AJ146,HN!AP146)))</f>
        <v>0</v>
      </c>
      <c r="H146">
        <f>SUMPRODUCT((MONTH(CHOOSE({1,2,3,4},HN!U146,HN!AA146,HN!AG146,HN!AM146))=8)*(CHOOSE({1,2,3,4},HN!X146,HN!AD146,HN!AJ146,HN!AP146)))</f>
        <v>0</v>
      </c>
      <c r="I146">
        <f>SUMPRODUCT((MONTH(CHOOSE({1,2,3,4},HN!U146,HN!AA146,HN!AG146,HN!AM146))=9)*(CHOOSE({1,2,3,4},HN!X146,HN!AD146,HN!AJ146,HN!AP146)))</f>
        <v>0</v>
      </c>
      <c r="J146">
        <f>SUMPRODUCT((MONTH(CHOOSE({1,2,3,4},HN!U146,HN!AA146,HN!AG146,HN!AM146))=10)*(CHOOSE({1,2,3,4},HN!X146,HN!AD146,HN!AJ146,HN!AP146)))</f>
        <v>0</v>
      </c>
      <c r="K146">
        <f>SUMPRODUCT((MONTH(CHOOSE({1,2,3,4},HN!U146,HN!AA146,HN!AG146,HN!AM146))=11)*(CHOOSE({1,2,3,4},HN!X146,HN!AD146,HN!AJ146,HN!AP146)))</f>
        <v>0</v>
      </c>
      <c r="L146">
        <f>SUMPRODUCT((MONTH(CHOOSE({1,2,3,4},HN!U146,HN!AA146,HN!AG146,HN!AM146))=12)*(CHOOSE({1,2,3,4},HN!X146,HN!AD146,HN!AJ146,HN!AP146)))</f>
        <v>0</v>
      </c>
    </row>
    <row r="147" spans="1:12">
      <c r="A147">
        <f>SUMPRODUCT((MONTH(CHOOSE({1,2,3,4},HN!U147,HN!AA147,HN!AG147,HN!AM147))=1)*(CHOOSE({1,2,3,4},HN!X147,HN!AD147,HN!AJ147,HN!AP147)))</f>
        <v>0</v>
      </c>
      <c r="B147">
        <f>SUMPRODUCT((MONTH(CHOOSE({1,2,3,4},HN!U147,HN!AA147,HN!AG147,HN!AM147))=2)*(CHOOSE({1,2,3,4},HN!X147,HN!AD147,HN!AJ147,HN!AP147)))</f>
        <v>0</v>
      </c>
      <c r="C147">
        <f>SUMPRODUCT((MONTH(CHOOSE({1,2,3,4},HN!U147,HN!AA147,HN!AG147,HN!AM147))=3)*(CHOOSE({1,2,3,4},HN!X147,HN!AD147,HN!AJ147,HN!AP147)))</f>
        <v>0</v>
      </c>
      <c r="D147">
        <f>SUMPRODUCT((MONTH(CHOOSE({1,2,3,4},HN!U147,HN!AA147,HN!AG147,HN!AM147))=4)*(CHOOSE({1,2,3,4},HN!X147,HN!AD147,HN!AJ147,HN!AP147)))</f>
        <v>0</v>
      </c>
      <c r="E147">
        <f>SUMPRODUCT((MONTH(CHOOSE({1,2,3,4},HN!U147,HN!AA147,HN!AG147,HN!AM147))=5)*(CHOOSE({1,2,3,4},HN!X147,HN!AD147,HN!AJ147,HN!AP147)))</f>
        <v>0</v>
      </c>
      <c r="F147">
        <f>SUMPRODUCT((MONTH(CHOOSE({1,2,3,4},HN!U147,HN!AA147,HN!AG147,HN!AM147))=6)*(CHOOSE({1,2,3,4},HN!X147,HN!AD147,HN!AJ147,HN!AP147)))</f>
        <v>0</v>
      </c>
      <c r="G147">
        <f>SUMPRODUCT((MONTH(CHOOSE({1,2,3,4},HN!U147,HN!AA147,HN!AG147,HN!AM147))=7)*(CHOOSE({1,2,3,4},HN!X147,HN!AD147,HN!AJ147,HN!AP147)))</f>
        <v>0</v>
      </c>
      <c r="H147">
        <f>SUMPRODUCT((MONTH(CHOOSE({1,2,3,4},HN!U147,HN!AA147,HN!AG147,HN!AM147))=8)*(CHOOSE({1,2,3,4},HN!X147,HN!AD147,HN!AJ147,HN!AP147)))</f>
        <v>0</v>
      </c>
      <c r="I147">
        <f>SUMPRODUCT((MONTH(CHOOSE({1,2,3,4},HN!U147,HN!AA147,HN!AG147,HN!AM147))=9)*(CHOOSE({1,2,3,4},HN!X147,HN!AD147,HN!AJ147,HN!AP147)))</f>
        <v>0</v>
      </c>
      <c r="J147">
        <f>SUMPRODUCT((MONTH(CHOOSE({1,2,3,4},HN!U147,HN!AA147,HN!AG147,HN!AM147))=10)*(CHOOSE({1,2,3,4},HN!X147,HN!AD147,HN!AJ147,HN!AP147)))</f>
        <v>0</v>
      </c>
      <c r="K147">
        <f>SUMPRODUCT((MONTH(CHOOSE({1,2,3,4},HN!U147,HN!AA147,HN!AG147,HN!AM147))=11)*(CHOOSE({1,2,3,4},HN!X147,HN!AD147,HN!AJ147,HN!AP147)))</f>
        <v>0</v>
      </c>
      <c r="L147">
        <f>SUMPRODUCT((MONTH(CHOOSE({1,2,3,4},HN!U147,HN!AA147,HN!AG147,HN!AM147))=12)*(CHOOSE({1,2,3,4},HN!X147,HN!AD147,HN!AJ147,HN!AP147)))</f>
        <v>0</v>
      </c>
    </row>
    <row r="148" spans="1:12">
      <c r="A148">
        <f>SUMPRODUCT((MONTH(CHOOSE({1,2,3,4},HN!U148,HN!AA148,HN!AG148,HN!AM148))=1)*(CHOOSE({1,2,3,4},HN!X148,HN!AD148,HN!AJ148,HN!AP148)))</f>
        <v>0</v>
      </c>
      <c r="B148">
        <f>SUMPRODUCT((MONTH(CHOOSE({1,2,3,4},HN!U148,HN!AA148,HN!AG148,HN!AM148))=2)*(CHOOSE({1,2,3,4},HN!X148,HN!AD148,HN!AJ148,HN!AP148)))</f>
        <v>0</v>
      </c>
      <c r="C148">
        <f>SUMPRODUCT((MONTH(CHOOSE({1,2,3,4},HN!U148,HN!AA148,HN!AG148,HN!AM148))=3)*(CHOOSE({1,2,3,4},HN!X148,HN!AD148,HN!AJ148,HN!AP148)))</f>
        <v>0</v>
      </c>
      <c r="D148">
        <f>SUMPRODUCT((MONTH(CHOOSE({1,2,3,4},HN!U148,HN!AA148,HN!AG148,HN!AM148))=4)*(CHOOSE({1,2,3,4},HN!X148,HN!AD148,HN!AJ148,HN!AP148)))</f>
        <v>0</v>
      </c>
      <c r="E148">
        <f>SUMPRODUCT((MONTH(CHOOSE({1,2,3,4},HN!U148,HN!AA148,HN!AG148,HN!AM148))=5)*(CHOOSE({1,2,3,4},HN!X148,HN!AD148,HN!AJ148,HN!AP148)))</f>
        <v>0</v>
      </c>
      <c r="F148">
        <f>SUMPRODUCT((MONTH(CHOOSE({1,2,3,4},HN!U148,HN!AA148,HN!AG148,HN!AM148))=6)*(CHOOSE({1,2,3,4},HN!X148,HN!AD148,HN!AJ148,HN!AP148)))</f>
        <v>0</v>
      </c>
      <c r="G148">
        <f>SUMPRODUCT((MONTH(CHOOSE({1,2,3,4},HN!U148,HN!AA148,HN!AG148,HN!AM148))=7)*(CHOOSE({1,2,3,4},HN!X148,HN!AD148,HN!AJ148,HN!AP148)))</f>
        <v>0</v>
      </c>
      <c r="H148">
        <f>SUMPRODUCT((MONTH(CHOOSE({1,2,3,4},HN!U148,HN!AA148,HN!AG148,HN!AM148))=8)*(CHOOSE({1,2,3,4},HN!X148,HN!AD148,HN!AJ148,HN!AP148)))</f>
        <v>0</v>
      </c>
      <c r="I148">
        <f>SUMPRODUCT((MONTH(CHOOSE({1,2,3,4},HN!U148,HN!AA148,HN!AG148,HN!AM148))=9)*(CHOOSE({1,2,3,4},HN!X148,HN!AD148,HN!AJ148,HN!AP148)))</f>
        <v>0</v>
      </c>
      <c r="J148">
        <f>SUMPRODUCT((MONTH(CHOOSE({1,2,3,4},HN!U148,HN!AA148,HN!AG148,HN!AM148))=10)*(CHOOSE({1,2,3,4},HN!X148,HN!AD148,HN!AJ148,HN!AP148)))</f>
        <v>0</v>
      </c>
      <c r="K148">
        <f>SUMPRODUCT((MONTH(CHOOSE({1,2,3,4},HN!U148,HN!AA148,HN!AG148,HN!AM148))=11)*(CHOOSE({1,2,3,4},HN!X148,HN!AD148,HN!AJ148,HN!AP148)))</f>
        <v>0</v>
      </c>
      <c r="L148">
        <f>SUMPRODUCT((MONTH(CHOOSE({1,2,3,4},HN!U148,HN!AA148,HN!AG148,HN!AM148))=12)*(CHOOSE({1,2,3,4},HN!X148,HN!AD148,HN!AJ148,HN!AP148)))</f>
        <v>0</v>
      </c>
    </row>
    <row r="149" spans="1:12">
      <c r="A149">
        <f>SUMPRODUCT((MONTH(CHOOSE({1,2,3,4},HN!U149,HN!AA149,HN!AG149,HN!AM149))=1)*(CHOOSE({1,2,3,4},HN!X149,HN!AD149,HN!AJ149,HN!AP149)))</f>
        <v>0</v>
      </c>
      <c r="B149">
        <f>SUMPRODUCT((MONTH(CHOOSE({1,2,3,4},HN!U149,HN!AA149,HN!AG149,HN!AM149))=2)*(CHOOSE({1,2,3,4},HN!X149,HN!AD149,HN!AJ149,HN!AP149)))</f>
        <v>0</v>
      </c>
      <c r="C149">
        <f>SUMPRODUCT((MONTH(CHOOSE({1,2,3,4},HN!U149,HN!AA149,HN!AG149,HN!AM149))=3)*(CHOOSE({1,2,3,4},HN!X149,HN!AD149,HN!AJ149,HN!AP149)))</f>
        <v>0</v>
      </c>
      <c r="D149">
        <f>SUMPRODUCT((MONTH(CHOOSE({1,2,3,4},HN!U149,HN!AA149,HN!AG149,HN!AM149))=4)*(CHOOSE({1,2,3,4},HN!X149,HN!AD149,HN!AJ149,HN!AP149)))</f>
        <v>0</v>
      </c>
      <c r="E149">
        <f>SUMPRODUCT((MONTH(CHOOSE({1,2,3,4},HN!U149,HN!AA149,HN!AG149,HN!AM149))=5)*(CHOOSE({1,2,3,4},HN!X149,HN!AD149,HN!AJ149,HN!AP149)))</f>
        <v>0</v>
      </c>
      <c r="F149">
        <f>SUMPRODUCT((MONTH(CHOOSE({1,2,3,4},HN!U149,HN!AA149,HN!AG149,HN!AM149))=6)*(CHOOSE({1,2,3,4},HN!X149,HN!AD149,HN!AJ149,HN!AP149)))</f>
        <v>0</v>
      </c>
      <c r="G149">
        <f>SUMPRODUCT((MONTH(CHOOSE({1,2,3,4},HN!U149,HN!AA149,HN!AG149,HN!AM149))=7)*(CHOOSE({1,2,3,4},HN!X149,HN!AD149,HN!AJ149,HN!AP149)))</f>
        <v>0</v>
      </c>
      <c r="H149">
        <f>SUMPRODUCT((MONTH(CHOOSE({1,2,3,4},HN!U149,HN!AA149,HN!AG149,HN!AM149))=8)*(CHOOSE({1,2,3,4},HN!X149,HN!AD149,HN!AJ149,HN!AP149)))</f>
        <v>0</v>
      </c>
      <c r="I149">
        <f>SUMPRODUCT((MONTH(CHOOSE({1,2,3,4},HN!U149,HN!AA149,HN!AG149,HN!AM149))=9)*(CHOOSE({1,2,3,4},HN!X149,HN!AD149,HN!AJ149,HN!AP149)))</f>
        <v>0</v>
      </c>
      <c r="J149">
        <f>SUMPRODUCT((MONTH(CHOOSE({1,2,3,4},HN!U149,HN!AA149,HN!AG149,HN!AM149))=10)*(CHOOSE({1,2,3,4},HN!X149,HN!AD149,HN!AJ149,HN!AP149)))</f>
        <v>0</v>
      </c>
      <c r="K149">
        <f>SUMPRODUCT((MONTH(CHOOSE({1,2,3,4},HN!U149,HN!AA149,HN!AG149,HN!AM149))=11)*(CHOOSE({1,2,3,4},HN!X149,HN!AD149,HN!AJ149,HN!AP149)))</f>
        <v>0</v>
      </c>
      <c r="L149">
        <f>SUMPRODUCT((MONTH(CHOOSE({1,2,3,4},HN!U149,HN!AA149,HN!AG149,HN!AM149))=12)*(CHOOSE({1,2,3,4},HN!X149,HN!AD149,HN!AJ149,HN!AP149)))</f>
        <v>0</v>
      </c>
    </row>
    <row r="150" spans="1:12">
      <c r="A150">
        <f>SUMPRODUCT((MONTH(CHOOSE({1,2,3,4},HN!U150,HN!AA150,HN!AG150,HN!AM150))=1)*(CHOOSE({1,2,3,4},HN!X150,HN!AD150,HN!AJ150,HN!AP150)))</f>
        <v>0</v>
      </c>
      <c r="B150">
        <f>SUMPRODUCT((MONTH(CHOOSE({1,2,3,4},HN!U150,HN!AA150,HN!AG150,HN!AM150))=2)*(CHOOSE({1,2,3,4},HN!X150,HN!AD150,HN!AJ150,HN!AP150)))</f>
        <v>0</v>
      </c>
      <c r="C150">
        <f>SUMPRODUCT((MONTH(CHOOSE({1,2,3,4},HN!U150,HN!AA150,HN!AG150,HN!AM150))=3)*(CHOOSE({1,2,3,4},HN!X150,HN!AD150,HN!AJ150,HN!AP150)))</f>
        <v>0</v>
      </c>
      <c r="D150">
        <f>SUMPRODUCT((MONTH(CHOOSE({1,2,3,4},HN!U150,HN!AA150,HN!AG150,HN!AM150))=4)*(CHOOSE({1,2,3,4},HN!X150,HN!AD150,HN!AJ150,HN!AP150)))</f>
        <v>0</v>
      </c>
      <c r="E150">
        <f>SUMPRODUCT((MONTH(CHOOSE({1,2,3,4},HN!U150,HN!AA150,HN!AG150,HN!AM150))=5)*(CHOOSE({1,2,3,4},HN!X150,HN!AD150,HN!AJ150,HN!AP150)))</f>
        <v>0</v>
      </c>
      <c r="F150">
        <f>SUMPRODUCT((MONTH(CHOOSE({1,2,3,4},HN!U150,HN!AA150,HN!AG150,HN!AM150))=6)*(CHOOSE({1,2,3,4},HN!X150,HN!AD150,HN!AJ150,HN!AP150)))</f>
        <v>0</v>
      </c>
      <c r="G150">
        <f>SUMPRODUCT((MONTH(CHOOSE({1,2,3,4},HN!U150,HN!AA150,HN!AG150,HN!AM150))=7)*(CHOOSE({1,2,3,4},HN!X150,HN!AD150,HN!AJ150,HN!AP150)))</f>
        <v>0</v>
      </c>
      <c r="H150">
        <f>SUMPRODUCT((MONTH(CHOOSE({1,2,3,4},HN!U150,HN!AA150,HN!AG150,HN!AM150))=8)*(CHOOSE({1,2,3,4},HN!X150,HN!AD150,HN!AJ150,HN!AP150)))</f>
        <v>0</v>
      </c>
      <c r="I150">
        <f>SUMPRODUCT((MONTH(CHOOSE({1,2,3,4},HN!U150,HN!AA150,HN!AG150,HN!AM150))=9)*(CHOOSE({1,2,3,4},HN!X150,HN!AD150,HN!AJ150,HN!AP150)))</f>
        <v>0</v>
      </c>
      <c r="J150">
        <f>SUMPRODUCT((MONTH(CHOOSE({1,2,3,4},HN!U150,HN!AA150,HN!AG150,HN!AM150))=10)*(CHOOSE({1,2,3,4},HN!X150,HN!AD150,HN!AJ150,HN!AP150)))</f>
        <v>0</v>
      </c>
      <c r="K150">
        <f>SUMPRODUCT((MONTH(CHOOSE({1,2,3,4},HN!U150,HN!AA150,HN!AG150,HN!AM150))=11)*(CHOOSE({1,2,3,4},HN!X150,HN!AD150,HN!AJ150,HN!AP150)))</f>
        <v>0</v>
      </c>
      <c r="L150">
        <f>SUMPRODUCT((MONTH(CHOOSE({1,2,3,4},HN!U150,HN!AA150,HN!AG150,HN!AM150))=12)*(CHOOSE({1,2,3,4},HN!X150,HN!AD150,HN!AJ150,HN!AP150)))</f>
        <v>0</v>
      </c>
    </row>
    <row r="151" spans="1:12">
      <c r="A151">
        <f>SUMPRODUCT((MONTH(CHOOSE({1,2,3,4},HN!U151,HN!AA151,HN!AG151,HN!AM151))=1)*(CHOOSE({1,2,3,4},HN!X151,HN!AD151,HN!AJ151,HN!AP151)))</f>
        <v>0</v>
      </c>
      <c r="B151">
        <f>SUMPRODUCT((MONTH(CHOOSE({1,2,3,4},HN!U151,HN!AA151,HN!AG151,HN!AM151))=2)*(CHOOSE({1,2,3,4},HN!X151,HN!AD151,HN!AJ151,HN!AP151)))</f>
        <v>0</v>
      </c>
      <c r="C151">
        <f>SUMPRODUCT((MONTH(CHOOSE({1,2,3,4},HN!U151,HN!AA151,HN!AG151,HN!AM151))=3)*(CHOOSE({1,2,3,4},HN!X151,HN!AD151,HN!AJ151,HN!AP151)))</f>
        <v>0</v>
      </c>
      <c r="D151">
        <f>SUMPRODUCT((MONTH(CHOOSE({1,2,3,4},HN!U151,HN!AA151,HN!AG151,HN!AM151))=4)*(CHOOSE({1,2,3,4},HN!X151,HN!AD151,HN!AJ151,HN!AP151)))</f>
        <v>0</v>
      </c>
      <c r="E151">
        <f>SUMPRODUCT((MONTH(CHOOSE({1,2,3,4},HN!U151,HN!AA151,HN!AG151,HN!AM151))=5)*(CHOOSE({1,2,3,4},HN!X151,HN!AD151,HN!AJ151,HN!AP151)))</f>
        <v>0</v>
      </c>
      <c r="F151">
        <f>SUMPRODUCT((MONTH(CHOOSE({1,2,3,4},HN!U151,HN!AA151,HN!AG151,HN!AM151))=6)*(CHOOSE({1,2,3,4},HN!X151,HN!AD151,HN!AJ151,HN!AP151)))</f>
        <v>0</v>
      </c>
      <c r="G151">
        <f>SUMPRODUCT((MONTH(CHOOSE({1,2,3,4},HN!U151,HN!AA151,HN!AG151,HN!AM151))=7)*(CHOOSE({1,2,3,4},HN!X151,HN!AD151,HN!AJ151,HN!AP151)))</f>
        <v>0</v>
      </c>
      <c r="H151">
        <f>SUMPRODUCT((MONTH(CHOOSE({1,2,3,4},HN!U151,HN!AA151,HN!AG151,HN!AM151))=8)*(CHOOSE({1,2,3,4},HN!X151,HN!AD151,HN!AJ151,HN!AP151)))</f>
        <v>0</v>
      </c>
      <c r="I151">
        <f>SUMPRODUCT((MONTH(CHOOSE({1,2,3,4},HN!U151,HN!AA151,HN!AG151,HN!AM151))=9)*(CHOOSE({1,2,3,4},HN!X151,HN!AD151,HN!AJ151,HN!AP151)))</f>
        <v>0</v>
      </c>
      <c r="J151">
        <f>SUMPRODUCT((MONTH(CHOOSE({1,2,3,4},HN!U151,HN!AA151,HN!AG151,HN!AM151))=10)*(CHOOSE({1,2,3,4},HN!X151,HN!AD151,HN!AJ151,HN!AP151)))</f>
        <v>0</v>
      </c>
      <c r="K151">
        <f>SUMPRODUCT((MONTH(CHOOSE({1,2,3,4},HN!U151,HN!AA151,HN!AG151,HN!AM151))=11)*(CHOOSE({1,2,3,4},HN!X151,HN!AD151,HN!AJ151,HN!AP151)))</f>
        <v>0</v>
      </c>
      <c r="L151">
        <f>SUMPRODUCT((MONTH(CHOOSE({1,2,3,4},HN!U151,HN!AA151,HN!AG151,HN!AM151))=12)*(CHOOSE({1,2,3,4},HN!X151,HN!AD151,HN!AJ151,HN!AP151)))</f>
        <v>0</v>
      </c>
    </row>
    <row r="152" spans="1:12">
      <c r="A152">
        <f>SUMPRODUCT((MONTH(CHOOSE({1,2,3,4},HN!U152,HN!AA152,HN!AG152,HN!AM152))=1)*(CHOOSE({1,2,3,4},HN!X152,HN!AD152,HN!AJ152,HN!AP152)))</f>
        <v>0</v>
      </c>
      <c r="B152">
        <f>SUMPRODUCT((MONTH(CHOOSE({1,2,3,4},HN!U152,HN!AA152,HN!AG152,HN!AM152))=2)*(CHOOSE({1,2,3,4},HN!X152,HN!AD152,HN!AJ152,HN!AP152)))</f>
        <v>0</v>
      </c>
      <c r="C152">
        <f>SUMPRODUCT((MONTH(CHOOSE({1,2,3,4},HN!U152,HN!AA152,HN!AG152,HN!AM152))=3)*(CHOOSE({1,2,3,4},HN!X152,HN!AD152,HN!AJ152,HN!AP152)))</f>
        <v>0</v>
      </c>
      <c r="D152">
        <f>SUMPRODUCT((MONTH(CHOOSE({1,2,3,4},HN!U152,HN!AA152,HN!AG152,HN!AM152))=4)*(CHOOSE({1,2,3,4},HN!X152,HN!AD152,HN!AJ152,HN!AP152)))</f>
        <v>0</v>
      </c>
      <c r="E152">
        <f>SUMPRODUCT((MONTH(CHOOSE({1,2,3,4},HN!U152,HN!AA152,HN!AG152,HN!AM152))=5)*(CHOOSE({1,2,3,4},HN!X152,HN!AD152,HN!AJ152,HN!AP152)))</f>
        <v>0</v>
      </c>
      <c r="F152">
        <f>SUMPRODUCT((MONTH(CHOOSE({1,2,3,4},HN!U152,HN!AA152,HN!AG152,HN!AM152))=6)*(CHOOSE({1,2,3,4},HN!X152,HN!AD152,HN!AJ152,HN!AP152)))</f>
        <v>0</v>
      </c>
      <c r="G152">
        <f>SUMPRODUCT((MONTH(CHOOSE({1,2,3,4},HN!U152,HN!AA152,HN!AG152,HN!AM152))=7)*(CHOOSE({1,2,3,4},HN!X152,HN!AD152,HN!AJ152,HN!AP152)))</f>
        <v>0</v>
      </c>
      <c r="H152">
        <f>SUMPRODUCT((MONTH(CHOOSE({1,2,3,4},HN!U152,HN!AA152,HN!AG152,HN!AM152))=8)*(CHOOSE({1,2,3,4},HN!X152,HN!AD152,HN!AJ152,HN!AP152)))</f>
        <v>0</v>
      </c>
      <c r="I152">
        <f>SUMPRODUCT((MONTH(CHOOSE({1,2,3,4},HN!U152,HN!AA152,HN!AG152,HN!AM152))=9)*(CHOOSE({1,2,3,4},HN!X152,HN!AD152,HN!AJ152,HN!AP152)))</f>
        <v>0</v>
      </c>
      <c r="J152">
        <f>SUMPRODUCT((MONTH(CHOOSE({1,2,3,4},HN!U152,HN!AA152,HN!AG152,HN!AM152))=10)*(CHOOSE({1,2,3,4},HN!X152,HN!AD152,HN!AJ152,HN!AP152)))</f>
        <v>0</v>
      </c>
      <c r="K152">
        <f>SUMPRODUCT((MONTH(CHOOSE({1,2,3,4},HN!U152,HN!AA152,HN!AG152,HN!AM152))=11)*(CHOOSE({1,2,3,4},HN!X152,HN!AD152,HN!AJ152,HN!AP152)))</f>
        <v>0</v>
      </c>
      <c r="L152">
        <f>SUMPRODUCT((MONTH(CHOOSE({1,2,3,4},HN!U152,HN!AA152,HN!AG152,HN!AM152))=12)*(CHOOSE({1,2,3,4},HN!X152,HN!AD152,HN!AJ152,HN!AP152)))</f>
        <v>0</v>
      </c>
    </row>
    <row r="153" spans="1:12">
      <c r="A153">
        <f>SUMPRODUCT((MONTH(CHOOSE({1,2,3,4},HN!U153,HN!AA153,HN!AG153,HN!AM153))=1)*(CHOOSE({1,2,3,4},HN!X153,HN!AD153,HN!AJ153,HN!AP153)))</f>
        <v>0</v>
      </c>
      <c r="B153">
        <f>SUMPRODUCT((MONTH(CHOOSE({1,2,3,4},HN!U153,HN!AA153,HN!AG153,HN!AM153))=2)*(CHOOSE({1,2,3,4},HN!X153,HN!AD153,HN!AJ153,HN!AP153)))</f>
        <v>0</v>
      </c>
      <c r="C153">
        <f>SUMPRODUCT((MONTH(CHOOSE({1,2,3,4},HN!U153,HN!AA153,HN!AG153,HN!AM153))=3)*(CHOOSE({1,2,3,4},HN!X153,HN!AD153,HN!AJ153,HN!AP153)))</f>
        <v>0</v>
      </c>
      <c r="D153">
        <f>SUMPRODUCT((MONTH(CHOOSE({1,2,3,4},HN!U153,HN!AA153,HN!AG153,HN!AM153))=4)*(CHOOSE({1,2,3,4},HN!X153,HN!AD153,HN!AJ153,HN!AP153)))</f>
        <v>0</v>
      </c>
      <c r="E153">
        <f>SUMPRODUCT((MONTH(CHOOSE({1,2,3,4},HN!U153,HN!AA153,HN!AG153,HN!AM153))=5)*(CHOOSE({1,2,3,4},HN!X153,HN!AD153,HN!AJ153,HN!AP153)))</f>
        <v>0</v>
      </c>
      <c r="F153">
        <f>SUMPRODUCT((MONTH(CHOOSE({1,2,3,4},HN!U153,HN!AA153,HN!AG153,HN!AM153))=6)*(CHOOSE({1,2,3,4},HN!X153,HN!AD153,HN!AJ153,HN!AP153)))</f>
        <v>0</v>
      </c>
      <c r="G153">
        <f>SUMPRODUCT((MONTH(CHOOSE({1,2,3,4},HN!U153,HN!AA153,HN!AG153,HN!AM153))=7)*(CHOOSE({1,2,3,4},HN!X153,HN!AD153,HN!AJ153,HN!AP153)))</f>
        <v>0</v>
      </c>
      <c r="H153">
        <f>SUMPRODUCT((MONTH(CHOOSE({1,2,3,4},HN!U153,HN!AA153,HN!AG153,HN!AM153))=8)*(CHOOSE({1,2,3,4},HN!X153,HN!AD153,HN!AJ153,HN!AP153)))</f>
        <v>0</v>
      </c>
      <c r="I153">
        <f>SUMPRODUCT((MONTH(CHOOSE({1,2,3,4},HN!U153,HN!AA153,HN!AG153,HN!AM153))=9)*(CHOOSE({1,2,3,4},HN!X153,HN!AD153,HN!AJ153,HN!AP153)))</f>
        <v>0</v>
      </c>
      <c r="J153">
        <f>SUMPRODUCT((MONTH(CHOOSE({1,2,3,4},HN!U153,HN!AA153,HN!AG153,HN!AM153))=10)*(CHOOSE({1,2,3,4},HN!X153,HN!AD153,HN!AJ153,HN!AP153)))</f>
        <v>0</v>
      </c>
      <c r="K153">
        <f>SUMPRODUCT((MONTH(CHOOSE({1,2,3,4},HN!U153,HN!AA153,HN!AG153,HN!AM153))=11)*(CHOOSE({1,2,3,4},HN!X153,HN!AD153,HN!AJ153,HN!AP153)))</f>
        <v>0</v>
      </c>
      <c r="L153">
        <f>SUMPRODUCT((MONTH(CHOOSE({1,2,3,4},HN!U153,HN!AA153,HN!AG153,HN!AM153))=12)*(CHOOSE({1,2,3,4},HN!X153,HN!AD153,HN!AJ153,HN!AP153)))</f>
        <v>0</v>
      </c>
    </row>
    <row r="154" spans="1:12">
      <c r="A154">
        <f>SUMPRODUCT((MONTH(CHOOSE({1,2,3,4},HN!U154,HN!AA154,HN!AG154,HN!AM154))=1)*(CHOOSE({1,2,3,4},HN!X154,HN!AD154,HN!AJ154,HN!AP154)))</f>
        <v>0</v>
      </c>
      <c r="B154">
        <f>SUMPRODUCT((MONTH(CHOOSE({1,2,3,4},HN!U154,HN!AA154,HN!AG154,HN!AM154))=2)*(CHOOSE({1,2,3,4},HN!X154,HN!AD154,HN!AJ154,HN!AP154)))</f>
        <v>0</v>
      </c>
      <c r="C154">
        <f>SUMPRODUCT((MONTH(CHOOSE({1,2,3,4},HN!U154,HN!AA154,HN!AG154,HN!AM154))=3)*(CHOOSE({1,2,3,4},HN!X154,HN!AD154,HN!AJ154,HN!AP154)))</f>
        <v>0</v>
      </c>
      <c r="D154">
        <f>SUMPRODUCT((MONTH(CHOOSE({1,2,3,4},HN!U154,HN!AA154,HN!AG154,HN!AM154))=4)*(CHOOSE({1,2,3,4},HN!X154,HN!AD154,HN!AJ154,HN!AP154)))</f>
        <v>0</v>
      </c>
      <c r="E154">
        <f>SUMPRODUCT((MONTH(CHOOSE({1,2,3,4},HN!U154,HN!AA154,HN!AG154,HN!AM154))=5)*(CHOOSE({1,2,3,4},HN!X154,HN!AD154,HN!AJ154,HN!AP154)))</f>
        <v>0</v>
      </c>
      <c r="F154">
        <f>SUMPRODUCT((MONTH(CHOOSE({1,2,3,4},HN!U154,HN!AA154,HN!AG154,HN!AM154))=6)*(CHOOSE({1,2,3,4},HN!X154,HN!AD154,HN!AJ154,HN!AP154)))</f>
        <v>0</v>
      </c>
      <c r="G154">
        <f>SUMPRODUCT((MONTH(CHOOSE({1,2,3,4},HN!U154,HN!AA154,HN!AG154,HN!AM154))=7)*(CHOOSE({1,2,3,4},HN!X154,HN!AD154,HN!AJ154,HN!AP154)))</f>
        <v>0</v>
      </c>
      <c r="H154">
        <f>SUMPRODUCT((MONTH(CHOOSE({1,2,3,4},HN!U154,HN!AA154,HN!AG154,HN!AM154))=8)*(CHOOSE({1,2,3,4},HN!X154,HN!AD154,HN!AJ154,HN!AP154)))</f>
        <v>0</v>
      </c>
      <c r="I154">
        <f>SUMPRODUCT((MONTH(CHOOSE({1,2,3,4},HN!U154,HN!AA154,HN!AG154,HN!AM154))=9)*(CHOOSE({1,2,3,4},HN!X154,HN!AD154,HN!AJ154,HN!AP154)))</f>
        <v>0</v>
      </c>
      <c r="J154">
        <f>SUMPRODUCT((MONTH(CHOOSE({1,2,3,4},HN!U154,HN!AA154,HN!AG154,HN!AM154))=10)*(CHOOSE({1,2,3,4},HN!X154,HN!AD154,HN!AJ154,HN!AP154)))</f>
        <v>0</v>
      </c>
      <c r="K154">
        <f>SUMPRODUCT((MONTH(CHOOSE({1,2,3,4},HN!U154,HN!AA154,HN!AG154,HN!AM154))=11)*(CHOOSE({1,2,3,4},HN!X154,HN!AD154,HN!AJ154,HN!AP154)))</f>
        <v>0</v>
      </c>
      <c r="L154">
        <f>SUMPRODUCT((MONTH(CHOOSE({1,2,3,4},HN!U154,HN!AA154,HN!AG154,HN!AM154))=12)*(CHOOSE({1,2,3,4},HN!X154,HN!AD154,HN!AJ154,HN!AP154)))</f>
        <v>0</v>
      </c>
    </row>
    <row r="155" spans="1:12">
      <c r="A155">
        <f>SUMPRODUCT((MONTH(CHOOSE({1,2,3,4},HN!U155,HN!AA155,HN!AG155,HN!AM155))=1)*(CHOOSE({1,2,3,4},HN!X155,HN!AD155,HN!AJ155,HN!AP155)))</f>
        <v>0</v>
      </c>
      <c r="B155">
        <f>SUMPRODUCT((MONTH(CHOOSE({1,2,3,4},HN!U155,HN!AA155,HN!AG155,HN!AM155))=2)*(CHOOSE({1,2,3,4},HN!X155,HN!AD155,HN!AJ155,HN!AP155)))</f>
        <v>0</v>
      </c>
      <c r="C155">
        <f>SUMPRODUCT((MONTH(CHOOSE({1,2,3,4},HN!U155,HN!AA155,HN!AG155,HN!AM155))=3)*(CHOOSE({1,2,3,4},HN!X155,HN!AD155,HN!AJ155,HN!AP155)))</f>
        <v>0</v>
      </c>
      <c r="D155">
        <f>SUMPRODUCT((MONTH(CHOOSE({1,2,3,4},HN!U155,HN!AA155,HN!AG155,HN!AM155))=4)*(CHOOSE({1,2,3,4},HN!X155,HN!AD155,HN!AJ155,HN!AP155)))</f>
        <v>0</v>
      </c>
      <c r="E155">
        <f>SUMPRODUCT((MONTH(CHOOSE({1,2,3,4},HN!U155,HN!AA155,HN!AG155,HN!AM155))=5)*(CHOOSE({1,2,3,4},HN!X155,HN!AD155,HN!AJ155,HN!AP155)))</f>
        <v>0</v>
      </c>
      <c r="F155">
        <f>SUMPRODUCT((MONTH(CHOOSE({1,2,3,4},HN!U155,HN!AA155,HN!AG155,HN!AM155))=6)*(CHOOSE({1,2,3,4},HN!X155,HN!AD155,HN!AJ155,HN!AP155)))</f>
        <v>0</v>
      </c>
      <c r="G155">
        <f>SUMPRODUCT((MONTH(CHOOSE({1,2,3,4},HN!U155,HN!AA155,HN!AG155,HN!AM155))=7)*(CHOOSE({1,2,3,4},HN!X155,HN!AD155,HN!AJ155,HN!AP155)))</f>
        <v>0</v>
      </c>
      <c r="H155">
        <f>SUMPRODUCT((MONTH(CHOOSE({1,2,3,4},HN!U155,HN!AA155,HN!AG155,HN!AM155))=8)*(CHOOSE({1,2,3,4},HN!X155,HN!AD155,HN!AJ155,HN!AP155)))</f>
        <v>0</v>
      </c>
      <c r="I155">
        <f>SUMPRODUCT((MONTH(CHOOSE({1,2,3,4},HN!U155,HN!AA155,HN!AG155,HN!AM155))=9)*(CHOOSE({1,2,3,4},HN!X155,HN!AD155,HN!AJ155,HN!AP155)))</f>
        <v>0</v>
      </c>
      <c r="J155">
        <f>SUMPRODUCT((MONTH(CHOOSE({1,2,3,4},HN!U155,HN!AA155,HN!AG155,HN!AM155))=10)*(CHOOSE({1,2,3,4},HN!X155,HN!AD155,HN!AJ155,HN!AP155)))</f>
        <v>0</v>
      </c>
      <c r="K155">
        <f>SUMPRODUCT((MONTH(CHOOSE({1,2,3,4},HN!U155,HN!AA155,HN!AG155,HN!AM155))=11)*(CHOOSE({1,2,3,4},HN!X155,HN!AD155,HN!AJ155,HN!AP155)))</f>
        <v>0</v>
      </c>
      <c r="L155">
        <f>SUMPRODUCT((MONTH(CHOOSE({1,2,3,4},HN!U155,HN!AA155,HN!AG155,HN!AM155))=12)*(CHOOSE({1,2,3,4},HN!X155,HN!AD155,HN!AJ155,HN!AP155)))</f>
        <v>0</v>
      </c>
    </row>
    <row r="156" spans="1:12">
      <c r="A156">
        <f>SUMPRODUCT((MONTH(CHOOSE({1,2,3,4},HN!U156,HN!AA156,HN!AG156,HN!AM156))=1)*(CHOOSE({1,2,3,4},HN!X156,HN!AD156,HN!AJ156,HN!AP156)))</f>
        <v>0</v>
      </c>
      <c r="B156">
        <f>SUMPRODUCT((MONTH(CHOOSE({1,2,3,4},HN!U156,HN!AA156,HN!AG156,HN!AM156))=2)*(CHOOSE({1,2,3,4},HN!X156,HN!AD156,HN!AJ156,HN!AP156)))</f>
        <v>0</v>
      </c>
      <c r="C156">
        <f>SUMPRODUCT((MONTH(CHOOSE({1,2,3,4},HN!U156,HN!AA156,HN!AG156,HN!AM156))=3)*(CHOOSE({1,2,3,4},HN!X156,HN!AD156,HN!AJ156,HN!AP156)))</f>
        <v>0</v>
      </c>
      <c r="D156">
        <f>SUMPRODUCT((MONTH(CHOOSE({1,2,3,4},HN!U156,HN!AA156,HN!AG156,HN!AM156))=4)*(CHOOSE({1,2,3,4},HN!X156,HN!AD156,HN!AJ156,HN!AP156)))</f>
        <v>0</v>
      </c>
      <c r="E156">
        <f>SUMPRODUCT((MONTH(CHOOSE({1,2,3,4},HN!U156,HN!AA156,HN!AG156,HN!AM156))=5)*(CHOOSE({1,2,3,4},HN!X156,HN!AD156,HN!AJ156,HN!AP156)))</f>
        <v>0</v>
      </c>
      <c r="F156">
        <f>SUMPRODUCT((MONTH(CHOOSE({1,2,3,4},HN!U156,HN!AA156,HN!AG156,HN!AM156))=6)*(CHOOSE({1,2,3,4},HN!X156,HN!AD156,HN!AJ156,HN!AP156)))</f>
        <v>0</v>
      </c>
      <c r="G156">
        <f>SUMPRODUCT((MONTH(CHOOSE({1,2,3,4},HN!U156,HN!AA156,HN!AG156,HN!AM156))=7)*(CHOOSE({1,2,3,4},HN!X156,HN!AD156,HN!AJ156,HN!AP156)))</f>
        <v>0</v>
      </c>
      <c r="H156">
        <f>SUMPRODUCT((MONTH(CHOOSE({1,2,3,4},HN!U156,HN!AA156,HN!AG156,HN!AM156))=8)*(CHOOSE({1,2,3,4},HN!X156,HN!AD156,HN!AJ156,HN!AP156)))</f>
        <v>0</v>
      </c>
      <c r="I156">
        <f>SUMPRODUCT((MONTH(CHOOSE({1,2,3,4},HN!U156,HN!AA156,HN!AG156,HN!AM156))=9)*(CHOOSE({1,2,3,4},HN!X156,HN!AD156,HN!AJ156,HN!AP156)))</f>
        <v>0</v>
      </c>
      <c r="J156">
        <f>SUMPRODUCT((MONTH(CHOOSE({1,2,3,4},HN!U156,HN!AA156,HN!AG156,HN!AM156))=10)*(CHOOSE({1,2,3,4},HN!X156,HN!AD156,HN!AJ156,HN!AP156)))</f>
        <v>0</v>
      </c>
      <c r="K156">
        <f>SUMPRODUCT((MONTH(CHOOSE({1,2,3,4},HN!U156,HN!AA156,HN!AG156,HN!AM156))=11)*(CHOOSE({1,2,3,4},HN!X156,HN!AD156,HN!AJ156,HN!AP156)))</f>
        <v>0</v>
      </c>
      <c r="L156">
        <f>SUMPRODUCT((MONTH(CHOOSE({1,2,3,4},HN!U156,HN!AA156,HN!AG156,HN!AM156))=12)*(CHOOSE({1,2,3,4},HN!X156,HN!AD156,HN!AJ156,HN!AP156)))</f>
        <v>0</v>
      </c>
    </row>
    <row r="157" spans="1:12">
      <c r="A157">
        <f>SUMPRODUCT((MONTH(CHOOSE({1,2,3,4},HN!U157,HN!AA157,HN!AG157,HN!AM157))=1)*(CHOOSE({1,2,3,4},HN!X157,HN!AD157,HN!AJ157,HN!AP157)))</f>
        <v>0</v>
      </c>
      <c r="B157">
        <f>SUMPRODUCT((MONTH(CHOOSE({1,2,3,4},HN!U157,HN!AA157,HN!AG157,HN!AM157))=2)*(CHOOSE({1,2,3,4},HN!X157,HN!AD157,HN!AJ157,HN!AP157)))</f>
        <v>0</v>
      </c>
      <c r="C157">
        <f>SUMPRODUCT((MONTH(CHOOSE({1,2,3,4},HN!U157,HN!AA157,HN!AG157,HN!AM157))=3)*(CHOOSE({1,2,3,4},HN!X157,HN!AD157,HN!AJ157,HN!AP157)))</f>
        <v>0</v>
      </c>
      <c r="D157">
        <f>SUMPRODUCT((MONTH(CHOOSE({1,2,3,4},HN!U157,HN!AA157,HN!AG157,HN!AM157))=4)*(CHOOSE({1,2,3,4},HN!X157,HN!AD157,HN!AJ157,HN!AP157)))</f>
        <v>0</v>
      </c>
      <c r="E157">
        <f>SUMPRODUCT((MONTH(CHOOSE({1,2,3,4},HN!U157,HN!AA157,HN!AG157,HN!AM157))=5)*(CHOOSE({1,2,3,4},HN!X157,HN!AD157,HN!AJ157,HN!AP157)))</f>
        <v>0</v>
      </c>
      <c r="F157">
        <f>SUMPRODUCT((MONTH(CHOOSE({1,2,3,4},HN!U157,HN!AA157,HN!AG157,HN!AM157))=6)*(CHOOSE({1,2,3,4},HN!X157,HN!AD157,HN!AJ157,HN!AP157)))</f>
        <v>0</v>
      </c>
      <c r="G157">
        <f>SUMPRODUCT((MONTH(CHOOSE({1,2,3,4},HN!U157,HN!AA157,HN!AG157,HN!AM157))=7)*(CHOOSE({1,2,3,4},HN!X157,HN!AD157,HN!AJ157,HN!AP157)))</f>
        <v>0</v>
      </c>
      <c r="H157">
        <f>SUMPRODUCT((MONTH(CHOOSE({1,2,3,4},HN!U157,HN!AA157,HN!AG157,HN!AM157))=8)*(CHOOSE({1,2,3,4},HN!X157,HN!AD157,HN!AJ157,HN!AP157)))</f>
        <v>0</v>
      </c>
      <c r="I157">
        <f>SUMPRODUCT((MONTH(CHOOSE({1,2,3,4},HN!U157,HN!AA157,HN!AG157,HN!AM157))=9)*(CHOOSE({1,2,3,4},HN!X157,HN!AD157,HN!AJ157,HN!AP157)))</f>
        <v>0</v>
      </c>
      <c r="J157">
        <f>SUMPRODUCT((MONTH(CHOOSE({1,2,3,4},HN!U157,HN!AA157,HN!AG157,HN!AM157))=10)*(CHOOSE({1,2,3,4},HN!X157,HN!AD157,HN!AJ157,HN!AP157)))</f>
        <v>0</v>
      </c>
      <c r="K157">
        <f>SUMPRODUCT((MONTH(CHOOSE({1,2,3,4},HN!U157,HN!AA157,HN!AG157,HN!AM157))=11)*(CHOOSE({1,2,3,4},HN!X157,HN!AD157,HN!AJ157,HN!AP157)))</f>
        <v>0</v>
      </c>
      <c r="L157">
        <f>SUMPRODUCT((MONTH(CHOOSE({1,2,3,4},HN!U157,HN!AA157,HN!AG157,HN!AM157))=12)*(CHOOSE({1,2,3,4},HN!X157,HN!AD157,HN!AJ157,HN!AP157)))</f>
        <v>0</v>
      </c>
    </row>
    <row r="158" spans="1:12">
      <c r="A158">
        <f>SUMPRODUCT((MONTH(CHOOSE({1,2,3,4},HN!U158,HN!AA158,HN!AG158,HN!AM158))=1)*(CHOOSE({1,2,3,4},HN!X158,HN!AD158,HN!AJ158,HN!AP158)))</f>
        <v>0</v>
      </c>
      <c r="B158">
        <f>SUMPRODUCT((MONTH(CHOOSE({1,2,3,4},HN!U158,HN!AA158,HN!AG158,HN!AM158))=2)*(CHOOSE({1,2,3,4},HN!X158,HN!AD158,HN!AJ158,HN!AP158)))</f>
        <v>0</v>
      </c>
      <c r="C158">
        <f>SUMPRODUCT((MONTH(CHOOSE({1,2,3,4},HN!U158,HN!AA158,HN!AG158,HN!AM158))=3)*(CHOOSE({1,2,3,4},HN!X158,HN!AD158,HN!AJ158,HN!AP158)))</f>
        <v>0</v>
      </c>
      <c r="D158">
        <f>SUMPRODUCT((MONTH(CHOOSE({1,2,3,4},HN!U158,HN!AA158,HN!AG158,HN!AM158))=4)*(CHOOSE({1,2,3,4},HN!X158,HN!AD158,HN!AJ158,HN!AP158)))</f>
        <v>0</v>
      </c>
      <c r="E158">
        <f>SUMPRODUCT((MONTH(CHOOSE({1,2,3,4},HN!U158,HN!AA158,HN!AG158,HN!AM158))=5)*(CHOOSE({1,2,3,4},HN!X158,HN!AD158,HN!AJ158,HN!AP158)))</f>
        <v>0</v>
      </c>
      <c r="F158">
        <f>SUMPRODUCT((MONTH(CHOOSE({1,2,3,4},HN!U158,HN!AA158,HN!AG158,HN!AM158))=6)*(CHOOSE({1,2,3,4},HN!X158,HN!AD158,HN!AJ158,HN!AP158)))</f>
        <v>0</v>
      </c>
      <c r="G158">
        <f>SUMPRODUCT((MONTH(CHOOSE({1,2,3,4},HN!U158,HN!AA158,HN!AG158,HN!AM158))=7)*(CHOOSE({1,2,3,4},HN!X158,HN!AD158,HN!AJ158,HN!AP158)))</f>
        <v>0</v>
      </c>
      <c r="H158">
        <f>SUMPRODUCT((MONTH(CHOOSE({1,2,3,4},HN!U158,HN!AA158,HN!AG158,HN!AM158))=8)*(CHOOSE({1,2,3,4},HN!X158,HN!AD158,HN!AJ158,HN!AP158)))</f>
        <v>0</v>
      </c>
      <c r="I158">
        <f>SUMPRODUCT((MONTH(CHOOSE({1,2,3,4},HN!U158,HN!AA158,HN!AG158,HN!AM158))=9)*(CHOOSE({1,2,3,4},HN!X158,HN!AD158,HN!AJ158,HN!AP158)))</f>
        <v>0</v>
      </c>
      <c r="J158">
        <f>SUMPRODUCT((MONTH(CHOOSE({1,2,3,4},HN!U158,HN!AA158,HN!AG158,HN!AM158))=10)*(CHOOSE({1,2,3,4},HN!X158,HN!AD158,HN!AJ158,HN!AP158)))</f>
        <v>0</v>
      </c>
      <c r="K158">
        <f>SUMPRODUCT((MONTH(CHOOSE({1,2,3,4},HN!U158,HN!AA158,HN!AG158,HN!AM158))=11)*(CHOOSE({1,2,3,4},HN!X158,HN!AD158,HN!AJ158,HN!AP158)))</f>
        <v>0</v>
      </c>
      <c r="L158">
        <f>SUMPRODUCT((MONTH(CHOOSE({1,2,3,4},HN!U158,HN!AA158,HN!AG158,HN!AM158))=12)*(CHOOSE({1,2,3,4},HN!X158,HN!AD158,HN!AJ158,HN!AP158)))</f>
        <v>0</v>
      </c>
    </row>
    <row r="159" spans="1:12">
      <c r="A159">
        <f>SUMPRODUCT((MONTH(CHOOSE({1,2,3,4},HN!U159,HN!AA159,HN!AG159,HN!AM159))=1)*(CHOOSE({1,2,3,4},HN!X159,HN!AD159,HN!AJ159,HN!AP159)))</f>
        <v>0</v>
      </c>
      <c r="B159">
        <f>SUMPRODUCT((MONTH(CHOOSE({1,2,3,4},HN!U159,HN!AA159,HN!AG159,HN!AM159))=2)*(CHOOSE({1,2,3,4},HN!X159,HN!AD159,HN!AJ159,HN!AP159)))</f>
        <v>0</v>
      </c>
      <c r="C159">
        <f>SUMPRODUCT((MONTH(CHOOSE({1,2,3,4},HN!U159,HN!AA159,HN!AG159,HN!AM159))=3)*(CHOOSE({1,2,3,4},HN!X159,HN!AD159,HN!AJ159,HN!AP159)))</f>
        <v>0</v>
      </c>
      <c r="D159">
        <f>SUMPRODUCT((MONTH(CHOOSE({1,2,3,4},HN!U159,HN!AA159,HN!AG159,HN!AM159))=4)*(CHOOSE({1,2,3,4},HN!X159,HN!AD159,HN!AJ159,HN!AP159)))</f>
        <v>0</v>
      </c>
      <c r="E159">
        <f>SUMPRODUCT((MONTH(CHOOSE({1,2,3,4},HN!U159,HN!AA159,HN!AG159,HN!AM159))=5)*(CHOOSE({1,2,3,4},HN!X159,HN!AD159,HN!AJ159,HN!AP159)))</f>
        <v>0</v>
      </c>
      <c r="F159">
        <f>SUMPRODUCT((MONTH(CHOOSE({1,2,3,4},HN!U159,HN!AA159,HN!AG159,HN!AM159))=6)*(CHOOSE({1,2,3,4},HN!X159,HN!AD159,HN!AJ159,HN!AP159)))</f>
        <v>0</v>
      </c>
      <c r="G159">
        <f>SUMPRODUCT((MONTH(CHOOSE({1,2,3,4},HN!U159,HN!AA159,HN!AG159,HN!AM159))=7)*(CHOOSE({1,2,3,4},HN!X159,HN!AD159,HN!AJ159,HN!AP159)))</f>
        <v>0</v>
      </c>
      <c r="H159">
        <f>SUMPRODUCT((MONTH(CHOOSE({1,2,3,4},HN!U159,HN!AA159,HN!AG159,HN!AM159))=8)*(CHOOSE({1,2,3,4},HN!X159,HN!AD159,HN!AJ159,HN!AP159)))</f>
        <v>0</v>
      </c>
      <c r="I159">
        <f>SUMPRODUCT((MONTH(CHOOSE({1,2,3,4},HN!U159,HN!AA159,HN!AG159,HN!AM159))=9)*(CHOOSE({1,2,3,4},HN!X159,HN!AD159,HN!AJ159,HN!AP159)))</f>
        <v>0</v>
      </c>
      <c r="J159">
        <f>SUMPRODUCT((MONTH(CHOOSE({1,2,3,4},HN!U159,HN!AA159,HN!AG159,HN!AM159))=10)*(CHOOSE({1,2,3,4},HN!X159,HN!AD159,HN!AJ159,HN!AP159)))</f>
        <v>0</v>
      </c>
      <c r="K159">
        <f>SUMPRODUCT((MONTH(CHOOSE({1,2,3,4},HN!U159,HN!AA159,HN!AG159,HN!AM159))=11)*(CHOOSE({1,2,3,4},HN!X159,HN!AD159,HN!AJ159,HN!AP159)))</f>
        <v>0</v>
      </c>
      <c r="L159">
        <f>SUMPRODUCT((MONTH(CHOOSE({1,2,3,4},HN!U159,HN!AA159,HN!AG159,HN!AM159))=12)*(CHOOSE({1,2,3,4},HN!X159,HN!AD159,HN!AJ159,HN!AP159)))</f>
        <v>0</v>
      </c>
    </row>
    <row r="160" spans="1:12">
      <c r="A160">
        <f>SUMPRODUCT((MONTH(CHOOSE({1,2,3,4},HN!U160,HN!AA160,HN!AG160,HN!AM160))=1)*(CHOOSE({1,2,3,4},HN!X160,HN!AD160,HN!AJ160,HN!AP160)))</f>
        <v>0</v>
      </c>
      <c r="B160">
        <f>SUMPRODUCT((MONTH(CHOOSE({1,2,3,4},HN!U160,HN!AA160,HN!AG160,HN!AM160))=2)*(CHOOSE({1,2,3,4},HN!X160,HN!AD160,HN!AJ160,HN!AP160)))</f>
        <v>0</v>
      </c>
      <c r="C160">
        <f>SUMPRODUCT((MONTH(CHOOSE({1,2,3,4},HN!U160,HN!AA160,HN!AG160,HN!AM160))=3)*(CHOOSE({1,2,3,4},HN!X160,HN!AD160,HN!AJ160,HN!AP160)))</f>
        <v>0</v>
      </c>
      <c r="D160">
        <f>SUMPRODUCT((MONTH(CHOOSE({1,2,3,4},HN!U160,HN!AA160,HN!AG160,HN!AM160))=4)*(CHOOSE({1,2,3,4},HN!X160,HN!AD160,HN!AJ160,HN!AP160)))</f>
        <v>0</v>
      </c>
      <c r="E160">
        <f>SUMPRODUCT((MONTH(CHOOSE({1,2,3,4},HN!U160,HN!AA160,HN!AG160,HN!AM160))=5)*(CHOOSE({1,2,3,4},HN!X160,HN!AD160,HN!AJ160,HN!AP160)))</f>
        <v>0</v>
      </c>
      <c r="F160">
        <f>SUMPRODUCT((MONTH(CHOOSE({1,2,3,4},HN!U160,HN!AA160,HN!AG160,HN!AM160))=6)*(CHOOSE({1,2,3,4},HN!X160,HN!AD160,HN!AJ160,HN!AP160)))</f>
        <v>0</v>
      </c>
      <c r="G160">
        <f>SUMPRODUCT((MONTH(CHOOSE({1,2,3,4},HN!U160,HN!AA160,HN!AG160,HN!AM160))=7)*(CHOOSE({1,2,3,4},HN!X160,HN!AD160,HN!AJ160,HN!AP160)))</f>
        <v>0</v>
      </c>
      <c r="H160">
        <f>SUMPRODUCT((MONTH(CHOOSE({1,2,3,4},HN!U160,HN!AA160,HN!AG160,HN!AM160))=8)*(CHOOSE({1,2,3,4},HN!X160,HN!AD160,HN!AJ160,HN!AP160)))</f>
        <v>0</v>
      </c>
      <c r="I160">
        <f>SUMPRODUCT((MONTH(CHOOSE({1,2,3,4},HN!U160,HN!AA160,HN!AG160,HN!AM160))=9)*(CHOOSE({1,2,3,4},HN!X160,HN!AD160,HN!AJ160,HN!AP160)))</f>
        <v>0</v>
      </c>
      <c r="J160">
        <f>SUMPRODUCT((MONTH(CHOOSE({1,2,3,4},HN!U160,HN!AA160,HN!AG160,HN!AM160))=10)*(CHOOSE({1,2,3,4},HN!X160,HN!AD160,HN!AJ160,HN!AP160)))</f>
        <v>0</v>
      </c>
      <c r="K160">
        <f>SUMPRODUCT((MONTH(CHOOSE({1,2,3,4},HN!U160,HN!AA160,HN!AG160,HN!AM160))=11)*(CHOOSE({1,2,3,4},HN!X160,HN!AD160,HN!AJ160,HN!AP160)))</f>
        <v>0</v>
      </c>
      <c r="L160">
        <f>SUMPRODUCT((MONTH(CHOOSE({1,2,3,4},HN!U160,HN!AA160,HN!AG160,HN!AM160))=12)*(CHOOSE({1,2,3,4},HN!X160,HN!AD160,HN!AJ160,HN!AP160)))</f>
        <v>0</v>
      </c>
    </row>
    <row r="161" spans="1:12">
      <c r="A161">
        <f>SUMPRODUCT((MONTH(CHOOSE({1,2,3,4},HN!U161,HN!AA161,HN!AG161,HN!AM161))=1)*(CHOOSE({1,2,3,4},HN!X161,HN!AD161,HN!AJ161,HN!AP161)))</f>
        <v>0</v>
      </c>
      <c r="B161">
        <f>SUMPRODUCT((MONTH(CHOOSE({1,2,3,4},HN!U161,HN!AA161,HN!AG161,HN!AM161))=2)*(CHOOSE({1,2,3,4},HN!X161,HN!AD161,HN!AJ161,HN!AP161)))</f>
        <v>0</v>
      </c>
      <c r="C161">
        <f>SUMPRODUCT((MONTH(CHOOSE({1,2,3,4},HN!U161,HN!AA161,HN!AG161,HN!AM161))=3)*(CHOOSE({1,2,3,4},HN!X161,HN!AD161,HN!AJ161,HN!AP161)))</f>
        <v>0</v>
      </c>
      <c r="D161">
        <f>SUMPRODUCT((MONTH(CHOOSE({1,2,3,4},HN!U161,HN!AA161,HN!AG161,HN!AM161))=4)*(CHOOSE({1,2,3,4},HN!X161,HN!AD161,HN!AJ161,HN!AP161)))</f>
        <v>0</v>
      </c>
      <c r="E161">
        <f>SUMPRODUCT((MONTH(CHOOSE({1,2,3,4},HN!U161,HN!AA161,HN!AG161,HN!AM161))=5)*(CHOOSE({1,2,3,4},HN!X161,HN!AD161,HN!AJ161,HN!AP161)))</f>
        <v>0</v>
      </c>
      <c r="F161">
        <f>SUMPRODUCT((MONTH(CHOOSE({1,2,3,4},HN!U161,HN!AA161,HN!AG161,HN!AM161))=6)*(CHOOSE({1,2,3,4},HN!X161,HN!AD161,HN!AJ161,HN!AP161)))</f>
        <v>0</v>
      </c>
      <c r="G161">
        <f>SUMPRODUCT((MONTH(CHOOSE({1,2,3,4},HN!U161,HN!AA161,HN!AG161,HN!AM161))=7)*(CHOOSE({1,2,3,4},HN!X161,HN!AD161,HN!AJ161,HN!AP161)))</f>
        <v>0</v>
      </c>
      <c r="H161">
        <f>SUMPRODUCT((MONTH(CHOOSE({1,2,3,4},HN!U161,HN!AA161,HN!AG161,HN!AM161))=8)*(CHOOSE({1,2,3,4},HN!X161,HN!AD161,HN!AJ161,HN!AP161)))</f>
        <v>0</v>
      </c>
      <c r="I161">
        <f>SUMPRODUCT((MONTH(CHOOSE({1,2,3,4},HN!U161,HN!AA161,HN!AG161,HN!AM161))=9)*(CHOOSE({1,2,3,4},HN!X161,HN!AD161,HN!AJ161,HN!AP161)))</f>
        <v>0</v>
      </c>
      <c r="J161">
        <f>SUMPRODUCT((MONTH(CHOOSE({1,2,3,4},HN!U161,HN!AA161,HN!AG161,HN!AM161))=10)*(CHOOSE({1,2,3,4},HN!X161,HN!AD161,HN!AJ161,HN!AP161)))</f>
        <v>0</v>
      </c>
      <c r="K161">
        <f>SUMPRODUCT((MONTH(CHOOSE({1,2,3,4},HN!U161,HN!AA161,HN!AG161,HN!AM161))=11)*(CHOOSE({1,2,3,4},HN!X161,HN!AD161,HN!AJ161,HN!AP161)))</f>
        <v>0</v>
      </c>
      <c r="L161">
        <f>SUMPRODUCT((MONTH(CHOOSE({1,2,3,4},HN!U161,HN!AA161,HN!AG161,HN!AM161))=12)*(CHOOSE({1,2,3,4},HN!X161,HN!AD161,HN!AJ161,HN!AP161)))</f>
        <v>0</v>
      </c>
    </row>
    <row r="162" spans="1:12">
      <c r="A162">
        <f>SUMPRODUCT((MONTH(CHOOSE({1,2,3,4},HN!U162,HN!AA162,HN!AG162,HN!AM162))=1)*(CHOOSE({1,2,3,4},HN!X162,HN!AD162,HN!AJ162,HN!AP162)))</f>
        <v>0</v>
      </c>
      <c r="B162">
        <f>SUMPRODUCT((MONTH(CHOOSE({1,2,3,4},HN!U162,HN!AA162,HN!AG162,HN!AM162))=2)*(CHOOSE({1,2,3,4},HN!X162,HN!AD162,HN!AJ162,HN!AP162)))</f>
        <v>0</v>
      </c>
      <c r="C162">
        <f>SUMPRODUCT((MONTH(CHOOSE({1,2,3,4},HN!U162,HN!AA162,HN!AG162,HN!AM162))=3)*(CHOOSE({1,2,3,4},HN!X162,HN!AD162,HN!AJ162,HN!AP162)))</f>
        <v>0</v>
      </c>
      <c r="D162">
        <f>SUMPRODUCT((MONTH(CHOOSE({1,2,3,4},HN!U162,HN!AA162,HN!AG162,HN!AM162))=4)*(CHOOSE({1,2,3,4},HN!X162,HN!AD162,HN!AJ162,HN!AP162)))</f>
        <v>0</v>
      </c>
      <c r="E162">
        <f>SUMPRODUCT((MONTH(CHOOSE({1,2,3,4},HN!U162,HN!AA162,HN!AG162,HN!AM162))=5)*(CHOOSE({1,2,3,4},HN!X162,HN!AD162,HN!AJ162,HN!AP162)))</f>
        <v>0</v>
      </c>
      <c r="F162">
        <f>SUMPRODUCT((MONTH(CHOOSE({1,2,3,4},HN!U162,HN!AA162,HN!AG162,HN!AM162))=6)*(CHOOSE({1,2,3,4},HN!X162,HN!AD162,HN!AJ162,HN!AP162)))</f>
        <v>0</v>
      </c>
      <c r="G162">
        <f>SUMPRODUCT((MONTH(CHOOSE({1,2,3,4},HN!U162,HN!AA162,HN!AG162,HN!AM162))=7)*(CHOOSE({1,2,3,4},HN!X162,HN!AD162,HN!AJ162,HN!AP162)))</f>
        <v>0</v>
      </c>
      <c r="H162">
        <f>SUMPRODUCT((MONTH(CHOOSE({1,2,3,4},HN!U162,HN!AA162,HN!AG162,HN!AM162))=8)*(CHOOSE({1,2,3,4},HN!X162,HN!AD162,HN!AJ162,HN!AP162)))</f>
        <v>0</v>
      </c>
      <c r="I162">
        <f>SUMPRODUCT((MONTH(CHOOSE({1,2,3,4},HN!U162,HN!AA162,HN!AG162,HN!AM162))=9)*(CHOOSE({1,2,3,4},HN!X162,HN!AD162,HN!AJ162,HN!AP162)))</f>
        <v>0</v>
      </c>
      <c r="J162">
        <f>SUMPRODUCT((MONTH(CHOOSE({1,2,3,4},HN!U162,HN!AA162,HN!AG162,HN!AM162))=10)*(CHOOSE({1,2,3,4},HN!X162,HN!AD162,HN!AJ162,HN!AP162)))</f>
        <v>0</v>
      </c>
      <c r="K162">
        <f>SUMPRODUCT((MONTH(CHOOSE({1,2,3,4},HN!U162,HN!AA162,HN!AG162,HN!AM162))=11)*(CHOOSE({1,2,3,4},HN!X162,HN!AD162,HN!AJ162,HN!AP162)))</f>
        <v>0</v>
      </c>
      <c r="L162">
        <f>SUMPRODUCT((MONTH(CHOOSE({1,2,3,4},HN!U162,HN!AA162,HN!AG162,HN!AM162))=12)*(CHOOSE({1,2,3,4},HN!X162,HN!AD162,HN!AJ162,HN!AP162)))</f>
        <v>0</v>
      </c>
    </row>
    <row r="163" spans="1:12">
      <c r="A163">
        <f>SUMPRODUCT((MONTH(CHOOSE({1,2,3,4},HN!U163,HN!AA163,HN!AG163,HN!AM163))=1)*(CHOOSE({1,2,3,4},HN!X163,HN!AD163,HN!AJ163,HN!AP163)))</f>
        <v>0</v>
      </c>
      <c r="B163">
        <f>SUMPRODUCT((MONTH(CHOOSE({1,2,3,4},HN!U163,HN!AA163,HN!AG163,HN!AM163))=2)*(CHOOSE({1,2,3,4},HN!X163,HN!AD163,HN!AJ163,HN!AP163)))</f>
        <v>0</v>
      </c>
      <c r="C163">
        <f>SUMPRODUCT((MONTH(CHOOSE({1,2,3,4},HN!U163,HN!AA163,HN!AG163,HN!AM163))=3)*(CHOOSE({1,2,3,4},HN!X163,HN!AD163,HN!AJ163,HN!AP163)))</f>
        <v>0</v>
      </c>
      <c r="D163">
        <f>SUMPRODUCT((MONTH(CHOOSE({1,2,3,4},HN!U163,HN!AA163,HN!AG163,HN!AM163))=4)*(CHOOSE({1,2,3,4},HN!X163,HN!AD163,HN!AJ163,HN!AP163)))</f>
        <v>0</v>
      </c>
      <c r="E163">
        <f>SUMPRODUCT((MONTH(CHOOSE({1,2,3,4},HN!U163,HN!AA163,HN!AG163,HN!AM163))=5)*(CHOOSE({1,2,3,4},HN!X163,HN!AD163,HN!AJ163,HN!AP163)))</f>
        <v>0</v>
      </c>
      <c r="F163">
        <f>SUMPRODUCT((MONTH(CHOOSE({1,2,3,4},HN!U163,HN!AA163,HN!AG163,HN!AM163))=6)*(CHOOSE({1,2,3,4},HN!X163,HN!AD163,HN!AJ163,HN!AP163)))</f>
        <v>0</v>
      </c>
      <c r="G163">
        <f>SUMPRODUCT((MONTH(CHOOSE({1,2,3,4},HN!U163,HN!AA163,HN!AG163,HN!AM163))=7)*(CHOOSE({1,2,3,4},HN!X163,HN!AD163,HN!AJ163,HN!AP163)))</f>
        <v>0</v>
      </c>
      <c r="H163">
        <f>SUMPRODUCT((MONTH(CHOOSE({1,2,3,4},HN!U163,HN!AA163,HN!AG163,HN!AM163))=8)*(CHOOSE({1,2,3,4},HN!X163,HN!AD163,HN!AJ163,HN!AP163)))</f>
        <v>0</v>
      </c>
      <c r="I163">
        <f>SUMPRODUCT((MONTH(CHOOSE({1,2,3,4},HN!U163,HN!AA163,HN!AG163,HN!AM163))=9)*(CHOOSE({1,2,3,4},HN!X163,HN!AD163,HN!AJ163,HN!AP163)))</f>
        <v>0</v>
      </c>
      <c r="J163">
        <f>SUMPRODUCT((MONTH(CHOOSE({1,2,3,4},HN!U163,HN!AA163,HN!AG163,HN!AM163))=10)*(CHOOSE({1,2,3,4},HN!X163,HN!AD163,HN!AJ163,HN!AP163)))</f>
        <v>0</v>
      </c>
      <c r="K163">
        <f>SUMPRODUCT((MONTH(CHOOSE({1,2,3,4},HN!U163,HN!AA163,HN!AG163,HN!AM163))=11)*(CHOOSE({1,2,3,4},HN!X163,HN!AD163,HN!AJ163,HN!AP163)))</f>
        <v>0</v>
      </c>
      <c r="L163">
        <f>SUMPRODUCT((MONTH(CHOOSE({1,2,3,4},HN!U163,HN!AA163,HN!AG163,HN!AM163))=12)*(CHOOSE({1,2,3,4},HN!X163,HN!AD163,HN!AJ163,HN!AP163)))</f>
        <v>0</v>
      </c>
    </row>
    <row r="164" spans="1:12">
      <c r="A164">
        <f>SUMPRODUCT((MONTH(CHOOSE({1,2,3,4},HN!U164,HN!AA164,HN!AG164,HN!AM164))=1)*(CHOOSE({1,2,3,4},HN!X164,HN!AD164,HN!AJ164,HN!AP164)))</f>
        <v>0</v>
      </c>
      <c r="B164">
        <f>SUMPRODUCT((MONTH(CHOOSE({1,2,3,4},HN!U164,HN!AA164,HN!AG164,HN!AM164))=2)*(CHOOSE({1,2,3,4},HN!X164,HN!AD164,HN!AJ164,HN!AP164)))</f>
        <v>0</v>
      </c>
      <c r="C164">
        <f>SUMPRODUCT((MONTH(CHOOSE({1,2,3,4},HN!U164,HN!AA164,HN!AG164,HN!AM164))=3)*(CHOOSE({1,2,3,4},HN!X164,HN!AD164,HN!AJ164,HN!AP164)))</f>
        <v>0</v>
      </c>
      <c r="D164">
        <f>SUMPRODUCT((MONTH(CHOOSE({1,2,3,4},HN!U164,HN!AA164,HN!AG164,HN!AM164))=4)*(CHOOSE({1,2,3,4},HN!X164,HN!AD164,HN!AJ164,HN!AP164)))</f>
        <v>0</v>
      </c>
      <c r="E164">
        <f>SUMPRODUCT((MONTH(CHOOSE({1,2,3,4},HN!U164,HN!AA164,HN!AG164,HN!AM164))=5)*(CHOOSE({1,2,3,4},HN!X164,HN!AD164,HN!AJ164,HN!AP164)))</f>
        <v>0</v>
      </c>
      <c r="F164">
        <f>SUMPRODUCT((MONTH(CHOOSE({1,2,3,4},HN!U164,HN!AA164,HN!AG164,HN!AM164))=6)*(CHOOSE({1,2,3,4},HN!X164,HN!AD164,HN!AJ164,HN!AP164)))</f>
        <v>0</v>
      </c>
      <c r="G164">
        <f>SUMPRODUCT((MONTH(CHOOSE({1,2,3,4},HN!U164,HN!AA164,HN!AG164,HN!AM164))=7)*(CHOOSE({1,2,3,4},HN!X164,HN!AD164,HN!AJ164,HN!AP164)))</f>
        <v>0</v>
      </c>
      <c r="H164">
        <f>SUMPRODUCT((MONTH(CHOOSE({1,2,3,4},HN!U164,HN!AA164,HN!AG164,HN!AM164))=8)*(CHOOSE({1,2,3,4},HN!X164,HN!AD164,HN!AJ164,HN!AP164)))</f>
        <v>0</v>
      </c>
      <c r="I164">
        <f>SUMPRODUCT((MONTH(CHOOSE({1,2,3,4},HN!U164,HN!AA164,HN!AG164,HN!AM164))=9)*(CHOOSE({1,2,3,4},HN!X164,HN!AD164,HN!AJ164,HN!AP164)))</f>
        <v>0</v>
      </c>
      <c r="J164">
        <f>SUMPRODUCT((MONTH(CHOOSE({1,2,3,4},HN!U164,HN!AA164,HN!AG164,HN!AM164))=10)*(CHOOSE({1,2,3,4},HN!X164,HN!AD164,HN!AJ164,HN!AP164)))</f>
        <v>0</v>
      </c>
      <c r="K164">
        <f>SUMPRODUCT((MONTH(CHOOSE({1,2,3,4},HN!U164,HN!AA164,HN!AG164,HN!AM164))=11)*(CHOOSE({1,2,3,4},HN!X164,HN!AD164,HN!AJ164,HN!AP164)))</f>
        <v>0</v>
      </c>
      <c r="L164">
        <f>SUMPRODUCT((MONTH(CHOOSE({1,2,3,4},HN!U164,HN!AA164,HN!AG164,HN!AM164))=12)*(CHOOSE({1,2,3,4},HN!X164,HN!AD164,HN!AJ164,HN!AP164)))</f>
        <v>0</v>
      </c>
    </row>
    <row r="165" spans="1:12">
      <c r="A165">
        <f>SUMPRODUCT((MONTH(CHOOSE({1,2,3,4},HN!U165,HN!AA165,HN!AG165,HN!AM165))=1)*(CHOOSE({1,2,3,4},HN!X165,HN!AD165,HN!AJ165,HN!AP165)))</f>
        <v>0</v>
      </c>
      <c r="B165">
        <f>SUMPRODUCT((MONTH(CHOOSE({1,2,3,4},HN!U165,HN!AA165,HN!AG165,HN!AM165))=2)*(CHOOSE({1,2,3,4},HN!X165,HN!AD165,HN!AJ165,HN!AP165)))</f>
        <v>0</v>
      </c>
      <c r="C165">
        <f>SUMPRODUCT((MONTH(CHOOSE({1,2,3,4},HN!U165,HN!AA165,HN!AG165,HN!AM165))=3)*(CHOOSE({1,2,3,4},HN!X165,HN!AD165,HN!AJ165,HN!AP165)))</f>
        <v>0</v>
      </c>
      <c r="D165">
        <f>SUMPRODUCT((MONTH(CHOOSE({1,2,3,4},HN!U165,HN!AA165,HN!AG165,HN!AM165))=4)*(CHOOSE({1,2,3,4},HN!X165,HN!AD165,HN!AJ165,HN!AP165)))</f>
        <v>0</v>
      </c>
      <c r="E165">
        <f>SUMPRODUCT((MONTH(CHOOSE({1,2,3,4},HN!U165,HN!AA165,HN!AG165,HN!AM165))=5)*(CHOOSE({1,2,3,4},HN!X165,HN!AD165,HN!AJ165,HN!AP165)))</f>
        <v>0</v>
      </c>
      <c r="F165">
        <f>SUMPRODUCT((MONTH(CHOOSE({1,2,3,4},HN!U165,HN!AA165,HN!AG165,HN!AM165))=6)*(CHOOSE({1,2,3,4},HN!X165,HN!AD165,HN!AJ165,HN!AP165)))</f>
        <v>0</v>
      </c>
      <c r="G165">
        <f>SUMPRODUCT((MONTH(CHOOSE({1,2,3,4},HN!U165,HN!AA165,HN!AG165,HN!AM165))=7)*(CHOOSE({1,2,3,4},HN!X165,HN!AD165,HN!AJ165,HN!AP165)))</f>
        <v>0</v>
      </c>
      <c r="H165">
        <f>SUMPRODUCT((MONTH(CHOOSE({1,2,3,4},HN!U165,HN!AA165,HN!AG165,HN!AM165))=8)*(CHOOSE({1,2,3,4},HN!X165,HN!AD165,HN!AJ165,HN!AP165)))</f>
        <v>0</v>
      </c>
      <c r="I165">
        <f>SUMPRODUCT((MONTH(CHOOSE({1,2,3,4},HN!U165,HN!AA165,HN!AG165,HN!AM165))=9)*(CHOOSE({1,2,3,4},HN!X165,HN!AD165,HN!AJ165,HN!AP165)))</f>
        <v>0</v>
      </c>
      <c r="J165">
        <f>SUMPRODUCT((MONTH(CHOOSE({1,2,3,4},HN!U165,HN!AA165,HN!AG165,HN!AM165))=10)*(CHOOSE({1,2,3,4},HN!X165,HN!AD165,HN!AJ165,HN!AP165)))</f>
        <v>0</v>
      </c>
      <c r="K165">
        <f>SUMPRODUCT((MONTH(CHOOSE({1,2,3,4},HN!U165,HN!AA165,HN!AG165,HN!AM165))=11)*(CHOOSE({1,2,3,4},HN!X165,HN!AD165,HN!AJ165,HN!AP165)))</f>
        <v>0</v>
      </c>
      <c r="L165">
        <f>SUMPRODUCT((MONTH(CHOOSE({1,2,3,4},HN!U165,HN!AA165,HN!AG165,HN!AM165))=12)*(CHOOSE({1,2,3,4},HN!X165,HN!AD165,HN!AJ165,HN!AP165)))</f>
        <v>0</v>
      </c>
    </row>
    <row r="166" spans="1:12">
      <c r="A166">
        <f>SUMPRODUCT((MONTH(CHOOSE({1,2,3,4},HN!U166,HN!AA166,HN!AG166,HN!AM166))=1)*(CHOOSE({1,2,3,4},HN!X166,HN!AD166,HN!AJ166,HN!AP166)))</f>
        <v>0</v>
      </c>
      <c r="B166">
        <f>SUMPRODUCT((MONTH(CHOOSE({1,2,3,4},HN!U166,HN!AA166,HN!AG166,HN!AM166))=2)*(CHOOSE({1,2,3,4},HN!X166,HN!AD166,HN!AJ166,HN!AP166)))</f>
        <v>0</v>
      </c>
      <c r="C166">
        <f>SUMPRODUCT((MONTH(CHOOSE({1,2,3,4},HN!U166,HN!AA166,HN!AG166,HN!AM166))=3)*(CHOOSE({1,2,3,4},HN!X166,HN!AD166,HN!AJ166,HN!AP166)))</f>
        <v>0</v>
      </c>
      <c r="D166">
        <f>SUMPRODUCT((MONTH(CHOOSE({1,2,3,4},HN!U166,HN!AA166,HN!AG166,HN!AM166))=4)*(CHOOSE({1,2,3,4},HN!X166,HN!AD166,HN!AJ166,HN!AP166)))</f>
        <v>0</v>
      </c>
      <c r="E166">
        <f>SUMPRODUCT((MONTH(CHOOSE({1,2,3,4},HN!U166,HN!AA166,HN!AG166,HN!AM166))=5)*(CHOOSE({1,2,3,4},HN!X166,HN!AD166,HN!AJ166,HN!AP166)))</f>
        <v>0</v>
      </c>
      <c r="F166">
        <f>SUMPRODUCT((MONTH(CHOOSE({1,2,3,4},HN!U166,HN!AA166,HN!AG166,HN!AM166))=6)*(CHOOSE({1,2,3,4},HN!X166,HN!AD166,HN!AJ166,HN!AP166)))</f>
        <v>0</v>
      </c>
      <c r="G166">
        <f>SUMPRODUCT((MONTH(CHOOSE({1,2,3,4},HN!U166,HN!AA166,HN!AG166,HN!AM166))=7)*(CHOOSE({1,2,3,4},HN!X166,HN!AD166,HN!AJ166,HN!AP166)))</f>
        <v>0</v>
      </c>
      <c r="H166">
        <f>SUMPRODUCT((MONTH(CHOOSE({1,2,3,4},HN!U166,HN!AA166,HN!AG166,HN!AM166))=8)*(CHOOSE({1,2,3,4},HN!X166,HN!AD166,HN!AJ166,HN!AP166)))</f>
        <v>0</v>
      </c>
      <c r="I166">
        <f>SUMPRODUCT((MONTH(CHOOSE({1,2,3,4},HN!U166,HN!AA166,HN!AG166,HN!AM166))=9)*(CHOOSE({1,2,3,4},HN!X166,HN!AD166,HN!AJ166,HN!AP166)))</f>
        <v>0</v>
      </c>
      <c r="J166">
        <f>SUMPRODUCT((MONTH(CHOOSE({1,2,3,4},HN!U166,HN!AA166,HN!AG166,HN!AM166))=10)*(CHOOSE({1,2,3,4},HN!X166,HN!AD166,HN!AJ166,HN!AP166)))</f>
        <v>0</v>
      </c>
      <c r="K166">
        <f>SUMPRODUCT((MONTH(CHOOSE({1,2,3,4},HN!U166,HN!AA166,HN!AG166,HN!AM166))=11)*(CHOOSE({1,2,3,4},HN!X166,HN!AD166,HN!AJ166,HN!AP166)))</f>
        <v>0</v>
      </c>
      <c r="L166">
        <f>SUMPRODUCT((MONTH(CHOOSE({1,2,3,4},HN!U166,HN!AA166,HN!AG166,HN!AM166))=12)*(CHOOSE({1,2,3,4},HN!X166,HN!AD166,HN!AJ166,HN!AP166)))</f>
        <v>0</v>
      </c>
    </row>
    <row r="167" spans="1:12">
      <c r="A167">
        <f>SUMPRODUCT((MONTH(CHOOSE({1,2,3,4},HN!U167,HN!AA167,HN!AG167,HN!AM167))=1)*(CHOOSE({1,2,3,4},HN!X167,HN!AD167,HN!AJ167,HN!AP167)))</f>
        <v>0</v>
      </c>
      <c r="B167">
        <f>SUMPRODUCT((MONTH(CHOOSE({1,2,3,4},HN!U167,HN!AA167,HN!AG167,HN!AM167))=2)*(CHOOSE({1,2,3,4},HN!X167,HN!AD167,HN!AJ167,HN!AP167)))</f>
        <v>0</v>
      </c>
      <c r="C167">
        <f>SUMPRODUCT((MONTH(CHOOSE({1,2,3,4},HN!U167,HN!AA167,HN!AG167,HN!AM167))=3)*(CHOOSE({1,2,3,4},HN!X167,HN!AD167,HN!AJ167,HN!AP167)))</f>
        <v>0</v>
      </c>
      <c r="D167">
        <f>SUMPRODUCT((MONTH(CHOOSE({1,2,3,4},HN!U167,HN!AA167,HN!AG167,HN!AM167))=4)*(CHOOSE({1,2,3,4},HN!X167,HN!AD167,HN!AJ167,HN!AP167)))</f>
        <v>0</v>
      </c>
      <c r="E167">
        <f>SUMPRODUCT((MONTH(CHOOSE({1,2,3,4},HN!U167,HN!AA167,HN!AG167,HN!AM167))=5)*(CHOOSE({1,2,3,4},HN!X167,HN!AD167,HN!AJ167,HN!AP167)))</f>
        <v>0</v>
      </c>
      <c r="F167">
        <f>SUMPRODUCT((MONTH(CHOOSE({1,2,3,4},HN!U167,HN!AA167,HN!AG167,HN!AM167))=6)*(CHOOSE({1,2,3,4},HN!X167,HN!AD167,HN!AJ167,HN!AP167)))</f>
        <v>0</v>
      </c>
      <c r="G167">
        <f>SUMPRODUCT((MONTH(CHOOSE({1,2,3,4},HN!U167,HN!AA167,HN!AG167,HN!AM167))=7)*(CHOOSE({1,2,3,4},HN!X167,HN!AD167,HN!AJ167,HN!AP167)))</f>
        <v>0</v>
      </c>
      <c r="H167">
        <f>SUMPRODUCT((MONTH(CHOOSE({1,2,3,4},HN!U167,HN!AA167,HN!AG167,HN!AM167))=8)*(CHOOSE({1,2,3,4},HN!X167,HN!AD167,HN!AJ167,HN!AP167)))</f>
        <v>0</v>
      </c>
      <c r="I167">
        <f>SUMPRODUCT((MONTH(CHOOSE({1,2,3,4},HN!U167,HN!AA167,HN!AG167,HN!AM167))=9)*(CHOOSE({1,2,3,4},HN!X167,HN!AD167,HN!AJ167,HN!AP167)))</f>
        <v>0</v>
      </c>
      <c r="J167">
        <f>SUMPRODUCT((MONTH(CHOOSE({1,2,3,4},HN!U167,HN!AA167,HN!AG167,HN!AM167))=10)*(CHOOSE({1,2,3,4},HN!X167,HN!AD167,HN!AJ167,HN!AP167)))</f>
        <v>0</v>
      </c>
      <c r="K167">
        <f>SUMPRODUCT((MONTH(CHOOSE({1,2,3,4},HN!U167,HN!AA167,HN!AG167,HN!AM167))=11)*(CHOOSE({1,2,3,4},HN!X167,HN!AD167,HN!AJ167,HN!AP167)))</f>
        <v>0</v>
      </c>
      <c r="L167">
        <f>SUMPRODUCT((MONTH(CHOOSE({1,2,3,4},HN!U167,HN!AA167,HN!AG167,HN!AM167))=12)*(CHOOSE({1,2,3,4},HN!X167,HN!AD167,HN!AJ167,HN!AP167)))</f>
        <v>0</v>
      </c>
    </row>
    <row r="168" spans="1:12">
      <c r="A168">
        <f>SUMPRODUCT((MONTH(CHOOSE({1,2,3,4},HN!U168,HN!AA168,HN!AG168,HN!AM168))=1)*(CHOOSE({1,2,3,4},HN!X168,HN!AD168,HN!AJ168,HN!AP168)))</f>
        <v>0</v>
      </c>
      <c r="B168">
        <f>SUMPRODUCT((MONTH(CHOOSE({1,2,3,4},HN!U168,HN!AA168,HN!AG168,HN!AM168))=2)*(CHOOSE({1,2,3,4},HN!X168,HN!AD168,HN!AJ168,HN!AP168)))</f>
        <v>0</v>
      </c>
      <c r="C168">
        <f>SUMPRODUCT((MONTH(CHOOSE({1,2,3,4},HN!U168,HN!AA168,HN!AG168,HN!AM168))=3)*(CHOOSE({1,2,3,4},HN!X168,HN!AD168,HN!AJ168,HN!AP168)))</f>
        <v>0</v>
      </c>
      <c r="D168">
        <f>SUMPRODUCT((MONTH(CHOOSE({1,2,3,4},HN!U168,HN!AA168,HN!AG168,HN!AM168))=4)*(CHOOSE({1,2,3,4},HN!X168,HN!AD168,HN!AJ168,HN!AP168)))</f>
        <v>0</v>
      </c>
      <c r="E168">
        <f>SUMPRODUCT((MONTH(CHOOSE({1,2,3,4},HN!U168,HN!AA168,HN!AG168,HN!AM168))=5)*(CHOOSE({1,2,3,4},HN!X168,HN!AD168,HN!AJ168,HN!AP168)))</f>
        <v>0</v>
      </c>
      <c r="F168">
        <f>SUMPRODUCT((MONTH(CHOOSE({1,2,3,4},HN!U168,HN!AA168,HN!AG168,HN!AM168))=6)*(CHOOSE({1,2,3,4},HN!X168,HN!AD168,HN!AJ168,HN!AP168)))</f>
        <v>0</v>
      </c>
      <c r="G168">
        <f>SUMPRODUCT((MONTH(CHOOSE({1,2,3,4},HN!U168,HN!AA168,HN!AG168,HN!AM168))=7)*(CHOOSE({1,2,3,4},HN!X168,HN!AD168,HN!AJ168,HN!AP168)))</f>
        <v>0</v>
      </c>
      <c r="H168">
        <f>SUMPRODUCT((MONTH(CHOOSE({1,2,3,4},HN!U168,HN!AA168,HN!AG168,HN!AM168))=8)*(CHOOSE({1,2,3,4},HN!X168,HN!AD168,HN!AJ168,HN!AP168)))</f>
        <v>0</v>
      </c>
      <c r="I168">
        <f>SUMPRODUCT((MONTH(CHOOSE({1,2,3,4},HN!U168,HN!AA168,HN!AG168,HN!AM168))=9)*(CHOOSE({1,2,3,4},HN!X168,HN!AD168,HN!AJ168,HN!AP168)))</f>
        <v>0</v>
      </c>
      <c r="J168">
        <f>SUMPRODUCT((MONTH(CHOOSE({1,2,3,4},HN!U168,HN!AA168,HN!AG168,HN!AM168))=10)*(CHOOSE({1,2,3,4},HN!X168,HN!AD168,HN!AJ168,HN!AP168)))</f>
        <v>0</v>
      </c>
      <c r="K168">
        <f>SUMPRODUCT((MONTH(CHOOSE({1,2,3,4},HN!U168,HN!AA168,HN!AG168,HN!AM168))=11)*(CHOOSE({1,2,3,4},HN!X168,HN!AD168,HN!AJ168,HN!AP168)))</f>
        <v>0</v>
      </c>
      <c r="L168">
        <f>SUMPRODUCT((MONTH(CHOOSE({1,2,3,4},HN!U168,HN!AA168,HN!AG168,HN!AM168))=12)*(CHOOSE({1,2,3,4},HN!X168,HN!AD168,HN!AJ168,HN!AP168)))</f>
        <v>0</v>
      </c>
    </row>
    <row r="169" spans="1:12">
      <c r="A169">
        <f>SUMPRODUCT((MONTH(CHOOSE({1,2,3,4},HN!U169,HN!AA169,HN!AG169,HN!AM169))=1)*(CHOOSE({1,2,3,4},HN!X169,HN!AD169,HN!AJ169,HN!AP169)))</f>
        <v>0</v>
      </c>
      <c r="B169">
        <f>SUMPRODUCT((MONTH(CHOOSE({1,2,3,4},HN!U169,HN!AA169,HN!AG169,HN!AM169))=2)*(CHOOSE({1,2,3,4},HN!X169,HN!AD169,HN!AJ169,HN!AP169)))</f>
        <v>0</v>
      </c>
      <c r="C169">
        <f>SUMPRODUCT((MONTH(CHOOSE({1,2,3,4},HN!U169,HN!AA169,HN!AG169,HN!AM169))=3)*(CHOOSE({1,2,3,4},HN!X169,HN!AD169,HN!AJ169,HN!AP169)))</f>
        <v>0</v>
      </c>
      <c r="D169">
        <f>SUMPRODUCT((MONTH(CHOOSE({1,2,3,4},HN!U169,HN!AA169,HN!AG169,HN!AM169))=4)*(CHOOSE({1,2,3,4},HN!X169,HN!AD169,HN!AJ169,HN!AP169)))</f>
        <v>0</v>
      </c>
      <c r="E169">
        <f>SUMPRODUCT((MONTH(CHOOSE({1,2,3,4},HN!U169,HN!AA169,HN!AG169,HN!AM169))=5)*(CHOOSE({1,2,3,4},HN!X169,HN!AD169,HN!AJ169,HN!AP169)))</f>
        <v>0</v>
      </c>
      <c r="F169">
        <f>SUMPRODUCT((MONTH(CHOOSE({1,2,3,4},HN!U169,HN!AA169,HN!AG169,HN!AM169))=6)*(CHOOSE({1,2,3,4},HN!X169,HN!AD169,HN!AJ169,HN!AP169)))</f>
        <v>0</v>
      </c>
      <c r="G169">
        <f>SUMPRODUCT((MONTH(CHOOSE({1,2,3,4},HN!U169,HN!AA169,HN!AG169,HN!AM169))=7)*(CHOOSE({1,2,3,4},HN!X169,HN!AD169,HN!AJ169,HN!AP169)))</f>
        <v>0</v>
      </c>
      <c r="H169">
        <f>SUMPRODUCT((MONTH(CHOOSE({1,2,3,4},HN!U169,HN!AA169,HN!AG169,HN!AM169))=8)*(CHOOSE({1,2,3,4},HN!X169,HN!AD169,HN!AJ169,HN!AP169)))</f>
        <v>0</v>
      </c>
      <c r="I169">
        <f>SUMPRODUCT((MONTH(CHOOSE({1,2,3,4},HN!U169,HN!AA169,HN!AG169,HN!AM169))=9)*(CHOOSE({1,2,3,4},HN!X169,HN!AD169,HN!AJ169,HN!AP169)))</f>
        <v>0</v>
      </c>
      <c r="J169">
        <f>SUMPRODUCT((MONTH(CHOOSE({1,2,3,4},HN!U169,HN!AA169,HN!AG169,HN!AM169))=10)*(CHOOSE({1,2,3,4},HN!X169,HN!AD169,HN!AJ169,HN!AP169)))</f>
        <v>0</v>
      </c>
      <c r="K169">
        <f>SUMPRODUCT((MONTH(CHOOSE({1,2,3,4},HN!U169,HN!AA169,HN!AG169,HN!AM169))=11)*(CHOOSE({1,2,3,4},HN!X169,HN!AD169,HN!AJ169,HN!AP169)))</f>
        <v>0</v>
      </c>
      <c r="L169">
        <f>SUMPRODUCT((MONTH(CHOOSE({1,2,3,4},HN!U169,HN!AA169,HN!AG169,HN!AM169))=12)*(CHOOSE({1,2,3,4},HN!X169,HN!AD169,HN!AJ169,HN!AP169)))</f>
        <v>0</v>
      </c>
    </row>
    <row r="170" spans="1:12">
      <c r="A170">
        <f>SUMPRODUCT((MONTH(CHOOSE({1,2,3,4},HN!U170,HN!AA170,HN!AG170,HN!AM170))=1)*(CHOOSE({1,2,3,4},HN!X170,HN!AD170,HN!AJ170,HN!AP170)))</f>
        <v>0</v>
      </c>
      <c r="B170">
        <f>SUMPRODUCT((MONTH(CHOOSE({1,2,3,4},HN!U170,HN!AA170,HN!AG170,HN!AM170))=2)*(CHOOSE({1,2,3,4},HN!X170,HN!AD170,HN!AJ170,HN!AP170)))</f>
        <v>0</v>
      </c>
      <c r="C170">
        <f>SUMPRODUCT((MONTH(CHOOSE({1,2,3,4},HN!U170,HN!AA170,HN!AG170,HN!AM170))=3)*(CHOOSE({1,2,3,4},HN!X170,HN!AD170,HN!AJ170,HN!AP170)))</f>
        <v>0</v>
      </c>
      <c r="D170">
        <f>SUMPRODUCT((MONTH(CHOOSE({1,2,3,4},HN!U170,HN!AA170,HN!AG170,HN!AM170))=4)*(CHOOSE({1,2,3,4},HN!X170,HN!AD170,HN!AJ170,HN!AP170)))</f>
        <v>0</v>
      </c>
      <c r="E170">
        <f>SUMPRODUCT((MONTH(CHOOSE({1,2,3,4},HN!U170,HN!AA170,HN!AG170,HN!AM170))=5)*(CHOOSE({1,2,3,4},HN!X170,HN!AD170,HN!AJ170,HN!AP170)))</f>
        <v>0</v>
      </c>
      <c r="F170">
        <f>SUMPRODUCT((MONTH(CHOOSE({1,2,3,4},HN!U170,HN!AA170,HN!AG170,HN!AM170))=6)*(CHOOSE({1,2,3,4},HN!X170,HN!AD170,HN!AJ170,HN!AP170)))</f>
        <v>0</v>
      </c>
      <c r="G170">
        <f>SUMPRODUCT((MONTH(CHOOSE({1,2,3,4},HN!U170,HN!AA170,HN!AG170,HN!AM170))=7)*(CHOOSE({1,2,3,4},HN!X170,HN!AD170,HN!AJ170,HN!AP170)))</f>
        <v>0</v>
      </c>
      <c r="H170">
        <f>SUMPRODUCT((MONTH(CHOOSE({1,2,3,4},HN!U170,HN!AA170,HN!AG170,HN!AM170))=8)*(CHOOSE({1,2,3,4},HN!X170,HN!AD170,HN!AJ170,HN!AP170)))</f>
        <v>0</v>
      </c>
      <c r="I170">
        <f>SUMPRODUCT((MONTH(CHOOSE({1,2,3,4},HN!U170,HN!AA170,HN!AG170,HN!AM170))=9)*(CHOOSE({1,2,3,4},HN!X170,HN!AD170,HN!AJ170,HN!AP170)))</f>
        <v>0</v>
      </c>
      <c r="J170">
        <f>SUMPRODUCT((MONTH(CHOOSE({1,2,3,4},HN!U170,HN!AA170,HN!AG170,HN!AM170))=10)*(CHOOSE({1,2,3,4},HN!X170,HN!AD170,HN!AJ170,HN!AP170)))</f>
        <v>0</v>
      </c>
      <c r="K170">
        <f>SUMPRODUCT((MONTH(CHOOSE({1,2,3,4},HN!U170,HN!AA170,HN!AG170,HN!AM170))=11)*(CHOOSE({1,2,3,4},HN!X170,HN!AD170,HN!AJ170,HN!AP170)))</f>
        <v>0</v>
      </c>
      <c r="L170">
        <f>SUMPRODUCT((MONTH(CHOOSE({1,2,3,4},HN!U170,HN!AA170,HN!AG170,HN!AM170))=12)*(CHOOSE({1,2,3,4},HN!X170,HN!AD170,HN!AJ170,HN!AP170)))</f>
        <v>0</v>
      </c>
    </row>
    <row r="171" spans="1:12">
      <c r="A171">
        <f>SUMPRODUCT((MONTH(CHOOSE({1,2,3,4},HN!U171,HN!AA171,HN!AG171,HN!AM171))=1)*(CHOOSE({1,2,3,4},HN!X171,HN!AD171,HN!AJ171,HN!AP171)))</f>
        <v>0</v>
      </c>
      <c r="B171">
        <f>SUMPRODUCT((MONTH(CHOOSE({1,2,3,4},HN!U171,HN!AA171,HN!AG171,HN!AM171))=2)*(CHOOSE({1,2,3,4},HN!X171,HN!AD171,HN!AJ171,HN!AP171)))</f>
        <v>0</v>
      </c>
      <c r="C171">
        <f>SUMPRODUCT((MONTH(CHOOSE({1,2,3,4},HN!U171,HN!AA171,HN!AG171,HN!AM171))=3)*(CHOOSE({1,2,3,4},HN!X171,HN!AD171,HN!AJ171,HN!AP171)))</f>
        <v>0</v>
      </c>
      <c r="D171">
        <f>SUMPRODUCT((MONTH(CHOOSE({1,2,3,4},HN!U171,HN!AA171,HN!AG171,HN!AM171))=4)*(CHOOSE({1,2,3,4},HN!X171,HN!AD171,HN!AJ171,HN!AP171)))</f>
        <v>0</v>
      </c>
      <c r="E171">
        <f>SUMPRODUCT((MONTH(CHOOSE({1,2,3,4},HN!U171,HN!AA171,HN!AG171,HN!AM171))=5)*(CHOOSE({1,2,3,4},HN!X171,HN!AD171,HN!AJ171,HN!AP171)))</f>
        <v>0</v>
      </c>
      <c r="F171">
        <f>SUMPRODUCT((MONTH(CHOOSE({1,2,3,4},HN!U171,HN!AA171,HN!AG171,HN!AM171))=6)*(CHOOSE({1,2,3,4},HN!X171,HN!AD171,HN!AJ171,HN!AP171)))</f>
        <v>0</v>
      </c>
      <c r="G171">
        <f>SUMPRODUCT((MONTH(CHOOSE({1,2,3,4},HN!U171,HN!AA171,HN!AG171,HN!AM171))=7)*(CHOOSE({1,2,3,4},HN!X171,HN!AD171,HN!AJ171,HN!AP171)))</f>
        <v>0</v>
      </c>
      <c r="H171">
        <f>SUMPRODUCT((MONTH(CHOOSE({1,2,3,4},HN!U171,HN!AA171,HN!AG171,HN!AM171))=8)*(CHOOSE({1,2,3,4},HN!X171,HN!AD171,HN!AJ171,HN!AP171)))</f>
        <v>0</v>
      </c>
      <c r="I171">
        <f>SUMPRODUCT((MONTH(CHOOSE({1,2,3,4},HN!U171,HN!AA171,HN!AG171,HN!AM171))=9)*(CHOOSE({1,2,3,4},HN!X171,HN!AD171,HN!AJ171,HN!AP171)))</f>
        <v>0</v>
      </c>
      <c r="J171">
        <f>SUMPRODUCT((MONTH(CHOOSE({1,2,3,4},HN!U171,HN!AA171,HN!AG171,HN!AM171))=10)*(CHOOSE({1,2,3,4},HN!X171,HN!AD171,HN!AJ171,HN!AP171)))</f>
        <v>0</v>
      </c>
      <c r="K171">
        <f>SUMPRODUCT((MONTH(CHOOSE({1,2,3,4},HN!U171,HN!AA171,HN!AG171,HN!AM171))=11)*(CHOOSE({1,2,3,4},HN!X171,HN!AD171,HN!AJ171,HN!AP171)))</f>
        <v>0</v>
      </c>
      <c r="L171">
        <f>SUMPRODUCT((MONTH(CHOOSE({1,2,3,4},HN!U171,HN!AA171,HN!AG171,HN!AM171))=12)*(CHOOSE({1,2,3,4},HN!X171,HN!AD171,HN!AJ171,HN!AP171)))</f>
        <v>0</v>
      </c>
    </row>
    <row r="172" spans="1:12">
      <c r="A172">
        <f>SUMPRODUCT((MONTH(CHOOSE({1,2,3,4},HN!U172,HN!AA172,HN!AG172,HN!AM172))=1)*(CHOOSE({1,2,3,4},HN!X172,HN!AD172,HN!AJ172,HN!AP172)))</f>
        <v>0</v>
      </c>
      <c r="B172">
        <f>SUMPRODUCT((MONTH(CHOOSE({1,2,3,4},HN!U172,HN!AA172,HN!AG172,HN!AM172))=2)*(CHOOSE({1,2,3,4},HN!X172,HN!AD172,HN!AJ172,HN!AP172)))</f>
        <v>0</v>
      </c>
      <c r="C172">
        <f>SUMPRODUCT((MONTH(CHOOSE({1,2,3,4},HN!U172,HN!AA172,HN!AG172,HN!AM172))=3)*(CHOOSE({1,2,3,4},HN!X172,HN!AD172,HN!AJ172,HN!AP172)))</f>
        <v>0</v>
      </c>
      <c r="D172">
        <f>SUMPRODUCT((MONTH(CHOOSE({1,2,3,4},HN!U172,HN!AA172,HN!AG172,HN!AM172))=4)*(CHOOSE({1,2,3,4},HN!X172,HN!AD172,HN!AJ172,HN!AP172)))</f>
        <v>0</v>
      </c>
      <c r="E172">
        <f>SUMPRODUCT((MONTH(CHOOSE({1,2,3,4},HN!U172,HN!AA172,HN!AG172,HN!AM172))=5)*(CHOOSE({1,2,3,4},HN!X172,HN!AD172,HN!AJ172,HN!AP172)))</f>
        <v>0</v>
      </c>
      <c r="F172">
        <f>SUMPRODUCT((MONTH(CHOOSE({1,2,3,4},HN!U172,HN!AA172,HN!AG172,HN!AM172))=6)*(CHOOSE({1,2,3,4},HN!X172,HN!AD172,HN!AJ172,HN!AP172)))</f>
        <v>0</v>
      </c>
      <c r="G172">
        <f>SUMPRODUCT((MONTH(CHOOSE({1,2,3,4},HN!U172,HN!AA172,HN!AG172,HN!AM172))=7)*(CHOOSE({1,2,3,4},HN!X172,HN!AD172,HN!AJ172,HN!AP172)))</f>
        <v>0</v>
      </c>
      <c r="H172">
        <f>SUMPRODUCT((MONTH(CHOOSE({1,2,3,4},HN!U172,HN!AA172,HN!AG172,HN!AM172))=8)*(CHOOSE({1,2,3,4},HN!X172,HN!AD172,HN!AJ172,HN!AP172)))</f>
        <v>0</v>
      </c>
      <c r="I172">
        <f>SUMPRODUCT((MONTH(CHOOSE({1,2,3,4},HN!U172,HN!AA172,HN!AG172,HN!AM172))=9)*(CHOOSE({1,2,3,4},HN!X172,HN!AD172,HN!AJ172,HN!AP172)))</f>
        <v>0</v>
      </c>
      <c r="J172">
        <f>SUMPRODUCT((MONTH(CHOOSE({1,2,3,4},HN!U172,HN!AA172,HN!AG172,HN!AM172))=10)*(CHOOSE({1,2,3,4},HN!X172,HN!AD172,HN!AJ172,HN!AP172)))</f>
        <v>0</v>
      </c>
      <c r="K172">
        <f>SUMPRODUCT((MONTH(CHOOSE({1,2,3,4},HN!U172,HN!AA172,HN!AG172,HN!AM172))=11)*(CHOOSE({1,2,3,4},HN!X172,HN!AD172,HN!AJ172,HN!AP172)))</f>
        <v>0</v>
      </c>
      <c r="L172">
        <f>SUMPRODUCT((MONTH(CHOOSE({1,2,3,4},HN!U172,HN!AA172,HN!AG172,HN!AM172))=12)*(CHOOSE({1,2,3,4},HN!X172,HN!AD172,HN!AJ172,HN!AP172)))</f>
        <v>0</v>
      </c>
    </row>
    <row r="173" spans="1:12">
      <c r="A173">
        <f>SUMPRODUCT((MONTH(CHOOSE({1,2,3,4},HN!U173,HN!AA173,HN!AG173,HN!AM173))=1)*(CHOOSE({1,2,3,4},HN!X173,HN!AD173,HN!AJ173,HN!AP173)))</f>
        <v>0</v>
      </c>
      <c r="B173">
        <f>SUMPRODUCT((MONTH(CHOOSE({1,2,3,4},HN!U173,HN!AA173,HN!AG173,HN!AM173))=2)*(CHOOSE({1,2,3,4},HN!X173,HN!AD173,HN!AJ173,HN!AP173)))</f>
        <v>0</v>
      </c>
      <c r="C173">
        <f>SUMPRODUCT((MONTH(CHOOSE({1,2,3,4},HN!U173,HN!AA173,HN!AG173,HN!AM173))=3)*(CHOOSE({1,2,3,4},HN!X173,HN!AD173,HN!AJ173,HN!AP173)))</f>
        <v>0</v>
      </c>
      <c r="D173">
        <f>SUMPRODUCT((MONTH(CHOOSE({1,2,3,4},HN!U173,HN!AA173,HN!AG173,HN!AM173))=4)*(CHOOSE({1,2,3,4},HN!X173,HN!AD173,HN!AJ173,HN!AP173)))</f>
        <v>0</v>
      </c>
      <c r="E173">
        <f>SUMPRODUCT((MONTH(CHOOSE({1,2,3,4},HN!U173,HN!AA173,HN!AG173,HN!AM173))=5)*(CHOOSE({1,2,3,4},HN!X173,HN!AD173,HN!AJ173,HN!AP173)))</f>
        <v>0</v>
      </c>
      <c r="F173">
        <f>SUMPRODUCT((MONTH(CHOOSE({1,2,3,4},HN!U173,HN!AA173,HN!AG173,HN!AM173))=6)*(CHOOSE({1,2,3,4},HN!X173,HN!AD173,HN!AJ173,HN!AP173)))</f>
        <v>0</v>
      </c>
      <c r="G173">
        <f>SUMPRODUCT((MONTH(CHOOSE({1,2,3,4},HN!U173,HN!AA173,HN!AG173,HN!AM173))=7)*(CHOOSE({1,2,3,4},HN!X173,HN!AD173,HN!AJ173,HN!AP173)))</f>
        <v>0</v>
      </c>
      <c r="H173">
        <f>SUMPRODUCT((MONTH(CHOOSE({1,2,3,4},HN!U173,HN!AA173,HN!AG173,HN!AM173))=8)*(CHOOSE({1,2,3,4},HN!X173,HN!AD173,HN!AJ173,HN!AP173)))</f>
        <v>0</v>
      </c>
      <c r="I173">
        <f>SUMPRODUCT((MONTH(CHOOSE({1,2,3,4},HN!U173,HN!AA173,HN!AG173,HN!AM173))=9)*(CHOOSE({1,2,3,4},HN!X173,HN!AD173,HN!AJ173,HN!AP173)))</f>
        <v>0</v>
      </c>
      <c r="J173">
        <f>SUMPRODUCT((MONTH(CHOOSE({1,2,3,4},HN!U173,HN!AA173,HN!AG173,HN!AM173))=10)*(CHOOSE({1,2,3,4},HN!X173,HN!AD173,HN!AJ173,HN!AP173)))</f>
        <v>0</v>
      </c>
      <c r="K173">
        <f>SUMPRODUCT((MONTH(CHOOSE({1,2,3,4},HN!U173,HN!AA173,HN!AG173,HN!AM173))=11)*(CHOOSE({1,2,3,4},HN!X173,HN!AD173,HN!AJ173,HN!AP173)))</f>
        <v>0</v>
      </c>
      <c r="L173">
        <f>SUMPRODUCT((MONTH(CHOOSE({1,2,3,4},HN!U173,HN!AA173,HN!AG173,HN!AM173))=12)*(CHOOSE({1,2,3,4},HN!X173,HN!AD173,HN!AJ173,HN!AP173)))</f>
        <v>0</v>
      </c>
    </row>
    <row r="174" spans="1:12">
      <c r="A174">
        <f>SUMPRODUCT((MONTH(CHOOSE({1,2,3,4},HN!U174,HN!AA174,HN!AG174,HN!AM174))=1)*(CHOOSE({1,2,3,4},HN!X174,HN!AD174,HN!AJ174,HN!AP174)))</f>
        <v>0</v>
      </c>
      <c r="B174">
        <f>SUMPRODUCT((MONTH(CHOOSE({1,2,3,4},HN!U174,HN!AA174,HN!AG174,HN!AM174))=2)*(CHOOSE({1,2,3,4},HN!X174,HN!AD174,HN!AJ174,HN!AP174)))</f>
        <v>0</v>
      </c>
      <c r="C174">
        <f>SUMPRODUCT((MONTH(CHOOSE({1,2,3,4},HN!U174,HN!AA174,HN!AG174,HN!AM174))=3)*(CHOOSE({1,2,3,4},HN!X174,HN!AD174,HN!AJ174,HN!AP174)))</f>
        <v>0</v>
      </c>
      <c r="D174">
        <f>SUMPRODUCT((MONTH(CHOOSE({1,2,3,4},HN!U174,HN!AA174,HN!AG174,HN!AM174))=4)*(CHOOSE({1,2,3,4},HN!X174,HN!AD174,HN!AJ174,HN!AP174)))</f>
        <v>0</v>
      </c>
      <c r="E174">
        <f>SUMPRODUCT((MONTH(CHOOSE({1,2,3,4},HN!U174,HN!AA174,HN!AG174,HN!AM174))=5)*(CHOOSE({1,2,3,4},HN!X174,HN!AD174,HN!AJ174,HN!AP174)))</f>
        <v>0</v>
      </c>
      <c r="F174">
        <f>SUMPRODUCT((MONTH(CHOOSE({1,2,3,4},HN!U174,HN!AA174,HN!AG174,HN!AM174))=6)*(CHOOSE({1,2,3,4},HN!X174,HN!AD174,HN!AJ174,HN!AP174)))</f>
        <v>0</v>
      </c>
      <c r="G174">
        <f>SUMPRODUCT((MONTH(CHOOSE({1,2,3,4},HN!U174,HN!AA174,HN!AG174,HN!AM174))=7)*(CHOOSE({1,2,3,4},HN!X174,HN!AD174,HN!AJ174,HN!AP174)))</f>
        <v>0</v>
      </c>
      <c r="H174">
        <f>SUMPRODUCT((MONTH(CHOOSE({1,2,3,4},HN!U174,HN!AA174,HN!AG174,HN!AM174))=8)*(CHOOSE({1,2,3,4},HN!X174,HN!AD174,HN!AJ174,HN!AP174)))</f>
        <v>0</v>
      </c>
      <c r="I174">
        <f>SUMPRODUCT((MONTH(CHOOSE({1,2,3,4},HN!U174,HN!AA174,HN!AG174,HN!AM174))=9)*(CHOOSE({1,2,3,4},HN!X174,HN!AD174,HN!AJ174,HN!AP174)))</f>
        <v>0</v>
      </c>
      <c r="J174">
        <f>SUMPRODUCT((MONTH(CHOOSE({1,2,3,4},HN!U174,HN!AA174,HN!AG174,HN!AM174))=10)*(CHOOSE({1,2,3,4},HN!X174,HN!AD174,HN!AJ174,HN!AP174)))</f>
        <v>0</v>
      </c>
      <c r="K174">
        <f>SUMPRODUCT((MONTH(CHOOSE({1,2,3,4},HN!U174,HN!AA174,HN!AG174,HN!AM174))=11)*(CHOOSE({1,2,3,4},HN!X174,HN!AD174,HN!AJ174,HN!AP174)))</f>
        <v>0</v>
      </c>
      <c r="L174">
        <f>SUMPRODUCT((MONTH(CHOOSE({1,2,3,4},HN!U174,HN!AA174,HN!AG174,HN!AM174))=12)*(CHOOSE({1,2,3,4},HN!X174,HN!AD174,HN!AJ174,HN!AP174)))</f>
        <v>0</v>
      </c>
    </row>
    <row r="175" spans="1:12">
      <c r="A175">
        <f>SUMPRODUCT((MONTH(CHOOSE({1,2,3,4},HN!U175,HN!AA175,HN!AG175,HN!AM175))=1)*(CHOOSE({1,2,3,4},HN!X175,HN!AD175,HN!AJ175,HN!AP175)))</f>
        <v>0</v>
      </c>
      <c r="B175">
        <f>SUMPRODUCT((MONTH(CHOOSE({1,2,3,4},HN!U175,HN!AA175,HN!AG175,HN!AM175))=2)*(CHOOSE({1,2,3,4},HN!X175,HN!AD175,HN!AJ175,HN!AP175)))</f>
        <v>0</v>
      </c>
      <c r="C175">
        <f>SUMPRODUCT((MONTH(CHOOSE({1,2,3,4},HN!U175,HN!AA175,HN!AG175,HN!AM175))=3)*(CHOOSE({1,2,3,4},HN!X175,HN!AD175,HN!AJ175,HN!AP175)))</f>
        <v>0</v>
      </c>
      <c r="D175">
        <f>SUMPRODUCT((MONTH(CHOOSE({1,2,3,4},HN!U175,HN!AA175,HN!AG175,HN!AM175))=4)*(CHOOSE({1,2,3,4},HN!X175,HN!AD175,HN!AJ175,HN!AP175)))</f>
        <v>0</v>
      </c>
      <c r="E175">
        <f>SUMPRODUCT((MONTH(CHOOSE({1,2,3,4},HN!U175,HN!AA175,HN!AG175,HN!AM175))=5)*(CHOOSE({1,2,3,4},HN!X175,HN!AD175,HN!AJ175,HN!AP175)))</f>
        <v>0</v>
      </c>
      <c r="F175">
        <f>SUMPRODUCT((MONTH(CHOOSE({1,2,3,4},HN!U175,HN!AA175,HN!AG175,HN!AM175))=6)*(CHOOSE({1,2,3,4},HN!X175,HN!AD175,HN!AJ175,HN!AP175)))</f>
        <v>0</v>
      </c>
      <c r="G175">
        <f>SUMPRODUCT((MONTH(CHOOSE({1,2,3,4},HN!U175,HN!AA175,HN!AG175,HN!AM175))=7)*(CHOOSE({1,2,3,4},HN!X175,HN!AD175,HN!AJ175,HN!AP175)))</f>
        <v>0</v>
      </c>
      <c r="H175">
        <f>SUMPRODUCT((MONTH(CHOOSE({1,2,3,4},HN!U175,HN!AA175,HN!AG175,HN!AM175))=8)*(CHOOSE({1,2,3,4},HN!X175,HN!AD175,HN!AJ175,HN!AP175)))</f>
        <v>0</v>
      </c>
      <c r="I175">
        <f>SUMPRODUCT((MONTH(CHOOSE({1,2,3,4},HN!U175,HN!AA175,HN!AG175,HN!AM175))=9)*(CHOOSE({1,2,3,4},HN!X175,HN!AD175,HN!AJ175,HN!AP175)))</f>
        <v>0</v>
      </c>
      <c r="J175">
        <f>SUMPRODUCT((MONTH(CHOOSE({1,2,3,4},HN!U175,HN!AA175,HN!AG175,HN!AM175))=10)*(CHOOSE({1,2,3,4},HN!X175,HN!AD175,HN!AJ175,HN!AP175)))</f>
        <v>0</v>
      </c>
      <c r="K175">
        <f>SUMPRODUCT((MONTH(CHOOSE({1,2,3,4},HN!U175,HN!AA175,HN!AG175,HN!AM175))=11)*(CHOOSE({1,2,3,4},HN!X175,HN!AD175,HN!AJ175,HN!AP175)))</f>
        <v>0</v>
      </c>
      <c r="L175">
        <f>SUMPRODUCT((MONTH(CHOOSE({1,2,3,4},HN!U175,HN!AA175,HN!AG175,HN!AM175))=12)*(CHOOSE({1,2,3,4},HN!X175,HN!AD175,HN!AJ175,HN!AP175)))</f>
        <v>0</v>
      </c>
    </row>
    <row r="176" spans="1:12">
      <c r="A176">
        <f>SUMPRODUCT((MONTH(CHOOSE({1,2,3,4},HN!U176,HN!AA176,HN!AG176,HN!AM176))=1)*(CHOOSE({1,2,3,4},HN!X176,HN!AD176,HN!AJ176,HN!AP176)))</f>
        <v>0</v>
      </c>
      <c r="B176">
        <f>SUMPRODUCT((MONTH(CHOOSE({1,2,3,4},HN!U176,HN!AA176,HN!AG176,HN!AM176))=2)*(CHOOSE({1,2,3,4},HN!X176,HN!AD176,HN!AJ176,HN!AP176)))</f>
        <v>0</v>
      </c>
      <c r="C176">
        <f>SUMPRODUCT((MONTH(CHOOSE({1,2,3,4},HN!U176,HN!AA176,HN!AG176,HN!AM176))=3)*(CHOOSE({1,2,3,4},HN!X176,HN!AD176,HN!AJ176,HN!AP176)))</f>
        <v>0</v>
      </c>
      <c r="D176">
        <f>SUMPRODUCT((MONTH(CHOOSE({1,2,3,4},HN!U176,HN!AA176,HN!AG176,HN!AM176))=4)*(CHOOSE({1,2,3,4},HN!X176,HN!AD176,HN!AJ176,HN!AP176)))</f>
        <v>0</v>
      </c>
      <c r="E176">
        <f>SUMPRODUCT((MONTH(CHOOSE({1,2,3,4},HN!U176,HN!AA176,HN!AG176,HN!AM176))=5)*(CHOOSE({1,2,3,4},HN!X176,HN!AD176,HN!AJ176,HN!AP176)))</f>
        <v>0</v>
      </c>
      <c r="F176">
        <f>SUMPRODUCT((MONTH(CHOOSE({1,2,3,4},HN!U176,HN!AA176,HN!AG176,HN!AM176))=6)*(CHOOSE({1,2,3,4},HN!X176,HN!AD176,HN!AJ176,HN!AP176)))</f>
        <v>0</v>
      </c>
      <c r="G176">
        <f>SUMPRODUCT((MONTH(CHOOSE({1,2,3,4},HN!U176,HN!AA176,HN!AG176,HN!AM176))=7)*(CHOOSE({1,2,3,4},HN!X176,HN!AD176,HN!AJ176,HN!AP176)))</f>
        <v>0</v>
      </c>
      <c r="H176">
        <f>SUMPRODUCT((MONTH(CHOOSE({1,2,3,4},HN!U176,HN!AA176,HN!AG176,HN!AM176))=8)*(CHOOSE({1,2,3,4},HN!X176,HN!AD176,HN!AJ176,HN!AP176)))</f>
        <v>0</v>
      </c>
      <c r="I176">
        <f>SUMPRODUCT((MONTH(CHOOSE({1,2,3,4},HN!U176,HN!AA176,HN!AG176,HN!AM176))=9)*(CHOOSE({1,2,3,4},HN!X176,HN!AD176,HN!AJ176,HN!AP176)))</f>
        <v>0</v>
      </c>
      <c r="J176">
        <f>SUMPRODUCT((MONTH(CHOOSE({1,2,3,4},HN!U176,HN!AA176,HN!AG176,HN!AM176))=10)*(CHOOSE({1,2,3,4},HN!X176,HN!AD176,HN!AJ176,HN!AP176)))</f>
        <v>0</v>
      </c>
      <c r="K176">
        <f>SUMPRODUCT((MONTH(CHOOSE({1,2,3,4},HN!U176,HN!AA176,HN!AG176,HN!AM176))=11)*(CHOOSE({1,2,3,4},HN!X176,HN!AD176,HN!AJ176,HN!AP176)))</f>
        <v>0</v>
      </c>
      <c r="L176">
        <f>SUMPRODUCT((MONTH(CHOOSE({1,2,3,4},HN!U176,HN!AA176,HN!AG176,HN!AM176))=12)*(CHOOSE({1,2,3,4},HN!X176,HN!AD176,HN!AJ176,HN!AP176)))</f>
        <v>0</v>
      </c>
    </row>
    <row r="177" spans="1:12">
      <c r="A177">
        <f>SUMPRODUCT((MONTH(CHOOSE({1,2,3,4},HN!U177,HN!AA177,HN!AG177,HN!AM177))=1)*(CHOOSE({1,2,3,4},HN!X177,HN!AD177,HN!AJ177,HN!AP177)))</f>
        <v>0</v>
      </c>
      <c r="B177">
        <f>SUMPRODUCT((MONTH(CHOOSE({1,2,3,4},HN!U177,HN!AA177,HN!AG177,HN!AM177))=2)*(CHOOSE({1,2,3,4},HN!X177,HN!AD177,HN!AJ177,HN!AP177)))</f>
        <v>0</v>
      </c>
      <c r="C177">
        <f>SUMPRODUCT((MONTH(CHOOSE({1,2,3,4},HN!U177,HN!AA177,HN!AG177,HN!AM177))=3)*(CHOOSE({1,2,3,4},HN!X177,HN!AD177,HN!AJ177,HN!AP177)))</f>
        <v>0</v>
      </c>
      <c r="D177">
        <f>SUMPRODUCT((MONTH(CHOOSE({1,2,3,4},HN!U177,HN!AA177,HN!AG177,HN!AM177))=4)*(CHOOSE({1,2,3,4},HN!X177,HN!AD177,HN!AJ177,HN!AP177)))</f>
        <v>0</v>
      </c>
      <c r="E177">
        <f>SUMPRODUCT((MONTH(CHOOSE({1,2,3,4},HN!U177,HN!AA177,HN!AG177,HN!AM177))=5)*(CHOOSE({1,2,3,4},HN!X177,HN!AD177,HN!AJ177,HN!AP177)))</f>
        <v>0</v>
      </c>
      <c r="F177">
        <f>SUMPRODUCT((MONTH(CHOOSE({1,2,3,4},HN!U177,HN!AA177,HN!AG177,HN!AM177))=6)*(CHOOSE({1,2,3,4},HN!X177,HN!AD177,HN!AJ177,HN!AP177)))</f>
        <v>0</v>
      </c>
      <c r="G177">
        <f>SUMPRODUCT((MONTH(CHOOSE({1,2,3,4},HN!U177,HN!AA177,HN!AG177,HN!AM177))=7)*(CHOOSE({1,2,3,4},HN!X177,HN!AD177,HN!AJ177,HN!AP177)))</f>
        <v>0</v>
      </c>
      <c r="H177">
        <f>SUMPRODUCT((MONTH(CHOOSE({1,2,3,4},HN!U177,HN!AA177,HN!AG177,HN!AM177))=8)*(CHOOSE({1,2,3,4},HN!X177,HN!AD177,HN!AJ177,HN!AP177)))</f>
        <v>0</v>
      </c>
      <c r="I177">
        <f>SUMPRODUCT((MONTH(CHOOSE({1,2,3,4},HN!U177,HN!AA177,HN!AG177,HN!AM177))=9)*(CHOOSE({1,2,3,4},HN!X177,HN!AD177,HN!AJ177,HN!AP177)))</f>
        <v>0</v>
      </c>
      <c r="J177">
        <f>SUMPRODUCT((MONTH(CHOOSE({1,2,3,4},HN!U177,HN!AA177,HN!AG177,HN!AM177))=10)*(CHOOSE({1,2,3,4},HN!X177,HN!AD177,HN!AJ177,HN!AP177)))</f>
        <v>0</v>
      </c>
      <c r="K177">
        <f>SUMPRODUCT((MONTH(CHOOSE({1,2,3,4},HN!U177,HN!AA177,HN!AG177,HN!AM177))=11)*(CHOOSE({1,2,3,4},HN!X177,HN!AD177,HN!AJ177,HN!AP177)))</f>
        <v>0</v>
      </c>
      <c r="L177">
        <f>SUMPRODUCT((MONTH(CHOOSE({1,2,3,4},HN!U177,HN!AA177,HN!AG177,HN!AM177))=12)*(CHOOSE({1,2,3,4},HN!X177,HN!AD177,HN!AJ177,HN!AP177)))</f>
        <v>0</v>
      </c>
    </row>
    <row r="178" spans="1:12">
      <c r="A178">
        <f>SUMPRODUCT((MONTH(CHOOSE({1,2,3,4},HN!U178,HN!AA178,HN!AG178,HN!AM178))=1)*(CHOOSE({1,2,3,4},HN!X178,HN!AD178,HN!AJ178,HN!AP178)))</f>
        <v>0</v>
      </c>
      <c r="B178">
        <f>SUMPRODUCT((MONTH(CHOOSE({1,2,3,4},HN!U178,HN!AA178,HN!AG178,HN!AM178))=2)*(CHOOSE({1,2,3,4},HN!X178,HN!AD178,HN!AJ178,HN!AP178)))</f>
        <v>0</v>
      </c>
      <c r="C178">
        <f>SUMPRODUCT((MONTH(CHOOSE({1,2,3,4},HN!U178,HN!AA178,HN!AG178,HN!AM178))=3)*(CHOOSE({1,2,3,4},HN!X178,HN!AD178,HN!AJ178,HN!AP178)))</f>
        <v>0</v>
      </c>
      <c r="D178">
        <f>SUMPRODUCT((MONTH(CHOOSE({1,2,3,4},HN!U178,HN!AA178,HN!AG178,HN!AM178))=4)*(CHOOSE({1,2,3,4},HN!X178,HN!AD178,HN!AJ178,HN!AP178)))</f>
        <v>0</v>
      </c>
      <c r="E178">
        <f>SUMPRODUCT((MONTH(CHOOSE({1,2,3,4},HN!U178,HN!AA178,HN!AG178,HN!AM178))=5)*(CHOOSE({1,2,3,4},HN!X178,HN!AD178,HN!AJ178,HN!AP178)))</f>
        <v>0</v>
      </c>
      <c r="F178">
        <f>SUMPRODUCT((MONTH(CHOOSE({1,2,3,4},HN!U178,HN!AA178,HN!AG178,HN!AM178))=6)*(CHOOSE({1,2,3,4},HN!X178,HN!AD178,HN!AJ178,HN!AP178)))</f>
        <v>0</v>
      </c>
      <c r="G178">
        <f>SUMPRODUCT((MONTH(CHOOSE({1,2,3,4},HN!U178,HN!AA178,HN!AG178,HN!AM178))=7)*(CHOOSE({1,2,3,4},HN!X178,HN!AD178,HN!AJ178,HN!AP178)))</f>
        <v>0</v>
      </c>
      <c r="H178">
        <f>SUMPRODUCT((MONTH(CHOOSE({1,2,3,4},HN!U178,HN!AA178,HN!AG178,HN!AM178))=8)*(CHOOSE({1,2,3,4},HN!X178,HN!AD178,HN!AJ178,HN!AP178)))</f>
        <v>0</v>
      </c>
      <c r="I178">
        <f>SUMPRODUCT((MONTH(CHOOSE({1,2,3,4},HN!U178,HN!AA178,HN!AG178,HN!AM178))=9)*(CHOOSE({1,2,3,4},HN!X178,HN!AD178,HN!AJ178,HN!AP178)))</f>
        <v>0</v>
      </c>
      <c r="J178">
        <f>SUMPRODUCT((MONTH(CHOOSE({1,2,3,4},HN!U178,HN!AA178,HN!AG178,HN!AM178))=10)*(CHOOSE({1,2,3,4},HN!X178,HN!AD178,HN!AJ178,HN!AP178)))</f>
        <v>0</v>
      </c>
      <c r="K178">
        <f>SUMPRODUCT((MONTH(CHOOSE({1,2,3,4},HN!U178,HN!AA178,HN!AG178,HN!AM178))=11)*(CHOOSE({1,2,3,4},HN!X178,HN!AD178,HN!AJ178,HN!AP178)))</f>
        <v>0</v>
      </c>
      <c r="L178">
        <f>SUMPRODUCT((MONTH(CHOOSE({1,2,3,4},HN!U178,HN!AA178,HN!AG178,HN!AM178))=12)*(CHOOSE({1,2,3,4},HN!X178,HN!AD178,HN!AJ178,HN!AP178)))</f>
        <v>0</v>
      </c>
    </row>
    <row r="179" spans="1:12">
      <c r="A179">
        <f>SUMPRODUCT((MONTH(CHOOSE({1,2,3,4},HN!U179,HN!AA179,HN!AG179,HN!AM179))=1)*(CHOOSE({1,2,3,4},HN!X179,HN!AD179,HN!AJ179,HN!AP179)))</f>
        <v>0</v>
      </c>
      <c r="B179">
        <f>SUMPRODUCT((MONTH(CHOOSE({1,2,3,4},HN!U179,HN!AA179,HN!AG179,HN!AM179))=2)*(CHOOSE({1,2,3,4},HN!X179,HN!AD179,HN!AJ179,HN!AP179)))</f>
        <v>0</v>
      </c>
      <c r="C179">
        <f>SUMPRODUCT((MONTH(CHOOSE({1,2,3,4},HN!U179,HN!AA179,HN!AG179,HN!AM179))=3)*(CHOOSE({1,2,3,4},HN!X179,HN!AD179,HN!AJ179,HN!AP179)))</f>
        <v>0</v>
      </c>
      <c r="D179">
        <f>SUMPRODUCT((MONTH(CHOOSE({1,2,3,4},HN!U179,HN!AA179,HN!AG179,HN!AM179))=4)*(CHOOSE({1,2,3,4},HN!X179,HN!AD179,HN!AJ179,HN!AP179)))</f>
        <v>0</v>
      </c>
      <c r="E179">
        <f>SUMPRODUCT((MONTH(CHOOSE({1,2,3,4},HN!U179,HN!AA179,HN!AG179,HN!AM179))=5)*(CHOOSE({1,2,3,4},HN!X179,HN!AD179,HN!AJ179,HN!AP179)))</f>
        <v>0</v>
      </c>
      <c r="F179">
        <f>SUMPRODUCT((MONTH(CHOOSE({1,2,3,4},HN!U179,HN!AA179,HN!AG179,HN!AM179))=6)*(CHOOSE({1,2,3,4},HN!X179,HN!AD179,HN!AJ179,HN!AP179)))</f>
        <v>0</v>
      </c>
      <c r="G179">
        <f>SUMPRODUCT((MONTH(CHOOSE({1,2,3,4},HN!U179,HN!AA179,HN!AG179,HN!AM179))=7)*(CHOOSE({1,2,3,4},HN!X179,HN!AD179,HN!AJ179,HN!AP179)))</f>
        <v>0</v>
      </c>
      <c r="H179">
        <f>SUMPRODUCT((MONTH(CHOOSE({1,2,3,4},HN!U179,HN!AA179,HN!AG179,HN!AM179))=8)*(CHOOSE({1,2,3,4},HN!X179,HN!AD179,HN!AJ179,HN!AP179)))</f>
        <v>0</v>
      </c>
      <c r="I179">
        <f>SUMPRODUCT((MONTH(CHOOSE({1,2,3,4},HN!U179,HN!AA179,HN!AG179,HN!AM179))=9)*(CHOOSE({1,2,3,4},HN!X179,HN!AD179,HN!AJ179,HN!AP179)))</f>
        <v>0</v>
      </c>
      <c r="J179">
        <f>SUMPRODUCT((MONTH(CHOOSE({1,2,3,4},HN!U179,HN!AA179,HN!AG179,HN!AM179))=10)*(CHOOSE({1,2,3,4},HN!X179,HN!AD179,HN!AJ179,HN!AP179)))</f>
        <v>0</v>
      </c>
      <c r="K179">
        <f>SUMPRODUCT((MONTH(CHOOSE({1,2,3,4},HN!U179,HN!AA179,HN!AG179,HN!AM179))=11)*(CHOOSE({1,2,3,4},HN!X179,HN!AD179,HN!AJ179,HN!AP179)))</f>
        <v>0</v>
      </c>
      <c r="L179">
        <f>SUMPRODUCT((MONTH(CHOOSE({1,2,3,4},HN!U179,HN!AA179,HN!AG179,HN!AM179))=12)*(CHOOSE({1,2,3,4},HN!X179,HN!AD179,HN!AJ179,HN!AP179)))</f>
        <v>0</v>
      </c>
    </row>
    <row r="180" spans="1:12">
      <c r="A180">
        <f>SUMPRODUCT((MONTH(CHOOSE({1,2,3,4},HN!U180,HN!AA180,HN!AG180,HN!AM180))=1)*(CHOOSE({1,2,3,4},HN!X180,HN!AD180,HN!AJ180,HN!AP180)))</f>
        <v>0</v>
      </c>
      <c r="B180">
        <f>SUMPRODUCT((MONTH(CHOOSE({1,2,3,4},HN!U180,HN!AA180,HN!AG180,HN!AM180))=2)*(CHOOSE({1,2,3,4},HN!X180,HN!AD180,HN!AJ180,HN!AP180)))</f>
        <v>0</v>
      </c>
      <c r="C180">
        <f>SUMPRODUCT((MONTH(CHOOSE({1,2,3,4},HN!U180,HN!AA180,HN!AG180,HN!AM180))=3)*(CHOOSE({1,2,3,4},HN!X180,HN!AD180,HN!AJ180,HN!AP180)))</f>
        <v>0</v>
      </c>
      <c r="D180">
        <f>SUMPRODUCT((MONTH(CHOOSE({1,2,3,4},HN!U180,HN!AA180,HN!AG180,HN!AM180))=4)*(CHOOSE({1,2,3,4},HN!X180,HN!AD180,HN!AJ180,HN!AP180)))</f>
        <v>0</v>
      </c>
      <c r="E180">
        <f>SUMPRODUCT((MONTH(CHOOSE({1,2,3,4},HN!U180,HN!AA180,HN!AG180,HN!AM180))=5)*(CHOOSE({1,2,3,4},HN!X180,HN!AD180,HN!AJ180,HN!AP180)))</f>
        <v>0</v>
      </c>
      <c r="F180">
        <f>SUMPRODUCT((MONTH(CHOOSE({1,2,3,4},HN!U180,HN!AA180,HN!AG180,HN!AM180))=6)*(CHOOSE({1,2,3,4},HN!X180,HN!AD180,HN!AJ180,HN!AP180)))</f>
        <v>0</v>
      </c>
      <c r="G180">
        <f>SUMPRODUCT((MONTH(CHOOSE({1,2,3,4},HN!U180,HN!AA180,HN!AG180,HN!AM180))=7)*(CHOOSE({1,2,3,4},HN!X180,HN!AD180,HN!AJ180,HN!AP180)))</f>
        <v>0</v>
      </c>
      <c r="H180">
        <f>SUMPRODUCT((MONTH(CHOOSE({1,2,3,4},HN!U180,HN!AA180,HN!AG180,HN!AM180))=8)*(CHOOSE({1,2,3,4},HN!X180,HN!AD180,HN!AJ180,HN!AP180)))</f>
        <v>0</v>
      </c>
      <c r="I180">
        <f>SUMPRODUCT((MONTH(CHOOSE({1,2,3,4},HN!U180,HN!AA180,HN!AG180,HN!AM180))=9)*(CHOOSE({1,2,3,4},HN!X180,HN!AD180,HN!AJ180,HN!AP180)))</f>
        <v>0</v>
      </c>
      <c r="J180">
        <f>SUMPRODUCT((MONTH(CHOOSE({1,2,3,4},HN!U180,HN!AA180,HN!AG180,HN!AM180))=10)*(CHOOSE({1,2,3,4},HN!X180,HN!AD180,HN!AJ180,HN!AP180)))</f>
        <v>0</v>
      </c>
      <c r="K180">
        <f>SUMPRODUCT((MONTH(CHOOSE({1,2,3,4},HN!U180,HN!AA180,HN!AG180,HN!AM180))=11)*(CHOOSE({1,2,3,4},HN!X180,HN!AD180,HN!AJ180,HN!AP180)))</f>
        <v>0</v>
      </c>
      <c r="L180">
        <f>SUMPRODUCT((MONTH(CHOOSE({1,2,3,4},HN!U180,HN!AA180,HN!AG180,HN!AM180))=12)*(CHOOSE({1,2,3,4},HN!X180,HN!AD180,HN!AJ180,HN!AP180)))</f>
        <v>0</v>
      </c>
    </row>
    <row r="181" spans="1:12">
      <c r="A181">
        <f>SUMPRODUCT((MONTH(CHOOSE({1,2,3,4},HN!U181,HN!AA181,HN!AG181,HN!AM181))=1)*(CHOOSE({1,2,3,4},HN!X181,HN!AD181,HN!AJ181,HN!AP181)))</f>
        <v>0</v>
      </c>
      <c r="B181">
        <f>SUMPRODUCT((MONTH(CHOOSE({1,2,3,4},HN!U181,HN!AA181,HN!AG181,HN!AM181))=2)*(CHOOSE({1,2,3,4},HN!X181,HN!AD181,HN!AJ181,HN!AP181)))</f>
        <v>0</v>
      </c>
      <c r="C181">
        <f>SUMPRODUCT((MONTH(CHOOSE({1,2,3,4},HN!U181,HN!AA181,HN!AG181,HN!AM181))=3)*(CHOOSE({1,2,3,4},HN!X181,HN!AD181,HN!AJ181,HN!AP181)))</f>
        <v>0</v>
      </c>
      <c r="D181">
        <f>SUMPRODUCT((MONTH(CHOOSE({1,2,3,4},HN!U181,HN!AA181,HN!AG181,HN!AM181))=4)*(CHOOSE({1,2,3,4},HN!X181,HN!AD181,HN!AJ181,HN!AP181)))</f>
        <v>0</v>
      </c>
      <c r="E181">
        <f>SUMPRODUCT((MONTH(CHOOSE({1,2,3,4},HN!U181,HN!AA181,HN!AG181,HN!AM181))=5)*(CHOOSE({1,2,3,4},HN!X181,HN!AD181,HN!AJ181,HN!AP181)))</f>
        <v>0</v>
      </c>
      <c r="F181">
        <f>SUMPRODUCT((MONTH(CHOOSE({1,2,3,4},HN!U181,HN!AA181,HN!AG181,HN!AM181))=6)*(CHOOSE({1,2,3,4},HN!X181,HN!AD181,HN!AJ181,HN!AP181)))</f>
        <v>0</v>
      </c>
      <c r="G181">
        <f>SUMPRODUCT((MONTH(CHOOSE({1,2,3,4},HN!U181,HN!AA181,HN!AG181,HN!AM181))=7)*(CHOOSE({1,2,3,4},HN!X181,HN!AD181,HN!AJ181,HN!AP181)))</f>
        <v>0</v>
      </c>
      <c r="H181">
        <f>SUMPRODUCT((MONTH(CHOOSE({1,2,3,4},HN!U181,HN!AA181,HN!AG181,HN!AM181))=8)*(CHOOSE({1,2,3,4},HN!X181,HN!AD181,HN!AJ181,HN!AP181)))</f>
        <v>0</v>
      </c>
      <c r="I181">
        <f>SUMPRODUCT((MONTH(CHOOSE({1,2,3,4},HN!U181,HN!AA181,HN!AG181,HN!AM181))=9)*(CHOOSE({1,2,3,4},HN!X181,HN!AD181,HN!AJ181,HN!AP181)))</f>
        <v>0</v>
      </c>
      <c r="J181">
        <f>SUMPRODUCT((MONTH(CHOOSE({1,2,3,4},HN!U181,HN!AA181,HN!AG181,HN!AM181))=10)*(CHOOSE({1,2,3,4},HN!X181,HN!AD181,HN!AJ181,HN!AP181)))</f>
        <v>0</v>
      </c>
      <c r="K181">
        <f>SUMPRODUCT((MONTH(CHOOSE({1,2,3,4},HN!U181,HN!AA181,HN!AG181,HN!AM181))=11)*(CHOOSE({1,2,3,4},HN!X181,HN!AD181,HN!AJ181,HN!AP181)))</f>
        <v>0</v>
      </c>
      <c r="L181">
        <f>SUMPRODUCT((MONTH(CHOOSE({1,2,3,4},HN!U181,HN!AA181,HN!AG181,HN!AM181))=12)*(CHOOSE({1,2,3,4},HN!X181,HN!AD181,HN!AJ181,HN!AP181)))</f>
        <v>0</v>
      </c>
    </row>
    <row r="182" spans="1:12">
      <c r="A182">
        <f>SUMPRODUCT((MONTH(CHOOSE({1,2,3,4},HN!U182,HN!AA182,HN!AG182,HN!AM182))=1)*(CHOOSE({1,2,3,4},HN!X182,HN!AD182,HN!AJ182,HN!AP182)))</f>
        <v>0</v>
      </c>
      <c r="B182">
        <f>SUMPRODUCT((MONTH(CHOOSE({1,2,3,4},HN!U182,HN!AA182,HN!AG182,HN!AM182))=2)*(CHOOSE({1,2,3,4},HN!X182,HN!AD182,HN!AJ182,HN!AP182)))</f>
        <v>0</v>
      </c>
      <c r="C182">
        <f>SUMPRODUCT((MONTH(CHOOSE({1,2,3,4},HN!U182,HN!AA182,HN!AG182,HN!AM182))=3)*(CHOOSE({1,2,3,4},HN!X182,HN!AD182,HN!AJ182,HN!AP182)))</f>
        <v>0</v>
      </c>
      <c r="D182">
        <f>SUMPRODUCT((MONTH(CHOOSE({1,2,3,4},HN!U182,HN!AA182,HN!AG182,HN!AM182))=4)*(CHOOSE({1,2,3,4},HN!X182,HN!AD182,HN!AJ182,HN!AP182)))</f>
        <v>0</v>
      </c>
      <c r="E182">
        <f>SUMPRODUCT((MONTH(CHOOSE({1,2,3,4},HN!U182,HN!AA182,HN!AG182,HN!AM182))=5)*(CHOOSE({1,2,3,4},HN!X182,HN!AD182,HN!AJ182,HN!AP182)))</f>
        <v>0</v>
      </c>
      <c r="F182">
        <f>SUMPRODUCT((MONTH(CHOOSE({1,2,3,4},HN!U182,HN!AA182,HN!AG182,HN!AM182))=6)*(CHOOSE({1,2,3,4},HN!X182,HN!AD182,HN!AJ182,HN!AP182)))</f>
        <v>0</v>
      </c>
      <c r="G182">
        <f>SUMPRODUCT((MONTH(CHOOSE({1,2,3,4},HN!U182,HN!AA182,HN!AG182,HN!AM182))=7)*(CHOOSE({1,2,3,4},HN!X182,HN!AD182,HN!AJ182,HN!AP182)))</f>
        <v>0</v>
      </c>
      <c r="H182">
        <f>SUMPRODUCT((MONTH(CHOOSE({1,2,3,4},HN!U182,HN!AA182,HN!AG182,HN!AM182))=8)*(CHOOSE({1,2,3,4},HN!X182,HN!AD182,HN!AJ182,HN!AP182)))</f>
        <v>0</v>
      </c>
      <c r="I182">
        <f>SUMPRODUCT((MONTH(CHOOSE({1,2,3,4},HN!U182,HN!AA182,HN!AG182,HN!AM182))=9)*(CHOOSE({1,2,3,4},HN!X182,HN!AD182,HN!AJ182,HN!AP182)))</f>
        <v>0</v>
      </c>
      <c r="J182">
        <f>SUMPRODUCT((MONTH(CHOOSE({1,2,3,4},HN!U182,HN!AA182,HN!AG182,HN!AM182))=10)*(CHOOSE({1,2,3,4},HN!X182,HN!AD182,HN!AJ182,HN!AP182)))</f>
        <v>0</v>
      </c>
      <c r="K182">
        <f>SUMPRODUCT((MONTH(CHOOSE({1,2,3,4},HN!U182,HN!AA182,HN!AG182,HN!AM182))=11)*(CHOOSE({1,2,3,4},HN!X182,HN!AD182,HN!AJ182,HN!AP182)))</f>
        <v>0</v>
      </c>
      <c r="L182">
        <f>SUMPRODUCT((MONTH(CHOOSE({1,2,3,4},HN!U182,HN!AA182,HN!AG182,HN!AM182))=12)*(CHOOSE({1,2,3,4},HN!X182,HN!AD182,HN!AJ182,HN!AP182)))</f>
        <v>0</v>
      </c>
    </row>
    <row r="183" spans="1:12">
      <c r="A183">
        <f>SUMPRODUCT((MONTH(CHOOSE({1,2,3,4},HN!U183,HN!AA183,HN!AG183,HN!AM183))=1)*(CHOOSE({1,2,3,4},HN!X183,HN!AD183,HN!AJ183,HN!AP183)))</f>
        <v>0</v>
      </c>
      <c r="B183">
        <f>SUMPRODUCT((MONTH(CHOOSE({1,2,3,4},HN!U183,HN!AA183,HN!AG183,HN!AM183))=2)*(CHOOSE({1,2,3,4},HN!X183,HN!AD183,HN!AJ183,HN!AP183)))</f>
        <v>0</v>
      </c>
      <c r="C183">
        <f>SUMPRODUCT((MONTH(CHOOSE({1,2,3,4},HN!U183,HN!AA183,HN!AG183,HN!AM183))=3)*(CHOOSE({1,2,3,4},HN!X183,HN!AD183,HN!AJ183,HN!AP183)))</f>
        <v>0</v>
      </c>
      <c r="D183">
        <f>SUMPRODUCT((MONTH(CHOOSE({1,2,3,4},HN!U183,HN!AA183,HN!AG183,HN!AM183))=4)*(CHOOSE({1,2,3,4},HN!X183,HN!AD183,HN!AJ183,HN!AP183)))</f>
        <v>0</v>
      </c>
      <c r="E183">
        <f>SUMPRODUCT((MONTH(CHOOSE({1,2,3,4},HN!U183,HN!AA183,HN!AG183,HN!AM183))=5)*(CHOOSE({1,2,3,4},HN!X183,HN!AD183,HN!AJ183,HN!AP183)))</f>
        <v>0</v>
      </c>
      <c r="F183">
        <f>SUMPRODUCT((MONTH(CHOOSE({1,2,3,4},HN!U183,HN!AA183,HN!AG183,HN!AM183))=6)*(CHOOSE({1,2,3,4},HN!X183,HN!AD183,HN!AJ183,HN!AP183)))</f>
        <v>0</v>
      </c>
      <c r="G183">
        <f>SUMPRODUCT((MONTH(CHOOSE({1,2,3,4},HN!U183,HN!AA183,HN!AG183,HN!AM183))=7)*(CHOOSE({1,2,3,4},HN!X183,HN!AD183,HN!AJ183,HN!AP183)))</f>
        <v>0</v>
      </c>
      <c r="H183">
        <f>SUMPRODUCT((MONTH(CHOOSE({1,2,3,4},HN!U183,HN!AA183,HN!AG183,HN!AM183))=8)*(CHOOSE({1,2,3,4},HN!X183,HN!AD183,HN!AJ183,HN!AP183)))</f>
        <v>0</v>
      </c>
      <c r="I183">
        <f>SUMPRODUCT((MONTH(CHOOSE({1,2,3,4},HN!U183,HN!AA183,HN!AG183,HN!AM183))=9)*(CHOOSE({1,2,3,4},HN!X183,HN!AD183,HN!AJ183,HN!AP183)))</f>
        <v>0</v>
      </c>
      <c r="J183">
        <f>SUMPRODUCT((MONTH(CHOOSE({1,2,3,4},HN!U183,HN!AA183,HN!AG183,HN!AM183))=10)*(CHOOSE({1,2,3,4},HN!X183,HN!AD183,HN!AJ183,HN!AP183)))</f>
        <v>0</v>
      </c>
      <c r="K183">
        <f>SUMPRODUCT((MONTH(CHOOSE({1,2,3,4},HN!U183,HN!AA183,HN!AG183,HN!AM183))=11)*(CHOOSE({1,2,3,4},HN!X183,HN!AD183,HN!AJ183,HN!AP183)))</f>
        <v>0</v>
      </c>
      <c r="L183">
        <f>SUMPRODUCT((MONTH(CHOOSE({1,2,3,4},HN!U183,HN!AA183,HN!AG183,HN!AM183))=12)*(CHOOSE({1,2,3,4},HN!X183,HN!AD183,HN!AJ183,HN!AP183)))</f>
        <v>0</v>
      </c>
    </row>
    <row r="184" spans="1:12">
      <c r="A184">
        <f>SUMPRODUCT((MONTH(CHOOSE({1,2,3,4},HN!U184,HN!AA184,HN!AG184,HN!AM184))=1)*(CHOOSE({1,2,3,4},HN!X184,HN!AD184,HN!AJ184,HN!AP184)))</f>
        <v>0</v>
      </c>
      <c r="B184">
        <f>SUMPRODUCT((MONTH(CHOOSE({1,2,3,4},HN!U184,HN!AA184,HN!AG184,HN!AM184))=2)*(CHOOSE({1,2,3,4},HN!X184,HN!AD184,HN!AJ184,HN!AP184)))</f>
        <v>0</v>
      </c>
      <c r="C184">
        <f>SUMPRODUCT((MONTH(CHOOSE({1,2,3,4},HN!U184,HN!AA184,HN!AG184,HN!AM184))=3)*(CHOOSE({1,2,3,4},HN!X184,HN!AD184,HN!AJ184,HN!AP184)))</f>
        <v>0</v>
      </c>
      <c r="D184">
        <f>SUMPRODUCT((MONTH(CHOOSE({1,2,3,4},HN!U184,HN!AA184,HN!AG184,HN!AM184))=4)*(CHOOSE({1,2,3,4},HN!X184,HN!AD184,HN!AJ184,HN!AP184)))</f>
        <v>0</v>
      </c>
      <c r="E184">
        <f>SUMPRODUCT((MONTH(CHOOSE({1,2,3,4},HN!U184,HN!AA184,HN!AG184,HN!AM184))=5)*(CHOOSE({1,2,3,4},HN!X184,HN!AD184,HN!AJ184,HN!AP184)))</f>
        <v>0</v>
      </c>
      <c r="F184">
        <f>SUMPRODUCT((MONTH(CHOOSE({1,2,3,4},HN!U184,HN!AA184,HN!AG184,HN!AM184))=6)*(CHOOSE({1,2,3,4},HN!X184,HN!AD184,HN!AJ184,HN!AP184)))</f>
        <v>0</v>
      </c>
      <c r="G184">
        <f>SUMPRODUCT((MONTH(CHOOSE({1,2,3,4},HN!U184,HN!AA184,HN!AG184,HN!AM184))=7)*(CHOOSE({1,2,3,4},HN!X184,HN!AD184,HN!AJ184,HN!AP184)))</f>
        <v>0</v>
      </c>
      <c r="H184">
        <f>SUMPRODUCT((MONTH(CHOOSE({1,2,3,4},HN!U184,HN!AA184,HN!AG184,HN!AM184))=8)*(CHOOSE({1,2,3,4},HN!X184,HN!AD184,HN!AJ184,HN!AP184)))</f>
        <v>0</v>
      </c>
      <c r="I184">
        <f>SUMPRODUCT((MONTH(CHOOSE({1,2,3,4},HN!U184,HN!AA184,HN!AG184,HN!AM184))=9)*(CHOOSE({1,2,3,4},HN!X184,HN!AD184,HN!AJ184,HN!AP184)))</f>
        <v>0</v>
      </c>
      <c r="J184">
        <f>SUMPRODUCT((MONTH(CHOOSE({1,2,3,4},HN!U184,HN!AA184,HN!AG184,HN!AM184))=10)*(CHOOSE({1,2,3,4},HN!X184,HN!AD184,HN!AJ184,HN!AP184)))</f>
        <v>0</v>
      </c>
      <c r="K184">
        <f>SUMPRODUCT((MONTH(CHOOSE({1,2,3,4},HN!U184,HN!AA184,HN!AG184,HN!AM184))=11)*(CHOOSE({1,2,3,4},HN!X184,HN!AD184,HN!AJ184,HN!AP184)))</f>
        <v>0</v>
      </c>
      <c r="L184">
        <f>SUMPRODUCT((MONTH(CHOOSE({1,2,3,4},HN!U184,HN!AA184,HN!AG184,HN!AM184))=12)*(CHOOSE({1,2,3,4},HN!X184,HN!AD184,HN!AJ184,HN!AP184)))</f>
        <v>0</v>
      </c>
    </row>
    <row r="185" spans="1:12">
      <c r="A185">
        <f>SUMPRODUCT((MONTH(CHOOSE({1,2,3,4},HN!U185,HN!AA185,HN!AG185,HN!AM185))=1)*(CHOOSE({1,2,3,4},HN!X185,HN!AD185,HN!AJ185,HN!AP185)))</f>
        <v>0</v>
      </c>
      <c r="B185">
        <f>SUMPRODUCT((MONTH(CHOOSE({1,2,3,4},HN!U185,HN!AA185,HN!AG185,HN!AM185))=2)*(CHOOSE({1,2,3,4},HN!X185,HN!AD185,HN!AJ185,HN!AP185)))</f>
        <v>0</v>
      </c>
      <c r="C185">
        <f>SUMPRODUCT((MONTH(CHOOSE({1,2,3,4},HN!U185,HN!AA185,HN!AG185,HN!AM185))=3)*(CHOOSE({1,2,3,4},HN!X185,HN!AD185,HN!AJ185,HN!AP185)))</f>
        <v>0</v>
      </c>
      <c r="D185">
        <f>SUMPRODUCT((MONTH(CHOOSE({1,2,3,4},HN!U185,HN!AA185,HN!AG185,HN!AM185))=4)*(CHOOSE({1,2,3,4},HN!X185,HN!AD185,HN!AJ185,HN!AP185)))</f>
        <v>0</v>
      </c>
      <c r="E185">
        <f>SUMPRODUCT((MONTH(CHOOSE({1,2,3,4},HN!U185,HN!AA185,HN!AG185,HN!AM185))=5)*(CHOOSE({1,2,3,4},HN!X185,HN!AD185,HN!AJ185,HN!AP185)))</f>
        <v>0</v>
      </c>
      <c r="F185">
        <f>SUMPRODUCT((MONTH(CHOOSE({1,2,3,4},HN!U185,HN!AA185,HN!AG185,HN!AM185))=6)*(CHOOSE({1,2,3,4},HN!X185,HN!AD185,HN!AJ185,HN!AP185)))</f>
        <v>0</v>
      </c>
      <c r="G185">
        <f>SUMPRODUCT((MONTH(CHOOSE({1,2,3,4},HN!U185,HN!AA185,HN!AG185,HN!AM185))=7)*(CHOOSE({1,2,3,4},HN!X185,HN!AD185,HN!AJ185,HN!AP185)))</f>
        <v>0</v>
      </c>
      <c r="H185">
        <f>SUMPRODUCT((MONTH(CHOOSE({1,2,3,4},HN!U185,HN!AA185,HN!AG185,HN!AM185))=8)*(CHOOSE({1,2,3,4},HN!X185,HN!AD185,HN!AJ185,HN!AP185)))</f>
        <v>0</v>
      </c>
      <c r="I185">
        <f>SUMPRODUCT((MONTH(CHOOSE({1,2,3,4},HN!U185,HN!AA185,HN!AG185,HN!AM185))=9)*(CHOOSE({1,2,3,4},HN!X185,HN!AD185,HN!AJ185,HN!AP185)))</f>
        <v>0</v>
      </c>
      <c r="J185">
        <f>SUMPRODUCT((MONTH(CHOOSE({1,2,3,4},HN!U185,HN!AA185,HN!AG185,HN!AM185))=10)*(CHOOSE({1,2,3,4},HN!X185,HN!AD185,HN!AJ185,HN!AP185)))</f>
        <v>0</v>
      </c>
      <c r="K185">
        <f>SUMPRODUCT((MONTH(CHOOSE({1,2,3,4},HN!U185,HN!AA185,HN!AG185,HN!AM185))=11)*(CHOOSE({1,2,3,4},HN!X185,HN!AD185,HN!AJ185,HN!AP185)))</f>
        <v>0</v>
      </c>
      <c r="L185">
        <f>SUMPRODUCT((MONTH(CHOOSE({1,2,3,4},HN!U185,HN!AA185,HN!AG185,HN!AM185))=12)*(CHOOSE({1,2,3,4},HN!X185,HN!AD185,HN!AJ185,HN!AP185)))</f>
        <v>0</v>
      </c>
    </row>
    <row r="186" spans="1:12">
      <c r="A186">
        <f>SUMPRODUCT((MONTH(CHOOSE({1,2,3,4},HN!U186,HN!AA186,HN!AG186,HN!AM186))=1)*(CHOOSE({1,2,3,4},HN!X186,HN!AD186,HN!AJ186,HN!AP186)))</f>
        <v>0</v>
      </c>
      <c r="B186">
        <f>SUMPRODUCT((MONTH(CHOOSE({1,2,3,4},HN!U186,HN!AA186,HN!AG186,HN!AM186))=2)*(CHOOSE({1,2,3,4},HN!X186,HN!AD186,HN!AJ186,HN!AP186)))</f>
        <v>0</v>
      </c>
      <c r="C186">
        <f>SUMPRODUCT((MONTH(CHOOSE({1,2,3,4},HN!U186,HN!AA186,HN!AG186,HN!AM186))=3)*(CHOOSE({1,2,3,4},HN!X186,HN!AD186,HN!AJ186,HN!AP186)))</f>
        <v>0</v>
      </c>
      <c r="D186">
        <f>SUMPRODUCT((MONTH(CHOOSE({1,2,3,4},HN!U186,HN!AA186,HN!AG186,HN!AM186))=4)*(CHOOSE({1,2,3,4},HN!X186,HN!AD186,HN!AJ186,HN!AP186)))</f>
        <v>0</v>
      </c>
      <c r="E186">
        <f>SUMPRODUCT((MONTH(CHOOSE({1,2,3,4},HN!U186,HN!AA186,HN!AG186,HN!AM186))=5)*(CHOOSE({1,2,3,4},HN!X186,HN!AD186,HN!AJ186,HN!AP186)))</f>
        <v>0</v>
      </c>
      <c r="F186">
        <f>SUMPRODUCT((MONTH(CHOOSE({1,2,3,4},HN!U186,HN!AA186,HN!AG186,HN!AM186))=6)*(CHOOSE({1,2,3,4},HN!X186,HN!AD186,HN!AJ186,HN!AP186)))</f>
        <v>0</v>
      </c>
      <c r="G186">
        <f>SUMPRODUCT((MONTH(CHOOSE({1,2,3,4},HN!U186,HN!AA186,HN!AG186,HN!AM186))=7)*(CHOOSE({1,2,3,4},HN!X186,HN!AD186,HN!AJ186,HN!AP186)))</f>
        <v>0</v>
      </c>
      <c r="H186">
        <f>SUMPRODUCT((MONTH(CHOOSE({1,2,3,4},HN!U186,HN!AA186,HN!AG186,HN!AM186))=8)*(CHOOSE({1,2,3,4},HN!X186,HN!AD186,HN!AJ186,HN!AP186)))</f>
        <v>0</v>
      </c>
      <c r="I186">
        <f>SUMPRODUCT((MONTH(CHOOSE({1,2,3,4},HN!U186,HN!AA186,HN!AG186,HN!AM186))=9)*(CHOOSE({1,2,3,4},HN!X186,HN!AD186,HN!AJ186,HN!AP186)))</f>
        <v>0</v>
      </c>
      <c r="J186">
        <f>SUMPRODUCT((MONTH(CHOOSE({1,2,3,4},HN!U186,HN!AA186,HN!AG186,HN!AM186))=10)*(CHOOSE({1,2,3,4},HN!X186,HN!AD186,HN!AJ186,HN!AP186)))</f>
        <v>0</v>
      </c>
      <c r="K186">
        <f>SUMPRODUCT((MONTH(CHOOSE({1,2,3,4},HN!U186,HN!AA186,HN!AG186,HN!AM186))=11)*(CHOOSE({1,2,3,4},HN!X186,HN!AD186,HN!AJ186,HN!AP186)))</f>
        <v>0</v>
      </c>
      <c r="L186">
        <f>SUMPRODUCT((MONTH(CHOOSE({1,2,3,4},HN!U186,HN!AA186,HN!AG186,HN!AM186))=12)*(CHOOSE({1,2,3,4},HN!X186,HN!AD186,HN!AJ186,HN!AP186)))</f>
        <v>0</v>
      </c>
    </row>
    <row r="187" spans="1:12">
      <c r="A187">
        <f>SUMPRODUCT((MONTH(CHOOSE({1,2,3,4},HN!U187,HN!AA187,HN!AG187,HN!AM187))=1)*(CHOOSE({1,2,3,4},HN!X187,HN!AD187,HN!AJ187,HN!AP187)))</f>
        <v>0</v>
      </c>
      <c r="B187">
        <f>SUMPRODUCT((MONTH(CHOOSE({1,2,3,4},HN!U187,HN!AA187,HN!AG187,HN!AM187))=2)*(CHOOSE({1,2,3,4},HN!X187,HN!AD187,HN!AJ187,HN!AP187)))</f>
        <v>0</v>
      </c>
      <c r="C187">
        <f>SUMPRODUCT((MONTH(CHOOSE({1,2,3,4},HN!U187,HN!AA187,HN!AG187,HN!AM187))=3)*(CHOOSE({1,2,3,4},HN!X187,HN!AD187,HN!AJ187,HN!AP187)))</f>
        <v>0</v>
      </c>
      <c r="D187">
        <f>SUMPRODUCT((MONTH(CHOOSE({1,2,3,4},HN!U187,HN!AA187,HN!AG187,HN!AM187))=4)*(CHOOSE({1,2,3,4},HN!X187,HN!AD187,HN!AJ187,HN!AP187)))</f>
        <v>0</v>
      </c>
      <c r="E187">
        <f>SUMPRODUCT((MONTH(CHOOSE({1,2,3,4},HN!U187,HN!AA187,HN!AG187,HN!AM187))=5)*(CHOOSE({1,2,3,4},HN!X187,HN!AD187,HN!AJ187,HN!AP187)))</f>
        <v>0</v>
      </c>
      <c r="F187">
        <f>SUMPRODUCT((MONTH(CHOOSE({1,2,3,4},HN!U187,HN!AA187,HN!AG187,HN!AM187))=6)*(CHOOSE({1,2,3,4},HN!X187,HN!AD187,HN!AJ187,HN!AP187)))</f>
        <v>0</v>
      </c>
      <c r="G187">
        <f>SUMPRODUCT((MONTH(CHOOSE({1,2,3,4},HN!U187,HN!AA187,HN!AG187,HN!AM187))=7)*(CHOOSE({1,2,3,4},HN!X187,HN!AD187,HN!AJ187,HN!AP187)))</f>
        <v>0</v>
      </c>
      <c r="H187">
        <f>SUMPRODUCT((MONTH(CHOOSE({1,2,3,4},HN!U187,HN!AA187,HN!AG187,HN!AM187))=8)*(CHOOSE({1,2,3,4},HN!X187,HN!AD187,HN!AJ187,HN!AP187)))</f>
        <v>0</v>
      </c>
      <c r="I187">
        <f>SUMPRODUCT((MONTH(CHOOSE({1,2,3,4},HN!U187,HN!AA187,HN!AG187,HN!AM187))=9)*(CHOOSE({1,2,3,4},HN!X187,HN!AD187,HN!AJ187,HN!AP187)))</f>
        <v>0</v>
      </c>
      <c r="J187">
        <f>SUMPRODUCT((MONTH(CHOOSE({1,2,3,4},HN!U187,HN!AA187,HN!AG187,HN!AM187))=10)*(CHOOSE({1,2,3,4},HN!X187,HN!AD187,HN!AJ187,HN!AP187)))</f>
        <v>0</v>
      </c>
      <c r="K187">
        <f>SUMPRODUCT((MONTH(CHOOSE({1,2,3,4},HN!U187,HN!AA187,HN!AG187,HN!AM187))=11)*(CHOOSE({1,2,3,4},HN!X187,HN!AD187,HN!AJ187,HN!AP187)))</f>
        <v>0</v>
      </c>
      <c r="L187">
        <f>SUMPRODUCT((MONTH(CHOOSE({1,2,3,4},HN!U187,HN!AA187,HN!AG187,HN!AM187))=12)*(CHOOSE({1,2,3,4},HN!X187,HN!AD187,HN!AJ187,HN!AP187)))</f>
        <v>0</v>
      </c>
    </row>
    <row r="188" spans="1:12">
      <c r="A188">
        <f>SUMPRODUCT((MONTH(CHOOSE({1,2,3,4},HN!U188,HN!AA188,HN!AG188,HN!AM188))=1)*(CHOOSE({1,2,3,4},HN!X188,HN!AD188,HN!AJ188,HN!AP188)))</f>
        <v>0</v>
      </c>
      <c r="B188">
        <f>SUMPRODUCT((MONTH(CHOOSE({1,2,3,4},HN!U188,HN!AA188,HN!AG188,HN!AM188))=2)*(CHOOSE({1,2,3,4},HN!X188,HN!AD188,HN!AJ188,HN!AP188)))</f>
        <v>0</v>
      </c>
      <c r="C188">
        <f>SUMPRODUCT((MONTH(CHOOSE({1,2,3,4},HN!U188,HN!AA188,HN!AG188,HN!AM188))=3)*(CHOOSE({1,2,3,4},HN!X188,HN!AD188,HN!AJ188,HN!AP188)))</f>
        <v>0</v>
      </c>
      <c r="D188">
        <f>SUMPRODUCT((MONTH(CHOOSE({1,2,3,4},HN!U188,HN!AA188,HN!AG188,HN!AM188))=4)*(CHOOSE({1,2,3,4},HN!X188,HN!AD188,HN!AJ188,HN!AP188)))</f>
        <v>0</v>
      </c>
      <c r="E188">
        <f>SUMPRODUCT((MONTH(CHOOSE({1,2,3,4},HN!U188,HN!AA188,HN!AG188,HN!AM188))=5)*(CHOOSE({1,2,3,4},HN!X188,HN!AD188,HN!AJ188,HN!AP188)))</f>
        <v>0</v>
      </c>
      <c r="F188">
        <f>SUMPRODUCT((MONTH(CHOOSE({1,2,3,4},HN!U188,HN!AA188,HN!AG188,HN!AM188))=6)*(CHOOSE({1,2,3,4},HN!X188,HN!AD188,HN!AJ188,HN!AP188)))</f>
        <v>0</v>
      </c>
      <c r="G188">
        <f>SUMPRODUCT((MONTH(CHOOSE({1,2,3,4},HN!U188,HN!AA188,HN!AG188,HN!AM188))=7)*(CHOOSE({1,2,3,4},HN!X188,HN!AD188,HN!AJ188,HN!AP188)))</f>
        <v>0</v>
      </c>
      <c r="H188">
        <f>SUMPRODUCT((MONTH(CHOOSE({1,2,3,4},HN!U188,HN!AA188,HN!AG188,HN!AM188))=8)*(CHOOSE({1,2,3,4},HN!X188,HN!AD188,HN!AJ188,HN!AP188)))</f>
        <v>0</v>
      </c>
      <c r="I188">
        <f>SUMPRODUCT((MONTH(CHOOSE({1,2,3,4},HN!U188,HN!AA188,HN!AG188,HN!AM188))=9)*(CHOOSE({1,2,3,4},HN!X188,HN!AD188,HN!AJ188,HN!AP188)))</f>
        <v>0</v>
      </c>
      <c r="J188">
        <f>SUMPRODUCT((MONTH(CHOOSE({1,2,3,4},HN!U188,HN!AA188,HN!AG188,HN!AM188))=10)*(CHOOSE({1,2,3,4},HN!X188,HN!AD188,HN!AJ188,HN!AP188)))</f>
        <v>0</v>
      </c>
      <c r="K188">
        <f>SUMPRODUCT((MONTH(CHOOSE({1,2,3,4},HN!U188,HN!AA188,HN!AG188,HN!AM188))=11)*(CHOOSE({1,2,3,4},HN!X188,HN!AD188,HN!AJ188,HN!AP188)))</f>
        <v>0</v>
      </c>
      <c r="L188">
        <f>SUMPRODUCT((MONTH(CHOOSE({1,2,3,4},HN!U188,HN!AA188,HN!AG188,HN!AM188))=12)*(CHOOSE({1,2,3,4},HN!X188,HN!AD188,HN!AJ188,HN!AP188)))</f>
        <v>0</v>
      </c>
    </row>
    <row r="189" spans="1:12">
      <c r="A189">
        <f>SUMPRODUCT((MONTH(CHOOSE({1,2,3,4},HN!U189,HN!AA189,HN!AG189,HN!AM189))=1)*(CHOOSE({1,2,3,4},HN!X189,HN!AD189,HN!AJ189,HN!AP189)))</f>
        <v>0</v>
      </c>
      <c r="B189">
        <f>SUMPRODUCT((MONTH(CHOOSE({1,2,3,4},HN!U189,HN!AA189,HN!AG189,HN!AM189))=2)*(CHOOSE({1,2,3,4},HN!X189,HN!AD189,HN!AJ189,HN!AP189)))</f>
        <v>0</v>
      </c>
      <c r="C189">
        <f>SUMPRODUCT((MONTH(CHOOSE({1,2,3,4},HN!U189,HN!AA189,HN!AG189,HN!AM189))=3)*(CHOOSE({1,2,3,4},HN!X189,HN!AD189,HN!AJ189,HN!AP189)))</f>
        <v>0</v>
      </c>
      <c r="D189">
        <f>SUMPRODUCT((MONTH(CHOOSE({1,2,3,4},HN!U189,HN!AA189,HN!AG189,HN!AM189))=4)*(CHOOSE({1,2,3,4},HN!X189,HN!AD189,HN!AJ189,HN!AP189)))</f>
        <v>0</v>
      </c>
      <c r="E189">
        <f>SUMPRODUCT((MONTH(CHOOSE({1,2,3,4},HN!U189,HN!AA189,HN!AG189,HN!AM189))=5)*(CHOOSE({1,2,3,4},HN!X189,HN!AD189,HN!AJ189,HN!AP189)))</f>
        <v>0</v>
      </c>
      <c r="F189">
        <f>SUMPRODUCT((MONTH(CHOOSE({1,2,3,4},HN!U189,HN!AA189,HN!AG189,HN!AM189))=6)*(CHOOSE({1,2,3,4},HN!X189,HN!AD189,HN!AJ189,HN!AP189)))</f>
        <v>0</v>
      </c>
      <c r="G189">
        <f>SUMPRODUCT((MONTH(CHOOSE({1,2,3,4},HN!U189,HN!AA189,HN!AG189,HN!AM189))=7)*(CHOOSE({1,2,3,4},HN!X189,HN!AD189,HN!AJ189,HN!AP189)))</f>
        <v>0</v>
      </c>
      <c r="H189">
        <f>SUMPRODUCT((MONTH(CHOOSE({1,2,3,4},HN!U189,HN!AA189,HN!AG189,HN!AM189))=8)*(CHOOSE({1,2,3,4},HN!X189,HN!AD189,HN!AJ189,HN!AP189)))</f>
        <v>0</v>
      </c>
      <c r="I189">
        <f>SUMPRODUCT((MONTH(CHOOSE({1,2,3,4},HN!U189,HN!AA189,HN!AG189,HN!AM189))=9)*(CHOOSE({1,2,3,4},HN!X189,HN!AD189,HN!AJ189,HN!AP189)))</f>
        <v>0</v>
      </c>
      <c r="J189">
        <f>SUMPRODUCT((MONTH(CHOOSE({1,2,3,4},HN!U189,HN!AA189,HN!AG189,HN!AM189))=10)*(CHOOSE({1,2,3,4},HN!X189,HN!AD189,HN!AJ189,HN!AP189)))</f>
        <v>0</v>
      </c>
      <c r="K189">
        <f>SUMPRODUCT((MONTH(CHOOSE({1,2,3,4},HN!U189,HN!AA189,HN!AG189,HN!AM189))=11)*(CHOOSE({1,2,3,4},HN!X189,HN!AD189,HN!AJ189,HN!AP189)))</f>
        <v>0</v>
      </c>
      <c r="L189">
        <f>SUMPRODUCT((MONTH(CHOOSE({1,2,3,4},HN!U189,HN!AA189,HN!AG189,HN!AM189))=12)*(CHOOSE({1,2,3,4},HN!X189,HN!AD189,HN!AJ189,HN!AP189)))</f>
        <v>0</v>
      </c>
    </row>
    <row r="190" spans="1:12">
      <c r="A190">
        <f>SUMPRODUCT((MONTH(CHOOSE({1,2,3,4},HN!U190,HN!AA190,HN!AG190,HN!AM190))=1)*(CHOOSE({1,2,3,4},HN!X190,HN!AD190,HN!AJ190,HN!AP190)))</f>
        <v>0</v>
      </c>
      <c r="B190">
        <f>SUMPRODUCT((MONTH(CHOOSE({1,2,3,4},HN!U190,HN!AA190,HN!AG190,HN!AM190))=2)*(CHOOSE({1,2,3,4},HN!X190,HN!AD190,HN!AJ190,HN!AP190)))</f>
        <v>0</v>
      </c>
      <c r="C190">
        <f>SUMPRODUCT((MONTH(CHOOSE({1,2,3,4},HN!U190,HN!AA190,HN!AG190,HN!AM190))=3)*(CHOOSE({1,2,3,4},HN!X190,HN!AD190,HN!AJ190,HN!AP190)))</f>
        <v>0</v>
      </c>
      <c r="D190">
        <f>SUMPRODUCT((MONTH(CHOOSE({1,2,3,4},HN!U190,HN!AA190,HN!AG190,HN!AM190))=4)*(CHOOSE({1,2,3,4},HN!X190,HN!AD190,HN!AJ190,HN!AP190)))</f>
        <v>0</v>
      </c>
      <c r="E190">
        <f>SUMPRODUCT((MONTH(CHOOSE({1,2,3,4},HN!U190,HN!AA190,HN!AG190,HN!AM190))=5)*(CHOOSE({1,2,3,4},HN!X190,HN!AD190,HN!AJ190,HN!AP190)))</f>
        <v>0</v>
      </c>
      <c r="F190">
        <f>SUMPRODUCT((MONTH(CHOOSE({1,2,3,4},HN!U190,HN!AA190,HN!AG190,HN!AM190))=6)*(CHOOSE({1,2,3,4},HN!X190,HN!AD190,HN!AJ190,HN!AP190)))</f>
        <v>0</v>
      </c>
      <c r="G190">
        <f>SUMPRODUCT((MONTH(CHOOSE({1,2,3,4},HN!U190,HN!AA190,HN!AG190,HN!AM190))=7)*(CHOOSE({1,2,3,4},HN!X190,HN!AD190,HN!AJ190,HN!AP190)))</f>
        <v>0</v>
      </c>
      <c r="H190">
        <f>SUMPRODUCT((MONTH(CHOOSE({1,2,3,4},HN!U190,HN!AA190,HN!AG190,HN!AM190))=8)*(CHOOSE({1,2,3,4},HN!X190,HN!AD190,HN!AJ190,HN!AP190)))</f>
        <v>0</v>
      </c>
      <c r="I190">
        <f>SUMPRODUCT((MONTH(CHOOSE({1,2,3,4},HN!U190,HN!AA190,HN!AG190,HN!AM190))=9)*(CHOOSE({1,2,3,4},HN!X190,HN!AD190,HN!AJ190,HN!AP190)))</f>
        <v>0</v>
      </c>
      <c r="J190">
        <f>SUMPRODUCT((MONTH(CHOOSE({1,2,3,4},HN!U190,HN!AA190,HN!AG190,HN!AM190))=10)*(CHOOSE({1,2,3,4},HN!X190,HN!AD190,HN!AJ190,HN!AP190)))</f>
        <v>0</v>
      </c>
      <c r="K190">
        <f>SUMPRODUCT((MONTH(CHOOSE({1,2,3,4},HN!U190,HN!AA190,HN!AG190,HN!AM190))=11)*(CHOOSE({1,2,3,4},HN!X190,HN!AD190,HN!AJ190,HN!AP190)))</f>
        <v>0</v>
      </c>
      <c r="L190">
        <f>SUMPRODUCT((MONTH(CHOOSE({1,2,3,4},HN!U190,HN!AA190,HN!AG190,HN!AM190))=12)*(CHOOSE({1,2,3,4},HN!X190,HN!AD190,HN!AJ190,HN!AP190)))</f>
        <v>0</v>
      </c>
    </row>
    <row r="191" spans="1:12">
      <c r="A191">
        <f>SUMPRODUCT((MONTH(CHOOSE({1,2,3,4},HN!U191,HN!AA191,HN!AG191,HN!AM191))=1)*(CHOOSE({1,2,3,4},HN!X191,HN!AD191,HN!AJ191,HN!AP191)))</f>
        <v>0</v>
      </c>
      <c r="B191">
        <f>SUMPRODUCT((MONTH(CHOOSE({1,2,3,4},HN!U191,HN!AA191,HN!AG191,HN!AM191))=2)*(CHOOSE({1,2,3,4},HN!X191,HN!AD191,HN!AJ191,HN!AP191)))</f>
        <v>0</v>
      </c>
      <c r="C191">
        <f>SUMPRODUCT((MONTH(CHOOSE({1,2,3,4},HN!U191,HN!AA191,HN!AG191,HN!AM191))=3)*(CHOOSE({1,2,3,4},HN!X191,HN!AD191,HN!AJ191,HN!AP191)))</f>
        <v>0</v>
      </c>
      <c r="D191">
        <f>SUMPRODUCT((MONTH(CHOOSE({1,2,3,4},HN!U191,HN!AA191,HN!AG191,HN!AM191))=4)*(CHOOSE({1,2,3,4},HN!X191,HN!AD191,HN!AJ191,HN!AP191)))</f>
        <v>0</v>
      </c>
      <c r="E191">
        <f>SUMPRODUCT((MONTH(CHOOSE({1,2,3,4},HN!U191,HN!AA191,HN!AG191,HN!AM191))=5)*(CHOOSE({1,2,3,4},HN!X191,HN!AD191,HN!AJ191,HN!AP191)))</f>
        <v>0</v>
      </c>
      <c r="F191">
        <f>SUMPRODUCT((MONTH(CHOOSE({1,2,3,4},HN!U191,HN!AA191,HN!AG191,HN!AM191))=6)*(CHOOSE({1,2,3,4},HN!X191,HN!AD191,HN!AJ191,HN!AP191)))</f>
        <v>0</v>
      </c>
      <c r="G191">
        <f>SUMPRODUCT((MONTH(CHOOSE({1,2,3,4},HN!U191,HN!AA191,HN!AG191,HN!AM191))=7)*(CHOOSE({1,2,3,4},HN!X191,HN!AD191,HN!AJ191,HN!AP191)))</f>
        <v>0</v>
      </c>
      <c r="H191">
        <f>SUMPRODUCT((MONTH(CHOOSE({1,2,3,4},HN!U191,HN!AA191,HN!AG191,HN!AM191))=8)*(CHOOSE({1,2,3,4},HN!X191,HN!AD191,HN!AJ191,HN!AP191)))</f>
        <v>0</v>
      </c>
      <c r="I191">
        <f>SUMPRODUCT((MONTH(CHOOSE({1,2,3,4},HN!U191,HN!AA191,HN!AG191,HN!AM191))=9)*(CHOOSE({1,2,3,4},HN!X191,HN!AD191,HN!AJ191,HN!AP191)))</f>
        <v>0</v>
      </c>
      <c r="J191">
        <f>SUMPRODUCT((MONTH(CHOOSE({1,2,3,4},HN!U191,HN!AA191,HN!AG191,HN!AM191))=10)*(CHOOSE({1,2,3,4},HN!X191,HN!AD191,HN!AJ191,HN!AP191)))</f>
        <v>0</v>
      </c>
      <c r="K191">
        <f>SUMPRODUCT((MONTH(CHOOSE({1,2,3,4},HN!U191,HN!AA191,HN!AG191,HN!AM191))=11)*(CHOOSE({1,2,3,4},HN!X191,HN!AD191,HN!AJ191,HN!AP191)))</f>
        <v>0</v>
      </c>
      <c r="L191">
        <f>SUMPRODUCT((MONTH(CHOOSE({1,2,3,4},HN!U191,HN!AA191,HN!AG191,HN!AM191))=12)*(CHOOSE({1,2,3,4},HN!X191,HN!AD191,HN!AJ191,HN!AP191)))</f>
        <v>0</v>
      </c>
    </row>
    <row r="192" spans="1:12">
      <c r="A192">
        <f>SUMPRODUCT((MONTH(CHOOSE({1,2,3,4},HN!U192,HN!AA192,HN!AG192,HN!AM192))=1)*(CHOOSE({1,2,3,4},HN!X192,HN!AD192,HN!AJ192,HN!AP192)))</f>
        <v>0</v>
      </c>
      <c r="B192">
        <f>SUMPRODUCT((MONTH(CHOOSE({1,2,3,4},HN!U192,HN!AA192,HN!AG192,HN!AM192))=2)*(CHOOSE({1,2,3,4},HN!X192,HN!AD192,HN!AJ192,HN!AP192)))</f>
        <v>0</v>
      </c>
      <c r="C192">
        <f>SUMPRODUCT((MONTH(CHOOSE({1,2,3,4},HN!U192,HN!AA192,HN!AG192,HN!AM192))=3)*(CHOOSE({1,2,3,4},HN!X192,HN!AD192,HN!AJ192,HN!AP192)))</f>
        <v>0</v>
      </c>
      <c r="D192">
        <f>SUMPRODUCT((MONTH(CHOOSE({1,2,3,4},HN!U192,HN!AA192,HN!AG192,HN!AM192))=4)*(CHOOSE({1,2,3,4},HN!X192,HN!AD192,HN!AJ192,HN!AP192)))</f>
        <v>0</v>
      </c>
      <c r="E192">
        <f>SUMPRODUCT((MONTH(CHOOSE({1,2,3,4},HN!U192,HN!AA192,HN!AG192,HN!AM192))=5)*(CHOOSE({1,2,3,4},HN!X192,HN!AD192,HN!AJ192,HN!AP192)))</f>
        <v>0</v>
      </c>
      <c r="F192">
        <f>SUMPRODUCT((MONTH(CHOOSE({1,2,3,4},HN!U192,HN!AA192,HN!AG192,HN!AM192))=6)*(CHOOSE({1,2,3,4},HN!X192,HN!AD192,HN!AJ192,HN!AP192)))</f>
        <v>0</v>
      </c>
      <c r="G192">
        <f>SUMPRODUCT((MONTH(CHOOSE({1,2,3,4},HN!U192,HN!AA192,HN!AG192,HN!AM192))=7)*(CHOOSE({1,2,3,4},HN!X192,HN!AD192,HN!AJ192,HN!AP192)))</f>
        <v>0</v>
      </c>
      <c r="H192">
        <f>SUMPRODUCT((MONTH(CHOOSE({1,2,3,4},HN!U192,HN!AA192,HN!AG192,HN!AM192))=8)*(CHOOSE({1,2,3,4},HN!X192,HN!AD192,HN!AJ192,HN!AP192)))</f>
        <v>0</v>
      </c>
      <c r="I192">
        <f>SUMPRODUCT((MONTH(CHOOSE({1,2,3,4},HN!U192,HN!AA192,HN!AG192,HN!AM192))=9)*(CHOOSE({1,2,3,4},HN!X192,HN!AD192,HN!AJ192,HN!AP192)))</f>
        <v>0</v>
      </c>
      <c r="J192">
        <f>SUMPRODUCT((MONTH(CHOOSE({1,2,3,4},HN!U192,HN!AA192,HN!AG192,HN!AM192))=10)*(CHOOSE({1,2,3,4},HN!X192,HN!AD192,HN!AJ192,HN!AP192)))</f>
        <v>0</v>
      </c>
      <c r="K192">
        <f>SUMPRODUCT((MONTH(CHOOSE({1,2,3,4},HN!U192,HN!AA192,HN!AG192,HN!AM192))=11)*(CHOOSE({1,2,3,4},HN!X192,HN!AD192,HN!AJ192,HN!AP192)))</f>
        <v>0</v>
      </c>
      <c r="L192">
        <f>SUMPRODUCT((MONTH(CHOOSE({1,2,3,4},HN!U192,HN!AA192,HN!AG192,HN!AM192))=12)*(CHOOSE({1,2,3,4},HN!X192,HN!AD192,HN!AJ192,HN!AP192)))</f>
        <v>0</v>
      </c>
    </row>
    <row r="193" spans="1:12">
      <c r="A193">
        <f>SUMPRODUCT((MONTH(CHOOSE({1,2,3,4},HN!U193,HN!AA193,HN!AG193,HN!AM193))=1)*(CHOOSE({1,2,3,4},HN!X193,HN!AD193,HN!AJ193,HN!AP193)))</f>
        <v>0</v>
      </c>
      <c r="B193">
        <f>SUMPRODUCT((MONTH(CHOOSE({1,2,3,4},HN!U193,HN!AA193,HN!AG193,HN!AM193))=2)*(CHOOSE({1,2,3,4},HN!X193,HN!AD193,HN!AJ193,HN!AP193)))</f>
        <v>0</v>
      </c>
      <c r="C193">
        <f>SUMPRODUCT((MONTH(CHOOSE({1,2,3,4},HN!U193,HN!AA193,HN!AG193,HN!AM193))=3)*(CHOOSE({1,2,3,4},HN!X193,HN!AD193,HN!AJ193,HN!AP193)))</f>
        <v>0</v>
      </c>
      <c r="D193">
        <f>SUMPRODUCT((MONTH(CHOOSE({1,2,3,4},HN!U193,HN!AA193,HN!AG193,HN!AM193))=4)*(CHOOSE({1,2,3,4},HN!X193,HN!AD193,HN!AJ193,HN!AP193)))</f>
        <v>0</v>
      </c>
      <c r="E193">
        <f>SUMPRODUCT((MONTH(CHOOSE({1,2,3,4},HN!U193,HN!AA193,HN!AG193,HN!AM193))=5)*(CHOOSE({1,2,3,4},HN!X193,HN!AD193,HN!AJ193,HN!AP193)))</f>
        <v>0</v>
      </c>
      <c r="F193">
        <f>SUMPRODUCT((MONTH(CHOOSE({1,2,3,4},HN!U193,HN!AA193,HN!AG193,HN!AM193))=6)*(CHOOSE({1,2,3,4},HN!X193,HN!AD193,HN!AJ193,HN!AP193)))</f>
        <v>0</v>
      </c>
      <c r="G193">
        <f>SUMPRODUCT((MONTH(CHOOSE({1,2,3,4},HN!U193,HN!AA193,HN!AG193,HN!AM193))=7)*(CHOOSE({1,2,3,4},HN!X193,HN!AD193,HN!AJ193,HN!AP193)))</f>
        <v>0</v>
      </c>
      <c r="H193">
        <f>SUMPRODUCT((MONTH(CHOOSE({1,2,3,4},HN!U193,HN!AA193,HN!AG193,HN!AM193))=8)*(CHOOSE({1,2,3,4},HN!X193,HN!AD193,HN!AJ193,HN!AP193)))</f>
        <v>0</v>
      </c>
      <c r="I193">
        <f>SUMPRODUCT((MONTH(CHOOSE({1,2,3,4},HN!U193,HN!AA193,HN!AG193,HN!AM193))=9)*(CHOOSE({1,2,3,4},HN!X193,HN!AD193,HN!AJ193,HN!AP193)))</f>
        <v>0</v>
      </c>
      <c r="J193">
        <f>SUMPRODUCT((MONTH(CHOOSE({1,2,3,4},HN!U193,HN!AA193,HN!AG193,HN!AM193))=10)*(CHOOSE({1,2,3,4},HN!X193,HN!AD193,HN!AJ193,HN!AP193)))</f>
        <v>0</v>
      </c>
      <c r="K193">
        <f>SUMPRODUCT((MONTH(CHOOSE({1,2,3,4},HN!U193,HN!AA193,HN!AG193,HN!AM193))=11)*(CHOOSE({1,2,3,4},HN!X193,HN!AD193,HN!AJ193,HN!AP193)))</f>
        <v>0</v>
      </c>
      <c r="L193">
        <f>SUMPRODUCT((MONTH(CHOOSE({1,2,3,4},HN!U193,HN!AA193,HN!AG193,HN!AM193))=12)*(CHOOSE({1,2,3,4},HN!X193,HN!AD193,HN!AJ193,HN!AP193)))</f>
        <v>0</v>
      </c>
    </row>
    <row r="194" spans="1:12">
      <c r="A194">
        <f>SUMPRODUCT((MONTH(CHOOSE({1,2,3,4},HN!U194,HN!AA194,HN!AG194,HN!AM194))=1)*(CHOOSE({1,2,3,4},HN!X194,HN!AD194,HN!AJ194,HN!AP194)))</f>
        <v>0</v>
      </c>
      <c r="B194">
        <f>SUMPRODUCT((MONTH(CHOOSE({1,2,3,4},HN!U194,HN!AA194,HN!AG194,HN!AM194))=2)*(CHOOSE({1,2,3,4},HN!X194,HN!AD194,HN!AJ194,HN!AP194)))</f>
        <v>0</v>
      </c>
      <c r="C194">
        <f>SUMPRODUCT((MONTH(CHOOSE({1,2,3,4},HN!U194,HN!AA194,HN!AG194,HN!AM194))=3)*(CHOOSE({1,2,3,4},HN!X194,HN!AD194,HN!AJ194,HN!AP194)))</f>
        <v>0</v>
      </c>
      <c r="D194">
        <f>SUMPRODUCT((MONTH(CHOOSE({1,2,3,4},HN!U194,HN!AA194,HN!AG194,HN!AM194))=4)*(CHOOSE({1,2,3,4},HN!X194,HN!AD194,HN!AJ194,HN!AP194)))</f>
        <v>0</v>
      </c>
      <c r="E194">
        <f>SUMPRODUCT((MONTH(CHOOSE({1,2,3,4},HN!U194,HN!AA194,HN!AG194,HN!AM194))=5)*(CHOOSE({1,2,3,4},HN!X194,HN!AD194,HN!AJ194,HN!AP194)))</f>
        <v>0</v>
      </c>
      <c r="F194">
        <f>SUMPRODUCT((MONTH(CHOOSE({1,2,3,4},HN!U194,HN!AA194,HN!AG194,HN!AM194))=6)*(CHOOSE({1,2,3,4},HN!X194,HN!AD194,HN!AJ194,HN!AP194)))</f>
        <v>0</v>
      </c>
      <c r="G194">
        <f>SUMPRODUCT((MONTH(CHOOSE({1,2,3,4},HN!U194,HN!AA194,HN!AG194,HN!AM194))=7)*(CHOOSE({1,2,3,4},HN!X194,HN!AD194,HN!AJ194,HN!AP194)))</f>
        <v>0</v>
      </c>
      <c r="H194">
        <f>SUMPRODUCT((MONTH(CHOOSE({1,2,3,4},HN!U194,HN!AA194,HN!AG194,HN!AM194))=8)*(CHOOSE({1,2,3,4},HN!X194,HN!AD194,HN!AJ194,HN!AP194)))</f>
        <v>0</v>
      </c>
      <c r="I194">
        <f>SUMPRODUCT((MONTH(CHOOSE({1,2,3,4},HN!U194,HN!AA194,HN!AG194,HN!AM194))=9)*(CHOOSE({1,2,3,4},HN!X194,HN!AD194,HN!AJ194,HN!AP194)))</f>
        <v>0</v>
      </c>
      <c r="J194">
        <f>SUMPRODUCT((MONTH(CHOOSE({1,2,3,4},HN!U194,HN!AA194,HN!AG194,HN!AM194))=10)*(CHOOSE({1,2,3,4},HN!X194,HN!AD194,HN!AJ194,HN!AP194)))</f>
        <v>0</v>
      </c>
      <c r="K194">
        <f>SUMPRODUCT((MONTH(CHOOSE({1,2,3,4},HN!U194,HN!AA194,HN!AG194,HN!AM194))=11)*(CHOOSE({1,2,3,4},HN!X194,HN!AD194,HN!AJ194,HN!AP194)))</f>
        <v>0</v>
      </c>
      <c r="L194">
        <f>SUMPRODUCT((MONTH(CHOOSE({1,2,3,4},HN!U194,HN!AA194,HN!AG194,HN!AM194))=12)*(CHOOSE({1,2,3,4},HN!X194,HN!AD194,HN!AJ194,HN!AP194)))</f>
        <v>0</v>
      </c>
    </row>
    <row r="195" spans="1:12">
      <c r="A195">
        <f>SUMPRODUCT((MONTH(CHOOSE({1,2,3,4},HN!U195,HN!AA195,HN!AG195,HN!AM195))=1)*(CHOOSE({1,2,3,4},HN!X195,HN!AD195,HN!AJ195,HN!AP195)))</f>
        <v>0</v>
      </c>
      <c r="B195">
        <f>SUMPRODUCT((MONTH(CHOOSE({1,2,3,4},HN!U195,HN!AA195,HN!AG195,HN!AM195))=2)*(CHOOSE({1,2,3,4},HN!X195,HN!AD195,HN!AJ195,HN!AP195)))</f>
        <v>0</v>
      </c>
      <c r="C195">
        <f>SUMPRODUCT((MONTH(CHOOSE({1,2,3,4},HN!U195,HN!AA195,HN!AG195,HN!AM195))=3)*(CHOOSE({1,2,3,4},HN!X195,HN!AD195,HN!AJ195,HN!AP195)))</f>
        <v>0</v>
      </c>
      <c r="D195">
        <f>SUMPRODUCT((MONTH(CHOOSE({1,2,3,4},HN!U195,HN!AA195,HN!AG195,HN!AM195))=4)*(CHOOSE({1,2,3,4},HN!X195,HN!AD195,HN!AJ195,HN!AP195)))</f>
        <v>0</v>
      </c>
      <c r="E195">
        <f>SUMPRODUCT((MONTH(CHOOSE({1,2,3,4},HN!U195,HN!AA195,HN!AG195,HN!AM195))=5)*(CHOOSE({1,2,3,4},HN!X195,HN!AD195,HN!AJ195,HN!AP195)))</f>
        <v>0</v>
      </c>
      <c r="F195">
        <f>SUMPRODUCT((MONTH(CHOOSE({1,2,3,4},HN!U195,HN!AA195,HN!AG195,HN!AM195))=6)*(CHOOSE({1,2,3,4},HN!X195,HN!AD195,HN!AJ195,HN!AP195)))</f>
        <v>0</v>
      </c>
      <c r="G195">
        <f>SUMPRODUCT((MONTH(CHOOSE({1,2,3,4},HN!U195,HN!AA195,HN!AG195,HN!AM195))=7)*(CHOOSE({1,2,3,4},HN!X195,HN!AD195,HN!AJ195,HN!AP195)))</f>
        <v>0</v>
      </c>
      <c r="H195">
        <f>SUMPRODUCT((MONTH(CHOOSE({1,2,3,4},HN!U195,HN!AA195,HN!AG195,HN!AM195))=8)*(CHOOSE({1,2,3,4},HN!X195,HN!AD195,HN!AJ195,HN!AP195)))</f>
        <v>0</v>
      </c>
      <c r="I195">
        <f>SUMPRODUCT((MONTH(CHOOSE({1,2,3,4},HN!U195,HN!AA195,HN!AG195,HN!AM195))=9)*(CHOOSE({1,2,3,4},HN!X195,HN!AD195,HN!AJ195,HN!AP195)))</f>
        <v>0</v>
      </c>
      <c r="J195">
        <f>SUMPRODUCT((MONTH(CHOOSE({1,2,3,4},HN!U195,HN!AA195,HN!AG195,HN!AM195))=10)*(CHOOSE({1,2,3,4},HN!X195,HN!AD195,HN!AJ195,HN!AP195)))</f>
        <v>0</v>
      </c>
      <c r="K195">
        <f>SUMPRODUCT((MONTH(CHOOSE({1,2,3,4},HN!U195,HN!AA195,HN!AG195,HN!AM195))=11)*(CHOOSE({1,2,3,4},HN!X195,HN!AD195,HN!AJ195,HN!AP195)))</f>
        <v>0</v>
      </c>
      <c r="L195">
        <f>SUMPRODUCT((MONTH(CHOOSE({1,2,3,4},HN!U195,HN!AA195,HN!AG195,HN!AM195))=12)*(CHOOSE({1,2,3,4},HN!X195,HN!AD195,HN!AJ195,HN!AP195)))</f>
        <v>0</v>
      </c>
    </row>
    <row r="196" spans="1:12">
      <c r="A196">
        <f>SUMPRODUCT((MONTH(CHOOSE({1,2,3,4},HN!U196,HN!AA196,HN!AG196,HN!AM196))=1)*(CHOOSE({1,2,3,4},HN!X196,HN!AD196,HN!AJ196,HN!AP196)))</f>
        <v>0</v>
      </c>
      <c r="B196">
        <f>SUMPRODUCT((MONTH(CHOOSE({1,2,3,4},HN!U196,HN!AA196,HN!AG196,HN!AM196))=2)*(CHOOSE({1,2,3,4},HN!X196,HN!AD196,HN!AJ196,HN!AP196)))</f>
        <v>0</v>
      </c>
      <c r="C196">
        <f>SUMPRODUCT((MONTH(CHOOSE({1,2,3,4},HN!U196,HN!AA196,HN!AG196,HN!AM196))=3)*(CHOOSE({1,2,3,4},HN!X196,HN!AD196,HN!AJ196,HN!AP196)))</f>
        <v>0</v>
      </c>
      <c r="D196">
        <f>SUMPRODUCT((MONTH(CHOOSE({1,2,3,4},HN!U196,HN!AA196,HN!AG196,HN!AM196))=4)*(CHOOSE({1,2,3,4},HN!X196,HN!AD196,HN!AJ196,HN!AP196)))</f>
        <v>0</v>
      </c>
      <c r="E196">
        <f>SUMPRODUCT((MONTH(CHOOSE({1,2,3,4},HN!U196,HN!AA196,HN!AG196,HN!AM196))=5)*(CHOOSE({1,2,3,4},HN!X196,HN!AD196,HN!AJ196,HN!AP196)))</f>
        <v>0</v>
      </c>
      <c r="F196">
        <f>SUMPRODUCT((MONTH(CHOOSE({1,2,3,4},HN!U196,HN!AA196,HN!AG196,HN!AM196))=6)*(CHOOSE({1,2,3,4},HN!X196,HN!AD196,HN!AJ196,HN!AP196)))</f>
        <v>0</v>
      </c>
      <c r="G196">
        <f>SUMPRODUCT((MONTH(CHOOSE({1,2,3,4},HN!U196,HN!AA196,HN!AG196,HN!AM196))=7)*(CHOOSE({1,2,3,4},HN!X196,HN!AD196,HN!AJ196,HN!AP196)))</f>
        <v>0</v>
      </c>
      <c r="H196">
        <f>SUMPRODUCT((MONTH(CHOOSE({1,2,3,4},HN!U196,HN!AA196,HN!AG196,HN!AM196))=8)*(CHOOSE({1,2,3,4},HN!X196,HN!AD196,HN!AJ196,HN!AP196)))</f>
        <v>0</v>
      </c>
      <c r="I196">
        <f>SUMPRODUCT((MONTH(CHOOSE({1,2,3,4},HN!U196,HN!AA196,HN!AG196,HN!AM196))=9)*(CHOOSE({1,2,3,4},HN!X196,HN!AD196,HN!AJ196,HN!AP196)))</f>
        <v>0</v>
      </c>
      <c r="J196">
        <f>SUMPRODUCT((MONTH(CHOOSE({1,2,3,4},HN!U196,HN!AA196,HN!AG196,HN!AM196))=10)*(CHOOSE({1,2,3,4},HN!X196,HN!AD196,HN!AJ196,HN!AP196)))</f>
        <v>0</v>
      </c>
      <c r="K196">
        <f>SUMPRODUCT((MONTH(CHOOSE({1,2,3,4},HN!U196,HN!AA196,HN!AG196,HN!AM196))=11)*(CHOOSE({1,2,3,4},HN!X196,HN!AD196,HN!AJ196,HN!AP196)))</f>
        <v>0</v>
      </c>
      <c r="L196">
        <f>SUMPRODUCT((MONTH(CHOOSE({1,2,3,4},HN!U196,HN!AA196,HN!AG196,HN!AM196))=12)*(CHOOSE({1,2,3,4},HN!X196,HN!AD196,HN!AJ196,HN!AP196)))</f>
        <v>0</v>
      </c>
    </row>
    <row r="197" spans="1:12">
      <c r="A197">
        <f>SUMPRODUCT((MONTH(CHOOSE({1,2,3,4},HN!U197,HN!AA197,HN!AG197,HN!AM197))=1)*(CHOOSE({1,2,3,4},HN!X197,HN!AD197,HN!AJ197,HN!AP197)))</f>
        <v>0</v>
      </c>
      <c r="B197">
        <f>SUMPRODUCT((MONTH(CHOOSE({1,2,3,4},HN!U197,HN!AA197,HN!AG197,HN!AM197))=2)*(CHOOSE({1,2,3,4},HN!X197,HN!AD197,HN!AJ197,HN!AP197)))</f>
        <v>0</v>
      </c>
      <c r="C197">
        <f>SUMPRODUCT((MONTH(CHOOSE({1,2,3,4},HN!U197,HN!AA197,HN!AG197,HN!AM197))=3)*(CHOOSE({1,2,3,4},HN!X197,HN!AD197,HN!AJ197,HN!AP197)))</f>
        <v>0</v>
      </c>
      <c r="D197">
        <f>SUMPRODUCT((MONTH(CHOOSE({1,2,3,4},HN!U197,HN!AA197,HN!AG197,HN!AM197))=4)*(CHOOSE({1,2,3,4},HN!X197,HN!AD197,HN!AJ197,HN!AP197)))</f>
        <v>0</v>
      </c>
      <c r="E197">
        <f>SUMPRODUCT((MONTH(CHOOSE({1,2,3,4},HN!U197,HN!AA197,HN!AG197,HN!AM197))=5)*(CHOOSE({1,2,3,4},HN!X197,HN!AD197,HN!AJ197,HN!AP197)))</f>
        <v>0</v>
      </c>
      <c r="F197">
        <f>SUMPRODUCT((MONTH(CHOOSE({1,2,3,4},HN!U197,HN!AA197,HN!AG197,HN!AM197))=6)*(CHOOSE({1,2,3,4},HN!X197,HN!AD197,HN!AJ197,HN!AP197)))</f>
        <v>0</v>
      </c>
      <c r="G197">
        <f>SUMPRODUCT((MONTH(CHOOSE({1,2,3,4},HN!U197,HN!AA197,HN!AG197,HN!AM197))=7)*(CHOOSE({1,2,3,4},HN!X197,HN!AD197,HN!AJ197,HN!AP197)))</f>
        <v>0</v>
      </c>
      <c r="H197">
        <f>SUMPRODUCT((MONTH(CHOOSE({1,2,3,4},HN!U197,HN!AA197,HN!AG197,HN!AM197))=8)*(CHOOSE({1,2,3,4},HN!X197,HN!AD197,HN!AJ197,HN!AP197)))</f>
        <v>0</v>
      </c>
      <c r="I197">
        <f>SUMPRODUCT((MONTH(CHOOSE({1,2,3,4},HN!U197,HN!AA197,HN!AG197,HN!AM197))=9)*(CHOOSE({1,2,3,4},HN!X197,HN!AD197,HN!AJ197,HN!AP197)))</f>
        <v>0</v>
      </c>
      <c r="J197">
        <f>SUMPRODUCT((MONTH(CHOOSE({1,2,3,4},HN!U197,HN!AA197,HN!AG197,HN!AM197))=10)*(CHOOSE({1,2,3,4},HN!X197,HN!AD197,HN!AJ197,HN!AP197)))</f>
        <v>0</v>
      </c>
      <c r="K197">
        <f>SUMPRODUCT((MONTH(CHOOSE({1,2,3,4},HN!U197,HN!AA197,HN!AG197,HN!AM197))=11)*(CHOOSE({1,2,3,4},HN!X197,HN!AD197,HN!AJ197,HN!AP197)))</f>
        <v>0</v>
      </c>
      <c r="L197">
        <f>SUMPRODUCT((MONTH(CHOOSE({1,2,3,4},HN!U197,HN!AA197,HN!AG197,HN!AM197))=12)*(CHOOSE({1,2,3,4},HN!X197,HN!AD197,HN!AJ197,HN!AP197)))</f>
        <v>0</v>
      </c>
    </row>
    <row r="198" spans="1:12">
      <c r="A198">
        <f>SUMPRODUCT((MONTH(CHOOSE({1,2,3,4},HN!U198,HN!AA198,HN!AG198,HN!AM198))=1)*(CHOOSE({1,2,3,4},HN!X198,HN!AD198,HN!AJ198,HN!AP198)))</f>
        <v>0</v>
      </c>
      <c r="B198">
        <f>SUMPRODUCT((MONTH(CHOOSE({1,2,3,4},HN!U198,HN!AA198,HN!AG198,HN!AM198))=2)*(CHOOSE({1,2,3,4},HN!X198,HN!AD198,HN!AJ198,HN!AP198)))</f>
        <v>0</v>
      </c>
      <c r="C198">
        <f>SUMPRODUCT((MONTH(CHOOSE({1,2,3,4},HN!U198,HN!AA198,HN!AG198,HN!AM198))=3)*(CHOOSE({1,2,3,4},HN!X198,HN!AD198,HN!AJ198,HN!AP198)))</f>
        <v>0</v>
      </c>
      <c r="D198">
        <f>SUMPRODUCT((MONTH(CHOOSE({1,2,3,4},HN!U198,HN!AA198,HN!AG198,HN!AM198))=4)*(CHOOSE({1,2,3,4},HN!X198,HN!AD198,HN!AJ198,HN!AP198)))</f>
        <v>0</v>
      </c>
      <c r="E198">
        <f>SUMPRODUCT((MONTH(CHOOSE({1,2,3,4},HN!U198,HN!AA198,HN!AG198,HN!AM198))=5)*(CHOOSE({1,2,3,4},HN!X198,HN!AD198,HN!AJ198,HN!AP198)))</f>
        <v>0</v>
      </c>
      <c r="F198">
        <f>SUMPRODUCT((MONTH(CHOOSE({1,2,3,4},HN!U198,HN!AA198,HN!AG198,HN!AM198))=6)*(CHOOSE({1,2,3,4},HN!X198,HN!AD198,HN!AJ198,HN!AP198)))</f>
        <v>0</v>
      </c>
      <c r="G198">
        <f>SUMPRODUCT((MONTH(CHOOSE({1,2,3,4},HN!U198,HN!AA198,HN!AG198,HN!AM198))=7)*(CHOOSE({1,2,3,4},HN!X198,HN!AD198,HN!AJ198,HN!AP198)))</f>
        <v>0</v>
      </c>
      <c r="H198">
        <f>SUMPRODUCT((MONTH(CHOOSE({1,2,3,4},HN!U198,HN!AA198,HN!AG198,HN!AM198))=8)*(CHOOSE({1,2,3,4},HN!X198,HN!AD198,HN!AJ198,HN!AP198)))</f>
        <v>0</v>
      </c>
      <c r="I198">
        <f>SUMPRODUCT((MONTH(CHOOSE({1,2,3,4},HN!U198,HN!AA198,HN!AG198,HN!AM198))=9)*(CHOOSE({1,2,3,4},HN!X198,HN!AD198,HN!AJ198,HN!AP198)))</f>
        <v>0</v>
      </c>
      <c r="J198">
        <f>SUMPRODUCT((MONTH(CHOOSE({1,2,3,4},HN!U198,HN!AA198,HN!AG198,HN!AM198))=10)*(CHOOSE({1,2,3,4},HN!X198,HN!AD198,HN!AJ198,HN!AP198)))</f>
        <v>0</v>
      </c>
      <c r="K198">
        <f>SUMPRODUCT((MONTH(CHOOSE({1,2,3,4},HN!U198,HN!AA198,HN!AG198,HN!AM198))=11)*(CHOOSE({1,2,3,4},HN!X198,HN!AD198,HN!AJ198,HN!AP198)))</f>
        <v>0</v>
      </c>
      <c r="L198">
        <f>SUMPRODUCT((MONTH(CHOOSE({1,2,3,4},HN!U198,HN!AA198,HN!AG198,HN!AM198))=12)*(CHOOSE({1,2,3,4},HN!X198,HN!AD198,HN!AJ198,HN!AP198)))</f>
        <v>0</v>
      </c>
    </row>
    <row r="199" spans="1:12">
      <c r="A199">
        <f>SUMPRODUCT((MONTH(CHOOSE({1,2,3,4},HN!U199,HN!AA199,HN!AG199,HN!AM199))=1)*(CHOOSE({1,2,3,4},HN!X199,HN!AD199,HN!AJ199,HN!AP199)))</f>
        <v>0</v>
      </c>
      <c r="B199">
        <f>SUMPRODUCT((MONTH(CHOOSE({1,2,3,4},HN!U199,HN!AA199,HN!AG199,HN!AM199))=2)*(CHOOSE({1,2,3,4},HN!X199,HN!AD199,HN!AJ199,HN!AP199)))</f>
        <v>0</v>
      </c>
      <c r="C199">
        <f>SUMPRODUCT((MONTH(CHOOSE({1,2,3,4},HN!U199,HN!AA199,HN!AG199,HN!AM199))=3)*(CHOOSE({1,2,3,4},HN!X199,HN!AD199,HN!AJ199,HN!AP199)))</f>
        <v>0</v>
      </c>
      <c r="D199">
        <f>SUMPRODUCT((MONTH(CHOOSE({1,2,3,4},HN!U199,HN!AA199,HN!AG199,HN!AM199))=4)*(CHOOSE({1,2,3,4},HN!X199,HN!AD199,HN!AJ199,HN!AP199)))</f>
        <v>0</v>
      </c>
      <c r="E199">
        <f>SUMPRODUCT((MONTH(CHOOSE({1,2,3,4},HN!U199,HN!AA199,HN!AG199,HN!AM199))=5)*(CHOOSE({1,2,3,4},HN!X199,HN!AD199,HN!AJ199,HN!AP199)))</f>
        <v>0</v>
      </c>
      <c r="F199">
        <f>SUMPRODUCT((MONTH(CHOOSE({1,2,3,4},HN!U199,HN!AA199,HN!AG199,HN!AM199))=6)*(CHOOSE({1,2,3,4},HN!X199,HN!AD199,HN!AJ199,HN!AP199)))</f>
        <v>0</v>
      </c>
      <c r="G199">
        <f>SUMPRODUCT((MONTH(CHOOSE({1,2,3,4},HN!U199,HN!AA199,HN!AG199,HN!AM199))=7)*(CHOOSE({1,2,3,4},HN!X199,HN!AD199,HN!AJ199,HN!AP199)))</f>
        <v>0</v>
      </c>
      <c r="H199">
        <f>SUMPRODUCT((MONTH(CHOOSE({1,2,3,4},HN!U199,HN!AA199,HN!AG199,HN!AM199))=8)*(CHOOSE({1,2,3,4},HN!X199,HN!AD199,HN!AJ199,HN!AP199)))</f>
        <v>0</v>
      </c>
      <c r="I199">
        <f>SUMPRODUCT((MONTH(CHOOSE({1,2,3,4},HN!U199,HN!AA199,HN!AG199,HN!AM199))=9)*(CHOOSE({1,2,3,4},HN!X199,HN!AD199,HN!AJ199,HN!AP199)))</f>
        <v>0</v>
      </c>
      <c r="J199">
        <f>SUMPRODUCT((MONTH(CHOOSE({1,2,3,4},HN!U199,HN!AA199,HN!AG199,HN!AM199))=10)*(CHOOSE({1,2,3,4},HN!X199,HN!AD199,HN!AJ199,HN!AP199)))</f>
        <v>0</v>
      </c>
      <c r="K199">
        <f>SUMPRODUCT((MONTH(CHOOSE({1,2,3,4},HN!U199,HN!AA199,HN!AG199,HN!AM199))=11)*(CHOOSE({1,2,3,4},HN!X199,HN!AD199,HN!AJ199,HN!AP199)))</f>
        <v>0</v>
      </c>
      <c r="L199">
        <f>SUMPRODUCT((MONTH(CHOOSE({1,2,3,4},HN!U199,HN!AA199,HN!AG199,HN!AM199))=12)*(CHOOSE({1,2,3,4},HN!X199,HN!AD199,HN!AJ199,HN!AP199)))</f>
        <v>0</v>
      </c>
    </row>
    <row r="200" spans="1:12">
      <c r="A200">
        <f>SUMPRODUCT((MONTH(CHOOSE({1,2,3,4},HN!U200,HN!AA200,HN!AG200,HN!AM200))=1)*(CHOOSE({1,2,3,4},HN!X200,HN!AD200,HN!AJ200,HN!AP200)))</f>
        <v>0</v>
      </c>
      <c r="B200">
        <f>SUMPRODUCT((MONTH(CHOOSE({1,2,3,4},HN!U200,HN!AA200,HN!AG200,HN!AM200))=2)*(CHOOSE({1,2,3,4},HN!X200,HN!AD200,HN!AJ200,HN!AP200)))</f>
        <v>0</v>
      </c>
      <c r="C200">
        <f>SUMPRODUCT((MONTH(CHOOSE({1,2,3,4},HN!U200,HN!AA200,HN!AG200,HN!AM200))=3)*(CHOOSE({1,2,3,4},HN!X200,HN!AD200,HN!AJ200,HN!AP200)))</f>
        <v>0</v>
      </c>
      <c r="D200">
        <f>SUMPRODUCT((MONTH(CHOOSE({1,2,3,4},HN!U200,HN!AA200,HN!AG200,HN!AM200))=4)*(CHOOSE({1,2,3,4},HN!X200,HN!AD200,HN!AJ200,HN!AP200)))</f>
        <v>0</v>
      </c>
      <c r="E200">
        <f>SUMPRODUCT((MONTH(CHOOSE({1,2,3,4},HN!U200,HN!AA200,HN!AG200,HN!AM200))=5)*(CHOOSE({1,2,3,4},HN!X200,HN!AD200,HN!AJ200,HN!AP200)))</f>
        <v>0</v>
      </c>
      <c r="F200">
        <f>SUMPRODUCT((MONTH(CHOOSE({1,2,3,4},HN!U200,HN!AA200,HN!AG200,HN!AM200))=6)*(CHOOSE({1,2,3,4},HN!X200,HN!AD200,HN!AJ200,HN!AP200)))</f>
        <v>0</v>
      </c>
      <c r="G200">
        <f>SUMPRODUCT((MONTH(CHOOSE({1,2,3,4},HN!U200,HN!AA200,HN!AG200,HN!AM200))=7)*(CHOOSE({1,2,3,4},HN!X200,HN!AD200,HN!AJ200,HN!AP200)))</f>
        <v>0</v>
      </c>
      <c r="H200">
        <f>SUMPRODUCT((MONTH(CHOOSE({1,2,3,4},HN!U200,HN!AA200,HN!AG200,HN!AM200))=8)*(CHOOSE({1,2,3,4},HN!X200,HN!AD200,HN!AJ200,HN!AP200)))</f>
        <v>0</v>
      </c>
      <c r="I200">
        <f>SUMPRODUCT((MONTH(CHOOSE({1,2,3,4},HN!U200,HN!AA200,HN!AG200,HN!AM200))=9)*(CHOOSE({1,2,3,4},HN!X200,HN!AD200,HN!AJ200,HN!AP200)))</f>
        <v>0</v>
      </c>
      <c r="J200">
        <f>SUMPRODUCT((MONTH(CHOOSE({1,2,3,4},HN!U200,HN!AA200,HN!AG200,HN!AM200))=10)*(CHOOSE({1,2,3,4},HN!X200,HN!AD200,HN!AJ200,HN!AP200)))</f>
        <v>0</v>
      </c>
      <c r="K200">
        <f>SUMPRODUCT((MONTH(CHOOSE({1,2,3,4},HN!U200,HN!AA200,HN!AG200,HN!AM200))=11)*(CHOOSE({1,2,3,4},HN!X200,HN!AD200,HN!AJ200,HN!AP200)))</f>
        <v>0</v>
      </c>
      <c r="L200">
        <f>SUMPRODUCT((MONTH(CHOOSE({1,2,3,4},HN!U200,HN!AA200,HN!AG200,HN!AM200))=12)*(CHOOSE({1,2,3,4},HN!X200,HN!AD200,HN!AJ200,HN!AP200)))</f>
        <v>0</v>
      </c>
    </row>
    <row r="201" spans="1:12">
      <c r="A201">
        <f>SUMPRODUCT((MONTH(CHOOSE({1,2,3,4},HN!U201,HN!AA201,HN!AG201,HN!AM201))=1)*(CHOOSE({1,2,3,4},HN!X201,HN!AD201,HN!AJ201,HN!AP201)))</f>
        <v>0</v>
      </c>
      <c r="B201">
        <f>SUMPRODUCT((MONTH(CHOOSE({1,2,3,4},HN!U201,HN!AA201,HN!AG201,HN!AM201))=2)*(CHOOSE({1,2,3,4},HN!X201,HN!AD201,HN!AJ201,HN!AP201)))</f>
        <v>0</v>
      </c>
      <c r="C201">
        <f>SUMPRODUCT((MONTH(CHOOSE({1,2,3,4},HN!U201,HN!AA201,HN!AG201,HN!AM201))=3)*(CHOOSE({1,2,3,4},HN!X201,HN!AD201,HN!AJ201,HN!AP201)))</f>
        <v>0</v>
      </c>
      <c r="D201">
        <f>SUMPRODUCT((MONTH(CHOOSE({1,2,3,4},HN!U201,HN!AA201,HN!AG201,HN!AM201))=4)*(CHOOSE({1,2,3,4},HN!X201,HN!AD201,HN!AJ201,HN!AP201)))</f>
        <v>0</v>
      </c>
      <c r="E201">
        <f>SUMPRODUCT((MONTH(CHOOSE({1,2,3,4},HN!U201,HN!AA201,HN!AG201,HN!AM201))=5)*(CHOOSE({1,2,3,4},HN!X201,HN!AD201,HN!AJ201,HN!AP201)))</f>
        <v>0</v>
      </c>
      <c r="F201">
        <f>SUMPRODUCT((MONTH(CHOOSE({1,2,3,4},HN!U201,HN!AA201,HN!AG201,HN!AM201))=6)*(CHOOSE({1,2,3,4},HN!X201,HN!AD201,HN!AJ201,HN!AP201)))</f>
        <v>0</v>
      </c>
      <c r="G201">
        <f>SUMPRODUCT((MONTH(CHOOSE({1,2,3,4},HN!U201,HN!AA201,HN!AG201,HN!AM201))=7)*(CHOOSE({1,2,3,4},HN!X201,HN!AD201,HN!AJ201,HN!AP201)))</f>
        <v>0</v>
      </c>
      <c r="H201">
        <f>SUMPRODUCT((MONTH(CHOOSE({1,2,3,4},HN!U201,HN!AA201,HN!AG201,HN!AM201))=8)*(CHOOSE({1,2,3,4},HN!X201,HN!AD201,HN!AJ201,HN!AP201)))</f>
        <v>0</v>
      </c>
      <c r="I201">
        <f>SUMPRODUCT((MONTH(CHOOSE({1,2,3,4},HN!U201,HN!AA201,HN!AG201,HN!AM201))=9)*(CHOOSE({1,2,3,4},HN!X201,HN!AD201,HN!AJ201,HN!AP201)))</f>
        <v>0</v>
      </c>
      <c r="J201">
        <f>SUMPRODUCT((MONTH(CHOOSE({1,2,3,4},HN!U201,HN!AA201,HN!AG201,HN!AM201))=10)*(CHOOSE({1,2,3,4},HN!X201,HN!AD201,HN!AJ201,HN!AP201)))</f>
        <v>0</v>
      </c>
      <c r="K201">
        <f>SUMPRODUCT((MONTH(CHOOSE({1,2,3,4},HN!U201,HN!AA201,HN!AG201,HN!AM201))=11)*(CHOOSE({1,2,3,4},HN!X201,HN!AD201,HN!AJ201,HN!AP201)))</f>
        <v>0</v>
      </c>
      <c r="L201">
        <f>SUMPRODUCT((MONTH(CHOOSE({1,2,3,4},HN!U201,HN!AA201,HN!AG201,HN!AM201))=12)*(CHOOSE({1,2,3,4},HN!X201,HN!AD201,HN!AJ201,HN!AP201)))</f>
        <v>0</v>
      </c>
    </row>
    <row r="202" spans="1:12">
      <c r="A202">
        <f>SUMPRODUCT((MONTH(CHOOSE({1,2,3,4},HN!U202,HN!AA202,HN!AG202,HN!AM202))=1)*(CHOOSE({1,2,3,4},HN!X202,HN!AD202,HN!AJ202,HN!AP202)))</f>
        <v>0</v>
      </c>
      <c r="B202">
        <f>SUMPRODUCT((MONTH(CHOOSE({1,2,3,4},HN!U202,HN!AA202,HN!AG202,HN!AM202))=2)*(CHOOSE({1,2,3,4},HN!X202,HN!AD202,HN!AJ202,HN!AP202)))</f>
        <v>0</v>
      </c>
      <c r="C202">
        <f>SUMPRODUCT((MONTH(CHOOSE({1,2,3,4},HN!U202,HN!AA202,HN!AG202,HN!AM202))=3)*(CHOOSE({1,2,3,4},HN!X202,HN!AD202,HN!AJ202,HN!AP202)))</f>
        <v>0</v>
      </c>
      <c r="D202">
        <f>SUMPRODUCT((MONTH(CHOOSE({1,2,3,4},HN!U202,HN!AA202,HN!AG202,HN!AM202))=4)*(CHOOSE({1,2,3,4},HN!X202,HN!AD202,HN!AJ202,HN!AP202)))</f>
        <v>0</v>
      </c>
      <c r="E202">
        <f>SUMPRODUCT((MONTH(CHOOSE({1,2,3,4},HN!U202,HN!AA202,HN!AG202,HN!AM202))=5)*(CHOOSE({1,2,3,4},HN!X202,HN!AD202,HN!AJ202,HN!AP202)))</f>
        <v>0</v>
      </c>
      <c r="F202">
        <f>SUMPRODUCT((MONTH(CHOOSE({1,2,3,4},HN!U202,HN!AA202,HN!AG202,HN!AM202))=6)*(CHOOSE({1,2,3,4},HN!X202,HN!AD202,HN!AJ202,HN!AP202)))</f>
        <v>0</v>
      </c>
      <c r="G202">
        <f>SUMPRODUCT((MONTH(CHOOSE({1,2,3,4},HN!U202,HN!AA202,HN!AG202,HN!AM202))=7)*(CHOOSE({1,2,3,4},HN!X202,HN!AD202,HN!AJ202,HN!AP202)))</f>
        <v>0</v>
      </c>
      <c r="H202">
        <f>SUMPRODUCT((MONTH(CHOOSE({1,2,3,4},HN!U202,HN!AA202,HN!AG202,HN!AM202))=8)*(CHOOSE({1,2,3,4},HN!X202,HN!AD202,HN!AJ202,HN!AP202)))</f>
        <v>0</v>
      </c>
      <c r="I202">
        <f>SUMPRODUCT((MONTH(CHOOSE({1,2,3,4},HN!U202,HN!AA202,HN!AG202,HN!AM202))=9)*(CHOOSE({1,2,3,4},HN!X202,HN!AD202,HN!AJ202,HN!AP202)))</f>
        <v>0</v>
      </c>
      <c r="J202">
        <f>SUMPRODUCT((MONTH(CHOOSE({1,2,3,4},HN!U202,HN!AA202,HN!AG202,HN!AM202))=10)*(CHOOSE({1,2,3,4},HN!X202,HN!AD202,HN!AJ202,HN!AP202)))</f>
        <v>0</v>
      </c>
      <c r="K202">
        <f>SUMPRODUCT((MONTH(CHOOSE({1,2,3,4},HN!U202,HN!AA202,HN!AG202,HN!AM202))=11)*(CHOOSE({1,2,3,4},HN!X202,HN!AD202,HN!AJ202,HN!AP202)))</f>
        <v>0</v>
      </c>
      <c r="L202">
        <f>SUMPRODUCT((MONTH(CHOOSE({1,2,3,4},HN!U202,HN!AA202,HN!AG202,HN!AM202))=12)*(CHOOSE({1,2,3,4},HN!X202,HN!AD202,HN!AJ202,HN!AP202)))</f>
        <v>0</v>
      </c>
    </row>
    <row r="203" spans="1:12">
      <c r="A203">
        <f>SUMPRODUCT((MONTH(CHOOSE({1,2,3,4},HN!U203,HN!AA203,HN!AG203,HN!AM203))=1)*(CHOOSE({1,2,3,4},HN!X203,HN!AD203,HN!AJ203,HN!AP203)))</f>
        <v>0</v>
      </c>
      <c r="B203">
        <f>SUMPRODUCT((MONTH(CHOOSE({1,2,3,4},HN!U203,HN!AA203,HN!AG203,HN!AM203))=2)*(CHOOSE({1,2,3,4},HN!X203,HN!AD203,HN!AJ203,HN!AP203)))</f>
        <v>0</v>
      </c>
      <c r="C203">
        <f>SUMPRODUCT((MONTH(CHOOSE({1,2,3,4},HN!U203,HN!AA203,HN!AG203,HN!AM203))=3)*(CHOOSE({1,2,3,4},HN!X203,HN!AD203,HN!AJ203,HN!AP203)))</f>
        <v>0</v>
      </c>
      <c r="D203">
        <f>SUMPRODUCT((MONTH(CHOOSE({1,2,3,4},HN!U203,HN!AA203,HN!AG203,HN!AM203))=4)*(CHOOSE({1,2,3,4},HN!X203,HN!AD203,HN!AJ203,HN!AP203)))</f>
        <v>0</v>
      </c>
      <c r="E203">
        <f>SUMPRODUCT((MONTH(CHOOSE({1,2,3,4},HN!U203,HN!AA203,HN!AG203,HN!AM203))=5)*(CHOOSE({1,2,3,4},HN!X203,HN!AD203,HN!AJ203,HN!AP203)))</f>
        <v>0</v>
      </c>
      <c r="F203">
        <f>SUMPRODUCT((MONTH(CHOOSE({1,2,3,4},HN!U203,HN!AA203,HN!AG203,HN!AM203))=6)*(CHOOSE({1,2,3,4},HN!X203,HN!AD203,HN!AJ203,HN!AP203)))</f>
        <v>0</v>
      </c>
      <c r="G203">
        <f>SUMPRODUCT((MONTH(CHOOSE({1,2,3,4},HN!U203,HN!AA203,HN!AG203,HN!AM203))=7)*(CHOOSE({1,2,3,4},HN!X203,HN!AD203,HN!AJ203,HN!AP203)))</f>
        <v>0</v>
      </c>
      <c r="H203">
        <f>SUMPRODUCT((MONTH(CHOOSE({1,2,3,4},HN!U203,HN!AA203,HN!AG203,HN!AM203))=8)*(CHOOSE({1,2,3,4},HN!X203,HN!AD203,HN!AJ203,HN!AP203)))</f>
        <v>0</v>
      </c>
      <c r="I203">
        <f>SUMPRODUCT((MONTH(CHOOSE({1,2,3,4},HN!U203,HN!AA203,HN!AG203,HN!AM203))=9)*(CHOOSE({1,2,3,4},HN!X203,HN!AD203,HN!AJ203,HN!AP203)))</f>
        <v>0</v>
      </c>
      <c r="J203">
        <f>SUMPRODUCT((MONTH(CHOOSE({1,2,3,4},HN!U203,HN!AA203,HN!AG203,HN!AM203))=10)*(CHOOSE({1,2,3,4},HN!X203,HN!AD203,HN!AJ203,HN!AP203)))</f>
        <v>0</v>
      </c>
      <c r="K203">
        <f>SUMPRODUCT((MONTH(CHOOSE({1,2,3,4},HN!U203,HN!AA203,HN!AG203,HN!AM203))=11)*(CHOOSE({1,2,3,4},HN!X203,HN!AD203,HN!AJ203,HN!AP203)))</f>
        <v>0</v>
      </c>
      <c r="L203">
        <f>SUMPRODUCT((MONTH(CHOOSE({1,2,3,4},HN!U203,HN!AA203,HN!AG203,HN!AM203))=12)*(CHOOSE({1,2,3,4},HN!X203,HN!AD203,HN!AJ203,HN!AP203)))</f>
        <v>0</v>
      </c>
    </row>
    <row r="204" spans="1:12">
      <c r="A204">
        <f>SUMPRODUCT((MONTH(CHOOSE({1,2,3,4},HN!U204,HN!AA204,HN!AG204,HN!AM204))=1)*(CHOOSE({1,2,3,4},HN!X204,HN!AD204,HN!AJ204,HN!AP204)))</f>
        <v>0</v>
      </c>
      <c r="B204">
        <f>SUMPRODUCT((MONTH(CHOOSE({1,2,3,4},HN!U204,HN!AA204,HN!AG204,HN!AM204))=2)*(CHOOSE({1,2,3,4},HN!X204,HN!AD204,HN!AJ204,HN!AP204)))</f>
        <v>0</v>
      </c>
      <c r="C204">
        <f>SUMPRODUCT((MONTH(CHOOSE({1,2,3,4},HN!U204,HN!AA204,HN!AG204,HN!AM204))=3)*(CHOOSE({1,2,3,4},HN!X204,HN!AD204,HN!AJ204,HN!AP204)))</f>
        <v>0</v>
      </c>
      <c r="D204">
        <f>SUMPRODUCT((MONTH(CHOOSE({1,2,3,4},HN!U204,HN!AA204,HN!AG204,HN!AM204))=4)*(CHOOSE({1,2,3,4},HN!X204,HN!AD204,HN!AJ204,HN!AP204)))</f>
        <v>0</v>
      </c>
      <c r="E204">
        <f>SUMPRODUCT((MONTH(CHOOSE({1,2,3,4},HN!U204,HN!AA204,HN!AG204,HN!AM204))=5)*(CHOOSE({1,2,3,4},HN!X204,HN!AD204,HN!AJ204,HN!AP204)))</f>
        <v>0</v>
      </c>
      <c r="F204">
        <f>SUMPRODUCT((MONTH(CHOOSE({1,2,3,4},HN!U204,HN!AA204,HN!AG204,HN!AM204))=6)*(CHOOSE({1,2,3,4},HN!X204,HN!AD204,HN!AJ204,HN!AP204)))</f>
        <v>0</v>
      </c>
      <c r="G204">
        <f>SUMPRODUCT((MONTH(CHOOSE({1,2,3,4},HN!U204,HN!AA204,HN!AG204,HN!AM204))=7)*(CHOOSE({1,2,3,4},HN!X204,HN!AD204,HN!AJ204,HN!AP204)))</f>
        <v>0</v>
      </c>
      <c r="H204">
        <f>SUMPRODUCT((MONTH(CHOOSE({1,2,3,4},HN!U204,HN!AA204,HN!AG204,HN!AM204))=8)*(CHOOSE({1,2,3,4},HN!X204,HN!AD204,HN!AJ204,HN!AP204)))</f>
        <v>0</v>
      </c>
      <c r="I204">
        <f>SUMPRODUCT((MONTH(CHOOSE({1,2,3,4},HN!U204,HN!AA204,HN!AG204,HN!AM204))=9)*(CHOOSE({1,2,3,4},HN!X204,HN!AD204,HN!AJ204,HN!AP204)))</f>
        <v>0</v>
      </c>
      <c r="J204">
        <f>SUMPRODUCT((MONTH(CHOOSE({1,2,3,4},HN!U204,HN!AA204,HN!AG204,HN!AM204))=10)*(CHOOSE({1,2,3,4},HN!X204,HN!AD204,HN!AJ204,HN!AP204)))</f>
        <v>0</v>
      </c>
      <c r="K204">
        <f>SUMPRODUCT((MONTH(CHOOSE({1,2,3,4},HN!U204,HN!AA204,HN!AG204,HN!AM204))=11)*(CHOOSE({1,2,3,4},HN!X204,HN!AD204,HN!AJ204,HN!AP204)))</f>
        <v>0</v>
      </c>
      <c r="L204">
        <f>SUMPRODUCT((MONTH(CHOOSE({1,2,3,4},HN!U204,HN!AA204,HN!AG204,HN!AM204))=12)*(CHOOSE({1,2,3,4},HN!X204,HN!AD204,HN!AJ204,HN!AP204)))</f>
        <v>0</v>
      </c>
    </row>
    <row r="205" spans="1:12">
      <c r="A205">
        <f>SUMPRODUCT((MONTH(CHOOSE({1,2,3,4},HN!U205,HN!AA205,HN!AG205,HN!AM205))=1)*(CHOOSE({1,2,3,4},HN!X205,HN!AD205,HN!AJ205,HN!AP205)))</f>
        <v>0</v>
      </c>
      <c r="B205">
        <f>SUMPRODUCT((MONTH(CHOOSE({1,2,3,4},HN!U205,HN!AA205,HN!AG205,HN!AM205))=2)*(CHOOSE({1,2,3,4},HN!X205,HN!AD205,HN!AJ205,HN!AP205)))</f>
        <v>0</v>
      </c>
      <c r="C205">
        <f>SUMPRODUCT((MONTH(CHOOSE({1,2,3,4},HN!U205,HN!AA205,HN!AG205,HN!AM205))=3)*(CHOOSE({1,2,3,4},HN!X205,HN!AD205,HN!AJ205,HN!AP205)))</f>
        <v>0</v>
      </c>
      <c r="D205">
        <f>SUMPRODUCT((MONTH(CHOOSE({1,2,3,4},HN!U205,HN!AA205,HN!AG205,HN!AM205))=4)*(CHOOSE({1,2,3,4},HN!X205,HN!AD205,HN!AJ205,HN!AP205)))</f>
        <v>0</v>
      </c>
      <c r="E205">
        <f>SUMPRODUCT((MONTH(CHOOSE({1,2,3,4},HN!U205,HN!AA205,HN!AG205,HN!AM205))=5)*(CHOOSE({1,2,3,4},HN!X205,HN!AD205,HN!AJ205,HN!AP205)))</f>
        <v>0</v>
      </c>
      <c r="F205">
        <f>SUMPRODUCT((MONTH(CHOOSE({1,2,3,4},HN!U205,HN!AA205,HN!AG205,HN!AM205))=6)*(CHOOSE({1,2,3,4},HN!X205,HN!AD205,HN!AJ205,HN!AP205)))</f>
        <v>0</v>
      </c>
      <c r="G205">
        <f>SUMPRODUCT((MONTH(CHOOSE({1,2,3,4},HN!U205,HN!AA205,HN!AG205,HN!AM205))=7)*(CHOOSE({1,2,3,4},HN!X205,HN!AD205,HN!AJ205,HN!AP205)))</f>
        <v>0</v>
      </c>
      <c r="H205">
        <f>SUMPRODUCT((MONTH(CHOOSE({1,2,3,4},HN!U205,HN!AA205,HN!AG205,HN!AM205))=8)*(CHOOSE({1,2,3,4},HN!X205,HN!AD205,HN!AJ205,HN!AP205)))</f>
        <v>0</v>
      </c>
      <c r="I205">
        <f>SUMPRODUCT((MONTH(CHOOSE({1,2,3,4},HN!U205,HN!AA205,HN!AG205,HN!AM205))=9)*(CHOOSE({1,2,3,4},HN!X205,HN!AD205,HN!AJ205,HN!AP205)))</f>
        <v>0</v>
      </c>
      <c r="J205">
        <f>SUMPRODUCT((MONTH(CHOOSE({1,2,3,4},HN!U205,HN!AA205,HN!AG205,HN!AM205))=10)*(CHOOSE({1,2,3,4},HN!X205,HN!AD205,HN!AJ205,HN!AP205)))</f>
        <v>0</v>
      </c>
      <c r="K205">
        <f>SUMPRODUCT((MONTH(CHOOSE({1,2,3,4},HN!U205,HN!AA205,HN!AG205,HN!AM205))=11)*(CHOOSE({1,2,3,4},HN!X205,HN!AD205,HN!AJ205,HN!AP205)))</f>
        <v>0</v>
      </c>
      <c r="L205">
        <f>SUMPRODUCT((MONTH(CHOOSE({1,2,3,4},HN!U205,HN!AA205,HN!AG205,HN!AM205))=12)*(CHOOSE({1,2,3,4},HN!X205,HN!AD205,HN!AJ205,HN!AP205)))</f>
        <v>0</v>
      </c>
    </row>
    <row r="206" spans="1:12">
      <c r="A206">
        <f>SUMPRODUCT((MONTH(CHOOSE({1,2,3,4},HN!U206,HN!AA206,HN!AG206,HN!AM206))=1)*(CHOOSE({1,2,3,4},HN!X206,HN!AD206,HN!AJ206,HN!AP206)))</f>
        <v>0</v>
      </c>
      <c r="B206">
        <f>SUMPRODUCT((MONTH(CHOOSE({1,2,3,4},HN!U206,HN!AA206,HN!AG206,HN!AM206))=2)*(CHOOSE({1,2,3,4},HN!X206,HN!AD206,HN!AJ206,HN!AP206)))</f>
        <v>0</v>
      </c>
      <c r="C206">
        <f>SUMPRODUCT((MONTH(CHOOSE({1,2,3,4},HN!U206,HN!AA206,HN!AG206,HN!AM206))=3)*(CHOOSE({1,2,3,4},HN!X206,HN!AD206,HN!AJ206,HN!AP206)))</f>
        <v>0</v>
      </c>
      <c r="D206">
        <f>SUMPRODUCT((MONTH(CHOOSE({1,2,3,4},HN!U206,HN!AA206,HN!AG206,HN!AM206))=4)*(CHOOSE({1,2,3,4},HN!X206,HN!AD206,HN!AJ206,HN!AP206)))</f>
        <v>0</v>
      </c>
      <c r="E206">
        <f>SUMPRODUCT((MONTH(CHOOSE({1,2,3,4},HN!U206,HN!AA206,HN!AG206,HN!AM206))=5)*(CHOOSE({1,2,3,4},HN!X206,HN!AD206,HN!AJ206,HN!AP206)))</f>
        <v>0</v>
      </c>
      <c r="F206">
        <f>SUMPRODUCT((MONTH(CHOOSE({1,2,3,4},HN!U206,HN!AA206,HN!AG206,HN!AM206))=6)*(CHOOSE({1,2,3,4},HN!X206,HN!AD206,HN!AJ206,HN!AP206)))</f>
        <v>0</v>
      </c>
      <c r="G206">
        <f>SUMPRODUCT((MONTH(CHOOSE({1,2,3,4},HN!U206,HN!AA206,HN!AG206,HN!AM206))=7)*(CHOOSE({1,2,3,4},HN!X206,HN!AD206,HN!AJ206,HN!AP206)))</f>
        <v>0</v>
      </c>
      <c r="H206">
        <f>SUMPRODUCT((MONTH(CHOOSE({1,2,3,4},HN!U206,HN!AA206,HN!AG206,HN!AM206))=8)*(CHOOSE({1,2,3,4},HN!X206,HN!AD206,HN!AJ206,HN!AP206)))</f>
        <v>0</v>
      </c>
      <c r="I206">
        <f>SUMPRODUCT((MONTH(CHOOSE({1,2,3,4},HN!U206,HN!AA206,HN!AG206,HN!AM206))=9)*(CHOOSE({1,2,3,4},HN!X206,HN!AD206,HN!AJ206,HN!AP206)))</f>
        <v>0</v>
      </c>
      <c r="J206">
        <f>SUMPRODUCT((MONTH(CHOOSE({1,2,3,4},HN!U206,HN!AA206,HN!AG206,HN!AM206))=10)*(CHOOSE({1,2,3,4},HN!X206,HN!AD206,HN!AJ206,HN!AP206)))</f>
        <v>0</v>
      </c>
      <c r="K206">
        <f>SUMPRODUCT((MONTH(CHOOSE({1,2,3,4},HN!U206,HN!AA206,HN!AG206,HN!AM206))=11)*(CHOOSE({1,2,3,4},HN!X206,HN!AD206,HN!AJ206,HN!AP206)))</f>
        <v>0</v>
      </c>
      <c r="L206">
        <f>SUMPRODUCT((MONTH(CHOOSE({1,2,3,4},HN!U206,HN!AA206,HN!AG206,HN!AM206))=12)*(CHOOSE({1,2,3,4},HN!X206,HN!AD206,HN!AJ206,HN!AP206)))</f>
        <v>0</v>
      </c>
    </row>
    <row r="207" spans="1:12">
      <c r="A207">
        <f>SUMPRODUCT((MONTH(CHOOSE({1,2,3,4},HN!U207,HN!AA207,HN!AG207,HN!AM207))=1)*(CHOOSE({1,2,3,4},HN!X207,HN!AD207,HN!AJ207,HN!AP207)))</f>
        <v>0</v>
      </c>
      <c r="B207">
        <f>SUMPRODUCT((MONTH(CHOOSE({1,2,3,4},HN!U207,HN!AA207,HN!AG207,HN!AM207))=2)*(CHOOSE({1,2,3,4},HN!X207,HN!AD207,HN!AJ207,HN!AP207)))</f>
        <v>0</v>
      </c>
      <c r="C207">
        <f>SUMPRODUCT((MONTH(CHOOSE({1,2,3,4},HN!U207,HN!AA207,HN!AG207,HN!AM207))=3)*(CHOOSE({1,2,3,4},HN!X207,HN!AD207,HN!AJ207,HN!AP207)))</f>
        <v>0</v>
      </c>
      <c r="D207">
        <f>SUMPRODUCT((MONTH(CHOOSE({1,2,3,4},HN!U207,HN!AA207,HN!AG207,HN!AM207))=4)*(CHOOSE({1,2,3,4},HN!X207,HN!AD207,HN!AJ207,HN!AP207)))</f>
        <v>0</v>
      </c>
      <c r="E207">
        <f>SUMPRODUCT((MONTH(CHOOSE({1,2,3,4},HN!U207,HN!AA207,HN!AG207,HN!AM207))=5)*(CHOOSE({1,2,3,4},HN!X207,HN!AD207,HN!AJ207,HN!AP207)))</f>
        <v>0</v>
      </c>
      <c r="F207">
        <f>SUMPRODUCT((MONTH(CHOOSE({1,2,3,4},HN!U207,HN!AA207,HN!AG207,HN!AM207))=6)*(CHOOSE({1,2,3,4},HN!X207,HN!AD207,HN!AJ207,HN!AP207)))</f>
        <v>0</v>
      </c>
      <c r="G207">
        <f>SUMPRODUCT((MONTH(CHOOSE({1,2,3,4},HN!U207,HN!AA207,HN!AG207,HN!AM207))=7)*(CHOOSE({1,2,3,4},HN!X207,HN!AD207,HN!AJ207,HN!AP207)))</f>
        <v>0</v>
      </c>
      <c r="H207">
        <f>SUMPRODUCT((MONTH(CHOOSE({1,2,3,4},HN!U207,HN!AA207,HN!AG207,HN!AM207))=8)*(CHOOSE({1,2,3,4},HN!X207,HN!AD207,HN!AJ207,HN!AP207)))</f>
        <v>0</v>
      </c>
      <c r="I207">
        <f>SUMPRODUCT((MONTH(CHOOSE({1,2,3,4},HN!U207,HN!AA207,HN!AG207,HN!AM207))=9)*(CHOOSE({1,2,3,4},HN!X207,HN!AD207,HN!AJ207,HN!AP207)))</f>
        <v>0</v>
      </c>
      <c r="J207">
        <f>SUMPRODUCT((MONTH(CHOOSE({1,2,3,4},HN!U207,HN!AA207,HN!AG207,HN!AM207))=10)*(CHOOSE({1,2,3,4},HN!X207,HN!AD207,HN!AJ207,HN!AP207)))</f>
        <v>0</v>
      </c>
      <c r="K207">
        <f>SUMPRODUCT((MONTH(CHOOSE({1,2,3,4},HN!U207,HN!AA207,HN!AG207,HN!AM207))=11)*(CHOOSE({1,2,3,4},HN!X207,HN!AD207,HN!AJ207,HN!AP207)))</f>
        <v>0</v>
      </c>
      <c r="L207">
        <f>SUMPRODUCT((MONTH(CHOOSE({1,2,3,4},HN!U207,HN!AA207,HN!AG207,HN!AM207))=12)*(CHOOSE({1,2,3,4},HN!X207,HN!AD207,HN!AJ207,HN!AP207)))</f>
        <v>0</v>
      </c>
    </row>
    <row r="208" spans="1:12">
      <c r="A208">
        <f>SUMPRODUCT((MONTH(CHOOSE({1,2,3,4},HN!U208,HN!AA208,HN!AG208,HN!AM208))=1)*(CHOOSE({1,2,3,4},HN!X208,HN!AD208,HN!AJ208,HN!AP208)))</f>
        <v>0</v>
      </c>
      <c r="B208">
        <f>SUMPRODUCT((MONTH(CHOOSE({1,2,3,4},HN!U208,HN!AA208,HN!AG208,HN!AM208))=2)*(CHOOSE({1,2,3,4},HN!X208,HN!AD208,HN!AJ208,HN!AP208)))</f>
        <v>0</v>
      </c>
      <c r="C208">
        <f>SUMPRODUCT((MONTH(CHOOSE({1,2,3,4},HN!U208,HN!AA208,HN!AG208,HN!AM208))=3)*(CHOOSE({1,2,3,4},HN!X208,HN!AD208,HN!AJ208,HN!AP208)))</f>
        <v>0</v>
      </c>
      <c r="D208">
        <f>SUMPRODUCT((MONTH(CHOOSE({1,2,3,4},HN!U208,HN!AA208,HN!AG208,HN!AM208))=4)*(CHOOSE({1,2,3,4},HN!X208,HN!AD208,HN!AJ208,HN!AP208)))</f>
        <v>0</v>
      </c>
      <c r="E208">
        <f>SUMPRODUCT((MONTH(CHOOSE({1,2,3,4},HN!U208,HN!AA208,HN!AG208,HN!AM208))=5)*(CHOOSE({1,2,3,4},HN!X208,HN!AD208,HN!AJ208,HN!AP208)))</f>
        <v>0</v>
      </c>
      <c r="F208">
        <f>SUMPRODUCT((MONTH(CHOOSE({1,2,3,4},HN!U208,HN!AA208,HN!AG208,HN!AM208))=6)*(CHOOSE({1,2,3,4},HN!X208,HN!AD208,HN!AJ208,HN!AP208)))</f>
        <v>0</v>
      </c>
      <c r="G208">
        <f>SUMPRODUCT((MONTH(CHOOSE({1,2,3,4},HN!U208,HN!AA208,HN!AG208,HN!AM208))=7)*(CHOOSE({1,2,3,4},HN!X208,HN!AD208,HN!AJ208,HN!AP208)))</f>
        <v>0</v>
      </c>
      <c r="H208">
        <f>SUMPRODUCT((MONTH(CHOOSE({1,2,3,4},HN!U208,HN!AA208,HN!AG208,HN!AM208))=8)*(CHOOSE({1,2,3,4},HN!X208,HN!AD208,HN!AJ208,HN!AP208)))</f>
        <v>0</v>
      </c>
      <c r="I208">
        <f>SUMPRODUCT((MONTH(CHOOSE({1,2,3,4},HN!U208,HN!AA208,HN!AG208,HN!AM208))=9)*(CHOOSE({1,2,3,4},HN!X208,HN!AD208,HN!AJ208,HN!AP208)))</f>
        <v>0</v>
      </c>
      <c r="J208">
        <f>SUMPRODUCT((MONTH(CHOOSE({1,2,3,4},HN!U208,HN!AA208,HN!AG208,HN!AM208))=10)*(CHOOSE({1,2,3,4},HN!X208,HN!AD208,HN!AJ208,HN!AP208)))</f>
        <v>0</v>
      </c>
      <c r="K208">
        <f>SUMPRODUCT((MONTH(CHOOSE({1,2,3,4},HN!U208,HN!AA208,HN!AG208,HN!AM208))=11)*(CHOOSE({1,2,3,4},HN!X208,HN!AD208,HN!AJ208,HN!AP208)))</f>
        <v>0</v>
      </c>
      <c r="L208">
        <f>SUMPRODUCT((MONTH(CHOOSE({1,2,3,4},HN!U208,HN!AA208,HN!AG208,HN!AM208))=12)*(CHOOSE({1,2,3,4},HN!X208,HN!AD208,HN!AJ208,HN!AP208)))</f>
        <v>0</v>
      </c>
    </row>
    <row r="209" spans="1:12">
      <c r="A209">
        <f>SUMPRODUCT((MONTH(CHOOSE({1,2,3,4},HN!U209,HN!AA209,HN!AG209,HN!AM209))=1)*(CHOOSE({1,2,3,4},HN!X209,HN!AD209,HN!AJ209,HN!AP209)))</f>
        <v>0</v>
      </c>
      <c r="B209">
        <f>SUMPRODUCT((MONTH(CHOOSE({1,2,3,4},HN!U209,HN!AA209,HN!AG209,HN!AM209))=2)*(CHOOSE({1,2,3,4},HN!X209,HN!AD209,HN!AJ209,HN!AP209)))</f>
        <v>0</v>
      </c>
      <c r="C209">
        <f>SUMPRODUCT((MONTH(CHOOSE({1,2,3,4},HN!U209,HN!AA209,HN!AG209,HN!AM209))=3)*(CHOOSE({1,2,3,4},HN!X209,HN!AD209,HN!AJ209,HN!AP209)))</f>
        <v>0</v>
      </c>
      <c r="D209">
        <f>SUMPRODUCT((MONTH(CHOOSE({1,2,3,4},HN!U209,HN!AA209,HN!AG209,HN!AM209))=4)*(CHOOSE({1,2,3,4},HN!X209,HN!AD209,HN!AJ209,HN!AP209)))</f>
        <v>0</v>
      </c>
      <c r="E209">
        <f>SUMPRODUCT((MONTH(CHOOSE({1,2,3,4},HN!U209,HN!AA209,HN!AG209,HN!AM209))=5)*(CHOOSE({1,2,3,4},HN!X209,HN!AD209,HN!AJ209,HN!AP209)))</f>
        <v>0</v>
      </c>
      <c r="F209">
        <f>SUMPRODUCT((MONTH(CHOOSE({1,2,3,4},HN!U209,HN!AA209,HN!AG209,HN!AM209))=6)*(CHOOSE({1,2,3,4},HN!X209,HN!AD209,HN!AJ209,HN!AP209)))</f>
        <v>0</v>
      </c>
      <c r="G209">
        <f>SUMPRODUCT((MONTH(CHOOSE({1,2,3,4},HN!U209,HN!AA209,HN!AG209,HN!AM209))=7)*(CHOOSE({1,2,3,4},HN!X209,HN!AD209,HN!AJ209,HN!AP209)))</f>
        <v>0</v>
      </c>
      <c r="H209">
        <f>SUMPRODUCT((MONTH(CHOOSE({1,2,3,4},HN!U209,HN!AA209,HN!AG209,HN!AM209))=8)*(CHOOSE({1,2,3,4},HN!X209,HN!AD209,HN!AJ209,HN!AP209)))</f>
        <v>0</v>
      </c>
      <c r="I209">
        <f>SUMPRODUCT((MONTH(CHOOSE({1,2,3,4},HN!U209,HN!AA209,HN!AG209,HN!AM209))=9)*(CHOOSE({1,2,3,4},HN!X209,HN!AD209,HN!AJ209,HN!AP209)))</f>
        <v>0</v>
      </c>
      <c r="J209">
        <f>SUMPRODUCT((MONTH(CHOOSE({1,2,3,4},HN!U209,HN!AA209,HN!AG209,HN!AM209))=10)*(CHOOSE({1,2,3,4},HN!X209,HN!AD209,HN!AJ209,HN!AP209)))</f>
        <v>0</v>
      </c>
      <c r="K209">
        <f>SUMPRODUCT((MONTH(CHOOSE({1,2,3,4},HN!U209,HN!AA209,HN!AG209,HN!AM209))=11)*(CHOOSE({1,2,3,4},HN!X209,HN!AD209,HN!AJ209,HN!AP209)))</f>
        <v>0</v>
      </c>
      <c r="L209">
        <f>SUMPRODUCT((MONTH(CHOOSE({1,2,3,4},HN!U209,HN!AA209,HN!AG209,HN!AM209))=12)*(CHOOSE({1,2,3,4},HN!X209,HN!AD209,HN!AJ209,HN!AP209)))</f>
        <v>0</v>
      </c>
    </row>
    <row r="210" spans="1:12">
      <c r="A210">
        <f>SUMPRODUCT((MONTH(CHOOSE({1,2,3,4},HN!U210,HN!AA210,HN!AG210,HN!AM210))=1)*(CHOOSE({1,2,3,4},HN!X210,HN!AD210,HN!AJ210,HN!AP210)))</f>
        <v>0</v>
      </c>
      <c r="B210">
        <f>SUMPRODUCT((MONTH(CHOOSE({1,2,3,4},HN!U210,HN!AA210,HN!AG210,HN!AM210))=2)*(CHOOSE({1,2,3,4},HN!X210,HN!AD210,HN!AJ210,HN!AP210)))</f>
        <v>0</v>
      </c>
      <c r="C210">
        <f>SUMPRODUCT((MONTH(CHOOSE({1,2,3,4},HN!U210,HN!AA210,HN!AG210,HN!AM210))=3)*(CHOOSE({1,2,3,4},HN!X210,HN!AD210,HN!AJ210,HN!AP210)))</f>
        <v>0</v>
      </c>
      <c r="D210">
        <f>SUMPRODUCT((MONTH(CHOOSE({1,2,3,4},HN!U210,HN!AA210,HN!AG210,HN!AM210))=4)*(CHOOSE({1,2,3,4},HN!X210,HN!AD210,HN!AJ210,HN!AP210)))</f>
        <v>0</v>
      </c>
      <c r="E210">
        <f>SUMPRODUCT((MONTH(CHOOSE({1,2,3,4},HN!U210,HN!AA210,HN!AG210,HN!AM210))=5)*(CHOOSE({1,2,3,4},HN!X210,HN!AD210,HN!AJ210,HN!AP210)))</f>
        <v>0</v>
      </c>
      <c r="F210">
        <f>SUMPRODUCT((MONTH(CHOOSE({1,2,3,4},HN!U210,HN!AA210,HN!AG210,HN!AM210))=6)*(CHOOSE({1,2,3,4},HN!X210,HN!AD210,HN!AJ210,HN!AP210)))</f>
        <v>0</v>
      </c>
      <c r="G210">
        <f>SUMPRODUCT((MONTH(CHOOSE({1,2,3,4},HN!U210,HN!AA210,HN!AG210,HN!AM210))=7)*(CHOOSE({1,2,3,4},HN!X210,HN!AD210,HN!AJ210,HN!AP210)))</f>
        <v>0</v>
      </c>
      <c r="H210">
        <f>SUMPRODUCT((MONTH(CHOOSE({1,2,3,4},HN!U210,HN!AA210,HN!AG210,HN!AM210))=8)*(CHOOSE({1,2,3,4},HN!X210,HN!AD210,HN!AJ210,HN!AP210)))</f>
        <v>0</v>
      </c>
      <c r="I210">
        <f>SUMPRODUCT((MONTH(CHOOSE({1,2,3,4},HN!U210,HN!AA210,HN!AG210,HN!AM210))=9)*(CHOOSE({1,2,3,4},HN!X210,HN!AD210,HN!AJ210,HN!AP210)))</f>
        <v>0</v>
      </c>
      <c r="J210">
        <f>SUMPRODUCT((MONTH(CHOOSE({1,2,3,4},HN!U210,HN!AA210,HN!AG210,HN!AM210))=10)*(CHOOSE({1,2,3,4},HN!X210,HN!AD210,HN!AJ210,HN!AP210)))</f>
        <v>0</v>
      </c>
      <c r="K210">
        <f>SUMPRODUCT((MONTH(CHOOSE({1,2,3,4},HN!U210,HN!AA210,HN!AG210,HN!AM210))=11)*(CHOOSE({1,2,3,4},HN!X210,HN!AD210,HN!AJ210,HN!AP210)))</f>
        <v>0</v>
      </c>
      <c r="L210">
        <f>SUMPRODUCT((MONTH(CHOOSE({1,2,3,4},HN!U210,HN!AA210,HN!AG210,HN!AM210))=12)*(CHOOSE({1,2,3,4},HN!X210,HN!AD210,HN!AJ210,HN!AP210)))</f>
        <v>0</v>
      </c>
    </row>
    <row r="211" spans="1:12">
      <c r="A211">
        <f>SUMPRODUCT((MONTH(CHOOSE({1,2,3,4},HN!U211,HN!AA211,HN!AG211,HN!AM211))=1)*(CHOOSE({1,2,3,4},HN!X211,HN!AD211,HN!AJ211,HN!AP211)))</f>
        <v>0</v>
      </c>
      <c r="B211">
        <f>SUMPRODUCT((MONTH(CHOOSE({1,2,3,4},HN!U211,HN!AA211,HN!AG211,HN!AM211))=2)*(CHOOSE({1,2,3,4},HN!X211,HN!AD211,HN!AJ211,HN!AP211)))</f>
        <v>0</v>
      </c>
      <c r="C211">
        <f>SUMPRODUCT((MONTH(CHOOSE({1,2,3,4},HN!U211,HN!AA211,HN!AG211,HN!AM211))=3)*(CHOOSE({1,2,3,4},HN!X211,HN!AD211,HN!AJ211,HN!AP211)))</f>
        <v>0</v>
      </c>
      <c r="D211">
        <f>SUMPRODUCT((MONTH(CHOOSE({1,2,3,4},HN!U211,HN!AA211,HN!AG211,HN!AM211))=4)*(CHOOSE({1,2,3,4},HN!X211,HN!AD211,HN!AJ211,HN!AP211)))</f>
        <v>0</v>
      </c>
      <c r="E211">
        <f>SUMPRODUCT((MONTH(CHOOSE({1,2,3,4},HN!U211,HN!AA211,HN!AG211,HN!AM211))=5)*(CHOOSE({1,2,3,4},HN!X211,HN!AD211,HN!AJ211,HN!AP211)))</f>
        <v>0</v>
      </c>
      <c r="F211">
        <f>SUMPRODUCT((MONTH(CHOOSE({1,2,3,4},HN!U211,HN!AA211,HN!AG211,HN!AM211))=6)*(CHOOSE({1,2,3,4},HN!X211,HN!AD211,HN!AJ211,HN!AP211)))</f>
        <v>0</v>
      </c>
      <c r="G211">
        <f>SUMPRODUCT((MONTH(CHOOSE({1,2,3,4},HN!U211,HN!AA211,HN!AG211,HN!AM211))=7)*(CHOOSE({1,2,3,4},HN!X211,HN!AD211,HN!AJ211,HN!AP211)))</f>
        <v>0</v>
      </c>
      <c r="H211">
        <f>SUMPRODUCT((MONTH(CHOOSE({1,2,3,4},HN!U211,HN!AA211,HN!AG211,HN!AM211))=8)*(CHOOSE({1,2,3,4},HN!X211,HN!AD211,HN!AJ211,HN!AP211)))</f>
        <v>0</v>
      </c>
      <c r="I211">
        <f>SUMPRODUCT((MONTH(CHOOSE({1,2,3,4},HN!U211,HN!AA211,HN!AG211,HN!AM211))=9)*(CHOOSE({1,2,3,4},HN!X211,HN!AD211,HN!AJ211,HN!AP211)))</f>
        <v>0</v>
      </c>
      <c r="J211">
        <f>SUMPRODUCT((MONTH(CHOOSE({1,2,3,4},HN!U211,HN!AA211,HN!AG211,HN!AM211))=10)*(CHOOSE({1,2,3,4},HN!X211,HN!AD211,HN!AJ211,HN!AP211)))</f>
        <v>0</v>
      </c>
      <c r="K211">
        <f>SUMPRODUCT((MONTH(CHOOSE({1,2,3,4},HN!U211,HN!AA211,HN!AG211,HN!AM211))=11)*(CHOOSE({1,2,3,4},HN!X211,HN!AD211,HN!AJ211,HN!AP211)))</f>
        <v>0</v>
      </c>
      <c r="L211">
        <f>SUMPRODUCT((MONTH(CHOOSE({1,2,3,4},HN!U211,HN!AA211,HN!AG211,HN!AM211))=12)*(CHOOSE({1,2,3,4},HN!X211,HN!AD211,HN!AJ211,HN!AP211)))</f>
        <v>0</v>
      </c>
    </row>
    <row r="212" spans="1:12">
      <c r="A212">
        <f>SUMPRODUCT((MONTH(CHOOSE({1,2,3,4},HN!U212,HN!AA212,HN!AG212,HN!AM212))=1)*(CHOOSE({1,2,3,4},HN!X212,HN!AD212,HN!AJ212,HN!AP212)))</f>
        <v>0</v>
      </c>
      <c r="B212">
        <f>SUMPRODUCT((MONTH(CHOOSE({1,2,3,4},HN!U212,HN!AA212,HN!AG212,HN!AM212))=2)*(CHOOSE({1,2,3,4},HN!X212,HN!AD212,HN!AJ212,HN!AP212)))</f>
        <v>0</v>
      </c>
      <c r="C212">
        <f>SUMPRODUCT((MONTH(CHOOSE({1,2,3,4},HN!U212,HN!AA212,HN!AG212,HN!AM212))=3)*(CHOOSE({1,2,3,4},HN!X212,HN!AD212,HN!AJ212,HN!AP212)))</f>
        <v>0</v>
      </c>
      <c r="D212">
        <f>SUMPRODUCT((MONTH(CHOOSE({1,2,3,4},HN!U212,HN!AA212,HN!AG212,HN!AM212))=4)*(CHOOSE({1,2,3,4},HN!X212,HN!AD212,HN!AJ212,HN!AP212)))</f>
        <v>0</v>
      </c>
      <c r="E212">
        <f>SUMPRODUCT((MONTH(CHOOSE({1,2,3,4},HN!U212,HN!AA212,HN!AG212,HN!AM212))=5)*(CHOOSE({1,2,3,4},HN!X212,HN!AD212,HN!AJ212,HN!AP212)))</f>
        <v>0</v>
      </c>
      <c r="F212">
        <f>SUMPRODUCT((MONTH(CHOOSE({1,2,3,4},HN!U212,HN!AA212,HN!AG212,HN!AM212))=6)*(CHOOSE({1,2,3,4},HN!X212,HN!AD212,HN!AJ212,HN!AP212)))</f>
        <v>0</v>
      </c>
      <c r="G212">
        <f>SUMPRODUCT((MONTH(CHOOSE({1,2,3,4},HN!U212,HN!AA212,HN!AG212,HN!AM212))=7)*(CHOOSE({1,2,3,4},HN!X212,HN!AD212,HN!AJ212,HN!AP212)))</f>
        <v>0</v>
      </c>
      <c r="H212">
        <f>SUMPRODUCT((MONTH(CHOOSE({1,2,3,4},HN!U212,HN!AA212,HN!AG212,HN!AM212))=8)*(CHOOSE({1,2,3,4},HN!X212,HN!AD212,HN!AJ212,HN!AP212)))</f>
        <v>0</v>
      </c>
      <c r="I212">
        <f>SUMPRODUCT((MONTH(CHOOSE({1,2,3,4},HN!U212,HN!AA212,HN!AG212,HN!AM212))=9)*(CHOOSE({1,2,3,4},HN!X212,HN!AD212,HN!AJ212,HN!AP212)))</f>
        <v>0</v>
      </c>
      <c r="J212">
        <f>SUMPRODUCT((MONTH(CHOOSE({1,2,3,4},HN!U212,HN!AA212,HN!AG212,HN!AM212))=10)*(CHOOSE({1,2,3,4},HN!X212,HN!AD212,HN!AJ212,HN!AP212)))</f>
        <v>0</v>
      </c>
      <c r="K212">
        <f>SUMPRODUCT((MONTH(CHOOSE({1,2,3,4},HN!U212,HN!AA212,HN!AG212,HN!AM212))=11)*(CHOOSE({1,2,3,4},HN!X212,HN!AD212,HN!AJ212,HN!AP212)))</f>
        <v>0</v>
      </c>
      <c r="L212">
        <f>SUMPRODUCT((MONTH(CHOOSE({1,2,3,4},HN!U212,HN!AA212,HN!AG212,HN!AM212))=12)*(CHOOSE({1,2,3,4},HN!X212,HN!AD212,HN!AJ212,HN!AP212)))</f>
        <v>0</v>
      </c>
    </row>
    <row r="213" spans="1:12">
      <c r="A213">
        <f>SUMPRODUCT((MONTH(CHOOSE({1,2,3,4},HN!U213,HN!AA213,HN!AG213,HN!AM213))=1)*(CHOOSE({1,2,3,4},HN!X213,HN!AD213,HN!AJ213,HN!AP213)))</f>
        <v>0</v>
      </c>
      <c r="B213">
        <f>SUMPRODUCT((MONTH(CHOOSE({1,2,3,4},HN!U213,HN!AA213,HN!AG213,HN!AM213))=2)*(CHOOSE({1,2,3,4},HN!X213,HN!AD213,HN!AJ213,HN!AP213)))</f>
        <v>0</v>
      </c>
      <c r="C213">
        <f>SUMPRODUCT((MONTH(CHOOSE({1,2,3,4},HN!U213,HN!AA213,HN!AG213,HN!AM213))=3)*(CHOOSE({1,2,3,4},HN!X213,HN!AD213,HN!AJ213,HN!AP213)))</f>
        <v>0</v>
      </c>
      <c r="D213">
        <f>SUMPRODUCT((MONTH(CHOOSE({1,2,3,4},HN!U213,HN!AA213,HN!AG213,HN!AM213))=4)*(CHOOSE({1,2,3,4},HN!X213,HN!AD213,HN!AJ213,HN!AP213)))</f>
        <v>0</v>
      </c>
      <c r="E213">
        <f>SUMPRODUCT((MONTH(CHOOSE({1,2,3,4},HN!U213,HN!AA213,HN!AG213,HN!AM213))=5)*(CHOOSE({1,2,3,4},HN!X213,HN!AD213,HN!AJ213,HN!AP213)))</f>
        <v>0</v>
      </c>
      <c r="F213">
        <f>SUMPRODUCT((MONTH(CHOOSE({1,2,3,4},HN!U213,HN!AA213,HN!AG213,HN!AM213))=6)*(CHOOSE({1,2,3,4},HN!X213,HN!AD213,HN!AJ213,HN!AP213)))</f>
        <v>0</v>
      </c>
      <c r="G213">
        <f>SUMPRODUCT((MONTH(CHOOSE({1,2,3,4},HN!U213,HN!AA213,HN!AG213,HN!AM213))=7)*(CHOOSE({1,2,3,4},HN!X213,HN!AD213,HN!AJ213,HN!AP213)))</f>
        <v>0</v>
      </c>
      <c r="H213">
        <f>SUMPRODUCT((MONTH(CHOOSE({1,2,3,4},HN!U213,HN!AA213,HN!AG213,HN!AM213))=8)*(CHOOSE({1,2,3,4},HN!X213,HN!AD213,HN!AJ213,HN!AP213)))</f>
        <v>0</v>
      </c>
      <c r="I213">
        <f>SUMPRODUCT((MONTH(CHOOSE({1,2,3,4},HN!U213,HN!AA213,HN!AG213,HN!AM213))=9)*(CHOOSE({1,2,3,4},HN!X213,HN!AD213,HN!AJ213,HN!AP213)))</f>
        <v>0</v>
      </c>
      <c r="J213">
        <f>SUMPRODUCT((MONTH(CHOOSE({1,2,3,4},HN!U213,HN!AA213,HN!AG213,HN!AM213))=10)*(CHOOSE({1,2,3,4},HN!X213,HN!AD213,HN!AJ213,HN!AP213)))</f>
        <v>0</v>
      </c>
      <c r="K213">
        <f>SUMPRODUCT((MONTH(CHOOSE({1,2,3,4},HN!U213,HN!AA213,HN!AG213,HN!AM213))=11)*(CHOOSE({1,2,3,4},HN!X213,HN!AD213,HN!AJ213,HN!AP213)))</f>
        <v>0</v>
      </c>
      <c r="L213">
        <f>SUMPRODUCT((MONTH(CHOOSE({1,2,3,4},HN!U213,HN!AA213,HN!AG213,HN!AM213))=12)*(CHOOSE({1,2,3,4},HN!X213,HN!AD213,HN!AJ213,HN!AP213)))</f>
        <v>0</v>
      </c>
    </row>
    <row r="214" spans="1:12">
      <c r="A214">
        <f>SUMPRODUCT((MONTH(CHOOSE({1,2,3,4},HN!U214,HN!AA214,HN!AG214,HN!AM214))=1)*(CHOOSE({1,2,3,4},HN!X214,HN!AD214,HN!AJ214,HN!AP214)))</f>
        <v>0</v>
      </c>
      <c r="B214">
        <f>SUMPRODUCT((MONTH(CHOOSE({1,2,3,4},HN!U214,HN!AA214,HN!AG214,HN!AM214))=2)*(CHOOSE({1,2,3,4},HN!X214,HN!AD214,HN!AJ214,HN!AP214)))</f>
        <v>0</v>
      </c>
      <c r="C214">
        <f>SUMPRODUCT((MONTH(CHOOSE({1,2,3,4},HN!U214,HN!AA214,HN!AG214,HN!AM214))=3)*(CHOOSE({1,2,3,4},HN!X214,HN!AD214,HN!AJ214,HN!AP214)))</f>
        <v>0</v>
      </c>
      <c r="D214">
        <f>SUMPRODUCT((MONTH(CHOOSE({1,2,3,4},HN!U214,HN!AA214,HN!AG214,HN!AM214))=4)*(CHOOSE({1,2,3,4},HN!X214,HN!AD214,HN!AJ214,HN!AP214)))</f>
        <v>0</v>
      </c>
      <c r="E214">
        <f>SUMPRODUCT((MONTH(CHOOSE({1,2,3,4},HN!U214,HN!AA214,HN!AG214,HN!AM214))=5)*(CHOOSE({1,2,3,4},HN!X214,HN!AD214,HN!AJ214,HN!AP214)))</f>
        <v>0</v>
      </c>
      <c r="F214">
        <f>SUMPRODUCT((MONTH(CHOOSE({1,2,3,4},HN!U214,HN!AA214,HN!AG214,HN!AM214))=6)*(CHOOSE({1,2,3,4},HN!X214,HN!AD214,HN!AJ214,HN!AP214)))</f>
        <v>0</v>
      </c>
      <c r="G214">
        <f>SUMPRODUCT((MONTH(CHOOSE({1,2,3,4},HN!U214,HN!AA214,HN!AG214,HN!AM214))=7)*(CHOOSE({1,2,3,4},HN!X214,HN!AD214,HN!AJ214,HN!AP214)))</f>
        <v>0</v>
      </c>
      <c r="H214">
        <f>SUMPRODUCT((MONTH(CHOOSE({1,2,3,4},HN!U214,HN!AA214,HN!AG214,HN!AM214))=8)*(CHOOSE({1,2,3,4},HN!X214,HN!AD214,HN!AJ214,HN!AP214)))</f>
        <v>0</v>
      </c>
      <c r="I214">
        <f>SUMPRODUCT((MONTH(CHOOSE({1,2,3,4},HN!U214,HN!AA214,HN!AG214,HN!AM214))=9)*(CHOOSE({1,2,3,4},HN!X214,HN!AD214,HN!AJ214,HN!AP214)))</f>
        <v>0</v>
      </c>
      <c r="J214">
        <f>SUMPRODUCT((MONTH(CHOOSE({1,2,3,4},HN!U214,HN!AA214,HN!AG214,HN!AM214))=10)*(CHOOSE({1,2,3,4},HN!X214,HN!AD214,HN!AJ214,HN!AP214)))</f>
        <v>0</v>
      </c>
      <c r="K214">
        <f>SUMPRODUCT((MONTH(CHOOSE({1,2,3,4},HN!U214,HN!AA214,HN!AG214,HN!AM214))=11)*(CHOOSE({1,2,3,4},HN!X214,HN!AD214,HN!AJ214,HN!AP214)))</f>
        <v>0</v>
      </c>
      <c r="L214">
        <f>SUMPRODUCT((MONTH(CHOOSE({1,2,3,4},HN!U214,HN!AA214,HN!AG214,HN!AM214))=12)*(CHOOSE({1,2,3,4},HN!X214,HN!AD214,HN!AJ214,HN!AP214)))</f>
        <v>0</v>
      </c>
    </row>
    <row r="215" spans="1:12">
      <c r="A215">
        <f>SUMPRODUCT((MONTH(CHOOSE({1,2,3,4},HN!U215,HN!AA215,HN!AG215,HN!AM215))=1)*(CHOOSE({1,2,3,4},HN!X215,HN!AD215,HN!AJ215,HN!AP215)))</f>
        <v>0</v>
      </c>
      <c r="B215">
        <f>SUMPRODUCT((MONTH(CHOOSE({1,2,3,4},HN!U215,HN!AA215,HN!AG215,HN!AM215))=2)*(CHOOSE({1,2,3,4},HN!X215,HN!AD215,HN!AJ215,HN!AP215)))</f>
        <v>0</v>
      </c>
      <c r="C215">
        <f>SUMPRODUCT((MONTH(CHOOSE({1,2,3,4},HN!U215,HN!AA215,HN!AG215,HN!AM215))=3)*(CHOOSE({1,2,3,4},HN!X215,HN!AD215,HN!AJ215,HN!AP215)))</f>
        <v>0</v>
      </c>
      <c r="D215">
        <f>SUMPRODUCT((MONTH(CHOOSE({1,2,3,4},HN!U215,HN!AA215,HN!AG215,HN!AM215))=4)*(CHOOSE({1,2,3,4},HN!X215,HN!AD215,HN!AJ215,HN!AP215)))</f>
        <v>0</v>
      </c>
      <c r="E215">
        <f>SUMPRODUCT((MONTH(CHOOSE({1,2,3,4},HN!U215,HN!AA215,HN!AG215,HN!AM215))=5)*(CHOOSE({1,2,3,4},HN!X215,HN!AD215,HN!AJ215,HN!AP215)))</f>
        <v>0</v>
      </c>
      <c r="F215">
        <f>SUMPRODUCT((MONTH(CHOOSE({1,2,3,4},HN!U215,HN!AA215,HN!AG215,HN!AM215))=6)*(CHOOSE({1,2,3,4},HN!X215,HN!AD215,HN!AJ215,HN!AP215)))</f>
        <v>0</v>
      </c>
      <c r="G215">
        <f>SUMPRODUCT((MONTH(CHOOSE({1,2,3,4},HN!U215,HN!AA215,HN!AG215,HN!AM215))=7)*(CHOOSE({1,2,3,4},HN!X215,HN!AD215,HN!AJ215,HN!AP215)))</f>
        <v>0</v>
      </c>
      <c r="H215">
        <f>SUMPRODUCT((MONTH(CHOOSE({1,2,3,4},HN!U215,HN!AA215,HN!AG215,HN!AM215))=8)*(CHOOSE({1,2,3,4},HN!X215,HN!AD215,HN!AJ215,HN!AP215)))</f>
        <v>0</v>
      </c>
      <c r="I215">
        <f>SUMPRODUCT((MONTH(CHOOSE({1,2,3,4},HN!U215,HN!AA215,HN!AG215,HN!AM215))=9)*(CHOOSE({1,2,3,4},HN!X215,HN!AD215,HN!AJ215,HN!AP215)))</f>
        <v>0</v>
      </c>
      <c r="J215">
        <f>SUMPRODUCT((MONTH(CHOOSE({1,2,3,4},HN!U215,HN!AA215,HN!AG215,HN!AM215))=10)*(CHOOSE({1,2,3,4},HN!X215,HN!AD215,HN!AJ215,HN!AP215)))</f>
        <v>0</v>
      </c>
      <c r="K215">
        <f>SUMPRODUCT((MONTH(CHOOSE({1,2,3,4},HN!U215,HN!AA215,HN!AG215,HN!AM215))=11)*(CHOOSE({1,2,3,4},HN!X215,HN!AD215,HN!AJ215,HN!AP215)))</f>
        <v>0</v>
      </c>
      <c r="L215">
        <f>SUMPRODUCT((MONTH(CHOOSE({1,2,3,4},HN!U215,HN!AA215,HN!AG215,HN!AM215))=12)*(CHOOSE({1,2,3,4},HN!X215,HN!AD215,HN!AJ215,HN!AP215)))</f>
        <v>0</v>
      </c>
    </row>
    <row r="216" spans="1:12">
      <c r="A216">
        <f>SUMPRODUCT((MONTH(CHOOSE({1,2,3,4},HN!U216,HN!AA216,HN!AG216,HN!AM216))=1)*(CHOOSE({1,2,3,4},HN!X216,HN!AD216,HN!AJ216,HN!AP216)))</f>
        <v>0</v>
      </c>
      <c r="B216">
        <f>SUMPRODUCT((MONTH(CHOOSE({1,2,3,4},HN!U216,HN!AA216,HN!AG216,HN!AM216))=2)*(CHOOSE({1,2,3,4},HN!X216,HN!AD216,HN!AJ216,HN!AP216)))</f>
        <v>0</v>
      </c>
      <c r="C216">
        <f>SUMPRODUCT((MONTH(CHOOSE({1,2,3,4},HN!U216,HN!AA216,HN!AG216,HN!AM216))=3)*(CHOOSE({1,2,3,4},HN!X216,HN!AD216,HN!AJ216,HN!AP216)))</f>
        <v>0</v>
      </c>
      <c r="D216">
        <f>SUMPRODUCT((MONTH(CHOOSE({1,2,3,4},HN!U216,HN!AA216,HN!AG216,HN!AM216))=4)*(CHOOSE({1,2,3,4},HN!X216,HN!AD216,HN!AJ216,HN!AP216)))</f>
        <v>0</v>
      </c>
      <c r="E216">
        <f>SUMPRODUCT((MONTH(CHOOSE({1,2,3,4},HN!U216,HN!AA216,HN!AG216,HN!AM216))=5)*(CHOOSE({1,2,3,4},HN!X216,HN!AD216,HN!AJ216,HN!AP216)))</f>
        <v>0</v>
      </c>
      <c r="F216">
        <f>SUMPRODUCT((MONTH(CHOOSE({1,2,3,4},HN!U216,HN!AA216,HN!AG216,HN!AM216))=6)*(CHOOSE({1,2,3,4},HN!X216,HN!AD216,HN!AJ216,HN!AP216)))</f>
        <v>0</v>
      </c>
      <c r="G216">
        <f>SUMPRODUCT((MONTH(CHOOSE({1,2,3,4},HN!U216,HN!AA216,HN!AG216,HN!AM216))=7)*(CHOOSE({1,2,3,4},HN!X216,HN!AD216,HN!AJ216,HN!AP216)))</f>
        <v>0</v>
      </c>
      <c r="H216">
        <f>SUMPRODUCT((MONTH(CHOOSE({1,2,3,4},HN!U216,HN!AA216,HN!AG216,HN!AM216))=8)*(CHOOSE({1,2,3,4},HN!X216,HN!AD216,HN!AJ216,HN!AP216)))</f>
        <v>0</v>
      </c>
      <c r="I216">
        <f>SUMPRODUCT((MONTH(CHOOSE({1,2,3,4},HN!U216,HN!AA216,HN!AG216,HN!AM216))=9)*(CHOOSE({1,2,3,4},HN!X216,HN!AD216,HN!AJ216,HN!AP216)))</f>
        <v>0</v>
      </c>
      <c r="J216">
        <f>SUMPRODUCT((MONTH(CHOOSE({1,2,3,4},HN!U216,HN!AA216,HN!AG216,HN!AM216))=10)*(CHOOSE({1,2,3,4},HN!X216,HN!AD216,HN!AJ216,HN!AP216)))</f>
        <v>0</v>
      </c>
      <c r="K216">
        <f>SUMPRODUCT((MONTH(CHOOSE({1,2,3,4},HN!U216,HN!AA216,HN!AG216,HN!AM216))=11)*(CHOOSE({1,2,3,4},HN!X216,HN!AD216,HN!AJ216,HN!AP216)))</f>
        <v>0</v>
      </c>
      <c r="L216">
        <f>SUMPRODUCT((MONTH(CHOOSE({1,2,3,4},HN!U216,HN!AA216,HN!AG216,HN!AM216))=12)*(CHOOSE({1,2,3,4},HN!X216,HN!AD216,HN!AJ216,HN!AP216)))</f>
        <v>0</v>
      </c>
    </row>
    <row r="217" spans="1:12">
      <c r="A217">
        <f>SUMPRODUCT((MONTH(CHOOSE({1,2,3,4},HN!U217,HN!AA217,HN!AG217,HN!AM217))=1)*(CHOOSE({1,2,3,4},HN!X217,HN!AD217,HN!AJ217,HN!AP217)))</f>
        <v>0</v>
      </c>
      <c r="B217">
        <f>SUMPRODUCT((MONTH(CHOOSE({1,2,3,4},HN!U217,HN!AA217,HN!AG217,HN!AM217))=2)*(CHOOSE({1,2,3,4},HN!X217,HN!AD217,HN!AJ217,HN!AP217)))</f>
        <v>0</v>
      </c>
      <c r="C217">
        <f>SUMPRODUCT((MONTH(CHOOSE({1,2,3,4},HN!U217,HN!AA217,HN!AG217,HN!AM217))=3)*(CHOOSE({1,2,3,4},HN!X217,HN!AD217,HN!AJ217,HN!AP217)))</f>
        <v>0</v>
      </c>
      <c r="D217">
        <f>SUMPRODUCT((MONTH(CHOOSE({1,2,3,4},HN!U217,HN!AA217,HN!AG217,HN!AM217))=4)*(CHOOSE({1,2,3,4},HN!X217,HN!AD217,HN!AJ217,HN!AP217)))</f>
        <v>0</v>
      </c>
      <c r="E217">
        <f>SUMPRODUCT((MONTH(CHOOSE({1,2,3,4},HN!U217,HN!AA217,HN!AG217,HN!AM217))=5)*(CHOOSE({1,2,3,4},HN!X217,HN!AD217,HN!AJ217,HN!AP217)))</f>
        <v>0</v>
      </c>
      <c r="F217">
        <f>SUMPRODUCT((MONTH(CHOOSE({1,2,3,4},HN!U217,HN!AA217,HN!AG217,HN!AM217))=6)*(CHOOSE({1,2,3,4},HN!X217,HN!AD217,HN!AJ217,HN!AP217)))</f>
        <v>0</v>
      </c>
      <c r="G217">
        <f>SUMPRODUCT((MONTH(CHOOSE({1,2,3,4},HN!U217,HN!AA217,HN!AG217,HN!AM217))=7)*(CHOOSE({1,2,3,4},HN!X217,HN!AD217,HN!AJ217,HN!AP217)))</f>
        <v>0</v>
      </c>
      <c r="H217">
        <f>SUMPRODUCT((MONTH(CHOOSE({1,2,3,4},HN!U217,HN!AA217,HN!AG217,HN!AM217))=8)*(CHOOSE({1,2,3,4},HN!X217,HN!AD217,HN!AJ217,HN!AP217)))</f>
        <v>0</v>
      </c>
      <c r="I217">
        <f>SUMPRODUCT((MONTH(CHOOSE({1,2,3,4},HN!U217,HN!AA217,HN!AG217,HN!AM217))=9)*(CHOOSE({1,2,3,4},HN!X217,HN!AD217,HN!AJ217,HN!AP217)))</f>
        <v>0</v>
      </c>
      <c r="J217">
        <f>SUMPRODUCT((MONTH(CHOOSE({1,2,3,4},HN!U217,HN!AA217,HN!AG217,HN!AM217))=10)*(CHOOSE({1,2,3,4},HN!X217,HN!AD217,HN!AJ217,HN!AP217)))</f>
        <v>0</v>
      </c>
      <c r="K217">
        <f>SUMPRODUCT((MONTH(CHOOSE({1,2,3,4},HN!U217,HN!AA217,HN!AG217,HN!AM217))=11)*(CHOOSE({1,2,3,4},HN!X217,HN!AD217,HN!AJ217,HN!AP217)))</f>
        <v>0</v>
      </c>
      <c r="L217">
        <f>SUMPRODUCT((MONTH(CHOOSE({1,2,3,4},HN!U217,HN!AA217,HN!AG217,HN!AM217))=12)*(CHOOSE({1,2,3,4},HN!X217,HN!AD217,HN!AJ217,HN!AP217)))</f>
        <v>0</v>
      </c>
    </row>
    <row r="218" spans="1:12">
      <c r="A218">
        <f>SUMPRODUCT((MONTH(CHOOSE({1,2,3,4},HN!U218,HN!AA218,HN!AG218,HN!AM218))=1)*(CHOOSE({1,2,3,4},HN!X218,HN!AD218,HN!AJ218,HN!AP218)))</f>
        <v>0</v>
      </c>
      <c r="B218">
        <f>SUMPRODUCT((MONTH(CHOOSE({1,2,3,4},HN!U218,HN!AA218,HN!AG218,HN!AM218))=2)*(CHOOSE({1,2,3,4},HN!X218,HN!AD218,HN!AJ218,HN!AP218)))</f>
        <v>0</v>
      </c>
      <c r="C218">
        <f>SUMPRODUCT((MONTH(CHOOSE({1,2,3,4},HN!U218,HN!AA218,HN!AG218,HN!AM218))=3)*(CHOOSE({1,2,3,4},HN!X218,HN!AD218,HN!AJ218,HN!AP218)))</f>
        <v>0</v>
      </c>
      <c r="D218">
        <f>SUMPRODUCT((MONTH(CHOOSE({1,2,3,4},HN!U218,HN!AA218,HN!AG218,HN!AM218))=4)*(CHOOSE({1,2,3,4},HN!X218,HN!AD218,HN!AJ218,HN!AP218)))</f>
        <v>0</v>
      </c>
      <c r="E218">
        <f>SUMPRODUCT((MONTH(CHOOSE({1,2,3,4},HN!U218,HN!AA218,HN!AG218,HN!AM218))=5)*(CHOOSE({1,2,3,4},HN!X218,HN!AD218,HN!AJ218,HN!AP218)))</f>
        <v>0</v>
      </c>
      <c r="F218">
        <f>SUMPRODUCT((MONTH(CHOOSE({1,2,3,4},HN!U218,HN!AA218,HN!AG218,HN!AM218))=6)*(CHOOSE({1,2,3,4},HN!X218,HN!AD218,HN!AJ218,HN!AP218)))</f>
        <v>0</v>
      </c>
      <c r="G218">
        <f>SUMPRODUCT((MONTH(CHOOSE({1,2,3,4},HN!U218,HN!AA218,HN!AG218,HN!AM218))=7)*(CHOOSE({1,2,3,4},HN!X218,HN!AD218,HN!AJ218,HN!AP218)))</f>
        <v>0</v>
      </c>
      <c r="H218">
        <f>SUMPRODUCT((MONTH(CHOOSE({1,2,3,4},HN!U218,HN!AA218,HN!AG218,HN!AM218))=8)*(CHOOSE({1,2,3,4},HN!X218,HN!AD218,HN!AJ218,HN!AP218)))</f>
        <v>0</v>
      </c>
      <c r="I218">
        <f>SUMPRODUCT((MONTH(CHOOSE({1,2,3,4},HN!U218,HN!AA218,HN!AG218,HN!AM218))=9)*(CHOOSE({1,2,3,4},HN!X218,HN!AD218,HN!AJ218,HN!AP218)))</f>
        <v>0</v>
      </c>
      <c r="J218">
        <f>SUMPRODUCT((MONTH(CHOOSE({1,2,3,4},HN!U218,HN!AA218,HN!AG218,HN!AM218))=10)*(CHOOSE({1,2,3,4},HN!X218,HN!AD218,HN!AJ218,HN!AP218)))</f>
        <v>0</v>
      </c>
      <c r="K218">
        <f>SUMPRODUCT((MONTH(CHOOSE({1,2,3,4},HN!U218,HN!AA218,HN!AG218,HN!AM218))=11)*(CHOOSE({1,2,3,4},HN!X218,HN!AD218,HN!AJ218,HN!AP218)))</f>
        <v>0</v>
      </c>
      <c r="L218">
        <f>SUMPRODUCT((MONTH(CHOOSE({1,2,3,4},HN!U218,HN!AA218,HN!AG218,HN!AM218))=12)*(CHOOSE({1,2,3,4},HN!X218,HN!AD218,HN!AJ218,HN!AP218)))</f>
        <v>0</v>
      </c>
    </row>
    <row r="219" spans="1:12">
      <c r="A219">
        <f>SUMPRODUCT((MONTH(CHOOSE({1,2,3,4},HN!U219,HN!AA219,HN!AG219,HN!AM219))=1)*(CHOOSE({1,2,3,4},HN!X219,HN!AD219,HN!AJ219,HN!AP219)))</f>
        <v>0</v>
      </c>
      <c r="B219">
        <f>SUMPRODUCT((MONTH(CHOOSE({1,2,3,4},HN!U219,HN!AA219,HN!AG219,HN!AM219))=2)*(CHOOSE({1,2,3,4},HN!X219,HN!AD219,HN!AJ219,HN!AP219)))</f>
        <v>0</v>
      </c>
      <c r="C219">
        <f>SUMPRODUCT((MONTH(CHOOSE({1,2,3,4},HN!U219,HN!AA219,HN!AG219,HN!AM219))=3)*(CHOOSE({1,2,3,4},HN!X219,HN!AD219,HN!AJ219,HN!AP219)))</f>
        <v>0</v>
      </c>
      <c r="D219">
        <f>SUMPRODUCT((MONTH(CHOOSE({1,2,3,4},HN!U219,HN!AA219,HN!AG219,HN!AM219))=4)*(CHOOSE({1,2,3,4},HN!X219,HN!AD219,HN!AJ219,HN!AP219)))</f>
        <v>0</v>
      </c>
      <c r="E219">
        <f>SUMPRODUCT((MONTH(CHOOSE({1,2,3,4},HN!U219,HN!AA219,HN!AG219,HN!AM219))=5)*(CHOOSE({1,2,3,4},HN!X219,HN!AD219,HN!AJ219,HN!AP219)))</f>
        <v>0</v>
      </c>
      <c r="F219">
        <f>SUMPRODUCT((MONTH(CHOOSE({1,2,3,4},HN!U219,HN!AA219,HN!AG219,HN!AM219))=6)*(CHOOSE({1,2,3,4},HN!X219,HN!AD219,HN!AJ219,HN!AP219)))</f>
        <v>0</v>
      </c>
      <c r="G219">
        <f>SUMPRODUCT((MONTH(CHOOSE({1,2,3,4},HN!U219,HN!AA219,HN!AG219,HN!AM219))=7)*(CHOOSE({1,2,3,4},HN!X219,HN!AD219,HN!AJ219,HN!AP219)))</f>
        <v>0</v>
      </c>
      <c r="H219">
        <f>SUMPRODUCT((MONTH(CHOOSE({1,2,3,4},HN!U219,HN!AA219,HN!AG219,HN!AM219))=8)*(CHOOSE({1,2,3,4},HN!X219,HN!AD219,HN!AJ219,HN!AP219)))</f>
        <v>0</v>
      </c>
      <c r="I219">
        <f>SUMPRODUCT((MONTH(CHOOSE({1,2,3,4},HN!U219,HN!AA219,HN!AG219,HN!AM219))=9)*(CHOOSE({1,2,3,4},HN!X219,HN!AD219,HN!AJ219,HN!AP219)))</f>
        <v>0</v>
      </c>
      <c r="J219">
        <f>SUMPRODUCT((MONTH(CHOOSE({1,2,3,4},HN!U219,HN!AA219,HN!AG219,HN!AM219))=10)*(CHOOSE({1,2,3,4},HN!X219,HN!AD219,HN!AJ219,HN!AP219)))</f>
        <v>0</v>
      </c>
      <c r="K219">
        <f>SUMPRODUCT((MONTH(CHOOSE({1,2,3,4},HN!U219,HN!AA219,HN!AG219,HN!AM219))=11)*(CHOOSE({1,2,3,4},HN!X219,HN!AD219,HN!AJ219,HN!AP219)))</f>
        <v>0</v>
      </c>
      <c r="L219">
        <f>SUMPRODUCT((MONTH(CHOOSE({1,2,3,4},HN!U219,HN!AA219,HN!AG219,HN!AM219))=12)*(CHOOSE({1,2,3,4},HN!X219,HN!AD219,HN!AJ219,HN!AP219)))</f>
        <v>0</v>
      </c>
    </row>
    <row r="220" spans="1:12">
      <c r="A220">
        <f>SUMPRODUCT((MONTH(CHOOSE({1,2,3,4},HN!U220,HN!AA220,HN!AG220,HN!AM220))=1)*(CHOOSE({1,2,3,4},HN!X220,HN!AD220,HN!AJ220,HN!AP220)))</f>
        <v>0</v>
      </c>
      <c r="B220">
        <f>SUMPRODUCT((MONTH(CHOOSE({1,2,3,4},HN!U220,HN!AA220,HN!AG220,HN!AM220))=2)*(CHOOSE({1,2,3,4},HN!X220,HN!AD220,HN!AJ220,HN!AP220)))</f>
        <v>0</v>
      </c>
      <c r="C220">
        <f>SUMPRODUCT((MONTH(CHOOSE({1,2,3,4},HN!U220,HN!AA220,HN!AG220,HN!AM220))=3)*(CHOOSE({1,2,3,4},HN!X220,HN!AD220,HN!AJ220,HN!AP220)))</f>
        <v>0</v>
      </c>
      <c r="D220">
        <f>SUMPRODUCT((MONTH(CHOOSE({1,2,3,4},HN!U220,HN!AA220,HN!AG220,HN!AM220))=4)*(CHOOSE({1,2,3,4},HN!X220,HN!AD220,HN!AJ220,HN!AP220)))</f>
        <v>0</v>
      </c>
      <c r="E220">
        <f>SUMPRODUCT((MONTH(CHOOSE({1,2,3,4},HN!U220,HN!AA220,HN!AG220,HN!AM220))=5)*(CHOOSE({1,2,3,4},HN!X220,HN!AD220,HN!AJ220,HN!AP220)))</f>
        <v>0</v>
      </c>
      <c r="F220">
        <f>SUMPRODUCT((MONTH(CHOOSE({1,2,3,4},HN!U220,HN!AA220,HN!AG220,HN!AM220))=6)*(CHOOSE({1,2,3,4},HN!X220,HN!AD220,HN!AJ220,HN!AP220)))</f>
        <v>0</v>
      </c>
      <c r="G220">
        <f>SUMPRODUCT((MONTH(CHOOSE({1,2,3,4},HN!U220,HN!AA220,HN!AG220,HN!AM220))=7)*(CHOOSE({1,2,3,4},HN!X220,HN!AD220,HN!AJ220,HN!AP220)))</f>
        <v>0</v>
      </c>
      <c r="H220">
        <f>SUMPRODUCT((MONTH(CHOOSE({1,2,3,4},HN!U220,HN!AA220,HN!AG220,HN!AM220))=8)*(CHOOSE({1,2,3,4},HN!X220,HN!AD220,HN!AJ220,HN!AP220)))</f>
        <v>0</v>
      </c>
      <c r="I220">
        <f>SUMPRODUCT((MONTH(CHOOSE({1,2,3,4},HN!U220,HN!AA220,HN!AG220,HN!AM220))=9)*(CHOOSE({1,2,3,4},HN!X220,HN!AD220,HN!AJ220,HN!AP220)))</f>
        <v>0</v>
      </c>
      <c r="J220">
        <f>SUMPRODUCT((MONTH(CHOOSE({1,2,3,4},HN!U220,HN!AA220,HN!AG220,HN!AM220))=10)*(CHOOSE({1,2,3,4},HN!X220,HN!AD220,HN!AJ220,HN!AP220)))</f>
        <v>0</v>
      </c>
      <c r="K220">
        <f>SUMPRODUCT((MONTH(CHOOSE({1,2,3,4},HN!U220,HN!AA220,HN!AG220,HN!AM220))=11)*(CHOOSE({1,2,3,4},HN!X220,HN!AD220,HN!AJ220,HN!AP220)))</f>
        <v>0</v>
      </c>
      <c r="L220">
        <f>SUMPRODUCT((MONTH(CHOOSE({1,2,3,4},HN!U220,HN!AA220,HN!AG220,HN!AM220))=12)*(CHOOSE({1,2,3,4},HN!X220,HN!AD220,HN!AJ220,HN!AP220)))</f>
        <v>0</v>
      </c>
    </row>
    <row r="221" spans="1:12">
      <c r="A221">
        <f>SUMPRODUCT((MONTH(CHOOSE({1,2,3,4},HN!U221,HN!AA221,HN!AG221,HN!AM221))=1)*(CHOOSE({1,2,3,4},HN!X221,HN!AD221,HN!AJ221,HN!AP221)))</f>
        <v>0</v>
      </c>
      <c r="B221">
        <f>SUMPRODUCT((MONTH(CHOOSE({1,2,3,4},HN!U221,HN!AA221,HN!AG221,HN!AM221))=2)*(CHOOSE({1,2,3,4},HN!X221,HN!AD221,HN!AJ221,HN!AP221)))</f>
        <v>0</v>
      </c>
      <c r="C221">
        <f>SUMPRODUCT((MONTH(CHOOSE({1,2,3,4},HN!U221,HN!AA221,HN!AG221,HN!AM221))=3)*(CHOOSE({1,2,3,4},HN!X221,HN!AD221,HN!AJ221,HN!AP221)))</f>
        <v>0</v>
      </c>
      <c r="D221">
        <f>SUMPRODUCT((MONTH(CHOOSE({1,2,3,4},HN!U221,HN!AA221,HN!AG221,HN!AM221))=4)*(CHOOSE({1,2,3,4},HN!X221,HN!AD221,HN!AJ221,HN!AP221)))</f>
        <v>0</v>
      </c>
      <c r="E221">
        <f>SUMPRODUCT((MONTH(CHOOSE({1,2,3,4},HN!U221,HN!AA221,HN!AG221,HN!AM221))=5)*(CHOOSE({1,2,3,4},HN!X221,HN!AD221,HN!AJ221,HN!AP221)))</f>
        <v>0</v>
      </c>
      <c r="F221">
        <f>SUMPRODUCT((MONTH(CHOOSE({1,2,3,4},HN!U221,HN!AA221,HN!AG221,HN!AM221))=6)*(CHOOSE({1,2,3,4},HN!X221,HN!AD221,HN!AJ221,HN!AP221)))</f>
        <v>0</v>
      </c>
      <c r="G221">
        <f>SUMPRODUCT((MONTH(CHOOSE({1,2,3,4},HN!U221,HN!AA221,HN!AG221,HN!AM221))=7)*(CHOOSE({1,2,3,4},HN!X221,HN!AD221,HN!AJ221,HN!AP221)))</f>
        <v>0</v>
      </c>
      <c r="H221">
        <f>SUMPRODUCT((MONTH(CHOOSE({1,2,3,4},HN!U221,HN!AA221,HN!AG221,HN!AM221))=8)*(CHOOSE({1,2,3,4},HN!X221,HN!AD221,HN!AJ221,HN!AP221)))</f>
        <v>0</v>
      </c>
      <c r="I221">
        <f>SUMPRODUCT((MONTH(CHOOSE({1,2,3,4},HN!U221,HN!AA221,HN!AG221,HN!AM221))=9)*(CHOOSE({1,2,3,4},HN!X221,HN!AD221,HN!AJ221,HN!AP221)))</f>
        <v>0</v>
      </c>
      <c r="J221">
        <f>SUMPRODUCT((MONTH(CHOOSE({1,2,3,4},HN!U221,HN!AA221,HN!AG221,HN!AM221))=10)*(CHOOSE({1,2,3,4},HN!X221,HN!AD221,HN!AJ221,HN!AP221)))</f>
        <v>0</v>
      </c>
      <c r="K221">
        <f>SUMPRODUCT((MONTH(CHOOSE({1,2,3,4},HN!U221,HN!AA221,HN!AG221,HN!AM221))=11)*(CHOOSE({1,2,3,4},HN!X221,HN!AD221,HN!AJ221,HN!AP221)))</f>
        <v>0</v>
      </c>
      <c r="L221">
        <f>SUMPRODUCT((MONTH(CHOOSE({1,2,3,4},HN!U221,HN!AA221,HN!AG221,HN!AM221))=12)*(CHOOSE({1,2,3,4},HN!X221,HN!AD221,HN!AJ221,HN!AP221)))</f>
        <v>0</v>
      </c>
    </row>
    <row r="222" spans="1:12">
      <c r="A222">
        <f>SUMPRODUCT((MONTH(CHOOSE({1,2,3,4},HN!U222,HN!AA222,HN!AG222,HN!AM222))=1)*(CHOOSE({1,2,3,4},HN!X222,HN!AD222,HN!AJ222,HN!AP222)))</f>
        <v>0</v>
      </c>
      <c r="B222">
        <f>SUMPRODUCT((MONTH(CHOOSE({1,2,3,4},HN!U222,HN!AA222,HN!AG222,HN!AM222))=2)*(CHOOSE({1,2,3,4},HN!X222,HN!AD222,HN!AJ222,HN!AP222)))</f>
        <v>0</v>
      </c>
      <c r="C222">
        <f>SUMPRODUCT((MONTH(CHOOSE({1,2,3,4},HN!U222,HN!AA222,HN!AG222,HN!AM222))=3)*(CHOOSE({1,2,3,4},HN!X222,HN!AD222,HN!AJ222,HN!AP222)))</f>
        <v>0</v>
      </c>
      <c r="D222">
        <f>SUMPRODUCT((MONTH(CHOOSE({1,2,3,4},HN!U222,HN!AA222,HN!AG222,HN!AM222))=4)*(CHOOSE({1,2,3,4},HN!X222,HN!AD222,HN!AJ222,HN!AP222)))</f>
        <v>0</v>
      </c>
      <c r="E222">
        <f>SUMPRODUCT((MONTH(CHOOSE({1,2,3,4},HN!U222,HN!AA222,HN!AG222,HN!AM222))=5)*(CHOOSE({1,2,3,4},HN!X222,HN!AD222,HN!AJ222,HN!AP222)))</f>
        <v>0</v>
      </c>
      <c r="F222">
        <f>SUMPRODUCT((MONTH(CHOOSE({1,2,3,4},HN!U222,HN!AA222,HN!AG222,HN!AM222))=6)*(CHOOSE({1,2,3,4},HN!X222,HN!AD222,HN!AJ222,HN!AP222)))</f>
        <v>0</v>
      </c>
      <c r="G222">
        <f>SUMPRODUCT((MONTH(CHOOSE({1,2,3,4},HN!U222,HN!AA222,HN!AG222,HN!AM222))=7)*(CHOOSE({1,2,3,4},HN!X222,HN!AD222,HN!AJ222,HN!AP222)))</f>
        <v>0</v>
      </c>
      <c r="H222">
        <f>SUMPRODUCT((MONTH(CHOOSE({1,2,3,4},HN!U222,HN!AA222,HN!AG222,HN!AM222))=8)*(CHOOSE({1,2,3,4},HN!X222,HN!AD222,HN!AJ222,HN!AP222)))</f>
        <v>0</v>
      </c>
      <c r="I222">
        <f>SUMPRODUCT((MONTH(CHOOSE({1,2,3,4},HN!U222,HN!AA222,HN!AG222,HN!AM222))=9)*(CHOOSE({1,2,3,4},HN!X222,HN!AD222,HN!AJ222,HN!AP222)))</f>
        <v>0</v>
      </c>
      <c r="J222">
        <f>SUMPRODUCT((MONTH(CHOOSE({1,2,3,4},HN!U222,HN!AA222,HN!AG222,HN!AM222))=10)*(CHOOSE({1,2,3,4},HN!X222,HN!AD222,HN!AJ222,HN!AP222)))</f>
        <v>0</v>
      </c>
      <c r="K222">
        <f>SUMPRODUCT((MONTH(CHOOSE({1,2,3,4},HN!U222,HN!AA222,HN!AG222,HN!AM222))=11)*(CHOOSE({1,2,3,4},HN!X222,HN!AD222,HN!AJ222,HN!AP222)))</f>
        <v>0</v>
      </c>
      <c r="L222">
        <f>SUMPRODUCT((MONTH(CHOOSE({1,2,3,4},HN!U222,HN!AA222,HN!AG222,HN!AM222))=12)*(CHOOSE({1,2,3,4},HN!X222,HN!AD222,HN!AJ222,HN!AP222)))</f>
        <v>0</v>
      </c>
    </row>
    <row r="223" spans="1:12">
      <c r="A223">
        <f>SUMPRODUCT((MONTH(CHOOSE({1,2,3,4},HN!U223,HN!AA223,HN!AG223,HN!AM223))=1)*(CHOOSE({1,2,3,4},HN!X223,HN!AD223,HN!AJ223,HN!AP223)))</f>
        <v>0</v>
      </c>
      <c r="B223">
        <f>SUMPRODUCT((MONTH(CHOOSE({1,2,3,4},HN!U223,HN!AA223,HN!AG223,HN!AM223))=2)*(CHOOSE({1,2,3,4},HN!X223,HN!AD223,HN!AJ223,HN!AP223)))</f>
        <v>0</v>
      </c>
      <c r="C223">
        <f>SUMPRODUCT((MONTH(CHOOSE({1,2,3,4},HN!U223,HN!AA223,HN!AG223,HN!AM223))=3)*(CHOOSE({1,2,3,4},HN!X223,HN!AD223,HN!AJ223,HN!AP223)))</f>
        <v>0</v>
      </c>
      <c r="D223">
        <f>SUMPRODUCT((MONTH(CHOOSE({1,2,3,4},HN!U223,HN!AA223,HN!AG223,HN!AM223))=4)*(CHOOSE({1,2,3,4},HN!X223,HN!AD223,HN!AJ223,HN!AP223)))</f>
        <v>0</v>
      </c>
      <c r="E223">
        <f>SUMPRODUCT((MONTH(CHOOSE({1,2,3,4},HN!U223,HN!AA223,HN!AG223,HN!AM223))=5)*(CHOOSE({1,2,3,4},HN!X223,HN!AD223,HN!AJ223,HN!AP223)))</f>
        <v>0</v>
      </c>
      <c r="F223">
        <f>SUMPRODUCT((MONTH(CHOOSE({1,2,3,4},HN!U223,HN!AA223,HN!AG223,HN!AM223))=6)*(CHOOSE({1,2,3,4},HN!X223,HN!AD223,HN!AJ223,HN!AP223)))</f>
        <v>0</v>
      </c>
      <c r="G223">
        <f>SUMPRODUCT((MONTH(CHOOSE({1,2,3,4},HN!U223,HN!AA223,HN!AG223,HN!AM223))=7)*(CHOOSE({1,2,3,4},HN!X223,HN!AD223,HN!AJ223,HN!AP223)))</f>
        <v>0</v>
      </c>
      <c r="H223">
        <f>SUMPRODUCT((MONTH(CHOOSE({1,2,3,4},HN!U223,HN!AA223,HN!AG223,HN!AM223))=8)*(CHOOSE({1,2,3,4},HN!X223,HN!AD223,HN!AJ223,HN!AP223)))</f>
        <v>0</v>
      </c>
      <c r="I223">
        <f>SUMPRODUCT((MONTH(CHOOSE({1,2,3,4},HN!U223,HN!AA223,HN!AG223,HN!AM223))=9)*(CHOOSE({1,2,3,4},HN!X223,HN!AD223,HN!AJ223,HN!AP223)))</f>
        <v>0</v>
      </c>
      <c r="J223">
        <f>SUMPRODUCT((MONTH(CHOOSE({1,2,3,4},HN!U223,HN!AA223,HN!AG223,HN!AM223))=10)*(CHOOSE({1,2,3,4},HN!X223,HN!AD223,HN!AJ223,HN!AP223)))</f>
        <v>0</v>
      </c>
      <c r="K223">
        <f>SUMPRODUCT((MONTH(CHOOSE({1,2,3,4},HN!U223,HN!AA223,HN!AG223,HN!AM223))=11)*(CHOOSE({1,2,3,4},HN!X223,HN!AD223,HN!AJ223,HN!AP223)))</f>
        <v>0</v>
      </c>
      <c r="L223">
        <f>SUMPRODUCT((MONTH(CHOOSE({1,2,3,4},HN!U223,HN!AA223,HN!AG223,HN!AM223))=12)*(CHOOSE({1,2,3,4},HN!X223,HN!AD223,HN!AJ223,HN!AP223)))</f>
        <v>0</v>
      </c>
    </row>
    <row r="224" spans="1:12">
      <c r="A224">
        <f>SUMPRODUCT((MONTH(CHOOSE({1,2,3,4},HN!U224,HN!AA224,HN!AG224,HN!AM224))=1)*(CHOOSE({1,2,3,4},HN!X224,HN!AD224,HN!AJ224,HN!AP224)))</f>
        <v>0</v>
      </c>
      <c r="B224">
        <f>SUMPRODUCT((MONTH(CHOOSE({1,2,3,4},HN!U224,HN!AA224,HN!AG224,HN!AM224))=2)*(CHOOSE({1,2,3,4},HN!X224,HN!AD224,HN!AJ224,HN!AP224)))</f>
        <v>0</v>
      </c>
      <c r="C224">
        <f>SUMPRODUCT((MONTH(CHOOSE({1,2,3,4},HN!U224,HN!AA224,HN!AG224,HN!AM224))=3)*(CHOOSE({1,2,3,4},HN!X224,HN!AD224,HN!AJ224,HN!AP224)))</f>
        <v>0</v>
      </c>
      <c r="D224">
        <f>SUMPRODUCT((MONTH(CHOOSE({1,2,3,4},HN!U224,HN!AA224,HN!AG224,HN!AM224))=4)*(CHOOSE({1,2,3,4},HN!X224,HN!AD224,HN!AJ224,HN!AP224)))</f>
        <v>0</v>
      </c>
      <c r="E224">
        <f>SUMPRODUCT((MONTH(CHOOSE({1,2,3,4},HN!U224,HN!AA224,HN!AG224,HN!AM224))=5)*(CHOOSE({1,2,3,4},HN!X224,HN!AD224,HN!AJ224,HN!AP224)))</f>
        <v>0</v>
      </c>
      <c r="F224">
        <f>SUMPRODUCT((MONTH(CHOOSE({1,2,3,4},HN!U224,HN!AA224,HN!AG224,HN!AM224))=6)*(CHOOSE({1,2,3,4},HN!X224,HN!AD224,HN!AJ224,HN!AP224)))</f>
        <v>0</v>
      </c>
      <c r="G224">
        <f>SUMPRODUCT((MONTH(CHOOSE({1,2,3,4},HN!U224,HN!AA224,HN!AG224,HN!AM224))=7)*(CHOOSE({1,2,3,4},HN!X224,HN!AD224,HN!AJ224,HN!AP224)))</f>
        <v>0</v>
      </c>
      <c r="H224">
        <f>SUMPRODUCT((MONTH(CHOOSE({1,2,3,4},HN!U224,HN!AA224,HN!AG224,HN!AM224))=8)*(CHOOSE({1,2,3,4},HN!X224,HN!AD224,HN!AJ224,HN!AP224)))</f>
        <v>0</v>
      </c>
      <c r="I224">
        <f>SUMPRODUCT((MONTH(CHOOSE({1,2,3,4},HN!U224,HN!AA224,HN!AG224,HN!AM224))=9)*(CHOOSE({1,2,3,4},HN!X224,HN!AD224,HN!AJ224,HN!AP224)))</f>
        <v>0</v>
      </c>
      <c r="J224">
        <f>SUMPRODUCT((MONTH(CHOOSE({1,2,3,4},HN!U224,HN!AA224,HN!AG224,HN!AM224))=10)*(CHOOSE({1,2,3,4},HN!X224,HN!AD224,HN!AJ224,HN!AP224)))</f>
        <v>0</v>
      </c>
      <c r="K224">
        <f>SUMPRODUCT((MONTH(CHOOSE({1,2,3,4},HN!U224,HN!AA224,HN!AG224,HN!AM224))=11)*(CHOOSE({1,2,3,4},HN!X224,HN!AD224,HN!AJ224,HN!AP224)))</f>
        <v>0</v>
      </c>
      <c r="L224">
        <f>SUMPRODUCT((MONTH(CHOOSE({1,2,3,4},HN!U224,HN!AA224,HN!AG224,HN!AM224))=12)*(CHOOSE({1,2,3,4},HN!X224,HN!AD224,HN!AJ224,HN!AP224)))</f>
        <v>0</v>
      </c>
    </row>
    <row r="225" spans="1:12">
      <c r="A225">
        <f>SUMPRODUCT((MONTH(CHOOSE({1,2,3,4},HN!U225,HN!AA225,HN!AG225,HN!AM225))=1)*(CHOOSE({1,2,3,4},HN!X225,HN!AD225,HN!AJ225,HN!AP225)))</f>
        <v>0</v>
      </c>
      <c r="B225">
        <f>SUMPRODUCT((MONTH(CHOOSE({1,2,3,4},HN!U225,HN!AA225,HN!AG225,HN!AM225))=2)*(CHOOSE({1,2,3,4},HN!X225,HN!AD225,HN!AJ225,HN!AP225)))</f>
        <v>0</v>
      </c>
      <c r="C225">
        <f>SUMPRODUCT((MONTH(CHOOSE({1,2,3,4},HN!U225,HN!AA225,HN!AG225,HN!AM225))=3)*(CHOOSE({1,2,3,4},HN!X225,HN!AD225,HN!AJ225,HN!AP225)))</f>
        <v>0</v>
      </c>
      <c r="D225">
        <f>SUMPRODUCT((MONTH(CHOOSE({1,2,3,4},HN!U225,HN!AA225,HN!AG225,HN!AM225))=4)*(CHOOSE({1,2,3,4},HN!X225,HN!AD225,HN!AJ225,HN!AP225)))</f>
        <v>0</v>
      </c>
      <c r="E225">
        <f>SUMPRODUCT((MONTH(CHOOSE({1,2,3,4},HN!U225,HN!AA225,HN!AG225,HN!AM225))=5)*(CHOOSE({1,2,3,4},HN!X225,HN!AD225,HN!AJ225,HN!AP225)))</f>
        <v>0</v>
      </c>
      <c r="F225">
        <f>SUMPRODUCT((MONTH(CHOOSE({1,2,3,4},HN!U225,HN!AA225,HN!AG225,HN!AM225))=6)*(CHOOSE({1,2,3,4},HN!X225,HN!AD225,HN!AJ225,HN!AP225)))</f>
        <v>0</v>
      </c>
      <c r="G225">
        <f>SUMPRODUCT((MONTH(CHOOSE({1,2,3,4},HN!U225,HN!AA225,HN!AG225,HN!AM225))=7)*(CHOOSE({1,2,3,4},HN!X225,HN!AD225,HN!AJ225,HN!AP225)))</f>
        <v>0</v>
      </c>
      <c r="H225">
        <f>SUMPRODUCT((MONTH(CHOOSE({1,2,3,4},HN!U225,HN!AA225,HN!AG225,HN!AM225))=8)*(CHOOSE({1,2,3,4},HN!X225,HN!AD225,HN!AJ225,HN!AP225)))</f>
        <v>0</v>
      </c>
      <c r="I225">
        <f>SUMPRODUCT((MONTH(CHOOSE({1,2,3,4},HN!U225,HN!AA225,HN!AG225,HN!AM225))=9)*(CHOOSE({1,2,3,4},HN!X225,HN!AD225,HN!AJ225,HN!AP225)))</f>
        <v>0</v>
      </c>
      <c r="J225">
        <f>SUMPRODUCT((MONTH(CHOOSE({1,2,3,4},HN!U225,HN!AA225,HN!AG225,HN!AM225))=10)*(CHOOSE({1,2,3,4},HN!X225,HN!AD225,HN!AJ225,HN!AP225)))</f>
        <v>0</v>
      </c>
      <c r="K225">
        <f>SUMPRODUCT((MONTH(CHOOSE({1,2,3,4},HN!U225,HN!AA225,HN!AG225,HN!AM225))=11)*(CHOOSE({1,2,3,4},HN!X225,HN!AD225,HN!AJ225,HN!AP225)))</f>
        <v>0</v>
      </c>
      <c r="L225">
        <f>SUMPRODUCT((MONTH(CHOOSE({1,2,3,4},HN!U225,HN!AA225,HN!AG225,HN!AM225))=12)*(CHOOSE({1,2,3,4},HN!X225,HN!AD225,HN!AJ225,HN!AP225)))</f>
        <v>0</v>
      </c>
    </row>
    <row r="226" spans="1:12">
      <c r="A226">
        <f>SUMPRODUCT((MONTH(CHOOSE({1,2,3,4},HN!U226,HN!AA226,HN!AG226,HN!AM226))=1)*(CHOOSE({1,2,3,4},HN!X226,HN!AD226,HN!AJ226,HN!AP226)))</f>
        <v>0</v>
      </c>
      <c r="B226">
        <f>SUMPRODUCT((MONTH(CHOOSE({1,2,3,4},HN!U226,HN!AA226,HN!AG226,HN!AM226))=2)*(CHOOSE({1,2,3,4},HN!X226,HN!AD226,HN!AJ226,HN!AP226)))</f>
        <v>0</v>
      </c>
      <c r="C226">
        <f>SUMPRODUCT((MONTH(CHOOSE({1,2,3,4},HN!U226,HN!AA226,HN!AG226,HN!AM226))=3)*(CHOOSE({1,2,3,4},HN!X226,HN!AD226,HN!AJ226,HN!AP226)))</f>
        <v>0</v>
      </c>
      <c r="D226">
        <f>SUMPRODUCT((MONTH(CHOOSE({1,2,3,4},HN!U226,HN!AA226,HN!AG226,HN!AM226))=4)*(CHOOSE({1,2,3,4},HN!X226,HN!AD226,HN!AJ226,HN!AP226)))</f>
        <v>0</v>
      </c>
      <c r="E226">
        <f>SUMPRODUCT((MONTH(CHOOSE({1,2,3,4},HN!U226,HN!AA226,HN!AG226,HN!AM226))=5)*(CHOOSE({1,2,3,4},HN!X226,HN!AD226,HN!AJ226,HN!AP226)))</f>
        <v>0</v>
      </c>
      <c r="F226">
        <f>SUMPRODUCT((MONTH(CHOOSE({1,2,3,4},HN!U226,HN!AA226,HN!AG226,HN!AM226))=6)*(CHOOSE({1,2,3,4},HN!X226,HN!AD226,HN!AJ226,HN!AP226)))</f>
        <v>0</v>
      </c>
      <c r="G226">
        <f>SUMPRODUCT((MONTH(CHOOSE({1,2,3,4},HN!U226,HN!AA226,HN!AG226,HN!AM226))=7)*(CHOOSE({1,2,3,4},HN!X226,HN!AD226,HN!AJ226,HN!AP226)))</f>
        <v>0</v>
      </c>
      <c r="H226">
        <f>SUMPRODUCT((MONTH(CHOOSE({1,2,3,4},HN!U226,HN!AA226,HN!AG226,HN!AM226))=8)*(CHOOSE({1,2,3,4},HN!X226,HN!AD226,HN!AJ226,HN!AP226)))</f>
        <v>0</v>
      </c>
      <c r="I226">
        <f>SUMPRODUCT((MONTH(CHOOSE({1,2,3,4},HN!U226,HN!AA226,HN!AG226,HN!AM226))=9)*(CHOOSE({1,2,3,4},HN!X226,HN!AD226,HN!AJ226,HN!AP226)))</f>
        <v>0</v>
      </c>
      <c r="J226">
        <f>SUMPRODUCT((MONTH(CHOOSE({1,2,3,4},HN!U226,HN!AA226,HN!AG226,HN!AM226))=10)*(CHOOSE({1,2,3,4},HN!X226,HN!AD226,HN!AJ226,HN!AP226)))</f>
        <v>0</v>
      </c>
      <c r="K226">
        <f>SUMPRODUCT((MONTH(CHOOSE({1,2,3,4},HN!U226,HN!AA226,HN!AG226,HN!AM226))=11)*(CHOOSE({1,2,3,4},HN!X226,HN!AD226,HN!AJ226,HN!AP226)))</f>
        <v>0</v>
      </c>
      <c r="L226">
        <f>SUMPRODUCT((MONTH(CHOOSE({1,2,3,4},HN!U226,HN!AA226,HN!AG226,HN!AM226))=12)*(CHOOSE({1,2,3,4},HN!X226,HN!AD226,HN!AJ226,HN!AP226)))</f>
        <v>0</v>
      </c>
    </row>
    <row r="227" spans="1:12">
      <c r="A227">
        <f>SUMPRODUCT((MONTH(CHOOSE({1,2,3,4},HN!U227,HN!AA227,HN!AG227,HN!AM227))=1)*(CHOOSE({1,2,3,4},HN!X227,HN!AD227,HN!AJ227,HN!AP227)))</f>
        <v>0</v>
      </c>
      <c r="B227">
        <f>SUMPRODUCT((MONTH(CHOOSE({1,2,3,4},HN!U227,HN!AA227,HN!AG227,HN!AM227))=2)*(CHOOSE({1,2,3,4},HN!X227,HN!AD227,HN!AJ227,HN!AP227)))</f>
        <v>0</v>
      </c>
      <c r="C227">
        <f>SUMPRODUCT((MONTH(CHOOSE({1,2,3,4},HN!U227,HN!AA227,HN!AG227,HN!AM227))=3)*(CHOOSE({1,2,3,4},HN!X227,HN!AD227,HN!AJ227,HN!AP227)))</f>
        <v>0</v>
      </c>
      <c r="D227">
        <f>SUMPRODUCT((MONTH(CHOOSE({1,2,3,4},HN!U227,HN!AA227,HN!AG227,HN!AM227))=4)*(CHOOSE({1,2,3,4},HN!X227,HN!AD227,HN!AJ227,HN!AP227)))</f>
        <v>0</v>
      </c>
      <c r="E227">
        <f>SUMPRODUCT((MONTH(CHOOSE({1,2,3,4},HN!U227,HN!AA227,HN!AG227,HN!AM227))=5)*(CHOOSE({1,2,3,4},HN!X227,HN!AD227,HN!AJ227,HN!AP227)))</f>
        <v>0</v>
      </c>
      <c r="F227">
        <f>SUMPRODUCT((MONTH(CHOOSE({1,2,3,4},HN!U227,HN!AA227,HN!AG227,HN!AM227))=6)*(CHOOSE({1,2,3,4},HN!X227,HN!AD227,HN!AJ227,HN!AP227)))</f>
        <v>0</v>
      </c>
      <c r="G227">
        <f>SUMPRODUCT((MONTH(CHOOSE({1,2,3,4},HN!U227,HN!AA227,HN!AG227,HN!AM227))=7)*(CHOOSE({1,2,3,4},HN!X227,HN!AD227,HN!AJ227,HN!AP227)))</f>
        <v>0</v>
      </c>
      <c r="H227">
        <f>SUMPRODUCT((MONTH(CHOOSE({1,2,3,4},HN!U227,HN!AA227,HN!AG227,HN!AM227))=8)*(CHOOSE({1,2,3,4},HN!X227,HN!AD227,HN!AJ227,HN!AP227)))</f>
        <v>0</v>
      </c>
      <c r="I227">
        <f>SUMPRODUCT((MONTH(CHOOSE({1,2,3,4},HN!U227,HN!AA227,HN!AG227,HN!AM227))=9)*(CHOOSE({1,2,3,4},HN!X227,HN!AD227,HN!AJ227,HN!AP227)))</f>
        <v>0</v>
      </c>
      <c r="J227">
        <f>SUMPRODUCT((MONTH(CHOOSE({1,2,3,4},HN!U227,HN!AA227,HN!AG227,HN!AM227))=10)*(CHOOSE({1,2,3,4},HN!X227,HN!AD227,HN!AJ227,HN!AP227)))</f>
        <v>0</v>
      </c>
      <c r="K227">
        <f>SUMPRODUCT((MONTH(CHOOSE({1,2,3,4},HN!U227,HN!AA227,HN!AG227,HN!AM227))=11)*(CHOOSE({1,2,3,4},HN!X227,HN!AD227,HN!AJ227,HN!AP227)))</f>
        <v>0</v>
      </c>
      <c r="L227">
        <f>SUMPRODUCT((MONTH(CHOOSE({1,2,3,4},HN!U227,HN!AA227,HN!AG227,HN!AM227))=12)*(CHOOSE({1,2,3,4},HN!X227,HN!AD227,HN!AJ227,HN!AP227)))</f>
        <v>0</v>
      </c>
    </row>
    <row r="228" spans="1:12">
      <c r="A228">
        <f>SUMPRODUCT((MONTH(CHOOSE({1,2,3,4},HN!U228,HN!AA228,HN!AG228,HN!AM228))=1)*(CHOOSE({1,2,3,4},HN!X228,HN!AD228,HN!AJ228,HN!AP228)))</f>
        <v>0</v>
      </c>
      <c r="B228">
        <f>SUMPRODUCT((MONTH(CHOOSE({1,2,3,4},HN!U228,HN!AA228,HN!AG228,HN!AM228))=2)*(CHOOSE({1,2,3,4},HN!X228,HN!AD228,HN!AJ228,HN!AP228)))</f>
        <v>0</v>
      </c>
      <c r="C228">
        <f>SUMPRODUCT((MONTH(CHOOSE({1,2,3,4},HN!U228,HN!AA228,HN!AG228,HN!AM228))=3)*(CHOOSE({1,2,3,4},HN!X228,HN!AD228,HN!AJ228,HN!AP228)))</f>
        <v>0</v>
      </c>
      <c r="D228">
        <f>SUMPRODUCT((MONTH(CHOOSE({1,2,3,4},HN!U228,HN!AA228,HN!AG228,HN!AM228))=4)*(CHOOSE({1,2,3,4},HN!X228,HN!AD228,HN!AJ228,HN!AP228)))</f>
        <v>0</v>
      </c>
      <c r="E228">
        <f>SUMPRODUCT((MONTH(CHOOSE({1,2,3,4},HN!U228,HN!AA228,HN!AG228,HN!AM228))=5)*(CHOOSE({1,2,3,4},HN!X228,HN!AD228,HN!AJ228,HN!AP228)))</f>
        <v>0</v>
      </c>
      <c r="F228">
        <f>SUMPRODUCT((MONTH(CHOOSE({1,2,3,4},HN!U228,HN!AA228,HN!AG228,HN!AM228))=6)*(CHOOSE({1,2,3,4},HN!X228,HN!AD228,HN!AJ228,HN!AP228)))</f>
        <v>0</v>
      </c>
      <c r="G228">
        <f>SUMPRODUCT((MONTH(CHOOSE({1,2,3,4},HN!U228,HN!AA228,HN!AG228,HN!AM228))=7)*(CHOOSE({1,2,3,4},HN!X228,HN!AD228,HN!AJ228,HN!AP228)))</f>
        <v>0</v>
      </c>
      <c r="H228">
        <f>SUMPRODUCT((MONTH(CHOOSE({1,2,3,4},HN!U228,HN!AA228,HN!AG228,HN!AM228))=8)*(CHOOSE({1,2,3,4},HN!X228,HN!AD228,HN!AJ228,HN!AP228)))</f>
        <v>0</v>
      </c>
      <c r="I228">
        <f>SUMPRODUCT((MONTH(CHOOSE({1,2,3,4},HN!U228,HN!AA228,HN!AG228,HN!AM228))=9)*(CHOOSE({1,2,3,4},HN!X228,HN!AD228,HN!AJ228,HN!AP228)))</f>
        <v>0</v>
      </c>
      <c r="J228">
        <f>SUMPRODUCT((MONTH(CHOOSE({1,2,3,4},HN!U228,HN!AA228,HN!AG228,HN!AM228))=10)*(CHOOSE({1,2,3,4},HN!X228,HN!AD228,HN!AJ228,HN!AP228)))</f>
        <v>0</v>
      </c>
      <c r="K228">
        <f>SUMPRODUCT((MONTH(CHOOSE({1,2,3,4},HN!U228,HN!AA228,HN!AG228,HN!AM228))=11)*(CHOOSE({1,2,3,4},HN!X228,HN!AD228,HN!AJ228,HN!AP228)))</f>
        <v>0</v>
      </c>
      <c r="L228">
        <f>SUMPRODUCT((MONTH(CHOOSE({1,2,3,4},HN!U228,HN!AA228,HN!AG228,HN!AM228))=12)*(CHOOSE({1,2,3,4},HN!X228,HN!AD228,HN!AJ228,HN!AP228)))</f>
        <v>0</v>
      </c>
    </row>
    <row r="229" spans="1:12">
      <c r="A229">
        <f>SUMPRODUCT((MONTH(CHOOSE({1,2,3,4},HN!U229,HN!AA229,HN!AG229,HN!AM229))=1)*(CHOOSE({1,2,3,4},HN!X229,HN!AD229,HN!AJ229,HN!AP229)))</f>
        <v>0</v>
      </c>
      <c r="B229">
        <f>SUMPRODUCT((MONTH(CHOOSE({1,2,3,4},HN!U229,HN!AA229,HN!AG229,HN!AM229))=2)*(CHOOSE({1,2,3,4},HN!X229,HN!AD229,HN!AJ229,HN!AP229)))</f>
        <v>0</v>
      </c>
      <c r="C229">
        <f>SUMPRODUCT((MONTH(CHOOSE({1,2,3,4},HN!U229,HN!AA229,HN!AG229,HN!AM229))=3)*(CHOOSE({1,2,3,4},HN!X229,HN!AD229,HN!AJ229,HN!AP229)))</f>
        <v>0</v>
      </c>
      <c r="D229">
        <f>SUMPRODUCT((MONTH(CHOOSE({1,2,3,4},HN!U229,HN!AA229,HN!AG229,HN!AM229))=4)*(CHOOSE({1,2,3,4},HN!X229,HN!AD229,HN!AJ229,HN!AP229)))</f>
        <v>0</v>
      </c>
      <c r="E229">
        <f>SUMPRODUCT((MONTH(CHOOSE({1,2,3,4},HN!U229,HN!AA229,HN!AG229,HN!AM229))=5)*(CHOOSE({1,2,3,4},HN!X229,HN!AD229,HN!AJ229,HN!AP229)))</f>
        <v>0</v>
      </c>
      <c r="F229">
        <f>SUMPRODUCT((MONTH(CHOOSE({1,2,3,4},HN!U229,HN!AA229,HN!AG229,HN!AM229))=6)*(CHOOSE({1,2,3,4},HN!X229,HN!AD229,HN!AJ229,HN!AP229)))</f>
        <v>0</v>
      </c>
      <c r="G229">
        <f>SUMPRODUCT((MONTH(CHOOSE({1,2,3,4},HN!U229,HN!AA229,HN!AG229,HN!AM229))=7)*(CHOOSE({1,2,3,4},HN!X229,HN!AD229,HN!AJ229,HN!AP229)))</f>
        <v>0</v>
      </c>
      <c r="H229">
        <f>SUMPRODUCT((MONTH(CHOOSE({1,2,3,4},HN!U229,HN!AA229,HN!AG229,HN!AM229))=8)*(CHOOSE({1,2,3,4},HN!X229,HN!AD229,HN!AJ229,HN!AP229)))</f>
        <v>0</v>
      </c>
      <c r="I229">
        <f>SUMPRODUCT((MONTH(CHOOSE({1,2,3,4},HN!U229,HN!AA229,HN!AG229,HN!AM229))=9)*(CHOOSE({1,2,3,4},HN!X229,HN!AD229,HN!AJ229,HN!AP229)))</f>
        <v>0</v>
      </c>
      <c r="J229">
        <f>SUMPRODUCT((MONTH(CHOOSE({1,2,3,4},HN!U229,HN!AA229,HN!AG229,HN!AM229))=10)*(CHOOSE({1,2,3,4},HN!X229,HN!AD229,HN!AJ229,HN!AP229)))</f>
        <v>0</v>
      </c>
      <c r="K229">
        <f>SUMPRODUCT((MONTH(CHOOSE({1,2,3,4},HN!U229,HN!AA229,HN!AG229,HN!AM229))=11)*(CHOOSE({1,2,3,4},HN!X229,HN!AD229,HN!AJ229,HN!AP229)))</f>
        <v>0</v>
      </c>
      <c r="L229">
        <f>SUMPRODUCT((MONTH(CHOOSE({1,2,3,4},HN!U229,HN!AA229,HN!AG229,HN!AM229))=12)*(CHOOSE({1,2,3,4},HN!X229,HN!AD229,HN!AJ229,HN!AP229)))</f>
        <v>0</v>
      </c>
    </row>
    <row r="230" spans="1:12">
      <c r="A230">
        <f>SUMPRODUCT((MONTH(CHOOSE({1,2,3,4},HN!U230,HN!AA230,HN!AG230,HN!AM230))=1)*(CHOOSE({1,2,3,4},HN!X230,HN!AD230,HN!AJ230,HN!AP230)))</f>
        <v>0</v>
      </c>
      <c r="B230">
        <f>SUMPRODUCT((MONTH(CHOOSE({1,2,3,4},HN!U230,HN!AA230,HN!AG230,HN!AM230))=2)*(CHOOSE({1,2,3,4},HN!X230,HN!AD230,HN!AJ230,HN!AP230)))</f>
        <v>0</v>
      </c>
      <c r="C230">
        <f>SUMPRODUCT((MONTH(CHOOSE({1,2,3,4},HN!U230,HN!AA230,HN!AG230,HN!AM230))=3)*(CHOOSE({1,2,3,4},HN!X230,HN!AD230,HN!AJ230,HN!AP230)))</f>
        <v>0</v>
      </c>
      <c r="D230">
        <f>SUMPRODUCT((MONTH(CHOOSE({1,2,3,4},HN!U230,HN!AA230,HN!AG230,HN!AM230))=4)*(CHOOSE({1,2,3,4},HN!X230,HN!AD230,HN!AJ230,HN!AP230)))</f>
        <v>0</v>
      </c>
      <c r="E230">
        <f>SUMPRODUCT((MONTH(CHOOSE({1,2,3,4},HN!U230,HN!AA230,HN!AG230,HN!AM230))=5)*(CHOOSE({1,2,3,4},HN!X230,HN!AD230,HN!AJ230,HN!AP230)))</f>
        <v>0</v>
      </c>
      <c r="F230">
        <f>SUMPRODUCT((MONTH(CHOOSE({1,2,3,4},HN!U230,HN!AA230,HN!AG230,HN!AM230))=6)*(CHOOSE({1,2,3,4},HN!X230,HN!AD230,HN!AJ230,HN!AP230)))</f>
        <v>0</v>
      </c>
      <c r="G230">
        <f>SUMPRODUCT((MONTH(CHOOSE({1,2,3,4},HN!U230,HN!AA230,HN!AG230,HN!AM230))=7)*(CHOOSE({1,2,3,4},HN!X230,HN!AD230,HN!AJ230,HN!AP230)))</f>
        <v>0</v>
      </c>
      <c r="H230">
        <f>SUMPRODUCT((MONTH(CHOOSE({1,2,3,4},HN!U230,HN!AA230,HN!AG230,HN!AM230))=8)*(CHOOSE({1,2,3,4},HN!X230,HN!AD230,HN!AJ230,HN!AP230)))</f>
        <v>0</v>
      </c>
      <c r="I230">
        <f>SUMPRODUCT((MONTH(CHOOSE({1,2,3,4},HN!U230,HN!AA230,HN!AG230,HN!AM230))=9)*(CHOOSE({1,2,3,4},HN!X230,HN!AD230,HN!AJ230,HN!AP230)))</f>
        <v>0</v>
      </c>
      <c r="J230">
        <f>SUMPRODUCT((MONTH(CHOOSE({1,2,3,4},HN!U230,HN!AA230,HN!AG230,HN!AM230))=10)*(CHOOSE({1,2,3,4},HN!X230,HN!AD230,HN!AJ230,HN!AP230)))</f>
        <v>0</v>
      </c>
      <c r="K230">
        <f>SUMPRODUCT((MONTH(CHOOSE({1,2,3,4},HN!U230,HN!AA230,HN!AG230,HN!AM230))=11)*(CHOOSE({1,2,3,4},HN!X230,HN!AD230,HN!AJ230,HN!AP230)))</f>
        <v>0</v>
      </c>
      <c r="L230">
        <f>SUMPRODUCT((MONTH(CHOOSE({1,2,3,4},HN!U230,HN!AA230,HN!AG230,HN!AM230))=12)*(CHOOSE({1,2,3,4},HN!X230,HN!AD230,HN!AJ230,HN!AP230)))</f>
        <v>0</v>
      </c>
    </row>
    <row r="231" spans="1:12">
      <c r="A231">
        <f>SUMPRODUCT((MONTH(CHOOSE({1,2,3,4},HN!U231,HN!AA231,HN!AG231,HN!AM231))=1)*(CHOOSE({1,2,3,4},HN!X231,HN!AD231,HN!AJ231,HN!AP231)))</f>
        <v>0</v>
      </c>
      <c r="B231">
        <f>SUMPRODUCT((MONTH(CHOOSE({1,2,3,4},HN!U231,HN!AA231,HN!AG231,HN!AM231))=2)*(CHOOSE({1,2,3,4},HN!X231,HN!AD231,HN!AJ231,HN!AP231)))</f>
        <v>0</v>
      </c>
      <c r="C231">
        <f>SUMPRODUCT((MONTH(CHOOSE({1,2,3,4},HN!U231,HN!AA231,HN!AG231,HN!AM231))=3)*(CHOOSE({1,2,3,4},HN!X231,HN!AD231,HN!AJ231,HN!AP231)))</f>
        <v>0</v>
      </c>
      <c r="D231">
        <f>SUMPRODUCT((MONTH(CHOOSE({1,2,3,4},HN!U231,HN!AA231,HN!AG231,HN!AM231))=4)*(CHOOSE({1,2,3,4},HN!X231,HN!AD231,HN!AJ231,HN!AP231)))</f>
        <v>0</v>
      </c>
      <c r="E231">
        <f>SUMPRODUCT((MONTH(CHOOSE({1,2,3,4},HN!U231,HN!AA231,HN!AG231,HN!AM231))=5)*(CHOOSE({1,2,3,4},HN!X231,HN!AD231,HN!AJ231,HN!AP231)))</f>
        <v>0</v>
      </c>
      <c r="F231">
        <f>SUMPRODUCT((MONTH(CHOOSE({1,2,3,4},HN!U231,HN!AA231,HN!AG231,HN!AM231))=6)*(CHOOSE({1,2,3,4},HN!X231,HN!AD231,HN!AJ231,HN!AP231)))</f>
        <v>0</v>
      </c>
      <c r="G231">
        <f>SUMPRODUCT((MONTH(CHOOSE({1,2,3,4},HN!U231,HN!AA231,HN!AG231,HN!AM231))=7)*(CHOOSE({1,2,3,4},HN!X231,HN!AD231,HN!AJ231,HN!AP231)))</f>
        <v>0</v>
      </c>
      <c r="H231">
        <f>SUMPRODUCT((MONTH(CHOOSE({1,2,3,4},HN!U231,HN!AA231,HN!AG231,HN!AM231))=8)*(CHOOSE({1,2,3,4},HN!X231,HN!AD231,HN!AJ231,HN!AP231)))</f>
        <v>0</v>
      </c>
      <c r="I231">
        <f>SUMPRODUCT((MONTH(CHOOSE({1,2,3,4},HN!U231,HN!AA231,HN!AG231,HN!AM231))=9)*(CHOOSE({1,2,3,4},HN!X231,HN!AD231,HN!AJ231,HN!AP231)))</f>
        <v>0</v>
      </c>
      <c r="J231">
        <f>SUMPRODUCT((MONTH(CHOOSE({1,2,3,4},HN!U231,HN!AA231,HN!AG231,HN!AM231))=10)*(CHOOSE({1,2,3,4},HN!X231,HN!AD231,HN!AJ231,HN!AP231)))</f>
        <v>0</v>
      </c>
      <c r="K231">
        <f>SUMPRODUCT((MONTH(CHOOSE({1,2,3,4},HN!U231,HN!AA231,HN!AG231,HN!AM231))=11)*(CHOOSE({1,2,3,4},HN!X231,HN!AD231,HN!AJ231,HN!AP231)))</f>
        <v>0</v>
      </c>
      <c r="L231">
        <f>SUMPRODUCT((MONTH(CHOOSE({1,2,3,4},HN!U231,HN!AA231,HN!AG231,HN!AM231))=12)*(CHOOSE({1,2,3,4},HN!X231,HN!AD231,HN!AJ231,HN!AP231)))</f>
        <v>0</v>
      </c>
    </row>
    <row r="232" spans="1:12">
      <c r="A232">
        <f>SUMPRODUCT((MONTH(CHOOSE({1,2,3,4},HN!U232,HN!AA232,HN!AG232,HN!AM232))=1)*(CHOOSE({1,2,3,4},HN!X232,HN!AD232,HN!AJ232,HN!AP232)))</f>
        <v>0</v>
      </c>
      <c r="B232">
        <f>SUMPRODUCT((MONTH(CHOOSE({1,2,3,4},HN!U232,HN!AA232,HN!AG232,HN!AM232))=2)*(CHOOSE({1,2,3,4},HN!X232,HN!AD232,HN!AJ232,HN!AP232)))</f>
        <v>0</v>
      </c>
      <c r="C232">
        <f>SUMPRODUCT((MONTH(CHOOSE({1,2,3,4},HN!U232,HN!AA232,HN!AG232,HN!AM232))=3)*(CHOOSE({1,2,3,4},HN!X232,HN!AD232,HN!AJ232,HN!AP232)))</f>
        <v>0</v>
      </c>
      <c r="D232">
        <f>SUMPRODUCT((MONTH(CHOOSE({1,2,3,4},HN!U232,HN!AA232,HN!AG232,HN!AM232))=4)*(CHOOSE({1,2,3,4},HN!X232,HN!AD232,HN!AJ232,HN!AP232)))</f>
        <v>0</v>
      </c>
      <c r="E232">
        <f>SUMPRODUCT((MONTH(CHOOSE({1,2,3,4},HN!U232,HN!AA232,HN!AG232,HN!AM232))=5)*(CHOOSE({1,2,3,4},HN!X232,HN!AD232,HN!AJ232,HN!AP232)))</f>
        <v>0</v>
      </c>
      <c r="F232">
        <f>SUMPRODUCT((MONTH(CHOOSE({1,2,3,4},HN!U232,HN!AA232,HN!AG232,HN!AM232))=6)*(CHOOSE({1,2,3,4},HN!X232,HN!AD232,HN!AJ232,HN!AP232)))</f>
        <v>0</v>
      </c>
      <c r="G232">
        <f>SUMPRODUCT((MONTH(CHOOSE({1,2,3,4},HN!U232,HN!AA232,HN!AG232,HN!AM232))=7)*(CHOOSE({1,2,3,4},HN!X232,HN!AD232,HN!AJ232,HN!AP232)))</f>
        <v>0</v>
      </c>
      <c r="H232">
        <f>SUMPRODUCT((MONTH(CHOOSE({1,2,3,4},HN!U232,HN!AA232,HN!AG232,HN!AM232))=8)*(CHOOSE({1,2,3,4},HN!X232,HN!AD232,HN!AJ232,HN!AP232)))</f>
        <v>0</v>
      </c>
      <c r="I232">
        <f>SUMPRODUCT((MONTH(CHOOSE({1,2,3,4},HN!U232,HN!AA232,HN!AG232,HN!AM232))=9)*(CHOOSE({1,2,3,4},HN!X232,HN!AD232,HN!AJ232,HN!AP232)))</f>
        <v>0</v>
      </c>
      <c r="J232">
        <f>SUMPRODUCT((MONTH(CHOOSE({1,2,3,4},HN!U232,HN!AA232,HN!AG232,HN!AM232))=10)*(CHOOSE({1,2,3,4},HN!X232,HN!AD232,HN!AJ232,HN!AP232)))</f>
        <v>0</v>
      </c>
      <c r="K232">
        <f>SUMPRODUCT((MONTH(CHOOSE({1,2,3,4},HN!U232,HN!AA232,HN!AG232,HN!AM232))=11)*(CHOOSE({1,2,3,4},HN!X232,HN!AD232,HN!AJ232,HN!AP232)))</f>
        <v>0</v>
      </c>
      <c r="L232">
        <f>SUMPRODUCT((MONTH(CHOOSE({1,2,3,4},HN!U232,HN!AA232,HN!AG232,HN!AM232))=12)*(CHOOSE({1,2,3,4},HN!X232,HN!AD232,HN!AJ232,HN!AP232)))</f>
        <v>0</v>
      </c>
    </row>
    <row r="233" spans="1:12">
      <c r="A233">
        <f>SUMPRODUCT((MONTH(CHOOSE({1,2,3,4},HN!U233,HN!AA233,HN!AG233,HN!AM233))=1)*(CHOOSE({1,2,3,4},HN!X233,HN!AD233,HN!AJ233,HN!AP233)))</f>
        <v>0</v>
      </c>
      <c r="B233">
        <f>SUMPRODUCT((MONTH(CHOOSE({1,2,3,4},HN!U233,HN!AA233,HN!AG233,HN!AM233))=2)*(CHOOSE({1,2,3,4},HN!X233,HN!AD233,HN!AJ233,HN!AP233)))</f>
        <v>0</v>
      </c>
      <c r="C233">
        <f>SUMPRODUCT((MONTH(CHOOSE({1,2,3,4},HN!U233,HN!AA233,HN!AG233,HN!AM233))=3)*(CHOOSE({1,2,3,4},HN!X233,HN!AD233,HN!AJ233,HN!AP233)))</f>
        <v>0</v>
      </c>
      <c r="D233">
        <f>SUMPRODUCT((MONTH(CHOOSE({1,2,3,4},HN!U233,HN!AA233,HN!AG233,HN!AM233))=4)*(CHOOSE({1,2,3,4},HN!X233,HN!AD233,HN!AJ233,HN!AP233)))</f>
        <v>0</v>
      </c>
      <c r="E233">
        <f>SUMPRODUCT((MONTH(CHOOSE({1,2,3,4},HN!U233,HN!AA233,HN!AG233,HN!AM233))=5)*(CHOOSE({1,2,3,4},HN!X233,HN!AD233,HN!AJ233,HN!AP233)))</f>
        <v>0</v>
      </c>
      <c r="F233">
        <f>SUMPRODUCT((MONTH(CHOOSE({1,2,3,4},HN!U233,HN!AA233,HN!AG233,HN!AM233))=6)*(CHOOSE({1,2,3,4},HN!X233,HN!AD233,HN!AJ233,HN!AP233)))</f>
        <v>0</v>
      </c>
      <c r="G233">
        <f>SUMPRODUCT((MONTH(CHOOSE({1,2,3,4},HN!U233,HN!AA233,HN!AG233,HN!AM233))=7)*(CHOOSE({1,2,3,4},HN!X233,HN!AD233,HN!AJ233,HN!AP233)))</f>
        <v>0</v>
      </c>
      <c r="H233">
        <f>SUMPRODUCT((MONTH(CHOOSE({1,2,3,4},HN!U233,HN!AA233,HN!AG233,HN!AM233))=8)*(CHOOSE({1,2,3,4},HN!X233,HN!AD233,HN!AJ233,HN!AP233)))</f>
        <v>0</v>
      </c>
      <c r="I233">
        <f>SUMPRODUCT((MONTH(CHOOSE({1,2,3,4},HN!U233,HN!AA233,HN!AG233,HN!AM233))=9)*(CHOOSE({1,2,3,4},HN!X233,HN!AD233,HN!AJ233,HN!AP233)))</f>
        <v>0</v>
      </c>
      <c r="J233">
        <f>SUMPRODUCT((MONTH(CHOOSE({1,2,3,4},HN!U233,HN!AA233,HN!AG233,HN!AM233))=10)*(CHOOSE({1,2,3,4},HN!X233,HN!AD233,HN!AJ233,HN!AP233)))</f>
        <v>0</v>
      </c>
      <c r="K233">
        <f>SUMPRODUCT((MONTH(CHOOSE({1,2,3,4},HN!U233,HN!AA233,HN!AG233,HN!AM233))=11)*(CHOOSE({1,2,3,4},HN!X233,HN!AD233,HN!AJ233,HN!AP233)))</f>
        <v>0</v>
      </c>
      <c r="L233">
        <f>SUMPRODUCT((MONTH(CHOOSE({1,2,3,4},HN!U233,HN!AA233,HN!AG233,HN!AM233))=12)*(CHOOSE({1,2,3,4},HN!X233,HN!AD233,HN!AJ233,HN!AP233)))</f>
        <v>0</v>
      </c>
    </row>
    <row r="234" spans="1:12">
      <c r="A234">
        <f>SUMPRODUCT((MONTH(CHOOSE({1,2,3,4},HN!U234,HN!AA234,HN!AG234,HN!AM234))=1)*(CHOOSE({1,2,3,4},HN!X234,HN!AD234,HN!AJ234,HN!AP234)))</f>
        <v>0</v>
      </c>
      <c r="B234">
        <f>SUMPRODUCT((MONTH(CHOOSE({1,2,3,4},HN!U234,HN!AA234,HN!AG234,HN!AM234))=2)*(CHOOSE({1,2,3,4},HN!X234,HN!AD234,HN!AJ234,HN!AP234)))</f>
        <v>0</v>
      </c>
      <c r="C234">
        <f>SUMPRODUCT((MONTH(CHOOSE({1,2,3,4},HN!U234,HN!AA234,HN!AG234,HN!AM234))=3)*(CHOOSE({1,2,3,4},HN!X234,HN!AD234,HN!AJ234,HN!AP234)))</f>
        <v>0</v>
      </c>
      <c r="D234">
        <f>SUMPRODUCT((MONTH(CHOOSE({1,2,3,4},HN!U234,HN!AA234,HN!AG234,HN!AM234))=4)*(CHOOSE({1,2,3,4},HN!X234,HN!AD234,HN!AJ234,HN!AP234)))</f>
        <v>0</v>
      </c>
      <c r="E234">
        <f>SUMPRODUCT((MONTH(CHOOSE({1,2,3,4},HN!U234,HN!AA234,HN!AG234,HN!AM234))=5)*(CHOOSE({1,2,3,4},HN!X234,HN!AD234,HN!AJ234,HN!AP234)))</f>
        <v>0</v>
      </c>
      <c r="F234">
        <f>SUMPRODUCT((MONTH(CHOOSE({1,2,3,4},HN!U234,HN!AA234,HN!AG234,HN!AM234))=6)*(CHOOSE({1,2,3,4},HN!X234,HN!AD234,HN!AJ234,HN!AP234)))</f>
        <v>0</v>
      </c>
      <c r="G234">
        <f>SUMPRODUCT((MONTH(CHOOSE({1,2,3,4},HN!U234,HN!AA234,HN!AG234,HN!AM234))=7)*(CHOOSE({1,2,3,4},HN!X234,HN!AD234,HN!AJ234,HN!AP234)))</f>
        <v>0</v>
      </c>
      <c r="H234">
        <f>SUMPRODUCT((MONTH(CHOOSE({1,2,3,4},HN!U234,HN!AA234,HN!AG234,HN!AM234))=8)*(CHOOSE({1,2,3,4},HN!X234,HN!AD234,HN!AJ234,HN!AP234)))</f>
        <v>0</v>
      </c>
      <c r="I234">
        <f>SUMPRODUCT((MONTH(CHOOSE({1,2,3,4},HN!U234,HN!AA234,HN!AG234,HN!AM234))=9)*(CHOOSE({1,2,3,4},HN!X234,HN!AD234,HN!AJ234,HN!AP234)))</f>
        <v>0</v>
      </c>
      <c r="J234">
        <f>SUMPRODUCT((MONTH(CHOOSE({1,2,3,4},HN!U234,HN!AA234,HN!AG234,HN!AM234))=10)*(CHOOSE({1,2,3,4},HN!X234,HN!AD234,HN!AJ234,HN!AP234)))</f>
        <v>0</v>
      </c>
      <c r="K234">
        <f>SUMPRODUCT((MONTH(CHOOSE({1,2,3,4},HN!U234,HN!AA234,HN!AG234,HN!AM234))=11)*(CHOOSE({1,2,3,4},HN!X234,HN!AD234,HN!AJ234,HN!AP234)))</f>
        <v>0</v>
      </c>
      <c r="L234">
        <f>SUMPRODUCT((MONTH(CHOOSE({1,2,3,4},HN!U234,HN!AA234,HN!AG234,HN!AM234))=12)*(CHOOSE({1,2,3,4},HN!X234,HN!AD234,HN!AJ234,HN!AP234)))</f>
        <v>0</v>
      </c>
    </row>
    <row r="235" spans="1:12">
      <c r="A235">
        <f>SUMPRODUCT((MONTH(CHOOSE({1,2,3,4},HN!U235,HN!AA235,HN!AG235,HN!AM235))=1)*(CHOOSE({1,2,3,4},HN!X235,HN!AD235,HN!AJ235,HN!AP235)))</f>
        <v>0</v>
      </c>
      <c r="B235">
        <f>SUMPRODUCT((MONTH(CHOOSE({1,2,3,4},HN!U235,HN!AA235,HN!AG235,HN!AM235))=2)*(CHOOSE({1,2,3,4},HN!X235,HN!AD235,HN!AJ235,HN!AP235)))</f>
        <v>0</v>
      </c>
      <c r="C235">
        <f>SUMPRODUCT((MONTH(CHOOSE({1,2,3,4},HN!U235,HN!AA235,HN!AG235,HN!AM235))=3)*(CHOOSE({1,2,3,4},HN!X235,HN!AD235,HN!AJ235,HN!AP235)))</f>
        <v>0</v>
      </c>
      <c r="D235">
        <f>SUMPRODUCT((MONTH(CHOOSE({1,2,3,4},HN!U235,HN!AA235,HN!AG235,HN!AM235))=4)*(CHOOSE({1,2,3,4},HN!X235,HN!AD235,HN!AJ235,HN!AP235)))</f>
        <v>0</v>
      </c>
      <c r="E235">
        <f>SUMPRODUCT((MONTH(CHOOSE({1,2,3,4},HN!U235,HN!AA235,HN!AG235,HN!AM235))=5)*(CHOOSE({1,2,3,4},HN!X235,HN!AD235,HN!AJ235,HN!AP235)))</f>
        <v>0</v>
      </c>
      <c r="F235">
        <f>SUMPRODUCT((MONTH(CHOOSE({1,2,3,4},HN!U235,HN!AA235,HN!AG235,HN!AM235))=6)*(CHOOSE({1,2,3,4},HN!X235,HN!AD235,HN!AJ235,HN!AP235)))</f>
        <v>0</v>
      </c>
      <c r="G235">
        <f>SUMPRODUCT((MONTH(CHOOSE({1,2,3,4},HN!U235,HN!AA235,HN!AG235,HN!AM235))=7)*(CHOOSE({1,2,3,4},HN!X235,HN!AD235,HN!AJ235,HN!AP235)))</f>
        <v>0</v>
      </c>
      <c r="H235">
        <f>SUMPRODUCT((MONTH(CHOOSE({1,2,3,4},HN!U235,HN!AA235,HN!AG235,HN!AM235))=8)*(CHOOSE({1,2,3,4},HN!X235,HN!AD235,HN!AJ235,HN!AP235)))</f>
        <v>0</v>
      </c>
      <c r="I235">
        <f>SUMPRODUCT((MONTH(CHOOSE({1,2,3,4},HN!U235,HN!AA235,HN!AG235,HN!AM235))=9)*(CHOOSE({1,2,3,4},HN!X235,HN!AD235,HN!AJ235,HN!AP235)))</f>
        <v>0</v>
      </c>
      <c r="J235">
        <f>SUMPRODUCT((MONTH(CHOOSE({1,2,3,4},HN!U235,HN!AA235,HN!AG235,HN!AM235))=10)*(CHOOSE({1,2,3,4},HN!X235,HN!AD235,HN!AJ235,HN!AP235)))</f>
        <v>0</v>
      </c>
      <c r="K235">
        <f>SUMPRODUCT((MONTH(CHOOSE({1,2,3,4},HN!U235,HN!AA235,HN!AG235,HN!AM235))=11)*(CHOOSE({1,2,3,4},HN!X235,HN!AD235,HN!AJ235,HN!AP235)))</f>
        <v>0</v>
      </c>
      <c r="L235">
        <f>SUMPRODUCT((MONTH(CHOOSE({1,2,3,4},HN!U235,HN!AA235,HN!AG235,HN!AM235))=12)*(CHOOSE({1,2,3,4},HN!X235,HN!AD235,HN!AJ235,HN!AP235)))</f>
        <v>0</v>
      </c>
    </row>
    <row r="236" spans="1:12">
      <c r="A236">
        <f>SUMPRODUCT((MONTH(CHOOSE({1,2,3,4},HN!U236,HN!AA236,HN!AG236,HN!AM236))=1)*(CHOOSE({1,2,3,4},HN!X236,HN!AD236,HN!AJ236,HN!AP236)))</f>
        <v>0</v>
      </c>
      <c r="B236">
        <f>SUMPRODUCT((MONTH(CHOOSE({1,2,3,4},HN!U236,HN!AA236,HN!AG236,HN!AM236))=2)*(CHOOSE({1,2,3,4},HN!X236,HN!AD236,HN!AJ236,HN!AP236)))</f>
        <v>0</v>
      </c>
      <c r="C236">
        <f>SUMPRODUCT((MONTH(CHOOSE({1,2,3,4},HN!U236,HN!AA236,HN!AG236,HN!AM236))=3)*(CHOOSE({1,2,3,4},HN!X236,HN!AD236,HN!AJ236,HN!AP236)))</f>
        <v>0</v>
      </c>
      <c r="D236">
        <f>SUMPRODUCT((MONTH(CHOOSE({1,2,3,4},HN!U236,HN!AA236,HN!AG236,HN!AM236))=4)*(CHOOSE({1,2,3,4},HN!X236,HN!AD236,HN!AJ236,HN!AP236)))</f>
        <v>0</v>
      </c>
      <c r="E236">
        <f>SUMPRODUCT((MONTH(CHOOSE({1,2,3,4},HN!U236,HN!AA236,HN!AG236,HN!AM236))=5)*(CHOOSE({1,2,3,4},HN!X236,HN!AD236,HN!AJ236,HN!AP236)))</f>
        <v>0</v>
      </c>
      <c r="F236">
        <f>SUMPRODUCT((MONTH(CHOOSE({1,2,3,4},HN!U236,HN!AA236,HN!AG236,HN!AM236))=6)*(CHOOSE({1,2,3,4},HN!X236,HN!AD236,HN!AJ236,HN!AP236)))</f>
        <v>0</v>
      </c>
      <c r="G236">
        <f>SUMPRODUCT((MONTH(CHOOSE({1,2,3,4},HN!U236,HN!AA236,HN!AG236,HN!AM236))=7)*(CHOOSE({1,2,3,4},HN!X236,HN!AD236,HN!AJ236,HN!AP236)))</f>
        <v>0</v>
      </c>
      <c r="H236">
        <f>SUMPRODUCT((MONTH(CHOOSE({1,2,3,4},HN!U236,HN!AA236,HN!AG236,HN!AM236))=8)*(CHOOSE({1,2,3,4},HN!X236,HN!AD236,HN!AJ236,HN!AP236)))</f>
        <v>0</v>
      </c>
      <c r="I236">
        <f>SUMPRODUCT((MONTH(CHOOSE({1,2,3,4},HN!U236,HN!AA236,HN!AG236,HN!AM236))=9)*(CHOOSE({1,2,3,4},HN!X236,HN!AD236,HN!AJ236,HN!AP236)))</f>
        <v>0</v>
      </c>
      <c r="J236">
        <f>SUMPRODUCT((MONTH(CHOOSE({1,2,3,4},HN!U236,HN!AA236,HN!AG236,HN!AM236))=10)*(CHOOSE({1,2,3,4},HN!X236,HN!AD236,HN!AJ236,HN!AP236)))</f>
        <v>0</v>
      </c>
      <c r="K236">
        <f>SUMPRODUCT((MONTH(CHOOSE({1,2,3,4},HN!U236,HN!AA236,HN!AG236,HN!AM236))=11)*(CHOOSE({1,2,3,4},HN!X236,HN!AD236,HN!AJ236,HN!AP236)))</f>
        <v>0</v>
      </c>
      <c r="L236">
        <f>SUMPRODUCT((MONTH(CHOOSE({1,2,3,4},HN!U236,HN!AA236,HN!AG236,HN!AM236))=12)*(CHOOSE({1,2,3,4},HN!X236,HN!AD236,HN!AJ236,HN!AP236)))</f>
        <v>0</v>
      </c>
    </row>
    <row r="237" spans="1:12">
      <c r="A237">
        <f>SUMPRODUCT((MONTH(CHOOSE({1,2,3,4},HN!U237,HN!AA237,HN!AG237,HN!AM237))=1)*(CHOOSE({1,2,3,4},HN!X237,HN!AD237,HN!AJ237,HN!AP237)))</f>
        <v>0</v>
      </c>
      <c r="B237">
        <f>SUMPRODUCT((MONTH(CHOOSE({1,2,3,4},HN!U237,HN!AA237,HN!AG237,HN!AM237))=2)*(CHOOSE({1,2,3,4},HN!X237,HN!AD237,HN!AJ237,HN!AP237)))</f>
        <v>0</v>
      </c>
      <c r="C237">
        <f>SUMPRODUCT((MONTH(CHOOSE({1,2,3,4},HN!U237,HN!AA237,HN!AG237,HN!AM237))=3)*(CHOOSE({1,2,3,4},HN!X237,HN!AD237,HN!AJ237,HN!AP237)))</f>
        <v>0</v>
      </c>
      <c r="D237">
        <f>SUMPRODUCT((MONTH(CHOOSE({1,2,3,4},HN!U237,HN!AA237,HN!AG237,HN!AM237))=4)*(CHOOSE({1,2,3,4},HN!X237,HN!AD237,HN!AJ237,HN!AP237)))</f>
        <v>0</v>
      </c>
      <c r="E237">
        <f>SUMPRODUCT((MONTH(CHOOSE({1,2,3,4},HN!U237,HN!AA237,HN!AG237,HN!AM237))=5)*(CHOOSE({1,2,3,4},HN!X237,HN!AD237,HN!AJ237,HN!AP237)))</f>
        <v>0</v>
      </c>
      <c r="F237">
        <f>SUMPRODUCT((MONTH(CHOOSE({1,2,3,4},HN!U237,HN!AA237,HN!AG237,HN!AM237))=6)*(CHOOSE({1,2,3,4},HN!X237,HN!AD237,HN!AJ237,HN!AP237)))</f>
        <v>0</v>
      </c>
      <c r="G237">
        <f>SUMPRODUCT((MONTH(CHOOSE({1,2,3,4},HN!U237,HN!AA237,HN!AG237,HN!AM237))=7)*(CHOOSE({1,2,3,4},HN!X237,HN!AD237,HN!AJ237,HN!AP237)))</f>
        <v>0</v>
      </c>
      <c r="H237">
        <f>SUMPRODUCT((MONTH(CHOOSE({1,2,3,4},HN!U237,HN!AA237,HN!AG237,HN!AM237))=8)*(CHOOSE({1,2,3,4},HN!X237,HN!AD237,HN!AJ237,HN!AP237)))</f>
        <v>0</v>
      </c>
      <c r="I237">
        <f>SUMPRODUCT((MONTH(CHOOSE({1,2,3,4},HN!U237,HN!AA237,HN!AG237,HN!AM237))=9)*(CHOOSE({1,2,3,4},HN!X237,HN!AD237,HN!AJ237,HN!AP237)))</f>
        <v>0</v>
      </c>
      <c r="J237">
        <f>SUMPRODUCT((MONTH(CHOOSE({1,2,3,4},HN!U237,HN!AA237,HN!AG237,HN!AM237))=10)*(CHOOSE({1,2,3,4},HN!X237,HN!AD237,HN!AJ237,HN!AP237)))</f>
        <v>0</v>
      </c>
      <c r="K237">
        <f>SUMPRODUCT((MONTH(CHOOSE({1,2,3,4},HN!U237,HN!AA237,HN!AG237,HN!AM237))=11)*(CHOOSE({1,2,3,4},HN!X237,HN!AD237,HN!AJ237,HN!AP237)))</f>
        <v>0</v>
      </c>
      <c r="L237">
        <f>SUMPRODUCT((MONTH(CHOOSE({1,2,3,4},HN!U237,HN!AA237,HN!AG237,HN!AM237))=12)*(CHOOSE({1,2,3,4},HN!X237,HN!AD237,HN!AJ237,HN!AP237)))</f>
        <v>0</v>
      </c>
    </row>
    <row r="238" spans="1:12">
      <c r="A238">
        <f>SUMPRODUCT((MONTH(CHOOSE({1,2,3,4},HN!U238,HN!AA238,HN!AG238,HN!AM238))=1)*(CHOOSE({1,2,3,4},HN!X238,HN!AD238,HN!AJ238,HN!AP238)))</f>
        <v>0</v>
      </c>
      <c r="B238">
        <f>SUMPRODUCT((MONTH(CHOOSE({1,2,3,4},HN!U238,HN!AA238,HN!AG238,HN!AM238))=2)*(CHOOSE({1,2,3,4},HN!X238,HN!AD238,HN!AJ238,HN!AP238)))</f>
        <v>0</v>
      </c>
      <c r="C238">
        <f>SUMPRODUCT((MONTH(CHOOSE({1,2,3,4},HN!U238,HN!AA238,HN!AG238,HN!AM238))=3)*(CHOOSE({1,2,3,4},HN!X238,HN!AD238,HN!AJ238,HN!AP238)))</f>
        <v>0</v>
      </c>
      <c r="D238">
        <f>SUMPRODUCT((MONTH(CHOOSE({1,2,3,4},HN!U238,HN!AA238,HN!AG238,HN!AM238))=4)*(CHOOSE({1,2,3,4},HN!X238,HN!AD238,HN!AJ238,HN!AP238)))</f>
        <v>0</v>
      </c>
      <c r="E238">
        <f>SUMPRODUCT((MONTH(CHOOSE({1,2,3,4},HN!U238,HN!AA238,HN!AG238,HN!AM238))=5)*(CHOOSE({1,2,3,4},HN!X238,HN!AD238,HN!AJ238,HN!AP238)))</f>
        <v>0</v>
      </c>
      <c r="F238">
        <f>SUMPRODUCT((MONTH(CHOOSE({1,2,3,4},HN!U238,HN!AA238,HN!AG238,HN!AM238))=6)*(CHOOSE({1,2,3,4},HN!X238,HN!AD238,HN!AJ238,HN!AP238)))</f>
        <v>0</v>
      </c>
      <c r="G238">
        <f>SUMPRODUCT((MONTH(CHOOSE({1,2,3,4},HN!U238,HN!AA238,HN!AG238,HN!AM238))=7)*(CHOOSE({1,2,3,4},HN!X238,HN!AD238,HN!AJ238,HN!AP238)))</f>
        <v>0</v>
      </c>
      <c r="H238">
        <f>SUMPRODUCT((MONTH(CHOOSE({1,2,3,4},HN!U238,HN!AA238,HN!AG238,HN!AM238))=8)*(CHOOSE({1,2,3,4},HN!X238,HN!AD238,HN!AJ238,HN!AP238)))</f>
        <v>0</v>
      </c>
      <c r="I238">
        <f>SUMPRODUCT((MONTH(CHOOSE({1,2,3,4},HN!U238,HN!AA238,HN!AG238,HN!AM238))=9)*(CHOOSE({1,2,3,4},HN!X238,HN!AD238,HN!AJ238,HN!AP238)))</f>
        <v>0</v>
      </c>
      <c r="J238">
        <f>SUMPRODUCT((MONTH(CHOOSE({1,2,3,4},HN!U238,HN!AA238,HN!AG238,HN!AM238))=10)*(CHOOSE({1,2,3,4},HN!X238,HN!AD238,HN!AJ238,HN!AP238)))</f>
        <v>0</v>
      </c>
      <c r="K238">
        <f>SUMPRODUCT((MONTH(CHOOSE({1,2,3,4},HN!U238,HN!AA238,HN!AG238,HN!AM238))=11)*(CHOOSE({1,2,3,4},HN!X238,HN!AD238,HN!AJ238,HN!AP238)))</f>
        <v>0</v>
      </c>
      <c r="L238">
        <f>SUMPRODUCT((MONTH(CHOOSE({1,2,3,4},HN!U238,HN!AA238,HN!AG238,HN!AM238))=12)*(CHOOSE({1,2,3,4},HN!X238,HN!AD238,HN!AJ238,HN!AP238)))</f>
        <v>0</v>
      </c>
    </row>
    <row r="239" spans="1:12">
      <c r="A239">
        <f>SUMPRODUCT((MONTH(CHOOSE({1,2,3,4},HN!U239,HN!AA239,HN!AG239,HN!AM239))=1)*(CHOOSE({1,2,3,4},HN!X239,HN!AD239,HN!AJ239,HN!AP239)))</f>
        <v>0</v>
      </c>
      <c r="B239">
        <f>SUMPRODUCT((MONTH(CHOOSE({1,2,3,4},HN!U239,HN!AA239,HN!AG239,HN!AM239))=2)*(CHOOSE({1,2,3,4},HN!X239,HN!AD239,HN!AJ239,HN!AP239)))</f>
        <v>0</v>
      </c>
      <c r="C239">
        <f>SUMPRODUCT((MONTH(CHOOSE({1,2,3,4},HN!U239,HN!AA239,HN!AG239,HN!AM239))=3)*(CHOOSE({1,2,3,4},HN!X239,HN!AD239,HN!AJ239,HN!AP239)))</f>
        <v>0</v>
      </c>
      <c r="D239">
        <f>SUMPRODUCT((MONTH(CHOOSE({1,2,3,4},HN!U239,HN!AA239,HN!AG239,HN!AM239))=4)*(CHOOSE({1,2,3,4},HN!X239,HN!AD239,HN!AJ239,HN!AP239)))</f>
        <v>0</v>
      </c>
      <c r="E239">
        <f>SUMPRODUCT((MONTH(CHOOSE({1,2,3,4},HN!U239,HN!AA239,HN!AG239,HN!AM239))=5)*(CHOOSE({1,2,3,4},HN!X239,HN!AD239,HN!AJ239,HN!AP239)))</f>
        <v>0</v>
      </c>
      <c r="F239">
        <f>SUMPRODUCT((MONTH(CHOOSE({1,2,3,4},HN!U239,HN!AA239,HN!AG239,HN!AM239))=6)*(CHOOSE({1,2,3,4},HN!X239,HN!AD239,HN!AJ239,HN!AP239)))</f>
        <v>0</v>
      </c>
      <c r="G239">
        <f>SUMPRODUCT((MONTH(CHOOSE({1,2,3,4},HN!U239,HN!AA239,HN!AG239,HN!AM239))=7)*(CHOOSE({1,2,3,4},HN!X239,HN!AD239,HN!AJ239,HN!AP239)))</f>
        <v>0</v>
      </c>
      <c r="H239">
        <f>SUMPRODUCT((MONTH(CHOOSE({1,2,3,4},HN!U239,HN!AA239,HN!AG239,HN!AM239))=8)*(CHOOSE({1,2,3,4},HN!X239,HN!AD239,HN!AJ239,HN!AP239)))</f>
        <v>0</v>
      </c>
      <c r="I239">
        <f>SUMPRODUCT((MONTH(CHOOSE({1,2,3,4},HN!U239,HN!AA239,HN!AG239,HN!AM239))=9)*(CHOOSE({1,2,3,4},HN!X239,HN!AD239,HN!AJ239,HN!AP239)))</f>
        <v>0</v>
      </c>
      <c r="J239">
        <f>SUMPRODUCT((MONTH(CHOOSE({1,2,3,4},HN!U239,HN!AA239,HN!AG239,HN!AM239))=10)*(CHOOSE({1,2,3,4},HN!X239,HN!AD239,HN!AJ239,HN!AP239)))</f>
        <v>0</v>
      </c>
      <c r="K239">
        <f>SUMPRODUCT((MONTH(CHOOSE({1,2,3,4},HN!U239,HN!AA239,HN!AG239,HN!AM239))=11)*(CHOOSE({1,2,3,4},HN!X239,HN!AD239,HN!AJ239,HN!AP239)))</f>
        <v>0</v>
      </c>
      <c r="L239">
        <f>SUMPRODUCT((MONTH(CHOOSE({1,2,3,4},HN!U239,HN!AA239,HN!AG239,HN!AM239))=12)*(CHOOSE({1,2,3,4},HN!X239,HN!AD239,HN!AJ239,HN!AP239)))</f>
        <v>0</v>
      </c>
    </row>
    <row r="240" spans="1:12">
      <c r="A240">
        <f>SUMPRODUCT((MONTH(CHOOSE({1,2,3,4},HN!U240,HN!AA240,HN!AG240,HN!AM240))=1)*(CHOOSE({1,2,3,4},HN!X240,HN!AD240,HN!AJ240,HN!AP240)))</f>
        <v>0</v>
      </c>
      <c r="B240">
        <f>SUMPRODUCT((MONTH(CHOOSE({1,2,3,4},HN!U240,HN!AA240,HN!AG240,HN!AM240))=2)*(CHOOSE({1,2,3,4},HN!X240,HN!AD240,HN!AJ240,HN!AP240)))</f>
        <v>0</v>
      </c>
      <c r="C240">
        <f>SUMPRODUCT((MONTH(CHOOSE({1,2,3,4},HN!U240,HN!AA240,HN!AG240,HN!AM240))=3)*(CHOOSE({1,2,3,4},HN!X240,HN!AD240,HN!AJ240,HN!AP240)))</f>
        <v>0</v>
      </c>
      <c r="D240">
        <f>SUMPRODUCT((MONTH(CHOOSE({1,2,3,4},HN!U240,HN!AA240,HN!AG240,HN!AM240))=4)*(CHOOSE({1,2,3,4},HN!X240,HN!AD240,HN!AJ240,HN!AP240)))</f>
        <v>0</v>
      </c>
      <c r="E240">
        <f>SUMPRODUCT((MONTH(CHOOSE({1,2,3,4},HN!U240,HN!AA240,HN!AG240,HN!AM240))=5)*(CHOOSE({1,2,3,4},HN!X240,HN!AD240,HN!AJ240,HN!AP240)))</f>
        <v>0</v>
      </c>
      <c r="F240">
        <f>SUMPRODUCT((MONTH(CHOOSE({1,2,3,4},HN!U240,HN!AA240,HN!AG240,HN!AM240))=6)*(CHOOSE({1,2,3,4},HN!X240,HN!AD240,HN!AJ240,HN!AP240)))</f>
        <v>0</v>
      </c>
      <c r="G240">
        <f>SUMPRODUCT((MONTH(CHOOSE({1,2,3,4},HN!U240,HN!AA240,HN!AG240,HN!AM240))=7)*(CHOOSE({1,2,3,4},HN!X240,HN!AD240,HN!AJ240,HN!AP240)))</f>
        <v>0</v>
      </c>
      <c r="H240">
        <f>SUMPRODUCT((MONTH(CHOOSE({1,2,3,4},HN!U240,HN!AA240,HN!AG240,HN!AM240))=8)*(CHOOSE({1,2,3,4},HN!X240,HN!AD240,HN!AJ240,HN!AP240)))</f>
        <v>0</v>
      </c>
      <c r="I240">
        <f>SUMPRODUCT((MONTH(CHOOSE({1,2,3,4},HN!U240,HN!AA240,HN!AG240,HN!AM240))=9)*(CHOOSE({1,2,3,4},HN!X240,HN!AD240,HN!AJ240,HN!AP240)))</f>
        <v>0</v>
      </c>
      <c r="J240">
        <f>SUMPRODUCT((MONTH(CHOOSE({1,2,3,4},HN!U240,HN!AA240,HN!AG240,HN!AM240))=10)*(CHOOSE({1,2,3,4},HN!X240,HN!AD240,HN!AJ240,HN!AP240)))</f>
        <v>0</v>
      </c>
      <c r="K240">
        <f>SUMPRODUCT((MONTH(CHOOSE({1,2,3,4},HN!U240,HN!AA240,HN!AG240,HN!AM240))=11)*(CHOOSE({1,2,3,4},HN!X240,HN!AD240,HN!AJ240,HN!AP240)))</f>
        <v>0</v>
      </c>
      <c r="L240">
        <f>SUMPRODUCT((MONTH(CHOOSE({1,2,3,4},HN!U240,HN!AA240,HN!AG240,HN!AM240))=12)*(CHOOSE({1,2,3,4},HN!X240,HN!AD240,HN!AJ240,HN!AP240)))</f>
        <v>0</v>
      </c>
    </row>
    <row r="241" spans="1:12">
      <c r="A241">
        <f>SUMPRODUCT((MONTH(CHOOSE({1,2,3,4},HN!U241,HN!AA241,HN!AG241,HN!AM241))=1)*(CHOOSE({1,2,3,4},HN!X241,HN!AD241,HN!AJ241,HN!AP241)))</f>
        <v>0</v>
      </c>
      <c r="B241">
        <f>SUMPRODUCT((MONTH(CHOOSE({1,2,3,4},HN!U241,HN!AA241,HN!AG241,HN!AM241))=2)*(CHOOSE({1,2,3,4},HN!X241,HN!AD241,HN!AJ241,HN!AP241)))</f>
        <v>0</v>
      </c>
      <c r="C241">
        <f>SUMPRODUCT((MONTH(CHOOSE({1,2,3,4},HN!U241,HN!AA241,HN!AG241,HN!AM241))=3)*(CHOOSE({1,2,3,4},HN!X241,HN!AD241,HN!AJ241,HN!AP241)))</f>
        <v>0</v>
      </c>
      <c r="D241">
        <f>SUMPRODUCT((MONTH(CHOOSE({1,2,3,4},HN!U241,HN!AA241,HN!AG241,HN!AM241))=4)*(CHOOSE({1,2,3,4},HN!X241,HN!AD241,HN!AJ241,HN!AP241)))</f>
        <v>0</v>
      </c>
      <c r="E241">
        <f>SUMPRODUCT((MONTH(CHOOSE({1,2,3,4},HN!U241,HN!AA241,HN!AG241,HN!AM241))=5)*(CHOOSE({1,2,3,4},HN!X241,HN!AD241,HN!AJ241,HN!AP241)))</f>
        <v>0</v>
      </c>
      <c r="F241">
        <f>SUMPRODUCT((MONTH(CHOOSE({1,2,3,4},HN!U241,HN!AA241,HN!AG241,HN!AM241))=6)*(CHOOSE({1,2,3,4},HN!X241,HN!AD241,HN!AJ241,HN!AP241)))</f>
        <v>0</v>
      </c>
      <c r="G241">
        <f>SUMPRODUCT((MONTH(CHOOSE({1,2,3,4},HN!U241,HN!AA241,HN!AG241,HN!AM241))=7)*(CHOOSE({1,2,3,4},HN!X241,HN!AD241,HN!AJ241,HN!AP241)))</f>
        <v>0</v>
      </c>
      <c r="H241">
        <f>SUMPRODUCT((MONTH(CHOOSE({1,2,3,4},HN!U241,HN!AA241,HN!AG241,HN!AM241))=8)*(CHOOSE({1,2,3,4},HN!X241,HN!AD241,HN!AJ241,HN!AP241)))</f>
        <v>0</v>
      </c>
      <c r="I241">
        <f>SUMPRODUCT((MONTH(CHOOSE({1,2,3,4},HN!U241,HN!AA241,HN!AG241,HN!AM241))=9)*(CHOOSE({1,2,3,4},HN!X241,HN!AD241,HN!AJ241,HN!AP241)))</f>
        <v>0</v>
      </c>
      <c r="J241">
        <f>SUMPRODUCT((MONTH(CHOOSE({1,2,3,4},HN!U241,HN!AA241,HN!AG241,HN!AM241))=10)*(CHOOSE({1,2,3,4},HN!X241,HN!AD241,HN!AJ241,HN!AP241)))</f>
        <v>0</v>
      </c>
      <c r="K241">
        <f>SUMPRODUCT((MONTH(CHOOSE({1,2,3,4},HN!U241,HN!AA241,HN!AG241,HN!AM241))=11)*(CHOOSE({1,2,3,4},HN!X241,HN!AD241,HN!AJ241,HN!AP241)))</f>
        <v>0</v>
      </c>
      <c r="L241">
        <f>SUMPRODUCT((MONTH(CHOOSE({1,2,3,4},HN!U241,HN!AA241,HN!AG241,HN!AM241))=12)*(CHOOSE({1,2,3,4},HN!X241,HN!AD241,HN!AJ241,HN!AP241)))</f>
        <v>0</v>
      </c>
    </row>
    <row r="242" spans="1:12">
      <c r="A242">
        <f>SUMPRODUCT((MONTH(CHOOSE({1,2,3,4},HN!U242,HN!AA242,HN!AG242,HN!AM242))=1)*(CHOOSE({1,2,3,4},HN!X242,HN!AD242,HN!AJ242,HN!AP242)))</f>
        <v>0</v>
      </c>
      <c r="B242">
        <f>SUMPRODUCT((MONTH(CHOOSE({1,2,3,4},HN!U242,HN!AA242,HN!AG242,HN!AM242))=2)*(CHOOSE({1,2,3,4},HN!X242,HN!AD242,HN!AJ242,HN!AP242)))</f>
        <v>0</v>
      </c>
      <c r="C242">
        <f>SUMPRODUCT((MONTH(CHOOSE({1,2,3,4},HN!U242,HN!AA242,HN!AG242,HN!AM242))=3)*(CHOOSE({1,2,3,4},HN!X242,HN!AD242,HN!AJ242,HN!AP242)))</f>
        <v>0</v>
      </c>
      <c r="D242">
        <f>SUMPRODUCT((MONTH(CHOOSE({1,2,3,4},HN!U242,HN!AA242,HN!AG242,HN!AM242))=4)*(CHOOSE({1,2,3,4},HN!X242,HN!AD242,HN!AJ242,HN!AP242)))</f>
        <v>0</v>
      </c>
      <c r="E242">
        <f>SUMPRODUCT((MONTH(CHOOSE({1,2,3,4},HN!U242,HN!AA242,HN!AG242,HN!AM242))=5)*(CHOOSE({1,2,3,4},HN!X242,HN!AD242,HN!AJ242,HN!AP242)))</f>
        <v>0</v>
      </c>
      <c r="F242">
        <f>SUMPRODUCT((MONTH(CHOOSE({1,2,3,4},HN!U242,HN!AA242,HN!AG242,HN!AM242))=6)*(CHOOSE({1,2,3,4},HN!X242,HN!AD242,HN!AJ242,HN!AP242)))</f>
        <v>0</v>
      </c>
      <c r="G242">
        <f>SUMPRODUCT((MONTH(CHOOSE({1,2,3,4},HN!U242,HN!AA242,HN!AG242,HN!AM242))=7)*(CHOOSE({1,2,3,4},HN!X242,HN!AD242,HN!AJ242,HN!AP242)))</f>
        <v>0</v>
      </c>
      <c r="H242">
        <f>SUMPRODUCT((MONTH(CHOOSE({1,2,3,4},HN!U242,HN!AA242,HN!AG242,HN!AM242))=8)*(CHOOSE({1,2,3,4},HN!X242,HN!AD242,HN!AJ242,HN!AP242)))</f>
        <v>0</v>
      </c>
      <c r="I242">
        <f>SUMPRODUCT((MONTH(CHOOSE({1,2,3,4},HN!U242,HN!AA242,HN!AG242,HN!AM242))=9)*(CHOOSE({1,2,3,4},HN!X242,HN!AD242,HN!AJ242,HN!AP242)))</f>
        <v>0</v>
      </c>
      <c r="J242">
        <f>SUMPRODUCT((MONTH(CHOOSE({1,2,3,4},HN!U242,HN!AA242,HN!AG242,HN!AM242))=10)*(CHOOSE({1,2,3,4},HN!X242,HN!AD242,HN!AJ242,HN!AP242)))</f>
        <v>0</v>
      </c>
      <c r="K242">
        <f>SUMPRODUCT((MONTH(CHOOSE({1,2,3,4},HN!U242,HN!AA242,HN!AG242,HN!AM242))=11)*(CHOOSE({1,2,3,4},HN!X242,HN!AD242,HN!AJ242,HN!AP242)))</f>
        <v>0</v>
      </c>
      <c r="L242">
        <f>SUMPRODUCT((MONTH(CHOOSE({1,2,3,4},HN!U242,HN!AA242,HN!AG242,HN!AM242))=12)*(CHOOSE({1,2,3,4},HN!X242,HN!AD242,HN!AJ242,HN!AP242)))</f>
        <v>0</v>
      </c>
    </row>
    <row r="243" spans="1:12">
      <c r="A243">
        <f>SUMPRODUCT((MONTH(CHOOSE({1,2,3,4},HN!U243,HN!AA243,HN!AG243,HN!AM243))=1)*(CHOOSE({1,2,3,4},HN!X243,HN!AD243,HN!AJ243,HN!AP243)))</f>
        <v>0</v>
      </c>
      <c r="B243">
        <f>SUMPRODUCT((MONTH(CHOOSE({1,2,3,4},HN!U243,HN!AA243,HN!AG243,HN!AM243))=2)*(CHOOSE({1,2,3,4},HN!X243,HN!AD243,HN!AJ243,HN!AP243)))</f>
        <v>0</v>
      </c>
      <c r="C243">
        <f>SUMPRODUCT((MONTH(CHOOSE({1,2,3,4},HN!U243,HN!AA243,HN!AG243,HN!AM243))=3)*(CHOOSE({1,2,3,4},HN!X243,HN!AD243,HN!AJ243,HN!AP243)))</f>
        <v>0</v>
      </c>
      <c r="D243">
        <f>SUMPRODUCT((MONTH(CHOOSE({1,2,3,4},HN!U243,HN!AA243,HN!AG243,HN!AM243))=4)*(CHOOSE({1,2,3,4},HN!X243,HN!AD243,HN!AJ243,HN!AP243)))</f>
        <v>0</v>
      </c>
      <c r="E243">
        <f>SUMPRODUCT((MONTH(CHOOSE({1,2,3,4},HN!U243,HN!AA243,HN!AG243,HN!AM243))=5)*(CHOOSE({1,2,3,4},HN!X243,HN!AD243,HN!AJ243,HN!AP243)))</f>
        <v>0</v>
      </c>
      <c r="F243">
        <f>SUMPRODUCT((MONTH(CHOOSE({1,2,3,4},HN!U243,HN!AA243,HN!AG243,HN!AM243))=6)*(CHOOSE({1,2,3,4},HN!X243,HN!AD243,HN!AJ243,HN!AP243)))</f>
        <v>0</v>
      </c>
      <c r="G243">
        <f>SUMPRODUCT((MONTH(CHOOSE({1,2,3,4},HN!U243,HN!AA243,HN!AG243,HN!AM243))=7)*(CHOOSE({1,2,3,4},HN!X243,HN!AD243,HN!AJ243,HN!AP243)))</f>
        <v>0</v>
      </c>
      <c r="H243">
        <f>SUMPRODUCT((MONTH(CHOOSE({1,2,3,4},HN!U243,HN!AA243,HN!AG243,HN!AM243))=8)*(CHOOSE({1,2,3,4},HN!X243,HN!AD243,HN!AJ243,HN!AP243)))</f>
        <v>0</v>
      </c>
      <c r="I243">
        <f>SUMPRODUCT((MONTH(CHOOSE({1,2,3,4},HN!U243,HN!AA243,HN!AG243,HN!AM243))=9)*(CHOOSE({1,2,3,4},HN!X243,HN!AD243,HN!AJ243,HN!AP243)))</f>
        <v>0</v>
      </c>
      <c r="J243">
        <f>SUMPRODUCT((MONTH(CHOOSE({1,2,3,4},HN!U243,HN!AA243,HN!AG243,HN!AM243))=10)*(CHOOSE({1,2,3,4},HN!X243,HN!AD243,HN!AJ243,HN!AP243)))</f>
        <v>0</v>
      </c>
      <c r="K243">
        <f>SUMPRODUCT((MONTH(CHOOSE({1,2,3,4},HN!U243,HN!AA243,HN!AG243,HN!AM243))=11)*(CHOOSE({1,2,3,4},HN!X243,HN!AD243,HN!AJ243,HN!AP243)))</f>
        <v>0</v>
      </c>
      <c r="L243">
        <f>SUMPRODUCT((MONTH(CHOOSE({1,2,3,4},HN!U243,HN!AA243,HN!AG243,HN!AM243))=12)*(CHOOSE({1,2,3,4},HN!X243,HN!AD243,HN!AJ243,HN!AP243)))</f>
        <v>0</v>
      </c>
    </row>
    <row r="244" spans="1:12">
      <c r="A244">
        <f>SUMPRODUCT((MONTH(CHOOSE({1,2,3,4},HN!U244,HN!AA244,HN!AG244,HN!AM244))=1)*(CHOOSE({1,2,3,4},HN!X244,HN!AD244,HN!AJ244,HN!AP244)))</f>
        <v>0</v>
      </c>
      <c r="B244">
        <f>SUMPRODUCT((MONTH(CHOOSE({1,2,3,4},HN!U244,HN!AA244,HN!AG244,HN!AM244))=2)*(CHOOSE({1,2,3,4},HN!X244,HN!AD244,HN!AJ244,HN!AP244)))</f>
        <v>0</v>
      </c>
      <c r="C244">
        <f>SUMPRODUCT((MONTH(CHOOSE({1,2,3,4},HN!U244,HN!AA244,HN!AG244,HN!AM244))=3)*(CHOOSE({1,2,3,4},HN!X244,HN!AD244,HN!AJ244,HN!AP244)))</f>
        <v>0</v>
      </c>
      <c r="D244">
        <f>SUMPRODUCT((MONTH(CHOOSE({1,2,3,4},HN!U244,HN!AA244,HN!AG244,HN!AM244))=4)*(CHOOSE({1,2,3,4},HN!X244,HN!AD244,HN!AJ244,HN!AP244)))</f>
        <v>0</v>
      </c>
      <c r="E244">
        <f>SUMPRODUCT((MONTH(CHOOSE({1,2,3,4},HN!U244,HN!AA244,HN!AG244,HN!AM244))=5)*(CHOOSE({1,2,3,4},HN!X244,HN!AD244,HN!AJ244,HN!AP244)))</f>
        <v>0</v>
      </c>
      <c r="F244">
        <f>SUMPRODUCT((MONTH(CHOOSE({1,2,3,4},HN!U244,HN!AA244,HN!AG244,HN!AM244))=6)*(CHOOSE({1,2,3,4},HN!X244,HN!AD244,HN!AJ244,HN!AP244)))</f>
        <v>0</v>
      </c>
      <c r="G244">
        <f>SUMPRODUCT((MONTH(CHOOSE({1,2,3,4},HN!U244,HN!AA244,HN!AG244,HN!AM244))=7)*(CHOOSE({1,2,3,4},HN!X244,HN!AD244,HN!AJ244,HN!AP244)))</f>
        <v>0</v>
      </c>
      <c r="H244">
        <f>SUMPRODUCT((MONTH(CHOOSE({1,2,3,4},HN!U244,HN!AA244,HN!AG244,HN!AM244))=8)*(CHOOSE({1,2,3,4},HN!X244,HN!AD244,HN!AJ244,HN!AP244)))</f>
        <v>0</v>
      </c>
      <c r="I244">
        <f>SUMPRODUCT((MONTH(CHOOSE({1,2,3,4},HN!U244,HN!AA244,HN!AG244,HN!AM244))=9)*(CHOOSE({1,2,3,4},HN!X244,HN!AD244,HN!AJ244,HN!AP244)))</f>
        <v>0</v>
      </c>
      <c r="J244">
        <f>SUMPRODUCT((MONTH(CHOOSE({1,2,3,4},HN!U244,HN!AA244,HN!AG244,HN!AM244))=10)*(CHOOSE({1,2,3,4},HN!X244,HN!AD244,HN!AJ244,HN!AP244)))</f>
        <v>0</v>
      </c>
      <c r="K244">
        <f>SUMPRODUCT((MONTH(CHOOSE({1,2,3,4},HN!U244,HN!AA244,HN!AG244,HN!AM244))=11)*(CHOOSE({1,2,3,4},HN!X244,HN!AD244,HN!AJ244,HN!AP244)))</f>
        <v>0</v>
      </c>
      <c r="L244">
        <f>SUMPRODUCT((MONTH(CHOOSE({1,2,3,4},HN!U244,HN!AA244,HN!AG244,HN!AM244))=12)*(CHOOSE({1,2,3,4},HN!X244,HN!AD244,HN!AJ244,HN!AP244)))</f>
        <v>0</v>
      </c>
    </row>
    <row r="245" spans="1:12">
      <c r="A245">
        <f>SUMPRODUCT((MONTH(CHOOSE({1,2,3,4},HN!U245,HN!AA245,HN!AG245,HN!AM245))=1)*(CHOOSE({1,2,3,4},HN!X245,HN!AD245,HN!AJ245,HN!AP245)))</f>
        <v>0</v>
      </c>
      <c r="B245">
        <f>SUMPRODUCT((MONTH(CHOOSE({1,2,3,4},HN!U245,HN!AA245,HN!AG245,HN!AM245))=2)*(CHOOSE({1,2,3,4},HN!X245,HN!AD245,HN!AJ245,HN!AP245)))</f>
        <v>0</v>
      </c>
      <c r="C245">
        <f>SUMPRODUCT((MONTH(CHOOSE({1,2,3,4},HN!U245,HN!AA245,HN!AG245,HN!AM245))=3)*(CHOOSE({1,2,3,4},HN!X245,HN!AD245,HN!AJ245,HN!AP245)))</f>
        <v>0</v>
      </c>
      <c r="D245">
        <f>SUMPRODUCT((MONTH(CHOOSE({1,2,3,4},HN!U245,HN!AA245,HN!AG245,HN!AM245))=4)*(CHOOSE({1,2,3,4},HN!X245,HN!AD245,HN!AJ245,HN!AP245)))</f>
        <v>0</v>
      </c>
      <c r="E245">
        <f>SUMPRODUCT((MONTH(CHOOSE({1,2,3,4},HN!U245,HN!AA245,HN!AG245,HN!AM245))=5)*(CHOOSE({1,2,3,4},HN!X245,HN!AD245,HN!AJ245,HN!AP245)))</f>
        <v>0</v>
      </c>
      <c r="F245">
        <f>SUMPRODUCT((MONTH(CHOOSE({1,2,3,4},HN!U245,HN!AA245,HN!AG245,HN!AM245))=6)*(CHOOSE({1,2,3,4},HN!X245,HN!AD245,HN!AJ245,HN!AP245)))</f>
        <v>0</v>
      </c>
      <c r="G245">
        <f>SUMPRODUCT((MONTH(CHOOSE({1,2,3,4},HN!U245,HN!AA245,HN!AG245,HN!AM245))=7)*(CHOOSE({1,2,3,4},HN!X245,HN!AD245,HN!AJ245,HN!AP245)))</f>
        <v>0</v>
      </c>
      <c r="H245">
        <f>SUMPRODUCT((MONTH(CHOOSE({1,2,3,4},HN!U245,HN!AA245,HN!AG245,HN!AM245))=8)*(CHOOSE({1,2,3,4},HN!X245,HN!AD245,HN!AJ245,HN!AP245)))</f>
        <v>0</v>
      </c>
      <c r="I245">
        <f>SUMPRODUCT((MONTH(CHOOSE({1,2,3,4},HN!U245,HN!AA245,HN!AG245,HN!AM245))=9)*(CHOOSE({1,2,3,4},HN!X245,HN!AD245,HN!AJ245,HN!AP245)))</f>
        <v>0</v>
      </c>
      <c r="J245">
        <f>SUMPRODUCT((MONTH(CHOOSE({1,2,3,4},HN!U245,HN!AA245,HN!AG245,HN!AM245))=10)*(CHOOSE({1,2,3,4},HN!X245,HN!AD245,HN!AJ245,HN!AP245)))</f>
        <v>0</v>
      </c>
      <c r="K245">
        <f>SUMPRODUCT((MONTH(CHOOSE({1,2,3,4},HN!U245,HN!AA245,HN!AG245,HN!AM245))=11)*(CHOOSE({1,2,3,4},HN!X245,HN!AD245,HN!AJ245,HN!AP245)))</f>
        <v>0</v>
      </c>
      <c r="L245">
        <f>SUMPRODUCT((MONTH(CHOOSE({1,2,3,4},HN!U245,HN!AA245,HN!AG245,HN!AM245))=12)*(CHOOSE({1,2,3,4},HN!X245,HN!AD245,HN!AJ245,HN!AP245)))</f>
        <v>0</v>
      </c>
    </row>
    <row r="246" spans="1:12">
      <c r="A246">
        <f>SUMPRODUCT((MONTH(CHOOSE({1,2,3,4},HN!U246,HN!AA246,HN!AG246,HN!AM246))=1)*(CHOOSE({1,2,3,4},HN!X246,HN!AD246,HN!AJ246,HN!AP246)))</f>
        <v>0</v>
      </c>
      <c r="B246">
        <f>SUMPRODUCT((MONTH(CHOOSE({1,2,3,4},HN!U246,HN!AA246,HN!AG246,HN!AM246))=2)*(CHOOSE({1,2,3,4},HN!X246,HN!AD246,HN!AJ246,HN!AP246)))</f>
        <v>0</v>
      </c>
      <c r="C246">
        <f>SUMPRODUCT((MONTH(CHOOSE({1,2,3,4},HN!U246,HN!AA246,HN!AG246,HN!AM246))=3)*(CHOOSE({1,2,3,4},HN!X246,HN!AD246,HN!AJ246,HN!AP246)))</f>
        <v>0</v>
      </c>
      <c r="D246">
        <f>SUMPRODUCT((MONTH(CHOOSE({1,2,3,4},HN!U246,HN!AA246,HN!AG246,HN!AM246))=4)*(CHOOSE({1,2,3,4},HN!X246,HN!AD246,HN!AJ246,HN!AP246)))</f>
        <v>0</v>
      </c>
      <c r="E246">
        <f>SUMPRODUCT((MONTH(CHOOSE({1,2,3,4},HN!U246,HN!AA246,HN!AG246,HN!AM246))=5)*(CHOOSE({1,2,3,4},HN!X246,HN!AD246,HN!AJ246,HN!AP246)))</f>
        <v>0</v>
      </c>
      <c r="F246">
        <f>SUMPRODUCT((MONTH(CHOOSE({1,2,3,4},HN!U246,HN!AA246,HN!AG246,HN!AM246))=6)*(CHOOSE({1,2,3,4},HN!X246,HN!AD246,HN!AJ246,HN!AP246)))</f>
        <v>0</v>
      </c>
      <c r="G246">
        <f>SUMPRODUCT((MONTH(CHOOSE({1,2,3,4},HN!U246,HN!AA246,HN!AG246,HN!AM246))=7)*(CHOOSE({1,2,3,4},HN!X246,HN!AD246,HN!AJ246,HN!AP246)))</f>
        <v>0</v>
      </c>
      <c r="H246">
        <f>SUMPRODUCT((MONTH(CHOOSE({1,2,3,4},HN!U246,HN!AA246,HN!AG246,HN!AM246))=8)*(CHOOSE({1,2,3,4},HN!X246,HN!AD246,HN!AJ246,HN!AP246)))</f>
        <v>0</v>
      </c>
      <c r="I246">
        <f>SUMPRODUCT((MONTH(CHOOSE({1,2,3,4},HN!U246,HN!AA246,HN!AG246,HN!AM246))=9)*(CHOOSE({1,2,3,4},HN!X246,HN!AD246,HN!AJ246,HN!AP246)))</f>
        <v>0</v>
      </c>
      <c r="J246">
        <f>SUMPRODUCT((MONTH(CHOOSE({1,2,3,4},HN!U246,HN!AA246,HN!AG246,HN!AM246))=10)*(CHOOSE({1,2,3,4},HN!X246,HN!AD246,HN!AJ246,HN!AP246)))</f>
        <v>0</v>
      </c>
      <c r="K246">
        <f>SUMPRODUCT((MONTH(CHOOSE({1,2,3,4},HN!U246,HN!AA246,HN!AG246,HN!AM246))=11)*(CHOOSE({1,2,3,4},HN!X246,HN!AD246,HN!AJ246,HN!AP246)))</f>
        <v>0</v>
      </c>
      <c r="L246">
        <f>SUMPRODUCT((MONTH(CHOOSE({1,2,3,4},HN!U246,HN!AA246,HN!AG246,HN!AM246))=12)*(CHOOSE({1,2,3,4},HN!X246,HN!AD246,HN!AJ246,HN!AP246)))</f>
        <v>0</v>
      </c>
    </row>
    <row r="247" spans="1:12">
      <c r="A247">
        <f>SUMPRODUCT((MONTH(CHOOSE({1,2,3,4},HN!U247,HN!AA247,HN!AG247,HN!AM247))=1)*(CHOOSE({1,2,3,4},HN!X247,HN!AD247,HN!AJ247,HN!AP247)))</f>
        <v>0</v>
      </c>
      <c r="B247">
        <f>SUMPRODUCT((MONTH(CHOOSE({1,2,3,4},HN!U247,HN!AA247,HN!AG247,HN!AM247))=2)*(CHOOSE({1,2,3,4},HN!X247,HN!AD247,HN!AJ247,HN!AP247)))</f>
        <v>0</v>
      </c>
      <c r="C247">
        <f>SUMPRODUCT((MONTH(CHOOSE({1,2,3,4},HN!U247,HN!AA247,HN!AG247,HN!AM247))=3)*(CHOOSE({1,2,3,4},HN!X247,HN!AD247,HN!AJ247,HN!AP247)))</f>
        <v>0</v>
      </c>
      <c r="D247">
        <f>SUMPRODUCT((MONTH(CHOOSE({1,2,3,4},HN!U247,HN!AA247,HN!AG247,HN!AM247))=4)*(CHOOSE({1,2,3,4},HN!X247,HN!AD247,HN!AJ247,HN!AP247)))</f>
        <v>0</v>
      </c>
      <c r="E247">
        <f>SUMPRODUCT((MONTH(CHOOSE({1,2,3,4},HN!U247,HN!AA247,HN!AG247,HN!AM247))=5)*(CHOOSE({1,2,3,4},HN!X247,HN!AD247,HN!AJ247,HN!AP247)))</f>
        <v>0</v>
      </c>
      <c r="F247">
        <f>SUMPRODUCT((MONTH(CHOOSE({1,2,3,4},HN!U247,HN!AA247,HN!AG247,HN!AM247))=6)*(CHOOSE({1,2,3,4},HN!X247,HN!AD247,HN!AJ247,HN!AP247)))</f>
        <v>0</v>
      </c>
      <c r="G247">
        <f>SUMPRODUCT((MONTH(CHOOSE({1,2,3,4},HN!U247,HN!AA247,HN!AG247,HN!AM247))=7)*(CHOOSE({1,2,3,4},HN!X247,HN!AD247,HN!AJ247,HN!AP247)))</f>
        <v>0</v>
      </c>
      <c r="H247">
        <f>SUMPRODUCT((MONTH(CHOOSE({1,2,3,4},HN!U247,HN!AA247,HN!AG247,HN!AM247))=8)*(CHOOSE({1,2,3,4},HN!X247,HN!AD247,HN!AJ247,HN!AP247)))</f>
        <v>0</v>
      </c>
      <c r="I247">
        <f>SUMPRODUCT((MONTH(CHOOSE({1,2,3,4},HN!U247,HN!AA247,HN!AG247,HN!AM247))=9)*(CHOOSE({1,2,3,4},HN!X247,HN!AD247,HN!AJ247,HN!AP247)))</f>
        <v>0</v>
      </c>
      <c r="J247">
        <f>SUMPRODUCT((MONTH(CHOOSE({1,2,3,4},HN!U247,HN!AA247,HN!AG247,HN!AM247))=10)*(CHOOSE({1,2,3,4},HN!X247,HN!AD247,HN!AJ247,HN!AP247)))</f>
        <v>0</v>
      </c>
      <c r="K247">
        <f>SUMPRODUCT((MONTH(CHOOSE({1,2,3,4},HN!U247,HN!AA247,HN!AG247,HN!AM247))=11)*(CHOOSE({1,2,3,4},HN!X247,HN!AD247,HN!AJ247,HN!AP247)))</f>
        <v>0</v>
      </c>
      <c r="L247">
        <f>SUMPRODUCT((MONTH(CHOOSE({1,2,3,4},HN!U247,HN!AA247,HN!AG247,HN!AM247))=12)*(CHOOSE({1,2,3,4},HN!X247,HN!AD247,HN!AJ247,HN!AP247)))</f>
        <v>0</v>
      </c>
    </row>
    <row r="248" spans="1:12">
      <c r="A248">
        <f>SUMPRODUCT((MONTH(CHOOSE({1,2,3,4},HN!U248,HN!AA248,HN!AG248,HN!AM248))=1)*(CHOOSE({1,2,3,4},HN!X248,HN!AD248,HN!AJ248,HN!AP248)))</f>
        <v>0</v>
      </c>
      <c r="B248">
        <f>SUMPRODUCT((MONTH(CHOOSE({1,2,3,4},HN!U248,HN!AA248,HN!AG248,HN!AM248))=2)*(CHOOSE({1,2,3,4},HN!X248,HN!AD248,HN!AJ248,HN!AP248)))</f>
        <v>0</v>
      </c>
      <c r="C248">
        <f>SUMPRODUCT((MONTH(CHOOSE({1,2,3,4},HN!U248,HN!AA248,HN!AG248,HN!AM248))=3)*(CHOOSE({1,2,3,4},HN!X248,HN!AD248,HN!AJ248,HN!AP248)))</f>
        <v>0</v>
      </c>
      <c r="D248">
        <f>SUMPRODUCT((MONTH(CHOOSE({1,2,3,4},HN!U248,HN!AA248,HN!AG248,HN!AM248))=4)*(CHOOSE({1,2,3,4},HN!X248,HN!AD248,HN!AJ248,HN!AP248)))</f>
        <v>0</v>
      </c>
      <c r="E248">
        <f>SUMPRODUCT((MONTH(CHOOSE({1,2,3,4},HN!U248,HN!AA248,HN!AG248,HN!AM248))=5)*(CHOOSE({1,2,3,4},HN!X248,HN!AD248,HN!AJ248,HN!AP248)))</f>
        <v>0</v>
      </c>
      <c r="F248">
        <f>SUMPRODUCT((MONTH(CHOOSE({1,2,3,4},HN!U248,HN!AA248,HN!AG248,HN!AM248))=6)*(CHOOSE({1,2,3,4},HN!X248,HN!AD248,HN!AJ248,HN!AP248)))</f>
        <v>0</v>
      </c>
      <c r="G248">
        <f>SUMPRODUCT((MONTH(CHOOSE({1,2,3,4},HN!U248,HN!AA248,HN!AG248,HN!AM248))=7)*(CHOOSE({1,2,3,4},HN!X248,HN!AD248,HN!AJ248,HN!AP248)))</f>
        <v>0</v>
      </c>
      <c r="H248">
        <f>SUMPRODUCT((MONTH(CHOOSE({1,2,3,4},HN!U248,HN!AA248,HN!AG248,HN!AM248))=8)*(CHOOSE({1,2,3,4},HN!X248,HN!AD248,HN!AJ248,HN!AP248)))</f>
        <v>0</v>
      </c>
      <c r="I248">
        <f>SUMPRODUCT((MONTH(CHOOSE({1,2,3,4},HN!U248,HN!AA248,HN!AG248,HN!AM248))=9)*(CHOOSE({1,2,3,4},HN!X248,HN!AD248,HN!AJ248,HN!AP248)))</f>
        <v>0</v>
      </c>
      <c r="J248">
        <f>SUMPRODUCT((MONTH(CHOOSE({1,2,3,4},HN!U248,HN!AA248,HN!AG248,HN!AM248))=10)*(CHOOSE({1,2,3,4},HN!X248,HN!AD248,HN!AJ248,HN!AP248)))</f>
        <v>0</v>
      </c>
      <c r="K248">
        <f>SUMPRODUCT((MONTH(CHOOSE({1,2,3,4},HN!U248,HN!AA248,HN!AG248,HN!AM248))=11)*(CHOOSE({1,2,3,4},HN!X248,HN!AD248,HN!AJ248,HN!AP248)))</f>
        <v>0</v>
      </c>
      <c r="L248">
        <f>SUMPRODUCT((MONTH(CHOOSE({1,2,3,4},HN!U248,HN!AA248,HN!AG248,HN!AM248))=12)*(CHOOSE({1,2,3,4},HN!X248,HN!AD248,HN!AJ248,HN!AP248)))</f>
        <v>0</v>
      </c>
    </row>
    <row r="249" spans="1:12">
      <c r="A249">
        <f>SUMPRODUCT((MONTH(CHOOSE({1,2,3,4},HN!U249,HN!AA249,HN!AG249,HN!AM249))=1)*(CHOOSE({1,2,3,4},HN!X249,HN!AD249,HN!AJ249,HN!AP249)))</f>
        <v>0</v>
      </c>
      <c r="B249">
        <f>SUMPRODUCT((MONTH(CHOOSE({1,2,3,4},HN!U249,HN!AA249,HN!AG249,HN!AM249))=2)*(CHOOSE({1,2,3,4},HN!X249,HN!AD249,HN!AJ249,HN!AP249)))</f>
        <v>0</v>
      </c>
      <c r="C249">
        <f>SUMPRODUCT((MONTH(CHOOSE({1,2,3,4},HN!U249,HN!AA249,HN!AG249,HN!AM249))=3)*(CHOOSE({1,2,3,4},HN!X249,HN!AD249,HN!AJ249,HN!AP249)))</f>
        <v>0</v>
      </c>
      <c r="D249">
        <f>SUMPRODUCT((MONTH(CHOOSE({1,2,3,4},HN!U249,HN!AA249,HN!AG249,HN!AM249))=4)*(CHOOSE({1,2,3,4},HN!X249,HN!AD249,HN!AJ249,HN!AP249)))</f>
        <v>0</v>
      </c>
      <c r="E249">
        <f>SUMPRODUCT((MONTH(CHOOSE({1,2,3,4},HN!U249,HN!AA249,HN!AG249,HN!AM249))=5)*(CHOOSE({1,2,3,4},HN!X249,HN!AD249,HN!AJ249,HN!AP249)))</f>
        <v>0</v>
      </c>
      <c r="F249">
        <f>SUMPRODUCT((MONTH(CHOOSE({1,2,3,4},HN!U249,HN!AA249,HN!AG249,HN!AM249))=6)*(CHOOSE({1,2,3,4},HN!X249,HN!AD249,HN!AJ249,HN!AP249)))</f>
        <v>0</v>
      </c>
      <c r="G249">
        <f>SUMPRODUCT((MONTH(CHOOSE({1,2,3,4},HN!U249,HN!AA249,HN!AG249,HN!AM249))=7)*(CHOOSE({1,2,3,4},HN!X249,HN!AD249,HN!AJ249,HN!AP249)))</f>
        <v>0</v>
      </c>
      <c r="H249">
        <f>SUMPRODUCT((MONTH(CHOOSE({1,2,3,4},HN!U249,HN!AA249,HN!AG249,HN!AM249))=8)*(CHOOSE({1,2,3,4},HN!X249,HN!AD249,HN!AJ249,HN!AP249)))</f>
        <v>0</v>
      </c>
      <c r="I249">
        <f>SUMPRODUCT((MONTH(CHOOSE({1,2,3,4},HN!U249,HN!AA249,HN!AG249,HN!AM249))=9)*(CHOOSE({1,2,3,4},HN!X249,HN!AD249,HN!AJ249,HN!AP249)))</f>
        <v>0</v>
      </c>
      <c r="J249">
        <f>SUMPRODUCT((MONTH(CHOOSE({1,2,3,4},HN!U249,HN!AA249,HN!AG249,HN!AM249))=10)*(CHOOSE({1,2,3,4},HN!X249,HN!AD249,HN!AJ249,HN!AP249)))</f>
        <v>0</v>
      </c>
      <c r="K249">
        <f>SUMPRODUCT((MONTH(CHOOSE({1,2,3,4},HN!U249,HN!AA249,HN!AG249,HN!AM249))=11)*(CHOOSE({1,2,3,4},HN!X249,HN!AD249,HN!AJ249,HN!AP249)))</f>
        <v>0</v>
      </c>
      <c r="L249">
        <f>SUMPRODUCT((MONTH(CHOOSE({1,2,3,4},HN!U249,HN!AA249,HN!AG249,HN!AM249))=12)*(CHOOSE({1,2,3,4},HN!X249,HN!AD249,HN!AJ249,HN!AP249)))</f>
        <v>0</v>
      </c>
    </row>
    <row r="250" spans="1:12">
      <c r="A250">
        <f>SUMPRODUCT((MONTH(CHOOSE({1,2,3,4},HN!U250,HN!AA250,HN!AG250,HN!AM250))=1)*(CHOOSE({1,2,3,4},HN!X250,HN!AD250,HN!AJ250,HN!AP250)))</f>
        <v>0</v>
      </c>
      <c r="B250">
        <f>SUMPRODUCT((MONTH(CHOOSE({1,2,3,4},HN!U250,HN!AA250,HN!AG250,HN!AM250))=2)*(CHOOSE({1,2,3,4},HN!X250,HN!AD250,HN!AJ250,HN!AP250)))</f>
        <v>0</v>
      </c>
      <c r="C250">
        <f>SUMPRODUCT((MONTH(CHOOSE({1,2,3,4},HN!U250,HN!AA250,HN!AG250,HN!AM250))=3)*(CHOOSE({1,2,3,4},HN!X250,HN!AD250,HN!AJ250,HN!AP250)))</f>
        <v>0</v>
      </c>
      <c r="D250">
        <f>SUMPRODUCT((MONTH(CHOOSE({1,2,3,4},HN!U250,HN!AA250,HN!AG250,HN!AM250))=4)*(CHOOSE({1,2,3,4},HN!X250,HN!AD250,HN!AJ250,HN!AP250)))</f>
        <v>0</v>
      </c>
      <c r="E250">
        <f>SUMPRODUCT((MONTH(CHOOSE({1,2,3,4},HN!U250,HN!AA250,HN!AG250,HN!AM250))=5)*(CHOOSE({1,2,3,4},HN!X250,HN!AD250,HN!AJ250,HN!AP250)))</f>
        <v>0</v>
      </c>
      <c r="F250">
        <f>SUMPRODUCT((MONTH(CHOOSE({1,2,3,4},HN!U250,HN!AA250,HN!AG250,HN!AM250))=6)*(CHOOSE({1,2,3,4},HN!X250,HN!AD250,HN!AJ250,HN!AP250)))</f>
        <v>0</v>
      </c>
      <c r="G250">
        <f>SUMPRODUCT((MONTH(CHOOSE({1,2,3,4},HN!U250,HN!AA250,HN!AG250,HN!AM250))=7)*(CHOOSE({1,2,3,4},HN!X250,HN!AD250,HN!AJ250,HN!AP250)))</f>
        <v>0</v>
      </c>
      <c r="H250">
        <f>SUMPRODUCT((MONTH(CHOOSE({1,2,3,4},HN!U250,HN!AA250,HN!AG250,HN!AM250))=8)*(CHOOSE({1,2,3,4},HN!X250,HN!AD250,HN!AJ250,HN!AP250)))</f>
        <v>0</v>
      </c>
      <c r="I250">
        <f>SUMPRODUCT((MONTH(CHOOSE({1,2,3,4},HN!U250,HN!AA250,HN!AG250,HN!AM250))=9)*(CHOOSE({1,2,3,4},HN!X250,HN!AD250,HN!AJ250,HN!AP250)))</f>
        <v>0</v>
      </c>
      <c r="J250">
        <f>SUMPRODUCT((MONTH(CHOOSE({1,2,3,4},HN!U250,HN!AA250,HN!AG250,HN!AM250))=10)*(CHOOSE({1,2,3,4},HN!X250,HN!AD250,HN!AJ250,HN!AP250)))</f>
        <v>0</v>
      </c>
      <c r="K250">
        <f>SUMPRODUCT((MONTH(CHOOSE({1,2,3,4},HN!U250,HN!AA250,HN!AG250,HN!AM250))=11)*(CHOOSE({1,2,3,4},HN!X250,HN!AD250,HN!AJ250,HN!AP250)))</f>
        <v>0</v>
      </c>
      <c r="L250">
        <f>SUMPRODUCT((MONTH(CHOOSE({1,2,3,4},HN!U250,HN!AA250,HN!AG250,HN!AM250))=12)*(CHOOSE({1,2,3,4},HN!X250,HN!AD250,HN!AJ250,HN!AP250)))</f>
        <v>0</v>
      </c>
    </row>
    <row r="251" spans="1:12">
      <c r="A251">
        <f>SUMPRODUCT((MONTH(CHOOSE({1,2,3,4},HN!U251,HN!AA251,HN!AG251,HN!AM251))=1)*(CHOOSE({1,2,3,4},HN!X251,HN!AD251,HN!AJ251,HN!AP251)))</f>
        <v>0</v>
      </c>
      <c r="B251">
        <f>SUMPRODUCT((MONTH(CHOOSE({1,2,3,4},HN!U251,HN!AA251,HN!AG251,HN!AM251))=2)*(CHOOSE({1,2,3,4},HN!X251,HN!AD251,HN!AJ251,HN!AP251)))</f>
        <v>0</v>
      </c>
      <c r="C251">
        <f>SUMPRODUCT((MONTH(CHOOSE({1,2,3,4},HN!U251,HN!AA251,HN!AG251,HN!AM251))=3)*(CHOOSE({1,2,3,4},HN!X251,HN!AD251,HN!AJ251,HN!AP251)))</f>
        <v>0</v>
      </c>
      <c r="D251">
        <f>SUMPRODUCT((MONTH(CHOOSE({1,2,3,4},HN!U251,HN!AA251,HN!AG251,HN!AM251))=4)*(CHOOSE({1,2,3,4},HN!X251,HN!AD251,HN!AJ251,HN!AP251)))</f>
        <v>0</v>
      </c>
      <c r="E251">
        <f>SUMPRODUCT((MONTH(CHOOSE({1,2,3,4},HN!U251,HN!AA251,HN!AG251,HN!AM251))=5)*(CHOOSE({1,2,3,4},HN!X251,HN!AD251,HN!AJ251,HN!AP251)))</f>
        <v>0</v>
      </c>
      <c r="F251">
        <f>SUMPRODUCT((MONTH(CHOOSE({1,2,3,4},HN!U251,HN!AA251,HN!AG251,HN!AM251))=6)*(CHOOSE({1,2,3,4},HN!X251,HN!AD251,HN!AJ251,HN!AP251)))</f>
        <v>0</v>
      </c>
      <c r="G251">
        <f>SUMPRODUCT((MONTH(CHOOSE({1,2,3,4},HN!U251,HN!AA251,HN!AG251,HN!AM251))=7)*(CHOOSE({1,2,3,4},HN!X251,HN!AD251,HN!AJ251,HN!AP251)))</f>
        <v>0</v>
      </c>
      <c r="H251">
        <f>SUMPRODUCT((MONTH(CHOOSE({1,2,3,4},HN!U251,HN!AA251,HN!AG251,HN!AM251))=8)*(CHOOSE({1,2,3,4},HN!X251,HN!AD251,HN!AJ251,HN!AP251)))</f>
        <v>0</v>
      </c>
      <c r="I251">
        <f>SUMPRODUCT((MONTH(CHOOSE({1,2,3,4},HN!U251,HN!AA251,HN!AG251,HN!AM251))=9)*(CHOOSE({1,2,3,4},HN!X251,HN!AD251,HN!AJ251,HN!AP251)))</f>
        <v>0</v>
      </c>
      <c r="J251">
        <f>SUMPRODUCT((MONTH(CHOOSE({1,2,3,4},HN!U251,HN!AA251,HN!AG251,HN!AM251))=10)*(CHOOSE({1,2,3,4},HN!X251,HN!AD251,HN!AJ251,HN!AP251)))</f>
        <v>0</v>
      </c>
      <c r="K251">
        <f>SUMPRODUCT((MONTH(CHOOSE({1,2,3,4},HN!U251,HN!AA251,HN!AG251,HN!AM251))=11)*(CHOOSE({1,2,3,4},HN!X251,HN!AD251,HN!AJ251,HN!AP251)))</f>
        <v>0</v>
      </c>
      <c r="L251">
        <f>SUMPRODUCT((MONTH(CHOOSE({1,2,3,4},HN!U251,HN!AA251,HN!AG251,HN!AM251))=12)*(CHOOSE({1,2,3,4},HN!X251,HN!AD251,HN!AJ251,HN!AP251)))</f>
        <v>0</v>
      </c>
    </row>
    <row r="252" spans="1:12">
      <c r="A252">
        <f>SUMPRODUCT((MONTH(CHOOSE({1,2,3,4},HN!U252,HN!AA252,HN!AG252,HN!AM252))=1)*(CHOOSE({1,2,3,4},HN!X252,HN!AD252,HN!AJ252,HN!AP252)))</f>
        <v>0</v>
      </c>
      <c r="B252">
        <f>SUMPRODUCT((MONTH(CHOOSE({1,2,3,4},HN!U252,HN!AA252,HN!AG252,HN!AM252))=2)*(CHOOSE({1,2,3,4},HN!X252,HN!AD252,HN!AJ252,HN!AP252)))</f>
        <v>0</v>
      </c>
      <c r="C252">
        <f>SUMPRODUCT((MONTH(CHOOSE({1,2,3,4},HN!U252,HN!AA252,HN!AG252,HN!AM252))=3)*(CHOOSE({1,2,3,4},HN!X252,HN!AD252,HN!AJ252,HN!AP252)))</f>
        <v>0</v>
      </c>
      <c r="D252">
        <f>SUMPRODUCT((MONTH(CHOOSE({1,2,3,4},HN!U252,HN!AA252,HN!AG252,HN!AM252))=4)*(CHOOSE({1,2,3,4},HN!X252,HN!AD252,HN!AJ252,HN!AP252)))</f>
        <v>0</v>
      </c>
      <c r="E252">
        <f>SUMPRODUCT((MONTH(CHOOSE({1,2,3,4},HN!U252,HN!AA252,HN!AG252,HN!AM252))=5)*(CHOOSE({1,2,3,4},HN!X252,HN!AD252,HN!AJ252,HN!AP252)))</f>
        <v>0</v>
      </c>
      <c r="F252">
        <f>SUMPRODUCT((MONTH(CHOOSE({1,2,3,4},HN!U252,HN!AA252,HN!AG252,HN!AM252))=6)*(CHOOSE({1,2,3,4},HN!X252,HN!AD252,HN!AJ252,HN!AP252)))</f>
        <v>0</v>
      </c>
      <c r="G252">
        <f>SUMPRODUCT((MONTH(CHOOSE({1,2,3,4},HN!U252,HN!AA252,HN!AG252,HN!AM252))=7)*(CHOOSE({1,2,3,4},HN!X252,HN!AD252,HN!AJ252,HN!AP252)))</f>
        <v>0</v>
      </c>
      <c r="H252">
        <f>SUMPRODUCT((MONTH(CHOOSE({1,2,3,4},HN!U252,HN!AA252,HN!AG252,HN!AM252))=8)*(CHOOSE({1,2,3,4},HN!X252,HN!AD252,HN!AJ252,HN!AP252)))</f>
        <v>0</v>
      </c>
      <c r="I252">
        <f>SUMPRODUCT((MONTH(CHOOSE({1,2,3,4},HN!U252,HN!AA252,HN!AG252,HN!AM252))=9)*(CHOOSE({1,2,3,4},HN!X252,HN!AD252,HN!AJ252,HN!AP252)))</f>
        <v>0</v>
      </c>
      <c r="J252">
        <f>SUMPRODUCT((MONTH(CHOOSE({1,2,3,4},HN!U252,HN!AA252,HN!AG252,HN!AM252))=10)*(CHOOSE({1,2,3,4},HN!X252,HN!AD252,HN!AJ252,HN!AP252)))</f>
        <v>0</v>
      </c>
      <c r="K252">
        <f>SUMPRODUCT((MONTH(CHOOSE({1,2,3,4},HN!U252,HN!AA252,HN!AG252,HN!AM252))=11)*(CHOOSE({1,2,3,4},HN!X252,HN!AD252,HN!AJ252,HN!AP252)))</f>
        <v>0</v>
      </c>
      <c r="L252">
        <f>SUMPRODUCT((MONTH(CHOOSE({1,2,3,4},HN!U252,HN!AA252,HN!AG252,HN!AM252))=12)*(CHOOSE({1,2,3,4},HN!X252,HN!AD252,HN!AJ252,HN!AP252)))</f>
        <v>0</v>
      </c>
    </row>
    <row r="253" spans="1:12">
      <c r="A253">
        <f>SUMPRODUCT((MONTH(CHOOSE({1,2,3,4},HN!U253,HN!AA253,HN!AG253,HN!AM253))=1)*(CHOOSE({1,2,3,4},HN!X253,HN!AD253,HN!AJ253,HN!AP253)))</f>
        <v>0</v>
      </c>
      <c r="B253">
        <f>SUMPRODUCT((MONTH(CHOOSE({1,2,3,4},HN!U253,HN!AA253,HN!AG253,HN!AM253))=2)*(CHOOSE({1,2,3,4},HN!X253,HN!AD253,HN!AJ253,HN!AP253)))</f>
        <v>0</v>
      </c>
      <c r="C253">
        <f>SUMPRODUCT((MONTH(CHOOSE({1,2,3,4},HN!U253,HN!AA253,HN!AG253,HN!AM253))=3)*(CHOOSE({1,2,3,4},HN!X253,HN!AD253,HN!AJ253,HN!AP253)))</f>
        <v>0</v>
      </c>
      <c r="D253">
        <f>SUMPRODUCT((MONTH(CHOOSE({1,2,3,4},HN!U253,HN!AA253,HN!AG253,HN!AM253))=4)*(CHOOSE({1,2,3,4},HN!X253,HN!AD253,HN!AJ253,HN!AP253)))</f>
        <v>0</v>
      </c>
      <c r="E253">
        <f>SUMPRODUCT((MONTH(CHOOSE({1,2,3,4},HN!U253,HN!AA253,HN!AG253,HN!AM253))=5)*(CHOOSE({1,2,3,4},HN!X253,HN!AD253,HN!AJ253,HN!AP253)))</f>
        <v>0</v>
      </c>
      <c r="F253">
        <f>SUMPRODUCT((MONTH(CHOOSE({1,2,3,4},HN!U253,HN!AA253,HN!AG253,HN!AM253))=6)*(CHOOSE({1,2,3,4},HN!X253,HN!AD253,HN!AJ253,HN!AP253)))</f>
        <v>0</v>
      </c>
      <c r="G253">
        <f>SUMPRODUCT((MONTH(CHOOSE({1,2,3,4},HN!U253,HN!AA253,HN!AG253,HN!AM253))=7)*(CHOOSE({1,2,3,4},HN!X253,HN!AD253,HN!AJ253,HN!AP253)))</f>
        <v>0</v>
      </c>
      <c r="H253">
        <f>SUMPRODUCT((MONTH(CHOOSE({1,2,3,4},HN!U253,HN!AA253,HN!AG253,HN!AM253))=8)*(CHOOSE({1,2,3,4},HN!X253,HN!AD253,HN!AJ253,HN!AP253)))</f>
        <v>0</v>
      </c>
      <c r="I253">
        <f>SUMPRODUCT((MONTH(CHOOSE({1,2,3,4},HN!U253,HN!AA253,HN!AG253,HN!AM253))=9)*(CHOOSE({1,2,3,4},HN!X253,HN!AD253,HN!AJ253,HN!AP253)))</f>
        <v>0</v>
      </c>
      <c r="J253">
        <f>SUMPRODUCT((MONTH(CHOOSE({1,2,3,4},HN!U253,HN!AA253,HN!AG253,HN!AM253))=10)*(CHOOSE({1,2,3,4},HN!X253,HN!AD253,HN!AJ253,HN!AP253)))</f>
        <v>0</v>
      </c>
      <c r="K253">
        <f>SUMPRODUCT((MONTH(CHOOSE({1,2,3,4},HN!U253,HN!AA253,HN!AG253,HN!AM253))=11)*(CHOOSE({1,2,3,4},HN!X253,HN!AD253,HN!AJ253,HN!AP253)))</f>
        <v>0</v>
      </c>
      <c r="L253">
        <f>SUMPRODUCT((MONTH(CHOOSE({1,2,3,4},HN!U253,HN!AA253,HN!AG253,HN!AM253))=12)*(CHOOSE({1,2,3,4},HN!X253,HN!AD253,HN!AJ253,HN!AP253)))</f>
        <v>0</v>
      </c>
    </row>
    <row r="254" spans="1:12">
      <c r="A254">
        <f>SUMPRODUCT((MONTH(CHOOSE({1,2,3,4},HN!U254,HN!AA254,HN!AG254,HN!AM254))=1)*(CHOOSE({1,2,3,4},HN!X254,HN!AD254,HN!AJ254,HN!AP254)))</f>
        <v>0</v>
      </c>
      <c r="B254">
        <f>SUMPRODUCT((MONTH(CHOOSE({1,2,3,4},HN!U254,HN!AA254,HN!AG254,HN!AM254))=2)*(CHOOSE({1,2,3,4},HN!X254,HN!AD254,HN!AJ254,HN!AP254)))</f>
        <v>0</v>
      </c>
      <c r="C254">
        <f>SUMPRODUCT((MONTH(CHOOSE({1,2,3,4},HN!U254,HN!AA254,HN!AG254,HN!AM254))=3)*(CHOOSE({1,2,3,4},HN!X254,HN!AD254,HN!AJ254,HN!AP254)))</f>
        <v>0</v>
      </c>
      <c r="D254">
        <f>SUMPRODUCT((MONTH(CHOOSE({1,2,3,4},HN!U254,HN!AA254,HN!AG254,HN!AM254))=4)*(CHOOSE({1,2,3,4},HN!X254,HN!AD254,HN!AJ254,HN!AP254)))</f>
        <v>0</v>
      </c>
      <c r="E254">
        <f>SUMPRODUCT((MONTH(CHOOSE({1,2,3,4},HN!U254,HN!AA254,HN!AG254,HN!AM254))=5)*(CHOOSE({1,2,3,4},HN!X254,HN!AD254,HN!AJ254,HN!AP254)))</f>
        <v>0</v>
      </c>
      <c r="F254">
        <f>SUMPRODUCT((MONTH(CHOOSE({1,2,3,4},HN!U254,HN!AA254,HN!AG254,HN!AM254))=6)*(CHOOSE({1,2,3,4},HN!X254,HN!AD254,HN!AJ254,HN!AP254)))</f>
        <v>0</v>
      </c>
      <c r="G254">
        <f>SUMPRODUCT((MONTH(CHOOSE({1,2,3,4},HN!U254,HN!AA254,HN!AG254,HN!AM254))=7)*(CHOOSE({1,2,3,4},HN!X254,HN!AD254,HN!AJ254,HN!AP254)))</f>
        <v>0</v>
      </c>
      <c r="H254">
        <f>SUMPRODUCT((MONTH(CHOOSE({1,2,3,4},HN!U254,HN!AA254,HN!AG254,HN!AM254))=8)*(CHOOSE({1,2,3,4},HN!X254,HN!AD254,HN!AJ254,HN!AP254)))</f>
        <v>0</v>
      </c>
      <c r="I254">
        <f>SUMPRODUCT((MONTH(CHOOSE({1,2,3,4},HN!U254,HN!AA254,HN!AG254,HN!AM254))=9)*(CHOOSE({1,2,3,4},HN!X254,HN!AD254,HN!AJ254,HN!AP254)))</f>
        <v>0</v>
      </c>
      <c r="J254">
        <f>SUMPRODUCT((MONTH(CHOOSE({1,2,3,4},HN!U254,HN!AA254,HN!AG254,HN!AM254))=10)*(CHOOSE({1,2,3,4},HN!X254,HN!AD254,HN!AJ254,HN!AP254)))</f>
        <v>0</v>
      </c>
      <c r="K254">
        <f>SUMPRODUCT((MONTH(CHOOSE({1,2,3,4},HN!U254,HN!AA254,HN!AG254,HN!AM254))=11)*(CHOOSE({1,2,3,4},HN!X254,HN!AD254,HN!AJ254,HN!AP254)))</f>
        <v>0</v>
      </c>
      <c r="L254">
        <f>SUMPRODUCT((MONTH(CHOOSE({1,2,3,4},HN!U254,HN!AA254,HN!AG254,HN!AM254))=12)*(CHOOSE({1,2,3,4},HN!X254,HN!AD254,HN!AJ254,HN!AP254)))</f>
        <v>0</v>
      </c>
    </row>
    <row r="255" spans="1:12">
      <c r="A255">
        <f>SUMPRODUCT((MONTH(CHOOSE({1,2,3,4},HN!U255,HN!AA255,HN!AG255,HN!AM255))=1)*(CHOOSE({1,2,3,4},HN!X255,HN!AD255,HN!AJ255,HN!AP255)))</f>
        <v>0</v>
      </c>
      <c r="B255">
        <f>SUMPRODUCT((MONTH(CHOOSE({1,2,3,4},HN!U255,HN!AA255,HN!AG255,HN!AM255))=2)*(CHOOSE({1,2,3,4},HN!X255,HN!AD255,HN!AJ255,HN!AP255)))</f>
        <v>0</v>
      </c>
      <c r="C255">
        <f>SUMPRODUCT((MONTH(CHOOSE({1,2,3,4},HN!U255,HN!AA255,HN!AG255,HN!AM255))=3)*(CHOOSE({1,2,3,4},HN!X255,HN!AD255,HN!AJ255,HN!AP255)))</f>
        <v>0</v>
      </c>
      <c r="D255">
        <f>SUMPRODUCT((MONTH(CHOOSE({1,2,3,4},HN!U255,HN!AA255,HN!AG255,HN!AM255))=4)*(CHOOSE({1,2,3,4},HN!X255,HN!AD255,HN!AJ255,HN!AP255)))</f>
        <v>0</v>
      </c>
      <c r="E255">
        <f>SUMPRODUCT((MONTH(CHOOSE({1,2,3,4},HN!U255,HN!AA255,HN!AG255,HN!AM255))=5)*(CHOOSE({1,2,3,4},HN!X255,HN!AD255,HN!AJ255,HN!AP255)))</f>
        <v>0</v>
      </c>
      <c r="F255">
        <f>SUMPRODUCT((MONTH(CHOOSE({1,2,3,4},HN!U255,HN!AA255,HN!AG255,HN!AM255))=6)*(CHOOSE({1,2,3,4},HN!X255,HN!AD255,HN!AJ255,HN!AP255)))</f>
        <v>0</v>
      </c>
      <c r="G255">
        <f>SUMPRODUCT((MONTH(CHOOSE({1,2,3,4},HN!U255,HN!AA255,HN!AG255,HN!AM255))=7)*(CHOOSE({1,2,3,4},HN!X255,HN!AD255,HN!AJ255,HN!AP255)))</f>
        <v>0</v>
      </c>
      <c r="H255">
        <f>SUMPRODUCT((MONTH(CHOOSE({1,2,3,4},HN!U255,HN!AA255,HN!AG255,HN!AM255))=8)*(CHOOSE({1,2,3,4},HN!X255,HN!AD255,HN!AJ255,HN!AP255)))</f>
        <v>0</v>
      </c>
      <c r="I255">
        <f>SUMPRODUCT((MONTH(CHOOSE({1,2,3,4},HN!U255,HN!AA255,HN!AG255,HN!AM255))=9)*(CHOOSE({1,2,3,4},HN!X255,HN!AD255,HN!AJ255,HN!AP255)))</f>
        <v>0</v>
      </c>
      <c r="J255">
        <f>SUMPRODUCT((MONTH(CHOOSE({1,2,3,4},HN!U255,HN!AA255,HN!AG255,HN!AM255))=10)*(CHOOSE({1,2,3,4},HN!X255,HN!AD255,HN!AJ255,HN!AP255)))</f>
        <v>0</v>
      </c>
      <c r="K255">
        <f>SUMPRODUCT((MONTH(CHOOSE({1,2,3,4},HN!U255,HN!AA255,HN!AG255,HN!AM255))=11)*(CHOOSE({1,2,3,4},HN!X255,HN!AD255,HN!AJ255,HN!AP255)))</f>
        <v>0</v>
      </c>
      <c r="L255">
        <f>SUMPRODUCT((MONTH(CHOOSE({1,2,3,4},HN!U255,HN!AA255,HN!AG255,HN!AM255))=12)*(CHOOSE({1,2,3,4},HN!X255,HN!AD255,HN!AJ255,HN!AP255)))</f>
        <v>0</v>
      </c>
    </row>
    <row r="256" spans="1:12">
      <c r="A256">
        <f>SUMPRODUCT((MONTH(CHOOSE({1,2,3,4},HN!U256,HN!AA256,HN!AG256,HN!AM256))=1)*(CHOOSE({1,2,3,4},HN!X256,HN!AD256,HN!AJ256,HN!AP256)))</f>
        <v>0</v>
      </c>
      <c r="B256">
        <f>SUMPRODUCT((MONTH(CHOOSE({1,2,3,4},HN!U256,HN!AA256,HN!AG256,HN!AM256))=2)*(CHOOSE({1,2,3,4},HN!X256,HN!AD256,HN!AJ256,HN!AP256)))</f>
        <v>0</v>
      </c>
      <c r="C256">
        <f>SUMPRODUCT((MONTH(CHOOSE({1,2,3,4},HN!U256,HN!AA256,HN!AG256,HN!AM256))=3)*(CHOOSE({1,2,3,4},HN!X256,HN!AD256,HN!AJ256,HN!AP256)))</f>
        <v>0</v>
      </c>
      <c r="D256">
        <f>SUMPRODUCT((MONTH(CHOOSE({1,2,3,4},HN!U256,HN!AA256,HN!AG256,HN!AM256))=4)*(CHOOSE({1,2,3,4},HN!X256,HN!AD256,HN!AJ256,HN!AP256)))</f>
        <v>0</v>
      </c>
      <c r="E256">
        <f>SUMPRODUCT((MONTH(CHOOSE({1,2,3,4},HN!U256,HN!AA256,HN!AG256,HN!AM256))=5)*(CHOOSE({1,2,3,4},HN!X256,HN!AD256,HN!AJ256,HN!AP256)))</f>
        <v>0</v>
      </c>
      <c r="F256">
        <f>SUMPRODUCT((MONTH(CHOOSE({1,2,3,4},HN!U256,HN!AA256,HN!AG256,HN!AM256))=6)*(CHOOSE({1,2,3,4},HN!X256,HN!AD256,HN!AJ256,HN!AP256)))</f>
        <v>0</v>
      </c>
      <c r="G256">
        <f>SUMPRODUCT((MONTH(CHOOSE({1,2,3,4},HN!U256,HN!AA256,HN!AG256,HN!AM256))=7)*(CHOOSE({1,2,3,4},HN!X256,HN!AD256,HN!AJ256,HN!AP256)))</f>
        <v>0</v>
      </c>
      <c r="H256">
        <f>SUMPRODUCT((MONTH(CHOOSE({1,2,3,4},HN!U256,HN!AA256,HN!AG256,HN!AM256))=8)*(CHOOSE({1,2,3,4},HN!X256,HN!AD256,HN!AJ256,HN!AP256)))</f>
        <v>0</v>
      </c>
      <c r="I256">
        <f>SUMPRODUCT((MONTH(CHOOSE({1,2,3,4},HN!U256,HN!AA256,HN!AG256,HN!AM256))=9)*(CHOOSE({1,2,3,4},HN!X256,HN!AD256,HN!AJ256,HN!AP256)))</f>
        <v>0</v>
      </c>
      <c r="J256">
        <f>SUMPRODUCT((MONTH(CHOOSE({1,2,3,4},HN!U256,HN!AA256,HN!AG256,HN!AM256))=10)*(CHOOSE({1,2,3,4},HN!X256,HN!AD256,HN!AJ256,HN!AP256)))</f>
        <v>0</v>
      </c>
      <c r="K256">
        <f>SUMPRODUCT((MONTH(CHOOSE({1,2,3,4},HN!U256,HN!AA256,HN!AG256,HN!AM256))=11)*(CHOOSE({1,2,3,4},HN!X256,HN!AD256,HN!AJ256,HN!AP256)))</f>
        <v>0</v>
      </c>
      <c r="L256">
        <f>SUMPRODUCT((MONTH(CHOOSE({1,2,3,4},HN!U256,HN!AA256,HN!AG256,HN!AM256))=12)*(CHOOSE({1,2,3,4},HN!X256,HN!AD256,HN!AJ256,HN!AP256)))</f>
        <v>0</v>
      </c>
    </row>
    <row r="257" spans="1:12">
      <c r="A257">
        <f>SUMPRODUCT((MONTH(CHOOSE({1,2,3,4},HN!U257,HN!AA257,HN!AG257,HN!AM257))=1)*(CHOOSE({1,2,3,4},HN!X257,HN!AD257,HN!AJ257,HN!AP257)))</f>
        <v>0</v>
      </c>
      <c r="B257">
        <f>SUMPRODUCT((MONTH(CHOOSE({1,2,3,4},HN!U257,HN!AA257,HN!AG257,HN!AM257))=2)*(CHOOSE({1,2,3,4},HN!X257,HN!AD257,HN!AJ257,HN!AP257)))</f>
        <v>0</v>
      </c>
      <c r="C257">
        <f>SUMPRODUCT((MONTH(CHOOSE({1,2,3,4},HN!U257,HN!AA257,HN!AG257,HN!AM257))=3)*(CHOOSE({1,2,3,4},HN!X257,HN!AD257,HN!AJ257,HN!AP257)))</f>
        <v>0</v>
      </c>
      <c r="D257">
        <f>SUMPRODUCT((MONTH(CHOOSE({1,2,3,4},HN!U257,HN!AA257,HN!AG257,HN!AM257))=4)*(CHOOSE({1,2,3,4},HN!X257,HN!AD257,HN!AJ257,HN!AP257)))</f>
        <v>0</v>
      </c>
      <c r="E257">
        <f>SUMPRODUCT((MONTH(CHOOSE({1,2,3,4},HN!U257,HN!AA257,HN!AG257,HN!AM257))=5)*(CHOOSE({1,2,3,4},HN!X257,HN!AD257,HN!AJ257,HN!AP257)))</f>
        <v>0</v>
      </c>
      <c r="F257">
        <f>SUMPRODUCT((MONTH(CHOOSE({1,2,3,4},HN!U257,HN!AA257,HN!AG257,HN!AM257))=6)*(CHOOSE({1,2,3,4},HN!X257,HN!AD257,HN!AJ257,HN!AP257)))</f>
        <v>0</v>
      </c>
      <c r="G257">
        <f>SUMPRODUCT((MONTH(CHOOSE({1,2,3,4},HN!U257,HN!AA257,HN!AG257,HN!AM257))=7)*(CHOOSE({1,2,3,4},HN!X257,HN!AD257,HN!AJ257,HN!AP257)))</f>
        <v>0</v>
      </c>
      <c r="H257">
        <f>SUMPRODUCT((MONTH(CHOOSE({1,2,3,4},HN!U257,HN!AA257,HN!AG257,HN!AM257))=8)*(CHOOSE({1,2,3,4},HN!X257,HN!AD257,HN!AJ257,HN!AP257)))</f>
        <v>0</v>
      </c>
      <c r="I257">
        <f>SUMPRODUCT((MONTH(CHOOSE({1,2,3,4},HN!U257,HN!AA257,HN!AG257,HN!AM257))=9)*(CHOOSE({1,2,3,4},HN!X257,HN!AD257,HN!AJ257,HN!AP257)))</f>
        <v>0</v>
      </c>
      <c r="J257">
        <f>SUMPRODUCT((MONTH(CHOOSE({1,2,3,4},HN!U257,HN!AA257,HN!AG257,HN!AM257))=10)*(CHOOSE({1,2,3,4},HN!X257,HN!AD257,HN!AJ257,HN!AP257)))</f>
        <v>0</v>
      </c>
      <c r="K257">
        <f>SUMPRODUCT((MONTH(CHOOSE({1,2,3,4},HN!U257,HN!AA257,HN!AG257,HN!AM257))=11)*(CHOOSE({1,2,3,4},HN!X257,HN!AD257,HN!AJ257,HN!AP257)))</f>
        <v>0</v>
      </c>
      <c r="L257">
        <f>SUMPRODUCT((MONTH(CHOOSE({1,2,3,4},HN!U257,HN!AA257,HN!AG257,HN!AM257))=12)*(CHOOSE({1,2,3,4},HN!X257,HN!AD257,HN!AJ257,HN!AP257)))</f>
        <v>0</v>
      </c>
    </row>
    <row r="258" spans="1:12">
      <c r="A258">
        <f>SUMPRODUCT((MONTH(CHOOSE({1,2,3,4},HN!U258,HN!AA258,HN!AG258,HN!AM258))=1)*(CHOOSE({1,2,3,4},HN!X258,HN!AD258,HN!AJ258,HN!AP258)))</f>
        <v>0</v>
      </c>
      <c r="B258">
        <f>SUMPRODUCT((MONTH(CHOOSE({1,2,3,4},HN!U258,HN!AA258,HN!AG258,HN!AM258))=2)*(CHOOSE({1,2,3,4},HN!X258,HN!AD258,HN!AJ258,HN!AP258)))</f>
        <v>0</v>
      </c>
      <c r="C258">
        <f>SUMPRODUCT((MONTH(CHOOSE({1,2,3,4},HN!U258,HN!AA258,HN!AG258,HN!AM258))=3)*(CHOOSE({1,2,3,4},HN!X258,HN!AD258,HN!AJ258,HN!AP258)))</f>
        <v>0</v>
      </c>
      <c r="D258">
        <f>SUMPRODUCT((MONTH(CHOOSE({1,2,3,4},HN!U258,HN!AA258,HN!AG258,HN!AM258))=4)*(CHOOSE({1,2,3,4},HN!X258,HN!AD258,HN!AJ258,HN!AP258)))</f>
        <v>0</v>
      </c>
      <c r="E258">
        <f>SUMPRODUCT((MONTH(CHOOSE({1,2,3,4},HN!U258,HN!AA258,HN!AG258,HN!AM258))=5)*(CHOOSE({1,2,3,4},HN!X258,HN!AD258,HN!AJ258,HN!AP258)))</f>
        <v>0</v>
      </c>
      <c r="F258">
        <f>SUMPRODUCT((MONTH(CHOOSE({1,2,3,4},HN!U258,HN!AA258,HN!AG258,HN!AM258))=6)*(CHOOSE({1,2,3,4},HN!X258,HN!AD258,HN!AJ258,HN!AP258)))</f>
        <v>0</v>
      </c>
      <c r="G258">
        <f>SUMPRODUCT((MONTH(CHOOSE({1,2,3,4},HN!U258,HN!AA258,HN!AG258,HN!AM258))=7)*(CHOOSE({1,2,3,4},HN!X258,HN!AD258,HN!AJ258,HN!AP258)))</f>
        <v>0</v>
      </c>
      <c r="H258">
        <f>SUMPRODUCT((MONTH(CHOOSE({1,2,3,4},HN!U258,HN!AA258,HN!AG258,HN!AM258))=8)*(CHOOSE({1,2,3,4},HN!X258,HN!AD258,HN!AJ258,HN!AP258)))</f>
        <v>0</v>
      </c>
      <c r="I258">
        <f>SUMPRODUCT((MONTH(CHOOSE({1,2,3,4},HN!U258,HN!AA258,HN!AG258,HN!AM258))=9)*(CHOOSE({1,2,3,4},HN!X258,HN!AD258,HN!AJ258,HN!AP258)))</f>
        <v>0</v>
      </c>
      <c r="J258">
        <f>SUMPRODUCT((MONTH(CHOOSE({1,2,3,4},HN!U258,HN!AA258,HN!AG258,HN!AM258))=10)*(CHOOSE({1,2,3,4},HN!X258,HN!AD258,HN!AJ258,HN!AP258)))</f>
        <v>0</v>
      </c>
      <c r="K258">
        <f>SUMPRODUCT((MONTH(CHOOSE({1,2,3,4},HN!U258,HN!AA258,HN!AG258,HN!AM258))=11)*(CHOOSE({1,2,3,4},HN!X258,HN!AD258,HN!AJ258,HN!AP258)))</f>
        <v>0</v>
      </c>
      <c r="L258">
        <f>SUMPRODUCT((MONTH(CHOOSE({1,2,3,4},HN!U258,HN!AA258,HN!AG258,HN!AM258))=12)*(CHOOSE({1,2,3,4},HN!X258,HN!AD258,HN!AJ258,HN!AP258)))</f>
        <v>0</v>
      </c>
    </row>
    <row r="259" spans="1:12">
      <c r="A259">
        <f>SUMPRODUCT((MONTH(CHOOSE({1,2,3,4},HN!U259,HN!AA259,HN!AG259,HN!AM259))=1)*(CHOOSE({1,2,3,4},HN!X259,HN!AD259,HN!AJ259,HN!AP259)))</f>
        <v>0</v>
      </c>
      <c r="B259">
        <f>SUMPRODUCT((MONTH(CHOOSE({1,2,3,4},HN!U259,HN!AA259,HN!AG259,HN!AM259))=2)*(CHOOSE({1,2,3,4},HN!X259,HN!AD259,HN!AJ259,HN!AP259)))</f>
        <v>0</v>
      </c>
      <c r="C259">
        <f>SUMPRODUCT((MONTH(CHOOSE({1,2,3,4},HN!U259,HN!AA259,HN!AG259,HN!AM259))=3)*(CHOOSE({1,2,3,4},HN!X259,HN!AD259,HN!AJ259,HN!AP259)))</f>
        <v>0</v>
      </c>
      <c r="D259">
        <f>SUMPRODUCT((MONTH(CHOOSE({1,2,3,4},HN!U259,HN!AA259,HN!AG259,HN!AM259))=4)*(CHOOSE({1,2,3,4},HN!X259,HN!AD259,HN!AJ259,HN!AP259)))</f>
        <v>0</v>
      </c>
      <c r="E259">
        <f>SUMPRODUCT((MONTH(CHOOSE({1,2,3,4},HN!U259,HN!AA259,HN!AG259,HN!AM259))=5)*(CHOOSE({1,2,3,4},HN!X259,HN!AD259,HN!AJ259,HN!AP259)))</f>
        <v>0</v>
      </c>
      <c r="F259">
        <f>SUMPRODUCT((MONTH(CHOOSE({1,2,3,4},HN!U259,HN!AA259,HN!AG259,HN!AM259))=6)*(CHOOSE({1,2,3,4},HN!X259,HN!AD259,HN!AJ259,HN!AP259)))</f>
        <v>0</v>
      </c>
      <c r="G259">
        <f>SUMPRODUCT((MONTH(CHOOSE({1,2,3,4},HN!U259,HN!AA259,HN!AG259,HN!AM259))=7)*(CHOOSE({1,2,3,4},HN!X259,HN!AD259,HN!AJ259,HN!AP259)))</f>
        <v>0</v>
      </c>
      <c r="H259">
        <f>SUMPRODUCT((MONTH(CHOOSE({1,2,3,4},HN!U259,HN!AA259,HN!AG259,HN!AM259))=8)*(CHOOSE({1,2,3,4},HN!X259,HN!AD259,HN!AJ259,HN!AP259)))</f>
        <v>0</v>
      </c>
      <c r="I259">
        <f>SUMPRODUCT((MONTH(CHOOSE({1,2,3,4},HN!U259,HN!AA259,HN!AG259,HN!AM259))=9)*(CHOOSE({1,2,3,4},HN!X259,HN!AD259,HN!AJ259,HN!AP259)))</f>
        <v>0</v>
      </c>
      <c r="J259">
        <f>SUMPRODUCT((MONTH(CHOOSE({1,2,3,4},HN!U259,HN!AA259,HN!AG259,HN!AM259))=10)*(CHOOSE({1,2,3,4},HN!X259,HN!AD259,HN!AJ259,HN!AP259)))</f>
        <v>0</v>
      </c>
      <c r="K259">
        <f>SUMPRODUCT((MONTH(CHOOSE({1,2,3,4},HN!U259,HN!AA259,HN!AG259,HN!AM259))=11)*(CHOOSE({1,2,3,4},HN!X259,HN!AD259,HN!AJ259,HN!AP259)))</f>
        <v>0</v>
      </c>
      <c r="L259">
        <f>SUMPRODUCT((MONTH(CHOOSE({1,2,3,4},HN!U259,HN!AA259,HN!AG259,HN!AM259))=12)*(CHOOSE({1,2,3,4},HN!X259,HN!AD259,HN!AJ259,HN!AP259)))</f>
        <v>0</v>
      </c>
    </row>
    <row r="260" spans="1:12">
      <c r="A260">
        <f>SUMPRODUCT((MONTH(CHOOSE({1,2,3,4},HN!U260,HN!AA260,HN!AG260,HN!AM260))=1)*(CHOOSE({1,2,3,4},HN!X260,HN!AD260,HN!AJ260,HN!AP260)))</f>
        <v>0</v>
      </c>
      <c r="B260">
        <f>SUMPRODUCT((MONTH(CHOOSE({1,2,3,4},HN!U260,HN!AA260,HN!AG260,HN!AM260))=2)*(CHOOSE({1,2,3,4},HN!X260,HN!AD260,HN!AJ260,HN!AP260)))</f>
        <v>0</v>
      </c>
      <c r="C260">
        <f>SUMPRODUCT((MONTH(CHOOSE({1,2,3,4},HN!U260,HN!AA260,HN!AG260,HN!AM260))=3)*(CHOOSE({1,2,3,4},HN!X260,HN!AD260,HN!AJ260,HN!AP260)))</f>
        <v>0</v>
      </c>
      <c r="D260">
        <f>SUMPRODUCT((MONTH(CHOOSE({1,2,3,4},HN!U260,HN!AA260,HN!AG260,HN!AM260))=4)*(CHOOSE({1,2,3,4},HN!X260,HN!AD260,HN!AJ260,HN!AP260)))</f>
        <v>0</v>
      </c>
      <c r="E260">
        <f>SUMPRODUCT((MONTH(CHOOSE({1,2,3,4},HN!U260,HN!AA260,HN!AG260,HN!AM260))=5)*(CHOOSE({1,2,3,4},HN!X260,HN!AD260,HN!AJ260,HN!AP260)))</f>
        <v>0</v>
      </c>
      <c r="F260">
        <f>SUMPRODUCT((MONTH(CHOOSE({1,2,3,4},HN!U260,HN!AA260,HN!AG260,HN!AM260))=6)*(CHOOSE({1,2,3,4},HN!X260,HN!AD260,HN!AJ260,HN!AP260)))</f>
        <v>0</v>
      </c>
      <c r="G260">
        <f>SUMPRODUCT((MONTH(CHOOSE({1,2,3,4},HN!U260,HN!AA260,HN!AG260,HN!AM260))=7)*(CHOOSE({1,2,3,4},HN!X260,HN!AD260,HN!AJ260,HN!AP260)))</f>
        <v>0</v>
      </c>
      <c r="H260">
        <f>SUMPRODUCT((MONTH(CHOOSE({1,2,3,4},HN!U260,HN!AA260,HN!AG260,HN!AM260))=8)*(CHOOSE({1,2,3,4},HN!X260,HN!AD260,HN!AJ260,HN!AP260)))</f>
        <v>0</v>
      </c>
      <c r="I260">
        <f>SUMPRODUCT((MONTH(CHOOSE({1,2,3,4},HN!U260,HN!AA260,HN!AG260,HN!AM260))=9)*(CHOOSE({1,2,3,4},HN!X260,HN!AD260,HN!AJ260,HN!AP260)))</f>
        <v>0</v>
      </c>
      <c r="J260">
        <f>SUMPRODUCT((MONTH(CHOOSE({1,2,3,4},HN!U260,HN!AA260,HN!AG260,HN!AM260))=10)*(CHOOSE({1,2,3,4},HN!X260,HN!AD260,HN!AJ260,HN!AP260)))</f>
        <v>0</v>
      </c>
      <c r="K260">
        <f>SUMPRODUCT((MONTH(CHOOSE({1,2,3,4},HN!U260,HN!AA260,HN!AG260,HN!AM260))=11)*(CHOOSE({1,2,3,4},HN!X260,HN!AD260,HN!AJ260,HN!AP260)))</f>
        <v>0</v>
      </c>
      <c r="L260">
        <f>SUMPRODUCT((MONTH(CHOOSE({1,2,3,4},HN!U260,HN!AA260,HN!AG260,HN!AM260))=12)*(CHOOSE({1,2,3,4},HN!X260,HN!AD260,HN!AJ260,HN!AP260)))</f>
        <v>0</v>
      </c>
    </row>
    <row r="261" spans="1:12">
      <c r="A261">
        <f>SUMPRODUCT((MONTH(CHOOSE({1,2,3,4},HN!U261,HN!AA261,HN!AG261,HN!AM261))=1)*(CHOOSE({1,2,3,4},HN!X261,HN!AD261,HN!AJ261,HN!AP261)))</f>
        <v>0</v>
      </c>
      <c r="B261">
        <f>SUMPRODUCT((MONTH(CHOOSE({1,2,3,4},HN!U261,HN!AA261,HN!AG261,HN!AM261))=2)*(CHOOSE({1,2,3,4},HN!X261,HN!AD261,HN!AJ261,HN!AP261)))</f>
        <v>0</v>
      </c>
      <c r="C261">
        <f>SUMPRODUCT((MONTH(CHOOSE({1,2,3,4},HN!U261,HN!AA261,HN!AG261,HN!AM261))=3)*(CHOOSE({1,2,3,4},HN!X261,HN!AD261,HN!AJ261,HN!AP261)))</f>
        <v>0</v>
      </c>
      <c r="D261">
        <f>SUMPRODUCT((MONTH(CHOOSE({1,2,3,4},HN!U261,HN!AA261,HN!AG261,HN!AM261))=4)*(CHOOSE({1,2,3,4},HN!X261,HN!AD261,HN!AJ261,HN!AP261)))</f>
        <v>0</v>
      </c>
      <c r="E261">
        <f>SUMPRODUCT((MONTH(CHOOSE({1,2,3,4},HN!U261,HN!AA261,HN!AG261,HN!AM261))=5)*(CHOOSE({1,2,3,4},HN!X261,HN!AD261,HN!AJ261,HN!AP261)))</f>
        <v>0</v>
      </c>
      <c r="F261">
        <f>SUMPRODUCT((MONTH(CHOOSE({1,2,3,4},HN!U261,HN!AA261,HN!AG261,HN!AM261))=6)*(CHOOSE({1,2,3,4},HN!X261,HN!AD261,HN!AJ261,HN!AP261)))</f>
        <v>0</v>
      </c>
      <c r="G261">
        <f>SUMPRODUCT((MONTH(CHOOSE({1,2,3,4},HN!U261,HN!AA261,HN!AG261,HN!AM261))=7)*(CHOOSE({1,2,3,4},HN!X261,HN!AD261,HN!AJ261,HN!AP261)))</f>
        <v>0</v>
      </c>
      <c r="H261">
        <f>SUMPRODUCT((MONTH(CHOOSE({1,2,3,4},HN!U261,HN!AA261,HN!AG261,HN!AM261))=8)*(CHOOSE({1,2,3,4},HN!X261,HN!AD261,HN!AJ261,HN!AP261)))</f>
        <v>0</v>
      </c>
      <c r="I261">
        <f>SUMPRODUCT((MONTH(CHOOSE({1,2,3,4},HN!U261,HN!AA261,HN!AG261,HN!AM261))=9)*(CHOOSE({1,2,3,4},HN!X261,HN!AD261,HN!AJ261,HN!AP261)))</f>
        <v>0</v>
      </c>
      <c r="J261">
        <f>SUMPRODUCT((MONTH(CHOOSE({1,2,3,4},HN!U261,HN!AA261,HN!AG261,HN!AM261))=10)*(CHOOSE({1,2,3,4},HN!X261,HN!AD261,HN!AJ261,HN!AP261)))</f>
        <v>0</v>
      </c>
      <c r="K261">
        <f>SUMPRODUCT((MONTH(CHOOSE({1,2,3,4},HN!U261,HN!AA261,HN!AG261,HN!AM261))=11)*(CHOOSE({1,2,3,4},HN!X261,HN!AD261,HN!AJ261,HN!AP261)))</f>
        <v>0</v>
      </c>
      <c r="L261">
        <f>SUMPRODUCT((MONTH(CHOOSE({1,2,3,4},HN!U261,HN!AA261,HN!AG261,HN!AM261))=12)*(CHOOSE({1,2,3,4},HN!X261,HN!AD261,HN!AJ261,HN!AP261)))</f>
        <v>0</v>
      </c>
    </row>
    <row r="262" spans="1:12">
      <c r="A262">
        <f>SUMPRODUCT((MONTH(CHOOSE({1,2,3,4},HN!U262,HN!AA262,HN!AG262,HN!AM262))=1)*(CHOOSE({1,2,3,4},HN!X262,HN!AD262,HN!AJ262,HN!AP262)))</f>
        <v>0</v>
      </c>
      <c r="B262">
        <f>SUMPRODUCT((MONTH(CHOOSE({1,2,3,4},HN!U262,HN!AA262,HN!AG262,HN!AM262))=2)*(CHOOSE({1,2,3,4},HN!X262,HN!AD262,HN!AJ262,HN!AP262)))</f>
        <v>0</v>
      </c>
      <c r="C262">
        <f>SUMPRODUCT((MONTH(CHOOSE({1,2,3,4},HN!U262,HN!AA262,HN!AG262,HN!AM262))=3)*(CHOOSE({1,2,3,4},HN!X262,HN!AD262,HN!AJ262,HN!AP262)))</f>
        <v>0</v>
      </c>
      <c r="D262">
        <f>SUMPRODUCT((MONTH(CHOOSE({1,2,3,4},HN!U262,HN!AA262,HN!AG262,HN!AM262))=4)*(CHOOSE({1,2,3,4},HN!X262,HN!AD262,HN!AJ262,HN!AP262)))</f>
        <v>0</v>
      </c>
      <c r="E262">
        <f>SUMPRODUCT((MONTH(CHOOSE({1,2,3,4},HN!U262,HN!AA262,HN!AG262,HN!AM262))=5)*(CHOOSE({1,2,3,4},HN!X262,HN!AD262,HN!AJ262,HN!AP262)))</f>
        <v>0</v>
      </c>
      <c r="F262">
        <f>SUMPRODUCT((MONTH(CHOOSE({1,2,3,4},HN!U262,HN!AA262,HN!AG262,HN!AM262))=6)*(CHOOSE({1,2,3,4},HN!X262,HN!AD262,HN!AJ262,HN!AP262)))</f>
        <v>0</v>
      </c>
      <c r="G262">
        <f>SUMPRODUCT((MONTH(CHOOSE({1,2,3,4},HN!U262,HN!AA262,HN!AG262,HN!AM262))=7)*(CHOOSE({1,2,3,4},HN!X262,HN!AD262,HN!AJ262,HN!AP262)))</f>
        <v>0</v>
      </c>
      <c r="H262">
        <f>SUMPRODUCT((MONTH(CHOOSE({1,2,3,4},HN!U262,HN!AA262,HN!AG262,HN!AM262))=8)*(CHOOSE({1,2,3,4},HN!X262,HN!AD262,HN!AJ262,HN!AP262)))</f>
        <v>0</v>
      </c>
      <c r="I262">
        <f>SUMPRODUCT((MONTH(CHOOSE({1,2,3,4},HN!U262,HN!AA262,HN!AG262,HN!AM262))=9)*(CHOOSE({1,2,3,4},HN!X262,HN!AD262,HN!AJ262,HN!AP262)))</f>
        <v>0</v>
      </c>
      <c r="J262">
        <f>SUMPRODUCT((MONTH(CHOOSE({1,2,3,4},HN!U262,HN!AA262,HN!AG262,HN!AM262))=10)*(CHOOSE({1,2,3,4},HN!X262,HN!AD262,HN!AJ262,HN!AP262)))</f>
        <v>0</v>
      </c>
      <c r="K262">
        <f>SUMPRODUCT((MONTH(CHOOSE({1,2,3,4},HN!U262,HN!AA262,HN!AG262,HN!AM262))=11)*(CHOOSE({1,2,3,4},HN!X262,HN!AD262,HN!AJ262,HN!AP262)))</f>
        <v>0</v>
      </c>
      <c r="L262">
        <f>SUMPRODUCT((MONTH(CHOOSE({1,2,3,4},HN!U262,HN!AA262,HN!AG262,HN!AM262))=12)*(CHOOSE({1,2,3,4},HN!X262,HN!AD262,HN!AJ262,HN!AP262)))</f>
        <v>0</v>
      </c>
    </row>
    <row r="263" spans="1:12">
      <c r="A263">
        <f>SUMPRODUCT((MONTH(CHOOSE({1,2,3,4},HN!U263,HN!AA263,HN!AG263,HN!AM263))=1)*(CHOOSE({1,2,3,4},HN!X263,HN!AD263,HN!AJ263,HN!AP263)))</f>
        <v>0</v>
      </c>
      <c r="B263">
        <f>SUMPRODUCT((MONTH(CHOOSE({1,2,3,4},HN!U263,HN!AA263,HN!AG263,HN!AM263))=2)*(CHOOSE({1,2,3,4},HN!X263,HN!AD263,HN!AJ263,HN!AP263)))</f>
        <v>0</v>
      </c>
      <c r="C263">
        <f>SUMPRODUCT((MONTH(CHOOSE({1,2,3,4},HN!U263,HN!AA263,HN!AG263,HN!AM263))=3)*(CHOOSE({1,2,3,4},HN!X263,HN!AD263,HN!AJ263,HN!AP263)))</f>
        <v>0</v>
      </c>
      <c r="D263">
        <f>SUMPRODUCT((MONTH(CHOOSE({1,2,3,4},HN!U263,HN!AA263,HN!AG263,HN!AM263))=4)*(CHOOSE({1,2,3,4},HN!X263,HN!AD263,HN!AJ263,HN!AP263)))</f>
        <v>0</v>
      </c>
      <c r="E263">
        <f>SUMPRODUCT((MONTH(CHOOSE({1,2,3,4},HN!U263,HN!AA263,HN!AG263,HN!AM263))=5)*(CHOOSE({1,2,3,4},HN!X263,HN!AD263,HN!AJ263,HN!AP263)))</f>
        <v>0</v>
      </c>
      <c r="F263">
        <f>SUMPRODUCT((MONTH(CHOOSE({1,2,3,4},HN!U263,HN!AA263,HN!AG263,HN!AM263))=6)*(CHOOSE({1,2,3,4},HN!X263,HN!AD263,HN!AJ263,HN!AP263)))</f>
        <v>0</v>
      </c>
      <c r="G263">
        <f>SUMPRODUCT((MONTH(CHOOSE({1,2,3,4},HN!U263,HN!AA263,HN!AG263,HN!AM263))=7)*(CHOOSE({1,2,3,4},HN!X263,HN!AD263,HN!AJ263,HN!AP263)))</f>
        <v>0</v>
      </c>
      <c r="H263">
        <f>SUMPRODUCT((MONTH(CHOOSE({1,2,3,4},HN!U263,HN!AA263,HN!AG263,HN!AM263))=8)*(CHOOSE({1,2,3,4},HN!X263,HN!AD263,HN!AJ263,HN!AP263)))</f>
        <v>0</v>
      </c>
      <c r="I263">
        <f>SUMPRODUCT((MONTH(CHOOSE({1,2,3,4},HN!U263,HN!AA263,HN!AG263,HN!AM263))=9)*(CHOOSE({1,2,3,4},HN!X263,HN!AD263,HN!AJ263,HN!AP263)))</f>
        <v>0</v>
      </c>
      <c r="J263">
        <f>SUMPRODUCT((MONTH(CHOOSE({1,2,3,4},HN!U263,HN!AA263,HN!AG263,HN!AM263))=10)*(CHOOSE({1,2,3,4},HN!X263,HN!AD263,HN!AJ263,HN!AP263)))</f>
        <v>0</v>
      </c>
      <c r="K263">
        <f>SUMPRODUCT((MONTH(CHOOSE({1,2,3,4},HN!U263,HN!AA263,HN!AG263,HN!AM263))=11)*(CHOOSE({1,2,3,4},HN!X263,HN!AD263,HN!AJ263,HN!AP263)))</f>
        <v>0</v>
      </c>
      <c r="L263">
        <f>SUMPRODUCT((MONTH(CHOOSE({1,2,3,4},HN!U263,HN!AA263,HN!AG263,HN!AM263))=12)*(CHOOSE({1,2,3,4},HN!X263,HN!AD263,HN!AJ263,HN!AP263)))</f>
        <v>0</v>
      </c>
    </row>
    <row r="264" spans="1:12">
      <c r="A264">
        <f>SUMPRODUCT((MONTH(CHOOSE({1,2,3,4},HN!U264,HN!AA264,HN!AG264,HN!AM264))=1)*(CHOOSE({1,2,3,4},HN!X264,HN!AD264,HN!AJ264,HN!AP264)))</f>
        <v>0</v>
      </c>
      <c r="B264">
        <f>SUMPRODUCT((MONTH(CHOOSE({1,2,3,4},HN!U264,HN!AA264,HN!AG264,HN!AM264))=2)*(CHOOSE({1,2,3,4},HN!X264,HN!AD264,HN!AJ264,HN!AP264)))</f>
        <v>0</v>
      </c>
      <c r="C264">
        <f>SUMPRODUCT((MONTH(CHOOSE({1,2,3,4},HN!U264,HN!AA264,HN!AG264,HN!AM264))=3)*(CHOOSE({1,2,3,4},HN!X264,HN!AD264,HN!AJ264,HN!AP264)))</f>
        <v>0</v>
      </c>
      <c r="D264">
        <f>SUMPRODUCT((MONTH(CHOOSE({1,2,3,4},HN!U264,HN!AA264,HN!AG264,HN!AM264))=4)*(CHOOSE({1,2,3,4},HN!X264,HN!AD264,HN!AJ264,HN!AP264)))</f>
        <v>0</v>
      </c>
      <c r="E264">
        <f>SUMPRODUCT((MONTH(CHOOSE({1,2,3,4},HN!U264,HN!AA264,HN!AG264,HN!AM264))=5)*(CHOOSE({1,2,3,4},HN!X264,HN!AD264,HN!AJ264,HN!AP264)))</f>
        <v>0</v>
      </c>
      <c r="F264">
        <f>SUMPRODUCT((MONTH(CHOOSE({1,2,3,4},HN!U264,HN!AA264,HN!AG264,HN!AM264))=6)*(CHOOSE({1,2,3,4},HN!X264,HN!AD264,HN!AJ264,HN!AP264)))</f>
        <v>0</v>
      </c>
      <c r="G264">
        <f>SUMPRODUCT((MONTH(CHOOSE({1,2,3,4},HN!U264,HN!AA264,HN!AG264,HN!AM264))=7)*(CHOOSE({1,2,3,4},HN!X264,HN!AD264,HN!AJ264,HN!AP264)))</f>
        <v>0</v>
      </c>
      <c r="H264">
        <f>SUMPRODUCT((MONTH(CHOOSE({1,2,3,4},HN!U264,HN!AA264,HN!AG264,HN!AM264))=8)*(CHOOSE({1,2,3,4},HN!X264,HN!AD264,HN!AJ264,HN!AP264)))</f>
        <v>0</v>
      </c>
      <c r="I264">
        <f>SUMPRODUCT((MONTH(CHOOSE({1,2,3,4},HN!U264,HN!AA264,HN!AG264,HN!AM264))=9)*(CHOOSE({1,2,3,4},HN!X264,HN!AD264,HN!AJ264,HN!AP264)))</f>
        <v>0</v>
      </c>
      <c r="J264">
        <f>SUMPRODUCT((MONTH(CHOOSE({1,2,3,4},HN!U264,HN!AA264,HN!AG264,HN!AM264))=10)*(CHOOSE({1,2,3,4},HN!X264,HN!AD264,HN!AJ264,HN!AP264)))</f>
        <v>0</v>
      </c>
      <c r="K264">
        <f>SUMPRODUCT((MONTH(CHOOSE({1,2,3,4},HN!U264,HN!AA264,HN!AG264,HN!AM264))=11)*(CHOOSE({1,2,3,4},HN!X264,HN!AD264,HN!AJ264,HN!AP264)))</f>
        <v>0</v>
      </c>
      <c r="L264">
        <f>SUMPRODUCT((MONTH(CHOOSE({1,2,3,4},HN!U264,HN!AA264,HN!AG264,HN!AM264))=12)*(CHOOSE({1,2,3,4},HN!X264,HN!AD264,HN!AJ264,HN!AP264)))</f>
        <v>0</v>
      </c>
    </row>
    <row r="265" spans="1:12">
      <c r="A265">
        <f>SUMPRODUCT((MONTH(CHOOSE({1,2,3,4},HN!U265,HN!AA265,HN!AG265,HN!AM265))=1)*(CHOOSE({1,2,3,4},HN!X265,HN!AD265,HN!AJ265,HN!AP265)))</f>
        <v>0</v>
      </c>
      <c r="B265">
        <f>SUMPRODUCT((MONTH(CHOOSE({1,2,3,4},HN!U265,HN!AA265,HN!AG265,HN!AM265))=2)*(CHOOSE({1,2,3,4},HN!X265,HN!AD265,HN!AJ265,HN!AP265)))</f>
        <v>0</v>
      </c>
      <c r="C265">
        <f>SUMPRODUCT((MONTH(CHOOSE({1,2,3,4},HN!U265,HN!AA265,HN!AG265,HN!AM265))=3)*(CHOOSE({1,2,3,4},HN!X265,HN!AD265,HN!AJ265,HN!AP265)))</f>
        <v>0</v>
      </c>
      <c r="D265">
        <f>SUMPRODUCT((MONTH(CHOOSE({1,2,3,4},HN!U265,HN!AA265,HN!AG265,HN!AM265))=4)*(CHOOSE({1,2,3,4},HN!X265,HN!AD265,HN!AJ265,HN!AP265)))</f>
        <v>0</v>
      </c>
      <c r="E265">
        <f>SUMPRODUCT((MONTH(CHOOSE({1,2,3,4},HN!U265,HN!AA265,HN!AG265,HN!AM265))=5)*(CHOOSE({1,2,3,4},HN!X265,HN!AD265,HN!AJ265,HN!AP265)))</f>
        <v>0</v>
      </c>
      <c r="F265">
        <f>SUMPRODUCT((MONTH(CHOOSE({1,2,3,4},HN!U265,HN!AA265,HN!AG265,HN!AM265))=6)*(CHOOSE({1,2,3,4},HN!X265,HN!AD265,HN!AJ265,HN!AP265)))</f>
        <v>0</v>
      </c>
      <c r="G265">
        <f>SUMPRODUCT((MONTH(CHOOSE({1,2,3,4},HN!U265,HN!AA265,HN!AG265,HN!AM265))=7)*(CHOOSE({1,2,3,4},HN!X265,HN!AD265,HN!AJ265,HN!AP265)))</f>
        <v>0</v>
      </c>
      <c r="H265">
        <f>SUMPRODUCT((MONTH(CHOOSE({1,2,3,4},HN!U265,HN!AA265,HN!AG265,HN!AM265))=8)*(CHOOSE({1,2,3,4},HN!X265,HN!AD265,HN!AJ265,HN!AP265)))</f>
        <v>0</v>
      </c>
      <c r="I265">
        <f>SUMPRODUCT((MONTH(CHOOSE({1,2,3,4},HN!U265,HN!AA265,HN!AG265,HN!AM265))=9)*(CHOOSE({1,2,3,4},HN!X265,HN!AD265,HN!AJ265,HN!AP265)))</f>
        <v>0</v>
      </c>
      <c r="J265">
        <f>SUMPRODUCT((MONTH(CHOOSE({1,2,3,4},HN!U265,HN!AA265,HN!AG265,HN!AM265))=10)*(CHOOSE({1,2,3,4},HN!X265,HN!AD265,HN!AJ265,HN!AP265)))</f>
        <v>0</v>
      </c>
      <c r="K265">
        <f>SUMPRODUCT((MONTH(CHOOSE({1,2,3,4},HN!U265,HN!AA265,HN!AG265,HN!AM265))=11)*(CHOOSE({1,2,3,4},HN!X265,HN!AD265,HN!AJ265,HN!AP265)))</f>
        <v>0</v>
      </c>
      <c r="L265">
        <f>SUMPRODUCT((MONTH(CHOOSE({1,2,3,4},HN!U265,HN!AA265,HN!AG265,HN!AM265))=12)*(CHOOSE({1,2,3,4},HN!X265,HN!AD265,HN!AJ265,HN!AP265)))</f>
        <v>0</v>
      </c>
    </row>
    <row r="266" spans="1:12">
      <c r="A266">
        <f>SUMPRODUCT((MONTH(CHOOSE({1,2,3,4},HN!U266,HN!AA266,HN!AG266,HN!AM266))=1)*(CHOOSE({1,2,3,4},HN!X266,HN!AD266,HN!AJ266,HN!AP266)))</f>
        <v>0</v>
      </c>
      <c r="B266">
        <f>SUMPRODUCT((MONTH(CHOOSE({1,2,3,4},HN!U266,HN!AA266,HN!AG266,HN!AM266))=2)*(CHOOSE({1,2,3,4},HN!X266,HN!AD266,HN!AJ266,HN!AP266)))</f>
        <v>0</v>
      </c>
      <c r="C266">
        <f>SUMPRODUCT((MONTH(CHOOSE({1,2,3,4},HN!U266,HN!AA266,HN!AG266,HN!AM266))=3)*(CHOOSE({1,2,3,4},HN!X266,HN!AD266,HN!AJ266,HN!AP266)))</f>
        <v>0</v>
      </c>
      <c r="D266">
        <f>SUMPRODUCT((MONTH(CHOOSE({1,2,3,4},HN!U266,HN!AA266,HN!AG266,HN!AM266))=4)*(CHOOSE({1,2,3,4},HN!X266,HN!AD266,HN!AJ266,HN!AP266)))</f>
        <v>0</v>
      </c>
      <c r="E266">
        <f>SUMPRODUCT((MONTH(CHOOSE({1,2,3,4},HN!U266,HN!AA266,HN!AG266,HN!AM266))=5)*(CHOOSE({1,2,3,4},HN!X266,HN!AD266,HN!AJ266,HN!AP266)))</f>
        <v>0</v>
      </c>
      <c r="F266">
        <f>SUMPRODUCT((MONTH(CHOOSE({1,2,3,4},HN!U266,HN!AA266,HN!AG266,HN!AM266))=6)*(CHOOSE({1,2,3,4},HN!X266,HN!AD266,HN!AJ266,HN!AP266)))</f>
        <v>0</v>
      </c>
      <c r="G266">
        <f>SUMPRODUCT((MONTH(CHOOSE({1,2,3,4},HN!U266,HN!AA266,HN!AG266,HN!AM266))=7)*(CHOOSE({1,2,3,4},HN!X266,HN!AD266,HN!AJ266,HN!AP266)))</f>
        <v>0</v>
      </c>
      <c r="H266">
        <f>SUMPRODUCT((MONTH(CHOOSE({1,2,3,4},HN!U266,HN!AA266,HN!AG266,HN!AM266))=8)*(CHOOSE({1,2,3,4},HN!X266,HN!AD266,HN!AJ266,HN!AP266)))</f>
        <v>0</v>
      </c>
      <c r="I266">
        <f>SUMPRODUCT((MONTH(CHOOSE({1,2,3,4},HN!U266,HN!AA266,HN!AG266,HN!AM266))=9)*(CHOOSE({1,2,3,4},HN!X266,HN!AD266,HN!AJ266,HN!AP266)))</f>
        <v>0</v>
      </c>
      <c r="J266">
        <f>SUMPRODUCT((MONTH(CHOOSE({1,2,3,4},HN!U266,HN!AA266,HN!AG266,HN!AM266))=10)*(CHOOSE({1,2,3,4},HN!X266,HN!AD266,HN!AJ266,HN!AP266)))</f>
        <v>0</v>
      </c>
      <c r="K266">
        <f>SUMPRODUCT((MONTH(CHOOSE({1,2,3,4},HN!U266,HN!AA266,HN!AG266,HN!AM266))=11)*(CHOOSE({1,2,3,4},HN!X266,HN!AD266,HN!AJ266,HN!AP266)))</f>
        <v>0</v>
      </c>
      <c r="L266">
        <f>SUMPRODUCT((MONTH(CHOOSE({1,2,3,4},HN!U266,HN!AA266,HN!AG266,HN!AM266))=12)*(CHOOSE({1,2,3,4},HN!X266,HN!AD266,HN!AJ266,HN!AP266)))</f>
        <v>0</v>
      </c>
    </row>
    <row r="267" spans="1:12">
      <c r="A267">
        <f>SUMPRODUCT((MONTH(CHOOSE({1,2,3,4},HN!U267,HN!AA267,HN!AG267,HN!AM267))=1)*(CHOOSE({1,2,3,4},HN!X267,HN!AD267,HN!AJ267,HN!AP267)))</f>
        <v>0</v>
      </c>
      <c r="B267">
        <f>SUMPRODUCT((MONTH(CHOOSE({1,2,3,4},HN!U267,HN!AA267,HN!AG267,HN!AM267))=2)*(CHOOSE({1,2,3,4},HN!X267,HN!AD267,HN!AJ267,HN!AP267)))</f>
        <v>0</v>
      </c>
      <c r="C267">
        <f>SUMPRODUCT((MONTH(CHOOSE({1,2,3,4},HN!U267,HN!AA267,HN!AG267,HN!AM267))=3)*(CHOOSE({1,2,3,4},HN!X267,HN!AD267,HN!AJ267,HN!AP267)))</f>
        <v>0</v>
      </c>
      <c r="D267">
        <f>SUMPRODUCT((MONTH(CHOOSE({1,2,3,4},HN!U267,HN!AA267,HN!AG267,HN!AM267))=4)*(CHOOSE({1,2,3,4},HN!X267,HN!AD267,HN!AJ267,HN!AP267)))</f>
        <v>0</v>
      </c>
      <c r="E267">
        <f>SUMPRODUCT((MONTH(CHOOSE({1,2,3,4},HN!U267,HN!AA267,HN!AG267,HN!AM267))=5)*(CHOOSE({1,2,3,4},HN!X267,HN!AD267,HN!AJ267,HN!AP267)))</f>
        <v>0</v>
      </c>
      <c r="F267">
        <f>SUMPRODUCT((MONTH(CHOOSE({1,2,3,4},HN!U267,HN!AA267,HN!AG267,HN!AM267))=6)*(CHOOSE({1,2,3,4},HN!X267,HN!AD267,HN!AJ267,HN!AP267)))</f>
        <v>0</v>
      </c>
      <c r="G267">
        <f>SUMPRODUCT((MONTH(CHOOSE({1,2,3,4},HN!U267,HN!AA267,HN!AG267,HN!AM267))=7)*(CHOOSE({1,2,3,4},HN!X267,HN!AD267,HN!AJ267,HN!AP267)))</f>
        <v>0</v>
      </c>
      <c r="H267">
        <f>SUMPRODUCT((MONTH(CHOOSE({1,2,3,4},HN!U267,HN!AA267,HN!AG267,HN!AM267))=8)*(CHOOSE({1,2,3,4},HN!X267,HN!AD267,HN!AJ267,HN!AP267)))</f>
        <v>0</v>
      </c>
      <c r="I267">
        <f>SUMPRODUCT((MONTH(CHOOSE({1,2,3,4},HN!U267,HN!AA267,HN!AG267,HN!AM267))=9)*(CHOOSE({1,2,3,4},HN!X267,HN!AD267,HN!AJ267,HN!AP267)))</f>
        <v>0</v>
      </c>
      <c r="J267">
        <f>SUMPRODUCT((MONTH(CHOOSE({1,2,3,4},HN!U267,HN!AA267,HN!AG267,HN!AM267))=10)*(CHOOSE({1,2,3,4},HN!X267,HN!AD267,HN!AJ267,HN!AP267)))</f>
        <v>0</v>
      </c>
      <c r="K267">
        <f>SUMPRODUCT((MONTH(CHOOSE({1,2,3,4},HN!U267,HN!AA267,HN!AG267,HN!AM267))=11)*(CHOOSE({1,2,3,4},HN!X267,HN!AD267,HN!AJ267,HN!AP267)))</f>
        <v>0</v>
      </c>
      <c r="L267">
        <f>SUMPRODUCT((MONTH(CHOOSE({1,2,3,4},HN!U267,HN!AA267,HN!AG267,HN!AM267))=12)*(CHOOSE({1,2,3,4},HN!X267,HN!AD267,HN!AJ267,HN!AP267)))</f>
        <v>0</v>
      </c>
    </row>
    <row r="268" spans="1:12">
      <c r="A268">
        <f>SUMPRODUCT((MONTH(CHOOSE({1,2,3,4},HN!U268,HN!AA268,HN!AG268,HN!AM268))=1)*(CHOOSE({1,2,3,4},HN!X268,HN!AD268,HN!AJ268,HN!AP268)))</f>
        <v>0</v>
      </c>
      <c r="B268">
        <f>SUMPRODUCT((MONTH(CHOOSE({1,2,3,4},HN!U268,HN!AA268,HN!AG268,HN!AM268))=2)*(CHOOSE({1,2,3,4},HN!X268,HN!AD268,HN!AJ268,HN!AP268)))</f>
        <v>0</v>
      </c>
      <c r="C268">
        <f>SUMPRODUCT((MONTH(CHOOSE({1,2,3,4},HN!U268,HN!AA268,HN!AG268,HN!AM268))=3)*(CHOOSE({1,2,3,4},HN!X268,HN!AD268,HN!AJ268,HN!AP268)))</f>
        <v>0</v>
      </c>
      <c r="D268">
        <f>SUMPRODUCT((MONTH(CHOOSE({1,2,3,4},HN!U268,HN!AA268,HN!AG268,HN!AM268))=4)*(CHOOSE({1,2,3,4},HN!X268,HN!AD268,HN!AJ268,HN!AP268)))</f>
        <v>0</v>
      </c>
      <c r="E268">
        <f>SUMPRODUCT((MONTH(CHOOSE({1,2,3,4},HN!U268,HN!AA268,HN!AG268,HN!AM268))=5)*(CHOOSE({1,2,3,4},HN!X268,HN!AD268,HN!AJ268,HN!AP268)))</f>
        <v>0</v>
      </c>
      <c r="F268">
        <f>SUMPRODUCT((MONTH(CHOOSE({1,2,3,4},HN!U268,HN!AA268,HN!AG268,HN!AM268))=6)*(CHOOSE({1,2,3,4},HN!X268,HN!AD268,HN!AJ268,HN!AP268)))</f>
        <v>0</v>
      </c>
      <c r="G268">
        <f>SUMPRODUCT((MONTH(CHOOSE({1,2,3,4},HN!U268,HN!AA268,HN!AG268,HN!AM268))=7)*(CHOOSE({1,2,3,4},HN!X268,HN!AD268,HN!AJ268,HN!AP268)))</f>
        <v>0</v>
      </c>
      <c r="H268">
        <f>SUMPRODUCT((MONTH(CHOOSE({1,2,3,4},HN!U268,HN!AA268,HN!AG268,HN!AM268))=8)*(CHOOSE({1,2,3,4},HN!X268,HN!AD268,HN!AJ268,HN!AP268)))</f>
        <v>0</v>
      </c>
      <c r="I268">
        <f>SUMPRODUCT((MONTH(CHOOSE({1,2,3,4},HN!U268,HN!AA268,HN!AG268,HN!AM268))=9)*(CHOOSE({1,2,3,4},HN!X268,HN!AD268,HN!AJ268,HN!AP268)))</f>
        <v>0</v>
      </c>
      <c r="J268">
        <f>SUMPRODUCT((MONTH(CHOOSE({1,2,3,4},HN!U268,HN!AA268,HN!AG268,HN!AM268))=10)*(CHOOSE({1,2,3,4},HN!X268,HN!AD268,HN!AJ268,HN!AP268)))</f>
        <v>0</v>
      </c>
      <c r="K268">
        <f>SUMPRODUCT((MONTH(CHOOSE({1,2,3,4},HN!U268,HN!AA268,HN!AG268,HN!AM268))=11)*(CHOOSE({1,2,3,4},HN!X268,HN!AD268,HN!AJ268,HN!AP268)))</f>
        <v>0</v>
      </c>
      <c r="L268">
        <f>SUMPRODUCT((MONTH(CHOOSE({1,2,3,4},HN!U268,HN!AA268,HN!AG268,HN!AM268))=12)*(CHOOSE({1,2,3,4},HN!X268,HN!AD268,HN!AJ268,HN!AP268)))</f>
        <v>0</v>
      </c>
    </row>
    <row r="269" spans="1:12">
      <c r="A269">
        <f>SUMPRODUCT((MONTH(CHOOSE({1,2,3,4},HN!U269,HN!AA269,HN!AG269,HN!AM269))=1)*(CHOOSE({1,2,3,4},HN!X269,HN!AD269,HN!AJ269,HN!AP269)))</f>
        <v>0</v>
      </c>
      <c r="B269">
        <f>SUMPRODUCT((MONTH(CHOOSE({1,2,3,4},HN!U269,HN!AA269,HN!AG269,HN!AM269))=2)*(CHOOSE({1,2,3,4},HN!X269,HN!AD269,HN!AJ269,HN!AP269)))</f>
        <v>0</v>
      </c>
      <c r="C269">
        <f>SUMPRODUCT((MONTH(CHOOSE({1,2,3,4},HN!U269,HN!AA269,HN!AG269,HN!AM269))=3)*(CHOOSE({1,2,3,4},HN!X269,HN!AD269,HN!AJ269,HN!AP269)))</f>
        <v>0</v>
      </c>
      <c r="D269">
        <f>SUMPRODUCT((MONTH(CHOOSE({1,2,3,4},HN!U269,HN!AA269,HN!AG269,HN!AM269))=4)*(CHOOSE({1,2,3,4},HN!X269,HN!AD269,HN!AJ269,HN!AP269)))</f>
        <v>0</v>
      </c>
      <c r="E269">
        <f>SUMPRODUCT((MONTH(CHOOSE({1,2,3,4},HN!U269,HN!AA269,HN!AG269,HN!AM269))=5)*(CHOOSE({1,2,3,4},HN!X269,HN!AD269,HN!AJ269,HN!AP269)))</f>
        <v>0</v>
      </c>
      <c r="F269">
        <f>SUMPRODUCT((MONTH(CHOOSE({1,2,3,4},HN!U269,HN!AA269,HN!AG269,HN!AM269))=6)*(CHOOSE({1,2,3,4},HN!X269,HN!AD269,HN!AJ269,HN!AP269)))</f>
        <v>0</v>
      </c>
      <c r="G269">
        <f>SUMPRODUCT((MONTH(CHOOSE({1,2,3,4},HN!U269,HN!AA269,HN!AG269,HN!AM269))=7)*(CHOOSE({1,2,3,4},HN!X269,HN!AD269,HN!AJ269,HN!AP269)))</f>
        <v>0</v>
      </c>
      <c r="H269">
        <f>SUMPRODUCT((MONTH(CHOOSE({1,2,3,4},HN!U269,HN!AA269,HN!AG269,HN!AM269))=8)*(CHOOSE({1,2,3,4},HN!X269,HN!AD269,HN!AJ269,HN!AP269)))</f>
        <v>0</v>
      </c>
      <c r="I269">
        <f>SUMPRODUCT((MONTH(CHOOSE({1,2,3,4},HN!U269,HN!AA269,HN!AG269,HN!AM269))=9)*(CHOOSE({1,2,3,4},HN!X269,HN!AD269,HN!AJ269,HN!AP269)))</f>
        <v>0</v>
      </c>
      <c r="J269">
        <f>SUMPRODUCT((MONTH(CHOOSE({1,2,3,4},HN!U269,HN!AA269,HN!AG269,HN!AM269))=10)*(CHOOSE({1,2,3,4},HN!X269,HN!AD269,HN!AJ269,HN!AP269)))</f>
        <v>0</v>
      </c>
      <c r="K269">
        <f>SUMPRODUCT((MONTH(CHOOSE({1,2,3,4},HN!U269,HN!AA269,HN!AG269,HN!AM269))=11)*(CHOOSE({1,2,3,4},HN!X269,HN!AD269,HN!AJ269,HN!AP269)))</f>
        <v>0</v>
      </c>
      <c r="L269">
        <f>SUMPRODUCT((MONTH(CHOOSE({1,2,3,4},HN!U269,HN!AA269,HN!AG269,HN!AM269))=12)*(CHOOSE({1,2,3,4},HN!X269,HN!AD269,HN!AJ269,HN!AP269)))</f>
        <v>0</v>
      </c>
    </row>
    <row r="270" spans="1:12">
      <c r="A270">
        <f>SUMPRODUCT((MONTH(CHOOSE({1,2,3,4},HN!U270,HN!AA270,HN!AG270,HN!AM270))=1)*(CHOOSE({1,2,3,4},HN!X270,HN!AD270,HN!AJ270,HN!AP270)))</f>
        <v>0</v>
      </c>
      <c r="B270">
        <f>SUMPRODUCT((MONTH(CHOOSE({1,2,3,4},HN!U270,HN!AA270,HN!AG270,HN!AM270))=2)*(CHOOSE({1,2,3,4},HN!X270,HN!AD270,HN!AJ270,HN!AP270)))</f>
        <v>0</v>
      </c>
      <c r="C270">
        <f>SUMPRODUCT((MONTH(CHOOSE({1,2,3,4},HN!U270,HN!AA270,HN!AG270,HN!AM270))=3)*(CHOOSE({1,2,3,4},HN!X270,HN!AD270,HN!AJ270,HN!AP270)))</f>
        <v>0</v>
      </c>
      <c r="D270">
        <f>SUMPRODUCT((MONTH(CHOOSE({1,2,3,4},HN!U270,HN!AA270,HN!AG270,HN!AM270))=4)*(CHOOSE({1,2,3,4},HN!X270,HN!AD270,HN!AJ270,HN!AP270)))</f>
        <v>0</v>
      </c>
      <c r="E270">
        <f>SUMPRODUCT((MONTH(CHOOSE({1,2,3,4},HN!U270,HN!AA270,HN!AG270,HN!AM270))=5)*(CHOOSE({1,2,3,4},HN!X270,HN!AD270,HN!AJ270,HN!AP270)))</f>
        <v>0</v>
      </c>
      <c r="F270">
        <f>SUMPRODUCT((MONTH(CHOOSE({1,2,3,4},HN!U270,HN!AA270,HN!AG270,HN!AM270))=6)*(CHOOSE({1,2,3,4},HN!X270,HN!AD270,HN!AJ270,HN!AP270)))</f>
        <v>0</v>
      </c>
      <c r="G270">
        <f>SUMPRODUCT((MONTH(CHOOSE({1,2,3,4},HN!U270,HN!AA270,HN!AG270,HN!AM270))=7)*(CHOOSE({1,2,3,4},HN!X270,HN!AD270,HN!AJ270,HN!AP270)))</f>
        <v>0</v>
      </c>
      <c r="H270">
        <f>SUMPRODUCT((MONTH(CHOOSE({1,2,3,4},HN!U270,HN!AA270,HN!AG270,HN!AM270))=8)*(CHOOSE({1,2,3,4},HN!X270,HN!AD270,HN!AJ270,HN!AP270)))</f>
        <v>0</v>
      </c>
      <c r="I270">
        <f>SUMPRODUCT((MONTH(CHOOSE({1,2,3,4},HN!U270,HN!AA270,HN!AG270,HN!AM270))=9)*(CHOOSE({1,2,3,4},HN!X270,HN!AD270,HN!AJ270,HN!AP270)))</f>
        <v>0</v>
      </c>
      <c r="J270">
        <f>SUMPRODUCT((MONTH(CHOOSE({1,2,3,4},HN!U270,HN!AA270,HN!AG270,HN!AM270))=10)*(CHOOSE({1,2,3,4},HN!X270,HN!AD270,HN!AJ270,HN!AP270)))</f>
        <v>0</v>
      </c>
      <c r="K270">
        <f>SUMPRODUCT((MONTH(CHOOSE({1,2,3,4},HN!U270,HN!AA270,HN!AG270,HN!AM270))=11)*(CHOOSE({1,2,3,4},HN!X270,HN!AD270,HN!AJ270,HN!AP270)))</f>
        <v>0</v>
      </c>
      <c r="L270">
        <f>SUMPRODUCT((MONTH(CHOOSE({1,2,3,4},HN!U270,HN!AA270,HN!AG270,HN!AM270))=12)*(CHOOSE({1,2,3,4},HN!X270,HN!AD270,HN!AJ270,HN!AP270)))</f>
        <v>0</v>
      </c>
    </row>
    <row r="271" spans="1:12">
      <c r="A271">
        <f>SUMPRODUCT((MONTH(CHOOSE({1,2,3,4},HN!U271,HN!AA271,HN!AG271,HN!AM271))=1)*(CHOOSE({1,2,3,4},HN!X271,HN!AD271,HN!AJ271,HN!AP271)))</f>
        <v>0</v>
      </c>
      <c r="B271">
        <f>SUMPRODUCT((MONTH(CHOOSE({1,2,3,4},HN!U271,HN!AA271,HN!AG271,HN!AM271))=2)*(CHOOSE({1,2,3,4},HN!X271,HN!AD271,HN!AJ271,HN!AP271)))</f>
        <v>0</v>
      </c>
      <c r="C271">
        <f>SUMPRODUCT((MONTH(CHOOSE({1,2,3,4},HN!U271,HN!AA271,HN!AG271,HN!AM271))=3)*(CHOOSE({1,2,3,4},HN!X271,HN!AD271,HN!AJ271,HN!AP271)))</f>
        <v>0</v>
      </c>
      <c r="D271">
        <f>SUMPRODUCT((MONTH(CHOOSE({1,2,3,4},HN!U271,HN!AA271,HN!AG271,HN!AM271))=4)*(CHOOSE({1,2,3,4},HN!X271,HN!AD271,HN!AJ271,HN!AP271)))</f>
        <v>0</v>
      </c>
      <c r="E271">
        <f>SUMPRODUCT((MONTH(CHOOSE({1,2,3,4},HN!U271,HN!AA271,HN!AG271,HN!AM271))=5)*(CHOOSE({1,2,3,4},HN!X271,HN!AD271,HN!AJ271,HN!AP271)))</f>
        <v>0</v>
      </c>
      <c r="F271">
        <f>SUMPRODUCT((MONTH(CHOOSE({1,2,3,4},HN!U271,HN!AA271,HN!AG271,HN!AM271))=6)*(CHOOSE({1,2,3,4},HN!X271,HN!AD271,HN!AJ271,HN!AP271)))</f>
        <v>0</v>
      </c>
      <c r="G271">
        <f>SUMPRODUCT((MONTH(CHOOSE({1,2,3,4},HN!U271,HN!AA271,HN!AG271,HN!AM271))=7)*(CHOOSE({1,2,3,4},HN!X271,HN!AD271,HN!AJ271,HN!AP271)))</f>
        <v>0</v>
      </c>
      <c r="H271">
        <f>SUMPRODUCT((MONTH(CHOOSE({1,2,3,4},HN!U271,HN!AA271,HN!AG271,HN!AM271))=8)*(CHOOSE({1,2,3,4},HN!X271,HN!AD271,HN!AJ271,HN!AP271)))</f>
        <v>0</v>
      </c>
      <c r="I271">
        <f>SUMPRODUCT((MONTH(CHOOSE({1,2,3,4},HN!U271,HN!AA271,HN!AG271,HN!AM271))=9)*(CHOOSE({1,2,3,4},HN!X271,HN!AD271,HN!AJ271,HN!AP271)))</f>
        <v>0</v>
      </c>
      <c r="J271">
        <f>SUMPRODUCT((MONTH(CHOOSE({1,2,3,4},HN!U271,HN!AA271,HN!AG271,HN!AM271))=10)*(CHOOSE({1,2,3,4},HN!X271,HN!AD271,HN!AJ271,HN!AP271)))</f>
        <v>0</v>
      </c>
      <c r="K271">
        <f>SUMPRODUCT((MONTH(CHOOSE({1,2,3,4},HN!U271,HN!AA271,HN!AG271,HN!AM271))=11)*(CHOOSE({1,2,3,4},HN!X271,HN!AD271,HN!AJ271,HN!AP271)))</f>
        <v>0</v>
      </c>
      <c r="L271">
        <f>SUMPRODUCT((MONTH(CHOOSE({1,2,3,4},HN!U271,HN!AA271,HN!AG271,HN!AM271))=12)*(CHOOSE({1,2,3,4},HN!X271,HN!AD271,HN!AJ271,HN!AP271)))</f>
        <v>0</v>
      </c>
    </row>
    <row r="272" spans="1:12">
      <c r="A272">
        <f>SUMPRODUCT((MONTH(CHOOSE({1,2,3,4},HN!U272,HN!AA272,HN!AG272,HN!AM272))=1)*(CHOOSE({1,2,3,4},HN!X272,HN!AD272,HN!AJ272,HN!AP272)))</f>
        <v>0</v>
      </c>
      <c r="B272">
        <f>SUMPRODUCT((MONTH(CHOOSE({1,2,3,4},HN!U272,HN!AA272,HN!AG272,HN!AM272))=2)*(CHOOSE({1,2,3,4},HN!X272,HN!AD272,HN!AJ272,HN!AP272)))</f>
        <v>0</v>
      </c>
      <c r="C272">
        <f>SUMPRODUCT((MONTH(CHOOSE({1,2,3,4},HN!U272,HN!AA272,HN!AG272,HN!AM272))=3)*(CHOOSE({1,2,3,4},HN!X272,HN!AD272,HN!AJ272,HN!AP272)))</f>
        <v>0</v>
      </c>
      <c r="D272">
        <f>SUMPRODUCT((MONTH(CHOOSE({1,2,3,4},HN!U272,HN!AA272,HN!AG272,HN!AM272))=4)*(CHOOSE({1,2,3,4},HN!X272,HN!AD272,HN!AJ272,HN!AP272)))</f>
        <v>0</v>
      </c>
      <c r="E272">
        <f>SUMPRODUCT((MONTH(CHOOSE({1,2,3,4},HN!U272,HN!AA272,HN!AG272,HN!AM272))=5)*(CHOOSE({1,2,3,4},HN!X272,HN!AD272,HN!AJ272,HN!AP272)))</f>
        <v>0</v>
      </c>
      <c r="F272">
        <f>SUMPRODUCT((MONTH(CHOOSE({1,2,3,4},HN!U272,HN!AA272,HN!AG272,HN!AM272))=6)*(CHOOSE({1,2,3,4},HN!X272,HN!AD272,HN!AJ272,HN!AP272)))</f>
        <v>0</v>
      </c>
      <c r="G272">
        <f>SUMPRODUCT((MONTH(CHOOSE({1,2,3,4},HN!U272,HN!AA272,HN!AG272,HN!AM272))=7)*(CHOOSE({1,2,3,4},HN!X272,HN!AD272,HN!AJ272,HN!AP272)))</f>
        <v>0</v>
      </c>
      <c r="H272">
        <f>SUMPRODUCT((MONTH(CHOOSE({1,2,3,4},HN!U272,HN!AA272,HN!AG272,HN!AM272))=8)*(CHOOSE({1,2,3,4},HN!X272,HN!AD272,HN!AJ272,HN!AP272)))</f>
        <v>0</v>
      </c>
      <c r="I272">
        <f>SUMPRODUCT((MONTH(CHOOSE({1,2,3,4},HN!U272,HN!AA272,HN!AG272,HN!AM272))=9)*(CHOOSE({1,2,3,4},HN!X272,HN!AD272,HN!AJ272,HN!AP272)))</f>
        <v>0</v>
      </c>
      <c r="J272">
        <f>SUMPRODUCT((MONTH(CHOOSE({1,2,3,4},HN!U272,HN!AA272,HN!AG272,HN!AM272))=10)*(CHOOSE({1,2,3,4},HN!X272,HN!AD272,HN!AJ272,HN!AP272)))</f>
        <v>0</v>
      </c>
      <c r="K272">
        <f>SUMPRODUCT((MONTH(CHOOSE({1,2,3,4},HN!U272,HN!AA272,HN!AG272,HN!AM272))=11)*(CHOOSE({1,2,3,4},HN!X272,HN!AD272,HN!AJ272,HN!AP272)))</f>
        <v>0</v>
      </c>
      <c r="L272">
        <f>SUMPRODUCT((MONTH(CHOOSE({1,2,3,4},HN!U272,HN!AA272,HN!AG272,HN!AM272))=12)*(CHOOSE({1,2,3,4},HN!X272,HN!AD272,HN!AJ272,HN!AP272)))</f>
        <v>0</v>
      </c>
    </row>
    <row r="273" spans="1:12">
      <c r="A273">
        <f>SUMPRODUCT((MONTH(CHOOSE({1,2,3,4},HN!U273,HN!AA273,HN!AG273,HN!AM273))=1)*(CHOOSE({1,2,3,4},HN!X273,HN!AD273,HN!AJ273,HN!AP273)))</f>
        <v>0</v>
      </c>
      <c r="B273">
        <f>SUMPRODUCT((MONTH(CHOOSE({1,2,3,4},HN!U273,HN!AA273,HN!AG273,HN!AM273))=2)*(CHOOSE({1,2,3,4},HN!X273,HN!AD273,HN!AJ273,HN!AP273)))</f>
        <v>0</v>
      </c>
      <c r="C273">
        <f>SUMPRODUCT((MONTH(CHOOSE({1,2,3,4},HN!U273,HN!AA273,HN!AG273,HN!AM273))=3)*(CHOOSE({1,2,3,4},HN!X273,HN!AD273,HN!AJ273,HN!AP273)))</f>
        <v>0</v>
      </c>
      <c r="D273">
        <f>SUMPRODUCT((MONTH(CHOOSE({1,2,3,4},HN!U273,HN!AA273,HN!AG273,HN!AM273))=4)*(CHOOSE({1,2,3,4},HN!X273,HN!AD273,HN!AJ273,HN!AP273)))</f>
        <v>0</v>
      </c>
      <c r="E273">
        <f>SUMPRODUCT((MONTH(CHOOSE({1,2,3,4},HN!U273,HN!AA273,HN!AG273,HN!AM273))=5)*(CHOOSE({1,2,3,4},HN!X273,HN!AD273,HN!AJ273,HN!AP273)))</f>
        <v>0</v>
      </c>
      <c r="F273">
        <f>SUMPRODUCT((MONTH(CHOOSE({1,2,3,4},HN!U273,HN!AA273,HN!AG273,HN!AM273))=6)*(CHOOSE({1,2,3,4},HN!X273,HN!AD273,HN!AJ273,HN!AP273)))</f>
        <v>0</v>
      </c>
      <c r="G273">
        <f>SUMPRODUCT((MONTH(CHOOSE({1,2,3,4},HN!U273,HN!AA273,HN!AG273,HN!AM273))=7)*(CHOOSE({1,2,3,4},HN!X273,HN!AD273,HN!AJ273,HN!AP273)))</f>
        <v>0</v>
      </c>
      <c r="H273">
        <f>SUMPRODUCT((MONTH(CHOOSE({1,2,3,4},HN!U273,HN!AA273,HN!AG273,HN!AM273))=8)*(CHOOSE({1,2,3,4},HN!X273,HN!AD273,HN!AJ273,HN!AP273)))</f>
        <v>0</v>
      </c>
      <c r="I273">
        <f>SUMPRODUCT((MONTH(CHOOSE({1,2,3,4},HN!U273,HN!AA273,HN!AG273,HN!AM273))=9)*(CHOOSE({1,2,3,4},HN!X273,HN!AD273,HN!AJ273,HN!AP273)))</f>
        <v>0</v>
      </c>
      <c r="J273">
        <f>SUMPRODUCT((MONTH(CHOOSE({1,2,3,4},HN!U273,HN!AA273,HN!AG273,HN!AM273))=10)*(CHOOSE({1,2,3,4},HN!X273,HN!AD273,HN!AJ273,HN!AP273)))</f>
        <v>0</v>
      </c>
      <c r="K273">
        <f>SUMPRODUCT((MONTH(CHOOSE({1,2,3,4},HN!U273,HN!AA273,HN!AG273,HN!AM273))=11)*(CHOOSE({1,2,3,4},HN!X273,HN!AD273,HN!AJ273,HN!AP273)))</f>
        <v>0</v>
      </c>
      <c r="L273">
        <f>SUMPRODUCT((MONTH(CHOOSE({1,2,3,4},HN!U273,HN!AA273,HN!AG273,HN!AM273))=12)*(CHOOSE({1,2,3,4},HN!X273,HN!AD273,HN!AJ273,HN!AP273)))</f>
        <v>0</v>
      </c>
    </row>
    <row r="274" spans="1:12">
      <c r="A274">
        <f>SUMPRODUCT((MONTH(CHOOSE({1,2,3,4},HN!U274,HN!AA274,HN!AG274,HN!AM274))=1)*(CHOOSE({1,2,3,4},HN!X274,HN!AD274,HN!AJ274,HN!AP274)))</f>
        <v>0</v>
      </c>
      <c r="B274">
        <f>SUMPRODUCT((MONTH(CHOOSE({1,2,3,4},HN!U274,HN!AA274,HN!AG274,HN!AM274))=2)*(CHOOSE({1,2,3,4},HN!X274,HN!AD274,HN!AJ274,HN!AP274)))</f>
        <v>0</v>
      </c>
      <c r="C274">
        <f>SUMPRODUCT((MONTH(CHOOSE({1,2,3,4},HN!U274,HN!AA274,HN!AG274,HN!AM274))=3)*(CHOOSE({1,2,3,4},HN!X274,HN!AD274,HN!AJ274,HN!AP274)))</f>
        <v>0</v>
      </c>
      <c r="D274">
        <f>SUMPRODUCT((MONTH(CHOOSE({1,2,3,4},HN!U274,HN!AA274,HN!AG274,HN!AM274))=4)*(CHOOSE({1,2,3,4},HN!X274,HN!AD274,HN!AJ274,HN!AP274)))</f>
        <v>0</v>
      </c>
      <c r="E274">
        <f>SUMPRODUCT((MONTH(CHOOSE({1,2,3,4},HN!U274,HN!AA274,HN!AG274,HN!AM274))=5)*(CHOOSE({1,2,3,4},HN!X274,HN!AD274,HN!AJ274,HN!AP274)))</f>
        <v>0</v>
      </c>
      <c r="F274">
        <f>SUMPRODUCT((MONTH(CHOOSE({1,2,3,4},HN!U274,HN!AA274,HN!AG274,HN!AM274))=6)*(CHOOSE({1,2,3,4},HN!X274,HN!AD274,HN!AJ274,HN!AP274)))</f>
        <v>0</v>
      </c>
      <c r="G274">
        <f>SUMPRODUCT((MONTH(CHOOSE({1,2,3,4},HN!U274,HN!AA274,HN!AG274,HN!AM274))=7)*(CHOOSE({1,2,3,4},HN!X274,HN!AD274,HN!AJ274,HN!AP274)))</f>
        <v>0</v>
      </c>
      <c r="H274">
        <f>SUMPRODUCT((MONTH(CHOOSE({1,2,3,4},HN!U274,HN!AA274,HN!AG274,HN!AM274))=8)*(CHOOSE({1,2,3,4},HN!X274,HN!AD274,HN!AJ274,HN!AP274)))</f>
        <v>0</v>
      </c>
      <c r="I274">
        <f>SUMPRODUCT((MONTH(CHOOSE({1,2,3,4},HN!U274,HN!AA274,HN!AG274,HN!AM274))=9)*(CHOOSE({1,2,3,4},HN!X274,HN!AD274,HN!AJ274,HN!AP274)))</f>
        <v>0</v>
      </c>
      <c r="J274">
        <f>SUMPRODUCT((MONTH(CHOOSE({1,2,3,4},HN!U274,HN!AA274,HN!AG274,HN!AM274))=10)*(CHOOSE({1,2,3,4},HN!X274,HN!AD274,HN!AJ274,HN!AP274)))</f>
        <v>0</v>
      </c>
      <c r="K274">
        <f>SUMPRODUCT((MONTH(CHOOSE({1,2,3,4},HN!U274,HN!AA274,HN!AG274,HN!AM274))=11)*(CHOOSE({1,2,3,4},HN!X274,HN!AD274,HN!AJ274,HN!AP274)))</f>
        <v>0</v>
      </c>
      <c r="L274">
        <f>SUMPRODUCT((MONTH(CHOOSE({1,2,3,4},HN!U274,HN!AA274,HN!AG274,HN!AM274))=12)*(CHOOSE({1,2,3,4},HN!X274,HN!AD274,HN!AJ274,HN!AP274)))</f>
        <v>0</v>
      </c>
    </row>
    <row r="275" spans="1:12">
      <c r="A275">
        <f>SUMPRODUCT((MONTH(CHOOSE({1,2,3,4},HN!U275,HN!AA275,HN!AG275,HN!AM275))=1)*(CHOOSE({1,2,3,4},HN!X275,HN!AD275,HN!AJ275,HN!AP275)))</f>
        <v>0</v>
      </c>
      <c r="B275">
        <f>SUMPRODUCT((MONTH(CHOOSE({1,2,3,4},HN!U275,HN!AA275,HN!AG275,HN!AM275))=2)*(CHOOSE({1,2,3,4},HN!X275,HN!AD275,HN!AJ275,HN!AP275)))</f>
        <v>0</v>
      </c>
      <c r="C275">
        <f>SUMPRODUCT((MONTH(CHOOSE({1,2,3,4},HN!U275,HN!AA275,HN!AG275,HN!AM275))=3)*(CHOOSE({1,2,3,4},HN!X275,HN!AD275,HN!AJ275,HN!AP275)))</f>
        <v>0</v>
      </c>
      <c r="D275">
        <f>SUMPRODUCT((MONTH(CHOOSE({1,2,3,4},HN!U275,HN!AA275,HN!AG275,HN!AM275))=4)*(CHOOSE({1,2,3,4},HN!X275,HN!AD275,HN!AJ275,HN!AP275)))</f>
        <v>0</v>
      </c>
      <c r="E275">
        <f>SUMPRODUCT((MONTH(CHOOSE({1,2,3,4},HN!U275,HN!AA275,HN!AG275,HN!AM275))=5)*(CHOOSE({1,2,3,4},HN!X275,HN!AD275,HN!AJ275,HN!AP275)))</f>
        <v>0</v>
      </c>
      <c r="F275">
        <f>SUMPRODUCT((MONTH(CHOOSE({1,2,3,4},HN!U275,HN!AA275,HN!AG275,HN!AM275))=6)*(CHOOSE({1,2,3,4},HN!X275,HN!AD275,HN!AJ275,HN!AP275)))</f>
        <v>0</v>
      </c>
      <c r="G275">
        <f>SUMPRODUCT((MONTH(CHOOSE({1,2,3,4},HN!U275,HN!AA275,HN!AG275,HN!AM275))=7)*(CHOOSE({1,2,3,4},HN!X275,HN!AD275,HN!AJ275,HN!AP275)))</f>
        <v>0</v>
      </c>
      <c r="H275">
        <f>SUMPRODUCT((MONTH(CHOOSE({1,2,3,4},HN!U275,HN!AA275,HN!AG275,HN!AM275))=8)*(CHOOSE({1,2,3,4},HN!X275,HN!AD275,HN!AJ275,HN!AP275)))</f>
        <v>0</v>
      </c>
      <c r="I275">
        <f>SUMPRODUCT((MONTH(CHOOSE({1,2,3,4},HN!U275,HN!AA275,HN!AG275,HN!AM275))=9)*(CHOOSE({1,2,3,4},HN!X275,HN!AD275,HN!AJ275,HN!AP275)))</f>
        <v>0</v>
      </c>
      <c r="J275">
        <f>SUMPRODUCT((MONTH(CHOOSE({1,2,3,4},HN!U275,HN!AA275,HN!AG275,HN!AM275))=10)*(CHOOSE({1,2,3,4},HN!X275,HN!AD275,HN!AJ275,HN!AP275)))</f>
        <v>0</v>
      </c>
      <c r="K275">
        <f>SUMPRODUCT((MONTH(CHOOSE({1,2,3,4},HN!U275,HN!AA275,HN!AG275,HN!AM275))=11)*(CHOOSE({1,2,3,4},HN!X275,HN!AD275,HN!AJ275,HN!AP275)))</f>
        <v>0</v>
      </c>
      <c r="L275">
        <f>SUMPRODUCT((MONTH(CHOOSE({1,2,3,4},HN!U275,HN!AA275,HN!AG275,HN!AM275))=12)*(CHOOSE({1,2,3,4},HN!X275,HN!AD275,HN!AJ275,HN!AP275)))</f>
        <v>0</v>
      </c>
    </row>
    <row r="276" spans="1:12">
      <c r="A276">
        <f>SUMPRODUCT((MONTH(CHOOSE({1,2,3,4},HN!U276,HN!AA276,HN!AG276,HN!AM276))=1)*(CHOOSE({1,2,3,4},HN!X276,HN!AD276,HN!AJ276,HN!AP276)))</f>
        <v>0</v>
      </c>
      <c r="B276">
        <f>SUMPRODUCT((MONTH(CHOOSE({1,2,3,4},HN!U276,HN!AA276,HN!AG276,HN!AM276))=2)*(CHOOSE({1,2,3,4},HN!X276,HN!AD276,HN!AJ276,HN!AP276)))</f>
        <v>0</v>
      </c>
      <c r="C276">
        <f>SUMPRODUCT((MONTH(CHOOSE({1,2,3,4},HN!U276,HN!AA276,HN!AG276,HN!AM276))=3)*(CHOOSE({1,2,3,4},HN!X276,HN!AD276,HN!AJ276,HN!AP276)))</f>
        <v>0</v>
      </c>
      <c r="D276">
        <f>SUMPRODUCT((MONTH(CHOOSE({1,2,3,4},HN!U276,HN!AA276,HN!AG276,HN!AM276))=4)*(CHOOSE({1,2,3,4},HN!X276,HN!AD276,HN!AJ276,HN!AP276)))</f>
        <v>0</v>
      </c>
      <c r="E276">
        <f>SUMPRODUCT((MONTH(CHOOSE({1,2,3,4},HN!U276,HN!AA276,HN!AG276,HN!AM276))=5)*(CHOOSE({1,2,3,4},HN!X276,HN!AD276,HN!AJ276,HN!AP276)))</f>
        <v>0</v>
      </c>
      <c r="F276">
        <f>SUMPRODUCT((MONTH(CHOOSE({1,2,3,4},HN!U276,HN!AA276,HN!AG276,HN!AM276))=6)*(CHOOSE({1,2,3,4},HN!X276,HN!AD276,HN!AJ276,HN!AP276)))</f>
        <v>0</v>
      </c>
      <c r="G276">
        <f>SUMPRODUCT((MONTH(CHOOSE({1,2,3,4},HN!U276,HN!AA276,HN!AG276,HN!AM276))=7)*(CHOOSE({1,2,3,4},HN!X276,HN!AD276,HN!AJ276,HN!AP276)))</f>
        <v>0</v>
      </c>
      <c r="H276">
        <f>SUMPRODUCT((MONTH(CHOOSE({1,2,3,4},HN!U276,HN!AA276,HN!AG276,HN!AM276))=8)*(CHOOSE({1,2,3,4},HN!X276,HN!AD276,HN!AJ276,HN!AP276)))</f>
        <v>0</v>
      </c>
      <c r="I276">
        <f>SUMPRODUCT((MONTH(CHOOSE({1,2,3,4},HN!U276,HN!AA276,HN!AG276,HN!AM276))=9)*(CHOOSE({1,2,3,4},HN!X276,HN!AD276,HN!AJ276,HN!AP276)))</f>
        <v>0</v>
      </c>
      <c r="J276">
        <f>SUMPRODUCT((MONTH(CHOOSE({1,2,3,4},HN!U276,HN!AA276,HN!AG276,HN!AM276))=10)*(CHOOSE({1,2,3,4},HN!X276,HN!AD276,HN!AJ276,HN!AP276)))</f>
        <v>0</v>
      </c>
      <c r="K276">
        <f>SUMPRODUCT((MONTH(CHOOSE({1,2,3,4},HN!U276,HN!AA276,HN!AG276,HN!AM276))=11)*(CHOOSE({1,2,3,4},HN!X276,HN!AD276,HN!AJ276,HN!AP276)))</f>
        <v>0</v>
      </c>
      <c r="L276">
        <f>SUMPRODUCT((MONTH(CHOOSE({1,2,3,4},HN!U276,HN!AA276,HN!AG276,HN!AM276))=12)*(CHOOSE({1,2,3,4},HN!X276,HN!AD276,HN!AJ276,HN!AP276)))</f>
        <v>0</v>
      </c>
    </row>
    <row r="277" spans="1:12">
      <c r="A277">
        <f>SUMPRODUCT((MONTH(CHOOSE({1,2,3,4},HN!U277,HN!AA277,HN!AG277,HN!AM277))=1)*(CHOOSE({1,2,3,4},HN!X277,HN!AD277,HN!AJ277,HN!AP277)))</f>
        <v>0</v>
      </c>
      <c r="B277">
        <f>SUMPRODUCT((MONTH(CHOOSE({1,2,3,4},HN!U277,HN!AA277,HN!AG277,HN!AM277))=2)*(CHOOSE({1,2,3,4},HN!X277,HN!AD277,HN!AJ277,HN!AP277)))</f>
        <v>0</v>
      </c>
      <c r="C277">
        <f>SUMPRODUCT((MONTH(CHOOSE({1,2,3,4},HN!U277,HN!AA277,HN!AG277,HN!AM277))=3)*(CHOOSE({1,2,3,4},HN!X277,HN!AD277,HN!AJ277,HN!AP277)))</f>
        <v>0</v>
      </c>
      <c r="D277">
        <f>SUMPRODUCT((MONTH(CHOOSE({1,2,3,4},HN!U277,HN!AA277,HN!AG277,HN!AM277))=4)*(CHOOSE({1,2,3,4},HN!X277,HN!AD277,HN!AJ277,HN!AP277)))</f>
        <v>0</v>
      </c>
      <c r="E277">
        <f>SUMPRODUCT((MONTH(CHOOSE({1,2,3,4},HN!U277,HN!AA277,HN!AG277,HN!AM277))=5)*(CHOOSE({1,2,3,4},HN!X277,HN!AD277,HN!AJ277,HN!AP277)))</f>
        <v>0</v>
      </c>
      <c r="F277">
        <f>SUMPRODUCT((MONTH(CHOOSE({1,2,3,4},HN!U277,HN!AA277,HN!AG277,HN!AM277))=6)*(CHOOSE({1,2,3,4},HN!X277,HN!AD277,HN!AJ277,HN!AP277)))</f>
        <v>0</v>
      </c>
      <c r="G277">
        <f>SUMPRODUCT((MONTH(CHOOSE({1,2,3,4},HN!U277,HN!AA277,HN!AG277,HN!AM277))=7)*(CHOOSE({1,2,3,4},HN!X277,HN!AD277,HN!AJ277,HN!AP277)))</f>
        <v>0</v>
      </c>
      <c r="H277">
        <f>SUMPRODUCT((MONTH(CHOOSE({1,2,3,4},HN!U277,HN!AA277,HN!AG277,HN!AM277))=8)*(CHOOSE({1,2,3,4},HN!X277,HN!AD277,HN!AJ277,HN!AP277)))</f>
        <v>0</v>
      </c>
      <c r="I277">
        <f>SUMPRODUCT((MONTH(CHOOSE({1,2,3,4},HN!U277,HN!AA277,HN!AG277,HN!AM277))=9)*(CHOOSE({1,2,3,4},HN!X277,HN!AD277,HN!AJ277,HN!AP277)))</f>
        <v>0</v>
      </c>
      <c r="J277">
        <f>SUMPRODUCT((MONTH(CHOOSE({1,2,3,4},HN!U277,HN!AA277,HN!AG277,HN!AM277))=10)*(CHOOSE({1,2,3,4},HN!X277,HN!AD277,HN!AJ277,HN!AP277)))</f>
        <v>0</v>
      </c>
      <c r="K277">
        <f>SUMPRODUCT((MONTH(CHOOSE({1,2,3,4},HN!U277,HN!AA277,HN!AG277,HN!AM277))=11)*(CHOOSE({1,2,3,4},HN!X277,HN!AD277,HN!AJ277,HN!AP277)))</f>
        <v>0</v>
      </c>
      <c r="L277">
        <f>SUMPRODUCT((MONTH(CHOOSE({1,2,3,4},HN!U277,HN!AA277,HN!AG277,HN!AM277))=12)*(CHOOSE({1,2,3,4},HN!X277,HN!AD277,HN!AJ277,HN!AP277)))</f>
        <v>0</v>
      </c>
    </row>
    <row r="278" spans="1:12">
      <c r="A278">
        <f>SUMPRODUCT((MONTH(CHOOSE({1,2,3,4},HN!U278,HN!AA278,HN!AG278,HN!AM278))=1)*(CHOOSE({1,2,3,4},HN!X278,HN!AD278,HN!AJ278,HN!AP278)))</f>
        <v>0</v>
      </c>
      <c r="B278">
        <f>SUMPRODUCT((MONTH(CHOOSE({1,2,3,4},HN!U278,HN!AA278,HN!AG278,HN!AM278))=2)*(CHOOSE({1,2,3,4},HN!X278,HN!AD278,HN!AJ278,HN!AP278)))</f>
        <v>0</v>
      </c>
      <c r="C278">
        <f>SUMPRODUCT((MONTH(CHOOSE({1,2,3,4},HN!U278,HN!AA278,HN!AG278,HN!AM278))=3)*(CHOOSE({1,2,3,4},HN!X278,HN!AD278,HN!AJ278,HN!AP278)))</f>
        <v>0</v>
      </c>
      <c r="D278">
        <f>SUMPRODUCT((MONTH(CHOOSE({1,2,3,4},HN!U278,HN!AA278,HN!AG278,HN!AM278))=4)*(CHOOSE({1,2,3,4},HN!X278,HN!AD278,HN!AJ278,HN!AP278)))</f>
        <v>0</v>
      </c>
      <c r="E278">
        <f>SUMPRODUCT((MONTH(CHOOSE({1,2,3,4},HN!U278,HN!AA278,HN!AG278,HN!AM278))=5)*(CHOOSE({1,2,3,4},HN!X278,HN!AD278,HN!AJ278,HN!AP278)))</f>
        <v>0</v>
      </c>
      <c r="F278">
        <f>SUMPRODUCT((MONTH(CHOOSE({1,2,3,4},HN!U278,HN!AA278,HN!AG278,HN!AM278))=6)*(CHOOSE({1,2,3,4},HN!X278,HN!AD278,HN!AJ278,HN!AP278)))</f>
        <v>0</v>
      </c>
      <c r="G278">
        <f>SUMPRODUCT((MONTH(CHOOSE({1,2,3,4},HN!U278,HN!AA278,HN!AG278,HN!AM278))=7)*(CHOOSE({1,2,3,4},HN!X278,HN!AD278,HN!AJ278,HN!AP278)))</f>
        <v>0</v>
      </c>
      <c r="H278">
        <f>SUMPRODUCT((MONTH(CHOOSE({1,2,3,4},HN!U278,HN!AA278,HN!AG278,HN!AM278))=8)*(CHOOSE({1,2,3,4},HN!X278,HN!AD278,HN!AJ278,HN!AP278)))</f>
        <v>0</v>
      </c>
      <c r="I278">
        <f>SUMPRODUCT((MONTH(CHOOSE({1,2,3,4},HN!U278,HN!AA278,HN!AG278,HN!AM278))=9)*(CHOOSE({1,2,3,4},HN!X278,HN!AD278,HN!AJ278,HN!AP278)))</f>
        <v>0</v>
      </c>
      <c r="J278">
        <f>SUMPRODUCT((MONTH(CHOOSE({1,2,3,4},HN!U278,HN!AA278,HN!AG278,HN!AM278))=10)*(CHOOSE({1,2,3,4},HN!X278,HN!AD278,HN!AJ278,HN!AP278)))</f>
        <v>0</v>
      </c>
      <c r="K278">
        <f>SUMPRODUCT((MONTH(CHOOSE({1,2,3,4},HN!U278,HN!AA278,HN!AG278,HN!AM278))=11)*(CHOOSE({1,2,3,4},HN!X278,HN!AD278,HN!AJ278,HN!AP278)))</f>
        <v>0</v>
      </c>
      <c r="L278">
        <f>SUMPRODUCT((MONTH(CHOOSE({1,2,3,4},HN!U278,HN!AA278,HN!AG278,HN!AM278))=12)*(CHOOSE({1,2,3,4},HN!X278,HN!AD278,HN!AJ278,HN!AP278)))</f>
        <v>0</v>
      </c>
    </row>
    <row r="279" spans="1:12">
      <c r="A279">
        <f>SUMPRODUCT((MONTH(CHOOSE({1,2,3,4},HN!U279,HN!AA279,HN!AG279,HN!AM279))=1)*(CHOOSE({1,2,3,4},HN!X279,HN!AD279,HN!AJ279,HN!AP279)))</f>
        <v>0</v>
      </c>
      <c r="B279">
        <f>SUMPRODUCT((MONTH(CHOOSE({1,2,3,4},HN!U279,HN!AA279,HN!AG279,HN!AM279))=2)*(CHOOSE({1,2,3,4},HN!X279,HN!AD279,HN!AJ279,HN!AP279)))</f>
        <v>0</v>
      </c>
      <c r="C279">
        <f>SUMPRODUCT((MONTH(CHOOSE({1,2,3,4},HN!U279,HN!AA279,HN!AG279,HN!AM279))=3)*(CHOOSE({1,2,3,4},HN!X279,HN!AD279,HN!AJ279,HN!AP279)))</f>
        <v>0</v>
      </c>
      <c r="D279">
        <f>SUMPRODUCT((MONTH(CHOOSE({1,2,3,4},HN!U279,HN!AA279,HN!AG279,HN!AM279))=4)*(CHOOSE({1,2,3,4},HN!X279,HN!AD279,HN!AJ279,HN!AP279)))</f>
        <v>0</v>
      </c>
      <c r="E279">
        <f>SUMPRODUCT((MONTH(CHOOSE({1,2,3,4},HN!U279,HN!AA279,HN!AG279,HN!AM279))=5)*(CHOOSE({1,2,3,4},HN!X279,HN!AD279,HN!AJ279,HN!AP279)))</f>
        <v>0</v>
      </c>
      <c r="F279">
        <f>SUMPRODUCT((MONTH(CHOOSE({1,2,3,4},HN!U279,HN!AA279,HN!AG279,HN!AM279))=6)*(CHOOSE({1,2,3,4},HN!X279,HN!AD279,HN!AJ279,HN!AP279)))</f>
        <v>0</v>
      </c>
      <c r="G279">
        <f>SUMPRODUCT((MONTH(CHOOSE({1,2,3,4},HN!U279,HN!AA279,HN!AG279,HN!AM279))=7)*(CHOOSE({1,2,3,4},HN!X279,HN!AD279,HN!AJ279,HN!AP279)))</f>
        <v>0</v>
      </c>
      <c r="H279">
        <f>SUMPRODUCT((MONTH(CHOOSE({1,2,3,4},HN!U279,HN!AA279,HN!AG279,HN!AM279))=8)*(CHOOSE({1,2,3,4},HN!X279,HN!AD279,HN!AJ279,HN!AP279)))</f>
        <v>0</v>
      </c>
      <c r="I279">
        <f>SUMPRODUCT((MONTH(CHOOSE({1,2,3,4},HN!U279,HN!AA279,HN!AG279,HN!AM279))=9)*(CHOOSE({1,2,3,4},HN!X279,HN!AD279,HN!AJ279,HN!AP279)))</f>
        <v>0</v>
      </c>
      <c r="J279">
        <f>SUMPRODUCT((MONTH(CHOOSE({1,2,3,4},HN!U279,HN!AA279,HN!AG279,HN!AM279))=10)*(CHOOSE({1,2,3,4},HN!X279,HN!AD279,HN!AJ279,HN!AP279)))</f>
        <v>0</v>
      </c>
      <c r="K279">
        <f>SUMPRODUCT((MONTH(CHOOSE({1,2,3,4},HN!U279,HN!AA279,HN!AG279,HN!AM279))=11)*(CHOOSE({1,2,3,4},HN!X279,HN!AD279,HN!AJ279,HN!AP279)))</f>
        <v>0</v>
      </c>
      <c r="L279">
        <f>SUMPRODUCT((MONTH(CHOOSE({1,2,3,4},HN!U279,HN!AA279,HN!AG279,HN!AM279))=12)*(CHOOSE({1,2,3,4},HN!X279,HN!AD279,HN!AJ279,HN!AP279)))</f>
        <v>0</v>
      </c>
    </row>
    <row r="280" spans="1:12">
      <c r="A280">
        <f>SUMPRODUCT((MONTH(CHOOSE({1,2,3,4},HN!U280,HN!AA280,HN!AG280,HN!AM280))=1)*(CHOOSE({1,2,3,4},HN!X280,HN!AD280,HN!AJ280,HN!AP280)))</f>
        <v>0</v>
      </c>
      <c r="B280">
        <f>SUMPRODUCT((MONTH(CHOOSE({1,2,3,4},HN!U280,HN!AA280,HN!AG280,HN!AM280))=2)*(CHOOSE({1,2,3,4},HN!X280,HN!AD280,HN!AJ280,HN!AP280)))</f>
        <v>0</v>
      </c>
      <c r="C280">
        <f>SUMPRODUCT((MONTH(CHOOSE({1,2,3,4},HN!U280,HN!AA280,HN!AG280,HN!AM280))=3)*(CHOOSE({1,2,3,4},HN!X280,HN!AD280,HN!AJ280,HN!AP280)))</f>
        <v>0</v>
      </c>
      <c r="D280">
        <f>SUMPRODUCT((MONTH(CHOOSE({1,2,3,4},HN!U280,HN!AA280,HN!AG280,HN!AM280))=4)*(CHOOSE({1,2,3,4},HN!X280,HN!AD280,HN!AJ280,HN!AP280)))</f>
        <v>0</v>
      </c>
      <c r="E280">
        <f>SUMPRODUCT((MONTH(CHOOSE({1,2,3,4},HN!U280,HN!AA280,HN!AG280,HN!AM280))=5)*(CHOOSE({1,2,3,4},HN!X280,HN!AD280,HN!AJ280,HN!AP280)))</f>
        <v>0</v>
      </c>
      <c r="F280">
        <f>SUMPRODUCT((MONTH(CHOOSE({1,2,3,4},HN!U280,HN!AA280,HN!AG280,HN!AM280))=6)*(CHOOSE({1,2,3,4},HN!X280,HN!AD280,HN!AJ280,HN!AP280)))</f>
        <v>0</v>
      </c>
      <c r="G280">
        <f>SUMPRODUCT((MONTH(CHOOSE({1,2,3,4},HN!U280,HN!AA280,HN!AG280,HN!AM280))=7)*(CHOOSE({1,2,3,4},HN!X280,HN!AD280,HN!AJ280,HN!AP280)))</f>
        <v>0</v>
      </c>
      <c r="H280">
        <f>SUMPRODUCT((MONTH(CHOOSE({1,2,3,4},HN!U280,HN!AA280,HN!AG280,HN!AM280))=8)*(CHOOSE({1,2,3,4},HN!X280,HN!AD280,HN!AJ280,HN!AP280)))</f>
        <v>0</v>
      </c>
      <c r="I280">
        <f>SUMPRODUCT((MONTH(CHOOSE({1,2,3,4},HN!U280,HN!AA280,HN!AG280,HN!AM280))=9)*(CHOOSE({1,2,3,4},HN!X280,HN!AD280,HN!AJ280,HN!AP280)))</f>
        <v>0</v>
      </c>
      <c r="J280">
        <f>SUMPRODUCT((MONTH(CHOOSE({1,2,3,4},HN!U280,HN!AA280,HN!AG280,HN!AM280))=10)*(CHOOSE({1,2,3,4},HN!X280,HN!AD280,HN!AJ280,HN!AP280)))</f>
        <v>0</v>
      </c>
      <c r="K280">
        <f>SUMPRODUCT((MONTH(CHOOSE({1,2,3,4},HN!U280,HN!AA280,HN!AG280,HN!AM280))=11)*(CHOOSE({1,2,3,4},HN!X280,HN!AD280,HN!AJ280,HN!AP280)))</f>
        <v>0</v>
      </c>
      <c r="L280">
        <f>SUMPRODUCT((MONTH(CHOOSE({1,2,3,4},HN!U280,HN!AA280,HN!AG280,HN!AM280))=12)*(CHOOSE({1,2,3,4},HN!X280,HN!AD280,HN!AJ280,HN!AP280)))</f>
        <v>0</v>
      </c>
    </row>
    <row r="281" spans="1:12">
      <c r="A281">
        <f>SUMPRODUCT((MONTH(CHOOSE({1,2,3,4},HN!U281,HN!AA281,HN!AG281,HN!AM281))=1)*(CHOOSE({1,2,3,4},HN!X281,HN!AD281,HN!AJ281,HN!AP281)))</f>
        <v>0</v>
      </c>
      <c r="B281">
        <f>SUMPRODUCT((MONTH(CHOOSE({1,2,3,4},HN!U281,HN!AA281,HN!AG281,HN!AM281))=2)*(CHOOSE({1,2,3,4},HN!X281,HN!AD281,HN!AJ281,HN!AP281)))</f>
        <v>0</v>
      </c>
      <c r="C281">
        <f>SUMPRODUCT((MONTH(CHOOSE({1,2,3,4},HN!U281,HN!AA281,HN!AG281,HN!AM281))=3)*(CHOOSE({1,2,3,4},HN!X281,HN!AD281,HN!AJ281,HN!AP281)))</f>
        <v>0</v>
      </c>
      <c r="D281">
        <f>SUMPRODUCT((MONTH(CHOOSE({1,2,3,4},HN!U281,HN!AA281,HN!AG281,HN!AM281))=4)*(CHOOSE({1,2,3,4},HN!X281,HN!AD281,HN!AJ281,HN!AP281)))</f>
        <v>0</v>
      </c>
      <c r="E281">
        <f>SUMPRODUCT((MONTH(CHOOSE({1,2,3,4},HN!U281,HN!AA281,HN!AG281,HN!AM281))=5)*(CHOOSE({1,2,3,4},HN!X281,HN!AD281,HN!AJ281,HN!AP281)))</f>
        <v>0</v>
      </c>
      <c r="F281">
        <f>SUMPRODUCT((MONTH(CHOOSE({1,2,3,4},HN!U281,HN!AA281,HN!AG281,HN!AM281))=6)*(CHOOSE({1,2,3,4},HN!X281,HN!AD281,HN!AJ281,HN!AP281)))</f>
        <v>0</v>
      </c>
      <c r="G281">
        <f>SUMPRODUCT((MONTH(CHOOSE({1,2,3,4},HN!U281,HN!AA281,HN!AG281,HN!AM281))=7)*(CHOOSE({1,2,3,4},HN!X281,HN!AD281,HN!AJ281,HN!AP281)))</f>
        <v>0</v>
      </c>
      <c r="H281">
        <f>SUMPRODUCT((MONTH(CHOOSE({1,2,3,4},HN!U281,HN!AA281,HN!AG281,HN!AM281))=8)*(CHOOSE({1,2,3,4},HN!X281,HN!AD281,HN!AJ281,HN!AP281)))</f>
        <v>0</v>
      </c>
      <c r="I281">
        <f>SUMPRODUCT((MONTH(CHOOSE({1,2,3,4},HN!U281,HN!AA281,HN!AG281,HN!AM281))=9)*(CHOOSE({1,2,3,4},HN!X281,HN!AD281,HN!AJ281,HN!AP281)))</f>
        <v>0</v>
      </c>
      <c r="J281">
        <f>SUMPRODUCT((MONTH(CHOOSE({1,2,3,4},HN!U281,HN!AA281,HN!AG281,HN!AM281))=10)*(CHOOSE({1,2,3,4},HN!X281,HN!AD281,HN!AJ281,HN!AP281)))</f>
        <v>0</v>
      </c>
      <c r="K281">
        <f>SUMPRODUCT((MONTH(CHOOSE({1,2,3,4},HN!U281,HN!AA281,HN!AG281,HN!AM281))=11)*(CHOOSE({1,2,3,4},HN!X281,HN!AD281,HN!AJ281,HN!AP281)))</f>
        <v>0</v>
      </c>
      <c r="L281">
        <f>SUMPRODUCT((MONTH(CHOOSE({1,2,3,4},HN!U281,HN!AA281,HN!AG281,HN!AM281))=12)*(CHOOSE({1,2,3,4},HN!X281,HN!AD281,HN!AJ281,HN!AP281)))</f>
        <v>0</v>
      </c>
    </row>
    <row r="282" spans="1:12">
      <c r="A282">
        <f>SUMPRODUCT((MONTH(CHOOSE({1,2,3,4},HN!U282,HN!AA282,HN!AG282,HN!AM282))=1)*(CHOOSE({1,2,3,4},HN!X282,HN!AD282,HN!AJ282,HN!AP282)))</f>
        <v>0</v>
      </c>
      <c r="B282">
        <f>SUMPRODUCT((MONTH(CHOOSE({1,2,3,4},HN!U282,HN!AA282,HN!AG282,HN!AM282))=2)*(CHOOSE({1,2,3,4},HN!X282,HN!AD282,HN!AJ282,HN!AP282)))</f>
        <v>0</v>
      </c>
      <c r="C282">
        <f>SUMPRODUCT((MONTH(CHOOSE({1,2,3,4},HN!U282,HN!AA282,HN!AG282,HN!AM282))=3)*(CHOOSE({1,2,3,4},HN!X282,HN!AD282,HN!AJ282,HN!AP282)))</f>
        <v>0</v>
      </c>
      <c r="D282">
        <f>SUMPRODUCT((MONTH(CHOOSE({1,2,3,4},HN!U282,HN!AA282,HN!AG282,HN!AM282))=4)*(CHOOSE({1,2,3,4},HN!X282,HN!AD282,HN!AJ282,HN!AP282)))</f>
        <v>0</v>
      </c>
      <c r="E282">
        <f>SUMPRODUCT((MONTH(CHOOSE({1,2,3,4},HN!U282,HN!AA282,HN!AG282,HN!AM282))=5)*(CHOOSE({1,2,3,4},HN!X282,HN!AD282,HN!AJ282,HN!AP282)))</f>
        <v>0</v>
      </c>
      <c r="F282">
        <f>SUMPRODUCT((MONTH(CHOOSE({1,2,3,4},HN!U282,HN!AA282,HN!AG282,HN!AM282))=6)*(CHOOSE({1,2,3,4},HN!X282,HN!AD282,HN!AJ282,HN!AP282)))</f>
        <v>0</v>
      </c>
      <c r="G282">
        <f>SUMPRODUCT((MONTH(CHOOSE({1,2,3,4},HN!U282,HN!AA282,HN!AG282,HN!AM282))=7)*(CHOOSE({1,2,3,4},HN!X282,HN!AD282,HN!AJ282,HN!AP282)))</f>
        <v>0</v>
      </c>
      <c r="H282">
        <f>SUMPRODUCT((MONTH(CHOOSE({1,2,3,4},HN!U282,HN!AA282,HN!AG282,HN!AM282))=8)*(CHOOSE({1,2,3,4},HN!X282,HN!AD282,HN!AJ282,HN!AP282)))</f>
        <v>0</v>
      </c>
      <c r="I282">
        <f>SUMPRODUCT((MONTH(CHOOSE({1,2,3,4},HN!U282,HN!AA282,HN!AG282,HN!AM282))=9)*(CHOOSE({1,2,3,4},HN!X282,HN!AD282,HN!AJ282,HN!AP282)))</f>
        <v>0</v>
      </c>
      <c r="J282">
        <f>SUMPRODUCT((MONTH(CHOOSE({1,2,3,4},HN!U282,HN!AA282,HN!AG282,HN!AM282))=10)*(CHOOSE({1,2,3,4},HN!X282,HN!AD282,HN!AJ282,HN!AP282)))</f>
        <v>0</v>
      </c>
      <c r="K282">
        <f>SUMPRODUCT((MONTH(CHOOSE({1,2,3,4},HN!U282,HN!AA282,HN!AG282,HN!AM282))=11)*(CHOOSE({1,2,3,4},HN!X282,HN!AD282,HN!AJ282,HN!AP282)))</f>
        <v>0</v>
      </c>
      <c r="L282">
        <f>SUMPRODUCT((MONTH(CHOOSE({1,2,3,4},HN!U282,HN!AA282,HN!AG282,HN!AM282))=12)*(CHOOSE({1,2,3,4},HN!X282,HN!AD282,HN!AJ282,HN!AP282)))</f>
        <v>0</v>
      </c>
    </row>
    <row r="283" spans="1:12">
      <c r="A283">
        <f>SUMPRODUCT((MONTH(CHOOSE({1,2,3,4},HN!U283,HN!AA283,HN!AG283,HN!AM283))=1)*(CHOOSE({1,2,3,4},HN!X283,HN!AD283,HN!AJ283,HN!AP283)))</f>
        <v>0</v>
      </c>
      <c r="B283">
        <f>SUMPRODUCT((MONTH(CHOOSE({1,2,3,4},HN!U283,HN!AA283,HN!AG283,HN!AM283))=2)*(CHOOSE({1,2,3,4},HN!X283,HN!AD283,HN!AJ283,HN!AP283)))</f>
        <v>0</v>
      </c>
      <c r="C283">
        <f>SUMPRODUCT((MONTH(CHOOSE({1,2,3,4},HN!U283,HN!AA283,HN!AG283,HN!AM283))=3)*(CHOOSE({1,2,3,4},HN!X283,HN!AD283,HN!AJ283,HN!AP283)))</f>
        <v>0</v>
      </c>
      <c r="D283">
        <f>SUMPRODUCT((MONTH(CHOOSE({1,2,3,4},HN!U283,HN!AA283,HN!AG283,HN!AM283))=4)*(CHOOSE({1,2,3,4},HN!X283,HN!AD283,HN!AJ283,HN!AP283)))</f>
        <v>0</v>
      </c>
      <c r="E283">
        <f>SUMPRODUCT((MONTH(CHOOSE({1,2,3,4},HN!U283,HN!AA283,HN!AG283,HN!AM283))=5)*(CHOOSE({1,2,3,4},HN!X283,HN!AD283,HN!AJ283,HN!AP283)))</f>
        <v>0</v>
      </c>
      <c r="F283">
        <f>SUMPRODUCT((MONTH(CHOOSE({1,2,3,4},HN!U283,HN!AA283,HN!AG283,HN!AM283))=6)*(CHOOSE({1,2,3,4},HN!X283,HN!AD283,HN!AJ283,HN!AP283)))</f>
        <v>0</v>
      </c>
      <c r="G283">
        <f>SUMPRODUCT((MONTH(CHOOSE({1,2,3,4},HN!U283,HN!AA283,HN!AG283,HN!AM283))=7)*(CHOOSE({1,2,3,4},HN!X283,HN!AD283,HN!AJ283,HN!AP283)))</f>
        <v>0</v>
      </c>
      <c r="H283">
        <f>SUMPRODUCT((MONTH(CHOOSE({1,2,3,4},HN!U283,HN!AA283,HN!AG283,HN!AM283))=8)*(CHOOSE({1,2,3,4},HN!X283,HN!AD283,HN!AJ283,HN!AP283)))</f>
        <v>0</v>
      </c>
      <c r="I283">
        <f>SUMPRODUCT((MONTH(CHOOSE({1,2,3,4},HN!U283,HN!AA283,HN!AG283,HN!AM283))=9)*(CHOOSE({1,2,3,4},HN!X283,HN!AD283,HN!AJ283,HN!AP283)))</f>
        <v>0</v>
      </c>
      <c r="J283">
        <f>SUMPRODUCT((MONTH(CHOOSE({1,2,3,4},HN!U283,HN!AA283,HN!AG283,HN!AM283))=10)*(CHOOSE({1,2,3,4},HN!X283,HN!AD283,HN!AJ283,HN!AP283)))</f>
        <v>0</v>
      </c>
      <c r="K283">
        <f>SUMPRODUCT((MONTH(CHOOSE({1,2,3,4},HN!U283,HN!AA283,HN!AG283,HN!AM283))=11)*(CHOOSE({1,2,3,4},HN!X283,HN!AD283,HN!AJ283,HN!AP283)))</f>
        <v>0</v>
      </c>
      <c r="L283">
        <f>SUMPRODUCT((MONTH(CHOOSE({1,2,3,4},HN!U283,HN!AA283,HN!AG283,HN!AM283))=12)*(CHOOSE({1,2,3,4},HN!X283,HN!AD283,HN!AJ283,HN!AP283)))</f>
        <v>0</v>
      </c>
    </row>
    <row r="284" spans="1:12">
      <c r="A284">
        <f>SUMPRODUCT((MONTH(CHOOSE({1,2,3,4},HN!U284,HN!AA284,HN!AG284,HN!AM284))=1)*(CHOOSE({1,2,3,4},HN!X284,HN!AD284,HN!AJ284,HN!AP284)))</f>
        <v>0</v>
      </c>
      <c r="B284">
        <f>SUMPRODUCT((MONTH(CHOOSE({1,2,3,4},HN!U284,HN!AA284,HN!AG284,HN!AM284))=2)*(CHOOSE({1,2,3,4},HN!X284,HN!AD284,HN!AJ284,HN!AP284)))</f>
        <v>0</v>
      </c>
      <c r="C284">
        <f>SUMPRODUCT((MONTH(CHOOSE({1,2,3,4},HN!U284,HN!AA284,HN!AG284,HN!AM284))=3)*(CHOOSE({1,2,3,4},HN!X284,HN!AD284,HN!AJ284,HN!AP284)))</f>
        <v>0</v>
      </c>
      <c r="D284">
        <f>SUMPRODUCT((MONTH(CHOOSE({1,2,3,4},HN!U284,HN!AA284,HN!AG284,HN!AM284))=4)*(CHOOSE({1,2,3,4},HN!X284,HN!AD284,HN!AJ284,HN!AP284)))</f>
        <v>0</v>
      </c>
      <c r="E284">
        <f>SUMPRODUCT((MONTH(CHOOSE({1,2,3,4},HN!U284,HN!AA284,HN!AG284,HN!AM284))=5)*(CHOOSE({1,2,3,4},HN!X284,HN!AD284,HN!AJ284,HN!AP284)))</f>
        <v>0</v>
      </c>
      <c r="F284">
        <f>SUMPRODUCT((MONTH(CHOOSE({1,2,3,4},HN!U284,HN!AA284,HN!AG284,HN!AM284))=6)*(CHOOSE({1,2,3,4},HN!X284,HN!AD284,HN!AJ284,HN!AP284)))</f>
        <v>0</v>
      </c>
      <c r="G284">
        <f>SUMPRODUCT((MONTH(CHOOSE({1,2,3,4},HN!U284,HN!AA284,HN!AG284,HN!AM284))=7)*(CHOOSE({1,2,3,4},HN!X284,HN!AD284,HN!AJ284,HN!AP284)))</f>
        <v>0</v>
      </c>
      <c r="H284">
        <f>SUMPRODUCT((MONTH(CHOOSE({1,2,3,4},HN!U284,HN!AA284,HN!AG284,HN!AM284))=8)*(CHOOSE({1,2,3,4},HN!X284,HN!AD284,HN!AJ284,HN!AP284)))</f>
        <v>0</v>
      </c>
      <c r="I284">
        <f>SUMPRODUCT((MONTH(CHOOSE({1,2,3,4},HN!U284,HN!AA284,HN!AG284,HN!AM284))=9)*(CHOOSE({1,2,3,4},HN!X284,HN!AD284,HN!AJ284,HN!AP284)))</f>
        <v>0</v>
      </c>
      <c r="J284">
        <f>SUMPRODUCT((MONTH(CHOOSE({1,2,3,4},HN!U284,HN!AA284,HN!AG284,HN!AM284))=10)*(CHOOSE({1,2,3,4},HN!X284,HN!AD284,HN!AJ284,HN!AP284)))</f>
        <v>0</v>
      </c>
      <c r="K284">
        <f>SUMPRODUCT((MONTH(CHOOSE({1,2,3,4},HN!U284,HN!AA284,HN!AG284,HN!AM284))=11)*(CHOOSE({1,2,3,4},HN!X284,HN!AD284,HN!AJ284,HN!AP284)))</f>
        <v>0</v>
      </c>
      <c r="L284">
        <f>SUMPRODUCT((MONTH(CHOOSE({1,2,3,4},HN!U284,HN!AA284,HN!AG284,HN!AM284))=12)*(CHOOSE({1,2,3,4},HN!X284,HN!AD284,HN!AJ284,HN!AP284)))</f>
        <v>0</v>
      </c>
    </row>
    <row r="285" spans="1:12">
      <c r="A285">
        <f>SUMPRODUCT((MONTH(CHOOSE({1,2,3,4},HN!U285,HN!AA285,HN!AG285,HN!AM285))=1)*(CHOOSE({1,2,3,4},HN!X285,HN!AD285,HN!AJ285,HN!AP285)))</f>
        <v>0</v>
      </c>
      <c r="B285">
        <f>SUMPRODUCT((MONTH(CHOOSE({1,2,3,4},HN!U285,HN!AA285,HN!AG285,HN!AM285))=2)*(CHOOSE({1,2,3,4},HN!X285,HN!AD285,HN!AJ285,HN!AP285)))</f>
        <v>0</v>
      </c>
      <c r="C285">
        <f>SUMPRODUCT((MONTH(CHOOSE({1,2,3,4},HN!U285,HN!AA285,HN!AG285,HN!AM285))=3)*(CHOOSE({1,2,3,4},HN!X285,HN!AD285,HN!AJ285,HN!AP285)))</f>
        <v>0</v>
      </c>
      <c r="D285">
        <f>SUMPRODUCT((MONTH(CHOOSE({1,2,3,4},HN!U285,HN!AA285,HN!AG285,HN!AM285))=4)*(CHOOSE({1,2,3,4},HN!X285,HN!AD285,HN!AJ285,HN!AP285)))</f>
        <v>0</v>
      </c>
      <c r="E285">
        <f>SUMPRODUCT((MONTH(CHOOSE({1,2,3,4},HN!U285,HN!AA285,HN!AG285,HN!AM285))=5)*(CHOOSE({1,2,3,4},HN!X285,HN!AD285,HN!AJ285,HN!AP285)))</f>
        <v>0</v>
      </c>
      <c r="F285">
        <f>SUMPRODUCT((MONTH(CHOOSE({1,2,3,4},HN!U285,HN!AA285,HN!AG285,HN!AM285))=6)*(CHOOSE({1,2,3,4},HN!X285,HN!AD285,HN!AJ285,HN!AP285)))</f>
        <v>0</v>
      </c>
      <c r="G285">
        <f>SUMPRODUCT((MONTH(CHOOSE({1,2,3,4},HN!U285,HN!AA285,HN!AG285,HN!AM285))=7)*(CHOOSE({1,2,3,4},HN!X285,HN!AD285,HN!AJ285,HN!AP285)))</f>
        <v>0</v>
      </c>
      <c r="H285">
        <f>SUMPRODUCT((MONTH(CHOOSE({1,2,3,4},HN!U285,HN!AA285,HN!AG285,HN!AM285))=8)*(CHOOSE({1,2,3,4},HN!X285,HN!AD285,HN!AJ285,HN!AP285)))</f>
        <v>0</v>
      </c>
      <c r="I285">
        <f>SUMPRODUCT((MONTH(CHOOSE({1,2,3,4},HN!U285,HN!AA285,HN!AG285,HN!AM285))=9)*(CHOOSE({1,2,3,4},HN!X285,HN!AD285,HN!AJ285,HN!AP285)))</f>
        <v>0</v>
      </c>
      <c r="J285">
        <f>SUMPRODUCT((MONTH(CHOOSE({1,2,3,4},HN!U285,HN!AA285,HN!AG285,HN!AM285))=10)*(CHOOSE({1,2,3,4},HN!X285,HN!AD285,HN!AJ285,HN!AP285)))</f>
        <v>0</v>
      </c>
      <c r="K285">
        <f>SUMPRODUCT((MONTH(CHOOSE({1,2,3,4},HN!U285,HN!AA285,HN!AG285,HN!AM285))=11)*(CHOOSE({1,2,3,4},HN!X285,HN!AD285,HN!AJ285,HN!AP285)))</f>
        <v>0</v>
      </c>
      <c r="L285">
        <f>SUMPRODUCT((MONTH(CHOOSE({1,2,3,4},HN!U285,HN!AA285,HN!AG285,HN!AM285))=12)*(CHOOSE({1,2,3,4},HN!X285,HN!AD285,HN!AJ285,HN!AP285)))</f>
        <v>0</v>
      </c>
    </row>
    <row r="286" spans="1:12">
      <c r="A286">
        <f>SUMPRODUCT((MONTH(CHOOSE({1,2,3,4},HN!U286,HN!AA286,HN!AG286,HN!AM286))=1)*(CHOOSE({1,2,3,4},HN!X286,HN!AD286,HN!AJ286,HN!AP286)))</f>
        <v>0</v>
      </c>
      <c r="B286">
        <f>SUMPRODUCT((MONTH(CHOOSE({1,2,3,4},HN!U286,HN!AA286,HN!AG286,HN!AM286))=2)*(CHOOSE({1,2,3,4},HN!X286,HN!AD286,HN!AJ286,HN!AP286)))</f>
        <v>0</v>
      </c>
      <c r="C286">
        <f>SUMPRODUCT((MONTH(CHOOSE({1,2,3,4},HN!U286,HN!AA286,HN!AG286,HN!AM286))=3)*(CHOOSE({1,2,3,4},HN!X286,HN!AD286,HN!AJ286,HN!AP286)))</f>
        <v>0</v>
      </c>
      <c r="D286">
        <f>SUMPRODUCT((MONTH(CHOOSE({1,2,3,4},HN!U286,HN!AA286,HN!AG286,HN!AM286))=4)*(CHOOSE({1,2,3,4},HN!X286,HN!AD286,HN!AJ286,HN!AP286)))</f>
        <v>0</v>
      </c>
      <c r="E286">
        <f>SUMPRODUCT((MONTH(CHOOSE({1,2,3,4},HN!U286,HN!AA286,HN!AG286,HN!AM286))=5)*(CHOOSE({1,2,3,4},HN!X286,HN!AD286,HN!AJ286,HN!AP286)))</f>
        <v>0</v>
      </c>
      <c r="F286">
        <f>SUMPRODUCT((MONTH(CHOOSE({1,2,3,4},HN!U286,HN!AA286,HN!AG286,HN!AM286))=6)*(CHOOSE({1,2,3,4},HN!X286,HN!AD286,HN!AJ286,HN!AP286)))</f>
        <v>0</v>
      </c>
      <c r="G286">
        <f>SUMPRODUCT((MONTH(CHOOSE({1,2,3,4},HN!U286,HN!AA286,HN!AG286,HN!AM286))=7)*(CHOOSE({1,2,3,4},HN!X286,HN!AD286,HN!AJ286,HN!AP286)))</f>
        <v>0</v>
      </c>
      <c r="H286">
        <f>SUMPRODUCT((MONTH(CHOOSE({1,2,3,4},HN!U286,HN!AA286,HN!AG286,HN!AM286))=8)*(CHOOSE({1,2,3,4},HN!X286,HN!AD286,HN!AJ286,HN!AP286)))</f>
        <v>0</v>
      </c>
      <c r="I286">
        <f>SUMPRODUCT((MONTH(CHOOSE({1,2,3,4},HN!U286,HN!AA286,HN!AG286,HN!AM286))=9)*(CHOOSE({1,2,3,4},HN!X286,HN!AD286,HN!AJ286,HN!AP286)))</f>
        <v>0</v>
      </c>
      <c r="J286">
        <f>SUMPRODUCT((MONTH(CHOOSE({1,2,3,4},HN!U286,HN!AA286,HN!AG286,HN!AM286))=10)*(CHOOSE({1,2,3,4},HN!X286,HN!AD286,HN!AJ286,HN!AP286)))</f>
        <v>0</v>
      </c>
      <c r="K286">
        <f>SUMPRODUCT((MONTH(CHOOSE({1,2,3,4},HN!U286,HN!AA286,HN!AG286,HN!AM286))=11)*(CHOOSE({1,2,3,4},HN!X286,HN!AD286,HN!AJ286,HN!AP286)))</f>
        <v>0</v>
      </c>
      <c r="L286">
        <f>SUMPRODUCT((MONTH(CHOOSE({1,2,3,4},HN!U286,HN!AA286,HN!AG286,HN!AM286))=12)*(CHOOSE({1,2,3,4},HN!X286,HN!AD286,HN!AJ286,HN!AP286)))</f>
        <v>0</v>
      </c>
    </row>
    <row r="287" spans="1:12">
      <c r="A287">
        <f>SUMPRODUCT((MONTH(CHOOSE({1,2,3,4},HN!U287,HN!AA287,HN!AG287,HN!AM287))=1)*(CHOOSE({1,2,3,4},HN!X287,HN!AD287,HN!AJ287,HN!AP287)))</f>
        <v>0</v>
      </c>
      <c r="B287">
        <f>SUMPRODUCT((MONTH(CHOOSE({1,2,3,4},HN!U287,HN!AA287,HN!AG287,HN!AM287))=2)*(CHOOSE({1,2,3,4},HN!X287,HN!AD287,HN!AJ287,HN!AP287)))</f>
        <v>0</v>
      </c>
      <c r="C287">
        <f>SUMPRODUCT((MONTH(CHOOSE({1,2,3,4},HN!U287,HN!AA287,HN!AG287,HN!AM287))=3)*(CHOOSE({1,2,3,4},HN!X287,HN!AD287,HN!AJ287,HN!AP287)))</f>
        <v>0</v>
      </c>
      <c r="D287">
        <f>SUMPRODUCT((MONTH(CHOOSE({1,2,3,4},HN!U287,HN!AA287,HN!AG287,HN!AM287))=4)*(CHOOSE({1,2,3,4},HN!X287,HN!AD287,HN!AJ287,HN!AP287)))</f>
        <v>0</v>
      </c>
      <c r="E287">
        <f>SUMPRODUCT((MONTH(CHOOSE({1,2,3,4},HN!U287,HN!AA287,HN!AG287,HN!AM287))=5)*(CHOOSE({1,2,3,4},HN!X287,HN!AD287,HN!AJ287,HN!AP287)))</f>
        <v>0</v>
      </c>
      <c r="F287">
        <f>SUMPRODUCT((MONTH(CHOOSE({1,2,3,4},HN!U287,HN!AA287,HN!AG287,HN!AM287))=6)*(CHOOSE({1,2,3,4},HN!X287,HN!AD287,HN!AJ287,HN!AP287)))</f>
        <v>0</v>
      </c>
      <c r="G287">
        <f>SUMPRODUCT((MONTH(CHOOSE({1,2,3,4},HN!U287,HN!AA287,HN!AG287,HN!AM287))=7)*(CHOOSE({1,2,3,4},HN!X287,HN!AD287,HN!AJ287,HN!AP287)))</f>
        <v>0</v>
      </c>
      <c r="H287">
        <f>SUMPRODUCT((MONTH(CHOOSE({1,2,3,4},HN!U287,HN!AA287,HN!AG287,HN!AM287))=8)*(CHOOSE({1,2,3,4},HN!X287,HN!AD287,HN!AJ287,HN!AP287)))</f>
        <v>0</v>
      </c>
      <c r="I287">
        <f>SUMPRODUCT((MONTH(CHOOSE({1,2,3,4},HN!U287,HN!AA287,HN!AG287,HN!AM287))=9)*(CHOOSE({1,2,3,4},HN!X287,HN!AD287,HN!AJ287,HN!AP287)))</f>
        <v>0</v>
      </c>
      <c r="J287">
        <f>SUMPRODUCT((MONTH(CHOOSE({1,2,3,4},HN!U287,HN!AA287,HN!AG287,HN!AM287))=10)*(CHOOSE({1,2,3,4},HN!X287,HN!AD287,HN!AJ287,HN!AP287)))</f>
        <v>0</v>
      </c>
      <c r="K287">
        <f>SUMPRODUCT((MONTH(CHOOSE({1,2,3,4},HN!U287,HN!AA287,HN!AG287,HN!AM287))=11)*(CHOOSE({1,2,3,4},HN!X287,HN!AD287,HN!AJ287,HN!AP287)))</f>
        <v>0</v>
      </c>
      <c r="L287">
        <f>SUMPRODUCT((MONTH(CHOOSE({1,2,3,4},HN!U287,HN!AA287,HN!AG287,HN!AM287))=12)*(CHOOSE({1,2,3,4},HN!X287,HN!AD287,HN!AJ287,HN!AP287)))</f>
        <v>0</v>
      </c>
    </row>
    <row r="288" spans="1:12">
      <c r="A288">
        <f>SUMPRODUCT((MONTH(CHOOSE({1,2,3,4},HN!U288,HN!AA288,HN!AG288,HN!AM288))=1)*(CHOOSE({1,2,3,4},HN!X288,HN!AD288,HN!AJ288,HN!AP288)))</f>
        <v>0</v>
      </c>
      <c r="B288">
        <f>SUMPRODUCT((MONTH(CHOOSE({1,2,3,4},HN!U288,HN!AA288,HN!AG288,HN!AM288))=2)*(CHOOSE({1,2,3,4},HN!X288,HN!AD288,HN!AJ288,HN!AP288)))</f>
        <v>0</v>
      </c>
      <c r="C288">
        <f>SUMPRODUCT((MONTH(CHOOSE({1,2,3,4},HN!U288,HN!AA288,HN!AG288,HN!AM288))=3)*(CHOOSE({1,2,3,4},HN!X288,HN!AD288,HN!AJ288,HN!AP288)))</f>
        <v>0</v>
      </c>
      <c r="D288">
        <f>SUMPRODUCT((MONTH(CHOOSE({1,2,3,4},HN!U288,HN!AA288,HN!AG288,HN!AM288))=4)*(CHOOSE({1,2,3,4},HN!X288,HN!AD288,HN!AJ288,HN!AP288)))</f>
        <v>0</v>
      </c>
      <c r="E288">
        <f>SUMPRODUCT((MONTH(CHOOSE({1,2,3,4},HN!U288,HN!AA288,HN!AG288,HN!AM288))=5)*(CHOOSE({1,2,3,4},HN!X288,HN!AD288,HN!AJ288,HN!AP288)))</f>
        <v>0</v>
      </c>
      <c r="F288">
        <f>SUMPRODUCT((MONTH(CHOOSE({1,2,3,4},HN!U288,HN!AA288,HN!AG288,HN!AM288))=6)*(CHOOSE({1,2,3,4},HN!X288,HN!AD288,HN!AJ288,HN!AP288)))</f>
        <v>0</v>
      </c>
      <c r="G288">
        <f>SUMPRODUCT((MONTH(CHOOSE({1,2,3,4},HN!U288,HN!AA288,HN!AG288,HN!AM288))=7)*(CHOOSE({1,2,3,4},HN!X288,HN!AD288,HN!AJ288,HN!AP288)))</f>
        <v>0</v>
      </c>
      <c r="H288">
        <f>SUMPRODUCT((MONTH(CHOOSE({1,2,3,4},HN!U288,HN!AA288,HN!AG288,HN!AM288))=8)*(CHOOSE({1,2,3,4},HN!X288,HN!AD288,HN!AJ288,HN!AP288)))</f>
        <v>0</v>
      </c>
      <c r="I288">
        <f>SUMPRODUCT((MONTH(CHOOSE({1,2,3,4},HN!U288,HN!AA288,HN!AG288,HN!AM288))=9)*(CHOOSE({1,2,3,4},HN!X288,HN!AD288,HN!AJ288,HN!AP288)))</f>
        <v>0</v>
      </c>
      <c r="J288">
        <f>SUMPRODUCT((MONTH(CHOOSE({1,2,3,4},HN!U288,HN!AA288,HN!AG288,HN!AM288))=10)*(CHOOSE({1,2,3,4},HN!X288,HN!AD288,HN!AJ288,HN!AP288)))</f>
        <v>0</v>
      </c>
      <c r="K288">
        <f>SUMPRODUCT((MONTH(CHOOSE({1,2,3,4},HN!U288,HN!AA288,HN!AG288,HN!AM288))=11)*(CHOOSE({1,2,3,4},HN!X288,HN!AD288,HN!AJ288,HN!AP288)))</f>
        <v>0</v>
      </c>
      <c r="L288">
        <f>SUMPRODUCT((MONTH(CHOOSE({1,2,3,4},HN!U288,HN!AA288,HN!AG288,HN!AM288))=12)*(CHOOSE({1,2,3,4},HN!X288,HN!AD288,HN!AJ288,HN!AP288)))</f>
        <v>0</v>
      </c>
    </row>
    <row r="289" spans="1:12">
      <c r="A289">
        <f>SUMPRODUCT((MONTH(CHOOSE({1,2,3,4},HN!U289,HN!AA289,HN!AG289,HN!AM289))=1)*(CHOOSE({1,2,3,4},HN!X289,HN!AD289,HN!AJ289,HN!AP289)))</f>
        <v>0</v>
      </c>
      <c r="B289">
        <f>SUMPRODUCT((MONTH(CHOOSE({1,2,3,4},HN!U289,HN!AA289,HN!AG289,HN!AM289))=2)*(CHOOSE({1,2,3,4},HN!X289,HN!AD289,HN!AJ289,HN!AP289)))</f>
        <v>0</v>
      </c>
      <c r="C289">
        <f>SUMPRODUCT((MONTH(CHOOSE({1,2,3,4},HN!U289,HN!AA289,HN!AG289,HN!AM289))=3)*(CHOOSE({1,2,3,4},HN!X289,HN!AD289,HN!AJ289,HN!AP289)))</f>
        <v>0</v>
      </c>
      <c r="D289">
        <f>SUMPRODUCT((MONTH(CHOOSE({1,2,3,4},HN!U289,HN!AA289,HN!AG289,HN!AM289))=4)*(CHOOSE({1,2,3,4},HN!X289,HN!AD289,HN!AJ289,HN!AP289)))</f>
        <v>0</v>
      </c>
      <c r="E289">
        <f>SUMPRODUCT((MONTH(CHOOSE({1,2,3,4},HN!U289,HN!AA289,HN!AG289,HN!AM289))=5)*(CHOOSE({1,2,3,4},HN!X289,HN!AD289,HN!AJ289,HN!AP289)))</f>
        <v>0</v>
      </c>
      <c r="F289">
        <f>SUMPRODUCT((MONTH(CHOOSE({1,2,3,4},HN!U289,HN!AA289,HN!AG289,HN!AM289))=6)*(CHOOSE({1,2,3,4},HN!X289,HN!AD289,HN!AJ289,HN!AP289)))</f>
        <v>0</v>
      </c>
      <c r="G289">
        <f>SUMPRODUCT((MONTH(CHOOSE({1,2,3,4},HN!U289,HN!AA289,HN!AG289,HN!AM289))=7)*(CHOOSE({1,2,3,4},HN!X289,HN!AD289,HN!AJ289,HN!AP289)))</f>
        <v>0</v>
      </c>
      <c r="H289">
        <f>SUMPRODUCT((MONTH(CHOOSE({1,2,3,4},HN!U289,HN!AA289,HN!AG289,HN!AM289))=8)*(CHOOSE({1,2,3,4},HN!X289,HN!AD289,HN!AJ289,HN!AP289)))</f>
        <v>0</v>
      </c>
      <c r="I289">
        <f>SUMPRODUCT((MONTH(CHOOSE({1,2,3,4},HN!U289,HN!AA289,HN!AG289,HN!AM289))=9)*(CHOOSE({1,2,3,4},HN!X289,HN!AD289,HN!AJ289,HN!AP289)))</f>
        <v>0</v>
      </c>
      <c r="J289">
        <f>SUMPRODUCT((MONTH(CHOOSE({1,2,3,4},HN!U289,HN!AA289,HN!AG289,HN!AM289))=10)*(CHOOSE({1,2,3,4},HN!X289,HN!AD289,HN!AJ289,HN!AP289)))</f>
        <v>0</v>
      </c>
      <c r="K289">
        <f>SUMPRODUCT((MONTH(CHOOSE({1,2,3,4},HN!U289,HN!AA289,HN!AG289,HN!AM289))=11)*(CHOOSE({1,2,3,4},HN!X289,HN!AD289,HN!AJ289,HN!AP289)))</f>
        <v>0</v>
      </c>
      <c r="L289">
        <f>SUMPRODUCT((MONTH(CHOOSE({1,2,3,4},HN!U289,HN!AA289,HN!AG289,HN!AM289))=12)*(CHOOSE({1,2,3,4},HN!X289,HN!AD289,HN!AJ289,HN!AP289)))</f>
        <v>0</v>
      </c>
    </row>
    <row r="290" spans="1:12">
      <c r="A290">
        <f>SUMPRODUCT((MONTH(CHOOSE({1,2,3,4},HN!U290,HN!AA290,HN!AG290,HN!AM290))=1)*(CHOOSE({1,2,3,4},HN!X290,HN!AD290,HN!AJ290,HN!AP290)))</f>
        <v>0</v>
      </c>
      <c r="B290">
        <f>SUMPRODUCT((MONTH(CHOOSE({1,2,3,4},HN!U290,HN!AA290,HN!AG290,HN!AM290))=2)*(CHOOSE({1,2,3,4},HN!X290,HN!AD290,HN!AJ290,HN!AP290)))</f>
        <v>0</v>
      </c>
      <c r="C290">
        <f>SUMPRODUCT((MONTH(CHOOSE({1,2,3,4},HN!U290,HN!AA290,HN!AG290,HN!AM290))=3)*(CHOOSE({1,2,3,4},HN!X290,HN!AD290,HN!AJ290,HN!AP290)))</f>
        <v>0</v>
      </c>
      <c r="D290">
        <f>SUMPRODUCT((MONTH(CHOOSE({1,2,3,4},HN!U290,HN!AA290,HN!AG290,HN!AM290))=4)*(CHOOSE({1,2,3,4},HN!X290,HN!AD290,HN!AJ290,HN!AP290)))</f>
        <v>0</v>
      </c>
      <c r="E290">
        <f>SUMPRODUCT((MONTH(CHOOSE({1,2,3,4},HN!U290,HN!AA290,HN!AG290,HN!AM290))=5)*(CHOOSE({1,2,3,4},HN!X290,HN!AD290,HN!AJ290,HN!AP290)))</f>
        <v>0</v>
      </c>
      <c r="F290">
        <f>SUMPRODUCT((MONTH(CHOOSE({1,2,3,4},HN!U290,HN!AA290,HN!AG290,HN!AM290))=6)*(CHOOSE({1,2,3,4},HN!X290,HN!AD290,HN!AJ290,HN!AP290)))</f>
        <v>0</v>
      </c>
      <c r="G290">
        <f>SUMPRODUCT((MONTH(CHOOSE({1,2,3,4},HN!U290,HN!AA290,HN!AG290,HN!AM290))=7)*(CHOOSE({1,2,3,4},HN!X290,HN!AD290,HN!AJ290,HN!AP290)))</f>
        <v>0</v>
      </c>
      <c r="H290">
        <f>SUMPRODUCT((MONTH(CHOOSE({1,2,3,4},HN!U290,HN!AA290,HN!AG290,HN!AM290))=8)*(CHOOSE({1,2,3,4},HN!X290,HN!AD290,HN!AJ290,HN!AP290)))</f>
        <v>0</v>
      </c>
      <c r="I290">
        <f>SUMPRODUCT((MONTH(CHOOSE({1,2,3,4},HN!U290,HN!AA290,HN!AG290,HN!AM290))=9)*(CHOOSE({1,2,3,4},HN!X290,HN!AD290,HN!AJ290,HN!AP290)))</f>
        <v>0</v>
      </c>
      <c r="J290">
        <f>SUMPRODUCT((MONTH(CHOOSE({1,2,3,4},HN!U290,HN!AA290,HN!AG290,HN!AM290))=10)*(CHOOSE({1,2,3,4},HN!X290,HN!AD290,HN!AJ290,HN!AP290)))</f>
        <v>0</v>
      </c>
      <c r="K290">
        <f>SUMPRODUCT((MONTH(CHOOSE({1,2,3,4},HN!U290,HN!AA290,HN!AG290,HN!AM290))=11)*(CHOOSE({1,2,3,4},HN!X290,HN!AD290,HN!AJ290,HN!AP290)))</f>
        <v>0</v>
      </c>
      <c r="L290">
        <f>SUMPRODUCT((MONTH(CHOOSE({1,2,3,4},HN!U290,HN!AA290,HN!AG290,HN!AM290))=12)*(CHOOSE({1,2,3,4},HN!X290,HN!AD290,HN!AJ290,HN!AP290)))</f>
        <v>0</v>
      </c>
    </row>
    <row r="291" spans="1:12">
      <c r="A291">
        <f>SUMPRODUCT((MONTH(CHOOSE({1,2,3,4},HN!U291,HN!AA291,HN!AG291,HN!AM291))=1)*(CHOOSE({1,2,3,4},HN!X291,HN!AD291,HN!AJ291,HN!AP291)))</f>
        <v>0</v>
      </c>
      <c r="B291">
        <f>SUMPRODUCT((MONTH(CHOOSE({1,2,3,4},HN!U291,HN!AA291,HN!AG291,HN!AM291))=2)*(CHOOSE({1,2,3,4},HN!X291,HN!AD291,HN!AJ291,HN!AP291)))</f>
        <v>0</v>
      </c>
      <c r="C291">
        <f>SUMPRODUCT((MONTH(CHOOSE({1,2,3,4},HN!U291,HN!AA291,HN!AG291,HN!AM291))=3)*(CHOOSE({1,2,3,4},HN!X291,HN!AD291,HN!AJ291,HN!AP291)))</f>
        <v>0</v>
      </c>
      <c r="D291">
        <f>SUMPRODUCT((MONTH(CHOOSE({1,2,3,4},HN!U291,HN!AA291,HN!AG291,HN!AM291))=4)*(CHOOSE({1,2,3,4},HN!X291,HN!AD291,HN!AJ291,HN!AP291)))</f>
        <v>0</v>
      </c>
      <c r="E291">
        <f>SUMPRODUCT((MONTH(CHOOSE({1,2,3,4},HN!U291,HN!AA291,HN!AG291,HN!AM291))=5)*(CHOOSE({1,2,3,4},HN!X291,HN!AD291,HN!AJ291,HN!AP291)))</f>
        <v>0</v>
      </c>
      <c r="F291">
        <f>SUMPRODUCT((MONTH(CHOOSE({1,2,3,4},HN!U291,HN!AA291,HN!AG291,HN!AM291))=6)*(CHOOSE({1,2,3,4},HN!X291,HN!AD291,HN!AJ291,HN!AP291)))</f>
        <v>0</v>
      </c>
      <c r="G291">
        <f>SUMPRODUCT((MONTH(CHOOSE({1,2,3,4},HN!U291,HN!AA291,HN!AG291,HN!AM291))=7)*(CHOOSE({1,2,3,4},HN!X291,HN!AD291,HN!AJ291,HN!AP291)))</f>
        <v>0</v>
      </c>
      <c r="H291">
        <f>SUMPRODUCT((MONTH(CHOOSE({1,2,3,4},HN!U291,HN!AA291,HN!AG291,HN!AM291))=8)*(CHOOSE({1,2,3,4},HN!X291,HN!AD291,HN!AJ291,HN!AP291)))</f>
        <v>0</v>
      </c>
      <c r="I291">
        <f>SUMPRODUCT((MONTH(CHOOSE({1,2,3,4},HN!U291,HN!AA291,HN!AG291,HN!AM291))=9)*(CHOOSE({1,2,3,4},HN!X291,HN!AD291,HN!AJ291,HN!AP291)))</f>
        <v>0</v>
      </c>
      <c r="J291">
        <f>SUMPRODUCT((MONTH(CHOOSE({1,2,3,4},HN!U291,HN!AA291,HN!AG291,HN!AM291))=10)*(CHOOSE({1,2,3,4},HN!X291,HN!AD291,HN!AJ291,HN!AP291)))</f>
        <v>0</v>
      </c>
      <c r="K291">
        <f>SUMPRODUCT((MONTH(CHOOSE({1,2,3,4},HN!U291,HN!AA291,HN!AG291,HN!AM291))=11)*(CHOOSE({1,2,3,4},HN!X291,HN!AD291,HN!AJ291,HN!AP291)))</f>
        <v>0</v>
      </c>
      <c r="L291">
        <f>SUMPRODUCT((MONTH(CHOOSE({1,2,3,4},HN!U291,HN!AA291,HN!AG291,HN!AM291))=12)*(CHOOSE({1,2,3,4},HN!X291,HN!AD291,HN!AJ291,HN!AP291)))</f>
        <v>0</v>
      </c>
    </row>
    <row r="292" spans="1:12">
      <c r="A292">
        <f>SUMPRODUCT((MONTH(CHOOSE({1,2,3,4},HN!U292,HN!AA292,HN!AG292,HN!AM292))=1)*(CHOOSE({1,2,3,4},HN!X292,HN!AD292,HN!AJ292,HN!AP292)))</f>
        <v>0</v>
      </c>
      <c r="B292">
        <f>SUMPRODUCT((MONTH(CHOOSE({1,2,3,4},HN!U292,HN!AA292,HN!AG292,HN!AM292))=2)*(CHOOSE({1,2,3,4},HN!X292,HN!AD292,HN!AJ292,HN!AP292)))</f>
        <v>0</v>
      </c>
      <c r="C292">
        <f>SUMPRODUCT((MONTH(CHOOSE({1,2,3,4},HN!U292,HN!AA292,HN!AG292,HN!AM292))=3)*(CHOOSE({1,2,3,4},HN!X292,HN!AD292,HN!AJ292,HN!AP292)))</f>
        <v>0</v>
      </c>
      <c r="D292">
        <f>SUMPRODUCT((MONTH(CHOOSE({1,2,3,4},HN!U292,HN!AA292,HN!AG292,HN!AM292))=4)*(CHOOSE({1,2,3,4},HN!X292,HN!AD292,HN!AJ292,HN!AP292)))</f>
        <v>0</v>
      </c>
      <c r="E292">
        <f>SUMPRODUCT((MONTH(CHOOSE({1,2,3,4},HN!U292,HN!AA292,HN!AG292,HN!AM292))=5)*(CHOOSE({1,2,3,4},HN!X292,HN!AD292,HN!AJ292,HN!AP292)))</f>
        <v>0</v>
      </c>
      <c r="F292">
        <f>SUMPRODUCT((MONTH(CHOOSE({1,2,3,4},HN!U292,HN!AA292,HN!AG292,HN!AM292))=6)*(CHOOSE({1,2,3,4},HN!X292,HN!AD292,HN!AJ292,HN!AP292)))</f>
        <v>0</v>
      </c>
      <c r="G292">
        <f>SUMPRODUCT((MONTH(CHOOSE({1,2,3,4},HN!U292,HN!AA292,HN!AG292,HN!AM292))=7)*(CHOOSE({1,2,3,4},HN!X292,HN!AD292,HN!AJ292,HN!AP292)))</f>
        <v>0</v>
      </c>
      <c r="H292">
        <f>SUMPRODUCT((MONTH(CHOOSE({1,2,3,4},HN!U292,HN!AA292,HN!AG292,HN!AM292))=8)*(CHOOSE({1,2,3,4},HN!X292,HN!AD292,HN!AJ292,HN!AP292)))</f>
        <v>0</v>
      </c>
      <c r="I292">
        <f>SUMPRODUCT((MONTH(CHOOSE({1,2,3,4},HN!U292,HN!AA292,HN!AG292,HN!AM292))=9)*(CHOOSE({1,2,3,4},HN!X292,HN!AD292,HN!AJ292,HN!AP292)))</f>
        <v>0</v>
      </c>
      <c r="J292">
        <f>SUMPRODUCT((MONTH(CHOOSE({1,2,3,4},HN!U292,HN!AA292,HN!AG292,HN!AM292))=10)*(CHOOSE({1,2,3,4},HN!X292,HN!AD292,HN!AJ292,HN!AP292)))</f>
        <v>0</v>
      </c>
      <c r="K292">
        <f>SUMPRODUCT((MONTH(CHOOSE({1,2,3,4},HN!U292,HN!AA292,HN!AG292,HN!AM292))=11)*(CHOOSE({1,2,3,4},HN!X292,HN!AD292,HN!AJ292,HN!AP292)))</f>
        <v>0</v>
      </c>
      <c r="L292">
        <f>SUMPRODUCT((MONTH(CHOOSE({1,2,3,4},HN!U292,HN!AA292,HN!AG292,HN!AM292))=12)*(CHOOSE({1,2,3,4},HN!X292,HN!AD292,HN!AJ292,HN!AP292)))</f>
        <v>0</v>
      </c>
    </row>
    <row r="293" spans="1:12">
      <c r="A293">
        <f>SUMPRODUCT((MONTH(CHOOSE({1,2,3,4},HN!U293,HN!AA293,HN!AG293,HN!AM293))=1)*(CHOOSE({1,2,3,4},HN!X293,HN!AD293,HN!AJ293,HN!AP293)))</f>
        <v>0</v>
      </c>
      <c r="B293">
        <f>SUMPRODUCT((MONTH(CHOOSE({1,2,3,4},HN!U293,HN!AA293,HN!AG293,HN!AM293))=2)*(CHOOSE({1,2,3,4},HN!X293,HN!AD293,HN!AJ293,HN!AP293)))</f>
        <v>0</v>
      </c>
      <c r="C293">
        <f>SUMPRODUCT((MONTH(CHOOSE({1,2,3,4},HN!U293,HN!AA293,HN!AG293,HN!AM293))=3)*(CHOOSE({1,2,3,4},HN!X293,HN!AD293,HN!AJ293,HN!AP293)))</f>
        <v>0</v>
      </c>
      <c r="D293">
        <f>SUMPRODUCT((MONTH(CHOOSE({1,2,3,4},HN!U293,HN!AA293,HN!AG293,HN!AM293))=4)*(CHOOSE({1,2,3,4},HN!X293,HN!AD293,HN!AJ293,HN!AP293)))</f>
        <v>0</v>
      </c>
      <c r="E293">
        <f>SUMPRODUCT((MONTH(CHOOSE({1,2,3,4},HN!U293,HN!AA293,HN!AG293,HN!AM293))=5)*(CHOOSE({1,2,3,4},HN!X293,HN!AD293,HN!AJ293,HN!AP293)))</f>
        <v>0</v>
      </c>
      <c r="F293">
        <f>SUMPRODUCT((MONTH(CHOOSE({1,2,3,4},HN!U293,HN!AA293,HN!AG293,HN!AM293))=6)*(CHOOSE({1,2,3,4},HN!X293,HN!AD293,HN!AJ293,HN!AP293)))</f>
        <v>0</v>
      </c>
      <c r="G293">
        <f>SUMPRODUCT((MONTH(CHOOSE({1,2,3,4},HN!U293,HN!AA293,HN!AG293,HN!AM293))=7)*(CHOOSE({1,2,3,4},HN!X293,HN!AD293,HN!AJ293,HN!AP293)))</f>
        <v>0</v>
      </c>
      <c r="H293">
        <f>SUMPRODUCT((MONTH(CHOOSE({1,2,3,4},HN!U293,HN!AA293,HN!AG293,HN!AM293))=8)*(CHOOSE({1,2,3,4},HN!X293,HN!AD293,HN!AJ293,HN!AP293)))</f>
        <v>0</v>
      </c>
      <c r="I293">
        <f>SUMPRODUCT((MONTH(CHOOSE({1,2,3,4},HN!U293,HN!AA293,HN!AG293,HN!AM293))=9)*(CHOOSE({1,2,3,4},HN!X293,HN!AD293,HN!AJ293,HN!AP293)))</f>
        <v>0</v>
      </c>
      <c r="J293">
        <f>SUMPRODUCT((MONTH(CHOOSE({1,2,3,4},HN!U293,HN!AA293,HN!AG293,HN!AM293))=10)*(CHOOSE({1,2,3,4},HN!X293,HN!AD293,HN!AJ293,HN!AP293)))</f>
        <v>0</v>
      </c>
      <c r="K293">
        <f>SUMPRODUCT((MONTH(CHOOSE({1,2,3,4},HN!U293,HN!AA293,HN!AG293,HN!AM293))=11)*(CHOOSE({1,2,3,4},HN!X293,HN!AD293,HN!AJ293,HN!AP293)))</f>
        <v>0</v>
      </c>
      <c r="L293">
        <f>SUMPRODUCT((MONTH(CHOOSE({1,2,3,4},HN!U293,HN!AA293,HN!AG293,HN!AM293))=12)*(CHOOSE({1,2,3,4},HN!X293,HN!AD293,HN!AJ293,HN!AP293)))</f>
        <v>0</v>
      </c>
    </row>
    <row r="294" spans="1:12">
      <c r="A294">
        <f>SUMPRODUCT((MONTH(CHOOSE({1,2,3,4},HN!U294,HN!AA294,HN!AG294,HN!AM294))=1)*(CHOOSE({1,2,3,4},HN!X294,HN!AD294,HN!AJ294,HN!AP294)))</f>
        <v>0</v>
      </c>
      <c r="B294">
        <f>SUMPRODUCT((MONTH(CHOOSE({1,2,3,4},HN!U294,HN!AA294,HN!AG294,HN!AM294))=2)*(CHOOSE({1,2,3,4},HN!X294,HN!AD294,HN!AJ294,HN!AP294)))</f>
        <v>0</v>
      </c>
      <c r="C294">
        <f>SUMPRODUCT((MONTH(CHOOSE({1,2,3,4},HN!U294,HN!AA294,HN!AG294,HN!AM294))=3)*(CHOOSE({1,2,3,4},HN!X294,HN!AD294,HN!AJ294,HN!AP294)))</f>
        <v>0</v>
      </c>
      <c r="D294">
        <f>SUMPRODUCT((MONTH(CHOOSE({1,2,3,4},HN!U294,HN!AA294,HN!AG294,HN!AM294))=4)*(CHOOSE({1,2,3,4},HN!X294,HN!AD294,HN!AJ294,HN!AP294)))</f>
        <v>0</v>
      </c>
      <c r="E294">
        <f>SUMPRODUCT((MONTH(CHOOSE({1,2,3,4},HN!U294,HN!AA294,HN!AG294,HN!AM294))=5)*(CHOOSE({1,2,3,4},HN!X294,HN!AD294,HN!AJ294,HN!AP294)))</f>
        <v>0</v>
      </c>
      <c r="F294">
        <f>SUMPRODUCT((MONTH(CHOOSE({1,2,3,4},HN!U294,HN!AA294,HN!AG294,HN!AM294))=6)*(CHOOSE({1,2,3,4},HN!X294,HN!AD294,HN!AJ294,HN!AP294)))</f>
        <v>0</v>
      </c>
      <c r="G294">
        <f>SUMPRODUCT((MONTH(CHOOSE({1,2,3,4},HN!U294,HN!AA294,HN!AG294,HN!AM294))=7)*(CHOOSE({1,2,3,4},HN!X294,HN!AD294,HN!AJ294,HN!AP294)))</f>
        <v>0</v>
      </c>
      <c r="H294">
        <f>SUMPRODUCT((MONTH(CHOOSE({1,2,3,4},HN!U294,HN!AA294,HN!AG294,HN!AM294))=8)*(CHOOSE({1,2,3,4},HN!X294,HN!AD294,HN!AJ294,HN!AP294)))</f>
        <v>0</v>
      </c>
      <c r="I294">
        <f>SUMPRODUCT((MONTH(CHOOSE({1,2,3,4},HN!U294,HN!AA294,HN!AG294,HN!AM294))=9)*(CHOOSE({1,2,3,4},HN!X294,HN!AD294,HN!AJ294,HN!AP294)))</f>
        <v>0</v>
      </c>
      <c r="J294">
        <f>SUMPRODUCT((MONTH(CHOOSE({1,2,3,4},HN!U294,HN!AA294,HN!AG294,HN!AM294))=10)*(CHOOSE({1,2,3,4},HN!X294,HN!AD294,HN!AJ294,HN!AP294)))</f>
        <v>0</v>
      </c>
      <c r="K294">
        <f>SUMPRODUCT((MONTH(CHOOSE({1,2,3,4},HN!U294,HN!AA294,HN!AG294,HN!AM294))=11)*(CHOOSE({1,2,3,4},HN!X294,HN!AD294,HN!AJ294,HN!AP294)))</f>
        <v>0</v>
      </c>
      <c r="L294">
        <f>SUMPRODUCT((MONTH(CHOOSE({1,2,3,4},HN!U294,HN!AA294,HN!AG294,HN!AM294))=12)*(CHOOSE({1,2,3,4},HN!X294,HN!AD294,HN!AJ294,HN!AP294)))</f>
        <v>0</v>
      </c>
    </row>
    <row r="295" spans="1:12">
      <c r="A295">
        <f>SUMPRODUCT((MONTH(CHOOSE({1,2,3,4},HN!U295,HN!AA295,HN!AG295,HN!AM295))=1)*(CHOOSE({1,2,3,4},HN!X295,HN!AD295,HN!AJ295,HN!AP295)))</f>
        <v>0</v>
      </c>
      <c r="B295">
        <f>SUMPRODUCT((MONTH(CHOOSE({1,2,3,4},HN!U295,HN!AA295,HN!AG295,HN!AM295))=2)*(CHOOSE({1,2,3,4},HN!X295,HN!AD295,HN!AJ295,HN!AP295)))</f>
        <v>0</v>
      </c>
      <c r="C295">
        <f>SUMPRODUCT((MONTH(CHOOSE({1,2,3,4},HN!U295,HN!AA295,HN!AG295,HN!AM295))=3)*(CHOOSE({1,2,3,4},HN!X295,HN!AD295,HN!AJ295,HN!AP295)))</f>
        <v>0</v>
      </c>
      <c r="D295">
        <f>SUMPRODUCT((MONTH(CHOOSE({1,2,3,4},HN!U295,HN!AA295,HN!AG295,HN!AM295))=4)*(CHOOSE({1,2,3,4},HN!X295,HN!AD295,HN!AJ295,HN!AP295)))</f>
        <v>0</v>
      </c>
      <c r="E295">
        <f>SUMPRODUCT((MONTH(CHOOSE({1,2,3,4},HN!U295,HN!AA295,HN!AG295,HN!AM295))=5)*(CHOOSE({1,2,3,4},HN!X295,HN!AD295,HN!AJ295,HN!AP295)))</f>
        <v>0</v>
      </c>
      <c r="F295">
        <f>SUMPRODUCT((MONTH(CHOOSE({1,2,3,4},HN!U295,HN!AA295,HN!AG295,HN!AM295))=6)*(CHOOSE({1,2,3,4},HN!X295,HN!AD295,HN!AJ295,HN!AP295)))</f>
        <v>0</v>
      </c>
      <c r="G295">
        <f>SUMPRODUCT((MONTH(CHOOSE({1,2,3,4},HN!U295,HN!AA295,HN!AG295,HN!AM295))=7)*(CHOOSE({1,2,3,4},HN!X295,HN!AD295,HN!AJ295,HN!AP295)))</f>
        <v>0</v>
      </c>
      <c r="H295">
        <f>SUMPRODUCT((MONTH(CHOOSE({1,2,3,4},HN!U295,HN!AA295,HN!AG295,HN!AM295))=8)*(CHOOSE({1,2,3,4},HN!X295,HN!AD295,HN!AJ295,HN!AP295)))</f>
        <v>0</v>
      </c>
      <c r="I295">
        <f>SUMPRODUCT((MONTH(CHOOSE({1,2,3,4},HN!U295,HN!AA295,HN!AG295,HN!AM295))=9)*(CHOOSE({1,2,3,4},HN!X295,HN!AD295,HN!AJ295,HN!AP295)))</f>
        <v>0</v>
      </c>
      <c r="J295">
        <f>SUMPRODUCT((MONTH(CHOOSE({1,2,3,4},HN!U295,HN!AA295,HN!AG295,HN!AM295))=10)*(CHOOSE({1,2,3,4},HN!X295,HN!AD295,HN!AJ295,HN!AP295)))</f>
        <v>0</v>
      </c>
      <c r="K295">
        <f>SUMPRODUCT((MONTH(CHOOSE({1,2,3,4},HN!U295,HN!AA295,HN!AG295,HN!AM295))=11)*(CHOOSE({1,2,3,4},HN!X295,HN!AD295,HN!AJ295,HN!AP295)))</f>
        <v>0</v>
      </c>
      <c r="L295">
        <f>SUMPRODUCT((MONTH(CHOOSE({1,2,3,4},HN!U295,HN!AA295,HN!AG295,HN!AM295))=12)*(CHOOSE({1,2,3,4},HN!X295,HN!AD295,HN!AJ295,HN!AP295)))</f>
        <v>0</v>
      </c>
    </row>
    <row r="296" spans="1:12">
      <c r="A296">
        <f>SUMPRODUCT((MONTH(CHOOSE({1,2,3,4},HN!U296,HN!AA296,HN!AG296,HN!AM296))=1)*(CHOOSE({1,2,3,4},HN!X296,HN!AD296,HN!AJ296,HN!AP296)))</f>
        <v>0</v>
      </c>
      <c r="B296">
        <f>SUMPRODUCT((MONTH(CHOOSE({1,2,3,4},HN!U296,HN!AA296,HN!AG296,HN!AM296))=2)*(CHOOSE({1,2,3,4},HN!X296,HN!AD296,HN!AJ296,HN!AP296)))</f>
        <v>0</v>
      </c>
      <c r="C296">
        <f>SUMPRODUCT((MONTH(CHOOSE({1,2,3,4},HN!U296,HN!AA296,HN!AG296,HN!AM296))=3)*(CHOOSE({1,2,3,4},HN!X296,HN!AD296,HN!AJ296,HN!AP296)))</f>
        <v>0</v>
      </c>
      <c r="D296">
        <f>SUMPRODUCT((MONTH(CHOOSE({1,2,3,4},HN!U296,HN!AA296,HN!AG296,HN!AM296))=4)*(CHOOSE({1,2,3,4},HN!X296,HN!AD296,HN!AJ296,HN!AP296)))</f>
        <v>0</v>
      </c>
      <c r="E296">
        <f>SUMPRODUCT((MONTH(CHOOSE({1,2,3,4},HN!U296,HN!AA296,HN!AG296,HN!AM296))=5)*(CHOOSE({1,2,3,4},HN!X296,HN!AD296,HN!AJ296,HN!AP296)))</f>
        <v>0</v>
      </c>
      <c r="F296">
        <f>SUMPRODUCT((MONTH(CHOOSE({1,2,3,4},HN!U296,HN!AA296,HN!AG296,HN!AM296))=6)*(CHOOSE({1,2,3,4},HN!X296,HN!AD296,HN!AJ296,HN!AP296)))</f>
        <v>0</v>
      </c>
      <c r="G296">
        <f>SUMPRODUCT((MONTH(CHOOSE({1,2,3,4},HN!U296,HN!AA296,HN!AG296,HN!AM296))=7)*(CHOOSE({1,2,3,4},HN!X296,HN!AD296,HN!AJ296,HN!AP296)))</f>
        <v>0</v>
      </c>
      <c r="H296">
        <f>SUMPRODUCT((MONTH(CHOOSE({1,2,3,4},HN!U296,HN!AA296,HN!AG296,HN!AM296))=8)*(CHOOSE({1,2,3,4},HN!X296,HN!AD296,HN!AJ296,HN!AP296)))</f>
        <v>0</v>
      </c>
      <c r="I296">
        <f>SUMPRODUCT((MONTH(CHOOSE({1,2,3,4},HN!U296,HN!AA296,HN!AG296,HN!AM296))=9)*(CHOOSE({1,2,3,4},HN!X296,HN!AD296,HN!AJ296,HN!AP296)))</f>
        <v>0</v>
      </c>
      <c r="J296">
        <f>SUMPRODUCT((MONTH(CHOOSE({1,2,3,4},HN!U296,HN!AA296,HN!AG296,HN!AM296))=10)*(CHOOSE({1,2,3,4},HN!X296,HN!AD296,HN!AJ296,HN!AP296)))</f>
        <v>0</v>
      </c>
      <c r="K296">
        <f>SUMPRODUCT((MONTH(CHOOSE({1,2,3,4},HN!U296,HN!AA296,HN!AG296,HN!AM296))=11)*(CHOOSE({1,2,3,4},HN!X296,HN!AD296,HN!AJ296,HN!AP296)))</f>
        <v>0</v>
      </c>
      <c r="L296">
        <f>SUMPRODUCT((MONTH(CHOOSE({1,2,3,4},HN!U296,HN!AA296,HN!AG296,HN!AM296))=12)*(CHOOSE({1,2,3,4},HN!X296,HN!AD296,HN!AJ296,HN!AP296)))</f>
        <v>0</v>
      </c>
    </row>
    <row r="297" spans="1:12">
      <c r="A297">
        <f>SUMPRODUCT((MONTH(CHOOSE({1,2,3,4},HN!U297,HN!AA297,HN!AG297,HN!AM297))=1)*(CHOOSE({1,2,3,4},HN!X297,HN!AD297,HN!AJ297,HN!AP297)))</f>
        <v>0</v>
      </c>
      <c r="B297">
        <f>SUMPRODUCT((MONTH(CHOOSE({1,2,3,4},HN!U297,HN!AA297,HN!AG297,HN!AM297))=2)*(CHOOSE({1,2,3,4},HN!X297,HN!AD297,HN!AJ297,HN!AP297)))</f>
        <v>0</v>
      </c>
      <c r="C297">
        <f>SUMPRODUCT((MONTH(CHOOSE({1,2,3,4},HN!U297,HN!AA297,HN!AG297,HN!AM297))=3)*(CHOOSE({1,2,3,4},HN!X297,HN!AD297,HN!AJ297,HN!AP297)))</f>
        <v>0</v>
      </c>
      <c r="D297">
        <f>SUMPRODUCT((MONTH(CHOOSE({1,2,3,4},HN!U297,HN!AA297,HN!AG297,HN!AM297))=4)*(CHOOSE({1,2,3,4},HN!X297,HN!AD297,HN!AJ297,HN!AP297)))</f>
        <v>0</v>
      </c>
      <c r="E297">
        <f>SUMPRODUCT((MONTH(CHOOSE({1,2,3,4},HN!U297,HN!AA297,HN!AG297,HN!AM297))=5)*(CHOOSE({1,2,3,4},HN!X297,HN!AD297,HN!AJ297,HN!AP297)))</f>
        <v>0</v>
      </c>
      <c r="F297">
        <f>SUMPRODUCT((MONTH(CHOOSE({1,2,3,4},HN!U297,HN!AA297,HN!AG297,HN!AM297))=6)*(CHOOSE({1,2,3,4},HN!X297,HN!AD297,HN!AJ297,HN!AP297)))</f>
        <v>0</v>
      </c>
      <c r="G297">
        <f>SUMPRODUCT((MONTH(CHOOSE({1,2,3,4},HN!U297,HN!AA297,HN!AG297,HN!AM297))=7)*(CHOOSE({1,2,3,4},HN!X297,HN!AD297,HN!AJ297,HN!AP297)))</f>
        <v>0</v>
      </c>
      <c r="H297">
        <f>SUMPRODUCT((MONTH(CHOOSE({1,2,3,4},HN!U297,HN!AA297,HN!AG297,HN!AM297))=8)*(CHOOSE({1,2,3,4},HN!X297,HN!AD297,HN!AJ297,HN!AP297)))</f>
        <v>0</v>
      </c>
      <c r="I297">
        <f>SUMPRODUCT((MONTH(CHOOSE({1,2,3,4},HN!U297,HN!AA297,HN!AG297,HN!AM297))=9)*(CHOOSE({1,2,3,4},HN!X297,HN!AD297,HN!AJ297,HN!AP297)))</f>
        <v>0</v>
      </c>
      <c r="J297">
        <f>SUMPRODUCT((MONTH(CHOOSE({1,2,3,4},HN!U297,HN!AA297,HN!AG297,HN!AM297))=10)*(CHOOSE({1,2,3,4},HN!X297,HN!AD297,HN!AJ297,HN!AP297)))</f>
        <v>0</v>
      </c>
      <c r="K297">
        <f>SUMPRODUCT((MONTH(CHOOSE({1,2,3,4},HN!U297,HN!AA297,HN!AG297,HN!AM297))=11)*(CHOOSE({1,2,3,4},HN!X297,HN!AD297,HN!AJ297,HN!AP297)))</f>
        <v>0</v>
      </c>
      <c r="L297">
        <f>SUMPRODUCT((MONTH(CHOOSE({1,2,3,4},HN!U297,HN!AA297,HN!AG297,HN!AM297))=12)*(CHOOSE({1,2,3,4},HN!X297,HN!AD297,HN!AJ297,HN!AP297)))</f>
        <v>0</v>
      </c>
    </row>
    <row r="298" spans="1:12">
      <c r="A298">
        <f>SUMPRODUCT((MONTH(CHOOSE({1,2,3,4},HN!U298,HN!AA298,HN!AG298,HN!AM298))=1)*(CHOOSE({1,2,3,4},HN!X298,HN!AD298,HN!AJ298,HN!AP298)))</f>
        <v>0</v>
      </c>
      <c r="B298">
        <f>SUMPRODUCT((MONTH(CHOOSE({1,2,3,4},HN!U298,HN!AA298,HN!AG298,HN!AM298))=2)*(CHOOSE({1,2,3,4},HN!X298,HN!AD298,HN!AJ298,HN!AP298)))</f>
        <v>0</v>
      </c>
      <c r="C298">
        <f>SUMPRODUCT((MONTH(CHOOSE({1,2,3,4},HN!U298,HN!AA298,HN!AG298,HN!AM298))=3)*(CHOOSE({1,2,3,4},HN!X298,HN!AD298,HN!AJ298,HN!AP298)))</f>
        <v>0</v>
      </c>
      <c r="D298">
        <f>SUMPRODUCT((MONTH(CHOOSE({1,2,3,4},HN!U298,HN!AA298,HN!AG298,HN!AM298))=4)*(CHOOSE({1,2,3,4},HN!X298,HN!AD298,HN!AJ298,HN!AP298)))</f>
        <v>0</v>
      </c>
      <c r="E298">
        <f>SUMPRODUCT((MONTH(CHOOSE({1,2,3,4},HN!U298,HN!AA298,HN!AG298,HN!AM298))=5)*(CHOOSE({1,2,3,4},HN!X298,HN!AD298,HN!AJ298,HN!AP298)))</f>
        <v>0</v>
      </c>
      <c r="F298">
        <f>SUMPRODUCT((MONTH(CHOOSE({1,2,3,4},HN!U298,HN!AA298,HN!AG298,HN!AM298))=6)*(CHOOSE({1,2,3,4},HN!X298,HN!AD298,HN!AJ298,HN!AP298)))</f>
        <v>0</v>
      </c>
      <c r="G298">
        <f>SUMPRODUCT((MONTH(CHOOSE({1,2,3,4},HN!U298,HN!AA298,HN!AG298,HN!AM298))=7)*(CHOOSE({1,2,3,4},HN!X298,HN!AD298,HN!AJ298,HN!AP298)))</f>
        <v>0</v>
      </c>
      <c r="H298">
        <f>SUMPRODUCT((MONTH(CHOOSE({1,2,3,4},HN!U298,HN!AA298,HN!AG298,HN!AM298))=8)*(CHOOSE({1,2,3,4},HN!X298,HN!AD298,HN!AJ298,HN!AP298)))</f>
        <v>0</v>
      </c>
      <c r="I298">
        <f>SUMPRODUCT((MONTH(CHOOSE({1,2,3,4},HN!U298,HN!AA298,HN!AG298,HN!AM298))=9)*(CHOOSE({1,2,3,4},HN!X298,HN!AD298,HN!AJ298,HN!AP298)))</f>
        <v>0</v>
      </c>
      <c r="J298">
        <f>SUMPRODUCT((MONTH(CHOOSE({1,2,3,4},HN!U298,HN!AA298,HN!AG298,HN!AM298))=10)*(CHOOSE({1,2,3,4},HN!X298,HN!AD298,HN!AJ298,HN!AP298)))</f>
        <v>0</v>
      </c>
      <c r="K298">
        <f>SUMPRODUCT((MONTH(CHOOSE({1,2,3,4},HN!U298,HN!AA298,HN!AG298,HN!AM298))=11)*(CHOOSE({1,2,3,4},HN!X298,HN!AD298,HN!AJ298,HN!AP298)))</f>
        <v>0</v>
      </c>
      <c r="L298">
        <f>SUMPRODUCT((MONTH(CHOOSE({1,2,3,4},HN!U298,HN!AA298,HN!AG298,HN!AM298))=12)*(CHOOSE({1,2,3,4},HN!X298,HN!AD298,HN!AJ298,HN!AP298)))</f>
        <v>0</v>
      </c>
    </row>
    <row r="299" spans="1:12">
      <c r="A299">
        <f>SUMPRODUCT((MONTH(CHOOSE({1,2,3,4},HN!U299,HN!AA299,HN!AG299,HN!AM299))=1)*(CHOOSE({1,2,3,4},HN!X299,HN!AD299,HN!AJ299,HN!AP299)))</f>
        <v>0</v>
      </c>
      <c r="B299">
        <f>SUMPRODUCT((MONTH(CHOOSE({1,2,3,4},HN!U299,HN!AA299,HN!AG299,HN!AM299))=2)*(CHOOSE({1,2,3,4},HN!X299,HN!AD299,HN!AJ299,HN!AP299)))</f>
        <v>0</v>
      </c>
      <c r="C299">
        <f>SUMPRODUCT((MONTH(CHOOSE({1,2,3,4},HN!U299,HN!AA299,HN!AG299,HN!AM299))=3)*(CHOOSE({1,2,3,4},HN!X299,HN!AD299,HN!AJ299,HN!AP299)))</f>
        <v>0</v>
      </c>
      <c r="D299">
        <f>SUMPRODUCT((MONTH(CHOOSE({1,2,3,4},HN!U299,HN!AA299,HN!AG299,HN!AM299))=4)*(CHOOSE({1,2,3,4},HN!X299,HN!AD299,HN!AJ299,HN!AP299)))</f>
        <v>0</v>
      </c>
      <c r="E299">
        <f>SUMPRODUCT((MONTH(CHOOSE({1,2,3,4},HN!U299,HN!AA299,HN!AG299,HN!AM299))=5)*(CHOOSE({1,2,3,4},HN!X299,HN!AD299,HN!AJ299,HN!AP299)))</f>
        <v>0</v>
      </c>
      <c r="F299">
        <f>SUMPRODUCT((MONTH(CHOOSE({1,2,3,4},HN!U299,HN!AA299,HN!AG299,HN!AM299))=6)*(CHOOSE({1,2,3,4},HN!X299,HN!AD299,HN!AJ299,HN!AP299)))</f>
        <v>0</v>
      </c>
      <c r="G299">
        <f>SUMPRODUCT((MONTH(CHOOSE({1,2,3,4},HN!U299,HN!AA299,HN!AG299,HN!AM299))=7)*(CHOOSE({1,2,3,4},HN!X299,HN!AD299,HN!AJ299,HN!AP299)))</f>
        <v>0</v>
      </c>
      <c r="H299">
        <f>SUMPRODUCT((MONTH(CHOOSE({1,2,3,4},HN!U299,HN!AA299,HN!AG299,HN!AM299))=8)*(CHOOSE({1,2,3,4},HN!X299,HN!AD299,HN!AJ299,HN!AP299)))</f>
        <v>0</v>
      </c>
      <c r="I299">
        <f>SUMPRODUCT((MONTH(CHOOSE({1,2,3,4},HN!U299,HN!AA299,HN!AG299,HN!AM299))=9)*(CHOOSE({1,2,3,4},HN!X299,HN!AD299,HN!AJ299,HN!AP299)))</f>
        <v>0</v>
      </c>
      <c r="J299">
        <f>SUMPRODUCT((MONTH(CHOOSE({1,2,3,4},HN!U299,HN!AA299,HN!AG299,HN!AM299))=10)*(CHOOSE({1,2,3,4},HN!X299,HN!AD299,HN!AJ299,HN!AP299)))</f>
        <v>0</v>
      </c>
      <c r="K299">
        <f>SUMPRODUCT((MONTH(CHOOSE({1,2,3,4},HN!U299,HN!AA299,HN!AG299,HN!AM299))=11)*(CHOOSE({1,2,3,4},HN!X299,HN!AD299,HN!AJ299,HN!AP299)))</f>
        <v>0</v>
      </c>
      <c r="L299">
        <f>SUMPRODUCT((MONTH(CHOOSE({1,2,3,4},HN!U299,HN!AA299,HN!AG299,HN!AM299))=12)*(CHOOSE({1,2,3,4},HN!X299,HN!AD299,HN!AJ299,HN!AP299)))</f>
        <v>0</v>
      </c>
    </row>
    <row r="300" spans="1:12">
      <c r="A300">
        <f>SUMPRODUCT((MONTH(CHOOSE({1,2,3,4},HN!U300,HN!AA300,HN!AG300,HN!AM300))=1)*(CHOOSE({1,2,3,4},HN!X300,HN!AD300,HN!AJ300,HN!AP300)))</f>
        <v>0</v>
      </c>
      <c r="B300">
        <f>SUMPRODUCT((MONTH(CHOOSE({1,2,3,4},HN!U300,HN!AA300,HN!AG300,HN!AM300))=2)*(CHOOSE({1,2,3,4},HN!X300,HN!AD300,HN!AJ300,HN!AP300)))</f>
        <v>0</v>
      </c>
      <c r="C300">
        <f>SUMPRODUCT((MONTH(CHOOSE({1,2,3,4},HN!U300,HN!AA300,HN!AG300,HN!AM300))=3)*(CHOOSE({1,2,3,4},HN!X300,HN!AD300,HN!AJ300,HN!AP300)))</f>
        <v>0</v>
      </c>
      <c r="D300">
        <f>SUMPRODUCT((MONTH(CHOOSE({1,2,3,4},HN!U300,HN!AA300,HN!AG300,HN!AM300))=4)*(CHOOSE({1,2,3,4},HN!X300,HN!AD300,HN!AJ300,HN!AP300)))</f>
        <v>0</v>
      </c>
      <c r="E300">
        <f>SUMPRODUCT((MONTH(CHOOSE({1,2,3,4},HN!U300,HN!AA300,HN!AG300,HN!AM300))=5)*(CHOOSE({1,2,3,4},HN!X300,HN!AD300,HN!AJ300,HN!AP300)))</f>
        <v>0</v>
      </c>
      <c r="F300">
        <f>SUMPRODUCT((MONTH(CHOOSE({1,2,3,4},HN!U300,HN!AA300,HN!AG300,HN!AM300))=6)*(CHOOSE({1,2,3,4},HN!X300,HN!AD300,HN!AJ300,HN!AP300)))</f>
        <v>0</v>
      </c>
      <c r="G300">
        <f>SUMPRODUCT((MONTH(CHOOSE({1,2,3,4},HN!U300,HN!AA300,HN!AG300,HN!AM300))=7)*(CHOOSE({1,2,3,4},HN!X300,HN!AD300,HN!AJ300,HN!AP300)))</f>
        <v>0</v>
      </c>
      <c r="H300">
        <f>SUMPRODUCT((MONTH(CHOOSE({1,2,3,4},HN!U300,HN!AA300,HN!AG300,HN!AM300))=8)*(CHOOSE({1,2,3,4},HN!X300,HN!AD300,HN!AJ300,HN!AP300)))</f>
        <v>0</v>
      </c>
      <c r="I300">
        <f>SUMPRODUCT((MONTH(CHOOSE({1,2,3,4},HN!U300,HN!AA300,HN!AG300,HN!AM300))=9)*(CHOOSE({1,2,3,4},HN!X300,HN!AD300,HN!AJ300,HN!AP300)))</f>
        <v>0</v>
      </c>
      <c r="J300">
        <f>SUMPRODUCT((MONTH(CHOOSE({1,2,3,4},HN!U300,HN!AA300,HN!AG300,HN!AM300))=10)*(CHOOSE({1,2,3,4},HN!X300,HN!AD300,HN!AJ300,HN!AP300)))</f>
        <v>0</v>
      </c>
      <c r="K300">
        <f>SUMPRODUCT((MONTH(CHOOSE({1,2,3,4},HN!U300,HN!AA300,HN!AG300,HN!AM300))=11)*(CHOOSE({1,2,3,4},HN!X300,HN!AD300,HN!AJ300,HN!AP300)))</f>
        <v>0</v>
      </c>
      <c r="L300">
        <f>SUMPRODUCT((MONTH(CHOOSE({1,2,3,4},HN!U300,HN!AA300,HN!AG300,HN!AM300))=12)*(CHOOSE({1,2,3,4},HN!X300,HN!AD300,HN!AJ300,HN!AP300)))</f>
        <v>0</v>
      </c>
    </row>
    <row r="301" spans="1:12">
      <c r="A301">
        <f>SUMPRODUCT((MONTH(CHOOSE({1,2,3,4},HN!U301,HN!AA301,HN!AG301,HN!AM301))=1)*(CHOOSE({1,2,3,4},HN!X301,HN!AD301,HN!AJ301,HN!AP301)))</f>
        <v>0</v>
      </c>
      <c r="B301">
        <f>SUMPRODUCT((MONTH(CHOOSE({1,2,3,4},HN!U301,HN!AA301,HN!AG301,HN!AM301))=2)*(CHOOSE({1,2,3,4},HN!X301,HN!AD301,HN!AJ301,HN!AP301)))</f>
        <v>0</v>
      </c>
      <c r="C301">
        <f>SUMPRODUCT((MONTH(CHOOSE({1,2,3,4},HN!U301,HN!AA301,HN!AG301,HN!AM301))=3)*(CHOOSE({1,2,3,4},HN!X301,HN!AD301,HN!AJ301,HN!AP301)))</f>
        <v>0</v>
      </c>
      <c r="D301">
        <f>SUMPRODUCT((MONTH(CHOOSE({1,2,3,4},HN!U301,HN!AA301,HN!AG301,HN!AM301))=4)*(CHOOSE({1,2,3,4},HN!X301,HN!AD301,HN!AJ301,HN!AP301)))</f>
        <v>0</v>
      </c>
      <c r="E301">
        <f>SUMPRODUCT((MONTH(CHOOSE({1,2,3,4},HN!U301,HN!AA301,HN!AG301,HN!AM301))=5)*(CHOOSE({1,2,3,4},HN!X301,HN!AD301,HN!AJ301,HN!AP301)))</f>
        <v>0</v>
      </c>
      <c r="F301">
        <f>SUMPRODUCT((MONTH(CHOOSE({1,2,3,4},HN!U301,HN!AA301,HN!AG301,HN!AM301))=6)*(CHOOSE({1,2,3,4},HN!X301,HN!AD301,HN!AJ301,HN!AP301)))</f>
        <v>0</v>
      </c>
      <c r="G301">
        <f>SUMPRODUCT((MONTH(CHOOSE({1,2,3,4},HN!U301,HN!AA301,HN!AG301,HN!AM301))=7)*(CHOOSE({1,2,3,4},HN!X301,HN!AD301,HN!AJ301,HN!AP301)))</f>
        <v>0</v>
      </c>
      <c r="H301">
        <f>SUMPRODUCT((MONTH(CHOOSE({1,2,3,4},HN!U301,HN!AA301,HN!AG301,HN!AM301))=8)*(CHOOSE({1,2,3,4},HN!X301,HN!AD301,HN!AJ301,HN!AP301)))</f>
        <v>0</v>
      </c>
      <c r="I301">
        <f>SUMPRODUCT((MONTH(CHOOSE({1,2,3,4},HN!U301,HN!AA301,HN!AG301,HN!AM301))=9)*(CHOOSE({1,2,3,4},HN!X301,HN!AD301,HN!AJ301,HN!AP301)))</f>
        <v>0</v>
      </c>
      <c r="J301">
        <f>SUMPRODUCT((MONTH(CHOOSE({1,2,3,4},HN!U301,HN!AA301,HN!AG301,HN!AM301))=10)*(CHOOSE({1,2,3,4},HN!X301,HN!AD301,HN!AJ301,HN!AP301)))</f>
        <v>0</v>
      </c>
      <c r="K301">
        <f>SUMPRODUCT((MONTH(CHOOSE({1,2,3,4},HN!U301,HN!AA301,HN!AG301,HN!AM301))=11)*(CHOOSE({1,2,3,4},HN!X301,HN!AD301,HN!AJ301,HN!AP301)))</f>
        <v>0</v>
      </c>
      <c r="L301">
        <f>SUMPRODUCT((MONTH(CHOOSE({1,2,3,4},HN!U301,HN!AA301,HN!AG301,HN!AM301))=12)*(CHOOSE({1,2,3,4},HN!X301,HN!AD301,HN!AJ301,HN!AP301)))</f>
        <v>0</v>
      </c>
    </row>
    <row r="302" spans="1:12">
      <c r="A302">
        <f>SUMPRODUCT((MONTH(CHOOSE({1,2,3,4},HN!U302,HN!AA302,HN!AG302,HN!AM302))=1)*(CHOOSE({1,2,3,4},HN!X302,HN!AD302,HN!AJ302,HN!AP302)))</f>
        <v>0</v>
      </c>
      <c r="B302">
        <f>SUMPRODUCT((MONTH(CHOOSE({1,2,3,4},HN!U302,HN!AA302,HN!AG302,HN!AM302))=2)*(CHOOSE({1,2,3,4},HN!X302,HN!AD302,HN!AJ302,HN!AP302)))</f>
        <v>0</v>
      </c>
      <c r="C302">
        <f>SUMPRODUCT((MONTH(CHOOSE({1,2,3,4},HN!U302,HN!AA302,HN!AG302,HN!AM302))=3)*(CHOOSE({1,2,3,4},HN!X302,HN!AD302,HN!AJ302,HN!AP302)))</f>
        <v>0</v>
      </c>
      <c r="D302">
        <f>SUMPRODUCT((MONTH(CHOOSE({1,2,3,4},HN!U302,HN!AA302,HN!AG302,HN!AM302))=4)*(CHOOSE({1,2,3,4},HN!X302,HN!AD302,HN!AJ302,HN!AP302)))</f>
        <v>0</v>
      </c>
      <c r="E302">
        <f>SUMPRODUCT((MONTH(CHOOSE({1,2,3,4},HN!U302,HN!AA302,HN!AG302,HN!AM302))=5)*(CHOOSE({1,2,3,4},HN!X302,HN!AD302,HN!AJ302,HN!AP302)))</f>
        <v>0</v>
      </c>
      <c r="F302">
        <f>SUMPRODUCT((MONTH(CHOOSE({1,2,3,4},HN!U302,HN!AA302,HN!AG302,HN!AM302))=6)*(CHOOSE({1,2,3,4},HN!X302,HN!AD302,HN!AJ302,HN!AP302)))</f>
        <v>0</v>
      </c>
      <c r="G302">
        <f>SUMPRODUCT((MONTH(CHOOSE({1,2,3,4},HN!U302,HN!AA302,HN!AG302,HN!AM302))=7)*(CHOOSE({1,2,3,4},HN!X302,HN!AD302,HN!AJ302,HN!AP302)))</f>
        <v>0</v>
      </c>
      <c r="H302">
        <f>SUMPRODUCT((MONTH(CHOOSE({1,2,3,4},HN!U302,HN!AA302,HN!AG302,HN!AM302))=8)*(CHOOSE({1,2,3,4},HN!X302,HN!AD302,HN!AJ302,HN!AP302)))</f>
        <v>0</v>
      </c>
      <c r="I302">
        <f>SUMPRODUCT((MONTH(CHOOSE({1,2,3,4},HN!U302,HN!AA302,HN!AG302,HN!AM302))=9)*(CHOOSE({1,2,3,4},HN!X302,HN!AD302,HN!AJ302,HN!AP302)))</f>
        <v>0</v>
      </c>
      <c r="J302">
        <f>SUMPRODUCT((MONTH(CHOOSE({1,2,3,4},HN!U302,HN!AA302,HN!AG302,HN!AM302))=10)*(CHOOSE({1,2,3,4},HN!X302,HN!AD302,HN!AJ302,HN!AP302)))</f>
        <v>0</v>
      </c>
      <c r="K302">
        <f>SUMPRODUCT((MONTH(CHOOSE({1,2,3,4},HN!U302,HN!AA302,HN!AG302,HN!AM302))=11)*(CHOOSE({1,2,3,4},HN!X302,HN!AD302,HN!AJ302,HN!AP302)))</f>
        <v>0</v>
      </c>
      <c r="L302">
        <f>SUMPRODUCT((MONTH(CHOOSE({1,2,3,4},HN!U302,HN!AA302,HN!AG302,HN!AM302))=12)*(CHOOSE({1,2,3,4},HN!X302,HN!AD302,HN!AJ302,HN!AP302)))</f>
        <v>0</v>
      </c>
    </row>
    <row r="303" spans="1:12">
      <c r="A303">
        <f>SUMPRODUCT((MONTH(CHOOSE({1,2,3,4},HN!U303,HN!AA303,HN!AG303,HN!AM303))=1)*(CHOOSE({1,2,3,4},HN!X303,HN!AD303,HN!AJ303,HN!AP303)))</f>
        <v>0</v>
      </c>
      <c r="B303">
        <f>SUMPRODUCT((MONTH(CHOOSE({1,2,3,4},HN!U303,HN!AA303,HN!AG303,HN!AM303))=2)*(CHOOSE({1,2,3,4},HN!X303,HN!AD303,HN!AJ303,HN!AP303)))</f>
        <v>0</v>
      </c>
      <c r="C303">
        <f>SUMPRODUCT((MONTH(CHOOSE({1,2,3,4},HN!U303,HN!AA303,HN!AG303,HN!AM303))=3)*(CHOOSE({1,2,3,4},HN!X303,HN!AD303,HN!AJ303,HN!AP303)))</f>
        <v>0</v>
      </c>
      <c r="D303">
        <f>SUMPRODUCT((MONTH(CHOOSE({1,2,3,4},HN!U303,HN!AA303,HN!AG303,HN!AM303))=4)*(CHOOSE({1,2,3,4},HN!X303,HN!AD303,HN!AJ303,HN!AP303)))</f>
        <v>0</v>
      </c>
      <c r="E303">
        <f>SUMPRODUCT((MONTH(CHOOSE({1,2,3,4},HN!U303,HN!AA303,HN!AG303,HN!AM303))=5)*(CHOOSE({1,2,3,4},HN!X303,HN!AD303,HN!AJ303,HN!AP303)))</f>
        <v>0</v>
      </c>
      <c r="F303">
        <f>SUMPRODUCT((MONTH(CHOOSE({1,2,3,4},HN!U303,HN!AA303,HN!AG303,HN!AM303))=6)*(CHOOSE({1,2,3,4},HN!X303,HN!AD303,HN!AJ303,HN!AP303)))</f>
        <v>0</v>
      </c>
      <c r="G303">
        <f>SUMPRODUCT((MONTH(CHOOSE({1,2,3,4},HN!U303,HN!AA303,HN!AG303,HN!AM303))=7)*(CHOOSE({1,2,3,4},HN!X303,HN!AD303,HN!AJ303,HN!AP303)))</f>
        <v>0</v>
      </c>
      <c r="H303">
        <f>SUMPRODUCT((MONTH(CHOOSE({1,2,3,4},HN!U303,HN!AA303,HN!AG303,HN!AM303))=8)*(CHOOSE({1,2,3,4},HN!X303,HN!AD303,HN!AJ303,HN!AP303)))</f>
        <v>0</v>
      </c>
      <c r="I303">
        <f>SUMPRODUCT((MONTH(CHOOSE({1,2,3,4},HN!U303,HN!AA303,HN!AG303,HN!AM303))=9)*(CHOOSE({1,2,3,4},HN!X303,HN!AD303,HN!AJ303,HN!AP303)))</f>
        <v>0</v>
      </c>
      <c r="J303">
        <f>SUMPRODUCT((MONTH(CHOOSE({1,2,3,4},HN!U303,HN!AA303,HN!AG303,HN!AM303))=10)*(CHOOSE({1,2,3,4},HN!X303,HN!AD303,HN!AJ303,HN!AP303)))</f>
        <v>0</v>
      </c>
      <c r="K303">
        <f>SUMPRODUCT((MONTH(CHOOSE({1,2,3,4},HN!U303,HN!AA303,HN!AG303,HN!AM303))=11)*(CHOOSE({1,2,3,4},HN!X303,HN!AD303,HN!AJ303,HN!AP303)))</f>
        <v>0</v>
      </c>
      <c r="L303">
        <f>SUMPRODUCT((MONTH(CHOOSE({1,2,3,4},HN!U303,HN!AA303,HN!AG303,HN!AM303))=12)*(CHOOSE({1,2,3,4},HN!X303,HN!AD303,HN!AJ303,HN!AP303)))</f>
        <v>0</v>
      </c>
    </row>
    <row r="304" spans="1:12">
      <c r="A304">
        <f>SUMPRODUCT((MONTH(CHOOSE({1,2,3,4},HN!U304,HN!AA304,HN!AG304,HN!AM304))=1)*(CHOOSE({1,2,3,4},HN!X304,HN!AD304,HN!AJ304,HN!AP304)))</f>
        <v>0</v>
      </c>
      <c r="B304">
        <f>SUMPRODUCT((MONTH(CHOOSE({1,2,3,4},HN!U304,HN!AA304,HN!AG304,HN!AM304))=2)*(CHOOSE({1,2,3,4},HN!X304,HN!AD304,HN!AJ304,HN!AP304)))</f>
        <v>0</v>
      </c>
      <c r="C304">
        <f>SUMPRODUCT((MONTH(CHOOSE({1,2,3,4},HN!U304,HN!AA304,HN!AG304,HN!AM304))=3)*(CHOOSE({1,2,3,4},HN!X304,HN!AD304,HN!AJ304,HN!AP304)))</f>
        <v>0</v>
      </c>
      <c r="D304">
        <f>SUMPRODUCT((MONTH(CHOOSE({1,2,3,4},HN!U304,HN!AA304,HN!AG304,HN!AM304))=4)*(CHOOSE({1,2,3,4},HN!X304,HN!AD304,HN!AJ304,HN!AP304)))</f>
        <v>0</v>
      </c>
      <c r="E304">
        <f>SUMPRODUCT((MONTH(CHOOSE({1,2,3,4},HN!U304,HN!AA304,HN!AG304,HN!AM304))=5)*(CHOOSE({1,2,3,4},HN!X304,HN!AD304,HN!AJ304,HN!AP304)))</f>
        <v>0</v>
      </c>
      <c r="F304">
        <f>SUMPRODUCT((MONTH(CHOOSE({1,2,3,4},HN!U304,HN!AA304,HN!AG304,HN!AM304))=6)*(CHOOSE({1,2,3,4},HN!X304,HN!AD304,HN!AJ304,HN!AP304)))</f>
        <v>0</v>
      </c>
      <c r="G304">
        <f>SUMPRODUCT((MONTH(CHOOSE({1,2,3,4},HN!U304,HN!AA304,HN!AG304,HN!AM304))=7)*(CHOOSE({1,2,3,4},HN!X304,HN!AD304,HN!AJ304,HN!AP304)))</f>
        <v>0</v>
      </c>
      <c r="H304">
        <f>SUMPRODUCT((MONTH(CHOOSE({1,2,3,4},HN!U304,HN!AA304,HN!AG304,HN!AM304))=8)*(CHOOSE({1,2,3,4},HN!X304,HN!AD304,HN!AJ304,HN!AP304)))</f>
        <v>0</v>
      </c>
      <c r="I304">
        <f>SUMPRODUCT((MONTH(CHOOSE({1,2,3,4},HN!U304,HN!AA304,HN!AG304,HN!AM304))=9)*(CHOOSE({1,2,3,4},HN!X304,HN!AD304,HN!AJ304,HN!AP304)))</f>
        <v>0</v>
      </c>
      <c r="J304">
        <f>SUMPRODUCT((MONTH(CHOOSE({1,2,3,4},HN!U304,HN!AA304,HN!AG304,HN!AM304))=10)*(CHOOSE({1,2,3,4},HN!X304,HN!AD304,HN!AJ304,HN!AP304)))</f>
        <v>0</v>
      </c>
      <c r="K304">
        <f>SUMPRODUCT((MONTH(CHOOSE({1,2,3,4},HN!U304,HN!AA304,HN!AG304,HN!AM304))=11)*(CHOOSE({1,2,3,4},HN!X304,HN!AD304,HN!AJ304,HN!AP304)))</f>
        <v>0</v>
      </c>
      <c r="L304">
        <f>SUMPRODUCT((MONTH(CHOOSE({1,2,3,4},HN!U304,HN!AA304,HN!AG304,HN!AM304))=12)*(CHOOSE({1,2,3,4},HN!X304,HN!AD304,HN!AJ304,HN!AP304)))</f>
        <v>0</v>
      </c>
    </row>
    <row r="305" spans="1:12">
      <c r="A305">
        <f>SUMPRODUCT((MONTH(CHOOSE({1,2,3,4},HN!U305,HN!AA305,HN!AG305,HN!AM305))=1)*(CHOOSE({1,2,3,4},HN!X305,HN!AD305,HN!AJ305,HN!AP305)))</f>
        <v>0</v>
      </c>
      <c r="B305">
        <f>SUMPRODUCT((MONTH(CHOOSE({1,2,3,4},HN!U305,HN!AA305,HN!AG305,HN!AM305))=2)*(CHOOSE({1,2,3,4},HN!X305,HN!AD305,HN!AJ305,HN!AP305)))</f>
        <v>0</v>
      </c>
      <c r="C305">
        <f>SUMPRODUCT((MONTH(CHOOSE({1,2,3,4},HN!U305,HN!AA305,HN!AG305,HN!AM305))=3)*(CHOOSE({1,2,3,4},HN!X305,HN!AD305,HN!AJ305,HN!AP305)))</f>
        <v>0</v>
      </c>
      <c r="D305">
        <f>SUMPRODUCT((MONTH(CHOOSE({1,2,3,4},HN!U305,HN!AA305,HN!AG305,HN!AM305))=4)*(CHOOSE({1,2,3,4},HN!X305,HN!AD305,HN!AJ305,HN!AP305)))</f>
        <v>0</v>
      </c>
      <c r="E305">
        <f>SUMPRODUCT((MONTH(CHOOSE({1,2,3,4},HN!U305,HN!AA305,HN!AG305,HN!AM305))=5)*(CHOOSE({1,2,3,4},HN!X305,HN!AD305,HN!AJ305,HN!AP305)))</f>
        <v>0</v>
      </c>
      <c r="F305">
        <f>SUMPRODUCT((MONTH(CHOOSE({1,2,3,4},HN!U305,HN!AA305,HN!AG305,HN!AM305))=6)*(CHOOSE({1,2,3,4},HN!X305,HN!AD305,HN!AJ305,HN!AP305)))</f>
        <v>0</v>
      </c>
      <c r="G305">
        <f>SUMPRODUCT((MONTH(CHOOSE({1,2,3,4},HN!U305,HN!AA305,HN!AG305,HN!AM305))=7)*(CHOOSE({1,2,3,4},HN!X305,HN!AD305,HN!AJ305,HN!AP305)))</f>
        <v>0</v>
      </c>
      <c r="H305">
        <f>SUMPRODUCT((MONTH(CHOOSE({1,2,3,4},HN!U305,HN!AA305,HN!AG305,HN!AM305))=8)*(CHOOSE({1,2,3,4},HN!X305,HN!AD305,HN!AJ305,HN!AP305)))</f>
        <v>0</v>
      </c>
      <c r="I305">
        <f>SUMPRODUCT((MONTH(CHOOSE({1,2,3,4},HN!U305,HN!AA305,HN!AG305,HN!AM305))=9)*(CHOOSE({1,2,3,4},HN!X305,HN!AD305,HN!AJ305,HN!AP305)))</f>
        <v>0</v>
      </c>
      <c r="J305">
        <f>SUMPRODUCT((MONTH(CHOOSE({1,2,3,4},HN!U305,HN!AA305,HN!AG305,HN!AM305))=10)*(CHOOSE({1,2,3,4},HN!X305,HN!AD305,HN!AJ305,HN!AP305)))</f>
        <v>0</v>
      </c>
      <c r="K305">
        <f>SUMPRODUCT((MONTH(CHOOSE({1,2,3,4},HN!U305,HN!AA305,HN!AG305,HN!AM305))=11)*(CHOOSE({1,2,3,4},HN!X305,HN!AD305,HN!AJ305,HN!AP305)))</f>
        <v>0</v>
      </c>
      <c r="L305">
        <f>SUMPRODUCT((MONTH(CHOOSE({1,2,3,4},HN!U305,HN!AA305,HN!AG305,HN!AM305))=12)*(CHOOSE({1,2,3,4},HN!X305,HN!AD305,HN!AJ305,HN!AP305)))</f>
        <v>0</v>
      </c>
    </row>
    <row r="306" spans="1:12">
      <c r="A306">
        <f>SUMPRODUCT((MONTH(CHOOSE({1,2,3,4},HN!U306,HN!AA306,HN!AG306,HN!AM306))=1)*(CHOOSE({1,2,3,4},HN!X306,HN!AD306,HN!AJ306,HN!AP306)))</f>
        <v>0</v>
      </c>
      <c r="B306">
        <f>SUMPRODUCT((MONTH(CHOOSE({1,2,3,4},HN!U306,HN!AA306,HN!AG306,HN!AM306))=2)*(CHOOSE({1,2,3,4},HN!X306,HN!AD306,HN!AJ306,HN!AP306)))</f>
        <v>0</v>
      </c>
      <c r="C306">
        <f>SUMPRODUCT((MONTH(CHOOSE({1,2,3,4},HN!U306,HN!AA306,HN!AG306,HN!AM306))=3)*(CHOOSE({1,2,3,4},HN!X306,HN!AD306,HN!AJ306,HN!AP306)))</f>
        <v>0</v>
      </c>
      <c r="D306">
        <f>SUMPRODUCT((MONTH(CHOOSE({1,2,3,4},HN!U306,HN!AA306,HN!AG306,HN!AM306))=4)*(CHOOSE({1,2,3,4},HN!X306,HN!AD306,HN!AJ306,HN!AP306)))</f>
        <v>0</v>
      </c>
      <c r="E306">
        <f>SUMPRODUCT((MONTH(CHOOSE({1,2,3,4},HN!U306,HN!AA306,HN!AG306,HN!AM306))=5)*(CHOOSE({1,2,3,4},HN!X306,HN!AD306,HN!AJ306,HN!AP306)))</f>
        <v>0</v>
      </c>
      <c r="F306">
        <f>SUMPRODUCT((MONTH(CHOOSE({1,2,3,4},HN!U306,HN!AA306,HN!AG306,HN!AM306))=6)*(CHOOSE({1,2,3,4},HN!X306,HN!AD306,HN!AJ306,HN!AP306)))</f>
        <v>0</v>
      </c>
      <c r="G306">
        <f>SUMPRODUCT((MONTH(CHOOSE({1,2,3,4},HN!U306,HN!AA306,HN!AG306,HN!AM306))=7)*(CHOOSE({1,2,3,4},HN!X306,HN!AD306,HN!AJ306,HN!AP306)))</f>
        <v>0</v>
      </c>
      <c r="H306">
        <f>SUMPRODUCT((MONTH(CHOOSE({1,2,3,4},HN!U306,HN!AA306,HN!AG306,HN!AM306))=8)*(CHOOSE({1,2,3,4},HN!X306,HN!AD306,HN!AJ306,HN!AP306)))</f>
        <v>0</v>
      </c>
      <c r="I306">
        <f>SUMPRODUCT((MONTH(CHOOSE({1,2,3,4},HN!U306,HN!AA306,HN!AG306,HN!AM306))=9)*(CHOOSE({1,2,3,4},HN!X306,HN!AD306,HN!AJ306,HN!AP306)))</f>
        <v>0</v>
      </c>
      <c r="J306">
        <f>SUMPRODUCT((MONTH(CHOOSE({1,2,3,4},HN!U306,HN!AA306,HN!AG306,HN!AM306))=10)*(CHOOSE({1,2,3,4},HN!X306,HN!AD306,HN!AJ306,HN!AP306)))</f>
        <v>0</v>
      </c>
      <c r="K306">
        <f>SUMPRODUCT((MONTH(CHOOSE({1,2,3,4},HN!U306,HN!AA306,HN!AG306,HN!AM306))=11)*(CHOOSE({1,2,3,4},HN!X306,HN!AD306,HN!AJ306,HN!AP306)))</f>
        <v>0</v>
      </c>
      <c r="L306">
        <f>SUMPRODUCT((MONTH(CHOOSE({1,2,3,4},HN!U306,HN!AA306,HN!AG306,HN!AM306))=12)*(CHOOSE({1,2,3,4},HN!X306,HN!AD306,HN!AJ306,HN!AP306)))</f>
        <v>0</v>
      </c>
    </row>
    <row r="307" spans="1:12">
      <c r="A307">
        <f>SUMPRODUCT((MONTH(CHOOSE({1,2,3,4},HN!U307,HN!AA307,HN!AG307,HN!AM307))=1)*(CHOOSE({1,2,3,4},HN!X307,HN!AD307,HN!AJ307,HN!AP307)))</f>
        <v>0</v>
      </c>
      <c r="B307">
        <f>SUMPRODUCT((MONTH(CHOOSE({1,2,3,4},HN!U307,HN!AA307,HN!AG307,HN!AM307))=2)*(CHOOSE({1,2,3,4},HN!X307,HN!AD307,HN!AJ307,HN!AP307)))</f>
        <v>0</v>
      </c>
      <c r="C307">
        <f>SUMPRODUCT((MONTH(CHOOSE({1,2,3,4},HN!U307,HN!AA307,HN!AG307,HN!AM307))=3)*(CHOOSE({1,2,3,4},HN!X307,HN!AD307,HN!AJ307,HN!AP307)))</f>
        <v>0</v>
      </c>
      <c r="D307">
        <f>SUMPRODUCT((MONTH(CHOOSE({1,2,3,4},HN!U307,HN!AA307,HN!AG307,HN!AM307))=4)*(CHOOSE({1,2,3,4},HN!X307,HN!AD307,HN!AJ307,HN!AP307)))</f>
        <v>0</v>
      </c>
      <c r="E307">
        <f>SUMPRODUCT((MONTH(CHOOSE({1,2,3,4},HN!U307,HN!AA307,HN!AG307,HN!AM307))=5)*(CHOOSE({1,2,3,4},HN!X307,HN!AD307,HN!AJ307,HN!AP307)))</f>
        <v>0</v>
      </c>
      <c r="F307">
        <f>SUMPRODUCT((MONTH(CHOOSE({1,2,3,4},HN!U307,HN!AA307,HN!AG307,HN!AM307))=6)*(CHOOSE({1,2,3,4},HN!X307,HN!AD307,HN!AJ307,HN!AP307)))</f>
        <v>0</v>
      </c>
      <c r="G307">
        <f>SUMPRODUCT((MONTH(CHOOSE({1,2,3,4},HN!U307,HN!AA307,HN!AG307,HN!AM307))=7)*(CHOOSE({1,2,3,4},HN!X307,HN!AD307,HN!AJ307,HN!AP307)))</f>
        <v>0</v>
      </c>
      <c r="H307">
        <f>SUMPRODUCT((MONTH(CHOOSE({1,2,3,4},HN!U307,HN!AA307,HN!AG307,HN!AM307))=8)*(CHOOSE({1,2,3,4},HN!X307,HN!AD307,HN!AJ307,HN!AP307)))</f>
        <v>0</v>
      </c>
      <c r="I307">
        <f>SUMPRODUCT((MONTH(CHOOSE({1,2,3,4},HN!U307,HN!AA307,HN!AG307,HN!AM307))=9)*(CHOOSE({1,2,3,4},HN!X307,HN!AD307,HN!AJ307,HN!AP307)))</f>
        <v>0</v>
      </c>
      <c r="J307">
        <f>SUMPRODUCT((MONTH(CHOOSE({1,2,3,4},HN!U307,HN!AA307,HN!AG307,HN!AM307))=10)*(CHOOSE({1,2,3,4},HN!X307,HN!AD307,HN!AJ307,HN!AP307)))</f>
        <v>0</v>
      </c>
      <c r="K307">
        <f>SUMPRODUCT((MONTH(CHOOSE({1,2,3,4},HN!U307,HN!AA307,HN!AG307,HN!AM307))=11)*(CHOOSE({1,2,3,4},HN!X307,HN!AD307,HN!AJ307,HN!AP307)))</f>
        <v>0</v>
      </c>
      <c r="L307">
        <f>SUMPRODUCT((MONTH(CHOOSE({1,2,3,4},HN!U307,HN!AA307,HN!AG307,HN!AM307))=12)*(CHOOSE({1,2,3,4},HN!X307,HN!AD307,HN!AJ307,HN!AP307)))</f>
        <v>0</v>
      </c>
    </row>
    <row r="308" spans="1:12">
      <c r="A308">
        <f>SUMPRODUCT((MONTH(CHOOSE({1,2,3,4},HN!U308,HN!AA308,HN!AG308,HN!AM308))=1)*(CHOOSE({1,2,3,4},HN!X308,HN!AD308,HN!AJ308,HN!AP308)))</f>
        <v>0</v>
      </c>
      <c r="B308">
        <f>SUMPRODUCT((MONTH(CHOOSE({1,2,3,4},HN!U308,HN!AA308,HN!AG308,HN!AM308))=2)*(CHOOSE({1,2,3,4},HN!X308,HN!AD308,HN!AJ308,HN!AP308)))</f>
        <v>0</v>
      </c>
      <c r="C308">
        <f>SUMPRODUCT((MONTH(CHOOSE({1,2,3,4},HN!U308,HN!AA308,HN!AG308,HN!AM308))=3)*(CHOOSE({1,2,3,4},HN!X308,HN!AD308,HN!AJ308,HN!AP308)))</f>
        <v>0</v>
      </c>
      <c r="D308">
        <f>SUMPRODUCT((MONTH(CHOOSE({1,2,3,4},HN!U308,HN!AA308,HN!AG308,HN!AM308))=4)*(CHOOSE({1,2,3,4},HN!X308,HN!AD308,HN!AJ308,HN!AP308)))</f>
        <v>0</v>
      </c>
      <c r="E308">
        <f>SUMPRODUCT((MONTH(CHOOSE({1,2,3,4},HN!U308,HN!AA308,HN!AG308,HN!AM308))=5)*(CHOOSE({1,2,3,4},HN!X308,HN!AD308,HN!AJ308,HN!AP308)))</f>
        <v>0</v>
      </c>
      <c r="F308">
        <f>SUMPRODUCT((MONTH(CHOOSE({1,2,3,4},HN!U308,HN!AA308,HN!AG308,HN!AM308))=6)*(CHOOSE({1,2,3,4},HN!X308,HN!AD308,HN!AJ308,HN!AP308)))</f>
        <v>0</v>
      </c>
      <c r="G308">
        <f>SUMPRODUCT((MONTH(CHOOSE({1,2,3,4},HN!U308,HN!AA308,HN!AG308,HN!AM308))=7)*(CHOOSE({1,2,3,4},HN!X308,HN!AD308,HN!AJ308,HN!AP308)))</f>
        <v>0</v>
      </c>
      <c r="H308">
        <f>SUMPRODUCT((MONTH(CHOOSE({1,2,3,4},HN!U308,HN!AA308,HN!AG308,HN!AM308))=8)*(CHOOSE({1,2,3,4},HN!X308,HN!AD308,HN!AJ308,HN!AP308)))</f>
        <v>0</v>
      </c>
      <c r="I308">
        <f>SUMPRODUCT((MONTH(CHOOSE({1,2,3,4},HN!U308,HN!AA308,HN!AG308,HN!AM308))=9)*(CHOOSE({1,2,3,4},HN!X308,HN!AD308,HN!AJ308,HN!AP308)))</f>
        <v>0</v>
      </c>
      <c r="J308">
        <f>SUMPRODUCT((MONTH(CHOOSE({1,2,3,4},HN!U308,HN!AA308,HN!AG308,HN!AM308))=10)*(CHOOSE({1,2,3,4},HN!X308,HN!AD308,HN!AJ308,HN!AP308)))</f>
        <v>0</v>
      </c>
      <c r="K308">
        <f>SUMPRODUCT((MONTH(CHOOSE({1,2,3,4},HN!U308,HN!AA308,HN!AG308,HN!AM308))=11)*(CHOOSE({1,2,3,4},HN!X308,HN!AD308,HN!AJ308,HN!AP308)))</f>
        <v>0</v>
      </c>
      <c r="L308">
        <f>SUMPRODUCT((MONTH(CHOOSE({1,2,3,4},HN!U308,HN!AA308,HN!AG308,HN!AM308))=12)*(CHOOSE({1,2,3,4},HN!X308,HN!AD308,HN!AJ308,HN!AP308)))</f>
        <v>0</v>
      </c>
    </row>
    <row r="309" spans="1:12">
      <c r="A309">
        <f>SUMPRODUCT((MONTH(CHOOSE({1,2,3,4},HN!U309,HN!AA309,HN!AG309,HN!AM309))=1)*(CHOOSE({1,2,3,4},HN!X309,HN!AD309,HN!AJ309,HN!AP309)))</f>
        <v>0</v>
      </c>
      <c r="B309">
        <f>SUMPRODUCT((MONTH(CHOOSE({1,2,3,4},HN!U309,HN!AA309,HN!AG309,HN!AM309))=2)*(CHOOSE({1,2,3,4},HN!X309,HN!AD309,HN!AJ309,HN!AP309)))</f>
        <v>0</v>
      </c>
      <c r="C309">
        <f>SUMPRODUCT((MONTH(CHOOSE({1,2,3,4},HN!U309,HN!AA309,HN!AG309,HN!AM309))=3)*(CHOOSE({1,2,3,4},HN!X309,HN!AD309,HN!AJ309,HN!AP309)))</f>
        <v>0</v>
      </c>
      <c r="D309">
        <f>SUMPRODUCT((MONTH(CHOOSE({1,2,3,4},HN!U309,HN!AA309,HN!AG309,HN!AM309))=4)*(CHOOSE({1,2,3,4},HN!X309,HN!AD309,HN!AJ309,HN!AP309)))</f>
        <v>0</v>
      </c>
      <c r="E309">
        <f>SUMPRODUCT((MONTH(CHOOSE({1,2,3,4},HN!U309,HN!AA309,HN!AG309,HN!AM309))=5)*(CHOOSE({1,2,3,4},HN!X309,HN!AD309,HN!AJ309,HN!AP309)))</f>
        <v>0</v>
      </c>
      <c r="F309">
        <f>SUMPRODUCT((MONTH(CHOOSE({1,2,3,4},HN!U309,HN!AA309,HN!AG309,HN!AM309))=6)*(CHOOSE({1,2,3,4},HN!X309,HN!AD309,HN!AJ309,HN!AP309)))</f>
        <v>0</v>
      </c>
      <c r="G309">
        <f>SUMPRODUCT((MONTH(CHOOSE({1,2,3,4},HN!U309,HN!AA309,HN!AG309,HN!AM309))=7)*(CHOOSE({1,2,3,4},HN!X309,HN!AD309,HN!AJ309,HN!AP309)))</f>
        <v>0</v>
      </c>
      <c r="H309">
        <f>SUMPRODUCT((MONTH(CHOOSE({1,2,3,4},HN!U309,HN!AA309,HN!AG309,HN!AM309))=8)*(CHOOSE({1,2,3,4},HN!X309,HN!AD309,HN!AJ309,HN!AP309)))</f>
        <v>0</v>
      </c>
      <c r="I309">
        <f>SUMPRODUCT((MONTH(CHOOSE({1,2,3,4},HN!U309,HN!AA309,HN!AG309,HN!AM309))=9)*(CHOOSE({1,2,3,4},HN!X309,HN!AD309,HN!AJ309,HN!AP309)))</f>
        <v>0</v>
      </c>
      <c r="J309">
        <f>SUMPRODUCT((MONTH(CHOOSE({1,2,3,4},HN!U309,HN!AA309,HN!AG309,HN!AM309))=10)*(CHOOSE({1,2,3,4},HN!X309,HN!AD309,HN!AJ309,HN!AP309)))</f>
        <v>0</v>
      </c>
      <c r="K309">
        <f>SUMPRODUCT((MONTH(CHOOSE({1,2,3,4},HN!U309,HN!AA309,HN!AG309,HN!AM309))=11)*(CHOOSE({1,2,3,4},HN!X309,HN!AD309,HN!AJ309,HN!AP309)))</f>
        <v>0</v>
      </c>
      <c r="L309">
        <f>SUMPRODUCT((MONTH(CHOOSE({1,2,3,4},HN!U309,HN!AA309,HN!AG309,HN!AM309))=12)*(CHOOSE({1,2,3,4},HN!X309,HN!AD309,HN!AJ309,HN!AP309)))</f>
        <v>0</v>
      </c>
    </row>
    <row r="310" spans="1:12">
      <c r="A310">
        <f>SUMPRODUCT((MONTH(CHOOSE({1,2,3,4},HN!U310,HN!AA310,HN!AG310,HN!AM310))=1)*(CHOOSE({1,2,3,4},HN!X310,HN!AD310,HN!AJ310,HN!AP310)))</f>
        <v>0</v>
      </c>
      <c r="B310">
        <f>SUMPRODUCT((MONTH(CHOOSE({1,2,3,4},HN!U310,HN!AA310,HN!AG310,HN!AM310))=2)*(CHOOSE({1,2,3,4},HN!X310,HN!AD310,HN!AJ310,HN!AP310)))</f>
        <v>0</v>
      </c>
      <c r="C310">
        <f>SUMPRODUCT((MONTH(CHOOSE({1,2,3,4},HN!U310,HN!AA310,HN!AG310,HN!AM310))=3)*(CHOOSE({1,2,3,4},HN!X310,HN!AD310,HN!AJ310,HN!AP310)))</f>
        <v>0</v>
      </c>
      <c r="D310">
        <f>SUMPRODUCT((MONTH(CHOOSE({1,2,3,4},HN!U310,HN!AA310,HN!AG310,HN!AM310))=4)*(CHOOSE({1,2,3,4},HN!X310,HN!AD310,HN!AJ310,HN!AP310)))</f>
        <v>0</v>
      </c>
      <c r="E310">
        <f>SUMPRODUCT((MONTH(CHOOSE({1,2,3,4},HN!U310,HN!AA310,HN!AG310,HN!AM310))=5)*(CHOOSE({1,2,3,4},HN!X310,HN!AD310,HN!AJ310,HN!AP310)))</f>
        <v>0</v>
      </c>
      <c r="F310">
        <f>SUMPRODUCT((MONTH(CHOOSE({1,2,3,4},HN!U310,HN!AA310,HN!AG310,HN!AM310))=6)*(CHOOSE({1,2,3,4},HN!X310,HN!AD310,HN!AJ310,HN!AP310)))</f>
        <v>0</v>
      </c>
      <c r="G310">
        <f>SUMPRODUCT((MONTH(CHOOSE({1,2,3,4},HN!U310,HN!AA310,HN!AG310,HN!AM310))=7)*(CHOOSE({1,2,3,4},HN!X310,HN!AD310,HN!AJ310,HN!AP310)))</f>
        <v>0</v>
      </c>
      <c r="H310">
        <f>SUMPRODUCT((MONTH(CHOOSE({1,2,3,4},HN!U310,HN!AA310,HN!AG310,HN!AM310))=8)*(CHOOSE({1,2,3,4},HN!X310,HN!AD310,HN!AJ310,HN!AP310)))</f>
        <v>0</v>
      </c>
      <c r="I310">
        <f>SUMPRODUCT((MONTH(CHOOSE({1,2,3,4},HN!U310,HN!AA310,HN!AG310,HN!AM310))=9)*(CHOOSE({1,2,3,4},HN!X310,HN!AD310,HN!AJ310,HN!AP310)))</f>
        <v>0</v>
      </c>
      <c r="J310">
        <f>SUMPRODUCT((MONTH(CHOOSE({1,2,3,4},HN!U310,HN!AA310,HN!AG310,HN!AM310))=10)*(CHOOSE({1,2,3,4},HN!X310,HN!AD310,HN!AJ310,HN!AP310)))</f>
        <v>0</v>
      </c>
      <c r="K310">
        <f>SUMPRODUCT((MONTH(CHOOSE({1,2,3,4},HN!U310,HN!AA310,HN!AG310,HN!AM310))=11)*(CHOOSE({1,2,3,4},HN!X310,HN!AD310,HN!AJ310,HN!AP310)))</f>
        <v>0</v>
      </c>
      <c r="L310">
        <f>SUMPRODUCT((MONTH(CHOOSE({1,2,3,4},HN!U310,HN!AA310,HN!AG310,HN!AM310))=12)*(CHOOSE({1,2,3,4},HN!X310,HN!AD310,HN!AJ310,HN!AP310)))</f>
        <v>0</v>
      </c>
    </row>
    <row r="311" spans="1:12">
      <c r="A311">
        <f>SUMPRODUCT((MONTH(CHOOSE({1,2,3,4},HN!U311,HN!AA311,HN!AG311,HN!AM311))=1)*(CHOOSE({1,2,3,4},HN!X311,HN!AD311,HN!AJ311,HN!AP311)))</f>
        <v>0</v>
      </c>
      <c r="B311">
        <f>SUMPRODUCT((MONTH(CHOOSE({1,2,3,4},HN!U311,HN!AA311,HN!AG311,HN!AM311))=2)*(CHOOSE({1,2,3,4},HN!X311,HN!AD311,HN!AJ311,HN!AP311)))</f>
        <v>0</v>
      </c>
      <c r="C311">
        <f>SUMPRODUCT((MONTH(CHOOSE({1,2,3,4},HN!U311,HN!AA311,HN!AG311,HN!AM311))=3)*(CHOOSE({1,2,3,4},HN!X311,HN!AD311,HN!AJ311,HN!AP311)))</f>
        <v>0</v>
      </c>
      <c r="D311">
        <f>SUMPRODUCT((MONTH(CHOOSE({1,2,3,4},HN!U311,HN!AA311,HN!AG311,HN!AM311))=4)*(CHOOSE({1,2,3,4},HN!X311,HN!AD311,HN!AJ311,HN!AP311)))</f>
        <v>0</v>
      </c>
      <c r="E311">
        <f>SUMPRODUCT((MONTH(CHOOSE({1,2,3,4},HN!U311,HN!AA311,HN!AG311,HN!AM311))=5)*(CHOOSE({1,2,3,4},HN!X311,HN!AD311,HN!AJ311,HN!AP311)))</f>
        <v>0</v>
      </c>
      <c r="F311">
        <f>SUMPRODUCT((MONTH(CHOOSE({1,2,3,4},HN!U311,HN!AA311,HN!AG311,HN!AM311))=6)*(CHOOSE({1,2,3,4},HN!X311,HN!AD311,HN!AJ311,HN!AP311)))</f>
        <v>0</v>
      </c>
      <c r="G311">
        <f>SUMPRODUCT((MONTH(CHOOSE({1,2,3,4},HN!U311,HN!AA311,HN!AG311,HN!AM311))=7)*(CHOOSE({1,2,3,4},HN!X311,HN!AD311,HN!AJ311,HN!AP311)))</f>
        <v>0</v>
      </c>
      <c r="H311">
        <f>SUMPRODUCT((MONTH(CHOOSE({1,2,3,4},HN!U311,HN!AA311,HN!AG311,HN!AM311))=8)*(CHOOSE({1,2,3,4},HN!X311,HN!AD311,HN!AJ311,HN!AP311)))</f>
        <v>0</v>
      </c>
      <c r="I311">
        <f>SUMPRODUCT((MONTH(CHOOSE({1,2,3,4},HN!U311,HN!AA311,HN!AG311,HN!AM311))=9)*(CHOOSE({1,2,3,4},HN!X311,HN!AD311,HN!AJ311,HN!AP311)))</f>
        <v>0</v>
      </c>
      <c r="J311">
        <f>SUMPRODUCT((MONTH(CHOOSE({1,2,3,4},HN!U311,HN!AA311,HN!AG311,HN!AM311))=10)*(CHOOSE({1,2,3,4},HN!X311,HN!AD311,HN!AJ311,HN!AP311)))</f>
        <v>0</v>
      </c>
      <c r="K311">
        <f>SUMPRODUCT((MONTH(CHOOSE({1,2,3,4},HN!U311,HN!AA311,HN!AG311,HN!AM311))=11)*(CHOOSE({1,2,3,4},HN!X311,HN!AD311,HN!AJ311,HN!AP311)))</f>
        <v>0</v>
      </c>
      <c r="L311">
        <f>SUMPRODUCT((MONTH(CHOOSE({1,2,3,4},HN!U311,HN!AA311,HN!AG311,HN!AM311))=12)*(CHOOSE({1,2,3,4},HN!X311,HN!AD311,HN!AJ311,HN!AP311)))</f>
        <v>0</v>
      </c>
    </row>
    <row r="312" spans="1:12">
      <c r="A312">
        <f>SUMPRODUCT((MONTH(CHOOSE({1,2,3,4},HN!U312,HN!AA312,HN!AG312,HN!AM312))=1)*(CHOOSE({1,2,3,4},HN!X312,HN!AD312,HN!AJ312,HN!AP312)))</f>
        <v>0</v>
      </c>
      <c r="B312">
        <f>SUMPRODUCT((MONTH(CHOOSE({1,2,3,4},HN!U312,HN!AA312,HN!AG312,HN!AM312))=2)*(CHOOSE({1,2,3,4},HN!X312,HN!AD312,HN!AJ312,HN!AP312)))</f>
        <v>0</v>
      </c>
      <c r="C312">
        <f>SUMPRODUCT((MONTH(CHOOSE({1,2,3,4},HN!U312,HN!AA312,HN!AG312,HN!AM312))=3)*(CHOOSE({1,2,3,4},HN!X312,HN!AD312,HN!AJ312,HN!AP312)))</f>
        <v>0</v>
      </c>
      <c r="D312">
        <f>SUMPRODUCT((MONTH(CHOOSE({1,2,3,4},HN!U312,HN!AA312,HN!AG312,HN!AM312))=4)*(CHOOSE({1,2,3,4},HN!X312,HN!AD312,HN!AJ312,HN!AP312)))</f>
        <v>0</v>
      </c>
      <c r="E312">
        <f>SUMPRODUCT((MONTH(CHOOSE({1,2,3,4},HN!U312,HN!AA312,HN!AG312,HN!AM312))=5)*(CHOOSE({1,2,3,4},HN!X312,HN!AD312,HN!AJ312,HN!AP312)))</f>
        <v>0</v>
      </c>
      <c r="F312">
        <f>SUMPRODUCT((MONTH(CHOOSE({1,2,3,4},HN!U312,HN!AA312,HN!AG312,HN!AM312))=6)*(CHOOSE({1,2,3,4},HN!X312,HN!AD312,HN!AJ312,HN!AP312)))</f>
        <v>0</v>
      </c>
      <c r="G312">
        <f>SUMPRODUCT((MONTH(CHOOSE({1,2,3,4},HN!U312,HN!AA312,HN!AG312,HN!AM312))=7)*(CHOOSE({1,2,3,4},HN!X312,HN!AD312,HN!AJ312,HN!AP312)))</f>
        <v>0</v>
      </c>
      <c r="H312">
        <f>SUMPRODUCT((MONTH(CHOOSE({1,2,3,4},HN!U312,HN!AA312,HN!AG312,HN!AM312))=8)*(CHOOSE({1,2,3,4},HN!X312,HN!AD312,HN!AJ312,HN!AP312)))</f>
        <v>0</v>
      </c>
      <c r="I312">
        <f>SUMPRODUCT((MONTH(CHOOSE({1,2,3,4},HN!U312,HN!AA312,HN!AG312,HN!AM312))=9)*(CHOOSE({1,2,3,4},HN!X312,HN!AD312,HN!AJ312,HN!AP312)))</f>
        <v>0</v>
      </c>
      <c r="J312">
        <f>SUMPRODUCT((MONTH(CHOOSE({1,2,3,4},HN!U312,HN!AA312,HN!AG312,HN!AM312))=10)*(CHOOSE({1,2,3,4},HN!X312,HN!AD312,HN!AJ312,HN!AP312)))</f>
        <v>0</v>
      </c>
      <c r="K312">
        <f>SUMPRODUCT((MONTH(CHOOSE({1,2,3,4},HN!U312,HN!AA312,HN!AG312,HN!AM312))=11)*(CHOOSE({1,2,3,4},HN!X312,HN!AD312,HN!AJ312,HN!AP312)))</f>
        <v>0</v>
      </c>
      <c r="L312">
        <f>SUMPRODUCT((MONTH(CHOOSE({1,2,3,4},HN!U312,HN!AA312,HN!AG312,HN!AM312))=12)*(CHOOSE({1,2,3,4},HN!X312,HN!AD312,HN!AJ312,HN!AP312)))</f>
        <v>0</v>
      </c>
    </row>
    <row r="313" spans="1:12">
      <c r="A313">
        <f>SUMPRODUCT((MONTH(CHOOSE({1,2,3,4},HN!U313,HN!AA313,HN!AG313,HN!AM313))=1)*(CHOOSE({1,2,3,4},HN!X313,HN!AD313,HN!AJ313,HN!AP313)))</f>
        <v>0</v>
      </c>
      <c r="B313">
        <f>SUMPRODUCT((MONTH(CHOOSE({1,2,3,4},HN!U313,HN!AA313,HN!AG313,HN!AM313))=2)*(CHOOSE({1,2,3,4},HN!X313,HN!AD313,HN!AJ313,HN!AP313)))</f>
        <v>0</v>
      </c>
      <c r="C313">
        <f>SUMPRODUCT((MONTH(CHOOSE({1,2,3,4},HN!U313,HN!AA313,HN!AG313,HN!AM313))=3)*(CHOOSE({1,2,3,4},HN!X313,HN!AD313,HN!AJ313,HN!AP313)))</f>
        <v>0</v>
      </c>
      <c r="D313">
        <f>SUMPRODUCT((MONTH(CHOOSE({1,2,3,4},HN!U313,HN!AA313,HN!AG313,HN!AM313))=4)*(CHOOSE({1,2,3,4},HN!X313,HN!AD313,HN!AJ313,HN!AP313)))</f>
        <v>0</v>
      </c>
      <c r="E313">
        <f>SUMPRODUCT((MONTH(CHOOSE({1,2,3,4},HN!U313,HN!AA313,HN!AG313,HN!AM313))=5)*(CHOOSE({1,2,3,4},HN!X313,HN!AD313,HN!AJ313,HN!AP313)))</f>
        <v>0</v>
      </c>
      <c r="F313">
        <f>SUMPRODUCT((MONTH(CHOOSE({1,2,3,4},HN!U313,HN!AA313,HN!AG313,HN!AM313))=6)*(CHOOSE({1,2,3,4},HN!X313,HN!AD313,HN!AJ313,HN!AP313)))</f>
        <v>0</v>
      </c>
      <c r="G313">
        <f>SUMPRODUCT((MONTH(CHOOSE({1,2,3,4},HN!U313,HN!AA313,HN!AG313,HN!AM313))=7)*(CHOOSE({1,2,3,4},HN!X313,HN!AD313,HN!AJ313,HN!AP313)))</f>
        <v>0</v>
      </c>
      <c r="H313">
        <f>SUMPRODUCT((MONTH(CHOOSE({1,2,3,4},HN!U313,HN!AA313,HN!AG313,HN!AM313))=8)*(CHOOSE({1,2,3,4},HN!X313,HN!AD313,HN!AJ313,HN!AP313)))</f>
        <v>0</v>
      </c>
      <c r="I313">
        <f>SUMPRODUCT((MONTH(CHOOSE({1,2,3,4},HN!U313,HN!AA313,HN!AG313,HN!AM313))=9)*(CHOOSE({1,2,3,4},HN!X313,HN!AD313,HN!AJ313,HN!AP313)))</f>
        <v>0</v>
      </c>
      <c r="J313">
        <f>SUMPRODUCT((MONTH(CHOOSE({1,2,3,4},HN!U313,HN!AA313,HN!AG313,HN!AM313))=10)*(CHOOSE({1,2,3,4},HN!X313,HN!AD313,HN!AJ313,HN!AP313)))</f>
        <v>0</v>
      </c>
      <c r="K313">
        <f>SUMPRODUCT((MONTH(CHOOSE({1,2,3,4},HN!U313,HN!AA313,HN!AG313,HN!AM313))=11)*(CHOOSE({1,2,3,4},HN!X313,HN!AD313,HN!AJ313,HN!AP313)))</f>
        <v>0</v>
      </c>
      <c r="L313">
        <f>SUMPRODUCT((MONTH(CHOOSE({1,2,3,4},HN!U313,HN!AA313,HN!AG313,HN!AM313))=12)*(CHOOSE({1,2,3,4},HN!X313,HN!AD313,HN!AJ313,HN!AP313)))</f>
        <v>0</v>
      </c>
    </row>
    <row r="314" spans="1:12">
      <c r="A314">
        <f>SUMPRODUCT((MONTH(CHOOSE({1,2,3,4},HN!U314,HN!AA314,HN!AG314,HN!AM314))=1)*(CHOOSE({1,2,3,4},HN!X314,HN!AD314,HN!AJ314,HN!AP314)))</f>
        <v>0</v>
      </c>
      <c r="B314">
        <f>SUMPRODUCT((MONTH(CHOOSE({1,2,3,4},HN!U314,HN!AA314,HN!AG314,HN!AM314))=2)*(CHOOSE({1,2,3,4},HN!X314,HN!AD314,HN!AJ314,HN!AP314)))</f>
        <v>0</v>
      </c>
      <c r="C314">
        <f>SUMPRODUCT((MONTH(CHOOSE({1,2,3,4},HN!U314,HN!AA314,HN!AG314,HN!AM314))=3)*(CHOOSE({1,2,3,4},HN!X314,HN!AD314,HN!AJ314,HN!AP314)))</f>
        <v>0</v>
      </c>
      <c r="D314">
        <f>SUMPRODUCT((MONTH(CHOOSE({1,2,3,4},HN!U314,HN!AA314,HN!AG314,HN!AM314))=4)*(CHOOSE({1,2,3,4},HN!X314,HN!AD314,HN!AJ314,HN!AP314)))</f>
        <v>0</v>
      </c>
      <c r="E314">
        <f>SUMPRODUCT((MONTH(CHOOSE({1,2,3,4},HN!U314,HN!AA314,HN!AG314,HN!AM314))=5)*(CHOOSE({1,2,3,4},HN!X314,HN!AD314,HN!AJ314,HN!AP314)))</f>
        <v>0</v>
      </c>
      <c r="F314">
        <f>SUMPRODUCT((MONTH(CHOOSE({1,2,3,4},HN!U314,HN!AA314,HN!AG314,HN!AM314))=6)*(CHOOSE({1,2,3,4},HN!X314,HN!AD314,HN!AJ314,HN!AP314)))</f>
        <v>0</v>
      </c>
      <c r="G314">
        <f>SUMPRODUCT((MONTH(CHOOSE({1,2,3,4},HN!U314,HN!AA314,HN!AG314,HN!AM314))=7)*(CHOOSE({1,2,3,4},HN!X314,HN!AD314,HN!AJ314,HN!AP314)))</f>
        <v>0</v>
      </c>
      <c r="H314">
        <f>SUMPRODUCT((MONTH(CHOOSE({1,2,3,4},HN!U314,HN!AA314,HN!AG314,HN!AM314))=8)*(CHOOSE({1,2,3,4},HN!X314,HN!AD314,HN!AJ314,HN!AP314)))</f>
        <v>0</v>
      </c>
      <c r="I314">
        <f>SUMPRODUCT((MONTH(CHOOSE({1,2,3,4},HN!U314,HN!AA314,HN!AG314,HN!AM314))=9)*(CHOOSE({1,2,3,4},HN!X314,HN!AD314,HN!AJ314,HN!AP314)))</f>
        <v>0</v>
      </c>
      <c r="J314">
        <f>SUMPRODUCT((MONTH(CHOOSE({1,2,3,4},HN!U314,HN!AA314,HN!AG314,HN!AM314))=10)*(CHOOSE({1,2,3,4},HN!X314,HN!AD314,HN!AJ314,HN!AP314)))</f>
        <v>0</v>
      </c>
      <c r="K314">
        <f>SUMPRODUCT((MONTH(CHOOSE({1,2,3,4},HN!U314,HN!AA314,HN!AG314,HN!AM314))=11)*(CHOOSE({1,2,3,4},HN!X314,HN!AD314,HN!AJ314,HN!AP314)))</f>
        <v>0</v>
      </c>
      <c r="L314">
        <f>SUMPRODUCT((MONTH(CHOOSE({1,2,3,4},HN!U314,HN!AA314,HN!AG314,HN!AM314))=12)*(CHOOSE({1,2,3,4},HN!X314,HN!AD314,HN!AJ314,HN!AP314)))</f>
        <v>0</v>
      </c>
    </row>
    <row r="315" spans="1:12">
      <c r="A315">
        <f>SUMPRODUCT((MONTH(CHOOSE({1,2,3,4},HN!U315,HN!AA315,HN!AG315,HN!AM315))=1)*(CHOOSE({1,2,3,4},HN!X315,HN!AD315,HN!AJ315,HN!AP315)))</f>
        <v>0</v>
      </c>
      <c r="B315">
        <f>SUMPRODUCT((MONTH(CHOOSE({1,2,3,4},HN!U315,HN!AA315,HN!AG315,HN!AM315))=2)*(CHOOSE({1,2,3,4},HN!X315,HN!AD315,HN!AJ315,HN!AP315)))</f>
        <v>0</v>
      </c>
      <c r="C315">
        <f>SUMPRODUCT((MONTH(CHOOSE({1,2,3,4},HN!U315,HN!AA315,HN!AG315,HN!AM315))=3)*(CHOOSE({1,2,3,4},HN!X315,HN!AD315,HN!AJ315,HN!AP315)))</f>
        <v>0</v>
      </c>
      <c r="D315">
        <f>SUMPRODUCT((MONTH(CHOOSE({1,2,3,4},HN!U315,HN!AA315,HN!AG315,HN!AM315))=4)*(CHOOSE({1,2,3,4},HN!X315,HN!AD315,HN!AJ315,HN!AP315)))</f>
        <v>0</v>
      </c>
      <c r="E315">
        <f>SUMPRODUCT((MONTH(CHOOSE({1,2,3,4},HN!U315,HN!AA315,HN!AG315,HN!AM315))=5)*(CHOOSE({1,2,3,4},HN!X315,HN!AD315,HN!AJ315,HN!AP315)))</f>
        <v>0</v>
      </c>
      <c r="F315">
        <f>SUMPRODUCT((MONTH(CHOOSE({1,2,3,4},HN!U315,HN!AA315,HN!AG315,HN!AM315))=6)*(CHOOSE({1,2,3,4},HN!X315,HN!AD315,HN!AJ315,HN!AP315)))</f>
        <v>0</v>
      </c>
      <c r="G315">
        <f>SUMPRODUCT((MONTH(CHOOSE({1,2,3,4},HN!U315,HN!AA315,HN!AG315,HN!AM315))=7)*(CHOOSE({1,2,3,4},HN!X315,HN!AD315,HN!AJ315,HN!AP315)))</f>
        <v>0</v>
      </c>
      <c r="H315">
        <f>SUMPRODUCT((MONTH(CHOOSE({1,2,3,4},HN!U315,HN!AA315,HN!AG315,HN!AM315))=8)*(CHOOSE({1,2,3,4},HN!X315,HN!AD315,HN!AJ315,HN!AP315)))</f>
        <v>0</v>
      </c>
      <c r="I315">
        <f>SUMPRODUCT((MONTH(CHOOSE({1,2,3,4},HN!U315,HN!AA315,HN!AG315,HN!AM315))=9)*(CHOOSE({1,2,3,4},HN!X315,HN!AD315,HN!AJ315,HN!AP315)))</f>
        <v>0</v>
      </c>
      <c r="J315">
        <f>SUMPRODUCT((MONTH(CHOOSE({1,2,3,4},HN!U315,HN!AA315,HN!AG315,HN!AM315))=10)*(CHOOSE({1,2,3,4},HN!X315,HN!AD315,HN!AJ315,HN!AP315)))</f>
        <v>0</v>
      </c>
      <c r="K315">
        <f>SUMPRODUCT((MONTH(CHOOSE({1,2,3,4},HN!U315,HN!AA315,HN!AG315,HN!AM315))=11)*(CHOOSE({1,2,3,4},HN!X315,HN!AD315,HN!AJ315,HN!AP315)))</f>
        <v>0</v>
      </c>
      <c r="L315">
        <f>SUMPRODUCT((MONTH(CHOOSE({1,2,3,4},HN!U315,HN!AA315,HN!AG315,HN!AM315))=12)*(CHOOSE({1,2,3,4},HN!X315,HN!AD315,HN!AJ315,HN!AP315)))</f>
        <v>0</v>
      </c>
    </row>
    <row r="316" spans="1:12">
      <c r="A316">
        <f>SUMPRODUCT((MONTH(CHOOSE({1,2,3,4},HN!U316,HN!AA316,HN!AG316,HN!AM316))=1)*(CHOOSE({1,2,3,4},HN!X316,HN!AD316,HN!AJ316,HN!AP316)))</f>
        <v>0</v>
      </c>
      <c r="B316">
        <f>SUMPRODUCT((MONTH(CHOOSE({1,2,3,4},HN!U316,HN!AA316,HN!AG316,HN!AM316))=2)*(CHOOSE({1,2,3,4},HN!X316,HN!AD316,HN!AJ316,HN!AP316)))</f>
        <v>0</v>
      </c>
      <c r="C316">
        <f>SUMPRODUCT((MONTH(CHOOSE({1,2,3,4},HN!U316,HN!AA316,HN!AG316,HN!AM316))=3)*(CHOOSE({1,2,3,4},HN!X316,HN!AD316,HN!AJ316,HN!AP316)))</f>
        <v>0</v>
      </c>
      <c r="D316">
        <f>SUMPRODUCT((MONTH(CHOOSE({1,2,3,4},HN!U316,HN!AA316,HN!AG316,HN!AM316))=4)*(CHOOSE({1,2,3,4},HN!X316,HN!AD316,HN!AJ316,HN!AP316)))</f>
        <v>0</v>
      </c>
      <c r="E316">
        <f>SUMPRODUCT((MONTH(CHOOSE({1,2,3,4},HN!U316,HN!AA316,HN!AG316,HN!AM316))=5)*(CHOOSE({1,2,3,4},HN!X316,HN!AD316,HN!AJ316,HN!AP316)))</f>
        <v>0</v>
      </c>
      <c r="F316">
        <f>SUMPRODUCT((MONTH(CHOOSE({1,2,3,4},HN!U316,HN!AA316,HN!AG316,HN!AM316))=6)*(CHOOSE({1,2,3,4},HN!X316,HN!AD316,HN!AJ316,HN!AP316)))</f>
        <v>0</v>
      </c>
      <c r="G316">
        <f>SUMPRODUCT((MONTH(CHOOSE({1,2,3,4},HN!U316,HN!AA316,HN!AG316,HN!AM316))=7)*(CHOOSE({1,2,3,4},HN!X316,HN!AD316,HN!AJ316,HN!AP316)))</f>
        <v>0</v>
      </c>
      <c r="H316">
        <f>SUMPRODUCT((MONTH(CHOOSE({1,2,3,4},HN!U316,HN!AA316,HN!AG316,HN!AM316))=8)*(CHOOSE({1,2,3,4},HN!X316,HN!AD316,HN!AJ316,HN!AP316)))</f>
        <v>0</v>
      </c>
      <c r="I316">
        <f>SUMPRODUCT((MONTH(CHOOSE({1,2,3,4},HN!U316,HN!AA316,HN!AG316,HN!AM316))=9)*(CHOOSE({1,2,3,4},HN!X316,HN!AD316,HN!AJ316,HN!AP316)))</f>
        <v>0</v>
      </c>
      <c r="J316">
        <f>SUMPRODUCT((MONTH(CHOOSE({1,2,3,4},HN!U316,HN!AA316,HN!AG316,HN!AM316))=10)*(CHOOSE({1,2,3,4},HN!X316,HN!AD316,HN!AJ316,HN!AP316)))</f>
        <v>0</v>
      </c>
      <c r="K316">
        <f>SUMPRODUCT((MONTH(CHOOSE({1,2,3,4},HN!U316,HN!AA316,HN!AG316,HN!AM316))=11)*(CHOOSE({1,2,3,4},HN!X316,HN!AD316,HN!AJ316,HN!AP316)))</f>
        <v>0</v>
      </c>
      <c r="L316">
        <f>SUMPRODUCT((MONTH(CHOOSE({1,2,3,4},HN!U316,HN!AA316,HN!AG316,HN!AM316))=12)*(CHOOSE({1,2,3,4},HN!X316,HN!AD316,HN!AJ316,HN!AP316)))</f>
        <v>0</v>
      </c>
    </row>
    <row r="317" spans="1:12">
      <c r="A317">
        <f>SUMPRODUCT((MONTH(CHOOSE({1,2,3,4},HN!U317,HN!AA317,HN!AG317,HN!AM317))=1)*(CHOOSE({1,2,3,4},HN!X317,HN!AD317,HN!AJ317,HN!AP317)))</f>
        <v>0</v>
      </c>
      <c r="B317">
        <f>SUMPRODUCT((MONTH(CHOOSE({1,2,3,4},HN!U317,HN!AA317,HN!AG317,HN!AM317))=2)*(CHOOSE({1,2,3,4},HN!X317,HN!AD317,HN!AJ317,HN!AP317)))</f>
        <v>0</v>
      </c>
      <c r="C317">
        <f>SUMPRODUCT((MONTH(CHOOSE({1,2,3,4},HN!U317,HN!AA317,HN!AG317,HN!AM317))=3)*(CHOOSE({1,2,3,4},HN!X317,HN!AD317,HN!AJ317,HN!AP317)))</f>
        <v>0</v>
      </c>
      <c r="D317">
        <f>SUMPRODUCT((MONTH(CHOOSE({1,2,3,4},HN!U317,HN!AA317,HN!AG317,HN!AM317))=4)*(CHOOSE({1,2,3,4},HN!X317,HN!AD317,HN!AJ317,HN!AP317)))</f>
        <v>0</v>
      </c>
      <c r="E317">
        <f>SUMPRODUCT((MONTH(CHOOSE({1,2,3,4},HN!U317,HN!AA317,HN!AG317,HN!AM317))=5)*(CHOOSE({1,2,3,4},HN!X317,HN!AD317,HN!AJ317,HN!AP317)))</f>
        <v>0</v>
      </c>
      <c r="F317">
        <f>SUMPRODUCT((MONTH(CHOOSE({1,2,3,4},HN!U317,HN!AA317,HN!AG317,HN!AM317))=6)*(CHOOSE({1,2,3,4},HN!X317,HN!AD317,HN!AJ317,HN!AP317)))</f>
        <v>0</v>
      </c>
      <c r="G317">
        <f>SUMPRODUCT((MONTH(CHOOSE({1,2,3,4},HN!U317,HN!AA317,HN!AG317,HN!AM317))=7)*(CHOOSE({1,2,3,4},HN!X317,HN!AD317,HN!AJ317,HN!AP317)))</f>
        <v>0</v>
      </c>
      <c r="H317">
        <f>SUMPRODUCT((MONTH(CHOOSE({1,2,3,4},HN!U317,HN!AA317,HN!AG317,HN!AM317))=8)*(CHOOSE({1,2,3,4},HN!X317,HN!AD317,HN!AJ317,HN!AP317)))</f>
        <v>0</v>
      </c>
      <c r="I317">
        <f>SUMPRODUCT((MONTH(CHOOSE({1,2,3,4},HN!U317,HN!AA317,HN!AG317,HN!AM317))=9)*(CHOOSE({1,2,3,4},HN!X317,HN!AD317,HN!AJ317,HN!AP317)))</f>
        <v>0</v>
      </c>
      <c r="J317">
        <f>SUMPRODUCT((MONTH(CHOOSE({1,2,3,4},HN!U317,HN!AA317,HN!AG317,HN!AM317))=10)*(CHOOSE({1,2,3,4},HN!X317,HN!AD317,HN!AJ317,HN!AP317)))</f>
        <v>0</v>
      </c>
      <c r="K317">
        <f>SUMPRODUCT((MONTH(CHOOSE({1,2,3,4},HN!U317,HN!AA317,HN!AG317,HN!AM317))=11)*(CHOOSE({1,2,3,4},HN!X317,HN!AD317,HN!AJ317,HN!AP317)))</f>
        <v>0</v>
      </c>
      <c r="L317">
        <f>SUMPRODUCT((MONTH(CHOOSE({1,2,3,4},HN!U317,HN!AA317,HN!AG317,HN!AM317))=12)*(CHOOSE({1,2,3,4},HN!X317,HN!AD317,HN!AJ317,HN!AP317)))</f>
        <v>0</v>
      </c>
    </row>
    <row r="318" spans="1:12">
      <c r="A318">
        <f>SUMPRODUCT((MONTH(CHOOSE({1,2,3,4},HN!U318,HN!AA318,HN!AG318,HN!AM318))=1)*(CHOOSE({1,2,3,4},HN!X318,HN!AD318,HN!AJ318,HN!AP318)))</f>
        <v>0</v>
      </c>
      <c r="B318">
        <f>SUMPRODUCT((MONTH(CHOOSE({1,2,3,4},HN!U318,HN!AA318,HN!AG318,HN!AM318))=2)*(CHOOSE({1,2,3,4},HN!X318,HN!AD318,HN!AJ318,HN!AP318)))</f>
        <v>0</v>
      </c>
      <c r="C318">
        <f>SUMPRODUCT((MONTH(CHOOSE({1,2,3,4},HN!U318,HN!AA318,HN!AG318,HN!AM318))=3)*(CHOOSE({1,2,3,4},HN!X318,HN!AD318,HN!AJ318,HN!AP318)))</f>
        <v>0</v>
      </c>
      <c r="D318">
        <f>SUMPRODUCT((MONTH(CHOOSE({1,2,3,4},HN!U318,HN!AA318,HN!AG318,HN!AM318))=4)*(CHOOSE({1,2,3,4},HN!X318,HN!AD318,HN!AJ318,HN!AP318)))</f>
        <v>0</v>
      </c>
      <c r="E318">
        <f>SUMPRODUCT((MONTH(CHOOSE({1,2,3,4},HN!U318,HN!AA318,HN!AG318,HN!AM318))=5)*(CHOOSE({1,2,3,4},HN!X318,HN!AD318,HN!AJ318,HN!AP318)))</f>
        <v>0</v>
      </c>
      <c r="F318">
        <f>SUMPRODUCT((MONTH(CHOOSE({1,2,3,4},HN!U318,HN!AA318,HN!AG318,HN!AM318))=6)*(CHOOSE({1,2,3,4},HN!X318,HN!AD318,HN!AJ318,HN!AP318)))</f>
        <v>0</v>
      </c>
      <c r="G318">
        <f>SUMPRODUCT((MONTH(CHOOSE({1,2,3,4},HN!U318,HN!AA318,HN!AG318,HN!AM318))=7)*(CHOOSE({1,2,3,4},HN!X318,HN!AD318,HN!AJ318,HN!AP318)))</f>
        <v>0</v>
      </c>
      <c r="H318">
        <f>SUMPRODUCT((MONTH(CHOOSE({1,2,3,4},HN!U318,HN!AA318,HN!AG318,HN!AM318))=8)*(CHOOSE({1,2,3,4},HN!X318,HN!AD318,HN!AJ318,HN!AP318)))</f>
        <v>0</v>
      </c>
      <c r="I318">
        <f>SUMPRODUCT((MONTH(CHOOSE({1,2,3,4},HN!U318,HN!AA318,HN!AG318,HN!AM318))=9)*(CHOOSE({1,2,3,4},HN!X318,HN!AD318,HN!AJ318,HN!AP318)))</f>
        <v>0</v>
      </c>
      <c r="J318">
        <f>SUMPRODUCT((MONTH(CHOOSE({1,2,3,4},HN!U318,HN!AA318,HN!AG318,HN!AM318))=10)*(CHOOSE({1,2,3,4},HN!X318,HN!AD318,HN!AJ318,HN!AP318)))</f>
        <v>0</v>
      </c>
      <c r="K318">
        <f>SUMPRODUCT((MONTH(CHOOSE({1,2,3,4},HN!U318,HN!AA318,HN!AG318,HN!AM318))=11)*(CHOOSE({1,2,3,4},HN!X318,HN!AD318,HN!AJ318,HN!AP318)))</f>
        <v>0</v>
      </c>
      <c r="L318">
        <f>SUMPRODUCT((MONTH(CHOOSE({1,2,3,4},HN!U318,HN!AA318,HN!AG318,HN!AM318))=12)*(CHOOSE({1,2,3,4},HN!X318,HN!AD318,HN!AJ318,HN!AP318)))</f>
        <v>0</v>
      </c>
    </row>
    <row r="319" spans="1:12">
      <c r="A319">
        <f>SUMPRODUCT((MONTH(CHOOSE({1,2,3,4},HN!U319,HN!AA319,HN!AG319,HN!AM319))=1)*(CHOOSE({1,2,3,4},HN!X319,HN!AD319,HN!AJ319,HN!AP319)))</f>
        <v>0</v>
      </c>
      <c r="B319">
        <f>SUMPRODUCT((MONTH(CHOOSE({1,2,3,4},HN!U319,HN!AA319,HN!AG319,HN!AM319))=2)*(CHOOSE({1,2,3,4},HN!X319,HN!AD319,HN!AJ319,HN!AP319)))</f>
        <v>0</v>
      </c>
      <c r="C319">
        <f>SUMPRODUCT((MONTH(CHOOSE({1,2,3,4},HN!U319,HN!AA319,HN!AG319,HN!AM319))=3)*(CHOOSE({1,2,3,4},HN!X319,HN!AD319,HN!AJ319,HN!AP319)))</f>
        <v>0</v>
      </c>
      <c r="D319">
        <f>SUMPRODUCT((MONTH(CHOOSE({1,2,3,4},HN!U319,HN!AA319,HN!AG319,HN!AM319))=4)*(CHOOSE({1,2,3,4},HN!X319,HN!AD319,HN!AJ319,HN!AP319)))</f>
        <v>0</v>
      </c>
      <c r="E319">
        <f>SUMPRODUCT((MONTH(CHOOSE({1,2,3,4},HN!U319,HN!AA319,HN!AG319,HN!AM319))=5)*(CHOOSE({1,2,3,4},HN!X319,HN!AD319,HN!AJ319,HN!AP319)))</f>
        <v>0</v>
      </c>
      <c r="F319">
        <f>SUMPRODUCT((MONTH(CHOOSE({1,2,3,4},HN!U319,HN!AA319,HN!AG319,HN!AM319))=6)*(CHOOSE({1,2,3,4},HN!X319,HN!AD319,HN!AJ319,HN!AP319)))</f>
        <v>0</v>
      </c>
      <c r="G319">
        <f>SUMPRODUCT((MONTH(CHOOSE({1,2,3,4},HN!U319,HN!AA319,HN!AG319,HN!AM319))=7)*(CHOOSE({1,2,3,4},HN!X319,HN!AD319,HN!AJ319,HN!AP319)))</f>
        <v>0</v>
      </c>
      <c r="H319">
        <f>SUMPRODUCT((MONTH(CHOOSE({1,2,3,4},HN!U319,HN!AA319,HN!AG319,HN!AM319))=8)*(CHOOSE({1,2,3,4},HN!X319,HN!AD319,HN!AJ319,HN!AP319)))</f>
        <v>0</v>
      </c>
      <c r="I319">
        <f>SUMPRODUCT((MONTH(CHOOSE({1,2,3,4},HN!U319,HN!AA319,HN!AG319,HN!AM319))=9)*(CHOOSE({1,2,3,4},HN!X319,HN!AD319,HN!AJ319,HN!AP319)))</f>
        <v>0</v>
      </c>
      <c r="J319">
        <f>SUMPRODUCT((MONTH(CHOOSE({1,2,3,4},HN!U319,HN!AA319,HN!AG319,HN!AM319))=10)*(CHOOSE({1,2,3,4},HN!X319,HN!AD319,HN!AJ319,HN!AP319)))</f>
        <v>0</v>
      </c>
      <c r="K319">
        <f>SUMPRODUCT((MONTH(CHOOSE({1,2,3,4},HN!U319,HN!AA319,HN!AG319,HN!AM319))=11)*(CHOOSE({1,2,3,4},HN!X319,HN!AD319,HN!AJ319,HN!AP319)))</f>
        <v>0</v>
      </c>
      <c r="L319">
        <f>SUMPRODUCT((MONTH(CHOOSE({1,2,3,4},HN!U319,HN!AA319,HN!AG319,HN!AM319))=12)*(CHOOSE({1,2,3,4},HN!X319,HN!AD319,HN!AJ319,HN!AP319)))</f>
        <v>0</v>
      </c>
    </row>
    <row r="320" spans="1:12">
      <c r="A320">
        <f>SUMPRODUCT((MONTH(CHOOSE({1,2,3,4},HN!U320,HN!AA320,HN!AG320,HN!AM320))=1)*(CHOOSE({1,2,3,4},HN!X320,HN!AD320,HN!AJ320,HN!AP320)))</f>
        <v>0</v>
      </c>
      <c r="B320">
        <f>SUMPRODUCT((MONTH(CHOOSE({1,2,3,4},HN!U320,HN!AA320,HN!AG320,HN!AM320))=2)*(CHOOSE({1,2,3,4},HN!X320,HN!AD320,HN!AJ320,HN!AP320)))</f>
        <v>0</v>
      </c>
      <c r="C320">
        <f>SUMPRODUCT((MONTH(CHOOSE({1,2,3,4},HN!U320,HN!AA320,HN!AG320,HN!AM320))=3)*(CHOOSE({1,2,3,4},HN!X320,HN!AD320,HN!AJ320,HN!AP320)))</f>
        <v>0</v>
      </c>
      <c r="D320">
        <f>SUMPRODUCT((MONTH(CHOOSE({1,2,3,4},HN!U320,HN!AA320,HN!AG320,HN!AM320))=4)*(CHOOSE({1,2,3,4},HN!X320,HN!AD320,HN!AJ320,HN!AP320)))</f>
        <v>0</v>
      </c>
      <c r="E320">
        <f>SUMPRODUCT((MONTH(CHOOSE({1,2,3,4},HN!U320,HN!AA320,HN!AG320,HN!AM320))=5)*(CHOOSE({1,2,3,4},HN!X320,HN!AD320,HN!AJ320,HN!AP320)))</f>
        <v>0</v>
      </c>
      <c r="F320">
        <f>SUMPRODUCT((MONTH(CHOOSE({1,2,3,4},HN!U320,HN!AA320,HN!AG320,HN!AM320))=6)*(CHOOSE({1,2,3,4},HN!X320,HN!AD320,HN!AJ320,HN!AP320)))</f>
        <v>0</v>
      </c>
      <c r="G320">
        <f>SUMPRODUCT((MONTH(CHOOSE({1,2,3,4},HN!U320,HN!AA320,HN!AG320,HN!AM320))=7)*(CHOOSE({1,2,3,4},HN!X320,HN!AD320,HN!AJ320,HN!AP320)))</f>
        <v>0</v>
      </c>
      <c r="H320">
        <f>SUMPRODUCT((MONTH(CHOOSE({1,2,3,4},HN!U320,HN!AA320,HN!AG320,HN!AM320))=8)*(CHOOSE({1,2,3,4},HN!X320,HN!AD320,HN!AJ320,HN!AP320)))</f>
        <v>0</v>
      </c>
      <c r="I320">
        <f>SUMPRODUCT((MONTH(CHOOSE({1,2,3,4},HN!U320,HN!AA320,HN!AG320,HN!AM320))=9)*(CHOOSE({1,2,3,4},HN!X320,HN!AD320,HN!AJ320,HN!AP320)))</f>
        <v>0</v>
      </c>
      <c r="J320">
        <f>SUMPRODUCT((MONTH(CHOOSE({1,2,3,4},HN!U320,HN!AA320,HN!AG320,HN!AM320))=10)*(CHOOSE({1,2,3,4},HN!X320,HN!AD320,HN!AJ320,HN!AP320)))</f>
        <v>0</v>
      </c>
      <c r="K320">
        <f>SUMPRODUCT((MONTH(CHOOSE({1,2,3,4},HN!U320,HN!AA320,HN!AG320,HN!AM320))=11)*(CHOOSE({1,2,3,4},HN!X320,HN!AD320,HN!AJ320,HN!AP320)))</f>
        <v>0</v>
      </c>
      <c r="L320">
        <f>SUMPRODUCT((MONTH(CHOOSE({1,2,3,4},HN!U320,HN!AA320,HN!AG320,HN!AM320))=12)*(CHOOSE({1,2,3,4},HN!X320,HN!AD320,HN!AJ320,HN!AP320)))</f>
        <v>0</v>
      </c>
    </row>
    <row r="321" spans="1:12">
      <c r="A321">
        <f>SUMPRODUCT((MONTH(CHOOSE({1,2,3,4},HN!U321,HN!AA321,HN!AG321,HN!AM321))=1)*(CHOOSE({1,2,3,4},HN!X321,HN!AD321,HN!AJ321,HN!AP321)))</f>
        <v>0</v>
      </c>
      <c r="B321">
        <f>SUMPRODUCT((MONTH(CHOOSE({1,2,3,4},HN!U321,HN!AA321,HN!AG321,HN!AM321))=2)*(CHOOSE({1,2,3,4},HN!X321,HN!AD321,HN!AJ321,HN!AP321)))</f>
        <v>0</v>
      </c>
      <c r="C321">
        <f>SUMPRODUCT((MONTH(CHOOSE({1,2,3,4},HN!U321,HN!AA321,HN!AG321,HN!AM321))=3)*(CHOOSE({1,2,3,4},HN!X321,HN!AD321,HN!AJ321,HN!AP321)))</f>
        <v>0</v>
      </c>
      <c r="D321">
        <f>SUMPRODUCT((MONTH(CHOOSE({1,2,3,4},HN!U321,HN!AA321,HN!AG321,HN!AM321))=4)*(CHOOSE({1,2,3,4},HN!X321,HN!AD321,HN!AJ321,HN!AP321)))</f>
        <v>0</v>
      </c>
      <c r="E321">
        <f>SUMPRODUCT((MONTH(CHOOSE({1,2,3,4},HN!U321,HN!AA321,HN!AG321,HN!AM321))=5)*(CHOOSE({1,2,3,4},HN!X321,HN!AD321,HN!AJ321,HN!AP321)))</f>
        <v>0</v>
      </c>
      <c r="F321">
        <f>SUMPRODUCT((MONTH(CHOOSE({1,2,3,4},HN!U321,HN!AA321,HN!AG321,HN!AM321))=6)*(CHOOSE({1,2,3,4},HN!X321,HN!AD321,HN!AJ321,HN!AP321)))</f>
        <v>0</v>
      </c>
      <c r="G321">
        <f>SUMPRODUCT((MONTH(CHOOSE({1,2,3,4},HN!U321,HN!AA321,HN!AG321,HN!AM321))=7)*(CHOOSE({1,2,3,4},HN!X321,HN!AD321,HN!AJ321,HN!AP321)))</f>
        <v>0</v>
      </c>
      <c r="H321">
        <f>SUMPRODUCT((MONTH(CHOOSE({1,2,3,4},HN!U321,HN!AA321,HN!AG321,HN!AM321))=8)*(CHOOSE({1,2,3,4},HN!X321,HN!AD321,HN!AJ321,HN!AP321)))</f>
        <v>0</v>
      </c>
      <c r="I321">
        <f>SUMPRODUCT((MONTH(CHOOSE({1,2,3,4},HN!U321,HN!AA321,HN!AG321,HN!AM321))=9)*(CHOOSE({1,2,3,4},HN!X321,HN!AD321,HN!AJ321,HN!AP321)))</f>
        <v>0</v>
      </c>
      <c r="J321">
        <f>SUMPRODUCT((MONTH(CHOOSE({1,2,3,4},HN!U321,HN!AA321,HN!AG321,HN!AM321))=10)*(CHOOSE({1,2,3,4},HN!X321,HN!AD321,HN!AJ321,HN!AP321)))</f>
        <v>0</v>
      </c>
      <c r="K321">
        <f>SUMPRODUCT((MONTH(CHOOSE({1,2,3,4},HN!U321,HN!AA321,HN!AG321,HN!AM321))=11)*(CHOOSE({1,2,3,4},HN!X321,HN!AD321,HN!AJ321,HN!AP321)))</f>
        <v>0</v>
      </c>
      <c r="L321">
        <f>SUMPRODUCT((MONTH(CHOOSE({1,2,3,4},HN!U321,HN!AA321,HN!AG321,HN!AM321))=12)*(CHOOSE({1,2,3,4},HN!X321,HN!AD321,HN!AJ321,HN!AP321)))</f>
        <v>0</v>
      </c>
    </row>
    <row r="322" spans="1:12">
      <c r="A322">
        <f>SUMPRODUCT((MONTH(CHOOSE({1,2,3,4},HN!U322,HN!AA322,HN!AG322,HN!AM322))=1)*(CHOOSE({1,2,3,4},HN!X322,HN!AD322,HN!AJ322,HN!AP322)))</f>
        <v>0</v>
      </c>
      <c r="B322">
        <f>SUMPRODUCT((MONTH(CHOOSE({1,2,3,4},HN!U322,HN!AA322,HN!AG322,HN!AM322))=2)*(CHOOSE({1,2,3,4},HN!X322,HN!AD322,HN!AJ322,HN!AP322)))</f>
        <v>0</v>
      </c>
      <c r="C322">
        <f>SUMPRODUCT((MONTH(CHOOSE({1,2,3,4},HN!U322,HN!AA322,HN!AG322,HN!AM322))=3)*(CHOOSE({1,2,3,4},HN!X322,HN!AD322,HN!AJ322,HN!AP322)))</f>
        <v>0</v>
      </c>
      <c r="D322">
        <f>SUMPRODUCT((MONTH(CHOOSE({1,2,3,4},HN!U322,HN!AA322,HN!AG322,HN!AM322))=4)*(CHOOSE({1,2,3,4},HN!X322,HN!AD322,HN!AJ322,HN!AP322)))</f>
        <v>0</v>
      </c>
      <c r="E322">
        <f>SUMPRODUCT((MONTH(CHOOSE({1,2,3,4},HN!U322,HN!AA322,HN!AG322,HN!AM322))=5)*(CHOOSE({1,2,3,4},HN!X322,HN!AD322,HN!AJ322,HN!AP322)))</f>
        <v>0</v>
      </c>
      <c r="F322">
        <f>SUMPRODUCT((MONTH(CHOOSE({1,2,3,4},HN!U322,HN!AA322,HN!AG322,HN!AM322))=6)*(CHOOSE({1,2,3,4},HN!X322,HN!AD322,HN!AJ322,HN!AP322)))</f>
        <v>0</v>
      </c>
      <c r="G322">
        <f>SUMPRODUCT((MONTH(CHOOSE({1,2,3,4},HN!U322,HN!AA322,HN!AG322,HN!AM322))=7)*(CHOOSE({1,2,3,4},HN!X322,HN!AD322,HN!AJ322,HN!AP322)))</f>
        <v>0</v>
      </c>
      <c r="H322">
        <f>SUMPRODUCT((MONTH(CHOOSE({1,2,3,4},HN!U322,HN!AA322,HN!AG322,HN!AM322))=8)*(CHOOSE({1,2,3,4},HN!X322,HN!AD322,HN!AJ322,HN!AP322)))</f>
        <v>0</v>
      </c>
      <c r="I322">
        <f>SUMPRODUCT((MONTH(CHOOSE({1,2,3,4},HN!U322,HN!AA322,HN!AG322,HN!AM322))=9)*(CHOOSE({1,2,3,4},HN!X322,HN!AD322,HN!AJ322,HN!AP322)))</f>
        <v>0</v>
      </c>
      <c r="J322">
        <f>SUMPRODUCT((MONTH(CHOOSE({1,2,3,4},HN!U322,HN!AA322,HN!AG322,HN!AM322))=10)*(CHOOSE({1,2,3,4},HN!X322,HN!AD322,HN!AJ322,HN!AP322)))</f>
        <v>0</v>
      </c>
      <c r="K322">
        <f>SUMPRODUCT((MONTH(CHOOSE({1,2,3,4},HN!U322,HN!AA322,HN!AG322,HN!AM322))=11)*(CHOOSE({1,2,3,4},HN!X322,HN!AD322,HN!AJ322,HN!AP322)))</f>
        <v>0</v>
      </c>
      <c r="L322">
        <f>SUMPRODUCT((MONTH(CHOOSE({1,2,3,4},HN!U322,HN!AA322,HN!AG322,HN!AM322))=12)*(CHOOSE({1,2,3,4},HN!X322,HN!AD322,HN!AJ322,HN!AP322)))</f>
        <v>0</v>
      </c>
    </row>
    <row r="323" spans="1:12">
      <c r="A323">
        <f>SUMPRODUCT((MONTH(CHOOSE({1,2,3,4},HN!U323,HN!AA323,HN!AG323,HN!AM323))=1)*(CHOOSE({1,2,3,4},HN!X323,HN!AD323,HN!AJ323,HN!AP323)))</f>
        <v>0</v>
      </c>
      <c r="B323">
        <f>SUMPRODUCT((MONTH(CHOOSE({1,2,3,4},HN!U323,HN!AA323,HN!AG323,HN!AM323))=2)*(CHOOSE({1,2,3,4},HN!X323,HN!AD323,HN!AJ323,HN!AP323)))</f>
        <v>0</v>
      </c>
      <c r="C323">
        <f>SUMPRODUCT((MONTH(CHOOSE({1,2,3,4},HN!U323,HN!AA323,HN!AG323,HN!AM323))=3)*(CHOOSE({1,2,3,4},HN!X323,HN!AD323,HN!AJ323,HN!AP323)))</f>
        <v>0</v>
      </c>
      <c r="D323">
        <f>SUMPRODUCT((MONTH(CHOOSE({1,2,3,4},HN!U323,HN!AA323,HN!AG323,HN!AM323))=4)*(CHOOSE({1,2,3,4},HN!X323,HN!AD323,HN!AJ323,HN!AP323)))</f>
        <v>0</v>
      </c>
      <c r="E323">
        <f>SUMPRODUCT((MONTH(CHOOSE({1,2,3,4},HN!U323,HN!AA323,HN!AG323,HN!AM323))=5)*(CHOOSE({1,2,3,4},HN!X323,HN!AD323,HN!AJ323,HN!AP323)))</f>
        <v>0</v>
      </c>
      <c r="F323">
        <f>SUMPRODUCT((MONTH(CHOOSE({1,2,3,4},HN!U323,HN!AA323,HN!AG323,HN!AM323))=6)*(CHOOSE({1,2,3,4},HN!X323,HN!AD323,HN!AJ323,HN!AP323)))</f>
        <v>0</v>
      </c>
      <c r="G323">
        <f>SUMPRODUCT((MONTH(CHOOSE({1,2,3,4},HN!U323,HN!AA323,HN!AG323,HN!AM323))=7)*(CHOOSE({1,2,3,4},HN!X323,HN!AD323,HN!AJ323,HN!AP323)))</f>
        <v>0</v>
      </c>
      <c r="H323">
        <f>SUMPRODUCT((MONTH(CHOOSE({1,2,3,4},HN!U323,HN!AA323,HN!AG323,HN!AM323))=8)*(CHOOSE({1,2,3,4},HN!X323,HN!AD323,HN!AJ323,HN!AP323)))</f>
        <v>0</v>
      </c>
      <c r="I323">
        <f>SUMPRODUCT((MONTH(CHOOSE({1,2,3,4},HN!U323,HN!AA323,HN!AG323,HN!AM323))=9)*(CHOOSE({1,2,3,4},HN!X323,HN!AD323,HN!AJ323,HN!AP323)))</f>
        <v>0</v>
      </c>
      <c r="J323">
        <f>SUMPRODUCT((MONTH(CHOOSE({1,2,3,4},HN!U323,HN!AA323,HN!AG323,HN!AM323))=10)*(CHOOSE({1,2,3,4},HN!X323,HN!AD323,HN!AJ323,HN!AP323)))</f>
        <v>0</v>
      </c>
      <c r="K323">
        <f>SUMPRODUCT((MONTH(CHOOSE({1,2,3,4},HN!U323,HN!AA323,HN!AG323,HN!AM323))=11)*(CHOOSE({1,2,3,4},HN!X323,HN!AD323,HN!AJ323,HN!AP323)))</f>
        <v>0</v>
      </c>
      <c r="L323">
        <f>SUMPRODUCT((MONTH(CHOOSE({1,2,3,4},HN!U323,HN!AA323,HN!AG323,HN!AM323))=12)*(CHOOSE({1,2,3,4},HN!X323,HN!AD323,HN!AJ323,HN!AP323)))</f>
        <v>0</v>
      </c>
    </row>
    <row r="324" spans="1:12">
      <c r="A324">
        <f>SUMPRODUCT((MONTH(CHOOSE({1,2,3,4},HN!U324,HN!AA324,HN!AG324,HN!AM324))=1)*(CHOOSE({1,2,3,4},HN!X324,HN!AD324,HN!AJ324,HN!AP324)))</f>
        <v>0</v>
      </c>
      <c r="B324">
        <f>SUMPRODUCT((MONTH(CHOOSE({1,2,3,4},HN!U324,HN!AA324,HN!AG324,HN!AM324))=2)*(CHOOSE({1,2,3,4},HN!X324,HN!AD324,HN!AJ324,HN!AP324)))</f>
        <v>0</v>
      </c>
      <c r="C324">
        <f>SUMPRODUCT((MONTH(CHOOSE({1,2,3,4},HN!U324,HN!AA324,HN!AG324,HN!AM324))=3)*(CHOOSE({1,2,3,4},HN!X324,HN!AD324,HN!AJ324,HN!AP324)))</f>
        <v>0</v>
      </c>
      <c r="D324">
        <f>SUMPRODUCT((MONTH(CHOOSE({1,2,3,4},HN!U324,HN!AA324,HN!AG324,HN!AM324))=4)*(CHOOSE({1,2,3,4},HN!X324,HN!AD324,HN!AJ324,HN!AP324)))</f>
        <v>0</v>
      </c>
      <c r="E324">
        <f>SUMPRODUCT((MONTH(CHOOSE({1,2,3,4},HN!U324,HN!AA324,HN!AG324,HN!AM324))=5)*(CHOOSE({1,2,3,4},HN!X324,HN!AD324,HN!AJ324,HN!AP324)))</f>
        <v>0</v>
      </c>
      <c r="F324">
        <f>SUMPRODUCT((MONTH(CHOOSE({1,2,3,4},HN!U324,HN!AA324,HN!AG324,HN!AM324))=6)*(CHOOSE({1,2,3,4},HN!X324,HN!AD324,HN!AJ324,HN!AP324)))</f>
        <v>0</v>
      </c>
      <c r="G324">
        <f>SUMPRODUCT((MONTH(CHOOSE({1,2,3,4},HN!U324,HN!AA324,HN!AG324,HN!AM324))=7)*(CHOOSE({1,2,3,4},HN!X324,HN!AD324,HN!AJ324,HN!AP324)))</f>
        <v>0</v>
      </c>
      <c r="H324">
        <f>SUMPRODUCT((MONTH(CHOOSE({1,2,3,4},HN!U324,HN!AA324,HN!AG324,HN!AM324))=8)*(CHOOSE({1,2,3,4},HN!X324,HN!AD324,HN!AJ324,HN!AP324)))</f>
        <v>0</v>
      </c>
      <c r="I324">
        <f>SUMPRODUCT((MONTH(CHOOSE({1,2,3,4},HN!U324,HN!AA324,HN!AG324,HN!AM324))=9)*(CHOOSE({1,2,3,4},HN!X324,HN!AD324,HN!AJ324,HN!AP324)))</f>
        <v>0</v>
      </c>
      <c r="J324">
        <f>SUMPRODUCT((MONTH(CHOOSE({1,2,3,4},HN!U324,HN!AA324,HN!AG324,HN!AM324))=10)*(CHOOSE({1,2,3,4},HN!X324,HN!AD324,HN!AJ324,HN!AP324)))</f>
        <v>0</v>
      </c>
      <c r="K324">
        <f>SUMPRODUCT((MONTH(CHOOSE({1,2,3,4},HN!U324,HN!AA324,HN!AG324,HN!AM324))=11)*(CHOOSE({1,2,3,4},HN!X324,HN!AD324,HN!AJ324,HN!AP324)))</f>
        <v>0</v>
      </c>
      <c r="L324">
        <f>SUMPRODUCT((MONTH(CHOOSE({1,2,3,4},HN!U324,HN!AA324,HN!AG324,HN!AM324))=12)*(CHOOSE({1,2,3,4},HN!X324,HN!AD324,HN!AJ324,HN!AP324)))</f>
        <v>0</v>
      </c>
    </row>
    <row r="325" spans="1:12">
      <c r="A325">
        <f>SUMPRODUCT((MONTH(CHOOSE({1,2,3,4},HN!U325,HN!AA325,HN!AG325,HN!AM325))=1)*(CHOOSE({1,2,3,4},HN!X325,HN!AD325,HN!AJ325,HN!AP325)))</f>
        <v>0</v>
      </c>
      <c r="B325">
        <f>SUMPRODUCT((MONTH(CHOOSE({1,2,3,4},HN!U325,HN!AA325,HN!AG325,HN!AM325))=2)*(CHOOSE({1,2,3,4},HN!X325,HN!AD325,HN!AJ325,HN!AP325)))</f>
        <v>0</v>
      </c>
      <c r="C325">
        <f>SUMPRODUCT((MONTH(CHOOSE({1,2,3,4},HN!U325,HN!AA325,HN!AG325,HN!AM325))=3)*(CHOOSE({1,2,3,4},HN!X325,HN!AD325,HN!AJ325,HN!AP325)))</f>
        <v>0</v>
      </c>
      <c r="D325">
        <f>SUMPRODUCT((MONTH(CHOOSE({1,2,3,4},HN!U325,HN!AA325,HN!AG325,HN!AM325))=4)*(CHOOSE({1,2,3,4},HN!X325,HN!AD325,HN!AJ325,HN!AP325)))</f>
        <v>0</v>
      </c>
      <c r="E325">
        <f>SUMPRODUCT((MONTH(CHOOSE({1,2,3,4},HN!U325,HN!AA325,HN!AG325,HN!AM325))=5)*(CHOOSE({1,2,3,4},HN!X325,HN!AD325,HN!AJ325,HN!AP325)))</f>
        <v>0</v>
      </c>
      <c r="F325">
        <f>SUMPRODUCT((MONTH(CHOOSE({1,2,3,4},HN!U325,HN!AA325,HN!AG325,HN!AM325))=6)*(CHOOSE({1,2,3,4},HN!X325,HN!AD325,HN!AJ325,HN!AP325)))</f>
        <v>0</v>
      </c>
      <c r="G325">
        <f>SUMPRODUCT((MONTH(CHOOSE({1,2,3,4},HN!U325,HN!AA325,HN!AG325,HN!AM325))=7)*(CHOOSE({1,2,3,4},HN!X325,HN!AD325,HN!AJ325,HN!AP325)))</f>
        <v>0</v>
      </c>
      <c r="H325">
        <f>SUMPRODUCT((MONTH(CHOOSE({1,2,3,4},HN!U325,HN!AA325,HN!AG325,HN!AM325))=8)*(CHOOSE({1,2,3,4},HN!X325,HN!AD325,HN!AJ325,HN!AP325)))</f>
        <v>0</v>
      </c>
      <c r="I325">
        <f>SUMPRODUCT((MONTH(CHOOSE({1,2,3,4},HN!U325,HN!AA325,HN!AG325,HN!AM325))=9)*(CHOOSE({1,2,3,4},HN!X325,HN!AD325,HN!AJ325,HN!AP325)))</f>
        <v>0</v>
      </c>
      <c r="J325">
        <f>SUMPRODUCT((MONTH(CHOOSE({1,2,3,4},HN!U325,HN!AA325,HN!AG325,HN!AM325))=10)*(CHOOSE({1,2,3,4},HN!X325,HN!AD325,HN!AJ325,HN!AP325)))</f>
        <v>0</v>
      </c>
      <c r="K325">
        <f>SUMPRODUCT((MONTH(CHOOSE({1,2,3,4},HN!U325,HN!AA325,HN!AG325,HN!AM325))=11)*(CHOOSE({1,2,3,4},HN!X325,HN!AD325,HN!AJ325,HN!AP325)))</f>
        <v>0</v>
      </c>
      <c r="L325">
        <f>SUMPRODUCT((MONTH(CHOOSE({1,2,3,4},HN!U325,HN!AA325,HN!AG325,HN!AM325))=12)*(CHOOSE({1,2,3,4},HN!X325,HN!AD325,HN!AJ325,HN!AP325)))</f>
        <v>0</v>
      </c>
    </row>
    <row r="326" spans="1:12">
      <c r="A326">
        <f>SUMPRODUCT((MONTH(CHOOSE({1,2,3,4},HN!U326,HN!AA326,HN!AG326,HN!AM326))=1)*(CHOOSE({1,2,3,4},HN!X326,HN!AD326,HN!AJ326,HN!AP326)))</f>
        <v>0</v>
      </c>
      <c r="B326">
        <f>SUMPRODUCT((MONTH(CHOOSE({1,2,3,4},HN!U326,HN!AA326,HN!AG326,HN!AM326))=2)*(CHOOSE({1,2,3,4},HN!X326,HN!AD326,HN!AJ326,HN!AP326)))</f>
        <v>0</v>
      </c>
      <c r="C326">
        <f>SUMPRODUCT((MONTH(CHOOSE({1,2,3,4},HN!U326,HN!AA326,HN!AG326,HN!AM326))=3)*(CHOOSE({1,2,3,4},HN!X326,HN!AD326,HN!AJ326,HN!AP326)))</f>
        <v>0</v>
      </c>
      <c r="D326">
        <f>SUMPRODUCT((MONTH(CHOOSE({1,2,3,4},HN!U326,HN!AA326,HN!AG326,HN!AM326))=4)*(CHOOSE({1,2,3,4},HN!X326,HN!AD326,HN!AJ326,HN!AP326)))</f>
        <v>0</v>
      </c>
      <c r="E326">
        <f>SUMPRODUCT((MONTH(CHOOSE({1,2,3,4},HN!U326,HN!AA326,HN!AG326,HN!AM326))=5)*(CHOOSE({1,2,3,4},HN!X326,HN!AD326,HN!AJ326,HN!AP326)))</f>
        <v>0</v>
      </c>
      <c r="F326">
        <f>SUMPRODUCT((MONTH(CHOOSE({1,2,3,4},HN!U326,HN!AA326,HN!AG326,HN!AM326))=6)*(CHOOSE({1,2,3,4},HN!X326,HN!AD326,HN!AJ326,HN!AP326)))</f>
        <v>0</v>
      </c>
      <c r="G326">
        <f>SUMPRODUCT((MONTH(CHOOSE({1,2,3,4},HN!U326,HN!AA326,HN!AG326,HN!AM326))=7)*(CHOOSE({1,2,3,4},HN!X326,HN!AD326,HN!AJ326,HN!AP326)))</f>
        <v>0</v>
      </c>
      <c r="H326">
        <f>SUMPRODUCT((MONTH(CHOOSE({1,2,3,4},HN!U326,HN!AA326,HN!AG326,HN!AM326))=8)*(CHOOSE({1,2,3,4},HN!X326,HN!AD326,HN!AJ326,HN!AP326)))</f>
        <v>0</v>
      </c>
      <c r="I326">
        <f>SUMPRODUCT((MONTH(CHOOSE({1,2,3,4},HN!U326,HN!AA326,HN!AG326,HN!AM326))=9)*(CHOOSE({1,2,3,4},HN!X326,HN!AD326,HN!AJ326,HN!AP326)))</f>
        <v>0</v>
      </c>
      <c r="J326">
        <f>SUMPRODUCT((MONTH(CHOOSE({1,2,3,4},HN!U326,HN!AA326,HN!AG326,HN!AM326))=10)*(CHOOSE({1,2,3,4},HN!X326,HN!AD326,HN!AJ326,HN!AP326)))</f>
        <v>0</v>
      </c>
      <c r="K326">
        <f>SUMPRODUCT((MONTH(CHOOSE({1,2,3,4},HN!U326,HN!AA326,HN!AG326,HN!AM326))=11)*(CHOOSE({1,2,3,4},HN!X326,HN!AD326,HN!AJ326,HN!AP326)))</f>
        <v>0</v>
      </c>
      <c r="L326">
        <f>SUMPRODUCT((MONTH(CHOOSE({1,2,3,4},HN!U326,HN!AA326,HN!AG326,HN!AM326))=12)*(CHOOSE({1,2,3,4},HN!X326,HN!AD326,HN!AJ326,HN!AP326)))</f>
        <v>0</v>
      </c>
    </row>
    <row r="327" spans="1:12">
      <c r="A327">
        <f>SUMPRODUCT((MONTH(CHOOSE({1,2,3,4},HN!U327,HN!AA327,HN!AG327,HN!AM327))=1)*(CHOOSE({1,2,3,4},HN!X327,HN!AD327,HN!AJ327,HN!AP327)))</f>
        <v>0</v>
      </c>
      <c r="B327">
        <f>SUMPRODUCT((MONTH(CHOOSE({1,2,3,4},HN!U327,HN!AA327,HN!AG327,HN!AM327))=2)*(CHOOSE({1,2,3,4},HN!X327,HN!AD327,HN!AJ327,HN!AP327)))</f>
        <v>0</v>
      </c>
      <c r="C327">
        <f>SUMPRODUCT((MONTH(CHOOSE({1,2,3,4},HN!U327,HN!AA327,HN!AG327,HN!AM327))=3)*(CHOOSE({1,2,3,4},HN!X327,HN!AD327,HN!AJ327,HN!AP327)))</f>
        <v>0</v>
      </c>
      <c r="D327">
        <f>SUMPRODUCT((MONTH(CHOOSE({1,2,3,4},HN!U327,HN!AA327,HN!AG327,HN!AM327))=4)*(CHOOSE({1,2,3,4},HN!X327,HN!AD327,HN!AJ327,HN!AP327)))</f>
        <v>0</v>
      </c>
      <c r="E327">
        <f>SUMPRODUCT((MONTH(CHOOSE({1,2,3,4},HN!U327,HN!AA327,HN!AG327,HN!AM327))=5)*(CHOOSE({1,2,3,4},HN!X327,HN!AD327,HN!AJ327,HN!AP327)))</f>
        <v>0</v>
      </c>
      <c r="F327">
        <f>SUMPRODUCT((MONTH(CHOOSE({1,2,3,4},HN!U327,HN!AA327,HN!AG327,HN!AM327))=6)*(CHOOSE({1,2,3,4},HN!X327,HN!AD327,HN!AJ327,HN!AP327)))</f>
        <v>0</v>
      </c>
      <c r="G327">
        <f>SUMPRODUCT((MONTH(CHOOSE({1,2,3,4},HN!U327,HN!AA327,HN!AG327,HN!AM327))=7)*(CHOOSE({1,2,3,4},HN!X327,HN!AD327,HN!AJ327,HN!AP327)))</f>
        <v>0</v>
      </c>
      <c r="H327">
        <f>SUMPRODUCT((MONTH(CHOOSE({1,2,3,4},HN!U327,HN!AA327,HN!AG327,HN!AM327))=8)*(CHOOSE({1,2,3,4},HN!X327,HN!AD327,HN!AJ327,HN!AP327)))</f>
        <v>0</v>
      </c>
      <c r="I327">
        <f>SUMPRODUCT((MONTH(CHOOSE({1,2,3,4},HN!U327,HN!AA327,HN!AG327,HN!AM327))=9)*(CHOOSE({1,2,3,4},HN!X327,HN!AD327,HN!AJ327,HN!AP327)))</f>
        <v>0</v>
      </c>
      <c r="J327">
        <f>SUMPRODUCT((MONTH(CHOOSE({1,2,3,4},HN!U327,HN!AA327,HN!AG327,HN!AM327))=10)*(CHOOSE({1,2,3,4},HN!X327,HN!AD327,HN!AJ327,HN!AP327)))</f>
        <v>0</v>
      </c>
      <c r="K327">
        <f>SUMPRODUCT((MONTH(CHOOSE({1,2,3,4},HN!U327,HN!AA327,HN!AG327,HN!AM327))=11)*(CHOOSE({1,2,3,4},HN!X327,HN!AD327,HN!AJ327,HN!AP327)))</f>
        <v>0</v>
      </c>
      <c r="L327">
        <f>SUMPRODUCT((MONTH(CHOOSE({1,2,3,4},HN!U327,HN!AA327,HN!AG327,HN!AM327))=12)*(CHOOSE({1,2,3,4},HN!X327,HN!AD327,HN!AJ327,HN!AP327)))</f>
        <v>0</v>
      </c>
    </row>
    <row r="328" spans="1:12">
      <c r="A328">
        <f>SUMPRODUCT((MONTH(CHOOSE({1,2,3,4},HN!U328,HN!AA328,HN!AG328,HN!AM328))=1)*(CHOOSE({1,2,3,4},HN!X328,HN!AD328,HN!AJ328,HN!AP328)))</f>
        <v>0</v>
      </c>
      <c r="B328">
        <f>SUMPRODUCT((MONTH(CHOOSE({1,2,3,4},HN!U328,HN!AA328,HN!AG328,HN!AM328))=2)*(CHOOSE({1,2,3,4},HN!X328,HN!AD328,HN!AJ328,HN!AP328)))</f>
        <v>0</v>
      </c>
      <c r="C328">
        <f>SUMPRODUCT((MONTH(CHOOSE({1,2,3,4},HN!U328,HN!AA328,HN!AG328,HN!AM328))=3)*(CHOOSE({1,2,3,4},HN!X328,HN!AD328,HN!AJ328,HN!AP328)))</f>
        <v>0</v>
      </c>
      <c r="D328">
        <f>SUMPRODUCT((MONTH(CHOOSE({1,2,3,4},HN!U328,HN!AA328,HN!AG328,HN!AM328))=4)*(CHOOSE({1,2,3,4},HN!X328,HN!AD328,HN!AJ328,HN!AP328)))</f>
        <v>0</v>
      </c>
      <c r="E328">
        <f>SUMPRODUCT((MONTH(CHOOSE({1,2,3,4},HN!U328,HN!AA328,HN!AG328,HN!AM328))=5)*(CHOOSE({1,2,3,4},HN!X328,HN!AD328,HN!AJ328,HN!AP328)))</f>
        <v>0</v>
      </c>
      <c r="F328">
        <f>SUMPRODUCT((MONTH(CHOOSE({1,2,3,4},HN!U328,HN!AA328,HN!AG328,HN!AM328))=6)*(CHOOSE({1,2,3,4},HN!X328,HN!AD328,HN!AJ328,HN!AP328)))</f>
        <v>0</v>
      </c>
      <c r="G328">
        <f>SUMPRODUCT((MONTH(CHOOSE({1,2,3,4},HN!U328,HN!AA328,HN!AG328,HN!AM328))=7)*(CHOOSE({1,2,3,4},HN!X328,HN!AD328,HN!AJ328,HN!AP328)))</f>
        <v>0</v>
      </c>
      <c r="H328">
        <f>SUMPRODUCT((MONTH(CHOOSE({1,2,3,4},HN!U328,HN!AA328,HN!AG328,HN!AM328))=8)*(CHOOSE({1,2,3,4},HN!X328,HN!AD328,HN!AJ328,HN!AP328)))</f>
        <v>0</v>
      </c>
      <c r="I328">
        <f>SUMPRODUCT((MONTH(CHOOSE({1,2,3,4},HN!U328,HN!AA328,HN!AG328,HN!AM328))=9)*(CHOOSE({1,2,3,4},HN!X328,HN!AD328,HN!AJ328,HN!AP328)))</f>
        <v>0</v>
      </c>
      <c r="J328">
        <f>SUMPRODUCT((MONTH(CHOOSE({1,2,3,4},HN!U328,HN!AA328,HN!AG328,HN!AM328))=10)*(CHOOSE({1,2,3,4},HN!X328,HN!AD328,HN!AJ328,HN!AP328)))</f>
        <v>0</v>
      </c>
      <c r="K328">
        <f>SUMPRODUCT((MONTH(CHOOSE({1,2,3,4},HN!U328,HN!AA328,HN!AG328,HN!AM328))=11)*(CHOOSE({1,2,3,4},HN!X328,HN!AD328,HN!AJ328,HN!AP328)))</f>
        <v>0</v>
      </c>
      <c r="L328">
        <f>SUMPRODUCT((MONTH(CHOOSE({1,2,3,4},HN!U328,HN!AA328,HN!AG328,HN!AM328))=12)*(CHOOSE({1,2,3,4},HN!X328,HN!AD328,HN!AJ328,HN!AP328)))</f>
        <v>0</v>
      </c>
    </row>
    <row r="329" spans="1:12">
      <c r="A329">
        <f>SUMPRODUCT((MONTH(CHOOSE({1,2,3,4},HN!U329,HN!AA329,HN!AG329,HN!AM329))=1)*(CHOOSE({1,2,3,4},HN!X329,HN!AD329,HN!AJ329,HN!AP329)))</f>
        <v>0</v>
      </c>
      <c r="B329">
        <f>SUMPRODUCT((MONTH(CHOOSE({1,2,3,4},HN!U329,HN!AA329,HN!AG329,HN!AM329))=2)*(CHOOSE({1,2,3,4},HN!X329,HN!AD329,HN!AJ329,HN!AP329)))</f>
        <v>0</v>
      </c>
      <c r="C329">
        <f>SUMPRODUCT((MONTH(CHOOSE({1,2,3,4},HN!U329,HN!AA329,HN!AG329,HN!AM329))=3)*(CHOOSE({1,2,3,4},HN!X329,HN!AD329,HN!AJ329,HN!AP329)))</f>
        <v>0</v>
      </c>
      <c r="D329">
        <f>SUMPRODUCT((MONTH(CHOOSE({1,2,3,4},HN!U329,HN!AA329,HN!AG329,HN!AM329))=4)*(CHOOSE({1,2,3,4},HN!X329,HN!AD329,HN!AJ329,HN!AP329)))</f>
        <v>0</v>
      </c>
      <c r="E329">
        <f>SUMPRODUCT((MONTH(CHOOSE({1,2,3,4},HN!U329,HN!AA329,HN!AG329,HN!AM329))=5)*(CHOOSE({1,2,3,4},HN!X329,HN!AD329,HN!AJ329,HN!AP329)))</f>
        <v>0</v>
      </c>
      <c r="F329">
        <f>SUMPRODUCT((MONTH(CHOOSE({1,2,3,4},HN!U329,HN!AA329,HN!AG329,HN!AM329))=6)*(CHOOSE({1,2,3,4},HN!X329,HN!AD329,HN!AJ329,HN!AP329)))</f>
        <v>0</v>
      </c>
      <c r="G329">
        <f>SUMPRODUCT((MONTH(CHOOSE({1,2,3,4},HN!U329,HN!AA329,HN!AG329,HN!AM329))=7)*(CHOOSE({1,2,3,4},HN!X329,HN!AD329,HN!AJ329,HN!AP329)))</f>
        <v>0</v>
      </c>
      <c r="H329">
        <f>SUMPRODUCT((MONTH(CHOOSE({1,2,3,4},HN!U329,HN!AA329,HN!AG329,HN!AM329))=8)*(CHOOSE({1,2,3,4},HN!X329,HN!AD329,HN!AJ329,HN!AP329)))</f>
        <v>0</v>
      </c>
      <c r="I329">
        <f>SUMPRODUCT((MONTH(CHOOSE({1,2,3,4},HN!U329,HN!AA329,HN!AG329,HN!AM329))=9)*(CHOOSE({1,2,3,4},HN!X329,HN!AD329,HN!AJ329,HN!AP329)))</f>
        <v>0</v>
      </c>
      <c r="J329">
        <f>SUMPRODUCT((MONTH(CHOOSE({1,2,3,4},HN!U329,HN!AA329,HN!AG329,HN!AM329))=10)*(CHOOSE({1,2,3,4},HN!X329,HN!AD329,HN!AJ329,HN!AP329)))</f>
        <v>0</v>
      </c>
      <c r="K329">
        <f>SUMPRODUCT((MONTH(CHOOSE({1,2,3,4},HN!U329,HN!AA329,HN!AG329,HN!AM329))=11)*(CHOOSE({1,2,3,4},HN!X329,HN!AD329,HN!AJ329,HN!AP329)))</f>
        <v>0</v>
      </c>
      <c r="L329">
        <f>SUMPRODUCT((MONTH(CHOOSE({1,2,3,4},HN!U329,HN!AA329,HN!AG329,HN!AM329))=12)*(CHOOSE({1,2,3,4},HN!X329,HN!AD329,HN!AJ329,HN!AP329)))</f>
        <v>0</v>
      </c>
    </row>
    <row r="330" spans="1:12">
      <c r="A330">
        <f>SUMPRODUCT((MONTH(CHOOSE({1,2,3,4},HN!U330,HN!AA330,HN!AG330,HN!AM330))=1)*(CHOOSE({1,2,3,4},HN!X330,HN!AD330,HN!AJ330,HN!AP330)))</f>
        <v>0</v>
      </c>
      <c r="B330">
        <f>SUMPRODUCT((MONTH(CHOOSE({1,2,3,4},HN!U330,HN!AA330,HN!AG330,HN!AM330))=2)*(CHOOSE({1,2,3,4},HN!X330,HN!AD330,HN!AJ330,HN!AP330)))</f>
        <v>0</v>
      </c>
      <c r="C330">
        <f>SUMPRODUCT((MONTH(CHOOSE({1,2,3,4},HN!U330,HN!AA330,HN!AG330,HN!AM330))=3)*(CHOOSE({1,2,3,4},HN!X330,HN!AD330,HN!AJ330,HN!AP330)))</f>
        <v>0</v>
      </c>
      <c r="D330">
        <f>SUMPRODUCT((MONTH(CHOOSE({1,2,3,4},HN!U330,HN!AA330,HN!AG330,HN!AM330))=4)*(CHOOSE({1,2,3,4},HN!X330,HN!AD330,HN!AJ330,HN!AP330)))</f>
        <v>0</v>
      </c>
      <c r="E330">
        <f>SUMPRODUCT((MONTH(CHOOSE({1,2,3,4},HN!U330,HN!AA330,HN!AG330,HN!AM330))=5)*(CHOOSE({1,2,3,4},HN!X330,HN!AD330,HN!AJ330,HN!AP330)))</f>
        <v>0</v>
      </c>
      <c r="F330">
        <f>SUMPRODUCT((MONTH(CHOOSE({1,2,3,4},HN!U330,HN!AA330,HN!AG330,HN!AM330))=6)*(CHOOSE({1,2,3,4},HN!X330,HN!AD330,HN!AJ330,HN!AP330)))</f>
        <v>0</v>
      </c>
      <c r="G330">
        <f>SUMPRODUCT((MONTH(CHOOSE({1,2,3,4},HN!U330,HN!AA330,HN!AG330,HN!AM330))=7)*(CHOOSE({1,2,3,4},HN!X330,HN!AD330,HN!AJ330,HN!AP330)))</f>
        <v>0</v>
      </c>
      <c r="H330">
        <f>SUMPRODUCT((MONTH(CHOOSE({1,2,3,4},HN!U330,HN!AA330,HN!AG330,HN!AM330))=8)*(CHOOSE({1,2,3,4},HN!X330,HN!AD330,HN!AJ330,HN!AP330)))</f>
        <v>0</v>
      </c>
      <c r="I330">
        <f>SUMPRODUCT((MONTH(CHOOSE({1,2,3,4},HN!U330,HN!AA330,HN!AG330,HN!AM330))=9)*(CHOOSE({1,2,3,4},HN!X330,HN!AD330,HN!AJ330,HN!AP330)))</f>
        <v>0</v>
      </c>
      <c r="J330">
        <f>SUMPRODUCT((MONTH(CHOOSE({1,2,3,4},HN!U330,HN!AA330,HN!AG330,HN!AM330))=10)*(CHOOSE({1,2,3,4},HN!X330,HN!AD330,HN!AJ330,HN!AP330)))</f>
        <v>0</v>
      </c>
      <c r="K330">
        <f>SUMPRODUCT((MONTH(CHOOSE({1,2,3,4},HN!U330,HN!AA330,HN!AG330,HN!AM330))=11)*(CHOOSE({1,2,3,4},HN!X330,HN!AD330,HN!AJ330,HN!AP330)))</f>
        <v>0</v>
      </c>
      <c r="L330">
        <f>SUMPRODUCT((MONTH(CHOOSE({1,2,3,4},HN!U330,HN!AA330,HN!AG330,HN!AM330))=12)*(CHOOSE({1,2,3,4},HN!X330,HN!AD330,HN!AJ330,HN!AP330)))</f>
        <v>0</v>
      </c>
    </row>
    <row r="331" spans="1:12">
      <c r="A331">
        <f>SUMPRODUCT((MONTH(CHOOSE({1,2,3,4},HN!U331,HN!AA331,HN!AG331,HN!AM331))=1)*(CHOOSE({1,2,3,4},HN!X331,HN!AD331,HN!AJ331,HN!AP331)))</f>
        <v>0</v>
      </c>
      <c r="B331">
        <f>SUMPRODUCT((MONTH(CHOOSE({1,2,3,4},HN!U331,HN!AA331,HN!AG331,HN!AM331))=2)*(CHOOSE({1,2,3,4},HN!X331,HN!AD331,HN!AJ331,HN!AP331)))</f>
        <v>0</v>
      </c>
      <c r="C331">
        <f>SUMPRODUCT((MONTH(CHOOSE({1,2,3,4},HN!U331,HN!AA331,HN!AG331,HN!AM331))=3)*(CHOOSE({1,2,3,4},HN!X331,HN!AD331,HN!AJ331,HN!AP331)))</f>
        <v>0</v>
      </c>
      <c r="D331">
        <f>SUMPRODUCT((MONTH(CHOOSE({1,2,3,4},HN!U331,HN!AA331,HN!AG331,HN!AM331))=4)*(CHOOSE({1,2,3,4},HN!X331,HN!AD331,HN!AJ331,HN!AP331)))</f>
        <v>0</v>
      </c>
      <c r="E331">
        <f>SUMPRODUCT((MONTH(CHOOSE({1,2,3,4},HN!U331,HN!AA331,HN!AG331,HN!AM331))=5)*(CHOOSE({1,2,3,4},HN!X331,HN!AD331,HN!AJ331,HN!AP331)))</f>
        <v>0</v>
      </c>
      <c r="F331">
        <f>SUMPRODUCT((MONTH(CHOOSE({1,2,3,4},HN!U331,HN!AA331,HN!AG331,HN!AM331))=6)*(CHOOSE({1,2,3,4},HN!X331,HN!AD331,HN!AJ331,HN!AP331)))</f>
        <v>0</v>
      </c>
      <c r="G331">
        <f>SUMPRODUCT((MONTH(CHOOSE({1,2,3,4},HN!U331,HN!AA331,HN!AG331,HN!AM331))=7)*(CHOOSE({1,2,3,4},HN!X331,HN!AD331,HN!AJ331,HN!AP331)))</f>
        <v>0</v>
      </c>
      <c r="H331">
        <f>SUMPRODUCT((MONTH(CHOOSE({1,2,3,4},HN!U331,HN!AA331,HN!AG331,HN!AM331))=8)*(CHOOSE({1,2,3,4},HN!X331,HN!AD331,HN!AJ331,HN!AP331)))</f>
        <v>0</v>
      </c>
      <c r="I331">
        <f>SUMPRODUCT((MONTH(CHOOSE({1,2,3,4},HN!U331,HN!AA331,HN!AG331,HN!AM331))=9)*(CHOOSE({1,2,3,4},HN!X331,HN!AD331,HN!AJ331,HN!AP331)))</f>
        <v>0</v>
      </c>
      <c r="J331">
        <f>SUMPRODUCT((MONTH(CHOOSE({1,2,3,4},HN!U331,HN!AA331,HN!AG331,HN!AM331))=10)*(CHOOSE({1,2,3,4},HN!X331,HN!AD331,HN!AJ331,HN!AP331)))</f>
        <v>0</v>
      </c>
      <c r="K331">
        <f>SUMPRODUCT((MONTH(CHOOSE({1,2,3,4},HN!U331,HN!AA331,HN!AG331,HN!AM331))=11)*(CHOOSE({1,2,3,4},HN!X331,HN!AD331,HN!AJ331,HN!AP331)))</f>
        <v>0</v>
      </c>
      <c r="L331">
        <f>SUMPRODUCT((MONTH(CHOOSE({1,2,3,4},HN!U331,HN!AA331,HN!AG331,HN!AM331))=12)*(CHOOSE({1,2,3,4},HN!X331,HN!AD331,HN!AJ331,HN!AP331)))</f>
        <v>0</v>
      </c>
    </row>
    <row r="332" spans="1:12">
      <c r="A332">
        <f>SUMPRODUCT((MONTH(CHOOSE({1,2,3,4},HN!U332,HN!AA332,HN!AG332,HN!AM332))=1)*(CHOOSE({1,2,3,4},HN!X332,HN!AD332,HN!AJ332,HN!AP332)))</f>
        <v>0</v>
      </c>
      <c r="B332">
        <f>SUMPRODUCT((MONTH(CHOOSE({1,2,3,4},HN!U332,HN!AA332,HN!AG332,HN!AM332))=2)*(CHOOSE({1,2,3,4},HN!X332,HN!AD332,HN!AJ332,HN!AP332)))</f>
        <v>0</v>
      </c>
      <c r="C332">
        <f>SUMPRODUCT((MONTH(CHOOSE({1,2,3,4},HN!U332,HN!AA332,HN!AG332,HN!AM332))=3)*(CHOOSE({1,2,3,4},HN!X332,HN!AD332,HN!AJ332,HN!AP332)))</f>
        <v>0</v>
      </c>
      <c r="D332">
        <f>SUMPRODUCT((MONTH(CHOOSE({1,2,3,4},HN!U332,HN!AA332,HN!AG332,HN!AM332))=4)*(CHOOSE({1,2,3,4},HN!X332,HN!AD332,HN!AJ332,HN!AP332)))</f>
        <v>0</v>
      </c>
      <c r="E332">
        <f>SUMPRODUCT((MONTH(CHOOSE({1,2,3,4},HN!U332,HN!AA332,HN!AG332,HN!AM332))=5)*(CHOOSE({1,2,3,4},HN!X332,HN!AD332,HN!AJ332,HN!AP332)))</f>
        <v>0</v>
      </c>
      <c r="F332">
        <f>SUMPRODUCT((MONTH(CHOOSE({1,2,3,4},HN!U332,HN!AA332,HN!AG332,HN!AM332))=6)*(CHOOSE({1,2,3,4},HN!X332,HN!AD332,HN!AJ332,HN!AP332)))</f>
        <v>0</v>
      </c>
      <c r="G332">
        <f>SUMPRODUCT((MONTH(CHOOSE({1,2,3,4},HN!U332,HN!AA332,HN!AG332,HN!AM332))=7)*(CHOOSE({1,2,3,4},HN!X332,HN!AD332,HN!AJ332,HN!AP332)))</f>
        <v>0</v>
      </c>
      <c r="H332">
        <f>SUMPRODUCT((MONTH(CHOOSE({1,2,3,4},HN!U332,HN!AA332,HN!AG332,HN!AM332))=8)*(CHOOSE({1,2,3,4},HN!X332,HN!AD332,HN!AJ332,HN!AP332)))</f>
        <v>0</v>
      </c>
      <c r="I332">
        <f>SUMPRODUCT((MONTH(CHOOSE({1,2,3,4},HN!U332,HN!AA332,HN!AG332,HN!AM332))=9)*(CHOOSE({1,2,3,4},HN!X332,HN!AD332,HN!AJ332,HN!AP332)))</f>
        <v>0</v>
      </c>
      <c r="J332">
        <f>SUMPRODUCT((MONTH(CHOOSE({1,2,3,4},HN!U332,HN!AA332,HN!AG332,HN!AM332))=10)*(CHOOSE({1,2,3,4},HN!X332,HN!AD332,HN!AJ332,HN!AP332)))</f>
        <v>0</v>
      </c>
      <c r="K332">
        <f>SUMPRODUCT((MONTH(CHOOSE({1,2,3,4},HN!U332,HN!AA332,HN!AG332,HN!AM332))=11)*(CHOOSE({1,2,3,4},HN!X332,HN!AD332,HN!AJ332,HN!AP332)))</f>
        <v>0</v>
      </c>
      <c r="L332">
        <f>SUMPRODUCT((MONTH(CHOOSE({1,2,3,4},HN!U332,HN!AA332,HN!AG332,HN!AM332))=12)*(CHOOSE({1,2,3,4},HN!X332,HN!AD332,HN!AJ332,HN!AP332)))</f>
        <v>0</v>
      </c>
    </row>
    <row r="333" spans="1:12">
      <c r="A333">
        <f>SUMPRODUCT((MONTH(CHOOSE({1,2,3,4},HN!U333,HN!AA333,HN!AG333,HN!AM333))=1)*(CHOOSE({1,2,3,4},HN!X333,HN!AD333,HN!AJ333,HN!AP333)))</f>
        <v>0</v>
      </c>
      <c r="B333">
        <f>SUMPRODUCT((MONTH(CHOOSE({1,2,3,4},HN!U333,HN!AA333,HN!AG333,HN!AM333))=2)*(CHOOSE({1,2,3,4},HN!X333,HN!AD333,HN!AJ333,HN!AP333)))</f>
        <v>0</v>
      </c>
      <c r="C333">
        <f>SUMPRODUCT((MONTH(CHOOSE({1,2,3,4},HN!U333,HN!AA333,HN!AG333,HN!AM333))=3)*(CHOOSE({1,2,3,4},HN!X333,HN!AD333,HN!AJ333,HN!AP333)))</f>
        <v>0</v>
      </c>
      <c r="D333">
        <f>SUMPRODUCT((MONTH(CHOOSE({1,2,3,4},HN!U333,HN!AA333,HN!AG333,HN!AM333))=4)*(CHOOSE({1,2,3,4},HN!X333,HN!AD333,HN!AJ333,HN!AP333)))</f>
        <v>0</v>
      </c>
      <c r="E333">
        <f>SUMPRODUCT((MONTH(CHOOSE({1,2,3,4},HN!U333,HN!AA333,HN!AG333,HN!AM333))=5)*(CHOOSE({1,2,3,4},HN!X333,HN!AD333,HN!AJ333,HN!AP333)))</f>
        <v>0</v>
      </c>
      <c r="F333">
        <f>SUMPRODUCT((MONTH(CHOOSE({1,2,3,4},HN!U333,HN!AA333,HN!AG333,HN!AM333))=6)*(CHOOSE({1,2,3,4},HN!X333,HN!AD333,HN!AJ333,HN!AP333)))</f>
        <v>0</v>
      </c>
      <c r="G333">
        <f>SUMPRODUCT((MONTH(CHOOSE({1,2,3,4},HN!U333,HN!AA333,HN!AG333,HN!AM333))=7)*(CHOOSE({1,2,3,4},HN!X333,HN!AD333,HN!AJ333,HN!AP333)))</f>
        <v>0</v>
      </c>
      <c r="H333">
        <f>SUMPRODUCT((MONTH(CHOOSE({1,2,3,4},HN!U333,HN!AA333,HN!AG333,HN!AM333))=8)*(CHOOSE({1,2,3,4},HN!X333,HN!AD333,HN!AJ333,HN!AP333)))</f>
        <v>0</v>
      </c>
      <c r="I333">
        <f>SUMPRODUCT((MONTH(CHOOSE({1,2,3,4},HN!U333,HN!AA333,HN!AG333,HN!AM333))=9)*(CHOOSE({1,2,3,4},HN!X333,HN!AD333,HN!AJ333,HN!AP333)))</f>
        <v>0</v>
      </c>
      <c r="J333">
        <f>SUMPRODUCT((MONTH(CHOOSE({1,2,3,4},HN!U333,HN!AA333,HN!AG333,HN!AM333))=10)*(CHOOSE({1,2,3,4},HN!X333,HN!AD333,HN!AJ333,HN!AP333)))</f>
        <v>0</v>
      </c>
      <c r="K333">
        <f>SUMPRODUCT((MONTH(CHOOSE({1,2,3,4},HN!U333,HN!AA333,HN!AG333,HN!AM333))=11)*(CHOOSE({1,2,3,4},HN!X333,HN!AD333,HN!AJ333,HN!AP333)))</f>
        <v>0</v>
      </c>
      <c r="L333">
        <f>SUMPRODUCT((MONTH(CHOOSE({1,2,3,4},HN!U333,HN!AA333,HN!AG333,HN!AM333))=12)*(CHOOSE({1,2,3,4},HN!X333,HN!AD333,HN!AJ333,HN!AP333)))</f>
        <v>0</v>
      </c>
    </row>
    <row r="334" spans="1:12">
      <c r="A334">
        <f>SUMPRODUCT((MONTH(CHOOSE({1,2,3,4},HN!U334,HN!AA334,HN!AG334,HN!AM334))=1)*(CHOOSE({1,2,3,4},HN!X334,HN!AD334,HN!AJ334,HN!AP334)))</f>
        <v>0</v>
      </c>
      <c r="B334">
        <f>SUMPRODUCT((MONTH(CHOOSE({1,2,3,4},HN!U334,HN!AA334,HN!AG334,HN!AM334))=2)*(CHOOSE({1,2,3,4},HN!X334,HN!AD334,HN!AJ334,HN!AP334)))</f>
        <v>0</v>
      </c>
      <c r="C334">
        <f>SUMPRODUCT((MONTH(CHOOSE({1,2,3,4},HN!U334,HN!AA334,HN!AG334,HN!AM334))=3)*(CHOOSE({1,2,3,4},HN!X334,HN!AD334,HN!AJ334,HN!AP334)))</f>
        <v>0</v>
      </c>
      <c r="D334">
        <f>SUMPRODUCT((MONTH(CHOOSE({1,2,3,4},HN!U334,HN!AA334,HN!AG334,HN!AM334))=4)*(CHOOSE({1,2,3,4},HN!X334,HN!AD334,HN!AJ334,HN!AP334)))</f>
        <v>0</v>
      </c>
      <c r="E334">
        <f>SUMPRODUCT((MONTH(CHOOSE({1,2,3,4},HN!U334,HN!AA334,HN!AG334,HN!AM334))=5)*(CHOOSE({1,2,3,4},HN!X334,HN!AD334,HN!AJ334,HN!AP334)))</f>
        <v>0</v>
      </c>
      <c r="F334">
        <f>SUMPRODUCT((MONTH(CHOOSE({1,2,3,4},HN!U334,HN!AA334,HN!AG334,HN!AM334))=6)*(CHOOSE({1,2,3,4},HN!X334,HN!AD334,HN!AJ334,HN!AP334)))</f>
        <v>0</v>
      </c>
      <c r="G334">
        <f>SUMPRODUCT((MONTH(CHOOSE({1,2,3,4},HN!U334,HN!AA334,HN!AG334,HN!AM334))=7)*(CHOOSE({1,2,3,4},HN!X334,HN!AD334,HN!AJ334,HN!AP334)))</f>
        <v>0</v>
      </c>
      <c r="H334">
        <f>SUMPRODUCT((MONTH(CHOOSE({1,2,3,4},HN!U334,HN!AA334,HN!AG334,HN!AM334))=8)*(CHOOSE({1,2,3,4},HN!X334,HN!AD334,HN!AJ334,HN!AP334)))</f>
        <v>0</v>
      </c>
      <c r="I334">
        <f>SUMPRODUCT((MONTH(CHOOSE({1,2,3,4},HN!U334,HN!AA334,HN!AG334,HN!AM334))=9)*(CHOOSE({1,2,3,4},HN!X334,HN!AD334,HN!AJ334,HN!AP334)))</f>
        <v>0</v>
      </c>
      <c r="J334">
        <f>SUMPRODUCT((MONTH(CHOOSE({1,2,3,4},HN!U334,HN!AA334,HN!AG334,HN!AM334))=10)*(CHOOSE({1,2,3,4},HN!X334,HN!AD334,HN!AJ334,HN!AP334)))</f>
        <v>0</v>
      </c>
      <c r="K334">
        <f>SUMPRODUCT((MONTH(CHOOSE({1,2,3,4},HN!U334,HN!AA334,HN!AG334,HN!AM334))=11)*(CHOOSE({1,2,3,4},HN!X334,HN!AD334,HN!AJ334,HN!AP334)))</f>
        <v>0</v>
      </c>
      <c r="L334">
        <f>SUMPRODUCT((MONTH(CHOOSE({1,2,3,4},HN!U334,HN!AA334,HN!AG334,HN!AM334))=12)*(CHOOSE({1,2,3,4},HN!X334,HN!AD334,HN!AJ334,HN!AP334)))</f>
        <v>0</v>
      </c>
    </row>
    <row r="335" spans="1:12">
      <c r="A335">
        <f>SUMPRODUCT((MONTH(CHOOSE({1,2,3,4},HN!U335,HN!AA335,HN!AG335,HN!AM335))=1)*(CHOOSE({1,2,3,4},HN!X335,HN!AD335,HN!AJ335,HN!AP335)))</f>
        <v>0</v>
      </c>
      <c r="B335">
        <f>SUMPRODUCT((MONTH(CHOOSE({1,2,3,4},HN!U335,HN!AA335,HN!AG335,HN!AM335))=2)*(CHOOSE({1,2,3,4},HN!X335,HN!AD335,HN!AJ335,HN!AP335)))</f>
        <v>0</v>
      </c>
      <c r="C335">
        <f>SUMPRODUCT((MONTH(CHOOSE({1,2,3,4},HN!U335,HN!AA335,HN!AG335,HN!AM335))=3)*(CHOOSE({1,2,3,4},HN!X335,HN!AD335,HN!AJ335,HN!AP335)))</f>
        <v>0</v>
      </c>
      <c r="D335">
        <f>SUMPRODUCT((MONTH(CHOOSE({1,2,3,4},HN!U335,HN!AA335,HN!AG335,HN!AM335))=4)*(CHOOSE({1,2,3,4},HN!X335,HN!AD335,HN!AJ335,HN!AP335)))</f>
        <v>0</v>
      </c>
      <c r="E335">
        <f>SUMPRODUCT((MONTH(CHOOSE({1,2,3,4},HN!U335,HN!AA335,HN!AG335,HN!AM335))=5)*(CHOOSE({1,2,3,4},HN!X335,HN!AD335,HN!AJ335,HN!AP335)))</f>
        <v>0</v>
      </c>
      <c r="F335">
        <f>SUMPRODUCT((MONTH(CHOOSE({1,2,3,4},HN!U335,HN!AA335,HN!AG335,HN!AM335))=6)*(CHOOSE({1,2,3,4},HN!X335,HN!AD335,HN!AJ335,HN!AP335)))</f>
        <v>0</v>
      </c>
      <c r="G335">
        <f>SUMPRODUCT((MONTH(CHOOSE({1,2,3,4},HN!U335,HN!AA335,HN!AG335,HN!AM335))=7)*(CHOOSE({1,2,3,4},HN!X335,HN!AD335,HN!AJ335,HN!AP335)))</f>
        <v>0</v>
      </c>
      <c r="H335">
        <f>SUMPRODUCT((MONTH(CHOOSE({1,2,3,4},HN!U335,HN!AA335,HN!AG335,HN!AM335))=8)*(CHOOSE({1,2,3,4},HN!X335,HN!AD335,HN!AJ335,HN!AP335)))</f>
        <v>0</v>
      </c>
      <c r="I335">
        <f>SUMPRODUCT((MONTH(CHOOSE({1,2,3,4},HN!U335,HN!AA335,HN!AG335,HN!AM335))=9)*(CHOOSE({1,2,3,4},HN!X335,HN!AD335,HN!AJ335,HN!AP335)))</f>
        <v>0</v>
      </c>
      <c r="J335">
        <f>SUMPRODUCT((MONTH(CHOOSE({1,2,3,4},HN!U335,HN!AA335,HN!AG335,HN!AM335))=10)*(CHOOSE({1,2,3,4},HN!X335,HN!AD335,HN!AJ335,HN!AP335)))</f>
        <v>0</v>
      </c>
      <c r="K335">
        <f>SUMPRODUCT((MONTH(CHOOSE({1,2,3,4},HN!U335,HN!AA335,HN!AG335,HN!AM335))=11)*(CHOOSE({1,2,3,4},HN!X335,HN!AD335,HN!AJ335,HN!AP335)))</f>
        <v>0</v>
      </c>
      <c r="L335">
        <f>SUMPRODUCT((MONTH(CHOOSE({1,2,3,4},HN!U335,HN!AA335,HN!AG335,HN!AM335))=12)*(CHOOSE({1,2,3,4},HN!X335,HN!AD335,HN!AJ335,HN!AP335)))</f>
        <v>0</v>
      </c>
    </row>
    <row r="336" spans="1:12">
      <c r="A336">
        <f>SUMPRODUCT((MONTH(CHOOSE({1,2,3,4},HN!U336,HN!AA336,HN!AG336,HN!AM336))=1)*(CHOOSE({1,2,3,4},HN!X336,HN!AD336,HN!AJ336,HN!AP336)))</f>
        <v>0</v>
      </c>
      <c r="B336">
        <f>SUMPRODUCT((MONTH(CHOOSE({1,2,3,4},HN!U336,HN!AA336,HN!AG336,HN!AM336))=2)*(CHOOSE({1,2,3,4},HN!X336,HN!AD336,HN!AJ336,HN!AP336)))</f>
        <v>0</v>
      </c>
      <c r="C336">
        <f>SUMPRODUCT((MONTH(CHOOSE({1,2,3,4},HN!U336,HN!AA336,HN!AG336,HN!AM336))=3)*(CHOOSE({1,2,3,4},HN!X336,HN!AD336,HN!AJ336,HN!AP336)))</f>
        <v>0</v>
      </c>
      <c r="D336">
        <f>SUMPRODUCT((MONTH(CHOOSE({1,2,3,4},HN!U336,HN!AA336,HN!AG336,HN!AM336))=4)*(CHOOSE({1,2,3,4},HN!X336,HN!AD336,HN!AJ336,HN!AP336)))</f>
        <v>0</v>
      </c>
      <c r="E336">
        <f>SUMPRODUCT((MONTH(CHOOSE({1,2,3,4},HN!U336,HN!AA336,HN!AG336,HN!AM336))=5)*(CHOOSE({1,2,3,4},HN!X336,HN!AD336,HN!AJ336,HN!AP336)))</f>
        <v>0</v>
      </c>
      <c r="F336">
        <f>SUMPRODUCT((MONTH(CHOOSE({1,2,3,4},HN!U336,HN!AA336,HN!AG336,HN!AM336))=6)*(CHOOSE({1,2,3,4},HN!X336,HN!AD336,HN!AJ336,HN!AP336)))</f>
        <v>0</v>
      </c>
      <c r="G336">
        <f>SUMPRODUCT((MONTH(CHOOSE({1,2,3,4},HN!U336,HN!AA336,HN!AG336,HN!AM336))=7)*(CHOOSE({1,2,3,4},HN!X336,HN!AD336,HN!AJ336,HN!AP336)))</f>
        <v>0</v>
      </c>
      <c r="H336">
        <f>SUMPRODUCT((MONTH(CHOOSE({1,2,3,4},HN!U336,HN!AA336,HN!AG336,HN!AM336))=8)*(CHOOSE({1,2,3,4},HN!X336,HN!AD336,HN!AJ336,HN!AP336)))</f>
        <v>0</v>
      </c>
      <c r="I336">
        <f>SUMPRODUCT((MONTH(CHOOSE({1,2,3,4},HN!U336,HN!AA336,HN!AG336,HN!AM336))=9)*(CHOOSE({1,2,3,4},HN!X336,HN!AD336,HN!AJ336,HN!AP336)))</f>
        <v>0</v>
      </c>
      <c r="J336">
        <f>SUMPRODUCT((MONTH(CHOOSE({1,2,3,4},HN!U336,HN!AA336,HN!AG336,HN!AM336))=10)*(CHOOSE({1,2,3,4},HN!X336,HN!AD336,HN!AJ336,HN!AP336)))</f>
        <v>0</v>
      </c>
      <c r="K336">
        <f>SUMPRODUCT((MONTH(CHOOSE({1,2,3,4},HN!U336,HN!AA336,HN!AG336,HN!AM336))=11)*(CHOOSE({1,2,3,4},HN!X336,HN!AD336,HN!AJ336,HN!AP336)))</f>
        <v>0</v>
      </c>
      <c r="L336">
        <f>SUMPRODUCT((MONTH(CHOOSE({1,2,3,4},HN!U336,HN!AA336,HN!AG336,HN!AM336))=12)*(CHOOSE({1,2,3,4},HN!X336,HN!AD336,HN!AJ336,HN!AP336)))</f>
        <v>0</v>
      </c>
    </row>
    <row r="337" spans="1:12">
      <c r="A337">
        <f>SUMPRODUCT((MONTH(CHOOSE({1,2,3,4},HN!U337,HN!AA337,HN!AG337,HN!AM337))=1)*(CHOOSE({1,2,3,4},HN!X337,HN!AD337,HN!AJ337,HN!AP337)))</f>
        <v>0</v>
      </c>
      <c r="B337">
        <f>SUMPRODUCT((MONTH(CHOOSE({1,2,3,4},HN!U337,HN!AA337,HN!AG337,HN!AM337))=2)*(CHOOSE({1,2,3,4},HN!X337,HN!AD337,HN!AJ337,HN!AP337)))</f>
        <v>0</v>
      </c>
      <c r="C337">
        <f>SUMPRODUCT((MONTH(CHOOSE({1,2,3,4},HN!U337,HN!AA337,HN!AG337,HN!AM337))=3)*(CHOOSE({1,2,3,4},HN!X337,HN!AD337,HN!AJ337,HN!AP337)))</f>
        <v>0</v>
      </c>
      <c r="D337">
        <f>SUMPRODUCT((MONTH(CHOOSE({1,2,3,4},HN!U337,HN!AA337,HN!AG337,HN!AM337))=4)*(CHOOSE({1,2,3,4},HN!X337,HN!AD337,HN!AJ337,HN!AP337)))</f>
        <v>0</v>
      </c>
      <c r="E337">
        <f>SUMPRODUCT((MONTH(CHOOSE({1,2,3,4},HN!U337,HN!AA337,HN!AG337,HN!AM337))=5)*(CHOOSE({1,2,3,4},HN!X337,HN!AD337,HN!AJ337,HN!AP337)))</f>
        <v>0</v>
      </c>
      <c r="F337">
        <f>SUMPRODUCT((MONTH(CHOOSE({1,2,3,4},HN!U337,HN!AA337,HN!AG337,HN!AM337))=6)*(CHOOSE({1,2,3,4},HN!X337,HN!AD337,HN!AJ337,HN!AP337)))</f>
        <v>0</v>
      </c>
      <c r="G337">
        <f>SUMPRODUCT((MONTH(CHOOSE({1,2,3,4},HN!U337,HN!AA337,HN!AG337,HN!AM337))=7)*(CHOOSE({1,2,3,4},HN!X337,HN!AD337,HN!AJ337,HN!AP337)))</f>
        <v>0</v>
      </c>
      <c r="H337">
        <f>SUMPRODUCT((MONTH(CHOOSE({1,2,3,4},HN!U337,HN!AA337,HN!AG337,HN!AM337))=8)*(CHOOSE({1,2,3,4},HN!X337,HN!AD337,HN!AJ337,HN!AP337)))</f>
        <v>0</v>
      </c>
      <c r="I337">
        <f>SUMPRODUCT((MONTH(CHOOSE({1,2,3,4},HN!U337,HN!AA337,HN!AG337,HN!AM337))=9)*(CHOOSE({1,2,3,4},HN!X337,HN!AD337,HN!AJ337,HN!AP337)))</f>
        <v>0</v>
      </c>
      <c r="J337">
        <f>SUMPRODUCT((MONTH(CHOOSE({1,2,3,4},HN!U337,HN!AA337,HN!AG337,HN!AM337))=10)*(CHOOSE({1,2,3,4},HN!X337,HN!AD337,HN!AJ337,HN!AP337)))</f>
        <v>0</v>
      </c>
      <c r="K337">
        <f>SUMPRODUCT((MONTH(CHOOSE({1,2,3,4},HN!U337,HN!AA337,HN!AG337,HN!AM337))=11)*(CHOOSE({1,2,3,4},HN!X337,HN!AD337,HN!AJ337,HN!AP337)))</f>
        <v>0</v>
      </c>
      <c r="L337">
        <f>SUMPRODUCT((MONTH(CHOOSE({1,2,3,4},HN!U337,HN!AA337,HN!AG337,HN!AM337))=12)*(CHOOSE({1,2,3,4},HN!X337,HN!AD337,HN!AJ337,HN!AP337)))</f>
        <v>0</v>
      </c>
    </row>
    <row r="338" spans="1:12">
      <c r="A338">
        <f>SUMPRODUCT((MONTH(CHOOSE({1,2,3,4},HN!U338,HN!AA338,HN!AG338,HN!AM338))=1)*(CHOOSE({1,2,3,4},HN!X338,HN!AD338,HN!AJ338,HN!AP338)))</f>
        <v>0</v>
      </c>
      <c r="B338">
        <f>SUMPRODUCT((MONTH(CHOOSE({1,2,3,4},HN!U338,HN!AA338,HN!AG338,HN!AM338))=2)*(CHOOSE({1,2,3,4},HN!X338,HN!AD338,HN!AJ338,HN!AP338)))</f>
        <v>0</v>
      </c>
      <c r="C338">
        <f>SUMPRODUCT((MONTH(CHOOSE({1,2,3,4},HN!U338,HN!AA338,HN!AG338,HN!AM338))=3)*(CHOOSE({1,2,3,4},HN!X338,HN!AD338,HN!AJ338,HN!AP338)))</f>
        <v>0</v>
      </c>
      <c r="D338">
        <f>SUMPRODUCT((MONTH(CHOOSE({1,2,3,4},HN!U338,HN!AA338,HN!AG338,HN!AM338))=4)*(CHOOSE({1,2,3,4},HN!X338,HN!AD338,HN!AJ338,HN!AP338)))</f>
        <v>0</v>
      </c>
      <c r="E338">
        <f>SUMPRODUCT((MONTH(CHOOSE({1,2,3,4},HN!U338,HN!AA338,HN!AG338,HN!AM338))=5)*(CHOOSE({1,2,3,4},HN!X338,HN!AD338,HN!AJ338,HN!AP338)))</f>
        <v>0</v>
      </c>
      <c r="F338">
        <f>SUMPRODUCT((MONTH(CHOOSE({1,2,3,4},HN!U338,HN!AA338,HN!AG338,HN!AM338))=6)*(CHOOSE({1,2,3,4},HN!X338,HN!AD338,HN!AJ338,HN!AP338)))</f>
        <v>0</v>
      </c>
      <c r="G338">
        <f>SUMPRODUCT((MONTH(CHOOSE({1,2,3,4},HN!U338,HN!AA338,HN!AG338,HN!AM338))=7)*(CHOOSE({1,2,3,4},HN!X338,HN!AD338,HN!AJ338,HN!AP338)))</f>
        <v>0</v>
      </c>
      <c r="H338">
        <f>SUMPRODUCT((MONTH(CHOOSE({1,2,3,4},HN!U338,HN!AA338,HN!AG338,HN!AM338))=8)*(CHOOSE({1,2,3,4},HN!X338,HN!AD338,HN!AJ338,HN!AP338)))</f>
        <v>0</v>
      </c>
      <c r="I338">
        <f>SUMPRODUCT((MONTH(CHOOSE({1,2,3,4},HN!U338,HN!AA338,HN!AG338,HN!AM338))=9)*(CHOOSE({1,2,3,4},HN!X338,HN!AD338,HN!AJ338,HN!AP338)))</f>
        <v>0</v>
      </c>
      <c r="J338">
        <f>SUMPRODUCT((MONTH(CHOOSE({1,2,3,4},HN!U338,HN!AA338,HN!AG338,HN!AM338))=10)*(CHOOSE({1,2,3,4},HN!X338,HN!AD338,HN!AJ338,HN!AP338)))</f>
        <v>0</v>
      </c>
      <c r="K338">
        <f>SUMPRODUCT((MONTH(CHOOSE({1,2,3,4},HN!U338,HN!AA338,HN!AG338,HN!AM338))=11)*(CHOOSE({1,2,3,4},HN!X338,HN!AD338,HN!AJ338,HN!AP338)))</f>
        <v>0</v>
      </c>
      <c r="L338">
        <f>SUMPRODUCT((MONTH(CHOOSE({1,2,3,4},HN!U338,HN!AA338,HN!AG338,HN!AM338))=12)*(CHOOSE({1,2,3,4},HN!X338,HN!AD338,HN!AJ338,HN!AP338)))</f>
        <v>0</v>
      </c>
    </row>
    <row r="339" spans="1:12">
      <c r="A339">
        <f>SUMPRODUCT((MONTH(CHOOSE({1,2,3,4},HN!U339,HN!AA339,HN!AG339,HN!AM339))=1)*(CHOOSE({1,2,3,4},HN!X339,HN!AD339,HN!AJ339,HN!AP339)))</f>
        <v>0</v>
      </c>
      <c r="B339">
        <f>SUMPRODUCT((MONTH(CHOOSE({1,2,3,4},HN!U339,HN!AA339,HN!AG339,HN!AM339))=2)*(CHOOSE({1,2,3,4},HN!X339,HN!AD339,HN!AJ339,HN!AP339)))</f>
        <v>0</v>
      </c>
      <c r="C339">
        <f>SUMPRODUCT((MONTH(CHOOSE({1,2,3,4},HN!U339,HN!AA339,HN!AG339,HN!AM339))=3)*(CHOOSE({1,2,3,4},HN!X339,HN!AD339,HN!AJ339,HN!AP339)))</f>
        <v>0</v>
      </c>
      <c r="D339">
        <f>SUMPRODUCT((MONTH(CHOOSE({1,2,3,4},HN!U339,HN!AA339,HN!AG339,HN!AM339))=4)*(CHOOSE({1,2,3,4},HN!X339,HN!AD339,HN!AJ339,HN!AP339)))</f>
        <v>0</v>
      </c>
      <c r="E339">
        <f>SUMPRODUCT((MONTH(CHOOSE({1,2,3,4},HN!U339,HN!AA339,HN!AG339,HN!AM339))=5)*(CHOOSE({1,2,3,4},HN!X339,HN!AD339,HN!AJ339,HN!AP339)))</f>
        <v>0</v>
      </c>
      <c r="F339">
        <f>SUMPRODUCT((MONTH(CHOOSE({1,2,3,4},HN!U339,HN!AA339,HN!AG339,HN!AM339))=6)*(CHOOSE({1,2,3,4},HN!X339,HN!AD339,HN!AJ339,HN!AP339)))</f>
        <v>0</v>
      </c>
      <c r="G339">
        <f>SUMPRODUCT((MONTH(CHOOSE({1,2,3,4},HN!U339,HN!AA339,HN!AG339,HN!AM339))=7)*(CHOOSE({1,2,3,4},HN!X339,HN!AD339,HN!AJ339,HN!AP339)))</f>
        <v>0</v>
      </c>
      <c r="H339">
        <f>SUMPRODUCT((MONTH(CHOOSE({1,2,3,4},HN!U339,HN!AA339,HN!AG339,HN!AM339))=8)*(CHOOSE({1,2,3,4},HN!X339,HN!AD339,HN!AJ339,HN!AP339)))</f>
        <v>0</v>
      </c>
      <c r="I339">
        <f>SUMPRODUCT((MONTH(CHOOSE({1,2,3,4},HN!U339,HN!AA339,HN!AG339,HN!AM339))=9)*(CHOOSE({1,2,3,4},HN!X339,HN!AD339,HN!AJ339,HN!AP339)))</f>
        <v>0</v>
      </c>
      <c r="J339">
        <f>SUMPRODUCT((MONTH(CHOOSE({1,2,3,4},HN!U339,HN!AA339,HN!AG339,HN!AM339))=10)*(CHOOSE({1,2,3,4},HN!X339,HN!AD339,HN!AJ339,HN!AP339)))</f>
        <v>0</v>
      </c>
      <c r="K339">
        <f>SUMPRODUCT((MONTH(CHOOSE({1,2,3,4},HN!U339,HN!AA339,HN!AG339,HN!AM339))=11)*(CHOOSE({1,2,3,4},HN!X339,HN!AD339,HN!AJ339,HN!AP339)))</f>
        <v>0</v>
      </c>
      <c r="L339">
        <f>SUMPRODUCT((MONTH(CHOOSE({1,2,3,4},HN!U339,HN!AA339,HN!AG339,HN!AM339))=12)*(CHOOSE({1,2,3,4},HN!X339,HN!AD339,HN!AJ339,HN!AP339)))</f>
        <v>0</v>
      </c>
    </row>
    <row r="340" spans="1:12">
      <c r="A340">
        <f>SUMPRODUCT((MONTH(CHOOSE({1,2,3,4},HN!U340,HN!AA340,HN!AG340,HN!AM340))=1)*(CHOOSE({1,2,3,4},HN!X340,HN!AD340,HN!AJ340,HN!AP340)))</f>
        <v>0</v>
      </c>
      <c r="B340">
        <f>SUMPRODUCT((MONTH(CHOOSE({1,2,3,4},HN!U340,HN!AA340,HN!AG340,HN!AM340))=2)*(CHOOSE({1,2,3,4},HN!X340,HN!AD340,HN!AJ340,HN!AP340)))</f>
        <v>0</v>
      </c>
      <c r="C340">
        <f>SUMPRODUCT((MONTH(CHOOSE({1,2,3,4},HN!U340,HN!AA340,HN!AG340,HN!AM340))=3)*(CHOOSE({1,2,3,4},HN!X340,HN!AD340,HN!AJ340,HN!AP340)))</f>
        <v>0</v>
      </c>
      <c r="D340">
        <f>SUMPRODUCT((MONTH(CHOOSE({1,2,3,4},HN!U340,HN!AA340,HN!AG340,HN!AM340))=4)*(CHOOSE({1,2,3,4},HN!X340,HN!AD340,HN!AJ340,HN!AP340)))</f>
        <v>0</v>
      </c>
      <c r="E340">
        <f>SUMPRODUCT((MONTH(CHOOSE({1,2,3,4},HN!U340,HN!AA340,HN!AG340,HN!AM340))=5)*(CHOOSE({1,2,3,4},HN!X340,HN!AD340,HN!AJ340,HN!AP340)))</f>
        <v>0</v>
      </c>
      <c r="F340">
        <f>SUMPRODUCT((MONTH(CHOOSE({1,2,3,4},HN!U340,HN!AA340,HN!AG340,HN!AM340))=6)*(CHOOSE({1,2,3,4},HN!X340,HN!AD340,HN!AJ340,HN!AP340)))</f>
        <v>0</v>
      </c>
      <c r="G340">
        <f>SUMPRODUCT((MONTH(CHOOSE({1,2,3,4},HN!U340,HN!AA340,HN!AG340,HN!AM340))=7)*(CHOOSE({1,2,3,4},HN!X340,HN!AD340,HN!AJ340,HN!AP340)))</f>
        <v>0</v>
      </c>
      <c r="H340">
        <f>SUMPRODUCT((MONTH(CHOOSE({1,2,3,4},HN!U340,HN!AA340,HN!AG340,HN!AM340))=8)*(CHOOSE({1,2,3,4},HN!X340,HN!AD340,HN!AJ340,HN!AP340)))</f>
        <v>0</v>
      </c>
      <c r="I340">
        <f>SUMPRODUCT((MONTH(CHOOSE({1,2,3,4},HN!U340,HN!AA340,HN!AG340,HN!AM340))=9)*(CHOOSE({1,2,3,4},HN!X340,HN!AD340,HN!AJ340,HN!AP340)))</f>
        <v>0</v>
      </c>
      <c r="J340">
        <f>SUMPRODUCT((MONTH(CHOOSE({1,2,3,4},HN!U340,HN!AA340,HN!AG340,HN!AM340))=10)*(CHOOSE({1,2,3,4},HN!X340,HN!AD340,HN!AJ340,HN!AP340)))</f>
        <v>0</v>
      </c>
      <c r="K340">
        <f>SUMPRODUCT((MONTH(CHOOSE({1,2,3,4},HN!U340,HN!AA340,HN!AG340,HN!AM340))=11)*(CHOOSE({1,2,3,4},HN!X340,HN!AD340,HN!AJ340,HN!AP340)))</f>
        <v>0</v>
      </c>
      <c r="L340">
        <f>SUMPRODUCT((MONTH(CHOOSE({1,2,3,4},HN!U340,HN!AA340,HN!AG340,HN!AM340))=12)*(CHOOSE({1,2,3,4},HN!X340,HN!AD340,HN!AJ340,HN!AP340)))</f>
        <v>0</v>
      </c>
    </row>
    <row r="341" spans="1:12">
      <c r="A341">
        <f>SUMPRODUCT((MONTH(CHOOSE({1,2,3,4},HN!U341,HN!AA341,HN!AG341,HN!AM341))=1)*(CHOOSE({1,2,3,4},HN!X341,HN!AD341,HN!AJ341,HN!AP341)))</f>
        <v>0</v>
      </c>
      <c r="B341">
        <f>SUMPRODUCT((MONTH(CHOOSE({1,2,3,4},HN!U341,HN!AA341,HN!AG341,HN!AM341))=2)*(CHOOSE({1,2,3,4},HN!X341,HN!AD341,HN!AJ341,HN!AP341)))</f>
        <v>0</v>
      </c>
      <c r="C341">
        <f>SUMPRODUCT((MONTH(CHOOSE({1,2,3,4},HN!U341,HN!AA341,HN!AG341,HN!AM341))=3)*(CHOOSE({1,2,3,4},HN!X341,HN!AD341,HN!AJ341,HN!AP341)))</f>
        <v>0</v>
      </c>
      <c r="D341">
        <f>SUMPRODUCT((MONTH(CHOOSE({1,2,3,4},HN!U341,HN!AA341,HN!AG341,HN!AM341))=4)*(CHOOSE({1,2,3,4},HN!X341,HN!AD341,HN!AJ341,HN!AP341)))</f>
        <v>0</v>
      </c>
      <c r="E341">
        <f>SUMPRODUCT((MONTH(CHOOSE({1,2,3,4},HN!U341,HN!AA341,HN!AG341,HN!AM341))=5)*(CHOOSE({1,2,3,4},HN!X341,HN!AD341,HN!AJ341,HN!AP341)))</f>
        <v>0</v>
      </c>
      <c r="F341">
        <f>SUMPRODUCT((MONTH(CHOOSE({1,2,3,4},HN!U341,HN!AA341,HN!AG341,HN!AM341))=6)*(CHOOSE({1,2,3,4},HN!X341,HN!AD341,HN!AJ341,HN!AP341)))</f>
        <v>0</v>
      </c>
      <c r="G341">
        <f>SUMPRODUCT((MONTH(CHOOSE({1,2,3,4},HN!U341,HN!AA341,HN!AG341,HN!AM341))=7)*(CHOOSE({1,2,3,4},HN!X341,HN!AD341,HN!AJ341,HN!AP341)))</f>
        <v>0</v>
      </c>
      <c r="H341">
        <f>SUMPRODUCT((MONTH(CHOOSE({1,2,3,4},HN!U341,HN!AA341,HN!AG341,HN!AM341))=8)*(CHOOSE({1,2,3,4},HN!X341,HN!AD341,HN!AJ341,HN!AP341)))</f>
        <v>0</v>
      </c>
      <c r="I341">
        <f>SUMPRODUCT((MONTH(CHOOSE({1,2,3,4},HN!U341,HN!AA341,HN!AG341,HN!AM341))=9)*(CHOOSE({1,2,3,4},HN!X341,HN!AD341,HN!AJ341,HN!AP341)))</f>
        <v>0</v>
      </c>
      <c r="J341">
        <f>SUMPRODUCT((MONTH(CHOOSE({1,2,3,4},HN!U341,HN!AA341,HN!AG341,HN!AM341))=10)*(CHOOSE({1,2,3,4},HN!X341,HN!AD341,HN!AJ341,HN!AP341)))</f>
        <v>0</v>
      </c>
      <c r="K341">
        <f>SUMPRODUCT((MONTH(CHOOSE({1,2,3,4},HN!U341,HN!AA341,HN!AG341,HN!AM341))=11)*(CHOOSE({1,2,3,4},HN!X341,HN!AD341,HN!AJ341,HN!AP341)))</f>
        <v>0</v>
      </c>
      <c r="L341">
        <f>SUMPRODUCT((MONTH(CHOOSE({1,2,3,4},HN!U341,HN!AA341,HN!AG341,HN!AM341))=12)*(CHOOSE({1,2,3,4},HN!X341,HN!AD341,HN!AJ341,HN!AP341)))</f>
        <v>0</v>
      </c>
    </row>
    <row r="342" spans="1:12">
      <c r="A342">
        <f>SUMPRODUCT((MONTH(CHOOSE({1,2,3,4},HN!U342,HN!AA342,HN!AG342,HN!AM342))=1)*(CHOOSE({1,2,3,4},HN!X342,HN!AD342,HN!AJ342,HN!AP342)))</f>
        <v>0</v>
      </c>
      <c r="B342">
        <f>SUMPRODUCT((MONTH(CHOOSE({1,2,3,4},HN!U342,HN!AA342,HN!AG342,HN!AM342))=2)*(CHOOSE({1,2,3,4},HN!X342,HN!AD342,HN!AJ342,HN!AP342)))</f>
        <v>0</v>
      </c>
      <c r="C342">
        <f>SUMPRODUCT((MONTH(CHOOSE({1,2,3,4},HN!U342,HN!AA342,HN!AG342,HN!AM342))=3)*(CHOOSE({1,2,3,4},HN!X342,HN!AD342,HN!AJ342,HN!AP342)))</f>
        <v>0</v>
      </c>
      <c r="D342">
        <f>SUMPRODUCT((MONTH(CHOOSE({1,2,3,4},HN!U342,HN!AA342,HN!AG342,HN!AM342))=4)*(CHOOSE({1,2,3,4},HN!X342,HN!AD342,HN!AJ342,HN!AP342)))</f>
        <v>0</v>
      </c>
      <c r="E342">
        <f>SUMPRODUCT((MONTH(CHOOSE({1,2,3,4},HN!U342,HN!AA342,HN!AG342,HN!AM342))=5)*(CHOOSE({1,2,3,4},HN!X342,HN!AD342,HN!AJ342,HN!AP342)))</f>
        <v>0</v>
      </c>
      <c r="F342">
        <f>SUMPRODUCT((MONTH(CHOOSE({1,2,3,4},HN!U342,HN!AA342,HN!AG342,HN!AM342))=6)*(CHOOSE({1,2,3,4},HN!X342,HN!AD342,HN!AJ342,HN!AP342)))</f>
        <v>0</v>
      </c>
      <c r="G342">
        <f>SUMPRODUCT((MONTH(CHOOSE({1,2,3,4},HN!U342,HN!AA342,HN!AG342,HN!AM342))=7)*(CHOOSE({1,2,3,4},HN!X342,HN!AD342,HN!AJ342,HN!AP342)))</f>
        <v>0</v>
      </c>
      <c r="H342">
        <f>SUMPRODUCT((MONTH(CHOOSE({1,2,3,4},HN!U342,HN!AA342,HN!AG342,HN!AM342))=8)*(CHOOSE({1,2,3,4},HN!X342,HN!AD342,HN!AJ342,HN!AP342)))</f>
        <v>0</v>
      </c>
      <c r="I342">
        <f>SUMPRODUCT((MONTH(CHOOSE({1,2,3,4},HN!U342,HN!AA342,HN!AG342,HN!AM342))=9)*(CHOOSE({1,2,3,4},HN!X342,HN!AD342,HN!AJ342,HN!AP342)))</f>
        <v>0</v>
      </c>
      <c r="J342">
        <f>SUMPRODUCT((MONTH(CHOOSE({1,2,3,4},HN!U342,HN!AA342,HN!AG342,HN!AM342))=10)*(CHOOSE({1,2,3,4},HN!X342,HN!AD342,HN!AJ342,HN!AP342)))</f>
        <v>0</v>
      </c>
      <c r="K342">
        <f>SUMPRODUCT((MONTH(CHOOSE({1,2,3,4},HN!U342,HN!AA342,HN!AG342,HN!AM342))=11)*(CHOOSE({1,2,3,4},HN!X342,HN!AD342,HN!AJ342,HN!AP342)))</f>
        <v>0</v>
      </c>
      <c r="L342">
        <f>SUMPRODUCT((MONTH(CHOOSE({1,2,3,4},HN!U342,HN!AA342,HN!AG342,HN!AM342))=12)*(CHOOSE({1,2,3,4},HN!X342,HN!AD342,HN!AJ342,HN!AP342)))</f>
        <v>0</v>
      </c>
    </row>
    <row r="343" spans="1:12">
      <c r="A343">
        <f>SUMPRODUCT((MONTH(CHOOSE({1,2,3,4},HN!U343,HN!AA343,HN!AG343,HN!AM343))=1)*(CHOOSE({1,2,3,4},HN!X343,HN!AD343,HN!AJ343,HN!AP343)))</f>
        <v>0</v>
      </c>
      <c r="B343">
        <f>SUMPRODUCT((MONTH(CHOOSE({1,2,3,4},HN!U343,HN!AA343,HN!AG343,HN!AM343))=2)*(CHOOSE({1,2,3,4},HN!X343,HN!AD343,HN!AJ343,HN!AP343)))</f>
        <v>0</v>
      </c>
      <c r="C343">
        <f>SUMPRODUCT((MONTH(CHOOSE({1,2,3,4},HN!U343,HN!AA343,HN!AG343,HN!AM343))=3)*(CHOOSE({1,2,3,4},HN!X343,HN!AD343,HN!AJ343,HN!AP343)))</f>
        <v>0</v>
      </c>
      <c r="D343">
        <f>SUMPRODUCT((MONTH(CHOOSE({1,2,3,4},HN!U343,HN!AA343,HN!AG343,HN!AM343))=4)*(CHOOSE({1,2,3,4},HN!X343,HN!AD343,HN!AJ343,HN!AP343)))</f>
        <v>0</v>
      </c>
      <c r="E343">
        <f>SUMPRODUCT((MONTH(CHOOSE({1,2,3,4},HN!U343,HN!AA343,HN!AG343,HN!AM343))=5)*(CHOOSE({1,2,3,4},HN!X343,HN!AD343,HN!AJ343,HN!AP343)))</f>
        <v>0</v>
      </c>
      <c r="F343">
        <f>SUMPRODUCT((MONTH(CHOOSE({1,2,3,4},HN!U343,HN!AA343,HN!AG343,HN!AM343))=6)*(CHOOSE({1,2,3,4},HN!X343,HN!AD343,HN!AJ343,HN!AP343)))</f>
        <v>0</v>
      </c>
      <c r="G343">
        <f>SUMPRODUCT((MONTH(CHOOSE({1,2,3,4},HN!U343,HN!AA343,HN!AG343,HN!AM343))=7)*(CHOOSE({1,2,3,4},HN!X343,HN!AD343,HN!AJ343,HN!AP343)))</f>
        <v>0</v>
      </c>
      <c r="H343">
        <f>SUMPRODUCT((MONTH(CHOOSE({1,2,3,4},HN!U343,HN!AA343,HN!AG343,HN!AM343))=8)*(CHOOSE({1,2,3,4},HN!X343,HN!AD343,HN!AJ343,HN!AP343)))</f>
        <v>0</v>
      </c>
      <c r="I343">
        <f>SUMPRODUCT((MONTH(CHOOSE({1,2,3,4},HN!U343,HN!AA343,HN!AG343,HN!AM343))=9)*(CHOOSE({1,2,3,4},HN!X343,HN!AD343,HN!AJ343,HN!AP343)))</f>
        <v>0</v>
      </c>
      <c r="J343">
        <f>SUMPRODUCT((MONTH(CHOOSE({1,2,3,4},HN!U343,HN!AA343,HN!AG343,HN!AM343))=10)*(CHOOSE({1,2,3,4},HN!X343,HN!AD343,HN!AJ343,HN!AP343)))</f>
        <v>0</v>
      </c>
      <c r="K343">
        <f>SUMPRODUCT((MONTH(CHOOSE({1,2,3,4},HN!U343,HN!AA343,HN!AG343,HN!AM343))=11)*(CHOOSE({1,2,3,4},HN!X343,HN!AD343,HN!AJ343,HN!AP343)))</f>
        <v>0</v>
      </c>
      <c r="L343">
        <f>SUMPRODUCT((MONTH(CHOOSE({1,2,3,4},HN!U343,HN!AA343,HN!AG343,HN!AM343))=12)*(CHOOSE({1,2,3,4},HN!X343,HN!AD343,HN!AJ343,HN!AP343)))</f>
        <v>0</v>
      </c>
    </row>
    <row r="344" spans="1:12">
      <c r="A344">
        <f>SUMPRODUCT((MONTH(CHOOSE({1,2,3,4},HN!U344,HN!AA344,HN!AG344,HN!AM344))=1)*(CHOOSE({1,2,3,4},HN!X344,HN!AD344,HN!AJ344,HN!AP344)))</f>
        <v>0</v>
      </c>
      <c r="B344">
        <f>SUMPRODUCT((MONTH(CHOOSE({1,2,3,4},HN!U344,HN!AA344,HN!AG344,HN!AM344))=2)*(CHOOSE({1,2,3,4},HN!X344,HN!AD344,HN!AJ344,HN!AP344)))</f>
        <v>0</v>
      </c>
      <c r="C344">
        <f>SUMPRODUCT((MONTH(CHOOSE({1,2,3,4},HN!U344,HN!AA344,HN!AG344,HN!AM344))=3)*(CHOOSE({1,2,3,4},HN!X344,HN!AD344,HN!AJ344,HN!AP344)))</f>
        <v>0</v>
      </c>
      <c r="D344">
        <f>SUMPRODUCT((MONTH(CHOOSE({1,2,3,4},HN!U344,HN!AA344,HN!AG344,HN!AM344))=4)*(CHOOSE({1,2,3,4},HN!X344,HN!AD344,HN!AJ344,HN!AP344)))</f>
        <v>0</v>
      </c>
      <c r="E344">
        <f>SUMPRODUCT((MONTH(CHOOSE({1,2,3,4},HN!U344,HN!AA344,HN!AG344,HN!AM344))=5)*(CHOOSE({1,2,3,4},HN!X344,HN!AD344,HN!AJ344,HN!AP344)))</f>
        <v>0</v>
      </c>
      <c r="F344">
        <f>SUMPRODUCT((MONTH(CHOOSE({1,2,3,4},HN!U344,HN!AA344,HN!AG344,HN!AM344))=6)*(CHOOSE({1,2,3,4},HN!X344,HN!AD344,HN!AJ344,HN!AP344)))</f>
        <v>0</v>
      </c>
      <c r="G344">
        <f>SUMPRODUCT((MONTH(CHOOSE({1,2,3,4},HN!U344,HN!AA344,HN!AG344,HN!AM344))=7)*(CHOOSE({1,2,3,4},HN!X344,HN!AD344,HN!AJ344,HN!AP344)))</f>
        <v>0</v>
      </c>
      <c r="H344">
        <f>SUMPRODUCT((MONTH(CHOOSE({1,2,3,4},HN!U344,HN!AA344,HN!AG344,HN!AM344))=8)*(CHOOSE({1,2,3,4},HN!X344,HN!AD344,HN!AJ344,HN!AP344)))</f>
        <v>0</v>
      </c>
      <c r="I344">
        <f>SUMPRODUCT((MONTH(CHOOSE({1,2,3,4},HN!U344,HN!AA344,HN!AG344,HN!AM344))=9)*(CHOOSE({1,2,3,4},HN!X344,HN!AD344,HN!AJ344,HN!AP344)))</f>
        <v>0</v>
      </c>
      <c r="J344">
        <f>SUMPRODUCT((MONTH(CHOOSE({1,2,3,4},HN!U344,HN!AA344,HN!AG344,HN!AM344))=10)*(CHOOSE({1,2,3,4},HN!X344,HN!AD344,HN!AJ344,HN!AP344)))</f>
        <v>0</v>
      </c>
      <c r="K344">
        <f>SUMPRODUCT((MONTH(CHOOSE({1,2,3,4},HN!U344,HN!AA344,HN!AG344,HN!AM344))=11)*(CHOOSE({1,2,3,4},HN!X344,HN!AD344,HN!AJ344,HN!AP344)))</f>
        <v>0</v>
      </c>
      <c r="L344">
        <f>SUMPRODUCT((MONTH(CHOOSE({1,2,3,4},HN!U344,HN!AA344,HN!AG344,HN!AM344))=12)*(CHOOSE({1,2,3,4},HN!X344,HN!AD344,HN!AJ344,HN!AP344)))</f>
        <v>0</v>
      </c>
    </row>
    <row r="345" spans="1:12">
      <c r="A345">
        <f>SUMPRODUCT((MONTH(CHOOSE({1,2,3,4},HN!U345,HN!AA345,HN!AG345,HN!AM345))=1)*(CHOOSE({1,2,3,4},HN!X345,HN!AD345,HN!AJ345,HN!AP345)))</f>
        <v>0</v>
      </c>
      <c r="B345">
        <f>SUMPRODUCT((MONTH(CHOOSE({1,2,3,4},HN!U345,HN!AA345,HN!AG345,HN!AM345))=2)*(CHOOSE({1,2,3,4},HN!X345,HN!AD345,HN!AJ345,HN!AP345)))</f>
        <v>0</v>
      </c>
      <c r="C345">
        <f>SUMPRODUCT((MONTH(CHOOSE({1,2,3,4},HN!U345,HN!AA345,HN!AG345,HN!AM345))=3)*(CHOOSE({1,2,3,4},HN!X345,HN!AD345,HN!AJ345,HN!AP345)))</f>
        <v>0</v>
      </c>
      <c r="D345">
        <f>SUMPRODUCT((MONTH(CHOOSE({1,2,3,4},HN!U345,HN!AA345,HN!AG345,HN!AM345))=4)*(CHOOSE({1,2,3,4},HN!X345,HN!AD345,HN!AJ345,HN!AP345)))</f>
        <v>0</v>
      </c>
      <c r="E345">
        <f>SUMPRODUCT((MONTH(CHOOSE({1,2,3,4},HN!U345,HN!AA345,HN!AG345,HN!AM345))=5)*(CHOOSE({1,2,3,4},HN!X345,HN!AD345,HN!AJ345,HN!AP345)))</f>
        <v>0</v>
      </c>
      <c r="F345">
        <f>SUMPRODUCT((MONTH(CHOOSE({1,2,3,4},HN!U345,HN!AA345,HN!AG345,HN!AM345))=6)*(CHOOSE({1,2,3,4},HN!X345,HN!AD345,HN!AJ345,HN!AP345)))</f>
        <v>0</v>
      </c>
      <c r="G345">
        <f>SUMPRODUCT((MONTH(CHOOSE({1,2,3,4},HN!U345,HN!AA345,HN!AG345,HN!AM345))=7)*(CHOOSE({1,2,3,4},HN!X345,HN!AD345,HN!AJ345,HN!AP345)))</f>
        <v>0</v>
      </c>
      <c r="H345">
        <f>SUMPRODUCT((MONTH(CHOOSE({1,2,3,4},HN!U345,HN!AA345,HN!AG345,HN!AM345))=8)*(CHOOSE({1,2,3,4},HN!X345,HN!AD345,HN!AJ345,HN!AP345)))</f>
        <v>0</v>
      </c>
      <c r="I345">
        <f>SUMPRODUCT((MONTH(CHOOSE({1,2,3,4},HN!U345,HN!AA345,HN!AG345,HN!AM345))=9)*(CHOOSE({1,2,3,4},HN!X345,HN!AD345,HN!AJ345,HN!AP345)))</f>
        <v>0</v>
      </c>
      <c r="J345">
        <f>SUMPRODUCT((MONTH(CHOOSE({1,2,3,4},HN!U345,HN!AA345,HN!AG345,HN!AM345))=10)*(CHOOSE({1,2,3,4},HN!X345,HN!AD345,HN!AJ345,HN!AP345)))</f>
        <v>0</v>
      </c>
      <c r="K345">
        <f>SUMPRODUCT((MONTH(CHOOSE({1,2,3,4},HN!U345,HN!AA345,HN!AG345,HN!AM345))=11)*(CHOOSE({1,2,3,4},HN!X345,HN!AD345,HN!AJ345,HN!AP345)))</f>
        <v>0</v>
      </c>
      <c r="L345">
        <f>SUMPRODUCT((MONTH(CHOOSE({1,2,3,4},HN!U345,HN!AA345,HN!AG345,HN!AM345))=12)*(CHOOSE({1,2,3,4},HN!X345,HN!AD345,HN!AJ345,HN!AP345)))</f>
        <v>0</v>
      </c>
    </row>
    <row r="346" spans="1:12">
      <c r="A346">
        <f>SUMPRODUCT((MONTH(CHOOSE({1,2,3,4},HN!U346,HN!AA346,HN!AG346,HN!AM346))=1)*(CHOOSE({1,2,3,4},HN!X346,HN!AD346,HN!AJ346,HN!AP346)))</f>
        <v>0</v>
      </c>
      <c r="B346">
        <f>SUMPRODUCT((MONTH(CHOOSE({1,2,3,4},HN!U346,HN!AA346,HN!AG346,HN!AM346))=2)*(CHOOSE({1,2,3,4},HN!X346,HN!AD346,HN!AJ346,HN!AP346)))</f>
        <v>0</v>
      </c>
      <c r="C346">
        <f>SUMPRODUCT((MONTH(CHOOSE({1,2,3,4},HN!U346,HN!AA346,HN!AG346,HN!AM346))=3)*(CHOOSE({1,2,3,4},HN!X346,HN!AD346,HN!AJ346,HN!AP346)))</f>
        <v>0</v>
      </c>
      <c r="D346">
        <f>SUMPRODUCT((MONTH(CHOOSE({1,2,3,4},HN!U346,HN!AA346,HN!AG346,HN!AM346))=4)*(CHOOSE({1,2,3,4},HN!X346,HN!AD346,HN!AJ346,HN!AP346)))</f>
        <v>0</v>
      </c>
      <c r="E346">
        <f>SUMPRODUCT((MONTH(CHOOSE({1,2,3,4},HN!U346,HN!AA346,HN!AG346,HN!AM346))=5)*(CHOOSE({1,2,3,4},HN!X346,HN!AD346,HN!AJ346,HN!AP346)))</f>
        <v>0</v>
      </c>
      <c r="F346">
        <f>SUMPRODUCT((MONTH(CHOOSE({1,2,3,4},HN!U346,HN!AA346,HN!AG346,HN!AM346))=6)*(CHOOSE({1,2,3,4},HN!X346,HN!AD346,HN!AJ346,HN!AP346)))</f>
        <v>0</v>
      </c>
      <c r="G346">
        <f>SUMPRODUCT((MONTH(CHOOSE({1,2,3,4},HN!U346,HN!AA346,HN!AG346,HN!AM346))=7)*(CHOOSE({1,2,3,4},HN!X346,HN!AD346,HN!AJ346,HN!AP346)))</f>
        <v>0</v>
      </c>
      <c r="H346">
        <f>SUMPRODUCT((MONTH(CHOOSE({1,2,3,4},HN!U346,HN!AA346,HN!AG346,HN!AM346))=8)*(CHOOSE({1,2,3,4},HN!X346,HN!AD346,HN!AJ346,HN!AP346)))</f>
        <v>0</v>
      </c>
      <c r="I346">
        <f>SUMPRODUCT((MONTH(CHOOSE({1,2,3,4},HN!U346,HN!AA346,HN!AG346,HN!AM346))=9)*(CHOOSE({1,2,3,4},HN!X346,HN!AD346,HN!AJ346,HN!AP346)))</f>
        <v>0</v>
      </c>
      <c r="J346">
        <f>SUMPRODUCT((MONTH(CHOOSE({1,2,3,4},HN!U346,HN!AA346,HN!AG346,HN!AM346))=10)*(CHOOSE({1,2,3,4},HN!X346,HN!AD346,HN!AJ346,HN!AP346)))</f>
        <v>0</v>
      </c>
      <c r="K346">
        <f>SUMPRODUCT((MONTH(CHOOSE({1,2,3,4},HN!U346,HN!AA346,HN!AG346,HN!AM346))=11)*(CHOOSE({1,2,3,4},HN!X346,HN!AD346,HN!AJ346,HN!AP346)))</f>
        <v>0</v>
      </c>
      <c r="L346">
        <f>SUMPRODUCT((MONTH(CHOOSE({1,2,3,4},HN!U346,HN!AA346,HN!AG346,HN!AM346))=12)*(CHOOSE({1,2,3,4},HN!X346,HN!AD346,HN!AJ346,HN!AP346)))</f>
        <v>0</v>
      </c>
    </row>
    <row r="347" spans="1:12">
      <c r="A347">
        <f>SUMPRODUCT((MONTH(CHOOSE({1,2,3,4},HN!U347,HN!AA347,HN!AG347,HN!AM347))=1)*(CHOOSE({1,2,3,4},HN!X347,HN!AD347,HN!AJ347,HN!AP347)))</f>
        <v>0</v>
      </c>
      <c r="B347">
        <f>SUMPRODUCT((MONTH(CHOOSE({1,2,3,4},HN!U347,HN!AA347,HN!AG347,HN!AM347))=2)*(CHOOSE({1,2,3,4},HN!X347,HN!AD347,HN!AJ347,HN!AP347)))</f>
        <v>0</v>
      </c>
      <c r="C347">
        <f>SUMPRODUCT((MONTH(CHOOSE({1,2,3,4},HN!U347,HN!AA347,HN!AG347,HN!AM347))=3)*(CHOOSE({1,2,3,4},HN!X347,HN!AD347,HN!AJ347,HN!AP347)))</f>
        <v>0</v>
      </c>
      <c r="D347">
        <f>SUMPRODUCT((MONTH(CHOOSE({1,2,3,4},HN!U347,HN!AA347,HN!AG347,HN!AM347))=4)*(CHOOSE({1,2,3,4},HN!X347,HN!AD347,HN!AJ347,HN!AP347)))</f>
        <v>0</v>
      </c>
      <c r="E347">
        <f>SUMPRODUCT((MONTH(CHOOSE({1,2,3,4},HN!U347,HN!AA347,HN!AG347,HN!AM347))=5)*(CHOOSE({1,2,3,4},HN!X347,HN!AD347,HN!AJ347,HN!AP347)))</f>
        <v>0</v>
      </c>
      <c r="F347">
        <f>SUMPRODUCT((MONTH(CHOOSE({1,2,3,4},HN!U347,HN!AA347,HN!AG347,HN!AM347))=6)*(CHOOSE({1,2,3,4},HN!X347,HN!AD347,HN!AJ347,HN!AP347)))</f>
        <v>0</v>
      </c>
      <c r="G347">
        <f>SUMPRODUCT((MONTH(CHOOSE({1,2,3,4},HN!U347,HN!AA347,HN!AG347,HN!AM347))=7)*(CHOOSE({1,2,3,4},HN!X347,HN!AD347,HN!AJ347,HN!AP347)))</f>
        <v>0</v>
      </c>
      <c r="H347">
        <f>SUMPRODUCT((MONTH(CHOOSE({1,2,3,4},HN!U347,HN!AA347,HN!AG347,HN!AM347))=8)*(CHOOSE({1,2,3,4},HN!X347,HN!AD347,HN!AJ347,HN!AP347)))</f>
        <v>0</v>
      </c>
      <c r="I347">
        <f>SUMPRODUCT((MONTH(CHOOSE({1,2,3,4},HN!U347,HN!AA347,HN!AG347,HN!AM347))=9)*(CHOOSE({1,2,3,4},HN!X347,HN!AD347,HN!AJ347,HN!AP347)))</f>
        <v>0</v>
      </c>
      <c r="J347">
        <f>SUMPRODUCT((MONTH(CHOOSE({1,2,3,4},HN!U347,HN!AA347,HN!AG347,HN!AM347))=10)*(CHOOSE({1,2,3,4},HN!X347,HN!AD347,HN!AJ347,HN!AP347)))</f>
        <v>0</v>
      </c>
      <c r="K347">
        <f>SUMPRODUCT((MONTH(CHOOSE({1,2,3,4},HN!U347,HN!AA347,HN!AG347,HN!AM347))=11)*(CHOOSE({1,2,3,4},HN!X347,HN!AD347,HN!AJ347,HN!AP347)))</f>
        <v>0</v>
      </c>
      <c r="L347">
        <f>SUMPRODUCT((MONTH(CHOOSE({1,2,3,4},HN!U347,HN!AA347,HN!AG347,HN!AM347))=12)*(CHOOSE({1,2,3,4},HN!X347,HN!AD347,HN!AJ347,HN!AP347)))</f>
        <v>0</v>
      </c>
    </row>
    <row r="348" spans="1:12">
      <c r="A348">
        <f>SUMPRODUCT((MONTH(CHOOSE({1,2,3,4},HN!U348,HN!AA348,HN!AG348,HN!AM348))=1)*(CHOOSE({1,2,3,4},HN!X348,HN!AD348,HN!AJ348,HN!AP348)))</f>
        <v>0</v>
      </c>
      <c r="B348">
        <f>SUMPRODUCT((MONTH(CHOOSE({1,2,3,4},HN!U348,HN!AA348,HN!AG348,HN!AM348))=2)*(CHOOSE({1,2,3,4},HN!X348,HN!AD348,HN!AJ348,HN!AP348)))</f>
        <v>0</v>
      </c>
      <c r="C348">
        <f>SUMPRODUCT((MONTH(CHOOSE({1,2,3,4},HN!U348,HN!AA348,HN!AG348,HN!AM348))=3)*(CHOOSE({1,2,3,4},HN!X348,HN!AD348,HN!AJ348,HN!AP348)))</f>
        <v>0</v>
      </c>
      <c r="D348">
        <f>SUMPRODUCT((MONTH(CHOOSE({1,2,3,4},HN!U348,HN!AA348,HN!AG348,HN!AM348))=4)*(CHOOSE({1,2,3,4},HN!X348,HN!AD348,HN!AJ348,HN!AP348)))</f>
        <v>0</v>
      </c>
      <c r="E348">
        <f>SUMPRODUCT((MONTH(CHOOSE({1,2,3,4},HN!U348,HN!AA348,HN!AG348,HN!AM348))=5)*(CHOOSE({1,2,3,4},HN!X348,HN!AD348,HN!AJ348,HN!AP348)))</f>
        <v>0</v>
      </c>
      <c r="F348">
        <f>SUMPRODUCT((MONTH(CHOOSE({1,2,3,4},HN!U348,HN!AA348,HN!AG348,HN!AM348))=6)*(CHOOSE({1,2,3,4},HN!X348,HN!AD348,HN!AJ348,HN!AP348)))</f>
        <v>0</v>
      </c>
      <c r="G348">
        <f>SUMPRODUCT((MONTH(CHOOSE({1,2,3,4},HN!U348,HN!AA348,HN!AG348,HN!AM348))=7)*(CHOOSE({1,2,3,4},HN!X348,HN!AD348,HN!AJ348,HN!AP348)))</f>
        <v>0</v>
      </c>
      <c r="H348">
        <f>SUMPRODUCT((MONTH(CHOOSE({1,2,3,4},HN!U348,HN!AA348,HN!AG348,HN!AM348))=8)*(CHOOSE({1,2,3,4},HN!X348,HN!AD348,HN!AJ348,HN!AP348)))</f>
        <v>0</v>
      </c>
      <c r="I348">
        <f>SUMPRODUCT((MONTH(CHOOSE({1,2,3,4},HN!U348,HN!AA348,HN!AG348,HN!AM348))=9)*(CHOOSE({1,2,3,4},HN!X348,HN!AD348,HN!AJ348,HN!AP348)))</f>
        <v>0</v>
      </c>
      <c r="J348">
        <f>SUMPRODUCT((MONTH(CHOOSE({1,2,3,4},HN!U348,HN!AA348,HN!AG348,HN!AM348))=10)*(CHOOSE({1,2,3,4},HN!X348,HN!AD348,HN!AJ348,HN!AP348)))</f>
        <v>0</v>
      </c>
      <c r="K348">
        <f>SUMPRODUCT((MONTH(CHOOSE({1,2,3,4},HN!U348,HN!AA348,HN!AG348,HN!AM348))=11)*(CHOOSE({1,2,3,4},HN!X348,HN!AD348,HN!AJ348,HN!AP348)))</f>
        <v>0</v>
      </c>
      <c r="L348">
        <f>SUMPRODUCT((MONTH(CHOOSE({1,2,3,4},HN!U348,HN!AA348,HN!AG348,HN!AM348))=12)*(CHOOSE({1,2,3,4},HN!X348,HN!AD348,HN!AJ348,HN!AP348)))</f>
        <v>0</v>
      </c>
    </row>
    <row r="349" spans="1:12">
      <c r="A349">
        <f>SUMPRODUCT((MONTH(CHOOSE({1,2,3,4},HN!U349,HN!AA349,HN!AG349,HN!AM349))=1)*(CHOOSE({1,2,3,4},HN!X349,HN!AD349,HN!AJ349,HN!AP349)))</f>
        <v>0</v>
      </c>
      <c r="B349">
        <f>SUMPRODUCT((MONTH(CHOOSE({1,2,3,4},HN!U349,HN!AA349,HN!AG349,HN!AM349))=2)*(CHOOSE({1,2,3,4},HN!X349,HN!AD349,HN!AJ349,HN!AP349)))</f>
        <v>0</v>
      </c>
      <c r="C349">
        <f>SUMPRODUCT((MONTH(CHOOSE({1,2,3,4},HN!U349,HN!AA349,HN!AG349,HN!AM349))=3)*(CHOOSE({1,2,3,4},HN!X349,HN!AD349,HN!AJ349,HN!AP349)))</f>
        <v>0</v>
      </c>
      <c r="D349">
        <f>SUMPRODUCT((MONTH(CHOOSE({1,2,3,4},HN!U349,HN!AA349,HN!AG349,HN!AM349))=4)*(CHOOSE({1,2,3,4},HN!X349,HN!AD349,HN!AJ349,HN!AP349)))</f>
        <v>0</v>
      </c>
      <c r="E349">
        <f>SUMPRODUCT((MONTH(CHOOSE({1,2,3,4},HN!U349,HN!AA349,HN!AG349,HN!AM349))=5)*(CHOOSE({1,2,3,4},HN!X349,HN!AD349,HN!AJ349,HN!AP349)))</f>
        <v>0</v>
      </c>
      <c r="F349">
        <f>SUMPRODUCT((MONTH(CHOOSE({1,2,3,4},HN!U349,HN!AA349,HN!AG349,HN!AM349))=6)*(CHOOSE({1,2,3,4},HN!X349,HN!AD349,HN!AJ349,HN!AP349)))</f>
        <v>0</v>
      </c>
      <c r="G349">
        <f>SUMPRODUCT((MONTH(CHOOSE({1,2,3,4},HN!U349,HN!AA349,HN!AG349,HN!AM349))=7)*(CHOOSE({1,2,3,4},HN!X349,HN!AD349,HN!AJ349,HN!AP349)))</f>
        <v>0</v>
      </c>
      <c r="H349">
        <f>SUMPRODUCT((MONTH(CHOOSE({1,2,3,4},HN!U349,HN!AA349,HN!AG349,HN!AM349))=8)*(CHOOSE({1,2,3,4},HN!X349,HN!AD349,HN!AJ349,HN!AP349)))</f>
        <v>0</v>
      </c>
      <c r="I349">
        <f>SUMPRODUCT((MONTH(CHOOSE({1,2,3,4},HN!U349,HN!AA349,HN!AG349,HN!AM349))=9)*(CHOOSE({1,2,3,4},HN!X349,HN!AD349,HN!AJ349,HN!AP349)))</f>
        <v>0</v>
      </c>
      <c r="J349">
        <f>SUMPRODUCT((MONTH(CHOOSE({1,2,3,4},HN!U349,HN!AA349,HN!AG349,HN!AM349))=10)*(CHOOSE({1,2,3,4},HN!X349,HN!AD349,HN!AJ349,HN!AP349)))</f>
        <v>0</v>
      </c>
      <c r="K349">
        <f>SUMPRODUCT((MONTH(CHOOSE({1,2,3,4},HN!U349,HN!AA349,HN!AG349,HN!AM349))=11)*(CHOOSE({1,2,3,4},HN!X349,HN!AD349,HN!AJ349,HN!AP349)))</f>
        <v>0</v>
      </c>
      <c r="L349">
        <f>SUMPRODUCT((MONTH(CHOOSE({1,2,3,4},HN!U349,HN!AA349,HN!AG349,HN!AM349))=12)*(CHOOSE({1,2,3,4},HN!X349,HN!AD349,HN!AJ349,HN!AP349)))</f>
        <v>0</v>
      </c>
    </row>
    <row r="350" spans="1:12">
      <c r="A350">
        <f>SUMPRODUCT((MONTH(CHOOSE({1,2,3,4},HN!U350,HN!AA350,HN!AG350,HN!AM350))=1)*(CHOOSE({1,2,3,4},HN!X350,HN!AD350,HN!AJ350,HN!AP350)))</f>
        <v>0</v>
      </c>
      <c r="B350">
        <f>SUMPRODUCT((MONTH(CHOOSE({1,2,3,4},HN!U350,HN!AA350,HN!AG350,HN!AM350))=2)*(CHOOSE({1,2,3,4},HN!X350,HN!AD350,HN!AJ350,HN!AP350)))</f>
        <v>0</v>
      </c>
      <c r="C350">
        <f>SUMPRODUCT((MONTH(CHOOSE({1,2,3,4},HN!U350,HN!AA350,HN!AG350,HN!AM350))=3)*(CHOOSE({1,2,3,4},HN!X350,HN!AD350,HN!AJ350,HN!AP350)))</f>
        <v>0</v>
      </c>
      <c r="D350">
        <f>SUMPRODUCT((MONTH(CHOOSE({1,2,3,4},HN!U350,HN!AA350,HN!AG350,HN!AM350))=4)*(CHOOSE({1,2,3,4},HN!X350,HN!AD350,HN!AJ350,HN!AP350)))</f>
        <v>0</v>
      </c>
      <c r="E350">
        <f>SUMPRODUCT((MONTH(CHOOSE({1,2,3,4},HN!U350,HN!AA350,HN!AG350,HN!AM350))=5)*(CHOOSE({1,2,3,4},HN!X350,HN!AD350,HN!AJ350,HN!AP350)))</f>
        <v>0</v>
      </c>
      <c r="F350">
        <f>SUMPRODUCT((MONTH(CHOOSE({1,2,3,4},HN!U350,HN!AA350,HN!AG350,HN!AM350))=6)*(CHOOSE({1,2,3,4},HN!X350,HN!AD350,HN!AJ350,HN!AP350)))</f>
        <v>0</v>
      </c>
      <c r="G350">
        <f>SUMPRODUCT((MONTH(CHOOSE({1,2,3,4},HN!U350,HN!AA350,HN!AG350,HN!AM350))=7)*(CHOOSE({1,2,3,4},HN!X350,HN!AD350,HN!AJ350,HN!AP350)))</f>
        <v>0</v>
      </c>
      <c r="H350">
        <f>SUMPRODUCT((MONTH(CHOOSE({1,2,3,4},HN!U350,HN!AA350,HN!AG350,HN!AM350))=8)*(CHOOSE({1,2,3,4},HN!X350,HN!AD350,HN!AJ350,HN!AP350)))</f>
        <v>0</v>
      </c>
      <c r="I350">
        <f>SUMPRODUCT((MONTH(CHOOSE({1,2,3,4},HN!U350,HN!AA350,HN!AG350,HN!AM350))=9)*(CHOOSE({1,2,3,4},HN!X350,HN!AD350,HN!AJ350,HN!AP350)))</f>
        <v>0</v>
      </c>
      <c r="J350">
        <f>SUMPRODUCT((MONTH(CHOOSE({1,2,3,4},HN!U350,HN!AA350,HN!AG350,HN!AM350))=10)*(CHOOSE({1,2,3,4},HN!X350,HN!AD350,HN!AJ350,HN!AP350)))</f>
        <v>0</v>
      </c>
      <c r="K350">
        <f>SUMPRODUCT((MONTH(CHOOSE({1,2,3,4},HN!U350,HN!AA350,HN!AG350,HN!AM350))=11)*(CHOOSE({1,2,3,4},HN!X350,HN!AD350,HN!AJ350,HN!AP350)))</f>
        <v>0</v>
      </c>
      <c r="L350">
        <f>SUMPRODUCT((MONTH(CHOOSE({1,2,3,4},HN!U350,HN!AA350,HN!AG350,HN!AM350))=12)*(CHOOSE({1,2,3,4},HN!X350,HN!AD350,HN!AJ350,HN!AP350)))</f>
        <v>0</v>
      </c>
    </row>
    <row r="351" spans="1:12">
      <c r="A351">
        <f>SUMPRODUCT((MONTH(CHOOSE({1,2,3,4},HN!U351,HN!AA351,HN!AG351,HN!AM351))=1)*(CHOOSE({1,2,3,4},HN!X351,HN!AD351,HN!AJ351,HN!AP351)))</f>
        <v>0</v>
      </c>
      <c r="B351">
        <f>SUMPRODUCT((MONTH(CHOOSE({1,2,3,4},HN!U351,HN!AA351,HN!AG351,HN!AM351))=2)*(CHOOSE({1,2,3,4},HN!X351,HN!AD351,HN!AJ351,HN!AP351)))</f>
        <v>0</v>
      </c>
      <c r="C351">
        <f>SUMPRODUCT((MONTH(CHOOSE({1,2,3,4},HN!U351,HN!AA351,HN!AG351,HN!AM351))=3)*(CHOOSE({1,2,3,4},HN!X351,HN!AD351,HN!AJ351,HN!AP351)))</f>
        <v>0</v>
      </c>
      <c r="D351">
        <f>SUMPRODUCT((MONTH(CHOOSE({1,2,3,4},HN!U351,HN!AA351,HN!AG351,HN!AM351))=4)*(CHOOSE({1,2,3,4},HN!X351,HN!AD351,HN!AJ351,HN!AP351)))</f>
        <v>0</v>
      </c>
      <c r="E351">
        <f>SUMPRODUCT((MONTH(CHOOSE({1,2,3,4},HN!U351,HN!AA351,HN!AG351,HN!AM351))=5)*(CHOOSE({1,2,3,4},HN!X351,HN!AD351,HN!AJ351,HN!AP351)))</f>
        <v>0</v>
      </c>
      <c r="F351">
        <f>SUMPRODUCT((MONTH(CHOOSE({1,2,3,4},HN!U351,HN!AA351,HN!AG351,HN!AM351))=6)*(CHOOSE({1,2,3,4},HN!X351,HN!AD351,HN!AJ351,HN!AP351)))</f>
        <v>0</v>
      </c>
      <c r="G351">
        <f>SUMPRODUCT((MONTH(CHOOSE({1,2,3,4},HN!U351,HN!AA351,HN!AG351,HN!AM351))=7)*(CHOOSE({1,2,3,4},HN!X351,HN!AD351,HN!AJ351,HN!AP351)))</f>
        <v>0</v>
      </c>
      <c r="H351">
        <f>SUMPRODUCT((MONTH(CHOOSE({1,2,3,4},HN!U351,HN!AA351,HN!AG351,HN!AM351))=8)*(CHOOSE({1,2,3,4},HN!X351,HN!AD351,HN!AJ351,HN!AP351)))</f>
        <v>0</v>
      </c>
      <c r="I351">
        <f>SUMPRODUCT((MONTH(CHOOSE({1,2,3,4},HN!U351,HN!AA351,HN!AG351,HN!AM351))=9)*(CHOOSE({1,2,3,4},HN!X351,HN!AD351,HN!AJ351,HN!AP351)))</f>
        <v>0</v>
      </c>
      <c r="J351">
        <f>SUMPRODUCT((MONTH(CHOOSE({1,2,3,4},HN!U351,HN!AA351,HN!AG351,HN!AM351))=10)*(CHOOSE({1,2,3,4},HN!X351,HN!AD351,HN!AJ351,HN!AP351)))</f>
        <v>0</v>
      </c>
      <c r="K351">
        <f>SUMPRODUCT((MONTH(CHOOSE({1,2,3,4},HN!U351,HN!AA351,HN!AG351,HN!AM351))=11)*(CHOOSE({1,2,3,4},HN!X351,HN!AD351,HN!AJ351,HN!AP351)))</f>
        <v>0</v>
      </c>
      <c r="L351">
        <f>SUMPRODUCT((MONTH(CHOOSE({1,2,3,4},HN!U351,HN!AA351,HN!AG351,HN!AM351))=12)*(CHOOSE({1,2,3,4},HN!X351,HN!AD351,HN!AJ351,HN!AP351)))</f>
        <v>0</v>
      </c>
    </row>
    <row r="352" spans="1:12">
      <c r="A352">
        <f>SUMPRODUCT((MONTH(CHOOSE({1,2,3,4},HN!U352,HN!AA352,HN!AG352,HN!AM352))=1)*(CHOOSE({1,2,3,4},HN!X352,HN!AD352,HN!AJ352,HN!AP352)))</f>
        <v>0</v>
      </c>
      <c r="B352">
        <f>SUMPRODUCT((MONTH(CHOOSE({1,2,3,4},HN!U352,HN!AA352,HN!AG352,HN!AM352))=2)*(CHOOSE({1,2,3,4},HN!X352,HN!AD352,HN!AJ352,HN!AP352)))</f>
        <v>0</v>
      </c>
      <c r="C352">
        <f>SUMPRODUCT((MONTH(CHOOSE({1,2,3,4},HN!U352,HN!AA352,HN!AG352,HN!AM352))=3)*(CHOOSE({1,2,3,4},HN!X352,HN!AD352,HN!AJ352,HN!AP352)))</f>
        <v>0</v>
      </c>
      <c r="D352">
        <f>SUMPRODUCT((MONTH(CHOOSE({1,2,3,4},HN!U352,HN!AA352,HN!AG352,HN!AM352))=4)*(CHOOSE({1,2,3,4},HN!X352,HN!AD352,HN!AJ352,HN!AP352)))</f>
        <v>0</v>
      </c>
      <c r="E352">
        <f>SUMPRODUCT((MONTH(CHOOSE({1,2,3,4},HN!U352,HN!AA352,HN!AG352,HN!AM352))=5)*(CHOOSE({1,2,3,4},HN!X352,HN!AD352,HN!AJ352,HN!AP352)))</f>
        <v>0</v>
      </c>
      <c r="F352">
        <f>SUMPRODUCT((MONTH(CHOOSE({1,2,3,4},HN!U352,HN!AA352,HN!AG352,HN!AM352))=6)*(CHOOSE({1,2,3,4},HN!X352,HN!AD352,HN!AJ352,HN!AP352)))</f>
        <v>0</v>
      </c>
      <c r="G352">
        <f>SUMPRODUCT((MONTH(CHOOSE({1,2,3,4},HN!U352,HN!AA352,HN!AG352,HN!AM352))=7)*(CHOOSE({1,2,3,4},HN!X352,HN!AD352,HN!AJ352,HN!AP352)))</f>
        <v>0</v>
      </c>
      <c r="H352">
        <f>SUMPRODUCT((MONTH(CHOOSE({1,2,3,4},HN!U352,HN!AA352,HN!AG352,HN!AM352))=8)*(CHOOSE({1,2,3,4},HN!X352,HN!AD352,HN!AJ352,HN!AP352)))</f>
        <v>0</v>
      </c>
      <c r="I352">
        <f>SUMPRODUCT((MONTH(CHOOSE({1,2,3,4},HN!U352,HN!AA352,HN!AG352,HN!AM352))=9)*(CHOOSE({1,2,3,4},HN!X352,HN!AD352,HN!AJ352,HN!AP352)))</f>
        <v>0</v>
      </c>
      <c r="J352">
        <f>SUMPRODUCT((MONTH(CHOOSE({1,2,3,4},HN!U352,HN!AA352,HN!AG352,HN!AM352))=10)*(CHOOSE({1,2,3,4},HN!X352,HN!AD352,HN!AJ352,HN!AP352)))</f>
        <v>0</v>
      </c>
      <c r="K352">
        <f>SUMPRODUCT((MONTH(CHOOSE({1,2,3,4},HN!U352,HN!AA352,HN!AG352,HN!AM352))=11)*(CHOOSE({1,2,3,4},HN!X352,HN!AD352,HN!AJ352,HN!AP352)))</f>
        <v>0</v>
      </c>
      <c r="L352">
        <f>SUMPRODUCT((MONTH(CHOOSE({1,2,3,4},HN!U352,HN!AA352,HN!AG352,HN!AM352))=12)*(CHOOSE({1,2,3,4},HN!X352,HN!AD352,HN!AJ352,HN!AP352)))</f>
        <v>0</v>
      </c>
    </row>
    <row r="353" spans="1:12">
      <c r="A353">
        <f>SUMPRODUCT((MONTH(CHOOSE({1,2,3,4},HN!U353,HN!AA353,HN!AG353,HN!AM353))=1)*(CHOOSE({1,2,3,4},HN!X353,HN!AD353,HN!AJ353,HN!AP353)))</f>
        <v>0</v>
      </c>
      <c r="B353">
        <f>SUMPRODUCT((MONTH(CHOOSE({1,2,3,4},HN!U353,HN!AA353,HN!AG353,HN!AM353))=2)*(CHOOSE({1,2,3,4},HN!X353,HN!AD353,HN!AJ353,HN!AP353)))</f>
        <v>0</v>
      </c>
      <c r="C353">
        <f>SUMPRODUCT((MONTH(CHOOSE({1,2,3,4},HN!U353,HN!AA353,HN!AG353,HN!AM353))=3)*(CHOOSE({1,2,3,4},HN!X353,HN!AD353,HN!AJ353,HN!AP353)))</f>
        <v>0</v>
      </c>
      <c r="D353">
        <f>SUMPRODUCT((MONTH(CHOOSE({1,2,3,4},HN!U353,HN!AA353,HN!AG353,HN!AM353))=4)*(CHOOSE({1,2,3,4},HN!X353,HN!AD353,HN!AJ353,HN!AP353)))</f>
        <v>0</v>
      </c>
      <c r="E353">
        <f>SUMPRODUCT((MONTH(CHOOSE({1,2,3,4},HN!U353,HN!AA353,HN!AG353,HN!AM353))=5)*(CHOOSE({1,2,3,4},HN!X353,HN!AD353,HN!AJ353,HN!AP353)))</f>
        <v>0</v>
      </c>
      <c r="F353">
        <f>SUMPRODUCT((MONTH(CHOOSE({1,2,3,4},HN!U353,HN!AA353,HN!AG353,HN!AM353))=6)*(CHOOSE({1,2,3,4},HN!X353,HN!AD353,HN!AJ353,HN!AP353)))</f>
        <v>0</v>
      </c>
      <c r="G353">
        <f>SUMPRODUCT((MONTH(CHOOSE({1,2,3,4},HN!U353,HN!AA353,HN!AG353,HN!AM353))=7)*(CHOOSE({1,2,3,4},HN!X353,HN!AD353,HN!AJ353,HN!AP353)))</f>
        <v>0</v>
      </c>
      <c r="H353">
        <f>SUMPRODUCT((MONTH(CHOOSE({1,2,3,4},HN!U353,HN!AA353,HN!AG353,HN!AM353))=8)*(CHOOSE({1,2,3,4},HN!X353,HN!AD353,HN!AJ353,HN!AP353)))</f>
        <v>0</v>
      </c>
      <c r="I353">
        <f>SUMPRODUCT((MONTH(CHOOSE({1,2,3,4},HN!U353,HN!AA353,HN!AG353,HN!AM353))=9)*(CHOOSE({1,2,3,4},HN!X353,HN!AD353,HN!AJ353,HN!AP353)))</f>
        <v>0</v>
      </c>
      <c r="J353">
        <f>SUMPRODUCT((MONTH(CHOOSE({1,2,3,4},HN!U353,HN!AA353,HN!AG353,HN!AM353))=10)*(CHOOSE({1,2,3,4},HN!X353,HN!AD353,HN!AJ353,HN!AP353)))</f>
        <v>0</v>
      </c>
      <c r="K353">
        <f>SUMPRODUCT((MONTH(CHOOSE({1,2,3,4},HN!U353,HN!AA353,HN!AG353,HN!AM353))=11)*(CHOOSE({1,2,3,4},HN!X353,HN!AD353,HN!AJ353,HN!AP353)))</f>
        <v>0</v>
      </c>
      <c r="L353">
        <f>SUMPRODUCT((MONTH(CHOOSE({1,2,3,4},HN!U353,HN!AA353,HN!AG353,HN!AM353))=12)*(CHOOSE({1,2,3,4},HN!X353,HN!AD353,HN!AJ353,HN!AP353)))</f>
        <v>0</v>
      </c>
    </row>
    <row r="354" spans="1:12">
      <c r="A354">
        <f>SUMPRODUCT((MONTH(CHOOSE({1,2,3,4},HN!U354,HN!AA354,HN!AG354,HN!AM354))=1)*(CHOOSE({1,2,3,4},HN!X354,HN!AD354,HN!AJ354,HN!AP354)))</f>
        <v>0</v>
      </c>
      <c r="B354">
        <f>SUMPRODUCT((MONTH(CHOOSE({1,2,3,4},HN!U354,HN!AA354,HN!AG354,HN!AM354))=2)*(CHOOSE({1,2,3,4},HN!X354,HN!AD354,HN!AJ354,HN!AP354)))</f>
        <v>0</v>
      </c>
      <c r="C354">
        <f>SUMPRODUCT((MONTH(CHOOSE({1,2,3,4},HN!U354,HN!AA354,HN!AG354,HN!AM354))=3)*(CHOOSE({1,2,3,4},HN!X354,HN!AD354,HN!AJ354,HN!AP354)))</f>
        <v>0</v>
      </c>
      <c r="D354">
        <f>SUMPRODUCT((MONTH(CHOOSE({1,2,3,4},HN!U354,HN!AA354,HN!AG354,HN!AM354))=4)*(CHOOSE({1,2,3,4},HN!X354,HN!AD354,HN!AJ354,HN!AP354)))</f>
        <v>0</v>
      </c>
      <c r="E354">
        <f>SUMPRODUCT((MONTH(CHOOSE({1,2,3,4},HN!U354,HN!AA354,HN!AG354,HN!AM354))=5)*(CHOOSE({1,2,3,4},HN!X354,HN!AD354,HN!AJ354,HN!AP354)))</f>
        <v>0</v>
      </c>
      <c r="F354">
        <f>SUMPRODUCT((MONTH(CHOOSE({1,2,3,4},HN!U354,HN!AA354,HN!AG354,HN!AM354))=6)*(CHOOSE({1,2,3,4},HN!X354,HN!AD354,HN!AJ354,HN!AP354)))</f>
        <v>0</v>
      </c>
      <c r="G354">
        <f>SUMPRODUCT((MONTH(CHOOSE({1,2,3,4},HN!U354,HN!AA354,HN!AG354,HN!AM354))=7)*(CHOOSE({1,2,3,4},HN!X354,HN!AD354,HN!AJ354,HN!AP354)))</f>
        <v>0</v>
      </c>
      <c r="H354">
        <f>SUMPRODUCT((MONTH(CHOOSE({1,2,3,4},HN!U354,HN!AA354,HN!AG354,HN!AM354))=8)*(CHOOSE({1,2,3,4},HN!X354,HN!AD354,HN!AJ354,HN!AP354)))</f>
        <v>0</v>
      </c>
      <c r="I354">
        <f>SUMPRODUCT((MONTH(CHOOSE({1,2,3,4},HN!U354,HN!AA354,HN!AG354,HN!AM354))=9)*(CHOOSE({1,2,3,4},HN!X354,HN!AD354,HN!AJ354,HN!AP354)))</f>
        <v>0</v>
      </c>
      <c r="J354">
        <f>SUMPRODUCT((MONTH(CHOOSE({1,2,3,4},HN!U354,HN!AA354,HN!AG354,HN!AM354))=10)*(CHOOSE({1,2,3,4},HN!X354,HN!AD354,HN!AJ354,HN!AP354)))</f>
        <v>0</v>
      </c>
      <c r="K354">
        <f>SUMPRODUCT((MONTH(CHOOSE({1,2,3,4},HN!U354,HN!AA354,HN!AG354,HN!AM354))=11)*(CHOOSE({1,2,3,4},HN!X354,HN!AD354,HN!AJ354,HN!AP354)))</f>
        <v>0</v>
      </c>
      <c r="L354">
        <f>SUMPRODUCT((MONTH(CHOOSE({1,2,3,4},HN!U354,HN!AA354,HN!AG354,HN!AM354))=12)*(CHOOSE({1,2,3,4},HN!X354,HN!AD354,HN!AJ354,HN!AP354)))</f>
        <v>0</v>
      </c>
    </row>
    <row r="355" spans="1:12">
      <c r="A355">
        <f>SUMPRODUCT((MONTH(CHOOSE({1,2,3,4},HN!U355,HN!AA355,HN!AG355,HN!AM355))=1)*(CHOOSE({1,2,3,4},HN!X355,HN!AD355,HN!AJ355,HN!AP355)))</f>
        <v>0</v>
      </c>
      <c r="B355">
        <f>SUMPRODUCT((MONTH(CHOOSE({1,2,3,4},HN!U355,HN!AA355,HN!AG355,HN!AM355))=2)*(CHOOSE({1,2,3,4},HN!X355,HN!AD355,HN!AJ355,HN!AP355)))</f>
        <v>0</v>
      </c>
      <c r="C355">
        <f>SUMPRODUCT((MONTH(CHOOSE({1,2,3,4},HN!U355,HN!AA355,HN!AG355,HN!AM355))=3)*(CHOOSE({1,2,3,4},HN!X355,HN!AD355,HN!AJ355,HN!AP355)))</f>
        <v>0</v>
      </c>
      <c r="D355">
        <f>SUMPRODUCT((MONTH(CHOOSE({1,2,3,4},HN!U355,HN!AA355,HN!AG355,HN!AM355))=4)*(CHOOSE({1,2,3,4},HN!X355,HN!AD355,HN!AJ355,HN!AP355)))</f>
        <v>0</v>
      </c>
      <c r="E355">
        <f>SUMPRODUCT((MONTH(CHOOSE({1,2,3,4},HN!U355,HN!AA355,HN!AG355,HN!AM355))=5)*(CHOOSE({1,2,3,4},HN!X355,HN!AD355,HN!AJ355,HN!AP355)))</f>
        <v>0</v>
      </c>
      <c r="F355">
        <f>SUMPRODUCT((MONTH(CHOOSE({1,2,3,4},HN!U355,HN!AA355,HN!AG355,HN!AM355))=6)*(CHOOSE({1,2,3,4},HN!X355,HN!AD355,HN!AJ355,HN!AP355)))</f>
        <v>0</v>
      </c>
      <c r="G355">
        <f>SUMPRODUCT((MONTH(CHOOSE({1,2,3,4},HN!U355,HN!AA355,HN!AG355,HN!AM355))=7)*(CHOOSE({1,2,3,4},HN!X355,HN!AD355,HN!AJ355,HN!AP355)))</f>
        <v>0</v>
      </c>
      <c r="H355">
        <f>SUMPRODUCT((MONTH(CHOOSE({1,2,3,4},HN!U355,HN!AA355,HN!AG355,HN!AM355))=8)*(CHOOSE({1,2,3,4},HN!X355,HN!AD355,HN!AJ355,HN!AP355)))</f>
        <v>0</v>
      </c>
      <c r="I355">
        <f>SUMPRODUCT((MONTH(CHOOSE({1,2,3,4},HN!U355,HN!AA355,HN!AG355,HN!AM355))=9)*(CHOOSE({1,2,3,4},HN!X355,HN!AD355,HN!AJ355,HN!AP355)))</f>
        <v>0</v>
      </c>
      <c r="J355">
        <f>SUMPRODUCT((MONTH(CHOOSE({1,2,3,4},HN!U355,HN!AA355,HN!AG355,HN!AM355))=10)*(CHOOSE({1,2,3,4},HN!X355,HN!AD355,HN!AJ355,HN!AP355)))</f>
        <v>0</v>
      </c>
      <c r="K355">
        <f>SUMPRODUCT((MONTH(CHOOSE({1,2,3,4},HN!U355,HN!AA355,HN!AG355,HN!AM355))=11)*(CHOOSE({1,2,3,4},HN!X355,HN!AD355,HN!AJ355,HN!AP355)))</f>
        <v>0</v>
      </c>
      <c r="L355">
        <f>SUMPRODUCT((MONTH(CHOOSE({1,2,3,4},HN!U355,HN!AA355,HN!AG355,HN!AM355))=12)*(CHOOSE({1,2,3,4},HN!X355,HN!AD355,HN!AJ355,HN!AP355)))</f>
        <v>0</v>
      </c>
    </row>
    <row r="356" spans="1:12">
      <c r="A356">
        <f>SUMPRODUCT((MONTH(CHOOSE({1,2,3,4},HN!U356,HN!AA356,HN!AG356,HN!AM356))=1)*(CHOOSE({1,2,3,4},HN!X356,HN!AD356,HN!AJ356,HN!AP356)))</f>
        <v>0</v>
      </c>
      <c r="B356">
        <f>SUMPRODUCT((MONTH(CHOOSE({1,2,3,4},HN!U356,HN!AA356,HN!AG356,HN!AM356))=2)*(CHOOSE({1,2,3,4},HN!X356,HN!AD356,HN!AJ356,HN!AP356)))</f>
        <v>0</v>
      </c>
      <c r="C356">
        <f>SUMPRODUCT((MONTH(CHOOSE({1,2,3,4},HN!U356,HN!AA356,HN!AG356,HN!AM356))=3)*(CHOOSE({1,2,3,4},HN!X356,HN!AD356,HN!AJ356,HN!AP356)))</f>
        <v>0</v>
      </c>
      <c r="D356">
        <f>SUMPRODUCT((MONTH(CHOOSE({1,2,3,4},HN!U356,HN!AA356,HN!AG356,HN!AM356))=4)*(CHOOSE({1,2,3,4},HN!X356,HN!AD356,HN!AJ356,HN!AP356)))</f>
        <v>0</v>
      </c>
      <c r="E356">
        <f>SUMPRODUCT((MONTH(CHOOSE({1,2,3,4},HN!U356,HN!AA356,HN!AG356,HN!AM356))=5)*(CHOOSE({1,2,3,4},HN!X356,HN!AD356,HN!AJ356,HN!AP356)))</f>
        <v>0</v>
      </c>
      <c r="F356">
        <f>SUMPRODUCT((MONTH(CHOOSE({1,2,3,4},HN!U356,HN!AA356,HN!AG356,HN!AM356))=6)*(CHOOSE({1,2,3,4},HN!X356,HN!AD356,HN!AJ356,HN!AP356)))</f>
        <v>0</v>
      </c>
      <c r="G356">
        <f>SUMPRODUCT((MONTH(CHOOSE({1,2,3,4},HN!U356,HN!AA356,HN!AG356,HN!AM356))=7)*(CHOOSE({1,2,3,4},HN!X356,HN!AD356,HN!AJ356,HN!AP356)))</f>
        <v>0</v>
      </c>
      <c r="H356">
        <f>SUMPRODUCT((MONTH(CHOOSE({1,2,3,4},HN!U356,HN!AA356,HN!AG356,HN!AM356))=8)*(CHOOSE({1,2,3,4},HN!X356,HN!AD356,HN!AJ356,HN!AP356)))</f>
        <v>0</v>
      </c>
      <c r="I356">
        <f>SUMPRODUCT((MONTH(CHOOSE({1,2,3,4},HN!U356,HN!AA356,HN!AG356,HN!AM356))=9)*(CHOOSE({1,2,3,4},HN!X356,HN!AD356,HN!AJ356,HN!AP356)))</f>
        <v>0</v>
      </c>
      <c r="J356">
        <f>SUMPRODUCT((MONTH(CHOOSE({1,2,3,4},HN!U356,HN!AA356,HN!AG356,HN!AM356))=10)*(CHOOSE({1,2,3,4},HN!X356,HN!AD356,HN!AJ356,HN!AP356)))</f>
        <v>0</v>
      </c>
      <c r="K356">
        <f>SUMPRODUCT((MONTH(CHOOSE({1,2,3,4},HN!U356,HN!AA356,HN!AG356,HN!AM356))=11)*(CHOOSE({1,2,3,4},HN!X356,HN!AD356,HN!AJ356,HN!AP356)))</f>
        <v>0</v>
      </c>
      <c r="L356">
        <f>SUMPRODUCT((MONTH(CHOOSE({1,2,3,4},HN!U356,HN!AA356,HN!AG356,HN!AM356))=12)*(CHOOSE({1,2,3,4},HN!X356,HN!AD356,HN!AJ356,HN!AP356)))</f>
        <v>0</v>
      </c>
    </row>
    <row r="357" spans="1:12">
      <c r="A357">
        <f>SUMPRODUCT((MONTH(CHOOSE({1,2,3,4},HN!U357,HN!AA357,HN!AG357,HN!AM357))=1)*(CHOOSE({1,2,3,4},HN!X357,HN!AD357,HN!AJ357,HN!AP357)))</f>
        <v>0</v>
      </c>
      <c r="B357">
        <f>SUMPRODUCT((MONTH(CHOOSE({1,2,3,4},HN!U357,HN!AA357,HN!AG357,HN!AM357))=2)*(CHOOSE({1,2,3,4},HN!X357,HN!AD357,HN!AJ357,HN!AP357)))</f>
        <v>0</v>
      </c>
      <c r="C357">
        <f>SUMPRODUCT((MONTH(CHOOSE({1,2,3,4},HN!U357,HN!AA357,HN!AG357,HN!AM357))=3)*(CHOOSE({1,2,3,4},HN!X357,HN!AD357,HN!AJ357,HN!AP357)))</f>
        <v>0</v>
      </c>
      <c r="D357">
        <f>SUMPRODUCT((MONTH(CHOOSE({1,2,3,4},HN!U357,HN!AA357,HN!AG357,HN!AM357))=4)*(CHOOSE({1,2,3,4},HN!X357,HN!AD357,HN!AJ357,HN!AP357)))</f>
        <v>0</v>
      </c>
      <c r="E357">
        <f>SUMPRODUCT((MONTH(CHOOSE({1,2,3,4},HN!U357,HN!AA357,HN!AG357,HN!AM357))=5)*(CHOOSE({1,2,3,4},HN!X357,HN!AD357,HN!AJ357,HN!AP357)))</f>
        <v>0</v>
      </c>
      <c r="F357">
        <f>SUMPRODUCT((MONTH(CHOOSE({1,2,3,4},HN!U357,HN!AA357,HN!AG357,HN!AM357))=6)*(CHOOSE({1,2,3,4},HN!X357,HN!AD357,HN!AJ357,HN!AP357)))</f>
        <v>0</v>
      </c>
      <c r="G357">
        <f>SUMPRODUCT((MONTH(CHOOSE({1,2,3,4},HN!U357,HN!AA357,HN!AG357,HN!AM357))=7)*(CHOOSE({1,2,3,4},HN!X357,HN!AD357,HN!AJ357,HN!AP357)))</f>
        <v>0</v>
      </c>
      <c r="H357">
        <f>SUMPRODUCT((MONTH(CHOOSE({1,2,3,4},HN!U357,HN!AA357,HN!AG357,HN!AM357))=8)*(CHOOSE({1,2,3,4},HN!X357,HN!AD357,HN!AJ357,HN!AP357)))</f>
        <v>0</v>
      </c>
      <c r="I357">
        <f>SUMPRODUCT((MONTH(CHOOSE({1,2,3,4},HN!U357,HN!AA357,HN!AG357,HN!AM357))=9)*(CHOOSE({1,2,3,4},HN!X357,HN!AD357,HN!AJ357,HN!AP357)))</f>
        <v>0</v>
      </c>
      <c r="J357">
        <f>SUMPRODUCT((MONTH(CHOOSE({1,2,3,4},HN!U357,HN!AA357,HN!AG357,HN!AM357))=10)*(CHOOSE({1,2,3,4},HN!X357,HN!AD357,HN!AJ357,HN!AP357)))</f>
        <v>0</v>
      </c>
      <c r="K357">
        <f>SUMPRODUCT((MONTH(CHOOSE({1,2,3,4},HN!U357,HN!AA357,HN!AG357,HN!AM357))=11)*(CHOOSE({1,2,3,4},HN!X357,HN!AD357,HN!AJ357,HN!AP357)))</f>
        <v>0</v>
      </c>
      <c r="L357">
        <f>SUMPRODUCT((MONTH(CHOOSE({1,2,3,4},HN!U357,HN!AA357,HN!AG357,HN!AM357))=12)*(CHOOSE({1,2,3,4},HN!X357,HN!AD357,HN!AJ357,HN!AP357)))</f>
        <v>0</v>
      </c>
    </row>
    <row r="358" spans="1:12">
      <c r="A358">
        <f>SUMPRODUCT((MONTH(CHOOSE({1,2,3,4},HN!U358,HN!AA358,HN!AG358,HN!AM358))=1)*(CHOOSE({1,2,3,4},HN!X358,HN!AD358,HN!AJ358,HN!AP358)))</f>
        <v>0</v>
      </c>
      <c r="B358">
        <f>SUMPRODUCT((MONTH(CHOOSE({1,2,3,4},HN!U358,HN!AA358,HN!AG358,HN!AM358))=2)*(CHOOSE({1,2,3,4},HN!X358,HN!AD358,HN!AJ358,HN!AP358)))</f>
        <v>0</v>
      </c>
      <c r="C358">
        <f>SUMPRODUCT((MONTH(CHOOSE({1,2,3,4},HN!U358,HN!AA358,HN!AG358,HN!AM358))=3)*(CHOOSE({1,2,3,4},HN!X358,HN!AD358,HN!AJ358,HN!AP358)))</f>
        <v>0</v>
      </c>
      <c r="D358">
        <f>SUMPRODUCT((MONTH(CHOOSE({1,2,3,4},HN!U358,HN!AA358,HN!AG358,HN!AM358))=4)*(CHOOSE({1,2,3,4},HN!X358,HN!AD358,HN!AJ358,HN!AP358)))</f>
        <v>0</v>
      </c>
      <c r="E358">
        <f>SUMPRODUCT((MONTH(CHOOSE({1,2,3,4},HN!U358,HN!AA358,HN!AG358,HN!AM358))=5)*(CHOOSE({1,2,3,4},HN!X358,HN!AD358,HN!AJ358,HN!AP358)))</f>
        <v>0</v>
      </c>
      <c r="F358">
        <f>SUMPRODUCT((MONTH(CHOOSE({1,2,3,4},HN!U358,HN!AA358,HN!AG358,HN!AM358))=6)*(CHOOSE({1,2,3,4},HN!X358,HN!AD358,HN!AJ358,HN!AP358)))</f>
        <v>0</v>
      </c>
      <c r="G358">
        <f>SUMPRODUCT((MONTH(CHOOSE({1,2,3,4},HN!U358,HN!AA358,HN!AG358,HN!AM358))=7)*(CHOOSE({1,2,3,4},HN!X358,HN!AD358,HN!AJ358,HN!AP358)))</f>
        <v>0</v>
      </c>
      <c r="H358">
        <f>SUMPRODUCT((MONTH(CHOOSE({1,2,3,4},HN!U358,HN!AA358,HN!AG358,HN!AM358))=8)*(CHOOSE({1,2,3,4},HN!X358,HN!AD358,HN!AJ358,HN!AP358)))</f>
        <v>0</v>
      </c>
      <c r="I358">
        <f>SUMPRODUCT((MONTH(CHOOSE({1,2,3,4},HN!U358,HN!AA358,HN!AG358,HN!AM358))=9)*(CHOOSE({1,2,3,4},HN!X358,HN!AD358,HN!AJ358,HN!AP358)))</f>
        <v>0</v>
      </c>
      <c r="J358">
        <f>SUMPRODUCT((MONTH(CHOOSE({1,2,3,4},HN!U358,HN!AA358,HN!AG358,HN!AM358))=10)*(CHOOSE({1,2,3,4},HN!X358,HN!AD358,HN!AJ358,HN!AP358)))</f>
        <v>0</v>
      </c>
      <c r="K358">
        <f>SUMPRODUCT((MONTH(CHOOSE({1,2,3,4},HN!U358,HN!AA358,HN!AG358,HN!AM358))=11)*(CHOOSE({1,2,3,4},HN!X358,HN!AD358,HN!AJ358,HN!AP358)))</f>
        <v>0</v>
      </c>
      <c r="L358">
        <f>SUMPRODUCT((MONTH(CHOOSE({1,2,3,4},HN!U358,HN!AA358,HN!AG358,HN!AM358))=12)*(CHOOSE({1,2,3,4},HN!X358,HN!AD358,HN!AJ358,HN!AP358)))</f>
        <v>0</v>
      </c>
    </row>
    <row r="359" spans="1:12">
      <c r="A359">
        <f>SUMPRODUCT((MONTH(CHOOSE({1,2,3,4},HN!U359,HN!AA359,HN!AG359,HN!AM359))=1)*(CHOOSE({1,2,3,4},HN!X359,HN!AD359,HN!AJ359,HN!AP359)))</f>
        <v>0</v>
      </c>
      <c r="B359">
        <f>SUMPRODUCT((MONTH(CHOOSE({1,2,3,4},HN!U359,HN!AA359,HN!AG359,HN!AM359))=2)*(CHOOSE({1,2,3,4},HN!X359,HN!AD359,HN!AJ359,HN!AP359)))</f>
        <v>0</v>
      </c>
      <c r="C359">
        <f>SUMPRODUCT((MONTH(CHOOSE({1,2,3,4},HN!U359,HN!AA359,HN!AG359,HN!AM359))=3)*(CHOOSE({1,2,3,4},HN!X359,HN!AD359,HN!AJ359,HN!AP359)))</f>
        <v>0</v>
      </c>
      <c r="D359">
        <f>SUMPRODUCT((MONTH(CHOOSE({1,2,3,4},HN!U359,HN!AA359,HN!AG359,HN!AM359))=4)*(CHOOSE({1,2,3,4},HN!X359,HN!AD359,HN!AJ359,HN!AP359)))</f>
        <v>0</v>
      </c>
      <c r="E359">
        <f>SUMPRODUCT((MONTH(CHOOSE({1,2,3,4},HN!U359,HN!AA359,HN!AG359,HN!AM359))=5)*(CHOOSE({1,2,3,4},HN!X359,HN!AD359,HN!AJ359,HN!AP359)))</f>
        <v>0</v>
      </c>
      <c r="F359">
        <f>SUMPRODUCT((MONTH(CHOOSE({1,2,3,4},HN!U359,HN!AA359,HN!AG359,HN!AM359))=6)*(CHOOSE({1,2,3,4},HN!X359,HN!AD359,HN!AJ359,HN!AP359)))</f>
        <v>0</v>
      </c>
      <c r="G359">
        <f>SUMPRODUCT((MONTH(CHOOSE({1,2,3,4},HN!U359,HN!AA359,HN!AG359,HN!AM359))=7)*(CHOOSE({1,2,3,4},HN!X359,HN!AD359,HN!AJ359,HN!AP359)))</f>
        <v>0</v>
      </c>
      <c r="H359">
        <f>SUMPRODUCT((MONTH(CHOOSE({1,2,3,4},HN!U359,HN!AA359,HN!AG359,HN!AM359))=8)*(CHOOSE({1,2,3,4},HN!X359,HN!AD359,HN!AJ359,HN!AP359)))</f>
        <v>0</v>
      </c>
      <c r="I359">
        <f>SUMPRODUCT((MONTH(CHOOSE({1,2,3,4},HN!U359,HN!AA359,HN!AG359,HN!AM359))=9)*(CHOOSE({1,2,3,4},HN!X359,HN!AD359,HN!AJ359,HN!AP359)))</f>
        <v>0</v>
      </c>
      <c r="J359">
        <f>SUMPRODUCT((MONTH(CHOOSE({1,2,3,4},HN!U359,HN!AA359,HN!AG359,HN!AM359))=10)*(CHOOSE({1,2,3,4},HN!X359,HN!AD359,HN!AJ359,HN!AP359)))</f>
        <v>0</v>
      </c>
      <c r="K359">
        <f>SUMPRODUCT((MONTH(CHOOSE({1,2,3,4},HN!U359,HN!AA359,HN!AG359,HN!AM359))=11)*(CHOOSE({1,2,3,4},HN!X359,HN!AD359,HN!AJ359,HN!AP359)))</f>
        <v>0</v>
      </c>
      <c r="L359">
        <f>SUMPRODUCT((MONTH(CHOOSE({1,2,3,4},HN!U359,HN!AA359,HN!AG359,HN!AM359))=12)*(CHOOSE({1,2,3,4},HN!X359,HN!AD359,HN!AJ359,HN!AP359)))</f>
        <v>0</v>
      </c>
    </row>
    <row r="360" spans="1:12">
      <c r="A360">
        <f>SUMPRODUCT((MONTH(CHOOSE({1,2,3,4},HN!U360,HN!AA360,HN!AG360,HN!AM360))=1)*(CHOOSE({1,2,3,4},HN!X360,HN!AD360,HN!AJ360,HN!AP360)))</f>
        <v>0</v>
      </c>
      <c r="B360">
        <f>SUMPRODUCT((MONTH(CHOOSE({1,2,3,4},HN!U360,HN!AA360,HN!AG360,HN!AM360))=2)*(CHOOSE({1,2,3,4},HN!X360,HN!AD360,HN!AJ360,HN!AP360)))</f>
        <v>0</v>
      </c>
      <c r="C360">
        <f>SUMPRODUCT((MONTH(CHOOSE({1,2,3,4},HN!U360,HN!AA360,HN!AG360,HN!AM360))=3)*(CHOOSE({1,2,3,4},HN!X360,HN!AD360,HN!AJ360,HN!AP360)))</f>
        <v>0</v>
      </c>
      <c r="D360">
        <f>SUMPRODUCT((MONTH(CHOOSE({1,2,3,4},HN!U360,HN!AA360,HN!AG360,HN!AM360))=4)*(CHOOSE({1,2,3,4},HN!X360,HN!AD360,HN!AJ360,HN!AP360)))</f>
        <v>0</v>
      </c>
      <c r="E360">
        <f>SUMPRODUCT((MONTH(CHOOSE({1,2,3,4},HN!U360,HN!AA360,HN!AG360,HN!AM360))=5)*(CHOOSE({1,2,3,4},HN!X360,HN!AD360,HN!AJ360,HN!AP360)))</f>
        <v>0</v>
      </c>
      <c r="F360">
        <f>SUMPRODUCT((MONTH(CHOOSE({1,2,3,4},HN!U360,HN!AA360,HN!AG360,HN!AM360))=6)*(CHOOSE({1,2,3,4},HN!X360,HN!AD360,HN!AJ360,HN!AP360)))</f>
        <v>0</v>
      </c>
      <c r="G360">
        <f>SUMPRODUCT((MONTH(CHOOSE({1,2,3,4},HN!U360,HN!AA360,HN!AG360,HN!AM360))=7)*(CHOOSE({1,2,3,4},HN!X360,HN!AD360,HN!AJ360,HN!AP360)))</f>
        <v>0</v>
      </c>
      <c r="H360">
        <f>SUMPRODUCT((MONTH(CHOOSE({1,2,3,4},HN!U360,HN!AA360,HN!AG360,HN!AM360))=8)*(CHOOSE({1,2,3,4},HN!X360,HN!AD360,HN!AJ360,HN!AP360)))</f>
        <v>0</v>
      </c>
      <c r="I360">
        <f>SUMPRODUCT((MONTH(CHOOSE({1,2,3,4},HN!U360,HN!AA360,HN!AG360,HN!AM360))=9)*(CHOOSE({1,2,3,4},HN!X360,HN!AD360,HN!AJ360,HN!AP360)))</f>
        <v>0</v>
      </c>
      <c r="J360">
        <f>SUMPRODUCT((MONTH(CHOOSE({1,2,3,4},HN!U360,HN!AA360,HN!AG360,HN!AM360))=10)*(CHOOSE({1,2,3,4},HN!X360,HN!AD360,HN!AJ360,HN!AP360)))</f>
        <v>0</v>
      </c>
      <c r="K360">
        <f>SUMPRODUCT((MONTH(CHOOSE({1,2,3,4},HN!U360,HN!AA360,HN!AG360,HN!AM360))=11)*(CHOOSE({1,2,3,4},HN!X360,HN!AD360,HN!AJ360,HN!AP360)))</f>
        <v>0</v>
      </c>
      <c r="L360">
        <f>SUMPRODUCT((MONTH(CHOOSE({1,2,3,4},HN!U360,HN!AA360,HN!AG360,HN!AM360))=12)*(CHOOSE({1,2,3,4},HN!X360,HN!AD360,HN!AJ360,HN!AP360)))</f>
        <v>0</v>
      </c>
    </row>
    <row r="361" spans="1:12">
      <c r="A361">
        <f>SUMPRODUCT((MONTH(CHOOSE({1,2,3,4},HN!U361,HN!AA361,HN!AG361,HN!AM361))=1)*(CHOOSE({1,2,3,4},HN!X361,HN!AD361,HN!AJ361,HN!AP361)))</f>
        <v>0</v>
      </c>
      <c r="B361">
        <f>SUMPRODUCT((MONTH(CHOOSE({1,2,3,4},HN!U361,HN!AA361,HN!AG361,HN!AM361))=2)*(CHOOSE({1,2,3,4},HN!X361,HN!AD361,HN!AJ361,HN!AP361)))</f>
        <v>0</v>
      </c>
      <c r="C361">
        <f>SUMPRODUCT((MONTH(CHOOSE({1,2,3,4},HN!U361,HN!AA361,HN!AG361,HN!AM361))=3)*(CHOOSE({1,2,3,4},HN!X361,HN!AD361,HN!AJ361,HN!AP361)))</f>
        <v>0</v>
      </c>
      <c r="D361">
        <f>SUMPRODUCT((MONTH(CHOOSE({1,2,3,4},HN!U361,HN!AA361,HN!AG361,HN!AM361))=4)*(CHOOSE({1,2,3,4},HN!X361,HN!AD361,HN!AJ361,HN!AP361)))</f>
        <v>0</v>
      </c>
      <c r="E361">
        <f>SUMPRODUCT((MONTH(CHOOSE({1,2,3,4},HN!U361,HN!AA361,HN!AG361,HN!AM361))=5)*(CHOOSE({1,2,3,4},HN!X361,HN!AD361,HN!AJ361,HN!AP361)))</f>
        <v>0</v>
      </c>
      <c r="F361">
        <f>SUMPRODUCT((MONTH(CHOOSE({1,2,3,4},HN!U361,HN!AA361,HN!AG361,HN!AM361))=6)*(CHOOSE({1,2,3,4},HN!X361,HN!AD361,HN!AJ361,HN!AP361)))</f>
        <v>0</v>
      </c>
      <c r="G361">
        <f>SUMPRODUCT((MONTH(CHOOSE({1,2,3,4},HN!U361,HN!AA361,HN!AG361,HN!AM361))=7)*(CHOOSE({1,2,3,4},HN!X361,HN!AD361,HN!AJ361,HN!AP361)))</f>
        <v>0</v>
      </c>
      <c r="H361">
        <f>SUMPRODUCT((MONTH(CHOOSE({1,2,3,4},HN!U361,HN!AA361,HN!AG361,HN!AM361))=8)*(CHOOSE({1,2,3,4},HN!X361,HN!AD361,HN!AJ361,HN!AP361)))</f>
        <v>0</v>
      </c>
      <c r="I361">
        <f>SUMPRODUCT((MONTH(CHOOSE({1,2,3,4},HN!U361,HN!AA361,HN!AG361,HN!AM361))=9)*(CHOOSE({1,2,3,4},HN!X361,HN!AD361,HN!AJ361,HN!AP361)))</f>
        <v>0</v>
      </c>
      <c r="J361">
        <f>SUMPRODUCT((MONTH(CHOOSE({1,2,3,4},HN!U361,HN!AA361,HN!AG361,HN!AM361))=10)*(CHOOSE({1,2,3,4},HN!X361,HN!AD361,HN!AJ361,HN!AP361)))</f>
        <v>0</v>
      </c>
      <c r="K361">
        <f>SUMPRODUCT((MONTH(CHOOSE({1,2,3,4},HN!U361,HN!AA361,HN!AG361,HN!AM361))=11)*(CHOOSE({1,2,3,4},HN!X361,HN!AD361,HN!AJ361,HN!AP361)))</f>
        <v>0</v>
      </c>
      <c r="L361">
        <f>SUMPRODUCT((MONTH(CHOOSE({1,2,3,4},HN!U361,HN!AA361,HN!AG361,HN!AM361))=12)*(CHOOSE({1,2,3,4},HN!X361,HN!AD361,HN!AJ361,HN!AP361)))</f>
        <v>0</v>
      </c>
    </row>
    <row r="362" spans="1:12">
      <c r="A362">
        <f>SUMPRODUCT((MONTH(CHOOSE({1,2,3,4},HN!U362,HN!AA362,HN!AG362,HN!AM362))=1)*(CHOOSE({1,2,3,4},HN!X362,HN!AD362,HN!AJ362,HN!AP362)))</f>
        <v>0</v>
      </c>
      <c r="B362">
        <f>SUMPRODUCT((MONTH(CHOOSE({1,2,3,4},HN!U362,HN!AA362,HN!AG362,HN!AM362))=2)*(CHOOSE({1,2,3,4},HN!X362,HN!AD362,HN!AJ362,HN!AP362)))</f>
        <v>0</v>
      </c>
      <c r="C362">
        <f>SUMPRODUCT((MONTH(CHOOSE({1,2,3,4},HN!U362,HN!AA362,HN!AG362,HN!AM362))=3)*(CHOOSE({1,2,3,4},HN!X362,HN!AD362,HN!AJ362,HN!AP362)))</f>
        <v>0</v>
      </c>
      <c r="D362">
        <f>SUMPRODUCT((MONTH(CHOOSE({1,2,3,4},HN!U362,HN!AA362,HN!AG362,HN!AM362))=4)*(CHOOSE({1,2,3,4},HN!X362,HN!AD362,HN!AJ362,HN!AP362)))</f>
        <v>0</v>
      </c>
      <c r="E362">
        <f>SUMPRODUCT((MONTH(CHOOSE({1,2,3,4},HN!U362,HN!AA362,HN!AG362,HN!AM362))=5)*(CHOOSE({1,2,3,4},HN!X362,HN!AD362,HN!AJ362,HN!AP362)))</f>
        <v>0</v>
      </c>
      <c r="F362">
        <f>SUMPRODUCT((MONTH(CHOOSE({1,2,3,4},HN!U362,HN!AA362,HN!AG362,HN!AM362))=6)*(CHOOSE({1,2,3,4},HN!X362,HN!AD362,HN!AJ362,HN!AP362)))</f>
        <v>0</v>
      </c>
      <c r="G362">
        <f>SUMPRODUCT((MONTH(CHOOSE({1,2,3,4},HN!U362,HN!AA362,HN!AG362,HN!AM362))=7)*(CHOOSE({1,2,3,4},HN!X362,HN!AD362,HN!AJ362,HN!AP362)))</f>
        <v>0</v>
      </c>
      <c r="H362">
        <f>SUMPRODUCT((MONTH(CHOOSE({1,2,3,4},HN!U362,HN!AA362,HN!AG362,HN!AM362))=8)*(CHOOSE({1,2,3,4},HN!X362,HN!AD362,HN!AJ362,HN!AP362)))</f>
        <v>0</v>
      </c>
      <c r="I362">
        <f>SUMPRODUCT((MONTH(CHOOSE({1,2,3,4},HN!U362,HN!AA362,HN!AG362,HN!AM362))=9)*(CHOOSE({1,2,3,4},HN!X362,HN!AD362,HN!AJ362,HN!AP362)))</f>
        <v>0</v>
      </c>
      <c r="J362">
        <f>SUMPRODUCT((MONTH(CHOOSE({1,2,3,4},HN!U362,HN!AA362,HN!AG362,HN!AM362))=10)*(CHOOSE({1,2,3,4},HN!X362,HN!AD362,HN!AJ362,HN!AP362)))</f>
        <v>0</v>
      </c>
      <c r="K362">
        <f>SUMPRODUCT((MONTH(CHOOSE({1,2,3,4},HN!U362,HN!AA362,HN!AG362,HN!AM362))=11)*(CHOOSE({1,2,3,4},HN!X362,HN!AD362,HN!AJ362,HN!AP362)))</f>
        <v>0</v>
      </c>
      <c r="L362">
        <f>SUMPRODUCT((MONTH(CHOOSE({1,2,3,4},HN!U362,HN!AA362,HN!AG362,HN!AM362))=12)*(CHOOSE({1,2,3,4},HN!X362,HN!AD362,HN!AJ362,HN!AP362)))</f>
        <v>0</v>
      </c>
    </row>
    <row r="363" spans="1:12">
      <c r="A363">
        <f>SUMPRODUCT((MONTH(CHOOSE({1,2,3,4},HN!U363,HN!AA363,HN!AG363,HN!AM363))=1)*(CHOOSE({1,2,3,4},HN!X363,HN!AD363,HN!AJ363,HN!AP363)))</f>
        <v>0</v>
      </c>
      <c r="B363">
        <f>SUMPRODUCT((MONTH(CHOOSE({1,2,3,4},HN!U363,HN!AA363,HN!AG363,HN!AM363))=2)*(CHOOSE({1,2,3,4},HN!X363,HN!AD363,HN!AJ363,HN!AP363)))</f>
        <v>0</v>
      </c>
      <c r="C363">
        <f>SUMPRODUCT((MONTH(CHOOSE({1,2,3,4},HN!U363,HN!AA363,HN!AG363,HN!AM363))=3)*(CHOOSE({1,2,3,4},HN!X363,HN!AD363,HN!AJ363,HN!AP363)))</f>
        <v>0</v>
      </c>
      <c r="D363">
        <f>SUMPRODUCT((MONTH(CHOOSE({1,2,3,4},HN!U363,HN!AA363,HN!AG363,HN!AM363))=4)*(CHOOSE({1,2,3,4},HN!X363,HN!AD363,HN!AJ363,HN!AP363)))</f>
        <v>0</v>
      </c>
      <c r="E363">
        <f>SUMPRODUCT((MONTH(CHOOSE({1,2,3,4},HN!U363,HN!AA363,HN!AG363,HN!AM363))=5)*(CHOOSE({1,2,3,4},HN!X363,HN!AD363,HN!AJ363,HN!AP363)))</f>
        <v>0</v>
      </c>
      <c r="F363">
        <f>SUMPRODUCT((MONTH(CHOOSE({1,2,3,4},HN!U363,HN!AA363,HN!AG363,HN!AM363))=6)*(CHOOSE({1,2,3,4},HN!X363,HN!AD363,HN!AJ363,HN!AP363)))</f>
        <v>0</v>
      </c>
      <c r="G363">
        <f>SUMPRODUCT((MONTH(CHOOSE({1,2,3,4},HN!U363,HN!AA363,HN!AG363,HN!AM363))=7)*(CHOOSE({1,2,3,4},HN!X363,HN!AD363,HN!AJ363,HN!AP363)))</f>
        <v>0</v>
      </c>
      <c r="H363">
        <f>SUMPRODUCT((MONTH(CHOOSE({1,2,3,4},HN!U363,HN!AA363,HN!AG363,HN!AM363))=8)*(CHOOSE({1,2,3,4},HN!X363,HN!AD363,HN!AJ363,HN!AP363)))</f>
        <v>0</v>
      </c>
      <c r="I363">
        <f>SUMPRODUCT((MONTH(CHOOSE({1,2,3,4},HN!U363,HN!AA363,HN!AG363,HN!AM363))=9)*(CHOOSE({1,2,3,4},HN!X363,HN!AD363,HN!AJ363,HN!AP363)))</f>
        <v>0</v>
      </c>
      <c r="J363">
        <f>SUMPRODUCT((MONTH(CHOOSE({1,2,3,4},HN!U363,HN!AA363,HN!AG363,HN!AM363))=10)*(CHOOSE({1,2,3,4},HN!X363,HN!AD363,HN!AJ363,HN!AP363)))</f>
        <v>0</v>
      </c>
      <c r="K363">
        <f>SUMPRODUCT((MONTH(CHOOSE({1,2,3,4},HN!U363,HN!AA363,HN!AG363,HN!AM363))=11)*(CHOOSE({1,2,3,4},HN!X363,HN!AD363,HN!AJ363,HN!AP363)))</f>
        <v>0</v>
      </c>
      <c r="L363">
        <f>SUMPRODUCT((MONTH(CHOOSE({1,2,3,4},HN!U363,HN!AA363,HN!AG363,HN!AM363))=12)*(CHOOSE({1,2,3,4},HN!X363,HN!AD363,HN!AJ363,HN!AP363)))</f>
        <v>0</v>
      </c>
    </row>
    <row r="364" spans="1:12">
      <c r="A364">
        <f>SUMPRODUCT((MONTH(CHOOSE({1,2,3,4},HN!U364,HN!AA364,HN!AG364,HN!AM364))=1)*(CHOOSE({1,2,3,4},HN!X364,HN!AD364,HN!AJ364,HN!AP364)))</f>
        <v>0</v>
      </c>
      <c r="B364">
        <f>SUMPRODUCT((MONTH(CHOOSE({1,2,3,4},HN!U364,HN!AA364,HN!AG364,HN!AM364))=2)*(CHOOSE({1,2,3,4},HN!X364,HN!AD364,HN!AJ364,HN!AP364)))</f>
        <v>0</v>
      </c>
      <c r="C364">
        <f>SUMPRODUCT((MONTH(CHOOSE({1,2,3,4},HN!U364,HN!AA364,HN!AG364,HN!AM364))=3)*(CHOOSE({1,2,3,4},HN!X364,HN!AD364,HN!AJ364,HN!AP364)))</f>
        <v>0</v>
      </c>
      <c r="D364">
        <f>SUMPRODUCT((MONTH(CHOOSE({1,2,3,4},HN!U364,HN!AA364,HN!AG364,HN!AM364))=4)*(CHOOSE({1,2,3,4},HN!X364,HN!AD364,HN!AJ364,HN!AP364)))</f>
        <v>0</v>
      </c>
      <c r="E364">
        <f>SUMPRODUCT((MONTH(CHOOSE({1,2,3,4},HN!U364,HN!AA364,HN!AG364,HN!AM364))=5)*(CHOOSE({1,2,3,4},HN!X364,HN!AD364,HN!AJ364,HN!AP364)))</f>
        <v>0</v>
      </c>
      <c r="F364">
        <f>SUMPRODUCT((MONTH(CHOOSE({1,2,3,4},HN!U364,HN!AA364,HN!AG364,HN!AM364))=6)*(CHOOSE({1,2,3,4},HN!X364,HN!AD364,HN!AJ364,HN!AP364)))</f>
        <v>0</v>
      </c>
      <c r="G364">
        <f>SUMPRODUCT((MONTH(CHOOSE({1,2,3,4},HN!U364,HN!AA364,HN!AG364,HN!AM364))=7)*(CHOOSE({1,2,3,4},HN!X364,HN!AD364,HN!AJ364,HN!AP364)))</f>
        <v>0</v>
      </c>
      <c r="H364">
        <f>SUMPRODUCT((MONTH(CHOOSE({1,2,3,4},HN!U364,HN!AA364,HN!AG364,HN!AM364))=8)*(CHOOSE({1,2,3,4},HN!X364,HN!AD364,HN!AJ364,HN!AP364)))</f>
        <v>0</v>
      </c>
      <c r="I364">
        <f>SUMPRODUCT((MONTH(CHOOSE({1,2,3,4},HN!U364,HN!AA364,HN!AG364,HN!AM364))=9)*(CHOOSE({1,2,3,4},HN!X364,HN!AD364,HN!AJ364,HN!AP364)))</f>
        <v>0</v>
      </c>
      <c r="J364">
        <f>SUMPRODUCT((MONTH(CHOOSE({1,2,3,4},HN!U364,HN!AA364,HN!AG364,HN!AM364))=10)*(CHOOSE({1,2,3,4},HN!X364,HN!AD364,HN!AJ364,HN!AP364)))</f>
        <v>0</v>
      </c>
      <c r="K364">
        <f>SUMPRODUCT((MONTH(CHOOSE({1,2,3,4},HN!U364,HN!AA364,HN!AG364,HN!AM364))=11)*(CHOOSE({1,2,3,4},HN!X364,HN!AD364,HN!AJ364,HN!AP364)))</f>
        <v>0</v>
      </c>
      <c r="L364">
        <f>SUMPRODUCT((MONTH(CHOOSE({1,2,3,4},HN!U364,HN!AA364,HN!AG364,HN!AM364))=12)*(CHOOSE({1,2,3,4},HN!X364,HN!AD364,HN!AJ364,HN!AP364)))</f>
        <v>0</v>
      </c>
    </row>
    <row r="365" spans="1:12">
      <c r="A365">
        <f>SUMPRODUCT((MONTH(CHOOSE({1,2,3,4},HN!U365,HN!AA365,HN!AG365,HN!AM365))=1)*(CHOOSE({1,2,3,4},HN!X365,HN!AD365,HN!AJ365,HN!AP365)))</f>
        <v>0</v>
      </c>
      <c r="B365">
        <f>SUMPRODUCT((MONTH(CHOOSE({1,2,3,4},HN!U365,HN!AA365,HN!AG365,HN!AM365))=2)*(CHOOSE({1,2,3,4},HN!X365,HN!AD365,HN!AJ365,HN!AP365)))</f>
        <v>0</v>
      </c>
      <c r="C365">
        <f>SUMPRODUCT((MONTH(CHOOSE({1,2,3,4},HN!U365,HN!AA365,HN!AG365,HN!AM365))=3)*(CHOOSE({1,2,3,4},HN!X365,HN!AD365,HN!AJ365,HN!AP365)))</f>
        <v>0</v>
      </c>
      <c r="D365">
        <f>SUMPRODUCT((MONTH(CHOOSE({1,2,3,4},HN!U365,HN!AA365,HN!AG365,HN!AM365))=4)*(CHOOSE({1,2,3,4},HN!X365,HN!AD365,HN!AJ365,HN!AP365)))</f>
        <v>0</v>
      </c>
      <c r="E365">
        <f>SUMPRODUCT((MONTH(CHOOSE({1,2,3,4},HN!U365,HN!AA365,HN!AG365,HN!AM365))=5)*(CHOOSE({1,2,3,4},HN!X365,HN!AD365,HN!AJ365,HN!AP365)))</f>
        <v>0</v>
      </c>
      <c r="F365">
        <f>SUMPRODUCT((MONTH(CHOOSE({1,2,3,4},HN!U365,HN!AA365,HN!AG365,HN!AM365))=6)*(CHOOSE({1,2,3,4},HN!X365,HN!AD365,HN!AJ365,HN!AP365)))</f>
        <v>0</v>
      </c>
      <c r="G365">
        <f>SUMPRODUCT((MONTH(CHOOSE({1,2,3,4},HN!U365,HN!AA365,HN!AG365,HN!AM365))=7)*(CHOOSE({1,2,3,4},HN!X365,HN!AD365,HN!AJ365,HN!AP365)))</f>
        <v>0</v>
      </c>
      <c r="H365">
        <f>SUMPRODUCT((MONTH(CHOOSE({1,2,3,4},HN!U365,HN!AA365,HN!AG365,HN!AM365))=8)*(CHOOSE({1,2,3,4},HN!X365,HN!AD365,HN!AJ365,HN!AP365)))</f>
        <v>0</v>
      </c>
      <c r="I365">
        <f>SUMPRODUCT((MONTH(CHOOSE({1,2,3,4},HN!U365,HN!AA365,HN!AG365,HN!AM365))=9)*(CHOOSE({1,2,3,4},HN!X365,HN!AD365,HN!AJ365,HN!AP365)))</f>
        <v>0</v>
      </c>
      <c r="J365">
        <f>SUMPRODUCT((MONTH(CHOOSE({1,2,3,4},HN!U365,HN!AA365,HN!AG365,HN!AM365))=10)*(CHOOSE({1,2,3,4},HN!X365,HN!AD365,HN!AJ365,HN!AP365)))</f>
        <v>0</v>
      </c>
      <c r="K365">
        <f>SUMPRODUCT((MONTH(CHOOSE({1,2,3,4},HN!U365,HN!AA365,HN!AG365,HN!AM365))=11)*(CHOOSE({1,2,3,4},HN!X365,HN!AD365,HN!AJ365,HN!AP365)))</f>
        <v>0</v>
      </c>
      <c r="L365">
        <f>SUMPRODUCT((MONTH(CHOOSE({1,2,3,4},HN!U365,HN!AA365,HN!AG365,HN!AM365))=12)*(CHOOSE({1,2,3,4},HN!X365,HN!AD365,HN!AJ365,HN!AP365)))</f>
        <v>0</v>
      </c>
    </row>
    <row r="366" spans="1:12">
      <c r="A366">
        <f>SUMPRODUCT((MONTH(CHOOSE({1,2,3,4},HN!U366,HN!AA366,HN!AG366,HN!AM366))=1)*(CHOOSE({1,2,3,4},HN!X366,HN!AD366,HN!AJ366,HN!AP366)))</f>
        <v>0</v>
      </c>
      <c r="B366">
        <f>SUMPRODUCT((MONTH(CHOOSE({1,2,3,4},HN!U366,HN!AA366,HN!AG366,HN!AM366))=2)*(CHOOSE({1,2,3,4},HN!X366,HN!AD366,HN!AJ366,HN!AP366)))</f>
        <v>0</v>
      </c>
      <c r="C366">
        <f>SUMPRODUCT((MONTH(CHOOSE({1,2,3,4},HN!U366,HN!AA366,HN!AG366,HN!AM366))=3)*(CHOOSE({1,2,3,4},HN!X366,HN!AD366,HN!AJ366,HN!AP366)))</f>
        <v>0</v>
      </c>
      <c r="D366">
        <f>SUMPRODUCT((MONTH(CHOOSE({1,2,3,4},HN!U366,HN!AA366,HN!AG366,HN!AM366))=4)*(CHOOSE({1,2,3,4},HN!X366,HN!AD366,HN!AJ366,HN!AP366)))</f>
        <v>0</v>
      </c>
      <c r="E366">
        <f>SUMPRODUCT((MONTH(CHOOSE({1,2,3,4},HN!U366,HN!AA366,HN!AG366,HN!AM366))=5)*(CHOOSE({1,2,3,4},HN!X366,HN!AD366,HN!AJ366,HN!AP366)))</f>
        <v>0</v>
      </c>
      <c r="F366">
        <f>SUMPRODUCT((MONTH(CHOOSE({1,2,3,4},HN!U366,HN!AA366,HN!AG366,HN!AM366))=6)*(CHOOSE({1,2,3,4},HN!X366,HN!AD366,HN!AJ366,HN!AP366)))</f>
        <v>0</v>
      </c>
      <c r="G366">
        <f>SUMPRODUCT((MONTH(CHOOSE({1,2,3,4},HN!U366,HN!AA366,HN!AG366,HN!AM366))=7)*(CHOOSE({1,2,3,4},HN!X366,HN!AD366,HN!AJ366,HN!AP366)))</f>
        <v>0</v>
      </c>
      <c r="H366">
        <f>SUMPRODUCT((MONTH(CHOOSE({1,2,3,4},HN!U366,HN!AA366,HN!AG366,HN!AM366))=8)*(CHOOSE({1,2,3,4},HN!X366,HN!AD366,HN!AJ366,HN!AP366)))</f>
        <v>0</v>
      </c>
      <c r="I366">
        <f>SUMPRODUCT((MONTH(CHOOSE({1,2,3,4},HN!U366,HN!AA366,HN!AG366,HN!AM366))=9)*(CHOOSE({1,2,3,4},HN!X366,HN!AD366,HN!AJ366,HN!AP366)))</f>
        <v>0</v>
      </c>
      <c r="J366">
        <f>SUMPRODUCT((MONTH(CHOOSE({1,2,3,4},HN!U366,HN!AA366,HN!AG366,HN!AM366))=10)*(CHOOSE({1,2,3,4},HN!X366,HN!AD366,HN!AJ366,HN!AP366)))</f>
        <v>0</v>
      </c>
      <c r="K366">
        <f>SUMPRODUCT((MONTH(CHOOSE({1,2,3,4},HN!U366,HN!AA366,HN!AG366,HN!AM366))=11)*(CHOOSE({1,2,3,4},HN!X366,HN!AD366,HN!AJ366,HN!AP366)))</f>
        <v>0</v>
      </c>
      <c r="L366">
        <f>SUMPRODUCT((MONTH(CHOOSE({1,2,3,4},HN!U366,HN!AA366,HN!AG366,HN!AM366))=12)*(CHOOSE({1,2,3,4},HN!X366,HN!AD366,HN!AJ366,HN!AP366)))</f>
        <v>0</v>
      </c>
    </row>
    <row r="367" spans="1:12">
      <c r="A367">
        <f>SUMPRODUCT((MONTH(CHOOSE({1,2,3,4},HN!U367,HN!AA367,HN!AG367,HN!AM367))=1)*(CHOOSE({1,2,3,4},HN!X367,HN!AD367,HN!AJ367,HN!AP367)))</f>
        <v>0</v>
      </c>
      <c r="B367">
        <f>SUMPRODUCT((MONTH(CHOOSE({1,2,3,4},HN!U367,HN!AA367,HN!AG367,HN!AM367))=2)*(CHOOSE({1,2,3,4},HN!X367,HN!AD367,HN!AJ367,HN!AP367)))</f>
        <v>0</v>
      </c>
      <c r="C367">
        <f>SUMPRODUCT((MONTH(CHOOSE({1,2,3,4},HN!U367,HN!AA367,HN!AG367,HN!AM367))=3)*(CHOOSE({1,2,3,4},HN!X367,HN!AD367,HN!AJ367,HN!AP367)))</f>
        <v>0</v>
      </c>
      <c r="D367">
        <f>SUMPRODUCT((MONTH(CHOOSE({1,2,3,4},HN!U367,HN!AA367,HN!AG367,HN!AM367))=4)*(CHOOSE({1,2,3,4},HN!X367,HN!AD367,HN!AJ367,HN!AP367)))</f>
        <v>0</v>
      </c>
      <c r="E367">
        <f>SUMPRODUCT((MONTH(CHOOSE({1,2,3,4},HN!U367,HN!AA367,HN!AG367,HN!AM367))=5)*(CHOOSE({1,2,3,4},HN!X367,HN!AD367,HN!AJ367,HN!AP367)))</f>
        <v>0</v>
      </c>
      <c r="F367">
        <f>SUMPRODUCT((MONTH(CHOOSE({1,2,3,4},HN!U367,HN!AA367,HN!AG367,HN!AM367))=6)*(CHOOSE({1,2,3,4},HN!X367,HN!AD367,HN!AJ367,HN!AP367)))</f>
        <v>0</v>
      </c>
      <c r="G367">
        <f>SUMPRODUCT((MONTH(CHOOSE({1,2,3,4},HN!U367,HN!AA367,HN!AG367,HN!AM367))=7)*(CHOOSE({1,2,3,4},HN!X367,HN!AD367,HN!AJ367,HN!AP367)))</f>
        <v>0</v>
      </c>
      <c r="H367">
        <f>SUMPRODUCT((MONTH(CHOOSE({1,2,3,4},HN!U367,HN!AA367,HN!AG367,HN!AM367))=8)*(CHOOSE({1,2,3,4},HN!X367,HN!AD367,HN!AJ367,HN!AP367)))</f>
        <v>0</v>
      </c>
      <c r="I367">
        <f>SUMPRODUCT((MONTH(CHOOSE({1,2,3,4},HN!U367,HN!AA367,HN!AG367,HN!AM367))=9)*(CHOOSE({1,2,3,4},HN!X367,HN!AD367,HN!AJ367,HN!AP367)))</f>
        <v>0</v>
      </c>
      <c r="J367">
        <f>SUMPRODUCT((MONTH(CHOOSE({1,2,3,4},HN!U367,HN!AA367,HN!AG367,HN!AM367))=10)*(CHOOSE({1,2,3,4},HN!X367,HN!AD367,HN!AJ367,HN!AP367)))</f>
        <v>0</v>
      </c>
      <c r="K367">
        <f>SUMPRODUCT((MONTH(CHOOSE({1,2,3,4},HN!U367,HN!AA367,HN!AG367,HN!AM367))=11)*(CHOOSE({1,2,3,4},HN!X367,HN!AD367,HN!AJ367,HN!AP367)))</f>
        <v>0</v>
      </c>
      <c r="L367">
        <f>SUMPRODUCT((MONTH(CHOOSE({1,2,3,4},HN!U367,HN!AA367,HN!AG367,HN!AM367))=12)*(CHOOSE({1,2,3,4},HN!X367,HN!AD367,HN!AJ367,HN!AP367)))</f>
        <v>0</v>
      </c>
    </row>
    <row r="368" spans="1:12">
      <c r="A368">
        <f>SUMPRODUCT((MONTH(CHOOSE({1,2,3,4},HN!U368,HN!AA368,HN!AG368,HN!AM368))=1)*(CHOOSE({1,2,3,4},HN!X368,HN!AD368,HN!AJ368,HN!AP368)))</f>
        <v>0</v>
      </c>
      <c r="B368">
        <f>SUMPRODUCT((MONTH(CHOOSE({1,2,3,4},HN!U368,HN!AA368,HN!AG368,HN!AM368))=2)*(CHOOSE({1,2,3,4},HN!X368,HN!AD368,HN!AJ368,HN!AP368)))</f>
        <v>0</v>
      </c>
      <c r="C368">
        <f>SUMPRODUCT((MONTH(CHOOSE({1,2,3,4},HN!U368,HN!AA368,HN!AG368,HN!AM368))=3)*(CHOOSE({1,2,3,4},HN!X368,HN!AD368,HN!AJ368,HN!AP368)))</f>
        <v>0</v>
      </c>
      <c r="D368">
        <f>SUMPRODUCT((MONTH(CHOOSE({1,2,3,4},HN!U368,HN!AA368,HN!AG368,HN!AM368))=4)*(CHOOSE({1,2,3,4},HN!X368,HN!AD368,HN!AJ368,HN!AP368)))</f>
        <v>0</v>
      </c>
      <c r="E368">
        <f>SUMPRODUCT((MONTH(CHOOSE({1,2,3,4},HN!U368,HN!AA368,HN!AG368,HN!AM368))=5)*(CHOOSE({1,2,3,4},HN!X368,HN!AD368,HN!AJ368,HN!AP368)))</f>
        <v>0</v>
      </c>
      <c r="F368">
        <f>SUMPRODUCT((MONTH(CHOOSE({1,2,3,4},HN!U368,HN!AA368,HN!AG368,HN!AM368))=6)*(CHOOSE({1,2,3,4},HN!X368,HN!AD368,HN!AJ368,HN!AP368)))</f>
        <v>0</v>
      </c>
      <c r="G368">
        <f>SUMPRODUCT((MONTH(CHOOSE({1,2,3,4},HN!U368,HN!AA368,HN!AG368,HN!AM368))=7)*(CHOOSE({1,2,3,4},HN!X368,HN!AD368,HN!AJ368,HN!AP368)))</f>
        <v>0</v>
      </c>
      <c r="H368">
        <f>SUMPRODUCT((MONTH(CHOOSE({1,2,3,4},HN!U368,HN!AA368,HN!AG368,HN!AM368))=8)*(CHOOSE({1,2,3,4},HN!X368,HN!AD368,HN!AJ368,HN!AP368)))</f>
        <v>0</v>
      </c>
      <c r="I368">
        <f>SUMPRODUCT((MONTH(CHOOSE({1,2,3,4},HN!U368,HN!AA368,HN!AG368,HN!AM368))=9)*(CHOOSE({1,2,3,4},HN!X368,HN!AD368,HN!AJ368,HN!AP368)))</f>
        <v>0</v>
      </c>
      <c r="J368">
        <f>SUMPRODUCT((MONTH(CHOOSE({1,2,3,4},HN!U368,HN!AA368,HN!AG368,HN!AM368))=10)*(CHOOSE({1,2,3,4},HN!X368,HN!AD368,HN!AJ368,HN!AP368)))</f>
        <v>0</v>
      </c>
      <c r="K368">
        <f>SUMPRODUCT((MONTH(CHOOSE({1,2,3,4},HN!U368,HN!AA368,HN!AG368,HN!AM368))=11)*(CHOOSE({1,2,3,4},HN!X368,HN!AD368,HN!AJ368,HN!AP368)))</f>
        <v>0</v>
      </c>
      <c r="L368">
        <f>SUMPRODUCT((MONTH(CHOOSE({1,2,3,4},HN!U368,HN!AA368,HN!AG368,HN!AM368))=12)*(CHOOSE({1,2,3,4},HN!X368,HN!AD368,HN!AJ368,HN!AP368)))</f>
        <v>0</v>
      </c>
    </row>
    <row r="369" spans="1:12">
      <c r="A369">
        <f>SUMPRODUCT((MONTH(CHOOSE({1,2,3,4},HN!U369,HN!AA369,HN!AG369,HN!AM369))=1)*(CHOOSE({1,2,3,4},HN!X369,HN!AD369,HN!AJ369,HN!AP369)))</f>
        <v>0</v>
      </c>
      <c r="B369">
        <f>SUMPRODUCT((MONTH(CHOOSE({1,2,3,4},HN!U369,HN!AA369,HN!AG369,HN!AM369))=2)*(CHOOSE({1,2,3,4},HN!X369,HN!AD369,HN!AJ369,HN!AP369)))</f>
        <v>0</v>
      </c>
      <c r="C369">
        <f>SUMPRODUCT((MONTH(CHOOSE({1,2,3,4},HN!U369,HN!AA369,HN!AG369,HN!AM369))=3)*(CHOOSE({1,2,3,4},HN!X369,HN!AD369,HN!AJ369,HN!AP369)))</f>
        <v>0</v>
      </c>
      <c r="D369">
        <f>SUMPRODUCT((MONTH(CHOOSE({1,2,3,4},HN!U369,HN!AA369,HN!AG369,HN!AM369))=4)*(CHOOSE({1,2,3,4},HN!X369,HN!AD369,HN!AJ369,HN!AP369)))</f>
        <v>0</v>
      </c>
      <c r="E369">
        <f>SUMPRODUCT((MONTH(CHOOSE({1,2,3,4},HN!U369,HN!AA369,HN!AG369,HN!AM369))=5)*(CHOOSE({1,2,3,4},HN!X369,HN!AD369,HN!AJ369,HN!AP369)))</f>
        <v>0</v>
      </c>
      <c r="F369">
        <f>SUMPRODUCT((MONTH(CHOOSE({1,2,3,4},HN!U369,HN!AA369,HN!AG369,HN!AM369))=6)*(CHOOSE({1,2,3,4},HN!X369,HN!AD369,HN!AJ369,HN!AP369)))</f>
        <v>0</v>
      </c>
      <c r="G369">
        <f>SUMPRODUCT((MONTH(CHOOSE({1,2,3,4},HN!U369,HN!AA369,HN!AG369,HN!AM369))=7)*(CHOOSE({1,2,3,4},HN!X369,HN!AD369,HN!AJ369,HN!AP369)))</f>
        <v>0</v>
      </c>
      <c r="H369">
        <f>SUMPRODUCT((MONTH(CHOOSE({1,2,3,4},HN!U369,HN!AA369,HN!AG369,HN!AM369))=8)*(CHOOSE({1,2,3,4},HN!X369,HN!AD369,HN!AJ369,HN!AP369)))</f>
        <v>0</v>
      </c>
      <c r="I369">
        <f>SUMPRODUCT((MONTH(CHOOSE({1,2,3,4},HN!U369,HN!AA369,HN!AG369,HN!AM369))=9)*(CHOOSE({1,2,3,4},HN!X369,HN!AD369,HN!AJ369,HN!AP369)))</f>
        <v>0</v>
      </c>
      <c r="J369">
        <f>SUMPRODUCT((MONTH(CHOOSE({1,2,3,4},HN!U369,HN!AA369,HN!AG369,HN!AM369))=10)*(CHOOSE({1,2,3,4},HN!X369,HN!AD369,HN!AJ369,HN!AP369)))</f>
        <v>0</v>
      </c>
      <c r="K369">
        <f>SUMPRODUCT((MONTH(CHOOSE({1,2,3,4},HN!U369,HN!AA369,HN!AG369,HN!AM369))=11)*(CHOOSE({1,2,3,4},HN!X369,HN!AD369,HN!AJ369,HN!AP369)))</f>
        <v>0</v>
      </c>
      <c r="L369">
        <f>SUMPRODUCT((MONTH(CHOOSE({1,2,3,4},HN!U369,HN!AA369,HN!AG369,HN!AM369))=12)*(CHOOSE({1,2,3,4},HN!X369,HN!AD369,HN!AJ369,HN!AP369)))</f>
        <v>0</v>
      </c>
    </row>
    <row r="370" spans="1:12">
      <c r="A370">
        <f>SUMPRODUCT((MONTH(CHOOSE({1,2,3,4},HN!U370,HN!AA370,HN!AG370,HN!AM370))=1)*(CHOOSE({1,2,3,4},HN!X370,HN!AD370,HN!AJ370,HN!AP370)))</f>
        <v>0</v>
      </c>
      <c r="B370">
        <f>SUMPRODUCT((MONTH(CHOOSE({1,2,3,4},HN!U370,HN!AA370,HN!AG370,HN!AM370))=2)*(CHOOSE({1,2,3,4},HN!X370,HN!AD370,HN!AJ370,HN!AP370)))</f>
        <v>0</v>
      </c>
      <c r="C370">
        <f>SUMPRODUCT((MONTH(CHOOSE({1,2,3,4},HN!U370,HN!AA370,HN!AG370,HN!AM370))=3)*(CHOOSE({1,2,3,4},HN!X370,HN!AD370,HN!AJ370,HN!AP370)))</f>
        <v>0</v>
      </c>
      <c r="D370">
        <f>SUMPRODUCT((MONTH(CHOOSE({1,2,3,4},HN!U370,HN!AA370,HN!AG370,HN!AM370))=4)*(CHOOSE({1,2,3,4},HN!X370,HN!AD370,HN!AJ370,HN!AP370)))</f>
        <v>0</v>
      </c>
      <c r="E370">
        <f>SUMPRODUCT((MONTH(CHOOSE({1,2,3,4},HN!U370,HN!AA370,HN!AG370,HN!AM370))=5)*(CHOOSE({1,2,3,4},HN!X370,HN!AD370,HN!AJ370,HN!AP370)))</f>
        <v>0</v>
      </c>
      <c r="F370">
        <f>SUMPRODUCT((MONTH(CHOOSE({1,2,3,4},HN!U370,HN!AA370,HN!AG370,HN!AM370))=6)*(CHOOSE({1,2,3,4},HN!X370,HN!AD370,HN!AJ370,HN!AP370)))</f>
        <v>0</v>
      </c>
      <c r="G370">
        <f>SUMPRODUCT((MONTH(CHOOSE({1,2,3,4},HN!U370,HN!AA370,HN!AG370,HN!AM370))=7)*(CHOOSE({1,2,3,4},HN!X370,HN!AD370,HN!AJ370,HN!AP370)))</f>
        <v>0</v>
      </c>
      <c r="H370">
        <f>SUMPRODUCT((MONTH(CHOOSE({1,2,3,4},HN!U370,HN!AA370,HN!AG370,HN!AM370))=8)*(CHOOSE({1,2,3,4},HN!X370,HN!AD370,HN!AJ370,HN!AP370)))</f>
        <v>0</v>
      </c>
      <c r="I370">
        <f>SUMPRODUCT((MONTH(CHOOSE({1,2,3,4},HN!U370,HN!AA370,HN!AG370,HN!AM370))=9)*(CHOOSE({1,2,3,4},HN!X370,HN!AD370,HN!AJ370,HN!AP370)))</f>
        <v>0</v>
      </c>
      <c r="J370">
        <f>SUMPRODUCT((MONTH(CHOOSE({1,2,3,4},HN!U370,HN!AA370,HN!AG370,HN!AM370))=10)*(CHOOSE({1,2,3,4},HN!X370,HN!AD370,HN!AJ370,HN!AP370)))</f>
        <v>0</v>
      </c>
      <c r="K370">
        <f>SUMPRODUCT((MONTH(CHOOSE({1,2,3,4},HN!U370,HN!AA370,HN!AG370,HN!AM370))=11)*(CHOOSE({1,2,3,4},HN!X370,HN!AD370,HN!AJ370,HN!AP370)))</f>
        <v>0</v>
      </c>
      <c r="L370">
        <f>SUMPRODUCT((MONTH(CHOOSE({1,2,3,4},HN!U370,HN!AA370,HN!AG370,HN!AM370))=12)*(CHOOSE({1,2,3,4},HN!X370,HN!AD370,HN!AJ370,HN!AP370)))</f>
        <v>0</v>
      </c>
    </row>
    <row r="371" spans="1:12">
      <c r="A371">
        <f>SUMPRODUCT((MONTH(CHOOSE({1,2,3,4},HN!U371,HN!AA371,HN!AG371,HN!AM371))=1)*(CHOOSE({1,2,3,4},HN!X371,HN!AD371,HN!AJ371,HN!AP371)))</f>
        <v>0</v>
      </c>
      <c r="B371">
        <f>SUMPRODUCT((MONTH(CHOOSE({1,2,3,4},HN!U371,HN!AA371,HN!AG371,HN!AM371))=2)*(CHOOSE({1,2,3,4},HN!X371,HN!AD371,HN!AJ371,HN!AP371)))</f>
        <v>0</v>
      </c>
      <c r="C371">
        <f>SUMPRODUCT((MONTH(CHOOSE({1,2,3,4},HN!U371,HN!AA371,HN!AG371,HN!AM371))=3)*(CHOOSE({1,2,3,4},HN!X371,HN!AD371,HN!AJ371,HN!AP371)))</f>
        <v>0</v>
      </c>
      <c r="D371">
        <f>SUMPRODUCT((MONTH(CHOOSE({1,2,3,4},HN!U371,HN!AA371,HN!AG371,HN!AM371))=4)*(CHOOSE({1,2,3,4},HN!X371,HN!AD371,HN!AJ371,HN!AP371)))</f>
        <v>0</v>
      </c>
      <c r="E371">
        <f>SUMPRODUCT((MONTH(CHOOSE({1,2,3,4},HN!U371,HN!AA371,HN!AG371,HN!AM371))=5)*(CHOOSE({1,2,3,4},HN!X371,HN!AD371,HN!AJ371,HN!AP371)))</f>
        <v>0</v>
      </c>
      <c r="F371">
        <f>SUMPRODUCT((MONTH(CHOOSE({1,2,3,4},HN!U371,HN!AA371,HN!AG371,HN!AM371))=6)*(CHOOSE({1,2,3,4},HN!X371,HN!AD371,HN!AJ371,HN!AP371)))</f>
        <v>0</v>
      </c>
      <c r="G371">
        <f>SUMPRODUCT((MONTH(CHOOSE({1,2,3,4},HN!U371,HN!AA371,HN!AG371,HN!AM371))=7)*(CHOOSE({1,2,3,4},HN!X371,HN!AD371,HN!AJ371,HN!AP371)))</f>
        <v>0</v>
      </c>
      <c r="H371">
        <f>SUMPRODUCT((MONTH(CHOOSE({1,2,3,4},HN!U371,HN!AA371,HN!AG371,HN!AM371))=8)*(CHOOSE({1,2,3,4},HN!X371,HN!AD371,HN!AJ371,HN!AP371)))</f>
        <v>0</v>
      </c>
      <c r="I371">
        <f>SUMPRODUCT((MONTH(CHOOSE({1,2,3,4},HN!U371,HN!AA371,HN!AG371,HN!AM371))=9)*(CHOOSE({1,2,3,4},HN!X371,HN!AD371,HN!AJ371,HN!AP371)))</f>
        <v>0</v>
      </c>
      <c r="J371">
        <f>SUMPRODUCT((MONTH(CHOOSE({1,2,3,4},HN!U371,HN!AA371,HN!AG371,HN!AM371))=10)*(CHOOSE({1,2,3,4},HN!X371,HN!AD371,HN!AJ371,HN!AP371)))</f>
        <v>0</v>
      </c>
      <c r="K371">
        <f>SUMPRODUCT((MONTH(CHOOSE({1,2,3,4},HN!U371,HN!AA371,HN!AG371,HN!AM371))=11)*(CHOOSE({1,2,3,4},HN!X371,HN!AD371,HN!AJ371,HN!AP371)))</f>
        <v>0</v>
      </c>
      <c r="L371">
        <f>SUMPRODUCT((MONTH(CHOOSE({1,2,3,4},HN!U371,HN!AA371,HN!AG371,HN!AM371))=12)*(CHOOSE({1,2,3,4},HN!X371,HN!AD371,HN!AJ371,HN!AP371)))</f>
        <v>0</v>
      </c>
    </row>
    <row r="372" spans="1:12">
      <c r="A372">
        <f>SUMPRODUCT((MONTH(CHOOSE({1,2,3,4},HN!U372,HN!AA372,HN!AG372,HN!AM372))=1)*(CHOOSE({1,2,3,4},HN!X372,HN!AD372,HN!AJ372,HN!AP372)))</f>
        <v>0</v>
      </c>
      <c r="B372">
        <f>SUMPRODUCT((MONTH(CHOOSE({1,2,3,4},HN!U372,HN!AA372,HN!AG372,HN!AM372))=2)*(CHOOSE({1,2,3,4},HN!X372,HN!AD372,HN!AJ372,HN!AP372)))</f>
        <v>0</v>
      </c>
      <c r="C372">
        <f>SUMPRODUCT((MONTH(CHOOSE({1,2,3,4},HN!U372,HN!AA372,HN!AG372,HN!AM372))=3)*(CHOOSE({1,2,3,4},HN!X372,HN!AD372,HN!AJ372,HN!AP372)))</f>
        <v>0</v>
      </c>
      <c r="D372">
        <f>SUMPRODUCT((MONTH(CHOOSE({1,2,3,4},HN!U372,HN!AA372,HN!AG372,HN!AM372))=4)*(CHOOSE({1,2,3,4},HN!X372,HN!AD372,HN!AJ372,HN!AP372)))</f>
        <v>0</v>
      </c>
      <c r="E372">
        <f>SUMPRODUCT((MONTH(CHOOSE({1,2,3,4},HN!U372,HN!AA372,HN!AG372,HN!AM372))=5)*(CHOOSE({1,2,3,4},HN!X372,HN!AD372,HN!AJ372,HN!AP372)))</f>
        <v>0</v>
      </c>
      <c r="F372">
        <f>SUMPRODUCT((MONTH(CHOOSE({1,2,3,4},HN!U372,HN!AA372,HN!AG372,HN!AM372))=6)*(CHOOSE({1,2,3,4},HN!X372,HN!AD372,HN!AJ372,HN!AP372)))</f>
        <v>0</v>
      </c>
      <c r="G372">
        <f>SUMPRODUCT((MONTH(CHOOSE({1,2,3,4},HN!U372,HN!AA372,HN!AG372,HN!AM372))=7)*(CHOOSE({1,2,3,4},HN!X372,HN!AD372,HN!AJ372,HN!AP372)))</f>
        <v>0</v>
      </c>
      <c r="H372">
        <f>SUMPRODUCT((MONTH(CHOOSE({1,2,3,4},HN!U372,HN!AA372,HN!AG372,HN!AM372))=8)*(CHOOSE({1,2,3,4},HN!X372,HN!AD372,HN!AJ372,HN!AP372)))</f>
        <v>0</v>
      </c>
      <c r="I372">
        <f>SUMPRODUCT((MONTH(CHOOSE({1,2,3,4},HN!U372,HN!AA372,HN!AG372,HN!AM372))=9)*(CHOOSE({1,2,3,4},HN!X372,HN!AD372,HN!AJ372,HN!AP372)))</f>
        <v>0</v>
      </c>
      <c r="J372">
        <f>SUMPRODUCT((MONTH(CHOOSE({1,2,3,4},HN!U372,HN!AA372,HN!AG372,HN!AM372))=10)*(CHOOSE({1,2,3,4},HN!X372,HN!AD372,HN!AJ372,HN!AP372)))</f>
        <v>0</v>
      </c>
      <c r="K372">
        <f>SUMPRODUCT((MONTH(CHOOSE({1,2,3,4},HN!U372,HN!AA372,HN!AG372,HN!AM372))=11)*(CHOOSE({1,2,3,4},HN!X372,HN!AD372,HN!AJ372,HN!AP372)))</f>
        <v>0</v>
      </c>
      <c r="L372">
        <f>SUMPRODUCT((MONTH(CHOOSE({1,2,3,4},HN!U372,HN!AA372,HN!AG372,HN!AM372))=12)*(CHOOSE({1,2,3,4},HN!X372,HN!AD372,HN!AJ372,HN!AP372)))</f>
        <v>0</v>
      </c>
    </row>
    <row r="373" spans="1:12">
      <c r="A373">
        <f>SUMPRODUCT((MONTH(CHOOSE({1,2,3,4},HN!U373,HN!AA373,HN!AG373,HN!AM373))=1)*(CHOOSE({1,2,3,4},HN!X373,HN!AD373,HN!AJ373,HN!AP373)))</f>
        <v>0</v>
      </c>
      <c r="B373">
        <f>SUMPRODUCT((MONTH(CHOOSE({1,2,3,4},HN!U373,HN!AA373,HN!AG373,HN!AM373))=2)*(CHOOSE({1,2,3,4},HN!X373,HN!AD373,HN!AJ373,HN!AP373)))</f>
        <v>0</v>
      </c>
      <c r="C373">
        <f>SUMPRODUCT((MONTH(CHOOSE({1,2,3,4},HN!U373,HN!AA373,HN!AG373,HN!AM373))=3)*(CHOOSE({1,2,3,4},HN!X373,HN!AD373,HN!AJ373,HN!AP373)))</f>
        <v>0</v>
      </c>
      <c r="D373">
        <f>SUMPRODUCT((MONTH(CHOOSE({1,2,3,4},HN!U373,HN!AA373,HN!AG373,HN!AM373))=4)*(CHOOSE({1,2,3,4},HN!X373,HN!AD373,HN!AJ373,HN!AP373)))</f>
        <v>0</v>
      </c>
      <c r="E373">
        <f>SUMPRODUCT((MONTH(CHOOSE({1,2,3,4},HN!U373,HN!AA373,HN!AG373,HN!AM373))=5)*(CHOOSE({1,2,3,4},HN!X373,HN!AD373,HN!AJ373,HN!AP373)))</f>
        <v>0</v>
      </c>
      <c r="F373">
        <f>SUMPRODUCT((MONTH(CHOOSE({1,2,3,4},HN!U373,HN!AA373,HN!AG373,HN!AM373))=6)*(CHOOSE({1,2,3,4},HN!X373,HN!AD373,HN!AJ373,HN!AP373)))</f>
        <v>0</v>
      </c>
      <c r="G373">
        <f>SUMPRODUCT((MONTH(CHOOSE({1,2,3,4},HN!U373,HN!AA373,HN!AG373,HN!AM373))=7)*(CHOOSE({1,2,3,4},HN!X373,HN!AD373,HN!AJ373,HN!AP373)))</f>
        <v>0</v>
      </c>
      <c r="H373">
        <f>SUMPRODUCT((MONTH(CHOOSE({1,2,3,4},HN!U373,HN!AA373,HN!AG373,HN!AM373))=8)*(CHOOSE({1,2,3,4},HN!X373,HN!AD373,HN!AJ373,HN!AP373)))</f>
        <v>0</v>
      </c>
      <c r="I373">
        <f>SUMPRODUCT((MONTH(CHOOSE({1,2,3,4},HN!U373,HN!AA373,HN!AG373,HN!AM373))=9)*(CHOOSE({1,2,3,4},HN!X373,HN!AD373,HN!AJ373,HN!AP373)))</f>
        <v>0</v>
      </c>
      <c r="J373">
        <f>SUMPRODUCT((MONTH(CHOOSE({1,2,3,4},HN!U373,HN!AA373,HN!AG373,HN!AM373))=10)*(CHOOSE({1,2,3,4},HN!X373,HN!AD373,HN!AJ373,HN!AP373)))</f>
        <v>0</v>
      </c>
      <c r="K373">
        <f>SUMPRODUCT((MONTH(CHOOSE({1,2,3,4},HN!U373,HN!AA373,HN!AG373,HN!AM373))=11)*(CHOOSE({1,2,3,4},HN!X373,HN!AD373,HN!AJ373,HN!AP373)))</f>
        <v>0</v>
      </c>
      <c r="L373">
        <f>SUMPRODUCT((MONTH(CHOOSE({1,2,3,4},HN!U373,HN!AA373,HN!AG373,HN!AM373))=12)*(CHOOSE({1,2,3,4},HN!X373,HN!AD373,HN!AJ373,HN!AP373)))</f>
        <v>0</v>
      </c>
    </row>
    <row r="374" spans="1:12">
      <c r="A374">
        <f>SUMPRODUCT((MONTH(CHOOSE({1,2,3,4},HN!U374,HN!AA374,HN!AG374,HN!AM374))=1)*(CHOOSE({1,2,3,4},HN!X374,HN!AD374,HN!AJ374,HN!AP374)))</f>
        <v>0</v>
      </c>
      <c r="B374">
        <f>SUMPRODUCT((MONTH(CHOOSE({1,2,3,4},HN!U374,HN!AA374,HN!AG374,HN!AM374))=2)*(CHOOSE({1,2,3,4},HN!X374,HN!AD374,HN!AJ374,HN!AP374)))</f>
        <v>0</v>
      </c>
      <c r="C374">
        <f>SUMPRODUCT((MONTH(CHOOSE({1,2,3,4},HN!U374,HN!AA374,HN!AG374,HN!AM374))=3)*(CHOOSE({1,2,3,4},HN!X374,HN!AD374,HN!AJ374,HN!AP374)))</f>
        <v>0</v>
      </c>
      <c r="D374">
        <f>SUMPRODUCT((MONTH(CHOOSE({1,2,3,4},HN!U374,HN!AA374,HN!AG374,HN!AM374))=4)*(CHOOSE({1,2,3,4},HN!X374,HN!AD374,HN!AJ374,HN!AP374)))</f>
        <v>0</v>
      </c>
      <c r="E374">
        <f>SUMPRODUCT((MONTH(CHOOSE({1,2,3,4},HN!U374,HN!AA374,HN!AG374,HN!AM374))=5)*(CHOOSE({1,2,3,4},HN!X374,HN!AD374,HN!AJ374,HN!AP374)))</f>
        <v>0</v>
      </c>
      <c r="F374">
        <f>SUMPRODUCT((MONTH(CHOOSE({1,2,3,4},HN!U374,HN!AA374,HN!AG374,HN!AM374))=6)*(CHOOSE({1,2,3,4},HN!X374,HN!AD374,HN!AJ374,HN!AP374)))</f>
        <v>0</v>
      </c>
      <c r="G374">
        <f>SUMPRODUCT((MONTH(CHOOSE({1,2,3,4},HN!U374,HN!AA374,HN!AG374,HN!AM374))=7)*(CHOOSE({1,2,3,4},HN!X374,HN!AD374,HN!AJ374,HN!AP374)))</f>
        <v>0</v>
      </c>
      <c r="H374">
        <f>SUMPRODUCT((MONTH(CHOOSE({1,2,3,4},HN!U374,HN!AA374,HN!AG374,HN!AM374))=8)*(CHOOSE({1,2,3,4},HN!X374,HN!AD374,HN!AJ374,HN!AP374)))</f>
        <v>0</v>
      </c>
      <c r="I374">
        <f>SUMPRODUCT((MONTH(CHOOSE({1,2,3,4},HN!U374,HN!AA374,HN!AG374,HN!AM374))=9)*(CHOOSE({1,2,3,4},HN!X374,HN!AD374,HN!AJ374,HN!AP374)))</f>
        <v>0</v>
      </c>
      <c r="J374">
        <f>SUMPRODUCT((MONTH(CHOOSE({1,2,3,4},HN!U374,HN!AA374,HN!AG374,HN!AM374))=10)*(CHOOSE({1,2,3,4},HN!X374,HN!AD374,HN!AJ374,HN!AP374)))</f>
        <v>0</v>
      </c>
      <c r="K374">
        <f>SUMPRODUCT((MONTH(CHOOSE({1,2,3,4},HN!U374,HN!AA374,HN!AG374,HN!AM374))=11)*(CHOOSE({1,2,3,4},HN!X374,HN!AD374,HN!AJ374,HN!AP374)))</f>
        <v>0</v>
      </c>
      <c r="L374">
        <f>SUMPRODUCT((MONTH(CHOOSE({1,2,3,4},HN!U374,HN!AA374,HN!AG374,HN!AM374))=12)*(CHOOSE({1,2,3,4},HN!X374,HN!AD374,HN!AJ374,HN!AP374)))</f>
        <v>0</v>
      </c>
    </row>
    <row r="375" spans="1:12">
      <c r="A375">
        <f>SUMPRODUCT((MONTH(CHOOSE({1,2,3,4},HN!U375,HN!AA375,HN!AG375,HN!AM375))=1)*(CHOOSE({1,2,3,4},HN!X375,HN!AD375,HN!AJ375,HN!AP375)))</f>
        <v>0</v>
      </c>
      <c r="B375">
        <f>SUMPRODUCT((MONTH(CHOOSE({1,2,3,4},HN!U375,HN!AA375,HN!AG375,HN!AM375))=2)*(CHOOSE({1,2,3,4},HN!X375,HN!AD375,HN!AJ375,HN!AP375)))</f>
        <v>0</v>
      </c>
      <c r="C375">
        <f>SUMPRODUCT((MONTH(CHOOSE({1,2,3,4},HN!U375,HN!AA375,HN!AG375,HN!AM375))=3)*(CHOOSE({1,2,3,4},HN!X375,HN!AD375,HN!AJ375,HN!AP375)))</f>
        <v>0</v>
      </c>
      <c r="D375">
        <f>SUMPRODUCT((MONTH(CHOOSE({1,2,3,4},HN!U375,HN!AA375,HN!AG375,HN!AM375))=4)*(CHOOSE({1,2,3,4},HN!X375,HN!AD375,HN!AJ375,HN!AP375)))</f>
        <v>0</v>
      </c>
      <c r="E375">
        <f>SUMPRODUCT((MONTH(CHOOSE({1,2,3,4},HN!U375,HN!AA375,HN!AG375,HN!AM375))=5)*(CHOOSE({1,2,3,4},HN!X375,HN!AD375,HN!AJ375,HN!AP375)))</f>
        <v>0</v>
      </c>
      <c r="F375">
        <f>SUMPRODUCT((MONTH(CHOOSE({1,2,3,4},HN!U375,HN!AA375,HN!AG375,HN!AM375))=6)*(CHOOSE({1,2,3,4},HN!X375,HN!AD375,HN!AJ375,HN!AP375)))</f>
        <v>0</v>
      </c>
      <c r="G375">
        <f>SUMPRODUCT((MONTH(CHOOSE({1,2,3,4},HN!U375,HN!AA375,HN!AG375,HN!AM375))=7)*(CHOOSE({1,2,3,4},HN!X375,HN!AD375,HN!AJ375,HN!AP375)))</f>
        <v>0</v>
      </c>
      <c r="H375">
        <f>SUMPRODUCT((MONTH(CHOOSE({1,2,3,4},HN!U375,HN!AA375,HN!AG375,HN!AM375))=8)*(CHOOSE({1,2,3,4},HN!X375,HN!AD375,HN!AJ375,HN!AP375)))</f>
        <v>0</v>
      </c>
      <c r="I375">
        <f>SUMPRODUCT((MONTH(CHOOSE({1,2,3,4},HN!U375,HN!AA375,HN!AG375,HN!AM375))=9)*(CHOOSE({1,2,3,4},HN!X375,HN!AD375,HN!AJ375,HN!AP375)))</f>
        <v>0</v>
      </c>
      <c r="J375">
        <f>SUMPRODUCT((MONTH(CHOOSE({1,2,3,4},HN!U375,HN!AA375,HN!AG375,HN!AM375))=10)*(CHOOSE({1,2,3,4},HN!X375,HN!AD375,HN!AJ375,HN!AP375)))</f>
        <v>0</v>
      </c>
      <c r="K375">
        <f>SUMPRODUCT((MONTH(CHOOSE({1,2,3,4},HN!U375,HN!AA375,HN!AG375,HN!AM375))=11)*(CHOOSE({1,2,3,4},HN!X375,HN!AD375,HN!AJ375,HN!AP375)))</f>
        <v>0</v>
      </c>
      <c r="L375">
        <f>SUMPRODUCT((MONTH(CHOOSE({1,2,3,4},HN!U375,HN!AA375,HN!AG375,HN!AM375))=12)*(CHOOSE({1,2,3,4},HN!X375,HN!AD375,HN!AJ375,HN!AP375)))</f>
        <v>0</v>
      </c>
    </row>
    <row r="376" spans="1:12">
      <c r="A376">
        <f>SUMPRODUCT((MONTH(CHOOSE({1,2,3,4},HN!U376,HN!AA376,HN!AG376,HN!AM376))=1)*(CHOOSE({1,2,3,4},HN!X376,HN!AD376,HN!AJ376,HN!AP376)))</f>
        <v>0</v>
      </c>
      <c r="B376">
        <f>SUMPRODUCT((MONTH(CHOOSE({1,2,3,4},HN!U376,HN!AA376,HN!AG376,HN!AM376))=2)*(CHOOSE({1,2,3,4},HN!X376,HN!AD376,HN!AJ376,HN!AP376)))</f>
        <v>0</v>
      </c>
      <c r="C376">
        <f>SUMPRODUCT((MONTH(CHOOSE({1,2,3,4},HN!U376,HN!AA376,HN!AG376,HN!AM376))=3)*(CHOOSE({1,2,3,4},HN!X376,HN!AD376,HN!AJ376,HN!AP376)))</f>
        <v>0</v>
      </c>
      <c r="D376">
        <f>SUMPRODUCT((MONTH(CHOOSE({1,2,3,4},HN!U376,HN!AA376,HN!AG376,HN!AM376))=4)*(CHOOSE({1,2,3,4},HN!X376,HN!AD376,HN!AJ376,HN!AP376)))</f>
        <v>0</v>
      </c>
      <c r="E376">
        <f>SUMPRODUCT((MONTH(CHOOSE({1,2,3,4},HN!U376,HN!AA376,HN!AG376,HN!AM376))=5)*(CHOOSE({1,2,3,4},HN!X376,HN!AD376,HN!AJ376,HN!AP376)))</f>
        <v>0</v>
      </c>
      <c r="F376">
        <f>SUMPRODUCT((MONTH(CHOOSE({1,2,3,4},HN!U376,HN!AA376,HN!AG376,HN!AM376))=6)*(CHOOSE({1,2,3,4},HN!X376,HN!AD376,HN!AJ376,HN!AP376)))</f>
        <v>0</v>
      </c>
      <c r="G376">
        <f>SUMPRODUCT((MONTH(CHOOSE({1,2,3,4},HN!U376,HN!AA376,HN!AG376,HN!AM376))=7)*(CHOOSE({1,2,3,4},HN!X376,HN!AD376,HN!AJ376,HN!AP376)))</f>
        <v>0</v>
      </c>
      <c r="H376">
        <f>SUMPRODUCT((MONTH(CHOOSE({1,2,3,4},HN!U376,HN!AA376,HN!AG376,HN!AM376))=8)*(CHOOSE({1,2,3,4},HN!X376,HN!AD376,HN!AJ376,HN!AP376)))</f>
        <v>0</v>
      </c>
      <c r="I376">
        <f>SUMPRODUCT((MONTH(CHOOSE({1,2,3,4},HN!U376,HN!AA376,HN!AG376,HN!AM376))=9)*(CHOOSE({1,2,3,4},HN!X376,HN!AD376,HN!AJ376,HN!AP376)))</f>
        <v>0</v>
      </c>
      <c r="J376">
        <f>SUMPRODUCT((MONTH(CHOOSE({1,2,3,4},HN!U376,HN!AA376,HN!AG376,HN!AM376))=10)*(CHOOSE({1,2,3,4},HN!X376,HN!AD376,HN!AJ376,HN!AP376)))</f>
        <v>0</v>
      </c>
      <c r="K376">
        <f>SUMPRODUCT((MONTH(CHOOSE({1,2,3,4},HN!U376,HN!AA376,HN!AG376,HN!AM376))=11)*(CHOOSE({1,2,3,4},HN!X376,HN!AD376,HN!AJ376,HN!AP376)))</f>
        <v>0</v>
      </c>
      <c r="L376">
        <f>SUMPRODUCT((MONTH(CHOOSE({1,2,3,4},HN!U376,HN!AA376,HN!AG376,HN!AM376))=12)*(CHOOSE({1,2,3,4},HN!X376,HN!AD376,HN!AJ376,HN!AP376)))</f>
        <v>0</v>
      </c>
    </row>
    <row r="377" spans="1:12">
      <c r="A377">
        <f>SUMPRODUCT((MONTH(CHOOSE({1,2,3,4},HN!U377,HN!AA377,HN!AG377,HN!AM377))=1)*(CHOOSE({1,2,3,4},HN!X377,HN!AD377,HN!AJ377,HN!AP377)))</f>
        <v>0</v>
      </c>
      <c r="B377">
        <f>SUMPRODUCT((MONTH(CHOOSE({1,2,3,4},HN!U377,HN!AA377,HN!AG377,HN!AM377))=2)*(CHOOSE({1,2,3,4},HN!X377,HN!AD377,HN!AJ377,HN!AP377)))</f>
        <v>0</v>
      </c>
      <c r="C377">
        <f>SUMPRODUCT((MONTH(CHOOSE({1,2,3,4},HN!U377,HN!AA377,HN!AG377,HN!AM377))=3)*(CHOOSE({1,2,3,4},HN!X377,HN!AD377,HN!AJ377,HN!AP377)))</f>
        <v>0</v>
      </c>
      <c r="D377">
        <f>SUMPRODUCT((MONTH(CHOOSE({1,2,3,4},HN!U377,HN!AA377,HN!AG377,HN!AM377))=4)*(CHOOSE({1,2,3,4},HN!X377,HN!AD377,HN!AJ377,HN!AP377)))</f>
        <v>0</v>
      </c>
      <c r="E377">
        <f>SUMPRODUCT((MONTH(CHOOSE({1,2,3,4},HN!U377,HN!AA377,HN!AG377,HN!AM377))=5)*(CHOOSE({1,2,3,4},HN!X377,HN!AD377,HN!AJ377,HN!AP377)))</f>
        <v>0</v>
      </c>
      <c r="F377">
        <f>SUMPRODUCT((MONTH(CHOOSE({1,2,3,4},HN!U377,HN!AA377,HN!AG377,HN!AM377))=6)*(CHOOSE({1,2,3,4},HN!X377,HN!AD377,HN!AJ377,HN!AP377)))</f>
        <v>0</v>
      </c>
      <c r="G377">
        <f>SUMPRODUCT((MONTH(CHOOSE({1,2,3,4},HN!U377,HN!AA377,HN!AG377,HN!AM377))=7)*(CHOOSE({1,2,3,4},HN!X377,HN!AD377,HN!AJ377,HN!AP377)))</f>
        <v>0</v>
      </c>
      <c r="H377">
        <f>SUMPRODUCT((MONTH(CHOOSE({1,2,3,4},HN!U377,HN!AA377,HN!AG377,HN!AM377))=8)*(CHOOSE({1,2,3,4},HN!X377,HN!AD377,HN!AJ377,HN!AP377)))</f>
        <v>0</v>
      </c>
      <c r="I377">
        <f>SUMPRODUCT((MONTH(CHOOSE({1,2,3,4},HN!U377,HN!AA377,HN!AG377,HN!AM377))=9)*(CHOOSE({1,2,3,4},HN!X377,HN!AD377,HN!AJ377,HN!AP377)))</f>
        <v>0</v>
      </c>
      <c r="J377">
        <f>SUMPRODUCT((MONTH(CHOOSE({1,2,3,4},HN!U377,HN!AA377,HN!AG377,HN!AM377))=10)*(CHOOSE({1,2,3,4},HN!X377,HN!AD377,HN!AJ377,HN!AP377)))</f>
        <v>0</v>
      </c>
      <c r="K377">
        <f>SUMPRODUCT((MONTH(CHOOSE({1,2,3,4},HN!U377,HN!AA377,HN!AG377,HN!AM377))=11)*(CHOOSE({1,2,3,4},HN!X377,HN!AD377,HN!AJ377,HN!AP377)))</f>
        <v>0</v>
      </c>
      <c r="L377">
        <f>SUMPRODUCT((MONTH(CHOOSE({1,2,3,4},HN!U377,HN!AA377,HN!AG377,HN!AM377))=12)*(CHOOSE({1,2,3,4},HN!X377,HN!AD377,HN!AJ377,HN!AP377)))</f>
        <v>0</v>
      </c>
    </row>
    <row r="378" spans="1:12">
      <c r="A378">
        <f>SUMPRODUCT((MONTH(CHOOSE({1,2,3,4},HN!U378,HN!AA378,HN!AG378,HN!AM378))=1)*(CHOOSE({1,2,3,4},HN!X378,HN!AD378,HN!AJ378,HN!AP378)))</f>
        <v>0</v>
      </c>
      <c r="B378">
        <f>SUMPRODUCT((MONTH(CHOOSE({1,2,3,4},HN!U378,HN!AA378,HN!AG378,HN!AM378))=2)*(CHOOSE({1,2,3,4},HN!X378,HN!AD378,HN!AJ378,HN!AP378)))</f>
        <v>0</v>
      </c>
      <c r="C378">
        <f>SUMPRODUCT((MONTH(CHOOSE({1,2,3,4},HN!U378,HN!AA378,HN!AG378,HN!AM378))=3)*(CHOOSE({1,2,3,4},HN!X378,HN!AD378,HN!AJ378,HN!AP378)))</f>
        <v>0</v>
      </c>
      <c r="D378">
        <f>SUMPRODUCT((MONTH(CHOOSE({1,2,3,4},HN!U378,HN!AA378,HN!AG378,HN!AM378))=4)*(CHOOSE({1,2,3,4},HN!X378,HN!AD378,HN!AJ378,HN!AP378)))</f>
        <v>0</v>
      </c>
      <c r="E378">
        <f>SUMPRODUCT((MONTH(CHOOSE({1,2,3,4},HN!U378,HN!AA378,HN!AG378,HN!AM378))=5)*(CHOOSE({1,2,3,4},HN!X378,HN!AD378,HN!AJ378,HN!AP378)))</f>
        <v>0</v>
      </c>
      <c r="F378">
        <f>SUMPRODUCT((MONTH(CHOOSE({1,2,3,4},HN!U378,HN!AA378,HN!AG378,HN!AM378))=6)*(CHOOSE({1,2,3,4},HN!X378,HN!AD378,HN!AJ378,HN!AP378)))</f>
        <v>0</v>
      </c>
      <c r="G378">
        <f>SUMPRODUCT((MONTH(CHOOSE({1,2,3,4},HN!U378,HN!AA378,HN!AG378,HN!AM378))=7)*(CHOOSE({1,2,3,4},HN!X378,HN!AD378,HN!AJ378,HN!AP378)))</f>
        <v>0</v>
      </c>
      <c r="H378">
        <f>SUMPRODUCT((MONTH(CHOOSE({1,2,3,4},HN!U378,HN!AA378,HN!AG378,HN!AM378))=8)*(CHOOSE({1,2,3,4},HN!X378,HN!AD378,HN!AJ378,HN!AP378)))</f>
        <v>0</v>
      </c>
      <c r="I378">
        <f>SUMPRODUCT((MONTH(CHOOSE({1,2,3,4},HN!U378,HN!AA378,HN!AG378,HN!AM378))=9)*(CHOOSE({1,2,3,4},HN!X378,HN!AD378,HN!AJ378,HN!AP378)))</f>
        <v>0</v>
      </c>
      <c r="J378">
        <f>SUMPRODUCT((MONTH(CHOOSE({1,2,3,4},HN!U378,HN!AA378,HN!AG378,HN!AM378))=10)*(CHOOSE({1,2,3,4},HN!X378,HN!AD378,HN!AJ378,HN!AP378)))</f>
        <v>0</v>
      </c>
      <c r="K378">
        <f>SUMPRODUCT((MONTH(CHOOSE({1,2,3,4},HN!U378,HN!AA378,HN!AG378,HN!AM378))=11)*(CHOOSE({1,2,3,4},HN!X378,HN!AD378,HN!AJ378,HN!AP378)))</f>
        <v>0</v>
      </c>
      <c r="L378">
        <f>SUMPRODUCT((MONTH(CHOOSE({1,2,3,4},HN!U378,HN!AA378,HN!AG378,HN!AM378))=12)*(CHOOSE({1,2,3,4},HN!X378,HN!AD378,HN!AJ378,HN!AP378)))</f>
        <v>0</v>
      </c>
    </row>
    <row r="379" spans="1:12">
      <c r="A379">
        <f>SUMPRODUCT((MONTH(CHOOSE({1,2,3,4},HN!U379,HN!AA379,HN!AG379,HN!AM379))=1)*(CHOOSE({1,2,3,4},HN!X379,HN!AD379,HN!AJ379,HN!AP379)))</f>
        <v>0</v>
      </c>
      <c r="B379">
        <f>SUMPRODUCT((MONTH(CHOOSE({1,2,3,4},HN!U379,HN!AA379,HN!AG379,HN!AM379))=2)*(CHOOSE({1,2,3,4},HN!X379,HN!AD379,HN!AJ379,HN!AP379)))</f>
        <v>0</v>
      </c>
      <c r="C379">
        <f>SUMPRODUCT((MONTH(CHOOSE({1,2,3,4},HN!U379,HN!AA379,HN!AG379,HN!AM379))=3)*(CHOOSE({1,2,3,4},HN!X379,HN!AD379,HN!AJ379,HN!AP379)))</f>
        <v>0</v>
      </c>
      <c r="D379">
        <f>SUMPRODUCT((MONTH(CHOOSE({1,2,3,4},HN!U379,HN!AA379,HN!AG379,HN!AM379))=4)*(CHOOSE({1,2,3,4},HN!X379,HN!AD379,HN!AJ379,HN!AP379)))</f>
        <v>0</v>
      </c>
      <c r="E379">
        <f>SUMPRODUCT((MONTH(CHOOSE({1,2,3,4},HN!U379,HN!AA379,HN!AG379,HN!AM379))=5)*(CHOOSE({1,2,3,4},HN!X379,HN!AD379,HN!AJ379,HN!AP379)))</f>
        <v>0</v>
      </c>
      <c r="F379">
        <f>SUMPRODUCT((MONTH(CHOOSE({1,2,3,4},HN!U379,HN!AA379,HN!AG379,HN!AM379))=6)*(CHOOSE({1,2,3,4},HN!X379,HN!AD379,HN!AJ379,HN!AP379)))</f>
        <v>0</v>
      </c>
      <c r="G379">
        <f>SUMPRODUCT((MONTH(CHOOSE({1,2,3,4},HN!U379,HN!AA379,HN!AG379,HN!AM379))=7)*(CHOOSE({1,2,3,4},HN!X379,HN!AD379,HN!AJ379,HN!AP379)))</f>
        <v>0</v>
      </c>
      <c r="H379">
        <f>SUMPRODUCT((MONTH(CHOOSE({1,2,3,4},HN!U379,HN!AA379,HN!AG379,HN!AM379))=8)*(CHOOSE({1,2,3,4},HN!X379,HN!AD379,HN!AJ379,HN!AP379)))</f>
        <v>0</v>
      </c>
      <c r="I379">
        <f>SUMPRODUCT((MONTH(CHOOSE({1,2,3,4},HN!U379,HN!AA379,HN!AG379,HN!AM379))=9)*(CHOOSE({1,2,3,4},HN!X379,HN!AD379,HN!AJ379,HN!AP379)))</f>
        <v>0</v>
      </c>
      <c r="J379">
        <f>SUMPRODUCT((MONTH(CHOOSE({1,2,3,4},HN!U379,HN!AA379,HN!AG379,HN!AM379))=10)*(CHOOSE({1,2,3,4},HN!X379,HN!AD379,HN!AJ379,HN!AP379)))</f>
        <v>0</v>
      </c>
      <c r="K379">
        <f>SUMPRODUCT((MONTH(CHOOSE({1,2,3,4},HN!U379,HN!AA379,HN!AG379,HN!AM379))=11)*(CHOOSE({1,2,3,4},HN!X379,HN!AD379,HN!AJ379,HN!AP379)))</f>
        <v>0</v>
      </c>
      <c r="L379">
        <f>SUMPRODUCT((MONTH(CHOOSE({1,2,3,4},HN!U379,HN!AA379,HN!AG379,HN!AM379))=12)*(CHOOSE({1,2,3,4},HN!X379,HN!AD379,HN!AJ379,HN!AP379)))</f>
        <v>0</v>
      </c>
    </row>
    <row r="380" spans="1:12">
      <c r="A380">
        <f>SUMPRODUCT((MONTH(CHOOSE({1,2,3,4},HN!U380,HN!AA380,HN!AG380,HN!AM380))=1)*(CHOOSE({1,2,3,4},HN!X380,HN!AD380,HN!AJ380,HN!AP380)))</f>
        <v>0</v>
      </c>
      <c r="B380">
        <f>SUMPRODUCT((MONTH(CHOOSE({1,2,3,4},HN!U380,HN!AA380,HN!AG380,HN!AM380))=2)*(CHOOSE({1,2,3,4},HN!X380,HN!AD380,HN!AJ380,HN!AP380)))</f>
        <v>0</v>
      </c>
      <c r="C380">
        <f>SUMPRODUCT((MONTH(CHOOSE({1,2,3,4},HN!U380,HN!AA380,HN!AG380,HN!AM380))=3)*(CHOOSE({1,2,3,4},HN!X380,HN!AD380,HN!AJ380,HN!AP380)))</f>
        <v>0</v>
      </c>
      <c r="D380">
        <f>SUMPRODUCT((MONTH(CHOOSE({1,2,3,4},HN!U380,HN!AA380,HN!AG380,HN!AM380))=4)*(CHOOSE({1,2,3,4},HN!X380,HN!AD380,HN!AJ380,HN!AP380)))</f>
        <v>0</v>
      </c>
      <c r="E380">
        <f>SUMPRODUCT((MONTH(CHOOSE({1,2,3,4},HN!U380,HN!AA380,HN!AG380,HN!AM380))=5)*(CHOOSE({1,2,3,4},HN!X380,HN!AD380,HN!AJ380,HN!AP380)))</f>
        <v>0</v>
      </c>
      <c r="F380">
        <f>SUMPRODUCT((MONTH(CHOOSE({1,2,3,4},HN!U380,HN!AA380,HN!AG380,HN!AM380))=6)*(CHOOSE({1,2,3,4},HN!X380,HN!AD380,HN!AJ380,HN!AP380)))</f>
        <v>0</v>
      </c>
      <c r="G380">
        <f>SUMPRODUCT((MONTH(CHOOSE({1,2,3,4},HN!U380,HN!AA380,HN!AG380,HN!AM380))=7)*(CHOOSE({1,2,3,4},HN!X380,HN!AD380,HN!AJ380,HN!AP380)))</f>
        <v>0</v>
      </c>
      <c r="H380">
        <f>SUMPRODUCT((MONTH(CHOOSE({1,2,3,4},HN!U380,HN!AA380,HN!AG380,HN!AM380))=8)*(CHOOSE({1,2,3,4},HN!X380,HN!AD380,HN!AJ380,HN!AP380)))</f>
        <v>0</v>
      </c>
      <c r="I380">
        <f>SUMPRODUCT((MONTH(CHOOSE({1,2,3,4},HN!U380,HN!AA380,HN!AG380,HN!AM380))=9)*(CHOOSE({1,2,3,4},HN!X380,HN!AD380,HN!AJ380,HN!AP380)))</f>
        <v>0</v>
      </c>
      <c r="J380">
        <f>SUMPRODUCT((MONTH(CHOOSE({1,2,3,4},HN!U380,HN!AA380,HN!AG380,HN!AM380))=10)*(CHOOSE({1,2,3,4},HN!X380,HN!AD380,HN!AJ380,HN!AP380)))</f>
        <v>0</v>
      </c>
      <c r="K380">
        <f>SUMPRODUCT((MONTH(CHOOSE({1,2,3,4},HN!U380,HN!AA380,HN!AG380,HN!AM380))=11)*(CHOOSE({1,2,3,4},HN!X380,HN!AD380,HN!AJ380,HN!AP380)))</f>
        <v>0</v>
      </c>
      <c r="L380">
        <f>SUMPRODUCT((MONTH(CHOOSE({1,2,3,4},HN!U380,HN!AA380,HN!AG380,HN!AM380))=12)*(CHOOSE({1,2,3,4},HN!X380,HN!AD380,HN!AJ380,HN!AP380)))</f>
        <v>0</v>
      </c>
    </row>
    <row r="381" spans="1:12">
      <c r="A381">
        <f>SUMPRODUCT((MONTH(CHOOSE({1,2,3,4},HN!U381,HN!AA381,HN!AG381,HN!AM381))=1)*(CHOOSE({1,2,3,4},HN!X381,HN!AD381,HN!AJ381,HN!AP381)))</f>
        <v>0</v>
      </c>
      <c r="B381">
        <f>SUMPRODUCT((MONTH(CHOOSE({1,2,3,4},HN!U381,HN!AA381,HN!AG381,HN!AM381))=2)*(CHOOSE({1,2,3,4},HN!X381,HN!AD381,HN!AJ381,HN!AP381)))</f>
        <v>0</v>
      </c>
      <c r="C381">
        <f>SUMPRODUCT((MONTH(CHOOSE({1,2,3,4},HN!U381,HN!AA381,HN!AG381,HN!AM381))=3)*(CHOOSE({1,2,3,4},HN!X381,HN!AD381,HN!AJ381,HN!AP381)))</f>
        <v>0</v>
      </c>
      <c r="D381">
        <f>SUMPRODUCT((MONTH(CHOOSE({1,2,3,4},HN!U381,HN!AA381,HN!AG381,HN!AM381))=4)*(CHOOSE({1,2,3,4},HN!X381,HN!AD381,HN!AJ381,HN!AP381)))</f>
        <v>0</v>
      </c>
      <c r="E381">
        <f>SUMPRODUCT((MONTH(CHOOSE({1,2,3,4},HN!U381,HN!AA381,HN!AG381,HN!AM381))=5)*(CHOOSE({1,2,3,4},HN!X381,HN!AD381,HN!AJ381,HN!AP381)))</f>
        <v>0</v>
      </c>
      <c r="F381">
        <f>SUMPRODUCT((MONTH(CHOOSE({1,2,3,4},HN!U381,HN!AA381,HN!AG381,HN!AM381))=6)*(CHOOSE({1,2,3,4},HN!X381,HN!AD381,HN!AJ381,HN!AP381)))</f>
        <v>0</v>
      </c>
      <c r="G381">
        <f>SUMPRODUCT((MONTH(CHOOSE({1,2,3,4},HN!U381,HN!AA381,HN!AG381,HN!AM381))=7)*(CHOOSE({1,2,3,4},HN!X381,HN!AD381,HN!AJ381,HN!AP381)))</f>
        <v>0</v>
      </c>
      <c r="H381">
        <f>SUMPRODUCT((MONTH(CHOOSE({1,2,3,4},HN!U381,HN!AA381,HN!AG381,HN!AM381))=8)*(CHOOSE({1,2,3,4},HN!X381,HN!AD381,HN!AJ381,HN!AP381)))</f>
        <v>0</v>
      </c>
      <c r="I381">
        <f>SUMPRODUCT((MONTH(CHOOSE({1,2,3,4},HN!U381,HN!AA381,HN!AG381,HN!AM381))=9)*(CHOOSE({1,2,3,4},HN!X381,HN!AD381,HN!AJ381,HN!AP381)))</f>
        <v>0</v>
      </c>
      <c r="J381">
        <f>SUMPRODUCT((MONTH(CHOOSE({1,2,3,4},HN!U381,HN!AA381,HN!AG381,HN!AM381))=10)*(CHOOSE({1,2,3,4},HN!X381,HN!AD381,HN!AJ381,HN!AP381)))</f>
        <v>0</v>
      </c>
      <c r="K381">
        <f>SUMPRODUCT((MONTH(CHOOSE({1,2,3,4},HN!U381,HN!AA381,HN!AG381,HN!AM381))=11)*(CHOOSE({1,2,3,4},HN!X381,HN!AD381,HN!AJ381,HN!AP381)))</f>
        <v>0</v>
      </c>
      <c r="L381">
        <f>SUMPRODUCT((MONTH(CHOOSE({1,2,3,4},HN!U381,HN!AA381,HN!AG381,HN!AM381))=12)*(CHOOSE({1,2,3,4},HN!X381,HN!AD381,HN!AJ381,HN!AP381)))</f>
        <v>0</v>
      </c>
    </row>
    <row r="382" spans="1:12">
      <c r="A382">
        <f>SUMPRODUCT((MONTH(CHOOSE({1,2,3,4},HN!U382,HN!AA382,HN!AG382,HN!AM382))=1)*(CHOOSE({1,2,3,4},HN!X382,HN!AD382,HN!AJ382,HN!AP382)))</f>
        <v>0</v>
      </c>
      <c r="B382">
        <f>SUMPRODUCT((MONTH(CHOOSE({1,2,3,4},HN!U382,HN!AA382,HN!AG382,HN!AM382))=2)*(CHOOSE({1,2,3,4},HN!X382,HN!AD382,HN!AJ382,HN!AP382)))</f>
        <v>0</v>
      </c>
      <c r="C382">
        <f>SUMPRODUCT((MONTH(CHOOSE({1,2,3,4},HN!U382,HN!AA382,HN!AG382,HN!AM382))=3)*(CHOOSE({1,2,3,4},HN!X382,HN!AD382,HN!AJ382,HN!AP382)))</f>
        <v>0</v>
      </c>
      <c r="D382">
        <f>SUMPRODUCT((MONTH(CHOOSE({1,2,3,4},HN!U382,HN!AA382,HN!AG382,HN!AM382))=4)*(CHOOSE({1,2,3,4},HN!X382,HN!AD382,HN!AJ382,HN!AP382)))</f>
        <v>0</v>
      </c>
      <c r="E382">
        <f>SUMPRODUCT((MONTH(CHOOSE({1,2,3,4},HN!U382,HN!AA382,HN!AG382,HN!AM382))=5)*(CHOOSE({1,2,3,4},HN!X382,HN!AD382,HN!AJ382,HN!AP382)))</f>
        <v>0</v>
      </c>
      <c r="F382">
        <f>SUMPRODUCT((MONTH(CHOOSE({1,2,3,4},HN!U382,HN!AA382,HN!AG382,HN!AM382))=6)*(CHOOSE({1,2,3,4},HN!X382,HN!AD382,HN!AJ382,HN!AP382)))</f>
        <v>0</v>
      </c>
      <c r="G382">
        <f>SUMPRODUCT((MONTH(CHOOSE({1,2,3,4},HN!U382,HN!AA382,HN!AG382,HN!AM382))=7)*(CHOOSE({1,2,3,4},HN!X382,HN!AD382,HN!AJ382,HN!AP382)))</f>
        <v>0</v>
      </c>
      <c r="H382">
        <f>SUMPRODUCT((MONTH(CHOOSE({1,2,3,4},HN!U382,HN!AA382,HN!AG382,HN!AM382))=8)*(CHOOSE({1,2,3,4},HN!X382,HN!AD382,HN!AJ382,HN!AP382)))</f>
        <v>0</v>
      </c>
      <c r="I382">
        <f>SUMPRODUCT((MONTH(CHOOSE({1,2,3,4},HN!U382,HN!AA382,HN!AG382,HN!AM382))=9)*(CHOOSE({1,2,3,4},HN!X382,HN!AD382,HN!AJ382,HN!AP382)))</f>
        <v>0</v>
      </c>
      <c r="J382">
        <f>SUMPRODUCT((MONTH(CHOOSE({1,2,3,4},HN!U382,HN!AA382,HN!AG382,HN!AM382))=10)*(CHOOSE({1,2,3,4},HN!X382,HN!AD382,HN!AJ382,HN!AP382)))</f>
        <v>0</v>
      </c>
      <c r="K382">
        <f>SUMPRODUCT((MONTH(CHOOSE({1,2,3,4},HN!U382,HN!AA382,HN!AG382,HN!AM382))=11)*(CHOOSE({1,2,3,4},HN!X382,HN!AD382,HN!AJ382,HN!AP382)))</f>
        <v>0</v>
      </c>
      <c r="L382">
        <f>SUMPRODUCT((MONTH(CHOOSE({1,2,3,4},HN!U382,HN!AA382,HN!AG382,HN!AM382))=12)*(CHOOSE({1,2,3,4},HN!X382,HN!AD382,HN!AJ382,HN!AP382)))</f>
        <v>0</v>
      </c>
    </row>
    <row r="383" spans="1:12">
      <c r="A383">
        <f>SUMPRODUCT((MONTH(CHOOSE({1,2,3,4},HN!U383,HN!AA383,HN!AG383,HN!AM383))=1)*(CHOOSE({1,2,3,4},HN!X383,HN!AD383,HN!AJ383,HN!AP383)))</f>
        <v>0</v>
      </c>
      <c r="B383">
        <f>SUMPRODUCT((MONTH(CHOOSE({1,2,3,4},HN!U383,HN!AA383,HN!AG383,HN!AM383))=2)*(CHOOSE({1,2,3,4},HN!X383,HN!AD383,HN!AJ383,HN!AP383)))</f>
        <v>0</v>
      </c>
      <c r="C383">
        <f>SUMPRODUCT((MONTH(CHOOSE({1,2,3,4},HN!U383,HN!AA383,HN!AG383,HN!AM383))=3)*(CHOOSE({1,2,3,4},HN!X383,HN!AD383,HN!AJ383,HN!AP383)))</f>
        <v>0</v>
      </c>
      <c r="D383">
        <f>SUMPRODUCT((MONTH(CHOOSE({1,2,3,4},HN!U383,HN!AA383,HN!AG383,HN!AM383))=4)*(CHOOSE({1,2,3,4},HN!X383,HN!AD383,HN!AJ383,HN!AP383)))</f>
        <v>0</v>
      </c>
      <c r="E383">
        <f>SUMPRODUCT((MONTH(CHOOSE({1,2,3,4},HN!U383,HN!AA383,HN!AG383,HN!AM383))=5)*(CHOOSE({1,2,3,4},HN!X383,HN!AD383,HN!AJ383,HN!AP383)))</f>
        <v>0</v>
      </c>
      <c r="F383">
        <f>SUMPRODUCT((MONTH(CHOOSE({1,2,3,4},HN!U383,HN!AA383,HN!AG383,HN!AM383))=6)*(CHOOSE({1,2,3,4},HN!X383,HN!AD383,HN!AJ383,HN!AP383)))</f>
        <v>0</v>
      </c>
      <c r="G383">
        <f>SUMPRODUCT((MONTH(CHOOSE({1,2,3,4},HN!U383,HN!AA383,HN!AG383,HN!AM383))=7)*(CHOOSE({1,2,3,4},HN!X383,HN!AD383,HN!AJ383,HN!AP383)))</f>
        <v>0</v>
      </c>
      <c r="H383">
        <f>SUMPRODUCT((MONTH(CHOOSE({1,2,3,4},HN!U383,HN!AA383,HN!AG383,HN!AM383))=8)*(CHOOSE({1,2,3,4},HN!X383,HN!AD383,HN!AJ383,HN!AP383)))</f>
        <v>0</v>
      </c>
      <c r="I383">
        <f>SUMPRODUCT((MONTH(CHOOSE({1,2,3,4},HN!U383,HN!AA383,HN!AG383,HN!AM383))=9)*(CHOOSE({1,2,3,4},HN!X383,HN!AD383,HN!AJ383,HN!AP383)))</f>
        <v>0</v>
      </c>
      <c r="J383">
        <f>SUMPRODUCT((MONTH(CHOOSE({1,2,3,4},HN!U383,HN!AA383,HN!AG383,HN!AM383))=10)*(CHOOSE({1,2,3,4},HN!X383,HN!AD383,HN!AJ383,HN!AP383)))</f>
        <v>0</v>
      </c>
      <c r="K383">
        <f>SUMPRODUCT((MONTH(CHOOSE({1,2,3,4},HN!U383,HN!AA383,HN!AG383,HN!AM383))=11)*(CHOOSE({1,2,3,4},HN!X383,HN!AD383,HN!AJ383,HN!AP383)))</f>
        <v>0</v>
      </c>
      <c r="L383">
        <f>SUMPRODUCT((MONTH(CHOOSE({1,2,3,4},HN!U383,HN!AA383,HN!AG383,HN!AM383))=12)*(CHOOSE({1,2,3,4},HN!X383,HN!AD383,HN!AJ383,HN!AP383)))</f>
        <v>0</v>
      </c>
    </row>
    <row r="384" spans="1:12">
      <c r="A384">
        <f>SUMPRODUCT((MONTH(CHOOSE({1,2,3,4},HN!U384,HN!AA384,HN!AG384,HN!AM384))=1)*(CHOOSE({1,2,3,4},HN!X384,HN!AD384,HN!AJ384,HN!AP384)))</f>
        <v>0</v>
      </c>
      <c r="B384">
        <f>SUMPRODUCT((MONTH(CHOOSE({1,2,3,4},HN!U384,HN!AA384,HN!AG384,HN!AM384))=2)*(CHOOSE({1,2,3,4},HN!X384,HN!AD384,HN!AJ384,HN!AP384)))</f>
        <v>0</v>
      </c>
      <c r="C384">
        <f>SUMPRODUCT((MONTH(CHOOSE({1,2,3,4},HN!U384,HN!AA384,HN!AG384,HN!AM384))=3)*(CHOOSE({1,2,3,4},HN!X384,HN!AD384,HN!AJ384,HN!AP384)))</f>
        <v>0</v>
      </c>
      <c r="D384">
        <f>SUMPRODUCT((MONTH(CHOOSE({1,2,3,4},HN!U384,HN!AA384,HN!AG384,HN!AM384))=4)*(CHOOSE({1,2,3,4},HN!X384,HN!AD384,HN!AJ384,HN!AP384)))</f>
        <v>0</v>
      </c>
      <c r="E384">
        <f>SUMPRODUCT((MONTH(CHOOSE({1,2,3,4},HN!U384,HN!AA384,HN!AG384,HN!AM384))=5)*(CHOOSE({1,2,3,4},HN!X384,HN!AD384,HN!AJ384,HN!AP384)))</f>
        <v>0</v>
      </c>
      <c r="F384">
        <f>SUMPRODUCT((MONTH(CHOOSE({1,2,3,4},HN!U384,HN!AA384,HN!AG384,HN!AM384))=6)*(CHOOSE({1,2,3,4},HN!X384,HN!AD384,HN!AJ384,HN!AP384)))</f>
        <v>0</v>
      </c>
      <c r="G384">
        <f>SUMPRODUCT((MONTH(CHOOSE({1,2,3,4},HN!U384,HN!AA384,HN!AG384,HN!AM384))=7)*(CHOOSE({1,2,3,4},HN!X384,HN!AD384,HN!AJ384,HN!AP384)))</f>
        <v>0</v>
      </c>
      <c r="H384">
        <f>SUMPRODUCT((MONTH(CHOOSE({1,2,3,4},HN!U384,HN!AA384,HN!AG384,HN!AM384))=8)*(CHOOSE({1,2,3,4},HN!X384,HN!AD384,HN!AJ384,HN!AP384)))</f>
        <v>0</v>
      </c>
      <c r="I384">
        <f>SUMPRODUCT((MONTH(CHOOSE({1,2,3,4},HN!U384,HN!AA384,HN!AG384,HN!AM384))=9)*(CHOOSE({1,2,3,4},HN!X384,HN!AD384,HN!AJ384,HN!AP384)))</f>
        <v>0</v>
      </c>
      <c r="J384">
        <f>SUMPRODUCT((MONTH(CHOOSE({1,2,3,4},HN!U384,HN!AA384,HN!AG384,HN!AM384))=10)*(CHOOSE({1,2,3,4},HN!X384,HN!AD384,HN!AJ384,HN!AP384)))</f>
        <v>0</v>
      </c>
      <c r="K384">
        <f>SUMPRODUCT((MONTH(CHOOSE({1,2,3,4},HN!U384,HN!AA384,HN!AG384,HN!AM384))=11)*(CHOOSE({1,2,3,4},HN!X384,HN!AD384,HN!AJ384,HN!AP384)))</f>
        <v>0</v>
      </c>
      <c r="L384">
        <f>SUMPRODUCT((MONTH(CHOOSE({1,2,3,4},HN!U384,HN!AA384,HN!AG384,HN!AM384))=12)*(CHOOSE({1,2,3,4},HN!X384,HN!AD384,HN!AJ384,HN!AP384)))</f>
        <v>0</v>
      </c>
    </row>
    <row r="385" spans="1:12">
      <c r="A385">
        <f>SUMPRODUCT((MONTH(CHOOSE({1,2,3,4},HN!U385,HN!AA385,HN!AG385,HN!AM385))=1)*(CHOOSE({1,2,3,4},HN!X385,HN!AD385,HN!AJ385,HN!AP385)))</f>
        <v>0</v>
      </c>
      <c r="B385">
        <f>SUMPRODUCT((MONTH(CHOOSE({1,2,3,4},HN!U385,HN!AA385,HN!AG385,HN!AM385))=2)*(CHOOSE({1,2,3,4},HN!X385,HN!AD385,HN!AJ385,HN!AP385)))</f>
        <v>0</v>
      </c>
      <c r="C385">
        <f>SUMPRODUCT((MONTH(CHOOSE({1,2,3,4},HN!U385,HN!AA385,HN!AG385,HN!AM385))=3)*(CHOOSE({1,2,3,4},HN!X385,HN!AD385,HN!AJ385,HN!AP385)))</f>
        <v>0</v>
      </c>
      <c r="D385">
        <f>SUMPRODUCT((MONTH(CHOOSE({1,2,3,4},HN!U385,HN!AA385,HN!AG385,HN!AM385))=4)*(CHOOSE({1,2,3,4},HN!X385,HN!AD385,HN!AJ385,HN!AP385)))</f>
        <v>0</v>
      </c>
      <c r="E385">
        <f>SUMPRODUCT((MONTH(CHOOSE({1,2,3,4},HN!U385,HN!AA385,HN!AG385,HN!AM385))=5)*(CHOOSE({1,2,3,4},HN!X385,HN!AD385,HN!AJ385,HN!AP385)))</f>
        <v>0</v>
      </c>
      <c r="F385">
        <f>SUMPRODUCT((MONTH(CHOOSE({1,2,3,4},HN!U385,HN!AA385,HN!AG385,HN!AM385))=6)*(CHOOSE({1,2,3,4},HN!X385,HN!AD385,HN!AJ385,HN!AP385)))</f>
        <v>0</v>
      </c>
      <c r="G385">
        <f>SUMPRODUCT((MONTH(CHOOSE({1,2,3,4},HN!U385,HN!AA385,HN!AG385,HN!AM385))=7)*(CHOOSE({1,2,3,4},HN!X385,HN!AD385,HN!AJ385,HN!AP385)))</f>
        <v>0</v>
      </c>
      <c r="H385">
        <f>SUMPRODUCT((MONTH(CHOOSE({1,2,3,4},HN!U385,HN!AA385,HN!AG385,HN!AM385))=8)*(CHOOSE({1,2,3,4},HN!X385,HN!AD385,HN!AJ385,HN!AP385)))</f>
        <v>0</v>
      </c>
      <c r="I385">
        <f>SUMPRODUCT((MONTH(CHOOSE({1,2,3,4},HN!U385,HN!AA385,HN!AG385,HN!AM385))=9)*(CHOOSE({1,2,3,4},HN!X385,HN!AD385,HN!AJ385,HN!AP385)))</f>
        <v>0</v>
      </c>
      <c r="J385">
        <f>SUMPRODUCT((MONTH(CHOOSE({1,2,3,4},HN!U385,HN!AA385,HN!AG385,HN!AM385))=10)*(CHOOSE({1,2,3,4},HN!X385,HN!AD385,HN!AJ385,HN!AP385)))</f>
        <v>0</v>
      </c>
      <c r="K385">
        <f>SUMPRODUCT((MONTH(CHOOSE({1,2,3,4},HN!U385,HN!AA385,HN!AG385,HN!AM385))=11)*(CHOOSE({1,2,3,4},HN!X385,HN!AD385,HN!AJ385,HN!AP385)))</f>
        <v>0</v>
      </c>
      <c r="L385">
        <f>SUMPRODUCT((MONTH(CHOOSE({1,2,3,4},HN!U385,HN!AA385,HN!AG385,HN!AM385))=12)*(CHOOSE({1,2,3,4},HN!X385,HN!AD385,HN!AJ385,HN!AP385)))</f>
        <v>0</v>
      </c>
    </row>
    <row r="386" spans="1:12">
      <c r="A386">
        <f>SUMPRODUCT((MONTH(CHOOSE({1,2,3,4},HN!U386,HN!AA386,HN!AG386,HN!AM386))=1)*(CHOOSE({1,2,3,4},HN!X386,HN!AD386,HN!AJ386,HN!AP386)))</f>
        <v>0</v>
      </c>
      <c r="B386">
        <f>SUMPRODUCT((MONTH(CHOOSE({1,2,3,4},HN!U386,HN!AA386,HN!AG386,HN!AM386))=2)*(CHOOSE({1,2,3,4},HN!X386,HN!AD386,HN!AJ386,HN!AP386)))</f>
        <v>0</v>
      </c>
      <c r="C386">
        <f>SUMPRODUCT((MONTH(CHOOSE({1,2,3,4},HN!U386,HN!AA386,HN!AG386,HN!AM386))=3)*(CHOOSE({1,2,3,4},HN!X386,HN!AD386,HN!AJ386,HN!AP386)))</f>
        <v>0</v>
      </c>
      <c r="D386">
        <f>SUMPRODUCT((MONTH(CHOOSE({1,2,3,4},HN!U386,HN!AA386,HN!AG386,HN!AM386))=4)*(CHOOSE({1,2,3,4},HN!X386,HN!AD386,HN!AJ386,HN!AP386)))</f>
        <v>0</v>
      </c>
      <c r="E386">
        <f>SUMPRODUCT((MONTH(CHOOSE({1,2,3,4},HN!U386,HN!AA386,HN!AG386,HN!AM386))=5)*(CHOOSE({1,2,3,4},HN!X386,HN!AD386,HN!AJ386,HN!AP386)))</f>
        <v>0</v>
      </c>
      <c r="F386">
        <f>SUMPRODUCT((MONTH(CHOOSE({1,2,3,4},HN!U386,HN!AA386,HN!AG386,HN!AM386))=6)*(CHOOSE({1,2,3,4},HN!X386,HN!AD386,HN!AJ386,HN!AP386)))</f>
        <v>0</v>
      </c>
      <c r="G386">
        <f>SUMPRODUCT((MONTH(CHOOSE({1,2,3,4},HN!U386,HN!AA386,HN!AG386,HN!AM386))=7)*(CHOOSE({1,2,3,4},HN!X386,HN!AD386,HN!AJ386,HN!AP386)))</f>
        <v>0</v>
      </c>
      <c r="H386">
        <f>SUMPRODUCT((MONTH(CHOOSE({1,2,3,4},HN!U386,HN!AA386,HN!AG386,HN!AM386))=8)*(CHOOSE({1,2,3,4},HN!X386,HN!AD386,HN!AJ386,HN!AP386)))</f>
        <v>0</v>
      </c>
      <c r="I386">
        <f>SUMPRODUCT((MONTH(CHOOSE({1,2,3,4},HN!U386,HN!AA386,HN!AG386,HN!AM386))=9)*(CHOOSE({1,2,3,4},HN!X386,HN!AD386,HN!AJ386,HN!AP386)))</f>
        <v>0</v>
      </c>
      <c r="J386">
        <f>SUMPRODUCT((MONTH(CHOOSE({1,2,3,4},HN!U386,HN!AA386,HN!AG386,HN!AM386))=10)*(CHOOSE({1,2,3,4},HN!X386,HN!AD386,HN!AJ386,HN!AP386)))</f>
        <v>0</v>
      </c>
      <c r="K386">
        <f>SUMPRODUCT((MONTH(CHOOSE({1,2,3,4},HN!U386,HN!AA386,HN!AG386,HN!AM386))=11)*(CHOOSE({1,2,3,4},HN!X386,HN!AD386,HN!AJ386,HN!AP386)))</f>
        <v>0</v>
      </c>
      <c r="L386">
        <f>SUMPRODUCT((MONTH(CHOOSE({1,2,3,4},HN!U386,HN!AA386,HN!AG386,HN!AM386))=12)*(CHOOSE({1,2,3,4},HN!X386,HN!AD386,HN!AJ386,HN!AP386)))</f>
        <v>0</v>
      </c>
    </row>
    <row r="387" spans="1:12">
      <c r="A387">
        <f>SUMPRODUCT((MONTH(CHOOSE({1,2,3,4},HN!U387,HN!AA387,HN!AG387,HN!AM387))=1)*(CHOOSE({1,2,3,4},HN!X387,HN!AD387,HN!AJ387,HN!AP387)))</f>
        <v>0</v>
      </c>
      <c r="B387">
        <f>SUMPRODUCT((MONTH(CHOOSE({1,2,3,4},HN!U387,HN!AA387,HN!AG387,HN!AM387))=2)*(CHOOSE({1,2,3,4},HN!X387,HN!AD387,HN!AJ387,HN!AP387)))</f>
        <v>0</v>
      </c>
      <c r="C387">
        <f>SUMPRODUCT((MONTH(CHOOSE({1,2,3,4},HN!U387,HN!AA387,HN!AG387,HN!AM387))=3)*(CHOOSE({1,2,3,4},HN!X387,HN!AD387,HN!AJ387,HN!AP387)))</f>
        <v>0</v>
      </c>
      <c r="D387">
        <f>SUMPRODUCT((MONTH(CHOOSE({1,2,3,4},HN!U387,HN!AA387,HN!AG387,HN!AM387))=4)*(CHOOSE({1,2,3,4},HN!X387,HN!AD387,HN!AJ387,HN!AP387)))</f>
        <v>0</v>
      </c>
      <c r="E387">
        <f>SUMPRODUCT((MONTH(CHOOSE({1,2,3,4},HN!U387,HN!AA387,HN!AG387,HN!AM387))=5)*(CHOOSE({1,2,3,4},HN!X387,HN!AD387,HN!AJ387,HN!AP387)))</f>
        <v>0</v>
      </c>
      <c r="F387">
        <f>SUMPRODUCT((MONTH(CHOOSE({1,2,3,4},HN!U387,HN!AA387,HN!AG387,HN!AM387))=6)*(CHOOSE({1,2,3,4},HN!X387,HN!AD387,HN!AJ387,HN!AP387)))</f>
        <v>0</v>
      </c>
      <c r="G387">
        <f>SUMPRODUCT((MONTH(CHOOSE({1,2,3,4},HN!U387,HN!AA387,HN!AG387,HN!AM387))=7)*(CHOOSE({1,2,3,4},HN!X387,HN!AD387,HN!AJ387,HN!AP387)))</f>
        <v>0</v>
      </c>
      <c r="H387">
        <f>SUMPRODUCT((MONTH(CHOOSE({1,2,3,4},HN!U387,HN!AA387,HN!AG387,HN!AM387))=8)*(CHOOSE({1,2,3,4},HN!X387,HN!AD387,HN!AJ387,HN!AP387)))</f>
        <v>0</v>
      </c>
      <c r="I387">
        <f>SUMPRODUCT((MONTH(CHOOSE({1,2,3,4},HN!U387,HN!AA387,HN!AG387,HN!AM387))=9)*(CHOOSE({1,2,3,4},HN!X387,HN!AD387,HN!AJ387,HN!AP387)))</f>
        <v>0</v>
      </c>
      <c r="J387">
        <f>SUMPRODUCT((MONTH(CHOOSE({1,2,3,4},HN!U387,HN!AA387,HN!AG387,HN!AM387))=10)*(CHOOSE({1,2,3,4},HN!X387,HN!AD387,HN!AJ387,HN!AP387)))</f>
        <v>0</v>
      </c>
      <c r="K387">
        <f>SUMPRODUCT((MONTH(CHOOSE({1,2,3,4},HN!U387,HN!AA387,HN!AG387,HN!AM387))=11)*(CHOOSE({1,2,3,4},HN!X387,HN!AD387,HN!AJ387,HN!AP387)))</f>
        <v>0</v>
      </c>
      <c r="L387">
        <f>SUMPRODUCT((MONTH(CHOOSE({1,2,3,4},HN!U387,HN!AA387,HN!AG387,HN!AM387))=12)*(CHOOSE({1,2,3,4},HN!X387,HN!AD387,HN!AJ387,HN!AP387)))</f>
        <v>0</v>
      </c>
    </row>
    <row r="388" spans="1:12">
      <c r="A388">
        <f>SUMPRODUCT((MONTH(CHOOSE({1,2,3,4},HN!U388,HN!AA388,HN!AG388,HN!AM388))=1)*(CHOOSE({1,2,3,4},HN!X388,HN!AD388,HN!AJ388,HN!AP388)))</f>
        <v>0</v>
      </c>
      <c r="B388">
        <f>SUMPRODUCT((MONTH(CHOOSE({1,2,3,4},HN!U388,HN!AA388,HN!AG388,HN!AM388))=2)*(CHOOSE({1,2,3,4},HN!X388,HN!AD388,HN!AJ388,HN!AP388)))</f>
        <v>0</v>
      </c>
      <c r="C388">
        <f>SUMPRODUCT((MONTH(CHOOSE({1,2,3,4},HN!U388,HN!AA388,HN!AG388,HN!AM388))=3)*(CHOOSE({1,2,3,4},HN!X388,HN!AD388,HN!AJ388,HN!AP388)))</f>
        <v>0</v>
      </c>
      <c r="D388">
        <f>SUMPRODUCT((MONTH(CHOOSE({1,2,3,4},HN!U388,HN!AA388,HN!AG388,HN!AM388))=4)*(CHOOSE({1,2,3,4},HN!X388,HN!AD388,HN!AJ388,HN!AP388)))</f>
        <v>0</v>
      </c>
      <c r="E388">
        <f>SUMPRODUCT((MONTH(CHOOSE({1,2,3,4},HN!U388,HN!AA388,HN!AG388,HN!AM388))=5)*(CHOOSE({1,2,3,4},HN!X388,HN!AD388,HN!AJ388,HN!AP388)))</f>
        <v>0</v>
      </c>
      <c r="F388">
        <f>SUMPRODUCT((MONTH(CHOOSE({1,2,3,4},HN!U388,HN!AA388,HN!AG388,HN!AM388))=6)*(CHOOSE({1,2,3,4},HN!X388,HN!AD388,HN!AJ388,HN!AP388)))</f>
        <v>0</v>
      </c>
      <c r="G388">
        <f>SUMPRODUCT((MONTH(CHOOSE({1,2,3,4},HN!U388,HN!AA388,HN!AG388,HN!AM388))=7)*(CHOOSE({1,2,3,4},HN!X388,HN!AD388,HN!AJ388,HN!AP388)))</f>
        <v>0</v>
      </c>
      <c r="H388">
        <f>SUMPRODUCT((MONTH(CHOOSE({1,2,3,4},HN!U388,HN!AA388,HN!AG388,HN!AM388))=8)*(CHOOSE({1,2,3,4},HN!X388,HN!AD388,HN!AJ388,HN!AP388)))</f>
        <v>0</v>
      </c>
      <c r="I388">
        <f>SUMPRODUCT((MONTH(CHOOSE({1,2,3,4},HN!U388,HN!AA388,HN!AG388,HN!AM388))=9)*(CHOOSE({1,2,3,4},HN!X388,HN!AD388,HN!AJ388,HN!AP388)))</f>
        <v>0</v>
      </c>
      <c r="J388">
        <f>SUMPRODUCT((MONTH(CHOOSE({1,2,3,4},HN!U388,HN!AA388,HN!AG388,HN!AM388))=10)*(CHOOSE({1,2,3,4},HN!X388,HN!AD388,HN!AJ388,HN!AP388)))</f>
        <v>0</v>
      </c>
      <c r="K388">
        <f>SUMPRODUCT((MONTH(CHOOSE({1,2,3,4},HN!U388,HN!AA388,HN!AG388,HN!AM388))=11)*(CHOOSE({1,2,3,4},HN!X388,HN!AD388,HN!AJ388,HN!AP388)))</f>
        <v>0</v>
      </c>
      <c r="L388">
        <f>SUMPRODUCT((MONTH(CHOOSE({1,2,3,4},HN!U388,HN!AA388,HN!AG388,HN!AM388))=12)*(CHOOSE({1,2,3,4},HN!X388,HN!AD388,HN!AJ388,HN!AP388)))</f>
        <v>0</v>
      </c>
    </row>
    <row r="389" spans="1:12">
      <c r="A389">
        <f>SUMPRODUCT((MONTH(CHOOSE({1,2,3,4},HN!U389,HN!AA389,HN!AG389,HN!AM389))=1)*(CHOOSE({1,2,3,4},HN!X389,HN!AD389,HN!AJ389,HN!AP389)))</f>
        <v>0</v>
      </c>
      <c r="B389">
        <f>SUMPRODUCT((MONTH(CHOOSE({1,2,3,4},HN!U389,HN!AA389,HN!AG389,HN!AM389))=2)*(CHOOSE({1,2,3,4},HN!X389,HN!AD389,HN!AJ389,HN!AP389)))</f>
        <v>0</v>
      </c>
      <c r="C389">
        <f>SUMPRODUCT((MONTH(CHOOSE({1,2,3,4},HN!U389,HN!AA389,HN!AG389,HN!AM389))=3)*(CHOOSE({1,2,3,4},HN!X389,HN!AD389,HN!AJ389,HN!AP389)))</f>
        <v>0</v>
      </c>
      <c r="D389">
        <f>SUMPRODUCT((MONTH(CHOOSE({1,2,3,4},HN!U389,HN!AA389,HN!AG389,HN!AM389))=4)*(CHOOSE({1,2,3,4},HN!X389,HN!AD389,HN!AJ389,HN!AP389)))</f>
        <v>0</v>
      </c>
      <c r="E389">
        <f>SUMPRODUCT((MONTH(CHOOSE({1,2,3,4},HN!U389,HN!AA389,HN!AG389,HN!AM389))=5)*(CHOOSE({1,2,3,4},HN!X389,HN!AD389,HN!AJ389,HN!AP389)))</f>
        <v>0</v>
      </c>
      <c r="F389">
        <f>SUMPRODUCT((MONTH(CHOOSE({1,2,3,4},HN!U389,HN!AA389,HN!AG389,HN!AM389))=6)*(CHOOSE({1,2,3,4},HN!X389,HN!AD389,HN!AJ389,HN!AP389)))</f>
        <v>0</v>
      </c>
      <c r="G389">
        <f>SUMPRODUCT((MONTH(CHOOSE({1,2,3,4},HN!U389,HN!AA389,HN!AG389,HN!AM389))=7)*(CHOOSE({1,2,3,4},HN!X389,HN!AD389,HN!AJ389,HN!AP389)))</f>
        <v>0</v>
      </c>
      <c r="H389">
        <f>SUMPRODUCT((MONTH(CHOOSE({1,2,3,4},HN!U389,HN!AA389,HN!AG389,HN!AM389))=8)*(CHOOSE({1,2,3,4},HN!X389,HN!AD389,HN!AJ389,HN!AP389)))</f>
        <v>0</v>
      </c>
      <c r="I389">
        <f>SUMPRODUCT((MONTH(CHOOSE({1,2,3,4},HN!U389,HN!AA389,HN!AG389,HN!AM389))=9)*(CHOOSE({1,2,3,4},HN!X389,HN!AD389,HN!AJ389,HN!AP389)))</f>
        <v>0</v>
      </c>
      <c r="J389">
        <f>SUMPRODUCT((MONTH(CHOOSE({1,2,3,4},HN!U389,HN!AA389,HN!AG389,HN!AM389))=10)*(CHOOSE({1,2,3,4},HN!X389,HN!AD389,HN!AJ389,HN!AP389)))</f>
        <v>0</v>
      </c>
      <c r="K389">
        <f>SUMPRODUCT((MONTH(CHOOSE({1,2,3,4},HN!U389,HN!AA389,HN!AG389,HN!AM389))=11)*(CHOOSE({1,2,3,4},HN!X389,HN!AD389,HN!AJ389,HN!AP389)))</f>
        <v>0</v>
      </c>
      <c r="L389">
        <f>SUMPRODUCT((MONTH(CHOOSE({1,2,3,4},HN!U389,HN!AA389,HN!AG389,HN!AM389))=12)*(CHOOSE({1,2,3,4},HN!X389,HN!AD389,HN!AJ389,HN!AP389)))</f>
        <v>0</v>
      </c>
    </row>
    <row r="390" spans="1:12">
      <c r="A390">
        <f>SUMPRODUCT((MONTH(CHOOSE({1,2,3,4},HN!U390,HN!AA390,HN!AG390,HN!AM390))=1)*(CHOOSE({1,2,3,4},HN!X390,HN!AD390,HN!AJ390,HN!AP390)))</f>
        <v>0</v>
      </c>
      <c r="B390">
        <f>SUMPRODUCT((MONTH(CHOOSE({1,2,3,4},HN!U390,HN!AA390,HN!AG390,HN!AM390))=2)*(CHOOSE({1,2,3,4},HN!X390,HN!AD390,HN!AJ390,HN!AP390)))</f>
        <v>0</v>
      </c>
      <c r="C390">
        <f>SUMPRODUCT((MONTH(CHOOSE({1,2,3,4},HN!U390,HN!AA390,HN!AG390,HN!AM390))=3)*(CHOOSE({1,2,3,4},HN!X390,HN!AD390,HN!AJ390,HN!AP390)))</f>
        <v>0</v>
      </c>
      <c r="D390">
        <f>SUMPRODUCT((MONTH(CHOOSE({1,2,3,4},HN!U390,HN!AA390,HN!AG390,HN!AM390))=4)*(CHOOSE({1,2,3,4},HN!X390,HN!AD390,HN!AJ390,HN!AP390)))</f>
        <v>0</v>
      </c>
      <c r="E390">
        <f>SUMPRODUCT((MONTH(CHOOSE({1,2,3,4},HN!U390,HN!AA390,HN!AG390,HN!AM390))=5)*(CHOOSE({1,2,3,4},HN!X390,HN!AD390,HN!AJ390,HN!AP390)))</f>
        <v>0</v>
      </c>
      <c r="F390">
        <f>SUMPRODUCT((MONTH(CHOOSE({1,2,3,4},HN!U390,HN!AA390,HN!AG390,HN!AM390))=6)*(CHOOSE({1,2,3,4},HN!X390,HN!AD390,HN!AJ390,HN!AP390)))</f>
        <v>0</v>
      </c>
      <c r="G390">
        <f>SUMPRODUCT((MONTH(CHOOSE({1,2,3,4},HN!U390,HN!AA390,HN!AG390,HN!AM390))=7)*(CHOOSE({1,2,3,4},HN!X390,HN!AD390,HN!AJ390,HN!AP390)))</f>
        <v>0</v>
      </c>
      <c r="H390">
        <f>SUMPRODUCT((MONTH(CHOOSE({1,2,3,4},HN!U390,HN!AA390,HN!AG390,HN!AM390))=8)*(CHOOSE({1,2,3,4},HN!X390,HN!AD390,HN!AJ390,HN!AP390)))</f>
        <v>0</v>
      </c>
      <c r="I390">
        <f>SUMPRODUCT((MONTH(CHOOSE({1,2,3,4},HN!U390,HN!AA390,HN!AG390,HN!AM390))=9)*(CHOOSE({1,2,3,4},HN!X390,HN!AD390,HN!AJ390,HN!AP390)))</f>
        <v>0</v>
      </c>
      <c r="J390">
        <f>SUMPRODUCT((MONTH(CHOOSE({1,2,3,4},HN!U390,HN!AA390,HN!AG390,HN!AM390))=10)*(CHOOSE({1,2,3,4},HN!X390,HN!AD390,HN!AJ390,HN!AP390)))</f>
        <v>0</v>
      </c>
      <c r="K390">
        <f>SUMPRODUCT((MONTH(CHOOSE({1,2,3,4},HN!U390,HN!AA390,HN!AG390,HN!AM390))=11)*(CHOOSE({1,2,3,4},HN!X390,HN!AD390,HN!AJ390,HN!AP390)))</f>
        <v>0</v>
      </c>
      <c r="L390">
        <f>SUMPRODUCT((MONTH(CHOOSE({1,2,3,4},HN!U390,HN!AA390,HN!AG390,HN!AM390))=12)*(CHOOSE({1,2,3,4},HN!X390,HN!AD390,HN!AJ390,HN!AP390)))</f>
        <v>0</v>
      </c>
    </row>
    <row r="391" spans="1:12">
      <c r="A391">
        <f>SUMPRODUCT((MONTH(CHOOSE({1,2,3,4},HN!U391,HN!AA391,HN!AG391,HN!AM391))=1)*(CHOOSE({1,2,3,4},HN!X391,HN!AD391,HN!AJ391,HN!AP391)))</f>
        <v>0</v>
      </c>
      <c r="B391">
        <f>SUMPRODUCT((MONTH(CHOOSE({1,2,3,4},HN!U391,HN!AA391,HN!AG391,HN!AM391))=2)*(CHOOSE({1,2,3,4},HN!X391,HN!AD391,HN!AJ391,HN!AP391)))</f>
        <v>0</v>
      </c>
      <c r="C391">
        <f>SUMPRODUCT((MONTH(CHOOSE({1,2,3,4},HN!U391,HN!AA391,HN!AG391,HN!AM391))=3)*(CHOOSE({1,2,3,4},HN!X391,HN!AD391,HN!AJ391,HN!AP391)))</f>
        <v>0</v>
      </c>
      <c r="D391">
        <f>SUMPRODUCT((MONTH(CHOOSE({1,2,3,4},HN!U391,HN!AA391,HN!AG391,HN!AM391))=4)*(CHOOSE({1,2,3,4},HN!X391,HN!AD391,HN!AJ391,HN!AP391)))</f>
        <v>0</v>
      </c>
      <c r="E391">
        <f>SUMPRODUCT((MONTH(CHOOSE({1,2,3,4},HN!U391,HN!AA391,HN!AG391,HN!AM391))=5)*(CHOOSE({1,2,3,4},HN!X391,HN!AD391,HN!AJ391,HN!AP391)))</f>
        <v>0</v>
      </c>
      <c r="F391">
        <f>SUMPRODUCT((MONTH(CHOOSE({1,2,3,4},HN!U391,HN!AA391,HN!AG391,HN!AM391))=6)*(CHOOSE({1,2,3,4},HN!X391,HN!AD391,HN!AJ391,HN!AP391)))</f>
        <v>0</v>
      </c>
      <c r="G391">
        <f>SUMPRODUCT((MONTH(CHOOSE({1,2,3,4},HN!U391,HN!AA391,HN!AG391,HN!AM391))=7)*(CHOOSE({1,2,3,4},HN!X391,HN!AD391,HN!AJ391,HN!AP391)))</f>
        <v>0</v>
      </c>
      <c r="H391">
        <f>SUMPRODUCT((MONTH(CHOOSE({1,2,3,4},HN!U391,HN!AA391,HN!AG391,HN!AM391))=8)*(CHOOSE({1,2,3,4},HN!X391,HN!AD391,HN!AJ391,HN!AP391)))</f>
        <v>0</v>
      </c>
      <c r="I391">
        <f>SUMPRODUCT((MONTH(CHOOSE({1,2,3,4},HN!U391,HN!AA391,HN!AG391,HN!AM391))=9)*(CHOOSE({1,2,3,4},HN!X391,HN!AD391,HN!AJ391,HN!AP391)))</f>
        <v>0</v>
      </c>
      <c r="J391">
        <f>SUMPRODUCT((MONTH(CHOOSE({1,2,3,4},HN!U391,HN!AA391,HN!AG391,HN!AM391))=10)*(CHOOSE({1,2,3,4},HN!X391,HN!AD391,HN!AJ391,HN!AP391)))</f>
        <v>0</v>
      </c>
      <c r="K391">
        <f>SUMPRODUCT((MONTH(CHOOSE({1,2,3,4},HN!U391,HN!AA391,HN!AG391,HN!AM391))=11)*(CHOOSE({1,2,3,4},HN!X391,HN!AD391,HN!AJ391,HN!AP391)))</f>
        <v>0</v>
      </c>
      <c r="L391">
        <f>SUMPRODUCT((MONTH(CHOOSE({1,2,3,4},HN!U391,HN!AA391,HN!AG391,HN!AM391))=12)*(CHOOSE({1,2,3,4},HN!X391,HN!AD391,HN!AJ391,HN!AP391)))</f>
        <v>0</v>
      </c>
    </row>
    <row r="392" spans="1:12">
      <c r="A392">
        <f>SUMPRODUCT((MONTH(CHOOSE({1,2,3,4},HN!U392,HN!AA392,HN!AG392,HN!AM392))=1)*(CHOOSE({1,2,3,4},HN!X392,HN!AD392,HN!AJ392,HN!AP392)))</f>
        <v>0</v>
      </c>
      <c r="B392">
        <f>SUMPRODUCT((MONTH(CHOOSE({1,2,3,4},HN!U392,HN!AA392,HN!AG392,HN!AM392))=2)*(CHOOSE({1,2,3,4},HN!X392,HN!AD392,HN!AJ392,HN!AP392)))</f>
        <v>0</v>
      </c>
      <c r="C392">
        <f>SUMPRODUCT((MONTH(CHOOSE({1,2,3,4},HN!U392,HN!AA392,HN!AG392,HN!AM392))=3)*(CHOOSE({1,2,3,4},HN!X392,HN!AD392,HN!AJ392,HN!AP392)))</f>
        <v>0</v>
      </c>
      <c r="D392">
        <f>SUMPRODUCT((MONTH(CHOOSE({1,2,3,4},HN!U392,HN!AA392,HN!AG392,HN!AM392))=4)*(CHOOSE({1,2,3,4},HN!X392,HN!AD392,HN!AJ392,HN!AP392)))</f>
        <v>0</v>
      </c>
      <c r="E392">
        <f>SUMPRODUCT((MONTH(CHOOSE({1,2,3,4},HN!U392,HN!AA392,HN!AG392,HN!AM392))=5)*(CHOOSE({1,2,3,4},HN!X392,HN!AD392,HN!AJ392,HN!AP392)))</f>
        <v>0</v>
      </c>
      <c r="F392">
        <f>SUMPRODUCT((MONTH(CHOOSE({1,2,3,4},HN!U392,HN!AA392,HN!AG392,HN!AM392))=6)*(CHOOSE({1,2,3,4},HN!X392,HN!AD392,HN!AJ392,HN!AP392)))</f>
        <v>0</v>
      </c>
      <c r="G392">
        <f>SUMPRODUCT((MONTH(CHOOSE({1,2,3,4},HN!U392,HN!AA392,HN!AG392,HN!AM392))=7)*(CHOOSE({1,2,3,4},HN!X392,HN!AD392,HN!AJ392,HN!AP392)))</f>
        <v>0</v>
      </c>
      <c r="H392">
        <f>SUMPRODUCT((MONTH(CHOOSE({1,2,3,4},HN!U392,HN!AA392,HN!AG392,HN!AM392))=8)*(CHOOSE({1,2,3,4},HN!X392,HN!AD392,HN!AJ392,HN!AP392)))</f>
        <v>0</v>
      </c>
      <c r="I392">
        <f>SUMPRODUCT((MONTH(CHOOSE({1,2,3,4},HN!U392,HN!AA392,HN!AG392,HN!AM392))=9)*(CHOOSE({1,2,3,4},HN!X392,HN!AD392,HN!AJ392,HN!AP392)))</f>
        <v>0</v>
      </c>
      <c r="J392">
        <f>SUMPRODUCT((MONTH(CHOOSE({1,2,3,4},HN!U392,HN!AA392,HN!AG392,HN!AM392))=10)*(CHOOSE({1,2,3,4},HN!X392,HN!AD392,HN!AJ392,HN!AP392)))</f>
        <v>0</v>
      </c>
      <c r="K392">
        <f>SUMPRODUCT((MONTH(CHOOSE({1,2,3,4},HN!U392,HN!AA392,HN!AG392,HN!AM392))=11)*(CHOOSE({1,2,3,4},HN!X392,HN!AD392,HN!AJ392,HN!AP392)))</f>
        <v>0</v>
      </c>
      <c r="L392">
        <f>SUMPRODUCT((MONTH(CHOOSE({1,2,3,4},HN!U392,HN!AA392,HN!AG392,HN!AM392))=12)*(CHOOSE({1,2,3,4},HN!X392,HN!AD392,HN!AJ392,HN!AP392)))</f>
        <v>0</v>
      </c>
    </row>
    <row r="393" spans="1:12">
      <c r="A393">
        <f>SUMPRODUCT((MONTH(CHOOSE({1,2,3,4},HN!U393,HN!AA393,HN!AG393,HN!AM393))=1)*(CHOOSE({1,2,3,4},HN!X393,HN!AD393,HN!AJ393,HN!AP393)))</f>
        <v>0</v>
      </c>
      <c r="B393">
        <f>SUMPRODUCT((MONTH(CHOOSE({1,2,3,4},HN!U393,HN!AA393,HN!AG393,HN!AM393))=2)*(CHOOSE({1,2,3,4},HN!X393,HN!AD393,HN!AJ393,HN!AP393)))</f>
        <v>0</v>
      </c>
      <c r="C393">
        <f>SUMPRODUCT((MONTH(CHOOSE({1,2,3,4},HN!U393,HN!AA393,HN!AG393,HN!AM393))=3)*(CHOOSE({1,2,3,4},HN!X393,HN!AD393,HN!AJ393,HN!AP393)))</f>
        <v>0</v>
      </c>
      <c r="D393">
        <f>SUMPRODUCT((MONTH(CHOOSE({1,2,3,4},HN!U393,HN!AA393,HN!AG393,HN!AM393))=4)*(CHOOSE({1,2,3,4},HN!X393,HN!AD393,HN!AJ393,HN!AP393)))</f>
        <v>0</v>
      </c>
      <c r="E393">
        <f>SUMPRODUCT((MONTH(CHOOSE({1,2,3,4},HN!U393,HN!AA393,HN!AG393,HN!AM393))=5)*(CHOOSE({1,2,3,4},HN!X393,HN!AD393,HN!AJ393,HN!AP393)))</f>
        <v>0</v>
      </c>
      <c r="F393">
        <f>SUMPRODUCT((MONTH(CHOOSE({1,2,3,4},HN!U393,HN!AA393,HN!AG393,HN!AM393))=6)*(CHOOSE({1,2,3,4},HN!X393,HN!AD393,HN!AJ393,HN!AP393)))</f>
        <v>0</v>
      </c>
      <c r="G393">
        <f>SUMPRODUCT((MONTH(CHOOSE({1,2,3,4},HN!U393,HN!AA393,HN!AG393,HN!AM393))=7)*(CHOOSE({1,2,3,4},HN!X393,HN!AD393,HN!AJ393,HN!AP393)))</f>
        <v>0</v>
      </c>
      <c r="H393">
        <f>SUMPRODUCT((MONTH(CHOOSE({1,2,3,4},HN!U393,HN!AA393,HN!AG393,HN!AM393))=8)*(CHOOSE({1,2,3,4},HN!X393,HN!AD393,HN!AJ393,HN!AP393)))</f>
        <v>0</v>
      </c>
      <c r="I393">
        <f>SUMPRODUCT((MONTH(CHOOSE({1,2,3,4},HN!U393,HN!AA393,HN!AG393,HN!AM393))=9)*(CHOOSE({1,2,3,4},HN!X393,HN!AD393,HN!AJ393,HN!AP393)))</f>
        <v>0</v>
      </c>
      <c r="J393">
        <f>SUMPRODUCT((MONTH(CHOOSE({1,2,3,4},HN!U393,HN!AA393,HN!AG393,HN!AM393))=10)*(CHOOSE({1,2,3,4},HN!X393,HN!AD393,HN!AJ393,HN!AP393)))</f>
        <v>0</v>
      </c>
      <c r="K393">
        <f>SUMPRODUCT((MONTH(CHOOSE({1,2,3,4},HN!U393,HN!AA393,HN!AG393,HN!AM393))=11)*(CHOOSE({1,2,3,4},HN!X393,HN!AD393,HN!AJ393,HN!AP393)))</f>
        <v>0</v>
      </c>
      <c r="L393">
        <f>SUMPRODUCT((MONTH(CHOOSE({1,2,3,4},HN!U393,HN!AA393,HN!AG393,HN!AM393))=12)*(CHOOSE({1,2,3,4},HN!X393,HN!AD393,HN!AJ393,HN!AP393)))</f>
        <v>0</v>
      </c>
    </row>
    <row r="394" spans="1:12">
      <c r="A394">
        <f>SUMPRODUCT((MONTH(CHOOSE({1,2,3,4},HN!U394,HN!AA394,HN!AG394,HN!AM394))=1)*(CHOOSE({1,2,3,4},HN!X394,HN!AD394,HN!AJ394,HN!AP394)))</f>
        <v>0</v>
      </c>
      <c r="B394">
        <f>SUMPRODUCT((MONTH(CHOOSE({1,2,3,4},HN!U394,HN!AA394,HN!AG394,HN!AM394))=2)*(CHOOSE({1,2,3,4},HN!X394,HN!AD394,HN!AJ394,HN!AP394)))</f>
        <v>0</v>
      </c>
      <c r="C394">
        <f>SUMPRODUCT((MONTH(CHOOSE({1,2,3,4},HN!U394,HN!AA394,HN!AG394,HN!AM394))=3)*(CHOOSE({1,2,3,4},HN!X394,HN!AD394,HN!AJ394,HN!AP394)))</f>
        <v>0</v>
      </c>
      <c r="D394">
        <f>SUMPRODUCT((MONTH(CHOOSE({1,2,3,4},HN!U394,HN!AA394,HN!AG394,HN!AM394))=4)*(CHOOSE({1,2,3,4},HN!X394,HN!AD394,HN!AJ394,HN!AP394)))</f>
        <v>0</v>
      </c>
      <c r="E394">
        <f>SUMPRODUCT((MONTH(CHOOSE({1,2,3,4},HN!U394,HN!AA394,HN!AG394,HN!AM394))=5)*(CHOOSE({1,2,3,4},HN!X394,HN!AD394,HN!AJ394,HN!AP394)))</f>
        <v>0</v>
      </c>
      <c r="F394">
        <f>SUMPRODUCT((MONTH(CHOOSE({1,2,3,4},HN!U394,HN!AA394,HN!AG394,HN!AM394))=6)*(CHOOSE({1,2,3,4},HN!X394,HN!AD394,HN!AJ394,HN!AP394)))</f>
        <v>0</v>
      </c>
      <c r="G394">
        <f>SUMPRODUCT((MONTH(CHOOSE({1,2,3,4},HN!U394,HN!AA394,HN!AG394,HN!AM394))=7)*(CHOOSE({1,2,3,4},HN!X394,HN!AD394,HN!AJ394,HN!AP394)))</f>
        <v>0</v>
      </c>
      <c r="H394">
        <f>SUMPRODUCT((MONTH(CHOOSE({1,2,3,4},HN!U394,HN!AA394,HN!AG394,HN!AM394))=8)*(CHOOSE({1,2,3,4},HN!X394,HN!AD394,HN!AJ394,HN!AP394)))</f>
        <v>0</v>
      </c>
      <c r="I394">
        <f>SUMPRODUCT((MONTH(CHOOSE({1,2,3,4},HN!U394,HN!AA394,HN!AG394,HN!AM394))=9)*(CHOOSE({1,2,3,4},HN!X394,HN!AD394,HN!AJ394,HN!AP394)))</f>
        <v>0</v>
      </c>
      <c r="J394">
        <f>SUMPRODUCT((MONTH(CHOOSE({1,2,3,4},HN!U394,HN!AA394,HN!AG394,HN!AM394))=10)*(CHOOSE({1,2,3,4},HN!X394,HN!AD394,HN!AJ394,HN!AP394)))</f>
        <v>0</v>
      </c>
      <c r="K394">
        <f>SUMPRODUCT((MONTH(CHOOSE({1,2,3,4},HN!U394,HN!AA394,HN!AG394,HN!AM394))=11)*(CHOOSE({1,2,3,4},HN!X394,HN!AD394,HN!AJ394,HN!AP394)))</f>
        <v>0</v>
      </c>
      <c r="L394">
        <f>SUMPRODUCT((MONTH(CHOOSE({1,2,3,4},HN!U394,HN!AA394,HN!AG394,HN!AM394))=12)*(CHOOSE({1,2,3,4},HN!X394,HN!AD394,HN!AJ394,HN!AP394)))</f>
        <v>0</v>
      </c>
    </row>
    <row r="395" spans="1:12">
      <c r="A395">
        <f>SUMPRODUCT((MONTH(CHOOSE({1,2,3,4},HN!U395,HN!AA395,HN!AG395,HN!AM395))=1)*(CHOOSE({1,2,3,4},HN!X395,HN!AD395,HN!AJ395,HN!AP395)))</f>
        <v>0</v>
      </c>
      <c r="B395">
        <f>SUMPRODUCT((MONTH(CHOOSE({1,2,3,4},HN!U395,HN!AA395,HN!AG395,HN!AM395))=2)*(CHOOSE({1,2,3,4},HN!X395,HN!AD395,HN!AJ395,HN!AP395)))</f>
        <v>0</v>
      </c>
      <c r="C395">
        <f>SUMPRODUCT((MONTH(CHOOSE({1,2,3,4},HN!U395,HN!AA395,HN!AG395,HN!AM395))=3)*(CHOOSE({1,2,3,4},HN!X395,HN!AD395,HN!AJ395,HN!AP395)))</f>
        <v>0</v>
      </c>
      <c r="D395">
        <f>SUMPRODUCT((MONTH(CHOOSE({1,2,3,4},HN!U395,HN!AA395,HN!AG395,HN!AM395))=4)*(CHOOSE({1,2,3,4},HN!X395,HN!AD395,HN!AJ395,HN!AP395)))</f>
        <v>0</v>
      </c>
      <c r="E395">
        <f>SUMPRODUCT((MONTH(CHOOSE({1,2,3,4},HN!U395,HN!AA395,HN!AG395,HN!AM395))=5)*(CHOOSE({1,2,3,4},HN!X395,HN!AD395,HN!AJ395,HN!AP395)))</f>
        <v>0</v>
      </c>
      <c r="F395">
        <f>SUMPRODUCT((MONTH(CHOOSE({1,2,3,4},HN!U395,HN!AA395,HN!AG395,HN!AM395))=6)*(CHOOSE({1,2,3,4},HN!X395,HN!AD395,HN!AJ395,HN!AP395)))</f>
        <v>0</v>
      </c>
      <c r="G395">
        <f>SUMPRODUCT((MONTH(CHOOSE({1,2,3,4},HN!U395,HN!AA395,HN!AG395,HN!AM395))=7)*(CHOOSE({1,2,3,4},HN!X395,HN!AD395,HN!AJ395,HN!AP395)))</f>
        <v>0</v>
      </c>
      <c r="H395">
        <f>SUMPRODUCT((MONTH(CHOOSE({1,2,3,4},HN!U395,HN!AA395,HN!AG395,HN!AM395))=8)*(CHOOSE({1,2,3,4},HN!X395,HN!AD395,HN!AJ395,HN!AP395)))</f>
        <v>0</v>
      </c>
      <c r="I395">
        <f>SUMPRODUCT((MONTH(CHOOSE({1,2,3,4},HN!U395,HN!AA395,HN!AG395,HN!AM395))=9)*(CHOOSE({1,2,3,4},HN!X395,HN!AD395,HN!AJ395,HN!AP395)))</f>
        <v>0</v>
      </c>
      <c r="J395">
        <f>SUMPRODUCT((MONTH(CHOOSE({1,2,3,4},HN!U395,HN!AA395,HN!AG395,HN!AM395))=10)*(CHOOSE({1,2,3,4},HN!X395,HN!AD395,HN!AJ395,HN!AP395)))</f>
        <v>0</v>
      </c>
      <c r="K395">
        <f>SUMPRODUCT((MONTH(CHOOSE({1,2,3,4},HN!U395,HN!AA395,HN!AG395,HN!AM395))=11)*(CHOOSE({1,2,3,4},HN!X395,HN!AD395,HN!AJ395,HN!AP395)))</f>
        <v>0</v>
      </c>
      <c r="L395">
        <f>SUMPRODUCT((MONTH(CHOOSE({1,2,3,4},HN!U395,HN!AA395,HN!AG395,HN!AM395))=12)*(CHOOSE({1,2,3,4},HN!X395,HN!AD395,HN!AJ395,HN!AP395)))</f>
        <v>0</v>
      </c>
    </row>
    <row r="396" spans="1:12">
      <c r="A396">
        <f>SUMPRODUCT((MONTH(CHOOSE({1,2,3,4},HN!U396,HN!AA396,HN!AG396,HN!AM396))=1)*(CHOOSE({1,2,3,4},HN!X396,HN!AD396,HN!AJ396,HN!AP396)))</f>
        <v>0</v>
      </c>
      <c r="B396">
        <f>SUMPRODUCT((MONTH(CHOOSE({1,2,3,4},HN!U396,HN!AA396,HN!AG396,HN!AM396))=2)*(CHOOSE({1,2,3,4},HN!X396,HN!AD396,HN!AJ396,HN!AP396)))</f>
        <v>0</v>
      </c>
      <c r="C396">
        <f>SUMPRODUCT((MONTH(CHOOSE({1,2,3,4},HN!U396,HN!AA396,HN!AG396,HN!AM396))=3)*(CHOOSE({1,2,3,4},HN!X396,HN!AD396,HN!AJ396,HN!AP396)))</f>
        <v>0</v>
      </c>
      <c r="D396">
        <f>SUMPRODUCT((MONTH(CHOOSE({1,2,3,4},HN!U396,HN!AA396,HN!AG396,HN!AM396))=4)*(CHOOSE({1,2,3,4},HN!X396,HN!AD396,HN!AJ396,HN!AP396)))</f>
        <v>0</v>
      </c>
      <c r="E396">
        <f>SUMPRODUCT((MONTH(CHOOSE({1,2,3,4},HN!U396,HN!AA396,HN!AG396,HN!AM396))=5)*(CHOOSE({1,2,3,4},HN!X396,HN!AD396,HN!AJ396,HN!AP396)))</f>
        <v>0</v>
      </c>
      <c r="F396">
        <f>SUMPRODUCT((MONTH(CHOOSE({1,2,3,4},HN!U396,HN!AA396,HN!AG396,HN!AM396))=6)*(CHOOSE({1,2,3,4},HN!X396,HN!AD396,HN!AJ396,HN!AP396)))</f>
        <v>0</v>
      </c>
      <c r="G396">
        <f>SUMPRODUCT((MONTH(CHOOSE({1,2,3,4},HN!U396,HN!AA396,HN!AG396,HN!AM396))=7)*(CHOOSE({1,2,3,4},HN!X396,HN!AD396,HN!AJ396,HN!AP396)))</f>
        <v>0</v>
      </c>
      <c r="H396">
        <f>SUMPRODUCT((MONTH(CHOOSE({1,2,3,4},HN!U396,HN!AA396,HN!AG396,HN!AM396))=8)*(CHOOSE({1,2,3,4},HN!X396,HN!AD396,HN!AJ396,HN!AP396)))</f>
        <v>0</v>
      </c>
      <c r="I396">
        <f>SUMPRODUCT((MONTH(CHOOSE({1,2,3,4},HN!U396,HN!AA396,HN!AG396,HN!AM396))=9)*(CHOOSE({1,2,3,4},HN!X396,HN!AD396,HN!AJ396,HN!AP396)))</f>
        <v>0</v>
      </c>
      <c r="J396">
        <f>SUMPRODUCT((MONTH(CHOOSE({1,2,3,4},HN!U396,HN!AA396,HN!AG396,HN!AM396))=10)*(CHOOSE({1,2,3,4},HN!X396,HN!AD396,HN!AJ396,HN!AP396)))</f>
        <v>0</v>
      </c>
      <c r="K396">
        <f>SUMPRODUCT((MONTH(CHOOSE({1,2,3,4},HN!U396,HN!AA396,HN!AG396,HN!AM396))=11)*(CHOOSE({1,2,3,4},HN!X396,HN!AD396,HN!AJ396,HN!AP396)))</f>
        <v>0</v>
      </c>
      <c r="L396">
        <f>SUMPRODUCT((MONTH(CHOOSE({1,2,3,4},HN!U396,HN!AA396,HN!AG396,HN!AM396))=12)*(CHOOSE({1,2,3,4},HN!X396,HN!AD396,HN!AJ396,HN!AP396)))</f>
        <v>0</v>
      </c>
    </row>
    <row r="397" spans="1:12">
      <c r="A397">
        <f>SUMPRODUCT((MONTH(CHOOSE({1,2,3,4},HN!U397,HN!AA397,HN!AG397,HN!AM397))=1)*(CHOOSE({1,2,3,4},HN!X397,HN!AD397,HN!AJ397,HN!AP397)))</f>
        <v>0</v>
      </c>
      <c r="B397">
        <f>SUMPRODUCT((MONTH(CHOOSE({1,2,3,4},HN!U397,HN!AA397,HN!AG397,HN!AM397))=2)*(CHOOSE({1,2,3,4},HN!X397,HN!AD397,HN!AJ397,HN!AP397)))</f>
        <v>0</v>
      </c>
      <c r="C397">
        <f>SUMPRODUCT((MONTH(CHOOSE({1,2,3,4},HN!U397,HN!AA397,HN!AG397,HN!AM397))=3)*(CHOOSE({1,2,3,4},HN!X397,HN!AD397,HN!AJ397,HN!AP397)))</f>
        <v>0</v>
      </c>
      <c r="D397">
        <f>SUMPRODUCT((MONTH(CHOOSE({1,2,3,4},HN!U397,HN!AA397,HN!AG397,HN!AM397))=4)*(CHOOSE({1,2,3,4},HN!X397,HN!AD397,HN!AJ397,HN!AP397)))</f>
        <v>0</v>
      </c>
      <c r="E397">
        <f>SUMPRODUCT((MONTH(CHOOSE({1,2,3,4},HN!U397,HN!AA397,HN!AG397,HN!AM397))=5)*(CHOOSE({1,2,3,4},HN!X397,HN!AD397,HN!AJ397,HN!AP397)))</f>
        <v>0</v>
      </c>
      <c r="F397">
        <f>SUMPRODUCT((MONTH(CHOOSE({1,2,3,4},HN!U397,HN!AA397,HN!AG397,HN!AM397))=6)*(CHOOSE({1,2,3,4},HN!X397,HN!AD397,HN!AJ397,HN!AP397)))</f>
        <v>0</v>
      </c>
      <c r="G397">
        <f>SUMPRODUCT((MONTH(CHOOSE({1,2,3,4},HN!U397,HN!AA397,HN!AG397,HN!AM397))=7)*(CHOOSE({1,2,3,4},HN!X397,HN!AD397,HN!AJ397,HN!AP397)))</f>
        <v>0</v>
      </c>
      <c r="H397">
        <f>SUMPRODUCT((MONTH(CHOOSE({1,2,3,4},HN!U397,HN!AA397,HN!AG397,HN!AM397))=8)*(CHOOSE({1,2,3,4},HN!X397,HN!AD397,HN!AJ397,HN!AP397)))</f>
        <v>0</v>
      </c>
      <c r="I397">
        <f>SUMPRODUCT((MONTH(CHOOSE({1,2,3,4},HN!U397,HN!AA397,HN!AG397,HN!AM397))=9)*(CHOOSE({1,2,3,4},HN!X397,HN!AD397,HN!AJ397,HN!AP397)))</f>
        <v>0</v>
      </c>
      <c r="J397">
        <f>SUMPRODUCT((MONTH(CHOOSE({1,2,3,4},HN!U397,HN!AA397,HN!AG397,HN!AM397))=10)*(CHOOSE({1,2,3,4},HN!X397,HN!AD397,HN!AJ397,HN!AP397)))</f>
        <v>0</v>
      </c>
      <c r="K397">
        <f>SUMPRODUCT((MONTH(CHOOSE({1,2,3,4},HN!U397,HN!AA397,HN!AG397,HN!AM397))=11)*(CHOOSE({1,2,3,4},HN!X397,HN!AD397,HN!AJ397,HN!AP397)))</f>
        <v>0</v>
      </c>
      <c r="L397">
        <f>SUMPRODUCT((MONTH(CHOOSE({1,2,3,4},HN!U397,HN!AA397,HN!AG397,HN!AM397))=12)*(CHOOSE({1,2,3,4},HN!X397,HN!AD397,HN!AJ397,HN!AP397)))</f>
        <v>0</v>
      </c>
    </row>
    <row r="398" spans="1:12">
      <c r="A398">
        <f>SUMPRODUCT((MONTH(CHOOSE({1,2,3,4},HN!U398,HN!AA398,HN!AG398,HN!AM398))=1)*(CHOOSE({1,2,3,4},HN!X398,HN!AD398,HN!AJ398,HN!AP398)))</f>
        <v>0</v>
      </c>
      <c r="B398">
        <f>SUMPRODUCT((MONTH(CHOOSE({1,2,3,4},HN!U398,HN!AA398,HN!AG398,HN!AM398))=2)*(CHOOSE({1,2,3,4},HN!X398,HN!AD398,HN!AJ398,HN!AP398)))</f>
        <v>0</v>
      </c>
      <c r="C398">
        <f>SUMPRODUCT((MONTH(CHOOSE({1,2,3,4},HN!U398,HN!AA398,HN!AG398,HN!AM398))=3)*(CHOOSE({1,2,3,4},HN!X398,HN!AD398,HN!AJ398,HN!AP398)))</f>
        <v>0</v>
      </c>
      <c r="D398">
        <f>SUMPRODUCT((MONTH(CHOOSE({1,2,3,4},HN!U398,HN!AA398,HN!AG398,HN!AM398))=4)*(CHOOSE({1,2,3,4},HN!X398,HN!AD398,HN!AJ398,HN!AP398)))</f>
        <v>0</v>
      </c>
      <c r="E398">
        <f>SUMPRODUCT((MONTH(CHOOSE({1,2,3,4},HN!U398,HN!AA398,HN!AG398,HN!AM398))=5)*(CHOOSE({1,2,3,4},HN!X398,HN!AD398,HN!AJ398,HN!AP398)))</f>
        <v>0</v>
      </c>
      <c r="F398">
        <f>SUMPRODUCT((MONTH(CHOOSE({1,2,3,4},HN!U398,HN!AA398,HN!AG398,HN!AM398))=6)*(CHOOSE({1,2,3,4},HN!X398,HN!AD398,HN!AJ398,HN!AP398)))</f>
        <v>0</v>
      </c>
      <c r="G398">
        <f>SUMPRODUCT((MONTH(CHOOSE({1,2,3,4},HN!U398,HN!AA398,HN!AG398,HN!AM398))=7)*(CHOOSE({1,2,3,4},HN!X398,HN!AD398,HN!AJ398,HN!AP398)))</f>
        <v>0</v>
      </c>
      <c r="H398">
        <f>SUMPRODUCT((MONTH(CHOOSE({1,2,3,4},HN!U398,HN!AA398,HN!AG398,HN!AM398))=8)*(CHOOSE({1,2,3,4},HN!X398,HN!AD398,HN!AJ398,HN!AP398)))</f>
        <v>0</v>
      </c>
      <c r="I398">
        <f>SUMPRODUCT((MONTH(CHOOSE({1,2,3,4},HN!U398,HN!AA398,HN!AG398,HN!AM398))=9)*(CHOOSE({1,2,3,4},HN!X398,HN!AD398,HN!AJ398,HN!AP398)))</f>
        <v>0</v>
      </c>
      <c r="J398">
        <f>SUMPRODUCT((MONTH(CHOOSE({1,2,3,4},HN!U398,HN!AA398,HN!AG398,HN!AM398))=10)*(CHOOSE({1,2,3,4},HN!X398,HN!AD398,HN!AJ398,HN!AP398)))</f>
        <v>0</v>
      </c>
      <c r="K398">
        <f>SUMPRODUCT((MONTH(CHOOSE({1,2,3,4},HN!U398,HN!AA398,HN!AG398,HN!AM398))=11)*(CHOOSE({1,2,3,4},HN!X398,HN!AD398,HN!AJ398,HN!AP398)))</f>
        <v>0</v>
      </c>
      <c r="L398">
        <f>SUMPRODUCT((MONTH(CHOOSE({1,2,3,4},HN!U398,HN!AA398,HN!AG398,HN!AM398))=12)*(CHOOSE({1,2,3,4},HN!X398,HN!AD398,HN!AJ398,HN!AP398)))</f>
        <v>0</v>
      </c>
    </row>
    <row r="399" spans="1:12">
      <c r="A399">
        <f>SUMPRODUCT((MONTH(CHOOSE({1,2,3,4},HN!U399,HN!AA399,HN!AG399,HN!AM399))=1)*(CHOOSE({1,2,3,4},HN!X399,HN!AD399,HN!AJ399,HN!AP399)))</f>
        <v>0</v>
      </c>
      <c r="B399">
        <f>SUMPRODUCT((MONTH(CHOOSE({1,2,3,4},HN!U399,HN!AA399,HN!AG399,HN!AM399))=2)*(CHOOSE({1,2,3,4},HN!X399,HN!AD399,HN!AJ399,HN!AP399)))</f>
        <v>0</v>
      </c>
      <c r="C399">
        <f>SUMPRODUCT((MONTH(CHOOSE({1,2,3,4},HN!U399,HN!AA399,HN!AG399,HN!AM399))=3)*(CHOOSE({1,2,3,4},HN!X399,HN!AD399,HN!AJ399,HN!AP399)))</f>
        <v>0</v>
      </c>
      <c r="D399">
        <f>SUMPRODUCT((MONTH(CHOOSE({1,2,3,4},HN!U399,HN!AA399,HN!AG399,HN!AM399))=4)*(CHOOSE({1,2,3,4},HN!X399,HN!AD399,HN!AJ399,HN!AP399)))</f>
        <v>0</v>
      </c>
      <c r="E399">
        <f>SUMPRODUCT((MONTH(CHOOSE({1,2,3,4},HN!U399,HN!AA399,HN!AG399,HN!AM399))=5)*(CHOOSE({1,2,3,4},HN!X399,HN!AD399,HN!AJ399,HN!AP399)))</f>
        <v>0</v>
      </c>
      <c r="F399">
        <f>SUMPRODUCT((MONTH(CHOOSE({1,2,3,4},HN!U399,HN!AA399,HN!AG399,HN!AM399))=6)*(CHOOSE({1,2,3,4},HN!X399,HN!AD399,HN!AJ399,HN!AP399)))</f>
        <v>0</v>
      </c>
      <c r="G399">
        <f>SUMPRODUCT((MONTH(CHOOSE({1,2,3,4},HN!U399,HN!AA399,HN!AG399,HN!AM399))=7)*(CHOOSE({1,2,3,4},HN!X399,HN!AD399,HN!AJ399,HN!AP399)))</f>
        <v>0</v>
      </c>
      <c r="H399">
        <f>SUMPRODUCT((MONTH(CHOOSE({1,2,3,4},HN!U399,HN!AA399,HN!AG399,HN!AM399))=8)*(CHOOSE({1,2,3,4},HN!X399,HN!AD399,HN!AJ399,HN!AP399)))</f>
        <v>0</v>
      </c>
      <c r="I399">
        <f>SUMPRODUCT((MONTH(CHOOSE({1,2,3,4},HN!U399,HN!AA399,HN!AG399,HN!AM399))=9)*(CHOOSE({1,2,3,4},HN!X399,HN!AD399,HN!AJ399,HN!AP399)))</f>
        <v>0</v>
      </c>
      <c r="J399">
        <f>SUMPRODUCT((MONTH(CHOOSE({1,2,3,4},HN!U399,HN!AA399,HN!AG399,HN!AM399))=10)*(CHOOSE({1,2,3,4},HN!X399,HN!AD399,HN!AJ399,HN!AP399)))</f>
        <v>0</v>
      </c>
      <c r="K399">
        <f>SUMPRODUCT((MONTH(CHOOSE({1,2,3,4},HN!U399,HN!AA399,HN!AG399,HN!AM399))=11)*(CHOOSE({1,2,3,4},HN!X399,HN!AD399,HN!AJ399,HN!AP399)))</f>
        <v>0</v>
      </c>
      <c r="L399">
        <f>SUMPRODUCT((MONTH(CHOOSE({1,2,3,4},HN!U399,HN!AA399,HN!AG399,HN!AM399))=12)*(CHOOSE({1,2,3,4},HN!X399,HN!AD399,HN!AJ399,HN!AP399)))</f>
        <v>0</v>
      </c>
    </row>
    <row r="400" spans="1:12">
      <c r="A400">
        <f>SUMPRODUCT((MONTH(CHOOSE({1,2,3,4},HN!U400,HN!AA400,HN!AG400,HN!AM400))=1)*(CHOOSE({1,2,3,4},HN!X400,HN!AD400,HN!AJ400,HN!AP400)))</f>
        <v>0</v>
      </c>
      <c r="B400">
        <f>SUMPRODUCT((MONTH(CHOOSE({1,2,3,4},HN!U400,HN!AA400,HN!AG400,HN!AM400))=2)*(CHOOSE({1,2,3,4},HN!X400,HN!AD400,HN!AJ400,HN!AP400)))</f>
        <v>0</v>
      </c>
      <c r="C400">
        <f>SUMPRODUCT((MONTH(CHOOSE({1,2,3,4},HN!U400,HN!AA400,HN!AG400,HN!AM400))=3)*(CHOOSE({1,2,3,4},HN!X400,HN!AD400,HN!AJ400,HN!AP400)))</f>
        <v>0</v>
      </c>
      <c r="D400">
        <f>SUMPRODUCT((MONTH(CHOOSE({1,2,3,4},HN!U400,HN!AA400,HN!AG400,HN!AM400))=4)*(CHOOSE({1,2,3,4},HN!X400,HN!AD400,HN!AJ400,HN!AP400)))</f>
        <v>0</v>
      </c>
      <c r="E400">
        <f>SUMPRODUCT((MONTH(CHOOSE({1,2,3,4},HN!U400,HN!AA400,HN!AG400,HN!AM400))=5)*(CHOOSE({1,2,3,4},HN!X400,HN!AD400,HN!AJ400,HN!AP400)))</f>
        <v>0</v>
      </c>
      <c r="F400">
        <f>SUMPRODUCT((MONTH(CHOOSE({1,2,3,4},HN!U400,HN!AA400,HN!AG400,HN!AM400))=6)*(CHOOSE({1,2,3,4},HN!X400,HN!AD400,HN!AJ400,HN!AP400)))</f>
        <v>0</v>
      </c>
      <c r="G400">
        <f>SUMPRODUCT((MONTH(CHOOSE({1,2,3,4},HN!U400,HN!AA400,HN!AG400,HN!AM400))=7)*(CHOOSE({1,2,3,4},HN!X400,HN!AD400,HN!AJ400,HN!AP400)))</f>
        <v>0</v>
      </c>
      <c r="H400">
        <f>SUMPRODUCT((MONTH(CHOOSE({1,2,3,4},HN!U400,HN!AA400,HN!AG400,HN!AM400))=8)*(CHOOSE({1,2,3,4},HN!X400,HN!AD400,HN!AJ400,HN!AP400)))</f>
        <v>0</v>
      </c>
      <c r="I400">
        <f>SUMPRODUCT((MONTH(CHOOSE({1,2,3,4},HN!U400,HN!AA400,HN!AG400,HN!AM400))=9)*(CHOOSE({1,2,3,4},HN!X400,HN!AD400,HN!AJ400,HN!AP400)))</f>
        <v>0</v>
      </c>
      <c r="J400">
        <f>SUMPRODUCT((MONTH(CHOOSE({1,2,3,4},HN!U400,HN!AA400,HN!AG400,HN!AM400))=10)*(CHOOSE({1,2,3,4},HN!X400,HN!AD400,HN!AJ400,HN!AP400)))</f>
        <v>0</v>
      </c>
      <c r="K400">
        <f>SUMPRODUCT((MONTH(CHOOSE({1,2,3,4},HN!U400,HN!AA400,HN!AG400,HN!AM400))=11)*(CHOOSE({1,2,3,4},HN!X400,HN!AD400,HN!AJ400,HN!AP400)))</f>
        <v>0</v>
      </c>
      <c r="L400">
        <f>SUMPRODUCT((MONTH(CHOOSE({1,2,3,4},HN!U400,HN!AA400,HN!AG400,HN!AM400))=12)*(CHOOSE({1,2,3,4},HN!X400,HN!AD400,HN!AJ400,HN!AP400)))</f>
        <v>0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0"/>
  <dimension ref="A1:L400"/>
  <sheetViews>
    <sheetView workbookViewId="0">
      <selection activeCell="D10" sqref="D10"/>
    </sheetView>
  </sheetViews>
  <sheetFormatPr defaultRowHeight="12.75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40" customFormat="1">
      <c r="A2" s="40">
        <f>SUM(A3:A444)</f>
        <v>0</v>
      </c>
      <c r="B2" s="40">
        <f t="shared" ref="B2:L2" si="1">SUM(B3:B444)</f>
        <v>0</v>
      </c>
      <c r="C2" s="40">
        <f t="shared" si="1"/>
        <v>0</v>
      </c>
      <c r="D2" s="40">
        <f t="shared" si="1"/>
        <v>0</v>
      </c>
      <c r="E2" s="40">
        <f t="shared" si="1"/>
        <v>0</v>
      </c>
      <c r="F2" s="40">
        <f t="shared" si="1"/>
        <v>0</v>
      </c>
      <c r="G2" s="40">
        <f t="shared" si="1"/>
        <v>0</v>
      </c>
      <c r="H2" s="40">
        <f t="shared" si="1"/>
        <v>0</v>
      </c>
      <c r="I2" s="40">
        <f t="shared" si="1"/>
        <v>0</v>
      </c>
      <c r="J2" s="40">
        <f t="shared" si="1"/>
        <v>0</v>
      </c>
      <c r="K2" s="40">
        <f t="shared" si="1"/>
        <v>0</v>
      </c>
      <c r="L2" s="40">
        <f t="shared" si="1"/>
        <v>0</v>
      </c>
    </row>
    <row r="3" spans="1:12" ht="15.75" customHeight="1">
      <c r="A3">
        <f>SUMPRODUCT((MONTH(CHOOSE({1,2,3,4},NĐ!U3,NĐ!AA3,NĐ!AG3,NĐ!AM3))=1)*(CHOOSE({1,2,3,4},NĐ!X3,NĐ!AD3,NĐ!AJ3,NĐ!AP3)))</f>
        <v>0</v>
      </c>
      <c r="B3">
        <f>SUMPRODUCT((MONTH(CHOOSE({1,2,3,4},NĐ!U3,NĐ!AA3,NĐ!AG3,NĐ!AM3))=2)*(CHOOSE({1,2,3,4},NĐ!X3,NĐ!AD3,NĐ!AJ3,NĐ!AP3)))</f>
        <v>0</v>
      </c>
      <c r="C3">
        <f>SUMPRODUCT((MONTH(CHOOSE({1,2,3,4},NĐ!U3,NĐ!AA3,NĐ!AG3,NĐ!AM3))=3)*(CHOOSE({1,2,3,4},NĐ!X3,NĐ!AD3,NĐ!AJ3,NĐ!AP3)))</f>
        <v>0</v>
      </c>
      <c r="D3">
        <f>SUMPRODUCT((MONTH(CHOOSE({1,2,3,4},NĐ!U3,NĐ!AA3,NĐ!AG3,NĐ!AM3))=4)*(CHOOSE({1,2,3,4},NĐ!X3,NĐ!AD3,NĐ!AJ3,NĐ!AP3)))</f>
        <v>0</v>
      </c>
      <c r="E3">
        <f>SUMPRODUCT((MONTH(CHOOSE({1,2,3,4},NĐ!U3,NĐ!AA3,NĐ!AG3,NĐ!AM3))=5)*(CHOOSE({1,2,3,4},NĐ!X3,NĐ!AD3,NĐ!AJ3,NĐ!AP3)))</f>
        <v>0</v>
      </c>
      <c r="F3">
        <f>SUMPRODUCT((MONTH(CHOOSE({1,2,3,4},NĐ!U3,NĐ!AA3,NĐ!AG3,NĐ!AM3))=6)*(CHOOSE({1,2,3,4},NĐ!X3,NĐ!AD3,NĐ!AJ3,NĐ!AP3)))</f>
        <v>0</v>
      </c>
      <c r="G3">
        <f>SUMPRODUCT((MONTH(CHOOSE({1,2,3,4},NĐ!U3,NĐ!AA3,NĐ!AG3,NĐ!AM3))=7)*(CHOOSE({1,2,3,4},NĐ!X3,NĐ!AD3,NĐ!AJ3,NĐ!AP3)))</f>
        <v>0</v>
      </c>
      <c r="H3">
        <f>SUMPRODUCT((MONTH(CHOOSE({1,2,3,4},NĐ!U3,NĐ!AA3,NĐ!AG3,NĐ!AM3))=8)*(CHOOSE({1,2,3,4},NĐ!X3,NĐ!AD3,NĐ!AJ3,NĐ!AP3)))</f>
        <v>0</v>
      </c>
      <c r="I3">
        <f>SUMPRODUCT((MONTH(CHOOSE({1,2,3,4},NĐ!U3,NĐ!AA3,NĐ!AG3,NĐ!AM3))=9)*(CHOOSE({1,2,3,4},NĐ!X3,NĐ!AD3,NĐ!AJ3,NĐ!AP3)))</f>
        <v>0</v>
      </c>
      <c r="J3">
        <f>SUMPRODUCT((MONTH(CHOOSE({1,2,3,4},NĐ!U3,NĐ!AA3,NĐ!AG3,NĐ!AM3))=10)*(CHOOSE({1,2,3,4},NĐ!X3,NĐ!AD3,NĐ!AJ3,NĐ!AP3)))</f>
        <v>0</v>
      </c>
      <c r="K3">
        <f>SUMPRODUCT((MONTH(CHOOSE({1,2,3,4},NĐ!U3,NĐ!AA3,NĐ!AG3,NĐ!AM3))=11)*(CHOOSE({1,2,3,4},NĐ!X3,NĐ!AD3,NĐ!AJ3,NĐ!AP3)))</f>
        <v>0</v>
      </c>
      <c r="L3">
        <f>SUMPRODUCT((MONTH(CHOOSE({1,2,3,4},NĐ!U3,NĐ!AA3,NĐ!AG3,NĐ!AM3))=12)*(CHOOSE({1,2,3,4},NĐ!X3,NĐ!AD3,NĐ!AJ3,NĐ!AP3)))</f>
        <v>0</v>
      </c>
    </row>
    <row r="4" spans="1:12">
      <c r="A4">
        <f>SUMPRODUCT((MONTH(CHOOSE({1,2,3,4},NĐ!U4,NĐ!AA4,NĐ!AG4,NĐ!AM4))=1)*(CHOOSE({1,2,3,4},NĐ!X4,NĐ!AD4,NĐ!AJ4,NĐ!AP4)))</f>
        <v>0</v>
      </c>
      <c r="B4">
        <f>SUMPRODUCT((MONTH(CHOOSE({1,2,3,4},NĐ!U4,NĐ!AA4,NĐ!AG4,NĐ!AM4))=2)*(CHOOSE({1,2,3,4},NĐ!X4,NĐ!AD4,NĐ!AJ4,NĐ!AP4)))</f>
        <v>0</v>
      </c>
      <c r="C4">
        <f>SUMPRODUCT((MONTH(CHOOSE({1,2,3,4},NĐ!U4,NĐ!AA4,NĐ!AG4,NĐ!AM4))=3)*(CHOOSE({1,2,3,4},NĐ!X4,NĐ!AD4,NĐ!AJ4,NĐ!AP4)))</f>
        <v>0</v>
      </c>
      <c r="D4">
        <f>SUMPRODUCT((MONTH(CHOOSE({1,2,3,4},NĐ!U4,NĐ!AA4,NĐ!AG4,NĐ!AM4))=4)*(CHOOSE({1,2,3,4},NĐ!X4,NĐ!AD4,NĐ!AJ4,NĐ!AP4)))</f>
        <v>0</v>
      </c>
      <c r="E4">
        <f>SUMPRODUCT((MONTH(CHOOSE({1,2,3,4},NĐ!U4,NĐ!AA4,NĐ!AG4,NĐ!AM4))=5)*(CHOOSE({1,2,3,4},NĐ!X4,NĐ!AD4,NĐ!AJ4,NĐ!AP4)))</f>
        <v>0</v>
      </c>
      <c r="F4">
        <f>SUMPRODUCT((MONTH(CHOOSE({1,2,3,4},NĐ!U4,NĐ!AA4,NĐ!AG4,NĐ!AM4))=6)*(CHOOSE({1,2,3,4},NĐ!X4,NĐ!AD4,NĐ!AJ4,NĐ!AP4)))</f>
        <v>0</v>
      </c>
      <c r="G4">
        <f>SUMPRODUCT((MONTH(CHOOSE({1,2,3,4},NĐ!U4,NĐ!AA4,NĐ!AG4,NĐ!AM4))=7)*(CHOOSE({1,2,3,4},NĐ!X4,NĐ!AD4,NĐ!AJ4,NĐ!AP4)))</f>
        <v>0</v>
      </c>
      <c r="H4">
        <f>SUMPRODUCT((MONTH(CHOOSE({1,2,3,4},NĐ!U4,NĐ!AA4,NĐ!AG4,NĐ!AM4))=8)*(CHOOSE({1,2,3,4},NĐ!X4,NĐ!AD4,NĐ!AJ4,NĐ!AP4)))</f>
        <v>0</v>
      </c>
      <c r="I4">
        <f>SUMPRODUCT((MONTH(CHOOSE({1,2,3,4},NĐ!U4,NĐ!AA4,NĐ!AG4,NĐ!AM4))=9)*(CHOOSE({1,2,3,4},NĐ!X4,NĐ!AD4,NĐ!AJ4,NĐ!AP4)))</f>
        <v>0</v>
      </c>
      <c r="J4">
        <f>SUMPRODUCT((MONTH(CHOOSE({1,2,3,4},NĐ!U4,NĐ!AA4,NĐ!AG4,NĐ!AM4))=10)*(CHOOSE({1,2,3,4},NĐ!X4,NĐ!AD4,NĐ!AJ4,NĐ!AP4)))</f>
        <v>0</v>
      </c>
      <c r="K4">
        <f>SUMPRODUCT((MONTH(CHOOSE({1,2,3,4},NĐ!U4,NĐ!AA4,NĐ!AG4,NĐ!AM4))=11)*(CHOOSE({1,2,3,4},NĐ!X4,NĐ!AD4,NĐ!AJ4,NĐ!AP4)))</f>
        <v>0</v>
      </c>
      <c r="L4">
        <f>SUMPRODUCT((MONTH(CHOOSE({1,2,3,4},NĐ!U4,NĐ!AA4,NĐ!AG4,NĐ!AM4))=12)*(CHOOSE({1,2,3,4},NĐ!X4,NĐ!AD4,NĐ!AJ4,NĐ!AP4)))</f>
        <v>0</v>
      </c>
    </row>
    <row r="5" spans="1:12">
      <c r="A5">
        <f>SUMPRODUCT((MONTH(CHOOSE({1,2,3,4},NĐ!U5,NĐ!AA5,NĐ!AG5,NĐ!AM5))=1)*(CHOOSE({1,2,3,4},NĐ!X5,NĐ!AD5,NĐ!AJ5,NĐ!AP5)))</f>
        <v>0</v>
      </c>
      <c r="B5">
        <f>SUMPRODUCT((MONTH(CHOOSE({1,2,3,4},NĐ!U5,NĐ!AA5,NĐ!AG5,NĐ!AM5))=2)*(CHOOSE({1,2,3,4},NĐ!X5,NĐ!AD5,NĐ!AJ5,NĐ!AP5)))</f>
        <v>0</v>
      </c>
      <c r="C5">
        <f>SUMPRODUCT((MONTH(CHOOSE({1,2,3,4},NĐ!U5,NĐ!AA5,NĐ!AG5,NĐ!AM5))=3)*(CHOOSE({1,2,3,4},NĐ!X5,NĐ!AD5,NĐ!AJ5,NĐ!AP5)))</f>
        <v>0</v>
      </c>
      <c r="D5">
        <f>SUMPRODUCT((MONTH(CHOOSE({1,2,3,4},NĐ!U5,NĐ!AA5,NĐ!AG5,NĐ!AM5))=4)*(CHOOSE({1,2,3,4},NĐ!X5,NĐ!AD5,NĐ!AJ5,NĐ!AP5)))</f>
        <v>0</v>
      </c>
      <c r="E5">
        <f>SUMPRODUCT((MONTH(CHOOSE({1,2,3,4},NĐ!U5,NĐ!AA5,NĐ!AG5,NĐ!AM5))=5)*(CHOOSE({1,2,3,4},NĐ!X5,NĐ!AD5,NĐ!AJ5,NĐ!AP5)))</f>
        <v>0</v>
      </c>
      <c r="F5">
        <f>SUMPRODUCT((MONTH(CHOOSE({1,2,3,4},NĐ!U5,NĐ!AA5,NĐ!AG5,NĐ!AM5))=6)*(CHOOSE({1,2,3,4},NĐ!X5,NĐ!AD5,NĐ!AJ5,NĐ!AP5)))</f>
        <v>0</v>
      </c>
      <c r="G5">
        <f>SUMPRODUCT((MONTH(CHOOSE({1,2,3,4},NĐ!U5,NĐ!AA5,NĐ!AG5,NĐ!AM5))=7)*(CHOOSE({1,2,3,4},NĐ!X5,NĐ!AD5,NĐ!AJ5,NĐ!AP5)))</f>
        <v>0</v>
      </c>
      <c r="H5">
        <f>SUMPRODUCT((MONTH(CHOOSE({1,2,3,4},NĐ!U5,NĐ!AA5,NĐ!AG5,NĐ!AM5))=8)*(CHOOSE({1,2,3,4},NĐ!X5,NĐ!AD5,NĐ!AJ5,NĐ!AP5)))</f>
        <v>0</v>
      </c>
      <c r="I5">
        <f>SUMPRODUCT((MONTH(CHOOSE({1,2,3,4},NĐ!U5,NĐ!AA5,NĐ!AG5,NĐ!AM5))=9)*(CHOOSE({1,2,3,4},NĐ!X5,NĐ!AD5,NĐ!AJ5,NĐ!AP5)))</f>
        <v>0</v>
      </c>
      <c r="J5">
        <f>SUMPRODUCT((MONTH(CHOOSE({1,2,3,4},NĐ!U5,NĐ!AA5,NĐ!AG5,NĐ!AM5))=10)*(CHOOSE({1,2,3,4},NĐ!X5,NĐ!AD5,NĐ!AJ5,NĐ!AP5)))</f>
        <v>0</v>
      </c>
      <c r="K5">
        <f>SUMPRODUCT((MONTH(CHOOSE({1,2,3,4},NĐ!U5,NĐ!AA5,NĐ!AG5,NĐ!AM5))=11)*(CHOOSE({1,2,3,4},NĐ!X5,NĐ!AD5,NĐ!AJ5,NĐ!AP5)))</f>
        <v>0</v>
      </c>
      <c r="L5">
        <f>SUMPRODUCT((MONTH(CHOOSE({1,2,3,4},NĐ!U5,NĐ!AA5,NĐ!AG5,NĐ!AM5))=12)*(CHOOSE({1,2,3,4},NĐ!X5,NĐ!AD5,NĐ!AJ5,NĐ!AP5)))</f>
        <v>0</v>
      </c>
    </row>
    <row r="6" spans="1:12">
      <c r="A6">
        <f>SUMPRODUCT((MONTH(CHOOSE({1,2,3,4},NĐ!U6,NĐ!AA6,NĐ!AG6,NĐ!AM6))=1)*(CHOOSE({1,2,3,4},NĐ!X6,NĐ!AD6,NĐ!AJ6,NĐ!AP6)))</f>
        <v>0</v>
      </c>
      <c r="B6">
        <f>SUMPRODUCT((MONTH(CHOOSE({1,2,3,4},NĐ!U6,NĐ!AA6,NĐ!AG6,NĐ!AM6))=2)*(CHOOSE({1,2,3,4},NĐ!X6,NĐ!AD6,NĐ!AJ6,NĐ!AP6)))</f>
        <v>0</v>
      </c>
      <c r="C6">
        <f>SUMPRODUCT((MONTH(CHOOSE({1,2,3,4},NĐ!U6,NĐ!AA6,NĐ!AG6,NĐ!AM6))=3)*(CHOOSE({1,2,3,4},NĐ!X6,NĐ!AD6,NĐ!AJ6,NĐ!AP6)))</f>
        <v>0</v>
      </c>
      <c r="D6">
        <f>SUMPRODUCT((MONTH(CHOOSE({1,2,3,4},NĐ!U6,NĐ!AA6,NĐ!AG6,NĐ!AM6))=4)*(CHOOSE({1,2,3,4},NĐ!X6,NĐ!AD6,NĐ!AJ6,NĐ!AP6)))</f>
        <v>0</v>
      </c>
      <c r="E6">
        <f>SUMPRODUCT((MONTH(CHOOSE({1,2,3,4},NĐ!U6,NĐ!AA6,NĐ!AG6,NĐ!AM6))=5)*(CHOOSE({1,2,3,4},NĐ!X6,NĐ!AD6,NĐ!AJ6,NĐ!AP6)))</f>
        <v>0</v>
      </c>
      <c r="F6">
        <f>SUMPRODUCT((MONTH(CHOOSE({1,2,3,4},NĐ!U6,NĐ!AA6,NĐ!AG6,NĐ!AM6))=6)*(CHOOSE({1,2,3,4},NĐ!X6,NĐ!AD6,NĐ!AJ6,NĐ!AP6)))</f>
        <v>0</v>
      </c>
      <c r="G6">
        <f>SUMPRODUCT((MONTH(CHOOSE({1,2,3,4},NĐ!U6,NĐ!AA6,NĐ!AG6,NĐ!AM6))=7)*(CHOOSE({1,2,3,4},NĐ!X6,NĐ!AD6,NĐ!AJ6,NĐ!AP6)))</f>
        <v>0</v>
      </c>
      <c r="H6">
        <f>SUMPRODUCT((MONTH(CHOOSE({1,2,3,4},NĐ!U6,NĐ!AA6,NĐ!AG6,NĐ!AM6))=8)*(CHOOSE({1,2,3,4},NĐ!X6,NĐ!AD6,NĐ!AJ6,NĐ!AP6)))</f>
        <v>0</v>
      </c>
      <c r="I6">
        <f>SUMPRODUCT((MONTH(CHOOSE({1,2,3,4},NĐ!U6,NĐ!AA6,NĐ!AG6,NĐ!AM6))=9)*(CHOOSE({1,2,3,4},NĐ!X6,NĐ!AD6,NĐ!AJ6,NĐ!AP6)))</f>
        <v>0</v>
      </c>
      <c r="J6">
        <f>SUMPRODUCT((MONTH(CHOOSE({1,2,3,4},NĐ!U6,NĐ!AA6,NĐ!AG6,NĐ!AM6))=10)*(CHOOSE({1,2,3,4},NĐ!X6,NĐ!AD6,NĐ!AJ6,NĐ!AP6)))</f>
        <v>0</v>
      </c>
      <c r="K6">
        <f>SUMPRODUCT((MONTH(CHOOSE({1,2,3,4},NĐ!U6,NĐ!AA6,NĐ!AG6,NĐ!AM6))=11)*(CHOOSE({1,2,3,4},NĐ!X6,NĐ!AD6,NĐ!AJ6,NĐ!AP6)))</f>
        <v>0</v>
      </c>
      <c r="L6">
        <f>SUMPRODUCT((MONTH(CHOOSE({1,2,3,4},NĐ!U6,NĐ!AA6,NĐ!AG6,NĐ!AM6))=12)*(CHOOSE({1,2,3,4},NĐ!X6,NĐ!AD6,NĐ!AJ6,NĐ!AP6)))</f>
        <v>0</v>
      </c>
    </row>
    <row r="7" spans="1:12">
      <c r="A7">
        <f>SUMPRODUCT((MONTH(CHOOSE({1,2,3,4},NĐ!U7,NĐ!AA7,NĐ!AG7,NĐ!AM7))=1)*(CHOOSE({1,2,3,4},NĐ!X7,NĐ!AD7,NĐ!AJ7,NĐ!AP7)))</f>
        <v>0</v>
      </c>
      <c r="B7">
        <f>SUMPRODUCT((MONTH(CHOOSE({1,2,3,4},NĐ!U7,NĐ!AA7,NĐ!AG7,NĐ!AM7))=2)*(CHOOSE({1,2,3,4},NĐ!X7,NĐ!AD7,NĐ!AJ7,NĐ!AP7)))</f>
        <v>0</v>
      </c>
      <c r="C7">
        <f>SUMPRODUCT((MONTH(CHOOSE({1,2,3,4},NĐ!U7,NĐ!AA7,NĐ!AG7,NĐ!AM7))=3)*(CHOOSE({1,2,3,4},NĐ!X7,NĐ!AD7,NĐ!AJ7,NĐ!AP7)))</f>
        <v>0</v>
      </c>
      <c r="D7">
        <f>SUMPRODUCT((MONTH(CHOOSE({1,2,3,4},NĐ!U7,NĐ!AA7,NĐ!AG7,NĐ!AM7))=4)*(CHOOSE({1,2,3,4},NĐ!X7,NĐ!AD7,NĐ!AJ7,NĐ!AP7)))</f>
        <v>0</v>
      </c>
      <c r="E7">
        <f>SUMPRODUCT((MONTH(CHOOSE({1,2,3,4},NĐ!U7,NĐ!AA7,NĐ!AG7,NĐ!AM7))=5)*(CHOOSE({1,2,3,4},NĐ!X7,NĐ!AD7,NĐ!AJ7,NĐ!AP7)))</f>
        <v>0</v>
      </c>
      <c r="F7">
        <f>SUMPRODUCT((MONTH(CHOOSE({1,2,3,4},NĐ!U7,NĐ!AA7,NĐ!AG7,NĐ!AM7))=6)*(CHOOSE({1,2,3,4},NĐ!X7,NĐ!AD7,NĐ!AJ7,NĐ!AP7)))</f>
        <v>0</v>
      </c>
      <c r="G7">
        <f>SUMPRODUCT((MONTH(CHOOSE({1,2,3,4},NĐ!U7,NĐ!AA7,NĐ!AG7,NĐ!AM7))=7)*(CHOOSE({1,2,3,4},NĐ!X7,NĐ!AD7,NĐ!AJ7,NĐ!AP7)))</f>
        <v>0</v>
      </c>
      <c r="H7">
        <f>SUMPRODUCT((MONTH(CHOOSE({1,2,3,4},NĐ!U7,NĐ!AA7,NĐ!AG7,NĐ!AM7))=8)*(CHOOSE({1,2,3,4},NĐ!X7,NĐ!AD7,NĐ!AJ7,NĐ!AP7)))</f>
        <v>0</v>
      </c>
      <c r="I7">
        <f>SUMPRODUCT((MONTH(CHOOSE({1,2,3,4},NĐ!U7,NĐ!AA7,NĐ!AG7,NĐ!AM7))=9)*(CHOOSE({1,2,3,4},NĐ!X7,NĐ!AD7,NĐ!AJ7,NĐ!AP7)))</f>
        <v>0</v>
      </c>
      <c r="J7">
        <f>SUMPRODUCT((MONTH(CHOOSE({1,2,3,4},NĐ!U7,NĐ!AA7,NĐ!AG7,NĐ!AM7))=10)*(CHOOSE({1,2,3,4},NĐ!X7,NĐ!AD7,NĐ!AJ7,NĐ!AP7)))</f>
        <v>0</v>
      </c>
      <c r="K7">
        <f>SUMPRODUCT((MONTH(CHOOSE({1,2,3,4},NĐ!U7,NĐ!AA7,NĐ!AG7,NĐ!AM7))=11)*(CHOOSE({1,2,3,4},NĐ!X7,NĐ!AD7,NĐ!AJ7,NĐ!AP7)))</f>
        <v>0</v>
      </c>
      <c r="L7">
        <f>SUMPRODUCT((MONTH(CHOOSE({1,2,3,4},NĐ!U7,NĐ!AA7,NĐ!AG7,NĐ!AM7))=12)*(CHOOSE({1,2,3,4},NĐ!X7,NĐ!AD7,NĐ!AJ7,NĐ!AP7)))</f>
        <v>0</v>
      </c>
    </row>
    <row r="8" spans="1:12">
      <c r="A8">
        <f>SUMPRODUCT((MONTH(CHOOSE({1,2,3,4},NĐ!U8,NĐ!AA8,NĐ!AG8,NĐ!AM8))=1)*(CHOOSE({1,2,3,4},NĐ!X8,NĐ!AD8,NĐ!AJ8,NĐ!AP8)))</f>
        <v>0</v>
      </c>
      <c r="B8">
        <f>SUMPRODUCT((MONTH(CHOOSE({1,2,3,4},NĐ!U8,NĐ!AA8,NĐ!AG8,NĐ!AM8))=2)*(CHOOSE({1,2,3,4},NĐ!X8,NĐ!AD8,NĐ!AJ8,NĐ!AP8)))</f>
        <v>0</v>
      </c>
      <c r="C8">
        <f>SUMPRODUCT((MONTH(CHOOSE({1,2,3,4},NĐ!U8,NĐ!AA8,NĐ!AG8,NĐ!AM8))=3)*(CHOOSE({1,2,3,4},NĐ!X8,NĐ!AD8,NĐ!AJ8,NĐ!AP8)))</f>
        <v>0</v>
      </c>
      <c r="D8">
        <f>SUMPRODUCT((MONTH(CHOOSE({1,2,3,4},NĐ!U8,NĐ!AA8,NĐ!AG8,NĐ!AM8))=4)*(CHOOSE({1,2,3,4},NĐ!X8,NĐ!AD8,NĐ!AJ8,NĐ!AP8)))</f>
        <v>0</v>
      </c>
      <c r="E8">
        <f>SUMPRODUCT((MONTH(CHOOSE({1,2,3,4},NĐ!U8,NĐ!AA8,NĐ!AG8,NĐ!AM8))=5)*(CHOOSE({1,2,3,4},NĐ!X8,NĐ!AD8,NĐ!AJ8,NĐ!AP8)))</f>
        <v>0</v>
      </c>
      <c r="F8">
        <f>SUMPRODUCT((MONTH(CHOOSE({1,2,3,4},NĐ!U8,NĐ!AA8,NĐ!AG8,NĐ!AM8))=6)*(CHOOSE({1,2,3,4},NĐ!X8,NĐ!AD8,NĐ!AJ8,NĐ!AP8)))</f>
        <v>0</v>
      </c>
      <c r="G8">
        <f>SUMPRODUCT((MONTH(CHOOSE({1,2,3,4},NĐ!U8,NĐ!AA8,NĐ!AG8,NĐ!AM8))=7)*(CHOOSE({1,2,3,4},NĐ!X8,NĐ!AD8,NĐ!AJ8,NĐ!AP8)))</f>
        <v>0</v>
      </c>
      <c r="H8">
        <f>SUMPRODUCT((MONTH(CHOOSE({1,2,3,4},NĐ!U8,NĐ!AA8,NĐ!AG8,NĐ!AM8))=8)*(CHOOSE({1,2,3,4},NĐ!X8,NĐ!AD8,NĐ!AJ8,NĐ!AP8)))</f>
        <v>0</v>
      </c>
      <c r="I8">
        <f>SUMPRODUCT((MONTH(CHOOSE({1,2,3,4},NĐ!U8,NĐ!AA8,NĐ!AG8,NĐ!AM8))=9)*(CHOOSE({1,2,3,4},NĐ!X8,NĐ!AD8,NĐ!AJ8,NĐ!AP8)))</f>
        <v>0</v>
      </c>
      <c r="J8">
        <f>SUMPRODUCT((MONTH(CHOOSE({1,2,3,4},NĐ!U8,NĐ!AA8,NĐ!AG8,NĐ!AM8))=10)*(CHOOSE({1,2,3,4},NĐ!X8,NĐ!AD8,NĐ!AJ8,NĐ!AP8)))</f>
        <v>0</v>
      </c>
      <c r="K8">
        <f>SUMPRODUCT((MONTH(CHOOSE({1,2,3,4},NĐ!U8,NĐ!AA8,NĐ!AG8,NĐ!AM8))=11)*(CHOOSE({1,2,3,4},NĐ!X8,NĐ!AD8,NĐ!AJ8,NĐ!AP8)))</f>
        <v>0</v>
      </c>
      <c r="L8">
        <f>SUMPRODUCT((MONTH(CHOOSE({1,2,3,4},NĐ!U8,NĐ!AA8,NĐ!AG8,NĐ!AM8))=12)*(CHOOSE({1,2,3,4},NĐ!X8,NĐ!AD8,NĐ!AJ8,NĐ!AP8)))</f>
        <v>0</v>
      </c>
    </row>
    <row r="9" spans="1:12">
      <c r="A9">
        <f>SUMPRODUCT((MONTH(CHOOSE({1,2,3,4},NĐ!U9,NĐ!AA9,NĐ!AG9,NĐ!AM9))=1)*(CHOOSE({1,2,3,4},NĐ!X9,NĐ!AD9,NĐ!AJ9,NĐ!AP9)))</f>
        <v>0</v>
      </c>
      <c r="B9">
        <f>SUMPRODUCT((MONTH(CHOOSE({1,2,3,4},NĐ!U9,NĐ!AA9,NĐ!AG9,NĐ!AM9))=2)*(CHOOSE({1,2,3,4},NĐ!X9,NĐ!AD9,NĐ!AJ9,NĐ!AP9)))</f>
        <v>0</v>
      </c>
      <c r="C9">
        <f>SUMPRODUCT((MONTH(CHOOSE({1,2,3,4},NĐ!U9,NĐ!AA9,NĐ!AG9,NĐ!AM9))=3)*(CHOOSE({1,2,3,4},NĐ!X9,NĐ!AD9,NĐ!AJ9,NĐ!AP9)))</f>
        <v>0</v>
      </c>
      <c r="D9">
        <f>SUMPRODUCT((MONTH(CHOOSE({1,2,3,4},NĐ!U9,NĐ!AA9,NĐ!AG9,NĐ!AM9))=4)*(CHOOSE({1,2,3,4},NĐ!X9,NĐ!AD9,NĐ!AJ9,NĐ!AP9)))</f>
        <v>0</v>
      </c>
      <c r="E9">
        <f>SUMPRODUCT((MONTH(CHOOSE({1,2,3,4},NĐ!U9,NĐ!AA9,NĐ!AG9,NĐ!AM9))=5)*(CHOOSE({1,2,3,4},NĐ!X9,NĐ!AD9,NĐ!AJ9,NĐ!AP9)))</f>
        <v>0</v>
      </c>
      <c r="F9">
        <f>SUMPRODUCT((MONTH(CHOOSE({1,2,3,4},NĐ!U9,NĐ!AA9,NĐ!AG9,NĐ!AM9))=6)*(CHOOSE({1,2,3,4},NĐ!X9,NĐ!AD9,NĐ!AJ9,NĐ!AP9)))</f>
        <v>0</v>
      </c>
      <c r="G9">
        <f>SUMPRODUCT((MONTH(CHOOSE({1,2,3,4},NĐ!U9,NĐ!AA9,NĐ!AG9,NĐ!AM9))=7)*(CHOOSE({1,2,3,4},NĐ!X9,NĐ!AD9,NĐ!AJ9,NĐ!AP9)))</f>
        <v>0</v>
      </c>
      <c r="H9">
        <f>SUMPRODUCT((MONTH(CHOOSE({1,2,3,4},NĐ!U9,NĐ!AA9,NĐ!AG9,NĐ!AM9))=8)*(CHOOSE({1,2,3,4},NĐ!X9,NĐ!AD9,NĐ!AJ9,NĐ!AP9)))</f>
        <v>0</v>
      </c>
      <c r="I9">
        <f>SUMPRODUCT((MONTH(CHOOSE({1,2,3,4},NĐ!U9,NĐ!AA9,NĐ!AG9,NĐ!AM9))=9)*(CHOOSE({1,2,3,4},NĐ!X9,NĐ!AD9,NĐ!AJ9,NĐ!AP9)))</f>
        <v>0</v>
      </c>
      <c r="J9">
        <f>SUMPRODUCT((MONTH(CHOOSE({1,2,3,4},NĐ!U9,NĐ!AA9,NĐ!AG9,NĐ!AM9))=10)*(CHOOSE({1,2,3,4},NĐ!X9,NĐ!AD9,NĐ!AJ9,NĐ!AP9)))</f>
        <v>0</v>
      </c>
      <c r="K9">
        <f>SUMPRODUCT((MONTH(CHOOSE({1,2,3,4},NĐ!U9,NĐ!AA9,NĐ!AG9,NĐ!AM9))=11)*(CHOOSE({1,2,3,4},NĐ!X9,NĐ!AD9,NĐ!AJ9,NĐ!AP9)))</f>
        <v>0</v>
      </c>
      <c r="L9">
        <f>SUMPRODUCT((MONTH(CHOOSE({1,2,3,4},NĐ!U9,NĐ!AA9,NĐ!AG9,NĐ!AM9))=12)*(CHOOSE({1,2,3,4},NĐ!X9,NĐ!AD9,NĐ!AJ9,NĐ!AP9)))</f>
        <v>0</v>
      </c>
    </row>
    <row r="10" spans="1:12">
      <c r="A10">
        <f>SUMPRODUCT((MONTH(CHOOSE({1,2,3,4},NĐ!U10,NĐ!AA10,NĐ!AG10,NĐ!AM10))=1)*(CHOOSE({1,2,3,4},NĐ!X10,NĐ!AD10,NĐ!AJ10,NĐ!AP10)))</f>
        <v>0</v>
      </c>
      <c r="B10">
        <f>SUMPRODUCT((MONTH(CHOOSE({1,2,3,4},NĐ!U10,NĐ!AA10,NĐ!AG10,NĐ!AM10))=2)*(CHOOSE({1,2,3,4},NĐ!X10,NĐ!AD10,NĐ!AJ10,NĐ!AP10)))</f>
        <v>0</v>
      </c>
      <c r="C10">
        <f>SUMPRODUCT((MONTH(CHOOSE({1,2,3,4},NĐ!U10,NĐ!AA10,NĐ!AG10,NĐ!AM10))=3)*(CHOOSE({1,2,3,4},NĐ!X10,NĐ!AD10,NĐ!AJ10,NĐ!AP10)))</f>
        <v>0</v>
      </c>
      <c r="D10">
        <f>SUMPRODUCT((MONTH(CHOOSE({1,2,3,4},NĐ!U10,NĐ!AA10,NĐ!AG10,NĐ!AM10))=4)*(CHOOSE({1,2,3,4},NĐ!X10,NĐ!AD10,NĐ!AJ10,NĐ!AP10)))</f>
        <v>0</v>
      </c>
      <c r="E10">
        <f>SUMPRODUCT((MONTH(CHOOSE({1,2,3,4},NĐ!U10,NĐ!AA10,NĐ!AG10,NĐ!AM10))=5)*(CHOOSE({1,2,3,4},NĐ!X10,NĐ!AD10,NĐ!AJ10,NĐ!AP10)))</f>
        <v>0</v>
      </c>
      <c r="F10">
        <f>SUMPRODUCT((MONTH(CHOOSE({1,2,3,4},NĐ!U10,NĐ!AA10,NĐ!AG10,NĐ!AM10))=6)*(CHOOSE({1,2,3,4},NĐ!X10,NĐ!AD10,NĐ!AJ10,NĐ!AP10)))</f>
        <v>0</v>
      </c>
      <c r="G10">
        <f>SUMPRODUCT((MONTH(CHOOSE({1,2,3,4},NĐ!U10,NĐ!AA10,NĐ!AG10,NĐ!AM10))=7)*(CHOOSE({1,2,3,4},NĐ!X10,NĐ!AD10,NĐ!AJ10,NĐ!AP10)))</f>
        <v>0</v>
      </c>
      <c r="H10">
        <f>SUMPRODUCT((MONTH(CHOOSE({1,2,3,4},NĐ!U10,NĐ!AA10,NĐ!AG10,NĐ!AM10))=8)*(CHOOSE({1,2,3,4},NĐ!X10,NĐ!AD10,NĐ!AJ10,NĐ!AP10)))</f>
        <v>0</v>
      </c>
      <c r="I10">
        <f>SUMPRODUCT((MONTH(CHOOSE({1,2,3,4},NĐ!U10,NĐ!AA10,NĐ!AG10,NĐ!AM10))=9)*(CHOOSE({1,2,3,4},NĐ!X10,NĐ!AD10,NĐ!AJ10,NĐ!AP10)))</f>
        <v>0</v>
      </c>
      <c r="J10">
        <f>SUMPRODUCT((MONTH(CHOOSE({1,2,3,4},NĐ!U10,NĐ!AA10,NĐ!AG10,NĐ!AM10))=10)*(CHOOSE({1,2,3,4},NĐ!X10,NĐ!AD10,NĐ!AJ10,NĐ!AP10)))</f>
        <v>0</v>
      </c>
      <c r="K10">
        <f>SUMPRODUCT((MONTH(CHOOSE({1,2,3,4},NĐ!U10,NĐ!AA10,NĐ!AG10,NĐ!AM10))=11)*(CHOOSE({1,2,3,4},NĐ!X10,NĐ!AD10,NĐ!AJ10,NĐ!AP10)))</f>
        <v>0</v>
      </c>
      <c r="L10">
        <f>SUMPRODUCT((MONTH(CHOOSE({1,2,3,4},NĐ!U10,NĐ!AA10,NĐ!AG10,NĐ!AM10))=12)*(CHOOSE({1,2,3,4},NĐ!X10,NĐ!AD10,NĐ!AJ10,NĐ!AP10)))</f>
        <v>0</v>
      </c>
    </row>
    <row r="11" spans="1:12">
      <c r="A11">
        <f>SUMPRODUCT((MONTH(CHOOSE({1,2,3,4},NĐ!U11,NĐ!AA11,NĐ!AG11,NĐ!AM11))=1)*(CHOOSE({1,2,3,4},NĐ!X11,NĐ!AD11,NĐ!AJ11,NĐ!AP11)))</f>
        <v>0</v>
      </c>
      <c r="B11">
        <f>SUMPRODUCT((MONTH(CHOOSE({1,2,3,4},NĐ!U11,NĐ!AA11,NĐ!AG11,NĐ!AM11))=2)*(CHOOSE({1,2,3,4},NĐ!X11,NĐ!AD11,NĐ!AJ11,NĐ!AP11)))</f>
        <v>0</v>
      </c>
      <c r="C11">
        <f>SUMPRODUCT((MONTH(CHOOSE({1,2,3,4},NĐ!U11,NĐ!AA11,NĐ!AG11,NĐ!AM11))=3)*(CHOOSE({1,2,3,4},NĐ!X11,NĐ!AD11,NĐ!AJ11,NĐ!AP11)))</f>
        <v>0</v>
      </c>
      <c r="D11">
        <f>SUMPRODUCT((MONTH(CHOOSE({1,2,3,4},NĐ!U11,NĐ!AA11,NĐ!AG11,NĐ!AM11))=4)*(CHOOSE({1,2,3,4},NĐ!X11,NĐ!AD11,NĐ!AJ11,NĐ!AP11)))</f>
        <v>0</v>
      </c>
      <c r="E11">
        <f>SUMPRODUCT((MONTH(CHOOSE({1,2,3,4},NĐ!U11,NĐ!AA11,NĐ!AG11,NĐ!AM11))=5)*(CHOOSE({1,2,3,4},NĐ!X11,NĐ!AD11,NĐ!AJ11,NĐ!AP11)))</f>
        <v>0</v>
      </c>
      <c r="F11">
        <f>SUMPRODUCT((MONTH(CHOOSE({1,2,3,4},NĐ!U11,NĐ!AA11,NĐ!AG11,NĐ!AM11))=6)*(CHOOSE({1,2,3,4},NĐ!X11,NĐ!AD11,NĐ!AJ11,NĐ!AP11)))</f>
        <v>0</v>
      </c>
      <c r="G11">
        <f>SUMPRODUCT((MONTH(CHOOSE({1,2,3,4},NĐ!U11,NĐ!AA11,NĐ!AG11,NĐ!AM11))=7)*(CHOOSE({1,2,3,4},NĐ!X11,NĐ!AD11,NĐ!AJ11,NĐ!AP11)))</f>
        <v>0</v>
      </c>
      <c r="H11">
        <f>SUMPRODUCT((MONTH(CHOOSE({1,2,3,4},NĐ!U11,NĐ!AA11,NĐ!AG11,NĐ!AM11))=8)*(CHOOSE({1,2,3,4},NĐ!X11,NĐ!AD11,NĐ!AJ11,NĐ!AP11)))</f>
        <v>0</v>
      </c>
      <c r="I11">
        <f>SUMPRODUCT((MONTH(CHOOSE({1,2,3,4},NĐ!U11,NĐ!AA11,NĐ!AG11,NĐ!AM11))=9)*(CHOOSE({1,2,3,4},NĐ!X11,NĐ!AD11,NĐ!AJ11,NĐ!AP11)))</f>
        <v>0</v>
      </c>
      <c r="J11">
        <f>SUMPRODUCT((MONTH(CHOOSE({1,2,3,4},NĐ!U11,NĐ!AA11,NĐ!AG11,NĐ!AM11))=10)*(CHOOSE({1,2,3,4},NĐ!X11,NĐ!AD11,NĐ!AJ11,NĐ!AP11)))</f>
        <v>0</v>
      </c>
      <c r="K11">
        <f>SUMPRODUCT((MONTH(CHOOSE({1,2,3,4},NĐ!U11,NĐ!AA11,NĐ!AG11,NĐ!AM11))=11)*(CHOOSE({1,2,3,4},NĐ!X11,NĐ!AD11,NĐ!AJ11,NĐ!AP11)))</f>
        <v>0</v>
      </c>
      <c r="L11">
        <f>SUMPRODUCT((MONTH(CHOOSE({1,2,3,4},NĐ!U11,NĐ!AA11,NĐ!AG11,NĐ!AM11))=12)*(CHOOSE({1,2,3,4},NĐ!X11,NĐ!AD11,NĐ!AJ11,NĐ!AP11)))</f>
        <v>0</v>
      </c>
    </row>
    <row r="12" spans="1:12">
      <c r="A12">
        <f>SUMPRODUCT((MONTH(CHOOSE({1,2,3,4},NĐ!U12,NĐ!AA12,NĐ!AG12,NĐ!AM12))=1)*(CHOOSE({1,2,3,4},NĐ!X12,NĐ!AD12,NĐ!AJ12,NĐ!AP12)))</f>
        <v>0</v>
      </c>
      <c r="B12">
        <f>SUMPRODUCT((MONTH(CHOOSE({1,2,3,4},NĐ!U12,NĐ!AA12,NĐ!AG12,NĐ!AM12))=2)*(CHOOSE({1,2,3,4},NĐ!X12,NĐ!AD12,NĐ!AJ12,NĐ!AP12)))</f>
        <v>0</v>
      </c>
      <c r="C12">
        <f>SUMPRODUCT((MONTH(CHOOSE({1,2,3,4},NĐ!U12,NĐ!AA12,NĐ!AG12,NĐ!AM12))=3)*(CHOOSE({1,2,3,4},NĐ!X12,NĐ!AD12,NĐ!AJ12,NĐ!AP12)))</f>
        <v>0</v>
      </c>
      <c r="D12">
        <f>SUMPRODUCT((MONTH(CHOOSE({1,2,3,4},NĐ!U12,NĐ!AA12,NĐ!AG12,NĐ!AM12))=4)*(CHOOSE({1,2,3,4},NĐ!X12,NĐ!AD12,NĐ!AJ12,NĐ!AP12)))</f>
        <v>0</v>
      </c>
      <c r="E12">
        <f>SUMPRODUCT((MONTH(CHOOSE({1,2,3,4},NĐ!U12,NĐ!AA12,NĐ!AG12,NĐ!AM12))=5)*(CHOOSE({1,2,3,4},NĐ!X12,NĐ!AD12,NĐ!AJ12,NĐ!AP12)))</f>
        <v>0</v>
      </c>
      <c r="F12">
        <f>SUMPRODUCT((MONTH(CHOOSE({1,2,3,4},NĐ!U12,NĐ!AA12,NĐ!AG12,NĐ!AM12))=6)*(CHOOSE({1,2,3,4},NĐ!X12,NĐ!AD12,NĐ!AJ12,NĐ!AP12)))</f>
        <v>0</v>
      </c>
      <c r="G12">
        <f>SUMPRODUCT((MONTH(CHOOSE({1,2,3,4},NĐ!U12,NĐ!AA12,NĐ!AG12,NĐ!AM12))=7)*(CHOOSE({1,2,3,4},NĐ!X12,NĐ!AD12,NĐ!AJ12,NĐ!AP12)))</f>
        <v>0</v>
      </c>
      <c r="H12">
        <f>SUMPRODUCT((MONTH(CHOOSE({1,2,3,4},NĐ!U12,NĐ!AA12,NĐ!AG12,NĐ!AM12))=8)*(CHOOSE({1,2,3,4},NĐ!X12,NĐ!AD12,NĐ!AJ12,NĐ!AP12)))</f>
        <v>0</v>
      </c>
      <c r="I12">
        <f>SUMPRODUCT((MONTH(CHOOSE({1,2,3,4},NĐ!U12,NĐ!AA12,NĐ!AG12,NĐ!AM12))=9)*(CHOOSE({1,2,3,4},NĐ!X12,NĐ!AD12,NĐ!AJ12,NĐ!AP12)))</f>
        <v>0</v>
      </c>
      <c r="J12">
        <f>SUMPRODUCT((MONTH(CHOOSE({1,2,3,4},NĐ!U12,NĐ!AA12,NĐ!AG12,NĐ!AM12))=10)*(CHOOSE({1,2,3,4},NĐ!X12,NĐ!AD12,NĐ!AJ12,NĐ!AP12)))</f>
        <v>0</v>
      </c>
      <c r="K12">
        <f>SUMPRODUCT((MONTH(CHOOSE({1,2,3,4},NĐ!U12,NĐ!AA12,NĐ!AG12,NĐ!AM12))=11)*(CHOOSE({1,2,3,4},NĐ!X12,NĐ!AD12,NĐ!AJ12,NĐ!AP12)))</f>
        <v>0</v>
      </c>
      <c r="L12">
        <f>SUMPRODUCT((MONTH(CHOOSE({1,2,3,4},NĐ!U12,NĐ!AA12,NĐ!AG12,NĐ!AM12))=12)*(CHOOSE({1,2,3,4},NĐ!X12,NĐ!AD12,NĐ!AJ12,NĐ!AP12)))</f>
        <v>0</v>
      </c>
    </row>
    <row r="13" spans="1:12">
      <c r="A13">
        <f>SUMPRODUCT((MONTH(CHOOSE({1,2,3,4},NĐ!U13,NĐ!AA13,NĐ!AG13,NĐ!AM13))=1)*(CHOOSE({1,2,3,4},NĐ!X13,NĐ!AD13,NĐ!AJ13,NĐ!AP13)))</f>
        <v>0</v>
      </c>
      <c r="B13">
        <f>SUMPRODUCT((MONTH(CHOOSE({1,2,3,4},NĐ!U13,NĐ!AA13,NĐ!AG13,NĐ!AM13))=2)*(CHOOSE({1,2,3,4},NĐ!X13,NĐ!AD13,NĐ!AJ13,NĐ!AP13)))</f>
        <v>0</v>
      </c>
      <c r="C13">
        <f>SUMPRODUCT((MONTH(CHOOSE({1,2,3,4},NĐ!U13,NĐ!AA13,NĐ!AG13,NĐ!AM13))=3)*(CHOOSE({1,2,3,4},NĐ!X13,NĐ!AD13,NĐ!AJ13,NĐ!AP13)))</f>
        <v>0</v>
      </c>
      <c r="D13">
        <f>SUMPRODUCT((MONTH(CHOOSE({1,2,3,4},NĐ!U13,NĐ!AA13,NĐ!AG13,NĐ!AM13))=4)*(CHOOSE({1,2,3,4},NĐ!X13,NĐ!AD13,NĐ!AJ13,NĐ!AP13)))</f>
        <v>0</v>
      </c>
      <c r="E13">
        <f>SUMPRODUCT((MONTH(CHOOSE({1,2,3,4},NĐ!U13,NĐ!AA13,NĐ!AG13,NĐ!AM13))=5)*(CHOOSE({1,2,3,4},NĐ!X13,NĐ!AD13,NĐ!AJ13,NĐ!AP13)))</f>
        <v>0</v>
      </c>
      <c r="F13">
        <f>SUMPRODUCT((MONTH(CHOOSE({1,2,3,4},NĐ!U13,NĐ!AA13,NĐ!AG13,NĐ!AM13))=6)*(CHOOSE({1,2,3,4},NĐ!X13,NĐ!AD13,NĐ!AJ13,NĐ!AP13)))</f>
        <v>0</v>
      </c>
      <c r="G13">
        <f>SUMPRODUCT((MONTH(CHOOSE({1,2,3,4},NĐ!U13,NĐ!AA13,NĐ!AG13,NĐ!AM13))=7)*(CHOOSE({1,2,3,4},NĐ!X13,NĐ!AD13,NĐ!AJ13,NĐ!AP13)))</f>
        <v>0</v>
      </c>
      <c r="H13">
        <f>SUMPRODUCT((MONTH(CHOOSE({1,2,3,4},NĐ!U13,NĐ!AA13,NĐ!AG13,NĐ!AM13))=8)*(CHOOSE({1,2,3,4},NĐ!X13,NĐ!AD13,NĐ!AJ13,NĐ!AP13)))</f>
        <v>0</v>
      </c>
      <c r="I13">
        <f>SUMPRODUCT((MONTH(CHOOSE({1,2,3,4},NĐ!U13,NĐ!AA13,NĐ!AG13,NĐ!AM13))=9)*(CHOOSE({1,2,3,4},NĐ!X13,NĐ!AD13,NĐ!AJ13,NĐ!AP13)))</f>
        <v>0</v>
      </c>
      <c r="J13">
        <f>SUMPRODUCT((MONTH(CHOOSE({1,2,3,4},NĐ!U13,NĐ!AA13,NĐ!AG13,NĐ!AM13))=10)*(CHOOSE({1,2,3,4},NĐ!X13,NĐ!AD13,NĐ!AJ13,NĐ!AP13)))</f>
        <v>0</v>
      </c>
      <c r="K13">
        <f>SUMPRODUCT((MONTH(CHOOSE({1,2,3,4},NĐ!U13,NĐ!AA13,NĐ!AG13,NĐ!AM13))=11)*(CHOOSE({1,2,3,4},NĐ!X13,NĐ!AD13,NĐ!AJ13,NĐ!AP13)))</f>
        <v>0</v>
      </c>
      <c r="L13">
        <f>SUMPRODUCT((MONTH(CHOOSE({1,2,3,4},NĐ!U13,NĐ!AA13,NĐ!AG13,NĐ!AM13))=12)*(CHOOSE({1,2,3,4},NĐ!X13,NĐ!AD13,NĐ!AJ13,NĐ!AP13)))</f>
        <v>0</v>
      </c>
    </row>
    <row r="14" spans="1:12">
      <c r="A14">
        <f>SUMPRODUCT((MONTH(CHOOSE({1,2,3,4},NĐ!U14,NĐ!AA14,NĐ!AG14,NĐ!AM14))=1)*(CHOOSE({1,2,3,4},NĐ!X14,NĐ!AD14,NĐ!AJ14,NĐ!AP14)))</f>
        <v>0</v>
      </c>
      <c r="B14">
        <f>SUMPRODUCT((MONTH(CHOOSE({1,2,3,4},NĐ!U14,NĐ!AA14,NĐ!AG14,NĐ!AM14))=2)*(CHOOSE({1,2,3,4},NĐ!X14,NĐ!AD14,NĐ!AJ14,NĐ!AP14)))</f>
        <v>0</v>
      </c>
      <c r="C14">
        <f>SUMPRODUCT((MONTH(CHOOSE({1,2,3,4},NĐ!U14,NĐ!AA14,NĐ!AG14,NĐ!AM14))=3)*(CHOOSE({1,2,3,4},NĐ!X14,NĐ!AD14,NĐ!AJ14,NĐ!AP14)))</f>
        <v>0</v>
      </c>
      <c r="D14">
        <f>SUMPRODUCT((MONTH(CHOOSE({1,2,3,4},NĐ!U14,NĐ!AA14,NĐ!AG14,NĐ!AM14))=4)*(CHOOSE({1,2,3,4},NĐ!X14,NĐ!AD14,NĐ!AJ14,NĐ!AP14)))</f>
        <v>0</v>
      </c>
      <c r="E14">
        <f>SUMPRODUCT((MONTH(CHOOSE({1,2,3,4},NĐ!U14,NĐ!AA14,NĐ!AG14,NĐ!AM14))=5)*(CHOOSE({1,2,3,4},NĐ!X14,NĐ!AD14,NĐ!AJ14,NĐ!AP14)))</f>
        <v>0</v>
      </c>
      <c r="F14">
        <f>SUMPRODUCT((MONTH(CHOOSE({1,2,3,4},NĐ!U14,NĐ!AA14,NĐ!AG14,NĐ!AM14))=6)*(CHOOSE({1,2,3,4},NĐ!X14,NĐ!AD14,NĐ!AJ14,NĐ!AP14)))</f>
        <v>0</v>
      </c>
      <c r="G14">
        <f>SUMPRODUCT((MONTH(CHOOSE({1,2,3,4},NĐ!U14,NĐ!AA14,NĐ!AG14,NĐ!AM14))=7)*(CHOOSE({1,2,3,4},NĐ!X14,NĐ!AD14,NĐ!AJ14,NĐ!AP14)))</f>
        <v>0</v>
      </c>
      <c r="H14">
        <f>SUMPRODUCT((MONTH(CHOOSE({1,2,3,4},NĐ!U14,NĐ!AA14,NĐ!AG14,NĐ!AM14))=8)*(CHOOSE({1,2,3,4},NĐ!X14,NĐ!AD14,NĐ!AJ14,NĐ!AP14)))</f>
        <v>0</v>
      </c>
      <c r="I14">
        <f>SUMPRODUCT((MONTH(CHOOSE({1,2,3,4},NĐ!U14,NĐ!AA14,NĐ!AG14,NĐ!AM14))=9)*(CHOOSE({1,2,3,4},NĐ!X14,NĐ!AD14,NĐ!AJ14,NĐ!AP14)))</f>
        <v>0</v>
      </c>
      <c r="J14">
        <f>SUMPRODUCT((MONTH(CHOOSE({1,2,3,4},NĐ!U14,NĐ!AA14,NĐ!AG14,NĐ!AM14))=10)*(CHOOSE({1,2,3,4},NĐ!X14,NĐ!AD14,NĐ!AJ14,NĐ!AP14)))</f>
        <v>0</v>
      </c>
      <c r="K14">
        <f>SUMPRODUCT((MONTH(CHOOSE({1,2,3,4},NĐ!U14,NĐ!AA14,NĐ!AG14,NĐ!AM14))=11)*(CHOOSE({1,2,3,4},NĐ!X14,NĐ!AD14,NĐ!AJ14,NĐ!AP14)))</f>
        <v>0</v>
      </c>
      <c r="L14">
        <f>SUMPRODUCT((MONTH(CHOOSE({1,2,3,4},NĐ!U14,NĐ!AA14,NĐ!AG14,NĐ!AM14))=12)*(CHOOSE({1,2,3,4},NĐ!X14,NĐ!AD14,NĐ!AJ14,NĐ!AP14)))</f>
        <v>0</v>
      </c>
    </row>
    <row r="15" spans="1:12">
      <c r="A15">
        <f>SUMPRODUCT((MONTH(CHOOSE({1,2,3,4},NĐ!U15,NĐ!AA15,NĐ!AG15,NĐ!AM15))=1)*(CHOOSE({1,2,3,4},NĐ!X15,NĐ!AD15,NĐ!AJ15,NĐ!AP15)))</f>
        <v>0</v>
      </c>
      <c r="B15">
        <f>SUMPRODUCT((MONTH(CHOOSE({1,2,3,4},NĐ!U15,NĐ!AA15,NĐ!AG15,NĐ!AM15))=2)*(CHOOSE({1,2,3,4},NĐ!X15,NĐ!AD15,NĐ!AJ15,NĐ!AP15)))</f>
        <v>0</v>
      </c>
      <c r="C15">
        <f>SUMPRODUCT((MONTH(CHOOSE({1,2,3,4},NĐ!U15,NĐ!AA15,NĐ!AG15,NĐ!AM15))=3)*(CHOOSE({1,2,3,4},NĐ!X15,NĐ!AD15,NĐ!AJ15,NĐ!AP15)))</f>
        <v>0</v>
      </c>
      <c r="D15">
        <f>SUMPRODUCT((MONTH(CHOOSE({1,2,3,4},NĐ!U15,NĐ!AA15,NĐ!AG15,NĐ!AM15))=4)*(CHOOSE({1,2,3,4},NĐ!X15,NĐ!AD15,NĐ!AJ15,NĐ!AP15)))</f>
        <v>0</v>
      </c>
      <c r="E15">
        <f>SUMPRODUCT((MONTH(CHOOSE({1,2,3,4},NĐ!U15,NĐ!AA15,NĐ!AG15,NĐ!AM15))=5)*(CHOOSE({1,2,3,4},NĐ!X15,NĐ!AD15,NĐ!AJ15,NĐ!AP15)))</f>
        <v>0</v>
      </c>
      <c r="F15">
        <f>SUMPRODUCT((MONTH(CHOOSE({1,2,3,4},NĐ!U15,NĐ!AA15,NĐ!AG15,NĐ!AM15))=6)*(CHOOSE({1,2,3,4},NĐ!X15,NĐ!AD15,NĐ!AJ15,NĐ!AP15)))</f>
        <v>0</v>
      </c>
      <c r="G15">
        <f>SUMPRODUCT((MONTH(CHOOSE({1,2,3,4},NĐ!U15,NĐ!AA15,NĐ!AG15,NĐ!AM15))=7)*(CHOOSE({1,2,3,4},NĐ!X15,NĐ!AD15,NĐ!AJ15,NĐ!AP15)))</f>
        <v>0</v>
      </c>
      <c r="H15">
        <f>SUMPRODUCT((MONTH(CHOOSE({1,2,3,4},NĐ!U15,NĐ!AA15,NĐ!AG15,NĐ!AM15))=8)*(CHOOSE({1,2,3,4},NĐ!X15,NĐ!AD15,NĐ!AJ15,NĐ!AP15)))</f>
        <v>0</v>
      </c>
      <c r="I15">
        <f>SUMPRODUCT((MONTH(CHOOSE({1,2,3,4},NĐ!U15,NĐ!AA15,NĐ!AG15,NĐ!AM15))=9)*(CHOOSE({1,2,3,4},NĐ!X15,NĐ!AD15,NĐ!AJ15,NĐ!AP15)))</f>
        <v>0</v>
      </c>
      <c r="J15">
        <f>SUMPRODUCT((MONTH(CHOOSE({1,2,3,4},NĐ!U15,NĐ!AA15,NĐ!AG15,NĐ!AM15))=10)*(CHOOSE({1,2,3,4},NĐ!X15,NĐ!AD15,NĐ!AJ15,NĐ!AP15)))</f>
        <v>0</v>
      </c>
      <c r="K15">
        <f>SUMPRODUCT((MONTH(CHOOSE({1,2,3,4},NĐ!U15,NĐ!AA15,NĐ!AG15,NĐ!AM15))=11)*(CHOOSE({1,2,3,4},NĐ!X15,NĐ!AD15,NĐ!AJ15,NĐ!AP15)))</f>
        <v>0</v>
      </c>
      <c r="L15">
        <f>SUMPRODUCT((MONTH(CHOOSE({1,2,3,4},NĐ!U15,NĐ!AA15,NĐ!AG15,NĐ!AM15))=12)*(CHOOSE({1,2,3,4},NĐ!X15,NĐ!AD15,NĐ!AJ15,NĐ!AP15)))</f>
        <v>0</v>
      </c>
    </row>
    <row r="16" spans="1:12">
      <c r="A16">
        <f>SUMPRODUCT((MONTH(CHOOSE({1,2,3,4},NĐ!U16,NĐ!AA16,NĐ!AG16,NĐ!AM16))=1)*(CHOOSE({1,2,3,4},NĐ!X16,NĐ!AD16,NĐ!AJ16,NĐ!AP16)))</f>
        <v>0</v>
      </c>
      <c r="B16">
        <f>SUMPRODUCT((MONTH(CHOOSE({1,2,3,4},NĐ!U16,NĐ!AA16,NĐ!AG16,NĐ!AM16))=2)*(CHOOSE({1,2,3,4},NĐ!X16,NĐ!AD16,NĐ!AJ16,NĐ!AP16)))</f>
        <v>0</v>
      </c>
      <c r="C16">
        <f>SUMPRODUCT((MONTH(CHOOSE({1,2,3,4},NĐ!U16,NĐ!AA16,NĐ!AG16,NĐ!AM16))=3)*(CHOOSE({1,2,3,4},NĐ!X16,NĐ!AD16,NĐ!AJ16,NĐ!AP16)))</f>
        <v>0</v>
      </c>
      <c r="D16">
        <f>SUMPRODUCT((MONTH(CHOOSE({1,2,3,4},NĐ!U16,NĐ!AA16,NĐ!AG16,NĐ!AM16))=4)*(CHOOSE({1,2,3,4},NĐ!X16,NĐ!AD16,NĐ!AJ16,NĐ!AP16)))</f>
        <v>0</v>
      </c>
      <c r="E16">
        <f>SUMPRODUCT((MONTH(CHOOSE({1,2,3,4},NĐ!U16,NĐ!AA16,NĐ!AG16,NĐ!AM16))=5)*(CHOOSE({1,2,3,4},NĐ!X16,NĐ!AD16,NĐ!AJ16,NĐ!AP16)))</f>
        <v>0</v>
      </c>
      <c r="F16">
        <f>SUMPRODUCT((MONTH(CHOOSE({1,2,3,4},NĐ!U16,NĐ!AA16,NĐ!AG16,NĐ!AM16))=6)*(CHOOSE({1,2,3,4},NĐ!X16,NĐ!AD16,NĐ!AJ16,NĐ!AP16)))</f>
        <v>0</v>
      </c>
      <c r="G16">
        <f>SUMPRODUCT((MONTH(CHOOSE({1,2,3,4},NĐ!U16,NĐ!AA16,NĐ!AG16,NĐ!AM16))=7)*(CHOOSE({1,2,3,4},NĐ!X16,NĐ!AD16,NĐ!AJ16,NĐ!AP16)))</f>
        <v>0</v>
      </c>
      <c r="H16">
        <f>SUMPRODUCT((MONTH(CHOOSE({1,2,3,4},NĐ!U16,NĐ!AA16,NĐ!AG16,NĐ!AM16))=8)*(CHOOSE({1,2,3,4},NĐ!X16,NĐ!AD16,NĐ!AJ16,NĐ!AP16)))</f>
        <v>0</v>
      </c>
      <c r="I16">
        <f>SUMPRODUCT((MONTH(CHOOSE({1,2,3,4},NĐ!U16,NĐ!AA16,NĐ!AG16,NĐ!AM16))=9)*(CHOOSE({1,2,3,4},NĐ!X16,NĐ!AD16,NĐ!AJ16,NĐ!AP16)))</f>
        <v>0</v>
      </c>
      <c r="J16">
        <f>SUMPRODUCT((MONTH(CHOOSE({1,2,3,4},NĐ!U16,NĐ!AA16,NĐ!AG16,NĐ!AM16))=10)*(CHOOSE({1,2,3,4},NĐ!X16,NĐ!AD16,NĐ!AJ16,NĐ!AP16)))</f>
        <v>0</v>
      </c>
      <c r="K16">
        <f>SUMPRODUCT((MONTH(CHOOSE({1,2,3,4},NĐ!U16,NĐ!AA16,NĐ!AG16,NĐ!AM16))=11)*(CHOOSE({1,2,3,4},NĐ!X16,NĐ!AD16,NĐ!AJ16,NĐ!AP16)))</f>
        <v>0</v>
      </c>
      <c r="L16">
        <f>SUMPRODUCT((MONTH(CHOOSE({1,2,3,4},NĐ!U16,NĐ!AA16,NĐ!AG16,NĐ!AM16))=12)*(CHOOSE({1,2,3,4},NĐ!X16,NĐ!AD16,NĐ!AJ16,NĐ!AP16)))</f>
        <v>0</v>
      </c>
    </row>
    <row r="17" spans="1:12">
      <c r="A17">
        <f>SUMPRODUCT((MONTH(CHOOSE({1,2,3,4},NĐ!U17,NĐ!AA17,NĐ!AG17,NĐ!AM17))=1)*(CHOOSE({1,2,3,4},NĐ!X17,NĐ!AD17,NĐ!AJ17,NĐ!AP17)))</f>
        <v>0</v>
      </c>
      <c r="B17">
        <f>SUMPRODUCT((MONTH(CHOOSE({1,2,3,4},NĐ!U17,NĐ!AA17,NĐ!AG17,NĐ!AM17))=2)*(CHOOSE({1,2,3,4},NĐ!X17,NĐ!AD17,NĐ!AJ17,NĐ!AP17)))</f>
        <v>0</v>
      </c>
      <c r="C17">
        <f>SUMPRODUCT((MONTH(CHOOSE({1,2,3,4},NĐ!U17,NĐ!AA17,NĐ!AG17,NĐ!AM17))=3)*(CHOOSE({1,2,3,4},NĐ!X17,NĐ!AD17,NĐ!AJ17,NĐ!AP17)))</f>
        <v>0</v>
      </c>
      <c r="D17">
        <f>SUMPRODUCT((MONTH(CHOOSE({1,2,3,4},NĐ!U17,NĐ!AA17,NĐ!AG17,NĐ!AM17))=4)*(CHOOSE({1,2,3,4},NĐ!X17,NĐ!AD17,NĐ!AJ17,NĐ!AP17)))</f>
        <v>0</v>
      </c>
      <c r="E17">
        <f>SUMPRODUCT((MONTH(CHOOSE({1,2,3,4},NĐ!U17,NĐ!AA17,NĐ!AG17,NĐ!AM17))=5)*(CHOOSE({1,2,3,4},NĐ!X17,NĐ!AD17,NĐ!AJ17,NĐ!AP17)))</f>
        <v>0</v>
      </c>
      <c r="F17">
        <f>SUMPRODUCT((MONTH(CHOOSE({1,2,3,4},NĐ!U17,NĐ!AA17,NĐ!AG17,NĐ!AM17))=6)*(CHOOSE({1,2,3,4},NĐ!X17,NĐ!AD17,NĐ!AJ17,NĐ!AP17)))</f>
        <v>0</v>
      </c>
      <c r="G17">
        <f>SUMPRODUCT((MONTH(CHOOSE({1,2,3,4},NĐ!U17,NĐ!AA17,NĐ!AG17,NĐ!AM17))=7)*(CHOOSE({1,2,3,4},NĐ!X17,NĐ!AD17,NĐ!AJ17,NĐ!AP17)))</f>
        <v>0</v>
      </c>
      <c r="H17">
        <f>SUMPRODUCT((MONTH(CHOOSE({1,2,3,4},NĐ!U17,NĐ!AA17,NĐ!AG17,NĐ!AM17))=8)*(CHOOSE({1,2,3,4},NĐ!X17,NĐ!AD17,NĐ!AJ17,NĐ!AP17)))</f>
        <v>0</v>
      </c>
      <c r="I17">
        <f>SUMPRODUCT((MONTH(CHOOSE({1,2,3,4},NĐ!U17,NĐ!AA17,NĐ!AG17,NĐ!AM17))=9)*(CHOOSE({1,2,3,4},NĐ!X17,NĐ!AD17,NĐ!AJ17,NĐ!AP17)))</f>
        <v>0</v>
      </c>
      <c r="J17">
        <f>SUMPRODUCT((MONTH(CHOOSE({1,2,3,4},NĐ!U17,NĐ!AA17,NĐ!AG17,NĐ!AM17))=10)*(CHOOSE({1,2,3,4},NĐ!X17,NĐ!AD17,NĐ!AJ17,NĐ!AP17)))</f>
        <v>0</v>
      </c>
      <c r="K17">
        <f>SUMPRODUCT((MONTH(CHOOSE({1,2,3,4},NĐ!U17,NĐ!AA17,NĐ!AG17,NĐ!AM17))=11)*(CHOOSE({1,2,3,4},NĐ!X17,NĐ!AD17,NĐ!AJ17,NĐ!AP17)))</f>
        <v>0</v>
      </c>
      <c r="L17">
        <f>SUMPRODUCT((MONTH(CHOOSE({1,2,3,4},NĐ!U17,NĐ!AA17,NĐ!AG17,NĐ!AM17))=12)*(CHOOSE({1,2,3,4},NĐ!X17,NĐ!AD17,NĐ!AJ17,NĐ!AP17)))</f>
        <v>0</v>
      </c>
    </row>
    <row r="18" spans="1:12">
      <c r="A18">
        <f>SUMPRODUCT((MONTH(CHOOSE({1,2,3,4},NĐ!U18,NĐ!AA18,NĐ!AG18,NĐ!AM18))=1)*(CHOOSE({1,2,3,4},NĐ!X18,NĐ!AD18,NĐ!AJ18,NĐ!AP18)))</f>
        <v>0</v>
      </c>
      <c r="B18">
        <f>SUMPRODUCT((MONTH(CHOOSE({1,2,3,4},NĐ!U18,NĐ!AA18,NĐ!AG18,NĐ!AM18))=2)*(CHOOSE({1,2,3,4},NĐ!X18,NĐ!AD18,NĐ!AJ18,NĐ!AP18)))</f>
        <v>0</v>
      </c>
      <c r="C18">
        <f>SUMPRODUCT((MONTH(CHOOSE({1,2,3,4},NĐ!U18,NĐ!AA18,NĐ!AG18,NĐ!AM18))=3)*(CHOOSE({1,2,3,4},NĐ!X18,NĐ!AD18,NĐ!AJ18,NĐ!AP18)))</f>
        <v>0</v>
      </c>
      <c r="D18">
        <f>SUMPRODUCT((MONTH(CHOOSE({1,2,3,4},NĐ!U18,NĐ!AA18,NĐ!AG18,NĐ!AM18))=4)*(CHOOSE({1,2,3,4},NĐ!X18,NĐ!AD18,NĐ!AJ18,NĐ!AP18)))</f>
        <v>0</v>
      </c>
      <c r="E18">
        <f>SUMPRODUCT((MONTH(CHOOSE({1,2,3,4},NĐ!U18,NĐ!AA18,NĐ!AG18,NĐ!AM18))=5)*(CHOOSE({1,2,3,4},NĐ!X18,NĐ!AD18,NĐ!AJ18,NĐ!AP18)))</f>
        <v>0</v>
      </c>
      <c r="F18">
        <f>SUMPRODUCT((MONTH(CHOOSE({1,2,3,4},NĐ!U18,NĐ!AA18,NĐ!AG18,NĐ!AM18))=6)*(CHOOSE({1,2,3,4},NĐ!X18,NĐ!AD18,NĐ!AJ18,NĐ!AP18)))</f>
        <v>0</v>
      </c>
      <c r="G18">
        <f>SUMPRODUCT((MONTH(CHOOSE({1,2,3,4},NĐ!U18,NĐ!AA18,NĐ!AG18,NĐ!AM18))=7)*(CHOOSE({1,2,3,4},NĐ!X18,NĐ!AD18,NĐ!AJ18,NĐ!AP18)))</f>
        <v>0</v>
      </c>
      <c r="H18">
        <f>SUMPRODUCT((MONTH(CHOOSE({1,2,3,4},NĐ!U18,NĐ!AA18,NĐ!AG18,NĐ!AM18))=8)*(CHOOSE({1,2,3,4},NĐ!X18,NĐ!AD18,NĐ!AJ18,NĐ!AP18)))</f>
        <v>0</v>
      </c>
      <c r="I18">
        <f>SUMPRODUCT((MONTH(CHOOSE({1,2,3,4},NĐ!U18,NĐ!AA18,NĐ!AG18,NĐ!AM18))=9)*(CHOOSE({1,2,3,4},NĐ!X18,NĐ!AD18,NĐ!AJ18,NĐ!AP18)))</f>
        <v>0</v>
      </c>
      <c r="J18">
        <f>SUMPRODUCT((MONTH(CHOOSE({1,2,3,4},NĐ!U18,NĐ!AA18,NĐ!AG18,NĐ!AM18))=10)*(CHOOSE({1,2,3,4},NĐ!X18,NĐ!AD18,NĐ!AJ18,NĐ!AP18)))</f>
        <v>0</v>
      </c>
      <c r="K18">
        <f>SUMPRODUCT((MONTH(CHOOSE({1,2,3,4},NĐ!U18,NĐ!AA18,NĐ!AG18,NĐ!AM18))=11)*(CHOOSE({1,2,3,4},NĐ!X18,NĐ!AD18,NĐ!AJ18,NĐ!AP18)))</f>
        <v>0</v>
      </c>
      <c r="L18">
        <f>SUMPRODUCT((MONTH(CHOOSE({1,2,3,4},NĐ!U18,NĐ!AA18,NĐ!AG18,NĐ!AM18))=12)*(CHOOSE({1,2,3,4},NĐ!X18,NĐ!AD18,NĐ!AJ18,NĐ!AP18)))</f>
        <v>0</v>
      </c>
    </row>
    <row r="19" spans="1:12">
      <c r="A19">
        <f>SUMPRODUCT((MONTH(CHOOSE({1,2,3,4},NĐ!U19,NĐ!AA19,NĐ!AG19,NĐ!AM19))=1)*(CHOOSE({1,2,3,4},NĐ!X19,NĐ!AD19,NĐ!AJ19,NĐ!AP19)))</f>
        <v>0</v>
      </c>
      <c r="B19">
        <f>SUMPRODUCT((MONTH(CHOOSE({1,2,3,4},NĐ!U19,NĐ!AA19,NĐ!AG19,NĐ!AM19))=2)*(CHOOSE({1,2,3,4},NĐ!X19,NĐ!AD19,NĐ!AJ19,NĐ!AP19)))</f>
        <v>0</v>
      </c>
      <c r="C19">
        <f>SUMPRODUCT((MONTH(CHOOSE({1,2,3,4},NĐ!U19,NĐ!AA19,NĐ!AG19,NĐ!AM19))=3)*(CHOOSE({1,2,3,4},NĐ!X19,NĐ!AD19,NĐ!AJ19,NĐ!AP19)))</f>
        <v>0</v>
      </c>
      <c r="D19">
        <f>SUMPRODUCT((MONTH(CHOOSE({1,2,3,4},NĐ!U19,NĐ!AA19,NĐ!AG19,NĐ!AM19))=4)*(CHOOSE({1,2,3,4},NĐ!X19,NĐ!AD19,NĐ!AJ19,NĐ!AP19)))</f>
        <v>0</v>
      </c>
      <c r="E19">
        <f>SUMPRODUCT((MONTH(CHOOSE({1,2,3,4},NĐ!U19,NĐ!AA19,NĐ!AG19,NĐ!AM19))=5)*(CHOOSE({1,2,3,4},NĐ!X19,NĐ!AD19,NĐ!AJ19,NĐ!AP19)))</f>
        <v>0</v>
      </c>
      <c r="F19">
        <f>SUMPRODUCT((MONTH(CHOOSE({1,2,3,4},NĐ!U19,NĐ!AA19,NĐ!AG19,NĐ!AM19))=6)*(CHOOSE({1,2,3,4},NĐ!X19,NĐ!AD19,NĐ!AJ19,NĐ!AP19)))</f>
        <v>0</v>
      </c>
      <c r="G19">
        <f>SUMPRODUCT((MONTH(CHOOSE({1,2,3,4},NĐ!U19,NĐ!AA19,NĐ!AG19,NĐ!AM19))=7)*(CHOOSE({1,2,3,4},NĐ!X19,NĐ!AD19,NĐ!AJ19,NĐ!AP19)))</f>
        <v>0</v>
      </c>
      <c r="H19">
        <f>SUMPRODUCT((MONTH(CHOOSE({1,2,3,4},NĐ!U19,NĐ!AA19,NĐ!AG19,NĐ!AM19))=8)*(CHOOSE({1,2,3,4},NĐ!X19,NĐ!AD19,NĐ!AJ19,NĐ!AP19)))</f>
        <v>0</v>
      </c>
      <c r="I19">
        <f>SUMPRODUCT((MONTH(CHOOSE({1,2,3,4},NĐ!U19,NĐ!AA19,NĐ!AG19,NĐ!AM19))=9)*(CHOOSE({1,2,3,4},NĐ!X19,NĐ!AD19,NĐ!AJ19,NĐ!AP19)))</f>
        <v>0</v>
      </c>
      <c r="J19">
        <f>SUMPRODUCT((MONTH(CHOOSE({1,2,3,4},NĐ!U19,NĐ!AA19,NĐ!AG19,NĐ!AM19))=10)*(CHOOSE({1,2,3,4},NĐ!X19,NĐ!AD19,NĐ!AJ19,NĐ!AP19)))</f>
        <v>0</v>
      </c>
      <c r="K19">
        <f>SUMPRODUCT((MONTH(CHOOSE({1,2,3,4},NĐ!U19,NĐ!AA19,NĐ!AG19,NĐ!AM19))=11)*(CHOOSE({1,2,3,4},NĐ!X19,NĐ!AD19,NĐ!AJ19,NĐ!AP19)))</f>
        <v>0</v>
      </c>
      <c r="L19">
        <f>SUMPRODUCT((MONTH(CHOOSE({1,2,3,4},NĐ!U19,NĐ!AA19,NĐ!AG19,NĐ!AM19))=12)*(CHOOSE({1,2,3,4},NĐ!X19,NĐ!AD19,NĐ!AJ19,NĐ!AP19)))</f>
        <v>0</v>
      </c>
    </row>
    <row r="20" spans="1:12">
      <c r="A20">
        <f>SUMPRODUCT((MONTH(CHOOSE({1,2,3,4},NĐ!U20,NĐ!AA20,NĐ!AG20,NĐ!AM20))=1)*(CHOOSE({1,2,3,4},NĐ!X20,NĐ!AD20,NĐ!AJ20,NĐ!AP20)))</f>
        <v>0</v>
      </c>
      <c r="B20">
        <f>SUMPRODUCT((MONTH(CHOOSE({1,2,3,4},NĐ!U20,NĐ!AA20,NĐ!AG20,NĐ!AM20))=2)*(CHOOSE({1,2,3,4},NĐ!X20,NĐ!AD20,NĐ!AJ20,NĐ!AP20)))</f>
        <v>0</v>
      </c>
      <c r="C20">
        <f>SUMPRODUCT((MONTH(CHOOSE({1,2,3,4},NĐ!U20,NĐ!AA20,NĐ!AG20,NĐ!AM20))=3)*(CHOOSE({1,2,3,4},NĐ!X20,NĐ!AD20,NĐ!AJ20,NĐ!AP20)))</f>
        <v>0</v>
      </c>
      <c r="D20">
        <f>SUMPRODUCT((MONTH(CHOOSE({1,2,3,4},NĐ!U20,NĐ!AA20,NĐ!AG20,NĐ!AM20))=4)*(CHOOSE({1,2,3,4},NĐ!X20,NĐ!AD20,NĐ!AJ20,NĐ!AP20)))</f>
        <v>0</v>
      </c>
      <c r="E20">
        <f>SUMPRODUCT((MONTH(CHOOSE({1,2,3,4},NĐ!U20,NĐ!AA20,NĐ!AG20,NĐ!AM20))=5)*(CHOOSE({1,2,3,4},NĐ!X20,NĐ!AD20,NĐ!AJ20,NĐ!AP20)))</f>
        <v>0</v>
      </c>
      <c r="F20">
        <f>SUMPRODUCT((MONTH(CHOOSE({1,2,3,4},NĐ!U20,NĐ!AA20,NĐ!AG20,NĐ!AM20))=6)*(CHOOSE({1,2,3,4},NĐ!X20,NĐ!AD20,NĐ!AJ20,NĐ!AP20)))</f>
        <v>0</v>
      </c>
      <c r="G20">
        <f>SUMPRODUCT((MONTH(CHOOSE({1,2,3,4},NĐ!U20,NĐ!AA20,NĐ!AG20,NĐ!AM20))=7)*(CHOOSE({1,2,3,4},NĐ!X20,NĐ!AD20,NĐ!AJ20,NĐ!AP20)))</f>
        <v>0</v>
      </c>
      <c r="H20">
        <f>SUMPRODUCT((MONTH(CHOOSE({1,2,3,4},NĐ!U20,NĐ!AA20,NĐ!AG20,NĐ!AM20))=8)*(CHOOSE({1,2,3,4},NĐ!X20,NĐ!AD20,NĐ!AJ20,NĐ!AP20)))</f>
        <v>0</v>
      </c>
      <c r="I20">
        <f>SUMPRODUCT((MONTH(CHOOSE({1,2,3,4},NĐ!U20,NĐ!AA20,NĐ!AG20,NĐ!AM20))=9)*(CHOOSE({1,2,3,4},NĐ!X20,NĐ!AD20,NĐ!AJ20,NĐ!AP20)))</f>
        <v>0</v>
      </c>
      <c r="J20">
        <f>SUMPRODUCT((MONTH(CHOOSE({1,2,3,4},NĐ!U20,NĐ!AA20,NĐ!AG20,NĐ!AM20))=10)*(CHOOSE({1,2,3,4},NĐ!X20,NĐ!AD20,NĐ!AJ20,NĐ!AP20)))</f>
        <v>0</v>
      </c>
      <c r="K20">
        <f>SUMPRODUCT((MONTH(CHOOSE({1,2,3,4},NĐ!U20,NĐ!AA20,NĐ!AG20,NĐ!AM20))=11)*(CHOOSE({1,2,3,4},NĐ!X20,NĐ!AD20,NĐ!AJ20,NĐ!AP20)))</f>
        <v>0</v>
      </c>
      <c r="L20">
        <f>SUMPRODUCT((MONTH(CHOOSE({1,2,3,4},NĐ!U20,NĐ!AA20,NĐ!AG20,NĐ!AM20))=12)*(CHOOSE({1,2,3,4},NĐ!X20,NĐ!AD20,NĐ!AJ20,NĐ!AP20)))</f>
        <v>0</v>
      </c>
    </row>
    <row r="21" spans="1:12">
      <c r="A21">
        <f>SUMPRODUCT((MONTH(CHOOSE({1,2,3,4},NĐ!U21,NĐ!AA21,NĐ!AG21,NĐ!AM21))=1)*(CHOOSE({1,2,3,4},NĐ!X21,NĐ!AD21,NĐ!AJ21,NĐ!AP21)))</f>
        <v>0</v>
      </c>
      <c r="B21">
        <f>SUMPRODUCT((MONTH(CHOOSE({1,2,3,4},NĐ!U21,NĐ!AA21,NĐ!AG21,NĐ!AM21))=2)*(CHOOSE({1,2,3,4},NĐ!X21,NĐ!AD21,NĐ!AJ21,NĐ!AP21)))</f>
        <v>0</v>
      </c>
      <c r="C21">
        <f>SUMPRODUCT((MONTH(CHOOSE({1,2,3,4},NĐ!U21,NĐ!AA21,NĐ!AG21,NĐ!AM21))=3)*(CHOOSE({1,2,3,4},NĐ!X21,NĐ!AD21,NĐ!AJ21,NĐ!AP21)))</f>
        <v>0</v>
      </c>
      <c r="D21">
        <f>SUMPRODUCT((MONTH(CHOOSE({1,2,3,4},NĐ!U21,NĐ!AA21,NĐ!AG21,NĐ!AM21))=4)*(CHOOSE({1,2,3,4},NĐ!X21,NĐ!AD21,NĐ!AJ21,NĐ!AP21)))</f>
        <v>0</v>
      </c>
      <c r="E21">
        <f>SUMPRODUCT((MONTH(CHOOSE({1,2,3,4},NĐ!U21,NĐ!AA21,NĐ!AG21,NĐ!AM21))=5)*(CHOOSE({1,2,3,4},NĐ!X21,NĐ!AD21,NĐ!AJ21,NĐ!AP21)))</f>
        <v>0</v>
      </c>
      <c r="F21">
        <f>SUMPRODUCT((MONTH(CHOOSE({1,2,3,4},NĐ!U21,NĐ!AA21,NĐ!AG21,NĐ!AM21))=6)*(CHOOSE({1,2,3,4},NĐ!X21,NĐ!AD21,NĐ!AJ21,NĐ!AP21)))</f>
        <v>0</v>
      </c>
      <c r="G21">
        <f>SUMPRODUCT((MONTH(CHOOSE({1,2,3,4},NĐ!U21,NĐ!AA21,NĐ!AG21,NĐ!AM21))=7)*(CHOOSE({1,2,3,4},NĐ!X21,NĐ!AD21,NĐ!AJ21,NĐ!AP21)))</f>
        <v>0</v>
      </c>
      <c r="H21">
        <f>SUMPRODUCT((MONTH(CHOOSE({1,2,3,4},NĐ!U21,NĐ!AA21,NĐ!AG21,NĐ!AM21))=8)*(CHOOSE({1,2,3,4},NĐ!X21,NĐ!AD21,NĐ!AJ21,NĐ!AP21)))</f>
        <v>0</v>
      </c>
      <c r="I21">
        <f>SUMPRODUCT((MONTH(CHOOSE({1,2,3,4},NĐ!U21,NĐ!AA21,NĐ!AG21,NĐ!AM21))=9)*(CHOOSE({1,2,3,4},NĐ!X21,NĐ!AD21,NĐ!AJ21,NĐ!AP21)))</f>
        <v>0</v>
      </c>
      <c r="J21">
        <f>SUMPRODUCT((MONTH(CHOOSE({1,2,3,4},NĐ!U21,NĐ!AA21,NĐ!AG21,NĐ!AM21))=10)*(CHOOSE({1,2,3,4},NĐ!X21,NĐ!AD21,NĐ!AJ21,NĐ!AP21)))</f>
        <v>0</v>
      </c>
      <c r="K21">
        <f>SUMPRODUCT((MONTH(CHOOSE({1,2,3,4},NĐ!U21,NĐ!AA21,NĐ!AG21,NĐ!AM21))=11)*(CHOOSE({1,2,3,4},NĐ!X21,NĐ!AD21,NĐ!AJ21,NĐ!AP21)))</f>
        <v>0</v>
      </c>
      <c r="L21">
        <f>SUMPRODUCT((MONTH(CHOOSE({1,2,3,4},NĐ!U21,NĐ!AA21,NĐ!AG21,NĐ!AM21))=12)*(CHOOSE({1,2,3,4},NĐ!X21,NĐ!AD21,NĐ!AJ21,NĐ!AP21)))</f>
        <v>0</v>
      </c>
    </row>
    <row r="22" spans="1:12">
      <c r="A22">
        <f>SUMPRODUCT((MONTH(CHOOSE({1,2,3,4},NĐ!U22,NĐ!AA22,NĐ!AG22,NĐ!AM22))=1)*(CHOOSE({1,2,3,4},NĐ!X22,NĐ!AD22,NĐ!AJ22,NĐ!AP22)))</f>
        <v>0</v>
      </c>
      <c r="B22">
        <f>SUMPRODUCT((MONTH(CHOOSE({1,2,3,4},NĐ!U22,NĐ!AA22,NĐ!AG22,NĐ!AM22))=2)*(CHOOSE({1,2,3,4},NĐ!X22,NĐ!AD22,NĐ!AJ22,NĐ!AP22)))</f>
        <v>0</v>
      </c>
      <c r="C22">
        <f>SUMPRODUCT((MONTH(CHOOSE({1,2,3,4},NĐ!U22,NĐ!AA22,NĐ!AG22,NĐ!AM22))=3)*(CHOOSE({1,2,3,4},NĐ!X22,NĐ!AD22,NĐ!AJ22,NĐ!AP22)))</f>
        <v>0</v>
      </c>
      <c r="D22">
        <f>SUMPRODUCT((MONTH(CHOOSE({1,2,3,4},NĐ!U22,NĐ!AA22,NĐ!AG22,NĐ!AM22))=4)*(CHOOSE({1,2,3,4},NĐ!X22,NĐ!AD22,NĐ!AJ22,NĐ!AP22)))</f>
        <v>0</v>
      </c>
      <c r="E22">
        <f>SUMPRODUCT((MONTH(CHOOSE({1,2,3,4},NĐ!U22,NĐ!AA22,NĐ!AG22,NĐ!AM22))=5)*(CHOOSE({1,2,3,4},NĐ!X22,NĐ!AD22,NĐ!AJ22,NĐ!AP22)))</f>
        <v>0</v>
      </c>
      <c r="F22">
        <f>SUMPRODUCT((MONTH(CHOOSE({1,2,3,4},NĐ!U22,NĐ!AA22,NĐ!AG22,NĐ!AM22))=6)*(CHOOSE({1,2,3,4},NĐ!X22,NĐ!AD22,NĐ!AJ22,NĐ!AP22)))</f>
        <v>0</v>
      </c>
      <c r="G22">
        <f>SUMPRODUCT((MONTH(CHOOSE({1,2,3,4},NĐ!U22,NĐ!AA22,NĐ!AG22,NĐ!AM22))=7)*(CHOOSE({1,2,3,4},NĐ!X22,NĐ!AD22,NĐ!AJ22,NĐ!AP22)))</f>
        <v>0</v>
      </c>
      <c r="H22">
        <f>SUMPRODUCT((MONTH(CHOOSE({1,2,3,4},NĐ!U22,NĐ!AA22,NĐ!AG22,NĐ!AM22))=8)*(CHOOSE({1,2,3,4},NĐ!X22,NĐ!AD22,NĐ!AJ22,NĐ!AP22)))</f>
        <v>0</v>
      </c>
      <c r="I22">
        <f>SUMPRODUCT((MONTH(CHOOSE({1,2,3,4},NĐ!U22,NĐ!AA22,NĐ!AG22,NĐ!AM22))=9)*(CHOOSE({1,2,3,4},NĐ!X22,NĐ!AD22,NĐ!AJ22,NĐ!AP22)))</f>
        <v>0</v>
      </c>
      <c r="J22">
        <f>SUMPRODUCT((MONTH(CHOOSE({1,2,3,4},NĐ!U22,NĐ!AA22,NĐ!AG22,NĐ!AM22))=10)*(CHOOSE({1,2,3,4},NĐ!X22,NĐ!AD22,NĐ!AJ22,NĐ!AP22)))</f>
        <v>0</v>
      </c>
      <c r="K22">
        <f>SUMPRODUCT((MONTH(CHOOSE({1,2,3,4},NĐ!U22,NĐ!AA22,NĐ!AG22,NĐ!AM22))=11)*(CHOOSE({1,2,3,4},NĐ!X22,NĐ!AD22,NĐ!AJ22,NĐ!AP22)))</f>
        <v>0</v>
      </c>
      <c r="L22">
        <f>SUMPRODUCT((MONTH(CHOOSE({1,2,3,4},NĐ!U22,NĐ!AA22,NĐ!AG22,NĐ!AM22))=12)*(CHOOSE({1,2,3,4},NĐ!X22,NĐ!AD22,NĐ!AJ22,NĐ!AP22)))</f>
        <v>0</v>
      </c>
    </row>
    <row r="23" spans="1:12">
      <c r="A23">
        <f>SUMPRODUCT((MONTH(CHOOSE({1,2,3,4},NĐ!U23,NĐ!AA23,NĐ!AG23,NĐ!AM23))=1)*(CHOOSE({1,2,3,4},NĐ!X23,NĐ!AD23,NĐ!AJ23,NĐ!AP23)))</f>
        <v>0</v>
      </c>
      <c r="B23">
        <f>SUMPRODUCT((MONTH(CHOOSE({1,2,3,4},NĐ!U23,NĐ!AA23,NĐ!AG23,NĐ!AM23))=2)*(CHOOSE({1,2,3,4},NĐ!X23,NĐ!AD23,NĐ!AJ23,NĐ!AP23)))</f>
        <v>0</v>
      </c>
      <c r="C23">
        <f>SUMPRODUCT((MONTH(CHOOSE({1,2,3,4},NĐ!U23,NĐ!AA23,NĐ!AG23,NĐ!AM23))=3)*(CHOOSE({1,2,3,4},NĐ!X23,NĐ!AD23,NĐ!AJ23,NĐ!AP23)))</f>
        <v>0</v>
      </c>
      <c r="D23">
        <f>SUMPRODUCT((MONTH(CHOOSE({1,2,3,4},NĐ!U23,NĐ!AA23,NĐ!AG23,NĐ!AM23))=4)*(CHOOSE({1,2,3,4},NĐ!X23,NĐ!AD23,NĐ!AJ23,NĐ!AP23)))</f>
        <v>0</v>
      </c>
      <c r="E23">
        <f>SUMPRODUCT((MONTH(CHOOSE({1,2,3,4},NĐ!U23,NĐ!AA23,NĐ!AG23,NĐ!AM23))=5)*(CHOOSE({1,2,3,4},NĐ!X23,NĐ!AD23,NĐ!AJ23,NĐ!AP23)))</f>
        <v>0</v>
      </c>
      <c r="F23">
        <f>SUMPRODUCT((MONTH(CHOOSE({1,2,3,4},NĐ!U23,NĐ!AA23,NĐ!AG23,NĐ!AM23))=6)*(CHOOSE({1,2,3,4},NĐ!X23,NĐ!AD23,NĐ!AJ23,NĐ!AP23)))</f>
        <v>0</v>
      </c>
      <c r="G23">
        <f>SUMPRODUCT((MONTH(CHOOSE({1,2,3,4},NĐ!U23,NĐ!AA23,NĐ!AG23,NĐ!AM23))=7)*(CHOOSE({1,2,3,4},NĐ!X23,NĐ!AD23,NĐ!AJ23,NĐ!AP23)))</f>
        <v>0</v>
      </c>
      <c r="H23">
        <f>SUMPRODUCT((MONTH(CHOOSE({1,2,3,4},NĐ!U23,NĐ!AA23,NĐ!AG23,NĐ!AM23))=8)*(CHOOSE({1,2,3,4},NĐ!X23,NĐ!AD23,NĐ!AJ23,NĐ!AP23)))</f>
        <v>0</v>
      </c>
      <c r="I23">
        <f>SUMPRODUCT((MONTH(CHOOSE({1,2,3,4},NĐ!U23,NĐ!AA23,NĐ!AG23,NĐ!AM23))=9)*(CHOOSE({1,2,3,4},NĐ!X23,NĐ!AD23,NĐ!AJ23,NĐ!AP23)))</f>
        <v>0</v>
      </c>
      <c r="J23">
        <f>SUMPRODUCT((MONTH(CHOOSE({1,2,3,4},NĐ!U23,NĐ!AA23,NĐ!AG23,NĐ!AM23))=10)*(CHOOSE({1,2,3,4},NĐ!X23,NĐ!AD23,NĐ!AJ23,NĐ!AP23)))</f>
        <v>0</v>
      </c>
      <c r="K23">
        <f>SUMPRODUCT((MONTH(CHOOSE({1,2,3,4},NĐ!U23,NĐ!AA23,NĐ!AG23,NĐ!AM23))=11)*(CHOOSE({1,2,3,4},NĐ!X23,NĐ!AD23,NĐ!AJ23,NĐ!AP23)))</f>
        <v>0</v>
      </c>
      <c r="L23">
        <f>SUMPRODUCT((MONTH(CHOOSE({1,2,3,4},NĐ!U23,NĐ!AA23,NĐ!AG23,NĐ!AM23))=12)*(CHOOSE({1,2,3,4},NĐ!X23,NĐ!AD23,NĐ!AJ23,NĐ!AP23)))</f>
        <v>0</v>
      </c>
    </row>
    <row r="24" spans="1:12">
      <c r="A24">
        <f>SUMPRODUCT((MONTH(CHOOSE({1,2,3,4},NĐ!U24,NĐ!AA24,NĐ!AG24,NĐ!AM24))=1)*(CHOOSE({1,2,3,4},NĐ!X24,NĐ!AD24,NĐ!AJ24,NĐ!AP24)))</f>
        <v>0</v>
      </c>
      <c r="B24">
        <f>SUMPRODUCT((MONTH(CHOOSE({1,2,3,4},NĐ!U24,NĐ!AA24,NĐ!AG24,NĐ!AM24))=2)*(CHOOSE({1,2,3,4},NĐ!X24,NĐ!AD24,NĐ!AJ24,NĐ!AP24)))</f>
        <v>0</v>
      </c>
      <c r="C24">
        <f>SUMPRODUCT((MONTH(CHOOSE({1,2,3,4},NĐ!U24,NĐ!AA24,NĐ!AG24,NĐ!AM24))=3)*(CHOOSE({1,2,3,4},NĐ!X24,NĐ!AD24,NĐ!AJ24,NĐ!AP24)))</f>
        <v>0</v>
      </c>
      <c r="D24">
        <f>SUMPRODUCT((MONTH(CHOOSE({1,2,3,4},NĐ!U24,NĐ!AA24,NĐ!AG24,NĐ!AM24))=4)*(CHOOSE({1,2,3,4},NĐ!X24,NĐ!AD24,NĐ!AJ24,NĐ!AP24)))</f>
        <v>0</v>
      </c>
      <c r="E24">
        <f>SUMPRODUCT((MONTH(CHOOSE({1,2,3,4},NĐ!U24,NĐ!AA24,NĐ!AG24,NĐ!AM24))=5)*(CHOOSE({1,2,3,4},NĐ!X24,NĐ!AD24,NĐ!AJ24,NĐ!AP24)))</f>
        <v>0</v>
      </c>
      <c r="F24">
        <f>SUMPRODUCT((MONTH(CHOOSE({1,2,3,4},NĐ!U24,NĐ!AA24,NĐ!AG24,NĐ!AM24))=6)*(CHOOSE({1,2,3,4},NĐ!X24,NĐ!AD24,NĐ!AJ24,NĐ!AP24)))</f>
        <v>0</v>
      </c>
      <c r="G24">
        <f>SUMPRODUCT((MONTH(CHOOSE({1,2,3,4},NĐ!U24,NĐ!AA24,NĐ!AG24,NĐ!AM24))=7)*(CHOOSE({1,2,3,4},NĐ!X24,NĐ!AD24,NĐ!AJ24,NĐ!AP24)))</f>
        <v>0</v>
      </c>
      <c r="H24">
        <f>SUMPRODUCT((MONTH(CHOOSE({1,2,3,4},NĐ!U24,NĐ!AA24,NĐ!AG24,NĐ!AM24))=8)*(CHOOSE({1,2,3,4},NĐ!X24,NĐ!AD24,NĐ!AJ24,NĐ!AP24)))</f>
        <v>0</v>
      </c>
      <c r="I24">
        <f>SUMPRODUCT((MONTH(CHOOSE({1,2,3,4},NĐ!U24,NĐ!AA24,NĐ!AG24,NĐ!AM24))=9)*(CHOOSE({1,2,3,4},NĐ!X24,NĐ!AD24,NĐ!AJ24,NĐ!AP24)))</f>
        <v>0</v>
      </c>
      <c r="J24">
        <f>SUMPRODUCT((MONTH(CHOOSE({1,2,3,4},NĐ!U24,NĐ!AA24,NĐ!AG24,NĐ!AM24))=10)*(CHOOSE({1,2,3,4},NĐ!X24,NĐ!AD24,NĐ!AJ24,NĐ!AP24)))</f>
        <v>0</v>
      </c>
      <c r="K24">
        <f>SUMPRODUCT((MONTH(CHOOSE({1,2,3,4},NĐ!U24,NĐ!AA24,NĐ!AG24,NĐ!AM24))=11)*(CHOOSE({1,2,3,4},NĐ!X24,NĐ!AD24,NĐ!AJ24,NĐ!AP24)))</f>
        <v>0</v>
      </c>
      <c r="L24">
        <f>SUMPRODUCT((MONTH(CHOOSE({1,2,3,4},NĐ!U24,NĐ!AA24,NĐ!AG24,NĐ!AM24))=12)*(CHOOSE({1,2,3,4},NĐ!X24,NĐ!AD24,NĐ!AJ24,NĐ!AP24)))</f>
        <v>0</v>
      </c>
    </row>
    <row r="25" spans="1:12">
      <c r="A25">
        <f>SUMPRODUCT((MONTH(CHOOSE({1,2,3,4},NĐ!U25,NĐ!AA25,NĐ!AG25,NĐ!AM25))=1)*(CHOOSE({1,2,3,4},NĐ!X25,NĐ!AD25,NĐ!AJ25,NĐ!AP25)))</f>
        <v>0</v>
      </c>
      <c r="B25">
        <f>SUMPRODUCT((MONTH(CHOOSE({1,2,3,4},NĐ!U25,NĐ!AA25,NĐ!AG25,NĐ!AM25))=2)*(CHOOSE({1,2,3,4},NĐ!X25,NĐ!AD25,NĐ!AJ25,NĐ!AP25)))</f>
        <v>0</v>
      </c>
      <c r="C25">
        <f>SUMPRODUCT((MONTH(CHOOSE({1,2,3,4},NĐ!U25,NĐ!AA25,NĐ!AG25,NĐ!AM25))=3)*(CHOOSE({1,2,3,4},NĐ!X25,NĐ!AD25,NĐ!AJ25,NĐ!AP25)))</f>
        <v>0</v>
      </c>
      <c r="D25">
        <f>SUMPRODUCT((MONTH(CHOOSE({1,2,3,4},NĐ!U25,NĐ!AA25,NĐ!AG25,NĐ!AM25))=4)*(CHOOSE({1,2,3,4},NĐ!X25,NĐ!AD25,NĐ!AJ25,NĐ!AP25)))</f>
        <v>0</v>
      </c>
      <c r="E25">
        <f>SUMPRODUCT((MONTH(CHOOSE({1,2,3,4},NĐ!U25,NĐ!AA25,NĐ!AG25,NĐ!AM25))=5)*(CHOOSE({1,2,3,4},NĐ!X25,NĐ!AD25,NĐ!AJ25,NĐ!AP25)))</f>
        <v>0</v>
      </c>
      <c r="F25">
        <f>SUMPRODUCT((MONTH(CHOOSE({1,2,3,4},NĐ!U25,NĐ!AA25,NĐ!AG25,NĐ!AM25))=6)*(CHOOSE({1,2,3,4},NĐ!X25,NĐ!AD25,NĐ!AJ25,NĐ!AP25)))</f>
        <v>0</v>
      </c>
      <c r="G25">
        <f>SUMPRODUCT((MONTH(CHOOSE({1,2,3,4},NĐ!U25,NĐ!AA25,NĐ!AG25,NĐ!AM25))=7)*(CHOOSE({1,2,3,4},NĐ!X25,NĐ!AD25,NĐ!AJ25,NĐ!AP25)))</f>
        <v>0</v>
      </c>
      <c r="H25">
        <f>SUMPRODUCT((MONTH(CHOOSE({1,2,3,4},NĐ!U25,NĐ!AA25,NĐ!AG25,NĐ!AM25))=8)*(CHOOSE({1,2,3,4},NĐ!X25,NĐ!AD25,NĐ!AJ25,NĐ!AP25)))</f>
        <v>0</v>
      </c>
      <c r="I25">
        <f>SUMPRODUCT((MONTH(CHOOSE({1,2,3,4},NĐ!U25,NĐ!AA25,NĐ!AG25,NĐ!AM25))=9)*(CHOOSE({1,2,3,4},NĐ!X25,NĐ!AD25,NĐ!AJ25,NĐ!AP25)))</f>
        <v>0</v>
      </c>
      <c r="J25">
        <f>SUMPRODUCT((MONTH(CHOOSE({1,2,3,4},NĐ!U25,NĐ!AA25,NĐ!AG25,NĐ!AM25))=10)*(CHOOSE({1,2,3,4},NĐ!X25,NĐ!AD25,NĐ!AJ25,NĐ!AP25)))</f>
        <v>0</v>
      </c>
      <c r="K25">
        <f>SUMPRODUCT((MONTH(CHOOSE({1,2,3,4},NĐ!U25,NĐ!AA25,NĐ!AG25,NĐ!AM25))=11)*(CHOOSE({1,2,3,4},NĐ!X25,NĐ!AD25,NĐ!AJ25,NĐ!AP25)))</f>
        <v>0</v>
      </c>
      <c r="L25">
        <f>SUMPRODUCT((MONTH(CHOOSE({1,2,3,4},NĐ!U25,NĐ!AA25,NĐ!AG25,NĐ!AM25))=12)*(CHOOSE({1,2,3,4},NĐ!X25,NĐ!AD25,NĐ!AJ25,NĐ!AP25)))</f>
        <v>0</v>
      </c>
    </row>
    <row r="26" spans="1:12">
      <c r="A26">
        <f>SUMPRODUCT((MONTH(CHOOSE({1,2,3,4},NĐ!U26,NĐ!AA26,NĐ!AG26,NĐ!AM26))=1)*(CHOOSE({1,2,3,4},NĐ!X26,NĐ!AD26,NĐ!AJ26,NĐ!AP26)))</f>
        <v>0</v>
      </c>
      <c r="B26">
        <f>SUMPRODUCT((MONTH(CHOOSE({1,2,3,4},NĐ!U26,NĐ!AA26,NĐ!AG26,NĐ!AM26))=2)*(CHOOSE({1,2,3,4},NĐ!X26,NĐ!AD26,NĐ!AJ26,NĐ!AP26)))</f>
        <v>0</v>
      </c>
      <c r="C26">
        <f>SUMPRODUCT((MONTH(CHOOSE({1,2,3,4},NĐ!U26,NĐ!AA26,NĐ!AG26,NĐ!AM26))=3)*(CHOOSE({1,2,3,4},NĐ!X26,NĐ!AD26,NĐ!AJ26,NĐ!AP26)))</f>
        <v>0</v>
      </c>
      <c r="D26">
        <f>SUMPRODUCT((MONTH(CHOOSE({1,2,3,4},NĐ!U26,NĐ!AA26,NĐ!AG26,NĐ!AM26))=4)*(CHOOSE({1,2,3,4},NĐ!X26,NĐ!AD26,NĐ!AJ26,NĐ!AP26)))</f>
        <v>0</v>
      </c>
      <c r="E26">
        <f>SUMPRODUCT((MONTH(CHOOSE({1,2,3,4},NĐ!U26,NĐ!AA26,NĐ!AG26,NĐ!AM26))=5)*(CHOOSE({1,2,3,4},NĐ!X26,NĐ!AD26,NĐ!AJ26,NĐ!AP26)))</f>
        <v>0</v>
      </c>
      <c r="F26">
        <f>SUMPRODUCT((MONTH(CHOOSE({1,2,3,4},NĐ!U26,NĐ!AA26,NĐ!AG26,NĐ!AM26))=6)*(CHOOSE({1,2,3,4},NĐ!X26,NĐ!AD26,NĐ!AJ26,NĐ!AP26)))</f>
        <v>0</v>
      </c>
      <c r="G26">
        <f>SUMPRODUCT((MONTH(CHOOSE({1,2,3,4},NĐ!U26,NĐ!AA26,NĐ!AG26,NĐ!AM26))=7)*(CHOOSE({1,2,3,4},NĐ!X26,NĐ!AD26,NĐ!AJ26,NĐ!AP26)))</f>
        <v>0</v>
      </c>
      <c r="H26">
        <f>SUMPRODUCT((MONTH(CHOOSE({1,2,3,4},NĐ!U26,NĐ!AA26,NĐ!AG26,NĐ!AM26))=8)*(CHOOSE({1,2,3,4},NĐ!X26,NĐ!AD26,NĐ!AJ26,NĐ!AP26)))</f>
        <v>0</v>
      </c>
      <c r="I26">
        <f>SUMPRODUCT((MONTH(CHOOSE({1,2,3,4},NĐ!U26,NĐ!AA26,NĐ!AG26,NĐ!AM26))=9)*(CHOOSE({1,2,3,4},NĐ!X26,NĐ!AD26,NĐ!AJ26,NĐ!AP26)))</f>
        <v>0</v>
      </c>
      <c r="J26">
        <f>SUMPRODUCT((MONTH(CHOOSE({1,2,3,4},NĐ!U26,NĐ!AA26,NĐ!AG26,NĐ!AM26))=10)*(CHOOSE({1,2,3,4},NĐ!X26,NĐ!AD26,NĐ!AJ26,NĐ!AP26)))</f>
        <v>0</v>
      </c>
      <c r="K26">
        <f>SUMPRODUCT((MONTH(CHOOSE({1,2,3,4},NĐ!U26,NĐ!AA26,NĐ!AG26,NĐ!AM26))=11)*(CHOOSE({1,2,3,4},NĐ!X26,NĐ!AD26,NĐ!AJ26,NĐ!AP26)))</f>
        <v>0</v>
      </c>
      <c r="L26">
        <f>SUMPRODUCT((MONTH(CHOOSE({1,2,3,4},NĐ!U26,NĐ!AA26,NĐ!AG26,NĐ!AM26))=12)*(CHOOSE({1,2,3,4},NĐ!X26,NĐ!AD26,NĐ!AJ26,NĐ!AP26)))</f>
        <v>0</v>
      </c>
    </row>
    <row r="27" spans="1:12">
      <c r="A27">
        <f>SUMPRODUCT((MONTH(CHOOSE({1,2,3,4},NĐ!U27,NĐ!AA27,NĐ!AG27,NĐ!AM27))=1)*(CHOOSE({1,2,3,4},NĐ!X27,NĐ!AD27,NĐ!AJ27,NĐ!AP27)))</f>
        <v>0</v>
      </c>
      <c r="B27">
        <f>SUMPRODUCT((MONTH(CHOOSE({1,2,3,4},NĐ!U27,NĐ!AA27,NĐ!AG27,NĐ!AM27))=2)*(CHOOSE({1,2,3,4},NĐ!X27,NĐ!AD27,NĐ!AJ27,NĐ!AP27)))</f>
        <v>0</v>
      </c>
      <c r="C27">
        <f>SUMPRODUCT((MONTH(CHOOSE({1,2,3,4},NĐ!U27,NĐ!AA27,NĐ!AG27,NĐ!AM27))=3)*(CHOOSE({1,2,3,4},NĐ!X27,NĐ!AD27,NĐ!AJ27,NĐ!AP27)))</f>
        <v>0</v>
      </c>
      <c r="D27">
        <f>SUMPRODUCT((MONTH(CHOOSE({1,2,3,4},NĐ!U27,NĐ!AA27,NĐ!AG27,NĐ!AM27))=4)*(CHOOSE({1,2,3,4},NĐ!X27,NĐ!AD27,NĐ!AJ27,NĐ!AP27)))</f>
        <v>0</v>
      </c>
      <c r="E27">
        <f>SUMPRODUCT((MONTH(CHOOSE({1,2,3,4},NĐ!U27,NĐ!AA27,NĐ!AG27,NĐ!AM27))=5)*(CHOOSE({1,2,3,4},NĐ!X27,NĐ!AD27,NĐ!AJ27,NĐ!AP27)))</f>
        <v>0</v>
      </c>
      <c r="F27">
        <f>SUMPRODUCT((MONTH(CHOOSE({1,2,3,4},NĐ!U27,NĐ!AA27,NĐ!AG27,NĐ!AM27))=6)*(CHOOSE({1,2,3,4},NĐ!X27,NĐ!AD27,NĐ!AJ27,NĐ!AP27)))</f>
        <v>0</v>
      </c>
      <c r="G27">
        <f>SUMPRODUCT((MONTH(CHOOSE({1,2,3,4},NĐ!U27,NĐ!AA27,NĐ!AG27,NĐ!AM27))=7)*(CHOOSE({1,2,3,4},NĐ!X27,NĐ!AD27,NĐ!AJ27,NĐ!AP27)))</f>
        <v>0</v>
      </c>
      <c r="H27">
        <f>SUMPRODUCT((MONTH(CHOOSE({1,2,3,4},NĐ!U27,NĐ!AA27,NĐ!AG27,NĐ!AM27))=8)*(CHOOSE({1,2,3,4},NĐ!X27,NĐ!AD27,NĐ!AJ27,NĐ!AP27)))</f>
        <v>0</v>
      </c>
      <c r="I27">
        <f>SUMPRODUCT((MONTH(CHOOSE({1,2,3,4},NĐ!U27,NĐ!AA27,NĐ!AG27,NĐ!AM27))=9)*(CHOOSE({1,2,3,4},NĐ!X27,NĐ!AD27,NĐ!AJ27,NĐ!AP27)))</f>
        <v>0</v>
      </c>
      <c r="J27">
        <f>SUMPRODUCT((MONTH(CHOOSE({1,2,3,4},NĐ!U27,NĐ!AA27,NĐ!AG27,NĐ!AM27))=10)*(CHOOSE({1,2,3,4},NĐ!X27,NĐ!AD27,NĐ!AJ27,NĐ!AP27)))</f>
        <v>0</v>
      </c>
      <c r="K27">
        <f>SUMPRODUCT((MONTH(CHOOSE({1,2,3,4},NĐ!U27,NĐ!AA27,NĐ!AG27,NĐ!AM27))=11)*(CHOOSE({1,2,3,4},NĐ!X27,NĐ!AD27,NĐ!AJ27,NĐ!AP27)))</f>
        <v>0</v>
      </c>
      <c r="L27">
        <f>SUMPRODUCT((MONTH(CHOOSE({1,2,3,4},NĐ!U27,NĐ!AA27,NĐ!AG27,NĐ!AM27))=12)*(CHOOSE({1,2,3,4},NĐ!X27,NĐ!AD27,NĐ!AJ27,NĐ!AP27)))</f>
        <v>0</v>
      </c>
    </row>
    <row r="28" spans="1:12">
      <c r="A28">
        <f>SUMPRODUCT((MONTH(CHOOSE({1,2,3,4},NĐ!U28,NĐ!AA28,NĐ!AG28,NĐ!AM28))=1)*(CHOOSE({1,2,3,4},NĐ!X28,NĐ!AD28,NĐ!AJ28,NĐ!AP28)))</f>
        <v>0</v>
      </c>
      <c r="B28">
        <f>SUMPRODUCT((MONTH(CHOOSE({1,2,3,4},NĐ!U28,NĐ!AA28,NĐ!AG28,NĐ!AM28))=2)*(CHOOSE({1,2,3,4},NĐ!X28,NĐ!AD28,NĐ!AJ28,NĐ!AP28)))</f>
        <v>0</v>
      </c>
      <c r="C28">
        <f>SUMPRODUCT((MONTH(CHOOSE({1,2,3,4},NĐ!U28,NĐ!AA28,NĐ!AG28,NĐ!AM28))=3)*(CHOOSE({1,2,3,4},NĐ!X28,NĐ!AD28,NĐ!AJ28,NĐ!AP28)))</f>
        <v>0</v>
      </c>
      <c r="D28">
        <f>SUMPRODUCT((MONTH(CHOOSE({1,2,3,4},NĐ!U28,NĐ!AA28,NĐ!AG28,NĐ!AM28))=4)*(CHOOSE({1,2,3,4},NĐ!X28,NĐ!AD28,NĐ!AJ28,NĐ!AP28)))</f>
        <v>0</v>
      </c>
      <c r="E28">
        <f>SUMPRODUCT((MONTH(CHOOSE({1,2,3,4},NĐ!U28,NĐ!AA28,NĐ!AG28,NĐ!AM28))=5)*(CHOOSE({1,2,3,4},NĐ!X28,NĐ!AD28,NĐ!AJ28,NĐ!AP28)))</f>
        <v>0</v>
      </c>
      <c r="F28">
        <f>SUMPRODUCT((MONTH(CHOOSE({1,2,3,4},NĐ!U28,NĐ!AA28,NĐ!AG28,NĐ!AM28))=6)*(CHOOSE({1,2,3,4},NĐ!X28,NĐ!AD28,NĐ!AJ28,NĐ!AP28)))</f>
        <v>0</v>
      </c>
      <c r="G28">
        <f>SUMPRODUCT((MONTH(CHOOSE({1,2,3,4},NĐ!U28,NĐ!AA28,NĐ!AG28,NĐ!AM28))=7)*(CHOOSE({1,2,3,4},NĐ!X28,NĐ!AD28,NĐ!AJ28,NĐ!AP28)))</f>
        <v>0</v>
      </c>
      <c r="H28">
        <f>SUMPRODUCT((MONTH(CHOOSE({1,2,3,4},NĐ!U28,NĐ!AA28,NĐ!AG28,NĐ!AM28))=8)*(CHOOSE({1,2,3,4},NĐ!X28,NĐ!AD28,NĐ!AJ28,NĐ!AP28)))</f>
        <v>0</v>
      </c>
      <c r="I28">
        <f>SUMPRODUCT((MONTH(CHOOSE({1,2,3,4},NĐ!U28,NĐ!AA28,NĐ!AG28,NĐ!AM28))=9)*(CHOOSE({1,2,3,4},NĐ!X28,NĐ!AD28,NĐ!AJ28,NĐ!AP28)))</f>
        <v>0</v>
      </c>
      <c r="J28">
        <f>SUMPRODUCT((MONTH(CHOOSE({1,2,3,4},NĐ!U28,NĐ!AA28,NĐ!AG28,NĐ!AM28))=10)*(CHOOSE({1,2,3,4},NĐ!X28,NĐ!AD28,NĐ!AJ28,NĐ!AP28)))</f>
        <v>0</v>
      </c>
      <c r="K28">
        <f>SUMPRODUCT((MONTH(CHOOSE({1,2,3,4},NĐ!U28,NĐ!AA28,NĐ!AG28,NĐ!AM28))=11)*(CHOOSE({1,2,3,4},NĐ!X28,NĐ!AD28,NĐ!AJ28,NĐ!AP28)))</f>
        <v>0</v>
      </c>
      <c r="L28">
        <f>SUMPRODUCT((MONTH(CHOOSE({1,2,3,4},NĐ!U28,NĐ!AA28,NĐ!AG28,NĐ!AM28))=12)*(CHOOSE({1,2,3,4},NĐ!X28,NĐ!AD28,NĐ!AJ28,NĐ!AP28)))</f>
        <v>0</v>
      </c>
    </row>
    <row r="29" spans="1:12">
      <c r="A29">
        <f>SUMPRODUCT((MONTH(CHOOSE({1,2,3,4},NĐ!U29,NĐ!AA29,NĐ!AG29,NĐ!AM29))=1)*(CHOOSE({1,2,3,4},NĐ!X29,NĐ!AD29,NĐ!AJ29,NĐ!AP29)))</f>
        <v>0</v>
      </c>
      <c r="B29">
        <f>SUMPRODUCT((MONTH(CHOOSE({1,2,3,4},NĐ!U29,NĐ!AA29,NĐ!AG29,NĐ!AM29))=2)*(CHOOSE({1,2,3,4},NĐ!X29,NĐ!AD29,NĐ!AJ29,NĐ!AP29)))</f>
        <v>0</v>
      </c>
      <c r="C29">
        <f>SUMPRODUCT((MONTH(CHOOSE({1,2,3,4},NĐ!U29,NĐ!AA29,NĐ!AG29,NĐ!AM29))=3)*(CHOOSE({1,2,3,4},NĐ!X29,NĐ!AD29,NĐ!AJ29,NĐ!AP29)))</f>
        <v>0</v>
      </c>
      <c r="D29">
        <f>SUMPRODUCT((MONTH(CHOOSE({1,2,3,4},NĐ!U29,NĐ!AA29,NĐ!AG29,NĐ!AM29))=4)*(CHOOSE({1,2,3,4},NĐ!X29,NĐ!AD29,NĐ!AJ29,NĐ!AP29)))</f>
        <v>0</v>
      </c>
      <c r="E29">
        <f>SUMPRODUCT((MONTH(CHOOSE({1,2,3,4},NĐ!U29,NĐ!AA29,NĐ!AG29,NĐ!AM29))=5)*(CHOOSE({1,2,3,4},NĐ!X29,NĐ!AD29,NĐ!AJ29,NĐ!AP29)))</f>
        <v>0</v>
      </c>
      <c r="F29">
        <f>SUMPRODUCT((MONTH(CHOOSE({1,2,3,4},NĐ!U29,NĐ!AA29,NĐ!AG29,NĐ!AM29))=6)*(CHOOSE({1,2,3,4},NĐ!X29,NĐ!AD29,NĐ!AJ29,NĐ!AP29)))</f>
        <v>0</v>
      </c>
      <c r="G29">
        <f>SUMPRODUCT((MONTH(CHOOSE({1,2,3,4},NĐ!U29,NĐ!AA29,NĐ!AG29,NĐ!AM29))=7)*(CHOOSE({1,2,3,4},NĐ!X29,NĐ!AD29,NĐ!AJ29,NĐ!AP29)))</f>
        <v>0</v>
      </c>
      <c r="H29">
        <f>SUMPRODUCT((MONTH(CHOOSE({1,2,3,4},NĐ!U29,NĐ!AA29,NĐ!AG29,NĐ!AM29))=8)*(CHOOSE({1,2,3,4},NĐ!X29,NĐ!AD29,NĐ!AJ29,NĐ!AP29)))</f>
        <v>0</v>
      </c>
      <c r="I29">
        <f>SUMPRODUCT((MONTH(CHOOSE({1,2,3,4},NĐ!U29,NĐ!AA29,NĐ!AG29,NĐ!AM29))=9)*(CHOOSE({1,2,3,4},NĐ!X29,NĐ!AD29,NĐ!AJ29,NĐ!AP29)))</f>
        <v>0</v>
      </c>
      <c r="J29">
        <f>SUMPRODUCT((MONTH(CHOOSE({1,2,3,4},NĐ!U29,NĐ!AA29,NĐ!AG29,NĐ!AM29))=10)*(CHOOSE({1,2,3,4},NĐ!X29,NĐ!AD29,NĐ!AJ29,NĐ!AP29)))</f>
        <v>0</v>
      </c>
      <c r="K29">
        <f>SUMPRODUCT((MONTH(CHOOSE({1,2,3,4},NĐ!U29,NĐ!AA29,NĐ!AG29,NĐ!AM29))=11)*(CHOOSE({1,2,3,4},NĐ!X29,NĐ!AD29,NĐ!AJ29,NĐ!AP29)))</f>
        <v>0</v>
      </c>
      <c r="L29">
        <f>SUMPRODUCT((MONTH(CHOOSE({1,2,3,4},NĐ!U29,NĐ!AA29,NĐ!AG29,NĐ!AM29))=12)*(CHOOSE({1,2,3,4},NĐ!X29,NĐ!AD29,NĐ!AJ29,NĐ!AP29)))</f>
        <v>0</v>
      </c>
    </row>
    <row r="30" spans="1:12">
      <c r="A30">
        <f>SUMPRODUCT((MONTH(CHOOSE({1,2,3,4},NĐ!U30,NĐ!AA30,NĐ!AG30,NĐ!AM30))=1)*(CHOOSE({1,2,3,4},NĐ!X30,NĐ!AD30,NĐ!AJ30,NĐ!AP30)))</f>
        <v>0</v>
      </c>
      <c r="B30">
        <f>SUMPRODUCT((MONTH(CHOOSE({1,2,3,4},NĐ!U30,NĐ!AA30,NĐ!AG30,NĐ!AM30))=2)*(CHOOSE({1,2,3,4},NĐ!X30,NĐ!AD30,NĐ!AJ30,NĐ!AP30)))</f>
        <v>0</v>
      </c>
      <c r="C30">
        <f>SUMPRODUCT((MONTH(CHOOSE({1,2,3,4},NĐ!U30,NĐ!AA30,NĐ!AG30,NĐ!AM30))=3)*(CHOOSE({1,2,3,4},NĐ!X30,NĐ!AD30,NĐ!AJ30,NĐ!AP30)))</f>
        <v>0</v>
      </c>
      <c r="D30">
        <f>SUMPRODUCT((MONTH(CHOOSE({1,2,3,4},NĐ!U30,NĐ!AA30,NĐ!AG30,NĐ!AM30))=4)*(CHOOSE({1,2,3,4},NĐ!X30,NĐ!AD30,NĐ!AJ30,NĐ!AP30)))</f>
        <v>0</v>
      </c>
      <c r="E30">
        <f>SUMPRODUCT((MONTH(CHOOSE({1,2,3,4},NĐ!U30,NĐ!AA30,NĐ!AG30,NĐ!AM30))=5)*(CHOOSE({1,2,3,4},NĐ!X30,NĐ!AD30,NĐ!AJ30,NĐ!AP30)))</f>
        <v>0</v>
      </c>
      <c r="F30">
        <f>SUMPRODUCT((MONTH(CHOOSE({1,2,3,4},NĐ!U30,NĐ!AA30,NĐ!AG30,NĐ!AM30))=6)*(CHOOSE({1,2,3,4},NĐ!X30,NĐ!AD30,NĐ!AJ30,NĐ!AP30)))</f>
        <v>0</v>
      </c>
      <c r="G30">
        <f>SUMPRODUCT((MONTH(CHOOSE({1,2,3,4},NĐ!U30,NĐ!AA30,NĐ!AG30,NĐ!AM30))=7)*(CHOOSE({1,2,3,4},NĐ!X30,NĐ!AD30,NĐ!AJ30,NĐ!AP30)))</f>
        <v>0</v>
      </c>
      <c r="H30">
        <f>SUMPRODUCT((MONTH(CHOOSE({1,2,3,4},NĐ!U30,NĐ!AA30,NĐ!AG30,NĐ!AM30))=8)*(CHOOSE({1,2,3,4},NĐ!X30,NĐ!AD30,NĐ!AJ30,NĐ!AP30)))</f>
        <v>0</v>
      </c>
      <c r="I30">
        <f>SUMPRODUCT((MONTH(CHOOSE({1,2,3,4},NĐ!U30,NĐ!AA30,NĐ!AG30,NĐ!AM30))=9)*(CHOOSE({1,2,3,4},NĐ!X30,NĐ!AD30,NĐ!AJ30,NĐ!AP30)))</f>
        <v>0</v>
      </c>
      <c r="J30">
        <f>SUMPRODUCT((MONTH(CHOOSE({1,2,3,4},NĐ!U30,NĐ!AA30,NĐ!AG30,NĐ!AM30))=10)*(CHOOSE({1,2,3,4},NĐ!X30,NĐ!AD30,NĐ!AJ30,NĐ!AP30)))</f>
        <v>0</v>
      </c>
      <c r="K30">
        <f>SUMPRODUCT((MONTH(CHOOSE({1,2,3,4},NĐ!U30,NĐ!AA30,NĐ!AG30,NĐ!AM30))=11)*(CHOOSE({1,2,3,4},NĐ!X30,NĐ!AD30,NĐ!AJ30,NĐ!AP30)))</f>
        <v>0</v>
      </c>
      <c r="L30">
        <f>SUMPRODUCT((MONTH(CHOOSE({1,2,3,4},NĐ!U30,NĐ!AA30,NĐ!AG30,NĐ!AM30))=12)*(CHOOSE({1,2,3,4},NĐ!X30,NĐ!AD30,NĐ!AJ30,NĐ!AP30)))</f>
        <v>0</v>
      </c>
    </row>
    <row r="31" spans="1:12">
      <c r="A31">
        <f>SUMPRODUCT((MONTH(CHOOSE({1,2,3,4},NĐ!U31,NĐ!AA31,NĐ!AG31,NĐ!AM31))=1)*(CHOOSE({1,2,3,4},NĐ!X31,NĐ!AD31,NĐ!AJ31,NĐ!AP31)))</f>
        <v>0</v>
      </c>
      <c r="B31">
        <f>SUMPRODUCT((MONTH(CHOOSE({1,2,3,4},NĐ!U31,NĐ!AA31,NĐ!AG31,NĐ!AM31))=2)*(CHOOSE({1,2,3,4},NĐ!X31,NĐ!AD31,NĐ!AJ31,NĐ!AP31)))</f>
        <v>0</v>
      </c>
      <c r="C31">
        <f>SUMPRODUCT((MONTH(CHOOSE({1,2,3,4},NĐ!U31,NĐ!AA31,NĐ!AG31,NĐ!AM31))=3)*(CHOOSE({1,2,3,4},NĐ!X31,NĐ!AD31,NĐ!AJ31,NĐ!AP31)))</f>
        <v>0</v>
      </c>
      <c r="D31">
        <f>SUMPRODUCT((MONTH(CHOOSE({1,2,3,4},NĐ!U31,NĐ!AA31,NĐ!AG31,NĐ!AM31))=4)*(CHOOSE({1,2,3,4},NĐ!X31,NĐ!AD31,NĐ!AJ31,NĐ!AP31)))</f>
        <v>0</v>
      </c>
      <c r="E31">
        <f>SUMPRODUCT((MONTH(CHOOSE({1,2,3,4},NĐ!U31,NĐ!AA31,NĐ!AG31,NĐ!AM31))=5)*(CHOOSE({1,2,3,4},NĐ!X31,NĐ!AD31,NĐ!AJ31,NĐ!AP31)))</f>
        <v>0</v>
      </c>
      <c r="F31">
        <f>SUMPRODUCT((MONTH(CHOOSE({1,2,3,4},NĐ!U31,NĐ!AA31,NĐ!AG31,NĐ!AM31))=6)*(CHOOSE({1,2,3,4},NĐ!X31,NĐ!AD31,NĐ!AJ31,NĐ!AP31)))</f>
        <v>0</v>
      </c>
      <c r="G31">
        <f>SUMPRODUCT((MONTH(CHOOSE({1,2,3,4},NĐ!U31,NĐ!AA31,NĐ!AG31,NĐ!AM31))=7)*(CHOOSE({1,2,3,4},NĐ!X31,NĐ!AD31,NĐ!AJ31,NĐ!AP31)))</f>
        <v>0</v>
      </c>
      <c r="H31">
        <f>SUMPRODUCT((MONTH(CHOOSE({1,2,3,4},NĐ!U31,NĐ!AA31,NĐ!AG31,NĐ!AM31))=8)*(CHOOSE({1,2,3,4},NĐ!X31,NĐ!AD31,NĐ!AJ31,NĐ!AP31)))</f>
        <v>0</v>
      </c>
      <c r="I31">
        <f>SUMPRODUCT((MONTH(CHOOSE({1,2,3,4},NĐ!U31,NĐ!AA31,NĐ!AG31,NĐ!AM31))=9)*(CHOOSE({1,2,3,4},NĐ!X31,NĐ!AD31,NĐ!AJ31,NĐ!AP31)))</f>
        <v>0</v>
      </c>
      <c r="J31">
        <f>SUMPRODUCT((MONTH(CHOOSE({1,2,3,4},NĐ!U31,NĐ!AA31,NĐ!AG31,NĐ!AM31))=10)*(CHOOSE({1,2,3,4},NĐ!X31,NĐ!AD31,NĐ!AJ31,NĐ!AP31)))</f>
        <v>0</v>
      </c>
      <c r="K31">
        <f>SUMPRODUCT((MONTH(CHOOSE({1,2,3,4},NĐ!U31,NĐ!AA31,NĐ!AG31,NĐ!AM31))=11)*(CHOOSE({1,2,3,4},NĐ!X31,NĐ!AD31,NĐ!AJ31,NĐ!AP31)))</f>
        <v>0</v>
      </c>
      <c r="L31">
        <f>SUMPRODUCT((MONTH(CHOOSE({1,2,3,4},NĐ!U31,NĐ!AA31,NĐ!AG31,NĐ!AM31))=12)*(CHOOSE({1,2,3,4},NĐ!X31,NĐ!AD31,NĐ!AJ31,NĐ!AP31)))</f>
        <v>0</v>
      </c>
    </row>
    <row r="32" spans="1:12">
      <c r="A32">
        <f>SUMPRODUCT((MONTH(CHOOSE({1,2,3,4},NĐ!U32,NĐ!AA32,NĐ!AG32,NĐ!AM32))=1)*(CHOOSE({1,2,3,4},NĐ!X32,NĐ!AD32,NĐ!AJ32,NĐ!AP32)))</f>
        <v>0</v>
      </c>
      <c r="B32">
        <f>SUMPRODUCT((MONTH(CHOOSE({1,2,3,4},NĐ!U32,NĐ!AA32,NĐ!AG32,NĐ!AM32))=2)*(CHOOSE({1,2,3,4},NĐ!X32,NĐ!AD32,NĐ!AJ32,NĐ!AP32)))</f>
        <v>0</v>
      </c>
      <c r="C32">
        <f>SUMPRODUCT((MONTH(CHOOSE({1,2,3,4},NĐ!U32,NĐ!AA32,NĐ!AG32,NĐ!AM32))=3)*(CHOOSE({1,2,3,4},NĐ!X32,NĐ!AD32,NĐ!AJ32,NĐ!AP32)))</f>
        <v>0</v>
      </c>
      <c r="D32">
        <f>SUMPRODUCT((MONTH(CHOOSE({1,2,3,4},NĐ!U32,NĐ!AA32,NĐ!AG32,NĐ!AM32))=4)*(CHOOSE({1,2,3,4},NĐ!X32,NĐ!AD32,NĐ!AJ32,NĐ!AP32)))</f>
        <v>0</v>
      </c>
      <c r="E32">
        <f>SUMPRODUCT((MONTH(CHOOSE({1,2,3,4},NĐ!U32,NĐ!AA32,NĐ!AG32,NĐ!AM32))=5)*(CHOOSE({1,2,3,4},NĐ!X32,NĐ!AD32,NĐ!AJ32,NĐ!AP32)))</f>
        <v>0</v>
      </c>
      <c r="F32">
        <f>SUMPRODUCT((MONTH(CHOOSE({1,2,3,4},NĐ!U32,NĐ!AA32,NĐ!AG32,NĐ!AM32))=6)*(CHOOSE({1,2,3,4},NĐ!X32,NĐ!AD32,NĐ!AJ32,NĐ!AP32)))</f>
        <v>0</v>
      </c>
      <c r="G32">
        <f>SUMPRODUCT((MONTH(CHOOSE({1,2,3,4},NĐ!U32,NĐ!AA32,NĐ!AG32,NĐ!AM32))=7)*(CHOOSE({1,2,3,4},NĐ!X32,NĐ!AD32,NĐ!AJ32,NĐ!AP32)))</f>
        <v>0</v>
      </c>
      <c r="H32">
        <f>SUMPRODUCT((MONTH(CHOOSE({1,2,3,4},NĐ!U32,NĐ!AA32,NĐ!AG32,NĐ!AM32))=8)*(CHOOSE({1,2,3,4},NĐ!X32,NĐ!AD32,NĐ!AJ32,NĐ!AP32)))</f>
        <v>0</v>
      </c>
      <c r="I32">
        <f>SUMPRODUCT((MONTH(CHOOSE({1,2,3,4},NĐ!U32,NĐ!AA32,NĐ!AG32,NĐ!AM32))=9)*(CHOOSE({1,2,3,4},NĐ!X32,NĐ!AD32,NĐ!AJ32,NĐ!AP32)))</f>
        <v>0</v>
      </c>
      <c r="J32">
        <f>SUMPRODUCT((MONTH(CHOOSE({1,2,3,4},NĐ!U32,NĐ!AA32,NĐ!AG32,NĐ!AM32))=10)*(CHOOSE({1,2,3,4},NĐ!X32,NĐ!AD32,NĐ!AJ32,NĐ!AP32)))</f>
        <v>0</v>
      </c>
      <c r="K32">
        <f>SUMPRODUCT((MONTH(CHOOSE({1,2,3,4},NĐ!U32,NĐ!AA32,NĐ!AG32,NĐ!AM32))=11)*(CHOOSE({1,2,3,4},NĐ!X32,NĐ!AD32,NĐ!AJ32,NĐ!AP32)))</f>
        <v>0</v>
      </c>
      <c r="L32">
        <f>SUMPRODUCT((MONTH(CHOOSE({1,2,3,4},NĐ!U32,NĐ!AA32,NĐ!AG32,NĐ!AM32))=12)*(CHOOSE({1,2,3,4},NĐ!X32,NĐ!AD32,NĐ!AJ32,NĐ!AP32)))</f>
        <v>0</v>
      </c>
    </row>
    <row r="33" spans="1:12">
      <c r="A33">
        <f>SUMPRODUCT((MONTH(CHOOSE({1,2,3,4},NĐ!U33,NĐ!AA33,NĐ!AG33,NĐ!AM33))=1)*(CHOOSE({1,2,3,4},NĐ!X33,NĐ!AD33,NĐ!AJ33,NĐ!AP33)))</f>
        <v>0</v>
      </c>
      <c r="B33">
        <f>SUMPRODUCT((MONTH(CHOOSE({1,2,3,4},NĐ!U33,NĐ!AA33,NĐ!AG33,NĐ!AM33))=2)*(CHOOSE({1,2,3,4},NĐ!X33,NĐ!AD33,NĐ!AJ33,NĐ!AP33)))</f>
        <v>0</v>
      </c>
      <c r="C33">
        <f>SUMPRODUCT((MONTH(CHOOSE({1,2,3,4},NĐ!U33,NĐ!AA33,NĐ!AG33,NĐ!AM33))=3)*(CHOOSE({1,2,3,4},NĐ!X33,NĐ!AD33,NĐ!AJ33,NĐ!AP33)))</f>
        <v>0</v>
      </c>
      <c r="D33">
        <f>SUMPRODUCT((MONTH(CHOOSE({1,2,3,4},NĐ!U33,NĐ!AA33,NĐ!AG33,NĐ!AM33))=4)*(CHOOSE({1,2,3,4},NĐ!X33,NĐ!AD33,NĐ!AJ33,NĐ!AP33)))</f>
        <v>0</v>
      </c>
      <c r="E33">
        <f>SUMPRODUCT((MONTH(CHOOSE({1,2,3,4},NĐ!U33,NĐ!AA33,NĐ!AG33,NĐ!AM33))=5)*(CHOOSE({1,2,3,4},NĐ!X33,NĐ!AD33,NĐ!AJ33,NĐ!AP33)))</f>
        <v>0</v>
      </c>
      <c r="F33">
        <f>SUMPRODUCT((MONTH(CHOOSE({1,2,3,4},NĐ!U33,NĐ!AA33,NĐ!AG33,NĐ!AM33))=6)*(CHOOSE({1,2,3,4},NĐ!X33,NĐ!AD33,NĐ!AJ33,NĐ!AP33)))</f>
        <v>0</v>
      </c>
      <c r="G33">
        <f>SUMPRODUCT((MONTH(CHOOSE({1,2,3,4},NĐ!U33,NĐ!AA33,NĐ!AG33,NĐ!AM33))=7)*(CHOOSE({1,2,3,4},NĐ!X33,NĐ!AD33,NĐ!AJ33,NĐ!AP33)))</f>
        <v>0</v>
      </c>
      <c r="H33">
        <f>SUMPRODUCT((MONTH(CHOOSE({1,2,3,4},NĐ!U33,NĐ!AA33,NĐ!AG33,NĐ!AM33))=8)*(CHOOSE({1,2,3,4},NĐ!X33,NĐ!AD33,NĐ!AJ33,NĐ!AP33)))</f>
        <v>0</v>
      </c>
      <c r="I33">
        <f>SUMPRODUCT((MONTH(CHOOSE({1,2,3,4},NĐ!U33,NĐ!AA33,NĐ!AG33,NĐ!AM33))=9)*(CHOOSE({1,2,3,4},NĐ!X33,NĐ!AD33,NĐ!AJ33,NĐ!AP33)))</f>
        <v>0</v>
      </c>
      <c r="J33">
        <f>SUMPRODUCT((MONTH(CHOOSE({1,2,3,4},NĐ!U33,NĐ!AA33,NĐ!AG33,NĐ!AM33))=10)*(CHOOSE({1,2,3,4},NĐ!X33,NĐ!AD33,NĐ!AJ33,NĐ!AP33)))</f>
        <v>0</v>
      </c>
      <c r="K33">
        <f>SUMPRODUCT((MONTH(CHOOSE({1,2,3,4},NĐ!U33,NĐ!AA33,NĐ!AG33,NĐ!AM33))=11)*(CHOOSE({1,2,3,4},NĐ!X33,NĐ!AD33,NĐ!AJ33,NĐ!AP33)))</f>
        <v>0</v>
      </c>
      <c r="L33">
        <f>SUMPRODUCT((MONTH(CHOOSE({1,2,3,4},NĐ!U33,NĐ!AA33,NĐ!AG33,NĐ!AM33))=12)*(CHOOSE({1,2,3,4},NĐ!X33,NĐ!AD33,NĐ!AJ33,NĐ!AP33)))</f>
        <v>0</v>
      </c>
    </row>
    <row r="34" spans="1:12">
      <c r="A34">
        <f>SUMPRODUCT((MONTH(CHOOSE({1,2,3,4},NĐ!U34,NĐ!AA34,NĐ!AG34,NĐ!AM34))=1)*(CHOOSE({1,2,3,4},NĐ!X34,NĐ!AD34,NĐ!AJ34,NĐ!AP34)))</f>
        <v>0</v>
      </c>
      <c r="B34">
        <f>SUMPRODUCT((MONTH(CHOOSE({1,2,3,4},NĐ!U34,NĐ!AA34,NĐ!AG34,NĐ!AM34))=2)*(CHOOSE({1,2,3,4},NĐ!X34,NĐ!AD34,NĐ!AJ34,NĐ!AP34)))</f>
        <v>0</v>
      </c>
      <c r="C34">
        <f>SUMPRODUCT((MONTH(CHOOSE({1,2,3,4},NĐ!U34,NĐ!AA34,NĐ!AG34,NĐ!AM34))=3)*(CHOOSE({1,2,3,4},NĐ!X34,NĐ!AD34,NĐ!AJ34,NĐ!AP34)))</f>
        <v>0</v>
      </c>
      <c r="D34">
        <f>SUMPRODUCT((MONTH(CHOOSE({1,2,3,4},NĐ!U34,NĐ!AA34,NĐ!AG34,NĐ!AM34))=4)*(CHOOSE({1,2,3,4},NĐ!X34,NĐ!AD34,NĐ!AJ34,NĐ!AP34)))</f>
        <v>0</v>
      </c>
      <c r="E34">
        <f>SUMPRODUCT((MONTH(CHOOSE({1,2,3,4},NĐ!U34,NĐ!AA34,NĐ!AG34,NĐ!AM34))=5)*(CHOOSE({1,2,3,4},NĐ!X34,NĐ!AD34,NĐ!AJ34,NĐ!AP34)))</f>
        <v>0</v>
      </c>
      <c r="F34">
        <f>SUMPRODUCT((MONTH(CHOOSE({1,2,3,4},NĐ!U34,NĐ!AA34,NĐ!AG34,NĐ!AM34))=6)*(CHOOSE({1,2,3,4},NĐ!X34,NĐ!AD34,NĐ!AJ34,NĐ!AP34)))</f>
        <v>0</v>
      </c>
      <c r="G34">
        <f>SUMPRODUCT((MONTH(CHOOSE({1,2,3,4},NĐ!U34,NĐ!AA34,NĐ!AG34,NĐ!AM34))=7)*(CHOOSE({1,2,3,4},NĐ!X34,NĐ!AD34,NĐ!AJ34,NĐ!AP34)))</f>
        <v>0</v>
      </c>
      <c r="H34">
        <f>SUMPRODUCT((MONTH(CHOOSE({1,2,3,4},NĐ!U34,NĐ!AA34,NĐ!AG34,NĐ!AM34))=8)*(CHOOSE({1,2,3,4},NĐ!X34,NĐ!AD34,NĐ!AJ34,NĐ!AP34)))</f>
        <v>0</v>
      </c>
      <c r="I34">
        <f>SUMPRODUCT((MONTH(CHOOSE({1,2,3,4},NĐ!U34,NĐ!AA34,NĐ!AG34,NĐ!AM34))=9)*(CHOOSE({1,2,3,4},NĐ!X34,NĐ!AD34,NĐ!AJ34,NĐ!AP34)))</f>
        <v>0</v>
      </c>
      <c r="J34">
        <f>SUMPRODUCT((MONTH(CHOOSE({1,2,3,4},NĐ!U34,NĐ!AA34,NĐ!AG34,NĐ!AM34))=10)*(CHOOSE({1,2,3,4},NĐ!X34,NĐ!AD34,NĐ!AJ34,NĐ!AP34)))</f>
        <v>0</v>
      </c>
      <c r="K34">
        <f>SUMPRODUCT((MONTH(CHOOSE({1,2,3,4},NĐ!U34,NĐ!AA34,NĐ!AG34,NĐ!AM34))=11)*(CHOOSE({1,2,3,4},NĐ!X34,NĐ!AD34,NĐ!AJ34,NĐ!AP34)))</f>
        <v>0</v>
      </c>
      <c r="L34">
        <f>SUMPRODUCT((MONTH(CHOOSE({1,2,3,4},NĐ!U34,NĐ!AA34,NĐ!AG34,NĐ!AM34))=12)*(CHOOSE({1,2,3,4},NĐ!X34,NĐ!AD34,NĐ!AJ34,NĐ!AP34)))</f>
        <v>0</v>
      </c>
    </row>
    <row r="35" spans="1:12">
      <c r="A35">
        <f>SUMPRODUCT((MONTH(CHOOSE({1,2,3,4},NĐ!U35,NĐ!AA35,NĐ!AG35,NĐ!AM35))=1)*(CHOOSE({1,2,3,4},NĐ!X35,NĐ!AD35,NĐ!AJ35,NĐ!AP35)))</f>
        <v>0</v>
      </c>
      <c r="B35">
        <f>SUMPRODUCT((MONTH(CHOOSE({1,2,3,4},NĐ!U35,NĐ!AA35,NĐ!AG35,NĐ!AM35))=2)*(CHOOSE({1,2,3,4},NĐ!X35,NĐ!AD35,NĐ!AJ35,NĐ!AP35)))</f>
        <v>0</v>
      </c>
      <c r="C35">
        <f>SUMPRODUCT((MONTH(CHOOSE({1,2,3,4},NĐ!U35,NĐ!AA35,NĐ!AG35,NĐ!AM35))=3)*(CHOOSE({1,2,3,4},NĐ!X35,NĐ!AD35,NĐ!AJ35,NĐ!AP35)))</f>
        <v>0</v>
      </c>
      <c r="D35">
        <f>SUMPRODUCT((MONTH(CHOOSE({1,2,3,4},NĐ!U35,NĐ!AA35,NĐ!AG35,NĐ!AM35))=4)*(CHOOSE({1,2,3,4},NĐ!X35,NĐ!AD35,NĐ!AJ35,NĐ!AP35)))</f>
        <v>0</v>
      </c>
      <c r="E35">
        <f>SUMPRODUCT((MONTH(CHOOSE({1,2,3,4},NĐ!U35,NĐ!AA35,NĐ!AG35,NĐ!AM35))=5)*(CHOOSE({1,2,3,4},NĐ!X35,NĐ!AD35,NĐ!AJ35,NĐ!AP35)))</f>
        <v>0</v>
      </c>
      <c r="F35">
        <f>SUMPRODUCT((MONTH(CHOOSE({1,2,3,4},NĐ!U35,NĐ!AA35,NĐ!AG35,NĐ!AM35))=6)*(CHOOSE({1,2,3,4},NĐ!X35,NĐ!AD35,NĐ!AJ35,NĐ!AP35)))</f>
        <v>0</v>
      </c>
      <c r="G35">
        <f>SUMPRODUCT((MONTH(CHOOSE({1,2,3,4},NĐ!U35,NĐ!AA35,NĐ!AG35,NĐ!AM35))=7)*(CHOOSE({1,2,3,4},NĐ!X35,NĐ!AD35,NĐ!AJ35,NĐ!AP35)))</f>
        <v>0</v>
      </c>
      <c r="H35">
        <f>SUMPRODUCT((MONTH(CHOOSE({1,2,3,4},NĐ!U35,NĐ!AA35,NĐ!AG35,NĐ!AM35))=8)*(CHOOSE({1,2,3,4},NĐ!X35,NĐ!AD35,NĐ!AJ35,NĐ!AP35)))</f>
        <v>0</v>
      </c>
      <c r="I35">
        <f>SUMPRODUCT((MONTH(CHOOSE({1,2,3,4},NĐ!U35,NĐ!AA35,NĐ!AG35,NĐ!AM35))=9)*(CHOOSE({1,2,3,4},NĐ!X35,NĐ!AD35,NĐ!AJ35,NĐ!AP35)))</f>
        <v>0</v>
      </c>
      <c r="J35">
        <f>SUMPRODUCT((MONTH(CHOOSE({1,2,3,4},NĐ!U35,NĐ!AA35,NĐ!AG35,NĐ!AM35))=10)*(CHOOSE({1,2,3,4},NĐ!X35,NĐ!AD35,NĐ!AJ35,NĐ!AP35)))</f>
        <v>0</v>
      </c>
      <c r="K35">
        <f>SUMPRODUCT((MONTH(CHOOSE({1,2,3,4},NĐ!U35,NĐ!AA35,NĐ!AG35,NĐ!AM35))=11)*(CHOOSE({1,2,3,4},NĐ!X35,NĐ!AD35,NĐ!AJ35,NĐ!AP35)))</f>
        <v>0</v>
      </c>
      <c r="L35">
        <f>SUMPRODUCT((MONTH(CHOOSE({1,2,3,4},NĐ!U35,NĐ!AA35,NĐ!AG35,NĐ!AM35))=12)*(CHOOSE({1,2,3,4},NĐ!X35,NĐ!AD35,NĐ!AJ35,NĐ!AP35)))</f>
        <v>0</v>
      </c>
    </row>
    <row r="36" spans="1:12">
      <c r="A36">
        <f>SUMPRODUCT((MONTH(CHOOSE({1,2,3,4},NĐ!U36,NĐ!AA36,NĐ!AG36,NĐ!AM36))=1)*(CHOOSE({1,2,3,4},NĐ!X36,NĐ!AD36,NĐ!AJ36,NĐ!AP36)))</f>
        <v>0</v>
      </c>
      <c r="B36">
        <f>SUMPRODUCT((MONTH(CHOOSE({1,2,3,4},NĐ!U36,NĐ!AA36,NĐ!AG36,NĐ!AM36))=2)*(CHOOSE({1,2,3,4},NĐ!X36,NĐ!AD36,NĐ!AJ36,NĐ!AP36)))</f>
        <v>0</v>
      </c>
      <c r="C36">
        <f>SUMPRODUCT((MONTH(CHOOSE({1,2,3,4},NĐ!U36,NĐ!AA36,NĐ!AG36,NĐ!AM36))=3)*(CHOOSE({1,2,3,4},NĐ!X36,NĐ!AD36,NĐ!AJ36,NĐ!AP36)))</f>
        <v>0</v>
      </c>
      <c r="D36">
        <f>SUMPRODUCT((MONTH(CHOOSE({1,2,3,4},NĐ!U36,NĐ!AA36,NĐ!AG36,NĐ!AM36))=4)*(CHOOSE({1,2,3,4},NĐ!X36,NĐ!AD36,NĐ!AJ36,NĐ!AP36)))</f>
        <v>0</v>
      </c>
      <c r="E36">
        <f>SUMPRODUCT((MONTH(CHOOSE({1,2,3,4},NĐ!U36,NĐ!AA36,NĐ!AG36,NĐ!AM36))=5)*(CHOOSE({1,2,3,4},NĐ!X36,NĐ!AD36,NĐ!AJ36,NĐ!AP36)))</f>
        <v>0</v>
      </c>
      <c r="F36">
        <f>SUMPRODUCT((MONTH(CHOOSE({1,2,3,4},NĐ!U36,NĐ!AA36,NĐ!AG36,NĐ!AM36))=6)*(CHOOSE({1,2,3,4},NĐ!X36,NĐ!AD36,NĐ!AJ36,NĐ!AP36)))</f>
        <v>0</v>
      </c>
      <c r="G36">
        <f>SUMPRODUCT((MONTH(CHOOSE({1,2,3,4},NĐ!U36,NĐ!AA36,NĐ!AG36,NĐ!AM36))=7)*(CHOOSE({1,2,3,4},NĐ!X36,NĐ!AD36,NĐ!AJ36,NĐ!AP36)))</f>
        <v>0</v>
      </c>
      <c r="H36">
        <f>SUMPRODUCT((MONTH(CHOOSE({1,2,3,4},NĐ!U36,NĐ!AA36,NĐ!AG36,NĐ!AM36))=8)*(CHOOSE({1,2,3,4},NĐ!X36,NĐ!AD36,NĐ!AJ36,NĐ!AP36)))</f>
        <v>0</v>
      </c>
      <c r="I36">
        <f>SUMPRODUCT((MONTH(CHOOSE({1,2,3,4},NĐ!U36,NĐ!AA36,NĐ!AG36,NĐ!AM36))=9)*(CHOOSE({1,2,3,4},NĐ!X36,NĐ!AD36,NĐ!AJ36,NĐ!AP36)))</f>
        <v>0</v>
      </c>
      <c r="J36">
        <f>SUMPRODUCT((MONTH(CHOOSE({1,2,3,4},NĐ!U36,NĐ!AA36,NĐ!AG36,NĐ!AM36))=10)*(CHOOSE({1,2,3,4},NĐ!X36,NĐ!AD36,NĐ!AJ36,NĐ!AP36)))</f>
        <v>0</v>
      </c>
      <c r="K36">
        <f>SUMPRODUCT((MONTH(CHOOSE({1,2,3,4},NĐ!U36,NĐ!AA36,NĐ!AG36,NĐ!AM36))=11)*(CHOOSE({1,2,3,4},NĐ!X36,NĐ!AD36,NĐ!AJ36,NĐ!AP36)))</f>
        <v>0</v>
      </c>
      <c r="L36">
        <f>SUMPRODUCT((MONTH(CHOOSE({1,2,3,4},NĐ!U36,NĐ!AA36,NĐ!AG36,NĐ!AM36))=12)*(CHOOSE({1,2,3,4},NĐ!X36,NĐ!AD36,NĐ!AJ36,NĐ!AP36)))</f>
        <v>0</v>
      </c>
    </row>
    <row r="37" spans="1:12">
      <c r="A37">
        <f>SUMPRODUCT((MONTH(CHOOSE({1,2,3,4},NĐ!U37,NĐ!AA37,NĐ!AG37,NĐ!AM37))=1)*(CHOOSE({1,2,3,4},NĐ!X37,NĐ!AD37,NĐ!AJ37,NĐ!AP37)))</f>
        <v>0</v>
      </c>
      <c r="B37">
        <f>SUMPRODUCT((MONTH(CHOOSE({1,2,3,4},NĐ!U37,NĐ!AA37,NĐ!AG37,NĐ!AM37))=2)*(CHOOSE({1,2,3,4},NĐ!X37,NĐ!AD37,NĐ!AJ37,NĐ!AP37)))</f>
        <v>0</v>
      </c>
      <c r="C37">
        <f>SUMPRODUCT((MONTH(CHOOSE({1,2,3,4},NĐ!U37,NĐ!AA37,NĐ!AG37,NĐ!AM37))=3)*(CHOOSE({1,2,3,4},NĐ!X37,NĐ!AD37,NĐ!AJ37,NĐ!AP37)))</f>
        <v>0</v>
      </c>
      <c r="D37">
        <f>SUMPRODUCT((MONTH(CHOOSE({1,2,3,4},NĐ!U37,NĐ!AA37,NĐ!AG37,NĐ!AM37))=4)*(CHOOSE({1,2,3,4},NĐ!X37,NĐ!AD37,NĐ!AJ37,NĐ!AP37)))</f>
        <v>0</v>
      </c>
      <c r="E37">
        <f>SUMPRODUCT((MONTH(CHOOSE({1,2,3,4},NĐ!U37,NĐ!AA37,NĐ!AG37,NĐ!AM37))=5)*(CHOOSE({1,2,3,4},NĐ!X37,NĐ!AD37,NĐ!AJ37,NĐ!AP37)))</f>
        <v>0</v>
      </c>
      <c r="F37">
        <f>SUMPRODUCT((MONTH(CHOOSE({1,2,3,4},NĐ!U37,NĐ!AA37,NĐ!AG37,NĐ!AM37))=6)*(CHOOSE({1,2,3,4},NĐ!X37,NĐ!AD37,NĐ!AJ37,NĐ!AP37)))</f>
        <v>0</v>
      </c>
      <c r="G37">
        <f>SUMPRODUCT((MONTH(CHOOSE({1,2,3,4},NĐ!U37,NĐ!AA37,NĐ!AG37,NĐ!AM37))=7)*(CHOOSE({1,2,3,4},NĐ!X37,NĐ!AD37,NĐ!AJ37,NĐ!AP37)))</f>
        <v>0</v>
      </c>
      <c r="H37">
        <f>SUMPRODUCT((MONTH(CHOOSE({1,2,3,4},NĐ!U37,NĐ!AA37,NĐ!AG37,NĐ!AM37))=8)*(CHOOSE({1,2,3,4},NĐ!X37,NĐ!AD37,NĐ!AJ37,NĐ!AP37)))</f>
        <v>0</v>
      </c>
      <c r="I37">
        <f>SUMPRODUCT((MONTH(CHOOSE({1,2,3,4},NĐ!U37,NĐ!AA37,NĐ!AG37,NĐ!AM37))=9)*(CHOOSE({1,2,3,4},NĐ!X37,NĐ!AD37,NĐ!AJ37,NĐ!AP37)))</f>
        <v>0</v>
      </c>
      <c r="J37">
        <f>SUMPRODUCT((MONTH(CHOOSE({1,2,3,4},NĐ!U37,NĐ!AA37,NĐ!AG37,NĐ!AM37))=10)*(CHOOSE({1,2,3,4},NĐ!X37,NĐ!AD37,NĐ!AJ37,NĐ!AP37)))</f>
        <v>0</v>
      </c>
      <c r="K37">
        <f>SUMPRODUCT((MONTH(CHOOSE({1,2,3,4},NĐ!U37,NĐ!AA37,NĐ!AG37,NĐ!AM37))=11)*(CHOOSE({1,2,3,4},NĐ!X37,NĐ!AD37,NĐ!AJ37,NĐ!AP37)))</f>
        <v>0</v>
      </c>
      <c r="L37">
        <f>SUMPRODUCT((MONTH(CHOOSE({1,2,3,4},NĐ!U37,NĐ!AA37,NĐ!AG37,NĐ!AM37))=12)*(CHOOSE({1,2,3,4},NĐ!X37,NĐ!AD37,NĐ!AJ37,NĐ!AP37)))</f>
        <v>0</v>
      </c>
    </row>
    <row r="38" spans="1:12">
      <c r="A38">
        <f>SUMPRODUCT((MONTH(CHOOSE({1,2,3,4},NĐ!U38,NĐ!AA38,NĐ!AG38,NĐ!AM38))=1)*(CHOOSE({1,2,3,4},NĐ!X38,NĐ!AD38,NĐ!AJ38,NĐ!AP38)))</f>
        <v>0</v>
      </c>
      <c r="B38">
        <f>SUMPRODUCT((MONTH(CHOOSE({1,2,3,4},NĐ!U38,NĐ!AA38,NĐ!AG38,NĐ!AM38))=2)*(CHOOSE({1,2,3,4},NĐ!X38,NĐ!AD38,NĐ!AJ38,NĐ!AP38)))</f>
        <v>0</v>
      </c>
      <c r="C38">
        <f>SUMPRODUCT((MONTH(CHOOSE({1,2,3,4},NĐ!U38,NĐ!AA38,NĐ!AG38,NĐ!AM38))=3)*(CHOOSE({1,2,3,4},NĐ!X38,NĐ!AD38,NĐ!AJ38,NĐ!AP38)))</f>
        <v>0</v>
      </c>
      <c r="D38">
        <f>SUMPRODUCT((MONTH(CHOOSE({1,2,3,4},NĐ!U38,NĐ!AA38,NĐ!AG38,NĐ!AM38))=4)*(CHOOSE({1,2,3,4},NĐ!X38,NĐ!AD38,NĐ!AJ38,NĐ!AP38)))</f>
        <v>0</v>
      </c>
      <c r="E38">
        <f>SUMPRODUCT((MONTH(CHOOSE({1,2,3,4},NĐ!U38,NĐ!AA38,NĐ!AG38,NĐ!AM38))=5)*(CHOOSE({1,2,3,4},NĐ!X38,NĐ!AD38,NĐ!AJ38,NĐ!AP38)))</f>
        <v>0</v>
      </c>
      <c r="F38">
        <f>SUMPRODUCT((MONTH(CHOOSE({1,2,3,4},NĐ!U38,NĐ!AA38,NĐ!AG38,NĐ!AM38))=6)*(CHOOSE({1,2,3,4},NĐ!X38,NĐ!AD38,NĐ!AJ38,NĐ!AP38)))</f>
        <v>0</v>
      </c>
      <c r="G38">
        <f>SUMPRODUCT((MONTH(CHOOSE({1,2,3,4},NĐ!U38,NĐ!AA38,NĐ!AG38,NĐ!AM38))=7)*(CHOOSE({1,2,3,4},NĐ!X38,NĐ!AD38,NĐ!AJ38,NĐ!AP38)))</f>
        <v>0</v>
      </c>
      <c r="H38">
        <f>SUMPRODUCT((MONTH(CHOOSE({1,2,3,4},NĐ!U38,NĐ!AA38,NĐ!AG38,NĐ!AM38))=8)*(CHOOSE({1,2,3,4},NĐ!X38,NĐ!AD38,NĐ!AJ38,NĐ!AP38)))</f>
        <v>0</v>
      </c>
      <c r="I38">
        <f>SUMPRODUCT((MONTH(CHOOSE({1,2,3,4},NĐ!U38,NĐ!AA38,NĐ!AG38,NĐ!AM38))=9)*(CHOOSE({1,2,3,4},NĐ!X38,NĐ!AD38,NĐ!AJ38,NĐ!AP38)))</f>
        <v>0</v>
      </c>
      <c r="J38">
        <f>SUMPRODUCT((MONTH(CHOOSE({1,2,3,4},NĐ!U38,NĐ!AA38,NĐ!AG38,NĐ!AM38))=10)*(CHOOSE({1,2,3,4},NĐ!X38,NĐ!AD38,NĐ!AJ38,NĐ!AP38)))</f>
        <v>0</v>
      </c>
      <c r="K38">
        <f>SUMPRODUCT((MONTH(CHOOSE({1,2,3,4},NĐ!U38,NĐ!AA38,NĐ!AG38,NĐ!AM38))=11)*(CHOOSE({1,2,3,4},NĐ!X38,NĐ!AD38,NĐ!AJ38,NĐ!AP38)))</f>
        <v>0</v>
      </c>
      <c r="L38">
        <f>SUMPRODUCT((MONTH(CHOOSE({1,2,3,4},NĐ!U38,NĐ!AA38,NĐ!AG38,NĐ!AM38))=12)*(CHOOSE({1,2,3,4},NĐ!X38,NĐ!AD38,NĐ!AJ38,NĐ!AP38)))</f>
        <v>0</v>
      </c>
    </row>
    <row r="39" spans="1:12">
      <c r="A39">
        <f>SUMPRODUCT((MONTH(CHOOSE({1,2,3,4},NĐ!U39,NĐ!AA39,NĐ!AG39,NĐ!AM39))=1)*(CHOOSE({1,2,3,4},NĐ!X39,NĐ!AD39,NĐ!AJ39,NĐ!AP39)))</f>
        <v>0</v>
      </c>
      <c r="B39">
        <f>SUMPRODUCT((MONTH(CHOOSE({1,2,3,4},NĐ!U39,NĐ!AA39,NĐ!AG39,NĐ!AM39))=2)*(CHOOSE({1,2,3,4},NĐ!X39,NĐ!AD39,NĐ!AJ39,NĐ!AP39)))</f>
        <v>0</v>
      </c>
      <c r="C39">
        <f>SUMPRODUCT((MONTH(CHOOSE({1,2,3,4},NĐ!U39,NĐ!AA39,NĐ!AG39,NĐ!AM39))=3)*(CHOOSE({1,2,3,4},NĐ!X39,NĐ!AD39,NĐ!AJ39,NĐ!AP39)))</f>
        <v>0</v>
      </c>
      <c r="D39">
        <f>SUMPRODUCT((MONTH(CHOOSE({1,2,3,4},NĐ!U39,NĐ!AA39,NĐ!AG39,NĐ!AM39))=4)*(CHOOSE({1,2,3,4},NĐ!X39,NĐ!AD39,NĐ!AJ39,NĐ!AP39)))</f>
        <v>0</v>
      </c>
      <c r="E39">
        <f>SUMPRODUCT((MONTH(CHOOSE({1,2,3,4},NĐ!U39,NĐ!AA39,NĐ!AG39,NĐ!AM39))=5)*(CHOOSE({1,2,3,4},NĐ!X39,NĐ!AD39,NĐ!AJ39,NĐ!AP39)))</f>
        <v>0</v>
      </c>
      <c r="F39">
        <f>SUMPRODUCT((MONTH(CHOOSE({1,2,3,4},NĐ!U39,NĐ!AA39,NĐ!AG39,NĐ!AM39))=6)*(CHOOSE({1,2,3,4},NĐ!X39,NĐ!AD39,NĐ!AJ39,NĐ!AP39)))</f>
        <v>0</v>
      </c>
      <c r="G39">
        <f>SUMPRODUCT((MONTH(CHOOSE({1,2,3,4},NĐ!U39,NĐ!AA39,NĐ!AG39,NĐ!AM39))=7)*(CHOOSE({1,2,3,4},NĐ!X39,NĐ!AD39,NĐ!AJ39,NĐ!AP39)))</f>
        <v>0</v>
      </c>
      <c r="H39">
        <f>SUMPRODUCT((MONTH(CHOOSE({1,2,3,4},NĐ!U39,NĐ!AA39,NĐ!AG39,NĐ!AM39))=8)*(CHOOSE({1,2,3,4},NĐ!X39,NĐ!AD39,NĐ!AJ39,NĐ!AP39)))</f>
        <v>0</v>
      </c>
      <c r="I39">
        <f>SUMPRODUCT((MONTH(CHOOSE({1,2,3,4},NĐ!U39,NĐ!AA39,NĐ!AG39,NĐ!AM39))=9)*(CHOOSE({1,2,3,4},NĐ!X39,NĐ!AD39,NĐ!AJ39,NĐ!AP39)))</f>
        <v>0</v>
      </c>
      <c r="J39">
        <f>SUMPRODUCT((MONTH(CHOOSE({1,2,3,4},NĐ!U39,NĐ!AA39,NĐ!AG39,NĐ!AM39))=10)*(CHOOSE({1,2,3,4},NĐ!X39,NĐ!AD39,NĐ!AJ39,NĐ!AP39)))</f>
        <v>0</v>
      </c>
      <c r="K39">
        <f>SUMPRODUCT((MONTH(CHOOSE({1,2,3,4},NĐ!U39,NĐ!AA39,NĐ!AG39,NĐ!AM39))=11)*(CHOOSE({1,2,3,4},NĐ!X39,NĐ!AD39,NĐ!AJ39,NĐ!AP39)))</f>
        <v>0</v>
      </c>
      <c r="L39">
        <f>SUMPRODUCT((MONTH(CHOOSE({1,2,3,4},NĐ!U39,NĐ!AA39,NĐ!AG39,NĐ!AM39))=12)*(CHOOSE({1,2,3,4},NĐ!X39,NĐ!AD39,NĐ!AJ39,NĐ!AP39)))</f>
        <v>0</v>
      </c>
    </row>
    <row r="40" spans="1:12">
      <c r="A40">
        <f>SUMPRODUCT((MONTH(CHOOSE({1,2,3,4},NĐ!U40,NĐ!AA40,NĐ!AG40,NĐ!AM40))=1)*(CHOOSE({1,2,3,4},NĐ!X40,NĐ!AD40,NĐ!AJ40,NĐ!AP40)))</f>
        <v>0</v>
      </c>
      <c r="B40">
        <f>SUMPRODUCT((MONTH(CHOOSE({1,2,3,4},NĐ!U40,NĐ!AA40,NĐ!AG40,NĐ!AM40))=2)*(CHOOSE({1,2,3,4},NĐ!X40,NĐ!AD40,NĐ!AJ40,NĐ!AP40)))</f>
        <v>0</v>
      </c>
      <c r="C40">
        <f>SUMPRODUCT((MONTH(CHOOSE({1,2,3,4},NĐ!U40,NĐ!AA40,NĐ!AG40,NĐ!AM40))=3)*(CHOOSE({1,2,3,4},NĐ!X40,NĐ!AD40,NĐ!AJ40,NĐ!AP40)))</f>
        <v>0</v>
      </c>
      <c r="D40">
        <f>SUMPRODUCT((MONTH(CHOOSE({1,2,3,4},NĐ!U40,NĐ!AA40,NĐ!AG40,NĐ!AM40))=4)*(CHOOSE({1,2,3,4},NĐ!X40,NĐ!AD40,NĐ!AJ40,NĐ!AP40)))</f>
        <v>0</v>
      </c>
      <c r="E40">
        <f>SUMPRODUCT((MONTH(CHOOSE({1,2,3,4},NĐ!U40,NĐ!AA40,NĐ!AG40,NĐ!AM40))=5)*(CHOOSE({1,2,3,4},NĐ!X40,NĐ!AD40,NĐ!AJ40,NĐ!AP40)))</f>
        <v>0</v>
      </c>
      <c r="F40">
        <f>SUMPRODUCT((MONTH(CHOOSE({1,2,3,4},NĐ!U40,NĐ!AA40,NĐ!AG40,NĐ!AM40))=6)*(CHOOSE({1,2,3,4},NĐ!X40,NĐ!AD40,NĐ!AJ40,NĐ!AP40)))</f>
        <v>0</v>
      </c>
      <c r="G40">
        <f>SUMPRODUCT((MONTH(CHOOSE({1,2,3,4},NĐ!U40,NĐ!AA40,NĐ!AG40,NĐ!AM40))=7)*(CHOOSE({1,2,3,4},NĐ!X40,NĐ!AD40,NĐ!AJ40,NĐ!AP40)))</f>
        <v>0</v>
      </c>
      <c r="H40">
        <f>SUMPRODUCT((MONTH(CHOOSE({1,2,3,4},NĐ!U40,NĐ!AA40,NĐ!AG40,NĐ!AM40))=8)*(CHOOSE({1,2,3,4},NĐ!X40,NĐ!AD40,NĐ!AJ40,NĐ!AP40)))</f>
        <v>0</v>
      </c>
      <c r="I40">
        <f>SUMPRODUCT((MONTH(CHOOSE({1,2,3,4},NĐ!U40,NĐ!AA40,NĐ!AG40,NĐ!AM40))=9)*(CHOOSE({1,2,3,4},NĐ!X40,NĐ!AD40,NĐ!AJ40,NĐ!AP40)))</f>
        <v>0</v>
      </c>
      <c r="J40">
        <f>SUMPRODUCT((MONTH(CHOOSE({1,2,3,4},NĐ!U40,NĐ!AA40,NĐ!AG40,NĐ!AM40))=10)*(CHOOSE({1,2,3,4},NĐ!X40,NĐ!AD40,NĐ!AJ40,NĐ!AP40)))</f>
        <v>0</v>
      </c>
      <c r="K40">
        <f>SUMPRODUCT((MONTH(CHOOSE({1,2,3,4},NĐ!U40,NĐ!AA40,NĐ!AG40,NĐ!AM40))=11)*(CHOOSE({1,2,3,4},NĐ!X40,NĐ!AD40,NĐ!AJ40,NĐ!AP40)))</f>
        <v>0</v>
      </c>
      <c r="L40">
        <f>SUMPRODUCT((MONTH(CHOOSE({1,2,3,4},NĐ!U40,NĐ!AA40,NĐ!AG40,NĐ!AM40))=12)*(CHOOSE({1,2,3,4},NĐ!X40,NĐ!AD40,NĐ!AJ40,NĐ!AP40)))</f>
        <v>0</v>
      </c>
    </row>
    <row r="41" spans="1:12">
      <c r="A41">
        <f>SUMPRODUCT((MONTH(CHOOSE({1,2,3,4},NĐ!U41,NĐ!AA41,NĐ!AG41,NĐ!AM41))=1)*(CHOOSE({1,2,3,4},NĐ!X41,NĐ!AD41,NĐ!AJ41,NĐ!AP41)))</f>
        <v>0</v>
      </c>
      <c r="B41">
        <f>SUMPRODUCT((MONTH(CHOOSE({1,2,3,4},NĐ!U41,NĐ!AA41,NĐ!AG41,NĐ!AM41))=2)*(CHOOSE({1,2,3,4},NĐ!X41,NĐ!AD41,NĐ!AJ41,NĐ!AP41)))</f>
        <v>0</v>
      </c>
      <c r="C41">
        <f>SUMPRODUCT((MONTH(CHOOSE({1,2,3,4},NĐ!U41,NĐ!AA41,NĐ!AG41,NĐ!AM41))=3)*(CHOOSE({1,2,3,4},NĐ!X41,NĐ!AD41,NĐ!AJ41,NĐ!AP41)))</f>
        <v>0</v>
      </c>
      <c r="D41">
        <f>SUMPRODUCT((MONTH(CHOOSE({1,2,3,4},NĐ!U41,NĐ!AA41,NĐ!AG41,NĐ!AM41))=4)*(CHOOSE({1,2,3,4},NĐ!X41,NĐ!AD41,NĐ!AJ41,NĐ!AP41)))</f>
        <v>0</v>
      </c>
      <c r="E41">
        <f>SUMPRODUCT((MONTH(CHOOSE({1,2,3,4},NĐ!U41,NĐ!AA41,NĐ!AG41,NĐ!AM41))=5)*(CHOOSE({1,2,3,4},NĐ!X41,NĐ!AD41,NĐ!AJ41,NĐ!AP41)))</f>
        <v>0</v>
      </c>
      <c r="F41">
        <f>SUMPRODUCT((MONTH(CHOOSE({1,2,3,4},NĐ!U41,NĐ!AA41,NĐ!AG41,NĐ!AM41))=6)*(CHOOSE({1,2,3,4},NĐ!X41,NĐ!AD41,NĐ!AJ41,NĐ!AP41)))</f>
        <v>0</v>
      </c>
      <c r="G41">
        <f>SUMPRODUCT((MONTH(CHOOSE({1,2,3,4},NĐ!U41,NĐ!AA41,NĐ!AG41,NĐ!AM41))=7)*(CHOOSE({1,2,3,4},NĐ!X41,NĐ!AD41,NĐ!AJ41,NĐ!AP41)))</f>
        <v>0</v>
      </c>
      <c r="H41">
        <f>SUMPRODUCT((MONTH(CHOOSE({1,2,3,4},NĐ!U41,NĐ!AA41,NĐ!AG41,NĐ!AM41))=8)*(CHOOSE({1,2,3,4},NĐ!X41,NĐ!AD41,NĐ!AJ41,NĐ!AP41)))</f>
        <v>0</v>
      </c>
      <c r="I41">
        <f>SUMPRODUCT((MONTH(CHOOSE({1,2,3,4},NĐ!U41,NĐ!AA41,NĐ!AG41,NĐ!AM41))=9)*(CHOOSE({1,2,3,4},NĐ!X41,NĐ!AD41,NĐ!AJ41,NĐ!AP41)))</f>
        <v>0</v>
      </c>
      <c r="J41">
        <f>SUMPRODUCT((MONTH(CHOOSE({1,2,3,4},NĐ!U41,NĐ!AA41,NĐ!AG41,NĐ!AM41))=10)*(CHOOSE({1,2,3,4},NĐ!X41,NĐ!AD41,NĐ!AJ41,NĐ!AP41)))</f>
        <v>0</v>
      </c>
      <c r="K41">
        <f>SUMPRODUCT((MONTH(CHOOSE({1,2,3,4},NĐ!U41,NĐ!AA41,NĐ!AG41,NĐ!AM41))=11)*(CHOOSE({1,2,3,4},NĐ!X41,NĐ!AD41,NĐ!AJ41,NĐ!AP41)))</f>
        <v>0</v>
      </c>
      <c r="L41">
        <f>SUMPRODUCT((MONTH(CHOOSE({1,2,3,4},NĐ!U41,NĐ!AA41,NĐ!AG41,NĐ!AM41))=12)*(CHOOSE({1,2,3,4},NĐ!X41,NĐ!AD41,NĐ!AJ41,NĐ!AP41)))</f>
        <v>0</v>
      </c>
    </row>
    <row r="42" spans="1:12">
      <c r="A42">
        <f>SUMPRODUCT((MONTH(CHOOSE({1,2,3,4},NĐ!U42,NĐ!AA42,NĐ!AG42,NĐ!AM42))=1)*(CHOOSE({1,2,3,4},NĐ!X42,NĐ!AD42,NĐ!AJ42,NĐ!AP42)))</f>
        <v>0</v>
      </c>
      <c r="B42">
        <f>SUMPRODUCT((MONTH(CHOOSE({1,2,3,4},NĐ!U42,NĐ!AA42,NĐ!AG42,NĐ!AM42))=2)*(CHOOSE({1,2,3,4},NĐ!X42,NĐ!AD42,NĐ!AJ42,NĐ!AP42)))</f>
        <v>0</v>
      </c>
      <c r="C42">
        <f>SUMPRODUCT((MONTH(CHOOSE({1,2,3,4},NĐ!U42,NĐ!AA42,NĐ!AG42,NĐ!AM42))=3)*(CHOOSE({1,2,3,4},NĐ!X42,NĐ!AD42,NĐ!AJ42,NĐ!AP42)))</f>
        <v>0</v>
      </c>
      <c r="D42">
        <f>SUMPRODUCT((MONTH(CHOOSE({1,2,3,4},NĐ!U42,NĐ!AA42,NĐ!AG42,NĐ!AM42))=4)*(CHOOSE({1,2,3,4},NĐ!X42,NĐ!AD42,NĐ!AJ42,NĐ!AP42)))</f>
        <v>0</v>
      </c>
      <c r="E42">
        <f>SUMPRODUCT((MONTH(CHOOSE({1,2,3,4},NĐ!U42,NĐ!AA42,NĐ!AG42,NĐ!AM42))=5)*(CHOOSE({1,2,3,4},NĐ!X42,NĐ!AD42,NĐ!AJ42,NĐ!AP42)))</f>
        <v>0</v>
      </c>
      <c r="F42">
        <f>SUMPRODUCT((MONTH(CHOOSE({1,2,3,4},NĐ!U42,NĐ!AA42,NĐ!AG42,NĐ!AM42))=6)*(CHOOSE({1,2,3,4},NĐ!X42,NĐ!AD42,NĐ!AJ42,NĐ!AP42)))</f>
        <v>0</v>
      </c>
      <c r="G42">
        <f>SUMPRODUCT((MONTH(CHOOSE({1,2,3,4},NĐ!U42,NĐ!AA42,NĐ!AG42,NĐ!AM42))=7)*(CHOOSE({1,2,3,4},NĐ!X42,NĐ!AD42,NĐ!AJ42,NĐ!AP42)))</f>
        <v>0</v>
      </c>
      <c r="H42">
        <f>SUMPRODUCT((MONTH(CHOOSE({1,2,3,4},NĐ!U42,NĐ!AA42,NĐ!AG42,NĐ!AM42))=8)*(CHOOSE({1,2,3,4},NĐ!X42,NĐ!AD42,NĐ!AJ42,NĐ!AP42)))</f>
        <v>0</v>
      </c>
      <c r="I42">
        <f>SUMPRODUCT((MONTH(CHOOSE({1,2,3,4},NĐ!U42,NĐ!AA42,NĐ!AG42,NĐ!AM42))=9)*(CHOOSE({1,2,3,4},NĐ!X42,NĐ!AD42,NĐ!AJ42,NĐ!AP42)))</f>
        <v>0</v>
      </c>
      <c r="J42">
        <f>SUMPRODUCT((MONTH(CHOOSE({1,2,3,4},NĐ!U42,NĐ!AA42,NĐ!AG42,NĐ!AM42))=10)*(CHOOSE({1,2,3,4},NĐ!X42,NĐ!AD42,NĐ!AJ42,NĐ!AP42)))</f>
        <v>0</v>
      </c>
      <c r="K42">
        <f>SUMPRODUCT((MONTH(CHOOSE({1,2,3,4},NĐ!U42,NĐ!AA42,NĐ!AG42,NĐ!AM42))=11)*(CHOOSE({1,2,3,4},NĐ!X42,NĐ!AD42,NĐ!AJ42,NĐ!AP42)))</f>
        <v>0</v>
      </c>
      <c r="L42">
        <f>SUMPRODUCT((MONTH(CHOOSE({1,2,3,4},NĐ!U42,NĐ!AA42,NĐ!AG42,NĐ!AM42))=12)*(CHOOSE({1,2,3,4},NĐ!X42,NĐ!AD42,NĐ!AJ42,NĐ!AP42)))</f>
        <v>0</v>
      </c>
    </row>
    <row r="43" spans="1:12">
      <c r="A43">
        <f>SUMPRODUCT((MONTH(CHOOSE({1,2,3,4},NĐ!U43,NĐ!AA43,NĐ!AG43,NĐ!AM43))=1)*(CHOOSE({1,2,3,4},NĐ!X43,NĐ!AD43,NĐ!AJ43,NĐ!AP43)))</f>
        <v>0</v>
      </c>
      <c r="B43">
        <f>SUMPRODUCT((MONTH(CHOOSE({1,2,3,4},NĐ!U43,NĐ!AA43,NĐ!AG43,NĐ!AM43))=2)*(CHOOSE({1,2,3,4},NĐ!X43,NĐ!AD43,NĐ!AJ43,NĐ!AP43)))</f>
        <v>0</v>
      </c>
      <c r="C43">
        <f>SUMPRODUCT((MONTH(CHOOSE({1,2,3,4},NĐ!U43,NĐ!AA43,NĐ!AG43,NĐ!AM43))=3)*(CHOOSE({1,2,3,4},NĐ!X43,NĐ!AD43,NĐ!AJ43,NĐ!AP43)))</f>
        <v>0</v>
      </c>
      <c r="D43">
        <f>SUMPRODUCT((MONTH(CHOOSE({1,2,3,4},NĐ!U43,NĐ!AA43,NĐ!AG43,NĐ!AM43))=4)*(CHOOSE({1,2,3,4},NĐ!X43,NĐ!AD43,NĐ!AJ43,NĐ!AP43)))</f>
        <v>0</v>
      </c>
      <c r="E43">
        <f>SUMPRODUCT((MONTH(CHOOSE({1,2,3,4},NĐ!U43,NĐ!AA43,NĐ!AG43,NĐ!AM43))=5)*(CHOOSE({1,2,3,4},NĐ!X43,NĐ!AD43,NĐ!AJ43,NĐ!AP43)))</f>
        <v>0</v>
      </c>
      <c r="F43">
        <f>SUMPRODUCT((MONTH(CHOOSE({1,2,3,4},NĐ!U43,NĐ!AA43,NĐ!AG43,NĐ!AM43))=6)*(CHOOSE({1,2,3,4},NĐ!X43,NĐ!AD43,NĐ!AJ43,NĐ!AP43)))</f>
        <v>0</v>
      </c>
      <c r="G43">
        <f>SUMPRODUCT((MONTH(CHOOSE({1,2,3,4},NĐ!U43,NĐ!AA43,NĐ!AG43,NĐ!AM43))=7)*(CHOOSE({1,2,3,4},NĐ!X43,NĐ!AD43,NĐ!AJ43,NĐ!AP43)))</f>
        <v>0</v>
      </c>
      <c r="H43">
        <f>SUMPRODUCT((MONTH(CHOOSE({1,2,3,4},NĐ!U43,NĐ!AA43,NĐ!AG43,NĐ!AM43))=8)*(CHOOSE({1,2,3,4},NĐ!X43,NĐ!AD43,NĐ!AJ43,NĐ!AP43)))</f>
        <v>0</v>
      </c>
      <c r="I43">
        <f>SUMPRODUCT((MONTH(CHOOSE({1,2,3,4},NĐ!U43,NĐ!AA43,NĐ!AG43,NĐ!AM43))=9)*(CHOOSE({1,2,3,4},NĐ!X43,NĐ!AD43,NĐ!AJ43,NĐ!AP43)))</f>
        <v>0</v>
      </c>
      <c r="J43">
        <f>SUMPRODUCT((MONTH(CHOOSE({1,2,3,4},NĐ!U43,NĐ!AA43,NĐ!AG43,NĐ!AM43))=10)*(CHOOSE({1,2,3,4},NĐ!X43,NĐ!AD43,NĐ!AJ43,NĐ!AP43)))</f>
        <v>0</v>
      </c>
      <c r="K43">
        <f>SUMPRODUCT((MONTH(CHOOSE({1,2,3,4},NĐ!U43,NĐ!AA43,NĐ!AG43,NĐ!AM43))=11)*(CHOOSE({1,2,3,4},NĐ!X43,NĐ!AD43,NĐ!AJ43,NĐ!AP43)))</f>
        <v>0</v>
      </c>
      <c r="L43">
        <f>SUMPRODUCT((MONTH(CHOOSE({1,2,3,4},NĐ!U43,NĐ!AA43,NĐ!AG43,NĐ!AM43))=12)*(CHOOSE({1,2,3,4},NĐ!X43,NĐ!AD43,NĐ!AJ43,NĐ!AP43)))</f>
        <v>0</v>
      </c>
    </row>
    <row r="44" spans="1:12">
      <c r="A44">
        <f>SUMPRODUCT((MONTH(CHOOSE({1,2,3,4},NĐ!U44,NĐ!AA44,NĐ!AG44,NĐ!AM44))=1)*(CHOOSE({1,2,3,4},NĐ!X44,NĐ!AD44,NĐ!AJ44,NĐ!AP44)))</f>
        <v>0</v>
      </c>
      <c r="B44">
        <f>SUMPRODUCT((MONTH(CHOOSE({1,2,3,4},NĐ!U44,NĐ!AA44,NĐ!AG44,NĐ!AM44))=2)*(CHOOSE({1,2,3,4},NĐ!X44,NĐ!AD44,NĐ!AJ44,NĐ!AP44)))</f>
        <v>0</v>
      </c>
      <c r="C44">
        <f>SUMPRODUCT((MONTH(CHOOSE({1,2,3,4},NĐ!U44,NĐ!AA44,NĐ!AG44,NĐ!AM44))=3)*(CHOOSE({1,2,3,4},NĐ!X44,NĐ!AD44,NĐ!AJ44,NĐ!AP44)))</f>
        <v>0</v>
      </c>
      <c r="D44">
        <f>SUMPRODUCT((MONTH(CHOOSE({1,2,3,4},NĐ!U44,NĐ!AA44,NĐ!AG44,NĐ!AM44))=4)*(CHOOSE({1,2,3,4},NĐ!X44,NĐ!AD44,NĐ!AJ44,NĐ!AP44)))</f>
        <v>0</v>
      </c>
      <c r="E44">
        <f>SUMPRODUCT((MONTH(CHOOSE({1,2,3,4},NĐ!U44,NĐ!AA44,NĐ!AG44,NĐ!AM44))=5)*(CHOOSE({1,2,3,4},NĐ!X44,NĐ!AD44,NĐ!AJ44,NĐ!AP44)))</f>
        <v>0</v>
      </c>
      <c r="F44">
        <f>SUMPRODUCT((MONTH(CHOOSE({1,2,3,4},NĐ!U44,NĐ!AA44,NĐ!AG44,NĐ!AM44))=6)*(CHOOSE({1,2,3,4},NĐ!X44,NĐ!AD44,NĐ!AJ44,NĐ!AP44)))</f>
        <v>0</v>
      </c>
      <c r="G44">
        <f>SUMPRODUCT((MONTH(CHOOSE({1,2,3,4},NĐ!U44,NĐ!AA44,NĐ!AG44,NĐ!AM44))=7)*(CHOOSE({1,2,3,4},NĐ!X44,NĐ!AD44,NĐ!AJ44,NĐ!AP44)))</f>
        <v>0</v>
      </c>
      <c r="H44">
        <f>SUMPRODUCT((MONTH(CHOOSE({1,2,3,4},NĐ!U44,NĐ!AA44,NĐ!AG44,NĐ!AM44))=8)*(CHOOSE({1,2,3,4},NĐ!X44,NĐ!AD44,NĐ!AJ44,NĐ!AP44)))</f>
        <v>0</v>
      </c>
      <c r="I44">
        <f>SUMPRODUCT((MONTH(CHOOSE({1,2,3,4},NĐ!U44,NĐ!AA44,NĐ!AG44,NĐ!AM44))=9)*(CHOOSE({1,2,3,4},NĐ!X44,NĐ!AD44,NĐ!AJ44,NĐ!AP44)))</f>
        <v>0</v>
      </c>
      <c r="J44">
        <f>SUMPRODUCT((MONTH(CHOOSE({1,2,3,4},NĐ!U44,NĐ!AA44,NĐ!AG44,NĐ!AM44))=10)*(CHOOSE({1,2,3,4},NĐ!X44,NĐ!AD44,NĐ!AJ44,NĐ!AP44)))</f>
        <v>0</v>
      </c>
      <c r="K44">
        <f>SUMPRODUCT((MONTH(CHOOSE({1,2,3,4},NĐ!U44,NĐ!AA44,NĐ!AG44,NĐ!AM44))=11)*(CHOOSE({1,2,3,4},NĐ!X44,NĐ!AD44,NĐ!AJ44,NĐ!AP44)))</f>
        <v>0</v>
      </c>
      <c r="L44">
        <f>SUMPRODUCT((MONTH(CHOOSE({1,2,3,4},NĐ!U44,NĐ!AA44,NĐ!AG44,NĐ!AM44))=12)*(CHOOSE({1,2,3,4},NĐ!X44,NĐ!AD44,NĐ!AJ44,NĐ!AP44)))</f>
        <v>0</v>
      </c>
    </row>
    <row r="45" spans="1:12">
      <c r="A45">
        <f>SUMPRODUCT((MONTH(CHOOSE({1,2,3,4},NĐ!U45,NĐ!AA45,NĐ!AG45,NĐ!AM45))=1)*(CHOOSE({1,2,3,4},NĐ!X45,NĐ!AD45,NĐ!AJ45,NĐ!AP45)))</f>
        <v>0</v>
      </c>
      <c r="B45">
        <f>SUMPRODUCT((MONTH(CHOOSE({1,2,3,4},NĐ!U45,NĐ!AA45,NĐ!AG45,NĐ!AM45))=2)*(CHOOSE({1,2,3,4},NĐ!X45,NĐ!AD45,NĐ!AJ45,NĐ!AP45)))</f>
        <v>0</v>
      </c>
      <c r="C45">
        <f>SUMPRODUCT((MONTH(CHOOSE({1,2,3,4},NĐ!U45,NĐ!AA45,NĐ!AG45,NĐ!AM45))=3)*(CHOOSE({1,2,3,4},NĐ!X45,NĐ!AD45,NĐ!AJ45,NĐ!AP45)))</f>
        <v>0</v>
      </c>
      <c r="D45">
        <f>SUMPRODUCT((MONTH(CHOOSE({1,2,3,4},NĐ!U45,NĐ!AA45,NĐ!AG45,NĐ!AM45))=4)*(CHOOSE({1,2,3,4},NĐ!X45,NĐ!AD45,NĐ!AJ45,NĐ!AP45)))</f>
        <v>0</v>
      </c>
      <c r="E45">
        <f>SUMPRODUCT((MONTH(CHOOSE({1,2,3,4},NĐ!U45,NĐ!AA45,NĐ!AG45,NĐ!AM45))=5)*(CHOOSE({1,2,3,4},NĐ!X45,NĐ!AD45,NĐ!AJ45,NĐ!AP45)))</f>
        <v>0</v>
      </c>
      <c r="F45">
        <f>SUMPRODUCT((MONTH(CHOOSE({1,2,3,4},NĐ!U45,NĐ!AA45,NĐ!AG45,NĐ!AM45))=6)*(CHOOSE({1,2,3,4},NĐ!X45,NĐ!AD45,NĐ!AJ45,NĐ!AP45)))</f>
        <v>0</v>
      </c>
      <c r="G45">
        <f>SUMPRODUCT((MONTH(CHOOSE({1,2,3,4},NĐ!U45,NĐ!AA45,NĐ!AG45,NĐ!AM45))=7)*(CHOOSE({1,2,3,4},NĐ!X45,NĐ!AD45,NĐ!AJ45,NĐ!AP45)))</f>
        <v>0</v>
      </c>
      <c r="H45">
        <f>SUMPRODUCT((MONTH(CHOOSE({1,2,3,4},NĐ!U45,NĐ!AA45,NĐ!AG45,NĐ!AM45))=8)*(CHOOSE({1,2,3,4},NĐ!X45,NĐ!AD45,NĐ!AJ45,NĐ!AP45)))</f>
        <v>0</v>
      </c>
      <c r="I45">
        <f>SUMPRODUCT((MONTH(CHOOSE({1,2,3,4},NĐ!U45,NĐ!AA45,NĐ!AG45,NĐ!AM45))=9)*(CHOOSE({1,2,3,4},NĐ!X45,NĐ!AD45,NĐ!AJ45,NĐ!AP45)))</f>
        <v>0</v>
      </c>
      <c r="J45">
        <f>SUMPRODUCT((MONTH(CHOOSE({1,2,3,4},NĐ!U45,NĐ!AA45,NĐ!AG45,NĐ!AM45))=10)*(CHOOSE({1,2,3,4},NĐ!X45,NĐ!AD45,NĐ!AJ45,NĐ!AP45)))</f>
        <v>0</v>
      </c>
      <c r="K45">
        <f>SUMPRODUCT((MONTH(CHOOSE({1,2,3,4},NĐ!U45,NĐ!AA45,NĐ!AG45,NĐ!AM45))=11)*(CHOOSE({1,2,3,4},NĐ!X45,NĐ!AD45,NĐ!AJ45,NĐ!AP45)))</f>
        <v>0</v>
      </c>
      <c r="L45">
        <f>SUMPRODUCT((MONTH(CHOOSE({1,2,3,4},NĐ!U45,NĐ!AA45,NĐ!AG45,NĐ!AM45))=12)*(CHOOSE({1,2,3,4},NĐ!X45,NĐ!AD45,NĐ!AJ45,NĐ!AP45)))</f>
        <v>0</v>
      </c>
    </row>
    <row r="46" spans="1:12">
      <c r="A46">
        <f>SUMPRODUCT((MONTH(CHOOSE({1,2,3,4},NĐ!U46,NĐ!AA46,NĐ!AG46,NĐ!AM46))=1)*(CHOOSE({1,2,3,4},NĐ!X46,NĐ!AD46,NĐ!AJ46,NĐ!AP46)))</f>
        <v>0</v>
      </c>
      <c r="B46">
        <f>SUMPRODUCT((MONTH(CHOOSE({1,2,3,4},NĐ!U46,NĐ!AA46,NĐ!AG46,NĐ!AM46))=2)*(CHOOSE({1,2,3,4},NĐ!X46,NĐ!AD46,NĐ!AJ46,NĐ!AP46)))</f>
        <v>0</v>
      </c>
      <c r="C46">
        <f>SUMPRODUCT((MONTH(CHOOSE({1,2,3,4},NĐ!U46,NĐ!AA46,NĐ!AG46,NĐ!AM46))=3)*(CHOOSE({1,2,3,4},NĐ!X46,NĐ!AD46,NĐ!AJ46,NĐ!AP46)))</f>
        <v>0</v>
      </c>
      <c r="D46">
        <f>SUMPRODUCT((MONTH(CHOOSE({1,2,3,4},NĐ!U46,NĐ!AA46,NĐ!AG46,NĐ!AM46))=4)*(CHOOSE({1,2,3,4},NĐ!X46,NĐ!AD46,NĐ!AJ46,NĐ!AP46)))</f>
        <v>0</v>
      </c>
      <c r="E46">
        <f>SUMPRODUCT((MONTH(CHOOSE({1,2,3,4},NĐ!U46,NĐ!AA46,NĐ!AG46,NĐ!AM46))=5)*(CHOOSE({1,2,3,4},NĐ!X46,NĐ!AD46,NĐ!AJ46,NĐ!AP46)))</f>
        <v>0</v>
      </c>
      <c r="F46">
        <f>SUMPRODUCT((MONTH(CHOOSE({1,2,3,4},NĐ!U46,NĐ!AA46,NĐ!AG46,NĐ!AM46))=6)*(CHOOSE({1,2,3,4},NĐ!X46,NĐ!AD46,NĐ!AJ46,NĐ!AP46)))</f>
        <v>0</v>
      </c>
      <c r="G46">
        <f>SUMPRODUCT((MONTH(CHOOSE({1,2,3,4},NĐ!U46,NĐ!AA46,NĐ!AG46,NĐ!AM46))=7)*(CHOOSE({1,2,3,4},NĐ!X46,NĐ!AD46,NĐ!AJ46,NĐ!AP46)))</f>
        <v>0</v>
      </c>
      <c r="H46">
        <f>SUMPRODUCT((MONTH(CHOOSE({1,2,3,4},NĐ!U46,NĐ!AA46,NĐ!AG46,NĐ!AM46))=8)*(CHOOSE({1,2,3,4},NĐ!X46,NĐ!AD46,NĐ!AJ46,NĐ!AP46)))</f>
        <v>0</v>
      </c>
      <c r="I46">
        <f>SUMPRODUCT((MONTH(CHOOSE({1,2,3,4},NĐ!U46,NĐ!AA46,NĐ!AG46,NĐ!AM46))=9)*(CHOOSE({1,2,3,4},NĐ!X46,NĐ!AD46,NĐ!AJ46,NĐ!AP46)))</f>
        <v>0</v>
      </c>
      <c r="J46">
        <f>SUMPRODUCT((MONTH(CHOOSE({1,2,3,4},NĐ!U46,NĐ!AA46,NĐ!AG46,NĐ!AM46))=10)*(CHOOSE({1,2,3,4},NĐ!X46,NĐ!AD46,NĐ!AJ46,NĐ!AP46)))</f>
        <v>0</v>
      </c>
      <c r="K46">
        <f>SUMPRODUCT((MONTH(CHOOSE({1,2,3,4},NĐ!U46,NĐ!AA46,NĐ!AG46,NĐ!AM46))=11)*(CHOOSE({1,2,3,4},NĐ!X46,NĐ!AD46,NĐ!AJ46,NĐ!AP46)))</f>
        <v>0</v>
      </c>
      <c r="L46">
        <f>SUMPRODUCT((MONTH(CHOOSE({1,2,3,4},NĐ!U46,NĐ!AA46,NĐ!AG46,NĐ!AM46))=12)*(CHOOSE({1,2,3,4},NĐ!X46,NĐ!AD46,NĐ!AJ46,NĐ!AP46)))</f>
        <v>0</v>
      </c>
    </row>
    <row r="47" spans="1:12">
      <c r="A47">
        <f>SUMPRODUCT((MONTH(CHOOSE({1,2,3,4},NĐ!U47,NĐ!AA47,NĐ!AG47,NĐ!AM47))=1)*(CHOOSE({1,2,3,4},NĐ!X47,NĐ!AD47,NĐ!AJ47,NĐ!AP47)))</f>
        <v>0</v>
      </c>
      <c r="B47">
        <f>SUMPRODUCT((MONTH(CHOOSE({1,2,3,4},NĐ!U47,NĐ!AA47,NĐ!AG47,NĐ!AM47))=2)*(CHOOSE({1,2,3,4},NĐ!X47,NĐ!AD47,NĐ!AJ47,NĐ!AP47)))</f>
        <v>0</v>
      </c>
      <c r="C47">
        <f>SUMPRODUCT((MONTH(CHOOSE({1,2,3,4},NĐ!U47,NĐ!AA47,NĐ!AG47,NĐ!AM47))=3)*(CHOOSE({1,2,3,4},NĐ!X47,NĐ!AD47,NĐ!AJ47,NĐ!AP47)))</f>
        <v>0</v>
      </c>
      <c r="D47">
        <f>SUMPRODUCT((MONTH(CHOOSE({1,2,3,4},NĐ!U47,NĐ!AA47,NĐ!AG47,NĐ!AM47))=4)*(CHOOSE({1,2,3,4},NĐ!X47,NĐ!AD47,NĐ!AJ47,NĐ!AP47)))</f>
        <v>0</v>
      </c>
      <c r="E47">
        <f>SUMPRODUCT((MONTH(CHOOSE({1,2,3,4},NĐ!U47,NĐ!AA47,NĐ!AG47,NĐ!AM47))=5)*(CHOOSE({1,2,3,4},NĐ!X47,NĐ!AD47,NĐ!AJ47,NĐ!AP47)))</f>
        <v>0</v>
      </c>
      <c r="F47">
        <f>SUMPRODUCT((MONTH(CHOOSE({1,2,3,4},NĐ!U47,NĐ!AA47,NĐ!AG47,NĐ!AM47))=6)*(CHOOSE({1,2,3,4},NĐ!X47,NĐ!AD47,NĐ!AJ47,NĐ!AP47)))</f>
        <v>0</v>
      </c>
      <c r="G47">
        <f>SUMPRODUCT((MONTH(CHOOSE({1,2,3,4},NĐ!U47,NĐ!AA47,NĐ!AG47,NĐ!AM47))=7)*(CHOOSE({1,2,3,4},NĐ!X47,NĐ!AD47,NĐ!AJ47,NĐ!AP47)))</f>
        <v>0</v>
      </c>
      <c r="H47">
        <f>SUMPRODUCT((MONTH(CHOOSE({1,2,3,4},NĐ!U47,NĐ!AA47,NĐ!AG47,NĐ!AM47))=8)*(CHOOSE({1,2,3,4},NĐ!X47,NĐ!AD47,NĐ!AJ47,NĐ!AP47)))</f>
        <v>0</v>
      </c>
      <c r="I47">
        <f>SUMPRODUCT((MONTH(CHOOSE({1,2,3,4},NĐ!U47,NĐ!AA47,NĐ!AG47,NĐ!AM47))=9)*(CHOOSE({1,2,3,4},NĐ!X47,NĐ!AD47,NĐ!AJ47,NĐ!AP47)))</f>
        <v>0</v>
      </c>
      <c r="J47">
        <f>SUMPRODUCT((MONTH(CHOOSE({1,2,3,4},NĐ!U47,NĐ!AA47,NĐ!AG47,NĐ!AM47))=10)*(CHOOSE({1,2,3,4},NĐ!X47,NĐ!AD47,NĐ!AJ47,NĐ!AP47)))</f>
        <v>0</v>
      </c>
      <c r="K47">
        <f>SUMPRODUCT((MONTH(CHOOSE({1,2,3,4},NĐ!U47,NĐ!AA47,NĐ!AG47,NĐ!AM47))=11)*(CHOOSE({1,2,3,4},NĐ!X47,NĐ!AD47,NĐ!AJ47,NĐ!AP47)))</f>
        <v>0</v>
      </c>
      <c r="L47">
        <f>SUMPRODUCT((MONTH(CHOOSE({1,2,3,4},NĐ!U47,NĐ!AA47,NĐ!AG47,NĐ!AM47))=12)*(CHOOSE({1,2,3,4},NĐ!X47,NĐ!AD47,NĐ!AJ47,NĐ!AP47)))</f>
        <v>0</v>
      </c>
    </row>
    <row r="48" spans="1:12">
      <c r="A48">
        <f>SUMPRODUCT((MONTH(CHOOSE({1,2,3,4},NĐ!U48,NĐ!AA48,NĐ!AG48,NĐ!AM48))=1)*(CHOOSE({1,2,3,4},NĐ!X48,NĐ!AD48,NĐ!AJ48,NĐ!AP48)))</f>
        <v>0</v>
      </c>
      <c r="B48">
        <f>SUMPRODUCT((MONTH(CHOOSE({1,2,3,4},NĐ!U48,NĐ!AA48,NĐ!AG48,NĐ!AM48))=2)*(CHOOSE({1,2,3,4},NĐ!X48,NĐ!AD48,NĐ!AJ48,NĐ!AP48)))</f>
        <v>0</v>
      </c>
      <c r="C48">
        <f>SUMPRODUCT((MONTH(CHOOSE({1,2,3,4},NĐ!U48,NĐ!AA48,NĐ!AG48,NĐ!AM48))=3)*(CHOOSE({1,2,3,4},NĐ!X48,NĐ!AD48,NĐ!AJ48,NĐ!AP48)))</f>
        <v>0</v>
      </c>
      <c r="D48">
        <f>SUMPRODUCT((MONTH(CHOOSE({1,2,3,4},NĐ!U48,NĐ!AA48,NĐ!AG48,NĐ!AM48))=4)*(CHOOSE({1,2,3,4},NĐ!X48,NĐ!AD48,NĐ!AJ48,NĐ!AP48)))</f>
        <v>0</v>
      </c>
      <c r="E48">
        <f>SUMPRODUCT((MONTH(CHOOSE({1,2,3,4},NĐ!U48,NĐ!AA48,NĐ!AG48,NĐ!AM48))=5)*(CHOOSE({1,2,3,4},NĐ!X48,NĐ!AD48,NĐ!AJ48,NĐ!AP48)))</f>
        <v>0</v>
      </c>
      <c r="F48">
        <f>SUMPRODUCT((MONTH(CHOOSE({1,2,3,4},NĐ!U48,NĐ!AA48,NĐ!AG48,NĐ!AM48))=6)*(CHOOSE({1,2,3,4},NĐ!X48,NĐ!AD48,NĐ!AJ48,NĐ!AP48)))</f>
        <v>0</v>
      </c>
      <c r="G48">
        <f>SUMPRODUCT((MONTH(CHOOSE({1,2,3,4},NĐ!U48,NĐ!AA48,NĐ!AG48,NĐ!AM48))=7)*(CHOOSE({1,2,3,4},NĐ!X48,NĐ!AD48,NĐ!AJ48,NĐ!AP48)))</f>
        <v>0</v>
      </c>
      <c r="H48">
        <f>SUMPRODUCT((MONTH(CHOOSE({1,2,3,4},NĐ!U48,NĐ!AA48,NĐ!AG48,NĐ!AM48))=8)*(CHOOSE({1,2,3,4},NĐ!X48,NĐ!AD48,NĐ!AJ48,NĐ!AP48)))</f>
        <v>0</v>
      </c>
      <c r="I48">
        <f>SUMPRODUCT((MONTH(CHOOSE({1,2,3,4},NĐ!U48,NĐ!AA48,NĐ!AG48,NĐ!AM48))=9)*(CHOOSE({1,2,3,4},NĐ!X48,NĐ!AD48,NĐ!AJ48,NĐ!AP48)))</f>
        <v>0</v>
      </c>
      <c r="J48">
        <f>SUMPRODUCT((MONTH(CHOOSE({1,2,3,4},NĐ!U48,NĐ!AA48,NĐ!AG48,NĐ!AM48))=10)*(CHOOSE({1,2,3,4},NĐ!X48,NĐ!AD48,NĐ!AJ48,NĐ!AP48)))</f>
        <v>0</v>
      </c>
      <c r="K48">
        <f>SUMPRODUCT((MONTH(CHOOSE({1,2,3,4},NĐ!U48,NĐ!AA48,NĐ!AG48,NĐ!AM48))=11)*(CHOOSE({1,2,3,4},NĐ!X48,NĐ!AD48,NĐ!AJ48,NĐ!AP48)))</f>
        <v>0</v>
      </c>
      <c r="L48">
        <f>SUMPRODUCT((MONTH(CHOOSE({1,2,3,4},NĐ!U48,NĐ!AA48,NĐ!AG48,NĐ!AM48))=12)*(CHOOSE({1,2,3,4},NĐ!X48,NĐ!AD48,NĐ!AJ48,NĐ!AP48)))</f>
        <v>0</v>
      </c>
    </row>
    <row r="49" spans="1:12">
      <c r="A49">
        <f>SUMPRODUCT((MONTH(CHOOSE({1,2,3,4},NĐ!U49,NĐ!AA49,NĐ!AG49,NĐ!AM49))=1)*(CHOOSE({1,2,3,4},NĐ!X49,NĐ!AD49,NĐ!AJ49,NĐ!AP49)))</f>
        <v>0</v>
      </c>
      <c r="B49">
        <f>SUMPRODUCT((MONTH(CHOOSE({1,2,3,4},NĐ!U49,NĐ!AA49,NĐ!AG49,NĐ!AM49))=2)*(CHOOSE({1,2,3,4},NĐ!X49,NĐ!AD49,NĐ!AJ49,NĐ!AP49)))</f>
        <v>0</v>
      </c>
      <c r="C49">
        <f>SUMPRODUCT((MONTH(CHOOSE({1,2,3,4},NĐ!U49,NĐ!AA49,NĐ!AG49,NĐ!AM49))=3)*(CHOOSE({1,2,3,4},NĐ!X49,NĐ!AD49,NĐ!AJ49,NĐ!AP49)))</f>
        <v>0</v>
      </c>
      <c r="D49">
        <f>SUMPRODUCT((MONTH(CHOOSE({1,2,3,4},NĐ!U49,NĐ!AA49,NĐ!AG49,NĐ!AM49))=4)*(CHOOSE({1,2,3,4},NĐ!X49,NĐ!AD49,NĐ!AJ49,NĐ!AP49)))</f>
        <v>0</v>
      </c>
      <c r="E49">
        <f>SUMPRODUCT((MONTH(CHOOSE({1,2,3,4},NĐ!U49,NĐ!AA49,NĐ!AG49,NĐ!AM49))=5)*(CHOOSE({1,2,3,4},NĐ!X49,NĐ!AD49,NĐ!AJ49,NĐ!AP49)))</f>
        <v>0</v>
      </c>
      <c r="F49">
        <f>SUMPRODUCT((MONTH(CHOOSE({1,2,3,4},NĐ!U49,NĐ!AA49,NĐ!AG49,NĐ!AM49))=6)*(CHOOSE({1,2,3,4},NĐ!X49,NĐ!AD49,NĐ!AJ49,NĐ!AP49)))</f>
        <v>0</v>
      </c>
      <c r="G49">
        <f>SUMPRODUCT((MONTH(CHOOSE({1,2,3,4},NĐ!U49,NĐ!AA49,NĐ!AG49,NĐ!AM49))=7)*(CHOOSE({1,2,3,4},NĐ!X49,NĐ!AD49,NĐ!AJ49,NĐ!AP49)))</f>
        <v>0</v>
      </c>
      <c r="H49">
        <f>SUMPRODUCT((MONTH(CHOOSE({1,2,3,4},NĐ!U49,NĐ!AA49,NĐ!AG49,NĐ!AM49))=8)*(CHOOSE({1,2,3,4},NĐ!X49,NĐ!AD49,NĐ!AJ49,NĐ!AP49)))</f>
        <v>0</v>
      </c>
      <c r="I49">
        <f>SUMPRODUCT((MONTH(CHOOSE({1,2,3,4},NĐ!U49,NĐ!AA49,NĐ!AG49,NĐ!AM49))=9)*(CHOOSE({1,2,3,4},NĐ!X49,NĐ!AD49,NĐ!AJ49,NĐ!AP49)))</f>
        <v>0</v>
      </c>
      <c r="J49">
        <f>SUMPRODUCT((MONTH(CHOOSE({1,2,3,4},NĐ!U49,NĐ!AA49,NĐ!AG49,NĐ!AM49))=10)*(CHOOSE({1,2,3,4},NĐ!X49,NĐ!AD49,NĐ!AJ49,NĐ!AP49)))</f>
        <v>0</v>
      </c>
      <c r="K49">
        <f>SUMPRODUCT((MONTH(CHOOSE({1,2,3,4},NĐ!U49,NĐ!AA49,NĐ!AG49,NĐ!AM49))=11)*(CHOOSE({1,2,3,4},NĐ!X49,NĐ!AD49,NĐ!AJ49,NĐ!AP49)))</f>
        <v>0</v>
      </c>
      <c r="L49">
        <f>SUMPRODUCT((MONTH(CHOOSE({1,2,3,4},NĐ!U49,NĐ!AA49,NĐ!AG49,NĐ!AM49))=12)*(CHOOSE({1,2,3,4},NĐ!X49,NĐ!AD49,NĐ!AJ49,NĐ!AP49)))</f>
        <v>0</v>
      </c>
    </row>
    <row r="50" spans="1:12">
      <c r="A50">
        <f>SUMPRODUCT((MONTH(CHOOSE({1,2,3,4},NĐ!U50,NĐ!AA50,NĐ!AG50,NĐ!AM50))=1)*(CHOOSE({1,2,3,4},NĐ!X50,NĐ!AD50,NĐ!AJ50,NĐ!AP50)))</f>
        <v>0</v>
      </c>
      <c r="B50">
        <f>SUMPRODUCT((MONTH(CHOOSE({1,2,3,4},NĐ!U50,NĐ!AA50,NĐ!AG50,NĐ!AM50))=2)*(CHOOSE({1,2,3,4},NĐ!X50,NĐ!AD50,NĐ!AJ50,NĐ!AP50)))</f>
        <v>0</v>
      </c>
      <c r="C50">
        <f>SUMPRODUCT((MONTH(CHOOSE({1,2,3,4},NĐ!U50,NĐ!AA50,NĐ!AG50,NĐ!AM50))=3)*(CHOOSE({1,2,3,4},NĐ!X50,NĐ!AD50,NĐ!AJ50,NĐ!AP50)))</f>
        <v>0</v>
      </c>
      <c r="D50">
        <f>SUMPRODUCT((MONTH(CHOOSE({1,2,3,4},NĐ!U50,NĐ!AA50,NĐ!AG50,NĐ!AM50))=4)*(CHOOSE({1,2,3,4},NĐ!X50,NĐ!AD50,NĐ!AJ50,NĐ!AP50)))</f>
        <v>0</v>
      </c>
      <c r="E50">
        <f>SUMPRODUCT((MONTH(CHOOSE({1,2,3,4},NĐ!U50,NĐ!AA50,NĐ!AG50,NĐ!AM50))=5)*(CHOOSE({1,2,3,4},NĐ!X50,NĐ!AD50,NĐ!AJ50,NĐ!AP50)))</f>
        <v>0</v>
      </c>
      <c r="F50">
        <f>SUMPRODUCT((MONTH(CHOOSE({1,2,3,4},NĐ!U50,NĐ!AA50,NĐ!AG50,NĐ!AM50))=6)*(CHOOSE({1,2,3,4},NĐ!X50,NĐ!AD50,NĐ!AJ50,NĐ!AP50)))</f>
        <v>0</v>
      </c>
      <c r="G50">
        <f>SUMPRODUCT((MONTH(CHOOSE({1,2,3,4},NĐ!U50,NĐ!AA50,NĐ!AG50,NĐ!AM50))=7)*(CHOOSE({1,2,3,4},NĐ!X50,NĐ!AD50,NĐ!AJ50,NĐ!AP50)))</f>
        <v>0</v>
      </c>
      <c r="H50">
        <f>SUMPRODUCT((MONTH(CHOOSE({1,2,3,4},NĐ!U50,NĐ!AA50,NĐ!AG50,NĐ!AM50))=8)*(CHOOSE({1,2,3,4},NĐ!X50,NĐ!AD50,NĐ!AJ50,NĐ!AP50)))</f>
        <v>0</v>
      </c>
      <c r="I50">
        <f>SUMPRODUCT((MONTH(CHOOSE({1,2,3,4},NĐ!U50,NĐ!AA50,NĐ!AG50,NĐ!AM50))=9)*(CHOOSE({1,2,3,4},NĐ!X50,NĐ!AD50,NĐ!AJ50,NĐ!AP50)))</f>
        <v>0</v>
      </c>
      <c r="J50">
        <f>SUMPRODUCT((MONTH(CHOOSE({1,2,3,4},NĐ!U50,NĐ!AA50,NĐ!AG50,NĐ!AM50))=10)*(CHOOSE({1,2,3,4},NĐ!X50,NĐ!AD50,NĐ!AJ50,NĐ!AP50)))</f>
        <v>0</v>
      </c>
      <c r="K50">
        <f>SUMPRODUCT((MONTH(CHOOSE({1,2,3,4},NĐ!U50,NĐ!AA50,NĐ!AG50,NĐ!AM50))=11)*(CHOOSE({1,2,3,4},NĐ!X50,NĐ!AD50,NĐ!AJ50,NĐ!AP50)))</f>
        <v>0</v>
      </c>
      <c r="L50">
        <f>SUMPRODUCT((MONTH(CHOOSE({1,2,3,4},NĐ!U50,NĐ!AA50,NĐ!AG50,NĐ!AM50))=12)*(CHOOSE({1,2,3,4},NĐ!X50,NĐ!AD50,NĐ!AJ50,NĐ!AP50)))</f>
        <v>0</v>
      </c>
    </row>
    <row r="51" spans="1:12">
      <c r="A51">
        <f>SUMPRODUCT((MONTH(CHOOSE({1,2,3,4},NĐ!U51,NĐ!AA51,NĐ!AG51,NĐ!AM51))=1)*(CHOOSE({1,2,3,4},NĐ!X51,NĐ!AD51,NĐ!AJ51,NĐ!AP51)))</f>
        <v>0</v>
      </c>
      <c r="B51">
        <f>SUMPRODUCT((MONTH(CHOOSE({1,2,3,4},NĐ!U51,NĐ!AA51,NĐ!AG51,NĐ!AM51))=2)*(CHOOSE({1,2,3,4},NĐ!X51,NĐ!AD51,NĐ!AJ51,NĐ!AP51)))</f>
        <v>0</v>
      </c>
      <c r="C51">
        <f>SUMPRODUCT((MONTH(CHOOSE({1,2,3,4},NĐ!U51,NĐ!AA51,NĐ!AG51,NĐ!AM51))=3)*(CHOOSE({1,2,3,4},NĐ!X51,NĐ!AD51,NĐ!AJ51,NĐ!AP51)))</f>
        <v>0</v>
      </c>
      <c r="D51">
        <f>SUMPRODUCT((MONTH(CHOOSE({1,2,3,4},NĐ!U51,NĐ!AA51,NĐ!AG51,NĐ!AM51))=4)*(CHOOSE({1,2,3,4},NĐ!X51,NĐ!AD51,NĐ!AJ51,NĐ!AP51)))</f>
        <v>0</v>
      </c>
      <c r="E51">
        <f>SUMPRODUCT((MONTH(CHOOSE({1,2,3,4},NĐ!U51,NĐ!AA51,NĐ!AG51,NĐ!AM51))=5)*(CHOOSE({1,2,3,4},NĐ!X51,NĐ!AD51,NĐ!AJ51,NĐ!AP51)))</f>
        <v>0</v>
      </c>
      <c r="F51">
        <f>SUMPRODUCT((MONTH(CHOOSE({1,2,3,4},NĐ!U51,NĐ!AA51,NĐ!AG51,NĐ!AM51))=6)*(CHOOSE({1,2,3,4},NĐ!X51,NĐ!AD51,NĐ!AJ51,NĐ!AP51)))</f>
        <v>0</v>
      </c>
      <c r="G51">
        <f>SUMPRODUCT((MONTH(CHOOSE({1,2,3,4},NĐ!U51,NĐ!AA51,NĐ!AG51,NĐ!AM51))=7)*(CHOOSE({1,2,3,4},NĐ!X51,NĐ!AD51,NĐ!AJ51,NĐ!AP51)))</f>
        <v>0</v>
      </c>
      <c r="H51">
        <f>SUMPRODUCT((MONTH(CHOOSE({1,2,3,4},NĐ!U51,NĐ!AA51,NĐ!AG51,NĐ!AM51))=8)*(CHOOSE({1,2,3,4},NĐ!X51,NĐ!AD51,NĐ!AJ51,NĐ!AP51)))</f>
        <v>0</v>
      </c>
      <c r="I51">
        <f>SUMPRODUCT((MONTH(CHOOSE({1,2,3,4},NĐ!U51,NĐ!AA51,NĐ!AG51,NĐ!AM51))=9)*(CHOOSE({1,2,3,4},NĐ!X51,NĐ!AD51,NĐ!AJ51,NĐ!AP51)))</f>
        <v>0</v>
      </c>
      <c r="J51">
        <f>SUMPRODUCT((MONTH(CHOOSE({1,2,3,4},NĐ!U51,NĐ!AA51,NĐ!AG51,NĐ!AM51))=10)*(CHOOSE({1,2,3,4},NĐ!X51,NĐ!AD51,NĐ!AJ51,NĐ!AP51)))</f>
        <v>0</v>
      </c>
      <c r="K51">
        <f>SUMPRODUCT((MONTH(CHOOSE({1,2,3,4},NĐ!U51,NĐ!AA51,NĐ!AG51,NĐ!AM51))=11)*(CHOOSE({1,2,3,4},NĐ!X51,NĐ!AD51,NĐ!AJ51,NĐ!AP51)))</f>
        <v>0</v>
      </c>
      <c r="L51">
        <f>SUMPRODUCT((MONTH(CHOOSE({1,2,3,4},NĐ!U51,NĐ!AA51,NĐ!AG51,NĐ!AM51))=12)*(CHOOSE({1,2,3,4},NĐ!X51,NĐ!AD51,NĐ!AJ51,NĐ!AP51)))</f>
        <v>0</v>
      </c>
    </row>
    <row r="52" spans="1:12">
      <c r="A52">
        <f>SUMPRODUCT((MONTH(CHOOSE({1,2,3,4},NĐ!U52,NĐ!AA52,NĐ!AG52,NĐ!AM52))=1)*(CHOOSE({1,2,3,4},NĐ!X52,NĐ!AD52,NĐ!AJ52,NĐ!AP52)))</f>
        <v>0</v>
      </c>
      <c r="B52">
        <f>SUMPRODUCT((MONTH(CHOOSE({1,2,3,4},NĐ!U52,NĐ!AA52,NĐ!AG52,NĐ!AM52))=2)*(CHOOSE({1,2,3,4},NĐ!X52,NĐ!AD52,NĐ!AJ52,NĐ!AP52)))</f>
        <v>0</v>
      </c>
      <c r="C52">
        <f>SUMPRODUCT((MONTH(CHOOSE({1,2,3,4},NĐ!U52,NĐ!AA52,NĐ!AG52,NĐ!AM52))=3)*(CHOOSE({1,2,3,4},NĐ!X52,NĐ!AD52,NĐ!AJ52,NĐ!AP52)))</f>
        <v>0</v>
      </c>
      <c r="D52">
        <f>SUMPRODUCT((MONTH(CHOOSE({1,2,3,4},NĐ!U52,NĐ!AA52,NĐ!AG52,NĐ!AM52))=4)*(CHOOSE({1,2,3,4},NĐ!X52,NĐ!AD52,NĐ!AJ52,NĐ!AP52)))</f>
        <v>0</v>
      </c>
      <c r="E52">
        <f>SUMPRODUCT((MONTH(CHOOSE({1,2,3,4},NĐ!U52,NĐ!AA52,NĐ!AG52,NĐ!AM52))=5)*(CHOOSE({1,2,3,4},NĐ!X52,NĐ!AD52,NĐ!AJ52,NĐ!AP52)))</f>
        <v>0</v>
      </c>
      <c r="F52">
        <f>SUMPRODUCT((MONTH(CHOOSE({1,2,3,4},NĐ!U52,NĐ!AA52,NĐ!AG52,NĐ!AM52))=6)*(CHOOSE({1,2,3,4},NĐ!X52,NĐ!AD52,NĐ!AJ52,NĐ!AP52)))</f>
        <v>0</v>
      </c>
      <c r="G52">
        <f>SUMPRODUCT((MONTH(CHOOSE({1,2,3,4},NĐ!U52,NĐ!AA52,NĐ!AG52,NĐ!AM52))=7)*(CHOOSE({1,2,3,4},NĐ!X52,NĐ!AD52,NĐ!AJ52,NĐ!AP52)))</f>
        <v>0</v>
      </c>
      <c r="H52">
        <f>SUMPRODUCT((MONTH(CHOOSE({1,2,3,4},NĐ!U52,NĐ!AA52,NĐ!AG52,NĐ!AM52))=8)*(CHOOSE({1,2,3,4},NĐ!X52,NĐ!AD52,NĐ!AJ52,NĐ!AP52)))</f>
        <v>0</v>
      </c>
      <c r="I52">
        <f>SUMPRODUCT((MONTH(CHOOSE({1,2,3,4},NĐ!U52,NĐ!AA52,NĐ!AG52,NĐ!AM52))=9)*(CHOOSE({1,2,3,4},NĐ!X52,NĐ!AD52,NĐ!AJ52,NĐ!AP52)))</f>
        <v>0</v>
      </c>
      <c r="J52">
        <f>SUMPRODUCT((MONTH(CHOOSE({1,2,3,4},NĐ!U52,NĐ!AA52,NĐ!AG52,NĐ!AM52))=10)*(CHOOSE({1,2,3,4},NĐ!X52,NĐ!AD52,NĐ!AJ52,NĐ!AP52)))</f>
        <v>0</v>
      </c>
      <c r="K52">
        <f>SUMPRODUCT((MONTH(CHOOSE({1,2,3,4},NĐ!U52,NĐ!AA52,NĐ!AG52,NĐ!AM52))=11)*(CHOOSE({1,2,3,4},NĐ!X52,NĐ!AD52,NĐ!AJ52,NĐ!AP52)))</f>
        <v>0</v>
      </c>
      <c r="L52">
        <f>SUMPRODUCT((MONTH(CHOOSE({1,2,3,4},NĐ!U52,NĐ!AA52,NĐ!AG52,NĐ!AM52))=12)*(CHOOSE({1,2,3,4},NĐ!X52,NĐ!AD52,NĐ!AJ52,NĐ!AP52)))</f>
        <v>0</v>
      </c>
    </row>
    <row r="53" spans="1:12">
      <c r="A53">
        <f>SUMPRODUCT((MONTH(CHOOSE({1,2,3,4},NĐ!U53,NĐ!AA53,NĐ!AG53,NĐ!AM53))=1)*(CHOOSE({1,2,3,4},NĐ!X53,NĐ!AD53,NĐ!AJ53,NĐ!AP53)))</f>
        <v>0</v>
      </c>
      <c r="B53">
        <f>SUMPRODUCT((MONTH(CHOOSE({1,2,3,4},NĐ!U53,NĐ!AA53,NĐ!AG53,NĐ!AM53))=2)*(CHOOSE({1,2,3,4},NĐ!X53,NĐ!AD53,NĐ!AJ53,NĐ!AP53)))</f>
        <v>0</v>
      </c>
      <c r="C53">
        <f>SUMPRODUCT((MONTH(CHOOSE({1,2,3,4},NĐ!U53,NĐ!AA53,NĐ!AG53,NĐ!AM53))=3)*(CHOOSE({1,2,3,4},NĐ!X53,NĐ!AD53,NĐ!AJ53,NĐ!AP53)))</f>
        <v>0</v>
      </c>
      <c r="D53">
        <f>SUMPRODUCT((MONTH(CHOOSE({1,2,3,4},NĐ!U53,NĐ!AA53,NĐ!AG53,NĐ!AM53))=4)*(CHOOSE({1,2,3,4},NĐ!X53,NĐ!AD53,NĐ!AJ53,NĐ!AP53)))</f>
        <v>0</v>
      </c>
      <c r="E53">
        <f>SUMPRODUCT((MONTH(CHOOSE({1,2,3,4},NĐ!U53,NĐ!AA53,NĐ!AG53,NĐ!AM53))=5)*(CHOOSE({1,2,3,4},NĐ!X53,NĐ!AD53,NĐ!AJ53,NĐ!AP53)))</f>
        <v>0</v>
      </c>
      <c r="F53">
        <f>SUMPRODUCT((MONTH(CHOOSE({1,2,3,4},NĐ!U53,NĐ!AA53,NĐ!AG53,NĐ!AM53))=6)*(CHOOSE({1,2,3,4},NĐ!X53,NĐ!AD53,NĐ!AJ53,NĐ!AP53)))</f>
        <v>0</v>
      </c>
      <c r="G53">
        <f>SUMPRODUCT((MONTH(CHOOSE({1,2,3,4},NĐ!U53,NĐ!AA53,NĐ!AG53,NĐ!AM53))=7)*(CHOOSE({1,2,3,4},NĐ!X53,NĐ!AD53,NĐ!AJ53,NĐ!AP53)))</f>
        <v>0</v>
      </c>
      <c r="H53">
        <f>SUMPRODUCT((MONTH(CHOOSE({1,2,3,4},NĐ!U53,NĐ!AA53,NĐ!AG53,NĐ!AM53))=8)*(CHOOSE({1,2,3,4},NĐ!X53,NĐ!AD53,NĐ!AJ53,NĐ!AP53)))</f>
        <v>0</v>
      </c>
      <c r="I53">
        <f>SUMPRODUCT((MONTH(CHOOSE({1,2,3,4},NĐ!U53,NĐ!AA53,NĐ!AG53,NĐ!AM53))=9)*(CHOOSE({1,2,3,4},NĐ!X53,NĐ!AD53,NĐ!AJ53,NĐ!AP53)))</f>
        <v>0</v>
      </c>
      <c r="J53">
        <f>SUMPRODUCT((MONTH(CHOOSE({1,2,3,4},NĐ!U53,NĐ!AA53,NĐ!AG53,NĐ!AM53))=10)*(CHOOSE({1,2,3,4},NĐ!X53,NĐ!AD53,NĐ!AJ53,NĐ!AP53)))</f>
        <v>0</v>
      </c>
      <c r="K53">
        <f>SUMPRODUCT((MONTH(CHOOSE({1,2,3,4},NĐ!U53,NĐ!AA53,NĐ!AG53,NĐ!AM53))=11)*(CHOOSE({1,2,3,4},NĐ!X53,NĐ!AD53,NĐ!AJ53,NĐ!AP53)))</f>
        <v>0</v>
      </c>
      <c r="L53">
        <f>SUMPRODUCT((MONTH(CHOOSE({1,2,3,4},NĐ!U53,NĐ!AA53,NĐ!AG53,NĐ!AM53))=12)*(CHOOSE({1,2,3,4},NĐ!X53,NĐ!AD53,NĐ!AJ53,NĐ!AP53)))</f>
        <v>0</v>
      </c>
    </row>
    <row r="54" spans="1:12">
      <c r="A54">
        <f>SUMPRODUCT((MONTH(CHOOSE({1,2,3,4},NĐ!U54,NĐ!AA54,NĐ!AG54,NĐ!AM54))=1)*(CHOOSE({1,2,3,4},NĐ!X54,NĐ!AD54,NĐ!AJ54,NĐ!AP54)))</f>
        <v>0</v>
      </c>
      <c r="B54">
        <f>SUMPRODUCT((MONTH(CHOOSE({1,2,3,4},NĐ!U54,NĐ!AA54,NĐ!AG54,NĐ!AM54))=2)*(CHOOSE({1,2,3,4},NĐ!X54,NĐ!AD54,NĐ!AJ54,NĐ!AP54)))</f>
        <v>0</v>
      </c>
      <c r="C54">
        <f>SUMPRODUCT((MONTH(CHOOSE({1,2,3,4},NĐ!U54,NĐ!AA54,NĐ!AG54,NĐ!AM54))=3)*(CHOOSE({1,2,3,4},NĐ!X54,NĐ!AD54,NĐ!AJ54,NĐ!AP54)))</f>
        <v>0</v>
      </c>
      <c r="D54">
        <f>SUMPRODUCT((MONTH(CHOOSE({1,2,3,4},NĐ!U54,NĐ!AA54,NĐ!AG54,NĐ!AM54))=4)*(CHOOSE({1,2,3,4},NĐ!X54,NĐ!AD54,NĐ!AJ54,NĐ!AP54)))</f>
        <v>0</v>
      </c>
      <c r="E54">
        <f>SUMPRODUCT((MONTH(CHOOSE({1,2,3,4},NĐ!U54,NĐ!AA54,NĐ!AG54,NĐ!AM54))=5)*(CHOOSE({1,2,3,4},NĐ!X54,NĐ!AD54,NĐ!AJ54,NĐ!AP54)))</f>
        <v>0</v>
      </c>
      <c r="F54">
        <f>SUMPRODUCT((MONTH(CHOOSE({1,2,3,4},NĐ!U54,NĐ!AA54,NĐ!AG54,NĐ!AM54))=6)*(CHOOSE({1,2,3,4},NĐ!X54,NĐ!AD54,NĐ!AJ54,NĐ!AP54)))</f>
        <v>0</v>
      </c>
      <c r="G54">
        <f>SUMPRODUCT((MONTH(CHOOSE({1,2,3,4},NĐ!U54,NĐ!AA54,NĐ!AG54,NĐ!AM54))=7)*(CHOOSE({1,2,3,4},NĐ!X54,NĐ!AD54,NĐ!AJ54,NĐ!AP54)))</f>
        <v>0</v>
      </c>
      <c r="H54">
        <f>SUMPRODUCT((MONTH(CHOOSE({1,2,3,4},NĐ!U54,NĐ!AA54,NĐ!AG54,NĐ!AM54))=8)*(CHOOSE({1,2,3,4},NĐ!X54,NĐ!AD54,NĐ!AJ54,NĐ!AP54)))</f>
        <v>0</v>
      </c>
      <c r="I54">
        <f>SUMPRODUCT((MONTH(CHOOSE({1,2,3,4},NĐ!U54,NĐ!AA54,NĐ!AG54,NĐ!AM54))=9)*(CHOOSE({1,2,3,4},NĐ!X54,NĐ!AD54,NĐ!AJ54,NĐ!AP54)))</f>
        <v>0</v>
      </c>
      <c r="J54">
        <f>SUMPRODUCT((MONTH(CHOOSE({1,2,3,4},NĐ!U54,NĐ!AA54,NĐ!AG54,NĐ!AM54))=10)*(CHOOSE({1,2,3,4},NĐ!X54,NĐ!AD54,NĐ!AJ54,NĐ!AP54)))</f>
        <v>0</v>
      </c>
      <c r="K54">
        <f>SUMPRODUCT((MONTH(CHOOSE({1,2,3,4},NĐ!U54,NĐ!AA54,NĐ!AG54,NĐ!AM54))=11)*(CHOOSE({1,2,3,4},NĐ!X54,NĐ!AD54,NĐ!AJ54,NĐ!AP54)))</f>
        <v>0</v>
      </c>
      <c r="L54">
        <f>SUMPRODUCT((MONTH(CHOOSE({1,2,3,4},NĐ!U54,NĐ!AA54,NĐ!AG54,NĐ!AM54))=12)*(CHOOSE({1,2,3,4},NĐ!X54,NĐ!AD54,NĐ!AJ54,NĐ!AP54)))</f>
        <v>0</v>
      </c>
    </row>
    <row r="55" spans="1:12">
      <c r="A55">
        <f>SUMPRODUCT((MONTH(CHOOSE({1,2,3,4},NĐ!U55,NĐ!AA55,NĐ!AG55,NĐ!AM55))=1)*(CHOOSE({1,2,3,4},NĐ!X55,NĐ!AD55,NĐ!AJ55,NĐ!AP55)))</f>
        <v>0</v>
      </c>
      <c r="B55">
        <f>SUMPRODUCT((MONTH(CHOOSE({1,2,3,4},NĐ!U55,NĐ!AA55,NĐ!AG55,NĐ!AM55))=2)*(CHOOSE({1,2,3,4},NĐ!X55,NĐ!AD55,NĐ!AJ55,NĐ!AP55)))</f>
        <v>0</v>
      </c>
      <c r="C55">
        <f>SUMPRODUCT((MONTH(CHOOSE({1,2,3,4},NĐ!U55,NĐ!AA55,NĐ!AG55,NĐ!AM55))=3)*(CHOOSE({1,2,3,4},NĐ!X55,NĐ!AD55,NĐ!AJ55,NĐ!AP55)))</f>
        <v>0</v>
      </c>
      <c r="D55">
        <f>SUMPRODUCT((MONTH(CHOOSE({1,2,3,4},NĐ!U55,NĐ!AA55,NĐ!AG55,NĐ!AM55))=4)*(CHOOSE({1,2,3,4},NĐ!X55,NĐ!AD55,NĐ!AJ55,NĐ!AP55)))</f>
        <v>0</v>
      </c>
      <c r="E55">
        <f>SUMPRODUCT((MONTH(CHOOSE({1,2,3,4},NĐ!U55,NĐ!AA55,NĐ!AG55,NĐ!AM55))=5)*(CHOOSE({1,2,3,4},NĐ!X55,NĐ!AD55,NĐ!AJ55,NĐ!AP55)))</f>
        <v>0</v>
      </c>
      <c r="F55">
        <f>SUMPRODUCT((MONTH(CHOOSE({1,2,3,4},NĐ!U55,NĐ!AA55,NĐ!AG55,NĐ!AM55))=6)*(CHOOSE({1,2,3,4},NĐ!X55,NĐ!AD55,NĐ!AJ55,NĐ!AP55)))</f>
        <v>0</v>
      </c>
      <c r="G55">
        <f>SUMPRODUCT((MONTH(CHOOSE({1,2,3,4},NĐ!U55,NĐ!AA55,NĐ!AG55,NĐ!AM55))=7)*(CHOOSE({1,2,3,4},NĐ!X55,NĐ!AD55,NĐ!AJ55,NĐ!AP55)))</f>
        <v>0</v>
      </c>
      <c r="H55">
        <f>SUMPRODUCT((MONTH(CHOOSE({1,2,3,4},NĐ!U55,NĐ!AA55,NĐ!AG55,NĐ!AM55))=8)*(CHOOSE({1,2,3,4},NĐ!X55,NĐ!AD55,NĐ!AJ55,NĐ!AP55)))</f>
        <v>0</v>
      </c>
      <c r="I55">
        <f>SUMPRODUCT((MONTH(CHOOSE({1,2,3,4},NĐ!U55,NĐ!AA55,NĐ!AG55,NĐ!AM55))=9)*(CHOOSE({1,2,3,4},NĐ!X55,NĐ!AD55,NĐ!AJ55,NĐ!AP55)))</f>
        <v>0</v>
      </c>
      <c r="J55">
        <f>SUMPRODUCT((MONTH(CHOOSE({1,2,3,4},NĐ!U55,NĐ!AA55,NĐ!AG55,NĐ!AM55))=10)*(CHOOSE({1,2,3,4},NĐ!X55,NĐ!AD55,NĐ!AJ55,NĐ!AP55)))</f>
        <v>0</v>
      </c>
      <c r="K55">
        <f>SUMPRODUCT((MONTH(CHOOSE({1,2,3,4},NĐ!U55,NĐ!AA55,NĐ!AG55,NĐ!AM55))=11)*(CHOOSE({1,2,3,4},NĐ!X55,NĐ!AD55,NĐ!AJ55,NĐ!AP55)))</f>
        <v>0</v>
      </c>
      <c r="L55">
        <f>SUMPRODUCT((MONTH(CHOOSE({1,2,3,4},NĐ!U55,NĐ!AA55,NĐ!AG55,NĐ!AM55))=12)*(CHOOSE({1,2,3,4},NĐ!X55,NĐ!AD55,NĐ!AJ55,NĐ!AP55)))</f>
        <v>0</v>
      </c>
    </row>
    <row r="56" spans="1:12">
      <c r="A56">
        <f>SUMPRODUCT((MONTH(CHOOSE({1,2,3,4},NĐ!U56,NĐ!AA56,NĐ!AG56,NĐ!AM56))=1)*(CHOOSE({1,2,3,4},NĐ!X56,NĐ!AD56,NĐ!AJ56,NĐ!AP56)))</f>
        <v>0</v>
      </c>
      <c r="B56">
        <f>SUMPRODUCT((MONTH(CHOOSE({1,2,3,4},NĐ!U56,NĐ!AA56,NĐ!AG56,NĐ!AM56))=2)*(CHOOSE({1,2,3,4},NĐ!X56,NĐ!AD56,NĐ!AJ56,NĐ!AP56)))</f>
        <v>0</v>
      </c>
      <c r="C56">
        <f>SUMPRODUCT((MONTH(CHOOSE({1,2,3,4},NĐ!U56,NĐ!AA56,NĐ!AG56,NĐ!AM56))=3)*(CHOOSE({1,2,3,4},NĐ!X56,NĐ!AD56,NĐ!AJ56,NĐ!AP56)))</f>
        <v>0</v>
      </c>
      <c r="D56">
        <f>SUMPRODUCT((MONTH(CHOOSE({1,2,3,4},NĐ!U56,NĐ!AA56,NĐ!AG56,NĐ!AM56))=4)*(CHOOSE({1,2,3,4},NĐ!X56,NĐ!AD56,NĐ!AJ56,NĐ!AP56)))</f>
        <v>0</v>
      </c>
      <c r="E56">
        <f>SUMPRODUCT((MONTH(CHOOSE({1,2,3,4},NĐ!U56,NĐ!AA56,NĐ!AG56,NĐ!AM56))=5)*(CHOOSE({1,2,3,4},NĐ!X56,NĐ!AD56,NĐ!AJ56,NĐ!AP56)))</f>
        <v>0</v>
      </c>
      <c r="F56">
        <f>SUMPRODUCT((MONTH(CHOOSE({1,2,3,4},NĐ!U56,NĐ!AA56,NĐ!AG56,NĐ!AM56))=6)*(CHOOSE({1,2,3,4},NĐ!X56,NĐ!AD56,NĐ!AJ56,NĐ!AP56)))</f>
        <v>0</v>
      </c>
      <c r="G56">
        <f>SUMPRODUCT((MONTH(CHOOSE({1,2,3,4},NĐ!U56,NĐ!AA56,NĐ!AG56,NĐ!AM56))=7)*(CHOOSE({1,2,3,4},NĐ!X56,NĐ!AD56,NĐ!AJ56,NĐ!AP56)))</f>
        <v>0</v>
      </c>
      <c r="H56">
        <f>SUMPRODUCT((MONTH(CHOOSE({1,2,3,4},NĐ!U56,NĐ!AA56,NĐ!AG56,NĐ!AM56))=8)*(CHOOSE({1,2,3,4},NĐ!X56,NĐ!AD56,NĐ!AJ56,NĐ!AP56)))</f>
        <v>0</v>
      </c>
      <c r="I56">
        <f>SUMPRODUCT((MONTH(CHOOSE({1,2,3,4},NĐ!U56,NĐ!AA56,NĐ!AG56,NĐ!AM56))=9)*(CHOOSE({1,2,3,4},NĐ!X56,NĐ!AD56,NĐ!AJ56,NĐ!AP56)))</f>
        <v>0</v>
      </c>
      <c r="J56">
        <f>SUMPRODUCT((MONTH(CHOOSE({1,2,3,4},NĐ!U56,NĐ!AA56,NĐ!AG56,NĐ!AM56))=10)*(CHOOSE({1,2,3,4},NĐ!X56,NĐ!AD56,NĐ!AJ56,NĐ!AP56)))</f>
        <v>0</v>
      </c>
      <c r="K56">
        <f>SUMPRODUCT((MONTH(CHOOSE({1,2,3,4},NĐ!U56,NĐ!AA56,NĐ!AG56,NĐ!AM56))=11)*(CHOOSE({1,2,3,4},NĐ!X56,NĐ!AD56,NĐ!AJ56,NĐ!AP56)))</f>
        <v>0</v>
      </c>
      <c r="L56">
        <f>SUMPRODUCT((MONTH(CHOOSE({1,2,3,4},NĐ!U56,NĐ!AA56,NĐ!AG56,NĐ!AM56))=12)*(CHOOSE({1,2,3,4},NĐ!X56,NĐ!AD56,NĐ!AJ56,NĐ!AP56)))</f>
        <v>0</v>
      </c>
    </row>
    <row r="57" spans="1:12">
      <c r="A57">
        <f>SUMPRODUCT((MONTH(CHOOSE({1,2,3,4},NĐ!U57,NĐ!AA57,NĐ!AG57,NĐ!AM57))=1)*(CHOOSE({1,2,3,4},NĐ!X57,NĐ!AD57,NĐ!AJ57,NĐ!AP57)))</f>
        <v>0</v>
      </c>
      <c r="B57">
        <f>SUMPRODUCT((MONTH(CHOOSE({1,2,3,4},NĐ!U57,NĐ!AA57,NĐ!AG57,NĐ!AM57))=2)*(CHOOSE({1,2,3,4},NĐ!X57,NĐ!AD57,NĐ!AJ57,NĐ!AP57)))</f>
        <v>0</v>
      </c>
      <c r="C57">
        <f>SUMPRODUCT((MONTH(CHOOSE({1,2,3,4},NĐ!U57,NĐ!AA57,NĐ!AG57,NĐ!AM57))=3)*(CHOOSE({1,2,3,4},NĐ!X57,NĐ!AD57,NĐ!AJ57,NĐ!AP57)))</f>
        <v>0</v>
      </c>
      <c r="D57">
        <f>SUMPRODUCT((MONTH(CHOOSE({1,2,3,4},NĐ!U57,NĐ!AA57,NĐ!AG57,NĐ!AM57))=4)*(CHOOSE({1,2,3,4},NĐ!X57,NĐ!AD57,NĐ!AJ57,NĐ!AP57)))</f>
        <v>0</v>
      </c>
      <c r="E57">
        <f>SUMPRODUCT((MONTH(CHOOSE({1,2,3,4},NĐ!U57,NĐ!AA57,NĐ!AG57,NĐ!AM57))=5)*(CHOOSE({1,2,3,4},NĐ!X57,NĐ!AD57,NĐ!AJ57,NĐ!AP57)))</f>
        <v>0</v>
      </c>
      <c r="F57">
        <f>SUMPRODUCT((MONTH(CHOOSE({1,2,3,4},NĐ!U57,NĐ!AA57,NĐ!AG57,NĐ!AM57))=6)*(CHOOSE({1,2,3,4},NĐ!X57,NĐ!AD57,NĐ!AJ57,NĐ!AP57)))</f>
        <v>0</v>
      </c>
      <c r="G57">
        <f>SUMPRODUCT((MONTH(CHOOSE({1,2,3,4},NĐ!U57,NĐ!AA57,NĐ!AG57,NĐ!AM57))=7)*(CHOOSE({1,2,3,4},NĐ!X57,NĐ!AD57,NĐ!AJ57,NĐ!AP57)))</f>
        <v>0</v>
      </c>
      <c r="H57">
        <f>SUMPRODUCT((MONTH(CHOOSE({1,2,3,4},NĐ!U57,NĐ!AA57,NĐ!AG57,NĐ!AM57))=8)*(CHOOSE({1,2,3,4},NĐ!X57,NĐ!AD57,NĐ!AJ57,NĐ!AP57)))</f>
        <v>0</v>
      </c>
      <c r="I57">
        <f>SUMPRODUCT((MONTH(CHOOSE({1,2,3,4},NĐ!U57,NĐ!AA57,NĐ!AG57,NĐ!AM57))=9)*(CHOOSE({1,2,3,4},NĐ!X57,NĐ!AD57,NĐ!AJ57,NĐ!AP57)))</f>
        <v>0</v>
      </c>
      <c r="J57">
        <f>SUMPRODUCT((MONTH(CHOOSE({1,2,3,4},NĐ!U57,NĐ!AA57,NĐ!AG57,NĐ!AM57))=10)*(CHOOSE({1,2,3,4},NĐ!X57,NĐ!AD57,NĐ!AJ57,NĐ!AP57)))</f>
        <v>0</v>
      </c>
      <c r="K57">
        <f>SUMPRODUCT((MONTH(CHOOSE({1,2,3,4},NĐ!U57,NĐ!AA57,NĐ!AG57,NĐ!AM57))=11)*(CHOOSE({1,2,3,4},NĐ!X57,NĐ!AD57,NĐ!AJ57,NĐ!AP57)))</f>
        <v>0</v>
      </c>
      <c r="L57">
        <f>SUMPRODUCT((MONTH(CHOOSE({1,2,3,4},NĐ!U57,NĐ!AA57,NĐ!AG57,NĐ!AM57))=12)*(CHOOSE({1,2,3,4},NĐ!X57,NĐ!AD57,NĐ!AJ57,NĐ!AP57)))</f>
        <v>0</v>
      </c>
    </row>
    <row r="58" spans="1:12">
      <c r="A58">
        <f>SUMPRODUCT((MONTH(CHOOSE({1,2,3,4},NĐ!U58,NĐ!AA58,NĐ!AG58,NĐ!AM58))=1)*(CHOOSE({1,2,3,4},NĐ!X58,NĐ!AD58,NĐ!AJ58,NĐ!AP58)))</f>
        <v>0</v>
      </c>
      <c r="B58">
        <f>SUMPRODUCT((MONTH(CHOOSE({1,2,3,4},NĐ!U58,NĐ!AA58,NĐ!AG58,NĐ!AM58))=2)*(CHOOSE({1,2,3,4},NĐ!X58,NĐ!AD58,NĐ!AJ58,NĐ!AP58)))</f>
        <v>0</v>
      </c>
      <c r="C58">
        <f>SUMPRODUCT((MONTH(CHOOSE({1,2,3,4},NĐ!U58,NĐ!AA58,NĐ!AG58,NĐ!AM58))=3)*(CHOOSE({1,2,3,4},NĐ!X58,NĐ!AD58,NĐ!AJ58,NĐ!AP58)))</f>
        <v>0</v>
      </c>
      <c r="D58">
        <f>SUMPRODUCT((MONTH(CHOOSE({1,2,3,4},NĐ!U58,NĐ!AA58,NĐ!AG58,NĐ!AM58))=4)*(CHOOSE({1,2,3,4},NĐ!X58,NĐ!AD58,NĐ!AJ58,NĐ!AP58)))</f>
        <v>0</v>
      </c>
      <c r="E58">
        <f>SUMPRODUCT((MONTH(CHOOSE({1,2,3,4},NĐ!U58,NĐ!AA58,NĐ!AG58,NĐ!AM58))=5)*(CHOOSE({1,2,3,4},NĐ!X58,NĐ!AD58,NĐ!AJ58,NĐ!AP58)))</f>
        <v>0</v>
      </c>
      <c r="F58">
        <f>SUMPRODUCT((MONTH(CHOOSE({1,2,3,4},NĐ!U58,NĐ!AA58,NĐ!AG58,NĐ!AM58))=6)*(CHOOSE({1,2,3,4},NĐ!X58,NĐ!AD58,NĐ!AJ58,NĐ!AP58)))</f>
        <v>0</v>
      </c>
      <c r="G58">
        <f>SUMPRODUCT((MONTH(CHOOSE({1,2,3,4},NĐ!U58,NĐ!AA58,NĐ!AG58,NĐ!AM58))=7)*(CHOOSE({1,2,3,4},NĐ!X58,NĐ!AD58,NĐ!AJ58,NĐ!AP58)))</f>
        <v>0</v>
      </c>
      <c r="H58">
        <f>SUMPRODUCT((MONTH(CHOOSE({1,2,3,4},NĐ!U58,NĐ!AA58,NĐ!AG58,NĐ!AM58))=8)*(CHOOSE({1,2,3,4},NĐ!X58,NĐ!AD58,NĐ!AJ58,NĐ!AP58)))</f>
        <v>0</v>
      </c>
      <c r="I58">
        <f>SUMPRODUCT((MONTH(CHOOSE({1,2,3,4},NĐ!U58,NĐ!AA58,NĐ!AG58,NĐ!AM58))=9)*(CHOOSE({1,2,3,4},NĐ!X58,NĐ!AD58,NĐ!AJ58,NĐ!AP58)))</f>
        <v>0</v>
      </c>
      <c r="J58">
        <f>SUMPRODUCT((MONTH(CHOOSE({1,2,3,4},NĐ!U58,NĐ!AA58,NĐ!AG58,NĐ!AM58))=10)*(CHOOSE({1,2,3,4},NĐ!X58,NĐ!AD58,NĐ!AJ58,NĐ!AP58)))</f>
        <v>0</v>
      </c>
      <c r="K58">
        <f>SUMPRODUCT((MONTH(CHOOSE({1,2,3,4},NĐ!U58,NĐ!AA58,NĐ!AG58,NĐ!AM58))=11)*(CHOOSE({1,2,3,4},NĐ!X58,NĐ!AD58,NĐ!AJ58,NĐ!AP58)))</f>
        <v>0</v>
      </c>
      <c r="L58">
        <f>SUMPRODUCT((MONTH(CHOOSE({1,2,3,4},NĐ!U58,NĐ!AA58,NĐ!AG58,NĐ!AM58))=12)*(CHOOSE({1,2,3,4},NĐ!X58,NĐ!AD58,NĐ!AJ58,NĐ!AP58)))</f>
        <v>0</v>
      </c>
    </row>
    <row r="59" spans="1:12">
      <c r="A59">
        <f>SUMPRODUCT((MONTH(CHOOSE({1,2,3,4},NĐ!U59,NĐ!AA59,NĐ!AG59,NĐ!AM59))=1)*(CHOOSE({1,2,3,4},NĐ!X59,NĐ!AD59,NĐ!AJ59,NĐ!AP59)))</f>
        <v>0</v>
      </c>
      <c r="B59">
        <f>SUMPRODUCT((MONTH(CHOOSE({1,2,3,4},NĐ!U59,NĐ!AA59,NĐ!AG59,NĐ!AM59))=2)*(CHOOSE({1,2,3,4},NĐ!X59,NĐ!AD59,NĐ!AJ59,NĐ!AP59)))</f>
        <v>0</v>
      </c>
      <c r="C59">
        <f>SUMPRODUCT((MONTH(CHOOSE({1,2,3,4},NĐ!U59,NĐ!AA59,NĐ!AG59,NĐ!AM59))=3)*(CHOOSE({1,2,3,4},NĐ!X59,NĐ!AD59,NĐ!AJ59,NĐ!AP59)))</f>
        <v>0</v>
      </c>
      <c r="D59">
        <f>SUMPRODUCT((MONTH(CHOOSE({1,2,3,4},NĐ!U59,NĐ!AA59,NĐ!AG59,NĐ!AM59))=4)*(CHOOSE({1,2,3,4},NĐ!X59,NĐ!AD59,NĐ!AJ59,NĐ!AP59)))</f>
        <v>0</v>
      </c>
      <c r="E59">
        <f>SUMPRODUCT((MONTH(CHOOSE({1,2,3,4},NĐ!U59,NĐ!AA59,NĐ!AG59,NĐ!AM59))=5)*(CHOOSE({1,2,3,4},NĐ!X59,NĐ!AD59,NĐ!AJ59,NĐ!AP59)))</f>
        <v>0</v>
      </c>
      <c r="F59">
        <f>SUMPRODUCT((MONTH(CHOOSE({1,2,3,4},NĐ!U59,NĐ!AA59,NĐ!AG59,NĐ!AM59))=6)*(CHOOSE({1,2,3,4},NĐ!X59,NĐ!AD59,NĐ!AJ59,NĐ!AP59)))</f>
        <v>0</v>
      </c>
      <c r="G59">
        <f>SUMPRODUCT((MONTH(CHOOSE({1,2,3,4},NĐ!U59,NĐ!AA59,NĐ!AG59,NĐ!AM59))=7)*(CHOOSE({1,2,3,4},NĐ!X59,NĐ!AD59,NĐ!AJ59,NĐ!AP59)))</f>
        <v>0</v>
      </c>
      <c r="H59">
        <f>SUMPRODUCT((MONTH(CHOOSE({1,2,3,4},NĐ!U59,NĐ!AA59,NĐ!AG59,NĐ!AM59))=8)*(CHOOSE({1,2,3,4},NĐ!X59,NĐ!AD59,NĐ!AJ59,NĐ!AP59)))</f>
        <v>0</v>
      </c>
      <c r="I59">
        <f>SUMPRODUCT((MONTH(CHOOSE({1,2,3,4},NĐ!U59,NĐ!AA59,NĐ!AG59,NĐ!AM59))=9)*(CHOOSE({1,2,3,4},NĐ!X59,NĐ!AD59,NĐ!AJ59,NĐ!AP59)))</f>
        <v>0</v>
      </c>
      <c r="J59">
        <f>SUMPRODUCT((MONTH(CHOOSE({1,2,3,4},NĐ!U59,NĐ!AA59,NĐ!AG59,NĐ!AM59))=10)*(CHOOSE({1,2,3,4},NĐ!X59,NĐ!AD59,NĐ!AJ59,NĐ!AP59)))</f>
        <v>0</v>
      </c>
      <c r="K59">
        <f>SUMPRODUCT((MONTH(CHOOSE({1,2,3,4},NĐ!U59,NĐ!AA59,NĐ!AG59,NĐ!AM59))=11)*(CHOOSE({1,2,3,4},NĐ!X59,NĐ!AD59,NĐ!AJ59,NĐ!AP59)))</f>
        <v>0</v>
      </c>
      <c r="L59">
        <f>SUMPRODUCT((MONTH(CHOOSE({1,2,3,4},NĐ!U59,NĐ!AA59,NĐ!AG59,NĐ!AM59))=12)*(CHOOSE({1,2,3,4},NĐ!X59,NĐ!AD59,NĐ!AJ59,NĐ!AP59)))</f>
        <v>0</v>
      </c>
    </row>
    <row r="60" spans="1:12">
      <c r="A60">
        <f>SUMPRODUCT((MONTH(CHOOSE({1,2,3,4},NĐ!U60,NĐ!AA60,NĐ!AG60,NĐ!AM60))=1)*(CHOOSE({1,2,3,4},NĐ!X60,NĐ!AD60,NĐ!AJ60,NĐ!AP60)))</f>
        <v>0</v>
      </c>
      <c r="B60">
        <f>SUMPRODUCT((MONTH(CHOOSE({1,2,3,4},NĐ!U60,NĐ!AA60,NĐ!AG60,NĐ!AM60))=2)*(CHOOSE({1,2,3,4},NĐ!X60,NĐ!AD60,NĐ!AJ60,NĐ!AP60)))</f>
        <v>0</v>
      </c>
      <c r="C60">
        <f>SUMPRODUCT((MONTH(CHOOSE({1,2,3,4},NĐ!U60,NĐ!AA60,NĐ!AG60,NĐ!AM60))=3)*(CHOOSE({1,2,3,4},NĐ!X60,NĐ!AD60,NĐ!AJ60,NĐ!AP60)))</f>
        <v>0</v>
      </c>
      <c r="D60">
        <f>SUMPRODUCT((MONTH(CHOOSE({1,2,3,4},NĐ!U60,NĐ!AA60,NĐ!AG60,NĐ!AM60))=4)*(CHOOSE({1,2,3,4},NĐ!X60,NĐ!AD60,NĐ!AJ60,NĐ!AP60)))</f>
        <v>0</v>
      </c>
      <c r="E60">
        <f>SUMPRODUCT((MONTH(CHOOSE({1,2,3,4},NĐ!U60,NĐ!AA60,NĐ!AG60,NĐ!AM60))=5)*(CHOOSE({1,2,3,4},NĐ!X60,NĐ!AD60,NĐ!AJ60,NĐ!AP60)))</f>
        <v>0</v>
      </c>
      <c r="F60">
        <f>SUMPRODUCT((MONTH(CHOOSE({1,2,3,4},NĐ!U60,NĐ!AA60,NĐ!AG60,NĐ!AM60))=6)*(CHOOSE({1,2,3,4},NĐ!X60,NĐ!AD60,NĐ!AJ60,NĐ!AP60)))</f>
        <v>0</v>
      </c>
      <c r="G60">
        <f>SUMPRODUCT((MONTH(CHOOSE({1,2,3,4},NĐ!U60,NĐ!AA60,NĐ!AG60,NĐ!AM60))=7)*(CHOOSE({1,2,3,4},NĐ!X60,NĐ!AD60,NĐ!AJ60,NĐ!AP60)))</f>
        <v>0</v>
      </c>
      <c r="H60">
        <f>SUMPRODUCT((MONTH(CHOOSE({1,2,3,4},NĐ!U60,NĐ!AA60,NĐ!AG60,NĐ!AM60))=8)*(CHOOSE({1,2,3,4},NĐ!X60,NĐ!AD60,NĐ!AJ60,NĐ!AP60)))</f>
        <v>0</v>
      </c>
      <c r="I60">
        <f>SUMPRODUCT((MONTH(CHOOSE({1,2,3,4},NĐ!U60,NĐ!AA60,NĐ!AG60,NĐ!AM60))=9)*(CHOOSE({1,2,3,4},NĐ!X60,NĐ!AD60,NĐ!AJ60,NĐ!AP60)))</f>
        <v>0</v>
      </c>
      <c r="J60">
        <f>SUMPRODUCT((MONTH(CHOOSE({1,2,3,4},NĐ!U60,NĐ!AA60,NĐ!AG60,NĐ!AM60))=10)*(CHOOSE({1,2,3,4},NĐ!X60,NĐ!AD60,NĐ!AJ60,NĐ!AP60)))</f>
        <v>0</v>
      </c>
      <c r="K60">
        <f>SUMPRODUCT((MONTH(CHOOSE({1,2,3,4},NĐ!U60,NĐ!AA60,NĐ!AG60,NĐ!AM60))=11)*(CHOOSE({1,2,3,4},NĐ!X60,NĐ!AD60,NĐ!AJ60,NĐ!AP60)))</f>
        <v>0</v>
      </c>
      <c r="L60">
        <f>SUMPRODUCT((MONTH(CHOOSE({1,2,3,4},NĐ!U60,NĐ!AA60,NĐ!AG60,NĐ!AM60))=12)*(CHOOSE({1,2,3,4},NĐ!X60,NĐ!AD60,NĐ!AJ60,NĐ!AP60)))</f>
        <v>0</v>
      </c>
    </row>
    <row r="61" spans="1:12">
      <c r="A61">
        <f>SUMPRODUCT((MONTH(CHOOSE({1,2,3,4},NĐ!U61,NĐ!AA61,NĐ!AG61,NĐ!AM61))=1)*(CHOOSE({1,2,3,4},NĐ!X61,NĐ!AD61,NĐ!AJ61,NĐ!AP61)))</f>
        <v>0</v>
      </c>
      <c r="B61">
        <f>SUMPRODUCT((MONTH(CHOOSE({1,2,3,4},NĐ!U61,NĐ!AA61,NĐ!AG61,NĐ!AM61))=2)*(CHOOSE({1,2,3,4},NĐ!X61,NĐ!AD61,NĐ!AJ61,NĐ!AP61)))</f>
        <v>0</v>
      </c>
      <c r="C61">
        <f>SUMPRODUCT((MONTH(CHOOSE({1,2,3,4},NĐ!U61,NĐ!AA61,NĐ!AG61,NĐ!AM61))=3)*(CHOOSE({1,2,3,4},NĐ!X61,NĐ!AD61,NĐ!AJ61,NĐ!AP61)))</f>
        <v>0</v>
      </c>
      <c r="D61">
        <f>SUMPRODUCT((MONTH(CHOOSE({1,2,3,4},NĐ!U61,NĐ!AA61,NĐ!AG61,NĐ!AM61))=4)*(CHOOSE({1,2,3,4},NĐ!X61,NĐ!AD61,NĐ!AJ61,NĐ!AP61)))</f>
        <v>0</v>
      </c>
      <c r="E61">
        <f>SUMPRODUCT((MONTH(CHOOSE({1,2,3,4},NĐ!U61,NĐ!AA61,NĐ!AG61,NĐ!AM61))=5)*(CHOOSE({1,2,3,4},NĐ!X61,NĐ!AD61,NĐ!AJ61,NĐ!AP61)))</f>
        <v>0</v>
      </c>
      <c r="F61">
        <f>SUMPRODUCT((MONTH(CHOOSE({1,2,3,4},NĐ!U61,NĐ!AA61,NĐ!AG61,NĐ!AM61))=6)*(CHOOSE({1,2,3,4},NĐ!X61,NĐ!AD61,NĐ!AJ61,NĐ!AP61)))</f>
        <v>0</v>
      </c>
      <c r="G61">
        <f>SUMPRODUCT((MONTH(CHOOSE({1,2,3,4},NĐ!U61,NĐ!AA61,NĐ!AG61,NĐ!AM61))=7)*(CHOOSE({1,2,3,4},NĐ!X61,NĐ!AD61,NĐ!AJ61,NĐ!AP61)))</f>
        <v>0</v>
      </c>
      <c r="H61">
        <f>SUMPRODUCT((MONTH(CHOOSE({1,2,3,4},NĐ!U61,NĐ!AA61,NĐ!AG61,NĐ!AM61))=8)*(CHOOSE({1,2,3,4},NĐ!X61,NĐ!AD61,NĐ!AJ61,NĐ!AP61)))</f>
        <v>0</v>
      </c>
      <c r="I61">
        <f>SUMPRODUCT((MONTH(CHOOSE({1,2,3,4},NĐ!U61,NĐ!AA61,NĐ!AG61,NĐ!AM61))=9)*(CHOOSE({1,2,3,4},NĐ!X61,NĐ!AD61,NĐ!AJ61,NĐ!AP61)))</f>
        <v>0</v>
      </c>
      <c r="J61">
        <f>SUMPRODUCT((MONTH(CHOOSE({1,2,3,4},NĐ!U61,NĐ!AA61,NĐ!AG61,NĐ!AM61))=10)*(CHOOSE({1,2,3,4},NĐ!X61,NĐ!AD61,NĐ!AJ61,NĐ!AP61)))</f>
        <v>0</v>
      </c>
      <c r="K61">
        <f>SUMPRODUCT((MONTH(CHOOSE({1,2,3,4},NĐ!U61,NĐ!AA61,NĐ!AG61,NĐ!AM61))=11)*(CHOOSE({1,2,3,4},NĐ!X61,NĐ!AD61,NĐ!AJ61,NĐ!AP61)))</f>
        <v>0</v>
      </c>
      <c r="L61">
        <f>SUMPRODUCT((MONTH(CHOOSE({1,2,3,4},NĐ!U61,NĐ!AA61,NĐ!AG61,NĐ!AM61))=12)*(CHOOSE({1,2,3,4},NĐ!X61,NĐ!AD61,NĐ!AJ61,NĐ!AP61)))</f>
        <v>0</v>
      </c>
    </row>
    <row r="62" spans="1:12">
      <c r="A62">
        <f>SUMPRODUCT((MONTH(CHOOSE({1,2,3,4},NĐ!U62,NĐ!AA62,NĐ!AG62,NĐ!AM62))=1)*(CHOOSE({1,2,3,4},NĐ!X62,NĐ!AD62,NĐ!AJ62,NĐ!AP62)))</f>
        <v>0</v>
      </c>
      <c r="B62">
        <f>SUMPRODUCT((MONTH(CHOOSE({1,2,3,4},NĐ!U62,NĐ!AA62,NĐ!AG62,NĐ!AM62))=2)*(CHOOSE({1,2,3,4},NĐ!X62,NĐ!AD62,NĐ!AJ62,NĐ!AP62)))</f>
        <v>0</v>
      </c>
      <c r="C62">
        <f>SUMPRODUCT((MONTH(CHOOSE({1,2,3,4},NĐ!U62,NĐ!AA62,NĐ!AG62,NĐ!AM62))=3)*(CHOOSE({1,2,3,4},NĐ!X62,NĐ!AD62,NĐ!AJ62,NĐ!AP62)))</f>
        <v>0</v>
      </c>
      <c r="D62">
        <f>SUMPRODUCT((MONTH(CHOOSE({1,2,3,4},NĐ!U62,NĐ!AA62,NĐ!AG62,NĐ!AM62))=4)*(CHOOSE({1,2,3,4},NĐ!X62,NĐ!AD62,NĐ!AJ62,NĐ!AP62)))</f>
        <v>0</v>
      </c>
      <c r="E62">
        <f>SUMPRODUCT((MONTH(CHOOSE({1,2,3,4},NĐ!U62,NĐ!AA62,NĐ!AG62,NĐ!AM62))=5)*(CHOOSE({1,2,3,4},NĐ!X62,NĐ!AD62,NĐ!AJ62,NĐ!AP62)))</f>
        <v>0</v>
      </c>
      <c r="F62">
        <f>SUMPRODUCT((MONTH(CHOOSE({1,2,3,4},NĐ!U62,NĐ!AA62,NĐ!AG62,NĐ!AM62))=6)*(CHOOSE({1,2,3,4},NĐ!X62,NĐ!AD62,NĐ!AJ62,NĐ!AP62)))</f>
        <v>0</v>
      </c>
      <c r="G62">
        <f>SUMPRODUCT((MONTH(CHOOSE({1,2,3,4},NĐ!U62,NĐ!AA62,NĐ!AG62,NĐ!AM62))=7)*(CHOOSE({1,2,3,4},NĐ!X62,NĐ!AD62,NĐ!AJ62,NĐ!AP62)))</f>
        <v>0</v>
      </c>
      <c r="H62">
        <f>SUMPRODUCT((MONTH(CHOOSE({1,2,3,4},NĐ!U62,NĐ!AA62,NĐ!AG62,NĐ!AM62))=8)*(CHOOSE({1,2,3,4},NĐ!X62,NĐ!AD62,NĐ!AJ62,NĐ!AP62)))</f>
        <v>0</v>
      </c>
      <c r="I62">
        <f>SUMPRODUCT((MONTH(CHOOSE({1,2,3,4},NĐ!U62,NĐ!AA62,NĐ!AG62,NĐ!AM62))=9)*(CHOOSE({1,2,3,4},NĐ!X62,NĐ!AD62,NĐ!AJ62,NĐ!AP62)))</f>
        <v>0</v>
      </c>
      <c r="J62">
        <f>SUMPRODUCT((MONTH(CHOOSE({1,2,3,4},NĐ!U62,NĐ!AA62,NĐ!AG62,NĐ!AM62))=10)*(CHOOSE({1,2,3,4},NĐ!X62,NĐ!AD62,NĐ!AJ62,NĐ!AP62)))</f>
        <v>0</v>
      </c>
      <c r="K62">
        <f>SUMPRODUCT((MONTH(CHOOSE({1,2,3,4},NĐ!U62,NĐ!AA62,NĐ!AG62,NĐ!AM62))=11)*(CHOOSE({1,2,3,4},NĐ!X62,NĐ!AD62,NĐ!AJ62,NĐ!AP62)))</f>
        <v>0</v>
      </c>
      <c r="L62">
        <f>SUMPRODUCT((MONTH(CHOOSE({1,2,3,4},NĐ!U62,NĐ!AA62,NĐ!AG62,NĐ!AM62))=12)*(CHOOSE({1,2,3,4},NĐ!X62,NĐ!AD62,NĐ!AJ62,NĐ!AP62)))</f>
        <v>0</v>
      </c>
    </row>
    <row r="63" spans="1:12">
      <c r="A63">
        <f>SUMPRODUCT((MONTH(CHOOSE({1,2,3,4},NĐ!U63,NĐ!AA63,NĐ!AG63,NĐ!AM63))=1)*(CHOOSE({1,2,3,4},NĐ!X63,NĐ!AD63,NĐ!AJ63,NĐ!AP63)))</f>
        <v>0</v>
      </c>
      <c r="B63">
        <f>SUMPRODUCT((MONTH(CHOOSE({1,2,3,4},NĐ!U63,NĐ!AA63,NĐ!AG63,NĐ!AM63))=2)*(CHOOSE({1,2,3,4},NĐ!X63,NĐ!AD63,NĐ!AJ63,NĐ!AP63)))</f>
        <v>0</v>
      </c>
      <c r="C63">
        <f>SUMPRODUCT((MONTH(CHOOSE({1,2,3,4},NĐ!U63,NĐ!AA63,NĐ!AG63,NĐ!AM63))=3)*(CHOOSE({1,2,3,4},NĐ!X63,NĐ!AD63,NĐ!AJ63,NĐ!AP63)))</f>
        <v>0</v>
      </c>
      <c r="D63">
        <f>SUMPRODUCT((MONTH(CHOOSE({1,2,3,4},NĐ!U63,NĐ!AA63,NĐ!AG63,NĐ!AM63))=4)*(CHOOSE({1,2,3,4},NĐ!X63,NĐ!AD63,NĐ!AJ63,NĐ!AP63)))</f>
        <v>0</v>
      </c>
      <c r="E63">
        <f>SUMPRODUCT((MONTH(CHOOSE({1,2,3,4},NĐ!U63,NĐ!AA63,NĐ!AG63,NĐ!AM63))=5)*(CHOOSE({1,2,3,4},NĐ!X63,NĐ!AD63,NĐ!AJ63,NĐ!AP63)))</f>
        <v>0</v>
      </c>
      <c r="F63">
        <f>SUMPRODUCT((MONTH(CHOOSE({1,2,3,4},NĐ!U63,NĐ!AA63,NĐ!AG63,NĐ!AM63))=6)*(CHOOSE({1,2,3,4},NĐ!X63,NĐ!AD63,NĐ!AJ63,NĐ!AP63)))</f>
        <v>0</v>
      </c>
      <c r="G63">
        <f>SUMPRODUCT((MONTH(CHOOSE({1,2,3,4},NĐ!U63,NĐ!AA63,NĐ!AG63,NĐ!AM63))=7)*(CHOOSE({1,2,3,4},NĐ!X63,NĐ!AD63,NĐ!AJ63,NĐ!AP63)))</f>
        <v>0</v>
      </c>
      <c r="H63">
        <f>SUMPRODUCT((MONTH(CHOOSE({1,2,3,4},NĐ!U63,NĐ!AA63,NĐ!AG63,NĐ!AM63))=8)*(CHOOSE({1,2,3,4},NĐ!X63,NĐ!AD63,NĐ!AJ63,NĐ!AP63)))</f>
        <v>0</v>
      </c>
      <c r="I63">
        <f>SUMPRODUCT((MONTH(CHOOSE({1,2,3,4},NĐ!U63,NĐ!AA63,NĐ!AG63,NĐ!AM63))=9)*(CHOOSE({1,2,3,4},NĐ!X63,NĐ!AD63,NĐ!AJ63,NĐ!AP63)))</f>
        <v>0</v>
      </c>
      <c r="J63">
        <f>SUMPRODUCT((MONTH(CHOOSE({1,2,3,4},NĐ!U63,NĐ!AA63,NĐ!AG63,NĐ!AM63))=10)*(CHOOSE({1,2,3,4},NĐ!X63,NĐ!AD63,NĐ!AJ63,NĐ!AP63)))</f>
        <v>0</v>
      </c>
      <c r="K63">
        <f>SUMPRODUCT((MONTH(CHOOSE({1,2,3,4},NĐ!U63,NĐ!AA63,NĐ!AG63,NĐ!AM63))=11)*(CHOOSE({1,2,3,4},NĐ!X63,NĐ!AD63,NĐ!AJ63,NĐ!AP63)))</f>
        <v>0</v>
      </c>
      <c r="L63">
        <f>SUMPRODUCT((MONTH(CHOOSE({1,2,3,4},NĐ!U63,NĐ!AA63,NĐ!AG63,NĐ!AM63))=12)*(CHOOSE({1,2,3,4},NĐ!X63,NĐ!AD63,NĐ!AJ63,NĐ!AP63)))</f>
        <v>0</v>
      </c>
    </row>
    <row r="64" spans="1:12">
      <c r="A64">
        <f>SUMPRODUCT((MONTH(CHOOSE({1,2,3,4},NĐ!U64,NĐ!AA64,NĐ!AG64,NĐ!AM64))=1)*(CHOOSE({1,2,3,4},NĐ!X64,NĐ!AD64,NĐ!AJ64,NĐ!AP64)))</f>
        <v>0</v>
      </c>
      <c r="B64">
        <f>SUMPRODUCT((MONTH(CHOOSE({1,2,3,4},NĐ!U64,NĐ!AA64,NĐ!AG64,NĐ!AM64))=2)*(CHOOSE({1,2,3,4},NĐ!X64,NĐ!AD64,NĐ!AJ64,NĐ!AP64)))</f>
        <v>0</v>
      </c>
      <c r="C64">
        <f>SUMPRODUCT((MONTH(CHOOSE({1,2,3,4},NĐ!U64,NĐ!AA64,NĐ!AG64,NĐ!AM64))=3)*(CHOOSE({1,2,3,4},NĐ!X64,NĐ!AD64,NĐ!AJ64,NĐ!AP64)))</f>
        <v>0</v>
      </c>
      <c r="D64">
        <f>SUMPRODUCT((MONTH(CHOOSE({1,2,3,4},NĐ!U64,NĐ!AA64,NĐ!AG64,NĐ!AM64))=4)*(CHOOSE({1,2,3,4},NĐ!X64,NĐ!AD64,NĐ!AJ64,NĐ!AP64)))</f>
        <v>0</v>
      </c>
      <c r="E64">
        <f>SUMPRODUCT((MONTH(CHOOSE({1,2,3,4},NĐ!U64,NĐ!AA64,NĐ!AG64,NĐ!AM64))=5)*(CHOOSE({1,2,3,4},NĐ!X64,NĐ!AD64,NĐ!AJ64,NĐ!AP64)))</f>
        <v>0</v>
      </c>
      <c r="F64">
        <f>SUMPRODUCT((MONTH(CHOOSE({1,2,3,4},NĐ!U64,NĐ!AA64,NĐ!AG64,NĐ!AM64))=6)*(CHOOSE({1,2,3,4},NĐ!X64,NĐ!AD64,NĐ!AJ64,NĐ!AP64)))</f>
        <v>0</v>
      </c>
      <c r="G64">
        <f>SUMPRODUCT((MONTH(CHOOSE({1,2,3,4},NĐ!U64,NĐ!AA64,NĐ!AG64,NĐ!AM64))=7)*(CHOOSE({1,2,3,4},NĐ!X64,NĐ!AD64,NĐ!AJ64,NĐ!AP64)))</f>
        <v>0</v>
      </c>
      <c r="H64">
        <f>SUMPRODUCT((MONTH(CHOOSE({1,2,3,4},NĐ!U64,NĐ!AA64,NĐ!AG64,NĐ!AM64))=8)*(CHOOSE({1,2,3,4},NĐ!X64,NĐ!AD64,NĐ!AJ64,NĐ!AP64)))</f>
        <v>0</v>
      </c>
      <c r="I64">
        <f>SUMPRODUCT((MONTH(CHOOSE({1,2,3,4},NĐ!U64,NĐ!AA64,NĐ!AG64,NĐ!AM64))=9)*(CHOOSE({1,2,3,4},NĐ!X64,NĐ!AD64,NĐ!AJ64,NĐ!AP64)))</f>
        <v>0</v>
      </c>
      <c r="J64">
        <f>SUMPRODUCT((MONTH(CHOOSE({1,2,3,4},NĐ!U64,NĐ!AA64,NĐ!AG64,NĐ!AM64))=10)*(CHOOSE({1,2,3,4},NĐ!X64,NĐ!AD64,NĐ!AJ64,NĐ!AP64)))</f>
        <v>0</v>
      </c>
      <c r="K64">
        <f>SUMPRODUCT((MONTH(CHOOSE({1,2,3,4},NĐ!U64,NĐ!AA64,NĐ!AG64,NĐ!AM64))=11)*(CHOOSE({1,2,3,4},NĐ!X64,NĐ!AD64,NĐ!AJ64,NĐ!AP64)))</f>
        <v>0</v>
      </c>
      <c r="L64">
        <f>SUMPRODUCT((MONTH(CHOOSE({1,2,3,4},NĐ!U64,NĐ!AA64,NĐ!AG64,NĐ!AM64))=12)*(CHOOSE({1,2,3,4},NĐ!X64,NĐ!AD64,NĐ!AJ64,NĐ!AP64)))</f>
        <v>0</v>
      </c>
    </row>
    <row r="65" spans="1:12">
      <c r="A65">
        <f>SUMPRODUCT((MONTH(CHOOSE({1,2,3,4},NĐ!U65,NĐ!AA65,NĐ!AG65,NĐ!AM65))=1)*(CHOOSE({1,2,3,4},NĐ!X65,NĐ!AD65,NĐ!AJ65,NĐ!AP65)))</f>
        <v>0</v>
      </c>
      <c r="B65">
        <f>SUMPRODUCT((MONTH(CHOOSE({1,2,3,4},NĐ!U65,NĐ!AA65,NĐ!AG65,NĐ!AM65))=2)*(CHOOSE({1,2,3,4},NĐ!X65,NĐ!AD65,NĐ!AJ65,NĐ!AP65)))</f>
        <v>0</v>
      </c>
      <c r="C65">
        <f>SUMPRODUCT((MONTH(CHOOSE({1,2,3,4},NĐ!U65,NĐ!AA65,NĐ!AG65,NĐ!AM65))=3)*(CHOOSE({1,2,3,4},NĐ!X65,NĐ!AD65,NĐ!AJ65,NĐ!AP65)))</f>
        <v>0</v>
      </c>
      <c r="D65">
        <f>SUMPRODUCT((MONTH(CHOOSE({1,2,3,4},NĐ!U65,NĐ!AA65,NĐ!AG65,NĐ!AM65))=4)*(CHOOSE({1,2,3,4},NĐ!X65,NĐ!AD65,NĐ!AJ65,NĐ!AP65)))</f>
        <v>0</v>
      </c>
      <c r="E65">
        <f>SUMPRODUCT((MONTH(CHOOSE({1,2,3,4},NĐ!U65,NĐ!AA65,NĐ!AG65,NĐ!AM65))=5)*(CHOOSE({1,2,3,4},NĐ!X65,NĐ!AD65,NĐ!AJ65,NĐ!AP65)))</f>
        <v>0</v>
      </c>
      <c r="F65">
        <f>SUMPRODUCT((MONTH(CHOOSE({1,2,3,4},NĐ!U65,NĐ!AA65,NĐ!AG65,NĐ!AM65))=6)*(CHOOSE({1,2,3,4},NĐ!X65,NĐ!AD65,NĐ!AJ65,NĐ!AP65)))</f>
        <v>0</v>
      </c>
      <c r="G65">
        <f>SUMPRODUCT((MONTH(CHOOSE({1,2,3,4},NĐ!U65,NĐ!AA65,NĐ!AG65,NĐ!AM65))=7)*(CHOOSE({1,2,3,4},NĐ!X65,NĐ!AD65,NĐ!AJ65,NĐ!AP65)))</f>
        <v>0</v>
      </c>
      <c r="H65">
        <f>SUMPRODUCT((MONTH(CHOOSE({1,2,3,4},NĐ!U65,NĐ!AA65,NĐ!AG65,NĐ!AM65))=8)*(CHOOSE({1,2,3,4},NĐ!X65,NĐ!AD65,NĐ!AJ65,NĐ!AP65)))</f>
        <v>0</v>
      </c>
      <c r="I65">
        <f>SUMPRODUCT((MONTH(CHOOSE({1,2,3,4},NĐ!U65,NĐ!AA65,NĐ!AG65,NĐ!AM65))=9)*(CHOOSE({1,2,3,4},NĐ!X65,NĐ!AD65,NĐ!AJ65,NĐ!AP65)))</f>
        <v>0</v>
      </c>
      <c r="J65">
        <f>SUMPRODUCT((MONTH(CHOOSE({1,2,3,4},NĐ!U65,NĐ!AA65,NĐ!AG65,NĐ!AM65))=10)*(CHOOSE({1,2,3,4},NĐ!X65,NĐ!AD65,NĐ!AJ65,NĐ!AP65)))</f>
        <v>0</v>
      </c>
      <c r="K65">
        <f>SUMPRODUCT((MONTH(CHOOSE({1,2,3,4},NĐ!U65,NĐ!AA65,NĐ!AG65,NĐ!AM65))=11)*(CHOOSE({1,2,3,4},NĐ!X65,NĐ!AD65,NĐ!AJ65,NĐ!AP65)))</f>
        <v>0</v>
      </c>
      <c r="L65">
        <f>SUMPRODUCT((MONTH(CHOOSE({1,2,3,4},NĐ!U65,NĐ!AA65,NĐ!AG65,NĐ!AM65))=12)*(CHOOSE({1,2,3,4},NĐ!X65,NĐ!AD65,NĐ!AJ65,NĐ!AP65)))</f>
        <v>0</v>
      </c>
    </row>
    <row r="66" spans="1:12">
      <c r="A66">
        <f>SUMPRODUCT((MONTH(CHOOSE({1,2,3,4},NĐ!U66,NĐ!AA66,NĐ!AG66,NĐ!AM66))=1)*(CHOOSE({1,2,3,4},NĐ!X66,NĐ!AD66,NĐ!AJ66,NĐ!AP66)))</f>
        <v>0</v>
      </c>
      <c r="B66">
        <f>SUMPRODUCT((MONTH(CHOOSE({1,2,3,4},NĐ!U66,NĐ!AA66,NĐ!AG66,NĐ!AM66))=2)*(CHOOSE({1,2,3,4},NĐ!X66,NĐ!AD66,NĐ!AJ66,NĐ!AP66)))</f>
        <v>0</v>
      </c>
      <c r="C66">
        <f>SUMPRODUCT((MONTH(CHOOSE({1,2,3,4},NĐ!U66,NĐ!AA66,NĐ!AG66,NĐ!AM66))=3)*(CHOOSE({1,2,3,4},NĐ!X66,NĐ!AD66,NĐ!AJ66,NĐ!AP66)))</f>
        <v>0</v>
      </c>
      <c r="D66">
        <f>SUMPRODUCT((MONTH(CHOOSE({1,2,3,4},NĐ!U66,NĐ!AA66,NĐ!AG66,NĐ!AM66))=4)*(CHOOSE({1,2,3,4},NĐ!X66,NĐ!AD66,NĐ!AJ66,NĐ!AP66)))</f>
        <v>0</v>
      </c>
      <c r="E66">
        <f>SUMPRODUCT((MONTH(CHOOSE({1,2,3,4},NĐ!U66,NĐ!AA66,NĐ!AG66,NĐ!AM66))=5)*(CHOOSE({1,2,3,4},NĐ!X66,NĐ!AD66,NĐ!AJ66,NĐ!AP66)))</f>
        <v>0</v>
      </c>
      <c r="F66">
        <f>SUMPRODUCT((MONTH(CHOOSE({1,2,3,4},NĐ!U66,NĐ!AA66,NĐ!AG66,NĐ!AM66))=6)*(CHOOSE({1,2,3,4},NĐ!X66,NĐ!AD66,NĐ!AJ66,NĐ!AP66)))</f>
        <v>0</v>
      </c>
      <c r="G66">
        <f>SUMPRODUCT((MONTH(CHOOSE({1,2,3,4},NĐ!U66,NĐ!AA66,NĐ!AG66,NĐ!AM66))=7)*(CHOOSE({1,2,3,4},NĐ!X66,NĐ!AD66,NĐ!AJ66,NĐ!AP66)))</f>
        <v>0</v>
      </c>
      <c r="H66">
        <f>SUMPRODUCT((MONTH(CHOOSE({1,2,3,4},NĐ!U66,NĐ!AA66,NĐ!AG66,NĐ!AM66))=8)*(CHOOSE({1,2,3,4},NĐ!X66,NĐ!AD66,NĐ!AJ66,NĐ!AP66)))</f>
        <v>0</v>
      </c>
      <c r="I66">
        <f>SUMPRODUCT((MONTH(CHOOSE({1,2,3,4},NĐ!U66,NĐ!AA66,NĐ!AG66,NĐ!AM66))=9)*(CHOOSE({1,2,3,4},NĐ!X66,NĐ!AD66,NĐ!AJ66,NĐ!AP66)))</f>
        <v>0</v>
      </c>
      <c r="J66">
        <f>SUMPRODUCT((MONTH(CHOOSE({1,2,3,4},NĐ!U66,NĐ!AA66,NĐ!AG66,NĐ!AM66))=10)*(CHOOSE({1,2,3,4},NĐ!X66,NĐ!AD66,NĐ!AJ66,NĐ!AP66)))</f>
        <v>0</v>
      </c>
      <c r="K66">
        <f>SUMPRODUCT((MONTH(CHOOSE({1,2,3,4},NĐ!U66,NĐ!AA66,NĐ!AG66,NĐ!AM66))=11)*(CHOOSE({1,2,3,4},NĐ!X66,NĐ!AD66,NĐ!AJ66,NĐ!AP66)))</f>
        <v>0</v>
      </c>
      <c r="L66">
        <f>SUMPRODUCT((MONTH(CHOOSE({1,2,3,4},NĐ!U66,NĐ!AA66,NĐ!AG66,NĐ!AM66))=12)*(CHOOSE({1,2,3,4},NĐ!X66,NĐ!AD66,NĐ!AJ66,NĐ!AP66)))</f>
        <v>0</v>
      </c>
    </row>
    <row r="67" spans="1:12">
      <c r="A67">
        <f>SUMPRODUCT((MONTH(CHOOSE({1,2,3,4},NĐ!U67,NĐ!AA67,NĐ!AG67,NĐ!AM67))=1)*(CHOOSE({1,2,3,4},NĐ!X67,NĐ!AD67,NĐ!AJ67,NĐ!AP67)))</f>
        <v>0</v>
      </c>
      <c r="B67">
        <f>SUMPRODUCT((MONTH(CHOOSE({1,2,3,4},NĐ!U67,NĐ!AA67,NĐ!AG67,NĐ!AM67))=2)*(CHOOSE({1,2,3,4},NĐ!X67,NĐ!AD67,NĐ!AJ67,NĐ!AP67)))</f>
        <v>0</v>
      </c>
      <c r="C67">
        <f>SUMPRODUCT((MONTH(CHOOSE({1,2,3,4},NĐ!U67,NĐ!AA67,NĐ!AG67,NĐ!AM67))=3)*(CHOOSE({1,2,3,4},NĐ!X67,NĐ!AD67,NĐ!AJ67,NĐ!AP67)))</f>
        <v>0</v>
      </c>
      <c r="D67">
        <f>SUMPRODUCT((MONTH(CHOOSE({1,2,3,4},NĐ!U67,NĐ!AA67,NĐ!AG67,NĐ!AM67))=4)*(CHOOSE({1,2,3,4},NĐ!X67,NĐ!AD67,NĐ!AJ67,NĐ!AP67)))</f>
        <v>0</v>
      </c>
      <c r="E67">
        <f>SUMPRODUCT((MONTH(CHOOSE({1,2,3,4},NĐ!U67,NĐ!AA67,NĐ!AG67,NĐ!AM67))=5)*(CHOOSE({1,2,3,4},NĐ!X67,NĐ!AD67,NĐ!AJ67,NĐ!AP67)))</f>
        <v>0</v>
      </c>
      <c r="F67">
        <f>SUMPRODUCT((MONTH(CHOOSE({1,2,3,4},NĐ!U67,NĐ!AA67,NĐ!AG67,NĐ!AM67))=6)*(CHOOSE({1,2,3,4},NĐ!X67,NĐ!AD67,NĐ!AJ67,NĐ!AP67)))</f>
        <v>0</v>
      </c>
      <c r="G67">
        <f>SUMPRODUCT((MONTH(CHOOSE({1,2,3,4},NĐ!U67,NĐ!AA67,NĐ!AG67,NĐ!AM67))=7)*(CHOOSE({1,2,3,4},NĐ!X67,NĐ!AD67,NĐ!AJ67,NĐ!AP67)))</f>
        <v>0</v>
      </c>
      <c r="H67">
        <f>SUMPRODUCT((MONTH(CHOOSE({1,2,3,4},NĐ!U67,NĐ!AA67,NĐ!AG67,NĐ!AM67))=8)*(CHOOSE({1,2,3,4},NĐ!X67,NĐ!AD67,NĐ!AJ67,NĐ!AP67)))</f>
        <v>0</v>
      </c>
      <c r="I67">
        <f>SUMPRODUCT((MONTH(CHOOSE({1,2,3,4},NĐ!U67,NĐ!AA67,NĐ!AG67,NĐ!AM67))=9)*(CHOOSE({1,2,3,4},NĐ!X67,NĐ!AD67,NĐ!AJ67,NĐ!AP67)))</f>
        <v>0</v>
      </c>
      <c r="J67">
        <f>SUMPRODUCT((MONTH(CHOOSE({1,2,3,4},NĐ!U67,NĐ!AA67,NĐ!AG67,NĐ!AM67))=10)*(CHOOSE({1,2,3,4},NĐ!X67,NĐ!AD67,NĐ!AJ67,NĐ!AP67)))</f>
        <v>0</v>
      </c>
      <c r="K67">
        <f>SUMPRODUCT((MONTH(CHOOSE({1,2,3,4},NĐ!U67,NĐ!AA67,NĐ!AG67,NĐ!AM67))=11)*(CHOOSE({1,2,3,4},NĐ!X67,NĐ!AD67,NĐ!AJ67,NĐ!AP67)))</f>
        <v>0</v>
      </c>
      <c r="L67">
        <f>SUMPRODUCT((MONTH(CHOOSE({1,2,3,4},NĐ!U67,NĐ!AA67,NĐ!AG67,NĐ!AM67))=12)*(CHOOSE({1,2,3,4},NĐ!X67,NĐ!AD67,NĐ!AJ67,NĐ!AP67)))</f>
        <v>0</v>
      </c>
    </row>
    <row r="68" spans="1:12">
      <c r="A68">
        <f>SUMPRODUCT((MONTH(CHOOSE({1,2,3,4},NĐ!U68,NĐ!AA68,NĐ!AG68,NĐ!AM68))=1)*(CHOOSE({1,2,3,4},NĐ!X68,NĐ!AD68,NĐ!AJ68,NĐ!AP68)))</f>
        <v>0</v>
      </c>
      <c r="B68">
        <f>SUMPRODUCT((MONTH(CHOOSE({1,2,3,4},NĐ!U68,NĐ!AA68,NĐ!AG68,NĐ!AM68))=2)*(CHOOSE({1,2,3,4},NĐ!X68,NĐ!AD68,NĐ!AJ68,NĐ!AP68)))</f>
        <v>0</v>
      </c>
      <c r="C68">
        <f>SUMPRODUCT((MONTH(CHOOSE({1,2,3,4},NĐ!U68,NĐ!AA68,NĐ!AG68,NĐ!AM68))=3)*(CHOOSE({1,2,3,4},NĐ!X68,NĐ!AD68,NĐ!AJ68,NĐ!AP68)))</f>
        <v>0</v>
      </c>
      <c r="D68">
        <f>SUMPRODUCT((MONTH(CHOOSE({1,2,3,4},NĐ!U68,NĐ!AA68,NĐ!AG68,NĐ!AM68))=4)*(CHOOSE({1,2,3,4},NĐ!X68,NĐ!AD68,NĐ!AJ68,NĐ!AP68)))</f>
        <v>0</v>
      </c>
      <c r="E68">
        <f>SUMPRODUCT((MONTH(CHOOSE({1,2,3,4},NĐ!U68,NĐ!AA68,NĐ!AG68,NĐ!AM68))=5)*(CHOOSE({1,2,3,4},NĐ!X68,NĐ!AD68,NĐ!AJ68,NĐ!AP68)))</f>
        <v>0</v>
      </c>
      <c r="F68">
        <f>SUMPRODUCT((MONTH(CHOOSE({1,2,3,4},NĐ!U68,NĐ!AA68,NĐ!AG68,NĐ!AM68))=6)*(CHOOSE({1,2,3,4},NĐ!X68,NĐ!AD68,NĐ!AJ68,NĐ!AP68)))</f>
        <v>0</v>
      </c>
      <c r="G68">
        <f>SUMPRODUCT((MONTH(CHOOSE({1,2,3,4},NĐ!U68,NĐ!AA68,NĐ!AG68,NĐ!AM68))=7)*(CHOOSE({1,2,3,4},NĐ!X68,NĐ!AD68,NĐ!AJ68,NĐ!AP68)))</f>
        <v>0</v>
      </c>
      <c r="H68">
        <f>SUMPRODUCT((MONTH(CHOOSE({1,2,3,4},NĐ!U68,NĐ!AA68,NĐ!AG68,NĐ!AM68))=8)*(CHOOSE({1,2,3,4},NĐ!X68,NĐ!AD68,NĐ!AJ68,NĐ!AP68)))</f>
        <v>0</v>
      </c>
      <c r="I68">
        <f>SUMPRODUCT((MONTH(CHOOSE({1,2,3,4},NĐ!U68,NĐ!AA68,NĐ!AG68,NĐ!AM68))=9)*(CHOOSE({1,2,3,4},NĐ!X68,NĐ!AD68,NĐ!AJ68,NĐ!AP68)))</f>
        <v>0</v>
      </c>
      <c r="J68">
        <f>SUMPRODUCT((MONTH(CHOOSE({1,2,3,4},NĐ!U68,NĐ!AA68,NĐ!AG68,NĐ!AM68))=10)*(CHOOSE({1,2,3,4},NĐ!X68,NĐ!AD68,NĐ!AJ68,NĐ!AP68)))</f>
        <v>0</v>
      </c>
      <c r="K68">
        <f>SUMPRODUCT((MONTH(CHOOSE({1,2,3,4},NĐ!U68,NĐ!AA68,NĐ!AG68,NĐ!AM68))=11)*(CHOOSE({1,2,3,4},NĐ!X68,NĐ!AD68,NĐ!AJ68,NĐ!AP68)))</f>
        <v>0</v>
      </c>
      <c r="L68">
        <f>SUMPRODUCT((MONTH(CHOOSE({1,2,3,4},NĐ!U68,NĐ!AA68,NĐ!AG68,NĐ!AM68))=12)*(CHOOSE({1,2,3,4},NĐ!X68,NĐ!AD68,NĐ!AJ68,NĐ!AP68)))</f>
        <v>0</v>
      </c>
    </row>
    <row r="69" spans="1:12">
      <c r="A69">
        <f>SUMPRODUCT((MONTH(CHOOSE({1,2,3,4},NĐ!U69,NĐ!AA69,NĐ!AG69,NĐ!AM69))=1)*(CHOOSE({1,2,3,4},NĐ!X69,NĐ!AD69,NĐ!AJ69,NĐ!AP69)))</f>
        <v>0</v>
      </c>
      <c r="B69">
        <f>SUMPRODUCT((MONTH(CHOOSE({1,2,3,4},NĐ!U69,NĐ!AA69,NĐ!AG69,NĐ!AM69))=2)*(CHOOSE({1,2,3,4},NĐ!X69,NĐ!AD69,NĐ!AJ69,NĐ!AP69)))</f>
        <v>0</v>
      </c>
      <c r="C69">
        <f>SUMPRODUCT((MONTH(CHOOSE({1,2,3,4},NĐ!U69,NĐ!AA69,NĐ!AG69,NĐ!AM69))=3)*(CHOOSE({1,2,3,4},NĐ!X69,NĐ!AD69,NĐ!AJ69,NĐ!AP69)))</f>
        <v>0</v>
      </c>
      <c r="D69">
        <f>SUMPRODUCT((MONTH(CHOOSE({1,2,3,4},NĐ!U69,NĐ!AA69,NĐ!AG69,NĐ!AM69))=4)*(CHOOSE({1,2,3,4},NĐ!X69,NĐ!AD69,NĐ!AJ69,NĐ!AP69)))</f>
        <v>0</v>
      </c>
      <c r="E69">
        <f>SUMPRODUCT((MONTH(CHOOSE({1,2,3,4},NĐ!U69,NĐ!AA69,NĐ!AG69,NĐ!AM69))=5)*(CHOOSE({1,2,3,4},NĐ!X69,NĐ!AD69,NĐ!AJ69,NĐ!AP69)))</f>
        <v>0</v>
      </c>
      <c r="F69">
        <f>SUMPRODUCT((MONTH(CHOOSE({1,2,3,4},NĐ!U69,NĐ!AA69,NĐ!AG69,NĐ!AM69))=6)*(CHOOSE({1,2,3,4},NĐ!X69,NĐ!AD69,NĐ!AJ69,NĐ!AP69)))</f>
        <v>0</v>
      </c>
      <c r="G69">
        <f>SUMPRODUCT((MONTH(CHOOSE({1,2,3,4},NĐ!U69,NĐ!AA69,NĐ!AG69,NĐ!AM69))=7)*(CHOOSE({1,2,3,4},NĐ!X69,NĐ!AD69,NĐ!AJ69,NĐ!AP69)))</f>
        <v>0</v>
      </c>
      <c r="H69">
        <f>SUMPRODUCT((MONTH(CHOOSE({1,2,3,4},NĐ!U69,NĐ!AA69,NĐ!AG69,NĐ!AM69))=8)*(CHOOSE({1,2,3,4},NĐ!X69,NĐ!AD69,NĐ!AJ69,NĐ!AP69)))</f>
        <v>0</v>
      </c>
      <c r="I69">
        <f>SUMPRODUCT((MONTH(CHOOSE({1,2,3,4},NĐ!U69,NĐ!AA69,NĐ!AG69,NĐ!AM69))=9)*(CHOOSE({1,2,3,4},NĐ!X69,NĐ!AD69,NĐ!AJ69,NĐ!AP69)))</f>
        <v>0</v>
      </c>
      <c r="J69">
        <f>SUMPRODUCT((MONTH(CHOOSE({1,2,3,4},NĐ!U69,NĐ!AA69,NĐ!AG69,NĐ!AM69))=10)*(CHOOSE({1,2,3,4},NĐ!X69,NĐ!AD69,NĐ!AJ69,NĐ!AP69)))</f>
        <v>0</v>
      </c>
      <c r="K69">
        <f>SUMPRODUCT((MONTH(CHOOSE({1,2,3,4},NĐ!U69,NĐ!AA69,NĐ!AG69,NĐ!AM69))=11)*(CHOOSE({1,2,3,4},NĐ!X69,NĐ!AD69,NĐ!AJ69,NĐ!AP69)))</f>
        <v>0</v>
      </c>
      <c r="L69">
        <f>SUMPRODUCT((MONTH(CHOOSE({1,2,3,4},NĐ!U69,NĐ!AA69,NĐ!AG69,NĐ!AM69))=12)*(CHOOSE({1,2,3,4},NĐ!X69,NĐ!AD69,NĐ!AJ69,NĐ!AP69)))</f>
        <v>0</v>
      </c>
    </row>
    <row r="70" spans="1:12">
      <c r="A70">
        <f>SUMPRODUCT((MONTH(CHOOSE({1,2,3,4},NĐ!U70,NĐ!AA70,NĐ!AG70,NĐ!AM70))=1)*(CHOOSE({1,2,3,4},NĐ!X70,NĐ!AD70,NĐ!AJ70,NĐ!AP70)))</f>
        <v>0</v>
      </c>
      <c r="B70">
        <f>SUMPRODUCT((MONTH(CHOOSE({1,2,3,4},NĐ!U70,NĐ!AA70,NĐ!AG70,NĐ!AM70))=2)*(CHOOSE({1,2,3,4},NĐ!X70,NĐ!AD70,NĐ!AJ70,NĐ!AP70)))</f>
        <v>0</v>
      </c>
      <c r="C70">
        <f>SUMPRODUCT((MONTH(CHOOSE({1,2,3,4},NĐ!U70,NĐ!AA70,NĐ!AG70,NĐ!AM70))=3)*(CHOOSE({1,2,3,4},NĐ!X70,NĐ!AD70,NĐ!AJ70,NĐ!AP70)))</f>
        <v>0</v>
      </c>
      <c r="D70">
        <f>SUMPRODUCT((MONTH(CHOOSE({1,2,3,4},NĐ!U70,NĐ!AA70,NĐ!AG70,NĐ!AM70))=4)*(CHOOSE({1,2,3,4},NĐ!X70,NĐ!AD70,NĐ!AJ70,NĐ!AP70)))</f>
        <v>0</v>
      </c>
      <c r="E70">
        <f>SUMPRODUCT((MONTH(CHOOSE({1,2,3,4},NĐ!U70,NĐ!AA70,NĐ!AG70,NĐ!AM70))=5)*(CHOOSE({1,2,3,4},NĐ!X70,NĐ!AD70,NĐ!AJ70,NĐ!AP70)))</f>
        <v>0</v>
      </c>
      <c r="F70">
        <f>SUMPRODUCT((MONTH(CHOOSE({1,2,3,4},NĐ!U70,NĐ!AA70,NĐ!AG70,NĐ!AM70))=6)*(CHOOSE({1,2,3,4},NĐ!X70,NĐ!AD70,NĐ!AJ70,NĐ!AP70)))</f>
        <v>0</v>
      </c>
      <c r="G70">
        <f>SUMPRODUCT((MONTH(CHOOSE({1,2,3,4},NĐ!U70,NĐ!AA70,NĐ!AG70,NĐ!AM70))=7)*(CHOOSE({1,2,3,4},NĐ!X70,NĐ!AD70,NĐ!AJ70,NĐ!AP70)))</f>
        <v>0</v>
      </c>
      <c r="H70">
        <f>SUMPRODUCT((MONTH(CHOOSE({1,2,3,4},NĐ!U70,NĐ!AA70,NĐ!AG70,NĐ!AM70))=8)*(CHOOSE({1,2,3,4},NĐ!X70,NĐ!AD70,NĐ!AJ70,NĐ!AP70)))</f>
        <v>0</v>
      </c>
      <c r="I70">
        <f>SUMPRODUCT((MONTH(CHOOSE({1,2,3,4},NĐ!U70,NĐ!AA70,NĐ!AG70,NĐ!AM70))=9)*(CHOOSE({1,2,3,4},NĐ!X70,NĐ!AD70,NĐ!AJ70,NĐ!AP70)))</f>
        <v>0</v>
      </c>
      <c r="J70">
        <f>SUMPRODUCT((MONTH(CHOOSE({1,2,3,4},NĐ!U70,NĐ!AA70,NĐ!AG70,NĐ!AM70))=10)*(CHOOSE({1,2,3,4},NĐ!X70,NĐ!AD70,NĐ!AJ70,NĐ!AP70)))</f>
        <v>0</v>
      </c>
      <c r="K70">
        <f>SUMPRODUCT((MONTH(CHOOSE({1,2,3,4},NĐ!U70,NĐ!AA70,NĐ!AG70,NĐ!AM70))=11)*(CHOOSE({1,2,3,4},NĐ!X70,NĐ!AD70,NĐ!AJ70,NĐ!AP70)))</f>
        <v>0</v>
      </c>
      <c r="L70">
        <f>SUMPRODUCT((MONTH(CHOOSE({1,2,3,4},NĐ!U70,NĐ!AA70,NĐ!AG70,NĐ!AM70))=12)*(CHOOSE({1,2,3,4},NĐ!X70,NĐ!AD70,NĐ!AJ70,NĐ!AP70)))</f>
        <v>0</v>
      </c>
    </row>
    <row r="71" spans="1:12">
      <c r="A71">
        <f>SUMPRODUCT((MONTH(CHOOSE({1,2,3,4},NĐ!U71,NĐ!AA71,NĐ!AG71,NĐ!AM71))=1)*(CHOOSE({1,2,3,4},NĐ!X71,NĐ!AD71,NĐ!AJ71,NĐ!AP71)))</f>
        <v>0</v>
      </c>
      <c r="B71">
        <f>SUMPRODUCT((MONTH(CHOOSE({1,2,3,4},NĐ!U71,NĐ!AA71,NĐ!AG71,NĐ!AM71))=2)*(CHOOSE({1,2,3,4},NĐ!X71,NĐ!AD71,NĐ!AJ71,NĐ!AP71)))</f>
        <v>0</v>
      </c>
      <c r="C71">
        <f>SUMPRODUCT((MONTH(CHOOSE({1,2,3,4},NĐ!U71,NĐ!AA71,NĐ!AG71,NĐ!AM71))=3)*(CHOOSE({1,2,3,4},NĐ!X71,NĐ!AD71,NĐ!AJ71,NĐ!AP71)))</f>
        <v>0</v>
      </c>
      <c r="D71">
        <f>SUMPRODUCT((MONTH(CHOOSE({1,2,3,4},NĐ!U71,NĐ!AA71,NĐ!AG71,NĐ!AM71))=4)*(CHOOSE({1,2,3,4},NĐ!X71,NĐ!AD71,NĐ!AJ71,NĐ!AP71)))</f>
        <v>0</v>
      </c>
      <c r="E71">
        <f>SUMPRODUCT((MONTH(CHOOSE({1,2,3,4},NĐ!U71,NĐ!AA71,NĐ!AG71,NĐ!AM71))=5)*(CHOOSE({1,2,3,4},NĐ!X71,NĐ!AD71,NĐ!AJ71,NĐ!AP71)))</f>
        <v>0</v>
      </c>
      <c r="F71">
        <f>SUMPRODUCT((MONTH(CHOOSE({1,2,3,4},NĐ!U71,NĐ!AA71,NĐ!AG71,NĐ!AM71))=6)*(CHOOSE({1,2,3,4},NĐ!X71,NĐ!AD71,NĐ!AJ71,NĐ!AP71)))</f>
        <v>0</v>
      </c>
      <c r="G71">
        <f>SUMPRODUCT((MONTH(CHOOSE({1,2,3,4},NĐ!U71,NĐ!AA71,NĐ!AG71,NĐ!AM71))=7)*(CHOOSE({1,2,3,4},NĐ!X71,NĐ!AD71,NĐ!AJ71,NĐ!AP71)))</f>
        <v>0</v>
      </c>
      <c r="H71">
        <f>SUMPRODUCT((MONTH(CHOOSE({1,2,3,4},NĐ!U71,NĐ!AA71,NĐ!AG71,NĐ!AM71))=8)*(CHOOSE({1,2,3,4},NĐ!X71,NĐ!AD71,NĐ!AJ71,NĐ!AP71)))</f>
        <v>0</v>
      </c>
      <c r="I71">
        <f>SUMPRODUCT((MONTH(CHOOSE({1,2,3,4},NĐ!U71,NĐ!AA71,NĐ!AG71,NĐ!AM71))=9)*(CHOOSE({1,2,3,4},NĐ!X71,NĐ!AD71,NĐ!AJ71,NĐ!AP71)))</f>
        <v>0</v>
      </c>
      <c r="J71">
        <f>SUMPRODUCT((MONTH(CHOOSE({1,2,3,4},NĐ!U71,NĐ!AA71,NĐ!AG71,NĐ!AM71))=10)*(CHOOSE({1,2,3,4},NĐ!X71,NĐ!AD71,NĐ!AJ71,NĐ!AP71)))</f>
        <v>0</v>
      </c>
      <c r="K71">
        <f>SUMPRODUCT((MONTH(CHOOSE({1,2,3,4},NĐ!U71,NĐ!AA71,NĐ!AG71,NĐ!AM71))=11)*(CHOOSE({1,2,3,4},NĐ!X71,NĐ!AD71,NĐ!AJ71,NĐ!AP71)))</f>
        <v>0</v>
      </c>
      <c r="L71">
        <f>SUMPRODUCT((MONTH(CHOOSE({1,2,3,4},NĐ!U71,NĐ!AA71,NĐ!AG71,NĐ!AM71))=12)*(CHOOSE({1,2,3,4},NĐ!X71,NĐ!AD71,NĐ!AJ71,NĐ!AP71)))</f>
        <v>0</v>
      </c>
    </row>
    <row r="72" spans="1:12">
      <c r="A72">
        <f>SUMPRODUCT((MONTH(CHOOSE({1,2,3,4},NĐ!U72,NĐ!AA72,NĐ!AG72,NĐ!AM72))=1)*(CHOOSE({1,2,3,4},NĐ!X72,NĐ!AD72,NĐ!AJ72,NĐ!AP72)))</f>
        <v>0</v>
      </c>
      <c r="B72">
        <f>SUMPRODUCT((MONTH(CHOOSE({1,2,3,4},NĐ!U72,NĐ!AA72,NĐ!AG72,NĐ!AM72))=2)*(CHOOSE({1,2,3,4},NĐ!X72,NĐ!AD72,NĐ!AJ72,NĐ!AP72)))</f>
        <v>0</v>
      </c>
      <c r="C72">
        <f>SUMPRODUCT((MONTH(CHOOSE({1,2,3,4},NĐ!U72,NĐ!AA72,NĐ!AG72,NĐ!AM72))=3)*(CHOOSE({1,2,3,4},NĐ!X72,NĐ!AD72,NĐ!AJ72,NĐ!AP72)))</f>
        <v>0</v>
      </c>
      <c r="D72">
        <f>SUMPRODUCT((MONTH(CHOOSE({1,2,3,4},NĐ!U72,NĐ!AA72,NĐ!AG72,NĐ!AM72))=4)*(CHOOSE({1,2,3,4},NĐ!X72,NĐ!AD72,NĐ!AJ72,NĐ!AP72)))</f>
        <v>0</v>
      </c>
      <c r="E72">
        <f>SUMPRODUCT((MONTH(CHOOSE({1,2,3,4},NĐ!U72,NĐ!AA72,NĐ!AG72,NĐ!AM72))=5)*(CHOOSE({1,2,3,4},NĐ!X72,NĐ!AD72,NĐ!AJ72,NĐ!AP72)))</f>
        <v>0</v>
      </c>
      <c r="F72">
        <f>SUMPRODUCT((MONTH(CHOOSE({1,2,3,4},NĐ!U72,NĐ!AA72,NĐ!AG72,NĐ!AM72))=6)*(CHOOSE({1,2,3,4},NĐ!X72,NĐ!AD72,NĐ!AJ72,NĐ!AP72)))</f>
        <v>0</v>
      </c>
      <c r="G72">
        <f>SUMPRODUCT((MONTH(CHOOSE({1,2,3,4},NĐ!U72,NĐ!AA72,NĐ!AG72,NĐ!AM72))=7)*(CHOOSE({1,2,3,4},NĐ!X72,NĐ!AD72,NĐ!AJ72,NĐ!AP72)))</f>
        <v>0</v>
      </c>
      <c r="H72">
        <f>SUMPRODUCT((MONTH(CHOOSE({1,2,3,4},NĐ!U72,NĐ!AA72,NĐ!AG72,NĐ!AM72))=8)*(CHOOSE({1,2,3,4},NĐ!X72,NĐ!AD72,NĐ!AJ72,NĐ!AP72)))</f>
        <v>0</v>
      </c>
      <c r="I72">
        <f>SUMPRODUCT((MONTH(CHOOSE({1,2,3,4},NĐ!U72,NĐ!AA72,NĐ!AG72,NĐ!AM72))=9)*(CHOOSE({1,2,3,4},NĐ!X72,NĐ!AD72,NĐ!AJ72,NĐ!AP72)))</f>
        <v>0</v>
      </c>
      <c r="J72">
        <f>SUMPRODUCT((MONTH(CHOOSE({1,2,3,4},NĐ!U72,NĐ!AA72,NĐ!AG72,NĐ!AM72))=10)*(CHOOSE({1,2,3,4},NĐ!X72,NĐ!AD72,NĐ!AJ72,NĐ!AP72)))</f>
        <v>0</v>
      </c>
      <c r="K72">
        <f>SUMPRODUCT((MONTH(CHOOSE({1,2,3,4},NĐ!U72,NĐ!AA72,NĐ!AG72,NĐ!AM72))=11)*(CHOOSE({1,2,3,4},NĐ!X72,NĐ!AD72,NĐ!AJ72,NĐ!AP72)))</f>
        <v>0</v>
      </c>
      <c r="L72">
        <f>SUMPRODUCT((MONTH(CHOOSE({1,2,3,4},NĐ!U72,NĐ!AA72,NĐ!AG72,NĐ!AM72))=12)*(CHOOSE({1,2,3,4},NĐ!X72,NĐ!AD72,NĐ!AJ72,NĐ!AP72)))</f>
        <v>0</v>
      </c>
    </row>
    <row r="73" spans="1:12">
      <c r="A73">
        <f>SUMPRODUCT((MONTH(CHOOSE({1,2,3,4},NĐ!U73,NĐ!AA73,NĐ!AG73,NĐ!AM73))=1)*(CHOOSE({1,2,3,4},NĐ!X73,NĐ!AD73,NĐ!AJ73,NĐ!AP73)))</f>
        <v>0</v>
      </c>
      <c r="B73">
        <f>SUMPRODUCT((MONTH(CHOOSE({1,2,3,4},NĐ!U73,NĐ!AA73,NĐ!AG73,NĐ!AM73))=2)*(CHOOSE({1,2,3,4},NĐ!X73,NĐ!AD73,NĐ!AJ73,NĐ!AP73)))</f>
        <v>0</v>
      </c>
      <c r="C73">
        <f>SUMPRODUCT((MONTH(CHOOSE({1,2,3,4},NĐ!U73,NĐ!AA73,NĐ!AG73,NĐ!AM73))=3)*(CHOOSE({1,2,3,4},NĐ!X73,NĐ!AD73,NĐ!AJ73,NĐ!AP73)))</f>
        <v>0</v>
      </c>
      <c r="D73">
        <f>SUMPRODUCT((MONTH(CHOOSE({1,2,3,4},NĐ!U73,NĐ!AA73,NĐ!AG73,NĐ!AM73))=4)*(CHOOSE({1,2,3,4},NĐ!X73,NĐ!AD73,NĐ!AJ73,NĐ!AP73)))</f>
        <v>0</v>
      </c>
      <c r="E73">
        <f>SUMPRODUCT((MONTH(CHOOSE({1,2,3,4},NĐ!U73,NĐ!AA73,NĐ!AG73,NĐ!AM73))=5)*(CHOOSE({1,2,3,4},NĐ!X73,NĐ!AD73,NĐ!AJ73,NĐ!AP73)))</f>
        <v>0</v>
      </c>
      <c r="F73">
        <f>SUMPRODUCT((MONTH(CHOOSE({1,2,3,4},NĐ!U73,NĐ!AA73,NĐ!AG73,NĐ!AM73))=6)*(CHOOSE({1,2,3,4},NĐ!X73,NĐ!AD73,NĐ!AJ73,NĐ!AP73)))</f>
        <v>0</v>
      </c>
      <c r="G73">
        <f>SUMPRODUCT((MONTH(CHOOSE({1,2,3,4},NĐ!U73,NĐ!AA73,NĐ!AG73,NĐ!AM73))=7)*(CHOOSE({1,2,3,4},NĐ!X73,NĐ!AD73,NĐ!AJ73,NĐ!AP73)))</f>
        <v>0</v>
      </c>
      <c r="H73">
        <f>SUMPRODUCT((MONTH(CHOOSE({1,2,3,4},NĐ!U73,NĐ!AA73,NĐ!AG73,NĐ!AM73))=8)*(CHOOSE({1,2,3,4},NĐ!X73,NĐ!AD73,NĐ!AJ73,NĐ!AP73)))</f>
        <v>0</v>
      </c>
      <c r="I73">
        <f>SUMPRODUCT((MONTH(CHOOSE({1,2,3,4},NĐ!U73,NĐ!AA73,NĐ!AG73,NĐ!AM73))=9)*(CHOOSE({1,2,3,4},NĐ!X73,NĐ!AD73,NĐ!AJ73,NĐ!AP73)))</f>
        <v>0</v>
      </c>
      <c r="J73">
        <f>SUMPRODUCT((MONTH(CHOOSE({1,2,3,4},NĐ!U73,NĐ!AA73,NĐ!AG73,NĐ!AM73))=10)*(CHOOSE({1,2,3,4},NĐ!X73,NĐ!AD73,NĐ!AJ73,NĐ!AP73)))</f>
        <v>0</v>
      </c>
      <c r="K73">
        <f>SUMPRODUCT((MONTH(CHOOSE({1,2,3,4},NĐ!U73,NĐ!AA73,NĐ!AG73,NĐ!AM73))=11)*(CHOOSE({1,2,3,4},NĐ!X73,NĐ!AD73,NĐ!AJ73,NĐ!AP73)))</f>
        <v>0</v>
      </c>
      <c r="L73">
        <f>SUMPRODUCT((MONTH(CHOOSE({1,2,3,4},NĐ!U73,NĐ!AA73,NĐ!AG73,NĐ!AM73))=12)*(CHOOSE({1,2,3,4},NĐ!X73,NĐ!AD73,NĐ!AJ73,NĐ!AP73)))</f>
        <v>0</v>
      </c>
    </row>
    <row r="74" spans="1:12">
      <c r="A74">
        <f>SUMPRODUCT((MONTH(CHOOSE({1,2,3,4},NĐ!U74,NĐ!AA74,NĐ!AG74,NĐ!AM74))=1)*(CHOOSE({1,2,3,4},NĐ!X74,NĐ!AD74,NĐ!AJ74,NĐ!AP74)))</f>
        <v>0</v>
      </c>
      <c r="B74">
        <f>SUMPRODUCT((MONTH(CHOOSE({1,2,3,4},NĐ!U74,NĐ!AA74,NĐ!AG74,NĐ!AM74))=2)*(CHOOSE({1,2,3,4},NĐ!X74,NĐ!AD74,NĐ!AJ74,NĐ!AP74)))</f>
        <v>0</v>
      </c>
      <c r="C74">
        <f>SUMPRODUCT((MONTH(CHOOSE({1,2,3,4},NĐ!U74,NĐ!AA74,NĐ!AG74,NĐ!AM74))=3)*(CHOOSE({1,2,3,4},NĐ!X74,NĐ!AD74,NĐ!AJ74,NĐ!AP74)))</f>
        <v>0</v>
      </c>
      <c r="D74">
        <f>SUMPRODUCT((MONTH(CHOOSE({1,2,3,4},NĐ!U74,NĐ!AA74,NĐ!AG74,NĐ!AM74))=4)*(CHOOSE({1,2,3,4},NĐ!X74,NĐ!AD74,NĐ!AJ74,NĐ!AP74)))</f>
        <v>0</v>
      </c>
      <c r="E74">
        <f>SUMPRODUCT((MONTH(CHOOSE({1,2,3,4},NĐ!U74,NĐ!AA74,NĐ!AG74,NĐ!AM74))=5)*(CHOOSE({1,2,3,4},NĐ!X74,NĐ!AD74,NĐ!AJ74,NĐ!AP74)))</f>
        <v>0</v>
      </c>
      <c r="F74">
        <f>SUMPRODUCT((MONTH(CHOOSE({1,2,3,4},NĐ!U74,NĐ!AA74,NĐ!AG74,NĐ!AM74))=6)*(CHOOSE({1,2,3,4},NĐ!X74,NĐ!AD74,NĐ!AJ74,NĐ!AP74)))</f>
        <v>0</v>
      </c>
      <c r="G74">
        <f>SUMPRODUCT((MONTH(CHOOSE({1,2,3,4},NĐ!U74,NĐ!AA74,NĐ!AG74,NĐ!AM74))=7)*(CHOOSE({1,2,3,4},NĐ!X74,NĐ!AD74,NĐ!AJ74,NĐ!AP74)))</f>
        <v>0</v>
      </c>
      <c r="H74">
        <f>SUMPRODUCT((MONTH(CHOOSE({1,2,3,4},NĐ!U74,NĐ!AA74,NĐ!AG74,NĐ!AM74))=8)*(CHOOSE({1,2,3,4},NĐ!X74,NĐ!AD74,NĐ!AJ74,NĐ!AP74)))</f>
        <v>0</v>
      </c>
      <c r="I74">
        <f>SUMPRODUCT((MONTH(CHOOSE({1,2,3,4},NĐ!U74,NĐ!AA74,NĐ!AG74,NĐ!AM74))=9)*(CHOOSE({1,2,3,4},NĐ!X74,NĐ!AD74,NĐ!AJ74,NĐ!AP74)))</f>
        <v>0</v>
      </c>
      <c r="J74">
        <f>SUMPRODUCT((MONTH(CHOOSE({1,2,3,4},NĐ!U74,NĐ!AA74,NĐ!AG74,NĐ!AM74))=10)*(CHOOSE({1,2,3,4},NĐ!X74,NĐ!AD74,NĐ!AJ74,NĐ!AP74)))</f>
        <v>0</v>
      </c>
      <c r="K74">
        <f>SUMPRODUCT((MONTH(CHOOSE({1,2,3,4},NĐ!U74,NĐ!AA74,NĐ!AG74,NĐ!AM74))=11)*(CHOOSE({1,2,3,4},NĐ!X74,NĐ!AD74,NĐ!AJ74,NĐ!AP74)))</f>
        <v>0</v>
      </c>
      <c r="L74">
        <f>SUMPRODUCT((MONTH(CHOOSE({1,2,3,4},NĐ!U74,NĐ!AA74,NĐ!AG74,NĐ!AM74))=12)*(CHOOSE({1,2,3,4},NĐ!X74,NĐ!AD74,NĐ!AJ74,NĐ!AP74)))</f>
        <v>0</v>
      </c>
    </row>
    <row r="75" spans="1:12">
      <c r="A75">
        <f>SUMPRODUCT((MONTH(CHOOSE({1,2,3,4},NĐ!U75,NĐ!AA75,NĐ!AG75,NĐ!AM75))=1)*(CHOOSE({1,2,3,4},NĐ!X75,NĐ!AD75,NĐ!AJ75,NĐ!AP75)))</f>
        <v>0</v>
      </c>
      <c r="B75">
        <f>SUMPRODUCT((MONTH(CHOOSE({1,2,3,4},NĐ!U75,NĐ!AA75,NĐ!AG75,NĐ!AM75))=2)*(CHOOSE({1,2,3,4},NĐ!X75,NĐ!AD75,NĐ!AJ75,NĐ!AP75)))</f>
        <v>0</v>
      </c>
      <c r="C75">
        <f>SUMPRODUCT((MONTH(CHOOSE({1,2,3,4},NĐ!U75,NĐ!AA75,NĐ!AG75,NĐ!AM75))=3)*(CHOOSE({1,2,3,4},NĐ!X75,NĐ!AD75,NĐ!AJ75,NĐ!AP75)))</f>
        <v>0</v>
      </c>
      <c r="D75">
        <f>SUMPRODUCT((MONTH(CHOOSE({1,2,3,4},NĐ!U75,NĐ!AA75,NĐ!AG75,NĐ!AM75))=4)*(CHOOSE({1,2,3,4},NĐ!X75,NĐ!AD75,NĐ!AJ75,NĐ!AP75)))</f>
        <v>0</v>
      </c>
      <c r="E75">
        <f>SUMPRODUCT((MONTH(CHOOSE({1,2,3,4},NĐ!U75,NĐ!AA75,NĐ!AG75,NĐ!AM75))=5)*(CHOOSE({1,2,3,4},NĐ!X75,NĐ!AD75,NĐ!AJ75,NĐ!AP75)))</f>
        <v>0</v>
      </c>
      <c r="F75">
        <f>SUMPRODUCT((MONTH(CHOOSE({1,2,3,4},NĐ!U75,NĐ!AA75,NĐ!AG75,NĐ!AM75))=6)*(CHOOSE({1,2,3,4},NĐ!X75,NĐ!AD75,NĐ!AJ75,NĐ!AP75)))</f>
        <v>0</v>
      </c>
      <c r="G75">
        <f>SUMPRODUCT((MONTH(CHOOSE({1,2,3,4},NĐ!U75,NĐ!AA75,NĐ!AG75,NĐ!AM75))=7)*(CHOOSE({1,2,3,4},NĐ!X75,NĐ!AD75,NĐ!AJ75,NĐ!AP75)))</f>
        <v>0</v>
      </c>
      <c r="H75">
        <f>SUMPRODUCT((MONTH(CHOOSE({1,2,3,4},NĐ!U75,NĐ!AA75,NĐ!AG75,NĐ!AM75))=8)*(CHOOSE({1,2,3,4},NĐ!X75,NĐ!AD75,NĐ!AJ75,NĐ!AP75)))</f>
        <v>0</v>
      </c>
      <c r="I75">
        <f>SUMPRODUCT((MONTH(CHOOSE({1,2,3,4},NĐ!U75,NĐ!AA75,NĐ!AG75,NĐ!AM75))=9)*(CHOOSE({1,2,3,4},NĐ!X75,NĐ!AD75,NĐ!AJ75,NĐ!AP75)))</f>
        <v>0</v>
      </c>
      <c r="J75">
        <f>SUMPRODUCT((MONTH(CHOOSE({1,2,3,4},NĐ!U75,NĐ!AA75,NĐ!AG75,NĐ!AM75))=10)*(CHOOSE({1,2,3,4},NĐ!X75,NĐ!AD75,NĐ!AJ75,NĐ!AP75)))</f>
        <v>0</v>
      </c>
      <c r="K75">
        <f>SUMPRODUCT((MONTH(CHOOSE({1,2,3,4},NĐ!U75,NĐ!AA75,NĐ!AG75,NĐ!AM75))=11)*(CHOOSE({1,2,3,4},NĐ!X75,NĐ!AD75,NĐ!AJ75,NĐ!AP75)))</f>
        <v>0</v>
      </c>
      <c r="L75">
        <f>SUMPRODUCT((MONTH(CHOOSE({1,2,3,4},NĐ!U75,NĐ!AA75,NĐ!AG75,NĐ!AM75))=12)*(CHOOSE({1,2,3,4},NĐ!X75,NĐ!AD75,NĐ!AJ75,NĐ!AP75)))</f>
        <v>0</v>
      </c>
    </row>
    <row r="76" spans="1:12">
      <c r="A76">
        <f>SUMPRODUCT((MONTH(CHOOSE({1,2,3,4},NĐ!U76,NĐ!AA76,NĐ!AG76,NĐ!AM76))=1)*(CHOOSE({1,2,3,4},NĐ!X76,NĐ!AD76,NĐ!AJ76,NĐ!AP76)))</f>
        <v>0</v>
      </c>
      <c r="B76">
        <f>SUMPRODUCT((MONTH(CHOOSE({1,2,3,4},NĐ!U76,NĐ!AA76,NĐ!AG76,NĐ!AM76))=2)*(CHOOSE({1,2,3,4},NĐ!X76,NĐ!AD76,NĐ!AJ76,NĐ!AP76)))</f>
        <v>0</v>
      </c>
      <c r="C76">
        <f>SUMPRODUCT((MONTH(CHOOSE({1,2,3,4},NĐ!U76,NĐ!AA76,NĐ!AG76,NĐ!AM76))=3)*(CHOOSE({1,2,3,4},NĐ!X76,NĐ!AD76,NĐ!AJ76,NĐ!AP76)))</f>
        <v>0</v>
      </c>
      <c r="D76">
        <f>SUMPRODUCT((MONTH(CHOOSE({1,2,3,4},NĐ!U76,NĐ!AA76,NĐ!AG76,NĐ!AM76))=4)*(CHOOSE({1,2,3,4},NĐ!X76,NĐ!AD76,NĐ!AJ76,NĐ!AP76)))</f>
        <v>0</v>
      </c>
      <c r="E76">
        <f>SUMPRODUCT((MONTH(CHOOSE({1,2,3,4},NĐ!U76,NĐ!AA76,NĐ!AG76,NĐ!AM76))=5)*(CHOOSE({1,2,3,4},NĐ!X76,NĐ!AD76,NĐ!AJ76,NĐ!AP76)))</f>
        <v>0</v>
      </c>
      <c r="F76">
        <f>SUMPRODUCT((MONTH(CHOOSE({1,2,3,4},NĐ!U76,NĐ!AA76,NĐ!AG76,NĐ!AM76))=6)*(CHOOSE({1,2,3,4},NĐ!X76,NĐ!AD76,NĐ!AJ76,NĐ!AP76)))</f>
        <v>0</v>
      </c>
      <c r="G76">
        <f>SUMPRODUCT((MONTH(CHOOSE({1,2,3,4},NĐ!U76,NĐ!AA76,NĐ!AG76,NĐ!AM76))=7)*(CHOOSE({1,2,3,4},NĐ!X76,NĐ!AD76,NĐ!AJ76,NĐ!AP76)))</f>
        <v>0</v>
      </c>
      <c r="H76">
        <f>SUMPRODUCT((MONTH(CHOOSE({1,2,3,4},NĐ!U76,NĐ!AA76,NĐ!AG76,NĐ!AM76))=8)*(CHOOSE({1,2,3,4},NĐ!X76,NĐ!AD76,NĐ!AJ76,NĐ!AP76)))</f>
        <v>0</v>
      </c>
      <c r="I76">
        <f>SUMPRODUCT((MONTH(CHOOSE({1,2,3,4},NĐ!U76,NĐ!AA76,NĐ!AG76,NĐ!AM76))=9)*(CHOOSE({1,2,3,4},NĐ!X76,NĐ!AD76,NĐ!AJ76,NĐ!AP76)))</f>
        <v>0</v>
      </c>
      <c r="J76">
        <f>SUMPRODUCT((MONTH(CHOOSE({1,2,3,4},NĐ!U76,NĐ!AA76,NĐ!AG76,NĐ!AM76))=10)*(CHOOSE({1,2,3,4},NĐ!X76,NĐ!AD76,NĐ!AJ76,NĐ!AP76)))</f>
        <v>0</v>
      </c>
      <c r="K76">
        <f>SUMPRODUCT((MONTH(CHOOSE({1,2,3,4},NĐ!U76,NĐ!AA76,NĐ!AG76,NĐ!AM76))=11)*(CHOOSE({1,2,3,4},NĐ!X76,NĐ!AD76,NĐ!AJ76,NĐ!AP76)))</f>
        <v>0</v>
      </c>
      <c r="L76">
        <f>SUMPRODUCT((MONTH(CHOOSE({1,2,3,4},NĐ!U76,NĐ!AA76,NĐ!AG76,NĐ!AM76))=12)*(CHOOSE({1,2,3,4},NĐ!X76,NĐ!AD76,NĐ!AJ76,NĐ!AP76)))</f>
        <v>0</v>
      </c>
    </row>
    <row r="77" spans="1:12">
      <c r="A77">
        <f>SUMPRODUCT((MONTH(CHOOSE({1,2,3,4},NĐ!U77,NĐ!AA77,NĐ!AG77,NĐ!AM77))=1)*(CHOOSE({1,2,3,4},NĐ!X77,NĐ!AD77,NĐ!AJ77,NĐ!AP77)))</f>
        <v>0</v>
      </c>
      <c r="B77">
        <f>SUMPRODUCT((MONTH(CHOOSE({1,2,3,4},NĐ!U77,NĐ!AA77,NĐ!AG77,NĐ!AM77))=2)*(CHOOSE({1,2,3,4},NĐ!X77,NĐ!AD77,NĐ!AJ77,NĐ!AP77)))</f>
        <v>0</v>
      </c>
      <c r="C77">
        <f>SUMPRODUCT((MONTH(CHOOSE({1,2,3,4},NĐ!U77,NĐ!AA77,NĐ!AG77,NĐ!AM77))=3)*(CHOOSE({1,2,3,4},NĐ!X77,NĐ!AD77,NĐ!AJ77,NĐ!AP77)))</f>
        <v>0</v>
      </c>
      <c r="D77">
        <f>SUMPRODUCT((MONTH(CHOOSE({1,2,3,4},NĐ!U77,NĐ!AA77,NĐ!AG77,NĐ!AM77))=4)*(CHOOSE({1,2,3,4},NĐ!X77,NĐ!AD77,NĐ!AJ77,NĐ!AP77)))</f>
        <v>0</v>
      </c>
      <c r="E77">
        <f>SUMPRODUCT((MONTH(CHOOSE({1,2,3,4},NĐ!U77,NĐ!AA77,NĐ!AG77,NĐ!AM77))=5)*(CHOOSE({1,2,3,4},NĐ!X77,NĐ!AD77,NĐ!AJ77,NĐ!AP77)))</f>
        <v>0</v>
      </c>
      <c r="F77">
        <f>SUMPRODUCT((MONTH(CHOOSE({1,2,3,4},NĐ!U77,NĐ!AA77,NĐ!AG77,NĐ!AM77))=6)*(CHOOSE({1,2,3,4},NĐ!X77,NĐ!AD77,NĐ!AJ77,NĐ!AP77)))</f>
        <v>0</v>
      </c>
      <c r="G77">
        <f>SUMPRODUCT((MONTH(CHOOSE({1,2,3,4},NĐ!U77,NĐ!AA77,NĐ!AG77,NĐ!AM77))=7)*(CHOOSE({1,2,3,4},NĐ!X77,NĐ!AD77,NĐ!AJ77,NĐ!AP77)))</f>
        <v>0</v>
      </c>
      <c r="H77">
        <f>SUMPRODUCT((MONTH(CHOOSE({1,2,3,4},NĐ!U77,NĐ!AA77,NĐ!AG77,NĐ!AM77))=8)*(CHOOSE({1,2,3,4},NĐ!X77,NĐ!AD77,NĐ!AJ77,NĐ!AP77)))</f>
        <v>0</v>
      </c>
      <c r="I77">
        <f>SUMPRODUCT((MONTH(CHOOSE({1,2,3,4},NĐ!U77,NĐ!AA77,NĐ!AG77,NĐ!AM77))=9)*(CHOOSE({1,2,3,4},NĐ!X77,NĐ!AD77,NĐ!AJ77,NĐ!AP77)))</f>
        <v>0</v>
      </c>
      <c r="J77">
        <f>SUMPRODUCT((MONTH(CHOOSE({1,2,3,4},NĐ!U77,NĐ!AA77,NĐ!AG77,NĐ!AM77))=10)*(CHOOSE({1,2,3,4},NĐ!X77,NĐ!AD77,NĐ!AJ77,NĐ!AP77)))</f>
        <v>0</v>
      </c>
      <c r="K77">
        <f>SUMPRODUCT((MONTH(CHOOSE({1,2,3,4},NĐ!U77,NĐ!AA77,NĐ!AG77,NĐ!AM77))=11)*(CHOOSE({1,2,3,4},NĐ!X77,NĐ!AD77,NĐ!AJ77,NĐ!AP77)))</f>
        <v>0</v>
      </c>
      <c r="L77">
        <f>SUMPRODUCT((MONTH(CHOOSE({1,2,3,4},NĐ!U77,NĐ!AA77,NĐ!AG77,NĐ!AM77))=12)*(CHOOSE({1,2,3,4},NĐ!X77,NĐ!AD77,NĐ!AJ77,NĐ!AP77)))</f>
        <v>0</v>
      </c>
    </row>
    <row r="78" spans="1:12">
      <c r="A78">
        <f>SUMPRODUCT((MONTH(CHOOSE({1,2,3,4},NĐ!U78,NĐ!AA78,NĐ!AG78,NĐ!AM78))=1)*(CHOOSE({1,2,3,4},NĐ!X78,NĐ!AD78,NĐ!AJ78,NĐ!AP78)))</f>
        <v>0</v>
      </c>
      <c r="B78">
        <f>SUMPRODUCT((MONTH(CHOOSE({1,2,3,4},NĐ!U78,NĐ!AA78,NĐ!AG78,NĐ!AM78))=2)*(CHOOSE({1,2,3,4},NĐ!X78,NĐ!AD78,NĐ!AJ78,NĐ!AP78)))</f>
        <v>0</v>
      </c>
      <c r="C78">
        <f>SUMPRODUCT((MONTH(CHOOSE({1,2,3,4},NĐ!U78,NĐ!AA78,NĐ!AG78,NĐ!AM78))=3)*(CHOOSE({1,2,3,4},NĐ!X78,NĐ!AD78,NĐ!AJ78,NĐ!AP78)))</f>
        <v>0</v>
      </c>
      <c r="D78">
        <f>SUMPRODUCT((MONTH(CHOOSE({1,2,3,4},NĐ!U78,NĐ!AA78,NĐ!AG78,NĐ!AM78))=4)*(CHOOSE({1,2,3,4},NĐ!X78,NĐ!AD78,NĐ!AJ78,NĐ!AP78)))</f>
        <v>0</v>
      </c>
      <c r="E78">
        <f>SUMPRODUCT((MONTH(CHOOSE({1,2,3,4},NĐ!U78,NĐ!AA78,NĐ!AG78,NĐ!AM78))=5)*(CHOOSE({1,2,3,4},NĐ!X78,NĐ!AD78,NĐ!AJ78,NĐ!AP78)))</f>
        <v>0</v>
      </c>
      <c r="F78">
        <f>SUMPRODUCT((MONTH(CHOOSE({1,2,3,4},NĐ!U78,NĐ!AA78,NĐ!AG78,NĐ!AM78))=6)*(CHOOSE({1,2,3,4},NĐ!X78,NĐ!AD78,NĐ!AJ78,NĐ!AP78)))</f>
        <v>0</v>
      </c>
      <c r="G78">
        <f>SUMPRODUCT((MONTH(CHOOSE({1,2,3,4},NĐ!U78,NĐ!AA78,NĐ!AG78,NĐ!AM78))=7)*(CHOOSE({1,2,3,4},NĐ!X78,NĐ!AD78,NĐ!AJ78,NĐ!AP78)))</f>
        <v>0</v>
      </c>
      <c r="H78">
        <f>SUMPRODUCT((MONTH(CHOOSE({1,2,3,4},NĐ!U78,NĐ!AA78,NĐ!AG78,NĐ!AM78))=8)*(CHOOSE({1,2,3,4},NĐ!X78,NĐ!AD78,NĐ!AJ78,NĐ!AP78)))</f>
        <v>0</v>
      </c>
      <c r="I78">
        <f>SUMPRODUCT((MONTH(CHOOSE({1,2,3,4},NĐ!U78,NĐ!AA78,NĐ!AG78,NĐ!AM78))=9)*(CHOOSE({1,2,3,4},NĐ!X78,NĐ!AD78,NĐ!AJ78,NĐ!AP78)))</f>
        <v>0</v>
      </c>
      <c r="J78">
        <f>SUMPRODUCT((MONTH(CHOOSE({1,2,3,4},NĐ!U78,NĐ!AA78,NĐ!AG78,NĐ!AM78))=10)*(CHOOSE({1,2,3,4},NĐ!X78,NĐ!AD78,NĐ!AJ78,NĐ!AP78)))</f>
        <v>0</v>
      </c>
      <c r="K78">
        <f>SUMPRODUCT((MONTH(CHOOSE({1,2,3,4},NĐ!U78,NĐ!AA78,NĐ!AG78,NĐ!AM78))=11)*(CHOOSE({1,2,3,4},NĐ!X78,NĐ!AD78,NĐ!AJ78,NĐ!AP78)))</f>
        <v>0</v>
      </c>
      <c r="L78">
        <f>SUMPRODUCT((MONTH(CHOOSE({1,2,3,4},NĐ!U78,NĐ!AA78,NĐ!AG78,NĐ!AM78))=12)*(CHOOSE({1,2,3,4},NĐ!X78,NĐ!AD78,NĐ!AJ78,NĐ!AP78)))</f>
        <v>0</v>
      </c>
    </row>
    <row r="79" spans="1:12">
      <c r="A79">
        <f>SUMPRODUCT((MONTH(CHOOSE({1,2,3,4},NĐ!U79,NĐ!AA79,NĐ!AG79,NĐ!AM79))=1)*(CHOOSE({1,2,3,4},NĐ!X79,NĐ!AD79,NĐ!AJ79,NĐ!AP79)))</f>
        <v>0</v>
      </c>
      <c r="B79">
        <f>SUMPRODUCT((MONTH(CHOOSE({1,2,3,4},NĐ!U79,NĐ!AA79,NĐ!AG79,NĐ!AM79))=2)*(CHOOSE({1,2,3,4},NĐ!X79,NĐ!AD79,NĐ!AJ79,NĐ!AP79)))</f>
        <v>0</v>
      </c>
      <c r="C79">
        <f>SUMPRODUCT((MONTH(CHOOSE({1,2,3,4},NĐ!U79,NĐ!AA79,NĐ!AG79,NĐ!AM79))=3)*(CHOOSE({1,2,3,4},NĐ!X79,NĐ!AD79,NĐ!AJ79,NĐ!AP79)))</f>
        <v>0</v>
      </c>
      <c r="D79">
        <f>SUMPRODUCT((MONTH(CHOOSE({1,2,3,4},NĐ!U79,NĐ!AA79,NĐ!AG79,NĐ!AM79))=4)*(CHOOSE({1,2,3,4},NĐ!X79,NĐ!AD79,NĐ!AJ79,NĐ!AP79)))</f>
        <v>0</v>
      </c>
      <c r="E79">
        <f>SUMPRODUCT((MONTH(CHOOSE({1,2,3,4},NĐ!U79,NĐ!AA79,NĐ!AG79,NĐ!AM79))=5)*(CHOOSE({1,2,3,4},NĐ!X79,NĐ!AD79,NĐ!AJ79,NĐ!AP79)))</f>
        <v>0</v>
      </c>
      <c r="F79">
        <f>SUMPRODUCT((MONTH(CHOOSE({1,2,3,4},NĐ!U79,NĐ!AA79,NĐ!AG79,NĐ!AM79))=6)*(CHOOSE({1,2,3,4},NĐ!X79,NĐ!AD79,NĐ!AJ79,NĐ!AP79)))</f>
        <v>0</v>
      </c>
      <c r="G79">
        <f>SUMPRODUCT((MONTH(CHOOSE({1,2,3,4},NĐ!U79,NĐ!AA79,NĐ!AG79,NĐ!AM79))=7)*(CHOOSE({1,2,3,4},NĐ!X79,NĐ!AD79,NĐ!AJ79,NĐ!AP79)))</f>
        <v>0</v>
      </c>
      <c r="H79">
        <f>SUMPRODUCT((MONTH(CHOOSE({1,2,3,4},NĐ!U79,NĐ!AA79,NĐ!AG79,NĐ!AM79))=8)*(CHOOSE({1,2,3,4},NĐ!X79,NĐ!AD79,NĐ!AJ79,NĐ!AP79)))</f>
        <v>0</v>
      </c>
      <c r="I79">
        <f>SUMPRODUCT((MONTH(CHOOSE({1,2,3,4},NĐ!U79,NĐ!AA79,NĐ!AG79,NĐ!AM79))=9)*(CHOOSE({1,2,3,4},NĐ!X79,NĐ!AD79,NĐ!AJ79,NĐ!AP79)))</f>
        <v>0</v>
      </c>
      <c r="J79">
        <f>SUMPRODUCT((MONTH(CHOOSE({1,2,3,4},NĐ!U79,NĐ!AA79,NĐ!AG79,NĐ!AM79))=10)*(CHOOSE({1,2,3,4},NĐ!X79,NĐ!AD79,NĐ!AJ79,NĐ!AP79)))</f>
        <v>0</v>
      </c>
      <c r="K79">
        <f>SUMPRODUCT((MONTH(CHOOSE({1,2,3,4},NĐ!U79,NĐ!AA79,NĐ!AG79,NĐ!AM79))=11)*(CHOOSE({1,2,3,4},NĐ!X79,NĐ!AD79,NĐ!AJ79,NĐ!AP79)))</f>
        <v>0</v>
      </c>
      <c r="L79">
        <f>SUMPRODUCT((MONTH(CHOOSE({1,2,3,4},NĐ!U79,NĐ!AA79,NĐ!AG79,NĐ!AM79))=12)*(CHOOSE({1,2,3,4},NĐ!X79,NĐ!AD79,NĐ!AJ79,NĐ!AP79)))</f>
        <v>0</v>
      </c>
    </row>
    <row r="80" spans="1:12">
      <c r="A80">
        <f>SUMPRODUCT((MONTH(CHOOSE({1,2,3,4},NĐ!U80,NĐ!AA80,NĐ!AG80,NĐ!AM80))=1)*(CHOOSE({1,2,3,4},NĐ!X80,NĐ!AD80,NĐ!AJ80,NĐ!AP80)))</f>
        <v>0</v>
      </c>
      <c r="B80">
        <f>SUMPRODUCT((MONTH(CHOOSE({1,2,3,4},NĐ!U80,NĐ!AA80,NĐ!AG80,NĐ!AM80))=2)*(CHOOSE({1,2,3,4},NĐ!X80,NĐ!AD80,NĐ!AJ80,NĐ!AP80)))</f>
        <v>0</v>
      </c>
      <c r="C80">
        <f>SUMPRODUCT((MONTH(CHOOSE({1,2,3,4},NĐ!U80,NĐ!AA80,NĐ!AG80,NĐ!AM80))=3)*(CHOOSE({1,2,3,4},NĐ!X80,NĐ!AD80,NĐ!AJ80,NĐ!AP80)))</f>
        <v>0</v>
      </c>
      <c r="D80">
        <f>SUMPRODUCT((MONTH(CHOOSE({1,2,3,4},NĐ!U80,NĐ!AA80,NĐ!AG80,NĐ!AM80))=4)*(CHOOSE({1,2,3,4},NĐ!X80,NĐ!AD80,NĐ!AJ80,NĐ!AP80)))</f>
        <v>0</v>
      </c>
      <c r="E80">
        <f>SUMPRODUCT((MONTH(CHOOSE({1,2,3,4},NĐ!U80,NĐ!AA80,NĐ!AG80,NĐ!AM80))=5)*(CHOOSE({1,2,3,4},NĐ!X80,NĐ!AD80,NĐ!AJ80,NĐ!AP80)))</f>
        <v>0</v>
      </c>
      <c r="F80">
        <f>SUMPRODUCT((MONTH(CHOOSE({1,2,3,4},NĐ!U80,NĐ!AA80,NĐ!AG80,NĐ!AM80))=6)*(CHOOSE({1,2,3,4},NĐ!X80,NĐ!AD80,NĐ!AJ80,NĐ!AP80)))</f>
        <v>0</v>
      </c>
      <c r="G80">
        <f>SUMPRODUCT((MONTH(CHOOSE({1,2,3,4},NĐ!U80,NĐ!AA80,NĐ!AG80,NĐ!AM80))=7)*(CHOOSE({1,2,3,4},NĐ!X80,NĐ!AD80,NĐ!AJ80,NĐ!AP80)))</f>
        <v>0</v>
      </c>
      <c r="H80">
        <f>SUMPRODUCT((MONTH(CHOOSE({1,2,3,4},NĐ!U80,NĐ!AA80,NĐ!AG80,NĐ!AM80))=8)*(CHOOSE({1,2,3,4},NĐ!X80,NĐ!AD80,NĐ!AJ80,NĐ!AP80)))</f>
        <v>0</v>
      </c>
      <c r="I80">
        <f>SUMPRODUCT((MONTH(CHOOSE({1,2,3,4},NĐ!U80,NĐ!AA80,NĐ!AG80,NĐ!AM80))=9)*(CHOOSE({1,2,3,4},NĐ!X80,NĐ!AD80,NĐ!AJ80,NĐ!AP80)))</f>
        <v>0</v>
      </c>
      <c r="J80">
        <f>SUMPRODUCT((MONTH(CHOOSE({1,2,3,4},NĐ!U80,NĐ!AA80,NĐ!AG80,NĐ!AM80))=10)*(CHOOSE({1,2,3,4},NĐ!X80,NĐ!AD80,NĐ!AJ80,NĐ!AP80)))</f>
        <v>0</v>
      </c>
      <c r="K80">
        <f>SUMPRODUCT((MONTH(CHOOSE({1,2,3,4},NĐ!U80,NĐ!AA80,NĐ!AG80,NĐ!AM80))=11)*(CHOOSE({1,2,3,4},NĐ!X80,NĐ!AD80,NĐ!AJ80,NĐ!AP80)))</f>
        <v>0</v>
      </c>
      <c r="L80">
        <f>SUMPRODUCT((MONTH(CHOOSE({1,2,3,4},NĐ!U80,NĐ!AA80,NĐ!AG80,NĐ!AM80))=12)*(CHOOSE({1,2,3,4},NĐ!X80,NĐ!AD80,NĐ!AJ80,NĐ!AP80)))</f>
        <v>0</v>
      </c>
    </row>
    <row r="81" spans="1:12">
      <c r="A81">
        <f>SUMPRODUCT((MONTH(CHOOSE({1,2,3,4},NĐ!U81,NĐ!AA81,NĐ!AG81,NĐ!AM81))=1)*(CHOOSE({1,2,3,4},NĐ!X81,NĐ!AD81,NĐ!AJ81,NĐ!AP81)))</f>
        <v>0</v>
      </c>
      <c r="B81">
        <f>SUMPRODUCT((MONTH(CHOOSE({1,2,3,4},NĐ!U81,NĐ!AA81,NĐ!AG81,NĐ!AM81))=2)*(CHOOSE({1,2,3,4},NĐ!X81,NĐ!AD81,NĐ!AJ81,NĐ!AP81)))</f>
        <v>0</v>
      </c>
      <c r="C81">
        <f>SUMPRODUCT((MONTH(CHOOSE({1,2,3,4},NĐ!U81,NĐ!AA81,NĐ!AG81,NĐ!AM81))=3)*(CHOOSE({1,2,3,4},NĐ!X81,NĐ!AD81,NĐ!AJ81,NĐ!AP81)))</f>
        <v>0</v>
      </c>
      <c r="D81">
        <f>SUMPRODUCT((MONTH(CHOOSE({1,2,3,4},NĐ!U81,NĐ!AA81,NĐ!AG81,NĐ!AM81))=4)*(CHOOSE({1,2,3,4},NĐ!X81,NĐ!AD81,NĐ!AJ81,NĐ!AP81)))</f>
        <v>0</v>
      </c>
      <c r="E81">
        <f>SUMPRODUCT((MONTH(CHOOSE({1,2,3,4},NĐ!U81,NĐ!AA81,NĐ!AG81,NĐ!AM81))=5)*(CHOOSE({1,2,3,4},NĐ!X81,NĐ!AD81,NĐ!AJ81,NĐ!AP81)))</f>
        <v>0</v>
      </c>
      <c r="F81">
        <f>SUMPRODUCT((MONTH(CHOOSE({1,2,3,4},NĐ!U81,NĐ!AA81,NĐ!AG81,NĐ!AM81))=6)*(CHOOSE({1,2,3,4},NĐ!X81,NĐ!AD81,NĐ!AJ81,NĐ!AP81)))</f>
        <v>0</v>
      </c>
      <c r="G81">
        <f>SUMPRODUCT((MONTH(CHOOSE({1,2,3,4},NĐ!U81,NĐ!AA81,NĐ!AG81,NĐ!AM81))=7)*(CHOOSE({1,2,3,4},NĐ!X81,NĐ!AD81,NĐ!AJ81,NĐ!AP81)))</f>
        <v>0</v>
      </c>
      <c r="H81">
        <f>SUMPRODUCT((MONTH(CHOOSE({1,2,3,4},NĐ!U81,NĐ!AA81,NĐ!AG81,NĐ!AM81))=8)*(CHOOSE({1,2,3,4},NĐ!X81,NĐ!AD81,NĐ!AJ81,NĐ!AP81)))</f>
        <v>0</v>
      </c>
      <c r="I81">
        <f>SUMPRODUCT((MONTH(CHOOSE({1,2,3,4},NĐ!U81,NĐ!AA81,NĐ!AG81,NĐ!AM81))=9)*(CHOOSE({1,2,3,4},NĐ!X81,NĐ!AD81,NĐ!AJ81,NĐ!AP81)))</f>
        <v>0</v>
      </c>
      <c r="J81">
        <f>SUMPRODUCT((MONTH(CHOOSE({1,2,3,4},NĐ!U81,NĐ!AA81,NĐ!AG81,NĐ!AM81))=10)*(CHOOSE({1,2,3,4},NĐ!X81,NĐ!AD81,NĐ!AJ81,NĐ!AP81)))</f>
        <v>0</v>
      </c>
      <c r="K81">
        <f>SUMPRODUCT((MONTH(CHOOSE({1,2,3,4},NĐ!U81,NĐ!AA81,NĐ!AG81,NĐ!AM81))=11)*(CHOOSE({1,2,3,4},NĐ!X81,NĐ!AD81,NĐ!AJ81,NĐ!AP81)))</f>
        <v>0</v>
      </c>
      <c r="L81">
        <f>SUMPRODUCT((MONTH(CHOOSE({1,2,3,4},NĐ!U81,NĐ!AA81,NĐ!AG81,NĐ!AM81))=12)*(CHOOSE({1,2,3,4},NĐ!X81,NĐ!AD81,NĐ!AJ81,NĐ!AP81)))</f>
        <v>0</v>
      </c>
    </row>
    <row r="82" spans="1:12">
      <c r="A82">
        <f>SUMPRODUCT((MONTH(CHOOSE({1,2,3,4},NĐ!U82,NĐ!AA82,NĐ!AG82,NĐ!AM82))=1)*(CHOOSE({1,2,3,4},NĐ!X82,NĐ!AD82,NĐ!AJ82,NĐ!AP82)))</f>
        <v>0</v>
      </c>
      <c r="B82">
        <f>SUMPRODUCT((MONTH(CHOOSE({1,2,3,4},NĐ!U82,NĐ!AA82,NĐ!AG82,NĐ!AM82))=2)*(CHOOSE({1,2,3,4},NĐ!X82,NĐ!AD82,NĐ!AJ82,NĐ!AP82)))</f>
        <v>0</v>
      </c>
      <c r="C82">
        <f>SUMPRODUCT((MONTH(CHOOSE({1,2,3,4},NĐ!U82,NĐ!AA82,NĐ!AG82,NĐ!AM82))=3)*(CHOOSE({1,2,3,4},NĐ!X82,NĐ!AD82,NĐ!AJ82,NĐ!AP82)))</f>
        <v>0</v>
      </c>
      <c r="D82">
        <f>SUMPRODUCT((MONTH(CHOOSE({1,2,3,4},NĐ!U82,NĐ!AA82,NĐ!AG82,NĐ!AM82))=4)*(CHOOSE({1,2,3,4},NĐ!X82,NĐ!AD82,NĐ!AJ82,NĐ!AP82)))</f>
        <v>0</v>
      </c>
      <c r="E82">
        <f>SUMPRODUCT((MONTH(CHOOSE({1,2,3,4},NĐ!U82,NĐ!AA82,NĐ!AG82,NĐ!AM82))=5)*(CHOOSE({1,2,3,4},NĐ!X82,NĐ!AD82,NĐ!AJ82,NĐ!AP82)))</f>
        <v>0</v>
      </c>
      <c r="F82">
        <f>SUMPRODUCT((MONTH(CHOOSE({1,2,3,4},NĐ!U82,NĐ!AA82,NĐ!AG82,NĐ!AM82))=6)*(CHOOSE({1,2,3,4},NĐ!X82,NĐ!AD82,NĐ!AJ82,NĐ!AP82)))</f>
        <v>0</v>
      </c>
      <c r="G82">
        <f>SUMPRODUCT((MONTH(CHOOSE({1,2,3,4},NĐ!U82,NĐ!AA82,NĐ!AG82,NĐ!AM82))=7)*(CHOOSE({1,2,3,4},NĐ!X82,NĐ!AD82,NĐ!AJ82,NĐ!AP82)))</f>
        <v>0</v>
      </c>
      <c r="H82">
        <f>SUMPRODUCT((MONTH(CHOOSE({1,2,3,4},NĐ!U82,NĐ!AA82,NĐ!AG82,NĐ!AM82))=8)*(CHOOSE({1,2,3,4},NĐ!X82,NĐ!AD82,NĐ!AJ82,NĐ!AP82)))</f>
        <v>0</v>
      </c>
      <c r="I82">
        <f>SUMPRODUCT((MONTH(CHOOSE({1,2,3,4},NĐ!U82,NĐ!AA82,NĐ!AG82,NĐ!AM82))=9)*(CHOOSE({1,2,3,4},NĐ!X82,NĐ!AD82,NĐ!AJ82,NĐ!AP82)))</f>
        <v>0</v>
      </c>
      <c r="J82">
        <f>SUMPRODUCT((MONTH(CHOOSE({1,2,3,4},NĐ!U82,NĐ!AA82,NĐ!AG82,NĐ!AM82))=10)*(CHOOSE({1,2,3,4},NĐ!X82,NĐ!AD82,NĐ!AJ82,NĐ!AP82)))</f>
        <v>0</v>
      </c>
      <c r="K82">
        <f>SUMPRODUCT((MONTH(CHOOSE({1,2,3,4},NĐ!U82,NĐ!AA82,NĐ!AG82,NĐ!AM82))=11)*(CHOOSE({1,2,3,4},NĐ!X82,NĐ!AD82,NĐ!AJ82,NĐ!AP82)))</f>
        <v>0</v>
      </c>
      <c r="L82">
        <f>SUMPRODUCT((MONTH(CHOOSE({1,2,3,4},NĐ!U82,NĐ!AA82,NĐ!AG82,NĐ!AM82))=12)*(CHOOSE({1,2,3,4},NĐ!X82,NĐ!AD82,NĐ!AJ82,NĐ!AP82)))</f>
        <v>0</v>
      </c>
    </row>
    <row r="83" spans="1:12">
      <c r="A83">
        <f>SUMPRODUCT((MONTH(CHOOSE({1,2,3,4},NĐ!U83,NĐ!AA83,NĐ!AG83,NĐ!AM83))=1)*(CHOOSE({1,2,3,4},NĐ!X83,NĐ!AD83,NĐ!AJ83,NĐ!AP83)))</f>
        <v>0</v>
      </c>
      <c r="B83">
        <f>SUMPRODUCT((MONTH(CHOOSE({1,2,3,4},NĐ!U83,NĐ!AA83,NĐ!AG83,NĐ!AM83))=2)*(CHOOSE({1,2,3,4},NĐ!X83,NĐ!AD83,NĐ!AJ83,NĐ!AP83)))</f>
        <v>0</v>
      </c>
      <c r="C83">
        <f>SUMPRODUCT((MONTH(CHOOSE({1,2,3,4},NĐ!U83,NĐ!AA83,NĐ!AG83,NĐ!AM83))=3)*(CHOOSE({1,2,3,4},NĐ!X83,NĐ!AD83,NĐ!AJ83,NĐ!AP83)))</f>
        <v>0</v>
      </c>
      <c r="D83">
        <f>SUMPRODUCT((MONTH(CHOOSE({1,2,3,4},NĐ!U83,NĐ!AA83,NĐ!AG83,NĐ!AM83))=4)*(CHOOSE({1,2,3,4},NĐ!X83,NĐ!AD83,NĐ!AJ83,NĐ!AP83)))</f>
        <v>0</v>
      </c>
      <c r="E83">
        <f>SUMPRODUCT((MONTH(CHOOSE({1,2,3,4},NĐ!U83,NĐ!AA83,NĐ!AG83,NĐ!AM83))=5)*(CHOOSE({1,2,3,4},NĐ!X83,NĐ!AD83,NĐ!AJ83,NĐ!AP83)))</f>
        <v>0</v>
      </c>
      <c r="F83">
        <f>SUMPRODUCT((MONTH(CHOOSE({1,2,3,4},NĐ!U83,NĐ!AA83,NĐ!AG83,NĐ!AM83))=6)*(CHOOSE({1,2,3,4},NĐ!X83,NĐ!AD83,NĐ!AJ83,NĐ!AP83)))</f>
        <v>0</v>
      </c>
      <c r="G83">
        <f>SUMPRODUCT((MONTH(CHOOSE({1,2,3,4},NĐ!U83,NĐ!AA83,NĐ!AG83,NĐ!AM83))=7)*(CHOOSE({1,2,3,4},NĐ!X83,NĐ!AD83,NĐ!AJ83,NĐ!AP83)))</f>
        <v>0</v>
      </c>
      <c r="H83">
        <f>SUMPRODUCT((MONTH(CHOOSE({1,2,3,4},NĐ!U83,NĐ!AA83,NĐ!AG83,NĐ!AM83))=8)*(CHOOSE({1,2,3,4},NĐ!X83,NĐ!AD83,NĐ!AJ83,NĐ!AP83)))</f>
        <v>0</v>
      </c>
      <c r="I83">
        <f>SUMPRODUCT((MONTH(CHOOSE({1,2,3,4},NĐ!U83,NĐ!AA83,NĐ!AG83,NĐ!AM83))=9)*(CHOOSE({1,2,3,4},NĐ!X83,NĐ!AD83,NĐ!AJ83,NĐ!AP83)))</f>
        <v>0</v>
      </c>
      <c r="J83">
        <f>SUMPRODUCT((MONTH(CHOOSE({1,2,3,4},NĐ!U83,NĐ!AA83,NĐ!AG83,NĐ!AM83))=10)*(CHOOSE({1,2,3,4},NĐ!X83,NĐ!AD83,NĐ!AJ83,NĐ!AP83)))</f>
        <v>0</v>
      </c>
      <c r="K83">
        <f>SUMPRODUCT((MONTH(CHOOSE({1,2,3,4},NĐ!U83,NĐ!AA83,NĐ!AG83,NĐ!AM83))=11)*(CHOOSE({1,2,3,4},NĐ!X83,NĐ!AD83,NĐ!AJ83,NĐ!AP83)))</f>
        <v>0</v>
      </c>
      <c r="L83">
        <f>SUMPRODUCT((MONTH(CHOOSE({1,2,3,4},NĐ!U83,NĐ!AA83,NĐ!AG83,NĐ!AM83))=12)*(CHOOSE({1,2,3,4},NĐ!X83,NĐ!AD83,NĐ!AJ83,NĐ!AP83)))</f>
        <v>0</v>
      </c>
    </row>
    <row r="84" spans="1:12">
      <c r="A84">
        <f>SUMPRODUCT((MONTH(CHOOSE({1,2,3,4},NĐ!U84,NĐ!AA84,NĐ!AG84,NĐ!AM84))=1)*(CHOOSE({1,2,3,4},NĐ!X84,NĐ!AD84,NĐ!AJ84,NĐ!AP84)))</f>
        <v>0</v>
      </c>
      <c r="B84">
        <f>SUMPRODUCT((MONTH(CHOOSE({1,2,3,4},NĐ!U84,NĐ!AA84,NĐ!AG84,NĐ!AM84))=2)*(CHOOSE({1,2,3,4},NĐ!X84,NĐ!AD84,NĐ!AJ84,NĐ!AP84)))</f>
        <v>0</v>
      </c>
      <c r="C84">
        <f>SUMPRODUCT((MONTH(CHOOSE({1,2,3,4},NĐ!U84,NĐ!AA84,NĐ!AG84,NĐ!AM84))=3)*(CHOOSE({1,2,3,4},NĐ!X84,NĐ!AD84,NĐ!AJ84,NĐ!AP84)))</f>
        <v>0</v>
      </c>
      <c r="D84">
        <f>SUMPRODUCT((MONTH(CHOOSE({1,2,3,4},NĐ!U84,NĐ!AA84,NĐ!AG84,NĐ!AM84))=4)*(CHOOSE({1,2,3,4},NĐ!X84,NĐ!AD84,NĐ!AJ84,NĐ!AP84)))</f>
        <v>0</v>
      </c>
      <c r="E84">
        <f>SUMPRODUCT((MONTH(CHOOSE({1,2,3,4},NĐ!U84,NĐ!AA84,NĐ!AG84,NĐ!AM84))=5)*(CHOOSE({1,2,3,4},NĐ!X84,NĐ!AD84,NĐ!AJ84,NĐ!AP84)))</f>
        <v>0</v>
      </c>
      <c r="F84">
        <f>SUMPRODUCT((MONTH(CHOOSE({1,2,3,4},NĐ!U84,NĐ!AA84,NĐ!AG84,NĐ!AM84))=6)*(CHOOSE({1,2,3,4},NĐ!X84,NĐ!AD84,NĐ!AJ84,NĐ!AP84)))</f>
        <v>0</v>
      </c>
      <c r="G84">
        <f>SUMPRODUCT((MONTH(CHOOSE({1,2,3,4},NĐ!U84,NĐ!AA84,NĐ!AG84,NĐ!AM84))=7)*(CHOOSE({1,2,3,4},NĐ!X84,NĐ!AD84,NĐ!AJ84,NĐ!AP84)))</f>
        <v>0</v>
      </c>
      <c r="H84">
        <f>SUMPRODUCT((MONTH(CHOOSE({1,2,3,4},NĐ!U84,NĐ!AA84,NĐ!AG84,NĐ!AM84))=8)*(CHOOSE({1,2,3,4},NĐ!X84,NĐ!AD84,NĐ!AJ84,NĐ!AP84)))</f>
        <v>0</v>
      </c>
      <c r="I84">
        <f>SUMPRODUCT((MONTH(CHOOSE({1,2,3,4},NĐ!U84,NĐ!AA84,NĐ!AG84,NĐ!AM84))=9)*(CHOOSE({1,2,3,4},NĐ!X84,NĐ!AD84,NĐ!AJ84,NĐ!AP84)))</f>
        <v>0</v>
      </c>
      <c r="J84">
        <f>SUMPRODUCT((MONTH(CHOOSE({1,2,3,4},NĐ!U84,NĐ!AA84,NĐ!AG84,NĐ!AM84))=10)*(CHOOSE({1,2,3,4},NĐ!X84,NĐ!AD84,NĐ!AJ84,NĐ!AP84)))</f>
        <v>0</v>
      </c>
      <c r="K84">
        <f>SUMPRODUCT((MONTH(CHOOSE({1,2,3,4},NĐ!U84,NĐ!AA84,NĐ!AG84,NĐ!AM84))=11)*(CHOOSE({1,2,3,4},NĐ!X84,NĐ!AD84,NĐ!AJ84,NĐ!AP84)))</f>
        <v>0</v>
      </c>
      <c r="L84">
        <f>SUMPRODUCT((MONTH(CHOOSE({1,2,3,4},NĐ!U84,NĐ!AA84,NĐ!AG84,NĐ!AM84))=12)*(CHOOSE({1,2,3,4},NĐ!X84,NĐ!AD84,NĐ!AJ84,NĐ!AP84)))</f>
        <v>0</v>
      </c>
    </row>
    <row r="85" spans="1:12">
      <c r="A85">
        <f>SUMPRODUCT((MONTH(CHOOSE({1,2,3,4},NĐ!U85,NĐ!AA85,NĐ!AG85,NĐ!AM85))=1)*(CHOOSE({1,2,3,4},NĐ!X85,NĐ!AD85,NĐ!AJ85,NĐ!AP85)))</f>
        <v>0</v>
      </c>
      <c r="B85">
        <f>SUMPRODUCT((MONTH(CHOOSE({1,2,3,4},NĐ!U85,NĐ!AA85,NĐ!AG85,NĐ!AM85))=2)*(CHOOSE({1,2,3,4},NĐ!X85,NĐ!AD85,NĐ!AJ85,NĐ!AP85)))</f>
        <v>0</v>
      </c>
      <c r="C85">
        <f>SUMPRODUCT((MONTH(CHOOSE({1,2,3,4},NĐ!U85,NĐ!AA85,NĐ!AG85,NĐ!AM85))=3)*(CHOOSE({1,2,3,4},NĐ!X85,NĐ!AD85,NĐ!AJ85,NĐ!AP85)))</f>
        <v>0</v>
      </c>
      <c r="D85">
        <f>SUMPRODUCT((MONTH(CHOOSE({1,2,3,4},NĐ!U85,NĐ!AA85,NĐ!AG85,NĐ!AM85))=4)*(CHOOSE({1,2,3,4},NĐ!X85,NĐ!AD85,NĐ!AJ85,NĐ!AP85)))</f>
        <v>0</v>
      </c>
      <c r="E85">
        <f>SUMPRODUCT((MONTH(CHOOSE({1,2,3,4},NĐ!U85,NĐ!AA85,NĐ!AG85,NĐ!AM85))=5)*(CHOOSE({1,2,3,4},NĐ!X85,NĐ!AD85,NĐ!AJ85,NĐ!AP85)))</f>
        <v>0</v>
      </c>
      <c r="F85">
        <f>SUMPRODUCT((MONTH(CHOOSE({1,2,3,4},NĐ!U85,NĐ!AA85,NĐ!AG85,NĐ!AM85))=6)*(CHOOSE({1,2,3,4},NĐ!X85,NĐ!AD85,NĐ!AJ85,NĐ!AP85)))</f>
        <v>0</v>
      </c>
      <c r="G85">
        <f>SUMPRODUCT((MONTH(CHOOSE({1,2,3,4},NĐ!U85,NĐ!AA85,NĐ!AG85,NĐ!AM85))=7)*(CHOOSE({1,2,3,4},NĐ!X85,NĐ!AD85,NĐ!AJ85,NĐ!AP85)))</f>
        <v>0</v>
      </c>
      <c r="H85">
        <f>SUMPRODUCT((MONTH(CHOOSE({1,2,3,4},NĐ!U85,NĐ!AA85,NĐ!AG85,NĐ!AM85))=8)*(CHOOSE({1,2,3,4},NĐ!X85,NĐ!AD85,NĐ!AJ85,NĐ!AP85)))</f>
        <v>0</v>
      </c>
      <c r="I85">
        <f>SUMPRODUCT((MONTH(CHOOSE({1,2,3,4},NĐ!U85,NĐ!AA85,NĐ!AG85,NĐ!AM85))=9)*(CHOOSE({1,2,3,4},NĐ!X85,NĐ!AD85,NĐ!AJ85,NĐ!AP85)))</f>
        <v>0</v>
      </c>
      <c r="J85">
        <f>SUMPRODUCT((MONTH(CHOOSE({1,2,3,4},NĐ!U85,NĐ!AA85,NĐ!AG85,NĐ!AM85))=10)*(CHOOSE({1,2,3,4},NĐ!X85,NĐ!AD85,NĐ!AJ85,NĐ!AP85)))</f>
        <v>0</v>
      </c>
      <c r="K85">
        <f>SUMPRODUCT((MONTH(CHOOSE({1,2,3,4},NĐ!U85,NĐ!AA85,NĐ!AG85,NĐ!AM85))=11)*(CHOOSE({1,2,3,4},NĐ!X85,NĐ!AD85,NĐ!AJ85,NĐ!AP85)))</f>
        <v>0</v>
      </c>
      <c r="L85">
        <f>SUMPRODUCT((MONTH(CHOOSE({1,2,3,4},NĐ!U85,NĐ!AA85,NĐ!AG85,NĐ!AM85))=12)*(CHOOSE({1,2,3,4},NĐ!X85,NĐ!AD85,NĐ!AJ85,NĐ!AP85)))</f>
        <v>0</v>
      </c>
    </row>
    <row r="86" spans="1:12">
      <c r="A86">
        <f>SUMPRODUCT((MONTH(CHOOSE({1,2,3,4},NĐ!U86,NĐ!AA86,NĐ!AG86,NĐ!AM86))=1)*(CHOOSE({1,2,3,4},NĐ!X86,NĐ!AD86,NĐ!AJ86,NĐ!AP86)))</f>
        <v>0</v>
      </c>
      <c r="B86">
        <f>SUMPRODUCT((MONTH(CHOOSE({1,2,3,4},NĐ!U86,NĐ!AA86,NĐ!AG86,NĐ!AM86))=2)*(CHOOSE({1,2,3,4},NĐ!X86,NĐ!AD86,NĐ!AJ86,NĐ!AP86)))</f>
        <v>0</v>
      </c>
      <c r="C86">
        <f>SUMPRODUCT((MONTH(CHOOSE({1,2,3,4},NĐ!U86,NĐ!AA86,NĐ!AG86,NĐ!AM86))=3)*(CHOOSE({1,2,3,4},NĐ!X86,NĐ!AD86,NĐ!AJ86,NĐ!AP86)))</f>
        <v>0</v>
      </c>
      <c r="D86">
        <f>SUMPRODUCT((MONTH(CHOOSE({1,2,3,4},NĐ!U86,NĐ!AA86,NĐ!AG86,NĐ!AM86))=4)*(CHOOSE({1,2,3,4},NĐ!X86,NĐ!AD86,NĐ!AJ86,NĐ!AP86)))</f>
        <v>0</v>
      </c>
      <c r="E86">
        <f>SUMPRODUCT((MONTH(CHOOSE({1,2,3,4},NĐ!U86,NĐ!AA86,NĐ!AG86,NĐ!AM86))=5)*(CHOOSE({1,2,3,4},NĐ!X86,NĐ!AD86,NĐ!AJ86,NĐ!AP86)))</f>
        <v>0</v>
      </c>
      <c r="F86">
        <f>SUMPRODUCT((MONTH(CHOOSE({1,2,3,4},NĐ!U86,NĐ!AA86,NĐ!AG86,NĐ!AM86))=6)*(CHOOSE({1,2,3,4},NĐ!X86,NĐ!AD86,NĐ!AJ86,NĐ!AP86)))</f>
        <v>0</v>
      </c>
      <c r="G86">
        <f>SUMPRODUCT((MONTH(CHOOSE({1,2,3,4},NĐ!U86,NĐ!AA86,NĐ!AG86,NĐ!AM86))=7)*(CHOOSE({1,2,3,4},NĐ!X86,NĐ!AD86,NĐ!AJ86,NĐ!AP86)))</f>
        <v>0</v>
      </c>
      <c r="H86">
        <f>SUMPRODUCT((MONTH(CHOOSE({1,2,3,4},NĐ!U86,NĐ!AA86,NĐ!AG86,NĐ!AM86))=8)*(CHOOSE({1,2,3,4},NĐ!X86,NĐ!AD86,NĐ!AJ86,NĐ!AP86)))</f>
        <v>0</v>
      </c>
      <c r="I86">
        <f>SUMPRODUCT((MONTH(CHOOSE({1,2,3,4},NĐ!U86,NĐ!AA86,NĐ!AG86,NĐ!AM86))=9)*(CHOOSE({1,2,3,4},NĐ!X86,NĐ!AD86,NĐ!AJ86,NĐ!AP86)))</f>
        <v>0</v>
      </c>
      <c r="J86">
        <f>SUMPRODUCT((MONTH(CHOOSE({1,2,3,4},NĐ!U86,NĐ!AA86,NĐ!AG86,NĐ!AM86))=10)*(CHOOSE({1,2,3,4},NĐ!X86,NĐ!AD86,NĐ!AJ86,NĐ!AP86)))</f>
        <v>0</v>
      </c>
      <c r="K86">
        <f>SUMPRODUCT((MONTH(CHOOSE({1,2,3,4},NĐ!U86,NĐ!AA86,NĐ!AG86,NĐ!AM86))=11)*(CHOOSE({1,2,3,4},NĐ!X86,NĐ!AD86,NĐ!AJ86,NĐ!AP86)))</f>
        <v>0</v>
      </c>
      <c r="L86">
        <f>SUMPRODUCT((MONTH(CHOOSE({1,2,3,4},NĐ!U86,NĐ!AA86,NĐ!AG86,NĐ!AM86))=12)*(CHOOSE({1,2,3,4},NĐ!X86,NĐ!AD86,NĐ!AJ86,NĐ!AP86)))</f>
        <v>0</v>
      </c>
    </row>
    <row r="87" spans="1:12">
      <c r="A87">
        <f>SUMPRODUCT((MONTH(CHOOSE({1,2,3,4},NĐ!U87,NĐ!AA87,NĐ!AG87,NĐ!AM87))=1)*(CHOOSE({1,2,3,4},NĐ!X87,NĐ!AD87,NĐ!AJ87,NĐ!AP87)))</f>
        <v>0</v>
      </c>
      <c r="B87">
        <f>SUMPRODUCT((MONTH(CHOOSE({1,2,3,4},NĐ!U87,NĐ!AA87,NĐ!AG87,NĐ!AM87))=2)*(CHOOSE({1,2,3,4},NĐ!X87,NĐ!AD87,NĐ!AJ87,NĐ!AP87)))</f>
        <v>0</v>
      </c>
      <c r="C87">
        <f>SUMPRODUCT((MONTH(CHOOSE({1,2,3,4},NĐ!U87,NĐ!AA87,NĐ!AG87,NĐ!AM87))=3)*(CHOOSE({1,2,3,4},NĐ!X87,NĐ!AD87,NĐ!AJ87,NĐ!AP87)))</f>
        <v>0</v>
      </c>
      <c r="D87">
        <f>SUMPRODUCT((MONTH(CHOOSE({1,2,3,4},NĐ!U87,NĐ!AA87,NĐ!AG87,NĐ!AM87))=4)*(CHOOSE({1,2,3,4},NĐ!X87,NĐ!AD87,NĐ!AJ87,NĐ!AP87)))</f>
        <v>0</v>
      </c>
      <c r="E87">
        <f>SUMPRODUCT((MONTH(CHOOSE({1,2,3,4},NĐ!U87,NĐ!AA87,NĐ!AG87,NĐ!AM87))=5)*(CHOOSE({1,2,3,4},NĐ!X87,NĐ!AD87,NĐ!AJ87,NĐ!AP87)))</f>
        <v>0</v>
      </c>
      <c r="F87">
        <f>SUMPRODUCT((MONTH(CHOOSE({1,2,3,4},NĐ!U87,NĐ!AA87,NĐ!AG87,NĐ!AM87))=6)*(CHOOSE({1,2,3,4},NĐ!X87,NĐ!AD87,NĐ!AJ87,NĐ!AP87)))</f>
        <v>0</v>
      </c>
      <c r="G87">
        <f>SUMPRODUCT((MONTH(CHOOSE({1,2,3,4},NĐ!U87,NĐ!AA87,NĐ!AG87,NĐ!AM87))=7)*(CHOOSE({1,2,3,4},NĐ!X87,NĐ!AD87,NĐ!AJ87,NĐ!AP87)))</f>
        <v>0</v>
      </c>
      <c r="H87">
        <f>SUMPRODUCT((MONTH(CHOOSE({1,2,3,4},NĐ!U87,NĐ!AA87,NĐ!AG87,NĐ!AM87))=8)*(CHOOSE({1,2,3,4},NĐ!X87,NĐ!AD87,NĐ!AJ87,NĐ!AP87)))</f>
        <v>0</v>
      </c>
      <c r="I87">
        <f>SUMPRODUCT((MONTH(CHOOSE({1,2,3,4},NĐ!U87,NĐ!AA87,NĐ!AG87,NĐ!AM87))=9)*(CHOOSE({1,2,3,4},NĐ!X87,NĐ!AD87,NĐ!AJ87,NĐ!AP87)))</f>
        <v>0</v>
      </c>
      <c r="J87">
        <f>SUMPRODUCT((MONTH(CHOOSE({1,2,3,4},NĐ!U87,NĐ!AA87,NĐ!AG87,NĐ!AM87))=10)*(CHOOSE({1,2,3,4},NĐ!X87,NĐ!AD87,NĐ!AJ87,NĐ!AP87)))</f>
        <v>0</v>
      </c>
      <c r="K87">
        <f>SUMPRODUCT((MONTH(CHOOSE({1,2,3,4},NĐ!U87,NĐ!AA87,NĐ!AG87,NĐ!AM87))=11)*(CHOOSE({1,2,3,4},NĐ!X87,NĐ!AD87,NĐ!AJ87,NĐ!AP87)))</f>
        <v>0</v>
      </c>
      <c r="L87">
        <f>SUMPRODUCT((MONTH(CHOOSE({1,2,3,4},NĐ!U87,NĐ!AA87,NĐ!AG87,NĐ!AM87))=12)*(CHOOSE({1,2,3,4},NĐ!X87,NĐ!AD87,NĐ!AJ87,NĐ!AP87)))</f>
        <v>0</v>
      </c>
    </row>
    <row r="88" spans="1:12">
      <c r="A88">
        <f>SUMPRODUCT((MONTH(CHOOSE({1,2,3,4},NĐ!U88,NĐ!AA88,NĐ!AG88,NĐ!AM88))=1)*(CHOOSE({1,2,3,4},NĐ!X88,NĐ!AD88,NĐ!AJ88,NĐ!AP88)))</f>
        <v>0</v>
      </c>
      <c r="B88">
        <f>SUMPRODUCT((MONTH(CHOOSE({1,2,3,4},NĐ!U88,NĐ!AA88,NĐ!AG88,NĐ!AM88))=2)*(CHOOSE({1,2,3,4},NĐ!X88,NĐ!AD88,NĐ!AJ88,NĐ!AP88)))</f>
        <v>0</v>
      </c>
      <c r="C88">
        <f>SUMPRODUCT((MONTH(CHOOSE({1,2,3,4},NĐ!U88,NĐ!AA88,NĐ!AG88,NĐ!AM88))=3)*(CHOOSE({1,2,3,4},NĐ!X88,NĐ!AD88,NĐ!AJ88,NĐ!AP88)))</f>
        <v>0</v>
      </c>
      <c r="D88">
        <f>SUMPRODUCT((MONTH(CHOOSE({1,2,3,4},NĐ!U88,NĐ!AA88,NĐ!AG88,NĐ!AM88))=4)*(CHOOSE({1,2,3,4},NĐ!X88,NĐ!AD88,NĐ!AJ88,NĐ!AP88)))</f>
        <v>0</v>
      </c>
      <c r="E88">
        <f>SUMPRODUCT((MONTH(CHOOSE({1,2,3,4},NĐ!U88,NĐ!AA88,NĐ!AG88,NĐ!AM88))=5)*(CHOOSE({1,2,3,4},NĐ!X88,NĐ!AD88,NĐ!AJ88,NĐ!AP88)))</f>
        <v>0</v>
      </c>
      <c r="F88">
        <f>SUMPRODUCT((MONTH(CHOOSE({1,2,3,4},NĐ!U88,NĐ!AA88,NĐ!AG88,NĐ!AM88))=6)*(CHOOSE({1,2,3,4},NĐ!X88,NĐ!AD88,NĐ!AJ88,NĐ!AP88)))</f>
        <v>0</v>
      </c>
      <c r="G88">
        <f>SUMPRODUCT((MONTH(CHOOSE({1,2,3,4},NĐ!U88,NĐ!AA88,NĐ!AG88,NĐ!AM88))=7)*(CHOOSE({1,2,3,4},NĐ!X88,NĐ!AD88,NĐ!AJ88,NĐ!AP88)))</f>
        <v>0</v>
      </c>
      <c r="H88">
        <f>SUMPRODUCT((MONTH(CHOOSE({1,2,3,4},NĐ!U88,NĐ!AA88,NĐ!AG88,NĐ!AM88))=8)*(CHOOSE({1,2,3,4},NĐ!X88,NĐ!AD88,NĐ!AJ88,NĐ!AP88)))</f>
        <v>0</v>
      </c>
      <c r="I88">
        <f>SUMPRODUCT((MONTH(CHOOSE({1,2,3,4},NĐ!U88,NĐ!AA88,NĐ!AG88,NĐ!AM88))=9)*(CHOOSE({1,2,3,4},NĐ!X88,NĐ!AD88,NĐ!AJ88,NĐ!AP88)))</f>
        <v>0</v>
      </c>
      <c r="J88">
        <f>SUMPRODUCT((MONTH(CHOOSE({1,2,3,4},NĐ!U88,NĐ!AA88,NĐ!AG88,NĐ!AM88))=10)*(CHOOSE({1,2,3,4},NĐ!X88,NĐ!AD88,NĐ!AJ88,NĐ!AP88)))</f>
        <v>0</v>
      </c>
      <c r="K88">
        <f>SUMPRODUCT((MONTH(CHOOSE({1,2,3,4},NĐ!U88,NĐ!AA88,NĐ!AG88,NĐ!AM88))=11)*(CHOOSE({1,2,3,4},NĐ!X88,NĐ!AD88,NĐ!AJ88,NĐ!AP88)))</f>
        <v>0</v>
      </c>
      <c r="L88">
        <f>SUMPRODUCT((MONTH(CHOOSE({1,2,3,4},NĐ!U88,NĐ!AA88,NĐ!AG88,NĐ!AM88))=12)*(CHOOSE({1,2,3,4},NĐ!X88,NĐ!AD88,NĐ!AJ88,NĐ!AP88)))</f>
        <v>0</v>
      </c>
    </row>
    <row r="89" spans="1:12">
      <c r="A89">
        <f>SUMPRODUCT((MONTH(CHOOSE({1,2,3,4},NĐ!U89,NĐ!AA89,NĐ!AG89,NĐ!AM89))=1)*(CHOOSE({1,2,3,4},NĐ!X89,NĐ!AD89,NĐ!AJ89,NĐ!AP89)))</f>
        <v>0</v>
      </c>
      <c r="B89">
        <f>SUMPRODUCT((MONTH(CHOOSE({1,2,3,4},NĐ!U89,NĐ!AA89,NĐ!AG89,NĐ!AM89))=2)*(CHOOSE({1,2,3,4},NĐ!X89,NĐ!AD89,NĐ!AJ89,NĐ!AP89)))</f>
        <v>0</v>
      </c>
      <c r="C89">
        <f>SUMPRODUCT((MONTH(CHOOSE({1,2,3,4},NĐ!U89,NĐ!AA89,NĐ!AG89,NĐ!AM89))=3)*(CHOOSE({1,2,3,4},NĐ!X89,NĐ!AD89,NĐ!AJ89,NĐ!AP89)))</f>
        <v>0</v>
      </c>
      <c r="D89">
        <f>SUMPRODUCT((MONTH(CHOOSE({1,2,3,4},NĐ!U89,NĐ!AA89,NĐ!AG89,NĐ!AM89))=4)*(CHOOSE({1,2,3,4},NĐ!X89,NĐ!AD89,NĐ!AJ89,NĐ!AP89)))</f>
        <v>0</v>
      </c>
      <c r="E89">
        <f>SUMPRODUCT((MONTH(CHOOSE({1,2,3,4},NĐ!U89,NĐ!AA89,NĐ!AG89,NĐ!AM89))=5)*(CHOOSE({1,2,3,4},NĐ!X89,NĐ!AD89,NĐ!AJ89,NĐ!AP89)))</f>
        <v>0</v>
      </c>
      <c r="F89">
        <f>SUMPRODUCT((MONTH(CHOOSE({1,2,3,4},NĐ!U89,NĐ!AA89,NĐ!AG89,NĐ!AM89))=6)*(CHOOSE({1,2,3,4},NĐ!X89,NĐ!AD89,NĐ!AJ89,NĐ!AP89)))</f>
        <v>0</v>
      </c>
      <c r="G89">
        <f>SUMPRODUCT((MONTH(CHOOSE({1,2,3,4},NĐ!U89,NĐ!AA89,NĐ!AG89,NĐ!AM89))=7)*(CHOOSE({1,2,3,4},NĐ!X89,NĐ!AD89,NĐ!AJ89,NĐ!AP89)))</f>
        <v>0</v>
      </c>
      <c r="H89">
        <f>SUMPRODUCT((MONTH(CHOOSE({1,2,3,4},NĐ!U89,NĐ!AA89,NĐ!AG89,NĐ!AM89))=8)*(CHOOSE({1,2,3,4},NĐ!X89,NĐ!AD89,NĐ!AJ89,NĐ!AP89)))</f>
        <v>0</v>
      </c>
      <c r="I89">
        <f>SUMPRODUCT((MONTH(CHOOSE({1,2,3,4},NĐ!U89,NĐ!AA89,NĐ!AG89,NĐ!AM89))=9)*(CHOOSE({1,2,3,4},NĐ!X89,NĐ!AD89,NĐ!AJ89,NĐ!AP89)))</f>
        <v>0</v>
      </c>
      <c r="J89">
        <f>SUMPRODUCT((MONTH(CHOOSE({1,2,3,4},NĐ!U89,NĐ!AA89,NĐ!AG89,NĐ!AM89))=10)*(CHOOSE({1,2,3,4},NĐ!X89,NĐ!AD89,NĐ!AJ89,NĐ!AP89)))</f>
        <v>0</v>
      </c>
      <c r="K89">
        <f>SUMPRODUCT((MONTH(CHOOSE({1,2,3,4},NĐ!U89,NĐ!AA89,NĐ!AG89,NĐ!AM89))=11)*(CHOOSE({1,2,3,4},NĐ!X89,NĐ!AD89,NĐ!AJ89,NĐ!AP89)))</f>
        <v>0</v>
      </c>
      <c r="L89">
        <f>SUMPRODUCT((MONTH(CHOOSE({1,2,3,4},NĐ!U89,NĐ!AA89,NĐ!AG89,NĐ!AM89))=12)*(CHOOSE({1,2,3,4},NĐ!X89,NĐ!AD89,NĐ!AJ89,NĐ!AP89)))</f>
        <v>0</v>
      </c>
    </row>
    <row r="90" spans="1:12">
      <c r="A90">
        <f>SUMPRODUCT((MONTH(CHOOSE({1,2,3,4},NĐ!U90,NĐ!AA90,NĐ!AG90,NĐ!AM90))=1)*(CHOOSE({1,2,3,4},NĐ!X90,NĐ!AD90,NĐ!AJ90,NĐ!AP90)))</f>
        <v>0</v>
      </c>
      <c r="B90">
        <f>SUMPRODUCT((MONTH(CHOOSE({1,2,3,4},NĐ!U90,NĐ!AA90,NĐ!AG90,NĐ!AM90))=2)*(CHOOSE({1,2,3,4},NĐ!X90,NĐ!AD90,NĐ!AJ90,NĐ!AP90)))</f>
        <v>0</v>
      </c>
      <c r="C90">
        <f>SUMPRODUCT((MONTH(CHOOSE({1,2,3,4},NĐ!U90,NĐ!AA90,NĐ!AG90,NĐ!AM90))=3)*(CHOOSE({1,2,3,4},NĐ!X90,NĐ!AD90,NĐ!AJ90,NĐ!AP90)))</f>
        <v>0</v>
      </c>
      <c r="D90">
        <f>SUMPRODUCT((MONTH(CHOOSE({1,2,3,4},NĐ!U90,NĐ!AA90,NĐ!AG90,NĐ!AM90))=4)*(CHOOSE({1,2,3,4},NĐ!X90,NĐ!AD90,NĐ!AJ90,NĐ!AP90)))</f>
        <v>0</v>
      </c>
      <c r="E90">
        <f>SUMPRODUCT((MONTH(CHOOSE({1,2,3,4},NĐ!U90,NĐ!AA90,NĐ!AG90,NĐ!AM90))=5)*(CHOOSE({1,2,3,4},NĐ!X90,NĐ!AD90,NĐ!AJ90,NĐ!AP90)))</f>
        <v>0</v>
      </c>
      <c r="F90">
        <f>SUMPRODUCT((MONTH(CHOOSE({1,2,3,4},NĐ!U90,NĐ!AA90,NĐ!AG90,NĐ!AM90))=6)*(CHOOSE({1,2,3,4},NĐ!X90,NĐ!AD90,NĐ!AJ90,NĐ!AP90)))</f>
        <v>0</v>
      </c>
      <c r="G90">
        <f>SUMPRODUCT((MONTH(CHOOSE({1,2,3,4},NĐ!U90,NĐ!AA90,NĐ!AG90,NĐ!AM90))=7)*(CHOOSE({1,2,3,4},NĐ!X90,NĐ!AD90,NĐ!AJ90,NĐ!AP90)))</f>
        <v>0</v>
      </c>
      <c r="H90">
        <f>SUMPRODUCT((MONTH(CHOOSE({1,2,3,4},NĐ!U90,NĐ!AA90,NĐ!AG90,NĐ!AM90))=8)*(CHOOSE({1,2,3,4},NĐ!X90,NĐ!AD90,NĐ!AJ90,NĐ!AP90)))</f>
        <v>0</v>
      </c>
      <c r="I90">
        <f>SUMPRODUCT((MONTH(CHOOSE({1,2,3,4},NĐ!U90,NĐ!AA90,NĐ!AG90,NĐ!AM90))=9)*(CHOOSE({1,2,3,4},NĐ!X90,NĐ!AD90,NĐ!AJ90,NĐ!AP90)))</f>
        <v>0</v>
      </c>
      <c r="J90">
        <f>SUMPRODUCT((MONTH(CHOOSE({1,2,3,4},NĐ!U90,NĐ!AA90,NĐ!AG90,NĐ!AM90))=10)*(CHOOSE({1,2,3,4},NĐ!X90,NĐ!AD90,NĐ!AJ90,NĐ!AP90)))</f>
        <v>0</v>
      </c>
      <c r="K90">
        <f>SUMPRODUCT((MONTH(CHOOSE({1,2,3,4},NĐ!U90,NĐ!AA90,NĐ!AG90,NĐ!AM90))=11)*(CHOOSE({1,2,3,4},NĐ!X90,NĐ!AD90,NĐ!AJ90,NĐ!AP90)))</f>
        <v>0</v>
      </c>
      <c r="L90">
        <f>SUMPRODUCT((MONTH(CHOOSE({1,2,3,4},NĐ!U90,NĐ!AA90,NĐ!AG90,NĐ!AM90))=12)*(CHOOSE({1,2,3,4},NĐ!X90,NĐ!AD90,NĐ!AJ90,NĐ!AP90)))</f>
        <v>0</v>
      </c>
    </row>
    <row r="91" spans="1:12">
      <c r="A91">
        <f>SUMPRODUCT((MONTH(CHOOSE({1,2,3,4},NĐ!U91,NĐ!AA91,NĐ!AG91,NĐ!AM91))=1)*(CHOOSE({1,2,3,4},NĐ!X91,NĐ!AD91,NĐ!AJ91,NĐ!AP91)))</f>
        <v>0</v>
      </c>
      <c r="B91">
        <f>SUMPRODUCT((MONTH(CHOOSE({1,2,3,4},NĐ!U91,NĐ!AA91,NĐ!AG91,NĐ!AM91))=2)*(CHOOSE({1,2,3,4},NĐ!X91,NĐ!AD91,NĐ!AJ91,NĐ!AP91)))</f>
        <v>0</v>
      </c>
      <c r="C91">
        <f>SUMPRODUCT((MONTH(CHOOSE({1,2,3,4},NĐ!U91,NĐ!AA91,NĐ!AG91,NĐ!AM91))=3)*(CHOOSE({1,2,3,4},NĐ!X91,NĐ!AD91,NĐ!AJ91,NĐ!AP91)))</f>
        <v>0</v>
      </c>
      <c r="D91">
        <f>SUMPRODUCT((MONTH(CHOOSE({1,2,3,4},NĐ!U91,NĐ!AA91,NĐ!AG91,NĐ!AM91))=4)*(CHOOSE({1,2,3,4},NĐ!X91,NĐ!AD91,NĐ!AJ91,NĐ!AP91)))</f>
        <v>0</v>
      </c>
      <c r="E91">
        <f>SUMPRODUCT((MONTH(CHOOSE({1,2,3,4},NĐ!U91,NĐ!AA91,NĐ!AG91,NĐ!AM91))=5)*(CHOOSE({1,2,3,4},NĐ!X91,NĐ!AD91,NĐ!AJ91,NĐ!AP91)))</f>
        <v>0</v>
      </c>
      <c r="F91">
        <f>SUMPRODUCT((MONTH(CHOOSE({1,2,3,4},NĐ!U91,NĐ!AA91,NĐ!AG91,NĐ!AM91))=6)*(CHOOSE({1,2,3,4},NĐ!X91,NĐ!AD91,NĐ!AJ91,NĐ!AP91)))</f>
        <v>0</v>
      </c>
      <c r="G91">
        <f>SUMPRODUCT((MONTH(CHOOSE({1,2,3,4},NĐ!U91,NĐ!AA91,NĐ!AG91,NĐ!AM91))=7)*(CHOOSE({1,2,3,4},NĐ!X91,NĐ!AD91,NĐ!AJ91,NĐ!AP91)))</f>
        <v>0</v>
      </c>
      <c r="H91">
        <f>SUMPRODUCT((MONTH(CHOOSE({1,2,3,4},NĐ!U91,NĐ!AA91,NĐ!AG91,NĐ!AM91))=8)*(CHOOSE({1,2,3,4},NĐ!X91,NĐ!AD91,NĐ!AJ91,NĐ!AP91)))</f>
        <v>0</v>
      </c>
      <c r="I91">
        <f>SUMPRODUCT((MONTH(CHOOSE({1,2,3,4},NĐ!U91,NĐ!AA91,NĐ!AG91,NĐ!AM91))=9)*(CHOOSE({1,2,3,4},NĐ!X91,NĐ!AD91,NĐ!AJ91,NĐ!AP91)))</f>
        <v>0</v>
      </c>
      <c r="J91">
        <f>SUMPRODUCT((MONTH(CHOOSE({1,2,3,4},NĐ!U91,NĐ!AA91,NĐ!AG91,NĐ!AM91))=10)*(CHOOSE({1,2,3,4},NĐ!X91,NĐ!AD91,NĐ!AJ91,NĐ!AP91)))</f>
        <v>0</v>
      </c>
      <c r="K91">
        <f>SUMPRODUCT((MONTH(CHOOSE({1,2,3,4},NĐ!U91,NĐ!AA91,NĐ!AG91,NĐ!AM91))=11)*(CHOOSE({1,2,3,4},NĐ!X91,NĐ!AD91,NĐ!AJ91,NĐ!AP91)))</f>
        <v>0</v>
      </c>
      <c r="L91">
        <f>SUMPRODUCT((MONTH(CHOOSE({1,2,3,4},NĐ!U91,NĐ!AA91,NĐ!AG91,NĐ!AM91))=12)*(CHOOSE({1,2,3,4},NĐ!X91,NĐ!AD91,NĐ!AJ91,NĐ!AP91)))</f>
        <v>0</v>
      </c>
    </row>
    <row r="92" spans="1:12">
      <c r="A92">
        <f>SUMPRODUCT((MONTH(CHOOSE({1,2,3,4},NĐ!U92,NĐ!AA92,NĐ!AG92,NĐ!AM92))=1)*(CHOOSE({1,2,3,4},NĐ!X92,NĐ!AD92,NĐ!AJ92,NĐ!AP92)))</f>
        <v>0</v>
      </c>
      <c r="B92">
        <f>SUMPRODUCT((MONTH(CHOOSE({1,2,3,4},NĐ!U92,NĐ!AA92,NĐ!AG92,NĐ!AM92))=2)*(CHOOSE({1,2,3,4},NĐ!X92,NĐ!AD92,NĐ!AJ92,NĐ!AP92)))</f>
        <v>0</v>
      </c>
      <c r="C92">
        <f>SUMPRODUCT((MONTH(CHOOSE({1,2,3,4},NĐ!U92,NĐ!AA92,NĐ!AG92,NĐ!AM92))=3)*(CHOOSE({1,2,3,4},NĐ!X92,NĐ!AD92,NĐ!AJ92,NĐ!AP92)))</f>
        <v>0</v>
      </c>
      <c r="D92">
        <f>SUMPRODUCT((MONTH(CHOOSE({1,2,3,4},NĐ!U92,NĐ!AA92,NĐ!AG92,NĐ!AM92))=4)*(CHOOSE({1,2,3,4},NĐ!X92,NĐ!AD92,NĐ!AJ92,NĐ!AP92)))</f>
        <v>0</v>
      </c>
      <c r="E92">
        <f>SUMPRODUCT((MONTH(CHOOSE({1,2,3,4},NĐ!U92,NĐ!AA92,NĐ!AG92,NĐ!AM92))=5)*(CHOOSE({1,2,3,4},NĐ!X92,NĐ!AD92,NĐ!AJ92,NĐ!AP92)))</f>
        <v>0</v>
      </c>
      <c r="F92">
        <f>SUMPRODUCT((MONTH(CHOOSE({1,2,3,4},NĐ!U92,NĐ!AA92,NĐ!AG92,NĐ!AM92))=6)*(CHOOSE({1,2,3,4},NĐ!X92,NĐ!AD92,NĐ!AJ92,NĐ!AP92)))</f>
        <v>0</v>
      </c>
      <c r="G92">
        <f>SUMPRODUCT((MONTH(CHOOSE({1,2,3,4},NĐ!U92,NĐ!AA92,NĐ!AG92,NĐ!AM92))=7)*(CHOOSE({1,2,3,4},NĐ!X92,NĐ!AD92,NĐ!AJ92,NĐ!AP92)))</f>
        <v>0</v>
      </c>
      <c r="H92">
        <f>SUMPRODUCT((MONTH(CHOOSE({1,2,3,4},NĐ!U92,NĐ!AA92,NĐ!AG92,NĐ!AM92))=8)*(CHOOSE({1,2,3,4},NĐ!X92,NĐ!AD92,NĐ!AJ92,NĐ!AP92)))</f>
        <v>0</v>
      </c>
      <c r="I92">
        <f>SUMPRODUCT((MONTH(CHOOSE({1,2,3,4},NĐ!U92,NĐ!AA92,NĐ!AG92,NĐ!AM92))=9)*(CHOOSE({1,2,3,4},NĐ!X92,NĐ!AD92,NĐ!AJ92,NĐ!AP92)))</f>
        <v>0</v>
      </c>
      <c r="J92">
        <f>SUMPRODUCT((MONTH(CHOOSE({1,2,3,4},NĐ!U92,NĐ!AA92,NĐ!AG92,NĐ!AM92))=10)*(CHOOSE({1,2,3,4},NĐ!X92,NĐ!AD92,NĐ!AJ92,NĐ!AP92)))</f>
        <v>0</v>
      </c>
      <c r="K92">
        <f>SUMPRODUCT((MONTH(CHOOSE({1,2,3,4},NĐ!U92,NĐ!AA92,NĐ!AG92,NĐ!AM92))=11)*(CHOOSE({1,2,3,4},NĐ!X92,NĐ!AD92,NĐ!AJ92,NĐ!AP92)))</f>
        <v>0</v>
      </c>
      <c r="L92">
        <f>SUMPRODUCT((MONTH(CHOOSE({1,2,3,4},NĐ!U92,NĐ!AA92,NĐ!AG92,NĐ!AM92))=12)*(CHOOSE({1,2,3,4},NĐ!X92,NĐ!AD92,NĐ!AJ92,NĐ!AP92)))</f>
        <v>0</v>
      </c>
    </row>
    <row r="93" spans="1:12">
      <c r="A93">
        <f>SUMPRODUCT((MONTH(CHOOSE({1,2,3,4},NĐ!U93,NĐ!AA93,NĐ!AG93,NĐ!AM93))=1)*(CHOOSE({1,2,3,4},NĐ!X93,NĐ!AD93,NĐ!AJ93,NĐ!AP93)))</f>
        <v>0</v>
      </c>
      <c r="B93">
        <f>SUMPRODUCT((MONTH(CHOOSE({1,2,3,4},NĐ!U93,NĐ!AA93,NĐ!AG93,NĐ!AM93))=2)*(CHOOSE({1,2,3,4},NĐ!X93,NĐ!AD93,NĐ!AJ93,NĐ!AP93)))</f>
        <v>0</v>
      </c>
      <c r="C93">
        <f>SUMPRODUCT((MONTH(CHOOSE({1,2,3,4},NĐ!U93,NĐ!AA93,NĐ!AG93,NĐ!AM93))=3)*(CHOOSE({1,2,3,4},NĐ!X93,NĐ!AD93,NĐ!AJ93,NĐ!AP93)))</f>
        <v>0</v>
      </c>
      <c r="D93">
        <f>SUMPRODUCT((MONTH(CHOOSE({1,2,3,4},NĐ!U93,NĐ!AA93,NĐ!AG93,NĐ!AM93))=4)*(CHOOSE({1,2,3,4},NĐ!X93,NĐ!AD93,NĐ!AJ93,NĐ!AP93)))</f>
        <v>0</v>
      </c>
      <c r="E93">
        <f>SUMPRODUCT((MONTH(CHOOSE({1,2,3,4},NĐ!U93,NĐ!AA93,NĐ!AG93,NĐ!AM93))=5)*(CHOOSE({1,2,3,4},NĐ!X93,NĐ!AD93,NĐ!AJ93,NĐ!AP93)))</f>
        <v>0</v>
      </c>
      <c r="F93">
        <f>SUMPRODUCT((MONTH(CHOOSE({1,2,3,4},NĐ!U93,NĐ!AA93,NĐ!AG93,NĐ!AM93))=6)*(CHOOSE({1,2,3,4},NĐ!X93,NĐ!AD93,NĐ!AJ93,NĐ!AP93)))</f>
        <v>0</v>
      </c>
      <c r="G93">
        <f>SUMPRODUCT((MONTH(CHOOSE({1,2,3,4},NĐ!U93,NĐ!AA93,NĐ!AG93,NĐ!AM93))=7)*(CHOOSE({1,2,3,4},NĐ!X93,NĐ!AD93,NĐ!AJ93,NĐ!AP93)))</f>
        <v>0</v>
      </c>
      <c r="H93">
        <f>SUMPRODUCT((MONTH(CHOOSE({1,2,3,4},NĐ!U93,NĐ!AA93,NĐ!AG93,NĐ!AM93))=8)*(CHOOSE({1,2,3,4},NĐ!X93,NĐ!AD93,NĐ!AJ93,NĐ!AP93)))</f>
        <v>0</v>
      </c>
      <c r="I93">
        <f>SUMPRODUCT((MONTH(CHOOSE({1,2,3,4},NĐ!U93,NĐ!AA93,NĐ!AG93,NĐ!AM93))=9)*(CHOOSE({1,2,3,4},NĐ!X93,NĐ!AD93,NĐ!AJ93,NĐ!AP93)))</f>
        <v>0</v>
      </c>
      <c r="J93">
        <f>SUMPRODUCT((MONTH(CHOOSE({1,2,3,4},NĐ!U93,NĐ!AA93,NĐ!AG93,NĐ!AM93))=10)*(CHOOSE({1,2,3,4},NĐ!X93,NĐ!AD93,NĐ!AJ93,NĐ!AP93)))</f>
        <v>0</v>
      </c>
      <c r="K93">
        <f>SUMPRODUCT((MONTH(CHOOSE({1,2,3,4},NĐ!U93,NĐ!AA93,NĐ!AG93,NĐ!AM93))=11)*(CHOOSE({1,2,3,4},NĐ!X93,NĐ!AD93,NĐ!AJ93,NĐ!AP93)))</f>
        <v>0</v>
      </c>
      <c r="L93">
        <f>SUMPRODUCT((MONTH(CHOOSE({1,2,3,4},NĐ!U93,NĐ!AA93,NĐ!AG93,NĐ!AM93))=12)*(CHOOSE({1,2,3,4},NĐ!X93,NĐ!AD93,NĐ!AJ93,NĐ!AP93)))</f>
        <v>0</v>
      </c>
    </row>
    <row r="94" spans="1:12">
      <c r="A94">
        <f>SUMPRODUCT((MONTH(CHOOSE({1,2,3,4},NĐ!U94,NĐ!AA94,NĐ!AG94,NĐ!AM94))=1)*(CHOOSE({1,2,3,4},NĐ!X94,NĐ!AD94,NĐ!AJ94,NĐ!AP94)))</f>
        <v>0</v>
      </c>
      <c r="B94">
        <f>SUMPRODUCT((MONTH(CHOOSE({1,2,3,4},NĐ!U94,NĐ!AA94,NĐ!AG94,NĐ!AM94))=2)*(CHOOSE({1,2,3,4},NĐ!X94,NĐ!AD94,NĐ!AJ94,NĐ!AP94)))</f>
        <v>0</v>
      </c>
      <c r="C94">
        <f>SUMPRODUCT((MONTH(CHOOSE({1,2,3,4},NĐ!U94,NĐ!AA94,NĐ!AG94,NĐ!AM94))=3)*(CHOOSE({1,2,3,4},NĐ!X94,NĐ!AD94,NĐ!AJ94,NĐ!AP94)))</f>
        <v>0</v>
      </c>
      <c r="D94">
        <f>SUMPRODUCT((MONTH(CHOOSE({1,2,3,4},NĐ!U94,NĐ!AA94,NĐ!AG94,NĐ!AM94))=4)*(CHOOSE({1,2,3,4},NĐ!X94,NĐ!AD94,NĐ!AJ94,NĐ!AP94)))</f>
        <v>0</v>
      </c>
      <c r="E94">
        <f>SUMPRODUCT((MONTH(CHOOSE({1,2,3,4},NĐ!U94,NĐ!AA94,NĐ!AG94,NĐ!AM94))=5)*(CHOOSE({1,2,3,4},NĐ!X94,NĐ!AD94,NĐ!AJ94,NĐ!AP94)))</f>
        <v>0</v>
      </c>
      <c r="F94">
        <f>SUMPRODUCT((MONTH(CHOOSE({1,2,3,4},NĐ!U94,NĐ!AA94,NĐ!AG94,NĐ!AM94))=6)*(CHOOSE({1,2,3,4},NĐ!X94,NĐ!AD94,NĐ!AJ94,NĐ!AP94)))</f>
        <v>0</v>
      </c>
      <c r="G94">
        <f>SUMPRODUCT((MONTH(CHOOSE({1,2,3,4},NĐ!U94,NĐ!AA94,NĐ!AG94,NĐ!AM94))=7)*(CHOOSE({1,2,3,4},NĐ!X94,NĐ!AD94,NĐ!AJ94,NĐ!AP94)))</f>
        <v>0</v>
      </c>
      <c r="H94">
        <f>SUMPRODUCT((MONTH(CHOOSE({1,2,3,4},NĐ!U94,NĐ!AA94,NĐ!AG94,NĐ!AM94))=8)*(CHOOSE({1,2,3,4},NĐ!X94,NĐ!AD94,NĐ!AJ94,NĐ!AP94)))</f>
        <v>0</v>
      </c>
      <c r="I94">
        <f>SUMPRODUCT((MONTH(CHOOSE({1,2,3,4},NĐ!U94,NĐ!AA94,NĐ!AG94,NĐ!AM94))=9)*(CHOOSE({1,2,3,4},NĐ!X94,NĐ!AD94,NĐ!AJ94,NĐ!AP94)))</f>
        <v>0</v>
      </c>
      <c r="J94">
        <f>SUMPRODUCT((MONTH(CHOOSE({1,2,3,4},NĐ!U94,NĐ!AA94,NĐ!AG94,NĐ!AM94))=10)*(CHOOSE({1,2,3,4},NĐ!X94,NĐ!AD94,NĐ!AJ94,NĐ!AP94)))</f>
        <v>0</v>
      </c>
      <c r="K94">
        <f>SUMPRODUCT((MONTH(CHOOSE({1,2,3,4},NĐ!U94,NĐ!AA94,NĐ!AG94,NĐ!AM94))=11)*(CHOOSE({1,2,3,4},NĐ!X94,NĐ!AD94,NĐ!AJ94,NĐ!AP94)))</f>
        <v>0</v>
      </c>
      <c r="L94">
        <f>SUMPRODUCT((MONTH(CHOOSE({1,2,3,4},NĐ!U94,NĐ!AA94,NĐ!AG94,NĐ!AM94))=12)*(CHOOSE({1,2,3,4},NĐ!X94,NĐ!AD94,NĐ!AJ94,NĐ!AP94)))</f>
        <v>0</v>
      </c>
    </row>
    <row r="95" spans="1:12">
      <c r="A95">
        <f>SUMPRODUCT((MONTH(CHOOSE({1,2,3,4},NĐ!U95,NĐ!AA95,NĐ!AG95,NĐ!AM95))=1)*(CHOOSE({1,2,3,4},NĐ!X95,NĐ!AD95,NĐ!AJ95,NĐ!AP95)))</f>
        <v>0</v>
      </c>
      <c r="B95">
        <f>SUMPRODUCT((MONTH(CHOOSE({1,2,3,4},NĐ!U95,NĐ!AA95,NĐ!AG95,NĐ!AM95))=2)*(CHOOSE({1,2,3,4},NĐ!X95,NĐ!AD95,NĐ!AJ95,NĐ!AP95)))</f>
        <v>0</v>
      </c>
      <c r="C95">
        <f>SUMPRODUCT((MONTH(CHOOSE({1,2,3,4},NĐ!U95,NĐ!AA95,NĐ!AG95,NĐ!AM95))=3)*(CHOOSE({1,2,3,4},NĐ!X95,NĐ!AD95,NĐ!AJ95,NĐ!AP95)))</f>
        <v>0</v>
      </c>
      <c r="D95">
        <f>SUMPRODUCT((MONTH(CHOOSE({1,2,3,4},NĐ!U95,NĐ!AA95,NĐ!AG95,NĐ!AM95))=4)*(CHOOSE({1,2,3,4},NĐ!X95,NĐ!AD95,NĐ!AJ95,NĐ!AP95)))</f>
        <v>0</v>
      </c>
      <c r="E95">
        <f>SUMPRODUCT((MONTH(CHOOSE({1,2,3,4},NĐ!U95,NĐ!AA95,NĐ!AG95,NĐ!AM95))=5)*(CHOOSE({1,2,3,4},NĐ!X95,NĐ!AD95,NĐ!AJ95,NĐ!AP95)))</f>
        <v>0</v>
      </c>
      <c r="F95">
        <f>SUMPRODUCT((MONTH(CHOOSE({1,2,3,4},NĐ!U95,NĐ!AA95,NĐ!AG95,NĐ!AM95))=6)*(CHOOSE({1,2,3,4},NĐ!X95,NĐ!AD95,NĐ!AJ95,NĐ!AP95)))</f>
        <v>0</v>
      </c>
      <c r="G95">
        <f>SUMPRODUCT((MONTH(CHOOSE({1,2,3,4},NĐ!U95,NĐ!AA95,NĐ!AG95,NĐ!AM95))=7)*(CHOOSE({1,2,3,4},NĐ!X95,NĐ!AD95,NĐ!AJ95,NĐ!AP95)))</f>
        <v>0</v>
      </c>
      <c r="H95">
        <f>SUMPRODUCT((MONTH(CHOOSE({1,2,3,4},NĐ!U95,NĐ!AA95,NĐ!AG95,NĐ!AM95))=8)*(CHOOSE({1,2,3,4},NĐ!X95,NĐ!AD95,NĐ!AJ95,NĐ!AP95)))</f>
        <v>0</v>
      </c>
      <c r="I95">
        <f>SUMPRODUCT((MONTH(CHOOSE({1,2,3,4},NĐ!U95,NĐ!AA95,NĐ!AG95,NĐ!AM95))=9)*(CHOOSE({1,2,3,4},NĐ!X95,NĐ!AD95,NĐ!AJ95,NĐ!AP95)))</f>
        <v>0</v>
      </c>
      <c r="J95">
        <f>SUMPRODUCT((MONTH(CHOOSE({1,2,3,4},NĐ!U95,NĐ!AA95,NĐ!AG95,NĐ!AM95))=10)*(CHOOSE({1,2,3,4},NĐ!X95,NĐ!AD95,NĐ!AJ95,NĐ!AP95)))</f>
        <v>0</v>
      </c>
      <c r="K95">
        <f>SUMPRODUCT((MONTH(CHOOSE({1,2,3,4},NĐ!U95,NĐ!AA95,NĐ!AG95,NĐ!AM95))=11)*(CHOOSE({1,2,3,4},NĐ!X95,NĐ!AD95,NĐ!AJ95,NĐ!AP95)))</f>
        <v>0</v>
      </c>
      <c r="L95">
        <f>SUMPRODUCT((MONTH(CHOOSE({1,2,3,4},NĐ!U95,NĐ!AA95,NĐ!AG95,NĐ!AM95))=12)*(CHOOSE({1,2,3,4},NĐ!X95,NĐ!AD95,NĐ!AJ95,NĐ!AP95)))</f>
        <v>0</v>
      </c>
    </row>
    <row r="96" spans="1:12">
      <c r="A96">
        <f>SUMPRODUCT((MONTH(CHOOSE({1,2,3,4},NĐ!U96,NĐ!AA96,NĐ!AG96,NĐ!AM96))=1)*(CHOOSE({1,2,3,4},NĐ!X96,NĐ!AD96,NĐ!AJ96,NĐ!AP96)))</f>
        <v>0</v>
      </c>
      <c r="B96">
        <f>SUMPRODUCT((MONTH(CHOOSE({1,2,3,4},NĐ!U96,NĐ!AA96,NĐ!AG96,NĐ!AM96))=2)*(CHOOSE({1,2,3,4},NĐ!X96,NĐ!AD96,NĐ!AJ96,NĐ!AP96)))</f>
        <v>0</v>
      </c>
      <c r="C96">
        <f>SUMPRODUCT((MONTH(CHOOSE({1,2,3,4},NĐ!U96,NĐ!AA96,NĐ!AG96,NĐ!AM96))=3)*(CHOOSE({1,2,3,4},NĐ!X96,NĐ!AD96,NĐ!AJ96,NĐ!AP96)))</f>
        <v>0</v>
      </c>
      <c r="D96">
        <f>SUMPRODUCT((MONTH(CHOOSE({1,2,3,4},NĐ!U96,NĐ!AA96,NĐ!AG96,NĐ!AM96))=4)*(CHOOSE({1,2,3,4},NĐ!X96,NĐ!AD96,NĐ!AJ96,NĐ!AP96)))</f>
        <v>0</v>
      </c>
      <c r="E96">
        <f>SUMPRODUCT((MONTH(CHOOSE({1,2,3,4},NĐ!U96,NĐ!AA96,NĐ!AG96,NĐ!AM96))=5)*(CHOOSE({1,2,3,4},NĐ!X96,NĐ!AD96,NĐ!AJ96,NĐ!AP96)))</f>
        <v>0</v>
      </c>
      <c r="F96">
        <f>SUMPRODUCT((MONTH(CHOOSE({1,2,3,4},NĐ!U96,NĐ!AA96,NĐ!AG96,NĐ!AM96))=6)*(CHOOSE({1,2,3,4},NĐ!X96,NĐ!AD96,NĐ!AJ96,NĐ!AP96)))</f>
        <v>0</v>
      </c>
      <c r="G96">
        <f>SUMPRODUCT((MONTH(CHOOSE({1,2,3,4},NĐ!U96,NĐ!AA96,NĐ!AG96,NĐ!AM96))=7)*(CHOOSE({1,2,3,4},NĐ!X96,NĐ!AD96,NĐ!AJ96,NĐ!AP96)))</f>
        <v>0</v>
      </c>
      <c r="H96">
        <f>SUMPRODUCT((MONTH(CHOOSE({1,2,3,4},NĐ!U96,NĐ!AA96,NĐ!AG96,NĐ!AM96))=8)*(CHOOSE({1,2,3,4},NĐ!X96,NĐ!AD96,NĐ!AJ96,NĐ!AP96)))</f>
        <v>0</v>
      </c>
      <c r="I96">
        <f>SUMPRODUCT((MONTH(CHOOSE({1,2,3,4},NĐ!U96,NĐ!AA96,NĐ!AG96,NĐ!AM96))=9)*(CHOOSE({1,2,3,4},NĐ!X96,NĐ!AD96,NĐ!AJ96,NĐ!AP96)))</f>
        <v>0</v>
      </c>
      <c r="J96">
        <f>SUMPRODUCT((MONTH(CHOOSE({1,2,3,4},NĐ!U96,NĐ!AA96,NĐ!AG96,NĐ!AM96))=10)*(CHOOSE({1,2,3,4},NĐ!X96,NĐ!AD96,NĐ!AJ96,NĐ!AP96)))</f>
        <v>0</v>
      </c>
      <c r="K96">
        <f>SUMPRODUCT((MONTH(CHOOSE({1,2,3,4},NĐ!U96,NĐ!AA96,NĐ!AG96,NĐ!AM96))=11)*(CHOOSE({1,2,3,4},NĐ!X96,NĐ!AD96,NĐ!AJ96,NĐ!AP96)))</f>
        <v>0</v>
      </c>
      <c r="L96">
        <f>SUMPRODUCT((MONTH(CHOOSE({1,2,3,4},NĐ!U96,NĐ!AA96,NĐ!AG96,NĐ!AM96))=12)*(CHOOSE({1,2,3,4},NĐ!X96,NĐ!AD96,NĐ!AJ96,NĐ!AP96)))</f>
        <v>0</v>
      </c>
    </row>
    <row r="97" spans="1:12">
      <c r="A97">
        <f>SUMPRODUCT((MONTH(CHOOSE({1,2,3,4},NĐ!U97,NĐ!AA97,NĐ!AG97,NĐ!AM97))=1)*(CHOOSE({1,2,3,4},NĐ!X97,NĐ!AD97,NĐ!AJ97,NĐ!AP97)))</f>
        <v>0</v>
      </c>
      <c r="B97">
        <f>SUMPRODUCT((MONTH(CHOOSE({1,2,3,4},NĐ!U97,NĐ!AA97,NĐ!AG97,NĐ!AM97))=2)*(CHOOSE({1,2,3,4},NĐ!X97,NĐ!AD97,NĐ!AJ97,NĐ!AP97)))</f>
        <v>0</v>
      </c>
      <c r="C97">
        <f>SUMPRODUCT((MONTH(CHOOSE({1,2,3,4},NĐ!U97,NĐ!AA97,NĐ!AG97,NĐ!AM97))=3)*(CHOOSE({1,2,3,4},NĐ!X97,NĐ!AD97,NĐ!AJ97,NĐ!AP97)))</f>
        <v>0</v>
      </c>
      <c r="D97">
        <f>SUMPRODUCT((MONTH(CHOOSE({1,2,3,4},NĐ!U97,NĐ!AA97,NĐ!AG97,NĐ!AM97))=4)*(CHOOSE({1,2,3,4},NĐ!X97,NĐ!AD97,NĐ!AJ97,NĐ!AP97)))</f>
        <v>0</v>
      </c>
      <c r="E97">
        <f>SUMPRODUCT((MONTH(CHOOSE({1,2,3,4},NĐ!U97,NĐ!AA97,NĐ!AG97,NĐ!AM97))=5)*(CHOOSE({1,2,3,4},NĐ!X97,NĐ!AD97,NĐ!AJ97,NĐ!AP97)))</f>
        <v>0</v>
      </c>
      <c r="F97">
        <f>SUMPRODUCT((MONTH(CHOOSE({1,2,3,4},NĐ!U97,NĐ!AA97,NĐ!AG97,NĐ!AM97))=6)*(CHOOSE({1,2,3,4},NĐ!X97,NĐ!AD97,NĐ!AJ97,NĐ!AP97)))</f>
        <v>0</v>
      </c>
      <c r="G97">
        <f>SUMPRODUCT((MONTH(CHOOSE({1,2,3,4},NĐ!U97,NĐ!AA97,NĐ!AG97,NĐ!AM97))=7)*(CHOOSE({1,2,3,4},NĐ!X97,NĐ!AD97,NĐ!AJ97,NĐ!AP97)))</f>
        <v>0</v>
      </c>
      <c r="H97">
        <f>SUMPRODUCT((MONTH(CHOOSE({1,2,3,4},NĐ!U97,NĐ!AA97,NĐ!AG97,NĐ!AM97))=8)*(CHOOSE({1,2,3,4},NĐ!X97,NĐ!AD97,NĐ!AJ97,NĐ!AP97)))</f>
        <v>0</v>
      </c>
      <c r="I97">
        <f>SUMPRODUCT((MONTH(CHOOSE({1,2,3,4},NĐ!U97,NĐ!AA97,NĐ!AG97,NĐ!AM97))=9)*(CHOOSE({1,2,3,4},NĐ!X97,NĐ!AD97,NĐ!AJ97,NĐ!AP97)))</f>
        <v>0</v>
      </c>
      <c r="J97">
        <f>SUMPRODUCT((MONTH(CHOOSE({1,2,3,4},NĐ!U97,NĐ!AA97,NĐ!AG97,NĐ!AM97))=10)*(CHOOSE({1,2,3,4},NĐ!X97,NĐ!AD97,NĐ!AJ97,NĐ!AP97)))</f>
        <v>0</v>
      </c>
      <c r="K97">
        <f>SUMPRODUCT((MONTH(CHOOSE({1,2,3,4},NĐ!U97,NĐ!AA97,NĐ!AG97,NĐ!AM97))=11)*(CHOOSE({1,2,3,4},NĐ!X97,NĐ!AD97,NĐ!AJ97,NĐ!AP97)))</f>
        <v>0</v>
      </c>
      <c r="L97">
        <f>SUMPRODUCT((MONTH(CHOOSE({1,2,3,4},NĐ!U97,NĐ!AA97,NĐ!AG97,NĐ!AM97))=12)*(CHOOSE({1,2,3,4},NĐ!X97,NĐ!AD97,NĐ!AJ97,NĐ!AP97)))</f>
        <v>0</v>
      </c>
    </row>
    <row r="98" spans="1:12">
      <c r="A98">
        <f>SUMPRODUCT((MONTH(CHOOSE({1,2,3,4},NĐ!U98,NĐ!AA98,NĐ!AG98,NĐ!AM98))=1)*(CHOOSE({1,2,3,4},NĐ!X98,NĐ!AD98,NĐ!AJ98,NĐ!AP98)))</f>
        <v>0</v>
      </c>
      <c r="B98">
        <f>SUMPRODUCT((MONTH(CHOOSE({1,2,3,4},NĐ!U98,NĐ!AA98,NĐ!AG98,NĐ!AM98))=2)*(CHOOSE({1,2,3,4},NĐ!X98,NĐ!AD98,NĐ!AJ98,NĐ!AP98)))</f>
        <v>0</v>
      </c>
      <c r="C98">
        <f>SUMPRODUCT((MONTH(CHOOSE({1,2,3,4},NĐ!U98,NĐ!AA98,NĐ!AG98,NĐ!AM98))=3)*(CHOOSE({1,2,3,4},NĐ!X98,NĐ!AD98,NĐ!AJ98,NĐ!AP98)))</f>
        <v>0</v>
      </c>
      <c r="D98">
        <f>SUMPRODUCT((MONTH(CHOOSE({1,2,3,4},NĐ!U98,NĐ!AA98,NĐ!AG98,NĐ!AM98))=4)*(CHOOSE({1,2,3,4},NĐ!X98,NĐ!AD98,NĐ!AJ98,NĐ!AP98)))</f>
        <v>0</v>
      </c>
      <c r="E98">
        <f>SUMPRODUCT((MONTH(CHOOSE({1,2,3,4},NĐ!U98,NĐ!AA98,NĐ!AG98,NĐ!AM98))=5)*(CHOOSE({1,2,3,4},NĐ!X98,NĐ!AD98,NĐ!AJ98,NĐ!AP98)))</f>
        <v>0</v>
      </c>
      <c r="F98">
        <f>SUMPRODUCT((MONTH(CHOOSE({1,2,3,4},NĐ!U98,NĐ!AA98,NĐ!AG98,NĐ!AM98))=6)*(CHOOSE({1,2,3,4},NĐ!X98,NĐ!AD98,NĐ!AJ98,NĐ!AP98)))</f>
        <v>0</v>
      </c>
      <c r="G98">
        <f>SUMPRODUCT((MONTH(CHOOSE({1,2,3,4},NĐ!U98,NĐ!AA98,NĐ!AG98,NĐ!AM98))=7)*(CHOOSE({1,2,3,4},NĐ!X98,NĐ!AD98,NĐ!AJ98,NĐ!AP98)))</f>
        <v>0</v>
      </c>
      <c r="H98">
        <f>SUMPRODUCT((MONTH(CHOOSE({1,2,3,4},NĐ!U98,NĐ!AA98,NĐ!AG98,NĐ!AM98))=8)*(CHOOSE({1,2,3,4},NĐ!X98,NĐ!AD98,NĐ!AJ98,NĐ!AP98)))</f>
        <v>0</v>
      </c>
      <c r="I98">
        <f>SUMPRODUCT((MONTH(CHOOSE({1,2,3,4},NĐ!U98,NĐ!AA98,NĐ!AG98,NĐ!AM98))=9)*(CHOOSE({1,2,3,4},NĐ!X98,NĐ!AD98,NĐ!AJ98,NĐ!AP98)))</f>
        <v>0</v>
      </c>
      <c r="J98">
        <f>SUMPRODUCT((MONTH(CHOOSE({1,2,3,4},NĐ!U98,NĐ!AA98,NĐ!AG98,NĐ!AM98))=10)*(CHOOSE({1,2,3,4},NĐ!X98,NĐ!AD98,NĐ!AJ98,NĐ!AP98)))</f>
        <v>0</v>
      </c>
      <c r="K98">
        <f>SUMPRODUCT((MONTH(CHOOSE({1,2,3,4},NĐ!U98,NĐ!AA98,NĐ!AG98,NĐ!AM98))=11)*(CHOOSE({1,2,3,4},NĐ!X98,NĐ!AD98,NĐ!AJ98,NĐ!AP98)))</f>
        <v>0</v>
      </c>
      <c r="L98">
        <f>SUMPRODUCT((MONTH(CHOOSE({1,2,3,4},NĐ!U98,NĐ!AA98,NĐ!AG98,NĐ!AM98))=12)*(CHOOSE({1,2,3,4},NĐ!X98,NĐ!AD98,NĐ!AJ98,NĐ!AP98)))</f>
        <v>0</v>
      </c>
    </row>
    <row r="99" spans="1:12">
      <c r="A99">
        <f>SUMPRODUCT((MONTH(CHOOSE({1,2,3,4},NĐ!U99,NĐ!AA99,NĐ!AG99,NĐ!AM99))=1)*(CHOOSE({1,2,3,4},NĐ!X99,NĐ!AD99,NĐ!AJ99,NĐ!AP99)))</f>
        <v>0</v>
      </c>
      <c r="B99">
        <f>SUMPRODUCT((MONTH(CHOOSE({1,2,3,4},NĐ!U99,NĐ!AA99,NĐ!AG99,NĐ!AM99))=2)*(CHOOSE({1,2,3,4},NĐ!X99,NĐ!AD99,NĐ!AJ99,NĐ!AP99)))</f>
        <v>0</v>
      </c>
      <c r="C99">
        <f>SUMPRODUCT((MONTH(CHOOSE({1,2,3,4},NĐ!U99,NĐ!AA99,NĐ!AG99,NĐ!AM99))=3)*(CHOOSE({1,2,3,4},NĐ!X99,NĐ!AD99,NĐ!AJ99,NĐ!AP99)))</f>
        <v>0</v>
      </c>
      <c r="D99">
        <f>SUMPRODUCT((MONTH(CHOOSE({1,2,3,4},NĐ!U99,NĐ!AA99,NĐ!AG99,NĐ!AM99))=4)*(CHOOSE({1,2,3,4},NĐ!X99,NĐ!AD99,NĐ!AJ99,NĐ!AP99)))</f>
        <v>0</v>
      </c>
      <c r="E99">
        <f>SUMPRODUCT((MONTH(CHOOSE({1,2,3,4},NĐ!U99,NĐ!AA99,NĐ!AG99,NĐ!AM99))=5)*(CHOOSE({1,2,3,4},NĐ!X99,NĐ!AD99,NĐ!AJ99,NĐ!AP99)))</f>
        <v>0</v>
      </c>
      <c r="F99">
        <f>SUMPRODUCT((MONTH(CHOOSE({1,2,3,4},NĐ!U99,NĐ!AA99,NĐ!AG99,NĐ!AM99))=6)*(CHOOSE({1,2,3,4},NĐ!X99,NĐ!AD99,NĐ!AJ99,NĐ!AP99)))</f>
        <v>0</v>
      </c>
      <c r="G99">
        <f>SUMPRODUCT((MONTH(CHOOSE({1,2,3,4},NĐ!U99,NĐ!AA99,NĐ!AG99,NĐ!AM99))=7)*(CHOOSE({1,2,3,4},NĐ!X99,NĐ!AD99,NĐ!AJ99,NĐ!AP99)))</f>
        <v>0</v>
      </c>
      <c r="H99">
        <f>SUMPRODUCT((MONTH(CHOOSE({1,2,3,4},NĐ!U99,NĐ!AA99,NĐ!AG99,NĐ!AM99))=8)*(CHOOSE({1,2,3,4},NĐ!X99,NĐ!AD99,NĐ!AJ99,NĐ!AP99)))</f>
        <v>0</v>
      </c>
      <c r="I99">
        <f>SUMPRODUCT((MONTH(CHOOSE({1,2,3,4},NĐ!U99,NĐ!AA99,NĐ!AG99,NĐ!AM99))=9)*(CHOOSE({1,2,3,4},NĐ!X99,NĐ!AD99,NĐ!AJ99,NĐ!AP99)))</f>
        <v>0</v>
      </c>
      <c r="J99">
        <f>SUMPRODUCT((MONTH(CHOOSE({1,2,3,4},NĐ!U99,NĐ!AA99,NĐ!AG99,NĐ!AM99))=10)*(CHOOSE({1,2,3,4},NĐ!X99,NĐ!AD99,NĐ!AJ99,NĐ!AP99)))</f>
        <v>0</v>
      </c>
      <c r="K99">
        <f>SUMPRODUCT((MONTH(CHOOSE({1,2,3,4},NĐ!U99,NĐ!AA99,NĐ!AG99,NĐ!AM99))=11)*(CHOOSE({1,2,3,4},NĐ!X99,NĐ!AD99,NĐ!AJ99,NĐ!AP99)))</f>
        <v>0</v>
      </c>
      <c r="L99">
        <f>SUMPRODUCT((MONTH(CHOOSE({1,2,3,4},NĐ!U99,NĐ!AA99,NĐ!AG99,NĐ!AM99))=12)*(CHOOSE({1,2,3,4},NĐ!X99,NĐ!AD99,NĐ!AJ99,NĐ!AP99)))</f>
        <v>0</v>
      </c>
    </row>
    <row r="100" spans="1:12">
      <c r="A100">
        <f>SUMPRODUCT((MONTH(CHOOSE({1,2,3,4},NĐ!U100,NĐ!AA100,NĐ!AG100,NĐ!AM100))=1)*(CHOOSE({1,2,3,4},NĐ!X100,NĐ!AD100,NĐ!AJ100,NĐ!AP100)))</f>
        <v>0</v>
      </c>
      <c r="B100">
        <f>SUMPRODUCT((MONTH(CHOOSE({1,2,3,4},NĐ!U100,NĐ!AA100,NĐ!AG100,NĐ!AM100))=2)*(CHOOSE({1,2,3,4},NĐ!X100,NĐ!AD100,NĐ!AJ100,NĐ!AP100)))</f>
        <v>0</v>
      </c>
      <c r="C100">
        <f>SUMPRODUCT((MONTH(CHOOSE({1,2,3,4},NĐ!U100,NĐ!AA100,NĐ!AG100,NĐ!AM100))=3)*(CHOOSE({1,2,3,4},NĐ!X100,NĐ!AD100,NĐ!AJ100,NĐ!AP100)))</f>
        <v>0</v>
      </c>
      <c r="D100">
        <f>SUMPRODUCT((MONTH(CHOOSE({1,2,3,4},NĐ!U100,NĐ!AA100,NĐ!AG100,NĐ!AM100))=4)*(CHOOSE({1,2,3,4},NĐ!X100,NĐ!AD100,NĐ!AJ100,NĐ!AP100)))</f>
        <v>0</v>
      </c>
      <c r="E100">
        <f>SUMPRODUCT((MONTH(CHOOSE({1,2,3,4},NĐ!U100,NĐ!AA100,NĐ!AG100,NĐ!AM100))=5)*(CHOOSE({1,2,3,4},NĐ!X100,NĐ!AD100,NĐ!AJ100,NĐ!AP100)))</f>
        <v>0</v>
      </c>
      <c r="F100">
        <f>SUMPRODUCT((MONTH(CHOOSE({1,2,3,4},NĐ!U100,NĐ!AA100,NĐ!AG100,NĐ!AM100))=6)*(CHOOSE({1,2,3,4},NĐ!X100,NĐ!AD100,NĐ!AJ100,NĐ!AP100)))</f>
        <v>0</v>
      </c>
      <c r="G100">
        <f>SUMPRODUCT((MONTH(CHOOSE({1,2,3,4},NĐ!U100,NĐ!AA100,NĐ!AG100,NĐ!AM100))=7)*(CHOOSE({1,2,3,4},NĐ!X100,NĐ!AD100,NĐ!AJ100,NĐ!AP100)))</f>
        <v>0</v>
      </c>
      <c r="H100">
        <f>SUMPRODUCT((MONTH(CHOOSE({1,2,3,4},NĐ!U100,NĐ!AA100,NĐ!AG100,NĐ!AM100))=8)*(CHOOSE({1,2,3,4},NĐ!X100,NĐ!AD100,NĐ!AJ100,NĐ!AP100)))</f>
        <v>0</v>
      </c>
      <c r="I100">
        <f>SUMPRODUCT((MONTH(CHOOSE({1,2,3,4},NĐ!U100,NĐ!AA100,NĐ!AG100,NĐ!AM100))=9)*(CHOOSE({1,2,3,4},NĐ!X100,NĐ!AD100,NĐ!AJ100,NĐ!AP100)))</f>
        <v>0</v>
      </c>
      <c r="J100">
        <f>SUMPRODUCT((MONTH(CHOOSE({1,2,3,4},NĐ!U100,NĐ!AA100,NĐ!AG100,NĐ!AM100))=10)*(CHOOSE({1,2,3,4},NĐ!X100,NĐ!AD100,NĐ!AJ100,NĐ!AP100)))</f>
        <v>0</v>
      </c>
      <c r="K100">
        <f>SUMPRODUCT((MONTH(CHOOSE({1,2,3,4},NĐ!U100,NĐ!AA100,NĐ!AG100,NĐ!AM100))=11)*(CHOOSE({1,2,3,4},NĐ!X100,NĐ!AD100,NĐ!AJ100,NĐ!AP100)))</f>
        <v>0</v>
      </c>
      <c r="L100">
        <f>SUMPRODUCT((MONTH(CHOOSE({1,2,3,4},NĐ!U100,NĐ!AA100,NĐ!AG100,NĐ!AM100))=12)*(CHOOSE({1,2,3,4},NĐ!X100,NĐ!AD100,NĐ!AJ100,NĐ!AP100)))</f>
        <v>0</v>
      </c>
    </row>
    <row r="101" spans="1:12">
      <c r="A101">
        <f>SUMPRODUCT((MONTH(CHOOSE({1,2,3,4},NĐ!U101,NĐ!AA101,NĐ!AG101,NĐ!AM101))=1)*(CHOOSE({1,2,3,4},NĐ!X101,NĐ!AD101,NĐ!AJ101,NĐ!AP101)))</f>
        <v>0</v>
      </c>
      <c r="B101">
        <f>SUMPRODUCT((MONTH(CHOOSE({1,2,3,4},NĐ!U101,NĐ!AA101,NĐ!AG101,NĐ!AM101))=2)*(CHOOSE({1,2,3,4},NĐ!X101,NĐ!AD101,NĐ!AJ101,NĐ!AP101)))</f>
        <v>0</v>
      </c>
      <c r="C101">
        <f>SUMPRODUCT((MONTH(CHOOSE({1,2,3,4},NĐ!U101,NĐ!AA101,NĐ!AG101,NĐ!AM101))=3)*(CHOOSE({1,2,3,4},NĐ!X101,NĐ!AD101,NĐ!AJ101,NĐ!AP101)))</f>
        <v>0</v>
      </c>
      <c r="D101">
        <f>SUMPRODUCT((MONTH(CHOOSE({1,2,3,4},NĐ!U101,NĐ!AA101,NĐ!AG101,NĐ!AM101))=4)*(CHOOSE({1,2,3,4},NĐ!X101,NĐ!AD101,NĐ!AJ101,NĐ!AP101)))</f>
        <v>0</v>
      </c>
      <c r="E101">
        <f>SUMPRODUCT((MONTH(CHOOSE({1,2,3,4},NĐ!U101,NĐ!AA101,NĐ!AG101,NĐ!AM101))=5)*(CHOOSE({1,2,3,4},NĐ!X101,NĐ!AD101,NĐ!AJ101,NĐ!AP101)))</f>
        <v>0</v>
      </c>
      <c r="F101">
        <f>SUMPRODUCT((MONTH(CHOOSE({1,2,3,4},NĐ!U101,NĐ!AA101,NĐ!AG101,NĐ!AM101))=6)*(CHOOSE({1,2,3,4},NĐ!X101,NĐ!AD101,NĐ!AJ101,NĐ!AP101)))</f>
        <v>0</v>
      </c>
      <c r="G101">
        <f>SUMPRODUCT((MONTH(CHOOSE({1,2,3,4},NĐ!U101,NĐ!AA101,NĐ!AG101,NĐ!AM101))=7)*(CHOOSE({1,2,3,4},NĐ!X101,NĐ!AD101,NĐ!AJ101,NĐ!AP101)))</f>
        <v>0</v>
      </c>
      <c r="H101">
        <f>SUMPRODUCT((MONTH(CHOOSE({1,2,3,4},NĐ!U101,NĐ!AA101,NĐ!AG101,NĐ!AM101))=8)*(CHOOSE({1,2,3,4},NĐ!X101,NĐ!AD101,NĐ!AJ101,NĐ!AP101)))</f>
        <v>0</v>
      </c>
      <c r="I101">
        <f>SUMPRODUCT((MONTH(CHOOSE({1,2,3,4},NĐ!U101,NĐ!AA101,NĐ!AG101,NĐ!AM101))=9)*(CHOOSE({1,2,3,4},NĐ!X101,NĐ!AD101,NĐ!AJ101,NĐ!AP101)))</f>
        <v>0</v>
      </c>
      <c r="J101">
        <f>SUMPRODUCT((MONTH(CHOOSE({1,2,3,4},NĐ!U101,NĐ!AA101,NĐ!AG101,NĐ!AM101))=10)*(CHOOSE({1,2,3,4},NĐ!X101,NĐ!AD101,NĐ!AJ101,NĐ!AP101)))</f>
        <v>0</v>
      </c>
      <c r="K101">
        <f>SUMPRODUCT((MONTH(CHOOSE({1,2,3,4},NĐ!U101,NĐ!AA101,NĐ!AG101,NĐ!AM101))=11)*(CHOOSE({1,2,3,4},NĐ!X101,NĐ!AD101,NĐ!AJ101,NĐ!AP101)))</f>
        <v>0</v>
      </c>
      <c r="L101">
        <f>SUMPRODUCT((MONTH(CHOOSE({1,2,3,4},NĐ!U101,NĐ!AA101,NĐ!AG101,NĐ!AM101))=12)*(CHOOSE({1,2,3,4},NĐ!X101,NĐ!AD101,NĐ!AJ101,NĐ!AP101)))</f>
        <v>0</v>
      </c>
    </row>
    <row r="102" spans="1:12">
      <c r="A102">
        <f>SUMPRODUCT((MONTH(CHOOSE({1,2,3,4},NĐ!U102,NĐ!AA102,NĐ!AG102,NĐ!AM102))=1)*(CHOOSE({1,2,3,4},NĐ!X102,NĐ!AD102,NĐ!AJ102,NĐ!AP102)))</f>
        <v>0</v>
      </c>
      <c r="B102">
        <f>SUMPRODUCT((MONTH(CHOOSE({1,2,3,4},NĐ!U102,NĐ!AA102,NĐ!AG102,NĐ!AM102))=2)*(CHOOSE({1,2,3,4},NĐ!X102,NĐ!AD102,NĐ!AJ102,NĐ!AP102)))</f>
        <v>0</v>
      </c>
      <c r="C102">
        <f>SUMPRODUCT((MONTH(CHOOSE({1,2,3,4},NĐ!U102,NĐ!AA102,NĐ!AG102,NĐ!AM102))=3)*(CHOOSE({1,2,3,4},NĐ!X102,NĐ!AD102,NĐ!AJ102,NĐ!AP102)))</f>
        <v>0</v>
      </c>
      <c r="D102">
        <f>SUMPRODUCT((MONTH(CHOOSE({1,2,3,4},NĐ!U102,NĐ!AA102,NĐ!AG102,NĐ!AM102))=4)*(CHOOSE({1,2,3,4},NĐ!X102,NĐ!AD102,NĐ!AJ102,NĐ!AP102)))</f>
        <v>0</v>
      </c>
      <c r="E102">
        <f>SUMPRODUCT((MONTH(CHOOSE({1,2,3,4},NĐ!U102,NĐ!AA102,NĐ!AG102,NĐ!AM102))=5)*(CHOOSE({1,2,3,4},NĐ!X102,NĐ!AD102,NĐ!AJ102,NĐ!AP102)))</f>
        <v>0</v>
      </c>
      <c r="F102">
        <f>SUMPRODUCT((MONTH(CHOOSE({1,2,3,4},NĐ!U102,NĐ!AA102,NĐ!AG102,NĐ!AM102))=6)*(CHOOSE({1,2,3,4},NĐ!X102,NĐ!AD102,NĐ!AJ102,NĐ!AP102)))</f>
        <v>0</v>
      </c>
      <c r="G102">
        <f>SUMPRODUCT((MONTH(CHOOSE({1,2,3,4},NĐ!U102,NĐ!AA102,NĐ!AG102,NĐ!AM102))=7)*(CHOOSE({1,2,3,4},NĐ!X102,NĐ!AD102,NĐ!AJ102,NĐ!AP102)))</f>
        <v>0</v>
      </c>
      <c r="H102">
        <f>SUMPRODUCT((MONTH(CHOOSE({1,2,3,4},NĐ!U102,NĐ!AA102,NĐ!AG102,NĐ!AM102))=8)*(CHOOSE({1,2,3,4},NĐ!X102,NĐ!AD102,NĐ!AJ102,NĐ!AP102)))</f>
        <v>0</v>
      </c>
      <c r="I102">
        <f>SUMPRODUCT((MONTH(CHOOSE({1,2,3,4},NĐ!U102,NĐ!AA102,NĐ!AG102,NĐ!AM102))=9)*(CHOOSE({1,2,3,4},NĐ!X102,NĐ!AD102,NĐ!AJ102,NĐ!AP102)))</f>
        <v>0</v>
      </c>
      <c r="J102">
        <f>SUMPRODUCT((MONTH(CHOOSE({1,2,3,4},NĐ!U102,NĐ!AA102,NĐ!AG102,NĐ!AM102))=10)*(CHOOSE({1,2,3,4},NĐ!X102,NĐ!AD102,NĐ!AJ102,NĐ!AP102)))</f>
        <v>0</v>
      </c>
      <c r="K102">
        <f>SUMPRODUCT((MONTH(CHOOSE({1,2,3,4},NĐ!U102,NĐ!AA102,NĐ!AG102,NĐ!AM102))=11)*(CHOOSE({1,2,3,4},NĐ!X102,NĐ!AD102,NĐ!AJ102,NĐ!AP102)))</f>
        <v>0</v>
      </c>
      <c r="L102">
        <f>SUMPRODUCT((MONTH(CHOOSE({1,2,3,4},NĐ!U102,NĐ!AA102,NĐ!AG102,NĐ!AM102))=12)*(CHOOSE({1,2,3,4},NĐ!X102,NĐ!AD102,NĐ!AJ102,NĐ!AP102)))</f>
        <v>0</v>
      </c>
    </row>
    <row r="103" spans="1:12">
      <c r="A103">
        <f>SUMPRODUCT((MONTH(CHOOSE({1,2,3,4},NĐ!U103,NĐ!AA103,NĐ!AG103,NĐ!AM103))=1)*(CHOOSE({1,2,3,4},NĐ!X103,NĐ!AD103,NĐ!AJ103,NĐ!AP103)))</f>
        <v>0</v>
      </c>
      <c r="B103">
        <f>SUMPRODUCT((MONTH(CHOOSE({1,2,3,4},NĐ!U103,NĐ!AA103,NĐ!AG103,NĐ!AM103))=2)*(CHOOSE({1,2,3,4},NĐ!X103,NĐ!AD103,NĐ!AJ103,NĐ!AP103)))</f>
        <v>0</v>
      </c>
      <c r="C103">
        <f>SUMPRODUCT((MONTH(CHOOSE({1,2,3,4},NĐ!U103,NĐ!AA103,NĐ!AG103,NĐ!AM103))=3)*(CHOOSE({1,2,3,4},NĐ!X103,NĐ!AD103,NĐ!AJ103,NĐ!AP103)))</f>
        <v>0</v>
      </c>
      <c r="D103">
        <f>SUMPRODUCT((MONTH(CHOOSE({1,2,3,4},NĐ!U103,NĐ!AA103,NĐ!AG103,NĐ!AM103))=4)*(CHOOSE({1,2,3,4},NĐ!X103,NĐ!AD103,NĐ!AJ103,NĐ!AP103)))</f>
        <v>0</v>
      </c>
      <c r="E103">
        <f>SUMPRODUCT((MONTH(CHOOSE({1,2,3,4},NĐ!U103,NĐ!AA103,NĐ!AG103,NĐ!AM103))=5)*(CHOOSE({1,2,3,4},NĐ!X103,NĐ!AD103,NĐ!AJ103,NĐ!AP103)))</f>
        <v>0</v>
      </c>
      <c r="F103">
        <f>SUMPRODUCT((MONTH(CHOOSE({1,2,3,4},NĐ!U103,NĐ!AA103,NĐ!AG103,NĐ!AM103))=6)*(CHOOSE({1,2,3,4},NĐ!X103,NĐ!AD103,NĐ!AJ103,NĐ!AP103)))</f>
        <v>0</v>
      </c>
      <c r="G103">
        <f>SUMPRODUCT((MONTH(CHOOSE({1,2,3,4},NĐ!U103,NĐ!AA103,NĐ!AG103,NĐ!AM103))=7)*(CHOOSE({1,2,3,4},NĐ!X103,NĐ!AD103,NĐ!AJ103,NĐ!AP103)))</f>
        <v>0</v>
      </c>
      <c r="H103">
        <f>SUMPRODUCT((MONTH(CHOOSE({1,2,3,4},NĐ!U103,NĐ!AA103,NĐ!AG103,NĐ!AM103))=8)*(CHOOSE({1,2,3,4},NĐ!X103,NĐ!AD103,NĐ!AJ103,NĐ!AP103)))</f>
        <v>0</v>
      </c>
      <c r="I103">
        <f>SUMPRODUCT((MONTH(CHOOSE({1,2,3,4},NĐ!U103,NĐ!AA103,NĐ!AG103,NĐ!AM103))=9)*(CHOOSE({1,2,3,4},NĐ!X103,NĐ!AD103,NĐ!AJ103,NĐ!AP103)))</f>
        <v>0</v>
      </c>
      <c r="J103">
        <f>SUMPRODUCT((MONTH(CHOOSE({1,2,3,4},NĐ!U103,NĐ!AA103,NĐ!AG103,NĐ!AM103))=10)*(CHOOSE({1,2,3,4},NĐ!X103,NĐ!AD103,NĐ!AJ103,NĐ!AP103)))</f>
        <v>0</v>
      </c>
      <c r="K103">
        <f>SUMPRODUCT((MONTH(CHOOSE({1,2,3,4},NĐ!U103,NĐ!AA103,NĐ!AG103,NĐ!AM103))=11)*(CHOOSE({1,2,3,4},NĐ!X103,NĐ!AD103,NĐ!AJ103,NĐ!AP103)))</f>
        <v>0</v>
      </c>
      <c r="L103">
        <f>SUMPRODUCT((MONTH(CHOOSE({1,2,3,4},NĐ!U103,NĐ!AA103,NĐ!AG103,NĐ!AM103))=12)*(CHOOSE({1,2,3,4},NĐ!X103,NĐ!AD103,NĐ!AJ103,NĐ!AP103)))</f>
        <v>0</v>
      </c>
    </row>
    <row r="104" spans="1:12">
      <c r="A104">
        <f>SUMPRODUCT((MONTH(CHOOSE({1,2,3,4},NĐ!U104,NĐ!AA104,NĐ!AG104,NĐ!AM104))=1)*(CHOOSE({1,2,3,4},NĐ!X104,NĐ!AD104,NĐ!AJ104,NĐ!AP104)))</f>
        <v>0</v>
      </c>
      <c r="B104">
        <f>SUMPRODUCT((MONTH(CHOOSE({1,2,3,4},NĐ!U104,NĐ!AA104,NĐ!AG104,NĐ!AM104))=2)*(CHOOSE({1,2,3,4},NĐ!X104,NĐ!AD104,NĐ!AJ104,NĐ!AP104)))</f>
        <v>0</v>
      </c>
      <c r="C104">
        <f>SUMPRODUCT((MONTH(CHOOSE({1,2,3,4},NĐ!U104,NĐ!AA104,NĐ!AG104,NĐ!AM104))=3)*(CHOOSE({1,2,3,4},NĐ!X104,NĐ!AD104,NĐ!AJ104,NĐ!AP104)))</f>
        <v>0</v>
      </c>
      <c r="D104">
        <f>SUMPRODUCT((MONTH(CHOOSE({1,2,3,4},NĐ!U104,NĐ!AA104,NĐ!AG104,NĐ!AM104))=4)*(CHOOSE({1,2,3,4},NĐ!X104,NĐ!AD104,NĐ!AJ104,NĐ!AP104)))</f>
        <v>0</v>
      </c>
      <c r="E104">
        <f>SUMPRODUCT((MONTH(CHOOSE({1,2,3,4},NĐ!U104,NĐ!AA104,NĐ!AG104,NĐ!AM104))=5)*(CHOOSE({1,2,3,4},NĐ!X104,NĐ!AD104,NĐ!AJ104,NĐ!AP104)))</f>
        <v>0</v>
      </c>
      <c r="F104">
        <f>SUMPRODUCT((MONTH(CHOOSE({1,2,3,4},NĐ!U104,NĐ!AA104,NĐ!AG104,NĐ!AM104))=6)*(CHOOSE({1,2,3,4},NĐ!X104,NĐ!AD104,NĐ!AJ104,NĐ!AP104)))</f>
        <v>0</v>
      </c>
      <c r="G104">
        <f>SUMPRODUCT((MONTH(CHOOSE({1,2,3,4},NĐ!U104,NĐ!AA104,NĐ!AG104,NĐ!AM104))=7)*(CHOOSE({1,2,3,4},NĐ!X104,NĐ!AD104,NĐ!AJ104,NĐ!AP104)))</f>
        <v>0</v>
      </c>
      <c r="H104">
        <f>SUMPRODUCT((MONTH(CHOOSE({1,2,3,4},NĐ!U104,NĐ!AA104,NĐ!AG104,NĐ!AM104))=8)*(CHOOSE({1,2,3,4},NĐ!X104,NĐ!AD104,NĐ!AJ104,NĐ!AP104)))</f>
        <v>0</v>
      </c>
      <c r="I104">
        <f>SUMPRODUCT((MONTH(CHOOSE({1,2,3,4},NĐ!U104,NĐ!AA104,NĐ!AG104,NĐ!AM104))=9)*(CHOOSE({1,2,3,4},NĐ!X104,NĐ!AD104,NĐ!AJ104,NĐ!AP104)))</f>
        <v>0</v>
      </c>
      <c r="J104">
        <f>SUMPRODUCT((MONTH(CHOOSE({1,2,3,4},NĐ!U104,NĐ!AA104,NĐ!AG104,NĐ!AM104))=10)*(CHOOSE({1,2,3,4},NĐ!X104,NĐ!AD104,NĐ!AJ104,NĐ!AP104)))</f>
        <v>0</v>
      </c>
      <c r="K104">
        <f>SUMPRODUCT((MONTH(CHOOSE({1,2,3,4},NĐ!U104,NĐ!AA104,NĐ!AG104,NĐ!AM104))=11)*(CHOOSE({1,2,3,4},NĐ!X104,NĐ!AD104,NĐ!AJ104,NĐ!AP104)))</f>
        <v>0</v>
      </c>
      <c r="L104">
        <f>SUMPRODUCT((MONTH(CHOOSE({1,2,3,4},NĐ!U104,NĐ!AA104,NĐ!AG104,NĐ!AM104))=12)*(CHOOSE({1,2,3,4},NĐ!X104,NĐ!AD104,NĐ!AJ104,NĐ!AP104)))</f>
        <v>0</v>
      </c>
    </row>
    <row r="105" spans="1:12">
      <c r="A105">
        <f>SUMPRODUCT((MONTH(CHOOSE({1,2,3,4},NĐ!U105,NĐ!AA105,NĐ!AG105,NĐ!AM105))=1)*(CHOOSE({1,2,3,4},NĐ!X105,NĐ!AD105,NĐ!AJ105,NĐ!AP105)))</f>
        <v>0</v>
      </c>
      <c r="B105">
        <f>SUMPRODUCT((MONTH(CHOOSE({1,2,3,4},NĐ!U105,NĐ!AA105,NĐ!AG105,NĐ!AM105))=2)*(CHOOSE({1,2,3,4},NĐ!X105,NĐ!AD105,NĐ!AJ105,NĐ!AP105)))</f>
        <v>0</v>
      </c>
      <c r="C105">
        <f>SUMPRODUCT((MONTH(CHOOSE({1,2,3,4},NĐ!U105,NĐ!AA105,NĐ!AG105,NĐ!AM105))=3)*(CHOOSE({1,2,3,4},NĐ!X105,NĐ!AD105,NĐ!AJ105,NĐ!AP105)))</f>
        <v>0</v>
      </c>
      <c r="D105">
        <f>SUMPRODUCT((MONTH(CHOOSE({1,2,3,4},NĐ!U105,NĐ!AA105,NĐ!AG105,NĐ!AM105))=4)*(CHOOSE({1,2,3,4},NĐ!X105,NĐ!AD105,NĐ!AJ105,NĐ!AP105)))</f>
        <v>0</v>
      </c>
      <c r="E105">
        <f>SUMPRODUCT((MONTH(CHOOSE({1,2,3,4},NĐ!U105,NĐ!AA105,NĐ!AG105,NĐ!AM105))=5)*(CHOOSE({1,2,3,4},NĐ!X105,NĐ!AD105,NĐ!AJ105,NĐ!AP105)))</f>
        <v>0</v>
      </c>
      <c r="F105">
        <f>SUMPRODUCT((MONTH(CHOOSE({1,2,3,4},NĐ!U105,NĐ!AA105,NĐ!AG105,NĐ!AM105))=6)*(CHOOSE({1,2,3,4},NĐ!X105,NĐ!AD105,NĐ!AJ105,NĐ!AP105)))</f>
        <v>0</v>
      </c>
      <c r="G105">
        <f>SUMPRODUCT((MONTH(CHOOSE({1,2,3,4},NĐ!U105,NĐ!AA105,NĐ!AG105,NĐ!AM105))=7)*(CHOOSE({1,2,3,4},NĐ!X105,NĐ!AD105,NĐ!AJ105,NĐ!AP105)))</f>
        <v>0</v>
      </c>
      <c r="H105">
        <f>SUMPRODUCT((MONTH(CHOOSE({1,2,3,4},NĐ!U105,NĐ!AA105,NĐ!AG105,NĐ!AM105))=8)*(CHOOSE({1,2,3,4},NĐ!X105,NĐ!AD105,NĐ!AJ105,NĐ!AP105)))</f>
        <v>0</v>
      </c>
      <c r="I105">
        <f>SUMPRODUCT((MONTH(CHOOSE({1,2,3,4},NĐ!U105,NĐ!AA105,NĐ!AG105,NĐ!AM105))=9)*(CHOOSE({1,2,3,4},NĐ!X105,NĐ!AD105,NĐ!AJ105,NĐ!AP105)))</f>
        <v>0</v>
      </c>
      <c r="J105">
        <f>SUMPRODUCT((MONTH(CHOOSE({1,2,3,4},NĐ!U105,NĐ!AA105,NĐ!AG105,NĐ!AM105))=10)*(CHOOSE({1,2,3,4},NĐ!X105,NĐ!AD105,NĐ!AJ105,NĐ!AP105)))</f>
        <v>0</v>
      </c>
      <c r="K105">
        <f>SUMPRODUCT((MONTH(CHOOSE({1,2,3,4},NĐ!U105,NĐ!AA105,NĐ!AG105,NĐ!AM105))=11)*(CHOOSE({1,2,3,4},NĐ!X105,NĐ!AD105,NĐ!AJ105,NĐ!AP105)))</f>
        <v>0</v>
      </c>
      <c r="L105">
        <f>SUMPRODUCT((MONTH(CHOOSE({1,2,3,4},NĐ!U105,NĐ!AA105,NĐ!AG105,NĐ!AM105))=12)*(CHOOSE({1,2,3,4},NĐ!X105,NĐ!AD105,NĐ!AJ105,NĐ!AP105)))</f>
        <v>0</v>
      </c>
    </row>
    <row r="106" spans="1:12">
      <c r="A106">
        <f>SUMPRODUCT((MONTH(CHOOSE({1,2,3,4},NĐ!U106,NĐ!AA106,NĐ!AG106,NĐ!AM106))=1)*(CHOOSE({1,2,3,4},NĐ!X106,NĐ!AD106,NĐ!AJ106,NĐ!AP106)))</f>
        <v>0</v>
      </c>
      <c r="B106">
        <f>SUMPRODUCT((MONTH(CHOOSE({1,2,3,4},NĐ!U106,NĐ!AA106,NĐ!AG106,NĐ!AM106))=2)*(CHOOSE({1,2,3,4},NĐ!X106,NĐ!AD106,NĐ!AJ106,NĐ!AP106)))</f>
        <v>0</v>
      </c>
      <c r="C106">
        <f>SUMPRODUCT((MONTH(CHOOSE({1,2,3,4},NĐ!U106,NĐ!AA106,NĐ!AG106,NĐ!AM106))=3)*(CHOOSE({1,2,3,4},NĐ!X106,NĐ!AD106,NĐ!AJ106,NĐ!AP106)))</f>
        <v>0</v>
      </c>
      <c r="D106">
        <f>SUMPRODUCT((MONTH(CHOOSE({1,2,3,4},NĐ!U106,NĐ!AA106,NĐ!AG106,NĐ!AM106))=4)*(CHOOSE({1,2,3,4},NĐ!X106,NĐ!AD106,NĐ!AJ106,NĐ!AP106)))</f>
        <v>0</v>
      </c>
      <c r="E106">
        <f>SUMPRODUCT((MONTH(CHOOSE({1,2,3,4},NĐ!U106,NĐ!AA106,NĐ!AG106,NĐ!AM106))=5)*(CHOOSE({1,2,3,4},NĐ!X106,NĐ!AD106,NĐ!AJ106,NĐ!AP106)))</f>
        <v>0</v>
      </c>
      <c r="F106">
        <f>SUMPRODUCT((MONTH(CHOOSE({1,2,3,4},NĐ!U106,NĐ!AA106,NĐ!AG106,NĐ!AM106))=6)*(CHOOSE({1,2,3,4},NĐ!X106,NĐ!AD106,NĐ!AJ106,NĐ!AP106)))</f>
        <v>0</v>
      </c>
      <c r="G106">
        <f>SUMPRODUCT((MONTH(CHOOSE({1,2,3,4},NĐ!U106,NĐ!AA106,NĐ!AG106,NĐ!AM106))=7)*(CHOOSE({1,2,3,4},NĐ!X106,NĐ!AD106,NĐ!AJ106,NĐ!AP106)))</f>
        <v>0</v>
      </c>
      <c r="H106">
        <f>SUMPRODUCT((MONTH(CHOOSE({1,2,3,4},NĐ!U106,NĐ!AA106,NĐ!AG106,NĐ!AM106))=8)*(CHOOSE({1,2,3,4},NĐ!X106,NĐ!AD106,NĐ!AJ106,NĐ!AP106)))</f>
        <v>0</v>
      </c>
      <c r="I106">
        <f>SUMPRODUCT((MONTH(CHOOSE({1,2,3,4},NĐ!U106,NĐ!AA106,NĐ!AG106,NĐ!AM106))=9)*(CHOOSE({1,2,3,4},NĐ!X106,NĐ!AD106,NĐ!AJ106,NĐ!AP106)))</f>
        <v>0</v>
      </c>
      <c r="J106">
        <f>SUMPRODUCT((MONTH(CHOOSE({1,2,3,4},NĐ!U106,NĐ!AA106,NĐ!AG106,NĐ!AM106))=10)*(CHOOSE({1,2,3,4},NĐ!X106,NĐ!AD106,NĐ!AJ106,NĐ!AP106)))</f>
        <v>0</v>
      </c>
      <c r="K106">
        <f>SUMPRODUCT((MONTH(CHOOSE({1,2,3,4},NĐ!U106,NĐ!AA106,NĐ!AG106,NĐ!AM106))=11)*(CHOOSE({1,2,3,4},NĐ!X106,NĐ!AD106,NĐ!AJ106,NĐ!AP106)))</f>
        <v>0</v>
      </c>
      <c r="L106">
        <f>SUMPRODUCT((MONTH(CHOOSE({1,2,3,4},NĐ!U106,NĐ!AA106,NĐ!AG106,NĐ!AM106))=12)*(CHOOSE({1,2,3,4},NĐ!X106,NĐ!AD106,NĐ!AJ106,NĐ!AP106)))</f>
        <v>0</v>
      </c>
    </row>
    <row r="107" spans="1:12">
      <c r="A107">
        <f>SUMPRODUCT((MONTH(CHOOSE({1,2,3,4},NĐ!U107,NĐ!AA107,NĐ!AG107,NĐ!AM107))=1)*(CHOOSE({1,2,3,4},NĐ!X107,NĐ!AD107,NĐ!AJ107,NĐ!AP107)))</f>
        <v>0</v>
      </c>
      <c r="B107">
        <f>SUMPRODUCT((MONTH(CHOOSE({1,2,3,4},NĐ!U107,NĐ!AA107,NĐ!AG107,NĐ!AM107))=2)*(CHOOSE({1,2,3,4},NĐ!X107,NĐ!AD107,NĐ!AJ107,NĐ!AP107)))</f>
        <v>0</v>
      </c>
      <c r="C107">
        <f>SUMPRODUCT((MONTH(CHOOSE({1,2,3,4},NĐ!U107,NĐ!AA107,NĐ!AG107,NĐ!AM107))=3)*(CHOOSE({1,2,3,4},NĐ!X107,NĐ!AD107,NĐ!AJ107,NĐ!AP107)))</f>
        <v>0</v>
      </c>
      <c r="D107">
        <f>SUMPRODUCT((MONTH(CHOOSE({1,2,3,4},NĐ!U107,NĐ!AA107,NĐ!AG107,NĐ!AM107))=4)*(CHOOSE({1,2,3,4},NĐ!X107,NĐ!AD107,NĐ!AJ107,NĐ!AP107)))</f>
        <v>0</v>
      </c>
      <c r="E107">
        <f>SUMPRODUCT((MONTH(CHOOSE({1,2,3,4},NĐ!U107,NĐ!AA107,NĐ!AG107,NĐ!AM107))=5)*(CHOOSE({1,2,3,4},NĐ!X107,NĐ!AD107,NĐ!AJ107,NĐ!AP107)))</f>
        <v>0</v>
      </c>
      <c r="F107">
        <f>SUMPRODUCT((MONTH(CHOOSE({1,2,3,4},NĐ!U107,NĐ!AA107,NĐ!AG107,NĐ!AM107))=6)*(CHOOSE({1,2,3,4},NĐ!X107,NĐ!AD107,NĐ!AJ107,NĐ!AP107)))</f>
        <v>0</v>
      </c>
      <c r="G107">
        <f>SUMPRODUCT((MONTH(CHOOSE({1,2,3,4},NĐ!U107,NĐ!AA107,NĐ!AG107,NĐ!AM107))=7)*(CHOOSE({1,2,3,4},NĐ!X107,NĐ!AD107,NĐ!AJ107,NĐ!AP107)))</f>
        <v>0</v>
      </c>
      <c r="H107">
        <f>SUMPRODUCT((MONTH(CHOOSE({1,2,3,4},NĐ!U107,NĐ!AA107,NĐ!AG107,NĐ!AM107))=8)*(CHOOSE({1,2,3,4},NĐ!X107,NĐ!AD107,NĐ!AJ107,NĐ!AP107)))</f>
        <v>0</v>
      </c>
      <c r="I107">
        <f>SUMPRODUCT((MONTH(CHOOSE({1,2,3,4},NĐ!U107,NĐ!AA107,NĐ!AG107,NĐ!AM107))=9)*(CHOOSE({1,2,3,4},NĐ!X107,NĐ!AD107,NĐ!AJ107,NĐ!AP107)))</f>
        <v>0</v>
      </c>
      <c r="J107">
        <f>SUMPRODUCT((MONTH(CHOOSE({1,2,3,4},NĐ!U107,NĐ!AA107,NĐ!AG107,NĐ!AM107))=10)*(CHOOSE({1,2,3,4},NĐ!X107,NĐ!AD107,NĐ!AJ107,NĐ!AP107)))</f>
        <v>0</v>
      </c>
      <c r="K107">
        <f>SUMPRODUCT((MONTH(CHOOSE({1,2,3,4},NĐ!U107,NĐ!AA107,NĐ!AG107,NĐ!AM107))=11)*(CHOOSE({1,2,3,4},NĐ!X107,NĐ!AD107,NĐ!AJ107,NĐ!AP107)))</f>
        <v>0</v>
      </c>
      <c r="L107">
        <f>SUMPRODUCT((MONTH(CHOOSE({1,2,3,4},NĐ!U107,NĐ!AA107,NĐ!AG107,NĐ!AM107))=12)*(CHOOSE({1,2,3,4},NĐ!X107,NĐ!AD107,NĐ!AJ107,NĐ!AP107)))</f>
        <v>0</v>
      </c>
    </row>
    <row r="108" spans="1:12">
      <c r="A108">
        <f>SUMPRODUCT((MONTH(CHOOSE({1,2,3,4},NĐ!U108,NĐ!AA108,NĐ!AG108,NĐ!AM108))=1)*(CHOOSE({1,2,3,4},NĐ!X108,NĐ!AD108,NĐ!AJ108,NĐ!AP108)))</f>
        <v>0</v>
      </c>
      <c r="B108">
        <f>SUMPRODUCT((MONTH(CHOOSE({1,2,3,4},NĐ!U108,NĐ!AA108,NĐ!AG108,NĐ!AM108))=2)*(CHOOSE({1,2,3,4},NĐ!X108,NĐ!AD108,NĐ!AJ108,NĐ!AP108)))</f>
        <v>0</v>
      </c>
      <c r="C108">
        <f>SUMPRODUCT((MONTH(CHOOSE({1,2,3,4},NĐ!U108,NĐ!AA108,NĐ!AG108,NĐ!AM108))=3)*(CHOOSE({1,2,3,4},NĐ!X108,NĐ!AD108,NĐ!AJ108,NĐ!AP108)))</f>
        <v>0</v>
      </c>
      <c r="D108">
        <f>SUMPRODUCT((MONTH(CHOOSE({1,2,3,4},NĐ!U108,NĐ!AA108,NĐ!AG108,NĐ!AM108))=4)*(CHOOSE({1,2,3,4},NĐ!X108,NĐ!AD108,NĐ!AJ108,NĐ!AP108)))</f>
        <v>0</v>
      </c>
      <c r="E108">
        <f>SUMPRODUCT((MONTH(CHOOSE({1,2,3,4},NĐ!U108,NĐ!AA108,NĐ!AG108,NĐ!AM108))=5)*(CHOOSE({1,2,3,4},NĐ!X108,NĐ!AD108,NĐ!AJ108,NĐ!AP108)))</f>
        <v>0</v>
      </c>
      <c r="F108">
        <f>SUMPRODUCT((MONTH(CHOOSE({1,2,3,4},NĐ!U108,NĐ!AA108,NĐ!AG108,NĐ!AM108))=6)*(CHOOSE({1,2,3,4},NĐ!X108,NĐ!AD108,NĐ!AJ108,NĐ!AP108)))</f>
        <v>0</v>
      </c>
      <c r="G108">
        <f>SUMPRODUCT((MONTH(CHOOSE({1,2,3,4},NĐ!U108,NĐ!AA108,NĐ!AG108,NĐ!AM108))=7)*(CHOOSE({1,2,3,4},NĐ!X108,NĐ!AD108,NĐ!AJ108,NĐ!AP108)))</f>
        <v>0</v>
      </c>
      <c r="H108">
        <f>SUMPRODUCT((MONTH(CHOOSE({1,2,3,4},NĐ!U108,NĐ!AA108,NĐ!AG108,NĐ!AM108))=8)*(CHOOSE({1,2,3,4},NĐ!X108,NĐ!AD108,NĐ!AJ108,NĐ!AP108)))</f>
        <v>0</v>
      </c>
      <c r="I108">
        <f>SUMPRODUCT((MONTH(CHOOSE({1,2,3,4},NĐ!U108,NĐ!AA108,NĐ!AG108,NĐ!AM108))=9)*(CHOOSE({1,2,3,4},NĐ!X108,NĐ!AD108,NĐ!AJ108,NĐ!AP108)))</f>
        <v>0</v>
      </c>
      <c r="J108">
        <f>SUMPRODUCT((MONTH(CHOOSE({1,2,3,4},NĐ!U108,NĐ!AA108,NĐ!AG108,NĐ!AM108))=10)*(CHOOSE({1,2,3,4},NĐ!X108,NĐ!AD108,NĐ!AJ108,NĐ!AP108)))</f>
        <v>0</v>
      </c>
      <c r="K108">
        <f>SUMPRODUCT((MONTH(CHOOSE({1,2,3,4},NĐ!U108,NĐ!AA108,NĐ!AG108,NĐ!AM108))=11)*(CHOOSE({1,2,3,4},NĐ!X108,NĐ!AD108,NĐ!AJ108,NĐ!AP108)))</f>
        <v>0</v>
      </c>
      <c r="L108">
        <f>SUMPRODUCT((MONTH(CHOOSE({1,2,3,4},NĐ!U108,NĐ!AA108,NĐ!AG108,NĐ!AM108))=12)*(CHOOSE({1,2,3,4},NĐ!X108,NĐ!AD108,NĐ!AJ108,NĐ!AP108)))</f>
        <v>0</v>
      </c>
    </row>
    <row r="109" spans="1:12">
      <c r="A109">
        <f>SUMPRODUCT((MONTH(CHOOSE({1,2,3,4},NĐ!U109,NĐ!AA109,NĐ!AG109,NĐ!AM109))=1)*(CHOOSE({1,2,3,4},NĐ!X109,NĐ!AD109,NĐ!AJ109,NĐ!AP109)))</f>
        <v>0</v>
      </c>
      <c r="B109">
        <f>SUMPRODUCT((MONTH(CHOOSE({1,2,3,4},NĐ!U109,NĐ!AA109,NĐ!AG109,NĐ!AM109))=2)*(CHOOSE({1,2,3,4},NĐ!X109,NĐ!AD109,NĐ!AJ109,NĐ!AP109)))</f>
        <v>0</v>
      </c>
      <c r="C109">
        <f>SUMPRODUCT((MONTH(CHOOSE({1,2,3,4},NĐ!U109,NĐ!AA109,NĐ!AG109,NĐ!AM109))=3)*(CHOOSE({1,2,3,4},NĐ!X109,NĐ!AD109,NĐ!AJ109,NĐ!AP109)))</f>
        <v>0</v>
      </c>
      <c r="D109">
        <f>SUMPRODUCT((MONTH(CHOOSE({1,2,3,4},NĐ!U109,NĐ!AA109,NĐ!AG109,NĐ!AM109))=4)*(CHOOSE({1,2,3,4},NĐ!X109,NĐ!AD109,NĐ!AJ109,NĐ!AP109)))</f>
        <v>0</v>
      </c>
      <c r="E109">
        <f>SUMPRODUCT((MONTH(CHOOSE({1,2,3,4},NĐ!U109,NĐ!AA109,NĐ!AG109,NĐ!AM109))=5)*(CHOOSE({1,2,3,4},NĐ!X109,NĐ!AD109,NĐ!AJ109,NĐ!AP109)))</f>
        <v>0</v>
      </c>
      <c r="F109">
        <f>SUMPRODUCT((MONTH(CHOOSE({1,2,3,4},NĐ!U109,NĐ!AA109,NĐ!AG109,NĐ!AM109))=6)*(CHOOSE({1,2,3,4},NĐ!X109,NĐ!AD109,NĐ!AJ109,NĐ!AP109)))</f>
        <v>0</v>
      </c>
      <c r="G109">
        <f>SUMPRODUCT((MONTH(CHOOSE({1,2,3,4},NĐ!U109,NĐ!AA109,NĐ!AG109,NĐ!AM109))=7)*(CHOOSE({1,2,3,4},NĐ!X109,NĐ!AD109,NĐ!AJ109,NĐ!AP109)))</f>
        <v>0</v>
      </c>
      <c r="H109">
        <f>SUMPRODUCT((MONTH(CHOOSE({1,2,3,4},NĐ!U109,NĐ!AA109,NĐ!AG109,NĐ!AM109))=8)*(CHOOSE({1,2,3,4},NĐ!X109,NĐ!AD109,NĐ!AJ109,NĐ!AP109)))</f>
        <v>0</v>
      </c>
      <c r="I109">
        <f>SUMPRODUCT((MONTH(CHOOSE({1,2,3,4},NĐ!U109,NĐ!AA109,NĐ!AG109,NĐ!AM109))=9)*(CHOOSE({1,2,3,4},NĐ!X109,NĐ!AD109,NĐ!AJ109,NĐ!AP109)))</f>
        <v>0</v>
      </c>
      <c r="J109">
        <f>SUMPRODUCT((MONTH(CHOOSE({1,2,3,4},NĐ!U109,NĐ!AA109,NĐ!AG109,NĐ!AM109))=10)*(CHOOSE({1,2,3,4},NĐ!X109,NĐ!AD109,NĐ!AJ109,NĐ!AP109)))</f>
        <v>0</v>
      </c>
      <c r="K109">
        <f>SUMPRODUCT((MONTH(CHOOSE({1,2,3,4},NĐ!U109,NĐ!AA109,NĐ!AG109,NĐ!AM109))=11)*(CHOOSE({1,2,3,4},NĐ!X109,NĐ!AD109,NĐ!AJ109,NĐ!AP109)))</f>
        <v>0</v>
      </c>
      <c r="L109">
        <f>SUMPRODUCT((MONTH(CHOOSE({1,2,3,4},NĐ!U109,NĐ!AA109,NĐ!AG109,NĐ!AM109))=12)*(CHOOSE({1,2,3,4},NĐ!X109,NĐ!AD109,NĐ!AJ109,NĐ!AP109)))</f>
        <v>0</v>
      </c>
    </row>
    <row r="110" spans="1:12">
      <c r="A110">
        <f>SUMPRODUCT((MONTH(CHOOSE({1,2,3,4},NĐ!U110,NĐ!AA110,NĐ!AG110,NĐ!AM110))=1)*(CHOOSE({1,2,3,4},NĐ!X110,NĐ!AD110,NĐ!AJ110,NĐ!AP110)))</f>
        <v>0</v>
      </c>
      <c r="B110">
        <f>SUMPRODUCT((MONTH(CHOOSE({1,2,3,4},NĐ!U110,NĐ!AA110,NĐ!AG110,NĐ!AM110))=2)*(CHOOSE({1,2,3,4},NĐ!X110,NĐ!AD110,NĐ!AJ110,NĐ!AP110)))</f>
        <v>0</v>
      </c>
      <c r="C110">
        <f>SUMPRODUCT((MONTH(CHOOSE({1,2,3,4},NĐ!U110,NĐ!AA110,NĐ!AG110,NĐ!AM110))=3)*(CHOOSE({1,2,3,4},NĐ!X110,NĐ!AD110,NĐ!AJ110,NĐ!AP110)))</f>
        <v>0</v>
      </c>
      <c r="D110">
        <f>SUMPRODUCT((MONTH(CHOOSE({1,2,3,4},NĐ!U110,NĐ!AA110,NĐ!AG110,NĐ!AM110))=4)*(CHOOSE({1,2,3,4},NĐ!X110,NĐ!AD110,NĐ!AJ110,NĐ!AP110)))</f>
        <v>0</v>
      </c>
      <c r="E110">
        <f>SUMPRODUCT((MONTH(CHOOSE({1,2,3,4},NĐ!U110,NĐ!AA110,NĐ!AG110,NĐ!AM110))=5)*(CHOOSE({1,2,3,4},NĐ!X110,NĐ!AD110,NĐ!AJ110,NĐ!AP110)))</f>
        <v>0</v>
      </c>
      <c r="F110">
        <f>SUMPRODUCT((MONTH(CHOOSE({1,2,3,4},NĐ!U110,NĐ!AA110,NĐ!AG110,NĐ!AM110))=6)*(CHOOSE({1,2,3,4},NĐ!X110,NĐ!AD110,NĐ!AJ110,NĐ!AP110)))</f>
        <v>0</v>
      </c>
      <c r="G110">
        <f>SUMPRODUCT((MONTH(CHOOSE({1,2,3,4},NĐ!U110,NĐ!AA110,NĐ!AG110,NĐ!AM110))=7)*(CHOOSE({1,2,3,4},NĐ!X110,NĐ!AD110,NĐ!AJ110,NĐ!AP110)))</f>
        <v>0</v>
      </c>
      <c r="H110">
        <f>SUMPRODUCT((MONTH(CHOOSE({1,2,3,4},NĐ!U110,NĐ!AA110,NĐ!AG110,NĐ!AM110))=8)*(CHOOSE({1,2,3,4},NĐ!X110,NĐ!AD110,NĐ!AJ110,NĐ!AP110)))</f>
        <v>0</v>
      </c>
      <c r="I110">
        <f>SUMPRODUCT((MONTH(CHOOSE({1,2,3,4},NĐ!U110,NĐ!AA110,NĐ!AG110,NĐ!AM110))=9)*(CHOOSE({1,2,3,4},NĐ!X110,NĐ!AD110,NĐ!AJ110,NĐ!AP110)))</f>
        <v>0</v>
      </c>
      <c r="J110">
        <f>SUMPRODUCT((MONTH(CHOOSE({1,2,3,4},NĐ!U110,NĐ!AA110,NĐ!AG110,NĐ!AM110))=10)*(CHOOSE({1,2,3,4},NĐ!X110,NĐ!AD110,NĐ!AJ110,NĐ!AP110)))</f>
        <v>0</v>
      </c>
      <c r="K110">
        <f>SUMPRODUCT((MONTH(CHOOSE({1,2,3,4},NĐ!U110,NĐ!AA110,NĐ!AG110,NĐ!AM110))=11)*(CHOOSE({1,2,3,4},NĐ!X110,NĐ!AD110,NĐ!AJ110,NĐ!AP110)))</f>
        <v>0</v>
      </c>
      <c r="L110">
        <f>SUMPRODUCT((MONTH(CHOOSE({1,2,3,4},NĐ!U110,NĐ!AA110,NĐ!AG110,NĐ!AM110))=12)*(CHOOSE({1,2,3,4},NĐ!X110,NĐ!AD110,NĐ!AJ110,NĐ!AP110)))</f>
        <v>0</v>
      </c>
    </row>
    <row r="111" spans="1:12">
      <c r="A111">
        <f>SUMPRODUCT((MONTH(CHOOSE({1,2,3,4},NĐ!U111,NĐ!AA111,NĐ!AG111,NĐ!AM111))=1)*(CHOOSE({1,2,3,4},NĐ!X111,NĐ!AD111,NĐ!AJ111,NĐ!AP111)))</f>
        <v>0</v>
      </c>
      <c r="B111">
        <f>SUMPRODUCT((MONTH(CHOOSE({1,2,3,4},NĐ!U111,NĐ!AA111,NĐ!AG111,NĐ!AM111))=2)*(CHOOSE({1,2,3,4},NĐ!X111,NĐ!AD111,NĐ!AJ111,NĐ!AP111)))</f>
        <v>0</v>
      </c>
      <c r="C111">
        <f>SUMPRODUCT((MONTH(CHOOSE({1,2,3,4},NĐ!U111,NĐ!AA111,NĐ!AG111,NĐ!AM111))=3)*(CHOOSE({1,2,3,4},NĐ!X111,NĐ!AD111,NĐ!AJ111,NĐ!AP111)))</f>
        <v>0</v>
      </c>
      <c r="D111">
        <f>SUMPRODUCT((MONTH(CHOOSE({1,2,3,4},NĐ!U111,NĐ!AA111,NĐ!AG111,NĐ!AM111))=4)*(CHOOSE({1,2,3,4},NĐ!X111,NĐ!AD111,NĐ!AJ111,NĐ!AP111)))</f>
        <v>0</v>
      </c>
      <c r="E111">
        <f>SUMPRODUCT((MONTH(CHOOSE({1,2,3,4},NĐ!U111,NĐ!AA111,NĐ!AG111,NĐ!AM111))=5)*(CHOOSE({1,2,3,4},NĐ!X111,NĐ!AD111,NĐ!AJ111,NĐ!AP111)))</f>
        <v>0</v>
      </c>
      <c r="F111">
        <f>SUMPRODUCT((MONTH(CHOOSE({1,2,3,4},NĐ!U111,NĐ!AA111,NĐ!AG111,NĐ!AM111))=6)*(CHOOSE({1,2,3,4},NĐ!X111,NĐ!AD111,NĐ!AJ111,NĐ!AP111)))</f>
        <v>0</v>
      </c>
      <c r="G111">
        <f>SUMPRODUCT((MONTH(CHOOSE({1,2,3,4},NĐ!U111,NĐ!AA111,NĐ!AG111,NĐ!AM111))=7)*(CHOOSE({1,2,3,4},NĐ!X111,NĐ!AD111,NĐ!AJ111,NĐ!AP111)))</f>
        <v>0</v>
      </c>
      <c r="H111">
        <f>SUMPRODUCT((MONTH(CHOOSE({1,2,3,4},NĐ!U111,NĐ!AA111,NĐ!AG111,NĐ!AM111))=8)*(CHOOSE({1,2,3,4},NĐ!X111,NĐ!AD111,NĐ!AJ111,NĐ!AP111)))</f>
        <v>0</v>
      </c>
      <c r="I111">
        <f>SUMPRODUCT((MONTH(CHOOSE({1,2,3,4},NĐ!U111,NĐ!AA111,NĐ!AG111,NĐ!AM111))=9)*(CHOOSE({1,2,3,4},NĐ!X111,NĐ!AD111,NĐ!AJ111,NĐ!AP111)))</f>
        <v>0</v>
      </c>
      <c r="J111">
        <f>SUMPRODUCT((MONTH(CHOOSE({1,2,3,4},NĐ!U111,NĐ!AA111,NĐ!AG111,NĐ!AM111))=10)*(CHOOSE({1,2,3,4},NĐ!X111,NĐ!AD111,NĐ!AJ111,NĐ!AP111)))</f>
        <v>0</v>
      </c>
      <c r="K111">
        <f>SUMPRODUCT((MONTH(CHOOSE({1,2,3,4},NĐ!U111,NĐ!AA111,NĐ!AG111,NĐ!AM111))=11)*(CHOOSE({1,2,3,4},NĐ!X111,NĐ!AD111,NĐ!AJ111,NĐ!AP111)))</f>
        <v>0</v>
      </c>
      <c r="L111">
        <f>SUMPRODUCT((MONTH(CHOOSE({1,2,3,4},NĐ!U111,NĐ!AA111,NĐ!AG111,NĐ!AM111))=12)*(CHOOSE({1,2,3,4},NĐ!X111,NĐ!AD111,NĐ!AJ111,NĐ!AP111)))</f>
        <v>0</v>
      </c>
    </row>
    <row r="112" spans="1:12">
      <c r="A112">
        <f>SUMPRODUCT((MONTH(CHOOSE({1,2,3,4},NĐ!U112,NĐ!AA112,NĐ!AG112,NĐ!AM112))=1)*(CHOOSE({1,2,3,4},NĐ!X112,NĐ!AD112,NĐ!AJ112,NĐ!AP112)))</f>
        <v>0</v>
      </c>
      <c r="B112">
        <f>SUMPRODUCT((MONTH(CHOOSE({1,2,3,4},NĐ!U112,NĐ!AA112,NĐ!AG112,NĐ!AM112))=2)*(CHOOSE({1,2,3,4},NĐ!X112,NĐ!AD112,NĐ!AJ112,NĐ!AP112)))</f>
        <v>0</v>
      </c>
      <c r="C112">
        <f>SUMPRODUCT((MONTH(CHOOSE({1,2,3,4},NĐ!U112,NĐ!AA112,NĐ!AG112,NĐ!AM112))=3)*(CHOOSE({1,2,3,4},NĐ!X112,NĐ!AD112,NĐ!AJ112,NĐ!AP112)))</f>
        <v>0</v>
      </c>
      <c r="D112">
        <f>SUMPRODUCT((MONTH(CHOOSE({1,2,3,4},NĐ!U112,NĐ!AA112,NĐ!AG112,NĐ!AM112))=4)*(CHOOSE({1,2,3,4},NĐ!X112,NĐ!AD112,NĐ!AJ112,NĐ!AP112)))</f>
        <v>0</v>
      </c>
      <c r="E112">
        <f>SUMPRODUCT((MONTH(CHOOSE({1,2,3,4},NĐ!U112,NĐ!AA112,NĐ!AG112,NĐ!AM112))=5)*(CHOOSE({1,2,3,4},NĐ!X112,NĐ!AD112,NĐ!AJ112,NĐ!AP112)))</f>
        <v>0</v>
      </c>
      <c r="F112">
        <f>SUMPRODUCT((MONTH(CHOOSE({1,2,3,4},NĐ!U112,NĐ!AA112,NĐ!AG112,NĐ!AM112))=6)*(CHOOSE({1,2,3,4},NĐ!X112,NĐ!AD112,NĐ!AJ112,NĐ!AP112)))</f>
        <v>0</v>
      </c>
      <c r="G112">
        <f>SUMPRODUCT((MONTH(CHOOSE({1,2,3,4},NĐ!U112,NĐ!AA112,NĐ!AG112,NĐ!AM112))=7)*(CHOOSE({1,2,3,4},NĐ!X112,NĐ!AD112,NĐ!AJ112,NĐ!AP112)))</f>
        <v>0</v>
      </c>
      <c r="H112">
        <f>SUMPRODUCT((MONTH(CHOOSE({1,2,3,4},NĐ!U112,NĐ!AA112,NĐ!AG112,NĐ!AM112))=8)*(CHOOSE({1,2,3,4},NĐ!X112,NĐ!AD112,NĐ!AJ112,NĐ!AP112)))</f>
        <v>0</v>
      </c>
      <c r="I112">
        <f>SUMPRODUCT((MONTH(CHOOSE({1,2,3,4},NĐ!U112,NĐ!AA112,NĐ!AG112,NĐ!AM112))=9)*(CHOOSE({1,2,3,4},NĐ!X112,NĐ!AD112,NĐ!AJ112,NĐ!AP112)))</f>
        <v>0</v>
      </c>
      <c r="J112">
        <f>SUMPRODUCT((MONTH(CHOOSE({1,2,3,4},NĐ!U112,NĐ!AA112,NĐ!AG112,NĐ!AM112))=10)*(CHOOSE({1,2,3,4},NĐ!X112,NĐ!AD112,NĐ!AJ112,NĐ!AP112)))</f>
        <v>0</v>
      </c>
      <c r="K112">
        <f>SUMPRODUCT((MONTH(CHOOSE({1,2,3,4},NĐ!U112,NĐ!AA112,NĐ!AG112,NĐ!AM112))=11)*(CHOOSE({1,2,3,4},NĐ!X112,NĐ!AD112,NĐ!AJ112,NĐ!AP112)))</f>
        <v>0</v>
      </c>
      <c r="L112">
        <f>SUMPRODUCT((MONTH(CHOOSE({1,2,3,4},NĐ!U112,NĐ!AA112,NĐ!AG112,NĐ!AM112))=12)*(CHOOSE({1,2,3,4},NĐ!X112,NĐ!AD112,NĐ!AJ112,NĐ!AP112)))</f>
        <v>0</v>
      </c>
    </row>
    <row r="113" spans="1:12">
      <c r="A113">
        <f>SUMPRODUCT((MONTH(CHOOSE({1,2,3,4},NĐ!U113,NĐ!AA113,NĐ!AG113,NĐ!AM113))=1)*(CHOOSE({1,2,3,4},NĐ!X113,NĐ!AD113,NĐ!AJ113,NĐ!AP113)))</f>
        <v>0</v>
      </c>
      <c r="B113">
        <f>SUMPRODUCT((MONTH(CHOOSE({1,2,3,4},NĐ!U113,NĐ!AA113,NĐ!AG113,NĐ!AM113))=2)*(CHOOSE({1,2,3,4},NĐ!X113,NĐ!AD113,NĐ!AJ113,NĐ!AP113)))</f>
        <v>0</v>
      </c>
      <c r="C113">
        <f>SUMPRODUCT((MONTH(CHOOSE({1,2,3,4},NĐ!U113,NĐ!AA113,NĐ!AG113,NĐ!AM113))=3)*(CHOOSE({1,2,3,4},NĐ!X113,NĐ!AD113,NĐ!AJ113,NĐ!AP113)))</f>
        <v>0</v>
      </c>
      <c r="D113">
        <f>SUMPRODUCT((MONTH(CHOOSE({1,2,3,4},NĐ!U113,NĐ!AA113,NĐ!AG113,NĐ!AM113))=4)*(CHOOSE({1,2,3,4},NĐ!X113,NĐ!AD113,NĐ!AJ113,NĐ!AP113)))</f>
        <v>0</v>
      </c>
      <c r="E113">
        <f>SUMPRODUCT((MONTH(CHOOSE({1,2,3,4},NĐ!U113,NĐ!AA113,NĐ!AG113,NĐ!AM113))=5)*(CHOOSE({1,2,3,4},NĐ!X113,NĐ!AD113,NĐ!AJ113,NĐ!AP113)))</f>
        <v>0</v>
      </c>
      <c r="F113">
        <f>SUMPRODUCT((MONTH(CHOOSE({1,2,3,4},NĐ!U113,NĐ!AA113,NĐ!AG113,NĐ!AM113))=6)*(CHOOSE({1,2,3,4},NĐ!X113,NĐ!AD113,NĐ!AJ113,NĐ!AP113)))</f>
        <v>0</v>
      </c>
      <c r="G113">
        <f>SUMPRODUCT((MONTH(CHOOSE({1,2,3,4},NĐ!U113,NĐ!AA113,NĐ!AG113,NĐ!AM113))=7)*(CHOOSE({1,2,3,4},NĐ!X113,NĐ!AD113,NĐ!AJ113,NĐ!AP113)))</f>
        <v>0</v>
      </c>
      <c r="H113">
        <f>SUMPRODUCT((MONTH(CHOOSE({1,2,3,4},NĐ!U113,NĐ!AA113,NĐ!AG113,NĐ!AM113))=8)*(CHOOSE({1,2,3,4},NĐ!X113,NĐ!AD113,NĐ!AJ113,NĐ!AP113)))</f>
        <v>0</v>
      </c>
      <c r="I113">
        <f>SUMPRODUCT((MONTH(CHOOSE({1,2,3,4},NĐ!U113,NĐ!AA113,NĐ!AG113,NĐ!AM113))=9)*(CHOOSE({1,2,3,4},NĐ!X113,NĐ!AD113,NĐ!AJ113,NĐ!AP113)))</f>
        <v>0</v>
      </c>
      <c r="J113">
        <f>SUMPRODUCT((MONTH(CHOOSE({1,2,3,4},NĐ!U113,NĐ!AA113,NĐ!AG113,NĐ!AM113))=10)*(CHOOSE({1,2,3,4},NĐ!X113,NĐ!AD113,NĐ!AJ113,NĐ!AP113)))</f>
        <v>0</v>
      </c>
      <c r="K113">
        <f>SUMPRODUCT((MONTH(CHOOSE({1,2,3,4},NĐ!U113,NĐ!AA113,NĐ!AG113,NĐ!AM113))=11)*(CHOOSE({1,2,3,4},NĐ!X113,NĐ!AD113,NĐ!AJ113,NĐ!AP113)))</f>
        <v>0</v>
      </c>
      <c r="L113">
        <f>SUMPRODUCT((MONTH(CHOOSE({1,2,3,4},NĐ!U113,NĐ!AA113,NĐ!AG113,NĐ!AM113))=12)*(CHOOSE({1,2,3,4},NĐ!X113,NĐ!AD113,NĐ!AJ113,NĐ!AP113)))</f>
        <v>0</v>
      </c>
    </row>
    <row r="114" spans="1:12">
      <c r="A114">
        <f>SUMPRODUCT((MONTH(CHOOSE({1,2,3,4},NĐ!U114,NĐ!AA114,NĐ!AG114,NĐ!AM114))=1)*(CHOOSE({1,2,3,4},NĐ!X114,NĐ!AD114,NĐ!AJ114,NĐ!AP114)))</f>
        <v>0</v>
      </c>
      <c r="B114">
        <f>SUMPRODUCT((MONTH(CHOOSE({1,2,3,4},NĐ!U114,NĐ!AA114,NĐ!AG114,NĐ!AM114))=2)*(CHOOSE({1,2,3,4},NĐ!X114,NĐ!AD114,NĐ!AJ114,NĐ!AP114)))</f>
        <v>0</v>
      </c>
      <c r="C114">
        <f>SUMPRODUCT((MONTH(CHOOSE({1,2,3,4},NĐ!U114,NĐ!AA114,NĐ!AG114,NĐ!AM114))=3)*(CHOOSE({1,2,3,4},NĐ!X114,NĐ!AD114,NĐ!AJ114,NĐ!AP114)))</f>
        <v>0</v>
      </c>
      <c r="D114">
        <f>SUMPRODUCT((MONTH(CHOOSE({1,2,3,4},NĐ!U114,NĐ!AA114,NĐ!AG114,NĐ!AM114))=4)*(CHOOSE({1,2,3,4},NĐ!X114,NĐ!AD114,NĐ!AJ114,NĐ!AP114)))</f>
        <v>0</v>
      </c>
      <c r="E114">
        <f>SUMPRODUCT((MONTH(CHOOSE({1,2,3,4},NĐ!U114,NĐ!AA114,NĐ!AG114,NĐ!AM114))=5)*(CHOOSE({1,2,3,4},NĐ!X114,NĐ!AD114,NĐ!AJ114,NĐ!AP114)))</f>
        <v>0</v>
      </c>
      <c r="F114">
        <f>SUMPRODUCT((MONTH(CHOOSE({1,2,3,4},NĐ!U114,NĐ!AA114,NĐ!AG114,NĐ!AM114))=6)*(CHOOSE({1,2,3,4},NĐ!X114,NĐ!AD114,NĐ!AJ114,NĐ!AP114)))</f>
        <v>0</v>
      </c>
      <c r="G114">
        <f>SUMPRODUCT((MONTH(CHOOSE({1,2,3,4},NĐ!U114,NĐ!AA114,NĐ!AG114,NĐ!AM114))=7)*(CHOOSE({1,2,3,4},NĐ!X114,NĐ!AD114,NĐ!AJ114,NĐ!AP114)))</f>
        <v>0</v>
      </c>
      <c r="H114">
        <f>SUMPRODUCT((MONTH(CHOOSE({1,2,3,4},NĐ!U114,NĐ!AA114,NĐ!AG114,NĐ!AM114))=8)*(CHOOSE({1,2,3,4},NĐ!X114,NĐ!AD114,NĐ!AJ114,NĐ!AP114)))</f>
        <v>0</v>
      </c>
      <c r="I114">
        <f>SUMPRODUCT((MONTH(CHOOSE({1,2,3,4},NĐ!U114,NĐ!AA114,NĐ!AG114,NĐ!AM114))=9)*(CHOOSE({1,2,3,4},NĐ!X114,NĐ!AD114,NĐ!AJ114,NĐ!AP114)))</f>
        <v>0</v>
      </c>
      <c r="J114">
        <f>SUMPRODUCT((MONTH(CHOOSE({1,2,3,4},NĐ!U114,NĐ!AA114,NĐ!AG114,NĐ!AM114))=10)*(CHOOSE({1,2,3,4},NĐ!X114,NĐ!AD114,NĐ!AJ114,NĐ!AP114)))</f>
        <v>0</v>
      </c>
      <c r="K114">
        <f>SUMPRODUCT((MONTH(CHOOSE({1,2,3,4},NĐ!U114,NĐ!AA114,NĐ!AG114,NĐ!AM114))=11)*(CHOOSE({1,2,3,4},NĐ!X114,NĐ!AD114,NĐ!AJ114,NĐ!AP114)))</f>
        <v>0</v>
      </c>
      <c r="L114">
        <f>SUMPRODUCT((MONTH(CHOOSE({1,2,3,4},NĐ!U114,NĐ!AA114,NĐ!AG114,NĐ!AM114))=12)*(CHOOSE({1,2,3,4},NĐ!X114,NĐ!AD114,NĐ!AJ114,NĐ!AP114)))</f>
        <v>0</v>
      </c>
    </row>
    <row r="115" spans="1:12">
      <c r="A115">
        <f>SUMPRODUCT((MONTH(CHOOSE({1,2,3,4},NĐ!U115,NĐ!AA115,NĐ!AG115,NĐ!AM115))=1)*(CHOOSE({1,2,3,4},NĐ!X115,NĐ!AD115,NĐ!AJ115,NĐ!AP115)))</f>
        <v>0</v>
      </c>
      <c r="B115">
        <f>SUMPRODUCT((MONTH(CHOOSE({1,2,3,4},NĐ!U115,NĐ!AA115,NĐ!AG115,NĐ!AM115))=2)*(CHOOSE({1,2,3,4},NĐ!X115,NĐ!AD115,NĐ!AJ115,NĐ!AP115)))</f>
        <v>0</v>
      </c>
      <c r="C115">
        <f>SUMPRODUCT((MONTH(CHOOSE({1,2,3,4},NĐ!U115,NĐ!AA115,NĐ!AG115,NĐ!AM115))=3)*(CHOOSE({1,2,3,4},NĐ!X115,NĐ!AD115,NĐ!AJ115,NĐ!AP115)))</f>
        <v>0</v>
      </c>
      <c r="D115">
        <f>SUMPRODUCT((MONTH(CHOOSE({1,2,3,4},NĐ!U115,NĐ!AA115,NĐ!AG115,NĐ!AM115))=4)*(CHOOSE({1,2,3,4},NĐ!X115,NĐ!AD115,NĐ!AJ115,NĐ!AP115)))</f>
        <v>0</v>
      </c>
      <c r="E115">
        <f>SUMPRODUCT((MONTH(CHOOSE({1,2,3,4},NĐ!U115,NĐ!AA115,NĐ!AG115,NĐ!AM115))=5)*(CHOOSE({1,2,3,4},NĐ!X115,NĐ!AD115,NĐ!AJ115,NĐ!AP115)))</f>
        <v>0</v>
      </c>
      <c r="F115">
        <f>SUMPRODUCT((MONTH(CHOOSE({1,2,3,4},NĐ!U115,NĐ!AA115,NĐ!AG115,NĐ!AM115))=6)*(CHOOSE({1,2,3,4},NĐ!X115,NĐ!AD115,NĐ!AJ115,NĐ!AP115)))</f>
        <v>0</v>
      </c>
      <c r="G115">
        <f>SUMPRODUCT((MONTH(CHOOSE({1,2,3,4},NĐ!U115,NĐ!AA115,NĐ!AG115,NĐ!AM115))=7)*(CHOOSE({1,2,3,4},NĐ!X115,NĐ!AD115,NĐ!AJ115,NĐ!AP115)))</f>
        <v>0</v>
      </c>
      <c r="H115">
        <f>SUMPRODUCT((MONTH(CHOOSE({1,2,3,4},NĐ!U115,NĐ!AA115,NĐ!AG115,NĐ!AM115))=8)*(CHOOSE({1,2,3,4},NĐ!X115,NĐ!AD115,NĐ!AJ115,NĐ!AP115)))</f>
        <v>0</v>
      </c>
      <c r="I115">
        <f>SUMPRODUCT((MONTH(CHOOSE({1,2,3,4},NĐ!U115,NĐ!AA115,NĐ!AG115,NĐ!AM115))=9)*(CHOOSE({1,2,3,4},NĐ!X115,NĐ!AD115,NĐ!AJ115,NĐ!AP115)))</f>
        <v>0</v>
      </c>
      <c r="J115">
        <f>SUMPRODUCT((MONTH(CHOOSE({1,2,3,4},NĐ!U115,NĐ!AA115,NĐ!AG115,NĐ!AM115))=10)*(CHOOSE({1,2,3,4},NĐ!X115,NĐ!AD115,NĐ!AJ115,NĐ!AP115)))</f>
        <v>0</v>
      </c>
      <c r="K115">
        <f>SUMPRODUCT((MONTH(CHOOSE({1,2,3,4},NĐ!U115,NĐ!AA115,NĐ!AG115,NĐ!AM115))=11)*(CHOOSE({1,2,3,4},NĐ!X115,NĐ!AD115,NĐ!AJ115,NĐ!AP115)))</f>
        <v>0</v>
      </c>
      <c r="L115">
        <f>SUMPRODUCT((MONTH(CHOOSE({1,2,3,4},NĐ!U115,NĐ!AA115,NĐ!AG115,NĐ!AM115))=12)*(CHOOSE({1,2,3,4},NĐ!X115,NĐ!AD115,NĐ!AJ115,NĐ!AP115)))</f>
        <v>0</v>
      </c>
    </row>
    <row r="116" spans="1:12">
      <c r="A116">
        <f>SUMPRODUCT((MONTH(CHOOSE({1,2,3,4},NĐ!U116,NĐ!AA116,NĐ!AG116,NĐ!AM116))=1)*(CHOOSE({1,2,3,4},NĐ!X116,NĐ!AD116,NĐ!AJ116,NĐ!AP116)))</f>
        <v>0</v>
      </c>
      <c r="B116">
        <f>SUMPRODUCT((MONTH(CHOOSE({1,2,3,4},NĐ!U116,NĐ!AA116,NĐ!AG116,NĐ!AM116))=2)*(CHOOSE({1,2,3,4},NĐ!X116,NĐ!AD116,NĐ!AJ116,NĐ!AP116)))</f>
        <v>0</v>
      </c>
      <c r="C116">
        <f>SUMPRODUCT((MONTH(CHOOSE({1,2,3,4},NĐ!U116,NĐ!AA116,NĐ!AG116,NĐ!AM116))=3)*(CHOOSE({1,2,3,4},NĐ!X116,NĐ!AD116,NĐ!AJ116,NĐ!AP116)))</f>
        <v>0</v>
      </c>
      <c r="D116">
        <f>SUMPRODUCT((MONTH(CHOOSE({1,2,3,4},NĐ!U116,NĐ!AA116,NĐ!AG116,NĐ!AM116))=4)*(CHOOSE({1,2,3,4},NĐ!X116,NĐ!AD116,NĐ!AJ116,NĐ!AP116)))</f>
        <v>0</v>
      </c>
      <c r="E116">
        <f>SUMPRODUCT((MONTH(CHOOSE({1,2,3,4},NĐ!U116,NĐ!AA116,NĐ!AG116,NĐ!AM116))=5)*(CHOOSE({1,2,3,4},NĐ!X116,NĐ!AD116,NĐ!AJ116,NĐ!AP116)))</f>
        <v>0</v>
      </c>
      <c r="F116">
        <f>SUMPRODUCT((MONTH(CHOOSE({1,2,3,4},NĐ!U116,NĐ!AA116,NĐ!AG116,NĐ!AM116))=6)*(CHOOSE({1,2,3,4},NĐ!X116,NĐ!AD116,NĐ!AJ116,NĐ!AP116)))</f>
        <v>0</v>
      </c>
      <c r="G116">
        <f>SUMPRODUCT((MONTH(CHOOSE({1,2,3,4},NĐ!U116,NĐ!AA116,NĐ!AG116,NĐ!AM116))=7)*(CHOOSE({1,2,3,4},NĐ!X116,NĐ!AD116,NĐ!AJ116,NĐ!AP116)))</f>
        <v>0</v>
      </c>
      <c r="H116">
        <f>SUMPRODUCT((MONTH(CHOOSE({1,2,3,4},NĐ!U116,NĐ!AA116,NĐ!AG116,NĐ!AM116))=8)*(CHOOSE({1,2,3,4},NĐ!X116,NĐ!AD116,NĐ!AJ116,NĐ!AP116)))</f>
        <v>0</v>
      </c>
      <c r="I116">
        <f>SUMPRODUCT((MONTH(CHOOSE({1,2,3,4},NĐ!U116,NĐ!AA116,NĐ!AG116,NĐ!AM116))=9)*(CHOOSE({1,2,3,4},NĐ!X116,NĐ!AD116,NĐ!AJ116,NĐ!AP116)))</f>
        <v>0</v>
      </c>
      <c r="J116">
        <f>SUMPRODUCT((MONTH(CHOOSE({1,2,3,4},NĐ!U116,NĐ!AA116,NĐ!AG116,NĐ!AM116))=10)*(CHOOSE({1,2,3,4},NĐ!X116,NĐ!AD116,NĐ!AJ116,NĐ!AP116)))</f>
        <v>0</v>
      </c>
      <c r="K116">
        <f>SUMPRODUCT((MONTH(CHOOSE({1,2,3,4},NĐ!U116,NĐ!AA116,NĐ!AG116,NĐ!AM116))=11)*(CHOOSE({1,2,3,4},NĐ!X116,NĐ!AD116,NĐ!AJ116,NĐ!AP116)))</f>
        <v>0</v>
      </c>
      <c r="L116">
        <f>SUMPRODUCT((MONTH(CHOOSE({1,2,3,4},NĐ!U116,NĐ!AA116,NĐ!AG116,NĐ!AM116))=12)*(CHOOSE({1,2,3,4},NĐ!X116,NĐ!AD116,NĐ!AJ116,NĐ!AP116)))</f>
        <v>0</v>
      </c>
    </row>
    <row r="117" spans="1:12">
      <c r="A117">
        <f>SUMPRODUCT((MONTH(CHOOSE({1,2,3,4},NĐ!U117,NĐ!AA117,NĐ!AG117,NĐ!AM117))=1)*(CHOOSE({1,2,3,4},NĐ!X117,NĐ!AD117,NĐ!AJ117,NĐ!AP117)))</f>
        <v>0</v>
      </c>
      <c r="B117">
        <f>SUMPRODUCT((MONTH(CHOOSE({1,2,3,4},NĐ!U117,NĐ!AA117,NĐ!AG117,NĐ!AM117))=2)*(CHOOSE({1,2,3,4},NĐ!X117,NĐ!AD117,NĐ!AJ117,NĐ!AP117)))</f>
        <v>0</v>
      </c>
      <c r="C117">
        <f>SUMPRODUCT((MONTH(CHOOSE({1,2,3,4},NĐ!U117,NĐ!AA117,NĐ!AG117,NĐ!AM117))=3)*(CHOOSE({1,2,3,4},NĐ!X117,NĐ!AD117,NĐ!AJ117,NĐ!AP117)))</f>
        <v>0</v>
      </c>
      <c r="D117">
        <f>SUMPRODUCT((MONTH(CHOOSE({1,2,3,4},NĐ!U117,NĐ!AA117,NĐ!AG117,NĐ!AM117))=4)*(CHOOSE({1,2,3,4},NĐ!X117,NĐ!AD117,NĐ!AJ117,NĐ!AP117)))</f>
        <v>0</v>
      </c>
      <c r="E117">
        <f>SUMPRODUCT((MONTH(CHOOSE({1,2,3,4},NĐ!U117,NĐ!AA117,NĐ!AG117,NĐ!AM117))=5)*(CHOOSE({1,2,3,4},NĐ!X117,NĐ!AD117,NĐ!AJ117,NĐ!AP117)))</f>
        <v>0</v>
      </c>
      <c r="F117">
        <f>SUMPRODUCT((MONTH(CHOOSE({1,2,3,4},NĐ!U117,NĐ!AA117,NĐ!AG117,NĐ!AM117))=6)*(CHOOSE({1,2,3,4},NĐ!X117,NĐ!AD117,NĐ!AJ117,NĐ!AP117)))</f>
        <v>0</v>
      </c>
      <c r="G117">
        <f>SUMPRODUCT((MONTH(CHOOSE({1,2,3,4},NĐ!U117,NĐ!AA117,NĐ!AG117,NĐ!AM117))=7)*(CHOOSE({1,2,3,4},NĐ!X117,NĐ!AD117,NĐ!AJ117,NĐ!AP117)))</f>
        <v>0</v>
      </c>
      <c r="H117">
        <f>SUMPRODUCT((MONTH(CHOOSE({1,2,3,4},NĐ!U117,NĐ!AA117,NĐ!AG117,NĐ!AM117))=8)*(CHOOSE({1,2,3,4},NĐ!X117,NĐ!AD117,NĐ!AJ117,NĐ!AP117)))</f>
        <v>0</v>
      </c>
      <c r="I117">
        <f>SUMPRODUCT((MONTH(CHOOSE({1,2,3,4},NĐ!U117,NĐ!AA117,NĐ!AG117,NĐ!AM117))=9)*(CHOOSE({1,2,3,4},NĐ!X117,NĐ!AD117,NĐ!AJ117,NĐ!AP117)))</f>
        <v>0</v>
      </c>
      <c r="J117">
        <f>SUMPRODUCT((MONTH(CHOOSE({1,2,3,4},NĐ!U117,NĐ!AA117,NĐ!AG117,NĐ!AM117))=10)*(CHOOSE({1,2,3,4},NĐ!X117,NĐ!AD117,NĐ!AJ117,NĐ!AP117)))</f>
        <v>0</v>
      </c>
      <c r="K117">
        <f>SUMPRODUCT((MONTH(CHOOSE({1,2,3,4},NĐ!U117,NĐ!AA117,NĐ!AG117,NĐ!AM117))=11)*(CHOOSE({1,2,3,4},NĐ!X117,NĐ!AD117,NĐ!AJ117,NĐ!AP117)))</f>
        <v>0</v>
      </c>
      <c r="L117">
        <f>SUMPRODUCT((MONTH(CHOOSE({1,2,3,4},NĐ!U117,NĐ!AA117,NĐ!AG117,NĐ!AM117))=12)*(CHOOSE({1,2,3,4},NĐ!X117,NĐ!AD117,NĐ!AJ117,NĐ!AP117)))</f>
        <v>0</v>
      </c>
    </row>
    <row r="118" spans="1:12">
      <c r="A118">
        <f>SUMPRODUCT((MONTH(CHOOSE({1,2,3,4},NĐ!U118,NĐ!AA118,NĐ!AG118,NĐ!AM118))=1)*(CHOOSE({1,2,3,4},NĐ!X118,NĐ!AD118,NĐ!AJ118,NĐ!AP118)))</f>
        <v>0</v>
      </c>
      <c r="B118">
        <f>SUMPRODUCT((MONTH(CHOOSE({1,2,3,4},NĐ!U118,NĐ!AA118,NĐ!AG118,NĐ!AM118))=2)*(CHOOSE({1,2,3,4},NĐ!X118,NĐ!AD118,NĐ!AJ118,NĐ!AP118)))</f>
        <v>0</v>
      </c>
      <c r="C118">
        <f>SUMPRODUCT((MONTH(CHOOSE({1,2,3,4},NĐ!U118,NĐ!AA118,NĐ!AG118,NĐ!AM118))=3)*(CHOOSE({1,2,3,4},NĐ!X118,NĐ!AD118,NĐ!AJ118,NĐ!AP118)))</f>
        <v>0</v>
      </c>
      <c r="D118">
        <f>SUMPRODUCT((MONTH(CHOOSE({1,2,3,4},NĐ!U118,NĐ!AA118,NĐ!AG118,NĐ!AM118))=4)*(CHOOSE({1,2,3,4},NĐ!X118,NĐ!AD118,NĐ!AJ118,NĐ!AP118)))</f>
        <v>0</v>
      </c>
      <c r="E118">
        <f>SUMPRODUCT((MONTH(CHOOSE({1,2,3,4},NĐ!U118,NĐ!AA118,NĐ!AG118,NĐ!AM118))=5)*(CHOOSE({1,2,3,4},NĐ!X118,NĐ!AD118,NĐ!AJ118,NĐ!AP118)))</f>
        <v>0</v>
      </c>
      <c r="F118">
        <f>SUMPRODUCT((MONTH(CHOOSE({1,2,3,4},NĐ!U118,NĐ!AA118,NĐ!AG118,NĐ!AM118))=6)*(CHOOSE({1,2,3,4},NĐ!X118,NĐ!AD118,NĐ!AJ118,NĐ!AP118)))</f>
        <v>0</v>
      </c>
      <c r="G118">
        <f>SUMPRODUCT((MONTH(CHOOSE({1,2,3,4},NĐ!U118,NĐ!AA118,NĐ!AG118,NĐ!AM118))=7)*(CHOOSE({1,2,3,4},NĐ!X118,NĐ!AD118,NĐ!AJ118,NĐ!AP118)))</f>
        <v>0</v>
      </c>
      <c r="H118">
        <f>SUMPRODUCT((MONTH(CHOOSE({1,2,3,4},NĐ!U118,NĐ!AA118,NĐ!AG118,NĐ!AM118))=8)*(CHOOSE({1,2,3,4},NĐ!X118,NĐ!AD118,NĐ!AJ118,NĐ!AP118)))</f>
        <v>0</v>
      </c>
      <c r="I118">
        <f>SUMPRODUCT((MONTH(CHOOSE({1,2,3,4},NĐ!U118,NĐ!AA118,NĐ!AG118,NĐ!AM118))=9)*(CHOOSE({1,2,3,4},NĐ!X118,NĐ!AD118,NĐ!AJ118,NĐ!AP118)))</f>
        <v>0</v>
      </c>
      <c r="J118">
        <f>SUMPRODUCT((MONTH(CHOOSE({1,2,3,4},NĐ!U118,NĐ!AA118,NĐ!AG118,NĐ!AM118))=10)*(CHOOSE({1,2,3,4},NĐ!X118,NĐ!AD118,NĐ!AJ118,NĐ!AP118)))</f>
        <v>0</v>
      </c>
      <c r="K118">
        <f>SUMPRODUCT((MONTH(CHOOSE({1,2,3,4},NĐ!U118,NĐ!AA118,NĐ!AG118,NĐ!AM118))=11)*(CHOOSE({1,2,3,4},NĐ!X118,NĐ!AD118,NĐ!AJ118,NĐ!AP118)))</f>
        <v>0</v>
      </c>
      <c r="L118">
        <f>SUMPRODUCT((MONTH(CHOOSE({1,2,3,4},NĐ!U118,NĐ!AA118,NĐ!AG118,NĐ!AM118))=12)*(CHOOSE({1,2,3,4},NĐ!X118,NĐ!AD118,NĐ!AJ118,NĐ!AP118)))</f>
        <v>0</v>
      </c>
    </row>
    <row r="119" spans="1:12">
      <c r="A119">
        <f>SUMPRODUCT((MONTH(CHOOSE({1,2,3,4},NĐ!U119,NĐ!AA119,NĐ!AG119,NĐ!AM119))=1)*(CHOOSE({1,2,3,4},NĐ!X119,NĐ!AD119,NĐ!AJ119,NĐ!AP119)))</f>
        <v>0</v>
      </c>
      <c r="B119">
        <f>SUMPRODUCT((MONTH(CHOOSE({1,2,3,4},NĐ!U119,NĐ!AA119,NĐ!AG119,NĐ!AM119))=2)*(CHOOSE({1,2,3,4},NĐ!X119,NĐ!AD119,NĐ!AJ119,NĐ!AP119)))</f>
        <v>0</v>
      </c>
      <c r="C119">
        <f>SUMPRODUCT((MONTH(CHOOSE({1,2,3,4},NĐ!U119,NĐ!AA119,NĐ!AG119,NĐ!AM119))=3)*(CHOOSE({1,2,3,4},NĐ!X119,NĐ!AD119,NĐ!AJ119,NĐ!AP119)))</f>
        <v>0</v>
      </c>
      <c r="D119">
        <f>SUMPRODUCT((MONTH(CHOOSE({1,2,3,4},NĐ!U119,NĐ!AA119,NĐ!AG119,NĐ!AM119))=4)*(CHOOSE({1,2,3,4},NĐ!X119,NĐ!AD119,NĐ!AJ119,NĐ!AP119)))</f>
        <v>0</v>
      </c>
      <c r="E119">
        <f>SUMPRODUCT((MONTH(CHOOSE({1,2,3,4},NĐ!U119,NĐ!AA119,NĐ!AG119,NĐ!AM119))=5)*(CHOOSE({1,2,3,4},NĐ!X119,NĐ!AD119,NĐ!AJ119,NĐ!AP119)))</f>
        <v>0</v>
      </c>
      <c r="F119">
        <f>SUMPRODUCT((MONTH(CHOOSE({1,2,3,4},NĐ!U119,NĐ!AA119,NĐ!AG119,NĐ!AM119))=6)*(CHOOSE({1,2,3,4},NĐ!X119,NĐ!AD119,NĐ!AJ119,NĐ!AP119)))</f>
        <v>0</v>
      </c>
      <c r="G119">
        <f>SUMPRODUCT((MONTH(CHOOSE({1,2,3,4},NĐ!U119,NĐ!AA119,NĐ!AG119,NĐ!AM119))=7)*(CHOOSE({1,2,3,4},NĐ!X119,NĐ!AD119,NĐ!AJ119,NĐ!AP119)))</f>
        <v>0</v>
      </c>
      <c r="H119">
        <f>SUMPRODUCT((MONTH(CHOOSE({1,2,3,4},NĐ!U119,NĐ!AA119,NĐ!AG119,NĐ!AM119))=8)*(CHOOSE({1,2,3,4},NĐ!X119,NĐ!AD119,NĐ!AJ119,NĐ!AP119)))</f>
        <v>0</v>
      </c>
      <c r="I119">
        <f>SUMPRODUCT((MONTH(CHOOSE({1,2,3,4},NĐ!U119,NĐ!AA119,NĐ!AG119,NĐ!AM119))=9)*(CHOOSE({1,2,3,4},NĐ!X119,NĐ!AD119,NĐ!AJ119,NĐ!AP119)))</f>
        <v>0</v>
      </c>
      <c r="J119">
        <f>SUMPRODUCT((MONTH(CHOOSE({1,2,3,4},NĐ!U119,NĐ!AA119,NĐ!AG119,NĐ!AM119))=10)*(CHOOSE({1,2,3,4},NĐ!X119,NĐ!AD119,NĐ!AJ119,NĐ!AP119)))</f>
        <v>0</v>
      </c>
      <c r="K119">
        <f>SUMPRODUCT((MONTH(CHOOSE({1,2,3,4},NĐ!U119,NĐ!AA119,NĐ!AG119,NĐ!AM119))=11)*(CHOOSE({1,2,3,4},NĐ!X119,NĐ!AD119,NĐ!AJ119,NĐ!AP119)))</f>
        <v>0</v>
      </c>
      <c r="L119">
        <f>SUMPRODUCT((MONTH(CHOOSE({1,2,3,4},NĐ!U119,NĐ!AA119,NĐ!AG119,NĐ!AM119))=12)*(CHOOSE({1,2,3,4},NĐ!X119,NĐ!AD119,NĐ!AJ119,NĐ!AP119)))</f>
        <v>0</v>
      </c>
    </row>
    <row r="120" spans="1:12">
      <c r="A120">
        <f>SUMPRODUCT((MONTH(CHOOSE({1,2,3,4},NĐ!U120,NĐ!AA120,NĐ!AG120,NĐ!AM120))=1)*(CHOOSE({1,2,3,4},NĐ!X120,NĐ!AD120,NĐ!AJ120,NĐ!AP120)))</f>
        <v>0</v>
      </c>
      <c r="B120">
        <f>SUMPRODUCT((MONTH(CHOOSE({1,2,3,4},NĐ!U120,NĐ!AA120,NĐ!AG120,NĐ!AM120))=2)*(CHOOSE({1,2,3,4},NĐ!X120,NĐ!AD120,NĐ!AJ120,NĐ!AP120)))</f>
        <v>0</v>
      </c>
      <c r="C120">
        <f>SUMPRODUCT((MONTH(CHOOSE({1,2,3,4},NĐ!U120,NĐ!AA120,NĐ!AG120,NĐ!AM120))=3)*(CHOOSE({1,2,3,4},NĐ!X120,NĐ!AD120,NĐ!AJ120,NĐ!AP120)))</f>
        <v>0</v>
      </c>
      <c r="D120">
        <f>SUMPRODUCT((MONTH(CHOOSE({1,2,3,4},NĐ!U120,NĐ!AA120,NĐ!AG120,NĐ!AM120))=4)*(CHOOSE({1,2,3,4},NĐ!X120,NĐ!AD120,NĐ!AJ120,NĐ!AP120)))</f>
        <v>0</v>
      </c>
      <c r="E120">
        <f>SUMPRODUCT((MONTH(CHOOSE({1,2,3,4},NĐ!U120,NĐ!AA120,NĐ!AG120,NĐ!AM120))=5)*(CHOOSE({1,2,3,4},NĐ!X120,NĐ!AD120,NĐ!AJ120,NĐ!AP120)))</f>
        <v>0</v>
      </c>
      <c r="F120">
        <f>SUMPRODUCT((MONTH(CHOOSE({1,2,3,4},NĐ!U120,NĐ!AA120,NĐ!AG120,NĐ!AM120))=6)*(CHOOSE({1,2,3,4},NĐ!X120,NĐ!AD120,NĐ!AJ120,NĐ!AP120)))</f>
        <v>0</v>
      </c>
      <c r="G120">
        <f>SUMPRODUCT((MONTH(CHOOSE({1,2,3,4},NĐ!U120,NĐ!AA120,NĐ!AG120,NĐ!AM120))=7)*(CHOOSE({1,2,3,4},NĐ!X120,NĐ!AD120,NĐ!AJ120,NĐ!AP120)))</f>
        <v>0</v>
      </c>
      <c r="H120">
        <f>SUMPRODUCT((MONTH(CHOOSE({1,2,3,4},NĐ!U120,NĐ!AA120,NĐ!AG120,NĐ!AM120))=8)*(CHOOSE({1,2,3,4},NĐ!X120,NĐ!AD120,NĐ!AJ120,NĐ!AP120)))</f>
        <v>0</v>
      </c>
      <c r="I120">
        <f>SUMPRODUCT((MONTH(CHOOSE({1,2,3,4},NĐ!U120,NĐ!AA120,NĐ!AG120,NĐ!AM120))=9)*(CHOOSE({1,2,3,4},NĐ!X120,NĐ!AD120,NĐ!AJ120,NĐ!AP120)))</f>
        <v>0</v>
      </c>
      <c r="J120">
        <f>SUMPRODUCT((MONTH(CHOOSE({1,2,3,4},NĐ!U120,NĐ!AA120,NĐ!AG120,NĐ!AM120))=10)*(CHOOSE({1,2,3,4},NĐ!X120,NĐ!AD120,NĐ!AJ120,NĐ!AP120)))</f>
        <v>0</v>
      </c>
      <c r="K120">
        <f>SUMPRODUCT((MONTH(CHOOSE({1,2,3,4},NĐ!U120,NĐ!AA120,NĐ!AG120,NĐ!AM120))=11)*(CHOOSE({1,2,3,4},NĐ!X120,NĐ!AD120,NĐ!AJ120,NĐ!AP120)))</f>
        <v>0</v>
      </c>
      <c r="L120">
        <f>SUMPRODUCT((MONTH(CHOOSE({1,2,3,4},NĐ!U120,NĐ!AA120,NĐ!AG120,NĐ!AM120))=12)*(CHOOSE({1,2,3,4},NĐ!X120,NĐ!AD120,NĐ!AJ120,NĐ!AP120)))</f>
        <v>0</v>
      </c>
    </row>
    <row r="121" spans="1:12">
      <c r="A121">
        <f>SUMPRODUCT((MONTH(CHOOSE({1,2,3,4},NĐ!U121,NĐ!AA121,NĐ!AG121,NĐ!AM121))=1)*(CHOOSE({1,2,3,4},NĐ!X121,NĐ!AD121,NĐ!AJ121,NĐ!AP121)))</f>
        <v>0</v>
      </c>
      <c r="B121">
        <f>SUMPRODUCT((MONTH(CHOOSE({1,2,3,4},NĐ!U121,NĐ!AA121,NĐ!AG121,NĐ!AM121))=2)*(CHOOSE({1,2,3,4},NĐ!X121,NĐ!AD121,NĐ!AJ121,NĐ!AP121)))</f>
        <v>0</v>
      </c>
      <c r="C121">
        <f>SUMPRODUCT((MONTH(CHOOSE({1,2,3,4},NĐ!U121,NĐ!AA121,NĐ!AG121,NĐ!AM121))=3)*(CHOOSE({1,2,3,4},NĐ!X121,NĐ!AD121,NĐ!AJ121,NĐ!AP121)))</f>
        <v>0</v>
      </c>
      <c r="D121">
        <f>SUMPRODUCT((MONTH(CHOOSE({1,2,3,4},NĐ!U121,NĐ!AA121,NĐ!AG121,NĐ!AM121))=4)*(CHOOSE({1,2,3,4},NĐ!X121,NĐ!AD121,NĐ!AJ121,NĐ!AP121)))</f>
        <v>0</v>
      </c>
      <c r="E121">
        <f>SUMPRODUCT((MONTH(CHOOSE({1,2,3,4},NĐ!U121,NĐ!AA121,NĐ!AG121,NĐ!AM121))=5)*(CHOOSE({1,2,3,4},NĐ!X121,NĐ!AD121,NĐ!AJ121,NĐ!AP121)))</f>
        <v>0</v>
      </c>
      <c r="F121">
        <f>SUMPRODUCT((MONTH(CHOOSE({1,2,3,4},NĐ!U121,NĐ!AA121,NĐ!AG121,NĐ!AM121))=6)*(CHOOSE({1,2,3,4},NĐ!X121,NĐ!AD121,NĐ!AJ121,NĐ!AP121)))</f>
        <v>0</v>
      </c>
      <c r="G121">
        <f>SUMPRODUCT((MONTH(CHOOSE({1,2,3,4},NĐ!U121,NĐ!AA121,NĐ!AG121,NĐ!AM121))=7)*(CHOOSE({1,2,3,4},NĐ!X121,NĐ!AD121,NĐ!AJ121,NĐ!AP121)))</f>
        <v>0</v>
      </c>
      <c r="H121">
        <f>SUMPRODUCT((MONTH(CHOOSE({1,2,3,4},NĐ!U121,NĐ!AA121,NĐ!AG121,NĐ!AM121))=8)*(CHOOSE({1,2,3,4},NĐ!X121,NĐ!AD121,NĐ!AJ121,NĐ!AP121)))</f>
        <v>0</v>
      </c>
      <c r="I121">
        <f>SUMPRODUCT((MONTH(CHOOSE({1,2,3,4},NĐ!U121,NĐ!AA121,NĐ!AG121,NĐ!AM121))=9)*(CHOOSE({1,2,3,4},NĐ!X121,NĐ!AD121,NĐ!AJ121,NĐ!AP121)))</f>
        <v>0</v>
      </c>
      <c r="J121">
        <f>SUMPRODUCT((MONTH(CHOOSE({1,2,3,4},NĐ!U121,NĐ!AA121,NĐ!AG121,NĐ!AM121))=10)*(CHOOSE({1,2,3,4},NĐ!X121,NĐ!AD121,NĐ!AJ121,NĐ!AP121)))</f>
        <v>0</v>
      </c>
      <c r="K121">
        <f>SUMPRODUCT((MONTH(CHOOSE({1,2,3,4},NĐ!U121,NĐ!AA121,NĐ!AG121,NĐ!AM121))=11)*(CHOOSE({1,2,3,4},NĐ!X121,NĐ!AD121,NĐ!AJ121,NĐ!AP121)))</f>
        <v>0</v>
      </c>
      <c r="L121">
        <f>SUMPRODUCT((MONTH(CHOOSE({1,2,3,4},NĐ!U121,NĐ!AA121,NĐ!AG121,NĐ!AM121))=12)*(CHOOSE({1,2,3,4},NĐ!X121,NĐ!AD121,NĐ!AJ121,NĐ!AP121)))</f>
        <v>0</v>
      </c>
    </row>
    <row r="122" spans="1:12">
      <c r="A122">
        <f>SUMPRODUCT((MONTH(CHOOSE({1,2,3,4},NĐ!U122,NĐ!AA122,NĐ!AG122,NĐ!AM122))=1)*(CHOOSE({1,2,3,4},NĐ!X122,NĐ!AD122,NĐ!AJ122,NĐ!AP122)))</f>
        <v>0</v>
      </c>
      <c r="B122">
        <f>SUMPRODUCT((MONTH(CHOOSE({1,2,3,4},NĐ!U122,NĐ!AA122,NĐ!AG122,NĐ!AM122))=2)*(CHOOSE({1,2,3,4},NĐ!X122,NĐ!AD122,NĐ!AJ122,NĐ!AP122)))</f>
        <v>0</v>
      </c>
      <c r="C122">
        <f>SUMPRODUCT((MONTH(CHOOSE({1,2,3,4},NĐ!U122,NĐ!AA122,NĐ!AG122,NĐ!AM122))=3)*(CHOOSE({1,2,3,4},NĐ!X122,NĐ!AD122,NĐ!AJ122,NĐ!AP122)))</f>
        <v>0</v>
      </c>
      <c r="D122">
        <f>SUMPRODUCT((MONTH(CHOOSE({1,2,3,4},NĐ!U122,NĐ!AA122,NĐ!AG122,NĐ!AM122))=4)*(CHOOSE({1,2,3,4},NĐ!X122,NĐ!AD122,NĐ!AJ122,NĐ!AP122)))</f>
        <v>0</v>
      </c>
      <c r="E122">
        <f>SUMPRODUCT((MONTH(CHOOSE({1,2,3,4},NĐ!U122,NĐ!AA122,NĐ!AG122,NĐ!AM122))=5)*(CHOOSE({1,2,3,4},NĐ!X122,NĐ!AD122,NĐ!AJ122,NĐ!AP122)))</f>
        <v>0</v>
      </c>
      <c r="F122">
        <f>SUMPRODUCT((MONTH(CHOOSE({1,2,3,4},NĐ!U122,NĐ!AA122,NĐ!AG122,NĐ!AM122))=6)*(CHOOSE({1,2,3,4},NĐ!X122,NĐ!AD122,NĐ!AJ122,NĐ!AP122)))</f>
        <v>0</v>
      </c>
      <c r="G122">
        <f>SUMPRODUCT((MONTH(CHOOSE({1,2,3,4},NĐ!U122,NĐ!AA122,NĐ!AG122,NĐ!AM122))=7)*(CHOOSE({1,2,3,4},NĐ!X122,NĐ!AD122,NĐ!AJ122,NĐ!AP122)))</f>
        <v>0</v>
      </c>
      <c r="H122">
        <f>SUMPRODUCT((MONTH(CHOOSE({1,2,3,4},NĐ!U122,NĐ!AA122,NĐ!AG122,NĐ!AM122))=8)*(CHOOSE({1,2,3,4},NĐ!X122,NĐ!AD122,NĐ!AJ122,NĐ!AP122)))</f>
        <v>0</v>
      </c>
      <c r="I122">
        <f>SUMPRODUCT((MONTH(CHOOSE({1,2,3,4},NĐ!U122,NĐ!AA122,NĐ!AG122,NĐ!AM122))=9)*(CHOOSE({1,2,3,4},NĐ!X122,NĐ!AD122,NĐ!AJ122,NĐ!AP122)))</f>
        <v>0</v>
      </c>
      <c r="J122">
        <f>SUMPRODUCT((MONTH(CHOOSE({1,2,3,4},NĐ!U122,NĐ!AA122,NĐ!AG122,NĐ!AM122))=10)*(CHOOSE({1,2,3,4},NĐ!X122,NĐ!AD122,NĐ!AJ122,NĐ!AP122)))</f>
        <v>0</v>
      </c>
      <c r="K122">
        <f>SUMPRODUCT((MONTH(CHOOSE({1,2,3,4},NĐ!U122,NĐ!AA122,NĐ!AG122,NĐ!AM122))=11)*(CHOOSE({1,2,3,4},NĐ!X122,NĐ!AD122,NĐ!AJ122,NĐ!AP122)))</f>
        <v>0</v>
      </c>
      <c r="L122">
        <f>SUMPRODUCT((MONTH(CHOOSE({1,2,3,4},NĐ!U122,NĐ!AA122,NĐ!AG122,NĐ!AM122))=12)*(CHOOSE({1,2,3,4},NĐ!X122,NĐ!AD122,NĐ!AJ122,NĐ!AP122)))</f>
        <v>0</v>
      </c>
    </row>
    <row r="123" spans="1:12">
      <c r="A123">
        <f>SUMPRODUCT((MONTH(CHOOSE({1,2,3,4},NĐ!U123,NĐ!AA123,NĐ!AG123,NĐ!AM123))=1)*(CHOOSE({1,2,3,4},NĐ!X123,NĐ!AD123,NĐ!AJ123,NĐ!AP123)))</f>
        <v>0</v>
      </c>
      <c r="B123">
        <f>SUMPRODUCT((MONTH(CHOOSE({1,2,3,4},NĐ!U123,NĐ!AA123,NĐ!AG123,NĐ!AM123))=2)*(CHOOSE({1,2,3,4},NĐ!X123,NĐ!AD123,NĐ!AJ123,NĐ!AP123)))</f>
        <v>0</v>
      </c>
      <c r="C123">
        <f>SUMPRODUCT((MONTH(CHOOSE({1,2,3,4},NĐ!U123,NĐ!AA123,NĐ!AG123,NĐ!AM123))=3)*(CHOOSE({1,2,3,4},NĐ!X123,NĐ!AD123,NĐ!AJ123,NĐ!AP123)))</f>
        <v>0</v>
      </c>
      <c r="D123">
        <f>SUMPRODUCT((MONTH(CHOOSE({1,2,3,4},NĐ!U123,NĐ!AA123,NĐ!AG123,NĐ!AM123))=4)*(CHOOSE({1,2,3,4},NĐ!X123,NĐ!AD123,NĐ!AJ123,NĐ!AP123)))</f>
        <v>0</v>
      </c>
      <c r="E123">
        <f>SUMPRODUCT((MONTH(CHOOSE({1,2,3,4},NĐ!U123,NĐ!AA123,NĐ!AG123,NĐ!AM123))=5)*(CHOOSE({1,2,3,4},NĐ!X123,NĐ!AD123,NĐ!AJ123,NĐ!AP123)))</f>
        <v>0</v>
      </c>
      <c r="F123">
        <f>SUMPRODUCT((MONTH(CHOOSE({1,2,3,4},NĐ!U123,NĐ!AA123,NĐ!AG123,NĐ!AM123))=6)*(CHOOSE({1,2,3,4},NĐ!X123,NĐ!AD123,NĐ!AJ123,NĐ!AP123)))</f>
        <v>0</v>
      </c>
      <c r="G123">
        <f>SUMPRODUCT((MONTH(CHOOSE({1,2,3,4},NĐ!U123,NĐ!AA123,NĐ!AG123,NĐ!AM123))=7)*(CHOOSE({1,2,3,4},NĐ!X123,NĐ!AD123,NĐ!AJ123,NĐ!AP123)))</f>
        <v>0</v>
      </c>
      <c r="H123">
        <f>SUMPRODUCT((MONTH(CHOOSE({1,2,3,4},NĐ!U123,NĐ!AA123,NĐ!AG123,NĐ!AM123))=8)*(CHOOSE({1,2,3,4},NĐ!X123,NĐ!AD123,NĐ!AJ123,NĐ!AP123)))</f>
        <v>0</v>
      </c>
      <c r="I123">
        <f>SUMPRODUCT((MONTH(CHOOSE({1,2,3,4},NĐ!U123,NĐ!AA123,NĐ!AG123,NĐ!AM123))=9)*(CHOOSE({1,2,3,4},NĐ!X123,NĐ!AD123,NĐ!AJ123,NĐ!AP123)))</f>
        <v>0</v>
      </c>
      <c r="J123">
        <f>SUMPRODUCT((MONTH(CHOOSE({1,2,3,4},NĐ!U123,NĐ!AA123,NĐ!AG123,NĐ!AM123))=10)*(CHOOSE({1,2,3,4},NĐ!X123,NĐ!AD123,NĐ!AJ123,NĐ!AP123)))</f>
        <v>0</v>
      </c>
      <c r="K123">
        <f>SUMPRODUCT((MONTH(CHOOSE({1,2,3,4},NĐ!U123,NĐ!AA123,NĐ!AG123,NĐ!AM123))=11)*(CHOOSE({1,2,3,4},NĐ!X123,NĐ!AD123,NĐ!AJ123,NĐ!AP123)))</f>
        <v>0</v>
      </c>
      <c r="L123">
        <f>SUMPRODUCT((MONTH(CHOOSE({1,2,3,4},NĐ!U123,NĐ!AA123,NĐ!AG123,NĐ!AM123))=12)*(CHOOSE({1,2,3,4},NĐ!X123,NĐ!AD123,NĐ!AJ123,NĐ!AP123)))</f>
        <v>0</v>
      </c>
    </row>
    <row r="124" spans="1:12">
      <c r="A124">
        <f>SUMPRODUCT((MONTH(CHOOSE({1,2,3,4},NĐ!U124,NĐ!AA124,NĐ!AG124,NĐ!AM124))=1)*(CHOOSE({1,2,3,4},NĐ!X124,NĐ!AD124,NĐ!AJ124,NĐ!AP124)))</f>
        <v>0</v>
      </c>
      <c r="B124">
        <f>SUMPRODUCT((MONTH(CHOOSE({1,2,3,4},NĐ!U124,NĐ!AA124,NĐ!AG124,NĐ!AM124))=2)*(CHOOSE({1,2,3,4},NĐ!X124,NĐ!AD124,NĐ!AJ124,NĐ!AP124)))</f>
        <v>0</v>
      </c>
      <c r="C124">
        <f>SUMPRODUCT((MONTH(CHOOSE({1,2,3,4},NĐ!U124,NĐ!AA124,NĐ!AG124,NĐ!AM124))=3)*(CHOOSE({1,2,3,4},NĐ!X124,NĐ!AD124,NĐ!AJ124,NĐ!AP124)))</f>
        <v>0</v>
      </c>
      <c r="D124">
        <f>SUMPRODUCT((MONTH(CHOOSE({1,2,3,4},NĐ!U124,NĐ!AA124,NĐ!AG124,NĐ!AM124))=4)*(CHOOSE({1,2,3,4},NĐ!X124,NĐ!AD124,NĐ!AJ124,NĐ!AP124)))</f>
        <v>0</v>
      </c>
      <c r="E124">
        <f>SUMPRODUCT((MONTH(CHOOSE({1,2,3,4},NĐ!U124,NĐ!AA124,NĐ!AG124,NĐ!AM124))=5)*(CHOOSE({1,2,3,4},NĐ!X124,NĐ!AD124,NĐ!AJ124,NĐ!AP124)))</f>
        <v>0</v>
      </c>
      <c r="F124">
        <f>SUMPRODUCT((MONTH(CHOOSE({1,2,3,4},NĐ!U124,NĐ!AA124,NĐ!AG124,NĐ!AM124))=6)*(CHOOSE({1,2,3,4},NĐ!X124,NĐ!AD124,NĐ!AJ124,NĐ!AP124)))</f>
        <v>0</v>
      </c>
      <c r="G124">
        <f>SUMPRODUCT((MONTH(CHOOSE({1,2,3,4},NĐ!U124,NĐ!AA124,NĐ!AG124,NĐ!AM124))=7)*(CHOOSE({1,2,3,4},NĐ!X124,NĐ!AD124,NĐ!AJ124,NĐ!AP124)))</f>
        <v>0</v>
      </c>
      <c r="H124">
        <f>SUMPRODUCT((MONTH(CHOOSE({1,2,3,4},NĐ!U124,NĐ!AA124,NĐ!AG124,NĐ!AM124))=8)*(CHOOSE({1,2,3,4},NĐ!X124,NĐ!AD124,NĐ!AJ124,NĐ!AP124)))</f>
        <v>0</v>
      </c>
      <c r="I124">
        <f>SUMPRODUCT((MONTH(CHOOSE({1,2,3,4},NĐ!U124,NĐ!AA124,NĐ!AG124,NĐ!AM124))=9)*(CHOOSE({1,2,3,4},NĐ!X124,NĐ!AD124,NĐ!AJ124,NĐ!AP124)))</f>
        <v>0</v>
      </c>
      <c r="J124">
        <f>SUMPRODUCT((MONTH(CHOOSE({1,2,3,4},NĐ!U124,NĐ!AA124,NĐ!AG124,NĐ!AM124))=10)*(CHOOSE({1,2,3,4},NĐ!X124,NĐ!AD124,NĐ!AJ124,NĐ!AP124)))</f>
        <v>0</v>
      </c>
      <c r="K124">
        <f>SUMPRODUCT((MONTH(CHOOSE({1,2,3,4},NĐ!U124,NĐ!AA124,NĐ!AG124,NĐ!AM124))=11)*(CHOOSE({1,2,3,4},NĐ!X124,NĐ!AD124,NĐ!AJ124,NĐ!AP124)))</f>
        <v>0</v>
      </c>
      <c r="L124">
        <f>SUMPRODUCT((MONTH(CHOOSE({1,2,3,4},NĐ!U124,NĐ!AA124,NĐ!AG124,NĐ!AM124))=12)*(CHOOSE({1,2,3,4},NĐ!X124,NĐ!AD124,NĐ!AJ124,NĐ!AP124)))</f>
        <v>0</v>
      </c>
    </row>
    <row r="125" spans="1:12">
      <c r="A125">
        <f>SUMPRODUCT((MONTH(CHOOSE({1,2,3,4},NĐ!U125,NĐ!AA125,NĐ!AG125,NĐ!AM125))=1)*(CHOOSE({1,2,3,4},NĐ!X125,NĐ!AD125,NĐ!AJ125,NĐ!AP125)))</f>
        <v>0</v>
      </c>
      <c r="B125">
        <f>SUMPRODUCT((MONTH(CHOOSE({1,2,3,4},NĐ!U125,NĐ!AA125,NĐ!AG125,NĐ!AM125))=2)*(CHOOSE({1,2,3,4},NĐ!X125,NĐ!AD125,NĐ!AJ125,NĐ!AP125)))</f>
        <v>0</v>
      </c>
      <c r="C125">
        <f>SUMPRODUCT((MONTH(CHOOSE({1,2,3,4},NĐ!U125,NĐ!AA125,NĐ!AG125,NĐ!AM125))=3)*(CHOOSE({1,2,3,4},NĐ!X125,NĐ!AD125,NĐ!AJ125,NĐ!AP125)))</f>
        <v>0</v>
      </c>
      <c r="D125">
        <f>SUMPRODUCT((MONTH(CHOOSE({1,2,3,4},NĐ!U125,NĐ!AA125,NĐ!AG125,NĐ!AM125))=4)*(CHOOSE({1,2,3,4},NĐ!X125,NĐ!AD125,NĐ!AJ125,NĐ!AP125)))</f>
        <v>0</v>
      </c>
      <c r="E125">
        <f>SUMPRODUCT((MONTH(CHOOSE({1,2,3,4},NĐ!U125,NĐ!AA125,NĐ!AG125,NĐ!AM125))=5)*(CHOOSE({1,2,3,4},NĐ!X125,NĐ!AD125,NĐ!AJ125,NĐ!AP125)))</f>
        <v>0</v>
      </c>
      <c r="F125">
        <f>SUMPRODUCT((MONTH(CHOOSE({1,2,3,4},NĐ!U125,NĐ!AA125,NĐ!AG125,NĐ!AM125))=6)*(CHOOSE({1,2,3,4},NĐ!X125,NĐ!AD125,NĐ!AJ125,NĐ!AP125)))</f>
        <v>0</v>
      </c>
      <c r="G125">
        <f>SUMPRODUCT((MONTH(CHOOSE({1,2,3,4},NĐ!U125,NĐ!AA125,NĐ!AG125,NĐ!AM125))=7)*(CHOOSE({1,2,3,4},NĐ!X125,NĐ!AD125,NĐ!AJ125,NĐ!AP125)))</f>
        <v>0</v>
      </c>
      <c r="H125">
        <f>SUMPRODUCT((MONTH(CHOOSE({1,2,3,4},NĐ!U125,NĐ!AA125,NĐ!AG125,NĐ!AM125))=8)*(CHOOSE({1,2,3,4},NĐ!X125,NĐ!AD125,NĐ!AJ125,NĐ!AP125)))</f>
        <v>0</v>
      </c>
      <c r="I125">
        <f>SUMPRODUCT((MONTH(CHOOSE({1,2,3,4},NĐ!U125,NĐ!AA125,NĐ!AG125,NĐ!AM125))=9)*(CHOOSE({1,2,3,4},NĐ!X125,NĐ!AD125,NĐ!AJ125,NĐ!AP125)))</f>
        <v>0</v>
      </c>
      <c r="J125">
        <f>SUMPRODUCT((MONTH(CHOOSE({1,2,3,4},NĐ!U125,NĐ!AA125,NĐ!AG125,NĐ!AM125))=10)*(CHOOSE({1,2,3,4},NĐ!X125,NĐ!AD125,NĐ!AJ125,NĐ!AP125)))</f>
        <v>0</v>
      </c>
      <c r="K125">
        <f>SUMPRODUCT((MONTH(CHOOSE({1,2,3,4},NĐ!U125,NĐ!AA125,NĐ!AG125,NĐ!AM125))=11)*(CHOOSE({1,2,3,4},NĐ!X125,NĐ!AD125,NĐ!AJ125,NĐ!AP125)))</f>
        <v>0</v>
      </c>
      <c r="L125">
        <f>SUMPRODUCT((MONTH(CHOOSE({1,2,3,4},NĐ!U125,NĐ!AA125,NĐ!AG125,NĐ!AM125))=12)*(CHOOSE({1,2,3,4},NĐ!X125,NĐ!AD125,NĐ!AJ125,NĐ!AP125)))</f>
        <v>0</v>
      </c>
    </row>
    <row r="126" spans="1:12">
      <c r="A126">
        <f>SUMPRODUCT((MONTH(CHOOSE({1,2,3,4},NĐ!U126,NĐ!AA126,NĐ!AG126,NĐ!AM126))=1)*(CHOOSE({1,2,3,4},NĐ!X126,NĐ!AD126,NĐ!AJ126,NĐ!AP126)))</f>
        <v>0</v>
      </c>
      <c r="B126">
        <f>SUMPRODUCT((MONTH(CHOOSE({1,2,3,4},NĐ!U126,NĐ!AA126,NĐ!AG126,NĐ!AM126))=2)*(CHOOSE({1,2,3,4},NĐ!X126,NĐ!AD126,NĐ!AJ126,NĐ!AP126)))</f>
        <v>0</v>
      </c>
      <c r="C126">
        <f>SUMPRODUCT((MONTH(CHOOSE({1,2,3,4},NĐ!U126,NĐ!AA126,NĐ!AG126,NĐ!AM126))=3)*(CHOOSE({1,2,3,4},NĐ!X126,NĐ!AD126,NĐ!AJ126,NĐ!AP126)))</f>
        <v>0</v>
      </c>
      <c r="D126">
        <f>SUMPRODUCT((MONTH(CHOOSE({1,2,3,4},NĐ!U126,NĐ!AA126,NĐ!AG126,NĐ!AM126))=4)*(CHOOSE({1,2,3,4},NĐ!X126,NĐ!AD126,NĐ!AJ126,NĐ!AP126)))</f>
        <v>0</v>
      </c>
      <c r="E126">
        <f>SUMPRODUCT((MONTH(CHOOSE({1,2,3,4},NĐ!U126,NĐ!AA126,NĐ!AG126,NĐ!AM126))=5)*(CHOOSE({1,2,3,4},NĐ!X126,NĐ!AD126,NĐ!AJ126,NĐ!AP126)))</f>
        <v>0</v>
      </c>
      <c r="F126">
        <f>SUMPRODUCT((MONTH(CHOOSE({1,2,3,4},NĐ!U126,NĐ!AA126,NĐ!AG126,NĐ!AM126))=6)*(CHOOSE({1,2,3,4},NĐ!X126,NĐ!AD126,NĐ!AJ126,NĐ!AP126)))</f>
        <v>0</v>
      </c>
      <c r="G126">
        <f>SUMPRODUCT((MONTH(CHOOSE({1,2,3,4},NĐ!U126,NĐ!AA126,NĐ!AG126,NĐ!AM126))=7)*(CHOOSE({1,2,3,4},NĐ!X126,NĐ!AD126,NĐ!AJ126,NĐ!AP126)))</f>
        <v>0</v>
      </c>
      <c r="H126">
        <f>SUMPRODUCT((MONTH(CHOOSE({1,2,3,4},NĐ!U126,NĐ!AA126,NĐ!AG126,NĐ!AM126))=8)*(CHOOSE({1,2,3,4},NĐ!X126,NĐ!AD126,NĐ!AJ126,NĐ!AP126)))</f>
        <v>0</v>
      </c>
      <c r="I126">
        <f>SUMPRODUCT((MONTH(CHOOSE({1,2,3,4},NĐ!U126,NĐ!AA126,NĐ!AG126,NĐ!AM126))=9)*(CHOOSE({1,2,3,4},NĐ!X126,NĐ!AD126,NĐ!AJ126,NĐ!AP126)))</f>
        <v>0</v>
      </c>
      <c r="J126">
        <f>SUMPRODUCT((MONTH(CHOOSE({1,2,3,4},NĐ!U126,NĐ!AA126,NĐ!AG126,NĐ!AM126))=10)*(CHOOSE({1,2,3,4},NĐ!X126,NĐ!AD126,NĐ!AJ126,NĐ!AP126)))</f>
        <v>0</v>
      </c>
      <c r="K126">
        <f>SUMPRODUCT((MONTH(CHOOSE({1,2,3,4},NĐ!U126,NĐ!AA126,NĐ!AG126,NĐ!AM126))=11)*(CHOOSE({1,2,3,4},NĐ!X126,NĐ!AD126,NĐ!AJ126,NĐ!AP126)))</f>
        <v>0</v>
      </c>
      <c r="L126">
        <f>SUMPRODUCT((MONTH(CHOOSE({1,2,3,4},NĐ!U126,NĐ!AA126,NĐ!AG126,NĐ!AM126))=12)*(CHOOSE({1,2,3,4},NĐ!X126,NĐ!AD126,NĐ!AJ126,NĐ!AP126)))</f>
        <v>0</v>
      </c>
    </row>
    <row r="127" spans="1:12">
      <c r="A127">
        <f>SUMPRODUCT((MONTH(CHOOSE({1,2,3,4},NĐ!U127,NĐ!AA127,NĐ!AG127,NĐ!AM127))=1)*(CHOOSE({1,2,3,4},NĐ!X127,NĐ!AD127,NĐ!AJ127,NĐ!AP127)))</f>
        <v>0</v>
      </c>
      <c r="B127">
        <f>SUMPRODUCT((MONTH(CHOOSE({1,2,3,4},NĐ!U127,NĐ!AA127,NĐ!AG127,NĐ!AM127))=2)*(CHOOSE({1,2,3,4},NĐ!X127,NĐ!AD127,NĐ!AJ127,NĐ!AP127)))</f>
        <v>0</v>
      </c>
      <c r="C127">
        <f>SUMPRODUCT((MONTH(CHOOSE({1,2,3,4},NĐ!U127,NĐ!AA127,NĐ!AG127,NĐ!AM127))=3)*(CHOOSE({1,2,3,4},NĐ!X127,NĐ!AD127,NĐ!AJ127,NĐ!AP127)))</f>
        <v>0</v>
      </c>
      <c r="D127">
        <f>SUMPRODUCT((MONTH(CHOOSE({1,2,3,4},NĐ!U127,NĐ!AA127,NĐ!AG127,NĐ!AM127))=4)*(CHOOSE({1,2,3,4},NĐ!X127,NĐ!AD127,NĐ!AJ127,NĐ!AP127)))</f>
        <v>0</v>
      </c>
      <c r="E127">
        <f>SUMPRODUCT((MONTH(CHOOSE({1,2,3,4},NĐ!U127,NĐ!AA127,NĐ!AG127,NĐ!AM127))=5)*(CHOOSE({1,2,3,4},NĐ!X127,NĐ!AD127,NĐ!AJ127,NĐ!AP127)))</f>
        <v>0</v>
      </c>
      <c r="F127">
        <f>SUMPRODUCT((MONTH(CHOOSE({1,2,3,4},NĐ!U127,NĐ!AA127,NĐ!AG127,NĐ!AM127))=6)*(CHOOSE({1,2,3,4},NĐ!X127,NĐ!AD127,NĐ!AJ127,NĐ!AP127)))</f>
        <v>0</v>
      </c>
      <c r="G127">
        <f>SUMPRODUCT((MONTH(CHOOSE({1,2,3,4},NĐ!U127,NĐ!AA127,NĐ!AG127,NĐ!AM127))=7)*(CHOOSE({1,2,3,4},NĐ!X127,NĐ!AD127,NĐ!AJ127,NĐ!AP127)))</f>
        <v>0</v>
      </c>
      <c r="H127">
        <f>SUMPRODUCT((MONTH(CHOOSE({1,2,3,4},NĐ!U127,NĐ!AA127,NĐ!AG127,NĐ!AM127))=8)*(CHOOSE({1,2,3,4},NĐ!X127,NĐ!AD127,NĐ!AJ127,NĐ!AP127)))</f>
        <v>0</v>
      </c>
      <c r="I127">
        <f>SUMPRODUCT((MONTH(CHOOSE({1,2,3,4},NĐ!U127,NĐ!AA127,NĐ!AG127,NĐ!AM127))=9)*(CHOOSE({1,2,3,4},NĐ!X127,NĐ!AD127,NĐ!AJ127,NĐ!AP127)))</f>
        <v>0</v>
      </c>
      <c r="J127">
        <f>SUMPRODUCT((MONTH(CHOOSE({1,2,3,4},NĐ!U127,NĐ!AA127,NĐ!AG127,NĐ!AM127))=10)*(CHOOSE({1,2,3,4},NĐ!X127,NĐ!AD127,NĐ!AJ127,NĐ!AP127)))</f>
        <v>0</v>
      </c>
      <c r="K127">
        <f>SUMPRODUCT((MONTH(CHOOSE({1,2,3,4},NĐ!U127,NĐ!AA127,NĐ!AG127,NĐ!AM127))=11)*(CHOOSE({1,2,3,4},NĐ!X127,NĐ!AD127,NĐ!AJ127,NĐ!AP127)))</f>
        <v>0</v>
      </c>
      <c r="L127">
        <f>SUMPRODUCT((MONTH(CHOOSE({1,2,3,4},NĐ!U127,NĐ!AA127,NĐ!AG127,NĐ!AM127))=12)*(CHOOSE({1,2,3,4},NĐ!X127,NĐ!AD127,NĐ!AJ127,NĐ!AP127)))</f>
        <v>0</v>
      </c>
    </row>
    <row r="128" spans="1:12">
      <c r="A128">
        <f>SUMPRODUCT((MONTH(CHOOSE({1,2,3,4},NĐ!U128,NĐ!AA128,NĐ!AG128,NĐ!AM128))=1)*(CHOOSE({1,2,3,4},NĐ!X128,NĐ!AD128,NĐ!AJ128,NĐ!AP128)))</f>
        <v>0</v>
      </c>
      <c r="B128">
        <f>SUMPRODUCT((MONTH(CHOOSE({1,2,3,4},NĐ!U128,NĐ!AA128,NĐ!AG128,NĐ!AM128))=2)*(CHOOSE({1,2,3,4},NĐ!X128,NĐ!AD128,NĐ!AJ128,NĐ!AP128)))</f>
        <v>0</v>
      </c>
      <c r="C128">
        <f>SUMPRODUCT((MONTH(CHOOSE({1,2,3,4},NĐ!U128,NĐ!AA128,NĐ!AG128,NĐ!AM128))=3)*(CHOOSE({1,2,3,4},NĐ!X128,NĐ!AD128,NĐ!AJ128,NĐ!AP128)))</f>
        <v>0</v>
      </c>
      <c r="D128">
        <f>SUMPRODUCT((MONTH(CHOOSE({1,2,3,4},NĐ!U128,NĐ!AA128,NĐ!AG128,NĐ!AM128))=4)*(CHOOSE({1,2,3,4},NĐ!X128,NĐ!AD128,NĐ!AJ128,NĐ!AP128)))</f>
        <v>0</v>
      </c>
      <c r="E128">
        <f>SUMPRODUCT((MONTH(CHOOSE({1,2,3,4},NĐ!U128,NĐ!AA128,NĐ!AG128,NĐ!AM128))=5)*(CHOOSE({1,2,3,4},NĐ!X128,NĐ!AD128,NĐ!AJ128,NĐ!AP128)))</f>
        <v>0</v>
      </c>
      <c r="F128">
        <f>SUMPRODUCT((MONTH(CHOOSE({1,2,3,4},NĐ!U128,NĐ!AA128,NĐ!AG128,NĐ!AM128))=6)*(CHOOSE({1,2,3,4},NĐ!X128,NĐ!AD128,NĐ!AJ128,NĐ!AP128)))</f>
        <v>0</v>
      </c>
      <c r="G128">
        <f>SUMPRODUCT((MONTH(CHOOSE({1,2,3,4},NĐ!U128,NĐ!AA128,NĐ!AG128,NĐ!AM128))=7)*(CHOOSE({1,2,3,4},NĐ!X128,NĐ!AD128,NĐ!AJ128,NĐ!AP128)))</f>
        <v>0</v>
      </c>
      <c r="H128">
        <f>SUMPRODUCT((MONTH(CHOOSE({1,2,3,4},NĐ!U128,NĐ!AA128,NĐ!AG128,NĐ!AM128))=8)*(CHOOSE({1,2,3,4},NĐ!X128,NĐ!AD128,NĐ!AJ128,NĐ!AP128)))</f>
        <v>0</v>
      </c>
      <c r="I128">
        <f>SUMPRODUCT((MONTH(CHOOSE({1,2,3,4},NĐ!U128,NĐ!AA128,NĐ!AG128,NĐ!AM128))=9)*(CHOOSE({1,2,3,4},NĐ!X128,NĐ!AD128,NĐ!AJ128,NĐ!AP128)))</f>
        <v>0</v>
      </c>
      <c r="J128">
        <f>SUMPRODUCT((MONTH(CHOOSE({1,2,3,4},NĐ!U128,NĐ!AA128,NĐ!AG128,NĐ!AM128))=10)*(CHOOSE({1,2,3,4},NĐ!X128,NĐ!AD128,NĐ!AJ128,NĐ!AP128)))</f>
        <v>0</v>
      </c>
      <c r="K128">
        <f>SUMPRODUCT((MONTH(CHOOSE({1,2,3,4},NĐ!U128,NĐ!AA128,NĐ!AG128,NĐ!AM128))=11)*(CHOOSE({1,2,3,4},NĐ!X128,NĐ!AD128,NĐ!AJ128,NĐ!AP128)))</f>
        <v>0</v>
      </c>
      <c r="L128">
        <f>SUMPRODUCT((MONTH(CHOOSE({1,2,3,4},NĐ!U128,NĐ!AA128,NĐ!AG128,NĐ!AM128))=12)*(CHOOSE({1,2,3,4},NĐ!X128,NĐ!AD128,NĐ!AJ128,NĐ!AP128)))</f>
        <v>0</v>
      </c>
    </row>
    <row r="129" spans="1:12">
      <c r="A129">
        <f>SUMPRODUCT((MONTH(CHOOSE({1,2,3,4},NĐ!U129,NĐ!AA129,NĐ!AG129,NĐ!AM129))=1)*(CHOOSE({1,2,3,4},NĐ!X129,NĐ!AD129,NĐ!AJ129,NĐ!AP129)))</f>
        <v>0</v>
      </c>
      <c r="B129">
        <f>SUMPRODUCT((MONTH(CHOOSE({1,2,3,4},NĐ!U129,NĐ!AA129,NĐ!AG129,NĐ!AM129))=2)*(CHOOSE({1,2,3,4},NĐ!X129,NĐ!AD129,NĐ!AJ129,NĐ!AP129)))</f>
        <v>0</v>
      </c>
      <c r="C129">
        <f>SUMPRODUCT((MONTH(CHOOSE({1,2,3,4},NĐ!U129,NĐ!AA129,NĐ!AG129,NĐ!AM129))=3)*(CHOOSE({1,2,3,4},NĐ!X129,NĐ!AD129,NĐ!AJ129,NĐ!AP129)))</f>
        <v>0</v>
      </c>
      <c r="D129">
        <f>SUMPRODUCT((MONTH(CHOOSE({1,2,3,4},NĐ!U129,NĐ!AA129,NĐ!AG129,NĐ!AM129))=4)*(CHOOSE({1,2,3,4},NĐ!X129,NĐ!AD129,NĐ!AJ129,NĐ!AP129)))</f>
        <v>0</v>
      </c>
      <c r="E129">
        <f>SUMPRODUCT((MONTH(CHOOSE({1,2,3,4},NĐ!U129,NĐ!AA129,NĐ!AG129,NĐ!AM129))=5)*(CHOOSE({1,2,3,4},NĐ!X129,NĐ!AD129,NĐ!AJ129,NĐ!AP129)))</f>
        <v>0</v>
      </c>
      <c r="F129">
        <f>SUMPRODUCT((MONTH(CHOOSE({1,2,3,4},NĐ!U129,NĐ!AA129,NĐ!AG129,NĐ!AM129))=6)*(CHOOSE({1,2,3,4},NĐ!X129,NĐ!AD129,NĐ!AJ129,NĐ!AP129)))</f>
        <v>0</v>
      </c>
      <c r="G129">
        <f>SUMPRODUCT((MONTH(CHOOSE({1,2,3,4},NĐ!U129,NĐ!AA129,NĐ!AG129,NĐ!AM129))=7)*(CHOOSE({1,2,3,4},NĐ!X129,NĐ!AD129,NĐ!AJ129,NĐ!AP129)))</f>
        <v>0</v>
      </c>
      <c r="H129">
        <f>SUMPRODUCT((MONTH(CHOOSE({1,2,3,4},NĐ!U129,NĐ!AA129,NĐ!AG129,NĐ!AM129))=8)*(CHOOSE({1,2,3,4},NĐ!X129,NĐ!AD129,NĐ!AJ129,NĐ!AP129)))</f>
        <v>0</v>
      </c>
      <c r="I129">
        <f>SUMPRODUCT((MONTH(CHOOSE({1,2,3,4},NĐ!U129,NĐ!AA129,NĐ!AG129,NĐ!AM129))=9)*(CHOOSE({1,2,3,4},NĐ!X129,NĐ!AD129,NĐ!AJ129,NĐ!AP129)))</f>
        <v>0</v>
      </c>
      <c r="J129">
        <f>SUMPRODUCT((MONTH(CHOOSE({1,2,3,4},NĐ!U129,NĐ!AA129,NĐ!AG129,NĐ!AM129))=10)*(CHOOSE({1,2,3,4},NĐ!X129,NĐ!AD129,NĐ!AJ129,NĐ!AP129)))</f>
        <v>0</v>
      </c>
      <c r="K129">
        <f>SUMPRODUCT((MONTH(CHOOSE({1,2,3,4},NĐ!U129,NĐ!AA129,NĐ!AG129,NĐ!AM129))=11)*(CHOOSE({1,2,3,4},NĐ!X129,NĐ!AD129,NĐ!AJ129,NĐ!AP129)))</f>
        <v>0</v>
      </c>
      <c r="L129">
        <f>SUMPRODUCT((MONTH(CHOOSE({1,2,3,4},NĐ!U129,NĐ!AA129,NĐ!AG129,NĐ!AM129))=12)*(CHOOSE({1,2,3,4},NĐ!X129,NĐ!AD129,NĐ!AJ129,NĐ!AP129)))</f>
        <v>0</v>
      </c>
    </row>
    <row r="130" spans="1:12">
      <c r="A130">
        <f>SUMPRODUCT((MONTH(CHOOSE({1,2,3,4},NĐ!U130,NĐ!AA130,NĐ!AG130,NĐ!AM130))=1)*(CHOOSE({1,2,3,4},NĐ!X130,NĐ!AD130,NĐ!AJ130,NĐ!AP130)))</f>
        <v>0</v>
      </c>
      <c r="B130">
        <f>SUMPRODUCT((MONTH(CHOOSE({1,2,3,4},NĐ!U130,NĐ!AA130,NĐ!AG130,NĐ!AM130))=2)*(CHOOSE({1,2,3,4},NĐ!X130,NĐ!AD130,NĐ!AJ130,NĐ!AP130)))</f>
        <v>0</v>
      </c>
      <c r="C130">
        <f>SUMPRODUCT((MONTH(CHOOSE({1,2,3,4},NĐ!U130,NĐ!AA130,NĐ!AG130,NĐ!AM130))=3)*(CHOOSE({1,2,3,4},NĐ!X130,NĐ!AD130,NĐ!AJ130,NĐ!AP130)))</f>
        <v>0</v>
      </c>
      <c r="D130">
        <f>SUMPRODUCT((MONTH(CHOOSE({1,2,3,4},NĐ!U130,NĐ!AA130,NĐ!AG130,NĐ!AM130))=4)*(CHOOSE({1,2,3,4},NĐ!X130,NĐ!AD130,NĐ!AJ130,NĐ!AP130)))</f>
        <v>0</v>
      </c>
      <c r="E130">
        <f>SUMPRODUCT((MONTH(CHOOSE({1,2,3,4},NĐ!U130,NĐ!AA130,NĐ!AG130,NĐ!AM130))=5)*(CHOOSE({1,2,3,4},NĐ!X130,NĐ!AD130,NĐ!AJ130,NĐ!AP130)))</f>
        <v>0</v>
      </c>
      <c r="F130">
        <f>SUMPRODUCT((MONTH(CHOOSE({1,2,3,4},NĐ!U130,NĐ!AA130,NĐ!AG130,NĐ!AM130))=6)*(CHOOSE({1,2,3,4},NĐ!X130,NĐ!AD130,NĐ!AJ130,NĐ!AP130)))</f>
        <v>0</v>
      </c>
      <c r="G130">
        <f>SUMPRODUCT((MONTH(CHOOSE({1,2,3,4},NĐ!U130,NĐ!AA130,NĐ!AG130,NĐ!AM130))=7)*(CHOOSE({1,2,3,4},NĐ!X130,NĐ!AD130,NĐ!AJ130,NĐ!AP130)))</f>
        <v>0</v>
      </c>
      <c r="H130">
        <f>SUMPRODUCT((MONTH(CHOOSE({1,2,3,4},NĐ!U130,NĐ!AA130,NĐ!AG130,NĐ!AM130))=8)*(CHOOSE({1,2,3,4},NĐ!X130,NĐ!AD130,NĐ!AJ130,NĐ!AP130)))</f>
        <v>0</v>
      </c>
      <c r="I130">
        <f>SUMPRODUCT((MONTH(CHOOSE({1,2,3,4},NĐ!U130,NĐ!AA130,NĐ!AG130,NĐ!AM130))=9)*(CHOOSE({1,2,3,4},NĐ!X130,NĐ!AD130,NĐ!AJ130,NĐ!AP130)))</f>
        <v>0</v>
      </c>
      <c r="J130">
        <f>SUMPRODUCT((MONTH(CHOOSE({1,2,3,4},NĐ!U130,NĐ!AA130,NĐ!AG130,NĐ!AM130))=10)*(CHOOSE({1,2,3,4},NĐ!X130,NĐ!AD130,NĐ!AJ130,NĐ!AP130)))</f>
        <v>0</v>
      </c>
      <c r="K130">
        <f>SUMPRODUCT((MONTH(CHOOSE({1,2,3,4},NĐ!U130,NĐ!AA130,NĐ!AG130,NĐ!AM130))=11)*(CHOOSE({1,2,3,4},NĐ!X130,NĐ!AD130,NĐ!AJ130,NĐ!AP130)))</f>
        <v>0</v>
      </c>
      <c r="L130">
        <f>SUMPRODUCT((MONTH(CHOOSE({1,2,3,4},NĐ!U130,NĐ!AA130,NĐ!AG130,NĐ!AM130))=12)*(CHOOSE({1,2,3,4},NĐ!X130,NĐ!AD130,NĐ!AJ130,NĐ!AP130)))</f>
        <v>0</v>
      </c>
    </row>
    <row r="131" spans="1:12">
      <c r="A131">
        <f>SUMPRODUCT((MONTH(CHOOSE({1,2,3,4},NĐ!U131,NĐ!AA131,NĐ!AG131,NĐ!AM131))=1)*(CHOOSE({1,2,3,4},NĐ!X131,NĐ!AD131,NĐ!AJ131,NĐ!AP131)))</f>
        <v>0</v>
      </c>
      <c r="B131">
        <f>SUMPRODUCT((MONTH(CHOOSE({1,2,3,4},NĐ!U131,NĐ!AA131,NĐ!AG131,NĐ!AM131))=2)*(CHOOSE({1,2,3,4},NĐ!X131,NĐ!AD131,NĐ!AJ131,NĐ!AP131)))</f>
        <v>0</v>
      </c>
      <c r="C131">
        <f>SUMPRODUCT((MONTH(CHOOSE({1,2,3,4},NĐ!U131,NĐ!AA131,NĐ!AG131,NĐ!AM131))=3)*(CHOOSE({1,2,3,4},NĐ!X131,NĐ!AD131,NĐ!AJ131,NĐ!AP131)))</f>
        <v>0</v>
      </c>
      <c r="D131">
        <f>SUMPRODUCT((MONTH(CHOOSE({1,2,3,4},NĐ!U131,NĐ!AA131,NĐ!AG131,NĐ!AM131))=4)*(CHOOSE({1,2,3,4},NĐ!X131,NĐ!AD131,NĐ!AJ131,NĐ!AP131)))</f>
        <v>0</v>
      </c>
      <c r="E131">
        <f>SUMPRODUCT((MONTH(CHOOSE({1,2,3,4},NĐ!U131,NĐ!AA131,NĐ!AG131,NĐ!AM131))=5)*(CHOOSE({1,2,3,4},NĐ!X131,NĐ!AD131,NĐ!AJ131,NĐ!AP131)))</f>
        <v>0</v>
      </c>
      <c r="F131">
        <f>SUMPRODUCT((MONTH(CHOOSE({1,2,3,4},NĐ!U131,NĐ!AA131,NĐ!AG131,NĐ!AM131))=6)*(CHOOSE({1,2,3,4},NĐ!X131,NĐ!AD131,NĐ!AJ131,NĐ!AP131)))</f>
        <v>0</v>
      </c>
      <c r="G131">
        <f>SUMPRODUCT((MONTH(CHOOSE({1,2,3,4},NĐ!U131,NĐ!AA131,NĐ!AG131,NĐ!AM131))=7)*(CHOOSE({1,2,3,4},NĐ!X131,NĐ!AD131,NĐ!AJ131,NĐ!AP131)))</f>
        <v>0</v>
      </c>
      <c r="H131">
        <f>SUMPRODUCT((MONTH(CHOOSE({1,2,3,4},NĐ!U131,NĐ!AA131,NĐ!AG131,NĐ!AM131))=8)*(CHOOSE({1,2,3,4},NĐ!X131,NĐ!AD131,NĐ!AJ131,NĐ!AP131)))</f>
        <v>0</v>
      </c>
      <c r="I131">
        <f>SUMPRODUCT((MONTH(CHOOSE({1,2,3,4},NĐ!U131,NĐ!AA131,NĐ!AG131,NĐ!AM131))=9)*(CHOOSE({1,2,3,4},NĐ!X131,NĐ!AD131,NĐ!AJ131,NĐ!AP131)))</f>
        <v>0</v>
      </c>
      <c r="J131">
        <f>SUMPRODUCT((MONTH(CHOOSE({1,2,3,4},NĐ!U131,NĐ!AA131,NĐ!AG131,NĐ!AM131))=10)*(CHOOSE({1,2,3,4},NĐ!X131,NĐ!AD131,NĐ!AJ131,NĐ!AP131)))</f>
        <v>0</v>
      </c>
      <c r="K131">
        <f>SUMPRODUCT((MONTH(CHOOSE({1,2,3,4},NĐ!U131,NĐ!AA131,NĐ!AG131,NĐ!AM131))=11)*(CHOOSE({1,2,3,4},NĐ!X131,NĐ!AD131,NĐ!AJ131,NĐ!AP131)))</f>
        <v>0</v>
      </c>
      <c r="L131">
        <f>SUMPRODUCT((MONTH(CHOOSE({1,2,3,4},NĐ!U131,NĐ!AA131,NĐ!AG131,NĐ!AM131))=12)*(CHOOSE({1,2,3,4},NĐ!X131,NĐ!AD131,NĐ!AJ131,NĐ!AP131)))</f>
        <v>0</v>
      </c>
    </row>
    <row r="132" spans="1:12">
      <c r="A132">
        <f>SUMPRODUCT((MONTH(CHOOSE({1,2,3,4},NĐ!U132,NĐ!AA132,NĐ!AG132,NĐ!AM132))=1)*(CHOOSE({1,2,3,4},NĐ!X132,NĐ!AD132,NĐ!AJ132,NĐ!AP132)))</f>
        <v>0</v>
      </c>
      <c r="B132">
        <f>SUMPRODUCT((MONTH(CHOOSE({1,2,3,4},NĐ!U132,NĐ!AA132,NĐ!AG132,NĐ!AM132))=2)*(CHOOSE({1,2,3,4},NĐ!X132,NĐ!AD132,NĐ!AJ132,NĐ!AP132)))</f>
        <v>0</v>
      </c>
      <c r="C132">
        <f>SUMPRODUCT((MONTH(CHOOSE({1,2,3,4},NĐ!U132,NĐ!AA132,NĐ!AG132,NĐ!AM132))=3)*(CHOOSE({1,2,3,4},NĐ!X132,NĐ!AD132,NĐ!AJ132,NĐ!AP132)))</f>
        <v>0</v>
      </c>
      <c r="D132">
        <f>SUMPRODUCT((MONTH(CHOOSE({1,2,3,4},NĐ!U132,NĐ!AA132,NĐ!AG132,NĐ!AM132))=4)*(CHOOSE({1,2,3,4},NĐ!X132,NĐ!AD132,NĐ!AJ132,NĐ!AP132)))</f>
        <v>0</v>
      </c>
      <c r="E132">
        <f>SUMPRODUCT((MONTH(CHOOSE({1,2,3,4},NĐ!U132,NĐ!AA132,NĐ!AG132,NĐ!AM132))=5)*(CHOOSE({1,2,3,4},NĐ!X132,NĐ!AD132,NĐ!AJ132,NĐ!AP132)))</f>
        <v>0</v>
      </c>
      <c r="F132">
        <f>SUMPRODUCT((MONTH(CHOOSE({1,2,3,4},NĐ!U132,NĐ!AA132,NĐ!AG132,NĐ!AM132))=6)*(CHOOSE({1,2,3,4},NĐ!X132,NĐ!AD132,NĐ!AJ132,NĐ!AP132)))</f>
        <v>0</v>
      </c>
      <c r="G132">
        <f>SUMPRODUCT((MONTH(CHOOSE({1,2,3,4},NĐ!U132,NĐ!AA132,NĐ!AG132,NĐ!AM132))=7)*(CHOOSE({1,2,3,4},NĐ!X132,NĐ!AD132,NĐ!AJ132,NĐ!AP132)))</f>
        <v>0</v>
      </c>
      <c r="H132">
        <f>SUMPRODUCT((MONTH(CHOOSE({1,2,3,4},NĐ!U132,NĐ!AA132,NĐ!AG132,NĐ!AM132))=8)*(CHOOSE({1,2,3,4},NĐ!X132,NĐ!AD132,NĐ!AJ132,NĐ!AP132)))</f>
        <v>0</v>
      </c>
      <c r="I132">
        <f>SUMPRODUCT((MONTH(CHOOSE({1,2,3,4},NĐ!U132,NĐ!AA132,NĐ!AG132,NĐ!AM132))=9)*(CHOOSE({1,2,3,4},NĐ!X132,NĐ!AD132,NĐ!AJ132,NĐ!AP132)))</f>
        <v>0</v>
      </c>
      <c r="J132">
        <f>SUMPRODUCT((MONTH(CHOOSE({1,2,3,4},NĐ!U132,NĐ!AA132,NĐ!AG132,NĐ!AM132))=10)*(CHOOSE({1,2,3,4},NĐ!X132,NĐ!AD132,NĐ!AJ132,NĐ!AP132)))</f>
        <v>0</v>
      </c>
      <c r="K132">
        <f>SUMPRODUCT((MONTH(CHOOSE({1,2,3,4},NĐ!U132,NĐ!AA132,NĐ!AG132,NĐ!AM132))=11)*(CHOOSE({1,2,3,4},NĐ!X132,NĐ!AD132,NĐ!AJ132,NĐ!AP132)))</f>
        <v>0</v>
      </c>
      <c r="L132">
        <f>SUMPRODUCT((MONTH(CHOOSE({1,2,3,4},NĐ!U132,NĐ!AA132,NĐ!AG132,NĐ!AM132))=12)*(CHOOSE({1,2,3,4},NĐ!X132,NĐ!AD132,NĐ!AJ132,NĐ!AP132)))</f>
        <v>0</v>
      </c>
    </row>
    <row r="133" spans="1:12">
      <c r="A133">
        <f>SUMPRODUCT((MONTH(CHOOSE({1,2,3,4},NĐ!U133,NĐ!AA133,NĐ!AG133,NĐ!AM133))=1)*(CHOOSE({1,2,3,4},NĐ!X133,NĐ!AD133,NĐ!AJ133,NĐ!AP133)))</f>
        <v>0</v>
      </c>
      <c r="B133">
        <f>SUMPRODUCT((MONTH(CHOOSE({1,2,3,4},NĐ!U133,NĐ!AA133,NĐ!AG133,NĐ!AM133))=2)*(CHOOSE({1,2,3,4},NĐ!X133,NĐ!AD133,NĐ!AJ133,NĐ!AP133)))</f>
        <v>0</v>
      </c>
      <c r="C133">
        <f>SUMPRODUCT((MONTH(CHOOSE({1,2,3,4},NĐ!U133,NĐ!AA133,NĐ!AG133,NĐ!AM133))=3)*(CHOOSE({1,2,3,4},NĐ!X133,NĐ!AD133,NĐ!AJ133,NĐ!AP133)))</f>
        <v>0</v>
      </c>
      <c r="D133">
        <f>SUMPRODUCT((MONTH(CHOOSE({1,2,3,4},NĐ!U133,NĐ!AA133,NĐ!AG133,NĐ!AM133))=4)*(CHOOSE({1,2,3,4},NĐ!X133,NĐ!AD133,NĐ!AJ133,NĐ!AP133)))</f>
        <v>0</v>
      </c>
      <c r="E133">
        <f>SUMPRODUCT((MONTH(CHOOSE({1,2,3,4},NĐ!U133,NĐ!AA133,NĐ!AG133,NĐ!AM133))=5)*(CHOOSE({1,2,3,4},NĐ!X133,NĐ!AD133,NĐ!AJ133,NĐ!AP133)))</f>
        <v>0</v>
      </c>
      <c r="F133">
        <f>SUMPRODUCT((MONTH(CHOOSE({1,2,3,4},NĐ!U133,NĐ!AA133,NĐ!AG133,NĐ!AM133))=6)*(CHOOSE({1,2,3,4},NĐ!X133,NĐ!AD133,NĐ!AJ133,NĐ!AP133)))</f>
        <v>0</v>
      </c>
      <c r="G133">
        <f>SUMPRODUCT((MONTH(CHOOSE({1,2,3,4},NĐ!U133,NĐ!AA133,NĐ!AG133,NĐ!AM133))=7)*(CHOOSE({1,2,3,4},NĐ!X133,NĐ!AD133,NĐ!AJ133,NĐ!AP133)))</f>
        <v>0</v>
      </c>
      <c r="H133">
        <f>SUMPRODUCT((MONTH(CHOOSE({1,2,3,4},NĐ!U133,NĐ!AA133,NĐ!AG133,NĐ!AM133))=8)*(CHOOSE({1,2,3,4},NĐ!X133,NĐ!AD133,NĐ!AJ133,NĐ!AP133)))</f>
        <v>0</v>
      </c>
      <c r="I133">
        <f>SUMPRODUCT((MONTH(CHOOSE({1,2,3,4},NĐ!U133,NĐ!AA133,NĐ!AG133,NĐ!AM133))=9)*(CHOOSE({1,2,3,4},NĐ!X133,NĐ!AD133,NĐ!AJ133,NĐ!AP133)))</f>
        <v>0</v>
      </c>
      <c r="J133">
        <f>SUMPRODUCT((MONTH(CHOOSE({1,2,3,4},NĐ!U133,NĐ!AA133,NĐ!AG133,NĐ!AM133))=10)*(CHOOSE({1,2,3,4},NĐ!X133,NĐ!AD133,NĐ!AJ133,NĐ!AP133)))</f>
        <v>0</v>
      </c>
      <c r="K133">
        <f>SUMPRODUCT((MONTH(CHOOSE({1,2,3,4},NĐ!U133,NĐ!AA133,NĐ!AG133,NĐ!AM133))=11)*(CHOOSE({1,2,3,4},NĐ!X133,NĐ!AD133,NĐ!AJ133,NĐ!AP133)))</f>
        <v>0</v>
      </c>
      <c r="L133">
        <f>SUMPRODUCT((MONTH(CHOOSE({1,2,3,4},NĐ!U133,NĐ!AA133,NĐ!AG133,NĐ!AM133))=12)*(CHOOSE({1,2,3,4},NĐ!X133,NĐ!AD133,NĐ!AJ133,NĐ!AP133)))</f>
        <v>0</v>
      </c>
    </row>
    <row r="134" spans="1:12">
      <c r="A134">
        <f>SUMPRODUCT((MONTH(CHOOSE({1,2,3,4},NĐ!U134,NĐ!AA134,NĐ!AG134,NĐ!AM134))=1)*(CHOOSE({1,2,3,4},NĐ!X134,NĐ!AD134,NĐ!AJ134,NĐ!AP134)))</f>
        <v>0</v>
      </c>
      <c r="B134">
        <f>SUMPRODUCT((MONTH(CHOOSE({1,2,3,4},NĐ!U134,NĐ!AA134,NĐ!AG134,NĐ!AM134))=2)*(CHOOSE({1,2,3,4},NĐ!X134,NĐ!AD134,NĐ!AJ134,NĐ!AP134)))</f>
        <v>0</v>
      </c>
      <c r="C134">
        <f>SUMPRODUCT((MONTH(CHOOSE({1,2,3,4},NĐ!U134,NĐ!AA134,NĐ!AG134,NĐ!AM134))=3)*(CHOOSE({1,2,3,4},NĐ!X134,NĐ!AD134,NĐ!AJ134,NĐ!AP134)))</f>
        <v>0</v>
      </c>
      <c r="D134">
        <f>SUMPRODUCT((MONTH(CHOOSE({1,2,3,4},NĐ!U134,NĐ!AA134,NĐ!AG134,NĐ!AM134))=4)*(CHOOSE({1,2,3,4},NĐ!X134,NĐ!AD134,NĐ!AJ134,NĐ!AP134)))</f>
        <v>0</v>
      </c>
      <c r="E134">
        <f>SUMPRODUCT((MONTH(CHOOSE({1,2,3,4},NĐ!U134,NĐ!AA134,NĐ!AG134,NĐ!AM134))=5)*(CHOOSE({1,2,3,4},NĐ!X134,NĐ!AD134,NĐ!AJ134,NĐ!AP134)))</f>
        <v>0</v>
      </c>
      <c r="F134">
        <f>SUMPRODUCT((MONTH(CHOOSE({1,2,3,4},NĐ!U134,NĐ!AA134,NĐ!AG134,NĐ!AM134))=6)*(CHOOSE({1,2,3,4},NĐ!X134,NĐ!AD134,NĐ!AJ134,NĐ!AP134)))</f>
        <v>0</v>
      </c>
      <c r="G134">
        <f>SUMPRODUCT((MONTH(CHOOSE({1,2,3,4},NĐ!U134,NĐ!AA134,NĐ!AG134,NĐ!AM134))=7)*(CHOOSE({1,2,3,4},NĐ!X134,NĐ!AD134,NĐ!AJ134,NĐ!AP134)))</f>
        <v>0</v>
      </c>
      <c r="H134">
        <f>SUMPRODUCT((MONTH(CHOOSE({1,2,3,4},NĐ!U134,NĐ!AA134,NĐ!AG134,NĐ!AM134))=8)*(CHOOSE({1,2,3,4},NĐ!X134,NĐ!AD134,NĐ!AJ134,NĐ!AP134)))</f>
        <v>0</v>
      </c>
      <c r="I134">
        <f>SUMPRODUCT((MONTH(CHOOSE({1,2,3,4},NĐ!U134,NĐ!AA134,NĐ!AG134,NĐ!AM134))=9)*(CHOOSE({1,2,3,4},NĐ!X134,NĐ!AD134,NĐ!AJ134,NĐ!AP134)))</f>
        <v>0</v>
      </c>
      <c r="J134">
        <f>SUMPRODUCT((MONTH(CHOOSE({1,2,3,4},NĐ!U134,NĐ!AA134,NĐ!AG134,NĐ!AM134))=10)*(CHOOSE({1,2,3,4},NĐ!X134,NĐ!AD134,NĐ!AJ134,NĐ!AP134)))</f>
        <v>0</v>
      </c>
      <c r="K134">
        <f>SUMPRODUCT((MONTH(CHOOSE({1,2,3,4},NĐ!U134,NĐ!AA134,NĐ!AG134,NĐ!AM134))=11)*(CHOOSE({1,2,3,4},NĐ!X134,NĐ!AD134,NĐ!AJ134,NĐ!AP134)))</f>
        <v>0</v>
      </c>
      <c r="L134">
        <f>SUMPRODUCT((MONTH(CHOOSE({1,2,3,4},NĐ!U134,NĐ!AA134,NĐ!AG134,NĐ!AM134))=12)*(CHOOSE({1,2,3,4},NĐ!X134,NĐ!AD134,NĐ!AJ134,NĐ!AP134)))</f>
        <v>0</v>
      </c>
    </row>
    <row r="135" spans="1:12">
      <c r="A135">
        <f>SUMPRODUCT((MONTH(CHOOSE({1,2,3,4},NĐ!U135,NĐ!AA135,NĐ!AG135,NĐ!AM135))=1)*(CHOOSE({1,2,3,4},NĐ!X135,NĐ!AD135,NĐ!AJ135,NĐ!AP135)))</f>
        <v>0</v>
      </c>
      <c r="B135">
        <f>SUMPRODUCT((MONTH(CHOOSE({1,2,3,4},NĐ!U135,NĐ!AA135,NĐ!AG135,NĐ!AM135))=2)*(CHOOSE({1,2,3,4},NĐ!X135,NĐ!AD135,NĐ!AJ135,NĐ!AP135)))</f>
        <v>0</v>
      </c>
      <c r="C135">
        <f>SUMPRODUCT((MONTH(CHOOSE({1,2,3,4},NĐ!U135,NĐ!AA135,NĐ!AG135,NĐ!AM135))=3)*(CHOOSE({1,2,3,4},NĐ!X135,NĐ!AD135,NĐ!AJ135,NĐ!AP135)))</f>
        <v>0</v>
      </c>
      <c r="D135">
        <f>SUMPRODUCT((MONTH(CHOOSE({1,2,3,4},NĐ!U135,NĐ!AA135,NĐ!AG135,NĐ!AM135))=4)*(CHOOSE({1,2,3,4},NĐ!X135,NĐ!AD135,NĐ!AJ135,NĐ!AP135)))</f>
        <v>0</v>
      </c>
      <c r="E135">
        <f>SUMPRODUCT((MONTH(CHOOSE({1,2,3,4},NĐ!U135,NĐ!AA135,NĐ!AG135,NĐ!AM135))=5)*(CHOOSE({1,2,3,4},NĐ!X135,NĐ!AD135,NĐ!AJ135,NĐ!AP135)))</f>
        <v>0</v>
      </c>
      <c r="F135">
        <f>SUMPRODUCT((MONTH(CHOOSE({1,2,3,4},NĐ!U135,NĐ!AA135,NĐ!AG135,NĐ!AM135))=6)*(CHOOSE({1,2,3,4},NĐ!X135,NĐ!AD135,NĐ!AJ135,NĐ!AP135)))</f>
        <v>0</v>
      </c>
      <c r="G135">
        <f>SUMPRODUCT((MONTH(CHOOSE({1,2,3,4},NĐ!U135,NĐ!AA135,NĐ!AG135,NĐ!AM135))=7)*(CHOOSE({1,2,3,4},NĐ!X135,NĐ!AD135,NĐ!AJ135,NĐ!AP135)))</f>
        <v>0</v>
      </c>
      <c r="H135">
        <f>SUMPRODUCT((MONTH(CHOOSE({1,2,3,4},NĐ!U135,NĐ!AA135,NĐ!AG135,NĐ!AM135))=8)*(CHOOSE({1,2,3,4},NĐ!X135,NĐ!AD135,NĐ!AJ135,NĐ!AP135)))</f>
        <v>0</v>
      </c>
      <c r="I135">
        <f>SUMPRODUCT((MONTH(CHOOSE({1,2,3,4},NĐ!U135,NĐ!AA135,NĐ!AG135,NĐ!AM135))=9)*(CHOOSE({1,2,3,4},NĐ!X135,NĐ!AD135,NĐ!AJ135,NĐ!AP135)))</f>
        <v>0</v>
      </c>
      <c r="J135">
        <f>SUMPRODUCT((MONTH(CHOOSE({1,2,3,4},NĐ!U135,NĐ!AA135,NĐ!AG135,NĐ!AM135))=10)*(CHOOSE({1,2,3,4},NĐ!X135,NĐ!AD135,NĐ!AJ135,NĐ!AP135)))</f>
        <v>0</v>
      </c>
      <c r="K135">
        <f>SUMPRODUCT((MONTH(CHOOSE({1,2,3,4},NĐ!U135,NĐ!AA135,NĐ!AG135,NĐ!AM135))=11)*(CHOOSE({1,2,3,4},NĐ!X135,NĐ!AD135,NĐ!AJ135,NĐ!AP135)))</f>
        <v>0</v>
      </c>
      <c r="L135">
        <f>SUMPRODUCT((MONTH(CHOOSE({1,2,3,4},NĐ!U135,NĐ!AA135,NĐ!AG135,NĐ!AM135))=12)*(CHOOSE({1,2,3,4},NĐ!X135,NĐ!AD135,NĐ!AJ135,NĐ!AP135)))</f>
        <v>0</v>
      </c>
    </row>
    <row r="136" spans="1:12">
      <c r="A136">
        <f>SUMPRODUCT((MONTH(CHOOSE({1,2,3,4},NĐ!U136,NĐ!AA136,NĐ!AG136,NĐ!AM136))=1)*(CHOOSE({1,2,3,4},NĐ!X136,NĐ!AD136,NĐ!AJ136,NĐ!AP136)))</f>
        <v>0</v>
      </c>
      <c r="B136">
        <f>SUMPRODUCT((MONTH(CHOOSE({1,2,3,4},NĐ!U136,NĐ!AA136,NĐ!AG136,NĐ!AM136))=2)*(CHOOSE({1,2,3,4},NĐ!X136,NĐ!AD136,NĐ!AJ136,NĐ!AP136)))</f>
        <v>0</v>
      </c>
      <c r="C136">
        <f>SUMPRODUCT((MONTH(CHOOSE({1,2,3,4},NĐ!U136,NĐ!AA136,NĐ!AG136,NĐ!AM136))=3)*(CHOOSE({1,2,3,4},NĐ!X136,NĐ!AD136,NĐ!AJ136,NĐ!AP136)))</f>
        <v>0</v>
      </c>
      <c r="D136">
        <f>SUMPRODUCT((MONTH(CHOOSE({1,2,3,4},NĐ!U136,NĐ!AA136,NĐ!AG136,NĐ!AM136))=4)*(CHOOSE({1,2,3,4},NĐ!X136,NĐ!AD136,NĐ!AJ136,NĐ!AP136)))</f>
        <v>0</v>
      </c>
      <c r="E136">
        <f>SUMPRODUCT((MONTH(CHOOSE({1,2,3,4},NĐ!U136,NĐ!AA136,NĐ!AG136,NĐ!AM136))=5)*(CHOOSE({1,2,3,4},NĐ!X136,NĐ!AD136,NĐ!AJ136,NĐ!AP136)))</f>
        <v>0</v>
      </c>
      <c r="F136">
        <f>SUMPRODUCT((MONTH(CHOOSE({1,2,3,4},NĐ!U136,NĐ!AA136,NĐ!AG136,NĐ!AM136))=6)*(CHOOSE({1,2,3,4},NĐ!X136,NĐ!AD136,NĐ!AJ136,NĐ!AP136)))</f>
        <v>0</v>
      </c>
      <c r="G136">
        <f>SUMPRODUCT((MONTH(CHOOSE({1,2,3,4},NĐ!U136,NĐ!AA136,NĐ!AG136,NĐ!AM136))=7)*(CHOOSE({1,2,3,4},NĐ!X136,NĐ!AD136,NĐ!AJ136,NĐ!AP136)))</f>
        <v>0</v>
      </c>
      <c r="H136">
        <f>SUMPRODUCT((MONTH(CHOOSE({1,2,3,4},NĐ!U136,NĐ!AA136,NĐ!AG136,NĐ!AM136))=8)*(CHOOSE({1,2,3,4},NĐ!X136,NĐ!AD136,NĐ!AJ136,NĐ!AP136)))</f>
        <v>0</v>
      </c>
      <c r="I136">
        <f>SUMPRODUCT((MONTH(CHOOSE({1,2,3,4},NĐ!U136,NĐ!AA136,NĐ!AG136,NĐ!AM136))=9)*(CHOOSE({1,2,3,4},NĐ!X136,NĐ!AD136,NĐ!AJ136,NĐ!AP136)))</f>
        <v>0</v>
      </c>
      <c r="J136">
        <f>SUMPRODUCT((MONTH(CHOOSE({1,2,3,4},NĐ!U136,NĐ!AA136,NĐ!AG136,NĐ!AM136))=10)*(CHOOSE({1,2,3,4},NĐ!X136,NĐ!AD136,NĐ!AJ136,NĐ!AP136)))</f>
        <v>0</v>
      </c>
      <c r="K136">
        <f>SUMPRODUCT((MONTH(CHOOSE({1,2,3,4},NĐ!U136,NĐ!AA136,NĐ!AG136,NĐ!AM136))=11)*(CHOOSE({1,2,3,4},NĐ!X136,NĐ!AD136,NĐ!AJ136,NĐ!AP136)))</f>
        <v>0</v>
      </c>
      <c r="L136">
        <f>SUMPRODUCT((MONTH(CHOOSE({1,2,3,4},NĐ!U136,NĐ!AA136,NĐ!AG136,NĐ!AM136))=12)*(CHOOSE({1,2,3,4},NĐ!X136,NĐ!AD136,NĐ!AJ136,NĐ!AP136)))</f>
        <v>0</v>
      </c>
    </row>
    <row r="137" spans="1:12">
      <c r="A137">
        <f>SUMPRODUCT((MONTH(CHOOSE({1,2,3,4},NĐ!U137,NĐ!AA137,NĐ!AG137,NĐ!AM137))=1)*(CHOOSE({1,2,3,4},NĐ!X137,NĐ!AD137,NĐ!AJ137,NĐ!AP137)))</f>
        <v>0</v>
      </c>
      <c r="B137">
        <f>SUMPRODUCT((MONTH(CHOOSE({1,2,3,4},NĐ!U137,NĐ!AA137,NĐ!AG137,NĐ!AM137))=2)*(CHOOSE({1,2,3,4},NĐ!X137,NĐ!AD137,NĐ!AJ137,NĐ!AP137)))</f>
        <v>0</v>
      </c>
      <c r="C137">
        <f>SUMPRODUCT((MONTH(CHOOSE({1,2,3,4},NĐ!U137,NĐ!AA137,NĐ!AG137,NĐ!AM137))=3)*(CHOOSE({1,2,3,4},NĐ!X137,NĐ!AD137,NĐ!AJ137,NĐ!AP137)))</f>
        <v>0</v>
      </c>
      <c r="D137">
        <f>SUMPRODUCT((MONTH(CHOOSE({1,2,3,4},NĐ!U137,NĐ!AA137,NĐ!AG137,NĐ!AM137))=4)*(CHOOSE({1,2,3,4},NĐ!X137,NĐ!AD137,NĐ!AJ137,NĐ!AP137)))</f>
        <v>0</v>
      </c>
      <c r="E137">
        <f>SUMPRODUCT((MONTH(CHOOSE({1,2,3,4},NĐ!U137,NĐ!AA137,NĐ!AG137,NĐ!AM137))=5)*(CHOOSE({1,2,3,4},NĐ!X137,NĐ!AD137,NĐ!AJ137,NĐ!AP137)))</f>
        <v>0</v>
      </c>
      <c r="F137">
        <f>SUMPRODUCT((MONTH(CHOOSE({1,2,3,4},NĐ!U137,NĐ!AA137,NĐ!AG137,NĐ!AM137))=6)*(CHOOSE({1,2,3,4},NĐ!X137,NĐ!AD137,NĐ!AJ137,NĐ!AP137)))</f>
        <v>0</v>
      </c>
      <c r="G137">
        <f>SUMPRODUCT((MONTH(CHOOSE({1,2,3,4},NĐ!U137,NĐ!AA137,NĐ!AG137,NĐ!AM137))=7)*(CHOOSE({1,2,3,4},NĐ!X137,NĐ!AD137,NĐ!AJ137,NĐ!AP137)))</f>
        <v>0</v>
      </c>
      <c r="H137">
        <f>SUMPRODUCT((MONTH(CHOOSE({1,2,3,4},NĐ!U137,NĐ!AA137,NĐ!AG137,NĐ!AM137))=8)*(CHOOSE({1,2,3,4},NĐ!X137,NĐ!AD137,NĐ!AJ137,NĐ!AP137)))</f>
        <v>0</v>
      </c>
      <c r="I137">
        <f>SUMPRODUCT((MONTH(CHOOSE({1,2,3,4},NĐ!U137,NĐ!AA137,NĐ!AG137,NĐ!AM137))=9)*(CHOOSE({1,2,3,4},NĐ!X137,NĐ!AD137,NĐ!AJ137,NĐ!AP137)))</f>
        <v>0</v>
      </c>
      <c r="J137">
        <f>SUMPRODUCT((MONTH(CHOOSE({1,2,3,4},NĐ!U137,NĐ!AA137,NĐ!AG137,NĐ!AM137))=10)*(CHOOSE({1,2,3,4},NĐ!X137,NĐ!AD137,NĐ!AJ137,NĐ!AP137)))</f>
        <v>0</v>
      </c>
      <c r="K137">
        <f>SUMPRODUCT((MONTH(CHOOSE({1,2,3,4},NĐ!U137,NĐ!AA137,NĐ!AG137,NĐ!AM137))=11)*(CHOOSE({1,2,3,4},NĐ!X137,NĐ!AD137,NĐ!AJ137,NĐ!AP137)))</f>
        <v>0</v>
      </c>
      <c r="L137">
        <f>SUMPRODUCT((MONTH(CHOOSE({1,2,3,4},NĐ!U137,NĐ!AA137,NĐ!AG137,NĐ!AM137))=12)*(CHOOSE({1,2,3,4},NĐ!X137,NĐ!AD137,NĐ!AJ137,NĐ!AP137)))</f>
        <v>0</v>
      </c>
    </row>
    <row r="138" spans="1:12">
      <c r="A138">
        <f>SUMPRODUCT((MONTH(CHOOSE({1,2,3,4},NĐ!U138,NĐ!AA138,NĐ!AG138,NĐ!AM138))=1)*(CHOOSE({1,2,3,4},NĐ!X138,NĐ!AD138,NĐ!AJ138,NĐ!AP138)))</f>
        <v>0</v>
      </c>
      <c r="B138">
        <f>SUMPRODUCT((MONTH(CHOOSE({1,2,3,4},NĐ!U138,NĐ!AA138,NĐ!AG138,NĐ!AM138))=2)*(CHOOSE({1,2,3,4},NĐ!X138,NĐ!AD138,NĐ!AJ138,NĐ!AP138)))</f>
        <v>0</v>
      </c>
      <c r="C138">
        <f>SUMPRODUCT((MONTH(CHOOSE({1,2,3,4},NĐ!U138,NĐ!AA138,NĐ!AG138,NĐ!AM138))=3)*(CHOOSE({1,2,3,4},NĐ!X138,NĐ!AD138,NĐ!AJ138,NĐ!AP138)))</f>
        <v>0</v>
      </c>
      <c r="D138">
        <f>SUMPRODUCT((MONTH(CHOOSE({1,2,3,4},NĐ!U138,NĐ!AA138,NĐ!AG138,NĐ!AM138))=4)*(CHOOSE({1,2,3,4},NĐ!X138,NĐ!AD138,NĐ!AJ138,NĐ!AP138)))</f>
        <v>0</v>
      </c>
      <c r="E138">
        <f>SUMPRODUCT((MONTH(CHOOSE({1,2,3,4},NĐ!U138,NĐ!AA138,NĐ!AG138,NĐ!AM138))=5)*(CHOOSE({1,2,3,4},NĐ!X138,NĐ!AD138,NĐ!AJ138,NĐ!AP138)))</f>
        <v>0</v>
      </c>
      <c r="F138">
        <f>SUMPRODUCT((MONTH(CHOOSE({1,2,3,4},NĐ!U138,NĐ!AA138,NĐ!AG138,NĐ!AM138))=6)*(CHOOSE({1,2,3,4},NĐ!X138,NĐ!AD138,NĐ!AJ138,NĐ!AP138)))</f>
        <v>0</v>
      </c>
      <c r="G138">
        <f>SUMPRODUCT((MONTH(CHOOSE({1,2,3,4},NĐ!U138,NĐ!AA138,NĐ!AG138,NĐ!AM138))=7)*(CHOOSE({1,2,3,4},NĐ!X138,NĐ!AD138,NĐ!AJ138,NĐ!AP138)))</f>
        <v>0</v>
      </c>
      <c r="H138">
        <f>SUMPRODUCT((MONTH(CHOOSE({1,2,3,4},NĐ!U138,NĐ!AA138,NĐ!AG138,NĐ!AM138))=8)*(CHOOSE({1,2,3,4},NĐ!X138,NĐ!AD138,NĐ!AJ138,NĐ!AP138)))</f>
        <v>0</v>
      </c>
      <c r="I138">
        <f>SUMPRODUCT((MONTH(CHOOSE({1,2,3,4},NĐ!U138,NĐ!AA138,NĐ!AG138,NĐ!AM138))=9)*(CHOOSE({1,2,3,4},NĐ!X138,NĐ!AD138,NĐ!AJ138,NĐ!AP138)))</f>
        <v>0</v>
      </c>
      <c r="J138">
        <f>SUMPRODUCT((MONTH(CHOOSE({1,2,3,4},NĐ!U138,NĐ!AA138,NĐ!AG138,NĐ!AM138))=10)*(CHOOSE({1,2,3,4},NĐ!X138,NĐ!AD138,NĐ!AJ138,NĐ!AP138)))</f>
        <v>0</v>
      </c>
      <c r="K138">
        <f>SUMPRODUCT((MONTH(CHOOSE({1,2,3,4},NĐ!U138,NĐ!AA138,NĐ!AG138,NĐ!AM138))=11)*(CHOOSE({1,2,3,4},NĐ!X138,NĐ!AD138,NĐ!AJ138,NĐ!AP138)))</f>
        <v>0</v>
      </c>
      <c r="L138">
        <f>SUMPRODUCT((MONTH(CHOOSE({1,2,3,4},NĐ!U138,NĐ!AA138,NĐ!AG138,NĐ!AM138))=12)*(CHOOSE({1,2,3,4},NĐ!X138,NĐ!AD138,NĐ!AJ138,NĐ!AP138)))</f>
        <v>0</v>
      </c>
    </row>
    <row r="139" spans="1:12">
      <c r="A139">
        <f>SUMPRODUCT((MONTH(CHOOSE({1,2,3,4},NĐ!U139,NĐ!AA139,NĐ!AG139,NĐ!AM139))=1)*(CHOOSE({1,2,3,4},NĐ!X139,NĐ!AD139,NĐ!AJ139,NĐ!AP139)))</f>
        <v>0</v>
      </c>
      <c r="B139">
        <f>SUMPRODUCT((MONTH(CHOOSE({1,2,3,4},NĐ!U139,NĐ!AA139,NĐ!AG139,NĐ!AM139))=2)*(CHOOSE({1,2,3,4},NĐ!X139,NĐ!AD139,NĐ!AJ139,NĐ!AP139)))</f>
        <v>0</v>
      </c>
      <c r="C139">
        <f>SUMPRODUCT((MONTH(CHOOSE({1,2,3,4},NĐ!U139,NĐ!AA139,NĐ!AG139,NĐ!AM139))=3)*(CHOOSE({1,2,3,4},NĐ!X139,NĐ!AD139,NĐ!AJ139,NĐ!AP139)))</f>
        <v>0</v>
      </c>
      <c r="D139">
        <f>SUMPRODUCT((MONTH(CHOOSE({1,2,3,4},NĐ!U139,NĐ!AA139,NĐ!AG139,NĐ!AM139))=4)*(CHOOSE({1,2,3,4},NĐ!X139,NĐ!AD139,NĐ!AJ139,NĐ!AP139)))</f>
        <v>0</v>
      </c>
      <c r="E139">
        <f>SUMPRODUCT((MONTH(CHOOSE({1,2,3,4},NĐ!U139,NĐ!AA139,NĐ!AG139,NĐ!AM139))=5)*(CHOOSE({1,2,3,4},NĐ!X139,NĐ!AD139,NĐ!AJ139,NĐ!AP139)))</f>
        <v>0</v>
      </c>
      <c r="F139">
        <f>SUMPRODUCT((MONTH(CHOOSE({1,2,3,4},NĐ!U139,NĐ!AA139,NĐ!AG139,NĐ!AM139))=6)*(CHOOSE({1,2,3,4},NĐ!X139,NĐ!AD139,NĐ!AJ139,NĐ!AP139)))</f>
        <v>0</v>
      </c>
      <c r="G139">
        <f>SUMPRODUCT((MONTH(CHOOSE({1,2,3,4},NĐ!U139,NĐ!AA139,NĐ!AG139,NĐ!AM139))=7)*(CHOOSE({1,2,3,4},NĐ!X139,NĐ!AD139,NĐ!AJ139,NĐ!AP139)))</f>
        <v>0</v>
      </c>
      <c r="H139">
        <f>SUMPRODUCT((MONTH(CHOOSE({1,2,3,4},NĐ!U139,NĐ!AA139,NĐ!AG139,NĐ!AM139))=8)*(CHOOSE({1,2,3,4},NĐ!X139,NĐ!AD139,NĐ!AJ139,NĐ!AP139)))</f>
        <v>0</v>
      </c>
      <c r="I139">
        <f>SUMPRODUCT((MONTH(CHOOSE({1,2,3,4},NĐ!U139,NĐ!AA139,NĐ!AG139,NĐ!AM139))=9)*(CHOOSE({1,2,3,4},NĐ!X139,NĐ!AD139,NĐ!AJ139,NĐ!AP139)))</f>
        <v>0</v>
      </c>
      <c r="J139">
        <f>SUMPRODUCT((MONTH(CHOOSE({1,2,3,4},NĐ!U139,NĐ!AA139,NĐ!AG139,NĐ!AM139))=10)*(CHOOSE({1,2,3,4},NĐ!X139,NĐ!AD139,NĐ!AJ139,NĐ!AP139)))</f>
        <v>0</v>
      </c>
      <c r="K139">
        <f>SUMPRODUCT((MONTH(CHOOSE({1,2,3,4},NĐ!U139,NĐ!AA139,NĐ!AG139,NĐ!AM139))=11)*(CHOOSE({1,2,3,4},NĐ!X139,NĐ!AD139,NĐ!AJ139,NĐ!AP139)))</f>
        <v>0</v>
      </c>
      <c r="L139">
        <f>SUMPRODUCT((MONTH(CHOOSE({1,2,3,4},NĐ!U139,NĐ!AA139,NĐ!AG139,NĐ!AM139))=12)*(CHOOSE({1,2,3,4},NĐ!X139,NĐ!AD139,NĐ!AJ139,NĐ!AP139)))</f>
        <v>0</v>
      </c>
    </row>
    <row r="140" spans="1:12">
      <c r="A140">
        <f>SUMPRODUCT((MONTH(CHOOSE({1,2,3,4},NĐ!U140,NĐ!AA140,NĐ!AG140,NĐ!AM140))=1)*(CHOOSE({1,2,3,4},NĐ!X140,NĐ!AD140,NĐ!AJ140,NĐ!AP140)))</f>
        <v>0</v>
      </c>
      <c r="B140">
        <f>SUMPRODUCT((MONTH(CHOOSE({1,2,3,4},NĐ!U140,NĐ!AA140,NĐ!AG140,NĐ!AM140))=2)*(CHOOSE({1,2,3,4},NĐ!X140,NĐ!AD140,NĐ!AJ140,NĐ!AP140)))</f>
        <v>0</v>
      </c>
      <c r="C140">
        <f>SUMPRODUCT((MONTH(CHOOSE({1,2,3,4},NĐ!U140,NĐ!AA140,NĐ!AG140,NĐ!AM140))=3)*(CHOOSE({1,2,3,4},NĐ!X140,NĐ!AD140,NĐ!AJ140,NĐ!AP140)))</f>
        <v>0</v>
      </c>
      <c r="D140">
        <f>SUMPRODUCT((MONTH(CHOOSE({1,2,3,4},NĐ!U140,NĐ!AA140,NĐ!AG140,NĐ!AM140))=4)*(CHOOSE({1,2,3,4},NĐ!X140,NĐ!AD140,NĐ!AJ140,NĐ!AP140)))</f>
        <v>0</v>
      </c>
      <c r="E140">
        <f>SUMPRODUCT((MONTH(CHOOSE({1,2,3,4},NĐ!U140,NĐ!AA140,NĐ!AG140,NĐ!AM140))=5)*(CHOOSE({1,2,3,4},NĐ!X140,NĐ!AD140,NĐ!AJ140,NĐ!AP140)))</f>
        <v>0</v>
      </c>
      <c r="F140">
        <f>SUMPRODUCT((MONTH(CHOOSE({1,2,3,4},NĐ!U140,NĐ!AA140,NĐ!AG140,NĐ!AM140))=6)*(CHOOSE({1,2,3,4},NĐ!X140,NĐ!AD140,NĐ!AJ140,NĐ!AP140)))</f>
        <v>0</v>
      </c>
      <c r="G140">
        <f>SUMPRODUCT((MONTH(CHOOSE({1,2,3,4},NĐ!U140,NĐ!AA140,NĐ!AG140,NĐ!AM140))=7)*(CHOOSE({1,2,3,4},NĐ!X140,NĐ!AD140,NĐ!AJ140,NĐ!AP140)))</f>
        <v>0</v>
      </c>
      <c r="H140">
        <f>SUMPRODUCT((MONTH(CHOOSE({1,2,3,4},NĐ!U140,NĐ!AA140,NĐ!AG140,NĐ!AM140))=8)*(CHOOSE({1,2,3,4},NĐ!X140,NĐ!AD140,NĐ!AJ140,NĐ!AP140)))</f>
        <v>0</v>
      </c>
      <c r="I140">
        <f>SUMPRODUCT((MONTH(CHOOSE({1,2,3,4},NĐ!U140,NĐ!AA140,NĐ!AG140,NĐ!AM140))=9)*(CHOOSE({1,2,3,4},NĐ!X140,NĐ!AD140,NĐ!AJ140,NĐ!AP140)))</f>
        <v>0</v>
      </c>
      <c r="J140">
        <f>SUMPRODUCT((MONTH(CHOOSE({1,2,3,4},NĐ!U140,NĐ!AA140,NĐ!AG140,NĐ!AM140))=10)*(CHOOSE({1,2,3,4},NĐ!X140,NĐ!AD140,NĐ!AJ140,NĐ!AP140)))</f>
        <v>0</v>
      </c>
      <c r="K140">
        <f>SUMPRODUCT((MONTH(CHOOSE({1,2,3,4},NĐ!U140,NĐ!AA140,NĐ!AG140,NĐ!AM140))=11)*(CHOOSE({1,2,3,4},NĐ!X140,NĐ!AD140,NĐ!AJ140,NĐ!AP140)))</f>
        <v>0</v>
      </c>
      <c r="L140">
        <f>SUMPRODUCT((MONTH(CHOOSE({1,2,3,4},NĐ!U140,NĐ!AA140,NĐ!AG140,NĐ!AM140))=12)*(CHOOSE({1,2,3,4},NĐ!X140,NĐ!AD140,NĐ!AJ140,NĐ!AP140)))</f>
        <v>0</v>
      </c>
    </row>
    <row r="141" spans="1:12">
      <c r="A141">
        <f>SUMPRODUCT((MONTH(CHOOSE({1,2,3,4},NĐ!U141,NĐ!AA141,NĐ!AG141,NĐ!AM141))=1)*(CHOOSE({1,2,3,4},NĐ!X141,NĐ!AD141,NĐ!AJ141,NĐ!AP141)))</f>
        <v>0</v>
      </c>
      <c r="B141">
        <f>SUMPRODUCT((MONTH(CHOOSE({1,2,3,4},NĐ!U141,NĐ!AA141,NĐ!AG141,NĐ!AM141))=2)*(CHOOSE({1,2,3,4},NĐ!X141,NĐ!AD141,NĐ!AJ141,NĐ!AP141)))</f>
        <v>0</v>
      </c>
      <c r="C141">
        <f>SUMPRODUCT((MONTH(CHOOSE({1,2,3,4},NĐ!U141,NĐ!AA141,NĐ!AG141,NĐ!AM141))=3)*(CHOOSE({1,2,3,4},NĐ!X141,NĐ!AD141,NĐ!AJ141,NĐ!AP141)))</f>
        <v>0</v>
      </c>
      <c r="D141">
        <f>SUMPRODUCT((MONTH(CHOOSE({1,2,3,4},NĐ!U141,NĐ!AA141,NĐ!AG141,NĐ!AM141))=4)*(CHOOSE({1,2,3,4},NĐ!X141,NĐ!AD141,NĐ!AJ141,NĐ!AP141)))</f>
        <v>0</v>
      </c>
      <c r="E141">
        <f>SUMPRODUCT((MONTH(CHOOSE({1,2,3,4},NĐ!U141,NĐ!AA141,NĐ!AG141,NĐ!AM141))=5)*(CHOOSE({1,2,3,4},NĐ!X141,NĐ!AD141,NĐ!AJ141,NĐ!AP141)))</f>
        <v>0</v>
      </c>
      <c r="F141">
        <f>SUMPRODUCT((MONTH(CHOOSE({1,2,3,4},NĐ!U141,NĐ!AA141,NĐ!AG141,NĐ!AM141))=6)*(CHOOSE({1,2,3,4},NĐ!X141,NĐ!AD141,NĐ!AJ141,NĐ!AP141)))</f>
        <v>0</v>
      </c>
      <c r="G141">
        <f>SUMPRODUCT((MONTH(CHOOSE({1,2,3,4},NĐ!U141,NĐ!AA141,NĐ!AG141,NĐ!AM141))=7)*(CHOOSE({1,2,3,4},NĐ!X141,NĐ!AD141,NĐ!AJ141,NĐ!AP141)))</f>
        <v>0</v>
      </c>
      <c r="H141">
        <f>SUMPRODUCT((MONTH(CHOOSE({1,2,3,4},NĐ!U141,NĐ!AA141,NĐ!AG141,NĐ!AM141))=8)*(CHOOSE({1,2,3,4},NĐ!X141,NĐ!AD141,NĐ!AJ141,NĐ!AP141)))</f>
        <v>0</v>
      </c>
      <c r="I141">
        <f>SUMPRODUCT((MONTH(CHOOSE({1,2,3,4},NĐ!U141,NĐ!AA141,NĐ!AG141,NĐ!AM141))=9)*(CHOOSE({1,2,3,4},NĐ!X141,NĐ!AD141,NĐ!AJ141,NĐ!AP141)))</f>
        <v>0</v>
      </c>
      <c r="J141">
        <f>SUMPRODUCT((MONTH(CHOOSE({1,2,3,4},NĐ!U141,NĐ!AA141,NĐ!AG141,NĐ!AM141))=10)*(CHOOSE({1,2,3,4},NĐ!X141,NĐ!AD141,NĐ!AJ141,NĐ!AP141)))</f>
        <v>0</v>
      </c>
      <c r="K141">
        <f>SUMPRODUCT((MONTH(CHOOSE({1,2,3,4},NĐ!U141,NĐ!AA141,NĐ!AG141,NĐ!AM141))=11)*(CHOOSE({1,2,3,4},NĐ!X141,NĐ!AD141,NĐ!AJ141,NĐ!AP141)))</f>
        <v>0</v>
      </c>
      <c r="L141">
        <f>SUMPRODUCT((MONTH(CHOOSE({1,2,3,4},NĐ!U141,NĐ!AA141,NĐ!AG141,NĐ!AM141))=12)*(CHOOSE({1,2,3,4},NĐ!X141,NĐ!AD141,NĐ!AJ141,NĐ!AP141)))</f>
        <v>0</v>
      </c>
    </row>
    <row r="142" spans="1:12">
      <c r="A142">
        <f>SUMPRODUCT((MONTH(CHOOSE({1,2,3,4},NĐ!U142,NĐ!AA142,NĐ!AG142,NĐ!AM142))=1)*(CHOOSE({1,2,3,4},NĐ!X142,NĐ!AD142,NĐ!AJ142,NĐ!AP142)))</f>
        <v>0</v>
      </c>
      <c r="B142">
        <f>SUMPRODUCT((MONTH(CHOOSE({1,2,3,4},NĐ!U142,NĐ!AA142,NĐ!AG142,NĐ!AM142))=2)*(CHOOSE({1,2,3,4},NĐ!X142,NĐ!AD142,NĐ!AJ142,NĐ!AP142)))</f>
        <v>0</v>
      </c>
      <c r="C142">
        <f>SUMPRODUCT((MONTH(CHOOSE({1,2,3,4},NĐ!U142,NĐ!AA142,NĐ!AG142,NĐ!AM142))=3)*(CHOOSE({1,2,3,4},NĐ!X142,NĐ!AD142,NĐ!AJ142,NĐ!AP142)))</f>
        <v>0</v>
      </c>
      <c r="D142">
        <f>SUMPRODUCT((MONTH(CHOOSE({1,2,3,4},NĐ!U142,NĐ!AA142,NĐ!AG142,NĐ!AM142))=4)*(CHOOSE({1,2,3,4},NĐ!X142,NĐ!AD142,NĐ!AJ142,NĐ!AP142)))</f>
        <v>0</v>
      </c>
      <c r="E142">
        <f>SUMPRODUCT((MONTH(CHOOSE({1,2,3,4},NĐ!U142,NĐ!AA142,NĐ!AG142,NĐ!AM142))=5)*(CHOOSE({1,2,3,4},NĐ!X142,NĐ!AD142,NĐ!AJ142,NĐ!AP142)))</f>
        <v>0</v>
      </c>
      <c r="F142">
        <f>SUMPRODUCT((MONTH(CHOOSE({1,2,3,4},NĐ!U142,NĐ!AA142,NĐ!AG142,NĐ!AM142))=6)*(CHOOSE({1,2,3,4},NĐ!X142,NĐ!AD142,NĐ!AJ142,NĐ!AP142)))</f>
        <v>0</v>
      </c>
      <c r="G142">
        <f>SUMPRODUCT((MONTH(CHOOSE({1,2,3,4},NĐ!U142,NĐ!AA142,NĐ!AG142,NĐ!AM142))=7)*(CHOOSE({1,2,3,4},NĐ!X142,NĐ!AD142,NĐ!AJ142,NĐ!AP142)))</f>
        <v>0</v>
      </c>
      <c r="H142">
        <f>SUMPRODUCT((MONTH(CHOOSE({1,2,3,4},NĐ!U142,NĐ!AA142,NĐ!AG142,NĐ!AM142))=8)*(CHOOSE({1,2,3,4},NĐ!X142,NĐ!AD142,NĐ!AJ142,NĐ!AP142)))</f>
        <v>0</v>
      </c>
      <c r="I142">
        <f>SUMPRODUCT((MONTH(CHOOSE({1,2,3,4},NĐ!U142,NĐ!AA142,NĐ!AG142,NĐ!AM142))=9)*(CHOOSE({1,2,3,4},NĐ!X142,NĐ!AD142,NĐ!AJ142,NĐ!AP142)))</f>
        <v>0</v>
      </c>
      <c r="J142">
        <f>SUMPRODUCT((MONTH(CHOOSE({1,2,3,4},NĐ!U142,NĐ!AA142,NĐ!AG142,NĐ!AM142))=10)*(CHOOSE({1,2,3,4},NĐ!X142,NĐ!AD142,NĐ!AJ142,NĐ!AP142)))</f>
        <v>0</v>
      </c>
      <c r="K142">
        <f>SUMPRODUCT((MONTH(CHOOSE({1,2,3,4},NĐ!U142,NĐ!AA142,NĐ!AG142,NĐ!AM142))=11)*(CHOOSE({1,2,3,4},NĐ!X142,NĐ!AD142,NĐ!AJ142,NĐ!AP142)))</f>
        <v>0</v>
      </c>
      <c r="L142">
        <f>SUMPRODUCT((MONTH(CHOOSE({1,2,3,4},NĐ!U142,NĐ!AA142,NĐ!AG142,NĐ!AM142))=12)*(CHOOSE({1,2,3,4},NĐ!X142,NĐ!AD142,NĐ!AJ142,NĐ!AP142)))</f>
        <v>0</v>
      </c>
    </row>
    <row r="143" spans="1:12">
      <c r="A143">
        <f>SUMPRODUCT((MONTH(CHOOSE({1,2,3,4},NĐ!U143,NĐ!AA143,NĐ!AG143,NĐ!AM143))=1)*(CHOOSE({1,2,3,4},NĐ!X143,NĐ!AD143,NĐ!AJ143,NĐ!AP143)))</f>
        <v>0</v>
      </c>
      <c r="B143">
        <f>SUMPRODUCT((MONTH(CHOOSE({1,2,3,4},NĐ!U143,NĐ!AA143,NĐ!AG143,NĐ!AM143))=2)*(CHOOSE({1,2,3,4},NĐ!X143,NĐ!AD143,NĐ!AJ143,NĐ!AP143)))</f>
        <v>0</v>
      </c>
      <c r="C143">
        <f>SUMPRODUCT((MONTH(CHOOSE({1,2,3,4},NĐ!U143,NĐ!AA143,NĐ!AG143,NĐ!AM143))=3)*(CHOOSE({1,2,3,4},NĐ!X143,NĐ!AD143,NĐ!AJ143,NĐ!AP143)))</f>
        <v>0</v>
      </c>
      <c r="D143">
        <f>SUMPRODUCT((MONTH(CHOOSE({1,2,3,4},NĐ!U143,NĐ!AA143,NĐ!AG143,NĐ!AM143))=4)*(CHOOSE({1,2,3,4},NĐ!X143,NĐ!AD143,NĐ!AJ143,NĐ!AP143)))</f>
        <v>0</v>
      </c>
      <c r="E143">
        <f>SUMPRODUCT((MONTH(CHOOSE({1,2,3,4},NĐ!U143,NĐ!AA143,NĐ!AG143,NĐ!AM143))=5)*(CHOOSE({1,2,3,4},NĐ!X143,NĐ!AD143,NĐ!AJ143,NĐ!AP143)))</f>
        <v>0</v>
      </c>
      <c r="F143">
        <f>SUMPRODUCT((MONTH(CHOOSE({1,2,3,4},NĐ!U143,NĐ!AA143,NĐ!AG143,NĐ!AM143))=6)*(CHOOSE({1,2,3,4},NĐ!X143,NĐ!AD143,NĐ!AJ143,NĐ!AP143)))</f>
        <v>0</v>
      </c>
      <c r="G143">
        <f>SUMPRODUCT((MONTH(CHOOSE({1,2,3,4},NĐ!U143,NĐ!AA143,NĐ!AG143,NĐ!AM143))=7)*(CHOOSE({1,2,3,4},NĐ!X143,NĐ!AD143,NĐ!AJ143,NĐ!AP143)))</f>
        <v>0</v>
      </c>
      <c r="H143">
        <f>SUMPRODUCT((MONTH(CHOOSE({1,2,3,4},NĐ!U143,NĐ!AA143,NĐ!AG143,NĐ!AM143))=8)*(CHOOSE({1,2,3,4},NĐ!X143,NĐ!AD143,NĐ!AJ143,NĐ!AP143)))</f>
        <v>0</v>
      </c>
      <c r="I143">
        <f>SUMPRODUCT((MONTH(CHOOSE({1,2,3,4},NĐ!U143,NĐ!AA143,NĐ!AG143,NĐ!AM143))=9)*(CHOOSE({1,2,3,4},NĐ!X143,NĐ!AD143,NĐ!AJ143,NĐ!AP143)))</f>
        <v>0</v>
      </c>
      <c r="J143">
        <f>SUMPRODUCT((MONTH(CHOOSE({1,2,3,4},NĐ!U143,NĐ!AA143,NĐ!AG143,NĐ!AM143))=10)*(CHOOSE({1,2,3,4},NĐ!X143,NĐ!AD143,NĐ!AJ143,NĐ!AP143)))</f>
        <v>0</v>
      </c>
      <c r="K143">
        <f>SUMPRODUCT((MONTH(CHOOSE({1,2,3,4},NĐ!U143,NĐ!AA143,NĐ!AG143,NĐ!AM143))=11)*(CHOOSE({1,2,3,4},NĐ!X143,NĐ!AD143,NĐ!AJ143,NĐ!AP143)))</f>
        <v>0</v>
      </c>
      <c r="L143">
        <f>SUMPRODUCT((MONTH(CHOOSE({1,2,3,4},NĐ!U143,NĐ!AA143,NĐ!AG143,NĐ!AM143))=12)*(CHOOSE({1,2,3,4},NĐ!X143,NĐ!AD143,NĐ!AJ143,NĐ!AP143)))</f>
        <v>0</v>
      </c>
    </row>
    <row r="144" spans="1:12">
      <c r="A144">
        <f>SUMPRODUCT((MONTH(CHOOSE({1,2,3,4},NĐ!U144,NĐ!AA144,NĐ!AG144,NĐ!AM144))=1)*(CHOOSE({1,2,3,4},NĐ!X144,NĐ!AD144,NĐ!AJ144,NĐ!AP144)))</f>
        <v>0</v>
      </c>
      <c r="B144">
        <f>SUMPRODUCT((MONTH(CHOOSE({1,2,3,4},NĐ!U144,NĐ!AA144,NĐ!AG144,NĐ!AM144))=2)*(CHOOSE({1,2,3,4},NĐ!X144,NĐ!AD144,NĐ!AJ144,NĐ!AP144)))</f>
        <v>0</v>
      </c>
      <c r="C144">
        <f>SUMPRODUCT((MONTH(CHOOSE({1,2,3,4},NĐ!U144,NĐ!AA144,NĐ!AG144,NĐ!AM144))=3)*(CHOOSE({1,2,3,4},NĐ!X144,NĐ!AD144,NĐ!AJ144,NĐ!AP144)))</f>
        <v>0</v>
      </c>
      <c r="D144">
        <f>SUMPRODUCT((MONTH(CHOOSE({1,2,3,4},NĐ!U144,NĐ!AA144,NĐ!AG144,NĐ!AM144))=4)*(CHOOSE({1,2,3,4},NĐ!X144,NĐ!AD144,NĐ!AJ144,NĐ!AP144)))</f>
        <v>0</v>
      </c>
      <c r="E144">
        <f>SUMPRODUCT((MONTH(CHOOSE({1,2,3,4},NĐ!U144,NĐ!AA144,NĐ!AG144,NĐ!AM144))=5)*(CHOOSE({1,2,3,4},NĐ!X144,NĐ!AD144,NĐ!AJ144,NĐ!AP144)))</f>
        <v>0</v>
      </c>
      <c r="F144">
        <f>SUMPRODUCT((MONTH(CHOOSE({1,2,3,4},NĐ!U144,NĐ!AA144,NĐ!AG144,NĐ!AM144))=6)*(CHOOSE({1,2,3,4},NĐ!X144,NĐ!AD144,NĐ!AJ144,NĐ!AP144)))</f>
        <v>0</v>
      </c>
      <c r="G144">
        <f>SUMPRODUCT((MONTH(CHOOSE({1,2,3,4},NĐ!U144,NĐ!AA144,NĐ!AG144,NĐ!AM144))=7)*(CHOOSE({1,2,3,4},NĐ!X144,NĐ!AD144,NĐ!AJ144,NĐ!AP144)))</f>
        <v>0</v>
      </c>
      <c r="H144">
        <f>SUMPRODUCT((MONTH(CHOOSE({1,2,3,4},NĐ!U144,NĐ!AA144,NĐ!AG144,NĐ!AM144))=8)*(CHOOSE({1,2,3,4},NĐ!X144,NĐ!AD144,NĐ!AJ144,NĐ!AP144)))</f>
        <v>0</v>
      </c>
      <c r="I144">
        <f>SUMPRODUCT((MONTH(CHOOSE({1,2,3,4},NĐ!U144,NĐ!AA144,NĐ!AG144,NĐ!AM144))=9)*(CHOOSE({1,2,3,4},NĐ!X144,NĐ!AD144,NĐ!AJ144,NĐ!AP144)))</f>
        <v>0</v>
      </c>
      <c r="J144">
        <f>SUMPRODUCT((MONTH(CHOOSE({1,2,3,4},NĐ!U144,NĐ!AA144,NĐ!AG144,NĐ!AM144))=10)*(CHOOSE({1,2,3,4},NĐ!X144,NĐ!AD144,NĐ!AJ144,NĐ!AP144)))</f>
        <v>0</v>
      </c>
      <c r="K144">
        <f>SUMPRODUCT((MONTH(CHOOSE({1,2,3,4},NĐ!U144,NĐ!AA144,NĐ!AG144,NĐ!AM144))=11)*(CHOOSE({1,2,3,4},NĐ!X144,NĐ!AD144,NĐ!AJ144,NĐ!AP144)))</f>
        <v>0</v>
      </c>
      <c r="L144">
        <f>SUMPRODUCT((MONTH(CHOOSE({1,2,3,4},NĐ!U144,NĐ!AA144,NĐ!AG144,NĐ!AM144))=12)*(CHOOSE({1,2,3,4},NĐ!X144,NĐ!AD144,NĐ!AJ144,NĐ!AP144)))</f>
        <v>0</v>
      </c>
    </row>
    <row r="145" spans="1:12">
      <c r="A145">
        <f>SUMPRODUCT((MONTH(CHOOSE({1,2,3,4},NĐ!U145,NĐ!AA145,NĐ!AG145,NĐ!AM145))=1)*(CHOOSE({1,2,3,4},NĐ!X145,NĐ!AD145,NĐ!AJ145,NĐ!AP145)))</f>
        <v>0</v>
      </c>
      <c r="B145">
        <f>SUMPRODUCT((MONTH(CHOOSE({1,2,3,4},NĐ!U145,NĐ!AA145,NĐ!AG145,NĐ!AM145))=2)*(CHOOSE({1,2,3,4},NĐ!X145,NĐ!AD145,NĐ!AJ145,NĐ!AP145)))</f>
        <v>0</v>
      </c>
      <c r="C145">
        <f>SUMPRODUCT((MONTH(CHOOSE({1,2,3,4},NĐ!U145,NĐ!AA145,NĐ!AG145,NĐ!AM145))=3)*(CHOOSE({1,2,3,4},NĐ!X145,NĐ!AD145,NĐ!AJ145,NĐ!AP145)))</f>
        <v>0</v>
      </c>
      <c r="D145">
        <f>SUMPRODUCT((MONTH(CHOOSE({1,2,3,4},NĐ!U145,NĐ!AA145,NĐ!AG145,NĐ!AM145))=4)*(CHOOSE({1,2,3,4},NĐ!X145,NĐ!AD145,NĐ!AJ145,NĐ!AP145)))</f>
        <v>0</v>
      </c>
      <c r="E145">
        <f>SUMPRODUCT((MONTH(CHOOSE({1,2,3,4},NĐ!U145,NĐ!AA145,NĐ!AG145,NĐ!AM145))=5)*(CHOOSE({1,2,3,4},NĐ!X145,NĐ!AD145,NĐ!AJ145,NĐ!AP145)))</f>
        <v>0</v>
      </c>
      <c r="F145">
        <f>SUMPRODUCT((MONTH(CHOOSE({1,2,3,4},NĐ!U145,NĐ!AA145,NĐ!AG145,NĐ!AM145))=6)*(CHOOSE({1,2,3,4},NĐ!X145,NĐ!AD145,NĐ!AJ145,NĐ!AP145)))</f>
        <v>0</v>
      </c>
      <c r="G145">
        <f>SUMPRODUCT((MONTH(CHOOSE({1,2,3,4},NĐ!U145,NĐ!AA145,NĐ!AG145,NĐ!AM145))=7)*(CHOOSE({1,2,3,4},NĐ!X145,NĐ!AD145,NĐ!AJ145,NĐ!AP145)))</f>
        <v>0</v>
      </c>
      <c r="H145">
        <f>SUMPRODUCT((MONTH(CHOOSE({1,2,3,4},NĐ!U145,NĐ!AA145,NĐ!AG145,NĐ!AM145))=8)*(CHOOSE({1,2,3,4},NĐ!X145,NĐ!AD145,NĐ!AJ145,NĐ!AP145)))</f>
        <v>0</v>
      </c>
      <c r="I145">
        <f>SUMPRODUCT((MONTH(CHOOSE({1,2,3,4},NĐ!U145,NĐ!AA145,NĐ!AG145,NĐ!AM145))=9)*(CHOOSE({1,2,3,4},NĐ!X145,NĐ!AD145,NĐ!AJ145,NĐ!AP145)))</f>
        <v>0</v>
      </c>
      <c r="J145">
        <f>SUMPRODUCT((MONTH(CHOOSE({1,2,3,4},NĐ!U145,NĐ!AA145,NĐ!AG145,NĐ!AM145))=10)*(CHOOSE({1,2,3,4},NĐ!X145,NĐ!AD145,NĐ!AJ145,NĐ!AP145)))</f>
        <v>0</v>
      </c>
      <c r="K145">
        <f>SUMPRODUCT((MONTH(CHOOSE({1,2,3,4},NĐ!U145,NĐ!AA145,NĐ!AG145,NĐ!AM145))=11)*(CHOOSE({1,2,3,4},NĐ!X145,NĐ!AD145,NĐ!AJ145,NĐ!AP145)))</f>
        <v>0</v>
      </c>
      <c r="L145">
        <f>SUMPRODUCT((MONTH(CHOOSE({1,2,3,4},NĐ!U145,NĐ!AA145,NĐ!AG145,NĐ!AM145))=12)*(CHOOSE({1,2,3,4},NĐ!X145,NĐ!AD145,NĐ!AJ145,NĐ!AP145)))</f>
        <v>0</v>
      </c>
    </row>
    <row r="146" spans="1:12">
      <c r="A146">
        <f>SUMPRODUCT((MONTH(CHOOSE({1,2,3,4},NĐ!U146,NĐ!AA146,NĐ!AG146,NĐ!AM146))=1)*(CHOOSE({1,2,3,4},NĐ!X146,NĐ!AD146,NĐ!AJ146,NĐ!AP146)))</f>
        <v>0</v>
      </c>
      <c r="B146">
        <f>SUMPRODUCT((MONTH(CHOOSE({1,2,3,4},NĐ!U146,NĐ!AA146,NĐ!AG146,NĐ!AM146))=2)*(CHOOSE({1,2,3,4},NĐ!X146,NĐ!AD146,NĐ!AJ146,NĐ!AP146)))</f>
        <v>0</v>
      </c>
      <c r="C146">
        <f>SUMPRODUCT((MONTH(CHOOSE({1,2,3,4},NĐ!U146,NĐ!AA146,NĐ!AG146,NĐ!AM146))=3)*(CHOOSE({1,2,3,4},NĐ!X146,NĐ!AD146,NĐ!AJ146,NĐ!AP146)))</f>
        <v>0</v>
      </c>
      <c r="D146">
        <f>SUMPRODUCT((MONTH(CHOOSE({1,2,3,4},NĐ!U146,NĐ!AA146,NĐ!AG146,NĐ!AM146))=4)*(CHOOSE({1,2,3,4},NĐ!X146,NĐ!AD146,NĐ!AJ146,NĐ!AP146)))</f>
        <v>0</v>
      </c>
      <c r="E146">
        <f>SUMPRODUCT((MONTH(CHOOSE({1,2,3,4},NĐ!U146,NĐ!AA146,NĐ!AG146,NĐ!AM146))=5)*(CHOOSE({1,2,3,4},NĐ!X146,NĐ!AD146,NĐ!AJ146,NĐ!AP146)))</f>
        <v>0</v>
      </c>
      <c r="F146">
        <f>SUMPRODUCT((MONTH(CHOOSE({1,2,3,4},NĐ!U146,NĐ!AA146,NĐ!AG146,NĐ!AM146))=6)*(CHOOSE({1,2,3,4},NĐ!X146,NĐ!AD146,NĐ!AJ146,NĐ!AP146)))</f>
        <v>0</v>
      </c>
      <c r="G146">
        <f>SUMPRODUCT((MONTH(CHOOSE({1,2,3,4},NĐ!U146,NĐ!AA146,NĐ!AG146,NĐ!AM146))=7)*(CHOOSE({1,2,3,4},NĐ!X146,NĐ!AD146,NĐ!AJ146,NĐ!AP146)))</f>
        <v>0</v>
      </c>
      <c r="H146">
        <f>SUMPRODUCT((MONTH(CHOOSE({1,2,3,4},NĐ!U146,NĐ!AA146,NĐ!AG146,NĐ!AM146))=8)*(CHOOSE({1,2,3,4},NĐ!X146,NĐ!AD146,NĐ!AJ146,NĐ!AP146)))</f>
        <v>0</v>
      </c>
      <c r="I146">
        <f>SUMPRODUCT((MONTH(CHOOSE({1,2,3,4},NĐ!U146,NĐ!AA146,NĐ!AG146,NĐ!AM146))=9)*(CHOOSE({1,2,3,4},NĐ!X146,NĐ!AD146,NĐ!AJ146,NĐ!AP146)))</f>
        <v>0</v>
      </c>
      <c r="J146">
        <f>SUMPRODUCT((MONTH(CHOOSE({1,2,3,4},NĐ!U146,NĐ!AA146,NĐ!AG146,NĐ!AM146))=10)*(CHOOSE({1,2,3,4},NĐ!X146,NĐ!AD146,NĐ!AJ146,NĐ!AP146)))</f>
        <v>0</v>
      </c>
      <c r="K146">
        <f>SUMPRODUCT((MONTH(CHOOSE({1,2,3,4},NĐ!U146,NĐ!AA146,NĐ!AG146,NĐ!AM146))=11)*(CHOOSE({1,2,3,4},NĐ!X146,NĐ!AD146,NĐ!AJ146,NĐ!AP146)))</f>
        <v>0</v>
      </c>
      <c r="L146">
        <f>SUMPRODUCT((MONTH(CHOOSE({1,2,3,4},NĐ!U146,NĐ!AA146,NĐ!AG146,NĐ!AM146))=12)*(CHOOSE({1,2,3,4},NĐ!X146,NĐ!AD146,NĐ!AJ146,NĐ!AP146)))</f>
        <v>0</v>
      </c>
    </row>
    <row r="147" spans="1:12">
      <c r="A147">
        <f>SUMPRODUCT((MONTH(CHOOSE({1,2,3,4},NĐ!U147,NĐ!AA147,NĐ!AG147,NĐ!AM147))=1)*(CHOOSE({1,2,3,4},NĐ!X147,NĐ!AD147,NĐ!AJ147,NĐ!AP147)))</f>
        <v>0</v>
      </c>
      <c r="B147">
        <f>SUMPRODUCT((MONTH(CHOOSE({1,2,3,4},NĐ!U147,NĐ!AA147,NĐ!AG147,NĐ!AM147))=2)*(CHOOSE({1,2,3,4},NĐ!X147,NĐ!AD147,NĐ!AJ147,NĐ!AP147)))</f>
        <v>0</v>
      </c>
      <c r="C147">
        <f>SUMPRODUCT((MONTH(CHOOSE({1,2,3,4},NĐ!U147,NĐ!AA147,NĐ!AG147,NĐ!AM147))=3)*(CHOOSE({1,2,3,4},NĐ!X147,NĐ!AD147,NĐ!AJ147,NĐ!AP147)))</f>
        <v>0</v>
      </c>
      <c r="D147">
        <f>SUMPRODUCT((MONTH(CHOOSE({1,2,3,4},NĐ!U147,NĐ!AA147,NĐ!AG147,NĐ!AM147))=4)*(CHOOSE({1,2,3,4},NĐ!X147,NĐ!AD147,NĐ!AJ147,NĐ!AP147)))</f>
        <v>0</v>
      </c>
      <c r="E147">
        <f>SUMPRODUCT((MONTH(CHOOSE({1,2,3,4},NĐ!U147,NĐ!AA147,NĐ!AG147,NĐ!AM147))=5)*(CHOOSE({1,2,3,4},NĐ!X147,NĐ!AD147,NĐ!AJ147,NĐ!AP147)))</f>
        <v>0</v>
      </c>
      <c r="F147">
        <f>SUMPRODUCT((MONTH(CHOOSE({1,2,3,4},NĐ!U147,NĐ!AA147,NĐ!AG147,NĐ!AM147))=6)*(CHOOSE({1,2,3,4},NĐ!X147,NĐ!AD147,NĐ!AJ147,NĐ!AP147)))</f>
        <v>0</v>
      </c>
      <c r="G147">
        <f>SUMPRODUCT((MONTH(CHOOSE({1,2,3,4},NĐ!U147,NĐ!AA147,NĐ!AG147,NĐ!AM147))=7)*(CHOOSE({1,2,3,4},NĐ!X147,NĐ!AD147,NĐ!AJ147,NĐ!AP147)))</f>
        <v>0</v>
      </c>
      <c r="H147">
        <f>SUMPRODUCT((MONTH(CHOOSE({1,2,3,4},NĐ!U147,NĐ!AA147,NĐ!AG147,NĐ!AM147))=8)*(CHOOSE({1,2,3,4},NĐ!X147,NĐ!AD147,NĐ!AJ147,NĐ!AP147)))</f>
        <v>0</v>
      </c>
      <c r="I147">
        <f>SUMPRODUCT((MONTH(CHOOSE({1,2,3,4},NĐ!U147,NĐ!AA147,NĐ!AG147,NĐ!AM147))=9)*(CHOOSE({1,2,3,4},NĐ!X147,NĐ!AD147,NĐ!AJ147,NĐ!AP147)))</f>
        <v>0</v>
      </c>
      <c r="J147">
        <f>SUMPRODUCT((MONTH(CHOOSE({1,2,3,4},NĐ!U147,NĐ!AA147,NĐ!AG147,NĐ!AM147))=10)*(CHOOSE({1,2,3,4},NĐ!X147,NĐ!AD147,NĐ!AJ147,NĐ!AP147)))</f>
        <v>0</v>
      </c>
      <c r="K147">
        <f>SUMPRODUCT((MONTH(CHOOSE({1,2,3,4},NĐ!U147,NĐ!AA147,NĐ!AG147,NĐ!AM147))=11)*(CHOOSE({1,2,3,4},NĐ!X147,NĐ!AD147,NĐ!AJ147,NĐ!AP147)))</f>
        <v>0</v>
      </c>
      <c r="L147">
        <f>SUMPRODUCT((MONTH(CHOOSE({1,2,3,4},NĐ!U147,NĐ!AA147,NĐ!AG147,NĐ!AM147))=12)*(CHOOSE({1,2,3,4},NĐ!X147,NĐ!AD147,NĐ!AJ147,NĐ!AP147)))</f>
        <v>0</v>
      </c>
    </row>
    <row r="148" spans="1:12">
      <c r="A148">
        <f>SUMPRODUCT((MONTH(CHOOSE({1,2,3,4},NĐ!U148,NĐ!AA148,NĐ!AG148,NĐ!AM148))=1)*(CHOOSE({1,2,3,4},NĐ!X148,NĐ!AD148,NĐ!AJ148,NĐ!AP148)))</f>
        <v>0</v>
      </c>
      <c r="B148">
        <f>SUMPRODUCT((MONTH(CHOOSE({1,2,3,4},NĐ!U148,NĐ!AA148,NĐ!AG148,NĐ!AM148))=2)*(CHOOSE({1,2,3,4},NĐ!X148,NĐ!AD148,NĐ!AJ148,NĐ!AP148)))</f>
        <v>0</v>
      </c>
      <c r="C148">
        <f>SUMPRODUCT((MONTH(CHOOSE({1,2,3,4},NĐ!U148,NĐ!AA148,NĐ!AG148,NĐ!AM148))=3)*(CHOOSE({1,2,3,4},NĐ!X148,NĐ!AD148,NĐ!AJ148,NĐ!AP148)))</f>
        <v>0</v>
      </c>
      <c r="D148">
        <f>SUMPRODUCT((MONTH(CHOOSE({1,2,3,4},NĐ!U148,NĐ!AA148,NĐ!AG148,NĐ!AM148))=4)*(CHOOSE({1,2,3,4},NĐ!X148,NĐ!AD148,NĐ!AJ148,NĐ!AP148)))</f>
        <v>0</v>
      </c>
      <c r="E148">
        <f>SUMPRODUCT((MONTH(CHOOSE({1,2,3,4},NĐ!U148,NĐ!AA148,NĐ!AG148,NĐ!AM148))=5)*(CHOOSE({1,2,3,4},NĐ!X148,NĐ!AD148,NĐ!AJ148,NĐ!AP148)))</f>
        <v>0</v>
      </c>
      <c r="F148">
        <f>SUMPRODUCT((MONTH(CHOOSE({1,2,3,4},NĐ!U148,NĐ!AA148,NĐ!AG148,NĐ!AM148))=6)*(CHOOSE({1,2,3,4},NĐ!X148,NĐ!AD148,NĐ!AJ148,NĐ!AP148)))</f>
        <v>0</v>
      </c>
      <c r="G148">
        <f>SUMPRODUCT((MONTH(CHOOSE({1,2,3,4},NĐ!U148,NĐ!AA148,NĐ!AG148,NĐ!AM148))=7)*(CHOOSE({1,2,3,4},NĐ!X148,NĐ!AD148,NĐ!AJ148,NĐ!AP148)))</f>
        <v>0</v>
      </c>
      <c r="H148">
        <f>SUMPRODUCT((MONTH(CHOOSE({1,2,3,4},NĐ!U148,NĐ!AA148,NĐ!AG148,NĐ!AM148))=8)*(CHOOSE({1,2,3,4},NĐ!X148,NĐ!AD148,NĐ!AJ148,NĐ!AP148)))</f>
        <v>0</v>
      </c>
      <c r="I148">
        <f>SUMPRODUCT((MONTH(CHOOSE({1,2,3,4},NĐ!U148,NĐ!AA148,NĐ!AG148,NĐ!AM148))=9)*(CHOOSE({1,2,3,4},NĐ!X148,NĐ!AD148,NĐ!AJ148,NĐ!AP148)))</f>
        <v>0</v>
      </c>
      <c r="J148">
        <f>SUMPRODUCT((MONTH(CHOOSE({1,2,3,4},NĐ!U148,NĐ!AA148,NĐ!AG148,NĐ!AM148))=10)*(CHOOSE({1,2,3,4},NĐ!X148,NĐ!AD148,NĐ!AJ148,NĐ!AP148)))</f>
        <v>0</v>
      </c>
      <c r="K148">
        <f>SUMPRODUCT((MONTH(CHOOSE({1,2,3,4},NĐ!U148,NĐ!AA148,NĐ!AG148,NĐ!AM148))=11)*(CHOOSE({1,2,3,4},NĐ!X148,NĐ!AD148,NĐ!AJ148,NĐ!AP148)))</f>
        <v>0</v>
      </c>
      <c r="L148">
        <f>SUMPRODUCT((MONTH(CHOOSE({1,2,3,4},NĐ!U148,NĐ!AA148,NĐ!AG148,NĐ!AM148))=12)*(CHOOSE({1,2,3,4},NĐ!X148,NĐ!AD148,NĐ!AJ148,NĐ!AP148)))</f>
        <v>0</v>
      </c>
    </row>
    <row r="149" spans="1:12">
      <c r="A149">
        <f>SUMPRODUCT((MONTH(CHOOSE({1,2,3,4},NĐ!U149,NĐ!AA149,NĐ!AG149,NĐ!AM149))=1)*(CHOOSE({1,2,3,4},NĐ!X149,NĐ!AD149,NĐ!AJ149,NĐ!AP149)))</f>
        <v>0</v>
      </c>
      <c r="B149">
        <f>SUMPRODUCT((MONTH(CHOOSE({1,2,3,4},NĐ!U149,NĐ!AA149,NĐ!AG149,NĐ!AM149))=2)*(CHOOSE({1,2,3,4},NĐ!X149,NĐ!AD149,NĐ!AJ149,NĐ!AP149)))</f>
        <v>0</v>
      </c>
      <c r="C149">
        <f>SUMPRODUCT((MONTH(CHOOSE({1,2,3,4},NĐ!U149,NĐ!AA149,NĐ!AG149,NĐ!AM149))=3)*(CHOOSE({1,2,3,4},NĐ!X149,NĐ!AD149,NĐ!AJ149,NĐ!AP149)))</f>
        <v>0</v>
      </c>
      <c r="D149">
        <f>SUMPRODUCT((MONTH(CHOOSE({1,2,3,4},NĐ!U149,NĐ!AA149,NĐ!AG149,NĐ!AM149))=4)*(CHOOSE({1,2,3,4},NĐ!X149,NĐ!AD149,NĐ!AJ149,NĐ!AP149)))</f>
        <v>0</v>
      </c>
      <c r="E149">
        <f>SUMPRODUCT((MONTH(CHOOSE({1,2,3,4},NĐ!U149,NĐ!AA149,NĐ!AG149,NĐ!AM149))=5)*(CHOOSE({1,2,3,4},NĐ!X149,NĐ!AD149,NĐ!AJ149,NĐ!AP149)))</f>
        <v>0</v>
      </c>
      <c r="F149">
        <f>SUMPRODUCT((MONTH(CHOOSE({1,2,3,4},NĐ!U149,NĐ!AA149,NĐ!AG149,NĐ!AM149))=6)*(CHOOSE({1,2,3,4},NĐ!X149,NĐ!AD149,NĐ!AJ149,NĐ!AP149)))</f>
        <v>0</v>
      </c>
      <c r="G149">
        <f>SUMPRODUCT((MONTH(CHOOSE({1,2,3,4},NĐ!U149,NĐ!AA149,NĐ!AG149,NĐ!AM149))=7)*(CHOOSE({1,2,3,4},NĐ!X149,NĐ!AD149,NĐ!AJ149,NĐ!AP149)))</f>
        <v>0</v>
      </c>
      <c r="H149">
        <f>SUMPRODUCT((MONTH(CHOOSE({1,2,3,4},NĐ!U149,NĐ!AA149,NĐ!AG149,NĐ!AM149))=8)*(CHOOSE({1,2,3,4},NĐ!X149,NĐ!AD149,NĐ!AJ149,NĐ!AP149)))</f>
        <v>0</v>
      </c>
      <c r="I149">
        <f>SUMPRODUCT((MONTH(CHOOSE({1,2,3,4},NĐ!U149,NĐ!AA149,NĐ!AG149,NĐ!AM149))=9)*(CHOOSE({1,2,3,4},NĐ!X149,NĐ!AD149,NĐ!AJ149,NĐ!AP149)))</f>
        <v>0</v>
      </c>
      <c r="J149">
        <f>SUMPRODUCT((MONTH(CHOOSE({1,2,3,4},NĐ!U149,NĐ!AA149,NĐ!AG149,NĐ!AM149))=10)*(CHOOSE({1,2,3,4},NĐ!X149,NĐ!AD149,NĐ!AJ149,NĐ!AP149)))</f>
        <v>0</v>
      </c>
      <c r="K149">
        <f>SUMPRODUCT((MONTH(CHOOSE({1,2,3,4},NĐ!U149,NĐ!AA149,NĐ!AG149,NĐ!AM149))=11)*(CHOOSE({1,2,3,4},NĐ!X149,NĐ!AD149,NĐ!AJ149,NĐ!AP149)))</f>
        <v>0</v>
      </c>
      <c r="L149">
        <f>SUMPRODUCT((MONTH(CHOOSE({1,2,3,4},NĐ!U149,NĐ!AA149,NĐ!AG149,NĐ!AM149))=12)*(CHOOSE({1,2,3,4},NĐ!X149,NĐ!AD149,NĐ!AJ149,NĐ!AP149)))</f>
        <v>0</v>
      </c>
    </row>
    <row r="150" spans="1:12">
      <c r="A150">
        <f>SUMPRODUCT((MONTH(CHOOSE({1,2,3,4},NĐ!U150,NĐ!AA150,NĐ!AG150,NĐ!AM150))=1)*(CHOOSE({1,2,3,4},NĐ!X150,NĐ!AD150,NĐ!AJ150,NĐ!AP150)))</f>
        <v>0</v>
      </c>
      <c r="B150">
        <f>SUMPRODUCT((MONTH(CHOOSE({1,2,3,4},NĐ!U150,NĐ!AA150,NĐ!AG150,NĐ!AM150))=2)*(CHOOSE({1,2,3,4},NĐ!X150,NĐ!AD150,NĐ!AJ150,NĐ!AP150)))</f>
        <v>0</v>
      </c>
      <c r="C150">
        <f>SUMPRODUCT((MONTH(CHOOSE({1,2,3,4},NĐ!U150,NĐ!AA150,NĐ!AG150,NĐ!AM150))=3)*(CHOOSE({1,2,3,4},NĐ!X150,NĐ!AD150,NĐ!AJ150,NĐ!AP150)))</f>
        <v>0</v>
      </c>
      <c r="D150">
        <f>SUMPRODUCT((MONTH(CHOOSE({1,2,3,4},NĐ!U150,NĐ!AA150,NĐ!AG150,NĐ!AM150))=4)*(CHOOSE({1,2,3,4},NĐ!X150,NĐ!AD150,NĐ!AJ150,NĐ!AP150)))</f>
        <v>0</v>
      </c>
      <c r="E150">
        <f>SUMPRODUCT((MONTH(CHOOSE({1,2,3,4},NĐ!U150,NĐ!AA150,NĐ!AG150,NĐ!AM150))=5)*(CHOOSE({1,2,3,4},NĐ!X150,NĐ!AD150,NĐ!AJ150,NĐ!AP150)))</f>
        <v>0</v>
      </c>
      <c r="F150">
        <f>SUMPRODUCT((MONTH(CHOOSE({1,2,3,4},NĐ!U150,NĐ!AA150,NĐ!AG150,NĐ!AM150))=6)*(CHOOSE({1,2,3,4},NĐ!X150,NĐ!AD150,NĐ!AJ150,NĐ!AP150)))</f>
        <v>0</v>
      </c>
      <c r="G150">
        <f>SUMPRODUCT((MONTH(CHOOSE({1,2,3,4},NĐ!U150,NĐ!AA150,NĐ!AG150,NĐ!AM150))=7)*(CHOOSE({1,2,3,4},NĐ!X150,NĐ!AD150,NĐ!AJ150,NĐ!AP150)))</f>
        <v>0</v>
      </c>
      <c r="H150">
        <f>SUMPRODUCT((MONTH(CHOOSE({1,2,3,4},NĐ!U150,NĐ!AA150,NĐ!AG150,NĐ!AM150))=8)*(CHOOSE({1,2,3,4},NĐ!X150,NĐ!AD150,NĐ!AJ150,NĐ!AP150)))</f>
        <v>0</v>
      </c>
      <c r="I150">
        <f>SUMPRODUCT((MONTH(CHOOSE({1,2,3,4},NĐ!U150,NĐ!AA150,NĐ!AG150,NĐ!AM150))=9)*(CHOOSE({1,2,3,4},NĐ!X150,NĐ!AD150,NĐ!AJ150,NĐ!AP150)))</f>
        <v>0</v>
      </c>
      <c r="J150">
        <f>SUMPRODUCT((MONTH(CHOOSE({1,2,3,4},NĐ!U150,NĐ!AA150,NĐ!AG150,NĐ!AM150))=10)*(CHOOSE({1,2,3,4},NĐ!X150,NĐ!AD150,NĐ!AJ150,NĐ!AP150)))</f>
        <v>0</v>
      </c>
      <c r="K150">
        <f>SUMPRODUCT((MONTH(CHOOSE({1,2,3,4},NĐ!U150,NĐ!AA150,NĐ!AG150,NĐ!AM150))=11)*(CHOOSE({1,2,3,4},NĐ!X150,NĐ!AD150,NĐ!AJ150,NĐ!AP150)))</f>
        <v>0</v>
      </c>
      <c r="L150">
        <f>SUMPRODUCT((MONTH(CHOOSE({1,2,3,4},NĐ!U150,NĐ!AA150,NĐ!AG150,NĐ!AM150))=12)*(CHOOSE({1,2,3,4},NĐ!X150,NĐ!AD150,NĐ!AJ150,NĐ!AP150)))</f>
        <v>0</v>
      </c>
    </row>
    <row r="151" spans="1:12">
      <c r="A151">
        <f>SUMPRODUCT((MONTH(CHOOSE({1,2,3,4},NĐ!U151,NĐ!AA151,NĐ!AG151,NĐ!AM151))=1)*(CHOOSE({1,2,3,4},NĐ!X151,NĐ!AD151,NĐ!AJ151,NĐ!AP151)))</f>
        <v>0</v>
      </c>
      <c r="B151">
        <f>SUMPRODUCT((MONTH(CHOOSE({1,2,3,4},NĐ!U151,NĐ!AA151,NĐ!AG151,NĐ!AM151))=2)*(CHOOSE({1,2,3,4},NĐ!X151,NĐ!AD151,NĐ!AJ151,NĐ!AP151)))</f>
        <v>0</v>
      </c>
      <c r="C151">
        <f>SUMPRODUCT((MONTH(CHOOSE({1,2,3,4},NĐ!U151,NĐ!AA151,NĐ!AG151,NĐ!AM151))=3)*(CHOOSE({1,2,3,4},NĐ!X151,NĐ!AD151,NĐ!AJ151,NĐ!AP151)))</f>
        <v>0</v>
      </c>
      <c r="D151">
        <f>SUMPRODUCT((MONTH(CHOOSE({1,2,3,4},NĐ!U151,NĐ!AA151,NĐ!AG151,NĐ!AM151))=4)*(CHOOSE({1,2,3,4},NĐ!X151,NĐ!AD151,NĐ!AJ151,NĐ!AP151)))</f>
        <v>0</v>
      </c>
      <c r="E151">
        <f>SUMPRODUCT((MONTH(CHOOSE({1,2,3,4},NĐ!U151,NĐ!AA151,NĐ!AG151,NĐ!AM151))=5)*(CHOOSE({1,2,3,4},NĐ!X151,NĐ!AD151,NĐ!AJ151,NĐ!AP151)))</f>
        <v>0</v>
      </c>
      <c r="F151">
        <f>SUMPRODUCT((MONTH(CHOOSE({1,2,3,4},NĐ!U151,NĐ!AA151,NĐ!AG151,NĐ!AM151))=6)*(CHOOSE({1,2,3,4},NĐ!X151,NĐ!AD151,NĐ!AJ151,NĐ!AP151)))</f>
        <v>0</v>
      </c>
      <c r="G151">
        <f>SUMPRODUCT((MONTH(CHOOSE({1,2,3,4},NĐ!U151,NĐ!AA151,NĐ!AG151,NĐ!AM151))=7)*(CHOOSE({1,2,3,4},NĐ!X151,NĐ!AD151,NĐ!AJ151,NĐ!AP151)))</f>
        <v>0</v>
      </c>
      <c r="H151">
        <f>SUMPRODUCT((MONTH(CHOOSE({1,2,3,4},NĐ!U151,NĐ!AA151,NĐ!AG151,NĐ!AM151))=8)*(CHOOSE({1,2,3,4},NĐ!X151,NĐ!AD151,NĐ!AJ151,NĐ!AP151)))</f>
        <v>0</v>
      </c>
      <c r="I151">
        <f>SUMPRODUCT((MONTH(CHOOSE({1,2,3,4},NĐ!U151,NĐ!AA151,NĐ!AG151,NĐ!AM151))=9)*(CHOOSE({1,2,3,4},NĐ!X151,NĐ!AD151,NĐ!AJ151,NĐ!AP151)))</f>
        <v>0</v>
      </c>
      <c r="J151">
        <f>SUMPRODUCT((MONTH(CHOOSE({1,2,3,4},NĐ!U151,NĐ!AA151,NĐ!AG151,NĐ!AM151))=10)*(CHOOSE({1,2,3,4},NĐ!X151,NĐ!AD151,NĐ!AJ151,NĐ!AP151)))</f>
        <v>0</v>
      </c>
      <c r="K151">
        <f>SUMPRODUCT((MONTH(CHOOSE({1,2,3,4},NĐ!U151,NĐ!AA151,NĐ!AG151,NĐ!AM151))=11)*(CHOOSE({1,2,3,4},NĐ!X151,NĐ!AD151,NĐ!AJ151,NĐ!AP151)))</f>
        <v>0</v>
      </c>
      <c r="L151">
        <f>SUMPRODUCT((MONTH(CHOOSE({1,2,3,4},NĐ!U151,NĐ!AA151,NĐ!AG151,NĐ!AM151))=12)*(CHOOSE({1,2,3,4},NĐ!X151,NĐ!AD151,NĐ!AJ151,NĐ!AP151)))</f>
        <v>0</v>
      </c>
    </row>
    <row r="152" spans="1:12">
      <c r="A152">
        <f>SUMPRODUCT((MONTH(CHOOSE({1,2,3,4},NĐ!U152,NĐ!AA152,NĐ!AG152,NĐ!AM152))=1)*(CHOOSE({1,2,3,4},NĐ!X152,NĐ!AD152,NĐ!AJ152,NĐ!AP152)))</f>
        <v>0</v>
      </c>
      <c r="B152">
        <f>SUMPRODUCT((MONTH(CHOOSE({1,2,3,4},NĐ!U152,NĐ!AA152,NĐ!AG152,NĐ!AM152))=2)*(CHOOSE({1,2,3,4},NĐ!X152,NĐ!AD152,NĐ!AJ152,NĐ!AP152)))</f>
        <v>0</v>
      </c>
      <c r="C152">
        <f>SUMPRODUCT((MONTH(CHOOSE({1,2,3,4},NĐ!U152,NĐ!AA152,NĐ!AG152,NĐ!AM152))=3)*(CHOOSE({1,2,3,4},NĐ!X152,NĐ!AD152,NĐ!AJ152,NĐ!AP152)))</f>
        <v>0</v>
      </c>
      <c r="D152">
        <f>SUMPRODUCT((MONTH(CHOOSE({1,2,3,4},NĐ!U152,NĐ!AA152,NĐ!AG152,NĐ!AM152))=4)*(CHOOSE({1,2,3,4},NĐ!X152,NĐ!AD152,NĐ!AJ152,NĐ!AP152)))</f>
        <v>0</v>
      </c>
      <c r="E152">
        <f>SUMPRODUCT((MONTH(CHOOSE({1,2,3,4},NĐ!U152,NĐ!AA152,NĐ!AG152,NĐ!AM152))=5)*(CHOOSE({1,2,3,4},NĐ!X152,NĐ!AD152,NĐ!AJ152,NĐ!AP152)))</f>
        <v>0</v>
      </c>
      <c r="F152">
        <f>SUMPRODUCT((MONTH(CHOOSE({1,2,3,4},NĐ!U152,NĐ!AA152,NĐ!AG152,NĐ!AM152))=6)*(CHOOSE({1,2,3,4},NĐ!X152,NĐ!AD152,NĐ!AJ152,NĐ!AP152)))</f>
        <v>0</v>
      </c>
      <c r="G152">
        <f>SUMPRODUCT((MONTH(CHOOSE({1,2,3,4},NĐ!U152,NĐ!AA152,NĐ!AG152,NĐ!AM152))=7)*(CHOOSE({1,2,3,4},NĐ!X152,NĐ!AD152,NĐ!AJ152,NĐ!AP152)))</f>
        <v>0</v>
      </c>
      <c r="H152">
        <f>SUMPRODUCT((MONTH(CHOOSE({1,2,3,4},NĐ!U152,NĐ!AA152,NĐ!AG152,NĐ!AM152))=8)*(CHOOSE({1,2,3,4},NĐ!X152,NĐ!AD152,NĐ!AJ152,NĐ!AP152)))</f>
        <v>0</v>
      </c>
      <c r="I152">
        <f>SUMPRODUCT((MONTH(CHOOSE({1,2,3,4},NĐ!U152,NĐ!AA152,NĐ!AG152,NĐ!AM152))=9)*(CHOOSE({1,2,3,4},NĐ!X152,NĐ!AD152,NĐ!AJ152,NĐ!AP152)))</f>
        <v>0</v>
      </c>
      <c r="J152">
        <f>SUMPRODUCT((MONTH(CHOOSE({1,2,3,4},NĐ!U152,NĐ!AA152,NĐ!AG152,NĐ!AM152))=10)*(CHOOSE({1,2,3,4},NĐ!X152,NĐ!AD152,NĐ!AJ152,NĐ!AP152)))</f>
        <v>0</v>
      </c>
      <c r="K152">
        <f>SUMPRODUCT((MONTH(CHOOSE({1,2,3,4},NĐ!U152,NĐ!AA152,NĐ!AG152,NĐ!AM152))=11)*(CHOOSE({1,2,3,4},NĐ!X152,NĐ!AD152,NĐ!AJ152,NĐ!AP152)))</f>
        <v>0</v>
      </c>
      <c r="L152">
        <f>SUMPRODUCT((MONTH(CHOOSE({1,2,3,4},NĐ!U152,NĐ!AA152,NĐ!AG152,NĐ!AM152))=12)*(CHOOSE({1,2,3,4},NĐ!X152,NĐ!AD152,NĐ!AJ152,NĐ!AP152)))</f>
        <v>0</v>
      </c>
    </row>
    <row r="153" spans="1:12">
      <c r="A153">
        <f>SUMPRODUCT((MONTH(CHOOSE({1,2,3,4},NĐ!U153,NĐ!AA153,NĐ!AG153,NĐ!AM153))=1)*(CHOOSE({1,2,3,4},NĐ!X153,NĐ!AD153,NĐ!AJ153,NĐ!AP153)))</f>
        <v>0</v>
      </c>
      <c r="B153">
        <f>SUMPRODUCT((MONTH(CHOOSE({1,2,3,4},NĐ!U153,NĐ!AA153,NĐ!AG153,NĐ!AM153))=2)*(CHOOSE({1,2,3,4},NĐ!X153,NĐ!AD153,NĐ!AJ153,NĐ!AP153)))</f>
        <v>0</v>
      </c>
      <c r="C153">
        <f>SUMPRODUCT((MONTH(CHOOSE({1,2,3,4},NĐ!U153,NĐ!AA153,NĐ!AG153,NĐ!AM153))=3)*(CHOOSE({1,2,3,4},NĐ!X153,NĐ!AD153,NĐ!AJ153,NĐ!AP153)))</f>
        <v>0</v>
      </c>
      <c r="D153">
        <f>SUMPRODUCT((MONTH(CHOOSE({1,2,3,4},NĐ!U153,NĐ!AA153,NĐ!AG153,NĐ!AM153))=4)*(CHOOSE({1,2,3,4},NĐ!X153,NĐ!AD153,NĐ!AJ153,NĐ!AP153)))</f>
        <v>0</v>
      </c>
      <c r="E153">
        <f>SUMPRODUCT((MONTH(CHOOSE({1,2,3,4},NĐ!U153,NĐ!AA153,NĐ!AG153,NĐ!AM153))=5)*(CHOOSE({1,2,3,4},NĐ!X153,NĐ!AD153,NĐ!AJ153,NĐ!AP153)))</f>
        <v>0</v>
      </c>
      <c r="F153">
        <f>SUMPRODUCT((MONTH(CHOOSE({1,2,3,4},NĐ!U153,NĐ!AA153,NĐ!AG153,NĐ!AM153))=6)*(CHOOSE({1,2,3,4},NĐ!X153,NĐ!AD153,NĐ!AJ153,NĐ!AP153)))</f>
        <v>0</v>
      </c>
      <c r="G153">
        <f>SUMPRODUCT((MONTH(CHOOSE({1,2,3,4},NĐ!U153,NĐ!AA153,NĐ!AG153,NĐ!AM153))=7)*(CHOOSE({1,2,3,4},NĐ!X153,NĐ!AD153,NĐ!AJ153,NĐ!AP153)))</f>
        <v>0</v>
      </c>
      <c r="H153">
        <f>SUMPRODUCT((MONTH(CHOOSE({1,2,3,4},NĐ!U153,NĐ!AA153,NĐ!AG153,NĐ!AM153))=8)*(CHOOSE({1,2,3,4},NĐ!X153,NĐ!AD153,NĐ!AJ153,NĐ!AP153)))</f>
        <v>0</v>
      </c>
      <c r="I153">
        <f>SUMPRODUCT((MONTH(CHOOSE({1,2,3,4},NĐ!U153,NĐ!AA153,NĐ!AG153,NĐ!AM153))=9)*(CHOOSE({1,2,3,4},NĐ!X153,NĐ!AD153,NĐ!AJ153,NĐ!AP153)))</f>
        <v>0</v>
      </c>
      <c r="J153">
        <f>SUMPRODUCT((MONTH(CHOOSE({1,2,3,4},NĐ!U153,NĐ!AA153,NĐ!AG153,NĐ!AM153))=10)*(CHOOSE({1,2,3,4},NĐ!X153,NĐ!AD153,NĐ!AJ153,NĐ!AP153)))</f>
        <v>0</v>
      </c>
      <c r="K153">
        <f>SUMPRODUCT((MONTH(CHOOSE({1,2,3,4},NĐ!U153,NĐ!AA153,NĐ!AG153,NĐ!AM153))=11)*(CHOOSE({1,2,3,4},NĐ!X153,NĐ!AD153,NĐ!AJ153,NĐ!AP153)))</f>
        <v>0</v>
      </c>
      <c r="L153">
        <f>SUMPRODUCT((MONTH(CHOOSE({1,2,3,4},NĐ!U153,NĐ!AA153,NĐ!AG153,NĐ!AM153))=12)*(CHOOSE({1,2,3,4},NĐ!X153,NĐ!AD153,NĐ!AJ153,NĐ!AP153)))</f>
        <v>0</v>
      </c>
    </row>
    <row r="154" spans="1:12">
      <c r="A154">
        <f>SUMPRODUCT((MONTH(CHOOSE({1,2,3,4},NĐ!U154,NĐ!AA154,NĐ!AG154,NĐ!AM154))=1)*(CHOOSE({1,2,3,4},NĐ!X154,NĐ!AD154,NĐ!AJ154,NĐ!AP154)))</f>
        <v>0</v>
      </c>
      <c r="B154">
        <f>SUMPRODUCT((MONTH(CHOOSE({1,2,3,4},NĐ!U154,NĐ!AA154,NĐ!AG154,NĐ!AM154))=2)*(CHOOSE({1,2,3,4},NĐ!X154,NĐ!AD154,NĐ!AJ154,NĐ!AP154)))</f>
        <v>0</v>
      </c>
      <c r="C154">
        <f>SUMPRODUCT((MONTH(CHOOSE({1,2,3,4},NĐ!U154,NĐ!AA154,NĐ!AG154,NĐ!AM154))=3)*(CHOOSE({1,2,3,4},NĐ!X154,NĐ!AD154,NĐ!AJ154,NĐ!AP154)))</f>
        <v>0</v>
      </c>
      <c r="D154">
        <f>SUMPRODUCT((MONTH(CHOOSE({1,2,3,4},NĐ!U154,NĐ!AA154,NĐ!AG154,NĐ!AM154))=4)*(CHOOSE({1,2,3,4},NĐ!X154,NĐ!AD154,NĐ!AJ154,NĐ!AP154)))</f>
        <v>0</v>
      </c>
      <c r="E154">
        <f>SUMPRODUCT((MONTH(CHOOSE({1,2,3,4},NĐ!U154,NĐ!AA154,NĐ!AG154,NĐ!AM154))=5)*(CHOOSE({1,2,3,4},NĐ!X154,NĐ!AD154,NĐ!AJ154,NĐ!AP154)))</f>
        <v>0</v>
      </c>
      <c r="F154">
        <f>SUMPRODUCT((MONTH(CHOOSE({1,2,3,4},NĐ!U154,NĐ!AA154,NĐ!AG154,NĐ!AM154))=6)*(CHOOSE({1,2,3,4},NĐ!X154,NĐ!AD154,NĐ!AJ154,NĐ!AP154)))</f>
        <v>0</v>
      </c>
      <c r="G154">
        <f>SUMPRODUCT((MONTH(CHOOSE({1,2,3,4},NĐ!U154,NĐ!AA154,NĐ!AG154,NĐ!AM154))=7)*(CHOOSE({1,2,3,4},NĐ!X154,NĐ!AD154,NĐ!AJ154,NĐ!AP154)))</f>
        <v>0</v>
      </c>
      <c r="H154">
        <f>SUMPRODUCT((MONTH(CHOOSE({1,2,3,4},NĐ!U154,NĐ!AA154,NĐ!AG154,NĐ!AM154))=8)*(CHOOSE({1,2,3,4},NĐ!X154,NĐ!AD154,NĐ!AJ154,NĐ!AP154)))</f>
        <v>0</v>
      </c>
      <c r="I154">
        <f>SUMPRODUCT((MONTH(CHOOSE({1,2,3,4},NĐ!U154,NĐ!AA154,NĐ!AG154,NĐ!AM154))=9)*(CHOOSE({1,2,3,4},NĐ!X154,NĐ!AD154,NĐ!AJ154,NĐ!AP154)))</f>
        <v>0</v>
      </c>
      <c r="J154">
        <f>SUMPRODUCT((MONTH(CHOOSE({1,2,3,4},NĐ!U154,NĐ!AA154,NĐ!AG154,NĐ!AM154))=10)*(CHOOSE({1,2,3,4},NĐ!X154,NĐ!AD154,NĐ!AJ154,NĐ!AP154)))</f>
        <v>0</v>
      </c>
      <c r="K154">
        <f>SUMPRODUCT((MONTH(CHOOSE({1,2,3,4},NĐ!U154,NĐ!AA154,NĐ!AG154,NĐ!AM154))=11)*(CHOOSE({1,2,3,4},NĐ!X154,NĐ!AD154,NĐ!AJ154,NĐ!AP154)))</f>
        <v>0</v>
      </c>
      <c r="L154">
        <f>SUMPRODUCT((MONTH(CHOOSE({1,2,3,4},NĐ!U154,NĐ!AA154,NĐ!AG154,NĐ!AM154))=12)*(CHOOSE({1,2,3,4},NĐ!X154,NĐ!AD154,NĐ!AJ154,NĐ!AP154)))</f>
        <v>0</v>
      </c>
    </row>
    <row r="155" spans="1:12">
      <c r="A155">
        <f>SUMPRODUCT((MONTH(CHOOSE({1,2,3,4},NĐ!U155,NĐ!AA155,NĐ!AG155,NĐ!AM155))=1)*(CHOOSE({1,2,3,4},NĐ!X155,NĐ!AD155,NĐ!AJ155,NĐ!AP155)))</f>
        <v>0</v>
      </c>
      <c r="B155">
        <f>SUMPRODUCT((MONTH(CHOOSE({1,2,3,4},NĐ!U155,NĐ!AA155,NĐ!AG155,NĐ!AM155))=2)*(CHOOSE({1,2,3,4},NĐ!X155,NĐ!AD155,NĐ!AJ155,NĐ!AP155)))</f>
        <v>0</v>
      </c>
      <c r="C155">
        <f>SUMPRODUCT((MONTH(CHOOSE({1,2,3,4},NĐ!U155,NĐ!AA155,NĐ!AG155,NĐ!AM155))=3)*(CHOOSE({1,2,3,4},NĐ!X155,NĐ!AD155,NĐ!AJ155,NĐ!AP155)))</f>
        <v>0</v>
      </c>
      <c r="D155">
        <f>SUMPRODUCT((MONTH(CHOOSE({1,2,3,4},NĐ!U155,NĐ!AA155,NĐ!AG155,NĐ!AM155))=4)*(CHOOSE({1,2,3,4},NĐ!X155,NĐ!AD155,NĐ!AJ155,NĐ!AP155)))</f>
        <v>0</v>
      </c>
      <c r="E155">
        <f>SUMPRODUCT((MONTH(CHOOSE({1,2,3,4},NĐ!U155,NĐ!AA155,NĐ!AG155,NĐ!AM155))=5)*(CHOOSE({1,2,3,4},NĐ!X155,NĐ!AD155,NĐ!AJ155,NĐ!AP155)))</f>
        <v>0</v>
      </c>
      <c r="F155">
        <f>SUMPRODUCT((MONTH(CHOOSE({1,2,3,4},NĐ!U155,NĐ!AA155,NĐ!AG155,NĐ!AM155))=6)*(CHOOSE({1,2,3,4},NĐ!X155,NĐ!AD155,NĐ!AJ155,NĐ!AP155)))</f>
        <v>0</v>
      </c>
      <c r="G155">
        <f>SUMPRODUCT((MONTH(CHOOSE({1,2,3,4},NĐ!U155,NĐ!AA155,NĐ!AG155,NĐ!AM155))=7)*(CHOOSE({1,2,3,4},NĐ!X155,NĐ!AD155,NĐ!AJ155,NĐ!AP155)))</f>
        <v>0</v>
      </c>
      <c r="H155">
        <f>SUMPRODUCT((MONTH(CHOOSE({1,2,3,4},NĐ!U155,NĐ!AA155,NĐ!AG155,NĐ!AM155))=8)*(CHOOSE({1,2,3,4},NĐ!X155,NĐ!AD155,NĐ!AJ155,NĐ!AP155)))</f>
        <v>0</v>
      </c>
      <c r="I155">
        <f>SUMPRODUCT((MONTH(CHOOSE({1,2,3,4},NĐ!U155,NĐ!AA155,NĐ!AG155,NĐ!AM155))=9)*(CHOOSE({1,2,3,4},NĐ!X155,NĐ!AD155,NĐ!AJ155,NĐ!AP155)))</f>
        <v>0</v>
      </c>
      <c r="J155">
        <f>SUMPRODUCT((MONTH(CHOOSE({1,2,3,4},NĐ!U155,NĐ!AA155,NĐ!AG155,NĐ!AM155))=10)*(CHOOSE({1,2,3,4},NĐ!X155,NĐ!AD155,NĐ!AJ155,NĐ!AP155)))</f>
        <v>0</v>
      </c>
      <c r="K155">
        <f>SUMPRODUCT((MONTH(CHOOSE({1,2,3,4},NĐ!U155,NĐ!AA155,NĐ!AG155,NĐ!AM155))=11)*(CHOOSE({1,2,3,4},NĐ!X155,NĐ!AD155,NĐ!AJ155,NĐ!AP155)))</f>
        <v>0</v>
      </c>
      <c r="L155">
        <f>SUMPRODUCT((MONTH(CHOOSE({1,2,3,4},NĐ!U155,NĐ!AA155,NĐ!AG155,NĐ!AM155))=12)*(CHOOSE({1,2,3,4},NĐ!X155,NĐ!AD155,NĐ!AJ155,NĐ!AP155)))</f>
        <v>0</v>
      </c>
    </row>
    <row r="156" spans="1:12">
      <c r="A156">
        <f>SUMPRODUCT((MONTH(CHOOSE({1,2,3,4},NĐ!U156,NĐ!AA156,NĐ!AG156,NĐ!AM156))=1)*(CHOOSE({1,2,3,4},NĐ!X156,NĐ!AD156,NĐ!AJ156,NĐ!AP156)))</f>
        <v>0</v>
      </c>
      <c r="B156">
        <f>SUMPRODUCT((MONTH(CHOOSE({1,2,3,4},NĐ!U156,NĐ!AA156,NĐ!AG156,NĐ!AM156))=2)*(CHOOSE({1,2,3,4},NĐ!X156,NĐ!AD156,NĐ!AJ156,NĐ!AP156)))</f>
        <v>0</v>
      </c>
      <c r="C156">
        <f>SUMPRODUCT((MONTH(CHOOSE({1,2,3,4},NĐ!U156,NĐ!AA156,NĐ!AG156,NĐ!AM156))=3)*(CHOOSE({1,2,3,4},NĐ!X156,NĐ!AD156,NĐ!AJ156,NĐ!AP156)))</f>
        <v>0</v>
      </c>
      <c r="D156">
        <f>SUMPRODUCT((MONTH(CHOOSE({1,2,3,4},NĐ!U156,NĐ!AA156,NĐ!AG156,NĐ!AM156))=4)*(CHOOSE({1,2,3,4},NĐ!X156,NĐ!AD156,NĐ!AJ156,NĐ!AP156)))</f>
        <v>0</v>
      </c>
      <c r="E156">
        <f>SUMPRODUCT((MONTH(CHOOSE({1,2,3,4},NĐ!U156,NĐ!AA156,NĐ!AG156,NĐ!AM156))=5)*(CHOOSE({1,2,3,4},NĐ!X156,NĐ!AD156,NĐ!AJ156,NĐ!AP156)))</f>
        <v>0</v>
      </c>
      <c r="F156">
        <f>SUMPRODUCT((MONTH(CHOOSE({1,2,3,4},NĐ!U156,NĐ!AA156,NĐ!AG156,NĐ!AM156))=6)*(CHOOSE({1,2,3,4},NĐ!X156,NĐ!AD156,NĐ!AJ156,NĐ!AP156)))</f>
        <v>0</v>
      </c>
      <c r="G156">
        <f>SUMPRODUCT((MONTH(CHOOSE({1,2,3,4},NĐ!U156,NĐ!AA156,NĐ!AG156,NĐ!AM156))=7)*(CHOOSE({1,2,3,4},NĐ!X156,NĐ!AD156,NĐ!AJ156,NĐ!AP156)))</f>
        <v>0</v>
      </c>
      <c r="H156">
        <f>SUMPRODUCT((MONTH(CHOOSE({1,2,3,4},NĐ!U156,NĐ!AA156,NĐ!AG156,NĐ!AM156))=8)*(CHOOSE({1,2,3,4},NĐ!X156,NĐ!AD156,NĐ!AJ156,NĐ!AP156)))</f>
        <v>0</v>
      </c>
      <c r="I156">
        <f>SUMPRODUCT((MONTH(CHOOSE({1,2,3,4},NĐ!U156,NĐ!AA156,NĐ!AG156,NĐ!AM156))=9)*(CHOOSE({1,2,3,4},NĐ!X156,NĐ!AD156,NĐ!AJ156,NĐ!AP156)))</f>
        <v>0</v>
      </c>
      <c r="J156">
        <f>SUMPRODUCT((MONTH(CHOOSE({1,2,3,4},NĐ!U156,NĐ!AA156,NĐ!AG156,NĐ!AM156))=10)*(CHOOSE({1,2,3,4},NĐ!X156,NĐ!AD156,NĐ!AJ156,NĐ!AP156)))</f>
        <v>0</v>
      </c>
      <c r="K156">
        <f>SUMPRODUCT((MONTH(CHOOSE({1,2,3,4},NĐ!U156,NĐ!AA156,NĐ!AG156,NĐ!AM156))=11)*(CHOOSE({1,2,3,4},NĐ!X156,NĐ!AD156,NĐ!AJ156,NĐ!AP156)))</f>
        <v>0</v>
      </c>
      <c r="L156">
        <f>SUMPRODUCT((MONTH(CHOOSE({1,2,3,4},NĐ!U156,NĐ!AA156,NĐ!AG156,NĐ!AM156))=12)*(CHOOSE({1,2,3,4},NĐ!X156,NĐ!AD156,NĐ!AJ156,NĐ!AP156)))</f>
        <v>0</v>
      </c>
    </row>
    <row r="157" spans="1:12">
      <c r="A157">
        <f>SUMPRODUCT((MONTH(CHOOSE({1,2,3,4},NĐ!U157,NĐ!AA157,NĐ!AG157,NĐ!AM157))=1)*(CHOOSE({1,2,3,4},NĐ!X157,NĐ!AD157,NĐ!AJ157,NĐ!AP157)))</f>
        <v>0</v>
      </c>
      <c r="B157">
        <f>SUMPRODUCT((MONTH(CHOOSE({1,2,3,4},NĐ!U157,NĐ!AA157,NĐ!AG157,NĐ!AM157))=2)*(CHOOSE({1,2,3,4},NĐ!X157,NĐ!AD157,NĐ!AJ157,NĐ!AP157)))</f>
        <v>0</v>
      </c>
      <c r="C157">
        <f>SUMPRODUCT((MONTH(CHOOSE({1,2,3,4},NĐ!U157,NĐ!AA157,NĐ!AG157,NĐ!AM157))=3)*(CHOOSE({1,2,3,4},NĐ!X157,NĐ!AD157,NĐ!AJ157,NĐ!AP157)))</f>
        <v>0</v>
      </c>
      <c r="D157">
        <f>SUMPRODUCT((MONTH(CHOOSE({1,2,3,4},NĐ!U157,NĐ!AA157,NĐ!AG157,NĐ!AM157))=4)*(CHOOSE({1,2,3,4},NĐ!X157,NĐ!AD157,NĐ!AJ157,NĐ!AP157)))</f>
        <v>0</v>
      </c>
      <c r="E157">
        <f>SUMPRODUCT((MONTH(CHOOSE({1,2,3,4},NĐ!U157,NĐ!AA157,NĐ!AG157,NĐ!AM157))=5)*(CHOOSE({1,2,3,4},NĐ!X157,NĐ!AD157,NĐ!AJ157,NĐ!AP157)))</f>
        <v>0</v>
      </c>
      <c r="F157">
        <f>SUMPRODUCT((MONTH(CHOOSE({1,2,3,4},NĐ!U157,NĐ!AA157,NĐ!AG157,NĐ!AM157))=6)*(CHOOSE({1,2,3,4},NĐ!X157,NĐ!AD157,NĐ!AJ157,NĐ!AP157)))</f>
        <v>0</v>
      </c>
      <c r="G157">
        <f>SUMPRODUCT((MONTH(CHOOSE({1,2,3,4},NĐ!U157,NĐ!AA157,NĐ!AG157,NĐ!AM157))=7)*(CHOOSE({1,2,3,4},NĐ!X157,NĐ!AD157,NĐ!AJ157,NĐ!AP157)))</f>
        <v>0</v>
      </c>
      <c r="H157">
        <f>SUMPRODUCT((MONTH(CHOOSE({1,2,3,4},NĐ!U157,NĐ!AA157,NĐ!AG157,NĐ!AM157))=8)*(CHOOSE({1,2,3,4},NĐ!X157,NĐ!AD157,NĐ!AJ157,NĐ!AP157)))</f>
        <v>0</v>
      </c>
      <c r="I157">
        <f>SUMPRODUCT((MONTH(CHOOSE({1,2,3,4},NĐ!U157,NĐ!AA157,NĐ!AG157,NĐ!AM157))=9)*(CHOOSE({1,2,3,4},NĐ!X157,NĐ!AD157,NĐ!AJ157,NĐ!AP157)))</f>
        <v>0</v>
      </c>
      <c r="J157">
        <f>SUMPRODUCT((MONTH(CHOOSE({1,2,3,4},NĐ!U157,NĐ!AA157,NĐ!AG157,NĐ!AM157))=10)*(CHOOSE({1,2,3,4},NĐ!X157,NĐ!AD157,NĐ!AJ157,NĐ!AP157)))</f>
        <v>0</v>
      </c>
      <c r="K157">
        <f>SUMPRODUCT((MONTH(CHOOSE({1,2,3,4},NĐ!U157,NĐ!AA157,NĐ!AG157,NĐ!AM157))=11)*(CHOOSE({1,2,3,4},NĐ!X157,NĐ!AD157,NĐ!AJ157,NĐ!AP157)))</f>
        <v>0</v>
      </c>
      <c r="L157">
        <f>SUMPRODUCT((MONTH(CHOOSE({1,2,3,4},NĐ!U157,NĐ!AA157,NĐ!AG157,NĐ!AM157))=12)*(CHOOSE({1,2,3,4},NĐ!X157,NĐ!AD157,NĐ!AJ157,NĐ!AP157)))</f>
        <v>0</v>
      </c>
    </row>
    <row r="158" spans="1:12">
      <c r="A158">
        <f>SUMPRODUCT((MONTH(CHOOSE({1,2,3,4},NĐ!U158,NĐ!AA158,NĐ!AG158,NĐ!AM158))=1)*(CHOOSE({1,2,3,4},NĐ!X158,NĐ!AD158,NĐ!AJ158,NĐ!AP158)))</f>
        <v>0</v>
      </c>
      <c r="B158">
        <f>SUMPRODUCT((MONTH(CHOOSE({1,2,3,4},NĐ!U158,NĐ!AA158,NĐ!AG158,NĐ!AM158))=2)*(CHOOSE({1,2,3,4},NĐ!X158,NĐ!AD158,NĐ!AJ158,NĐ!AP158)))</f>
        <v>0</v>
      </c>
      <c r="C158">
        <f>SUMPRODUCT((MONTH(CHOOSE({1,2,3,4},NĐ!U158,NĐ!AA158,NĐ!AG158,NĐ!AM158))=3)*(CHOOSE({1,2,3,4},NĐ!X158,NĐ!AD158,NĐ!AJ158,NĐ!AP158)))</f>
        <v>0</v>
      </c>
      <c r="D158">
        <f>SUMPRODUCT((MONTH(CHOOSE({1,2,3,4},NĐ!U158,NĐ!AA158,NĐ!AG158,NĐ!AM158))=4)*(CHOOSE({1,2,3,4},NĐ!X158,NĐ!AD158,NĐ!AJ158,NĐ!AP158)))</f>
        <v>0</v>
      </c>
      <c r="E158">
        <f>SUMPRODUCT((MONTH(CHOOSE({1,2,3,4},NĐ!U158,NĐ!AA158,NĐ!AG158,NĐ!AM158))=5)*(CHOOSE({1,2,3,4},NĐ!X158,NĐ!AD158,NĐ!AJ158,NĐ!AP158)))</f>
        <v>0</v>
      </c>
      <c r="F158">
        <f>SUMPRODUCT((MONTH(CHOOSE({1,2,3,4},NĐ!U158,NĐ!AA158,NĐ!AG158,NĐ!AM158))=6)*(CHOOSE({1,2,3,4},NĐ!X158,NĐ!AD158,NĐ!AJ158,NĐ!AP158)))</f>
        <v>0</v>
      </c>
      <c r="G158">
        <f>SUMPRODUCT((MONTH(CHOOSE({1,2,3,4},NĐ!U158,NĐ!AA158,NĐ!AG158,NĐ!AM158))=7)*(CHOOSE({1,2,3,4},NĐ!X158,NĐ!AD158,NĐ!AJ158,NĐ!AP158)))</f>
        <v>0</v>
      </c>
      <c r="H158">
        <f>SUMPRODUCT((MONTH(CHOOSE({1,2,3,4},NĐ!U158,NĐ!AA158,NĐ!AG158,NĐ!AM158))=8)*(CHOOSE({1,2,3,4},NĐ!X158,NĐ!AD158,NĐ!AJ158,NĐ!AP158)))</f>
        <v>0</v>
      </c>
      <c r="I158">
        <f>SUMPRODUCT((MONTH(CHOOSE({1,2,3,4},NĐ!U158,NĐ!AA158,NĐ!AG158,NĐ!AM158))=9)*(CHOOSE({1,2,3,4},NĐ!X158,NĐ!AD158,NĐ!AJ158,NĐ!AP158)))</f>
        <v>0</v>
      </c>
      <c r="J158">
        <f>SUMPRODUCT((MONTH(CHOOSE({1,2,3,4},NĐ!U158,NĐ!AA158,NĐ!AG158,NĐ!AM158))=10)*(CHOOSE({1,2,3,4},NĐ!X158,NĐ!AD158,NĐ!AJ158,NĐ!AP158)))</f>
        <v>0</v>
      </c>
      <c r="K158">
        <f>SUMPRODUCT((MONTH(CHOOSE({1,2,3,4},NĐ!U158,NĐ!AA158,NĐ!AG158,NĐ!AM158))=11)*(CHOOSE({1,2,3,4},NĐ!X158,NĐ!AD158,NĐ!AJ158,NĐ!AP158)))</f>
        <v>0</v>
      </c>
      <c r="L158">
        <f>SUMPRODUCT((MONTH(CHOOSE({1,2,3,4},NĐ!U158,NĐ!AA158,NĐ!AG158,NĐ!AM158))=12)*(CHOOSE({1,2,3,4},NĐ!X158,NĐ!AD158,NĐ!AJ158,NĐ!AP158)))</f>
        <v>0</v>
      </c>
    </row>
    <row r="159" spans="1:12">
      <c r="A159">
        <f>SUMPRODUCT((MONTH(CHOOSE({1,2,3,4},NĐ!U159,NĐ!AA159,NĐ!AG159,NĐ!AM159))=1)*(CHOOSE({1,2,3,4},NĐ!X159,NĐ!AD159,NĐ!AJ159,NĐ!AP159)))</f>
        <v>0</v>
      </c>
      <c r="B159">
        <f>SUMPRODUCT((MONTH(CHOOSE({1,2,3,4},NĐ!U159,NĐ!AA159,NĐ!AG159,NĐ!AM159))=2)*(CHOOSE({1,2,3,4},NĐ!X159,NĐ!AD159,NĐ!AJ159,NĐ!AP159)))</f>
        <v>0</v>
      </c>
      <c r="C159">
        <f>SUMPRODUCT((MONTH(CHOOSE({1,2,3,4},NĐ!U159,NĐ!AA159,NĐ!AG159,NĐ!AM159))=3)*(CHOOSE({1,2,3,4},NĐ!X159,NĐ!AD159,NĐ!AJ159,NĐ!AP159)))</f>
        <v>0</v>
      </c>
      <c r="D159">
        <f>SUMPRODUCT((MONTH(CHOOSE({1,2,3,4},NĐ!U159,NĐ!AA159,NĐ!AG159,NĐ!AM159))=4)*(CHOOSE({1,2,3,4},NĐ!X159,NĐ!AD159,NĐ!AJ159,NĐ!AP159)))</f>
        <v>0</v>
      </c>
      <c r="E159">
        <f>SUMPRODUCT((MONTH(CHOOSE({1,2,3,4},NĐ!U159,NĐ!AA159,NĐ!AG159,NĐ!AM159))=5)*(CHOOSE({1,2,3,4},NĐ!X159,NĐ!AD159,NĐ!AJ159,NĐ!AP159)))</f>
        <v>0</v>
      </c>
      <c r="F159">
        <f>SUMPRODUCT((MONTH(CHOOSE({1,2,3,4},NĐ!U159,NĐ!AA159,NĐ!AG159,NĐ!AM159))=6)*(CHOOSE({1,2,3,4},NĐ!X159,NĐ!AD159,NĐ!AJ159,NĐ!AP159)))</f>
        <v>0</v>
      </c>
      <c r="G159">
        <f>SUMPRODUCT((MONTH(CHOOSE({1,2,3,4},NĐ!U159,NĐ!AA159,NĐ!AG159,NĐ!AM159))=7)*(CHOOSE({1,2,3,4},NĐ!X159,NĐ!AD159,NĐ!AJ159,NĐ!AP159)))</f>
        <v>0</v>
      </c>
      <c r="H159">
        <f>SUMPRODUCT((MONTH(CHOOSE({1,2,3,4},NĐ!U159,NĐ!AA159,NĐ!AG159,NĐ!AM159))=8)*(CHOOSE({1,2,3,4},NĐ!X159,NĐ!AD159,NĐ!AJ159,NĐ!AP159)))</f>
        <v>0</v>
      </c>
      <c r="I159">
        <f>SUMPRODUCT((MONTH(CHOOSE({1,2,3,4},NĐ!U159,NĐ!AA159,NĐ!AG159,NĐ!AM159))=9)*(CHOOSE({1,2,3,4},NĐ!X159,NĐ!AD159,NĐ!AJ159,NĐ!AP159)))</f>
        <v>0</v>
      </c>
      <c r="J159">
        <f>SUMPRODUCT((MONTH(CHOOSE({1,2,3,4},NĐ!U159,NĐ!AA159,NĐ!AG159,NĐ!AM159))=10)*(CHOOSE({1,2,3,4},NĐ!X159,NĐ!AD159,NĐ!AJ159,NĐ!AP159)))</f>
        <v>0</v>
      </c>
      <c r="K159">
        <f>SUMPRODUCT((MONTH(CHOOSE({1,2,3,4},NĐ!U159,NĐ!AA159,NĐ!AG159,NĐ!AM159))=11)*(CHOOSE({1,2,3,4},NĐ!X159,NĐ!AD159,NĐ!AJ159,NĐ!AP159)))</f>
        <v>0</v>
      </c>
      <c r="L159">
        <f>SUMPRODUCT((MONTH(CHOOSE({1,2,3,4},NĐ!U159,NĐ!AA159,NĐ!AG159,NĐ!AM159))=12)*(CHOOSE({1,2,3,4},NĐ!X159,NĐ!AD159,NĐ!AJ159,NĐ!AP159)))</f>
        <v>0</v>
      </c>
    </row>
    <row r="160" spans="1:12">
      <c r="A160">
        <f>SUMPRODUCT((MONTH(CHOOSE({1,2,3,4},NĐ!U160,NĐ!AA160,NĐ!AG160,NĐ!AM160))=1)*(CHOOSE({1,2,3,4},NĐ!X160,NĐ!AD160,NĐ!AJ160,NĐ!AP160)))</f>
        <v>0</v>
      </c>
      <c r="B160">
        <f>SUMPRODUCT((MONTH(CHOOSE({1,2,3,4},NĐ!U160,NĐ!AA160,NĐ!AG160,NĐ!AM160))=2)*(CHOOSE({1,2,3,4},NĐ!X160,NĐ!AD160,NĐ!AJ160,NĐ!AP160)))</f>
        <v>0</v>
      </c>
      <c r="C160">
        <f>SUMPRODUCT((MONTH(CHOOSE({1,2,3,4},NĐ!U160,NĐ!AA160,NĐ!AG160,NĐ!AM160))=3)*(CHOOSE({1,2,3,4},NĐ!X160,NĐ!AD160,NĐ!AJ160,NĐ!AP160)))</f>
        <v>0</v>
      </c>
      <c r="D160">
        <f>SUMPRODUCT((MONTH(CHOOSE({1,2,3,4},NĐ!U160,NĐ!AA160,NĐ!AG160,NĐ!AM160))=4)*(CHOOSE({1,2,3,4},NĐ!X160,NĐ!AD160,NĐ!AJ160,NĐ!AP160)))</f>
        <v>0</v>
      </c>
      <c r="E160">
        <f>SUMPRODUCT((MONTH(CHOOSE({1,2,3,4},NĐ!U160,NĐ!AA160,NĐ!AG160,NĐ!AM160))=5)*(CHOOSE({1,2,3,4},NĐ!X160,NĐ!AD160,NĐ!AJ160,NĐ!AP160)))</f>
        <v>0</v>
      </c>
      <c r="F160">
        <f>SUMPRODUCT((MONTH(CHOOSE({1,2,3,4},NĐ!U160,NĐ!AA160,NĐ!AG160,NĐ!AM160))=6)*(CHOOSE({1,2,3,4},NĐ!X160,NĐ!AD160,NĐ!AJ160,NĐ!AP160)))</f>
        <v>0</v>
      </c>
      <c r="G160">
        <f>SUMPRODUCT((MONTH(CHOOSE({1,2,3,4},NĐ!U160,NĐ!AA160,NĐ!AG160,NĐ!AM160))=7)*(CHOOSE({1,2,3,4},NĐ!X160,NĐ!AD160,NĐ!AJ160,NĐ!AP160)))</f>
        <v>0</v>
      </c>
      <c r="H160">
        <f>SUMPRODUCT((MONTH(CHOOSE({1,2,3,4},NĐ!U160,NĐ!AA160,NĐ!AG160,NĐ!AM160))=8)*(CHOOSE({1,2,3,4},NĐ!X160,NĐ!AD160,NĐ!AJ160,NĐ!AP160)))</f>
        <v>0</v>
      </c>
      <c r="I160">
        <f>SUMPRODUCT((MONTH(CHOOSE({1,2,3,4},NĐ!U160,NĐ!AA160,NĐ!AG160,NĐ!AM160))=9)*(CHOOSE({1,2,3,4},NĐ!X160,NĐ!AD160,NĐ!AJ160,NĐ!AP160)))</f>
        <v>0</v>
      </c>
      <c r="J160">
        <f>SUMPRODUCT((MONTH(CHOOSE({1,2,3,4},NĐ!U160,NĐ!AA160,NĐ!AG160,NĐ!AM160))=10)*(CHOOSE({1,2,3,4},NĐ!X160,NĐ!AD160,NĐ!AJ160,NĐ!AP160)))</f>
        <v>0</v>
      </c>
      <c r="K160">
        <f>SUMPRODUCT((MONTH(CHOOSE({1,2,3,4},NĐ!U160,NĐ!AA160,NĐ!AG160,NĐ!AM160))=11)*(CHOOSE({1,2,3,4},NĐ!X160,NĐ!AD160,NĐ!AJ160,NĐ!AP160)))</f>
        <v>0</v>
      </c>
      <c r="L160">
        <f>SUMPRODUCT((MONTH(CHOOSE({1,2,3,4},NĐ!U160,NĐ!AA160,NĐ!AG160,NĐ!AM160))=12)*(CHOOSE({1,2,3,4},NĐ!X160,NĐ!AD160,NĐ!AJ160,NĐ!AP160)))</f>
        <v>0</v>
      </c>
    </row>
    <row r="161" spans="1:12">
      <c r="A161">
        <f>SUMPRODUCT((MONTH(CHOOSE({1,2,3,4},NĐ!U161,NĐ!AA161,NĐ!AG161,NĐ!AM161))=1)*(CHOOSE({1,2,3,4},NĐ!X161,NĐ!AD161,NĐ!AJ161,NĐ!AP161)))</f>
        <v>0</v>
      </c>
      <c r="B161">
        <f>SUMPRODUCT((MONTH(CHOOSE({1,2,3,4},NĐ!U161,NĐ!AA161,NĐ!AG161,NĐ!AM161))=2)*(CHOOSE({1,2,3,4},NĐ!X161,NĐ!AD161,NĐ!AJ161,NĐ!AP161)))</f>
        <v>0</v>
      </c>
      <c r="C161">
        <f>SUMPRODUCT((MONTH(CHOOSE({1,2,3,4},NĐ!U161,NĐ!AA161,NĐ!AG161,NĐ!AM161))=3)*(CHOOSE({1,2,3,4},NĐ!X161,NĐ!AD161,NĐ!AJ161,NĐ!AP161)))</f>
        <v>0</v>
      </c>
      <c r="D161">
        <f>SUMPRODUCT((MONTH(CHOOSE({1,2,3,4},NĐ!U161,NĐ!AA161,NĐ!AG161,NĐ!AM161))=4)*(CHOOSE({1,2,3,4},NĐ!X161,NĐ!AD161,NĐ!AJ161,NĐ!AP161)))</f>
        <v>0</v>
      </c>
      <c r="E161">
        <f>SUMPRODUCT((MONTH(CHOOSE({1,2,3,4},NĐ!U161,NĐ!AA161,NĐ!AG161,NĐ!AM161))=5)*(CHOOSE({1,2,3,4},NĐ!X161,NĐ!AD161,NĐ!AJ161,NĐ!AP161)))</f>
        <v>0</v>
      </c>
      <c r="F161">
        <f>SUMPRODUCT((MONTH(CHOOSE({1,2,3,4},NĐ!U161,NĐ!AA161,NĐ!AG161,NĐ!AM161))=6)*(CHOOSE({1,2,3,4},NĐ!X161,NĐ!AD161,NĐ!AJ161,NĐ!AP161)))</f>
        <v>0</v>
      </c>
      <c r="G161">
        <f>SUMPRODUCT((MONTH(CHOOSE({1,2,3,4},NĐ!U161,NĐ!AA161,NĐ!AG161,NĐ!AM161))=7)*(CHOOSE({1,2,3,4},NĐ!X161,NĐ!AD161,NĐ!AJ161,NĐ!AP161)))</f>
        <v>0</v>
      </c>
      <c r="H161">
        <f>SUMPRODUCT((MONTH(CHOOSE({1,2,3,4},NĐ!U161,NĐ!AA161,NĐ!AG161,NĐ!AM161))=8)*(CHOOSE({1,2,3,4},NĐ!X161,NĐ!AD161,NĐ!AJ161,NĐ!AP161)))</f>
        <v>0</v>
      </c>
      <c r="I161">
        <f>SUMPRODUCT((MONTH(CHOOSE({1,2,3,4},NĐ!U161,NĐ!AA161,NĐ!AG161,NĐ!AM161))=9)*(CHOOSE({1,2,3,4},NĐ!X161,NĐ!AD161,NĐ!AJ161,NĐ!AP161)))</f>
        <v>0</v>
      </c>
      <c r="J161">
        <f>SUMPRODUCT((MONTH(CHOOSE({1,2,3,4},NĐ!U161,NĐ!AA161,NĐ!AG161,NĐ!AM161))=10)*(CHOOSE({1,2,3,4},NĐ!X161,NĐ!AD161,NĐ!AJ161,NĐ!AP161)))</f>
        <v>0</v>
      </c>
      <c r="K161">
        <f>SUMPRODUCT((MONTH(CHOOSE({1,2,3,4},NĐ!U161,NĐ!AA161,NĐ!AG161,NĐ!AM161))=11)*(CHOOSE({1,2,3,4},NĐ!X161,NĐ!AD161,NĐ!AJ161,NĐ!AP161)))</f>
        <v>0</v>
      </c>
      <c r="L161">
        <f>SUMPRODUCT((MONTH(CHOOSE({1,2,3,4},NĐ!U161,NĐ!AA161,NĐ!AG161,NĐ!AM161))=12)*(CHOOSE({1,2,3,4},NĐ!X161,NĐ!AD161,NĐ!AJ161,NĐ!AP161)))</f>
        <v>0</v>
      </c>
    </row>
    <row r="162" spans="1:12">
      <c r="A162">
        <f>SUMPRODUCT((MONTH(CHOOSE({1,2,3,4},NĐ!U162,NĐ!AA162,NĐ!AG162,NĐ!AM162))=1)*(CHOOSE({1,2,3,4},NĐ!X162,NĐ!AD162,NĐ!AJ162,NĐ!AP162)))</f>
        <v>0</v>
      </c>
      <c r="B162">
        <f>SUMPRODUCT((MONTH(CHOOSE({1,2,3,4},NĐ!U162,NĐ!AA162,NĐ!AG162,NĐ!AM162))=2)*(CHOOSE({1,2,3,4},NĐ!X162,NĐ!AD162,NĐ!AJ162,NĐ!AP162)))</f>
        <v>0</v>
      </c>
      <c r="C162">
        <f>SUMPRODUCT((MONTH(CHOOSE({1,2,3,4},NĐ!U162,NĐ!AA162,NĐ!AG162,NĐ!AM162))=3)*(CHOOSE({1,2,3,4},NĐ!X162,NĐ!AD162,NĐ!AJ162,NĐ!AP162)))</f>
        <v>0</v>
      </c>
      <c r="D162">
        <f>SUMPRODUCT((MONTH(CHOOSE({1,2,3,4},NĐ!U162,NĐ!AA162,NĐ!AG162,NĐ!AM162))=4)*(CHOOSE({1,2,3,4},NĐ!X162,NĐ!AD162,NĐ!AJ162,NĐ!AP162)))</f>
        <v>0</v>
      </c>
      <c r="E162">
        <f>SUMPRODUCT((MONTH(CHOOSE({1,2,3,4},NĐ!U162,NĐ!AA162,NĐ!AG162,NĐ!AM162))=5)*(CHOOSE({1,2,3,4},NĐ!X162,NĐ!AD162,NĐ!AJ162,NĐ!AP162)))</f>
        <v>0</v>
      </c>
      <c r="F162">
        <f>SUMPRODUCT((MONTH(CHOOSE({1,2,3,4},NĐ!U162,NĐ!AA162,NĐ!AG162,NĐ!AM162))=6)*(CHOOSE({1,2,3,4},NĐ!X162,NĐ!AD162,NĐ!AJ162,NĐ!AP162)))</f>
        <v>0</v>
      </c>
      <c r="G162">
        <f>SUMPRODUCT((MONTH(CHOOSE({1,2,3,4},NĐ!U162,NĐ!AA162,NĐ!AG162,NĐ!AM162))=7)*(CHOOSE({1,2,3,4},NĐ!X162,NĐ!AD162,NĐ!AJ162,NĐ!AP162)))</f>
        <v>0</v>
      </c>
      <c r="H162">
        <f>SUMPRODUCT((MONTH(CHOOSE({1,2,3,4},NĐ!U162,NĐ!AA162,NĐ!AG162,NĐ!AM162))=8)*(CHOOSE({1,2,3,4},NĐ!X162,NĐ!AD162,NĐ!AJ162,NĐ!AP162)))</f>
        <v>0</v>
      </c>
      <c r="I162">
        <f>SUMPRODUCT((MONTH(CHOOSE({1,2,3,4},NĐ!U162,NĐ!AA162,NĐ!AG162,NĐ!AM162))=9)*(CHOOSE({1,2,3,4},NĐ!X162,NĐ!AD162,NĐ!AJ162,NĐ!AP162)))</f>
        <v>0</v>
      </c>
      <c r="J162">
        <f>SUMPRODUCT((MONTH(CHOOSE({1,2,3,4},NĐ!U162,NĐ!AA162,NĐ!AG162,NĐ!AM162))=10)*(CHOOSE({1,2,3,4},NĐ!X162,NĐ!AD162,NĐ!AJ162,NĐ!AP162)))</f>
        <v>0</v>
      </c>
      <c r="K162">
        <f>SUMPRODUCT((MONTH(CHOOSE({1,2,3,4},NĐ!U162,NĐ!AA162,NĐ!AG162,NĐ!AM162))=11)*(CHOOSE({1,2,3,4},NĐ!X162,NĐ!AD162,NĐ!AJ162,NĐ!AP162)))</f>
        <v>0</v>
      </c>
      <c r="L162">
        <f>SUMPRODUCT((MONTH(CHOOSE({1,2,3,4},NĐ!U162,NĐ!AA162,NĐ!AG162,NĐ!AM162))=12)*(CHOOSE({1,2,3,4},NĐ!X162,NĐ!AD162,NĐ!AJ162,NĐ!AP162)))</f>
        <v>0</v>
      </c>
    </row>
    <row r="163" spans="1:12">
      <c r="A163">
        <f>SUMPRODUCT((MONTH(CHOOSE({1,2,3,4},NĐ!U163,NĐ!AA163,NĐ!AG163,NĐ!AM163))=1)*(CHOOSE({1,2,3,4},NĐ!X163,NĐ!AD163,NĐ!AJ163,NĐ!AP163)))</f>
        <v>0</v>
      </c>
      <c r="B163">
        <f>SUMPRODUCT((MONTH(CHOOSE({1,2,3,4},NĐ!U163,NĐ!AA163,NĐ!AG163,NĐ!AM163))=2)*(CHOOSE({1,2,3,4},NĐ!X163,NĐ!AD163,NĐ!AJ163,NĐ!AP163)))</f>
        <v>0</v>
      </c>
      <c r="C163">
        <f>SUMPRODUCT((MONTH(CHOOSE({1,2,3,4},NĐ!U163,NĐ!AA163,NĐ!AG163,NĐ!AM163))=3)*(CHOOSE({1,2,3,4},NĐ!X163,NĐ!AD163,NĐ!AJ163,NĐ!AP163)))</f>
        <v>0</v>
      </c>
      <c r="D163">
        <f>SUMPRODUCT((MONTH(CHOOSE({1,2,3,4},NĐ!U163,NĐ!AA163,NĐ!AG163,NĐ!AM163))=4)*(CHOOSE({1,2,3,4},NĐ!X163,NĐ!AD163,NĐ!AJ163,NĐ!AP163)))</f>
        <v>0</v>
      </c>
      <c r="E163">
        <f>SUMPRODUCT((MONTH(CHOOSE({1,2,3,4},NĐ!U163,NĐ!AA163,NĐ!AG163,NĐ!AM163))=5)*(CHOOSE({1,2,3,4},NĐ!X163,NĐ!AD163,NĐ!AJ163,NĐ!AP163)))</f>
        <v>0</v>
      </c>
      <c r="F163">
        <f>SUMPRODUCT((MONTH(CHOOSE({1,2,3,4},NĐ!U163,NĐ!AA163,NĐ!AG163,NĐ!AM163))=6)*(CHOOSE({1,2,3,4},NĐ!X163,NĐ!AD163,NĐ!AJ163,NĐ!AP163)))</f>
        <v>0</v>
      </c>
      <c r="G163">
        <f>SUMPRODUCT((MONTH(CHOOSE({1,2,3,4},NĐ!U163,NĐ!AA163,NĐ!AG163,NĐ!AM163))=7)*(CHOOSE({1,2,3,4},NĐ!X163,NĐ!AD163,NĐ!AJ163,NĐ!AP163)))</f>
        <v>0</v>
      </c>
      <c r="H163">
        <f>SUMPRODUCT((MONTH(CHOOSE({1,2,3,4},NĐ!U163,NĐ!AA163,NĐ!AG163,NĐ!AM163))=8)*(CHOOSE({1,2,3,4},NĐ!X163,NĐ!AD163,NĐ!AJ163,NĐ!AP163)))</f>
        <v>0</v>
      </c>
      <c r="I163">
        <f>SUMPRODUCT((MONTH(CHOOSE({1,2,3,4},NĐ!U163,NĐ!AA163,NĐ!AG163,NĐ!AM163))=9)*(CHOOSE({1,2,3,4},NĐ!X163,NĐ!AD163,NĐ!AJ163,NĐ!AP163)))</f>
        <v>0</v>
      </c>
      <c r="J163">
        <f>SUMPRODUCT((MONTH(CHOOSE({1,2,3,4},NĐ!U163,NĐ!AA163,NĐ!AG163,NĐ!AM163))=10)*(CHOOSE({1,2,3,4},NĐ!X163,NĐ!AD163,NĐ!AJ163,NĐ!AP163)))</f>
        <v>0</v>
      </c>
      <c r="K163">
        <f>SUMPRODUCT((MONTH(CHOOSE({1,2,3,4},NĐ!U163,NĐ!AA163,NĐ!AG163,NĐ!AM163))=11)*(CHOOSE({1,2,3,4},NĐ!X163,NĐ!AD163,NĐ!AJ163,NĐ!AP163)))</f>
        <v>0</v>
      </c>
      <c r="L163">
        <f>SUMPRODUCT((MONTH(CHOOSE({1,2,3,4},NĐ!U163,NĐ!AA163,NĐ!AG163,NĐ!AM163))=12)*(CHOOSE({1,2,3,4},NĐ!X163,NĐ!AD163,NĐ!AJ163,NĐ!AP163)))</f>
        <v>0</v>
      </c>
    </row>
    <row r="164" spans="1:12">
      <c r="A164">
        <f>SUMPRODUCT((MONTH(CHOOSE({1,2,3,4},NĐ!U164,NĐ!AA164,NĐ!AG164,NĐ!AM164))=1)*(CHOOSE({1,2,3,4},NĐ!X164,NĐ!AD164,NĐ!AJ164,NĐ!AP164)))</f>
        <v>0</v>
      </c>
      <c r="B164">
        <f>SUMPRODUCT((MONTH(CHOOSE({1,2,3,4},NĐ!U164,NĐ!AA164,NĐ!AG164,NĐ!AM164))=2)*(CHOOSE({1,2,3,4},NĐ!X164,NĐ!AD164,NĐ!AJ164,NĐ!AP164)))</f>
        <v>0</v>
      </c>
      <c r="C164">
        <f>SUMPRODUCT((MONTH(CHOOSE({1,2,3,4},NĐ!U164,NĐ!AA164,NĐ!AG164,NĐ!AM164))=3)*(CHOOSE({1,2,3,4},NĐ!X164,NĐ!AD164,NĐ!AJ164,NĐ!AP164)))</f>
        <v>0</v>
      </c>
      <c r="D164">
        <f>SUMPRODUCT((MONTH(CHOOSE({1,2,3,4},NĐ!U164,NĐ!AA164,NĐ!AG164,NĐ!AM164))=4)*(CHOOSE({1,2,3,4},NĐ!X164,NĐ!AD164,NĐ!AJ164,NĐ!AP164)))</f>
        <v>0</v>
      </c>
      <c r="E164">
        <f>SUMPRODUCT((MONTH(CHOOSE({1,2,3,4},NĐ!U164,NĐ!AA164,NĐ!AG164,NĐ!AM164))=5)*(CHOOSE({1,2,3,4},NĐ!X164,NĐ!AD164,NĐ!AJ164,NĐ!AP164)))</f>
        <v>0</v>
      </c>
      <c r="F164">
        <f>SUMPRODUCT((MONTH(CHOOSE({1,2,3,4},NĐ!U164,NĐ!AA164,NĐ!AG164,NĐ!AM164))=6)*(CHOOSE({1,2,3,4},NĐ!X164,NĐ!AD164,NĐ!AJ164,NĐ!AP164)))</f>
        <v>0</v>
      </c>
      <c r="G164">
        <f>SUMPRODUCT((MONTH(CHOOSE({1,2,3,4},NĐ!U164,NĐ!AA164,NĐ!AG164,NĐ!AM164))=7)*(CHOOSE({1,2,3,4},NĐ!X164,NĐ!AD164,NĐ!AJ164,NĐ!AP164)))</f>
        <v>0</v>
      </c>
      <c r="H164">
        <f>SUMPRODUCT((MONTH(CHOOSE({1,2,3,4},NĐ!U164,NĐ!AA164,NĐ!AG164,NĐ!AM164))=8)*(CHOOSE({1,2,3,4},NĐ!X164,NĐ!AD164,NĐ!AJ164,NĐ!AP164)))</f>
        <v>0</v>
      </c>
      <c r="I164">
        <f>SUMPRODUCT((MONTH(CHOOSE({1,2,3,4},NĐ!U164,NĐ!AA164,NĐ!AG164,NĐ!AM164))=9)*(CHOOSE({1,2,3,4},NĐ!X164,NĐ!AD164,NĐ!AJ164,NĐ!AP164)))</f>
        <v>0</v>
      </c>
      <c r="J164">
        <f>SUMPRODUCT((MONTH(CHOOSE({1,2,3,4},NĐ!U164,NĐ!AA164,NĐ!AG164,NĐ!AM164))=10)*(CHOOSE({1,2,3,4},NĐ!X164,NĐ!AD164,NĐ!AJ164,NĐ!AP164)))</f>
        <v>0</v>
      </c>
      <c r="K164">
        <f>SUMPRODUCT((MONTH(CHOOSE({1,2,3,4},NĐ!U164,NĐ!AA164,NĐ!AG164,NĐ!AM164))=11)*(CHOOSE({1,2,3,4},NĐ!X164,NĐ!AD164,NĐ!AJ164,NĐ!AP164)))</f>
        <v>0</v>
      </c>
      <c r="L164">
        <f>SUMPRODUCT((MONTH(CHOOSE({1,2,3,4},NĐ!U164,NĐ!AA164,NĐ!AG164,NĐ!AM164))=12)*(CHOOSE({1,2,3,4},NĐ!X164,NĐ!AD164,NĐ!AJ164,NĐ!AP164)))</f>
        <v>0</v>
      </c>
    </row>
    <row r="165" spans="1:12">
      <c r="A165">
        <f>SUMPRODUCT((MONTH(CHOOSE({1,2,3,4},NĐ!U165,NĐ!AA165,NĐ!AG165,NĐ!AM165))=1)*(CHOOSE({1,2,3,4},NĐ!X165,NĐ!AD165,NĐ!AJ165,NĐ!AP165)))</f>
        <v>0</v>
      </c>
      <c r="B165">
        <f>SUMPRODUCT((MONTH(CHOOSE({1,2,3,4},NĐ!U165,NĐ!AA165,NĐ!AG165,NĐ!AM165))=2)*(CHOOSE({1,2,3,4},NĐ!X165,NĐ!AD165,NĐ!AJ165,NĐ!AP165)))</f>
        <v>0</v>
      </c>
      <c r="C165">
        <f>SUMPRODUCT((MONTH(CHOOSE({1,2,3,4},NĐ!U165,NĐ!AA165,NĐ!AG165,NĐ!AM165))=3)*(CHOOSE({1,2,3,4},NĐ!X165,NĐ!AD165,NĐ!AJ165,NĐ!AP165)))</f>
        <v>0</v>
      </c>
      <c r="D165">
        <f>SUMPRODUCT((MONTH(CHOOSE({1,2,3,4},NĐ!U165,NĐ!AA165,NĐ!AG165,NĐ!AM165))=4)*(CHOOSE({1,2,3,4},NĐ!X165,NĐ!AD165,NĐ!AJ165,NĐ!AP165)))</f>
        <v>0</v>
      </c>
      <c r="E165">
        <f>SUMPRODUCT((MONTH(CHOOSE({1,2,3,4},NĐ!U165,NĐ!AA165,NĐ!AG165,NĐ!AM165))=5)*(CHOOSE({1,2,3,4},NĐ!X165,NĐ!AD165,NĐ!AJ165,NĐ!AP165)))</f>
        <v>0</v>
      </c>
      <c r="F165">
        <f>SUMPRODUCT((MONTH(CHOOSE({1,2,3,4},NĐ!U165,NĐ!AA165,NĐ!AG165,NĐ!AM165))=6)*(CHOOSE({1,2,3,4},NĐ!X165,NĐ!AD165,NĐ!AJ165,NĐ!AP165)))</f>
        <v>0</v>
      </c>
      <c r="G165">
        <f>SUMPRODUCT((MONTH(CHOOSE({1,2,3,4},NĐ!U165,NĐ!AA165,NĐ!AG165,NĐ!AM165))=7)*(CHOOSE({1,2,3,4},NĐ!X165,NĐ!AD165,NĐ!AJ165,NĐ!AP165)))</f>
        <v>0</v>
      </c>
      <c r="H165">
        <f>SUMPRODUCT((MONTH(CHOOSE({1,2,3,4},NĐ!U165,NĐ!AA165,NĐ!AG165,NĐ!AM165))=8)*(CHOOSE({1,2,3,4},NĐ!X165,NĐ!AD165,NĐ!AJ165,NĐ!AP165)))</f>
        <v>0</v>
      </c>
      <c r="I165">
        <f>SUMPRODUCT((MONTH(CHOOSE({1,2,3,4},NĐ!U165,NĐ!AA165,NĐ!AG165,NĐ!AM165))=9)*(CHOOSE({1,2,3,4},NĐ!X165,NĐ!AD165,NĐ!AJ165,NĐ!AP165)))</f>
        <v>0</v>
      </c>
      <c r="J165">
        <f>SUMPRODUCT((MONTH(CHOOSE({1,2,3,4},NĐ!U165,NĐ!AA165,NĐ!AG165,NĐ!AM165))=10)*(CHOOSE({1,2,3,4},NĐ!X165,NĐ!AD165,NĐ!AJ165,NĐ!AP165)))</f>
        <v>0</v>
      </c>
      <c r="K165">
        <f>SUMPRODUCT((MONTH(CHOOSE({1,2,3,4},NĐ!U165,NĐ!AA165,NĐ!AG165,NĐ!AM165))=11)*(CHOOSE({1,2,3,4},NĐ!X165,NĐ!AD165,NĐ!AJ165,NĐ!AP165)))</f>
        <v>0</v>
      </c>
      <c r="L165">
        <f>SUMPRODUCT((MONTH(CHOOSE({1,2,3,4},NĐ!U165,NĐ!AA165,NĐ!AG165,NĐ!AM165))=12)*(CHOOSE({1,2,3,4},NĐ!X165,NĐ!AD165,NĐ!AJ165,NĐ!AP165)))</f>
        <v>0</v>
      </c>
    </row>
    <row r="166" spans="1:12">
      <c r="A166">
        <f>SUMPRODUCT((MONTH(CHOOSE({1,2,3,4},NĐ!U166,NĐ!AA166,NĐ!AG166,NĐ!AM166))=1)*(CHOOSE({1,2,3,4},NĐ!X166,NĐ!AD166,NĐ!AJ166,NĐ!AP166)))</f>
        <v>0</v>
      </c>
      <c r="B166">
        <f>SUMPRODUCT((MONTH(CHOOSE({1,2,3,4},NĐ!U166,NĐ!AA166,NĐ!AG166,NĐ!AM166))=2)*(CHOOSE({1,2,3,4},NĐ!X166,NĐ!AD166,NĐ!AJ166,NĐ!AP166)))</f>
        <v>0</v>
      </c>
      <c r="C166">
        <f>SUMPRODUCT((MONTH(CHOOSE({1,2,3,4},NĐ!U166,NĐ!AA166,NĐ!AG166,NĐ!AM166))=3)*(CHOOSE({1,2,3,4},NĐ!X166,NĐ!AD166,NĐ!AJ166,NĐ!AP166)))</f>
        <v>0</v>
      </c>
      <c r="D166">
        <f>SUMPRODUCT((MONTH(CHOOSE({1,2,3,4},NĐ!U166,NĐ!AA166,NĐ!AG166,NĐ!AM166))=4)*(CHOOSE({1,2,3,4},NĐ!X166,NĐ!AD166,NĐ!AJ166,NĐ!AP166)))</f>
        <v>0</v>
      </c>
      <c r="E166">
        <f>SUMPRODUCT((MONTH(CHOOSE({1,2,3,4},NĐ!U166,NĐ!AA166,NĐ!AG166,NĐ!AM166))=5)*(CHOOSE({1,2,3,4},NĐ!X166,NĐ!AD166,NĐ!AJ166,NĐ!AP166)))</f>
        <v>0</v>
      </c>
      <c r="F166">
        <f>SUMPRODUCT((MONTH(CHOOSE({1,2,3,4},NĐ!U166,NĐ!AA166,NĐ!AG166,NĐ!AM166))=6)*(CHOOSE({1,2,3,4},NĐ!X166,NĐ!AD166,NĐ!AJ166,NĐ!AP166)))</f>
        <v>0</v>
      </c>
      <c r="G166">
        <f>SUMPRODUCT((MONTH(CHOOSE({1,2,3,4},NĐ!U166,NĐ!AA166,NĐ!AG166,NĐ!AM166))=7)*(CHOOSE({1,2,3,4},NĐ!X166,NĐ!AD166,NĐ!AJ166,NĐ!AP166)))</f>
        <v>0</v>
      </c>
      <c r="H166">
        <f>SUMPRODUCT((MONTH(CHOOSE({1,2,3,4},NĐ!U166,NĐ!AA166,NĐ!AG166,NĐ!AM166))=8)*(CHOOSE({1,2,3,4},NĐ!X166,NĐ!AD166,NĐ!AJ166,NĐ!AP166)))</f>
        <v>0</v>
      </c>
      <c r="I166">
        <f>SUMPRODUCT((MONTH(CHOOSE({1,2,3,4},NĐ!U166,NĐ!AA166,NĐ!AG166,NĐ!AM166))=9)*(CHOOSE({1,2,3,4},NĐ!X166,NĐ!AD166,NĐ!AJ166,NĐ!AP166)))</f>
        <v>0</v>
      </c>
      <c r="J166">
        <f>SUMPRODUCT((MONTH(CHOOSE({1,2,3,4},NĐ!U166,NĐ!AA166,NĐ!AG166,NĐ!AM166))=10)*(CHOOSE({1,2,3,4},NĐ!X166,NĐ!AD166,NĐ!AJ166,NĐ!AP166)))</f>
        <v>0</v>
      </c>
      <c r="K166">
        <f>SUMPRODUCT((MONTH(CHOOSE({1,2,3,4},NĐ!U166,NĐ!AA166,NĐ!AG166,NĐ!AM166))=11)*(CHOOSE({1,2,3,4},NĐ!X166,NĐ!AD166,NĐ!AJ166,NĐ!AP166)))</f>
        <v>0</v>
      </c>
      <c r="L166">
        <f>SUMPRODUCT((MONTH(CHOOSE({1,2,3,4},NĐ!U166,NĐ!AA166,NĐ!AG166,NĐ!AM166))=12)*(CHOOSE({1,2,3,4},NĐ!X166,NĐ!AD166,NĐ!AJ166,NĐ!AP166)))</f>
        <v>0</v>
      </c>
    </row>
    <row r="167" spans="1:12">
      <c r="A167">
        <f>SUMPRODUCT((MONTH(CHOOSE({1,2,3,4},NĐ!U167,NĐ!AA167,NĐ!AG167,NĐ!AM167))=1)*(CHOOSE({1,2,3,4},NĐ!X167,NĐ!AD167,NĐ!AJ167,NĐ!AP167)))</f>
        <v>0</v>
      </c>
      <c r="B167">
        <f>SUMPRODUCT((MONTH(CHOOSE({1,2,3,4},NĐ!U167,NĐ!AA167,NĐ!AG167,NĐ!AM167))=2)*(CHOOSE({1,2,3,4},NĐ!X167,NĐ!AD167,NĐ!AJ167,NĐ!AP167)))</f>
        <v>0</v>
      </c>
      <c r="C167">
        <f>SUMPRODUCT((MONTH(CHOOSE({1,2,3,4},NĐ!U167,NĐ!AA167,NĐ!AG167,NĐ!AM167))=3)*(CHOOSE({1,2,3,4},NĐ!X167,NĐ!AD167,NĐ!AJ167,NĐ!AP167)))</f>
        <v>0</v>
      </c>
      <c r="D167">
        <f>SUMPRODUCT((MONTH(CHOOSE({1,2,3,4},NĐ!U167,NĐ!AA167,NĐ!AG167,NĐ!AM167))=4)*(CHOOSE({1,2,3,4},NĐ!X167,NĐ!AD167,NĐ!AJ167,NĐ!AP167)))</f>
        <v>0</v>
      </c>
      <c r="E167">
        <f>SUMPRODUCT((MONTH(CHOOSE({1,2,3,4},NĐ!U167,NĐ!AA167,NĐ!AG167,NĐ!AM167))=5)*(CHOOSE({1,2,3,4},NĐ!X167,NĐ!AD167,NĐ!AJ167,NĐ!AP167)))</f>
        <v>0</v>
      </c>
      <c r="F167">
        <f>SUMPRODUCT((MONTH(CHOOSE({1,2,3,4},NĐ!U167,NĐ!AA167,NĐ!AG167,NĐ!AM167))=6)*(CHOOSE({1,2,3,4},NĐ!X167,NĐ!AD167,NĐ!AJ167,NĐ!AP167)))</f>
        <v>0</v>
      </c>
      <c r="G167">
        <f>SUMPRODUCT((MONTH(CHOOSE({1,2,3,4},NĐ!U167,NĐ!AA167,NĐ!AG167,NĐ!AM167))=7)*(CHOOSE({1,2,3,4},NĐ!X167,NĐ!AD167,NĐ!AJ167,NĐ!AP167)))</f>
        <v>0</v>
      </c>
      <c r="H167">
        <f>SUMPRODUCT((MONTH(CHOOSE({1,2,3,4},NĐ!U167,NĐ!AA167,NĐ!AG167,NĐ!AM167))=8)*(CHOOSE({1,2,3,4},NĐ!X167,NĐ!AD167,NĐ!AJ167,NĐ!AP167)))</f>
        <v>0</v>
      </c>
      <c r="I167">
        <f>SUMPRODUCT((MONTH(CHOOSE({1,2,3,4},NĐ!U167,NĐ!AA167,NĐ!AG167,NĐ!AM167))=9)*(CHOOSE({1,2,3,4},NĐ!X167,NĐ!AD167,NĐ!AJ167,NĐ!AP167)))</f>
        <v>0</v>
      </c>
      <c r="J167">
        <f>SUMPRODUCT((MONTH(CHOOSE({1,2,3,4},NĐ!U167,NĐ!AA167,NĐ!AG167,NĐ!AM167))=10)*(CHOOSE({1,2,3,4},NĐ!X167,NĐ!AD167,NĐ!AJ167,NĐ!AP167)))</f>
        <v>0</v>
      </c>
      <c r="K167">
        <f>SUMPRODUCT((MONTH(CHOOSE({1,2,3,4},NĐ!U167,NĐ!AA167,NĐ!AG167,NĐ!AM167))=11)*(CHOOSE({1,2,3,4},NĐ!X167,NĐ!AD167,NĐ!AJ167,NĐ!AP167)))</f>
        <v>0</v>
      </c>
      <c r="L167">
        <f>SUMPRODUCT((MONTH(CHOOSE({1,2,3,4},NĐ!U167,NĐ!AA167,NĐ!AG167,NĐ!AM167))=12)*(CHOOSE({1,2,3,4},NĐ!X167,NĐ!AD167,NĐ!AJ167,NĐ!AP167)))</f>
        <v>0</v>
      </c>
    </row>
    <row r="168" spans="1:12">
      <c r="A168">
        <f>SUMPRODUCT((MONTH(CHOOSE({1,2,3,4},NĐ!U168,NĐ!AA168,NĐ!AG168,NĐ!AM168))=1)*(CHOOSE({1,2,3,4},NĐ!X168,NĐ!AD168,NĐ!AJ168,NĐ!AP168)))</f>
        <v>0</v>
      </c>
      <c r="B168">
        <f>SUMPRODUCT((MONTH(CHOOSE({1,2,3,4},NĐ!U168,NĐ!AA168,NĐ!AG168,NĐ!AM168))=2)*(CHOOSE({1,2,3,4},NĐ!X168,NĐ!AD168,NĐ!AJ168,NĐ!AP168)))</f>
        <v>0</v>
      </c>
      <c r="C168">
        <f>SUMPRODUCT((MONTH(CHOOSE({1,2,3,4},NĐ!U168,NĐ!AA168,NĐ!AG168,NĐ!AM168))=3)*(CHOOSE({1,2,3,4},NĐ!X168,NĐ!AD168,NĐ!AJ168,NĐ!AP168)))</f>
        <v>0</v>
      </c>
      <c r="D168">
        <f>SUMPRODUCT((MONTH(CHOOSE({1,2,3,4},NĐ!U168,NĐ!AA168,NĐ!AG168,NĐ!AM168))=4)*(CHOOSE({1,2,3,4},NĐ!X168,NĐ!AD168,NĐ!AJ168,NĐ!AP168)))</f>
        <v>0</v>
      </c>
      <c r="E168">
        <f>SUMPRODUCT((MONTH(CHOOSE({1,2,3,4},NĐ!U168,NĐ!AA168,NĐ!AG168,NĐ!AM168))=5)*(CHOOSE({1,2,3,4},NĐ!X168,NĐ!AD168,NĐ!AJ168,NĐ!AP168)))</f>
        <v>0</v>
      </c>
      <c r="F168">
        <f>SUMPRODUCT((MONTH(CHOOSE({1,2,3,4},NĐ!U168,NĐ!AA168,NĐ!AG168,NĐ!AM168))=6)*(CHOOSE({1,2,3,4},NĐ!X168,NĐ!AD168,NĐ!AJ168,NĐ!AP168)))</f>
        <v>0</v>
      </c>
      <c r="G168">
        <f>SUMPRODUCT((MONTH(CHOOSE({1,2,3,4},NĐ!U168,NĐ!AA168,NĐ!AG168,NĐ!AM168))=7)*(CHOOSE({1,2,3,4},NĐ!X168,NĐ!AD168,NĐ!AJ168,NĐ!AP168)))</f>
        <v>0</v>
      </c>
      <c r="H168">
        <f>SUMPRODUCT((MONTH(CHOOSE({1,2,3,4},NĐ!U168,NĐ!AA168,NĐ!AG168,NĐ!AM168))=8)*(CHOOSE({1,2,3,4},NĐ!X168,NĐ!AD168,NĐ!AJ168,NĐ!AP168)))</f>
        <v>0</v>
      </c>
      <c r="I168">
        <f>SUMPRODUCT((MONTH(CHOOSE({1,2,3,4},NĐ!U168,NĐ!AA168,NĐ!AG168,NĐ!AM168))=9)*(CHOOSE({1,2,3,4},NĐ!X168,NĐ!AD168,NĐ!AJ168,NĐ!AP168)))</f>
        <v>0</v>
      </c>
      <c r="J168">
        <f>SUMPRODUCT((MONTH(CHOOSE({1,2,3,4},NĐ!U168,NĐ!AA168,NĐ!AG168,NĐ!AM168))=10)*(CHOOSE({1,2,3,4},NĐ!X168,NĐ!AD168,NĐ!AJ168,NĐ!AP168)))</f>
        <v>0</v>
      </c>
      <c r="K168">
        <f>SUMPRODUCT((MONTH(CHOOSE({1,2,3,4},NĐ!U168,NĐ!AA168,NĐ!AG168,NĐ!AM168))=11)*(CHOOSE({1,2,3,4},NĐ!X168,NĐ!AD168,NĐ!AJ168,NĐ!AP168)))</f>
        <v>0</v>
      </c>
      <c r="L168">
        <f>SUMPRODUCT((MONTH(CHOOSE({1,2,3,4},NĐ!U168,NĐ!AA168,NĐ!AG168,NĐ!AM168))=12)*(CHOOSE({1,2,3,4},NĐ!X168,NĐ!AD168,NĐ!AJ168,NĐ!AP168)))</f>
        <v>0</v>
      </c>
    </row>
    <row r="169" spans="1:12">
      <c r="A169">
        <f>SUMPRODUCT((MONTH(CHOOSE({1,2,3,4},NĐ!U169,NĐ!AA169,NĐ!AG169,NĐ!AM169))=1)*(CHOOSE({1,2,3,4},NĐ!X169,NĐ!AD169,NĐ!AJ169,NĐ!AP169)))</f>
        <v>0</v>
      </c>
      <c r="B169">
        <f>SUMPRODUCT((MONTH(CHOOSE({1,2,3,4},NĐ!U169,NĐ!AA169,NĐ!AG169,NĐ!AM169))=2)*(CHOOSE({1,2,3,4},NĐ!X169,NĐ!AD169,NĐ!AJ169,NĐ!AP169)))</f>
        <v>0</v>
      </c>
      <c r="C169">
        <f>SUMPRODUCT((MONTH(CHOOSE({1,2,3,4},NĐ!U169,NĐ!AA169,NĐ!AG169,NĐ!AM169))=3)*(CHOOSE({1,2,3,4},NĐ!X169,NĐ!AD169,NĐ!AJ169,NĐ!AP169)))</f>
        <v>0</v>
      </c>
      <c r="D169">
        <f>SUMPRODUCT((MONTH(CHOOSE({1,2,3,4},NĐ!U169,NĐ!AA169,NĐ!AG169,NĐ!AM169))=4)*(CHOOSE({1,2,3,4},NĐ!X169,NĐ!AD169,NĐ!AJ169,NĐ!AP169)))</f>
        <v>0</v>
      </c>
      <c r="E169">
        <f>SUMPRODUCT((MONTH(CHOOSE({1,2,3,4},NĐ!U169,NĐ!AA169,NĐ!AG169,NĐ!AM169))=5)*(CHOOSE({1,2,3,4},NĐ!X169,NĐ!AD169,NĐ!AJ169,NĐ!AP169)))</f>
        <v>0</v>
      </c>
      <c r="F169">
        <f>SUMPRODUCT((MONTH(CHOOSE({1,2,3,4},NĐ!U169,NĐ!AA169,NĐ!AG169,NĐ!AM169))=6)*(CHOOSE({1,2,3,4},NĐ!X169,NĐ!AD169,NĐ!AJ169,NĐ!AP169)))</f>
        <v>0</v>
      </c>
      <c r="G169">
        <f>SUMPRODUCT((MONTH(CHOOSE({1,2,3,4},NĐ!U169,NĐ!AA169,NĐ!AG169,NĐ!AM169))=7)*(CHOOSE({1,2,3,4},NĐ!X169,NĐ!AD169,NĐ!AJ169,NĐ!AP169)))</f>
        <v>0</v>
      </c>
      <c r="H169">
        <f>SUMPRODUCT((MONTH(CHOOSE({1,2,3,4},NĐ!U169,NĐ!AA169,NĐ!AG169,NĐ!AM169))=8)*(CHOOSE({1,2,3,4},NĐ!X169,NĐ!AD169,NĐ!AJ169,NĐ!AP169)))</f>
        <v>0</v>
      </c>
      <c r="I169">
        <f>SUMPRODUCT((MONTH(CHOOSE({1,2,3,4},NĐ!U169,NĐ!AA169,NĐ!AG169,NĐ!AM169))=9)*(CHOOSE({1,2,3,4},NĐ!X169,NĐ!AD169,NĐ!AJ169,NĐ!AP169)))</f>
        <v>0</v>
      </c>
      <c r="J169">
        <f>SUMPRODUCT((MONTH(CHOOSE({1,2,3,4},NĐ!U169,NĐ!AA169,NĐ!AG169,NĐ!AM169))=10)*(CHOOSE({1,2,3,4},NĐ!X169,NĐ!AD169,NĐ!AJ169,NĐ!AP169)))</f>
        <v>0</v>
      </c>
      <c r="K169">
        <f>SUMPRODUCT((MONTH(CHOOSE({1,2,3,4},NĐ!U169,NĐ!AA169,NĐ!AG169,NĐ!AM169))=11)*(CHOOSE({1,2,3,4},NĐ!X169,NĐ!AD169,NĐ!AJ169,NĐ!AP169)))</f>
        <v>0</v>
      </c>
      <c r="L169">
        <f>SUMPRODUCT((MONTH(CHOOSE({1,2,3,4},NĐ!U169,NĐ!AA169,NĐ!AG169,NĐ!AM169))=12)*(CHOOSE({1,2,3,4},NĐ!X169,NĐ!AD169,NĐ!AJ169,NĐ!AP169)))</f>
        <v>0</v>
      </c>
    </row>
    <row r="170" spans="1:12">
      <c r="A170">
        <f>SUMPRODUCT((MONTH(CHOOSE({1,2,3,4},NĐ!U170,NĐ!AA170,NĐ!AG170,NĐ!AM170))=1)*(CHOOSE({1,2,3,4},NĐ!X170,NĐ!AD170,NĐ!AJ170,NĐ!AP170)))</f>
        <v>0</v>
      </c>
      <c r="B170">
        <f>SUMPRODUCT((MONTH(CHOOSE({1,2,3,4},NĐ!U170,NĐ!AA170,NĐ!AG170,NĐ!AM170))=2)*(CHOOSE({1,2,3,4},NĐ!X170,NĐ!AD170,NĐ!AJ170,NĐ!AP170)))</f>
        <v>0</v>
      </c>
      <c r="C170">
        <f>SUMPRODUCT((MONTH(CHOOSE({1,2,3,4},NĐ!U170,NĐ!AA170,NĐ!AG170,NĐ!AM170))=3)*(CHOOSE({1,2,3,4},NĐ!X170,NĐ!AD170,NĐ!AJ170,NĐ!AP170)))</f>
        <v>0</v>
      </c>
      <c r="D170">
        <f>SUMPRODUCT((MONTH(CHOOSE({1,2,3,4},NĐ!U170,NĐ!AA170,NĐ!AG170,NĐ!AM170))=4)*(CHOOSE({1,2,3,4},NĐ!X170,NĐ!AD170,NĐ!AJ170,NĐ!AP170)))</f>
        <v>0</v>
      </c>
      <c r="E170">
        <f>SUMPRODUCT((MONTH(CHOOSE({1,2,3,4},NĐ!U170,NĐ!AA170,NĐ!AG170,NĐ!AM170))=5)*(CHOOSE({1,2,3,4},NĐ!X170,NĐ!AD170,NĐ!AJ170,NĐ!AP170)))</f>
        <v>0</v>
      </c>
      <c r="F170">
        <f>SUMPRODUCT((MONTH(CHOOSE({1,2,3,4},NĐ!U170,NĐ!AA170,NĐ!AG170,NĐ!AM170))=6)*(CHOOSE({1,2,3,4},NĐ!X170,NĐ!AD170,NĐ!AJ170,NĐ!AP170)))</f>
        <v>0</v>
      </c>
      <c r="G170">
        <f>SUMPRODUCT((MONTH(CHOOSE({1,2,3,4},NĐ!U170,NĐ!AA170,NĐ!AG170,NĐ!AM170))=7)*(CHOOSE({1,2,3,4},NĐ!X170,NĐ!AD170,NĐ!AJ170,NĐ!AP170)))</f>
        <v>0</v>
      </c>
      <c r="H170">
        <f>SUMPRODUCT((MONTH(CHOOSE({1,2,3,4},NĐ!U170,NĐ!AA170,NĐ!AG170,NĐ!AM170))=8)*(CHOOSE({1,2,3,4},NĐ!X170,NĐ!AD170,NĐ!AJ170,NĐ!AP170)))</f>
        <v>0</v>
      </c>
      <c r="I170">
        <f>SUMPRODUCT((MONTH(CHOOSE({1,2,3,4},NĐ!U170,NĐ!AA170,NĐ!AG170,NĐ!AM170))=9)*(CHOOSE({1,2,3,4},NĐ!X170,NĐ!AD170,NĐ!AJ170,NĐ!AP170)))</f>
        <v>0</v>
      </c>
      <c r="J170">
        <f>SUMPRODUCT((MONTH(CHOOSE({1,2,3,4},NĐ!U170,NĐ!AA170,NĐ!AG170,NĐ!AM170))=10)*(CHOOSE({1,2,3,4},NĐ!X170,NĐ!AD170,NĐ!AJ170,NĐ!AP170)))</f>
        <v>0</v>
      </c>
      <c r="K170">
        <f>SUMPRODUCT((MONTH(CHOOSE({1,2,3,4},NĐ!U170,NĐ!AA170,NĐ!AG170,NĐ!AM170))=11)*(CHOOSE({1,2,3,4},NĐ!X170,NĐ!AD170,NĐ!AJ170,NĐ!AP170)))</f>
        <v>0</v>
      </c>
      <c r="L170">
        <f>SUMPRODUCT((MONTH(CHOOSE({1,2,3,4},NĐ!U170,NĐ!AA170,NĐ!AG170,NĐ!AM170))=12)*(CHOOSE({1,2,3,4},NĐ!X170,NĐ!AD170,NĐ!AJ170,NĐ!AP170)))</f>
        <v>0</v>
      </c>
    </row>
    <row r="171" spans="1:12">
      <c r="A171">
        <f>SUMPRODUCT((MONTH(CHOOSE({1,2,3,4},NĐ!U171,NĐ!AA171,NĐ!AG171,NĐ!AM171))=1)*(CHOOSE({1,2,3,4},NĐ!X171,NĐ!AD171,NĐ!AJ171,NĐ!AP171)))</f>
        <v>0</v>
      </c>
      <c r="B171">
        <f>SUMPRODUCT((MONTH(CHOOSE({1,2,3,4},NĐ!U171,NĐ!AA171,NĐ!AG171,NĐ!AM171))=2)*(CHOOSE({1,2,3,4},NĐ!X171,NĐ!AD171,NĐ!AJ171,NĐ!AP171)))</f>
        <v>0</v>
      </c>
      <c r="C171">
        <f>SUMPRODUCT((MONTH(CHOOSE({1,2,3,4},NĐ!U171,NĐ!AA171,NĐ!AG171,NĐ!AM171))=3)*(CHOOSE({1,2,3,4},NĐ!X171,NĐ!AD171,NĐ!AJ171,NĐ!AP171)))</f>
        <v>0</v>
      </c>
      <c r="D171">
        <f>SUMPRODUCT((MONTH(CHOOSE({1,2,3,4},NĐ!U171,NĐ!AA171,NĐ!AG171,NĐ!AM171))=4)*(CHOOSE({1,2,3,4},NĐ!X171,NĐ!AD171,NĐ!AJ171,NĐ!AP171)))</f>
        <v>0</v>
      </c>
      <c r="E171">
        <f>SUMPRODUCT((MONTH(CHOOSE({1,2,3,4},NĐ!U171,NĐ!AA171,NĐ!AG171,NĐ!AM171))=5)*(CHOOSE({1,2,3,4},NĐ!X171,NĐ!AD171,NĐ!AJ171,NĐ!AP171)))</f>
        <v>0</v>
      </c>
      <c r="F171">
        <f>SUMPRODUCT((MONTH(CHOOSE({1,2,3,4},NĐ!U171,NĐ!AA171,NĐ!AG171,NĐ!AM171))=6)*(CHOOSE({1,2,3,4},NĐ!X171,NĐ!AD171,NĐ!AJ171,NĐ!AP171)))</f>
        <v>0</v>
      </c>
      <c r="G171">
        <f>SUMPRODUCT((MONTH(CHOOSE({1,2,3,4},NĐ!U171,NĐ!AA171,NĐ!AG171,NĐ!AM171))=7)*(CHOOSE({1,2,3,4},NĐ!X171,NĐ!AD171,NĐ!AJ171,NĐ!AP171)))</f>
        <v>0</v>
      </c>
      <c r="H171">
        <f>SUMPRODUCT((MONTH(CHOOSE({1,2,3,4},NĐ!U171,NĐ!AA171,NĐ!AG171,NĐ!AM171))=8)*(CHOOSE({1,2,3,4},NĐ!X171,NĐ!AD171,NĐ!AJ171,NĐ!AP171)))</f>
        <v>0</v>
      </c>
      <c r="I171">
        <f>SUMPRODUCT((MONTH(CHOOSE({1,2,3,4},NĐ!U171,NĐ!AA171,NĐ!AG171,NĐ!AM171))=9)*(CHOOSE({1,2,3,4},NĐ!X171,NĐ!AD171,NĐ!AJ171,NĐ!AP171)))</f>
        <v>0</v>
      </c>
      <c r="J171">
        <f>SUMPRODUCT((MONTH(CHOOSE({1,2,3,4},NĐ!U171,NĐ!AA171,NĐ!AG171,NĐ!AM171))=10)*(CHOOSE({1,2,3,4},NĐ!X171,NĐ!AD171,NĐ!AJ171,NĐ!AP171)))</f>
        <v>0</v>
      </c>
      <c r="K171">
        <f>SUMPRODUCT((MONTH(CHOOSE({1,2,3,4},NĐ!U171,NĐ!AA171,NĐ!AG171,NĐ!AM171))=11)*(CHOOSE({1,2,3,4},NĐ!X171,NĐ!AD171,NĐ!AJ171,NĐ!AP171)))</f>
        <v>0</v>
      </c>
      <c r="L171">
        <f>SUMPRODUCT((MONTH(CHOOSE({1,2,3,4},NĐ!U171,NĐ!AA171,NĐ!AG171,NĐ!AM171))=12)*(CHOOSE({1,2,3,4},NĐ!X171,NĐ!AD171,NĐ!AJ171,NĐ!AP171)))</f>
        <v>0</v>
      </c>
    </row>
    <row r="172" spans="1:12">
      <c r="A172">
        <f>SUMPRODUCT((MONTH(CHOOSE({1,2,3,4},NĐ!U172,NĐ!AA172,NĐ!AG172,NĐ!AM172))=1)*(CHOOSE({1,2,3,4},NĐ!X172,NĐ!AD172,NĐ!AJ172,NĐ!AP172)))</f>
        <v>0</v>
      </c>
      <c r="B172">
        <f>SUMPRODUCT((MONTH(CHOOSE({1,2,3,4},NĐ!U172,NĐ!AA172,NĐ!AG172,NĐ!AM172))=2)*(CHOOSE({1,2,3,4},NĐ!X172,NĐ!AD172,NĐ!AJ172,NĐ!AP172)))</f>
        <v>0</v>
      </c>
      <c r="C172">
        <f>SUMPRODUCT((MONTH(CHOOSE({1,2,3,4},NĐ!U172,NĐ!AA172,NĐ!AG172,NĐ!AM172))=3)*(CHOOSE({1,2,3,4},NĐ!X172,NĐ!AD172,NĐ!AJ172,NĐ!AP172)))</f>
        <v>0</v>
      </c>
      <c r="D172">
        <f>SUMPRODUCT((MONTH(CHOOSE({1,2,3,4},NĐ!U172,NĐ!AA172,NĐ!AG172,NĐ!AM172))=4)*(CHOOSE({1,2,3,4},NĐ!X172,NĐ!AD172,NĐ!AJ172,NĐ!AP172)))</f>
        <v>0</v>
      </c>
      <c r="E172">
        <f>SUMPRODUCT((MONTH(CHOOSE({1,2,3,4},NĐ!U172,NĐ!AA172,NĐ!AG172,NĐ!AM172))=5)*(CHOOSE({1,2,3,4},NĐ!X172,NĐ!AD172,NĐ!AJ172,NĐ!AP172)))</f>
        <v>0</v>
      </c>
      <c r="F172">
        <f>SUMPRODUCT((MONTH(CHOOSE({1,2,3,4},NĐ!U172,NĐ!AA172,NĐ!AG172,NĐ!AM172))=6)*(CHOOSE({1,2,3,4},NĐ!X172,NĐ!AD172,NĐ!AJ172,NĐ!AP172)))</f>
        <v>0</v>
      </c>
      <c r="G172">
        <f>SUMPRODUCT((MONTH(CHOOSE({1,2,3,4},NĐ!U172,NĐ!AA172,NĐ!AG172,NĐ!AM172))=7)*(CHOOSE({1,2,3,4},NĐ!X172,NĐ!AD172,NĐ!AJ172,NĐ!AP172)))</f>
        <v>0</v>
      </c>
      <c r="H172">
        <f>SUMPRODUCT((MONTH(CHOOSE({1,2,3,4},NĐ!U172,NĐ!AA172,NĐ!AG172,NĐ!AM172))=8)*(CHOOSE({1,2,3,4},NĐ!X172,NĐ!AD172,NĐ!AJ172,NĐ!AP172)))</f>
        <v>0</v>
      </c>
      <c r="I172">
        <f>SUMPRODUCT((MONTH(CHOOSE({1,2,3,4},NĐ!U172,NĐ!AA172,NĐ!AG172,NĐ!AM172))=9)*(CHOOSE({1,2,3,4},NĐ!X172,NĐ!AD172,NĐ!AJ172,NĐ!AP172)))</f>
        <v>0</v>
      </c>
      <c r="J172">
        <f>SUMPRODUCT((MONTH(CHOOSE({1,2,3,4},NĐ!U172,NĐ!AA172,NĐ!AG172,NĐ!AM172))=10)*(CHOOSE({1,2,3,4},NĐ!X172,NĐ!AD172,NĐ!AJ172,NĐ!AP172)))</f>
        <v>0</v>
      </c>
      <c r="K172">
        <f>SUMPRODUCT((MONTH(CHOOSE({1,2,3,4},NĐ!U172,NĐ!AA172,NĐ!AG172,NĐ!AM172))=11)*(CHOOSE({1,2,3,4},NĐ!X172,NĐ!AD172,NĐ!AJ172,NĐ!AP172)))</f>
        <v>0</v>
      </c>
      <c r="L172">
        <f>SUMPRODUCT((MONTH(CHOOSE({1,2,3,4},NĐ!U172,NĐ!AA172,NĐ!AG172,NĐ!AM172))=12)*(CHOOSE({1,2,3,4},NĐ!X172,NĐ!AD172,NĐ!AJ172,NĐ!AP172)))</f>
        <v>0</v>
      </c>
    </row>
    <row r="173" spans="1:12">
      <c r="A173">
        <f>SUMPRODUCT((MONTH(CHOOSE({1,2,3,4},NĐ!U173,NĐ!AA173,NĐ!AG173,NĐ!AM173))=1)*(CHOOSE({1,2,3,4},NĐ!X173,NĐ!AD173,NĐ!AJ173,NĐ!AP173)))</f>
        <v>0</v>
      </c>
      <c r="B173">
        <f>SUMPRODUCT((MONTH(CHOOSE({1,2,3,4},NĐ!U173,NĐ!AA173,NĐ!AG173,NĐ!AM173))=2)*(CHOOSE({1,2,3,4},NĐ!X173,NĐ!AD173,NĐ!AJ173,NĐ!AP173)))</f>
        <v>0</v>
      </c>
      <c r="C173">
        <f>SUMPRODUCT((MONTH(CHOOSE({1,2,3,4},NĐ!U173,NĐ!AA173,NĐ!AG173,NĐ!AM173))=3)*(CHOOSE({1,2,3,4},NĐ!X173,NĐ!AD173,NĐ!AJ173,NĐ!AP173)))</f>
        <v>0</v>
      </c>
      <c r="D173">
        <f>SUMPRODUCT((MONTH(CHOOSE({1,2,3,4},NĐ!U173,NĐ!AA173,NĐ!AG173,NĐ!AM173))=4)*(CHOOSE({1,2,3,4},NĐ!X173,NĐ!AD173,NĐ!AJ173,NĐ!AP173)))</f>
        <v>0</v>
      </c>
      <c r="E173">
        <f>SUMPRODUCT((MONTH(CHOOSE({1,2,3,4},NĐ!U173,NĐ!AA173,NĐ!AG173,NĐ!AM173))=5)*(CHOOSE({1,2,3,4},NĐ!X173,NĐ!AD173,NĐ!AJ173,NĐ!AP173)))</f>
        <v>0</v>
      </c>
      <c r="F173">
        <f>SUMPRODUCT((MONTH(CHOOSE({1,2,3,4},NĐ!U173,NĐ!AA173,NĐ!AG173,NĐ!AM173))=6)*(CHOOSE({1,2,3,4},NĐ!X173,NĐ!AD173,NĐ!AJ173,NĐ!AP173)))</f>
        <v>0</v>
      </c>
      <c r="G173">
        <f>SUMPRODUCT((MONTH(CHOOSE({1,2,3,4},NĐ!U173,NĐ!AA173,NĐ!AG173,NĐ!AM173))=7)*(CHOOSE({1,2,3,4},NĐ!X173,NĐ!AD173,NĐ!AJ173,NĐ!AP173)))</f>
        <v>0</v>
      </c>
      <c r="H173">
        <f>SUMPRODUCT((MONTH(CHOOSE({1,2,3,4},NĐ!U173,NĐ!AA173,NĐ!AG173,NĐ!AM173))=8)*(CHOOSE({1,2,3,4},NĐ!X173,NĐ!AD173,NĐ!AJ173,NĐ!AP173)))</f>
        <v>0</v>
      </c>
      <c r="I173">
        <f>SUMPRODUCT((MONTH(CHOOSE({1,2,3,4},NĐ!U173,NĐ!AA173,NĐ!AG173,NĐ!AM173))=9)*(CHOOSE({1,2,3,4},NĐ!X173,NĐ!AD173,NĐ!AJ173,NĐ!AP173)))</f>
        <v>0</v>
      </c>
      <c r="J173">
        <f>SUMPRODUCT((MONTH(CHOOSE({1,2,3,4},NĐ!U173,NĐ!AA173,NĐ!AG173,NĐ!AM173))=10)*(CHOOSE({1,2,3,4},NĐ!X173,NĐ!AD173,NĐ!AJ173,NĐ!AP173)))</f>
        <v>0</v>
      </c>
      <c r="K173">
        <f>SUMPRODUCT((MONTH(CHOOSE({1,2,3,4},NĐ!U173,NĐ!AA173,NĐ!AG173,NĐ!AM173))=11)*(CHOOSE({1,2,3,4},NĐ!X173,NĐ!AD173,NĐ!AJ173,NĐ!AP173)))</f>
        <v>0</v>
      </c>
      <c r="L173">
        <f>SUMPRODUCT((MONTH(CHOOSE({1,2,3,4},NĐ!U173,NĐ!AA173,NĐ!AG173,NĐ!AM173))=12)*(CHOOSE({1,2,3,4},NĐ!X173,NĐ!AD173,NĐ!AJ173,NĐ!AP173)))</f>
        <v>0</v>
      </c>
    </row>
    <row r="174" spans="1:12">
      <c r="A174">
        <f>SUMPRODUCT((MONTH(CHOOSE({1,2,3,4},NĐ!U174,NĐ!AA174,NĐ!AG174,NĐ!AM174))=1)*(CHOOSE({1,2,3,4},NĐ!X174,NĐ!AD174,NĐ!AJ174,NĐ!AP174)))</f>
        <v>0</v>
      </c>
      <c r="B174">
        <f>SUMPRODUCT((MONTH(CHOOSE({1,2,3,4},NĐ!U174,NĐ!AA174,NĐ!AG174,NĐ!AM174))=2)*(CHOOSE({1,2,3,4},NĐ!X174,NĐ!AD174,NĐ!AJ174,NĐ!AP174)))</f>
        <v>0</v>
      </c>
      <c r="C174">
        <f>SUMPRODUCT((MONTH(CHOOSE({1,2,3,4},NĐ!U174,NĐ!AA174,NĐ!AG174,NĐ!AM174))=3)*(CHOOSE({1,2,3,4},NĐ!X174,NĐ!AD174,NĐ!AJ174,NĐ!AP174)))</f>
        <v>0</v>
      </c>
      <c r="D174">
        <f>SUMPRODUCT((MONTH(CHOOSE({1,2,3,4},NĐ!U174,NĐ!AA174,NĐ!AG174,NĐ!AM174))=4)*(CHOOSE({1,2,3,4},NĐ!X174,NĐ!AD174,NĐ!AJ174,NĐ!AP174)))</f>
        <v>0</v>
      </c>
      <c r="E174">
        <f>SUMPRODUCT((MONTH(CHOOSE({1,2,3,4},NĐ!U174,NĐ!AA174,NĐ!AG174,NĐ!AM174))=5)*(CHOOSE({1,2,3,4},NĐ!X174,NĐ!AD174,NĐ!AJ174,NĐ!AP174)))</f>
        <v>0</v>
      </c>
      <c r="F174">
        <f>SUMPRODUCT((MONTH(CHOOSE({1,2,3,4},NĐ!U174,NĐ!AA174,NĐ!AG174,NĐ!AM174))=6)*(CHOOSE({1,2,3,4},NĐ!X174,NĐ!AD174,NĐ!AJ174,NĐ!AP174)))</f>
        <v>0</v>
      </c>
      <c r="G174">
        <f>SUMPRODUCT((MONTH(CHOOSE({1,2,3,4},NĐ!U174,NĐ!AA174,NĐ!AG174,NĐ!AM174))=7)*(CHOOSE({1,2,3,4},NĐ!X174,NĐ!AD174,NĐ!AJ174,NĐ!AP174)))</f>
        <v>0</v>
      </c>
      <c r="H174">
        <f>SUMPRODUCT((MONTH(CHOOSE({1,2,3,4},NĐ!U174,NĐ!AA174,NĐ!AG174,NĐ!AM174))=8)*(CHOOSE({1,2,3,4},NĐ!X174,NĐ!AD174,NĐ!AJ174,NĐ!AP174)))</f>
        <v>0</v>
      </c>
      <c r="I174">
        <f>SUMPRODUCT((MONTH(CHOOSE({1,2,3,4},NĐ!U174,NĐ!AA174,NĐ!AG174,NĐ!AM174))=9)*(CHOOSE({1,2,3,4},NĐ!X174,NĐ!AD174,NĐ!AJ174,NĐ!AP174)))</f>
        <v>0</v>
      </c>
      <c r="J174">
        <f>SUMPRODUCT((MONTH(CHOOSE({1,2,3,4},NĐ!U174,NĐ!AA174,NĐ!AG174,NĐ!AM174))=10)*(CHOOSE({1,2,3,4},NĐ!X174,NĐ!AD174,NĐ!AJ174,NĐ!AP174)))</f>
        <v>0</v>
      </c>
      <c r="K174">
        <f>SUMPRODUCT((MONTH(CHOOSE({1,2,3,4},NĐ!U174,NĐ!AA174,NĐ!AG174,NĐ!AM174))=11)*(CHOOSE({1,2,3,4},NĐ!X174,NĐ!AD174,NĐ!AJ174,NĐ!AP174)))</f>
        <v>0</v>
      </c>
      <c r="L174">
        <f>SUMPRODUCT((MONTH(CHOOSE({1,2,3,4},NĐ!U174,NĐ!AA174,NĐ!AG174,NĐ!AM174))=12)*(CHOOSE({1,2,3,4},NĐ!X174,NĐ!AD174,NĐ!AJ174,NĐ!AP174)))</f>
        <v>0</v>
      </c>
    </row>
    <row r="175" spans="1:12">
      <c r="A175">
        <f>SUMPRODUCT((MONTH(CHOOSE({1,2,3,4},NĐ!U175,NĐ!AA175,NĐ!AG175,NĐ!AM175))=1)*(CHOOSE({1,2,3,4},NĐ!X175,NĐ!AD175,NĐ!AJ175,NĐ!AP175)))</f>
        <v>0</v>
      </c>
      <c r="B175">
        <f>SUMPRODUCT((MONTH(CHOOSE({1,2,3,4},NĐ!U175,NĐ!AA175,NĐ!AG175,NĐ!AM175))=2)*(CHOOSE({1,2,3,4},NĐ!X175,NĐ!AD175,NĐ!AJ175,NĐ!AP175)))</f>
        <v>0</v>
      </c>
      <c r="C175">
        <f>SUMPRODUCT((MONTH(CHOOSE({1,2,3,4},NĐ!U175,NĐ!AA175,NĐ!AG175,NĐ!AM175))=3)*(CHOOSE({1,2,3,4},NĐ!X175,NĐ!AD175,NĐ!AJ175,NĐ!AP175)))</f>
        <v>0</v>
      </c>
      <c r="D175">
        <f>SUMPRODUCT((MONTH(CHOOSE({1,2,3,4},NĐ!U175,NĐ!AA175,NĐ!AG175,NĐ!AM175))=4)*(CHOOSE({1,2,3,4},NĐ!X175,NĐ!AD175,NĐ!AJ175,NĐ!AP175)))</f>
        <v>0</v>
      </c>
      <c r="E175">
        <f>SUMPRODUCT((MONTH(CHOOSE({1,2,3,4},NĐ!U175,NĐ!AA175,NĐ!AG175,NĐ!AM175))=5)*(CHOOSE({1,2,3,4},NĐ!X175,NĐ!AD175,NĐ!AJ175,NĐ!AP175)))</f>
        <v>0</v>
      </c>
      <c r="F175">
        <f>SUMPRODUCT((MONTH(CHOOSE({1,2,3,4},NĐ!U175,NĐ!AA175,NĐ!AG175,NĐ!AM175))=6)*(CHOOSE({1,2,3,4},NĐ!X175,NĐ!AD175,NĐ!AJ175,NĐ!AP175)))</f>
        <v>0</v>
      </c>
      <c r="G175">
        <f>SUMPRODUCT((MONTH(CHOOSE({1,2,3,4},NĐ!U175,NĐ!AA175,NĐ!AG175,NĐ!AM175))=7)*(CHOOSE({1,2,3,4},NĐ!X175,NĐ!AD175,NĐ!AJ175,NĐ!AP175)))</f>
        <v>0</v>
      </c>
      <c r="H175">
        <f>SUMPRODUCT((MONTH(CHOOSE({1,2,3,4},NĐ!U175,NĐ!AA175,NĐ!AG175,NĐ!AM175))=8)*(CHOOSE({1,2,3,4},NĐ!X175,NĐ!AD175,NĐ!AJ175,NĐ!AP175)))</f>
        <v>0</v>
      </c>
      <c r="I175">
        <f>SUMPRODUCT((MONTH(CHOOSE({1,2,3,4},NĐ!U175,NĐ!AA175,NĐ!AG175,NĐ!AM175))=9)*(CHOOSE({1,2,3,4},NĐ!X175,NĐ!AD175,NĐ!AJ175,NĐ!AP175)))</f>
        <v>0</v>
      </c>
      <c r="J175">
        <f>SUMPRODUCT((MONTH(CHOOSE({1,2,3,4},NĐ!U175,NĐ!AA175,NĐ!AG175,NĐ!AM175))=10)*(CHOOSE({1,2,3,4},NĐ!X175,NĐ!AD175,NĐ!AJ175,NĐ!AP175)))</f>
        <v>0</v>
      </c>
      <c r="K175">
        <f>SUMPRODUCT((MONTH(CHOOSE({1,2,3,4},NĐ!U175,NĐ!AA175,NĐ!AG175,NĐ!AM175))=11)*(CHOOSE({1,2,3,4},NĐ!X175,NĐ!AD175,NĐ!AJ175,NĐ!AP175)))</f>
        <v>0</v>
      </c>
      <c r="L175">
        <f>SUMPRODUCT((MONTH(CHOOSE({1,2,3,4},NĐ!U175,NĐ!AA175,NĐ!AG175,NĐ!AM175))=12)*(CHOOSE({1,2,3,4},NĐ!X175,NĐ!AD175,NĐ!AJ175,NĐ!AP175)))</f>
        <v>0</v>
      </c>
    </row>
    <row r="176" spans="1:12">
      <c r="A176">
        <f>SUMPRODUCT((MONTH(CHOOSE({1,2,3,4},NĐ!U176,NĐ!AA176,NĐ!AG176,NĐ!AM176))=1)*(CHOOSE({1,2,3,4},NĐ!X176,NĐ!AD176,NĐ!AJ176,NĐ!AP176)))</f>
        <v>0</v>
      </c>
      <c r="B176">
        <f>SUMPRODUCT((MONTH(CHOOSE({1,2,3,4},NĐ!U176,NĐ!AA176,NĐ!AG176,NĐ!AM176))=2)*(CHOOSE({1,2,3,4},NĐ!X176,NĐ!AD176,NĐ!AJ176,NĐ!AP176)))</f>
        <v>0</v>
      </c>
      <c r="C176">
        <f>SUMPRODUCT((MONTH(CHOOSE({1,2,3,4},NĐ!U176,NĐ!AA176,NĐ!AG176,NĐ!AM176))=3)*(CHOOSE({1,2,3,4},NĐ!X176,NĐ!AD176,NĐ!AJ176,NĐ!AP176)))</f>
        <v>0</v>
      </c>
      <c r="D176">
        <f>SUMPRODUCT((MONTH(CHOOSE({1,2,3,4},NĐ!U176,NĐ!AA176,NĐ!AG176,NĐ!AM176))=4)*(CHOOSE({1,2,3,4},NĐ!X176,NĐ!AD176,NĐ!AJ176,NĐ!AP176)))</f>
        <v>0</v>
      </c>
      <c r="E176">
        <f>SUMPRODUCT((MONTH(CHOOSE({1,2,3,4},NĐ!U176,NĐ!AA176,NĐ!AG176,NĐ!AM176))=5)*(CHOOSE({1,2,3,4},NĐ!X176,NĐ!AD176,NĐ!AJ176,NĐ!AP176)))</f>
        <v>0</v>
      </c>
      <c r="F176">
        <f>SUMPRODUCT((MONTH(CHOOSE({1,2,3,4},NĐ!U176,NĐ!AA176,NĐ!AG176,NĐ!AM176))=6)*(CHOOSE({1,2,3,4},NĐ!X176,NĐ!AD176,NĐ!AJ176,NĐ!AP176)))</f>
        <v>0</v>
      </c>
      <c r="G176">
        <f>SUMPRODUCT((MONTH(CHOOSE({1,2,3,4},NĐ!U176,NĐ!AA176,NĐ!AG176,NĐ!AM176))=7)*(CHOOSE({1,2,3,4},NĐ!X176,NĐ!AD176,NĐ!AJ176,NĐ!AP176)))</f>
        <v>0</v>
      </c>
      <c r="H176">
        <f>SUMPRODUCT((MONTH(CHOOSE({1,2,3,4},NĐ!U176,NĐ!AA176,NĐ!AG176,NĐ!AM176))=8)*(CHOOSE({1,2,3,4},NĐ!X176,NĐ!AD176,NĐ!AJ176,NĐ!AP176)))</f>
        <v>0</v>
      </c>
      <c r="I176">
        <f>SUMPRODUCT((MONTH(CHOOSE({1,2,3,4},NĐ!U176,NĐ!AA176,NĐ!AG176,NĐ!AM176))=9)*(CHOOSE({1,2,3,4},NĐ!X176,NĐ!AD176,NĐ!AJ176,NĐ!AP176)))</f>
        <v>0</v>
      </c>
      <c r="J176">
        <f>SUMPRODUCT((MONTH(CHOOSE({1,2,3,4},NĐ!U176,NĐ!AA176,NĐ!AG176,NĐ!AM176))=10)*(CHOOSE({1,2,3,4},NĐ!X176,NĐ!AD176,NĐ!AJ176,NĐ!AP176)))</f>
        <v>0</v>
      </c>
      <c r="K176">
        <f>SUMPRODUCT((MONTH(CHOOSE({1,2,3,4},NĐ!U176,NĐ!AA176,NĐ!AG176,NĐ!AM176))=11)*(CHOOSE({1,2,3,4},NĐ!X176,NĐ!AD176,NĐ!AJ176,NĐ!AP176)))</f>
        <v>0</v>
      </c>
      <c r="L176">
        <f>SUMPRODUCT((MONTH(CHOOSE({1,2,3,4},NĐ!U176,NĐ!AA176,NĐ!AG176,NĐ!AM176))=12)*(CHOOSE({1,2,3,4},NĐ!X176,NĐ!AD176,NĐ!AJ176,NĐ!AP176)))</f>
        <v>0</v>
      </c>
    </row>
    <row r="177" spans="1:12">
      <c r="A177">
        <f>SUMPRODUCT((MONTH(CHOOSE({1,2,3,4},NĐ!U177,NĐ!AA177,NĐ!AG177,NĐ!AM177))=1)*(CHOOSE({1,2,3,4},NĐ!X177,NĐ!AD177,NĐ!AJ177,NĐ!AP177)))</f>
        <v>0</v>
      </c>
      <c r="B177">
        <f>SUMPRODUCT((MONTH(CHOOSE({1,2,3,4},NĐ!U177,NĐ!AA177,NĐ!AG177,NĐ!AM177))=2)*(CHOOSE({1,2,3,4},NĐ!X177,NĐ!AD177,NĐ!AJ177,NĐ!AP177)))</f>
        <v>0</v>
      </c>
      <c r="C177">
        <f>SUMPRODUCT((MONTH(CHOOSE({1,2,3,4},NĐ!U177,NĐ!AA177,NĐ!AG177,NĐ!AM177))=3)*(CHOOSE({1,2,3,4},NĐ!X177,NĐ!AD177,NĐ!AJ177,NĐ!AP177)))</f>
        <v>0</v>
      </c>
      <c r="D177">
        <f>SUMPRODUCT((MONTH(CHOOSE({1,2,3,4},NĐ!U177,NĐ!AA177,NĐ!AG177,NĐ!AM177))=4)*(CHOOSE({1,2,3,4},NĐ!X177,NĐ!AD177,NĐ!AJ177,NĐ!AP177)))</f>
        <v>0</v>
      </c>
      <c r="E177">
        <f>SUMPRODUCT((MONTH(CHOOSE({1,2,3,4},NĐ!U177,NĐ!AA177,NĐ!AG177,NĐ!AM177))=5)*(CHOOSE({1,2,3,4},NĐ!X177,NĐ!AD177,NĐ!AJ177,NĐ!AP177)))</f>
        <v>0</v>
      </c>
      <c r="F177">
        <f>SUMPRODUCT((MONTH(CHOOSE({1,2,3,4},NĐ!U177,NĐ!AA177,NĐ!AG177,NĐ!AM177))=6)*(CHOOSE({1,2,3,4},NĐ!X177,NĐ!AD177,NĐ!AJ177,NĐ!AP177)))</f>
        <v>0</v>
      </c>
      <c r="G177">
        <f>SUMPRODUCT((MONTH(CHOOSE({1,2,3,4},NĐ!U177,NĐ!AA177,NĐ!AG177,NĐ!AM177))=7)*(CHOOSE({1,2,3,4},NĐ!X177,NĐ!AD177,NĐ!AJ177,NĐ!AP177)))</f>
        <v>0</v>
      </c>
      <c r="H177">
        <f>SUMPRODUCT((MONTH(CHOOSE({1,2,3,4},NĐ!U177,NĐ!AA177,NĐ!AG177,NĐ!AM177))=8)*(CHOOSE({1,2,3,4},NĐ!X177,NĐ!AD177,NĐ!AJ177,NĐ!AP177)))</f>
        <v>0</v>
      </c>
      <c r="I177">
        <f>SUMPRODUCT((MONTH(CHOOSE({1,2,3,4},NĐ!U177,NĐ!AA177,NĐ!AG177,NĐ!AM177))=9)*(CHOOSE({1,2,3,4},NĐ!X177,NĐ!AD177,NĐ!AJ177,NĐ!AP177)))</f>
        <v>0</v>
      </c>
      <c r="J177">
        <f>SUMPRODUCT((MONTH(CHOOSE({1,2,3,4},NĐ!U177,NĐ!AA177,NĐ!AG177,NĐ!AM177))=10)*(CHOOSE({1,2,3,4},NĐ!X177,NĐ!AD177,NĐ!AJ177,NĐ!AP177)))</f>
        <v>0</v>
      </c>
      <c r="K177">
        <f>SUMPRODUCT((MONTH(CHOOSE({1,2,3,4},NĐ!U177,NĐ!AA177,NĐ!AG177,NĐ!AM177))=11)*(CHOOSE({1,2,3,4},NĐ!X177,NĐ!AD177,NĐ!AJ177,NĐ!AP177)))</f>
        <v>0</v>
      </c>
      <c r="L177">
        <f>SUMPRODUCT((MONTH(CHOOSE({1,2,3,4},NĐ!U177,NĐ!AA177,NĐ!AG177,NĐ!AM177))=12)*(CHOOSE({1,2,3,4},NĐ!X177,NĐ!AD177,NĐ!AJ177,NĐ!AP177)))</f>
        <v>0</v>
      </c>
    </row>
    <row r="178" spans="1:12">
      <c r="A178">
        <f>SUMPRODUCT((MONTH(CHOOSE({1,2,3,4},NĐ!U178,NĐ!AA178,NĐ!AG178,NĐ!AM178))=1)*(CHOOSE({1,2,3,4},NĐ!X178,NĐ!AD178,NĐ!AJ178,NĐ!AP178)))</f>
        <v>0</v>
      </c>
      <c r="B178">
        <f>SUMPRODUCT((MONTH(CHOOSE({1,2,3,4},NĐ!U178,NĐ!AA178,NĐ!AG178,NĐ!AM178))=2)*(CHOOSE({1,2,3,4},NĐ!X178,NĐ!AD178,NĐ!AJ178,NĐ!AP178)))</f>
        <v>0</v>
      </c>
      <c r="C178">
        <f>SUMPRODUCT((MONTH(CHOOSE({1,2,3,4},NĐ!U178,NĐ!AA178,NĐ!AG178,NĐ!AM178))=3)*(CHOOSE({1,2,3,4},NĐ!X178,NĐ!AD178,NĐ!AJ178,NĐ!AP178)))</f>
        <v>0</v>
      </c>
      <c r="D178">
        <f>SUMPRODUCT((MONTH(CHOOSE({1,2,3,4},NĐ!U178,NĐ!AA178,NĐ!AG178,NĐ!AM178))=4)*(CHOOSE({1,2,3,4},NĐ!X178,NĐ!AD178,NĐ!AJ178,NĐ!AP178)))</f>
        <v>0</v>
      </c>
      <c r="E178">
        <f>SUMPRODUCT((MONTH(CHOOSE({1,2,3,4},NĐ!U178,NĐ!AA178,NĐ!AG178,NĐ!AM178))=5)*(CHOOSE({1,2,3,4},NĐ!X178,NĐ!AD178,NĐ!AJ178,NĐ!AP178)))</f>
        <v>0</v>
      </c>
      <c r="F178">
        <f>SUMPRODUCT((MONTH(CHOOSE({1,2,3,4},NĐ!U178,NĐ!AA178,NĐ!AG178,NĐ!AM178))=6)*(CHOOSE({1,2,3,4},NĐ!X178,NĐ!AD178,NĐ!AJ178,NĐ!AP178)))</f>
        <v>0</v>
      </c>
      <c r="G178">
        <f>SUMPRODUCT((MONTH(CHOOSE({1,2,3,4},NĐ!U178,NĐ!AA178,NĐ!AG178,NĐ!AM178))=7)*(CHOOSE({1,2,3,4},NĐ!X178,NĐ!AD178,NĐ!AJ178,NĐ!AP178)))</f>
        <v>0</v>
      </c>
      <c r="H178">
        <f>SUMPRODUCT((MONTH(CHOOSE({1,2,3,4},NĐ!U178,NĐ!AA178,NĐ!AG178,NĐ!AM178))=8)*(CHOOSE({1,2,3,4},NĐ!X178,NĐ!AD178,NĐ!AJ178,NĐ!AP178)))</f>
        <v>0</v>
      </c>
      <c r="I178">
        <f>SUMPRODUCT((MONTH(CHOOSE({1,2,3,4},NĐ!U178,NĐ!AA178,NĐ!AG178,NĐ!AM178))=9)*(CHOOSE({1,2,3,4},NĐ!X178,NĐ!AD178,NĐ!AJ178,NĐ!AP178)))</f>
        <v>0</v>
      </c>
      <c r="J178">
        <f>SUMPRODUCT((MONTH(CHOOSE({1,2,3,4},NĐ!U178,NĐ!AA178,NĐ!AG178,NĐ!AM178))=10)*(CHOOSE({1,2,3,4},NĐ!X178,NĐ!AD178,NĐ!AJ178,NĐ!AP178)))</f>
        <v>0</v>
      </c>
      <c r="K178">
        <f>SUMPRODUCT((MONTH(CHOOSE({1,2,3,4},NĐ!U178,NĐ!AA178,NĐ!AG178,NĐ!AM178))=11)*(CHOOSE({1,2,3,4},NĐ!X178,NĐ!AD178,NĐ!AJ178,NĐ!AP178)))</f>
        <v>0</v>
      </c>
      <c r="L178">
        <f>SUMPRODUCT((MONTH(CHOOSE({1,2,3,4},NĐ!U178,NĐ!AA178,NĐ!AG178,NĐ!AM178))=12)*(CHOOSE({1,2,3,4},NĐ!X178,NĐ!AD178,NĐ!AJ178,NĐ!AP178)))</f>
        <v>0</v>
      </c>
    </row>
    <row r="179" spans="1:12">
      <c r="A179">
        <f>SUMPRODUCT((MONTH(CHOOSE({1,2,3,4},NĐ!U179,NĐ!AA179,NĐ!AG179,NĐ!AM179))=1)*(CHOOSE({1,2,3,4},NĐ!X179,NĐ!AD179,NĐ!AJ179,NĐ!AP179)))</f>
        <v>0</v>
      </c>
      <c r="B179">
        <f>SUMPRODUCT((MONTH(CHOOSE({1,2,3,4},NĐ!U179,NĐ!AA179,NĐ!AG179,NĐ!AM179))=2)*(CHOOSE({1,2,3,4},NĐ!X179,NĐ!AD179,NĐ!AJ179,NĐ!AP179)))</f>
        <v>0</v>
      </c>
      <c r="C179">
        <f>SUMPRODUCT((MONTH(CHOOSE({1,2,3,4},NĐ!U179,NĐ!AA179,NĐ!AG179,NĐ!AM179))=3)*(CHOOSE({1,2,3,4},NĐ!X179,NĐ!AD179,NĐ!AJ179,NĐ!AP179)))</f>
        <v>0</v>
      </c>
      <c r="D179">
        <f>SUMPRODUCT((MONTH(CHOOSE({1,2,3,4},NĐ!U179,NĐ!AA179,NĐ!AG179,NĐ!AM179))=4)*(CHOOSE({1,2,3,4},NĐ!X179,NĐ!AD179,NĐ!AJ179,NĐ!AP179)))</f>
        <v>0</v>
      </c>
      <c r="E179">
        <f>SUMPRODUCT((MONTH(CHOOSE({1,2,3,4},NĐ!U179,NĐ!AA179,NĐ!AG179,NĐ!AM179))=5)*(CHOOSE({1,2,3,4},NĐ!X179,NĐ!AD179,NĐ!AJ179,NĐ!AP179)))</f>
        <v>0</v>
      </c>
      <c r="F179">
        <f>SUMPRODUCT((MONTH(CHOOSE({1,2,3,4},NĐ!U179,NĐ!AA179,NĐ!AG179,NĐ!AM179))=6)*(CHOOSE({1,2,3,4},NĐ!X179,NĐ!AD179,NĐ!AJ179,NĐ!AP179)))</f>
        <v>0</v>
      </c>
      <c r="G179">
        <f>SUMPRODUCT((MONTH(CHOOSE({1,2,3,4},NĐ!U179,NĐ!AA179,NĐ!AG179,NĐ!AM179))=7)*(CHOOSE({1,2,3,4},NĐ!X179,NĐ!AD179,NĐ!AJ179,NĐ!AP179)))</f>
        <v>0</v>
      </c>
      <c r="H179">
        <f>SUMPRODUCT((MONTH(CHOOSE({1,2,3,4},NĐ!U179,NĐ!AA179,NĐ!AG179,NĐ!AM179))=8)*(CHOOSE({1,2,3,4},NĐ!X179,NĐ!AD179,NĐ!AJ179,NĐ!AP179)))</f>
        <v>0</v>
      </c>
      <c r="I179">
        <f>SUMPRODUCT((MONTH(CHOOSE({1,2,3,4},NĐ!U179,NĐ!AA179,NĐ!AG179,NĐ!AM179))=9)*(CHOOSE({1,2,3,4},NĐ!X179,NĐ!AD179,NĐ!AJ179,NĐ!AP179)))</f>
        <v>0</v>
      </c>
      <c r="J179">
        <f>SUMPRODUCT((MONTH(CHOOSE({1,2,3,4},NĐ!U179,NĐ!AA179,NĐ!AG179,NĐ!AM179))=10)*(CHOOSE({1,2,3,4},NĐ!X179,NĐ!AD179,NĐ!AJ179,NĐ!AP179)))</f>
        <v>0</v>
      </c>
      <c r="K179">
        <f>SUMPRODUCT((MONTH(CHOOSE({1,2,3,4},NĐ!U179,NĐ!AA179,NĐ!AG179,NĐ!AM179))=11)*(CHOOSE({1,2,3,4},NĐ!X179,NĐ!AD179,NĐ!AJ179,NĐ!AP179)))</f>
        <v>0</v>
      </c>
      <c r="L179">
        <f>SUMPRODUCT((MONTH(CHOOSE({1,2,3,4},NĐ!U179,NĐ!AA179,NĐ!AG179,NĐ!AM179))=12)*(CHOOSE({1,2,3,4},NĐ!X179,NĐ!AD179,NĐ!AJ179,NĐ!AP179)))</f>
        <v>0</v>
      </c>
    </row>
    <row r="180" spans="1:12">
      <c r="A180">
        <f>SUMPRODUCT((MONTH(CHOOSE({1,2,3,4},NĐ!U180,NĐ!AA180,NĐ!AG180,NĐ!AM180))=1)*(CHOOSE({1,2,3,4},NĐ!X180,NĐ!AD180,NĐ!AJ180,NĐ!AP180)))</f>
        <v>0</v>
      </c>
      <c r="B180">
        <f>SUMPRODUCT((MONTH(CHOOSE({1,2,3,4},NĐ!U180,NĐ!AA180,NĐ!AG180,NĐ!AM180))=2)*(CHOOSE({1,2,3,4},NĐ!X180,NĐ!AD180,NĐ!AJ180,NĐ!AP180)))</f>
        <v>0</v>
      </c>
      <c r="C180">
        <f>SUMPRODUCT((MONTH(CHOOSE({1,2,3,4},NĐ!U180,NĐ!AA180,NĐ!AG180,NĐ!AM180))=3)*(CHOOSE({1,2,3,4},NĐ!X180,NĐ!AD180,NĐ!AJ180,NĐ!AP180)))</f>
        <v>0</v>
      </c>
      <c r="D180">
        <f>SUMPRODUCT((MONTH(CHOOSE({1,2,3,4},NĐ!U180,NĐ!AA180,NĐ!AG180,NĐ!AM180))=4)*(CHOOSE({1,2,3,4},NĐ!X180,NĐ!AD180,NĐ!AJ180,NĐ!AP180)))</f>
        <v>0</v>
      </c>
      <c r="E180">
        <f>SUMPRODUCT((MONTH(CHOOSE({1,2,3,4},NĐ!U180,NĐ!AA180,NĐ!AG180,NĐ!AM180))=5)*(CHOOSE({1,2,3,4},NĐ!X180,NĐ!AD180,NĐ!AJ180,NĐ!AP180)))</f>
        <v>0</v>
      </c>
      <c r="F180">
        <f>SUMPRODUCT((MONTH(CHOOSE({1,2,3,4},NĐ!U180,NĐ!AA180,NĐ!AG180,NĐ!AM180))=6)*(CHOOSE({1,2,3,4},NĐ!X180,NĐ!AD180,NĐ!AJ180,NĐ!AP180)))</f>
        <v>0</v>
      </c>
      <c r="G180">
        <f>SUMPRODUCT((MONTH(CHOOSE({1,2,3,4},NĐ!U180,NĐ!AA180,NĐ!AG180,NĐ!AM180))=7)*(CHOOSE({1,2,3,4},NĐ!X180,NĐ!AD180,NĐ!AJ180,NĐ!AP180)))</f>
        <v>0</v>
      </c>
      <c r="H180">
        <f>SUMPRODUCT((MONTH(CHOOSE({1,2,3,4},NĐ!U180,NĐ!AA180,NĐ!AG180,NĐ!AM180))=8)*(CHOOSE({1,2,3,4},NĐ!X180,NĐ!AD180,NĐ!AJ180,NĐ!AP180)))</f>
        <v>0</v>
      </c>
      <c r="I180">
        <f>SUMPRODUCT((MONTH(CHOOSE({1,2,3,4},NĐ!U180,NĐ!AA180,NĐ!AG180,NĐ!AM180))=9)*(CHOOSE({1,2,3,4},NĐ!X180,NĐ!AD180,NĐ!AJ180,NĐ!AP180)))</f>
        <v>0</v>
      </c>
      <c r="J180">
        <f>SUMPRODUCT((MONTH(CHOOSE({1,2,3,4},NĐ!U180,NĐ!AA180,NĐ!AG180,NĐ!AM180))=10)*(CHOOSE({1,2,3,4},NĐ!X180,NĐ!AD180,NĐ!AJ180,NĐ!AP180)))</f>
        <v>0</v>
      </c>
      <c r="K180">
        <f>SUMPRODUCT((MONTH(CHOOSE({1,2,3,4},NĐ!U180,NĐ!AA180,NĐ!AG180,NĐ!AM180))=11)*(CHOOSE({1,2,3,4},NĐ!X180,NĐ!AD180,NĐ!AJ180,NĐ!AP180)))</f>
        <v>0</v>
      </c>
      <c r="L180">
        <f>SUMPRODUCT((MONTH(CHOOSE({1,2,3,4},NĐ!U180,NĐ!AA180,NĐ!AG180,NĐ!AM180))=12)*(CHOOSE({1,2,3,4},NĐ!X180,NĐ!AD180,NĐ!AJ180,NĐ!AP180)))</f>
        <v>0</v>
      </c>
    </row>
    <row r="181" spans="1:12">
      <c r="A181">
        <f>SUMPRODUCT((MONTH(CHOOSE({1,2,3,4},NĐ!U181,NĐ!AA181,NĐ!AG181,NĐ!AM181))=1)*(CHOOSE({1,2,3,4},NĐ!X181,NĐ!AD181,NĐ!AJ181,NĐ!AP181)))</f>
        <v>0</v>
      </c>
      <c r="B181">
        <f>SUMPRODUCT((MONTH(CHOOSE({1,2,3,4},NĐ!U181,NĐ!AA181,NĐ!AG181,NĐ!AM181))=2)*(CHOOSE({1,2,3,4},NĐ!X181,NĐ!AD181,NĐ!AJ181,NĐ!AP181)))</f>
        <v>0</v>
      </c>
      <c r="C181">
        <f>SUMPRODUCT((MONTH(CHOOSE({1,2,3,4},NĐ!U181,NĐ!AA181,NĐ!AG181,NĐ!AM181))=3)*(CHOOSE({1,2,3,4},NĐ!X181,NĐ!AD181,NĐ!AJ181,NĐ!AP181)))</f>
        <v>0</v>
      </c>
      <c r="D181">
        <f>SUMPRODUCT((MONTH(CHOOSE({1,2,3,4},NĐ!U181,NĐ!AA181,NĐ!AG181,NĐ!AM181))=4)*(CHOOSE({1,2,3,4},NĐ!X181,NĐ!AD181,NĐ!AJ181,NĐ!AP181)))</f>
        <v>0</v>
      </c>
      <c r="E181">
        <f>SUMPRODUCT((MONTH(CHOOSE({1,2,3,4},NĐ!U181,NĐ!AA181,NĐ!AG181,NĐ!AM181))=5)*(CHOOSE({1,2,3,4},NĐ!X181,NĐ!AD181,NĐ!AJ181,NĐ!AP181)))</f>
        <v>0</v>
      </c>
      <c r="F181">
        <f>SUMPRODUCT((MONTH(CHOOSE({1,2,3,4},NĐ!U181,NĐ!AA181,NĐ!AG181,NĐ!AM181))=6)*(CHOOSE({1,2,3,4},NĐ!X181,NĐ!AD181,NĐ!AJ181,NĐ!AP181)))</f>
        <v>0</v>
      </c>
      <c r="G181">
        <f>SUMPRODUCT((MONTH(CHOOSE({1,2,3,4},NĐ!U181,NĐ!AA181,NĐ!AG181,NĐ!AM181))=7)*(CHOOSE({1,2,3,4},NĐ!X181,NĐ!AD181,NĐ!AJ181,NĐ!AP181)))</f>
        <v>0</v>
      </c>
      <c r="H181">
        <f>SUMPRODUCT((MONTH(CHOOSE({1,2,3,4},NĐ!U181,NĐ!AA181,NĐ!AG181,NĐ!AM181))=8)*(CHOOSE({1,2,3,4},NĐ!X181,NĐ!AD181,NĐ!AJ181,NĐ!AP181)))</f>
        <v>0</v>
      </c>
      <c r="I181">
        <f>SUMPRODUCT((MONTH(CHOOSE({1,2,3,4},NĐ!U181,NĐ!AA181,NĐ!AG181,NĐ!AM181))=9)*(CHOOSE({1,2,3,4},NĐ!X181,NĐ!AD181,NĐ!AJ181,NĐ!AP181)))</f>
        <v>0</v>
      </c>
      <c r="J181">
        <f>SUMPRODUCT((MONTH(CHOOSE({1,2,3,4},NĐ!U181,NĐ!AA181,NĐ!AG181,NĐ!AM181))=10)*(CHOOSE({1,2,3,4},NĐ!X181,NĐ!AD181,NĐ!AJ181,NĐ!AP181)))</f>
        <v>0</v>
      </c>
      <c r="K181">
        <f>SUMPRODUCT((MONTH(CHOOSE({1,2,3,4},NĐ!U181,NĐ!AA181,NĐ!AG181,NĐ!AM181))=11)*(CHOOSE({1,2,3,4},NĐ!X181,NĐ!AD181,NĐ!AJ181,NĐ!AP181)))</f>
        <v>0</v>
      </c>
      <c r="L181">
        <f>SUMPRODUCT((MONTH(CHOOSE({1,2,3,4},NĐ!U181,NĐ!AA181,NĐ!AG181,NĐ!AM181))=12)*(CHOOSE({1,2,3,4},NĐ!X181,NĐ!AD181,NĐ!AJ181,NĐ!AP181)))</f>
        <v>0</v>
      </c>
    </row>
    <row r="182" spans="1:12">
      <c r="A182">
        <f>SUMPRODUCT((MONTH(CHOOSE({1,2,3,4},NĐ!U182,NĐ!AA182,NĐ!AG182,NĐ!AM182))=1)*(CHOOSE({1,2,3,4},NĐ!X182,NĐ!AD182,NĐ!AJ182,NĐ!AP182)))</f>
        <v>0</v>
      </c>
      <c r="B182">
        <f>SUMPRODUCT((MONTH(CHOOSE({1,2,3,4},NĐ!U182,NĐ!AA182,NĐ!AG182,NĐ!AM182))=2)*(CHOOSE({1,2,3,4},NĐ!X182,NĐ!AD182,NĐ!AJ182,NĐ!AP182)))</f>
        <v>0</v>
      </c>
      <c r="C182">
        <f>SUMPRODUCT((MONTH(CHOOSE({1,2,3,4},NĐ!U182,NĐ!AA182,NĐ!AG182,NĐ!AM182))=3)*(CHOOSE({1,2,3,4},NĐ!X182,NĐ!AD182,NĐ!AJ182,NĐ!AP182)))</f>
        <v>0</v>
      </c>
      <c r="D182">
        <f>SUMPRODUCT((MONTH(CHOOSE({1,2,3,4},NĐ!U182,NĐ!AA182,NĐ!AG182,NĐ!AM182))=4)*(CHOOSE({1,2,3,4},NĐ!X182,NĐ!AD182,NĐ!AJ182,NĐ!AP182)))</f>
        <v>0</v>
      </c>
      <c r="E182">
        <f>SUMPRODUCT((MONTH(CHOOSE({1,2,3,4},NĐ!U182,NĐ!AA182,NĐ!AG182,NĐ!AM182))=5)*(CHOOSE({1,2,3,4},NĐ!X182,NĐ!AD182,NĐ!AJ182,NĐ!AP182)))</f>
        <v>0</v>
      </c>
      <c r="F182">
        <f>SUMPRODUCT((MONTH(CHOOSE({1,2,3,4},NĐ!U182,NĐ!AA182,NĐ!AG182,NĐ!AM182))=6)*(CHOOSE({1,2,3,4},NĐ!X182,NĐ!AD182,NĐ!AJ182,NĐ!AP182)))</f>
        <v>0</v>
      </c>
      <c r="G182">
        <f>SUMPRODUCT((MONTH(CHOOSE({1,2,3,4},NĐ!U182,NĐ!AA182,NĐ!AG182,NĐ!AM182))=7)*(CHOOSE({1,2,3,4},NĐ!X182,NĐ!AD182,NĐ!AJ182,NĐ!AP182)))</f>
        <v>0</v>
      </c>
      <c r="H182">
        <f>SUMPRODUCT((MONTH(CHOOSE({1,2,3,4},NĐ!U182,NĐ!AA182,NĐ!AG182,NĐ!AM182))=8)*(CHOOSE({1,2,3,4},NĐ!X182,NĐ!AD182,NĐ!AJ182,NĐ!AP182)))</f>
        <v>0</v>
      </c>
      <c r="I182">
        <f>SUMPRODUCT((MONTH(CHOOSE({1,2,3,4},NĐ!U182,NĐ!AA182,NĐ!AG182,NĐ!AM182))=9)*(CHOOSE({1,2,3,4},NĐ!X182,NĐ!AD182,NĐ!AJ182,NĐ!AP182)))</f>
        <v>0</v>
      </c>
      <c r="J182">
        <f>SUMPRODUCT((MONTH(CHOOSE({1,2,3,4},NĐ!U182,NĐ!AA182,NĐ!AG182,NĐ!AM182))=10)*(CHOOSE({1,2,3,4},NĐ!X182,NĐ!AD182,NĐ!AJ182,NĐ!AP182)))</f>
        <v>0</v>
      </c>
      <c r="K182">
        <f>SUMPRODUCT((MONTH(CHOOSE({1,2,3,4},NĐ!U182,NĐ!AA182,NĐ!AG182,NĐ!AM182))=11)*(CHOOSE({1,2,3,4},NĐ!X182,NĐ!AD182,NĐ!AJ182,NĐ!AP182)))</f>
        <v>0</v>
      </c>
      <c r="L182">
        <f>SUMPRODUCT((MONTH(CHOOSE({1,2,3,4},NĐ!U182,NĐ!AA182,NĐ!AG182,NĐ!AM182))=12)*(CHOOSE({1,2,3,4},NĐ!X182,NĐ!AD182,NĐ!AJ182,NĐ!AP182)))</f>
        <v>0</v>
      </c>
    </row>
    <row r="183" spans="1:12">
      <c r="A183">
        <f>SUMPRODUCT((MONTH(CHOOSE({1,2,3,4},NĐ!U183,NĐ!AA183,NĐ!AG183,NĐ!AM183))=1)*(CHOOSE({1,2,3,4},NĐ!X183,NĐ!AD183,NĐ!AJ183,NĐ!AP183)))</f>
        <v>0</v>
      </c>
      <c r="B183">
        <f>SUMPRODUCT((MONTH(CHOOSE({1,2,3,4},NĐ!U183,NĐ!AA183,NĐ!AG183,NĐ!AM183))=2)*(CHOOSE({1,2,3,4},NĐ!X183,NĐ!AD183,NĐ!AJ183,NĐ!AP183)))</f>
        <v>0</v>
      </c>
      <c r="C183">
        <f>SUMPRODUCT((MONTH(CHOOSE({1,2,3,4},NĐ!U183,NĐ!AA183,NĐ!AG183,NĐ!AM183))=3)*(CHOOSE({1,2,3,4},NĐ!X183,NĐ!AD183,NĐ!AJ183,NĐ!AP183)))</f>
        <v>0</v>
      </c>
      <c r="D183">
        <f>SUMPRODUCT((MONTH(CHOOSE({1,2,3,4},NĐ!U183,NĐ!AA183,NĐ!AG183,NĐ!AM183))=4)*(CHOOSE({1,2,3,4},NĐ!X183,NĐ!AD183,NĐ!AJ183,NĐ!AP183)))</f>
        <v>0</v>
      </c>
      <c r="E183">
        <f>SUMPRODUCT((MONTH(CHOOSE({1,2,3,4},NĐ!U183,NĐ!AA183,NĐ!AG183,NĐ!AM183))=5)*(CHOOSE({1,2,3,4},NĐ!X183,NĐ!AD183,NĐ!AJ183,NĐ!AP183)))</f>
        <v>0</v>
      </c>
      <c r="F183">
        <f>SUMPRODUCT((MONTH(CHOOSE({1,2,3,4},NĐ!U183,NĐ!AA183,NĐ!AG183,NĐ!AM183))=6)*(CHOOSE({1,2,3,4},NĐ!X183,NĐ!AD183,NĐ!AJ183,NĐ!AP183)))</f>
        <v>0</v>
      </c>
      <c r="G183">
        <f>SUMPRODUCT((MONTH(CHOOSE({1,2,3,4},NĐ!U183,NĐ!AA183,NĐ!AG183,NĐ!AM183))=7)*(CHOOSE({1,2,3,4},NĐ!X183,NĐ!AD183,NĐ!AJ183,NĐ!AP183)))</f>
        <v>0</v>
      </c>
      <c r="H183">
        <f>SUMPRODUCT((MONTH(CHOOSE({1,2,3,4},NĐ!U183,NĐ!AA183,NĐ!AG183,NĐ!AM183))=8)*(CHOOSE({1,2,3,4},NĐ!X183,NĐ!AD183,NĐ!AJ183,NĐ!AP183)))</f>
        <v>0</v>
      </c>
      <c r="I183">
        <f>SUMPRODUCT((MONTH(CHOOSE({1,2,3,4},NĐ!U183,NĐ!AA183,NĐ!AG183,NĐ!AM183))=9)*(CHOOSE({1,2,3,4},NĐ!X183,NĐ!AD183,NĐ!AJ183,NĐ!AP183)))</f>
        <v>0</v>
      </c>
      <c r="J183">
        <f>SUMPRODUCT((MONTH(CHOOSE({1,2,3,4},NĐ!U183,NĐ!AA183,NĐ!AG183,NĐ!AM183))=10)*(CHOOSE({1,2,3,4},NĐ!X183,NĐ!AD183,NĐ!AJ183,NĐ!AP183)))</f>
        <v>0</v>
      </c>
      <c r="K183">
        <f>SUMPRODUCT((MONTH(CHOOSE({1,2,3,4},NĐ!U183,NĐ!AA183,NĐ!AG183,NĐ!AM183))=11)*(CHOOSE({1,2,3,4},NĐ!X183,NĐ!AD183,NĐ!AJ183,NĐ!AP183)))</f>
        <v>0</v>
      </c>
      <c r="L183">
        <f>SUMPRODUCT((MONTH(CHOOSE({1,2,3,4},NĐ!U183,NĐ!AA183,NĐ!AG183,NĐ!AM183))=12)*(CHOOSE({1,2,3,4},NĐ!X183,NĐ!AD183,NĐ!AJ183,NĐ!AP183)))</f>
        <v>0</v>
      </c>
    </row>
    <row r="184" spans="1:12">
      <c r="A184">
        <f>SUMPRODUCT((MONTH(CHOOSE({1,2,3,4},NĐ!U184,NĐ!AA184,NĐ!AG184,NĐ!AM184))=1)*(CHOOSE({1,2,3,4},NĐ!X184,NĐ!AD184,NĐ!AJ184,NĐ!AP184)))</f>
        <v>0</v>
      </c>
      <c r="B184">
        <f>SUMPRODUCT((MONTH(CHOOSE({1,2,3,4},NĐ!U184,NĐ!AA184,NĐ!AG184,NĐ!AM184))=2)*(CHOOSE({1,2,3,4},NĐ!X184,NĐ!AD184,NĐ!AJ184,NĐ!AP184)))</f>
        <v>0</v>
      </c>
      <c r="C184">
        <f>SUMPRODUCT((MONTH(CHOOSE({1,2,3,4},NĐ!U184,NĐ!AA184,NĐ!AG184,NĐ!AM184))=3)*(CHOOSE({1,2,3,4},NĐ!X184,NĐ!AD184,NĐ!AJ184,NĐ!AP184)))</f>
        <v>0</v>
      </c>
      <c r="D184">
        <f>SUMPRODUCT((MONTH(CHOOSE({1,2,3,4},NĐ!U184,NĐ!AA184,NĐ!AG184,NĐ!AM184))=4)*(CHOOSE({1,2,3,4},NĐ!X184,NĐ!AD184,NĐ!AJ184,NĐ!AP184)))</f>
        <v>0</v>
      </c>
      <c r="E184">
        <f>SUMPRODUCT((MONTH(CHOOSE({1,2,3,4},NĐ!U184,NĐ!AA184,NĐ!AG184,NĐ!AM184))=5)*(CHOOSE({1,2,3,4},NĐ!X184,NĐ!AD184,NĐ!AJ184,NĐ!AP184)))</f>
        <v>0</v>
      </c>
      <c r="F184">
        <f>SUMPRODUCT((MONTH(CHOOSE({1,2,3,4},NĐ!U184,NĐ!AA184,NĐ!AG184,NĐ!AM184))=6)*(CHOOSE({1,2,3,4},NĐ!X184,NĐ!AD184,NĐ!AJ184,NĐ!AP184)))</f>
        <v>0</v>
      </c>
      <c r="G184">
        <f>SUMPRODUCT((MONTH(CHOOSE({1,2,3,4},NĐ!U184,NĐ!AA184,NĐ!AG184,NĐ!AM184))=7)*(CHOOSE({1,2,3,4},NĐ!X184,NĐ!AD184,NĐ!AJ184,NĐ!AP184)))</f>
        <v>0</v>
      </c>
      <c r="H184">
        <f>SUMPRODUCT((MONTH(CHOOSE({1,2,3,4},NĐ!U184,NĐ!AA184,NĐ!AG184,NĐ!AM184))=8)*(CHOOSE({1,2,3,4},NĐ!X184,NĐ!AD184,NĐ!AJ184,NĐ!AP184)))</f>
        <v>0</v>
      </c>
      <c r="I184">
        <f>SUMPRODUCT((MONTH(CHOOSE({1,2,3,4},NĐ!U184,NĐ!AA184,NĐ!AG184,NĐ!AM184))=9)*(CHOOSE({1,2,3,4},NĐ!X184,NĐ!AD184,NĐ!AJ184,NĐ!AP184)))</f>
        <v>0</v>
      </c>
      <c r="J184">
        <f>SUMPRODUCT((MONTH(CHOOSE({1,2,3,4},NĐ!U184,NĐ!AA184,NĐ!AG184,NĐ!AM184))=10)*(CHOOSE({1,2,3,4},NĐ!X184,NĐ!AD184,NĐ!AJ184,NĐ!AP184)))</f>
        <v>0</v>
      </c>
      <c r="K184">
        <f>SUMPRODUCT((MONTH(CHOOSE({1,2,3,4},NĐ!U184,NĐ!AA184,NĐ!AG184,NĐ!AM184))=11)*(CHOOSE({1,2,3,4},NĐ!X184,NĐ!AD184,NĐ!AJ184,NĐ!AP184)))</f>
        <v>0</v>
      </c>
      <c r="L184">
        <f>SUMPRODUCT((MONTH(CHOOSE({1,2,3,4},NĐ!U184,NĐ!AA184,NĐ!AG184,NĐ!AM184))=12)*(CHOOSE({1,2,3,4},NĐ!X184,NĐ!AD184,NĐ!AJ184,NĐ!AP184)))</f>
        <v>0</v>
      </c>
    </row>
    <row r="185" spans="1:12">
      <c r="A185">
        <f>SUMPRODUCT((MONTH(CHOOSE({1,2,3,4},NĐ!U185,NĐ!AA185,NĐ!AG185,NĐ!AM185))=1)*(CHOOSE({1,2,3,4},NĐ!X185,NĐ!AD185,NĐ!AJ185,NĐ!AP185)))</f>
        <v>0</v>
      </c>
      <c r="B185">
        <f>SUMPRODUCT((MONTH(CHOOSE({1,2,3,4},NĐ!U185,NĐ!AA185,NĐ!AG185,NĐ!AM185))=2)*(CHOOSE({1,2,3,4},NĐ!X185,NĐ!AD185,NĐ!AJ185,NĐ!AP185)))</f>
        <v>0</v>
      </c>
      <c r="C185">
        <f>SUMPRODUCT((MONTH(CHOOSE({1,2,3,4},NĐ!U185,NĐ!AA185,NĐ!AG185,NĐ!AM185))=3)*(CHOOSE({1,2,3,4},NĐ!X185,NĐ!AD185,NĐ!AJ185,NĐ!AP185)))</f>
        <v>0</v>
      </c>
      <c r="D185">
        <f>SUMPRODUCT((MONTH(CHOOSE({1,2,3,4},NĐ!U185,NĐ!AA185,NĐ!AG185,NĐ!AM185))=4)*(CHOOSE({1,2,3,4},NĐ!X185,NĐ!AD185,NĐ!AJ185,NĐ!AP185)))</f>
        <v>0</v>
      </c>
      <c r="E185">
        <f>SUMPRODUCT((MONTH(CHOOSE({1,2,3,4},NĐ!U185,NĐ!AA185,NĐ!AG185,NĐ!AM185))=5)*(CHOOSE({1,2,3,4},NĐ!X185,NĐ!AD185,NĐ!AJ185,NĐ!AP185)))</f>
        <v>0</v>
      </c>
      <c r="F185">
        <f>SUMPRODUCT((MONTH(CHOOSE({1,2,3,4},NĐ!U185,NĐ!AA185,NĐ!AG185,NĐ!AM185))=6)*(CHOOSE({1,2,3,4},NĐ!X185,NĐ!AD185,NĐ!AJ185,NĐ!AP185)))</f>
        <v>0</v>
      </c>
      <c r="G185">
        <f>SUMPRODUCT((MONTH(CHOOSE({1,2,3,4},NĐ!U185,NĐ!AA185,NĐ!AG185,NĐ!AM185))=7)*(CHOOSE({1,2,3,4},NĐ!X185,NĐ!AD185,NĐ!AJ185,NĐ!AP185)))</f>
        <v>0</v>
      </c>
      <c r="H185">
        <f>SUMPRODUCT((MONTH(CHOOSE({1,2,3,4},NĐ!U185,NĐ!AA185,NĐ!AG185,NĐ!AM185))=8)*(CHOOSE({1,2,3,4},NĐ!X185,NĐ!AD185,NĐ!AJ185,NĐ!AP185)))</f>
        <v>0</v>
      </c>
      <c r="I185">
        <f>SUMPRODUCT((MONTH(CHOOSE({1,2,3,4},NĐ!U185,NĐ!AA185,NĐ!AG185,NĐ!AM185))=9)*(CHOOSE({1,2,3,4},NĐ!X185,NĐ!AD185,NĐ!AJ185,NĐ!AP185)))</f>
        <v>0</v>
      </c>
      <c r="J185">
        <f>SUMPRODUCT((MONTH(CHOOSE({1,2,3,4},NĐ!U185,NĐ!AA185,NĐ!AG185,NĐ!AM185))=10)*(CHOOSE({1,2,3,4},NĐ!X185,NĐ!AD185,NĐ!AJ185,NĐ!AP185)))</f>
        <v>0</v>
      </c>
      <c r="K185">
        <f>SUMPRODUCT((MONTH(CHOOSE({1,2,3,4},NĐ!U185,NĐ!AA185,NĐ!AG185,NĐ!AM185))=11)*(CHOOSE({1,2,3,4},NĐ!X185,NĐ!AD185,NĐ!AJ185,NĐ!AP185)))</f>
        <v>0</v>
      </c>
      <c r="L185">
        <f>SUMPRODUCT((MONTH(CHOOSE({1,2,3,4},NĐ!U185,NĐ!AA185,NĐ!AG185,NĐ!AM185))=12)*(CHOOSE({1,2,3,4},NĐ!X185,NĐ!AD185,NĐ!AJ185,NĐ!AP185)))</f>
        <v>0</v>
      </c>
    </row>
    <row r="186" spans="1:12">
      <c r="A186">
        <f>SUMPRODUCT((MONTH(CHOOSE({1,2,3,4},NĐ!U186,NĐ!AA186,NĐ!AG186,NĐ!AM186))=1)*(CHOOSE({1,2,3,4},NĐ!X186,NĐ!AD186,NĐ!AJ186,NĐ!AP186)))</f>
        <v>0</v>
      </c>
      <c r="B186">
        <f>SUMPRODUCT((MONTH(CHOOSE({1,2,3,4},NĐ!U186,NĐ!AA186,NĐ!AG186,NĐ!AM186))=2)*(CHOOSE({1,2,3,4},NĐ!X186,NĐ!AD186,NĐ!AJ186,NĐ!AP186)))</f>
        <v>0</v>
      </c>
      <c r="C186">
        <f>SUMPRODUCT((MONTH(CHOOSE({1,2,3,4},NĐ!U186,NĐ!AA186,NĐ!AG186,NĐ!AM186))=3)*(CHOOSE({1,2,3,4},NĐ!X186,NĐ!AD186,NĐ!AJ186,NĐ!AP186)))</f>
        <v>0</v>
      </c>
      <c r="D186">
        <f>SUMPRODUCT((MONTH(CHOOSE({1,2,3,4},NĐ!U186,NĐ!AA186,NĐ!AG186,NĐ!AM186))=4)*(CHOOSE({1,2,3,4},NĐ!X186,NĐ!AD186,NĐ!AJ186,NĐ!AP186)))</f>
        <v>0</v>
      </c>
      <c r="E186">
        <f>SUMPRODUCT((MONTH(CHOOSE({1,2,3,4},NĐ!U186,NĐ!AA186,NĐ!AG186,NĐ!AM186))=5)*(CHOOSE({1,2,3,4},NĐ!X186,NĐ!AD186,NĐ!AJ186,NĐ!AP186)))</f>
        <v>0</v>
      </c>
      <c r="F186">
        <f>SUMPRODUCT((MONTH(CHOOSE({1,2,3,4},NĐ!U186,NĐ!AA186,NĐ!AG186,NĐ!AM186))=6)*(CHOOSE({1,2,3,4},NĐ!X186,NĐ!AD186,NĐ!AJ186,NĐ!AP186)))</f>
        <v>0</v>
      </c>
      <c r="G186">
        <f>SUMPRODUCT((MONTH(CHOOSE({1,2,3,4},NĐ!U186,NĐ!AA186,NĐ!AG186,NĐ!AM186))=7)*(CHOOSE({1,2,3,4},NĐ!X186,NĐ!AD186,NĐ!AJ186,NĐ!AP186)))</f>
        <v>0</v>
      </c>
      <c r="H186">
        <f>SUMPRODUCT((MONTH(CHOOSE({1,2,3,4},NĐ!U186,NĐ!AA186,NĐ!AG186,NĐ!AM186))=8)*(CHOOSE({1,2,3,4},NĐ!X186,NĐ!AD186,NĐ!AJ186,NĐ!AP186)))</f>
        <v>0</v>
      </c>
      <c r="I186">
        <f>SUMPRODUCT((MONTH(CHOOSE({1,2,3,4},NĐ!U186,NĐ!AA186,NĐ!AG186,NĐ!AM186))=9)*(CHOOSE({1,2,3,4},NĐ!X186,NĐ!AD186,NĐ!AJ186,NĐ!AP186)))</f>
        <v>0</v>
      </c>
      <c r="J186">
        <f>SUMPRODUCT((MONTH(CHOOSE({1,2,3,4},NĐ!U186,NĐ!AA186,NĐ!AG186,NĐ!AM186))=10)*(CHOOSE({1,2,3,4},NĐ!X186,NĐ!AD186,NĐ!AJ186,NĐ!AP186)))</f>
        <v>0</v>
      </c>
      <c r="K186">
        <f>SUMPRODUCT((MONTH(CHOOSE({1,2,3,4},NĐ!U186,NĐ!AA186,NĐ!AG186,NĐ!AM186))=11)*(CHOOSE({1,2,3,4},NĐ!X186,NĐ!AD186,NĐ!AJ186,NĐ!AP186)))</f>
        <v>0</v>
      </c>
      <c r="L186">
        <f>SUMPRODUCT((MONTH(CHOOSE({1,2,3,4},NĐ!U186,NĐ!AA186,NĐ!AG186,NĐ!AM186))=12)*(CHOOSE({1,2,3,4},NĐ!X186,NĐ!AD186,NĐ!AJ186,NĐ!AP186)))</f>
        <v>0</v>
      </c>
    </row>
    <row r="187" spans="1:12">
      <c r="A187">
        <f>SUMPRODUCT((MONTH(CHOOSE({1,2,3,4},NĐ!U187,NĐ!AA187,NĐ!AG187,NĐ!AM187))=1)*(CHOOSE({1,2,3,4},NĐ!X187,NĐ!AD187,NĐ!AJ187,NĐ!AP187)))</f>
        <v>0</v>
      </c>
      <c r="B187">
        <f>SUMPRODUCT((MONTH(CHOOSE({1,2,3,4},NĐ!U187,NĐ!AA187,NĐ!AG187,NĐ!AM187))=2)*(CHOOSE({1,2,3,4},NĐ!X187,NĐ!AD187,NĐ!AJ187,NĐ!AP187)))</f>
        <v>0</v>
      </c>
      <c r="C187">
        <f>SUMPRODUCT((MONTH(CHOOSE({1,2,3,4},NĐ!U187,NĐ!AA187,NĐ!AG187,NĐ!AM187))=3)*(CHOOSE({1,2,3,4},NĐ!X187,NĐ!AD187,NĐ!AJ187,NĐ!AP187)))</f>
        <v>0</v>
      </c>
      <c r="D187">
        <f>SUMPRODUCT((MONTH(CHOOSE({1,2,3,4},NĐ!U187,NĐ!AA187,NĐ!AG187,NĐ!AM187))=4)*(CHOOSE({1,2,3,4},NĐ!X187,NĐ!AD187,NĐ!AJ187,NĐ!AP187)))</f>
        <v>0</v>
      </c>
      <c r="E187">
        <f>SUMPRODUCT((MONTH(CHOOSE({1,2,3,4},NĐ!U187,NĐ!AA187,NĐ!AG187,NĐ!AM187))=5)*(CHOOSE({1,2,3,4},NĐ!X187,NĐ!AD187,NĐ!AJ187,NĐ!AP187)))</f>
        <v>0</v>
      </c>
      <c r="F187">
        <f>SUMPRODUCT((MONTH(CHOOSE({1,2,3,4},NĐ!U187,NĐ!AA187,NĐ!AG187,NĐ!AM187))=6)*(CHOOSE({1,2,3,4},NĐ!X187,NĐ!AD187,NĐ!AJ187,NĐ!AP187)))</f>
        <v>0</v>
      </c>
      <c r="G187">
        <f>SUMPRODUCT((MONTH(CHOOSE({1,2,3,4},NĐ!U187,NĐ!AA187,NĐ!AG187,NĐ!AM187))=7)*(CHOOSE({1,2,3,4},NĐ!X187,NĐ!AD187,NĐ!AJ187,NĐ!AP187)))</f>
        <v>0</v>
      </c>
      <c r="H187">
        <f>SUMPRODUCT((MONTH(CHOOSE({1,2,3,4},NĐ!U187,NĐ!AA187,NĐ!AG187,NĐ!AM187))=8)*(CHOOSE({1,2,3,4},NĐ!X187,NĐ!AD187,NĐ!AJ187,NĐ!AP187)))</f>
        <v>0</v>
      </c>
      <c r="I187">
        <f>SUMPRODUCT((MONTH(CHOOSE({1,2,3,4},NĐ!U187,NĐ!AA187,NĐ!AG187,NĐ!AM187))=9)*(CHOOSE({1,2,3,4},NĐ!X187,NĐ!AD187,NĐ!AJ187,NĐ!AP187)))</f>
        <v>0</v>
      </c>
      <c r="J187">
        <f>SUMPRODUCT((MONTH(CHOOSE({1,2,3,4},NĐ!U187,NĐ!AA187,NĐ!AG187,NĐ!AM187))=10)*(CHOOSE({1,2,3,4},NĐ!X187,NĐ!AD187,NĐ!AJ187,NĐ!AP187)))</f>
        <v>0</v>
      </c>
      <c r="K187">
        <f>SUMPRODUCT((MONTH(CHOOSE({1,2,3,4},NĐ!U187,NĐ!AA187,NĐ!AG187,NĐ!AM187))=11)*(CHOOSE({1,2,3,4},NĐ!X187,NĐ!AD187,NĐ!AJ187,NĐ!AP187)))</f>
        <v>0</v>
      </c>
      <c r="L187">
        <f>SUMPRODUCT((MONTH(CHOOSE({1,2,3,4},NĐ!U187,NĐ!AA187,NĐ!AG187,NĐ!AM187))=12)*(CHOOSE({1,2,3,4},NĐ!X187,NĐ!AD187,NĐ!AJ187,NĐ!AP187)))</f>
        <v>0</v>
      </c>
    </row>
    <row r="188" spans="1:12">
      <c r="A188">
        <f>SUMPRODUCT((MONTH(CHOOSE({1,2,3,4},NĐ!U188,NĐ!AA188,NĐ!AG188,NĐ!AM188))=1)*(CHOOSE({1,2,3,4},NĐ!X188,NĐ!AD188,NĐ!AJ188,NĐ!AP188)))</f>
        <v>0</v>
      </c>
      <c r="B188">
        <f>SUMPRODUCT((MONTH(CHOOSE({1,2,3,4},NĐ!U188,NĐ!AA188,NĐ!AG188,NĐ!AM188))=2)*(CHOOSE({1,2,3,4},NĐ!X188,NĐ!AD188,NĐ!AJ188,NĐ!AP188)))</f>
        <v>0</v>
      </c>
      <c r="C188">
        <f>SUMPRODUCT((MONTH(CHOOSE({1,2,3,4},NĐ!U188,NĐ!AA188,NĐ!AG188,NĐ!AM188))=3)*(CHOOSE({1,2,3,4},NĐ!X188,NĐ!AD188,NĐ!AJ188,NĐ!AP188)))</f>
        <v>0</v>
      </c>
      <c r="D188">
        <f>SUMPRODUCT((MONTH(CHOOSE({1,2,3,4},NĐ!U188,NĐ!AA188,NĐ!AG188,NĐ!AM188))=4)*(CHOOSE({1,2,3,4},NĐ!X188,NĐ!AD188,NĐ!AJ188,NĐ!AP188)))</f>
        <v>0</v>
      </c>
      <c r="E188">
        <f>SUMPRODUCT((MONTH(CHOOSE({1,2,3,4},NĐ!U188,NĐ!AA188,NĐ!AG188,NĐ!AM188))=5)*(CHOOSE({1,2,3,4},NĐ!X188,NĐ!AD188,NĐ!AJ188,NĐ!AP188)))</f>
        <v>0</v>
      </c>
      <c r="F188">
        <f>SUMPRODUCT((MONTH(CHOOSE({1,2,3,4},NĐ!U188,NĐ!AA188,NĐ!AG188,NĐ!AM188))=6)*(CHOOSE({1,2,3,4},NĐ!X188,NĐ!AD188,NĐ!AJ188,NĐ!AP188)))</f>
        <v>0</v>
      </c>
      <c r="G188">
        <f>SUMPRODUCT((MONTH(CHOOSE({1,2,3,4},NĐ!U188,NĐ!AA188,NĐ!AG188,NĐ!AM188))=7)*(CHOOSE({1,2,3,4},NĐ!X188,NĐ!AD188,NĐ!AJ188,NĐ!AP188)))</f>
        <v>0</v>
      </c>
      <c r="H188">
        <f>SUMPRODUCT((MONTH(CHOOSE({1,2,3,4},NĐ!U188,NĐ!AA188,NĐ!AG188,NĐ!AM188))=8)*(CHOOSE({1,2,3,4},NĐ!X188,NĐ!AD188,NĐ!AJ188,NĐ!AP188)))</f>
        <v>0</v>
      </c>
      <c r="I188">
        <f>SUMPRODUCT((MONTH(CHOOSE({1,2,3,4},NĐ!U188,NĐ!AA188,NĐ!AG188,NĐ!AM188))=9)*(CHOOSE({1,2,3,4},NĐ!X188,NĐ!AD188,NĐ!AJ188,NĐ!AP188)))</f>
        <v>0</v>
      </c>
      <c r="J188">
        <f>SUMPRODUCT((MONTH(CHOOSE({1,2,3,4},NĐ!U188,NĐ!AA188,NĐ!AG188,NĐ!AM188))=10)*(CHOOSE({1,2,3,4},NĐ!X188,NĐ!AD188,NĐ!AJ188,NĐ!AP188)))</f>
        <v>0</v>
      </c>
      <c r="K188">
        <f>SUMPRODUCT((MONTH(CHOOSE({1,2,3,4},NĐ!U188,NĐ!AA188,NĐ!AG188,NĐ!AM188))=11)*(CHOOSE({1,2,3,4},NĐ!X188,NĐ!AD188,NĐ!AJ188,NĐ!AP188)))</f>
        <v>0</v>
      </c>
      <c r="L188">
        <f>SUMPRODUCT((MONTH(CHOOSE({1,2,3,4},NĐ!U188,NĐ!AA188,NĐ!AG188,NĐ!AM188))=12)*(CHOOSE({1,2,3,4},NĐ!X188,NĐ!AD188,NĐ!AJ188,NĐ!AP188)))</f>
        <v>0</v>
      </c>
    </row>
    <row r="189" spans="1:12">
      <c r="A189">
        <f>SUMPRODUCT((MONTH(CHOOSE({1,2,3,4},NĐ!U189,NĐ!AA189,NĐ!AG189,NĐ!AM189))=1)*(CHOOSE({1,2,3,4},NĐ!X189,NĐ!AD189,NĐ!AJ189,NĐ!AP189)))</f>
        <v>0</v>
      </c>
      <c r="B189">
        <f>SUMPRODUCT((MONTH(CHOOSE({1,2,3,4},NĐ!U189,NĐ!AA189,NĐ!AG189,NĐ!AM189))=2)*(CHOOSE({1,2,3,4},NĐ!X189,NĐ!AD189,NĐ!AJ189,NĐ!AP189)))</f>
        <v>0</v>
      </c>
      <c r="C189">
        <f>SUMPRODUCT((MONTH(CHOOSE({1,2,3,4},NĐ!U189,NĐ!AA189,NĐ!AG189,NĐ!AM189))=3)*(CHOOSE({1,2,3,4},NĐ!X189,NĐ!AD189,NĐ!AJ189,NĐ!AP189)))</f>
        <v>0</v>
      </c>
      <c r="D189">
        <f>SUMPRODUCT((MONTH(CHOOSE({1,2,3,4},NĐ!U189,NĐ!AA189,NĐ!AG189,NĐ!AM189))=4)*(CHOOSE({1,2,3,4},NĐ!X189,NĐ!AD189,NĐ!AJ189,NĐ!AP189)))</f>
        <v>0</v>
      </c>
      <c r="E189">
        <f>SUMPRODUCT((MONTH(CHOOSE({1,2,3,4},NĐ!U189,NĐ!AA189,NĐ!AG189,NĐ!AM189))=5)*(CHOOSE({1,2,3,4},NĐ!X189,NĐ!AD189,NĐ!AJ189,NĐ!AP189)))</f>
        <v>0</v>
      </c>
      <c r="F189">
        <f>SUMPRODUCT((MONTH(CHOOSE({1,2,3,4},NĐ!U189,NĐ!AA189,NĐ!AG189,NĐ!AM189))=6)*(CHOOSE({1,2,3,4},NĐ!X189,NĐ!AD189,NĐ!AJ189,NĐ!AP189)))</f>
        <v>0</v>
      </c>
      <c r="G189">
        <f>SUMPRODUCT((MONTH(CHOOSE({1,2,3,4},NĐ!U189,NĐ!AA189,NĐ!AG189,NĐ!AM189))=7)*(CHOOSE({1,2,3,4},NĐ!X189,NĐ!AD189,NĐ!AJ189,NĐ!AP189)))</f>
        <v>0</v>
      </c>
      <c r="H189">
        <f>SUMPRODUCT((MONTH(CHOOSE({1,2,3,4},NĐ!U189,NĐ!AA189,NĐ!AG189,NĐ!AM189))=8)*(CHOOSE({1,2,3,4},NĐ!X189,NĐ!AD189,NĐ!AJ189,NĐ!AP189)))</f>
        <v>0</v>
      </c>
      <c r="I189">
        <f>SUMPRODUCT((MONTH(CHOOSE({1,2,3,4},NĐ!U189,NĐ!AA189,NĐ!AG189,NĐ!AM189))=9)*(CHOOSE({1,2,3,4},NĐ!X189,NĐ!AD189,NĐ!AJ189,NĐ!AP189)))</f>
        <v>0</v>
      </c>
      <c r="J189">
        <f>SUMPRODUCT((MONTH(CHOOSE({1,2,3,4},NĐ!U189,NĐ!AA189,NĐ!AG189,NĐ!AM189))=10)*(CHOOSE({1,2,3,4},NĐ!X189,NĐ!AD189,NĐ!AJ189,NĐ!AP189)))</f>
        <v>0</v>
      </c>
      <c r="K189">
        <f>SUMPRODUCT((MONTH(CHOOSE({1,2,3,4},NĐ!U189,NĐ!AA189,NĐ!AG189,NĐ!AM189))=11)*(CHOOSE({1,2,3,4},NĐ!X189,NĐ!AD189,NĐ!AJ189,NĐ!AP189)))</f>
        <v>0</v>
      </c>
      <c r="L189">
        <f>SUMPRODUCT((MONTH(CHOOSE({1,2,3,4},NĐ!U189,NĐ!AA189,NĐ!AG189,NĐ!AM189))=12)*(CHOOSE({1,2,3,4},NĐ!X189,NĐ!AD189,NĐ!AJ189,NĐ!AP189)))</f>
        <v>0</v>
      </c>
    </row>
    <row r="190" spans="1:12">
      <c r="A190">
        <f>SUMPRODUCT((MONTH(CHOOSE({1,2,3,4},NĐ!U190,NĐ!AA190,NĐ!AG190,NĐ!AM190))=1)*(CHOOSE({1,2,3,4},NĐ!X190,NĐ!AD190,NĐ!AJ190,NĐ!AP190)))</f>
        <v>0</v>
      </c>
      <c r="B190">
        <f>SUMPRODUCT((MONTH(CHOOSE({1,2,3,4},NĐ!U190,NĐ!AA190,NĐ!AG190,NĐ!AM190))=2)*(CHOOSE({1,2,3,4},NĐ!X190,NĐ!AD190,NĐ!AJ190,NĐ!AP190)))</f>
        <v>0</v>
      </c>
      <c r="C190">
        <f>SUMPRODUCT((MONTH(CHOOSE({1,2,3,4},NĐ!U190,NĐ!AA190,NĐ!AG190,NĐ!AM190))=3)*(CHOOSE({1,2,3,4},NĐ!X190,NĐ!AD190,NĐ!AJ190,NĐ!AP190)))</f>
        <v>0</v>
      </c>
      <c r="D190">
        <f>SUMPRODUCT((MONTH(CHOOSE({1,2,3,4},NĐ!U190,NĐ!AA190,NĐ!AG190,NĐ!AM190))=4)*(CHOOSE({1,2,3,4},NĐ!X190,NĐ!AD190,NĐ!AJ190,NĐ!AP190)))</f>
        <v>0</v>
      </c>
      <c r="E190">
        <f>SUMPRODUCT((MONTH(CHOOSE({1,2,3,4},NĐ!U190,NĐ!AA190,NĐ!AG190,NĐ!AM190))=5)*(CHOOSE({1,2,3,4},NĐ!X190,NĐ!AD190,NĐ!AJ190,NĐ!AP190)))</f>
        <v>0</v>
      </c>
      <c r="F190">
        <f>SUMPRODUCT((MONTH(CHOOSE({1,2,3,4},NĐ!U190,NĐ!AA190,NĐ!AG190,NĐ!AM190))=6)*(CHOOSE({1,2,3,4},NĐ!X190,NĐ!AD190,NĐ!AJ190,NĐ!AP190)))</f>
        <v>0</v>
      </c>
      <c r="G190">
        <f>SUMPRODUCT((MONTH(CHOOSE({1,2,3,4},NĐ!U190,NĐ!AA190,NĐ!AG190,NĐ!AM190))=7)*(CHOOSE({1,2,3,4},NĐ!X190,NĐ!AD190,NĐ!AJ190,NĐ!AP190)))</f>
        <v>0</v>
      </c>
      <c r="H190">
        <f>SUMPRODUCT((MONTH(CHOOSE({1,2,3,4},NĐ!U190,NĐ!AA190,NĐ!AG190,NĐ!AM190))=8)*(CHOOSE({1,2,3,4},NĐ!X190,NĐ!AD190,NĐ!AJ190,NĐ!AP190)))</f>
        <v>0</v>
      </c>
      <c r="I190">
        <f>SUMPRODUCT((MONTH(CHOOSE({1,2,3,4},NĐ!U190,NĐ!AA190,NĐ!AG190,NĐ!AM190))=9)*(CHOOSE({1,2,3,4},NĐ!X190,NĐ!AD190,NĐ!AJ190,NĐ!AP190)))</f>
        <v>0</v>
      </c>
      <c r="J190">
        <f>SUMPRODUCT((MONTH(CHOOSE({1,2,3,4},NĐ!U190,NĐ!AA190,NĐ!AG190,NĐ!AM190))=10)*(CHOOSE({1,2,3,4},NĐ!X190,NĐ!AD190,NĐ!AJ190,NĐ!AP190)))</f>
        <v>0</v>
      </c>
      <c r="K190">
        <f>SUMPRODUCT((MONTH(CHOOSE({1,2,3,4},NĐ!U190,NĐ!AA190,NĐ!AG190,NĐ!AM190))=11)*(CHOOSE({1,2,3,4},NĐ!X190,NĐ!AD190,NĐ!AJ190,NĐ!AP190)))</f>
        <v>0</v>
      </c>
      <c r="L190">
        <f>SUMPRODUCT((MONTH(CHOOSE({1,2,3,4},NĐ!U190,NĐ!AA190,NĐ!AG190,NĐ!AM190))=12)*(CHOOSE({1,2,3,4},NĐ!X190,NĐ!AD190,NĐ!AJ190,NĐ!AP190)))</f>
        <v>0</v>
      </c>
    </row>
    <row r="191" spans="1:12">
      <c r="A191">
        <f>SUMPRODUCT((MONTH(CHOOSE({1,2,3,4},NĐ!U191,NĐ!AA191,NĐ!AG191,NĐ!AM191))=1)*(CHOOSE({1,2,3,4},NĐ!X191,NĐ!AD191,NĐ!AJ191,NĐ!AP191)))</f>
        <v>0</v>
      </c>
      <c r="B191">
        <f>SUMPRODUCT((MONTH(CHOOSE({1,2,3,4},NĐ!U191,NĐ!AA191,NĐ!AG191,NĐ!AM191))=2)*(CHOOSE({1,2,3,4},NĐ!X191,NĐ!AD191,NĐ!AJ191,NĐ!AP191)))</f>
        <v>0</v>
      </c>
      <c r="C191">
        <f>SUMPRODUCT((MONTH(CHOOSE({1,2,3,4},NĐ!U191,NĐ!AA191,NĐ!AG191,NĐ!AM191))=3)*(CHOOSE({1,2,3,4},NĐ!X191,NĐ!AD191,NĐ!AJ191,NĐ!AP191)))</f>
        <v>0</v>
      </c>
      <c r="D191">
        <f>SUMPRODUCT((MONTH(CHOOSE({1,2,3,4},NĐ!U191,NĐ!AA191,NĐ!AG191,NĐ!AM191))=4)*(CHOOSE({1,2,3,4},NĐ!X191,NĐ!AD191,NĐ!AJ191,NĐ!AP191)))</f>
        <v>0</v>
      </c>
      <c r="E191">
        <f>SUMPRODUCT((MONTH(CHOOSE({1,2,3,4},NĐ!U191,NĐ!AA191,NĐ!AG191,NĐ!AM191))=5)*(CHOOSE({1,2,3,4},NĐ!X191,NĐ!AD191,NĐ!AJ191,NĐ!AP191)))</f>
        <v>0</v>
      </c>
      <c r="F191">
        <f>SUMPRODUCT((MONTH(CHOOSE({1,2,3,4},NĐ!U191,NĐ!AA191,NĐ!AG191,NĐ!AM191))=6)*(CHOOSE({1,2,3,4},NĐ!X191,NĐ!AD191,NĐ!AJ191,NĐ!AP191)))</f>
        <v>0</v>
      </c>
      <c r="G191">
        <f>SUMPRODUCT((MONTH(CHOOSE({1,2,3,4},NĐ!U191,NĐ!AA191,NĐ!AG191,NĐ!AM191))=7)*(CHOOSE({1,2,3,4},NĐ!X191,NĐ!AD191,NĐ!AJ191,NĐ!AP191)))</f>
        <v>0</v>
      </c>
      <c r="H191">
        <f>SUMPRODUCT((MONTH(CHOOSE({1,2,3,4},NĐ!U191,NĐ!AA191,NĐ!AG191,NĐ!AM191))=8)*(CHOOSE({1,2,3,4},NĐ!X191,NĐ!AD191,NĐ!AJ191,NĐ!AP191)))</f>
        <v>0</v>
      </c>
      <c r="I191">
        <f>SUMPRODUCT((MONTH(CHOOSE({1,2,3,4},NĐ!U191,NĐ!AA191,NĐ!AG191,NĐ!AM191))=9)*(CHOOSE({1,2,3,4},NĐ!X191,NĐ!AD191,NĐ!AJ191,NĐ!AP191)))</f>
        <v>0</v>
      </c>
      <c r="J191">
        <f>SUMPRODUCT((MONTH(CHOOSE({1,2,3,4},NĐ!U191,NĐ!AA191,NĐ!AG191,NĐ!AM191))=10)*(CHOOSE({1,2,3,4},NĐ!X191,NĐ!AD191,NĐ!AJ191,NĐ!AP191)))</f>
        <v>0</v>
      </c>
      <c r="K191">
        <f>SUMPRODUCT((MONTH(CHOOSE({1,2,3,4},NĐ!U191,NĐ!AA191,NĐ!AG191,NĐ!AM191))=11)*(CHOOSE({1,2,3,4},NĐ!X191,NĐ!AD191,NĐ!AJ191,NĐ!AP191)))</f>
        <v>0</v>
      </c>
      <c r="L191">
        <f>SUMPRODUCT((MONTH(CHOOSE({1,2,3,4},NĐ!U191,NĐ!AA191,NĐ!AG191,NĐ!AM191))=12)*(CHOOSE({1,2,3,4},NĐ!X191,NĐ!AD191,NĐ!AJ191,NĐ!AP191)))</f>
        <v>0</v>
      </c>
    </row>
    <row r="192" spans="1:12">
      <c r="A192">
        <f>SUMPRODUCT((MONTH(CHOOSE({1,2,3,4},NĐ!U192,NĐ!AA192,NĐ!AG192,NĐ!AM192))=1)*(CHOOSE({1,2,3,4},NĐ!X192,NĐ!AD192,NĐ!AJ192,NĐ!AP192)))</f>
        <v>0</v>
      </c>
      <c r="B192">
        <f>SUMPRODUCT((MONTH(CHOOSE({1,2,3,4},NĐ!U192,NĐ!AA192,NĐ!AG192,NĐ!AM192))=2)*(CHOOSE({1,2,3,4},NĐ!X192,NĐ!AD192,NĐ!AJ192,NĐ!AP192)))</f>
        <v>0</v>
      </c>
      <c r="C192">
        <f>SUMPRODUCT((MONTH(CHOOSE({1,2,3,4},NĐ!U192,NĐ!AA192,NĐ!AG192,NĐ!AM192))=3)*(CHOOSE({1,2,3,4},NĐ!X192,NĐ!AD192,NĐ!AJ192,NĐ!AP192)))</f>
        <v>0</v>
      </c>
      <c r="D192">
        <f>SUMPRODUCT((MONTH(CHOOSE({1,2,3,4},NĐ!U192,NĐ!AA192,NĐ!AG192,NĐ!AM192))=4)*(CHOOSE({1,2,3,4},NĐ!X192,NĐ!AD192,NĐ!AJ192,NĐ!AP192)))</f>
        <v>0</v>
      </c>
      <c r="E192">
        <f>SUMPRODUCT((MONTH(CHOOSE({1,2,3,4},NĐ!U192,NĐ!AA192,NĐ!AG192,NĐ!AM192))=5)*(CHOOSE({1,2,3,4},NĐ!X192,NĐ!AD192,NĐ!AJ192,NĐ!AP192)))</f>
        <v>0</v>
      </c>
      <c r="F192">
        <f>SUMPRODUCT((MONTH(CHOOSE({1,2,3,4},NĐ!U192,NĐ!AA192,NĐ!AG192,NĐ!AM192))=6)*(CHOOSE({1,2,3,4},NĐ!X192,NĐ!AD192,NĐ!AJ192,NĐ!AP192)))</f>
        <v>0</v>
      </c>
      <c r="G192">
        <f>SUMPRODUCT((MONTH(CHOOSE({1,2,3,4},NĐ!U192,NĐ!AA192,NĐ!AG192,NĐ!AM192))=7)*(CHOOSE({1,2,3,4},NĐ!X192,NĐ!AD192,NĐ!AJ192,NĐ!AP192)))</f>
        <v>0</v>
      </c>
      <c r="H192">
        <f>SUMPRODUCT((MONTH(CHOOSE({1,2,3,4},NĐ!U192,NĐ!AA192,NĐ!AG192,NĐ!AM192))=8)*(CHOOSE({1,2,3,4},NĐ!X192,NĐ!AD192,NĐ!AJ192,NĐ!AP192)))</f>
        <v>0</v>
      </c>
      <c r="I192">
        <f>SUMPRODUCT((MONTH(CHOOSE({1,2,3,4},NĐ!U192,NĐ!AA192,NĐ!AG192,NĐ!AM192))=9)*(CHOOSE({1,2,3,4},NĐ!X192,NĐ!AD192,NĐ!AJ192,NĐ!AP192)))</f>
        <v>0</v>
      </c>
      <c r="J192">
        <f>SUMPRODUCT((MONTH(CHOOSE({1,2,3,4},NĐ!U192,NĐ!AA192,NĐ!AG192,NĐ!AM192))=10)*(CHOOSE({1,2,3,4},NĐ!X192,NĐ!AD192,NĐ!AJ192,NĐ!AP192)))</f>
        <v>0</v>
      </c>
      <c r="K192">
        <f>SUMPRODUCT((MONTH(CHOOSE({1,2,3,4},NĐ!U192,NĐ!AA192,NĐ!AG192,NĐ!AM192))=11)*(CHOOSE({1,2,3,4},NĐ!X192,NĐ!AD192,NĐ!AJ192,NĐ!AP192)))</f>
        <v>0</v>
      </c>
      <c r="L192">
        <f>SUMPRODUCT((MONTH(CHOOSE({1,2,3,4},NĐ!U192,NĐ!AA192,NĐ!AG192,NĐ!AM192))=12)*(CHOOSE({1,2,3,4},NĐ!X192,NĐ!AD192,NĐ!AJ192,NĐ!AP192)))</f>
        <v>0</v>
      </c>
    </row>
    <row r="193" spans="1:12">
      <c r="A193">
        <f>SUMPRODUCT((MONTH(CHOOSE({1,2,3,4},NĐ!U193,NĐ!AA193,NĐ!AG193,NĐ!AM193))=1)*(CHOOSE({1,2,3,4},NĐ!X193,NĐ!AD193,NĐ!AJ193,NĐ!AP193)))</f>
        <v>0</v>
      </c>
      <c r="B193">
        <f>SUMPRODUCT((MONTH(CHOOSE({1,2,3,4},NĐ!U193,NĐ!AA193,NĐ!AG193,NĐ!AM193))=2)*(CHOOSE({1,2,3,4},NĐ!X193,NĐ!AD193,NĐ!AJ193,NĐ!AP193)))</f>
        <v>0</v>
      </c>
      <c r="C193">
        <f>SUMPRODUCT((MONTH(CHOOSE({1,2,3,4},NĐ!U193,NĐ!AA193,NĐ!AG193,NĐ!AM193))=3)*(CHOOSE({1,2,3,4},NĐ!X193,NĐ!AD193,NĐ!AJ193,NĐ!AP193)))</f>
        <v>0</v>
      </c>
      <c r="D193">
        <f>SUMPRODUCT((MONTH(CHOOSE({1,2,3,4},NĐ!U193,NĐ!AA193,NĐ!AG193,NĐ!AM193))=4)*(CHOOSE({1,2,3,4},NĐ!X193,NĐ!AD193,NĐ!AJ193,NĐ!AP193)))</f>
        <v>0</v>
      </c>
      <c r="E193">
        <f>SUMPRODUCT((MONTH(CHOOSE({1,2,3,4},NĐ!U193,NĐ!AA193,NĐ!AG193,NĐ!AM193))=5)*(CHOOSE({1,2,3,4},NĐ!X193,NĐ!AD193,NĐ!AJ193,NĐ!AP193)))</f>
        <v>0</v>
      </c>
      <c r="F193">
        <f>SUMPRODUCT((MONTH(CHOOSE({1,2,3,4},NĐ!U193,NĐ!AA193,NĐ!AG193,NĐ!AM193))=6)*(CHOOSE({1,2,3,4},NĐ!X193,NĐ!AD193,NĐ!AJ193,NĐ!AP193)))</f>
        <v>0</v>
      </c>
      <c r="G193">
        <f>SUMPRODUCT((MONTH(CHOOSE({1,2,3,4},NĐ!U193,NĐ!AA193,NĐ!AG193,NĐ!AM193))=7)*(CHOOSE({1,2,3,4},NĐ!X193,NĐ!AD193,NĐ!AJ193,NĐ!AP193)))</f>
        <v>0</v>
      </c>
      <c r="H193">
        <f>SUMPRODUCT((MONTH(CHOOSE({1,2,3,4},NĐ!U193,NĐ!AA193,NĐ!AG193,NĐ!AM193))=8)*(CHOOSE({1,2,3,4},NĐ!X193,NĐ!AD193,NĐ!AJ193,NĐ!AP193)))</f>
        <v>0</v>
      </c>
      <c r="I193">
        <f>SUMPRODUCT((MONTH(CHOOSE({1,2,3,4},NĐ!U193,NĐ!AA193,NĐ!AG193,NĐ!AM193))=9)*(CHOOSE({1,2,3,4},NĐ!X193,NĐ!AD193,NĐ!AJ193,NĐ!AP193)))</f>
        <v>0</v>
      </c>
      <c r="J193">
        <f>SUMPRODUCT((MONTH(CHOOSE({1,2,3,4},NĐ!U193,NĐ!AA193,NĐ!AG193,NĐ!AM193))=10)*(CHOOSE({1,2,3,4},NĐ!X193,NĐ!AD193,NĐ!AJ193,NĐ!AP193)))</f>
        <v>0</v>
      </c>
      <c r="K193">
        <f>SUMPRODUCT((MONTH(CHOOSE({1,2,3,4},NĐ!U193,NĐ!AA193,NĐ!AG193,NĐ!AM193))=11)*(CHOOSE({1,2,3,4},NĐ!X193,NĐ!AD193,NĐ!AJ193,NĐ!AP193)))</f>
        <v>0</v>
      </c>
      <c r="L193">
        <f>SUMPRODUCT((MONTH(CHOOSE({1,2,3,4},NĐ!U193,NĐ!AA193,NĐ!AG193,NĐ!AM193))=12)*(CHOOSE({1,2,3,4},NĐ!X193,NĐ!AD193,NĐ!AJ193,NĐ!AP193)))</f>
        <v>0</v>
      </c>
    </row>
    <row r="194" spans="1:12">
      <c r="A194">
        <f>SUMPRODUCT((MONTH(CHOOSE({1,2,3,4},NĐ!U194,NĐ!AA194,NĐ!AG194,NĐ!AM194))=1)*(CHOOSE({1,2,3,4},NĐ!X194,NĐ!AD194,NĐ!AJ194,NĐ!AP194)))</f>
        <v>0</v>
      </c>
      <c r="B194">
        <f>SUMPRODUCT((MONTH(CHOOSE({1,2,3,4},NĐ!U194,NĐ!AA194,NĐ!AG194,NĐ!AM194))=2)*(CHOOSE({1,2,3,4},NĐ!X194,NĐ!AD194,NĐ!AJ194,NĐ!AP194)))</f>
        <v>0</v>
      </c>
      <c r="C194">
        <f>SUMPRODUCT((MONTH(CHOOSE({1,2,3,4},NĐ!U194,NĐ!AA194,NĐ!AG194,NĐ!AM194))=3)*(CHOOSE({1,2,3,4},NĐ!X194,NĐ!AD194,NĐ!AJ194,NĐ!AP194)))</f>
        <v>0</v>
      </c>
      <c r="D194">
        <f>SUMPRODUCT((MONTH(CHOOSE({1,2,3,4},NĐ!U194,NĐ!AA194,NĐ!AG194,NĐ!AM194))=4)*(CHOOSE({1,2,3,4},NĐ!X194,NĐ!AD194,NĐ!AJ194,NĐ!AP194)))</f>
        <v>0</v>
      </c>
      <c r="E194">
        <f>SUMPRODUCT((MONTH(CHOOSE({1,2,3,4},NĐ!U194,NĐ!AA194,NĐ!AG194,NĐ!AM194))=5)*(CHOOSE({1,2,3,4},NĐ!X194,NĐ!AD194,NĐ!AJ194,NĐ!AP194)))</f>
        <v>0</v>
      </c>
      <c r="F194">
        <f>SUMPRODUCT((MONTH(CHOOSE({1,2,3,4},NĐ!U194,NĐ!AA194,NĐ!AG194,NĐ!AM194))=6)*(CHOOSE({1,2,3,4},NĐ!X194,NĐ!AD194,NĐ!AJ194,NĐ!AP194)))</f>
        <v>0</v>
      </c>
      <c r="G194">
        <f>SUMPRODUCT((MONTH(CHOOSE({1,2,3,4},NĐ!U194,NĐ!AA194,NĐ!AG194,NĐ!AM194))=7)*(CHOOSE({1,2,3,4},NĐ!X194,NĐ!AD194,NĐ!AJ194,NĐ!AP194)))</f>
        <v>0</v>
      </c>
      <c r="H194">
        <f>SUMPRODUCT((MONTH(CHOOSE({1,2,3,4},NĐ!U194,NĐ!AA194,NĐ!AG194,NĐ!AM194))=8)*(CHOOSE({1,2,3,4},NĐ!X194,NĐ!AD194,NĐ!AJ194,NĐ!AP194)))</f>
        <v>0</v>
      </c>
      <c r="I194">
        <f>SUMPRODUCT((MONTH(CHOOSE({1,2,3,4},NĐ!U194,NĐ!AA194,NĐ!AG194,NĐ!AM194))=9)*(CHOOSE({1,2,3,4},NĐ!X194,NĐ!AD194,NĐ!AJ194,NĐ!AP194)))</f>
        <v>0</v>
      </c>
      <c r="J194">
        <f>SUMPRODUCT((MONTH(CHOOSE({1,2,3,4},NĐ!U194,NĐ!AA194,NĐ!AG194,NĐ!AM194))=10)*(CHOOSE({1,2,3,4},NĐ!X194,NĐ!AD194,NĐ!AJ194,NĐ!AP194)))</f>
        <v>0</v>
      </c>
      <c r="K194">
        <f>SUMPRODUCT((MONTH(CHOOSE({1,2,3,4},NĐ!U194,NĐ!AA194,NĐ!AG194,NĐ!AM194))=11)*(CHOOSE({1,2,3,4},NĐ!X194,NĐ!AD194,NĐ!AJ194,NĐ!AP194)))</f>
        <v>0</v>
      </c>
      <c r="L194">
        <f>SUMPRODUCT((MONTH(CHOOSE({1,2,3,4},NĐ!U194,NĐ!AA194,NĐ!AG194,NĐ!AM194))=12)*(CHOOSE({1,2,3,4},NĐ!X194,NĐ!AD194,NĐ!AJ194,NĐ!AP194)))</f>
        <v>0</v>
      </c>
    </row>
    <row r="195" spans="1:12">
      <c r="A195">
        <f>SUMPRODUCT((MONTH(CHOOSE({1,2,3,4},NĐ!U195,NĐ!AA195,NĐ!AG195,NĐ!AM195))=1)*(CHOOSE({1,2,3,4},NĐ!X195,NĐ!AD195,NĐ!AJ195,NĐ!AP195)))</f>
        <v>0</v>
      </c>
      <c r="B195">
        <f>SUMPRODUCT((MONTH(CHOOSE({1,2,3,4},NĐ!U195,NĐ!AA195,NĐ!AG195,NĐ!AM195))=2)*(CHOOSE({1,2,3,4},NĐ!X195,NĐ!AD195,NĐ!AJ195,NĐ!AP195)))</f>
        <v>0</v>
      </c>
      <c r="C195">
        <f>SUMPRODUCT((MONTH(CHOOSE({1,2,3,4},NĐ!U195,NĐ!AA195,NĐ!AG195,NĐ!AM195))=3)*(CHOOSE({1,2,3,4},NĐ!X195,NĐ!AD195,NĐ!AJ195,NĐ!AP195)))</f>
        <v>0</v>
      </c>
      <c r="D195">
        <f>SUMPRODUCT((MONTH(CHOOSE({1,2,3,4},NĐ!U195,NĐ!AA195,NĐ!AG195,NĐ!AM195))=4)*(CHOOSE({1,2,3,4},NĐ!X195,NĐ!AD195,NĐ!AJ195,NĐ!AP195)))</f>
        <v>0</v>
      </c>
      <c r="E195">
        <f>SUMPRODUCT((MONTH(CHOOSE({1,2,3,4},NĐ!U195,NĐ!AA195,NĐ!AG195,NĐ!AM195))=5)*(CHOOSE({1,2,3,4},NĐ!X195,NĐ!AD195,NĐ!AJ195,NĐ!AP195)))</f>
        <v>0</v>
      </c>
      <c r="F195">
        <f>SUMPRODUCT((MONTH(CHOOSE({1,2,3,4},NĐ!U195,NĐ!AA195,NĐ!AG195,NĐ!AM195))=6)*(CHOOSE({1,2,3,4},NĐ!X195,NĐ!AD195,NĐ!AJ195,NĐ!AP195)))</f>
        <v>0</v>
      </c>
      <c r="G195">
        <f>SUMPRODUCT((MONTH(CHOOSE({1,2,3,4},NĐ!U195,NĐ!AA195,NĐ!AG195,NĐ!AM195))=7)*(CHOOSE({1,2,3,4},NĐ!X195,NĐ!AD195,NĐ!AJ195,NĐ!AP195)))</f>
        <v>0</v>
      </c>
      <c r="H195">
        <f>SUMPRODUCT((MONTH(CHOOSE({1,2,3,4},NĐ!U195,NĐ!AA195,NĐ!AG195,NĐ!AM195))=8)*(CHOOSE({1,2,3,4},NĐ!X195,NĐ!AD195,NĐ!AJ195,NĐ!AP195)))</f>
        <v>0</v>
      </c>
      <c r="I195">
        <f>SUMPRODUCT((MONTH(CHOOSE({1,2,3,4},NĐ!U195,NĐ!AA195,NĐ!AG195,NĐ!AM195))=9)*(CHOOSE({1,2,3,4},NĐ!X195,NĐ!AD195,NĐ!AJ195,NĐ!AP195)))</f>
        <v>0</v>
      </c>
      <c r="J195">
        <f>SUMPRODUCT((MONTH(CHOOSE({1,2,3,4},NĐ!U195,NĐ!AA195,NĐ!AG195,NĐ!AM195))=10)*(CHOOSE({1,2,3,4},NĐ!X195,NĐ!AD195,NĐ!AJ195,NĐ!AP195)))</f>
        <v>0</v>
      </c>
      <c r="K195">
        <f>SUMPRODUCT((MONTH(CHOOSE({1,2,3,4},NĐ!U195,NĐ!AA195,NĐ!AG195,NĐ!AM195))=11)*(CHOOSE({1,2,3,4},NĐ!X195,NĐ!AD195,NĐ!AJ195,NĐ!AP195)))</f>
        <v>0</v>
      </c>
      <c r="L195">
        <f>SUMPRODUCT((MONTH(CHOOSE({1,2,3,4},NĐ!U195,NĐ!AA195,NĐ!AG195,NĐ!AM195))=12)*(CHOOSE({1,2,3,4},NĐ!X195,NĐ!AD195,NĐ!AJ195,NĐ!AP195)))</f>
        <v>0</v>
      </c>
    </row>
    <row r="196" spans="1:12">
      <c r="A196">
        <f>SUMPRODUCT((MONTH(CHOOSE({1,2,3,4},NĐ!U196,NĐ!AA196,NĐ!AG196,NĐ!AM196))=1)*(CHOOSE({1,2,3,4},NĐ!X196,NĐ!AD196,NĐ!AJ196,NĐ!AP196)))</f>
        <v>0</v>
      </c>
      <c r="B196">
        <f>SUMPRODUCT((MONTH(CHOOSE({1,2,3,4},NĐ!U196,NĐ!AA196,NĐ!AG196,NĐ!AM196))=2)*(CHOOSE({1,2,3,4},NĐ!X196,NĐ!AD196,NĐ!AJ196,NĐ!AP196)))</f>
        <v>0</v>
      </c>
      <c r="C196">
        <f>SUMPRODUCT((MONTH(CHOOSE({1,2,3,4},NĐ!U196,NĐ!AA196,NĐ!AG196,NĐ!AM196))=3)*(CHOOSE({1,2,3,4},NĐ!X196,NĐ!AD196,NĐ!AJ196,NĐ!AP196)))</f>
        <v>0</v>
      </c>
      <c r="D196">
        <f>SUMPRODUCT((MONTH(CHOOSE({1,2,3,4},NĐ!U196,NĐ!AA196,NĐ!AG196,NĐ!AM196))=4)*(CHOOSE({1,2,3,4},NĐ!X196,NĐ!AD196,NĐ!AJ196,NĐ!AP196)))</f>
        <v>0</v>
      </c>
      <c r="E196">
        <f>SUMPRODUCT((MONTH(CHOOSE({1,2,3,4},NĐ!U196,NĐ!AA196,NĐ!AG196,NĐ!AM196))=5)*(CHOOSE({1,2,3,4},NĐ!X196,NĐ!AD196,NĐ!AJ196,NĐ!AP196)))</f>
        <v>0</v>
      </c>
      <c r="F196">
        <f>SUMPRODUCT((MONTH(CHOOSE({1,2,3,4},NĐ!U196,NĐ!AA196,NĐ!AG196,NĐ!AM196))=6)*(CHOOSE({1,2,3,4},NĐ!X196,NĐ!AD196,NĐ!AJ196,NĐ!AP196)))</f>
        <v>0</v>
      </c>
      <c r="G196">
        <f>SUMPRODUCT((MONTH(CHOOSE({1,2,3,4},NĐ!U196,NĐ!AA196,NĐ!AG196,NĐ!AM196))=7)*(CHOOSE({1,2,3,4},NĐ!X196,NĐ!AD196,NĐ!AJ196,NĐ!AP196)))</f>
        <v>0</v>
      </c>
      <c r="H196">
        <f>SUMPRODUCT((MONTH(CHOOSE({1,2,3,4},NĐ!U196,NĐ!AA196,NĐ!AG196,NĐ!AM196))=8)*(CHOOSE({1,2,3,4},NĐ!X196,NĐ!AD196,NĐ!AJ196,NĐ!AP196)))</f>
        <v>0</v>
      </c>
      <c r="I196">
        <f>SUMPRODUCT((MONTH(CHOOSE({1,2,3,4},NĐ!U196,NĐ!AA196,NĐ!AG196,NĐ!AM196))=9)*(CHOOSE({1,2,3,4},NĐ!X196,NĐ!AD196,NĐ!AJ196,NĐ!AP196)))</f>
        <v>0</v>
      </c>
      <c r="J196">
        <f>SUMPRODUCT((MONTH(CHOOSE({1,2,3,4},NĐ!U196,NĐ!AA196,NĐ!AG196,NĐ!AM196))=10)*(CHOOSE({1,2,3,4},NĐ!X196,NĐ!AD196,NĐ!AJ196,NĐ!AP196)))</f>
        <v>0</v>
      </c>
      <c r="K196">
        <f>SUMPRODUCT((MONTH(CHOOSE({1,2,3,4},NĐ!U196,NĐ!AA196,NĐ!AG196,NĐ!AM196))=11)*(CHOOSE({1,2,3,4},NĐ!X196,NĐ!AD196,NĐ!AJ196,NĐ!AP196)))</f>
        <v>0</v>
      </c>
      <c r="L196">
        <f>SUMPRODUCT((MONTH(CHOOSE({1,2,3,4},NĐ!U196,NĐ!AA196,NĐ!AG196,NĐ!AM196))=12)*(CHOOSE({1,2,3,4},NĐ!X196,NĐ!AD196,NĐ!AJ196,NĐ!AP196)))</f>
        <v>0</v>
      </c>
    </row>
    <row r="197" spans="1:12">
      <c r="A197">
        <f>SUMPRODUCT((MONTH(CHOOSE({1,2,3,4},NĐ!U197,NĐ!AA197,NĐ!AG197,NĐ!AM197))=1)*(CHOOSE({1,2,3,4},NĐ!X197,NĐ!AD197,NĐ!AJ197,NĐ!AP197)))</f>
        <v>0</v>
      </c>
      <c r="B197">
        <f>SUMPRODUCT((MONTH(CHOOSE({1,2,3,4},NĐ!U197,NĐ!AA197,NĐ!AG197,NĐ!AM197))=2)*(CHOOSE({1,2,3,4},NĐ!X197,NĐ!AD197,NĐ!AJ197,NĐ!AP197)))</f>
        <v>0</v>
      </c>
      <c r="C197">
        <f>SUMPRODUCT((MONTH(CHOOSE({1,2,3,4},NĐ!U197,NĐ!AA197,NĐ!AG197,NĐ!AM197))=3)*(CHOOSE({1,2,3,4},NĐ!X197,NĐ!AD197,NĐ!AJ197,NĐ!AP197)))</f>
        <v>0</v>
      </c>
      <c r="D197">
        <f>SUMPRODUCT((MONTH(CHOOSE({1,2,3,4},NĐ!U197,NĐ!AA197,NĐ!AG197,NĐ!AM197))=4)*(CHOOSE({1,2,3,4},NĐ!X197,NĐ!AD197,NĐ!AJ197,NĐ!AP197)))</f>
        <v>0</v>
      </c>
      <c r="E197">
        <f>SUMPRODUCT((MONTH(CHOOSE({1,2,3,4},NĐ!U197,NĐ!AA197,NĐ!AG197,NĐ!AM197))=5)*(CHOOSE({1,2,3,4},NĐ!X197,NĐ!AD197,NĐ!AJ197,NĐ!AP197)))</f>
        <v>0</v>
      </c>
      <c r="F197">
        <f>SUMPRODUCT((MONTH(CHOOSE({1,2,3,4},NĐ!U197,NĐ!AA197,NĐ!AG197,NĐ!AM197))=6)*(CHOOSE({1,2,3,4},NĐ!X197,NĐ!AD197,NĐ!AJ197,NĐ!AP197)))</f>
        <v>0</v>
      </c>
      <c r="G197">
        <f>SUMPRODUCT((MONTH(CHOOSE({1,2,3,4},NĐ!U197,NĐ!AA197,NĐ!AG197,NĐ!AM197))=7)*(CHOOSE({1,2,3,4},NĐ!X197,NĐ!AD197,NĐ!AJ197,NĐ!AP197)))</f>
        <v>0</v>
      </c>
      <c r="H197">
        <f>SUMPRODUCT((MONTH(CHOOSE({1,2,3,4},NĐ!U197,NĐ!AA197,NĐ!AG197,NĐ!AM197))=8)*(CHOOSE({1,2,3,4},NĐ!X197,NĐ!AD197,NĐ!AJ197,NĐ!AP197)))</f>
        <v>0</v>
      </c>
      <c r="I197">
        <f>SUMPRODUCT((MONTH(CHOOSE({1,2,3,4},NĐ!U197,NĐ!AA197,NĐ!AG197,NĐ!AM197))=9)*(CHOOSE({1,2,3,4},NĐ!X197,NĐ!AD197,NĐ!AJ197,NĐ!AP197)))</f>
        <v>0</v>
      </c>
      <c r="J197">
        <f>SUMPRODUCT((MONTH(CHOOSE({1,2,3,4},NĐ!U197,NĐ!AA197,NĐ!AG197,NĐ!AM197))=10)*(CHOOSE({1,2,3,4},NĐ!X197,NĐ!AD197,NĐ!AJ197,NĐ!AP197)))</f>
        <v>0</v>
      </c>
      <c r="K197">
        <f>SUMPRODUCT((MONTH(CHOOSE({1,2,3,4},NĐ!U197,NĐ!AA197,NĐ!AG197,NĐ!AM197))=11)*(CHOOSE({1,2,3,4},NĐ!X197,NĐ!AD197,NĐ!AJ197,NĐ!AP197)))</f>
        <v>0</v>
      </c>
      <c r="L197">
        <f>SUMPRODUCT((MONTH(CHOOSE({1,2,3,4},NĐ!U197,NĐ!AA197,NĐ!AG197,NĐ!AM197))=12)*(CHOOSE({1,2,3,4},NĐ!X197,NĐ!AD197,NĐ!AJ197,NĐ!AP197)))</f>
        <v>0</v>
      </c>
    </row>
    <row r="198" spans="1:12">
      <c r="A198">
        <f>SUMPRODUCT((MONTH(CHOOSE({1,2,3,4},NĐ!U198,NĐ!AA198,NĐ!AG198,NĐ!AM198))=1)*(CHOOSE({1,2,3,4},NĐ!X198,NĐ!AD198,NĐ!AJ198,NĐ!AP198)))</f>
        <v>0</v>
      </c>
      <c r="B198">
        <f>SUMPRODUCT((MONTH(CHOOSE({1,2,3,4},NĐ!U198,NĐ!AA198,NĐ!AG198,NĐ!AM198))=2)*(CHOOSE({1,2,3,4},NĐ!X198,NĐ!AD198,NĐ!AJ198,NĐ!AP198)))</f>
        <v>0</v>
      </c>
      <c r="C198">
        <f>SUMPRODUCT((MONTH(CHOOSE({1,2,3,4},NĐ!U198,NĐ!AA198,NĐ!AG198,NĐ!AM198))=3)*(CHOOSE({1,2,3,4},NĐ!X198,NĐ!AD198,NĐ!AJ198,NĐ!AP198)))</f>
        <v>0</v>
      </c>
      <c r="D198">
        <f>SUMPRODUCT((MONTH(CHOOSE({1,2,3,4},NĐ!U198,NĐ!AA198,NĐ!AG198,NĐ!AM198))=4)*(CHOOSE({1,2,3,4},NĐ!X198,NĐ!AD198,NĐ!AJ198,NĐ!AP198)))</f>
        <v>0</v>
      </c>
      <c r="E198">
        <f>SUMPRODUCT((MONTH(CHOOSE({1,2,3,4},NĐ!U198,NĐ!AA198,NĐ!AG198,NĐ!AM198))=5)*(CHOOSE({1,2,3,4},NĐ!X198,NĐ!AD198,NĐ!AJ198,NĐ!AP198)))</f>
        <v>0</v>
      </c>
      <c r="F198">
        <f>SUMPRODUCT((MONTH(CHOOSE({1,2,3,4},NĐ!U198,NĐ!AA198,NĐ!AG198,NĐ!AM198))=6)*(CHOOSE({1,2,3,4},NĐ!X198,NĐ!AD198,NĐ!AJ198,NĐ!AP198)))</f>
        <v>0</v>
      </c>
      <c r="G198">
        <f>SUMPRODUCT((MONTH(CHOOSE({1,2,3,4},NĐ!U198,NĐ!AA198,NĐ!AG198,NĐ!AM198))=7)*(CHOOSE({1,2,3,4},NĐ!X198,NĐ!AD198,NĐ!AJ198,NĐ!AP198)))</f>
        <v>0</v>
      </c>
      <c r="H198">
        <f>SUMPRODUCT((MONTH(CHOOSE({1,2,3,4},NĐ!U198,NĐ!AA198,NĐ!AG198,NĐ!AM198))=8)*(CHOOSE({1,2,3,4},NĐ!X198,NĐ!AD198,NĐ!AJ198,NĐ!AP198)))</f>
        <v>0</v>
      </c>
      <c r="I198">
        <f>SUMPRODUCT((MONTH(CHOOSE({1,2,3,4},NĐ!U198,NĐ!AA198,NĐ!AG198,NĐ!AM198))=9)*(CHOOSE({1,2,3,4},NĐ!X198,NĐ!AD198,NĐ!AJ198,NĐ!AP198)))</f>
        <v>0</v>
      </c>
      <c r="J198">
        <f>SUMPRODUCT((MONTH(CHOOSE({1,2,3,4},NĐ!U198,NĐ!AA198,NĐ!AG198,NĐ!AM198))=10)*(CHOOSE({1,2,3,4},NĐ!X198,NĐ!AD198,NĐ!AJ198,NĐ!AP198)))</f>
        <v>0</v>
      </c>
      <c r="K198">
        <f>SUMPRODUCT((MONTH(CHOOSE({1,2,3,4},NĐ!U198,NĐ!AA198,NĐ!AG198,NĐ!AM198))=11)*(CHOOSE({1,2,3,4},NĐ!X198,NĐ!AD198,NĐ!AJ198,NĐ!AP198)))</f>
        <v>0</v>
      </c>
      <c r="L198">
        <f>SUMPRODUCT((MONTH(CHOOSE({1,2,3,4},NĐ!U198,NĐ!AA198,NĐ!AG198,NĐ!AM198))=12)*(CHOOSE({1,2,3,4},NĐ!X198,NĐ!AD198,NĐ!AJ198,NĐ!AP198)))</f>
        <v>0</v>
      </c>
    </row>
    <row r="199" spans="1:12">
      <c r="A199">
        <f>SUMPRODUCT((MONTH(CHOOSE({1,2,3,4},NĐ!U199,NĐ!AA199,NĐ!AG199,NĐ!AM199))=1)*(CHOOSE({1,2,3,4},NĐ!X199,NĐ!AD199,NĐ!AJ199,NĐ!AP199)))</f>
        <v>0</v>
      </c>
      <c r="B199">
        <f>SUMPRODUCT((MONTH(CHOOSE({1,2,3,4},NĐ!U199,NĐ!AA199,NĐ!AG199,NĐ!AM199))=2)*(CHOOSE({1,2,3,4},NĐ!X199,NĐ!AD199,NĐ!AJ199,NĐ!AP199)))</f>
        <v>0</v>
      </c>
      <c r="C199">
        <f>SUMPRODUCT((MONTH(CHOOSE({1,2,3,4},NĐ!U199,NĐ!AA199,NĐ!AG199,NĐ!AM199))=3)*(CHOOSE({1,2,3,4},NĐ!X199,NĐ!AD199,NĐ!AJ199,NĐ!AP199)))</f>
        <v>0</v>
      </c>
      <c r="D199">
        <f>SUMPRODUCT((MONTH(CHOOSE({1,2,3,4},NĐ!U199,NĐ!AA199,NĐ!AG199,NĐ!AM199))=4)*(CHOOSE({1,2,3,4},NĐ!X199,NĐ!AD199,NĐ!AJ199,NĐ!AP199)))</f>
        <v>0</v>
      </c>
      <c r="E199">
        <f>SUMPRODUCT((MONTH(CHOOSE({1,2,3,4},NĐ!U199,NĐ!AA199,NĐ!AG199,NĐ!AM199))=5)*(CHOOSE({1,2,3,4},NĐ!X199,NĐ!AD199,NĐ!AJ199,NĐ!AP199)))</f>
        <v>0</v>
      </c>
      <c r="F199">
        <f>SUMPRODUCT((MONTH(CHOOSE({1,2,3,4},NĐ!U199,NĐ!AA199,NĐ!AG199,NĐ!AM199))=6)*(CHOOSE({1,2,3,4},NĐ!X199,NĐ!AD199,NĐ!AJ199,NĐ!AP199)))</f>
        <v>0</v>
      </c>
      <c r="G199">
        <f>SUMPRODUCT((MONTH(CHOOSE({1,2,3,4},NĐ!U199,NĐ!AA199,NĐ!AG199,NĐ!AM199))=7)*(CHOOSE({1,2,3,4},NĐ!X199,NĐ!AD199,NĐ!AJ199,NĐ!AP199)))</f>
        <v>0</v>
      </c>
      <c r="H199">
        <f>SUMPRODUCT((MONTH(CHOOSE({1,2,3,4},NĐ!U199,NĐ!AA199,NĐ!AG199,NĐ!AM199))=8)*(CHOOSE({1,2,3,4},NĐ!X199,NĐ!AD199,NĐ!AJ199,NĐ!AP199)))</f>
        <v>0</v>
      </c>
      <c r="I199">
        <f>SUMPRODUCT((MONTH(CHOOSE({1,2,3,4},NĐ!U199,NĐ!AA199,NĐ!AG199,NĐ!AM199))=9)*(CHOOSE({1,2,3,4},NĐ!X199,NĐ!AD199,NĐ!AJ199,NĐ!AP199)))</f>
        <v>0</v>
      </c>
      <c r="J199">
        <f>SUMPRODUCT((MONTH(CHOOSE({1,2,3,4},NĐ!U199,NĐ!AA199,NĐ!AG199,NĐ!AM199))=10)*(CHOOSE({1,2,3,4},NĐ!X199,NĐ!AD199,NĐ!AJ199,NĐ!AP199)))</f>
        <v>0</v>
      </c>
      <c r="K199">
        <f>SUMPRODUCT((MONTH(CHOOSE({1,2,3,4},NĐ!U199,NĐ!AA199,NĐ!AG199,NĐ!AM199))=11)*(CHOOSE({1,2,3,4},NĐ!X199,NĐ!AD199,NĐ!AJ199,NĐ!AP199)))</f>
        <v>0</v>
      </c>
      <c r="L199">
        <f>SUMPRODUCT((MONTH(CHOOSE({1,2,3,4},NĐ!U199,NĐ!AA199,NĐ!AG199,NĐ!AM199))=12)*(CHOOSE({1,2,3,4},NĐ!X199,NĐ!AD199,NĐ!AJ199,NĐ!AP199)))</f>
        <v>0</v>
      </c>
    </row>
    <row r="200" spans="1:12">
      <c r="A200">
        <f>SUMPRODUCT((MONTH(CHOOSE({1,2,3,4},NĐ!U200,NĐ!AA200,NĐ!AG200,NĐ!AM200))=1)*(CHOOSE({1,2,3,4},NĐ!X200,NĐ!AD200,NĐ!AJ200,NĐ!AP200)))</f>
        <v>0</v>
      </c>
      <c r="B200">
        <f>SUMPRODUCT((MONTH(CHOOSE({1,2,3,4},NĐ!U200,NĐ!AA200,NĐ!AG200,NĐ!AM200))=2)*(CHOOSE({1,2,3,4},NĐ!X200,NĐ!AD200,NĐ!AJ200,NĐ!AP200)))</f>
        <v>0</v>
      </c>
      <c r="C200">
        <f>SUMPRODUCT((MONTH(CHOOSE({1,2,3,4},NĐ!U200,NĐ!AA200,NĐ!AG200,NĐ!AM200))=3)*(CHOOSE({1,2,3,4},NĐ!X200,NĐ!AD200,NĐ!AJ200,NĐ!AP200)))</f>
        <v>0</v>
      </c>
      <c r="D200">
        <f>SUMPRODUCT((MONTH(CHOOSE({1,2,3,4},NĐ!U200,NĐ!AA200,NĐ!AG200,NĐ!AM200))=4)*(CHOOSE({1,2,3,4},NĐ!X200,NĐ!AD200,NĐ!AJ200,NĐ!AP200)))</f>
        <v>0</v>
      </c>
      <c r="E200">
        <f>SUMPRODUCT((MONTH(CHOOSE({1,2,3,4},NĐ!U200,NĐ!AA200,NĐ!AG200,NĐ!AM200))=5)*(CHOOSE({1,2,3,4},NĐ!X200,NĐ!AD200,NĐ!AJ200,NĐ!AP200)))</f>
        <v>0</v>
      </c>
      <c r="F200">
        <f>SUMPRODUCT((MONTH(CHOOSE({1,2,3,4},NĐ!U200,NĐ!AA200,NĐ!AG200,NĐ!AM200))=6)*(CHOOSE({1,2,3,4},NĐ!X200,NĐ!AD200,NĐ!AJ200,NĐ!AP200)))</f>
        <v>0</v>
      </c>
      <c r="G200">
        <f>SUMPRODUCT((MONTH(CHOOSE({1,2,3,4},NĐ!U200,NĐ!AA200,NĐ!AG200,NĐ!AM200))=7)*(CHOOSE({1,2,3,4},NĐ!X200,NĐ!AD200,NĐ!AJ200,NĐ!AP200)))</f>
        <v>0</v>
      </c>
      <c r="H200">
        <f>SUMPRODUCT((MONTH(CHOOSE({1,2,3,4},NĐ!U200,NĐ!AA200,NĐ!AG200,NĐ!AM200))=8)*(CHOOSE({1,2,3,4},NĐ!X200,NĐ!AD200,NĐ!AJ200,NĐ!AP200)))</f>
        <v>0</v>
      </c>
      <c r="I200">
        <f>SUMPRODUCT((MONTH(CHOOSE({1,2,3,4},NĐ!U200,NĐ!AA200,NĐ!AG200,NĐ!AM200))=9)*(CHOOSE({1,2,3,4},NĐ!X200,NĐ!AD200,NĐ!AJ200,NĐ!AP200)))</f>
        <v>0</v>
      </c>
      <c r="J200">
        <f>SUMPRODUCT((MONTH(CHOOSE({1,2,3,4},NĐ!U200,NĐ!AA200,NĐ!AG200,NĐ!AM200))=10)*(CHOOSE({1,2,3,4},NĐ!X200,NĐ!AD200,NĐ!AJ200,NĐ!AP200)))</f>
        <v>0</v>
      </c>
      <c r="K200">
        <f>SUMPRODUCT((MONTH(CHOOSE({1,2,3,4},NĐ!U200,NĐ!AA200,NĐ!AG200,NĐ!AM200))=11)*(CHOOSE({1,2,3,4},NĐ!X200,NĐ!AD200,NĐ!AJ200,NĐ!AP200)))</f>
        <v>0</v>
      </c>
      <c r="L200">
        <f>SUMPRODUCT((MONTH(CHOOSE({1,2,3,4},NĐ!U200,NĐ!AA200,NĐ!AG200,NĐ!AM200))=12)*(CHOOSE({1,2,3,4},NĐ!X200,NĐ!AD200,NĐ!AJ200,NĐ!AP200)))</f>
        <v>0</v>
      </c>
    </row>
    <row r="201" spans="1:12">
      <c r="A201">
        <f>SUMPRODUCT((MONTH(CHOOSE({1,2,3,4},NĐ!U201,NĐ!AA201,NĐ!AG201,NĐ!AM201))=1)*(CHOOSE({1,2,3,4},NĐ!X201,NĐ!AD201,NĐ!AJ201,NĐ!AP201)))</f>
        <v>0</v>
      </c>
      <c r="B201">
        <f>SUMPRODUCT((MONTH(CHOOSE({1,2,3,4},NĐ!U201,NĐ!AA201,NĐ!AG201,NĐ!AM201))=2)*(CHOOSE({1,2,3,4},NĐ!X201,NĐ!AD201,NĐ!AJ201,NĐ!AP201)))</f>
        <v>0</v>
      </c>
      <c r="C201">
        <f>SUMPRODUCT((MONTH(CHOOSE({1,2,3,4},NĐ!U201,NĐ!AA201,NĐ!AG201,NĐ!AM201))=3)*(CHOOSE({1,2,3,4},NĐ!X201,NĐ!AD201,NĐ!AJ201,NĐ!AP201)))</f>
        <v>0</v>
      </c>
      <c r="D201">
        <f>SUMPRODUCT((MONTH(CHOOSE({1,2,3,4},NĐ!U201,NĐ!AA201,NĐ!AG201,NĐ!AM201))=4)*(CHOOSE({1,2,3,4},NĐ!X201,NĐ!AD201,NĐ!AJ201,NĐ!AP201)))</f>
        <v>0</v>
      </c>
      <c r="E201">
        <f>SUMPRODUCT((MONTH(CHOOSE({1,2,3,4},NĐ!U201,NĐ!AA201,NĐ!AG201,NĐ!AM201))=5)*(CHOOSE({1,2,3,4},NĐ!X201,NĐ!AD201,NĐ!AJ201,NĐ!AP201)))</f>
        <v>0</v>
      </c>
      <c r="F201">
        <f>SUMPRODUCT((MONTH(CHOOSE({1,2,3,4},NĐ!U201,NĐ!AA201,NĐ!AG201,NĐ!AM201))=6)*(CHOOSE({1,2,3,4},NĐ!X201,NĐ!AD201,NĐ!AJ201,NĐ!AP201)))</f>
        <v>0</v>
      </c>
      <c r="G201">
        <f>SUMPRODUCT((MONTH(CHOOSE({1,2,3,4},NĐ!U201,NĐ!AA201,NĐ!AG201,NĐ!AM201))=7)*(CHOOSE({1,2,3,4},NĐ!X201,NĐ!AD201,NĐ!AJ201,NĐ!AP201)))</f>
        <v>0</v>
      </c>
      <c r="H201">
        <f>SUMPRODUCT((MONTH(CHOOSE({1,2,3,4},NĐ!U201,NĐ!AA201,NĐ!AG201,NĐ!AM201))=8)*(CHOOSE({1,2,3,4},NĐ!X201,NĐ!AD201,NĐ!AJ201,NĐ!AP201)))</f>
        <v>0</v>
      </c>
      <c r="I201">
        <f>SUMPRODUCT((MONTH(CHOOSE({1,2,3,4},NĐ!U201,NĐ!AA201,NĐ!AG201,NĐ!AM201))=9)*(CHOOSE({1,2,3,4},NĐ!X201,NĐ!AD201,NĐ!AJ201,NĐ!AP201)))</f>
        <v>0</v>
      </c>
      <c r="J201">
        <f>SUMPRODUCT((MONTH(CHOOSE({1,2,3,4},NĐ!U201,NĐ!AA201,NĐ!AG201,NĐ!AM201))=10)*(CHOOSE({1,2,3,4},NĐ!X201,NĐ!AD201,NĐ!AJ201,NĐ!AP201)))</f>
        <v>0</v>
      </c>
      <c r="K201">
        <f>SUMPRODUCT((MONTH(CHOOSE({1,2,3,4},NĐ!U201,NĐ!AA201,NĐ!AG201,NĐ!AM201))=11)*(CHOOSE({1,2,3,4},NĐ!X201,NĐ!AD201,NĐ!AJ201,NĐ!AP201)))</f>
        <v>0</v>
      </c>
      <c r="L201">
        <f>SUMPRODUCT((MONTH(CHOOSE({1,2,3,4},NĐ!U201,NĐ!AA201,NĐ!AG201,NĐ!AM201))=12)*(CHOOSE({1,2,3,4},NĐ!X201,NĐ!AD201,NĐ!AJ201,NĐ!AP201)))</f>
        <v>0</v>
      </c>
    </row>
    <row r="202" spans="1:12">
      <c r="A202">
        <f>SUMPRODUCT((MONTH(CHOOSE({1,2,3,4},NĐ!U202,NĐ!AA202,NĐ!AG202,NĐ!AM202))=1)*(CHOOSE({1,2,3,4},NĐ!X202,NĐ!AD202,NĐ!AJ202,NĐ!AP202)))</f>
        <v>0</v>
      </c>
      <c r="B202">
        <f>SUMPRODUCT((MONTH(CHOOSE({1,2,3,4},NĐ!U202,NĐ!AA202,NĐ!AG202,NĐ!AM202))=2)*(CHOOSE({1,2,3,4},NĐ!X202,NĐ!AD202,NĐ!AJ202,NĐ!AP202)))</f>
        <v>0</v>
      </c>
      <c r="C202">
        <f>SUMPRODUCT((MONTH(CHOOSE({1,2,3,4},NĐ!U202,NĐ!AA202,NĐ!AG202,NĐ!AM202))=3)*(CHOOSE({1,2,3,4},NĐ!X202,NĐ!AD202,NĐ!AJ202,NĐ!AP202)))</f>
        <v>0</v>
      </c>
      <c r="D202">
        <f>SUMPRODUCT((MONTH(CHOOSE({1,2,3,4},NĐ!U202,NĐ!AA202,NĐ!AG202,NĐ!AM202))=4)*(CHOOSE({1,2,3,4},NĐ!X202,NĐ!AD202,NĐ!AJ202,NĐ!AP202)))</f>
        <v>0</v>
      </c>
      <c r="E202">
        <f>SUMPRODUCT((MONTH(CHOOSE({1,2,3,4},NĐ!U202,NĐ!AA202,NĐ!AG202,NĐ!AM202))=5)*(CHOOSE({1,2,3,4},NĐ!X202,NĐ!AD202,NĐ!AJ202,NĐ!AP202)))</f>
        <v>0</v>
      </c>
      <c r="F202">
        <f>SUMPRODUCT((MONTH(CHOOSE({1,2,3,4},NĐ!U202,NĐ!AA202,NĐ!AG202,NĐ!AM202))=6)*(CHOOSE({1,2,3,4},NĐ!X202,NĐ!AD202,NĐ!AJ202,NĐ!AP202)))</f>
        <v>0</v>
      </c>
      <c r="G202">
        <f>SUMPRODUCT((MONTH(CHOOSE({1,2,3,4},NĐ!U202,NĐ!AA202,NĐ!AG202,NĐ!AM202))=7)*(CHOOSE({1,2,3,4},NĐ!X202,NĐ!AD202,NĐ!AJ202,NĐ!AP202)))</f>
        <v>0</v>
      </c>
      <c r="H202">
        <f>SUMPRODUCT((MONTH(CHOOSE({1,2,3,4},NĐ!U202,NĐ!AA202,NĐ!AG202,NĐ!AM202))=8)*(CHOOSE({1,2,3,4},NĐ!X202,NĐ!AD202,NĐ!AJ202,NĐ!AP202)))</f>
        <v>0</v>
      </c>
      <c r="I202">
        <f>SUMPRODUCT((MONTH(CHOOSE({1,2,3,4},NĐ!U202,NĐ!AA202,NĐ!AG202,NĐ!AM202))=9)*(CHOOSE({1,2,3,4},NĐ!X202,NĐ!AD202,NĐ!AJ202,NĐ!AP202)))</f>
        <v>0</v>
      </c>
      <c r="J202">
        <f>SUMPRODUCT((MONTH(CHOOSE({1,2,3,4},NĐ!U202,NĐ!AA202,NĐ!AG202,NĐ!AM202))=10)*(CHOOSE({1,2,3,4},NĐ!X202,NĐ!AD202,NĐ!AJ202,NĐ!AP202)))</f>
        <v>0</v>
      </c>
      <c r="K202">
        <f>SUMPRODUCT((MONTH(CHOOSE({1,2,3,4},NĐ!U202,NĐ!AA202,NĐ!AG202,NĐ!AM202))=11)*(CHOOSE({1,2,3,4},NĐ!X202,NĐ!AD202,NĐ!AJ202,NĐ!AP202)))</f>
        <v>0</v>
      </c>
      <c r="L202">
        <f>SUMPRODUCT((MONTH(CHOOSE({1,2,3,4},NĐ!U202,NĐ!AA202,NĐ!AG202,NĐ!AM202))=12)*(CHOOSE({1,2,3,4},NĐ!X202,NĐ!AD202,NĐ!AJ202,NĐ!AP202)))</f>
        <v>0</v>
      </c>
    </row>
    <row r="203" spans="1:12">
      <c r="A203">
        <f>SUMPRODUCT((MONTH(CHOOSE({1,2,3,4},NĐ!U203,NĐ!AA203,NĐ!AG203,NĐ!AM203))=1)*(CHOOSE({1,2,3,4},NĐ!X203,NĐ!AD203,NĐ!AJ203,NĐ!AP203)))</f>
        <v>0</v>
      </c>
      <c r="B203">
        <f>SUMPRODUCT((MONTH(CHOOSE({1,2,3,4},NĐ!U203,NĐ!AA203,NĐ!AG203,NĐ!AM203))=2)*(CHOOSE({1,2,3,4},NĐ!X203,NĐ!AD203,NĐ!AJ203,NĐ!AP203)))</f>
        <v>0</v>
      </c>
      <c r="C203">
        <f>SUMPRODUCT((MONTH(CHOOSE({1,2,3,4},NĐ!U203,NĐ!AA203,NĐ!AG203,NĐ!AM203))=3)*(CHOOSE({1,2,3,4},NĐ!X203,NĐ!AD203,NĐ!AJ203,NĐ!AP203)))</f>
        <v>0</v>
      </c>
      <c r="D203">
        <f>SUMPRODUCT((MONTH(CHOOSE({1,2,3,4},NĐ!U203,NĐ!AA203,NĐ!AG203,NĐ!AM203))=4)*(CHOOSE({1,2,3,4},NĐ!X203,NĐ!AD203,NĐ!AJ203,NĐ!AP203)))</f>
        <v>0</v>
      </c>
      <c r="E203">
        <f>SUMPRODUCT((MONTH(CHOOSE({1,2,3,4},NĐ!U203,NĐ!AA203,NĐ!AG203,NĐ!AM203))=5)*(CHOOSE({1,2,3,4},NĐ!X203,NĐ!AD203,NĐ!AJ203,NĐ!AP203)))</f>
        <v>0</v>
      </c>
      <c r="F203">
        <f>SUMPRODUCT((MONTH(CHOOSE({1,2,3,4},NĐ!U203,NĐ!AA203,NĐ!AG203,NĐ!AM203))=6)*(CHOOSE({1,2,3,4},NĐ!X203,NĐ!AD203,NĐ!AJ203,NĐ!AP203)))</f>
        <v>0</v>
      </c>
      <c r="G203">
        <f>SUMPRODUCT((MONTH(CHOOSE({1,2,3,4},NĐ!U203,NĐ!AA203,NĐ!AG203,NĐ!AM203))=7)*(CHOOSE({1,2,3,4},NĐ!X203,NĐ!AD203,NĐ!AJ203,NĐ!AP203)))</f>
        <v>0</v>
      </c>
      <c r="H203">
        <f>SUMPRODUCT((MONTH(CHOOSE({1,2,3,4},NĐ!U203,NĐ!AA203,NĐ!AG203,NĐ!AM203))=8)*(CHOOSE({1,2,3,4},NĐ!X203,NĐ!AD203,NĐ!AJ203,NĐ!AP203)))</f>
        <v>0</v>
      </c>
      <c r="I203">
        <f>SUMPRODUCT((MONTH(CHOOSE({1,2,3,4},NĐ!U203,NĐ!AA203,NĐ!AG203,NĐ!AM203))=9)*(CHOOSE({1,2,3,4},NĐ!X203,NĐ!AD203,NĐ!AJ203,NĐ!AP203)))</f>
        <v>0</v>
      </c>
      <c r="J203">
        <f>SUMPRODUCT((MONTH(CHOOSE({1,2,3,4},NĐ!U203,NĐ!AA203,NĐ!AG203,NĐ!AM203))=10)*(CHOOSE({1,2,3,4},NĐ!X203,NĐ!AD203,NĐ!AJ203,NĐ!AP203)))</f>
        <v>0</v>
      </c>
      <c r="K203">
        <f>SUMPRODUCT((MONTH(CHOOSE({1,2,3,4},NĐ!U203,NĐ!AA203,NĐ!AG203,NĐ!AM203))=11)*(CHOOSE({1,2,3,4},NĐ!X203,NĐ!AD203,NĐ!AJ203,NĐ!AP203)))</f>
        <v>0</v>
      </c>
      <c r="L203">
        <f>SUMPRODUCT((MONTH(CHOOSE({1,2,3,4},NĐ!U203,NĐ!AA203,NĐ!AG203,NĐ!AM203))=12)*(CHOOSE({1,2,3,4},NĐ!X203,NĐ!AD203,NĐ!AJ203,NĐ!AP203)))</f>
        <v>0</v>
      </c>
    </row>
    <row r="204" spans="1:12">
      <c r="A204">
        <f>SUMPRODUCT((MONTH(CHOOSE({1,2,3,4},NĐ!U204,NĐ!AA204,NĐ!AG204,NĐ!AM204))=1)*(CHOOSE({1,2,3,4},NĐ!X204,NĐ!AD204,NĐ!AJ204,NĐ!AP204)))</f>
        <v>0</v>
      </c>
      <c r="B204">
        <f>SUMPRODUCT((MONTH(CHOOSE({1,2,3,4},NĐ!U204,NĐ!AA204,NĐ!AG204,NĐ!AM204))=2)*(CHOOSE({1,2,3,4},NĐ!X204,NĐ!AD204,NĐ!AJ204,NĐ!AP204)))</f>
        <v>0</v>
      </c>
      <c r="C204">
        <f>SUMPRODUCT((MONTH(CHOOSE({1,2,3,4},NĐ!U204,NĐ!AA204,NĐ!AG204,NĐ!AM204))=3)*(CHOOSE({1,2,3,4},NĐ!X204,NĐ!AD204,NĐ!AJ204,NĐ!AP204)))</f>
        <v>0</v>
      </c>
      <c r="D204">
        <f>SUMPRODUCT((MONTH(CHOOSE({1,2,3,4},NĐ!U204,NĐ!AA204,NĐ!AG204,NĐ!AM204))=4)*(CHOOSE({1,2,3,4},NĐ!X204,NĐ!AD204,NĐ!AJ204,NĐ!AP204)))</f>
        <v>0</v>
      </c>
      <c r="E204">
        <f>SUMPRODUCT((MONTH(CHOOSE({1,2,3,4},NĐ!U204,NĐ!AA204,NĐ!AG204,NĐ!AM204))=5)*(CHOOSE({1,2,3,4},NĐ!X204,NĐ!AD204,NĐ!AJ204,NĐ!AP204)))</f>
        <v>0</v>
      </c>
      <c r="F204">
        <f>SUMPRODUCT((MONTH(CHOOSE({1,2,3,4},NĐ!U204,NĐ!AA204,NĐ!AG204,NĐ!AM204))=6)*(CHOOSE({1,2,3,4},NĐ!X204,NĐ!AD204,NĐ!AJ204,NĐ!AP204)))</f>
        <v>0</v>
      </c>
      <c r="G204">
        <f>SUMPRODUCT((MONTH(CHOOSE({1,2,3,4},NĐ!U204,NĐ!AA204,NĐ!AG204,NĐ!AM204))=7)*(CHOOSE({1,2,3,4},NĐ!X204,NĐ!AD204,NĐ!AJ204,NĐ!AP204)))</f>
        <v>0</v>
      </c>
      <c r="H204">
        <f>SUMPRODUCT((MONTH(CHOOSE({1,2,3,4},NĐ!U204,NĐ!AA204,NĐ!AG204,NĐ!AM204))=8)*(CHOOSE({1,2,3,4},NĐ!X204,NĐ!AD204,NĐ!AJ204,NĐ!AP204)))</f>
        <v>0</v>
      </c>
      <c r="I204">
        <f>SUMPRODUCT((MONTH(CHOOSE({1,2,3,4},NĐ!U204,NĐ!AA204,NĐ!AG204,NĐ!AM204))=9)*(CHOOSE({1,2,3,4},NĐ!X204,NĐ!AD204,NĐ!AJ204,NĐ!AP204)))</f>
        <v>0</v>
      </c>
      <c r="J204">
        <f>SUMPRODUCT((MONTH(CHOOSE({1,2,3,4},NĐ!U204,NĐ!AA204,NĐ!AG204,NĐ!AM204))=10)*(CHOOSE({1,2,3,4},NĐ!X204,NĐ!AD204,NĐ!AJ204,NĐ!AP204)))</f>
        <v>0</v>
      </c>
      <c r="K204">
        <f>SUMPRODUCT((MONTH(CHOOSE({1,2,3,4},NĐ!U204,NĐ!AA204,NĐ!AG204,NĐ!AM204))=11)*(CHOOSE({1,2,3,4},NĐ!X204,NĐ!AD204,NĐ!AJ204,NĐ!AP204)))</f>
        <v>0</v>
      </c>
      <c r="L204">
        <f>SUMPRODUCT((MONTH(CHOOSE({1,2,3,4},NĐ!U204,NĐ!AA204,NĐ!AG204,NĐ!AM204))=12)*(CHOOSE({1,2,3,4},NĐ!X204,NĐ!AD204,NĐ!AJ204,NĐ!AP204)))</f>
        <v>0</v>
      </c>
    </row>
    <row r="205" spans="1:12">
      <c r="A205">
        <f>SUMPRODUCT((MONTH(CHOOSE({1,2,3,4},NĐ!U205,NĐ!AA205,NĐ!AG205,NĐ!AM205))=1)*(CHOOSE({1,2,3,4},NĐ!X205,NĐ!AD205,NĐ!AJ205,NĐ!AP205)))</f>
        <v>0</v>
      </c>
      <c r="B205">
        <f>SUMPRODUCT((MONTH(CHOOSE({1,2,3,4},NĐ!U205,NĐ!AA205,NĐ!AG205,NĐ!AM205))=2)*(CHOOSE({1,2,3,4},NĐ!X205,NĐ!AD205,NĐ!AJ205,NĐ!AP205)))</f>
        <v>0</v>
      </c>
      <c r="C205">
        <f>SUMPRODUCT((MONTH(CHOOSE({1,2,3,4},NĐ!U205,NĐ!AA205,NĐ!AG205,NĐ!AM205))=3)*(CHOOSE({1,2,3,4},NĐ!X205,NĐ!AD205,NĐ!AJ205,NĐ!AP205)))</f>
        <v>0</v>
      </c>
      <c r="D205">
        <f>SUMPRODUCT((MONTH(CHOOSE({1,2,3,4},NĐ!U205,NĐ!AA205,NĐ!AG205,NĐ!AM205))=4)*(CHOOSE({1,2,3,4},NĐ!X205,NĐ!AD205,NĐ!AJ205,NĐ!AP205)))</f>
        <v>0</v>
      </c>
      <c r="E205">
        <f>SUMPRODUCT((MONTH(CHOOSE({1,2,3,4},NĐ!U205,NĐ!AA205,NĐ!AG205,NĐ!AM205))=5)*(CHOOSE({1,2,3,4},NĐ!X205,NĐ!AD205,NĐ!AJ205,NĐ!AP205)))</f>
        <v>0</v>
      </c>
      <c r="F205">
        <f>SUMPRODUCT((MONTH(CHOOSE({1,2,3,4},NĐ!U205,NĐ!AA205,NĐ!AG205,NĐ!AM205))=6)*(CHOOSE({1,2,3,4},NĐ!X205,NĐ!AD205,NĐ!AJ205,NĐ!AP205)))</f>
        <v>0</v>
      </c>
      <c r="G205">
        <f>SUMPRODUCT((MONTH(CHOOSE({1,2,3,4},NĐ!U205,NĐ!AA205,NĐ!AG205,NĐ!AM205))=7)*(CHOOSE({1,2,3,4},NĐ!X205,NĐ!AD205,NĐ!AJ205,NĐ!AP205)))</f>
        <v>0</v>
      </c>
      <c r="H205">
        <f>SUMPRODUCT((MONTH(CHOOSE({1,2,3,4},NĐ!U205,NĐ!AA205,NĐ!AG205,NĐ!AM205))=8)*(CHOOSE({1,2,3,4},NĐ!X205,NĐ!AD205,NĐ!AJ205,NĐ!AP205)))</f>
        <v>0</v>
      </c>
      <c r="I205">
        <f>SUMPRODUCT((MONTH(CHOOSE({1,2,3,4},NĐ!U205,NĐ!AA205,NĐ!AG205,NĐ!AM205))=9)*(CHOOSE({1,2,3,4},NĐ!X205,NĐ!AD205,NĐ!AJ205,NĐ!AP205)))</f>
        <v>0</v>
      </c>
      <c r="J205">
        <f>SUMPRODUCT((MONTH(CHOOSE({1,2,3,4},NĐ!U205,NĐ!AA205,NĐ!AG205,NĐ!AM205))=10)*(CHOOSE({1,2,3,4},NĐ!X205,NĐ!AD205,NĐ!AJ205,NĐ!AP205)))</f>
        <v>0</v>
      </c>
      <c r="K205">
        <f>SUMPRODUCT((MONTH(CHOOSE({1,2,3,4},NĐ!U205,NĐ!AA205,NĐ!AG205,NĐ!AM205))=11)*(CHOOSE({1,2,3,4},NĐ!X205,NĐ!AD205,NĐ!AJ205,NĐ!AP205)))</f>
        <v>0</v>
      </c>
      <c r="L205">
        <f>SUMPRODUCT((MONTH(CHOOSE({1,2,3,4},NĐ!U205,NĐ!AA205,NĐ!AG205,NĐ!AM205))=12)*(CHOOSE({1,2,3,4},NĐ!X205,NĐ!AD205,NĐ!AJ205,NĐ!AP205)))</f>
        <v>0</v>
      </c>
    </row>
    <row r="206" spans="1:12">
      <c r="A206">
        <f>SUMPRODUCT((MONTH(CHOOSE({1,2,3,4},NĐ!U206,NĐ!AA206,NĐ!AG206,NĐ!AM206))=1)*(CHOOSE({1,2,3,4},NĐ!X206,NĐ!AD206,NĐ!AJ206,NĐ!AP206)))</f>
        <v>0</v>
      </c>
      <c r="B206">
        <f>SUMPRODUCT((MONTH(CHOOSE({1,2,3,4},NĐ!U206,NĐ!AA206,NĐ!AG206,NĐ!AM206))=2)*(CHOOSE({1,2,3,4},NĐ!X206,NĐ!AD206,NĐ!AJ206,NĐ!AP206)))</f>
        <v>0</v>
      </c>
      <c r="C206">
        <f>SUMPRODUCT((MONTH(CHOOSE({1,2,3,4},NĐ!U206,NĐ!AA206,NĐ!AG206,NĐ!AM206))=3)*(CHOOSE({1,2,3,4},NĐ!X206,NĐ!AD206,NĐ!AJ206,NĐ!AP206)))</f>
        <v>0</v>
      </c>
      <c r="D206">
        <f>SUMPRODUCT((MONTH(CHOOSE({1,2,3,4},NĐ!U206,NĐ!AA206,NĐ!AG206,NĐ!AM206))=4)*(CHOOSE({1,2,3,4},NĐ!X206,NĐ!AD206,NĐ!AJ206,NĐ!AP206)))</f>
        <v>0</v>
      </c>
      <c r="E206">
        <f>SUMPRODUCT((MONTH(CHOOSE({1,2,3,4},NĐ!U206,NĐ!AA206,NĐ!AG206,NĐ!AM206))=5)*(CHOOSE({1,2,3,4},NĐ!X206,NĐ!AD206,NĐ!AJ206,NĐ!AP206)))</f>
        <v>0</v>
      </c>
      <c r="F206">
        <f>SUMPRODUCT((MONTH(CHOOSE({1,2,3,4},NĐ!U206,NĐ!AA206,NĐ!AG206,NĐ!AM206))=6)*(CHOOSE({1,2,3,4},NĐ!X206,NĐ!AD206,NĐ!AJ206,NĐ!AP206)))</f>
        <v>0</v>
      </c>
      <c r="G206">
        <f>SUMPRODUCT((MONTH(CHOOSE({1,2,3,4},NĐ!U206,NĐ!AA206,NĐ!AG206,NĐ!AM206))=7)*(CHOOSE({1,2,3,4},NĐ!X206,NĐ!AD206,NĐ!AJ206,NĐ!AP206)))</f>
        <v>0</v>
      </c>
      <c r="H206">
        <f>SUMPRODUCT((MONTH(CHOOSE({1,2,3,4},NĐ!U206,NĐ!AA206,NĐ!AG206,NĐ!AM206))=8)*(CHOOSE({1,2,3,4},NĐ!X206,NĐ!AD206,NĐ!AJ206,NĐ!AP206)))</f>
        <v>0</v>
      </c>
      <c r="I206">
        <f>SUMPRODUCT((MONTH(CHOOSE({1,2,3,4},NĐ!U206,NĐ!AA206,NĐ!AG206,NĐ!AM206))=9)*(CHOOSE({1,2,3,4},NĐ!X206,NĐ!AD206,NĐ!AJ206,NĐ!AP206)))</f>
        <v>0</v>
      </c>
      <c r="J206">
        <f>SUMPRODUCT((MONTH(CHOOSE({1,2,3,4},NĐ!U206,NĐ!AA206,NĐ!AG206,NĐ!AM206))=10)*(CHOOSE({1,2,3,4},NĐ!X206,NĐ!AD206,NĐ!AJ206,NĐ!AP206)))</f>
        <v>0</v>
      </c>
      <c r="K206">
        <f>SUMPRODUCT((MONTH(CHOOSE({1,2,3,4},NĐ!U206,NĐ!AA206,NĐ!AG206,NĐ!AM206))=11)*(CHOOSE({1,2,3,4},NĐ!X206,NĐ!AD206,NĐ!AJ206,NĐ!AP206)))</f>
        <v>0</v>
      </c>
      <c r="L206">
        <f>SUMPRODUCT((MONTH(CHOOSE({1,2,3,4},NĐ!U206,NĐ!AA206,NĐ!AG206,NĐ!AM206))=12)*(CHOOSE({1,2,3,4},NĐ!X206,NĐ!AD206,NĐ!AJ206,NĐ!AP206)))</f>
        <v>0</v>
      </c>
    </row>
    <row r="207" spans="1:12">
      <c r="A207">
        <f>SUMPRODUCT((MONTH(CHOOSE({1,2,3,4},NĐ!U207,NĐ!AA207,NĐ!AG207,NĐ!AM207))=1)*(CHOOSE({1,2,3,4},NĐ!X207,NĐ!AD207,NĐ!AJ207,NĐ!AP207)))</f>
        <v>0</v>
      </c>
      <c r="B207">
        <f>SUMPRODUCT((MONTH(CHOOSE({1,2,3,4},NĐ!U207,NĐ!AA207,NĐ!AG207,NĐ!AM207))=2)*(CHOOSE({1,2,3,4},NĐ!X207,NĐ!AD207,NĐ!AJ207,NĐ!AP207)))</f>
        <v>0</v>
      </c>
      <c r="C207">
        <f>SUMPRODUCT((MONTH(CHOOSE({1,2,3,4},NĐ!U207,NĐ!AA207,NĐ!AG207,NĐ!AM207))=3)*(CHOOSE({1,2,3,4},NĐ!X207,NĐ!AD207,NĐ!AJ207,NĐ!AP207)))</f>
        <v>0</v>
      </c>
      <c r="D207">
        <f>SUMPRODUCT((MONTH(CHOOSE({1,2,3,4},NĐ!U207,NĐ!AA207,NĐ!AG207,NĐ!AM207))=4)*(CHOOSE({1,2,3,4},NĐ!X207,NĐ!AD207,NĐ!AJ207,NĐ!AP207)))</f>
        <v>0</v>
      </c>
      <c r="E207">
        <f>SUMPRODUCT((MONTH(CHOOSE({1,2,3,4},NĐ!U207,NĐ!AA207,NĐ!AG207,NĐ!AM207))=5)*(CHOOSE({1,2,3,4},NĐ!X207,NĐ!AD207,NĐ!AJ207,NĐ!AP207)))</f>
        <v>0</v>
      </c>
      <c r="F207">
        <f>SUMPRODUCT((MONTH(CHOOSE({1,2,3,4},NĐ!U207,NĐ!AA207,NĐ!AG207,NĐ!AM207))=6)*(CHOOSE({1,2,3,4},NĐ!X207,NĐ!AD207,NĐ!AJ207,NĐ!AP207)))</f>
        <v>0</v>
      </c>
      <c r="G207">
        <f>SUMPRODUCT((MONTH(CHOOSE({1,2,3,4},NĐ!U207,NĐ!AA207,NĐ!AG207,NĐ!AM207))=7)*(CHOOSE({1,2,3,4},NĐ!X207,NĐ!AD207,NĐ!AJ207,NĐ!AP207)))</f>
        <v>0</v>
      </c>
      <c r="H207">
        <f>SUMPRODUCT((MONTH(CHOOSE({1,2,3,4},NĐ!U207,NĐ!AA207,NĐ!AG207,NĐ!AM207))=8)*(CHOOSE({1,2,3,4},NĐ!X207,NĐ!AD207,NĐ!AJ207,NĐ!AP207)))</f>
        <v>0</v>
      </c>
      <c r="I207">
        <f>SUMPRODUCT((MONTH(CHOOSE({1,2,3,4},NĐ!U207,NĐ!AA207,NĐ!AG207,NĐ!AM207))=9)*(CHOOSE({1,2,3,4},NĐ!X207,NĐ!AD207,NĐ!AJ207,NĐ!AP207)))</f>
        <v>0</v>
      </c>
      <c r="J207">
        <f>SUMPRODUCT((MONTH(CHOOSE({1,2,3,4},NĐ!U207,NĐ!AA207,NĐ!AG207,NĐ!AM207))=10)*(CHOOSE({1,2,3,4},NĐ!X207,NĐ!AD207,NĐ!AJ207,NĐ!AP207)))</f>
        <v>0</v>
      </c>
      <c r="K207">
        <f>SUMPRODUCT((MONTH(CHOOSE({1,2,3,4},NĐ!U207,NĐ!AA207,NĐ!AG207,NĐ!AM207))=11)*(CHOOSE({1,2,3,4},NĐ!X207,NĐ!AD207,NĐ!AJ207,NĐ!AP207)))</f>
        <v>0</v>
      </c>
      <c r="L207">
        <f>SUMPRODUCT((MONTH(CHOOSE({1,2,3,4},NĐ!U207,NĐ!AA207,NĐ!AG207,NĐ!AM207))=12)*(CHOOSE({1,2,3,4},NĐ!X207,NĐ!AD207,NĐ!AJ207,NĐ!AP207)))</f>
        <v>0</v>
      </c>
    </row>
    <row r="208" spans="1:12">
      <c r="A208">
        <f>SUMPRODUCT((MONTH(CHOOSE({1,2,3,4},NĐ!U208,NĐ!AA208,NĐ!AG208,NĐ!AM208))=1)*(CHOOSE({1,2,3,4},NĐ!X208,NĐ!AD208,NĐ!AJ208,NĐ!AP208)))</f>
        <v>0</v>
      </c>
      <c r="B208">
        <f>SUMPRODUCT((MONTH(CHOOSE({1,2,3,4},NĐ!U208,NĐ!AA208,NĐ!AG208,NĐ!AM208))=2)*(CHOOSE({1,2,3,4},NĐ!X208,NĐ!AD208,NĐ!AJ208,NĐ!AP208)))</f>
        <v>0</v>
      </c>
      <c r="C208">
        <f>SUMPRODUCT((MONTH(CHOOSE({1,2,3,4},NĐ!U208,NĐ!AA208,NĐ!AG208,NĐ!AM208))=3)*(CHOOSE({1,2,3,4},NĐ!X208,NĐ!AD208,NĐ!AJ208,NĐ!AP208)))</f>
        <v>0</v>
      </c>
      <c r="D208">
        <f>SUMPRODUCT((MONTH(CHOOSE({1,2,3,4},NĐ!U208,NĐ!AA208,NĐ!AG208,NĐ!AM208))=4)*(CHOOSE({1,2,3,4},NĐ!X208,NĐ!AD208,NĐ!AJ208,NĐ!AP208)))</f>
        <v>0</v>
      </c>
      <c r="E208">
        <f>SUMPRODUCT((MONTH(CHOOSE({1,2,3,4},NĐ!U208,NĐ!AA208,NĐ!AG208,NĐ!AM208))=5)*(CHOOSE({1,2,3,4},NĐ!X208,NĐ!AD208,NĐ!AJ208,NĐ!AP208)))</f>
        <v>0</v>
      </c>
      <c r="F208">
        <f>SUMPRODUCT((MONTH(CHOOSE({1,2,3,4},NĐ!U208,NĐ!AA208,NĐ!AG208,NĐ!AM208))=6)*(CHOOSE({1,2,3,4},NĐ!X208,NĐ!AD208,NĐ!AJ208,NĐ!AP208)))</f>
        <v>0</v>
      </c>
      <c r="G208">
        <f>SUMPRODUCT((MONTH(CHOOSE({1,2,3,4},NĐ!U208,NĐ!AA208,NĐ!AG208,NĐ!AM208))=7)*(CHOOSE({1,2,3,4},NĐ!X208,NĐ!AD208,NĐ!AJ208,NĐ!AP208)))</f>
        <v>0</v>
      </c>
      <c r="H208">
        <f>SUMPRODUCT((MONTH(CHOOSE({1,2,3,4},NĐ!U208,NĐ!AA208,NĐ!AG208,NĐ!AM208))=8)*(CHOOSE({1,2,3,4},NĐ!X208,NĐ!AD208,NĐ!AJ208,NĐ!AP208)))</f>
        <v>0</v>
      </c>
      <c r="I208">
        <f>SUMPRODUCT((MONTH(CHOOSE({1,2,3,4},NĐ!U208,NĐ!AA208,NĐ!AG208,NĐ!AM208))=9)*(CHOOSE({1,2,3,4},NĐ!X208,NĐ!AD208,NĐ!AJ208,NĐ!AP208)))</f>
        <v>0</v>
      </c>
      <c r="J208">
        <f>SUMPRODUCT((MONTH(CHOOSE({1,2,3,4},NĐ!U208,NĐ!AA208,NĐ!AG208,NĐ!AM208))=10)*(CHOOSE({1,2,3,4},NĐ!X208,NĐ!AD208,NĐ!AJ208,NĐ!AP208)))</f>
        <v>0</v>
      </c>
      <c r="K208">
        <f>SUMPRODUCT((MONTH(CHOOSE({1,2,3,4},NĐ!U208,NĐ!AA208,NĐ!AG208,NĐ!AM208))=11)*(CHOOSE({1,2,3,4},NĐ!X208,NĐ!AD208,NĐ!AJ208,NĐ!AP208)))</f>
        <v>0</v>
      </c>
      <c r="L208">
        <f>SUMPRODUCT((MONTH(CHOOSE({1,2,3,4},NĐ!U208,NĐ!AA208,NĐ!AG208,NĐ!AM208))=12)*(CHOOSE({1,2,3,4},NĐ!X208,NĐ!AD208,NĐ!AJ208,NĐ!AP208)))</f>
        <v>0</v>
      </c>
    </row>
    <row r="209" spans="1:12">
      <c r="A209">
        <f>SUMPRODUCT((MONTH(CHOOSE({1,2,3,4},NĐ!U209,NĐ!AA209,NĐ!AG209,NĐ!AM209))=1)*(CHOOSE({1,2,3,4},NĐ!X209,NĐ!AD209,NĐ!AJ209,NĐ!AP209)))</f>
        <v>0</v>
      </c>
      <c r="B209">
        <f>SUMPRODUCT((MONTH(CHOOSE({1,2,3,4},NĐ!U209,NĐ!AA209,NĐ!AG209,NĐ!AM209))=2)*(CHOOSE({1,2,3,4},NĐ!X209,NĐ!AD209,NĐ!AJ209,NĐ!AP209)))</f>
        <v>0</v>
      </c>
      <c r="C209">
        <f>SUMPRODUCT((MONTH(CHOOSE({1,2,3,4},NĐ!U209,NĐ!AA209,NĐ!AG209,NĐ!AM209))=3)*(CHOOSE({1,2,3,4},NĐ!X209,NĐ!AD209,NĐ!AJ209,NĐ!AP209)))</f>
        <v>0</v>
      </c>
      <c r="D209">
        <f>SUMPRODUCT((MONTH(CHOOSE({1,2,3,4},NĐ!U209,NĐ!AA209,NĐ!AG209,NĐ!AM209))=4)*(CHOOSE({1,2,3,4},NĐ!X209,NĐ!AD209,NĐ!AJ209,NĐ!AP209)))</f>
        <v>0</v>
      </c>
      <c r="E209">
        <f>SUMPRODUCT((MONTH(CHOOSE({1,2,3,4},NĐ!U209,NĐ!AA209,NĐ!AG209,NĐ!AM209))=5)*(CHOOSE({1,2,3,4},NĐ!X209,NĐ!AD209,NĐ!AJ209,NĐ!AP209)))</f>
        <v>0</v>
      </c>
      <c r="F209">
        <f>SUMPRODUCT((MONTH(CHOOSE({1,2,3,4},NĐ!U209,NĐ!AA209,NĐ!AG209,NĐ!AM209))=6)*(CHOOSE({1,2,3,4},NĐ!X209,NĐ!AD209,NĐ!AJ209,NĐ!AP209)))</f>
        <v>0</v>
      </c>
      <c r="G209">
        <f>SUMPRODUCT((MONTH(CHOOSE({1,2,3,4},NĐ!U209,NĐ!AA209,NĐ!AG209,NĐ!AM209))=7)*(CHOOSE({1,2,3,4},NĐ!X209,NĐ!AD209,NĐ!AJ209,NĐ!AP209)))</f>
        <v>0</v>
      </c>
      <c r="H209">
        <f>SUMPRODUCT((MONTH(CHOOSE({1,2,3,4},NĐ!U209,NĐ!AA209,NĐ!AG209,NĐ!AM209))=8)*(CHOOSE({1,2,3,4},NĐ!X209,NĐ!AD209,NĐ!AJ209,NĐ!AP209)))</f>
        <v>0</v>
      </c>
      <c r="I209">
        <f>SUMPRODUCT((MONTH(CHOOSE({1,2,3,4},NĐ!U209,NĐ!AA209,NĐ!AG209,NĐ!AM209))=9)*(CHOOSE({1,2,3,4},NĐ!X209,NĐ!AD209,NĐ!AJ209,NĐ!AP209)))</f>
        <v>0</v>
      </c>
      <c r="J209">
        <f>SUMPRODUCT((MONTH(CHOOSE({1,2,3,4},NĐ!U209,NĐ!AA209,NĐ!AG209,NĐ!AM209))=10)*(CHOOSE({1,2,3,4},NĐ!X209,NĐ!AD209,NĐ!AJ209,NĐ!AP209)))</f>
        <v>0</v>
      </c>
      <c r="K209">
        <f>SUMPRODUCT((MONTH(CHOOSE({1,2,3,4},NĐ!U209,NĐ!AA209,NĐ!AG209,NĐ!AM209))=11)*(CHOOSE({1,2,3,4},NĐ!X209,NĐ!AD209,NĐ!AJ209,NĐ!AP209)))</f>
        <v>0</v>
      </c>
      <c r="L209">
        <f>SUMPRODUCT((MONTH(CHOOSE({1,2,3,4},NĐ!U209,NĐ!AA209,NĐ!AG209,NĐ!AM209))=12)*(CHOOSE({1,2,3,4},NĐ!X209,NĐ!AD209,NĐ!AJ209,NĐ!AP209)))</f>
        <v>0</v>
      </c>
    </row>
    <row r="210" spans="1:12">
      <c r="A210">
        <f>SUMPRODUCT((MONTH(CHOOSE({1,2,3,4},NĐ!U210,NĐ!AA210,NĐ!AG210,NĐ!AM210))=1)*(CHOOSE({1,2,3,4},NĐ!X210,NĐ!AD210,NĐ!AJ210,NĐ!AP210)))</f>
        <v>0</v>
      </c>
      <c r="B210">
        <f>SUMPRODUCT((MONTH(CHOOSE({1,2,3,4},NĐ!U210,NĐ!AA210,NĐ!AG210,NĐ!AM210))=2)*(CHOOSE({1,2,3,4},NĐ!X210,NĐ!AD210,NĐ!AJ210,NĐ!AP210)))</f>
        <v>0</v>
      </c>
      <c r="C210">
        <f>SUMPRODUCT((MONTH(CHOOSE({1,2,3,4},NĐ!U210,NĐ!AA210,NĐ!AG210,NĐ!AM210))=3)*(CHOOSE({1,2,3,4},NĐ!X210,NĐ!AD210,NĐ!AJ210,NĐ!AP210)))</f>
        <v>0</v>
      </c>
      <c r="D210">
        <f>SUMPRODUCT((MONTH(CHOOSE({1,2,3,4},NĐ!U210,NĐ!AA210,NĐ!AG210,NĐ!AM210))=4)*(CHOOSE({1,2,3,4},NĐ!X210,NĐ!AD210,NĐ!AJ210,NĐ!AP210)))</f>
        <v>0</v>
      </c>
      <c r="E210">
        <f>SUMPRODUCT((MONTH(CHOOSE({1,2,3,4},NĐ!U210,NĐ!AA210,NĐ!AG210,NĐ!AM210))=5)*(CHOOSE({1,2,3,4},NĐ!X210,NĐ!AD210,NĐ!AJ210,NĐ!AP210)))</f>
        <v>0</v>
      </c>
      <c r="F210">
        <f>SUMPRODUCT((MONTH(CHOOSE({1,2,3,4},NĐ!U210,NĐ!AA210,NĐ!AG210,NĐ!AM210))=6)*(CHOOSE({1,2,3,4},NĐ!X210,NĐ!AD210,NĐ!AJ210,NĐ!AP210)))</f>
        <v>0</v>
      </c>
      <c r="G210">
        <f>SUMPRODUCT((MONTH(CHOOSE({1,2,3,4},NĐ!U210,NĐ!AA210,NĐ!AG210,NĐ!AM210))=7)*(CHOOSE({1,2,3,4},NĐ!X210,NĐ!AD210,NĐ!AJ210,NĐ!AP210)))</f>
        <v>0</v>
      </c>
      <c r="H210">
        <f>SUMPRODUCT((MONTH(CHOOSE({1,2,3,4},NĐ!U210,NĐ!AA210,NĐ!AG210,NĐ!AM210))=8)*(CHOOSE({1,2,3,4},NĐ!X210,NĐ!AD210,NĐ!AJ210,NĐ!AP210)))</f>
        <v>0</v>
      </c>
      <c r="I210">
        <f>SUMPRODUCT((MONTH(CHOOSE({1,2,3,4},NĐ!U210,NĐ!AA210,NĐ!AG210,NĐ!AM210))=9)*(CHOOSE({1,2,3,4},NĐ!X210,NĐ!AD210,NĐ!AJ210,NĐ!AP210)))</f>
        <v>0</v>
      </c>
      <c r="J210">
        <f>SUMPRODUCT((MONTH(CHOOSE({1,2,3,4},NĐ!U210,NĐ!AA210,NĐ!AG210,NĐ!AM210))=10)*(CHOOSE({1,2,3,4},NĐ!X210,NĐ!AD210,NĐ!AJ210,NĐ!AP210)))</f>
        <v>0</v>
      </c>
      <c r="K210">
        <f>SUMPRODUCT((MONTH(CHOOSE({1,2,3,4},NĐ!U210,NĐ!AA210,NĐ!AG210,NĐ!AM210))=11)*(CHOOSE({1,2,3,4},NĐ!X210,NĐ!AD210,NĐ!AJ210,NĐ!AP210)))</f>
        <v>0</v>
      </c>
      <c r="L210">
        <f>SUMPRODUCT((MONTH(CHOOSE({1,2,3,4},NĐ!U210,NĐ!AA210,NĐ!AG210,NĐ!AM210))=12)*(CHOOSE({1,2,3,4},NĐ!X210,NĐ!AD210,NĐ!AJ210,NĐ!AP210)))</f>
        <v>0</v>
      </c>
    </row>
    <row r="211" spans="1:12">
      <c r="A211">
        <f>SUMPRODUCT((MONTH(CHOOSE({1,2,3,4},NĐ!U211,NĐ!AA211,NĐ!AG211,NĐ!AM211))=1)*(CHOOSE({1,2,3,4},NĐ!X211,NĐ!AD211,NĐ!AJ211,NĐ!AP211)))</f>
        <v>0</v>
      </c>
      <c r="B211">
        <f>SUMPRODUCT((MONTH(CHOOSE({1,2,3,4},NĐ!U211,NĐ!AA211,NĐ!AG211,NĐ!AM211))=2)*(CHOOSE({1,2,3,4},NĐ!X211,NĐ!AD211,NĐ!AJ211,NĐ!AP211)))</f>
        <v>0</v>
      </c>
      <c r="C211">
        <f>SUMPRODUCT((MONTH(CHOOSE({1,2,3,4},NĐ!U211,NĐ!AA211,NĐ!AG211,NĐ!AM211))=3)*(CHOOSE({1,2,3,4},NĐ!X211,NĐ!AD211,NĐ!AJ211,NĐ!AP211)))</f>
        <v>0</v>
      </c>
      <c r="D211">
        <f>SUMPRODUCT((MONTH(CHOOSE({1,2,3,4},NĐ!U211,NĐ!AA211,NĐ!AG211,NĐ!AM211))=4)*(CHOOSE({1,2,3,4},NĐ!X211,NĐ!AD211,NĐ!AJ211,NĐ!AP211)))</f>
        <v>0</v>
      </c>
      <c r="E211">
        <f>SUMPRODUCT((MONTH(CHOOSE({1,2,3,4},NĐ!U211,NĐ!AA211,NĐ!AG211,NĐ!AM211))=5)*(CHOOSE({1,2,3,4},NĐ!X211,NĐ!AD211,NĐ!AJ211,NĐ!AP211)))</f>
        <v>0</v>
      </c>
      <c r="F211">
        <f>SUMPRODUCT((MONTH(CHOOSE({1,2,3,4},NĐ!U211,NĐ!AA211,NĐ!AG211,NĐ!AM211))=6)*(CHOOSE({1,2,3,4},NĐ!X211,NĐ!AD211,NĐ!AJ211,NĐ!AP211)))</f>
        <v>0</v>
      </c>
      <c r="G211">
        <f>SUMPRODUCT((MONTH(CHOOSE({1,2,3,4},NĐ!U211,NĐ!AA211,NĐ!AG211,NĐ!AM211))=7)*(CHOOSE({1,2,3,4},NĐ!X211,NĐ!AD211,NĐ!AJ211,NĐ!AP211)))</f>
        <v>0</v>
      </c>
      <c r="H211">
        <f>SUMPRODUCT((MONTH(CHOOSE({1,2,3,4},NĐ!U211,NĐ!AA211,NĐ!AG211,NĐ!AM211))=8)*(CHOOSE({1,2,3,4},NĐ!X211,NĐ!AD211,NĐ!AJ211,NĐ!AP211)))</f>
        <v>0</v>
      </c>
      <c r="I211">
        <f>SUMPRODUCT((MONTH(CHOOSE({1,2,3,4},NĐ!U211,NĐ!AA211,NĐ!AG211,NĐ!AM211))=9)*(CHOOSE({1,2,3,4},NĐ!X211,NĐ!AD211,NĐ!AJ211,NĐ!AP211)))</f>
        <v>0</v>
      </c>
      <c r="J211">
        <f>SUMPRODUCT((MONTH(CHOOSE({1,2,3,4},NĐ!U211,NĐ!AA211,NĐ!AG211,NĐ!AM211))=10)*(CHOOSE({1,2,3,4},NĐ!X211,NĐ!AD211,NĐ!AJ211,NĐ!AP211)))</f>
        <v>0</v>
      </c>
      <c r="K211">
        <f>SUMPRODUCT((MONTH(CHOOSE({1,2,3,4},NĐ!U211,NĐ!AA211,NĐ!AG211,NĐ!AM211))=11)*(CHOOSE({1,2,3,4},NĐ!X211,NĐ!AD211,NĐ!AJ211,NĐ!AP211)))</f>
        <v>0</v>
      </c>
      <c r="L211">
        <f>SUMPRODUCT((MONTH(CHOOSE({1,2,3,4},NĐ!U211,NĐ!AA211,NĐ!AG211,NĐ!AM211))=12)*(CHOOSE({1,2,3,4},NĐ!X211,NĐ!AD211,NĐ!AJ211,NĐ!AP211)))</f>
        <v>0</v>
      </c>
    </row>
    <row r="212" spans="1:12">
      <c r="A212">
        <f>SUMPRODUCT((MONTH(CHOOSE({1,2,3,4},NĐ!U212,NĐ!AA212,NĐ!AG212,NĐ!AM212))=1)*(CHOOSE({1,2,3,4},NĐ!X212,NĐ!AD212,NĐ!AJ212,NĐ!AP212)))</f>
        <v>0</v>
      </c>
      <c r="B212">
        <f>SUMPRODUCT((MONTH(CHOOSE({1,2,3,4},NĐ!U212,NĐ!AA212,NĐ!AG212,NĐ!AM212))=2)*(CHOOSE({1,2,3,4},NĐ!X212,NĐ!AD212,NĐ!AJ212,NĐ!AP212)))</f>
        <v>0</v>
      </c>
      <c r="C212">
        <f>SUMPRODUCT((MONTH(CHOOSE({1,2,3,4},NĐ!U212,NĐ!AA212,NĐ!AG212,NĐ!AM212))=3)*(CHOOSE({1,2,3,4},NĐ!X212,NĐ!AD212,NĐ!AJ212,NĐ!AP212)))</f>
        <v>0</v>
      </c>
      <c r="D212">
        <f>SUMPRODUCT((MONTH(CHOOSE({1,2,3,4},NĐ!U212,NĐ!AA212,NĐ!AG212,NĐ!AM212))=4)*(CHOOSE({1,2,3,4},NĐ!X212,NĐ!AD212,NĐ!AJ212,NĐ!AP212)))</f>
        <v>0</v>
      </c>
      <c r="E212">
        <f>SUMPRODUCT((MONTH(CHOOSE({1,2,3,4},NĐ!U212,NĐ!AA212,NĐ!AG212,NĐ!AM212))=5)*(CHOOSE({1,2,3,4},NĐ!X212,NĐ!AD212,NĐ!AJ212,NĐ!AP212)))</f>
        <v>0</v>
      </c>
      <c r="F212">
        <f>SUMPRODUCT((MONTH(CHOOSE({1,2,3,4},NĐ!U212,NĐ!AA212,NĐ!AG212,NĐ!AM212))=6)*(CHOOSE({1,2,3,4},NĐ!X212,NĐ!AD212,NĐ!AJ212,NĐ!AP212)))</f>
        <v>0</v>
      </c>
      <c r="G212">
        <f>SUMPRODUCT((MONTH(CHOOSE({1,2,3,4},NĐ!U212,NĐ!AA212,NĐ!AG212,NĐ!AM212))=7)*(CHOOSE({1,2,3,4},NĐ!X212,NĐ!AD212,NĐ!AJ212,NĐ!AP212)))</f>
        <v>0</v>
      </c>
      <c r="H212">
        <f>SUMPRODUCT((MONTH(CHOOSE({1,2,3,4},NĐ!U212,NĐ!AA212,NĐ!AG212,NĐ!AM212))=8)*(CHOOSE({1,2,3,4},NĐ!X212,NĐ!AD212,NĐ!AJ212,NĐ!AP212)))</f>
        <v>0</v>
      </c>
      <c r="I212">
        <f>SUMPRODUCT((MONTH(CHOOSE({1,2,3,4},NĐ!U212,NĐ!AA212,NĐ!AG212,NĐ!AM212))=9)*(CHOOSE({1,2,3,4},NĐ!X212,NĐ!AD212,NĐ!AJ212,NĐ!AP212)))</f>
        <v>0</v>
      </c>
      <c r="J212">
        <f>SUMPRODUCT((MONTH(CHOOSE({1,2,3,4},NĐ!U212,NĐ!AA212,NĐ!AG212,NĐ!AM212))=10)*(CHOOSE({1,2,3,4},NĐ!X212,NĐ!AD212,NĐ!AJ212,NĐ!AP212)))</f>
        <v>0</v>
      </c>
      <c r="K212">
        <f>SUMPRODUCT((MONTH(CHOOSE({1,2,3,4},NĐ!U212,NĐ!AA212,NĐ!AG212,NĐ!AM212))=11)*(CHOOSE({1,2,3,4},NĐ!X212,NĐ!AD212,NĐ!AJ212,NĐ!AP212)))</f>
        <v>0</v>
      </c>
      <c r="L212">
        <f>SUMPRODUCT((MONTH(CHOOSE({1,2,3,4},NĐ!U212,NĐ!AA212,NĐ!AG212,NĐ!AM212))=12)*(CHOOSE({1,2,3,4},NĐ!X212,NĐ!AD212,NĐ!AJ212,NĐ!AP212)))</f>
        <v>0</v>
      </c>
    </row>
    <row r="213" spans="1:12">
      <c r="A213">
        <f>SUMPRODUCT((MONTH(CHOOSE({1,2,3,4},NĐ!U213,NĐ!AA213,NĐ!AG213,NĐ!AM213))=1)*(CHOOSE({1,2,3,4},NĐ!X213,NĐ!AD213,NĐ!AJ213,NĐ!AP213)))</f>
        <v>0</v>
      </c>
      <c r="B213">
        <f>SUMPRODUCT((MONTH(CHOOSE({1,2,3,4},NĐ!U213,NĐ!AA213,NĐ!AG213,NĐ!AM213))=2)*(CHOOSE({1,2,3,4},NĐ!X213,NĐ!AD213,NĐ!AJ213,NĐ!AP213)))</f>
        <v>0</v>
      </c>
      <c r="C213">
        <f>SUMPRODUCT((MONTH(CHOOSE({1,2,3,4},NĐ!U213,NĐ!AA213,NĐ!AG213,NĐ!AM213))=3)*(CHOOSE({1,2,3,4},NĐ!X213,NĐ!AD213,NĐ!AJ213,NĐ!AP213)))</f>
        <v>0</v>
      </c>
      <c r="D213">
        <f>SUMPRODUCT((MONTH(CHOOSE({1,2,3,4},NĐ!U213,NĐ!AA213,NĐ!AG213,NĐ!AM213))=4)*(CHOOSE({1,2,3,4},NĐ!X213,NĐ!AD213,NĐ!AJ213,NĐ!AP213)))</f>
        <v>0</v>
      </c>
      <c r="E213">
        <f>SUMPRODUCT((MONTH(CHOOSE({1,2,3,4},NĐ!U213,NĐ!AA213,NĐ!AG213,NĐ!AM213))=5)*(CHOOSE({1,2,3,4},NĐ!X213,NĐ!AD213,NĐ!AJ213,NĐ!AP213)))</f>
        <v>0</v>
      </c>
      <c r="F213">
        <f>SUMPRODUCT((MONTH(CHOOSE({1,2,3,4},NĐ!U213,NĐ!AA213,NĐ!AG213,NĐ!AM213))=6)*(CHOOSE({1,2,3,4},NĐ!X213,NĐ!AD213,NĐ!AJ213,NĐ!AP213)))</f>
        <v>0</v>
      </c>
      <c r="G213">
        <f>SUMPRODUCT((MONTH(CHOOSE({1,2,3,4},NĐ!U213,NĐ!AA213,NĐ!AG213,NĐ!AM213))=7)*(CHOOSE({1,2,3,4},NĐ!X213,NĐ!AD213,NĐ!AJ213,NĐ!AP213)))</f>
        <v>0</v>
      </c>
      <c r="H213">
        <f>SUMPRODUCT((MONTH(CHOOSE({1,2,3,4},NĐ!U213,NĐ!AA213,NĐ!AG213,NĐ!AM213))=8)*(CHOOSE({1,2,3,4},NĐ!X213,NĐ!AD213,NĐ!AJ213,NĐ!AP213)))</f>
        <v>0</v>
      </c>
      <c r="I213">
        <f>SUMPRODUCT((MONTH(CHOOSE({1,2,3,4},NĐ!U213,NĐ!AA213,NĐ!AG213,NĐ!AM213))=9)*(CHOOSE({1,2,3,4},NĐ!X213,NĐ!AD213,NĐ!AJ213,NĐ!AP213)))</f>
        <v>0</v>
      </c>
      <c r="J213">
        <f>SUMPRODUCT((MONTH(CHOOSE({1,2,3,4},NĐ!U213,NĐ!AA213,NĐ!AG213,NĐ!AM213))=10)*(CHOOSE({1,2,3,4},NĐ!X213,NĐ!AD213,NĐ!AJ213,NĐ!AP213)))</f>
        <v>0</v>
      </c>
      <c r="K213">
        <f>SUMPRODUCT((MONTH(CHOOSE({1,2,3,4},NĐ!U213,NĐ!AA213,NĐ!AG213,NĐ!AM213))=11)*(CHOOSE({1,2,3,4},NĐ!X213,NĐ!AD213,NĐ!AJ213,NĐ!AP213)))</f>
        <v>0</v>
      </c>
      <c r="L213">
        <f>SUMPRODUCT((MONTH(CHOOSE({1,2,3,4},NĐ!U213,NĐ!AA213,NĐ!AG213,NĐ!AM213))=12)*(CHOOSE({1,2,3,4},NĐ!X213,NĐ!AD213,NĐ!AJ213,NĐ!AP213)))</f>
        <v>0</v>
      </c>
    </row>
    <row r="214" spans="1:12">
      <c r="A214">
        <f>SUMPRODUCT((MONTH(CHOOSE({1,2,3,4},NĐ!U214,NĐ!AA214,NĐ!AG214,NĐ!AM214))=1)*(CHOOSE({1,2,3,4},NĐ!X214,NĐ!AD214,NĐ!AJ214,NĐ!AP214)))</f>
        <v>0</v>
      </c>
      <c r="B214">
        <f>SUMPRODUCT((MONTH(CHOOSE({1,2,3,4},NĐ!U214,NĐ!AA214,NĐ!AG214,NĐ!AM214))=2)*(CHOOSE({1,2,3,4},NĐ!X214,NĐ!AD214,NĐ!AJ214,NĐ!AP214)))</f>
        <v>0</v>
      </c>
      <c r="C214">
        <f>SUMPRODUCT((MONTH(CHOOSE({1,2,3,4},NĐ!U214,NĐ!AA214,NĐ!AG214,NĐ!AM214))=3)*(CHOOSE({1,2,3,4},NĐ!X214,NĐ!AD214,NĐ!AJ214,NĐ!AP214)))</f>
        <v>0</v>
      </c>
      <c r="D214">
        <f>SUMPRODUCT((MONTH(CHOOSE({1,2,3,4},NĐ!U214,NĐ!AA214,NĐ!AG214,NĐ!AM214))=4)*(CHOOSE({1,2,3,4},NĐ!X214,NĐ!AD214,NĐ!AJ214,NĐ!AP214)))</f>
        <v>0</v>
      </c>
      <c r="E214">
        <f>SUMPRODUCT((MONTH(CHOOSE({1,2,3,4},NĐ!U214,NĐ!AA214,NĐ!AG214,NĐ!AM214))=5)*(CHOOSE({1,2,3,4},NĐ!X214,NĐ!AD214,NĐ!AJ214,NĐ!AP214)))</f>
        <v>0</v>
      </c>
      <c r="F214">
        <f>SUMPRODUCT((MONTH(CHOOSE({1,2,3,4},NĐ!U214,NĐ!AA214,NĐ!AG214,NĐ!AM214))=6)*(CHOOSE({1,2,3,4},NĐ!X214,NĐ!AD214,NĐ!AJ214,NĐ!AP214)))</f>
        <v>0</v>
      </c>
      <c r="G214">
        <f>SUMPRODUCT((MONTH(CHOOSE({1,2,3,4},NĐ!U214,NĐ!AA214,NĐ!AG214,NĐ!AM214))=7)*(CHOOSE({1,2,3,4},NĐ!X214,NĐ!AD214,NĐ!AJ214,NĐ!AP214)))</f>
        <v>0</v>
      </c>
      <c r="H214">
        <f>SUMPRODUCT((MONTH(CHOOSE({1,2,3,4},NĐ!U214,NĐ!AA214,NĐ!AG214,NĐ!AM214))=8)*(CHOOSE({1,2,3,4},NĐ!X214,NĐ!AD214,NĐ!AJ214,NĐ!AP214)))</f>
        <v>0</v>
      </c>
      <c r="I214">
        <f>SUMPRODUCT((MONTH(CHOOSE({1,2,3,4},NĐ!U214,NĐ!AA214,NĐ!AG214,NĐ!AM214))=9)*(CHOOSE({1,2,3,4},NĐ!X214,NĐ!AD214,NĐ!AJ214,NĐ!AP214)))</f>
        <v>0</v>
      </c>
      <c r="J214">
        <f>SUMPRODUCT((MONTH(CHOOSE({1,2,3,4},NĐ!U214,NĐ!AA214,NĐ!AG214,NĐ!AM214))=10)*(CHOOSE({1,2,3,4},NĐ!X214,NĐ!AD214,NĐ!AJ214,NĐ!AP214)))</f>
        <v>0</v>
      </c>
      <c r="K214">
        <f>SUMPRODUCT((MONTH(CHOOSE({1,2,3,4},NĐ!U214,NĐ!AA214,NĐ!AG214,NĐ!AM214))=11)*(CHOOSE({1,2,3,4},NĐ!X214,NĐ!AD214,NĐ!AJ214,NĐ!AP214)))</f>
        <v>0</v>
      </c>
      <c r="L214">
        <f>SUMPRODUCT((MONTH(CHOOSE({1,2,3,4},NĐ!U214,NĐ!AA214,NĐ!AG214,NĐ!AM214))=12)*(CHOOSE({1,2,3,4},NĐ!X214,NĐ!AD214,NĐ!AJ214,NĐ!AP214)))</f>
        <v>0</v>
      </c>
    </row>
    <row r="215" spans="1:12">
      <c r="A215">
        <f>SUMPRODUCT((MONTH(CHOOSE({1,2,3,4},NĐ!U215,NĐ!AA215,NĐ!AG215,NĐ!AM215))=1)*(CHOOSE({1,2,3,4},NĐ!X215,NĐ!AD215,NĐ!AJ215,NĐ!AP215)))</f>
        <v>0</v>
      </c>
      <c r="B215">
        <f>SUMPRODUCT((MONTH(CHOOSE({1,2,3,4},NĐ!U215,NĐ!AA215,NĐ!AG215,NĐ!AM215))=2)*(CHOOSE({1,2,3,4},NĐ!X215,NĐ!AD215,NĐ!AJ215,NĐ!AP215)))</f>
        <v>0</v>
      </c>
      <c r="C215">
        <f>SUMPRODUCT((MONTH(CHOOSE({1,2,3,4},NĐ!U215,NĐ!AA215,NĐ!AG215,NĐ!AM215))=3)*(CHOOSE({1,2,3,4},NĐ!X215,NĐ!AD215,NĐ!AJ215,NĐ!AP215)))</f>
        <v>0</v>
      </c>
      <c r="D215">
        <f>SUMPRODUCT((MONTH(CHOOSE({1,2,3,4},NĐ!U215,NĐ!AA215,NĐ!AG215,NĐ!AM215))=4)*(CHOOSE({1,2,3,4},NĐ!X215,NĐ!AD215,NĐ!AJ215,NĐ!AP215)))</f>
        <v>0</v>
      </c>
      <c r="E215">
        <f>SUMPRODUCT((MONTH(CHOOSE({1,2,3,4},NĐ!U215,NĐ!AA215,NĐ!AG215,NĐ!AM215))=5)*(CHOOSE({1,2,3,4},NĐ!X215,NĐ!AD215,NĐ!AJ215,NĐ!AP215)))</f>
        <v>0</v>
      </c>
      <c r="F215">
        <f>SUMPRODUCT((MONTH(CHOOSE({1,2,3,4},NĐ!U215,NĐ!AA215,NĐ!AG215,NĐ!AM215))=6)*(CHOOSE({1,2,3,4},NĐ!X215,NĐ!AD215,NĐ!AJ215,NĐ!AP215)))</f>
        <v>0</v>
      </c>
      <c r="G215">
        <f>SUMPRODUCT((MONTH(CHOOSE({1,2,3,4},NĐ!U215,NĐ!AA215,NĐ!AG215,NĐ!AM215))=7)*(CHOOSE({1,2,3,4},NĐ!X215,NĐ!AD215,NĐ!AJ215,NĐ!AP215)))</f>
        <v>0</v>
      </c>
      <c r="H215">
        <f>SUMPRODUCT((MONTH(CHOOSE({1,2,3,4},NĐ!U215,NĐ!AA215,NĐ!AG215,NĐ!AM215))=8)*(CHOOSE({1,2,3,4},NĐ!X215,NĐ!AD215,NĐ!AJ215,NĐ!AP215)))</f>
        <v>0</v>
      </c>
      <c r="I215">
        <f>SUMPRODUCT((MONTH(CHOOSE({1,2,3,4},NĐ!U215,NĐ!AA215,NĐ!AG215,NĐ!AM215))=9)*(CHOOSE({1,2,3,4},NĐ!X215,NĐ!AD215,NĐ!AJ215,NĐ!AP215)))</f>
        <v>0</v>
      </c>
      <c r="J215">
        <f>SUMPRODUCT((MONTH(CHOOSE({1,2,3,4},NĐ!U215,NĐ!AA215,NĐ!AG215,NĐ!AM215))=10)*(CHOOSE({1,2,3,4},NĐ!X215,NĐ!AD215,NĐ!AJ215,NĐ!AP215)))</f>
        <v>0</v>
      </c>
      <c r="K215">
        <f>SUMPRODUCT((MONTH(CHOOSE({1,2,3,4},NĐ!U215,NĐ!AA215,NĐ!AG215,NĐ!AM215))=11)*(CHOOSE({1,2,3,4},NĐ!X215,NĐ!AD215,NĐ!AJ215,NĐ!AP215)))</f>
        <v>0</v>
      </c>
      <c r="L215">
        <f>SUMPRODUCT((MONTH(CHOOSE({1,2,3,4},NĐ!U215,NĐ!AA215,NĐ!AG215,NĐ!AM215))=12)*(CHOOSE({1,2,3,4},NĐ!X215,NĐ!AD215,NĐ!AJ215,NĐ!AP215)))</f>
        <v>0</v>
      </c>
    </row>
    <row r="216" spans="1:12">
      <c r="A216">
        <f>SUMPRODUCT((MONTH(CHOOSE({1,2,3,4},NĐ!U216,NĐ!AA216,NĐ!AG216,NĐ!AM216))=1)*(CHOOSE({1,2,3,4},NĐ!X216,NĐ!AD216,NĐ!AJ216,NĐ!AP216)))</f>
        <v>0</v>
      </c>
      <c r="B216">
        <f>SUMPRODUCT((MONTH(CHOOSE({1,2,3,4},NĐ!U216,NĐ!AA216,NĐ!AG216,NĐ!AM216))=2)*(CHOOSE({1,2,3,4},NĐ!X216,NĐ!AD216,NĐ!AJ216,NĐ!AP216)))</f>
        <v>0</v>
      </c>
      <c r="C216">
        <f>SUMPRODUCT((MONTH(CHOOSE({1,2,3,4},NĐ!U216,NĐ!AA216,NĐ!AG216,NĐ!AM216))=3)*(CHOOSE({1,2,3,4},NĐ!X216,NĐ!AD216,NĐ!AJ216,NĐ!AP216)))</f>
        <v>0</v>
      </c>
      <c r="D216">
        <f>SUMPRODUCT((MONTH(CHOOSE({1,2,3,4},NĐ!U216,NĐ!AA216,NĐ!AG216,NĐ!AM216))=4)*(CHOOSE({1,2,3,4},NĐ!X216,NĐ!AD216,NĐ!AJ216,NĐ!AP216)))</f>
        <v>0</v>
      </c>
      <c r="E216">
        <f>SUMPRODUCT((MONTH(CHOOSE({1,2,3,4},NĐ!U216,NĐ!AA216,NĐ!AG216,NĐ!AM216))=5)*(CHOOSE({1,2,3,4},NĐ!X216,NĐ!AD216,NĐ!AJ216,NĐ!AP216)))</f>
        <v>0</v>
      </c>
      <c r="F216">
        <f>SUMPRODUCT((MONTH(CHOOSE({1,2,3,4},NĐ!U216,NĐ!AA216,NĐ!AG216,NĐ!AM216))=6)*(CHOOSE({1,2,3,4},NĐ!X216,NĐ!AD216,NĐ!AJ216,NĐ!AP216)))</f>
        <v>0</v>
      </c>
      <c r="G216">
        <f>SUMPRODUCT((MONTH(CHOOSE({1,2,3,4},NĐ!U216,NĐ!AA216,NĐ!AG216,NĐ!AM216))=7)*(CHOOSE({1,2,3,4},NĐ!X216,NĐ!AD216,NĐ!AJ216,NĐ!AP216)))</f>
        <v>0</v>
      </c>
      <c r="H216">
        <f>SUMPRODUCT((MONTH(CHOOSE({1,2,3,4},NĐ!U216,NĐ!AA216,NĐ!AG216,NĐ!AM216))=8)*(CHOOSE({1,2,3,4},NĐ!X216,NĐ!AD216,NĐ!AJ216,NĐ!AP216)))</f>
        <v>0</v>
      </c>
      <c r="I216">
        <f>SUMPRODUCT((MONTH(CHOOSE({1,2,3,4},NĐ!U216,NĐ!AA216,NĐ!AG216,NĐ!AM216))=9)*(CHOOSE({1,2,3,4},NĐ!X216,NĐ!AD216,NĐ!AJ216,NĐ!AP216)))</f>
        <v>0</v>
      </c>
      <c r="J216">
        <f>SUMPRODUCT((MONTH(CHOOSE({1,2,3,4},NĐ!U216,NĐ!AA216,NĐ!AG216,NĐ!AM216))=10)*(CHOOSE({1,2,3,4},NĐ!X216,NĐ!AD216,NĐ!AJ216,NĐ!AP216)))</f>
        <v>0</v>
      </c>
      <c r="K216">
        <f>SUMPRODUCT((MONTH(CHOOSE({1,2,3,4},NĐ!U216,NĐ!AA216,NĐ!AG216,NĐ!AM216))=11)*(CHOOSE({1,2,3,4},NĐ!X216,NĐ!AD216,NĐ!AJ216,NĐ!AP216)))</f>
        <v>0</v>
      </c>
      <c r="L216">
        <f>SUMPRODUCT((MONTH(CHOOSE({1,2,3,4},NĐ!U216,NĐ!AA216,NĐ!AG216,NĐ!AM216))=12)*(CHOOSE({1,2,3,4},NĐ!X216,NĐ!AD216,NĐ!AJ216,NĐ!AP216)))</f>
        <v>0</v>
      </c>
    </row>
    <row r="217" spans="1:12">
      <c r="A217">
        <f>SUMPRODUCT((MONTH(CHOOSE({1,2,3,4},NĐ!U217,NĐ!AA217,NĐ!AG217,NĐ!AM217))=1)*(CHOOSE({1,2,3,4},NĐ!X217,NĐ!AD217,NĐ!AJ217,NĐ!AP217)))</f>
        <v>0</v>
      </c>
      <c r="B217">
        <f>SUMPRODUCT((MONTH(CHOOSE({1,2,3,4},NĐ!U217,NĐ!AA217,NĐ!AG217,NĐ!AM217))=2)*(CHOOSE({1,2,3,4},NĐ!X217,NĐ!AD217,NĐ!AJ217,NĐ!AP217)))</f>
        <v>0</v>
      </c>
      <c r="C217">
        <f>SUMPRODUCT((MONTH(CHOOSE({1,2,3,4},NĐ!U217,NĐ!AA217,NĐ!AG217,NĐ!AM217))=3)*(CHOOSE({1,2,3,4},NĐ!X217,NĐ!AD217,NĐ!AJ217,NĐ!AP217)))</f>
        <v>0</v>
      </c>
      <c r="D217">
        <f>SUMPRODUCT((MONTH(CHOOSE({1,2,3,4},NĐ!U217,NĐ!AA217,NĐ!AG217,NĐ!AM217))=4)*(CHOOSE({1,2,3,4},NĐ!X217,NĐ!AD217,NĐ!AJ217,NĐ!AP217)))</f>
        <v>0</v>
      </c>
      <c r="E217">
        <f>SUMPRODUCT((MONTH(CHOOSE({1,2,3,4},NĐ!U217,NĐ!AA217,NĐ!AG217,NĐ!AM217))=5)*(CHOOSE({1,2,3,4},NĐ!X217,NĐ!AD217,NĐ!AJ217,NĐ!AP217)))</f>
        <v>0</v>
      </c>
      <c r="F217">
        <f>SUMPRODUCT((MONTH(CHOOSE({1,2,3,4},NĐ!U217,NĐ!AA217,NĐ!AG217,NĐ!AM217))=6)*(CHOOSE({1,2,3,4},NĐ!X217,NĐ!AD217,NĐ!AJ217,NĐ!AP217)))</f>
        <v>0</v>
      </c>
      <c r="G217">
        <f>SUMPRODUCT((MONTH(CHOOSE({1,2,3,4},NĐ!U217,NĐ!AA217,NĐ!AG217,NĐ!AM217))=7)*(CHOOSE({1,2,3,4},NĐ!X217,NĐ!AD217,NĐ!AJ217,NĐ!AP217)))</f>
        <v>0</v>
      </c>
      <c r="H217">
        <f>SUMPRODUCT((MONTH(CHOOSE({1,2,3,4},NĐ!U217,NĐ!AA217,NĐ!AG217,NĐ!AM217))=8)*(CHOOSE({1,2,3,4},NĐ!X217,NĐ!AD217,NĐ!AJ217,NĐ!AP217)))</f>
        <v>0</v>
      </c>
      <c r="I217">
        <f>SUMPRODUCT((MONTH(CHOOSE({1,2,3,4},NĐ!U217,NĐ!AA217,NĐ!AG217,NĐ!AM217))=9)*(CHOOSE({1,2,3,4},NĐ!X217,NĐ!AD217,NĐ!AJ217,NĐ!AP217)))</f>
        <v>0</v>
      </c>
      <c r="J217">
        <f>SUMPRODUCT((MONTH(CHOOSE({1,2,3,4},NĐ!U217,NĐ!AA217,NĐ!AG217,NĐ!AM217))=10)*(CHOOSE({1,2,3,4},NĐ!X217,NĐ!AD217,NĐ!AJ217,NĐ!AP217)))</f>
        <v>0</v>
      </c>
      <c r="K217">
        <f>SUMPRODUCT((MONTH(CHOOSE({1,2,3,4},NĐ!U217,NĐ!AA217,NĐ!AG217,NĐ!AM217))=11)*(CHOOSE({1,2,3,4},NĐ!X217,NĐ!AD217,NĐ!AJ217,NĐ!AP217)))</f>
        <v>0</v>
      </c>
      <c r="L217">
        <f>SUMPRODUCT((MONTH(CHOOSE({1,2,3,4},NĐ!U217,NĐ!AA217,NĐ!AG217,NĐ!AM217))=12)*(CHOOSE({1,2,3,4},NĐ!X217,NĐ!AD217,NĐ!AJ217,NĐ!AP217)))</f>
        <v>0</v>
      </c>
    </row>
    <row r="218" spans="1:12">
      <c r="A218">
        <f>SUMPRODUCT((MONTH(CHOOSE({1,2,3,4},NĐ!U218,NĐ!AA218,NĐ!AG218,NĐ!AM218))=1)*(CHOOSE({1,2,3,4},NĐ!X218,NĐ!AD218,NĐ!AJ218,NĐ!AP218)))</f>
        <v>0</v>
      </c>
      <c r="B218">
        <f>SUMPRODUCT((MONTH(CHOOSE({1,2,3,4},NĐ!U218,NĐ!AA218,NĐ!AG218,NĐ!AM218))=2)*(CHOOSE({1,2,3,4},NĐ!X218,NĐ!AD218,NĐ!AJ218,NĐ!AP218)))</f>
        <v>0</v>
      </c>
      <c r="C218">
        <f>SUMPRODUCT((MONTH(CHOOSE({1,2,3,4},NĐ!U218,NĐ!AA218,NĐ!AG218,NĐ!AM218))=3)*(CHOOSE({1,2,3,4},NĐ!X218,NĐ!AD218,NĐ!AJ218,NĐ!AP218)))</f>
        <v>0</v>
      </c>
      <c r="D218">
        <f>SUMPRODUCT((MONTH(CHOOSE({1,2,3,4},NĐ!U218,NĐ!AA218,NĐ!AG218,NĐ!AM218))=4)*(CHOOSE({1,2,3,4},NĐ!X218,NĐ!AD218,NĐ!AJ218,NĐ!AP218)))</f>
        <v>0</v>
      </c>
      <c r="E218">
        <f>SUMPRODUCT((MONTH(CHOOSE({1,2,3,4},NĐ!U218,NĐ!AA218,NĐ!AG218,NĐ!AM218))=5)*(CHOOSE({1,2,3,4},NĐ!X218,NĐ!AD218,NĐ!AJ218,NĐ!AP218)))</f>
        <v>0</v>
      </c>
      <c r="F218">
        <f>SUMPRODUCT((MONTH(CHOOSE({1,2,3,4},NĐ!U218,NĐ!AA218,NĐ!AG218,NĐ!AM218))=6)*(CHOOSE({1,2,3,4},NĐ!X218,NĐ!AD218,NĐ!AJ218,NĐ!AP218)))</f>
        <v>0</v>
      </c>
      <c r="G218">
        <f>SUMPRODUCT((MONTH(CHOOSE({1,2,3,4},NĐ!U218,NĐ!AA218,NĐ!AG218,NĐ!AM218))=7)*(CHOOSE({1,2,3,4},NĐ!X218,NĐ!AD218,NĐ!AJ218,NĐ!AP218)))</f>
        <v>0</v>
      </c>
      <c r="H218">
        <f>SUMPRODUCT((MONTH(CHOOSE({1,2,3,4},NĐ!U218,NĐ!AA218,NĐ!AG218,NĐ!AM218))=8)*(CHOOSE({1,2,3,4},NĐ!X218,NĐ!AD218,NĐ!AJ218,NĐ!AP218)))</f>
        <v>0</v>
      </c>
      <c r="I218">
        <f>SUMPRODUCT((MONTH(CHOOSE({1,2,3,4},NĐ!U218,NĐ!AA218,NĐ!AG218,NĐ!AM218))=9)*(CHOOSE({1,2,3,4},NĐ!X218,NĐ!AD218,NĐ!AJ218,NĐ!AP218)))</f>
        <v>0</v>
      </c>
      <c r="J218">
        <f>SUMPRODUCT((MONTH(CHOOSE({1,2,3,4},NĐ!U218,NĐ!AA218,NĐ!AG218,NĐ!AM218))=10)*(CHOOSE({1,2,3,4},NĐ!X218,NĐ!AD218,NĐ!AJ218,NĐ!AP218)))</f>
        <v>0</v>
      </c>
      <c r="K218">
        <f>SUMPRODUCT((MONTH(CHOOSE({1,2,3,4},NĐ!U218,NĐ!AA218,NĐ!AG218,NĐ!AM218))=11)*(CHOOSE({1,2,3,4},NĐ!X218,NĐ!AD218,NĐ!AJ218,NĐ!AP218)))</f>
        <v>0</v>
      </c>
      <c r="L218">
        <f>SUMPRODUCT((MONTH(CHOOSE({1,2,3,4},NĐ!U218,NĐ!AA218,NĐ!AG218,NĐ!AM218))=12)*(CHOOSE({1,2,3,4},NĐ!X218,NĐ!AD218,NĐ!AJ218,NĐ!AP218)))</f>
        <v>0</v>
      </c>
    </row>
    <row r="219" spans="1:12">
      <c r="A219">
        <f>SUMPRODUCT((MONTH(CHOOSE({1,2,3,4},NĐ!U219,NĐ!AA219,NĐ!AG219,NĐ!AM219))=1)*(CHOOSE({1,2,3,4},NĐ!X219,NĐ!AD219,NĐ!AJ219,NĐ!AP219)))</f>
        <v>0</v>
      </c>
      <c r="B219">
        <f>SUMPRODUCT((MONTH(CHOOSE({1,2,3,4},NĐ!U219,NĐ!AA219,NĐ!AG219,NĐ!AM219))=2)*(CHOOSE({1,2,3,4},NĐ!X219,NĐ!AD219,NĐ!AJ219,NĐ!AP219)))</f>
        <v>0</v>
      </c>
      <c r="C219">
        <f>SUMPRODUCT((MONTH(CHOOSE({1,2,3,4},NĐ!U219,NĐ!AA219,NĐ!AG219,NĐ!AM219))=3)*(CHOOSE({1,2,3,4},NĐ!X219,NĐ!AD219,NĐ!AJ219,NĐ!AP219)))</f>
        <v>0</v>
      </c>
      <c r="D219">
        <f>SUMPRODUCT((MONTH(CHOOSE({1,2,3,4},NĐ!U219,NĐ!AA219,NĐ!AG219,NĐ!AM219))=4)*(CHOOSE({1,2,3,4},NĐ!X219,NĐ!AD219,NĐ!AJ219,NĐ!AP219)))</f>
        <v>0</v>
      </c>
      <c r="E219">
        <f>SUMPRODUCT((MONTH(CHOOSE({1,2,3,4},NĐ!U219,NĐ!AA219,NĐ!AG219,NĐ!AM219))=5)*(CHOOSE({1,2,3,4},NĐ!X219,NĐ!AD219,NĐ!AJ219,NĐ!AP219)))</f>
        <v>0</v>
      </c>
      <c r="F219">
        <f>SUMPRODUCT((MONTH(CHOOSE({1,2,3,4},NĐ!U219,NĐ!AA219,NĐ!AG219,NĐ!AM219))=6)*(CHOOSE({1,2,3,4},NĐ!X219,NĐ!AD219,NĐ!AJ219,NĐ!AP219)))</f>
        <v>0</v>
      </c>
      <c r="G219">
        <f>SUMPRODUCT((MONTH(CHOOSE({1,2,3,4},NĐ!U219,NĐ!AA219,NĐ!AG219,NĐ!AM219))=7)*(CHOOSE({1,2,3,4},NĐ!X219,NĐ!AD219,NĐ!AJ219,NĐ!AP219)))</f>
        <v>0</v>
      </c>
      <c r="H219">
        <f>SUMPRODUCT((MONTH(CHOOSE({1,2,3,4},NĐ!U219,NĐ!AA219,NĐ!AG219,NĐ!AM219))=8)*(CHOOSE({1,2,3,4},NĐ!X219,NĐ!AD219,NĐ!AJ219,NĐ!AP219)))</f>
        <v>0</v>
      </c>
      <c r="I219">
        <f>SUMPRODUCT((MONTH(CHOOSE({1,2,3,4},NĐ!U219,NĐ!AA219,NĐ!AG219,NĐ!AM219))=9)*(CHOOSE({1,2,3,4},NĐ!X219,NĐ!AD219,NĐ!AJ219,NĐ!AP219)))</f>
        <v>0</v>
      </c>
      <c r="J219">
        <f>SUMPRODUCT((MONTH(CHOOSE({1,2,3,4},NĐ!U219,NĐ!AA219,NĐ!AG219,NĐ!AM219))=10)*(CHOOSE({1,2,3,4},NĐ!X219,NĐ!AD219,NĐ!AJ219,NĐ!AP219)))</f>
        <v>0</v>
      </c>
      <c r="K219">
        <f>SUMPRODUCT((MONTH(CHOOSE({1,2,3,4},NĐ!U219,NĐ!AA219,NĐ!AG219,NĐ!AM219))=11)*(CHOOSE({1,2,3,4},NĐ!X219,NĐ!AD219,NĐ!AJ219,NĐ!AP219)))</f>
        <v>0</v>
      </c>
      <c r="L219">
        <f>SUMPRODUCT((MONTH(CHOOSE({1,2,3,4},NĐ!U219,NĐ!AA219,NĐ!AG219,NĐ!AM219))=12)*(CHOOSE({1,2,3,4},NĐ!X219,NĐ!AD219,NĐ!AJ219,NĐ!AP219)))</f>
        <v>0</v>
      </c>
    </row>
    <row r="220" spans="1:12">
      <c r="A220">
        <f>SUMPRODUCT((MONTH(CHOOSE({1,2,3,4},NĐ!U220,NĐ!AA220,NĐ!AG220,NĐ!AM220))=1)*(CHOOSE({1,2,3,4},NĐ!X220,NĐ!AD220,NĐ!AJ220,NĐ!AP220)))</f>
        <v>0</v>
      </c>
      <c r="B220">
        <f>SUMPRODUCT((MONTH(CHOOSE({1,2,3,4},NĐ!U220,NĐ!AA220,NĐ!AG220,NĐ!AM220))=2)*(CHOOSE({1,2,3,4},NĐ!X220,NĐ!AD220,NĐ!AJ220,NĐ!AP220)))</f>
        <v>0</v>
      </c>
      <c r="C220">
        <f>SUMPRODUCT((MONTH(CHOOSE({1,2,3,4},NĐ!U220,NĐ!AA220,NĐ!AG220,NĐ!AM220))=3)*(CHOOSE({1,2,3,4},NĐ!X220,NĐ!AD220,NĐ!AJ220,NĐ!AP220)))</f>
        <v>0</v>
      </c>
      <c r="D220">
        <f>SUMPRODUCT((MONTH(CHOOSE({1,2,3,4},NĐ!U220,NĐ!AA220,NĐ!AG220,NĐ!AM220))=4)*(CHOOSE({1,2,3,4},NĐ!X220,NĐ!AD220,NĐ!AJ220,NĐ!AP220)))</f>
        <v>0</v>
      </c>
      <c r="E220">
        <f>SUMPRODUCT((MONTH(CHOOSE({1,2,3,4},NĐ!U220,NĐ!AA220,NĐ!AG220,NĐ!AM220))=5)*(CHOOSE({1,2,3,4},NĐ!X220,NĐ!AD220,NĐ!AJ220,NĐ!AP220)))</f>
        <v>0</v>
      </c>
      <c r="F220">
        <f>SUMPRODUCT((MONTH(CHOOSE({1,2,3,4},NĐ!U220,NĐ!AA220,NĐ!AG220,NĐ!AM220))=6)*(CHOOSE({1,2,3,4},NĐ!X220,NĐ!AD220,NĐ!AJ220,NĐ!AP220)))</f>
        <v>0</v>
      </c>
      <c r="G220">
        <f>SUMPRODUCT((MONTH(CHOOSE({1,2,3,4},NĐ!U220,NĐ!AA220,NĐ!AG220,NĐ!AM220))=7)*(CHOOSE({1,2,3,4},NĐ!X220,NĐ!AD220,NĐ!AJ220,NĐ!AP220)))</f>
        <v>0</v>
      </c>
      <c r="H220">
        <f>SUMPRODUCT((MONTH(CHOOSE({1,2,3,4},NĐ!U220,NĐ!AA220,NĐ!AG220,NĐ!AM220))=8)*(CHOOSE({1,2,3,4},NĐ!X220,NĐ!AD220,NĐ!AJ220,NĐ!AP220)))</f>
        <v>0</v>
      </c>
      <c r="I220">
        <f>SUMPRODUCT((MONTH(CHOOSE({1,2,3,4},NĐ!U220,NĐ!AA220,NĐ!AG220,NĐ!AM220))=9)*(CHOOSE({1,2,3,4},NĐ!X220,NĐ!AD220,NĐ!AJ220,NĐ!AP220)))</f>
        <v>0</v>
      </c>
      <c r="J220">
        <f>SUMPRODUCT((MONTH(CHOOSE({1,2,3,4},NĐ!U220,NĐ!AA220,NĐ!AG220,NĐ!AM220))=10)*(CHOOSE({1,2,3,4},NĐ!X220,NĐ!AD220,NĐ!AJ220,NĐ!AP220)))</f>
        <v>0</v>
      </c>
      <c r="K220">
        <f>SUMPRODUCT((MONTH(CHOOSE({1,2,3,4},NĐ!U220,NĐ!AA220,NĐ!AG220,NĐ!AM220))=11)*(CHOOSE({1,2,3,4},NĐ!X220,NĐ!AD220,NĐ!AJ220,NĐ!AP220)))</f>
        <v>0</v>
      </c>
      <c r="L220">
        <f>SUMPRODUCT((MONTH(CHOOSE({1,2,3,4},NĐ!U220,NĐ!AA220,NĐ!AG220,NĐ!AM220))=12)*(CHOOSE({1,2,3,4},NĐ!X220,NĐ!AD220,NĐ!AJ220,NĐ!AP220)))</f>
        <v>0</v>
      </c>
    </row>
    <row r="221" spans="1:12">
      <c r="A221">
        <f>SUMPRODUCT((MONTH(CHOOSE({1,2,3,4},NĐ!U221,NĐ!AA221,NĐ!AG221,NĐ!AM221))=1)*(CHOOSE({1,2,3,4},NĐ!X221,NĐ!AD221,NĐ!AJ221,NĐ!AP221)))</f>
        <v>0</v>
      </c>
      <c r="B221">
        <f>SUMPRODUCT((MONTH(CHOOSE({1,2,3,4},NĐ!U221,NĐ!AA221,NĐ!AG221,NĐ!AM221))=2)*(CHOOSE({1,2,3,4},NĐ!X221,NĐ!AD221,NĐ!AJ221,NĐ!AP221)))</f>
        <v>0</v>
      </c>
      <c r="C221">
        <f>SUMPRODUCT((MONTH(CHOOSE({1,2,3,4},NĐ!U221,NĐ!AA221,NĐ!AG221,NĐ!AM221))=3)*(CHOOSE({1,2,3,4},NĐ!X221,NĐ!AD221,NĐ!AJ221,NĐ!AP221)))</f>
        <v>0</v>
      </c>
      <c r="D221">
        <f>SUMPRODUCT((MONTH(CHOOSE({1,2,3,4},NĐ!U221,NĐ!AA221,NĐ!AG221,NĐ!AM221))=4)*(CHOOSE({1,2,3,4},NĐ!X221,NĐ!AD221,NĐ!AJ221,NĐ!AP221)))</f>
        <v>0</v>
      </c>
      <c r="E221">
        <f>SUMPRODUCT((MONTH(CHOOSE({1,2,3,4},NĐ!U221,NĐ!AA221,NĐ!AG221,NĐ!AM221))=5)*(CHOOSE({1,2,3,4},NĐ!X221,NĐ!AD221,NĐ!AJ221,NĐ!AP221)))</f>
        <v>0</v>
      </c>
      <c r="F221">
        <f>SUMPRODUCT((MONTH(CHOOSE({1,2,3,4},NĐ!U221,NĐ!AA221,NĐ!AG221,NĐ!AM221))=6)*(CHOOSE({1,2,3,4},NĐ!X221,NĐ!AD221,NĐ!AJ221,NĐ!AP221)))</f>
        <v>0</v>
      </c>
      <c r="G221">
        <f>SUMPRODUCT((MONTH(CHOOSE({1,2,3,4},NĐ!U221,NĐ!AA221,NĐ!AG221,NĐ!AM221))=7)*(CHOOSE({1,2,3,4},NĐ!X221,NĐ!AD221,NĐ!AJ221,NĐ!AP221)))</f>
        <v>0</v>
      </c>
      <c r="H221">
        <f>SUMPRODUCT((MONTH(CHOOSE({1,2,3,4},NĐ!U221,NĐ!AA221,NĐ!AG221,NĐ!AM221))=8)*(CHOOSE({1,2,3,4},NĐ!X221,NĐ!AD221,NĐ!AJ221,NĐ!AP221)))</f>
        <v>0</v>
      </c>
      <c r="I221">
        <f>SUMPRODUCT((MONTH(CHOOSE({1,2,3,4},NĐ!U221,NĐ!AA221,NĐ!AG221,NĐ!AM221))=9)*(CHOOSE({1,2,3,4},NĐ!X221,NĐ!AD221,NĐ!AJ221,NĐ!AP221)))</f>
        <v>0</v>
      </c>
      <c r="J221">
        <f>SUMPRODUCT((MONTH(CHOOSE({1,2,3,4},NĐ!U221,NĐ!AA221,NĐ!AG221,NĐ!AM221))=10)*(CHOOSE({1,2,3,4},NĐ!X221,NĐ!AD221,NĐ!AJ221,NĐ!AP221)))</f>
        <v>0</v>
      </c>
      <c r="K221">
        <f>SUMPRODUCT((MONTH(CHOOSE({1,2,3,4},NĐ!U221,NĐ!AA221,NĐ!AG221,NĐ!AM221))=11)*(CHOOSE({1,2,3,4},NĐ!X221,NĐ!AD221,NĐ!AJ221,NĐ!AP221)))</f>
        <v>0</v>
      </c>
      <c r="L221">
        <f>SUMPRODUCT((MONTH(CHOOSE({1,2,3,4},NĐ!U221,NĐ!AA221,NĐ!AG221,NĐ!AM221))=12)*(CHOOSE({1,2,3,4},NĐ!X221,NĐ!AD221,NĐ!AJ221,NĐ!AP221)))</f>
        <v>0</v>
      </c>
    </row>
    <row r="222" spans="1:12">
      <c r="A222">
        <f>SUMPRODUCT((MONTH(CHOOSE({1,2,3,4},NĐ!U222,NĐ!AA222,NĐ!AG222,NĐ!AM222))=1)*(CHOOSE({1,2,3,4},NĐ!X222,NĐ!AD222,NĐ!AJ222,NĐ!AP222)))</f>
        <v>0</v>
      </c>
      <c r="B222">
        <f>SUMPRODUCT((MONTH(CHOOSE({1,2,3,4},NĐ!U222,NĐ!AA222,NĐ!AG222,NĐ!AM222))=2)*(CHOOSE({1,2,3,4},NĐ!X222,NĐ!AD222,NĐ!AJ222,NĐ!AP222)))</f>
        <v>0</v>
      </c>
      <c r="C222">
        <f>SUMPRODUCT((MONTH(CHOOSE({1,2,3,4},NĐ!U222,NĐ!AA222,NĐ!AG222,NĐ!AM222))=3)*(CHOOSE({1,2,3,4},NĐ!X222,NĐ!AD222,NĐ!AJ222,NĐ!AP222)))</f>
        <v>0</v>
      </c>
      <c r="D222">
        <f>SUMPRODUCT((MONTH(CHOOSE({1,2,3,4},NĐ!U222,NĐ!AA222,NĐ!AG222,NĐ!AM222))=4)*(CHOOSE({1,2,3,4},NĐ!X222,NĐ!AD222,NĐ!AJ222,NĐ!AP222)))</f>
        <v>0</v>
      </c>
      <c r="E222">
        <f>SUMPRODUCT((MONTH(CHOOSE({1,2,3,4},NĐ!U222,NĐ!AA222,NĐ!AG222,NĐ!AM222))=5)*(CHOOSE({1,2,3,4},NĐ!X222,NĐ!AD222,NĐ!AJ222,NĐ!AP222)))</f>
        <v>0</v>
      </c>
      <c r="F222">
        <f>SUMPRODUCT((MONTH(CHOOSE({1,2,3,4},NĐ!U222,NĐ!AA222,NĐ!AG222,NĐ!AM222))=6)*(CHOOSE({1,2,3,4},NĐ!X222,NĐ!AD222,NĐ!AJ222,NĐ!AP222)))</f>
        <v>0</v>
      </c>
      <c r="G222">
        <f>SUMPRODUCT((MONTH(CHOOSE({1,2,3,4},NĐ!U222,NĐ!AA222,NĐ!AG222,NĐ!AM222))=7)*(CHOOSE({1,2,3,4},NĐ!X222,NĐ!AD222,NĐ!AJ222,NĐ!AP222)))</f>
        <v>0</v>
      </c>
      <c r="H222">
        <f>SUMPRODUCT((MONTH(CHOOSE({1,2,3,4},NĐ!U222,NĐ!AA222,NĐ!AG222,NĐ!AM222))=8)*(CHOOSE({1,2,3,4},NĐ!X222,NĐ!AD222,NĐ!AJ222,NĐ!AP222)))</f>
        <v>0</v>
      </c>
      <c r="I222">
        <f>SUMPRODUCT((MONTH(CHOOSE({1,2,3,4},NĐ!U222,NĐ!AA222,NĐ!AG222,NĐ!AM222))=9)*(CHOOSE({1,2,3,4},NĐ!X222,NĐ!AD222,NĐ!AJ222,NĐ!AP222)))</f>
        <v>0</v>
      </c>
      <c r="J222">
        <f>SUMPRODUCT((MONTH(CHOOSE({1,2,3,4},NĐ!U222,NĐ!AA222,NĐ!AG222,NĐ!AM222))=10)*(CHOOSE({1,2,3,4},NĐ!X222,NĐ!AD222,NĐ!AJ222,NĐ!AP222)))</f>
        <v>0</v>
      </c>
      <c r="K222">
        <f>SUMPRODUCT((MONTH(CHOOSE({1,2,3,4},NĐ!U222,NĐ!AA222,NĐ!AG222,NĐ!AM222))=11)*(CHOOSE({1,2,3,4},NĐ!X222,NĐ!AD222,NĐ!AJ222,NĐ!AP222)))</f>
        <v>0</v>
      </c>
      <c r="L222">
        <f>SUMPRODUCT((MONTH(CHOOSE({1,2,3,4},NĐ!U222,NĐ!AA222,NĐ!AG222,NĐ!AM222))=12)*(CHOOSE({1,2,3,4},NĐ!X222,NĐ!AD222,NĐ!AJ222,NĐ!AP222)))</f>
        <v>0</v>
      </c>
    </row>
    <row r="223" spans="1:12">
      <c r="A223">
        <f>SUMPRODUCT((MONTH(CHOOSE({1,2,3,4},NĐ!U223,NĐ!AA223,NĐ!AG223,NĐ!AM223))=1)*(CHOOSE({1,2,3,4},NĐ!X223,NĐ!AD223,NĐ!AJ223,NĐ!AP223)))</f>
        <v>0</v>
      </c>
      <c r="B223">
        <f>SUMPRODUCT((MONTH(CHOOSE({1,2,3,4},NĐ!U223,NĐ!AA223,NĐ!AG223,NĐ!AM223))=2)*(CHOOSE({1,2,3,4},NĐ!X223,NĐ!AD223,NĐ!AJ223,NĐ!AP223)))</f>
        <v>0</v>
      </c>
      <c r="C223">
        <f>SUMPRODUCT((MONTH(CHOOSE({1,2,3,4},NĐ!U223,NĐ!AA223,NĐ!AG223,NĐ!AM223))=3)*(CHOOSE({1,2,3,4},NĐ!X223,NĐ!AD223,NĐ!AJ223,NĐ!AP223)))</f>
        <v>0</v>
      </c>
      <c r="D223">
        <f>SUMPRODUCT((MONTH(CHOOSE({1,2,3,4},NĐ!U223,NĐ!AA223,NĐ!AG223,NĐ!AM223))=4)*(CHOOSE({1,2,3,4},NĐ!X223,NĐ!AD223,NĐ!AJ223,NĐ!AP223)))</f>
        <v>0</v>
      </c>
      <c r="E223">
        <f>SUMPRODUCT((MONTH(CHOOSE({1,2,3,4},NĐ!U223,NĐ!AA223,NĐ!AG223,NĐ!AM223))=5)*(CHOOSE({1,2,3,4},NĐ!X223,NĐ!AD223,NĐ!AJ223,NĐ!AP223)))</f>
        <v>0</v>
      </c>
      <c r="F223">
        <f>SUMPRODUCT((MONTH(CHOOSE({1,2,3,4},NĐ!U223,NĐ!AA223,NĐ!AG223,NĐ!AM223))=6)*(CHOOSE({1,2,3,4},NĐ!X223,NĐ!AD223,NĐ!AJ223,NĐ!AP223)))</f>
        <v>0</v>
      </c>
      <c r="G223">
        <f>SUMPRODUCT((MONTH(CHOOSE({1,2,3,4},NĐ!U223,NĐ!AA223,NĐ!AG223,NĐ!AM223))=7)*(CHOOSE({1,2,3,4},NĐ!X223,NĐ!AD223,NĐ!AJ223,NĐ!AP223)))</f>
        <v>0</v>
      </c>
      <c r="H223">
        <f>SUMPRODUCT((MONTH(CHOOSE({1,2,3,4},NĐ!U223,NĐ!AA223,NĐ!AG223,NĐ!AM223))=8)*(CHOOSE({1,2,3,4},NĐ!X223,NĐ!AD223,NĐ!AJ223,NĐ!AP223)))</f>
        <v>0</v>
      </c>
      <c r="I223">
        <f>SUMPRODUCT((MONTH(CHOOSE({1,2,3,4},NĐ!U223,NĐ!AA223,NĐ!AG223,NĐ!AM223))=9)*(CHOOSE({1,2,3,4},NĐ!X223,NĐ!AD223,NĐ!AJ223,NĐ!AP223)))</f>
        <v>0</v>
      </c>
      <c r="J223">
        <f>SUMPRODUCT((MONTH(CHOOSE({1,2,3,4},NĐ!U223,NĐ!AA223,NĐ!AG223,NĐ!AM223))=10)*(CHOOSE({1,2,3,4},NĐ!X223,NĐ!AD223,NĐ!AJ223,NĐ!AP223)))</f>
        <v>0</v>
      </c>
      <c r="K223">
        <f>SUMPRODUCT((MONTH(CHOOSE({1,2,3,4},NĐ!U223,NĐ!AA223,NĐ!AG223,NĐ!AM223))=11)*(CHOOSE({1,2,3,4},NĐ!X223,NĐ!AD223,NĐ!AJ223,NĐ!AP223)))</f>
        <v>0</v>
      </c>
      <c r="L223">
        <f>SUMPRODUCT((MONTH(CHOOSE({1,2,3,4},NĐ!U223,NĐ!AA223,NĐ!AG223,NĐ!AM223))=12)*(CHOOSE({1,2,3,4},NĐ!X223,NĐ!AD223,NĐ!AJ223,NĐ!AP223)))</f>
        <v>0</v>
      </c>
    </row>
    <row r="224" spans="1:12">
      <c r="A224">
        <f>SUMPRODUCT((MONTH(CHOOSE({1,2,3,4},NĐ!U224,NĐ!AA224,NĐ!AG224,NĐ!AM224))=1)*(CHOOSE({1,2,3,4},NĐ!X224,NĐ!AD224,NĐ!AJ224,NĐ!AP224)))</f>
        <v>0</v>
      </c>
      <c r="B224">
        <f>SUMPRODUCT((MONTH(CHOOSE({1,2,3,4},NĐ!U224,NĐ!AA224,NĐ!AG224,NĐ!AM224))=2)*(CHOOSE({1,2,3,4},NĐ!X224,NĐ!AD224,NĐ!AJ224,NĐ!AP224)))</f>
        <v>0</v>
      </c>
      <c r="C224">
        <f>SUMPRODUCT((MONTH(CHOOSE({1,2,3,4},NĐ!U224,NĐ!AA224,NĐ!AG224,NĐ!AM224))=3)*(CHOOSE({1,2,3,4},NĐ!X224,NĐ!AD224,NĐ!AJ224,NĐ!AP224)))</f>
        <v>0</v>
      </c>
      <c r="D224">
        <f>SUMPRODUCT((MONTH(CHOOSE({1,2,3,4},NĐ!U224,NĐ!AA224,NĐ!AG224,NĐ!AM224))=4)*(CHOOSE({1,2,3,4},NĐ!X224,NĐ!AD224,NĐ!AJ224,NĐ!AP224)))</f>
        <v>0</v>
      </c>
      <c r="E224">
        <f>SUMPRODUCT((MONTH(CHOOSE({1,2,3,4},NĐ!U224,NĐ!AA224,NĐ!AG224,NĐ!AM224))=5)*(CHOOSE({1,2,3,4},NĐ!X224,NĐ!AD224,NĐ!AJ224,NĐ!AP224)))</f>
        <v>0</v>
      </c>
      <c r="F224">
        <f>SUMPRODUCT((MONTH(CHOOSE({1,2,3,4},NĐ!U224,NĐ!AA224,NĐ!AG224,NĐ!AM224))=6)*(CHOOSE({1,2,3,4},NĐ!X224,NĐ!AD224,NĐ!AJ224,NĐ!AP224)))</f>
        <v>0</v>
      </c>
      <c r="G224">
        <f>SUMPRODUCT((MONTH(CHOOSE({1,2,3,4},NĐ!U224,NĐ!AA224,NĐ!AG224,NĐ!AM224))=7)*(CHOOSE({1,2,3,4},NĐ!X224,NĐ!AD224,NĐ!AJ224,NĐ!AP224)))</f>
        <v>0</v>
      </c>
      <c r="H224">
        <f>SUMPRODUCT((MONTH(CHOOSE({1,2,3,4},NĐ!U224,NĐ!AA224,NĐ!AG224,NĐ!AM224))=8)*(CHOOSE({1,2,3,4},NĐ!X224,NĐ!AD224,NĐ!AJ224,NĐ!AP224)))</f>
        <v>0</v>
      </c>
      <c r="I224">
        <f>SUMPRODUCT((MONTH(CHOOSE({1,2,3,4},NĐ!U224,NĐ!AA224,NĐ!AG224,NĐ!AM224))=9)*(CHOOSE({1,2,3,4},NĐ!X224,NĐ!AD224,NĐ!AJ224,NĐ!AP224)))</f>
        <v>0</v>
      </c>
      <c r="J224">
        <f>SUMPRODUCT((MONTH(CHOOSE({1,2,3,4},NĐ!U224,NĐ!AA224,NĐ!AG224,NĐ!AM224))=10)*(CHOOSE({1,2,3,4},NĐ!X224,NĐ!AD224,NĐ!AJ224,NĐ!AP224)))</f>
        <v>0</v>
      </c>
      <c r="K224">
        <f>SUMPRODUCT((MONTH(CHOOSE({1,2,3,4},NĐ!U224,NĐ!AA224,NĐ!AG224,NĐ!AM224))=11)*(CHOOSE({1,2,3,4},NĐ!X224,NĐ!AD224,NĐ!AJ224,NĐ!AP224)))</f>
        <v>0</v>
      </c>
      <c r="L224">
        <f>SUMPRODUCT((MONTH(CHOOSE({1,2,3,4},NĐ!U224,NĐ!AA224,NĐ!AG224,NĐ!AM224))=12)*(CHOOSE({1,2,3,4},NĐ!X224,NĐ!AD224,NĐ!AJ224,NĐ!AP224)))</f>
        <v>0</v>
      </c>
    </row>
    <row r="225" spans="1:12">
      <c r="A225">
        <f>SUMPRODUCT((MONTH(CHOOSE({1,2,3,4},NĐ!U225,NĐ!AA225,NĐ!AG225,NĐ!AM225))=1)*(CHOOSE({1,2,3,4},NĐ!X225,NĐ!AD225,NĐ!AJ225,NĐ!AP225)))</f>
        <v>0</v>
      </c>
      <c r="B225">
        <f>SUMPRODUCT((MONTH(CHOOSE({1,2,3,4},NĐ!U225,NĐ!AA225,NĐ!AG225,NĐ!AM225))=2)*(CHOOSE({1,2,3,4},NĐ!X225,NĐ!AD225,NĐ!AJ225,NĐ!AP225)))</f>
        <v>0</v>
      </c>
      <c r="C225">
        <f>SUMPRODUCT((MONTH(CHOOSE({1,2,3,4},NĐ!U225,NĐ!AA225,NĐ!AG225,NĐ!AM225))=3)*(CHOOSE({1,2,3,4},NĐ!X225,NĐ!AD225,NĐ!AJ225,NĐ!AP225)))</f>
        <v>0</v>
      </c>
      <c r="D225">
        <f>SUMPRODUCT((MONTH(CHOOSE({1,2,3,4},NĐ!U225,NĐ!AA225,NĐ!AG225,NĐ!AM225))=4)*(CHOOSE({1,2,3,4},NĐ!X225,NĐ!AD225,NĐ!AJ225,NĐ!AP225)))</f>
        <v>0</v>
      </c>
      <c r="E225">
        <f>SUMPRODUCT((MONTH(CHOOSE({1,2,3,4},NĐ!U225,NĐ!AA225,NĐ!AG225,NĐ!AM225))=5)*(CHOOSE({1,2,3,4},NĐ!X225,NĐ!AD225,NĐ!AJ225,NĐ!AP225)))</f>
        <v>0</v>
      </c>
      <c r="F225">
        <f>SUMPRODUCT((MONTH(CHOOSE({1,2,3,4},NĐ!U225,NĐ!AA225,NĐ!AG225,NĐ!AM225))=6)*(CHOOSE({1,2,3,4},NĐ!X225,NĐ!AD225,NĐ!AJ225,NĐ!AP225)))</f>
        <v>0</v>
      </c>
      <c r="G225">
        <f>SUMPRODUCT((MONTH(CHOOSE({1,2,3,4},NĐ!U225,NĐ!AA225,NĐ!AG225,NĐ!AM225))=7)*(CHOOSE({1,2,3,4},NĐ!X225,NĐ!AD225,NĐ!AJ225,NĐ!AP225)))</f>
        <v>0</v>
      </c>
      <c r="H225">
        <f>SUMPRODUCT((MONTH(CHOOSE({1,2,3,4},NĐ!U225,NĐ!AA225,NĐ!AG225,NĐ!AM225))=8)*(CHOOSE({1,2,3,4},NĐ!X225,NĐ!AD225,NĐ!AJ225,NĐ!AP225)))</f>
        <v>0</v>
      </c>
      <c r="I225">
        <f>SUMPRODUCT((MONTH(CHOOSE({1,2,3,4},NĐ!U225,NĐ!AA225,NĐ!AG225,NĐ!AM225))=9)*(CHOOSE({1,2,3,4},NĐ!X225,NĐ!AD225,NĐ!AJ225,NĐ!AP225)))</f>
        <v>0</v>
      </c>
      <c r="J225">
        <f>SUMPRODUCT((MONTH(CHOOSE({1,2,3,4},NĐ!U225,NĐ!AA225,NĐ!AG225,NĐ!AM225))=10)*(CHOOSE({1,2,3,4},NĐ!X225,NĐ!AD225,NĐ!AJ225,NĐ!AP225)))</f>
        <v>0</v>
      </c>
      <c r="K225">
        <f>SUMPRODUCT((MONTH(CHOOSE({1,2,3,4},NĐ!U225,NĐ!AA225,NĐ!AG225,NĐ!AM225))=11)*(CHOOSE({1,2,3,4},NĐ!X225,NĐ!AD225,NĐ!AJ225,NĐ!AP225)))</f>
        <v>0</v>
      </c>
      <c r="L225">
        <f>SUMPRODUCT((MONTH(CHOOSE({1,2,3,4},NĐ!U225,NĐ!AA225,NĐ!AG225,NĐ!AM225))=12)*(CHOOSE({1,2,3,4},NĐ!X225,NĐ!AD225,NĐ!AJ225,NĐ!AP225)))</f>
        <v>0</v>
      </c>
    </row>
    <row r="226" spans="1:12">
      <c r="A226">
        <f>SUMPRODUCT((MONTH(CHOOSE({1,2,3,4},NĐ!U226,NĐ!AA226,NĐ!AG226,NĐ!AM226))=1)*(CHOOSE({1,2,3,4},NĐ!X226,NĐ!AD226,NĐ!AJ226,NĐ!AP226)))</f>
        <v>0</v>
      </c>
      <c r="B226">
        <f>SUMPRODUCT((MONTH(CHOOSE({1,2,3,4},NĐ!U226,NĐ!AA226,NĐ!AG226,NĐ!AM226))=2)*(CHOOSE({1,2,3,4},NĐ!X226,NĐ!AD226,NĐ!AJ226,NĐ!AP226)))</f>
        <v>0</v>
      </c>
      <c r="C226">
        <f>SUMPRODUCT((MONTH(CHOOSE({1,2,3,4},NĐ!U226,NĐ!AA226,NĐ!AG226,NĐ!AM226))=3)*(CHOOSE({1,2,3,4},NĐ!X226,NĐ!AD226,NĐ!AJ226,NĐ!AP226)))</f>
        <v>0</v>
      </c>
      <c r="D226">
        <f>SUMPRODUCT((MONTH(CHOOSE({1,2,3,4},NĐ!U226,NĐ!AA226,NĐ!AG226,NĐ!AM226))=4)*(CHOOSE({1,2,3,4},NĐ!X226,NĐ!AD226,NĐ!AJ226,NĐ!AP226)))</f>
        <v>0</v>
      </c>
      <c r="E226">
        <f>SUMPRODUCT((MONTH(CHOOSE({1,2,3,4},NĐ!U226,NĐ!AA226,NĐ!AG226,NĐ!AM226))=5)*(CHOOSE({1,2,3,4},NĐ!X226,NĐ!AD226,NĐ!AJ226,NĐ!AP226)))</f>
        <v>0</v>
      </c>
      <c r="F226">
        <f>SUMPRODUCT((MONTH(CHOOSE({1,2,3,4},NĐ!U226,NĐ!AA226,NĐ!AG226,NĐ!AM226))=6)*(CHOOSE({1,2,3,4},NĐ!X226,NĐ!AD226,NĐ!AJ226,NĐ!AP226)))</f>
        <v>0</v>
      </c>
      <c r="G226">
        <f>SUMPRODUCT((MONTH(CHOOSE({1,2,3,4},NĐ!U226,NĐ!AA226,NĐ!AG226,NĐ!AM226))=7)*(CHOOSE({1,2,3,4},NĐ!X226,NĐ!AD226,NĐ!AJ226,NĐ!AP226)))</f>
        <v>0</v>
      </c>
      <c r="H226">
        <f>SUMPRODUCT((MONTH(CHOOSE({1,2,3,4},NĐ!U226,NĐ!AA226,NĐ!AG226,NĐ!AM226))=8)*(CHOOSE({1,2,3,4},NĐ!X226,NĐ!AD226,NĐ!AJ226,NĐ!AP226)))</f>
        <v>0</v>
      </c>
      <c r="I226">
        <f>SUMPRODUCT((MONTH(CHOOSE({1,2,3,4},NĐ!U226,NĐ!AA226,NĐ!AG226,NĐ!AM226))=9)*(CHOOSE({1,2,3,4},NĐ!X226,NĐ!AD226,NĐ!AJ226,NĐ!AP226)))</f>
        <v>0</v>
      </c>
      <c r="J226">
        <f>SUMPRODUCT((MONTH(CHOOSE({1,2,3,4},NĐ!U226,NĐ!AA226,NĐ!AG226,NĐ!AM226))=10)*(CHOOSE({1,2,3,4},NĐ!X226,NĐ!AD226,NĐ!AJ226,NĐ!AP226)))</f>
        <v>0</v>
      </c>
      <c r="K226">
        <f>SUMPRODUCT((MONTH(CHOOSE({1,2,3,4},NĐ!U226,NĐ!AA226,NĐ!AG226,NĐ!AM226))=11)*(CHOOSE({1,2,3,4},NĐ!X226,NĐ!AD226,NĐ!AJ226,NĐ!AP226)))</f>
        <v>0</v>
      </c>
      <c r="L226">
        <f>SUMPRODUCT((MONTH(CHOOSE({1,2,3,4},NĐ!U226,NĐ!AA226,NĐ!AG226,NĐ!AM226))=12)*(CHOOSE({1,2,3,4},NĐ!X226,NĐ!AD226,NĐ!AJ226,NĐ!AP226)))</f>
        <v>0</v>
      </c>
    </row>
    <row r="227" spans="1:12">
      <c r="A227">
        <f>SUMPRODUCT((MONTH(CHOOSE({1,2,3,4},NĐ!U227,NĐ!AA227,NĐ!AG227,NĐ!AM227))=1)*(CHOOSE({1,2,3,4},NĐ!X227,NĐ!AD227,NĐ!AJ227,NĐ!AP227)))</f>
        <v>0</v>
      </c>
      <c r="B227">
        <f>SUMPRODUCT((MONTH(CHOOSE({1,2,3,4},NĐ!U227,NĐ!AA227,NĐ!AG227,NĐ!AM227))=2)*(CHOOSE({1,2,3,4},NĐ!X227,NĐ!AD227,NĐ!AJ227,NĐ!AP227)))</f>
        <v>0</v>
      </c>
      <c r="C227">
        <f>SUMPRODUCT((MONTH(CHOOSE({1,2,3,4},NĐ!U227,NĐ!AA227,NĐ!AG227,NĐ!AM227))=3)*(CHOOSE({1,2,3,4},NĐ!X227,NĐ!AD227,NĐ!AJ227,NĐ!AP227)))</f>
        <v>0</v>
      </c>
      <c r="D227">
        <f>SUMPRODUCT((MONTH(CHOOSE({1,2,3,4},NĐ!U227,NĐ!AA227,NĐ!AG227,NĐ!AM227))=4)*(CHOOSE({1,2,3,4},NĐ!X227,NĐ!AD227,NĐ!AJ227,NĐ!AP227)))</f>
        <v>0</v>
      </c>
      <c r="E227">
        <f>SUMPRODUCT((MONTH(CHOOSE({1,2,3,4},NĐ!U227,NĐ!AA227,NĐ!AG227,NĐ!AM227))=5)*(CHOOSE({1,2,3,4},NĐ!X227,NĐ!AD227,NĐ!AJ227,NĐ!AP227)))</f>
        <v>0</v>
      </c>
      <c r="F227">
        <f>SUMPRODUCT((MONTH(CHOOSE({1,2,3,4},NĐ!U227,NĐ!AA227,NĐ!AG227,NĐ!AM227))=6)*(CHOOSE({1,2,3,4},NĐ!X227,NĐ!AD227,NĐ!AJ227,NĐ!AP227)))</f>
        <v>0</v>
      </c>
      <c r="G227">
        <f>SUMPRODUCT((MONTH(CHOOSE({1,2,3,4},NĐ!U227,NĐ!AA227,NĐ!AG227,NĐ!AM227))=7)*(CHOOSE({1,2,3,4},NĐ!X227,NĐ!AD227,NĐ!AJ227,NĐ!AP227)))</f>
        <v>0</v>
      </c>
      <c r="H227">
        <f>SUMPRODUCT((MONTH(CHOOSE({1,2,3,4},NĐ!U227,NĐ!AA227,NĐ!AG227,NĐ!AM227))=8)*(CHOOSE({1,2,3,4},NĐ!X227,NĐ!AD227,NĐ!AJ227,NĐ!AP227)))</f>
        <v>0</v>
      </c>
      <c r="I227">
        <f>SUMPRODUCT((MONTH(CHOOSE({1,2,3,4},NĐ!U227,NĐ!AA227,NĐ!AG227,NĐ!AM227))=9)*(CHOOSE({1,2,3,4},NĐ!X227,NĐ!AD227,NĐ!AJ227,NĐ!AP227)))</f>
        <v>0</v>
      </c>
      <c r="J227">
        <f>SUMPRODUCT((MONTH(CHOOSE({1,2,3,4},NĐ!U227,NĐ!AA227,NĐ!AG227,NĐ!AM227))=10)*(CHOOSE({1,2,3,4},NĐ!X227,NĐ!AD227,NĐ!AJ227,NĐ!AP227)))</f>
        <v>0</v>
      </c>
      <c r="K227">
        <f>SUMPRODUCT((MONTH(CHOOSE({1,2,3,4},NĐ!U227,NĐ!AA227,NĐ!AG227,NĐ!AM227))=11)*(CHOOSE({1,2,3,4},NĐ!X227,NĐ!AD227,NĐ!AJ227,NĐ!AP227)))</f>
        <v>0</v>
      </c>
      <c r="L227">
        <f>SUMPRODUCT((MONTH(CHOOSE({1,2,3,4},NĐ!U227,NĐ!AA227,NĐ!AG227,NĐ!AM227))=12)*(CHOOSE({1,2,3,4},NĐ!X227,NĐ!AD227,NĐ!AJ227,NĐ!AP227)))</f>
        <v>0</v>
      </c>
    </row>
    <row r="228" spans="1:12">
      <c r="A228">
        <f>SUMPRODUCT((MONTH(CHOOSE({1,2,3,4},NĐ!U228,NĐ!AA228,NĐ!AG228,NĐ!AM228))=1)*(CHOOSE({1,2,3,4},NĐ!X228,NĐ!AD228,NĐ!AJ228,NĐ!AP228)))</f>
        <v>0</v>
      </c>
      <c r="B228">
        <f>SUMPRODUCT((MONTH(CHOOSE({1,2,3,4},NĐ!U228,NĐ!AA228,NĐ!AG228,NĐ!AM228))=2)*(CHOOSE({1,2,3,4},NĐ!X228,NĐ!AD228,NĐ!AJ228,NĐ!AP228)))</f>
        <v>0</v>
      </c>
      <c r="C228">
        <f>SUMPRODUCT((MONTH(CHOOSE({1,2,3,4},NĐ!U228,NĐ!AA228,NĐ!AG228,NĐ!AM228))=3)*(CHOOSE({1,2,3,4},NĐ!X228,NĐ!AD228,NĐ!AJ228,NĐ!AP228)))</f>
        <v>0</v>
      </c>
      <c r="D228">
        <f>SUMPRODUCT((MONTH(CHOOSE({1,2,3,4},NĐ!U228,NĐ!AA228,NĐ!AG228,NĐ!AM228))=4)*(CHOOSE({1,2,3,4},NĐ!X228,NĐ!AD228,NĐ!AJ228,NĐ!AP228)))</f>
        <v>0</v>
      </c>
      <c r="E228">
        <f>SUMPRODUCT((MONTH(CHOOSE({1,2,3,4},NĐ!U228,NĐ!AA228,NĐ!AG228,NĐ!AM228))=5)*(CHOOSE({1,2,3,4},NĐ!X228,NĐ!AD228,NĐ!AJ228,NĐ!AP228)))</f>
        <v>0</v>
      </c>
      <c r="F228">
        <f>SUMPRODUCT((MONTH(CHOOSE({1,2,3,4},NĐ!U228,NĐ!AA228,NĐ!AG228,NĐ!AM228))=6)*(CHOOSE({1,2,3,4},NĐ!X228,NĐ!AD228,NĐ!AJ228,NĐ!AP228)))</f>
        <v>0</v>
      </c>
      <c r="G228">
        <f>SUMPRODUCT((MONTH(CHOOSE({1,2,3,4},NĐ!U228,NĐ!AA228,NĐ!AG228,NĐ!AM228))=7)*(CHOOSE({1,2,3,4},NĐ!X228,NĐ!AD228,NĐ!AJ228,NĐ!AP228)))</f>
        <v>0</v>
      </c>
      <c r="H228">
        <f>SUMPRODUCT((MONTH(CHOOSE({1,2,3,4},NĐ!U228,NĐ!AA228,NĐ!AG228,NĐ!AM228))=8)*(CHOOSE({1,2,3,4},NĐ!X228,NĐ!AD228,NĐ!AJ228,NĐ!AP228)))</f>
        <v>0</v>
      </c>
      <c r="I228">
        <f>SUMPRODUCT((MONTH(CHOOSE({1,2,3,4},NĐ!U228,NĐ!AA228,NĐ!AG228,NĐ!AM228))=9)*(CHOOSE({1,2,3,4},NĐ!X228,NĐ!AD228,NĐ!AJ228,NĐ!AP228)))</f>
        <v>0</v>
      </c>
      <c r="J228">
        <f>SUMPRODUCT((MONTH(CHOOSE({1,2,3,4},NĐ!U228,NĐ!AA228,NĐ!AG228,NĐ!AM228))=10)*(CHOOSE({1,2,3,4},NĐ!X228,NĐ!AD228,NĐ!AJ228,NĐ!AP228)))</f>
        <v>0</v>
      </c>
      <c r="K228">
        <f>SUMPRODUCT((MONTH(CHOOSE({1,2,3,4},NĐ!U228,NĐ!AA228,NĐ!AG228,NĐ!AM228))=11)*(CHOOSE({1,2,3,4},NĐ!X228,NĐ!AD228,NĐ!AJ228,NĐ!AP228)))</f>
        <v>0</v>
      </c>
      <c r="L228">
        <f>SUMPRODUCT((MONTH(CHOOSE({1,2,3,4},NĐ!U228,NĐ!AA228,NĐ!AG228,NĐ!AM228))=12)*(CHOOSE({1,2,3,4},NĐ!X228,NĐ!AD228,NĐ!AJ228,NĐ!AP228)))</f>
        <v>0</v>
      </c>
    </row>
    <row r="229" spans="1:12">
      <c r="A229">
        <f>SUMPRODUCT((MONTH(CHOOSE({1,2,3,4},NĐ!U229,NĐ!AA229,NĐ!AG229,NĐ!AM229))=1)*(CHOOSE({1,2,3,4},NĐ!X229,NĐ!AD229,NĐ!AJ229,NĐ!AP229)))</f>
        <v>0</v>
      </c>
      <c r="B229">
        <f>SUMPRODUCT((MONTH(CHOOSE({1,2,3,4},NĐ!U229,NĐ!AA229,NĐ!AG229,NĐ!AM229))=2)*(CHOOSE({1,2,3,4},NĐ!X229,NĐ!AD229,NĐ!AJ229,NĐ!AP229)))</f>
        <v>0</v>
      </c>
      <c r="C229">
        <f>SUMPRODUCT((MONTH(CHOOSE({1,2,3,4},NĐ!U229,NĐ!AA229,NĐ!AG229,NĐ!AM229))=3)*(CHOOSE({1,2,3,4},NĐ!X229,NĐ!AD229,NĐ!AJ229,NĐ!AP229)))</f>
        <v>0</v>
      </c>
      <c r="D229">
        <f>SUMPRODUCT((MONTH(CHOOSE({1,2,3,4},NĐ!U229,NĐ!AA229,NĐ!AG229,NĐ!AM229))=4)*(CHOOSE({1,2,3,4},NĐ!X229,NĐ!AD229,NĐ!AJ229,NĐ!AP229)))</f>
        <v>0</v>
      </c>
      <c r="E229">
        <f>SUMPRODUCT((MONTH(CHOOSE({1,2,3,4},NĐ!U229,NĐ!AA229,NĐ!AG229,NĐ!AM229))=5)*(CHOOSE({1,2,3,4},NĐ!X229,NĐ!AD229,NĐ!AJ229,NĐ!AP229)))</f>
        <v>0</v>
      </c>
      <c r="F229">
        <f>SUMPRODUCT((MONTH(CHOOSE({1,2,3,4},NĐ!U229,NĐ!AA229,NĐ!AG229,NĐ!AM229))=6)*(CHOOSE({1,2,3,4},NĐ!X229,NĐ!AD229,NĐ!AJ229,NĐ!AP229)))</f>
        <v>0</v>
      </c>
      <c r="G229">
        <f>SUMPRODUCT((MONTH(CHOOSE({1,2,3,4},NĐ!U229,NĐ!AA229,NĐ!AG229,NĐ!AM229))=7)*(CHOOSE({1,2,3,4},NĐ!X229,NĐ!AD229,NĐ!AJ229,NĐ!AP229)))</f>
        <v>0</v>
      </c>
      <c r="H229">
        <f>SUMPRODUCT((MONTH(CHOOSE({1,2,3,4},NĐ!U229,NĐ!AA229,NĐ!AG229,NĐ!AM229))=8)*(CHOOSE({1,2,3,4},NĐ!X229,NĐ!AD229,NĐ!AJ229,NĐ!AP229)))</f>
        <v>0</v>
      </c>
      <c r="I229">
        <f>SUMPRODUCT((MONTH(CHOOSE({1,2,3,4},NĐ!U229,NĐ!AA229,NĐ!AG229,NĐ!AM229))=9)*(CHOOSE({1,2,3,4},NĐ!X229,NĐ!AD229,NĐ!AJ229,NĐ!AP229)))</f>
        <v>0</v>
      </c>
      <c r="J229">
        <f>SUMPRODUCT((MONTH(CHOOSE({1,2,3,4},NĐ!U229,NĐ!AA229,NĐ!AG229,NĐ!AM229))=10)*(CHOOSE({1,2,3,4},NĐ!X229,NĐ!AD229,NĐ!AJ229,NĐ!AP229)))</f>
        <v>0</v>
      </c>
      <c r="K229">
        <f>SUMPRODUCT((MONTH(CHOOSE({1,2,3,4},NĐ!U229,NĐ!AA229,NĐ!AG229,NĐ!AM229))=11)*(CHOOSE({1,2,3,4},NĐ!X229,NĐ!AD229,NĐ!AJ229,NĐ!AP229)))</f>
        <v>0</v>
      </c>
      <c r="L229">
        <f>SUMPRODUCT((MONTH(CHOOSE({1,2,3,4},NĐ!U229,NĐ!AA229,NĐ!AG229,NĐ!AM229))=12)*(CHOOSE({1,2,3,4},NĐ!X229,NĐ!AD229,NĐ!AJ229,NĐ!AP229)))</f>
        <v>0</v>
      </c>
    </row>
    <row r="230" spans="1:12">
      <c r="A230">
        <f>SUMPRODUCT((MONTH(CHOOSE({1,2,3,4},NĐ!U230,NĐ!AA230,NĐ!AG230,NĐ!AM230))=1)*(CHOOSE({1,2,3,4},NĐ!X230,NĐ!AD230,NĐ!AJ230,NĐ!AP230)))</f>
        <v>0</v>
      </c>
      <c r="B230">
        <f>SUMPRODUCT((MONTH(CHOOSE({1,2,3,4},NĐ!U230,NĐ!AA230,NĐ!AG230,NĐ!AM230))=2)*(CHOOSE({1,2,3,4},NĐ!X230,NĐ!AD230,NĐ!AJ230,NĐ!AP230)))</f>
        <v>0</v>
      </c>
      <c r="C230">
        <f>SUMPRODUCT((MONTH(CHOOSE({1,2,3,4},NĐ!U230,NĐ!AA230,NĐ!AG230,NĐ!AM230))=3)*(CHOOSE({1,2,3,4},NĐ!X230,NĐ!AD230,NĐ!AJ230,NĐ!AP230)))</f>
        <v>0</v>
      </c>
      <c r="D230">
        <f>SUMPRODUCT((MONTH(CHOOSE({1,2,3,4},NĐ!U230,NĐ!AA230,NĐ!AG230,NĐ!AM230))=4)*(CHOOSE({1,2,3,4},NĐ!X230,NĐ!AD230,NĐ!AJ230,NĐ!AP230)))</f>
        <v>0</v>
      </c>
      <c r="E230">
        <f>SUMPRODUCT((MONTH(CHOOSE({1,2,3,4},NĐ!U230,NĐ!AA230,NĐ!AG230,NĐ!AM230))=5)*(CHOOSE({1,2,3,4},NĐ!X230,NĐ!AD230,NĐ!AJ230,NĐ!AP230)))</f>
        <v>0</v>
      </c>
      <c r="F230">
        <f>SUMPRODUCT((MONTH(CHOOSE({1,2,3,4},NĐ!U230,NĐ!AA230,NĐ!AG230,NĐ!AM230))=6)*(CHOOSE({1,2,3,4},NĐ!X230,NĐ!AD230,NĐ!AJ230,NĐ!AP230)))</f>
        <v>0</v>
      </c>
      <c r="G230">
        <f>SUMPRODUCT((MONTH(CHOOSE({1,2,3,4},NĐ!U230,NĐ!AA230,NĐ!AG230,NĐ!AM230))=7)*(CHOOSE({1,2,3,4},NĐ!X230,NĐ!AD230,NĐ!AJ230,NĐ!AP230)))</f>
        <v>0</v>
      </c>
      <c r="H230">
        <f>SUMPRODUCT((MONTH(CHOOSE({1,2,3,4},NĐ!U230,NĐ!AA230,NĐ!AG230,NĐ!AM230))=8)*(CHOOSE({1,2,3,4},NĐ!X230,NĐ!AD230,NĐ!AJ230,NĐ!AP230)))</f>
        <v>0</v>
      </c>
      <c r="I230">
        <f>SUMPRODUCT((MONTH(CHOOSE({1,2,3,4},NĐ!U230,NĐ!AA230,NĐ!AG230,NĐ!AM230))=9)*(CHOOSE({1,2,3,4},NĐ!X230,NĐ!AD230,NĐ!AJ230,NĐ!AP230)))</f>
        <v>0</v>
      </c>
      <c r="J230">
        <f>SUMPRODUCT((MONTH(CHOOSE({1,2,3,4},NĐ!U230,NĐ!AA230,NĐ!AG230,NĐ!AM230))=10)*(CHOOSE({1,2,3,4},NĐ!X230,NĐ!AD230,NĐ!AJ230,NĐ!AP230)))</f>
        <v>0</v>
      </c>
      <c r="K230">
        <f>SUMPRODUCT((MONTH(CHOOSE({1,2,3,4},NĐ!U230,NĐ!AA230,NĐ!AG230,NĐ!AM230))=11)*(CHOOSE({1,2,3,4},NĐ!X230,NĐ!AD230,NĐ!AJ230,NĐ!AP230)))</f>
        <v>0</v>
      </c>
      <c r="L230">
        <f>SUMPRODUCT((MONTH(CHOOSE({1,2,3,4},NĐ!U230,NĐ!AA230,NĐ!AG230,NĐ!AM230))=12)*(CHOOSE({1,2,3,4},NĐ!X230,NĐ!AD230,NĐ!AJ230,NĐ!AP230)))</f>
        <v>0</v>
      </c>
    </row>
    <row r="231" spans="1:12">
      <c r="A231">
        <f>SUMPRODUCT((MONTH(CHOOSE({1,2,3,4},NĐ!U231,NĐ!AA231,NĐ!AG231,NĐ!AM231))=1)*(CHOOSE({1,2,3,4},NĐ!X231,NĐ!AD231,NĐ!AJ231,NĐ!AP231)))</f>
        <v>0</v>
      </c>
      <c r="B231">
        <f>SUMPRODUCT((MONTH(CHOOSE({1,2,3,4},NĐ!U231,NĐ!AA231,NĐ!AG231,NĐ!AM231))=2)*(CHOOSE({1,2,3,4},NĐ!X231,NĐ!AD231,NĐ!AJ231,NĐ!AP231)))</f>
        <v>0</v>
      </c>
      <c r="C231">
        <f>SUMPRODUCT((MONTH(CHOOSE({1,2,3,4},NĐ!U231,NĐ!AA231,NĐ!AG231,NĐ!AM231))=3)*(CHOOSE({1,2,3,4},NĐ!X231,NĐ!AD231,NĐ!AJ231,NĐ!AP231)))</f>
        <v>0</v>
      </c>
      <c r="D231">
        <f>SUMPRODUCT((MONTH(CHOOSE({1,2,3,4},NĐ!U231,NĐ!AA231,NĐ!AG231,NĐ!AM231))=4)*(CHOOSE({1,2,3,4},NĐ!X231,NĐ!AD231,NĐ!AJ231,NĐ!AP231)))</f>
        <v>0</v>
      </c>
      <c r="E231">
        <f>SUMPRODUCT((MONTH(CHOOSE({1,2,3,4},NĐ!U231,NĐ!AA231,NĐ!AG231,NĐ!AM231))=5)*(CHOOSE({1,2,3,4},NĐ!X231,NĐ!AD231,NĐ!AJ231,NĐ!AP231)))</f>
        <v>0</v>
      </c>
      <c r="F231">
        <f>SUMPRODUCT((MONTH(CHOOSE({1,2,3,4},NĐ!U231,NĐ!AA231,NĐ!AG231,NĐ!AM231))=6)*(CHOOSE({1,2,3,4},NĐ!X231,NĐ!AD231,NĐ!AJ231,NĐ!AP231)))</f>
        <v>0</v>
      </c>
      <c r="G231">
        <f>SUMPRODUCT((MONTH(CHOOSE({1,2,3,4},NĐ!U231,NĐ!AA231,NĐ!AG231,NĐ!AM231))=7)*(CHOOSE({1,2,3,4},NĐ!X231,NĐ!AD231,NĐ!AJ231,NĐ!AP231)))</f>
        <v>0</v>
      </c>
      <c r="H231">
        <f>SUMPRODUCT((MONTH(CHOOSE({1,2,3,4},NĐ!U231,NĐ!AA231,NĐ!AG231,NĐ!AM231))=8)*(CHOOSE({1,2,3,4},NĐ!X231,NĐ!AD231,NĐ!AJ231,NĐ!AP231)))</f>
        <v>0</v>
      </c>
      <c r="I231">
        <f>SUMPRODUCT((MONTH(CHOOSE({1,2,3,4},NĐ!U231,NĐ!AA231,NĐ!AG231,NĐ!AM231))=9)*(CHOOSE({1,2,3,4},NĐ!X231,NĐ!AD231,NĐ!AJ231,NĐ!AP231)))</f>
        <v>0</v>
      </c>
      <c r="J231">
        <f>SUMPRODUCT((MONTH(CHOOSE({1,2,3,4},NĐ!U231,NĐ!AA231,NĐ!AG231,NĐ!AM231))=10)*(CHOOSE({1,2,3,4},NĐ!X231,NĐ!AD231,NĐ!AJ231,NĐ!AP231)))</f>
        <v>0</v>
      </c>
      <c r="K231">
        <f>SUMPRODUCT((MONTH(CHOOSE({1,2,3,4},NĐ!U231,NĐ!AA231,NĐ!AG231,NĐ!AM231))=11)*(CHOOSE({1,2,3,4},NĐ!X231,NĐ!AD231,NĐ!AJ231,NĐ!AP231)))</f>
        <v>0</v>
      </c>
      <c r="L231">
        <f>SUMPRODUCT((MONTH(CHOOSE({1,2,3,4},NĐ!U231,NĐ!AA231,NĐ!AG231,NĐ!AM231))=12)*(CHOOSE({1,2,3,4},NĐ!X231,NĐ!AD231,NĐ!AJ231,NĐ!AP231)))</f>
        <v>0</v>
      </c>
    </row>
    <row r="232" spans="1:12">
      <c r="A232">
        <f>SUMPRODUCT((MONTH(CHOOSE({1,2,3,4},NĐ!U232,NĐ!AA232,NĐ!AG232,NĐ!AM232))=1)*(CHOOSE({1,2,3,4},NĐ!X232,NĐ!AD232,NĐ!AJ232,NĐ!AP232)))</f>
        <v>0</v>
      </c>
      <c r="B232">
        <f>SUMPRODUCT((MONTH(CHOOSE({1,2,3,4},NĐ!U232,NĐ!AA232,NĐ!AG232,NĐ!AM232))=2)*(CHOOSE({1,2,3,4},NĐ!X232,NĐ!AD232,NĐ!AJ232,NĐ!AP232)))</f>
        <v>0</v>
      </c>
      <c r="C232">
        <f>SUMPRODUCT((MONTH(CHOOSE({1,2,3,4},NĐ!U232,NĐ!AA232,NĐ!AG232,NĐ!AM232))=3)*(CHOOSE({1,2,3,4},NĐ!X232,NĐ!AD232,NĐ!AJ232,NĐ!AP232)))</f>
        <v>0</v>
      </c>
      <c r="D232">
        <f>SUMPRODUCT((MONTH(CHOOSE({1,2,3,4},NĐ!U232,NĐ!AA232,NĐ!AG232,NĐ!AM232))=4)*(CHOOSE({1,2,3,4},NĐ!X232,NĐ!AD232,NĐ!AJ232,NĐ!AP232)))</f>
        <v>0</v>
      </c>
      <c r="E232">
        <f>SUMPRODUCT((MONTH(CHOOSE({1,2,3,4},NĐ!U232,NĐ!AA232,NĐ!AG232,NĐ!AM232))=5)*(CHOOSE({1,2,3,4},NĐ!X232,NĐ!AD232,NĐ!AJ232,NĐ!AP232)))</f>
        <v>0</v>
      </c>
      <c r="F232">
        <f>SUMPRODUCT((MONTH(CHOOSE({1,2,3,4},NĐ!U232,NĐ!AA232,NĐ!AG232,NĐ!AM232))=6)*(CHOOSE({1,2,3,4},NĐ!X232,NĐ!AD232,NĐ!AJ232,NĐ!AP232)))</f>
        <v>0</v>
      </c>
      <c r="G232">
        <f>SUMPRODUCT((MONTH(CHOOSE({1,2,3,4},NĐ!U232,NĐ!AA232,NĐ!AG232,NĐ!AM232))=7)*(CHOOSE({1,2,3,4},NĐ!X232,NĐ!AD232,NĐ!AJ232,NĐ!AP232)))</f>
        <v>0</v>
      </c>
      <c r="H232">
        <f>SUMPRODUCT((MONTH(CHOOSE({1,2,3,4},NĐ!U232,NĐ!AA232,NĐ!AG232,NĐ!AM232))=8)*(CHOOSE({1,2,3,4},NĐ!X232,NĐ!AD232,NĐ!AJ232,NĐ!AP232)))</f>
        <v>0</v>
      </c>
      <c r="I232">
        <f>SUMPRODUCT((MONTH(CHOOSE({1,2,3,4},NĐ!U232,NĐ!AA232,NĐ!AG232,NĐ!AM232))=9)*(CHOOSE({1,2,3,4},NĐ!X232,NĐ!AD232,NĐ!AJ232,NĐ!AP232)))</f>
        <v>0</v>
      </c>
      <c r="J232">
        <f>SUMPRODUCT((MONTH(CHOOSE({1,2,3,4},NĐ!U232,NĐ!AA232,NĐ!AG232,NĐ!AM232))=10)*(CHOOSE({1,2,3,4},NĐ!X232,NĐ!AD232,NĐ!AJ232,NĐ!AP232)))</f>
        <v>0</v>
      </c>
      <c r="K232">
        <f>SUMPRODUCT((MONTH(CHOOSE({1,2,3,4},NĐ!U232,NĐ!AA232,NĐ!AG232,NĐ!AM232))=11)*(CHOOSE({1,2,3,4},NĐ!X232,NĐ!AD232,NĐ!AJ232,NĐ!AP232)))</f>
        <v>0</v>
      </c>
      <c r="L232">
        <f>SUMPRODUCT((MONTH(CHOOSE({1,2,3,4},NĐ!U232,NĐ!AA232,NĐ!AG232,NĐ!AM232))=12)*(CHOOSE({1,2,3,4},NĐ!X232,NĐ!AD232,NĐ!AJ232,NĐ!AP232)))</f>
        <v>0</v>
      </c>
    </row>
    <row r="233" spans="1:12">
      <c r="A233">
        <f>SUMPRODUCT((MONTH(CHOOSE({1,2,3,4},NĐ!U233,NĐ!AA233,NĐ!AG233,NĐ!AM233))=1)*(CHOOSE({1,2,3,4},NĐ!X233,NĐ!AD233,NĐ!AJ233,NĐ!AP233)))</f>
        <v>0</v>
      </c>
      <c r="B233">
        <f>SUMPRODUCT((MONTH(CHOOSE({1,2,3,4},NĐ!U233,NĐ!AA233,NĐ!AG233,NĐ!AM233))=2)*(CHOOSE({1,2,3,4},NĐ!X233,NĐ!AD233,NĐ!AJ233,NĐ!AP233)))</f>
        <v>0</v>
      </c>
      <c r="C233">
        <f>SUMPRODUCT((MONTH(CHOOSE({1,2,3,4},NĐ!U233,NĐ!AA233,NĐ!AG233,NĐ!AM233))=3)*(CHOOSE({1,2,3,4},NĐ!X233,NĐ!AD233,NĐ!AJ233,NĐ!AP233)))</f>
        <v>0</v>
      </c>
      <c r="D233">
        <f>SUMPRODUCT((MONTH(CHOOSE({1,2,3,4},NĐ!U233,NĐ!AA233,NĐ!AG233,NĐ!AM233))=4)*(CHOOSE({1,2,3,4},NĐ!X233,NĐ!AD233,NĐ!AJ233,NĐ!AP233)))</f>
        <v>0</v>
      </c>
      <c r="E233">
        <f>SUMPRODUCT((MONTH(CHOOSE({1,2,3,4},NĐ!U233,NĐ!AA233,NĐ!AG233,NĐ!AM233))=5)*(CHOOSE({1,2,3,4},NĐ!X233,NĐ!AD233,NĐ!AJ233,NĐ!AP233)))</f>
        <v>0</v>
      </c>
      <c r="F233">
        <f>SUMPRODUCT((MONTH(CHOOSE({1,2,3,4},NĐ!U233,NĐ!AA233,NĐ!AG233,NĐ!AM233))=6)*(CHOOSE({1,2,3,4},NĐ!X233,NĐ!AD233,NĐ!AJ233,NĐ!AP233)))</f>
        <v>0</v>
      </c>
      <c r="G233">
        <f>SUMPRODUCT((MONTH(CHOOSE({1,2,3,4},NĐ!U233,NĐ!AA233,NĐ!AG233,NĐ!AM233))=7)*(CHOOSE({1,2,3,4},NĐ!X233,NĐ!AD233,NĐ!AJ233,NĐ!AP233)))</f>
        <v>0</v>
      </c>
      <c r="H233">
        <f>SUMPRODUCT((MONTH(CHOOSE({1,2,3,4},NĐ!U233,NĐ!AA233,NĐ!AG233,NĐ!AM233))=8)*(CHOOSE({1,2,3,4},NĐ!X233,NĐ!AD233,NĐ!AJ233,NĐ!AP233)))</f>
        <v>0</v>
      </c>
      <c r="I233">
        <f>SUMPRODUCT((MONTH(CHOOSE({1,2,3,4},NĐ!U233,NĐ!AA233,NĐ!AG233,NĐ!AM233))=9)*(CHOOSE({1,2,3,4},NĐ!X233,NĐ!AD233,NĐ!AJ233,NĐ!AP233)))</f>
        <v>0</v>
      </c>
      <c r="J233">
        <f>SUMPRODUCT((MONTH(CHOOSE({1,2,3,4},NĐ!U233,NĐ!AA233,NĐ!AG233,NĐ!AM233))=10)*(CHOOSE({1,2,3,4},NĐ!X233,NĐ!AD233,NĐ!AJ233,NĐ!AP233)))</f>
        <v>0</v>
      </c>
      <c r="K233">
        <f>SUMPRODUCT((MONTH(CHOOSE({1,2,3,4},NĐ!U233,NĐ!AA233,NĐ!AG233,NĐ!AM233))=11)*(CHOOSE({1,2,3,4},NĐ!X233,NĐ!AD233,NĐ!AJ233,NĐ!AP233)))</f>
        <v>0</v>
      </c>
      <c r="L233">
        <f>SUMPRODUCT((MONTH(CHOOSE({1,2,3,4},NĐ!U233,NĐ!AA233,NĐ!AG233,NĐ!AM233))=12)*(CHOOSE({1,2,3,4},NĐ!X233,NĐ!AD233,NĐ!AJ233,NĐ!AP233)))</f>
        <v>0</v>
      </c>
    </row>
    <row r="234" spans="1:12">
      <c r="A234">
        <f>SUMPRODUCT((MONTH(CHOOSE({1,2,3,4},NĐ!U234,NĐ!AA234,NĐ!AG234,NĐ!AM234))=1)*(CHOOSE({1,2,3,4},NĐ!X234,NĐ!AD234,NĐ!AJ234,NĐ!AP234)))</f>
        <v>0</v>
      </c>
      <c r="B234">
        <f>SUMPRODUCT((MONTH(CHOOSE({1,2,3,4},NĐ!U234,NĐ!AA234,NĐ!AG234,NĐ!AM234))=2)*(CHOOSE({1,2,3,4},NĐ!X234,NĐ!AD234,NĐ!AJ234,NĐ!AP234)))</f>
        <v>0</v>
      </c>
      <c r="C234">
        <f>SUMPRODUCT((MONTH(CHOOSE({1,2,3,4},NĐ!U234,NĐ!AA234,NĐ!AG234,NĐ!AM234))=3)*(CHOOSE({1,2,3,4},NĐ!X234,NĐ!AD234,NĐ!AJ234,NĐ!AP234)))</f>
        <v>0</v>
      </c>
      <c r="D234">
        <f>SUMPRODUCT((MONTH(CHOOSE({1,2,3,4},NĐ!U234,NĐ!AA234,NĐ!AG234,NĐ!AM234))=4)*(CHOOSE({1,2,3,4},NĐ!X234,NĐ!AD234,NĐ!AJ234,NĐ!AP234)))</f>
        <v>0</v>
      </c>
      <c r="E234">
        <f>SUMPRODUCT((MONTH(CHOOSE({1,2,3,4},NĐ!U234,NĐ!AA234,NĐ!AG234,NĐ!AM234))=5)*(CHOOSE({1,2,3,4},NĐ!X234,NĐ!AD234,NĐ!AJ234,NĐ!AP234)))</f>
        <v>0</v>
      </c>
      <c r="F234">
        <f>SUMPRODUCT((MONTH(CHOOSE({1,2,3,4},NĐ!U234,NĐ!AA234,NĐ!AG234,NĐ!AM234))=6)*(CHOOSE({1,2,3,4},NĐ!X234,NĐ!AD234,NĐ!AJ234,NĐ!AP234)))</f>
        <v>0</v>
      </c>
      <c r="G234">
        <f>SUMPRODUCT((MONTH(CHOOSE({1,2,3,4},NĐ!U234,NĐ!AA234,NĐ!AG234,NĐ!AM234))=7)*(CHOOSE({1,2,3,4},NĐ!X234,NĐ!AD234,NĐ!AJ234,NĐ!AP234)))</f>
        <v>0</v>
      </c>
      <c r="H234">
        <f>SUMPRODUCT((MONTH(CHOOSE({1,2,3,4},NĐ!U234,NĐ!AA234,NĐ!AG234,NĐ!AM234))=8)*(CHOOSE({1,2,3,4},NĐ!X234,NĐ!AD234,NĐ!AJ234,NĐ!AP234)))</f>
        <v>0</v>
      </c>
      <c r="I234">
        <f>SUMPRODUCT((MONTH(CHOOSE({1,2,3,4},NĐ!U234,NĐ!AA234,NĐ!AG234,NĐ!AM234))=9)*(CHOOSE({1,2,3,4},NĐ!X234,NĐ!AD234,NĐ!AJ234,NĐ!AP234)))</f>
        <v>0</v>
      </c>
      <c r="J234">
        <f>SUMPRODUCT((MONTH(CHOOSE({1,2,3,4},NĐ!U234,NĐ!AA234,NĐ!AG234,NĐ!AM234))=10)*(CHOOSE({1,2,3,4},NĐ!X234,NĐ!AD234,NĐ!AJ234,NĐ!AP234)))</f>
        <v>0</v>
      </c>
      <c r="K234">
        <f>SUMPRODUCT((MONTH(CHOOSE({1,2,3,4},NĐ!U234,NĐ!AA234,NĐ!AG234,NĐ!AM234))=11)*(CHOOSE({1,2,3,4},NĐ!X234,NĐ!AD234,NĐ!AJ234,NĐ!AP234)))</f>
        <v>0</v>
      </c>
      <c r="L234">
        <f>SUMPRODUCT((MONTH(CHOOSE({1,2,3,4},NĐ!U234,NĐ!AA234,NĐ!AG234,NĐ!AM234))=12)*(CHOOSE({1,2,3,4},NĐ!X234,NĐ!AD234,NĐ!AJ234,NĐ!AP234)))</f>
        <v>0</v>
      </c>
    </row>
    <row r="235" spans="1:12">
      <c r="A235">
        <f>SUMPRODUCT((MONTH(CHOOSE({1,2,3,4},NĐ!U235,NĐ!AA235,NĐ!AG235,NĐ!AM235))=1)*(CHOOSE({1,2,3,4},NĐ!X235,NĐ!AD235,NĐ!AJ235,NĐ!AP235)))</f>
        <v>0</v>
      </c>
      <c r="B235">
        <f>SUMPRODUCT((MONTH(CHOOSE({1,2,3,4},NĐ!U235,NĐ!AA235,NĐ!AG235,NĐ!AM235))=2)*(CHOOSE({1,2,3,4},NĐ!X235,NĐ!AD235,NĐ!AJ235,NĐ!AP235)))</f>
        <v>0</v>
      </c>
      <c r="C235">
        <f>SUMPRODUCT((MONTH(CHOOSE({1,2,3,4},NĐ!U235,NĐ!AA235,NĐ!AG235,NĐ!AM235))=3)*(CHOOSE({1,2,3,4},NĐ!X235,NĐ!AD235,NĐ!AJ235,NĐ!AP235)))</f>
        <v>0</v>
      </c>
      <c r="D235">
        <f>SUMPRODUCT((MONTH(CHOOSE({1,2,3,4},NĐ!U235,NĐ!AA235,NĐ!AG235,NĐ!AM235))=4)*(CHOOSE({1,2,3,4},NĐ!X235,NĐ!AD235,NĐ!AJ235,NĐ!AP235)))</f>
        <v>0</v>
      </c>
      <c r="E235">
        <f>SUMPRODUCT((MONTH(CHOOSE({1,2,3,4},NĐ!U235,NĐ!AA235,NĐ!AG235,NĐ!AM235))=5)*(CHOOSE({1,2,3,4},NĐ!X235,NĐ!AD235,NĐ!AJ235,NĐ!AP235)))</f>
        <v>0</v>
      </c>
      <c r="F235">
        <f>SUMPRODUCT((MONTH(CHOOSE({1,2,3,4},NĐ!U235,NĐ!AA235,NĐ!AG235,NĐ!AM235))=6)*(CHOOSE({1,2,3,4},NĐ!X235,NĐ!AD235,NĐ!AJ235,NĐ!AP235)))</f>
        <v>0</v>
      </c>
      <c r="G235">
        <f>SUMPRODUCT((MONTH(CHOOSE({1,2,3,4},NĐ!U235,NĐ!AA235,NĐ!AG235,NĐ!AM235))=7)*(CHOOSE({1,2,3,4},NĐ!X235,NĐ!AD235,NĐ!AJ235,NĐ!AP235)))</f>
        <v>0</v>
      </c>
      <c r="H235">
        <f>SUMPRODUCT((MONTH(CHOOSE({1,2,3,4},NĐ!U235,NĐ!AA235,NĐ!AG235,NĐ!AM235))=8)*(CHOOSE({1,2,3,4},NĐ!X235,NĐ!AD235,NĐ!AJ235,NĐ!AP235)))</f>
        <v>0</v>
      </c>
      <c r="I235">
        <f>SUMPRODUCT((MONTH(CHOOSE({1,2,3,4},NĐ!U235,NĐ!AA235,NĐ!AG235,NĐ!AM235))=9)*(CHOOSE({1,2,3,4},NĐ!X235,NĐ!AD235,NĐ!AJ235,NĐ!AP235)))</f>
        <v>0</v>
      </c>
      <c r="J235">
        <f>SUMPRODUCT((MONTH(CHOOSE({1,2,3,4},NĐ!U235,NĐ!AA235,NĐ!AG235,NĐ!AM235))=10)*(CHOOSE({1,2,3,4},NĐ!X235,NĐ!AD235,NĐ!AJ235,NĐ!AP235)))</f>
        <v>0</v>
      </c>
      <c r="K235">
        <f>SUMPRODUCT((MONTH(CHOOSE({1,2,3,4},NĐ!U235,NĐ!AA235,NĐ!AG235,NĐ!AM235))=11)*(CHOOSE({1,2,3,4},NĐ!X235,NĐ!AD235,NĐ!AJ235,NĐ!AP235)))</f>
        <v>0</v>
      </c>
      <c r="L235">
        <f>SUMPRODUCT((MONTH(CHOOSE({1,2,3,4},NĐ!U235,NĐ!AA235,NĐ!AG235,NĐ!AM235))=12)*(CHOOSE({1,2,3,4},NĐ!X235,NĐ!AD235,NĐ!AJ235,NĐ!AP235)))</f>
        <v>0</v>
      </c>
    </row>
    <row r="236" spans="1:12">
      <c r="A236">
        <f>SUMPRODUCT((MONTH(CHOOSE({1,2,3,4},NĐ!U236,NĐ!AA236,NĐ!AG236,NĐ!AM236))=1)*(CHOOSE({1,2,3,4},NĐ!X236,NĐ!AD236,NĐ!AJ236,NĐ!AP236)))</f>
        <v>0</v>
      </c>
      <c r="B236">
        <f>SUMPRODUCT((MONTH(CHOOSE({1,2,3,4},NĐ!U236,NĐ!AA236,NĐ!AG236,NĐ!AM236))=2)*(CHOOSE({1,2,3,4},NĐ!X236,NĐ!AD236,NĐ!AJ236,NĐ!AP236)))</f>
        <v>0</v>
      </c>
      <c r="C236">
        <f>SUMPRODUCT((MONTH(CHOOSE({1,2,3,4},NĐ!U236,NĐ!AA236,NĐ!AG236,NĐ!AM236))=3)*(CHOOSE({1,2,3,4},NĐ!X236,NĐ!AD236,NĐ!AJ236,NĐ!AP236)))</f>
        <v>0</v>
      </c>
      <c r="D236">
        <f>SUMPRODUCT((MONTH(CHOOSE({1,2,3,4},NĐ!U236,NĐ!AA236,NĐ!AG236,NĐ!AM236))=4)*(CHOOSE({1,2,3,4},NĐ!X236,NĐ!AD236,NĐ!AJ236,NĐ!AP236)))</f>
        <v>0</v>
      </c>
      <c r="E236">
        <f>SUMPRODUCT((MONTH(CHOOSE({1,2,3,4},NĐ!U236,NĐ!AA236,NĐ!AG236,NĐ!AM236))=5)*(CHOOSE({1,2,3,4},NĐ!X236,NĐ!AD236,NĐ!AJ236,NĐ!AP236)))</f>
        <v>0</v>
      </c>
      <c r="F236">
        <f>SUMPRODUCT((MONTH(CHOOSE({1,2,3,4},NĐ!U236,NĐ!AA236,NĐ!AG236,NĐ!AM236))=6)*(CHOOSE({1,2,3,4},NĐ!X236,NĐ!AD236,NĐ!AJ236,NĐ!AP236)))</f>
        <v>0</v>
      </c>
      <c r="G236">
        <f>SUMPRODUCT((MONTH(CHOOSE({1,2,3,4},NĐ!U236,NĐ!AA236,NĐ!AG236,NĐ!AM236))=7)*(CHOOSE({1,2,3,4},NĐ!X236,NĐ!AD236,NĐ!AJ236,NĐ!AP236)))</f>
        <v>0</v>
      </c>
      <c r="H236">
        <f>SUMPRODUCT((MONTH(CHOOSE({1,2,3,4},NĐ!U236,NĐ!AA236,NĐ!AG236,NĐ!AM236))=8)*(CHOOSE({1,2,3,4},NĐ!X236,NĐ!AD236,NĐ!AJ236,NĐ!AP236)))</f>
        <v>0</v>
      </c>
      <c r="I236">
        <f>SUMPRODUCT((MONTH(CHOOSE({1,2,3,4},NĐ!U236,NĐ!AA236,NĐ!AG236,NĐ!AM236))=9)*(CHOOSE({1,2,3,4},NĐ!X236,NĐ!AD236,NĐ!AJ236,NĐ!AP236)))</f>
        <v>0</v>
      </c>
      <c r="J236">
        <f>SUMPRODUCT((MONTH(CHOOSE({1,2,3,4},NĐ!U236,NĐ!AA236,NĐ!AG236,NĐ!AM236))=10)*(CHOOSE({1,2,3,4},NĐ!X236,NĐ!AD236,NĐ!AJ236,NĐ!AP236)))</f>
        <v>0</v>
      </c>
      <c r="K236">
        <f>SUMPRODUCT((MONTH(CHOOSE({1,2,3,4},NĐ!U236,NĐ!AA236,NĐ!AG236,NĐ!AM236))=11)*(CHOOSE({1,2,3,4},NĐ!X236,NĐ!AD236,NĐ!AJ236,NĐ!AP236)))</f>
        <v>0</v>
      </c>
      <c r="L236">
        <f>SUMPRODUCT((MONTH(CHOOSE({1,2,3,4},NĐ!U236,NĐ!AA236,NĐ!AG236,NĐ!AM236))=12)*(CHOOSE({1,2,3,4},NĐ!X236,NĐ!AD236,NĐ!AJ236,NĐ!AP236)))</f>
        <v>0</v>
      </c>
    </row>
    <row r="237" spans="1:12">
      <c r="A237">
        <f>SUMPRODUCT((MONTH(CHOOSE({1,2,3,4},NĐ!U237,NĐ!AA237,NĐ!AG237,NĐ!AM237))=1)*(CHOOSE({1,2,3,4},NĐ!X237,NĐ!AD237,NĐ!AJ237,NĐ!AP237)))</f>
        <v>0</v>
      </c>
      <c r="B237">
        <f>SUMPRODUCT((MONTH(CHOOSE({1,2,3,4},NĐ!U237,NĐ!AA237,NĐ!AG237,NĐ!AM237))=2)*(CHOOSE({1,2,3,4},NĐ!X237,NĐ!AD237,NĐ!AJ237,NĐ!AP237)))</f>
        <v>0</v>
      </c>
      <c r="C237">
        <f>SUMPRODUCT((MONTH(CHOOSE({1,2,3,4},NĐ!U237,NĐ!AA237,NĐ!AG237,NĐ!AM237))=3)*(CHOOSE({1,2,3,4},NĐ!X237,NĐ!AD237,NĐ!AJ237,NĐ!AP237)))</f>
        <v>0</v>
      </c>
      <c r="D237">
        <f>SUMPRODUCT((MONTH(CHOOSE({1,2,3,4},NĐ!U237,NĐ!AA237,NĐ!AG237,NĐ!AM237))=4)*(CHOOSE({1,2,3,4},NĐ!X237,NĐ!AD237,NĐ!AJ237,NĐ!AP237)))</f>
        <v>0</v>
      </c>
      <c r="E237">
        <f>SUMPRODUCT((MONTH(CHOOSE({1,2,3,4},NĐ!U237,NĐ!AA237,NĐ!AG237,NĐ!AM237))=5)*(CHOOSE({1,2,3,4},NĐ!X237,NĐ!AD237,NĐ!AJ237,NĐ!AP237)))</f>
        <v>0</v>
      </c>
      <c r="F237">
        <f>SUMPRODUCT((MONTH(CHOOSE({1,2,3,4},NĐ!U237,NĐ!AA237,NĐ!AG237,NĐ!AM237))=6)*(CHOOSE({1,2,3,4},NĐ!X237,NĐ!AD237,NĐ!AJ237,NĐ!AP237)))</f>
        <v>0</v>
      </c>
      <c r="G237">
        <f>SUMPRODUCT((MONTH(CHOOSE({1,2,3,4},NĐ!U237,NĐ!AA237,NĐ!AG237,NĐ!AM237))=7)*(CHOOSE({1,2,3,4},NĐ!X237,NĐ!AD237,NĐ!AJ237,NĐ!AP237)))</f>
        <v>0</v>
      </c>
      <c r="H237">
        <f>SUMPRODUCT((MONTH(CHOOSE({1,2,3,4},NĐ!U237,NĐ!AA237,NĐ!AG237,NĐ!AM237))=8)*(CHOOSE({1,2,3,4},NĐ!X237,NĐ!AD237,NĐ!AJ237,NĐ!AP237)))</f>
        <v>0</v>
      </c>
      <c r="I237">
        <f>SUMPRODUCT((MONTH(CHOOSE({1,2,3,4},NĐ!U237,NĐ!AA237,NĐ!AG237,NĐ!AM237))=9)*(CHOOSE({1,2,3,4},NĐ!X237,NĐ!AD237,NĐ!AJ237,NĐ!AP237)))</f>
        <v>0</v>
      </c>
      <c r="J237">
        <f>SUMPRODUCT((MONTH(CHOOSE({1,2,3,4},NĐ!U237,NĐ!AA237,NĐ!AG237,NĐ!AM237))=10)*(CHOOSE({1,2,3,4},NĐ!X237,NĐ!AD237,NĐ!AJ237,NĐ!AP237)))</f>
        <v>0</v>
      </c>
      <c r="K237">
        <f>SUMPRODUCT((MONTH(CHOOSE({1,2,3,4},NĐ!U237,NĐ!AA237,NĐ!AG237,NĐ!AM237))=11)*(CHOOSE({1,2,3,4},NĐ!X237,NĐ!AD237,NĐ!AJ237,NĐ!AP237)))</f>
        <v>0</v>
      </c>
      <c r="L237">
        <f>SUMPRODUCT((MONTH(CHOOSE({1,2,3,4},NĐ!U237,NĐ!AA237,NĐ!AG237,NĐ!AM237))=12)*(CHOOSE({1,2,3,4},NĐ!X237,NĐ!AD237,NĐ!AJ237,NĐ!AP237)))</f>
        <v>0</v>
      </c>
    </row>
    <row r="238" spans="1:12">
      <c r="A238">
        <f>SUMPRODUCT((MONTH(CHOOSE({1,2,3,4},NĐ!U238,NĐ!AA238,NĐ!AG238,NĐ!AM238))=1)*(CHOOSE({1,2,3,4},NĐ!X238,NĐ!AD238,NĐ!AJ238,NĐ!AP238)))</f>
        <v>0</v>
      </c>
      <c r="B238">
        <f>SUMPRODUCT((MONTH(CHOOSE({1,2,3,4},NĐ!U238,NĐ!AA238,NĐ!AG238,NĐ!AM238))=2)*(CHOOSE({1,2,3,4},NĐ!X238,NĐ!AD238,NĐ!AJ238,NĐ!AP238)))</f>
        <v>0</v>
      </c>
      <c r="C238">
        <f>SUMPRODUCT((MONTH(CHOOSE({1,2,3,4},NĐ!U238,NĐ!AA238,NĐ!AG238,NĐ!AM238))=3)*(CHOOSE({1,2,3,4},NĐ!X238,NĐ!AD238,NĐ!AJ238,NĐ!AP238)))</f>
        <v>0</v>
      </c>
      <c r="D238">
        <f>SUMPRODUCT((MONTH(CHOOSE({1,2,3,4},NĐ!U238,NĐ!AA238,NĐ!AG238,NĐ!AM238))=4)*(CHOOSE({1,2,3,4},NĐ!X238,NĐ!AD238,NĐ!AJ238,NĐ!AP238)))</f>
        <v>0</v>
      </c>
      <c r="E238">
        <f>SUMPRODUCT((MONTH(CHOOSE({1,2,3,4},NĐ!U238,NĐ!AA238,NĐ!AG238,NĐ!AM238))=5)*(CHOOSE({1,2,3,4},NĐ!X238,NĐ!AD238,NĐ!AJ238,NĐ!AP238)))</f>
        <v>0</v>
      </c>
      <c r="F238">
        <f>SUMPRODUCT((MONTH(CHOOSE({1,2,3,4},NĐ!U238,NĐ!AA238,NĐ!AG238,NĐ!AM238))=6)*(CHOOSE({1,2,3,4},NĐ!X238,NĐ!AD238,NĐ!AJ238,NĐ!AP238)))</f>
        <v>0</v>
      </c>
      <c r="G238">
        <f>SUMPRODUCT((MONTH(CHOOSE({1,2,3,4},NĐ!U238,NĐ!AA238,NĐ!AG238,NĐ!AM238))=7)*(CHOOSE({1,2,3,4},NĐ!X238,NĐ!AD238,NĐ!AJ238,NĐ!AP238)))</f>
        <v>0</v>
      </c>
      <c r="H238">
        <f>SUMPRODUCT((MONTH(CHOOSE({1,2,3,4},NĐ!U238,NĐ!AA238,NĐ!AG238,NĐ!AM238))=8)*(CHOOSE({1,2,3,4},NĐ!X238,NĐ!AD238,NĐ!AJ238,NĐ!AP238)))</f>
        <v>0</v>
      </c>
      <c r="I238">
        <f>SUMPRODUCT((MONTH(CHOOSE({1,2,3,4},NĐ!U238,NĐ!AA238,NĐ!AG238,NĐ!AM238))=9)*(CHOOSE({1,2,3,4},NĐ!X238,NĐ!AD238,NĐ!AJ238,NĐ!AP238)))</f>
        <v>0</v>
      </c>
      <c r="J238">
        <f>SUMPRODUCT((MONTH(CHOOSE({1,2,3,4},NĐ!U238,NĐ!AA238,NĐ!AG238,NĐ!AM238))=10)*(CHOOSE({1,2,3,4},NĐ!X238,NĐ!AD238,NĐ!AJ238,NĐ!AP238)))</f>
        <v>0</v>
      </c>
      <c r="K238">
        <f>SUMPRODUCT((MONTH(CHOOSE({1,2,3,4},NĐ!U238,NĐ!AA238,NĐ!AG238,NĐ!AM238))=11)*(CHOOSE({1,2,3,4},NĐ!X238,NĐ!AD238,NĐ!AJ238,NĐ!AP238)))</f>
        <v>0</v>
      </c>
      <c r="L238">
        <f>SUMPRODUCT((MONTH(CHOOSE({1,2,3,4},NĐ!U238,NĐ!AA238,NĐ!AG238,NĐ!AM238))=12)*(CHOOSE({1,2,3,4},NĐ!X238,NĐ!AD238,NĐ!AJ238,NĐ!AP238)))</f>
        <v>0</v>
      </c>
    </row>
    <row r="239" spans="1:12">
      <c r="A239">
        <f>SUMPRODUCT((MONTH(CHOOSE({1,2,3,4},NĐ!U239,NĐ!AA239,NĐ!AG239,NĐ!AM239))=1)*(CHOOSE({1,2,3,4},NĐ!X239,NĐ!AD239,NĐ!AJ239,NĐ!AP239)))</f>
        <v>0</v>
      </c>
      <c r="B239">
        <f>SUMPRODUCT((MONTH(CHOOSE({1,2,3,4},NĐ!U239,NĐ!AA239,NĐ!AG239,NĐ!AM239))=2)*(CHOOSE({1,2,3,4},NĐ!X239,NĐ!AD239,NĐ!AJ239,NĐ!AP239)))</f>
        <v>0</v>
      </c>
      <c r="C239">
        <f>SUMPRODUCT((MONTH(CHOOSE({1,2,3,4},NĐ!U239,NĐ!AA239,NĐ!AG239,NĐ!AM239))=3)*(CHOOSE({1,2,3,4},NĐ!X239,NĐ!AD239,NĐ!AJ239,NĐ!AP239)))</f>
        <v>0</v>
      </c>
      <c r="D239">
        <f>SUMPRODUCT((MONTH(CHOOSE({1,2,3,4},NĐ!U239,NĐ!AA239,NĐ!AG239,NĐ!AM239))=4)*(CHOOSE({1,2,3,4},NĐ!X239,NĐ!AD239,NĐ!AJ239,NĐ!AP239)))</f>
        <v>0</v>
      </c>
      <c r="E239">
        <f>SUMPRODUCT((MONTH(CHOOSE({1,2,3,4},NĐ!U239,NĐ!AA239,NĐ!AG239,NĐ!AM239))=5)*(CHOOSE({1,2,3,4},NĐ!X239,NĐ!AD239,NĐ!AJ239,NĐ!AP239)))</f>
        <v>0</v>
      </c>
      <c r="F239">
        <f>SUMPRODUCT((MONTH(CHOOSE({1,2,3,4},NĐ!U239,NĐ!AA239,NĐ!AG239,NĐ!AM239))=6)*(CHOOSE({1,2,3,4},NĐ!X239,NĐ!AD239,NĐ!AJ239,NĐ!AP239)))</f>
        <v>0</v>
      </c>
      <c r="G239">
        <f>SUMPRODUCT((MONTH(CHOOSE({1,2,3,4},NĐ!U239,NĐ!AA239,NĐ!AG239,NĐ!AM239))=7)*(CHOOSE({1,2,3,4},NĐ!X239,NĐ!AD239,NĐ!AJ239,NĐ!AP239)))</f>
        <v>0</v>
      </c>
      <c r="H239">
        <f>SUMPRODUCT((MONTH(CHOOSE({1,2,3,4},NĐ!U239,NĐ!AA239,NĐ!AG239,NĐ!AM239))=8)*(CHOOSE({1,2,3,4},NĐ!X239,NĐ!AD239,NĐ!AJ239,NĐ!AP239)))</f>
        <v>0</v>
      </c>
      <c r="I239">
        <f>SUMPRODUCT((MONTH(CHOOSE({1,2,3,4},NĐ!U239,NĐ!AA239,NĐ!AG239,NĐ!AM239))=9)*(CHOOSE({1,2,3,4},NĐ!X239,NĐ!AD239,NĐ!AJ239,NĐ!AP239)))</f>
        <v>0</v>
      </c>
      <c r="J239">
        <f>SUMPRODUCT((MONTH(CHOOSE({1,2,3,4},NĐ!U239,NĐ!AA239,NĐ!AG239,NĐ!AM239))=10)*(CHOOSE({1,2,3,4},NĐ!X239,NĐ!AD239,NĐ!AJ239,NĐ!AP239)))</f>
        <v>0</v>
      </c>
      <c r="K239">
        <f>SUMPRODUCT((MONTH(CHOOSE({1,2,3,4},NĐ!U239,NĐ!AA239,NĐ!AG239,NĐ!AM239))=11)*(CHOOSE({1,2,3,4},NĐ!X239,NĐ!AD239,NĐ!AJ239,NĐ!AP239)))</f>
        <v>0</v>
      </c>
      <c r="L239">
        <f>SUMPRODUCT((MONTH(CHOOSE({1,2,3,4},NĐ!U239,NĐ!AA239,NĐ!AG239,NĐ!AM239))=12)*(CHOOSE({1,2,3,4},NĐ!X239,NĐ!AD239,NĐ!AJ239,NĐ!AP239)))</f>
        <v>0</v>
      </c>
    </row>
    <row r="240" spans="1:12">
      <c r="A240">
        <f>SUMPRODUCT((MONTH(CHOOSE({1,2,3,4},NĐ!U240,NĐ!AA240,NĐ!AG240,NĐ!AM240))=1)*(CHOOSE({1,2,3,4},NĐ!X240,NĐ!AD240,NĐ!AJ240,NĐ!AP240)))</f>
        <v>0</v>
      </c>
      <c r="B240">
        <f>SUMPRODUCT((MONTH(CHOOSE({1,2,3,4},NĐ!U240,NĐ!AA240,NĐ!AG240,NĐ!AM240))=2)*(CHOOSE({1,2,3,4},NĐ!X240,NĐ!AD240,NĐ!AJ240,NĐ!AP240)))</f>
        <v>0</v>
      </c>
      <c r="C240">
        <f>SUMPRODUCT((MONTH(CHOOSE({1,2,3,4},NĐ!U240,NĐ!AA240,NĐ!AG240,NĐ!AM240))=3)*(CHOOSE({1,2,3,4},NĐ!X240,NĐ!AD240,NĐ!AJ240,NĐ!AP240)))</f>
        <v>0</v>
      </c>
      <c r="D240">
        <f>SUMPRODUCT((MONTH(CHOOSE({1,2,3,4},NĐ!U240,NĐ!AA240,NĐ!AG240,NĐ!AM240))=4)*(CHOOSE({1,2,3,4},NĐ!X240,NĐ!AD240,NĐ!AJ240,NĐ!AP240)))</f>
        <v>0</v>
      </c>
      <c r="E240">
        <f>SUMPRODUCT((MONTH(CHOOSE({1,2,3,4},NĐ!U240,NĐ!AA240,NĐ!AG240,NĐ!AM240))=5)*(CHOOSE({1,2,3,4},NĐ!X240,NĐ!AD240,NĐ!AJ240,NĐ!AP240)))</f>
        <v>0</v>
      </c>
      <c r="F240">
        <f>SUMPRODUCT((MONTH(CHOOSE({1,2,3,4},NĐ!U240,NĐ!AA240,NĐ!AG240,NĐ!AM240))=6)*(CHOOSE({1,2,3,4},NĐ!X240,NĐ!AD240,NĐ!AJ240,NĐ!AP240)))</f>
        <v>0</v>
      </c>
      <c r="G240">
        <f>SUMPRODUCT((MONTH(CHOOSE({1,2,3,4},NĐ!U240,NĐ!AA240,NĐ!AG240,NĐ!AM240))=7)*(CHOOSE({1,2,3,4},NĐ!X240,NĐ!AD240,NĐ!AJ240,NĐ!AP240)))</f>
        <v>0</v>
      </c>
      <c r="H240">
        <f>SUMPRODUCT((MONTH(CHOOSE({1,2,3,4},NĐ!U240,NĐ!AA240,NĐ!AG240,NĐ!AM240))=8)*(CHOOSE({1,2,3,4},NĐ!X240,NĐ!AD240,NĐ!AJ240,NĐ!AP240)))</f>
        <v>0</v>
      </c>
      <c r="I240">
        <f>SUMPRODUCT((MONTH(CHOOSE({1,2,3,4},NĐ!U240,NĐ!AA240,NĐ!AG240,NĐ!AM240))=9)*(CHOOSE({1,2,3,4},NĐ!X240,NĐ!AD240,NĐ!AJ240,NĐ!AP240)))</f>
        <v>0</v>
      </c>
      <c r="J240">
        <f>SUMPRODUCT((MONTH(CHOOSE({1,2,3,4},NĐ!U240,NĐ!AA240,NĐ!AG240,NĐ!AM240))=10)*(CHOOSE({1,2,3,4},NĐ!X240,NĐ!AD240,NĐ!AJ240,NĐ!AP240)))</f>
        <v>0</v>
      </c>
      <c r="K240">
        <f>SUMPRODUCT((MONTH(CHOOSE({1,2,3,4},NĐ!U240,NĐ!AA240,NĐ!AG240,NĐ!AM240))=11)*(CHOOSE({1,2,3,4},NĐ!X240,NĐ!AD240,NĐ!AJ240,NĐ!AP240)))</f>
        <v>0</v>
      </c>
      <c r="L240">
        <f>SUMPRODUCT((MONTH(CHOOSE({1,2,3,4},NĐ!U240,NĐ!AA240,NĐ!AG240,NĐ!AM240))=12)*(CHOOSE({1,2,3,4},NĐ!X240,NĐ!AD240,NĐ!AJ240,NĐ!AP240)))</f>
        <v>0</v>
      </c>
    </row>
    <row r="241" spans="1:12">
      <c r="A241">
        <f>SUMPRODUCT((MONTH(CHOOSE({1,2,3,4},NĐ!U241,NĐ!AA241,NĐ!AG241,NĐ!AM241))=1)*(CHOOSE({1,2,3,4},NĐ!X241,NĐ!AD241,NĐ!AJ241,NĐ!AP241)))</f>
        <v>0</v>
      </c>
      <c r="B241">
        <f>SUMPRODUCT((MONTH(CHOOSE({1,2,3,4},NĐ!U241,NĐ!AA241,NĐ!AG241,NĐ!AM241))=2)*(CHOOSE({1,2,3,4},NĐ!X241,NĐ!AD241,NĐ!AJ241,NĐ!AP241)))</f>
        <v>0</v>
      </c>
      <c r="C241">
        <f>SUMPRODUCT((MONTH(CHOOSE({1,2,3,4},NĐ!U241,NĐ!AA241,NĐ!AG241,NĐ!AM241))=3)*(CHOOSE({1,2,3,4},NĐ!X241,NĐ!AD241,NĐ!AJ241,NĐ!AP241)))</f>
        <v>0</v>
      </c>
      <c r="D241">
        <f>SUMPRODUCT((MONTH(CHOOSE({1,2,3,4},NĐ!U241,NĐ!AA241,NĐ!AG241,NĐ!AM241))=4)*(CHOOSE({1,2,3,4},NĐ!X241,NĐ!AD241,NĐ!AJ241,NĐ!AP241)))</f>
        <v>0</v>
      </c>
      <c r="E241">
        <f>SUMPRODUCT((MONTH(CHOOSE({1,2,3,4},NĐ!U241,NĐ!AA241,NĐ!AG241,NĐ!AM241))=5)*(CHOOSE({1,2,3,4},NĐ!X241,NĐ!AD241,NĐ!AJ241,NĐ!AP241)))</f>
        <v>0</v>
      </c>
      <c r="F241">
        <f>SUMPRODUCT((MONTH(CHOOSE({1,2,3,4},NĐ!U241,NĐ!AA241,NĐ!AG241,NĐ!AM241))=6)*(CHOOSE({1,2,3,4},NĐ!X241,NĐ!AD241,NĐ!AJ241,NĐ!AP241)))</f>
        <v>0</v>
      </c>
      <c r="G241">
        <f>SUMPRODUCT((MONTH(CHOOSE({1,2,3,4},NĐ!U241,NĐ!AA241,NĐ!AG241,NĐ!AM241))=7)*(CHOOSE({1,2,3,4},NĐ!X241,NĐ!AD241,NĐ!AJ241,NĐ!AP241)))</f>
        <v>0</v>
      </c>
      <c r="H241">
        <f>SUMPRODUCT((MONTH(CHOOSE({1,2,3,4},NĐ!U241,NĐ!AA241,NĐ!AG241,NĐ!AM241))=8)*(CHOOSE({1,2,3,4},NĐ!X241,NĐ!AD241,NĐ!AJ241,NĐ!AP241)))</f>
        <v>0</v>
      </c>
      <c r="I241">
        <f>SUMPRODUCT((MONTH(CHOOSE({1,2,3,4},NĐ!U241,NĐ!AA241,NĐ!AG241,NĐ!AM241))=9)*(CHOOSE({1,2,3,4},NĐ!X241,NĐ!AD241,NĐ!AJ241,NĐ!AP241)))</f>
        <v>0</v>
      </c>
      <c r="J241">
        <f>SUMPRODUCT((MONTH(CHOOSE({1,2,3,4},NĐ!U241,NĐ!AA241,NĐ!AG241,NĐ!AM241))=10)*(CHOOSE({1,2,3,4},NĐ!X241,NĐ!AD241,NĐ!AJ241,NĐ!AP241)))</f>
        <v>0</v>
      </c>
      <c r="K241">
        <f>SUMPRODUCT((MONTH(CHOOSE({1,2,3,4},NĐ!U241,NĐ!AA241,NĐ!AG241,NĐ!AM241))=11)*(CHOOSE({1,2,3,4},NĐ!X241,NĐ!AD241,NĐ!AJ241,NĐ!AP241)))</f>
        <v>0</v>
      </c>
      <c r="L241">
        <f>SUMPRODUCT((MONTH(CHOOSE({1,2,3,4},NĐ!U241,NĐ!AA241,NĐ!AG241,NĐ!AM241))=12)*(CHOOSE({1,2,3,4},NĐ!X241,NĐ!AD241,NĐ!AJ241,NĐ!AP241)))</f>
        <v>0</v>
      </c>
    </row>
    <row r="242" spans="1:12">
      <c r="A242">
        <f>SUMPRODUCT((MONTH(CHOOSE({1,2,3,4},NĐ!U242,NĐ!AA242,NĐ!AG242,NĐ!AM242))=1)*(CHOOSE({1,2,3,4},NĐ!X242,NĐ!AD242,NĐ!AJ242,NĐ!AP242)))</f>
        <v>0</v>
      </c>
      <c r="B242">
        <f>SUMPRODUCT((MONTH(CHOOSE({1,2,3,4},NĐ!U242,NĐ!AA242,NĐ!AG242,NĐ!AM242))=2)*(CHOOSE({1,2,3,4},NĐ!X242,NĐ!AD242,NĐ!AJ242,NĐ!AP242)))</f>
        <v>0</v>
      </c>
      <c r="C242">
        <f>SUMPRODUCT((MONTH(CHOOSE({1,2,3,4},NĐ!U242,NĐ!AA242,NĐ!AG242,NĐ!AM242))=3)*(CHOOSE({1,2,3,4},NĐ!X242,NĐ!AD242,NĐ!AJ242,NĐ!AP242)))</f>
        <v>0</v>
      </c>
      <c r="D242">
        <f>SUMPRODUCT((MONTH(CHOOSE({1,2,3,4},NĐ!U242,NĐ!AA242,NĐ!AG242,NĐ!AM242))=4)*(CHOOSE({1,2,3,4},NĐ!X242,NĐ!AD242,NĐ!AJ242,NĐ!AP242)))</f>
        <v>0</v>
      </c>
      <c r="E242">
        <f>SUMPRODUCT((MONTH(CHOOSE({1,2,3,4},NĐ!U242,NĐ!AA242,NĐ!AG242,NĐ!AM242))=5)*(CHOOSE({1,2,3,4},NĐ!X242,NĐ!AD242,NĐ!AJ242,NĐ!AP242)))</f>
        <v>0</v>
      </c>
      <c r="F242">
        <f>SUMPRODUCT((MONTH(CHOOSE({1,2,3,4},NĐ!U242,NĐ!AA242,NĐ!AG242,NĐ!AM242))=6)*(CHOOSE({1,2,3,4},NĐ!X242,NĐ!AD242,NĐ!AJ242,NĐ!AP242)))</f>
        <v>0</v>
      </c>
      <c r="G242">
        <f>SUMPRODUCT((MONTH(CHOOSE({1,2,3,4},NĐ!U242,NĐ!AA242,NĐ!AG242,NĐ!AM242))=7)*(CHOOSE({1,2,3,4},NĐ!X242,NĐ!AD242,NĐ!AJ242,NĐ!AP242)))</f>
        <v>0</v>
      </c>
      <c r="H242">
        <f>SUMPRODUCT((MONTH(CHOOSE({1,2,3,4},NĐ!U242,NĐ!AA242,NĐ!AG242,NĐ!AM242))=8)*(CHOOSE({1,2,3,4},NĐ!X242,NĐ!AD242,NĐ!AJ242,NĐ!AP242)))</f>
        <v>0</v>
      </c>
      <c r="I242">
        <f>SUMPRODUCT((MONTH(CHOOSE({1,2,3,4},NĐ!U242,NĐ!AA242,NĐ!AG242,NĐ!AM242))=9)*(CHOOSE({1,2,3,4},NĐ!X242,NĐ!AD242,NĐ!AJ242,NĐ!AP242)))</f>
        <v>0</v>
      </c>
      <c r="J242">
        <f>SUMPRODUCT((MONTH(CHOOSE({1,2,3,4},NĐ!U242,NĐ!AA242,NĐ!AG242,NĐ!AM242))=10)*(CHOOSE({1,2,3,4},NĐ!X242,NĐ!AD242,NĐ!AJ242,NĐ!AP242)))</f>
        <v>0</v>
      </c>
      <c r="K242">
        <f>SUMPRODUCT((MONTH(CHOOSE({1,2,3,4},NĐ!U242,NĐ!AA242,NĐ!AG242,NĐ!AM242))=11)*(CHOOSE({1,2,3,4},NĐ!X242,NĐ!AD242,NĐ!AJ242,NĐ!AP242)))</f>
        <v>0</v>
      </c>
      <c r="L242">
        <f>SUMPRODUCT((MONTH(CHOOSE({1,2,3,4},NĐ!U242,NĐ!AA242,NĐ!AG242,NĐ!AM242))=12)*(CHOOSE({1,2,3,4},NĐ!X242,NĐ!AD242,NĐ!AJ242,NĐ!AP242)))</f>
        <v>0</v>
      </c>
    </row>
    <row r="243" spans="1:12">
      <c r="A243">
        <f>SUMPRODUCT((MONTH(CHOOSE({1,2,3,4},NĐ!U243,NĐ!AA243,NĐ!AG243,NĐ!AM243))=1)*(CHOOSE({1,2,3,4},NĐ!X243,NĐ!AD243,NĐ!AJ243,NĐ!AP243)))</f>
        <v>0</v>
      </c>
      <c r="B243">
        <f>SUMPRODUCT((MONTH(CHOOSE({1,2,3,4},NĐ!U243,NĐ!AA243,NĐ!AG243,NĐ!AM243))=2)*(CHOOSE({1,2,3,4},NĐ!X243,NĐ!AD243,NĐ!AJ243,NĐ!AP243)))</f>
        <v>0</v>
      </c>
      <c r="C243">
        <f>SUMPRODUCT((MONTH(CHOOSE({1,2,3,4},NĐ!U243,NĐ!AA243,NĐ!AG243,NĐ!AM243))=3)*(CHOOSE({1,2,3,4},NĐ!X243,NĐ!AD243,NĐ!AJ243,NĐ!AP243)))</f>
        <v>0</v>
      </c>
      <c r="D243">
        <f>SUMPRODUCT((MONTH(CHOOSE({1,2,3,4},NĐ!U243,NĐ!AA243,NĐ!AG243,NĐ!AM243))=4)*(CHOOSE({1,2,3,4},NĐ!X243,NĐ!AD243,NĐ!AJ243,NĐ!AP243)))</f>
        <v>0</v>
      </c>
      <c r="E243">
        <f>SUMPRODUCT((MONTH(CHOOSE({1,2,3,4},NĐ!U243,NĐ!AA243,NĐ!AG243,NĐ!AM243))=5)*(CHOOSE({1,2,3,4},NĐ!X243,NĐ!AD243,NĐ!AJ243,NĐ!AP243)))</f>
        <v>0</v>
      </c>
      <c r="F243">
        <f>SUMPRODUCT((MONTH(CHOOSE({1,2,3,4},NĐ!U243,NĐ!AA243,NĐ!AG243,NĐ!AM243))=6)*(CHOOSE({1,2,3,4},NĐ!X243,NĐ!AD243,NĐ!AJ243,NĐ!AP243)))</f>
        <v>0</v>
      </c>
      <c r="G243">
        <f>SUMPRODUCT((MONTH(CHOOSE({1,2,3,4},NĐ!U243,NĐ!AA243,NĐ!AG243,NĐ!AM243))=7)*(CHOOSE({1,2,3,4},NĐ!X243,NĐ!AD243,NĐ!AJ243,NĐ!AP243)))</f>
        <v>0</v>
      </c>
      <c r="H243">
        <f>SUMPRODUCT((MONTH(CHOOSE({1,2,3,4},NĐ!U243,NĐ!AA243,NĐ!AG243,NĐ!AM243))=8)*(CHOOSE({1,2,3,4},NĐ!X243,NĐ!AD243,NĐ!AJ243,NĐ!AP243)))</f>
        <v>0</v>
      </c>
      <c r="I243">
        <f>SUMPRODUCT((MONTH(CHOOSE({1,2,3,4},NĐ!U243,NĐ!AA243,NĐ!AG243,NĐ!AM243))=9)*(CHOOSE({1,2,3,4},NĐ!X243,NĐ!AD243,NĐ!AJ243,NĐ!AP243)))</f>
        <v>0</v>
      </c>
      <c r="J243">
        <f>SUMPRODUCT((MONTH(CHOOSE({1,2,3,4},NĐ!U243,NĐ!AA243,NĐ!AG243,NĐ!AM243))=10)*(CHOOSE({1,2,3,4},NĐ!X243,NĐ!AD243,NĐ!AJ243,NĐ!AP243)))</f>
        <v>0</v>
      </c>
      <c r="K243">
        <f>SUMPRODUCT((MONTH(CHOOSE({1,2,3,4},NĐ!U243,NĐ!AA243,NĐ!AG243,NĐ!AM243))=11)*(CHOOSE({1,2,3,4},NĐ!X243,NĐ!AD243,NĐ!AJ243,NĐ!AP243)))</f>
        <v>0</v>
      </c>
      <c r="L243">
        <f>SUMPRODUCT((MONTH(CHOOSE({1,2,3,4},NĐ!U243,NĐ!AA243,NĐ!AG243,NĐ!AM243))=12)*(CHOOSE({1,2,3,4},NĐ!X243,NĐ!AD243,NĐ!AJ243,NĐ!AP243)))</f>
        <v>0</v>
      </c>
    </row>
    <row r="244" spans="1:12">
      <c r="A244">
        <f>SUMPRODUCT((MONTH(CHOOSE({1,2,3,4},NĐ!U244,NĐ!AA244,NĐ!AG244,NĐ!AM244))=1)*(CHOOSE({1,2,3,4},NĐ!X244,NĐ!AD244,NĐ!AJ244,NĐ!AP244)))</f>
        <v>0</v>
      </c>
      <c r="B244">
        <f>SUMPRODUCT((MONTH(CHOOSE({1,2,3,4},NĐ!U244,NĐ!AA244,NĐ!AG244,NĐ!AM244))=2)*(CHOOSE({1,2,3,4},NĐ!X244,NĐ!AD244,NĐ!AJ244,NĐ!AP244)))</f>
        <v>0</v>
      </c>
      <c r="C244">
        <f>SUMPRODUCT((MONTH(CHOOSE({1,2,3,4},NĐ!U244,NĐ!AA244,NĐ!AG244,NĐ!AM244))=3)*(CHOOSE({1,2,3,4},NĐ!X244,NĐ!AD244,NĐ!AJ244,NĐ!AP244)))</f>
        <v>0</v>
      </c>
      <c r="D244">
        <f>SUMPRODUCT((MONTH(CHOOSE({1,2,3,4},NĐ!U244,NĐ!AA244,NĐ!AG244,NĐ!AM244))=4)*(CHOOSE({1,2,3,4},NĐ!X244,NĐ!AD244,NĐ!AJ244,NĐ!AP244)))</f>
        <v>0</v>
      </c>
      <c r="E244">
        <f>SUMPRODUCT((MONTH(CHOOSE({1,2,3,4},NĐ!U244,NĐ!AA244,NĐ!AG244,NĐ!AM244))=5)*(CHOOSE({1,2,3,4},NĐ!X244,NĐ!AD244,NĐ!AJ244,NĐ!AP244)))</f>
        <v>0</v>
      </c>
      <c r="F244">
        <f>SUMPRODUCT((MONTH(CHOOSE({1,2,3,4},NĐ!U244,NĐ!AA244,NĐ!AG244,NĐ!AM244))=6)*(CHOOSE({1,2,3,4},NĐ!X244,NĐ!AD244,NĐ!AJ244,NĐ!AP244)))</f>
        <v>0</v>
      </c>
      <c r="G244">
        <f>SUMPRODUCT((MONTH(CHOOSE({1,2,3,4},NĐ!U244,NĐ!AA244,NĐ!AG244,NĐ!AM244))=7)*(CHOOSE({1,2,3,4},NĐ!X244,NĐ!AD244,NĐ!AJ244,NĐ!AP244)))</f>
        <v>0</v>
      </c>
      <c r="H244">
        <f>SUMPRODUCT((MONTH(CHOOSE({1,2,3,4},NĐ!U244,NĐ!AA244,NĐ!AG244,NĐ!AM244))=8)*(CHOOSE({1,2,3,4},NĐ!X244,NĐ!AD244,NĐ!AJ244,NĐ!AP244)))</f>
        <v>0</v>
      </c>
      <c r="I244">
        <f>SUMPRODUCT((MONTH(CHOOSE({1,2,3,4},NĐ!U244,NĐ!AA244,NĐ!AG244,NĐ!AM244))=9)*(CHOOSE({1,2,3,4},NĐ!X244,NĐ!AD244,NĐ!AJ244,NĐ!AP244)))</f>
        <v>0</v>
      </c>
      <c r="J244">
        <f>SUMPRODUCT((MONTH(CHOOSE({1,2,3,4},NĐ!U244,NĐ!AA244,NĐ!AG244,NĐ!AM244))=10)*(CHOOSE({1,2,3,4},NĐ!X244,NĐ!AD244,NĐ!AJ244,NĐ!AP244)))</f>
        <v>0</v>
      </c>
      <c r="K244">
        <f>SUMPRODUCT((MONTH(CHOOSE({1,2,3,4},NĐ!U244,NĐ!AA244,NĐ!AG244,NĐ!AM244))=11)*(CHOOSE({1,2,3,4},NĐ!X244,NĐ!AD244,NĐ!AJ244,NĐ!AP244)))</f>
        <v>0</v>
      </c>
      <c r="L244">
        <f>SUMPRODUCT((MONTH(CHOOSE({1,2,3,4},NĐ!U244,NĐ!AA244,NĐ!AG244,NĐ!AM244))=12)*(CHOOSE({1,2,3,4},NĐ!X244,NĐ!AD244,NĐ!AJ244,NĐ!AP244)))</f>
        <v>0</v>
      </c>
    </row>
    <row r="245" spans="1:12">
      <c r="A245">
        <f>SUMPRODUCT((MONTH(CHOOSE({1,2,3,4},NĐ!U245,NĐ!AA245,NĐ!AG245,NĐ!AM245))=1)*(CHOOSE({1,2,3,4},NĐ!X245,NĐ!AD245,NĐ!AJ245,NĐ!AP245)))</f>
        <v>0</v>
      </c>
      <c r="B245">
        <f>SUMPRODUCT((MONTH(CHOOSE({1,2,3,4},NĐ!U245,NĐ!AA245,NĐ!AG245,NĐ!AM245))=2)*(CHOOSE({1,2,3,4},NĐ!X245,NĐ!AD245,NĐ!AJ245,NĐ!AP245)))</f>
        <v>0</v>
      </c>
      <c r="C245">
        <f>SUMPRODUCT((MONTH(CHOOSE({1,2,3,4},NĐ!U245,NĐ!AA245,NĐ!AG245,NĐ!AM245))=3)*(CHOOSE({1,2,3,4},NĐ!X245,NĐ!AD245,NĐ!AJ245,NĐ!AP245)))</f>
        <v>0</v>
      </c>
      <c r="D245">
        <f>SUMPRODUCT((MONTH(CHOOSE({1,2,3,4},NĐ!U245,NĐ!AA245,NĐ!AG245,NĐ!AM245))=4)*(CHOOSE({1,2,3,4},NĐ!X245,NĐ!AD245,NĐ!AJ245,NĐ!AP245)))</f>
        <v>0</v>
      </c>
      <c r="E245">
        <f>SUMPRODUCT((MONTH(CHOOSE({1,2,3,4},NĐ!U245,NĐ!AA245,NĐ!AG245,NĐ!AM245))=5)*(CHOOSE({1,2,3,4},NĐ!X245,NĐ!AD245,NĐ!AJ245,NĐ!AP245)))</f>
        <v>0</v>
      </c>
      <c r="F245">
        <f>SUMPRODUCT((MONTH(CHOOSE({1,2,3,4},NĐ!U245,NĐ!AA245,NĐ!AG245,NĐ!AM245))=6)*(CHOOSE({1,2,3,4},NĐ!X245,NĐ!AD245,NĐ!AJ245,NĐ!AP245)))</f>
        <v>0</v>
      </c>
      <c r="G245">
        <f>SUMPRODUCT((MONTH(CHOOSE({1,2,3,4},NĐ!U245,NĐ!AA245,NĐ!AG245,NĐ!AM245))=7)*(CHOOSE({1,2,3,4},NĐ!X245,NĐ!AD245,NĐ!AJ245,NĐ!AP245)))</f>
        <v>0</v>
      </c>
      <c r="H245">
        <f>SUMPRODUCT((MONTH(CHOOSE({1,2,3,4},NĐ!U245,NĐ!AA245,NĐ!AG245,NĐ!AM245))=8)*(CHOOSE({1,2,3,4},NĐ!X245,NĐ!AD245,NĐ!AJ245,NĐ!AP245)))</f>
        <v>0</v>
      </c>
      <c r="I245">
        <f>SUMPRODUCT((MONTH(CHOOSE({1,2,3,4},NĐ!U245,NĐ!AA245,NĐ!AG245,NĐ!AM245))=9)*(CHOOSE({1,2,3,4},NĐ!X245,NĐ!AD245,NĐ!AJ245,NĐ!AP245)))</f>
        <v>0</v>
      </c>
      <c r="J245">
        <f>SUMPRODUCT((MONTH(CHOOSE({1,2,3,4},NĐ!U245,NĐ!AA245,NĐ!AG245,NĐ!AM245))=10)*(CHOOSE({1,2,3,4},NĐ!X245,NĐ!AD245,NĐ!AJ245,NĐ!AP245)))</f>
        <v>0</v>
      </c>
      <c r="K245">
        <f>SUMPRODUCT((MONTH(CHOOSE({1,2,3,4},NĐ!U245,NĐ!AA245,NĐ!AG245,NĐ!AM245))=11)*(CHOOSE({1,2,3,4},NĐ!X245,NĐ!AD245,NĐ!AJ245,NĐ!AP245)))</f>
        <v>0</v>
      </c>
      <c r="L245">
        <f>SUMPRODUCT((MONTH(CHOOSE({1,2,3,4},NĐ!U245,NĐ!AA245,NĐ!AG245,NĐ!AM245))=12)*(CHOOSE({1,2,3,4},NĐ!X245,NĐ!AD245,NĐ!AJ245,NĐ!AP245)))</f>
        <v>0</v>
      </c>
    </row>
    <row r="246" spans="1:12">
      <c r="A246">
        <f>SUMPRODUCT((MONTH(CHOOSE({1,2,3,4},NĐ!U246,NĐ!AA246,NĐ!AG246,NĐ!AM246))=1)*(CHOOSE({1,2,3,4},NĐ!X246,NĐ!AD246,NĐ!AJ246,NĐ!AP246)))</f>
        <v>0</v>
      </c>
      <c r="B246">
        <f>SUMPRODUCT((MONTH(CHOOSE({1,2,3,4},NĐ!U246,NĐ!AA246,NĐ!AG246,NĐ!AM246))=2)*(CHOOSE({1,2,3,4},NĐ!X246,NĐ!AD246,NĐ!AJ246,NĐ!AP246)))</f>
        <v>0</v>
      </c>
      <c r="C246">
        <f>SUMPRODUCT((MONTH(CHOOSE({1,2,3,4},NĐ!U246,NĐ!AA246,NĐ!AG246,NĐ!AM246))=3)*(CHOOSE({1,2,3,4},NĐ!X246,NĐ!AD246,NĐ!AJ246,NĐ!AP246)))</f>
        <v>0</v>
      </c>
      <c r="D246">
        <f>SUMPRODUCT((MONTH(CHOOSE({1,2,3,4},NĐ!U246,NĐ!AA246,NĐ!AG246,NĐ!AM246))=4)*(CHOOSE({1,2,3,4},NĐ!X246,NĐ!AD246,NĐ!AJ246,NĐ!AP246)))</f>
        <v>0</v>
      </c>
      <c r="E246">
        <f>SUMPRODUCT((MONTH(CHOOSE({1,2,3,4},NĐ!U246,NĐ!AA246,NĐ!AG246,NĐ!AM246))=5)*(CHOOSE({1,2,3,4},NĐ!X246,NĐ!AD246,NĐ!AJ246,NĐ!AP246)))</f>
        <v>0</v>
      </c>
      <c r="F246">
        <f>SUMPRODUCT((MONTH(CHOOSE({1,2,3,4},NĐ!U246,NĐ!AA246,NĐ!AG246,NĐ!AM246))=6)*(CHOOSE({1,2,3,4},NĐ!X246,NĐ!AD246,NĐ!AJ246,NĐ!AP246)))</f>
        <v>0</v>
      </c>
      <c r="G246">
        <f>SUMPRODUCT((MONTH(CHOOSE({1,2,3,4},NĐ!U246,NĐ!AA246,NĐ!AG246,NĐ!AM246))=7)*(CHOOSE({1,2,3,4},NĐ!X246,NĐ!AD246,NĐ!AJ246,NĐ!AP246)))</f>
        <v>0</v>
      </c>
      <c r="H246">
        <f>SUMPRODUCT((MONTH(CHOOSE({1,2,3,4},NĐ!U246,NĐ!AA246,NĐ!AG246,NĐ!AM246))=8)*(CHOOSE({1,2,3,4},NĐ!X246,NĐ!AD246,NĐ!AJ246,NĐ!AP246)))</f>
        <v>0</v>
      </c>
      <c r="I246">
        <f>SUMPRODUCT((MONTH(CHOOSE({1,2,3,4},NĐ!U246,NĐ!AA246,NĐ!AG246,NĐ!AM246))=9)*(CHOOSE({1,2,3,4},NĐ!X246,NĐ!AD246,NĐ!AJ246,NĐ!AP246)))</f>
        <v>0</v>
      </c>
      <c r="J246">
        <f>SUMPRODUCT((MONTH(CHOOSE({1,2,3,4},NĐ!U246,NĐ!AA246,NĐ!AG246,NĐ!AM246))=10)*(CHOOSE({1,2,3,4},NĐ!X246,NĐ!AD246,NĐ!AJ246,NĐ!AP246)))</f>
        <v>0</v>
      </c>
      <c r="K246">
        <f>SUMPRODUCT((MONTH(CHOOSE({1,2,3,4},NĐ!U246,NĐ!AA246,NĐ!AG246,NĐ!AM246))=11)*(CHOOSE({1,2,3,4},NĐ!X246,NĐ!AD246,NĐ!AJ246,NĐ!AP246)))</f>
        <v>0</v>
      </c>
      <c r="L246">
        <f>SUMPRODUCT((MONTH(CHOOSE({1,2,3,4},NĐ!U246,NĐ!AA246,NĐ!AG246,NĐ!AM246))=12)*(CHOOSE({1,2,3,4},NĐ!X246,NĐ!AD246,NĐ!AJ246,NĐ!AP246)))</f>
        <v>0</v>
      </c>
    </row>
    <row r="247" spans="1:12">
      <c r="A247">
        <f>SUMPRODUCT((MONTH(CHOOSE({1,2,3,4},NĐ!U247,NĐ!AA247,NĐ!AG247,NĐ!AM247))=1)*(CHOOSE({1,2,3,4},NĐ!X247,NĐ!AD247,NĐ!AJ247,NĐ!AP247)))</f>
        <v>0</v>
      </c>
      <c r="B247">
        <f>SUMPRODUCT((MONTH(CHOOSE({1,2,3,4},NĐ!U247,NĐ!AA247,NĐ!AG247,NĐ!AM247))=2)*(CHOOSE({1,2,3,4},NĐ!X247,NĐ!AD247,NĐ!AJ247,NĐ!AP247)))</f>
        <v>0</v>
      </c>
      <c r="C247">
        <f>SUMPRODUCT((MONTH(CHOOSE({1,2,3,4},NĐ!U247,NĐ!AA247,NĐ!AG247,NĐ!AM247))=3)*(CHOOSE({1,2,3,4},NĐ!X247,NĐ!AD247,NĐ!AJ247,NĐ!AP247)))</f>
        <v>0</v>
      </c>
      <c r="D247">
        <f>SUMPRODUCT((MONTH(CHOOSE({1,2,3,4},NĐ!U247,NĐ!AA247,NĐ!AG247,NĐ!AM247))=4)*(CHOOSE({1,2,3,4},NĐ!X247,NĐ!AD247,NĐ!AJ247,NĐ!AP247)))</f>
        <v>0</v>
      </c>
      <c r="E247">
        <f>SUMPRODUCT((MONTH(CHOOSE({1,2,3,4},NĐ!U247,NĐ!AA247,NĐ!AG247,NĐ!AM247))=5)*(CHOOSE({1,2,3,4},NĐ!X247,NĐ!AD247,NĐ!AJ247,NĐ!AP247)))</f>
        <v>0</v>
      </c>
      <c r="F247">
        <f>SUMPRODUCT((MONTH(CHOOSE({1,2,3,4},NĐ!U247,NĐ!AA247,NĐ!AG247,NĐ!AM247))=6)*(CHOOSE({1,2,3,4},NĐ!X247,NĐ!AD247,NĐ!AJ247,NĐ!AP247)))</f>
        <v>0</v>
      </c>
      <c r="G247">
        <f>SUMPRODUCT((MONTH(CHOOSE({1,2,3,4},NĐ!U247,NĐ!AA247,NĐ!AG247,NĐ!AM247))=7)*(CHOOSE({1,2,3,4},NĐ!X247,NĐ!AD247,NĐ!AJ247,NĐ!AP247)))</f>
        <v>0</v>
      </c>
      <c r="H247">
        <f>SUMPRODUCT((MONTH(CHOOSE({1,2,3,4},NĐ!U247,NĐ!AA247,NĐ!AG247,NĐ!AM247))=8)*(CHOOSE({1,2,3,4},NĐ!X247,NĐ!AD247,NĐ!AJ247,NĐ!AP247)))</f>
        <v>0</v>
      </c>
      <c r="I247">
        <f>SUMPRODUCT((MONTH(CHOOSE({1,2,3,4},NĐ!U247,NĐ!AA247,NĐ!AG247,NĐ!AM247))=9)*(CHOOSE({1,2,3,4},NĐ!X247,NĐ!AD247,NĐ!AJ247,NĐ!AP247)))</f>
        <v>0</v>
      </c>
      <c r="J247">
        <f>SUMPRODUCT((MONTH(CHOOSE({1,2,3,4},NĐ!U247,NĐ!AA247,NĐ!AG247,NĐ!AM247))=10)*(CHOOSE({1,2,3,4},NĐ!X247,NĐ!AD247,NĐ!AJ247,NĐ!AP247)))</f>
        <v>0</v>
      </c>
      <c r="K247">
        <f>SUMPRODUCT((MONTH(CHOOSE({1,2,3,4},NĐ!U247,NĐ!AA247,NĐ!AG247,NĐ!AM247))=11)*(CHOOSE({1,2,3,4},NĐ!X247,NĐ!AD247,NĐ!AJ247,NĐ!AP247)))</f>
        <v>0</v>
      </c>
      <c r="L247">
        <f>SUMPRODUCT((MONTH(CHOOSE({1,2,3,4},NĐ!U247,NĐ!AA247,NĐ!AG247,NĐ!AM247))=12)*(CHOOSE({1,2,3,4},NĐ!X247,NĐ!AD247,NĐ!AJ247,NĐ!AP247)))</f>
        <v>0</v>
      </c>
    </row>
    <row r="248" spans="1:12">
      <c r="A248">
        <f>SUMPRODUCT((MONTH(CHOOSE({1,2,3,4},NĐ!U248,NĐ!AA248,NĐ!AG248,NĐ!AM248))=1)*(CHOOSE({1,2,3,4},NĐ!X248,NĐ!AD248,NĐ!AJ248,NĐ!AP248)))</f>
        <v>0</v>
      </c>
      <c r="B248">
        <f>SUMPRODUCT((MONTH(CHOOSE({1,2,3,4},NĐ!U248,NĐ!AA248,NĐ!AG248,NĐ!AM248))=2)*(CHOOSE({1,2,3,4},NĐ!X248,NĐ!AD248,NĐ!AJ248,NĐ!AP248)))</f>
        <v>0</v>
      </c>
      <c r="C248">
        <f>SUMPRODUCT((MONTH(CHOOSE({1,2,3,4},NĐ!U248,NĐ!AA248,NĐ!AG248,NĐ!AM248))=3)*(CHOOSE({1,2,3,4},NĐ!X248,NĐ!AD248,NĐ!AJ248,NĐ!AP248)))</f>
        <v>0</v>
      </c>
      <c r="D248">
        <f>SUMPRODUCT((MONTH(CHOOSE({1,2,3,4},NĐ!U248,NĐ!AA248,NĐ!AG248,NĐ!AM248))=4)*(CHOOSE({1,2,3,4},NĐ!X248,NĐ!AD248,NĐ!AJ248,NĐ!AP248)))</f>
        <v>0</v>
      </c>
      <c r="E248">
        <f>SUMPRODUCT((MONTH(CHOOSE({1,2,3,4},NĐ!U248,NĐ!AA248,NĐ!AG248,NĐ!AM248))=5)*(CHOOSE({1,2,3,4},NĐ!X248,NĐ!AD248,NĐ!AJ248,NĐ!AP248)))</f>
        <v>0</v>
      </c>
      <c r="F248">
        <f>SUMPRODUCT((MONTH(CHOOSE({1,2,3,4},NĐ!U248,NĐ!AA248,NĐ!AG248,NĐ!AM248))=6)*(CHOOSE({1,2,3,4},NĐ!X248,NĐ!AD248,NĐ!AJ248,NĐ!AP248)))</f>
        <v>0</v>
      </c>
      <c r="G248">
        <f>SUMPRODUCT((MONTH(CHOOSE({1,2,3,4},NĐ!U248,NĐ!AA248,NĐ!AG248,NĐ!AM248))=7)*(CHOOSE({1,2,3,4},NĐ!X248,NĐ!AD248,NĐ!AJ248,NĐ!AP248)))</f>
        <v>0</v>
      </c>
      <c r="H248">
        <f>SUMPRODUCT((MONTH(CHOOSE({1,2,3,4},NĐ!U248,NĐ!AA248,NĐ!AG248,NĐ!AM248))=8)*(CHOOSE({1,2,3,4},NĐ!X248,NĐ!AD248,NĐ!AJ248,NĐ!AP248)))</f>
        <v>0</v>
      </c>
      <c r="I248">
        <f>SUMPRODUCT((MONTH(CHOOSE({1,2,3,4},NĐ!U248,NĐ!AA248,NĐ!AG248,NĐ!AM248))=9)*(CHOOSE({1,2,3,4},NĐ!X248,NĐ!AD248,NĐ!AJ248,NĐ!AP248)))</f>
        <v>0</v>
      </c>
      <c r="J248">
        <f>SUMPRODUCT((MONTH(CHOOSE({1,2,3,4},NĐ!U248,NĐ!AA248,NĐ!AG248,NĐ!AM248))=10)*(CHOOSE({1,2,3,4},NĐ!X248,NĐ!AD248,NĐ!AJ248,NĐ!AP248)))</f>
        <v>0</v>
      </c>
      <c r="K248">
        <f>SUMPRODUCT((MONTH(CHOOSE({1,2,3,4},NĐ!U248,NĐ!AA248,NĐ!AG248,NĐ!AM248))=11)*(CHOOSE({1,2,3,4},NĐ!X248,NĐ!AD248,NĐ!AJ248,NĐ!AP248)))</f>
        <v>0</v>
      </c>
      <c r="L248">
        <f>SUMPRODUCT((MONTH(CHOOSE({1,2,3,4},NĐ!U248,NĐ!AA248,NĐ!AG248,NĐ!AM248))=12)*(CHOOSE({1,2,3,4},NĐ!X248,NĐ!AD248,NĐ!AJ248,NĐ!AP248)))</f>
        <v>0</v>
      </c>
    </row>
    <row r="249" spans="1:12">
      <c r="A249">
        <f>SUMPRODUCT((MONTH(CHOOSE({1,2,3,4},NĐ!U249,NĐ!AA249,NĐ!AG249,NĐ!AM249))=1)*(CHOOSE({1,2,3,4},NĐ!X249,NĐ!AD249,NĐ!AJ249,NĐ!AP249)))</f>
        <v>0</v>
      </c>
      <c r="B249">
        <f>SUMPRODUCT((MONTH(CHOOSE({1,2,3,4},NĐ!U249,NĐ!AA249,NĐ!AG249,NĐ!AM249))=2)*(CHOOSE({1,2,3,4},NĐ!X249,NĐ!AD249,NĐ!AJ249,NĐ!AP249)))</f>
        <v>0</v>
      </c>
      <c r="C249">
        <f>SUMPRODUCT((MONTH(CHOOSE({1,2,3,4},NĐ!U249,NĐ!AA249,NĐ!AG249,NĐ!AM249))=3)*(CHOOSE({1,2,3,4},NĐ!X249,NĐ!AD249,NĐ!AJ249,NĐ!AP249)))</f>
        <v>0</v>
      </c>
      <c r="D249">
        <f>SUMPRODUCT((MONTH(CHOOSE({1,2,3,4},NĐ!U249,NĐ!AA249,NĐ!AG249,NĐ!AM249))=4)*(CHOOSE({1,2,3,4},NĐ!X249,NĐ!AD249,NĐ!AJ249,NĐ!AP249)))</f>
        <v>0</v>
      </c>
      <c r="E249">
        <f>SUMPRODUCT((MONTH(CHOOSE({1,2,3,4},NĐ!U249,NĐ!AA249,NĐ!AG249,NĐ!AM249))=5)*(CHOOSE({1,2,3,4},NĐ!X249,NĐ!AD249,NĐ!AJ249,NĐ!AP249)))</f>
        <v>0</v>
      </c>
      <c r="F249">
        <f>SUMPRODUCT((MONTH(CHOOSE({1,2,3,4},NĐ!U249,NĐ!AA249,NĐ!AG249,NĐ!AM249))=6)*(CHOOSE({1,2,3,4},NĐ!X249,NĐ!AD249,NĐ!AJ249,NĐ!AP249)))</f>
        <v>0</v>
      </c>
      <c r="G249">
        <f>SUMPRODUCT((MONTH(CHOOSE({1,2,3,4},NĐ!U249,NĐ!AA249,NĐ!AG249,NĐ!AM249))=7)*(CHOOSE({1,2,3,4},NĐ!X249,NĐ!AD249,NĐ!AJ249,NĐ!AP249)))</f>
        <v>0</v>
      </c>
      <c r="H249">
        <f>SUMPRODUCT((MONTH(CHOOSE({1,2,3,4},NĐ!U249,NĐ!AA249,NĐ!AG249,NĐ!AM249))=8)*(CHOOSE({1,2,3,4},NĐ!X249,NĐ!AD249,NĐ!AJ249,NĐ!AP249)))</f>
        <v>0</v>
      </c>
      <c r="I249">
        <f>SUMPRODUCT((MONTH(CHOOSE({1,2,3,4},NĐ!U249,NĐ!AA249,NĐ!AG249,NĐ!AM249))=9)*(CHOOSE({1,2,3,4},NĐ!X249,NĐ!AD249,NĐ!AJ249,NĐ!AP249)))</f>
        <v>0</v>
      </c>
      <c r="J249">
        <f>SUMPRODUCT((MONTH(CHOOSE({1,2,3,4},NĐ!U249,NĐ!AA249,NĐ!AG249,NĐ!AM249))=10)*(CHOOSE({1,2,3,4},NĐ!X249,NĐ!AD249,NĐ!AJ249,NĐ!AP249)))</f>
        <v>0</v>
      </c>
      <c r="K249">
        <f>SUMPRODUCT((MONTH(CHOOSE({1,2,3,4},NĐ!U249,NĐ!AA249,NĐ!AG249,NĐ!AM249))=11)*(CHOOSE({1,2,3,4},NĐ!X249,NĐ!AD249,NĐ!AJ249,NĐ!AP249)))</f>
        <v>0</v>
      </c>
      <c r="L249">
        <f>SUMPRODUCT((MONTH(CHOOSE({1,2,3,4},NĐ!U249,NĐ!AA249,NĐ!AG249,NĐ!AM249))=12)*(CHOOSE({1,2,3,4},NĐ!X249,NĐ!AD249,NĐ!AJ249,NĐ!AP249)))</f>
        <v>0</v>
      </c>
    </row>
    <row r="250" spans="1:12">
      <c r="A250">
        <f>SUMPRODUCT((MONTH(CHOOSE({1,2,3,4},NĐ!U250,NĐ!AA250,NĐ!AG250,NĐ!AM250))=1)*(CHOOSE({1,2,3,4},NĐ!X250,NĐ!AD250,NĐ!AJ250,NĐ!AP250)))</f>
        <v>0</v>
      </c>
      <c r="B250">
        <f>SUMPRODUCT((MONTH(CHOOSE({1,2,3,4},NĐ!U250,NĐ!AA250,NĐ!AG250,NĐ!AM250))=2)*(CHOOSE({1,2,3,4},NĐ!X250,NĐ!AD250,NĐ!AJ250,NĐ!AP250)))</f>
        <v>0</v>
      </c>
      <c r="C250">
        <f>SUMPRODUCT((MONTH(CHOOSE({1,2,3,4},NĐ!U250,NĐ!AA250,NĐ!AG250,NĐ!AM250))=3)*(CHOOSE({1,2,3,4},NĐ!X250,NĐ!AD250,NĐ!AJ250,NĐ!AP250)))</f>
        <v>0</v>
      </c>
      <c r="D250">
        <f>SUMPRODUCT((MONTH(CHOOSE({1,2,3,4},NĐ!U250,NĐ!AA250,NĐ!AG250,NĐ!AM250))=4)*(CHOOSE({1,2,3,4},NĐ!X250,NĐ!AD250,NĐ!AJ250,NĐ!AP250)))</f>
        <v>0</v>
      </c>
      <c r="E250">
        <f>SUMPRODUCT((MONTH(CHOOSE({1,2,3,4},NĐ!U250,NĐ!AA250,NĐ!AG250,NĐ!AM250))=5)*(CHOOSE({1,2,3,4},NĐ!X250,NĐ!AD250,NĐ!AJ250,NĐ!AP250)))</f>
        <v>0</v>
      </c>
      <c r="F250">
        <f>SUMPRODUCT((MONTH(CHOOSE({1,2,3,4},NĐ!U250,NĐ!AA250,NĐ!AG250,NĐ!AM250))=6)*(CHOOSE({1,2,3,4},NĐ!X250,NĐ!AD250,NĐ!AJ250,NĐ!AP250)))</f>
        <v>0</v>
      </c>
      <c r="G250">
        <f>SUMPRODUCT((MONTH(CHOOSE({1,2,3,4},NĐ!U250,NĐ!AA250,NĐ!AG250,NĐ!AM250))=7)*(CHOOSE({1,2,3,4},NĐ!X250,NĐ!AD250,NĐ!AJ250,NĐ!AP250)))</f>
        <v>0</v>
      </c>
      <c r="H250">
        <f>SUMPRODUCT((MONTH(CHOOSE({1,2,3,4},NĐ!U250,NĐ!AA250,NĐ!AG250,NĐ!AM250))=8)*(CHOOSE({1,2,3,4},NĐ!X250,NĐ!AD250,NĐ!AJ250,NĐ!AP250)))</f>
        <v>0</v>
      </c>
      <c r="I250">
        <f>SUMPRODUCT((MONTH(CHOOSE({1,2,3,4},NĐ!U250,NĐ!AA250,NĐ!AG250,NĐ!AM250))=9)*(CHOOSE({1,2,3,4},NĐ!X250,NĐ!AD250,NĐ!AJ250,NĐ!AP250)))</f>
        <v>0</v>
      </c>
      <c r="J250">
        <f>SUMPRODUCT((MONTH(CHOOSE({1,2,3,4},NĐ!U250,NĐ!AA250,NĐ!AG250,NĐ!AM250))=10)*(CHOOSE({1,2,3,4},NĐ!X250,NĐ!AD250,NĐ!AJ250,NĐ!AP250)))</f>
        <v>0</v>
      </c>
      <c r="K250">
        <f>SUMPRODUCT((MONTH(CHOOSE({1,2,3,4},NĐ!U250,NĐ!AA250,NĐ!AG250,NĐ!AM250))=11)*(CHOOSE({1,2,3,4},NĐ!X250,NĐ!AD250,NĐ!AJ250,NĐ!AP250)))</f>
        <v>0</v>
      </c>
      <c r="L250">
        <f>SUMPRODUCT((MONTH(CHOOSE({1,2,3,4},NĐ!U250,NĐ!AA250,NĐ!AG250,NĐ!AM250))=12)*(CHOOSE({1,2,3,4},NĐ!X250,NĐ!AD250,NĐ!AJ250,NĐ!AP250)))</f>
        <v>0</v>
      </c>
    </row>
    <row r="251" spans="1:12">
      <c r="A251">
        <f>SUMPRODUCT((MONTH(CHOOSE({1,2,3,4},NĐ!U251,NĐ!AA251,NĐ!AG251,NĐ!AM251))=1)*(CHOOSE({1,2,3,4},NĐ!X251,NĐ!AD251,NĐ!AJ251,NĐ!AP251)))</f>
        <v>0</v>
      </c>
      <c r="B251">
        <f>SUMPRODUCT((MONTH(CHOOSE({1,2,3,4},NĐ!U251,NĐ!AA251,NĐ!AG251,NĐ!AM251))=2)*(CHOOSE({1,2,3,4},NĐ!X251,NĐ!AD251,NĐ!AJ251,NĐ!AP251)))</f>
        <v>0</v>
      </c>
      <c r="C251">
        <f>SUMPRODUCT((MONTH(CHOOSE({1,2,3,4},NĐ!U251,NĐ!AA251,NĐ!AG251,NĐ!AM251))=3)*(CHOOSE({1,2,3,4},NĐ!X251,NĐ!AD251,NĐ!AJ251,NĐ!AP251)))</f>
        <v>0</v>
      </c>
      <c r="D251">
        <f>SUMPRODUCT((MONTH(CHOOSE({1,2,3,4},NĐ!U251,NĐ!AA251,NĐ!AG251,NĐ!AM251))=4)*(CHOOSE({1,2,3,4},NĐ!X251,NĐ!AD251,NĐ!AJ251,NĐ!AP251)))</f>
        <v>0</v>
      </c>
      <c r="E251">
        <f>SUMPRODUCT((MONTH(CHOOSE({1,2,3,4},NĐ!U251,NĐ!AA251,NĐ!AG251,NĐ!AM251))=5)*(CHOOSE({1,2,3,4},NĐ!X251,NĐ!AD251,NĐ!AJ251,NĐ!AP251)))</f>
        <v>0</v>
      </c>
      <c r="F251">
        <f>SUMPRODUCT((MONTH(CHOOSE({1,2,3,4},NĐ!U251,NĐ!AA251,NĐ!AG251,NĐ!AM251))=6)*(CHOOSE({1,2,3,4},NĐ!X251,NĐ!AD251,NĐ!AJ251,NĐ!AP251)))</f>
        <v>0</v>
      </c>
      <c r="G251">
        <f>SUMPRODUCT((MONTH(CHOOSE({1,2,3,4},NĐ!U251,NĐ!AA251,NĐ!AG251,NĐ!AM251))=7)*(CHOOSE({1,2,3,4},NĐ!X251,NĐ!AD251,NĐ!AJ251,NĐ!AP251)))</f>
        <v>0</v>
      </c>
      <c r="H251">
        <f>SUMPRODUCT((MONTH(CHOOSE({1,2,3,4},NĐ!U251,NĐ!AA251,NĐ!AG251,NĐ!AM251))=8)*(CHOOSE({1,2,3,4},NĐ!X251,NĐ!AD251,NĐ!AJ251,NĐ!AP251)))</f>
        <v>0</v>
      </c>
      <c r="I251">
        <f>SUMPRODUCT((MONTH(CHOOSE({1,2,3,4},NĐ!U251,NĐ!AA251,NĐ!AG251,NĐ!AM251))=9)*(CHOOSE({1,2,3,4},NĐ!X251,NĐ!AD251,NĐ!AJ251,NĐ!AP251)))</f>
        <v>0</v>
      </c>
      <c r="J251">
        <f>SUMPRODUCT((MONTH(CHOOSE({1,2,3,4},NĐ!U251,NĐ!AA251,NĐ!AG251,NĐ!AM251))=10)*(CHOOSE({1,2,3,4},NĐ!X251,NĐ!AD251,NĐ!AJ251,NĐ!AP251)))</f>
        <v>0</v>
      </c>
      <c r="K251">
        <f>SUMPRODUCT((MONTH(CHOOSE({1,2,3,4},NĐ!U251,NĐ!AA251,NĐ!AG251,NĐ!AM251))=11)*(CHOOSE({1,2,3,4},NĐ!X251,NĐ!AD251,NĐ!AJ251,NĐ!AP251)))</f>
        <v>0</v>
      </c>
      <c r="L251">
        <f>SUMPRODUCT((MONTH(CHOOSE({1,2,3,4},NĐ!U251,NĐ!AA251,NĐ!AG251,NĐ!AM251))=12)*(CHOOSE({1,2,3,4},NĐ!X251,NĐ!AD251,NĐ!AJ251,NĐ!AP251)))</f>
        <v>0</v>
      </c>
    </row>
    <row r="252" spans="1:12">
      <c r="A252">
        <f>SUMPRODUCT((MONTH(CHOOSE({1,2,3,4},NĐ!U252,NĐ!AA252,NĐ!AG252,NĐ!AM252))=1)*(CHOOSE({1,2,3,4},NĐ!X252,NĐ!AD252,NĐ!AJ252,NĐ!AP252)))</f>
        <v>0</v>
      </c>
      <c r="B252">
        <f>SUMPRODUCT((MONTH(CHOOSE({1,2,3,4},NĐ!U252,NĐ!AA252,NĐ!AG252,NĐ!AM252))=2)*(CHOOSE({1,2,3,4},NĐ!X252,NĐ!AD252,NĐ!AJ252,NĐ!AP252)))</f>
        <v>0</v>
      </c>
      <c r="C252">
        <f>SUMPRODUCT((MONTH(CHOOSE({1,2,3,4},NĐ!U252,NĐ!AA252,NĐ!AG252,NĐ!AM252))=3)*(CHOOSE({1,2,3,4},NĐ!X252,NĐ!AD252,NĐ!AJ252,NĐ!AP252)))</f>
        <v>0</v>
      </c>
      <c r="D252">
        <f>SUMPRODUCT((MONTH(CHOOSE({1,2,3,4},NĐ!U252,NĐ!AA252,NĐ!AG252,NĐ!AM252))=4)*(CHOOSE({1,2,3,4},NĐ!X252,NĐ!AD252,NĐ!AJ252,NĐ!AP252)))</f>
        <v>0</v>
      </c>
      <c r="E252">
        <f>SUMPRODUCT((MONTH(CHOOSE({1,2,3,4},NĐ!U252,NĐ!AA252,NĐ!AG252,NĐ!AM252))=5)*(CHOOSE({1,2,3,4},NĐ!X252,NĐ!AD252,NĐ!AJ252,NĐ!AP252)))</f>
        <v>0</v>
      </c>
      <c r="F252">
        <f>SUMPRODUCT((MONTH(CHOOSE({1,2,3,4},NĐ!U252,NĐ!AA252,NĐ!AG252,NĐ!AM252))=6)*(CHOOSE({1,2,3,4},NĐ!X252,NĐ!AD252,NĐ!AJ252,NĐ!AP252)))</f>
        <v>0</v>
      </c>
      <c r="G252">
        <f>SUMPRODUCT((MONTH(CHOOSE({1,2,3,4},NĐ!U252,NĐ!AA252,NĐ!AG252,NĐ!AM252))=7)*(CHOOSE({1,2,3,4},NĐ!X252,NĐ!AD252,NĐ!AJ252,NĐ!AP252)))</f>
        <v>0</v>
      </c>
      <c r="H252">
        <f>SUMPRODUCT((MONTH(CHOOSE({1,2,3,4},NĐ!U252,NĐ!AA252,NĐ!AG252,NĐ!AM252))=8)*(CHOOSE({1,2,3,4},NĐ!X252,NĐ!AD252,NĐ!AJ252,NĐ!AP252)))</f>
        <v>0</v>
      </c>
      <c r="I252">
        <f>SUMPRODUCT((MONTH(CHOOSE({1,2,3,4},NĐ!U252,NĐ!AA252,NĐ!AG252,NĐ!AM252))=9)*(CHOOSE({1,2,3,4},NĐ!X252,NĐ!AD252,NĐ!AJ252,NĐ!AP252)))</f>
        <v>0</v>
      </c>
      <c r="J252">
        <f>SUMPRODUCT((MONTH(CHOOSE({1,2,3,4},NĐ!U252,NĐ!AA252,NĐ!AG252,NĐ!AM252))=10)*(CHOOSE({1,2,3,4},NĐ!X252,NĐ!AD252,NĐ!AJ252,NĐ!AP252)))</f>
        <v>0</v>
      </c>
      <c r="K252">
        <f>SUMPRODUCT((MONTH(CHOOSE({1,2,3,4},NĐ!U252,NĐ!AA252,NĐ!AG252,NĐ!AM252))=11)*(CHOOSE({1,2,3,4},NĐ!X252,NĐ!AD252,NĐ!AJ252,NĐ!AP252)))</f>
        <v>0</v>
      </c>
      <c r="L252">
        <f>SUMPRODUCT((MONTH(CHOOSE({1,2,3,4},NĐ!U252,NĐ!AA252,NĐ!AG252,NĐ!AM252))=12)*(CHOOSE({1,2,3,4},NĐ!X252,NĐ!AD252,NĐ!AJ252,NĐ!AP252)))</f>
        <v>0</v>
      </c>
    </row>
    <row r="253" spans="1:12">
      <c r="A253">
        <f>SUMPRODUCT((MONTH(CHOOSE({1,2,3,4},NĐ!U253,NĐ!AA253,NĐ!AG253,NĐ!AM253))=1)*(CHOOSE({1,2,3,4},NĐ!X253,NĐ!AD253,NĐ!AJ253,NĐ!AP253)))</f>
        <v>0</v>
      </c>
      <c r="B253">
        <f>SUMPRODUCT((MONTH(CHOOSE({1,2,3,4},NĐ!U253,NĐ!AA253,NĐ!AG253,NĐ!AM253))=2)*(CHOOSE({1,2,3,4},NĐ!X253,NĐ!AD253,NĐ!AJ253,NĐ!AP253)))</f>
        <v>0</v>
      </c>
      <c r="C253">
        <f>SUMPRODUCT((MONTH(CHOOSE({1,2,3,4},NĐ!U253,NĐ!AA253,NĐ!AG253,NĐ!AM253))=3)*(CHOOSE({1,2,3,4},NĐ!X253,NĐ!AD253,NĐ!AJ253,NĐ!AP253)))</f>
        <v>0</v>
      </c>
      <c r="D253">
        <f>SUMPRODUCT((MONTH(CHOOSE({1,2,3,4},NĐ!U253,NĐ!AA253,NĐ!AG253,NĐ!AM253))=4)*(CHOOSE({1,2,3,4},NĐ!X253,NĐ!AD253,NĐ!AJ253,NĐ!AP253)))</f>
        <v>0</v>
      </c>
      <c r="E253">
        <f>SUMPRODUCT((MONTH(CHOOSE({1,2,3,4},NĐ!U253,NĐ!AA253,NĐ!AG253,NĐ!AM253))=5)*(CHOOSE({1,2,3,4},NĐ!X253,NĐ!AD253,NĐ!AJ253,NĐ!AP253)))</f>
        <v>0</v>
      </c>
      <c r="F253">
        <f>SUMPRODUCT((MONTH(CHOOSE({1,2,3,4},NĐ!U253,NĐ!AA253,NĐ!AG253,NĐ!AM253))=6)*(CHOOSE({1,2,3,4},NĐ!X253,NĐ!AD253,NĐ!AJ253,NĐ!AP253)))</f>
        <v>0</v>
      </c>
      <c r="G253">
        <f>SUMPRODUCT((MONTH(CHOOSE({1,2,3,4},NĐ!U253,NĐ!AA253,NĐ!AG253,NĐ!AM253))=7)*(CHOOSE({1,2,3,4},NĐ!X253,NĐ!AD253,NĐ!AJ253,NĐ!AP253)))</f>
        <v>0</v>
      </c>
      <c r="H253">
        <f>SUMPRODUCT((MONTH(CHOOSE({1,2,3,4},NĐ!U253,NĐ!AA253,NĐ!AG253,NĐ!AM253))=8)*(CHOOSE({1,2,3,4},NĐ!X253,NĐ!AD253,NĐ!AJ253,NĐ!AP253)))</f>
        <v>0</v>
      </c>
      <c r="I253">
        <f>SUMPRODUCT((MONTH(CHOOSE({1,2,3,4},NĐ!U253,NĐ!AA253,NĐ!AG253,NĐ!AM253))=9)*(CHOOSE({1,2,3,4},NĐ!X253,NĐ!AD253,NĐ!AJ253,NĐ!AP253)))</f>
        <v>0</v>
      </c>
      <c r="J253">
        <f>SUMPRODUCT((MONTH(CHOOSE({1,2,3,4},NĐ!U253,NĐ!AA253,NĐ!AG253,NĐ!AM253))=10)*(CHOOSE({1,2,3,4},NĐ!X253,NĐ!AD253,NĐ!AJ253,NĐ!AP253)))</f>
        <v>0</v>
      </c>
      <c r="K253">
        <f>SUMPRODUCT((MONTH(CHOOSE({1,2,3,4},NĐ!U253,NĐ!AA253,NĐ!AG253,NĐ!AM253))=11)*(CHOOSE({1,2,3,4},NĐ!X253,NĐ!AD253,NĐ!AJ253,NĐ!AP253)))</f>
        <v>0</v>
      </c>
      <c r="L253">
        <f>SUMPRODUCT((MONTH(CHOOSE({1,2,3,4},NĐ!U253,NĐ!AA253,NĐ!AG253,NĐ!AM253))=12)*(CHOOSE({1,2,3,4},NĐ!X253,NĐ!AD253,NĐ!AJ253,NĐ!AP253)))</f>
        <v>0</v>
      </c>
    </row>
    <row r="254" spans="1:12">
      <c r="A254">
        <f>SUMPRODUCT((MONTH(CHOOSE({1,2,3,4},NĐ!U254,NĐ!AA254,NĐ!AG254,NĐ!AM254))=1)*(CHOOSE({1,2,3,4},NĐ!X254,NĐ!AD254,NĐ!AJ254,NĐ!AP254)))</f>
        <v>0</v>
      </c>
      <c r="B254">
        <f>SUMPRODUCT((MONTH(CHOOSE({1,2,3,4},NĐ!U254,NĐ!AA254,NĐ!AG254,NĐ!AM254))=2)*(CHOOSE({1,2,3,4},NĐ!X254,NĐ!AD254,NĐ!AJ254,NĐ!AP254)))</f>
        <v>0</v>
      </c>
      <c r="C254">
        <f>SUMPRODUCT((MONTH(CHOOSE({1,2,3,4},NĐ!U254,NĐ!AA254,NĐ!AG254,NĐ!AM254))=3)*(CHOOSE({1,2,3,4},NĐ!X254,NĐ!AD254,NĐ!AJ254,NĐ!AP254)))</f>
        <v>0</v>
      </c>
      <c r="D254">
        <f>SUMPRODUCT((MONTH(CHOOSE({1,2,3,4},NĐ!U254,NĐ!AA254,NĐ!AG254,NĐ!AM254))=4)*(CHOOSE({1,2,3,4},NĐ!X254,NĐ!AD254,NĐ!AJ254,NĐ!AP254)))</f>
        <v>0</v>
      </c>
      <c r="E254">
        <f>SUMPRODUCT((MONTH(CHOOSE({1,2,3,4},NĐ!U254,NĐ!AA254,NĐ!AG254,NĐ!AM254))=5)*(CHOOSE({1,2,3,4},NĐ!X254,NĐ!AD254,NĐ!AJ254,NĐ!AP254)))</f>
        <v>0</v>
      </c>
      <c r="F254">
        <f>SUMPRODUCT((MONTH(CHOOSE({1,2,3,4},NĐ!U254,NĐ!AA254,NĐ!AG254,NĐ!AM254))=6)*(CHOOSE({1,2,3,4},NĐ!X254,NĐ!AD254,NĐ!AJ254,NĐ!AP254)))</f>
        <v>0</v>
      </c>
      <c r="G254">
        <f>SUMPRODUCT((MONTH(CHOOSE({1,2,3,4},NĐ!U254,NĐ!AA254,NĐ!AG254,NĐ!AM254))=7)*(CHOOSE({1,2,3,4},NĐ!X254,NĐ!AD254,NĐ!AJ254,NĐ!AP254)))</f>
        <v>0</v>
      </c>
      <c r="H254">
        <f>SUMPRODUCT((MONTH(CHOOSE({1,2,3,4},NĐ!U254,NĐ!AA254,NĐ!AG254,NĐ!AM254))=8)*(CHOOSE({1,2,3,4},NĐ!X254,NĐ!AD254,NĐ!AJ254,NĐ!AP254)))</f>
        <v>0</v>
      </c>
      <c r="I254">
        <f>SUMPRODUCT((MONTH(CHOOSE({1,2,3,4},NĐ!U254,NĐ!AA254,NĐ!AG254,NĐ!AM254))=9)*(CHOOSE({1,2,3,4},NĐ!X254,NĐ!AD254,NĐ!AJ254,NĐ!AP254)))</f>
        <v>0</v>
      </c>
      <c r="J254">
        <f>SUMPRODUCT((MONTH(CHOOSE({1,2,3,4},NĐ!U254,NĐ!AA254,NĐ!AG254,NĐ!AM254))=10)*(CHOOSE({1,2,3,4},NĐ!X254,NĐ!AD254,NĐ!AJ254,NĐ!AP254)))</f>
        <v>0</v>
      </c>
      <c r="K254">
        <f>SUMPRODUCT((MONTH(CHOOSE({1,2,3,4},NĐ!U254,NĐ!AA254,NĐ!AG254,NĐ!AM254))=11)*(CHOOSE({1,2,3,4},NĐ!X254,NĐ!AD254,NĐ!AJ254,NĐ!AP254)))</f>
        <v>0</v>
      </c>
      <c r="L254">
        <f>SUMPRODUCT((MONTH(CHOOSE({1,2,3,4},NĐ!U254,NĐ!AA254,NĐ!AG254,NĐ!AM254))=12)*(CHOOSE({1,2,3,4},NĐ!X254,NĐ!AD254,NĐ!AJ254,NĐ!AP254)))</f>
        <v>0</v>
      </c>
    </row>
    <row r="255" spans="1:12">
      <c r="A255">
        <f>SUMPRODUCT((MONTH(CHOOSE({1,2,3,4},NĐ!U255,NĐ!AA255,NĐ!AG255,NĐ!AM255))=1)*(CHOOSE({1,2,3,4},NĐ!X255,NĐ!AD255,NĐ!AJ255,NĐ!AP255)))</f>
        <v>0</v>
      </c>
      <c r="B255">
        <f>SUMPRODUCT((MONTH(CHOOSE({1,2,3,4},NĐ!U255,NĐ!AA255,NĐ!AG255,NĐ!AM255))=2)*(CHOOSE({1,2,3,4},NĐ!X255,NĐ!AD255,NĐ!AJ255,NĐ!AP255)))</f>
        <v>0</v>
      </c>
      <c r="C255">
        <f>SUMPRODUCT((MONTH(CHOOSE({1,2,3,4},NĐ!U255,NĐ!AA255,NĐ!AG255,NĐ!AM255))=3)*(CHOOSE({1,2,3,4},NĐ!X255,NĐ!AD255,NĐ!AJ255,NĐ!AP255)))</f>
        <v>0</v>
      </c>
      <c r="D255">
        <f>SUMPRODUCT((MONTH(CHOOSE({1,2,3,4},NĐ!U255,NĐ!AA255,NĐ!AG255,NĐ!AM255))=4)*(CHOOSE({1,2,3,4},NĐ!X255,NĐ!AD255,NĐ!AJ255,NĐ!AP255)))</f>
        <v>0</v>
      </c>
      <c r="E255">
        <f>SUMPRODUCT((MONTH(CHOOSE({1,2,3,4},NĐ!U255,NĐ!AA255,NĐ!AG255,NĐ!AM255))=5)*(CHOOSE({1,2,3,4},NĐ!X255,NĐ!AD255,NĐ!AJ255,NĐ!AP255)))</f>
        <v>0</v>
      </c>
      <c r="F255">
        <f>SUMPRODUCT((MONTH(CHOOSE({1,2,3,4},NĐ!U255,NĐ!AA255,NĐ!AG255,NĐ!AM255))=6)*(CHOOSE({1,2,3,4},NĐ!X255,NĐ!AD255,NĐ!AJ255,NĐ!AP255)))</f>
        <v>0</v>
      </c>
      <c r="G255">
        <f>SUMPRODUCT((MONTH(CHOOSE({1,2,3,4},NĐ!U255,NĐ!AA255,NĐ!AG255,NĐ!AM255))=7)*(CHOOSE({1,2,3,4},NĐ!X255,NĐ!AD255,NĐ!AJ255,NĐ!AP255)))</f>
        <v>0</v>
      </c>
      <c r="H255">
        <f>SUMPRODUCT((MONTH(CHOOSE({1,2,3,4},NĐ!U255,NĐ!AA255,NĐ!AG255,NĐ!AM255))=8)*(CHOOSE({1,2,3,4},NĐ!X255,NĐ!AD255,NĐ!AJ255,NĐ!AP255)))</f>
        <v>0</v>
      </c>
      <c r="I255">
        <f>SUMPRODUCT((MONTH(CHOOSE({1,2,3,4},NĐ!U255,NĐ!AA255,NĐ!AG255,NĐ!AM255))=9)*(CHOOSE({1,2,3,4},NĐ!X255,NĐ!AD255,NĐ!AJ255,NĐ!AP255)))</f>
        <v>0</v>
      </c>
      <c r="J255">
        <f>SUMPRODUCT((MONTH(CHOOSE({1,2,3,4},NĐ!U255,NĐ!AA255,NĐ!AG255,NĐ!AM255))=10)*(CHOOSE({1,2,3,4},NĐ!X255,NĐ!AD255,NĐ!AJ255,NĐ!AP255)))</f>
        <v>0</v>
      </c>
      <c r="K255">
        <f>SUMPRODUCT((MONTH(CHOOSE({1,2,3,4},NĐ!U255,NĐ!AA255,NĐ!AG255,NĐ!AM255))=11)*(CHOOSE({1,2,3,4},NĐ!X255,NĐ!AD255,NĐ!AJ255,NĐ!AP255)))</f>
        <v>0</v>
      </c>
      <c r="L255">
        <f>SUMPRODUCT((MONTH(CHOOSE({1,2,3,4},NĐ!U255,NĐ!AA255,NĐ!AG255,NĐ!AM255))=12)*(CHOOSE({1,2,3,4},NĐ!X255,NĐ!AD255,NĐ!AJ255,NĐ!AP255)))</f>
        <v>0</v>
      </c>
    </row>
    <row r="256" spans="1:12">
      <c r="A256">
        <f>SUMPRODUCT((MONTH(CHOOSE({1,2,3,4},NĐ!U256,NĐ!AA256,NĐ!AG256,NĐ!AM256))=1)*(CHOOSE({1,2,3,4},NĐ!X256,NĐ!AD256,NĐ!AJ256,NĐ!AP256)))</f>
        <v>0</v>
      </c>
      <c r="B256">
        <f>SUMPRODUCT((MONTH(CHOOSE({1,2,3,4},NĐ!U256,NĐ!AA256,NĐ!AG256,NĐ!AM256))=2)*(CHOOSE({1,2,3,4},NĐ!X256,NĐ!AD256,NĐ!AJ256,NĐ!AP256)))</f>
        <v>0</v>
      </c>
      <c r="C256">
        <f>SUMPRODUCT((MONTH(CHOOSE({1,2,3,4},NĐ!U256,NĐ!AA256,NĐ!AG256,NĐ!AM256))=3)*(CHOOSE({1,2,3,4},NĐ!X256,NĐ!AD256,NĐ!AJ256,NĐ!AP256)))</f>
        <v>0</v>
      </c>
      <c r="D256">
        <f>SUMPRODUCT((MONTH(CHOOSE({1,2,3,4},NĐ!U256,NĐ!AA256,NĐ!AG256,NĐ!AM256))=4)*(CHOOSE({1,2,3,4},NĐ!X256,NĐ!AD256,NĐ!AJ256,NĐ!AP256)))</f>
        <v>0</v>
      </c>
      <c r="E256">
        <f>SUMPRODUCT((MONTH(CHOOSE({1,2,3,4},NĐ!U256,NĐ!AA256,NĐ!AG256,NĐ!AM256))=5)*(CHOOSE({1,2,3,4},NĐ!X256,NĐ!AD256,NĐ!AJ256,NĐ!AP256)))</f>
        <v>0</v>
      </c>
      <c r="F256">
        <f>SUMPRODUCT((MONTH(CHOOSE({1,2,3,4},NĐ!U256,NĐ!AA256,NĐ!AG256,NĐ!AM256))=6)*(CHOOSE({1,2,3,4},NĐ!X256,NĐ!AD256,NĐ!AJ256,NĐ!AP256)))</f>
        <v>0</v>
      </c>
      <c r="G256">
        <f>SUMPRODUCT((MONTH(CHOOSE({1,2,3,4},NĐ!U256,NĐ!AA256,NĐ!AG256,NĐ!AM256))=7)*(CHOOSE({1,2,3,4},NĐ!X256,NĐ!AD256,NĐ!AJ256,NĐ!AP256)))</f>
        <v>0</v>
      </c>
      <c r="H256">
        <f>SUMPRODUCT((MONTH(CHOOSE({1,2,3,4},NĐ!U256,NĐ!AA256,NĐ!AG256,NĐ!AM256))=8)*(CHOOSE({1,2,3,4},NĐ!X256,NĐ!AD256,NĐ!AJ256,NĐ!AP256)))</f>
        <v>0</v>
      </c>
      <c r="I256">
        <f>SUMPRODUCT((MONTH(CHOOSE({1,2,3,4},NĐ!U256,NĐ!AA256,NĐ!AG256,NĐ!AM256))=9)*(CHOOSE({1,2,3,4},NĐ!X256,NĐ!AD256,NĐ!AJ256,NĐ!AP256)))</f>
        <v>0</v>
      </c>
      <c r="J256">
        <f>SUMPRODUCT((MONTH(CHOOSE({1,2,3,4},NĐ!U256,NĐ!AA256,NĐ!AG256,NĐ!AM256))=10)*(CHOOSE({1,2,3,4},NĐ!X256,NĐ!AD256,NĐ!AJ256,NĐ!AP256)))</f>
        <v>0</v>
      </c>
      <c r="K256">
        <f>SUMPRODUCT((MONTH(CHOOSE({1,2,3,4},NĐ!U256,NĐ!AA256,NĐ!AG256,NĐ!AM256))=11)*(CHOOSE({1,2,3,4},NĐ!X256,NĐ!AD256,NĐ!AJ256,NĐ!AP256)))</f>
        <v>0</v>
      </c>
      <c r="L256">
        <f>SUMPRODUCT((MONTH(CHOOSE({1,2,3,4},NĐ!U256,NĐ!AA256,NĐ!AG256,NĐ!AM256))=12)*(CHOOSE({1,2,3,4},NĐ!X256,NĐ!AD256,NĐ!AJ256,NĐ!AP256)))</f>
        <v>0</v>
      </c>
    </row>
    <row r="257" spans="1:12">
      <c r="A257">
        <f>SUMPRODUCT((MONTH(CHOOSE({1,2,3,4},NĐ!U257,NĐ!AA257,NĐ!AG257,NĐ!AM257))=1)*(CHOOSE({1,2,3,4},NĐ!X257,NĐ!AD257,NĐ!AJ257,NĐ!AP257)))</f>
        <v>0</v>
      </c>
      <c r="B257">
        <f>SUMPRODUCT((MONTH(CHOOSE({1,2,3,4},NĐ!U257,NĐ!AA257,NĐ!AG257,NĐ!AM257))=2)*(CHOOSE({1,2,3,4},NĐ!X257,NĐ!AD257,NĐ!AJ257,NĐ!AP257)))</f>
        <v>0</v>
      </c>
      <c r="C257">
        <f>SUMPRODUCT((MONTH(CHOOSE({1,2,3,4},NĐ!U257,NĐ!AA257,NĐ!AG257,NĐ!AM257))=3)*(CHOOSE({1,2,3,4},NĐ!X257,NĐ!AD257,NĐ!AJ257,NĐ!AP257)))</f>
        <v>0</v>
      </c>
      <c r="D257">
        <f>SUMPRODUCT((MONTH(CHOOSE({1,2,3,4},NĐ!U257,NĐ!AA257,NĐ!AG257,NĐ!AM257))=4)*(CHOOSE({1,2,3,4},NĐ!X257,NĐ!AD257,NĐ!AJ257,NĐ!AP257)))</f>
        <v>0</v>
      </c>
      <c r="E257">
        <f>SUMPRODUCT((MONTH(CHOOSE({1,2,3,4},NĐ!U257,NĐ!AA257,NĐ!AG257,NĐ!AM257))=5)*(CHOOSE({1,2,3,4},NĐ!X257,NĐ!AD257,NĐ!AJ257,NĐ!AP257)))</f>
        <v>0</v>
      </c>
      <c r="F257">
        <f>SUMPRODUCT((MONTH(CHOOSE({1,2,3,4},NĐ!U257,NĐ!AA257,NĐ!AG257,NĐ!AM257))=6)*(CHOOSE({1,2,3,4},NĐ!X257,NĐ!AD257,NĐ!AJ257,NĐ!AP257)))</f>
        <v>0</v>
      </c>
      <c r="G257">
        <f>SUMPRODUCT((MONTH(CHOOSE({1,2,3,4},NĐ!U257,NĐ!AA257,NĐ!AG257,NĐ!AM257))=7)*(CHOOSE({1,2,3,4},NĐ!X257,NĐ!AD257,NĐ!AJ257,NĐ!AP257)))</f>
        <v>0</v>
      </c>
      <c r="H257">
        <f>SUMPRODUCT((MONTH(CHOOSE({1,2,3,4},NĐ!U257,NĐ!AA257,NĐ!AG257,NĐ!AM257))=8)*(CHOOSE({1,2,3,4},NĐ!X257,NĐ!AD257,NĐ!AJ257,NĐ!AP257)))</f>
        <v>0</v>
      </c>
      <c r="I257">
        <f>SUMPRODUCT((MONTH(CHOOSE({1,2,3,4},NĐ!U257,NĐ!AA257,NĐ!AG257,NĐ!AM257))=9)*(CHOOSE({1,2,3,4},NĐ!X257,NĐ!AD257,NĐ!AJ257,NĐ!AP257)))</f>
        <v>0</v>
      </c>
      <c r="J257">
        <f>SUMPRODUCT((MONTH(CHOOSE({1,2,3,4},NĐ!U257,NĐ!AA257,NĐ!AG257,NĐ!AM257))=10)*(CHOOSE({1,2,3,4},NĐ!X257,NĐ!AD257,NĐ!AJ257,NĐ!AP257)))</f>
        <v>0</v>
      </c>
      <c r="K257">
        <f>SUMPRODUCT((MONTH(CHOOSE({1,2,3,4},NĐ!U257,NĐ!AA257,NĐ!AG257,NĐ!AM257))=11)*(CHOOSE({1,2,3,4},NĐ!X257,NĐ!AD257,NĐ!AJ257,NĐ!AP257)))</f>
        <v>0</v>
      </c>
      <c r="L257">
        <f>SUMPRODUCT((MONTH(CHOOSE({1,2,3,4},NĐ!U257,NĐ!AA257,NĐ!AG257,NĐ!AM257))=12)*(CHOOSE({1,2,3,4},NĐ!X257,NĐ!AD257,NĐ!AJ257,NĐ!AP257)))</f>
        <v>0</v>
      </c>
    </row>
    <row r="258" spans="1:12">
      <c r="A258">
        <f>SUMPRODUCT((MONTH(CHOOSE({1,2,3,4},NĐ!U258,NĐ!AA258,NĐ!AG258,NĐ!AM258))=1)*(CHOOSE({1,2,3,4},NĐ!X258,NĐ!AD258,NĐ!AJ258,NĐ!AP258)))</f>
        <v>0</v>
      </c>
      <c r="B258">
        <f>SUMPRODUCT((MONTH(CHOOSE({1,2,3,4},NĐ!U258,NĐ!AA258,NĐ!AG258,NĐ!AM258))=2)*(CHOOSE({1,2,3,4},NĐ!X258,NĐ!AD258,NĐ!AJ258,NĐ!AP258)))</f>
        <v>0</v>
      </c>
      <c r="C258">
        <f>SUMPRODUCT((MONTH(CHOOSE({1,2,3,4},NĐ!U258,NĐ!AA258,NĐ!AG258,NĐ!AM258))=3)*(CHOOSE({1,2,3,4},NĐ!X258,NĐ!AD258,NĐ!AJ258,NĐ!AP258)))</f>
        <v>0</v>
      </c>
      <c r="D258">
        <f>SUMPRODUCT((MONTH(CHOOSE({1,2,3,4},NĐ!U258,NĐ!AA258,NĐ!AG258,NĐ!AM258))=4)*(CHOOSE({1,2,3,4},NĐ!X258,NĐ!AD258,NĐ!AJ258,NĐ!AP258)))</f>
        <v>0</v>
      </c>
      <c r="E258">
        <f>SUMPRODUCT((MONTH(CHOOSE({1,2,3,4},NĐ!U258,NĐ!AA258,NĐ!AG258,NĐ!AM258))=5)*(CHOOSE({1,2,3,4},NĐ!X258,NĐ!AD258,NĐ!AJ258,NĐ!AP258)))</f>
        <v>0</v>
      </c>
      <c r="F258">
        <f>SUMPRODUCT((MONTH(CHOOSE({1,2,3,4},NĐ!U258,NĐ!AA258,NĐ!AG258,NĐ!AM258))=6)*(CHOOSE({1,2,3,4},NĐ!X258,NĐ!AD258,NĐ!AJ258,NĐ!AP258)))</f>
        <v>0</v>
      </c>
      <c r="G258">
        <f>SUMPRODUCT((MONTH(CHOOSE({1,2,3,4},NĐ!U258,NĐ!AA258,NĐ!AG258,NĐ!AM258))=7)*(CHOOSE({1,2,3,4},NĐ!X258,NĐ!AD258,NĐ!AJ258,NĐ!AP258)))</f>
        <v>0</v>
      </c>
      <c r="H258">
        <f>SUMPRODUCT((MONTH(CHOOSE({1,2,3,4},NĐ!U258,NĐ!AA258,NĐ!AG258,NĐ!AM258))=8)*(CHOOSE({1,2,3,4},NĐ!X258,NĐ!AD258,NĐ!AJ258,NĐ!AP258)))</f>
        <v>0</v>
      </c>
      <c r="I258">
        <f>SUMPRODUCT((MONTH(CHOOSE({1,2,3,4},NĐ!U258,NĐ!AA258,NĐ!AG258,NĐ!AM258))=9)*(CHOOSE({1,2,3,4},NĐ!X258,NĐ!AD258,NĐ!AJ258,NĐ!AP258)))</f>
        <v>0</v>
      </c>
      <c r="J258">
        <f>SUMPRODUCT((MONTH(CHOOSE({1,2,3,4},NĐ!U258,NĐ!AA258,NĐ!AG258,NĐ!AM258))=10)*(CHOOSE({1,2,3,4},NĐ!X258,NĐ!AD258,NĐ!AJ258,NĐ!AP258)))</f>
        <v>0</v>
      </c>
      <c r="K258">
        <f>SUMPRODUCT((MONTH(CHOOSE({1,2,3,4},NĐ!U258,NĐ!AA258,NĐ!AG258,NĐ!AM258))=11)*(CHOOSE({1,2,3,4},NĐ!X258,NĐ!AD258,NĐ!AJ258,NĐ!AP258)))</f>
        <v>0</v>
      </c>
      <c r="L258">
        <f>SUMPRODUCT((MONTH(CHOOSE({1,2,3,4},NĐ!U258,NĐ!AA258,NĐ!AG258,NĐ!AM258))=12)*(CHOOSE({1,2,3,4},NĐ!X258,NĐ!AD258,NĐ!AJ258,NĐ!AP258)))</f>
        <v>0</v>
      </c>
    </row>
    <row r="259" spans="1:12">
      <c r="A259">
        <f>SUMPRODUCT((MONTH(CHOOSE({1,2,3,4},NĐ!U259,NĐ!AA259,NĐ!AG259,NĐ!AM259))=1)*(CHOOSE({1,2,3,4},NĐ!X259,NĐ!AD259,NĐ!AJ259,NĐ!AP259)))</f>
        <v>0</v>
      </c>
      <c r="B259">
        <f>SUMPRODUCT((MONTH(CHOOSE({1,2,3,4},NĐ!U259,NĐ!AA259,NĐ!AG259,NĐ!AM259))=2)*(CHOOSE({1,2,3,4},NĐ!X259,NĐ!AD259,NĐ!AJ259,NĐ!AP259)))</f>
        <v>0</v>
      </c>
      <c r="C259">
        <f>SUMPRODUCT((MONTH(CHOOSE({1,2,3,4},NĐ!U259,NĐ!AA259,NĐ!AG259,NĐ!AM259))=3)*(CHOOSE({1,2,3,4},NĐ!X259,NĐ!AD259,NĐ!AJ259,NĐ!AP259)))</f>
        <v>0</v>
      </c>
      <c r="D259">
        <f>SUMPRODUCT((MONTH(CHOOSE({1,2,3,4},NĐ!U259,NĐ!AA259,NĐ!AG259,NĐ!AM259))=4)*(CHOOSE({1,2,3,4},NĐ!X259,NĐ!AD259,NĐ!AJ259,NĐ!AP259)))</f>
        <v>0</v>
      </c>
      <c r="E259">
        <f>SUMPRODUCT((MONTH(CHOOSE({1,2,3,4},NĐ!U259,NĐ!AA259,NĐ!AG259,NĐ!AM259))=5)*(CHOOSE({1,2,3,4},NĐ!X259,NĐ!AD259,NĐ!AJ259,NĐ!AP259)))</f>
        <v>0</v>
      </c>
      <c r="F259">
        <f>SUMPRODUCT((MONTH(CHOOSE({1,2,3,4},NĐ!U259,NĐ!AA259,NĐ!AG259,NĐ!AM259))=6)*(CHOOSE({1,2,3,4},NĐ!X259,NĐ!AD259,NĐ!AJ259,NĐ!AP259)))</f>
        <v>0</v>
      </c>
      <c r="G259">
        <f>SUMPRODUCT((MONTH(CHOOSE({1,2,3,4},NĐ!U259,NĐ!AA259,NĐ!AG259,NĐ!AM259))=7)*(CHOOSE({1,2,3,4},NĐ!X259,NĐ!AD259,NĐ!AJ259,NĐ!AP259)))</f>
        <v>0</v>
      </c>
      <c r="H259">
        <f>SUMPRODUCT((MONTH(CHOOSE({1,2,3,4},NĐ!U259,NĐ!AA259,NĐ!AG259,NĐ!AM259))=8)*(CHOOSE({1,2,3,4},NĐ!X259,NĐ!AD259,NĐ!AJ259,NĐ!AP259)))</f>
        <v>0</v>
      </c>
      <c r="I259">
        <f>SUMPRODUCT((MONTH(CHOOSE({1,2,3,4},NĐ!U259,NĐ!AA259,NĐ!AG259,NĐ!AM259))=9)*(CHOOSE({1,2,3,4},NĐ!X259,NĐ!AD259,NĐ!AJ259,NĐ!AP259)))</f>
        <v>0</v>
      </c>
      <c r="J259">
        <f>SUMPRODUCT((MONTH(CHOOSE({1,2,3,4},NĐ!U259,NĐ!AA259,NĐ!AG259,NĐ!AM259))=10)*(CHOOSE({1,2,3,4},NĐ!X259,NĐ!AD259,NĐ!AJ259,NĐ!AP259)))</f>
        <v>0</v>
      </c>
      <c r="K259">
        <f>SUMPRODUCT((MONTH(CHOOSE({1,2,3,4},NĐ!U259,NĐ!AA259,NĐ!AG259,NĐ!AM259))=11)*(CHOOSE({1,2,3,4},NĐ!X259,NĐ!AD259,NĐ!AJ259,NĐ!AP259)))</f>
        <v>0</v>
      </c>
      <c r="L259">
        <f>SUMPRODUCT((MONTH(CHOOSE({1,2,3,4},NĐ!U259,NĐ!AA259,NĐ!AG259,NĐ!AM259))=12)*(CHOOSE({1,2,3,4},NĐ!X259,NĐ!AD259,NĐ!AJ259,NĐ!AP259)))</f>
        <v>0</v>
      </c>
    </row>
    <row r="260" spans="1:12">
      <c r="A260">
        <f>SUMPRODUCT((MONTH(CHOOSE({1,2,3,4},NĐ!U260,NĐ!AA260,NĐ!AG260,NĐ!AM260))=1)*(CHOOSE({1,2,3,4},NĐ!X260,NĐ!AD260,NĐ!AJ260,NĐ!AP260)))</f>
        <v>0</v>
      </c>
      <c r="B260">
        <f>SUMPRODUCT((MONTH(CHOOSE({1,2,3,4},NĐ!U260,NĐ!AA260,NĐ!AG260,NĐ!AM260))=2)*(CHOOSE({1,2,3,4},NĐ!X260,NĐ!AD260,NĐ!AJ260,NĐ!AP260)))</f>
        <v>0</v>
      </c>
      <c r="C260">
        <f>SUMPRODUCT((MONTH(CHOOSE({1,2,3,4},NĐ!U260,NĐ!AA260,NĐ!AG260,NĐ!AM260))=3)*(CHOOSE({1,2,3,4},NĐ!X260,NĐ!AD260,NĐ!AJ260,NĐ!AP260)))</f>
        <v>0</v>
      </c>
      <c r="D260">
        <f>SUMPRODUCT((MONTH(CHOOSE({1,2,3,4},NĐ!U260,NĐ!AA260,NĐ!AG260,NĐ!AM260))=4)*(CHOOSE({1,2,3,4},NĐ!X260,NĐ!AD260,NĐ!AJ260,NĐ!AP260)))</f>
        <v>0</v>
      </c>
      <c r="E260">
        <f>SUMPRODUCT((MONTH(CHOOSE({1,2,3,4},NĐ!U260,NĐ!AA260,NĐ!AG260,NĐ!AM260))=5)*(CHOOSE({1,2,3,4},NĐ!X260,NĐ!AD260,NĐ!AJ260,NĐ!AP260)))</f>
        <v>0</v>
      </c>
      <c r="F260">
        <f>SUMPRODUCT((MONTH(CHOOSE({1,2,3,4},NĐ!U260,NĐ!AA260,NĐ!AG260,NĐ!AM260))=6)*(CHOOSE({1,2,3,4},NĐ!X260,NĐ!AD260,NĐ!AJ260,NĐ!AP260)))</f>
        <v>0</v>
      </c>
      <c r="G260">
        <f>SUMPRODUCT((MONTH(CHOOSE({1,2,3,4},NĐ!U260,NĐ!AA260,NĐ!AG260,NĐ!AM260))=7)*(CHOOSE({1,2,3,4},NĐ!X260,NĐ!AD260,NĐ!AJ260,NĐ!AP260)))</f>
        <v>0</v>
      </c>
      <c r="H260">
        <f>SUMPRODUCT((MONTH(CHOOSE({1,2,3,4},NĐ!U260,NĐ!AA260,NĐ!AG260,NĐ!AM260))=8)*(CHOOSE({1,2,3,4},NĐ!X260,NĐ!AD260,NĐ!AJ260,NĐ!AP260)))</f>
        <v>0</v>
      </c>
      <c r="I260">
        <f>SUMPRODUCT((MONTH(CHOOSE({1,2,3,4},NĐ!U260,NĐ!AA260,NĐ!AG260,NĐ!AM260))=9)*(CHOOSE({1,2,3,4},NĐ!X260,NĐ!AD260,NĐ!AJ260,NĐ!AP260)))</f>
        <v>0</v>
      </c>
      <c r="J260">
        <f>SUMPRODUCT((MONTH(CHOOSE({1,2,3,4},NĐ!U260,NĐ!AA260,NĐ!AG260,NĐ!AM260))=10)*(CHOOSE({1,2,3,4},NĐ!X260,NĐ!AD260,NĐ!AJ260,NĐ!AP260)))</f>
        <v>0</v>
      </c>
      <c r="K260">
        <f>SUMPRODUCT((MONTH(CHOOSE({1,2,3,4},NĐ!U260,NĐ!AA260,NĐ!AG260,NĐ!AM260))=11)*(CHOOSE({1,2,3,4},NĐ!X260,NĐ!AD260,NĐ!AJ260,NĐ!AP260)))</f>
        <v>0</v>
      </c>
      <c r="L260">
        <f>SUMPRODUCT((MONTH(CHOOSE({1,2,3,4},NĐ!U260,NĐ!AA260,NĐ!AG260,NĐ!AM260))=12)*(CHOOSE({1,2,3,4},NĐ!X260,NĐ!AD260,NĐ!AJ260,NĐ!AP260)))</f>
        <v>0</v>
      </c>
    </row>
    <row r="261" spans="1:12">
      <c r="A261">
        <f>SUMPRODUCT((MONTH(CHOOSE({1,2,3,4},NĐ!U261,NĐ!AA261,NĐ!AG261,NĐ!AM261))=1)*(CHOOSE({1,2,3,4},NĐ!X261,NĐ!AD261,NĐ!AJ261,NĐ!AP261)))</f>
        <v>0</v>
      </c>
      <c r="B261">
        <f>SUMPRODUCT((MONTH(CHOOSE({1,2,3,4},NĐ!U261,NĐ!AA261,NĐ!AG261,NĐ!AM261))=2)*(CHOOSE({1,2,3,4},NĐ!X261,NĐ!AD261,NĐ!AJ261,NĐ!AP261)))</f>
        <v>0</v>
      </c>
      <c r="C261">
        <f>SUMPRODUCT((MONTH(CHOOSE({1,2,3,4},NĐ!U261,NĐ!AA261,NĐ!AG261,NĐ!AM261))=3)*(CHOOSE({1,2,3,4},NĐ!X261,NĐ!AD261,NĐ!AJ261,NĐ!AP261)))</f>
        <v>0</v>
      </c>
      <c r="D261">
        <f>SUMPRODUCT((MONTH(CHOOSE({1,2,3,4},NĐ!U261,NĐ!AA261,NĐ!AG261,NĐ!AM261))=4)*(CHOOSE({1,2,3,4},NĐ!X261,NĐ!AD261,NĐ!AJ261,NĐ!AP261)))</f>
        <v>0</v>
      </c>
      <c r="E261">
        <f>SUMPRODUCT((MONTH(CHOOSE({1,2,3,4},NĐ!U261,NĐ!AA261,NĐ!AG261,NĐ!AM261))=5)*(CHOOSE({1,2,3,4},NĐ!X261,NĐ!AD261,NĐ!AJ261,NĐ!AP261)))</f>
        <v>0</v>
      </c>
      <c r="F261">
        <f>SUMPRODUCT((MONTH(CHOOSE({1,2,3,4},NĐ!U261,NĐ!AA261,NĐ!AG261,NĐ!AM261))=6)*(CHOOSE({1,2,3,4},NĐ!X261,NĐ!AD261,NĐ!AJ261,NĐ!AP261)))</f>
        <v>0</v>
      </c>
      <c r="G261">
        <f>SUMPRODUCT((MONTH(CHOOSE({1,2,3,4},NĐ!U261,NĐ!AA261,NĐ!AG261,NĐ!AM261))=7)*(CHOOSE({1,2,3,4},NĐ!X261,NĐ!AD261,NĐ!AJ261,NĐ!AP261)))</f>
        <v>0</v>
      </c>
      <c r="H261">
        <f>SUMPRODUCT((MONTH(CHOOSE({1,2,3,4},NĐ!U261,NĐ!AA261,NĐ!AG261,NĐ!AM261))=8)*(CHOOSE({1,2,3,4},NĐ!X261,NĐ!AD261,NĐ!AJ261,NĐ!AP261)))</f>
        <v>0</v>
      </c>
      <c r="I261">
        <f>SUMPRODUCT((MONTH(CHOOSE({1,2,3,4},NĐ!U261,NĐ!AA261,NĐ!AG261,NĐ!AM261))=9)*(CHOOSE({1,2,3,4},NĐ!X261,NĐ!AD261,NĐ!AJ261,NĐ!AP261)))</f>
        <v>0</v>
      </c>
      <c r="J261">
        <f>SUMPRODUCT((MONTH(CHOOSE({1,2,3,4},NĐ!U261,NĐ!AA261,NĐ!AG261,NĐ!AM261))=10)*(CHOOSE({1,2,3,4},NĐ!X261,NĐ!AD261,NĐ!AJ261,NĐ!AP261)))</f>
        <v>0</v>
      </c>
      <c r="K261">
        <f>SUMPRODUCT((MONTH(CHOOSE({1,2,3,4},NĐ!U261,NĐ!AA261,NĐ!AG261,NĐ!AM261))=11)*(CHOOSE({1,2,3,4},NĐ!X261,NĐ!AD261,NĐ!AJ261,NĐ!AP261)))</f>
        <v>0</v>
      </c>
      <c r="L261">
        <f>SUMPRODUCT((MONTH(CHOOSE({1,2,3,4},NĐ!U261,NĐ!AA261,NĐ!AG261,NĐ!AM261))=12)*(CHOOSE({1,2,3,4},NĐ!X261,NĐ!AD261,NĐ!AJ261,NĐ!AP261)))</f>
        <v>0</v>
      </c>
    </row>
    <row r="262" spans="1:12">
      <c r="A262">
        <f>SUMPRODUCT((MONTH(CHOOSE({1,2,3,4},NĐ!U262,NĐ!AA262,NĐ!AG262,NĐ!AM262))=1)*(CHOOSE({1,2,3,4},NĐ!X262,NĐ!AD262,NĐ!AJ262,NĐ!AP262)))</f>
        <v>0</v>
      </c>
      <c r="B262">
        <f>SUMPRODUCT((MONTH(CHOOSE({1,2,3,4},NĐ!U262,NĐ!AA262,NĐ!AG262,NĐ!AM262))=2)*(CHOOSE({1,2,3,4},NĐ!X262,NĐ!AD262,NĐ!AJ262,NĐ!AP262)))</f>
        <v>0</v>
      </c>
      <c r="C262">
        <f>SUMPRODUCT((MONTH(CHOOSE({1,2,3,4},NĐ!U262,NĐ!AA262,NĐ!AG262,NĐ!AM262))=3)*(CHOOSE({1,2,3,4},NĐ!X262,NĐ!AD262,NĐ!AJ262,NĐ!AP262)))</f>
        <v>0</v>
      </c>
      <c r="D262">
        <f>SUMPRODUCT((MONTH(CHOOSE({1,2,3,4},NĐ!U262,NĐ!AA262,NĐ!AG262,NĐ!AM262))=4)*(CHOOSE({1,2,3,4},NĐ!X262,NĐ!AD262,NĐ!AJ262,NĐ!AP262)))</f>
        <v>0</v>
      </c>
      <c r="E262">
        <f>SUMPRODUCT((MONTH(CHOOSE({1,2,3,4},NĐ!U262,NĐ!AA262,NĐ!AG262,NĐ!AM262))=5)*(CHOOSE({1,2,3,4},NĐ!X262,NĐ!AD262,NĐ!AJ262,NĐ!AP262)))</f>
        <v>0</v>
      </c>
      <c r="F262">
        <f>SUMPRODUCT((MONTH(CHOOSE({1,2,3,4},NĐ!U262,NĐ!AA262,NĐ!AG262,NĐ!AM262))=6)*(CHOOSE({1,2,3,4},NĐ!X262,NĐ!AD262,NĐ!AJ262,NĐ!AP262)))</f>
        <v>0</v>
      </c>
      <c r="G262">
        <f>SUMPRODUCT((MONTH(CHOOSE({1,2,3,4},NĐ!U262,NĐ!AA262,NĐ!AG262,NĐ!AM262))=7)*(CHOOSE({1,2,3,4},NĐ!X262,NĐ!AD262,NĐ!AJ262,NĐ!AP262)))</f>
        <v>0</v>
      </c>
      <c r="H262">
        <f>SUMPRODUCT((MONTH(CHOOSE({1,2,3,4},NĐ!U262,NĐ!AA262,NĐ!AG262,NĐ!AM262))=8)*(CHOOSE({1,2,3,4},NĐ!X262,NĐ!AD262,NĐ!AJ262,NĐ!AP262)))</f>
        <v>0</v>
      </c>
      <c r="I262">
        <f>SUMPRODUCT((MONTH(CHOOSE({1,2,3,4},NĐ!U262,NĐ!AA262,NĐ!AG262,NĐ!AM262))=9)*(CHOOSE({1,2,3,4},NĐ!X262,NĐ!AD262,NĐ!AJ262,NĐ!AP262)))</f>
        <v>0</v>
      </c>
      <c r="J262">
        <f>SUMPRODUCT((MONTH(CHOOSE({1,2,3,4},NĐ!U262,NĐ!AA262,NĐ!AG262,NĐ!AM262))=10)*(CHOOSE({1,2,3,4},NĐ!X262,NĐ!AD262,NĐ!AJ262,NĐ!AP262)))</f>
        <v>0</v>
      </c>
      <c r="K262">
        <f>SUMPRODUCT((MONTH(CHOOSE({1,2,3,4},NĐ!U262,NĐ!AA262,NĐ!AG262,NĐ!AM262))=11)*(CHOOSE({1,2,3,4},NĐ!X262,NĐ!AD262,NĐ!AJ262,NĐ!AP262)))</f>
        <v>0</v>
      </c>
      <c r="L262">
        <f>SUMPRODUCT((MONTH(CHOOSE({1,2,3,4},NĐ!U262,NĐ!AA262,NĐ!AG262,NĐ!AM262))=12)*(CHOOSE({1,2,3,4},NĐ!X262,NĐ!AD262,NĐ!AJ262,NĐ!AP262)))</f>
        <v>0</v>
      </c>
    </row>
    <row r="263" spans="1:12">
      <c r="A263">
        <f>SUMPRODUCT((MONTH(CHOOSE({1,2,3,4},NĐ!U263,NĐ!AA263,NĐ!AG263,NĐ!AM263))=1)*(CHOOSE({1,2,3,4},NĐ!X263,NĐ!AD263,NĐ!AJ263,NĐ!AP263)))</f>
        <v>0</v>
      </c>
      <c r="B263">
        <f>SUMPRODUCT((MONTH(CHOOSE({1,2,3,4},NĐ!U263,NĐ!AA263,NĐ!AG263,NĐ!AM263))=2)*(CHOOSE({1,2,3,4},NĐ!X263,NĐ!AD263,NĐ!AJ263,NĐ!AP263)))</f>
        <v>0</v>
      </c>
      <c r="C263">
        <f>SUMPRODUCT((MONTH(CHOOSE({1,2,3,4},NĐ!U263,NĐ!AA263,NĐ!AG263,NĐ!AM263))=3)*(CHOOSE({1,2,3,4},NĐ!X263,NĐ!AD263,NĐ!AJ263,NĐ!AP263)))</f>
        <v>0</v>
      </c>
      <c r="D263">
        <f>SUMPRODUCT((MONTH(CHOOSE({1,2,3,4},NĐ!U263,NĐ!AA263,NĐ!AG263,NĐ!AM263))=4)*(CHOOSE({1,2,3,4},NĐ!X263,NĐ!AD263,NĐ!AJ263,NĐ!AP263)))</f>
        <v>0</v>
      </c>
      <c r="E263">
        <f>SUMPRODUCT((MONTH(CHOOSE({1,2,3,4},NĐ!U263,NĐ!AA263,NĐ!AG263,NĐ!AM263))=5)*(CHOOSE({1,2,3,4},NĐ!X263,NĐ!AD263,NĐ!AJ263,NĐ!AP263)))</f>
        <v>0</v>
      </c>
      <c r="F263">
        <f>SUMPRODUCT((MONTH(CHOOSE({1,2,3,4},NĐ!U263,NĐ!AA263,NĐ!AG263,NĐ!AM263))=6)*(CHOOSE({1,2,3,4},NĐ!X263,NĐ!AD263,NĐ!AJ263,NĐ!AP263)))</f>
        <v>0</v>
      </c>
      <c r="G263">
        <f>SUMPRODUCT((MONTH(CHOOSE({1,2,3,4},NĐ!U263,NĐ!AA263,NĐ!AG263,NĐ!AM263))=7)*(CHOOSE({1,2,3,4},NĐ!X263,NĐ!AD263,NĐ!AJ263,NĐ!AP263)))</f>
        <v>0</v>
      </c>
      <c r="H263">
        <f>SUMPRODUCT((MONTH(CHOOSE({1,2,3,4},NĐ!U263,NĐ!AA263,NĐ!AG263,NĐ!AM263))=8)*(CHOOSE({1,2,3,4},NĐ!X263,NĐ!AD263,NĐ!AJ263,NĐ!AP263)))</f>
        <v>0</v>
      </c>
      <c r="I263">
        <f>SUMPRODUCT((MONTH(CHOOSE({1,2,3,4},NĐ!U263,NĐ!AA263,NĐ!AG263,NĐ!AM263))=9)*(CHOOSE({1,2,3,4},NĐ!X263,NĐ!AD263,NĐ!AJ263,NĐ!AP263)))</f>
        <v>0</v>
      </c>
      <c r="J263">
        <f>SUMPRODUCT((MONTH(CHOOSE({1,2,3,4},NĐ!U263,NĐ!AA263,NĐ!AG263,NĐ!AM263))=10)*(CHOOSE({1,2,3,4},NĐ!X263,NĐ!AD263,NĐ!AJ263,NĐ!AP263)))</f>
        <v>0</v>
      </c>
      <c r="K263">
        <f>SUMPRODUCT((MONTH(CHOOSE({1,2,3,4},NĐ!U263,NĐ!AA263,NĐ!AG263,NĐ!AM263))=11)*(CHOOSE({1,2,3,4},NĐ!X263,NĐ!AD263,NĐ!AJ263,NĐ!AP263)))</f>
        <v>0</v>
      </c>
      <c r="L263">
        <f>SUMPRODUCT((MONTH(CHOOSE({1,2,3,4},NĐ!U263,NĐ!AA263,NĐ!AG263,NĐ!AM263))=12)*(CHOOSE({1,2,3,4},NĐ!X263,NĐ!AD263,NĐ!AJ263,NĐ!AP263)))</f>
        <v>0</v>
      </c>
    </row>
    <row r="264" spans="1:12">
      <c r="A264">
        <f>SUMPRODUCT((MONTH(CHOOSE({1,2,3,4},NĐ!U264,NĐ!AA264,NĐ!AG264,NĐ!AM264))=1)*(CHOOSE({1,2,3,4},NĐ!X264,NĐ!AD264,NĐ!AJ264,NĐ!AP264)))</f>
        <v>0</v>
      </c>
      <c r="B264">
        <f>SUMPRODUCT((MONTH(CHOOSE({1,2,3,4},NĐ!U264,NĐ!AA264,NĐ!AG264,NĐ!AM264))=2)*(CHOOSE({1,2,3,4},NĐ!X264,NĐ!AD264,NĐ!AJ264,NĐ!AP264)))</f>
        <v>0</v>
      </c>
      <c r="C264">
        <f>SUMPRODUCT((MONTH(CHOOSE({1,2,3,4},NĐ!U264,NĐ!AA264,NĐ!AG264,NĐ!AM264))=3)*(CHOOSE({1,2,3,4},NĐ!X264,NĐ!AD264,NĐ!AJ264,NĐ!AP264)))</f>
        <v>0</v>
      </c>
      <c r="D264">
        <f>SUMPRODUCT((MONTH(CHOOSE({1,2,3,4},NĐ!U264,NĐ!AA264,NĐ!AG264,NĐ!AM264))=4)*(CHOOSE({1,2,3,4},NĐ!X264,NĐ!AD264,NĐ!AJ264,NĐ!AP264)))</f>
        <v>0</v>
      </c>
      <c r="E264">
        <f>SUMPRODUCT((MONTH(CHOOSE({1,2,3,4},NĐ!U264,NĐ!AA264,NĐ!AG264,NĐ!AM264))=5)*(CHOOSE({1,2,3,4},NĐ!X264,NĐ!AD264,NĐ!AJ264,NĐ!AP264)))</f>
        <v>0</v>
      </c>
      <c r="F264">
        <f>SUMPRODUCT((MONTH(CHOOSE({1,2,3,4},NĐ!U264,NĐ!AA264,NĐ!AG264,NĐ!AM264))=6)*(CHOOSE({1,2,3,4},NĐ!X264,NĐ!AD264,NĐ!AJ264,NĐ!AP264)))</f>
        <v>0</v>
      </c>
      <c r="G264">
        <f>SUMPRODUCT((MONTH(CHOOSE({1,2,3,4},NĐ!U264,NĐ!AA264,NĐ!AG264,NĐ!AM264))=7)*(CHOOSE({1,2,3,4},NĐ!X264,NĐ!AD264,NĐ!AJ264,NĐ!AP264)))</f>
        <v>0</v>
      </c>
      <c r="H264">
        <f>SUMPRODUCT((MONTH(CHOOSE({1,2,3,4},NĐ!U264,NĐ!AA264,NĐ!AG264,NĐ!AM264))=8)*(CHOOSE({1,2,3,4},NĐ!X264,NĐ!AD264,NĐ!AJ264,NĐ!AP264)))</f>
        <v>0</v>
      </c>
      <c r="I264">
        <f>SUMPRODUCT((MONTH(CHOOSE({1,2,3,4},NĐ!U264,NĐ!AA264,NĐ!AG264,NĐ!AM264))=9)*(CHOOSE({1,2,3,4},NĐ!X264,NĐ!AD264,NĐ!AJ264,NĐ!AP264)))</f>
        <v>0</v>
      </c>
      <c r="J264">
        <f>SUMPRODUCT((MONTH(CHOOSE({1,2,3,4},NĐ!U264,NĐ!AA264,NĐ!AG264,NĐ!AM264))=10)*(CHOOSE({1,2,3,4},NĐ!X264,NĐ!AD264,NĐ!AJ264,NĐ!AP264)))</f>
        <v>0</v>
      </c>
      <c r="K264">
        <f>SUMPRODUCT((MONTH(CHOOSE({1,2,3,4},NĐ!U264,NĐ!AA264,NĐ!AG264,NĐ!AM264))=11)*(CHOOSE({1,2,3,4},NĐ!X264,NĐ!AD264,NĐ!AJ264,NĐ!AP264)))</f>
        <v>0</v>
      </c>
      <c r="L264">
        <f>SUMPRODUCT((MONTH(CHOOSE({1,2,3,4},NĐ!U264,NĐ!AA264,NĐ!AG264,NĐ!AM264))=12)*(CHOOSE({1,2,3,4},NĐ!X264,NĐ!AD264,NĐ!AJ264,NĐ!AP264)))</f>
        <v>0</v>
      </c>
    </row>
    <row r="265" spans="1:12">
      <c r="A265">
        <f>SUMPRODUCT((MONTH(CHOOSE({1,2,3,4},NĐ!U265,NĐ!AA265,NĐ!AG265,NĐ!AM265))=1)*(CHOOSE({1,2,3,4},NĐ!X265,NĐ!AD265,NĐ!AJ265,NĐ!AP265)))</f>
        <v>0</v>
      </c>
      <c r="B265">
        <f>SUMPRODUCT((MONTH(CHOOSE({1,2,3,4},NĐ!U265,NĐ!AA265,NĐ!AG265,NĐ!AM265))=2)*(CHOOSE({1,2,3,4},NĐ!X265,NĐ!AD265,NĐ!AJ265,NĐ!AP265)))</f>
        <v>0</v>
      </c>
      <c r="C265">
        <f>SUMPRODUCT((MONTH(CHOOSE({1,2,3,4},NĐ!U265,NĐ!AA265,NĐ!AG265,NĐ!AM265))=3)*(CHOOSE({1,2,3,4},NĐ!X265,NĐ!AD265,NĐ!AJ265,NĐ!AP265)))</f>
        <v>0</v>
      </c>
      <c r="D265">
        <f>SUMPRODUCT((MONTH(CHOOSE({1,2,3,4},NĐ!U265,NĐ!AA265,NĐ!AG265,NĐ!AM265))=4)*(CHOOSE({1,2,3,4},NĐ!X265,NĐ!AD265,NĐ!AJ265,NĐ!AP265)))</f>
        <v>0</v>
      </c>
      <c r="E265">
        <f>SUMPRODUCT((MONTH(CHOOSE({1,2,3,4},NĐ!U265,NĐ!AA265,NĐ!AG265,NĐ!AM265))=5)*(CHOOSE({1,2,3,4},NĐ!X265,NĐ!AD265,NĐ!AJ265,NĐ!AP265)))</f>
        <v>0</v>
      </c>
      <c r="F265">
        <f>SUMPRODUCT((MONTH(CHOOSE({1,2,3,4},NĐ!U265,NĐ!AA265,NĐ!AG265,NĐ!AM265))=6)*(CHOOSE({1,2,3,4},NĐ!X265,NĐ!AD265,NĐ!AJ265,NĐ!AP265)))</f>
        <v>0</v>
      </c>
      <c r="G265">
        <f>SUMPRODUCT((MONTH(CHOOSE({1,2,3,4},NĐ!U265,NĐ!AA265,NĐ!AG265,NĐ!AM265))=7)*(CHOOSE({1,2,3,4},NĐ!X265,NĐ!AD265,NĐ!AJ265,NĐ!AP265)))</f>
        <v>0</v>
      </c>
      <c r="H265">
        <f>SUMPRODUCT((MONTH(CHOOSE({1,2,3,4},NĐ!U265,NĐ!AA265,NĐ!AG265,NĐ!AM265))=8)*(CHOOSE({1,2,3,4},NĐ!X265,NĐ!AD265,NĐ!AJ265,NĐ!AP265)))</f>
        <v>0</v>
      </c>
      <c r="I265">
        <f>SUMPRODUCT((MONTH(CHOOSE({1,2,3,4},NĐ!U265,NĐ!AA265,NĐ!AG265,NĐ!AM265))=9)*(CHOOSE({1,2,3,4},NĐ!X265,NĐ!AD265,NĐ!AJ265,NĐ!AP265)))</f>
        <v>0</v>
      </c>
      <c r="J265">
        <f>SUMPRODUCT((MONTH(CHOOSE({1,2,3,4},NĐ!U265,NĐ!AA265,NĐ!AG265,NĐ!AM265))=10)*(CHOOSE({1,2,3,4},NĐ!X265,NĐ!AD265,NĐ!AJ265,NĐ!AP265)))</f>
        <v>0</v>
      </c>
      <c r="K265">
        <f>SUMPRODUCT((MONTH(CHOOSE({1,2,3,4},NĐ!U265,NĐ!AA265,NĐ!AG265,NĐ!AM265))=11)*(CHOOSE({1,2,3,4},NĐ!X265,NĐ!AD265,NĐ!AJ265,NĐ!AP265)))</f>
        <v>0</v>
      </c>
      <c r="L265">
        <f>SUMPRODUCT((MONTH(CHOOSE({1,2,3,4},NĐ!U265,NĐ!AA265,NĐ!AG265,NĐ!AM265))=12)*(CHOOSE({1,2,3,4},NĐ!X265,NĐ!AD265,NĐ!AJ265,NĐ!AP265)))</f>
        <v>0</v>
      </c>
    </row>
    <row r="266" spans="1:12">
      <c r="A266">
        <f>SUMPRODUCT((MONTH(CHOOSE({1,2,3,4},NĐ!U266,NĐ!AA266,NĐ!AG266,NĐ!AM266))=1)*(CHOOSE({1,2,3,4},NĐ!X266,NĐ!AD266,NĐ!AJ266,NĐ!AP266)))</f>
        <v>0</v>
      </c>
      <c r="B266">
        <f>SUMPRODUCT((MONTH(CHOOSE({1,2,3,4},NĐ!U266,NĐ!AA266,NĐ!AG266,NĐ!AM266))=2)*(CHOOSE({1,2,3,4},NĐ!X266,NĐ!AD266,NĐ!AJ266,NĐ!AP266)))</f>
        <v>0</v>
      </c>
      <c r="C266">
        <f>SUMPRODUCT((MONTH(CHOOSE({1,2,3,4},NĐ!U266,NĐ!AA266,NĐ!AG266,NĐ!AM266))=3)*(CHOOSE({1,2,3,4},NĐ!X266,NĐ!AD266,NĐ!AJ266,NĐ!AP266)))</f>
        <v>0</v>
      </c>
      <c r="D266">
        <f>SUMPRODUCT((MONTH(CHOOSE({1,2,3,4},NĐ!U266,NĐ!AA266,NĐ!AG266,NĐ!AM266))=4)*(CHOOSE({1,2,3,4},NĐ!X266,NĐ!AD266,NĐ!AJ266,NĐ!AP266)))</f>
        <v>0</v>
      </c>
      <c r="E266">
        <f>SUMPRODUCT((MONTH(CHOOSE({1,2,3,4},NĐ!U266,NĐ!AA266,NĐ!AG266,NĐ!AM266))=5)*(CHOOSE({1,2,3,4},NĐ!X266,NĐ!AD266,NĐ!AJ266,NĐ!AP266)))</f>
        <v>0</v>
      </c>
      <c r="F266">
        <f>SUMPRODUCT((MONTH(CHOOSE({1,2,3,4},NĐ!U266,NĐ!AA266,NĐ!AG266,NĐ!AM266))=6)*(CHOOSE({1,2,3,4},NĐ!X266,NĐ!AD266,NĐ!AJ266,NĐ!AP266)))</f>
        <v>0</v>
      </c>
      <c r="G266">
        <f>SUMPRODUCT((MONTH(CHOOSE({1,2,3,4},NĐ!U266,NĐ!AA266,NĐ!AG266,NĐ!AM266))=7)*(CHOOSE({1,2,3,4},NĐ!X266,NĐ!AD266,NĐ!AJ266,NĐ!AP266)))</f>
        <v>0</v>
      </c>
      <c r="H266">
        <f>SUMPRODUCT((MONTH(CHOOSE({1,2,3,4},NĐ!U266,NĐ!AA266,NĐ!AG266,NĐ!AM266))=8)*(CHOOSE({1,2,3,4},NĐ!X266,NĐ!AD266,NĐ!AJ266,NĐ!AP266)))</f>
        <v>0</v>
      </c>
      <c r="I266">
        <f>SUMPRODUCT((MONTH(CHOOSE({1,2,3,4},NĐ!U266,NĐ!AA266,NĐ!AG266,NĐ!AM266))=9)*(CHOOSE({1,2,3,4},NĐ!X266,NĐ!AD266,NĐ!AJ266,NĐ!AP266)))</f>
        <v>0</v>
      </c>
      <c r="J266">
        <f>SUMPRODUCT((MONTH(CHOOSE({1,2,3,4},NĐ!U266,NĐ!AA266,NĐ!AG266,NĐ!AM266))=10)*(CHOOSE({1,2,3,4},NĐ!X266,NĐ!AD266,NĐ!AJ266,NĐ!AP266)))</f>
        <v>0</v>
      </c>
      <c r="K266">
        <f>SUMPRODUCT((MONTH(CHOOSE({1,2,3,4},NĐ!U266,NĐ!AA266,NĐ!AG266,NĐ!AM266))=11)*(CHOOSE({1,2,3,4},NĐ!X266,NĐ!AD266,NĐ!AJ266,NĐ!AP266)))</f>
        <v>0</v>
      </c>
      <c r="L266">
        <f>SUMPRODUCT((MONTH(CHOOSE({1,2,3,4},NĐ!U266,NĐ!AA266,NĐ!AG266,NĐ!AM266))=12)*(CHOOSE({1,2,3,4},NĐ!X266,NĐ!AD266,NĐ!AJ266,NĐ!AP266)))</f>
        <v>0</v>
      </c>
    </row>
    <row r="267" spans="1:12">
      <c r="A267">
        <f>SUMPRODUCT((MONTH(CHOOSE({1,2,3,4},NĐ!U267,NĐ!AA267,NĐ!AG267,NĐ!AM267))=1)*(CHOOSE({1,2,3,4},NĐ!X267,NĐ!AD267,NĐ!AJ267,NĐ!AP267)))</f>
        <v>0</v>
      </c>
      <c r="B267">
        <f>SUMPRODUCT((MONTH(CHOOSE({1,2,3,4},NĐ!U267,NĐ!AA267,NĐ!AG267,NĐ!AM267))=2)*(CHOOSE({1,2,3,4},NĐ!X267,NĐ!AD267,NĐ!AJ267,NĐ!AP267)))</f>
        <v>0</v>
      </c>
      <c r="C267">
        <f>SUMPRODUCT((MONTH(CHOOSE({1,2,3,4},NĐ!U267,NĐ!AA267,NĐ!AG267,NĐ!AM267))=3)*(CHOOSE({1,2,3,4},NĐ!X267,NĐ!AD267,NĐ!AJ267,NĐ!AP267)))</f>
        <v>0</v>
      </c>
      <c r="D267">
        <f>SUMPRODUCT((MONTH(CHOOSE({1,2,3,4},NĐ!U267,NĐ!AA267,NĐ!AG267,NĐ!AM267))=4)*(CHOOSE({1,2,3,4},NĐ!X267,NĐ!AD267,NĐ!AJ267,NĐ!AP267)))</f>
        <v>0</v>
      </c>
      <c r="E267">
        <f>SUMPRODUCT((MONTH(CHOOSE({1,2,3,4},NĐ!U267,NĐ!AA267,NĐ!AG267,NĐ!AM267))=5)*(CHOOSE({1,2,3,4},NĐ!X267,NĐ!AD267,NĐ!AJ267,NĐ!AP267)))</f>
        <v>0</v>
      </c>
      <c r="F267">
        <f>SUMPRODUCT((MONTH(CHOOSE({1,2,3,4},NĐ!U267,NĐ!AA267,NĐ!AG267,NĐ!AM267))=6)*(CHOOSE({1,2,3,4},NĐ!X267,NĐ!AD267,NĐ!AJ267,NĐ!AP267)))</f>
        <v>0</v>
      </c>
      <c r="G267">
        <f>SUMPRODUCT((MONTH(CHOOSE({1,2,3,4},NĐ!U267,NĐ!AA267,NĐ!AG267,NĐ!AM267))=7)*(CHOOSE({1,2,3,4},NĐ!X267,NĐ!AD267,NĐ!AJ267,NĐ!AP267)))</f>
        <v>0</v>
      </c>
      <c r="H267">
        <f>SUMPRODUCT((MONTH(CHOOSE({1,2,3,4},NĐ!U267,NĐ!AA267,NĐ!AG267,NĐ!AM267))=8)*(CHOOSE({1,2,3,4},NĐ!X267,NĐ!AD267,NĐ!AJ267,NĐ!AP267)))</f>
        <v>0</v>
      </c>
      <c r="I267">
        <f>SUMPRODUCT((MONTH(CHOOSE({1,2,3,4},NĐ!U267,NĐ!AA267,NĐ!AG267,NĐ!AM267))=9)*(CHOOSE({1,2,3,4},NĐ!X267,NĐ!AD267,NĐ!AJ267,NĐ!AP267)))</f>
        <v>0</v>
      </c>
      <c r="J267">
        <f>SUMPRODUCT((MONTH(CHOOSE({1,2,3,4},NĐ!U267,NĐ!AA267,NĐ!AG267,NĐ!AM267))=10)*(CHOOSE({1,2,3,4},NĐ!X267,NĐ!AD267,NĐ!AJ267,NĐ!AP267)))</f>
        <v>0</v>
      </c>
      <c r="K267">
        <f>SUMPRODUCT((MONTH(CHOOSE({1,2,3,4},NĐ!U267,NĐ!AA267,NĐ!AG267,NĐ!AM267))=11)*(CHOOSE({1,2,3,4},NĐ!X267,NĐ!AD267,NĐ!AJ267,NĐ!AP267)))</f>
        <v>0</v>
      </c>
      <c r="L267">
        <f>SUMPRODUCT((MONTH(CHOOSE({1,2,3,4},NĐ!U267,NĐ!AA267,NĐ!AG267,NĐ!AM267))=12)*(CHOOSE({1,2,3,4},NĐ!X267,NĐ!AD267,NĐ!AJ267,NĐ!AP267)))</f>
        <v>0</v>
      </c>
    </row>
    <row r="268" spans="1:12">
      <c r="A268">
        <f>SUMPRODUCT((MONTH(CHOOSE({1,2,3,4},NĐ!U268,NĐ!AA268,NĐ!AG268,NĐ!AM268))=1)*(CHOOSE({1,2,3,4},NĐ!X268,NĐ!AD268,NĐ!AJ268,NĐ!AP268)))</f>
        <v>0</v>
      </c>
      <c r="B268">
        <f>SUMPRODUCT((MONTH(CHOOSE({1,2,3,4},NĐ!U268,NĐ!AA268,NĐ!AG268,NĐ!AM268))=2)*(CHOOSE({1,2,3,4},NĐ!X268,NĐ!AD268,NĐ!AJ268,NĐ!AP268)))</f>
        <v>0</v>
      </c>
      <c r="C268">
        <f>SUMPRODUCT((MONTH(CHOOSE({1,2,3,4},NĐ!U268,NĐ!AA268,NĐ!AG268,NĐ!AM268))=3)*(CHOOSE({1,2,3,4},NĐ!X268,NĐ!AD268,NĐ!AJ268,NĐ!AP268)))</f>
        <v>0</v>
      </c>
      <c r="D268">
        <f>SUMPRODUCT((MONTH(CHOOSE({1,2,3,4},NĐ!U268,NĐ!AA268,NĐ!AG268,NĐ!AM268))=4)*(CHOOSE({1,2,3,4},NĐ!X268,NĐ!AD268,NĐ!AJ268,NĐ!AP268)))</f>
        <v>0</v>
      </c>
      <c r="E268">
        <f>SUMPRODUCT((MONTH(CHOOSE({1,2,3,4},NĐ!U268,NĐ!AA268,NĐ!AG268,NĐ!AM268))=5)*(CHOOSE({1,2,3,4},NĐ!X268,NĐ!AD268,NĐ!AJ268,NĐ!AP268)))</f>
        <v>0</v>
      </c>
      <c r="F268">
        <f>SUMPRODUCT((MONTH(CHOOSE({1,2,3,4},NĐ!U268,NĐ!AA268,NĐ!AG268,NĐ!AM268))=6)*(CHOOSE({1,2,3,4},NĐ!X268,NĐ!AD268,NĐ!AJ268,NĐ!AP268)))</f>
        <v>0</v>
      </c>
      <c r="G268">
        <f>SUMPRODUCT((MONTH(CHOOSE({1,2,3,4},NĐ!U268,NĐ!AA268,NĐ!AG268,NĐ!AM268))=7)*(CHOOSE({1,2,3,4},NĐ!X268,NĐ!AD268,NĐ!AJ268,NĐ!AP268)))</f>
        <v>0</v>
      </c>
      <c r="H268">
        <f>SUMPRODUCT((MONTH(CHOOSE({1,2,3,4},NĐ!U268,NĐ!AA268,NĐ!AG268,NĐ!AM268))=8)*(CHOOSE({1,2,3,4},NĐ!X268,NĐ!AD268,NĐ!AJ268,NĐ!AP268)))</f>
        <v>0</v>
      </c>
      <c r="I268">
        <f>SUMPRODUCT((MONTH(CHOOSE({1,2,3,4},NĐ!U268,NĐ!AA268,NĐ!AG268,NĐ!AM268))=9)*(CHOOSE({1,2,3,4},NĐ!X268,NĐ!AD268,NĐ!AJ268,NĐ!AP268)))</f>
        <v>0</v>
      </c>
      <c r="J268">
        <f>SUMPRODUCT((MONTH(CHOOSE({1,2,3,4},NĐ!U268,NĐ!AA268,NĐ!AG268,NĐ!AM268))=10)*(CHOOSE({1,2,3,4},NĐ!X268,NĐ!AD268,NĐ!AJ268,NĐ!AP268)))</f>
        <v>0</v>
      </c>
      <c r="K268">
        <f>SUMPRODUCT((MONTH(CHOOSE({1,2,3,4},NĐ!U268,NĐ!AA268,NĐ!AG268,NĐ!AM268))=11)*(CHOOSE({1,2,3,4},NĐ!X268,NĐ!AD268,NĐ!AJ268,NĐ!AP268)))</f>
        <v>0</v>
      </c>
      <c r="L268">
        <f>SUMPRODUCT((MONTH(CHOOSE({1,2,3,4},NĐ!U268,NĐ!AA268,NĐ!AG268,NĐ!AM268))=12)*(CHOOSE({1,2,3,4},NĐ!X268,NĐ!AD268,NĐ!AJ268,NĐ!AP268)))</f>
        <v>0</v>
      </c>
    </row>
    <row r="269" spans="1:12">
      <c r="A269">
        <f>SUMPRODUCT((MONTH(CHOOSE({1,2,3,4},NĐ!U269,NĐ!AA269,NĐ!AG269,NĐ!AM269))=1)*(CHOOSE({1,2,3,4},NĐ!X269,NĐ!AD269,NĐ!AJ269,NĐ!AP269)))</f>
        <v>0</v>
      </c>
      <c r="B269">
        <f>SUMPRODUCT((MONTH(CHOOSE({1,2,3,4},NĐ!U269,NĐ!AA269,NĐ!AG269,NĐ!AM269))=2)*(CHOOSE({1,2,3,4},NĐ!X269,NĐ!AD269,NĐ!AJ269,NĐ!AP269)))</f>
        <v>0</v>
      </c>
      <c r="C269">
        <f>SUMPRODUCT((MONTH(CHOOSE({1,2,3,4},NĐ!U269,NĐ!AA269,NĐ!AG269,NĐ!AM269))=3)*(CHOOSE({1,2,3,4},NĐ!X269,NĐ!AD269,NĐ!AJ269,NĐ!AP269)))</f>
        <v>0</v>
      </c>
      <c r="D269">
        <f>SUMPRODUCT((MONTH(CHOOSE({1,2,3,4},NĐ!U269,NĐ!AA269,NĐ!AG269,NĐ!AM269))=4)*(CHOOSE({1,2,3,4},NĐ!X269,NĐ!AD269,NĐ!AJ269,NĐ!AP269)))</f>
        <v>0</v>
      </c>
      <c r="E269">
        <f>SUMPRODUCT((MONTH(CHOOSE({1,2,3,4},NĐ!U269,NĐ!AA269,NĐ!AG269,NĐ!AM269))=5)*(CHOOSE({1,2,3,4},NĐ!X269,NĐ!AD269,NĐ!AJ269,NĐ!AP269)))</f>
        <v>0</v>
      </c>
      <c r="F269">
        <f>SUMPRODUCT((MONTH(CHOOSE({1,2,3,4},NĐ!U269,NĐ!AA269,NĐ!AG269,NĐ!AM269))=6)*(CHOOSE({1,2,3,4},NĐ!X269,NĐ!AD269,NĐ!AJ269,NĐ!AP269)))</f>
        <v>0</v>
      </c>
      <c r="G269">
        <f>SUMPRODUCT((MONTH(CHOOSE({1,2,3,4},NĐ!U269,NĐ!AA269,NĐ!AG269,NĐ!AM269))=7)*(CHOOSE({1,2,3,4},NĐ!X269,NĐ!AD269,NĐ!AJ269,NĐ!AP269)))</f>
        <v>0</v>
      </c>
      <c r="H269">
        <f>SUMPRODUCT((MONTH(CHOOSE({1,2,3,4},NĐ!U269,NĐ!AA269,NĐ!AG269,NĐ!AM269))=8)*(CHOOSE({1,2,3,4},NĐ!X269,NĐ!AD269,NĐ!AJ269,NĐ!AP269)))</f>
        <v>0</v>
      </c>
      <c r="I269">
        <f>SUMPRODUCT((MONTH(CHOOSE({1,2,3,4},NĐ!U269,NĐ!AA269,NĐ!AG269,NĐ!AM269))=9)*(CHOOSE({1,2,3,4},NĐ!X269,NĐ!AD269,NĐ!AJ269,NĐ!AP269)))</f>
        <v>0</v>
      </c>
      <c r="J269">
        <f>SUMPRODUCT((MONTH(CHOOSE({1,2,3,4},NĐ!U269,NĐ!AA269,NĐ!AG269,NĐ!AM269))=10)*(CHOOSE({1,2,3,4},NĐ!X269,NĐ!AD269,NĐ!AJ269,NĐ!AP269)))</f>
        <v>0</v>
      </c>
      <c r="K269">
        <f>SUMPRODUCT((MONTH(CHOOSE({1,2,3,4},NĐ!U269,NĐ!AA269,NĐ!AG269,NĐ!AM269))=11)*(CHOOSE({1,2,3,4},NĐ!X269,NĐ!AD269,NĐ!AJ269,NĐ!AP269)))</f>
        <v>0</v>
      </c>
      <c r="L269">
        <f>SUMPRODUCT((MONTH(CHOOSE({1,2,3,4},NĐ!U269,NĐ!AA269,NĐ!AG269,NĐ!AM269))=12)*(CHOOSE({1,2,3,4},NĐ!X269,NĐ!AD269,NĐ!AJ269,NĐ!AP269)))</f>
        <v>0</v>
      </c>
    </row>
    <row r="270" spans="1:12">
      <c r="A270">
        <f>SUMPRODUCT((MONTH(CHOOSE({1,2,3,4},NĐ!U270,NĐ!AA270,NĐ!AG270,NĐ!AM270))=1)*(CHOOSE({1,2,3,4},NĐ!X270,NĐ!AD270,NĐ!AJ270,NĐ!AP270)))</f>
        <v>0</v>
      </c>
      <c r="B270">
        <f>SUMPRODUCT((MONTH(CHOOSE({1,2,3,4},NĐ!U270,NĐ!AA270,NĐ!AG270,NĐ!AM270))=2)*(CHOOSE({1,2,3,4},NĐ!X270,NĐ!AD270,NĐ!AJ270,NĐ!AP270)))</f>
        <v>0</v>
      </c>
      <c r="C270">
        <f>SUMPRODUCT((MONTH(CHOOSE({1,2,3,4},NĐ!U270,NĐ!AA270,NĐ!AG270,NĐ!AM270))=3)*(CHOOSE({1,2,3,4},NĐ!X270,NĐ!AD270,NĐ!AJ270,NĐ!AP270)))</f>
        <v>0</v>
      </c>
      <c r="D270">
        <f>SUMPRODUCT((MONTH(CHOOSE({1,2,3,4},NĐ!U270,NĐ!AA270,NĐ!AG270,NĐ!AM270))=4)*(CHOOSE({1,2,3,4},NĐ!X270,NĐ!AD270,NĐ!AJ270,NĐ!AP270)))</f>
        <v>0</v>
      </c>
      <c r="E270">
        <f>SUMPRODUCT((MONTH(CHOOSE({1,2,3,4},NĐ!U270,NĐ!AA270,NĐ!AG270,NĐ!AM270))=5)*(CHOOSE({1,2,3,4},NĐ!X270,NĐ!AD270,NĐ!AJ270,NĐ!AP270)))</f>
        <v>0</v>
      </c>
      <c r="F270">
        <f>SUMPRODUCT((MONTH(CHOOSE({1,2,3,4},NĐ!U270,NĐ!AA270,NĐ!AG270,NĐ!AM270))=6)*(CHOOSE({1,2,3,4},NĐ!X270,NĐ!AD270,NĐ!AJ270,NĐ!AP270)))</f>
        <v>0</v>
      </c>
      <c r="G270">
        <f>SUMPRODUCT((MONTH(CHOOSE({1,2,3,4},NĐ!U270,NĐ!AA270,NĐ!AG270,NĐ!AM270))=7)*(CHOOSE({1,2,3,4},NĐ!X270,NĐ!AD270,NĐ!AJ270,NĐ!AP270)))</f>
        <v>0</v>
      </c>
      <c r="H270">
        <f>SUMPRODUCT((MONTH(CHOOSE({1,2,3,4},NĐ!U270,NĐ!AA270,NĐ!AG270,NĐ!AM270))=8)*(CHOOSE({1,2,3,4},NĐ!X270,NĐ!AD270,NĐ!AJ270,NĐ!AP270)))</f>
        <v>0</v>
      </c>
      <c r="I270">
        <f>SUMPRODUCT((MONTH(CHOOSE({1,2,3,4},NĐ!U270,NĐ!AA270,NĐ!AG270,NĐ!AM270))=9)*(CHOOSE({1,2,3,4},NĐ!X270,NĐ!AD270,NĐ!AJ270,NĐ!AP270)))</f>
        <v>0</v>
      </c>
      <c r="J270">
        <f>SUMPRODUCT((MONTH(CHOOSE({1,2,3,4},NĐ!U270,NĐ!AA270,NĐ!AG270,NĐ!AM270))=10)*(CHOOSE({1,2,3,4},NĐ!X270,NĐ!AD270,NĐ!AJ270,NĐ!AP270)))</f>
        <v>0</v>
      </c>
      <c r="K270">
        <f>SUMPRODUCT((MONTH(CHOOSE({1,2,3,4},NĐ!U270,NĐ!AA270,NĐ!AG270,NĐ!AM270))=11)*(CHOOSE({1,2,3,4},NĐ!X270,NĐ!AD270,NĐ!AJ270,NĐ!AP270)))</f>
        <v>0</v>
      </c>
      <c r="L270">
        <f>SUMPRODUCT((MONTH(CHOOSE({1,2,3,4},NĐ!U270,NĐ!AA270,NĐ!AG270,NĐ!AM270))=12)*(CHOOSE({1,2,3,4},NĐ!X270,NĐ!AD270,NĐ!AJ270,NĐ!AP270)))</f>
        <v>0</v>
      </c>
    </row>
    <row r="271" spans="1:12">
      <c r="A271">
        <f>SUMPRODUCT((MONTH(CHOOSE({1,2,3,4},NĐ!U271,NĐ!AA271,NĐ!AG271,NĐ!AM271))=1)*(CHOOSE({1,2,3,4},NĐ!X271,NĐ!AD271,NĐ!AJ271,NĐ!AP271)))</f>
        <v>0</v>
      </c>
      <c r="B271">
        <f>SUMPRODUCT((MONTH(CHOOSE({1,2,3,4},NĐ!U271,NĐ!AA271,NĐ!AG271,NĐ!AM271))=2)*(CHOOSE({1,2,3,4},NĐ!X271,NĐ!AD271,NĐ!AJ271,NĐ!AP271)))</f>
        <v>0</v>
      </c>
      <c r="C271">
        <f>SUMPRODUCT((MONTH(CHOOSE({1,2,3,4},NĐ!U271,NĐ!AA271,NĐ!AG271,NĐ!AM271))=3)*(CHOOSE({1,2,3,4},NĐ!X271,NĐ!AD271,NĐ!AJ271,NĐ!AP271)))</f>
        <v>0</v>
      </c>
      <c r="D271">
        <f>SUMPRODUCT((MONTH(CHOOSE({1,2,3,4},NĐ!U271,NĐ!AA271,NĐ!AG271,NĐ!AM271))=4)*(CHOOSE({1,2,3,4},NĐ!X271,NĐ!AD271,NĐ!AJ271,NĐ!AP271)))</f>
        <v>0</v>
      </c>
      <c r="E271">
        <f>SUMPRODUCT((MONTH(CHOOSE({1,2,3,4},NĐ!U271,NĐ!AA271,NĐ!AG271,NĐ!AM271))=5)*(CHOOSE({1,2,3,4},NĐ!X271,NĐ!AD271,NĐ!AJ271,NĐ!AP271)))</f>
        <v>0</v>
      </c>
      <c r="F271">
        <f>SUMPRODUCT((MONTH(CHOOSE({1,2,3,4},NĐ!U271,NĐ!AA271,NĐ!AG271,NĐ!AM271))=6)*(CHOOSE({1,2,3,4},NĐ!X271,NĐ!AD271,NĐ!AJ271,NĐ!AP271)))</f>
        <v>0</v>
      </c>
      <c r="G271">
        <f>SUMPRODUCT((MONTH(CHOOSE({1,2,3,4},NĐ!U271,NĐ!AA271,NĐ!AG271,NĐ!AM271))=7)*(CHOOSE({1,2,3,4},NĐ!X271,NĐ!AD271,NĐ!AJ271,NĐ!AP271)))</f>
        <v>0</v>
      </c>
      <c r="H271">
        <f>SUMPRODUCT((MONTH(CHOOSE({1,2,3,4},NĐ!U271,NĐ!AA271,NĐ!AG271,NĐ!AM271))=8)*(CHOOSE({1,2,3,4},NĐ!X271,NĐ!AD271,NĐ!AJ271,NĐ!AP271)))</f>
        <v>0</v>
      </c>
      <c r="I271">
        <f>SUMPRODUCT((MONTH(CHOOSE({1,2,3,4},NĐ!U271,NĐ!AA271,NĐ!AG271,NĐ!AM271))=9)*(CHOOSE({1,2,3,4},NĐ!X271,NĐ!AD271,NĐ!AJ271,NĐ!AP271)))</f>
        <v>0</v>
      </c>
      <c r="J271">
        <f>SUMPRODUCT((MONTH(CHOOSE({1,2,3,4},NĐ!U271,NĐ!AA271,NĐ!AG271,NĐ!AM271))=10)*(CHOOSE({1,2,3,4},NĐ!X271,NĐ!AD271,NĐ!AJ271,NĐ!AP271)))</f>
        <v>0</v>
      </c>
      <c r="K271">
        <f>SUMPRODUCT((MONTH(CHOOSE({1,2,3,4},NĐ!U271,NĐ!AA271,NĐ!AG271,NĐ!AM271))=11)*(CHOOSE({1,2,3,4},NĐ!X271,NĐ!AD271,NĐ!AJ271,NĐ!AP271)))</f>
        <v>0</v>
      </c>
      <c r="L271">
        <f>SUMPRODUCT((MONTH(CHOOSE({1,2,3,4},NĐ!U271,NĐ!AA271,NĐ!AG271,NĐ!AM271))=12)*(CHOOSE({1,2,3,4},NĐ!X271,NĐ!AD271,NĐ!AJ271,NĐ!AP271)))</f>
        <v>0</v>
      </c>
    </row>
    <row r="272" spans="1:12">
      <c r="A272">
        <f>SUMPRODUCT((MONTH(CHOOSE({1,2,3,4},NĐ!U272,NĐ!AA272,NĐ!AG272,NĐ!AM272))=1)*(CHOOSE({1,2,3,4},NĐ!X272,NĐ!AD272,NĐ!AJ272,NĐ!AP272)))</f>
        <v>0</v>
      </c>
      <c r="B272">
        <f>SUMPRODUCT((MONTH(CHOOSE({1,2,3,4},NĐ!U272,NĐ!AA272,NĐ!AG272,NĐ!AM272))=2)*(CHOOSE({1,2,3,4},NĐ!X272,NĐ!AD272,NĐ!AJ272,NĐ!AP272)))</f>
        <v>0</v>
      </c>
      <c r="C272">
        <f>SUMPRODUCT((MONTH(CHOOSE({1,2,3,4},NĐ!U272,NĐ!AA272,NĐ!AG272,NĐ!AM272))=3)*(CHOOSE({1,2,3,4},NĐ!X272,NĐ!AD272,NĐ!AJ272,NĐ!AP272)))</f>
        <v>0</v>
      </c>
      <c r="D272">
        <f>SUMPRODUCT((MONTH(CHOOSE({1,2,3,4},NĐ!U272,NĐ!AA272,NĐ!AG272,NĐ!AM272))=4)*(CHOOSE({1,2,3,4},NĐ!X272,NĐ!AD272,NĐ!AJ272,NĐ!AP272)))</f>
        <v>0</v>
      </c>
      <c r="E272">
        <f>SUMPRODUCT((MONTH(CHOOSE({1,2,3,4},NĐ!U272,NĐ!AA272,NĐ!AG272,NĐ!AM272))=5)*(CHOOSE({1,2,3,4},NĐ!X272,NĐ!AD272,NĐ!AJ272,NĐ!AP272)))</f>
        <v>0</v>
      </c>
      <c r="F272">
        <f>SUMPRODUCT((MONTH(CHOOSE({1,2,3,4},NĐ!U272,NĐ!AA272,NĐ!AG272,NĐ!AM272))=6)*(CHOOSE({1,2,3,4},NĐ!X272,NĐ!AD272,NĐ!AJ272,NĐ!AP272)))</f>
        <v>0</v>
      </c>
      <c r="G272">
        <f>SUMPRODUCT((MONTH(CHOOSE({1,2,3,4},NĐ!U272,NĐ!AA272,NĐ!AG272,NĐ!AM272))=7)*(CHOOSE({1,2,3,4},NĐ!X272,NĐ!AD272,NĐ!AJ272,NĐ!AP272)))</f>
        <v>0</v>
      </c>
      <c r="H272">
        <f>SUMPRODUCT((MONTH(CHOOSE({1,2,3,4},NĐ!U272,NĐ!AA272,NĐ!AG272,NĐ!AM272))=8)*(CHOOSE({1,2,3,4},NĐ!X272,NĐ!AD272,NĐ!AJ272,NĐ!AP272)))</f>
        <v>0</v>
      </c>
      <c r="I272">
        <f>SUMPRODUCT((MONTH(CHOOSE({1,2,3,4},NĐ!U272,NĐ!AA272,NĐ!AG272,NĐ!AM272))=9)*(CHOOSE({1,2,3,4},NĐ!X272,NĐ!AD272,NĐ!AJ272,NĐ!AP272)))</f>
        <v>0</v>
      </c>
      <c r="J272">
        <f>SUMPRODUCT((MONTH(CHOOSE({1,2,3,4},NĐ!U272,NĐ!AA272,NĐ!AG272,NĐ!AM272))=10)*(CHOOSE({1,2,3,4},NĐ!X272,NĐ!AD272,NĐ!AJ272,NĐ!AP272)))</f>
        <v>0</v>
      </c>
      <c r="K272">
        <f>SUMPRODUCT((MONTH(CHOOSE({1,2,3,4},NĐ!U272,NĐ!AA272,NĐ!AG272,NĐ!AM272))=11)*(CHOOSE({1,2,3,4},NĐ!X272,NĐ!AD272,NĐ!AJ272,NĐ!AP272)))</f>
        <v>0</v>
      </c>
      <c r="L272">
        <f>SUMPRODUCT((MONTH(CHOOSE({1,2,3,4},NĐ!U272,NĐ!AA272,NĐ!AG272,NĐ!AM272))=12)*(CHOOSE({1,2,3,4},NĐ!X272,NĐ!AD272,NĐ!AJ272,NĐ!AP272)))</f>
        <v>0</v>
      </c>
    </row>
    <row r="273" spans="1:12">
      <c r="A273">
        <f>SUMPRODUCT((MONTH(CHOOSE({1,2,3,4},NĐ!U273,NĐ!AA273,NĐ!AG273,NĐ!AM273))=1)*(CHOOSE({1,2,3,4},NĐ!X273,NĐ!AD273,NĐ!AJ273,NĐ!AP273)))</f>
        <v>0</v>
      </c>
      <c r="B273">
        <f>SUMPRODUCT((MONTH(CHOOSE({1,2,3,4},NĐ!U273,NĐ!AA273,NĐ!AG273,NĐ!AM273))=2)*(CHOOSE({1,2,3,4},NĐ!X273,NĐ!AD273,NĐ!AJ273,NĐ!AP273)))</f>
        <v>0</v>
      </c>
      <c r="C273">
        <f>SUMPRODUCT((MONTH(CHOOSE({1,2,3,4},NĐ!U273,NĐ!AA273,NĐ!AG273,NĐ!AM273))=3)*(CHOOSE({1,2,3,4},NĐ!X273,NĐ!AD273,NĐ!AJ273,NĐ!AP273)))</f>
        <v>0</v>
      </c>
      <c r="D273">
        <f>SUMPRODUCT((MONTH(CHOOSE({1,2,3,4},NĐ!U273,NĐ!AA273,NĐ!AG273,NĐ!AM273))=4)*(CHOOSE({1,2,3,4},NĐ!X273,NĐ!AD273,NĐ!AJ273,NĐ!AP273)))</f>
        <v>0</v>
      </c>
      <c r="E273">
        <f>SUMPRODUCT((MONTH(CHOOSE({1,2,3,4},NĐ!U273,NĐ!AA273,NĐ!AG273,NĐ!AM273))=5)*(CHOOSE({1,2,3,4},NĐ!X273,NĐ!AD273,NĐ!AJ273,NĐ!AP273)))</f>
        <v>0</v>
      </c>
      <c r="F273">
        <f>SUMPRODUCT((MONTH(CHOOSE({1,2,3,4},NĐ!U273,NĐ!AA273,NĐ!AG273,NĐ!AM273))=6)*(CHOOSE({1,2,3,4},NĐ!X273,NĐ!AD273,NĐ!AJ273,NĐ!AP273)))</f>
        <v>0</v>
      </c>
      <c r="G273">
        <f>SUMPRODUCT((MONTH(CHOOSE({1,2,3,4},NĐ!U273,NĐ!AA273,NĐ!AG273,NĐ!AM273))=7)*(CHOOSE({1,2,3,4},NĐ!X273,NĐ!AD273,NĐ!AJ273,NĐ!AP273)))</f>
        <v>0</v>
      </c>
      <c r="H273">
        <f>SUMPRODUCT((MONTH(CHOOSE({1,2,3,4},NĐ!U273,NĐ!AA273,NĐ!AG273,NĐ!AM273))=8)*(CHOOSE({1,2,3,4},NĐ!X273,NĐ!AD273,NĐ!AJ273,NĐ!AP273)))</f>
        <v>0</v>
      </c>
      <c r="I273">
        <f>SUMPRODUCT((MONTH(CHOOSE({1,2,3,4},NĐ!U273,NĐ!AA273,NĐ!AG273,NĐ!AM273))=9)*(CHOOSE({1,2,3,4},NĐ!X273,NĐ!AD273,NĐ!AJ273,NĐ!AP273)))</f>
        <v>0</v>
      </c>
      <c r="J273">
        <f>SUMPRODUCT((MONTH(CHOOSE({1,2,3,4},NĐ!U273,NĐ!AA273,NĐ!AG273,NĐ!AM273))=10)*(CHOOSE({1,2,3,4},NĐ!X273,NĐ!AD273,NĐ!AJ273,NĐ!AP273)))</f>
        <v>0</v>
      </c>
      <c r="K273">
        <f>SUMPRODUCT((MONTH(CHOOSE({1,2,3,4},NĐ!U273,NĐ!AA273,NĐ!AG273,NĐ!AM273))=11)*(CHOOSE({1,2,3,4},NĐ!X273,NĐ!AD273,NĐ!AJ273,NĐ!AP273)))</f>
        <v>0</v>
      </c>
      <c r="L273">
        <f>SUMPRODUCT((MONTH(CHOOSE({1,2,3,4},NĐ!U273,NĐ!AA273,NĐ!AG273,NĐ!AM273))=12)*(CHOOSE({1,2,3,4},NĐ!X273,NĐ!AD273,NĐ!AJ273,NĐ!AP273)))</f>
        <v>0</v>
      </c>
    </row>
    <row r="274" spans="1:12">
      <c r="A274">
        <f>SUMPRODUCT((MONTH(CHOOSE({1,2,3,4},NĐ!U274,NĐ!AA274,NĐ!AG274,NĐ!AM274))=1)*(CHOOSE({1,2,3,4},NĐ!X274,NĐ!AD274,NĐ!AJ274,NĐ!AP274)))</f>
        <v>0</v>
      </c>
      <c r="B274">
        <f>SUMPRODUCT((MONTH(CHOOSE({1,2,3,4},NĐ!U274,NĐ!AA274,NĐ!AG274,NĐ!AM274))=2)*(CHOOSE({1,2,3,4},NĐ!X274,NĐ!AD274,NĐ!AJ274,NĐ!AP274)))</f>
        <v>0</v>
      </c>
      <c r="C274">
        <f>SUMPRODUCT((MONTH(CHOOSE({1,2,3,4},NĐ!U274,NĐ!AA274,NĐ!AG274,NĐ!AM274))=3)*(CHOOSE({1,2,3,4},NĐ!X274,NĐ!AD274,NĐ!AJ274,NĐ!AP274)))</f>
        <v>0</v>
      </c>
      <c r="D274">
        <f>SUMPRODUCT((MONTH(CHOOSE({1,2,3,4},NĐ!U274,NĐ!AA274,NĐ!AG274,NĐ!AM274))=4)*(CHOOSE({1,2,3,4},NĐ!X274,NĐ!AD274,NĐ!AJ274,NĐ!AP274)))</f>
        <v>0</v>
      </c>
      <c r="E274">
        <f>SUMPRODUCT((MONTH(CHOOSE({1,2,3,4},NĐ!U274,NĐ!AA274,NĐ!AG274,NĐ!AM274))=5)*(CHOOSE({1,2,3,4},NĐ!X274,NĐ!AD274,NĐ!AJ274,NĐ!AP274)))</f>
        <v>0</v>
      </c>
      <c r="F274">
        <f>SUMPRODUCT((MONTH(CHOOSE({1,2,3,4},NĐ!U274,NĐ!AA274,NĐ!AG274,NĐ!AM274))=6)*(CHOOSE({1,2,3,4},NĐ!X274,NĐ!AD274,NĐ!AJ274,NĐ!AP274)))</f>
        <v>0</v>
      </c>
      <c r="G274">
        <f>SUMPRODUCT((MONTH(CHOOSE({1,2,3,4},NĐ!U274,NĐ!AA274,NĐ!AG274,NĐ!AM274))=7)*(CHOOSE({1,2,3,4},NĐ!X274,NĐ!AD274,NĐ!AJ274,NĐ!AP274)))</f>
        <v>0</v>
      </c>
      <c r="H274">
        <f>SUMPRODUCT((MONTH(CHOOSE({1,2,3,4},NĐ!U274,NĐ!AA274,NĐ!AG274,NĐ!AM274))=8)*(CHOOSE({1,2,3,4},NĐ!X274,NĐ!AD274,NĐ!AJ274,NĐ!AP274)))</f>
        <v>0</v>
      </c>
      <c r="I274">
        <f>SUMPRODUCT((MONTH(CHOOSE({1,2,3,4},NĐ!U274,NĐ!AA274,NĐ!AG274,NĐ!AM274))=9)*(CHOOSE({1,2,3,4},NĐ!X274,NĐ!AD274,NĐ!AJ274,NĐ!AP274)))</f>
        <v>0</v>
      </c>
      <c r="J274">
        <f>SUMPRODUCT((MONTH(CHOOSE({1,2,3,4},NĐ!U274,NĐ!AA274,NĐ!AG274,NĐ!AM274))=10)*(CHOOSE({1,2,3,4},NĐ!X274,NĐ!AD274,NĐ!AJ274,NĐ!AP274)))</f>
        <v>0</v>
      </c>
      <c r="K274">
        <f>SUMPRODUCT((MONTH(CHOOSE({1,2,3,4},NĐ!U274,NĐ!AA274,NĐ!AG274,NĐ!AM274))=11)*(CHOOSE({1,2,3,4},NĐ!X274,NĐ!AD274,NĐ!AJ274,NĐ!AP274)))</f>
        <v>0</v>
      </c>
      <c r="L274">
        <f>SUMPRODUCT((MONTH(CHOOSE({1,2,3,4},NĐ!U274,NĐ!AA274,NĐ!AG274,NĐ!AM274))=12)*(CHOOSE({1,2,3,4},NĐ!X274,NĐ!AD274,NĐ!AJ274,NĐ!AP274)))</f>
        <v>0</v>
      </c>
    </row>
    <row r="275" spans="1:12">
      <c r="A275">
        <f>SUMPRODUCT((MONTH(CHOOSE({1,2,3,4},NĐ!U275,NĐ!AA275,NĐ!AG275,NĐ!AM275))=1)*(CHOOSE({1,2,3,4},NĐ!X275,NĐ!AD275,NĐ!AJ275,NĐ!AP275)))</f>
        <v>0</v>
      </c>
      <c r="B275">
        <f>SUMPRODUCT((MONTH(CHOOSE({1,2,3,4},NĐ!U275,NĐ!AA275,NĐ!AG275,NĐ!AM275))=2)*(CHOOSE({1,2,3,4},NĐ!X275,NĐ!AD275,NĐ!AJ275,NĐ!AP275)))</f>
        <v>0</v>
      </c>
      <c r="C275">
        <f>SUMPRODUCT((MONTH(CHOOSE({1,2,3,4},NĐ!U275,NĐ!AA275,NĐ!AG275,NĐ!AM275))=3)*(CHOOSE({1,2,3,4},NĐ!X275,NĐ!AD275,NĐ!AJ275,NĐ!AP275)))</f>
        <v>0</v>
      </c>
      <c r="D275">
        <f>SUMPRODUCT((MONTH(CHOOSE({1,2,3,4},NĐ!U275,NĐ!AA275,NĐ!AG275,NĐ!AM275))=4)*(CHOOSE({1,2,3,4},NĐ!X275,NĐ!AD275,NĐ!AJ275,NĐ!AP275)))</f>
        <v>0</v>
      </c>
      <c r="E275">
        <f>SUMPRODUCT((MONTH(CHOOSE({1,2,3,4},NĐ!U275,NĐ!AA275,NĐ!AG275,NĐ!AM275))=5)*(CHOOSE({1,2,3,4},NĐ!X275,NĐ!AD275,NĐ!AJ275,NĐ!AP275)))</f>
        <v>0</v>
      </c>
      <c r="F275">
        <f>SUMPRODUCT((MONTH(CHOOSE({1,2,3,4},NĐ!U275,NĐ!AA275,NĐ!AG275,NĐ!AM275))=6)*(CHOOSE({1,2,3,4},NĐ!X275,NĐ!AD275,NĐ!AJ275,NĐ!AP275)))</f>
        <v>0</v>
      </c>
      <c r="G275">
        <f>SUMPRODUCT((MONTH(CHOOSE({1,2,3,4},NĐ!U275,NĐ!AA275,NĐ!AG275,NĐ!AM275))=7)*(CHOOSE({1,2,3,4},NĐ!X275,NĐ!AD275,NĐ!AJ275,NĐ!AP275)))</f>
        <v>0</v>
      </c>
      <c r="H275">
        <f>SUMPRODUCT((MONTH(CHOOSE({1,2,3,4},NĐ!U275,NĐ!AA275,NĐ!AG275,NĐ!AM275))=8)*(CHOOSE({1,2,3,4},NĐ!X275,NĐ!AD275,NĐ!AJ275,NĐ!AP275)))</f>
        <v>0</v>
      </c>
      <c r="I275">
        <f>SUMPRODUCT((MONTH(CHOOSE({1,2,3,4},NĐ!U275,NĐ!AA275,NĐ!AG275,NĐ!AM275))=9)*(CHOOSE({1,2,3,4},NĐ!X275,NĐ!AD275,NĐ!AJ275,NĐ!AP275)))</f>
        <v>0</v>
      </c>
      <c r="J275">
        <f>SUMPRODUCT((MONTH(CHOOSE({1,2,3,4},NĐ!U275,NĐ!AA275,NĐ!AG275,NĐ!AM275))=10)*(CHOOSE({1,2,3,4},NĐ!X275,NĐ!AD275,NĐ!AJ275,NĐ!AP275)))</f>
        <v>0</v>
      </c>
      <c r="K275">
        <f>SUMPRODUCT((MONTH(CHOOSE({1,2,3,4},NĐ!U275,NĐ!AA275,NĐ!AG275,NĐ!AM275))=11)*(CHOOSE({1,2,3,4},NĐ!X275,NĐ!AD275,NĐ!AJ275,NĐ!AP275)))</f>
        <v>0</v>
      </c>
      <c r="L275">
        <f>SUMPRODUCT((MONTH(CHOOSE({1,2,3,4},NĐ!U275,NĐ!AA275,NĐ!AG275,NĐ!AM275))=12)*(CHOOSE({1,2,3,4},NĐ!X275,NĐ!AD275,NĐ!AJ275,NĐ!AP275)))</f>
        <v>0</v>
      </c>
    </row>
    <row r="276" spans="1:12">
      <c r="A276">
        <f>SUMPRODUCT((MONTH(CHOOSE({1,2,3,4},NĐ!U276,NĐ!AA276,NĐ!AG276,NĐ!AM276))=1)*(CHOOSE({1,2,3,4},NĐ!X276,NĐ!AD276,NĐ!AJ276,NĐ!AP276)))</f>
        <v>0</v>
      </c>
      <c r="B276">
        <f>SUMPRODUCT((MONTH(CHOOSE({1,2,3,4},NĐ!U276,NĐ!AA276,NĐ!AG276,NĐ!AM276))=2)*(CHOOSE({1,2,3,4},NĐ!X276,NĐ!AD276,NĐ!AJ276,NĐ!AP276)))</f>
        <v>0</v>
      </c>
      <c r="C276">
        <f>SUMPRODUCT((MONTH(CHOOSE({1,2,3,4},NĐ!U276,NĐ!AA276,NĐ!AG276,NĐ!AM276))=3)*(CHOOSE({1,2,3,4},NĐ!X276,NĐ!AD276,NĐ!AJ276,NĐ!AP276)))</f>
        <v>0</v>
      </c>
      <c r="D276">
        <f>SUMPRODUCT((MONTH(CHOOSE({1,2,3,4},NĐ!U276,NĐ!AA276,NĐ!AG276,NĐ!AM276))=4)*(CHOOSE({1,2,3,4},NĐ!X276,NĐ!AD276,NĐ!AJ276,NĐ!AP276)))</f>
        <v>0</v>
      </c>
      <c r="E276">
        <f>SUMPRODUCT((MONTH(CHOOSE({1,2,3,4},NĐ!U276,NĐ!AA276,NĐ!AG276,NĐ!AM276))=5)*(CHOOSE({1,2,3,4},NĐ!X276,NĐ!AD276,NĐ!AJ276,NĐ!AP276)))</f>
        <v>0</v>
      </c>
      <c r="F276">
        <f>SUMPRODUCT((MONTH(CHOOSE({1,2,3,4},NĐ!U276,NĐ!AA276,NĐ!AG276,NĐ!AM276))=6)*(CHOOSE({1,2,3,4},NĐ!X276,NĐ!AD276,NĐ!AJ276,NĐ!AP276)))</f>
        <v>0</v>
      </c>
      <c r="G276">
        <f>SUMPRODUCT((MONTH(CHOOSE({1,2,3,4},NĐ!U276,NĐ!AA276,NĐ!AG276,NĐ!AM276))=7)*(CHOOSE({1,2,3,4},NĐ!X276,NĐ!AD276,NĐ!AJ276,NĐ!AP276)))</f>
        <v>0</v>
      </c>
      <c r="H276">
        <f>SUMPRODUCT((MONTH(CHOOSE({1,2,3,4},NĐ!U276,NĐ!AA276,NĐ!AG276,NĐ!AM276))=8)*(CHOOSE({1,2,3,4},NĐ!X276,NĐ!AD276,NĐ!AJ276,NĐ!AP276)))</f>
        <v>0</v>
      </c>
      <c r="I276">
        <f>SUMPRODUCT((MONTH(CHOOSE({1,2,3,4},NĐ!U276,NĐ!AA276,NĐ!AG276,NĐ!AM276))=9)*(CHOOSE({1,2,3,4},NĐ!X276,NĐ!AD276,NĐ!AJ276,NĐ!AP276)))</f>
        <v>0</v>
      </c>
      <c r="J276">
        <f>SUMPRODUCT((MONTH(CHOOSE({1,2,3,4},NĐ!U276,NĐ!AA276,NĐ!AG276,NĐ!AM276))=10)*(CHOOSE({1,2,3,4},NĐ!X276,NĐ!AD276,NĐ!AJ276,NĐ!AP276)))</f>
        <v>0</v>
      </c>
      <c r="K276">
        <f>SUMPRODUCT((MONTH(CHOOSE({1,2,3,4},NĐ!U276,NĐ!AA276,NĐ!AG276,NĐ!AM276))=11)*(CHOOSE({1,2,3,4},NĐ!X276,NĐ!AD276,NĐ!AJ276,NĐ!AP276)))</f>
        <v>0</v>
      </c>
      <c r="L276">
        <f>SUMPRODUCT((MONTH(CHOOSE({1,2,3,4},NĐ!U276,NĐ!AA276,NĐ!AG276,NĐ!AM276))=12)*(CHOOSE({1,2,3,4},NĐ!X276,NĐ!AD276,NĐ!AJ276,NĐ!AP276)))</f>
        <v>0</v>
      </c>
    </row>
    <row r="277" spans="1:12">
      <c r="A277">
        <f>SUMPRODUCT((MONTH(CHOOSE({1,2,3,4},NĐ!U277,NĐ!AA277,NĐ!AG277,NĐ!AM277))=1)*(CHOOSE({1,2,3,4},NĐ!X277,NĐ!AD277,NĐ!AJ277,NĐ!AP277)))</f>
        <v>0</v>
      </c>
      <c r="B277">
        <f>SUMPRODUCT((MONTH(CHOOSE({1,2,3,4},NĐ!U277,NĐ!AA277,NĐ!AG277,NĐ!AM277))=2)*(CHOOSE({1,2,3,4},NĐ!X277,NĐ!AD277,NĐ!AJ277,NĐ!AP277)))</f>
        <v>0</v>
      </c>
      <c r="C277">
        <f>SUMPRODUCT((MONTH(CHOOSE({1,2,3,4},NĐ!U277,NĐ!AA277,NĐ!AG277,NĐ!AM277))=3)*(CHOOSE({1,2,3,4},NĐ!X277,NĐ!AD277,NĐ!AJ277,NĐ!AP277)))</f>
        <v>0</v>
      </c>
      <c r="D277">
        <f>SUMPRODUCT((MONTH(CHOOSE({1,2,3,4},NĐ!U277,NĐ!AA277,NĐ!AG277,NĐ!AM277))=4)*(CHOOSE({1,2,3,4},NĐ!X277,NĐ!AD277,NĐ!AJ277,NĐ!AP277)))</f>
        <v>0</v>
      </c>
      <c r="E277">
        <f>SUMPRODUCT((MONTH(CHOOSE({1,2,3,4},NĐ!U277,NĐ!AA277,NĐ!AG277,NĐ!AM277))=5)*(CHOOSE({1,2,3,4},NĐ!X277,NĐ!AD277,NĐ!AJ277,NĐ!AP277)))</f>
        <v>0</v>
      </c>
      <c r="F277">
        <f>SUMPRODUCT((MONTH(CHOOSE({1,2,3,4},NĐ!U277,NĐ!AA277,NĐ!AG277,NĐ!AM277))=6)*(CHOOSE({1,2,3,4},NĐ!X277,NĐ!AD277,NĐ!AJ277,NĐ!AP277)))</f>
        <v>0</v>
      </c>
      <c r="G277">
        <f>SUMPRODUCT((MONTH(CHOOSE({1,2,3,4},NĐ!U277,NĐ!AA277,NĐ!AG277,NĐ!AM277))=7)*(CHOOSE({1,2,3,4},NĐ!X277,NĐ!AD277,NĐ!AJ277,NĐ!AP277)))</f>
        <v>0</v>
      </c>
      <c r="H277">
        <f>SUMPRODUCT((MONTH(CHOOSE({1,2,3,4},NĐ!U277,NĐ!AA277,NĐ!AG277,NĐ!AM277))=8)*(CHOOSE({1,2,3,4},NĐ!X277,NĐ!AD277,NĐ!AJ277,NĐ!AP277)))</f>
        <v>0</v>
      </c>
      <c r="I277">
        <f>SUMPRODUCT((MONTH(CHOOSE({1,2,3,4},NĐ!U277,NĐ!AA277,NĐ!AG277,NĐ!AM277))=9)*(CHOOSE({1,2,3,4},NĐ!X277,NĐ!AD277,NĐ!AJ277,NĐ!AP277)))</f>
        <v>0</v>
      </c>
      <c r="J277">
        <f>SUMPRODUCT((MONTH(CHOOSE({1,2,3,4},NĐ!U277,NĐ!AA277,NĐ!AG277,NĐ!AM277))=10)*(CHOOSE({1,2,3,4},NĐ!X277,NĐ!AD277,NĐ!AJ277,NĐ!AP277)))</f>
        <v>0</v>
      </c>
      <c r="K277">
        <f>SUMPRODUCT((MONTH(CHOOSE({1,2,3,4},NĐ!U277,NĐ!AA277,NĐ!AG277,NĐ!AM277))=11)*(CHOOSE({1,2,3,4},NĐ!X277,NĐ!AD277,NĐ!AJ277,NĐ!AP277)))</f>
        <v>0</v>
      </c>
      <c r="L277">
        <f>SUMPRODUCT((MONTH(CHOOSE({1,2,3,4},NĐ!U277,NĐ!AA277,NĐ!AG277,NĐ!AM277))=12)*(CHOOSE({1,2,3,4},NĐ!X277,NĐ!AD277,NĐ!AJ277,NĐ!AP277)))</f>
        <v>0</v>
      </c>
    </row>
    <row r="278" spans="1:12">
      <c r="A278">
        <f>SUMPRODUCT((MONTH(CHOOSE({1,2,3,4},NĐ!U278,NĐ!AA278,NĐ!AG278,NĐ!AM278))=1)*(CHOOSE({1,2,3,4},NĐ!X278,NĐ!AD278,NĐ!AJ278,NĐ!AP278)))</f>
        <v>0</v>
      </c>
      <c r="B278">
        <f>SUMPRODUCT((MONTH(CHOOSE({1,2,3,4},NĐ!U278,NĐ!AA278,NĐ!AG278,NĐ!AM278))=2)*(CHOOSE({1,2,3,4},NĐ!X278,NĐ!AD278,NĐ!AJ278,NĐ!AP278)))</f>
        <v>0</v>
      </c>
      <c r="C278">
        <f>SUMPRODUCT((MONTH(CHOOSE({1,2,3,4},NĐ!U278,NĐ!AA278,NĐ!AG278,NĐ!AM278))=3)*(CHOOSE({1,2,3,4},NĐ!X278,NĐ!AD278,NĐ!AJ278,NĐ!AP278)))</f>
        <v>0</v>
      </c>
      <c r="D278">
        <f>SUMPRODUCT((MONTH(CHOOSE({1,2,3,4},NĐ!U278,NĐ!AA278,NĐ!AG278,NĐ!AM278))=4)*(CHOOSE({1,2,3,4},NĐ!X278,NĐ!AD278,NĐ!AJ278,NĐ!AP278)))</f>
        <v>0</v>
      </c>
      <c r="E278">
        <f>SUMPRODUCT((MONTH(CHOOSE({1,2,3,4},NĐ!U278,NĐ!AA278,NĐ!AG278,NĐ!AM278))=5)*(CHOOSE({1,2,3,4},NĐ!X278,NĐ!AD278,NĐ!AJ278,NĐ!AP278)))</f>
        <v>0</v>
      </c>
      <c r="F278">
        <f>SUMPRODUCT((MONTH(CHOOSE({1,2,3,4},NĐ!U278,NĐ!AA278,NĐ!AG278,NĐ!AM278))=6)*(CHOOSE({1,2,3,4},NĐ!X278,NĐ!AD278,NĐ!AJ278,NĐ!AP278)))</f>
        <v>0</v>
      </c>
      <c r="G278">
        <f>SUMPRODUCT((MONTH(CHOOSE({1,2,3,4},NĐ!U278,NĐ!AA278,NĐ!AG278,NĐ!AM278))=7)*(CHOOSE({1,2,3,4},NĐ!X278,NĐ!AD278,NĐ!AJ278,NĐ!AP278)))</f>
        <v>0</v>
      </c>
      <c r="H278">
        <f>SUMPRODUCT((MONTH(CHOOSE({1,2,3,4},NĐ!U278,NĐ!AA278,NĐ!AG278,NĐ!AM278))=8)*(CHOOSE({1,2,3,4},NĐ!X278,NĐ!AD278,NĐ!AJ278,NĐ!AP278)))</f>
        <v>0</v>
      </c>
      <c r="I278">
        <f>SUMPRODUCT((MONTH(CHOOSE({1,2,3,4},NĐ!U278,NĐ!AA278,NĐ!AG278,NĐ!AM278))=9)*(CHOOSE({1,2,3,4},NĐ!X278,NĐ!AD278,NĐ!AJ278,NĐ!AP278)))</f>
        <v>0</v>
      </c>
      <c r="J278">
        <f>SUMPRODUCT((MONTH(CHOOSE({1,2,3,4},NĐ!U278,NĐ!AA278,NĐ!AG278,NĐ!AM278))=10)*(CHOOSE({1,2,3,4},NĐ!X278,NĐ!AD278,NĐ!AJ278,NĐ!AP278)))</f>
        <v>0</v>
      </c>
      <c r="K278">
        <f>SUMPRODUCT((MONTH(CHOOSE({1,2,3,4},NĐ!U278,NĐ!AA278,NĐ!AG278,NĐ!AM278))=11)*(CHOOSE({1,2,3,4},NĐ!X278,NĐ!AD278,NĐ!AJ278,NĐ!AP278)))</f>
        <v>0</v>
      </c>
      <c r="L278">
        <f>SUMPRODUCT((MONTH(CHOOSE({1,2,3,4},NĐ!U278,NĐ!AA278,NĐ!AG278,NĐ!AM278))=12)*(CHOOSE({1,2,3,4},NĐ!X278,NĐ!AD278,NĐ!AJ278,NĐ!AP278)))</f>
        <v>0</v>
      </c>
    </row>
    <row r="279" spans="1:12">
      <c r="A279">
        <f>SUMPRODUCT((MONTH(CHOOSE({1,2,3,4},NĐ!U279,NĐ!AA279,NĐ!AG279,NĐ!AM279))=1)*(CHOOSE({1,2,3,4},NĐ!X279,NĐ!AD279,NĐ!AJ279,NĐ!AP279)))</f>
        <v>0</v>
      </c>
      <c r="B279">
        <f>SUMPRODUCT((MONTH(CHOOSE({1,2,3,4},NĐ!U279,NĐ!AA279,NĐ!AG279,NĐ!AM279))=2)*(CHOOSE({1,2,3,4},NĐ!X279,NĐ!AD279,NĐ!AJ279,NĐ!AP279)))</f>
        <v>0</v>
      </c>
      <c r="C279">
        <f>SUMPRODUCT((MONTH(CHOOSE({1,2,3,4},NĐ!U279,NĐ!AA279,NĐ!AG279,NĐ!AM279))=3)*(CHOOSE({1,2,3,4},NĐ!X279,NĐ!AD279,NĐ!AJ279,NĐ!AP279)))</f>
        <v>0</v>
      </c>
      <c r="D279">
        <f>SUMPRODUCT((MONTH(CHOOSE({1,2,3,4},NĐ!U279,NĐ!AA279,NĐ!AG279,NĐ!AM279))=4)*(CHOOSE({1,2,3,4},NĐ!X279,NĐ!AD279,NĐ!AJ279,NĐ!AP279)))</f>
        <v>0</v>
      </c>
      <c r="E279">
        <f>SUMPRODUCT((MONTH(CHOOSE({1,2,3,4},NĐ!U279,NĐ!AA279,NĐ!AG279,NĐ!AM279))=5)*(CHOOSE({1,2,3,4},NĐ!X279,NĐ!AD279,NĐ!AJ279,NĐ!AP279)))</f>
        <v>0</v>
      </c>
      <c r="F279">
        <f>SUMPRODUCT((MONTH(CHOOSE({1,2,3,4},NĐ!U279,NĐ!AA279,NĐ!AG279,NĐ!AM279))=6)*(CHOOSE({1,2,3,4},NĐ!X279,NĐ!AD279,NĐ!AJ279,NĐ!AP279)))</f>
        <v>0</v>
      </c>
      <c r="G279">
        <f>SUMPRODUCT((MONTH(CHOOSE({1,2,3,4},NĐ!U279,NĐ!AA279,NĐ!AG279,NĐ!AM279))=7)*(CHOOSE({1,2,3,4},NĐ!X279,NĐ!AD279,NĐ!AJ279,NĐ!AP279)))</f>
        <v>0</v>
      </c>
      <c r="H279">
        <f>SUMPRODUCT((MONTH(CHOOSE({1,2,3,4},NĐ!U279,NĐ!AA279,NĐ!AG279,NĐ!AM279))=8)*(CHOOSE({1,2,3,4},NĐ!X279,NĐ!AD279,NĐ!AJ279,NĐ!AP279)))</f>
        <v>0</v>
      </c>
      <c r="I279">
        <f>SUMPRODUCT((MONTH(CHOOSE({1,2,3,4},NĐ!U279,NĐ!AA279,NĐ!AG279,NĐ!AM279))=9)*(CHOOSE({1,2,3,4},NĐ!X279,NĐ!AD279,NĐ!AJ279,NĐ!AP279)))</f>
        <v>0</v>
      </c>
      <c r="J279">
        <f>SUMPRODUCT((MONTH(CHOOSE({1,2,3,4},NĐ!U279,NĐ!AA279,NĐ!AG279,NĐ!AM279))=10)*(CHOOSE({1,2,3,4},NĐ!X279,NĐ!AD279,NĐ!AJ279,NĐ!AP279)))</f>
        <v>0</v>
      </c>
      <c r="K279">
        <f>SUMPRODUCT((MONTH(CHOOSE({1,2,3,4},NĐ!U279,NĐ!AA279,NĐ!AG279,NĐ!AM279))=11)*(CHOOSE({1,2,3,4},NĐ!X279,NĐ!AD279,NĐ!AJ279,NĐ!AP279)))</f>
        <v>0</v>
      </c>
      <c r="L279">
        <f>SUMPRODUCT((MONTH(CHOOSE({1,2,3,4},NĐ!U279,NĐ!AA279,NĐ!AG279,NĐ!AM279))=12)*(CHOOSE({1,2,3,4},NĐ!X279,NĐ!AD279,NĐ!AJ279,NĐ!AP279)))</f>
        <v>0</v>
      </c>
    </row>
    <row r="280" spans="1:12">
      <c r="A280">
        <f>SUMPRODUCT((MONTH(CHOOSE({1,2,3,4},NĐ!U280,NĐ!AA280,NĐ!AG280,NĐ!AM280))=1)*(CHOOSE({1,2,3,4},NĐ!X280,NĐ!AD280,NĐ!AJ280,NĐ!AP280)))</f>
        <v>0</v>
      </c>
      <c r="B280">
        <f>SUMPRODUCT((MONTH(CHOOSE({1,2,3,4},NĐ!U280,NĐ!AA280,NĐ!AG280,NĐ!AM280))=2)*(CHOOSE({1,2,3,4},NĐ!X280,NĐ!AD280,NĐ!AJ280,NĐ!AP280)))</f>
        <v>0</v>
      </c>
      <c r="C280">
        <f>SUMPRODUCT((MONTH(CHOOSE({1,2,3,4},NĐ!U280,NĐ!AA280,NĐ!AG280,NĐ!AM280))=3)*(CHOOSE({1,2,3,4},NĐ!X280,NĐ!AD280,NĐ!AJ280,NĐ!AP280)))</f>
        <v>0</v>
      </c>
      <c r="D280">
        <f>SUMPRODUCT((MONTH(CHOOSE({1,2,3,4},NĐ!U280,NĐ!AA280,NĐ!AG280,NĐ!AM280))=4)*(CHOOSE({1,2,3,4},NĐ!X280,NĐ!AD280,NĐ!AJ280,NĐ!AP280)))</f>
        <v>0</v>
      </c>
      <c r="E280">
        <f>SUMPRODUCT((MONTH(CHOOSE({1,2,3,4},NĐ!U280,NĐ!AA280,NĐ!AG280,NĐ!AM280))=5)*(CHOOSE({1,2,3,4},NĐ!X280,NĐ!AD280,NĐ!AJ280,NĐ!AP280)))</f>
        <v>0</v>
      </c>
      <c r="F280">
        <f>SUMPRODUCT((MONTH(CHOOSE({1,2,3,4},NĐ!U280,NĐ!AA280,NĐ!AG280,NĐ!AM280))=6)*(CHOOSE({1,2,3,4},NĐ!X280,NĐ!AD280,NĐ!AJ280,NĐ!AP280)))</f>
        <v>0</v>
      </c>
      <c r="G280">
        <f>SUMPRODUCT((MONTH(CHOOSE({1,2,3,4},NĐ!U280,NĐ!AA280,NĐ!AG280,NĐ!AM280))=7)*(CHOOSE({1,2,3,4},NĐ!X280,NĐ!AD280,NĐ!AJ280,NĐ!AP280)))</f>
        <v>0</v>
      </c>
      <c r="H280">
        <f>SUMPRODUCT((MONTH(CHOOSE({1,2,3,4},NĐ!U280,NĐ!AA280,NĐ!AG280,NĐ!AM280))=8)*(CHOOSE({1,2,3,4},NĐ!X280,NĐ!AD280,NĐ!AJ280,NĐ!AP280)))</f>
        <v>0</v>
      </c>
      <c r="I280">
        <f>SUMPRODUCT((MONTH(CHOOSE({1,2,3,4},NĐ!U280,NĐ!AA280,NĐ!AG280,NĐ!AM280))=9)*(CHOOSE({1,2,3,4},NĐ!X280,NĐ!AD280,NĐ!AJ280,NĐ!AP280)))</f>
        <v>0</v>
      </c>
      <c r="J280">
        <f>SUMPRODUCT((MONTH(CHOOSE({1,2,3,4},NĐ!U280,NĐ!AA280,NĐ!AG280,NĐ!AM280))=10)*(CHOOSE({1,2,3,4},NĐ!X280,NĐ!AD280,NĐ!AJ280,NĐ!AP280)))</f>
        <v>0</v>
      </c>
      <c r="K280">
        <f>SUMPRODUCT((MONTH(CHOOSE({1,2,3,4},NĐ!U280,NĐ!AA280,NĐ!AG280,NĐ!AM280))=11)*(CHOOSE({1,2,3,4},NĐ!X280,NĐ!AD280,NĐ!AJ280,NĐ!AP280)))</f>
        <v>0</v>
      </c>
      <c r="L280">
        <f>SUMPRODUCT((MONTH(CHOOSE({1,2,3,4},NĐ!U280,NĐ!AA280,NĐ!AG280,NĐ!AM280))=12)*(CHOOSE({1,2,3,4},NĐ!X280,NĐ!AD280,NĐ!AJ280,NĐ!AP280)))</f>
        <v>0</v>
      </c>
    </row>
    <row r="281" spans="1:12">
      <c r="A281">
        <f>SUMPRODUCT((MONTH(CHOOSE({1,2,3,4},NĐ!U281,NĐ!AA281,NĐ!AG281,NĐ!AM281))=1)*(CHOOSE({1,2,3,4},NĐ!X281,NĐ!AD281,NĐ!AJ281,NĐ!AP281)))</f>
        <v>0</v>
      </c>
      <c r="B281">
        <f>SUMPRODUCT((MONTH(CHOOSE({1,2,3,4},NĐ!U281,NĐ!AA281,NĐ!AG281,NĐ!AM281))=2)*(CHOOSE({1,2,3,4},NĐ!X281,NĐ!AD281,NĐ!AJ281,NĐ!AP281)))</f>
        <v>0</v>
      </c>
      <c r="C281">
        <f>SUMPRODUCT((MONTH(CHOOSE({1,2,3,4},NĐ!U281,NĐ!AA281,NĐ!AG281,NĐ!AM281))=3)*(CHOOSE({1,2,3,4},NĐ!X281,NĐ!AD281,NĐ!AJ281,NĐ!AP281)))</f>
        <v>0</v>
      </c>
      <c r="D281">
        <f>SUMPRODUCT((MONTH(CHOOSE({1,2,3,4},NĐ!U281,NĐ!AA281,NĐ!AG281,NĐ!AM281))=4)*(CHOOSE({1,2,3,4},NĐ!X281,NĐ!AD281,NĐ!AJ281,NĐ!AP281)))</f>
        <v>0</v>
      </c>
      <c r="E281">
        <f>SUMPRODUCT((MONTH(CHOOSE({1,2,3,4},NĐ!U281,NĐ!AA281,NĐ!AG281,NĐ!AM281))=5)*(CHOOSE({1,2,3,4},NĐ!X281,NĐ!AD281,NĐ!AJ281,NĐ!AP281)))</f>
        <v>0</v>
      </c>
      <c r="F281">
        <f>SUMPRODUCT((MONTH(CHOOSE({1,2,3,4},NĐ!U281,NĐ!AA281,NĐ!AG281,NĐ!AM281))=6)*(CHOOSE({1,2,3,4},NĐ!X281,NĐ!AD281,NĐ!AJ281,NĐ!AP281)))</f>
        <v>0</v>
      </c>
      <c r="G281">
        <f>SUMPRODUCT((MONTH(CHOOSE({1,2,3,4},NĐ!U281,NĐ!AA281,NĐ!AG281,NĐ!AM281))=7)*(CHOOSE({1,2,3,4},NĐ!X281,NĐ!AD281,NĐ!AJ281,NĐ!AP281)))</f>
        <v>0</v>
      </c>
      <c r="H281">
        <f>SUMPRODUCT((MONTH(CHOOSE({1,2,3,4},NĐ!U281,NĐ!AA281,NĐ!AG281,NĐ!AM281))=8)*(CHOOSE({1,2,3,4},NĐ!X281,NĐ!AD281,NĐ!AJ281,NĐ!AP281)))</f>
        <v>0</v>
      </c>
      <c r="I281">
        <f>SUMPRODUCT((MONTH(CHOOSE({1,2,3,4},NĐ!U281,NĐ!AA281,NĐ!AG281,NĐ!AM281))=9)*(CHOOSE({1,2,3,4},NĐ!X281,NĐ!AD281,NĐ!AJ281,NĐ!AP281)))</f>
        <v>0</v>
      </c>
      <c r="J281">
        <f>SUMPRODUCT((MONTH(CHOOSE({1,2,3,4},NĐ!U281,NĐ!AA281,NĐ!AG281,NĐ!AM281))=10)*(CHOOSE({1,2,3,4},NĐ!X281,NĐ!AD281,NĐ!AJ281,NĐ!AP281)))</f>
        <v>0</v>
      </c>
      <c r="K281">
        <f>SUMPRODUCT((MONTH(CHOOSE({1,2,3,4},NĐ!U281,NĐ!AA281,NĐ!AG281,NĐ!AM281))=11)*(CHOOSE({1,2,3,4},NĐ!X281,NĐ!AD281,NĐ!AJ281,NĐ!AP281)))</f>
        <v>0</v>
      </c>
      <c r="L281">
        <f>SUMPRODUCT((MONTH(CHOOSE({1,2,3,4},NĐ!U281,NĐ!AA281,NĐ!AG281,NĐ!AM281))=12)*(CHOOSE({1,2,3,4},NĐ!X281,NĐ!AD281,NĐ!AJ281,NĐ!AP281)))</f>
        <v>0</v>
      </c>
    </row>
    <row r="282" spans="1:12">
      <c r="A282">
        <f>SUMPRODUCT((MONTH(CHOOSE({1,2,3,4},NĐ!U282,NĐ!AA282,NĐ!AG282,NĐ!AM282))=1)*(CHOOSE({1,2,3,4},NĐ!X282,NĐ!AD282,NĐ!AJ282,NĐ!AP282)))</f>
        <v>0</v>
      </c>
      <c r="B282">
        <f>SUMPRODUCT((MONTH(CHOOSE({1,2,3,4},NĐ!U282,NĐ!AA282,NĐ!AG282,NĐ!AM282))=2)*(CHOOSE({1,2,3,4},NĐ!X282,NĐ!AD282,NĐ!AJ282,NĐ!AP282)))</f>
        <v>0</v>
      </c>
      <c r="C282">
        <f>SUMPRODUCT((MONTH(CHOOSE({1,2,3,4},NĐ!U282,NĐ!AA282,NĐ!AG282,NĐ!AM282))=3)*(CHOOSE({1,2,3,4},NĐ!X282,NĐ!AD282,NĐ!AJ282,NĐ!AP282)))</f>
        <v>0</v>
      </c>
      <c r="D282">
        <f>SUMPRODUCT((MONTH(CHOOSE({1,2,3,4},NĐ!U282,NĐ!AA282,NĐ!AG282,NĐ!AM282))=4)*(CHOOSE({1,2,3,4},NĐ!X282,NĐ!AD282,NĐ!AJ282,NĐ!AP282)))</f>
        <v>0</v>
      </c>
      <c r="E282">
        <f>SUMPRODUCT((MONTH(CHOOSE({1,2,3,4},NĐ!U282,NĐ!AA282,NĐ!AG282,NĐ!AM282))=5)*(CHOOSE({1,2,3,4},NĐ!X282,NĐ!AD282,NĐ!AJ282,NĐ!AP282)))</f>
        <v>0</v>
      </c>
      <c r="F282">
        <f>SUMPRODUCT((MONTH(CHOOSE({1,2,3,4},NĐ!U282,NĐ!AA282,NĐ!AG282,NĐ!AM282))=6)*(CHOOSE({1,2,3,4},NĐ!X282,NĐ!AD282,NĐ!AJ282,NĐ!AP282)))</f>
        <v>0</v>
      </c>
      <c r="G282">
        <f>SUMPRODUCT((MONTH(CHOOSE({1,2,3,4},NĐ!U282,NĐ!AA282,NĐ!AG282,NĐ!AM282))=7)*(CHOOSE({1,2,3,4},NĐ!X282,NĐ!AD282,NĐ!AJ282,NĐ!AP282)))</f>
        <v>0</v>
      </c>
      <c r="H282">
        <f>SUMPRODUCT((MONTH(CHOOSE({1,2,3,4},NĐ!U282,NĐ!AA282,NĐ!AG282,NĐ!AM282))=8)*(CHOOSE({1,2,3,4},NĐ!X282,NĐ!AD282,NĐ!AJ282,NĐ!AP282)))</f>
        <v>0</v>
      </c>
      <c r="I282">
        <f>SUMPRODUCT((MONTH(CHOOSE({1,2,3,4},NĐ!U282,NĐ!AA282,NĐ!AG282,NĐ!AM282))=9)*(CHOOSE({1,2,3,4},NĐ!X282,NĐ!AD282,NĐ!AJ282,NĐ!AP282)))</f>
        <v>0</v>
      </c>
      <c r="J282">
        <f>SUMPRODUCT((MONTH(CHOOSE({1,2,3,4},NĐ!U282,NĐ!AA282,NĐ!AG282,NĐ!AM282))=10)*(CHOOSE({1,2,3,4},NĐ!X282,NĐ!AD282,NĐ!AJ282,NĐ!AP282)))</f>
        <v>0</v>
      </c>
      <c r="K282">
        <f>SUMPRODUCT((MONTH(CHOOSE({1,2,3,4},NĐ!U282,NĐ!AA282,NĐ!AG282,NĐ!AM282))=11)*(CHOOSE({1,2,3,4},NĐ!X282,NĐ!AD282,NĐ!AJ282,NĐ!AP282)))</f>
        <v>0</v>
      </c>
      <c r="L282">
        <f>SUMPRODUCT((MONTH(CHOOSE({1,2,3,4},NĐ!U282,NĐ!AA282,NĐ!AG282,NĐ!AM282))=12)*(CHOOSE({1,2,3,4},NĐ!X282,NĐ!AD282,NĐ!AJ282,NĐ!AP282)))</f>
        <v>0</v>
      </c>
    </row>
    <row r="283" spans="1:12">
      <c r="A283">
        <f>SUMPRODUCT((MONTH(CHOOSE({1,2,3,4},NĐ!U283,NĐ!AA283,NĐ!AG283,NĐ!AM283))=1)*(CHOOSE({1,2,3,4},NĐ!X283,NĐ!AD283,NĐ!AJ283,NĐ!AP283)))</f>
        <v>0</v>
      </c>
      <c r="B283">
        <f>SUMPRODUCT((MONTH(CHOOSE({1,2,3,4},NĐ!U283,NĐ!AA283,NĐ!AG283,NĐ!AM283))=2)*(CHOOSE({1,2,3,4},NĐ!X283,NĐ!AD283,NĐ!AJ283,NĐ!AP283)))</f>
        <v>0</v>
      </c>
      <c r="C283">
        <f>SUMPRODUCT((MONTH(CHOOSE({1,2,3,4},NĐ!U283,NĐ!AA283,NĐ!AG283,NĐ!AM283))=3)*(CHOOSE({1,2,3,4},NĐ!X283,NĐ!AD283,NĐ!AJ283,NĐ!AP283)))</f>
        <v>0</v>
      </c>
      <c r="D283">
        <f>SUMPRODUCT((MONTH(CHOOSE({1,2,3,4},NĐ!U283,NĐ!AA283,NĐ!AG283,NĐ!AM283))=4)*(CHOOSE({1,2,3,4},NĐ!X283,NĐ!AD283,NĐ!AJ283,NĐ!AP283)))</f>
        <v>0</v>
      </c>
      <c r="E283">
        <f>SUMPRODUCT((MONTH(CHOOSE({1,2,3,4},NĐ!U283,NĐ!AA283,NĐ!AG283,NĐ!AM283))=5)*(CHOOSE({1,2,3,4},NĐ!X283,NĐ!AD283,NĐ!AJ283,NĐ!AP283)))</f>
        <v>0</v>
      </c>
      <c r="F283">
        <f>SUMPRODUCT((MONTH(CHOOSE({1,2,3,4},NĐ!U283,NĐ!AA283,NĐ!AG283,NĐ!AM283))=6)*(CHOOSE({1,2,3,4},NĐ!X283,NĐ!AD283,NĐ!AJ283,NĐ!AP283)))</f>
        <v>0</v>
      </c>
      <c r="G283">
        <f>SUMPRODUCT((MONTH(CHOOSE({1,2,3,4},NĐ!U283,NĐ!AA283,NĐ!AG283,NĐ!AM283))=7)*(CHOOSE({1,2,3,4},NĐ!X283,NĐ!AD283,NĐ!AJ283,NĐ!AP283)))</f>
        <v>0</v>
      </c>
      <c r="H283">
        <f>SUMPRODUCT((MONTH(CHOOSE({1,2,3,4},NĐ!U283,NĐ!AA283,NĐ!AG283,NĐ!AM283))=8)*(CHOOSE({1,2,3,4},NĐ!X283,NĐ!AD283,NĐ!AJ283,NĐ!AP283)))</f>
        <v>0</v>
      </c>
      <c r="I283">
        <f>SUMPRODUCT((MONTH(CHOOSE({1,2,3,4},NĐ!U283,NĐ!AA283,NĐ!AG283,NĐ!AM283))=9)*(CHOOSE({1,2,3,4},NĐ!X283,NĐ!AD283,NĐ!AJ283,NĐ!AP283)))</f>
        <v>0</v>
      </c>
      <c r="J283">
        <f>SUMPRODUCT((MONTH(CHOOSE({1,2,3,4},NĐ!U283,NĐ!AA283,NĐ!AG283,NĐ!AM283))=10)*(CHOOSE({1,2,3,4},NĐ!X283,NĐ!AD283,NĐ!AJ283,NĐ!AP283)))</f>
        <v>0</v>
      </c>
      <c r="K283">
        <f>SUMPRODUCT((MONTH(CHOOSE({1,2,3,4},NĐ!U283,NĐ!AA283,NĐ!AG283,NĐ!AM283))=11)*(CHOOSE({1,2,3,4},NĐ!X283,NĐ!AD283,NĐ!AJ283,NĐ!AP283)))</f>
        <v>0</v>
      </c>
      <c r="L283">
        <f>SUMPRODUCT((MONTH(CHOOSE({1,2,3,4},NĐ!U283,NĐ!AA283,NĐ!AG283,NĐ!AM283))=12)*(CHOOSE({1,2,3,4},NĐ!X283,NĐ!AD283,NĐ!AJ283,NĐ!AP283)))</f>
        <v>0</v>
      </c>
    </row>
    <row r="284" spans="1:12">
      <c r="A284">
        <f>SUMPRODUCT((MONTH(CHOOSE({1,2,3,4},NĐ!U284,NĐ!AA284,NĐ!AG284,NĐ!AM284))=1)*(CHOOSE({1,2,3,4},NĐ!X284,NĐ!AD284,NĐ!AJ284,NĐ!AP284)))</f>
        <v>0</v>
      </c>
      <c r="B284">
        <f>SUMPRODUCT((MONTH(CHOOSE({1,2,3,4},NĐ!U284,NĐ!AA284,NĐ!AG284,NĐ!AM284))=2)*(CHOOSE({1,2,3,4},NĐ!X284,NĐ!AD284,NĐ!AJ284,NĐ!AP284)))</f>
        <v>0</v>
      </c>
      <c r="C284">
        <f>SUMPRODUCT((MONTH(CHOOSE({1,2,3,4},NĐ!U284,NĐ!AA284,NĐ!AG284,NĐ!AM284))=3)*(CHOOSE({1,2,3,4},NĐ!X284,NĐ!AD284,NĐ!AJ284,NĐ!AP284)))</f>
        <v>0</v>
      </c>
      <c r="D284">
        <f>SUMPRODUCT((MONTH(CHOOSE({1,2,3,4},NĐ!U284,NĐ!AA284,NĐ!AG284,NĐ!AM284))=4)*(CHOOSE({1,2,3,4},NĐ!X284,NĐ!AD284,NĐ!AJ284,NĐ!AP284)))</f>
        <v>0</v>
      </c>
      <c r="E284">
        <f>SUMPRODUCT((MONTH(CHOOSE({1,2,3,4},NĐ!U284,NĐ!AA284,NĐ!AG284,NĐ!AM284))=5)*(CHOOSE({1,2,3,4},NĐ!X284,NĐ!AD284,NĐ!AJ284,NĐ!AP284)))</f>
        <v>0</v>
      </c>
      <c r="F284">
        <f>SUMPRODUCT((MONTH(CHOOSE({1,2,3,4},NĐ!U284,NĐ!AA284,NĐ!AG284,NĐ!AM284))=6)*(CHOOSE({1,2,3,4},NĐ!X284,NĐ!AD284,NĐ!AJ284,NĐ!AP284)))</f>
        <v>0</v>
      </c>
      <c r="G284">
        <f>SUMPRODUCT((MONTH(CHOOSE({1,2,3,4},NĐ!U284,NĐ!AA284,NĐ!AG284,NĐ!AM284))=7)*(CHOOSE({1,2,3,4},NĐ!X284,NĐ!AD284,NĐ!AJ284,NĐ!AP284)))</f>
        <v>0</v>
      </c>
      <c r="H284">
        <f>SUMPRODUCT((MONTH(CHOOSE({1,2,3,4},NĐ!U284,NĐ!AA284,NĐ!AG284,NĐ!AM284))=8)*(CHOOSE({1,2,3,4},NĐ!X284,NĐ!AD284,NĐ!AJ284,NĐ!AP284)))</f>
        <v>0</v>
      </c>
      <c r="I284">
        <f>SUMPRODUCT((MONTH(CHOOSE({1,2,3,4},NĐ!U284,NĐ!AA284,NĐ!AG284,NĐ!AM284))=9)*(CHOOSE({1,2,3,4},NĐ!X284,NĐ!AD284,NĐ!AJ284,NĐ!AP284)))</f>
        <v>0</v>
      </c>
      <c r="J284">
        <f>SUMPRODUCT((MONTH(CHOOSE({1,2,3,4},NĐ!U284,NĐ!AA284,NĐ!AG284,NĐ!AM284))=10)*(CHOOSE({1,2,3,4},NĐ!X284,NĐ!AD284,NĐ!AJ284,NĐ!AP284)))</f>
        <v>0</v>
      </c>
      <c r="K284">
        <f>SUMPRODUCT((MONTH(CHOOSE({1,2,3,4},NĐ!U284,NĐ!AA284,NĐ!AG284,NĐ!AM284))=11)*(CHOOSE({1,2,3,4},NĐ!X284,NĐ!AD284,NĐ!AJ284,NĐ!AP284)))</f>
        <v>0</v>
      </c>
      <c r="L284">
        <f>SUMPRODUCT((MONTH(CHOOSE({1,2,3,4},NĐ!U284,NĐ!AA284,NĐ!AG284,NĐ!AM284))=12)*(CHOOSE({1,2,3,4},NĐ!X284,NĐ!AD284,NĐ!AJ284,NĐ!AP284)))</f>
        <v>0</v>
      </c>
    </row>
    <row r="285" spans="1:12">
      <c r="A285">
        <f>SUMPRODUCT((MONTH(CHOOSE({1,2,3,4},NĐ!U285,NĐ!AA285,NĐ!AG285,NĐ!AM285))=1)*(CHOOSE({1,2,3,4},NĐ!X285,NĐ!AD285,NĐ!AJ285,NĐ!AP285)))</f>
        <v>0</v>
      </c>
      <c r="B285">
        <f>SUMPRODUCT((MONTH(CHOOSE({1,2,3,4},NĐ!U285,NĐ!AA285,NĐ!AG285,NĐ!AM285))=2)*(CHOOSE({1,2,3,4},NĐ!X285,NĐ!AD285,NĐ!AJ285,NĐ!AP285)))</f>
        <v>0</v>
      </c>
      <c r="C285">
        <f>SUMPRODUCT((MONTH(CHOOSE({1,2,3,4},NĐ!U285,NĐ!AA285,NĐ!AG285,NĐ!AM285))=3)*(CHOOSE({1,2,3,4},NĐ!X285,NĐ!AD285,NĐ!AJ285,NĐ!AP285)))</f>
        <v>0</v>
      </c>
      <c r="D285">
        <f>SUMPRODUCT((MONTH(CHOOSE({1,2,3,4},NĐ!U285,NĐ!AA285,NĐ!AG285,NĐ!AM285))=4)*(CHOOSE({1,2,3,4},NĐ!X285,NĐ!AD285,NĐ!AJ285,NĐ!AP285)))</f>
        <v>0</v>
      </c>
      <c r="E285">
        <f>SUMPRODUCT((MONTH(CHOOSE({1,2,3,4},NĐ!U285,NĐ!AA285,NĐ!AG285,NĐ!AM285))=5)*(CHOOSE({1,2,3,4},NĐ!X285,NĐ!AD285,NĐ!AJ285,NĐ!AP285)))</f>
        <v>0</v>
      </c>
      <c r="F285">
        <f>SUMPRODUCT((MONTH(CHOOSE({1,2,3,4},NĐ!U285,NĐ!AA285,NĐ!AG285,NĐ!AM285))=6)*(CHOOSE({1,2,3,4},NĐ!X285,NĐ!AD285,NĐ!AJ285,NĐ!AP285)))</f>
        <v>0</v>
      </c>
      <c r="G285">
        <f>SUMPRODUCT((MONTH(CHOOSE({1,2,3,4},NĐ!U285,NĐ!AA285,NĐ!AG285,NĐ!AM285))=7)*(CHOOSE({1,2,3,4},NĐ!X285,NĐ!AD285,NĐ!AJ285,NĐ!AP285)))</f>
        <v>0</v>
      </c>
      <c r="H285">
        <f>SUMPRODUCT((MONTH(CHOOSE({1,2,3,4},NĐ!U285,NĐ!AA285,NĐ!AG285,NĐ!AM285))=8)*(CHOOSE({1,2,3,4},NĐ!X285,NĐ!AD285,NĐ!AJ285,NĐ!AP285)))</f>
        <v>0</v>
      </c>
      <c r="I285">
        <f>SUMPRODUCT((MONTH(CHOOSE({1,2,3,4},NĐ!U285,NĐ!AA285,NĐ!AG285,NĐ!AM285))=9)*(CHOOSE({1,2,3,4},NĐ!X285,NĐ!AD285,NĐ!AJ285,NĐ!AP285)))</f>
        <v>0</v>
      </c>
      <c r="J285">
        <f>SUMPRODUCT((MONTH(CHOOSE({1,2,3,4},NĐ!U285,NĐ!AA285,NĐ!AG285,NĐ!AM285))=10)*(CHOOSE({1,2,3,4},NĐ!X285,NĐ!AD285,NĐ!AJ285,NĐ!AP285)))</f>
        <v>0</v>
      </c>
      <c r="K285">
        <f>SUMPRODUCT((MONTH(CHOOSE({1,2,3,4},NĐ!U285,NĐ!AA285,NĐ!AG285,NĐ!AM285))=11)*(CHOOSE({1,2,3,4},NĐ!X285,NĐ!AD285,NĐ!AJ285,NĐ!AP285)))</f>
        <v>0</v>
      </c>
      <c r="L285">
        <f>SUMPRODUCT((MONTH(CHOOSE({1,2,3,4},NĐ!U285,NĐ!AA285,NĐ!AG285,NĐ!AM285))=12)*(CHOOSE({1,2,3,4},NĐ!X285,NĐ!AD285,NĐ!AJ285,NĐ!AP285)))</f>
        <v>0</v>
      </c>
    </row>
    <row r="286" spans="1:12">
      <c r="A286">
        <f>SUMPRODUCT((MONTH(CHOOSE({1,2,3,4},NĐ!U286,NĐ!AA286,NĐ!AG286,NĐ!AM286))=1)*(CHOOSE({1,2,3,4},NĐ!X286,NĐ!AD286,NĐ!AJ286,NĐ!AP286)))</f>
        <v>0</v>
      </c>
      <c r="B286">
        <f>SUMPRODUCT((MONTH(CHOOSE({1,2,3,4},NĐ!U286,NĐ!AA286,NĐ!AG286,NĐ!AM286))=2)*(CHOOSE({1,2,3,4},NĐ!X286,NĐ!AD286,NĐ!AJ286,NĐ!AP286)))</f>
        <v>0</v>
      </c>
      <c r="C286">
        <f>SUMPRODUCT((MONTH(CHOOSE({1,2,3,4},NĐ!U286,NĐ!AA286,NĐ!AG286,NĐ!AM286))=3)*(CHOOSE({1,2,3,4},NĐ!X286,NĐ!AD286,NĐ!AJ286,NĐ!AP286)))</f>
        <v>0</v>
      </c>
      <c r="D286">
        <f>SUMPRODUCT((MONTH(CHOOSE({1,2,3,4},NĐ!U286,NĐ!AA286,NĐ!AG286,NĐ!AM286))=4)*(CHOOSE({1,2,3,4},NĐ!X286,NĐ!AD286,NĐ!AJ286,NĐ!AP286)))</f>
        <v>0</v>
      </c>
      <c r="E286">
        <f>SUMPRODUCT((MONTH(CHOOSE({1,2,3,4},NĐ!U286,NĐ!AA286,NĐ!AG286,NĐ!AM286))=5)*(CHOOSE({1,2,3,4},NĐ!X286,NĐ!AD286,NĐ!AJ286,NĐ!AP286)))</f>
        <v>0</v>
      </c>
      <c r="F286">
        <f>SUMPRODUCT((MONTH(CHOOSE({1,2,3,4},NĐ!U286,NĐ!AA286,NĐ!AG286,NĐ!AM286))=6)*(CHOOSE({1,2,3,4},NĐ!X286,NĐ!AD286,NĐ!AJ286,NĐ!AP286)))</f>
        <v>0</v>
      </c>
      <c r="G286">
        <f>SUMPRODUCT((MONTH(CHOOSE({1,2,3,4},NĐ!U286,NĐ!AA286,NĐ!AG286,NĐ!AM286))=7)*(CHOOSE({1,2,3,4},NĐ!X286,NĐ!AD286,NĐ!AJ286,NĐ!AP286)))</f>
        <v>0</v>
      </c>
      <c r="H286">
        <f>SUMPRODUCT((MONTH(CHOOSE({1,2,3,4},NĐ!U286,NĐ!AA286,NĐ!AG286,NĐ!AM286))=8)*(CHOOSE({1,2,3,4},NĐ!X286,NĐ!AD286,NĐ!AJ286,NĐ!AP286)))</f>
        <v>0</v>
      </c>
      <c r="I286">
        <f>SUMPRODUCT((MONTH(CHOOSE({1,2,3,4},NĐ!U286,NĐ!AA286,NĐ!AG286,NĐ!AM286))=9)*(CHOOSE({1,2,3,4},NĐ!X286,NĐ!AD286,NĐ!AJ286,NĐ!AP286)))</f>
        <v>0</v>
      </c>
      <c r="J286">
        <f>SUMPRODUCT((MONTH(CHOOSE({1,2,3,4},NĐ!U286,NĐ!AA286,NĐ!AG286,NĐ!AM286))=10)*(CHOOSE({1,2,3,4},NĐ!X286,NĐ!AD286,NĐ!AJ286,NĐ!AP286)))</f>
        <v>0</v>
      </c>
      <c r="K286">
        <f>SUMPRODUCT((MONTH(CHOOSE({1,2,3,4},NĐ!U286,NĐ!AA286,NĐ!AG286,NĐ!AM286))=11)*(CHOOSE({1,2,3,4},NĐ!X286,NĐ!AD286,NĐ!AJ286,NĐ!AP286)))</f>
        <v>0</v>
      </c>
      <c r="L286">
        <f>SUMPRODUCT((MONTH(CHOOSE({1,2,3,4},NĐ!U286,NĐ!AA286,NĐ!AG286,NĐ!AM286))=12)*(CHOOSE({1,2,3,4},NĐ!X286,NĐ!AD286,NĐ!AJ286,NĐ!AP286)))</f>
        <v>0</v>
      </c>
    </row>
    <row r="287" spans="1:12">
      <c r="A287">
        <f>SUMPRODUCT((MONTH(CHOOSE({1,2,3,4},NĐ!U287,NĐ!AA287,NĐ!AG287,NĐ!AM287))=1)*(CHOOSE({1,2,3,4},NĐ!X287,NĐ!AD287,NĐ!AJ287,NĐ!AP287)))</f>
        <v>0</v>
      </c>
      <c r="B287">
        <f>SUMPRODUCT((MONTH(CHOOSE({1,2,3,4},NĐ!U287,NĐ!AA287,NĐ!AG287,NĐ!AM287))=2)*(CHOOSE({1,2,3,4},NĐ!X287,NĐ!AD287,NĐ!AJ287,NĐ!AP287)))</f>
        <v>0</v>
      </c>
      <c r="C287">
        <f>SUMPRODUCT((MONTH(CHOOSE({1,2,3,4},NĐ!U287,NĐ!AA287,NĐ!AG287,NĐ!AM287))=3)*(CHOOSE({1,2,3,4},NĐ!X287,NĐ!AD287,NĐ!AJ287,NĐ!AP287)))</f>
        <v>0</v>
      </c>
      <c r="D287">
        <f>SUMPRODUCT((MONTH(CHOOSE({1,2,3,4},NĐ!U287,NĐ!AA287,NĐ!AG287,NĐ!AM287))=4)*(CHOOSE({1,2,3,4},NĐ!X287,NĐ!AD287,NĐ!AJ287,NĐ!AP287)))</f>
        <v>0</v>
      </c>
      <c r="E287">
        <f>SUMPRODUCT((MONTH(CHOOSE({1,2,3,4},NĐ!U287,NĐ!AA287,NĐ!AG287,NĐ!AM287))=5)*(CHOOSE({1,2,3,4},NĐ!X287,NĐ!AD287,NĐ!AJ287,NĐ!AP287)))</f>
        <v>0</v>
      </c>
      <c r="F287">
        <f>SUMPRODUCT((MONTH(CHOOSE({1,2,3,4},NĐ!U287,NĐ!AA287,NĐ!AG287,NĐ!AM287))=6)*(CHOOSE({1,2,3,4},NĐ!X287,NĐ!AD287,NĐ!AJ287,NĐ!AP287)))</f>
        <v>0</v>
      </c>
      <c r="G287">
        <f>SUMPRODUCT((MONTH(CHOOSE({1,2,3,4},NĐ!U287,NĐ!AA287,NĐ!AG287,NĐ!AM287))=7)*(CHOOSE({1,2,3,4},NĐ!X287,NĐ!AD287,NĐ!AJ287,NĐ!AP287)))</f>
        <v>0</v>
      </c>
      <c r="H287">
        <f>SUMPRODUCT((MONTH(CHOOSE({1,2,3,4},NĐ!U287,NĐ!AA287,NĐ!AG287,NĐ!AM287))=8)*(CHOOSE({1,2,3,4},NĐ!X287,NĐ!AD287,NĐ!AJ287,NĐ!AP287)))</f>
        <v>0</v>
      </c>
      <c r="I287">
        <f>SUMPRODUCT((MONTH(CHOOSE({1,2,3,4},NĐ!U287,NĐ!AA287,NĐ!AG287,NĐ!AM287))=9)*(CHOOSE({1,2,3,4},NĐ!X287,NĐ!AD287,NĐ!AJ287,NĐ!AP287)))</f>
        <v>0</v>
      </c>
      <c r="J287">
        <f>SUMPRODUCT((MONTH(CHOOSE({1,2,3,4},NĐ!U287,NĐ!AA287,NĐ!AG287,NĐ!AM287))=10)*(CHOOSE({1,2,3,4},NĐ!X287,NĐ!AD287,NĐ!AJ287,NĐ!AP287)))</f>
        <v>0</v>
      </c>
      <c r="K287">
        <f>SUMPRODUCT((MONTH(CHOOSE({1,2,3,4},NĐ!U287,NĐ!AA287,NĐ!AG287,NĐ!AM287))=11)*(CHOOSE({1,2,3,4},NĐ!X287,NĐ!AD287,NĐ!AJ287,NĐ!AP287)))</f>
        <v>0</v>
      </c>
      <c r="L287">
        <f>SUMPRODUCT((MONTH(CHOOSE({1,2,3,4},NĐ!U287,NĐ!AA287,NĐ!AG287,NĐ!AM287))=12)*(CHOOSE({1,2,3,4},NĐ!X287,NĐ!AD287,NĐ!AJ287,NĐ!AP287)))</f>
        <v>0</v>
      </c>
    </row>
    <row r="288" spans="1:12">
      <c r="A288">
        <f>SUMPRODUCT((MONTH(CHOOSE({1,2,3,4},NĐ!U288,NĐ!AA288,NĐ!AG288,NĐ!AM288))=1)*(CHOOSE({1,2,3,4},NĐ!X288,NĐ!AD288,NĐ!AJ288,NĐ!AP288)))</f>
        <v>0</v>
      </c>
      <c r="B288">
        <f>SUMPRODUCT((MONTH(CHOOSE({1,2,3,4},NĐ!U288,NĐ!AA288,NĐ!AG288,NĐ!AM288))=2)*(CHOOSE({1,2,3,4},NĐ!X288,NĐ!AD288,NĐ!AJ288,NĐ!AP288)))</f>
        <v>0</v>
      </c>
      <c r="C288">
        <f>SUMPRODUCT((MONTH(CHOOSE({1,2,3,4},NĐ!U288,NĐ!AA288,NĐ!AG288,NĐ!AM288))=3)*(CHOOSE({1,2,3,4},NĐ!X288,NĐ!AD288,NĐ!AJ288,NĐ!AP288)))</f>
        <v>0</v>
      </c>
      <c r="D288">
        <f>SUMPRODUCT((MONTH(CHOOSE({1,2,3,4},NĐ!U288,NĐ!AA288,NĐ!AG288,NĐ!AM288))=4)*(CHOOSE({1,2,3,4},NĐ!X288,NĐ!AD288,NĐ!AJ288,NĐ!AP288)))</f>
        <v>0</v>
      </c>
      <c r="E288">
        <f>SUMPRODUCT((MONTH(CHOOSE({1,2,3,4},NĐ!U288,NĐ!AA288,NĐ!AG288,NĐ!AM288))=5)*(CHOOSE({1,2,3,4},NĐ!X288,NĐ!AD288,NĐ!AJ288,NĐ!AP288)))</f>
        <v>0</v>
      </c>
      <c r="F288">
        <f>SUMPRODUCT((MONTH(CHOOSE({1,2,3,4},NĐ!U288,NĐ!AA288,NĐ!AG288,NĐ!AM288))=6)*(CHOOSE({1,2,3,4},NĐ!X288,NĐ!AD288,NĐ!AJ288,NĐ!AP288)))</f>
        <v>0</v>
      </c>
      <c r="G288">
        <f>SUMPRODUCT((MONTH(CHOOSE({1,2,3,4},NĐ!U288,NĐ!AA288,NĐ!AG288,NĐ!AM288))=7)*(CHOOSE({1,2,3,4},NĐ!X288,NĐ!AD288,NĐ!AJ288,NĐ!AP288)))</f>
        <v>0</v>
      </c>
      <c r="H288">
        <f>SUMPRODUCT((MONTH(CHOOSE({1,2,3,4},NĐ!U288,NĐ!AA288,NĐ!AG288,NĐ!AM288))=8)*(CHOOSE({1,2,3,4},NĐ!X288,NĐ!AD288,NĐ!AJ288,NĐ!AP288)))</f>
        <v>0</v>
      </c>
      <c r="I288">
        <f>SUMPRODUCT((MONTH(CHOOSE({1,2,3,4},NĐ!U288,NĐ!AA288,NĐ!AG288,NĐ!AM288))=9)*(CHOOSE({1,2,3,4},NĐ!X288,NĐ!AD288,NĐ!AJ288,NĐ!AP288)))</f>
        <v>0</v>
      </c>
      <c r="J288">
        <f>SUMPRODUCT((MONTH(CHOOSE({1,2,3,4},NĐ!U288,NĐ!AA288,NĐ!AG288,NĐ!AM288))=10)*(CHOOSE({1,2,3,4},NĐ!X288,NĐ!AD288,NĐ!AJ288,NĐ!AP288)))</f>
        <v>0</v>
      </c>
      <c r="K288">
        <f>SUMPRODUCT((MONTH(CHOOSE({1,2,3,4},NĐ!U288,NĐ!AA288,NĐ!AG288,NĐ!AM288))=11)*(CHOOSE({1,2,3,4},NĐ!X288,NĐ!AD288,NĐ!AJ288,NĐ!AP288)))</f>
        <v>0</v>
      </c>
      <c r="L288">
        <f>SUMPRODUCT((MONTH(CHOOSE({1,2,3,4},NĐ!U288,NĐ!AA288,NĐ!AG288,NĐ!AM288))=12)*(CHOOSE({1,2,3,4},NĐ!X288,NĐ!AD288,NĐ!AJ288,NĐ!AP288)))</f>
        <v>0</v>
      </c>
    </row>
    <row r="289" spans="1:12">
      <c r="A289">
        <f>SUMPRODUCT((MONTH(CHOOSE({1,2,3,4},NĐ!U289,NĐ!AA289,NĐ!AG289,NĐ!AM289))=1)*(CHOOSE({1,2,3,4},NĐ!X289,NĐ!AD289,NĐ!AJ289,NĐ!AP289)))</f>
        <v>0</v>
      </c>
      <c r="B289">
        <f>SUMPRODUCT((MONTH(CHOOSE({1,2,3,4},NĐ!U289,NĐ!AA289,NĐ!AG289,NĐ!AM289))=2)*(CHOOSE({1,2,3,4},NĐ!X289,NĐ!AD289,NĐ!AJ289,NĐ!AP289)))</f>
        <v>0</v>
      </c>
      <c r="C289">
        <f>SUMPRODUCT((MONTH(CHOOSE({1,2,3,4},NĐ!U289,NĐ!AA289,NĐ!AG289,NĐ!AM289))=3)*(CHOOSE({1,2,3,4},NĐ!X289,NĐ!AD289,NĐ!AJ289,NĐ!AP289)))</f>
        <v>0</v>
      </c>
      <c r="D289">
        <f>SUMPRODUCT((MONTH(CHOOSE({1,2,3,4},NĐ!U289,NĐ!AA289,NĐ!AG289,NĐ!AM289))=4)*(CHOOSE({1,2,3,4},NĐ!X289,NĐ!AD289,NĐ!AJ289,NĐ!AP289)))</f>
        <v>0</v>
      </c>
      <c r="E289">
        <f>SUMPRODUCT((MONTH(CHOOSE({1,2,3,4},NĐ!U289,NĐ!AA289,NĐ!AG289,NĐ!AM289))=5)*(CHOOSE({1,2,3,4},NĐ!X289,NĐ!AD289,NĐ!AJ289,NĐ!AP289)))</f>
        <v>0</v>
      </c>
      <c r="F289">
        <f>SUMPRODUCT((MONTH(CHOOSE({1,2,3,4},NĐ!U289,NĐ!AA289,NĐ!AG289,NĐ!AM289))=6)*(CHOOSE({1,2,3,4},NĐ!X289,NĐ!AD289,NĐ!AJ289,NĐ!AP289)))</f>
        <v>0</v>
      </c>
      <c r="G289">
        <f>SUMPRODUCT((MONTH(CHOOSE({1,2,3,4},NĐ!U289,NĐ!AA289,NĐ!AG289,NĐ!AM289))=7)*(CHOOSE({1,2,3,4},NĐ!X289,NĐ!AD289,NĐ!AJ289,NĐ!AP289)))</f>
        <v>0</v>
      </c>
      <c r="H289">
        <f>SUMPRODUCT((MONTH(CHOOSE({1,2,3,4},NĐ!U289,NĐ!AA289,NĐ!AG289,NĐ!AM289))=8)*(CHOOSE({1,2,3,4},NĐ!X289,NĐ!AD289,NĐ!AJ289,NĐ!AP289)))</f>
        <v>0</v>
      </c>
      <c r="I289">
        <f>SUMPRODUCT((MONTH(CHOOSE({1,2,3,4},NĐ!U289,NĐ!AA289,NĐ!AG289,NĐ!AM289))=9)*(CHOOSE({1,2,3,4},NĐ!X289,NĐ!AD289,NĐ!AJ289,NĐ!AP289)))</f>
        <v>0</v>
      </c>
      <c r="J289">
        <f>SUMPRODUCT((MONTH(CHOOSE({1,2,3,4},NĐ!U289,NĐ!AA289,NĐ!AG289,NĐ!AM289))=10)*(CHOOSE({1,2,3,4},NĐ!X289,NĐ!AD289,NĐ!AJ289,NĐ!AP289)))</f>
        <v>0</v>
      </c>
      <c r="K289">
        <f>SUMPRODUCT((MONTH(CHOOSE({1,2,3,4},NĐ!U289,NĐ!AA289,NĐ!AG289,NĐ!AM289))=11)*(CHOOSE({1,2,3,4},NĐ!X289,NĐ!AD289,NĐ!AJ289,NĐ!AP289)))</f>
        <v>0</v>
      </c>
      <c r="L289">
        <f>SUMPRODUCT((MONTH(CHOOSE({1,2,3,4},NĐ!U289,NĐ!AA289,NĐ!AG289,NĐ!AM289))=12)*(CHOOSE({1,2,3,4},NĐ!X289,NĐ!AD289,NĐ!AJ289,NĐ!AP289)))</f>
        <v>0</v>
      </c>
    </row>
    <row r="290" spans="1:12">
      <c r="A290">
        <f>SUMPRODUCT((MONTH(CHOOSE({1,2,3,4},NĐ!U290,NĐ!AA290,NĐ!AG290,NĐ!AM290))=1)*(CHOOSE({1,2,3,4},NĐ!X290,NĐ!AD290,NĐ!AJ290,NĐ!AP290)))</f>
        <v>0</v>
      </c>
      <c r="B290">
        <f>SUMPRODUCT((MONTH(CHOOSE({1,2,3,4},NĐ!U290,NĐ!AA290,NĐ!AG290,NĐ!AM290))=2)*(CHOOSE({1,2,3,4},NĐ!X290,NĐ!AD290,NĐ!AJ290,NĐ!AP290)))</f>
        <v>0</v>
      </c>
      <c r="C290">
        <f>SUMPRODUCT((MONTH(CHOOSE({1,2,3,4},NĐ!U290,NĐ!AA290,NĐ!AG290,NĐ!AM290))=3)*(CHOOSE({1,2,3,4},NĐ!X290,NĐ!AD290,NĐ!AJ290,NĐ!AP290)))</f>
        <v>0</v>
      </c>
      <c r="D290">
        <f>SUMPRODUCT((MONTH(CHOOSE({1,2,3,4},NĐ!U290,NĐ!AA290,NĐ!AG290,NĐ!AM290))=4)*(CHOOSE({1,2,3,4},NĐ!X290,NĐ!AD290,NĐ!AJ290,NĐ!AP290)))</f>
        <v>0</v>
      </c>
      <c r="E290">
        <f>SUMPRODUCT((MONTH(CHOOSE({1,2,3,4},NĐ!U290,NĐ!AA290,NĐ!AG290,NĐ!AM290))=5)*(CHOOSE({1,2,3,4},NĐ!X290,NĐ!AD290,NĐ!AJ290,NĐ!AP290)))</f>
        <v>0</v>
      </c>
      <c r="F290">
        <f>SUMPRODUCT((MONTH(CHOOSE({1,2,3,4},NĐ!U290,NĐ!AA290,NĐ!AG290,NĐ!AM290))=6)*(CHOOSE({1,2,3,4},NĐ!X290,NĐ!AD290,NĐ!AJ290,NĐ!AP290)))</f>
        <v>0</v>
      </c>
      <c r="G290">
        <f>SUMPRODUCT((MONTH(CHOOSE({1,2,3,4},NĐ!U290,NĐ!AA290,NĐ!AG290,NĐ!AM290))=7)*(CHOOSE({1,2,3,4},NĐ!X290,NĐ!AD290,NĐ!AJ290,NĐ!AP290)))</f>
        <v>0</v>
      </c>
      <c r="H290">
        <f>SUMPRODUCT((MONTH(CHOOSE({1,2,3,4},NĐ!U290,NĐ!AA290,NĐ!AG290,NĐ!AM290))=8)*(CHOOSE({1,2,3,4},NĐ!X290,NĐ!AD290,NĐ!AJ290,NĐ!AP290)))</f>
        <v>0</v>
      </c>
      <c r="I290">
        <f>SUMPRODUCT((MONTH(CHOOSE({1,2,3,4},NĐ!U290,NĐ!AA290,NĐ!AG290,NĐ!AM290))=9)*(CHOOSE({1,2,3,4},NĐ!X290,NĐ!AD290,NĐ!AJ290,NĐ!AP290)))</f>
        <v>0</v>
      </c>
      <c r="J290">
        <f>SUMPRODUCT((MONTH(CHOOSE({1,2,3,4},NĐ!U290,NĐ!AA290,NĐ!AG290,NĐ!AM290))=10)*(CHOOSE({1,2,3,4},NĐ!X290,NĐ!AD290,NĐ!AJ290,NĐ!AP290)))</f>
        <v>0</v>
      </c>
      <c r="K290">
        <f>SUMPRODUCT((MONTH(CHOOSE({1,2,3,4},NĐ!U290,NĐ!AA290,NĐ!AG290,NĐ!AM290))=11)*(CHOOSE({1,2,3,4},NĐ!X290,NĐ!AD290,NĐ!AJ290,NĐ!AP290)))</f>
        <v>0</v>
      </c>
      <c r="L290">
        <f>SUMPRODUCT((MONTH(CHOOSE({1,2,3,4},NĐ!U290,NĐ!AA290,NĐ!AG290,NĐ!AM290))=12)*(CHOOSE({1,2,3,4},NĐ!X290,NĐ!AD290,NĐ!AJ290,NĐ!AP290)))</f>
        <v>0</v>
      </c>
    </row>
    <row r="291" spans="1:12">
      <c r="A291">
        <f>SUMPRODUCT((MONTH(CHOOSE({1,2,3,4},NĐ!U291,NĐ!AA291,NĐ!AG291,NĐ!AM291))=1)*(CHOOSE({1,2,3,4},NĐ!X291,NĐ!AD291,NĐ!AJ291,NĐ!AP291)))</f>
        <v>0</v>
      </c>
      <c r="B291">
        <f>SUMPRODUCT((MONTH(CHOOSE({1,2,3,4},NĐ!U291,NĐ!AA291,NĐ!AG291,NĐ!AM291))=2)*(CHOOSE({1,2,3,4},NĐ!X291,NĐ!AD291,NĐ!AJ291,NĐ!AP291)))</f>
        <v>0</v>
      </c>
      <c r="C291">
        <f>SUMPRODUCT((MONTH(CHOOSE({1,2,3,4},NĐ!U291,NĐ!AA291,NĐ!AG291,NĐ!AM291))=3)*(CHOOSE({1,2,3,4},NĐ!X291,NĐ!AD291,NĐ!AJ291,NĐ!AP291)))</f>
        <v>0</v>
      </c>
      <c r="D291">
        <f>SUMPRODUCT((MONTH(CHOOSE({1,2,3,4},NĐ!U291,NĐ!AA291,NĐ!AG291,NĐ!AM291))=4)*(CHOOSE({1,2,3,4},NĐ!X291,NĐ!AD291,NĐ!AJ291,NĐ!AP291)))</f>
        <v>0</v>
      </c>
      <c r="E291">
        <f>SUMPRODUCT((MONTH(CHOOSE({1,2,3,4},NĐ!U291,NĐ!AA291,NĐ!AG291,NĐ!AM291))=5)*(CHOOSE({1,2,3,4},NĐ!X291,NĐ!AD291,NĐ!AJ291,NĐ!AP291)))</f>
        <v>0</v>
      </c>
      <c r="F291">
        <f>SUMPRODUCT((MONTH(CHOOSE({1,2,3,4},NĐ!U291,NĐ!AA291,NĐ!AG291,NĐ!AM291))=6)*(CHOOSE({1,2,3,4},NĐ!X291,NĐ!AD291,NĐ!AJ291,NĐ!AP291)))</f>
        <v>0</v>
      </c>
      <c r="G291">
        <f>SUMPRODUCT((MONTH(CHOOSE({1,2,3,4},NĐ!U291,NĐ!AA291,NĐ!AG291,NĐ!AM291))=7)*(CHOOSE({1,2,3,4},NĐ!X291,NĐ!AD291,NĐ!AJ291,NĐ!AP291)))</f>
        <v>0</v>
      </c>
      <c r="H291">
        <f>SUMPRODUCT((MONTH(CHOOSE({1,2,3,4},NĐ!U291,NĐ!AA291,NĐ!AG291,NĐ!AM291))=8)*(CHOOSE({1,2,3,4},NĐ!X291,NĐ!AD291,NĐ!AJ291,NĐ!AP291)))</f>
        <v>0</v>
      </c>
      <c r="I291">
        <f>SUMPRODUCT((MONTH(CHOOSE({1,2,3,4},NĐ!U291,NĐ!AA291,NĐ!AG291,NĐ!AM291))=9)*(CHOOSE({1,2,3,4},NĐ!X291,NĐ!AD291,NĐ!AJ291,NĐ!AP291)))</f>
        <v>0</v>
      </c>
      <c r="J291">
        <f>SUMPRODUCT((MONTH(CHOOSE({1,2,3,4},NĐ!U291,NĐ!AA291,NĐ!AG291,NĐ!AM291))=10)*(CHOOSE({1,2,3,4},NĐ!X291,NĐ!AD291,NĐ!AJ291,NĐ!AP291)))</f>
        <v>0</v>
      </c>
      <c r="K291">
        <f>SUMPRODUCT((MONTH(CHOOSE({1,2,3,4},NĐ!U291,NĐ!AA291,NĐ!AG291,NĐ!AM291))=11)*(CHOOSE({1,2,3,4},NĐ!X291,NĐ!AD291,NĐ!AJ291,NĐ!AP291)))</f>
        <v>0</v>
      </c>
      <c r="L291">
        <f>SUMPRODUCT((MONTH(CHOOSE({1,2,3,4},NĐ!U291,NĐ!AA291,NĐ!AG291,NĐ!AM291))=12)*(CHOOSE({1,2,3,4},NĐ!X291,NĐ!AD291,NĐ!AJ291,NĐ!AP291)))</f>
        <v>0</v>
      </c>
    </row>
    <row r="292" spans="1:12">
      <c r="A292">
        <f>SUMPRODUCT((MONTH(CHOOSE({1,2,3,4},NĐ!U292,NĐ!AA292,NĐ!AG292,NĐ!AM292))=1)*(CHOOSE({1,2,3,4},NĐ!X292,NĐ!AD292,NĐ!AJ292,NĐ!AP292)))</f>
        <v>0</v>
      </c>
      <c r="B292">
        <f>SUMPRODUCT((MONTH(CHOOSE({1,2,3,4},NĐ!U292,NĐ!AA292,NĐ!AG292,NĐ!AM292))=2)*(CHOOSE({1,2,3,4},NĐ!X292,NĐ!AD292,NĐ!AJ292,NĐ!AP292)))</f>
        <v>0</v>
      </c>
      <c r="C292">
        <f>SUMPRODUCT((MONTH(CHOOSE({1,2,3,4},NĐ!U292,NĐ!AA292,NĐ!AG292,NĐ!AM292))=3)*(CHOOSE({1,2,3,4},NĐ!X292,NĐ!AD292,NĐ!AJ292,NĐ!AP292)))</f>
        <v>0</v>
      </c>
      <c r="D292">
        <f>SUMPRODUCT((MONTH(CHOOSE({1,2,3,4},NĐ!U292,NĐ!AA292,NĐ!AG292,NĐ!AM292))=4)*(CHOOSE({1,2,3,4},NĐ!X292,NĐ!AD292,NĐ!AJ292,NĐ!AP292)))</f>
        <v>0</v>
      </c>
      <c r="E292">
        <f>SUMPRODUCT((MONTH(CHOOSE({1,2,3,4},NĐ!U292,NĐ!AA292,NĐ!AG292,NĐ!AM292))=5)*(CHOOSE({1,2,3,4},NĐ!X292,NĐ!AD292,NĐ!AJ292,NĐ!AP292)))</f>
        <v>0</v>
      </c>
      <c r="F292">
        <f>SUMPRODUCT((MONTH(CHOOSE({1,2,3,4},NĐ!U292,NĐ!AA292,NĐ!AG292,NĐ!AM292))=6)*(CHOOSE({1,2,3,4},NĐ!X292,NĐ!AD292,NĐ!AJ292,NĐ!AP292)))</f>
        <v>0</v>
      </c>
      <c r="G292">
        <f>SUMPRODUCT((MONTH(CHOOSE({1,2,3,4},NĐ!U292,NĐ!AA292,NĐ!AG292,NĐ!AM292))=7)*(CHOOSE({1,2,3,4},NĐ!X292,NĐ!AD292,NĐ!AJ292,NĐ!AP292)))</f>
        <v>0</v>
      </c>
      <c r="H292">
        <f>SUMPRODUCT((MONTH(CHOOSE({1,2,3,4},NĐ!U292,NĐ!AA292,NĐ!AG292,NĐ!AM292))=8)*(CHOOSE({1,2,3,4},NĐ!X292,NĐ!AD292,NĐ!AJ292,NĐ!AP292)))</f>
        <v>0</v>
      </c>
      <c r="I292">
        <f>SUMPRODUCT((MONTH(CHOOSE({1,2,3,4},NĐ!U292,NĐ!AA292,NĐ!AG292,NĐ!AM292))=9)*(CHOOSE({1,2,3,4},NĐ!X292,NĐ!AD292,NĐ!AJ292,NĐ!AP292)))</f>
        <v>0</v>
      </c>
      <c r="J292">
        <f>SUMPRODUCT((MONTH(CHOOSE({1,2,3,4},NĐ!U292,NĐ!AA292,NĐ!AG292,NĐ!AM292))=10)*(CHOOSE({1,2,3,4},NĐ!X292,NĐ!AD292,NĐ!AJ292,NĐ!AP292)))</f>
        <v>0</v>
      </c>
      <c r="K292">
        <f>SUMPRODUCT((MONTH(CHOOSE({1,2,3,4},NĐ!U292,NĐ!AA292,NĐ!AG292,NĐ!AM292))=11)*(CHOOSE({1,2,3,4},NĐ!X292,NĐ!AD292,NĐ!AJ292,NĐ!AP292)))</f>
        <v>0</v>
      </c>
      <c r="L292">
        <f>SUMPRODUCT((MONTH(CHOOSE({1,2,3,4},NĐ!U292,NĐ!AA292,NĐ!AG292,NĐ!AM292))=12)*(CHOOSE({1,2,3,4},NĐ!X292,NĐ!AD292,NĐ!AJ292,NĐ!AP292)))</f>
        <v>0</v>
      </c>
    </row>
    <row r="293" spans="1:12">
      <c r="A293">
        <f>SUMPRODUCT((MONTH(CHOOSE({1,2,3,4},NĐ!U293,NĐ!AA293,NĐ!AG293,NĐ!AM293))=1)*(CHOOSE({1,2,3,4},NĐ!X293,NĐ!AD293,NĐ!AJ293,NĐ!AP293)))</f>
        <v>0</v>
      </c>
      <c r="B293">
        <f>SUMPRODUCT((MONTH(CHOOSE({1,2,3,4},NĐ!U293,NĐ!AA293,NĐ!AG293,NĐ!AM293))=2)*(CHOOSE({1,2,3,4},NĐ!X293,NĐ!AD293,NĐ!AJ293,NĐ!AP293)))</f>
        <v>0</v>
      </c>
      <c r="C293">
        <f>SUMPRODUCT((MONTH(CHOOSE({1,2,3,4},NĐ!U293,NĐ!AA293,NĐ!AG293,NĐ!AM293))=3)*(CHOOSE({1,2,3,4},NĐ!X293,NĐ!AD293,NĐ!AJ293,NĐ!AP293)))</f>
        <v>0</v>
      </c>
      <c r="D293">
        <f>SUMPRODUCT((MONTH(CHOOSE({1,2,3,4},NĐ!U293,NĐ!AA293,NĐ!AG293,NĐ!AM293))=4)*(CHOOSE({1,2,3,4},NĐ!X293,NĐ!AD293,NĐ!AJ293,NĐ!AP293)))</f>
        <v>0</v>
      </c>
      <c r="E293">
        <f>SUMPRODUCT((MONTH(CHOOSE({1,2,3,4},NĐ!U293,NĐ!AA293,NĐ!AG293,NĐ!AM293))=5)*(CHOOSE({1,2,3,4},NĐ!X293,NĐ!AD293,NĐ!AJ293,NĐ!AP293)))</f>
        <v>0</v>
      </c>
      <c r="F293">
        <f>SUMPRODUCT((MONTH(CHOOSE({1,2,3,4},NĐ!U293,NĐ!AA293,NĐ!AG293,NĐ!AM293))=6)*(CHOOSE({1,2,3,4},NĐ!X293,NĐ!AD293,NĐ!AJ293,NĐ!AP293)))</f>
        <v>0</v>
      </c>
      <c r="G293">
        <f>SUMPRODUCT((MONTH(CHOOSE({1,2,3,4},NĐ!U293,NĐ!AA293,NĐ!AG293,NĐ!AM293))=7)*(CHOOSE({1,2,3,4},NĐ!X293,NĐ!AD293,NĐ!AJ293,NĐ!AP293)))</f>
        <v>0</v>
      </c>
      <c r="H293">
        <f>SUMPRODUCT((MONTH(CHOOSE({1,2,3,4},NĐ!U293,NĐ!AA293,NĐ!AG293,NĐ!AM293))=8)*(CHOOSE({1,2,3,4},NĐ!X293,NĐ!AD293,NĐ!AJ293,NĐ!AP293)))</f>
        <v>0</v>
      </c>
      <c r="I293">
        <f>SUMPRODUCT((MONTH(CHOOSE({1,2,3,4},NĐ!U293,NĐ!AA293,NĐ!AG293,NĐ!AM293))=9)*(CHOOSE({1,2,3,4},NĐ!X293,NĐ!AD293,NĐ!AJ293,NĐ!AP293)))</f>
        <v>0</v>
      </c>
      <c r="J293">
        <f>SUMPRODUCT((MONTH(CHOOSE({1,2,3,4},NĐ!U293,NĐ!AA293,NĐ!AG293,NĐ!AM293))=10)*(CHOOSE({1,2,3,4},NĐ!X293,NĐ!AD293,NĐ!AJ293,NĐ!AP293)))</f>
        <v>0</v>
      </c>
      <c r="K293">
        <f>SUMPRODUCT((MONTH(CHOOSE({1,2,3,4},NĐ!U293,NĐ!AA293,NĐ!AG293,NĐ!AM293))=11)*(CHOOSE({1,2,3,4},NĐ!X293,NĐ!AD293,NĐ!AJ293,NĐ!AP293)))</f>
        <v>0</v>
      </c>
      <c r="L293">
        <f>SUMPRODUCT((MONTH(CHOOSE({1,2,3,4},NĐ!U293,NĐ!AA293,NĐ!AG293,NĐ!AM293))=12)*(CHOOSE({1,2,3,4},NĐ!X293,NĐ!AD293,NĐ!AJ293,NĐ!AP293)))</f>
        <v>0</v>
      </c>
    </row>
    <row r="294" spans="1:12">
      <c r="A294">
        <f>SUMPRODUCT((MONTH(CHOOSE({1,2,3,4},NĐ!U294,NĐ!AA294,NĐ!AG294,NĐ!AM294))=1)*(CHOOSE({1,2,3,4},NĐ!X294,NĐ!AD294,NĐ!AJ294,NĐ!AP294)))</f>
        <v>0</v>
      </c>
      <c r="B294">
        <f>SUMPRODUCT((MONTH(CHOOSE({1,2,3,4},NĐ!U294,NĐ!AA294,NĐ!AG294,NĐ!AM294))=2)*(CHOOSE({1,2,3,4},NĐ!X294,NĐ!AD294,NĐ!AJ294,NĐ!AP294)))</f>
        <v>0</v>
      </c>
      <c r="C294">
        <f>SUMPRODUCT((MONTH(CHOOSE({1,2,3,4},NĐ!U294,NĐ!AA294,NĐ!AG294,NĐ!AM294))=3)*(CHOOSE({1,2,3,4},NĐ!X294,NĐ!AD294,NĐ!AJ294,NĐ!AP294)))</f>
        <v>0</v>
      </c>
      <c r="D294">
        <f>SUMPRODUCT((MONTH(CHOOSE({1,2,3,4},NĐ!U294,NĐ!AA294,NĐ!AG294,NĐ!AM294))=4)*(CHOOSE({1,2,3,4},NĐ!X294,NĐ!AD294,NĐ!AJ294,NĐ!AP294)))</f>
        <v>0</v>
      </c>
      <c r="E294">
        <f>SUMPRODUCT((MONTH(CHOOSE({1,2,3,4},NĐ!U294,NĐ!AA294,NĐ!AG294,NĐ!AM294))=5)*(CHOOSE({1,2,3,4},NĐ!X294,NĐ!AD294,NĐ!AJ294,NĐ!AP294)))</f>
        <v>0</v>
      </c>
      <c r="F294">
        <f>SUMPRODUCT((MONTH(CHOOSE({1,2,3,4},NĐ!U294,NĐ!AA294,NĐ!AG294,NĐ!AM294))=6)*(CHOOSE({1,2,3,4},NĐ!X294,NĐ!AD294,NĐ!AJ294,NĐ!AP294)))</f>
        <v>0</v>
      </c>
      <c r="G294">
        <f>SUMPRODUCT((MONTH(CHOOSE({1,2,3,4},NĐ!U294,NĐ!AA294,NĐ!AG294,NĐ!AM294))=7)*(CHOOSE({1,2,3,4},NĐ!X294,NĐ!AD294,NĐ!AJ294,NĐ!AP294)))</f>
        <v>0</v>
      </c>
      <c r="H294">
        <f>SUMPRODUCT((MONTH(CHOOSE({1,2,3,4},NĐ!U294,NĐ!AA294,NĐ!AG294,NĐ!AM294))=8)*(CHOOSE({1,2,3,4},NĐ!X294,NĐ!AD294,NĐ!AJ294,NĐ!AP294)))</f>
        <v>0</v>
      </c>
      <c r="I294">
        <f>SUMPRODUCT((MONTH(CHOOSE({1,2,3,4},NĐ!U294,NĐ!AA294,NĐ!AG294,NĐ!AM294))=9)*(CHOOSE({1,2,3,4},NĐ!X294,NĐ!AD294,NĐ!AJ294,NĐ!AP294)))</f>
        <v>0</v>
      </c>
      <c r="J294">
        <f>SUMPRODUCT((MONTH(CHOOSE({1,2,3,4},NĐ!U294,NĐ!AA294,NĐ!AG294,NĐ!AM294))=10)*(CHOOSE({1,2,3,4},NĐ!X294,NĐ!AD294,NĐ!AJ294,NĐ!AP294)))</f>
        <v>0</v>
      </c>
      <c r="K294">
        <f>SUMPRODUCT((MONTH(CHOOSE({1,2,3,4},NĐ!U294,NĐ!AA294,NĐ!AG294,NĐ!AM294))=11)*(CHOOSE({1,2,3,4},NĐ!X294,NĐ!AD294,NĐ!AJ294,NĐ!AP294)))</f>
        <v>0</v>
      </c>
      <c r="L294">
        <f>SUMPRODUCT((MONTH(CHOOSE({1,2,3,4},NĐ!U294,NĐ!AA294,NĐ!AG294,NĐ!AM294))=12)*(CHOOSE({1,2,3,4},NĐ!X294,NĐ!AD294,NĐ!AJ294,NĐ!AP294)))</f>
        <v>0</v>
      </c>
    </row>
    <row r="295" spans="1:12">
      <c r="A295">
        <f>SUMPRODUCT((MONTH(CHOOSE({1,2,3,4},NĐ!U295,NĐ!AA295,NĐ!AG295,NĐ!AM295))=1)*(CHOOSE({1,2,3,4},NĐ!X295,NĐ!AD295,NĐ!AJ295,NĐ!AP295)))</f>
        <v>0</v>
      </c>
      <c r="B295">
        <f>SUMPRODUCT((MONTH(CHOOSE({1,2,3,4},NĐ!U295,NĐ!AA295,NĐ!AG295,NĐ!AM295))=2)*(CHOOSE({1,2,3,4},NĐ!X295,NĐ!AD295,NĐ!AJ295,NĐ!AP295)))</f>
        <v>0</v>
      </c>
      <c r="C295">
        <f>SUMPRODUCT((MONTH(CHOOSE({1,2,3,4},NĐ!U295,NĐ!AA295,NĐ!AG295,NĐ!AM295))=3)*(CHOOSE({1,2,3,4},NĐ!X295,NĐ!AD295,NĐ!AJ295,NĐ!AP295)))</f>
        <v>0</v>
      </c>
      <c r="D295">
        <f>SUMPRODUCT((MONTH(CHOOSE({1,2,3,4},NĐ!U295,NĐ!AA295,NĐ!AG295,NĐ!AM295))=4)*(CHOOSE({1,2,3,4},NĐ!X295,NĐ!AD295,NĐ!AJ295,NĐ!AP295)))</f>
        <v>0</v>
      </c>
      <c r="E295">
        <f>SUMPRODUCT((MONTH(CHOOSE({1,2,3,4},NĐ!U295,NĐ!AA295,NĐ!AG295,NĐ!AM295))=5)*(CHOOSE({1,2,3,4},NĐ!X295,NĐ!AD295,NĐ!AJ295,NĐ!AP295)))</f>
        <v>0</v>
      </c>
      <c r="F295">
        <f>SUMPRODUCT((MONTH(CHOOSE({1,2,3,4},NĐ!U295,NĐ!AA295,NĐ!AG295,NĐ!AM295))=6)*(CHOOSE({1,2,3,4},NĐ!X295,NĐ!AD295,NĐ!AJ295,NĐ!AP295)))</f>
        <v>0</v>
      </c>
      <c r="G295">
        <f>SUMPRODUCT((MONTH(CHOOSE({1,2,3,4},NĐ!U295,NĐ!AA295,NĐ!AG295,NĐ!AM295))=7)*(CHOOSE({1,2,3,4},NĐ!X295,NĐ!AD295,NĐ!AJ295,NĐ!AP295)))</f>
        <v>0</v>
      </c>
      <c r="H295">
        <f>SUMPRODUCT((MONTH(CHOOSE({1,2,3,4},NĐ!U295,NĐ!AA295,NĐ!AG295,NĐ!AM295))=8)*(CHOOSE({1,2,3,4},NĐ!X295,NĐ!AD295,NĐ!AJ295,NĐ!AP295)))</f>
        <v>0</v>
      </c>
      <c r="I295">
        <f>SUMPRODUCT((MONTH(CHOOSE({1,2,3,4},NĐ!U295,NĐ!AA295,NĐ!AG295,NĐ!AM295))=9)*(CHOOSE({1,2,3,4},NĐ!X295,NĐ!AD295,NĐ!AJ295,NĐ!AP295)))</f>
        <v>0</v>
      </c>
      <c r="J295">
        <f>SUMPRODUCT((MONTH(CHOOSE({1,2,3,4},NĐ!U295,NĐ!AA295,NĐ!AG295,NĐ!AM295))=10)*(CHOOSE({1,2,3,4},NĐ!X295,NĐ!AD295,NĐ!AJ295,NĐ!AP295)))</f>
        <v>0</v>
      </c>
      <c r="K295">
        <f>SUMPRODUCT((MONTH(CHOOSE({1,2,3,4},NĐ!U295,NĐ!AA295,NĐ!AG295,NĐ!AM295))=11)*(CHOOSE({1,2,3,4},NĐ!X295,NĐ!AD295,NĐ!AJ295,NĐ!AP295)))</f>
        <v>0</v>
      </c>
      <c r="L295">
        <f>SUMPRODUCT((MONTH(CHOOSE({1,2,3,4},NĐ!U295,NĐ!AA295,NĐ!AG295,NĐ!AM295))=12)*(CHOOSE({1,2,3,4},NĐ!X295,NĐ!AD295,NĐ!AJ295,NĐ!AP295)))</f>
        <v>0</v>
      </c>
    </row>
    <row r="296" spans="1:12">
      <c r="A296">
        <f>SUMPRODUCT((MONTH(CHOOSE({1,2,3,4},NĐ!U296,NĐ!AA296,NĐ!AG296,NĐ!AM296))=1)*(CHOOSE({1,2,3,4},NĐ!X296,NĐ!AD296,NĐ!AJ296,NĐ!AP296)))</f>
        <v>0</v>
      </c>
      <c r="B296">
        <f>SUMPRODUCT((MONTH(CHOOSE({1,2,3,4},NĐ!U296,NĐ!AA296,NĐ!AG296,NĐ!AM296))=2)*(CHOOSE({1,2,3,4},NĐ!X296,NĐ!AD296,NĐ!AJ296,NĐ!AP296)))</f>
        <v>0</v>
      </c>
      <c r="C296">
        <f>SUMPRODUCT((MONTH(CHOOSE({1,2,3,4},NĐ!U296,NĐ!AA296,NĐ!AG296,NĐ!AM296))=3)*(CHOOSE({1,2,3,4},NĐ!X296,NĐ!AD296,NĐ!AJ296,NĐ!AP296)))</f>
        <v>0</v>
      </c>
      <c r="D296">
        <f>SUMPRODUCT((MONTH(CHOOSE({1,2,3,4},NĐ!U296,NĐ!AA296,NĐ!AG296,NĐ!AM296))=4)*(CHOOSE({1,2,3,4},NĐ!X296,NĐ!AD296,NĐ!AJ296,NĐ!AP296)))</f>
        <v>0</v>
      </c>
      <c r="E296">
        <f>SUMPRODUCT((MONTH(CHOOSE({1,2,3,4},NĐ!U296,NĐ!AA296,NĐ!AG296,NĐ!AM296))=5)*(CHOOSE({1,2,3,4},NĐ!X296,NĐ!AD296,NĐ!AJ296,NĐ!AP296)))</f>
        <v>0</v>
      </c>
      <c r="F296">
        <f>SUMPRODUCT((MONTH(CHOOSE({1,2,3,4},NĐ!U296,NĐ!AA296,NĐ!AG296,NĐ!AM296))=6)*(CHOOSE({1,2,3,4},NĐ!X296,NĐ!AD296,NĐ!AJ296,NĐ!AP296)))</f>
        <v>0</v>
      </c>
      <c r="G296">
        <f>SUMPRODUCT((MONTH(CHOOSE({1,2,3,4},NĐ!U296,NĐ!AA296,NĐ!AG296,NĐ!AM296))=7)*(CHOOSE({1,2,3,4},NĐ!X296,NĐ!AD296,NĐ!AJ296,NĐ!AP296)))</f>
        <v>0</v>
      </c>
      <c r="H296">
        <f>SUMPRODUCT((MONTH(CHOOSE({1,2,3,4},NĐ!U296,NĐ!AA296,NĐ!AG296,NĐ!AM296))=8)*(CHOOSE({1,2,3,4},NĐ!X296,NĐ!AD296,NĐ!AJ296,NĐ!AP296)))</f>
        <v>0</v>
      </c>
      <c r="I296">
        <f>SUMPRODUCT((MONTH(CHOOSE({1,2,3,4},NĐ!U296,NĐ!AA296,NĐ!AG296,NĐ!AM296))=9)*(CHOOSE({1,2,3,4},NĐ!X296,NĐ!AD296,NĐ!AJ296,NĐ!AP296)))</f>
        <v>0</v>
      </c>
      <c r="J296">
        <f>SUMPRODUCT((MONTH(CHOOSE({1,2,3,4},NĐ!U296,NĐ!AA296,NĐ!AG296,NĐ!AM296))=10)*(CHOOSE({1,2,3,4},NĐ!X296,NĐ!AD296,NĐ!AJ296,NĐ!AP296)))</f>
        <v>0</v>
      </c>
      <c r="K296">
        <f>SUMPRODUCT((MONTH(CHOOSE({1,2,3,4},NĐ!U296,NĐ!AA296,NĐ!AG296,NĐ!AM296))=11)*(CHOOSE({1,2,3,4},NĐ!X296,NĐ!AD296,NĐ!AJ296,NĐ!AP296)))</f>
        <v>0</v>
      </c>
      <c r="L296">
        <f>SUMPRODUCT((MONTH(CHOOSE({1,2,3,4},NĐ!U296,NĐ!AA296,NĐ!AG296,NĐ!AM296))=12)*(CHOOSE({1,2,3,4},NĐ!X296,NĐ!AD296,NĐ!AJ296,NĐ!AP296)))</f>
        <v>0</v>
      </c>
    </row>
    <row r="297" spans="1:12">
      <c r="A297">
        <f>SUMPRODUCT((MONTH(CHOOSE({1,2,3,4},NĐ!U297,NĐ!AA297,NĐ!AG297,NĐ!AM297))=1)*(CHOOSE({1,2,3,4},NĐ!X297,NĐ!AD297,NĐ!AJ297,NĐ!AP297)))</f>
        <v>0</v>
      </c>
      <c r="B297">
        <f>SUMPRODUCT((MONTH(CHOOSE({1,2,3,4},NĐ!U297,NĐ!AA297,NĐ!AG297,NĐ!AM297))=2)*(CHOOSE({1,2,3,4},NĐ!X297,NĐ!AD297,NĐ!AJ297,NĐ!AP297)))</f>
        <v>0</v>
      </c>
      <c r="C297">
        <f>SUMPRODUCT((MONTH(CHOOSE({1,2,3,4},NĐ!U297,NĐ!AA297,NĐ!AG297,NĐ!AM297))=3)*(CHOOSE({1,2,3,4},NĐ!X297,NĐ!AD297,NĐ!AJ297,NĐ!AP297)))</f>
        <v>0</v>
      </c>
      <c r="D297">
        <f>SUMPRODUCT((MONTH(CHOOSE({1,2,3,4},NĐ!U297,NĐ!AA297,NĐ!AG297,NĐ!AM297))=4)*(CHOOSE({1,2,3,4},NĐ!X297,NĐ!AD297,NĐ!AJ297,NĐ!AP297)))</f>
        <v>0</v>
      </c>
      <c r="E297">
        <f>SUMPRODUCT((MONTH(CHOOSE({1,2,3,4},NĐ!U297,NĐ!AA297,NĐ!AG297,NĐ!AM297))=5)*(CHOOSE({1,2,3,4},NĐ!X297,NĐ!AD297,NĐ!AJ297,NĐ!AP297)))</f>
        <v>0</v>
      </c>
      <c r="F297">
        <f>SUMPRODUCT((MONTH(CHOOSE({1,2,3,4},NĐ!U297,NĐ!AA297,NĐ!AG297,NĐ!AM297))=6)*(CHOOSE({1,2,3,4},NĐ!X297,NĐ!AD297,NĐ!AJ297,NĐ!AP297)))</f>
        <v>0</v>
      </c>
      <c r="G297">
        <f>SUMPRODUCT((MONTH(CHOOSE({1,2,3,4},NĐ!U297,NĐ!AA297,NĐ!AG297,NĐ!AM297))=7)*(CHOOSE({1,2,3,4},NĐ!X297,NĐ!AD297,NĐ!AJ297,NĐ!AP297)))</f>
        <v>0</v>
      </c>
      <c r="H297">
        <f>SUMPRODUCT((MONTH(CHOOSE({1,2,3,4},NĐ!U297,NĐ!AA297,NĐ!AG297,NĐ!AM297))=8)*(CHOOSE({1,2,3,4},NĐ!X297,NĐ!AD297,NĐ!AJ297,NĐ!AP297)))</f>
        <v>0</v>
      </c>
      <c r="I297">
        <f>SUMPRODUCT((MONTH(CHOOSE({1,2,3,4},NĐ!U297,NĐ!AA297,NĐ!AG297,NĐ!AM297))=9)*(CHOOSE({1,2,3,4},NĐ!X297,NĐ!AD297,NĐ!AJ297,NĐ!AP297)))</f>
        <v>0</v>
      </c>
      <c r="J297">
        <f>SUMPRODUCT((MONTH(CHOOSE({1,2,3,4},NĐ!U297,NĐ!AA297,NĐ!AG297,NĐ!AM297))=10)*(CHOOSE({1,2,3,4},NĐ!X297,NĐ!AD297,NĐ!AJ297,NĐ!AP297)))</f>
        <v>0</v>
      </c>
      <c r="K297">
        <f>SUMPRODUCT((MONTH(CHOOSE({1,2,3,4},NĐ!U297,NĐ!AA297,NĐ!AG297,NĐ!AM297))=11)*(CHOOSE({1,2,3,4},NĐ!X297,NĐ!AD297,NĐ!AJ297,NĐ!AP297)))</f>
        <v>0</v>
      </c>
      <c r="L297">
        <f>SUMPRODUCT((MONTH(CHOOSE({1,2,3,4},NĐ!U297,NĐ!AA297,NĐ!AG297,NĐ!AM297))=12)*(CHOOSE({1,2,3,4},NĐ!X297,NĐ!AD297,NĐ!AJ297,NĐ!AP297)))</f>
        <v>0</v>
      </c>
    </row>
    <row r="298" spans="1:12">
      <c r="A298">
        <f>SUMPRODUCT((MONTH(CHOOSE({1,2,3,4},NĐ!U298,NĐ!AA298,NĐ!AG298,NĐ!AM298))=1)*(CHOOSE({1,2,3,4},NĐ!X298,NĐ!AD298,NĐ!AJ298,NĐ!AP298)))</f>
        <v>0</v>
      </c>
      <c r="B298">
        <f>SUMPRODUCT((MONTH(CHOOSE({1,2,3,4},NĐ!U298,NĐ!AA298,NĐ!AG298,NĐ!AM298))=2)*(CHOOSE({1,2,3,4},NĐ!X298,NĐ!AD298,NĐ!AJ298,NĐ!AP298)))</f>
        <v>0</v>
      </c>
      <c r="C298">
        <f>SUMPRODUCT((MONTH(CHOOSE({1,2,3,4},NĐ!U298,NĐ!AA298,NĐ!AG298,NĐ!AM298))=3)*(CHOOSE({1,2,3,4},NĐ!X298,NĐ!AD298,NĐ!AJ298,NĐ!AP298)))</f>
        <v>0</v>
      </c>
      <c r="D298">
        <f>SUMPRODUCT((MONTH(CHOOSE({1,2,3,4},NĐ!U298,NĐ!AA298,NĐ!AG298,NĐ!AM298))=4)*(CHOOSE({1,2,3,4},NĐ!X298,NĐ!AD298,NĐ!AJ298,NĐ!AP298)))</f>
        <v>0</v>
      </c>
      <c r="E298">
        <f>SUMPRODUCT((MONTH(CHOOSE({1,2,3,4},NĐ!U298,NĐ!AA298,NĐ!AG298,NĐ!AM298))=5)*(CHOOSE({1,2,3,4},NĐ!X298,NĐ!AD298,NĐ!AJ298,NĐ!AP298)))</f>
        <v>0</v>
      </c>
      <c r="F298">
        <f>SUMPRODUCT((MONTH(CHOOSE({1,2,3,4},NĐ!U298,NĐ!AA298,NĐ!AG298,NĐ!AM298))=6)*(CHOOSE({1,2,3,4},NĐ!X298,NĐ!AD298,NĐ!AJ298,NĐ!AP298)))</f>
        <v>0</v>
      </c>
      <c r="G298">
        <f>SUMPRODUCT((MONTH(CHOOSE({1,2,3,4},NĐ!U298,NĐ!AA298,NĐ!AG298,NĐ!AM298))=7)*(CHOOSE({1,2,3,4},NĐ!X298,NĐ!AD298,NĐ!AJ298,NĐ!AP298)))</f>
        <v>0</v>
      </c>
      <c r="H298">
        <f>SUMPRODUCT((MONTH(CHOOSE({1,2,3,4},NĐ!U298,NĐ!AA298,NĐ!AG298,NĐ!AM298))=8)*(CHOOSE({1,2,3,4},NĐ!X298,NĐ!AD298,NĐ!AJ298,NĐ!AP298)))</f>
        <v>0</v>
      </c>
      <c r="I298">
        <f>SUMPRODUCT((MONTH(CHOOSE({1,2,3,4},NĐ!U298,NĐ!AA298,NĐ!AG298,NĐ!AM298))=9)*(CHOOSE({1,2,3,4},NĐ!X298,NĐ!AD298,NĐ!AJ298,NĐ!AP298)))</f>
        <v>0</v>
      </c>
      <c r="J298">
        <f>SUMPRODUCT((MONTH(CHOOSE({1,2,3,4},NĐ!U298,NĐ!AA298,NĐ!AG298,NĐ!AM298))=10)*(CHOOSE({1,2,3,4},NĐ!X298,NĐ!AD298,NĐ!AJ298,NĐ!AP298)))</f>
        <v>0</v>
      </c>
      <c r="K298">
        <f>SUMPRODUCT((MONTH(CHOOSE({1,2,3,4},NĐ!U298,NĐ!AA298,NĐ!AG298,NĐ!AM298))=11)*(CHOOSE({1,2,3,4},NĐ!X298,NĐ!AD298,NĐ!AJ298,NĐ!AP298)))</f>
        <v>0</v>
      </c>
      <c r="L298">
        <f>SUMPRODUCT((MONTH(CHOOSE({1,2,3,4},NĐ!U298,NĐ!AA298,NĐ!AG298,NĐ!AM298))=12)*(CHOOSE({1,2,3,4},NĐ!X298,NĐ!AD298,NĐ!AJ298,NĐ!AP298)))</f>
        <v>0</v>
      </c>
    </row>
    <row r="299" spans="1:12">
      <c r="A299">
        <f>SUMPRODUCT((MONTH(CHOOSE({1,2,3,4},NĐ!U299,NĐ!AA299,NĐ!AG299,NĐ!AM299))=1)*(CHOOSE({1,2,3,4},NĐ!X299,NĐ!AD299,NĐ!AJ299,NĐ!AP299)))</f>
        <v>0</v>
      </c>
      <c r="B299">
        <f>SUMPRODUCT((MONTH(CHOOSE({1,2,3,4},NĐ!U299,NĐ!AA299,NĐ!AG299,NĐ!AM299))=2)*(CHOOSE({1,2,3,4},NĐ!X299,NĐ!AD299,NĐ!AJ299,NĐ!AP299)))</f>
        <v>0</v>
      </c>
      <c r="C299">
        <f>SUMPRODUCT((MONTH(CHOOSE({1,2,3,4},NĐ!U299,NĐ!AA299,NĐ!AG299,NĐ!AM299))=3)*(CHOOSE({1,2,3,4},NĐ!X299,NĐ!AD299,NĐ!AJ299,NĐ!AP299)))</f>
        <v>0</v>
      </c>
      <c r="D299">
        <f>SUMPRODUCT((MONTH(CHOOSE({1,2,3,4},NĐ!U299,NĐ!AA299,NĐ!AG299,NĐ!AM299))=4)*(CHOOSE({1,2,3,4},NĐ!X299,NĐ!AD299,NĐ!AJ299,NĐ!AP299)))</f>
        <v>0</v>
      </c>
      <c r="E299">
        <f>SUMPRODUCT((MONTH(CHOOSE({1,2,3,4},NĐ!U299,NĐ!AA299,NĐ!AG299,NĐ!AM299))=5)*(CHOOSE({1,2,3,4},NĐ!X299,NĐ!AD299,NĐ!AJ299,NĐ!AP299)))</f>
        <v>0</v>
      </c>
      <c r="F299">
        <f>SUMPRODUCT((MONTH(CHOOSE({1,2,3,4},NĐ!U299,NĐ!AA299,NĐ!AG299,NĐ!AM299))=6)*(CHOOSE({1,2,3,4},NĐ!X299,NĐ!AD299,NĐ!AJ299,NĐ!AP299)))</f>
        <v>0</v>
      </c>
      <c r="G299">
        <f>SUMPRODUCT((MONTH(CHOOSE({1,2,3,4},NĐ!U299,NĐ!AA299,NĐ!AG299,NĐ!AM299))=7)*(CHOOSE({1,2,3,4},NĐ!X299,NĐ!AD299,NĐ!AJ299,NĐ!AP299)))</f>
        <v>0</v>
      </c>
      <c r="H299">
        <f>SUMPRODUCT((MONTH(CHOOSE({1,2,3,4},NĐ!U299,NĐ!AA299,NĐ!AG299,NĐ!AM299))=8)*(CHOOSE({1,2,3,4},NĐ!X299,NĐ!AD299,NĐ!AJ299,NĐ!AP299)))</f>
        <v>0</v>
      </c>
      <c r="I299">
        <f>SUMPRODUCT((MONTH(CHOOSE({1,2,3,4},NĐ!U299,NĐ!AA299,NĐ!AG299,NĐ!AM299))=9)*(CHOOSE({1,2,3,4},NĐ!X299,NĐ!AD299,NĐ!AJ299,NĐ!AP299)))</f>
        <v>0</v>
      </c>
      <c r="J299">
        <f>SUMPRODUCT((MONTH(CHOOSE({1,2,3,4},NĐ!U299,NĐ!AA299,NĐ!AG299,NĐ!AM299))=10)*(CHOOSE({1,2,3,4},NĐ!X299,NĐ!AD299,NĐ!AJ299,NĐ!AP299)))</f>
        <v>0</v>
      </c>
      <c r="K299">
        <f>SUMPRODUCT((MONTH(CHOOSE({1,2,3,4},NĐ!U299,NĐ!AA299,NĐ!AG299,NĐ!AM299))=11)*(CHOOSE({1,2,3,4},NĐ!X299,NĐ!AD299,NĐ!AJ299,NĐ!AP299)))</f>
        <v>0</v>
      </c>
      <c r="L299">
        <f>SUMPRODUCT((MONTH(CHOOSE({1,2,3,4},NĐ!U299,NĐ!AA299,NĐ!AG299,NĐ!AM299))=12)*(CHOOSE({1,2,3,4},NĐ!X299,NĐ!AD299,NĐ!AJ299,NĐ!AP299)))</f>
        <v>0</v>
      </c>
    </row>
    <row r="300" spans="1:12">
      <c r="A300">
        <f>SUMPRODUCT((MONTH(CHOOSE({1,2,3,4},NĐ!U300,NĐ!AA300,NĐ!AG300,NĐ!AM300))=1)*(CHOOSE({1,2,3,4},NĐ!X300,NĐ!AD300,NĐ!AJ300,NĐ!AP300)))</f>
        <v>0</v>
      </c>
      <c r="B300">
        <f>SUMPRODUCT((MONTH(CHOOSE({1,2,3,4},NĐ!U300,NĐ!AA300,NĐ!AG300,NĐ!AM300))=2)*(CHOOSE({1,2,3,4},NĐ!X300,NĐ!AD300,NĐ!AJ300,NĐ!AP300)))</f>
        <v>0</v>
      </c>
      <c r="C300">
        <f>SUMPRODUCT((MONTH(CHOOSE({1,2,3,4},NĐ!U300,NĐ!AA300,NĐ!AG300,NĐ!AM300))=3)*(CHOOSE({1,2,3,4},NĐ!X300,NĐ!AD300,NĐ!AJ300,NĐ!AP300)))</f>
        <v>0</v>
      </c>
      <c r="D300">
        <f>SUMPRODUCT((MONTH(CHOOSE({1,2,3,4},NĐ!U300,NĐ!AA300,NĐ!AG300,NĐ!AM300))=4)*(CHOOSE({1,2,3,4},NĐ!X300,NĐ!AD300,NĐ!AJ300,NĐ!AP300)))</f>
        <v>0</v>
      </c>
      <c r="E300">
        <f>SUMPRODUCT((MONTH(CHOOSE({1,2,3,4},NĐ!U300,NĐ!AA300,NĐ!AG300,NĐ!AM300))=5)*(CHOOSE({1,2,3,4},NĐ!X300,NĐ!AD300,NĐ!AJ300,NĐ!AP300)))</f>
        <v>0</v>
      </c>
      <c r="F300">
        <f>SUMPRODUCT((MONTH(CHOOSE({1,2,3,4},NĐ!U300,NĐ!AA300,NĐ!AG300,NĐ!AM300))=6)*(CHOOSE({1,2,3,4},NĐ!X300,NĐ!AD300,NĐ!AJ300,NĐ!AP300)))</f>
        <v>0</v>
      </c>
      <c r="G300">
        <f>SUMPRODUCT((MONTH(CHOOSE({1,2,3,4},NĐ!U300,NĐ!AA300,NĐ!AG300,NĐ!AM300))=7)*(CHOOSE({1,2,3,4},NĐ!X300,NĐ!AD300,NĐ!AJ300,NĐ!AP300)))</f>
        <v>0</v>
      </c>
      <c r="H300">
        <f>SUMPRODUCT((MONTH(CHOOSE({1,2,3,4},NĐ!U300,NĐ!AA300,NĐ!AG300,NĐ!AM300))=8)*(CHOOSE({1,2,3,4},NĐ!X300,NĐ!AD300,NĐ!AJ300,NĐ!AP300)))</f>
        <v>0</v>
      </c>
      <c r="I300">
        <f>SUMPRODUCT((MONTH(CHOOSE({1,2,3,4},NĐ!U300,NĐ!AA300,NĐ!AG300,NĐ!AM300))=9)*(CHOOSE({1,2,3,4},NĐ!X300,NĐ!AD300,NĐ!AJ300,NĐ!AP300)))</f>
        <v>0</v>
      </c>
      <c r="J300">
        <f>SUMPRODUCT((MONTH(CHOOSE({1,2,3,4},NĐ!U300,NĐ!AA300,NĐ!AG300,NĐ!AM300))=10)*(CHOOSE({1,2,3,4},NĐ!X300,NĐ!AD300,NĐ!AJ300,NĐ!AP300)))</f>
        <v>0</v>
      </c>
      <c r="K300">
        <f>SUMPRODUCT((MONTH(CHOOSE({1,2,3,4},NĐ!U300,NĐ!AA300,NĐ!AG300,NĐ!AM300))=11)*(CHOOSE({1,2,3,4},NĐ!X300,NĐ!AD300,NĐ!AJ300,NĐ!AP300)))</f>
        <v>0</v>
      </c>
      <c r="L300">
        <f>SUMPRODUCT((MONTH(CHOOSE({1,2,3,4},NĐ!U300,NĐ!AA300,NĐ!AG300,NĐ!AM300))=12)*(CHOOSE({1,2,3,4},NĐ!X300,NĐ!AD300,NĐ!AJ300,NĐ!AP300)))</f>
        <v>0</v>
      </c>
    </row>
    <row r="301" spans="1:12">
      <c r="A301">
        <f>SUMPRODUCT((MONTH(CHOOSE({1,2,3,4},NĐ!U301,NĐ!AA301,NĐ!AG301,NĐ!AM301))=1)*(CHOOSE({1,2,3,4},NĐ!X301,NĐ!AD301,NĐ!AJ301,NĐ!AP301)))</f>
        <v>0</v>
      </c>
      <c r="B301">
        <f>SUMPRODUCT((MONTH(CHOOSE({1,2,3,4},NĐ!U301,NĐ!AA301,NĐ!AG301,NĐ!AM301))=2)*(CHOOSE({1,2,3,4},NĐ!X301,NĐ!AD301,NĐ!AJ301,NĐ!AP301)))</f>
        <v>0</v>
      </c>
      <c r="C301">
        <f>SUMPRODUCT((MONTH(CHOOSE({1,2,3,4},NĐ!U301,NĐ!AA301,NĐ!AG301,NĐ!AM301))=3)*(CHOOSE({1,2,3,4},NĐ!X301,NĐ!AD301,NĐ!AJ301,NĐ!AP301)))</f>
        <v>0</v>
      </c>
      <c r="D301">
        <f>SUMPRODUCT((MONTH(CHOOSE({1,2,3,4},NĐ!U301,NĐ!AA301,NĐ!AG301,NĐ!AM301))=4)*(CHOOSE({1,2,3,4},NĐ!X301,NĐ!AD301,NĐ!AJ301,NĐ!AP301)))</f>
        <v>0</v>
      </c>
      <c r="E301">
        <f>SUMPRODUCT((MONTH(CHOOSE({1,2,3,4},NĐ!U301,NĐ!AA301,NĐ!AG301,NĐ!AM301))=5)*(CHOOSE({1,2,3,4},NĐ!X301,NĐ!AD301,NĐ!AJ301,NĐ!AP301)))</f>
        <v>0</v>
      </c>
      <c r="F301">
        <f>SUMPRODUCT((MONTH(CHOOSE({1,2,3,4},NĐ!U301,NĐ!AA301,NĐ!AG301,NĐ!AM301))=6)*(CHOOSE({1,2,3,4},NĐ!X301,NĐ!AD301,NĐ!AJ301,NĐ!AP301)))</f>
        <v>0</v>
      </c>
      <c r="G301">
        <f>SUMPRODUCT((MONTH(CHOOSE({1,2,3,4},NĐ!U301,NĐ!AA301,NĐ!AG301,NĐ!AM301))=7)*(CHOOSE({1,2,3,4},NĐ!X301,NĐ!AD301,NĐ!AJ301,NĐ!AP301)))</f>
        <v>0</v>
      </c>
      <c r="H301">
        <f>SUMPRODUCT((MONTH(CHOOSE({1,2,3,4},NĐ!U301,NĐ!AA301,NĐ!AG301,NĐ!AM301))=8)*(CHOOSE({1,2,3,4},NĐ!X301,NĐ!AD301,NĐ!AJ301,NĐ!AP301)))</f>
        <v>0</v>
      </c>
      <c r="I301">
        <f>SUMPRODUCT((MONTH(CHOOSE({1,2,3,4},NĐ!U301,NĐ!AA301,NĐ!AG301,NĐ!AM301))=9)*(CHOOSE({1,2,3,4},NĐ!X301,NĐ!AD301,NĐ!AJ301,NĐ!AP301)))</f>
        <v>0</v>
      </c>
      <c r="J301">
        <f>SUMPRODUCT((MONTH(CHOOSE({1,2,3,4},NĐ!U301,NĐ!AA301,NĐ!AG301,NĐ!AM301))=10)*(CHOOSE({1,2,3,4},NĐ!X301,NĐ!AD301,NĐ!AJ301,NĐ!AP301)))</f>
        <v>0</v>
      </c>
      <c r="K301">
        <f>SUMPRODUCT((MONTH(CHOOSE({1,2,3,4},NĐ!U301,NĐ!AA301,NĐ!AG301,NĐ!AM301))=11)*(CHOOSE({1,2,3,4},NĐ!X301,NĐ!AD301,NĐ!AJ301,NĐ!AP301)))</f>
        <v>0</v>
      </c>
      <c r="L301">
        <f>SUMPRODUCT((MONTH(CHOOSE({1,2,3,4},NĐ!U301,NĐ!AA301,NĐ!AG301,NĐ!AM301))=12)*(CHOOSE({1,2,3,4},NĐ!X301,NĐ!AD301,NĐ!AJ301,NĐ!AP301)))</f>
        <v>0</v>
      </c>
    </row>
    <row r="302" spans="1:12">
      <c r="A302">
        <f>SUMPRODUCT((MONTH(CHOOSE({1,2,3,4},NĐ!U302,NĐ!AA302,NĐ!AG302,NĐ!AM302))=1)*(CHOOSE({1,2,3,4},NĐ!X302,NĐ!AD302,NĐ!AJ302,NĐ!AP302)))</f>
        <v>0</v>
      </c>
      <c r="B302">
        <f>SUMPRODUCT((MONTH(CHOOSE({1,2,3,4},NĐ!U302,NĐ!AA302,NĐ!AG302,NĐ!AM302))=2)*(CHOOSE({1,2,3,4},NĐ!X302,NĐ!AD302,NĐ!AJ302,NĐ!AP302)))</f>
        <v>0</v>
      </c>
      <c r="C302">
        <f>SUMPRODUCT((MONTH(CHOOSE({1,2,3,4},NĐ!U302,NĐ!AA302,NĐ!AG302,NĐ!AM302))=3)*(CHOOSE({1,2,3,4},NĐ!X302,NĐ!AD302,NĐ!AJ302,NĐ!AP302)))</f>
        <v>0</v>
      </c>
      <c r="D302">
        <f>SUMPRODUCT((MONTH(CHOOSE({1,2,3,4},NĐ!U302,NĐ!AA302,NĐ!AG302,NĐ!AM302))=4)*(CHOOSE({1,2,3,4},NĐ!X302,NĐ!AD302,NĐ!AJ302,NĐ!AP302)))</f>
        <v>0</v>
      </c>
      <c r="E302">
        <f>SUMPRODUCT((MONTH(CHOOSE({1,2,3,4},NĐ!U302,NĐ!AA302,NĐ!AG302,NĐ!AM302))=5)*(CHOOSE({1,2,3,4},NĐ!X302,NĐ!AD302,NĐ!AJ302,NĐ!AP302)))</f>
        <v>0</v>
      </c>
      <c r="F302">
        <f>SUMPRODUCT((MONTH(CHOOSE({1,2,3,4},NĐ!U302,NĐ!AA302,NĐ!AG302,NĐ!AM302))=6)*(CHOOSE({1,2,3,4},NĐ!X302,NĐ!AD302,NĐ!AJ302,NĐ!AP302)))</f>
        <v>0</v>
      </c>
      <c r="G302">
        <f>SUMPRODUCT((MONTH(CHOOSE({1,2,3,4},NĐ!U302,NĐ!AA302,NĐ!AG302,NĐ!AM302))=7)*(CHOOSE({1,2,3,4},NĐ!X302,NĐ!AD302,NĐ!AJ302,NĐ!AP302)))</f>
        <v>0</v>
      </c>
      <c r="H302">
        <f>SUMPRODUCT((MONTH(CHOOSE({1,2,3,4},NĐ!U302,NĐ!AA302,NĐ!AG302,NĐ!AM302))=8)*(CHOOSE({1,2,3,4},NĐ!X302,NĐ!AD302,NĐ!AJ302,NĐ!AP302)))</f>
        <v>0</v>
      </c>
      <c r="I302">
        <f>SUMPRODUCT((MONTH(CHOOSE({1,2,3,4},NĐ!U302,NĐ!AA302,NĐ!AG302,NĐ!AM302))=9)*(CHOOSE({1,2,3,4},NĐ!X302,NĐ!AD302,NĐ!AJ302,NĐ!AP302)))</f>
        <v>0</v>
      </c>
      <c r="J302">
        <f>SUMPRODUCT((MONTH(CHOOSE({1,2,3,4},NĐ!U302,NĐ!AA302,NĐ!AG302,NĐ!AM302))=10)*(CHOOSE({1,2,3,4},NĐ!X302,NĐ!AD302,NĐ!AJ302,NĐ!AP302)))</f>
        <v>0</v>
      </c>
      <c r="K302">
        <f>SUMPRODUCT((MONTH(CHOOSE({1,2,3,4},NĐ!U302,NĐ!AA302,NĐ!AG302,NĐ!AM302))=11)*(CHOOSE({1,2,3,4},NĐ!X302,NĐ!AD302,NĐ!AJ302,NĐ!AP302)))</f>
        <v>0</v>
      </c>
      <c r="L302">
        <f>SUMPRODUCT((MONTH(CHOOSE({1,2,3,4},NĐ!U302,NĐ!AA302,NĐ!AG302,NĐ!AM302))=12)*(CHOOSE({1,2,3,4},NĐ!X302,NĐ!AD302,NĐ!AJ302,NĐ!AP302)))</f>
        <v>0</v>
      </c>
    </row>
    <row r="303" spans="1:12">
      <c r="A303">
        <f>SUMPRODUCT((MONTH(CHOOSE({1,2,3,4},NĐ!U303,NĐ!AA303,NĐ!AG303,NĐ!AM303))=1)*(CHOOSE({1,2,3,4},NĐ!X303,NĐ!AD303,NĐ!AJ303,NĐ!AP303)))</f>
        <v>0</v>
      </c>
      <c r="B303">
        <f>SUMPRODUCT((MONTH(CHOOSE({1,2,3,4},NĐ!U303,NĐ!AA303,NĐ!AG303,NĐ!AM303))=2)*(CHOOSE({1,2,3,4},NĐ!X303,NĐ!AD303,NĐ!AJ303,NĐ!AP303)))</f>
        <v>0</v>
      </c>
      <c r="C303">
        <f>SUMPRODUCT((MONTH(CHOOSE({1,2,3,4},NĐ!U303,NĐ!AA303,NĐ!AG303,NĐ!AM303))=3)*(CHOOSE({1,2,3,4},NĐ!X303,NĐ!AD303,NĐ!AJ303,NĐ!AP303)))</f>
        <v>0</v>
      </c>
      <c r="D303">
        <f>SUMPRODUCT((MONTH(CHOOSE({1,2,3,4},NĐ!U303,NĐ!AA303,NĐ!AG303,NĐ!AM303))=4)*(CHOOSE({1,2,3,4},NĐ!X303,NĐ!AD303,NĐ!AJ303,NĐ!AP303)))</f>
        <v>0</v>
      </c>
      <c r="E303">
        <f>SUMPRODUCT((MONTH(CHOOSE({1,2,3,4},NĐ!U303,NĐ!AA303,NĐ!AG303,NĐ!AM303))=5)*(CHOOSE({1,2,3,4},NĐ!X303,NĐ!AD303,NĐ!AJ303,NĐ!AP303)))</f>
        <v>0</v>
      </c>
      <c r="F303">
        <f>SUMPRODUCT((MONTH(CHOOSE({1,2,3,4},NĐ!U303,NĐ!AA303,NĐ!AG303,NĐ!AM303))=6)*(CHOOSE({1,2,3,4},NĐ!X303,NĐ!AD303,NĐ!AJ303,NĐ!AP303)))</f>
        <v>0</v>
      </c>
      <c r="G303">
        <f>SUMPRODUCT((MONTH(CHOOSE({1,2,3,4},NĐ!U303,NĐ!AA303,NĐ!AG303,NĐ!AM303))=7)*(CHOOSE({1,2,3,4},NĐ!X303,NĐ!AD303,NĐ!AJ303,NĐ!AP303)))</f>
        <v>0</v>
      </c>
      <c r="H303">
        <f>SUMPRODUCT((MONTH(CHOOSE({1,2,3,4},NĐ!U303,NĐ!AA303,NĐ!AG303,NĐ!AM303))=8)*(CHOOSE({1,2,3,4},NĐ!X303,NĐ!AD303,NĐ!AJ303,NĐ!AP303)))</f>
        <v>0</v>
      </c>
      <c r="I303">
        <f>SUMPRODUCT((MONTH(CHOOSE({1,2,3,4},NĐ!U303,NĐ!AA303,NĐ!AG303,NĐ!AM303))=9)*(CHOOSE({1,2,3,4},NĐ!X303,NĐ!AD303,NĐ!AJ303,NĐ!AP303)))</f>
        <v>0</v>
      </c>
      <c r="J303">
        <f>SUMPRODUCT((MONTH(CHOOSE({1,2,3,4},NĐ!U303,NĐ!AA303,NĐ!AG303,NĐ!AM303))=10)*(CHOOSE({1,2,3,4},NĐ!X303,NĐ!AD303,NĐ!AJ303,NĐ!AP303)))</f>
        <v>0</v>
      </c>
      <c r="K303">
        <f>SUMPRODUCT((MONTH(CHOOSE({1,2,3,4},NĐ!U303,NĐ!AA303,NĐ!AG303,NĐ!AM303))=11)*(CHOOSE({1,2,3,4},NĐ!X303,NĐ!AD303,NĐ!AJ303,NĐ!AP303)))</f>
        <v>0</v>
      </c>
      <c r="L303">
        <f>SUMPRODUCT((MONTH(CHOOSE({1,2,3,4},NĐ!U303,NĐ!AA303,NĐ!AG303,NĐ!AM303))=12)*(CHOOSE({1,2,3,4},NĐ!X303,NĐ!AD303,NĐ!AJ303,NĐ!AP303)))</f>
        <v>0</v>
      </c>
    </row>
    <row r="304" spans="1:12">
      <c r="A304">
        <f>SUMPRODUCT((MONTH(CHOOSE({1,2,3,4},NĐ!U304,NĐ!AA304,NĐ!AG304,NĐ!AM304))=1)*(CHOOSE({1,2,3,4},NĐ!X304,NĐ!AD304,NĐ!AJ304,NĐ!AP304)))</f>
        <v>0</v>
      </c>
      <c r="B304">
        <f>SUMPRODUCT((MONTH(CHOOSE({1,2,3,4},NĐ!U304,NĐ!AA304,NĐ!AG304,NĐ!AM304))=2)*(CHOOSE({1,2,3,4},NĐ!X304,NĐ!AD304,NĐ!AJ304,NĐ!AP304)))</f>
        <v>0</v>
      </c>
      <c r="C304">
        <f>SUMPRODUCT((MONTH(CHOOSE({1,2,3,4},NĐ!U304,NĐ!AA304,NĐ!AG304,NĐ!AM304))=3)*(CHOOSE({1,2,3,4},NĐ!X304,NĐ!AD304,NĐ!AJ304,NĐ!AP304)))</f>
        <v>0</v>
      </c>
      <c r="D304">
        <f>SUMPRODUCT((MONTH(CHOOSE({1,2,3,4},NĐ!U304,NĐ!AA304,NĐ!AG304,NĐ!AM304))=4)*(CHOOSE({1,2,3,4},NĐ!X304,NĐ!AD304,NĐ!AJ304,NĐ!AP304)))</f>
        <v>0</v>
      </c>
      <c r="E304">
        <f>SUMPRODUCT((MONTH(CHOOSE({1,2,3,4},NĐ!U304,NĐ!AA304,NĐ!AG304,NĐ!AM304))=5)*(CHOOSE({1,2,3,4},NĐ!X304,NĐ!AD304,NĐ!AJ304,NĐ!AP304)))</f>
        <v>0</v>
      </c>
      <c r="F304">
        <f>SUMPRODUCT((MONTH(CHOOSE({1,2,3,4},NĐ!U304,NĐ!AA304,NĐ!AG304,NĐ!AM304))=6)*(CHOOSE({1,2,3,4},NĐ!X304,NĐ!AD304,NĐ!AJ304,NĐ!AP304)))</f>
        <v>0</v>
      </c>
      <c r="G304">
        <f>SUMPRODUCT((MONTH(CHOOSE({1,2,3,4},NĐ!U304,NĐ!AA304,NĐ!AG304,NĐ!AM304))=7)*(CHOOSE({1,2,3,4},NĐ!X304,NĐ!AD304,NĐ!AJ304,NĐ!AP304)))</f>
        <v>0</v>
      </c>
      <c r="H304">
        <f>SUMPRODUCT((MONTH(CHOOSE({1,2,3,4},NĐ!U304,NĐ!AA304,NĐ!AG304,NĐ!AM304))=8)*(CHOOSE({1,2,3,4},NĐ!X304,NĐ!AD304,NĐ!AJ304,NĐ!AP304)))</f>
        <v>0</v>
      </c>
      <c r="I304">
        <f>SUMPRODUCT((MONTH(CHOOSE({1,2,3,4},NĐ!U304,NĐ!AA304,NĐ!AG304,NĐ!AM304))=9)*(CHOOSE({1,2,3,4},NĐ!X304,NĐ!AD304,NĐ!AJ304,NĐ!AP304)))</f>
        <v>0</v>
      </c>
      <c r="J304">
        <f>SUMPRODUCT((MONTH(CHOOSE({1,2,3,4},NĐ!U304,NĐ!AA304,NĐ!AG304,NĐ!AM304))=10)*(CHOOSE({1,2,3,4},NĐ!X304,NĐ!AD304,NĐ!AJ304,NĐ!AP304)))</f>
        <v>0</v>
      </c>
      <c r="K304">
        <f>SUMPRODUCT((MONTH(CHOOSE({1,2,3,4},NĐ!U304,NĐ!AA304,NĐ!AG304,NĐ!AM304))=11)*(CHOOSE({1,2,3,4},NĐ!X304,NĐ!AD304,NĐ!AJ304,NĐ!AP304)))</f>
        <v>0</v>
      </c>
      <c r="L304">
        <f>SUMPRODUCT((MONTH(CHOOSE({1,2,3,4},NĐ!U304,NĐ!AA304,NĐ!AG304,NĐ!AM304))=12)*(CHOOSE({1,2,3,4},NĐ!X304,NĐ!AD304,NĐ!AJ304,NĐ!AP304)))</f>
        <v>0</v>
      </c>
    </row>
    <row r="305" spans="1:12">
      <c r="A305">
        <f>SUMPRODUCT((MONTH(CHOOSE({1,2,3,4},NĐ!U305,NĐ!AA305,NĐ!AG305,NĐ!AM305))=1)*(CHOOSE({1,2,3,4},NĐ!X305,NĐ!AD305,NĐ!AJ305,NĐ!AP305)))</f>
        <v>0</v>
      </c>
      <c r="B305">
        <f>SUMPRODUCT((MONTH(CHOOSE({1,2,3,4},NĐ!U305,NĐ!AA305,NĐ!AG305,NĐ!AM305))=2)*(CHOOSE({1,2,3,4},NĐ!X305,NĐ!AD305,NĐ!AJ305,NĐ!AP305)))</f>
        <v>0</v>
      </c>
      <c r="C305">
        <f>SUMPRODUCT((MONTH(CHOOSE({1,2,3,4},NĐ!U305,NĐ!AA305,NĐ!AG305,NĐ!AM305))=3)*(CHOOSE({1,2,3,4},NĐ!X305,NĐ!AD305,NĐ!AJ305,NĐ!AP305)))</f>
        <v>0</v>
      </c>
      <c r="D305">
        <f>SUMPRODUCT((MONTH(CHOOSE({1,2,3,4},NĐ!U305,NĐ!AA305,NĐ!AG305,NĐ!AM305))=4)*(CHOOSE({1,2,3,4},NĐ!X305,NĐ!AD305,NĐ!AJ305,NĐ!AP305)))</f>
        <v>0</v>
      </c>
      <c r="E305">
        <f>SUMPRODUCT((MONTH(CHOOSE({1,2,3,4},NĐ!U305,NĐ!AA305,NĐ!AG305,NĐ!AM305))=5)*(CHOOSE({1,2,3,4},NĐ!X305,NĐ!AD305,NĐ!AJ305,NĐ!AP305)))</f>
        <v>0</v>
      </c>
      <c r="F305">
        <f>SUMPRODUCT((MONTH(CHOOSE({1,2,3,4},NĐ!U305,NĐ!AA305,NĐ!AG305,NĐ!AM305))=6)*(CHOOSE({1,2,3,4},NĐ!X305,NĐ!AD305,NĐ!AJ305,NĐ!AP305)))</f>
        <v>0</v>
      </c>
      <c r="G305">
        <f>SUMPRODUCT((MONTH(CHOOSE({1,2,3,4},NĐ!U305,NĐ!AA305,NĐ!AG305,NĐ!AM305))=7)*(CHOOSE({1,2,3,4},NĐ!X305,NĐ!AD305,NĐ!AJ305,NĐ!AP305)))</f>
        <v>0</v>
      </c>
      <c r="H305">
        <f>SUMPRODUCT((MONTH(CHOOSE({1,2,3,4},NĐ!U305,NĐ!AA305,NĐ!AG305,NĐ!AM305))=8)*(CHOOSE({1,2,3,4},NĐ!X305,NĐ!AD305,NĐ!AJ305,NĐ!AP305)))</f>
        <v>0</v>
      </c>
      <c r="I305">
        <f>SUMPRODUCT((MONTH(CHOOSE({1,2,3,4},NĐ!U305,NĐ!AA305,NĐ!AG305,NĐ!AM305))=9)*(CHOOSE({1,2,3,4},NĐ!X305,NĐ!AD305,NĐ!AJ305,NĐ!AP305)))</f>
        <v>0</v>
      </c>
      <c r="J305">
        <f>SUMPRODUCT((MONTH(CHOOSE({1,2,3,4},NĐ!U305,NĐ!AA305,NĐ!AG305,NĐ!AM305))=10)*(CHOOSE({1,2,3,4},NĐ!X305,NĐ!AD305,NĐ!AJ305,NĐ!AP305)))</f>
        <v>0</v>
      </c>
      <c r="K305">
        <f>SUMPRODUCT((MONTH(CHOOSE({1,2,3,4},NĐ!U305,NĐ!AA305,NĐ!AG305,NĐ!AM305))=11)*(CHOOSE({1,2,3,4},NĐ!X305,NĐ!AD305,NĐ!AJ305,NĐ!AP305)))</f>
        <v>0</v>
      </c>
      <c r="L305">
        <f>SUMPRODUCT((MONTH(CHOOSE({1,2,3,4},NĐ!U305,NĐ!AA305,NĐ!AG305,NĐ!AM305))=12)*(CHOOSE({1,2,3,4},NĐ!X305,NĐ!AD305,NĐ!AJ305,NĐ!AP305)))</f>
        <v>0</v>
      </c>
    </row>
    <row r="306" spans="1:12">
      <c r="A306">
        <f>SUMPRODUCT((MONTH(CHOOSE({1,2,3,4},NĐ!U306,NĐ!AA306,NĐ!AG306,NĐ!AM306))=1)*(CHOOSE({1,2,3,4},NĐ!X306,NĐ!AD306,NĐ!AJ306,NĐ!AP306)))</f>
        <v>0</v>
      </c>
      <c r="B306">
        <f>SUMPRODUCT((MONTH(CHOOSE({1,2,3,4},NĐ!U306,NĐ!AA306,NĐ!AG306,NĐ!AM306))=2)*(CHOOSE({1,2,3,4},NĐ!X306,NĐ!AD306,NĐ!AJ306,NĐ!AP306)))</f>
        <v>0</v>
      </c>
      <c r="C306">
        <f>SUMPRODUCT((MONTH(CHOOSE({1,2,3,4},NĐ!U306,NĐ!AA306,NĐ!AG306,NĐ!AM306))=3)*(CHOOSE({1,2,3,4},NĐ!X306,NĐ!AD306,NĐ!AJ306,NĐ!AP306)))</f>
        <v>0</v>
      </c>
      <c r="D306">
        <f>SUMPRODUCT((MONTH(CHOOSE({1,2,3,4},NĐ!U306,NĐ!AA306,NĐ!AG306,NĐ!AM306))=4)*(CHOOSE({1,2,3,4},NĐ!X306,NĐ!AD306,NĐ!AJ306,NĐ!AP306)))</f>
        <v>0</v>
      </c>
      <c r="E306">
        <f>SUMPRODUCT((MONTH(CHOOSE({1,2,3,4},NĐ!U306,NĐ!AA306,NĐ!AG306,NĐ!AM306))=5)*(CHOOSE({1,2,3,4},NĐ!X306,NĐ!AD306,NĐ!AJ306,NĐ!AP306)))</f>
        <v>0</v>
      </c>
      <c r="F306">
        <f>SUMPRODUCT((MONTH(CHOOSE({1,2,3,4},NĐ!U306,NĐ!AA306,NĐ!AG306,NĐ!AM306))=6)*(CHOOSE({1,2,3,4},NĐ!X306,NĐ!AD306,NĐ!AJ306,NĐ!AP306)))</f>
        <v>0</v>
      </c>
      <c r="G306">
        <f>SUMPRODUCT((MONTH(CHOOSE({1,2,3,4},NĐ!U306,NĐ!AA306,NĐ!AG306,NĐ!AM306))=7)*(CHOOSE({1,2,3,4},NĐ!X306,NĐ!AD306,NĐ!AJ306,NĐ!AP306)))</f>
        <v>0</v>
      </c>
      <c r="H306">
        <f>SUMPRODUCT((MONTH(CHOOSE({1,2,3,4},NĐ!U306,NĐ!AA306,NĐ!AG306,NĐ!AM306))=8)*(CHOOSE({1,2,3,4},NĐ!X306,NĐ!AD306,NĐ!AJ306,NĐ!AP306)))</f>
        <v>0</v>
      </c>
      <c r="I306">
        <f>SUMPRODUCT((MONTH(CHOOSE({1,2,3,4},NĐ!U306,NĐ!AA306,NĐ!AG306,NĐ!AM306))=9)*(CHOOSE({1,2,3,4},NĐ!X306,NĐ!AD306,NĐ!AJ306,NĐ!AP306)))</f>
        <v>0</v>
      </c>
      <c r="J306">
        <f>SUMPRODUCT((MONTH(CHOOSE({1,2,3,4},NĐ!U306,NĐ!AA306,NĐ!AG306,NĐ!AM306))=10)*(CHOOSE({1,2,3,4},NĐ!X306,NĐ!AD306,NĐ!AJ306,NĐ!AP306)))</f>
        <v>0</v>
      </c>
      <c r="K306">
        <f>SUMPRODUCT((MONTH(CHOOSE({1,2,3,4},NĐ!U306,NĐ!AA306,NĐ!AG306,NĐ!AM306))=11)*(CHOOSE({1,2,3,4},NĐ!X306,NĐ!AD306,NĐ!AJ306,NĐ!AP306)))</f>
        <v>0</v>
      </c>
      <c r="L306">
        <f>SUMPRODUCT((MONTH(CHOOSE({1,2,3,4},NĐ!U306,NĐ!AA306,NĐ!AG306,NĐ!AM306))=12)*(CHOOSE({1,2,3,4},NĐ!X306,NĐ!AD306,NĐ!AJ306,NĐ!AP306)))</f>
        <v>0</v>
      </c>
    </row>
    <row r="307" spans="1:12">
      <c r="A307">
        <f>SUMPRODUCT((MONTH(CHOOSE({1,2,3,4},NĐ!U307,NĐ!AA307,NĐ!AG307,NĐ!AM307))=1)*(CHOOSE({1,2,3,4},NĐ!X307,NĐ!AD307,NĐ!AJ307,NĐ!AP307)))</f>
        <v>0</v>
      </c>
      <c r="B307">
        <f>SUMPRODUCT((MONTH(CHOOSE({1,2,3,4},NĐ!U307,NĐ!AA307,NĐ!AG307,NĐ!AM307))=2)*(CHOOSE({1,2,3,4},NĐ!X307,NĐ!AD307,NĐ!AJ307,NĐ!AP307)))</f>
        <v>0</v>
      </c>
      <c r="C307">
        <f>SUMPRODUCT((MONTH(CHOOSE({1,2,3,4},NĐ!U307,NĐ!AA307,NĐ!AG307,NĐ!AM307))=3)*(CHOOSE({1,2,3,4},NĐ!X307,NĐ!AD307,NĐ!AJ307,NĐ!AP307)))</f>
        <v>0</v>
      </c>
      <c r="D307">
        <f>SUMPRODUCT((MONTH(CHOOSE({1,2,3,4},NĐ!U307,NĐ!AA307,NĐ!AG307,NĐ!AM307))=4)*(CHOOSE({1,2,3,4},NĐ!X307,NĐ!AD307,NĐ!AJ307,NĐ!AP307)))</f>
        <v>0</v>
      </c>
      <c r="E307">
        <f>SUMPRODUCT((MONTH(CHOOSE({1,2,3,4},NĐ!U307,NĐ!AA307,NĐ!AG307,NĐ!AM307))=5)*(CHOOSE({1,2,3,4},NĐ!X307,NĐ!AD307,NĐ!AJ307,NĐ!AP307)))</f>
        <v>0</v>
      </c>
      <c r="F307">
        <f>SUMPRODUCT((MONTH(CHOOSE({1,2,3,4},NĐ!U307,NĐ!AA307,NĐ!AG307,NĐ!AM307))=6)*(CHOOSE({1,2,3,4},NĐ!X307,NĐ!AD307,NĐ!AJ307,NĐ!AP307)))</f>
        <v>0</v>
      </c>
      <c r="G307">
        <f>SUMPRODUCT((MONTH(CHOOSE({1,2,3,4},NĐ!U307,NĐ!AA307,NĐ!AG307,NĐ!AM307))=7)*(CHOOSE({1,2,3,4},NĐ!X307,NĐ!AD307,NĐ!AJ307,NĐ!AP307)))</f>
        <v>0</v>
      </c>
      <c r="H307">
        <f>SUMPRODUCT((MONTH(CHOOSE({1,2,3,4},NĐ!U307,NĐ!AA307,NĐ!AG307,NĐ!AM307))=8)*(CHOOSE({1,2,3,4},NĐ!X307,NĐ!AD307,NĐ!AJ307,NĐ!AP307)))</f>
        <v>0</v>
      </c>
      <c r="I307">
        <f>SUMPRODUCT((MONTH(CHOOSE({1,2,3,4},NĐ!U307,NĐ!AA307,NĐ!AG307,NĐ!AM307))=9)*(CHOOSE({1,2,3,4},NĐ!X307,NĐ!AD307,NĐ!AJ307,NĐ!AP307)))</f>
        <v>0</v>
      </c>
      <c r="J307">
        <f>SUMPRODUCT((MONTH(CHOOSE({1,2,3,4},NĐ!U307,NĐ!AA307,NĐ!AG307,NĐ!AM307))=10)*(CHOOSE({1,2,3,4},NĐ!X307,NĐ!AD307,NĐ!AJ307,NĐ!AP307)))</f>
        <v>0</v>
      </c>
      <c r="K307">
        <f>SUMPRODUCT((MONTH(CHOOSE({1,2,3,4},NĐ!U307,NĐ!AA307,NĐ!AG307,NĐ!AM307))=11)*(CHOOSE({1,2,3,4},NĐ!X307,NĐ!AD307,NĐ!AJ307,NĐ!AP307)))</f>
        <v>0</v>
      </c>
      <c r="L307">
        <f>SUMPRODUCT((MONTH(CHOOSE({1,2,3,4},NĐ!U307,NĐ!AA307,NĐ!AG307,NĐ!AM307))=12)*(CHOOSE({1,2,3,4},NĐ!X307,NĐ!AD307,NĐ!AJ307,NĐ!AP307)))</f>
        <v>0</v>
      </c>
    </row>
    <row r="308" spans="1:12">
      <c r="A308">
        <f>SUMPRODUCT((MONTH(CHOOSE({1,2,3,4},NĐ!U308,NĐ!AA308,NĐ!AG308,NĐ!AM308))=1)*(CHOOSE({1,2,3,4},NĐ!X308,NĐ!AD308,NĐ!AJ308,NĐ!AP308)))</f>
        <v>0</v>
      </c>
      <c r="B308">
        <f>SUMPRODUCT((MONTH(CHOOSE({1,2,3,4},NĐ!U308,NĐ!AA308,NĐ!AG308,NĐ!AM308))=2)*(CHOOSE({1,2,3,4},NĐ!X308,NĐ!AD308,NĐ!AJ308,NĐ!AP308)))</f>
        <v>0</v>
      </c>
      <c r="C308">
        <f>SUMPRODUCT((MONTH(CHOOSE({1,2,3,4},NĐ!U308,NĐ!AA308,NĐ!AG308,NĐ!AM308))=3)*(CHOOSE({1,2,3,4},NĐ!X308,NĐ!AD308,NĐ!AJ308,NĐ!AP308)))</f>
        <v>0</v>
      </c>
      <c r="D308">
        <f>SUMPRODUCT((MONTH(CHOOSE({1,2,3,4},NĐ!U308,NĐ!AA308,NĐ!AG308,NĐ!AM308))=4)*(CHOOSE({1,2,3,4},NĐ!X308,NĐ!AD308,NĐ!AJ308,NĐ!AP308)))</f>
        <v>0</v>
      </c>
      <c r="E308">
        <f>SUMPRODUCT((MONTH(CHOOSE({1,2,3,4},NĐ!U308,NĐ!AA308,NĐ!AG308,NĐ!AM308))=5)*(CHOOSE({1,2,3,4},NĐ!X308,NĐ!AD308,NĐ!AJ308,NĐ!AP308)))</f>
        <v>0</v>
      </c>
      <c r="F308">
        <f>SUMPRODUCT((MONTH(CHOOSE({1,2,3,4},NĐ!U308,NĐ!AA308,NĐ!AG308,NĐ!AM308))=6)*(CHOOSE({1,2,3,4},NĐ!X308,NĐ!AD308,NĐ!AJ308,NĐ!AP308)))</f>
        <v>0</v>
      </c>
      <c r="G308">
        <f>SUMPRODUCT((MONTH(CHOOSE({1,2,3,4},NĐ!U308,NĐ!AA308,NĐ!AG308,NĐ!AM308))=7)*(CHOOSE({1,2,3,4},NĐ!X308,NĐ!AD308,NĐ!AJ308,NĐ!AP308)))</f>
        <v>0</v>
      </c>
      <c r="H308">
        <f>SUMPRODUCT((MONTH(CHOOSE({1,2,3,4},NĐ!U308,NĐ!AA308,NĐ!AG308,NĐ!AM308))=8)*(CHOOSE({1,2,3,4},NĐ!X308,NĐ!AD308,NĐ!AJ308,NĐ!AP308)))</f>
        <v>0</v>
      </c>
      <c r="I308">
        <f>SUMPRODUCT((MONTH(CHOOSE({1,2,3,4},NĐ!U308,NĐ!AA308,NĐ!AG308,NĐ!AM308))=9)*(CHOOSE({1,2,3,4},NĐ!X308,NĐ!AD308,NĐ!AJ308,NĐ!AP308)))</f>
        <v>0</v>
      </c>
      <c r="J308">
        <f>SUMPRODUCT((MONTH(CHOOSE({1,2,3,4},NĐ!U308,NĐ!AA308,NĐ!AG308,NĐ!AM308))=10)*(CHOOSE({1,2,3,4},NĐ!X308,NĐ!AD308,NĐ!AJ308,NĐ!AP308)))</f>
        <v>0</v>
      </c>
      <c r="K308">
        <f>SUMPRODUCT((MONTH(CHOOSE({1,2,3,4},NĐ!U308,NĐ!AA308,NĐ!AG308,NĐ!AM308))=11)*(CHOOSE({1,2,3,4},NĐ!X308,NĐ!AD308,NĐ!AJ308,NĐ!AP308)))</f>
        <v>0</v>
      </c>
      <c r="L308">
        <f>SUMPRODUCT((MONTH(CHOOSE({1,2,3,4},NĐ!U308,NĐ!AA308,NĐ!AG308,NĐ!AM308))=12)*(CHOOSE({1,2,3,4},NĐ!X308,NĐ!AD308,NĐ!AJ308,NĐ!AP308)))</f>
        <v>0</v>
      </c>
    </row>
    <row r="309" spans="1:12">
      <c r="A309">
        <f>SUMPRODUCT((MONTH(CHOOSE({1,2,3,4},NĐ!U309,NĐ!AA309,NĐ!AG309,NĐ!AM309))=1)*(CHOOSE({1,2,3,4},NĐ!X309,NĐ!AD309,NĐ!AJ309,NĐ!AP309)))</f>
        <v>0</v>
      </c>
      <c r="B309">
        <f>SUMPRODUCT((MONTH(CHOOSE({1,2,3,4},NĐ!U309,NĐ!AA309,NĐ!AG309,NĐ!AM309))=2)*(CHOOSE({1,2,3,4},NĐ!X309,NĐ!AD309,NĐ!AJ309,NĐ!AP309)))</f>
        <v>0</v>
      </c>
      <c r="C309">
        <f>SUMPRODUCT((MONTH(CHOOSE({1,2,3,4},NĐ!U309,NĐ!AA309,NĐ!AG309,NĐ!AM309))=3)*(CHOOSE({1,2,3,4},NĐ!X309,NĐ!AD309,NĐ!AJ309,NĐ!AP309)))</f>
        <v>0</v>
      </c>
      <c r="D309">
        <f>SUMPRODUCT((MONTH(CHOOSE({1,2,3,4},NĐ!U309,NĐ!AA309,NĐ!AG309,NĐ!AM309))=4)*(CHOOSE({1,2,3,4},NĐ!X309,NĐ!AD309,NĐ!AJ309,NĐ!AP309)))</f>
        <v>0</v>
      </c>
      <c r="E309">
        <f>SUMPRODUCT((MONTH(CHOOSE({1,2,3,4},NĐ!U309,NĐ!AA309,NĐ!AG309,NĐ!AM309))=5)*(CHOOSE({1,2,3,4},NĐ!X309,NĐ!AD309,NĐ!AJ309,NĐ!AP309)))</f>
        <v>0</v>
      </c>
      <c r="F309">
        <f>SUMPRODUCT((MONTH(CHOOSE({1,2,3,4},NĐ!U309,NĐ!AA309,NĐ!AG309,NĐ!AM309))=6)*(CHOOSE({1,2,3,4},NĐ!X309,NĐ!AD309,NĐ!AJ309,NĐ!AP309)))</f>
        <v>0</v>
      </c>
      <c r="G309">
        <f>SUMPRODUCT((MONTH(CHOOSE({1,2,3,4},NĐ!U309,NĐ!AA309,NĐ!AG309,NĐ!AM309))=7)*(CHOOSE({1,2,3,4},NĐ!X309,NĐ!AD309,NĐ!AJ309,NĐ!AP309)))</f>
        <v>0</v>
      </c>
      <c r="H309">
        <f>SUMPRODUCT((MONTH(CHOOSE({1,2,3,4},NĐ!U309,NĐ!AA309,NĐ!AG309,NĐ!AM309))=8)*(CHOOSE({1,2,3,4},NĐ!X309,NĐ!AD309,NĐ!AJ309,NĐ!AP309)))</f>
        <v>0</v>
      </c>
      <c r="I309">
        <f>SUMPRODUCT((MONTH(CHOOSE({1,2,3,4},NĐ!U309,NĐ!AA309,NĐ!AG309,NĐ!AM309))=9)*(CHOOSE({1,2,3,4},NĐ!X309,NĐ!AD309,NĐ!AJ309,NĐ!AP309)))</f>
        <v>0</v>
      </c>
      <c r="J309">
        <f>SUMPRODUCT((MONTH(CHOOSE({1,2,3,4},NĐ!U309,NĐ!AA309,NĐ!AG309,NĐ!AM309))=10)*(CHOOSE({1,2,3,4},NĐ!X309,NĐ!AD309,NĐ!AJ309,NĐ!AP309)))</f>
        <v>0</v>
      </c>
      <c r="K309">
        <f>SUMPRODUCT((MONTH(CHOOSE({1,2,3,4},NĐ!U309,NĐ!AA309,NĐ!AG309,NĐ!AM309))=11)*(CHOOSE({1,2,3,4},NĐ!X309,NĐ!AD309,NĐ!AJ309,NĐ!AP309)))</f>
        <v>0</v>
      </c>
      <c r="L309">
        <f>SUMPRODUCT((MONTH(CHOOSE({1,2,3,4},NĐ!U309,NĐ!AA309,NĐ!AG309,NĐ!AM309))=12)*(CHOOSE({1,2,3,4},NĐ!X309,NĐ!AD309,NĐ!AJ309,NĐ!AP309)))</f>
        <v>0</v>
      </c>
    </row>
    <row r="310" spans="1:12">
      <c r="A310">
        <f>SUMPRODUCT((MONTH(CHOOSE({1,2,3,4},NĐ!U310,NĐ!AA310,NĐ!AG310,NĐ!AM310))=1)*(CHOOSE({1,2,3,4},NĐ!X310,NĐ!AD310,NĐ!AJ310,NĐ!AP310)))</f>
        <v>0</v>
      </c>
      <c r="B310">
        <f>SUMPRODUCT((MONTH(CHOOSE({1,2,3,4},NĐ!U310,NĐ!AA310,NĐ!AG310,NĐ!AM310))=2)*(CHOOSE({1,2,3,4},NĐ!X310,NĐ!AD310,NĐ!AJ310,NĐ!AP310)))</f>
        <v>0</v>
      </c>
      <c r="C310">
        <f>SUMPRODUCT((MONTH(CHOOSE({1,2,3,4},NĐ!U310,NĐ!AA310,NĐ!AG310,NĐ!AM310))=3)*(CHOOSE({1,2,3,4},NĐ!X310,NĐ!AD310,NĐ!AJ310,NĐ!AP310)))</f>
        <v>0</v>
      </c>
      <c r="D310">
        <f>SUMPRODUCT((MONTH(CHOOSE({1,2,3,4},NĐ!U310,NĐ!AA310,NĐ!AG310,NĐ!AM310))=4)*(CHOOSE({1,2,3,4},NĐ!X310,NĐ!AD310,NĐ!AJ310,NĐ!AP310)))</f>
        <v>0</v>
      </c>
      <c r="E310">
        <f>SUMPRODUCT((MONTH(CHOOSE({1,2,3,4},NĐ!U310,NĐ!AA310,NĐ!AG310,NĐ!AM310))=5)*(CHOOSE({1,2,3,4},NĐ!X310,NĐ!AD310,NĐ!AJ310,NĐ!AP310)))</f>
        <v>0</v>
      </c>
      <c r="F310">
        <f>SUMPRODUCT((MONTH(CHOOSE({1,2,3,4},NĐ!U310,NĐ!AA310,NĐ!AG310,NĐ!AM310))=6)*(CHOOSE({1,2,3,4},NĐ!X310,NĐ!AD310,NĐ!AJ310,NĐ!AP310)))</f>
        <v>0</v>
      </c>
      <c r="G310">
        <f>SUMPRODUCT((MONTH(CHOOSE({1,2,3,4},NĐ!U310,NĐ!AA310,NĐ!AG310,NĐ!AM310))=7)*(CHOOSE({1,2,3,4},NĐ!X310,NĐ!AD310,NĐ!AJ310,NĐ!AP310)))</f>
        <v>0</v>
      </c>
      <c r="H310">
        <f>SUMPRODUCT((MONTH(CHOOSE({1,2,3,4},NĐ!U310,NĐ!AA310,NĐ!AG310,NĐ!AM310))=8)*(CHOOSE({1,2,3,4},NĐ!X310,NĐ!AD310,NĐ!AJ310,NĐ!AP310)))</f>
        <v>0</v>
      </c>
      <c r="I310">
        <f>SUMPRODUCT((MONTH(CHOOSE({1,2,3,4},NĐ!U310,NĐ!AA310,NĐ!AG310,NĐ!AM310))=9)*(CHOOSE({1,2,3,4},NĐ!X310,NĐ!AD310,NĐ!AJ310,NĐ!AP310)))</f>
        <v>0</v>
      </c>
      <c r="J310">
        <f>SUMPRODUCT((MONTH(CHOOSE({1,2,3,4},NĐ!U310,NĐ!AA310,NĐ!AG310,NĐ!AM310))=10)*(CHOOSE({1,2,3,4},NĐ!X310,NĐ!AD310,NĐ!AJ310,NĐ!AP310)))</f>
        <v>0</v>
      </c>
      <c r="K310">
        <f>SUMPRODUCT((MONTH(CHOOSE({1,2,3,4},NĐ!U310,NĐ!AA310,NĐ!AG310,NĐ!AM310))=11)*(CHOOSE({1,2,3,4},NĐ!X310,NĐ!AD310,NĐ!AJ310,NĐ!AP310)))</f>
        <v>0</v>
      </c>
      <c r="L310">
        <f>SUMPRODUCT((MONTH(CHOOSE({1,2,3,4},NĐ!U310,NĐ!AA310,NĐ!AG310,NĐ!AM310))=12)*(CHOOSE({1,2,3,4},NĐ!X310,NĐ!AD310,NĐ!AJ310,NĐ!AP310)))</f>
        <v>0</v>
      </c>
    </row>
    <row r="311" spans="1:12">
      <c r="A311">
        <f>SUMPRODUCT((MONTH(CHOOSE({1,2,3,4},NĐ!U311,NĐ!AA311,NĐ!AG311,NĐ!AM311))=1)*(CHOOSE({1,2,3,4},NĐ!X311,NĐ!AD311,NĐ!AJ311,NĐ!AP311)))</f>
        <v>0</v>
      </c>
      <c r="B311">
        <f>SUMPRODUCT((MONTH(CHOOSE({1,2,3,4},NĐ!U311,NĐ!AA311,NĐ!AG311,NĐ!AM311))=2)*(CHOOSE({1,2,3,4},NĐ!X311,NĐ!AD311,NĐ!AJ311,NĐ!AP311)))</f>
        <v>0</v>
      </c>
      <c r="C311">
        <f>SUMPRODUCT((MONTH(CHOOSE({1,2,3,4},NĐ!U311,NĐ!AA311,NĐ!AG311,NĐ!AM311))=3)*(CHOOSE({1,2,3,4},NĐ!X311,NĐ!AD311,NĐ!AJ311,NĐ!AP311)))</f>
        <v>0</v>
      </c>
      <c r="D311">
        <f>SUMPRODUCT((MONTH(CHOOSE({1,2,3,4},NĐ!U311,NĐ!AA311,NĐ!AG311,NĐ!AM311))=4)*(CHOOSE({1,2,3,4},NĐ!X311,NĐ!AD311,NĐ!AJ311,NĐ!AP311)))</f>
        <v>0</v>
      </c>
      <c r="E311">
        <f>SUMPRODUCT((MONTH(CHOOSE({1,2,3,4},NĐ!U311,NĐ!AA311,NĐ!AG311,NĐ!AM311))=5)*(CHOOSE({1,2,3,4},NĐ!X311,NĐ!AD311,NĐ!AJ311,NĐ!AP311)))</f>
        <v>0</v>
      </c>
      <c r="F311">
        <f>SUMPRODUCT((MONTH(CHOOSE({1,2,3,4},NĐ!U311,NĐ!AA311,NĐ!AG311,NĐ!AM311))=6)*(CHOOSE({1,2,3,4},NĐ!X311,NĐ!AD311,NĐ!AJ311,NĐ!AP311)))</f>
        <v>0</v>
      </c>
      <c r="G311">
        <f>SUMPRODUCT((MONTH(CHOOSE({1,2,3,4},NĐ!U311,NĐ!AA311,NĐ!AG311,NĐ!AM311))=7)*(CHOOSE({1,2,3,4},NĐ!X311,NĐ!AD311,NĐ!AJ311,NĐ!AP311)))</f>
        <v>0</v>
      </c>
      <c r="H311">
        <f>SUMPRODUCT((MONTH(CHOOSE({1,2,3,4},NĐ!U311,NĐ!AA311,NĐ!AG311,NĐ!AM311))=8)*(CHOOSE({1,2,3,4},NĐ!X311,NĐ!AD311,NĐ!AJ311,NĐ!AP311)))</f>
        <v>0</v>
      </c>
      <c r="I311">
        <f>SUMPRODUCT((MONTH(CHOOSE({1,2,3,4},NĐ!U311,NĐ!AA311,NĐ!AG311,NĐ!AM311))=9)*(CHOOSE({1,2,3,4},NĐ!X311,NĐ!AD311,NĐ!AJ311,NĐ!AP311)))</f>
        <v>0</v>
      </c>
      <c r="J311">
        <f>SUMPRODUCT((MONTH(CHOOSE({1,2,3,4},NĐ!U311,NĐ!AA311,NĐ!AG311,NĐ!AM311))=10)*(CHOOSE({1,2,3,4},NĐ!X311,NĐ!AD311,NĐ!AJ311,NĐ!AP311)))</f>
        <v>0</v>
      </c>
      <c r="K311">
        <f>SUMPRODUCT((MONTH(CHOOSE({1,2,3,4},NĐ!U311,NĐ!AA311,NĐ!AG311,NĐ!AM311))=11)*(CHOOSE({1,2,3,4},NĐ!X311,NĐ!AD311,NĐ!AJ311,NĐ!AP311)))</f>
        <v>0</v>
      </c>
      <c r="L311">
        <f>SUMPRODUCT((MONTH(CHOOSE({1,2,3,4},NĐ!U311,NĐ!AA311,NĐ!AG311,NĐ!AM311))=12)*(CHOOSE({1,2,3,4},NĐ!X311,NĐ!AD311,NĐ!AJ311,NĐ!AP311)))</f>
        <v>0</v>
      </c>
    </row>
    <row r="312" spans="1:12">
      <c r="A312">
        <f>SUMPRODUCT((MONTH(CHOOSE({1,2,3,4},NĐ!U312,NĐ!AA312,NĐ!AG312,NĐ!AM312))=1)*(CHOOSE({1,2,3,4},NĐ!X312,NĐ!AD312,NĐ!AJ312,NĐ!AP312)))</f>
        <v>0</v>
      </c>
      <c r="B312">
        <f>SUMPRODUCT((MONTH(CHOOSE({1,2,3,4},NĐ!U312,NĐ!AA312,NĐ!AG312,NĐ!AM312))=2)*(CHOOSE({1,2,3,4},NĐ!X312,NĐ!AD312,NĐ!AJ312,NĐ!AP312)))</f>
        <v>0</v>
      </c>
      <c r="C312">
        <f>SUMPRODUCT((MONTH(CHOOSE({1,2,3,4},NĐ!U312,NĐ!AA312,NĐ!AG312,NĐ!AM312))=3)*(CHOOSE({1,2,3,4},NĐ!X312,NĐ!AD312,NĐ!AJ312,NĐ!AP312)))</f>
        <v>0</v>
      </c>
      <c r="D312">
        <f>SUMPRODUCT((MONTH(CHOOSE({1,2,3,4},NĐ!U312,NĐ!AA312,NĐ!AG312,NĐ!AM312))=4)*(CHOOSE({1,2,3,4},NĐ!X312,NĐ!AD312,NĐ!AJ312,NĐ!AP312)))</f>
        <v>0</v>
      </c>
      <c r="E312">
        <f>SUMPRODUCT((MONTH(CHOOSE({1,2,3,4},NĐ!U312,NĐ!AA312,NĐ!AG312,NĐ!AM312))=5)*(CHOOSE({1,2,3,4},NĐ!X312,NĐ!AD312,NĐ!AJ312,NĐ!AP312)))</f>
        <v>0</v>
      </c>
      <c r="F312">
        <f>SUMPRODUCT((MONTH(CHOOSE({1,2,3,4},NĐ!U312,NĐ!AA312,NĐ!AG312,NĐ!AM312))=6)*(CHOOSE({1,2,3,4},NĐ!X312,NĐ!AD312,NĐ!AJ312,NĐ!AP312)))</f>
        <v>0</v>
      </c>
      <c r="G312">
        <f>SUMPRODUCT((MONTH(CHOOSE({1,2,3,4},NĐ!U312,NĐ!AA312,NĐ!AG312,NĐ!AM312))=7)*(CHOOSE({1,2,3,4},NĐ!X312,NĐ!AD312,NĐ!AJ312,NĐ!AP312)))</f>
        <v>0</v>
      </c>
      <c r="H312">
        <f>SUMPRODUCT((MONTH(CHOOSE({1,2,3,4},NĐ!U312,NĐ!AA312,NĐ!AG312,NĐ!AM312))=8)*(CHOOSE({1,2,3,4},NĐ!X312,NĐ!AD312,NĐ!AJ312,NĐ!AP312)))</f>
        <v>0</v>
      </c>
      <c r="I312">
        <f>SUMPRODUCT((MONTH(CHOOSE({1,2,3,4},NĐ!U312,NĐ!AA312,NĐ!AG312,NĐ!AM312))=9)*(CHOOSE({1,2,3,4},NĐ!X312,NĐ!AD312,NĐ!AJ312,NĐ!AP312)))</f>
        <v>0</v>
      </c>
      <c r="J312">
        <f>SUMPRODUCT((MONTH(CHOOSE({1,2,3,4},NĐ!U312,NĐ!AA312,NĐ!AG312,NĐ!AM312))=10)*(CHOOSE({1,2,3,4},NĐ!X312,NĐ!AD312,NĐ!AJ312,NĐ!AP312)))</f>
        <v>0</v>
      </c>
      <c r="K312">
        <f>SUMPRODUCT((MONTH(CHOOSE({1,2,3,4},NĐ!U312,NĐ!AA312,NĐ!AG312,NĐ!AM312))=11)*(CHOOSE({1,2,3,4},NĐ!X312,NĐ!AD312,NĐ!AJ312,NĐ!AP312)))</f>
        <v>0</v>
      </c>
      <c r="L312">
        <f>SUMPRODUCT((MONTH(CHOOSE({1,2,3,4},NĐ!U312,NĐ!AA312,NĐ!AG312,NĐ!AM312))=12)*(CHOOSE({1,2,3,4},NĐ!X312,NĐ!AD312,NĐ!AJ312,NĐ!AP312)))</f>
        <v>0</v>
      </c>
    </row>
    <row r="313" spans="1:12">
      <c r="A313">
        <f>SUMPRODUCT((MONTH(CHOOSE({1,2,3,4},NĐ!U313,NĐ!AA313,NĐ!AG313,NĐ!AM313))=1)*(CHOOSE({1,2,3,4},NĐ!X313,NĐ!AD313,NĐ!AJ313,NĐ!AP313)))</f>
        <v>0</v>
      </c>
      <c r="B313">
        <f>SUMPRODUCT((MONTH(CHOOSE({1,2,3,4},NĐ!U313,NĐ!AA313,NĐ!AG313,NĐ!AM313))=2)*(CHOOSE({1,2,3,4},NĐ!X313,NĐ!AD313,NĐ!AJ313,NĐ!AP313)))</f>
        <v>0</v>
      </c>
      <c r="C313">
        <f>SUMPRODUCT((MONTH(CHOOSE({1,2,3,4},NĐ!U313,NĐ!AA313,NĐ!AG313,NĐ!AM313))=3)*(CHOOSE({1,2,3,4},NĐ!X313,NĐ!AD313,NĐ!AJ313,NĐ!AP313)))</f>
        <v>0</v>
      </c>
      <c r="D313">
        <f>SUMPRODUCT((MONTH(CHOOSE({1,2,3,4},NĐ!U313,NĐ!AA313,NĐ!AG313,NĐ!AM313))=4)*(CHOOSE({1,2,3,4},NĐ!X313,NĐ!AD313,NĐ!AJ313,NĐ!AP313)))</f>
        <v>0</v>
      </c>
      <c r="E313">
        <f>SUMPRODUCT((MONTH(CHOOSE({1,2,3,4},NĐ!U313,NĐ!AA313,NĐ!AG313,NĐ!AM313))=5)*(CHOOSE({1,2,3,4},NĐ!X313,NĐ!AD313,NĐ!AJ313,NĐ!AP313)))</f>
        <v>0</v>
      </c>
      <c r="F313">
        <f>SUMPRODUCT((MONTH(CHOOSE({1,2,3,4},NĐ!U313,NĐ!AA313,NĐ!AG313,NĐ!AM313))=6)*(CHOOSE({1,2,3,4},NĐ!X313,NĐ!AD313,NĐ!AJ313,NĐ!AP313)))</f>
        <v>0</v>
      </c>
      <c r="G313">
        <f>SUMPRODUCT((MONTH(CHOOSE({1,2,3,4},NĐ!U313,NĐ!AA313,NĐ!AG313,NĐ!AM313))=7)*(CHOOSE({1,2,3,4},NĐ!X313,NĐ!AD313,NĐ!AJ313,NĐ!AP313)))</f>
        <v>0</v>
      </c>
      <c r="H313">
        <f>SUMPRODUCT((MONTH(CHOOSE({1,2,3,4},NĐ!U313,NĐ!AA313,NĐ!AG313,NĐ!AM313))=8)*(CHOOSE({1,2,3,4},NĐ!X313,NĐ!AD313,NĐ!AJ313,NĐ!AP313)))</f>
        <v>0</v>
      </c>
      <c r="I313">
        <f>SUMPRODUCT((MONTH(CHOOSE({1,2,3,4},NĐ!U313,NĐ!AA313,NĐ!AG313,NĐ!AM313))=9)*(CHOOSE({1,2,3,4},NĐ!X313,NĐ!AD313,NĐ!AJ313,NĐ!AP313)))</f>
        <v>0</v>
      </c>
      <c r="J313">
        <f>SUMPRODUCT((MONTH(CHOOSE({1,2,3,4},NĐ!U313,NĐ!AA313,NĐ!AG313,NĐ!AM313))=10)*(CHOOSE({1,2,3,4},NĐ!X313,NĐ!AD313,NĐ!AJ313,NĐ!AP313)))</f>
        <v>0</v>
      </c>
      <c r="K313">
        <f>SUMPRODUCT((MONTH(CHOOSE({1,2,3,4},NĐ!U313,NĐ!AA313,NĐ!AG313,NĐ!AM313))=11)*(CHOOSE({1,2,3,4},NĐ!X313,NĐ!AD313,NĐ!AJ313,NĐ!AP313)))</f>
        <v>0</v>
      </c>
      <c r="L313">
        <f>SUMPRODUCT((MONTH(CHOOSE({1,2,3,4},NĐ!U313,NĐ!AA313,NĐ!AG313,NĐ!AM313))=12)*(CHOOSE({1,2,3,4},NĐ!X313,NĐ!AD313,NĐ!AJ313,NĐ!AP313)))</f>
        <v>0</v>
      </c>
    </row>
    <row r="314" spans="1:12">
      <c r="A314">
        <f>SUMPRODUCT((MONTH(CHOOSE({1,2,3,4},NĐ!U314,NĐ!AA314,NĐ!AG314,NĐ!AM314))=1)*(CHOOSE({1,2,3,4},NĐ!X314,NĐ!AD314,NĐ!AJ314,NĐ!AP314)))</f>
        <v>0</v>
      </c>
      <c r="B314">
        <f>SUMPRODUCT((MONTH(CHOOSE({1,2,3,4},NĐ!U314,NĐ!AA314,NĐ!AG314,NĐ!AM314))=2)*(CHOOSE({1,2,3,4},NĐ!X314,NĐ!AD314,NĐ!AJ314,NĐ!AP314)))</f>
        <v>0</v>
      </c>
      <c r="C314">
        <f>SUMPRODUCT((MONTH(CHOOSE({1,2,3,4},NĐ!U314,NĐ!AA314,NĐ!AG314,NĐ!AM314))=3)*(CHOOSE({1,2,3,4},NĐ!X314,NĐ!AD314,NĐ!AJ314,NĐ!AP314)))</f>
        <v>0</v>
      </c>
      <c r="D314">
        <f>SUMPRODUCT((MONTH(CHOOSE({1,2,3,4},NĐ!U314,NĐ!AA314,NĐ!AG314,NĐ!AM314))=4)*(CHOOSE({1,2,3,4},NĐ!X314,NĐ!AD314,NĐ!AJ314,NĐ!AP314)))</f>
        <v>0</v>
      </c>
      <c r="E314">
        <f>SUMPRODUCT((MONTH(CHOOSE({1,2,3,4},NĐ!U314,NĐ!AA314,NĐ!AG314,NĐ!AM314))=5)*(CHOOSE({1,2,3,4},NĐ!X314,NĐ!AD314,NĐ!AJ314,NĐ!AP314)))</f>
        <v>0</v>
      </c>
      <c r="F314">
        <f>SUMPRODUCT((MONTH(CHOOSE({1,2,3,4},NĐ!U314,NĐ!AA314,NĐ!AG314,NĐ!AM314))=6)*(CHOOSE({1,2,3,4},NĐ!X314,NĐ!AD314,NĐ!AJ314,NĐ!AP314)))</f>
        <v>0</v>
      </c>
      <c r="G314">
        <f>SUMPRODUCT((MONTH(CHOOSE({1,2,3,4},NĐ!U314,NĐ!AA314,NĐ!AG314,NĐ!AM314))=7)*(CHOOSE({1,2,3,4},NĐ!X314,NĐ!AD314,NĐ!AJ314,NĐ!AP314)))</f>
        <v>0</v>
      </c>
      <c r="H314">
        <f>SUMPRODUCT((MONTH(CHOOSE({1,2,3,4},NĐ!U314,NĐ!AA314,NĐ!AG314,NĐ!AM314))=8)*(CHOOSE({1,2,3,4},NĐ!X314,NĐ!AD314,NĐ!AJ314,NĐ!AP314)))</f>
        <v>0</v>
      </c>
      <c r="I314">
        <f>SUMPRODUCT((MONTH(CHOOSE({1,2,3,4},NĐ!U314,NĐ!AA314,NĐ!AG314,NĐ!AM314))=9)*(CHOOSE({1,2,3,4},NĐ!X314,NĐ!AD314,NĐ!AJ314,NĐ!AP314)))</f>
        <v>0</v>
      </c>
      <c r="J314">
        <f>SUMPRODUCT((MONTH(CHOOSE({1,2,3,4},NĐ!U314,NĐ!AA314,NĐ!AG314,NĐ!AM314))=10)*(CHOOSE({1,2,3,4},NĐ!X314,NĐ!AD314,NĐ!AJ314,NĐ!AP314)))</f>
        <v>0</v>
      </c>
      <c r="K314">
        <f>SUMPRODUCT((MONTH(CHOOSE({1,2,3,4},NĐ!U314,NĐ!AA314,NĐ!AG314,NĐ!AM314))=11)*(CHOOSE({1,2,3,4},NĐ!X314,NĐ!AD314,NĐ!AJ314,NĐ!AP314)))</f>
        <v>0</v>
      </c>
      <c r="L314">
        <f>SUMPRODUCT((MONTH(CHOOSE({1,2,3,4},NĐ!U314,NĐ!AA314,NĐ!AG314,NĐ!AM314))=12)*(CHOOSE({1,2,3,4},NĐ!X314,NĐ!AD314,NĐ!AJ314,NĐ!AP314)))</f>
        <v>0</v>
      </c>
    </row>
    <row r="315" spans="1:12">
      <c r="A315">
        <f>SUMPRODUCT((MONTH(CHOOSE({1,2,3,4},NĐ!U315,NĐ!AA315,NĐ!AG315,NĐ!AM315))=1)*(CHOOSE({1,2,3,4},NĐ!X315,NĐ!AD315,NĐ!AJ315,NĐ!AP315)))</f>
        <v>0</v>
      </c>
      <c r="B315">
        <f>SUMPRODUCT((MONTH(CHOOSE({1,2,3,4},NĐ!U315,NĐ!AA315,NĐ!AG315,NĐ!AM315))=2)*(CHOOSE({1,2,3,4},NĐ!X315,NĐ!AD315,NĐ!AJ315,NĐ!AP315)))</f>
        <v>0</v>
      </c>
      <c r="C315">
        <f>SUMPRODUCT((MONTH(CHOOSE({1,2,3,4},NĐ!U315,NĐ!AA315,NĐ!AG315,NĐ!AM315))=3)*(CHOOSE({1,2,3,4},NĐ!X315,NĐ!AD315,NĐ!AJ315,NĐ!AP315)))</f>
        <v>0</v>
      </c>
      <c r="D315">
        <f>SUMPRODUCT((MONTH(CHOOSE({1,2,3,4},NĐ!U315,NĐ!AA315,NĐ!AG315,NĐ!AM315))=4)*(CHOOSE({1,2,3,4},NĐ!X315,NĐ!AD315,NĐ!AJ315,NĐ!AP315)))</f>
        <v>0</v>
      </c>
      <c r="E315">
        <f>SUMPRODUCT((MONTH(CHOOSE({1,2,3,4},NĐ!U315,NĐ!AA315,NĐ!AG315,NĐ!AM315))=5)*(CHOOSE({1,2,3,4},NĐ!X315,NĐ!AD315,NĐ!AJ315,NĐ!AP315)))</f>
        <v>0</v>
      </c>
      <c r="F315">
        <f>SUMPRODUCT((MONTH(CHOOSE({1,2,3,4},NĐ!U315,NĐ!AA315,NĐ!AG315,NĐ!AM315))=6)*(CHOOSE({1,2,3,4},NĐ!X315,NĐ!AD315,NĐ!AJ315,NĐ!AP315)))</f>
        <v>0</v>
      </c>
      <c r="G315">
        <f>SUMPRODUCT((MONTH(CHOOSE({1,2,3,4},NĐ!U315,NĐ!AA315,NĐ!AG315,NĐ!AM315))=7)*(CHOOSE({1,2,3,4},NĐ!X315,NĐ!AD315,NĐ!AJ315,NĐ!AP315)))</f>
        <v>0</v>
      </c>
      <c r="H315">
        <f>SUMPRODUCT((MONTH(CHOOSE({1,2,3,4},NĐ!U315,NĐ!AA315,NĐ!AG315,NĐ!AM315))=8)*(CHOOSE({1,2,3,4},NĐ!X315,NĐ!AD315,NĐ!AJ315,NĐ!AP315)))</f>
        <v>0</v>
      </c>
      <c r="I315">
        <f>SUMPRODUCT((MONTH(CHOOSE({1,2,3,4},NĐ!U315,NĐ!AA315,NĐ!AG315,NĐ!AM315))=9)*(CHOOSE({1,2,3,4},NĐ!X315,NĐ!AD315,NĐ!AJ315,NĐ!AP315)))</f>
        <v>0</v>
      </c>
      <c r="J315">
        <f>SUMPRODUCT((MONTH(CHOOSE({1,2,3,4},NĐ!U315,NĐ!AA315,NĐ!AG315,NĐ!AM315))=10)*(CHOOSE({1,2,3,4},NĐ!X315,NĐ!AD315,NĐ!AJ315,NĐ!AP315)))</f>
        <v>0</v>
      </c>
      <c r="K315">
        <f>SUMPRODUCT((MONTH(CHOOSE({1,2,3,4},NĐ!U315,NĐ!AA315,NĐ!AG315,NĐ!AM315))=11)*(CHOOSE({1,2,3,4},NĐ!X315,NĐ!AD315,NĐ!AJ315,NĐ!AP315)))</f>
        <v>0</v>
      </c>
      <c r="L315">
        <f>SUMPRODUCT((MONTH(CHOOSE({1,2,3,4},NĐ!U315,NĐ!AA315,NĐ!AG315,NĐ!AM315))=12)*(CHOOSE({1,2,3,4},NĐ!X315,NĐ!AD315,NĐ!AJ315,NĐ!AP315)))</f>
        <v>0</v>
      </c>
    </row>
    <row r="316" spans="1:12">
      <c r="A316">
        <f>SUMPRODUCT((MONTH(CHOOSE({1,2,3,4},NĐ!U316,NĐ!AA316,NĐ!AG316,NĐ!AM316))=1)*(CHOOSE({1,2,3,4},NĐ!X316,NĐ!AD316,NĐ!AJ316,NĐ!AP316)))</f>
        <v>0</v>
      </c>
      <c r="B316">
        <f>SUMPRODUCT((MONTH(CHOOSE({1,2,3,4},NĐ!U316,NĐ!AA316,NĐ!AG316,NĐ!AM316))=2)*(CHOOSE({1,2,3,4},NĐ!X316,NĐ!AD316,NĐ!AJ316,NĐ!AP316)))</f>
        <v>0</v>
      </c>
      <c r="C316">
        <f>SUMPRODUCT((MONTH(CHOOSE({1,2,3,4},NĐ!U316,NĐ!AA316,NĐ!AG316,NĐ!AM316))=3)*(CHOOSE({1,2,3,4},NĐ!X316,NĐ!AD316,NĐ!AJ316,NĐ!AP316)))</f>
        <v>0</v>
      </c>
      <c r="D316">
        <f>SUMPRODUCT((MONTH(CHOOSE({1,2,3,4},NĐ!U316,NĐ!AA316,NĐ!AG316,NĐ!AM316))=4)*(CHOOSE({1,2,3,4},NĐ!X316,NĐ!AD316,NĐ!AJ316,NĐ!AP316)))</f>
        <v>0</v>
      </c>
      <c r="E316">
        <f>SUMPRODUCT((MONTH(CHOOSE({1,2,3,4},NĐ!U316,NĐ!AA316,NĐ!AG316,NĐ!AM316))=5)*(CHOOSE({1,2,3,4},NĐ!X316,NĐ!AD316,NĐ!AJ316,NĐ!AP316)))</f>
        <v>0</v>
      </c>
      <c r="F316">
        <f>SUMPRODUCT((MONTH(CHOOSE({1,2,3,4},NĐ!U316,NĐ!AA316,NĐ!AG316,NĐ!AM316))=6)*(CHOOSE({1,2,3,4},NĐ!X316,NĐ!AD316,NĐ!AJ316,NĐ!AP316)))</f>
        <v>0</v>
      </c>
      <c r="G316">
        <f>SUMPRODUCT((MONTH(CHOOSE({1,2,3,4},NĐ!U316,NĐ!AA316,NĐ!AG316,NĐ!AM316))=7)*(CHOOSE({1,2,3,4},NĐ!X316,NĐ!AD316,NĐ!AJ316,NĐ!AP316)))</f>
        <v>0</v>
      </c>
      <c r="H316">
        <f>SUMPRODUCT((MONTH(CHOOSE({1,2,3,4},NĐ!U316,NĐ!AA316,NĐ!AG316,NĐ!AM316))=8)*(CHOOSE({1,2,3,4},NĐ!X316,NĐ!AD316,NĐ!AJ316,NĐ!AP316)))</f>
        <v>0</v>
      </c>
      <c r="I316">
        <f>SUMPRODUCT((MONTH(CHOOSE({1,2,3,4},NĐ!U316,NĐ!AA316,NĐ!AG316,NĐ!AM316))=9)*(CHOOSE({1,2,3,4},NĐ!X316,NĐ!AD316,NĐ!AJ316,NĐ!AP316)))</f>
        <v>0</v>
      </c>
      <c r="J316">
        <f>SUMPRODUCT((MONTH(CHOOSE({1,2,3,4},NĐ!U316,NĐ!AA316,NĐ!AG316,NĐ!AM316))=10)*(CHOOSE({1,2,3,4},NĐ!X316,NĐ!AD316,NĐ!AJ316,NĐ!AP316)))</f>
        <v>0</v>
      </c>
      <c r="K316">
        <f>SUMPRODUCT((MONTH(CHOOSE({1,2,3,4},NĐ!U316,NĐ!AA316,NĐ!AG316,NĐ!AM316))=11)*(CHOOSE({1,2,3,4},NĐ!X316,NĐ!AD316,NĐ!AJ316,NĐ!AP316)))</f>
        <v>0</v>
      </c>
      <c r="L316">
        <f>SUMPRODUCT((MONTH(CHOOSE({1,2,3,4},NĐ!U316,NĐ!AA316,NĐ!AG316,NĐ!AM316))=12)*(CHOOSE({1,2,3,4},NĐ!X316,NĐ!AD316,NĐ!AJ316,NĐ!AP316)))</f>
        <v>0</v>
      </c>
    </row>
    <row r="317" spans="1:12">
      <c r="A317">
        <f>SUMPRODUCT((MONTH(CHOOSE({1,2,3,4},NĐ!U317,NĐ!AA317,NĐ!AG317,NĐ!AM317))=1)*(CHOOSE({1,2,3,4},NĐ!X317,NĐ!AD317,NĐ!AJ317,NĐ!AP317)))</f>
        <v>0</v>
      </c>
      <c r="B317">
        <f>SUMPRODUCT((MONTH(CHOOSE({1,2,3,4},NĐ!U317,NĐ!AA317,NĐ!AG317,NĐ!AM317))=2)*(CHOOSE({1,2,3,4},NĐ!X317,NĐ!AD317,NĐ!AJ317,NĐ!AP317)))</f>
        <v>0</v>
      </c>
      <c r="C317">
        <f>SUMPRODUCT((MONTH(CHOOSE({1,2,3,4},NĐ!U317,NĐ!AA317,NĐ!AG317,NĐ!AM317))=3)*(CHOOSE({1,2,3,4},NĐ!X317,NĐ!AD317,NĐ!AJ317,NĐ!AP317)))</f>
        <v>0</v>
      </c>
      <c r="D317">
        <f>SUMPRODUCT((MONTH(CHOOSE({1,2,3,4},NĐ!U317,NĐ!AA317,NĐ!AG317,NĐ!AM317))=4)*(CHOOSE({1,2,3,4},NĐ!X317,NĐ!AD317,NĐ!AJ317,NĐ!AP317)))</f>
        <v>0</v>
      </c>
      <c r="E317">
        <f>SUMPRODUCT((MONTH(CHOOSE({1,2,3,4},NĐ!U317,NĐ!AA317,NĐ!AG317,NĐ!AM317))=5)*(CHOOSE({1,2,3,4},NĐ!X317,NĐ!AD317,NĐ!AJ317,NĐ!AP317)))</f>
        <v>0</v>
      </c>
      <c r="F317">
        <f>SUMPRODUCT((MONTH(CHOOSE({1,2,3,4},NĐ!U317,NĐ!AA317,NĐ!AG317,NĐ!AM317))=6)*(CHOOSE({1,2,3,4},NĐ!X317,NĐ!AD317,NĐ!AJ317,NĐ!AP317)))</f>
        <v>0</v>
      </c>
      <c r="G317">
        <f>SUMPRODUCT((MONTH(CHOOSE({1,2,3,4},NĐ!U317,NĐ!AA317,NĐ!AG317,NĐ!AM317))=7)*(CHOOSE({1,2,3,4},NĐ!X317,NĐ!AD317,NĐ!AJ317,NĐ!AP317)))</f>
        <v>0</v>
      </c>
      <c r="H317">
        <f>SUMPRODUCT((MONTH(CHOOSE({1,2,3,4},NĐ!U317,NĐ!AA317,NĐ!AG317,NĐ!AM317))=8)*(CHOOSE({1,2,3,4},NĐ!X317,NĐ!AD317,NĐ!AJ317,NĐ!AP317)))</f>
        <v>0</v>
      </c>
      <c r="I317">
        <f>SUMPRODUCT((MONTH(CHOOSE({1,2,3,4},NĐ!U317,NĐ!AA317,NĐ!AG317,NĐ!AM317))=9)*(CHOOSE({1,2,3,4},NĐ!X317,NĐ!AD317,NĐ!AJ317,NĐ!AP317)))</f>
        <v>0</v>
      </c>
      <c r="J317">
        <f>SUMPRODUCT((MONTH(CHOOSE({1,2,3,4},NĐ!U317,NĐ!AA317,NĐ!AG317,NĐ!AM317))=10)*(CHOOSE({1,2,3,4},NĐ!X317,NĐ!AD317,NĐ!AJ317,NĐ!AP317)))</f>
        <v>0</v>
      </c>
      <c r="K317">
        <f>SUMPRODUCT((MONTH(CHOOSE({1,2,3,4},NĐ!U317,NĐ!AA317,NĐ!AG317,NĐ!AM317))=11)*(CHOOSE({1,2,3,4},NĐ!X317,NĐ!AD317,NĐ!AJ317,NĐ!AP317)))</f>
        <v>0</v>
      </c>
      <c r="L317">
        <f>SUMPRODUCT((MONTH(CHOOSE({1,2,3,4},NĐ!U317,NĐ!AA317,NĐ!AG317,NĐ!AM317))=12)*(CHOOSE({1,2,3,4},NĐ!X317,NĐ!AD317,NĐ!AJ317,NĐ!AP317)))</f>
        <v>0</v>
      </c>
    </row>
    <row r="318" spans="1:12">
      <c r="A318">
        <f>SUMPRODUCT((MONTH(CHOOSE({1,2,3,4},NĐ!U318,NĐ!AA318,NĐ!AG318,NĐ!AM318))=1)*(CHOOSE({1,2,3,4},NĐ!X318,NĐ!AD318,NĐ!AJ318,NĐ!AP318)))</f>
        <v>0</v>
      </c>
      <c r="B318">
        <f>SUMPRODUCT((MONTH(CHOOSE({1,2,3,4},NĐ!U318,NĐ!AA318,NĐ!AG318,NĐ!AM318))=2)*(CHOOSE({1,2,3,4},NĐ!X318,NĐ!AD318,NĐ!AJ318,NĐ!AP318)))</f>
        <v>0</v>
      </c>
      <c r="C318">
        <f>SUMPRODUCT((MONTH(CHOOSE({1,2,3,4},NĐ!U318,NĐ!AA318,NĐ!AG318,NĐ!AM318))=3)*(CHOOSE({1,2,3,4},NĐ!X318,NĐ!AD318,NĐ!AJ318,NĐ!AP318)))</f>
        <v>0</v>
      </c>
      <c r="D318">
        <f>SUMPRODUCT((MONTH(CHOOSE({1,2,3,4},NĐ!U318,NĐ!AA318,NĐ!AG318,NĐ!AM318))=4)*(CHOOSE({1,2,3,4},NĐ!X318,NĐ!AD318,NĐ!AJ318,NĐ!AP318)))</f>
        <v>0</v>
      </c>
      <c r="E318">
        <f>SUMPRODUCT((MONTH(CHOOSE({1,2,3,4},NĐ!U318,NĐ!AA318,NĐ!AG318,NĐ!AM318))=5)*(CHOOSE({1,2,3,4},NĐ!X318,NĐ!AD318,NĐ!AJ318,NĐ!AP318)))</f>
        <v>0</v>
      </c>
      <c r="F318">
        <f>SUMPRODUCT((MONTH(CHOOSE({1,2,3,4},NĐ!U318,NĐ!AA318,NĐ!AG318,NĐ!AM318))=6)*(CHOOSE({1,2,3,4},NĐ!X318,NĐ!AD318,NĐ!AJ318,NĐ!AP318)))</f>
        <v>0</v>
      </c>
      <c r="G318">
        <f>SUMPRODUCT((MONTH(CHOOSE({1,2,3,4},NĐ!U318,NĐ!AA318,NĐ!AG318,NĐ!AM318))=7)*(CHOOSE({1,2,3,4},NĐ!X318,NĐ!AD318,NĐ!AJ318,NĐ!AP318)))</f>
        <v>0</v>
      </c>
      <c r="H318">
        <f>SUMPRODUCT((MONTH(CHOOSE({1,2,3,4},NĐ!U318,NĐ!AA318,NĐ!AG318,NĐ!AM318))=8)*(CHOOSE({1,2,3,4},NĐ!X318,NĐ!AD318,NĐ!AJ318,NĐ!AP318)))</f>
        <v>0</v>
      </c>
      <c r="I318">
        <f>SUMPRODUCT((MONTH(CHOOSE({1,2,3,4},NĐ!U318,NĐ!AA318,NĐ!AG318,NĐ!AM318))=9)*(CHOOSE({1,2,3,4},NĐ!X318,NĐ!AD318,NĐ!AJ318,NĐ!AP318)))</f>
        <v>0</v>
      </c>
      <c r="J318">
        <f>SUMPRODUCT((MONTH(CHOOSE({1,2,3,4},NĐ!U318,NĐ!AA318,NĐ!AG318,NĐ!AM318))=10)*(CHOOSE({1,2,3,4},NĐ!X318,NĐ!AD318,NĐ!AJ318,NĐ!AP318)))</f>
        <v>0</v>
      </c>
      <c r="K318">
        <f>SUMPRODUCT((MONTH(CHOOSE({1,2,3,4},NĐ!U318,NĐ!AA318,NĐ!AG318,NĐ!AM318))=11)*(CHOOSE({1,2,3,4},NĐ!X318,NĐ!AD318,NĐ!AJ318,NĐ!AP318)))</f>
        <v>0</v>
      </c>
      <c r="L318">
        <f>SUMPRODUCT((MONTH(CHOOSE({1,2,3,4},NĐ!U318,NĐ!AA318,NĐ!AG318,NĐ!AM318))=12)*(CHOOSE({1,2,3,4},NĐ!X318,NĐ!AD318,NĐ!AJ318,NĐ!AP318)))</f>
        <v>0</v>
      </c>
    </row>
    <row r="319" spans="1:12">
      <c r="A319">
        <f>SUMPRODUCT((MONTH(CHOOSE({1,2,3,4},NĐ!U319,NĐ!AA319,NĐ!AG319,NĐ!AM319))=1)*(CHOOSE({1,2,3,4},NĐ!X319,NĐ!AD319,NĐ!AJ319,NĐ!AP319)))</f>
        <v>0</v>
      </c>
      <c r="B319">
        <f>SUMPRODUCT((MONTH(CHOOSE({1,2,3,4},NĐ!U319,NĐ!AA319,NĐ!AG319,NĐ!AM319))=2)*(CHOOSE({1,2,3,4},NĐ!X319,NĐ!AD319,NĐ!AJ319,NĐ!AP319)))</f>
        <v>0</v>
      </c>
      <c r="C319">
        <f>SUMPRODUCT((MONTH(CHOOSE({1,2,3,4},NĐ!U319,NĐ!AA319,NĐ!AG319,NĐ!AM319))=3)*(CHOOSE({1,2,3,4},NĐ!X319,NĐ!AD319,NĐ!AJ319,NĐ!AP319)))</f>
        <v>0</v>
      </c>
      <c r="D319">
        <f>SUMPRODUCT((MONTH(CHOOSE({1,2,3,4},NĐ!U319,NĐ!AA319,NĐ!AG319,NĐ!AM319))=4)*(CHOOSE({1,2,3,4},NĐ!X319,NĐ!AD319,NĐ!AJ319,NĐ!AP319)))</f>
        <v>0</v>
      </c>
      <c r="E319">
        <f>SUMPRODUCT((MONTH(CHOOSE({1,2,3,4},NĐ!U319,NĐ!AA319,NĐ!AG319,NĐ!AM319))=5)*(CHOOSE({1,2,3,4},NĐ!X319,NĐ!AD319,NĐ!AJ319,NĐ!AP319)))</f>
        <v>0</v>
      </c>
      <c r="F319">
        <f>SUMPRODUCT((MONTH(CHOOSE({1,2,3,4},NĐ!U319,NĐ!AA319,NĐ!AG319,NĐ!AM319))=6)*(CHOOSE({1,2,3,4},NĐ!X319,NĐ!AD319,NĐ!AJ319,NĐ!AP319)))</f>
        <v>0</v>
      </c>
      <c r="G319">
        <f>SUMPRODUCT((MONTH(CHOOSE({1,2,3,4},NĐ!U319,NĐ!AA319,NĐ!AG319,NĐ!AM319))=7)*(CHOOSE({1,2,3,4},NĐ!X319,NĐ!AD319,NĐ!AJ319,NĐ!AP319)))</f>
        <v>0</v>
      </c>
      <c r="H319">
        <f>SUMPRODUCT((MONTH(CHOOSE({1,2,3,4},NĐ!U319,NĐ!AA319,NĐ!AG319,NĐ!AM319))=8)*(CHOOSE({1,2,3,4},NĐ!X319,NĐ!AD319,NĐ!AJ319,NĐ!AP319)))</f>
        <v>0</v>
      </c>
      <c r="I319">
        <f>SUMPRODUCT((MONTH(CHOOSE({1,2,3,4},NĐ!U319,NĐ!AA319,NĐ!AG319,NĐ!AM319))=9)*(CHOOSE({1,2,3,4},NĐ!X319,NĐ!AD319,NĐ!AJ319,NĐ!AP319)))</f>
        <v>0</v>
      </c>
      <c r="J319">
        <f>SUMPRODUCT((MONTH(CHOOSE({1,2,3,4},NĐ!U319,NĐ!AA319,NĐ!AG319,NĐ!AM319))=10)*(CHOOSE({1,2,3,4},NĐ!X319,NĐ!AD319,NĐ!AJ319,NĐ!AP319)))</f>
        <v>0</v>
      </c>
      <c r="K319">
        <f>SUMPRODUCT((MONTH(CHOOSE({1,2,3,4},NĐ!U319,NĐ!AA319,NĐ!AG319,NĐ!AM319))=11)*(CHOOSE({1,2,3,4},NĐ!X319,NĐ!AD319,NĐ!AJ319,NĐ!AP319)))</f>
        <v>0</v>
      </c>
      <c r="L319">
        <f>SUMPRODUCT((MONTH(CHOOSE({1,2,3,4},NĐ!U319,NĐ!AA319,NĐ!AG319,NĐ!AM319))=12)*(CHOOSE({1,2,3,4},NĐ!X319,NĐ!AD319,NĐ!AJ319,NĐ!AP319)))</f>
        <v>0</v>
      </c>
    </row>
    <row r="320" spans="1:12">
      <c r="A320">
        <f>SUMPRODUCT((MONTH(CHOOSE({1,2,3,4},NĐ!U320,NĐ!AA320,NĐ!AG320,NĐ!AM320))=1)*(CHOOSE({1,2,3,4},NĐ!X320,NĐ!AD320,NĐ!AJ320,NĐ!AP320)))</f>
        <v>0</v>
      </c>
      <c r="B320">
        <f>SUMPRODUCT((MONTH(CHOOSE({1,2,3,4},NĐ!U320,NĐ!AA320,NĐ!AG320,NĐ!AM320))=2)*(CHOOSE({1,2,3,4},NĐ!X320,NĐ!AD320,NĐ!AJ320,NĐ!AP320)))</f>
        <v>0</v>
      </c>
      <c r="C320">
        <f>SUMPRODUCT((MONTH(CHOOSE({1,2,3,4},NĐ!U320,NĐ!AA320,NĐ!AG320,NĐ!AM320))=3)*(CHOOSE({1,2,3,4},NĐ!X320,NĐ!AD320,NĐ!AJ320,NĐ!AP320)))</f>
        <v>0</v>
      </c>
      <c r="D320">
        <f>SUMPRODUCT((MONTH(CHOOSE({1,2,3,4},NĐ!U320,NĐ!AA320,NĐ!AG320,NĐ!AM320))=4)*(CHOOSE({1,2,3,4},NĐ!X320,NĐ!AD320,NĐ!AJ320,NĐ!AP320)))</f>
        <v>0</v>
      </c>
      <c r="E320">
        <f>SUMPRODUCT((MONTH(CHOOSE({1,2,3,4},NĐ!U320,NĐ!AA320,NĐ!AG320,NĐ!AM320))=5)*(CHOOSE({1,2,3,4},NĐ!X320,NĐ!AD320,NĐ!AJ320,NĐ!AP320)))</f>
        <v>0</v>
      </c>
      <c r="F320">
        <f>SUMPRODUCT((MONTH(CHOOSE({1,2,3,4},NĐ!U320,NĐ!AA320,NĐ!AG320,NĐ!AM320))=6)*(CHOOSE({1,2,3,4},NĐ!X320,NĐ!AD320,NĐ!AJ320,NĐ!AP320)))</f>
        <v>0</v>
      </c>
      <c r="G320">
        <f>SUMPRODUCT((MONTH(CHOOSE({1,2,3,4},NĐ!U320,NĐ!AA320,NĐ!AG320,NĐ!AM320))=7)*(CHOOSE({1,2,3,4},NĐ!X320,NĐ!AD320,NĐ!AJ320,NĐ!AP320)))</f>
        <v>0</v>
      </c>
      <c r="H320">
        <f>SUMPRODUCT((MONTH(CHOOSE({1,2,3,4},NĐ!U320,NĐ!AA320,NĐ!AG320,NĐ!AM320))=8)*(CHOOSE({1,2,3,4},NĐ!X320,NĐ!AD320,NĐ!AJ320,NĐ!AP320)))</f>
        <v>0</v>
      </c>
      <c r="I320">
        <f>SUMPRODUCT((MONTH(CHOOSE({1,2,3,4},NĐ!U320,NĐ!AA320,NĐ!AG320,NĐ!AM320))=9)*(CHOOSE({1,2,3,4},NĐ!X320,NĐ!AD320,NĐ!AJ320,NĐ!AP320)))</f>
        <v>0</v>
      </c>
      <c r="J320">
        <f>SUMPRODUCT((MONTH(CHOOSE({1,2,3,4},NĐ!U320,NĐ!AA320,NĐ!AG320,NĐ!AM320))=10)*(CHOOSE({1,2,3,4},NĐ!X320,NĐ!AD320,NĐ!AJ320,NĐ!AP320)))</f>
        <v>0</v>
      </c>
      <c r="K320">
        <f>SUMPRODUCT((MONTH(CHOOSE({1,2,3,4},NĐ!U320,NĐ!AA320,NĐ!AG320,NĐ!AM320))=11)*(CHOOSE({1,2,3,4},NĐ!X320,NĐ!AD320,NĐ!AJ320,NĐ!AP320)))</f>
        <v>0</v>
      </c>
      <c r="L320">
        <f>SUMPRODUCT((MONTH(CHOOSE({1,2,3,4},NĐ!U320,NĐ!AA320,NĐ!AG320,NĐ!AM320))=12)*(CHOOSE({1,2,3,4},NĐ!X320,NĐ!AD320,NĐ!AJ320,NĐ!AP320)))</f>
        <v>0</v>
      </c>
    </row>
    <row r="321" spans="1:12">
      <c r="A321">
        <f>SUMPRODUCT((MONTH(CHOOSE({1,2,3,4},NĐ!U321,NĐ!AA321,NĐ!AG321,NĐ!AM321))=1)*(CHOOSE({1,2,3,4},NĐ!X321,NĐ!AD321,NĐ!AJ321,NĐ!AP321)))</f>
        <v>0</v>
      </c>
      <c r="B321">
        <f>SUMPRODUCT((MONTH(CHOOSE({1,2,3,4},NĐ!U321,NĐ!AA321,NĐ!AG321,NĐ!AM321))=2)*(CHOOSE({1,2,3,4},NĐ!X321,NĐ!AD321,NĐ!AJ321,NĐ!AP321)))</f>
        <v>0</v>
      </c>
      <c r="C321">
        <f>SUMPRODUCT((MONTH(CHOOSE({1,2,3,4},NĐ!U321,NĐ!AA321,NĐ!AG321,NĐ!AM321))=3)*(CHOOSE({1,2,3,4},NĐ!X321,NĐ!AD321,NĐ!AJ321,NĐ!AP321)))</f>
        <v>0</v>
      </c>
      <c r="D321">
        <f>SUMPRODUCT((MONTH(CHOOSE({1,2,3,4},NĐ!U321,NĐ!AA321,NĐ!AG321,NĐ!AM321))=4)*(CHOOSE({1,2,3,4},NĐ!X321,NĐ!AD321,NĐ!AJ321,NĐ!AP321)))</f>
        <v>0</v>
      </c>
      <c r="E321">
        <f>SUMPRODUCT((MONTH(CHOOSE({1,2,3,4},NĐ!U321,NĐ!AA321,NĐ!AG321,NĐ!AM321))=5)*(CHOOSE({1,2,3,4},NĐ!X321,NĐ!AD321,NĐ!AJ321,NĐ!AP321)))</f>
        <v>0</v>
      </c>
      <c r="F321">
        <f>SUMPRODUCT((MONTH(CHOOSE({1,2,3,4},NĐ!U321,NĐ!AA321,NĐ!AG321,NĐ!AM321))=6)*(CHOOSE({1,2,3,4},NĐ!X321,NĐ!AD321,NĐ!AJ321,NĐ!AP321)))</f>
        <v>0</v>
      </c>
      <c r="G321">
        <f>SUMPRODUCT((MONTH(CHOOSE({1,2,3,4},NĐ!U321,NĐ!AA321,NĐ!AG321,NĐ!AM321))=7)*(CHOOSE({1,2,3,4},NĐ!X321,NĐ!AD321,NĐ!AJ321,NĐ!AP321)))</f>
        <v>0</v>
      </c>
      <c r="H321">
        <f>SUMPRODUCT((MONTH(CHOOSE({1,2,3,4},NĐ!U321,NĐ!AA321,NĐ!AG321,NĐ!AM321))=8)*(CHOOSE({1,2,3,4},NĐ!X321,NĐ!AD321,NĐ!AJ321,NĐ!AP321)))</f>
        <v>0</v>
      </c>
      <c r="I321">
        <f>SUMPRODUCT((MONTH(CHOOSE({1,2,3,4},NĐ!U321,NĐ!AA321,NĐ!AG321,NĐ!AM321))=9)*(CHOOSE({1,2,3,4},NĐ!X321,NĐ!AD321,NĐ!AJ321,NĐ!AP321)))</f>
        <v>0</v>
      </c>
      <c r="J321">
        <f>SUMPRODUCT((MONTH(CHOOSE({1,2,3,4},NĐ!U321,NĐ!AA321,NĐ!AG321,NĐ!AM321))=10)*(CHOOSE({1,2,3,4},NĐ!X321,NĐ!AD321,NĐ!AJ321,NĐ!AP321)))</f>
        <v>0</v>
      </c>
      <c r="K321">
        <f>SUMPRODUCT((MONTH(CHOOSE({1,2,3,4},NĐ!U321,NĐ!AA321,NĐ!AG321,NĐ!AM321))=11)*(CHOOSE({1,2,3,4},NĐ!X321,NĐ!AD321,NĐ!AJ321,NĐ!AP321)))</f>
        <v>0</v>
      </c>
      <c r="L321">
        <f>SUMPRODUCT((MONTH(CHOOSE({1,2,3,4},NĐ!U321,NĐ!AA321,NĐ!AG321,NĐ!AM321))=12)*(CHOOSE({1,2,3,4},NĐ!X321,NĐ!AD321,NĐ!AJ321,NĐ!AP321)))</f>
        <v>0</v>
      </c>
    </row>
    <row r="322" spans="1:12">
      <c r="A322">
        <f>SUMPRODUCT((MONTH(CHOOSE({1,2,3,4},NĐ!U322,NĐ!AA322,NĐ!AG322,NĐ!AM322))=1)*(CHOOSE({1,2,3,4},NĐ!X322,NĐ!AD322,NĐ!AJ322,NĐ!AP322)))</f>
        <v>0</v>
      </c>
      <c r="B322">
        <f>SUMPRODUCT((MONTH(CHOOSE({1,2,3,4},NĐ!U322,NĐ!AA322,NĐ!AG322,NĐ!AM322))=2)*(CHOOSE({1,2,3,4},NĐ!X322,NĐ!AD322,NĐ!AJ322,NĐ!AP322)))</f>
        <v>0</v>
      </c>
      <c r="C322">
        <f>SUMPRODUCT((MONTH(CHOOSE({1,2,3,4},NĐ!U322,NĐ!AA322,NĐ!AG322,NĐ!AM322))=3)*(CHOOSE({1,2,3,4},NĐ!X322,NĐ!AD322,NĐ!AJ322,NĐ!AP322)))</f>
        <v>0</v>
      </c>
      <c r="D322">
        <f>SUMPRODUCT((MONTH(CHOOSE({1,2,3,4},NĐ!U322,NĐ!AA322,NĐ!AG322,NĐ!AM322))=4)*(CHOOSE({1,2,3,4},NĐ!X322,NĐ!AD322,NĐ!AJ322,NĐ!AP322)))</f>
        <v>0</v>
      </c>
      <c r="E322">
        <f>SUMPRODUCT((MONTH(CHOOSE({1,2,3,4},NĐ!U322,NĐ!AA322,NĐ!AG322,NĐ!AM322))=5)*(CHOOSE({1,2,3,4},NĐ!X322,NĐ!AD322,NĐ!AJ322,NĐ!AP322)))</f>
        <v>0</v>
      </c>
      <c r="F322">
        <f>SUMPRODUCT((MONTH(CHOOSE({1,2,3,4},NĐ!U322,NĐ!AA322,NĐ!AG322,NĐ!AM322))=6)*(CHOOSE({1,2,3,4},NĐ!X322,NĐ!AD322,NĐ!AJ322,NĐ!AP322)))</f>
        <v>0</v>
      </c>
      <c r="G322">
        <f>SUMPRODUCT((MONTH(CHOOSE({1,2,3,4},NĐ!U322,NĐ!AA322,NĐ!AG322,NĐ!AM322))=7)*(CHOOSE({1,2,3,4},NĐ!X322,NĐ!AD322,NĐ!AJ322,NĐ!AP322)))</f>
        <v>0</v>
      </c>
      <c r="H322">
        <f>SUMPRODUCT((MONTH(CHOOSE({1,2,3,4},NĐ!U322,NĐ!AA322,NĐ!AG322,NĐ!AM322))=8)*(CHOOSE({1,2,3,4},NĐ!X322,NĐ!AD322,NĐ!AJ322,NĐ!AP322)))</f>
        <v>0</v>
      </c>
      <c r="I322">
        <f>SUMPRODUCT((MONTH(CHOOSE({1,2,3,4},NĐ!U322,NĐ!AA322,NĐ!AG322,NĐ!AM322))=9)*(CHOOSE({1,2,3,4},NĐ!X322,NĐ!AD322,NĐ!AJ322,NĐ!AP322)))</f>
        <v>0</v>
      </c>
      <c r="J322">
        <f>SUMPRODUCT((MONTH(CHOOSE({1,2,3,4},NĐ!U322,NĐ!AA322,NĐ!AG322,NĐ!AM322))=10)*(CHOOSE({1,2,3,4},NĐ!X322,NĐ!AD322,NĐ!AJ322,NĐ!AP322)))</f>
        <v>0</v>
      </c>
      <c r="K322">
        <f>SUMPRODUCT((MONTH(CHOOSE({1,2,3,4},NĐ!U322,NĐ!AA322,NĐ!AG322,NĐ!AM322))=11)*(CHOOSE({1,2,3,4},NĐ!X322,NĐ!AD322,NĐ!AJ322,NĐ!AP322)))</f>
        <v>0</v>
      </c>
      <c r="L322">
        <f>SUMPRODUCT((MONTH(CHOOSE({1,2,3,4},NĐ!U322,NĐ!AA322,NĐ!AG322,NĐ!AM322))=12)*(CHOOSE({1,2,3,4},NĐ!X322,NĐ!AD322,NĐ!AJ322,NĐ!AP322)))</f>
        <v>0</v>
      </c>
    </row>
    <row r="323" spans="1:12">
      <c r="A323">
        <f>SUMPRODUCT((MONTH(CHOOSE({1,2,3,4},NĐ!U323,NĐ!AA323,NĐ!AG323,NĐ!AM323))=1)*(CHOOSE({1,2,3,4},NĐ!X323,NĐ!AD323,NĐ!AJ323,NĐ!AP323)))</f>
        <v>0</v>
      </c>
      <c r="B323">
        <f>SUMPRODUCT((MONTH(CHOOSE({1,2,3,4},NĐ!U323,NĐ!AA323,NĐ!AG323,NĐ!AM323))=2)*(CHOOSE({1,2,3,4},NĐ!X323,NĐ!AD323,NĐ!AJ323,NĐ!AP323)))</f>
        <v>0</v>
      </c>
      <c r="C323">
        <f>SUMPRODUCT((MONTH(CHOOSE({1,2,3,4},NĐ!U323,NĐ!AA323,NĐ!AG323,NĐ!AM323))=3)*(CHOOSE({1,2,3,4},NĐ!X323,NĐ!AD323,NĐ!AJ323,NĐ!AP323)))</f>
        <v>0</v>
      </c>
      <c r="D323">
        <f>SUMPRODUCT((MONTH(CHOOSE({1,2,3,4},NĐ!U323,NĐ!AA323,NĐ!AG323,NĐ!AM323))=4)*(CHOOSE({1,2,3,4},NĐ!X323,NĐ!AD323,NĐ!AJ323,NĐ!AP323)))</f>
        <v>0</v>
      </c>
      <c r="E323">
        <f>SUMPRODUCT((MONTH(CHOOSE({1,2,3,4},NĐ!U323,NĐ!AA323,NĐ!AG323,NĐ!AM323))=5)*(CHOOSE({1,2,3,4},NĐ!X323,NĐ!AD323,NĐ!AJ323,NĐ!AP323)))</f>
        <v>0</v>
      </c>
      <c r="F323">
        <f>SUMPRODUCT((MONTH(CHOOSE({1,2,3,4},NĐ!U323,NĐ!AA323,NĐ!AG323,NĐ!AM323))=6)*(CHOOSE({1,2,3,4},NĐ!X323,NĐ!AD323,NĐ!AJ323,NĐ!AP323)))</f>
        <v>0</v>
      </c>
      <c r="G323">
        <f>SUMPRODUCT((MONTH(CHOOSE({1,2,3,4},NĐ!U323,NĐ!AA323,NĐ!AG323,NĐ!AM323))=7)*(CHOOSE({1,2,3,4},NĐ!X323,NĐ!AD323,NĐ!AJ323,NĐ!AP323)))</f>
        <v>0</v>
      </c>
      <c r="H323">
        <f>SUMPRODUCT((MONTH(CHOOSE({1,2,3,4},NĐ!U323,NĐ!AA323,NĐ!AG323,NĐ!AM323))=8)*(CHOOSE({1,2,3,4},NĐ!X323,NĐ!AD323,NĐ!AJ323,NĐ!AP323)))</f>
        <v>0</v>
      </c>
      <c r="I323">
        <f>SUMPRODUCT((MONTH(CHOOSE({1,2,3,4},NĐ!U323,NĐ!AA323,NĐ!AG323,NĐ!AM323))=9)*(CHOOSE({1,2,3,4},NĐ!X323,NĐ!AD323,NĐ!AJ323,NĐ!AP323)))</f>
        <v>0</v>
      </c>
      <c r="J323">
        <f>SUMPRODUCT((MONTH(CHOOSE({1,2,3,4},NĐ!U323,NĐ!AA323,NĐ!AG323,NĐ!AM323))=10)*(CHOOSE({1,2,3,4},NĐ!X323,NĐ!AD323,NĐ!AJ323,NĐ!AP323)))</f>
        <v>0</v>
      </c>
      <c r="K323">
        <f>SUMPRODUCT((MONTH(CHOOSE({1,2,3,4},NĐ!U323,NĐ!AA323,NĐ!AG323,NĐ!AM323))=11)*(CHOOSE({1,2,3,4},NĐ!X323,NĐ!AD323,NĐ!AJ323,NĐ!AP323)))</f>
        <v>0</v>
      </c>
      <c r="L323">
        <f>SUMPRODUCT((MONTH(CHOOSE({1,2,3,4},NĐ!U323,NĐ!AA323,NĐ!AG323,NĐ!AM323))=12)*(CHOOSE({1,2,3,4},NĐ!X323,NĐ!AD323,NĐ!AJ323,NĐ!AP323)))</f>
        <v>0</v>
      </c>
    </row>
    <row r="324" spans="1:12">
      <c r="A324">
        <f>SUMPRODUCT((MONTH(CHOOSE({1,2,3,4},NĐ!U324,NĐ!AA324,NĐ!AG324,NĐ!AM324))=1)*(CHOOSE({1,2,3,4},NĐ!X324,NĐ!AD324,NĐ!AJ324,NĐ!AP324)))</f>
        <v>0</v>
      </c>
      <c r="B324">
        <f>SUMPRODUCT((MONTH(CHOOSE({1,2,3,4},NĐ!U324,NĐ!AA324,NĐ!AG324,NĐ!AM324))=2)*(CHOOSE({1,2,3,4},NĐ!X324,NĐ!AD324,NĐ!AJ324,NĐ!AP324)))</f>
        <v>0</v>
      </c>
      <c r="C324">
        <f>SUMPRODUCT((MONTH(CHOOSE({1,2,3,4},NĐ!U324,NĐ!AA324,NĐ!AG324,NĐ!AM324))=3)*(CHOOSE({1,2,3,4},NĐ!X324,NĐ!AD324,NĐ!AJ324,NĐ!AP324)))</f>
        <v>0</v>
      </c>
      <c r="D324">
        <f>SUMPRODUCT((MONTH(CHOOSE({1,2,3,4},NĐ!U324,NĐ!AA324,NĐ!AG324,NĐ!AM324))=4)*(CHOOSE({1,2,3,4},NĐ!X324,NĐ!AD324,NĐ!AJ324,NĐ!AP324)))</f>
        <v>0</v>
      </c>
      <c r="E324">
        <f>SUMPRODUCT((MONTH(CHOOSE({1,2,3,4},NĐ!U324,NĐ!AA324,NĐ!AG324,NĐ!AM324))=5)*(CHOOSE({1,2,3,4},NĐ!X324,NĐ!AD324,NĐ!AJ324,NĐ!AP324)))</f>
        <v>0</v>
      </c>
      <c r="F324">
        <f>SUMPRODUCT((MONTH(CHOOSE({1,2,3,4},NĐ!U324,NĐ!AA324,NĐ!AG324,NĐ!AM324))=6)*(CHOOSE({1,2,3,4},NĐ!X324,NĐ!AD324,NĐ!AJ324,NĐ!AP324)))</f>
        <v>0</v>
      </c>
      <c r="G324">
        <f>SUMPRODUCT((MONTH(CHOOSE({1,2,3,4},NĐ!U324,NĐ!AA324,NĐ!AG324,NĐ!AM324))=7)*(CHOOSE({1,2,3,4},NĐ!X324,NĐ!AD324,NĐ!AJ324,NĐ!AP324)))</f>
        <v>0</v>
      </c>
      <c r="H324">
        <f>SUMPRODUCT((MONTH(CHOOSE({1,2,3,4},NĐ!U324,NĐ!AA324,NĐ!AG324,NĐ!AM324))=8)*(CHOOSE({1,2,3,4},NĐ!X324,NĐ!AD324,NĐ!AJ324,NĐ!AP324)))</f>
        <v>0</v>
      </c>
      <c r="I324">
        <f>SUMPRODUCT((MONTH(CHOOSE({1,2,3,4},NĐ!U324,NĐ!AA324,NĐ!AG324,NĐ!AM324))=9)*(CHOOSE({1,2,3,4},NĐ!X324,NĐ!AD324,NĐ!AJ324,NĐ!AP324)))</f>
        <v>0</v>
      </c>
      <c r="J324">
        <f>SUMPRODUCT((MONTH(CHOOSE({1,2,3,4},NĐ!U324,NĐ!AA324,NĐ!AG324,NĐ!AM324))=10)*(CHOOSE({1,2,3,4},NĐ!X324,NĐ!AD324,NĐ!AJ324,NĐ!AP324)))</f>
        <v>0</v>
      </c>
      <c r="K324">
        <f>SUMPRODUCT((MONTH(CHOOSE({1,2,3,4},NĐ!U324,NĐ!AA324,NĐ!AG324,NĐ!AM324))=11)*(CHOOSE({1,2,3,4},NĐ!X324,NĐ!AD324,NĐ!AJ324,NĐ!AP324)))</f>
        <v>0</v>
      </c>
      <c r="L324">
        <f>SUMPRODUCT((MONTH(CHOOSE({1,2,3,4},NĐ!U324,NĐ!AA324,NĐ!AG324,NĐ!AM324))=12)*(CHOOSE({1,2,3,4},NĐ!X324,NĐ!AD324,NĐ!AJ324,NĐ!AP324)))</f>
        <v>0</v>
      </c>
    </row>
    <row r="325" spans="1:12">
      <c r="A325">
        <f>SUMPRODUCT((MONTH(CHOOSE({1,2,3,4},NĐ!U325,NĐ!AA325,NĐ!AG325,NĐ!AM325))=1)*(CHOOSE({1,2,3,4},NĐ!X325,NĐ!AD325,NĐ!AJ325,NĐ!AP325)))</f>
        <v>0</v>
      </c>
      <c r="B325">
        <f>SUMPRODUCT((MONTH(CHOOSE({1,2,3,4},NĐ!U325,NĐ!AA325,NĐ!AG325,NĐ!AM325))=2)*(CHOOSE({1,2,3,4},NĐ!X325,NĐ!AD325,NĐ!AJ325,NĐ!AP325)))</f>
        <v>0</v>
      </c>
      <c r="C325">
        <f>SUMPRODUCT((MONTH(CHOOSE({1,2,3,4},NĐ!U325,NĐ!AA325,NĐ!AG325,NĐ!AM325))=3)*(CHOOSE({1,2,3,4},NĐ!X325,NĐ!AD325,NĐ!AJ325,NĐ!AP325)))</f>
        <v>0</v>
      </c>
      <c r="D325">
        <f>SUMPRODUCT((MONTH(CHOOSE({1,2,3,4},NĐ!U325,NĐ!AA325,NĐ!AG325,NĐ!AM325))=4)*(CHOOSE({1,2,3,4},NĐ!X325,NĐ!AD325,NĐ!AJ325,NĐ!AP325)))</f>
        <v>0</v>
      </c>
      <c r="E325">
        <f>SUMPRODUCT((MONTH(CHOOSE({1,2,3,4},NĐ!U325,NĐ!AA325,NĐ!AG325,NĐ!AM325))=5)*(CHOOSE({1,2,3,4},NĐ!X325,NĐ!AD325,NĐ!AJ325,NĐ!AP325)))</f>
        <v>0</v>
      </c>
      <c r="F325">
        <f>SUMPRODUCT((MONTH(CHOOSE({1,2,3,4},NĐ!U325,NĐ!AA325,NĐ!AG325,NĐ!AM325))=6)*(CHOOSE({1,2,3,4},NĐ!X325,NĐ!AD325,NĐ!AJ325,NĐ!AP325)))</f>
        <v>0</v>
      </c>
      <c r="G325">
        <f>SUMPRODUCT((MONTH(CHOOSE({1,2,3,4},NĐ!U325,NĐ!AA325,NĐ!AG325,NĐ!AM325))=7)*(CHOOSE({1,2,3,4},NĐ!X325,NĐ!AD325,NĐ!AJ325,NĐ!AP325)))</f>
        <v>0</v>
      </c>
      <c r="H325">
        <f>SUMPRODUCT((MONTH(CHOOSE({1,2,3,4},NĐ!U325,NĐ!AA325,NĐ!AG325,NĐ!AM325))=8)*(CHOOSE({1,2,3,4},NĐ!X325,NĐ!AD325,NĐ!AJ325,NĐ!AP325)))</f>
        <v>0</v>
      </c>
      <c r="I325">
        <f>SUMPRODUCT((MONTH(CHOOSE({1,2,3,4},NĐ!U325,NĐ!AA325,NĐ!AG325,NĐ!AM325))=9)*(CHOOSE({1,2,3,4},NĐ!X325,NĐ!AD325,NĐ!AJ325,NĐ!AP325)))</f>
        <v>0</v>
      </c>
      <c r="J325">
        <f>SUMPRODUCT((MONTH(CHOOSE({1,2,3,4},NĐ!U325,NĐ!AA325,NĐ!AG325,NĐ!AM325))=10)*(CHOOSE({1,2,3,4},NĐ!X325,NĐ!AD325,NĐ!AJ325,NĐ!AP325)))</f>
        <v>0</v>
      </c>
      <c r="K325">
        <f>SUMPRODUCT((MONTH(CHOOSE({1,2,3,4},NĐ!U325,NĐ!AA325,NĐ!AG325,NĐ!AM325))=11)*(CHOOSE({1,2,3,4},NĐ!X325,NĐ!AD325,NĐ!AJ325,NĐ!AP325)))</f>
        <v>0</v>
      </c>
      <c r="L325">
        <f>SUMPRODUCT((MONTH(CHOOSE({1,2,3,4},NĐ!U325,NĐ!AA325,NĐ!AG325,NĐ!AM325))=12)*(CHOOSE({1,2,3,4},NĐ!X325,NĐ!AD325,NĐ!AJ325,NĐ!AP325)))</f>
        <v>0</v>
      </c>
    </row>
    <row r="326" spans="1:12">
      <c r="A326">
        <f>SUMPRODUCT((MONTH(CHOOSE({1,2,3,4},NĐ!U326,NĐ!AA326,NĐ!AG326,NĐ!AM326))=1)*(CHOOSE({1,2,3,4},NĐ!X326,NĐ!AD326,NĐ!AJ326,NĐ!AP326)))</f>
        <v>0</v>
      </c>
      <c r="B326">
        <f>SUMPRODUCT((MONTH(CHOOSE({1,2,3,4},NĐ!U326,NĐ!AA326,NĐ!AG326,NĐ!AM326))=2)*(CHOOSE({1,2,3,4},NĐ!X326,NĐ!AD326,NĐ!AJ326,NĐ!AP326)))</f>
        <v>0</v>
      </c>
      <c r="C326">
        <f>SUMPRODUCT((MONTH(CHOOSE({1,2,3,4},NĐ!U326,NĐ!AA326,NĐ!AG326,NĐ!AM326))=3)*(CHOOSE({1,2,3,4},NĐ!X326,NĐ!AD326,NĐ!AJ326,NĐ!AP326)))</f>
        <v>0</v>
      </c>
      <c r="D326">
        <f>SUMPRODUCT((MONTH(CHOOSE({1,2,3,4},NĐ!U326,NĐ!AA326,NĐ!AG326,NĐ!AM326))=4)*(CHOOSE({1,2,3,4},NĐ!X326,NĐ!AD326,NĐ!AJ326,NĐ!AP326)))</f>
        <v>0</v>
      </c>
      <c r="E326">
        <f>SUMPRODUCT((MONTH(CHOOSE({1,2,3,4},NĐ!U326,NĐ!AA326,NĐ!AG326,NĐ!AM326))=5)*(CHOOSE({1,2,3,4},NĐ!X326,NĐ!AD326,NĐ!AJ326,NĐ!AP326)))</f>
        <v>0</v>
      </c>
      <c r="F326">
        <f>SUMPRODUCT((MONTH(CHOOSE({1,2,3,4},NĐ!U326,NĐ!AA326,NĐ!AG326,NĐ!AM326))=6)*(CHOOSE({1,2,3,4},NĐ!X326,NĐ!AD326,NĐ!AJ326,NĐ!AP326)))</f>
        <v>0</v>
      </c>
      <c r="G326">
        <f>SUMPRODUCT((MONTH(CHOOSE({1,2,3,4},NĐ!U326,NĐ!AA326,NĐ!AG326,NĐ!AM326))=7)*(CHOOSE({1,2,3,4},NĐ!X326,NĐ!AD326,NĐ!AJ326,NĐ!AP326)))</f>
        <v>0</v>
      </c>
      <c r="H326">
        <f>SUMPRODUCT((MONTH(CHOOSE({1,2,3,4},NĐ!U326,NĐ!AA326,NĐ!AG326,NĐ!AM326))=8)*(CHOOSE({1,2,3,4},NĐ!X326,NĐ!AD326,NĐ!AJ326,NĐ!AP326)))</f>
        <v>0</v>
      </c>
      <c r="I326">
        <f>SUMPRODUCT((MONTH(CHOOSE({1,2,3,4},NĐ!U326,NĐ!AA326,NĐ!AG326,NĐ!AM326))=9)*(CHOOSE({1,2,3,4},NĐ!X326,NĐ!AD326,NĐ!AJ326,NĐ!AP326)))</f>
        <v>0</v>
      </c>
      <c r="J326">
        <f>SUMPRODUCT((MONTH(CHOOSE({1,2,3,4},NĐ!U326,NĐ!AA326,NĐ!AG326,NĐ!AM326))=10)*(CHOOSE({1,2,3,4},NĐ!X326,NĐ!AD326,NĐ!AJ326,NĐ!AP326)))</f>
        <v>0</v>
      </c>
      <c r="K326">
        <f>SUMPRODUCT((MONTH(CHOOSE({1,2,3,4},NĐ!U326,NĐ!AA326,NĐ!AG326,NĐ!AM326))=11)*(CHOOSE({1,2,3,4},NĐ!X326,NĐ!AD326,NĐ!AJ326,NĐ!AP326)))</f>
        <v>0</v>
      </c>
      <c r="L326">
        <f>SUMPRODUCT((MONTH(CHOOSE({1,2,3,4},NĐ!U326,NĐ!AA326,NĐ!AG326,NĐ!AM326))=12)*(CHOOSE({1,2,3,4},NĐ!X326,NĐ!AD326,NĐ!AJ326,NĐ!AP326)))</f>
        <v>0</v>
      </c>
    </row>
    <row r="327" spans="1:12">
      <c r="A327">
        <f>SUMPRODUCT((MONTH(CHOOSE({1,2,3,4},NĐ!U327,NĐ!AA327,NĐ!AG327,NĐ!AM327))=1)*(CHOOSE({1,2,3,4},NĐ!X327,NĐ!AD327,NĐ!AJ327,NĐ!AP327)))</f>
        <v>0</v>
      </c>
      <c r="B327">
        <f>SUMPRODUCT((MONTH(CHOOSE({1,2,3,4},NĐ!U327,NĐ!AA327,NĐ!AG327,NĐ!AM327))=2)*(CHOOSE({1,2,3,4},NĐ!X327,NĐ!AD327,NĐ!AJ327,NĐ!AP327)))</f>
        <v>0</v>
      </c>
      <c r="C327">
        <f>SUMPRODUCT((MONTH(CHOOSE({1,2,3,4},NĐ!U327,NĐ!AA327,NĐ!AG327,NĐ!AM327))=3)*(CHOOSE({1,2,3,4},NĐ!X327,NĐ!AD327,NĐ!AJ327,NĐ!AP327)))</f>
        <v>0</v>
      </c>
      <c r="D327">
        <f>SUMPRODUCT((MONTH(CHOOSE({1,2,3,4},NĐ!U327,NĐ!AA327,NĐ!AG327,NĐ!AM327))=4)*(CHOOSE({1,2,3,4},NĐ!X327,NĐ!AD327,NĐ!AJ327,NĐ!AP327)))</f>
        <v>0</v>
      </c>
      <c r="E327">
        <f>SUMPRODUCT((MONTH(CHOOSE({1,2,3,4},NĐ!U327,NĐ!AA327,NĐ!AG327,NĐ!AM327))=5)*(CHOOSE({1,2,3,4},NĐ!X327,NĐ!AD327,NĐ!AJ327,NĐ!AP327)))</f>
        <v>0</v>
      </c>
      <c r="F327">
        <f>SUMPRODUCT((MONTH(CHOOSE({1,2,3,4},NĐ!U327,NĐ!AA327,NĐ!AG327,NĐ!AM327))=6)*(CHOOSE({1,2,3,4},NĐ!X327,NĐ!AD327,NĐ!AJ327,NĐ!AP327)))</f>
        <v>0</v>
      </c>
      <c r="G327">
        <f>SUMPRODUCT((MONTH(CHOOSE({1,2,3,4},NĐ!U327,NĐ!AA327,NĐ!AG327,NĐ!AM327))=7)*(CHOOSE({1,2,3,4},NĐ!X327,NĐ!AD327,NĐ!AJ327,NĐ!AP327)))</f>
        <v>0</v>
      </c>
      <c r="H327">
        <f>SUMPRODUCT((MONTH(CHOOSE({1,2,3,4},NĐ!U327,NĐ!AA327,NĐ!AG327,NĐ!AM327))=8)*(CHOOSE({1,2,3,4},NĐ!X327,NĐ!AD327,NĐ!AJ327,NĐ!AP327)))</f>
        <v>0</v>
      </c>
      <c r="I327">
        <f>SUMPRODUCT((MONTH(CHOOSE({1,2,3,4},NĐ!U327,NĐ!AA327,NĐ!AG327,NĐ!AM327))=9)*(CHOOSE({1,2,3,4},NĐ!X327,NĐ!AD327,NĐ!AJ327,NĐ!AP327)))</f>
        <v>0</v>
      </c>
      <c r="J327">
        <f>SUMPRODUCT((MONTH(CHOOSE({1,2,3,4},NĐ!U327,NĐ!AA327,NĐ!AG327,NĐ!AM327))=10)*(CHOOSE({1,2,3,4},NĐ!X327,NĐ!AD327,NĐ!AJ327,NĐ!AP327)))</f>
        <v>0</v>
      </c>
      <c r="K327">
        <f>SUMPRODUCT((MONTH(CHOOSE({1,2,3,4},NĐ!U327,NĐ!AA327,NĐ!AG327,NĐ!AM327))=11)*(CHOOSE({1,2,3,4},NĐ!X327,NĐ!AD327,NĐ!AJ327,NĐ!AP327)))</f>
        <v>0</v>
      </c>
      <c r="L327">
        <f>SUMPRODUCT((MONTH(CHOOSE({1,2,3,4},NĐ!U327,NĐ!AA327,NĐ!AG327,NĐ!AM327))=12)*(CHOOSE({1,2,3,4},NĐ!X327,NĐ!AD327,NĐ!AJ327,NĐ!AP327)))</f>
        <v>0</v>
      </c>
    </row>
    <row r="328" spans="1:12">
      <c r="A328">
        <f>SUMPRODUCT((MONTH(CHOOSE({1,2,3,4},NĐ!U328,NĐ!AA328,NĐ!AG328,NĐ!AM328))=1)*(CHOOSE({1,2,3,4},NĐ!X328,NĐ!AD328,NĐ!AJ328,NĐ!AP328)))</f>
        <v>0</v>
      </c>
      <c r="B328">
        <f>SUMPRODUCT((MONTH(CHOOSE({1,2,3,4},NĐ!U328,NĐ!AA328,NĐ!AG328,NĐ!AM328))=2)*(CHOOSE({1,2,3,4},NĐ!X328,NĐ!AD328,NĐ!AJ328,NĐ!AP328)))</f>
        <v>0</v>
      </c>
      <c r="C328">
        <f>SUMPRODUCT((MONTH(CHOOSE({1,2,3,4},NĐ!U328,NĐ!AA328,NĐ!AG328,NĐ!AM328))=3)*(CHOOSE({1,2,3,4},NĐ!X328,NĐ!AD328,NĐ!AJ328,NĐ!AP328)))</f>
        <v>0</v>
      </c>
      <c r="D328">
        <f>SUMPRODUCT((MONTH(CHOOSE({1,2,3,4},NĐ!U328,NĐ!AA328,NĐ!AG328,NĐ!AM328))=4)*(CHOOSE({1,2,3,4},NĐ!X328,NĐ!AD328,NĐ!AJ328,NĐ!AP328)))</f>
        <v>0</v>
      </c>
      <c r="E328">
        <f>SUMPRODUCT((MONTH(CHOOSE({1,2,3,4},NĐ!U328,NĐ!AA328,NĐ!AG328,NĐ!AM328))=5)*(CHOOSE({1,2,3,4},NĐ!X328,NĐ!AD328,NĐ!AJ328,NĐ!AP328)))</f>
        <v>0</v>
      </c>
      <c r="F328">
        <f>SUMPRODUCT((MONTH(CHOOSE({1,2,3,4},NĐ!U328,NĐ!AA328,NĐ!AG328,NĐ!AM328))=6)*(CHOOSE({1,2,3,4},NĐ!X328,NĐ!AD328,NĐ!AJ328,NĐ!AP328)))</f>
        <v>0</v>
      </c>
      <c r="G328">
        <f>SUMPRODUCT((MONTH(CHOOSE({1,2,3,4},NĐ!U328,NĐ!AA328,NĐ!AG328,NĐ!AM328))=7)*(CHOOSE({1,2,3,4},NĐ!X328,NĐ!AD328,NĐ!AJ328,NĐ!AP328)))</f>
        <v>0</v>
      </c>
      <c r="H328">
        <f>SUMPRODUCT((MONTH(CHOOSE({1,2,3,4},NĐ!U328,NĐ!AA328,NĐ!AG328,NĐ!AM328))=8)*(CHOOSE({1,2,3,4},NĐ!X328,NĐ!AD328,NĐ!AJ328,NĐ!AP328)))</f>
        <v>0</v>
      </c>
      <c r="I328">
        <f>SUMPRODUCT((MONTH(CHOOSE({1,2,3,4},NĐ!U328,NĐ!AA328,NĐ!AG328,NĐ!AM328))=9)*(CHOOSE({1,2,3,4},NĐ!X328,NĐ!AD328,NĐ!AJ328,NĐ!AP328)))</f>
        <v>0</v>
      </c>
      <c r="J328">
        <f>SUMPRODUCT((MONTH(CHOOSE({1,2,3,4},NĐ!U328,NĐ!AA328,NĐ!AG328,NĐ!AM328))=10)*(CHOOSE({1,2,3,4},NĐ!X328,NĐ!AD328,NĐ!AJ328,NĐ!AP328)))</f>
        <v>0</v>
      </c>
      <c r="K328">
        <f>SUMPRODUCT((MONTH(CHOOSE({1,2,3,4},NĐ!U328,NĐ!AA328,NĐ!AG328,NĐ!AM328))=11)*(CHOOSE({1,2,3,4},NĐ!X328,NĐ!AD328,NĐ!AJ328,NĐ!AP328)))</f>
        <v>0</v>
      </c>
      <c r="L328">
        <f>SUMPRODUCT((MONTH(CHOOSE({1,2,3,4},NĐ!U328,NĐ!AA328,NĐ!AG328,NĐ!AM328))=12)*(CHOOSE({1,2,3,4},NĐ!X328,NĐ!AD328,NĐ!AJ328,NĐ!AP328)))</f>
        <v>0</v>
      </c>
    </row>
    <row r="329" spans="1:12">
      <c r="A329">
        <f>SUMPRODUCT((MONTH(CHOOSE({1,2,3,4},NĐ!U329,NĐ!AA329,NĐ!AG329,NĐ!AM329))=1)*(CHOOSE({1,2,3,4},NĐ!X329,NĐ!AD329,NĐ!AJ329,NĐ!AP329)))</f>
        <v>0</v>
      </c>
      <c r="B329">
        <f>SUMPRODUCT((MONTH(CHOOSE({1,2,3,4},NĐ!U329,NĐ!AA329,NĐ!AG329,NĐ!AM329))=2)*(CHOOSE({1,2,3,4},NĐ!X329,NĐ!AD329,NĐ!AJ329,NĐ!AP329)))</f>
        <v>0</v>
      </c>
      <c r="C329">
        <f>SUMPRODUCT((MONTH(CHOOSE({1,2,3,4},NĐ!U329,NĐ!AA329,NĐ!AG329,NĐ!AM329))=3)*(CHOOSE({1,2,3,4},NĐ!X329,NĐ!AD329,NĐ!AJ329,NĐ!AP329)))</f>
        <v>0</v>
      </c>
      <c r="D329">
        <f>SUMPRODUCT((MONTH(CHOOSE({1,2,3,4},NĐ!U329,NĐ!AA329,NĐ!AG329,NĐ!AM329))=4)*(CHOOSE({1,2,3,4},NĐ!X329,NĐ!AD329,NĐ!AJ329,NĐ!AP329)))</f>
        <v>0</v>
      </c>
      <c r="E329">
        <f>SUMPRODUCT((MONTH(CHOOSE({1,2,3,4},NĐ!U329,NĐ!AA329,NĐ!AG329,NĐ!AM329))=5)*(CHOOSE({1,2,3,4},NĐ!X329,NĐ!AD329,NĐ!AJ329,NĐ!AP329)))</f>
        <v>0</v>
      </c>
      <c r="F329">
        <f>SUMPRODUCT((MONTH(CHOOSE({1,2,3,4},NĐ!U329,NĐ!AA329,NĐ!AG329,NĐ!AM329))=6)*(CHOOSE({1,2,3,4},NĐ!X329,NĐ!AD329,NĐ!AJ329,NĐ!AP329)))</f>
        <v>0</v>
      </c>
      <c r="G329">
        <f>SUMPRODUCT((MONTH(CHOOSE({1,2,3,4},NĐ!U329,NĐ!AA329,NĐ!AG329,NĐ!AM329))=7)*(CHOOSE({1,2,3,4},NĐ!X329,NĐ!AD329,NĐ!AJ329,NĐ!AP329)))</f>
        <v>0</v>
      </c>
      <c r="H329">
        <f>SUMPRODUCT((MONTH(CHOOSE({1,2,3,4},NĐ!U329,NĐ!AA329,NĐ!AG329,NĐ!AM329))=8)*(CHOOSE({1,2,3,4},NĐ!X329,NĐ!AD329,NĐ!AJ329,NĐ!AP329)))</f>
        <v>0</v>
      </c>
      <c r="I329">
        <f>SUMPRODUCT((MONTH(CHOOSE({1,2,3,4},NĐ!U329,NĐ!AA329,NĐ!AG329,NĐ!AM329))=9)*(CHOOSE({1,2,3,4},NĐ!X329,NĐ!AD329,NĐ!AJ329,NĐ!AP329)))</f>
        <v>0</v>
      </c>
      <c r="J329">
        <f>SUMPRODUCT((MONTH(CHOOSE({1,2,3,4},NĐ!U329,NĐ!AA329,NĐ!AG329,NĐ!AM329))=10)*(CHOOSE({1,2,3,4},NĐ!X329,NĐ!AD329,NĐ!AJ329,NĐ!AP329)))</f>
        <v>0</v>
      </c>
      <c r="K329">
        <f>SUMPRODUCT((MONTH(CHOOSE({1,2,3,4},NĐ!U329,NĐ!AA329,NĐ!AG329,NĐ!AM329))=11)*(CHOOSE({1,2,3,4},NĐ!X329,NĐ!AD329,NĐ!AJ329,NĐ!AP329)))</f>
        <v>0</v>
      </c>
      <c r="L329">
        <f>SUMPRODUCT((MONTH(CHOOSE({1,2,3,4},NĐ!U329,NĐ!AA329,NĐ!AG329,NĐ!AM329))=12)*(CHOOSE({1,2,3,4},NĐ!X329,NĐ!AD329,NĐ!AJ329,NĐ!AP329)))</f>
        <v>0</v>
      </c>
    </row>
    <row r="330" spans="1:12">
      <c r="A330">
        <f>SUMPRODUCT((MONTH(CHOOSE({1,2,3,4},NĐ!U330,NĐ!AA330,NĐ!AG330,NĐ!AM330))=1)*(CHOOSE({1,2,3,4},NĐ!X330,NĐ!AD330,NĐ!AJ330,NĐ!AP330)))</f>
        <v>0</v>
      </c>
      <c r="B330">
        <f>SUMPRODUCT((MONTH(CHOOSE({1,2,3,4},NĐ!U330,NĐ!AA330,NĐ!AG330,NĐ!AM330))=2)*(CHOOSE({1,2,3,4},NĐ!X330,NĐ!AD330,NĐ!AJ330,NĐ!AP330)))</f>
        <v>0</v>
      </c>
      <c r="C330">
        <f>SUMPRODUCT((MONTH(CHOOSE({1,2,3,4},NĐ!U330,NĐ!AA330,NĐ!AG330,NĐ!AM330))=3)*(CHOOSE({1,2,3,4},NĐ!X330,NĐ!AD330,NĐ!AJ330,NĐ!AP330)))</f>
        <v>0</v>
      </c>
      <c r="D330">
        <f>SUMPRODUCT((MONTH(CHOOSE({1,2,3,4},NĐ!U330,NĐ!AA330,NĐ!AG330,NĐ!AM330))=4)*(CHOOSE({1,2,3,4},NĐ!X330,NĐ!AD330,NĐ!AJ330,NĐ!AP330)))</f>
        <v>0</v>
      </c>
      <c r="E330">
        <f>SUMPRODUCT((MONTH(CHOOSE({1,2,3,4},NĐ!U330,NĐ!AA330,NĐ!AG330,NĐ!AM330))=5)*(CHOOSE({1,2,3,4},NĐ!X330,NĐ!AD330,NĐ!AJ330,NĐ!AP330)))</f>
        <v>0</v>
      </c>
      <c r="F330">
        <f>SUMPRODUCT((MONTH(CHOOSE({1,2,3,4},NĐ!U330,NĐ!AA330,NĐ!AG330,NĐ!AM330))=6)*(CHOOSE({1,2,3,4},NĐ!X330,NĐ!AD330,NĐ!AJ330,NĐ!AP330)))</f>
        <v>0</v>
      </c>
      <c r="G330">
        <f>SUMPRODUCT((MONTH(CHOOSE({1,2,3,4},NĐ!U330,NĐ!AA330,NĐ!AG330,NĐ!AM330))=7)*(CHOOSE({1,2,3,4},NĐ!X330,NĐ!AD330,NĐ!AJ330,NĐ!AP330)))</f>
        <v>0</v>
      </c>
      <c r="H330">
        <f>SUMPRODUCT((MONTH(CHOOSE({1,2,3,4},NĐ!U330,NĐ!AA330,NĐ!AG330,NĐ!AM330))=8)*(CHOOSE({1,2,3,4},NĐ!X330,NĐ!AD330,NĐ!AJ330,NĐ!AP330)))</f>
        <v>0</v>
      </c>
      <c r="I330">
        <f>SUMPRODUCT((MONTH(CHOOSE({1,2,3,4},NĐ!U330,NĐ!AA330,NĐ!AG330,NĐ!AM330))=9)*(CHOOSE({1,2,3,4},NĐ!X330,NĐ!AD330,NĐ!AJ330,NĐ!AP330)))</f>
        <v>0</v>
      </c>
      <c r="J330">
        <f>SUMPRODUCT((MONTH(CHOOSE({1,2,3,4},NĐ!U330,NĐ!AA330,NĐ!AG330,NĐ!AM330))=10)*(CHOOSE({1,2,3,4},NĐ!X330,NĐ!AD330,NĐ!AJ330,NĐ!AP330)))</f>
        <v>0</v>
      </c>
      <c r="K330">
        <f>SUMPRODUCT((MONTH(CHOOSE({1,2,3,4},NĐ!U330,NĐ!AA330,NĐ!AG330,NĐ!AM330))=11)*(CHOOSE({1,2,3,4},NĐ!X330,NĐ!AD330,NĐ!AJ330,NĐ!AP330)))</f>
        <v>0</v>
      </c>
      <c r="L330">
        <f>SUMPRODUCT((MONTH(CHOOSE({1,2,3,4},NĐ!U330,NĐ!AA330,NĐ!AG330,NĐ!AM330))=12)*(CHOOSE({1,2,3,4},NĐ!X330,NĐ!AD330,NĐ!AJ330,NĐ!AP330)))</f>
        <v>0</v>
      </c>
    </row>
    <row r="331" spans="1:12">
      <c r="A331">
        <f>SUMPRODUCT((MONTH(CHOOSE({1,2,3,4},NĐ!U331,NĐ!AA331,NĐ!AG331,NĐ!AM331))=1)*(CHOOSE({1,2,3,4},NĐ!X331,NĐ!AD331,NĐ!AJ331,NĐ!AP331)))</f>
        <v>0</v>
      </c>
      <c r="B331">
        <f>SUMPRODUCT((MONTH(CHOOSE({1,2,3,4},NĐ!U331,NĐ!AA331,NĐ!AG331,NĐ!AM331))=2)*(CHOOSE({1,2,3,4},NĐ!X331,NĐ!AD331,NĐ!AJ331,NĐ!AP331)))</f>
        <v>0</v>
      </c>
      <c r="C331">
        <f>SUMPRODUCT((MONTH(CHOOSE({1,2,3,4},NĐ!U331,NĐ!AA331,NĐ!AG331,NĐ!AM331))=3)*(CHOOSE({1,2,3,4},NĐ!X331,NĐ!AD331,NĐ!AJ331,NĐ!AP331)))</f>
        <v>0</v>
      </c>
      <c r="D331">
        <f>SUMPRODUCT((MONTH(CHOOSE({1,2,3,4},NĐ!U331,NĐ!AA331,NĐ!AG331,NĐ!AM331))=4)*(CHOOSE({1,2,3,4},NĐ!X331,NĐ!AD331,NĐ!AJ331,NĐ!AP331)))</f>
        <v>0</v>
      </c>
      <c r="E331">
        <f>SUMPRODUCT((MONTH(CHOOSE({1,2,3,4},NĐ!U331,NĐ!AA331,NĐ!AG331,NĐ!AM331))=5)*(CHOOSE({1,2,3,4},NĐ!X331,NĐ!AD331,NĐ!AJ331,NĐ!AP331)))</f>
        <v>0</v>
      </c>
      <c r="F331">
        <f>SUMPRODUCT((MONTH(CHOOSE({1,2,3,4},NĐ!U331,NĐ!AA331,NĐ!AG331,NĐ!AM331))=6)*(CHOOSE({1,2,3,4},NĐ!X331,NĐ!AD331,NĐ!AJ331,NĐ!AP331)))</f>
        <v>0</v>
      </c>
      <c r="G331">
        <f>SUMPRODUCT((MONTH(CHOOSE({1,2,3,4},NĐ!U331,NĐ!AA331,NĐ!AG331,NĐ!AM331))=7)*(CHOOSE({1,2,3,4},NĐ!X331,NĐ!AD331,NĐ!AJ331,NĐ!AP331)))</f>
        <v>0</v>
      </c>
      <c r="H331">
        <f>SUMPRODUCT((MONTH(CHOOSE({1,2,3,4},NĐ!U331,NĐ!AA331,NĐ!AG331,NĐ!AM331))=8)*(CHOOSE({1,2,3,4},NĐ!X331,NĐ!AD331,NĐ!AJ331,NĐ!AP331)))</f>
        <v>0</v>
      </c>
      <c r="I331">
        <f>SUMPRODUCT((MONTH(CHOOSE({1,2,3,4},NĐ!U331,NĐ!AA331,NĐ!AG331,NĐ!AM331))=9)*(CHOOSE({1,2,3,4},NĐ!X331,NĐ!AD331,NĐ!AJ331,NĐ!AP331)))</f>
        <v>0</v>
      </c>
      <c r="J331">
        <f>SUMPRODUCT((MONTH(CHOOSE({1,2,3,4},NĐ!U331,NĐ!AA331,NĐ!AG331,NĐ!AM331))=10)*(CHOOSE({1,2,3,4},NĐ!X331,NĐ!AD331,NĐ!AJ331,NĐ!AP331)))</f>
        <v>0</v>
      </c>
      <c r="K331">
        <f>SUMPRODUCT((MONTH(CHOOSE({1,2,3,4},NĐ!U331,NĐ!AA331,NĐ!AG331,NĐ!AM331))=11)*(CHOOSE({1,2,3,4},NĐ!X331,NĐ!AD331,NĐ!AJ331,NĐ!AP331)))</f>
        <v>0</v>
      </c>
      <c r="L331">
        <f>SUMPRODUCT((MONTH(CHOOSE({1,2,3,4},NĐ!U331,NĐ!AA331,NĐ!AG331,NĐ!AM331))=12)*(CHOOSE({1,2,3,4},NĐ!X331,NĐ!AD331,NĐ!AJ331,NĐ!AP331)))</f>
        <v>0</v>
      </c>
    </row>
    <row r="332" spans="1:12">
      <c r="A332">
        <f>SUMPRODUCT((MONTH(CHOOSE({1,2,3,4},NĐ!U332,NĐ!AA332,NĐ!AG332,NĐ!AM332))=1)*(CHOOSE({1,2,3,4},NĐ!X332,NĐ!AD332,NĐ!AJ332,NĐ!AP332)))</f>
        <v>0</v>
      </c>
      <c r="B332">
        <f>SUMPRODUCT((MONTH(CHOOSE({1,2,3,4},NĐ!U332,NĐ!AA332,NĐ!AG332,NĐ!AM332))=2)*(CHOOSE({1,2,3,4},NĐ!X332,NĐ!AD332,NĐ!AJ332,NĐ!AP332)))</f>
        <v>0</v>
      </c>
      <c r="C332">
        <f>SUMPRODUCT((MONTH(CHOOSE({1,2,3,4},NĐ!U332,NĐ!AA332,NĐ!AG332,NĐ!AM332))=3)*(CHOOSE({1,2,3,4},NĐ!X332,NĐ!AD332,NĐ!AJ332,NĐ!AP332)))</f>
        <v>0</v>
      </c>
      <c r="D332">
        <f>SUMPRODUCT((MONTH(CHOOSE({1,2,3,4},NĐ!U332,NĐ!AA332,NĐ!AG332,NĐ!AM332))=4)*(CHOOSE({1,2,3,4},NĐ!X332,NĐ!AD332,NĐ!AJ332,NĐ!AP332)))</f>
        <v>0</v>
      </c>
      <c r="E332">
        <f>SUMPRODUCT((MONTH(CHOOSE({1,2,3,4},NĐ!U332,NĐ!AA332,NĐ!AG332,NĐ!AM332))=5)*(CHOOSE({1,2,3,4},NĐ!X332,NĐ!AD332,NĐ!AJ332,NĐ!AP332)))</f>
        <v>0</v>
      </c>
      <c r="F332">
        <f>SUMPRODUCT((MONTH(CHOOSE({1,2,3,4},NĐ!U332,NĐ!AA332,NĐ!AG332,NĐ!AM332))=6)*(CHOOSE({1,2,3,4},NĐ!X332,NĐ!AD332,NĐ!AJ332,NĐ!AP332)))</f>
        <v>0</v>
      </c>
      <c r="G332">
        <f>SUMPRODUCT((MONTH(CHOOSE({1,2,3,4},NĐ!U332,NĐ!AA332,NĐ!AG332,NĐ!AM332))=7)*(CHOOSE({1,2,3,4},NĐ!X332,NĐ!AD332,NĐ!AJ332,NĐ!AP332)))</f>
        <v>0</v>
      </c>
      <c r="H332">
        <f>SUMPRODUCT((MONTH(CHOOSE({1,2,3,4},NĐ!U332,NĐ!AA332,NĐ!AG332,NĐ!AM332))=8)*(CHOOSE({1,2,3,4},NĐ!X332,NĐ!AD332,NĐ!AJ332,NĐ!AP332)))</f>
        <v>0</v>
      </c>
      <c r="I332">
        <f>SUMPRODUCT((MONTH(CHOOSE({1,2,3,4},NĐ!U332,NĐ!AA332,NĐ!AG332,NĐ!AM332))=9)*(CHOOSE({1,2,3,4},NĐ!X332,NĐ!AD332,NĐ!AJ332,NĐ!AP332)))</f>
        <v>0</v>
      </c>
      <c r="J332">
        <f>SUMPRODUCT((MONTH(CHOOSE({1,2,3,4},NĐ!U332,NĐ!AA332,NĐ!AG332,NĐ!AM332))=10)*(CHOOSE({1,2,3,4},NĐ!X332,NĐ!AD332,NĐ!AJ332,NĐ!AP332)))</f>
        <v>0</v>
      </c>
      <c r="K332">
        <f>SUMPRODUCT((MONTH(CHOOSE({1,2,3,4},NĐ!U332,NĐ!AA332,NĐ!AG332,NĐ!AM332))=11)*(CHOOSE({1,2,3,4},NĐ!X332,NĐ!AD332,NĐ!AJ332,NĐ!AP332)))</f>
        <v>0</v>
      </c>
      <c r="L332">
        <f>SUMPRODUCT((MONTH(CHOOSE({1,2,3,4},NĐ!U332,NĐ!AA332,NĐ!AG332,NĐ!AM332))=12)*(CHOOSE({1,2,3,4},NĐ!X332,NĐ!AD332,NĐ!AJ332,NĐ!AP332)))</f>
        <v>0</v>
      </c>
    </row>
    <row r="333" spans="1:12">
      <c r="A333">
        <f>SUMPRODUCT((MONTH(CHOOSE({1,2,3,4},NĐ!U333,NĐ!AA333,NĐ!AG333,NĐ!AM333))=1)*(CHOOSE({1,2,3,4},NĐ!X333,NĐ!AD333,NĐ!AJ333,NĐ!AP333)))</f>
        <v>0</v>
      </c>
      <c r="B333">
        <f>SUMPRODUCT((MONTH(CHOOSE({1,2,3,4},NĐ!U333,NĐ!AA333,NĐ!AG333,NĐ!AM333))=2)*(CHOOSE({1,2,3,4},NĐ!X333,NĐ!AD333,NĐ!AJ333,NĐ!AP333)))</f>
        <v>0</v>
      </c>
      <c r="C333">
        <f>SUMPRODUCT((MONTH(CHOOSE({1,2,3,4},NĐ!U333,NĐ!AA333,NĐ!AG333,NĐ!AM333))=3)*(CHOOSE({1,2,3,4},NĐ!X333,NĐ!AD333,NĐ!AJ333,NĐ!AP333)))</f>
        <v>0</v>
      </c>
      <c r="D333">
        <f>SUMPRODUCT((MONTH(CHOOSE({1,2,3,4},NĐ!U333,NĐ!AA333,NĐ!AG333,NĐ!AM333))=4)*(CHOOSE({1,2,3,4},NĐ!X333,NĐ!AD333,NĐ!AJ333,NĐ!AP333)))</f>
        <v>0</v>
      </c>
      <c r="E333">
        <f>SUMPRODUCT((MONTH(CHOOSE({1,2,3,4},NĐ!U333,NĐ!AA333,NĐ!AG333,NĐ!AM333))=5)*(CHOOSE({1,2,3,4},NĐ!X333,NĐ!AD333,NĐ!AJ333,NĐ!AP333)))</f>
        <v>0</v>
      </c>
      <c r="F333">
        <f>SUMPRODUCT((MONTH(CHOOSE({1,2,3,4},NĐ!U333,NĐ!AA333,NĐ!AG333,NĐ!AM333))=6)*(CHOOSE({1,2,3,4},NĐ!X333,NĐ!AD333,NĐ!AJ333,NĐ!AP333)))</f>
        <v>0</v>
      </c>
      <c r="G333">
        <f>SUMPRODUCT((MONTH(CHOOSE({1,2,3,4},NĐ!U333,NĐ!AA333,NĐ!AG333,NĐ!AM333))=7)*(CHOOSE({1,2,3,4},NĐ!X333,NĐ!AD333,NĐ!AJ333,NĐ!AP333)))</f>
        <v>0</v>
      </c>
      <c r="H333">
        <f>SUMPRODUCT((MONTH(CHOOSE({1,2,3,4},NĐ!U333,NĐ!AA333,NĐ!AG333,NĐ!AM333))=8)*(CHOOSE({1,2,3,4},NĐ!X333,NĐ!AD333,NĐ!AJ333,NĐ!AP333)))</f>
        <v>0</v>
      </c>
      <c r="I333">
        <f>SUMPRODUCT((MONTH(CHOOSE({1,2,3,4},NĐ!U333,NĐ!AA333,NĐ!AG333,NĐ!AM333))=9)*(CHOOSE({1,2,3,4},NĐ!X333,NĐ!AD333,NĐ!AJ333,NĐ!AP333)))</f>
        <v>0</v>
      </c>
      <c r="J333">
        <f>SUMPRODUCT((MONTH(CHOOSE({1,2,3,4},NĐ!U333,NĐ!AA333,NĐ!AG333,NĐ!AM333))=10)*(CHOOSE({1,2,3,4},NĐ!X333,NĐ!AD333,NĐ!AJ333,NĐ!AP333)))</f>
        <v>0</v>
      </c>
      <c r="K333">
        <f>SUMPRODUCT((MONTH(CHOOSE({1,2,3,4},NĐ!U333,NĐ!AA333,NĐ!AG333,NĐ!AM333))=11)*(CHOOSE({1,2,3,4},NĐ!X333,NĐ!AD333,NĐ!AJ333,NĐ!AP333)))</f>
        <v>0</v>
      </c>
      <c r="L333">
        <f>SUMPRODUCT((MONTH(CHOOSE({1,2,3,4},NĐ!U333,NĐ!AA333,NĐ!AG333,NĐ!AM333))=12)*(CHOOSE({1,2,3,4},NĐ!X333,NĐ!AD333,NĐ!AJ333,NĐ!AP333)))</f>
        <v>0</v>
      </c>
    </row>
    <row r="334" spans="1:12">
      <c r="A334">
        <f>SUMPRODUCT((MONTH(CHOOSE({1,2,3,4},NĐ!U334,NĐ!AA334,NĐ!AG334,NĐ!AM334))=1)*(CHOOSE({1,2,3,4},NĐ!X334,NĐ!AD334,NĐ!AJ334,NĐ!AP334)))</f>
        <v>0</v>
      </c>
      <c r="B334">
        <f>SUMPRODUCT((MONTH(CHOOSE({1,2,3,4},NĐ!U334,NĐ!AA334,NĐ!AG334,NĐ!AM334))=2)*(CHOOSE({1,2,3,4},NĐ!X334,NĐ!AD334,NĐ!AJ334,NĐ!AP334)))</f>
        <v>0</v>
      </c>
      <c r="C334">
        <f>SUMPRODUCT((MONTH(CHOOSE({1,2,3,4},NĐ!U334,NĐ!AA334,NĐ!AG334,NĐ!AM334))=3)*(CHOOSE({1,2,3,4},NĐ!X334,NĐ!AD334,NĐ!AJ334,NĐ!AP334)))</f>
        <v>0</v>
      </c>
      <c r="D334">
        <f>SUMPRODUCT((MONTH(CHOOSE({1,2,3,4},NĐ!U334,NĐ!AA334,NĐ!AG334,NĐ!AM334))=4)*(CHOOSE({1,2,3,4},NĐ!X334,NĐ!AD334,NĐ!AJ334,NĐ!AP334)))</f>
        <v>0</v>
      </c>
      <c r="E334">
        <f>SUMPRODUCT((MONTH(CHOOSE({1,2,3,4},NĐ!U334,NĐ!AA334,NĐ!AG334,NĐ!AM334))=5)*(CHOOSE({1,2,3,4},NĐ!X334,NĐ!AD334,NĐ!AJ334,NĐ!AP334)))</f>
        <v>0</v>
      </c>
      <c r="F334">
        <f>SUMPRODUCT((MONTH(CHOOSE({1,2,3,4},NĐ!U334,NĐ!AA334,NĐ!AG334,NĐ!AM334))=6)*(CHOOSE({1,2,3,4},NĐ!X334,NĐ!AD334,NĐ!AJ334,NĐ!AP334)))</f>
        <v>0</v>
      </c>
      <c r="G334">
        <f>SUMPRODUCT((MONTH(CHOOSE({1,2,3,4},NĐ!U334,NĐ!AA334,NĐ!AG334,NĐ!AM334))=7)*(CHOOSE({1,2,3,4},NĐ!X334,NĐ!AD334,NĐ!AJ334,NĐ!AP334)))</f>
        <v>0</v>
      </c>
      <c r="H334">
        <f>SUMPRODUCT((MONTH(CHOOSE({1,2,3,4},NĐ!U334,NĐ!AA334,NĐ!AG334,NĐ!AM334))=8)*(CHOOSE({1,2,3,4},NĐ!X334,NĐ!AD334,NĐ!AJ334,NĐ!AP334)))</f>
        <v>0</v>
      </c>
      <c r="I334">
        <f>SUMPRODUCT((MONTH(CHOOSE({1,2,3,4},NĐ!U334,NĐ!AA334,NĐ!AG334,NĐ!AM334))=9)*(CHOOSE({1,2,3,4},NĐ!X334,NĐ!AD334,NĐ!AJ334,NĐ!AP334)))</f>
        <v>0</v>
      </c>
      <c r="J334">
        <f>SUMPRODUCT((MONTH(CHOOSE({1,2,3,4},NĐ!U334,NĐ!AA334,NĐ!AG334,NĐ!AM334))=10)*(CHOOSE({1,2,3,4},NĐ!X334,NĐ!AD334,NĐ!AJ334,NĐ!AP334)))</f>
        <v>0</v>
      </c>
      <c r="K334">
        <f>SUMPRODUCT((MONTH(CHOOSE({1,2,3,4},NĐ!U334,NĐ!AA334,NĐ!AG334,NĐ!AM334))=11)*(CHOOSE({1,2,3,4},NĐ!X334,NĐ!AD334,NĐ!AJ334,NĐ!AP334)))</f>
        <v>0</v>
      </c>
      <c r="L334">
        <f>SUMPRODUCT((MONTH(CHOOSE({1,2,3,4},NĐ!U334,NĐ!AA334,NĐ!AG334,NĐ!AM334))=12)*(CHOOSE({1,2,3,4},NĐ!X334,NĐ!AD334,NĐ!AJ334,NĐ!AP334)))</f>
        <v>0</v>
      </c>
    </row>
    <row r="335" spans="1:12">
      <c r="A335">
        <f>SUMPRODUCT((MONTH(CHOOSE({1,2,3,4},NĐ!U335,NĐ!AA335,NĐ!AG335,NĐ!AM335))=1)*(CHOOSE({1,2,3,4},NĐ!X335,NĐ!AD335,NĐ!AJ335,NĐ!AP335)))</f>
        <v>0</v>
      </c>
      <c r="B335">
        <f>SUMPRODUCT((MONTH(CHOOSE({1,2,3,4},NĐ!U335,NĐ!AA335,NĐ!AG335,NĐ!AM335))=2)*(CHOOSE({1,2,3,4},NĐ!X335,NĐ!AD335,NĐ!AJ335,NĐ!AP335)))</f>
        <v>0</v>
      </c>
      <c r="C335">
        <f>SUMPRODUCT((MONTH(CHOOSE({1,2,3,4},NĐ!U335,NĐ!AA335,NĐ!AG335,NĐ!AM335))=3)*(CHOOSE({1,2,3,4},NĐ!X335,NĐ!AD335,NĐ!AJ335,NĐ!AP335)))</f>
        <v>0</v>
      </c>
      <c r="D335">
        <f>SUMPRODUCT((MONTH(CHOOSE({1,2,3,4},NĐ!U335,NĐ!AA335,NĐ!AG335,NĐ!AM335))=4)*(CHOOSE({1,2,3,4},NĐ!X335,NĐ!AD335,NĐ!AJ335,NĐ!AP335)))</f>
        <v>0</v>
      </c>
      <c r="E335">
        <f>SUMPRODUCT((MONTH(CHOOSE({1,2,3,4},NĐ!U335,NĐ!AA335,NĐ!AG335,NĐ!AM335))=5)*(CHOOSE({1,2,3,4},NĐ!X335,NĐ!AD335,NĐ!AJ335,NĐ!AP335)))</f>
        <v>0</v>
      </c>
      <c r="F335">
        <f>SUMPRODUCT((MONTH(CHOOSE({1,2,3,4},NĐ!U335,NĐ!AA335,NĐ!AG335,NĐ!AM335))=6)*(CHOOSE({1,2,3,4},NĐ!X335,NĐ!AD335,NĐ!AJ335,NĐ!AP335)))</f>
        <v>0</v>
      </c>
      <c r="G335">
        <f>SUMPRODUCT((MONTH(CHOOSE({1,2,3,4},NĐ!U335,NĐ!AA335,NĐ!AG335,NĐ!AM335))=7)*(CHOOSE({1,2,3,4},NĐ!X335,NĐ!AD335,NĐ!AJ335,NĐ!AP335)))</f>
        <v>0</v>
      </c>
      <c r="H335">
        <f>SUMPRODUCT((MONTH(CHOOSE({1,2,3,4},NĐ!U335,NĐ!AA335,NĐ!AG335,NĐ!AM335))=8)*(CHOOSE({1,2,3,4},NĐ!X335,NĐ!AD335,NĐ!AJ335,NĐ!AP335)))</f>
        <v>0</v>
      </c>
      <c r="I335">
        <f>SUMPRODUCT((MONTH(CHOOSE({1,2,3,4},NĐ!U335,NĐ!AA335,NĐ!AG335,NĐ!AM335))=9)*(CHOOSE({1,2,3,4},NĐ!X335,NĐ!AD335,NĐ!AJ335,NĐ!AP335)))</f>
        <v>0</v>
      </c>
      <c r="J335">
        <f>SUMPRODUCT((MONTH(CHOOSE({1,2,3,4},NĐ!U335,NĐ!AA335,NĐ!AG335,NĐ!AM335))=10)*(CHOOSE({1,2,3,4},NĐ!X335,NĐ!AD335,NĐ!AJ335,NĐ!AP335)))</f>
        <v>0</v>
      </c>
      <c r="K335">
        <f>SUMPRODUCT((MONTH(CHOOSE({1,2,3,4},NĐ!U335,NĐ!AA335,NĐ!AG335,NĐ!AM335))=11)*(CHOOSE({1,2,3,4},NĐ!X335,NĐ!AD335,NĐ!AJ335,NĐ!AP335)))</f>
        <v>0</v>
      </c>
      <c r="L335">
        <f>SUMPRODUCT((MONTH(CHOOSE({1,2,3,4},NĐ!U335,NĐ!AA335,NĐ!AG335,NĐ!AM335))=12)*(CHOOSE({1,2,3,4},NĐ!X335,NĐ!AD335,NĐ!AJ335,NĐ!AP335)))</f>
        <v>0</v>
      </c>
    </row>
    <row r="336" spans="1:12">
      <c r="A336">
        <f>SUMPRODUCT((MONTH(CHOOSE({1,2,3,4},NĐ!U336,NĐ!AA336,NĐ!AG336,NĐ!AM336))=1)*(CHOOSE({1,2,3,4},NĐ!X336,NĐ!AD336,NĐ!AJ336,NĐ!AP336)))</f>
        <v>0</v>
      </c>
      <c r="B336">
        <f>SUMPRODUCT((MONTH(CHOOSE({1,2,3,4},NĐ!U336,NĐ!AA336,NĐ!AG336,NĐ!AM336))=2)*(CHOOSE({1,2,3,4},NĐ!X336,NĐ!AD336,NĐ!AJ336,NĐ!AP336)))</f>
        <v>0</v>
      </c>
      <c r="C336">
        <f>SUMPRODUCT((MONTH(CHOOSE({1,2,3,4},NĐ!U336,NĐ!AA336,NĐ!AG336,NĐ!AM336))=3)*(CHOOSE({1,2,3,4},NĐ!X336,NĐ!AD336,NĐ!AJ336,NĐ!AP336)))</f>
        <v>0</v>
      </c>
      <c r="D336">
        <f>SUMPRODUCT((MONTH(CHOOSE({1,2,3,4},NĐ!U336,NĐ!AA336,NĐ!AG336,NĐ!AM336))=4)*(CHOOSE({1,2,3,4},NĐ!X336,NĐ!AD336,NĐ!AJ336,NĐ!AP336)))</f>
        <v>0</v>
      </c>
      <c r="E336">
        <f>SUMPRODUCT((MONTH(CHOOSE({1,2,3,4},NĐ!U336,NĐ!AA336,NĐ!AG336,NĐ!AM336))=5)*(CHOOSE({1,2,3,4},NĐ!X336,NĐ!AD336,NĐ!AJ336,NĐ!AP336)))</f>
        <v>0</v>
      </c>
      <c r="F336">
        <f>SUMPRODUCT((MONTH(CHOOSE({1,2,3,4},NĐ!U336,NĐ!AA336,NĐ!AG336,NĐ!AM336))=6)*(CHOOSE({1,2,3,4},NĐ!X336,NĐ!AD336,NĐ!AJ336,NĐ!AP336)))</f>
        <v>0</v>
      </c>
      <c r="G336">
        <f>SUMPRODUCT((MONTH(CHOOSE({1,2,3,4},NĐ!U336,NĐ!AA336,NĐ!AG336,NĐ!AM336))=7)*(CHOOSE({1,2,3,4},NĐ!X336,NĐ!AD336,NĐ!AJ336,NĐ!AP336)))</f>
        <v>0</v>
      </c>
      <c r="H336">
        <f>SUMPRODUCT((MONTH(CHOOSE({1,2,3,4},NĐ!U336,NĐ!AA336,NĐ!AG336,NĐ!AM336))=8)*(CHOOSE({1,2,3,4},NĐ!X336,NĐ!AD336,NĐ!AJ336,NĐ!AP336)))</f>
        <v>0</v>
      </c>
      <c r="I336">
        <f>SUMPRODUCT((MONTH(CHOOSE({1,2,3,4},NĐ!U336,NĐ!AA336,NĐ!AG336,NĐ!AM336))=9)*(CHOOSE({1,2,3,4},NĐ!X336,NĐ!AD336,NĐ!AJ336,NĐ!AP336)))</f>
        <v>0</v>
      </c>
      <c r="J336">
        <f>SUMPRODUCT((MONTH(CHOOSE({1,2,3,4},NĐ!U336,NĐ!AA336,NĐ!AG336,NĐ!AM336))=10)*(CHOOSE({1,2,3,4},NĐ!X336,NĐ!AD336,NĐ!AJ336,NĐ!AP336)))</f>
        <v>0</v>
      </c>
      <c r="K336">
        <f>SUMPRODUCT((MONTH(CHOOSE({1,2,3,4},NĐ!U336,NĐ!AA336,NĐ!AG336,NĐ!AM336))=11)*(CHOOSE({1,2,3,4},NĐ!X336,NĐ!AD336,NĐ!AJ336,NĐ!AP336)))</f>
        <v>0</v>
      </c>
      <c r="L336">
        <f>SUMPRODUCT((MONTH(CHOOSE({1,2,3,4},NĐ!U336,NĐ!AA336,NĐ!AG336,NĐ!AM336))=12)*(CHOOSE({1,2,3,4},NĐ!X336,NĐ!AD336,NĐ!AJ336,NĐ!AP336)))</f>
        <v>0</v>
      </c>
    </row>
    <row r="337" spans="1:12">
      <c r="A337">
        <f>SUMPRODUCT((MONTH(CHOOSE({1,2,3,4},NĐ!U337,NĐ!AA337,NĐ!AG337,NĐ!AM337))=1)*(CHOOSE({1,2,3,4},NĐ!X337,NĐ!AD337,NĐ!AJ337,NĐ!AP337)))</f>
        <v>0</v>
      </c>
      <c r="B337">
        <f>SUMPRODUCT((MONTH(CHOOSE({1,2,3,4},NĐ!U337,NĐ!AA337,NĐ!AG337,NĐ!AM337))=2)*(CHOOSE({1,2,3,4},NĐ!X337,NĐ!AD337,NĐ!AJ337,NĐ!AP337)))</f>
        <v>0</v>
      </c>
      <c r="C337">
        <f>SUMPRODUCT((MONTH(CHOOSE({1,2,3,4},NĐ!U337,NĐ!AA337,NĐ!AG337,NĐ!AM337))=3)*(CHOOSE({1,2,3,4},NĐ!X337,NĐ!AD337,NĐ!AJ337,NĐ!AP337)))</f>
        <v>0</v>
      </c>
      <c r="D337">
        <f>SUMPRODUCT((MONTH(CHOOSE({1,2,3,4},NĐ!U337,NĐ!AA337,NĐ!AG337,NĐ!AM337))=4)*(CHOOSE({1,2,3,4},NĐ!X337,NĐ!AD337,NĐ!AJ337,NĐ!AP337)))</f>
        <v>0</v>
      </c>
      <c r="E337">
        <f>SUMPRODUCT((MONTH(CHOOSE({1,2,3,4},NĐ!U337,NĐ!AA337,NĐ!AG337,NĐ!AM337))=5)*(CHOOSE({1,2,3,4},NĐ!X337,NĐ!AD337,NĐ!AJ337,NĐ!AP337)))</f>
        <v>0</v>
      </c>
      <c r="F337">
        <f>SUMPRODUCT((MONTH(CHOOSE({1,2,3,4},NĐ!U337,NĐ!AA337,NĐ!AG337,NĐ!AM337))=6)*(CHOOSE({1,2,3,4},NĐ!X337,NĐ!AD337,NĐ!AJ337,NĐ!AP337)))</f>
        <v>0</v>
      </c>
      <c r="G337">
        <f>SUMPRODUCT((MONTH(CHOOSE({1,2,3,4},NĐ!U337,NĐ!AA337,NĐ!AG337,NĐ!AM337))=7)*(CHOOSE({1,2,3,4},NĐ!X337,NĐ!AD337,NĐ!AJ337,NĐ!AP337)))</f>
        <v>0</v>
      </c>
      <c r="H337">
        <f>SUMPRODUCT((MONTH(CHOOSE({1,2,3,4},NĐ!U337,NĐ!AA337,NĐ!AG337,NĐ!AM337))=8)*(CHOOSE({1,2,3,4},NĐ!X337,NĐ!AD337,NĐ!AJ337,NĐ!AP337)))</f>
        <v>0</v>
      </c>
      <c r="I337">
        <f>SUMPRODUCT((MONTH(CHOOSE({1,2,3,4},NĐ!U337,NĐ!AA337,NĐ!AG337,NĐ!AM337))=9)*(CHOOSE({1,2,3,4},NĐ!X337,NĐ!AD337,NĐ!AJ337,NĐ!AP337)))</f>
        <v>0</v>
      </c>
      <c r="J337">
        <f>SUMPRODUCT((MONTH(CHOOSE({1,2,3,4},NĐ!U337,NĐ!AA337,NĐ!AG337,NĐ!AM337))=10)*(CHOOSE({1,2,3,4},NĐ!X337,NĐ!AD337,NĐ!AJ337,NĐ!AP337)))</f>
        <v>0</v>
      </c>
      <c r="K337">
        <f>SUMPRODUCT((MONTH(CHOOSE({1,2,3,4},NĐ!U337,NĐ!AA337,NĐ!AG337,NĐ!AM337))=11)*(CHOOSE({1,2,3,4},NĐ!X337,NĐ!AD337,NĐ!AJ337,NĐ!AP337)))</f>
        <v>0</v>
      </c>
      <c r="L337">
        <f>SUMPRODUCT((MONTH(CHOOSE({1,2,3,4},NĐ!U337,NĐ!AA337,NĐ!AG337,NĐ!AM337))=12)*(CHOOSE({1,2,3,4},NĐ!X337,NĐ!AD337,NĐ!AJ337,NĐ!AP337)))</f>
        <v>0</v>
      </c>
    </row>
    <row r="338" spans="1:12">
      <c r="A338">
        <f>SUMPRODUCT((MONTH(CHOOSE({1,2,3,4},NĐ!U338,NĐ!AA338,NĐ!AG338,NĐ!AM338))=1)*(CHOOSE({1,2,3,4},NĐ!X338,NĐ!AD338,NĐ!AJ338,NĐ!AP338)))</f>
        <v>0</v>
      </c>
      <c r="B338">
        <f>SUMPRODUCT((MONTH(CHOOSE({1,2,3,4},NĐ!U338,NĐ!AA338,NĐ!AG338,NĐ!AM338))=2)*(CHOOSE({1,2,3,4},NĐ!X338,NĐ!AD338,NĐ!AJ338,NĐ!AP338)))</f>
        <v>0</v>
      </c>
      <c r="C338">
        <f>SUMPRODUCT((MONTH(CHOOSE({1,2,3,4},NĐ!U338,NĐ!AA338,NĐ!AG338,NĐ!AM338))=3)*(CHOOSE({1,2,3,4},NĐ!X338,NĐ!AD338,NĐ!AJ338,NĐ!AP338)))</f>
        <v>0</v>
      </c>
      <c r="D338">
        <f>SUMPRODUCT((MONTH(CHOOSE({1,2,3,4},NĐ!U338,NĐ!AA338,NĐ!AG338,NĐ!AM338))=4)*(CHOOSE({1,2,3,4},NĐ!X338,NĐ!AD338,NĐ!AJ338,NĐ!AP338)))</f>
        <v>0</v>
      </c>
      <c r="E338">
        <f>SUMPRODUCT((MONTH(CHOOSE({1,2,3,4},NĐ!U338,NĐ!AA338,NĐ!AG338,NĐ!AM338))=5)*(CHOOSE({1,2,3,4},NĐ!X338,NĐ!AD338,NĐ!AJ338,NĐ!AP338)))</f>
        <v>0</v>
      </c>
      <c r="F338">
        <f>SUMPRODUCT((MONTH(CHOOSE({1,2,3,4},NĐ!U338,NĐ!AA338,NĐ!AG338,NĐ!AM338))=6)*(CHOOSE({1,2,3,4},NĐ!X338,NĐ!AD338,NĐ!AJ338,NĐ!AP338)))</f>
        <v>0</v>
      </c>
      <c r="G338">
        <f>SUMPRODUCT((MONTH(CHOOSE({1,2,3,4},NĐ!U338,NĐ!AA338,NĐ!AG338,NĐ!AM338))=7)*(CHOOSE({1,2,3,4},NĐ!X338,NĐ!AD338,NĐ!AJ338,NĐ!AP338)))</f>
        <v>0</v>
      </c>
      <c r="H338">
        <f>SUMPRODUCT((MONTH(CHOOSE({1,2,3,4},NĐ!U338,NĐ!AA338,NĐ!AG338,NĐ!AM338))=8)*(CHOOSE({1,2,3,4},NĐ!X338,NĐ!AD338,NĐ!AJ338,NĐ!AP338)))</f>
        <v>0</v>
      </c>
      <c r="I338">
        <f>SUMPRODUCT((MONTH(CHOOSE({1,2,3,4},NĐ!U338,NĐ!AA338,NĐ!AG338,NĐ!AM338))=9)*(CHOOSE({1,2,3,4},NĐ!X338,NĐ!AD338,NĐ!AJ338,NĐ!AP338)))</f>
        <v>0</v>
      </c>
      <c r="J338">
        <f>SUMPRODUCT((MONTH(CHOOSE({1,2,3,4},NĐ!U338,NĐ!AA338,NĐ!AG338,NĐ!AM338))=10)*(CHOOSE({1,2,3,4},NĐ!X338,NĐ!AD338,NĐ!AJ338,NĐ!AP338)))</f>
        <v>0</v>
      </c>
      <c r="K338">
        <f>SUMPRODUCT((MONTH(CHOOSE({1,2,3,4},NĐ!U338,NĐ!AA338,NĐ!AG338,NĐ!AM338))=11)*(CHOOSE({1,2,3,4},NĐ!X338,NĐ!AD338,NĐ!AJ338,NĐ!AP338)))</f>
        <v>0</v>
      </c>
      <c r="L338">
        <f>SUMPRODUCT((MONTH(CHOOSE({1,2,3,4},NĐ!U338,NĐ!AA338,NĐ!AG338,NĐ!AM338))=12)*(CHOOSE({1,2,3,4},NĐ!X338,NĐ!AD338,NĐ!AJ338,NĐ!AP338)))</f>
        <v>0</v>
      </c>
    </row>
    <row r="339" spans="1:12">
      <c r="A339">
        <f>SUMPRODUCT((MONTH(CHOOSE({1,2,3,4},NĐ!U339,NĐ!AA339,NĐ!AG339,NĐ!AM339))=1)*(CHOOSE({1,2,3,4},NĐ!X339,NĐ!AD339,NĐ!AJ339,NĐ!AP339)))</f>
        <v>0</v>
      </c>
      <c r="B339">
        <f>SUMPRODUCT((MONTH(CHOOSE({1,2,3,4},NĐ!U339,NĐ!AA339,NĐ!AG339,NĐ!AM339))=2)*(CHOOSE({1,2,3,4},NĐ!X339,NĐ!AD339,NĐ!AJ339,NĐ!AP339)))</f>
        <v>0</v>
      </c>
      <c r="C339">
        <f>SUMPRODUCT((MONTH(CHOOSE({1,2,3,4},NĐ!U339,NĐ!AA339,NĐ!AG339,NĐ!AM339))=3)*(CHOOSE({1,2,3,4},NĐ!X339,NĐ!AD339,NĐ!AJ339,NĐ!AP339)))</f>
        <v>0</v>
      </c>
      <c r="D339">
        <f>SUMPRODUCT((MONTH(CHOOSE({1,2,3,4},NĐ!U339,NĐ!AA339,NĐ!AG339,NĐ!AM339))=4)*(CHOOSE({1,2,3,4},NĐ!X339,NĐ!AD339,NĐ!AJ339,NĐ!AP339)))</f>
        <v>0</v>
      </c>
      <c r="E339">
        <f>SUMPRODUCT((MONTH(CHOOSE({1,2,3,4},NĐ!U339,NĐ!AA339,NĐ!AG339,NĐ!AM339))=5)*(CHOOSE({1,2,3,4},NĐ!X339,NĐ!AD339,NĐ!AJ339,NĐ!AP339)))</f>
        <v>0</v>
      </c>
      <c r="F339">
        <f>SUMPRODUCT((MONTH(CHOOSE({1,2,3,4},NĐ!U339,NĐ!AA339,NĐ!AG339,NĐ!AM339))=6)*(CHOOSE({1,2,3,4},NĐ!X339,NĐ!AD339,NĐ!AJ339,NĐ!AP339)))</f>
        <v>0</v>
      </c>
      <c r="G339">
        <f>SUMPRODUCT((MONTH(CHOOSE({1,2,3,4},NĐ!U339,NĐ!AA339,NĐ!AG339,NĐ!AM339))=7)*(CHOOSE({1,2,3,4},NĐ!X339,NĐ!AD339,NĐ!AJ339,NĐ!AP339)))</f>
        <v>0</v>
      </c>
      <c r="H339">
        <f>SUMPRODUCT((MONTH(CHOOSE({1,2,3,4},NĐ!U339,NĐ!AA339,NĐ!AG339,NĐ!AM339))=8)*(CHOOSE({1,2,3,4},NĐ!X339,NĐ!AD339,NĐ!AJ339,NĐ!AP339)))</f>
        <v>0</v>
      </c>
      <c r="I339">
        <f>SUMPRODUCT((MONTH(CHOOSE({1,2,3,4},NĐ!U339,NĐ!AA339,NĐ!AG339,NĐ!AM339))=9)*(CHOOSE({1,2,3,4},NĐ!X339,NĐ!AD339,NĐ!AJ339,NĐ!AP339)))</f>
        <v>0</v>
      </c>
      <c r="J339">
        <f>SUMPRODUCT((MONTH(CHOOSE({1,2,3,4},NĐ!U339,NĐ!AA339,NĐ!AG339,NĐ!AM339))=10)*(CHOOSE({1,2,3,4},NĐ!X339,NĐ!AD339,NĐ!AJ339,NĐ!AP339)))</f>
        <v>0</v>
      </c>
      <c r="K339">
        <f>SUMPRODUCT((MONTH(CHOOSE({1,2,3,4},NĐ!U339,NĐ!AA339,NĐ!AG339,NĐ!AM339))=11)*(CHOOSE({1,2,3,4},NĐ!X339,NĐ!AD339,NĐ!AJ339,NĐ!AP339)))</f>
        <v>0</v>
      </c>
      <c r="L339">
        <f>SUMPRODUCT((MONTH(CHOOSE({1,2,3,4},NĐ!U339,NĐ!AA339,NĐ!AG339,NĐ!AM339))=12)*(CHOOSE({1,2,3,4},NĐ!X339,NĐ!AD339,NĐ!AJ339,NĐ!AP339)))</f>
        <v>0</v>
      </c>
    </row>
    <row r="340" spans="1:12">
      <c r="A340">
        <f>SUMPRODUCT((MONTH(CHOOSE({1,2,3,4},NĐ!U340,NĐ!AA340,NĐ!AG340,NĐ!AM340))=1)*(CHOOSE({1,2,3,4},NĐ!X340,NĐ!AD340,NĐ!AJ340,NĐ!AP340)))</f>
        <v>0</v>
      </c>
      <c r="B340">
        <f>SUMPRODUCT((MONTH(CHOOSE({1,2,3,4},NĐ!U340,NĐ!AA340,NĐ!AG340,NĐ!AM340))=2)*(CHOOSE({1,2,3,4},NĐ!X340,NĐ!AD340,NĐ!AJ340,NĐ!AP340)))</f>
        <v>0</v>
      </c>
      <c r="C340">
        <f>SUMPRODUCT((MONTH(CHOOSE({1,2,3,4},NĐ!U340,NĐ!AA340,NĐ!AG340,NĐ!AM340))=3)*(CHOOSE({1,2,3,4},NĐ!X340,NĐ!AD340,NĐ!AJ340,NĐ!AP340)))</f>
        <v>0</v>
      </c>
      <c r="D340">
        <f>SUMPRODUCT((MONTH(CHOOSE({1,2,3,4},NĐ!U340,NĐ!AA340,NĐ!AG340,NĐ!AM340))=4)*(CHOOSE({1,2,3,4},NĐ!X340,NĐ!AD340,NĐ!AJ340,NĐ!AP340)))</f>
        <v>0</v>
      </c>
      <c r="E340">
        <f>SUMPRODUCT((MONTH(CHOOSE({1,2,3,4},NĐ!U340,NĐ!AA340,NĐ!AG340,NĐ!AM340))=5)*(CHOOSE({1,2,3,4},NĐ!X340,NĐ!AD340,NĐ!AJ340,NĐ!AP340)))</f>
        <v>0</v>
      </c>
      <c r="F340">
        <f>SUMPRODUCT((MONTH(CHOOSE({1,2,3,4},NĐ!U340,NĐ!AA340,NĐ!AG340,NĐ!AM340))=6)*(CHOOSE({1,2,3,4},NĐ!X340,NĐ!AD340,NĐ!AJ340,NĐ!AP340)))</f>
        <v>0</v>
      </c>
      <c r="G340">
        <f>SUMPRODUCT((MONTH(CHOOSE({1,2,3,4},NĐ!U340,NĐ!AA340,NĐ!AG340,NĐ!AM340))=7)*(CHOOSE({1,2,3,4},NĐ!X340,NĐ!AD340,NĐ!AJ340,NĐ!AP340)))</f>
        <v>0</v>
      </c>
      <c r="H340">
        <f>SUMPRODUCT((MONTH(CHOOSE({1,2,3,4},NĐ!U340,NĐ!AA340,NĐ!AG340,NĐ!AM340))=8)*(CHOOSE({1,2,3,4},NĐ!X340,NĐ!AD340,NĐ!AJ340,NĐ!AP340)))</f>
        <v>0</v>
      </c>
      <c r="I340">
        <f>SUMPRODUCT((MONTH(CHOOSE({1,2,3,4},NĐ!U340,NĐ!AA340,NĐ!AG340,NĐ!AM340))=9)*(CHOOSE({1,2,3,4},NĐ!X340,NĐ!AD340,NĐ!AJ340,NĐ!AP340)))</f>
        <v>0</v>
      </c>
      <c r="J340">
        <f>SUMPRODUCT((MONTH(CHOOSE({1,2,3,4},NĐ!U340,NĐ!AA340,NĐ!AG340,NĐ!AM340))=10)*(CHOOSE({1,2,3,4},NĐ!X340,NĐ!AD340,NĐ!AJ340,NĐ!AP340)))</f>
        <v>0</v>
      </c>
      <c r="K340">
        <f>SUMPRODUCT((MONTH(CHOOSE({1,2,3,4},NĐ!U340,NĐ!AA340,NĐ!AG340,NĐ!AM340))=11)*(CHOOSE({1,2,3,4},NĐ!X340,NĐ!AD340,NĐ!AJ340,NĐ!AP340)))</f>
        <v>0</v>
      </c>
      <c r="L340">
        <f>SUMPRODUCT((MONTH(CHOOSE({1,2,3,4},NĐ!U340,NĐ!AA340,NĐ!AG340,NĐ!AM340))=12)*(CHOOSE({1,2,3,4},NĐ!X340,NĐ!AD340,NĐ!AJ340,NĐ!AP340)))</f>
        <v>0</v>
      </c>
    </row>
    <row r="341" spans="1:12">
      <c r="A341">
        <f>SUMPRODUCT((MONTH(CHOOSE({1,2,3,4},NĐ!U341,NĐ!AA341,NĐ!AG341,NĐ!AM341))=1)*(CHOOSE({1,2,3,4},NĐ!X341,NĐ!AD341,NĐ!AJ341,NĐ!AP341)))</f>
        <v>0</v>
      </c>
      <c r="B341">
        <f>SUMPRODUCT((MONTH(CHOOSE({1,2,3,4},NĐ!U341,NĐ!AA341,NĐ!AG341,NĐ!AM341))=2)*(CHOOSE({1,2,3,4},NĐ!X341,NĐ!AD341,NĐ!AJ341,NĐ!AP341)))</f>
        <v>0</v>
      </c>
      <c r="C341">
        <f>SUMPRODUCT((MONTH(CHOOSE({1,2,3,4},NĐ!U341,NĐ!AA341,NĐ!AG341,NĐ!AM341))=3)*(CHOOSE({1,2,3,4},NĐ!X341,NĐ!AD341,NĐ!AJ341,NĐ!AP341)))</f>
        <v>0</v>
      </c>
      <c r="D341">
        <f>SUMPRODUCT((MONTH(CHOOSE({1,2,3,4},NĐ!U341,NĐ!AA341,NĐ!AG341,NĐ!AM341))=4)*(CHOOSE({1,2,3,4},NĐ!X341,NĐ!AD341,NĐ!AJ341,NĐ!AP341)))</f>
        <v>0</v>
      </c>
      <c r="E341">
        <f>SUMPRODUCT((MONTH(CHOOSE({1,2,3,4},NĐ!U341,NĐ!AA341,NĐ!AG341,NĐ!AM341))=5)*(CHOOSE({1,2,3,4},NĐ!X341,NĐ!AD341,NĐ!AJ341,NĐ!AP341)))</f>
        <v>0</v>
      </c>
      <c r="F341">
        <f>SUMPRODUCT((MONTH(CHOOSE({1,2,3,4},NĐ!U341,NĐ!AA341,NĐ!AG341,NĐ!AM341))=6)*(CHOOSE({1,2,3,4},NĐ!X341,NĐ!AD341,NĐ!AJ341,NĐ!AP341)))</f>
        <v>0</v>
      </c>
      <c r="G341">
        <f>SUMPRODUCT((MONTH(CHOOSE({1,2,3,4},NĐ!U341,NĐ!AA341,NĐ!AG341,NĐ!AM341))=7)*(CHOOSE({1,2,3,4},NĐ!X341,NĐ!AD341,NĐ!AJ341,NĐ!AP341)))</f>
        <v>0</v>
      </c>
      <c r="H341">
        <f>SUMPRODUCT((MONTH(CHOOSE({1,2,3,4},NĐ!U341,NĐ!AA341,NĐ!AG341,NĐ!AM341))=8)*(CHOOSE({1,2,3,4},NĐ!X341,NĐ!AD341,NĐ!AJ341,NĐ!AP341)))</f>
        <v>0</v>
      </c>
      <c r="I341">
        <f>SUMPRODUCT((MONTH(CHOOSE({1,2,3,4},NĐ!U341,NĐ!AA341,NĐ!AG341,NĐ!AM341))=9)*(CHOOSE({1,2,3,4},NĐ!X341,NĐ!AD341,NĐ!AJ341,NĐ!AP341)))</f>
        <v>0</v>
      </c>
      <c r="J341">
        <f>SUMPRODUCT((MONTH(CHOOSE({1,2,3,4},NĐ!U341,NĐ!AA341,NĐ!AG341,NĐ!AM341))=10)*(CHOOSE({1,2,3,4},NĐ!X341,NĐ!AD341,NĐ!AJ341,NĐ!AP341)))</f>
        <v>0</v>
      </c>
      <c r="K341">
        <f>SUMPRODUCT((MONTH(CHOOSE({1,2,3,4},NĐ!U341,NĐ!AA341,NĐ!AG341,NĐ!AM341))=11)*(CHOOSE({1,2,3,4},NĐ!X341,NĐ!AD341,NĐ!AJ341,NĐ!AP341)))</f>
        <v>0</v>
      </c>
      <c r="L341">
        <f>SUMPRODUCT((MONTH(CHOOSE({1,2,3,4},NĐ!U341,NĐ!AA341,NĐ!AG341,NĐ!AM341))=12)*(CHOOSE({1,2,3,4},NĐ!X341,NĐ!AD341,NĐ!AJ341,NĐ!AP341)))</f>
        <v>0</v>
      </c>
    </row>
    <row r="342" spans="1:12">
      <c r="A342">
        <f>SUMPRODUCT((MONTH(CHOOSE({1,2,3,4},NĐ!U342,NĐ!AA342,NĐ!AG342,NĐ!AM342))=1)*(CHOOSE({1,2,3,4},NĐ!X342,NĐ!AD342,NĐ!AJ342,NĐ!AP342)))</f>
        <v>0</v>
      </c>
      <c r="B342">
        <f>SUMPRODUCT((MONTH(CHOOSE({1,2,3,4},NĐ!U342,NĐ!AA342,NĐ!AG342,NĐ!AM342))=2)*(CHOOSE({1,2,3,4},NĐ!X342,NĐ!AD342,NĐ!AJ342,NĐ!AP342)))</f>
        <v>0</v>
      </c>
      <c r="C342">
        <f>SUMPRODUCT((MONTH(CHOOSE({1,2,3,4},NĐ!U342,NĐ!AA342,NĐ!AG342,NĐ!AM342))=3)*(CHOOSE({1,2,3,4},NĐ!X342,NĐ!AD342,NĐ!AJ342,NĐ!AP342)))</f>
        <v>0</v>
      </c>
      <c r="D342">
        <f>SUMPRODUCT((MONTH(CHOOSE({1,2,3,4},NĐ!U342,NĐ!AA342,NĐ!AG342,NĐ!AM342))=4)*(CHOOSE({1,2,3,4},NĐ!X342,NĐ!AD342,NĐ!AJ342,NĐ!AP342)))</f>
        <v>0</v>
      </c>
      <c r="E342">
        <f>SUMPRODUCT((MONTH(CHOOSE({1,2,3,4},NĐ!U342,NĐ!AA342,NĐ!AG342,NĐ!AM342))=5)*(CHOOSE({1,2,3,4},NĐ!X342,NĐ!AD342,NĐ!AJ342,NĐ!AP342)))</f>
        <v>0</v>
      </c>
      <c r="F342">
        <f>SUMPRODUCT((MONTH(CHOOSE({1,2,3,4},NĐ!U342,NĐ!AA342,NĐ!AG342,NĐ!AM342))=6)*(CHOOSE({1,2,3,4},NĐ!X342,NĐ!AD342,NĐ!AJ342,NĐ!AP342)))</f>
        <v>0</v>
      </c>
      <c r="G342">
        <f>SUMPRODUCT((MONTH(CHOOSE({1,2,3,4},NĐ!U342,NĐ!AA342,NĐ!AG342,NĐ!AM342))=7)*(CHOOSE({1,2,3,4},NĐ!X342,NĐ!AD342,NĐ!AJ342,NĐ!AP342)))</f>
        <v>0</v>
      </c>
      <c r="H342">
        <f>SUMPRODUCT((MONTH(CHOOSE({1,2,3,4},NĐ!U342,NĐ!AA342,NĐ!AG342,NĐ!AM342))=8)*(CHOOSE({1,2,3,4},NĐ!X342,NĐ!AD342,NĐ!AJ342,NĐ!AP342)))</f>
        <v>0</v>
      </c>
      <c r="I342">
        <f>SUMPRODUCT((MONTH(CHOOSE({1,2,3,4},NĐ!U342,NĐ!AA342,NĐ!AG342,NĐ!AM342))=9)*(CHOOSE({1,2,3,4},NĐ!X342,NĐ!AD342,NĐ!AJ342,NĐ!AP342)))</f>
        <v>0</v>
      </c>
      <c r="J342">
        <f>SUMPRODUCT((MONTH(CHOOSE({1,2,3,4},NĐ!U342,NĐ!AA342,NĐ!AG342,NĐ!AM342))=10)*(CHOOSE({1,2,3,4},NĐ!X342,NĐ!AD342,NĐ!AJ342,NĐ!AP342)))</f>
        <v>0</v>
      </c>
      <c r="K342">
        <f>SUMPRODUCT((MONTH(CHOOSE({1,2,3,4},NĐ!U342,NĐ!AA342,NĐ!AG342,NĐ!AM342))=11)*(CHOOSE({1,2,3,4},NĐ!X342,NĐ!AD342,NĐ!AJ342,NĐ!AP342)))</f>
        <v>0</v>
      </c>
      <c r="L342">
        <f>SUMPRODUCT((MONTH(CHOOSE({1,2,3,4},NĐ!U342,NĐ!AA342,NĐ!AG342,NĐ!AM342))=12)*(CHOOSE({1,2,3,4},NĐ!X342,NĐ!AD342,NĐ!AJ342,NĐ!AP342)))</f>
        <v>0</v>
      </c>
    </row>
    <row r="343" spans="1:12">
      <c r="A343">
        <f>SUMPRODUCT((MONTH(CHOOSE({1,2,3,4},NĐ!U343,NĐ!AA343,NĐ!AG343,NĐ!AM343))=1)*(CHOOSE({1,2,3,4},NĐ!X343,NĐ!AD343,NĐ!AJ343,NĐ!AP343)))</f>
        <v>0</v>
      </c>
      <c r="B343">
        <f>SUMPRODUCT((MONTH(CHOOSE({1,2,3,4},NĐ!U343,NĐ!AA343,NĐ!AG343,NĐ!AM343))=2)*(CHOOSE({1,2,3,4},NĐ!X343,NĐ!AD343,NĐ!AJ343,NĐ!AP343)))</f>
        <v>0</v>
      </c>
      <c r="C343">
        <f>SUMPRODUCT((MONTH(CHOOSE({1,2,3,4},NĐ!U343,NĐ!AA343,NĐ!AG343,NĐ!AM343))=3)*(CHOOSE({1,2,3,4},NĐ!X343,NĐ!AD343,NĐ!AJ343,NĐ!AP343)))</f>
        <v>0</v>
      </c>
      <c r="D343">
        <f>SUMPRODUCT((MONTH(CHOOSE({1,2,3,4},NĐ!U343,NĐ!AA343,NĐ!AG343,NĐ!AM343))=4)*(CHOOSE({1,2,3,4},NĐ!X343,NĐ!AD343,NĐ!AJ343,NĐ!AP343)))</f>
        <v>0</v>
      </c>
      <c r="E343">
        <f>SUMPRODUCT((MONTH(CHOOSE({1,2,3,4},NĐ!U343,NĐ!AA343,NĐ!AG343,NĐ!AM343))=5)*(CHOOSE({1,2,3,4},NĐ!X343,NĐ!AD343,NĐ!AJ343,NĐ!AP343)))</f>
        <v>0</v>
      </c>
      <c r="F343">
        <f>SUMPRODUCT((MONTH(CHOOSE({1,2,3,4},NĐ!U343,NĐ!AA343,NĐ!AG343,NĐ!AM343))=6)*(CHOOSE({1,2,3,4},NĐ!X343,NĐ!AD343,NĐ!AJ343,NĐ!AP343)))</f>
        <v>0</v>
      </c>
      <c r="G343">
        <f>SUMPRODUCT((MONTH(CHOOSE({1,2,3,4},NĐ!U343,NĐ!AA343,NĐ!AG343,NĐ!AM343))=7)*(CHOOSE({1,2,3,4},NĐ!X343,NĐ!AD343,NĐ!AJ343,NĐ!AP343)))</f>
        <v>0</v>
      </c>
      <c r="H343">
        <f>SUMPRODUCT((MONTH(CHOOSE({1,2,3,4},NĐ!U343,NĐ!AA343,NĐ!AG343,NĐ!AM343))=8)*(CHOOSE({1,2,3,4},NĐ!X343,NĐ!AD343,NĐ!AJ343,NĐ!AP343)))</f>
        <v>0</v>
      </c>
      <c r="I343">
        <f>SUMPRODUCT((MONTH(CHOOSE({1,2,3,4},NĐ!U343,NĐ!AA343,NĐ!AG343,NĐ!AM343))=9)*(CHOOSE({1,2,3,4},NĐ!X343,NĐ!AD343,NĐ!AJ343,NĐ!AP343)))</f>
        <v>0</v>
      </c>
      <c r="J343">
        <f>SUMPRODUCT((MONTH(CHOOSE({1,2,3,4},NĐ!U343,NĐ!AA343,NĐ!AG343,NĐ!AM343))=10)*(CHOOSE({1,2,3,4},NĐ!X343,NĐ!AD343,NĐ!AJ343,NĐ!AP343)))</f>
        <v>0</v>
      </c>
      <c r="K343">
        <f>SUMPRODUCT((MONTH(CHOOSE({1,2,3,4},NĐ!U343,NĐ!AA343,NĐ!AG343,NĐ!AM343))=11)*(CHOOSE({1,2,3,4},NĐ!X343,NĐ!AD343,NĐ!AJ343,NĐ!AP343)))</f>
        <v>0</v>
      </c>
      <c r="L343">
        <f>SUMPRODUCT((MONTH(CHOOSE({1,2,3,4},NĐ!U343,NĐ!AA343,NĐ!AG343,NĐ!AM343))=12)*(CHOOSE({1,2,3,4},NĐ!X343,NĐ!AD343,NĐ!AJ343,NĐ!AP343)))</f>
        <v>0</v>
      </c>
    </row>
    <row r="344" spans="1:12">
      <c r="A344">
        <f>SUMPRODUCT((MONTH(CHOOSE({1,2,3,4},NĐ!U344,NĐ!AA344,NĐ!AG344,NĐ!AM344))=1)*(CHOOSE({1,2,3,4},NĐ!X344,NĐ!AD344,NĐ!AJ344,NĐ!AP344)))</f>
        <v>0</v>
      </c>
      <c r="B344">
        <f>SUMPRODUCT((MONTH(CHOOSE({1,2,3,4},NĐ!U344,NĐ!AA344,NĐ!AG344,NĐ!AM344))=2)*(CHOOSE({1,2,3,4},NĐ!X344,NĐ!AD344,NĐ!AJ344,NĐ!AP344)))</f>
        <v>0</v>
      </c>
      <c r="C344">
        <f>SUMPRODUCT((MONTH(CHOOSE({1,2,3,4},NĐ!U344,NĐ!AA344,NĐ!AG344,NĐ!AM344))=3)*(CHOOSE({1,2,3,4},NĐ!X344,NĐ!AD344,NĐ!AJ344,NĐ!AP344)))</f>
        <v>0</v>
      </c>
      <c r="D344">
        <f>SUMPRODUCT((MONTH(CHOOSE({1,2,3,4},NĐ!U344,NĐ!AA344,NĐ!AG344,NĐ!AM344))=4)*(CHOOSE({1,2,3,4},NĐ!X344,NĐ!AD344,NĐ!AJ344,NĐ!AP344)))</f>
        <v>0</v>
      </c>
      <c r="E344">
        <f>SUMPRODUCT((MONTH(CHOOSE({1,2,3,4},NĐ!U344,NĐ!AA344,NĐ!AG344,NĐ!AM344))=5)*(CHOOSE({1,2,3,4},NĐ!X344,NĐ!AD344,NĐ!AJ344,NĐ!AP344)))</f>
        <v>0</v>
      </c>
      <c r="F344">
        <f>SUMPRODUCT((MONTH(CHOOSE({1,2,3,4},NĐ!U344,NĐ!AA344,NĐ!AG344,NĐ!AM344))=6)*(CHOOSE({1,2,3,4},NĐ!X344,NĐ!AD344,NĐ!AJ344,NĐ!AP344)))</f>
        <v>0</v>
      </c>
      <c r="G344">
        <f>SUMPRODUCT((MONTH(CHOOSE({1,2,3,4},NĐ!U344,NĐ!AA344,NĐ!AG344,NĐ!AM344))=7)*(CHOOSE({1,2,3,4},NĐ!X344,NĐ!AD344,NĐ!AJ344,NĐ!AP344)))</f>
        <v>0</v>
      </c>
      <c r="H344">
        <f>SUMPRODUCT((MONTH(CHOOSE({1,2,3,4},NĐ!U344,NĐ!AA344,NĐ!AG344,NĐ!AM344))=8)*(CHOOSE({1,2,3,4},NĐ!X344,NĐ!AD344,NĐ!AJ344,NĐ!AP344)))</f>
        <v>0</v>
      </c>
      <c r="I344">
        <f>SUMPRODUCT((MONTH(CHOOSE({1,2,3,4},NĐ!U344,NĐ!AA344,NĐ!AG344,NĐ!AM344))=9)*(CHOOSE({1,2,3,4},NĐ!X344,NĐ!AD344,NĐ!AJ344,NĐ!AP344)))</f>
        <v>0</v>
      </c>
      <c r="J344">
        <f>SUMPRODUCT((MONTH(CHOOSE({1,2,3,4},NĐ!U344,NĐ!AA344,NĐ!AG344,NĐ!AM344))=10)*(CHOOSE({1,2,3,4},NĐ!X344,NĐ!AD344,NĐ!AJ344,NĐ!AP344)))</f>
        <v>0</v>
      </c>
      <c r="K344">
        <f>SUMPRODUCT((MONTH(CHOOSE({1,2,3,4},NĐ!U344,NĐ!AA344,NĐ!AG344,NĐ!AM344))=11)*(CHOOSE({1,2,3,4},NĐ!X344,NĐ!AD344,NĐ!AJ344,NĐ!AP344)))</f>
        <v>0</v>
      </c>
      <c r="L344">
        <f>SUMPRODUCT((MONTH(CHOOSE({1,2,3,4},NĐ!U344,NĐ!AA344,NĐ!AG344,NĐ!AM344))=12)*(CHOOSE({1,2,3,4},NĐ!X344,NĐ!AD344,NĐ!AJ344,NĐ!AP344)))</f>
        <v>0</v>
      </c>
    </row>
    <row r="345" spans="1:12">
      <c r="A345">
        <f>SUMPRODUCT((MONTH(CHOOSE({1,2,3,4},NĐ!U345,NĐ!AA345,NĐ!AG345,NĐ!AM345))=1)*(CHOOSE({1,2,3,4},NĐ!X345,NĐ!AD345,NĐ!AJ345,NĐ!AP345)))</f>
        <v>0</v>
      </c>
      <c r="B345">
        <f>SUMPRODUCT((MONTH(CHOOSE({1,2,3,4},NĐ!U345,NĐ!AA345,NĐ!AG345,NĐ!AM345))=2)*(CHOOSE({1,2,3,4},NĐ!X345,NĐ!AD345,NĐ!AJ345,NĐ!AP345)))</f>
        <v>0</v>
      </c>
      <c r="C345">
        <f>SUMPRODUCT((MONTH(CHOOSE({1,2,3,4},NĐ!U345,NĐ!AA345,NĐ!AG345,NĐ!AM345))=3)*(CHOOSE({1,2,3,4},NĐ!X345,NĐ!AD345,NĐ!AJ345,NĐ!AP345)))</f>
        <v>0</v>
      </c>
      <c r="D345">
        <f>SUMPRODUCT((MONTH(CHOOSE({1,2,3,4},NĐ!U345,NĐ!AA345,NĐ!AG345,NĐ!AM345))=4)*(CHOOSE({1,2,3,4},NĐ!X345,NĐ!AD345,NĐ!AJ345,NĐ!AP345)))</f>
        <v>0</v>
      </c>
      <c r="E345">
        <f>SUMPRODUCT((MONTH(CHOOSE({1,2,3,4},NĐ!U345,NĐ!AA345,NĐ!AG345,NĐ!AM345))=5)*(CHOOSE({1,2,3,4},NĐ!X345,NĐ!AD345,NĐ!AJ345,NĐ!AP345)))</f>
        <v>0</v>
      </c>
      <c r="F345">
        <f>SUMPRODUCT((MONTH(CHOOSE({1,2,3,4},NĐ!U345,NĐ!AA345,NĐ!AG345,NĐ!AM345))=6)*(CHOOSE({1,2,3,4},NĐ!X345,NĐ!AD345,NĐ!AJ345,NĐ!AP345)))</f>
        <v>0</v>
      </c>
      <c r="G345">
        <f>SUMPRODUCT((MONTH(CHOOSE({1,2,3,4},NĐ!U345,NĐ!AA345,NĐ!AG345,NĐ!AM345))=7)*(CHOOSE({1,2,3,4},NĐ!X345,NĐ!AD345,NĐ!AJ345,NĐ!AP345)))</f>
        <v>0</v>
      </c>
      <c r="H345">
        <f>SUMPRODUCT((MONTH(CHOOSE({1,2,3,4},NĐ!U345,NĐ!AA345,NĐ!AG345,NĐ!AM345))=8)*(CHOOSE({1,2,3,4},NĐ!X345,NĐ!AD345,NĐ!AJ345,NĐ!AP345)))</f>
        <v>0</v>
      </c>
      <c r="I345">
        <f>SUMPRODUCT((MONTH(CHOOSE({1,2,3,4},NĐ!U345,NĐ!AA345,NĐ!AG345,NĐ!AM345))=9)*(CHOOSE({1,2,3,4},NĐ!X345,NĐ!AD345,NĐ!AJ345,NĐ!AP345)))</f>
        <v>0</v>
      </c>
      <c r="J345">
        <f>SUMPRODUCT((MONTH(CHOOSE({1,2,3,4},NĐ!U345,NĐ!AA345,NĐ!AG345,NĐ!AM345))=10)*(CHOOSE({1,2,3,4},NĐ!X345,NĐ!AD345,NĐ!AJ345,NĐ!AP345)))</f>
        <v>0</v>
      </c>
      <c r="K345">
        <f>SUMPRODUCT((MONTH(CHOOSE({1,2,3,4},NĐ!U345,NĐ!AA345,NĐ!AG345,NĐ!AM345))=11)*(CHOOSE({1,2,3,4},NĐ!X345,NĐ!AD345,NĐ!AJ345,NĐ!AP345)))</f>
        <v>0</v>
      </c>
      <c r="L345">
        <f>SUMPRODUCT((MONTH(CHOOSE({1,2,3,4},NĐ!U345,NĐ!AA345,NĐ!AG345,NĐ!AM345))=12)*(CHOOSE({1,2,3,4},NĐ!X345,NĐ!AD345,NĐ!AJ345,NĐ!AP345)))</f>
        <v>0</v>
      </c>
    </row>
    <row r="346" spans="1:12">
      <c r="A346">
        <f>SUMPRODUCT((MONTH(CHOOSE({1,2,3,4},NĐ!U346,NĐ!AA346,NĐ!AG346,NĐ!AM346))=1)*(CHOOSE({1,2,3,4},NĐ!X346,NĐ!AD346,NĐ!AJ346,NĐ!AP346)))</f>
        <v>0</v>
      </c>
      <c r="B346">
        <f>SUMPRODUCT((MONTH(CHOOSE({1,2,3,4},NĐ!U346,NĐ!AA346,NĐ!AG346,NĐ!AM346))=2)*(CHOOSE({1,2,3,4},NĐ!X346,NĐ!AD346,NĐ!AJ346,NĐ!AP346)))</f>
        <v>0</v>
      </c>
      <c r="C346">
        <f>SUMPRODUCT((MONTH(CHOOSE({1,2,3,4},NĐ!U346,NĐ!AA346,NĐ!AG346,NĐ!AM346))=3)*(CHOOSE({1,2,3,4},NĐ!X346,NĐ!AD346,NĐ!AJ346,NĐ!AP346)))</f>
        <v>0</v>
      </c>
      <c r="D346">
        <f>SUMPRODUCT((MONTH(CHOOSE({1,2,3,4},NĐ!U346,NĐ!AA346,NĐ!AG346,NĐ!AM346))=4)*(CHOOSE({1,2,3,4},NĐ!X346,NĐ!AD346,NĐ!AJ346,NĐ!AP346)))</f>
        <v>0</v>
      </c>
      <c r="E346">
        <f>SUMPRODUCT((MONTH(CHOOSE({1,2,3,4},NĐ!U346,NĐ!AA346,NĐ!AG346,NĐ!AM346))=5)*(CHOOSE({1,2,3,4},NĐ!X346,NĐ!AD346,NĐ!AJ346,NĐ!AP346)))</f>
        <v>0</v>
      </c>
      <c r="F346">
        <f>SUMPRODUCT((MONTH(CHOOSE({1,2,3,4},NĐ!U346,NĐ!AA346,NĐ!AG346,NĐ!AM346))=6)*(CHOOSE({1,2,3,4},NĐ!X346,NĐ!AD346,NĐ!AJ346,NĐ!AP346)))</f>
        <v>0</v>
      </c>
      <c r="G346">
        <f>SUMPRODUCT((MONTH(CHOOSE({1,2,3,4},NĐ!U346,NĐ!AA346,NĐ!AG346,NĐ!AM346))=7)*(CHOOSE({1,2,3,4},NĐ!X346,NĐ!AD346,NĐ!AJ346,NĐ!AP346)))</f>
        <v>0</v>
      </c>
      <c r="H346">
        <f>SUMPRODUCT((MONTH(CHOOSE({1,2,3,4},NĐ!U346,NĐ!AA346,NĐ!AG346,NĐ!AM346))=8)*(CHOOSE({1,2,3,4},NĐ!X346,NĐ!AD346,NĐ!AJ346,NĐ!AP346)))</f>
        <v>0</v>
      </c>
      <c r="I346">
        <f>SUMPRODUCT((MONTH(CHOOSE({1,2,3,4},NĐ!U346,NĐ!AA346,NĐ!AG346,NĐ!AM346))=9)*(CHOOSE({1,2,3,4},NĐ!X346,NĐ!AD346,NĐ!AJ346,NĐ!AP346)))</f>
        <v>0</v>
      </c>
      <c r="J346">
        <f>SUMPRODUCT((MONTH(CHOOSE({1,2,3,4},NĐ!U346,NĐ!AA346,NĐ!AG346,NĐ!AM346))=10)*(CHOOSE({1,2,3,4},NĐ!X346,NĐ!AD346,NĐ!AJ346,NĐ!AP346)))</f>
        <v>0</v>
      </c>
      <c r="K346">
        <f>SUMPRODUCT((MONTH(CHOOSE({1,2,3,4},NĐ!U346,NĐ!AA346,NĐ!AG346,NĐ!AM346))=11)*(CHOOSE({1,2,3,4},NĐ!X346,NĐ!AD346,NĐ!AJ346,NĐ!AP346)))</f>
        <v>0</v>
      </c>
      <c r="L346">
        <f>SUMPRODUCT((MONTH(CHOOSE({1,2,3,4},NĐ!U346,NĐ!AA346,NĐ!AG346,NĐ!AM346))=12)*(CHOOSE({1,2,3,4},NĐ!X346,NĐ!AD346,NĐ!AJ346,NĐ!AP346)))</f>
        <v>0</v>
      </c>
    </row>
    <row r="347" spans="1:12">
      <c r="A347">
        <f>SUMPRODUCT((MONTH(CHOOSE({1,2,3,4},NĐ!U347,NĐ!AA347,NĐ!AG347,NĐ!AM347))=1)*(CHOOSE({1,2,3,4},NĐ!X347,NĐ!AD347,NĐ!AJ347,NĐ!AP347)))</f>
        <v>0</v>
      </c>
      <c r="B347">
        <f>SUMPRODUCT((MONTH(CHOOSE({1,2,3,4},NĐ!U347,NĐ!AA347,NĐ!AG347,NĐ!AM347))=2)*(CHOOSE({1,2,3,4},NĐ!X347,NĐ!AD347,NĐ!AJ347,NĐ!AP347)))</f>
        <v>0</v>
      </c>
      <c r="C347">
        <f>SUMPRODUCT((MONTH(CHOOSE({1,2,3,4},NĐ!U347,NĐ!AA347,NĐ!AG347,NĐ!AM347))=3)*(CHOOSE({1,2,3,4},NĐ!X347,NĐ!AD347,NĐ!AJ347,NĐ!AP347)))</f>
        <v>0</v>
      </c>
      <c r="D347">
        <f>SUMPRODUCT((MONTH(CHOOSE({1,2,3,4},NĐ!U347,NĐ!AA347,NĐ!AG347,NĐ!AM347))=4)*(CHOOSE({1,2,3,4},NĐ!X347,NĐ!AD347,NĐ!AJ347,NĐ!AP347)))</f>
        <v>0</v>
      </c>
      <c r="E347">
        <f>SUMPRODUCT((MONTH(CHOOSE({1,2,3,4},NĐ!U347,NĐ!AA347,NĐ!AG347,NĐ!AM347))=5)*(CHOOSE({1,2,3,4},NĐ!X347,NĐ!AD347,NĐ!AJ347,NĐ!AP347)))</f>
        <v>0</v>
      </c>
      <c r="F347">
        <f>SUMPRODUCT((MONTH(CHOOSE({1,2,3,4},NĐ!U347,NĐ!AA347,NĐ!AG347,NĐ!AM347))=6)*(CHOOSE({1,2,3,4},NĐ!X347,NĐ!AD347,NĐ!AJ347,NĐ!AP347)))</f>
        <v>0</v>
      </c>
      <c r="G347">
        <f>SUMPRODUCT((MONTH(CHOOSE({1,2,3,4},NĐ!U347,NĐ!AA347,NĐ!AG347,NĐ!AM347))=7)*(CHOOSE({1,2,3,4},NĐ!X347,NĐ!AD347,NĐ!AJ347,NĐ!AP347)))</f>
        <v>0</v>
      </c>
      <c r="H347">
        <f>SUMPRODUCT((MONTH(CHOOSE({1,2,3,4},NĐ!U347,NĐ!AA347,NĐ!AG347,NĐ!AM347))=8)*(CHOOSE({1,2,3,4},NĐ!X347,NĐ!AD347,NĐ!AJ347,NĐ!AP347)))</f>
        <v>0</v>
      </c>
      <c r="I347">
        <f>SUMPRODUCT((MONTH(CHOOSE({1,2,3,4},NĐ!U347,NĐ!AA347,NĐ!AG347,NĐ!AM347))=9)*(CHOOSE({1,2,3,4},NĐ!X347,NĐ!AD347,NĐ!AJ347,NĐ!AP347)))</f>
        <v>0</v>
      </c>
      <c r="J347">
        <f>SUMPRODUCT((MONTH(CHOOSE({1,2,3,4},NĐ!U347,NĐ!AA347,NĐ!AG347,NĐ!AM347))=10)*(CHOOSE({1,2,3,4},NĐ!X347,NĐ!AD347,NĐ!AJ347,NĐ!AP347)))</f>
        <v>0</v>
      </c>
      <c r="K347">
        <f>SUMPRODUCT((MONTH(CHOOSE({1,2,3,4},NĐ!U347,NĐ!AA347,NĐ!AG347,NĐ!AM347))=11)*(CHOOSE({1,2,3,4},NĐ!X347,NĐ!AD347,NĐ!AJ347,NĐ!AP347)))</f>
        <v>0</v>
      </c>
      <c r="L347">
        <f>SUMPRODUCT((MONTH(CHOOSE({1,2,3,4},NĐ!U347,NĐ!AA347,NĐ!AG347,NĐ!AM347))=12)*(CHOOSE({1,2,3,4},NĐ!X347,NĐ!AD347,NĐ!AJ347,NĐ!AP347)))</f>
        <v>0</v>
      </c>
    </row>
    <row r="348" spans="1:12">
      <c r="A348">
        <f>SUMPRODUCT((MONTH(CHOOSE({1,2,3,4},NĐ!U348,NĐ!AA348,NĐ!AG348,NĐ!AM348))=1)*(CHOOSE({1,2,3,4},NĐ!X348,NĐ!AD348,NĐ!AJ348,NĐ!AP348)))</f>
        <v>0</v>
      </c>
      <c r="B348">
        <f>SUMPRODUCT((MONTH(CHOOSE({1,2,3,4},NĐ!U348,NĐ!AA348,NĐ!AG348,NĐ!AM348))=2)*(CHOOSE({1,2,3,4},NĐ!X348,NĐ!AD348,NĐ!AJ348,NĐ!AP348)))</f>
        <v>0</v>
      </c>
      <c r="C348">
        <f>SUMPRODUCT((MONTH(CHOOSE({1,2,3,4},NĐ!U348,NĐ!AA348,NĐ!AG348,NĐ!AM348))=3)*(CHOOSE({1,2,3,4},NĐ!X348,NĐ!AD348,NĐ!AJ348,NĐ!AP348)))</f>
        <v>0</v>
      </c>
      <c r="D348">
        <f>SUMPRODUCT((MONTH(CHOOSE({1,2,3,4},NĐ!U348,NĐ!AA348,NĐ!AG348,NĐ!AM348))=4)*(CHOOSE({1,2,3,4},NĐ!X348,NĐ!AD348,NĐ!AJ348,NĐ!AP348)))</f>
        <v>0</v>
      </c>
      <c r="E348">
        <f>SUMPRODUCT((MONTH(CHOOSE({1,2,3,4},NĐ!U348,NĐ!AA348,NĐ!AG348,NĐ!AM348))=5)*(CHOOSE({1,2,3,4},NĐ!X348,NĐ!AD348,NĐ!AJ348,NĐ!AP348)))</f>
        <v>0</v>
      </c>
      <c r="F348">
        <f>SUMPRODUCT((MONTH(CHOOSE({1,2,3,4},NĐ!U348,NĐ!AA348,NĐ!AG348,NĐ!AM348))=6)*(CHOOSE({1,2,3,4},NĐ!X348,NĐ!AD348,NĐ!AJ348,NĐ!AP348)))</f>
        <v>0</v>
      </c>
      <c r="G348">
        <f>SUMPRODUCT((MONTH(CHOOSE({1,2,3,4},NĐ!U348,NĐ!AA348,NĐ!AG348,NĐ!AM348))=7)*(CHOOSE({1,2,3,4},NĐ!X348,NĐ!AD348,NĐ!AJ348,NĐ!AP348)))</f>
        <v>0</v>
      </c>
      <c r="H348">
        <f>SUMPRODUCT((MONTH(CHOOSE({1,2,3,4},NĐ!U348,NĐ!AA348,NĐ!AG348,NĐ!AM348))=8)*(CHOOSE({1,2,3,4},NĐ!X348,NĐ!AD348,NĐ!AJ348,NĐ!AP348)))</f>
        <v>0</v>
      </c>
      <c r="I348">
        <f>SUMPRODUCT((MONTH(CHOOSE({1,2,3,4},NĐ!U348,NĐ!AA348,NĐ!AG348,NĐ!AM348))=9)*(CHOOSE({1,2,3,4},NĐ!X348,NĐ!AD348,NĐ!AJ348,NĐ!AP348)))</f>
        <v>0</v>
      </c>
      <c r="J348">
        <f>SUMPRODUCT((MONTH(CHOOSE({1,2,3,4},NĐ!U348,NĐ!AA348,NĐ!AG348,NĐ!AM348))=10)*(CHOOSE({1,2,3,4},NĐ!X348,NĐ!AD348,NĐ!AJ348,NĐ!AP348)))</f>
        <v>0</v>
      </c>
      <c r="K348">
        <f>SUMPRODUCT((MONTH(CHOOSE({1,2,3,4},NĐ!U348,NĐ!AA348,NĐ!AG348,NĐ!AM348))=11)*(CHOOSE({1,2,3,4},NĐ!X348,NĐ!AD348,NĐ!AJ348,NĐ!AP348)))</f>
        <v>0</v>
      </c>
      <c r="L348">
        <f>SUMPRODUCT((MONTH(CHOOSE({1,2,3,4},NĐ!U348,NĐ!AA348,NĐ!AG348,NĐ!AM348))=12)*(CHOOSE({1,2,3,4},NĐ!X348,NĐ!AD348,NĐ!AJ348,NĐ!AP348)))</f>
        <v>0</v>
      </c>
    </row>
    <row r="349" spans="1:12">
      <c r="A349">
        <f>SUMPRODUCT((MONTH(CHOOSE({1,2,3,4},NĐ!U349,NĐ!AA349,NĐ!AG349,NĐ!AM349))=1)*(CHOOSE({1,2,3,4},NĐ!X349,NĐ!AD349,NĐ!AJ349,NĐ!AP349)))</f>
        <v>0</v>
      </c>
      <c r="B349">
        <f>SUMPRODUCT((MONTH(CHOOSE({1,2,3,4},NĐ!U349,NĐ!AA349,NĐ!AG349,NĐ!AM349))=2)*(CHOOSE({1,2,3,4},NĐ!X349,NĐ!AD349,NĐ!AJ349,NĐ!AP349)))</f>
        <v>0</v>
      </c>
      <c r="C349">
        <f>SUMPRODUCT((MONTH(CHOOSE({1,2,3,4},NĐ!U349,NĐ!AA349,NĐ!AG349,NĐ!AM349))=3)*(CHOOSE({1,2,3,4},NĐ!X349,NĐ!AD349,NĐ!AJ349,NĐ!AP349)))</f>
        <v>0</v>
      </c>
      <c r="D349">
        <f>SUMPRODUCT((MONTH(CHOOSE({1,2,3,4},NĐ!U349,NĐ!AA349,NĐ!AG349,NĐ!AM349))=4)*(CHOOSE({1,2,3,4},NĐ!X349,NĐ!AD349,NĐ!AJ349,NĐ!AP349)))</f>
        <v>0</v>
      </c>
      <c r="E349">
        <f>SUMPRODUCT((MONTH(CHOOSE({1,2,3,4},NĐ!U349,NĐ!AA349,NĐ!AG349,NĐ!AM349))=5)*(CHOOSE({1,2,3,4},NĐ!X349,NĐ!AD349,NĐ!AJ349,NĐ!AP349)))</f>
        <v>0</v>
      </c>
      <c r="F349">
        <f>SUMPRODUCT((MONTH(CHOOSE({1,2,3,4},NĐ!U349,NĐ!AA349,NĐ!AG349,NĐ!AM349))=6)*(CHOOSE({1,2,3,4},NĐ!X349,NĐ!AD349,NĐ!AJ349,NĐ!AP349)))</f>
        <v>0</v>
      </c>
      <c r="G349">
        <f>SUMPRODUCT((MONTH(CHOOSE({1,2,3,4},NĐ!U349,NĐ!AA349,NĐ!AG349,NĐ!AM349))=7)*(CHOOSE({1,2,3,4},NĐ!X349,NĐ!AD349,NĐ!AJ349,NĐ!AP349)))</f>
        <v>0</v>
      </c>
      <c r="H349">
        <f>SUMPRODUCT((MONTH(CHOOSE({1,2,3,4},NĐ!U349,NĐ!AA349,NĐ!AG349,NĐ!AM349))=8)*(CHOOSE({1,2,3,4},NĐ!X349,NĐ!AD349,NĐ!AJ349,NĐ!AP349)))</f>
        <v>0</v>
      </c>
      <c r="I349">
        <f>SUMPRODUCT((MONTH(CHOOSE({1,2,3,4},NĐ!U349,NĐ!AA349,NĐ!AG349,NĐ!AM349))=9)*(CHOOSE({1,2,3,4},NĐ!X349,NĐ!AD349,NĐ!AJ349,NĐ!AP349)))</f>
        <v>0</v>
      </c>
      <c r="J349">
        <f>SUMPRODUCT((MONTH(CHOOSE({1,2,3,4},NĐ!U349,NĐ!AA349,NĐ!AG349,NĐ!AM349))=10)*(CHOOSE({1,2,3,4},NĐ!X349,NĐ!AD349,NĐ!AJ349,NĐ!AP349)))</f>
        <v>0</v>
      </c>
      <c r="K349">
        <f>SUMPRODUCT((MONTH(CHOOSE({1,2,3,4},NĐ!U349,NĐ!AA349,NĐ!AG349,NĐ!AM349))=11)*(CHOOSE({1,2,3,4},NĐ!X349,NĐ!AD349,NĐ!AJ349,NĐ!AP349)))</f>
        <v>0</v>
      </c>
      <c r="L349">
        <f>SUMPRODUCT((MONTH(CHOOSE({1,2,3,4},NĐ!U349,NĐ!AA349,NĐ!AG349,NĐ!AM349))=12)*(CHOOSE({1,2,3,4},NĐ!X349,NĐ!AD349,NĐ!AJ349,NĐ!AP349)))</f>
        <v>0</v>
      </c>
    </row>
    <row r="350" spans="1:12">
      <c r="A350">
        <f>SUMPRODUCT((MONTH(CHOOSE({1,2,3,4},NĐ!U350,NĐ!AA350,NĐ!AG350,NĐ!AM350))=1)*(CHOOSE({1,2,3,4},NĐ!X350,NĐ!AD350,NĐ!AJ350,NĐ!AP350)))</f>
        <v>0</v>
      </c>
      <c r="B350">
        <f>SUMPRODUCT((MONTH(CHOOSE({1,2,3,4},NĐ!U350,NĐ!AA350,NĐ!AG350,NĐ!AM350))=2)*(CHOOSE({1,2,3,4},NĐ!X350,NĐ!AD350,NĐ!AJ350,NĐ!AP350)))</f>
        <v>0</v>
      </c>
      <c r="C350">
        <f>SUMPRODUCT((MONTH(CHOOSE({1,2,3,4},NĐ!U350,NĐ!AA350,NĐ!AG350,NĐ!AM350))=3)*(CHOOSE({1,2,3,4},NĐ!X350,NĐ!AD350,NĐ!AJ350,NĐ!AP350)))</f>
        <v>0</v>
      </c>
      <c r="D350">
        <f>SUMPRODUCT((MONTH(CHOOSE({1,2,3,4},NĐ!U350,NĐ!AA350,NĐ!AG350,NĐ!AM350))=4)*(CHOOSE({1,2,3,4},NĐ!X350,NĐ!AD350,NĐ!AJ350,NĐ!AP350)))</f>
        <v>0</v>
      </c>
      <c r="E350">
        <f>SUMPRODUCT((MONTH(CHOOSE({1,2,3,4},NĐ!U350,NĐ!AA350,NĐ!AG350,NĐ!AM350))=5)*(CHOOSE({1,2,3,4},NĐ!X350,NĐ!AD350,NĐ!AJ350,NĐ!AP350)))</f>
        <v>0</v>
      </c>
      <c r="F350">
        <f>SUMPRODUCT((MONTH(CHOOSE({1,2,3,4},NĐ!U350,NĐ!AA350,NĐ!AG350,NĐ!AM350))=6)*(CHOOSE({1,2,3,4},NĐ!X350,NĐ!AD350,NĐ!AJ350,NĐ!AP350)))</f>
        <v>0</v>
      </c>
      <c r="G350">
        <f>SUMPRODUCT((MONTH(CHOOSE({1,2,3,4},NĐ!U350,NĐ!AA350,NĐ!AG350,NĐ!AM350))=7)*(CHOOSE({1,2,3,4},NĐ!X350,NĐ!AD350,NĐ!AJ350,NĐ!AP350)))</f>
        <v>0</v>
      </c>
      <c r="H350">
        <f>SUMPRODUCT((MONTH(CHOOSE({1,2,3,4},NĐ!U350,NĐ!AA350,NĐ!AG350,NĐ!AM350))=8)*(CHOOSE({1,2,3,4},NĐ!X350,NĐ!AD350,NĐ!AJ350,NĐ!AP350)))</f>
        <v>0</v>
      </c>
      <c r="I350">
        <f>SUMPRODUCT((MONTH(CHOOSE({1,2,3,4},NĐ!U350,NĐ!AA350,NĐ!AG350,NĐ!AM350))=9)*(CHOOSE({1,2,3,4},NĐ!X350,NĐ!AD350,NĐ!AJ350,NĐ!AP350)))</f>
        <v>0</v>
      </c>
      <c r="J350">
        <f>SUMPRODUCT((MONTH(CHOOSE({1,2,3,4},NĐ!U350,NĐ!AA350,NĐ!AG350,NĐ!AM350))=10)*(CHOOSE({1,2,3,4},NĐ!X350,NĐ!AD350,NĐ!AJ350,NĐ!AP350)))</f>
        <v>0</v>
      </c>
      <c r="K350">
        <f>SUMPRODUCT((MONTH(CHOOSE({1,2,3,4},NĐ!U350,NĐ!AA350,NĐ!AG350,NĐ!AM350))=11)*(CHOOSE({1,2,3,4},NĐ!X350,NĐ!AD350,NĐ!AJ350,NĐ!AP350)))</f>
        <v>0</v>
      </c>
      <c r="L350">
        <f>SUMPRODUCT((MONTH(CHOOSE({1,2,3,4},NĐ!U350,NĐ!AA350,NĐ!AG350,NĐ!AM350))=12)*(CHOOSE({1,2,3,4},NĐ!X350,NĐ!AD350,NĐ!AJ350,NĐ!AP350)))</f>
        <v>0</v>
      </c>
    </row>
    <row r="351" spans="1:12">
      <c r="A351">
        <f>SUMPRODUCT((MONTH(CHOOSE({1,2,3,4},NĐ!U351,NĐ!AA351,NĐ!AG351,NĐ!AM351))=1)*(CHOOSE({1,2,3,4},NĐ!X351,NĐ!AD351,NĐ!AJ351,NĐ!AP351)))</f>
        <v>0</v>
      </c>
      <c r="B351">
        <f>SUMPRODUCT((MONTH(CHOOSE({1,2,3,4},NĐ!U351,NĐ!AA351,NĐ!AG351,NĐ!AM351))=2)*(CHOOSE({1,2,3,4},NĐ!X351,NĐ!AD351,NĐ!AJ351,NĐ!AP351)))</f>
        <v>0</v>
      </c>
      <c r="C351">
        <f>SUMPRODUCT((MONTH(CHOOSE({1,2,3,4},NĐ!U351,NĐ!AA351,NĐ!AG351,NĐ!AM351))=3)*(CHOOSE({1,2,3,4},NĐ!X351,NĐ!AD351,NĐ!AJ351,NĐ!AP351)))</f>
        <v>0</v>
      </c>
      <c r="D351">
        <f>SUMPRODUCT((MONTH(CHOOSE({1,2,3,4},NĐ!U351,NĐ!AA351,NĐ!AG351,NĐ!AM351))=4)*(CHOOSE({1,2,3,4},NĐ!X351,NĐ!AD351,NĐ!AJ351,NĐ!AP351)))</f>
        <v>0</v>
      </c>
      <c r="E351">
        <f>SUMPRODUCT((MONTH(CHOOSE({1,2,3,4},NĐ!U351,NĐ!AA351,NĐ!AG351,NĐ!AM351))=5)*(CHOOSE({1,2,3,4},NĐ!X351,NĐ!AD351,NĐ!AJ351,NĐ!AP351)))</f>
        <v>0</v>
      </c>
      <c r="F351">
        <f>SUMPRODUCT((MONTH(CHOOSE({1,2,3,4},NĐ!U351,NĐ!AA351,NĐ!AG351,NĐ!AM351))=6)*(CHOOSE({1,2,3,4},NĐ!X351,NĐ!AD351,NĐ!AJ351,NĐ!AP351)))</f>
        <v>0</v>
      </c>
      <c r="G351">
        <f>SUMPRODUCT((MONTH(CHOOSE({1,2,3,4},NĐ!U351,NĐ!AA351,NĐ!AG351,NĐ!AM351))=7)*(CHOOSE({1,2,3,4},NĐ!X351,NĐ!AD351,NĐ!AJ351,NĐ!AP351)))</f>
        <v>0</v>
      </c>
      <c r="H351">
        <f>SUMPRODUCT((MONTH(CHOOSE({1,2,3,4},NĐ!U351,NĐ!AA351,NĐ!AG351,NĐ!AM351))=8)*(CHOOSE({1,2,3,4},NĐ!X351,NĐ!AD351,NĐ!AJ351,NĐ!AP351)))</f>
        <v>0</v>
      </c>
      <c r="I351">
        <f>SUMPRODUCT((MONTH(CHOOSE({1,2,3,4},NĐ!U351,NĐ!AA351,NĐ!AG351,NĐ!AM351))=9)*(CHOOSE({1,2,3,4},NĐ!X351,NĐ!AD351,NĐ!AJ351,NĐ!AP351)))</f>
        <v>0</v>
      </c>
      <c r="J351">
        <f>SUMPRODUCT((MONTH(CHOOSE({1,2,3,4},NĐ!U351,NĐ!AA351,NĐ!AG351,NĐ!AM351))=10)*(CHOOSE({1,2,3,4},NĐ!X351,NĐ!AD351,NĐ!AJ351,NĐ!AP351)))</f>
        <v>0</v>
      </c>
      <c r="K351">
        <f>SUMPRODUCT((MONTH(CHOOSE({1,2,3,4},NĐ!U351,NĐ!AA351,NĐ!AG351,NĐ!AM351))=11)*(CHOOSE({1,2,3,4},NĐ!X351,NĐ!AD351,NĐ!AJ351,NĐ!AP351)))</f>
        <v>0</v>
      </c>
      <c r="L351">
        <f>SUMPRODUCT((MONTH(CHOOSE({1,2,3,4},NĐ!U351,NĐ!AA351,NĐ!AG351,NĐ!AM351))=12)*(CHOOSE({1,2,3,4},NĐ!X351,NĐ!AD351,NĐ!AJ351,NĐ!AP351)))</f>
        <v>0</v>
      </c>
    </row>
    <row r="352" spans="1:12">
      <c r="A352">
        <f>SUMPRODUCT((MONTH(CHOOSE({1,2,3,4},NĐ!U352,NĐ!AA352,NĐ!AG352,NĐ!AM352))=1)*(CHOOSE({1,2,3,4},NĐ!X352,NĐ!AD352,NĐ!AJ352,NĐ!AP352)))</f>
        <v>0</v>
      </c>
      <c r="B352">
        <f>SUMPRODUCT((MONTH(CHOOSE({1,2,3,4},NĐ!U352,NĐ!AA352,NĐ!AG352,NĐ!AM352))=2)*(CHOOSE({1,2,3,4},NĐ!X352,NĐ!AD352,NĐ!AJ352,NĐ!AP352)))</f>
        <v>0</v>
      </c>
      <c r="C352">
        <f>SUMPRODUCT((MONTH(CHOOSE({1,2,3,4},NĐ!U352,NĐ!AA352,NĐ!AG352,NĐ!AM352))=3)*(CHOOSE({1,2,3,4},NĐ!X352,NĐ!AD352,NĐ!AJ352,NĐ!AP352)))</f>
        <v>0</v>
      </c>
      <c r="D352">
        <f>SUMPRODUCT((MONTH(CHOOSE({1,2,3,4},NĐ!U352,NĐ!AA352,NĐ!AG352,NĐ!AM352))=4)*(CHOOSE({1,2,3,4},NĐ!X352,NĐ!AD352,NĐ!AJ352,NĐ!AP352)))</f>
        <v>0</v>
      </c>
      <c r="E352">
        <f>SUMPRODUCT((MONTH(CHOOSE({1,2,3,4},NĐ!U352,NĐ!AA352,NĐ!AG352,NĐ!AM352))=5)*(CHOOSE({1,2,3,4},NĐ!X352,NĐ!AD352,NĐ!AJ352,NĐ!AP352)))</f>
        <v>0</v>
      </c>
      <c r="F352">
        <f>SUMPRODUCT((MONTH(CHOOSE({1,2,3,4},NĐ!U352,NĐ!AA352,NĐ!AG352,NĐ!AM352))=6)*(CHOOSE({1,2,3,4},NĐ!X352,NĐ!AD352,NĐ!AJ352,NĐ!AP352)))</f>
        <v>0</v>
      </c>
      <c r="G352">
        <f>SUMPRODUCT((MONTH(CHOOSE({1,2,3,4},NĐ!U352,NĐ!AA352,NĐ!AG352,NĐ!AM352))=7)*(CHOOSE({1,2,3,4},NĐ!X352,NĐ!AD352,NĐ!AJ352,NĐ!AP352)))</f>
        <v>0</v>
      </c>
      <c r="H352">
        <f>SUMPRODUCT((MONTH(CHOOSE({1,2,3,4},NĐ!U352,NĐ!AA352,NĐ!AG352,NĐ!AM352))=8)*(CHOOSE({1,2,3,4},NĐ!X352,NĐ!AD352,NĐ!AJ352,NĐ!AP352)))</f>
        <v>0</v>
      </c>
      <c r="I352">
        <f>SUMPRODUCT((MONTH(CHOOSE({1,2,3,4},NĐ!U352,NĐ!AA352,NĐ!AG352,NĐ!AM352))=9)*(CHOOSE({1,2,3,4},NĐ!X352,NĐ!AD352,NĐ!AJ352,NĐ!AP352)))</f>
        <v>0</v>
      </c>
      <c r="J352">
        <f>SUMPRODUCT((MONTH(CHOOSE({1,2,3,4},NĐ!U352,NĐ!AA352,NĐ!AG352,NĐ!AM352))=10)*(CHOOSE({1,2,3,4},NĐ!X352,NĐ!AD352,NĐ!AJ352,NĐ!AP352)))</f>
        <v>0</v>
      </c>
      <c r="K352">
        <f>SUMPRODUCT((MONTH(CHOOSE({1,2,3,4},NĐ!U352,NĐ!AA352,NĐ!AG352,NĐ!AM352))=11)*(CHOOSE({1,2,3,4},NĐ!X352,NĐ!AD352,NĐ!AJ352,NĐ!AP352)))</f>
        <v>0</v>
      </c>
      <c r="L352">
        <f>SUMPRODUCT((MONTH(CHOOSE({1,2,3,4},NĐ!U352,NĐ!AA352,NĐ!AG352,NĐ!AM352))=12)*(CHOOSE({1,2,3,4},NĐ!X352,NĐ!AD352,NĐ!AJ352,NĐ!AP352)))</f>
        <v>0</v>
      </c>
    </row>
    <row r="353" spans="1:12">
      <c r="A353">
        <f>SUMPRODUCT((MONTH(CHOOSE({1,2,3,4},NĐ!U353,NĐ!AA353,NĐ!AG353,NĐ!AM353))=1)*(CHOOSE({1,2,3,4},NĐ!X353,NĐ!AD353,NĐ!AJ353,NĐ!AP353)))</f>
        <v>0</v>
      </c>
      <c r="B353">
        <f>SUMPRODUCT((MONTH(CHOOSE({1,2,3,4},NĐ!U353,NĐ!AA353,NĐ!AG353,NĐ!AM353))=2)*(CHOOSE({1,2,3,4},NĐ!X353,NĐ!AD353,NĐ!AJ353,NĐ!AP353)))</f>
        <v>0</v>
      </c>
      <c r="C353">
        <f>SUMPRODUCT((MONTH(CHOOSE({1,2,3,4},NĐ!U353,NĐ!AA353,NĐ!AG353,NĐ!AM353))=3)*(CHOOSE({1,2,3,4},NĐ!X353,NĐ!AD353,NĐ!AJ353,NĐ!AP353)))</f>
        <v>0</v>
      </c>
      <c r="D353">
        <f>SUMPRODUCT((MONTH(CHOOSE({1,2,3,4},NĐ!U353,NĐ!AA353,NĐ!AG353,NĐ!AM353))=4)*(CHOOSE({1,2,3,4},NĐ!X353,NĐ!AD353,NĐ!AJ353,NĐ!AP353)))</f>
        <v>0</v>
      </c>
      <c r="E353">
        <f>SUMPRODUCT((MONTH(CHOOSE({1,2,3,4},NĐ!U353,NĐ!AA353,NĐ!AG353,NĐ!AM353))=5)*(CHOOSE({1,2,3,4},NĐ!X353,NĐ!AD353,NĐ!AJ353,NĐ!AP353)))</f>
        <v>0</v>
      </c>
      <c r="F353">
        <f>SUMPRODUCT((MONTH(CHOOSE({1,2,3,4},NĐ!U353,NĐ!AA353,NĐ!AG353,NĐ!AM353))=6)*(CHOOSE({1,2,3,4},NĐ!X353,NĐ!AD353,NĐ!AJ353,NĐ!AP353)))</f>
        <v>0</v>
      </c>
      <c r="G353">
        <f>SUMPRODUCT((MONTH(CHOOSE({1,2,3,4},NĐ!U353,NĐ!AA353,NĐ!AG353,NĐ!AM353))=7)*(CHOOSE({1,2,3,4},NĐ!X353,NĐ!AD353,NĐ!AJ353,NĐ!AP353)))</f>
        <v>0</v>
      </c>
      <c r="H353">
        <f>SUMPRODUCT((MONTH(CHOOSE({1,2,3,4},NĐ!U353,NĐ!AA353,NĐ!AG353,NĐ!AM353))=8)*(CHOOSE({1,2,3,4},NĐ!X353,NĐ!AD353,NĐ!AJ353,NĐ!AP353)))</f>
        <v>0</v>
      </c>
      <c r="I353">
        <f>SUMPRODUCT((MONTH(CHOOSE({1,2,3,4},NĐ!U353,NĐ!AA353,NĐ!AG353,NĐ!AM353))=9)*(CHOOSE({1,2,3,4},NĐ!X353,NĐ!AD353,NĐ!AJ353,NĐ!AP353)))</f>
        <v>0</v>
      </c>
      <c r="J353">
        <f>SUMPRODUCT((MONTH(CHOOSE({1,2,3,4},NĐ!U353,NĐ!AA353,NĐ!AG353,NĐ!AM353))=10)*(CHOOSE({1,2,3,4},NĐ!X353,NĐ!AD353,NĐ!AJ353,NĐ!AP353)))</f>
        <v>0</v>
      </c>
      <c r="K353">
        <f>SUMPRODUCT((MONTH(CHOOSE({1,2,3,4},NĐ!U353,NĐ!AA353,NĐ!AG353,NĐ!AM353))=11)*(CHOOSE({1,2,3,4},NĐ!X353,NĐ!AD353,NĐ!AJ353,NĐ!AP353)))</f>
        <v>0</v>
      </c>
      <c r="L353">
        <f>SUMPRODUCT((MONTH(CHOOSE({1,2,3,4},NĐ!U353,NĐ!AA353,NĐ!AG353,NĐ!AM353))=12)*(CHOOSE({1,2,3,4},NĐ!X353,NĐ!AD353,NĐ!AJ353,NĐ!AP353)))</f>
        <v>0</v>
      </c>
    </row>
    <row r="354" spans="1:12">
      <c r="A354">
        <f>SUMPRODUCT((MONTH(CHOOSE({1,2,3,4},NĐ!U354,NĐ!AA354,NĐ!AG354,NĐ!AM354))=1)*(CHOOSE({1,2,3,4},NĐ!X354,NĐ!AD354,NĐ!AJ354,NĐ!AP354)))</f>
        <v>0</v>
      </c>
      <c r="B354">
        <f>SUMPRODUCT((MONTH(CHOOSE({1,2,3,4},NĐ!U354,NĐ!AA354,NĐ!AG354,NĐ!AM354))=2)*(CHOOSE({1,2,3,4},NĐ!X354,NĐ!AD354,NĐ!AJ354,NĐ!AP354)))</f>
        <v>0</v>
      </c>
      <c r="C354">
        <f>SUMPRODUCT((MONTH(CHOOSE({1,2,3,4},NĐ!U354,NĐ!AA354,NĐ!AG354,NĐ!AM354))=3)*(CHOOSE({1,2,3,4},NĐ!X354,NĐ!AD354,NĐ!AJ354,NĐ!AP354)))</f>
        <v>0</v>
      </c>
      <c r="D354">
        <f>SUMPRODUCT((MONTH(CHOOSE({1,2,3,4},NĐ!U354,NĐ!AA354,NĐ!AG354,NĐ!AM354))=4)*(CHOOSE({1,2,3,4},NĐ!X354,NĐ!AD354,NĐ!AJ354,NĐ!AP354)))</f>
        <v>0</v>
      </c>
      <c r="E354">
        <f>SUMPRODUCT((MONTH(CHOOSE({1,2,3,4},NĐ!U354,NĐ!AA354,NĐ!AG354,NĐ!AM354))=5)*(CHOOSE({1,2,3,4},NĐ!X354,NĐ!AD354,NĐ!AJ354,NĐ!AP354)))</f>
        <v>0</v>
      </c>
      <c r="F354">
        <f>SUMPRODUCT((MONTH(CHOOSE({1,2,3,4},NĐ!U354,NĐ!AA354,NĐ!AG354,NĐ!AM354))=6)*(CHOOSE({1,2,3,4},NĐ!X354,NĐ!AD354,NĐ!AJ354,NĐ!AP354)))</f>
        <v>0</v>
      </c>
      <c r="G354">
        <f>SUMPRODUCT((MONTH(CHOOSE({1,2,3,4},NĐ!U354,NĐ!AA354,NĐ!AG354,NĐ!AM354))=7)*(CHOOSE({1,2,3,4},NĐ!X354,NĐ!AD354,NĐ!AJ354,NĐ!AP354)))</f>
        <v>0</v>
      </c>
      <c r="H354">
        <f>SUMPRODUCT((MONTH(CHOOSE({1,2,3,4},NĐ!U354,NĐ!AA354,NĐ!AG354,NĐ!AM354))=8)*(CHOOSE({1,2,3,4},NĐ!X354,NĐ!AD354,NĐ!AJ354,NĐ!AP354)))</f>
        <v>0</v>
      </c>
      <c r="I354">
        <f>SUMPRODUCT((MONTH(CHOOSE({1,2,3,4},NĐ!U354,NĐ!AA354,NĐ!AG354,NĐ!AM354))=9)*(CHOOSE({1,2,3,4},NĐ!X354,NĐ!AD354,NĐ!AJ354,NĐ!AP354)))</f>
        <v>0</v>
      </c>
      <c r="J354">
        <f>SUMPRODUCT((MONTH(CHOOSE({1,2,3,4},NĐ!U354,NĐ!AA354,NĐ!AG354,NĐ!AM354))=10)*(CHOOSE({1,2,3,4},NĐ!X354,NĐ!AD354,NĐ!AJ354,NĐ!AP354)))</f>
        <v>0</v>
      </c>
      <c r="K354">
        <f>SUMPRODUCT((MONTH(CHOOSE({1,2,3,4},NĐ!U354,NĐ!AA354,NĐ!AG354,NĐ!AM354))=11)*(CHOOSE({1,2,3,4},NĐ!X354,NĐ!AD354,NĐ!AJ354,NĐ!AP354)))</f>
        <v>0</v>
      </c>
      <c r="L354">
        <f>SUMPRODUCT((MONTH(CHOOSE({1,2,3,4},NĐ!U354,NĐ!AA354,NĐ!AG354,NĐ!AM354))=12)*(CHOOSE({1,2,3,4},NĐ!X354,NĐ!AD354,NĐ!AJ354,NĐ!AP354)))</f>
        <v>0</v>
      </c>
    </row>
    <row r="355" spans="1:12">
      <c r="A355">
        <f>SUMPRODUCT((MONTH(CHOOSE({1,2,3,4},NĐ!U355,NĐ!AA355,NĐ!AG355,NĐ!AM355))=1)*(CHOOSE({1,2,3,4},NĐ!X355,NĐ!AD355,NĐ!AJ355,NĐ!AP355)))</f>
        <v>0</v>
      </c>
      <c r="B355">
        <f>SUMPRODUCT((MONTH(CHOOSE({1,2,3,4},NĐ!U355,NĐ!AA355,NĐ!AG355,NĐ!AM355))=2)*(CHOOSE({1,2,3,4},NĐ!X355,NĐ!AD355,NĐ!AJ355,NĐ!AP355)))</f>
        <v>0</v>
      </c>
      <c r="C355">
        <f>SUMPRODUCT((MONTH(CHOOSE({1,2,3,4},NĐ!U355,NĐ!AA355,NĐ!AG355,NĐ!AM355))=3)*(CHOOSE({1,2,3,4},NĐ!X355,NĐ!AD355,NĐ!AJ355,NĐ!AP355)))</f>
        <v>0</v>
      </c>
      <c r="D355">
        <f>SUMPRODUCT((MONTH(CHOOSE({1,2,3,4},NĐ!U355,NĐ!AA355,NĐ!AG355,NĐ!AM355))=4)*(CHOOSE({1,2,3,4},NĐ!X355,NĐ!AD355,NĐ!AJ355,NĐ!AP355)))</f>
        <v>0</v>
      </c>
      <c r="E355">
        <f>SUMPRODUCT((MONTH(CHOOSE({1,2,3,4},NĐ!U355,NĐ!AA355,NĐ!AG355,NĐ!AM355))=5)*(CHOOSE({1,2,3,4},NĐ!X355,NĐ!AD355,NĐ!AJ355,NĐ!AP355)))</f>
        <v>0</v>
      </c>
      <c r="F355">
        <f>SUMPRODUCT((MONTH(CHOOSE({1,2,3,4},NĐ!U355,NĐ!AA355,NĐ!AG355,NĐ!AM355))=6)*(CHOOSE({1,2,3,4},NĐ!X355,NĐ!AD355,NĐ!AJ355,NĐ!AP355)))</f>
        <v>0</v>
      </c>
      <c r="G355">
        <f>SUMPRODUCT((MONTH(CHOOSE({1,2,3,4},NĐ!U355,NĐ!AA355,NĐ!AG355,NĐ!AM355))=7)*(CHOOSE({1,2,3,4},NĐ!X355,NĐ!AD355,NĐ!AJ355,NĐ!AP355)))</f>
        <v>0</v>
      </c>
      <c r="H355">
        <f>SUMPRODUCT((MONTH(CHOOSE({1,2,3,4},NĐ!U355,NĐ!AA355,NĐ!AG355,NĐ!AM355))=8)*(CHOOSE({1,2,3,4},NĐ!X355,NĐ!AD355,NĐ!AJ355,NĐ!AP355)))</f>
        <v>0</v>
      </c>
      <c r="I355">
        <f>SUMPRODUCT((MONTH(CHOOSE({1,2,3,4},NĐ!U355,NĐ!AA355,NĐ!AG355,NĐ!AM355))=9)*(CHOOSE({1,2,3,4},NĐ!X355,NĐ!AD355,NĐ!AJ355,NĐ!AP355)))</f>
        <v>0</v>
      </c>
      <c r="J355">
        <f>SUMPRODUCT((MONTH(CHOOSE({1,2,3,4},NĐ!U355,NĐ!AA355,NĐ!AG355,NĐ!AM355))=10)*(CHOOSE({1,2,3,4},NĐ!X355,NĐ!AD355,NĐ!AJ355,NĐ!AP355)))</f>
        <v>0</v>
      </c>
      <c r="K355">
        <f>SUMPRODUCT((MONTH(CHOOSE({1,2,3,4},NĐ!U355,NĐ!AA355,NĐ!AG355,NĐ!AM355))=11)*(CHOOSE({1,2,3,4},NĐ!X355,NĐ!AD355,NĐ!AJ355,NĐ!AP355)))</f>
        <v>0</v>
      </c>
      <c r="L355">
        <f>SUMPRODUCT((MONTH(CHOOSE({1,2,3,4},NĐ!U355,NĐ!AA355,NĐ!AG355,NĐ!AM355))=12)*(CHOOSE({1,2,3,4},NĐ!X355,NĐ!AD355,NĐ!AJ355,NĐ!AP355)))</f>
        <v>0</v>
      </c>
    </row>
    <row r="356" spans="1:12">
      <c r="A356">
        <f>SUMPRODUCT((MONTH(CHOOSE({1,2,3,4},NĐ!U356,NĐ!AA356,NĐ!AG356,NĐ!AM356))=1)*(CHOOSE({1,2,3,4},NĐ!X356,NĐ!AD356,NĐ!AJ356,NĐ!AP356)))</f>
        <v>0</v>
      </c>
      <c r="B356">
        <f>SUMPRODUCT((MONTH(CHOOSE({1,2,3,4},NĐ!U356,NĐ!AA356,NĐ!AG356,NĐ!AM356))=2)*(CHOOSE({1,2,3,4},NĐ!X356,NĐ!AD356,NĐ!AJ356,NĐ!AP356)))</f>
        <v>0</v>
      </c>
      <c r="C356">
        <f>SUMPRODUCT((MONTH(CHOOSE({1,2,3,4},NĐ!U356,NĐ!AA356,NĐ!AG356,NĐ!AM356))=3)*(CHOOSE({1,2,3,4},NĐ!X356,NĐ!AD356,NĐ!AJ356,NĐ!AP356)))</f>
        <v>0</v>
      </c>
      <c r="D356">
        <f>SUMPRODUCT((MONTH(CHOOSE({1,2,3,4},NĐ!U356,NĐ!AA356,NĐ!AG356,NĐ!AM356))=4)*(CHOOSE({1,2,3,4},NĐ!X356,NĐ!AD356,NĐ!AJ356,NĐ!AP356)))</f>
        <v>0</v>
      </c>
      <c r="E356">
        <f>SUMPRODUCT((MONTH(CHOOSE({1,2,3,4},NĐ!U356,NĐ!AA356,NĐ!AG356,NĐ!AM356))=5)*(CHOOSE({1,2,3,4},NĐ!X356,NĐ!AD356,NĐ!AJ356,NĐ!AP356)))</f>
        <v>0</v>
      </c>
      <c r="F356">
        <f>SUMPRODUCT((MONTH(CHOOSE({1,2,3,4},NĐ!U356,NĐ!AA356,NĐ!AG356,NĐ!AM356))=6)*(CHOOSE({1,2,3,4},NĐ!X356,NĐ!AD356,NĐ!AJ356,NĐ!AP356)))</f>
        <v>0</v>
      </c>
      <c r="G356">
        <f>SUMPRODUCT((MONTH(CHOOSE({1,2,3,4},NĐ!U356,NĐ!AA356,NĐ!AG356,NĐ!AM356))=7)*(CHOOSE({1,2,3,4},NĐ!X356,NĐ!AD356,NĐ!AJ356,NĐ!AP356)))</f>
        <v>0</v>
      </c>
      <c r="H356">
        <f>SUMPRODUCT((MONTH(CHOOSE({1,2,3,4},NĐ!U356,NĐ!AA356,NĐ!AG356,NĐ!AM356))=8)*(CHOOSE({1,2,3,4},NĐ!X356,NĐ!AD356,NĐ!AJ356,NĐ!AP356)))</f>
        <v>0</v>
      </c>
      <c r="I356">
        <f>SUMPRODUCT((MONTH(CHOOSE({1,2,3,4},NĐ!U356,NĐ!AA356,NĐ!AG356,NĐ!AM356))=9)*(CHOOSE({1,2,3,4},NĐ!X356,NĐ!AD356,NĐ!AJ356,NĐ!AP356)))</f>
        <v>0</v>
      </c>
      <c r="J356">
        <f>SUMPRODUCT((MONTH(CHOOSE({1,2,3,4},NĐ!U356,NĐ!AA356,NĐ!AG356,NĐ!AM356))=10)*(CHOOSE({1,2,3,4},NĐ!X356,NĐ!AD356,NĐ!AJ356,NĐ!AP356)))</f>
        <v>0</v>
      </c>
      <c r="K356">
        <f>SUMPRODUCT((MONTH(CHOOSE({1,2,3,4},NĐ!U356,NĐ!AA356,NĐ!AG356,NĐ!AM356))=11)*(CHOOSE({1,2,3,4},NĐ!X356,NĐ!AD356,NĐ!AJ356,NĐ!AP356)))</f>
        <v>0</v>
      </c>
      <c r="L356">
        <f>SUMPRODUCT((MONTH(CHOOSE({1,2,3,4},NĐ!U356,NĐ!AA356,NĐ!AG356,NĐ!AM356))=12)*(CHOOSE({1,2,3,4},NĐ!X356,NĐ!AD356,NĐ!AJ356,NĐ!AP356)))</f>
        <v>0</v>
      </c>
    </row>
    <row r="357" spans="1:12">
      <c r="A357">
        <f>SUMPRODUCT((MONTH(CHOOSE({1,2,3,4},NĐ!U357,NĐ!AA357,NĐ!AG357,NĐ!AM357))=1)*(CHOOSE({1,2,3,4},NĐ!X357,NĐ!AD357,NĐ!AJ357,NĐ!AP357)))</f>
        <v>0</v>
      </c>
      <c r="B357">
        <f>SUMPRODUCT((MONTH(CHOOSE({1,2,3,4},NĐ!U357,NĐ!AA357,NĐ!AG357,NĐ!AM357))=2)*(CHOOSE({1,2,3,4},NĐ!X357,NĐ!AD357,NĐ!AJ357,NĐ!AP357)))</f>
        <v>0</v>
      </c>
      <c r="C357">
        <f>SUMPRODUCT((MONTH(CHOOSE({1,2,3,4},NĐ!U357,NĐ!AA357,NĐ!AG357,NĐ!AM357))=3)*(CHOOSE({1,2,3,4},NĐ!X357,NĐ!AD357,NĐ!AJ357,NĐ!AP357)))</f>
        <v>0</v>
      </c>
      <c r="D357">
        <f>SUMPRODUCT((MONTH(CHOOSE({1,2,3,4},NĐ!U357,NĐ!AA357,NĐ!AG357,NĐ!AM357))=4)*(CHOOSE({1,2,3,4},NĐ!X357,NĐ!AD357,NĐ!AJ357,NĐ!AP357)))</f>
        <v>0</v>
      </c>
      <c r="E357">
        <f>SUMPRODUCT((MONTH(CHOOSE({1,2,3,4},NĐ!U357,NĐ!AA357,NĐ!AG357,NĐ!AM357))=5)*(CHOOSE({1,2,3,4},NĐ!X357,NĐ!AD357,NĐ!AJ357,NĐ!AP357)))</f>
        <v>0</v>
      </c>
      <c r="F357">
        <f>SUMPRODUCT((MONTH(CHOOSE({1,2,3,4},NĐ!U357,NĐ!AA357,NĐ!AG357,NĐ!AM357))=6)*(CHOOSE({1,2,3,4},NĐ!X357,NĐ!AD357,NĐ!AJ357,NĐ!AP357)))</f>
        <v>0</v>
      </c>
      <c r="G357">
        <f>SUMPRODUCT((MONTH(CHOOSE({1,2,3,4},NĐ!U357,NĐ!AA357,NĐ!AG357,NĐ!AM357))=7)*(CHOOSE({1,2,3,4},NĐ!X357,NĐ!AD357,NĐ!AJ357,NĐ!AP357)))</f>
        <v>0</v>
      </c>
      <c r="H357">
        <f>SUMPRODUCT((MONTH(CHOOSE({1,2,3,4},NĐ!U357,NĐ!AA357,NĐ!AG357,NĐ!AM357))=8)*(CHOOSE({1,2,3,4},NĐ!X357,NĐ!AD357,NĐ!AJ357,NĐ!AP357)))</f>
        <v>0</v>
      </c>
      <c r="I357">
        <f>SUMPRODUCT((MONTH(CHOOSE({1,2,3,4},NĐ!U357,NĐ!AA357,NĐ!AG357,NĐ!AM357))=9)*(CHOOSE({1,2,3,4},NĐ!X357,NĐ!AD357,NĐ!AJ357,NĐ!AP357)))</f>
        <v>0</v>
      </c>
      <c r="J357">
        <f>SUMPRODUCT((MONTH(CHOOSE({1,2,3,4},NĐ!U357,NĐ!AA357,NĐ!AG357,NĐ!AM357))=10)*(CHOOSE({1,2,3,4},NĐ!X357,NĐ!AD357,NĐ!AJ357,NĐ!AP357)))</f>
        <v>0</v>
      </c>
      <c r="K357">
        <f>SUMPRODUCT((MONTH(CHOOSE({1,2,3,4},NĐ!U357,NĐ!AA357,NĐ!AG357,NĐ!AM357))=11)*(CHOOSE({1,2,3,4},NĐ!X357,NĐ!AD357,NĐ!AJ357,NĐ!AP357)))</f>
        <v>0</v>
      </c>
      <c r="L357">
        <f>SUMPRODUCT((MONTH(CHOOSE({1,2,3,4},NĐ!U357,NĐ!AA357,NĐ!AG357,NĐ!AM357))=12)*(CHOOSE({1,2,3,4},NĐ!X357,NĐ!AD357,NĐ!AJ357,NĐ!AP357)))</f>
        <v>0</v>
      </c>
    </row>
    <row r="358" spans="1:12">
      <c r="A358">
        <f>SUMPRODUCT((MONTH(CHOOSE({1,2,3,4},NĐ!U358,NĐ!AA358,NĐ!AG358,NĐ!AM358))=1)*(CHOOSE({1,2,3,4},NĐ!X358,NĐ!AD358,NĐ!AJ358,NĐ!AP358)))</f>
        <v>0</v>
      </c>
      <c r="B358">
        <f>SUMPRODUCT((MONTH(CHOOSE({1,2,3,4},NĐ!U358,NĐ!AA358,NĐ!AG358,NĐ!AM358))=2)*(CHOOSE({1,2,3,4},NĐ!X358,NĐ!AD358,NĐ!AJ358,NĐ!AP358)))</f>
        <v>0</v>
      </c>
      <c r="C358">
        <f>SUMPRODUCT((MONTH(CHOOSE({1,2,3,4},NĐ!U358,NĐ!AA358,NĐ!AG358,NĐ!AM358))=3)*(CHOOSE({1,2,3,4},NĐ!X358,NĐ!AD358,NĐ!AJ358,NĐ!AP358)))</f>
        <v>0</v>
      </c>
      <c r="D358">
        <f>SUMPRODUCT((MONTH(CHOOSE({1,2,3,4},NĐ!U358,NĐ!AA358,NĐ!AG358,NĐ!AM358))=4)*(CHOOSE({1,2,3,4},NĐ!X358,NĐ!AD358,NĐ!AJ358,NĐ!AP358)))</f>
        <v>0</v>
      </c>
      <c r="E358">
        <f>SUMPRODUCT((MONTH(CHOOSE({1,2,3,4},NĐ!U358,NĐ!AA358,NĐ!AG358,NĐ!AM358))=5)*(CHOOSE({1,2,3,4},NĐ!X358,NĐ!AD358,NĐ!AJ358,NĐ!AP358)))</f>
        <v>0</v>
      </c>
      <c r="F358">
        <f>SUMPRODUCT((MONTH(CHOOSE({1,2,3,4},NĐ!U358,NĐ!AA358,NĐ!AG358,NĐ!AM358))=6)*(CHOOSE({1,2,3,4},NĐ!X358,NĐ!AD358,NĐ!AJ358,NĐ!AP358)))</f>
        <v>0</v>
      </c>
      <c r="G358">
        <f>SUMPRODUCT((MONTH(CHOOSE({1,2,3,4},NĐ!U358,NĐ!AA358,NĐ!AG358,NĐ!AM358))=7)*(CHOOSE({1,2,3,4},NĐ!X358,NĐ!AD358,NĐ!AJ358,NĐ!AP358)))</f>
        <v>0</v>
      </c>
      <c r="H358">
        <f>SUMPRODUCT((MONTH(CHOOSE({1,2,3,4},NĐ!U358,NĐ!AA358,NĐ!AG358,NĐ!AM358))=8)*(CHOOSE({1,2,3,4},NĐ!X358,NĐ!AD358,NĐ!AJ358,NĐ!AP358)))</f>
        <v>0</v>
      </c>
      <c r="I358">
        <f>SUMPRODUCT((MONTH(CHOOSE({1,2,3,4},NĐ!U358,NĐ!AA358,NĐ!AG358,NĐ!AM358))=9)*(CHOOSE({1,2,3,4},NĐ!X358,NĐ!AD358,NĐ!AJ358,NĐ!AP358)))</f>
        <v>0</v>
      </c>
      <c r="J358">
        <f>SUMPRODUCT((MONTH(CHOOSE({1,2,3,4},NĐ!U358,NĐ!AA358,NĐ!AG358,NĐ!AM358))=10)*(CHOOSE({1,2,3,4},NĐ!X358,NĐ!AD358,NĐ!AJ358,NĐ!AP358)))</f>
        <v>0</v>
      </c>
      <c r="K358">
        <f>SUMPRODUCT((MONTH(CHOOSE({1,2,3,4},NĐ!U358,NĐ!AA358,NĐ!AG358,NĐ!AM358))=11)*(CHOOSE({1,2,3,4},NĐ!X358,NĐ!AD358,NĐ!AJ358,NĐ!AP358)))</f>
        <v>0</v>
      </c>
      <c r="L358">
        <f>SUMPRODUCT((MONTH(CHOOSE({1,2,3,4},NĐ!U358,NĐ!AA358,NĐ!AG358,NĐ!AM358))=12)*(CHOOSE({1,2,3,4},NĐ!X358,NĐ!AD358,NĐ!AJ358,NĐ!AP358)))</f>
        <v>0</v>
      </c>
    </row>
    <row r="359" spans="1:12">
      <c r="A359">
        <f>SUMPRODUCT((MONTH(CHOOSE({1,2,3,4},NĐ!U359,NĐ!AA359,NĐ!AG359,NĐ!AM359))=1)*(CHOOSE({1,2,3,4},NĐ!X359,NĐ!AD359,NĐ!AJ359,NĐ!AP359)))</f>
        <v>0</v>
      </c>
      <c r="B359">
        <f>SUMPRODUCT((MONTH(CHOOSE({1,2,3,4},NĐ!U359,NĐ!AA359,NĐ!AG359,NĐ!AM359))=2)*(CHOOSE({1,2,3,4},NĐ!X359,NĐ!AD359,NĐ!AJ359,NĐ!AP359)))</f>
        <v>0</v>
      </c>
      <c r="C359">
        <f>SUMPRODUCT((MONTH(CHOOSE({1,2,3,4},NĐ!U359,NĐ!AA359,NĐ!AG359,NĐ!AM359))=3)*(CHOOSE({1,2,3,4},NĐ!X359,NĐ!AD359,NĐ!AJ359,NĐ!AP359)))</f>
        <v>0</v>
      </c>
      <c r="D359">
        <f>SUMPRODUCT((MONTH(CHOOSE({1,2,3,4},NĐ!U359,NĐ!AA359,NĐ!AG359,NĐ!AM359))=4)*(CHOOSE({1,2,3,4},NĐ!X359,NĐ!AD359,NĐ!AJ359,NĐ!AP359)))</f>
        <v>0</v>
      </c>
      <c r="E359">
        <f>SUMPRODUCT((MONTH(CHOOSE({1,2,3,4},NĐ!U359,NĐ!AA359,NĐ!AG359,NĐ!AM359))=5)*(CHOOSE({1,2,3,4},NĐ!X359,NĐ!AD359,NĐ!AJ359,NĐ!AP359)))</f>
        <v>0</v>
      </c>
      <c r="F359">
        <f>SUMPRODUCT((MONTH(CHOOSE({1,2,3,4},NĐ!U359,NĐ!AA359,NĐ!AG359,NĐ!AM359))=6)*(CHOOSE({1,2,3,4},NĐ!X359,NĐ!AD359,NĐ!AJ359,NĐ!AP359)))</f>
        <v>0</v>
      </c>
      <c r="G359">
        <f>SUMPRODUCT((MONTH(CHOOSE({1,2,3,4},NĐ!U359,NĐ!AA359,NĐ!AG359,NĐ!AM359))=7)*(CHOOSE({1,2,3,4},NĐ!X359,NĐ!AD359,NĐ!AJ359,NĐ!AP359)))</f>
        <v>0</v>
      </c>
      <c r="H359">
        <f>SUMPRODUCT((MONTH(CHOOSE({1,2,3,4},NĐ!U359,NĐ!AA359,NĐ!AG359,NĐ!AM359))=8)*(CHOOSE({1,2,3,4},NĐ!X359,NĐ!AD359,NĐ!AJ359,NĐ!AP359)))</f>
        <v>0</v>
      </c>
      <c r="I359">
        <f>SUMPRODUCT((MONTH(CHOOSE({1,2,3,4},NĐ!U359,NĐ!AA359,NĐ!AG359,NĐ!AM359))=9)*(CHOOSE({1,2,3,4},NĐ!X359,NĐ!AD359,NĐ!AJ359,NĐ!AP359)))</f>
        <v>0</v>
      </c>
      <c r="J359">
        <f>SUMPRODUCT((MONTH(CHOOSE({1,2,3,4},NĐ!U359,NĐ!AA359,NĐ!AG359,NĐ!AM359))=10)*(CHOOSE({1,2,3,4},NĐ!X359,NĐ!AD359,NĐ!AJ359,NĐ!AP359)))</f>
        <v>0</v>
      </c>
      <c r="K359">
        <f>SUMPRODUCT((MONTH(CHOOSE({1,2,3,4},NĐ!U359,NĐ!AA359,NĐ!AG359,NĐ!AM359))=11)*(CHOOSE({1,2,3,4},NĐ!X359,NĐ!AD359,NĐ!AJ359,NĐ!AP359)))</f>
        <v>0</v>
      </c>
      <c r="L359">
        <f>SUMPRODUCT((MONTH(CHOOSE({1,2,3,4},NĐ!U359,NĐ!AA359,NĐ!AG359,NĐ!AM359))=12)*(CHOOSE({1,2,3,4},NĐ!X359,NĐ!AD359,NĐ!AJ359,NĐ!AP359)))</f>
        <v>0</v>
      </c>
    </row>
    <row r="360" spans="1:12">
      <c r="A360">
        <f>SUMPRODUCT((MONTH(CHOOSE({1,2,3,4},NĐ!U360,NĐ!AA360,NĐ!AG360,NĐ!AM360))=1)*(CHOOSE({1,2,3,4},NĐ!X360,NĐ!AD360,NĐ!AJ360,NĐ!AP360)))</f>
        <v>0</v>
      </c>
      <c r="B360">
        <f>SUMPRODUCT((MONTH(CHOOSE({1,2,3,4},NĐ!U360,NĐ!AA360,NĐ!AG360,NĐ!AM360))=2)*(CHOOSE({1,2,3,4},NĐ!X360,NĐ!AD360,NĐ!AJ360,NĐ!AP360)))</f>
        <v>0</v>
      </c>
      <c r="C360">
        <f>SUMPRODUCT((MONTH(CHOOSE({1,2,3,4},NĐ!U360,NĐ!AA360,NĐ!AG360,NĐ!AM360))=3)*(CHOOSE({1,2,3,4},NĐ!X360,NĐ!AD360,NĐ!AJ360,NĐ!AP360)))</f>
        <v>0</v>
      </c>
      <c r="D360">
        <f>SUMPRODUCT((MONTH(CHOOSE({1,2,3,4},NĐ!U360,NĐ!AA360,NĐ!AG360,NĐ!AM360))=4)*(CHOOSE({1,2,3,4},NĐ!X360,NĐ!AD360,NĐ!AJ360,NĐ!AP360)))</f>
        <v>0</v>
      </c>
      <c r="E360">
        <f>SUMPRODUCT((MONTH(CHOOSE({1,2,3,4},NĐ!U360,NĐ!AA360,NĐ!AG360,NĐ!AM360))=5)*(CHOOSE({1,2,3,4},NĐ!X360,NĐ!AD360,NĐ!AJ360,NĐ!AP360)))</f>
        <v>0</v>
      </c>
      <c r="F360">
        <f>SUMPRODUCT((MONTH(CHOOSE({1,2,3,4},NĐ!U360,NĐ!AA360,NĐ!AG360,NĐ!AM360))=6)*(CHOOSE({1,2,3,4},NĐ!X360,NĐ!AD360,NĐ!AJ360,NĐ!AP360)))</f>
        <v>0</v>
      </c>
      <c r="G360">
        <f>SUMPRODUCT((MONTH(CHOOSE({1,2,3,4},NĐ!U360,NĐ!AA360,NĐ!AG360,NĐ!AM360))=7)*(CHOOSE({1,2,3,4},NĐ!X360,NĐ!AD360,NĐ!AJ360,NĐ!AP360)))</f>
        <v>0</v>
      </c>
      <c r="H360">
        <f>SUMPRODUCT((MONTH(CHOOSE({1,2,3,4},NĐ!U360,NĐ!AA360,NĐ!AG360,NĐ!AM360))=8)*(CHOOSE({1,2,3,4},NĐ!X360,NĐ!AD360,NĐ!AJ360,NĐ!AP360)))</f>
        <v>0</v>
      </c>
      <c r="I360">
        <f>SUMPRODUCT((MONTH(CHOOSE({1,2,3,4},NĐ!U360,NĐ!AA360,NĐ!AG360,NĐ!AM360))=9)*(CHOOSE({1,2,3,4},NĐ!X360,NĐ!AD360,NĐ!AJ360,NĐ!AP360)))</f>
        <v>0</v>
      </c>
      <c r="J360">
        <f>SUMPRODUCT((MONTH(CHOOSE({1,2,3,4},NĐ!U360,NĐ!AA360,NĐ!AG360,NĐ!AM360))=10)*(CHOOSE({1,2,3,4},NĐ!X360,NĐ!AD360,NĐ!AJ360,NĐ!AP360)))</f>
        <v>0</v>
      </c>
      <c r="K360">
        <f>SUMPRODUCT((MONTH(CHOOSE({1,2,3,4},NĐ!U360,NĐ!AA360,NĐ!AG360,NĐ!AM360))=11)*(CHOOSE({1,2,3,4},NĐ!X360,NĐ!AD360,NĐ!AJ360,NĐ!AP360)))</f>
        <v>0</v>
      </c>
      <c r="L360">
        <f>SUMPRODUCT((MONTH(CHOOSE({1,2,3,4},NĐ!U360,NĐ!AA360,NĐ!AG360,NĐ!AM360))=12)*(CHOOSE({1,2,3,4},NĐ!X360,NĐ!AD360,NĐ!AJ360,NĐ!AP360)))</f>
        <v>0</v>
      </c>
    </row>
    <row r="361" spans="1:12">
      <c r="A361">
        <f>SUMPRODUCT((MONTH(CHOOSE({1,2,3,4},NĐ!U361,NĐ!AA361,NĐ!AG361,NĐ!AM361))=1)*(CHOOSE({1,2,3,4},NĐ!X361,NĐ!AD361,NĐ!AJ361,NĐ!AP361)))</f>
        <v>0</v>
      </c>
      <c r="B361">
        <f>SUMPRODUCT((MONTH(CHOOSE({1,2,3,4},NĐ!U361,NĐ!AA361,NĐ!AG361,NĐ!AM361))=2)*(CHOOSE({1,2,3,4},NĐ!X361,NĐ!AD361,NĐ!AJ361,NĐ!AP361)))</f>
        <v>0</v>
      </c>
      <c r="C361">
        <f>SUMPRODUCT((MONTH(CHOOSE({1,2,3,4},NĐ!U361,NĐ!AA361,NĐ!AG361,NĐ!AM361))=3)*(CHOOSE({1,2,3,4},NĐ!X361,NĐ!AD361,NĐ!AJ361,NĐ!AP361)))</f>
        <v>0</v>
      </c>
      <c r="D361">
        <f>SUMPRODUCT((MONTH(CHOOSE({1,2,3,4},NĐ!U361,NĐ!AA361,NĐ!AG361,NĐ!AM361))=4)*(CHOOSE({1,2,3,4},NĐ!X361,NĐ!AD361,NĐ!AJ361,NĐ!AP361)))</f>
        <v>0</v>
      </c>
      <c r="E361">
        <f>SUMPRODUCT((MONTH(CHOOSE({1,2,3,4},NĐ!U361,NĐ!AA361,NĐ!AG361,NĐ!AM361))=5)*(CHOOSE({1,2,3,4},NĐ!X361,NĐ!AD361,NĐ!AJ361,NĐ!AP361)))</f>
        <v>0</v>
      </c>
      <c r="F361">
        <f>SUMPRODUCT((MONTH(CHOOSE({1,2,3,4},NĐ!U361,NĐ!AA361,NĐ!AG361,NĐ!AM361))=6)*(CHOOSE({1,2,3,4},NĐ!X361,NĐ!AD361,NĐ!AJ361,NĐ!AP361)))</f>
        <v>0</v>
      </c>
      <c r="G361">
        <f>SUMPRODUCT((MONTH(CHOOSE({1,2,3,4},NĐ!U361,NĐ!AA361,NĐ!AG361,NĐ!AM361))=7)*(CHOOSE({1,2,3,4},NĐ!X361,NĐ!AD361,NĐ!AJ361,NĐ!AP361)))</f>
        <v>0</v>
      </c>
      <c r="H361">
        <f>SUMPRODUCT((MONTH(CHOOSE({1,2,3,4},NĐ!U361,NĐ!AA361,NĐ!AG361,NĐ!AM361))=8)*(CHOOSE({1,2,3,4},NĐ!X361,NĐ!AD361,NĐ!AJ361,NĐ!AP361)))</f>
        <v>0</v>
      </c>
      <c r="I361">
        <f>SUMPRODUCT((MONTH(CHOOSE({1,2,3,4},NĐ!U361,NĐ!AA361,NĐ!AG361,NĐ!AM361))=9)*(CHOOSE({1,2,3,4},NĐ!X361,NĐ!AD361,NĐ!AJ361,NĐ!AP361)))</f>
        <v>0</v>
      </c>
      <c r="J361">
        <f>SUMPRODUCT((MONTH(CHOOSE({1,2,3,4},NĐ!U361,NĐ!AA361,NĐ!AG361,NĐ!AM361))=10)*(CHOOSE({1,2,3,4},NĐ!X361,NĐ!AD361,NĐ!AJ361,NĐ!AP361)))</f>
        <v>0</v>
      </c>
      <c r="K361">
        <f>SUMPRODUCT((MONTH(CHOOSE({1,2,3,4},NĐ!U361,NĐ!AA361,NĐ!AG361,NĐ!AM361))=11)*(CHOOSE({1,2,3,4},NĐ!X361,NĐ!AD361,NĐ!AJ361,NĐ!AP361)))</f>
        <v>0</v>
      </c>
      <c r="L361">
        <f>SUMPRODUCT((MONTH(CHOOSE({1,2,3,4},NĐ!U361,NĐ!AA361,NĐ!AG361,NĐ!AM361))=12)*(CHOOSE({1,2,3,4},NĐ!X361,NĐ!AD361,NĐ!AJ361,NĐ!AP361)))</f>
        <v>0</v>
      </c>
    </row>
    <row r="362" spans="1:12">
      <c r="A362">
        <f>SUMPRODUCT((MONTH(CHOOSE({1,2,3,4},NĐ!U362,NĐ!AA362,NĐ!AG362,NĐ!AM362))=1)*(CHOOSE({1,2,3,4},NĐ!X362,NĐ!AD362,NĐ!AJ362,NĐ!AP362)))</f>
        <v>0</v>
      </c>
      <c r="B362">
        <f>SUMPRODUCT((MONTH(CHOOSE({1,2,3,4},NĐ!U362,NĐ!AA362,NĐ!AG362,NĐ!AM362))=2)*(CHOOSE({1,2,3,4},NĐ!X362,NĐ!AD362,NĐ!AJ362,NĐ!AP362)))</f>
        <v>0</v>
      </c>
      <c r="C362">
        <f>SUMPRODUCT((MONTH(CHOOSE({1,2,3,4},NĐ!U362,NĐ!AA362,NĐ!AG362,NĐ!AM362))=3)*(CHOOSE({1,2,3,4},NĐ!X362,NĐ!AD362,NĐ!AJ362,NĐ!AP362)))</f>
        <v>0</v>
      </c>
      <c r="D362">
        <f>SUMPRODUCT((MONTH(CHOOSE({1,2,3,4},NĐ!U362,NĐ!AA362,NĐ!AG362,NĐ!AM362))=4)*(CHOOSE({1,2,3,4},NĐ!X362,NĐ!AD362,NĐ!AJ362,NĐ!AP362)))</f>
        <v>0</v>
      </c>
      <c r="E362">
        <f>SUMPRODUCT((MONTH(CHOOSE({1,2,3,4},NĐ!U362,NĐ!AA362,NĐ!AG362,NĐ!AM362))=5)*(CHOOSE({1,2,3,4},NĐ!X362,NĐ!AD362,NĐ!AJ362,NĐ!AP362)))</f>
        <v>0</v>
      </c>
      <c r="F362">
        <f>SUMPRODUCT((MONTH(CHOOSE({1,2,3,4},NĐ!U362,NĐ!AA362,NĐ!AG362,NĐ!AM362))=6)*(CHOOSE({1,2,3,4},NĐ!X362,NĐ!AD362,NĐ!AJ362,NĐ!AP362)))</f>
        <v>0</v>
      </c>
      <c r="G362">
        <f>SUMPRODUCT((MONTH(CHOOSE({1,2,3,4},NĐ!U362,NĐ!AA362,NĐ!AG362,NĐ!AM362))=7)*(CHOOSE({1,2,3,4},NĐ!X362,NĐ!AD362,NĐ!AJ362,NĐ!AP362)))</f>
        <v>0</v>
      </c>
      <c r="H362">
        <f>SUMPRODUCT((MONTH(CHOOSE({1,2,3,4},NĐ!U362,NĐ!AA362,NĐ!AG362,NĐ!AM362))=8)*(CHOOSE({1,2,3,4},NĐ!X362,NĐ!AD362,NĐ!AJ362,NĐ!AP362)))</f>
        <v>0</v>
      </c>
      <c r="I362">
        <f>SUMPRODUCT((MONTH(CHOOSE({1,2,3,4},NĐ!U362,NĐ!AA362,NĐ!AG362,NĐ!AM362))=9)*(CHOOSE({1,2,3,4},NĐ!X362,NĐ!AD362,NĐ!AJ362,NĐ!AP362)))</f>
        <v>0</v>
      </c>
      <c r="J362">
        <f>SUMPRODUCT((MONTH(CHOOSE({1,2,3,4},NĐ!U362,NĐ!AA362,NĐ!AG362,NĐ!AM362))=10)*(CHOOSE({1,2,3,4},NĐ!X362,NĐ!AD362,NĐ!AJ362,NĐ!AP362)))</f>
        <v>0</v>
      </c>
      <c r="K362">
        <f>SUMPRODUCT((MONTH(CHOOSE({1,2,3,4},NĐ!U362,NĐ!AA362,NĐ!AG362,NĐ!AM362))=11)*(CHOOSE({1,2,3,4},NĐ!X362,NĐ!AD362,NĐ!AJ362,NĐ!AP362)))</f>
        <v>0</v>
      </c>
      <c r="L362">
        <f>SUMPRODUCT((MONTH(CHOOSE({1,2,3,4},NĐ!U362,NĐ!AA362,NĐ!AG362,NĐ!AM362))=12)*(CHOOSE({1,2,3,4},NĐ!X362,NĐ!AD362,NĐ!AJ362,NĐ!AP362)))</f>
        <v>0</v>
      </c>
    </row>
    <row r="363" spans="1:12">
      <c r="A363">
        <f>SUMPRODUCT((MONTH(CHOOSE({1,2,3,4},NĐ!U363,NĐ!AA363,NĐ!AG363,NĐ!AM363))=1)*(CHOOSE({1,2,3,4},NĐ!X363,NĐ!AD363,NĐ!AJ363,NĐ!AP363)))</f>
        <v>0</v>
      </c>
      <c r="B363">
        <f>SUMPRODUCT((MONTH(CHOOSE({1,2,3,4},NĐ!U363,NĐ!AA363,NĐ!AG363,NĐ!AM363))=2)*(CHOOSE({1,2,3,4},NĐ!X363,NĐ!AD363,NĐ!AJ363,NĐ!AP363)))</f>
        <v>0</v>
      </c>
      <c r="C363">
        <f>SUMPRODUCT((MONTH(CHOOSE({1,2,3,4},NĐ!U363,NĐ!AA363,NĐ!AG363,NĐ!AM363))=3)*(CHOOSE({1,2,3,4},NĐ!X363,NĐ!AD363,NĐ!AJ363,NĐ!AP363)))</f>
        <v>0</v>
      </c>
      <c r="D363">
        <f>SUMPRODUCT((MONTH(CHOOSE({1,2,3,4},NĐ!U363,NĐ!AA363,NĐ!AG363,NĐ!AM363))=4)*(CHOOSE({1,2,3,4},NĐ!X363,NĐ!AD363,NĐ!AJ363,NĐ!AP363)))</f>
        <v>0</v>
      </c>
      <c r="E363">
        <f>SUMPRODUCT((MONTH(CHOOSE({1,2,3,4},NĐ!U363,NĐ!AA363,NĐ!AG363,NĐ!AM363))=5)*(CHOOSE({1,2,3,4},NĐ!X363,NĐ!AD363,NĐ!AJ363,NĐ!AP363)))</f>
        <v>0</v>
      </c>
      <c r="F363">
        <f>SUMPRODUCT((MONTH(CHOOSE({1,2,3,4},NĐ!U363,NĐ!AA363,NĐ!AG363,NĐ!AM363))=6)*(CHOOSE({1,2,3,4},NĐ!X363,NĐ!AD363,NĐ!AJ363,NĐ!AP363)))</f>
        <v>0</v>
      </c>
      <c r="G363">
        <f>SUMPRODUCT((MONTH(CHOOSE({1,2,3,4},NĐ!U363,NĐ!AA363,NĐ!AG363,NĐ!AM363))=7)*(CHOOSE({1,2,3,4},NĐ!X363,NĐ!AD363,NĐ!AJ363,NĐ!AP363)))</f>
        <v>0</v>
      </c>
      <c r="H363">
        <f>SUMPRODUCT((MONTH(CHOOSE({1,2,3,4},NĐ!U363,NĐ!AA363,NĐ!AG363,NĐ!AM363))=8)*(CHOOSE({1,2,3,4},NĐ!X363,NĐ!AD363,NĐ!AJ363,NĐ!AP363)))</f>
        <v>0</v>
      </c>
      <c r="I363">
        <f>SUMPRODUCT((MONTH(CHOOSE({1,2,3,4},NĐ!U363,NĐ!AA363,NĐ!AG363,NĐ!AM363))=9)*(CHOOSE({1,2,3,4},NĐ!X363,NĐ!AD363,NĐ!AJ363,NĐ!AP363)))</f>
        <v>0</v>
      </c>
      <c r="J363">
        <f>SUMPRODUCT((MONTH(CHOOSE({1,2,3,4},NĐ!U363,NĐ!AA363,NĐ!AG363,NĐ!AM363))=10)*(CHOOSE({1,2,3,4},NĐ!X363,NĐ!AD363,NĐ!AJ363,NĐ!AP363)))</f>
        <v>0</v>
      </c>
      <c r="K363">
        <f>SUMPRODUCT((MONTH(CHOOSE({1,2,3,4},NĐ!U363,NĐ!AA363,NĐ!AG363,NĐ!AM363))=11)*(CHOOSE({1,2,3,4},NĐ!X363,NĐ!AD363,NĐ!AJ363,NĐ!AP363)))</f>
        <v>0</v>
      </c>
      <c r="L363">
        <f>SUMPRODUCT((MONTH(CHOOSE({1,2,3,4},NĐ!U363,NĐ!AA363,NĐ!AG363,NĐ!AM363))=12)*(CHOOSE({1,2,3,4},NĐ!X363,NĐ!AD363,NĐ!AJ363,NĐ!AP363)))</f>
        <v>0</v>
      </c>
    </row>
    <row r="364" spans="1:12">
      <c r="A364">
        <f>SUMPRODUCT((MONTH(CHOOSE({1,2,3,4},NĐ!U364,NĐ!AA364,NĐ!AG364,NĐ!AM364))=1)*(CHOOSE({1,2,3,4},NĐ!X364,NĐ!AD364,NĐ!AJ364,NĐ!AP364)))</f>
        <v>0</v>
      </c>
      <c r="B364">
        <f>SUMPRODUCT((MONTH(CHOOSE({1,2,3,4},NĐ!U364,NĐ!AA364,NĐ!AG364,NĐ!AM364))=2)*(CHOOSE({1,2,3,4},NĐ!X364,NĐ!AD364,NĐ!AJ364,NĐ!AP364)))</f>
        <v>0</v>
      </c>
      <c r="C364">
        <f>SUMPRODUCT((MONTH(CHOOSE({1,2,3,4},NĐ!U364,NĐ!AA364,NĐ!AG364,NĐ!AM364))=3)*(CHOOSE({1,2,3,4},NĐ!X364,NĐ!AD364,NĐ!AJ364,NĐ!AP364)))</f>
        <v>0</v>
      </c>
      <c r="D364">
        <f>SUMPRODUCT((MONTH(CHOOSE({1,2,3,4},NĐ!U364,NĐ!AA364,NĐ!AG364,NĐ!AM364))=4)*(CHOOSE({1,2,3,4},NĐ!X364,NĐ!AD364,NĐ!AJ364,NĐ!AP364)))</f>
        <v>0</v>
      </c>
      <c r="E364">
        <f>SUMPRODUCT((MONTH(CHOOSE({1,2,3,4},NĐ!U364,NĐ!AA364,NĐ!AG364,NĐ!AM364))=5)*(CHOOSE({1,2,3,4},NĐ!X364,NĐ!AD364,NĐ!AJ364,NĐ!AP364)))</f>
        <v>0</v>
      </c>
      <c r="F364">
        <f>SUMPRODUCT((MONTH(CHOOSE({1,2,3,4},NĐ!U364,NĐ!AA364,NĐ!AG364,NĐ!AM364))=6)*(CHOOSE({1,2,3,4},NĐ!X364,NĐ!AD364,NĐ!AJ364,NĐ!AP364)))</f>
        <v>0</v>
      </c>
      <c r="G364">
        <f>SUMPRODUCT((MONTH(CHOOSE({1,2,3,4},NĐ!U364,NĐ!AA364,NĐ!AG364,NĐ!AM364))=7)*(CHOOSE({1,2,3,4},NĐ!X364,NĐ!AD364,NĐ!AJ364,NĐ!AP364)))</f>
        <v>0</v>
      </c>
      <c r="H364">
        <f>SUMPRODUCT((MONTH(CHOOSE({1,2,3,4},NĐ!U364,NĐ!AA364,NĐ!AG364,NĐ!AM364))=8)*(CHOOSE({1,2,3,4},NĐ!X364,NĐ!AD364,NĐ!AJ364,NĐ!AP364)))</f>
        <v>0</v>
      </c>
      <c r="I364">
        <f>SUMPRODUCT((MONTH(CHOOSE({1,2,3,4},NĐ!U364,NĐ!AA364,NĐ!AG364,NĐ!AM364))=9)*(CHOOSE({1,2,3,4},NĐ!X364,NĐ!AD364,NĐ!AJ364,NĐ!AP364)))</f>
        <v>0</v>
      </c>
      <c r="J364">
        <f>SUMPRODUCT((MONTH(CHOOSE({1,2,3,4},NĐ!U364,NĐ!AA364,NĐ!AG364,NĐ!AM364))=10)*(CHOOSE({1,2,3,4},NĐ!X364,NĐ!AD364,NĐ!AJ364,NĐ!AP364)))</f>
        <v>0</v>
      </c>
      <c r="K364">
        <f>SUMPRODUCT((MONTH(CHOOSE({1,2,3,4},NĐ!U364,NĐ!AA364,NĐ!AG364,NĐ!AM364))=11)*(CHOOSE({1,2,3,4},NĐ!X364,NĐ!AD364,NĐ!AJ364,NĐ!AP364)))</f>
        <v>0</v>
      </c>
      <c r="L364">
        <f>SUMPRODUCT((MONTH(CHOOSE({1,2,3,4},NĐ!U364,NĐ!AA364,NĐ!AG364,NĐ!AM364))=12)*(CHOOSE({1,2,3,4},NĐ!X364,NĐ!AD364,NĐ!AJ364,NĐ!AP364)))</f>
        <v>0</v>
      </c>
    </row>
    <row r="365" spans="1:12">
      <c r="A365">
        <f>SUMPRODUCT((MONTH(CHOOSE({1,2,3,4},NĐ!U365,NĐ!AA365,NĐ!AG365,NĐ!AM365))=1)*(CHOOSE({1,2,3,4},NĐ!X365,NĐ!AD365,NĐ!AJ365,NĐ!AP365)))</f>
        <v>0</v>
      </c>
      <c r="B365">
        <f>SUMPRODUCT((MONTH(CHOOSE({1,2,3,4},NĐ!U365,NĐ!AA365,NĐ!AG365,NĐ!AM365))=2)*(CHOOSE({1,2,3,4},NĐ!X365,NĐ!AD365,NĐ!AJ365,NĐ!AP365)))</f>
        <v>0</v>
      </c>
      <c r="C365">
        <f>SUMPRODUCT((MONTH(CHOOSE({1,2,3,4},NĐ!U365,NĐ!AA365,NĐ!AG365,NĐ!AM365))=3)*(CHOOSE({1,2,3,4},NĐ!X365,NĐ!AD365,NĐ!AJ365,NĐ!AP365)))</f>
        <v>0</v>
      </c>
      <c r="D365">
        <f>SUMPRODUCT((MONTH(CHOOSE({1,2,3,4},NĐ!U365,NĐ!AA365,NĐ!AG365,NĐ!AM365))=4)*(CHOOSE({1,2,3,4},NĐ!X365,NĐ!AD365,NĐ!AJ365,NĐ!AP365)))</f>
        <v>0</v>
      </c>
      <c r="E365">
        <f>SUMPRODUCT((MONTH(CHOOSE({1,2,3,4},NĐ!U365,NĐ!AA365,NĐ!AG365,NĐ!AM365))=5)*(CHOOSE({1,2,3,4},NĐ!X365,NĐ!AD365,NĐ!AJ365,NĐ!AP365)))</f>
        <v>0</v>
      </c>
      <c r="F365">
        <f>SUMPRODUCT((MONTH(CHOOSE({1,2,3,4},NĐ!U365,NĐ!AA365,NĐ!AG365,NĐ!AM365))=6)*(CHOOSE({1,2,3,4},NĐ!X365,NĐ!AD365,NĐ!AJ365,NĐ!AP365)))</f>
        <v>0</v>
      </c>
      <c r="G365">
        <f>SUMPRODUCT((MONTH(CHOOSE({1,2,3,4},NĐ!U365,NĐ!AA365,NĐ!AG365,NĐ!AM365))=7)*(CHOOSE({1,2,3,4},NĐ!X365,NĐ!AD365,NĐ!AJ365,NĐ!AP365)))</f>
        <v>0</v>
      </c>
      <c r="H365">
        <f>SUMPRODUCT((MONTH(CHOOSE({1,2,3,4},NĐ!U365,NĐ!AA365,NĐ!AG365,NĐ!AM365))=8)*(CHOOSE({1,2,3,4},NĐ!X365,NĐ!AD365,NĐ!AJ365,NĐ!AP365)))</f>
        <v>0</v>
      </c>
      <c r="I365">
        <f>SUMPRODUCT((MONTH(CHOOSE({1,2,3,4},NĐ!U365,NĐ!AA365,NĐ!AG365,NĐ!AM365))=9)*(CHOOSE({1,2,3,4},NĐ!X365,NĐ!AD365,NĐ!AJ365,NĐ!AP365)))</f>
        <v>0</v>
      </c>
      <c r="J365">
        <f>SUMPRODUCT((MONTH(CHOOSE({1,2,3,4},NĐ!U365,NĐ!AA365,NĐ!AG365,NĐ!AM365))=10)*(CHOOSE({1,2,3,4},NĐ!X365,NĐ!AD365,NĐ!AJ365,NĐ!AP365)))</f>
        <v>0</v>
      </c>
      <c r="K365">
        <f>SUMPRODUCT((MONTH(CHOOSE({1,2,3,4},NĐ!U365,NĐ!AA365,NĐ!AG365,NĐ!AM365))=11)*(CHOOSE({1,2,3,4},NĐ!X365,NĐ!AD365,NĐ!AJ365,NĐ!AP365)))</f>
        <v>0</v>
      </c>
      <c r="L365">
        <f>SUMPRODUCT((MONTH(CHOOSE({1,2,3,4},NĐ!U365,NĐ!AA365,NĐ!AG365,NĐ!AM365))=12)*(CHOOSE({1,2,3,4},NĐ!X365,NĐ!AD365,NĐ!AJ365,NĐ!AP365)))</f>
        <v>0</v>
      </c>
    </row>
    <row r="366" spans="1:12">
      <c r="A366">
        <f>SUMPRODUCT((MONTH(CHOOSE({1,2,3,4},NĐ!U366,NĐ!AA366,NĐ!AG366,NĐ!AM366))=1)*(CHOOSE({1,2,3,4},NĐ!X366,NĐ!AD366,NĐ!AJ366,NĐ!AP366)))</f>
        <v>0</v>
      </c>
      <c r="B366">
        <f>SUMPRODUCT((MONTH(CHOOSE({1,2,3,4},NĐ!U366,NĐ!AA366,NĐ!AG366,NĐ!AM366))=2)*(CHOOSE({1,2,3,4},NĐ!X366,NĐ!AD366,NĐ!AJ366,NĐ!AP366)))</f>
        <v>0</v>
      </c>
      <c r="C366">
        <f>SUMPRODUCT((MONTH(CHOOSE({1,2,3,4},NĐ!U366,NĐ!AA366,NĐ!AG366,NĐ!AM366))=3)*(CHOOSE({1,2,3,4},NĐ!X366,NĐ!AD366,NĐ!AJ366,NĐ!AP366)))</f>
        <v>0</v>
      </c>
      <c r="D366">
        <f>SUMPRODUCT((MONTH(CHOOSE({1,2,3,4},NĐ!U366,NĐ!AA366,NĐ!AG366,NĐ!AM366))=4)*(CHOOSE({1,2,3,4},NĐ!X366,NĐ!AD366,NĐ!AJ366,NĐ!AP366)))</f>
        <v>0</v>
      </c>
      <c r="E366">
        <f>SUMPRODUCT((MONTH(CHOOSE({1,2,3,4},NĐ!U366,NĐ!AA366,NĐ!AG366,NĐ!AM366))=5)*(CHOOSE({1,2,3,4},NĐ!X366,NĐ!AD366,NĐ!AJ366,NĐ!AP366)))</f>
        <v>0</v>
      </c>
      <c r="F366">
        <f>SUMPRODUCT((MONTH(CHOOSE({1,2,3,4},NĐ!U366,NĐ!AA366,NĐ!AG366,NĐ!AM366))=6)*(CHOOSE({1,2,3,4},NĐ!X366,NĐ!AD366,NĐ!AJ366,NĐ!AP366)))</f>
        <v>0</v>
      </c>
      <c r="G366">
        <f>SUMPRODUCT((MONTH(CHOOSE({1,2,3,4},NĐ!U366,NĐ!AA366,NĐ!AG366,NĐ!AM366))=7)*(CHOOSE({1,2,3,4},NĐ!X366,NĐ!AD366,NĐ!AJ366,NĐ!AP366)))</f>
        <v>0</v>
      </c>
      <c r="H366">
        <f>SUMPRODUCT((MONTH(CHOOSE({1,2,3,4},NĐ!U366,NĐ!AA366,NĐ!AG366,NĐ!AM366))=8)*(CHOOSE({1,2,3,4},NĐ!X366,NĐ!AD366,NĐ!AJ366,NĐ!AP366)))</f>
        <v>0</v>
      </c>
      <c r="I366">
        <f>SUMPRODUCT((MONTH(CHOOSE({1,2,3,4},NĐ!U366,NĐ!AA366,NĐ!AG366,NĐ!AM366))=9)*(CHOOSE({1,2,3,4},NĐ!X366,NĐ!AD366,NĐ!AJ366,NĐ!AP366)))</f>
        <v>0</v>
      </c>
      <c r="J366">
        <f>SUMPRODUCT((MONTH(CHOOSE({1,2,3,4},NĐ!U366,NĐ!AA366,NĐ!AG366,NĐ!AM366))=10)*(CHOOSE({1,2,3,4},NĐ!X366,NĐ!AD366,NĐ!AJ366,NĐ!AP366)))</f>
        <v>0</v>
      </c>
      <c r="K366">
        <f>SUMPRODUCT((MONTH(CHOOSE({1,2,3,4},NĐ!U366,NĐ!AA366,NĐ!AG366,NĐ!AM366))=11)*(CHOOSE({1,2,3,4},NĐ!X366,NĐ!AD366,NĐ!AJ366,NĐ!AP366)))</f>
        <v>0</v>
      </c>
      <c r="L366">
        <f>SUMPRODUCT((MONTH(CHOOSE({1,2,3,4},NĐ!U366,NĐ!AA366,NĐ!AG366,NĐ!AM366))=12)*(CHOOSE({1,2,3,4},NĐ!X366,NĐ!AD366,NĐ!AJ366,NĐ!AP366)))</f>
        <v>0</v>
      </c>
    </row>
    <row r="367" spans="1:12">
      <c r="A367">
        <f>SUMPRODUCT((MONTH(CHOOSE({1,2,3,4},NĐ!U367,NĐ!AA367,NĐ!AG367,NĐ!AM367))=1)*(CHOOSE({1,2,3,4},NĐ!X367,NĐ!AD367,NĐ!AJ367,NĐ!AP367)))</f>
        <v>0</v>
      </c>
      <c r="B367">
        <f>SUMPRODUCT((MONTH(CHOOSE({1,2,3,4},NĐ!U367,NĐ!AA367,NĐ!AG367,NĐ!AM367))=2)*(CHOOSE({1,2,3,4},NĐ!X367,NĐ!AD367,NĐ!AJ367,NĐ!AP367)))</f>
        <v>0</v>
      </c>
      <c r="C367">
        <f>SUMPRODUCT((MONTH(CHOOSE({1,2,3,4},NĐ!U367,NĐ!AA367,NĐ!AG367,NĐ!AM367))=3)*(CHOOSE({1,2,3,4},NĐ!X367,NĐ!AD367,NĐ!AJ367,NĐ!AP367)))</f>
        <v>0</v>
      </c>
      <c r="D367">
        <f>SUMPRODUCT((MONTH(CHOOSE({1,2,3,4},NĐ!U367,NĐ!AA367,NĐ!AG367,NĐ!AM367))=4)*(CHOOSE({1,2,3,4},NĐ!X367,NĐ!AD367,NĐ!AJ367,NĐ!AP367)))</f>
        <v>0</v>
      </c>
      <c r="E367">
        <f>SUMPRODUCT((MONTH(CHOOSE({1,2,3,4},NĐ!U367,NĐ!AA367,NĐ!AG367,NĐ!AM367))=5)*(CHOOSE({1,2,3,4},NĐ!X367,NĐ!AD367,NĐ!AJ367,NĐ!AP367)))</f>
        <v>0</v>
      </c>
      <c r="F367">
        <f>SUMPRODUCT((MONTH(CHOOSE({1,2,3,4},NĐ!U367,NĐ!AA367,NĐ!AG367,NĐ!AM367))=6)*(CHOOSE({1,2,3,4},NĐ!X367,NĐ!AD367,NĐ!AJ367,NĐ!AP367)))</f>
        <v>0</v>
      </c>
      <c r="G367">
        <f>SUMPRODUCT((MONTH(CHOOSE({1,2,3,4},NĐ!U367,NĐ!AA367,NĐ!AG367,NĐ!AM367))=7)*(CHOOSE({1,2,3,4},NĐ!X367,NĐ!AD367,NĐ!AJ367,NĐ!AP367)))</f>
        <v>0</v>
      </c>
      <c r="H367">
        <f>SUMPRODUCT((MONTH(CHOOSE({1,2,3,4},NĐ!U367,NĐ!AA367,NĐ!AG367,NĐ!AM367))=8)*(CHOOSE({1,2,3,4},NĐ!X367,NĐ!AD367,NĐ!AJ367,NĐ!AP367)))</f>
        <v>0</v>
      </c>
      <c r="I367">
        <f>SUMPRODUCT((MONTH(CHOOSE({1,2,3,4},NĐ!U367,NĐ!AA367,NĐ!AG367,NĐ!AM367))=9)*(CHOOSE({1,2,3,4},NĐ!X367,NĐ!AD367,NĐ!AJ367,NĐ!AP367)))</f>
        <v>0</v>
      </c>
      <c r="J367">
        <f>SUMPRODUCT((MONTH(CHOOSE({1,2,3,4},NĐ!U367,NĐ!AA367,NĐ!AG367,NĐ!AM367))=10)*(CHOOSE({1,2,3,4},NĐ!X367,NĐ!AD367,NĐ!AJ367,NĐ!AP367)))</f>
        <v>0</v>
      </c>
      <c r="K367">
        <f>SUMPRODUCT((MONTH(CHOOSE({1,2,3,4},NĐ!U367,NĐ!AA367,NĐ!AG367,NĐ!AM367))=11)*(CHOOSE({1,2,3,4},NĐ!X367,NĐ!AD367,NĐ!AJ367,NĐ!AP367)))</f>
        <v>0</v>
      </c>
      <c r="L367">
        <f>SUMPRODUCT((MONTH(CHOOSE({1,2,3,4},NĐ!U367,NĐ!AA367,NĐ!AG367,NĐ!AM367))=12)*(CHOOSE({1,2,3,4},NĐ!X367,NĐ!AD367,NĐ!AJ367,NĐ!AP367)))</f>
        <v>0</v>
      </c>
    </row>
    <row r="368" spans="1:12">
      <c r="A368">
        <f>SUMPRODUCT((MONTH(CHOOSE({1,2,3,4},NĐ!U368,NĐ!AA368,NĐ!AG368,NĐ!AM368))=1)*(CHOOSE({1,2,3,4},NĐ!X368,NĐ!AD368,NĐ!AJ368,NĐ!AP368)))</f>
        <v>0</v>
      </c>
      <c r="B368">
        <f>SUMPRODUCT((MONTH(CHOOSE({1,2,3,4},NĐ!U368,NĐ!AA368,NĐ!AG368,NĐ!AM368))=2)*(CHOOSE({1,2,3,4},NĐ!X368,NĐ!AD368,NĐ!AJ368,NĐ!AP368)))</f>
        <v>0</v>
      </c>
      <c r="C368">
        <f>SUMPRODUCT((MONTH(CHOOSE({1,2,3,4},NĐ!U368,NĐ!AA368,NĐ!AG368,NĐ!AM368))=3)*(CHOOSE({1,2,3,4},NĐ!X368,NĐ!AD368,NĐ!AJ368,NĐ!AP368)))</f>
        <v>0</v>
      </c>
      <c r="D368">
        <f>SUMPRODUCT((MONTH(CHOOSE({1,2,3,4},NĐ!U368,NĐ!AA368,NĐ!AG368,NĐ!AM368))=4)*(CHOOSE({1,2,3,4},NĐ!X368,NĐ!AD368,NĐ!AJ368,NĐ!AP368)))</f>
        <v>0</v>
      </c>
      <c r="E368">
        <f>SUMPRODUCT((MONTH(CHOOSE({1,2,3,4},NĐ!U368,NĐ!AA368,NĐ!AG368,NĐ!AM368))=5)*(CHOOSE({1,2,3,4},NĐ!X368,NĐ!AD368,NĐ!AJ368,NĐ!AP368)))</f>
        <v>0</v>
      </c>
      <c r="F368">
        <f>SUMPRODUCT((MONTH(CHOOSE({1,2,3,4},NĐ!U368,NĐ!AA368,NĐ!AG368,NĐ!AM368))=6)*(CHOOSE({1,2,3,4},NĐ!X368,NĐ!AD368,NĐ!AJ368,NĐ!AP368)))</f>
        <v>0</v>
      </c>
      <c r="G368">
        <f>SUMPRODUCT((MONTH(CHOOSE({1,2,3,4},NĐ!U368,NĐ!AA368,NĐ!AG368,NĐ!AM368))=7)*(CHOOSE({1,2,3,4},NĐ!X368,NĐ!AD368,NĐ!AJ368,NĐ!AP368)))</f>
        <v>0</v>
      </c>
      <c r="H368">
        <f>SUMPRODUCT((MONTH(CHOOSE({1,2,3,4},NĐ!U368,NĐ!AA368,NĐ!AG368,NĐ!AM368))=8)*(CHOOSE({1,2,3,4},NĐ!X368,NĐ!AD368,NĐ!AJ368,NĐ!AP368)))</f>
        <v>0</v>
      </c>
      <c r="I368">
        <f>SUMPRODUCT((MONTH(CHOOSE({1,2,3,4},NĐ!U368,NĐ!AA368,NĐ!AG368,NĐ!AM368))=9)*(CHOOSE({1,2,3,4},NĐ!X368,NĐ!AD368,NĐ!AJ368,NĐ!AP368)))</f>
        <v>0</v>
      </c>
      <c r="J368">
        <f>SUMPRODUCT((MONTH(CHOOSE({1,2,3,4},NĐ!U368,NĐ!AA368,NĐ!AG368,NĐ!AM368))=10)*(CHOOSE({1,2,3,4},NĐ!X368,NĐ!AD368,NĐ!AJ368,NĐ!AP368)))</f>
        <v>0</v>
      </c>
      <c r="K368">
        <f>SUMPRODUCT((MONTH(CHOOSE({1,2,3,4},NĐ!U368,NĐ!AA368,NĐ!AG368,NĐ!AM368))=11)*(CHOOSE({1,2,3,4},NĐ!X368,NĐ!AD368,NĐ!AJ368,NĐ!AP368)))</f>
        <v>0</v>
      </c>
      <c r="L368">
        <f>SUMPRODUCT((MONTH(CHOOSE({1,2,3,4},NĐ!U368,NĐ!AA368,NĐ!AG368,NĐ!AM368))=12)*(CHOOSE({1,2,3,4},NĐ!X368,NĐ!AD368,NĐ!AJ368,NĐ!AP368)))</f>
        <v>0</v>
      </c>
    </row>
    <row r="369" spans="1:12">
      <c r="A369">
        <f>SUMPRODUCT((MONTH(CHOOSE({1,2,3,4},NĐ!U369,NĐ!AA369,NĐ!AG369,NĐ!AM369))=1)*(CHOOSE({1,2,3,4},NĐ!X369,NĐ!AD369,NĐ!AJ369,NĐ!AP369)))</f>
        <v>0</v>
      </c>
      <c r="B369">
        <f>SUMPRODUCT((MONTH(CHOOSE({1,2,3,4},NĐ!U369,NĐ!AA369,NĐ!AG369,NĐ!AM369))=2)*(CHOOSE({1,2,3,4},NĐ!X369,NĐ!AD369,NĐ!AJ369,NĐ!AP369)))</f>
        <v>0</v>
      </c>
      <c r="C369">
        <f>SUMPRODUCT((MONTH(CHOOSE({1,2,3,4},NĐ!U369,NĐ!AA369,NĐ!AG369,NĐ!AM369))=3)*(CHOOSE({1,2,3,4},NĐ!X369,NĐ!AD369,NĐ!AJ369,NĐ!AP369)))</f>
        <v>0</v>
      </c>
      <c r="D369">
        <f>SUMPRODUCT((MONTH(CHOOSE({1,2,3,4},NĐ!U369,NĐ!AA369,NĐ!AG369,NĐ!AM369))=4)*(CHOOSE({1,2,3,4},NĐ!X369,NĐ!AD369,NĐ!AJ369,NĐ!AP369)))</f>
        <v>0</v>
      </c>
      <c r="E369">
        <f>SUMPRODUCT((MONTH(CHOOSE({1,2,3,4},NĐ!U369,NĐ!AA369,NĐ!AG369,NĐ!AM369))=5)*(CHOOSE({1,2,3,4},NĐ!X369,NĐ!AD369,NĐ!AJ369,NĐ!AP369)))</f>
        <v>0</v>
      </c>
      <c r="F369">
        <f>SUMPRODUCT((MONTH(CHOOSE({1,2,3,4},NĐ!U369,NĐ!AA369,NĐ!AG369,NĐ!AM369))=6)*(CHOOSE({1,2,3,4},NĐ!X369,NĐ!AD369,NĐ!AJ369,NĐ!AP369)))</f>
        <v>0</v>
      </c>
      <c r="G369">
        <f>SUMPRODUCT((MONTH(CHOOSE({1,2,3,4},NĐ!U369,NĐ!AA369,NĐ!AG369,NĐ!AM369))=7)*(CHOOSE({1,2,3,4},NĐ!X369,NĐ!AD369,NĐ!AJ369,NĐ!AP369)))</f>
        <v>0</v>
      </c>
      <c r="H369">
        <f>SUMPRODUCT((MONTH(CHOOSE({1,2,3,4},NĐ!U369,NĐ!AA369,NĐ!AG369,NĐ!AM369))=8)*(CHOOSE({1,2,3,4},NĐ!X369,NĐ!AD369,NĐ!AJ369,NĐ!AP369)))</f>
        <v>0</v>
      </c>
      <c r="I369">
        <f>SUMPRODUCT((MONTH(CHOOSE({1,2,3,4},NĐ!U369,NĐ!AA369,NĐ!AG369,NĐ!AM369))=9)*(CHOOSE({1,2,3,4},NĐ!X369,NĐ!AD369,NĐ!AJ369,NĐ!AP369)))</f>
        <v>0</v>
      </c>
      <c r="J369">
        <f>SUMPRODUCT((MONTH(CHOOSE({1,2,3,4},NĐ!U369,NĐ!AA369,NĐ!AG369,NĐ!AM369))=10)*(CHOOSE({1,2,3,4},NĐ!X369,NĐ!AD369,NĐ!AJ369,NĐ!AP369)))</f>
        <v>0</v>
      </c>
      <c r="K369">
        <f>SUMPRODUCT((MONTH(CHOOSE({1,2,3,4},NĐ!U369,NĐ!AA369,NĐ!AG369,NĐ!AM369))=11)*(CHOOSE({1,2,3,4},NĐ!X369,NĐ!AD369,NĐ!AJ369,NĐ!AP369)))</f>
        <v>0</v>
      </c>
      <c r="L369">
        <f>SUMPRODUCT((MONTH(CHOOSE({1,2,3,4},NĐ!U369,NĐ!AA369,NĐ!AG369,NĐ!AM369))=12)*(CHOOSE({1,2,3,4},NĐ!X369,NĐ!AD369,NĐ!AJ369,NĐ!AP369)))</f>
        <v>0</v>
      </c>
    </row>
    <row r="370" spans="1:12">
      <c r="A370">
        <f>SUMPRODUCT((MONTH(CHOOSE({1,2,3,4},NĐ!U370,NĐ!AA370,NĐ!AG370,NĐ!AM370))=1)*(CHOOSE({1,2,3,4},NĐ!X370,NĐ!AD370,NĐ!AJ370,NĐ!AP370)))</f>
        <v>0</v>
      </c>
      <c r="B370">
        <f>SUMPRODUCT((MONTH(CHOOSE({1,2,3,4},NĐ!U370,NĐ!AA370,NĐ!AG370,NĐ!AM370))=2)*(CHOOSE({1,2,3,4},NĐ!X370,NĐ!AD370,NĐ!AJ370,NĐ!AP370)))</f>
        <v>0</v>
      </c>
      <c r="C370">
        <f>SUMPRODUCT((MONTH(CHOOSE({1,2,3,4},NĐ!U370,NĐ!AA370,NĐ!AG370,NĐ!AM370))=3)*(CHOOSE({1,2,3,4},NĐ!X370,NĐ!AD370,NĐ!AJ370,NĐ!AP370)))</f>
        <v>0</v>
      </c>
      <c r="D370">
        <f>SUMPRODUCT((MONTH(CHOOSE({1,2,3,4},NĐ!U370,NĐ!AA370,NĐ!AG370,NĐ!AM370))=4)*(CHOOSE({1,2,3,4},NĐ!X370,NĐ!AD370,NĐ!AJ370,NĐ!AP370)))</f>
        <v>0</v>
      </c>
      <c r="E370">
        <f>SUMPRODUCT((MONTH(CHOOSE({1,2,3,4},NĐ!U370,NĐ!AA370,NĐ!AG370,NĐ!AM370))=5)*(CHOOSE({1,2,3,4},NĐ!X370,NĐ!AD370,NĐ!AJ370,NĐ!AP370)))</f>
        <v>0</v>
      </c>
      <c r="F370">
        <f>SUMPRODUCT((MONTH(CHOOSE({1,2,3,4},NĐ!U370,NĐ!AA370,NĐ!AG370,NĐ!AM370))=6)*(CHOOSE({1,2,3,4},NĐ!X370,NĐ!AD370,NĐ!AJ370,NĐ!AP370)))</f>
        <v>0</v>
      </c>
      <c r="G370">
        <f>SUMPRODUCT((MONTH(CHOOSE({1,2,3,4},NĐ!U370,NĐ!AA370,NĐ!AG370,NĐ!AM370))=7)*(CHOOSE({1,2,3,4},NĐ!X370,NĐ!AD370,NĐ!AJ370,NĐ!AP370)))</f>
        <v>0</v>
      </c>
      <c r="H370">
        <f>SUMPRODUCT((MONTH(CHOOSE({1,2,3,4},NĐ!U370,NĐ!AA370,NĐ!AG370,NĐ!AM370))=8)*(CHOOSE({1,2,3,4},NĐ!X370,NĐ!AD370,NĐ!AJ370,NĐ!AP370)))</f>
        <v>0</v>
      </c>
      <c r="I370">
        <f>SUMPRODUCT((MONTH(CHOOSE({1,2,3,4},NĐ!U370,NĐ!AA370,NĐ!AG370,NĐ!AM370))=9)*(CHOOSE({1,2,3,4},NĐ!X370,NĐ!AD370,NĐ!AJ370,NĐ!AP370)))</f>
        <v>0</v>
      </c>
      <c r="J370">
        <f>SUMPRODUCT((MONTH(CHOOSE({1,2,3,4},NĐ!U370,NĐ!AA370,NĐ!AG370,NĐ!AM370))=10)*(CHOOSE({1,2,3,4},NĐ!X370,NĐ!AD370,NĐ!AJ370,NĐ!AP370)))</f>
        <v>0</v>
      </c>
      <c r="K370">
        <f>SUMPRODUCT((MONTH(CHOOSE({1,2,3,4},NĐ!U370,NĐ!AA370,NĐ!AG370,NĐ!AM370))=11)*(CHOOSE({1,2,3,4},NĐ!X370,NĐ!AD370,NĐ!AJ370,NĐ!AP370)))</f>
        <v>0</v>
      </c>
      <c r="L370">
        <f>SUMPRODUCT((MONTH(CHOOSE({1,2,3,4},NĐ!U370,NĐ!AA370,NĐ!AG370,NĐ!AM370))=12)*(CHOOSE({1,2,3,4},NĐ!X370,NĐ!AD370,NĐ!AJ370,NĐ!AP370)))</f>
        <v>0</v>
      </c>
    </row>
    <row r="371" spans="1:12">
      <c r="A371">
        <f>SUMPRODUCT((MONTH(CHOOSE({1,2,3,4},NĐ!U371,NĐ!AA371,NĐ!AG371,NĐ!AM371))=1)*(CHOOSE({1,2,3,4},NĐ!X371,NĐ!AD371,NĐ!AJ371,NĐ!AP371)))</f>
        <v>0</v>
      </c>
      <c r="B371">
        <f>SUMPRODUCT((MONTH(CHOOSE({1,2,3,4},NĐ!U371,NĐ!AA371,NĐ!AG371,NĐ!AM371))=2)*(CHOOSE({1,2,3,4},NĐ!X371,NĐ!AD371,NĐ!AJ371,NĐ!AP371)))</f>
        <v>0</v>
      </c>
      <c r="C371">
        <f>SUMPRODUCT((MONTH(CHOOSE({1,2,3,4},NĐ!U371,NĐ!AA371,NĐ!AG371,NĐ!AM371))=3)*(CHOOSE({1,2,3,4},NĐ!X371,NĐ!AD371,NĐ!AJ371,NĐ!AP371)))</f>
        <v>0</v>
      </c>
      <c r="D371">
        <f>SUMPRODUCT((MONTH(CHOOSE({1,2,3,4},NĐ!U371,NĐ!AA371,NĐ!AG371,NĐ!AM371))=4)*(CHOOSE({1,2,3,4},NĐ!X371,NĐ!AD371,NĐ!AJ371,NĐ!AP371)))</f>
        <v>0</v>
      </c>
      <c r="E371">
        <f>SUMPRODUCT((MONTH(CHOOSE({1,2,3,4},NĐ!U371,NĐ!AA371,NĐ!AG371,NĐ!AM371))=5)*(CHOOSE({1,2,3,4},NĐ!X371,NĐ!AD371,NĐ!AJ371,NĐ!AP371)))</f>
        <v>0</v>
      </c>
      <c r="F371">
        <f>SUMPRODUCT((MONTH(CHOOSE({1,2,3,4},NĐ!U371,NĐ!AA371,NĐ!AG371,NĐ!AM371))=6)*(CHOOSE({1,2,3,4},NĐ!X371,NĐ!AD371,NĐ!AJ371,NĐ!AP371)))</f>
        <v>0</v>
      </c>
      <c r="G371">
        <f>SUMPRODUCT((MONTH(CHOOSE({1,2,3,4},NĐ!U371,NĐ!AA371,NĐ!AG371,NĐ!AM371))=7)*(CHOOSE({1,2,3,4},NĐ!X371,NĐ!AD371,NĐ!AJ371,NĐ!AP371)))</f>
        <v>0</v>
      </c>
      <c r="H371">
        <f>SUMPRODUCT((MONTH(CHOOSE({1,2,3,4},NĐ!U371,NĐ!AA371,NĐ!AG371,NĐ!AM371))=8)*(CHOOSE({1,2,3,4},NĐ!X371,NĐ!AD371,NĐ!AJ371,NĐ!AP371)))</f>
        <v>0</v>
      </c>
      <c r="I371">
        <f>SUMPRODUCT((MONTH(CHOOSE({1,2,3,4},NĐ!U371,NĐ!AA371,NĐ!AG371,NĐ!AM371))=9)*(CHOOSE({1,2,3,4},NĐ!X371,NĐ!AD371,NĐ!AJ371,NĐ!AP371)))</f>
        <v>0</v>
      </c>
      <c r="J371">
        <f>SUMPRODUCT((MONTH(CHOOSE({1,2,3,4},NĐ!U371,NĐ!AA371,NĐ!AG371,NĐ!AM371))=10)*(CHOOSE({1,2,3,4},NĐ!X371,NĐ!AD371,NĐ!AJ371,NĐ!AP371)))</f>
        <v>0</v>
      </c>
      <c r="K371">
        <f>SUMPRODUCT((MONTH(CHOOSE({1,2,3,4},NĐ!U371,NĐ!AA371,NĐ!AG371,NĐ!AM371))=11)*(CHOOSE({1,2,3,4},NĐ!X371,NĐ!AD371,NĐ!AJ371,NĐ!AP371)))</f>
        <v>0</v>
      </c>
      <c r="L371">
        <f>SUMPRODUCT((MONTH(CHOOSE({1,2,3,4},NĐ!U371,NĐ!AA371,NĐ!AG371,NĐ!AM371))=12)*(CHOOSE({1,2,3,4},NĐ!X371,NĐ!AD371,NĐ!AJ371,NĐ!AP371)))</f>
        <v>0</v>
      </c>
    </row>
    <row r="372" spans="1:12">
      <c r="A372">
        <f>SUMPRODUCT((MONTH(CHOOSE({1,2,3,4},NĐ!U372,NĐ!AA372,NĐ!AG372,NĐ!AM372))=1)*(CHOOSE({1,2,3,4},NĐ!X372,NĐ!AD372,NĐ!AJ372,NĐ!AP372)))</f>
        <v>0</v>
      </c>
      <c r="B372">
        <f>SUMPRODUCT((MONTH(CHOOSE({1,2,3,4},NĐ!U372,NĐ!AA372,NĐ!AG372,NĐ!AM372))=2)*(CHOOSE({1,2,3,4},NĐ!X372,NĐ!AD372,NĐ!AJ372,NĐ!AP372)))</f>
        <v>0</v>
      </c>
      <c r="C372">
        <f>SUMPRODUCT((MONTH(CHOOSE({1,2,3,4},NĐ!U372,NĐ!AA372,NĐ!AG372,NĐ!AM372))=3)*(CHOOSE({1,2,3,4},NĐ!X372,NĐ!AD372,NĐ!AJ372,NĐ!AP372)))</f>
        <v>0</v>
      </c>
      <c r="D372">
        <f>SUMPRODUCT((MONTH(CHOOSE({1,2,3,4},NĐ!U372,NĐ!AA372,NĐ!AG372,NĐ!AM372))=4)*(CHOOSE({1,2,3,4},NĐ!X372,NĐ!AD372,NĐ!AJ372,NĐ!AP372)))</f>
        <v>0</v>
      </c>
      <c r="E372">
        <f>SUMPRODUCT((MONTH(CHOOSE({1,2,3,4},NĐ!U372,NĐ!AA372,NĐ!AG372,NĐ!AM372))=5)*(CHOOSE({1,2,3,4},NĐ!X372,NĐ!AD372,NĐ!AJ372,NĐ!AP372)))</f>
        <v>0</v>
      </c>
      <c r="F372">
        <f>SUMPRODUCT((MONTH(CHOOSE({1,2,3,4},NĐ!U372,NĐ!AA372,NĐ!AG372,NĐ!AM372))=6)*(CHOOSE({1,2,3,4},NĐ!X372,NĐ!AD372,NĐ!AJ372,NĐ!AP372)))</f>
        <v>0</v>
      </c>
      <c r="G372">
        <f>SUMPRODUCT((MONTH(CHOOSE({1,2,3,4},NĐ!U372,NĐ!AA372,NĐ!AG372,NĐ!AM372))=7)*(CHOOSE({1,2,3,4},NĐ!X372,NĐ!AD372,NĐ!AJ372,NĐ!AP372)))</f>
        <v>0</v>
      </c>
      <c r="H372">
        <f>SUMPRODUCT((MONTH(CHOOSE({1,2,3,4},NĐ!U372,NĐ!AA372,NĐ!AG372,NĐ!AM372))=8)*(CHOOSE({1,2,3,4},NĐ!X372,NĐ!AD372,NĐ!AJ372,NĐ!AP372)))</f>
        <v>0</v>
      </c>
      <c r="I372">
        <f>SUMPRODUCT((MONTH(CHOOSE({1,2,3,4},NĐ!U372,NĐ!AA372,NĐ!AG372,NĐ!AM372))=9)*(CHOOSE({1,2,3,4},NĐ!X372,NĐ!AD372,NĐ!AJ372,NĐ!AP372)))</f>
        <v>0</v>
      </c>
      <c r="J372">
        <f>SUMPRODUCT((MONTH(CHOOSE({1,2,3,4},NĐ!U372,NĐ!AA372,NĐ!AG372,NĐ!AM372))=10)*(CHOOSE({1,2,3,4},NĐ!X372,NĐ!AD372,NĐ!AJ372,NĐ!AP372)))</f>
        <v>0</v>
      </c>
      <c r="K372">
        <f>SUMPRODUCT((MONTH(CHOOSE({1,2,3,4},NĐ!U372,NĐ!AA372,NĐ!AG372,NĐ!AM372))=11)*(CHOOSE({1,2,3,4},NĐ!X372,NĐ!AD372,NĐ!AJ372,NĐ!AP372)))</f>
        <v>0</v>
      </c>
      <c r="L372">
        <f>SUMPRODUCT((MONTH(CHOOSE({1,2,3,4},NĐ!U372,NĐ!AA372,NĐ!AG372,NĐ!AM372))=12)*(CHOOSE({1,2,3,4},NĐ!X372,NĐ!AD372,NĐ!AJ372,NĐ!AP372)))</f>
        <v>0</v>
      </c>
    </row>
    <row r="373" spans="1:12">
      <c r="A373">
        <f>SUMPRODUCT((MONTH(CHOOSE({1,2,3,4},NĐ!U373,NĐ!AA373,NĐ!AG373,NĐ!AM373))=1)*(CHOOSE({1,2,3,4},NĐ!X373,NĐ!AD373,NĐ!AJ373,NĐ!AP373)))</f>
        <v>0</v>
      </c>
      <c r="B373">
        <f>SUMPRODUCT((MONTH(CHOOSE({1,2,3,4},NĐ!U373,NĐ!AA373,NĐ!AG373,NĐ!AM373))=2)*(CHOOSE({1,2,3,4},NĐ!X373,NĐ!AD373,NĐ!AJ373,NĐ!AP373)))</f>
        <v>0</v>
      </c>
      <c r="C373">
        <f>SUMPRODUCT((MONTH(CHOOSE({1,2,3,4},NĐ!U373,NĐ!AA373,NĐ!AG373,NĐ!AM373))=3)*(CHOOSE({1,2,3,4},NĐ!X373,NĐ!AD373,NĐ!AJ373,NĐ!AP373)))</f>
        <v>0</v>
      </c>
      <c r="D373">
        <f>SUMPRODUCT((MONTH(CHOOSE({1,2,3,4},NĐ!U373,NĐ!AA373,NĐ!AG373,NĐ!AM373))=4)*(CHOOSE({1,2,3,4},NĐ!X373,NĐ!AD373,NĐ!AJ373,NĐ!AP373)))</f>
        <v>0</v>
      </c>
      <c r="E373">
        <f>SUMPRODUCT((MONTH(CHOOSE({1,2,3,4},NĐ!U373,NĐ!AA373,NĐ!AG373,NĐ!AM373))=5)*(CHOOSE({1,2,3,4},NĐ!X373,NĐ!AD373,NĐ!AJ373,NĐ!AP373)))</f>
        <v>0</v>
      </c>
      <c r="F373">
        <f>SUMPRODUCT((MONTH(CHOOSE({1,2,3,4},NĐ!U373,NĐ!AA373,NĐ!AG373,NĐ!AM373))=6)*(CHOOSE({1,2,3,4},NĐ!X373,NĐ!AD373,NĐ!AJ373,NĐ!AP373)))</f>
        <v>0</v>
      </c>
      <c r="G373">
        <f>SUMPRODUCT((MONTH(CHOOSE({1,2,3,4},NĐ!U373,NĐ!AA373,NĐ!AG373,NĐ!AM373))=7)*(CHOOSE({1,2,3,4},NĐ!X373,NĐ!AD373,NĐ!AJ373,NĐ!AP373)))</f>
        <v>0</v>
      </c>
      <c r="H373">
        <f>SUMPRODUCT((MONTH(CHOOSE({1,2,3,4},NĐ!U373,NĐ!AA373,NĐ!AG373,NĐ!AM373))=8)*(CHOOSE({1,2,3,4},NĐ!X373,NĐ!AD373,NĐ!AJ373,NĐ!AP373)))</f>
        <v>0</v>
      </c>
      <c r="I373">
        <f>SUMPRODUCT((MONTH(CHOOSE({1,2,3,4},NĐ!U373,NĐ!AA373,NĐ!AG373,NĐ!AM373))=9)*(CHOOSE({1,2,3,4},NĐ!X373,NĐ!AD373,NĐ!AJ373,NĐ!AP373)))</f>
        <v>0</v>
      </c>
      <c r="J373">
        <f>SUMPRODUCT((MONTH(CHOOSE({1,2,3,4},NĐ!U373,NĐ!AA373,NĐ!AG373,NĐ!AM373))=10)*(CHOOSE({1,2,3,4},NĐ!X373,NĐ!AD373,NĐ!AJ373,NĐ!AP373)))</f>
        <v>0</v>
      </c>
      <c r="K373">
        <f>SUMPRODUCT((MONTH(CHOOSE({1,2,3,4},NĐ!U373,NĐ!AA373,NĐ!AG373,NĐ!AM373))=11)*(CHOOSE({1,2,3,4},NĐ!X373,NĐ!AD373,NĐ!AJ373,NĐ!AP373)))</f>
        <v>0</v>
      </c>
      <c r="L373">
        <f>SUMPRODUCT((MONTH(CHOOSE({1,2,3,4},NĐ!U373,NĐ!AA373,NĐ!AG373,NĐ!AM373))=12)*(CHOOSE({1,2,3,4},NĐ!X373,NĐ!AD373,NĐ!AJ373,NĐ!AP373)))</f>
        <v>0</v>
      </c>
    </row>
    <row r="374" spans="1:12">
      <c r="A374">
        <f>SUMPRODUCT((MONTH(CHOOSE({1,2,3,4},NĐ!U374,NĐ!AA374,NĐ!AG374,NĐ!AM374))=1)*(CHOOSE({1,2,3,4},NĐ!X374,NĐ!AD374,NĐ!AJ374,NĐ!AP374)))</f>
        <v>0</v>
      </c>
      <c r="B374">
        <f>SUMPRODUCT((MONTH(CHOOSE({1,2,3,4},NĐ!U374,NĐ!AA374,NĐ!AG374,NĐ!AM374))=2)*(CHOOSE({1,2,3,4},NĐ!X374,NĐ!AD374,NĐ!AJ374,NĐ!AP374)))</f>
        <v>0</v>
      </c>
      <c r="C374">
        <f>SUMPRODUCT((MONTH(CHOOSE({1,2,3,4},NĐ!U374,NĐ!AA374,NĐ!AG374,NĐ!AM374))=3)*(CHOOSE({1,2,3,4},NĐ!X374,NĐ!AD374,NĐ!AJ374,NĐ!AP374)))</f>
        <v>0</v>
      </c>
      <c r="D374">
        <f>SUMPRODUCT((MONTH(CHOOSE({1,2,3,4},NĐ!U374,NĐ!AA374,NĐ!AG374,NĐ!AM374))=4)*(CHOOSE({1,2,3,4},NĐ!X374,NĐ!AD374,NĐ!AJ374,NĐ!AP374)))</f>
        <v>0</v>
      </c>
      <c r="E374">
        <f>SUMPRODUCT((MONTH(CHOOSE({1,2,3,4},NĐ!U374,NĐ!AA374,NĐ!AG374,NĐ!AM374))=5)*(CHOOSE({1,2,3,4},NĐ!X374,NĐ!AD374,NĐ!AJ374,NĐ!AP374)))</f>
        <v>0</v>
      </c>
      <c r="F374">
        <f>SUMPRODUCT((MONTH(CHOOSE({1,2,3,4},NĐ!U374,NĐ!AA374,NĐ!AG374,NĐ!AM374))=6)*(CHOOSE({1,2,3,4},NĐ!X374,NĐ!AD374,NĐ!AJ374,NĐ!AP374)))</f>
        <v>0</v>
      </c>
      <c r="G374">
        <f>SUMPRODUCT((MONTH(CHOOSE({1,2,3,4},NĐ!U374,NĐ!AA374,NĐ!AG374,NĐ!AM374))=7)*(CHOOSE({1,2,3,4},NĐ!X374,NĐ!AD374,NĐ!AJ374,NĐ!AP374)))</f>
        <v>0</v>
      </c>
      <c r="H374">
        <f>SUMPRODUCT((MONTH(CHOOSE({1,2,3,4},NĐ!U374,NĐ!AA374,NĐ!AG374,NĐ!AM374))=8)*(CHOOSE({1,2,3,4},NĐ!X374,NĐ!AD374,NĐ!AJ374,NĐ!AP374)))</f>
        <v>0</v>
      </c>
      <c r="I374">
        <f>SUMPRODUCT((MONTH(CHOOSE({1,2,3,4},NĐ!U374,NĐ!AA374,NĐ!AG374,NĐ!AM374))=9)*(CHOOSE({1,2,3,4},NĐ!X374,NĐ!AD374,NĐ!AJ374,NĐ!AP374)))</f>
        <v>0</v>
      </c>
      <c r="J374">
        <f>SUMPRODUCT((MONTH(CHOOSE({1,2,3,4},NĐ!U374,NĐ!AA374,NĐ!AG374,NĐ!AM374))=10)*(CHOOSE({1,2,3,4},NĐ!X374,NĐ!AD374,NĐ!AJ374,NĐ!AP374)))</f>
        <v>0</v>
      </c>
      <c r="K374">
        <f>SUMPRODUCT((MONTH(CHOOSE({1,2,3,4},NĐ!U374,NĐ!AA374,NĐ!AG374,NĐ!AM374))=11)*(CHOOSE({1,2,3,4},NĐ!X374,NĐ!AD374,NĐ!AJ374,NĐ!AP374)))</f>
        <v>0</v>
      </c>
      <c r="L374">
        <f>SUMPRODUCT((MONTH(CHOOSE({1,2,3,4},NĐ!U374,NĐ!AA374,NĐ!AG374,NĐ!AM374))=12)*(CHOOSE({1,2,3,4},NĐ!X374,NĐ!AD374,NĐ!AJ374,NĐ!AP374)))</f>
        <v>0</v>
      </c>
    </row>
    <row r="375" spans="1:12">
      <c r="A375">
        <f>SUMPRODUCT((MONTH(CHOOSE({1,2,3,4},NĐ!U375,NĐ!AA375,NĐ!AG375,NĐ!AM375))=1)*(CHOOSE({1,2,3,4},NĐ!X375,NĐ!AD375,NĐ!AJ375,NĐ!AP375)))</f>
        <v>0</v>
      </c>
      <c r="B375">
        <f>SUMPRODUCT((MONTH(CHOOSE({1,2,3,4},NĐ!U375,NĐ!AA375,NĐ!AG375,NĐ!AM375))=2)*(CHOOSE({1,2,3,4},NĐ!X375,NĐ!AD375,NĐ!AJ375,NĐ!AP375)))</f>
        <v>0</v>
      </c>
      <c r="C375">
        <f>SUMPRODUCT((MONTH(CHOOSE({1,2,3,4},NĐ!U375,NĐ!AA375,NĐ!AG375,NĐ!AM375))=3)*(CHOOSE({1,2,3,4},NĐ!X375,NĐ!AD375,NĐ!AJ375,NĐ!AP375)))</f>
        <v>0</v>
      </c>
      <c r="D375">
        <f>SUMPRODUCT((MONTH(CHOOSE({1,2,3,4},NĐ!U375,NĐ!AA375,NĐ!AG375,NĐ!AM375))=4)*(CHOOSE({1,2,3,4},NĐ!X375,NĐ!AD375,NĐ!AJ375,NĐ!AP375)))</f>
        <v>0</v>
      </c>
      <c r="E375">
        <f>SUMPRODUCT((MONTH(CHOOSE({1,2,3,4},NĐ!U375,NĐ!AA375,NĐ!AG375,NĐ!AM375))=5)*(CHOOSE({1,2,3,4},NĐ!X375,NĐ!AD375,NĐ!AJ375,NĐ!AP375)))</f>
        <v>0</v>
      </c>
      <c r="F375">
        <f>SUMPRODUCT((MONTH(CHOOSE({1,2,3,4},NĐ!U375,NĐ!AA375,NĐ!AG375,NĐ!AM375))=6)*(CHOOSE({1,2,3,4},NĐ!X375,NĐ!AD375,NĐ!AJ375,NĐ!AP375)))</f>
        <v>0</v>
      </c>
      <c r="G375">
        <f>SUMPRODUCT((MONTH(CHOOSE({1,2,3,4},NĐ!U375,NĐ!AA375,NĐ!AG375,NĐ!AM375))=7)*(CHOOSE({1,2,3,4},NĐ!X375,NĐ!AD375,NĐ!AJ375,NĐ!AP375)))</f>
        <v>0</v>
      </c>
      <c r="H375">
        <f>SUMPRODUCT((MONTH(CHOOSE({1,2,3,4},NĐ!U375,NĐ!AA375,NĐ!AG375,NĐ!AM375))=8)*(CHOOSE({1,2,3,4},NĐ!X375,NĐ!AD375,NĐ!AJ375,NĐ!AP375)))</f>
        <v>0</v>
      </c>
      <c r="I375">
        <f>SUMPRODUCT((MONTH(CHOOSE({1,2,3,4},NĐ!U375,NĐ!AA375,NĐ!AG375,NĐ!AM375))=9)*(CHOOSE({1,2,3,4},NĐ!X375,NĐ!AD375,NĐ!AJ375,NĐ!AP375)))</f>
        <v>0</v>
      </c>
      <c r="J375">
        <f>SUMPRODUCT((MONTH(CHOOSE({1,2,3,4},NĐ!U375,NĐ!AA375,NĐ!AG375,NĐ!AM375))=10)*(CHOOSE({1,2,3,4},NĐ!X375,NĐ!AD375,NĐ!AJ375,NĐ!AP375)))</f>
        <v>0</v>
      </c>
      <c r="K375">
        <f>SUMPRODUCT((MONTH(CHOOSE({1,2,3,4},NĐ!U375,NĐ!AA375,NĐ!AG375,NĐ!AM375))=11)*(CHOOSE({1,2,3,4},NĐ!X375,NĐ!AD375,NĐ!AJ375,NĐ!AP375)))</f>
        <v>0</v>
      </c>
      <c r="L375">
        <f>SUMPRODUCT((MONTH(CHOOSE({1,2,3,4},NĐ!U375,NĐ!AA375,NĐ!AG375,NĐ!AM375))=12)*(CHOOSE({1,2,3,4},NĐ!X375,NĐ!AD375,NĐ!AJ375,NĐ!AP375)))</f>
        <v>0</v>
      </c>
    </row>
    <row r="376" spans="1:12">
      <c r="A376">
        <f>SUMPRODUCT((MONTH(CHOOSE({1,2,3,4},NĐ!U376,NĐ!AA376,NĐ!AG376,NĐ!AM376))=1)*(CHOOSE({1,2,3,4},NĐ!X376,NĐ!AD376,NĐ!AJ376,NĐ!AP376)))</f>
        <v>0</v>
      </c>
      <c r="B376">
        <f>SUMPRODUCT((MONTH(CHOOSE({1,2,3,4},NĐ!U376,NĐ!AA376,NĐ!AG376,NĐ!AM376))=2)*(CHOOSE({1,2,3,4},NĐ!X376,NĐ!AD376,NĐ!AJ376,NĐ!AP376)))</f>
        <v>0</v>
      </c>
      <c r="C376">
        <f>SUMPRODUCT((MONTH(CHOOSE({1,2,3,4},NĐ!U376,NĐ!AA376,NĐ!AG376,NĐ!AM376))=3)*(CHOOSE({1,2,3,4},NĐ!X376,NĐ!AD376,NĐ!AJ376,NĐ!AP376)))</f>
        <v>0</v>
      </c>
      <c r="D376">
        <f>SUMPRODUCT((MONTH(CHOOSE({1,2,3,4},NĐ!U376,NĐ!AA376,NĐ!AG376,NĐ!AM376))=4)*(CHOOSE({1,2,3,4},NĐ!X376,NĐ!AD376,NĐ!AJ376,NĐ!AP376)))</f>
        <v>0</v>
      </c>
      <c r="E376">
        <f>SUMPRODUCT((MONTH(CHOOSE({1,2,3,4},NĐ!U376,NĐ!AA376,NĐ!AG376,NĐ!AM376))=5)*(CHOOSE({1,2,3,4},NĐ!X376,NĐ!AD376,NĐ!AJ376,NĐ!AP376)))</f>
        <v>0</v>
      </c>
      <c r="F376">
        <f>SUMPRODUCT((MONTH(CHOOSE({1,2,3,4},NĐ!U376,NĐ!AA376,NĐ!AG376,NĐ!AM376))=6)*(CHOOSE({1,2,3,4},NĐ!X376,NĐ!AD376,NĐ!AJ376,NĐ!AP376)))</f>
        <v>0</v>
      </c>
      <c r="G376">
        <f>SUMPRODUCT((MONTH(CHOOSE({1,2,3,4},NĐ!U376,NĐ!AA376,NĐ!AG376,NĐ!AM376))=7)*(CHOOSE({1,2,3,4},NĐ!X376,NĐ!AD376,NĐ!AJ376,NĐ!AP376)))</f>
        <v>0</v>
      </c>
      <c r="H376">
        <f>SUMPRODUCT((MONTH(CHOOSE({1,2,3,4},NĐ!U376,NĐ!AA376,NĐ!AG376,NĐ!AM376))=8)*(CHOOSE({1,2,3,4},NĐ!X376,NĐ!AD376,NĐ!AJ376,NĐ!AP376)))</f>
        <v>0</v>
      </c>
      <c r="I376">
        <f>SUMPRODUCT((MONTH(CHOOSE({1,2,3,4},NĐ!U376,NĐ!AA376,NĐ!AG376,NĐ!AM376))=9)*(CHOOSE({1,2,3,4},NĐ!X376,NĐ!AD376,NĐ!AJ376,NĐ!AP376)))</f>
        <v>0</v>
      </c>
      <c r="J376">
        <f>SUMPRODUCT((MONTH(CHOOSE({1,2,3,4},NĐ!U376,NĐ!AA376,NĐ!AG376,NĐ!AM376))=10)*(CHOOSE({1,2,3,4},NĐ!X376,NĐ!AD376,NĐ!AJ376,NĐ!AP376)))</f>
        <v>0</v>
      </c>
      <c r="K376">
        <f>SUMPRODUCT((MONTH(CHOOSE({1,2,3,4},NĐ!U376,NĐ!AA376,NĐ!AG376,NĐ!AM376))=11)*(CHOOSE({1,2,3,4},NĐ!X376,NĐ!AD376,NĐ!AJ376,NĐ!AP376)))</f>
        <v>0</v>
      </c>
      <c r="L376">
        <f>SUMPRODUCT((MONTH(CHOOSE({1,2,3,4},NĐ!U376,NĐ!AA376,NĐ!AG376,NĐ!AM376))=12)*(CHOOSE({1,2,3,4},NĐ!X376,NĐ!AD376,NĐ!AJ376,NĐ!AP376)))</f>
        <v>0</v>
      </c>
    </row>
    <row r="377" spans="1:12">
      <c r="A377">
        <f>SUMPRODUCT((MONTH(CHOOSE({1,2,3,4},NĐ!U377,NĐ!AA377,NĐ!AG377,NĐ!AM377))=1)*(CHOOSE({1,2,3,4},NĐ!X377,NĐ!AD377,NĐ!AJ377,NĐ!AP377)))</f>
        <v>0</v>
      </c>
      <c r="B377">
        <f>SUMPRODUCT((MONTH(CHOOSE({1,2,3,4},NĐ!U377,NĐ!AA377,NĐ!AG377,NĐ!AM377))=2)*(CHOOSE({1,2,3,4},NĐ!X377,NĐ!AD377,NĐ!AJ377,NĐ!AP377)))</f>
        <v>0</v>
      </c>
      <c r="C377">
        <f>SUMPRODUCT((MONTH(CHOOSE({1,2,3,4},NĐ!U377,NĐ!AA377,NĐ!AG377,NĐ!AM377))=3)*(CHOOSE({1,2,3,4},NĐ!X377,NĐ!AD377,NĐ!AJ377,NĐ!AP377)))</f>
        <v>0</v>
      </c>
      <c r="D377">
        <f>SUMPRODUCT((MONTH(CHOOSE({1,2,3,4},NĐ!U377,NĐ!AA377,NĐ!AG377,NĐ!AM377))=4)*(CHOOSE({1,2,3,4},NĐ!X377,NĐ!AD377,NĐ!AJ377,NĐ!AP377)))</f>
        <v>0</v>
      </c>
      <c r="E377">
        <f>SUMPRODUCT((MONTH(CHOOSE({1,2,3,4},NĐ!U377,NĐ!AA377,NĐ!AG377,NĐ!AM377))=5)*(CHOOSE({1,2,3,4},NĐ!X377,NĐ!AD377,NĐ!AJ377,NĐ!AP377)))</f>
        <v>0</v>
      </c>
      <c r="F377">
        <f>SUMPRODUCT((MONTH(CHOOSE({1,2,3,4},NĐ!U377,NĐ!AA377,NĐ!AG377,NĐ!AM377))=6)*(CHOOSE({1,2,3,4},NĐ!X377,NĐ!AD377,NĐ!AJ377,NĐ!AP377)))</f>
        <v>0</v>
      </c>
      <c r="G377">
        <f>SUMPRODUCT((MONTH(CHOOSE({1,2,3,4},NĐ!U377,NĐ!AA377,NĐ!AG377,NĐ!AM377))=7)*(CHOOSE({1,2,3,4},NĐ!X377,NĐ!AD377,NĐ!AJ377,NĐ!AP377)))</f>
        <v>0</v>
      </c>
      <c r="H377">
        <f>SUMPRODUCT((MONTH(CHOOSE({1,2,3,4},NĐ!U377,NĐ!AA377,NĐ!AG377,NĐ!AM377))=8)*(CHOOSE({1,2,3,4},NĐ!X377,NĐ!AD377,NĐ!AJ377,NĐ!AP377)))</f>
        <v>0</v>
      </c>
      <c r="I377">
        <f>SUMPRODUCT((MONTH(CHOOSE({1,2,3,4},NĐ!U377,NĐ!AA377,NĐ!AG377,NĐ!AM377))=9)*(CHOOSE({1,2,3,4},NĐ!X377,NĐ!AD377,NĐ!AJ377,NĐ!AP377)))</f>
        <v>0</v>
      </c>
      <c r="J377">
        <f>SUMPRODUCT((MONTH(CHOOSE({1,2,3,4},NĐ!U377,NĐ!AA377,NĐ!AG377,NĐ!AM377))=10)*(CHOOSE({1,2,3,4},NĐ!X377,NĐ!AD377,NĐ!AJ377,NĐ!AP377)))</f>
        <v>0</v>
      </c>
      <c r="K377">
        <f>SUMPRODUCT((MONTH(CHOOSE({1,2,3,4},NĐ!U377,NĐ!AA377,NĐ!AG377,NĐ!AM377))=11)*(CHOOSE({1,2,3,4},NĐ!X377,NĐ!AD377,NĐ!AJ377,NĐ!AP377)))</f>
        <v>0</v>
      </c>
      <c r="L377">
        <f>SUMPRODUCT((MONTH(CHOOSE({1,2,3,4},NĐ!U377,NĐ!AA377,NĐ!AG377,NĐ!AM377))=12)*(CHOOSE({1,2,3,4},NĐ!X377,NĐ!AD377,NĐ!AJ377,NĐ!AP377)))</f>
        <v>0</v>
      </c>
    </row>
    <row r="378" spans="1:12">
      <c r="A378">
        <f>SUMPRODUCT((MONTH(CHOOSE({1,2,3,4},NĐ!U378,NĐ!AA378,NĐ!AG378,NĐ!AM378))=1)*(CHOOSE({1,2,3,4},NĐ!X378,NĐ!AD378,NĐ!AJ378,NĐ!AP378)))</f>
        <v>0</v>
      </c>
      <c r="B378">
        <f>SUMPRODUCT((MONTH(CHOOSE({1,2,3,4},NĐ!U378,NĐ!AA378,NĐ!AG378,NĐ!AM378))=2)*(CHOOSE({1,2,3,4},NĐ!X378,NĐ!AD378,NĐ!AJ378,NĐ!AP378)))</f>
        <v>0</v>
      </c>
      <c r="C378">
        <f>SUMPRODUCT((MONTH(CHOOSE({1,2,3,4},NĐ!U378,NĐ!AA378,NĐ!AG378,NĐ!AM378))=3)*(CHOOSE({1,2,3,4},NĐ!X378,NĐ!AD378,NĐ!AJ378,NĐ!AP378)))</f>
        <v>0</v>
      </c>
      <c r="D378">
        <f>SUMPRODUCT((MONTH(CHOOSE({1,2,3,4},NĐ!U378,NĐ!AA378,NĐ!AG378,NĐ!AM378))=4)*(CHOOSE({1,2,3,4},NĐ!X378,NĐ!AD378,NĐ!AJ378,NĐ!AP378)))</f>
        <v>0</v>
      </c>
      <c r="E378">
        <f>SUMPRODUCT((MONTH(CHOOSE({1,2,3,4},NĐ!U378,NĐ!AA378,NĐ!AG378,NĐ!AM378))=5)*(CHOOSE({1,2,3,4},NĐ!X378,NĐ!AD378,NĐ!AJ378,NĐ!AP378)))</f>
        <v>0</v>
      </c>
      <c r="F378">
        <f>SUMPRODUCT((MONTH(CHOOSE({1,2,3,4},NĐ!U378,NĐ!AA378,NĐ!AG378,NĐ!AM378))=6)*(CHOOSE({1,2,3,4},NĐ!X378,NĐ!AD378,NĐ!AJ378,NĐ!AP378)))</f>
        <v>0</v>
      </c>
      <c r="G378">
        <f>SUMPRODUCT((MONTH(CHOOSE({1,2,3,4},NĐ!U378,NĐ!AA378,NĐ!AG378,NĐ!AM378))=7)*(CHOOSE({1,2,3,4},NĐ!X378,NĐ!AD378,NĐ!AJ378,NĐ!AP378)))</f>
        <v>0</v>
      </c>
      <c r="H378">
        <f>SUMPRODUCT((MONTH(CHOOSE({1,2,3,4},NĐ!U378,NĐ!AA378,NĐ!AG378,NĐ!AM378))=8)*(CHOOSE({1,2,3,4},NĐ!X378,NĐ!AD378,NĐ!AJ378,NĐ!AP378)))</f>
        <v>0</v>
      </c>
      <c r="I378">
        <f>SUMPRODUCT((MONTH(CHOOSE({1,2,3,4},NĐ!U378,NĐ!AA378,NĐ!AG378,NĐ!AM378))=9)*(CHOOSE({1,2,3,4},NĐ!X378,NĐ!AD378,NĐ!AJ378,NĐ!AP378)))</f>
        <v>0</v>
      </c>
      <c r="J378">
        <f>SUMPRODUCT((MONTH(CHOOSE({1,2,3,4},NĐ!U378,NĐ!AA378,NĐ!AG378,NĐ!AM378))=10)*(CHOOSE({1,2,3,4},NĐ!X378,NĐ!AD378,NĐ!AJ378,NĐ!AP378)))</f>
        <v>0</v>
      </c>
      <c r="K378">
        <f>SUMPRODUCT((MONTH(CHOOSE({1,2,3,4},NĐ!U378,NĐ!AA378,NĐ!AG378,NĐ!AM378))=11)*(CHOOSE({1,2,3,4},NĐ!X378,NĐ!AD378,NĐ!AJ378,NĐ!AP378)))</f>
        <v>0</v>
      </c>
      <c r="L378">
        <f>SUMPRODUCT((MONTH(CHOOSE({1,2,3,4},NĐ!U378,NĐ!AA378,NĐ!AG378,NĐ!AM378))=12)*(CHOOSE({1,2,3,4},NĐ!X378,NĐ!AD378,NĐ!AJ378,NĐ!AP378)))</f>
        <v>0</v>
      </c>
    </row>
    <row r="379" spans="1:12">
      <c r="A379">
        <f>SUMPRODUCT((MONTH(CHOOSE({1,2,3,4},NĐ!U379,NĐ!AA379,NĐ!AG379,NĐ!AM379))=1)*(CHOOSE({1,2,3,4},NĐ!X379,NĐ!AD379,NĐ!AJ379,NĐ!AP379)))</f>
        <v>0</v>
      </c>
      <c r="B379">
        <f>SUMPRODUCT((MONTH(CHOOSE({1,2,3,4},NĐ!U379,NĐ!AA379,NĐ!AG379,NĐ!AM379))=2)*(CHOOSE({1,2,3,4},NĐ!X379,NĐ!AD379,NĐ!AJ379,NĐ!AP379)))</f>
        <v>0</v>
      </c>
      <c r="C379">
        <f>SUMPRODUCT((MONTH(CHOOSE({1,2,3,4},NĐ!U379,NĐ!AA379,NĐ!AG379,NĐ!AM379))=3)*(CHOOSE({1,2,3,4},NĐ!X379,NĐ!AD379,NĐ!AJ379,NĐ!AP379)))</f>
        <v>0</v>
      </c>
      <c r="D379">
        <f>SUMPRODUCT((MONTH(CHOOSE({1,2,3,4},NĐ!U379,NĐ!AA379,NĐ!AG379,NĐ!AM379))=4)*(CHOOSE({1,2,3,4},NĐ!X379,NĐ!AD379,NĐ!AJ379,NĐ!AP379)))</f>
        <v>0</v>
      </c>
      <c r="E379">
        <f>SUMPRODUCT((MONTH(CHOOSE({1,2,3,4},NĐ!U379,NĐ!AA379,NĐ!AG379,NĐ!AM379))=5)*(CHOOSE({1,2,3,4},NĐ!X379,NĐ!AD379,NĐ!AJ379,NĐ!AP379)))</f>
        <v>0</v>
      </c>
      <c r="F379">
        <f>SUMPRODUCT((MONTH(CHOOSE({1,2,3,4},NĐ!U379,NĐ!AA379,NĐ!AG379,NĐ!AM379))=6)*(CHOOSE({1,2,3,4},NĐ!X379,NĐ!AD379,NĐ!AJ379,NĐ!AP379)))</f>
        <v>0</v>
      </c>
      <c r="G379">
        <f>SUMPRODUCT((MONTH(CHOOSE({1,2,3,4},NĐ!U379,NĐ!AA379,NĐ!AG379,NĐ!AM379))=7)*(CHOOSE({1,2,3,4},NĐ!X379,NĐ!AD379,NĐ!AJ379,NĐ!AP379)))</f>
        <v>0</v>
      </c>
      <c r="H379">
        <f>SUMPRODUCT((MONTH(CHOOSE({1,2,3,4},NĐ!U379,NĐ!AA379,NĐ!AG379,NĐ!AM379))=8)*(CHOOSE({1,2,3,4},NĐ!X379,NĐ!AD379,NĐ!AJ379,NĐ!AP379)))</f>
        <v>0</v>
      </c>
      <c r="I379">
        <f>SUMPRODUCT((MONTH(CHOOSE({1,2,3,4},NĐ!U379,NĐ!AA379,NĐ!AG379,NĐ!AM379))=9)*(CHOOSE({1,2,3,4},NĐ!X379,NĐ!AD379,NĐ!AJ379,NĐ!AP379)))</f>
        <v>0</v>
      </c>
      <c r="J379">
        <f>SUMPRODUCT((MONTH(CHOOSE({1,2,3,4},NĐ!U379,NĐ!AA379,NĐ!AG379,NĐ!AM379))=10)*(CHOOSE({1,2,3,4},NĐ!X379,NĐ!AD379,NĐ!AJ379,NĐ!AP379)))</f>
        <v>0</v>
      </c>
      <c r="K379">
        <f>SUMPRODUCT((MONTH(CHOOSE({1,2,3,4},NĐ!U379,NĐ!AA379,NĐ!AG379,NĐ!AM379))=11)*(CHOOSE({1,2,3,4},NĐ!X379,NĐ!AD379,NĐ!AJ379,NĐ!AP379)))</f>
        <v>0</v>
      </c>
      <c r="L379">
        <f>SUMPRODUCT((MONTH(CHOOSE({1,2,3,4},NĐ!U379,NĐ!AA379,NĐ!AG379,NĐ!AM379))=12)*(CHOOSE({1,2,3,4},NĐ!X379,NĐ!AD379,NĐ!AJ379,NĐ!AP379)))</f>
        <v>0</v>
      </c>
    </row>
    <row r="380" spans="1:12">
      <c r="A380">
        <f>SUMPRODUCT((MONTH(CHOOSE({1,2,3,4},NĐ!U380,NĐ!AA380,NĐ!AG380,NĐ!AM380))=1)*(CHOOSE({1,2,3,4},NĐ!X380,NĐ!AD380,NĐ!AJ380,NĐ!AP380)))</f>
        <v>0</v>
      </c>
      <c r="B380">
        <f>SUMPRODUCT((MONTH(CHOOSE({1,2,3,4},NĐ!U380,NĐ!AA380,NĐ!AG380,NĐ!AM380))=2)*(CHOOSE({1,2,3,4},NĐ!X380,NĐ!AD380,NĐ!AJ380,NĐ!AP380)))</f>
        <v>0</v>
      </c>
      <c r="C380">
        <f>SUMPRODUCT((MONTH(CHOOSE({1,2,3,4},NĐ!U380,NĐ!AA380,NĐ!AG380,NĐ!AM380))=3)*(CHOOSE({1,2,3,4},NĐ!X380,NĐ!AD380,NĐ!AJ380,NĐ!AP380)))</f>
        <v>0</v>
      </c>
      <c r="D380">
        <f>SUMPRODUCT((MONTH(CHOOSE({1,2,3,4},NĐ!U380,NĐ!AA380,NĐ!AG380,NĐ!AM380))=4)*(CHOOSE({1,2,3,4},NĐ!X380,NĐ!AD380,NĐ!AJ380,NĐ!AP380)))</f>
        <v>0</v>
      </c>
      <c r="E380">
        <f>SUMPRODUCT((MONTH(CHOOSE({1,2,3,4},NĐ!U380,NĐ!AA380,NĐ!AG380,NĐ!AM380))=5)*(CHOOSE({1,2,3,4},NĐ!X380,NĐ!AD380,NĐ!AJ380,NĐ!AP380)))</f>
        <v>0</v>
      </c>
      <c r="F380">
        <f>SUMPRODUCT((MONTH(CHOOSE({1,2,3,4},NĐ!U380,NĐ!AA380,NĐ!AG380,NĐ!AM380))=6)*(CHOOSE({1,2,3,4},NĐ!X380,NĐ!AD380,NĐ!AJ380,NĐ!AP380)))</f>
        <v>0</v>
      </c>
      <c r="G380">
        <f>SUMPRODUCT((MONTH(CHOOSE({1,2,3,4},NĐ!U380,NĐ!AA380,NĐ!AG380,NĐ!AM380))=7)*(CHOOSE({1,2,3,4},NĐ!X380,NĐ!AD380,NĐ!AJ380,NĐ!AP380)))</f>
        <v>0</v>
      </c>
      <c r="H380">
        <f>SUMPRODUCT((MONTH(CHOOSE({1,2,3,4},NĐ!U380,NĐ!AA380,NĐ!AG380,NĐ!AM380))=8)*(CHOOSE({1,2,3,4},NĐ!X380,NĐ!AD380,NĐ!AJ380,NĐ!AP380)))</f>
        <v>0</v>
      </c>
      <c r="I380">
        <f>SUMPRODUCT((MONTH(CHOOSE({1,2,3,4},NĐ!U380,NĐ!AA380,NĐ!AG380,NĐ!AM380))=9)*(CHOOSE({1,2,3,4},NĐ!X380,NĐ!AD380,NĐ!AJ380,NĐ!AP380)))</f>
        <v>0</v>
      </c>
      <c r="J380">
        <f>SUMPRODUCT((MONTH(CHOOSE({1,2,3,4},NĐ!U380,NĐ!AA380,NĐ!AG380,NĐ!AM380))=10)*(CHOOSE({1,2,3,4},NĐ!X380,NĐ!AD380,NĐ!AJ380,NĐ!AP380)))</f>
        <v>0</v>
      </c>
      <c r="K380">
        <f>SUMPRODUCT((MONTH(CHOOSE({1,2,3,4},NĐ!U380,NĐ!AA380,NĐ!AG380,NĐ!AM380))=11)*(CHOOSE({1,2,3,4},NĐ!X380,NĐ!AD380,NĐ!AJ380,NĐ!AP380)))</f>
        <v>0</v>
      </c>
      <c r="L380">
        <f>SUMPRODUCT((MONTH(CHOOSE({1,2,3,4},NĐ!U380,NĐ!AA380,NĐ!AG380,NĐ!AM380))=12)*(CHOOSE({1,2,3,4},NĐ!X380,NĐ!AD380,NĐ!AJ380,NĐ!AP380)))</f>
        <v>0</v>
      </c>
    </row>
    <row r="381" spans="1:12">
      <c r="A381">
        <f>SUMPRODUCT((MONTH(CHOOSE({1,2,3,4},NĐ!U381,NĐ!AA381,NĐ!AG381,NĐ!AM381))=1)*(CHOOSE({1,2,3,4},NĐ!X381,NĐ!AD381,NĐ!AJ381,NĐ!AP381)))</f>
        <v>0</v>
      </c>
      <c r="B381">
        <f>SUMPRODUCT((MONTH(CHOOSE({1,2,3,4},NĐ!U381,NĐ!AA381,NĐ!AG381,NĐ!AM381))=2)*(CHOOSE({1,2,3,4},NĐ!X381,NĐ!AD381,NĐ!AJ381,NĐ!AP381)))</f>
        <v>0</v>
      </c>
      <c r="C381">
        <f>SUMPRODUCT((MONTH(CHOOSE({1,2,3,4},NĐ!U381,NĐ!AA381,NĐ!AG381,NĐ!AM381))=3)*(CHOOSE({1,2,3,4},NĐ!X381,NĐ!AD381,NĐ!AJ381,NĐ!AP381)))</f>
        <v>0</v>
      </c>
      <c r="D381">
        <f>SUMPRODUCT((MONTH(CHOOSE({1,2,3,4},NĐ!U381,NĐ!AA381,NĐ!AG381,NĐ!AM381))=4)*(CHOOSE({1,2,3,4},NĐ!X381,NĐ!AD381,NĐ!AJ381,NĐ!AP381)))</f>
        <v>0</v>
      </c>
      <c r="E381">
        <f>SUMPRODUCT((MONTH(CHOOSE({1,2,3,4},NĐ!U381,NĐ!AA381,NĐ!AG381,NĐ!AM381))=5)*(CHOOSE({1,2,3,4},NĐ!X381,NĐ!AD381,NĐ!AJ381,NĐ!AP381)))</f>
        <v>0</v>
      </c>
      <c r="F381">
        <f>SUMPRODUCT((MONTH(CHOOSE({1,2,3,4},NĐ!U381,NĐ!AA381,NĐ!AG381,NĐ!AM381))=6)*(CHOOSE({1,2,3,4},NĐ!X381,NĐ!AD381,NĐ!AJ381,NĐ!AP381)))</f>
        <v>0</v>
      </c>
      <c r="G381">
        <f>SUMPRODUCT((MONTH(CHOOSE({1,2,3,4},NĐ!U381,NĐ!AA381,NĐ!AG381,NĐ!AM381))=7)*(CHOOSE({1,2,3,4},NĐ!X381,NĐ!AD381,NĐ!AJ381,NĐ!AP381)))</f>
        <v>0</v>
      </c>
      <c r="H381">
        <f>SUMPRODUCT((MONTH(CHOOSE({1,2,3,4},NĐ!U381,NĐ!AA381,NĐ!AG381,NĐ!AM381))=8)*(CHOOSE({1,2,3,4},NĐ!X381,NĐ!AD381,NĐ!AJ381,NĐ!AP381)))</f>
        <v>0</v>
      </c>
      <c r="I381">
        <f>SUMPRODUCT((MONTH(CHOOSE({1,2,3,4},NĐ!U381,NĐ!AA381,NĐ!AG381,NĐ!AM381))=9)*(CHOOSE({1,2,3,4},NĐ!X381,NĐ!AD381,NĐ!AJ381,NĐ!AP381)))</f>
        <v>0</v>
      </c>
      <c r="J381">
        <f>SUMPRODUCT((MONTH(CHOOSE({1,2,3,4},NĐ!U381,NĐ!AA381,NĐ!AG381,NĐ!AM381))=10)*(CHOOSE({1,2,3,4},NĐ!X381,NĐ!AD381,NĐ!AJ381,NĐ!AP381)))</f>
        <v>0</v>
      </c>
      <c r="K381">
        <f>SUMPRODUCT((MONTH(CHOOSE({1,2,3,4},NĐ!U381,NĐ!AA381,NĐ!AG381,NĐ!AM381))=11)*(CHOOSE({1,2,3,4},NĐ!X381,NĐ!AD381,NĐ!AJ381,NĐ!AP381)))</f>
        <v>0</v>
      </c>
      <c r="L381">
        <f>SUMPRODUCT((MONTH(CHOOSE({1,2,3,4},NĐ!U381,NĐ!AA381,NĐ!AG381,NĐ!AM381))=12)*(CHOOSE({1,2,3,4},NĐ!X381,NĐ!AD381,NĐ!AJ381,NĐ!AP381)))</f>
        <v>0</v>
      </c>
    </row>
    <row r="382" spans="1:12">
      <c r="A382">
        <f>SUMPRODUCT((MONTH(CHOOSE({1,2,3,4},NĐ!U382,NĐ!AA382,NĐ!AG382,NĐ!AM382))=1)*(CHOOSE({1,2,3,4},NĐ!X382,NĐ!AD382,NĐ!AJ382,NĐ!AP382)))</f>
        <v>0</v>
      </c>
      <c r="B382">
        <f>SUMPRODUCT((MONTH(CHOOSE({1,2,3,4},NĐ!U382,NĐ!AA382,NĐ!AG382,NĐ!AM382))=2)*(CHOOSE({1,2,3,4},NĐ!X382,NĐ!AD382,NĐ!AJ382,NĐ!AP382)))</f>
        <v>0</v>
      </c>
      <c r="C382">
        <f>SUMPRODUCT((MONTH(CHOOSE({1,2,3,4},NĐ!U382,NĐ!AA382,NĐ!AG382,NĐ!AM382))=3)*(CHOOSE({1,2,3,4},NĐ!X382,NĐ!AD382,NĐ!AJ382,NĐ!AP382)))</f>
        <v>0</v>
      </c>
      <c r="D382">
        <f>SUMPRODUCT((MONTH(CHOOSE({1,2,3,4},NĐ!U382,NĐ!AA382,NĐ!AG382,NĐ!AM382))=4)*(CHOOSE({1,2,3,4},NĐ!X382,NĐ!AD382,NĐ!AJ382,NĐ!AP382)))</f>
        <v>0</v>
      </c>
      <c r="E382">
        <f>SUMPRODUCT((MONTH(CHOOSE({1,2,3,4},NĐ!U382,NĐ!AA382,NĐ!AG382,NĐ!AM382))=5)*(CHOOSE({1,2,3,4},NĐ!X382,NĐ!AD382,NĐ!AJ382,NĐ!AP382)))</f>
        <v>0</v>
      </c>
      <c r="F382">
        <f>SUMPRODUCT((MONTH(CHOOSE({1,2,3,4},NĐ!U382,NĐ!AA382,NĐ!AG382,NĐ!AM382))=6)*(CHOOSE({1,2,3,4},NĐ!X382,NĐ!AD382,NĐ!AJ382,NĐ!AP382)))</f>
        <v>0</v>
      </c>
      <c r="G382">
        <f>SUMPRODUCT((MONTH(CHOOSE({1,2,3,4},NĐ!U382,NĐ!AA382,NĐ!AG382,NĐ!AM382))=7)*(CHOOSE({1,2,3,4},NĐ!X382,NĐ!AD382,NĐ!AJ382,NĐ!AP382)))</f>
        <v>0</v>
      </c>
      <c r="H382">
        <f>SUMPRODUCT((MONTH(CHOOSE({1,2,3,4},NĐ!U382,NĐ!AA382,NĐ!AG382,NĐ!AM382))=8)*(CHOOSE({1,2,3,4},NĐ!X382,NĐ!AD382,NĐ!AJ382,NĐ!AP382)))</f>
        <v>0</v>
      </c>
      <c r="I382">
        <f>SUMPRODUCT((MONTH(CHOOSE({1,2,3,4},NĐ!U382,NĐ!AA382,NĐ!AG382,NĐ!AM382))=9)*(CHOOSE({1,2,3,4},NĐ!X382,NĐ!AD382,NĐ!AJ382,NĐ!AP382)))</f>
        <v>0</v>
      </c>
      <c r="J382">
        <f>SUMPRODUCT((MONTH(CHOOSE({1,2,3,4},NĐ!U382,NĐ!AA382,NĐ!AG382,NĐ!AM382))=10)*(CHOOSE({1,2,3,4},NĐ!X382,NĐ!AD382,NĐ!AJ382,NĐ!AP382)))</f>
        <v>0</v>
      </c>
      <c r="K382">
        <f>SUMPRODUCT((MONTH(CHOOSE({1,2,3,4},NĐ!U382,NĐ!AA382,NĐ!AG382,NĐ!AM382))=11)*(CHOOSE({1,2,3,4},NĐ!X382,NĐ!AD382,NĐ!AJ382,NĐ!AP382)))</f>
        <v>0</v>
      </c>
      <c r="L382">
        <f>SUMPRODUCT((MONTH(CHOOSE({1,2,3,4},NĐ!U382,NĐ!AA382,NĐ!AG382,NĐ!AM382))=12)*(CHOOSE({1,2,3,4},NĐ!X382,NĐ!AD382,NĐ!AJ382,NĐ!AP382)))</f>
        <v>0</v>
      </c>
    </row>
    <row r="383" spans="1:12">
      <c r="A383">
        <f>SUMPRODUCT((MONTH(CHOOSE({1,2,3,4},NĐ!U383,NĐ!AA383,NĐ!AG383,NĐ!AM383))=1)*(CHOOSE({1,2,3,4},NĐ!X383,NĐ!AD383,NĐ!AJ383,NĐ!AP383)))</f>
        <v>0</v>
      </c>
      <c r="B383">
        <f>SUMPRODUCT((MONTH(CHOOSE({1,2,3,4},NĐ!U383,NĐ!AA383,NĐ!AG383,NĐ!AM383))=2)*(CHOOSE({1,2,3,4},NĐ!X383,NĐ!AD383,NĐ!AJ383,NĐ!AP383)))</f>
        <v>0</v>
      </c>
      <c r="C383">
        <f>SUMPRODUCT((MONTH(CHOOSE({1,2,3,4},NĐ!U383,NĐ!AA383,NĐ!AG383,NĐ!AM383))=3)*(CHOOSE({1,2,3,4},NĐ!X383,NĐ!AD383,NĐ!AJ383,NĐ!AP383)))</f>
        <v>0</v>
      </c>
      <c r="D383">
        <f>SUMPRODUCT((MONTH(CHOOSE({1,2,3,4},NĐ!U383,NĐ!AA383,NĐ!AG383,NĐ!AM383))=4)*(CHOOSE({1,2,3,4},NĐ!X383,NĐ!AD383,NĐ!AJ383,NĐ!AP383)))</f>
        <v>0</v>
      </c>
      <c r="E383">
        <f>SUMPRODUCT((MONTH(CHOOSE({1,2,3,4},NĐ!U383,NĐ!AA383,NĐ!AG383,NĐ!AM383))=5)*(CHOOSE({1,2,3,4},NĐ!X383,NĐ!AD383,NĐ!AJ383,NĐ!AP383)))</f>
        <v>0</v>
      </c>
      <c r="F383">
        <f>SUMPRODUCT((MONTH(CHOOSE({1,2,3,4},NĐ!U383,NĐ!AA383,NĐ!AG383,NĐ!AM383))=6)*(CHOOSE({1,2,3,4},NĐ!X383,NĐ!AD383,NĐ!AJ383,NĐ!AP383)))</f>
        <v>0</v>
      </c>
      <c r="G383">
        <f>SUMPRODUCT((MONTH(CHOOSE({1,2,3,4},NĐ!U383,NĐ!AA383,NĐ!AG383,NĐ!AM383))=7)*(CHOOSE({1,2,3,4},NĐ!X383,NĐ!AD383,NĐ!AJ383,NĐ!AP383)))</f>
        <v>0</v>
      </c>
      <c r="H383">
        <f>SUMPRODUCT((MONTH(CHOOSE({1,2,3,4},NĐ!U383,NĐ!AA383,NĐ!AG383,NĐ!AM383))=8)*(CHOOSE({1,2,3,4},NĐ!X383,NĐ!AD383,NĐ!AJ383,NĐ!AP383)))</f>
        <v>0</v>
      </c>
      <c r="I383">
        <f>SUMPRODUCT((MONTH(CHOOSE({1,2,3,4},NĐ!U383,NĐ!AA383,NĐ!AG383,NĐ!AM383))=9)*(CHOOSE({1,2,3,4},NĐ!X383,NĐ!AD383,NĐ!AJ383,NĐ!AP383)))</f>
        <v>0</v>
      </c>
      <c r="J383">
        <f>SUMPRODUCT((MONTH(CHOOSE({1,2,3,4},NĐ!U383,NĐ!AA383,NĐ!AG383,NĐ!AM383))=10)*(CHOOSE({1,2,3,4},NĐ!X383,NĐ!AD383,NĐ!AJ383,NĐ!AP383)))</f>
        <v>0</v>
      </c>
      <c r="K383">
        <f>SUMPRODUCT((MONTH(CHOOSE({1,2,3,4},NĐ!U383,NĐ!AA383,NĐ!AG383,NĐ!AM383))=11)*(CHOOSE({1,2,3,4},NĐ!X383,NĐ!AD383,NĐ!AJ383,NĐ!AP383)))</f>
        <v>0</v>
      </c>
      <c r="L383">
        <f>SUMPRODUCT((MONTH(CHOOSE({1,2,3,4},NĐ!U383,NĐ!AA383,NĐ!AG383,NĐ!AM383))=12)*(CHOOSE({1,2,3,4},NĐ!X383,NĐ!AD383,NĐ!AJ383,NĐ!AP383)))</f>
        <v>0</v>
      </c>
    </row>
    <row r="384" spans="1:12">
      <c r="A384">
        <f>SUMPRODUCT((MONTH(CHOOSE({1,2,3,4},NĐ!U384,NĐ!AA384,NĐ!AG384,NĐ!AM384))=1)*(CHOOSE({1,2,3,4},NĐ!X384,NĐ!AD384,NĐ!AJ384,NĐ!AP384)))</f>
        <v>0</v>
      </c>
      <c r="B384">
        <f>SUMPRODUCT((MONTH(CHOOSE({1,2,3,4},NĐ!U384,NĐ!AA384,NĐ!AG384,NĐ!AM384))=2)*(CHOOSE({1,2,3,4},NĐ!X384,NĐ!AD384,NĐ!AJ384,NĐ!AP384)))</f>
        <v>0</v>
      </c>
      <c r="C384">
        <f>SUMPRODUCT((MONTH(CHOOSE({1,2,3,4},NĐ!U384,NĐ!AA384,NĐ!AG384,NĐ!AM384))=3)*(CHOOSE({1,2,3,4},NĐ!X384,NĐ!AD384,NĐ!AJ384,NĐ!AP384)))</f>
        <v>0</v>
      </c>
      <c r="D384">
        <f>SUMPRODUCT((MONTH(CHOOSE({1,2,3,4},NĐ!U384,NĐ!AA384,NĐ!AG384,NĐ!AM384))=4)*(CHOOSE({1,2,3,4},NĐ!X384,NĐ!AD384,NĐ!AJ384,NĐ!AP384)))</f>
        <v>0</v>
      </c>
      <c r="E384">
        <f>SUMPRODUCT((MONTH(CHOOSE({1,2,3,4},NĐ!U384,NĐ!AA384,NĐ!AG384,NĐ!AM384))=5)*(CHOOSE({1,2,3,4},NĐ!X384,NĐ!AD384,NĐ!AJ384,NĐ!AP384)))</f>
        <v>0</v>
      </c>
      <c r="F384">
        <f>SUMPRODUCT((MONTH(CHOOSE({1,2,3,4},NĐ!U384,NĐ!AA384,NĐ!AG384,NĐ!AM384))=6)*(CHOOSE({1,2,3,4},NĐ!X384,NĐ!AD384,NĐ!AJ384,NĐ!AP384)))</f>
        <v>0</v>
      </c>
      <c r="G384">
        <f>SUMPRODUCT((MONTH(CHOOSE({1,2,3,4},NĐ!U384,NĐ!AA384,NĐ!AG384,NĐ!AM384))=7)*(CHOOSE({1,2,3,4},NĐ!X384,NĐ!AD384,NĐ!AJ384,NĐ!AP384)))</f>
        <v>0</v>
      </c>
      <c r="H384">
        <f>SUMPRODUCT((MONTH(CHOOSE({1,2,3,4},NĐ!U384,NĐ!AA384,NĐ!AG384,NĐ!AM384))=8)*(CHOOSE({1,2,3,4},NĐ!X384,NĐ!AD384,NĐ!AJ384,NĐ!AP384)))</f>
        <v>0</v>
      </c>
      <c r="I384">
        <f>SUMPRODUCT((MONTH(CHOOSE({1,2,3,4},NĐ!U384,NĐ!AA384,NĐ!AG384,NĐ!AM384))=9)*(CHOOSE({1,2,3,4},NĐ!X384,NĐ!AD384,NĐ!AJ384,NĐ!AP384)))</f>
        <v>0</v>
      </c>
      <c r="J384">
        <f>SUMPRODUCT((MONTH(CHOOSE({1,2,3,4},NĐ!U384,NĐ!AA384,NĐ!AG384,NĐ!AM384))=10)*(CHOOSE({1,2,3,4},NĐ!X384,NĐ!AD384,NĐ!AJ384,NĐ!AP384)))</f>
        <v>0</v>
      </c>
      <c r="K384">
        <f>SUMPRODUCT((MONTH(CHOOSE({1,2,3,4},NĐ!U384,NĐ!AA384,NĐ!AG384,NĐ!AM384))=11)*(CHOOSE({1,2,3,4},NĐ!X384,NĐ!AD384,NĐ!AJ384,NĐ!AP384)))</f>
        <v>0</v>
      </c>
      <c r="L384">
        <f>SUMPRODUCT((MONTH(CHOOSE({1,2,3,4},NĐ!U384,NĐ!AA384,NĐ!AG384,NĐ!AM384))=12)*(CHOOSE({1,2,3,4},NĐ!X384,NĐ!AD384,NĐ!AJ384,NĐ!AP384)))</f>
        <v>0</v>
      </c>
    </row>
    <row r="385" spans="1:12">
      <c r="A385">
        <f>SUMPRODUCT((MONTH(CHOOSE({1,2,3,4},NĐ!U385,NĐ!AA385,NĐ!AG385,NĐ!AM385))=1)*(CHOOSE({1,2,3,4},NĐ!X385,NĐ!AD385,NĐ!AJ385,NĐ!AP385)))</f>
        <v>0</v>
      </c>
      <c r="B385">
        <f>SUMPRODUCT((MONTH(CHOOSE({1,2,3,4},NĐ!U385,NĐ!AA385,NĐ!AG385,NĐ!AM385))=2)*(CHOOSE({1,2,3,4},NĐ!X385,NĐ!AD385,NĐ!AJ385,NĐ!AP385)))</f>
        <v>0</v>
      </c>
      <c r="C385">
        <f>SUMPRODUCT((MONTH(CHOOSE({1,2,3,4},NĐ!U385,NĐ!AA385,NĐ!AG385,NĐ!AM385))=3)*(CHOOSE({1,2,3,4},NĐ!X385,NĐ!AD385,NĐ!AJ385,NĐ!AP385)))</f>
        <v>0</v>
      </c>
      <c r="D385">
        <f>SUMPRODUCT((MONTH(CHOOSE({1,2,3,4},NĐ!U385,NĐ!AA385,NĐ!AG385,NĐ!AM385))=4)*(CHOOSE({1,2,3,4},NĐ!X385,NĐ!AD385,NĐ!AJ385,NĐ!AP385)))</f>
        <v>0</v>
      </c>
      <c r="E385">
        <f>SUMPRODUCT((MONTH(CHOOSE({1,2,3,4},NĐ!U385,NĐ!AA385,NĐ!AG385,NĐ!AM385))=5)*(CHOOSE({1,2,3,4},NĐ!X385,NĐ!AD385,NĐ!AJ385,NĐ!AP385)))</f>
        <v>0</v>
      </c>
      <c r="F385">
        <f>SUMPRODUCT((MONTH(CHOOSE({1,2,3,4},NĐ!U385,NĐ!AA385,NĐ!AG385,NĐ!AM385))=6)*(CHOOSE({1,2,3,4},NĐ!X385,NĐ!AD385,NĐ!AJ385,NĐ!AP385)))</f>
        <v>0</v>
      </c>
      <c r="G385">
        <f>SUMPRODUCT((MONTH(CHOOSE({1,2,3,4},NĐ!U385,NĐ!AA385,NĐ!AG385,NĐ!AM385))=7)*(CHOOSE({1,2,3,4},NĐ!X385,NĐ!AD385,NĐ!AJ385,NĐ!AP385)))</f>
        <v>0</v>
      </c>
      <c r="H385">
        <f>SUMPRODUCT((MONTH(CHOOSE({1,2,3,4},NĐ!U385,NĐ!AA385,NĐ!AG385,NĐ!AM385))=8)*(CHOOSE({1,2,3,4},NĐ!X385,NĐ!AD385,NĐ!AJ385,NĐ!AP385)))</f>
        <v>0</v>
      </c>
      <c r="I385">
        <f>SUMPRODUCT((MONTH(CHOOSE({1,2,3,4},NĐ!U385,NĐ!AA385,NĐ!AG385,NĐ!AM385))=9)*(CHOOSE({1,2,3,4},NĐ!X385,NĐ!AD385,NĐ!AJ385,NĐ!AP385)))</f>
        <v>0</v>
      </c>
      <c r="J385">
        <f>SUMPRODUCT((MONTH(CHOOSE({1,2,3,4},NĐ!U385,NĐ!AA385,NĐ!AG385,NĐ!AM385))=10)*(CHOOSE({1,2,3,4},NĐ!X385,NĐ!AD385,NĐ!AJ385,NĐ!AP385)))</f>
        <v>0</v>
      </c>
      <c r="K385">
        <f>SUMPRODUCT((MONTH(CHOOSE({1,2,3,4},NĐ!U385,NĐ!AA385,NĐ!AG385,NĐ!AM385))=11)*(CHOOSE({1,2,3,4},NĐ!X385,NĐ!AD385,NĐ!AJ385,NĐ!AP385)))</f>
        <v>0</v>
      </c>
      <c r="L385">
        <f>SUMPRODUCT((MONTH(CHOOSE({1,2,3,4},NĐ!U385,NĐ!AA385,NĐ!AG385,NĐ!AM385))=12)*(CHOOSE({1,2,3,4},NĐ!X385,NĐ!AD385,NĐ!AJ385,NĐ!AP385)))</f>
        <v>0</v>
      </c>
    </row>
    <row r="386" spans="1:12">
      <c r="A386">
        <f>SUMPRODUCT((MONTH(CHOOSE({1,2,3,4},NĐ!U386,NĐ!AA386,NĐ!AG386,NĐ!AM386))=1)*(CHOOSE({1,2,3,4},NĐ!X386,NĐ!AD386,NĐ!AJ386,NĐ!AP386)))</f>
        <v>0</v>
      </c>
      <c r="B386">
        <f>SUMPRODUCT((MONTH(CHOOSE({1,2,3,4},NĐ!U386,NĐ!AA386,NĐ!AG386,NĐ!AM386))=2)*(CHOOSE({1,2,3,4},NĐ!X386,NĐ!AD386,NĐ!AJ386,NĐ!AP386)))</f>
        <v>0</v>
      </c>
      <c r="C386">
        <f>SUMPRODUCT((MONTH(CHOOSE({1,2,3,4},NĐ!U386,NĐ!AA386,NĐ!AG386,NĐ!AM386))=3)*(CHOOSE({1,2,3,4},NĐ!X386,NĐ!AD386,NĐ!AJ386,NĐ!AP386)))</f>
        <v>0</v>
      </c>
      <c r="D386">
        <f>SUMPRODUCT((MONTH(CHOOSE({1,2,3,4},NĐ!U386,NĐ!AA386,NĐ!AG386,NĐ!AM386))=4)*(CHOOSE({1,2,3,4},NĐ!X386,NĐ!AD386,NĐ!AJ386,NĐ!AP386)))</f>
        <v>0</v>
      </c>
      <c r="E386">
        <f>SUMPRODUCT((MONTH(CHOOSE({1,2,3,4},NĐ!U386,NĐ!AA386,NĐ!AG386,NĐ!AM386))=5)*(CHOOSE({1,2,3,4},NĐ!X386,NĐ!AD386,NĐ!AJ386,NĐ!AP386)))</f>
        <v>0</v>
      </c>
      <c r="F386">
        <f>SUMPRODUCT((MONTH(CHOOSE({1,2,3,4},NĐ!U386,NĐ!AA386,NĐ!AG386,NĐ!AM386))=6)*(CHOOSE({1,2,3,4},NĐ!X386,NĐ!AD386,NĐ!AJ386,NĐ!AP386)))</f>
        <v>0</v>
      </c>
      <c r="G386">
        <f>SUMPRODUCT((MONTH(CHOOSE({1,2,3,4},NĐ!U386,NĐ!AA386,NĐ!AG386,NĐ!AM386))=7)*(CHOOSE({1,2,3,4},NĐ!X386,NĐ!AD386,NĐ!AJ386,NĐ!AP386)))</f>
        <v>0</v>
      </c>
      <c r="H386">
        <f>SUMPRODUCT((MONTH(CHOOSE({1,2,3,4},NĐ!U386,NĐ!AA386,NĐ!AG386,NĐ!AM386))=8)*(CHOOSE({1,2,3,4},NĐ!X386,NĐ!AD386,NĐ!AJ386,NĐ!AP386)))</f>
        <v>0</v>
      </c>
      <c r="I386">
        <f>SUMPRODUCT((MONTH(CHOOSE({1,2,3,4},NĐ!U386,NĐ!AA386,NĐ!AG386,NĐ!AM386))=9)*(CHOOSE({1,2,3,4},NĐ!X386,NĐ!AD386,NĐ!AJ386,NĐ!AP386)))</f>
        <v>0</v>
      </c>
      <c r="J386">
        <f>SUMPRODUCT((MONTH(CHOOSE({1,2,3,4},NĐ!U386,NĐ!AA386,NĐ!AG386,NĐ!AM386))=10)*(CHOOSE({1,2,3,4},NĐ!X386,NĐ!AD386,NĐ!AJ386,NĐ!AP386)))</f>
        <v>0</v>
      </c>
      <c r="K386">
        <f>SUMPRODUCT((MONTH(CHOOSE({1,2,3,4},NĐ!U386,NĐ!AA386,NĐ!AG386,NĐ!AM386))=11)*(CHOOSE({1,2,3,4},NĐ!X386,NĐ!AD386,NĐ!AJ386,NĐ!AP386)))</f>
        <v>0</v>
      </c>
      <c r="L386">
        <f>SUMPRODUCT((MONTH(CHOOSE({1,2,3,4},NĐ!U386,NĐ!AA386,NĐ!AG386,NĐ!AM386))=12)*(CHOOSE({1,2,3,4},NĐ!X386,NĐ!AD386,NĐ!AJ386,NĐ!AP386)))</f>
        <v>0</v>
      </c>
    </row>
    <row r="387" spans="1:12">
      <c r="A387">
        <f>SUMPRODUCT((MONTH(CHOOSE({1,2,3,4},NĐ!U387,NĐ!AA387,NĐ!AG387,NĐ!AM387))=1)*(CHOOSE({1,2,3,4},NĐ!X387,NĐ!AD387,NĐ!AJ387,NĐ!AP387)))</f>
        <v>0</v>
      </c>
      <c r="B387">
        <f>SUMPRODUCT((MONTH(CHOOSE({1,2,3,4},NĐ!U387,NĐ!AA387,NĐ!AG387,NĐ!AM387))=2)*(CHOOSE({1,2,3,4},NĐ!X387,NĐ!AD387,NĐ!AJ387,NĐ!AP387)))</f>
        <v>0</v>
      </c>
      <c r="C387">
        <f>SUMPRODUCT((MONTH(CHOOSE({1,2,3,4},NĐ!U387,NĐ!AA387,NĐ!AG387,NĐ!AM387))=3)*(CHOOSE({1,2,3,4},NĐ!X387,NĐ!AD387,NĐ!AJ387,NĐ!AP387)))</f>
        <v>0</v>
      </c>
      <c r="D387">
        <f>SUMPRODUCT((MONTH(CHOOSE({1,2,3,4},NĐ!U387,NĐ!AA387,NĐ!AG387,NĐ!AM387))=4)*(CHOOSE({1,2,3,4},NĐ!X387,NĐ!AD387,NĐ!AJ387,NĐ!AP387)))</f>
        <v>0</v>
      </c>
      <c r="E387">
        <f>SUMPRODUCT((MONTH(CHOOSE({1,2,3,4},NĐ!U387,NĐ!AA387,NĐ!AG387,NĐ!AM387))=5)*(CHOOSE({1,2,3,4},NĐ!X387,NĐ!AD387,NĐ!AJ387,NĐ!AP387)))</f>
        <v>0</v>
      </c>
      <c r="F387">
        <f>SUMPRODUCT((MONTH(CHOOSE({1,2,3,4},NĐ!U387,NĐ!AA387,NĐ!AG387,NĐ!AM387))=6)*(CHOOSE({1,2,3,4},NĐ!X387,NĐ!AD387,NĐ!AJ387,NĐ!AP387)))</f>
        <v>0</v>
      </c>
      <c r="G387">
        <f>SUMPRODUCT((MONTH(CHOOSE({1,2,3,4},NĐ!U387,NĐ!AA387,NĐ!AG387,NĐ!AM387))=7)*(CHOOSE({1,2,3,4},NĐ!X387,NĐ!AD387,NĐ!AJ387,NĐ!AP387)))</f>
        <v>0</v>
      </c>
      <c r="H387">
        <f>SUMPRODUCT((MONTH(CHOOSE({1,2,3,4},NĐ!U387,NĐ!AA387,NĐ!AG387,NĐ!AM387))=8)*(CHOOSE({1,2,3,4},NĐ!X387,NĐ!AD387,NĐ!AJ387,NĐ!AP387)))</f>
        <v>0</v>
      </c>
      <c r="I387">
        <f>SUMPRODUCT((MONTH(CHOOSE({1,2,3,4},NĐ!U387,NĐ!AA387,NĐ!AG387,NĐ!AM387))=9)*(CHOOSE({1,2,3,4},NĐ!X387,NĐ!AD387,NĐ!AJ387,NĐ!AP387)))</f>
        <v>0</v>
      </c>
      <c r="J387">
        <f>SUMPRODUCT((MONTH(CHOOSE({1,2,3,4},NĐ!U387,NĐ!AA387,NĐ!AG387,NĐ!AM387))=10)*(CHOOSE({1,2,3,4},NĐ!X387,NĐ!AD387,NĐ!AJ387,NĐ!AP387)))</f>
        <v>0</v>
      </c>
      <c r="K387">
        <f>SUMPRODUCT((MONTH(CHOOSE({1,2,3,4},NĐ!U387,NĐ!AA387,NĐ!AG387,NĐ!AM387))=11)*(CHOOSE({1,2,3,4},NĐ!X387,NĐ!AD387,NĐ!AJ387,NĐ!AP387)))</f>
        <v>0</v>
      </c>
      <c r="L387">
        <f>SUMPRODUCT((MONTH(CHOOSE({1,2,3,4},NĐ!U387,NĐ!AA387,NĐ!AG387,NĐ!AM387))=12)*(CHOOSE({1,2,3,4},NĐ!X387,NĐ!AD387,NĐ!AJ387,NĐ!AP387)))</f>
        <v>0</v>
      </c>
    </row>
    <row r="388" spans="1:12">
      <c r="A388">
        <f>SUMPRODUCT((MONTH(CHOOSE({1,2,3,4},NĐ!U388,NĐ!AA388,NĐ!AG388,NĐ!AM388))=1)*(CHOOSE({1,2,3,4},NĐ!X388,NĐ!AD388,NĐ!AJ388,NĐ!AP388)))</f>
        <v>0</v>
      </c>
      <c r="B388">
        <f>SUMPRODUCT((MONTH(CHOOSE({1,2,3,4},NĐ!U388,NĐ!AA388,NĐ!AG388,NĐ!AM388))=2)*(CHOOSE({1,2,3,4},NĐ!X388,NĐ!AD388,NĐ!AJ388,NĐ!AP388)))</f>
        <v>0</v>
      </c>
      <c r="C388">
        <f>SUMPRODUCT((MONTH(CHOOSE({1,2,3,4},NĐ!U388,NĐ!AA388,NĐ!AG388,NĐ!AM388))=3)*(CHOOSE({1,2,3,4},NĐ!X388,NĐ!AD388,NĐ!AJ388,NĐ!AP388)))</f>
        <v>0</v>
      </c>
      <c r="D388">
        <f>SUMPRODUCT((MONTH(CHOOSE({1,2,3,4},NĐ!U388,NĐ!AA388,NĐ!AG388,NĐ!AM388))=4)*(CHOOSE({1,2,3,4},NĐ!X388,NĐ!AD388,NĐ!AJ388,NĐ!AP388)))</f>
        <v>0</v>
      </c>
      <c r="E388">
        <f>SUMPRODUCT((MONTH(CHOOSE({1,2,3,4},NĐ!U388,NĐ!AA388,NĐ!AG388,NĐ!AM388))=5)*(CHOOSE({1,2,3,4},NĐ!X388,NĐ!AD388,NĐ!AJ388,NĐ!AP388)))</f>
        <v>0</v>
      </c>
      <c r="F388">
        <f>SUMPRODUCT((MONTH(CHOOSE({1,2,3,4},NĐ!U388,NĐ!AA388,NĐ!AG388,NĐ!AM388))=6)*(CHOOSE({1,2,3,4},NĐ!X388,NĐ!AD388,NĐ!AJ388,NĐ!AP388)))</f>
        <v>0</v>
      </c>
      <c r="G388">
        <f>SUMPRODUCT((MONTH(CHOOSE({1,2,3,4},NĐ!U388,NĐ!AA388,NĐ!AG388,NĐ!AM388))=7)*(CHOOSE({1,2,3,4},NĐ!X388,NĐ!AD388,NĐ!AJ388,NĐ!AP388)))</f>
        <v>0</v>
      </c>
      <c r="H388">
        <f>SUMPRODUCT((MONTH(CHOOSE({1,2,3,4},NĐ!U388,NĐ!AA388,NĐ!AG388,NĐ!AM388))=8)*(CHOOSE({1,2,3,4},NĐ!X388,NĐ!AD388,NĐ!AJ388,NĐ!AP388)))</f>
        <v>0</v>
      </c>
      <c r="I388">
        <f>SUMPRODUCT((MONTH(CHOOSE({1,2,3,4},NĐ!U388,NĐ!AA388,NĐ!AG388,NĐ!AM388))=9)*(CHOOSE({1,2,3,4},NĐ!X388,NĐ!AD388,NĐ!AJ388,NĐ!AP388)))</f>
        <v>0</v>
      </c>
      <c r="J388">
        <f>SUMPRODUCT((MONTH(CHOOSE({1,2,3,4},NĐ!U388,NĐ!AA388,NĐ!AG388,NĐ!AM388))=10)*(CHOOSE({1,2,3,4},NĐ!X388,NĐ!AD388,NĐ!AJ388,NĐ!AP388)))</f>
        <v>0</v>
      </c>
      <c r="K388">
        <f>SUMPRODUCT((MONTH(CHOOSE({1,2,3,4},NĐ!U388,NĐ!AA388,NĐ!AG388,NĐ!AM388))=11)*(CHOOSE({1,2,3,4},NĐ!X388,NĐ!AD388,NĐ!AJ388,NĐ!AP388)))</f>
        <v>0</v>
      </c>
      <c r="L388">
        <f>SUMPRODUCT((MONTH(CHOOSE({1,2,3,4},NĐ!U388,NĐ!AA388,NĐ!AG388,NĐ!AM388))=12)*(CHOOSE({1,2,3,4},NĐ!X388,NĐ!AD388,NĐ!AJ388,NĐ!AP388)))</f>
        <v>0</v>
      </c>
    </row>
    <row r="389" spans="1:12">
      <c r="A389">
        <f>SUMPRODUCT((MONTH(CHOOSE({1,2,3,4},NĐ!U389,NĐ!AA389,NĐ!AG389,NĐ!AM389))=1)*(CHOOSE({1,2,3,4},NĐ!X389,NĐ!AD389,NĐ!AJ389,NĐ!AP389)))</f>
        <v>0</v>
      </c>
      <c r="B389">
        <f>SUMPRODUCT((MONTH(CHOOSE({1,2,3,4},NĐ!U389,NĐ!AA389,NĐ!AG389,NĐ!AM389))=2)*(CHOOSE({1,2,3,4},NĐ!X389,NĐ!AD389,NĐ!AJ389,NĐ!AP389)))</f>
        <v>0</v>
      </c>
      <c r="C389">
        <f>SUMPRODUCT((MONTH(CHOOSE({1,2,3,4},NĐ!U389,NĐ!AA389,NĐ!AG389,NĐ!AM389))=3)*(CHOOSE({1,2,3,4},NĐ!X389,NĐ!AD389,NĐ!AJ389,NĐ!AP389)))</f>
        <v>0</v>
      </c>
      <c r="D389">
        <f>SUMPRODUCT((MONTH(CHOOSE({1,2,3,4},NĐ!U389,NĐ!AA389,NĐ!AG389,NĐ!AM389))=4)*(CHOOSE({1,2,3,4},NĐ!X389,NĐ!AD389,NĐ!AJ389,NĐ!AP389)))</f>
        <v>0</v>
      </c>
      <c r="E389">
        <f>SUMPRODUCT((MONTH(CHOOSE({1,2,3,4},NĐ!U389,NĐ!AA389,NĐ!AG389,NĐ!AM389))=5)*(CHOOSE({1,2,3,4},NĐ!X389,NĐ!AD389,NĐ!AJ389,NĐ!AP389)))</f>
        <v>0</v>
      </c>
      <c r="F389">
        <f>SUMPRODUCT((MONTH(CHOOSE({1,2,3,4},NĐ!U389,NĐ!AA389,NĐ!AG389,NĐ!AM389))=6)*(CHOOSE({1,2,3,4},NĐ!X389,NĐ!AD389,NĐ!AJ389,NĐ!AP389)))</f>
        <v>0</v>
      </c>
      <c r="G389">
        <f>SUMPRODUCT((MONTH(CHOOSE({1,2,3,4},NĐ!U389,NĐ!AA389,NĐ!AG389,NĐ!AM389))=7)*(CHOOSE({1,2,3,4},NĐ!X389,NĐ!AD389,NĐ!AJ389,NĐ!AP389)))</f>
        <v>0</v>
      </c>
      <c r="H389">
        <f>SUMPRODUCT((MONTH(CHOOSE({1,2,3,4},NĐ!U389,NĐ!AA389,NĐ!AG389,NĐ!AM389))=8)*(CHOOSE({1,2,3,4},NĐ!X389,NĐ!AD389,NĐ!AJ389,NĐ!AP389)))</f>
        <v>0</v>
      </c>
      <c r="I389">
        <f>SUMPRODUCT((MONTH(CHOOSE({1,2,3,4},NĐ!U389,NĐ!AA389,NĐ!AG389,NĐ!AM389))=9)*(CHOOSE({1,2,3,4},NĐ!X389,NĐ!AD389,NĐ!AJ389,NĐ!AP389)))</f>
        <v>0</v>
      </c>
      <c r="J389">
        <f>SUMPRODUCT((MONTH(CHOOSE({1,2,3,4},NĐ!U389,NĐ!AA389,NĐ!AG389,NĐ!AM389))=10)*(CHOOSE({1,2,3,4},NĐ!X389,NĐ!AD389,NĐ!AJ389,NĐ!AP389)))</f>
        <v>0</v>
      </c>
      <c r="K389">
        <f>SUMPRODUCT((MONTH(CHOOSE({1,2,3,4},NĐ!U389,NĐ!AA389,NĐ!AG389,NĐ!AM389))=11)*(CHOOSE({1,2,3,4},NĐ!X389,NĐ!AD389,NĐ!AJ389,NĐ!AP389)))</f>
        <v>0</v>
      </c>
      <c r="L389">
        <f>SUMPRODUCT((MONTH(CHOOSE({1,2,3,4},NĐ!U389,NĐ!AA389,NĐ!AG389,NĐ!AM389))=12)*(CHOOSE({1,2,3,4},NĐ!X389,NĐ!AD389,NĐ!AJ389,NĐ!AP389)))</f>
        <v>0</v>
      </c>
    </row>
    <row r="390" spans="1:12">
      <c r="A390">
        <f>SUMPRODUCT((MONTH(CHOOSE({1,2,3,4},NĐ!U390,NĐ!AA390,NĐ!AG390,NĐ!AM390))=1)*(CHOOSE({1,2,3,4},NĐ!X390,NĐ!AD390,NĐ!AJ390,NĐ!AP390)))</f>
        <v>0</v>
      </c>
      <c r="B390">
        <f>SUMPRODUCT((MONTH(CHOOSE({1,2,3,4},NĐ!U390,NĐ!AA390,NĐ!AG390,NĐ!AM390))=2)*(CHOOSE({1,2,3,4},NĐ!X390,NĐ!AD390,NĐ!AJ390,NĐ!AP390)))</f>
        <v>0</v>
      </c>
      <c r="C390">
        <f>SUMPRODUCT((MONTH(CHOOSE({1,2,3,4},NĐ!U390,NĐ!AA390,NĐ!AG390,NĐ!AM390))=3)*(CHOOSE({1,2,3,4},NĐ!X390,NĐ!AD390,NĐ!AJ390,NĐ!AP390)))</f>
        <v>0</v>
      </c>
      <c r="D390">
        <f>SUMPRODUCT((MONTH(CHOOSE({1,2,3,4},NĐ!U390,NĐ!AA390,NĐ!AG390,NĐ!AM390))=4)*(CHOOSE({1,2,3,4},NĐ!X390,NĐ!AD390,NĐ!AJ390,NĐ!AP390)))</f>
        <v>0</v>
      </c>
      <c r="E390">
        <f>SUMPRODUCT((MONTH(CHOOSE({1,2,3,4},NĐ!U390,NĐ!AA390,NĐ!AG390,NĐ!AM390))=5)*(CHOOSE({1,2,3,4},NĐ!X390,NĐ!AD390,NĐ!AJ390,NĐ!AP390)))</f>
        <v>0</v>
      </c>
      <c r="F390">
        <f>SUMPRODUCT((MONTH(CHOOSE({1,2,3,4},NĐ!U390,NĐ!AA390,NĐ!AG390,NĐ!AM390))=6)*(CHOOSE({1,2,3,4},NĐ!X390,NĐ!AD390,NĐ!AJ390,NĐ!AP390)))</f>
        <v>0</v>
      </c>
      <c r="G390">
        <f>SUMPRODUCT((MONTH(CHOOSE({1,2,3,4},NĐ!U390,NĐ!AA390,NĐ!AG390,NĐ!AM390))=7)*(CHOOSE({1,2,3,4},NĐ!X390,NĐ!AD390,NĐ!AJ390,NĐ!AP390)))</f>
        <v>0</v>
      </c>
      <c r="H390">
        <f>SUMPRODUCT((MONTH(CHOOSE({1,2,3,4},NĐ!U390,NĐ!AA390,NĐ!AG390,NĐ!AM390))=8)*(CHOOSE({1,2,3,4},NĐ!X390,NĐ!AD390,NĐ!AJ390,NĐ!AP390)))</f>
        <v>0</v>
      </c>
      <c r="I390">
        <f>SUMPRODUCT((MONTH(CHOOSE({1,2,3,4},NĐ!U390,NĐ!AA390,NĐ!AG390,NĐ!AM390))=9)*(CHOOSE({1,2,3,4},NĐ!X390,NĐ!AD390,NĐ!AJ390,NĐ!AP390)))</f>
        <v>0</v>
      </c>
      <c r="J390">
        <f>SUMPRODUCT((MONTH(CHOOSE({1,2,3,4},NĐ!U390,NĐ!AA390,NĐ!AG390,NĐ!AM390))=10)*(CHOOSE({1,2,3,4},NĐ!X390,NĐ!AD390,NĐ!AJ390,NĐ!AP390)))</f>
        <v>0</v>
      </c>
      <c r="K390">
        <f>SUMPRODUCT((MONTH(CHOOSE({1,2,3,4},NĐ!U390,NĐ!AA390,NĐ!AG390,NĐ!AM390))=11)*(CHOOSE({1,2,3,4},NĐ!X390,NĐ!AD390,NĐ!AJ390,NĐ!AP390)))</f>
        <v>0</v>
      </c>
      <c r="L390">
        <f>SUMPRODUCT((MONTH(CHOOSE({1,2,3,4},NĐ!U390,NĐ!AA390,NĐ!AG390,NĐ!AM390))=12)*(CHOOSE({1,2,3,4},NĐ!X390,NĐ!AD390,NĐ!AJ390,NĐ!AP390)))</f>
        <v>0</v>
      </c>
    </row>
    <row r="391" spans="1:12">
      <c r="A391">
        <f>SUMPRODUCT((MONTH(CHOOSE({1,2,3,4},NĐ!U391,NĐ!AA391,NĐ!AG391,NĐ!AM391))=1)*(CHOOSE({1,2,3,4},NĐ!X391,NĐ!AD391,NĐ!AJ391,NĐ!AP391)))</f>
        <v>0</v>
      </c>
      <c r="B391">
        <f>SUMPRODUCT((MONTH(CHOOSE({1,2,3,4},NĐ!U391,NĐ!AA391,NĐ!AG391,NĐ!AM391))=2)*(CHOOSE({1,2,3,4},NĐ!X391,NĐ!AD391,NĐ!AJ391,NĐ!AP391)))</f>
        <v>0</v>
      </c>
      <c r="C391">
        <f>SUMPRODUCT((MONTH(CHOOSE({1,2,3,4},NĐ!U391,NĐ!AA391,NĐ!AG391,NĐ!AM391))=3)*(CHOOSE({1,2,3,4},NĐ!X391,NĐ!AD391,NĐ!AJ391,NĐ!AP391)))</f>
        <v>0</v>
      </c>
      <c r="D391">
        <f>SUMPRODUCT((MONTH(CHOOSE({1,2,3,4},NĐ!U391,NĐ!AA391,NĐ!AG391,NĐ!AM391))=4)*(CHOOSE({1,2,3,4},NĐ!X391,NĐ!AD391,NĐ!AJ391,NĐ!AP391)))</f>
        <v>0</v>
      </c>
      <c r="E391">
        <f>SUMPRODUCT((MONTH(CHOOSE({1,2,3,4},NĐ!U391,NĐ!AA391,NĐ!AG391,NĐ!AM391))=5)*(CHOOSE({1,2,3,4},NĐ!X391,NĐ!AD391,NĐ!AJ391,NĐ!AP391)))</f>
        <v>0</v>
      </c>
      <c r="F391">
        <f>SUMPRODUCT((MONTH(CHOOSE({1,2,3,4},NĐ!U391,NĐ!AA391,NĐ!AG391,NĐ!AM391))=6)*(CHOOSE({1,2,3,4},NĐ!X391,NĐ!AD391,NĐ!AJ391,NĐ!AP391)))</f>
        <v>0</v>
      </c>
      <c r="G391">
        <f>SUMPRODUCT((MONTH(CHOOSE({1,2,3,4},NĐ!U391,NĐ!AA391,NĐ!AG391,NĐ!AM391))=7)*(CHOOSE({1,2,3,4},NĐ!X391,NĐ!AD391,NĐ!AJ391,NĐ!AP391)))</f>
        <v>0</v>
      </c>
      <c r="H391">
        <f>SUMPRODUCT((MONTH(CHOOSE({1,2,3,4},NĐ!U391,NĐ!AA391,NĐ!AG391,NĐ!AM391))=8)*(CHOOSE({1,2,3,4},NĐ!X391,NĐ!AD391,NĐ!AJ391,NĐ!AP391)))</f>
        <v>0</v>
      </c>
      <c r="I391">
        <f>SUMPRODUCT((MONTH(CHOOSE({1,2,3,4},NĐ!U391,NĐ!AA391,NĐ!AG391,NĐ!AM391))=9)*(CHOOSE({1,2,3,4},NĐ!X391,NĐ!AD391,NĐ!AJ391,NĐ!AP391)))</f>
        <v>0</v>
      </c>
      <c r="J391">
        <f>SUMPRODUCT((MONTH(CHOOSE({1,2,3,4},NĐ!U391,NĐ!AA391,NĐ!AG391,NĐ!AM391))=10)*(CHOOSE({1,2,3,4},NĐ!X391,NĐ!AD391,NĐ!AJ391,NĐ!AP391)))</f>
        <v>0</v>
      </c>
      <c r="K391">
        <f>SUMPRODUCT((MONTH(CHOOSE({1,2,3,4},NĐ!U391,NĐ!AA391,NĐ!AG391,NĐ!AM391))=11)*(CHOOSE({1,2,3,4},NĐ!X391,NĐ!AD391,NĐ!AJ391,NĐ!AP391)))</f>
        <v>0</v>
      </c>
      <c r="L391">
        <f>SUMPRODUCT((MONTH(CHOOSE({1,2,3,4},NĐ!U391,NĐ!AA391,NĐ!AG391,NĐ!AM391))=12)*(CHOOSE({1,2,3,4},NĐ!X391,NĐ!AD391,NĐ!AJ391,NĐ!AP391)))</f>
        <v>0</v>
      </c>
    </row>
    <row r="392" spans="1:12">
      <c r="A392">
        <f>SUMPRODUCT((MONTH(CHOOSE({1,2,3,4},NĐ!U392,NĐ!AA392,NĐ!AG392,NĐ!AM392))=1)*(CHOOSE({1,2,3,4},NĐ!X392,NĐ!AD392,NĐ!AJ392,NĐ!AP392)))</f>
        <v>0</v>
      </c>
      <c r="B392">
        <f>SUMPRODUCT((MONTH(CHOOSE({1,2,3,4},NĐ!U392,NĐ!AA392,NĐ!AG392,NĐ!AM392))=2)*(CHOOSE({1,2,3,4},NĐ!X392,NĐ!AD392,NĐ!AJ392,NĐ!AP392)))</f>
        <v>0</v>
      </c>
      <c r="C392">
        <f>SUMPRODUCT((MONTH(CHOOSE({1,2,3,4},NĐ!U392,NĐ!AA392,NĐ!AG392,NĐ!AM392))=3)*(CHOOSE({1,2,3,4},NĐ!X392,NĐ!AD392,NĐ!AJ392,NĐ!AP392)))</f>
        <v>0</v>
      </c>
      <c r="D392">
        <f>SUMPRODUCT((MONTH(CHOOSE({1,2,3,4},NĐ!U392,NĐ!AA392,NĐ!AG392,NĐ!AM392))=4)*(CHOOSE({1,2,3,4},NĐ!X392,NĐ!AD392,NĐ!AJ392,NĐ!AP392)))</f>
        <v>0</v>
      </c>
      <c r="E392">
        <f>SUMPRODUCT((MONTH(CHOOSE({1,2,3,4},NĐ!U392,NĐ!AA392,NĐ!AG392,NĐ!AM392))=5)*(CHOOSE({1,2,3,4},NĐ!X392,NĐ!AD392,NĐ!AJ392,NĐ!AP392)))</f>
        <v>0</v>
      </c>
      <c r="F392">
        <f>SUMPRODUCT((MONTH(CHOOSE({1,2,3,4},NĐ!U392,NĐ!AA392,NĐ!AG392,NĐ!AM392))=6)*(CHOOSE({1,2,3,4},NĐ!X392,NĐ!AD392,NĐ!AJ392,NĐ!AP392)))</f>
        <v>0</v>
      </c>
      <c r="G392">
        <f>SUMPRODUCT((MONTH(CHOOSE({1,2,3,4},NĐ!U392,NĐ!AA392,NĐ!AG392,NĐ!AM392))=7)*(CHOOSE({1,2,3,4},NĐ!X392,NĐ!AD392,NĐ!AJ392,NĐ!AP392)))</f>
        <v>0</v>
      </c>
      <c r="H392">
        <f>SUMPRODUCT((MONTH(CHOOSE({1,2,3,4},NĐ!U392,NĐ!AA392,NĐ!AG392,NĐ!AM392))=8)*(CHOOSE({1,2,3,4},NĐ!X392,NĐ!AD392,NĐ!AJ392,NĐ!AP392)))</f>
        <v>0</v>
      </c>
      <c r="I392">
        <f>SUMPRODUCT((MONTH(CHOOSE({1,2,3,4},NĐ!U392,NĐ!AA392,NĐ!AG392,NĐ!AM392))=9)*(CHOOSE({1,2,3,4},NĐ!X392,NĐ!AD392,NĐ!AJ392,NĐ!AP392)))</f>
        <v>0</v>
      </c>
      <c r="J392">
        <f>SUMPRODUCT((MONTH(CHOOSE({1,2,3,4},NĐ!U392,NĐ!AA392,NĐ!AG392,NĐ!AM392))=10)*(CHOOSE({1,2,3,4},NĐ!X392,NĐ!AD392,NĐ!AJ392,NĐ!AP392)))</f>
        <v>0</v>
      </c>
      <c r="K392">
        <f>SUMPRODUCT((MONTH(CHOOSE({1,2,3,4},NĐ!U392,NĐ!AA392,NĐ!AG392,NĐ!AM392))=11)*(CHOOSE({1,2,3,4},NĐ!X392,NĐ!AD392,NĐ!AJ392,NĐ!AP392)))</f>
        <v>0</v>
      </c>
      <c r="L392">
        <f>SUMPRODUCT((MONTH(CHOOSE({1,2,3,4},NĐ!U392,NĐ!AA392,NĐ!AG392,NĐ!AM392))=12)*(CHOOSE({1,2,3,4},NĐ!X392,NĐ!AD392,NĐ!AJ392,NĐ!AP392)))</f>
        <v>0</v>
      </c>
    </row>
    <row r="393" spans="1:12">
      <c r="A393">
        <f>SUMPRODUCT((MONTH(CHOOSE({1,2,3,4},NĐ!U393,NĐ!AA393,NĐ!AG393,NĐ!AM393))=1)*(CHOOSE({1,2,3,4},NĐ!X393,NĐ!AD393,NĐ!AJ393,NĐ!AP393)))</f>
        <v>0</v>
      </c>
      <c r="B393">
        <f>SUMPRODUCT((MONTH(CHOOSE({1,2,3,4},NĐ!U393,NĐ!AA393,NĐ!AG393,NĐ!AM393))=2)*(CHOOSE({1,2,3,4},NĐ!X393,NĐ!AD393,NĐ!AJ393,NĐ!AP393)))</f>
        <v>0</v>
      </c>
      <c r="C393">
        <f>SUMPRODUCT((MONTH(CHOOSE({1,2,3,4},NĐ!U393,NĐ!AA393,NĐ!AG393,NĐ!AM393))=3)*(CHOOSE({1,2,3,4},NĐ!X393,NĐ!AD393,NĐ!AJ393,NĐ!AP393)))</f>
        <v>0</v>
      </c>
      <c r="D393">
        <f>SUMPRODUCT((MONTH(CHOOSE({1,2,3,4},NĐ!U393,NĐ!AA393,NĐ!AG393,NĐ!AM393))=4)*(CHOOSE({1,2,3,4},NĐ!X393,NĐ!AD393,NĐ!AJ393,NĐ!AP393)))</f>
        <v>0</v>
      </c>
      <c r="E393">
        <f>SUMPRODUCT((MONTH(CHOOSE({1,2,3,4},NĐ!U393,NĐ!AA393,NĐ!AG393,NĐ!AM393))=5)*(CHOOSE({1,2,3,4},NĐ!X393,NĐ!AD393,NĐ!AJ393,NĐ!AP393)))</f>
        <v>0</v>
      </c>
      <c r="F393">
        <f>SUMPRODUCT((MONTH(CHOOSE({1,2,3,4},NĐ!U393,NĐ!AA393,NĐ!AG393,NĐ!AM393))=6)*(CHOOSE({1,2,3,4},NĐ!X393,NĐ!AD393,NĐ!AJ393,NĐ!AP393)))</f>
        <v>0</v>
      </c>
      <c r="G393">
        <f>SUMPRODUCT((MONTH(CHOOSE({1,2,3,4},NĐ!U393,NĐ!AA393,NĐ!AG393,NĐ!AM393))=7)*(CHOOSE({1,2,3,4},NĐ!X393,NĐ!AD393,NĐ!AJ393,NĐ!AP393)))</f>
        <v>0</v>
      </c>
      <c r="H393">
        <f>SUMPRODUCT((MONTH(CHOOSE({1,2,3,4},NĐ!U393,NĐ!AA393,NĐ!AG393,NĐ!AM393))=8)*(CHOOSE({1,2,3,4},NĐ!X393,NĐ!AD393,NĐ!AJ393,NĐ!AP393)))</f>
        <v>0</v>
      </c>
      <c r="I393">
        <f>SUMPRODUCT((MONTH(CHOOSE({1,2,3,4},NĐ!U393,NĐ!AA393,NĐ!AG393,NĐ!AM393))=9)*(CHOOSE({1,2,3,4},NĐ!X393,NĐ!AD393,NĐ!AJ393,NĐ!AP393)))</f>
        <v>0</v>
      </c>
      <c r="J393">
        <f>SUMPRODUCT((MONTH(CHOOSE({1,2,3,4},NĐ!U393,NĐ!AA393,NĐ!AG393,NĐ!AM393))=10)*(CHOOSE({1,2,3,4},NĐ!X393,NĐ!AD393,NĐ!AJ393,NĐ!AP393)))</f>
        <v>0</v>
      </c>
      <c r="K393">
        <f>SUMPRODUCT((MONTH(CHOOSE({1,2,3,4},NĐ!U393,NĐ!AA393,NĐ!AG393,NĐ!AM393))=11)*(CHOOSE({1,2,3,4},NĐ!X393,NĐ!AD393,NĐ!AJ393,NĐ!AP393)))</f>
        <v>0</v>
      </c>
      <c r="L393">
        <f>SUMPRODUCT((MONTH(CHOOSE({1,2,3,4},NĐ!U393,NĐ!AA393,NĐ!AG393,NĐ!AM393))=12)*(CHOOSE({1,2,3,4},NĐ!X393,NĐ!AD393,NĐ!AJ393,NĐ!AP393)))</f>
        <v>0</v>
      </c>
    </row>
    <row r="394" spans="1:12">
      <c r="A394">
        <f>SUMPRODUCT((MONTH(CHOOSE({1,2,3,4},NĐ!U394,NĐ!AA394,NĐ!AG394,NĐ!AM394))=1)*(CHOOSE({1,2,3,4},NĐ!X394,NĐ!AD394,NĐ!AJ394,NĐ!AP394)))</f>
        <v>0</v>
      </c>
      <c r="B394">
        <f>SUMPRODUCT((MONTH(CHOOSE({1,2,3,4},NĐ!U394,NĐ!AA394,NĐ!AG394,NĐ!AM394))=2)*(CHOOSE({1,2,3,4},NĐ!X394,NĐ!AD394,NĐ!AJ394,NĐ!AP394)))</f>
        <v>0</v>
      </c>
      <c r="C394">
        <f>SUMPRODUCT((MONTH(CHOOSE({1,2,3,4},NĐ!U394,NĐ!AA394,NĐ!AG394,NĐ!AM394))=3)*(CHOOSE({1,2,3,4},NĐ!X394,NĐ!AD394,NĐ!AJ394,NĐ!AP394)))</f>
        <v>0</v>
      </c>
      <c r="D394">
        <f>SUMPRODUCT((MONTH(CHOOSE({1,2,3,4},NĐ!U394,NĐ!AA394,NĐ!AG394,NĐ!AM394))=4)*(CHOOSE({1,2,3,4},NĐ!X394,NĐ!AD394,NĐ!AJ394,NĐ!AP394)))</f>
        <v>0</v>
      </c>
      <c r="E394">
        <f>SUMPRODUCT((MONTH(CHOOSE({1,2,3,4},NĐ!U394,NĐ!AA394,NĐ!AG394,NĐ!AM394))=5)*(CHOOSE({1,2,3,4},NĐ!X394,NĐ!AD394,NĐ!AJ394,NĐ!AP394)))</f>
        <v>0</v>
      </c>
      <c r="F394">
        <f>SUMPRODUCT((MONTH(CHOOSE({1,2,3,4},NĐ!U394,NĐ!AA394,NĐ!AG394,NĐ!AM394))=6)*(CHOOSE({1,2,3,4},NĐ!X394,NĐ!AD394,NĐ!AJ394,NĐ!AP394)))</f>
        <v>0</v>
      </c>
      <c r="G394">
        <f>SUMPRODUCT((MONTH(CHOOSE({1,2,3,4},NĐ!U394,NĐ!AA394,NĐ!AG394,NĐ!AM394))=7)*(CHOOSE({1,2,3,4},NĐ!X394,NĐ!AD394,NĐ!AJ394,NĐ!AP394)))</f>
        <v>0</v>
      </c>
      <c r="H394">
        <f>SUMPRODUCT((MONTH(CHOOSE({1,2,3,4},NĐ!U394,NĐ!AA394,NĐ!AG394,NĐ!AM394))=8)*(CHOOSE({1,2,3,4},NĐ!X394,NĐ!AD394,NĐ!AJ394,NĐ!AP394)))</f>
        <v>0</v>
      </c>
      <c r="I394">
        <f>SUMPRODUCT((MONTH(CHOOSE({1,2,3,4},NĐ!U394,NĐ!AA394,NĐ!AG394,NĐ!AM394))=9)*(CHOOSE({1,2,3,4},NĐ!X394,NĐ!AD394,NĐ!AJ394,NĐ!AP394)))</f>
        <v>0</v>
      </c>
      <c r="J394">
        <f>SUMPRODUCT((MONTH(CHOOSE({1,2,3,4},NĐ!U394,NĐ!AA394,NĐ!AG394,NĐ!AM394))=10)*(CHOOSE({1,2,3,4},NĐ!X394,NĐ!AD394,NĐ!AJ394,NĐ!AP394)))</f>
        <v>0</v>
      </c>
      <c r="K394">
        <f>SUMPRODUCT((MONTH(CHOOSE({1,2,3,4},NĐ!U394,NĐ!AA394,NĐ!AG394,NĐ!AM394))=11)*(CHOOSE({1,2,3,4},NĐ!X394,NĐ!AD394,NĐ!AJ394,NĐ!AP394)))</f>
        <v>0</v>
      </c>
      <c r="L394">
        <f>SUMPRODUCT((MONTH(CHOOSE({1,2,3,4},NĐ!U394,NĐ!AA394,NĐ!AG394,NĐ!AM394))=12)*(CHOOSE({1,2,3,4},NĐ!X394,NĐ!AD394,NĐ!AJ394,NĐ!AP394)))</f>
        <v>0</v>
      </c>
    </row>
    <row r="395" spans="1:12">
      <c r="A395">
        <f>SUMPRODUCT((MONTH(CHOOSE({1,2,3,4},NĐ!U395,NĐ!AA395,NĐ!AG395,NĐ!AM395))=1)*(CHOOSE({1,2,3,4},NĐ!X395,NĐ!AD395,NĐ!AJ395,NĐ!AP395)))</f>
        <v>0</v>
      </c>
      <c r="B395">
        <f>SUMPRODUCT((MONTH(CHOOSE({1,2,3,4},NĐ!U395,NĐ!AA395,NĐ!AG395,NĐ!AM395))=2)*(CHOOSE({1,2,3,4},NĐ!X395,NĐ!AD395,NĐ!AJ395,NĐ!AP395)))</f>
        <v>0</v>
      </c>
      <c r="C395">
        <f>SUMPRODUCT((MONTH(CHOOSE({1,2,3,4},NĐ!U395,NĐ!AA395,NĐ!AG395,NĐ!AM395))=3)*(CHOOSE({1,2,3,4},NĐ!X395,NĐ!AD395,NĐ!AJ395,NĐ!AP395)))</f>
        <v>0</v>
      </c>
      <c r="D395">
        <f>SUMPRODUCT((MONTH(CHOOSE({1,2,3,4},NĐ!U395,NĐ!AA395,NĐ!AG395,NĐ!AM395))=4)*(CHOOSE({1,2,3,4},NĐ!X395,NĐ!AD395,NĐ!AJ395,NĐ!AP395)))</f>
        <v>0</v>
      </c>
      <c r="E395">
        <f>SUMPRODUCT((MONTH(CHOOSE({1,2,3,4},NĐ!U395,NĐ!AA395,NĐ!AG395,NĐ!AM395))=5)*(CHOOSE({1,2,3,4},NĐ!X395,NĐ!AD395,NĐ!AJ395,NĐ!AP395)))</f>
        <v>0</v>
      </c>
      <c r="F395">
        <f>SUMPRODUCT((MONTH(CHOOSE({1,2,3,4},NĐ!U395,NĐ!AA395,NĐ!AG395,NĐ!AM395))=6)*(CHOOSE({1,2,3,4},NĐ!X395,NĐ!AD395,NĐ!AJ395,NĐ!AP395)))</f>
        <v>0</v>
      </c>
      <c r="G395">
        <f>SUMPRODUCT((MONTH(CHOOSE({1,2,3,4},NĐ!U395,NĐ!AA395,NĐ!AG395,NĐ!AM395))=7)*(CHOOSE({1,2,3,4},NĐ!X395,NĐ!AD395,NĐ!AJ395,NĐ!AP395)))</f>
        <v>0</v>
      </c>
      <c r="H395">
        <f>SUMPRODUCT((MONTH(CHOOSE({1,2,3,4},NĐ!U395,NĐ!AA395,NĐ!AG395,NĐ!AM395))=8)*(CHOOSE({1,2,3,4},NĐ!X395,NĐ!AD395,NĐ!AJ395,NĐ!AP395)))</f>
        <v>0</v>
      </c>
      <c r="I395">
        <f>SUMPRODUCT((MONTH(CHOOSE({1,2,3,4},NĐ!U395,NĐ!AA395,NĐ!AG395,NĐ!AM395))=9)*(CHOOSE({1,2,3,4},NĐ!X395,NĐ!AD395,NĐ!AJ395,NĐ!AP395)))</f>
        <v>0</v>
      </c>
      <c r="J395">
        <f>SUMPRODUCT((MONTH(CHOOSE({1,2,3,4},NĐ!U395,NĐ!AA395,NĐ!AG395,NĐ!AM395))=10)*(CHOOSE({1,2,3,4},NĐ!X395,NĐ!AD395,NĐ!AJ395,NĐ!AP395)))</f>
        <v>0</v>
      </c>
      <c r="K395">
        <f>SUMPRODUCT((MONTH(CHOOSE({1,2,3,4},NĐ!U395,NĐ!AA395,NĐ!AG395,NĐ!AM395))=11)*(CHOOSE({1,2,3,4},NĐ!X395,NĐ!AD395,NĐ!AJ395,NĐ!AP395)))</f>
        <v>0</v>
      </c>
      <c r="L395">
        <f>SUMPRODUCT((MONTH(CHOOSE({1,2,3,4},NĐ!U395,NĐ!AA395,NĐ!AG395,NĐ!AM395))=12)*(CHOOSE({1,2,3,4},NĐ!X395,NĐ!AD395,NĐ!AJ395,NĐ!AP395)))</f>
        <v>0</v>
      </c>
    </row>
    <row r="396" spans="1:12">
      <c r="A396">
        <f>SUMPRODUCT((MONTH(CHOOSE({1,2,3,4},NĐ!U396,NĐ!AA396,NĐ!AG396,NĐ!AM396))=1)*(CHOOSE({1,2,3,4},NĐ!X396,NĐ!AD396,NĐ!AJ396,NĐ!AP396)))</f>
        <v>0</v>
      </c>
      <c r="B396">
        <f>SUMPRODUCT((MONTH(CHOOSE({1,2,3,4},NĐ!U396,NĐ!AA396,NĐ!AG396,NĐ!AM396))=2)*(CHOOSE({1,2,3,4},NĐ!X396,NĐ!AD396,NĐ!AJ396,NĐ!AP396)))</f>
        <v>0</v>
      </c>
      <c r="C396">
        <f>SUMPRODUCT((MONTH(CHOOSE({1,2,3,4},NĐ!U396,NĐ!AA396,NĐ!AG396,NĐ!AM396))=3)*(CHOOSE({1,2,3,4},NĐ!X396,NĐ!AD396,NĐ!AJ396,NĐ!AP396)))</f>
        <v>0</v>
      </c>
      <c r="D396">
        <f>SUMPRODUCT((MONTH(CHOOSE({1,2,3,4},NĐ!U396,NĐ!AA396,NĐ!AG396,NĐ!AM396))=4)*(CHOOSE({1,2,3,4},NĐ!X396,NĐ!AD396,NĐ!AJ396,NĐ!AP396)))</f>
        <v>0</v>
      </c>
      <c r="E396">
        <f>SUMPRODUCT((MONTH(CHOOSE({1,2,3,4},NĐ!U396,NĐ!AA396,NĐ!AG396,NĐ!AM396))=5)*(CHOOSE({1,2,3,4},NĐ!X396,NĐ!AD396,NĐ!AJ396,NĐ!AP396)))</f>
        <v>0</v>
      </c>
      <c r="F396">
        <f>SUMPRODUCT((MONTH(CHOOSE({1,2,3,4},NĐ!U396,NĐ!AA396,NĐ!AG396,NĐ!AM396))=6)*(CHOOSE({1,2,3,4},NĐ!X396,NĐ!AD396,NĐ!AJ396,NĐ!AP396)))</f>
        <v>0</v>
      </c>
      <c r="G396">
        <f>SUMPRODUCT((MONTH(CHOOSE({1,2,3,4},NĐ!U396,NĐ!AA396,NĐ!AG396,NĐ!AM396))=7)*(CHOOSE({1,2,3,4},NĐ!X396,NĐ!AD396,NĐ!AJ396,NĐ!AP396)))</f>
        <v>0</v>
      </c>
      <c r="H396">
        <f>SUMPRODUCT((MONTH(CHOOSE({1,2,3,4},NĐ!U396,NĐ!AA396,NĐ!AG396,NĐ!AM396))=8)*(CHOOSE({1,2,3,4},NĐ!X396,NĐ!AD396,NĐ!AJ396,NĐ!AP396)))</f>
        <v>0</v>
      </c>
      <c r="I396">
        <f>SUMPRODUCT((MONTH(CHOOSE({1,2,3,4},NĐ!U396,NĐ!AA396,NĐ!AG396,NĐ!AM396))=9)*(CHOOSE({1,2,3,4},NĐ!X396,NĐ!AD396,NĐ!AJ396,NĐ!AP396)))</f>
        <v>0</v>
      </c>
      <c r="J396">
        <f>SUMPRODUCT((MONTH(CHOOSE({1,2,3,4},NĐ!U396,NĐ!AA396,NĐ!AG396,NĐ!AM396))=10)*(CHOOSE({1,2,3,4},NĐ!X396,NĐ!AD396,NĐ!AJ396,NĐ!AP396)))</f>
        <v>0</v>
      </c>
      <c r="K396">
        <f>SUMPRODUCT((MONTH(CHOOSE({1,2,3,4},NĐ!U396,NĐ!AA396,NĐ!AG396,NĐ!AM396))=11)*(CHOOSE({1,2,3,4},NĐ!X396,NĐ!AD396,NĐ!AJ396,NĐ!AP396)))</f>
        <v>0</v>
      </c>
      <c r="L396">
        <f>SUMPRODUCT((MONTH(CHOOSE({1,2,3,4},NĐ!U396,NĐ!AA396,NĐ!AG396,NĐ!AM396))=12)*(CHOOSE({1,2,3,4},NĐ!X396,NĐ!AD396,NĐ!AJ396,NĐ!AP396)))</f>
        <v>0</v>
      </c>
    </row>
    <row r="397" spans="1:12">
      <c r="A397">
        <f>SUMPRODUCT((MONTH(CHOOSE({1,2,3,4},NĐ!U397,NĐ!AA397,NĐ!AG397,NĐ!AM397))=1)*(CHOOSE({1,2,3,4},NĐ!X397,NĐ!AD397,NĐ!AJ397,NĐ!AP397)))</f>
        <v>0</v>
      </c>
      <c r="B397">
        <f>SUMPRODUCT((MONTH(CHOOSE({1,2,3,4},NĐ!U397,NĐ!AA397,NĐ!AG397,NĐ!AM397))=2)*(CHOOSE({1,2,3,4},NĐ!X397,NĐ!AD397,NĐ!AJ397,NĐ!AP397)))</f>
        <v>0</v>
      </c>
      <c r="C397">
        <f>SUMPRODUCT((MONTH(CHOOSE({1,2,3,4},NĐ!U397,NĐ!AA397,NĐ!AG397,NĐ!AM397))=3)*(CHOOSE({1,2,3,4},NĐ!X397,NĐ!AD397,NĐ!AJ397,NĐ!AP397)))</f>
        <v>0</v>
      </c>
      <c r="D397">
        <f>SUMPRODUCT((MONTH(CHOOSE({1,2,3,4},NĐ!U397,NĐ!AA397,NĐ!AG397,NĐ!AM397))=4)*(CHOOSE({1,2,3,4},NĐ!X397,NĐ!AD397,NĐ!AJ397,NĐ!AP397)))</f>
        <v>0</v>
      </c>
      <c r="E397">
        <f>SUMPRODUCT((MONTH(CHOOSE({1,2,3,4},NĐ!U397,NĐ!AA397,NĐ!AG397,NĐ!AM397))=5)*(CHOOSE({1,2,3,4},NĐ!X397,NĐ!AD397,NĐ!AJ397,NĐ!AP397)))</f>
        <v>0</v>
      </c>
      <c r="F397">
        <f>SUMPRODUCT((MONTH(CHOOSE({1,2,3,4},NĐ!U397,NĐ!AA397,NĐ!AG397,NĐ!AM397))=6)*(CHOOSE({1,2,3,4},NĐ!X397,NĐ!AD397,NĐ!AJ397,NĐ!AP397)))</f>
        <v>0</v>
      </c>
      <c r="G397">
        <f>SUMPRODUCT((MONTH(CHOOSE({1,2,3,4},NĐ!U397,NĐ!AA397,NĐ!AG397,NĐ!AM397))=7)*(CHOOSE({1,2,3,4},NĐ!X397,NĐ!AD397,NĐ!AJ397,NĐ!AP397)))</f>
        <v>0</v>
      </c>
      <c r="H397">
        <f>SUMPRODUCT((MONTH(CHOOSE({1,2,3,4},NĐ!U397,NĐ!AA397,NĐ!AG397,NĐ!AM397))=8)*(CHOOSE({1,2,3,4},NĐ!X397,NĐ!AD397,NĐ!AJ397,NĐ!AP397)))</f>
        <v>0</v>
      </c>
      <c r="I397">
        <f>SUMPRODUCT((MONTH(CHOOSE({1,2,3,4},NĐ!U397,NĐ!AA397,NĐ!AG397,NĐ!AM397))=9)*(CHOOSE({1,2,3,4},NĐ!X397,NĐ!AD397,NĐ!AJ397,NĐ!AP397)))</f>
        <v>0</v>
      </c>
      <c r="J397">
        <f>SUMPRODUCT((MONTH(CHOOSE({1,2,3,4},NĐ!U397,NĐ!AA397,NĐ!AG397,NĐ!AM397))=10)*(CHOOSE({1,2,3,4},NĐ!X397,NĐ!AD397,NĐ!AJ397,NĐ!AP397)))</f>
        <v>0</v>
      </c>
      <c r="K397">
        <f>SUMPRODUCT((MONTH(CHOOSE({1,2,3,4},NĐ!U397,NĐ!AA397,NĐ!AG397,NĐ!AM397))=11)*(CHOOSE({1,2,3,4},NĐ!X397,NĐ!AD397,NĐ!AJ397,NĐ!AP397)))</f>
        <v>0</v>
      </c>
      <c r="L397">
        <f>SUMPRODUCT((MONTH(CHOOSE({1,2,3,4},NĐ!U397,NĐ!AA397,NĐ!AG397,NĐ!AM397))=12)*(CHOOSE({1,2,3,4},NĐ!X397,NĐ!AD397,NĐ!AJ397,NĐ!AP397)))</f>
        <v>0</v>
      </c>
    </row>
    <row r="398" spans="1:12">
      <c r="A398">
        <f>SUMPRODUCT((MONTH(CHOOSE({1,2,3,4},NĐ!U398,NĐ!AA398,NĐ!AG398,NĐ!AM398))=1)*(CHOOSE({1,2,3,4},NĐ!X398,NĐ!AD398,NĐ!AJ398,NĐ!AP398)))</f>
        <v>0</v>
      </c>
      <c r="B398">
        <f>SUMPRODUCT((MONTH(CHOOSE({1,2,3,4},NĐ!U398,NĐ!AA398,NĐ!AG398,NĐ!AM398))=2)*(CHOOSE({1,2,3,4},NĐ!X398,NĐ!AD398,NĐ!AJ398,NĐ!AP398)))</f>
        <v>0</v>
      </c>
      <c r="C398">
        <f>SUMPRODUCT((MONTH(CHOOSE({1,2,3,4},NĐ!U398,NĐ!AA398,NĐ!AG398,NĐ!AM398))=3)*(CHOOSE({1,2,3,4},NĐ!X398,NĐ!AD398,NĐ!AJ398,NĐ!AP398)))</f>
        <v>0</v>
      </c>
      <c r="D398">
        <f>SUMPRODUCT((MONTH(CHOOSE({1,2,3,4},NĐ!U398,NĐ!AA398,NĐ!AG398,NĐ!AM398))=4)*(CHOOSE({1,2,3,4},NĐ!X398,NĐ!AD398,NĐ!AJ398,NĐ!AP398)))</f>
        <v>0</v>
      </c>
      <c r="E398">
        <f>SUMPRODUCT((MONTH(CHOOSE({1,2,3,4},NĐ!U398,NĐ!AA398,NĐ!AG398,NĐ!AM398))=5)*(CHOOSE({1,2,3,4},NĐ!X398,NĐ!AD398,NĐ!AJ398,NĐ!AP398)))</f>
        <v>0</v>
      </c>
      <c r="F398">
        <f>SUMPRODUCT((MONTH(CHOOSE({1,2,3,4},NĐ!U398,NĐ!AA398,NĐ!AG398,NĐ!AM398))=6)*(CHOOSE({1,2,3,4},NĐ!X398,NĐ!AD398,NĐ!AJ398,NĐ!AP398)))</f>
        <v>0</v>
      </c>
      <c r="G398">
        <f>SUMPRODUCT((MONTH(CHOOSE({1,2,3,4},NĐ!U398,NĐ!AA398,NĐ!AG398,NĐ!AM398))=7)*(CHOOSE({1,2,3,4},NĐ!X398,NĐ!AD398,NĐ!AJ398,NĐ!AP398)))</f>
        <v>0</v>
      </c>
      <c r="H398">
        <f>SUMPRODUCT((MONTH(CHOOSE({1,2,3,4},NĐ!U398,NĐ!AA398,NĐ!AG398,NĐ!AM398))=8)*(CHOOSE({1,2,3,4},NĐ!X398,NĐ!AD398,NĐ!AJ398,NĐ!AP398)))</f>
        <v>0</v>
      </c>
      <c r="I398">
        <f>SUMPRODUCT((MONTH(CHOOSE({1,2,3,4},NĐ!U398,NĐ!AA398,NĐ!AG398,NĐ!AM398))=9)*(CHOOSE({1,2,3,4},NĐ!X398,NĐ!AD398,NĐ!AJ398,NĐ!AP398)))</f>
        <v>0</v>
      </c>
      <c r="J398">
        <f>SUMPRODUCT((MONTH(CHOOSE({1,2,3,4},NĐ!U398,NĐ!AA398,NĐ!AG398,NĐ!AM398))=10)*(CHOOSE({1,2,3,4},NĐ!X398,NĐ!AD398,NĐ!AJ398,NĐ!AP398)))</f>
        <v>0</v>
      </c>
      <c r="K398">
        <f>SUMPRODUCT((MONTH(CHOOSE({1,2,3,4},NĐ!U398,NĐ!AA398,NĐ!AG398,NĐ!AM398))=11)*(CHOOSE({1,2,3,4},NĐ!X398,NĐ!AD398,NĐ!AJ398,NĐ!AP398)))</f>
        <v>0</v>
      </c>
      <c r="L398">
        <f>SUMPRODUCT((MONTH(CHOOSE({1,2,3,4},NĐ!U398,NĐ!AA398,NĐ!AG398,NĐ!AM398))=12)*(CHOOSE({1,2,3,4},NĐ!X398,NĐ!AD398,NĐ!AJ398,NĐ!AP398)))</f>
        <v>0</v>
      </c>
    </row>
    <row r="399" spans="1:12">
      <c r="A399">
        <f>SUMPRODUCT((MONTH(CHOOSE({1,2,3,4},NĐ!U399,NĐ!AA399,NĐ!AG399,NĐ!AM399))=1)*(CHOOSE({1,2,3,4},NĐ!X399,NĐ!AD399,NĐ!AJ399,NĐ!AP399)))</f>
        <v>0</v>
      </c>
      <c r="B399">
        <f>SUMPRODUCT((MONTH(CHOOSE({1,2,3,4},NĐ!U399,NĐ!AA399,NĐ!AG399,NĐ!AM399))=2)*(CHOOSE({1,2,3,4},NĐ!X399,NĐ!AD399,NĐ!AJ399,NĐ!AP399)))</f>
        <v>0</v>
      </c>
      <c r="C399">
        <f>SUMPRODUCT((MONTH(CHOOSE({1,2,3,4},NĐ!U399,NĐ!AA399,NĐ!AG399,NĐ!AM399))=3)*(CHOOSE({1,2,3,4},NĐ!X399,NĐ!AD399,NĐ!AJ399,NĐ!AP399)))</f>
        <v>0</v>
      </c>
      <c r="D399">
        <f>SUMPRODUCT((MONTH(CHOOSE({1,2,3,4},NĐ!U399,NĐ!AA399,NĐ!AG399,NĐ!AM399))=4)*(CHOOSE({1,2,3,4},NĐ!X399,NĐ!AD399,NĐ!AJ399,NĐ!AP399)))</f>
        <v>0</v>
      </c>
      <c r="E399">
        <f>SUMPRODUCT((MONTH(CHOOSE({1,2,3,4},NĐ!U399,NĐ!AA399,NĐ!AG399,NĐ!AM399))=5)*(CHOOSE({1,2,3,4},NĐ!X399,NĐ!AD399,NĐ!AJ399,NĐ!AP399)))</f>
        <v>0</v>
      </c>
      <c r="F399">
        <f>SUMPRODUCT((MONTH(CHOOSE({1,2,3,4},NĐ!U399,NĐ!AA399,NĐ!AG399,NĐ!AM399))=6)*(CHOOSE({1,2,3,4},NĐ!X399,NĐ!AD399,NĐ!AJ399,NĐ!AP399)))</f>
        <v>0</v>
      </c>
      <c r="G399">
        <f>SUMPRODUCT((MONTH(CHOOSE({1,2,3,4},NĐ!U399,NĐ!AA399,NĐ!AG399,NĐ!AM399))=7)*(CHOOSE({1,2,3,4},NĐ!X399,NĐ!AD399,NĐ!AJ399,NĐ!AP399)))</f>
        <v>0</v>
      </c>
      <c r="H399">
        <f>SUMPRODUCT((MONTH(CHOOSE({1,2,3,4},NĐ!U399,NĐ!AA399,NĐ!AG399,NĐ!AM399))=8)*(CHOOSE({1,2,3,4},NĐ!X399,NĐ!AD399,NĐ!AJ399,NĐ!AP399)))</f>
        <v>0</v>
      </c>
      <c r="I399">
        <f>SUMPRODUCT((MONTH(CHOOSE({1,2,3,4},NĐ!U399,NĐ!AA399,NĐ!AG399,NĐ!AM399))=9)*(CHOOSE({1,2,3,4},NĐ!X399,NĐ!AD399,NĐ!AJ399,NĐ!AP399)))</f>
        <v>0</v>
      </c>
      <c r="J399">
        <f>SUMPRODUCT((MONTH(CHOOSE({1,2,3,4},NĐ!U399,NĐ!AA399,NĐ!AG399,NĐ!AM399))=10)*(CHOOSE({1,2,3,4},NĐ!X399,NĐ!AD399,NĐ!AJ399,NĐ!AP399)))</f>
        <v>0</v>
      </c>
      <c r="K399">
        <f>SUMPRODUCT((MONTH(CHOOSE({1,2,3,4},NĐ!U399,NĐ!AA399,NĐ!AG399,NĐ!AM399))=11)*(CHOOSE({1,2,3,4},NĐ!X399,NĐ!AD399,NĐ!AJ399,NĐ!AP399)))</f>
        <v>0</v>
      </c>
      <c r="L399">
        <f>SUMPRODUCT((MONTH(CHOOSE({1,2,3,4},NĐ!U399,NĐ!AA399,NĐ!AG399,NĐ!AM399))=12)*(CHOOSE({1,2,3,4},NĐ!X399,NĐ!AD399,NĐ!AJ399,NĐ!AP399)))</f>
        <v>0</v>
      </c>
    </row>
    <row r="400" spans="1:12">
      <c r="A400">
        <f>SUMPRODUCT((MONTH(CHOOSE({1,2,3,4},NĐ!U400,NĐ!AA400,NĐ!AG400,NĐ!AM400))=1)*(CHOOSE({1,2,3,4},NĐ!X400,NĐ!AD400,NĐ!AJ400,NĐ!AP400)))</f>
        <v>0</v>
      </c>
      <c r="B400">
        <f>SUMPRODUCT((MONTH(CHOOSE({1,2,3,4},NĐ!U400,NĐ!AA400,NĐ!AG400,NĐ!AM400))=2)*(CHOOSE({1,2,3,4},NĐ!X400,NĐ!AD400,NĐ!AJ400,NĐ!AP400)))</f>
        <v>0</v>
      </c>
      <c r="C400">
        <f>SUMPRODUCT((MONTH(CHOOSE({1,2,3,4},NĐ!U400,NĐ!AA400,NĐ!AG400,NĐ!AM400))=3)*(CHOOSE({1,2,3,4},NĐ!X400,NĐ!AD400,NĐ!AJ400,NĐ!AP400)))</f>
        <v>0</v>
      </c>
      <c r="D400">
        <f>SUMPRODUCT((MONTH(CHOOSE({1,2,3,4},NĐ!U400,NĐ!AA400,NĐ!AG400,NĐ!AM400))=4)*(CHOOSE({1,2,3,4},NĐ!X400,NĐ!AD400,NĐ!AJ400,NĐ!AP400)))</f>
        <v>0</v>
      </c>
      <c r="E400">
        <f>SUMPRODUCT((MONTH(CHOOSE({1,2,3,4},NĐ!U400,NĐ!AA400,NĐ!AG400,NĐ!AM400))=5)*(CHOOSE({1,2,3,4},NĐ!X400,NĐ!AD400,NĐ!AJ400,NĐ!AP400)))</f>
        <v>0</v>
      </c>
      <c r="F400">
        <f>SUMPRODUCT((MONTH(CHOOSE({1,2,3,4},NĐ!U400,NĐ!AA400,NĐ!AG400,NĐ!AM400))=6)*(CHOOSE({1,2,3,4},NĐ!X400,NĐ!AD400,NĐ!AJ400,NĐ!AP400)))</f>
        <v>0</v>
      </c>
      <c r="G400">
        <f>SUMPRODUCT((MONTH(CHOOSE({1,2,3,4},NĐ!U400,NĐ!AA400,NĐ!AG400,NĐ!AM400))=7)*(CHOOSE({1,2,3,4},NĐ!X400,NĐ!AD400,NĐ!AJ400,NĐ!AP400)))</f>
        <v>0</v>
      </c>
      <c r="H400">
        <f>SUMPRODUCT((MONTH(CHOOSE({1,2,3,4},NĐ!U400,NĐ!AA400,NĐ!AG400,NĐ!AM400))=8)*(CHOOSE({1,2,3,4},NĐ!X400,NĐ!AD400,NĐ!AJ400,NĐ!AP400)))</f>
        <v>0</v>
      </c>
      <c r="I400">
        <f>SUMPRODUCT((MONTH(CHOOSE({1,2,3,4},NĐ!U400,NĐ!AA400,NĐ!AG400,NĐ!AM400))=9)*(CHOOSE({1,2,3,4},NĐ!X400,NĐ!AD400,NĐ!AJ400,NĐ!AP400)))</f>
        <v>0</v>
      </c>
      <c r="J400">
        <f>SUMPRODUCT((MONTH(CHOOSE({1,2,3,4},NĐ!U400,NĐ!AA400,NĐ!AG400,NĐ!AM400))=10)*(CHOOSE({1,2,3,4},NĐ!X400,NĐ!AD400,NĐ!AJ400,NĐ!AP400)))</f>
        <v>0</v>
      </c>
      <c r="K400">
        <f>SUMPRODUCT((MONTH(CHOOSE({1,2,3,4},NĐ!U400,NĐ!AA400,NĐ!AG400,NĐ!AM400))=11)*(CHOOSE({1,2,3,4},NĐ!X400,NĐ!AD400,NĐ!AJ400,NĐ!AP400)))</f>
        <v>0</v>
      </c>
      <c r="L400">
        <f>SUMPRODUCT((MONTH(CHOOSE({1,2,3,4},NĐ!U400,NĐ!AA400,NĐ!AG400,NĐ!AM400))=12)*(CHOOSE({1,2,3,4},NĐ!X400,NĐ!AD400,NĐ!AJ400,NĐ!AP400)))</f>
        <v>0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1"/>
  <dimension ref="A1:L400"/>
  <sheetViews>
    <sheetView workbookViewId="0">
      <selection activeCell="I11" sqref="I11"/>
    </sheetView>
  </sheetViews>
  <sheetFormatPr defaultRowHeight="12.75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40" customFormat="1">
      <c r="A2" s="40">
        <f>SUM(A3:A444)</f>
        <v>0</v>
      </c>
      <c r="B2" s="40">
        <f t="shared" ref="B2:L2" si="1">SUM(B3:B444)</f>
        <v>0</v>
      </c>
      <c r="C2" s="40">
        <f t="shared" si="1"/>
        <v>0</v>
      </c>
      <c r="D2" s="40">
        <f t="shared" si="1"/>
        <v>0</v>
      </c>
      <c r="E2" s="40">
        <f t="shared" si="1"/>
        <v>0</v>
      </c>
      <c r="F2" s="40">
        <f t="shared" si="1"/>
        <v>0</v>
      </c>
      <c r="G2" s="40">
        <f t="shared" si="1"/>
        <v>0</v>
      </c>
      <c r="H2" s="40">
        <f t="shared" si="1"/>
        <v>0</v>
      </c>
      <c r="I2" s="40">
        <f t="shared" si="1"/>
        <v>0</v>
      </c>
      <c r="J2" s="40">
        <f t="shared" si="1"/>
        <v>0</v>
      </c>
      <c r="K2" s="40">
        <f t="shared" si="1"/>
        <v>0</v>
      </c>
      <c r="L2" s="40">
        <f t="shared" si="1"/>
        <v>0</v>
      </c>
    </row>
    <row r="3" spans="1:12" ht="15.75" customHeight="1">
      <c r="A3">
        <f>SUMPRODUCT((MONTH(CHOOSE({1,2,3,4},TTSSKĐ!U3,TTSSKĐ!AA3,TTSSKĐ!AG3,TTSSKĐ!AM3))=1)*(CHOOSE({1,2,3,4},TTSSKĐ!X3,TTSSKĐ!AD3,TTSSKĐ!AJ3,TTSSKĐ!AP3)))</f>
        <v>0</v>
      </c>
      <c r="B3">
        <f>SUMPRODUCT((MONTH(CHOOSE({1,2,3,4},TTSSKĐ!U3,TTSSKĐ!AA3,TTSSKĐ!AG3,TTSSKĐ!AM3))=2)*(CHOOSE({1,2,3,4},TTSSKĐ!X3,TTSSKĐ!AD3,TTSSKĐ!AJ3,TTSSKĐ!AP3)))</f>
        <v>0</v>
      </c>
      <c r="C3">
        <f>SUMPRODUCT((MONTH(CHOOSE({1,2,3,4},TTSSKĐ!U3,TTSSKĐ!AA3,TTSSKĐ!AG3,TTSSKĐ!AM3))=3)*(CHOOSE({1,2,3,4},TTSSKĐ!X3,TTSSKĐ!AD3,TTSSKĐ!AJ3,TTSSKĐ!AP3)))</f>
        <v>0</v>
      </c>
      <c r="D3">
        <f>SUMPRODUCT((MONTH(CHOOSE({1,2,3,4},TTSSKĐ!U3,TTSSKĐ!AA3,TTSSKĐ!AG3,TTSSKĐ!AM3))=4)*(CHOOSE({1,2,3,4},TTSSKĐ!X3,TTSSKĐ!AD3,TTSSKĐ!AJ3,TTSSKĐ!AP3)))</f>
        <v>0</v>
      </c>
      <c r="E3">
        <f>SUMPRODUCT((MONTH(CHOOSE({1,2,3,4},TTSSKĐ!U3,TTSSKĐ!AA3,TTSSKĐ!AG3,TTSSKĐ!AM3))=5)*(CHOOSE({1,2,3,4},TTSSKĐ!X3,TTSSKĐ!AD3,TTSSKĐ!AJ3,TTSSKĐ!AP3)))</f>
        <v>0</v>
      </c>
      <c r="F3">
        <f>SUMPRODUCT((MONTH(CHOOSE({1,2,3,4},TTSSKĐ!U3,TTSSKĐ!AA3,TTSSKĐ!AG3,TTSSKĐ!AM3))=6)*(CHOOSE({1,2,3,4},TTSSKĐ!X3,TTSSKĐ!AD3,TTSSKĐ!AJ3,TTSSKĐ!AP3)))</f>
        <v>0</v>
      </c>
      <c r="G3">
        <f>SUMPRODUCT((MONTH(CHOOSE({1,2,3,4},TTSSKĐ!U3,TTSSKĐ!AA3,TTSSKĐ!AG3,TTSSKĐ!AM3))=7)*(CHOOSE({1,2,3,4},TTSSKĐ!X3,TTSSKĐ!AD3,TTSSKĐ!AJ3,TTSSKĐ!AP3)))</f>
        <v>0</v>
      </c>
      <c r="H3">
        <f>SUMPRODUCT((MONTH(CHOOSE({1,2,3,4},TTSSKĐ!U3,TTSSKĐ!AA3,TTSSKĐ!AG3,TTSSKĐ!AM3))=8)*(CHOOSE({1,2,3,4},TTSSKĐ!X3,TTSSKĐ!AD3,TTSSKĐ!AJ3,TTSSKĐ!AP3)))</f>
        <v>0</v>
      </c>
      <c r="I3">
        <f>SUMPRODUCT((MONTH(CHOOSE({1,2,3,4},TTSSKĐ!U3,TTSSKĐ!AA3,TTSSKĐ!AG3,TTSSKĐ!AM3))=9)*(CHOOSE({1,2,3,4},TTSSKĐ!X3,TTSSKĐ!AD3,TTSSKĐ!AJ3,TTSSKĐ!AP3)))</f>
        <v>0</v>
      </c>
      <c r="J3">
        <f>SUMPRODUCT((MONTH(CHOOSE({1,2,3,4},TTSSKĐ!U3,TTSSKĐ!AA3,TTSSKĐ!AG3,TTSSKĐ!AM3))=10)*(CHOOSE({1,2,3,4},TTSSKĐ!X3,TTSSKĐ!AD3,TTSSKĐ!AJ3,TTSSKĐ!AP3)))</f>
        <v>0</v>
      </c>
      <c r="K3">
        <f>SUMPRODUCT((MONTH(CHOOSE({1,2,3,4},TTSSKĐ!U3,TTSSKĐ!AA3,TTSSKĐ!AG3,TTSSKĐ!AM3))=11)*(CHOOSE({1,2,3,4},TTSSKĐ!X3,TTSSKĐ!AD3,TTSSKĐ!AJ3,TTSSKĐ!AP3)))</f>
        <v>0</v>
      </c>
      <c r="L3">
        <f>SUMPRODUCT((MONTH(CHOOSE({1,2,3,4},TTSSKĐ!U3,TTSSKĐ!AA3,TTSSKĐ!AG3,TTSSKĐ!AM3))=12)*(CHOOSE({1,2,3,4},TTSSKĐ!X3,TTSSKĐ!AD3,TTSSKĐ!AJ3,TTSSKĐ!AP3)))</f>
        <v>0</v>
      </c>
    </row>
    <row r="4" spans="1:12">
      <c r="A4">
        <f>SUMPRODUCT((MONTH(CHOOSE({1,2,3,4},TTSSKĐ!U4,TTSSKĐ!AA4,TTSSKĐ!AG4,TTSSKĐ!AM4))=1)*(CHOOSE({1,2,3,4},TTSSKĐ!X4,TTSSKĐ!AD4,TTSSKĐ!AJ4,TTSSKĐ!AP4)))</f>
        <v>0</v>
      </c>
      <c r="B4">
        <f>SUMPRODUCT((MONTH(CHOOSE({1,2,3,4},TTSSKĐ!U4,TTSSKĐ!AA4,TTSSKĐ!AG4,TTSSKĐ!AM4))=2)*(CHOOSE({1,2,3,4},TTSSKĐ!X4,TTSSKĐ!AD4,TTSSKĐ!AJ4,TTSSKĐ!AP4)))</f>
        <v>0</v>
      </c>
      <c r="C4">
        <f>SUMPRODUCT((MONTH(CHOOSE({1,2,3,4},TTSSKĐ!U4,TTSSKĐ!AA4,TTSSKĐ!AG4,TTSSKĐ!AM4))=3)*(CHOOSE({1,2,3,4},TTSSKĐ!X4,TTSSKĐ!AD4,TTSSKĐ!AJ4,TTSSKĐ!AP4)))</f>
        <v>0</v>
      </c>
      <c r="D4">
        <f>SUMPRODUCT((MONTH(CHOOSE({1,2,3,4},TTSSKĐ!U4,TTSSKĐ!AA4,TTSSKĐ!AG4,TTSSKĐ!AM4))=4)*(CHOOSE({1,2,3,4},TTSSKĐ!X4,TTSSKĐ!AD4,TTSSKĐ!AJ4,TTSSKĐ!AP4)))</f>
        <v>0</v>
      </c>
      <c r="E4">
        <f>SUMPRODUCT((MONTH(CHOOSE({1,2,3,4},TTSSKĐ!U4,TTSSKĐ!AA4,TTSSKĐ!AG4,TTSSKĐ!AM4))=5)*(CHOOSE({1,2,3,4},TTSSKĐ!X4,TTSSKĐ!AD4,TTSSKĐ!AJ4,TTSSKĐ!AP4)))</f>
        <v>0</v>
      </c>
      <c r="F4">
        <f>SUMPRODUCT((MONTH(CHOOSE({1,2,3,4},TTSSKĐ!U4,TTSSKĐ!AA4,TTSSKĐ!AG4,TTSSKĐ!AM4))=6)*(CHOOSE({1,2,3,4},TTSSKĐ!X4,TTSSKĐ!AD4,TTSSKĐ!AJ4,TTSSKĐ!AP4)))</f>
        <v>0</v>
      </c>
      <c r="G4">
        <f>SUMPRODUCT((MONTH(CHOOSE({1,2,3,4},TTSSKĐ!U4,TTSSKĐ!AA4,TTSSKĐ!AG4,TTSSKĐ!AM4))=7)*(CHOOSE({1,2,3,4},TTSSKĐ!X4,TTSSKĐ!AD4,TTSSKĐ!AJ4,TTSSKĐ!AP4)))</f>
        <v>0</v>
      </c>
      <c r="H4">
        <f>SUMPRODUCT((MONTH(CHOOSE({1,2,3,4},TTSSKĐ!U4,TTSSKĐ!AA4,TTSSKĐ!AG4,TTSSKĐ!AM4))=8)*(CHOOSE({1,2,3,4},TTSSKĐ!X4,TTSSKĐ!AD4,TTSSKĐ!AJ4,TTSSKĐ!AP4)))</f>
        <v>0</v>
      </c>
      <c r="I4">
        <f>SUMPRODUCT((MONTH(CHOOSE({1,2,3,4},TTSSKĐ!U4,TTSSKĐ!AA4,TTSSKĐ!AG4,TTSSKĐ!AM4))=9)*(CHOOSE({1,2,3,4},TTSSKĐ!X4,TTSSKĐ!AD4,TTSSKĐ!AJ4,TTSSKĐ!AP4)))</f>
        <v>0</v>
      </c>
      <c r="J4">
        <f>SUMPRODUCT((MONTH(CHOOSE({1,2,3,4},TTSSKĐ!U4,TTSSKĐ!AA4,TTSSKĐ!AG4,TTSSKĐ!AM4))=10)*(CHOOSE({1,2,3,4},TTSSKĐ!X4,TTSSKĐ!AD4,TTSSKĐ!AJ4,TTSSKĐ!AP4)))</f>
        <v>0</v>
      </c>
      <c r="K4">
        <f>SUMPRODUCT((MONTH(CHOOSE({1,2,3,4},TTSSKĐ!U4,TTSSKĐ!AA4,TTSSKĐ!AG4,TTSSKĐ!AM4))=11)*(CHOOSE({1,2,3,4},TTSSKĐ!X4,TTSSKĐ!AD4,TTSSKĐ!AJ4,TTSSKĐ!AP4)))</f>
        <v>0</v>
      </c>
      <c r="L4">
        <f>SUMPRODUCT((MONTH(CHOOSE({1,2,3,4},TTSSKĐ!U4,TTSSKĐ!AA4,TTSSKĐ!AG4,TTSSKĐ!AM4))=12)*(CHOOSE({1,2,3,4},TTSSKĐ!X4,TTSSKĐ!AD4,TTSSKĐ!AJ4,TTSSKĐ!AP4)))</f>
        <v>0</v>
      </c>
    </row>
    <row r="5" spans="1:12">
      <c r="A5">
        <f>SUMPRODUCT((MONTH(CHOOSE({1,2,3,4},TTSSKĐ!U5,TTSSKĐ!AA5,TTSSKĐ!AG5,TTSSKĐ!AM5))=1)*(CHOOSE({1,2,3,4},TTSSKĐ!X5,TTSSKĐ!AD5,TTSSKĐ!AJ5,TTSSKĐ!AP5)))</f>
        <v>0</v>
      </c>
      <c r="B5">
        <f>SUMPRODUCT((MONTH(CHOOSE({1,2,3,4},TTSSKĐ!U5,TTSSKĐ!AA5,TTSSKĐ!AG5,TTSSKĐ!AM5))=2)*(CHOOSE({1,2,3,4},TTSSKĐ!X5,TTSSKĐ!AD5,TTSSKĐ!AJ5,TTSSKĐ!AP5)))</f>
        <v>0</v>
      </c>
      <c r="C5">
        <f>SUMPRODUCT((MONTH(CHOOSE({1,2,3,4},TTSSKĐ!U5,TTSSKĐ!AA5,TTSSKĐ!AG5,TTSSKĐ!AM5))=3)*(CHOOSE({1,2,3,4},TTSSKĐ!X5,TTSSKĐ!AD5,TTSSKĐ!AJ5,TTSSKĐ!AP5)))</f>
        <v>0</v>
      </c>
      <c r="D5">
        <f>SUMPRODUCT((MONTH(CHOOSE({1,2,3,4},TTSSKĐ!U5,TTSSKĐ!AA5,TTSSKĐ!AG5,TTSSKĐ!AM5))=4)*(CHOOSE({1,2,3,4},TTSSKĐ!X5,TTSSKĐ!AD5,TTSSKĐ!AJ5,TTSSKĐ!AP5)))</f>
        <v>0</v>
      </c>
      <c r="E5">
        <f>SUMPRODUCT((MONTH(CHOOSE({1,2,3,4},TTSSKĐ!U5,TTSSKĐ!AA5,TTSSKĐ!AG5,TTSSKĐ!AM5))=5)*(CHOOSE({1,2,3,4},TTSSKĐ!X5,TTSSKĐ!AD5,TTSSKĐ!AJ5,TTSSKĐ!AP5)))</f>
        <v>0</v>
      </c>
      <c r="F5">
        <f>SUMPRODUCT((MONTH(CHOOSE({1,2,3,4},TTSSKĐ!U5,TTSSKĐ!AA5,TTSSKĐ!AG5,TTSSKĐ!AM5))=6)*(CHOOSE({1,2,3,4},TTSSKĐ!X5,TTSSKĐ!AD5,TTSSKĐ!AJ5,TTSSKĐ!AP5)))</f>
        <v>0</v>
      </c>
      <c r="G5">
        <f>SUMPRODUCT((MONTH(CHOOSE({1,2,3,4},TTSSKĐ!U5,TTSSKĐ!AA5,TTSSKĐ!AG5,TTSSKĐ!AM5))=7)*(CHOOSE({1,2,3,4},TTSSKĐ!X5,TTSSKĐ!AD5,TTSSKĐ!AJ5,TTSSKĐ!AP5)))</f>
        <v>0</v>
      </c>
      <c r="H5">
        <f>SUMPRODUCT((MONTH(CHOOSE({1,2,3,4},TTSSKĐ!U5,TTSSKĐ!AA5,TTSSKĐ!AG5,TTSSKĐ!AM5))=8)*(CHOOSE({1,2,3,4},TTSSKĐ!X5,TTSSKĐ!AD5,TTSSKĐ!AJ5,TTSSKĐ!AP5)))</f>
        <v>0</v>
      </c>
      <c r="I5">
        <f>SUMPRODUCT((MONTH(CHOOSE({1,2,3,4},TTSSKĐ!U5,TTSSKĐ!AA5,TTSSKĐ!AG5,TTSSKĐ!AM5))=9)*(CHOOSE({1,2,3,4},TTSSKĐ!X5,TTSSKĐ!AD5,TTSSKĐ!AJ5,TTSSKĐ!AP5)))</f>
        <v>0</v>
      </c>
      <c r="J5">
        <f>SUMPRODUCT((MONTH(CHOOSE({1,2,3,4},TTSSKĐ!U5,TTSSKĐ!AA5,TTSSKĐ!AG5,TTSSKĐ!AM5))=10)*(CHOOSE({1,2,3,4},TTSSKĐ!X5,TTSSKĐ!AD5,TTSSKĐ!AJ5,TTSSKĐ!AP5)))</f>
        <v>0</v>
      </c>
      <c r="K5">
        <f>SUMPRODUCT((MONTH(CHOOSE({1,2,3,4},TTSSKĐ!U5,TTSSKĐ!AA5,TTSSKĐ!AG5,TTSSKĐ!AM5))=11)*(CHOOSE({1,2,3,4},TTSSKĐ!X5,TTSSKĐ!AD5,TTSSKĐ!AJ5,TTSSKĐ!AP5)))</f>
        <v>0</v>
      </c>
      <c r="L5">
        <f>SUMPRODUCT((MONTH(CHOOSE({1,2,3,4},TTSSKĐ!U5,TTSSKĐ!AA5,TTSSKĐ!AG5,TTSSKĐ!AM5))=12)*(CHOOSE({1,2,3,4},TTSSKĐ!X5,TTSSKĐ!AD5,TTSSKĐ!AJ5,TTSSKĐ!AP5)))</f>
        <v>0</v>
      </c>
    </row>
    <row r="6" spans="1:12">
      <c r="A6">
        <f>SUMPRODUCT((MONTH(CHOOSE({1,2,3,4},TTSSKĐ!U6,TTSSKĐ!AA6,TTSSKĐ!AG6,TTSSKĐ!AM6))=1)*(CHOOSE({1,2,3,4},TTSSKĐ!X6,TTSSKĐ!AD6,TTSSKĐ!AJ6,TTSSKĐ!AP6)))</f>
        <v>0</v>
      </c>
      <c r="B6">
        <f>SUMPRODUCT((MONTH(CHOOSE({1,2,3,4},TTSSKĐ!U6,TTSSKĐ!AA6,TTSSKĐ!AG6,TTSSKĐ!AM6))=2)*(CHOOSE({1,2,3,4},TTSSKĐ!X6,TTSSKĐ!AD6,TTSSKĐ!AJ6,TTSSKĐ!AP6)))</f>
        <v>0</v>
      </c>
      <c r="C6">
        <f>SUMPRODUCT((MONTH(CHOOSE({1,2,3,4},TTSSKĐ!U6,TTSSKĐ!AA6,TTSSKĐ!AG6,TTSSKĐ!AM6))=3)*(CHOOSE({1,2,3,4},TTSSKĐ!X6,TTSSKĐ!AD6,TTSSKĐ!AJ6,TTSSKĐ!AP6)))</f>
        <v>0</v>
      </c>
      <c r="D6">
        <f>SUMPRODUCT((MONTH(CHOOSE({1,2,3,4},TTSSKĐ!U6,TTSSKĐ!AA6,TTSSKĐ!AG6,TTSSKĐ!AM6))=4)*(CHOOSE({1,2,3,4},TTSSKĐ!X6,TTSSKĐ!AD6,TTSSKĐ!AJ6,TTSSKĐ!AP6)))</f>
        <v>0</v>
      </c>
      <c r="E6">
        <f>SUMPRODUCT((MONTH(CHOOSE({1,2,3,4},TTSSKĐ!U6,TTSSKĐ!AA6,TTSSKĐ!AG6,TTSSKĐ!AM6))=5)*(CHOOSE({1,2,3,4},TTSSKĐ!X6,TTSSKĐ!AD6,TTSSKĐ!AJ6,TTSSKĐ!AP6)))</f>
        <v>0</v>
      </c>
      <c r="F6">
        <f>SUMPRODUCT((MONTH(CHOOSE({1,2,3,4},TTSSKĐ!U6,TTSSKĐ!AA6,TTSSKĐ!AG6,TTSSKĐ!AM6))=6)*(CHOOSE({1,2,3,4},TTSSKĐ!X6,TTSSKĐ!AD6,TTSSKĐ!AJ6,TTSSKĐ!AP6)))</f>
        <v>0</v>
      </c>
      <c r="G6">
        <f>SUMPRODUCT((MONTH(CHOOSE({1,2,3,4},TTSSKĐ!U6,TTSSKĐ!AA6,TTSSKĐ!AG6,TTSSKĐ!AM6))=7)*(CHOOSE({1,2,3,4},TTSSKĐ!X6,TTSSKĐ!AD6,TTSSKĐ!AJ6,TTSSKĐ!AP6)))</f>
        <v>0</v>
      </c>
      <c r="H6">
        <f>SUMPRODUCT((MONTH(CHOOSE({1,2,3,4},TTSSKĐ!U6,TTSSKĐ!AA6,TTSSKĐ!AG6,TTSSKĐ!AM6))=8)*(CHOOSE({1,2,3,4},TTSSKĐ!X6,TTSSKĐ!AD6,TTSSKĐ!AJ6,TTSSKĐ!AP6)))</f>
        <v>0</v>
      </c>
      <c r="I6">
        <f>SUMPRODUCT((MONTH(CHOOSE({1,2,3,4},TTSSKĐ!U6,TTSSKĐ!AA6,TTSSKĐ!AG6,TTSSKĐ!AM6))=9)*(CHOOSE({1,2,3,4},TTSSKĐ!X6,TTSSKĐ!AD6,TTSSKĐ!AJ6,TTSSKĐ!AP6)))</f>
        <v>0</v>
      </c>
      <c r="J6">
        <f>SUMPRODUCT((MONTH(CHOOSE({1,2,3,4},TTSSKĐ!U6,TTSSKĐ!AA6,TTSSKĐ!AG6,TTSSKĐ!AM6))=10)*(CHOOSE({1,2,3,4},TTSSKĐ!X6,TTSSKĐ!AD6,TTSSKĐ!AJ6,TTSSKĐ!AP6)))</f>
        <v>0</v>
      </c>
      <c r="K6">
        <f>SUMPRODUCT((MONTH(CHOOSE({1,2,3,4},TTSSKĐ!U6,TTSSKĐ!AA6,TTSSKĐ!AG6,TTSSKĐ!AM6))=11)*(CHOOSE({1,2,3,4},TTSSKĐ!X6,TTSSKĐ!AD6,TTSSKĐ!AJ6,TTSSKĐ!AP6)))</f>
        <v>0</v>
      </c>
      <c r="L6">
        <f>SUMPRODUCT((MONTH(CHOOSE({1,2,3,4},TTSSKĐ!U6,TTSSKĐ!AA6,TTSSKĐ!AG6,TTSSKĐ!AM6))=12)*(CHOOSE({1,2,3,4},TTSSKĐ!X6,TTSSKĐ!AD6,TTSSKĐ!AJ6,TTSSKĐ!AP6)))</f>
        <v>0</v>
      </c>
    </row>
    <row r="7" spans="1:12">
      <c r="A7">
        <f>SUMPRODUCT((MONTH(CHOOSE({1,2,3,4},TTSSKĐ!U7,TTSSKĐ!AA7,TTSSKĐ!AG7,TTSSKĐ!AM7))=1)*(CHOOSE({1,2,3,4},TTSSKĐ!X7,TTSSKĐ!AD7,TTSSKĐ!AJ7,TTSSKĐ!AP7)))</f>
        <v>0</v>
      </c>
      <c r="B7">
        <f>SUMPRODUCT((MONTH(CHOOSE({1,2,3,4},TTSSKĐ!U7,TTSSKĐ!AA7,TTSSKĐ!AG7,TTSSKĐ!AM7))=2)*(CHOOSE({1,2,3,4},TTSSKĐ!X7,TTSSKĐ!AD7,TTSSKĐ!AJ7,TTSSKĐ!AP7)))</f>
        <v>0</v>
      </c>
      <c r="C7">
        <f>SUMPRODUCT((MONTH(CHOOSE({1,2,3,4},TTSSKĐ!U7,TTSSKĐ!AA7,TTSSKĐ!AG7,TTSSKĐ!AM7))=3)*(CHOOSE({1,2,3,4},TTSSKĐ!X7,TTSSKĐ!AD7,TTSSKĐ!AJ7,TTSSKĐ!AP7)))</f>
        <v>0</v>
      </c>
      <c r="D7">
        <f>SUMPRODUCT((MONTH(CHOOSE({1,2,3,4},TTSSKĐ!U7,TTSSKĐ!AA7,TTSSKĐ!AG7,TTSSKĐ!AM7))=4)*(CHOOSE({1,2,3,4},TTSSKĐ!X7,TTSSKĐ!AD7,TTSSKĐ!AJ7,TTSSKĐ!AP7)))</f>
        <v>0</v>
      </c>
      <c r="E7">
        <f>SUMPRODUCT((MONTH(CHOOSE({1,2,3,4},TTSSKĐ!U7,TTSSKĐ!AA7,TTSSKĐ!AG7,TTSSKĐ!AM7))=5)*(CHOOSE({1,2,3,4},TTSSKĐ!X7,TTSSKĐ!AD7,TTSSKĐ!AJ7,TTSSKĐ!AP7)))</f>
        <v>0</v>
      </c>
      <c r="F7">
        <f>SUMPRODUCT((MONTH(CHOOSE({1,2,3,4},TTSSKĐ!U7,TTSSKĐ!AA7,TTSSKĐ!AG7,TTSSKĐ!AM7))=6)*(CHOOSE({1,2,3,4},TTSSKĐ!X7,TTSSKĐ!AD7,TTSSKĐ!AJ7,TTSSKĐ!AP7)))</f>
        <v>0</v>
      </c>
      <c r="G7">
        <f>SUMPRODUCT((MONTH(CHOOSE({1,2,3,4},TTSSKĐ!U7,TTSSKĐ!AA7,TTSSKĐ!AG7,TTSSKĐ!AM7))=7)*(CHOOSE({1,2,3,4},TTSSKĐ!X7,TTSSKĐ!AD7,TTSSKĐ!AJ7,TTSSKĐ!AP7)))</f>
        <v>0</v>
      </c>
      <c r="H7">
        <f>SUMPRODUCT((MONTH(CHOOSE({1,2,3,4},TTSSKĐ!U7,TTSSKĐ!AA7,TTSSKĐ!AG7,TTSSKĐ!AM7))=8)*(CHOOSE({1,2,3,4},TTSSKĐ!X7,TTSSKĐ!AD7,TTSSKĐ!AJ7,TTSSKĐ!AP7)))</f>
        <v>0</v>
      </c>
      <c r="I7">
        <f>SUMPRODUCT((MONTH(CHOOSE({1,2,3,4},TTSSKĐ!U7,TTSSKĐ!AA7,TTSSKĐ!AG7,TTSSKĐ!AM7))=9)*(CHOOSE({1,2,3,4},TTSSKĐ!X7,TTSSKĐ!AD7,TTSSKĐ!AJ7,TTSSKĐ!AP7)))</f>
        <v>0</v>
      </c>
      <c r="J7">
        <f>SUMPRODUCT((MONTH(CHOOSE({1,2,3,4},TTSSKĐ!U7,TTSSKĐ!AA7,TTSSKĐ!AG7,TTSSKĐ!AM7))=10)*(CHOOSE({1,2,3,4},TTSSKĐ!X7,TTSSKĐ!AD7,TTSSKĐ!AJ7,TTSSKĐ!AP7)))</f>
        <v>0</v>
      </c>
      <c r="K7">
        <f>SUMPRODUCT((MONTH(CHOOSE({1,2,3,4},TTSSKĐ!U7,TTSSKĐ!AA7,TTSSKĐ!AG7,TTSSKĐ!AM7))=11)*(CHOOSE({1,2,3,4},TTSSKĐ!X7,TTSSKĐ!AD7,TTSSKĐ!AJ7,TTSSKĐ!AP7)))</f>
        <v>0</v>
      </c>
      <c r="L7">
        <f>SUMPRODUCT((MONTH(CHOOSE({1,2,3,4},TTSSKĐ!U7,TTSSKĐ!AA7,TTSSKĐ!AG7,TTSSKĐ!AM7))=12)*(CHOOSE({1,2,3,4},TTSSKĐ!X7,TTSSKĐ!AD7,TTSSKĐ!AJ7,TTSSKĐ!AP7)))</f>
        <v>0</v>
      </c>
    </row>
    <row r="8" spans="1:12">
      <c r="A8">
        <f>SUMPRODUCT((MONTH(CHOOSE({1,2,3,4},TTSSKĐ!U8,TTSSKĐ!AA8,TTSSKĐ!AG8,TTSSKĐ!AM8))=1)*(CHOOSE({1,2,3,4},TTSSKĐ!X8,TTSSKĐ!AD8,TTSSKĐ!AJ8,TTSSKĐ!AP8)))</f>
        <v>0</v>
      </c>
      <c r="B8">
        <f>SUMPRODUCT((MONTH(CHOOSE({1,2,3,4},TTSSKĐ!U8,TTSSKĐ!AA8,TTSSKĐ!AG8,TTSSKĐ!AM8))=2)*(CHOOSE({1,2,3,4},TTSSKĐ!X8,TTSSKĐ!AD8,TTSSKĐ!AJ8,TTSSKĐ!AP8)))</f>
        <v>0</v>
      </c>
      <c r="C8">
        <f>SUMPRODUCT((MONTH(CHOOSE({1,2,3,4},TTSSKĐ!U8,TTSSKĐ!AA8,TTSSKĐ!AG8,TTSSKĐ!AM8))=3)*(CHOOSE({1,2,3,4},TTSSKĐ!X8,TTSSKĐ!AD8,TTSSKĐ!AJ8,TTSSKĐ!AP8)))</f>
        <v>0</v>
      </c>
      <c r="D8">
        <f>SUMPRODUCT((MONTH(CHOOSE({1,2,3,4},TTSSKĐ!U8,TTSSKĐ!AA8,TTSSKĐ!AG8,TTSSKĐ!AM8))=4)*(CHOOSE({1,2,3,4},TTSSKĐ!X8,TTSSKĐ!AD8,TTSSKĐ!AJ8,TTSSKĐ!AP8)))</f>
        <v>0</v>
      </c>
      <c r="E8">
        <f>SUMPRODUCT((MONTH(CHOOSE({1,2,3,4},TTSSKĐ!U8,TTSSKĐ!AA8,TTSSKĐ!AG8,TTSSKĐ!AM8))=5)*(CHOOSE({1,2,3,4},TTSSKĐ!X8,TTSSKĐ!AD8,TTSSKĐ!AJ8,TTSSKĐ!AP8)))</f>
        <v>0</v>
      </c>
      <c r="F8">
        <f>SUMPRODUCT((MONTH(CHOOSE({1,2,3,4},TTSSKĐ!U8,TTSSKĐ!AA8,TTSSKĐ!AG8,TTSSKĐ!AM8))=6)*(CHOOSE({1,2,3,4},TTSSKĐ!X8,TTSSKĐ!AD8,TTSSKĐ!AJ8,TTSSKĐ!AP8)))</f>
        <v>0</v>
      </c>
      <c r="G8">
        <f>SUMPRODUCT((MONTH(CHOOSE({1,2,3,4},TTSSKĐ!U8,TTSSKĐ!AA8,TTSSKĐ!AG8,TTSSKĐ!AM8))=7)*(CHOOSE({1,2,3,4},TTSSKĐ!X8,TTSSKĐ!AD8,TTSSKĐ!AJ8,TTSSKĐ!AP8)))</f>
        <v>0</v>
      </c>
      <c r="H8">
        <f>SUMPRODUCT((MONTH(CHOOSE({1,2,3,4},TTSSKĐ!U8,TTSSKĐ!AA8,TTSSKĐ!AG8,TTSSKĐ!AM8))=8)*(CHOOSE({1,2,3,4},TTSSKĐ!X8,TTSSKĐ!AD8,TTSSKĐ!AJ8,TTSSKĐ!AP8)))</f>
        <v>0</v>
      </c>
      <c r="I8">
        <f>SUMPRODUCT((MONTH(CHOOSE({1,2,3,4},TTSSKĐ!U8,TTSSKĐ!AA8,TTSSKĐ!AG8,TTSSKĐ!AM8))=9)*(CHOOSE({1,2,3,4},TTSSKĐ!X8,TTSSKĐ!AD8,TTSSKĐ!AJ8,TTSSKĐ!AP8)))</f>
        <v>0</v>
      </c>
      <c r="J8">
        <f>SUMPRODUCT((MONTH(CHOOSE({1,2,3,4},TTSSKĐ!U8,TTSSKĐ!AA8,TTSSKĐ!AG8,TTSSKĐ!AM8))=10)*(CHOOSE({1,2,3,4},TTSSKĐ!X8,TTSSKĐ!AD8,TTSSKĐ!AJ8,TTSSKĐ!AP8)))</f>
        <v>0</v>
      </c>
      <c r="K8">
        <f>SUMPRODUCT((MONTH(CHOOSE({1,2,3,4},TTSSKĐ!U8,TTSSKĐ!AA8,TTSSKĐ!AG8,TTSSKĐ!AM8))=11)*(CHOOSE({1,2,3,4},TTSSKĐ!X8,TTSSKĐ!AD8,TTSSKĐ!AJ8,TTSSKĐ!AP8)))</f>
        <v>0</v>
      </c>
      <c r="L8">
        <f>SUMPRODUCT((MONTH(CHOOSE({1,2,3,4},TTSSKĐ!U8,TTSSKĐ!AA8,TTSSKĐ!AG8,TTSSKĐ!AM8))=12)*(CHOOSE({1,2,3,4},TTSSKĐ!X8,TTSSKĐ!AD8,TTSSKĐ!AJ8,TTSSKĐ!AP8)))</f>
        <v>0</v>
      </c>
    </row>
    <row r="9" spans="1:12">
      <c r="A9">
        <f>SUMPRODUCT((MONTH(CHOOSE({1,2,3,4},TTSSKĐ!U9,TTSSKĐ!AA9,TTSSKĐ!AG9,TTSSKĐ!AM9))=1)*(CHOOSE({1,2,3,4},TTSSKĐ!X9,TTSSKĐ!AD9,TTSSKĐ!AJ9,TTSSKĐ!AP9)))</f>
        <v>0</v>
      </c>
      <c r="B9">
        <f>SUMPRODUCT((MONTH(CHOOSE({1,2,3,4},TTSSKĐ!U9,TTSSKĐ!AA9,TTSSKĐ!AG9,TTSSKĐ!AM9))=2)*(CHOOSE({1,2,3,4},TTSSKĐ!X9,TTSSKĐ!AD9,TTSSKĐ!AJ9,TTSSKĐ!AP9)))</f>
        <v>0</v>
      </c>
      <c r="C9">
        <f>SUMPRODUCT((MONTH(CHOOSE({1,2,3,4},TTSSKĐ!U9,TTSSKĐ!AA9,TTSSKĐ!AG9,TTSSKĐ!AM9))=3)*(CHOOSE({1,2,3,4},TTSSKĐ!X9,TTSSKĐ!AD9,TTSSKĐ!AJ9,TTSSKĐ!AP9)))</f>
        <v>0</v>
      </c>
      <c r="D9">
        <f>SUMPRODUCT((MONTH(CHOOSE({1,2,3,4},TTSSKĐ!U9,TTSSKĐ!AA9,TTSSKĐ!AG9,TTSSKĐ!AM9))=4)*(CHOOSE({1,2,3,4},TTSSKĐ!X9,TTSSKĐ!AD9,TTSSKĐ!AJ9,TTSSKĐ!AP9)))</f>
        <v>0</v>
      </c>
      <c r="E9">
        <f>SUMPRODUCT((MONTH(CHOOSE({1,2,3,4},TTSSKĐ!U9,TTSSKĐ!AA9,TTSSKĐ!AG9,TTSSKĐ!AM9))=5)*(CHOOSE({1,2,3,4},TTSSKĐ!X9,TTSSKĐ!AD9,TTSSKĐ!AJ9,TTSSKĐ!AP9)))</f>
        <v>0</v>
      </c>
      <c r="F9">
        <f>SUMPRODUCT((MONTH(CHOOSE({1,2,3,4},TTSSKĐ!U9,TTSSKĐ!AA9,TTSSKĐ!AG9,TTSSKĐ!AM9))=6)*(CHOOSE({1,2,3,4},TTSSKĐ!X9,TTSSKĐ!AD9,TTSSKĐ!AJ9,TTSSKĐ!AP9)))</f>
        <v>0</v>
      </c>
      <c r="G9">
        <f>SUMPRODUCT((MONTH(CHOOSE({1,2,3,4},TTSSKĐ!U9,TTSSKĐ!AA9,TTSSKĐ!AG9,TTSSKĐ!AM9))=7)*(CHOOSE({1,2,3,4},TTSSKĐ!X9,TTSSKĐ!AD9,TTSSKĐ!AJ9,TTSSKĐ!AP9)))</f>
        <v>0</v>
      </c>
      <c r="H9">
        <f>SUMPRODUCT((MONTH(CHOOSE({1,2,3,4},TTSSKĐ!U9,TTSSKĐ!AA9,TTSSKĐ!AG9,TTSSKĐ!AM9))=8)*(CHOOSE({1,2,3,4},TTSSKĐ!X9,TTSSKĐ!AD9,TTSSKĐ!AJ9,TTSSKĐ!AP9)))</f>
        <v>0</v>
      </c>
      <c r="I9">
        <f>SUMPRODUCT((MONTH(CHOOSE({1,2,3,4},TTSSKĐ!U9,TTSSKĐ!AA9,TTSSKĐ!AG9,TTSSKĐ!AM9))=9)*(CHOOSE({1,2,3,4},TTSSKĐ!X9,TTSSKĐ!AD9,TTSSKĐ!AJ9,TTSSKĐ!AP9)))</f>
        <v>0</v>
      </c>
      <c r="J9">
        <f>SUMPRODUCT((MONTH(CHOOSE({1,2,3,4},TTSSKĐ!U9,TTSSKĐ!AA9,TTSSKĐ!AG9,TTSSKĐ!AM9))=10)*(CHOOSE({1,2,3,4},TTSSKĐ!X9,TTSSKĐ!AD9,TTSSKĐ!AJ9,TTSSKĐ!AP9)))</f>
        <v>0</v>
      </c>
      <c r="K9">
        <f>SUMPRODUCT((MONTH(CHOOSE({1,2,3,4},TTSSKĐ!U9,TTSSKĐ!AA9,TTSSKĐ!AG9,TTSSKĐ!AM9))=11)*(CHOOSE({1,2,3,4},TTSSKĐ!X9,TTSSKĐ!AD9,TTSSKĐ!AJ9,TTSSKĐ!AP9)))</f>
        <v>0</v>
      </c>
      <c r="L9">
        <f>SUMPRODUCT((MONTH(CHOOSE({1,2,3,4},TTSSKĐ!U9,TTSSKĐ!AA9,TTSSKĐ!AG9,TTSSKĐ!AM9))=12)*(CHOOSE({1,2,3,4},TTSSKĐ!X9,TTSSKĐ!AD9,TTSSKĐ!AJ9,TTSSKĐ!AP9)))</f>
        <v>0</v>
      </c>
    </row>
    <row r="10" spans="1:12">
      <c r="A10">
        <f>SUMPRODUCT((MONTH(CHOOSE({1,2,3,4},TTSSKĐ!U10,TTSSKĐ!AA10,TTSSKĐ!AG10,TTSSKĐ!AM10))=1)*(CHOOSE({1,2,3,4},TTSSKĐ!X10,TTSSKĐ!AD10,TTSSKĐ!AJ10,TTSSKĐ!AP10)))</f>
        <v>0</v>
      </c>
      <c r="B10">
        <f>SUMPRODUCT((MONTH(CHOOSE({1,2,3,4},TTSSKĐ!U10,TTSSKĐ!AA10,TTSSKĐ!AG10,TTSSKĐ!AM10))=2)*(CHOOSE({1,2,3,4},TTSSKĐ!X10,TTSSKĐ!AD10,TTSSKĐ!AJ10,TTSSKĐ!AP10)))</f>
        <v>0</v>
      </c>
      <c r="C10">
        <f>SUMPRODUCT((MONTH(CHOOSE({1,2,3,4},TTSSKĐ!U10,TTSSKĐ!AA10,TTSSKĐ!AG10,TTSSKĐ!AM10))=3)*(CHOOSE({1,2,3,4},TTSSKĐ!X10,TTSSKĐ!AD10,TTSSKĐ!AJ10,TTSSKĐ!AP10)))</f>
        <v>0</v>
      </c>
      <c r="D10">
        <f>SUMPRODUCT((MONTH(CHOOSE({1,2,3,4},TTSSKĐ!U10,TTSSKĐ!AA10,TTSSKĐ!AG10,TTSSKĐ!AM10))=4)*(CHOOSE({1,2,3,4},TTSSKĐ!X10,TTSSKĐ!AD10,TTSSKĐ!AJ10,TTSSKĐ!AP10)))</f>
        <v>0</v>
      </c>
      <c r="E10">
        <f>SUMPRODUCT((MONTH(CHOOSE({1,2,3,4},TTSSKĐ!U10,TTSSKĐ!AA10,TTSSKĐ!AG10,TTSSKĐ!AM10))=5)*(CHOOSE({1,2,3,4},TTSSKĐ!X10,TTSSKĐ!AD10,TTSSKĐ!AJ10,TTSSKĐ!AP10)))</f>
        <v>0</v>
      </c>
      <c r="F10">
        <f>SUMPRODUCT((MONTH(CHOOSE({1,2,3,4},TTSSKĐ!U10,TTSSKĐ!AA10,TTSSKĐ!AG10,TTSSKĐ!AM10))=6)*(CHOOSE({1,2,3,4},TTSSKĐ!X10,TTSSKĐ!AD10,TTSSKĐ!AJ10,TTSSKĐ!AP10)))</f>
        <v>0</v>
      </c>
      <c r="G10">
        <f>SUMPRODUCT((MONTH(CHOOSE({1,2,3,4},TTSSKĐ!U10,TTSSKĐ!AA10,TTSSKĐ!AG10,TTSSKĐ!AM10))=7)*(CHOOSE({1,2,3,4},TTSSKĐ!X10,TTSSKĐ!AD10,TTSSKĐ!AJ10,TTSSKĐ!AP10)))</f>
        <v>0</v>
      </c>
      <c r="H10">
        <f>SUMPRODUCT((MONTH(CHOOSE({1,2,3,4},TTSSKĐ!U10,TTSSKĐ!AA10,TTSSKĐ!AG10,TTSSKĐ!AM10))=8)*(CHOOSE({1,2,3,4},TTSSKĐ!X10,TTSSKĐ!AD10,TTSSKĐ!AJ10,TTSSKĐ!AP10)))</f>
        <v>0</v>
      </c>
      <c r="I10">
        <f>SUMPRODUCT((MONTH(CHOOSE({1,2,3,4},TTSSKĐ!U10,TTSSKĐ!AA10,TTSSKĐ!AG10,TTSSKĐ!AM10))=9)*(CHOOSE({1,2,3,4},TTSSKĐ!X10,TTSSKĐ!AD10,TTSSKĐ!AJ10,TTSSKĐ!AP10)))</f>
        <v>0</v>
      </c>
      <c r="J10">
        <f>SUMPRODUCT((MONTH(CHOOSE({1,2,3,4},TTSSKĐ!U10,TTSSKĐ!AA10,TTSSKĐ!AG10,TTSSKĐ!AM10))=10)*(CHOOSE({1,2,3,4},TTSSKĐ!X10,TTSSKĐ!AD10,TTSSKĐ!AJ10,TTSSKĐ!AP10)))</f>
        <v>0</v>
      </c>
      <c r="K10">
        <f>SUMPRODUCT((MONTH(CHOOSE({1,2,3,4},TTSSKĐ!U10,TTSSKĐ!AA10,TTSSKĐ!AG10,TTSSKĐ!AM10))=11)*(CHOOSE({1,2,3,4},TTSSKĐ!X10,TTSSKĐ!AD10,TTSSKĐ!AJ10,TTSSKĐ!AP10)))</f>
        <v>0</v>
      </c>
      <c r="L10">
        <f>SUMPRODUCT((MONTH(CHOOSE({1,2,3,4},TTSSKĐ!U10,TTSSKĐ!AA10,TTSSKĐ!AG10,TTSSKĐ!AM10))=12)*(CHOOSE({1,2,3,4},TTSSKĐ!X10,TTSSKĐ!AD10,TTSSKĐ!AJ10,TTSSKĐ!AP10)))</f>
        <v>0</v>
      </c>
    </row>
    <row r="11" spans="1:12">
      <c r="A11">
        <f>SUMPRODUCT((MONTH(CHOOSE({1,2,3,4},TTSSKĐ!U11,TTSSKĐ!AA11,TTSSKĐ!AG11,TTSSKĐ!AM11))=1)*(CHOOSE({1,2,3,4},TTSSKĐ!X11,TTSSKĐ!AD11,TTSSKĐ!AJ11,TTSSKĐ!AP11)))</f>
        <v>0</v>
      </c>
      <c r="B11">
        <f>SUMPRODUCT((MONTH(CHOOSE({1,2,3,4},TTSSKĐ!U11,TTSSKĐ!AA11,TTSSKĐ!AG11,TTSSKĐ!AM11))=2)*(CHOOSE({1,2,3,4},TTSSKĐ!X11,TTSSKĐ!AD11,TTSSKĐ!AJ11,TTSSKĐ!AP11)))</f>
        <v>0</v>
      </c>
      <c r="C11">
        <f>SUMPRODUCT((MONTH(CHOOSE({1,2,3,4},TTSSKĐ!U11,TTSSKĐ!AA11,TTSSKĐ!AG11,TTSSKĐ!AM11))=3)*(CHOOSE({1,2,3,4},TTSSKĐ!X11,TTSSKĐ!AD11,TTSSKĐ!AJ11,TTSSKĐ!AP11)))</f>
        <v>0</v>
      </c>
      <c r="D11">
        <f>SUMPRODUCT((MONTH(CHOOSE({1,2,3,4},TTSSKĐ!U11,TTSSKĐ!AA11,TTSSKĐ!AG11,TTSSKĐ!AM11))=4)*(CHOOSE({1,2,3,4},TTSSKĐ!X11,TTSSKĐ!AD11,TTSSKĐ!AJ11,TTSSKĐ!AP11)))</f>
        <v>0</v>
      </c>
      <c r="E11">
        <f>SUMPRODUCT((MONTH(CHOOSE({1,2,3,4},TTSSKĐ!U11,TTSSKĐ!AA11,TTSSKĐ!AG11,TTSSKĐ!AM11))=5)*(CHOOSE({1,2,3,4},TTSSKĐ!X11,TTSSKĐ!AD11,TTSSKĐ!AJ11,TTSSKĐ!AP11)))</f>
        <v>0</v>
      </c>
      <c r="F11">
        <f>SUMPRODUCT((MONTH(CHOOSE({1,2,3,4},TTSSKĐ!U11,TTSSKĐ!AA11,TTSSKĐ!AG11,TTSSKĐ!AM11))=6)*(CHOOSE({1,2,3,4},TTSSKĐ!X11,TTSSKĐ!AD11,TTSSKĐ!AJ11,TTSSKĐ!AP11)))</f>
        <v>0</v>
      </c>
      <c r="G11">
        <f>SUMPRODUCT((MONTH(CHOOSE({1,2,3,4},TTSSKĐ!U11,TTSSKĐ!AA11,TTSSKĐ!AG11,TTSSKĐ!AM11))=7)*(CHOOSE({1,2,3,4},TTSSKĐ!X11,TTSSKĐ!AD11,TTSSKĐ!AJ11,TTSSKĐ!AP11)))</f>
        <v>0</v>
      </c>
      <c r="H11">
        <f>SUMPRODUCT((MONTH(CHOOSE({1,2,3,4},TTSSKĐ!U11,TTSSKĐ!AA11,TTSSKĐ!AG11,TTSSKĐ!AM11))=8)*(CHOOSE({1,2,3,4},TTSSKĐ!X11,TTSSKĐ!AD11,TTSSKĐ!AJ11,TTSSKĐ!AP11)))</f>
        <v>0</v>
      </c>
      <c r="I11">
        <f>SUMPRODUCT((MONTH(CHOOSE({1,2,3,4},TTSSKĐ!U11,TTSSKĐ!AA11,TTSSKĐ!AG11,TTSSKĐ!AM11))=9)*(CHOOSE({1,2,3,4},TTSSKĐ!X11,TTSSKĐ!AD11,TTSSKĐ!AJ11,TTSSKĐ!AP11)))</f>
        <v>0</v>
      </c>
      <c r="J11">
        <f>SUMPRODUCT((MONTH(CHOOSE({1,2,3,4},TTSSKĐ!U11,TTSSKĐ!AA11,TTSSKĐ!AG11,TTSSKĐ!AM11))=10)*(CHOOSE({1,2,3,4},TTSSKĐ!X11,TTSSKĐ!AD11,TTSSKĐ!AJ11,TTSSKĐ!AP11)))</f>
        <v>0</v>
      </c>
      <c r="K11">
        <f>SUMPRODUCT((MONTH(CHOOSE({1,2,3,4},TTSSKĐ!U11,TTSSKĐ!AA11,TTSSKĐ!AG11,TTSSKĐ!AM11))=11)*(CHOOSE({1,2,3,4},TTSSKĐ!X11,TTSSKĐ!AD11,TTSSKĐ!AJ11,TTSSKĐ!AP11)))</f>
        <v>0</v>
      </c>
      <c r="L11">
        <f>SUMPRODUCT((MONTH(CHOOSE({1,2,3,4},TTSSKĐ!U11,TTSSKĐ!AA11,TTSSKĐ!AG11,TTSSKĐ!AM11))=12)*(CHOOSE({1,2,3,4},TTSSKĐ!X11,TTSSKĐ!AD11,TTSSKĐ!AJ11,TTSSKĐ!AP11)))</f>
        <v>0</v>
      </c>
    </row>
    <row r="12" spans="1:12">
      <c r="A12">
        <f>SUMPRODUCT((MONTH(CHOOSE({1,2,3,4},TTSSKĐ!U12,TTSSKĐ!AA12,TTSSKĐ!AG12,TTSSKĐ!AM12))=1)*(CHOOSE({1,2,3,4},TTSSKĐ!X12,TTSSKĐ!AD12,TTSSKĐ!AJ12,TTSSKĐ!AP12)))</f>
        <v>0</v>
      </c>
      <c r="B12">
        <f>SUMPRODUCT((MONTH(CHOOSE({1,2,3,4},TTSSKĐ!U12,TTSSKĐ!AA12,TTSSKĐ!AG12,TTSSKĐ!AM12))=2)*(CHOOSE({1,2,3,4},TTSSKĐ!X12,TTSSKĐ!AD12,TTSSKĐ!AJ12,TTSSKĐ!AP12)))</f>
        <v>0</v>
      </c>
      <c r="C12">
        <f>SUMPRODUCT((MONTH(CHOOSE({1,2,3,4},TTSSKĐ!U12,TTSSKĐ!AA12,TTSSKĐ!AG12,TTSSKĐ!AM12))=3)*(CHOOSE({1,2,3,4},TTSSKĐ!X12,TTSSKĐ!AD12,TTSSKĐ!AJ12,TTSSKĐ!AP12)))</f>
        <v>0</v>
      </c>
      <c r="D12">
        <f>SUMPRODUCT((MONTH(CHOOSE({1,2,3,4},TTSSKĐ!U12,TTSSKĐ!AA12,TTSSKĐ!AG12,TTSSKĐ!AM12))=4)*(CHOOSE({1,2,3,4},TTSSKĐ!X12,TTSSKĐ!AD12,TTSSKĐ!AJ12,TTSSKĐ!AP12)))</f>
        <v>0</v>
      </c>
      <c r="E12">
        <f>SUMPRODUCT((MONTH(CHOOSE({1,2,3,4},TTSSKĐ!U12,TTSSKĐ!AA12,TTSSKĐ!AG12,TTSSKĐ!AM12))=5)*(CHOOSE({1,2,3,4},TTSSKĐ!X12,TTSSKĐ!AD12,TTSSKĐ!AJ12,TTSSKĐ!AP12)))</f>
        <v>0</v>
      </c>
      <c r="F12">
        <f>SUMPRODUCT((MONTH(CHOOSE({1,2,3,4},TTSSKĐ!U12,TTSSKĐ!AA12,TTSSKĐ!AG12,TTSSKĐ!AM12))=6)*(CHOOSE({1,2,3,4},TTSSKĐ!X12,TTSSKĐ!AD12,TTSSKĐ!AJ12,TTSSKĐ!AP12)))</f>
        <v>0</v>
      </c>
      <c r="G12">
        <f>SUMPRODUCT((MONTH(CHOOSE({1,2,3,4},TTSSKĐ!U12,TTSSKĐ!AA12,TTSSKĐ!AG12,TTSSKĐ!AM12))=7)*(CHOOSE({1,2,3,4},TTSSKĐ!X12,TTSSKĐ!AD12,TTSSKĐ!AJ12,TTSSKĐ!AP12)))</f>
        <v>0</v>
      </c>
      <c r="H12">
        <f>SUMPRODUCT((MONTH(CHOOSE({1,2,3,4},TTSSKĐ!U12,TTSSKĐ!AA12,TTSSKĐ!AG12,TTSSKĐ!AM12))=8)*(CHOOSE({1,2,3,4},TTSSKĐ!X12,TTSSKĐ!AD12,TTSSKĐ!AJ12,TTSSKĐ!AP12)))</f>
        <v>0</v>
      </c>
      <c r="I12">
        <f>SUMPRODUCT((MONTH(CHOOSE({1,2,3,4},TTSSKĐ!U12,TTSSKĐ!AA12,TTSSKĐ!AG12,TTSSKĐ!AM12))=9)*(CHOOSE({1,2,3,4},TTSSKĐ!X12,TTSSKĐ!AD12,TTSSKĐ!AJ12,TTSSKĐ!AP12)))</f>
        <v>0</v>
      </c>
      <c r="J12">
        <f>SUMPRODUCT((MONTH(CHOOSE({1,2,3,4},TTSSKĐ!U12,TTSSKĐ!AA12,TTSSKĐ!AG12,TTSSKĐ!AM12))=10)*(CHOOSE({1,2,3,4},TTSSKĐ!X12,TTSSKĐ!AD12,TTSSKĐ!AJ12,TTSSKĐ!AP12)))</f>
        <v>0</v>
      </c>
      <c r="K12">
        <f>SUMPRODUCT((MONTH(CHOOSE({1,2,3,4},TTSSKĐ!U12,TTSSKĐ!AA12,TTSSKĐ!AG12,TTSSKĐ!AM12))=11)*(CHOOSE({1,2,3,4},TTSSKĐ!X12,TTSSKĐ!AD12,TTSSKĐ!AJ12,TTSSKĐ!AP12)))</f>
        <v>0</v>
      </c>
      <c r="L12">
        <f>SUMPRODUCT((MONTH(CHOOSE({1,2,3,4},TTSSKĐ!U12,TTSSKĐ!AA12,TTSSKĐ!AG12,TTSSKĐ!AM12))=12)*(CHOOSE({1,2,3,4},TTSSKĐ!X12,TTSSKĐ!AD12,TTSSKĐ!AJ12,TTSSKĐ!AP12)))</f>
        <v>0</v>
      </c>
    </row>
    <row r="13" spans="1:12">
      <c r="A13">
        <f>SUMPRODUCT((MONTH(CHOOSE({1,2,3,4},TTSSKĐ!U13,TTSSKĐ!AA13,TTSSKĐ!AG13,TTSSKĐ!AM13))=1)*(CHOOSE({1,2,3,4},TTSSKĐ!X13,TTSSKĐ!AD13,TTSSKĐ!AJ13,TTSSKĐ!AP13)))</f>
        <v>0</v>
      </c>
      <c r="B13">
        <f>SUMPRODUCT((MONTH(CHOOSE({1,2,3,4},TTSSKĐ!U13,TTSSKĐ!AA13,TTSSKĐ!AG13,TTSSKĐ!AM13))=2)*(CHOOSE({1,2,3,4},TTSSKĐ!X13,TTSSKĐ!AD13,TTSSKĐ!AJ13,TTSSKĐ!AP13)))</f>
        <v>0</v>
      </c>
      <c r="C13">
        <f>SUMPRODUCT((MONTH(CHOOSE({1,2,3,4},TTSSKĐ!U13,TTSSKĐ!AA13,TTSSKĐ!AG13,TTSSKĐ!AM13))=3)*(CHOOSE({1,2,3,4},TTSSKĐ!X13,TTSSKĐ!AD13,TTSSKĐ!AJ13,TTSSKĐ!AP13)))</f>
        <v>0</v>
      </c>
      <c r="D13">
        <f>SUMPRODUCT((MONTH(CHOOSE({1,2,3,4},TTSSKĐ!U13,TTSSKĐ!AA13,TTSSKĐ!AG13,TTSSKĐ!AM13))=4)*(CHOOSE({1,2,3,4},TTSSKĐ!X13,TTSSKĐ!AD13,TTSSKĐ!AJ13,TTSSKĐ!AP13)))</f>
        <v>0</v>
      </c>
      <c r="E13">
        <f>SUMPRODUCT((MONTH(CHOOSE({1,2,3,4},TTSSKĐ!U13,TTSSKĐ!AA13,TTSSKĐ!AG13,TTSSKĐ!AM13))=5)*(CHOOSE({1,2,3,4},TTSSKĐ!X13,TTSSKĐ!AD13,TTSSKĐ!AJ13,TTSSKĐ!AP13)))</f>
        <v>0</v>
      </c>
      <c r="F13">
        <f>SUMPRODUCT((MONTH(CHOOSE({1,2,3,4},TTSSKĐ!U13,TTSSKĐ!AA13,TTSSKĐ!AG13,TTSSKĐ!AM13))=6)*(CHOOSE({1,2,3,4},TTSSKĐ!X13,TTSSKĐ!AD13,TTSSKĐ!AJ13,TTSSKĐ!AP13)))</f>
        <v>0</v>
      </c>
      <c r="G13">
        <f>SUMPRODUCT((MONTH(CHOOSE({1,2,3,4},TTSSKĐ!U13,TTSSKĐ!AA13,TTSSKĐ!AG13,TTSSKĐ!AM13))=7)*(CHOOSE({1,2,3,4},TTSSKĐ!X13,TTSSKĐ!AD13,TTSSKĐ!AJ13,TTSSKĐ!AP13)))</f>
        <v>0</v>
      </c>
      <c r="H13">
        <f>SUMPRODUCT((MONTH(CHOOSE({1,2,3,4},TTSSKĐ!U13,TTSSKĐ!AA13,TTSSKĐ!AG13,TTSSKĐ!AM13))=8)*(CHOOSE({1,2,3,4},TTSSKĐ!X13,TTSSKĐ!AD13,TTSSKĐ!AJ13,TTSSKĐ!AP13)))</f>
        <v>0</v>
      </c>
      <c r="I13">
        <f>SUMPRODUCT((MONTH(CHOOSE({1,2,3,4},TTSSKĐ!U13,TTSSKĐ!AA13,TTSSKĐ!AG13,TTSSKĐ!AM13))=9)*(CHOOSE({1,2,3,4},TTSSKĐ!X13,TTSSKĐ!AD13,TTSSKĐ!AJ13,TTSSKĐ!AP13)))</f>
        <v>0</v>
      </c>
      <c r="J13">
        <f>SUMPRODUCT((MONTH(CHOOSE({1,2,3,4},TTSSKĐ!U13,TTSSKĐ!AA13,TTSSKĐ!AG13,TTSSKĐ!AM13))=10)*(CHOOSE({1,2,3,4},TTSSKĐ!X13,TTSSKĐ!AD13,TTSSKĐ!AJ13,TTSSKĐ!AP13)))</f>
        <v>0</v>
      </c>
      <c r="K13">
        <f>SUMPRODUCT((MONTH(CHOOSE({1,2,3,4},TTSSKĐ!U13,TTSSKĐ!AA13,TTSSKĐ!AG13,TTSSKĐ!AM13))=11)*(CHOOSE({1,2,3,4},TTSSKĐ!X13,TTSSKĐ!AD13,TTSSKĐ!AJ13,TTSSKĐ!AP13)))</f>
        <v>0</v>
      </c>
      <c r="L13">
        <f>SUMPRODUCT((MONTH(CHOOSE({1,2,3,4},TTSSKĐ!U13,TTSSKĐ!AA13,TTSSKĐ!AG13,TTSSKĐ!AM13))=12)*(CHOOSE({1,2,3,4},TTSSKĐ!X13,TTSSKĐ!AD13,TTSSKĐ!AJ13,TTSSKĐ!AP13)))</f>
        <v>0</v>
      </c>
    </row>
    <row r="14" spans="1:12">
      <c r="A14">
        <f>SUMPRODUCT((MONTH(CHOOSE({1,2,3,4},TTSSKĐ!U14,TTSSKĐ!AA14,TTSSKĐ!AG14,TTSSKĐ!AM14))=1)*(CHOOSE({1,2,3,4},TTSSKĐ!X14,TTSSKĐ!AD14,TTSSKĐ!AJ14,TTSSKĐ!AP14)))</f>
        <v>0</v>
      </c>
      <c r="B14">
        <f>SUMPRODUCT((MONTH(CHOOSE({1,2,3,4},TTSSKĐ!U14,TTSSKĐ!AA14,TTSSKĐ!AG14,TTSSKĐ!AM14))=2)*(CHOOSE({1,2,3,4},TTSSKĐ!X14,TTSSKĐ!AD14,TTSSKĐ!AJ14,TTSSKĐ!AP14)))</f>
        <v>0</v>
      </c>
      <c r="C14">
        <f>SUMPRODUCT((MONTH(CHOOSE({1,2,3,4},TTSSKĐ!U14,TTSSKĐ!AA14,TTSSKĐ!AG14,TTSSKĐ!AM14))=3)*(CHOOSE({1,2,3,4},TTSSKĐ!X14,TTSSKĐ!AD14,TTSSKĐ!AJ14,TTSSKĐ!AP14)))</f>
        <v>0</v>
      </c>
      <c r="D14">
        <f>SUMPRODUCT((MONTH(CHOOSE({1,2,3,4},TTSSKĐ!U14,TTSSKĐ!AA14,TTSSKĐ!AG14,TTSSKĐ!AM14))=4)*(CHOOSE({1,2,3,4},TTSSKĐ!X14,TTSSKĐ!AD14,TTSSKĐ!AJ14,TTSSKĐ!AP14)))</f>
        <v>0</v>
      </c>
      <c r="E14">
        <f>SUMPRODUCT((MONTH(CHOOSE({1,2,3,4},TTSSKĐ!U14,TTSSKĐ!AA14,TTSSKĐ!AG14,TTSSKĐ!AM14))=5)*(CHOOSE({1,2,3,4},TTSSKĐ!X14,TTSSKĐ!AD14,TTSSKĐ!AJ14,TTSSKĐ!AP14)))</f>
        <v>0</v>
      </c>
      <c r="F14">
        <f>SUMPRODUCT((MONTH(CHOOSE({1,2,3,4},TTSSKĐ!U14,TTSSKĐ!AA14,TTSSKĐ!AG14,TTSSKĐ!AM14))=6)*(CHOOSE({1,2,3,4},TTSSKĐ!X14,TTSSKĐ!AD14,TTSSKĐ!AJ14,TTSSKĐ!AP14)))</f>
        <v>0</v>
      </c>
      <c r="G14">
        <f>SUMPRODUCT((MONTH(CHOOSE({1,2,3,4},TTSSKĐ!U14,TTSSKĐ!AA14,TTSSKĐ!AG14,TTSSKĐ!AM14))=7)*(CHOOSE({1,2,3,4},TTSSKĐ!X14,TTSSKĐ!AD14,TTSSKĐ!AJ14,TTSSKĐ!AP14)))</f>
        <v>0</v>
      </c>
      <c r="H14">
        <f>SUMPRODUCT((MONTH(CHOOSE({1,2,3,4},TTSSKĐ!U14,TTSSKĐ!AA14,TTSSKĐ!AG14,TTSSKĐ!AM14))=8)*(CHOOSE({1,2,3,4},TTSSKĐ!X14,TTSSKĐ!AD14,TTSSKĐ!AJ14,TTSSKĐ!AP14)))</f>
        <v>0</v>
      </c>
      <c r="I14">
        <f>SUMPRODUCT((MONTH(CHOOSE({1,2,3,4},TTSSKĐ!U14,TTSSKĐ!AA14,TTSSKĐ!AG14,TTSSKĐ!AM14))=9)*(CHOOSE({1,2,3,4},TTSSKĐ!X14,TTSSKĐ!AD14,TTSSKĐ!AJ14,TTSSKĐ!AP14)))</f>
        <v>0</v>
      </c>
      <c r="J14">
        <f>SUMPRODUCT((MONTH(CHOOSE({1,2,3,4},TTSSKĐ!U14,TTSSKĐ!AA14,TTSSKĐ!AG14,TTSSKĐ!AM14))=10)*(CHOOSE({1,2,3,4},TTSSKĐ!X14,TTSSKĐ!AD14,TTSSKĐ!AJ14,TTSSKĐ!AP14)))</f>
        <v>0</v>
      </c>
      <c r="K14">
        <f>SUMPRODUCT((MONTH(CHOOSE({1,2,3,4},TTSSKĐ!U14,TTSSKĐ!AA14,TTSSKĐ!AG14,TTSSKĐ!AM14))=11)*(CHOOSE({1,2,3,4},TTSSKĐ!X14,TTSSKĐ!AD14,TTSSKĐ!AJ14,TTSSKĐ!AP14)))</f>
        <v>0</v>
      </c>
      <c r="L14">
        <f>SUMPRODUCT((MONTH(CHOOSE({1,2,3,4},TTSSKĐ!U14,TTSSKĐ!AA14,TTSSKĐ!AG14,TTSSKĐ!AM14))=12)*(CHOOSE({1,2,3,4},TTSSKĐ!X14,TTSSKĐ!AD14,TTSSKĐ!AJ14,TTSSKĐ!AP14)))</f>
        <v>0</v>
      </c>
    </row>
    <row r="15" spans="1:12">
      <c r="A15">
        <f>SUMPRODUCT((MONTH(CHOOSE({1,2,3,4},TTSSKĐ!U15,TTSSKĐ!AA15,TTSSKĐ!AG15,TTSSKĐ!AM15))=1)*(CHOOSE({1,2,3,4},TTSSKĐ!X15,TTSSKĐ!AD15,TTSSKĐ!AJ15,TTSSKĐ!AP15)))</f>
        <v>0</v>
      </c>
      <c r="B15">
        <f>SUMPRODUCT((MONTH(CHOOSE({1,2,3,4},TTSSKĐ!U15,TTSSKĐ!AA15,TTSSKĐ!AG15,TTSSKĐ!AM15))=2)*(CHOOSE({1,2,3,4},TTSSKĐ!X15,TTSSKĐ!AD15,TTSSKĐ!AJ15,TTSSKĐ!AP15)))</f>
        <v>0</v>
      </c>
      <c r="C15">
        <f>SUMPRODUCT((MONTH(CHOOSE({1,2,3,4},TTSSKĐ!U15,TTSSKĐ!AA15,TTSSKĐ!AG15,TTSSKĐ!AM15))=3)*(CHOOSE({1,2,3,4},TTSSKĐ!X15,TTSSKĐ!AD15,TTSSKĐ!AJ15,TTSSKĐ!AP15)))</f>
        <v>0</v>
      </c>
      <c r="D15">
        <f>SUMPRODUCT((MONTH(CHOOSE({1,2,3,4},TTSSKĐ!U15,TTSSKĐ!AA15,TTSSKĐ!AG15,TTSSKĐ!AM15))=4)*(CHOOSE({1,2,3,4},TTSSKĐ!X15,TTSSKĐ!AD15,TTSSKĐ!AJ15,TTSSKĐ!AP15)))</f>
        <v>0</v>
      </c>
      <c r="E15">
        <f>SUMPRODUCT((MONTH(CHOOSE({1,2,3,4},TTSSKĐ!U15,TTSSKĐ!AA15,TTSSKĐ!AG15,TTSSKĐ!AM15))=5)*(CHOOSE({1,2,3,4},TTSSKĐ!X15,TTSSKĐ!AD15,TTSSKĐ!AJ15,TTSSKĐ!AP15)))</f>
        <v>0</v>
      </c>
      <c r="F15">
        <f>SUMPRODUCT((MONTH(CHOOSE({1,2,3,4},TTSSKĐ!U15,TTSSKĐ!AA15,TTSSKĐ!AG15,TTSSKĐ!AM15))=6)*(CHOOSE({1,2,3,4},TTSSKĐ!X15,TTSSKĐ!AD15,TTSSKĐ!AJ15,TTSSKĐ!AP15)))</f>
        <v>0</v>
      </c>
      <c r="G15">
        <f>SUMPRODUCT((MONTH(CHOOSE({1,2,3,4},TTSSKĐ!U15,TTSSKĐ!AA15,TTSSKĐ!AG15,TTSSKĐ!AM15))=7)*(CHOOSE({1,2,3,4},TTSSKĐ!X15,TTSSKĐ!AD15,TTSSKĐ!AJ15,TTSSKĐ!AP15)))</f>
        <v>0</v>
      </c>
      <c r="H15">
        <f>SUMPRODUCT((MONTH(CHOOSE({1,2,3,4},TTSSKĐ!U15,TTSSKĐ!AA15,TTSSKĐ!AG15,TTSSKĐ!AM15))=8)*(CHOOSE({1,2,3,4},TTSSKĐ!X15,TTSSKĐ!AD15,TTSSKĐ!AJ15,TTSSKĐ!AP15)))</f>
        <v>0</v>
      </c>
      <c r="I15">
        <f>SUMPRODUCT((MONTH(CHOOSE({1,2,3,4},TTSSKĐ!U15,TTSSKĐ!AA15,TTSSKĐ!AG15,TTSSKĐ!AM15))=9)*(CHOOSE({1,2,3,4},TTSSKĐ!X15,TTSSKĐ!AD15,TTSSKĐ!AJ15,TTSSKĐ!AP15)))</f>
        <v>0</v>
      </c>
      <c r="J15">
        <f>SUMPRODUCT((MONTH(CHOOSE({1,2,3,4},TTSSKĐ!U15,TTSSKĐ!AA15,TTSSKĐ!AG15,TTSSKĐ!AM15))=10)*(CHOOSE({1,2,3,4},TTSSKĐ!X15,TTSSKĐ!AD15,TTSSKĐ!AJ15,TTSSKĐ!AP15)))</f>
        <v>0</v>
      </c>
      <c r="K15">
        <f>SUMPRODUCT((MONTH(CHOOSE({1,2,3,4},TTSSKĐ!U15,TTSSKĐ!AA15,TTSSKĐ!AG15,TTSSKĐ!AM15))=11)*(CHOOSE({1,2,3,4},TTSSKĐ!X15,TTSSKĐ!AD15,TTSSKĐ!AJ15,TTSSKĐ!AP15)))</f>
        <v>0</v>
      </c>
      <c r="L15">
        <f>SUMPRODUCT((MONTH(CHOOSE({1,2,3,4},TTSSKĐ!U15,TTSSKĐ!AA15,TTSSKĐ!AG15,TTSSKĐ!AM15))=12)*(CHOOSE({1,2,3,4},TTSSKĐ!X15,TTSSKĐ!AD15,TTSSKĐ!AJ15,TTSSKĐ!AP15)))</f>
        <v>0</v>
      </c>
    </row>
    <row r="16" spans="1:12">
      <c r="A16">
        <f>SUMPRODUCT((MONTH(CHOOSE({1,2,3,4},TTSSKĐ!U16,TTSSKĐ!AA16,TTSSKĐ!AG16,TTSSKĐ!AM16))=1)*(CHOOSE({1,2,3,4},TTSSKĐ!X16,TTSSKĐ!AD16,TTSSKĐ!AJ16,TTSSKĐ!AP16)))</f>
        <v>0</v>
      </c>
      <c r="B16">
        <f>SUMPRODUCT((MONTH(CHOOSE({1,2,3,4},TTSSKĐ!U16,TTSSKĐ!AA16,TTSSKĐ!AG16,TTSSKĐ!AM16))=2)*(CHOOSE({1,2,3,4},TTSSKĐ!X16,TTSSKĐ!AD16,TTSSKĐ!AJ16,TTSSKĐ!AP16)))</f>
        <v>0</v>
      </c>
      <c r="C16">
        <f>SUMPRODUCT((MONTH(CHOOSE({1,2,3,4},TTSSKĐ!U16,TTSSKĐ!AA16,TTSSKĐ!AG16,TTSSKĐ!AM16))=3)*(CHOOSE({1,2,3,4},TTSSKĐ!X16,TTSSKĐ!AD16,TTSSKĐ!AJ16,TTSSKĐ!AP16)))</f>
        <v>0</v>
      </c>
      <c r="D16">
        <f>SUMPRODUCT((MONTH(CHOOSE({1,2,3,4},TTSSKĐ!U16,TTSSKĐ!AA16,TTSSKĐ!AG16,TTSSKĐ!AM16))=4)*(CHOOSE({1,2,3,4},TTSSKĐ!X16,TTSSKĐ!AD16,TTSSKĐ!AJ16,TTSSKĐ!AP16)))</f>
        <v>0</v>
      </c>
      <c r="E16">
        <f>SUMPRODUCT((MONTH(CHOOSE({1,2,3,4},TTSSKĐ!U16,TTSSKĐ!AA16,TTSSKĐ!AG16,TTSSKĐ!AM16))=5)*(CHOOSE({1,2,3,4},TTSSKĐ!X16,TTSSKĐ!AD16,TTSSKĐ!AJ16,TTSSKĐ!AP16)))</f>
        <v>0</v>
      </c>
      <c r="F16">
        <f>SUMPRODUCT((MONTH(CHOOSE({1,2,3,4},TTSSKĐ!U16,TTSSKĐ!AA16,TTSSKĐ!AG16,TTSSKĐ!AM16))=6)*(CHOOSE({1,2,3,4},TTSSKĐ!X16,TTSSKĐ!AD16,TTSSKĐ!AJ16,TTSSKĐ!AP16)))</f>
        <v>0</v>
      </c>
      <c r="G16">
        <f>SUMPRODUCT((MONTH(CHOOSE({1,2,3,4},TTSSKĐ!U16,TTSSKĐ!AA16,TTSSKĐ!AG16,TTSSKĐ!AM16))=7)*(CHOOSE({1,2,3,4},TTSSKĐ!X16,TTSSKĐ!AD16,TTSSKĐ!AJ16,TTSSKĐ!AP16)))</f>
        <v>0</v>
      </c>
      <c r="H16">
        <f>SUMPRODUCT((MONTH(CHOOSE({1,2,3,4},TTSSKĐ!U16,TTSSKĐ!AA16,TTSSKĐ!AG16,TTSSKĐ!AM16))=8)*(CHOOSE({1,2,3,4},TTSSKĐ!X16,TTSSKĐ!AD16,TTSSKĐ!AJ16,TTSSKĐ!AP16)))</f>
        <v>0</v>
      </c>
      <c r="I16">
        <f>SUMPRODUCT((MONTH(CHOOSE({1,2,3,4},TTSSKĐ!U16,TTSSKĐ!AA16,TTSSKĐ!AG16,TTSSKĐ!AM16))=9)*(CHOOSE({1,2,3,4},TTSSKĐ!X16,TTSSKĐ!AD16,TTSSKĐ!AJ16,TTSSKĐ!AP16)))</f>
        <v>0</v>
      </c>
      <c r="J16">
        <f>SUMPRODUCT((MONTH(CHOOSE({1,2,3,4},TTSSKĐ!U16,TTSSKĐ!AA16,TTSSKĐ!AG16,TTSSKĐ!AM16))=10)*(CHOOSE({1,2,3,4},TTSSKĐ!X16,TTSSKĐ!AD16,TTSSKĐ!AJ16,TTSSKĐ!AP16)))</f>
        <v>0</v>
      </c>
      <c r="K16">
        <f>SUMPRODUCT((MONTH(CHOOSE({1,2,3,4},TTSSKĐ!U16,TTSSKĐ!AA16,TTSSKĐ!AG16,TTSSKĐ!AM16))=11)*(CHOOSE({1,2,3,4},TTSSKĐ!X16,TTSSKĐ!AD16,TTSSKĐ!AJ16,TTSSKĐ!AP16)))</f>
        <v>0</v>
      </c>
      <c r="L16">
        <f>SUMPRODUCT((MONTH(CHOOSE({1,2,3,4},TTSSKĐ!U16,TTSSKĐ!AA16,TTSSKĐ!AG16,TTSSKĐ!AM16))=12)*(CHOOSE({1,2,3,4},TTSSKĐ!X16,TTSSKĐ!AD16,TTSSKĐ!AJ16,TTSSKĐ!AP16)))</f>
        <v>0</v>
      </c>
    </row>
    <row r="17" spans="1:12">
      <c r="A17">
        <f>SUMPRODUCT((MONTH(CHOOSE({1,2,3,4},TTSSKĐ!U17,TTSSKĐ!AA17,TTSSKĐ!AG17,TTSSKĐ!AM17))=1)*(CHOOSE({1,2,3,4},TTSSKĐ!X17,TTSSKĐ!AD17,TTSSKĐ!AJ17,TTSSKĐ!AP17)))</f>
        <v>0</v>
      </c>
      <c r="B17">
        <f>SUMPRODUCT((MONTH(CHOOSE({1,2,3,4},TTSSKĐ!U17,TTSSKĐ!AA17,TTSSKĐ!AG17,TTSSKĐ!AM17))=2)*(CHOOSE({1,2,3,4},TTSSKĐ!X17,TTSSKĐ!AD17,TTSSKĐ!AJ17,TTSSKĐ!AP17)))</f>
        <v>0</v>
      </c>
      <c r="C17">
        <f>SUMPRODUCT((MONTH(CHOOSE({1,2,3,4},TTSSKĐ!U17,TTSSKĐ!AA17,TTSSKĐ!AG17,TTSSKĐ!AM17))=3)*(CHOOSE({1,2,3,4},TTSSKĐ!X17,TTSSKĐ!AD17,TTSSKĐ!AJ17,TTSSKĐ!AP17)))</f>
        <v>0</v>
      </c>
      <c r="D17">
        <f>SUMPRODUCT((MONTH(CHOOSE({1,2,3,4},TTSSKĐ!U17,TTSSKĐ!AA17,TTSSKĐ!AG17,TTSSKĐ!AM17))=4)*(CHOOSE({1,2,3,4},TTSSKĐ!X17,TTSSKĐ!AD17,TTSSKĐ!AJ17,TTSSKĐ!AP17)))</f>
        <v>0</v>
      </c>
      <c r="E17">
        <f>SUMPRODUCT((MONTH(CHOOSE({1,2,3,4},TTSSKĐ!U17,TTSSKĐ!AA17,TTSSKĐ!AG17,TTSSKĐ!AM17))=5)*(CHOOSE({1,2,3,4},TTSSKĐ!X17,TTSSKĐ!AD17,TTSSKĐ!AJ17,TTSSKĐ!AP17)))</f>
        <v>0</v>
      </c>
      <c r="F17">
        <f>SUMPRODUCT((MONTH(CHOOSE({1,2,3,4},TTSSKĐ!U17,TTSSKĐ!AA17,TTSSKĐ!AG17,TTSSKĐ!AM17))=6)*(CHOOSE({1,2,3,4},TTSSKĐ!X17,TTSSKĐ!AD17,TTSSKĐ!AJ17,TTSSKĐ!AP17)))</f>
        <v>0</v>
      </c>
      <c r="G17">
        <f>SUMPRODUCT((MONTH(CHOOSE({1,2,3,4},TTSSKĐ!U17,TTSSKĐ!AA17,TTSSKĐ!AG17,TTSSKĐ!AM17))=7)*(CHOOSE({1,2,3,4},TTSSKĐ!X17,TTSSKĐ!AD17,TTSSKĐ!AJ17,TTSSKĐ!AP17)))</f>
        <v>0</v>
      </c>
      <c r="H17">
        <f>SUMPRODUCT((MONTH(CHOOSE({1,2,3,4},TTSSKĐ!U17,TTSSKĐ!AA17,TTSSKĐ!AG17,TTSSKĐ!AM17))=8)*(CHOOSE({1,2,3,4},TTSSKĐ!X17,TTSSKĐ!AD17,TTSSKĐ!AJ17,TTSSKĐ!AP17)))</f>
        <v>0</v>
      </c>
      <c r="I17">
        <f>SUMPRODUCT((MONTH(CHOOSE({1,2,3,4},TTSSKĐ!U17,TTSSKĐ!AA17,TTSSKĐ!AG17,TTSSKĐ!AM17))=9)*(CHOOSE({1,2,3,4},TTSSKĐ!X17,TTSSKĐ!AD17,TTSSKĐ!AJ17,TTSSKĐ!AP17)))</f>
        <v>0</v>
      </c>
      <c r="J17">
        <f>SUMPRODUCT((MONTH(CHOOSE({1,2,3,4},TTSSKĐ!U17,TTSSKĐ!AA17,TTSSKĐ!AG17,TTSSKĐ!AM17))=10)*(CHOOSE({1,2,3,4},TTSSKĐ!X17,TTSSKĐ!AD17,TTSSKĐ!AJ17,TTSSKĐ!AP17)))</f>
        <v>0</v>
      </c>
      <c r="K17">
        <f>SUMPRODUCT((MONTH(CHOOSE({1,2,3,4},TTSSKĐ!U17,TTSSKĐ!AA17,TTSSKĐ!AG17,TTSSKĐ!AM17))=11)*(CHOOSE({1,2,3,4},TTSSKĐ!X17,TTSSKĐ!AD17,TTSSKĐ!AJ17,TTSSKĐ!AP17)))</f>
        <v>0</v>
      </c>
      <c r="L17">
        <f>SUMPRODUCT((MONTH(CHOOSE({1,2,3,4},TTSSKĐ!U17,TTSSKĐ!AA17,TTSSKĐ!AG17,TTSSKĐ!AM17))=12)*(CHOOSE({1,2,3,4},TTSSKĐ!X17,TTSSKĐ!AD17,TTSSKĐ!AJ17,TTSSKĐ!AP17)))</f>
        <v>0</v>
      </c>
    </row>
    <row r="18" spans="1:12">
      <c r="A18">
        <f>SUMPRODUCT((MONTH(CHOOSE({1,2,3,4},TTSSKĐ!U18,TTSSKĐ!AA18,TTSSKĐ!AG18,TTSSKĐ!AM18))=1)*(CHOOSE({1,2,3,4},TTSSKĐ!X18,TTSSKĐ!AD18,TTSSKĐ!AJ18,TTSSKĐ!AP18)))</f>
        <v>0</v>
      </c>
      <c r="B18">
        <f>SUMPRODUCT((MONTH(CHOOSE({1,2,3,4},TTSSKĐ!U18,TTSSKĐ!AA18,TTSSKĐ!AG18,TTSSKĐ!AM18))=2)*(CHOOSE({1,2,3,4},TTSSKĐ!X18,TTSSKĐ!AD18,TTSSKĐ!AJ18,TTSSKĐ!AP18)))</f>
        <v>0</v>
      </c>
      <c r="C18">
        <f>SUMPRODUCT((MONTH(CHOOSE({1,2,3,4},TTSSKĐ!U18,TTSSKĐ!AA18,TTSSKĐ!AG18,TTSSKĐ!AM18))=3)*(CHOOSE({1,2,3,4},TTSSKĐ!X18,TTSSKĐ!AD18,TTSSKĐ!AJ18,TTSSKĐ!AP18)))</f>
        <v>0</v>
      </c>
      <c r="D18">
        <f>SUMPRODUCT((MONTH(CHOOSE({1,2,3,4},TTSSKĐ!U18,TTSSKĐ!AA18,TTSSKĐ!AG18,TTSSKĐ!AM18))=4)*(CHOOSE({1,2,3,4},TTSSKĐ!X18,TTSSKĐ!AD18,TTSSKĐ!AJ18,TTSSKĐ!AP18)))</f>
        <v>0</v>
      </c>
      <c r="E18">
        <f>SUMPRODUCT((MONTH(CHOOSE({1,2,3,4},TTSSKĐ!U18,TTSSKĐ!AA18,TTSSKĐ!AG18,TTSSKĐ!AM18))=5)*(CHOOSE({1,2,3,4},TTSSKĐ!X18,TTSSKĐ!AD18,TTSSKĐ!AJ18,TTSSKĐ!AP18)))</f>
        <v>0</v>
      </c>
      <c r="F18">
        <f>SUMPRODUCT((MONTH(CHOOSE({1,2,3,4},TTSSKĐ!U18,TTSSKĐ!AA18,TTSSKĐ!AG18,TTSSKĐ!AM18))=6)*(CHOOSE({1,2,3,4},TTSSKĐ!X18,TTSSKĐ!AD18,TTSSKĐ!AJ18,TTSSKĐ!AP18)))</f>
        <v>0</v>
      </c>
      <c r="G18">
        <f>SUMPRODUCT((MONTH(CHOOSE({1,2,3,4},TTSSKĐ!U18,TTSSKĐ!AA18,TTSSKĐ!AG18,TTSSKĐ!AM18))=7)*(CHOOSE({1,2,3,4},TTSSKĐ!X18,TTSSKĐ!AD18,TTSSKĐ!AJ18,TTSSKĐ!AP18)))</f>
        <v>0</v>
      </c>
      <c r="H18">
        <f>SUMPRODUCT((MONTH(CHOOSE({1,2,3,4},TTSSKĐ!U18,TTSSKĐ!AA18,TTSSKĐ!AG18,TTSSKĐ!AM18))=8)*(CHOOSE({1,2,3,4},TTSSKĐ!X18,TTSSKĐ!AD18,TTSSKĐ!AJ18,TTSSKĐ!AP18)))</f>
        <v>0</v>
      </c>
      <c r="I18">
        <f>SUMPRODUCT((MONTH(CHOOSE({1,2,3,4},TTSSKĐ!U18,TTSSKĐ!AA18,TTSSKĐ!AG18,TTSSKĐ!AM18))=9)*(CHOOSE({1,2,3,4},TTSSKĐ!X18,TTSSKĐ!AD18,TTSSKĐ!AJ18,TTSSKĐ!AP18)))</f>
        <v>0</v>
      </c>
      <c r="J18">
        <f>SUMPRODUCT((MONTH(CHOOSE({1,2,3,4},TTSSKĐ!U18,TTSSKĐ!AA18,TTSSKĐ!AG18,TTSSKĐ!AM18))=10)*(CHOOSE({1,2,3,4},TTSSKĐ!X18,TTSSKĐ!AD18,TTSSKĐ!AJ18,TTSSKĐ!AP18)))</f>
        <v>0</v>
      </c>
      <c r="K18">
        <f>SUMPRODUCT((MONTH(CHOOSE({1,2,3,4},TTSSKĐ!U18,TTSSKĐ!AA18,TTSSKĐ!AG18,TTSSKĐ!AM18))=11)*(CHOOSE({1,2,3,4},TTSSKĐ!X18,TTSSKĐ!AD18,TTSSKĐ!AJ18,TTSSKĐ!AP18)))</f>
        <v>0</v>
      </c>
      <c r="L18">
        <f>SUMPRODUCT((MONTH(CHOOSE({1,2,3,4},TTSSKĐ!U18,TTSSKĐ!AA18,TTSSKĐ!AG18,TTSSKĐ!AM18))=12)*(CHOOSE({1,2,3,4},TTSSKĐ!X18,TTSSKĐ!AD18,TTSSKĐ!AJ18,TTSSKĐ!AP18)))</f>
        <v>0</v>
      </c>
    </row>
    <row r="19" spans="1:12">
      <c r="A19">
        <f>SUMPRODUCT((MONTH(CHOOSE({1,2,3,4},TTSSKĐ!U19,TTSSKĐ!AA19,TTSSKĐ!AG19,TTSSKĐ!AM19))=1)*(CHOOSE({1,2,3,4},TTSSKĐ!X19,TTSSKĐ!AD19,TTSSKĐ!AJ19,TTSSKĐ!AP19)))</f>
        <v>0</v>
      </c>
      <c r="B19">
        <f>SUMPRODUCT((MONTH(CHOOSE({1,2,3,4},TTSSKĐ!U19,TTSSKĐ!AA19,TTSSKĐ!AG19,TTSSKĐ!AM19))=2)*(CHOOSE({1,2,3,4},TTSSKĐ!X19,TTSSKĐ!AD19,TTSSKĐ!AJ19,TTSSKĐ!AP19)))</f>
        <v>0</v>
      </c>
      <c r="C19">
        <f>SUMPRODUCT((MONTH(CHOOSE({1,2,3,4},TTSSKĐ!U19,TTSSKĐ!AA19,TTSSKĐ!AG19,TTSSKĐ!AM19))=3)*(CHOOSE({1,2,3,4},TTSSKĐ!X19,TTSSKĐ!AD19,TTSSKĐ!AJ19,TTSSKĐ!AP19)))</f>
        <v>0</v>
      </c>
      <c r="D19">
        <f>SUMPRODUCT((MONTH(CHOOSE({1,2,3,4},TTSSKĐ!U19,TTSSKĐ!AA19,TTSSKĐ!AG19,TTSSKĐ!AM19))=4)*(CHOOSE({1,2,3,4},TTSSKĐ!X19,TTSSKĐ!AD19,TTSSKĐ!AJ19,TTSSKĐ!AP19)))</f>
        <v>0</v>
      </c>
      <c r="E19">
        <f>SUMPRODUCT((MONTH(CHOOSE({1,2,3,4},TTSSKĐ!U19,TTSSKĐ!AA19,TTSSKĐ!AG19,TTSSKĐ!AM19))=5)*(CHOOSE({1,2,3,4},TTSSKĐ!X19,TTSSKĐ!AD19,TTSSKĐ!AJ19,TTSSKĐ!AP19)))</f>
        <v>0</v>
      </c>
      <c r="F19">
        <f>SUMPRODUCT((MONTH(CHOOSE({1,2,3,4},TTSSKĐ!U19,TTSSKĐ!AA19,TTSSKĐ!AG19,TTSSKĐ!AM19))=6)*(CHOOSE({1,2,3,4},TTSSKĐ!X19,TTSSKĐ!AD19,TTSSKĐ!AJ19,TTSSKĐ!AP19)))</f>
        <v>0</v>
      </c>
      <c r="G19">
        <f>SUMPRODUCT((MONTH(CHOOSE({1,2,3,4},TTSSKĐ!U19,TTSSKĐ!AA19,TTSSKĐ!AG19,TTSSKĐ!AM19))=7)*(CHOOSE({1,2,3,4},TTSSKĐ!X19,TTSSKĐ!AD19,TTSSKĐ!AJ19,TTSSKĐ!AP19)))</f>
        <v>0</v>
      </c>
      <c r="H19">
        <f>SUMPRODUCT((MONTH(CHOOSE({1,2,3,4},TTSSKĐ!U19,TTSSKĐ!AA19,TTSSKĐ!AG19,TTSSKĐ!AM19))=8)*(CHOOSE({1,2,3,4},TTSSKĐ!X19,TTSSKĐ!AD19,TTSSKĐ!AJ19,TTSSKĐ!AP19)))</f>
        <v>0</v>
      </c>
      <c r="I19">
        <f>SUMPRODUCT((MONTH(CHOOSE({1,2,3,4},TTSSKĐ!U19,TTSSKĐ!AA19,TTSSKĐ!AG19,TTSSKĐ!AM19))=9)*(CHOOSE({1,2,3,4},TTSSKĐ!X19,TTSSKĐ!AD19,TTSSKĐ!AJ19,TTSSKĐ!AP19)))</f>
        <v>0</v>
      </c>
      <c r="J19">
        <f>SUMPRODUCT((MONTH(CHOOSE({1,2,3,4},TTSSKĐ!U19,TTSSKĐ!AA19,TTSSKĐ!AG19,TTSSKĐ!AM19))=10)*(CHOOSE({1,2,3,4},TTSSKĐ!X19,TTSSKĐ!AD19,TTSSKĐ!AJ19,TTSSKĐ!AP19)))</f>
        <v>0</v>
      </c>
      <c r="K19">
        <f>SUMPRODUCT((MONTH(CHOOSE({1,2,3,4},TTSSKĐ!U19,TTSSKĐ!AA19,TTSSKĐ!AG19,TTSSKĐ!AM19))=11)*(CHOOSE({1,2,3,4},TTSSKĐ!X19,TTSSKĐ!AD19,TTSSKĐ!AJ19,TTSSKĐ!AP19)))</f>
        <v>0</v>
      </c>
      <c r="L19">
        <f>SUMPRODUCT((MONTH(CHOOSE({1,2,3,4},TTSSKĐ!U19,TTSSKĐ!AA19,TTSSKĐ!AG19,TTSSKĐ!AM19))=12)*(CHOOSE({1,2,3,4},TTSSKĐ!X19,TTSSKĐ!AD19,TTSSKĐ!AJ19,TTSSKĐ!AP19)))</f>
        <v>0</v>
      </c>
    </row>
    <row r="20" spans="1:12">
      <c r="A20">
        <f>SUMPRODUCT((MONTH(CHOOSE({1,2,3,4},TTSSKĐ!U20,TTSSKĐ!AA20,TTSSKĐ!AG20,TTSSKĐ!AM20))=1)*(CHOOSE({1,2,3,4},TTSSKĐ!X20,TTSSKĐ!AD20,TTSSKĐ!AJ20,TTSSKĐ!AP20)))</f>
        <v>0</v>
      </c>
      <c r="B20">
        <f>SUMPRODUCT((MONTH(CHOOSE({1,2,3,4},TTSSKĐ!U20,TTSSKĐ!AA20,TTSSKĐ!AG20,TTSSKĐ!AM20))=2)*(CHOOSE({1,2,3,4},TTSSKĐ!X20,TTSSKĐ!AD20,TTSSKĐ!AJ20,TTSSKĐ!AP20)))</f>
        <v>0</v>
      </c>
      <c r="C20">
        <f>SUMPRODUCT((MONTH(CHOOSE({1,2,3,4},TTSSKĐ!U20,TTSSKĐ!AA20,TTSSKĐ!AG20,TTSSKĐ!AM20))=3)*(CHOOSE({1,2,3,4},TTSSKĐ!X20,TTSSKĐ!AD20,TTSSKĐ!AJ20,TTSSKĐ!AP20)))</f>
        <v>0</v>
      </c>
      <c r="D20">
        <f>SUMPRODUCT((MONTH(CHOOSE({1,2,3,4},TTSSKĐ!U20,TTSSKĐ!AA20,TTSSKĐ!AG20,TTSSKĐ!AM20))=4)*(CHOOSE({1,2,3,4},TTSSKĐ!X20,TTSSKĐ!AD20,TTSSKĐ!AJ20,TTSSKĐ!AP20)))</f>
        <v>0</v>
      </c>
      <c r="E20">
        <f>SUMPRODUCT((MONTH(CHOOSE({1,2,3,4},TTSSKĐ!U20,TTSSKĐ!AA20,TTSSKĐ!AG20,TTSSKĐ!AM20))=5)*(CHOOSE({1,2,3,4},TTSSKĐ!X20,TTSSKĐ!AD20,TTSSKĐ!AJ20,TTSSKĐ!AP20)))</f>
        <v>0</v>
      </c>
      <c r="F20">
        <f>SUMPRODUCT((MONTH(CHOOSE({1,2,3,4},TTSSKĐ!U20,TTSSKĐ!AA20,TTSSKĐ!AG20,TTSSKĐ!AM20))=6)*(CHOOSE({1,2,3,4},TTSSKĐ!X20,TTSSKĐ!AD20,TTSSKĐ!AJ20,TTSSKĐ!AP20)))</f>
        <v>0</v>
      </c>
      <c r="G20">
        <f>SUMPRODUCT((MONTH(CHOOSE({1,2,3,4},TTSSKĐ!U20,TTSSKĐ!AA20,TTSSKĐ!AG20,TTSSKĐ!AM20))=7)*(CHOOSE({1,2,3,4},TTSSKĐ!X20,TTSSKĐ!AD20,TTSSKĐ!AJ20,TTSSKĐ!AP20)))</f>
        <v>0</v>
      </c>
      <c r="H20">
        <f>SUMPRODUCT((MONTH(CHOOSE({1,2,3,4},TTSSKĐ!U20,TTSSKĐ!AA20,TTSSKĐ!AG20,TTSSKĐ!AM20))=8)*(CHOOSE({1,2,3,4},TTSSKĐ!X20,TTSSKĐ!AD20,TTSSKĐ!AJ20,TTSSKĐ!AP20)))</f>
        <v>0</v>
      </c>
      <c r="I20">
        <f>SUMPRODUCT((MONTH(CHOOSE({1,2,3,4},TTSSKĐ!U20,TTSSKĐ!AA20,TTSSKĐ!AG20,TTSSKĐ!AM20))=9)*(CHOOSE({1,2,3,4},TTSSKĐ!X20,TTSSKĐ!AD20,TTSSKĐ!AJ20,TTSSKĐ!AP20)))</f>
        <v>0</v>
      </c>
      <c r="J20">
        <f>SUMPRODUCT((MONTH(CHOOSE({1,2,3,4},TTSSKĐ!U20,TTSSKĐ!AA20,TTSSKĐ!AG20,TTSSKĐ!AM20))=10)*(CHOOSE({1,2,3,4},TTSSKĐ!X20,TTSSKĐ!AD20,TTSSKĐ!AJ20,TTSSKĐ!AP20)))</f>
        <v>0</v>
      </c>
      <c r="K20">
        <f>SUMPRODUCT((MONTH(CHOOSE({1,2,3,4},TTSSKĐ!U20,TTSSKĐ!AA20,TTSSKĐ!AG20,TTSSKĐ!AM20))=11)*(CHOOSE({1,2,3,4},TTSSKĐ!X20,TTSSKĐ!AD20,TTSSKĐ!AJ20,TTSSKĐ!AP20)))</f>
        <v>0</v>
      </c>
      <c r="L20">
        <f>SUMPRODUCT((MONTH(CHOOSE({1,2,3,4},TTSSKĐ!U20,TTSSKĐ!AA20,TTSSKĐ!AG20,TTSSKĐ!AM20))=12)*(CHOOSE({1,2,3,4},TTSSKĐ!X20,TTSSKĐ!AD20,TTSSKĐ!AJ20,TTSSKĐ!AP20)))</f>
        <v>0</v>
      </c>
    </row>
    <row r="21" spans="1:12">
      <c r="A21">
        <f>SUMPRODUCT((MONTH(CHOOSE({1,2,3,4},TTSSKĐ!U21,TTSSKĐ!AA21,TTSSKĐ!AG21,TTSSKĐ!AM21))=1)*(CHOOSE({1,2,3,4},TTSSKĐ!X21,TTSSKĐ!AD21,TTSSKĐ!AJ21,TTSSKĐ!AP21)))</f>
        <v>0</v>
      </c>
      <c r="B21">
        <f>SUMPRODUCT((MONTH(CHOOSE({1,2,3,4},TTSSKĐ!U21,TTSSKĐ!AA21,TTSSKĐ!AG21,TTSSKĐ!AM21))=2)*(CHOOSE({1,2,3,4},TTSSKĐ!X21,TTSSKĐ!AD21,TTSSKĐ!AJ21,TTSSKĐ!AP21)))</f>
        <v>0</v>
      </c>
      <c r="C21">
        <f>SUMPRODUCT((MONTH(CHOOSE({1,2,3,4},TTSSKĐ!U21,TTSSKĐ!AA21,TTSSKĐ!AG21,TTSSKĐ!AM21))=3)*(CHOOSE({1,2,3,4},TTSSKĐ!X21,TTSSKĐ!AD21,TTSSKĐ!AJ21,TTSSKĐ!AP21)))</f>
        <v>0</v>
      </c>
      <c r="D21">
        <f>SUMPRODUCT((MONTH(CHOOSE({1,2,3,4},TTSSKĐ!U21,TTSSKĐ!AA21,TTSSKĐ!AG21,TTSSKĐ!AM21))=4)*(CHOOSE({1,2,3,4},TTSSKĐ!X21,TTSSKĐ!AD21,TTSSKĐ!AJ21,TTSSKĐ!AP21)))</f>
        <v>0</v>
      </c>
      <c r="E21">
        <f>SUMPRODUCT((MONTH(CHOOSE({1,2,3,4},TTSSKĐ!U21,TTSSKĐ!AA21,TTSSKĐ!AG21,TTSSKĐ!AM21))=5)*(CHOOSE({1,2,3,4},TTSSKĐ!X21,TTSSKĐ!AD21,TTSSKĐ!AJ21,TTSSKĐ!AP21)))</f>
        <v>0</v>
      </c>
      <c r="F21">
        <f>SUMPRODUCT((MONTH(CHOOSE({1,2,3,4},TTSSKĐ!U21,TTSSKĐ!AA21,TTSSKĐ!AG21,TTSSKĐ!AM21))=6)*(CHOOSE({1,2,3,4},TTSSKĐ!X21,TTSSKĐ!AD21,TTSSKĐ!AJ21,TTSSKĐ!AP21)))</f>
        <v>0</v>
      </c>
      <c r="G21">
        <f>SUMPRODUCT((MONTH(CHOOSE({1,2,3,4},TTSSKĐ!U21,TTSSKĐ!AA21,TTSSKĐ!AG21,TTSSKĐ!AM21))=7)*(CHOOSE({1,2,3,4},TTSSKĐ!X21,TTSSKĐ!AD21,TTSSKĐ!AJ21,TTSSKĐ!AP21)))</f>
        <v>0</v>
      </c>
      <c r="H21">
        <f>SUMPRODUCT((MONTH(CHOOSE({1,2,3,4},TTSSKĐ!U21,TTSSKĐ!AA21,TTSSKĐ!AG21,TTSSKĐ!AM21))=8)*(CHOOSE({1,2,3,4},TTSSKĐ!X21,TTSSKĐ!AD21,TTSSKĐ!AJ21,TTSSKĐ!AP21)))</f>
        <v>0</v>
      </c>
      <c r="I21">
        <f>SUMPRODUCT((MONTH(CHOOSE({1,2,3,4},TTSSKĐ!U21,TTSSKĐ!AA21,TTSSKĐ!AG21,TTSSKĐ!AM21))=9)*(CHOOSE({1,2,3,4},TTSSKĐ!X21,TTSSKĐ!AD21,TTSSKĐ!AJ21,TTSSKĐ!AP21)))</f>
        <v>0</v>
      </c>
      <c r="J21">
        <f>SUMPRODUCT((MONTH(CHOOSE({1,2,3,4},TTSSKĐ!U21,TTSSKĐ!AA21,TTSSKĐ!AG21,TTSSKĐ!AM21))=10)*(CHOOSE({1,2,3,4},TTSSKĐ!X21,TTSSKĐ!AD21,TTSSKĐ!AJ21,TTSSKĐ!AP21)))</f>
        <v>0</v>
      </c>
      <c r="K21">
        <f>SUMPRODUCT((MONTH(CHOOSE({1,2,3,4},TTSSKĐ!U21,TTSSKĐ!AA21,TTSSKĐ!AG21,TTSSKĐ!AM21))=11)*(CHOOSE({1,2,3,4},TTSSKĐ!X21,TTSSKĐ!AD21,TTSSKĐ!AJ21,TTSSKĐ!AP21)))</f>
        <v>0</v>
      </c>
      <c r="L21">
        <f>SUMPRODUCT((MONTH(CHOOSE({1,2,3,4},TTSSKĐ!U21,TTSSKĐ!AA21,TTSSKĐ!AG21,TTSSKĐ!AM21))=12)*(CHOOSE({1,2,3,4},TTSSKĐ!X21,TTSSKĐ!AD21,TTSSKĐ!AJ21,TTSSKĐ!AP21)))</f>
        <v>0</v>
      </c>
    </row>
    <row r="22" spans="1:12">
      <c r="A22">
        <f>SUMPRODUCT((MONTH(CHOOSE({1,2,3,4},TTSSKĐ!U22,TTSSKĐ!AA22,TTSSKĐ!AG22,TTSSKĐ!AM22))=1)*(CHOOSE({1,2,3,4},TTSSKĐ!X22,TTSSKĐ!AD22,TTSSKĐ!AJ22,TTSSKĐ!AP22)))</f>
        <v>0</v>
      </c>
      <c r="B22">
        <f>SUMPRODUCT((MONTH(CHOOSE({1,2,3,4},TTSSKĐ!U22,TTSSKĐ!AA22,TTSSKĐ!AG22,TTSSKĐ!AM22))=2)*(CHOOSE({1,2,3,4},TTSSKĐ!X22,TTSSKĐ!AD22,TTSSKĐ!AJ22,TTSSKĐ!AP22)))</f>
        <v>0</v>
      </c>
      <c r="C22">
        <f>SUMPRODUCT((MONTH(CHOOSE({1,2,3,4},TTSSKĐ!U22,TTSSKĐ!AA22,TTSSKĐ!AG22,TTSSKĐ!AM22))=3)*(CHOOSE({1,2,3,4},TTSSKĐ!X22,TTSSKĐ!AD22,TTSSKĐ!AJ22,TTSSKĐ!AP22)))</f>
        <v>0</v>
      </c>
      <c r="D22">
        <f>SUMPRODUCT((MONTH(CHOOSE({1,2,3,4},TTSSKĐ!U22,TTSSKĐ!AA22,TTSSKĐ!AG22,TTSSKĐ!AM22))=4)*(CHOOSE({1,2,3,4},TTSSKĐ!X22,TTSSKĐ!AD22,TTSSKĐ!AJ22,TTSSKĐ!AP22)))</f>
        <v>0</v>
      </c>
      <c r="E22">
        <f>SUMPRODUCT((MONTH(CHOOSE({1,2,3,4},TTSSKĐ!U22,TTSSKĐ!AA22,TTSSKĐ!AG22,TTSSKĐ!AM22))=5)*(CHOOSE({1,2,3,4},TTSSKĐ!X22,TTSSKĐ!AD22,TTSSKĐ!AJ22,TTSSKĐ!AP22)))</f>
        <v>0</v>
      </c>
      <c r="F22">
        <f>SUMPRODUCT((MONTH(CHOOSE({1,2,3,4},TTSSKĐ!U22,TTSSKĐ!AA22,TTSSKĐ!AG22,TTSSKĐ!AM22))=6)*(CHOOSE({1,2,3,4},TTSSKĐ!X22,TTSSKĐ!AD22,TTSSKĐ!AJ22,TTSSKĐ!AP22)))</f>
        <v>0</v>
      </c>
      <c r="G22">
        <f>SUMPRODUCT((MONTH(CHOOSE({1,2,3,4},TTSSKĐ!U22,TTSSKĐ!AA22,TTSSKĐ!AG22,TTSSKĐ!AM22))=7)*(CHOOSE({1,2,3,4},TTSSKĐ!X22,TTSSKĐ!AD22,TTSSKĐ!AJ22,TTSSKĐ!AP22)))</f>
        <v>0</v>
      </c>
      <c r="H22">
        <f>SUMPRODUCT((MONTH(CHOOSE({1,2,3,4},TTSSKĐ!U22,TTSSKĐ!AA22,TTSSKĐ!AG22,TTSSKĐ!AM22))=8)*(CHOOSE({1,2,3,4},TTSSKĐ!X22,TTSSKĐ!AD22,TTSSKĐ!AJ22,TTSSKĐ!AP22)))</f>
        <v>0</v>
      </c>
      <c r="I22">
        <f>SUMPRODUCT((MONTH(CHOOSE({1,2,3,4},TTSSKĐ!U22,TTSSKĐ!AA22,TTSSKĐ!AG22,TTSSKĐ!AM22))=9)*(CHOOSE({1,2,3,4},TTSSKĐ!X22,TTSSKĐ!AD22,TTSSKĐ!AJ22,TTSSKĐ!AP22)))</f>
        <v>0</v>
      </c>
      <c r="J22">
        <f>SUMPRODUCT((MONTH(CHOOSE({1,2,3,4},TTSSKĐ!U22,TTSSKĐ!AA22,TTSSKĐ!AG22,TTSSKĐ!AM22))=10)*(CHOOSE({1,2,3,4},TTSSKĐ!X22,TTSSKĐ!AD22,TTSSKĐ!AJ22,TTSSKĐ!AP22)))</f>
        <v>0</v>
      </c>
      <c r="K22">
        <f>SUMPRODUCT((MONTH(CHOOSE({1,2,3,4},TTSSKĐ!U22,TTSSKĐ!AA22,TTSSKĐ!AG22,TTSSKĐ!AM22))=11)*(CHOOSE({1,2,3,4},TTSSKĐ!X22,TTSSKĐ!AD22,TTSSKĐ!AJ22,TTSSKĐ!AP22)))</f>
        <v>0</v>
      </c>
      <c r="L22">
        <f>SUMPRODUCT((MONTH(CHOOSE({1,2,3,4},TTSSKĐ!U22,TTSSKĐ!AA22,TTSSKĐ!AG22,TTSSKĐ!AM22))=12)*(CHOOSE({1,2,3,4},TTSSKĐ!X22,TTSSKĐ!AD22,TTSSKĐ!AJ22,TTSSKĐ!AP22)))</f>
        <v>0</v>
      </c>
    </row>
    <row r="23" spans="1:12">
      <c r="A23">
        <f>SUMPRODUCT((MONTH(CHOOSE({1,2,3,4},TTSSKĐ!U23,TTSSKĐ!AA23,TTSSKĐ!AG23,TTSSKĐ!AM23))=1)*(CHOOSE({1,2,3,4},TTSSKĐ!X23,TTSSKĐ!AD23,TTSSKĐ!AJ23,TTSSKĐ!AP23)))</f>
        <v>0</v>
      </c>
      <c r="B23">
        <f>SUMPRODUCT((MONTH(CHOOSE({1,2,3,4},TTSSKĐ!U23,TTSSKĐ!AA23,TTSSKĐ!AG23,TTSSKĐ!AM23))=2)*(CHOOSE({1,2,3,4},TTSSKĐ!X23,TTSSKĐ!AD23,TTSSKĐ!AJ23,TTSSKĐ!AP23)))</f>
        <v>0</v>
      </c>
      <c r="C23">
        <f>SUMPRODUCT((MONTH(CHOOSE({1,2,3,4},TTSSKĐ!U23,TTSSKĐ!AA23,TTSSKĐ!AG23,TTSSKĐ!AM23))=3)*(CHOOSE({1,2,3,4},TTSSKĐ!X23,TTSSKĐ!AD23,TTSSKĐ!AJ23,TTSSKĐ!AP23)))</f>
        <v>0</v>
      </c>
      <c r="D23">
        <f>SUMPRODUCT((MONTH(CHOOSE({1,2,3,4},TTSSKĐ!U23,TTSSKĐ!AA23,TTSSKĐ!AG23,TTSSKĐ!AM23))=4)*(CHOOSE({1,2,3,4},TTSSKĐ!X23,TTSSKĐ!AD23,TTSSKĐ!AJ23,TTSSKĐ!AP23)))</f>
        <v>0</v>
      </c>
      <c r="E23">
        <f>SUMPRODUCT((MONTH(CHOOSE({1,2,3,4},TTSSKĐ!U23,TTSSKĐ!AA23,TTSSKĐ!AG23,TTSSKĐ!AM23))=5)*(CHOOSE({1,2,3,4},TTSSKĐ!X23,TTSSKĐ!AD23,TTSSKĐ!AJ23,TTSSKĐ!AP23)))</f>
        <v>0</v>
      </c>
      <c r="F23">
        <f>SUMPRODUCT((MONTH(CHOOSE({1,2,3,4},TTSSKĐ!U23,TTSSKĐ!AA23,TTSSKĐ!AG23,TTSSKĐ!AM23))=6)*(CHOOSE({1,2,3,4},TTSSKĐ!X23,TTSSKĐ!AD23,TTSSKĐ!AJ23,TTSSKĐ!AP23)))</f>
        <v>0</v>
      </c>
      <c r="G23">
        <f>SUMPRODUCT((MONTH(CHOOSE({1,2,3,4},TTSSKĐ!U23,TTSSKĐ!AA23,TTSSKĐ!AG23,TTSSKĐ!AM23))=7)*(CHOOSE({1,2,3,4},TTSSKĐ!X23,TTSSKĐ!AD23,TTSSKĐ!AJ23,TTSSKĐ!AP23)))</f>
        <v>0</v>
      </c>
      <c r="H23">
        <f>SUMPRODUCT((MONTH(CHOOSE({1,2,3,4},TTSSKĐ!U23,TTSSKĐ!AA23,TTSSKĐ!AG23,TTSSKĐ!AM23))=8)*(CHOOSE({1,2,3,4},TTSSKĐ!X23,TTSSKĐ!AD23,TTSSKĐ!AJ23,TTSSKĐ!AP23)))</f>
        <v>0</v>
      </c>
      <c r="I23">
        <f>SUMPRODUCT((MONTH(CHOOSE({1,2,3,4},TTSSKĐ!U23,TTSSKĐ!AA23,TTSSKĐ!AG23,TTSSKĐ!AM23))=9)*(CHOOSE({1,2,3,4},TTSSKĐ!X23,TTSSKĐ!AD23,TTSSKĐ!AJ23,TTSSKĐ!AP23)))</f>
        <v>0</v>
      </c>
      <c r="J23">
        <f>SUMPRODUCT((MONTH(CHOOSE({1,2,3,4},TTSSKĐ!U23,TTSSKĐ!AA23,TTSSKĐ!AG23,TTSSKĐ!AM23))=10)*(CHOOSE({1,2,3,4},TTSSKĐ!X23,TTSSKĐ!AD23,TTSSKĐ!AJ23,TTSSKĐ!AP23)))</f>
        <v>0</v>
      </c>
      <c r="K23">
        <f>SUMPRODUCT((MONTH(CHOOSE({1,2,3,4},TTSSKĐ!U23,TTSSKĐ!AA23,TTSSKĐ!AG23,TTSSKĐ!AM23))=11)*(CHOOSE({1,2,3,4},TTSSKĐ!X23,TTSSKĐ!AD23,TTSSKĐ!AJ23,TTSSKĐ!AP23)))</f>
        <v>0</v>
      </c>
      <c r="L23">
        <f>SUMPRODUCT((MONTH(CHOOSE({1,2,3,4},TTSSKĐ!U23,TTSSKĐ!AA23,TTSSKĐ!AG23,TTSSKĐ!AM23))=12)*(CHOOSE({1,2,3,4},TTSSKĐ!X23,TTSSKĐ!AD23,TTSSKĐ!AJ23,TTSSKĐ!AP23)))</f>
        <v>0</v>
      </c>
    </row>
    <row r="24" spans="1:12">
      <c r="A24">
        <f>SUMPRODUCT((MONTH(CHOOSE({1,2,3,4},TTSSKĐ!U24,TTSSKĐ!AA24,TTSSKĐ!AG24,TTSSKĐ!AM24))=1)*(CHOOSE({1,2,3,4},TTSSKĐ!X24,TTSSKĐ!AD24,TTSSKĐ!AJ24,TTSSKĐ!AP24)))</f>
        <v>0</v>
      </c>
      <c r="B24">
        <f>SUMPRODUCT((MONTH(CHOOSE({1,2,3,4},TTSSKĐ!U24,TTSSKĐ!AA24,TTSSKĐ!AG24,TTSSKĐ!AM24))=2)*(CHOOSE({1,2,3,4},TTSSKĐ!X24,TTSSKĐ!AD24,TTSSKĐ!AJ24,TTSSKĐ!AP24)))</f>
        <v>0</v>
      </c>
      <c r="C24">
        <f>SUMPRODUCT((MONTH(CHOOSE({1,2,3,4},TTSSKĐ!U24,TTSSKĐ!AA24,TTSSKĐ!AG24,TTSSKĐ!AM24))=3)*(CHOOSE({1,2,3,4},TTSSKĐ!X24,TTSSKĐ!AD24,TTSSKĐ!AJ24,TTSSKĐ!AP24)))</f>
        <v>0</v>
      </c>
      <c r="D24">
        <f>SUMPRODUCT((MONTH(CHOOSE({1,2,3,4},TTSSKĐ!U24,TTSSKĐ!AA24,TTSSKĐ!AG24,TTSSKĐ!AM24))=4)*(CHOOSE({1,2,3,4},TTSSKĐ!X24,TTSSKĐ!AD24,TTSSKĐ!AJ24,TTSSKĐ!AP24)))</f>
        <v>0</v>
      </c>
      <c r="E24">
        <f>SUMPRODUCT((MONTH(CHOOSE({1,2,3,4},TTSSKĐ!U24,TTSSKĐ!AA24,TTSSKĐ!AG24,TTSSKĐ!AM24))=5)*(CHOOSE({1,2,3,4},TTSSKĐ!X24,TTSSKĐ!AD24,TTSSKĐ!AJ24,TTSSKĐ!AP24)))</f>
        <v>0</v>
      </c>
      <c r="F24">
        <f>SUMPRODUCT((MONTH(CHOOSE({1,2,3,4},TTSSKĐ!U24,TTSSKĐ!AA24,TTSSKĐ!AG24,TTSSKĐ!AM24))=6)*(CHOOSE({1,2,3,4},TTSSKĐ!X24,TTSSKĐ!AD24,TTSSKĐ!AJ24,TTSSKĐ!AP24)))</f>
        <v>0</v>
      </c>
      <c r="G24">
        <f>SUMPRODUCT((MONTH(CHOOSE({1,2,3,4},TTSSKĐ!U24,TTSSKĐ!AA24,TTSSKĐ!AG24,TTSSKĐ!AM24))=7)*(CHOOSE({1,2,3,4},TTSSKĐ!X24,TTSSKĐ!AD24,TTSSKĐ!AJ24,TTSSKĐ!AP24)))</f>
        <v>0</v>
      </c>
      <c r="H24">
        <f>SUMPRODUCT((MONTH(CHOOSE({1,2,3,4},TTSSKĐ!U24,TTSSKĐ!AA24,TTSSKĐ!AG24,TTSSKĐ!AM24))=8)*(CHOOSE({1,2,3,4},TTSSKĐ!X24,TTSSKĐ!AD24,TTSSKĐ!AJ24,TTSSKĐ!AP24)))</f>
        <v>0</v>
      </c>
      <c r="I24">
        <f>SUMPRODUCT((MONTH(CHOOSE({1,2,3,4},TTSSKĐ!U24,TTSSKĐ!AA24,TTSSKĐ!AG24,TTSSKĐ!AM24))=9)*(CHOOSE({1,2,3,4},TTSSKĐ!X24,TTSSKĐ!AD24,TTSSKĐ!AJ24,TTSSKĐ!AP24)))</f>
        <v>0</v>
      </c>
      <c r="J24">
        <f>SUMPRODUCT((MONTH(CHOOSE({1,2,3,4},TTSSKĐ!U24,TTSSKĐ!AA24,TTSSKĐ!AG24,TTSSKĐ!AM24))=10)*(CHOOSE({1,2,3,4},TTSSKĐ!X24,TTSSKĐ!AD24,TTSSKĐ!AJ24,TTSSKĐ!AP24)))</f>
        <v>0</v>
      </c>
      <c r="K24">
        <f>SUMPRODUCT((MONTH(CHOOSE({1,2,3,4},TTSSKĐ!U24,TTSSKĐ!AA24,TTSSKĐ!AG24,TTSSKĐ!AM24))=11)*(CHOOSE({1,2,3,4},TTSSKĐ!X24,TTSSKĐ!AD24,TTSSKĐ!AJ24,TTSSKĐ!AP24)))</f>
        <v>0</v>
      </c>
      <c r="L24">
        <f>SUMPRODUCT((MONTH(CHOOSE({1,2,3,4},TTSSKĐ!U24,TTSSKĐ!AA24,TTSSKĐ!AG24,TTSSKĐ!AM24))=12)*(CHOOSE({1,2,3,4},TTSSKĐ!X24,TTSSKĐ!AD24,TTSSKĐ!AJ24,TTSSKĐ!AP24)))</f>
        <v>0</v>
      </c>
    </row>
    <row r="25" spans="1:12">
      <c r="A25">
        <f>SUMPRODUCT((MONTH(CHOOSE({1,2,3,4},TTSSKĐ!U25,TTSSKĐ!AA25,TTSSKĐ!AG25,TTSSKĐ!AM25))=1)*(CHOOSE({1,2,3,4},TTSSKĐ!X25,TTSSKĐ!AD25,TTSSKĐ!AJ25,TTSSKĐ!AP25)))</f>
        <v>0</v>
      </c>
      <c r="B25">
        <f>SUMPRODUCT((MONTH(CHOOSE({1,2,3,4},TTSSKĐ!U25,TTSSKĐ!AA25,TTSSKĐ!AG25,TTSSKĐ!AM25))=2)*(CHOOSE({1,2,3,4},TTSSKĐ!X25,TTSSKĐ!AD25,TTSSKĐ!AJ25,TTSSKĐ!AP25)))</f>
        <v>0</v>
      </c>
      <c r="C25">
        <f>SUMPRODUCT((MONTH(CHOOSE({1,2,3,4},TTSSKĐ!U25,TTSSKĐ!AA25,TTSSKĐ!AG25,TTSSKĐ!AM25))=3)*(CHOOSE({1,2,3,4},TTSSKĐ!X25,TTSSKĐ!AD25,TTSSKĐ!AJ25,TTSSKĐ!AP25)))</f>
        <v>0</v>
      </c>
      <c r="D25">
        <f>SUMPRODUCT((MONTH(CHOOSE({1,2,3,4},TTSSKĐ!U25,TTSSKĐ!AA25,TTSSKĐ!AG25,TTSSKĐ!AM25))=4)*(CHOOSE({1,2,3,4},TTSSKĐ!X25,TTSSKĐ!AD25,TTSSKĐ!AJ25,TTSSKĐ!AP25)))</f>
        <v>0</v>
      </c>
      <c r="E25">
        <f>SUMPRODUCT((MONTH(CHOOSE({1,2,3,4},TTSSKĐ!U25,TTSSKĐ!AA25,TTSSKĐ!AG25,TTSSKĐ!AM25))=5)*(CHOOSE({1,2,3,4},TTSSKĐ!X25,TTSSKĐ!AD25,TTSSKĐ!AJ25,TTSSKĐ!AP25)))</f>
        <v>0</v>
      </c>
      <c r="F25">
        <f>SUMPRODUCT((MONTH(CHOOSE({1,2,3,4},TTSSKĐ!U25,TTSSKĐ!AA25,TTSSKĐ!AG25,TTSSKĐ!AM25))=6)*(CHOOSE({1,2,3,4},TTSSKĐ!X25,TTSSKĐ!AD25,TTSSKĐ!AJ25,TTSSKĐ!AP25)))</f>
        <v>0</v>
      </c>
      <c r="G25">
        <f>SUMPRODUCT((MONTH(CHOOSE({1,2,3,4},TTSSKĐ!U25,TTSSKĐ!AA25,TTSSKĐ!AG25,TTSSKĐ!AM25))=7)*(CHOOSE({1,2,3,4},TTSSKĐ!X25,TTSSKĐ!AD25,TTSSKĐ!AJ25,TTSSKĐ!AP25)))</f>
        <v>0</v>
      </c>
      <c r="H25">
        <f>SUMPRODUCT((MONTH(CHOOSE({1,2,3,4},TTSSKĐ!U25,TTSSKĐ!AA25,TTSSKĐ!AG25,TTSSKĐ!AM25))=8)*(CHOOSE({1,2,3,4},TTSSKĐ!X25,TTSSKĐ!AD25,TTSSKĐ!AJ25,TTSSKĐ!AP25)))</f>
        <v>0</v>
      </c>
      <c r="I25">
        <f>SUMPRODUCT((MONTH(CHOOSE({1,2,3,4},TTSSKĐ!U25,TTSSKĐ!AA25,TTSSKĐ!AG25,TTSSKĐ!AM25))=9)*(CHOOSE({1,2,3,4},TTSSKĐ!X25,TTSSKĐ!AD25,TTSSKĐ!AJ25,TTSSKĐ!AP25)))</f>
        <v>0</v>
      </c>
      <c r="J25">
        <f>SUMPRODUCT((MONTH(CHOOSE({1,2,3,4},TTSSKĐ!U25,TTSSKĐ!AA25,TTSSKĐ!AG25,TTSSKĐ!AM25))=10)*(CHOOSE({1,2,3,4},TTSSKĐ!X25,TTSSKĐ!AD25,TTSSKĐ!AJ25,TTSSKĐ!AP25)))</f>
        <v>0</v>
      </c>
      <c r="K25">
        <f>SUMPRODUCT((MONTH(CHOOSE({1,2,3,4},TTSSKĐ!U25,TTSSKĐ!AA25,TTSSKĐ!AG25,TTSSKĐ!AM25))=11)*(CHOOSE({1,2,3,4},TTSSKĐ!X25,TTSSKĐ!AD25,TTSSKĐ!AJ25,TTSSKĐ!AP25)))</f>
        <v>0</v>
      </c>
      <c r="L25">
        <f>SUMPRODUCT((MONTH(CHOOSE({1,2,3,4},TTSSKĐ!U25,TTSSKĐ!AA25,TTSSKĐ!AG25,TTSSKĐ!AM25))=12)*(CHOOSE({1,2,3,4},TTSSKĐ!X25,TTSSKĐ!AD25,TTSSKĐ!AJ25,TTSSKĐ!AP25)))</f>
        <v>0</v>
      </c>
    </row>
    <row r="26" spans="1:12">
      <c r="A26">
        <f>SUMPRODUCT((MONTH(CHOOSE({1,2,3,4},TTSSKĐ!U26,TTSSKĐ!AA26,TTSSKĐ!AG26,TTSSKĐ!AM26))=1)*(CHOOSE({1,2,3,4},TTSSKĐ!X26,TTSSKĐ!AD26,TTSSKĐ!AJ26,TTSSKĐ!AP26)))</f>
        <v>0</v>
      </c>
      <c r="B26">
        <f>SUMPRODUCT((MONTH(CHOOSE({1,2,3,4},TTSSKĐ!U26,TTSSKĐ!AA26,TTSSKĐ!AG26,TTSSKĐ!AM26))=2)*(CHOOSE({1,2,3,4},TTSSKĐ!X26,TTSSKĐ!AD26,TTSSKĐ!AJ26,TTSSKĐ!AP26)))</f>
        <v>0</v>
      </c>
      <c r="C26">
        <f>SUMPRODUCT((MONTH(CHOOSE({1,2,3,4},TTSSKĐ!U26,TTSSKĐ!AA26,TTSSKĐ!AG26,TTSSKĐ!AM26))=3)*(CHOOSE({1,2,3,4},TTSSKĐ!X26,TTSSKĐ!AD26,TTSSKĐ!AJ26,TTSSKĐ!AP26)))</f>
        <v>0</v>
      </c>
      <c r="D26">
        <f>SUMPRODUCT((MONTH(CHOOSE({1,2,3,4},TTSSKĐ!U26,TTSSKĐ!AA26,TTSSKĐ!AG26,TTSSKĐ!AM26))=4)*(CHOOSE({1,2,3,4},TTSSKĐ!X26,TTSSKĐ!AD26,TTSSKĐ!AJ26,TTSSKĐ!AP26)))</f>
        <v>0</v>
      </c>
      <c r="E26">
        <f>SUMPRODUCT((MONTH(CHOOSE({1,2,3,4},TTSSKĐ!U26,TTSSKĐ!AA26,TTSSKĐ!AG26,TTSSKĐ!AM26))=5)*(CHOOSE({1,2,3,4},TTSSKĐ!X26,TTSSKĐ!AD26,TTSSKĐ!AJ26,TTSSKĐ!AP26)))</f>
        <v>0</v>
      </c>
      <c r="F26">
        <f>SUMPRODUCT((MONTH(CHOOSE({1,2,3,4},TTSSKĐ!U26,TTSSKĐ!AA26,TTSSKĐ!AG26,TTSSKĐ!AM26))=6)*(CHOOSE({1,2,3,4},TTSSKĐ!X26,TTSSKĐ!AD26,TTSSKĐ!AJ26,TTSSKĐ!AP26)))</f>
        <v>0</v>
      </c>
      <c r="G26">
        <f>SUMPRODUCT((MONTH(CHOOSE({1,2,3,4},TTSSKĐ!U26,TTSSKĐ!AA26,TTSSKĐ!AG26,TTSSKĐ!AM26))=7)*(CHOOSE({1,2,3,4},TTSSKĐ!X26,TTSSKĐ!AD26,TTSSKĐ!AJ26,TTSSKĐ!AP26)))</f>
        <v>0</v>
      </c>
      <c r="H26">
        <f>SUMPRODUCT((MONTH(CHOOSE({1,2,3,4},TTSSKĐ!U26,TTSSKĐ!AA26,TTSSKĐ!AG26,TTSSKĐ!AM26))=8)*(CHOOSE({1,2,3,4},TTSSKĐ!X26,TTSSKĐ!AD26,TTSSKĐ!AJ26,TTSSKĐ!AP26)))</f>
        <v>0</v>
      </c>
      <c r="I26">
        <f>SUMPRODUCT((MONTH(CHOOSE({1,2,3,4},TTSSKĐ!U26,TTSSKĐ!AA26,TTSSKĐ!AG26,TTSSKĐ!AM26))=9)*(CHOOSE({1,2,3,4},TTSSKĐ!X26,TTSSKĐ!AD26,TTSSKĐ!AJ26,TTSSKĐ!AP26)))</f>
        <v>0</v>
      </c>
      <c r="J26">
        <f>SUMPRODUCT((MONTH(CHOOSE({1,2,3,4},TTSSKĐ!U26,TTSSKĐ!AA26,TTSSKĐ!AG26,TTSSKĐ!AM26))=10)*(CHOOSE({1,2,3,4},TTSSKĐ!X26,TTSSKĐ!AD26,TTSSKĐ!AJ26,TTSSKĐ!AP26)))</f>
        <v>0</v>
      </c>
      <c r="K26">
        <f>SUMPRODUCT((MONTH(CHOOSE({1,2,3,4},TTSSKĐ!U26,TTSSKĐ!AA26,TTSSKĐ!AG26,TTSSKĐ!AM26))=11)*(CHOOSE({1,2,3,4},TTSSKĐ!X26,TTSSKĐ!AD26,TTSSKĐ!AJ26,TTSSKĐ!AP26)))</f>
        <v>0</v>
      </c>
      <c r="L26">
        <f>SUMPRODUCT((MONTH(CHOOSE({1,2,3,4},TTSSKĐ!U26,TTSSKĐ!AA26,TTSSKĐ!AG26,TTSSKĐ!AM26))=12)*(CHOOSE({1,2,3,4},TTSSKĐ!X26,TTSSKĐ!AD26,TTSSKĐ!AJ26,TTSSKĐ!AP26)))</f>
        <v>0</v>
      </c>
    </row>
    <row r="27" spans="1:12">
      <c r="A27">
        <f>SUMPRODUCT((MONTH(CHOOSE({1,2,3,4},TTSSKĐ!U27,TTSSKĐ!AA27,TTSSKĐ!AG27,TTSSKĐ!AM27))=1)*(CHOOSE({1,2,3,4},TTSSKĐ!X27,TTSSKĐ!AD27,TTSSKĐ!AJ27,TTSSKĐ!AP27)))</f>
        <v>0</v>
      </c>
      <c r="B27">
        <f>SUMPRODUCT((MONTH(CHOOSE({1,2,3,4},TTSSKĐ!U27,TTSSKĐ!AA27,TTSSKĐ!AG27,TTSSKĐ!AM27))=2)*(CHOOSE({1,2,3,4},TTSSKĐ!X27,TTSSKĐ!AD27,TTSSKĐ!AJ27,TTSSKĐ!AP27)))</f>
        <v>0</v>
      </c>
      <c r="C27">
        <f>SUMPRODUCT((MONTH(CHOOSE({1,2,3,4},TTSSKĐ!U27,TTSSKĐ!AA27,TTSSKĐ!AG27,TTSSKĐ!AM27))=3)*(CHOOSE({1,2,3,4},TTSSKĐ!X27,TTSSKĐ!AD27,TTSSKĐ!AJ27,TTSSKĐ!AP27)))</f>
        <v>0</v>
      </c>
      <c r="D27">
        <f>SUMPRODUCT((MONTH(CHOOSE({1,2,3,4},TTSSKĐ!U27,TTSSKĐ!AA27,TTSSKĐ!AG27,TTSSKĐ!AM27))=4)*(CHOOSE({1,2,3,4},TTSSKĐ!X27,TTSSKĐ!AD27,TTSSKĐ!AJ27,TTSSKĐ!AP27)))</f>
        <v>0</v>
      </c>
      <c r="E27">
        <f>SUMPRODUCT((MONTH(CHOOSE({1,2,3,4},TTSSKĐ!U27,TTSSKĐ!AA27,TTSSKĐ!AG27,TTSSKĐ!AM27))=5)*(CHOOSE({1,2,3,4},TTSSKĐ!X27,TTSSKĐ!AD27,TTSSKĐ!AJ27,TTSSKĐ!AP27)))</f>
        <v>0</v>
      </c>
      <c r="F27">
        <f>SUMPRODUCT((MONTH(CHOOSE({1,2,3,4},TTSSKĐ!U27,TTSSKĐ!AA27,TTSSKĐ!AG27,TTSSKĐ!AM27))=6)*(CHOOSE({1,2,3,4},TTSSKĐ!X27,TTSSKĐ!AD27,TTSSKĐ!AJ27,TTSSKĐ!AP27)))</f>
        <v>0</v>
      </c>
      <c r="G27">
        <f>SUMPRODUCT((MONTH(CHOOSE({1,2,3,4},TTSSKĐ!U27,TTSSKĐ!AA27,TTSSKĐ!AG27,TTSSKĐ!AM27))=7)*(CHOOSE({1,2,3,4},TTSSKĐ!X27,TTSSKĐ!AD27,TTSSKĐ!AJ27,TTSSKĐ!AP27)))</f>
        <v>0</v>
      </c>
      <c r="H27">
        <f>SUMPRODUCT((MONTH(CHOOSE({1,2,3,4},TTSSKĐ!U27,TTSSKĐ!AA27,TTSSKĐ!AG27,TTSSKĐ!AM27))=8)*(CHOOSE({1,2,3,4},TTSSKĐ!X27,TTSSKĐ!AD27,TTSSKĐ!AJ27,TTSSKĐ!AP27)))</f>
        <v>0</v>
      </c>
      <c r="I27">
        <f>SUMPRODUCT((MONTH(CHOOSE({1,2,3,4},TTSSKĐ!U27,TTSSKĐ!AA27,TTSSKĐ!AG27,TTSSKĐ!AM27))=9)*(CHOOSE({1,2,3,4},TTSSKĐ!X27,TTSSKĐ!AD27,TTSSKĐ!AJ27,TTSSKĐ!AP27)))</f>
        <v>0</v>
      </c>
      <c r="J27">
        <f>SUMPRODUCT((MONTH(CHOOSE({1,2,3,4},TTSSKĐ!U27,TTSSKĐ!AA27,TTSSKĐ!AG27,TTSSKĐ!AM27))=10)*(CHOOSE({1,2,3,4},TTSSKĐ!X27,TTSSKĐ!AD27,TTSSKĐ!AJ27,TTSSKĐ!AP27)))</f>
        <v>0</v>
      </c>
      <c r="K27">
        <f>SUMPRODUCT((MONTH(CHOOSE({1,2,3,4},TTSSKĐ!U27,TTSSKĐ!AA27,TTSSKĐ!AG27,TTSSKĐ!AM27))=11)*(CHOOSE({1,2,3,4},TTSSKĐ!X27,TTSSKĐ!AD27,TTSSKĐ!AJ27,TTSSKĐ!AP27)))</f>
        <v>0</v>
      </c>
      <c r="L27">
        <f>SUMPRODUCT((MONTH(CHOOSE({1,2,3,4},TTSSKĐ!U27,TTSSKĐ!AA27,TTSSKĐ!AG27,TTSSKĐ!AM27))=12)*(CHOOSE({1,2,3,4},TTSSKĐ!X27,TTSSKĐ!AD27,TTSSKĐ!AJ27,TTSSKĐ!AP27)))</f>
        <v>0</v>
      </c>
    </row>
    <row r="28" spans="1:12">
      <c r="A28">
        <f>SUMPRODUCT((MONTH(CHOOSE({1,2,3,4},TTSSKĐ!U28,TTSSKĐ!AA28,TTSSKĐ!AG28,TTSSKĐ!AM28))=1)*(CHOOSE({1,2,3,4},TTSSKĐ!X28,TTSSKĐ!AD28,TTSSKĐ!AJ28,TTSSKĐ!AP28)))</f>
        <v>0</v>
      </c>
      <c r="B28">
        <f>SUMPRODUCT((MONTH(CHOOSE({1,2,3,4},TTSSKĐ!U28,TTSSKĐ!AA28,TTSSKĐ!AG28,TTSSKĐ!AM28))=2)*(CHOOSE({1,2,3,4},TTSSKĐ!X28,TTSSKĐ!AD28,TTSSKĐ!AJ28,TTSSKĐ!AP28)))</f>
        <v>0</v>
      </c>
      <c r="C28">
        <f>SUMPRODUCT((MONTH(CHOOSE({1,2,3,4},TTSSKĐ!U28,TTSSKĐ!AA28,TTSSKĐ!AG28,TTSSKĐ!AM28))=3)*(CHOOSE({1,2,3,4},TTSSKĐ!X28,TTSSKĐ!AD28,TTSSKĐ!AJ28,TTSSKĐ!AP28)))</f>
        <v>0</v>
      </c>
      <c r="D28">
        <f>SUMPRODUCT((MONTH(CHOOSE({1,2,3,4},TTSSKĐ!U28,TTSSKĐ!AA28,TTSSKĐ!AG28,TTSSKĐ!AM28))=4)*(CHOOSE({1,2,3,4},TTSSKĐ!X28,TTSSKĐ!AD28,TTSSKĐ!AJ28,TTSSKĐ!AP28)))</f>
        <v>0</v>
      </c>
      <c r="E28">
        <f>SUMPRODUCT((MONTH(CHOOSE({1,2,3,4},TTSSKĐ!U28,TTSSKĐ!AA28,TTSSKĐ!AG28,TTSSKĐ!AM28))=5)*(CHOOSE({1,2,3,4},TTSSKĐ!X28,TTSSKĐ!AD28,TTSSKĐ!AJ28,TTSSKĐ!AP28)))</f>
        <v>0</v>
      </c>
      <c r="F28">
        <f>SUMPRODUCT((MONTH(CHOOSE({1,2,3,4},TTSSKĐ!U28,TTSSKĐ!AA28,TTSSKĐ!AG28,TTSSKĐ!AM28))=6)*(CHOOSE({1,2,3,4},TTSSKĐ!X28,TTSSKĐ!AD28,TTSSKĐ!AJ28,TTSSKĐ!AP28)))</f>
        <v>0</v>
      </c>
      <c r="G28">
        <f>SUMPRODUCT((MONTH(CHOOSE({1,2,3,4},TTSSKĐ!U28,TTSSKĐ!AA28,TTSSKĐ!AG28,TTSSKĐ!AM28))=7)*(CHOOSE({1,2,3,4},TTSSKĐ!X28,TTSSKĐ!AD28,TTSSKĐ!AJ28,TTSSKĐ!AP28)))</f>
        <v>0</v>
      </c>
      <c r="H28">
        <f>SUMPRODUCT((MONTH(CHOOSE({1,2,3,4},TTSSKĐ!U28,TTSSKĐ!AA28,TTSSKĐ!AG28,TTSSKĐ!AM28))=8)*(CHOOSE({1,2,3,4},TTSSKĐ!X28,TTSSKĐ!AD28,TTSSKĐ!AJ28,TTSSKĐ!AP28)))</f>
        <v>0</v>
      </c>
      <c r="I28">
        <f>SUMPRODUCT((MONTH(CHOOSE({1,2,3,4},TTSSKĐ!U28,TTSSKĐ!AA28,TTSSKĐ!AG28,TTSSKĐ!AM28))=9)*(CHOOSE({1,2,3,4},TTSSKĐ!X28,TTSSKĐ!AD28,TTSSKĐ!AJ28,TTSSKĐ!AP28)))</f>
        <v>0</v>
      </c>
      <c r="J28">
        <f>SUMPRODUCT((MONTH(CHOOSE({1,2,3,4},TTSSKĐ!U28,TTSSKĐ!AA28,TTSSKĐ!AG28,TTSSKĐ!AM28))=10)*(CHOOSE({1,2,3,4},TTSSKĐ!X28,TTSSKĐ!AD28,TTSSKĐ!AJ28,TTSSKĐ!AP28)))</f>
        <v>0</v>
      </c>
      <c r="K28">
        <f>SUMPRODUCT((MONTH(CHOOSE({1,2,3,4},TTSSKĐ!U28,TTSSKĐ!AA28,TTSSKĐ!AG28,TTSSKĐ!AM28))=11)*(CHOOSE({1,2,3,4},TTSSKĐ!X28,TTSSKĐ!AD28,TTSSKĐ!AJ28,TTSSKĐ!AP28)))</f>
        <v>0</v>
      </c>
      <c r="L28">
        <f>SUMPRODUCT((MONTH(CHOOSE({1,2,3,4},TTSSKĐ!U28,TTSSKĐ!AA28,TTSSKĐ!AG28,TTSSKĐ!AM28))=12)*(CHOOSE({1,2,3,4},TTSSKĐ!X28,TTSSKĐ!AD28,TTSSKĐ!AJ28,TTSSKĐ!AP28)))</f>
        <v>0</v>
      </c>
    </row>
    <row r="29" spans="1:12">
      <c r="A29">
        <f>SUMPRODUCT((MONTH(CHOOSE({1,2,3,4},TTSSKĐ!U29,TTSSKĐ!AA29,TTSSKĐ!AG29,TTSSKĐ!AM29))=1)*(CHOOSE({1,2,3,4},TTSSKĐ!X29,TTSSKĐ!AD29,TTSSKĐ!AJ29,TTSSKĐ!AP29)))</f>
        <v>0</v>
      </c>
      <c r="B29">
        <f>SUMPRODUCT((MONTH(CHOOSE({1,2,3,4},TTSSKĐ!U29,TTSSKĐ!AA29,TTSSKĐ!AG29,TTSSKĐ!AM29))=2)*(CHOOSE({1,2,3,4},TTSSKĐ!X29,TTSSKĐ!AD29,TTSSKĐ!AJ29,TTSSKĐ!AP29)))</f>
        <v>0</v>
      </c>
      <c r="C29">
        <f>SUMPRODUCT((MONTH(CHOOSE({1,2,3,4},TTSSKĐ!U29,TTSSKĐ!AA29,TTSSKĐ!AG29,TTSSKĐ!AM29))=3)*(CHOOSE({1,2,3,4},TTSSKĐ!X29,TTSSKĐ!AD29,TTSSKĐ!AJ29,TTSSKĐ!AP29)))</f>
        <v>0</v>
      </c>
      <c r="D29">
        <f>SUMPRODUCT((MONTH(CHOOSE({1,2,3,4},TTSSKĐ!U29,TTSSKĐ!AA29,TTSSKĐ!AG29,TTSSKĐ!AM29))=4)*(CHOOSE({1,2,3,4},TTSSKĐ!X29,TTSSKĐ!AD29,TTSSKĐ!AJ29,TTSSKĐ!AP29)))</f>
        <v>0</v>
      </c>
      <c r="E29">
        <f>SUMPRODUCT((MONTH(CHOOSE({1,2,3,4},TTSSKĐ!U29,TTSSKĐ!AA29,TTSSKĐ!AG29,TTSSKĐ!AM29))=5)*(CHOOSE({1,2,3,4},TTSSKĐ!X29,TTSSKĐ!AD29,TTSSKĐ!AJ29,TTSSKĐ!AP29)))</f>
        <v>0</v>
      </c>
      <c r="F29">
        <f>SUMPRODUCT((MONTH(CHOOSE({1,2,3,4},TTSSKĐ!U29,TTSSKĐ!AA29,TTSSKĐ!AG29,TTSSKĐ!AM29))=6)*(CHOOSE({1,2,3,4},TTSSKĐ!X29,TTSSKĐ!AD29,TTSSKĐ!AJ29,TTSSKĐ!AP29)))</f>
        <v>0</v>
      </c>
      <c r="G29">
        <f>SUMPRODUCT((MONTH(CHOOSE({1,2,3,4},TTSSKĐ!U29,TTSSKĐ!AA29,TTSSKĐ!AG29,TTSSKĐ!AM29))=7)*(CHOOSE({1,2,3,4},TTSSKĐ!X29,TTSSKĐ!AD29,TTSSKĐ!AJ29,TTSSKĐ!AP29)))</f>
        <v>0</v>
      </c>
      <c r="H29">
        <f>SUMPRODUCT((MONTH(CHOOSE({1,2,3,4},TTSSKĐ!U29,TTSSKĐ!AA29,TTSSKĐ!AG29,TTSSKĐ!AM29))=8)*(CHOOSE({1,2,3,4},TTSSKĐ!X29,TTSSKĐ!AD29,TTSSKĐ!AJ29,TTSSKĐ!AP29)))</f>
        <v>0</v>
      </c>
      <c r="I29">
        <f>SUMPRODUCT((MONTH(CHOOSE({1,2,3,4},TTSSKĐ!U29,TTSSKĐ!AA29,TTSSKĐ!AG29,TTSSKĐ!AM29))=9)*(CHOOSE({1,2,3,4},TTSSKĐ!X29,TTSSKĐ!AD29,TTSSKĐ!AJ29,TTSSKĐ!AP29)))</f>
        <v>0</v>
      </c>
      <c r="J29">
        <f>SUMPRODUCT((MONTH(CHOOSE({1,2,3,4},TTSSKĐ!U29,TTSSKĐ!AA29,TTSSKĐ!AG29,TTSSKĐ!AM29))=10)*(CHOOSE({1,2,3,4},TTSSKĐ!X29,TTSSKĐ!AD29,TTSSKĐ!AJ29,TTSSKĐ!AP29)))</f>
        <v>0</v>
      </c>
      <c r="K29">
        <f>SUMPRODUCT((MONTH(CHOOSE({1,2,3,4},TTSSKĐ!U29,TTSSKĐ!AA29,TTSSKĐ!AG29,TTSSKĐ!AM29))=11)*(CHOOSE({1,2,3,4},TTSSKĐ!X29,TTSSKĐ!AD29,TTSSKĐ!AJ29,TTSSKĐ!AP29)))</f>
        <v>0</v>
      </c>
      <c r="L29">
        <f>SUMPRODUCT((MONTH(CHOOSE({1,2,3,4},TTSSKĐ!U29,TTSSKĐ!AA29,TTSSKĐ!AG29,TTSSKĐ!AM29))=12)*(CHOOSE({1,2,3,4},TTSSKĐ!X29,TTSSKĐ!AD29,TTSSKĐ!AJ29,TTSSKĐ!AP29)))</f>
        <v>0</v>
      </c>
    </row>
    <row r="30" spans="1:12">
      <c r="A30">
        <f>SUMPRODUCT((MONTH(CHOOSE({1,2,3,4},TTSSKĐ!U30,TTSSKĐ!AA30,TTSSKĐ!AG30,TTSSKĐ!AM30))=1)*(CHOOSE({1,2,3,4},TTSSKĐ!X30,TTSSKĐ!AD30,TTSSKĐ!AJ30,TTSSKĐ!AP30)))</f>
        <v>0</v>
      </c>
      <c r="B30">
        <f>SUMPRODUCT((MONTH(CHOOSE({1,2,3,4},TTSSKĐ!U30,TTSSKĐ!AA30,TTSSKĐ!AG30,TTSSKĐ!AM30))=2)*(CHOOSE({1,2,3,4},TTSSKĐ!X30,TTSSKĐ!AD30,TTSSKĐ!AJ30,TTSSKĐ!AP30)))</f>
        <v>0</v>
      </c>
      <c r="C30">
        <f>SUMPRODUCT((MONTH(CHOOSE({1,2,3,4},TTSSKĐ!U30,TTSSKĐ!AA30,TTSSKĐ!AG30,TTSSKĐ!AM30))=3)*(CHOOSE({1,2,3,4},TTSSKĐ!X30,TTSSKĐ!AD30,TTSSKĐ!AJ30,TTSSKĐ!AP30)))</f>
        <v>0</v>
      </c>
      <c r="D30">
        <f>SUMPRODUCT((MONTH(CHOOSE({1,2,3,4},TTSSKĐ!U30,TTSSKĐ!AA30,TTSSKĐ!AG30,TTSSKĐ!AM30))=4)*(CHOOSE({1,2,3,4},TTSSKĐ!X30,TTSSKĐ!AD30,TTSSKĐ!AJ30,TTSSKĐ!AP30)))</f>
        <v>0</v>
      </c>
      <c r="E30">
        <f>SUMPRODUCT((MONTH(CHOOSE({1,2,3,4},TTSSKĐ!U30,TTSSKĐ!AA30,TTSSKĐ!AG30,TTSSKĐ!AM30))=5)*(CHOOSE({1,2,3,4},TTSSKĐ!X30,TTSSKĐ!AD30,TTSSKĐ!AJ30,TTSSKĐ!AP30)))</f>
        <v>0</v>
      </c>
      <c r="F30">
        <f>SUMPRODUCT((MONTH(CHOOSE({1,2,3,4},TTSSKĐ!U30,TTSSKĐ!AA30,TTSSKĐ!AG30,TTSSKĐ!AM30))=6)*(CHOOSE({1,2,3,4},TTSSKĐ!X30,TTSSKĐ!AD30,TTSSKĐ!AJ30,TTSSKĐ!AP30)))</f>
        <v>0</v>
      </c>
      <c r="G30">
        <f>SUMPRODUCT((MONTH(CHOOSE({1,2,3,4},TTSSKĐ!U30,TTSSKĐ!AA30,TTSSKĐ!AG30,TTSSKĐ!AM30))=7)*(CHOOSE({1,2,3,4},TTSSKĐ!X30,TTSSKĐ!AD30,TTSSKĐ!AJ30,TTSSKĐ!AP30)))</f>
        <v>0</v>
      </c>
      <c r="H30">
        <f>SUMPRODUCT((MONTH(CHOOSE({1,2,3,4},TTSSKĐ!U30,TTSSKĐ!AA30,TTSSKĐ!AG30,TTSSKĐ!AM30))=8)*(CHOOSE({1,2,3,4},TTSSKĐ!X30,TTSSKĐ!AD30,TTSSKĐ!AJ30,TTSSKĐ!AP30)))</f>
        <v>0</v>
      </c>
      <c r="I30">
        <f>SUMPRODUCT((MONTH(CHOOSE({1,2,3,4},TTSSKĐ!U30,TTSSKĐ!AA30,TTSSKĐ!AG30,TTSSKĐ!AM30))=9)*(CHOOSE({1,2,3,4},TTSSKĐ!X30,TTSSKĐ!AD30,TTSSKĐ!AJ30,TTSSKĐ!AP30)))</f>
        <v>0</v>
      </c>
      <c r="J30">
        <f>SUMPRODUCT((MONTH(CHOOSE({1,2,3,4},TTSSKĐ!U30,TTSSKĐ!AA30,TTSSKĐ!AG30,TTSSKĐ!AM30))=10)*(CHOOSE({1,2,3,4},TTSSKĐ!X30,TTSSKĐ!AD30,TTSSKĐ!AJ30,TTSSKĐ!AP30)))</f>
        <v>0</v>
      </c>
      <c r="K30">
        <f>SUMPRODUCT((MONTH(CHOOSE({1,2,3,4},TTSSKĐ!U30,TTSSKĐ!AA30,TTSSKĐ!AG30,TTSSKĐ!AM30))=11)*(CHOOSE({1,2,3,4},TTSSKĐ!X30,TTSSKĐ!AD30,TTSSKĐ!AJ30,TTSSKĐ!AP30)))</f>
        <v>0</v>
      </c>
      <c r="L30">
        <f>SUMPRODUCT((MONTH(CHOOSE({1,2,3,4},TTSSKĐ!U30,TTSSKĐ!AA30,TTSSKĐ!AG30,TTSSKĐ!AM30))=12)*(CHOOSE({1,2,3,4},TTSSKĐ!X30,TTSSKĐ!AD30,TTSSKĐ!AJ30,TTSSKĐ!AP30)))</f>
        <v>0</v>
      </c>
    </row>
    <row r="31" spans="1:12">
      <c r="A31">
        <f>SUMPRODUCT((MONTH(CHOOSE({1,2,3,4},TTSSKĐ!U31,TTSSKĐ!AA31,TTSSKĐ!AG31,TTSSKĐ!AM31))=1)*(CHOOSE({1,2,3,4},TTSSKĐ!X31,TTSSKĐ!AD31,TTSSKĐ!AJ31,TTSSKĐ!AP31)))</f>
        <v>0</v>
      </c>
      <c r="B31">
        <f>SUMPRODUCT((MONTH(CHOOSE({1,2,3,4},TTSSKĐ!U31,TTSSKĐ!AA31,TTSSKĐ!AG31,TTSSKĐ!AM31))=2)*(CHOOSE({1,2,3,4},TTSSKĐ!X31,TTSSKĐ!AD31,TTSSKĐ!AJ31,TTSSKĐ!AP31)))</f>
        <v>0</v>
      </c>
      <c r="C31">
        <f>SUMPRODUCT((MONTH(CHOOSE({1,2,3,4},TTSSKĐ!U31,TTSSKĐ!AA31,TTSSKĐ!AG31,TTSSKĐ!AM31))=3)*(CHOOSE({1,2,3,4},TTSSKĐ!X31,TTSSKĐ!AD31,TTSSKĐ!AJ31,TTSSKĐ!AP31)))</f>
        <v>0</v>
      </c>
      <c r="D31">
        <f>SUMPRODUCT((MONTH(CHOOSE({1,2,3,4},TTSSKĐ!U31,TTSSKĐ!AA31,TTSSKĐ!AG31,TTSSKĐ!AM31))=4)*(CHOOSE({1,2,3,4},TTSSKĐ!X31,TTSSKĐ!AD31,TTSSKĐ!AJ31,TTSSKĐ!AP31)))</f>
        <v>0</v>
      </c>
      <c r="E31">
        <f>SUMPRODUCT((MONTH(CHOOSE({1,2,3,4},TTSSKĐ!U31,TTSSKĐ!AA31,TTSSKĐ!AG31,TTSSKĐ!AM31))=5)*(CHOOSE({1,2,3,4},TTSSKĐ!X31,TTSSKĐ!AD31,TTSSKĐ!AJ31,TTSSKĐ!AP31)))</f>
        <v>0</v>
      </c>
      <c r="F31">
        <f>SUMPRODUCT((MONTH(CHOOSE({1,2,3,4},TTSSKĐ!U31,TTSSKĐ!AA31,TTSSKĐ!AG31,TTSSKĐ!AM31))=6)*(CHOOSE({1,2,3,4},TTSSKĐ!X31,TTSSKĐ!AD31,TTSSKĐ!AJ31,TTSSKĐ!AP31)))</f>
        <v>0</v>
      </c>
      <c r="G31">
        <f>SUMPRODUCT((MONTH(CHOOSE({1,2,3,4},TTSSKĐ!U31,TTSSKĐ!AA31,TTSSKĐ!AG31,TTSSKĐ!AM31))=7)*(CHOOSE({1,2,3,4},TTSSKĐ!X31,TTSSKĐ!AD31,TTSSKĐ!AJ31,TTSSKĐ!AP31)))</f>
        <v>0</v>
      </c>
      <c r="H31">
        <f>SUMPRODUCT((MONTH(CHOOSE({1,2,3,4},TTSSKĐ!U31,TTSSKĐ!AA31,TTSSKĐ!AG31,TTSSKĐ!AM31))=8)*(CHOOSE({1,2,3,4},TTSSKĐ!X31,TTSSKĐ!AD31,TTSSKĐ!AJ31,TTSSKĐ!AP31)))</f>
        <v>0</v>
      </c>
      <c r="I31">
        <f>SUMPRODUCT((MONTH(CHOOSE({1,2,3,4},TTSSKĐ!U31,TTSSKĐ!AA31,TTSSKĐ!AG31,TTSSKĐ!AM31))=9)*(CHOOSE({1,2,3,4},TTSSKĐ!X31,TTSSKĐ!AD31,TTSSKĐ!AJ31,TTSSKĐ!AP31)))</f>
        <v>0</v>
      </c>
      <c r="J31">
        <f>SUMPRODUCT((MONTH(CHOOSE({1,2,3,4},TTSSKĐ!U31,TTSSKĐ!AA31,TTSSKĐ!AG31,TTSSKĐ!AM31))=10)*(CHOOSE({1,2,3,4},TTSSKĐ!X31,TTSSKĐ!AD31,TTSSKĐ!AJ31,TTSSKĐ!AP31)))</f>
        <v>0</v>
      </c>
      <c r="K31">
        <f>SUMPRODUCT((MONTH(CHOOSE({1,2,3,4},TTSSKĐ!U31,TTSSKĐ!AA31,TTSSKĐ!AG31,TTSSKĐ!AM31))=11)*(CHOOSE({1,2,3,4},TTSSKĐ!X31,TTSSKĐ!AD31,TTSSKĐ!AJ31,TTSSKĐ!AP31)))</f>
        <v>0</v>
      </c>
      <c r="L31">
        <f>SUMPRODUCT((MONTH(CHOOSE({1,2,3,4},TTSSKĐ!U31,TTSSKĐ!AA31,TTSSKĐ!AG31,TTSSKĐ!AM31))=12)*(CHOOSE({1,2,3,4},TTSSKĐ!X31,TTSSKĐ!AD31,TTSSKĐ!AJ31,TTSSKĐ!AP31)))</f>
        <v>0</v>
      </c>
    </row>
    <row r="32" spans="1:12">
      <c r="A32">
        <f>SUMPRODUCT((MONTH(CHOOSE({1,2,3,4},TTSSKĐ!U32,TTSSKĐ!AA32,TTSSKĐ!AG32,TTSSKĐ!AM32))=1)*(CHOOSE({1,2,3,4},TTSSKĐ!X32,TTSSKĐ!AD32,TTSSKĐ!AJ32,TTSSKĐ!AP32)))</f>
        <v>0</v>
      </c>
      <c r="B32">
        <f>SUMPRODUCT((MONTH(CHOOSE({1,2,3,4},TTSSKĐ!U32,TTSSKĐ!AA32,TTSSKĐ!AG32,TTSSKĐ!AM32))=2)*(CHOOSE({1,2,3,4},TTSSKĐ!X32,TTSSKĐ!AD32,TTSSKĐ!AJ32,TTSSKĐ!AP32)))</f>
        <v>0</v>
      </c>
      <c r="C32">
        <f>SUMPRODUCT((MONTH(CHOOSE({1,2,3,4},TTSSKĐ!U32,TTSSKĐ!AA32,TTSSKĐ!AG32,TTSSKĐ!AM32))=3)*(CHOOSE({1,2,3,4},TTSSKĐ!X32,TTSSKĐ!AD32,TTSSKĐ!AJ32,TTSSKĐ!AP32)))</f>
        <v>0</v>
      </c>
      <c r="D32">
        <f>SUMPRODUCT((MONTH(CHOOSE({1,2,3,4},TTSSKĐ!U32,TTSSKĐ!AA32,TTSSKĐ!AG32,TTSSKĐ!AM32))=4)*(CHOOSE({1,2,3,4},TTSSKĐ!X32,TTSSKĐ!AD32,TTSSKĐ!AJ32,TTSSKĐ!AP32)))</f>
        <v>0</v>
      </c>
      <c r="E32">
        <f>SUMPRODUCT((MONTH(CHOOSE({1,2,3,4},TTSSKĐ!U32,TTSSKĐ!AA32,TTSSKĐ!AG32,TTSSKĐ!AM32))=5)*(CHOOSE({1,2,3,4},TTSSKĐ!X32,TTSSKĐ!AD32,TTSSKĐ!AJ32,TTSSKĐ!AP32)))</f>
        <v>0</v>
      </c>
      <c r="F32">
        <f>SUMPRODUCT((MONTH(CHOOSE({1,2,3,4},TTSSKĐ!U32,TTSSKĐ!AA32,TTSSKĐ!AG32,TTSSKĐ!AM32))=6)*(CHOOSE({1,2,3,4},TTSSKĐ!X32,TTSSKĐ!AD32,TTSSKĐ!AJ32,TTSSKĐ!AP32)))</f>
        <v>0</v>
      </c>
      <c r="G32">
        <f>SUMPRODUCT((MONTH(CHOOSE({1,2,3,4},TTSSKĐ!U32,TTSSKĐ!AA32,TTSSKĐ!AG32,TTSSKĐ!AM32))=7)*(CHOOSE({1,2,3,4},TTSSKĐ!X32,TTSSKĐ!AD32,TTSSKĐ!AJ32,TTSSKĐ!AP32)))</f>
        <v>0</v>
      </c>
      <c r="H32">
        <f>SUMPRODUCT((MONTH(CHOOSE({1,2,3,4},TTSSKĐ!U32,TTSSKĐ!AA32,TTSSKĐ!AG32,TTSSKĐ!AM32))=8)*(CHOOSE({1,2,3,4},TTSSKĐ!X32,TTSSKĐ!AD32,TTSSKĐ!AJ32,TTSSKĐ!AP32)))</f>
        <v>0</v>
      </c>
      <c r="I32">
        <f>SUMPRODUCT((MONTH(CHOOSE({1,2,3,4},TTSSKĐ!U32,TTSSKĐ!AA32,TTSSKĐ!AG32,TTSSKĐ!AM32))=9)*(CHOOSE({1,2,3,4},TTSSKĐ!X32,TTSSKĐ!AD32,TTSSKĐ!AJ32,TTSSKĐ!AP32)))</f>
        <v>0</v>
      </c>
      <c r="J32">
        <f>SUMPRODUCT((MONTH(CHOOSE({1,2,3,4},TTSSKĐ!U32,TTSSKĐ!AA32,TTSSKĐ!AG32,TTSSKĐ!AM32))=10)*(CHOOSE({1,2,3,4},TTSSKĐ!X32,TTSSKĐ!AD32,TTSSKĐ!AJ32,TTSSKĐ!AP32)))</f>
        <v>0</v>
      </c>
      <c r="K32">
        <f>SUMPRODUCT((MONTH(CHOOSE({1,2,3,4},TTSSKĐ!U32,TTSSKĐ!AA32,TTSSKĐ!AG32,TTSSKĐ!AM32))=11)*(CHOOSE({1,2,3,4},TTSSKĐ!X32,TTSSKĐ!AD32,TTSSKĐ!AJ32,TTSSKĐ!AP32)))</f>
        <v>0</v>
      </c>
      <c r="L32">
        <f>SUMPRODUCT((MONTH(CHOOSE({1,2,3,4},TTSSKĐ!U32,TTSSKĐ!AA32,TTSSKĐ!AG32,TTSSKĐ!AM32))=12)*(CHOOSE({1,2,3,4},TTSSKĐ!X32,TTSSKĐ!AD32,TTSSKĐ!AJ32,TTSSKĐ!AP32)))</f>
        <v>0</v>
      </c>
    </row>
    <row r="33" spans="1:12">
      <c r="A33">
        <f>SUMPRODUCT((MONTH(CHOOSE({1,2,3,4},TTSSKĐ!U33,TTSSKĐ!AA33,TTSSKĐ!AG33,TTSSKĐ!AM33))=1)*(CHOOSE({1,2,3,4},TTSSKĐ!X33,TTSSKĐ!AD33,TTSSKĐ!AJ33,TTSSKĐ!AP33)))</f>
        <v>0</v>
      </c>
      <c r="B33">
        <f>SUMPRODUCT((MONTH(CHOOSE({1,2,3,4},TTSSKĐ!U33,TTSSKĐ!AA33,TTSSKĐ!AG33,TTSSKĐ!AM33))=2)*(CHOOSE({1,2,3,4},TTSSKĐ!X33,TTSSKĐ!AD33,TTSSKĐ!AJ33,TTSSKĐ!AP33)))</f>
        <v>0</v>
      </c>
      <c r="C33">
        <f>SUMPRODUCT((MONTH(CHOOSE({1,2,3,4},TTSSKĐ!U33,TTSSKĐ!AA33,TTSSKĐ!AG33,TTSSKĐ!AM33))=3)*(CHOOSE({1,2,3,4},TTSSKĐ!X33,TTSSKĐ!AD33,TTSSKĐ!AJ33,TTSSKĐ!AP33)))</f>
        <v>0</v>
      </c>
      <c r="D33">
        <f>SUMPRODUCT((MONTH(CHOOSE({1,2,3,4},TTSSKĐ!U33,TTSSKĐ!AA33,TTSSKĐ!AG33,TTSSKĐ!AM33))=4)*(CHOOSE({1,2,3,4},TTSSKĐ!X33,TTSSKĐ!AD33,TTSSKĐ!AJ33,TTSSKĐ!AP33)))</f>
        <v>0</v>
      </c>
      <c r="E33">
        <f>SUMPRODUCT((MONTH(CHOOSE({1,2,3,4},TTSSKĐ!U33,TTSSKĐ!AA33,TTSSKĐ!AG33,TTSSKĐ!AM33))=5)*(CHOOSE({1,2,3,4},TTSSKĐ!X33,TTSSKĐ!AD33,TTSSKĐ!AJ33,TTSSKĐ!AP33)))</f>
        <v>0</v>
      </c>
      <c r="F33">
        <f>SUMPRODUCT((MONTH(CHOOSE({1,2,3,4},TTSSKĐ!U33,TTSSKĐ!AA33,TTSSKĐ!AG33,TTSSKĐ!AM33))=6)*(CHOOSE({1,2,3,4},TTSSKĐ!X33,TTSSKĐ!AD33,TTSSKĐ!AJ33,TTSSKĐ!AP33)))</f>
        <v>0</v>
      </c>
      <c r="G33">
        <f>SUMPRODUCT((MONTH(CHOOSE({1,2,3,4},TTSSKĐ!U33,TTSSKĐ!AA33,TTSSKĐ!AG33,TTSSKĐ!AM33))=7)*(CHOOSE({1,2,3,4},TTSSKĐ!X33,TTSSKĐ!AD33,TTSSKĐ!AJ33,TTSSKĐ!AP33)))</f>
        <v>0</v>
      </c>
      <c r="H33">
        <f>SUMPRODUCT((MONTH(CHOOSE({1,2,3,4},TTSSKĐ!U33,TTSSKĐ!AA33,TTSSKĐ!AG33,TTSSKĐ!AM33))=8)*(CHOOSE({1,2,3,4},TTSSKĐ!X33,TTSSKĐ!AD33,TTSSKĐ!AJ33,TTSSKĐ!AP33)))</f>
        <v>0</v>
      </c>
      <c r="I33">
        <f>SUMPRODUCT((MONTH(CHOOSE({1,2,3,4},TTSSKĐ!U33,TTSSKĐ!AA33,TTSSKĐ!AG33,TTSSKĐ!AM33))=9)*(CHOOSE({1,2,3,4},TTSSKĐ!X33,TTSSKĐ!AD33,TTSSKĐ!AJ33,TTSSKĐ!AP33)))</f>
        <v>0</v>
      </c>
      <c r="J33">
        <f>SUMPRODUCT((MONTH(CHOOSE({1,2,3,4},TTSSKĐ!U33,TTSSKĐ!AA33,TTSSKĐ!AG33,TTSSKĐ!AM33))=10)*(CHOOSE({1,2,3,4},TTSSKĐ!X33,TTSSKĐ!AD33,TTSSKĐ!AJ33,TTSSKĐ!AP33)))</f>
        <v>0</v>
      </c>
      <c r="K33">
        <f>SUMPRODUCT((MONTH(CHOOSE({1,2,3,4},TTSSKĐ!U33,TTSSKĐ!AA33,TTSSKĐ!AG33,TTSSKĐ!AM33))=11)*(CHOOSE({1,2,3,4},TTSSKĐ!X33,TTSSKĐ!AD33,TTSSKĐ!AJ33,TTSSKĐ!AP33)))</f>
        <v>0</v>
      </c>
      <c r="L33">
        <f>SUMPRODUCT((MONTH(CHOOSE({1,2,3,4},TTSSKĐ!U33,TTSSKĐ!AA33,TTSSKĐ!AG33,TTSSKĐ!AM33))=12)*(CHOOSE({1,2,3,4},TTSSKĐ!X33,TTSSKĐ!AD33,TTSSKĐ!AJ33,TTSSKĐ!AP33)))</f>
        <v>0</v>
      </c>
    </row>
    <row r="34" spans="1:12">
      <c r="A34">
        <f>SUMPRODUCT((MONTH(CHOOSE({1,2,3,4},TTSSKĐ!U34,TTSSKĐ!AA34,TTSSKĐ!AG34,TTSSKĐ!AM34))=1)*(CHOOSE({1,2,3,4},TTSSKĐ!X34,TTSSKĐ!AD34,TTSSKĐ!AJ34,TTSSKĐ!AP34)))</f>
        <v>0</v>
      </c>
      <c r="B34">
        <f>SUMPRODUCT((MONTH(CHOOSE({1,2,3,4},TTSSKĐ!U34,TTSSKĐ!AA34,TTSSKĐ!AG34,TTSSKĐ!AM34))=2)*(CHOOSE({1,2,3,4},TTSSKĐ!X34,TTSSKĐ!AD34,TTSSKĐ!AJ34,TTSSKĐ!AP34)))</f>
        <v>0</v>
      </c>
      <c r="C34">
        <f>SUMPRODUCT((MONTH(CHOOSE({1,2,3,4},TTSSKĐ!U34,TTSSKĐ!AA34,TTSSKĐ!AG34,TTSSKĐ!AM34))=3)*(CHOOSE({1,2,3,4},TTSSKĐ!X34,TTSSKĐ!AD34,TTSSKĐ!AJ34,TTSSKĐ!AP34)))</f>
        <v>0</v>
      </c>
      <c r="D34">
        <f>SUMPRODUCT((MONTH(CHOOSE({1,2,3,4},TTSSKĐ!U34,TTSSKĐ!AA34,TTSSKĐ!AG34,TTSSKĐ!AM34))=4)*(CHOOSE({1,2,3,4},TTSSKĐ!X34,TTSSKĐ!AD34,TTSSKĐ!AJ34,TTSSKĐ!AP34)))</f>
        <v>0</v>
      </c>
      <c r="E34">
        <f>SUMPRODUCT((MONTH(CHOOSE({1,2,3,4},TTSSKĐ!U34,TTSSKĐ!AA34,TTSSKĐ!AG34,TTSSKĐ!AM34))=5)*(CHOOSE({1,2,3,4},TTSSKĐ!X34,TTSSKĐ!AD34,TTSSKĐ!AJ34,TTSSKĐ!AP34)))</f>
        <v>0</v>
      </c>
      <c r="F34">
        <f>SUMPRODUCT((MONTH(CHOOSE({1,2,3,4},TTSSKĐ!U34,TTSSKĐ!AA34,TTSSKĐ!AG34,TTSSKĐ!AM34))=6)*(CHOOSE({1,2,3,4},TTSSKĐ!X34,TTSSKĐ!AD34,TTSSKĐ!AJ34,TTSSKĐ!AP34)))</f>
        <v>0</v>
      </c>
      <c r="G34">
        <f>SUMPRODUCT((MONTH(CHOOSE({1,2,3,4},TTSSKĐ!U34,TTSSKĐ!AA34,TTSSKĐ!AG34,TTSSKĐ!AM34))=7)*(CHOOSE({1,2,3,4},TTSSKĐ!X34,TTSSKĐ!AD34,TTSSKĐ!AJ34,TTSSKĐ!AP34)))</f>
        <v>0</v>
      </c>
      <c r="H34">
        <f>SUMPRODUCT((MONTH(CHOOSE({1,2,3,4},TTSSKĐ!U34,TTSSKĐ!AA34,TTSSKĐ!AG34,TTSSKĐ!AM34))=8)*(CHOOSE({1,2,3,4},TTSSKĐ!X34,TTSSKĐ!AD34,TTSSKĐ!AJ34,TTSSKĐ!AP34)))</f>
        <v>0</v>
      </c>
      <c r="I34">
        <f>SUMPRODUCT((MONTH(CHOOSE({1,2,3,4},TTSSKĐ!U34,TTSSKĐ!AA34,TTSSKĐ!AG34,TTSSKĐ!AM34))=9)*(CHOOSE({1,2,3,4},TTSSKĐ!X34,TTSSKĐ!AD34,TTSSKĐ!AJ34,TTSSKĐ!AP34)))</f>
        <v>0</v>
      </c>
      <c r="J34">
        <f>SUMPRODUCT((MONTH(CHOOSE({1,2,3,4},TTSSKĐ!U34,TTSSKĐ!AA34,TTSSKĐ!AG34,TTSSKĐ!AM34))=10)*(CHOOSE({1,2,3,4},TTSSKĐ!X34,TTSSKĐ!AD34,TTSSKĐ!AJ34,TTSSKĐ!AP34)))</f>
        <v>0</v>
      </c>
      <c r="K34">
        <f>SUMPRODUCT((MONTH(CHOOSE({1,2,3,4},TTSSKĐ!U34,TTSSKĐ!AA34,TTSSKĐ!AG34,TTSSKĐ!AM34))=11)*(CHOOSE({1,2,3,4},TTSSKĐ!X34,TTSSKĐ!AD34,TTSSKĐ!AJ34,TTSSKĐ!AP34)))</f>
        <v>0</v>
      </c>
      <c r="L34">
        <f>SUMPRODUCT((MONTH(CHOOSE({1,2,3,4},TTSSKĐ!U34,TTSSKĐ!AA34,TTSSKĐ!AG34,TTSSKĐ!AM34))=12)*(CHOOSE({1,2,3,4},TTSSKĐ!X34,TTSSKĐ!AD34,TTSSKĐ!AJ34,TTSSKĐ!AP34)))</f>
        <v>0</v>
      </c>
    </row>
    <row r="35" spans="1:12">
      <c r="A35">
        <f>SUMPRODUCT((MONTH(CHOOSE({1,2,3,4},TTSSKĐ!U35,TTSSKĐ!AA35,TTSSKĐ!AG35,TTSSKĐ!AM35))=1)*(CHOOSE({1,2,3,4},TTSSKĐ!X35,TTSSKĐ!AD35,TTSSKĐ!AJ35,TTSSKĐ!AP35)))</f>
        <v>0</v>
      </c>
      <c r="B35">
        <f>SUMPRODUCT((MONTH(CHOOSE({1,2,3,4},TTSSKĐ!U35,TTSSKĐ!AA35,TTSSKĐ!AG35,TTSSKĐ!AM35))=2)*(CHOOSE({1,2,3,4},TTSSKĐ!X35,TTSSKĐ!AD35,TTSSKĐ!AJ35,TTSSKĐ!AP35)))</f>
        <v>0</v>
      </c>
      <c r="C35">
        <f>SUMPRODUCT((MONTH(CHOOSE({1,2,3,4},TTSSKĐ!U35,TTSSKĐ!AA35,TTSSKĐ!AG35,TTSSKĐ!AM35))=3)*(CHOOSE({1,2,3,4},TTSSKĐ!X35,TTSSKĐ!AD35,TTSSKĐ!AJ35,TTSSKĐ!AP35)))</f>
        <v>0</v>
      </c>
      <c r="D35">
        <f>SUMPRODUCT((MONTH(CHOOSE({1,2,3,4},TTSSKĐ!U35,TTSSKĐ!AA35,TTSSKĐ!AG35,TTSSKĐ!AM35))=4)*(CHOOSE({1,2,3,4},TTSSKĐ!X35,TTSSKĐ!AD35,TTSSKĐ!AJ35,TTSSKĐ!AP35)))</f>
        <v>0</v>
      </c>
      <c r="E35">
        <f>SUMPRODUCT((MONTH(CHOOSE({1,2,3,4},TTSSKĐ!U35,TTSSKĐ!AA35,TTSSKĐ!AG35,TTSSKĐ!AM35))=5)*(CHOOSE({1,2,3,4},TTSSKĐ!X35,TTSSKĐ!AD35,TTSSKĐ!AJ35,TTSSKĐ!AP35)))</f>
        <v>0</v>
      </c>
      <c r="F35">
        <f>SUMPRODUCT((MONTH(CHOOSE({1,2,3,4},TTSSKĐ!U35,TTSSKĐ!AA35,TTSSKĐ!AG35,TTSSKĐ!AM35))=6)*(CHOOSE({1,2,3,4},TTSSKĐ!X35,TTSSKĐ!AD35,TTSSKĐ!AJ35,TTSSKĐ!AP35)))</f>
        <v>0</v>
      </c>
      <c r="G35">
        <f>SUMPRODUCT((MONTH(CHOOSE({1,2,3,4},TTSSKĐ!U35,TTSSKĐ!AA35,TTSSKĐ!AG35,TTSSKĐ!AM35))=7)*(CHOOSE({1,2,3,4},TTSSKĐ!X35,TTSSKĐ!AD35,TTSSKĐ!AJ35,TTSSKĐ!AP35)))</f>
        <v>0</v>
      </c>
      <c r="H35">
        <f>SUMPRODUCT((MONTH(CHOOSE({1,2,3,4},TTSSKĐ!U35,TTSSKĐ!AA35,TTSSKĐ!AG35,TTSSKĐ!AM35))=8)*(CHOOSE({1,2,3,4},TTSSKĐ!X35,TTSSKĐ!AD35,TTSSKĐ!AJ35,TTSSKĐ!AP35)))</f>
        <v>0</v>
      </c>
      <c r="I35">
        <f>SUMPRODUCT((MONTH(CHOOSE({1,2,3,4},TTSSKĐ!U35,TTSSKĐ!AA35,TTSSKĐ!AG35,TTSSKĐ!AM35))=9)*(CHOOSE({1,2,3,4},TTSSKĐ!X35,TTSSKĐ!AD35,TTSSKĐ!AJ35,TTSSKĐ!AP35)))</f>
        <v>0</v>
      </c>
      <c r="J35">
        <f>SUMPRODUCT((MONTH(CHOOSE({1,2,3,4},TTSSKĐ!U35,TTSSKĐ!AA35,TTSSKĐ!AG35,TTSSKĐ!AM35))=10)*(CHOOSE({1,2,3,4},TTSSKĐ!X35,TTSSKĐ!AD35,TTSSKĐ!AJ35,TTSSKĐ!AP35)))</f>
        <v>0</v>
      </c>
      <c r="K35">
        <f>SUMPRODUCT((MONTH(CHOOSE({1,2,3,4},TTSSKĐ!U35,TTSSKĐ!AA35,TTSSKĐ!AG35,TTSSKĐ!AM35))=11)*(CHOOSE({1,2,3,4},TTSSKĐ!X35,TTSSKĐ!AD35,TTSSKĐ!AJ35,TTSSKĐ!AP35)))</f>
        <v>0</v>
      </c>
      <c r="L35">
        <f>SUMPRODUCT((MONTH(CHOOSE({1,2,3,4},TTSSKĐ!U35,TTSSKĐ!AA35,TTSSKĐ!AG35,TTSSKĐ!AM35))=12)*(CHOOSE({1,2,3,4},TTSSKĐ!X35,TTSSKĐ!AD35,TTSSKĐ!AJ35,TTSSKĐ!AP35)))</f>
        <v>0</v>
      </c>
    </row>
    <row r="36" spans="1:12">
      <c r="A36">
        <f>SUMPRODUCT((MONTH(CHOOSE({1,2,3,4},TTSSKĐ!U36,TTSSKĐ!AA36,TTSSKĐ!AG36,TTSSKĐ!AM36))=1)*(CHOOSE({1,2,3,4},TTSSKĐ!X36,TTSSKĐ!AD36,TTSSKĐ!AJ36,TTSSKĐ!AP36)))</f>
        <v>0</v>
      </c>
      <c r="B36">
        <f>SUMPRODUCT((MONTH(CHOOSE({1,2,3,4},TTSSKĐ!U36,TTSSKĐ!AA36,TTSSKĐ!AG36,TTSSKĐ!AM36))=2)*(CHOOSE({1,2,3,4},TTSSKĐ!X36,TTSSKĐ!AD36,TTSSKĐ!AJ36,TTSSKĐ!AP36)))</f>
        <v>0</v>
      </c>
      <c r="C36">
        <f>SUMPRODUCT((MONTH(CHOOSE({1,2,3,4},TTSSKĐ!U36,TTSSKĐ!AA36,TTSSKĐ!AG36,TTSSKĐ!AM36))=3)*(CHOOSE({1,2,3,4},TTSSKĐ!X36,TTSSKĐ!AD36,TTSSKĐ!AJ36,TTSSKĐ!AP36)))</f>
        <v>0</v>
      </c>
      <c r="D36">
        <f>SUMPRODUCT((MONTH(CHOOSE({1,2,3,4},TTSSKĐ!U36,TTSSKĐ!AA36,TTSSKĐ!AG36,TTSSKĐ!AM36))=4)*(CHOOSE({1,2,3,4},TTSSKĐ!X36,TTSSKĐ!AD36,TTSSKĐ!AJ36,TTSSKĐ!AP36)))</f>
        <v>0</v>
      </c>
      <c r="E36">
        <f>SUMPRODUCT((MONTH(CHOOSE({1,2,3,4},TTSSKĐ!U36,TTSSKĐ!AA36,TTSSKĐ!AG36,TTSSKĐ!AM36))=5)*(CHOOSE({1,2,3,4},TTSSKĐ!X36,TTSSKĐ!AD36,TTSSKĐ!AJ36,TTSSKĐ!AP36)))</f>
        <v>0</v>
      </c>
      <c r="F36">
        <f>SUMPRODUCT((MONTH(CHOOSE({1,2,3,4},TTSSKĐ!U36,TTSSKĐ!AA36,TTSSKĐ!AG36,TTSSKĐ!AM36))=6)*(CHOOSE({1,2,3,4},TTSSKĐ!X36,TTSSKĐ!AD36,TTSSKĐ!AJ36,TTSSKĐ!AP36)))</f>
        <v>0</v>
      </c>
      <c r="G36">
        <f>SUMPRODUCT((MONTH(CHOOSE({1,2,3,4},TTSSKĐ!U36,TTSSKĐ!AA36,TTSSKĐ!AG36,TTSSKĐ!AM36))=7)*(CHOOSE({1,2,3,4},TTSSKĐ!X36,TTSSKĐ!AD36,TTSSKĐ!AJ36,TTSSKĐ!AP36)))</f>
        <v>0</v>
      </c>
      <c r="H36">
        <f>SUMPRODUCT((MONTH(CHOOSE({1,2,3,4},TTSSKĐ!U36,TTSSKĐ!AA36,TTSSKĐ!AG36,TTSSKĐ!AM36))=8)*(CHOOSE({1,2,3,4},TTSSKĐ!X36,TTSSKĐ!AD36,TTSSKĐ!AJ36,TTSSKĐ!AP36)))</f>
        <v>0</v>
      </c>
      <c r="I36">
        <f>SUMPRODUCT((MONTH(CHOOSE({1,2,3,4},TTSSKĐ!U36,TTSSKĐ!AA36,TTSSKĐ!AG36,TTSSKĐ!AM36))=9)*(CHOOSE({1,2,3,4},TTSSKĐ!X36,TTSSKĐ!AD36,TTSSKĐ!AJ36,TTSSKĐ!AP36)))</f>
        <v>0</v>
      </c>
      <c r="J36">
        <f>SUMPRODUCT((MONTH(CHOOSE({1,2,3,4},TTSSKĐ!U36,TTSSKĐ!AA36,TTSSKĐ!AG36,TTSSKĐ!AM36))=10)*(CHOOSE({1,2,3,4},TTSSKĐ!X36,TTSSKĐ!AD36,TTSSKĐ!AJ36,TTSSKĐ!AP36)))</f>
        <v>0</v>
      </c>
      <c r="K36">
        <f>SUMPRODUCT((MONTH(CHOOSE({1,2,3,4},TTSSKĐ!U36,TTSSKĐ!AA36,TTSSKĐ!AG36,TTSSKĐ!AM36))=11)*(CHOOSE({1,2,3,4},TTSSKĐ!X36,TTSSKĐ!AD36,TTSSKĐ!AJ36,TTSSKĐ!AP36)))</f>
        <v>0</v>
      </c>
      <c r="L36">
        <f>SUMPRODUCT((MONTH(CHOOSE({1,2,3,4},TTSSKĐ!U36,TTSSKĐ!AA36,TTSSKĐ!AG36,TTSSKĐ!AM36))=12)*(CHOOSE({1,2,3,4},TTSSKĐ!X36,TTSSKĐ!AD36,TTSSKĐ!AJ36,TTSSKĐ!AP36)))</f>
        <v>0</v>
      </c>
    </row>
    <row r="37" spans="1:12">
      <c r="A37">
        <f>SUMPRODUCT((MONTH(CHOOSE({1,2,3,4},TTSSKĐ!U37,TTSSKĐ!AA37,TTSSKĐ!AG37,TTSSKĐ!AM37))=1)*(CHOOSE({1,2,3,4},TTSSKĐ!X37,TTSSKĐ!AD37,TTSSKĐ!AJ37,TTSSKĐ!AP37)))</f>
        <v>0</v>
      </c>
      <c r="B37">
        <f>SUMPRODUCT((MONTH(CHOOSE({1,2,3,4},TTSSKĐ!U37,TTSSKĐ!AA37,TTSSKĐ!AG37,TTSSKĐ!AM37))=2)*(CHOOSE({1,2,3,4},TTSSKĐ!X37,TTSSKĐ!AD37,TTSSKĐ!AJ37,TTSSKĐ!AP37)))</f>
        <v>0</v>
      </c>
      <c r="C37">
        <f>SUMPRODUCT((MONTH(CHOOSE({1,2,3,4},TTSSKĐ!U37,TTSSKĐ!AA37,TTSSKĐ!AG37,TTSSKĐ!AM37))=3)*(CHOOSE({1,2,3,4},TTSSKĐ!X37,TTSSKĐ!AD37,TTSSKĐ!AJ37,TTSSKĐ!AP37)))</f>
        <v>0</v>
      </c>
      <c r="D37">
        <f>SUMPRODUCT((MONTH(CHOOSE({1,2,3,4},TTSSKĐ!U37,TTSSKĐ!AA37,TTSSKĐ!AG37,TTSSKĐ!AM37))=4)*(CHOOSE({1,2,3,4},TTSSKĐ!X37,TTSSKĐ!AD37,TTSSKĐ!AJ37,TTSSKĐ!AP37)))</f>
        <v>0</v>
      </c>
      <c r="E37">
        <f>SUMPRODUCT((MONTH(CHOOSE({1,2,3,4},TTSSKĐ!U37,TTSSKĐ!AA37,TTSSKĐ!AG37,TTSSKĐ!AM37))=5)*(CHOOSE({1,2,3,4},TTSSKĐ!X37,TTSSKĐ!AD37,TTSSKĐ!AJ37,TTSSKĐ!AP37)))</f>
        <v>0</v>
      </c>
      <c r="F37">
        <f>SUMPRODUCT((MONTH(CHOOSE({1,2,3,4},TTSSKĐ!U37,TTSSKĐ!AA37,TTSSKĐ!AG37,TTSSKĐ!AM37))=6)*(CHOOSE({1,2,3,4},TTSSKĐ!X37,TTSSKĐ!AD37,TTSSKĐ!AJ37,TTSSKĐ!AP37)))</f>
        <v>0</v>
      </c>
      <c r="G37">
        <f>SUMPRODUCT((MONTH(CHOOSE({1,2,3,4},TTSSKĐ!U37,TTSSKĐ!AA37,TTSSKĐ!AG37,TTSSKĐ!AM37))=7)*(CHOOSE({1,2,3,4},TTSSKĐ!X37,TTSSKĐ!AD37,TTSSKĐ!AJ37,TTSSKĐ!AP37)))</f>
        <v>0</v>
      </c>
      <c r="H37">
        <f>SUMPRODUCT((MONTH(CHOOSE({1,2,3,4},TTSSKĐ!U37,TTSSKĐ!AA37,TTSSKĐ!AG37,TTSSKĐ!AM37))=8)*(CHOOSE({1,2,3,4},TTSSKĐ!X37,TTSSKĐ!AD37,TTSSKĐ!AJ37,TTSSKĐ!AP37)))</f>
        <v>0</v>
      </c>
      <c r="I37">
        <f>SUMPRODUCT((MONTH(CHOOSE({1,2,3,4},TTSSKĐ!U37,TTSSKĐ!AA37,TTSSKĐ!AG37,TTSSKĐ!AM37))=9)*(CHOOSE({1,2,3,4},TTSSKĐ!X37,TTSSKĐ!AD37,TTSSKĐ!AJ37,TTSSKĐ!AP37)))</f>
        <v>0</v>
      </c>
      <c r="J37">
        <f>SUMPRODUCT((MONTH(CHOOSE({1,2,3,4},TTSSKĐ!U37,TTSSKĐ!AA37,TTSSKĐ!AG37,TTSSKĐ!AM37))=10)*(CHOOSE({1,2,3,4},TTSSKĐ!X37,TTSSKĐ!AD37,TTSSKĐ!AJ37,TTSSKĐ!AP37)))</f>
        <v>0</v>
      </c>
      <c r="K37">
        <f>SUMPRODUCT((MONTH(CHOOSE({1,2,3,4},TTSSKĐ!U37,TTSSKĐ!AA37,TTSSKĐ!AG37,TTSSKĐ!AM37))=11)*(CHOOSE({1,2,3,4},TTSSKĐ!X37,TTSSKĐ!AD37,TTSSKĐ!AJ37,TTSSKĐ!AP37)))</f>
        <v>0</v>
      </c>
      <c r="L37">
        <f>SUMPRODUCT((MONTH(CHOOSE({1,2,3,4},TTSSKĐ!U37,TTSSKĐ!AA37,TTSSKĐ!AG37,TTSSKĐ!AM37))=12)*(CHOOSE({1,2,3,4},TTSSKĐ!X37,TTSSKĐ!AD37,TTSSKĐ!AJ37,TTSSKĐ!AP37)))</f>
        <v>0</v>
      </c>
    </row>
    <row r="38" spans="1:12">
      <c r="A38">
        <f>SUMPRODUCT((MONTH(CHOOSE({1,2,3,4},TTSSKĐ!U38,TTSSKĐ!AA38,TTSSKĐ!AG38,TTSSKĐ!AM38))=1)*(CHOOSE({1,2,3,4},TTSSKĐ!X38,TTSSKĐ!AD38,TTSSKĐ!AJ38,TTSSKĐ!AP38)))</f>
        <v>0</v>
      </c>
      <c r="B38">
        <f>SUMPRODUCT((MONTH(CHOOSE({1,2,3,4},TTSSKĐ!U38,TTSSKĐ!AA38,TTSSKĐ!AG38,TTSSKĐ!AM38))=2)*(CHOOSE({1,2,3,4},TTSSKĐ!X38,TTSSKĐ!AD38,TTSSKĐ!AJ38,TTSSKĐ!AP38)))</f>
        <v>0</v>
      </c>
      <c r="C38">
        <f>SUMPRODUCT((MONTH(CHOOSE({1,2,3,4},TTSSKĐ!U38,TTSSKĐ!AA38,TTSSKĐ!AG38,TTSSKĐ!AM38))=3)*(CHOOSE({1,2,3,4},TTSSKĐ!X38,TTSSKĐ!AD38,TTSSKĐ!AJ38,TTSSKĐ!AP38)))</f>
        <v>0</v>
      </c>
      <c r="D38">
        <f>SUMPRODUCT((MONTH(CHOOSE({1,2,3,4},TTSSKĐ!U38,TTSSKĐ!AA38,TTSSKĐ!AG38,TTSSKĐ!AM38))=4)*(CHOOSE({1,2,3,4},TTSSKĐ!X38,TTSSKĐ!AD38,TTSSKĐ!AJ38,TTSSKĐ!AP38)))</f>
        <v>0</v>
      </c>
      <c r="E38">
        <f>SUMPRODUCT((MONTH(CHOOSE({1,2,3,4},TTSSKĐ!U38,TTSSKĐ!AA38,TTSSKĐ!AG38,TTSSKĐ!AM38))=5)*(CHOOSE({1,2,3,4},TTSSKĐ!X38,TTSSKĐ!AD38,TTSSKĐ!AJ38,TTSSKĐ!AP38)))</f>
        <v>0</v>
      </c>
      <c r="F38">
        <f>SUMPRODUCT((MONTH(CHOOSE({1,2,3,4},TTSSKĐ!U38,TTSSKĐ!AA38,TTSSKĐ!AG38,TTSSKĐ!AM38))=6)*(CHOOSE({1,2,3,4},TTSSKĐ!X38,TTSSKĐ!AD38,TTSSKĐ!AJ38,TTSSKĐ!AP38)))</f>
        <v>0</v>
      </c>
      <c r="G38">
        <f>SUMPRODUCT((MONTH(CHOOSE({1,2,3,4},TTSSKĐ!U38,TTSSKĐ!AA38,TTSSKĐ!AG38,TTSSKĐ!AM38))=7)*(CHOOSE({1,2,3,4},TTSSKĐ!X38,TTSSKĐ!AD38,TTSSKĐ!AJ38,TTSSKĐ!AP38)))</f>
        <v>0</v>
      </c>
      <c r="H38">
        <f>SUMPRODUCT((MONTH(CHOOSE({1,2,3,4},TTSSKĐ!U38,TTSSKĐ!AA38,TTSSKĐ!AG38,TTSSKĐ!AM38))=8)*(CHOOSE({1,2,3,4},TTSSKĐ!X38,TTSSKĐ!AD38,TTSSKĐ!AJ38,TTSSKĐ!AP38)))</f>
        <v>0</v>
      </c>
      <c r="I38">
        <f>SUMPRODUCT((MONTH(CHOOSE({1,2,3,4},TTSSKĐ!U38,TTSSKĐ!AA38,TTSSKĐ!AG38,TTSSKĐ!AM38))=9)*(CHOOSE({1,2,3,4},TTSSKĐ!X38,TTSSKĐ!AD38,TTSSKĐ!AJ38,TTSSKĐ!AP38)))</f>
        <v>0</v>
      </c>
      <c r="J38">
        <f>SUMPRODUCT((MONTH(CHOOSE({1,2,3,4},TTSSKĐ!U38,TTSSKĐ!AA38,TTSSKĐ!AG38,TTSSKĐ!AM38))=10)*(CHOOSE({1,2,3,4},TTSSKĐ!X38,TTSSKĐ!AD38,TTSSKĐ!AJ38,TTSSKĐ!AP38)))</f>
        <v>0</v>
      </c>
      <c r="K38">
        <f>SUMPRODUCT((MONTH(CHOOSE({1,2,3,4},TTSSKĐ!U38,TTSSKĐ!AA38,TTSSKĐ!AG38,TTSSKĐ!AM38))=11)*(CHOOSE({1,2,3,4},TTSSKĐ!X38,TTSSKĐ!AD38,TTSSKĐ!AJ38,TTSSKĐ!AP38)))</f>
        <v>0</v>
      </c>
      <c r="L38">
        <f>SUMPRODUCT((MONTH(CHOOSE({1,2,3,4},TTSSKĐ!U38,TTSSKĐ!AA38,TTSSKĐ!AG38,TTSSKĐ!AM38))=12)*(CHOOSE({1,2,3,4},TTSSKĐ!X38,TTSSKĐ!AD38,TTSSKĐ!AJ38,TTSSKĐ!AP38)))</f>
        <v>0</v>
      </c>
    </row>
    <row r="39" spans="1:12">
      <c r="A39">
        <f>SUMPRODUCT((MONTH(CHOOSE({1,2,3,4},TTSSKĐ!U39,TTSSKĐ!AA39,TTSSKĐ!AG39,TTSSKĐ!AM39))=1)*(CHOOSE({1,2,3,4},TTSSKĐ!X39,TTSSKĐ!AD39,TTSSKĐ!AJ39,TTSSKĐ!AP39)))</f>
        <v>0</v>
      </c>
      <c r="B39">
        <f>SUMPRODUCT((MONTH(CHOOSE({1,2,3,4},TTSSKĐ!U39,TTSSKĐ!AA39,TTSSKĐ!AG39,TTSSKĐ!AM39))=2)*(CHOOSE({1,2,3,4},TTSSKĐ!X39,TTSSKĐ!AD39,TTSSKĐ!AJ39,TTSSKĐ!AP39)))</f>
        <v>0</v>
      </c>
      <c r="C39">
        <f>SUMPRODUCT((MONTH(CHOOSE({1,2,3,4},TTSSKĐ!U39,TTSSKĐ!AA39,TTSSKĐ!AG39,TTSSKĐ!AM39))=3)*(CHOOSE({1,2,3,4},TTSSKĐ!X39,TTSSKĐ!AD39,TTSSKĐ!AJ39,TTSSKĐ!AP39)))</f>
        <v>0</v>
      </c>
      <c r="D39">
        <f>SUMPRODUCT((MONTH(CHOOSE({1,2,3,4},TTSSKĐ!U39,TTSSKĐ!AA39,TTSSKĐ!AG39,TTSSKĐ!AM39))=4)*(CHOOSE({1,2,3,4},TTSSKĐ!X39,TTSSKĐ!AD39,TTSSKĐ!AJ39,TTSSKĐ!AP39)))</f>
        <v>0</v>
      </c>
      <c r="E39">
        <f>SUMPRODUCT((MONTH(CHOOSE({1,2,3,4},TTSSKĐ!U39,TTSSKĐ!AA39,TTSSKĐ!AG39,TTSSKĐ!AM39))=5)*(CHOOSE({1,2,3,4},TTSSKĐ!X39,TTSSKĐ!AD39,TTSSKĐ!AJ39,TTSSKĐ!AP39)))</f>
        <v>0</v>
      </c>
      <c r="F39">
        <f>SUMPRODUCT((MONTH(CHOOSE({1,2,3,4},TTSSKĐ!U39,TTSSKĐ!AA39,TTSSKĐ!AG39,TTSSKĐ!AM39))=6)*(CHOOSE({1,2,3,4},TTSSKĐ!X39,TTSSKĐ!AD39,TTSSKĐ!AJ39,TTSSKĐ!AP39)))</f>
        <v>0</v>
      </c>
      <c r="G39">
        <f>SUMPRODUCT((MONTH(CHOOSE({1,2,3,4},TTSSKĐ!U39,TTSSKĐ!AA39,TTSSKĐ!AG39,TTSSKĐ!AM39))=7)*(CHOOSE({1,2,3,4},TTSSKĐ!X39,TTSSKĐ!AD39,TTSSKĐ!AJ39,TTSSKĐ!AP39)))</f>
        <v>0</v>
      </c>
      <c r="H39">
        <f>SUMPRODUCT((MONTH(CHOOSE({1,2,3,4},TTSSKĐ!U39,TTSSKĐ!AA39,TTSSKĐ!AG39,TTSSKĐ!AM39))=8)*(CHOOSE({1,2,3,4},TTSSKĐ!X39,TTSSKĐ!AD39,TTSSKĐ!AJ39,TTSSKĐ!AP39)))</f>
        <v>0</v>
      </c>
      <c r="I39">
        <f>SUMPRODUCT((MONTH(CHOOSE({1,2,3,4},TTSSKĐ!U39,TTSSKĐ!AA39,TTSSKĐ!AG39,TTSSKĐ!AM39))=9)*(CHOOSE({1,2,3,4},TTSSKĐ!X39,TTSSKĐ!AD39,TTSSKĐ!AJ39,TTSSKĐ!AP39)))</f>
        <v>0</v>
      </c>
      <c r="J39">
        <f>SUMPRODUCT((MONTH(CHOOSE({1,2,3,4},TTSSKĐ!U39,TTSSKĐ!AA39,TTSSKĐ!AG39,TTSSKĐ!AM39))=10)*(CHOOSE({1,2,3,4},TTSSKĐ!X39,TTSSKĐ!AD39,TTSSKĐ!AJ39,TTSSKĐ!AP39)))</f>
        <v>0</v>
      </c>
      <c r="K39">
        <f>SUMPRODUCT((MONTH(CHOOSE({1,2,3,4},TTSSKĐ!U39,TTSSKĐ!AA39,TTSSKĐ!AG39,TTSSKĐ!AM39))=11)*(CHOOSE({1,2,3,4},TTSSKĐ!X39,TTSSKĐ!AD39,TTSSKĐ!AJ39,TTSSKĐ!AP39)))</f>
        <v>0</v>
      </c>
      <c r="L39">
        <f>SUMPRODUCT((MONTH(CHOOSE({1,2,3,4},TTSSKĐ!U39,TTSSKĐ!AA39,TTSSKĐ!AG39,TTSSKĐ!AM39))=12)*(CHOOSE({1,2,3,4},TTSSKĐ!X39,TTSSKĐ!AD39,TTSSKĐ!AJ39,TTSSKĐ!AP39)))</f>
        <v>0</v>
      </c>
    </row>
    <row r="40" spans="1:12">
      <c r="A40">
        <f>SUMPRODUCT((MONTH(CHOOSE({1,2,3,4},TTSSKĐ!U40,TTSSKĐ!AA40,TTSSKĐ!AG40,TTSSKĐ!AM40))=1)*(CHOOSE({1,2,3,4},TTSSKĐ!X40,TTSSKĐ!AD40,TTSSKĐ!AJ40,TTSSKĐ!AP40)))</f>
        <v>0</v>
      </c>
      <c r="B40">
        <f>SUMPRODUCT((MONTH(CHOOSE({1,2,3,4},TTSSKĐ!U40,TTSSKĐ!AA40,TTSSKĐ!AG40,TTSSKĐ!AM40))=2)*(CHOOSE({1,2,3,4},TTSSKĐ!X40,TTSSKĐ!AD40,TTSSKĐ!AJ40,TTSSKĐ!AP40)))</f>
        <v>0</v>
      </c>
      <c r="C40">
        <f>SUMPRODUCT((MONTH(CHOOSE({1,2,3,4},TTSSKĐ!U40,TTSSKĐ!AA40,TTSSKĐ!AG40,TTSSKĐ!AM40))=3)*(CHOOSE({1,2,3,4},TTSSKĐ!X40,TTSSKĐ!AD40,TTSSKĐ!AJ40,TTSSKĐ!AP40)))</f>
        <v>0</v>
      </c>
      <c r="D40">
        <f>SUMPRODUCT((MONTH(CHOOSE({1,2,3,4},TTSSKĐ!U40,TTSSKĐ!AA40,TTSSKĐ!AG40,TTSSKĐ!AM40))=4)*(CHOOSE({1,2,3,4},TTSSKĐ!X40,TTSSKĐ!AD40,TTSSKĐ!AJ40,TTSSKĐ!AP40)))</f>
        <v>0</v>
      </c>
      <c r="E40">
        <f>SUMPRODUCT((MONTH(CHOOSE({1,2,3,4},TTSSKĐ!U40,TTSSKĐ!AA40,TTSSKĐ!AG40,TTSSKĐ!AM40))=5)*(CHOOSE({1,2,3,4},TTSSKĐ!X40,TTSSKĐ!AD40,TTSSKĐ!AJ40,TTSSKĐ!AP40)))</f>
        <v>0</v>
      </c>
      <c r="F40">
        <f>SUMPRODUCT((MONTH(CHOOSE({1,2,3,4},TTSSKĐ!U40,TTSSKĐ!AA40,TTSSKĐ!AG40,TTSSKĐ!AM40))=6)*(CHOOSE({1,2,3,4},TTSSKĐ!X40,TTSSKĐ!AD40,TTSSKĐ!AJ40,TTSSKĐ!AP40)))</f>
        <v>0</v>
      </c>
      <c r="G40">
        <f>SUMPRODUCT((MONTH(CHOOSE({1,2,3,4},TTSSKĐ!U40,TTSSKĐ!AA40,TTSSKĐ!AG40,TTSSKĐ!AM40))=7)*(CHOOSE({1,2,3,4},TTSSKĐ!X40,TTSSKĐ!AD40,TTSSKĐ!AJ40,TTSSKĐ!AP40)))</f>
        <v>0</v>
      </c>
      <c r="H40">
        <f>SUMPRODUCT((MONTH(CHOOSE({1,2,3,4},TTSSKĐ!U40,TTSSKĐ!AA40,TTSSKĐ!AG40,TTSSKĐ!AM40))=8)*(CHOOSE({1,2,3,4},TTSSKĐ!X40,TTSSKĐ!AD40,TTSSKĐ!AJ40,TTSSKĐ!AP40)))</f>
        <v>0</v>
      </c>
      <c r="I40">
        <f>SUMPRODUCT((MONTH(CHOOSE({1,2,3,4},TTSSKĐ!U40,TTSSKĐ!AA40,TTSSKĐ!AG40,TTSSKĐ!AM40))=9)*(CHOOSE({1,2,3,4},TTSSKĐ!X40,TTSSKĐ!AD40,TTSSKĐ!AJ40,TTSSKĐ!AP40)))</f>
        <v>0</v>
      </c>
      <c r="J40">
        <f>SUMPRODUCT((MONTH(CHOOSE({1,2,3,4},TTSSKĐ!U40,TTSSKĐ!AA40,TTSSKĐ!AG40,TTSSKĐ!AM40))=10)*(CHOOSE({1,2,3,4},TTSSKĐ!X40,TTSSKĐ!AD40,TTSSKĐ!AJ40,TTSSKĐ!AP40)))</f>
        <v>0</v>
      </c>
      <c r="K40">
        <f>SUMPRODUCT((MONTH(CHOOSE({1,2,3,4},TTSSKĐ!U40,TTSSKĐ!AA40,TTSSKĐ!AG40,TTSSKĐ!AM40))=11)*(CHOOSE({1,2,3,4},TTSSKĐ!X40,TTSSKĐ!AD40,TTSSKĐ!AJ40,TTSSKĐ!AP40)))</f>
        <v>0</v>
      </c>
      <c r="L40">
        <f>SUMPRODUCT((MONTH(CHOOSE({1,2,3,4},TTSSKĐ!U40,TTSSKĐ!AA40,TTSSKĐ!AG40,TTSSKĐ!AM40))=12)*(CHOOSE({1,2,3,4},TTSSKĐ!X40,TTSSKĐ!AD40,TTSSKĐ!AJ40,TTSSKĐ!AP40)))</f>
        <v>0</v>
      </c>
    </row>
    <row r="41" spans="1:12">
      <c r="A41">
        <f>SUMPRODUCT((MONTH(CHOOSE({1,2,3,4},TTSSKĐ!U41,TTSSKĐ!AA41,TTSSKĐ!AG41,TTSSKĐ!AM41))=1)*(CHOOSE({1,2,3,4},TTSSKĐ!X41,TTSSKĐ!AD41,TTSSKĐ!AJ41,TTSSKĐ!AP41)))</f>
        <v>0</v>
      </c>
      <c r="B41">
        <f>SUMPRODUCT((MONTH(CHOOSE({1,2,3,4},TTSSKĐ!U41,TTSSKĐ!AA41,TTSSKĐ!AG41,TTSSKĐ!AM41))=2)*(CHOOSE({1,2,3,4},TTSSKĐ!X41,TTSSKĐ!AD41,TTSSKĐ!AJ41,TTSSKĐ!AP41)))</f>
        <v>0</v>
      </c>
      <c r="C41">
        <f>SUMPRODUCT((MONTH(CHOOSE({1,2,3,4},TTSSKĐ!U41,TTSSKĐ!AA41,TTSSKĐ!AG41,TTSSKĐ!AM41))=3)*(CHOOSE({1,2,3,4},TTSSKĐ!X41,TTSSKĐ!AD41,TTSSKĐ!AJ41,TTSSKĐ!AP41)))</f>
        <v>0</v>
      </c>
      <c r="D41">
        <f>SUMPRODUCT((MONTH(CHOOSE({1,2,3,4},TTSSKĐ!U41,TTSSKĐ!AA41,TTSSKĐ!AG41,TTSSKĐ!AM41))=4)*(CHOOSE({1,2,3,4},TTSSKĐ!X41,TTSSKĐ!AD41,TTSSKĐ!AJ41,TTSSKĐ!AP41)))</f>
        <v>0</v>
      </c>
      <c r="E41">
        <f>SUMPRODUCT((MONTH(CHOOSE({1,2,3,4},TTSSKĐ!U41,TTSSKĐ!AA41,TTSSKĐ!AG41,TTSSKĐ!AM41))=5)*(CHOOSE({1,2,3,4},TTSSKĐ!X41,TTSSKĐ!AD41,TTSSKĐ!AJ41,TTSSKĐ!AP41)))</f>
        <v>0</v>
      </c>
      <c r="F41">
        <f>SUMPRODUCT((MONTH(CHOOSE({1,2,3,4},TTSSKĐ!U41,TTSSKĐ!AA41,TTSSKĐ!AG41,TTSSKĐ!AM41))=6)*(CHOOSE({1,2,3,4},TTSSKĐ!X41,TTSSKĐ!AD41,TTSSKĐ!AJ41,TTSSKĐ!AP41)))</f>
        <v>0</v>
      </c>
      <c r="G41">
        <f>SUMPRODUCT((MONTH(CHOOSE({1,2,3,4},TTSSKĐ!U41,TTSSKĐ!AA41,TTSSKĐ!AG41,TTSSKĐ!AM41))=7)*(CHOOSE({1,2,3,4},TTSSKĐ!X41,TTSSKĐ!AD41,TTSSKĐ!AJ41,TTSSKĐ!AP41)))</f>
        <v>0</v>
      </c>
      <c r="H41">
        <f>SUMPRODUCT((MONTH(CHOOSE({1,2,3,4},TTSSKĐ!U41,TTSSKĐ!AA41,TTSSKĐ!AG41,TTSSKĐ!AM41))=8)*(CHOOSE({1,2,3,4},TTSSKĐ!X41,TTSSKĐ!AD41,TTSSKĐ!AJ41,TTSSKĐ!AP41)))</f>
        <v>0</v>
      </c>
      <c r="I41">
        <f>SUMPRODUCT((MONTH(CHOOSE({1,2,3,4},TTSSKĐ!U41,TTSSKĐ!AA41,TTSSKĐ!AG41,TTSSKĐ!AM41))=9)*(CHOOSE({1,2,3,4},TTSSKĐ!X41,TTSSKĐ!AD41,TTSSKĐ!AJ41,TTSSKĐ!AP41)))</f>
        <v>0</v>
      </c>
      <c r="J41">
        <f>SUMPRODUCT((MONTH(CHOOSE({1,2,3,4},TTSSKĐ!U41,TTSSKĐ!AA41,TTSSKĐ!AG41,TTSSKĐ!AM41))=10)*(CHOOSE({1,2,3,4},TTSSKĐ!X41,TTSSKĐ!AD41,TTSSKĐ!AJ41,TTSSKĐ!AP41)))</f>
        <v>0</v>
      </c>
      <c r="K41">
        <f>SUMPRODUCT((MONTH(CHOOSE({1,2,3,4},TTSSKĐ!U41,TTSSKĐ!AA41,TTSSKĐ!AG41,TTSSKĐ!AM41))=11)*(CHOOSE({1,2,3,4},TTSSKĐ!X41,TTSSKĐ!AD41,TTSSKĐ!AJ41,TTSSKĐ!AP41)))</f>
        <v>0</v>
      </c>
      <c r="L41">
        <f>SUMPRODUCT((MONTH(CHOOSE({1,2,3,4},TTSSKĐ!U41,TTSSKĐ!AA41,TTSSKĐ!AG41,TTSSKĐ!AM41))=12)*(CHOOSE({1,2,3,4},TTSSKĐ!X41,TTSSKĐ!AD41,TTSSKĐ!AJ41,TTSSKĐ!AP41)))</f>
        <v>0</v>
      </c>
    </row>
    <row r="42" spans="1:12">
      <c r="A42">
        <f>SUMPRODUCT((MONTH(CHOOSE({1,2,3,4},TTSSKĐ!U42,TTSSKĐ!AA42,TTSSKĐ!AG42,TTSSKĐ!AM42))=1)*(CHOOSE({1,2,3,4},TTSSKĐ!X42,TTSSKĐ!AD42,TTSSKĐ!AJ42,TTSSKĐ!AP42)))</f>
        <v>0</v>
      </c>
      <c r="B42">
        <f>SUMPRODUCT((MONTH(CHOOSE({1,2,3,4},TTSSKĐ!U42,TTSSKĐ!AA42,TTSSKĐ!AG42,TTSSKĐ!AM42))=2)*(CHOOSE({1,2,3,4},TTSSKĐ!X42,TTSSKĐ!AD42,TTSSKĐ!AJ42,TTSSKĐ!AP42)))</f>
        <v>0</v>
      </c>
      <c r="C42">
        <f>SUMPRODUCT((MONTH(CHOOSE({1,2,3,4},TTSSKĐ!U42,TTSSKĐ!AA42,TTSSKĐ!AG42,TTSSKĐ!AM42))=3)*(CHOOSE({1,2,3,4},TTSSKĐ!X42,TTSSKĐ!AD42,TTSSKĐ!AJ42,TTSSKĐ!AP42)))</f>
        <v>0</v>
      </c>
      <c r="D42">
        <f>SUMPRODUCT((MONTH(CHOOSE({1,2,3,4},TTSSKĐ!U42,TTSSKĐ!AA42,TTSSKĐ!AG42,TTSSKĐ!AM42))=4)*(CHOOSE({1,2,3,4},TTSSKĐ!X42,TTSSKĐ!AD42,TTSSKĐ!AJ42,TTSSKĐ!AP42)))</f>
        <v>0</v>
      </c>
      <c r="E42">
        <f>SUMPRODUCT((MONTH(CHOOSE({1,2,3,4},TTSSKĐ!U42,TTSSKĐ!AA42,TTSSKĐ!AG42,TTSSKĐ!AM42))=5)*(CHOOSE({1,2,3,4},TTSSKĐ!X42,TTSSKĐ!AD42,TTSSKĐ!AJ42,TTSSKĐ!AP42)))</f>
        <v>0</v>
      </c>
      <c r="F42">
        <f>SUMPRODUCT((MONTH(CHOOSE({1,2,3,4},TTSSKĐ!U42,TTSSKĐ!AA42,TTSSKĐ!AG42,TTSSKĐ!AM42))=6)*(CHOOSE({1,2,3,4},TTSSKĐ!X42,TTSSKĐ!AD42,TTSSKĐ!AJ42,TTSSKĐ!AP42)))</f>
        <v>0</v>
      </c>
      <c r="G42">
        <f>SUMPRODUCT((MONTH(CHOOSE({1,2,3,4},TTSSKĐ!U42,TTSSKĐ!AA42,TTSSKĐ!AG42,TTSSKĐ!AM42))=7)*(CHOOSE({1,2,3,4},TTSSKĐ!X42,TTSSKĐ!AD42,TTSSKĐ!AJ42,TTSSKĐ!AP42)))</f>
        <v>0</v>
      </c>
      <c r="H42">
        <f>SUMPRODUCT((MONTH(CHOOSE({1,2,3,4},TTSSKĐ!U42,TTSSKĐ!AA42,TTSSKĐ!AG42,TTSSKĐ!AM42))=8)*(CHOOSE({1,2,3,4},TTSSKĐ!X42,TTSSKĐ!AD42,TTSSKĐ!AJ42,TTSSKĐ!AP42)))</f>
        <v>0</v>
      </c>
      <c r="I42">
        <f>SUMPRODUCT((MONTH(CHOOSE({1,2,3,4},TTSSKĐ!U42,TTSSKĐ!AA42,TTSSKĐ!AG42,TTSSKĐ!AM42))=9)*(CHOOSE({1,2,3,4},TTSSKĐ!X42,TTSSKĐ!AD42,TTSSKĐ!AJ42,TTSSKĐ!AP42)))</f>
        <v>0</v>
      </c>
      <c r="J42">
        <f>SUMPRODUCT((MONTH(CHOOSE({1,2,3,4},TTSSKĐ!U42,TTSSKĐ!AA42,TTSSKĐ!AG42,TTSSKĐ!AM42))=10)*(CHOOSE({1,2,3,4},TTSSKĐ!X42,TTSSKĐ!AD42,TTSSKĐ!AJ42,TTSSKĐ!AP42)))</f>
        <v>0</v>
      </c>
      <c r="K42">
        <f>SUMPRODUCT((MONTH(CHOOSE({1,2,3,4},TTSSKĐ!U42,TTSSKĐ!AA42,TTSSKĐ!AG42,TTSSKĐ!AM42))=11)*(CHOOSE({1,2,3,4},TTSSKĐ!X42,TTSSKĐ!AD42,TTSSKĐ!AJ42,TTSSKĐ!AP42)))</f>
        <v>0</v>
      </c>
      <c r="L42">
        <f>SUMPRODUCT((MONTH(CHOOSE({1,2,3,4},TTSSKĐ!U42,TTSSKĐ!AA42,TTSSKĐ!AG42,TTSSKĐ!AM42))=12)*(CHOOSE({1,2,3,4},TTSSKĐ!X42,TTSSKĐ!AD42,TTSSKĐ!AJ42,TTSSKĐ!AP42)))</f>
        <v>0</v>
      </c>
    </row>
    <row r="43" spans="1:12">
      <c r="A43">
        <f>SUMPRODUCT((MONTH(CHOOSE({1,2,3,4},TTSSKĐ!U43,TTSSKĐ!AA43,TTSSKĐ!AG43,TTSSKĐ!AM43))=1)*(CHOOSE({1,2,3,4},TTSSKĐ!X43,TTSSKĐ!AD43,TTSSKĐ!AJ43,TTSSKĐ!AP43)))</f>
        <v>0</v>
      </c>
      <c r="B43">
        <f>SUMPRODUCT((MONTH(CHOOSE({1,2,3,4},TTSSKĐ!U43,TTSSKĐ!AA43,TTSSKĐ!AG43,TTSSKĐ!AM43))=2)*(CHOOSE({1,2,3,4},TTSSKĐ!X43,TTSSKĐ!AD43,TTSSKĐ!AJ43,TTSSKĐ!AP43)))</f>
        <v>0</v>
      </c>
      <c r="C43">
        <f>SUMPRODUCT((MONTH(CHOOSE({1,2,3,4},TTSSKĐ!U43,TTSSKĐ!AA43,TTSSKĐ!AG43,TTSSKĐ!AM43))=3)*(CHOOSE({1,2,3,4},TTSSKĐ!X43,TTSSKĐ!AD43,TTSSKĐ!AJ43,TTSSKĐ!AP43)))</f>
        <v>0</v>
      </c>
      <c r="D43">
        <f>SUMPRODUCT((MONTH(CHOOSE({1,2,3,4},TTSSKĐ!U43,TTSSKĐ!AA43,TTSSKĐ!AG43,TTSSKĐ!AM43))=4)*(CHOOSE({1,2,3,4},TTSSKĐ!X43,TTSSKĐ!AD43,TTSSKĐ!AJ43,TTSSKĐ!AP43)))</f>
        <v>0</v>
      </c>
      <c r="E43">
        <f>SUMPRODUCT((MONTH(CHOOSE({1,2,3,4},TTSSKĐ!U43,TTSSKĐ!AA43,TTSSKĐ!AG43,TTSSKĐ!AM43))=5)*(CHOOSE({1,2,3,4},TTSSKĐ!X43,TTSSKĐ!AD43,TTSSKĐ!AJ43,TTSSKĐ!AP43)))</f>
        <v>0</v>
      </c>
      <c r="F43">
        <f>SUMPRODUCT((MONTH(CHOOSE({1,2,3,4},TTSSKĐ!U43,TTSSKĐ!AA43,TTSSKĐ!AG43,TTSSKĐ!AM43))=6)*(CHOOSE({1,2,3,4},TTSSKĐ!X43,TTSSKĐ!AD43,TTSSKĐ!AJ43,TTSSKĐ!AP43)))</f>
        <v>0</v>
      </c>
      <c r="G43">
        <f>SUMPRODUCT((MONTH(CHOOSE({1,2,3,4},TTSSKĐ!U43,TTSSKĐ!AA43,TTSSKĐ!AG43,TTSSKĐ!AM43))=7)*(CHOOSE({1,2,3,4},TTSSKĐ!X43,TTSSKĐ!AD43,TTSSKĐ!AJ43,TTSSKĐ!AP43)))</f>
        <v>0</v>
      </c>
      <c r="H43">
        <f>SUMPRODUCT((MONTH(CHOOSE({1,2,3,4},TTSSKĐ!U43,TTSSKĐ!AA43,TTSSKĐ!AG43,TTSSKĐ!AM43))=8)*(CHOOSE({1,2,3,4},TTSSKĐ!X43,TTSSKĐ!AD43,TTSSKĐ!AJ43,TTSSKĐ!AP43)))</f>
        <v>0</v>
      </c>
      <c r="I43">
        <f>SUMPRODUCT((MONTH(CHOOSE({1,2,3,4},TTSSKĐ!U43,TTSSKĐ!AA43,TTSSKĐ!AG43,TTSSKĐ!AM43))=9)*(CHOOSE({1,2,3,4},TTSSKĐ!X43,TTSSKĐ!AD43,TTSSKĐ!AJ43,TTSSKĐ!AP43)))</f>
        <v>0</v>
      </c>
      <c r="J43">
        <f>SUMPRODUCT((MONTH(CHOOSE({1,2,3,4},TTSSKĐ!U43,TTSSKĐ!AA43,TTSSKĐ!AG43,TTSSKĐ!AM43))=10)*(CHOOSE({1,2,3,4},TTSSKĐ!X43,TTSSKĐ!AD43,TTSSKĐ!AJ43,TTSSKĐ!AP43)))</f>
        <v>0</v>
      </c>
      <c r="K43">
        <f>SUMPRODUCT((MONTH(CHOOSE({1,2,3,4},TTSSKĐ!U43,TTSSKĐ!AA43,TTSSKĐ!AG43,TTSSKĐ!AM43))=11)*(CHOOSE({1,2,3,4},TTSSKĐ!X43,TTSSKĐ!AD43,TTSSKĐ!AJ43,TTSSKĐ!AP43)))</f>
        <v>0</v>
      </c>
      <c r="L43">
        <f>SUMPRODUCT((MONTH(CHOOSE({1,2,3,4},TTSSKĐ!U43,TTSSKĐ!AA43,TTSSKĐ!AG43,TTSSKĐ!AM43))=12)*(CHOOSE({1,2,3,4},TTSSKĐ!X43,TTSSKĐ!AD43,TTSSKĐ!AJ43,TTSSKĐ!AP43)))</f>
        <v>0</v>
      </c>
    </row>
    <row r="44" spans="1:12">
      <c r="A44">
        <f>SUMPRODUCT((MONTH(CHOOSE({1,2,3,4},TTSSKĐ!U44,TTSSKĐ!AA44,TTSSKĐ!AG44,TTSSKĐ!AM44))=1)*(CHOOSE({1,2,3,4},TTSSKĐ!X44,TTSSKĐ!AD44,TTSSKĐ!AJ44,TTSSKĐ!AP44)))</f>
        <v>0</v>
      </c>
      <c r="B44">
        <f>SUMPRODUCT((MONTH(CHOOSE({1,2,3,4},TTSSKĐ!U44,TTSSKĐ!AA44,TTSSKĐ!AG44,TTSSKĐ!AM44))=2)*(CHOOSE({1,2,3,4},TTSSKĐ!X44,TTSSKĐ!AD44,TTSSKĐ!AJ44,TTSSKĐ!AP44)))</f>
        <v>0</v>
      </c>
      <c r="C44">
        <f>SUMPRODUCT((MONTH(CHOOSE({1,2,3,4},TTSSKĐ!U44,TTSSKĐ!AA44,TTSSKĐ!AG44,TTSSKĐ!AM44))=3)*(CHOOSE({1,2,3,4},TTSSKĐ!X44,TTSSKĐ!AD44,TTSSKĐ!AJ44,TTSSKĐ!AP44)))</f>
        <v>0</v>
      </c>
      <c r="D44">
        <f>SUMPRODUCT((MONTH(CHOOSE({1,2,3,4},TTSSKĐ!U44,TTSSKĐ!AA44,TTSSKĐ!AG44,TTSSKĐ!AM44))=4)*(CHOOSE({1,2,3,4},TTSSKĐ!X44,TTSSKĐ!AD44,TTSSKĐ!AJ44,TTSSKĐ!AP44)))</f>
        <v>0</v>
      </c>
      <c r="E44">
        <f>SUMPRODUCT((MONTH(CHOOSE({1,2,3,4},TTSSKĐ!U44,TTSSKĐ!AA44,TTSSKĐ!AG44,TTSSKĐ!AM44))=5)*(CHOOSE({1,2,3,4},TTSSKĐ!X44,TTSSKĐ!AD44,TTSSKĐ!AJ44,TTSSKĐ!AP44)))</f>
        <v>0</v>
      </c>
      <c r="F44">
        <f>SUMPRODUCT((MONTH(CHOOSE({1,2,3,4},TTSSKĐ!U44,TTSSKĐ!AA44,TTSSKĐ!AG44,TTSSKĐ!AM44))=6)*(CHOOSE({1,2,3,4},TTSSKĐ!X44,TTSSKĐ!AD44,TTSSKĐ!AJ44,TTSSKĐ!AP44)))</f>
        <v>0</v>
      </c>
      <c r="G44">
        <f>SUMPRODUCT((MONTH(CHOOSE({1,2,3,4},TTSSKĐ!U44,TTSSKĐ!AA44,TTSSKĐ!AG44,TTSSKĐ!AM44))=7)*(CHOOSE({1,2,3,4},TTSSKĐ!X44,TTSSKĐ!AD44,TTSSKĐ!AJ44,TTSSKĐ!AP44)))</f>
        <v>0</v>
      </c>
      <c r="H44">
        <f>SUMPRODUCT((MONTH(CHOOSE({1,2,3,4},TTSSKĐ!U44,TTSSKĐ!AA44,TTSSKĐ!AG44,TTSSKĐ!AM44))=8)*(CHOOSE({1,2,3,4},TTSSKĐ!X44,TTSSKĐ!AD44,TTSSKĐ!AJ44,TTSSKĐ!AP44)))</f>
        <v>0</v>
      </c>
      <c r="I44">
        <f>SUMPRODUCT((MONTH(CHOOSE({1,2,3,4},TTSSKĐ!U44,TTSSKĐ!AA44,TTSSKĐ!AG44,TTSSKĐ!AM44))=9)*(CHOOSE({1,2,3,4},TTSSKĐ!X44,TTSSKĐ!AD44,TTSSKĐ!AJ44,TTSSKĐ!AP44)))</f>
        <v>0</v>
      </c>
      <c r="J44">
        <f>SUMPRODUCT((MONTH(CHOOSE({1,2,3,4},TTSSKĐ!U44,TTSSKĐ!AA44,TTSSKĐ!AG44,TTSSKĐ!AM44))=10)*(CHOOSE({1,2,3,4},TTSSKĐ!X44,TTSSKĐ!AD44,TTSSKĐ!AJ44,TTSSKĐ!AP44)))</f>
        <v>0</v>
      </c>
      <c r="K44">
        <f>SUMPRODUCT((MONTH(CHOOSE({1,2,3,4},TTSSKĐ!U44,TTSSKĐ!AA44,TTSSKĐ!AG44,TTSSKĐ!AM44))=11)*(CHOOSE({1,2,3,4},TTSSKĐ!X44,TTSSKĐ!AD44,TTSSKĐ!AJ44,TTSSKĐ!AP44)))</f>
        <v>0</v>
      </c>
      <c r="L44">
        <f>SUMPRODUCT((MONTH(CHOOSE({1,2,3,4},TTSSKĐ!U44,TTSSKĐ!AA44,TTSSKĐ!AG44,TTSSKĐ!AM44))=12)*(CHOOSE({1,2,3,4},TTSSKĐ!X44,TTSSKĐ!AD44,TTSSKĐ!AJ44,TTSSKĐ!AP44)))</f>
        <v>0</v>
      </c>
    </row>
    <row r="45" spans="1:12">
      <c r="A45">
        <f>SUMPRODUCT((MONTH(CHOOSE({1,2,3,4},TTSSKĐ!U45,TTSSKĐ!AA45,TTSSKĐ!AG45,TTSSKĐ!AM45))=1)*(CHOOSE({1,2,3,4},TTSSKĐ!X45,TTSSKĐ!AD45,TTSSKĐ!AJ45,TTSSKĐ!AP45)))</f>
        <v>0</v>
      </c>
      <c r="B45">
        <f>SUMPRODUCT((MONTH(CHOOSE({1,2,3,4},TTSSKĐ!U45,TTSSKĐ!AA45,TTSSKĐ!AG45,TTSSKĐ!AM45))=2)*(CHOOSE({1,2,3,4},TTSSKĐ!X45,TTSSKĐ!AD45,TTSSKĐ!AJ45,TTSSKĐ!AP45)))</f>
        <v>0</v>
      </c>
      <c r="C45">
        <f>SUMPRODUCT((MONTH(CHOOSE({1,2,3,4},TTSSKĐ!U45,TTSSKĐ!AA45,TTSSKĐ!AG45,TTSSKĐ!AM45))=3)*(CHOOSE({1,2,3,4},TTSSKĐ!X45,TTSSKĐ!AD45,TTSSKĐ!AJ45,TTSSKĐ!AP45)))</f>
        <v>0</v>
      </c>
      <c r="D45">
        <f>SUMPRODUCT((MONTH(CHOOSE({1,2,3,4},TTSSKĐ!U45,TTSSKĐ!AA45,TTSSKĐ!AG45,TTSSKĐ!AM45))=4)*(CHOOSE({1,2,3,4},TTSSKĐ!X45,TTSSKĐ!AD45,TTSSKĐ!AJ45,TTSSKĐ!AP45)))</f>
        <v>0</v>
      </c>
      <c r="E45">
        <f>SUMPRODUCT((MONTH(CHOOSE({1,2,3,4},TTSSKĐ!U45,TTSSKĐ!AA45,TTSSKĐ!AG45,TTSSKĐ!AM45))=5)*(CHOOSE({1,2,3,4},TTSSKĐ!X45,TTSSKĐ!AD45,TTSSKĐ!AJ45,TTSSKĐ!AP45)))</f>
        <v>0</v>
      </c>
      <c r="F45">
        <f>SUMPRODUCT((MONTH(CHOOSE({1,2,3,4},TTSSKĐ!U45,TTSSKĐ!AA45,TTSSKĐ!AG45,TTSSKĐ!AM45))=6)*(CHOOSE({1,2,3,4},TTSSKĐ!X45,TTSSKĐ!AD45,TTSSKĐ!AJ45,TTSSKĐ!AP45)))</f>
        <v>0</v>
      </c>
      <c r="G45">
        <f>SUMPRODUCT((MONTH(CHOOSE({1,2,3,4},TTSSKĐ!U45,TTSSKĐ!AA45,TTSSKĐ!AG45,TTSSKĐ!AM45))=7)*(CHOOSE({1,2,3,4},TTSSKĐ!X45,TTSSKĐ!AD45,TTSSKĐ!AJ45,TTSSKĐ!AP45)))</f>
        <v>0</v>
      </c>
      <c r="H45">
        <f>SUMPRODUCT((MONTH(CHOOSE({1,2,3,4},TTSSKĐ!U45,TTSSKĐ!AA45,TTSSKĐ!AG45,TTSSKĐ!AM45))=8)*(CHOOSE({1,2,3,4},TTSSKĐ!X45,TTSSKĐ!AD45,TTSSKĐ!AJ45,TTSSKĐ!AP45)))</f>
        <v>0</v>
      </c>
      <c r="I45">
        <f>SUMPRODUCT((MONTH(CHOOSE({1,2,3,4},TTSSKĐ!U45,TTSSKĐ!AA45,TTSSKĐ!AG45,TTSSKĐ!AM45))=9)*(CHOOSE({1,2,3,4},TTSSKĐ!X45,TTSSKĐ!AD45,TTSSKĐ!AJ45,TTSSKĐ!AP45)))</f>
        <v>0</v>
      </c>
      <c r="J45">
        <f>SUMPRODUCT((MONTH(CHOOSE({1,2,3,4},TTSSKĐ!U45,TTSSKĐ!AA45,TTSSKĐ!AG45,TTSSKĐ!AM45))=10)*(CHOOSE({1,2,3,4},TTSSKĐ!X45,TTSSKĐ!AD45,TTSSKĐ!AJ45,TTSSKĐ!AP45)))</f>
        <v>0</v>
      </c>
      <c r="K45">
        <f>SUMPRODUCT((MONTH(CHOOSE({1,2,3,4},TTSSKĐ!U45,TTSSKĐ!AA45,TTSSKĐ!AG45,TTSSKĐ!AM45))=11)*(CHOOSE({1,2,3,4},TTSSKĐ!X45,TTSSKĐ!AD45,TTSSKĐ!AJ45,TTSSKĐ!AP45)))</f>
        <v>0</v>
      </c>
      <c r="L45">
        <f>SUMPRODUCT((MONTH(CHOOSE({1,2,3,4},TTSSKĐ!U45,TTSSKĐ!AA45,TTSSKĐ!AG45,TTSSKĐ!AM45))=12)*(CHOOSE({1,2,3,4},TTSSKĐ!X45,TTSSKĐ!AD45,TTSSKĐ!AJ45,TTSSKĐ!AP45)))</f>
        <v>0</v>
      </c>
    </row>
    <row r="46" spans="1:12">
      <c r="A46">
        <f>SUMPRODUCT((MONTH(CHOOSE({1,2,3,4},TTSSKĐ!U46,TTSSKĐ!AA46,TTSSKĐ!AG46,TTSSKĐ!AM46))=1)*(CHOOSE({1,2,3,4},TTSSKĐ!X46,TTSSKĐ!AD46,TTSSKĐ!AJ46,TTSSKĐ!AP46)))</f>
        <v>0</v>
      </c>
      <c r="B46">
        <f>SUMPRODUCT((MONTH(CHOOSE({1,2,3,4},TTSSKĐ!U46,TTSSKĐ!AA46,TTSSKĐ!AG46,TTSSKĐ!AM46))=2)*(CHOOSE({1,2,3,4},TTSSKĐ!X46,TTSSKĐ!AD46,TTSSKĐ!AJ46,TTSSKĐ!AP46)))</f>
        <v>0</v>
      </c>
      <c r="C46">
        <f>SUMPRODUCT((MONTH(CHOOSE({1,2,3,4},TTSSKĐ!U46,TTSSKĐ!AA46,TTSSKĐ!AG46,TTSSKĐ!AM46))=3)*(CHOOSE({1,2,3,4},TTSSKĐ!X46,TTSSKĐ!AD46,TTSSKĐ!AJ46,TTSSKĐ!AP46)))</f>
        <v>0</v>
      </c>
      <c r="D46">
        <f>SUMPRODUCT((MONTH(CHOOSE({1,2,3,4},TTSSKĐ!U46,TTSSKĐ!AA46,TTSSKĐ!AG46,TTSSKĐ!AM46))=4)*(CHOOSE({1,2,3,4},TTSSKĐ!X46,TTSSKĐ!AD46,TTSSKĐ!AJ46,TTSSKĐ!AP46)))</f>
        <v>0</v>
      </c>
      <c r="E46">
        <f>SUMPRODUCT((MONTH(CHOOSE({1,2,3,4},TTSSKĐ!U46,TTSSKĐ!AA46,TTSSKĐ!AG46,TTSSKĐ!AM46))=5)*(CHOOSE({1,2,3,4},TTSSKĐ!X46,TTSSKĐ!AD46,TTSSKĐ!AJ46,TTSSKĐ!AP46)))</f>
        <v>0</v>
      </c>
      <c r="F46">
        <f>SUMPRODUCT((MONTH(CHOOSE({1,2,3,4},TTSSKĐ!U46,TTSSKĐ!AA46,TTSSKĐ!AG46,TTSSKĐ!AM46))=6)*(CHOOSE({1,2,3,4},TTSSKĐ!X46,TTSSKĐ!AD46,TTSSKĐ!AJ46,TTSSKĐ!AP46)))</f>
        <v>0</v>
      </c>
      <c r="G46">
        <f>SUMPRODUCT((MONTH(CHOOSE({1,2,3,4},TTSSKĐ!U46,TTSSKĐ!AA46,TTSSKĐ!AG46,TTSSKĐ!AM46))=7)*(CHOOSE({1,2,3,4},TTSSKĐ!X46,TTSSKĐ!AD46,TTSSKĐ!AJ46,TTSSKĐ!AP46)))</f>
        <v>0</v>
      </c>
      <c r="H46">
        <f>SUMPRODUCT((MONTH(CHOOSE({1,2,3,4},TTSSKĐ!U46,TTSSKĐ!AA46,TTSSKĐ!AG46,TTSSKĐ!AM46))=8)*(CHOOSE({1,2,3,4},TTSSKĐ!X46,TTSSKĐ!AD46,TTSSKĐ!AJ46,TTSSKĐ!AP46)))</f>
        <v>0</v>
      </c>
      <c r="I46">
        <f>SUMPRODUCT((MONTH(CHOOSE({1,2,3,4},TTSSKĐ!U46,TTSSKĐ!AA46,TTSSKĐ!AG46,TTSSKĐ!AM46))=9)*(CHOOSE({1,2,3,4},TTSSKĐ!X46,TTSSKĐ!AD46,TTSSKĐ!AJ46,TTSSKĐ!AP46)))</f>
        <v>0</v>
      </c>
      <c r="J46">
        <f>SUMPRODUCT((MONTH(CHOOSE({1,2,3,4},TTSSKĐ!U46,TTSSKĐ!AA46,TTSSKĐ!AG46,TTSSKĐ!AM46))=10)*(CHOOSE({1,2,3,4},TTSSKĐ!X46,TTSSKĐ!AD46,TTSSKĐ!AJ46,TTSSKĐ!AP46)))</f>
        <v>0</v>
      </c>
      <c r="K46">
        <f>SUMPRODUCT((MONTH(CHOOSE({1,2,3,4},TTSSKĐ!U46,TTSSKĐ!AA46,TTSSKĐ!AG46,TTSSKĐ!AM46))=11)*(CHOOSE({1,2,3,4},TTSSKĐ!X46,TTSSKĐ!AD46,TTSSKĐ!AJ46,TTSSKĐ!AP46)))</f>
        <v>0</v>
      </c>
      <c r="L46">
        <f>SUMPRODUCT((MONTH(CHOOSE({1,2,3,4},TTSSKĐ!U46,TTSSKĐ!AA46,TTSSKĐ!AG46,TTSSKĐ!AM46))=12)*(CHOOSE({1,2,3,4},TTSSKĐ!X46,TTSSKĐ!AD46,TTSSKĐ!AJ46,TTSSKĐ!AP46)))</f>
        <v>0</v>
      </c>
    </row>
    <row r="47" spans="1:12">
      <c r="A47">
        <f>SUMPRODUCT((MONTH(CHOOSE({1,2,3,4},TTSSKĐ!U47,TTSSKĐ!AA47,TTSSKĐ!AG47,TTSSKĐ!AM47))=1)*(CHOOSE({1,2,3,4},TTSSKĐ!X47,TTSSKĐ!AD47,TTSSKĐ!AJ47,TTSSKĐ!AP47)))</f>
        <v>0</v>
      </c>
      <c r="B47">
        <f>SUMPRODUCT((MONTH(CHOOSE({1,2,3,4},TTSSKĐ!U47,TTSSKĐ!AA47,TTSSKĐ!AG47,TTSSKĐ!AM47))=2)*(CHOOSE({1,2,3,4},TTSSKĐ!X47,TTSSKĐ!AD47,TTSSKĐ!AJ47,TTSSKĐ!AP47)))</f>
        <v>0</v>
      </c>
      <c r="C47">
        <f>SUMPRODUCT((MONTH(CHOOSE({1,2,3,4},TTSSKĐ!U47,TTSSKĐ!AA47,TTSSKĐ!AG47,TTSSKĐ!AM47))=3)*(CHOOSE({1,2,3,4},TTSSKĐ!X47,TTSSKĐ!AD47,TTSSKĐ!AJ47,TTSSKĐ!AP47)))</f>
        <v>0</v>
      </c>
      <c r="D47">
        <f>SUMPRODUCT((MONTH(CHOOSE({1,2,3,4},TTSSKĐ!U47,TTSSKĐ!AA47,TTSSKĐ!AG47,TTSSKĐ!AM47))=4)*(CHOOSE({1,2,3,4},TTSSKĐ!X47,TTSSKĐ!AD47,TTSSKĐ!AJ47,TTSSKĐ!AP47)))</f>
        <v>0</v>
      </c>
      <c r="E47">
        <f>SUMPRODUCT((MONTH(CHOOSE({1,2,3,4},TTSSKĐ!U47,TTSSKĐ!AA47,TTSSKĐ!AG47,TTSSKĐ!AM47))=5)*(CHOOSE({1,2,3,4},TTSSKĐ!X47,TTSSKĐ!AD47,TTSSKĐ!AJ47,TTSSKĐ!AP47)))</f>
        <v>0</v>
      </c>
      <c r="F47">
        <f>SUMPRODUCT((MONTH(CHOOSE({1,2,3,4},TTSSKĐ!U47,TTSSKĐ!AA47,TTSSKĐ!AG47,TTSSKĐ!AM47))=6)*(CHOOSE({1,2,3,4},TTSSKĐ!X47,TTSSKĐ!AD47,TTSSKĐ!AJ47,TTSSKĐ!AP47)))</f>
        <v>0</v>
      </c>
      <c r="G47">
        <f>SUMPRODUCT((MONTH(CHOOSE({1,2,3,4},TTSSKĐ!U47,TTSSKĐ!AA47,TTSSKĐ!AG47,TTSSKĐ!AM47))=7)*(CHOOSE({1,2,3,4},TTSSKĐ!X47,TTSSKĐ!AD47,TTSSKĐ!AJ47,TTSSKĐ!AP47)))</f>
        <v>0</v>
      </c>
      <c r="H47">
        <f>SUMPRODUCT((MONTH(CHOOSE({1,2,3,4},TTSSKĐ!U47,TTSSKĐ!AA47,TTSSKĐ!AG47,TTSSKĐ!AM47))=8)*(CHOOSE({1,2,3,4},TTSSKĐ!X47,TTSSKĐ!AD47,TTSSKĐ!AJ47,TTSSKĐ!AP47)))</f>
        <v>0</v>
      </c>
      <c r="I47">
        <f>SUMPRODUCT((MONTH(CHOOSE({1,2,3,4},TTSSKĐ!U47,TTSSKĐ!AA47,TTSSKĐ!AG47,TTSSKĐ!AM47))=9)*(CHOOSE({1,2,3,4},TTSSKĐ!X47,TTSSKĐ!AD47,TTSSKĐ!AJ47,TTSSKĐ!AP47)))</f>
        <v>0</v>
      </c>
      <c r="J47">
        <f>SUMPRODUCT((MONTH(CHOOSE({1,2,3,4},TTSSKĐ!U47,TTSSKĐ!AA47,TTSSKĐ!AG47,TTSSKĐ!AM47))=10)*(CHOOSE({1,2,3,4},TTSSKĐ!X47,TTSSKĐ!AD47,TTSSKĐ!AJ47,TTSSKĐ!AP47)))</f>
        <v>0</v>
      </c>
      <c r="K47">
        <f>SUMPRODUCT((MONTH(CHOOSE({1,2,3,4},TTSSKĐ!U47,TTSSKĐ!AA47,TTSSKĐ!AG47,TTSSKĐ!AM47))=11)*(CHOOSE({1,2,3,4},TTSSKĐ!X47,TTSSKĐ!AD47,TTSSKĐ!AJ47,TTSSKĐ!AP47)))</f>
        <v>0</v>
      </c>
      <c r="L47">
        <f>SUMPRODUCT((MONTH(CHOOSE({1,2,3,4},TTSSKĐ!U47,TTSSKĐ!AA47,TTSSKĐ!AG47,TTSSKĐ!AM47))=12)*(CHOOSE({1,2,3,4},TTSSKĐ!X47,TTSSKĐ!AD47,TTSSKĐ!AJ47,TTSSKĐ!AP47)))</f>
        <v>0</v>
      </c>
    </row>
    <row r="48" spans="1:12">
      <c r="A48">
        <f>SUMPRODUCT((MONTH(CHOOSE({1,2,3,4},TTSSKĐ!U48,TTSSKĐ!AA48,TTSSKĐ!AG48,TTSSKĐ!AM48))=1)*(CHOOSE({1,2,3,4},TTSSKĐ!X48,TTSSKĐ!AD48,TTSSKĐ!AJ48,TTSSKĐ!AP48)))</f>
        <v>0</v>
      </c>
      <c r="B48">
        <f>SUMPRODUCT((MONTH(CHOOSE({1,2,3,4},TTSSKĐ!U48,TTSSKĐ!AA48,TTSSKĐ!AG48,TTSSKĐ!AM48))=2)*(CHOOSE({1,2,3,4},TTSSKĐ!X48,TTSSKĐ!AD48,TTSSKĐ!AJ48,TTSSKĐ!AP48)))</f>
        <v>0</v>
      </c>
      <c r="C48">
        <f>SUMPRODUCT((MONTH(CHOOSE({1,2,3,4},TTSSKĐ!U48,TTSSKĐ!AA48,TTSSKĐ!AG48,TTSSKĐ!AM48))=3)*(CHOOSE({1,2,3,4},TTSSKĐ!X48,TTSSKĐ!AD48,TTSSKĐ!AJ48,TTSSKĐ!AP48)))</f>
        <v>0</v>
      </c>
      <c r="D48">
        <f>SUMPRODUCT((MONTH(CHOOSE({1,2,3,4},TTSSKĐ!U48,TTSSKĐ!AA48,TTSSKĐ!AG48,TTSSKĐ!AM48))=4)*(CHOOSE({1,2,3,4},TTSSKĐ!X48,TTSSKĐ!AD48,TTSSKĐ!AJ48,TTSSKĐ!AP48)))</f>
        <v>0</v>
      </c>
      <c r="E48">
        <f>SUMPRODUCT((MONTH(CHOOSE({1,2,3,4},TTSSKĐ!U48,TTSSKĐ!AA48,TTSSKĐ!AG48,TTSSKĐ!AM48))=5)*(CHOOSE({1,2,3,4},TTSSKĐ!X48,TTSSKĐ!AD48,TTSSKĐ!AJ48,TTSSKĐ!AP48)))</f>
        <v>0</v>
      </c>
      <c r="F48">
        <f>SUMPRODUCT((MONTH(CHOOSE({1,2,3,4},TTSSKĐ!U48,TTSSKĐ!AA48,TTSSKĐ!AG48,TTSSKĐ!AM48))=6)*(CHOOSE({1,2,3,4},TTSSKĐ!X48,TTSSKĐ!AD48,TTSSKĐ!AJ48,TTSSKĐ!AP48)))</f>
        <v>0</v>
      </c>
      <c r="G48">
        <f>SUMPRODUCT((MONTH(CHOOSE({1,2,3,4},TTSSKĐ!U48,TTSSKĐ!AA48,TTSSKĐ!AG48,TTSSKĐ!AM48))=7)*(CHOOSE({1,2,3,4},TTSSKĐ!X48,TTSSKĐ!AD48,TTSSKĐ!AJ48,TTSSKĐ!AP48)))</f>
        <v>0</v>
      </c>
      <c r="H48">
        <f>SUMPRODUCT((MONTH(CHOOSE({1,2,3,4},TTSSKĐ!U48,TTSSKĐ!AA48,TTSSKĐ!AG48,TTSSKĐ!AM48))=8)*(CHOOSE({1,2,3,4},TTSSKĐ!X48,TTSSKĐ!AD48,TTSSKĐ!AJ48,TTSSKĐ!AP48)))</f>
        <v>0</v>
      </c>
      <c r="I48">
        <f>SUMPRODUCT((MONTH(CHOOSE({1,2,3,4},TTSSKĐ!U48,TTSSKĐ!AA48,TTSSKĐ!AG48,TTSSKĐ!AM48))=9)*(CHOOSE({1,2,3,4},TTSSKĐ!X48,TTSSKĐ!AD48,TTSSKĐ!AJ48,TTSSKĐ!AP48)))</f>
        <v>0</v>
      </c>
      <c r="J48">
        <f>SUMPRODUCT((MONTH(CHOOSE({1,2,3,4},TTSSKĐ!U48,TTSSKĐ!AA48,TTSSKĐ!AG48,TTSSKĐ!AM48))=10)*(CHOOSE({1,2,3,4},TTSSKĐ!X48,TTSSKĐ!AD48,TTSSKĐ!AJ48,TTSSKĐ!AP48)))</f>
        <v>0</v>
      </c>
      <c r="K48">
        <f>SUMPRODUCT((MONTH(CHOOSE({1,2,3,4},TTSSKĐ!U48,TTSSKĐ!AA48,TTSSKĐ!AG48,TTSSKĐ!AM48))=11)*(CHOOSE({1,2,3,4},TTSSKĐ!X48,TTSSKĐ!AD48,TTSSKĐ!AJ48,TTSSKĐ!AP48)))</f>
        <v>0</v>
      </c>
      <c r="L48">
        <f>SUMPRODUCT((MONTH(CHOOSE({1,2,3,4},TTSSKĐ!U48,TTSSKĐ!AA48,TTSSKĐ!AG48,TTSSKĐ!AM48))=12)*(CHOOSE({1,2,3,4},TTSSKĐ!X48,TTSSKĐ!AD48,TTSSKĐ!AJ48,TTSSKĐ!AP48)))</f>
        <v>0</v>
      </c>
    </row>
    <row r="49" spans="1:12">
      <c r="A49">
        <f>SUMPRODUCT((MONTH(CHOOSE({1,2,3,4},TTSSKĐ!U49,TTSSKĐ!AA49,TTSSKĐ!AG49,TTSSKĐ!AM49))=1)*(CHOOSE({1,2,3,4},TTSSKĐ!X49,TTSSKĐ!AD49,TTSSKĐ!AJ49,TTSSKĐ!AP49)))</f>
        <v>0</v>
      </c>
      <c r="B49">
        <f>SUMPRODUCT((MONTH(CHOOSE({1,2,3,4},TTSSKĐ!U49,TTSSKĐ!AA49,TTSSKĐ!AG49,TTSSKĐ!AM49))=2)*(CHOOSE({1,2,3,4},TTSSKĐ!X49,TTSSKĐ!AD49,TTSSKĐ!AJ49,TTSSKĐ!AP49)))</f>
        <v>0</v>
      </c>
      <c r="C49">
        <f>SUMPRODUCT((MONTH(CHOOSE({1,2,3,4},TTSSKĐ!U49,TTSSKĐ!AA49,TTSSKĐ!AG49,TTSSKĐ!AM49))=3)*(CHOOSE({1,2,3,4},TTSSKĐ!X49,TTSSKĐ!AD49,TTSSKĐ!AJ49,TTSSKĐ!AP49)))</f>
        <v>0</v>
      </c>
      <c r="D49">
        <f>SUMPRODUCT((MONTH(CHOOSE({1,2,3,4},TTSSKĐ!U49,TTSSKĐ!AA49,TTSSKĐ!AG49,TTSSKĐ!AM49))=4)*(CHOOSE({1,2,3,4},TTSSKĐ!X49,TTSSKĐ!AD49,TTSSKĐ!AJ49,TTSSKĐ!AP49)))</f>
        <v>0</v>
      </c>
      <c r="E49">
        <f>SUMPRODUCT((MONTH(CHOOSE({1,2,3,4},TTSSKĐ!U49,TTSSKĐ!AA49,TTSSKĐ!AG49,TTSSKĐ!AM49))=5)*(CHOOSE({1,2,3,4},TTSSKĐ!X49,TTSSKĐ!AD49,TTSSKĐ!AJ49,TTSSKĐ!AP49)))</f>
        <v>0</v>
      </c>
      <c r="F49">
        <f>SUMPRODUCT((MONTH(CHOOSE({1,2,3,4},TTSSKĐ!U49,TTSSKĐ!AA49,TTSSKĐ!AG49,TTSSKĐ!AM49))=6)*(CHOOSE({1,2,3,4},TTSSKĐ!X49,TTSSKĐ!AD49,TTSSKĐ!AJ49,TTSSKĐ!AP49)))</f>
        <v>0</v>
      </c>
      <c r="G49">
        <f>SUMPRODUCT((MONTH(CHOOSE({1,2,3,4},TTSSKĐ!U49,TTSSKĐ!AA49,TTSSKĐ!AG49,TTSSKĐ!AM49))=7)*(CHOOSE({1,2,3,4},TTSSKĐ!X49,TTSSKĐ!AD49,TTSSKĐ!AJ49,TTSSKĐ!AP49)))</f>
        <v>0</v>
      </c>
      <c r="H49">
        <f>SUMPRODUCT((MONTH(CHOOSE({1,2,3,4},TTSSKĐ!U49,TTSSKĐ!AA49,TTSSKĐ!AG49,TTSSKĐ!AM49))=8)*(CHOOSE({1,2,3,4},TTSSKĐ!X49,TTSSKĐ!AD49,TTSSKĐ!AJ49,TTSSKĐ!AP49)))</f>
        <v>0</v>
      </c>
      <c r="I49">
        <f>SUMPRODUCT((MONTH(CHOOSE({1,2,3,4},TTSSKĐ!U49,TTSSKĐ!AA49,TTSSKĐ!AG49,TTSSKĐ!AM49))=9)*(CHOOSE({1,2,3,4},TTSSKĐ!X49,TTSSKĐ!AD49,TTSSKĐ!AJ49,TTSSKĐ!AP49)))</f>
        <v>0</v>
      </c>
      <c r="J49">
        <f>SUMPRODUCT((MONTH(CHOOSE({1,2,3,4},TTSSKĐ!U49,TTSSKĐ!AA49,TTSSKĐ!AG49,TTSSKĐ!AM49))=10)*(CHOOSE({1,2,3,4},TTSSKĐ!X49,TTSSKĐ!AD49,TTSSKĐ!AJ49,TTSSKĐ!AP49)))</f>
        <v>0</v>
      </c>
      <c r="K49">
        <f>SUMPRODUCT((MONTH(CHOOSE({1,2,3,4},TTSSKĐ!U49,TTSSKĐ!AA49,TTSSKĐ!AG49,TTSSKĐ!AM49))=11)*(CHOOSE({1,2,3,4},TTSSKĐ!X49,TTSSKĐ!AD49,TTSSKĐ!AJ49,TTSSKĐ!AP49)))</f>
        <v>0</v>
      </c>
      <c r="L49">
        <f>SUMPRODUCT((MONTH(CHOOSE({1,2,3,4},TTSSKĐ!U49,TTSSKĐ!AA49,TTSSKĐ!AG49,TTSSKĐ!AM49))=12)*(CHOOSE({1,2,3,4},TTSSKĐ!X49,TTSSKĐ!AD49,TTSSKĐ!AJ49,TTSSKĐ!AP49)))</f>
        <v>0</v>
      </c>
    </row>
    <row r="50" spans="1:12">
      <c r="A50">
        <f>SUMPRODUCT((MONTH(CHOOSE({1,2,3,4},TTSSKĐ!U50,TTSSKĐ!AA50,TTSSKĐ!AG50,TTSSKĐ!AM50))=1)*(CHOOSE({1,2,3,4},TTSSKĐ!X50,TTSSKĐ!AD50,TTSSKĐ!AJ50,TTSSKĐ!AP50)))</f>
        <v>0</v>
      </c>
      <c r="B50">
        <f>SUMPRODUCT((MONTH(CHOOSE({1,2,3,4},TTSSKĐ!U50,TTSSKĐ!AA50,TTSSKĐ!AG50,TTSSKĐ!AM50))=2)*(CHOOSE({1,2,3,4},TTSSKĐ!X50,TTSSKĐ!AD50,TTSSKĐ!AJ50,TTSSKĐ!AP50)))</f>
        <v>0</v>
      </c>
      <c r="C50">
        <f>SUMPRODUCT((MONTH(CHOOSE({1,2,3,4},TTSSKĐ!U50,TTSSKĐ!AA50,TTSSKĐ!AG50,TTSSKĐ!AM50))=3)*(CHOOSE({1,2,3,4},TTSSKĐ!X50,TTSSKĐ!AD50,TTSSKĐ!AJ50,TTSSKĐ!AP50)))</f>
        <v>0</v>
      </c>
      <c r="D50">
        <f>SUMPRODUCT((MONTH(CHOOSE({1,2,3,4},TTSSKĐ!U50,TTSSKĐ!AA50,TTSSKĐ!AG50,TTSSKĐ!AM50))=4)*(CHOOSE({1,2,3,4},TTSSKĐ!X50,TTSSKĐ!AD50,TTSSKĐ!AJ50,TTSSKĐ!AP50)))</f>
        <v>0</v>
      </c>
      <c r="E50">
        <f>SUMPRODUCT((MONTH(CHOOSE({1,2,3,4},TTSSKĐ!U50,TTSSKĐ!AA50,TTSSKĐ!AG50,TTSSKĐ!AM50))=5)*(CHOOSE({1,2,3,4},TTSSKĐ!X50,TTSSKĐ!AD50,TTSSKĐ!AJ50,TTSSKĐ!AP50)))</f>
        <v>0</v>
      </c>
      <c r="F50">
        <f>SUMPRODUCT((MONTH(CHOOSE({1,2,3,4},TTSSKĐ!U50,TTSSKĐ!AA50,TTSSKĐ!AG50,TTSSKĐ!AM50))=6)*(CHOOSE({1,2,3,4},TTSSKĐ!X50,TTSSKĐ!AD50,TTSSKĐ!AJ50,TTSSKĐ!AP50)))</f>
        <v>0</v>
      </c>
      <c r="G50">
        <f>SUMPRODUCT((MONTH(CHOOSE({1,2,3,4},TTSSKĐ!U50,TTSSKĐ!AA50,TTSSKĐ!AG50,TTSSKĐ!AM50))=7)*(CHOOSE({1,2,3,4},TTSSKĐ!X50,TTSSKĐ!AD50,TTSSKĐ!AJ50,TTSSKĐ!AP50)))</f>
        <v>0</v>
      </c>
      <c r="H50">
        <f>SUMPRODUCT((MONTH(CHOOSE({1,2,3,4},TTSSKĐ!U50,TTSSKĐ!AA50,TTSSKĐ!AG50,TTSSKĐ!AM50))=8)*(CHOOSE({1,2,3,4},TTSSKĐ!X50,TTSSKĐ!AD50,TTSSKĐ!AJ50,TTSSKĐ!AP50)))</f>
        <v>0</v>
      </c>
      <c r="I50">
        <f>SUMPRODUCT((MONTH(CHOOSE({1,2,3,4},TTSSKĐ!U50,TTSSKĐ!AA50,TTSSKĐ!AG50,TTSSKĐ!AM50))=9)*(CHOOSE({1,2,3,4},TTSSKĐ!X50,TTSSKĐ!AD50,TTSSKĐ!AJ50,TTSSKĐ!AP50)))</f>
        <v>0</v>
      </c>
      <c r="J50">
        <f>SUMPRODUCT((MONTH(CHOOSE({1,2,3,4},TTSSKĐ!U50,TTSSKĐ!AA50,TTSSKĐ!AG50,TTSSKĐ!AM50))=10)*(CHOOSE({1,2,3,4},TTSSKĐ!X50,TTSSKĐ!AD50,TTSSKĐ!AJ50,TTSSKĐ!AP50)))</f>
        <v>0</v>
      </c>
      <c r="K50">
        <f>SUMPRODUCT((MONTH(CHOOSE({1,2,3,4},TTSSKĐ!U50,TTSSKĐ!AA50,TTSSKĐ!AG50,TTSSKĐ!AM50))=11)*(CHOOSE({1,2,3,4},TTSSKĐ!X50,TTSSKĐ!AD50,TTSSKĐ!AJ50,TTSSKĐ!AP50)))</f>
        <v>0</v>
      </c>
      <c r="L50">
        <f>SUMPRODUCT((MONTH(CHOOSE({1,2,3,4},TTSSKĐ!U50,TTSSKĐ!AA50,TTSSKĐ!AG50,TTSSKĐ!AM50))=12)*(CHOOSE({1,2,3,4},TTSSKĐ!X50,TTSSKĐ!AD50,TTSSKĐ!AJ50,TTSSKĐ!AP50)))</f>
        <v>0</v>
      </c>
    </row>
    <row r="51" spans="1:12">
      <c r="A51">
        <f>SUMPRODUCT((MONTH(CHOOSE({1,2,3,4},TTSSKĐ!U51,TTSSKĐ!AA51,TTSSKĐ!AG51,TTSSKĐ!AM51))=1)*(CHOOSE({1,2,3,4},TTSSKĐ!X51,TTSSKĐ!AD51,TTSSKĐ!AJ51,TTSSKĐ!AP51)))</f>
        <v>0</v>
      </c>
      <c r="B51">
        <f>SUMPRODUCT((MONTH(CHOOSE({1,2,3,4},TTSSKĐ!U51,TTSSKĐ!AA51,TTSSKĐ!AG51,TTSSKĐ!AM51))=2)*(CHOOSE({1,2,3,4},TTSSKĐ!X51,TTSSKĐ!AD51,TTSSKĐ!AJ51,TTSSKĐ!AP51)))</f>
        <v>0</v>
      </c>
      <c r="C51">
        <f>SUMPRODUCT((MONTH(CHOOSE({1,2,3,4},TTSSKĐ!U51,TTSSKĐ!AA51,TTSSKĐ!AG51,TTSSKĐ!AM51))=3)*(CHOOSE({1,2,3,4},TTSSKĐ!X51,TTSSKĐ!AD51,TTSSKĐ!AJ51,TTSSKĐ!AP51)))</f>
        <v>0</v>
      </c>
      <c r="D51">
        <f>SUMPRODUCT((MONTH(CHOOSE({1,2,3,4},TTSSKĐ!U51,TTSSKĐ!AA51,TTSSKĐ!AG51,TTSSKĐ!AM51))=4)*(CHOOSE({1,2,3,4},TTSSKĐ!X51,TTSSKĐ!AD51,TTSSKĐ!AJ51,TTSSKĐ!AP51)))</f>
        <v>0</v>
      </c>
      <c r="E51">
        <f>SUMPRODUCT((MONTH(CHOOSE({1,2,3,4},TTSSKĐ!U51,TTSSKĐ!AA51,TTSSKĐ!AG51,TTSSKĐ!AM51))=5)*(CHOOSE({1,2,3,4},TTSSKĐ!X51,TTSSKĐ!AD51,TTSSKĐ!AJ51,TTSSKĐ!AP51)))</f>
        <v>0</v>
      </c>
      <c r="F51">
        <f>SUMPRODUCT((MONTH(CHOOSE({1,2,3,4},TTSSKĐ!U51,TTSSKĐ!AA51,TTSSKĐ!AG51,TTSSKĐ!AM51))=6)*(CHOOSE({1,2,3,4},TTSSKĐ!X51,TTSSKĐ!AD51,TTSSKĐ!AJ51,TTSSKĐ!AP51)))</f>
        <v>0</v>
      </c>
      <c r="G51">
        <f>SUMPRODUCT((MONTH(CHOOSE({1,2,3,4},TTSSKĐ!U51,TTSSKĐ!AA51,TTSSKĐ!AG51,TTSSKĐ!AM51))=7)*(CHOOSE({1,2,3,4},TTSSKĐ!X51,TTSSKĐ!AD51,TTSSKĐ!AJ51,TTSSKĐ!AP51)))</f>
        <v>0</v>
      </c>
      <c r="H51">
        <f>SUMPRODUCT((MONTH(CHOOSE({1,2,3,4},TTSSKĐ!U51,TTSSKĐ!AA51,TTSSKĐ!AG51,TTSSKĐ!AM51))=8)*(CHOOSE({1,2,3,4},TTSSKĐ!X51,TTSSKĐ!AD51,TTSSKĐ!AJ51,TTSSKĐ!AP51)))</f>
        <v>0</v>
      </c>
      <c r="I51">
        <f>SUMPRODUCT((MONTH(CHOOSE({1,2,3,4},TTSSKĐ!U51,TTSSKĐ!AA51,TTSSKĐ!AG51,TTSSKĐ!AM51))=9)*(CHOOSE({1,2,3,4},TTSSKĐ!X51,TTSSKĐ!AD51,TTSSKĐ!AJ51,TTSSKĐ!AP51)))</f>
        <v>0</v>
      </c>
      <c r="J51">
        <f>SUMPRODUCT((MONTH(CHOOSE({1,2,3,4},TTSSKĐ!U51,TTSSKĐ!AA51,TTSSKĐ!AG51,TTSSKĐ!AM51))=10)*(CHOOSE({1,2,3,4},TTSSKĐ!X51,TTSSKĐ!AD51,TTSSKĐ!AJ51,TTSSKĐ!AP51)))</f>
        <v>0</v>
      </c>
      <c r="K51">
        <f>SUMPRODUCT((MONTH(CHOOSE({1,2,3,4},TTSSKĐ!U51,TTSSKĐ!AA51,TTSSKĐ!AG51,TTSSKĐ!AM51))=11)*(CHOOSE({1,2,3,4},TTSSKĐ!X51,TTSSKĐ!AD51,TTSSKĐ!AJ51,TTSSKĐ!AP51)))</f>
        <v>0</v>
      </c>
      <c r="L51">
        <f>SUMPRODUCT((MONTH(CHOOSE({1,2,3,4},TTSSKĐ!U51,TTSSKĐ!AA51,TTSSKĐ!AG51,TTSSKĐ!AM51))=12)*(CHOOSE({1,2,3,4},TTSSKĐ!X51,TTSSKĐ!AD51,TTSSKĐ!AJ51,TTSSKĐ!AP51)))</f>
        <v>0</v>
      </c>
    </row>
    <row r="52" spans="1:12">
      <c r="A52">
        <f>SUMPRODUCT((MONTH(CHOOSE({1,2,3,4},TTSSKĐ!U52,TTSSKĐ!AA52,TTSSKĐ!AG52,TTSSKĐ!AM52))=1)*(CHOOSE({1,2,3,4},TTSSKĐ!X52,TTSSKĐ!AD52,TTSSKĐ!AJ52,TTSSKĐ!AP52)))</f>
        <v>0</v>
      </c>
      <c r="B52">
        <f>SUMPRODUCT((MONTH(CHOOSE({1,2,3,4},TTSSKĐ!U52,TTSSKĐ!AA52,TTSSKĐ!AG52,TTSSKĐ!AM52))=2)*(CHOOSE({1,2,3,4},TTSSKĐ!X52,TTSSKĐ!AD52,TTSSKĐ!AJ52,TTSSKĐ!AP52)))</f>
        <v>0</v>
      </c>
      <c r="C52">
        <f>SUMPRODUCT((MONTH(CHOOSE({1,2,3,4},TTSSKĐ!U52,TTSSKĐ!AA52,TTSSKĐ!AG52,TTSSKĐ!AM52))=3)*(CHOOSE({1,2,3,4},TTSSKĐ!X52,TTSSKĐ!AD52,TTSSKĐ!AJ52,TTSSKĐ!AP52)))</f>
        <v>0</v>
      </c>
      <c r="D52">
        <f>SUMPRODUCT((MONTH(CHOOSE({1,2,3,4},TTSSKĐ!U52,TTSSKĐ!AA52,TTSSKĐ!AG52,TTSSKĐ!AM52))=4)*(CHOOSE({1,2,3,4},TTSSKĐ!X52,TTSSKĐ!AD52,TTSSKĐ!AJ52,TTSSKĐ!AP52)))</f>
        <v>0</v>
      </c>
      <c r="E52">
        <f>SUMPRODUCT((MONTH(CHOOSE({1,2,3,4},TTSSKĐ!U52,TTSSKĐ!AA52,TTSSKĐ!AG52,TTSSKĐ!AM52))=5)*(CHOOSE({1,2,3,4},TTSSKĐ!X52,TTSSKĐ!AD52,TTSSKĐ!AJ52,TTSSKĐ!AP52)))</f>
        <v>0</v>
      </c>
      <c r="F52">
        <f>SUMPRODUCT((MONTH(CHOOSE({1,2,3,4},TTSSKĐ!U52,TTSSKĐ!AA52,TTSSKĐ!AG52,TTSSKĐ!AM52))=6)*(CHOOSE({1,2,3,4},TTSSKĐ!X52,TTSSKĐ!AD52,TTSSKĐ!AJ52,TTSSKĐ!AP52)))</f>
        <v>0</v>
      </c>
      <c r="G52">
        <f>SUMPRODUCT((MONTH(CHOOSE({1,2,3,4},TTSSKĐ!U52,TTSSKĐ!AA52,TTSSKĐ!AG52,TTSSKĐ!AM52))=7)*(CHOOSE({1,2,3,4},TTSSKĐ!X52,TTSSKĐ!AD52,TTSSKĐ!AJ52,TTSSKĐ!AP52)))</f>
        <v>0</v>
      </c>
      <c r="H52">
        <f>SUMPRODUCT((MONTH(CHOOSE({1,2,3,4},TTSSKĐ!U52,TTSSKĐ!AA52,TTSSKĐ!AG52,TTSSKĐ!AM52))=8)*(CHOOSE({1,2,3,4},TTSSKĐ!X52,TTSSKĐ!AD52,TTSSKĐ!AJ52,TTSSKĐ!AP52)))</f>
        <v>0</v>
      </c>
      <c r="I52">
        <f>SUMPRODUCT((MONTH(CHOOSE({1,2,3,4},TTSSKĐ!U52,TTSSKĐ!AA52,TTSSKĐ!AG52,TTSSKĐ!AM52))=9)*(CHOOSE({1,2,3,4},TTSSKĐ!X52,TTSSKĐ!AD52,TTSSKĐ!AJ52,TTSSKĐ!AP52)))</f>
        <v>0</v>
      </c>
      <c r="J52">
        <f>SUMPRODUCT((MONTH(CHOOSE({1,2,3,4},TTSSKĐ!U52,TTSSKĐ!AA52,TTSSKĐ!AG52,TTSSKĐ!AM52))=10)*(CHOOSE({1,2,3,4},TTSSKĐ!X52,TTSSKĐ!AD52,TTSSKĐ!AJ52,TTSSKĐ!AP52)))</f>
        <v>0</v>
      </c>
      <c r="K52">
        <f>SUMPRODUCT((MONTH(CHOOSE({1,2,3,4},TTSSKĐ!U52,TTSSKĐ!AA52,TTSSKĐ!AG52,TTSSKĐ!AM52))=11)*(CHOOSE({1,2,3,4},TTSSKĐ!X52,TTSSKĐ!AD52,TTSSKĐ!AJ52,TTSSKĐ!AP52)))</f>
        <v>0</v>
      </c>
      <c r="L52">
        <f>SUMPRODUCT((MONTH(CHOOSE({1,2,3,4},TTSSKĐ!U52,TTSSKĐ!AA52,TTSSKĐ!AG52,TTSSKĐ!AM52))=12)*(CHOOSE({1,2,3,4},TTSSKĐ!X52,TTSSKĐ!AD52,TTSSKĐ!AJ52,TTSSKĐ!AP52)))</f>
        <v>0</v>
      </c>
    </row>
    <row r="53" spans="1:12">
      <c r="A53">
        <f>SUMPRODUCT((MONTH(CHOOSE({1,2,3,4},TTSSKĐ!U53,TTSSKĐ!AA53,TTSSKĐ!AG53,TTSSKĐ!AM53))=1)*(CHOOSE({1,2,3,4},TTSSKĐ!X53,TTSSKĐ!AD53,TTSSKĐ!AJ53,TTSSKĐ!AP53)))</f>
        <v>0</v>
      </c>
      <c r="B53">
        <f>SUMPRODUCT((MONTH(CHOOSE({1,2,3,4},TTSSKĐ!U53,TTSSKĐ!AA53,TTSSKĐ!AG53,TTSSKĐ!AM53))=2)*(CHOOSE({1,2,3,4},TTSSKĐ!X53,TTSSKĐ!AD53,TTSSKĐ!AJ53,TTSSKĐ!AP53)))</f>
        <v>0</v>
      </c>
      <c r="C53">
        <f>SUMPRODUCT((MONTH(CHOOSE({1,2,3,4},TTSSKĐ!U53,TTSSKĐ!AA53,TTSSKĐ!AG53,TTSSKĐ!AM53))=3)*(CHOOSE({1,2,3,4},TTSSKĐ!X53,TTSSKĐ!AD53,TTSSKĐ!AJ53,TTSSKĐ!AP53)))</f>
        <v>0</v>
      </c>
      <c r="D53">
        <f>SUMPRODUCT((MONTH(CHOOSE({1,2,3,4},TTSSKĐ!U53,TTSSKĐ!AA53,TTSSKĐ!AG53,TTSSKĐ!AM53))=4)*(CHOOSE({1,2,3,4},TTSSKĐ!X53,TTSSKĐ!AD53,TTSSKĐ!AJ53,TTSSKĐ!AP53)))</f>
        <v>0</v>
      </c>
      <c r="E53">
        <f>SUMPRODUCT((MONTH(CHOOSE({1,2,3,4},TTSSKĐ!U53,TTSSKĐ!AA53,TTSSKĐ!AG53,TTSSKĐ!AM53))=5)*(CHOOSE({1,2,3,4},TTSSKĐ!X53,TTSSKĐ!AD53,TTSSKĐ!AJ53,TTSSKĐ!AP53)))</f>
        <v>0</v>
      </c>
      <c r="F53">
        <f>SUMPRODUCT((MONTH(CHOOSE({1,2,3,4},TTSSKĐ!U53,TTSSKĐ!AA53,TTSSKĐ!AG53,TTSSKĐ!AM53))=6)*(CHOOSE({1,2,3,4},TTSSKĐ!X53,TTSSKĐ!AD53,TTSSKĐ!AJ53,TTSSKĐ!AP53)))</f>
        <v>0</v>
      </c>
      <c r="G53">
        <f>SUMPRODUCT((MONTH(CHOOSE({1,2,3,4},TTSSKĐ!U53,TTSSKĐ!AA53,TTSSKĐ!AG53,TTSSKĐ!AM53))=7)*(CHOOSE({1,2,3,4},TTSSKĐ!X53,TTSSKĐ!AD53,TTSSKĐ!AJ53,TTSSKĐ!AP53)))</f>
        <v>0</v>
      </c>
      <c r="H53">
        <f>SUMPRODUCT((MONTH(CHOOSE({1,2,3,4},TTSSKĐ!U53,TTSSKĐ!AA53,TTSSKĐ!AG53,TTSSKĐ!AM53))=8)*(CHOOSE({1,2,3,4},TTSSKĐ!X53,TTSSKĐ!AD53,TTSSKĐ!AJ53,TTSSKĐ!AP53)))</f>
        <v>0</v>
      </c>
      <c r="I53">
        <f>SUMPRODUCT((MONTH(CHOOSE({1,2,3,4},TTSSKĐ!U53,TTSSKĐ!AA53,TTSSKĐ!AG53,TTSSKĐ!AM53))=9)*(CHOOSE({1,2,3,4},TTSSKĐ!X53,TTSSKĐ!AD53,TTSSKĐ!AJ53,TTSSKĐ!AP53)))</f>
        <v>0</v>
      </c>
      <c r="J53">
        <f>SUMPRODUCT((MONTH(CHOOSE({1,2,3,4},TTSSKĐ!U53,TTSSKĐ!AA53,TTSSKĐ!AG53,TTSSKĐ!AM53))=10)*(CHOOSE({1,2,3,4},TTSSKĐ!X53,TTSSKĐ!AD53,TTSSKĐ!AJ53,TTSSKĐ!AP53)))</f>
        <v>0</v>
      </c>
      <c r="K53">
        <f>SUMPRODUCT((MONTH(CHOOSE({1,2,3,4},TTSSKĐ!U53,TTSSKĐ!AA53,TTSSKĐ!AG53,TTSSKĐ!AM53))=11)*(CHOOSE({1,2,3,4},TTSSKĐ!X53,TTSSKĐ!AD53,TTSSKĐ!AJ53,TTSSKĐ!AP53)))</f>
        <v>0</v>
      </c>
      <c r="L53">
        <f>SUMPRODUCT((MONTH(CHOOSE({1,2,3,4},TTSSKĐ!U53,TTSSKĐ!AA53,TTSSKĐ!AG53,TTSSKĐ!AM53))=12)*(CHOOSE({1,2,3,4},TTSSKĐ!X53,TTSSKĐ!AD53,TTSSKĐ!AJ53,TTSSKĐ!AP53)))</f>
        <v>0</v>
      </c>
    </row>
    <row r="54" spans="1:12">
      <c r="A54">
        <f>SUMPRODUCT((MONTH(CHOOSE({1,2,3,4},TTSSKĐ!U54,TTSSKĐ!AA54,TTSSKĐ!AG54,TTSSKĐ!AM54))=1)*(CHOOSE({1,2,3,4},TTSSKĐ!X54,TTSSKĐ!AD54,TTSSKĐ!AJ54,TTSSKĐ!AP54)))</f>
        <v>0</v>
      </c>
      <c r="B54">
        <f>SUMPRODUCT((MONTH(CHOOSE({1,2,3,4},TTSSKĐ!U54,TTSSKĐ!AA54,TTSSKĐ!AG54,TTSSKĐ!AM54))=2)*(CHOOSE({1,2,3,4},TTSSKĐ!X54,TTSSKĐ!AD54,TTSSKĐ!AJ54,TTSSKĐ!AP54)))</f>
        <v>0</v>
      </c>
      <c r="C54">
        <f>SUMPRODUCT((MONTH(CHOOSE({1,2,3,4},TTSSKĐ!U54,TTSSKĐ!AA54,TTSSKĐ!AG54,TTSSKĐ!AM54))=3)*(CHOOSE({1,2,3,4},TTSSKĐ!X54,TTSSKĐ!AD54,TTSSKĐ!AJ54,TTSSKĐ!AP54)))</f>
        <v>0</v>
      </c>
      <c r="D54">
        <f>SUMPRODUCT((MONTH(CHOOSE({1,2,3,4},TTSSKĐ!U54,TTSSKĐ!AA54,TTSSKĐ!AG54,TTSSKĐ!AM54))=4)*(CHOOSE({1,2,3,4},TTSSKĐ!X54,TTSSKĐ!AD54,TTSSKĐ!AJ54,TTSSKĐ!AP54)))</f>
        <v>0</v>
      </c>
      <c r="E54">
        <f>SUMPRODUCT((MONTH(CHOOSE({1,2,3,4},TTSSKĐ!U54,TTSSKĐ!AA54,TTSSKĐ!AG54,TTSSKĐ!AM54))=5)*(CHOOSE({1,2,3,4},TTSSKĐ!X54,TTSSKĐ!AD54,TTSSKĐ!AJ54,TTSSKĐ!AP54)))</f>
        <v>0</v>
      </c>
      <c r="F54">
        <f>SUMPRODUCT((MONTH(CHOOSE({1,2,3,4},TTSSKĐ!U54,TTSSKĐ!AA54,TTSSKĐ!AG54,TTSSKĐ!AM54))=6)*(CHOOSE({1,2,3,4},TTSSKĐ!X54,TTSSKĐ!AD54,TTSSKĐ!AJ54,TTSSKĐ!AP54)))</f>
        <v>0</v>
      </c>
      <c r="G54">
        <f>SUMPRODUCT((MONTH(CHOOSE({1,2,3,4},TTSSKĐ!U54,TTSSKĐ!AA54,TTSSKĐ!AG54,TTSSKĐ!AM54))=7)*(CHOOSE({1,2,3,4},TTSSKĐ!X54,TTSSKĐ!AD54,TTSSKĐ!AJ54,TTSSKĐ!AP54)))</f>
        <v>0</v>
      </c>
      <c r="H54">
        <f>SUMPRODUCT((MONTH(CHOOSE({1,2,3,4},TTSSKĐ!U54,TTSSKĐ!AA54,TTSSKĐ!AG54,TTSSKĐ!AM54))=8)*(CHOOSE({1,2,3,4},TTSSKĐ!X54,TTSSKĐ!AD54,TTSSKĐ!AJ54,TTSSKĐ!AP54)))</f>
        <v>0</v>
      </c>
      <c r="I54">
        <f>SUMPRODUCT((MONTH(CHOOSE({1,2,3,4},TTSSKĐ!U54,TTSSKĐ!AA54,TTSSKĐ!AG54,TTSSKĐ!AM54))=9)*(CHOOSE({1,2,3,4},TTSSKĐ!X54,TTSSKĐ!AD54,TTSSKĐ!AJ54,TTSSKĐ!AP54)))</f>
        <v>0</v>
      </c>
      <c r="J54">
        <f>SUMPRODUCT((MONTH(CHOOSE({1,2,3,4},TTSSKĐ!U54,TTSSKĐ!AA54,TTSSKĐ!AG54,TTSSKĐ!AM54))=10)*(CHOOSE({1,2,3,4},TTSSKĐ!X54,TTSSKĐ!AD54,TTSSKĐ!AJ54,TTSSKĐ!AP54)))</f>
        <v>0</v>
      </c>
      <c r="K54">
        <f>SUMPRODUCT((MONTH(CHOOSE({1,2,3,4},TTSSKĐ!U54,TTSSKĐ!AA54,TTSSKĐ!AG54,TTSSKĐ!AM54))=11)*(CHOOSE({1,2,3,4},TTSSKĐ!X54,TTSSKĐ!AD54,TTSSKĐ!AJ54,TTSSKĐ!AP54)))</f>
        <v>0</v>
      </c>
      <c r="L54">
        <f>SUMPRODUCT((MONTH(CHOOSE({1,2,3,4},TTSSKĐ!U54,TTSSKĐ!AA54,TTSSKĐ!AG54,TTSSKĐ!AM54))=12)*(CHOOSE({1,2,3,4},TTSSKĐ!X54,TTSSKĐ!AD54,TTSSKĐ!AJ54,TTSSKĐ!AP54)))</f>
        <v>0</v>
      </c>
    </row>
    <row r="55" spans="1:12">
      <c r="A55">
        <f>SUMPRODUCT((MONTH(CHOOSE({1,2,3,4},TTSSKĐ!U55,TTSSKĐ!AA55,TTSSKĐ!AG55,TTSSKĐ!AM55))=1)*(CHOOSE({1,2,3,4},TTSSKĐ!X55,TTSSKĐ!AD55,TTSSKĐ!AJ55,TTSSKĐ!AP55)))</f>
        <v>0</v>
      </c>
      <c r="B55">
        <f>SUMPRODUCT((MONTH(CHOOSE({1,2,3,4},TTSSKĐ!U55,TTSSKĐ!AA55,TTSSKĐ!AG55,TTSSKĐ!AM55))=2)*(CHOOSE({1,2,3,4},TTSSKĐ!X55,TTSSKĐ!AD55,TTSSKĐ!AJ55,TTSSKĐ!AP55)))</f>
        <v>0</v>
      </c>
      <c r="C55">
        <f>SUMPRODUCT((MONTH(CHOOSE({1,2,3,4},TTSSKĐ!U55,TTSSKĐ!AA55,TTSSKĐ!AG55,TTSSKĐ!AM55))=3)*(CHOOSE({1,2,3,4},TTSSKĐ!X55,TTSSKĐ!AD55,TTSSKĐ!AJ55,TTSSKĐ!AP55)))</f>
        <v>0</v>
      </c>
      <c r="D55">
        <f>SUMPRODUCT((MONTH(CHOOSE({1,2,3,4},TTSSKĐ!U55,TTSSKĐ!AA55,TTSSKĐ!AG55,TTSSKĐ!AM55))=4)*(CHOOSE({1,2,3,4},TTSSKĐ!X55,TTSSKĐ!AD55,TTSSKĐ!AJ55,TTSSKĐ!AP55)))</f>
        <v>0</v>
      </c>
      <c r="E55">
        <f>SUMPRODUCT((MONTH(CHOOSE({1,2,3,4},TTSSKĐ!U55,TTSSKĐ!AA55,TTSSKĐ!AG55,TTSSKĐ!AM55))=5)*(CHOOSE({1,2,3,4},TTSSKĐ!X55,TTSSKĐ!AD55,TTSSKĐ!AJ55,TTSSKĐ!AP55)))</f>
        <v>0</v>
      </c>
      <c r="F55">
        <f>SUMPRODUCT((MONTH(CHOOSE({1,2,3,4},TTSSKĐ!U55,TTSSKĐ!AA55,TTSSKĐ!AG55,TTSSKĐ!AM55))=6)*(CHOOSE({1,2,3,4},TTSSKĐ!X55,TTSSKĐ!AD55,TTSSKĐ!AJ55,TTSSKĐ!AP55)))</f>
        <v>0</v>
      </c>
      <c r="G55">
        <f>SUMPRODUCT((MONTH(CHOOSE({1,2,3,4},TTSSKĐ!U55,TTSSKĐ!AA55,TTSSKĐ!AG55,TTSSKĐ!AM55))=7)*(CHOOSE({1,2,3,4},TTSSKĐ!X55,TTSSKĐ!AD55,TTSSKĐ!AJ55,TTSSKĐ!AP55)))</f>
        <v>0</v>
      </c>
      <c r="H55">
        <f>SUMPRODUCT((MONTH(CHOOSE({1,2,3,4},TTSSKĐ!U55,TTSSKĐ!AA55,TTSSKĐ!AG55,TTSSKĐ!AM55))=8)*(CHOOSE({1,2,3,4},TTSSKĐ!X55,TTSSKĐ!AD55,TTSSKĐ!AJ55,TTSSKĐ!AP55)))</f>
        <v>0</v>
      </c>
      <c r="I55">
        <f>SUMPRODUCT((MONTH(CHOOSE({1,2,3,4},TTSSKĐ!U55,TTSSKĐ!AA55,TTSSKĐ!AG55,TTSSKĐ!AM55))=9)*(CHOOSE({1,2,3,4},TTSSKĐ!X55,TTSSKĐ!AD55,TTSSKĐ!AJ55,TTSSKĐ!AP55)))</f>
        <v>0</v>
      </c>
      <c r="J55">
        <f>SUMPRODUCT((MONTH(CHOOSE({1,2,3,4},TTSSKĐ!U55,TTSSKĐ!AA55,TTSSKĐ!AG55,TTSSKĐ!AM55))=10)*(CHOOSE({1,2,3,4},TTSSKĐ!X55,TTSSKĐ!AD55,TTSSKĐ!AJ55,TTSSKĐ!AP55)))</f>
        <v>0</v>
      </c>
      <c r="K55">
        <f>SUMPRODUCT((MONTH(CHOOSE({1,2,3,4},TTSSKĐ!U55,TTSSKĐ!AA55,TTSSKĐ!AG55,TTSSKĐ!AM55))=11)*(CHOOSE({1,2,3,4},TTSSKĐ!X55,TTSSKĐ!AD55,TTSSKĐ!AJ55,TTSSKĐ!AP55)))</f>
        <v>0</v>
      </c>
      <c r="L55">
        <f>SUMPRODUCT((MONTH(CHOOSE({1,2,3,4},TTSSKĐ!U55,TTSSKĐ!AA55,TTSSKĐ!AG55,TTSSKĐ!AM55))=12)*(CHOOSE({1,2,3,4},TTSSKĐ!X55,TTSSKĐ!AD55,TTSSKĐ!AJ55,TTSSKĐ!AP55)))</f>
        <v>0</v>
      </c>
    </row>
    <row r="56" spans="1:12">
      <c r="A56">
        <f>SUMPRODUCT((MONTH(CHOOSE({1,2,3,4},TTSSKĐ!U56,TTSSKĐ!AA56,TTSSKĐ!AG56,TTSSKĐ!AM56))=1)*(CHOOSE({1,2,3,4},TTSSKĐ!X56,TTSSKĐ!AD56,TTSSKĐ!AJ56,TTSSKĐ!AP56)))</f>
        <v>0</v>
      </c>
      <c r="B56">
        <f>SUMPRODUCT((MONTH(CHOOSE({1,2,3,4},TTSSKĐ!U56,TTSSKĐ!AA56,TTSSKĐ!AG56,TTSSKĐ!AM56))=2)*(CHOOSE({1,2,3,4},TTSSKĐ!X56,TTSSKĐ!AD56,TTSSKĐ!AJ56,TTSSKĐ!AP56)))</f>
        <v>0</v>
      </c>
      <c r="C56">
        <f>SUMPRODUCT((MONTH(CHOOSE({1,2,3,4},TTSSKĐ!U56,TTSSKĐ!AA56,TTSSKĐ!AG56,TTSSKĐ!AM56))=3)*(CHOOSE({1,2,3,4},TTSSKĐ!X56,TTSSKĐ!AD56,TTSSKĐ!AJ56,TTSSKĐ!AP56)))</f>
        <v>0</v>
      </c>
      <c r="D56">
        <f>SUMPRODUCT((MONTH(CHOOSE({1,2,3,4},TTSSKĐ!U56,TTSSKĐ!AA56,TTSSKĐ!AG56,TTSSKĐ!AM56))=4)*(CHOOSE({1,2,3,4},TTSSKĐ!X56,TTSSKĐ!AD56,TTSSKĐ!AJ56,TTSSKĐ!AP56)))</f>
        <v>0</v>
      </c>
      <c r="E56">
        <f>SUMPRODUCT((MONTH(CHOOSE({1,2,3,4},TTSSKĐ!U56,TTSSKĐ!AA56,TTSSKĐ!AG56,TTSSKĐ!AM56))=5)*(CHOOSE({1,2,3,4},TTSSKĐ!X56,TTSSKĐ!AD56,TTSSKĐ!AJ56,TTSSKĐ!AP56)))</f>
        <v>0</v>
      </c>
      <c r="F56">
        <f>SUMPRODUCT((MONTH(CHOOSE({1,2,3,4},TTSSKĐ!U56,TTSSKĐ!AA56,TTSSKĐ!AG56,TTSSKĐ!AM56))=6)*(CHOOSE({1,2,3,4},TTSSKĐ!X56,TTSSKĐ!AD56,TTSSKĐ!AJ56,TTSSKĐ!AP56)))</f>
        <v>0</v>
      </c>
      <c r="G56">
        <f>SUMPRODUCT((MONTH(CHOOSE({1,2,3,4},TTSSKĐ!U56,TTSSKĐ!AA56,TTSSKĐ!AG56,TTSSKĐ!AM56))=7)*(CHOOSE({1,2,3,4},TTSSKĐ!X56,TTSSKĐ!AD56,TTSSKĐ!AJ56,TTSSKĐ!AP56)))</f>
        <v>0</v>
      </c>
      <c r="H56">
        <f>SUMPRODUCT((MONTH(CHOOSE({1,2,3,4},TTSSKĐ!U56,TTSSKĐ!AA56,TTSSKĐ!AG56,TTSSKĐ!AM56))=8)*(CHOOSE({1,2,3,4},TTSSKĐ!X56,TTSSKĐ!AD56,TTSSKĐ!AJ56,TTSSKĐ!AP56)))</f>
        <v>0</v>
      </c>
      <c r="I56">
        <f>SUMPRODUCT((MONTH(CHOOSE({1,2,3,4},TTSSKĐ!U56,TTSSKĐ!AA56,TTSSKĐ!AG56,TTSSKĐ!AM56))=9)*(CHOOSE({1,2,3,4},TTSSKĐ!X56,TTSSKĐ!AD56,TTSSKĐ!AJ56,TTSSKĐ!AP56)))</f>
        <v>0</v>
      </c>
      <c r="J56">
        <f>SUMPRODUCT((MONTH(CHOOSE({1,2,3,4},TTSSKĐ!U56,TTSSKĐ!AA56,TTSSKĐ!AG56,TTSSKĐ!AM56))=10)*(CHOOSE({1,2,3,4},TTSSKĐ!X56,TTSSKĐ!AD56,TTSSKĐ!AJ56,TTSSKĐ!AP56)))</f>
        <v>0</v>
      </c>
      <c r="K56">
        <f>SUMPRODUCT((MONTH(CHOOSE({1,2,3,4},TTSSKĐ!U56,TTSSKĐ!AA56,TTSSKĐ!AG56,TTSSKĐ!AM56))=11)*(CHOOSE({1,2,3,4},TTSSKĐ!X56,TTSSKĐ!AD56,TTSSKĐ!AJ56,TTSSKĐ!AP56)))</f>
        <v>0</v>
      </c>
      <c r="L56">
        <f>SUMPRODUCT((MONTH(CHOOSE({1,2,3,4},TTSSKĐ!U56,TTSSKĐ!AA56,TTSSKĐ!AG56,TTSSKĐ!AM56))=12)*(CHOOSE({1,2,3,4},TTSSKĐ!X56,TTSSKĐ!AD56,TTSSKĐ!AJ56,TTSSKĐ!AP56)))</f>
        <v>0</v>
      </c>
    </row>
    <row r="57" spans="1:12">
      <c r="A57">
        <f>SUMPRODUCT((MONTH(CHOOSE({1,2,3,4},TTSSKĐ!U57,TTSSKĐ!AA57,TTSSKĐ!AG57,TTSSKĐ!AM57))=1)*(CHOOSE({1,2,3,4},TTSSKĐ!X57,TTSSKĐ!AD57,TTSSKĐ!AJ57,TTSSKĐ!AP57)))</f>
        <v>0</v>
      </c>
      <c r="B57">
        <f>SUMPRODUCT((MONTH(CHOOSE({1,2,3,4},TTSSKĐ!U57,TTSSKĐ!AA57,TTSSKĐ!AG57,TTSSKĐ!AM57))=2)*(CHOOSE({1,2,3,4},TTSSKĐ!X57,TTSSKĐ!AD57,TTSSKĐ!AJ57,TTSSKĐ!AP57)))</f>
        <v>0</v>
      </c>
      <c r="C57">
        <f>SUMPRODUCT((MONTH(CHOOSE({1,2,3,4},TTSSKĐ!U57,TTSSKĐ!AA57,TTSSKĐ!AG57,TTSSKĐ!AM57))=3)*(CHOOSE({1,2,3,4},TTSSKĐ!X57,TTSSKĐ!AD57,TTSSKĐ!AJ57,TTSSKĐ!AP57)))</f>
        <v>0</v>
      </c>
      <c r="D57">
        <f>SUMPRODUCT((MONTH(CHOOSE({1,2,3,4},TTSSKĐ!U57,TTSSKĐ!AA57,TTSSKĐ!AG57,TTSSKĐ!AM57))=4)*(CHOOSE({1,2,3,4},TTSSKĐ!X57,TTSSKĐ!AD57,TTSSKĐ!AJ57,TTSSKĐ!AP57)))</f>
        <v>0</v>
      </c>
      <c r="E57">
        <f>SUMPRODUCT((MONTH(CHOOSE({1,2,3,4},TTSSKĐ!U57,TTSSKĐ!AA57,TTSSKĐ!AG57,TTSSKĐ!AM57))=5)*(CHOOSE({1,2,3,4},TTSSKĐ!X57,TTSSKĐ!AD57,TTSSKĐ!AJ57,TTSSKĐ!AP57)))</f>
        <v>0</v>
      </c>
      <c r="F57">
        <f>SUMPRODUCT((MONTH(CHOOSE({1,2,3,4},TTSSKĐ!U57,TTSSKĐ!AA57,TTSSKĐ!AG57,TTSSKĐ!AM57))=6)*(CHOOSE({1,2,3,4},TTSSKĐ!X57,TTSSKĐ!AD57,TTSSKĐ!AJ57,TTSSKĐ!AP57)))</f>
        <v>0</v>
      </c>
      <c r="G57">
        <f>SUMPRODUCT((MONTH(CHOOSE({1,2,3,4},TTSSKĐ!U57,TTSSKĐ!AA57,TTSSKĐ!AG57,TTSSKĐ!AM57))=7)*(CHOOSE({1,2,3,4},TTSSKĐ!X57,TTSSKĐ!AD57,TTSSKĐ!AJ57,TTSSKĐ!AP57)))</f>
        <v>0</v>
      </c>
      <c r="H57">
        <f>SUMPRODUCT((MONTH(CHOOSE({1,2,3,4},TTSSKĐ!U57,TTSSKĐ!AA57,TTSSKĐ!AG57,TTSSKĐ!AM57))=8)*(CHOOSE({1,2,3,4},TTSSKĐ!X57,TTSSKĐ!AD57,TTSSKĐ!AJ57,TTSSKĐ!AP57)))</f>
        <v>0</v>
      </c>
      <c r="I57">
        <f>SUMPRODUCT((MONTH(CHOOSE({1,2,3,4},TTSSKĐ!U57,TTSSKĐ!AA57,TTSSKĐ!AG57,TTSSKĐ!AM57))=9)*(CHOOSE({1,2,3,4},TTSSKĐ!X57,TTSSKĐ!AD57,TTSSKĐ!AJ57,TTSSKĐ!AP57)))</f>
        <v>0</v>
      </c>
      <c r="J57">
        <f>SUMPRODUCT((MONTH(CHOOSE({1,2,3,4},TTSSKĐ!U57,TTSSKĐ!AA57,TTSSKĐ!AG57,TTSSKĐ!AM57))=10)*(CHOOSE({1,2,3,4},TTSSKĐ!X57,TTSSKĐ!AD57,TTSSKĐ!AJ57,TTSSKĐ!AP57)))</f>
        <v>0</v>
      </c>
      <c r="K57">
        <f>SUMPRODUCT((MONTH(CHOOSE({1,2,3,4},TTSSKĐ!U57,TTSSKĐ!AA57,TTSSKĐ!AG57,TTSSKĐ!AM57))=11)*(CHOOSE({1,2,3,4},TTSSKĐ!X57,TTSSKĐ!AD57,TTSSKĐ!AJ57,TTSSKĐ!AP57)))</f>
        <v>0</v>
      </c>
      <c r="L57">
        <f>SUMPRODUCT((MONTH(CHOOSE({1,2,3,4},TTSSKĐ!U57,TTSSKĐ!AA57,TTSSKĐ!AG57,TTSSKĐ!AM57))=12)*(CHOOSE({1,2,3,4},TTSSKĐ!X57,TTSSKĐ!AD57,TTSSKĐ!AJ57,TTSSKĐ!AP57)))</f>
        <v>0</v>
      </c>
    </row>
    <row r="58" spans="1:12">
      <c r="A58">
        <f>SUMPRODUCT((MONTH(CHOOSE({1,2,3,4},TTSSKĐ!U58,TTSSKĐ!AA58,TTSSKĐ!AG58,TTSSKĐ!AM58))=1)*(CHOOSE({1,2,3,4},TTSSKĐ!X58,TTSSKĐ!AD58,TTSSKĐ!AJ58,TTSSKĐ!AP58)))</f>
        <v>0</v>
      </c>
      <c r="B58">
        <f>SUMPRODUCT((MONTH(CHOOSE({1,2,3,4},TTSSKĐ!U58,TTSSKĐ!AA58,TTSSKĐ!AG58,TTSSKĐ!AM58))=2)*(CHOOSE({1,2,3,4},TTSSKĐ!X58,TTSSKĐ!AD58,TTSSKĐ!AJ58,TTSSKĐ!AP58)))</f>
        <v>0</v>
      </c>
      <c r="C58">
        <f>SUMPRODUCT((MONTH(CHOOSE({1,2,3,4},TTSSKĐ!U58,TTSSKĐ!AA58,TTSSKĐ!AG58,TTSSKĐ!AM58))=3)*(CHOOSE({1,2,3,4},TTSSKĐ!X58,TTSSKĐ!AD58,TTSSKĐ!AJ58,TTSSKĐ!AP58)))</f>
        <v>0</v>
      </c>
      <c r="D58">
        <f>SUMPRODUCT((MONTH(CHOOSE({1,2,3,4},TTSSKĐ!U58,TTSSKĐ!AA58,TTSSKĐ!AG58,TTSSKĐ!AM58))=4)*(CHOOSE({1,2,3,4},TTSSKĐ!X58,TTSSKĐ!AD58,TTSSKĐ!AJ58,TTSSKĐ!AP58)))</f>
        <v>0</v>
      </c>
      <c r="E58">
        <f>SUMPRODUCT((MONTH(CHOOSE({1,2,3,4},TTSSKĐ!U58,TTSSKĐ!AA58,TTSSKĐ!AG58,TTSSKĐ!AM58))=5)*(CHOOSE({1,2,3,4},TTSSKĐ!X58,TTSSKĐ!AD58,TTSSKĐ!AJ58,TTSSKĐ!AP58)))</f>
        <v>0</v>
      </c>
      <c r="F58">
        <f>SUMPRODUCT((MONTH(CHOOSE({1,2,3,4},TTSSKĐ!U58,TTSSKĐ!AA58,TTSSKĐ!AG58,TTSSKĐ!AM58))=6)*(CHOOSE({1,2,3,4},TTSSKĐ!X58,TTSSKĐ!AD58,TTSSKĐ!AJ58,TTSSKĐ!AP58)))</f>
        <v>0</v>
      </c>
      <c r="G58">
        <f>SUMPRODUCT((MONTH(CHOOSE({1,2,3,4},TTSSKĐ!U58,TTSSKĐ!AA58,TTSSKĐ!AG58,TTSSKĐ!AM58))=7)*(CHOOSE({1,2,3,4},TTSSKĐ!X58,TTSSKĐ!AD58,TTSSKĐ!AJ58,TTSSKĐ!AP58)))</f>
        <v>0</v>
      </c>
      <c r="H58">
        <f>SUMPRODUCT((MONTH(CHOOSE({1,2,3,4},TTSSKĐ!U58,TTSSKĐ!AA58,TTSSKĐ!AG58,TTSSKĐ!AM58))=8)*(CHOOSE({1,2,3,4},TTSSKĐ!X58,TTSSKĐ!AD58,TTSSKĐ!AJ58,TTSSKĐ!AP58)))</f>
        <v>0</v>
      </c>
      <c r="I58">
        <f>SUMPRODUCT((MONTH(CHOOSE({1,2,3,4},TTSSKĐ!U58,TTSSKĐ!AA58,TTSSKĐ!AG58,TTSSKĐ!AM58))=9)*(CHOOSE({1,2,3,4},TTSSKĐ!X58,TTSSKĐ!AD58,TTSSKĐ!AJ58,TTSSKĐ!AP58)))</f>
        <v>0</v>
      </c>
      <c r="J58">
        <f>SUMPRODUCT((MONTH(CHOOSE({1,2,3,4},TTSSKĐ!U58,TTSSKĐ!AA58,TTSSKĐ!AG58,TTSSKĐ!AM58))=10)*(CHOOSE({1,2,3,4},TTSSKĐ!X58,TTSSKĐ!AD58,TTSSKĐ!AJ58,TTSSKĐ!AP58)))</f>
        <v>0</v>
      </c>
      <c r="K58">
        <f>SUMPRODUCT((MONTH(CHOOSE({1,2,3,4},TTSSKĐ!U58,TTSSKĐ!AA58,TTSSKĐ!AG58,TTSSKĐ!AM58))=11)*(CHOOSE({1,2,3,4},TTSSKĐ!X58,TTSSKĐ!AD58,TTSSKĐ!AJ58,TTSSKĐ!AP58)))</f>
        <v>0</v>
      </c>
      <c r="L58">
        <f>SUMPRODUCT((MONTH(CHOOSE({1,2,3,4},TTSSKĐ!U58,TTSSKĐ!AA58,TTSSKĐ!AG58,TTSSKĐ!AM58))=12)*(CHOOSE({1,2,3,4},TTSSKĐ!X58,TTSSKĐ!AD58,TTSSKĐ!AJ58,TTSSKĐ!AP58)))</f>
        <v>0</v>
      </c>
    </row>
    <row r="59" spans="1:12">
      <c r="A59">
        <f>SUMPRODUCT((MONTH(CHOOSE({1,2,3,4},TTSSKĐ!U59,TTSSKĐ!AA59,TTSSKĐ!AG59,TTSSKĐ!AM59))=1)*(CHOOSE({1,2,3,4},TTSSKĐ!X59,TTSSKĐ!AD59,TTSSKĐ!AJ59,TTSSKĐ!AP59)))</f>
        <v>0</v>
      </c>
      <c r="B59">
        <f>SUMPRODUCT((MONTH(CHOOSE({1,2,3,4},TTSSKĐ!U59,TTSSKĐ!AA59,TTSSKĐ!AG59,TTSSKĐ!AM59))=2)*(CHOOSE({1,2,3,4},TTSSKĐ!X59,TTSSKĐ!AD59,TTSSKĐ!AJ59,TTSSKĐ!AP59)))</f>
        <v>0</v>
      </c>
      <c r="C59">
        <f>SUMPRODUCT((MONTH(CHOOSE({1,2,3,4},TTSSKĐ!U59,TTSSKĐ!AA59,TTSSKĐ!AG59,TTSSKĐ!AM59))=3)*(CHOOSE({1,2,3,4},TTSSKĐ!X59,TTSSKĐ!AD59,TTSSKĐ!AJ59,TTSSKĐ!AP59)))</f>
        <v>0</v>
      </c>
      <c r="D59">
        <f>SUMPRODUCT((MONTH(CHOOSE({1,2,3,4},TTSSKĐ!U59,TTSSKĐ!AA59,TTSSKĐ!AG59,TTSSKĐ!AM59))=4)*(CHOOSE({1,2,3,4},TTSSKĐ!X59,TTSSKĐ!AD59,TTSSKĐ!AJ59,TTSSKĐ!AP59)))</f>
        <v>0</v>
      </c>
      <c r="E59">
        <f>SUMPRODUCT((MONTH(CHOOSE({1,2,3,4},TTSSKĐ!U59,TTSSKĐ!AA59,TTSSKĐ!AG59,TTSSKĐ!AM59))=5)*(CHOOSE({1,2,3,4},TTSSKĐ!X59,TTSSKĐ!AD59,TTSSKĐ!AJ59,TTSSKĐ!AP59)))</f>
        <v>0</v>
      </c>
      <c r="F59">
        <f>SUMPRODUCT((MONTH(CHOOSE({1,2,3,4},TTSSKĐ!U59,TTSSKĐ!AA59,TTSSKĐ!AG59,TTSSKĐ!AM59))=6)*(CHOOSE({1,2,3,4},TTSSKĐ!X59,TTSSKĐ!AD59,TTSSKĐ!AJ59,TTSSKĐ!AP59)))</f>
        <v>0</v>
      </c>
      <c r="G59">
        <f>SUMPRODUCT((MONTH(CHOOSE({1,2,3,4},TTSSKĐ!U59,TTSSKĐ!AA59,TTSSKĐ!AG59,TTSSKĐ!AM59))=7)*(CHOOSE({1,2,3,4},TTSSKĐ!X59,TTSSKĐ!AD59,TTSSKĐ!AJ59,TTSSKĐ!AP59)))</f>
        <v>0</v>
      </c>
      <c r="H59">
        <f>SUMPRODUCT((MONTH(CHOOSE({1,2,3,4},TTSSKĐ!U59,TTSSKĐ!AA59,TTSSKĐ!AG59,TTSSKĐ!AM59))=8)*(CHOOSE({1,2,3,4},TTSSKĐ!X59,TTSSKĐ!AD59,TTSSKĐ!AJ59,TTSSKĐ!AP59)))</f>
        <v>0</v>
      </c>
      <c r="I59">
        <f>SUMPRODUCT((MONTH(CHOOSE({1,2,3,4},TTSSKĐ!U59,TTSSKĐ!AA59,TTSSKĐ!AG59,TTSSKĐ!AM59))=9)*(CHOOSE({1,2,3,4},TTSSKĐ!X59,TTSSKĐ!AD59,TTSSKĐ!AJ59,TTSSKĐ!AP59)))</f>
        <v>0</v>
      </c>
      <c r="J59">
        <f>SUMPRODUCT((MONTH(CHOOSE({1,2,3,4},TTSSKĐ!U59,TTSSKĐ!AA59,TTSSKĐ!AG59,TTSSKĐ!AM59))=10)*(CHOOSE({1,2,3,4},TTSSKĐ!X59,TTSSKĐ!AD59,TTSSKĐ!AJ59,TTSSKĐ!AP59)))</f>
        <v>0</v>
      </c>
      <c r="K59">
        <f>SUMPRODUCT((MONTH(CHOOSE({1,2,3,4},TTSSKĐ!U59,TTSSKĐ!AA59,TTSSKĐ!AG59,TTSSKĐ!AM59))=11)*(CHOOSE({1,2,3,4},TTSSKĐ!X59,TTSSKĐ!AD59,TTSSKĐ!AJ59,TTSSKĐ!AP59)))</f>
        <v>0</v>
      </c>
      <c r="L59">
        <f>SUMPRODUCT((MONTH(CHOOSE({1,2,3,4},TTSSKĐ!U59,TTSSKĐ!AA59,TTSSKĐ!AG59,TTSSKĐ!AM59))=12)*(CHOOSE({1,2,3,4},TTSSKĐ!X59,TTSSKĐ!AD59,TTSSKĐ!AJ59,TTSSKĐ!AP59)))</f>
        <v>0</v>
      </c>
    </row>
    <row r="60" spans="1:12">
      <c r="A60">
        <f>SUMPRODUCT((MONTH(CHOOSE({1,2,3,4},TTSSKĐ!U60,TTSSKĐ!AA60,TTSSKĐ!AG60,TTSSKĐ!AM60))=1)*(CHOOSE({1,2,3,4},TTSSKĐ!X60,TTSSKĐ!AD60,TTSSKĐ!AJ60,TTSSKĐ!AP60)))</f>
        <v>0</v>
      </c>
      <c r="B60">
        <f>SUMPRODUCT((MONTH(CHOOSE({1,2,3,4},TTSSKĐ!U60,TTSSKĐ!AA60,TTSSKĐ!AG60,TTSSKĐ!AM60))=2)*(CHOOSE({1,2,3,4},TTSSKĐ!X60,TTSSKĐ!AD60,TTSSKĐ!AJ60,TTSSKĐ!AP60)))</f>
        <v>0</v>
      </c>
      <c r="C60">
        <f>SUMPRODUCT((MONTH(CHOOSE({1,2,3,4},TTSSKĐ!U60,TTSSKĐ!AA60,TTSSKĐ!AG60,TTSSKĐ!AM60))=3)*(CHOOSE({1,2,3,4},TTSSKĐ!X60,TTSSKĐ!AD60,TTSSKĐ!AJ60,TTSSKĐ!AP60)))</f>
        <v>0</v>
      </c>
      <c r="D60">
        <f>SUMPRODUCT((MONTH(CHOOSE({1,2,3,4},TTSSKĐ!U60,TTSSKĐ!AA60,TTSSKĐ!AG60,TTSSKĐ!AM60))=4)*(CHOOSE({1,2,3,4},TTSSKĐ!X60,TTSSKĐ!AD60,TTSSKĐ!AJ60,TTSSKĐ!AP60)))</f>
        <v>0</v>
      </c>
      <c r="E60">
        <f>SUMPRODUCT((MONTH(CHOOSE({1,2,3,4},TTSSKĐ!U60,TTSSKĐ!AA60,TTSSKĐ!AG60,TTSSKĐ!AM60))=5)*(CHOOSE({1,2,3,4},TTSSKĐ!X60,TTSSKĐ!AD60,TTSSKĐ!AJ60,TTSSKĐ!AP60)))</f>
        <v>0</v>
      </c>
      <c r="F60">
        <f>SUMPRODUCT((MONTH(CHOOSE({1,2,3,4},TTSSKĐ!U60,TTSSKĐ!AA60,TTSSKĐ!AG60,TTSSKĐ!AM60))=6)*(CHOOSE({1,2,3,4},TTSSKĐ!X60,TTSSKĐ!AD60,TTSSKĐ!AJ60,TTSSKĐ!AP60)))</f>
        <v>0</v>
      </c>
      <c r="G60">
        <f>SUMPRODUCT((MONTH(CHOOSE({1,2,3,4},TTSSKĐ!U60,TTSSKĐ!AA60,TTSSKĐ!AG60,TTSSKĐ!AM60))=7)*(CHOOSE({1,2,3,4},TTSSKĐ!X60,TTSSKĐ!AD60,TTSSKĐ!AJ60,TTSSKĐ!AP60)))</f>
        <v>0</v>
      </c>
      <c r="H60">
        <f>SUMPRODUCT((MONTH(CHOOSE({1,2,3,4},TTSSKĐ!U60,TTSSKĐ!AA60,TTSSKĐ!AG60,TTSSKĐ!AM60))=8)*(CHOOSE({1,2,3,4},TTSSKĐ!X60,TTSSKĐ!AD60,TTSSKĐ!AJ60,TTSSKĐ!AP60)))</f>
        <v>0</v>
      </c>
      <c r="I60">
        <f>SUMPRODUCT((MONTH(CHOOSE({1,2,3,4},TTSSKĐ!U60,TTSSKĐ!AA60,TTSSKĐ!AG60,TTSSKĐ!AM60))=9)*(CHOOSE({1,2,3,4},TTSSKĐ!X60,TTSSKĐ!AD60,TTSSKĐ!AJ60,TTSSKĐ!AP60)))</f>
        <v>0</v>
      </c>
      <c r="J60">
        <f>SUMPRODUCT((MONTH(CHOOSE({1,2,3,4},TTSSKĐ!U60,TTSSKĐ!AA60,TTSSKĐ!AG60,TTSSKĐ!AM60))=10)*(CHOOSE({1,2,3,4},TTSSKĐ!X60,TTSSKĐ!AD60,TTSSKĐ!AJ60,TTSSKĐ!AP60)))</f>
        <v>0</v>
      </c>
      <c r="K60">
        <f>SUMPRODUCT((MONTH(CHOOSE({1,2,3,4},TTSSKĐ!U60,TTSSKĐ!AA60,TTSSKĐ!AG60,TTSSKĐ!AM60))=11)*(CHOOSE({1,2,3,4},TTSSKĐ!X60,TTSSKĐ!AD60,TTSSKĐ!AJ60,TTSSKĐ!AP60)))</f>
        <v>0</v>
      </c>
      <c r="L60">
        <f>SUMPRODUCT((MONTH(CHOOSE({1,2,3,4},TTSSKĐ!U60,TTSSKĐ!AA60,TTSSKĐ!AG60,TTSSKĐ!AM60))=12)*(CHOOSE({1,2,3,4},TTSSKĐ!X60,TTSSKĐ!AD60,TTSSKĐ!AJ60,TTSSKĐ!AP60)))</f>
        <v>0</v>
      </c>
    </row>
    <row r="61" spans="1:12">
      <c r="A61">
        <f>SUMPRODUCT((MONTH(CHOOSE({1,2,3,4},TTSSKĐ!U61,TTSSKĐ!AA61,TTSSKĐ!AG61,TTSSKĐ!AM61))=1)*(CHOOSE({1,2,3,4},TTSSKĐ!X61,TTSSKĐ!AD61,TTSSKĐ!AJ61,TTSSKĐ!AP61)))</f>
        <v>0</v>
      </c>
      <c r="B61">
        <f>SUMPRODUCT((MONTH(CHOOSE({1,2,3,4},TTSSKĐ!U61,TTSSKĐ!AA61,TTSSKĐ!AG61,TTSSKĐ!AM61))=2)*(CHOOSE({1,2,3,4},TTSSKĐ!X61,TTSSKĐ!AD61,TTSSKĐ!AJ61,TTSSKĐ!AP61)))</f>
        <v>0</v>
      </c>
      <c r="C61">
        <f>SUMPRODUCT((MONTH(CHOOSE({1,2,3,4},TTSSKĐ!U61,TTSSKĐ!AA61,TTSSKĐ!AG61,TTSSKĐ!AM61))=3)*(CHOOSE({1,2,3,4},TTSSKĐ!X61,TTSSKĐ!AD61,TTSSKĐ!AJ61,TTSSKĐ!AP61)))</f>
        <v>0</v>
      </c>
      <c r="D61">
        <f>SUMPRODUCT((MONTH(CHOOSE({1,2,3,4},TTSSKĐ!U61,TTSSKĐ!AA61,TTSSKĐ!AG61,TTSSKĐ!AM61))=4)*(CHOOSE({1,2,3,4},TTSSKĐ!X61,TTSSKĐ!AD61,TTSSKĐ!AJ61,TTSSKĐ!AP61)))</f>
        <v>0</v>
      </c>
      <c r="E61">
        <f>SUMPRODUCT((MONTH(CHOOSE({1,2,3,4},TTSSKĐ!U61,TTSSKĐ!AA61,TTSSKĐ!AG61,TTSSKĐ!AM61))=5)*(CHOOSE({1,2,3,4},TTSSKĐ!X61,TTSSKĐ!AD61,TTSSKĐ!AJ61,TTSSKĐ!AP61)))</f>
        <v>0</v>
      </c>
      <c r="F61">
        <f>SUMPRODUCT((MONTH(CHOOSE({1,2,3,4},TTSSKĐ!U61,TTSSKĐ!AA61,TTSSKĐ!AG61,TTSSKĐ!AM61))=6)*(CHOOSE({1,2,3,4},TTSSKĐ!X61,TTSSKĐ!AD61,TTSSKĐ!AJ61,TTSSKĐ!AP61)))</f>
        <v>0</v>
      </c>
      <c r="G61">
        <f>SUMPRODUCT((MONTH(CHOOSE({1,2,3,4},TTSSKĐ!U61,TTSSKĐ!AA61,TTSSKĐ!AG61,TTSSKĐ!AM61))=7)*(CHOOSE({1,2,3,4},TTSSKĐ!X61,TTSSKĐ!AD61,TTSSKĐ!AJ61,TTSSKĐ!AP61)))</f>
        <v>0</v>
      </c>
      <c r="H61">
        <f>SUMPRODUCT((MONTH(CHOOSE({1,2,3,4},TTSSKĐ!U61,TTSSKĐ!AA61,TTSSKĐ!AG61,TTSSKĐ!AM61))=8)*(CHOOSE({1,2,3,4},TTSSKĐ!X61,TTSSKĐ!AD61,TTSSKĐ!AJ61,TTSSKĐ!AP61)))</f>
        <v>0</v>
      </c>
      <c r="I61">
        <f>SUMPRODUCT((MONTH(CHOOSE({1,2,3,4},TTSSKĐ!U61,TTSSKĐ!AA61,TTSSKĐ!AG61,TTSSKĐ!AM61))=9)*(CHOOSE({1,2,3,4},TTSSKĐ!X61,TTSSKĐ!AD61,TTSSKĐ!AJ61,TTSSKĐ!AP61)))</f>
        <v>0</v>
      </c>
      <c r="J61">
        <f>SUMPRODUCT((MONTH(CHOOSE({1,2,3,4},TTSSKĐ!U61,TTSSKĐ!AA61,TTSSKĐ!AG61,TTSSKĐ!AM61))=10)*(CHOOSE({1,2,3,4},TTSSKĐ!X61,TTSSKĐ!AD61,TTSSKĐ!AJ61,TTSSKĐ!AP61)))</f>
        <v>0</v>
      </c>
      <c r="K61">
        <f>SUMPRODUCT((MONTH(CHOOSE({1,2,3,4},TTSSKĐ!U61,TTSSKĐ!AA61,TTSSKĐ!AG61,TTSSKĐ!AM61))=11)*(CHOOSE({1,2,3,4},TTSSKĐ!X61,TTSSKĐ!AD61,TTSSKĐ!AJ61,TTSSKĐ!AP61)))</f>
        <v>0</v>
      </c>
      <c r="L61">
        <f>SUMPRODUCT((MONTH(CHOOSE({1,2,3,4},TTSSKĐ!U61,TTSSKĐ!AA61,TTSSKĐ!AG61,TTSSKĐ!AM61))=12)*(CHOOSE({1,2,3,4},TTSSKĐ!X61,TTSSKĐ!AD61,TTSSKĐ!AJ61,TTSSKĐ!AP61)))</f>
        <v>0</v>
      </c>
    </row>
    <row r="62" spans="1:12">
      <c r="A62">
        <f>SUMPRODUCT((MONTH(CHOOSE({1,2,3,4},TTSSKĐ!U62,TTSSKĐ!AA62,TTSSKĐ!AG62,TTSSKĐ!AM62))=1)*(CHOOSE({1,2,3,4},TTSSKĐ!X62,TTSSKĐ!AD62,TTSSKĐ!AJ62,TTSSKĐ!AP62)))</f>
        <v>0</v>
      </c>
      <c r="B62">
        <f>SUMPRODUCT((MONTH(CHOOSE({1,2,3,4},TTSSKĐ!U62,TTSSKĐ!AA62,TTSSKĐ!AG62,TTSSKĐ!AM62))=2)*(CHOOSE({1,2,3,4},TTSSKĐ!X62,TTSSKĐ!AD62,TTSSKĐ!AJ62,TTSSKĐ!AP62)))</f>
        <v>0</v>
      </c>
      <c r="C62">
        <f>SUMPRODUCT((MONTH(CHOOSE({1,2,3,4},TTSSKĐ!U62,TTSSKĐ!AA62,TTSSKĐ!AG62,TTSSKĐ!AM62))=3)*(CHOOSE({1,2,3,4},TTSSKĐ!X62,TTSSKĐ!AD62,TTSSKĐ!AJ62,TTSSKĐ!AP62)))</f>
        <v>0</v>
      </c>
      <c r="D62">
        <f>SUMPRODUCT((MONTH(CHOOSE({1,2,3,4},TTSSKĐ!U62,TTSSKĐ!AA62,TTSSKĐ!AG62,TTSSKĐ!AM62))=4)*(CHOOSE({1,2,3,4},TTSSKĐ!X62,TTSSKĐ!AD62,TTSSKĐ!AJ62,TTSSKĐ!AP62)))</f>
        <v>0</v>
      </c>
      <c r="E62">
        <f>SUMPRODUCT((MONTH(CHOOSE({1,2,3,4},TTSSKĐ!U62,TTSSKĐ!AA62,TTSSKĐ!AG62,TTSSKĐ!AM62))=5)*(CHOOSE({1,2,3,4},TTSSKĐ!X62,TTSSKĐ!AD62,TTSSKĐ!AJ62,TTSSKĐ!AP62)))</f>
        <v>0</v>
      </c>
      <c r="F62">
        <f>SUMPRODUCT((MONTH(CHOOSE({1,2,3,4},TTSSKĐ!U62,TTSSKĐ!AA62,TTSSKĐ!AG62,TTSSKĐ!AM62))=6)*(CHOOSE({1,2,3,4},TTSSKĐ!X62,TTSSKĐ!AD62,TTSSKĐ!AJ62,TTSSKĐ!AP62)))</f>
        <v>0</v>
      </c>
      <c r="G62">
        <f>SUMPRODUCT((MONTH(CHOOSE({1,2,3,4},TTSSKĐ!U62,TTSSKĐ!AA62,TTSSKĐ!AG62,TTSSKĐ!AM62))=7)*(CHOOSE({1,2,3,4},TTSSKĐ!X62,TTSSKĐ!AD62,TTSSKĐ!AJ62,TTSSKĐ!AP62)))</f>
        <v>0</v>
      </c>
      <c r="H62">
        <f>SUMPRODUCT((MONTH(CHOOSE({1,2,3,4},TTSSKĐ!U62,TTSSKĐ!AA62,TTSSKĐ!AG62,TTSSKĐ!AM62))=8)*(CHOOSE({1,2,3,4},TTSSKĐ!X62,TTSSKĐ!AD62,TTSSKĐ!AJ62,TTSSKĐ!AP62)))</f>
        <v>0</v>
      </c>
      <c r="I62">
        <f>SUMPRODUCT((MONTH(CHOOSE({1,2,3,4},TTSSKĐ!U62,TTSSKĐ!AA62,TTSSKĐ!AG62,TTSSKĐ!AM62))=9)*(CHOOSE({1,2,3,4},TTSSKĐ!X62,TTSSKĐ!AD62,TTSSKĐ!AJ62,TTSSKĐ!AP62)))</f>
        <v>0</v>
      </c>
      <c r="J62">
        <f>SUMPRODUCT((MONTH(CHOOSE({1,2,3,4},TTSSKĐ!U62,TTSSKĐ!AA62,TTSSKĐ!AG62,TTSSKĐ!AM62))=10)*(CHOOSE({1,2,3,4},TTSSKĐ!X62,TTSSKĐ!AD62,TTSSKĐ!AJ62,TTSSKĐ!AP62)))</f>
        <v>0</v>
      </c>
      <c r="K62">
        <f>SUMPRODUCT((MONTH(CHOOSE({1,2,3,4},TTSSKĐ!U62,TTSSKĐ!AA62,TTSSKĐ!AG62,TTSSKĐ!AM62))=11)*(CHOOSE({1,2,3,4},TTSSKĐ!X62,TTSSKĐ!AD62,TTSSKĐ!AJ62,TTSSKĐ!AP62)))</f>
        <v>0</v>
      </c>
      <c r="L62">
        <f>SUMPRODUCT((MONTH(CHOOSE({1,2,3,4},TTSSKĐ!U62,TTSSKĐ!AA62,TTSSKĐ!AG62,TTSSKĐ!AM62))=12)*(CHOOSE({1,2,3,4},TTSSKĐ!X62,TTSSKĐ!AD62,TTSSKĐ!AJ62,TTSSKĐ!AP62)))</f>
        <v>0</v>
      </c>
    </row>
    <row r="63" spans="1:12">
      <c r="A63">
        <f>SUMPRODUCT((MONTH(CHOOSE({1,2,3,4},TTSSKĐ!U63,TTSSKĐ!AA63,TTSSKĐ!AG63,TTSSKĐ!AM63))=1)*(CHOOSE({1,2,3,4},TTSSKĐ!X63,TTSSKĐ!AD63,TTSSKĐ!AJ63,TTSSKĐ!AP63)))</f>
        <v>0</v>
      </c>
      <c r="B63">
        <f>SUMPRODUCT((MONTH(CHOOSE({1,2,3,4},TTSSKĐ!U63,TTSSKĐ!AA63,TTSSKĐ!AG63,TTSSKĐ!AM63))=2)*(CHOOSE({1,2,3,4},TTSSKĐ!X63,TTSSKĐ!AD63,TTSSKĐ!AJ63,TTSSKĐ!AP63)))</f>
        <v>0</v>
      </c>
      <c r="C63">
        <f>SUMPRODUCT((MONTH(CHOOSE({1,2,3,4},TTSSKĐ!U63,TTSSKĐ!AA63,TTSSKĐ!AG63,TTSSKĐ!AM63))=3)*(CHOOSE({1,2,3,4},TTSSKĐ!X63,TTSSKĐ!AD63,TTSSKĐ!AJ63,TTSSKĐ!AP63)))</f>
        <v>0</v>
      </c>
      <c r="D63">
        <f>SUMPRODUCT((MONTH(CHOOSE({1,2,3,4},TTSSKĐ!U63,TTSSKĐ!AA63,TTSSKĐ!AG63,TTSSKĐ!AM63))=4)*(CHOOSE({1,2,3,4},TTSSKĐ!X63,TTSSKĐ!AD63,TTSSKĐ!AJ63,TTSSKĐ!AP63)))</f>
        <v>0</v>
      </c>
      <c r="E63">
        <f>SUMPRODUCT((MONTH(CHOOSE({1,2,3,4},TTSSKĐ!U63,TTSSKĐ!AA63,TTSSKĐ!AG63,TTSSKĐ!AM63))=5)*(CHOOSE({1,2,3,4},TTSSKĐ!X63,TTSSKĐ!AD63,TTSSKĐ!AJ63,TTSSKĐ!AP63)))</f>
        <v>0</v>
      </c>
      <c r="F63">
        <f>SUMPRODUCT((MONTH(CHOOSE({1,2,3,4},TTSSKĐ!U63,TTSSKĐ!AA63,TTSSKĐ!AG63,TTSSKĐ!AM63))=6)*(CHOOSE({1,2,3,4},TTSSKĐ!X63,TTSSKĐ!AD63,TTSSKĐ!AJ63,TTSSKĐ!AP63)))</f>
        <v>0</v>
      </c>
      <c r="G63">
        <f>SUMPRODUCT((MONTH(CHOOSE({1,2,3,4},TTSSKĐ!U63,TTSSKĐ!AA63,TTSSKĐ!AG63,TTSSKĐ!AM63))=7)*(CHOOSE({1,2,3,4},TTSSKĐ!X63,TTSSKĐ!AD63,TTSSKĐ!AJ63,TTSSKĐ!AP63)))</f>
        <v>0</v>
      </c>
      <c r="H63">
        <f>SUMPRODUCT((MONTH(CHOOSE({1,2,3,4},TTSSKĐ!U63,TTSSKĐ!AA63,TTSSKĐ!AG63,TTSSKĐ!AM63))=8)*(CHOOSE({1,2,3,4},TTSSKĐ!X63,TTSSKĐ!AD63,TTSSKĐ!AJ63,TTSSKĐ!AP63)))</f>
        <v>0</v>
      </c>
      <c r="I63">
        <f>SUMPRODUCT((MONTH(CHOOSE({1,2,3,4},TTSSKĐ!U63,TTSSKĐ!AA63,TTSSKĐ!AG63,TTSSKĐ!AM63))=9)*(CHOOSE({1,2,3,4},TTSSKĐ!X63,TTSSKĐ!AD63,TTSSKĐ!AJ63,TTSSKĐ!AP63)))</f>
        <v>0</v>
      </c>
      <c r="J63">
        <f>SUMPRODUCT((MONTH(CHOOSE({1,2,3,4},TTSSKĐ!U63,TTSSKĐ!AA63,TTSSKĐ!AG63,TTSSKĐ!AM63))=10)*(CHOOSE({1,2,3,4},TTSSKĐ!X63,TTSSKĐ!AD63,TTSSKĐ!AJ63,TTSSKĐ!AP63)))</f>
        <v>0</v>
      </c>
      <c r="K63">
        <f>SUMPRODUCT((MONTH(CHOOSE({1,2,3,4},TTSSKĐ!U63,TTSSKĐ!AA63,TTSSKĐ!AG63,TTSSKĐ!AM63))=11)*(CHOOSE({1,2,3,4},TTSSKĐ!X63,TTSSKĐ!AD63,TTSSKĐ!AJ63,TTSSKĐ!AP63)))</f>
        <v>0</v>
      </c>
      <c r="L63">
        <f>SUMPRODUCT((MONTH(CHOOSE({1,2,3,4},TTSSKĐ!U63,TTSSKĐ!AA63,TTSSKĐ!AG63,TTSSKĐ!AM63))=12)*(CHOOSE({1,2,3,4},TTSSKĐ!X63,TTSSKĐ!AD63,TTSSKĐ!AJ63,TTSSKĐ!AP63)))</f>
        <v>0</v>
      </c>
    </row>
    <row r="64" spans="1:12">
      <c r="A64">
        <f>SUMPRODUCT((MONTH(CHOOSE({1,2,3,4},TTSSKĐ!U64,TTSSKĐ!AA64,TTSSKĐ!AG64,TTSSKĐ!AM64))=1)*(CHOOSE({1,2,3,4},TTSSKĐ!X64,TTSSKĐ!AD64,TTSSKĐ!AJ64,TTSSKĐ!AP64)))</f>
        <v>0</v>
      </c>
      <c r="B64">
        <f>SUMPRODUCT((MONTH(CHOOSE({1,2,3,4},TTSSKĐ!U64,TTSSKĐ!AA64,TTSSKĐ!AG64,TTSSKĐ!AM64))=2)*(CHOOSE({1,2,3,4},TTSSKĐ!X64,TTSSKĐ!AD64,TTSSKĐ!AJ64,TTSSKĐ!AP64)))</f>
        <v>0</v>
      </c>
      <c r="C64">
        <f>SUMPRODUCT((MONTH(CHOOSE({1,2,3,4},TTSSKĐ!U64,TTSSKĐ!AA64,TTSSKĐ!AG64,TTSSKĐ!AM64))=3)*(CHOOSE({1,2,3,4},TTSSKĐ!X64,TTSSKĐ!AD64,TTSSKĐ!AJ64,TTSSKĐ!AP64)))</f>
        <v>0</v>
      </c>
      <c r="D64">
        <f>SUMPRODUCT((MONTH(CHOOSE({1,2,3,4},TTSSKĐ!U64,TTSSKĐ!AA64,TTSSKĐ!AG64,TTSSKĐ!AM64))=4)*(CHOOSE({1,2,3,4},TTSSKĐ!X64,TTSSKĐ!AD64,TTSSKĐ!AJ64,TTSSKĐ!AP64)))</f>
        <v>0</v>
      </c>
      <c r="E64">
        <f>SUMPRODUCT((MONTH(CHOOSE({1,2,3,4},TTSSKĐ!U64,TTSSKĐ!AA64,TTSSKĐ!AG64,TTSSKĐ!AM64))=5)*(CHOOSE({1,2,3,4},TTSSKĐ!X64,TTSSKĐ!AD64,TTSSKĐ!AJ64,TTSSKĐ!AP64)))</f>
        <v>0</v>
      </c>
      <c r="F64">
        <f>SUMPRODUCT((MONTH(CHOOSE({1,2,3,4},TTSSKĐ!U64,TTSSKĐ!AA64,TTSSKĐ!AG64,TTSSKĐ!AM64))=6)*(CHOOSE({1,2,3,4},TTSSKĐ!X64,TTSSKĐ!AD64,TTSSKĐ!AJ64,TTSSKĐ!AP64)))</f>
        <v>0</v>
      </c>
      <c r="G64">
        <f>SUMPRODUCT((MONTH(CHOOSE({1,2,3,4},TTSSKĐ!U64,TTSSKĐ!AA64,TTSSKĐ!AG64,TTSSKĐ!AM64))=7)*(CHOOSE({1,2,3,4},TTSSKĐ!X64,TTSSKĐ!AD64,TTSSKĐ!AJ64,TTSSKĐ!AP64)))</f>
        <v>0</v>
      </c>
      <c r="H64">
        <f>SUMPRODUCT((MONTH(CHOOSE({1,2,3,4},TTSSKĐ!U64,TTSSKĐ!AA64,TTSSKĐ!AG64,TTSSKĐ!AM64))=8)*(CHOOSE({1,2,3,4},TTSSKĐ!X64,TTSSKĐ!AD64,TTSSKĐ!AJ64,TTSSKĐ!AP64)))</f>
        <v>0</v>
      </c>
      <c r="I64">
        <f>SUMPRODUCT((MONTH(CHOOSE({1,2,3,4},TTSSKĐ!U64,TTSSKĐ!AA64,TTSSKĐ!AG64,TTSSKĐ!AM64))=9)*(CHOOSE({1,2,3,4},TTSSKĐ!X64,TTSSKĐ!AD64,TTSSKĐ!AJ64,TTSSKĐ!AP64)))</f>
        <v>0</v>
      </c>
      <c r="J64">
        <f>SUMPRODUCT((MONTH(CHOOSE({1,2,3,4},TTSSKĐ!U64,TTSSKĐ!AA64,TTSSKĐ!AG64,TTSSKĐ!AM64))=10)*(CHOOSE({1,2,3,4},TTSSKĐ!X64,TTSSKĐ!AD64,TTSSKĐ!AJ64,TTSSKĐ!AP64)))</f>
        <v>0</v>
      </c>
      <c r="K64">
        <f>SUMPRODUCT((MONTH(CHOOSE({1,2,3,4},TTSSKĐ!U64,TTSSKĐ!AA64,TTSSKĐ!AG64,TTSSKĐ!AM64))=11)*(CHOOSE({1,2,3,4},TTSSKĐ!X64,TTSSKĐ!AD64,TTSSKĐ!AJ64,TTSSKĐ!AP64)))</f>
        <v>0</v>
      </c>
      <c r="L64">
        <f>SUMPRODUCT((MONTH(CHOOSE({1,2,3,4},TTSSKĐ!U64,TTSSKĐ!AA64,TTSSKĐ!AG64,TTSSKĐ!AM64))=12)*(CHOOSE({1,2,3,4},TTSSKĐ!X64,TTSSKĐ!AD64,TTSSKĐ!AJ64,TTSSKĐ!AP64)))</f>
        <v>0</v>
      </c>
    </row>
    <row r="65" spans="1:12">
      <c r="A65">
        <f>SUMPRODUCT((MONTH(CHOOSE({1,2,3,4},TTSSKĐ!U65,TTSSKĐ!AA65,TTSSKĐ!AG65,TTSSKĐ!AM65))=1)*(CHOOSE({1,2,3,4},TTSSKĐ!X65,TTSSKĐ!AD65,TTSSKĐ!AJ65,TTSSKĐ!AP65)))</f>
        <v>0</v>
      </c>
      <c r="B65">
        <f>SUMPRODUCT((MONTH(CHOOSE({1,2,3,4},TTSSKĐ!U65,TTSSKĐ!AA65,TTSSKĐ!AG65,TTSSKĐ!AM65))=2)*(CHOOSE({1,2,3,4},TTSSKĐ!X65,TTSSKĐ!AD65,TTSSKĐ!AJ65,TTSSKĐ!AP65)))</f>
        <v>0</v>
      </c>
      <c r="C65">
        <f>SUMPRODUCT((MONTH(CHOOSE({1,2,3,4},TTSSKĐ!U65,TTSSKĐ!AA65,TTSSKĐ!AG65,TTSSKĐ!AM65))=3)*(CHOOSE({1,2,3,4},TTSSKĐ!X65,TTSSKĐ!AD65,TTSSKĐ!AJ65,TTSSKĐ!AP65)))</f>
        <v>0</v>
      </c>
      <c r="D65">
        <f>SUMPRODUCT((MONTH(CHOOSE({1,2,3,4},TTSSKĐ!U65,TTSSKĐ!AA65,TTSSKĐ!AG65,TTSSKĐ!AM65))=4)*(CHOOSE({1,2,3,4},TTSSKĐ!X65,TTSSKĐ!AD65,TTSSKĐ!AJ65,TTSSKĐ!AP65)))</f>
        <v>0</v>
      </c>
      <c r="E65">
        <f>SUMPRODUCT((MONTH(CHOOSE({1,2,3,4},TTSSKĐ!U65,TTSSKĐ!AA65,TTSSKĐ!AG65,TTSSKĐ!AM65))=5)*(CHOOSE({1,2,3,4},TTSSKĐ!X65,TTSSKĐ!AD65,TTSSKĐ!AJ65,TTSSKĐ!AP65)))</f>
        <v>0</v>
      </c>
      <c r="F65">
        <f>SUMPRODUCT((MONTH(CHOOSE({1,2,3,4},TTSSKĐ!U65,TTSSKĐ!AA65,TTSSKĐ!AG65,TTSSKĐ!AM65))=6)*(CHOOSE({1,2,3,4},TTSSKĐ!X65,TTSSKĐ!AD65,TTSSKĐ!AJ65,TTSSKĐ!AP65)))</f>
        <v>0</v>
      </c>
      <c r="G65">
        <f>SUMPRODUCT((MONTH(CHOOSE({1,2,3,4},TTSSKĐ!U65,TTSSKĐ!AA65,TTSSKĐ!AG65,TTSSKĐ!AM65))=7)*(CHOOSE({1,2,3,4},TTSSKĐ!X65,TTSSKĐ!AD65,TTSSKĐ!AJ65,TTSSKĐ!AP65)))</f>
        <v>0</v>
      </c>
      <c r="H65">
        <f>SUMPRODUCT((MONTH(CHOOSE({1,2,3,4},TTSSKĐ!U65,TTSSKĐ!AA65,TTSSKĐ!AG65,TTSSKĐ!AM65))=8)*(CHOOSE({1,2,3,4},TTSSKĐ!X65,TTSSKĐ!AD65,TTSSKĐ!AJ65,TTSSKĐ!AP65)))</f>
        <v>0</v>
      </c>
      <c r="I65">
        <f>SUMPRODUCT((MONTH(CHOOSE({1,2,3,4},TTSSKĐ!U65,TTSSKĐ!AA65,TTSSKĐ!AG65,TTSSKĐ!AM65))=9)*(CHOOSE({1,2,3,4},TTSSKĐ!X65,TTSSKĐ!AD65,TTSSKĐ!AJ65,TTSSKĐ!AP65)))</f>
        <v>0</v>
      </c>
      <c r="J65">
        <f>SUMPRODUCT((MONTH(CHOOSE({1,2,3,4},TTSSKĐ!U65,TTSSKĐ!AA65,TTSSKĐ!AG65,TTSSKĐ!AM65))=10)*(CHOOSE({1,2,3,4},TTSSKĐ!X65,TTSSKĐ!AD65,TTSSKĐ!AJ65,TTSSKĐ!AP65)))</f>
        <v>0</v>
      </c>
      <c r="K65">
        <f>SUMPRODUCT((MONTH(CHOOSE({1,2,3,4},TTSSKĐ!U65,TTSSKĐ!AA65,TTSSKĐ!AG65,TTSSKĐ!AM65))=11)*(CHOOSE({1,2,3,4},TTSSKĐ!X65,TTSSKĐ!AD65,TTSSKĐ!AJ65,TTSSKĐ!AP65)))</f>
        <v>0</v>
      </c>
      <c r="L65">
        <f>SUMPRODUCT((MONTH(CHOOSE({1,2,3,4},TTSSKĐ!U65,TTSSKĐ!AA65,TTSSKĐ!AG65,TTSSKĐ!AM65))=12)*(CHOOSE({1,2,3,4},TTSSKĐ!X65,TTSSKĐ!AD65,TTSSKĐ!AJ65,TTSSKĐ!AP65)))</f>
        <v>0</v>
      </c>
    </row>
    <row r="66" spans="1:12">
      <c r="A66">
        <f>SUMPRODUCT((MONTH(CHOOSE({1,2,3,4},TTSSKĐ!U66,TTSSKĐ!AA66,TTSSKĐ!AG66,TTSSKĐ!AM66))=1)*(CHOOSE({1,2,3,4},TTSSKĐ!X66,TTSSKĐ!AD66,TTSSKĐ!AJ66,TTSSKĐ!AP66)))</f>
        <v>0</v>
      </c>
      <c r="B66">
        <f>SUMPRODUCT((MONTH(CHOOSE({1,2,3,4},TTSSKĐ!U66,TTSSKĐ!AA66,TTSSKĐ!AG66,TTSSKĐ!AM66))=2)*(CHOOSE({1,2,3,4},TTSSKĐ!X66,TTSSKĐ!AD66,TTSSKĐ!AJ66,TTSSKĐ!AP66)))</f>
        <v>0</v>
      </c>
      <c r="C66">
        <f>SUMPRODUCT((MONTH(CHOOSE({1,2,3,4},TTSSKĐ!U66,TTSSKĐ!AA66,TTSSKĐ!AG66,TTSSKĐ!AM66))=3)*(CHOOSE({1,2,3,4},TTSSKĐ!X66,TTSSKĐ!AD66,TTSSKĐ!AJ66,TTSSKĐ!AP66)))</f>
        <v>0</v>
      </c>
      <c r="D66">
        <f>SUMPRODUCT((MONTH(CHOOSE({1,2,3,4},TTSSKĐ!U66,TTSSKĐ!AA66,TTSSKĐ!AG66,TTSSKĐ!AM66))=4)*(CHOOSE({1,2,3,4},TTSSKĐ!X66,TTSSKĐ!AD66,TTSSKĐ!AJ66,TTSSKĐ!AP66)))</f>
        <v>0</v>
      </c>
      <c r="E66">
        <f>SUMPRODUCT((MONTH(CHOOSE({1,2,3,4},TTSSKĐ!U66,TTSSKĐ!AA66,TTSSKĐ!AG66,TTSSKĐ!AM66))=5)*(CHOOSE({1,2,3,4},TTSSKĐ!X66,TTSSKĐ!AD66,TTSSKĐ!AJ66,TTSSKĐ!AP66)))</f>
        <v>0</v>
      </c>
      <c r="F66">
        <f>SUMPRODUCT((MONTH(CHOOSE({1,2,3,4},TTSSKĐ!U66,TTSSKĐ!AA66,TTSSKĐ!AG66,TTSSKĐ!AM66))=6)*(CHOOSE({1,2,3,4},TTSSKĐ!X66,TTSSKĐ!AD66,TTSSKĐ!AJ66,TTSSKĐ!AP66)))</f>
        <v>0</v>
      </c>
      <c r="G66">
        <f>SUMPRODUCT((MONTH(CHOOSE({1,2,3,4},TTSSKĐ!U66,TTSSKĐ!AA66,TTSSKĐ!AG66,TTSSKĐ!AM66))=7)*(CHOOSE({1,2,3,4},TTSSKĐ!X66,TTSSKĐ!AD66,TTSSKĐ!AJ66,TTSSKĐ!AP66)))</f>
        <v>0</v>
      </c>
      <c r="H66">
        <f>SUMPRODUCT((MONTH(CHOOSE({1,2,3,4},TTSSKĐ!U66,TTSSKĐ!AA66,TTSSKĐ!AG66,TTSSKĐ!AM66))=8)*(CHOOSE({1,2,3,4},TTSSKĐ!X66,TTSSKĐ!AD66,TTSSKĐ!AJ66,TTSSKĐ!AP66)))</f>
        <v>0</v>
      </c>
      <c r="I66">
        <f>SUMPRODUCT((MONTH(CHOOSE({1,2,3,4},TTSSKĐ!U66,TTSSKĐ!AA66,TTSSKĐ!AG66,TTSSKĐ!AM66))=9)*(CHOOSE({1,2,3,4},TTSSKĐ!X66,TTSSKĐ!AD66,TTSSKĐ!AJ66,TTSSKĐ!AP66)))</f>
        <v>0</v>
      </c>
      <c r="J66">
        <f>SUMPRODUCT((MONTH(CHOOSE({1,2,3,4},TTSSKĐ!U66,TTSSKĐ!AA66,TTSSKĐ!AG66,TTSSKĐ!AM66))=10)*(CHOOSE({1,2,3,4},TTSSKĐ!X66,TTSSKĐ!AD66,TTSSKĐ!AJ66,TTSSKĐ!AP66)))</f>
        <v>0</v>
      </c>
      <c r="K66">
        <f>SUMPRODUCT((MONTH(CHOOSE({1,2,3,4},TTSSKĐ!U66,TTSSKĐ!AA66,TTSSKĐ!AG66,TTSSKĐ!AM66))=11)*(CHOOSE({1,2,3,4},TTSSKĐ!X66,TTSSKĐ!AD66,TTSSKĐ!AJ66,TTSSKĐ!AP66)))</f>
        <v>0</v>
      </c>
      <c r="L66">
        <f>SUMPRODUCT((MONTH(CHOOSE({1,2,3,4},TTSSKĐ!U66,TTSSKĐ!AA66,TTSSKĐ!AG66,TTSSKĐ!AM66))=12)*(CHOOSE({1,2,3,4},TTSSKĐ!X66,TTSSKĐ!AD66,TTSSKĐ!AJ66,TTSSKĐ!AP66)))</f>
        <v>0</v>
      </c>
    </row>
    <row r="67" spans="1:12">
      <c r="A67">
        <f>SUMPRODUCT((MONTH(CHOOSE({1,2,3,4},TTSSKĐ!U67,TTSSKĐ!AA67,TTSSKĐ!AG67,TTSSKĐ!AM67))=1)*(CHOOSE({1,2,3,4},TTSSKĐ!X67,TTSSKĐ!AD67,TTSSKĐ!AJ67,TTSSKĐ!AP67)))</f>
        <v>0</v>
      </c>
      <c r="B67">
        <f>SUMPRODUCT((MONTH(CHOOSE({1,2,3,4},TTSSKĐ!U67,TTSSKĐ!AA67,TTSSKĐ!AG67,TTSSKĐ!AM67))=2)*(CHOOSE({1,2,3,4},TTSSKĐ!X67,TTSSKĐ!AD67,TTSSKĐ!AJ67,TTSSKĐ!AP67)))</f>
        <v>0</v>
      </c>
      <c r="C67">
        <f>SUMPRODUCT((MONTH(CHOOSE({1,2,3,4},TTSSKĐ!U67,TTSSKĐ!AA67,TTSSKĐ!AG67,TTSSKĐ!AM67))=3)*(CHOOSE({1,2,3,4},TTSSKĐ!X67,TTSSKĐ!AD67,TTSSKĐ!AJ67,TTSSKĐ!AP67)))</f>
        <v>0</v>
      </c>
      <c r="D67">
        <f>SUMPRODUCT((MONTH(CHOOSE({1,2,3,4},TTSSKĐ!U67,TTSSKĐ!AA67,TTSSKĐ!AG67,TTSSKĐ!AM67))=4)*(CHOOSE({1,2,3,4},TTSSKĐ!X67,TTSSKĐ!AD67,TTSSKĐ!AJ67,TTSSKĐ!AP67)))</f>
        <v>0</v>
      </c>
      <c r="E67">
        <f>SUMPRODUCT((MONTH(CHOOSE({1,2,3,4},TTSSKĐ!U67,TTSSKĐ!AA67,TTSSKĐ!AG67,TTSSKĐ!AM67))=5)*(CHOOSE({1,2,3,4},TTSSKĐ!X67,TTSSKĐ!AD67,TTSSKĐ!AJ67,TTSSKĐ!AP67)))</f>
        <v>0</v>
      </c>
      <c r="F67">
        <f>SUMPRODUCT((MONTH(CHOOSE({1,2,3,4},TTSSKĐ!U67,TTSSKĐ!AA67,TTSSKĐ!AG67,TTSSKĐ!AM67))=6)*(CHOOSE({1,2,3,4},TTSSKĐ!X67,TTSSKĐ!AD67,TTSSKĐ!AJ67,TTSSKĐ!AP67)))</f>
        <v>0</v>
      </c>
      <c r="G67">
        <f>SUMPRODUCT((MONTH(CHOOSE({1,2,3,4},TTSSKĐ!U67,TTSSKĐ!AA67,TTSSKĐ!AG67,TTSSKĐ!AM67))=7)*(CHOOSE({1,2,3,4},TTSSKĐ!X67,TTSSKĐ!AD67,TTSSKĐ!AJ67,TTSSKĐ!AP67)))</f>
        <v>0</v>
      </c>
      <c r="H67">
        <f>SUMPRODUCT((MONTH(CHOOSE({1,2,3,4},TTSSKĐ!U67,TTSSKĐ!AA67,TTSSKĐ!AG67,TTSSKĐ!AM67))=8)*(CHOOSE({1,2,3,4},TTSSKĐ!X67,TTSSKĐ!AD67,TTSSKĐ!AJ67,TTSSKĐ!AP67)))</f>
        <v>0</v>
      </c>
      <c r="I67">
        <f>SUMPRODUCT((MONTH(CHOOSE({1,2,3,4},TTSSKĐ!U67,TTSSKĐ!AA67,TTSSKĐ!AG67,TTSSKĐ!AM67))=9)*(CHOOSE({1,2,3,4},TTSSKĐ!X67,TTSSKĐ!AD67,TTSSKĐ!AJ67,TTSSKĐ!AP67)))</f>
        <v>0</v>
      </c>
      <c r="J67">
        <f>SUMPRODUCT((MONTH(CHOOSE({1,2,3,4},TTSSKĐ!U67,TTSSKĐ!AA67,TTSSKĐ!AG67,TTSSKĐ!AM67))=10)*(CHOOSE({1,2,3,4},TTSSKĐ!X67,TTSSKĐ!AD67,TTSSKĐ!AJ67,TTSSKĐ!AP67)))</f>
        <v>0</v>
      </c>
      <c r="K67">
        <f>SUMPRODUCT((MONTH(CHOOSE({1,2,3,4},TTSSKĐ!U67,TTSSKĐ!AA67,TTSSKĐ!AG67,TTSSKĐ!AM67))=11)*(CHOOSE({1,2,3,4},TTSSKĐ!X67,TTSSKĐ!AD67,TTSSKĐ!AJ67,TTSSKĐ!AP67)))</f>
        <v>0</v>
      </c>
      <c r="L67">
        <f>SUMPRODUCT((MONTH(CHOOSE({1,2,3,4},TTSSKĐ!U67,TTSSKĐ!AA67,TTSSKĐ!AG67,TTSSKĐ!AM67))=12)*(CHOOSE({1,2,3,4},TTSSKĐ!X67,TTSSKĐ!AD67,TTSSKĐ!AJ67,TTSSKĐ!AP67)))</f>
        <v>0</v>
      </c>
    </row>
    <row r="68" spans="1:12">
      <c r="A68">
        <f>SUMPRODUCT((MONTH(CHOOSE({1,2,3,4},TTSSKĐ!U68,TTSSKĐ!AA68,TTSSKĐ!AG68,TTSSKĐ!AM68))=1)*(CHOOSE({1,2,3,4},TTSSKĐ!X68,TTSSKĐ!AD68,TTSSKĐ!AJ68,TTSSKĐ!AP68)))</f>
        <v>0</v>
      </c>
      <c r="B68">
        <f>SUMPRODUCT((MONTH(CHOOSE({1,2,3,4},TTSSKĐ!U68,TTSSKĐ!AA68,TTSSKĐ!AG68,TTSSKĐ!AM68))=2)*(CHOOSE({1,2,3,4},TTSSKĐ!X68,TTSSKĐ!AD68,TTSSKĐ!AJ68,TTSSKĐ!AP68)))</f>
        <v>0</v>
      </c>
      <c r="C68">
        <f>SUMPRODUCT((MONTH(CHOOSE({1,2,3,4},TTSSKĐ!U68,TTSSKĐ!AA68,TTSSKĐ!AG68,TTSSKĐ!AM68))=3)*(CHOOSE({1,2,3,4},TTSSKĐ!X68,TTSSKĐ!AD68,TTSSKĐ!AJ68,TTSSKĐ!AP68)))</f>
        <v>0</v>
      </c>
      <c r="D68">
        <f>SUMPRODUCT((MONTH(CHOOSE({1,2,3,4},TTSSKĐ!U68,TTSSKĐ!AA68,TTSSKĐ!AG68,TTSSKĐ!AM68))=4)*(CHOOSE({1,2,3,4},TTSSKĐ!X68,TTSSKĐ!AD68,TTSSKĐ!AJ68,TTSSKĐ!AP68)))</f>
        <v>0</v>
      </c>
      <c r="E68">
        <f>SUMPRODUCT((MONTH(CHOOSE({1,2,3,4},TTSSKĐ!U68,TTSSKĐ!AA68,TTSSKĐ!AG68,TTSSKĐ!AM68))=5)*(CHOOSE({1,2,3,4},TTSSKĐ!X68,TTSSKĐ!AD68,TTSSKĐ!AJ68,TTSSKĐ!AP68)))</f>
        <v>0</v>
      </c>
      <c r="F68">
        <f>SUMPRODUCT((MONTH(CHOOSE({1,2,3,4},TTSSKĐ!U68,TTSSKĐ!AA68,TTSSKĐ!AG68,TTSSKĐ!AM68))=6)*(CHOOSE({1,2,3,4},TTSSKĐ!X68,TTSSKĐ!AD68,TTSSKĐ!AJ68,TTSSKĐ!AP68)))</f>
        <v>0</v>
      </c>
      <c r="G68">
        <f>SUMPRODUCT((MONTH(CHOOSE({1,2,3,4},TTSSKĐ!U68,TTSSKĐ!AA68,TTSSKĐ!AG68,TTSSKĐ!AM68))=7)*(CHOOSE({1,2,3,4},TTSSKĐ!X68,TTSSKĐ!AD68,TTSSKĐ!AJ68,TTSSKĐ!AP68)))</f>
        <v>0</v>
      </c>
      <c r="H68">
        <f>SUMPRODUCT((MONTH(CHOOSE({1,2,3,4},TTSSKĐ!U68,TTSSKĐ!AA68,TTSSKĐ!AG68,TTSSKĐ!AM68))=8)*(CHOOSE({1,2,3,4},TTSSKĐ!X68,TTSSKĐ!AD68,TTSSKĐ!AJ68,TTSSKĐ!AP68)))</f>
        <v>0</v>
      </c>
      <c r="I68">
        <f>SUMPRODUCT((MONTH(CHOOSE({1,2,3,4},TTSSKĐ!U68,TTSSKĐ!AA68,TTSSKĐ!AG68,TTSSKĐ!AM68))=9)*(CHOOSE({1,2,3,4},TTSSKĐ!X68,TTSSKĐ!AD68,TTSSKĐ!AJ68,TTSSKĐ!AP68)))</f>
        <v>0</v>
      </c>
      <c r="J68">
        <f>SUMPRODUCT((MONTH(CHOOSE({1,2,3,4},TTSSKĐ!U68,TTSSKĐ!AA68,TTSSKĐ!AG68,TTSSKĐ!AM68))=10)*(CHOOSE({1,2,3,4},TTSSKĐ!X68,TTSSKĐ!AD68,TTSSKĐ!AJ68,TTSSKĐ!AP68)))</f>
        <v>0</v>
      </c>
      <c r="K68">
        <f>SUMPRODUCT((MONTH(CHOOSE({1,2,3,4},TTSSKĐ!U68,TTSSKĐ!AA68,TTSSKĐ!AG68,TTSSKĐ!AM68))=11)*(CHOOSE({1,2,3,4},TTSSKĐ!X68,TTSSKĐ!AD68,TTSSKĐ!AJ68,TTSSKĐ!AP68)))</f>
        <v>0</v>
      </c>
      <c r="L68">
        <f>SUMPRODUCT((MONTH(CHOOSE({1,2,3,4},TTSSKĐ!U68,TTSSKĐ!AA68,TTSSKĐ!AG68,TTSSKĐ!AM68))=12)*(CHOOSE({1,2,3,4},TTSSKĐ!X68,TTSSKĐ!AD68,TTSSKĐ!AJ68,TTSSKĐ!AP68)))</f>
        <v>0</v>
      </c>
    </row>
    <row r="69" spans="1:12">
      <c r="A69">
        <f>SUMPRODUCT((MONTH(CHOOSE({1,2,3,4},TTSSKĐ!U69,TTSSKĐ!AA69,TTSSKĐ!AG69,TTSSKĐ!AM69))=1)*(CHOOSE({1,2,3,4},TTSSKĐ!X69,TTSSKĐ!AD69,TTSSKĐ!AJ69,TTSSKĐ!AP69)))</f>
        <v>0</v>
      </c>
      <c r="B69">
        <f>SUMPRODUCT((MONTH(CHOOSE({1,2,3,4},TTSSKĐ!U69,TTSSKĐ!AA69,TTSSKĐ!AG69,TTSSKĐ!AM69))=2)*(CHOOSE({1,2,3,4},TTSSKĐ!X69,TTSSKĐ!AD69,TTSSKĐ!AJ69,TTSSKĐ!AP69)))</f>
        <v>0</v>
      </c>
      <c r="C69">
        <f>SUMPRODUCT((MONTH(CHOOSE({1,2,3,4},TTSSKĐ!U69,TTSSKĐ!AA69,TTSSKĐ!AG69,TTSSKĐ!AM69))=3)*(CHOOSE({1,2,3,4},TTSSKĐ!X69,TTSSKĐ!AD69,TTSSKĐ!AJ69,TTSSKĐ!AP69)))</f>
        <v>0</v>
      </c>
      <c r="D69">
        <f>SUMPRODUCT((MONTH(CHOOSE({1,2,3,4},TTSSKĐ!U69,TTSSKĐ!AA69,TTSSKĐ!AG69,TTSSKĐ!AM69))=4)*(CHOOSE({1,2,3,4},TTSSKĐ!X69,TTSSKĐ!AD69,TTSSKĐ!AJ69,TTSSKĐ!AP69)))</f>
        <v>0</v>
      </c>
      <c r="E69">
        <f>SUMPRODUCT((MONTH(CHOOSE({1,2,3,4},TTSSKĐ!U69,TTSSKĐ!AA69,TTSSKĐ!AG69,TTSSKĐ!AM69))=5)*(CHOOSE({1,2,3,4},TTSSKĐ!X69,TTSSKĐ!AD69,TTSSKĐ!AJ69,TTSSKĐ!AP69)))</f>
        <v>0</v>
      </c>
      <c r="F69">
        <f>SUMPRODUCT((MONTH(CHOOSE({1,2,3,4},TTSSKĐ!U69,TTSSKĐ!AA69,TTSSKĐ!AG69,TTSSKĐ!AM69))=6)*(CHOOSE({1,2,3,4},TTSSKĐ!X69,TTSSKĐ!AD69,TTSSKĐ!AJ69,TTSSKĐ!AP69)))</f>
        <v>0</v>
      </c>
      <c r="G69">
        <f>SUMPRODUCT((MONTH(CHOOSE({1,2,3,4},TTSSKĐ!U69,TTSSKĐ!AA69,TTSSKĐ!AG69,TTSSKĐ!AM69))=7)*(CHOOSE({1,2,3,4},TTSSKĐ!X69,TTSSKĐ!AD69,TTSSKĐ!AJ69,TTSSKĐ!AP69)))</f>
        <v>0</v>
      </c>
      <c r="H69">
        <f>SUMPRODUCT((MONTH(CHOOSE({1,2,3,4},TTSSKĐ!U69,TTSSKĐ!AA69,TTSSKĐ!AG69,TTSSKĐ!AM69))=8)*(CHOOSE({1,2,3,4},TTSSKĐ!X69,TTSSKĐ!AD69,TTSSKĐ!AJ69,TTSSKĐ!AP69)))</f>
        <v>0</v>
      </c>
      <c r="I69">
        <f>SUMPRODUCT((MONTH(CHOOSE({1,2,3,4},TTSSKĐ!U69,TTSSKĐ!AA69,TTSSKĐ!AG69,TTSSKĐ!AM69))=9)*(CHOOSE({1,2,3,4},TTSSKĐ!X69,TTSSKĐ!AD69,TTSSKĐ!AJ69,TTSSKĐ!AP69)))</f>
        <v>0</v>
      </c>
      <c r="J69">
        <f>SUMPRODUCT((MONTH(CHOOSE({1,2,3,4},TTSSKĐ!U69,TTSSKĐ!AA69,TTSSKĐ!AG69,TTSSKĐ!AM69))=10)*(CHOOSE({1,2,3,4},TTSSKĐ!X69,TTSSKĐ!AD69,TTSSKĐ!AJ69,TTSSKĐ!AP69)))</f>
        <v>0</v>
      </c>
      <c r="K69">
        <f>SUMPRODUCT((MONTH(CHOOSE({1,2,3,4},TTSSKĐ!U69,TTSSKĐ!AA69,TTSSKĐ!AG69,TTSSKĐ!AM69))=11)*(CHOOSE({1,2,3,4},TTSSKĐ!X69,TTSSKĐ!AD69,TTSSKĐ!AJ69,TTSSKĐ!AP69)))</f>
        <v>0</v>
      </c>
      <c r="L69">
        <f>SUMPRODUCT((MONTH(CHOOSE({1,2,3,4},TTSSKĐ!U69,TTSSKĐ!AA69,TTSSKĐ!AG69,TTSSKĐ!AM69))=12)*(CHOOSE({1,2,3,4},TTSSKĐ!X69,TTSSKĐ!AD69,TTSSKĐ!AJ69,TTSSKĐ!AP69)))</f>
        <v>0</v>
      </c>
    </row>
    <row r="70" spans="1:12">
      <c r="A70">
        <f>SUMPRODUCT((MONTH(CHOOSE({1,2,3,4},TTSSKĐ!U70,TTSSKĐ!AA70,TTSSKĐ!AG70,TTSSKĐ!AM70))=1)*(CHOOSE({1,2,3,4},TTSSKĐ!X70,TTSSKĐ!AD70,TTSSKĐ!AJ70,TTSSKĐ!AP70)))</f>
        <v>0</v>
      </c>
      <c r="B70">
        <f>SUMPRODUCT((MONTH(CHOOSE({1,2,3,4},TTSSKĐ!U70,TTSSKĐ!AA70,TTSSKĐ!AG70,TTSSKĐ!AM70))=2)*(CHOOSE({1,2,3,4},TTSSKĐ!X70,TTSSKĐ!AD70,TTSSKĐ!AJ70,TTSSKĐ!AP70)))</f>
        <v>0</v>
      </c>
      <c r="C70">
        <f>SUMPRODUCT((MONTH(CHOOSE({1,2,3,4},TTSSKĐ!U70,TTSSKĐ!AA70,TTSSKĐ!AG70,TTSSKĐ!AM70))=3)*(CHOOSE({1,2,3,4},TTSSKĐ!X70,TTSSKĐ!AD70,TTSSKĐ!AJ70,TTSSKĐ!AP70)))</f>
        <v>0</v>
      </c>
      <c r="D70">
        <f>SUMPRODUCT((MONTH(CHOOSE({1,2,3,4},TTSSKĐ!U70,TTSSKĐ!AA70,TTSSKĐ!AG70,TTSSKĐ!AM70))=4)*(CHOOSE({1,2,3,4},TTSSKĐ!X70,TTSSKĐ!AD70,TTSSKĐ!AJ70,TTSSKĐ!AP70)))</f>
        <v>0</v>
      </c>
      <c r="E70">
        <f>SUMPRODUCT((MONTH(CHOOSE({1,2,3,4},TTSSKĐ!U70,TTSSKĐ!AA70,TTSSKĐ!AG70,TTSSKĐ!AM70))=5)*(CHOOSE({1,2,3,4},TTSSKĐ!X70,TTSSKĐ!AD70,TTSSKĐ!AJ70,TTSSKĐ!AP70)))</f>
        <v>0</v>
      </c>
      <c r="F70">
        <f>SUMPRODUCT((MONTH(CHOOSE({1,2,3,4},TTSSKĐ!U70,TTSSKĐ!AA70,TTSSKĐ!AG70,TTSSKĐ!AM70))=6)*(CHOOSE({1,2,3,4},TTSSKĐ!X70,TTSSKĐ!AD70,TTSSKĐ!AJ70,TTSSKĐ!AP70)))</f>
        <v>0</v>
      </c>
      <c r="G70">
        <f>SUMPRODUCT((MONTH(CHOOSE({1,2,3,4},TTSSKĐ!U70,TTSSKĐ!AA70,TTSSKĐ!AG70,TTSSKĐ!AM70))=7)*(CHOOSE({1,2,3,4},TTSSKĐ!X70,TTSSKĐ!AD70,TTSSKĐ!AJ70,TTSSKĐ!AP70)))</f>
        <v>0</v>
      </c>
      <c r="H70">
        <f>SUMPRODUCT((MONTH(CHOOSE({1,2,3,4},TTSSKĐ!U70,TTSSKĐ!AA70,TTSSKĐ!AG70,TTSSKĐ!AM70))=8)*(CHOOSE({1,2,3,4},TTSSKĐ!X70,TTSSKĐ!AD70,TTSSKĐ!AJ70,TTSSKĐ!AP70)))</f>
        <v>0</v>
      </c>
      <c r="I70">
        <f>SUMPRODUCT((MONTH(CHOOSE({1,2,3,4},TTSSKĐ!U70,TTSSKĐ!AA70,TTSSKĐ!AG70,TTSSKĐ!AM70))=9)*(CHOOSE({1,2,3,4},TTSSKĐ!X70,TTSSKĐ!AD70,TTSSKĐ!AJ70,TTSSKĐ!AP70)))</f>
        <v>0</v>
      </c>
      <c r="J70">
        <f>SUMPRODUCT((MONTH(CHOOSE({1,2,3,4},TTSSKĐ!U70,TTSSKĐ!AA70,TTSSKĐ!AG70,TTSSKĐ!AM70))=10)*(CHOOSE({1,2,3,4},TTSSKĐ!X70,TTSSKĐ!AD70,TTSSKĐ!AJ70,TTSSKĐ!AP70)))</f>
        <v>0</v>
      </c>
      <c r="K70">
        <f>SUMPRODUCT((MONTH(CHOOSE({1,2,3,4},TTSSKĐ!U70,TTSSKĐ!AA70,TTSSKĐ!AG70,TTSSKĐ!AM70))=11)*(CHOOSE({1,2,3,4},TTSSKĐ!X70,TTSSKĐ!AD70,TTSSKĐ!AJ70,TTSSKĐ!AP70)))</f>
        <v>0</v>
      </c>
      <c r="L70">
        <f>SUMPRODUCT((MONTH(CHOOSE({1,2,3,4},TTSSKĐ!U70,TTSSKĐ!AA70,TTSSKĐ!AG70,TTSSKĐ!AM70))=12)*(CHOOSE({1,2,3,4},TTSSKĐ!X70,TTSSKĐ!AD70,TTSSKĐ!AJ70,TTSSKĐ!AP70)))</f>
        <v>0</v>
      </c>
    </row>
    <row r="71" spans="1:12">
      <c r="A71">
        <f>SUMPRODUCT((MONTH(CHOOSE({1,2,3,4},TTSSKĐ!U71,TTSSKĐ!AA71,TTSSKĐ!AG71,TTSSKĐ!AM71))=1)*(CHOOSE({1,2,3,4},TTSSKĐ!X71,TTSSKĐ!AD71,TTSSKĐ!AJ71,TTSSKĐ!AP71)))</f>
        <v>0</v>
      </c>
      <c r="B71">
        <f>SUMPRODUCT((MONTH(CHOOSE({1,2,3,4},TTSSKĐ!U71,TTSSKĐ!AA71,TTSSKĐ!AG71,TTSSKĐ!AM71))=2)*(CHOOSE({1,2,3,4},TTSSKĐ!X71,TTSSKĐ!AD71,TTSSKĐ!AJ71,TTSSKĐ!AP71)))</f>
        <v>0</v>
      </c>
      <c r="C71">
        <f>SUMPRODUCT((MONTH(CHOOSE({1,2,3,4},TTSSKĐ!U71,TTSSKĐ!AA71,TTSSKĐ!AG71,TTSSKĐ!AM71))=3)*(CHOOSE({1,2,3,4},TTSSKĐ!X71,TTSSKĐ!AD71,TTSSKĐ!AJ71,TTSSKĐ!AP71)))</f>
        <v>0</v>
      </c>
      <c r="D71">
        <f>SUMPRODUCT((MONTH(CHOOSE({1,2,3,4},TTSSKĐ!U71,TTSSKĐ!AA71,TTSSKĐ!AG71,TTSSKĐ!AM71))=4)*(CHOOSE({1,2,3,4},TTSSKĐ!X71,TTSSKĐ!AD71,TTSSKĐ!AJ71,TTSSKĐ!AP71)))</f>
        <v>0</v>
      </c>
      <c r="E71">
        <f>SUMPRODUCT((MONTH(CHOOSE({1,2,3,4},TTSSKĐ!U71,TTSSKĐ!AA71,TTSSKĐ!AG71,TTSSKĐ!AM71))=5)*(CHOOSE({1,2,3,4},TTSSKĐ!X71,TTSSKĐ!AD71,TTSSKĐ!AJ71,TTSSKĐ!AP71)))</f>
        <v>0</v>
      </c>
      <c r="F71">
        <f>SUMPRODUCT((MONTH(CHOOSE({1,2,3,4},TTSSKĐ!U71,TTSSKĐ!AA71,TTSSKĐ!AG71,TTSSKĐ!AM71))=6)*(CHOOSE({1,2,3,4},TTSSKĐ!X71,TTSSKĐ!AD71,TTSSKĐ!AJ71,TTSSKĐ!AP71)))</f>
        <v>0</v>
      </c>
      <c r="G71">
        <f>SUMPRODUCT((MONTH(CHOOSE({1,2,3,4},TTSSKĐ!U71,TTSSKĐ!AA71,TTSSKĐ!AG71,TTSSKĐ!AM71))=7)*(CHOOSE({1,2,3,4},TTSSKĐ!X71,TTSSKĐ!AD71,TTSSKĐ!AJ71,TTSSKĐ!AP71)))</f>
        <v>0</v>
      </c>
      <c r="H71">
        <f>SUMPRODUCT((MONTH(CHOOSE({1,2,3,4},TTSSKĐ!U71,TTSSKĐ!AA71,TTSSKĐ!AG71,TTSSKĐ!AM71))=8)*(CHOOSE({1,2,3,4},TTSSKĐ!X71,TTSSKĐ!AD71,TTSSKĐ!AJ71,TTSSKĐ!AP71)))</f>
        <v>0</v>
      </c>
      <c r="I71">
        <f>SUMPRODUCT((MONTH(CHOOSE({1,2,3,4},TTSSKĐ!U71,TTSSKĐ!AA71,TTSSKĐ!AG71,TTSSKĐ!AM71))=9)*(CHOOSE({1,2,3,4},TTSSKĐ!X71,TTSSKĐ!AD71,TTSSKĐ!AJ71,TTSSKĐ!AP71)))</f>
        <v>0</v>
      </c>
      <c r="J71">
        <f>SUMPRODUCT((MONTH(CHOOSE({1,2,3,4},TTSSKĐ!U71,TTSSKĐ!AA71,TTSSKĐ!AG71,TTSSKĐ!AM71))=10)*(CHOOSE({1,2,3,4},TTSSKĐ!X71,TTSSKĐ!AD71,TTSSKĐ!AJ71,TTSSKĐ!AP71)))</f>
        <v>0</v>
      </c>
      <c r="K71">
        <f>SUMPRODUCT((MONTH(CHOOSE({1,2,3,4},TTSSKĐ!U71,TTSSKĐ!AA71,TTSSKĐ!AG71,TTSSKĐ!AM71))=11)*(CHOOSE({1,2,3,4},TTSSKĐ!X71,TTSSKĐ!AD71,TTSSKĐ!AJ71,TTSSKĐ!AP71)))</f>
        <v>0</v>
      </c>
      <c r="L71">
        <f>SUMPRODUCT((MONTH(CHOOSE({1,2,3,4},TTSSKĐ!U71,TTSSKĐ!AA71,TTSSKĐ!AG71,TTSSKĐ!AM71))=12)*(CHOOSE({1,2,3,4},TTSSKĐ!X71,TTSSKĐ!AD71,TTSSKĐ!AJ71,TTSSKĐ!AP71)))</f>
        <v>0</v>
      </c>
    </row>
    <row r="72" spans="1:12">
      <c r="A72">
        <f>SUMPRODUCT((MONTH(CHOOSE({1,2,3,4},TTSSKĐ!U72,TTSSKĐ!AA72,TTSSKĐ!AG72,TTSSKĐ!AM72))=1)*(CHOOSE({1,2,3,4},TTSSKĐ!X72,TTSSKĐ!AD72,TTSSKĐ!AJ72,TTSSKĐ!AP72)))</f>
        <v>0</v>
      </c>
      <c r="B72">
        <f>SUMPRODUCT((MONTH(CHOOSE({1,2,3,4},TTSSKĐ!U72,TTSSKĐ!AA72,TTSSKĐ!AG72,TTSSKĐ!AM72))=2)*(CHOOSE({1,2,3,4},TTSSKĐ!X72,TTSSKĐ!AD72,TTSSKĐ!AJ72,TTSSKĐ!AP72)))</f>
        <v>0</v>
      </c>
      <c r="C72">
        <f>SUMPRODUCT((MONTH(CHOOSE({1,2,3,4},TTSSKĐ!U72,TTSSKĐ!AA72,TTSSKĐ!AG72,TTSSKĐ!AM72))=3)*(CHOOSE({1,2,3,4},TTSSKĐ!X72,TTSSKĐ!AD72,TTSSKĐ!AJ72,TTSSKĐ!AP72)))</f>
        <v>0</v>
      </c>
      <c r="D72">
        <f>SUMPRODUCT((MONTH(CHOOSE({1,2,3,4},TTSSKĐ!U72,TTSSKĐ!AA72,TTSSKĐ!AG72,TTSSKĐ!AM72))=4)*(CHOOSE({1,2,3,4},TTSSKĐ!X72,TTSSKĐ!AD72,TTSSKĐ!AJ72,TTSSKĐ!AP72)))</f>
        <v>0</v>
      </c>
      <c r="E72">
        <f>SUMPRODUCT((MONTH(CHOOSE({1,2,3,4},TTSSKĐ!U72,TTSSKĐ!AA72,TTSSKĐ!AG72,TTSSKĐ!AM72))=5)*(CHOOSE({1,2,3,4},TTSSKĐ!X72,TTSSKĐ!AD72,TTSSKĐ!AJ72,TTSSKĐ!AP72)))</f>
        <v>0</v>
      </c>
      <c r="F72">
        <f>SUMPRODUCT((MONTH(CHOOSE({1,2,3,4},TTSSKĐ!U72,TTSSKĐ!AA72,TTSSKĐ!AG72,TTSSKĐ!AM72))=6)*(CHOOSE({1,2,3,4},TTSSKĐ!X72,TTSSKĐ!AD72,TTSSKĐ!AJ72,TTSSKĐ!AP72)))</f>
        <v>0</v>
      </c>
      <c r="G72">
        <f>SUMPRODUCT((MONTH(CHOOSE({1,2,3,4},TTSSKĐ!U72,TTSSKĐ!AA72,TTSSKĐ!AG72,TTSSKĐ!AM72))=7)*(CHOOSE({1,2,3,4},TTSSKĐ!X72,TTSSKĐ!AD72,TTSSKĐ!AJ72,TTSSKĐ!AP72)))</f>
        <v>0</v>
      </c>
      <c r="H72">
        <f>SUMPRODUCT((MONTH(CHOOSE({1,2,3,4},TTSSKĐ!U72,TTSSKĐ!AA72,TTSSKĐ!AG72,TTSSKĐ!AM72))=8)*(CHOOSE({1,2,3,4},TTSSKĐ!X72,TTSSKĐ!AD72,TTSSKĐ!AJ72,TTSSKĐ!AP72)))</f>
        <v>0</v>
      </c>
      <c r="I72">
        <f>SUMPRODUCT((MONTH(CHOOSE({1,2,3,4},TTSSKĐ!U72,TTSSKĐ!AA72,TTSSKĐ!AG72,TTSSKĐ!AM72))=9)*(CHOOSE({1,2,3,4},TTSSKĐ!X72,TTSSKĐ!AD72,TTSSKĐ!AJ72,TTSSKĐ!AP72)))</f>
        <v>0</v>
      </c>
      <c r="J72">
        <f>SUMPRODUCT((MONTH(CHOOSE({1,2,3,4},TTSSKĐ!U72,TTSSKĐ!AA72,TTSSKĐ!AG72,TTSSKĐ!AM72))=10)*(CHOOSE({1,2,3,4},TTSSKĐ!X72,TTSSKĐ!AD72,TTSSKĐ!AJ72,TTSSKĐ!AP72)))</f>
        <v>0</v>
      </c>
      <c r="K72">
        <f>SUMPRODUCT((MONTH(CHOOSE({1,2,3,4},TTSSKĐ!U72,TTSSKĐ!AA72,TTSSKĐ!AG72,TTSSKĐ!AM72))=11)*(CHOOSE({1,2,3,4},TTSSKĐ!X72,TTSSKĐ!AD72,TTSSKĐ!AJ72,TTSSKĐ!AP72)))</f>
        <v>0</v>
      </c>
      <c r="L72">
        <f>SUMPRODUCT((MONTH(CHOOSE({1,2,3,4},TTSSKĐ!U72,TTSSKĐ!AA72,TTSSKĐ!AG72,TTSSKĐ!AM72))=12)*(CHOOSE({1,2,3,4},TTSSKĐ!X72,TTSSKĐ!AD72,TTSSKĐ!AJ72,TTSSKĐ!AP72)))</f>
        <v>0</v>
      </c>
    </row>
    <row r="73" spans="1:12">
      <c r="A73">
        <f>SUMPRODUCT((MONTH(CHOOSE({1,2,3,4},TTSSKĐ!U73,TTSSKĐ!AA73,TTSSKĐ!AG73,TTSSKĐ!AM73))=1)*(CHOOSE({1,2,3,4},TTSSKĐ!X73,TTSSKĐ!AD73,TTSSKĐ!AJ73,TTSSKĐ!AP73)))</f>
        <v>0</v>
      </c>
      <c r="B73">
        <f>SUMPRODUCT((MONTH(CHOOSE({1,2,3,4},TTSSKĐ!U73,TTSSKĐ!AA73,TTSSKĐ!AG73,TTSSKĐ!AM73))=2)*(CHOOSE({1,2,3,4},TTSSKĐ!X73,TTSSKĐ!AD73,TTSSKĐ!AJ73,TTSSKĐ!AP73)))</f>
        <v>0</v>
      </c>
      <c r="C73">
        <f>SUMPRODUCT((MONTH(CHOOSE({1,2,3,4},TTSSKĐ!U73,TTSSKĐ!AA73,TTSSKĐ!AG73,TTSSKĐ!AM73))=3)*(CHOOSE({1,2,3,4},TTSSKĐ!X73,TTSSKĐ!AD73,TTSSKĐ!AJ73,TTSSKĐ!AP73)))</f>
        <v>0</v>
      </c>
      <c r="D73">
        <f>SUMPRODUCT((MONTH(CHOOSE({1,2,3,4},TTSSKĐ!U73,TTSSKĐ!AA73,TTSSKĐ!AG73,TTSSKĐ!AM73))=4)*(CHOOSE({1,2,3,4},TTSSKĐ!X73,TTSSKĐ!AD73,TTSSKĐ!AJ73,TTSSKĐ!AP73)))</f>
        <v>0</v>
      </c>
      <c r="E73">
        <f>SUMPRODUCT((MONTH(CHOOSE({1,2,3,4},TTSSKĐ!U73,TTSSKĐ!AA73,TTSSKĐ!AG73,TTSSKĐ!AM73))=5)*(CHOOSE({1,2,3,4},TTSSKĐ!X73,TTSSKĐ!AD73,TTSSKĐ!AJ73,TTSSKĐ!AP73)))</f>
        <v>0</v>
      </c>
      <c r="F73">
        <f>SUMPRODUCT((MONTH(CHOOSE({1,2,3,4},TTSSKĐ!U73,TTSSKĐ!AA73,TTSSKĐ!AG73,TTSSKĐ!AM73))=6)*(CHOOSE({1,2,3,4},TTSSKĐ!X73,TTSSKĐ!AD73,TTSSKĐ!AJ73,TTSSKĐ!AP73)))</f>
        <v>0</v>
      </c>
      <c r="G73">
        <f>SUMPRODUCT((MONTH(CHOOSE({1,2,3,4},TTSSKĐ!U73,TTSSKĐ!AA73,TTSSKĐ!AG73,TTSSKĐ!AM73))=7)*(CHOOSE({1,2,3,4},TTSSKĐ!X73,TTSSKĐ!AD73,TTSSKĐ!AJ73,TTSSKĐ!AP73)))</f>
        <v>0</v>
      </c>
      <c r="H73">
        <f>SUMPRODUCT((MONTH(CHOOSE({1,2,3,4},TTSSKĐ!U73,TTSSKĐ!AA73,TTSSKĐ!AG73,TTSSKĐ!AM73))=8)*(CHOOSE({1,2,3,4},TTSSKĐ!X73,TTSSKĐ!AD73,TTSSKĐ!AJ73,TTSSKĐ!AP73)))</f>
        <v>0</v>
      </c>
      <c r="I73">
        <f>SUMPRODUCT((MONTH(CHOOSE({1,2,3,4},TTSSKĐ!U73,TTSSKĐ!AA73,TTSSKĐ!AG73,TTSSKĐ!AM73))=9)*(CHOOSE({1,2,3,4},TTSSKĐ!X73,TTSSKĐ!AD73,TTSSKĐ!AJ73,TTSSKĐ!AP73)))</f>
        <v>0</v>
      </c>
      <c r="J73">
        <f>SUMPRODUCT((MONTH(CHOOSE({1,2,3,4},TTSSKĐ!U73,TTSSKĐ!AA73,TTSSKĐ!AG73,TTSSKĐ!AM73))=10)*(CHOOSE({1,2,3,4},TTSSKĐ!X73,TTSSKĐ!AD73,TTSSKĐ!AJ73,TTSSKĐ!AP73)))</f>
        <v>0</v>
      </c>
      <c r="K73">
        <f>SUMPRODUCT((MONTH(CHOOSE({1,2,3,4},TTSSKĐ!U73,TTSSKĐ!AA73,TTSSKĐ!AG73,TTSSKĐ!AM73))=11)*(CHOOSE({1,2,3,4},TTSSKĐ!X73,TTSSKĐ!AD73,TTSSKĐ!AJ73,TTSSKĐ!AP73)))</f>
        <v>0</v>
      </c>
      <c r="L73">
        <f>SUMPRODUCT((MONTH(CHOOSE({1,2,3,4},TTSSKĐ!U73,TTSSKĐ!AA73,TTSSKĐ!AG73,TTSSKĐ!AM73))=12)*(CHOOSE({1,2,3,4},TTSSKĐ!X73,TTSSKĐ!AD73,TTSSKĐ!AJ73,TTSSKĐ!AP73)))</f>
        <v>0</v>
      </c>
    </row>
    <row r="74" spans="1:12">
      <c r="A74">
        <f>SUMPRODUCT((MONTH(CHOOSE({1,2,3,4},TTSSKĐ!U74,TTSSKĐ!AA74,TTSSKĐ!AG74,TTSSKĐ!AM74))=1)*(CHOOSE({1,2,3,4},TTSSKĐ!X74,TTSSKĐ!AD74,TTSSKĐ!AJ74,TTSSKĐ!AP74)))</f>
        <v>0</v>
      </c>
      <c r="B74">
        <f>SUMPRODUCT((MONTH(CHOOSE({1,2,3,4},TTSSKĐ!U74,TTSSKĐ!AA74,TTSSKĐ!AG74,TTSSKĐ!AM74))=2)*(CHOOSE({1,2,3,4},TTSSKĐ!X74,TTSSKĐ!AD74,TTSSKĐ!AJ74,TTSSKĐ!AP74)))</f>
        <v>0</v>
      </c>
      <c r="C74">
        <f>SUMPRODUCT((MONTH(CHOOSE({1,2,3,4},TTSSKĐ!U74,TTSSKĐ!AA74,TTSSKĐ!AG74,TTSSKĐ!AM74))=3)*(CHOOSE({1,2,3,4},TTSSKĐ!X74,TTSSKĐ!AD74,TTSSKĐ!AJ74,TTSSKĐ!AP74)))</f>
        <v>0</v>
      </c>
      <c r="D74">
        <f>SUMPRODUCT((MONTH(CHOOSE({1,2,3,4},TTSSKĐ!U74,TTSSKĐ!AA74,TTSSKĐ!AG74,TTSSKĐ!AM74))=4)*(CHOOSE({1,2,3,4},TTSSKĐ!X74,TTSSKĐ!AD74,TTSSKĐ!AJ74,TTSSKĐ!AP74)))</f>
        <v>0</v>
      </c>
      <c r="E74">
        <f>SUMPRODUCT((MONTH(CHOOSE({1,2,3,4},TTSSKĐ!U74,TTSSKĐ!AA74,TTSSKĐ!AG74,TTSSKĐ!AM74))=5)*(CHOOSE({1,2,3,4},TTSSKĐ!X74,TTSSKĐ!AD74,TTSSKĐ!AJ74,TTSSKĐ!AP74)))</f>
        <v>0</v>
      </c>
      <c r="F74">
        <f>SUMPRODUCT((MONTH(CHOOSE({1,2,3,4},TTSSKĐ!U74,TTSSKĐ!AA74,TTSSKĐ!AG74,TTSSKĐ!AM74))=6)*(CHOOSE({1,2,3,4},TTSSKĐ!X74,TTSSKĐ!AD74,TTSSKĐ!AJ74,TTSSKĐ!AP74)))</f>
        <v>0</v>
      </c>
      <c r="G74">
        <f>SUMPRODUCT((MONTH(CHOOSE({1,2,3,4},TTSSKĐ!U74,TTSSKĐ!AA74,TTSSKĐ!AG74,TTSSKĐ!AM74))=7)*(CHOOSE({1,2,3,4},TTSSKĐ!X74,TTSSKĐ!AD74,TTSSKĐ!AJ74,TTSSKĐ!AP74)))</f>
        <v>0</v>
      </c>
      <c r="H74">
        <f>SUMPRODUCT((MONTH(CHOOSE({1,2,3,4},TTSSKĐ!U74,TTSSKĐ!AA74,TTSSKĐ!AG74,TTSSKĐ!AM74))=8)*(CHOOSE({1,2,3,4},TTSSKĐ!X74,TTSSKĐ!AD74,TTSSKĐ!AJ74,TTSSKĐ!AP74)))</f>
        <v>0</v>
      </c>
      <c r="I74">
        <f>SUMPRODUCT((MONTH(CHOOSE({1,2,3,4},TTSSKĐ!U74,TTSSKĐ!AA74,TTSSKĐ!AG74,TTSSKĐ!AM74))=9)*(CHOOSE({1,2,3,4},TTSSKĐ!X74,TTSSKĐ!AD74,TTSSKĐ!AJ74,TTSSKĐ!AP74)))</f>
        <v>0</v>
      </c>
      <c r="J74">
        <f>SUMPRODUCT((MONTH(CHOOSE({1,2,3,4},TTSSKĐ!U74,TTSSKĐ!AA74,TTSSKĐ!AG74,TTSSKĐ!AM74))=10)*(CHOOSE({1,2,3,4},TTSSKĐ!X74,TTSSKĐ!AD74,TTSSKĐ!AJ74,TTSSKĐ!AP74)))</f>
        <v>0</v>
      </c>
      <c r="K74">
        <f>SUMPRODUCT((MONTH(CHOOSE({1,2,3,4},TTSSKĐ!U74,TTSSKĐ!AA74,TTSSKĐ!AG74,TTSSKĐ!AM74))=11)*(CHOOSE({1,2,3,4},TTSSKĐ!X74,TTSSKĐ!AD74,TTSSKĐ!AJ74,TTSSKĐ!AP74)))</f>
        <v>0</v>
      </c>
      <c r="L74">
        <f>SUMPRODUCT((MONTH(CHOOSE({1,2,3,4},TTSSKĐ!U74,TTSSKĐ!AA74,TTSSKĐ!AG74,TTSSKĐ!AM74))=12)*(CHOOSE({1,2,3,4},TTSSKĐ!X74,TTSSKĐ!AD74,TTSSKĐ!AJ74,TTSSKĐ!AP74)))</f>
        <v>0</v>
      </c>
    </row>
    <row r="75" spans="1:12">
      <c r="A75">
        <f>SUMPRODUCT((MONTH(CHOOSE({1,2,3,4},TTSSKĐ!U75,TTSSKĐ!AA75,TTSSKĐ!AG75,TTSSKĐ!AM75))=1)*(CHOOSE({1,2,3,4},TTSSKĐ!X75,TTSSKĐ!AD75,TTSSKĐ!AJ75,TTSSKĐ!AP75)))</f>
        <v>0</v>
      </c>
      <c r="B75">
        <f>SUMPRODUCT((MONTH(CHOOSE({1,2,3,4},TTSSKĐ!U75,TTSSKĐ!AA75,TTSSKĐ!AG75,TTSSKĐ!AM75))=2)*(CHOOSE({1,2,3,4},TTSSKĐ!X75,TTSSKĐ!AD75,TTSSKĐ!AJ75,TTSSKĐ!AP75)))</f>
        <v>0</v>
      </c>
      <c r="C75">
        <f>SUMPRODUCT((MONTH(CHOOSE({1,2,3,4},TTSSKĐ!U75,TTSSKĐ!AA75,TTSSKĐ!AG75,TTSSKĐ!AM75))=3)*(CHOOSE({1,2,3,4},TTSSKĐ!X75,TTSSKĐ!AD75,TTSSKĐ!AJ75,TTSSKĐ!AP75)))</f>
        <v>0</v>
      </c>
      <c r="D75">
        <f>SUMPRODUCT((MONTH(CHOOSE({1,2,3,4},TTSSKĐ!U75,TTSSKĐ!AA75,TTSSKĐ!AG75,TTSSKĐ!AM75))=4)*(CHOOSE({1,2,3,4},TTSSKĐ!X75,TTSSKĐ!AD75,TTSSKĐ!AJ75,TTSSKĐ!AP75)))</f>
        <v>0</v>
      </c>
      <c r="E75">
        <f>SUMPRODUCT((MONTH(CHOOSE({1,2,3,4},TTSSKĐ!U75,TTSSKĐ!AA75,TTSSKĐ!AG75,TTSSKĐ!AM75))=5)*(CHOOSE({1,2,3,4},TTSSKĐ!X75,TTSSKĐ!AD75,TTSSKĐ!AJ75,TTSSKĐ!AP75)))</f>
        <v>0</v>
      </c>
      <c r="F75">
        <f>SUMPRODUCT((MONTH(CHOOSE({1,2,3,4},TTSSKĐ!U75,TTSSKĐ!AA75,TTSSKĐ!AG75,TTSSKĐ!AM75))=6)*(CHOOSE({1,2,3,4},TTSSKĐ!X75,TTSSKĐ!AD75,TTSSKĐ!AJ75,TTSSKĐ!AP75)))</f>
        <v>0</v>
      </c>
      <c r="G75">
        <f>SUMPRODUCT((MONTH(CHOOSE({1,2,3,4},TTSSKĐ!U75,TTSSKĐ!AA75,TTSSKĐ!AG75,TTSSKĐ!AM75))=7)*(CHOOSE({1,2,3,4},TTSSKĐ!X75,TTSSKĐ!AD75,TTSSKĐ!AJ75,TTSSKĐ!AP75)))</f>
        <v>0</v>
      </c>
      <c r="H75">
        <f>SUMPRODUCT((MONTH(CHOOSE({1,2,3,4},TTSSKĐ!U75,TTSSKĐ!AA75,TTSSKĐ!AG75,TTSSKĐ!AM75))=8)*(CHOOSE({1,2,3,4},TTSSKĐ!X75,TTSSKĐ!AD75,TTSSKĐ!AJ75,TTSSKĐ!AP75)))</f>
        <v>0</v>
      </c>
      <c r="I75">
        <f>SUMPRODUCT((MONTH(CHOOSE({1,2,3,4},TTSSKĐ!U75,TTSSKĐ!AA75,TTSSKĐ!AG75,TTSSKĐ!AM75))=9)*(CHOOSE({1,2,3,4},TTSSKĐ!X75,TTSSKĐ!AD75,TTSSKĐ!AJ75,TTSSKĐ!AP75)))</f>
        <v>0</v>
      </c>
      <c r="J75">
        <f>SUMPRODUCT((MONTH(CHOOSE({1,2,3,4},TTSSKĐ!U75,TTSSKĐ!AA75,TTSSKĐ!AG75,TTSSKĐ!AM75))=10)*(CHOOSE({1,2,3,4},TTSSKĐ!X75,TTSSKĐ!AD75,TTSSKĐ!AJ75,TTSSKĐ!AP75)))</f>
        <v>0</v>
      </c>
      <c r="K75">
        <f>SUMPRODUCT((MONTH(CHOOSE({1,2,3,4},TTSSKĐ!U75,TTSSKĐ!AA75,TTSSKĐ!AG75,TTSSKĐ!AM75))=11)*(CHOOSE({1,2,3,4},TTSSKĐ!X75,TTSSKĐ!AD75,TTSSKĐ!AJ75,TTSSKĐ!AP75)))</f>
        <v>0</v>
      </c>
      <c r="L75">
        <f>SUMPRODUCT((MONTH(CHOOSE({1,2,3,4},TTSSKĐ!U75,TTSSKĐ!AA75,TTSSKĐ!AG75,TTSSKĐ!AM75))=12)*(CHOOSE({1,2,3,4},TTSSKĐ!X75,TTSSKĐ!AD75,TTSSKĐ!AJ75,TTSSKĐ!AP75)))</f>
        <v>0</v>
      </c>
    </row>
    <row r="76" spans="1:12">
      <c r="A76">
        <f>SUMPRODUCT((MONTH(CHOOSE({1,2,3,4},TTSSKĐ!U76,TTSSKĐ!AA76,TTSSKĐ!AG76,TTSSKĐ!AM76))=1)*(CHOOSE({1,2,3,4},TTSSKĐ!X76,TTSSKĐ!AD76,TTSSKĐ!AJ76,TTSSKĐ!AP76)))</f>
        <v>0</v>
      </c>
      <c r="B76">
        <f>SUMPRODUCT((MONTH(CHOOSE({1,2,3,4},TTSSKĐ!U76,TTSSKĐ!AA76,TTSSKĐ!AG76,TTSSKĐ!AM76))=2)*(CHOOSE({1,2,3,4},TTSSKĐ!X76,TTSSKĐ!AD76,TTSSKĐ!AJ76,TTSSKĐ!AP76)))</f>
        <v>0</v>
      </c>
      <c r="C76">
        <f>SUMPRODUCT((MONTH(CHOOSE({1,2,3,4},TTSSKĐ!U76,TTSSKĐ!AA76,TTSSKĐ!AG76,TTSSKĐ!AM76))=3)*(CHOOSE({1,2,3,4},TTSSKĐ!X76,TTSSKĐ!AD76,TTSSKĐ!AJ76,TTSSKĐ!AP76)))</f>
        <v>0</v>
      </c>
      <c r="D76">
        <f>SUMPRODUCT((MONTH(CHOOSE({1,2,3,4},TTSSKĐ!U76,TTSSKĐ!AA76,TTSSKĐ!AG76,TTSSKĐ!AM76))=4)*(CHOOSE({1,2,3,4},TTSSKĐ!X76,TTSSKĐ!AD76,TTSSKĐ!AJ76,TTSSKĐ!AP76)))</f>
        <v>0</v>
      </c>
      <c r="E76">
        <f>SUMPRODUCT((MONTH(CHOOSE({1,2,3,4},TTSSKĐ!U76,TTSSKĐ!AA76,TTSSKĐ!AG76,TTSSKĐ!AM76))=5)*(CHOOSE({1,2,3,4},TTSSKĐ!X76,TTSSKĐ!AD76,TTSSKĐ!AJ76,TTSSKĐ!AP76)))</f>
        <v>0</v>
      </c>
      <c r="F76">
        <f>SUMPRODUCT((MONTH(CHOOSE({1,2,3,4},TTSSKĐ!U76,TTSSKĐ!AA76,TTSSKĐ!AG76,TTSSKĐ!AM76))=6)*(CHOOSE({1,2,3,4},TTSSKĐ!X76,TTSSKĐ!AD76,TTSSKĐ!AJ76,TTSSKĐ!AP76)))</f>
        <v>0</v>
      </c>
      <c r="G76">
        <f>SUMPRODUCT((MONTH(CHOOSE({1,2,3,4},TTSSKĐ!U76,TTSSKĐ!AA76,TTSSKĐ!AG76,TTSSKĐ!AM76))=7)*(CHOOSE({1,2,3,4},TTSSKĐ!X76,TTSSKĐ!AD76,TTSSKĐ!AJ76,TTSSKĐ!AP76)))</f>
        <v>0</v>
      </c>
      <c r="H76">
        <f>SUMPRODUCT((MONTH(CHOOSE({1,2,3,4},TTSSKĐ!U76,TTSSKĐ!AA76,TTSSKĐ!AG76,TTSSKĐ!AM76))=8)*(CHOOSE({1,2,3,4},TTSSKĐ!X76,TTSSKĐ!AD76,TTSSKĐ!AJ76,TTSSKĐ!AP76)))</f>
        <v>0</v>
      </c>
      <c r="I76">
        <f>SUMPRODUCT((MONTH(CHOOSE({1,2,3,4},TTSSKĐ!U76,TTSSKĐ!AA76,TTSSKĐ!AG76,TTSSKĐ!AM76))=9)*(CHOOSE({1,2,3,4},TTSSKĐ!X76,TTSSKĐ!AD76,TTSSKĐ!AJ76,TTSSKĐ!AP76)))</f>
        <v>0</v>
      </c>
      <c r="J76">
        <f>SUMPRODUCT((MONTH(CHOOSE({1,2,3,4},TTSSKĐ!U76,TTSSKĐ!AA76,TTSSKĐ!AG76,TTSSKĐ!AM76))=10)*(CHOOSE({1,2,3,4},TTSSKĐ!X76,TTSSKĐ!AD76,TTSSKĐ!AJ76,TTSSKĐ!AP76)))</f>
        <v>0</v>
      </c>
      <c r="K76">
        <f>SUMPRODUCT((MONTH(CHOOSE({1,2,3,4},TTSSKĐ!U76,TTSSKĐ!AA76,TTSSKĐ!AG76,TTSSKĐ!AM76))=11)*(CHOOSE({1,2,3,4},TTSSKĐ!X76,TTSSKĐ!AD76,TTSSKĐ!AJ76,TTSSKĐ!AP76)))</f>
        <v>0</v>
      </c>
      <c r="L76">
        <f>SUMPRODUCT((MONTH(CHOOSE({1,2,3,4},TTSSKĐ!U76,TTSSKĐ!AA76,TTSSKĐ!AG76,TTSSKĐ!AM76))=12)*(CHOOSE({1,2,3,4},TTSSKĐ!X76,TTSSKĐ!AD76,TTSSKĐ!AJ76,TTSSKĐ!AP76)))</f>
        <v>0</v>
      </c>
    </row>
    <row r="77" spans="1:12">
      <c r="A77">
        <f>SUMPRODUCT((MONTH(CHOOSE({1,2,3,4},TTSSKĐ!U77,TTSSKĐ!AA77,TTSSKĐ!AG77,TTSSKĐ!AM77))=1)*(CHOOSE({1,2,3,4},TTSSKĐ!X77,TTSSKĐ!AD77,TTSSKĐ!AJ77,TTSSKĐ!AP77)))</f>
        <v>0</v>
      </c>
      <c r="B77">
        <f>SUMPRODUCT((MONTH(CHOOSE({1,2,3,4},TTSSKĐ!U77,TTSSKĐ!AA77,TTSSKĐ!AG77,TTSSKĐ!AM77))=2)*(CHOOSE({1,2,3,4},TTSSKĐ!X77,TTSSKĐ!AD77,TTSSKĐ!AJ77,TTSSKĐ!AP77)))</f>
        <v>0</v>
      </c>
      <c r="C77">
        <f>SUMPRODUCT((MONTH(CHOOSE({1,2,3,4},TTSSKĐ!U77,TTSSKĐ!AA77,TTSSKĐ!AG77,TTSSKĐ!AM77))=3)*(CHOOSE({1,2,3,4},TTSSKĐ!X77,TTSSKĐ!AD77,TTSSKĐ!AJ77,TTSSKĐ!AP77)))</f>
        <v>0</v>
      </c>
      <c r="D77">
        <f>SUMPRODUCT((MONTH(CHOOSE({1,2,3,4},TTSSKĐ!U77,TTSSKĐ!AA77,TTSSKĐ!AG77,TTSSKĐ!AM77))=4)*(CHOOSE({1,2,3,4},TTSSKĐ!X77,TTSSKĐ!AD77,TTSSKĐ!AJ77,TTSSKĐ!AP77)))</f>
        <v>0</v>
      </c>
      <c r="E77">
        <f>SUMPRODUCT((MONTH(CHOOSE({1,2,3,4},TTSSKĐ!U77,TTSSKĐ!AA77,TTSSKĐ!AG77,TTSSKĐ!AM77))=5)*(CHOOSE({1,2,3,4},TTSSKĐ!X77,TTSSKĐ!AD77,TTSSKĐ!AJ77,TTSSKĐ!AP77)))</f>
        <v>0</v>
      </c>
      <c r="F77">
        <f>SUMPRODUCT((MONTH(CHOOSE({1,2,3,4},TTSSKĐ!U77,TTSSKĐ!AA77,TTSSKĐ!AG77,TTSSKĐ!AM77))=6)*(CHOOSE({1,2,3,4},TTSSKĐ!X77,TTSSKĐ!AD77,TTSSKĐ!AJ77,TTSSKĐ!AP77)))</f>
        <v>0</v>
      </c>
      <c r="G77">
        <f>SUMPRODUCT((MONTH(CHOOSE({1,2,3,4},TTSSKĐ!U77,TTSSKĐ!AA77,TTSSKĐ!AG77,TTSSKĐ!AM77))=7)*(CHOOSE({1,2,3,4},TTSSKĐ!X77,TTSSKĐ!AD77,TTSSKĐ!AJ77,TTSSKĐ!AP77)))</f>
        <v>0</v>
      </c>
      <c r="H77">
        <f>SUMPRODUCT((MONTH(CHOOSE({1,2,3,4},TTSSKĐ!U77,TTSSKĐ!AA77,TTSSKĐ!AG77,TTSSKĐ!AM77))=8)*(CHOOSE({1,2,3,4},TTSSKĐ!X77,TTSSKĐ!AD77,TTSSKĐ!AJ77,TTSSKĐ!AP77)))</f>
        <v>0</v>
      </c>
      <c r="I77">
        <f>SUMPRODUCT((MONTH(CHOOSE({1,2,3,4},TTSSKĐ!U77,TTSSKĐ!AA77,TTSSKĐ!AG77,TTSSKĐ!AM77))=9)*(CHOOSE({1,2,3,4},TTSSKĐ!X77,TTSSKĐ!AD77,TTSSKĐ!AJ77,TTSSKĐ!AP77)))</f>
        <v>0</v>
      </c>
      <c r="J77">
        <f>SUMPRODUCT((MONTH(CHOOSE({1,2,3,4},TTSSKĐ!U77,TTSSKĐ!AA77,TTSSKĐ!AG77,TTSSKĐ!AM77))=10)*(CHOOSE({1,2,3,4},TTSSKĐ!X77,TTSSKĐ!AD77,TTSSKĐ!AJ77,TTSSKĐ!AP77)))</f>
        <v>0</v>
      </c>
      <c r="K77">
        <f>SUMPRODUCT((MONTH(CHOOSE({1,2,3,4},TTSSKĐ!U77,TTSSKĐ!AA77,TTSSKĐ!AG77,TTSSKĐ!AM77))=11)*(CHOOSE({1,2,3,4},TTSSKĐ!X77,TTSSKĐ!AD77,TTSSKĐ!AJ77,TTSSKĐ!AP77)))</f>
        <v>0</v>
      </c>
      <c r="L77">
        <f>SUMPRODUCT((MONTH(CHOOSE({1,2,3,4},TTSSKĐ!U77,TTSSKĐ!AA77,TTSSKĐ!AG77,TTSSKĐ!AM77))=12)*(CHOOSE({1,2,3,4},TTSSKĐ!X77,TTSSKĐ!AD77,TTSSKĐ!AJ77,TTSSKĐ!AP77)))</f>
        <v>0</v>
      </c>
    </row>
    <row r="78" spans="1:12">
      <c r="A78">
        <f>SUMPRODUCT((MONTH(CHOOSE({1,2,3,4},TTSSKĐ!U78,TTSSKĐ!AA78,TTSSKĐ!AG78,TTSSKĐ!AM78))=1)*(CHOOSE({1,2,3,4},TTSSKĐ!X78,TTSSKĐ!AD78,TTSSKĐ!AJ78,TTSSKĐ!AP78)))</f>
        <v>0</v>
      </c>
      <c r="B78">
        <f>SUMPRODUCT((MONTH(CHOOSE({1,2,3,4},TTSSKĐ!U78,TTSSKĐ!AA78,TTSSKĐ!AG78,TTSSKĐ!AM78))=2)*(CHOOSE({1,2,3,4},TTSSKĐ!X78,TTSSKĐ!AD78,TTSSKĐ!AJ78,TTSSKĐ!AP78)))</f>
        <v>0</v>
      </c>
      <c r="C78">
        <f>SUMPRODUCT((MONTH(CHOOSE({1,2,3,4},TTSSKĐ!U78,TTSSKĐ!AA78,TTSSKĐ!AG78,TTSSKĐ!AM78))=3)*(CHOOSE({1,2,3,4},TTSSKĐ!X78,TTSSKĐ!AD78,TTSSKĐ!AJ78,TTSSKĐ!AP78)))</f>
        <v>0</v>
      </c>
      <c r="D78">
        <f>SUMPRODUCT((MONTH(CHOOSE({1,2,3,4},TTSSKĐ!U78,TTSSKĐ!AA78,TTSSKĐ!AG78,TTSSKĐ!AM78))=4)*(CHOOSE({1,2,3,4},TTSSKĐ!X78,TTSSKĐ!AD78,TTSSKĐ!AJ78,TTSSKĐ!AP78)))</f>
        <v>0</v>
      </c>
      <c r="E78">
        <f>SUMPRODUCT((MONTH(CHOOSE({1,2,3,4},TTSSKĐ!U78,TTSSKĐ!AA78,TTSSKĐ!AG78,TTSSKĐ!AM78))=5)*(CHOOSE({1,2,3,4},TTSSKĐ!X78,TTSSKĐ!AD78,TTSSKĐ!AJ78,TTSSKĐ!AP78)))</f>
        <v>0</v>
      </c>
      <c r="F78">
        <f>SUMPRODUCT((MONTH(CHOOSE({1,2,3,4},TTSSKĐ!U78,TTSSKĐ!AA78,TTSSKĐ!AG78,TTSSKĐ!AM78))=6)*(CHOOSE({1,2,3,4},TTSSKĐ!X78,TTSSKĐ!AD78,TTSSKĐ!AJ78,TTSSKĐ!AP78)))</f>
        <v>0</v>
      </c>
      <c r="G78">
        <f>SUMPRODUCT((MONTH(CHOOSE({1,2,3,4},TTSSKĐ!U78,TTSSKĐ!AA78,TTSSKĐ!AG78,TTSSKĐ!AM78))=7)*(CHOOSE({1,2,3,4},TTSSKĐ!X78,TTSSKĐ!AD78,TTSSKĐ!AJ78,TTSSKĐ!AP78)))</f>
        <v>0</v>
      </c>
      <c r="H78">
        <f>SUMPRODUCT((MONTH(CHOOSE({1,2,3,4},TTSSKĐ!U78,TTSSKĐ!AA78,TTSSKĐ!AG78,TTSSKĐ!AM78))=8)*(CHOOSE({1,2,3,4},TTSSKĐ!X78,TTSSKĐ!AD78,TTSSKĐ!AJ78,TTSSKĐ!AP78)))</f>
        <v>0</v>
      </c>
      <c r="I78">
        <f>SUMPRODUCT((MONTH(CHOOSE({1,2,3,4},TTSSKĐ!U78,TTSSKĐ!AA78,TTSSKĐ!AG78,TTSSKĐ!AM78))=9)*(CHOOSE({1,2,3,4},TTSSKĐ!X78,TTSSKĐ!AD78,TTSSKĐ!AJ78,TTSSKĐ!AP78)))</f>
        <v>0</v>
      </c>
      <c r="J78">
        <f>SUMPRODUCT((MONTH(CHOOSE({1,2,3,4},TTSSKĐ!U78,TTSSKĐ!AA78,TTSSKĐ!AG78,TTSSKĐ!AM78))=10)*(CHOOSE({1,2,3,4},TTSSKĐ!X78,TTSSKĐ!AD78,TTSSKĐ!AJ78,TTSSKĐ!AP78)))</f>
        <v>0</v>
      </c>
      <c r="K78">
        <f>SUMPRODUCT((MONTH(CHOOSE({1,2,3,4},TTSSKĐ!U78,TTSSKĐ!AA78,TTSSKĐ!AG78,TTSSKĐ!AM78))=11)*(CHOOSE({1,2,3,4},TTSSKĐ!X78,TTSSKĐ!AD78,TTSSKĐ!AJ78,TTSSKĐ!AP78)))</f>
        <v>0</v>
      </c>
      <c r="L78">
        <f>SUMPRODUCT((MONTH(CHOOSE({1,2,3,4},TTSSKĐ!U78,TTSSKĐ!AA78,TTSSKĐ!AG78,TTSSKĐ!AM78))=12)*(CHOOSE({1,2,3,4},TTSSKĐ!X78,TTSSKĐ!AD78,TTSSKĐ!AJ78,TTSSKĐ!AP78)))</f>
        <v>0</v>
      </c>
    </row>
    <row r="79" spans="1:12">
      <c r="A79">
        <f>SUMPRODUCT((MONTH(CHOOSE({1,2,3,4},TTSSKĐ!U79,TTSSKĐ!AA79,TTSSKĐ!AG79,TTSSKĐ!AM79))=1)*(CHOOSE({1,2,3,4},TTSSKĐ!X79,TTSSKĐ!AD79,TTSSKĐ!AJ79,TTSSKĐ!AP79)))</f>
        <v>0</v>
      </c>
      <c r="B79">
        <f>SUMPRODUCT((MONTH(CHOOSE({1,2,3,4},TTSSKĐ!U79,TTSSKĐ!AA79,TTSSKĐ!AG79,TTSSKĐ!AM79))=2)*(CHOOSE({1,2,3,4},TTSSKĐ!X79,TTSSKĐ!AD79,TTSSKĐ!AJ79,TTSSKĐ!AP79)))</f>
        <v>0</v>
      </c>
      <c r="C79">
        <f>SUMPRODUCT((MONTH(CHOOSE({1,2,3,4},TTSSKĐ!U79,TTSSKĐ!AA79,TTSSKĐ!AG79,TTSSKĐ!AM79))=3)*(CHOOSE({1,2,3,4},TTSSKĐ!X79,TTSSKĐ!AD79,TTSSKĐ!AJ79,TTSSKĐ!AP79)))</f>
        <v>0</v>
      </c>
      <c r="D79">
        <f>SUMPRODUCT((MONTH(CHOOSE({1,2,3,4},TTSSKĐ!U79,TTSSKĐ!AA79,TTSSKĐ!AG79,TTSSKĐ!AM79))=4)*(CHOOSE({1,2,3,4},TTSSKĐ!X79,TTSSKĐ!AD79,TTSSKĐ!AJ79,TTSSKĐ!AP79)))</f>
        <v>0</v>
      </c>
      <c r="E79">
        <f>SUMPRODUCT((MONTH(CHOOSE({1,2,3,4},TTSSKĐ!U79,TTSSKĐ!AA79,TTSSKĐ!AG79,TTSSKĐ!AM79))=5)*(CHOOSE({1,2,3,4},TTSSKĐ!X79,TTSSKĐ!AD79,TTSSKĐ!AJ79,TTSSKĐ!AP79)))</f>
        <v>0</v>
      </c>
      <c r="F79">
        <f>SUMPRODUCT((MONTH(CHOOSE({1,2,3,4},TTSSKĐ!U79,TTSSKĐ!AA79,TTSSKĐ!AG79,TTSSKĐ!AM79))=6)*(CHOOSE({1,2,3,4},TTSSKĐ!X79,TTSSKĐ!AD79,TTSSKĐ!AJ79,TTSSKĐ!AP79)))</f>
        <v>0</v>
      </c>
      <c r="G79">
        <f>SUMPRODUCT((MONTH(CHOOSE({1,2,3,4},TTSSKĐ!U79,TTSSKĐ!AA79,TTSSKĐ!AG79,TTSSKĐ!AM79))=7)*(CHOOSE({1,2,3,4},TTSSKĐ!X79,TTSSKĐ!AD79,TTSSKĐ!AJ79,TTSSKĐ!AP79)))</f>
        <v>0</v>
      </c>
      <c r="H79">
        <f>SUMPRODUCT((MONTH(CHOOSE({1,2,3,4},TTSSKĐ!U79,TTSSKĐ!AA79,TTSSKĐ!AG79,TTSSKĐ!AM79))=8)*(CHOOSE({1,2,3,4},TTSSKĐ!X79,TTSSKĐ!AD79,TTSSKĐ!AJ79,TTSSKĐ!AP79)))</f>
        <v>0</v>
      </c>
      <c r="I79">
        <f>SUMPRODUCT((MONTH(CHOOSE({1,2,3,4},TTSSKĐ!U79,TTSSKĐ!AA79,TTSSKĐ!AG79,TTSSKĐ!AM79))=9)*(CHOOSE({1,2,3,4},TTSSKĐ!X79,TTSSKĐ!AD79,TTSSKĐ!AJ79,TTSSKĐ!AP79)))</f>
        <v>0</v>
      </c>
      <c r="J79">
        <f>SUMPRODUCT((MONTH(CHOOSE({1,2,3,4},TTSSKĐ!U79,TTSSKĐ!AA79,TTSSKĐ!AG79,TTSSKĐ!AM79))=10)*(CHOOSE({1,2,3,4},TTSSKĐ!X79,TTSSKĐ!AD79,TTSSKĐ!AJ79,TTSSKĐ!AP79)))</f>
        <v>0</v>
      </c>
      <c r="K79">
        <f>SUMPRODUCT((MONTH(CHOOSE({1,2,3,4},TTSSKĐ!U79,TTSSKĐ!AA79,TTSSKĐ!AG79,TTSSKĐ!AM79))=11)*(CHOOSE({1,2,3,4},TTSSKĐ!X79,TTSSKĐ!AD79,TTSSKĐ!AJ79,TTSSKĐ!AP79)))</f>
        <v>0</v>
      </c>
      <c r="L79">
        <f>SUMPRODUCT((MONTH(CHOOSE({1,2,3,4},TTSSKĐ!U79,TTSSKĐ!AA79,TTSSKĐ!AG79,TTSSKĐ!AM79))=12)*(CHOOSE({1,2,3,4},TTSSKĐ!X79,TTSSKĐ!AD79,TTSSKĐ!AJ79,TTSSKĐ!AP79)))</f>
        <v>0</v>
      </c>
    </row>
    <row r="80" spans="1:12">
      <c r="A80">
        <f>SUMPRODUCT((MONTH(CHOOSE({1,2,3,4},TTSSKĐ!U80,TTSSKĐ!AA80,TTSSKĐ!AG80,TTSSKĐ!AM80))=1)*(CHOOSE({1,2,3,4},TTSSKĐ!X80,TTSSKĐ!AD80,TTSSKĐ!AJ80,TTSSKĐ!AP80)))</f>
        <v>0</v>
      </c>
      <c r="B80">
        <f>SUMPRODUCT((MONTH(CHOOSE({1,2,3,4},TTSSKĐ!U80,TTSSKĐ!AA80,TTSSKĐ!AG80,TTSSKĐ!AM80))=2)*(CHOOSE({1,2,3,4},TTSSKĐ!X80,TTSSKĐ!AD80,TTSSKĐ!AJ80,TTSSKĐ!AP80)))</f>
        <v>0</v>
      </c>
      <c r="C80">
        <f>SUMPRODUCT((MONTH(CHOOSE({1,2,3,4},TTSSKĐ!U80,TTSSKĐ!AA80,TTSSKĐ!AG80,TTSSKĐ!AM80))=3)*(CHOOSE({1,2,3,4},TTSSKĐ!X80,TTSSKĐ!AD80,TTSSKĐ!AJ80,TTSSKĐ!AP80)))</f>
        <v>0</v>
      </c>
      <c r="D80">
        <f>SUMPRODUCT((MONTH(CHOOSE({1,2,3,4},TTSSKĐ!U80,TTSSKĐ!AA80,TTSSKĐ!AG80,TTSSKĐ!AM80))=4)*(CHOOSE({1,2,3,4},TTSSKĐ!X80,TTSSKĐ!AD80,TTSSKĐ!AJ80,TTSSKĐ!AP80)))</f>
        <v>0</v>
      </c>
      <c r="E80">
        <f>SUMPRODUCT((MONTH(CHOOSE({1,2,3,4},TTSSKĐ!U80,TTSSKĐ!AA80,TTSSKĐ!AG80,TTSSKĐ!AM80))=5)*(CHOOSE({1,2,3,4},TTSSKĐ!X80,TTSSKĐ!AD80,TTSSKĐ!AJ80,TTSSKĐ!AP80)))</f>
        <v>0</v>
      </c>
      <c r="F80">
        <f>SUMPRODUCT((MONTH(CHOOSE({1,2,3,4},TTSSKĐ!U80,TTSSKĐ!AA80,TTSSKĐ!AG80,TTSSKĐ!AM80))=6)*(CHOOSE({1,2,3,4},TTSSKĐ!X80,TTSSKĐ!AD80,TTSSKĐ!AJ80,TTSSKĐ!AP80)))</f>
        <v>0</v>
      </c>
      <c r="G80">
        <f>SUMPRODUCT((MONTH(CHOOSE({1,2,3,4},TTSSKĐ!U80,TTSSKĐ!AA80,TTSSKĐ!AG80,TTSSKĐ!AM80))=7)*(CHOOSE({1,2,3,4},TTSSKĐ!X80,TTSSKĐ!AD80,TTSSKĐ!AJ80,TTSSKĐ!AP80)))</f>
        <v>0</v>
      </c>
      <c r="H80">
        <f>SUMPRODUCT((MONTH(CHOOSE({1,2,3,4},TTSSKĐ!U80,TTSSKĐ!AA80,TTSSKĐ!AG80,TTSSKĐ!AM80))=8)*(CHOOSE({1,2,3,4},TTSSKĐ!X80,TTSSKĐ!AD80,TTSSKĐ!AJ80,TTSSKĐ!AP80)))</f>
        <v>0</v>
      </c>
      <c r="I80">
        <f>SUMPRODUCT((MONTH(CHOOSE({1,2,3,4},TTSSKĐ!U80,TTSSKĐ!AA80,TTSSKĐ!AG80,TTSSKĐ!AM80))=9)*(CHOOSE({1,2,3,4},TTSSKĐ!X80,TTSSKĐ!AD80,TTSSKĐ!AJ80,TTSSKĐ!AP80)))</f>
        <v>0</v>
      </c>
      <c r="J80">
        <f>SUMPRODUCT((MONTH(CHOOSE({1,2,3,4},TTSSKĐ!U80,TTSSKĐ!AA80,TTSSKĐ!AG80,TTSSKĐ!AM80))=10)*(CHOOSE({1,2,3,4},TTSSKĐ!X80,TTSSKĐ!AD80,TTSSKĐ!AJ80,TTSSKĐ!AP80)))</f>
        <v>0</v>
      </c>
      <c r="K80">
        <f>SUMPRODUCT((MONTH(CHOOSE({1,2,3,4},TTSSKĐ!U80,TTSSKĐ!AA80,TTSSKĐ!AG80,TTSSKĐ!AM80))=11)*(CHOOSE({1,2,3,4},TTSSKĐ!X80,TTSSKĐ!AD80,TTSSKĐ!AJ80,TTSSKĐ!AP80)))</f>
        <v>0</v>
      </c>
      <c r="L80">
        <f>SUMPRODUCT((MONTH(CHOOSE({1,2,3,4},TTSSKĐ!U80,TTSSKĐ!AA80,TTSSKĐ!AG80,TTSSKĐ!AM80))=12)*(CHOOSE({1,2,3,4},TTSSKĐ!X80,TTSSKĐ!AD80,TTSSKĐ!AJ80,TTSSKĐ!AP80)))</f>
        <v>0</v>
      </c>
    </row>
    <row r="81" spans="1:12">
      <c r="A81">
        <f>SUMPRODUCT((MONTH(CHOOSE({1,2,3,4},TTSSKĐ!U81,TTSSKĐ!AA81,TTSSKĐ!AG81,TTSSKĐ!AM81))=1)*(CHOOSE({1,2,3,4},TTSSKĐ!X81,TTSSKĐ!AD81,TTSSKĐ!AJ81,TTSSKĐ!AP81)))</f>
        <v>0</v>
      </c>
      <c r="B81">
        <f>SUMPRODUCT((MONTH(CHOOSE({1,2,3,4},TTSSKĐ!U81,TTSSKĐ!AA81,TTSSKĐ!AG81,TTSSKĐ!AM81))=2)*(CHOOSE({1,2,3,4},TTSSKĐ!X81,TTSSKĐ!AD81,TTSSKĐ!AJ81,TTSSKĐ!AP81)))</f>
        <v>0</v>
      </c>
      <c r="C81">
        <f>SUMPRODUCT((MONTH(CHOOSE({1,2,3,4},TTSSKĐ!U81,TTSSKĐ!AA81,TTSSKĐ!AG81,TTSSKĐ!AM81))=3)*(CHOOSE({1,2,3,4},TTSSKĐ!X81,TTSSKĐ!AD81,TTSSKĐ!AJ81,TTSSKĐ!AP81)))</f>
        <v>0</v>
      </c>
      <c r="D81">
        <f>SUMPRODUCT((MONTH(CHOOSE({1,2,3,4},TTSSKĐ!U81,TTSSKĐ!AA81,TTSSKĐ!AG81,TTSSKĐ!AM81))=4)*(CHOOSE({1,2,3,4},TTSSKĐ!X81,TTSSKĐ!AD81,TTSSKĐ!AJ81,TTSSKĐ!AP81)))</f>
        <v>0</v>
      </c>
      <c r="E81">
        <f>SUMPRODUCT((MONTH(CHOOSE({1,2,3,4},TTSSKĐ!U81,TTSSKĐ!AA81,TTSSKĐ!AG81,TTSSKĐ!AM81))=5)*(CHOOSE({1,2,3,4},TTSSKĐ!X81,TTSSKĐ!AD81,TTSSKĐ!AJ81,TTSSKĐ!AP81)))</f>
        <v>0</v>
      </c>
      <c r="F81">
        <f>SUMPRODUCT((MONTH(CHOOSE({1,2,3,4},TTSSKĐ!U81,TTSSKĐ!AA81,TTSSKĐ!AG81,TTSSKĐ!AM81))=6)*(CHOOSE({1,2,3,4},TTSSKĐ!X81,TTSSKĐ!AD81,TTSSKĐ!AJ81,TTSSKĐ!AP81)))</f>
        <v>0</v>
      </c>
      <c r="G81">
        <f>SUMPRODUCT((MONTH(CHOOSE({1,2,3,4},TTSSKĐ!U81,TTSSKĐ!AA81,TTSSKĐ!AG81,TTSSKĐ!AM81))=7)*(CHOOSE({1,2,3,4},TTSSKĐ!X81,TTSSKĐ!AD81,TTSSKĐ!AJ81,TTSSKĐ!AP81)))</f>
        <v>0</v>
      </c>
      <c r="H81">
        <f>SUMPRODUCT((MONTH(CHOOSE({1,2,3,4},TTSSKĐ!U81,TTSSKĐ!AA81,TTSSKĐ!AG81,TTSSKĐ!AM81))=8)*(CHOOSE({1,2,3,4},TTSSKĐ!X81,TTSSKĐ!AD81,TTSSKĐ!AJ81,TTSSKĐ!AP81)))</f>
        <v>0</v>
      </c>
      <c r="I81">
        <f>SUMPRODUCT((MONTH(CHOOSE({1,2,3,4},TTSSKĐ!U81,TTSSKĐ!AA81,TTSSKĐ!AG81,TTSSKĐ!AM81))=9)*(CHOOSE({1,2,3,4},TTSSKĐ!X81,TTSSKĐ!AD81,TTSSKĐ!AJ81,TTSSKĐ!AP81)))</f>
        <v>0</v>
      </c>
      <c r="J81">
        <f>SUMPRODUCT((MONTH(CHOOSE({1,2,3,4},TTSSKĐ!U81,TTSSKĐ!AA81,TTSSKĐ!AG81,TTSSKĐ!AM81))=10)*(CHOOSE({1,2,3,4},TTSSKĐ!X81,TTSSKĐ!AD81,TTSSKĐ!AJ81,TTSSKĐ!AP81)))</f>
        <v>0</v>
      </c>
      <c r="K81">
        <f>SUMPRODUCT((MONTH(CHOOSE({1,2,3,4},TTSSKĐ!U81,TTSSKĐ!AA81,TTSSKĐ!AG81,TTSSKĐ!AM81))=11)*(CHOOSE({1,2,3,4},TTSSKĐ!X81,TTSSKĐ!AD81,TTSSKĐ!AJ81,TTSSKĐ!AP81)))</f>
        <v>0</v>
      </c>
      <c r="L81">
        <f>SUMPRODUCT((MONTH(CHOOSE({1,2,3,4},TTSSKĐ!U81,TTSSKĐ!AA81,TTSSKĐ!AG81,TTSSKĐ!AM81))=12)*(CHOOSE({1,2,3,4},TTSSKĐ!X81,TTSSKĐ!AD81,TTSSKĐ!AJ81,TTSSKĐ!AP81)))</f>
        <v>0</v>
      </c>
    </row>
    <row r="82" spans="1:12">
      <c r="A82">
        <f>SUMPRODUCT((MONTH(CHOOSE({1,2,3,4},TTSSKĐ!U82,TTSSKĐ!AA82,TTSSKĐ!AG82,TTSSKĐ!AM82))=1)*(CHOOSE({1,2,3,4},TTSSKĐ!X82,TTSSKĐ!AD82,TTSSKĐ!AJ82,TTSSKĐ!AP82)))</f>
        <v>0</v>
      </c>
      <c r="B82">
        <f>SUMPRODUCT((MONTH(CHOOSE({1,2,3,4},TTSSKĐ!U82,TTSSKĐ!AA82,TTSSKĐ!AG82,TTSSKĐ!AM82))=2)*(CHOOSE({1,2,3,4},TTSSKĐ!X82,TTSSKĐ!AD82,TTSSKĐ!AJ82,TTSSKĐ!AP82)))</f>
        <v>0</v>
      </c>
      <c r="C82">
        <f>SUMPRODUCT((MONTH(CHOOSE({1,2,3,4},TTSSKĐ!U82,TTSSKĐ!AA82,TTSSKĐ!AG82,TTSSKĐ!AM82))=3)*(CHOOSE({1,2,3,4},TTSSKĐ!X82,TTSSKĐ!AD82,TTSSKĐ!AJ82,TTSSKĐ!AP82)))</f>
        <v>0</v>
      </c>
      <c r="D82">
        <f>SUMPRODUCT((MONTH(CHOOSE({1,2,3,4},TTSSKĐ!U82,TTSSKĐ!AA82,TTSSKĐ!AG82,TTSSKĐ!AM82))=4)*(CHOOSE({1,2,3,4},TTSSKĐ!X82,TTSSKĐ!AD82,TTSSKĐ!AJ82,TTSSKĐ!AP82)))</f>
        <v>0</v>
      </c>
      <c r="E82">
        <f>SUMPRODUCT((MONTH(CHOOSE({1,2,3,4},TTSSKĐ!U82,TTSSKĐ!AA82,TTSSKĐ!AG82,TTSSKĐ!AM82))=5)*(CHOOSE({1,2,3,4},TTSSKĐ!X82,TTSSKĐ!AD82,TTSSKĐ!AJ82,TTSSKĐ!AP82)))</f>
        <v>0</v>
      </c>
      <c r="F82">
        <f>SUMPRODUCT((MONTH(CHOOSE({1,2,3,4},TTSSKĐ!U82,TTSSKĐ!AA82,TTSSKĐ!AG82,TTSSKĐ!AM82))=6)*(CHOOSE({1,2,3,4},TTSSKĐ!X82,TTSSKĐ!AD82,TTSSKĐ!AJ82,TTSSKĐ!AP82)))</f>
        <v>0</v>
      </c>
      <c r="G82">
        <f>SUMPRODUCT((MONTH(CHOOSE({1,2,3,4},TTSSKĐ!U82,TTSSKĐ!AA82,TTSSKĐ!AG82,TTSSKĐ!AM82))=7)*(CHOOSE({1,2,3,4},TTSSKĐ!X82,TTSSKĐ!AD82,TTSSKĐ!AJ82,TTSSKĐ!AP82)))</f>
        <v>0</v>
      </c>
      <c r="H82">
        <f>SUMPRODUCT((MONTH(CHOOSE({1,2,3,4},TTSSKĐ!U82,TTSSKĐ!AA82,TTSSKĐ!AG82,TTSSKĐ!AM82))=8)*(CHOOSE({1,2,3,4},TTSSKĐ!X82,TTSSKĐ!AD82,TTSSKĐ!AJ82,TTSSKĐ!AP82)))</f>
        <v>0</v>
      </c>
      <c r="I82">
        <f>SUMPRODUCT((MONTH(CHOOSE({1,2,3,4},TTSSKĐ!U82,TTSSKĐ!AA82,TTSSKĐ!AG82,TTSSKĐ!AM82))=9)*(CHOOSE({1,2,3,4},TTSSKĐ!X82,TTSSKĐ!AD82,TTSSKĐ!AJ82,TTSSKĐ!AP82)))</f>
        <v>0</v>
      </c>
      <c r="J82">
        <f>SUMPRODUCT((MONTH(CHOOSE({1,2,3,4},TTSSKĐ!U82,TTSSKĐ!AA82,TTSSKĐ!AG82,TTSSKĐ!AM82))=10)*(CHOOSE({1,2,3,4},TTSSKĐ!X82,TTSSKĐ!AD82,TTSSKĐ!AJ82,TTSSKĐ!AP82)))</f>
        <v>0</v>
      </c>
      <c r="K82">
        <f>SUMPRODUCT((MONTH(CHOOSE({1,2,3,4},TTSSKĐ!U82,TTSSKĐ!AA82,TTSSKĐ!AG82,TTSSKĐ!AM82))=11)*(CHOOSE({1,2,3,4},TTSSKĐ!X82,TTSSKĐ!AD82,TTSSKĐ!AJ82,TTSSKĐ!AP82)))</f>
        <v>0</v>
      </c>
      <c r="L82">
        <f>SUMPRODUCT((MONTH(CHOOSE({1,2,3,4},TTSSKĐ!U82,TTSSKĐ!AA82,TTSSKĐ!AG82,TTSSKĐ!AM82))=12)*(CHOOSE({1,2,3,4},TTSSKĐ!X82,TTSSKĐ!AD82,TTSSKĐ!AJ82,TTSSKĐ!AP82)))</f>
        <v>0</v>
      </c>
    </row>
    <row r="83" spans="1:12">
      <c r="A83">
        <f>SUMPRODUCT((MONTH(CHOOSE({1,2,3,4},TTSSKĐ!U83,TTSSKĐ!AA83,TTSSKĐ!AG83,TTSSKĐ!AM83))=1)*(CHOOSE({1,2,3,4},TTSSKĐ!X83,TTSSKĐ!AD83,TTSSKĐ!AJ83,TTSSKĐ!AP83)))</f>
        <v>0</v>
      </c>
      <c r="B83">
        <f>SUMPRODUCT((MONTH(CHOOSE({1,2,3,4},TTSSKĐ!U83,TTSSKĐ!AA83,TTSSKĐ!AG83,TTSSKĐ!AM83))=2)*(CHOOSE({1,2,3,4},TTSSKĐ!X83,TTSSKĐ!AD83,TTSSKĐ!AJ83,TTSSKĐ!AP83)))</f>
        <v>0</v>
      </c>
      <c r="C83">
        <f>SUMPRODUCT((MONTH(CHOOSE({1,2,3,4},TTSSKĐ!U83,TTSSKĐ!AA83,TTSSKĐ!AG83,TTSSKĐ!AM83))=3)*(CHOOSE({1,2,3,4},TTSSKĐ!X83,TTSSKĐ!AD83,TTSSKĐ!AJ83,TTSSKĐ!AP83)))</f>
        <v>0</v>
      </c>
      <c r="D83">
        <f>SUMPRODUCT((MONTH(CHOOSE({1,2,3,4},TTSSKĐ!U83,TTSSKĐ!AA83,TTSSKĐ!AG83,TTSSKĐ!AM83))=4)*(CHOOSE({1,2,3,4},TTSSKĐ!X83,TTSSKĐ!AD83,TTSSKĐ!AJ83,TTSSKĐ!AP83)))</f>
        <v>0</v>
      </c>
      <c r="E83">
        <f>SUMPRODUCT((MONTH(CHOOSE({1,2,3,4},TTSSKĐ!U83,TTSSKĐ!AA83,TTSSKĐ!AG83,TTSSKĐ!AM83))=5)*(CHOOSE({1,2,3,4},TTSSKĐ!X83,TTSSKĐ!AD83,TTSSKĐ!AJ83,TTSSKĐ!AP83)))</f>
        <v>0</v>
      </c>
      <c r="F83">
        <f>SUMPRODUCT((MONTH(CHOOSE({1,2,3,4},TTSSKĐ!U83,TTSSKĐ!AA83,TTSSKĐ!AG83,TTSSKĐ!AM83))=6)*(CHOOSE({1,2,3,4},TTSSKĐ!X83,TTSSKĐ!AD83,TTSSKĐ!AJ83,TTSSKĐ!AP83)))</f>
        <v>0</v>
      </c>
      <c r="G83">
        <f>SUMPRODUCT((MONTH(CHOOSE({1,2,3,4},TTSSKĐ!U83,TTSSKĐ!AA83,TTSSKĐ!AG83,TTSSKĐ!AM83))=7)*(CHOOSE({1,2,3,4},TTSSKĐ!X83,TTSSKĐ!AD83,TTSSKĐ!AJ83,TTSSKĐ!AP83)))</f>
        <v>0</v>
      </c>
      <c r="H83">
        <f>SUMPRODUCT((MONTH(CHOOSE({1,2,3,4},TTSSKĐ!U83,TTSSKĐ!AA83,TTSSKĐ!AG83,TTSSKĐ!AM83))=8)*(CHOOSE({1,2,3,4},TTSSKĐ!X83,TTSSKĐ!AD83,TTSSKĐ!AJ83,TTSSKĐ!AP83)))</f>
        <v>0</v>
      </c>
      <c r="I83">
        <f>SUMPRODUCT((MONTH(CHOOSE({1,2,3,4},TTSSKĐ!U83,TTSSKĐ!AA83,TTSSKĐ!AG83,TTSSKĐ!AM83))=9)*(CHOOSE({1,2,3,4},TTSSKĐ!X83,TTSSKĐ!AD83,TTSSKĐ!AJ83,TTSSKĐ!AP83)))</f>
        <v>0</v>
      </c>
      <c r="J83">
        <f>SUMPRODUCT((MONTH(CHOOSE({1,2,3,4},TTSSKĐ!U83,TTSSKĐ!AA83,TTSSKĐ!AG83,TTSSKĐ!AM83))=10)*(CHOOSE({1,2,3,4},TTSSKĐ!X83,TTSSKĐ!AD83,TTSSKĐ!AJ83,TTSSKĐ!AP83)))</f>
        <v>0</v>
      </c>
      <c r="K83">
        <f>SUMPRODUCT((MONTH(CHOOSE({1,2,3,4},TTSSKĐ!U83,TTSSKĐ!AA83,TTSSKĐ!AG83,TTSSKĐ!AM83))=11)*(CHOOSE({1,2,3,4},TTSSKĐ!X83,TTSSKĐ!AD83,TTSSKĐ!AJ83,TTSSKĐ!AP83)))</f>
        <v>0</v>
      </c>
      <c r="L83">
        <f>SUMPRODUCT((MONTH(CHOOSE({1,2,3,4},TTSSKĐ!U83,TTSSKĐ!AA83,TTSSKĐ!AG83,TTSSKĐ!AM83))=12)*(CHOOSE({1,2,3,4},TTSSKĐ!X83,TTSSKĐ!AD83,TTSSKĐ!AJ83,TTSSKĐ!AP83)))</f>
        <v>0</v>
      </c>
    </row>
    <row r="84" spans="1:12">
      <c r="A84">
        <f>SUMPRODUCT((MONTH(CHOOSE({1,2,3,4},TTSSKĐ!U84,TTSSKĐ!AA84,TTSSKĐ!AG84,TTSSKĐ!AM84))=1)*(CHOOSE({1,2,3,4},TTSSKĐ!X84,TTSSKĐ!AD84,TTSSKĐ!AJ84,TTSSKĐ!AP84)))</f>
        <v>0</v>
      </c>
      <c r="B84">
        <f>SUMPRODUCT((MONTH(CHOOSE({1,2,3,4},TTSSKĐ!U84,TTSSKĐ!AA84,TTSSKĐ!AG84,TTSSKĐ!AM84))=2)*(CHOOSE({1,2,3,4},TTSSKĐ!X84,TTSSKĐ!AD84,TTSSKĐ!AJ84,TTSSKĐ!AP84)))</f>
        <v>0</v>
      </c>
      <c r="C84">
        <f>SUMPRODUCT((MONTH(CHOOSE({1,2,3,4},TTSSKĐ!U84,TTSSKĐ!AA84,TTSSKĐ!AG84,TTSSKĐ!AM84))=3)*(CHOOSE({1,2,3,4},TTSSKĐ!X84,TTSSKĐ!AD84,TTSSKĐ!AJ84,TTSSKĐ!AP84)))</f>
        <v>0</v>
      </c>
      <c r="D84">
        <f>SUMPRODUCT((MONTH(CHOOSE({1,2,3,4},TTSSKĐ!U84,TTSSKĐ!AA84,TTSSKĐ!AG84,TTSSKĐ!AM84))=4)*(CHOOSE({1,2,3,4},TTSSKĐ!X84,TTSSKĐ!AD84,TTSSKĐ!AJ84,TTSSKĐ!AP84)))</f>
        <v>0</v>
      </c>
      <c r="E84">
        <f>SUMPRODUCT((MONTH(CHOOSE({1,2,3,4},TTSSKĐ!U84,TTSSKĐ!AA84,TTSSKĐ!AG84,TTSSKĐ!AM84))=5)*(CHOOSE({1,2,3,4},TTSSKĐ!X84,TTSSKĐ!AD84,TTSSKĐ!AJ84,TTSSKĐ!AP84)))</f>
        <v>0</v>
      </c>
      <c r="F84">
        <f>SUMPRODUCT((MONTH(CHOOSE({1,2,3,4},TTSSKĐ!U84,TTSSKĐ!AA84,TTSSKĐ!AG84,TTSSKĐ!AM84))=6)*(CHOOSE({1,2,3,4},TTSSKĐ!X84,TTSSKĐ!AD84,TTSSKĐ!AJ84,TTSSKĐ!AP84)))</f>
        <v>0</v>
      </c>
      <c r="G84">
        <f>SUMPRODUCT((MONTH(CHOOSE({1,2,3,4},TTSSKĐ!U84,TTSSKĐ!AA84,TTSSKĐ!AG84,TTSSKĐ!AM84))=7)*(CHOOSE({1,2,3,4},TTSSKĐ!X84,TTSSKĐ!AD84,TTSSKĐ!AJ84,TTSSKĐ!AP84)))</f>
        <v>0</v>
      </c>
      <c r="H84">
        <f>SUMPRODUCT((MONTH(CHOOSE({1,2,3,4},TTSSKĐ!U84,TTSSKĐ!AA84,TTSSKĐ!AG84,TTSSKĐ!AM84))=8)*(CHOOSE({1,2,3,4},TTSSKĐ!X84,TTSSKĐ!AD84,TTSSKĐ!AJ84,TTSSKĐ!AP84)))</f>
        <v>0</v>
      </c>
      <c r="I84">
        <f>SUMPRODUCT((MONTH(CHOOSE({1,2,3,4},TTSSKĐ!U84,TTSSKĐ!AA84,TTSSKĐ!AG84,TTSSKĐ!AM84))=9)*(CHOOSE({1,2,3,4},TTSSKĐ!X84,TTSSKĐ!AD84,TTSSKĐ!AJ84,TTSSKĐ!AP84)))</f>
        <v>0</v>
      </c>
      <c r="J84">
        <f>SUMPRODUCT((MONTH(CHOOSE({1,2,3,4},TTSSKĐ!U84,TTSSKĐ!AA84,TTSSKĐ!AG84,TTSSKĐ!AM84))=10)*(CHOOSE({1,2,3,4},TTSSKĐ!X84,TTSSKĐ!AD84,TTSSKĐ!AJ84,TTSSKĐ!AP84)))</f>
        <v>0</v>
      </c>
      <c r="K84">
        <f>SUMPRODUCT((MONTH(CHOOSE({1,2,3,4},TTSSKĐ!U84,TTSSKĐ!AA84,TTSSKĐ!AG84,TTSSKĐ!AM84))=11)*(CHOOSE({1,2,3,4},TTSSKĐ!X84,TTSSKĐ!AD84,TTSSKĐ!AJ84,TTSSKĐ!AP84)))</f>
        <v>0</v>
      </c>
      <c r="L84">
        <f>SUMPRODUCT((MONTH(CHOOSE({1,2,3,4},TTSSKĐ!U84,TTSSKĐ!AA84,TTSSKĐ!AG84,TTSSKĐ!AM84))=12)*(CHOOSE({1,2,3,4},TTSSKĐ!X84,TTSSKĐ!AD84,TTSSKĐ!AJ84,TTSSKĐ!AP84)))</f>
        <v>0</v>
      </c>
    </row>
    <row r="85" spans="1:12">
      <c r="A85">
        <f>SUMPRODUCT((MONTH(CHOOSE({1,2,3,4},TTSSKĐ!U85,TTSSKĐ!AA85,TTSSKĐ!AG85,TTSSKĐ!AM85))=1)*(CHOOSE({1,2,3,4},TTSSKĐ!X85,TTSSKĐ!AD85,TTSSKĐ!AJ85,TTSSKĐ!AP85)))</f>
        <v>0</v>
      </c>
      <c r="B85">
        <f>SUMPRODUCT((MONTH(CHOOSE({1,2,3,4},TTSSKĐ!U85,TTSSKĐ!AA85,TTSSKĐ!AG85,TTSSKĐ!AM85))=2)*(CHOOSE({1,2,3,4},TTSSKĐ!X85,TTSSKĐ!AD85,TTSSKĐ!AJ85,TTSSKĐ!AP85)))</f>
        <v>0</v>
      </c>
      <c r="C85">
        <f>SUMPRODUCT((MONTH(CHOOSE({1,2,3,4},TTSSKĐ!U85,TTSSKĐ!AA85,TTSSKĐ!AG85,TTSSKĐ!AM85))=3)*(CHOOSE({1,2,3,4},TTSSKĐ!X85,TTSSKĐ!AD85,TTSSKĐ!AJ85,TTSSKĐ!AP85)))</f>
        <v>0</v>
      </c>
      <c r="D85">
        <f>SUMPRODUCT((MONTH(CHOOSE({1,2,3,4},TTSSKĐ!U85,TTSSKĐ!AA85,TTSSKĐ!AG85,TTSSKĐ!AM85))=4)*(CHOOSE({1,2,3,4},TTSSKĐ!X85,TTSSKĐ!AD85,TTSSKĐ!AJ85,TTSSKĐ!AP85)))</f>
        <v>0</v>
      </c>
      <c r="E85">
        <f>SUMPRODUCT((MONTH(CHOOSE({1,2,3,4},TTSSKĐ!U85,TTSSKĐ!AA85,TTSSKĐ!AG85,TTSSKĐ!AM85))=5)*(CHOOSE({1,2,3,4},TTSSKĐ!X85,TTSSKĐ!AD85,TTSSKĐ!AJ85,TTSSKĐ!AP85)))</f>
        <v>0</v>
      </c>
      <c r="F85">
        <f>SUMPRODUCT((MONTH(CHOOSE({1,2,3,4},TTSSKĐ!U85,TTSSKĐ!AA85,TTSSKĐ!AG85,TTSSKĐ!AM85))=6)*(CHOOSE({1,2,3,4},TTSSKĐ!X85,TTSSKĐ!AD85,TTSSKĐ!AJ85,TTSSKĐ!AP85)))</f>
        <v>0</v>
      </c>
      <c r="G85">
        <f>SUMPRODUCT((MONTH(CHOOSE({1,2,3,4},TTSSKĐ!U85,TTSSKĐ!AA85,TTSSKĐ!AG85,TTSSKĐ!AM85))=7)*(CHOOSE({1,2,3,4},TTSSKĐ!X85,TTSSKĐ!AD85,TTSSKĐ!AJ85,TTSSKĐ!AP85)))</f>
        <v>0</v>
      </c>
      <c r="H85">
        <f>SUMPRODUCT((MONTH(CHOOSE({1,2,3,4},TTSSKĐ!U85,TTSSKĐ!AA85,TTSSKĐ!AG85,TTSSKĐ!AM85))=8)*(CHOOSE({1,2,3,4},TTSSKĐ!X85,TTSSKĐ!AD85,TTSSKĐ!AJ85,TTSSKĐ!AP85)))</f>
        <v>0</v>
      </c>
      <c r="I85">
        <f>SUMPRODUCT((MONTH(CHOOSE({1,2,3,4},TTSSKĐ!U85,TTSSKĐ!AA85,TTSSKĐ!AG85,TTSSKĐ!AM85))=9)*(CHOOSE({1,2,3,4},TTSSKĐ!X85,TTSSKĐ!AD85,TTSSKĐ!AJ85,TTSSKĐ!AP85)))</f>
        <v>0</v>
      </c>
      <c r="J85">
        <f>SUMPRODUCT((MONTH(CHOOSE({1,2,3,4},TTSSKĐ!U85,TTSSKĐ!AA85,TTSSKĐ!AG85,TTSSKĐ!AM85))=10)*(CHOOSE({1,2,3,4},TTSSKĐ!X85,TTSSKĐ!AD85,TTSSKĐ!AJ85,TTSSKĐ!AP85)))</f>
        <v>0</v>
      </c>
      <c r="K85">
        <f>SUMPRODUCT((MONTH(CHOOSE({1,2,3,4},TTSSKĐ!U85,TTSSKĐ!AA85,TTSSKĐ!AG85,TTSSKĐ!AM85))=11)*(CHOOSE({1,2,3,4},TTSSKĐ!X85,TTSSKĐ!AD85,TTSSKĐ!AJ85,TTSSKĐ!AP85)))</f>
        <v>0</v>
      </c>
      <c r="L85">
        <f>SUMPRODUCT((MONTH(CHOOSE({1,2,3,4},TTSSKĐ!U85,TTSSKĐ!AA85,TTSSKĐ!AG85,TTSSKĐ!AM85))=12)*(CHOOSE({1,2,3,4},TTSSKĐ!X85,TTSSKĐ!AD85,TTSSKĐ!AJ85,TTSSKĐ!AP85)))</f>
        <v>0</v>
      </c>
    </row>
    <row r="86" spans="1:12">
      <c r="A86">
        <f>SUMPRODUCT((MONTH(CHOOSE({1,2,3,4},TTSSKĐ!U86,TTSSKĐ!AA86,TTSSKĐ!AG86,TTSSKĐ!AM86))=1)*(CHOOSE({1,2,3,4},TTSSKĐ!X86,TTSSKĐ!AD86,TTSSKĐ!AJ86,TTSSKĐ!AP86)))</f>
        <v>0</v>
      </c>
      <c r="B86">
        <f>SUMPRODUCT((MONTH(CHOOSE({1,2,3,4},TTSSKĐ!U86,TTSSKĐ!AA86,TTSSKĐ!AG86,TTSSKĐ!AM86))=2)*(CHOOSE({1,2,3,4},TTSSKĐ!X86,TTSSKĐ!AD86,TTSSKĐ!AJ86,TTSSKĐ!AP86)))</f>
        <v>0</v>
      </c>
      <c r="C86">
        <f>SUMPRODUCT((MONTH(CHOOSE({1,2,3,4},TTSSKĐ!U86,TTSSKĐ!AA86,TTSSKĐ!AG86,TTSSKĐ!AM86))=3)*(CHOOSE({1,2,3,4},TTSSKĐ!X86,TTSSKĐ!AD86,TTSSKĐ!AJ86,TTSSKĐ!AP86)))</f>
        <v>0</v>
      </c>
      <c r="D86">
        <f>SUMPRODUCT((MONTH(CHOOSE({1,2,3,4},TTSSKĐ!U86,TTSSKĐ!AA86,TTSSKĐ!AG86,TTSSKĐ!AM86))=4)*(CHOOSE({1,2,3,4},TTSSKĐ!X86,TTSSKĐ!AD86,TTSSKĐ!AJ86,TTSSKĐ!AP86)))</f>
        <v>0</v>
      </c>
      <c r="E86">
        <f>SUMPRODUCT((MONTH(CHOOSE({1,2,3,4},TTSSKĐ!U86,TTSSKĐ!AA86,TTSSKĐ!AG86,TTSSKĐ!AM86))=5)*(CHOOSE({1,2,3,4},TTSSKĐ!X86,TTSSKĐ!AD86,TTSSKĐ!AJ86,TTSSKĐ!AP86)))</f>
        <v>0</v>
      </c>
      <c r="F86">
        <f>SUMPRODUCT((MONTH(CHOOSE({1,2,3,4},TTSSKĐ!U86,TTSSKĐ!AA86,TTSSKĐ!AG86,TTSSKĐ!AM86))=6)*(CHOOSE({1,2,3,4},TTSSKĐ!X86,TTSSKĐ!AD86,TTSSKĐ!AJ86,TTSSKĐ!AP86)))</f>
        <v>0</v>
      </c>
      <c r="G86">
        <f>SUMPRODUCT((MONTH(CHOOSE({1,2,3,4},TTSSKĐ!U86,TTSSKĐ!AA86,TTSSKĐ!AG86,TTSSKĐ!AM86))=7)*(CHOOSE({1,2,3,4},TTSSKĐ!X86,TTSSKĐ!AD86,TTSSKĐ!AJ86,TTSSKĐ!AP86)))</f>
        <v>0</v>
      </c>
      <c r="H86">
        <f>SUMPRODUCT((MONTH(CHOOSE({1,2,3,4},TTSSKĐ!U86,TTSSKĐ!AA86,TTSSKĐ!AG86,TTSSKĐ!AM86))=8)*(CHOOSE({1,2,3,4},TTSSKĐ!X86,TTSSKĐ!AD86,TTSSKĐ!AJ86,TTSSKĐ!AP86)))</f>
        <v>0</v>
      </c>
      <c r="I86">
        <f>SUMPRODUCT((MONTH(CHOOSE({1,2,3,4},TTSSKĐ!U86,TTSSKĐ!AA86,TTSSKĐ!AG86,TTSSKĐ!AM86))=9)*(CHOOSE({1,2,3,4},TTSSKĐ!X86,TTSSKĐ!AD86,TTSSKĐ!AJ86,TTSSKĐ!AP86)))</f>
        <v>0</v>
      </c>
      <c r="J86">
        <f>SUMPRODUCT((MONTH(CHOOSE({1,2,3,4},TTSSKĐ!U86,TTSSKĐ!AA86,TTSSKĐ!AG86,TTSSKĐ!AM86))=10)*(CHOOSE({1,2,3,4},TTSSKĐ!X86,TTSSKĐ!AD86,TTSSKĐ!AJ86,TTSSKĐ!AP86)))</f>
        <v>0</v>
      </c>
      <c r="K86">
        <f>SUMPRODUCT((MONTH(CHOOSE({1,2,3,4},TTSSKĐ!U86,TTSSKĐ!AA86,TTSSKĐ!AG86,TTSSKĐ!AM86))=11)*(CHOOSE({1,2,3,4},TTSSKĐ!X86,TTSSKĐ!AD86,TTSSKĐ!AJ86,TTSSKĐ!AP86)))</f>
        <v>0</v>
      </c>
      <c r="L86">
        <f>SUMPRODUCT((MONTH(CHOOSE({1,2,3,4},TTSSKĐ!U86,TTSSKĐ!AA86,TTSSKĐ!AG86,TTSSKĐ!AM86))=12)*(CHOOSE({1,2,3,4},TTSSKĐ!X86,TTSSKĐ!AD86,TTSSKĐ!AJ86,TTSSKĐ!AP86)))</f>
        <v>0</v>
      </c>
    </row>
    <row r="87" spans="1:12">
      <c r="A87">
        <f>SUMPRODUCT((MONTH(CHOOSE({1,2,3,4},TTSSKĐ!U87,TTSSKĐ!AA87,TTSSKĐ!AG87,TTSSKĐ!AM87))=1)*(CHOOSE({1,2,3,4},TTSSKĐ!X87,TTSSKĐ!AD87,TTSSKĐ!AJ87,TTSSKĐ!AP87)))</f>
        <v>0</v>
      </c>
      <c r="B87">
        <f>SUMPRODUCT((MONTH(CHOOSE({1,2,3,4},TTSSKĐ!U87,TTSSKĐ!AA87,TTSSKĐ!AG87,TTSSKĐ!AM87))=2)*(CHOOSE({1,2,3,4},TTSSKĐ!X87,TTSSKĐ!AD87,TTSSKĐ!AJ87,TTSSKĐ!AP87)))</f>
        <v>0</v>
      </c>
      <c r="C87">
        <f>SUMPRODUCT((MONTH(CHOOSE({1,2,3,4},TTSSKĐ!U87,TTSSKĐ!AA87,TTSSKĐ!AG87,TTSSKĐ!AM87))=3)*(CHOOSE({1,2,3,4},TTSSKĐ!X87,TTSSKĐ!AD87,TTSSKĐ!AJ87,TTSSKĐ!AP87)))</f>
        <v>0</v>
      </c>
      <c r="D87">
        <f>SUMPRODUCT((MONTH(CHOOSE({1,2,3,4},TTSSKĐ!U87,TTSSKĐ!AA87,TTSSKĐ!AG87,TTSSKĐ!AM87))=4)*(CHOOSE({1,2,3,4},TTSSKĐ!X87,TTSSKĐ!AD87,TTSSKĐ!AJ87,TTSSKĐ!AP87)))</f>
        <v>0</v>
      </c>
      <c r="E87">
        <f>SUMPRODUCT((MONTH(CHOOSE({1,2,3,4},TTSSKĐ!U87,TTSSKĐ!AA87,TTSSKĐ!AG87,TTSSKĐ!AM87))=5)*(CHOOSE({1,2,3,4},TTSSKĐ!X87,TTSSKĐ!AD87,TTSSKĐ!AJ87,TTSSKĐ!AP87)))</f>
        <v>0</v>
      </c>
      <c r="F87">
        <f>SUMPRODUCT((MONTH(CHOOSE({1,2,3,4},TTSSKĐ!U87,TTSSKĐ!AA87,TTSSKĐ!AG87,TTSSKĐ!AM87))=6)*(CHOOSE({1,2,3,4},TTSSKĐ!X87,TTSSKĐ!AD87,TTSSKĐ!AJ87,TTSSKĐ!AP87)))</f>
        <v>0</v>
      </c>
      <c r="G87">
        <f>SUMPRODUCT((MONTH(CHOOSE({1,2,3,4},TTSSKĐ!U87,TTSSKĐ!AA87,TTSSKĐ!AG87,TTSSKĐ!AM87))=7)*(CHOOSE({1,2,3,4},TTSSKĐ!X87,TTSSKĐ!AD87,TTSSKĐ!AJ87,TTSSKĐ!AP87)))</f>
        <v>0</v>
      </c>
      <c r="H87">
        <f>SUMPRODUCT((MONTH(CHOOSE({1,2,3,4},TTSSKĐ!U87,TTSSKĐ!AA87,TTSSKĐ!AG87,TTSSKĐ!AM87))=8)*(CHOOSE({1,2,3,4},TTSSKĐ!X87,TTSSKĐ!AD87,TTSSKĐ!AJ87,TTSSKĐ!AP87)))</f>
        <v>0</v>
      </c>
      <c r="I87">
        <f>SUMPRODUCT((MONTH(CHOOSE({1,2,3,4},TTSSKĐ!U87,TTSSKĐ!AA87,TTSSKĐ!AG87,TTSSKĐ!AM87))=9)*(CHOOSE({1,2,3,4},TTSSKĐ!X87,TTSSKĐ!AD87,TTSSKĐ!AJ87,TTSSKĐ!AP87)))</f>
        <v>0</v>
      </c>
      <c r="J87">
        <f>SUMPRODUCT((MONTH(CHOOSE({1,2,3,4},TTSSKĐ!U87,TTSSKĐ!AA87,TTSSKĐ!AG87,TTSSKĐ!AM87))=10)*(CHOOSE({1,2,3,4},TTSSKĐ!X87,TTSSKĐ!AD87,TTSSKĐ!AJ87,TTSSKĐ!AP87)))</f>
        <v>0</v>
      </c>
      <c r="K87">
        <f>SUMPRODUCT((MONTH(CHOOSE({1,2,3,4},TTSSKĐ!U87,TTSSKĐ!AA87,TTSSKĐ!AG87,TTSSKĐ!AM87))=11)*(CHOOSE({1,2,3,4},TTSSKĐ!X87,TTSSKĐ!AD87,TTSSKĐ!AJ87,TTSSKĐ!AP87)))</f>
        <v>0</v>
      </c>
      <c r="L87">
        <f>SUMPRODUCT((MONTH(CHOOSE({1,2,3,4},TTSSKĐ!U87,TTSSKĐ!AA87,TTSSKĐ!AG87,TTSSKĐ!AM87))=12)*(CHOOSE({1,2,3,4},TTSSKĐ!X87,TTSSKĐ!AD87,TTSSKĐ!AJ87,TTSSKĐ!AP87)))</f>
        <v>0</v>
      </c>
    </row>
    <row r="88" spans="1:12">
      <c r="A88">
        <f>SUMPRODUCT((MONTH(CHOOSE({1,2,3,4},TTSSKĐ!U88,TTSSKĐ!AA88,TTSSKĐ!AG88,TTSSKĐ!AM88))=1)*(CHOOSE({1,2,3,4},TTSSKĐ!X88,TTSSKĐ!AD88,TTSSKĐ!AJ88,TTSSKĐ!AP88)))</f>
        <v>0</v>
      </c>
      <c r="B88">
        <f>SUMPRODUCT((MONTH(CHOOSE({1,2,3,4},TTSSKĐ!U88,TTSSKĐ!AA88,TTSSKĐ!AG88,TTSSKĐ!AM88))=2)*(CHOOSE({1,2,3,4},TTSSKĐ!X88,TTSSKĐ!AD88,TTSSKĐ!AJ88,TTSSKĐ!AP88)))</f>
        <v>0</v>
      </c>
      <c r="C88">
        <f>SUMPRODUCT((MONTH(CHOOSE({1,2,3,4},TTSSKĐ!U88,TTSSKĐ!AA88,TTSSKĐ!AG88,TTSSKĐ!AM88))=3)*(CHOOSE({1,2,3,4},TTSSKĐ!X88,TTSSKĐ!AD88,TTSSKĐ!AJ88,TTSSKĐ!AP88)))</f>
        <v>0</v>
      </c>
      <c r="D88">
        <f>SUMPRODUCT((MONTH(CHOOSE({1,2,3,4},TTSSKĐ!U88,TTSSKĐ!AA88,TTSSKĐ!AG88,TTSSKĐ!AM88))=4)*(CHOOSE({1,2,3,4},TTSSKĐ!X88,TTSSKĐ!AD88,TTSSKĐ!AJ88,TTSSKĐ!AP88)))</f>
        <v>0</v>
      </c>
      <c r="E88">
        <f>SUMPRODUCT((MONTH(CHOOSE({1,2,3,4},TTSSKĐ!U88,TTSSKĐ!AA88,TTSSKĐ!AG88,TTSSKĐ!AM88))=5)*(CHOOSE({1,2,3,4},TTSSKĐ!X88,TTSSKĐ!AD88,TTSSKĐ!AJ88,TTSSKĐ!AP88)))</f>
        <v>0</v>
      </c>
      <c r="F88">
        <f>SUMPRODUCT((MONTH(CHOOSE({1,2,3,4},TTSSKĐ!U88,TTSSKĐ!AA88,TTSSKĐ!AG88,TTSSKĐ!AM88))=6)*(CHOOSE({1,2,3,4},TTSSKĐ!X88,TTSSKĐ!AD88,TTSSKĐ!AJ88,TTSSKĐ!AP88)))</f>
        <v>0</v>
      </c>
      <c r="G88">
        <f>SUMPRODUCT((MONTH(CHOOSE({1,2,3,4},TTSSKĐ!U88,TTSSKĐ!AA88,TTSSKĐ!AG88,TTSSKĐ!AM88))=7)*(CHOOSE({1,2,3,4},TTSSKĐ!X88,TTSSKĐ!AD88,TTSSKĐ!AJ88,TTSSKĐ!AP88)))</f>
        <v>0</v>
      </c>
      <c r="H88">
        <f>SUMPRODUCT((MONTH(CHOOSE({1,2,3,4},TTSSKĐ!U88,TTSSKĐ!AA88,TTSSKĐ!AG88,TTSSKĐ!AM88))=8)*(CHOOSE({1,2,3,4},TTSSKĐ!X88,TTSSKĐ!AD88,TTSSKĐ!AJ88,TTSSKĐ!AP88)))</f>
        <v>0</v>
      </c>
      <c r="I88">
        <f>SUMPRODUCT((MONTH(CHOOSE({1,2,3,4},TTSSKĐ!U88,TTSSKĐ!AA88,TTSSKĐ!AG88,TTSSKĐ!AM88))=9)*(CHOOSE({1,2,3,4},TTSSKĐ!X88,TTSSKĐ!AD88,TTSSKĐ!AJ88,TTSSKĐ!AP88)))</f>
        <v>0</v>
      </c>
      <c r="J88">
        <f>SUMPRODUCT((MONTH(CHOOSE({1,2,3,4},TTSSKĐ!U88,TTSSKĐ!AA88,TTSSKĐ!AG88,TTSSKĐ!AM88))=10)*(CHOOSE({1,2,3,4},TTSSKĐ!X88,TTSSKĐ!AD88,TTSSKĐ!AJ88,TTSSKĐ!AP88)))</f>
        <v>0</v>
      </c>
      <c r="K88">
        <f>SUMPRODUCT((MONTH(CHOOSE({1,2,3,4},TTSSKĐ!U88,TTSSKĐ!AA88,TTSSKĐ!AG88,TTSSKĐ!AM88))=11)*(CHOOSE({1,2,3,4},TTSSKĐ!X88,TTSSKĐ!AD88,TTSSKĐ!AJ88,TTSSKĐ!AP88)))</f>
        <v>0</v>
      </c>
      <c r="L88">
        <f>SUMPRODUCT((MONTH(CHOOSE({1,2,3,4},TTSSKĐ!U88,TTSSKĐ!AA88,TTSSKĐ!AG88,TTSSKĐ!AM88))=12)*(CHOOSE({1,2,3,4},TTSSKĐ!X88,TTSSKĐ!AD88,TTSSKĐ!AJ88,TTSSKĐ!AP88)))</f>
        <v>0</v>
      </c>
    </row>
    <row r="89" spans="1:12">
      <c r="A89">
        <f>SUMPRODUCT((MONTH(CHOOSE({1,2,3,4},TTSSKĐ!U89,TTSSKĐ!AA89,TTSSKĐ!AG89,TTSSKĐ!AM89))=1)*(CHOOSE({1,2,3,4},TTSSKĐ!X89,TTSSKĐ!AD89,TTSSKĐ!AJ89,TTSSKĐ!AP89)))</f>
        <v>0</v>
      </c>
      <c r="B89">
        <f>SUMPRODUCT((MONTH(CHOOSE({1,2,3,4},TTSSKĐ!U89,TTSSKĐ!AA89,TTSSKĐ!AG89,TTSSKĐ!AM89))=2)*(CHOOSE({1,2,3,4},TTSSKĐ!X89,TTSSKĐ!AD89,TTSSKĐ!AJ89,TTSSKĐ!AP89)))</f>
        <v>0</v>
      </c>
      <c r="C89">
        <f>SUMPRODUCT((MONTH(CHOOSE({1,2,3,4},TTSSKĐ!U89,TTSSKĐ!AA89,TTSSKĐ!AG89,TTSSKĐ!AM89))=3)*(CHOOSE({1,2,3,4},TTSSKĐ!X89,TTSSKĐ!AD89,TTSSKĐ!AJ89,TTSSKĐ!AP89)))</f>
        <v>0</v>
      </c>
      <c r="D89">
        <f>SUMPRODUCT((MONTH(CHOOSE({1,2,3,4},TTSSKĐ!U89,TTSSKĐ!AA89,TTSSKĐ!AG89,TTSSKĐ!AM89))=4)*(CHOOSE({1,2,3,4},TTSSKĐ!X89,TTSSKĐ!AD89,TTSSKĐ!AJ89,TTSSKĐ!AP89)))</f>
        <v>0</v>
      </c>
      <c r="E89">
        <f>SUMPRODUCT((MONTH(CHOOSE({1,2,3,4},TTSSKĐ!U89,TTSSKĐ!AA89,TTSSKĐ!AG89,TTSSKĐ!AM89))=5)*(CHOOSE({1,2,3,4},TTSSKĐ!X89,TTSSKĐ!AD89,TTSSKĐ!AJ89,TTSSKĐ!AP89)))</f>
        <v>0</v>
      </c>
      <c r="F89">
        <f>SUMPRODUCT((MONTH(CHOOSE({1,2,3,4},TTSSKĐ!U89,TTSSKĐ!AA89,TTSSKĐ!AG89,TTSSKĐ!AM89))=6)*(CHOOSE({1,2,3,4},TTSSKĐ!X89,TTSSKĐ!AD89,TTSSKĐ!AJ89,TTSSKĐ!AP89)))</f>
        <v>0</v>
      </c>
      <c r="G89">
        <f>SUMPRODUCT((MONTH(CHOOSE({1,2,3,4},TTSSKĐ!U89,TTSSKĐ!AA89,TTSSKĐ!AG89,TTSSKĐ!AM89))=7)*(CHOOSE({1,2,3,4},TTSSKĐ!X89,TTSSKĐ!AD89,TTSSKĐ!AJ89,TTSSKĐ!AP89)))</f>
        <v>0</v>
      </c>
      <c r="H89">
        <f>SUMPRODUCT((MONTH(CHOOSE({1,2,3,4},TTSSKĐ!U89,TTSSKĐ!AA89,TTSSKĐ!AG89,TTSSKĐ!AM89))=8)*(CHOOSE({1,2,3,4},TTSSKĐ!X89,TTSSKĐ!AD89,TTSSKĐ!AJ89,TTSSKĐ!AP89)))</f>
        <v>0</v>
      </c>
      <c r="I89">
        <f>SUMPRODUCT((MONTH(CHOOSE({1,2,3,4},TTSSKĐ!U89,TTSSKĐ!AA89,TTSSKĐ!AG89,TTSSKĐ!AM89))=9)*(CHOOSE({1,2,3,4},TTSSKĐ!X89,TTSSKĐ!AD89,TTSSKĐ!AJ89,TTSSKĐ!AP89)))</f>
        <v>0</v>
      </c>
      <c r="J89">
        <f>SUMPRODUCT((MONTH(CHOOSE({1,2,3,4},TTSSKĐ!U89,TTSSKĐ!AA89,TTSSKĐ!AG89,TTSSKĐ!AM89))=10)*(CHOOSE({1,2,3,4},TTSSKĐ!X89,TTSSKĐ!AD89,TTSSKĐ!AJ89,TTSSKĐ!AP89)))</f>
        <v>0</v>
      </c>
      <c r="K89">
        <f>SUMPRODUCT((MONTH(CHOOSE({1,2,3,4},TTSSKĐ!U89,TTSSKĐ!AA89,TTSSKĐ!AG89,TTSSKĐ!AM89))=11)*(CHOOSE({1,2,3,4},TTSSKĐ!X89,TTSSKĐ!AD89,TTSSKĐ!AJ89,TTSSKĐ!AP89)))</f>
        <v>0</v>
      </c>
      <c r="L89">
        <f>SUMPRODUCT((MONTH(CHOOSE({1,2,3,4},TTSSKĐ!U89,TTSSKĐ!AA89,TTSSKĐ!AG89,TTSSKĐ!AM89))=12)*(CHOOSE({1,2,3,4},TTSSKĐ!X89,TTSSKĐ!AD89,TTSSKĐ!AJ89,TTSSKĐ!AP89)))</f>
        <v>0</v>
      </c>
    </row>
    <row r="90" spans="1:12">
      <c r="A90">
        <f>SUMPRODUCT((MONTH(CHOOSE({1,2,3,4},TTSSKĐ!U90,TTSSKĐ!AA90,TTSSKĐ!AG90,TTSSKĐ!AM90))=1)*(CHOOSE({1,2,3,4},TTSSKĐ!X90,TTSSKĐ!AD90,TTSSKĐ!AJ90,TTSSKĐ!AP90)))</f>
        <v>0</v>
      </c>
      <c r="B90">
        <f>SUMPRODUCT((MONTH(CHOOSE({1,2,3,4},TTSSKĐ!U90,TTSSKĐ!AA90,TTSSKĐ!AG90,TTSSKĐ!AM90))=2)*(CHOOSE({1,2,3,4},TTSSKĐ!X90,TTSSKĐ!AD90,TTSSKĐ!AJ90,TTSSKĐ!AP90)))</f>
        <v>0</v>
      </c>
      <c r="C90">
        <f>SUMPRODUCT((MONTH(CHOOSE({1,2,3,4},TTSSKĐ!U90,TTSSKĐ!AA90,TTSSKĐ!AG90,TTSSKĐ!AM90))=3)*(CHOOSE({1,2,3,4},TTSSKĐ!X90,TTSSKĐ!AD90,TTSSKĐ!AJ90,TTSSKĐ!AP90)))</f>
        <v>0</v>
      </c>
      <c r="D90">
        <f>SUMPRODUCT((MONTH(CHOOSE({1,2,3,4},TTSSKĐ!U90,TTSSKĐ!AA90,TTSSKĐ!AG90,TTSSKĐ!AM90))=4)*(CHOOSE({1,2,3,4},TTSSKĐ!X90,TTSSKĐ!AD90,TTSSKĐ!AJ90,TTSSKĐ!AP90)))</f>
        <v>0</v>
      </c>
      <c r="E90">
        <f>SUMPRODUCT((MONTH(CHOOSE({1,2,3,4},TTSSKĐ!U90,TTSSKĐ!AA90,TTSSKĐ!AG90,TTSSKĐ!AM90))=5)*(CHOOSE({1,2,3,4},TTSSKĐ!X90,TTSSKĐ!AD90,TTSSKĐ!AJ90,TTSSKĐ!AP90)))</f>
        <v>0</v>
      </c>
      <c r="F90">
        <f>SUMPRODUCT((MONTH(CHOOSE({1,2,3,4},TTSSKĐ!U90,TTSSKĐ!AA90,TTSSKĐ!AG90,TTSSKĐ!AM90))=6)*(CHOOSE({1,2,3,4},TTSSKĐ!X90,TTSSKĐ!AD90,TTSSKĐ!AJ90,TTSSKĐ!AP90)))</f>
        <v>0</v>
      </c>
      <c r="G90">
        <f>SUMPRODUCT((MONTH(CHOOSE({1,2,3,4},TTSSKĐ!U90,TTSSKĐ!AA90,TTSSKĐ!AG90,TTSSKĐ!AM90))=7)*(CHOOSE({1,2,3,4},TTSSKĐ!X90,TTSSKĐ!AD90,TTSSKĐ!AJ90,TTSSKĐ!AP90)))</f>
        <v>0</v>
      </c>
      <c r="H90">
        <f>SUMPRODUCT((MONTH(CHOOSE({1,2,3,4},TTSSKĐ!U90,TTSSKĐ!AA90,TTSSKĐ!AG90,TTSSKĐ!AM90))=8)*(CHOOSE({1,2,3,4},TTSSKĐ!X90,TTSSKĐ!AD90,TTSSKĐ!AJ90,TTSSKĐ!AP90)))</f>
        <v>0</v>
      </c>
      <c r="I90">
        <f>SUMPRODUCT((MONTH(CHOOSE({1,2,3,4},TTSSKĐ!U90,TTSSKĐ!AA90,TTSSKĐ!AG90,TTSSKĐ!AM90))=9)*(CHOOSE({1,2,3,4},TTSSKĐ!X90,TTSSKĐ!AD90,TTSSKĐ!AJ90,TTSSKĐ!AP90)))</f>
        <v>0</v>
      </c>
      <c r="J90">
        <f>SUMPRODUCT((MONTH(CHOOSE({1,2,3,4},TTSSKĐ!U90,TTSSKĐ!AA90,TTSSKĐ!AG90,TTSSKĐ!AM90))=10)*(CHOOSE({1,2,3,4},TTSSKĐ!X90,TTSSKĐ!AD90,TTSSKĐ!AJ90,TTSSKĐ!AP90)))</f>
        <v>0</v>
      </c>
      <c r="K90">
        <f>SUMPRODUCT((MONTH(CHOOSE({1,2,3,4},TTSSKĐ!U90,TTSSKĐ!AA90,TTSSKĐ!AG90,TTSSKĐ!AM90))=11)*(CHOOSE({1,2,3,4},TTSSKĐ!X90,TTSSKĐ!AD90,TTSSKĐ!AJ90,TTSSKĐ!AP90)))</f>
        <v>0</v>
      </c>
      <c r="L90">
        <f>SUMPRODUCT((MONTH(CHOOSE({1,2,3,4},TTSSKĐ!U90,TTSSKĐ!AA90,TTSSKĐ!AG90,TTSSKĐ!AM90))=12)*(CHOOSE({1,2,3,4},TTSSKĐ!X90,TTSSKĐ!AD90,TTSSKĐ!AJ90,TTSSKĐ!AP90)))</f>
        <v>0</v>
      </c>
    </row>
    <row r="91" spans="1:12">
      <c r="A91">
        <f>SUMPRODUCT((MONTH(CHOOSE({1,2,3,4},TTSSKĐ!U91,TTSSKĐ!AA91,TTSSKĐ!AG91,TTSSKĐ!AM91))=1)*(CHOOSE({1,2,3,4},TTSSKĐ!X91,TTSSKĐ!AD91,TTSSKĐ!AJ91,TTSSKĐ!AP91)))</f>
        <v>0</v>
      </c>
      <c r="B91">
        <f>SUMPRODUCT((MONTH(CHOOSE({1,2,3,4},TTSSKĐ!U91,TTSSKĐ!AA91,TTSSKĐ!AG91,TTSSKĐ!AM91))=2)*(CHOOSE({1,2,3,4},TTSSKĐ!X91,TTSSKĐ!AD91,TTSSKĐ!AJ91,TTSSKĐ!AP91)))</f>
        <v>0</v>
      </c>
      <c r="C91">
        <f>SUMPRODUCT((MONTH(CHOOSE({1,2,3,4},TTSSKĐ!U91,TTSSKĐ!AA91,TTSSKĐ!AG91,TTSSKĐ!AM91))=3)*(CHOOSE({1,2,3,4},TTSSKĐ!X91,TTSSKĐ!AD91,TTSSKĐ!AJ91,TTSSKĐ!AP91)))</f>
        <v>0</v>
      </c>
      <c r="D91">
        <f>SUMPRODUCT((MONTH(CHOOSE({1,2,3,4},TTSSKĐ!U91,TTSSKĐ!AA91,TTSSKĐ!AG91,TTSSKĐ!AM91))=4)*(CHOOSE({1,2,3,4},TTSSKĐ!X91,TTSSKĐ!AD91,TTSSKĐ!AJ91,TTSSKĐ!AP91)))</f>
        <v>0</v>
      </c>
      <c r="E91">
        <f>SUMPRODUCT((MONTH(CHOOSE({1,2,3,4},TTSSKĐ!U91,TTSSKĐ!AA91,TTSSKĐ!AG91,TTSSKĐ!AM91))=5)*(CHOOSE({1,2,3,4},TTSSKĐ!X91,TTSSKĐ!AD91,TTSSKĐ!AJ91,TTSSKĐ!AP91)))</f>
        <v>0</v>
      </c>
      <c r="F91">
        <f>SUMPRODUCT((MONTH(CHOOSE({1,2,3,4},TTSSKĐ!U91,TTSSKĐ!AA91,TTSSKĐ!AG91,TTSSKĐ!AM91))=6)*(CHOOSE({1,2,3,4},TTSSKĐ!X91,TTSSKĐ!AD91,TTSSKĐ!AJ91,TTSSKĐ!AP91)))</f>
        <v>0</v>
      </c>
      <c r="G91">
        <f>SUMPRODUCT((MONTH(CHOOSE({1,2,3,4},TTSSKĐ!U91,TTSSKĐ!AA91,TTSSKĐ!AG91,TTSSKĐ!AM91))=7)*(CHOOSE({1,2,3,4},TTSSKĐ!X91,TTSSKĐ!AD91,TTSSKĐ!AJ91,TTSSKĐ!AP91)))</f>
        <v>0</v>
      </c>
      <c r="H91">
        <f>SUMPRODUCT((MONTH(CHOOSE({1,2,3,4},TTSSKĐ!U91,TTSSKĐ!AA91,TTSSKĐ!AG91,TTSSKĐ!AM91))=8)*(CHOOSE({1,2,3,4},TTSSKĐ!X91,TTSSKĐ!AD91,TTSSKĐ!AJ91,TTSSKĐ!AP91)))</f>
        <v>0</v>
      </c>
      <c r="I91">
        <f>SUMPRODUCT((MONTH(CHOOSE({1,2,3,4},TTSSKĐ!U91,TTSSKĐ!AA91,TTSSKĐ!AG91,TTSSKĐ!AM91))=9)*(CHOOSE({1,2,3,4},TTSSKĐ!X91,TTSSKĐ!AD91,TTSSKĐ!AJ91,TTSSKĐ!AP91)))</f>
        <v>0</v>
      </c>
      <c r="J91">
        <f>SUMPRODUCT((MONTH(CHOOSE({1,2,3,4},TTSSKĐ!U91,TTSSKĐ!AA91,TTSSKĐ!AG91,TTSSKĐ!AM91))=10)*(CHOOSE({1,2,3,4},TTSSKĐ!X91,TTSSKĐ!AD91,TTSSKĐ!AJ91,TTSSKĐ!AP91)))</f>
        <v>0</v>
      </c>
      <c r="K91">
        <f>SUMPRODUCT((MONTH(CHOOSE({1,2,3,4},TTSSKĐ!U91,TTSSKĐ!AA91,TTSSKĐ!AG91,TTSSKĐ!AM91))=11)*(CHOOSE({1,2,3,4},TTSSKĐ!X91,TTSSKĐ!AD91,TTSSKĐ!AJ91,TTSSKĐ!AP91)))</f>
        <v>0</v>
      </c>
      <c r="L91">
        <f>SUMPRODUCT((MONTH(CHOOSE({1,2,3,4},TTSSKĐ!U91,TTSSKĐ!AA91,TTSSKĐ!AG91,TTSSKĐ!AM91))=12)*(CHOOSE({1,2,3,4},TTSSKĐ!X91,TTSSKĐ!AD91,TTSSKĐ!AJ91,TTSSKĐ!AP91)))</f>
        <v>0</v>
      </c>
    </row>
    <row r="92" spans="1:12">
      <c r="A92">
        <f>SUMPRODUCT((MONTH(CHOOSE({1,2,3,4},TTSSKĐ!U92,TTSSKĐ!AA92,TTSSKĐ!AG92,TTSSKĐ!AM92))=1)*(CHOOSE({1,2,3,4},TTSSKĐ!X92,TTSSKĐ!AD92,TTSSKĐ!AJ92,TTSSKĐ!AP92)))</f>
        <v>0</v>
      </c>
      <c r="B92">
        <f>SUMPRODUCT((MONTH(CHOOSE({1,2,3,4},TTSSKĐ!U92,TTSSKĐ!AA92,TTSSKĐ!AG92,TTSSKĐ!AM92))=2)*(CHOOSE({1,2,3,4},TTSSKĐ!X92,TTSSKĐ!AD92,TTSSKĐ!AJ92,TTSSKĐ!AP92)))</f>
        <v>0</v>
      </c>
      <c r="C92">
        <f>SUMPRODUCT((MONTH(CHOOSE({1,2,3,4},TTSSKĐ!U92,TTSSKĐ!AA92,TTSSKĐ!AG92,TTSSKĐ!AM92))=3)*(CHOOSE({1,2,3,4},TTSSKĐ!X92,TTSSKĐ!AD92,TTSSKĐ!AJ92,TTSSKĐ!AP92)))</f>
        <v>0</v>
      </c>
      <c r="D92">
        <f>SUMPRODUCT((MONTH(CHOOSE({1,2,3,4},TTSSKĐ!U92,TTSSKĐ!AA92,TTSSKĐ!AG92,TTSSKĐ!AM92))=4)*(CHOOSE({1,2,3,4},TTSSKĐ!X92,TTSSKĐ!AD92,TTSSKĐ!AJ92,TTSSKĐ!AP92)))</f>
        <v>0</v>
      </c>
      <c r="E92">
        <f>SUMPRODUCT((MONTH(CHOOSE({1,2,3,4},TTSSKĐ!U92,TTSSKĐ!AA92,TTSSKĐ!AG92,TTSSKĐ!AM92))=5)*(CHOOSE({1,2,3,4},TTSSKĐ!X92,TTSSKĐ!AD92,TTSSKĐ!AJ92,TTSSKĐ!AP92)))</f>
        <v>0</v>
      </c>
      <c r="F92">
        <f>SUMPRODUCT((MONTH(CHOOSE({1,2,3,4},TTSSKĐ!U92,TTSSKĐ!AA92,TTSSKĐ!AG92,TTSSKĐ!AM92))=6)*(CHOOSE({1,2,3,4},TTSSKĐ!X92,TTSSKĐ!AD92,TTSSKĐ!AJ92,TTSSKĐ!AP92)))</f>
        <v>0</v>
      </c>
      <c r="G92">
        <f>SUMPRODUCT((MONTH(CHOOSE({1,2,3,4},TTSSKĐ!U92,TTSSKĐ!AA92,TTSSKĐ!AG92,TTSSKĐ!AM92))=7)*(CHOOSE({1,2,3,4},TTSSKĐ!X92,TTSSKĐ!AD92,TTSSKĐ!AJ92,TTSSKĐ!AP92)))</f>
        <v>0</v>
      </c>
      <c r="H92">
        <f>SUMPRODUCT((MONTH(CHOOSE({1,2,3,4},TTSSKĐ!U92,TTSSKĐ!AA92,TTSSKĐ!AG92,TTSSKĐ!AM92))=8)*(CHOOSE({1,2,3,4},TTSSKĐ!X92,TTSSKĐ!AD92,TTSSKĐ!AJ92,TTSSKĐ!AP92)))</f>
        <v>0</v>
      </c>
      <c r="I92">
        <f>SUMPRODUCT((MONTH(CHOOSE({1,2,3,4},TTSSKĐ!U92,TTSSKĐ!AA92,TTSSKĐ!AG92,TTSSKĐ!AM92))=9)*(CHOOSE({1,2,3,4},TTSSKĐ!X92,TTSSKĐ!AD92,TTSSKĐ!AJ92,TTSSKĐ!AP92)))</f>
        <v>0</v>
      </c>
      <c r="J92">
        <f>SUMPRODUCT((MONTH(CHOOSE({1,2,3,4},TTSSKĐ!U92,TTSSKĐ!AA92,TTSSKĐ!AG92,TTSSKĐ!AM92))=10)*(CHOOSE({1,2,3,4},TTSSKĐ!X92,TTSSKĐ!AD92,TTSSKĐ!AJ92,TTSSKĐ!AP92)))</f>
        <v>0</v>
      </c>
      <c r="K92">
        <f>SUMPRODUCT((MONTH(CHOOSE({1,2,3,4},TTSSKĐ!U92,TTSSKĐ!AA92,TTSSKĐ!AG92,TTSSKĐ!AM92))=11)*(CHOOSE({1,2,3,4},TTSSKĐ!X92,TTSSKĐ!AD92,TTSSKĐ!AJ92,TTSSKĐ!AP92)))</f>
        <v>0</v>
      </c>
      <c r="L92">
        <f>SUMPRODUCT((MONTH(CHOOSE({1,2,3,4},TTSSKĐ!U92,TTSSKĐ!AA92,TTSSKĐ!AG92,TTSSKĐ!AM92))=12)*(CHOOSE({1,2,3,4},TTSSKĐ!X92,TTSSKĐ!AD92,TTSSKĐ!AJ92,TTSSKĐ!AP92)))</f>
        <v>0</v>
      </c>
    </row>
    <row r="93" spans="1:12">
      <c r="A93">
        <f>SUMPRODUCT((MONTH(CHOOSE({1,2,3,4},TTSSKĐ!U93,TTSSKĐ!AA93,TTSSKĐ!AG93,TTSSKĐ!AM93))=1)*(CHOOSE({1,2,3,4},TTSSKĐ!X93,TTSSKĐ!AD93,TTSSKĐ!AJ93,TTSSKĐ!AP93)))</f>
        <v>0</v>
      </c>
      <c r="B93">
        <f>SUMPRODUCT((MONTH(CHOOSE({1,2,3,4},TTSSKĐ!U93,TTSSKĐ!AA93,TTSSKĐ!AG93,TTSSKĐ!AM93))=2)*(CHOOSE({1,2,3,4},TTSSKĐ!X93,TTSSKĐ!AD93,TTSSKĐ!AJ93,TTSSKĐ!AP93)))</f>
        <v>0</v>
      </c>
      <c r="C93">
        <f>SUMPRODUCT((MONTH(CHOOSE({1,2,3,4},TTSSKĐ!U93,TTSSKĐ!AA93,TTSSKĐ!AG93,TTSSKĐ!AM93))=3)*(CHOOSE({1,2,3,4},TTSSKĐ!X93,TTSSKĐ!AD93,TTSSKĐ!AJ93,TTSSKĐ!AP93)))</f>
        <v>0</v>
      </c>
      <c r="D93">
        <f>SUMPRODUCT((MONTH(CHOOSE({1,2,3,4},TTSSKĐ!U93,TTSSKĐ!AA93,TTSSKĐ!AG93,TTSSKĐ!AM93))=4)*(CHOOSE({1,2,3,4},TTSSKĐ!X93,TTSSKĐ!AD93,TTSSKĐ!AJ93,TTSSKĐ!AP93)))</f>
        <v>0</v>
      </c>
      <c r="E93">
        <f>SUMPRODUCT((MONTH(CHOOSE({1,2,3,4},TTSSKĐ!U93,TTSSKĐ!AA93,TTSSKĐ!AG93,TTSSKĐ!AM93))=5)*(CHOOSE({1,2,3,4},TTSSKĐ!X93,TTSSKĐ!AD93,TTSSKĐ!AJ93,TTSSKĐ!AP93)))</f>
        <v>0</v>
      </c>
      <c r="F93">
        <f>SUMPRODUCT((MONTH(CHOOSE({1,2,3,4},TTSSKĐ!U93,TTSSKĐ!AA93,TTSSKĐ!AG93,TTSSKĐ!AM93))=6)*(CHOOSE({1,2,3,4},TTSSKĐ!X93,TTSSKĐ!AD93,TTSSKĐ!AJ93,TTSSKĐ!AP93)))</f>
        <v>0</v>
      </c>
      <c r="G93">
        <f>SUMPRODUCT((MONTH(CHOOSE({1,2,3,4},TTSSKĐ!U93,TTSSKĐ!AA93,TTSSKĐ!AG93,TTSSKĐ!AM93))=7)*(CHOOSE({1,2,3,4},TTSSKĐ!X93,TTSSKĐ!AD93,TTSSKĐ!AJ93,TTSSKĐ!AP93)))</f>
        <v>0</v>
      </c>
      <c r="H93">
        <f>SUMPRODUCT((MONTH(CHOOSE({1,2,3,4},TTSSKĐ!U93,TTSSKĐ!AA93,TTSSKĐ!AG93,TTSSKĐ!AM93))=8)*(CHOOSE({1,2,3,4},TTSSKĐ!X93,TTSSKĐ!AD93,TTSSKĐ!AJ93,TTSSKĐ!AP93)))</f>
        <v>0</v>
      </c>
      <c r="I93">
        <f>SUMPRODUCT((MONTH(CHOOSE({1,2,3,4},TTSSKĐ!U93,TTSSKĐ!AA93,TTSSKĐ!AG93,TTSSKĐ!AM93))=9)*(CHOOSE({1,2,3,4},TTSSKĐ!X93,TTSSKĐ!AD93,TTSSKĐ!AJ93,TTSSKĐ!AP93)))</f>
        <v>0</v>
      </c>
      <c r="J93">
        <f>SUMPRODUCT((MONTH(CHOOSE({1,2,3,4},TTSSKĐ!U93,TTSSKĐ!AA93,TTSSKĐ!AG93,TTSSKĐ!AM93))=10)*(CHOOSE({1,2,3,4},TTSSKĐ!X93,TTSSKĐ!AD93,TTSSKĐ!AJ93,TTSSKĐ!AP93)))</f>
        <v>0</v>
      </c>
      <c r="K93">
        <f>SUMPRODUCT((MONTH(CHOOSE({1,2,3,4},TTSSKĐ!U93,TTSSKĐ!AA93,TTSSKĐ!AG93,TTSSKĐ!AM93))=11)*(CHOOSE({1,2,3,4},TTSSKĐ!X93,TTSSKĐ!AD93,TTSSKĐ!AJ93,TTSSKĐ!AP93)))</f>
        <v>0</v>
      </c>
      <c r="L93">
        <f>SUMPRODUCT((MONTH(CHOOSE({1,2,3,4},TTSSKĐ!U93,TTSSKĐ!AA93,TTSSKĐ!AG93,TTSSKĐ!AM93))=12)*(CHOOSE({1,2,3,4},TTSSKĐ!X93,TTSSKĐ!AD93,TTSSKĐ!AJ93,TTSSKĐ!AP93)))</f>
        <v>0</v>
      </c>
    </row>
    <row r="94" spans="1:12">
      <c r="A94">
        <f>SUMPRODUCT((MONTH(CHOOSE({1,2,3,4},TTSSKĐ!U94,TTSSKĐ!AA94,TTSSKĐ!AG94,TTSSKĐ!AM94))=1)*(CHOOSE({1,2,3,4},TTSSKĐ!X94,TTSSKĐ!AD94,TTSSKĐ!AJ94,TTSSKĐ!AP94)))</f>
        <v>0</v>
      </c>
      <c r="B94">
        <f>SUMPRODUCT((MONTH(CHOOSE({1,2,3,4},TTSSKĐ!U94,TTSSKĐ!AA94,TTSSKĐ!AG94,TTSSKĐ!AM94))=2)*(CHOOSE({1,2,3,4},TTSSKĐ!X94,TTSSKĐ!AD94,TTSSKĐ!AJ94,TTSSKĐ!AP94)))</f>
        <v>0</v>
      </c>
      <c r="C94">
        <f>SUMPRODUCT((MONTH(CHOOSE({1,2,3,4},TTSSKĐ!U94,TTSSKĐ!AA94,TTSSKĐ!AG94,TTSSKĐ!AM94))=3)*(CHOOSE({1,2,3,4},TTSSKĐ!X94,TTSSKĐ!AD94,TTSSKĐ!AJ94,TTSSKĐ!AP94)))</f>
        <v>0</v>
      </c>
      <c r="D94">
        <f>SUMPRODUCT((MONTH(CHOOSE({1,2,3,4},TTSSKĐ!U94,TTSSKĐ!AA94,TTSSKĐ!AG94,TTSSKĐ!AM94))=4)*(CHOOSE({1,2,3,4},TTSSKĐ!X94,TTSSKĐ!AD94,TTSSKĐ!AJ94,TTSSKĐ!AP94)))</f>
        <v>0</v>
      </c>
      <c r="E94">
        <f>SUMPRODUCT((MONTH(CHOOSE({1,2,3,4},TTSSKĐ!U94,TTSSKĐ!AA94,TTSSKĐ!AG94,TTSSKĐ!AM94))=5)*(CHOOSE({1,2,3,4},TTSSKĐ!X94,TTSSKĐ!AD94,TTSSKĐ!AJ94,TTSSKĐ!AP94)))</f>
        <v>0</v>
      </c>
      <c r="F94">
        <f>SUMPRODUCT((MONTH(CHOOSE({1,2,3,4},TTSSKĐ!U94,TTSSKĐ!AA94,TTSSKĐ!AG94,TTSSKĐ!AM94))=6)*(CHOOSE({1,2,3,4},TTSSKĐ!X94,TTSSKĐ!AD94,TTSSKĐ!AJ94,TTSSKĐ!AP94)))</f>
        <v>0</v>
      </c>
      <c r="G94">
        <f>SUMPRODUCT((MONTH(CHOOSE({1,2,3,4},TTSSKĐ!U94,TTSSKĐ!AA94,TTSSKĐ!AG94,TTSSKĐ!AM94))=7)*(CHOOSE({1,2,3,4},TTSSKĐ!X94,TTSSKĐ!AD94,TTSSKĐ!AJ94,TTSSKĐ!AP94)))</f>
        <v>0</v>
      </c>
      <c r="H94">
        <f>SUMPRODUCT((MONTH(CHOOSE({1,2,3,4},TTSSKĐ!U94,TTSSKĐ!AA94,TTSSKĐ!AG94,TTSSKĐ!AM94))=8)*(CHOOSE({1,2,3,4},TTSSKĐ!X94,TTSSKĐ!AD94,TTSSKĐ!AJ94,TTSSKĐ!AP94)))</f>
        <v>0</v>
      </c>
      <c r="I94">
        <f>SUMPRODUCT((MONTH(CHOOSE({1,2,3,4},TTSSKĐ!U94,TTSSKĐ!AA94,TTSSKĐ!AG94,TTSSKĐ!AM94))=9)*(CHOOSE({1,2,3,4},TTSSKĐ!X94,TTSSKĐ!AD94,TTSSKĐ!AJ94,TTSSKĐ!AP94)))</f>
        <v>0</v>
      </c>
      <c r="J94">
        <f>SUMPRODUCT((MONTH(CHOOSE({1,2,3,4},TTSSKĐ!U94,TTSSKĐ!AA94,TTSSKĐ!AG94,TTSSKĐ!AM94))=10)*(CHOOSE({1,2,3,4},TTSSKĐ!X94,TTSSKĐ!AD94,TTSSKĐ!AJ94,TTSSKĐ!AP94)))</f>
        <v>0</v>
      </c>
      <c r="K94">
        <f>SUMPRODUCT((MONTH(CHOOSE({1,2,3,4},TTSSKĐ!U94,TTSSKĐ!AA94,TTSSKĐ!AG94,TTSSKĐ!AM94))=11)*(CHOOSE({1,2,3,4},TTSSKĐ!X94,TTSSKĐ!AD94,TTSSKĐ!AJ94,TTSSKĐ!AP94)))</f>
        <v>0</v>
      </c>
      <c r="L94">
        <f>SUMPRODUCT((MONTH(CHOOSE({1,2,3,4},TTSSKĐ!U94,TTSSKĐ!AA94,TTSSKĐ!AG94,TTSSKĐ!AM94))=12)*(CHOOSE({1,2,3,4},TTSSKĐ!X94,TTSSKĐ!AD94,TTSSKĐ!AJ94,TTSSKĐ!AP94)))</f>
        <v>0</v>
      </c>
    </row>
    <row r="95" spans="1:12">
      <c r="A95">
        <f>SUMPRODUCT((MONTH(CHOOSE({1,2,3,4},TTSSKĐ!U95,TTSSKĐ!AA95,TTSSKĐ!AG95,TTSSKĐ!AM95))=1)*(CHOOSE({1,2,3,4},TTSSKĐ!X95,TTSSKĐ!AD95,TTSSKĐ!AJ95,TTSSKĐ!AP95)))</f>
        <v>0</v>
      </c>
      <c r="B95">
        <f>SUMPRODUCT((MONTH(CHOOSE({1,2,3,4},TTSSKĐ!U95,TTSSKĐ!AA95,TTSSKĐ!AG95,TTSSKĐ!AM95))=2)*(CHOOSE({1,2,3,4},TTSSKĐ!X95,TTSSKĐ!AD95,TTSSKĐ!AJ95,TTSSKĐ!AP95)))</f>
        <v>0</v>
      </c>
      <c r="C95">
        <f>SUMPRODUCT((MONTH(CHOOSE({1,2,3,4},TTSSKĐ!U95,TTSSKĐ!AA95,TTSSKĐ!AG95,TTSSKĐ!AM95))=3)*(CHOOSE({1,2,3,4},TTSSKĐ!X95,TTSSKĐ!AD95,TTSSKĐ!AJ95,TTSSKĐ!AP95)))</f>
        <v>0</v>
      </c>
      <c r="D95">
        <f>SUMPRODUCT((MONTH(CHOOSE({1,2,3,4},TTSSKĐ!U95,TTSSKĐ!AA95,TTSSKĐ!AG95,TTSSKĐ!AM95))=4)*(CHOOSE({1,2,3,4},TTSSKĐ!X95,TTSSKĐ!AD95,TTSSKĐ!AJ95,TTSSKĐ!AP95)))</f>
        <v>0</v>
      </c>
      <c r="E95">
        <f>SUMPRODUCT((MONTH(CHOOSE({1,2,3,4},TTSSKĐ!U95,TTSSKĐ!AA95,TTSSKĐ!AG95,TTSSKĐ!AM95))=5)*(CHOOSE({1,2,3,4},TTSSKĐ!X95,TTSSKĐ!AD95,TTSSKĐ!AJ95,TTSSKĐ!AP95)))</f>
        <v>0</v>
      </c>
      <c r="F95">
        <f>SUMPRODUCT((MONTH(CHOOSE({1,2,3,4},TTSSKĐ!U95,TTSSKĐ!AA95,TTSSKĐ!AG95,TTSSKĐ!AM95))=6)*(CHOOSE({1,2,3,4},TTSSKĐ!X95,TTSSKĐ!AD95,TTSSKĐ!AJ95,TTSSKĐ!AP95)))</f>
        <v>0</v>
      </c>
      <c r="G95">
        <f>SUMPRODUCT((MONTH(CHOOSE({1,2,3,4},TTSSKĐ!U95,TTSSKĐ!AA95,TTSSKĐ!AG95,TTSSKĐ!AM95))=7)*(CHOOSE({1,2,3,4},TTSSKĐ!X95,TTSSKĐ!AD95,TTSSKĐ!AJ95,TTSSKĐ!AP95)))</f>
        <v>0</v>
      </c>
      <c r="H95">
        <f>SUMPRODUCT((MONTH(CHOOSE({1,2,3,4},TTSSKĐ!U95,TTSSKĐ!AA95,TTSSKĐ!AG95,TTSSKĐ!AM95))=8)*(CHOOSE({1,2,3,4},TTSSKĐ!X95,TTSSKĐ!AD95,TTSSKĐ!AJ95,TTSSKĐ!AP95)))</f>
        <v>0</v>
      </c>
      <c r="I95">
        <f>SUMPRODUCT((MONTH(CHOOSE({1,2,3,4},TTSSKĐ!U95,TTSSKĐ!AA95,TTSSKĐ!AG95,TTSSKĐ!AM95))=9)*(CHOOSE({1,2,3,4},TTSSKĐ!X95,TTSSKĐ!AD95,TTSSKĐ!AJ95,TTSSKĐ!AP95)))</f>
        <v>0</v>
      </c>
      <c r="J95">
        <f>SUMPRODUCT((MONTH(CHOOSE({1,2,3,4},TTSSKĐ!U95,TTSSKĐ!AA95,TTSSKĐ!AG95,TTSSKĐ!AM95))=10)*(CHOOSE({1,2,3,4},TTSSKĐ!X95,TTSSKĐ!AD95,TTSSKĐ!AJ95,TTSSKĐ!AP95)))</f>
        <v>0</v>
      </c>
      <c r="K95">
        <f>SUMPRODUCT((MONTH(CHOOSE({1,2,3,4},TTSSKĐ!U95,TTSSKĐ!AA95,TTSSKĐ!AG95,TTSSKĐ!AM95))=11)*(CHOOSE({1,2,3,4},TTSSKĐ!X95,TTSSKĐ!AD95,TTSSKĐ!AJ95,TTSSKĐ!AP95)))</f>
        <v>0</v>
      </c>
      <c r="L95">
        <f>SUMPRODUCT((MONTH(CHOOSE({1,2,3,4},TTSSKĐ!U95,TTSSKĐ!AA95,TTSSKĐ!AG95,TTSSKĐ!AM95))=12)*(CHOOSE({1,2,3,4},TTSSKĐ!X95,TTSSKĐ!AD95,TTSSKĐ!AJ95,TTSSKĐ!AP95)))</f>
        <v>0</v>
      </c>
    </row>
    <row r="96" spans="1:12">
      <c r="A96">
        <f>SUMPRODUCT((MONTH(CHOOSE({1,2,3,4},TTSSKĐ!U96,TTSSKĐ!AA96,TTSSKĐ!AG96,TTSSKĐ!AM96))=1)*(CHOOSE({1,2,3,4},TTSSKĐ!X96,TTSSKĐ!AD96,TTSSKĐ!AJ96,TTSSKĐ!AP96)))</f>
        <v>0</v>
      </c>
      <c r="B96">
        <f>SUMPRODUCT((MONTH(CHOOSE({1,2,3,4},TTSSKĐ!U96,TTSSKĐ!AA96,TTSSKĐ!AG96,TTSSKĐ!AM96))=2)*(CHOOSE({1,2,3,4},TTSSKĐ!X96,TTSSKĐ!AD96,TTSSKĐ!AJ96,TTSSKĐ!AP96)))</f>
        <v>0</v>
      </c>
      <c r="C96">
        <f>SUMPRODUCT((MONTH(CHOOSE({1,2,3,4},TTSSKĐ!U96,TTSSKĐ!AA96,TTSSKĐ!AG96,TTSSKĐ!AM96))=3)*(CHOOSE({1,2,3,4},TTSSKĐ!X96,TTSSKĐ!AD96,TTSSKĐ!AJ96,TTSSKĐ!AP96)))</f>
        <v>0</v>
      </c>
      <c r="D96">
        <f>SUMPRODUCT((MONTH(CHOOSE({1,2,3,4},TTSSKĐ!U96,TTSSKĐ!AA96,TTSSKĐ!AG96,TTSSKĐ!AM96))=4)*(CHOOSE({1,2,3,4},TTSSKĐ!X96,TTSSKĐ!AD96,TTSSKĐ!AJ96,TTSSKĐ!AP96)))</f>
        <v>0</v>
      </c>
      <c r="E96">
        <f>SUMPRODUCT((MONTH(CHOOSE({1,2,3,4},TTSSKĐ!U96,TTSSKĐ!AA96,TTSSKĐ!AG96,TTSSKĐ!AM96))=5)*(CHOOSE({1,2,3,4},TTSSKĐ!X96,TTSSKĐ!AD96,TTSSKĐ!AJ96,TTSSKĐ!AP96)))</f>
        <v>0</v>
      </c>
      <c r="F96">
        <f>SUMPRODUCT((MONTH(CHOOSE({1,2,3,4},TTSSKĐ!U96,TTSSKĐ!AA96,TTSSKĐ!AG96,TTSSKĐ!AM96))=6)*(CHOOSE({1,2,3,4},TTSSKĐ!X96,TTSSKĐ!AD96,TTSSKĐ!AJ96,TTSSKĐ!AP96)))</f>
        <v>0</v>
      </c>
      <c r="G96">
        <f>SUMPRODUCT((MONTH(CHOOSE({1,2,3,4},TTSSKĐ!U96,TTSSKĐ!AA96,TTSSKĐ!AG96,TTSSKĐ!AM96))=7)*(CHOOSE({1,2,3,4},TTSSKĐ!X96,TTSSKĐ!AD96,TTSSKĐ!AJ96,TTSSKĐ!AP96)))</f>
        <v>0</v>
      </c>
      <c r="H96">
        <f>SUMPRODUCT((MONTH(CHOOSE({1,2,3,4},TTSSKĐ!U96,TTSSKĐ!AA96,TTSSKĐ!AG96,TTSSKĐ!AM96))=8)*(CHOOSE({1,2,3,4},TTSSKĐ!X96,TTSSKĐ!AD96,TTSSKĐ!AJ96,TTSSKĐ!AP96)))</f>
        <v>0</v>
      </c>
      <c r="I96">
        <f>SUMPRODUCT((MONTH(CHOOSE({1,2,3,4},TTSSKĐ!U96,TTSSKĐ!AA96,TTSSKĐ!AG96,TTSSKĐ!AM96))=9)*(CHOOSE({1,2,3,4},TTSSKĐ!X96,TTSSKĐ!AD96,TTSSKĐ!AJ96,TTSSKĐ!AP96)))</f>
        <v>0</v>
      </c>
      <c r="J96">
        <f>SUMPRODUCT((MONTH(CHOOSE({1,2,3,4},TTSSKĐ!U96,TTSSKĐ!AA96,TTSSKĐ!AG96,TTSSKĐ!AM96))=10)*(CHOOSE({1,2,3,4},TTSSKĐ!X96,TTSSKĐ!AD96,TTSSKĐ!AJ96,TTSSKĐ!AP96)))</f>
        <v>0</v>
      </c>
      <c r="K96">
        <f>SUMPRODUCT((MONTH(CHOOSE({1,2,3,4},TTSSKĐ!U96,TTSSKĐ!AA96,TTSSKĐ!AG96,TTSSKĐ!AM96))=11)*(CHOOSE({1,2,3,4},TTSSKĐ!X96,TTSSKĐ!AD96,TTSSKĐ!AJ96,TTSSKĐ!AP96)))</f>
        <v>0</v>
      </c>
      <c r="L96">
        <f>SUMPRODUCT((MONTH(CHOOSE({1,2,3,4},TTSSKĐ!U96,TTSSKĐ!AA96,TTSSKĐ!AG96,TTSSKĐ!AM96))=12)*(CHOOSE({1,2,3,4},TTSSKĐ!X96,TTSSKĐ!AD96,TTSSKĐ!AJ96,TTSSKĐ!AP96)))</f>
        <v>0</v>
      </c>
    </row>
    <row r="97" spans="1:12">
      <c r="A97">
        <f>SUMPRODUCT((MONTH(CHOOSE({1,2,3,4},TTSSKĐ!U97,TTSSKĐ!AA97,TTSSKĐ!AG97,TTSSKĐ!AM97))=1)*(CHOOSE({1,2,3,4},TTSSKĐ!X97,TTSSKĐ!AD97,TTSSKĐ!AJ97,TTSSKĐ!AP97)))</f>
        <v>0</v>
      </c>
      <c r="B97">
        <f>SUMPRODUCT((MONTH(CHOOSE({1,2,3,4},TTSSKĐ!U97,TTSSKĐ!AA97,TTSSKĐ!AG97,TTSSKĐ!AM97))=2)*(CHOOSE({1,2,3,4},TTSSKĐ!X97,TTSSKĐ!AD97,TTSSKĐ!AJ97,TTSSKĐ!AP97)))</f>
        <v>0</v>
      </c>
      <c r="C97">
        <f>SUMPRODUCT((MONTH(CHOOSE({1,2,3,4},TTSSKĐ!U97,TTSSKĐ!AA97,TTSSKĐ!AG97,TTSSKĐ!AM97))=3)*(CHOOSE({1,2,3,4},TTSSKĐ!X97,TTSSKĐ!AD97,TTSSKĐ!AJ97,TTSSKĐ!AP97)))</f>
        <v>0</v>
      </c>
      <c r="D97">
        <f>SUMPRODUCT((MONTH(CHOOSE({1,2,3,4},TTSSKĐ!U97,TTSSKĐ!AA97,TTSSKĐ!AG97,TTSSKĐ!AM97))=4)*(CHOOSE({1,2,3,4},TTSSKĐ!X97,TTSSKĐ!AD97,TTSSKĐ!AJ97,TTSSKĐ!AP97)))</f>
        <v>0</v>
      </c>
      <c r="E97">
        <f>SUMPRODUCT((MONTH(CHOOSE({1,2,3,4},TTSSKĐ!U97,TTSSKĐ!AA97,TTSSKĐ!AG97,TTSSKĐ!AM97))=5)*(CHOOSE({1,2,3,4},TTSSKĐ!X97,TTSSKĐ!AD97,TTSSKĐ!AJ97,TTSSKĐ!AP97)))</f>
        <v>0</v>
      </c>
      <c r="F97">
        <f>SUMPRODUCT((MONTH(CHOOSE({1,2,3,4},TTSSKĐ!U97,TTSSKĐ!AA97,TTSSKĐ!AG97,TTSSKĐ!AM97))=6)*(CHOOSE({1,2,3,4},TTSSKĐ!X97,TTSSKĐ!AD97,TTSSKĐ!AJ97,TTSSKĐ!AP97)))</f>
        <v>0</v>
      </c>
      <c r="G97">
        <f>SUMPRODUCT((MONTH(CHOOSE({1,2,3,4},TTSSKĐ!U97,TTSSKĐ!AA97,TTSSKĐ!AG97,TTSSKĐ!AM97))=7)*(CHOOSE({1,2,3,4},TTSSKĐ!X97,TTSSKĐ!AD97,TTSSKĐ!AJ97,TTSSKĐ!AP97)))</f>
        <v>0</v>
      </c>
      <c r="H97">
        <f>SUMPRODUCT((MONTH(CHOOSE({1,2,3,4},TTSSKĐ!U97,TTSSKĐ!AA97,TTSSKĐ!AG97,TTSSKĐ!AM97))=8)*(CHOOSE({1,2,3,4},TTSSKĐ!X97,TTSSKĐ!AD97,TTSSKĐ!AJ97,TTSSKĐ!AP97)))</f>
        <v>0</v>
      </c>
      <c r="I97">
        <f>SUMPRODUCT((MONTH(CHOOSE({1,2,3,4},TTSSKĐ!U97,TTSSKĐ!AA97,TTSSKĐ!AG97,TTSSKĐ!AM97))=9)*(CHOOSE({1,2,3,4},TTSSKĐ!X97,TTSSKĐ!AD97,TTSSKĐ!AJ97,TTSSKĐ!AP97)))</f>
        <v>0</v>
      </c>
      <c r="J97">
        <f>SUMPRODUCT((MONTH(CHOOSE({1,2,3,4},TTSSKĐ!U97,TTSSKĐ!AA97,TTSSKĐ!AG97,TTSSKĐ!AM97))=10)*(CHOOSE({1,2,3,4},TTSSKĐ!X97,TTSSKĐ!AD97,TTSSKĐ!AJ97,TTSSKĐ!AP97)))</f>
        <v>0</v>
      </c>
      <c r="K97">
        <f>SUMPRODUCT((MONTH(CHOOSE({1,2,3,4},TTSSKĐ!U97,TTSSKĐ!AA97,TTSSKĐ!AG97,TTSSKĐ!AM97))=11)*(CHOOSE({1,2,3,4},TTSSKĐ!X97,TTSSKĐ!AD97,TTSSKĐ!AJ97,TTSSKĐ!AP97)))</f>
        <v>0</v>
      </c>
      <c r="L97">
        <f>SUMPRODUCT((MONTH(CHOOSE({1,2,3,4},TTSSKĐ!U97,TTSSKĐ!AA97,TTSSKĐ!AG97,TTSSKĐ!AM97))=12)*(CHOOSE({1,2,3,4},TTSSKĐ!X97,TTSSKĐ!AD97,TTSSKĐ!AJ97,TTSSKĐ!AP97)))</f>
        <v>0</v>
      </c>
    </row>
    <row r="98" spans="1:12">
      <c r="A98">
        <f>SUMPRODUCT((MONTH(CHOOSE({1,2,3,4},TTSSKĐ!U98,TTSSKĐ!AA98,TTSSKĐ!AG98,TTSSKĐ!AM98))=1)*(CHOOSE({1,2,3,4},TTSSKĐ!X98,TTSSKĐ!AD98,TTSSKĐ!AJ98,TTSSKĐ!AP98)))</f>
        <v>0</v>
      </c>
      <c r="B98">
        <f>SUMPRODUCT((MONTH(CHOOSE({1,2,3,4},TTSSKĐ!U98,TTSSKĐ!AA98,TTSSKĐ!AG98,TTSSKĐ!AM98))=2)*(CHOOSE({1,2,3,4},TTSSKĐ!X98,TTSSKĐ!AD98,TTSSKĐ!AJ98,TTSSKĐ!AP98)))</f>
        <v>0</v>
      </c>
      <c r="C98">
        <f>SUMPRODUCT((MONTH(CHOOSE({1,2,3,4},TTSSKĐ!U98,TTSSKĐ!AA98,TTSSKĐ!AG98,TTSSKĐ!AM98))=3)*(CHOOSE({1,2,3,4},TTSSKĐ!X98,TTSSKĐ!AD98,TTSSKĐ!AJ98,TTSSKĐ!AP98)))</f>
        <v>0</v>
      </c>
      <c r="D98">
        <f>SUMPRODUCT((MONTH(CHOOSE({1,2,3,4},TTSSKĐ!U98,TTSSKĐ!AA98,TTSSKĐ!AG98,TTSSKĐ!AM98))=4)*(CHOOSE({1,2,3,4},TTSSKĐ!X98,TTSSKĐ!AD98,TTSSKĐ!AJ98,TTSSKĐ!AP98)))</f>
        <v>0</v>
      </c>
      <c r="E98">
        <f>SUMPRODUCT((MONTH(CHOOSE({1,2,3,4},TTSSKĐ!U98,TTSSKĐ!AA98,TTSSKĐ!AG98,TTSSKĐ!AM98))=5)*(CHOOSE({1,2,3,4},TTSSKĐ!X98,TTSSKĐ!AD98,TTSSKĐ!AJ98,TTSSKĐ!AP98)))</f>
        <v>0</v>
      </c>
      <c r="F98">
        <f>SUMPRODUCT((MONTH(CHOOSE({1,2,3,4},TTSSKĐ!U98,TTSSKĐ!AA98,TTSSKĐ!AG98,TTSSKĐ!AM98))=6)*(CHOOSE({1,2,3,4},TTSSKĐ!X98,TTSSKĐ!AD98,TTSSKĐ!AJ98,TTSSKĐ!AP98)))</f>
        <v>0</v>
      </c>
      <c r="G98">
        <f>SUMPRODUCT((MONTH(CHOOSE({1,2,3,4},TTSSKĐ!U98,TTSSKĐ!AA98,TTSSKĐ!AG98,TTSSKĐ!AM98))=7)*(CHOOSE({1,2,3,4},TTSSKĐ!X98,TTSSKĐ!AD98,TTSSKĐ!AJ98,TTSSKĐ!AP98)))</f>
        <v>0</v>
      </c>
      <c r="H98">
        <f>SUMPRODUCT((MONTH(CHOOSE({1,2,3,4},TTSSKĐ!U98,TTSSKĐ!AA98,TTSSKĐ!AG98,TTSSKĐ!AM98))=8)*(CHOOSE({1,2,3,4},TTSSKĐ!X98,TTSSKĐ!AD98,TTSSKĐ!AJ98,TTSSKĐ!AP98)))</f>
        <v>0</v>
      </c>
      <c r="I98">
        <f>SUMPRODUCT((MONTH(CHOOSE({1,2,3,4},TTSSKĐ!U98,TTSSKĐ!AA98,TTSSKĐ!AG98,TTSSKĐ!AM98))=9)*(CHOOSE({1,2,3,4},TTSSKĐ!X98,TTSSKĐ!AD98,TTSSKĐ!AJ98,TTSSKĐ!AP98)))</f>
        <v>0</v>
      </c>
      <c r="J98">
        <f>SUMPRODUCT((MONTH(CHOOSE({1,2,3,4},TTSSKĐ!U98,TTSSKĐ!AA98,TTSSKĐ!AG98,TTSSKĐ!AM98))=10)*(CHOOSE({1,2,3,4},TTSSKĐ!X98,TTSSKĐ!AD98,TTSSKĐ!AJ98,TTSSKĐ!AP98)))</f>
        <v>0</v>
      </c>
      <c r="K98">
        <f>SUMPRODUCT((MONTH(CHOOSE({1,2,3,4},TTSSKĐ!U98,TTSSKĐ!AA98,TTSSKĐ!AG98,TTSSKĐ!AM98))=11)*(CHOOSE({1,2,3,4},TTSSKĐ!X98,TTSSKĐ!AD98,TTSSKĐ!AJ98,TTSSKĐ!AP98)))</f>
        <v>0</v>
      </c>
      <c r="L98">
        <f>SUMPRODUCT((MONTH(CHOOSE({1,2,3,4},TTSSKĐ!U98,TTSSKĐ!AA98,TTSSKĐ!AG98,TTSSKĐ!AM98))=12)*(CHOOSE({1,2,3,4},TTSSKĐ!X98,TTSSKĐ!AD98,TTSSKĐ!AJ98,TTSSKĐ!AP98)))</f>
        <v>0</v>
      </c>
    </row>
    <row r="99" spans="1:12">
      <c r="A99">
        <f>SUMPRODUCT((MONTH(CHOOSE({1,2,3,4},TTSSKĐ!U99,TTSSKĐ!AA99,TTSSKĐ!AG99,TTSSKĐ!AM99))=1)*(CHOOSE({1,2,3,4},TTSSKĐ!X99,TTSSKĐ!AD99,TTSSKĐ!AJ99,TTSSKĐ!AP99)))</f>
        <v>0</v>
      </c>
      <c r="B99">
        <f>SUMPRODUCT((MONTH(CHOOSE({1,2,3,4},TTSSKĐ!U99,TTSSKĐ!AA99,TTSSKĐ!AG99,TTSSKĐ!AM99))=2)*(CHOOSE({1,2,3,4},TTSSKĐ!X99,TTSSKĐ!AD99,TTSSKĐ!AJ99,TTSSKĐ!AP99)))</f>
        <v>0</v>
      </c>
      <c r="C99">
        <f>SUMPRODUCT((MONTH(CHOOSE({1,2,3,4},TTSSKĐ!U99,TTSSKĐ!AA99,TTSSKĐ!AG99,TTSSKĐ!AM99))=3)*(CHOOSE({1,2,3,4},TTSSKĐ!X99,TTSSKĐ!AD99,TTSSKĐ!AJ99,TTSSKĐ!AP99)))</f>
        <v>0</v>
      </c>
      <c r="D99">
        <f>SUMPRODUCT((MONTH(CHOOSE({1,2,3,4},TTSSKĐ!U99,TTSSKĐ!AA99,TTSSKĐ!AG99,TTSSKĐ!AM99))=4)*(CHOOSE({1,2,3,4},TTSSKĐ!X99,TTSSKĐ!AD99,TTSSKĐ!AJ99,TTSSKĐ!AP99)))</f>
        <v>0</v>
      </c>
      <c r="E99">
        <f>SUMPRODUCT((MONTH(CHOOSE({1,2,3,4},TTSSKĐ!U99,TTSSKĐ!AA99,TTSSKĐ!AG99,TTSSKĐ!AM99))=5)*(CHOOSE({1,2,3,4},TTSSKĐ!X99,TTSSKĐ!AD99,TTSSKĐ!AJ99,TTSSKĐ!AP99)))</f>
        <v>0</v>
      </c>
      <c r="F99">
        <f>SUMPRODUCT((MONTH(CHOOSE({1,2,3,4},TTSSKĐ!U99,TTSSKĐ!AA99,TTSSKĐ!AG99,TTSSKĐ!AM99))=6)*(CHOOSE({1,2,3,4},TTSSKĐ!X99,TTSSKĐ!AD99,TTSSKĐ!AJ99,TTSSKĐ!AP99)))</f>
        <v>0</v>
      </c>
      <c r="G99">
        <f>SUMPRODUCT((MONTH(CHOOSE({1,2,3,4},TTSSKĐ!U99,TTSSKĐ!AA99,TTSSKĐ!AG99,TTSSKĐ!AM99))=7)*(CHOOSE({1,2,3,4},TTSSKĐ!X99,TTSSKĐ!AD99,TTSSKĐ!AJ99,TTSSKĐ!AP99)))</f>
        <v>0</v>
      </c>
      <c r="H99">
        <f>SUMPRODUCT((MONTH(CHOOSE({1,2,3,4},TTSSKĐ!U99,TTSSKĐ!AA99,TTSSKĐ!AG99,TTSSKĐ!AM99))=8)*(CHOOSE({1,2,3,4},TTSSKĐ!X99,TTSSKĐ!AD99,TTSSKĐ!AJ99,TTSSKĐ!AP99)))</f>
        <v>0</v>
      </c>
      <c r="I99">
        <f>SUMPRODUCT((MONTH(CHOOSE({1,2,3,4},TTSSKĐ!U99,TTSSKĐ!AA99,TTSSKĐ!AG99,TTSSKĐ!AM99))=9)*(CHOOSE({1,2,3,4},TTSSKĐ!X99,TTSSKĐ!AD99,TTSSKĐ!AJ99,TTSSKĐ!AP99)))</f>
        <v>0</v>
      </c>
      <c r="J99">
        <f>SUMPRODUCT((MONTH(CHOOSE({1,2,3,4},TTSSKĐ!U99,TTSSKĐ!AA99,TTSSKĐ!AG99,TTSSKĐ!AM99))=10)*(CHOOSE({1,2,3,4},TTSSKĐ!X99,TTSSKĐ!AD99,TTSSKĐ!AJ99,TTSSKĐ!AP99)))</f>
        <v>0</v>
      </c>
      <c r="K99">
        <f>SUMPRODUCT((MONTH(CHOOSE({1,2,3,4},TTSSKĐ!U99,TTSSKĐ!AA99,TTSSKĐ!AG99,TTSSKĐ!AM99))=11)*(CHOOSE({1,2,3,4},TTSSKĐ!X99,TTSSKĐ!AD99,TTSSKĐ!AJ99,TTSSKĐ!AP99)))</f>
        <v>0</v>
      </c>
      <c r="L99">
        <f>SUMPRODUCT((MONTH(CHOOSE({1,2,3,4},TTSSKĐ!U99,TTSSKĐ!AA99,TTSSKĐ!AG99,TTSSKĐ!AM99))=12)*(CHOOSE({1,2,3,4},TTSSKĐ!X99,TTSSKĐ!AD99,TTSSKĐ!AJ99,TTSSKĐ!AP99)))</f>
        <v>0</v>
      </c>
    </row>
    <row r="100" spans="1:12">
      <c r="A100">
        <f>SUMPRODUCT((MONTH(CHOOSE({1,2,3,4},TTSSKĐ!U100,TTSSKĐ!AA100,TTSSKĐ!AG100,TTSSKĐ!AM100))=1)*(CHOOSE({1,2,3,4},TTSSKĐ!X100,TTSSKĐ!AD100,TTSSKĐ!AJ100,TTSSKĐ!AP100)))</f>
        <v>0</v>
      </c>
      <c r="B100">
        <f>SUMPRODUCT((MONTH(CHOOSE({1,2,3,4},TTSSKĐ!U100,TTSSKĐ!AA100,TTSSKĐ!AG100,TTSSKĐ!AM100))=2)*(CHOOSE({1,2,3,4},TTSSKĐ!X100,TTSSKĐ!AD100,TTSSKĐ!AJ100,TTSSKĐ!AP100)))</f>
        <v>0</v>
      </c>
      <c r="C100">
        <f>SUMPRODUCT((MONTH(CHOOSE({1,2,3,4},TTSSKĐ!U100,TTSSKĐ!AA100,TTSSKĐ!AG100,TTSSKĐ!AM100))=3)*(CHOOSE({1,2,3,4},TTSSKĐ!X100,TTSSKĐ!AD100,TTSSKĐ!AJ100,TTSSKĐ!AP100)))</f>
        <v>0</v>
      </c>
      <c r="D100">
        <f>SUMPRODUCT((MONTH(CHOOSE({1,2,3,4},TTSSKĐ!U100,TTSSKĐ!AA100,TTSSKĐ!AG100,TTSSKĐ!AM100))=4)*(CHOOSE({1,2,3,4},TTSSKĐ!X100,TTSSKĐ!AD100,TTSSKĐ!AJ100,TTSSKĐ!AP100)))</f>
        <v>0</v>
      </c>
      <c r="E100">
        <f>SUMPRODUCT((MONTH(CHOOSE({1,2,3,4},TTSSKĐ!U100,TTSSKĐ!AA100,TTSSKĐ!AG100,TTSSKĐ!AM100))=5)*(CHOOSE({1,2,3,4},TTSSKĐ!X100,TTSSKĐ!AD100,TTSSKĐ!AJ100,TTSSKĐ!AP100)))</f>
        <v>0</v>
      </c>
      <c r="F100">
        <f>SUMPRODUCT((MONTH(CHOOSE({1,2,3,4},TTSSKĐ!U100,TTSSKĐ!AA100,TTSSKĐ!AG100,TTSSKĐ!AM100))=6)*(CHOOSE({1,2,3,4},TTSSKĐ!X100,TTSSKĐ!AD100,TTSSKĐ!AJ100,TTSSKĐ!AP100)))</f>
        <v>0</v>
      </c>
      <c r="G100">
        <f>SUMPRODUCT((MONTH(CHOOSE({1,2,3,4},TTSSKĐ!U100,TTSSKĐ!AA100,TTSSKĐ!AG100,TTSSKĐ!AM100))=7)*(CHOOSE({1,2,3,4},TTSSKĐ!X100,TTSSKĐ!AD100,TTSSKĐ!AJ100,TTSSKĐ!AP100)))</f>
        <v>0</v>
      </c>
      <c r="H100">
        <f>SUMPRODUCT((MONTH(CHOOSE({1,2,3,4},TTSSKĐ!U100,TTSSKĐ!AA100,TTSSKĐ!AG100,TTSSKĐ!AM100))=8)*(CHOOSE({1,2,3,4},TTSSKĐ!X100,TTSSKĐ!AD100,TTSSKĐ!AJ100,TTSSKĐ!AP100)))</f>
        <v>0</v>
      </c>
      <c r="I100">
        <f>SUMPRODUCT((MONTH(CHOOSE({1,2,3,4},TTSSKĐ!U100,TTSSKĐ!AA100,TTSSKĐ!AG100,TTSSKĐ!AM100))=9)*(CHOOSE({1,2,3,4},TTSSKĐ!X100,TTSSKĐ!AD100,TTSSKĐ!AJ100,TTSSKĐ!AP100)))</f>
        <v>0</v>
      </c>
      <c r="J100">
        <f>SUMPRODUCT((MONTH(CHOOSE({1,2,3,4},TTSSKĐ!U100,TTSSKĐ!AA100,TTSSKĐ!AG100,TTSSKĐ!AM100))=10)*(CHOOSE({1,2,3,4},TTSSKĐ!X100,TTSSKĐ!AD100,TTSSKĐ!AJ100,TTSSKĐ!AP100)))</f>
        <v>0</v>
      </c>
      <c r="K100">
        <f>SUMPRODUCT((MONTH(CHOOSE({1,2,3,4},TTSSKĐ!U100,TTSSKĐ!AA100,TTSSKĐ!AG100,TTSSKĐ!AM100))=11)*(CHOOSE({1,2,3,4},TTSSKĐ!X100,TTSSKĐ!AD100,TTSSKĐ!AJ100,TTSSKĐ!AP100)))</f>
        <v>0</v>
      </c>
      <c r="L100">
        <f>SUMPRODUCT((MONTH(CHOOSE({1,2,3,4},TTSSKĐ!U100,TTSSKĐ!AA100,TTSSKĐ!AG100,TTSSKĐ!AM100))=12)*(CHOOSE({1,2,3,4},TTSSKĐ!X100,TTSSKĐ!AD100,TTSSKĐ!AJ100,TTSSKĐ!AP100)))</f>
        <v>0</v>
      </c>
    </row>
    <row r="101" spans="1:12">
      <c r="A101">
        <f>SUMPRODUCT((MONTH(CHOOSE({1,2,3,4},TTSSKĐ!U101,TTSSKĐ!AA101,TTSSKĐ!AG101,TTSSKĐ!AM101))=1)*(CHOOSE({1,2,3,4},TTSSKĐ!X101,TTSSKĐ!AD101,TTSSKĐ!AJ101,TTSSKĐ!AP101)))</f>
        <v>0</v>
      </c>
      <c r="B101">
        <f>SUMPRODUCT((MONTH(CHOOSE({1,2,3,4},TTSSKĐ!U101,TTSSKĐ!AA101,TTSSKĐ!AG101,TTSSKĐ!AM101))=2)*(CHOOSE({1,2,3,4},TTSSKĐ!X101,TTSSKĐ!AD101,TTSSKĐ!AJ101,TTSSKĐ!AP101)))</f>
        <v>0</v>
      </c>
      <c r="C101">
        <f>SUMPRODUCT((MONTH(CHOOSE({1,2,3,4},TTSSKĐ!U101,TTSSKĐ!AA101,TTSSKĐ!AG101,TTSSKĐ!AM101))=3)*(CHOOSE({1,2,3,4},TTSSKĐ!X101,TTSSKĐ!AD101,TTSSKĐ!AJ101,TTSSKĐ!AP101)))</f>
        <v>0</v>
      </c>
      <c r="D101">
        <f>SUMPRODUCT((MONTH(CHOOSE({1,2,3,4},TTSSKĐ!U101,TTSSKĐ!AA101,TTSSKĐ!AG101,TTSSKĐ!AM101))=4)*(CHOOSE({1,2,3,4},TTSSKĐ!X101,TTSSKĐ!AD101,TTSSKĐ!AJ101,TTSSKĐ!AP101)))</f>
        <v>0</v>
      </c>
      <c r="E101">
        <f>SUMPRODUCT((MONTH(CHOOSE({1,2,3,4},TTSSKĐ!U101,TTSSKĐ!AA101,TTSSKĐ!AG101,TTSSKĐ!AM101))=5)*(CHOOSE({1,2,3,4},TTSSKĐ!X101,TTSSKĐ!AD101,TTSSKĐ!AJ101,TTSSKĐ!AP101)))</f>
        <v>0</v>
      </c>
      <c r="F101">
        <f>SUMPRODUCT((MONTH(CHOOSE({1,2,3,4},TTSSKĐ!U101,TTSSKĐ!AA101,TTSSKĐ!AG101,TTSSKĐ!AM101))=6)*(CHOOSE({1,2,3,4},TTSSKĐ!X101,TTSSKĐ!AD101,TTSSKĐ!AJ101,TTSSKĐ!AP101)))</f>
        <v>0</v>
      </c>
      <c r="G101">
        <f>SUMPRODUCT((MONTH(CHOOSE({1,2,3,4},TTSSKĐ!U101,TTSSKĐ!AA101,TTSSKĐ!AG101,TTSSKĐ!AM101))=7)*(CHOOSE({1,2,3,4},TTSSKĐ!X101,TTSSKĐ!AD101,TTSSKĐ!AJ101,TTSSKĐ!AP101)))</f>
        <v>0</v>
      </c>
      <c r="H101">
        <f>SUMPRODUCT((MONTH(CHOOSE({1,2,3,4},TTSSKĐ!U101,TTSSKĐ!AA101,TTSSKĐ!AG101,TTSSKĐ!AM101))=8)*(CHOOSE({1,2,3,4},TTSSKĐ!X101,TTSSKĐ!AD101,TTSSKĐ!AJ101,TTSSKĐ!AP101)))</f>
        <v>0</v>
      </c>
      <c r="I101">
        <f>SUMPRODUCT((MONTH(CHOOSE({1,2,3,4},TTSSKĐ!U101,TTSSKĐ!AA101,TTSSKĐ!AG101,TTSSKĐ!AM101))=9)*(CHOOSE({1,2,3,4},TTSSKĐ!X101,TTSSKĐ!AD101,TTSSKĐ!AJ101,TTSSKĐ!AP101)))</f>
        <v>0</v>
      </c>
      <c r="J101">
        <f>SUMPRODUCT((MONTH(CHOOSE({1,2,3,4},TTSSKĐ!U101,TTSSKĐ!AA101,TTSSKĐ!AG101,TTSSKĐ!AM101))=10)*(CHOOSE({1,2,3,4},TTSSKĐ!X101,TTSSKĐ!AD101,TTSSKĐ!AJ101,TTSSKĐ!AP101)))</f>
        <v>0</v>
      </c>
      <c r="K101">
        <f>SUMPRODUCT((MONTH(CHOOSE({1,2,3,4},TTSSKĐ!U101,TTSSKĐ!AA101,TTSSKĐ!AG101,TTSSKĐ!AM101))=11)*(CHOOSE({1,2,3,4},TTSSKĐ!X101,TTSSKĐ!AD101,TTSSKĐ!AJ101,TTSSKĐ!AP101)))</f>
        <v>0</v>
      </c>
      <c r="L101">
        <f>SUMPRODUCT((MONTH(CHOOSE({1,2,3,4},TTSSKĐ!U101,TTSSKĐ!AA101,TTSSKĐ!AG101,TTSSKĐ!AM101))=12)*(CHOOSE({1,2,3,4},TTSSKĐ!X101,TTSSKĐ!AD101,TTSSKĐ!AJ101,TTSSKĐ!AP101)))</f>
        <v>0</v>
      </c>
    </row>
    <row r="102" spans="1:12">
      <c r="A102">
        <f>SUMPRODUCT((MONTH(CHOOSE({1,2,3,4},TTSSKĐ!U102,TTSSKĐ!AA102,TTSSKĐ!AG102,TTSSKĐ!AM102))=1)*(CHOOSE({1,2,3,4},TTSSKĐ!X102,TTSSKĐ!AD102,TTSSKĐ!AJ102,TTSSKĐ!AP102)))</f>
        <v>0</v>
      </c>
      <c r="B102">
        <f>SUMPRODUCT((MONTH(CHOOSE({1,2,3,4},TTSSKĐ!U102,TTSSKĐ!AA102,TTSSKĐ!AG102,TTSSKĐ!AM102))=2)*(CHOOSE({1,2,3,4},TTSSKĐ!X102,TTSSKĐ!AD102,TTSSKĐ!AJ102,TTSSKĐ!AP102)))</f>
        <v>0</v>
      </c>
      <c r="C102">
        <f>SUMPRODUCT((MONTH(CHOOSE({1,2,3,4},TTSSKĐ!U102,TTSSKĐ!AA102,TTSSKĐ!AG102,TTSSKĐ!AM102))=3)*(CHOOSE({1,2,3,4},TTSSKĐ!X102,TTSSKĐ!AD102,TTSSKĐ!AJ102,TTSSKĐ!AP102)))</f>
        <v>0</v>
      </c>
      <c r="D102">
        <f>SUMPRODUCT((MONTH(CHOOSE({1,2,3,4},TTSSKĐ!U102,TTSSKĐ!AA102,TTSSKĐ!AG102,TTSSKĐ!AM102))=4)*(CHOOSE({1,2,3,4},TTSSKĐ!X102,TTSSKĐ!AD102,TTSSKĐ!AJ102,TTSSKĐ!AP102)))</f>
        <v>0</v>
      </c>
      <c r="E102">
        <f>SUMPRODUCT((MONTH(CHOOSE({1,2,3,4},TTSSKĐ!U102,TTSSKĐ!AA102,TTSSKĐ!AG102,TTSSKĐ!AM102))=5)*(CHOOSE({1,2,3,4},TTSSKĐ!X102,TTSSKĐ!AD102,TTSSKĐ!AJ102,TTSSKĐ!AP102)))</f>
        <v>0</v>
      </c>
      <c r="F102">
        <f>SUMPRODUCT((MONTH(CHOOSE({1,2,3,4},TTSSKĐ!U102,TTSSKĐ!AA102,TTSSKĐ!AG102,TTSSKĐ!AM102))=6)*(CHOOSE({1,2,3,4},TTSSKĐ!X102,TTSSKĐ!AD102,TTSSKĐ!AJ102,TTSSKĐ!AP102)))</f>
        <v>0</v>
      </c>
      <c r="G102">
        <f>SUMPRODUCT((MONTH(CHOOSE({1,2,3,4},TTSSKĐ!U102,TTSSKĐ!AA102,TTSSKĐ!AG102,TTSSKĐ!AM102))=7)*(CHOOSE({1,2,3,4},TTSSKĐ!X102,TTSSKĐ!AD102,TTSSKĐ!AJ102,TTSSKĐ!AP102)))</f>
        <v>0</v>
      </c>
      <c r="H102">
        <f>SUMPRODUCT((MONTH(CHOOSE({1,2,3,4},TTSSKĐ!U102,TTSSKĐ!AA102,TTSSKĐ!AG102,TTSSKĐ!AM102))=8)*(CHOOSE({1,2,3,4},TTSSKĐ!X102,TTSSKĐ!AD102,TTSSKĐ!AJ102,TTSSKĐ!AP102)))</f>
        <v>0</v>
      </c>
      <c r="I102">
        <f>SUMPRODUCT((MONTH(CHOOSE({1,2,3,4},TTSSKĐ!U102,TTSSKĐ!AA102,TTSSKĐ!AG102,TTSSKĐ!AM102))=9)*(CHOOSE({1,2,3,4},TTSSKĐ!X102,TTSSKĐ!AD102,TTSSKĐ!AJ102,TTSSKĐ!AP102)))</f>
        <v>0</v>
      </c>
      <c r="J102">
        <f>SUMPRODUCT((MONTH(CHOOSE({1,2,3,4},TTSSKĐ!U102,TTSSKĐ!AA102,TTSSKĐ!AG102,TTSSKĐ!AM102))=10)*(CHOOSE({1,2,3,4},TTSSKĐ!X102,TTSSKĐ!AD102,TTSSKĐ!AJ102,TTSSKĐ!AP102)))</f>
        <v>0</v>
      </c>
      <c r="K102">
        <f>SUMPRODUCT((MONTH(CHOOSE({1,2,3,4},TTSSKĐ!U102,TTSSKĐ!AA102,TTSSKĐ!AG102,TTSSKĐ!AM102))=11)*(CHOOSE({1,2,3,4},TTSSKĐ!X102,TTSSKĐ!AD102,TTSSKĐ!AJ102,TTSSKĐ!AP102)))</f>
        <v>0</v>
      </c>
      <c r="L102">
        <f>SUMPRODUCT((MONTH(CHOOSE({1,2,3,4},TTSSKĐ!U102,TTSSKĐ!AA102,TTSSKĐ!AG102,TTSSKĐ!AM102))=12)*(CHOOSE({1,2,3,4},TTSSKĐ!X102,TTSSKĐ!AD102,TTSSKĐ!AJ102,TTSSKĐ!AP102)))</f>
        <v>0</v>
      </c>
    </row>
    <row r="103" spans="1:12">
      <c r="A103">
        <f>SUMPRODUCT((MONTH(CHOOSE({1,2,3,4},TTSSKĐ!U103,TTSSKĐ!AA103,TTSSKĐ!AG103,TTSSKĐ!AM103))=1)*(CHOOSE({1,2,3,4},TTSSKĐ!X103,TTSSKĐ!AD103,TTSSKĐ!AJ103,TTSSKĐ!AP103)))</f>
        <v>0</v>
      </c>
      <c r="B103">
        <f>SUMPRODUCT((MONTH(CHOOSE({1,2,3,4},TTSSKĐ!U103,TTSSKĐ!AA103,TTSSKĐ!AG103,TTSSKĐ!AM103))=2)*(CHOOSE({1,2,3,4},TTSSKĐ!X103,TTSSKĐ!AD103,TTSSKĐ!AJ103,TTSSKĐ!AP103)))</f>
        <v>0</v>
      </c>
      <c r="C103">
        <f>SUMPRODUCT((MONTH(CHOOSE({1,2,3,4},TTSSKĐ!U103,TTSSKĐ!AA103,TTSSKĐ!AG103,TTSSKĐ!AM103))=3)*(CHOOSE({1,2,3,4},TTSSKĐ!X103,TTSSKĐ!AD103,TTSSKĐ!AJ103,TTSSKĐ!AP103)))</f>
        <v>0</v>
      </c>
      <c r="D103">
        <f>SUMPRODUCT((MONTH(CHOOSE({1,2,3,4},TTSSKĐ!U103,TTSSKĐ!AA103,TTSSKĐ!AG103,TTSSKĐ!AM103))=4)*(CHOOSE({1,2,3,4},TTSSKĐ!X103,TTSSKĐ!AD103,TTSSKĐ!AJ103,TTSSKĐ!AP103)))</f>
        <v>0</v>
      </c>
      <c r="E103">
        <f>SUMPRODUCT((MONTH(CHOOSE({1,2,3,4},TTSSKĐ!U103,TTSSKĐ!AA103,TTSSKĐ!AG103,TTSSKĐ!AM103))=5)*(CHOOSE({1,2,3,4},TTSSKĐ!X103,TTSSKĐ!AD103,TTSSKĐ!AJ103,TTSSKĐ!AP103)))</f>
        <v>0</v>
      </c>
      <c r="F103">
        <f>SUMPRODUCT((MONTH(CHOOSE({1,2,3,4},TTSSKĐ!U103,TTSSKĐ!AA103,TTSSKĐ!AG103,TTSSKĐ!AM103))=6)*(CHOOSE({1,2,3,4},TTSSKĐ!X103,TTSSKĐ!AD103,TTSSKĐ!AJ103,TTSSKĐ!AP103)))</f>
        <v>0</v>
      </c>
      <c r="G103">
        <f>SUMPRODUCT((MONTH(CHOOSE({1,2,3,4},TTSSKĐ!U103,TTSSKĐ!AA103,TTSSKĐ!AG103,TTSSKĐ!AM103))=7)*(CHOOSE({1,2,3,4},TTSSKĐ!X103,TTSSKĐ!AD103,TTSSKĐ!AJ103,TTSSKĐ!AP103)))</f>
        <v>0</v>
      </c>
      <c r="H103">
        <f>SUMPRODUCT((MONTH(CHOOSE({1,2,3,4},TTSSKĐ!U103,TTSSKĐ!AA103,TTSSKĐ!AG103,TTSSKĐ!AM103))=8)*(CHOOSE({1,2,3,4},TTSSKĐ!X103,TTSSKĐ!AD103,TTSSKĐ!AJ103,TTSSKĐ!AP103)))</f>
        <v>0</v>
      </c>
      <c r="I103">
        <f>SUMPRODUCT((MONTH(CHOOSE({1,2,3,4},TTSSKĐ!U103,TTSSKĐ!AA103,TTSSKĐ!AG103,TTSSKĐ!AM103))=9)*(CHOOSE({1,2,3,4},TTSSKĐ!X103,TTSSKĐ!AD103,TTSSKĐ!AJ103,TTSSKĐ!AP103)))</f>
        <v>0</v>
      </c>
      <c r="J103">
        <f>SUMPRODUCT((MONTH(CHOOSE({1,2,3,4},TTSSKĐ!U103,TTSSKĐ!AA103,TTSSKĐ!AG103,TTSSKĐ!AM103))=10)*(CHOOSE({1,2,3,4},TTSSKĐ!X103,TTSSKĐ!AD103,TTSSKĐ!AJ103,TTSSKĐ!AP103)))</f>
        <v>0</v>
      </c>
      <c r="K103">
        <f>SUMPRODUCT((MONTH(CHOOSE({1,2,3,4},TTSSKĐ!U103,TTSSKĐ!AA103,TTSSKĐ!AG103,TTSSKĐ!AM103))=11)*(CHOOSE({1,2,3,4},TTSSKĐ!X103,TTSSKĐ!AD103,TTSSKĐ!AJ103,TTSSKĐ!AP103)))</f>
        <v>0</v>
      </c>
      <c r="L103">
        <f>SUMPRODUCT((MONTH(CHOOSE({1,2,3,4},TTSSKĐ!U103,TTSSKĐ!AA103,TTSSKĐ!AG103,TTSSKĐ!AM103))=12)*(CHOOSE({1,2,3,4},TTSSKĐ!X103,TTSSKĐ!AD103,TTSSKĐ!AJ103,TTSSKĐ!AP103)))</f>
        <v>0</v>
      </c>
    </row>
    <row r="104" spans="1:12">
      <c r="A104">
        <f>SUMPRODUCT((MONTH(CHOOSE({1,2,3,4},TTSSKĐ!U104,TTSSKĐ!AA104,TTSSKĐ!AG104,TTSSKĐ!AM104))=1)*(CHOOSE({1,2,3,4},TTSSKĐ!X104,TTSSKĐ!AD104,TTSSKĐ!AJ104,TTSSKĐ!AP104)))</f>
        <v>0</v>
      </c>
      <c r="B104">
        <f>SUMPRODUCT((MONTH(CHOOSE({1,2,3,4},TTSSKĐ!U104,TTSSKĐ!AA104,TTSSKĐ!AG104,TTSSKĐ!AM104))=2)*(CHOOSE({1,2,3,4},TTSSKĐ!X104,TTSSKĐ!AD104,TTSSKĐ!AJ104,TTSSKĐ!AP104)))</f>
        <v>0</v>
      </c>
      <c r="C104">
        <f>SUMPRODUCT((MONTH(CHOOSE({1,2,3,4},TTSSKĐ!U104,TTSSKĐ!AA104,TTSSKĐ!AG104,TTSSKĐ!AM104))=3)*(CHOOSE({1,2,3,4},TTSSKĐ!X104,TTSSKĐ!AD104,TTSSKĐ!AJ104,TTSSKĐ!AP104)))</f>
        <v>0</v>
      </c>
      <c r="D104">
        <f>SUMPRODUCT((MONTH(CHOOSE({1,2,3,4},TTSSKĐ!U104,TTSSKĐ!AA104,TTSSKĐ!AG104,TTSSKĐ!AM104))=4)*(CHOOSE({1,2,3,4},TTSSKĐ!X104,TTSSKĐ!AD104,TTSSKĐ!AJ104,TTSSKĐ!AP104)))</f>
        <v>0</v>
      </c>
      <c r="E104">
        <f>SUMPRODUCT((MONTH(CHOOSE({1,2,3,4},TTSSKĐ!U104,TTSSKĐ!AA104,TTSSKĐ!AG104,TTSSKĐ!AM104))=5)*(CHOOSE({1,2,3,4},TTSSKĐ!X104,TTSSKĐ!AD104,TTSSKĐ!AJ104,TTSSKĐ!AP104)))</f>
        <v>0</v>
      </c>
      <c r="F104">
        <f>SUMPRODUCT((MONTH(CHOOSE({1,2,3,4},TTSSKĐ!U104,TTSSKĐ!AA104,TTSSKĐ!AG104,TTSSKĐ!AM104))=6)*(CHOOSE({1,2,3,4},TTSSKĐ!X104,TTSSKĐ!AD104,TTSSKĐ!AJ104,TTSSKĐ!AP104)))</f>
        <v>0</v>
      </c>
      <c r="G104">
        <f>SUMPRODUCT((MONTH(CHOOSE({1,2,3,4},TTSSKĐ!U104,TTSSKĐ!AA104,TTSSKĐ!AG104,TTSSKĐ!AM104))=7)*(CHOOSE({1,2,3,4},TTSSKĐ!X104,TTSSKĐ!AD104,TTSSKĐ!AJ104,TTSSKĐ!AP104)))</f>
        <v>0</v>
      </c>
      <c r="H104">
        <f>SUMPRODUCT((MONTH(CHOOSE({1,2,3,4},TTSSKĐ!U104,TTSSKĐ!AA104,TTSSKĐ!AG104,TTSSKĐ!AM104))=8)*(CHOOSE({1,2,3,4},TTSSKĐ!X104,TTSSKĐ!AD104,TTSSKĐ!AJ104,TTSSKĐ!AP104)))</f>
        <v>0</v>
      </c>
      <c r="I104">
        <f>SUMPRODUCT((MONTH(CHOOSE({1,2,3,4},TTSSKĐ!U104,TTSSKĐ!AA104,TTSSKĐ!AG104,TTSSKĐ!AM104))=9)*(CHOOSE({1,2,3,4},TTSSKĐ!X104,TTSSKĐ!AD104,TTSSKĐ!AJ104,TTSSKĐ!AP104)))</f>
        <v>0</v>
      </c>
      <c r="J104">
        <f>SUMPRODUCT((MONTH(CHOOSE({1,2,3,4},TTSSKĐ!U104,TTSSKĐ!AA104,TTSSKĐ!AG104,TTSSKĐ!AM104))=10)*(CHOOSE({1,2,3,4},TTSSKĐ!X104,TTSSKĐ!AD104,TTSSKĐ!AJ104,TTSSKĐ!AP104)))</f>
        <v>0</v>
      </c>
      <c r="K104">
        <f>SUMPRODUCT((MONTH(CHOOSE({1,2,3,4},TTSSKĐ!U104,TTSSKĐ!AA104,TTSSKĐ!AG104,TTSSKĐ!AM104))=11)*(CHOOSE({1,2,3,4},TTSSKĐ!X104,TTSSKĐ!AD104,TTSSKĐ!AJ104,TTSSKĐ!AP104)))</f>
        <v>0</v>
      </c>
      <c r="L104">
        <f>SUMPRODUCT((MONTH(CHOOSE({1,2,3,4},TTSSKĐ!U104,TTSSKĐ!AA104,TTSSKĐ!AG104,TTSSKĐ!AM104))=12)*(CHOOSE({1,2,3,4},TTSSKĐ!X104,TTSSKĐ!AD104,TTSSKĐ!AJ104,TTSSKĐ!AP104)))</f>
        <v>0</v>
      </c>
    </row>
    <row r="105" spans="1:12">
      <c r="A105">
        <f>SUMPRODUCT((MONTH(CHOOSE({1,2,3,4},TTSSKĐ!U105,TTSSKĐ!AA105,TTSSKĐ!AG105,TTSSKĐ!AM105))=1)*(CHOOSE({1,2,3,4},TTSSKĐ!X105,TTSSKĐ!AD105,TTSSKĐ!AJ105,TTSSKĐ!AP105)))</f>
        <v>0</v>
      </c>
      <c r="B105">
        <f>SUMPRODUCT((MONTH(CHOOSE({1,2,3,4},TTSSKĐ!U105,TTSSKĐ!AA105,TTSSKĐ!AG105,TTSSKĐ!AM105))=2)*(CHOOSE({1,2,3,4},TTSSKĐ!X105,TTSSKĐ!AD105,TTSSKĐ!AJ105,TTSSKĐ!AP105)))</f>
        <v>0</v>
      </c>
      <c r="C105">
        <f>SUMPRODUCT((MONTH(CHOOSE({1,2,3,4},TTSSKĐ!U105,TTSSKĐ!AA105,TTSSKĐ!AG105,TTSSKĐ!AM105))=3)*(CHOOSE({1,2,3,4},TTSSKĐ!X105,TTSSKĐ!AD105,TTSSKĐ!AJ105,TTSSKĐ!AP105)))</f>
        <v>0</v>
      </c>
      <c r="D105">
        <f>SUMPRODUCT((MONTH(CHOOSE({1,2,3,4},TTSSKĐ!U105,TTSSKĐ!AA105,TTSSKĐ!AG105,TTSSKĐ!AM105))=4)*(CHOOSE({1,2,3,4},TTSSKĐ!X105,TTSSKĐ!AD105,TTSSKĐ!AJ105,TTSSKĐ!AP105)))</f>
        <v>0</v>
      </c>
      <c r="E105">
        <f>SUMPRODUCT((MONTH(CHOOSE({1,2,3,4},TTSSKĐ!U105,TTSSKĐ!AA105,TTSSKĐ!AG105,TTSSKĐ!AM105))=5)*(CHOOSE({1,2,3,4},TTSSKĐ!X105,TTSSKĐ!AD105,TTSSKĐ!AJ105,TTSSKĐ!AP105)))</f>
        <v>0</v>
      </c>
      <c r="F105">
        <f>SUMPRODUCT((MONTH(CHOOSE({1,2,3,4},TTSSKĐ!U105,TTSSKĐ!AA105,TTSSKĐ!AG105,TTSSKĐ!AM105))=6)*(CHOOSE({1,2,3,4},TTSSKĐ!X105,TTSSKĐ!AD105,TTSSKĐ!AJ105,TTSSKĐ!AP105)))</f>
        <v>0</v>
      </c>
      <c r="G105">
        <f>SUMPRODUCT((MONTH(CHOOSE({1,2,3,4},TTSSKĐ!U105,TTSSKĐ!AA105,TTSSKĐ!AG105,TTSSKĐ!AM105))=7)*(CHOOSE({1,2,3,4},TTSSKĐ!X105,TTSSKĐ!AD105,TTSSKĐ!AJ105,TTSSKĐ!AP105)))</f>
        <v>0</v>
      </c>
      <c r="H105">
        <f>SUMPRODUCT((MONTH(CHOOSE({1,2,3,4},TTSSKĐ!U105,TTSSKĐ!AA105,TTSSKĐ!AG105,TTSSKĐ!AM105))=8)*(CHOOSE({1,2,3,4},TTSSKĐ!X105,TTSSKĐ!AD105,TTSSKĐ!AJ105,TTSSKĐ!AP105)))</f>
        <v>0</v>
      </c>
      <c r="I105">
        <f>SUMPRODUCT((MONTH(CHOOSE({1,2,3,4},TTSSKĐ!U105,TTSSKĐ!AA105,TTSSKĐ!AG105,TTSSKĐ!AM105))=9)*(CHOOSE({1,2,3,4},TTSSKĐ!X105,TTSSKĐ!AD105,TTSSKĐ!AJ105,TTSSKĐ!AP105)))</f>
        <v>0</v>
      </c>
      <c r="J105">
        <f>SUMPRODUCT((MONTH(CHOOSE({1,2,3,4},TTSSKĐ!U105,TTSSKĐ!AA105,TTSSKĐ!AG105,TTSSKĐ!AM105))=10)*(CHOOSE({1,2,3,4},TTSSKĐ!X105,TTSSKĐ!AD105,TTSSKĐ!AJ105,TTSSKĐ!AP105)))</f>
        <v>0</v>
      </c>
      <c r="K105">
        <f>SUMPRODUCT((MONTH(CHOOSE({1,2,3,4},TTSSKĐ!U105,TTSSKĐ!AA105,TTSSKĐ!AG105,TTSSKĐ!AM105))=11)*(CHOOSE({1,2,3,4},TTSSKĐ!X105,TTSSKĐ!AD105,TTSSKĐ!AJ105,TTSSKĐ!AP105)))</f>
        <v>0</v>
      </c>
      <c r="L105">
        <f>SUMPRODUCT((MONTH(CHOOSE({1,2,3,4},TTSSKĐ!U105,TTSSKĐ!AA105,TTSSKĐ!AG105,TTSSKĐ!AM105))=12)*(CHOOSE({1,2,3,4},TTSSKĐ!X105,TTSSKĐ!AD105,TTSSKĐ!AJ105,TTSSKĐ!AP105)))</f>
        <v>0</v>
      </c>
    </row>
    <row r="106" spans="1:12">
      <c r="A106">
        <f>SUMPRODUCT((MONTH(CHOOSE({1,2,3,4},TTSSKĐ!U106,TTSSKĐ!AA106,TTSSKĐ!AG106,TTSSKĐ!AM106))=1)*(CHOOSE({1,2,3,4},TTSSKĐ!X106,TTSSKĐ!AD106,TTSSKĐ!AJ106,TTSSKĐ!AP106)))</f>
        <v>0</v>
      </c>
      <c r="B106">
        <f>SUMPRODUCT((MONTH(CHOOSE({1,2,3,4},TTSSKĐ!U106,TTSSKĐ!AA106,TTSSKĐ!AG106,TTSSKĐ!AM106))=2)*(CHOOSE({1,2,3,4},TTSSKĐ!X106,TTSSKĐ!AD106,TTSSKĐ!AJ106,TTSSKĐ!AP106)))</f>
        <v>0</v>
      </c>
      <c r="C106">
        <f>SUMPRODUCT((MONTH(CHOOSE({1,2,3,4},TTSSKĐ!U106,TTSSKĐ!AA106,TTSSKĐ!AG106,TTSSKĐ!AM106))=3)*(CHOOSE({1,2,3,4},TTSSKĐ!X106,TTSSKĐ!AD106,TTSSKĐ!AJ106,TTSSKĐ!AP106)))</f>
        <v>0</v>
      </c>
      <c r="D106">
        <f>SUMPRODUCT((MONTH(CHOOSE({1,2,3,4},TTSSKĐ!U106,TTSSKĐ!AA106,TTSSKĐ!AG106,TTSSKĐ!AM106))=4)*(CHOOSE({1,2,3,4},TTSSKĐ!X106,TTSSKĐ!AD106,TTSSKĐ!AJ106,TTSSKĐ!AP106)))</f>
        <v>0</v>
      </c>
      <c r="E106">
        <f>SUMPRODUCT((MONTH(CHOOSE({1,2,3,4},TTSSKĐ!U106,TTSSKĐ!AA106,TTSSKĐ!AG106,TTSSKĐ!AM106))=5)*(CHOOSE({1,2,3,4},TTSSKĐ!X106,TTSSKĐ!AD106,TTSSKĐ!AJ106,TTSSKĐ!AP106)))</f>
        <v>0</v>
      </c>
      <c r="F106">
        <f>SUMPRODUCT((MONTH(CHOOSE({1,2,3,4},TTSSKĐ!U106,TTSSKĐ!AA106,TTSSKĐ!AG106,TTSSKĐ!AM106))=6)*(CHOOSE({1,2,3,4},TTSSKĐ!X106,TTSSKĐ!AD106,TTSSKĐ!AJ106,TTSSKĐ!AP106)))</f>
        <v>0</v>
      </c>
      <c r="G106">
        <f>SUMPRODUCT((MONTH(CHOOSE({1,2,3,4},TTSSKĐ!U106,TTSSKĐ!AA106,TTSSKĐ!AG106,TTSSKĐ!AM106))=7)*(CHOOSE({1,2,3,4},TTSSKĐ!X106,TTSSKĐ!AD106,TTSSKĐ!AJ106,TTSSKĐ!AP106)))</f>
        <v>0</v>
      </c>
      <c r="H106">
        <f>SUMPRODUCT((MONTH(CHOOSE({1,2,3,4},TTSSKĐ!U106,TTSSKĐ!AA106,TTSSKĐ!AG106,TTSSKĐ!AM106))=8)*(CHOOSE({1,2,3,4},TTSSKĐ!X106,TTSSKĐ!AD106,TTSSKĐ!AJ106,TTSSKĐ!AP106)))</f>
        <v>0</v>
      </c>
      <c r="I106">
        <f>SUMPRODUCT((MONTH(CHOOSE({1,2,3,4},TTSSKĐ!U106,TTSSKĐ!AA106,TTSSKĐ!AG106,TTSSKĐ!AM106))=9)*(CHOOSE({1,2,3,4},TTSSKĐ!X106,TTSSKĐ!AD106,TTSSKĐ!AJ106,TTSSKĐ!AP106)))</f>
        <v>0</v>
      </c>
      <c r="J106">
        <f>SUMPRODUCT((MONTH(CHOOSE({1,2,3,4},TTSSKĐ!U106,TTSSKĐ!AA106,TTSSKĐ!AG106,TTSSKĐ!AM106))=10)*(CHOOSE({1,2,3,4},TTSSKĐ!X106,TTSSKĐ!AD106,TTSSKĐ!AJ106,TTSSKĐ!AP106)))</f>
        <v>0</v>
      </c>
      <c r="K106">
        <f>SUMPRODUCT((MONTH(CHOOSE({1,2,3,4},TTSSKĐ!U106,TTSSKĐ!AA106,TTSSKĐ!AG106,TTSSKĐ!AM106))=11)*(CHOOSE({1,2,3,4},TTSSKĐ!X106,TTSSKĐ!AD106,TTSSKĐ!AJ106,TTSSKĐ!AP106)))</f>
        <v>0</v>
      </c>
      <c r="L106">
        <f>SUMPRODUCT((MONTH(CHOOSE({1,2,3,4},TTSSKĐ!U106,TTSSKĐ!AA106,TTSSKĐ!AG106,TTSSKĐ!AM106))=12)*(CHOOSE({1,2,3,4},TTSSKĐ!X106,TTSSKĐ!AD106,TTSSKĐ!AJ106,TTSSKĐ!AP106)))</f>
        <v>0</v>
      </c>
    </row>
    <row r="107" spans="1:12">
      <c r="A107">
        <f>SUMPRODUCT((MONTH(CHOOSE({1,2,3,4},TTSSKĐ!U107,TTSSKĐ!AA107,TTSSKĐ!AG107,TTSSKĐ!AM107))=1)*(CHOOSE({1,2,3,4},TTSSKĐ!X107,TTSSKĐ!AD107,TTSSKĐ!AJ107,TTSSKĐ!AP107)))</f>
        <v>0</v>
      </c>
      <c r="B107">
        <f>SUMPRODUCT((MONTH(CHOOSE({1,2,3,4},TTSSKĐ!U107,TTSSKĐ!AA107,TTSSKĐ!AG107,TTSSKĐ!AM107))=2)*(CHOOSE({1,2,3,4},TTSSKĐ!X107,TTSSKĐ!AD107,TTSSKĐ!AJ107,TTSSKĐ!AP107)))</f>
        <v>0</v>
      </c>
      <c r="C107">
        <f>SUMPRODUCT((MONTH(CHOOSE({1,2,3,4},TTSSKĐ!U107,TTSSKĐ!AA107,TTSSKĐ!AG107,TTSSKĐ!AM107))=3)*(CHOOSE({1,2,3,4},TTSSKĐ!X107,TTSSKĐ!AD107,TTSSKĐ!AJ107,TTSSKĐ!AP107)))</f>
        <v>0</v>
      </c>
      <c r="D107">
        <f>SUMPRODUCT((MONTH(CHOOSE({1,2,3,4},TTSSKĐ!U107,TTSSKĐ!AA107,TTSSKĐ!AG107,TTSSKĐ!AM107))=4)*(CHOOSE({1,2,3,4},TTSSKĐ!X107,TTSSKĐ!AD107,TTSSKĐ!AJ107,TTSSKĐ!AP107)))</f>
        <v>0</v>
      </c>
      <c r="E107">
        <f>SUMPRODUCT((MONTH(CHOOSE({1,2,3,4},TTSSKĐ!U107,TTSSKĐ!AA107,TTSSKĐ!AG107,TTSSKĐ!AM107))=5)*(CHOOSE({1,2,3,4},TTSSKĐ!X107,TTSSKĐ!AD107,TTSSKĐ!AJ107,TTSSKĐ!AP107)))</f>
        <v>0</v>
      </c>
      <c r="F107">
        <f>SUMPRODUCT((MONTH(CHOOSE({1,2,3,4},TTSSKĐ!U107,TTSSKĐ!AA107,TTSSKĐ!AG107,TTSSKĐ!AM107))=6)*(CHOOSE({1,2,3,4},TTSSKĐ!X107,TTSSKĐ!AD107,TTSSKĐ!AJ107,TTSSKĐ!AP107)))</f>
        <v>0</v>
      </c>
      <c r="G107">
        <f>SUMPRODUCT((MONTH(CHOOSE({1,2,3,4},TTSSKĐ!U107,TTSSKĐ!AA107,TTSSKĐ!AG107,TTSSKĐ!AM107))=7)*(CHOOSE({1,2,3,4},TTSSKĐ!X107,TTSSKĐ!AD107,TTSSKĐ!AJ107,TTSSKĐ!AP107)))</f>
        <v>0</v>
      </c>
      <c r="H107">
        <f>SUMPRODUCT((MONTH(CHOOSE({1,2,3,4},TTSSKĐ!U107,TTSSKĐ!AA107,TTSSKĐ!AG107,TTSSKĐ!AM107))=8)*(CHOOSE({1,2,3,4},TTSSKĐ!X107,TTSSKĐ!AD107,TTSSKĐ!AJ107,TTSSKĐ!AP107)))</f>
        <v>0</v>
      </c>
      <c r="I107">
        <f>SUMPRODUCT((MONTH(CHOOSE({1,2,3,4},TTSSKĐ!U107,TTSSKĐ!AA107,TTSSKĐ!AG107,TTSSKĐ!AM107))=9)*(CHOOSE({1,2,3,4},TTSSKĐ!X107,TTSSKĐ!AD107,TTSSKĐ!AJ107,TTSSKĐ!AP107)))</f>
        <v>0</v>
      </c>
      <c r="J107">
        <f>SUMPRODUCT((MONTH(CHOOSE({1,2,3,4},TTSSKĐ!U107,TTSSKĐ!AA107,TTSSKĐ!AG107,TTSSKĐ!AM107))=10)*(CHOOSE({1,2,3,4},TTSSKĐ!X107,TTSSKĐ!AD107,TTSSKĐ!AJ107,TTSSKĐ!AP107)))</f>
        <v>0</v>
      </c>
      <c r="K107">
        <f>SUMPRODUCT((MONTH(CHOOSE({1,2,3,4},TTSSKĐ!U107,TTSSKĐ!AA107,TTSSKĐ!AG107,TTSSKĐ!AM107))=11)*(CHOOSE({1,2,3,4},TTSSKĐ!X107,TTSSKĐ!AD107,TTSSKĐ!AJ107,TTSSKĐ!AP107)))</f>
        <v>0</v>
      </c>
      <c r="L107">
        <f>SUMPRODUCT((MONTH(CHOOSE({1,2,3,4},TTSSKĐ!U107,TTSSKĐ!AA107,TTSSKĐ!AG107,TTSSKĐ!AM107))=12)*(CHOOSE({1,2,3,4},TTSSKĐ!X107,TTSSKĐ!AD107,TTSSKĐ!AJ107,TTSSKĐ!AP107)))</f>
        <v>0</v>
      </c>
    </row>
    <row r="108" spans="1:12">
      <c r="A108">
        <f>SUMPRODUCT((MONTH(CHOOSE({1,2,3,4},TTSSKĐ!U108,TTSSKĐ!AA108,TTSSKĐ!AG108,TTSSKĐ!AM108))=1)*(CHOOSE({1,2,3,4},TTSSKĐ!X108,TTSSKĐ!AD108,TTSSKĐ!AJ108,TTSSKĐ!AP108)))</f>
        <v>0</v>
      </c>
      <c r="B108">
        <f>SUMPRODUCT((MONTH(CHOOSE({1,2,3,4},TTSSKĐ!U108,TTSSKĐ!AA108,TTSSKĐ!AG108,TTSSKĐ!AM108))=2)*(CHOOSE({1,2,3,4},TTSSKĐ!X108,TTSSKĐ!AD108,TTSSKĐ!AJ108,TTSSKĐ!AP108)))</f>
        <v>0</v>
      </c>
      <c r="C108">
        <f>SUMPRODUCT((MONTH(CHOOSE({1,2,3,4},TTSSKĐ!U108,TTSSKĐ!AA108,TTSSKĐ!AG108,TTSSKĐ!AM108))=3)*(CHOOSE({1,2,3,4},TTSSKĐ!X108,TTSSKĐ!AD108,TTSSKĐ!AJ108,TTSSKĐ!AP108)))</f>
        <v>0</v>
      </c>
      <c r="D108">
        <f>SUMPRODUCT((MONTH(CHOOSE({1,2,3,4},TTSSKĐ!U108,TTSSKĐ!AA108,TTSSKĐ!AG108,TTSSKĐ!AM108))=4)*(CHOOSE({1,2,3,4},TTSSKĐ!X108,TTSSKĐ!AD108,TTSSKĐ!AJ108,TTSSKĐ!AP108)))</f>
        <v>0</v>
      </c>
      <c r="E108">
        <f>SUMPRODUCT((MONTH(CHOOSE({1,2,3,4},TTSSKĐ!U108,TTSSKĐ!AA108,TTSSKĐ!AG108,TTSSKĐ!AM108))=5)*(CHOOSE({1,2,3,4},TTSSKĐ!X108,TTSSKĐ!AD108,TTSSKĐ!AJ108,TTSSKĐ!AP108)))</f>
        <v>0</v>
      </c>
      <c r="F108">
        <f>SUMPRODUCT((MONTH(CHOOSE({1,2,3,4},TTSSKĐ!U108,TTSSKĐ!AA108,TTSSKĐ!AG108,TTSSKĐ!AM108))=6)*(CHOOSE({1,2,3,4},TTSSKĐ!X108,TTSSKĐ!AD108,TTSSKĐ!AJ108,TTSSKĐ!AP108)))</f>
        <v>0</v>
      </c>
      <c r="G108">
        <f>SUMPRODUCT((MONTH(CHOOSE({1,2,3,4},TTSSKĐ!U108,TTSSKĐ!AA108,TTSSKĐ!AG108,TTSSKĐ!AM108))=7)*(CHOOSE({1,2,3,4},TTSSKĐ!X108,TTSSKĐ!AD108,TTSSKĐ!AJ108,TTSSKĐ!AP108)))</f>
        <v>0</v>
      </c>
      <c r="H108">
        <f>SUMPRODUCT((MONTH(CHOOSE({1,2,3,4},TTSSKĐ!U108,TTSSKĐ!AA108,TTSSKĐ!AG108,TTSSKĐ!AM108))=8)*(CHOOSE({1,2,3,4},TTSSKĐ!X108,TTSSKĐ!AD108,TTSSKĐ!AJ108,TTSSKĐ!AP108)))</f>
        <v>0</v>
      </c>
      <c r="I108">
        <f>SUMPRODUCT((MONTH(CHOOSE({1,2,3,4},TTSSKĐ!U108,TTSSKĐ!AA108,TTSSKĐ!AG108,TTSSKĐ!AM108))=9)*(CHOOSE({1,2,3,4},TTSSKĐ!X108,TTSSKĐ!AD108,TTSSKĐ!AJ108,TTSSKĐ!AP108)))</f>
        <v>0</v>
      </c>
      <c r="J108">
        <f>SUMPRODUCT((MONTH(CHOOSE({1,2,3,4},TTSSKĐ!U108,TTSSKĐ!AA108,TTSSKĐ!AG108,TTSSKĐ!AM108))=10)*(CHOOSE({1,2,3,4},TTSSKĐ!X108,TTSSKĐ!AD108,TTSSKĐ!AJ108,TTSSKĐ!AP108)))</f>
        <v>0</v>
      </c>
      <c r="K108">
        <f>SUMPRODUCT((MONTH(CHOOSE({1,2,3,4},TTSSKĐ!U108,TTSSKĐ!AA108,TTSSKĐ!AG108,TTSSKĐ!AM108))=11)*(CHOOSE({1,2,3,4},TTSSKĐ!X108,TTSSKĐ!AD108,TTSSKĐ!AJ108,TTSSKĐ!AP108)))</f>
        <v>0</v>
      </c>
      <c r="L108">
        <f>SUMPRODUCT((MONTH(CHOOSE({1,2,3,4},TTSSKĐ!U108,TTSSKĐ!AA108,TTSSKĐ!AG108,TTSSKĐ!AM108))=12)*(CHOOSE({1,2,3,4},TTSSKĐ!X108,TTSSKĐ!AD108,TTSSKĐ!AJ108,TTSSKĐ!AP108)))</f>
        <v>0</v>
      </c>
    </row>
    <row r="109" spans="1:12">
      <c r="A109">
        <f>SUMPRODUCT((MONTH(CHOOSE({1,2,3,4},TTSSKĐ!U109,TTSSKĐ!AA109,TTSSKĐ!AG109,TTSSKĐ!AM109))=1)*(CHOOSE({1,2,3,4},TTSSKĐ!X109,TTSSKĐ!AD109,TTSSKĐ!AJ109,TTSSKĐ!AP109)))</f>
        <v>0</v>
      </c>
      <c r="B109">
        <f>SUMPRODUCT((MONTH(CHOOSE({1,2,3,4},TTSSKĐ!U109,TTSSKĐ!AA109,TTSSKĐ!AG109,TTSSKĐ!AM109))=2)*(CHOOSE({1,2,3,4},TTSSKĐ!X109,TTSSKĐ!AD109,TTSSKĐ!AJ109,TTSSKĐ!AP109)))</f>
        <v>0</v>
      </c>
      <c r="C109">
        <f>SUMPRODUCT((MONTH(CHOOSE({1,2,3,4},TTSSKĐ!U109,TTSSKĐ!AA109,TTSSKĐ!AG109,TTSSKĐ!AM109))=3)*(CHOOSE({1,2,3,4},TTSSKĐ!X109,TTSSKĐ!AD109,TTSSKĐ!AJ109,TTSSKĐ!AP109)))</f>
        <v>0</v>
      </c>
      <c r="D109">
        <f>SUMPRODUCT((MONTH(CHOOSE({1,2,3,4},TTSSKĐ!U109,TTSSKĐ!AA109,TTSSKĐ!AG109,TTSSKĐ!AM109))=4)*(CHOOSE({1,2,3,4},TTSSKĐ!X109,TTSSKĐ!AD109,TTSSKĐ!AJ109,TTSSKĐ!AP109)))</f>
        <v>0</v>
      </c>
      <c r="E109">
        <f>SUMPRODUCT((MONTH(CHOOSE({1,2,3,4},TTSSKĐ!U109,TTSSKĐ!AA109,TTSSKĐ!AG109,TTSSKĐ!AM109))=5)*(CHOOSE({1,2,3,4},TTSSKĐ!X109,TTSSKĐ!AD109,TTSSKĐ!AJ109,TTSSKĐ!AP109)))</f>
        <v>0</v>
      </c>
      <c r="F109">
        <f>SUMPRODUCT((MONTH(CHOOSE({1,2,3,4},TTSSKĐ!U109,TTSSKĐ!AA109,TTSSKĐ!AG109,TTSSKĐ!AM109))=6)*(CHOOSE({1,2,3,4},TTSSKĐ!X109,TTSSKĐ!AD109,TTSSKĐ!AJ109,TTSSKĐ!AP109)))</f>
        <v>0</v>
      </c>
      <c r="G109">
        <f>SUMPRODUCT((MONTH(CHOOSE({1,2,3,4},TTSSKĐ!U109,TTSSKĐ!AA109,TTSSKĐ!AG109,TTSSKĐ!AM109))=7)*(CHOOSE({1,2,3,4},TTSSKĐ!X109,TTSSKĐ!AD109,TTSSKĐ!AJ109,TTSSKĐ!AP109)))</f>
        <v>0</v>
      </c>
      <c r="H109">
        <f>SUMPRODUCT((MONTH(CHOOSE({1,2,3,4},TTSSKĐ!U109,TTSSKĐ!AA109,TTSSKĐ!AG109,TTSSKĐ!AM109))=8)*(CHOOSE({1,2,3,4},TTSSKĐ!X109,TTSSKĐ!AD109,TTSSKĐ!AJ109,TTSSKĐ!AP109)))</f>
        <v>0</v>
      </c>
      <c r="I109">
        <f>SUMPRODUCT((MONTH(CHOOSE({1,2,3,4},TTSSKĐ!U109,TTSSKĐ!AA109,TTSSKĐ!AG109,TTSSKĐ!AM109))=9)*(CHOOSE({1,2,3,4},TTSSKĐ!X109,TTSSKĐ!AD109,TTSSKĐ!AJ109,TTSSKĐ!AP109)))</f>
        <v>0</v>
      </c>
      <c r="J109">
        <f>SUMPRODUCT((MONTH(CHOOSE({1,2,3,4},TTSSKĐ!U109,TTSSKĐ!AA109,TTSSKĐ!AG109,TTSSKĐ!AM109))=10)*(CHOOSE({1,2,3,4},TTSSKĐ!X109,TTSSKĐ!AD109,TTSSKĐ!AJ109,TTSSKĐ!AP109)))</f>
        <v>0</v>
      </c>
      <c r="K109">
        <f>SUMPRODUCT((MONTH(CHOOSE({1,2,3,4},TTSSKĐ!U109,TTSSKĐ!AA109,TTSSKĐ!AG109,TTSSKĐ!AM109))=11)*(CHOOSE({1,2,3,4},TTSSKĐ!X109,TTSSKĐ!AD109,TTSSKĐ!AJ109,TTSSKĐ!AP109)))</f>
        <v>0</v>
      </c>
      <c r="L109">
        <f>SUMPRODUCT((MONTH(CHOOSE({1,2,3,4},TTSSKĐ!U109,TTSSKĐ!AA109,TTSSKĐ!AG109,TTSSKĐ!AM109))=12)*(CHOOSE({1,2,3,4},TTSSKĐ!X109,TTSSKĐ!AD109,TTSSKĐ!AJ109,TTSSKĐ!AP109)))</f>
        <v>0</v>
      </c>
    </row>
    <row r="110" spans="1:12">
      <c r="A110">
        <f>SUMPRODUCT((MONTH(CHOOSE({1,2,3,4},TTSSKĐ!U110,TTSSKĐ!AA110,TTSSKĐ!AG110,TTSSKĐ!AM110))=1)*(CHOOSE({1,2,3,4},TTSSKĐ!X110,TTSSKĐ!AD110,TTSSKĐ!AJ110,TTSSKĐ!AP110)))</f>
        <v>0</v>
      </c>
      <c r="B110">
        <f>SUMPRODUCT((MONTH(CHOOSE({1,2,3,4},TTSSKĐ!U110,TTSSKĐ!AA110,TTSSKĐ!AG110,TTSSKĐ!AM110))=2)*(CHOOSE({1,2,3,4},TTSSKĐ!X110,TTSSKĐ!AD110,TTSSKĐ!AJ110,TTSSKĐ!AP110)))</f>
        <v>0</v>
      </c>
      <c r="C110">
        <f>SUMPRODUCT((MONTH(CHOOSE({1,2,3,4},TTSSKĐ!U110,TTSSKĐ!AA110,TTSSKĐ!AG110,TTSSKĐ!AM110))=3)*(CHOOSE({1,2,3,4},TTSSKĐ!X110,TTSSKĐ!AD110,TTSSKĐ!AJ110,TTSSKĐ!AP110)))</f>
        <v>0</v>
      </c>
      <c r="D110">
        <f>SUMPRODUCT((MONTH(CHOOSE({1,2,3,4},TTSSKĐ!U110,TTSSKĐ!AA110,TTSSKĐ!AG110,TTSSKĐ!AM110))=4)*(CHOOSE({1,2,3,4},TTSSKĐ!X110,TTSSKĐ!AD110,TTSSKĐ!AJ110,TTSSKĐ!AP110)))</f>
        <v>0</v>
      </c>
      <c r="E110">
        <f>SUMPRODUCT((MONTH(CHOOSE({1,2,3,4},TTSSKĐ!U110,TTSSKĐ!AA110,TTSSKĐ!AG110,TTSSKĐ!AM110))=5)*(CHOOSE({1,2,3,4},TTSSKĐ!X110,TTSSKĐ!AD110,TTSSKĐ!AJ110,TTSSKĐ!AP110)))</f>
        <v>0</v>
      </c>
      <c r="F110">
        <f>SUMPRODUCT((MONTH(CHOOSE({1,2,3,4},TTSSKĐ!U110,TTSSKĐ!AA110,TTSSKĐ!AG110,TTSSKĐ!AM110))=6)*(CHOOSE({1,2,3,4},TTSSKĐ!X110,TTSSKĐ!AD110,TTSSKĐ!AJ110,TTSSKĐ!AP110)))</f>
        <v>0</v>
      </c>
      <c r="G110">
        <f>SUMPRODUCT((MONTH(CHOOSE({1,2,3,4},TTSSKĐ!U110,TTSSKĐ!AA110,TTSSKĐ!AG110,TTSSKĐ!AM110))=7)*(CHOOSE({1,2,3,4},TTSSKĐ!X110,TTSSKĐ!AD110,TTSSKĐ!AJ110,TTSSKĐ!AP110)))</f>
        <v>0</v>
      </c>
      <c r="H110">
        <f>SUMPRODUCT((MONTH(CHOOSE({1,2,3,4},TTSSKĐ!U110,TTSSKĐ!AA110,TTSSKĐ!AG110,TTSSKĐ!AM110))=8)*(CHOOSE({1,2,3,4},TTSSKĐ!X110,TTSSKĐ!AD110,TTSSKĐ!AJ110,TTSSKĐ!AP110)))</f>
        <v>0</v>
      </c>
      <c r="I110">
        <f>SUMPRODUCT((MONTH(CHOOSE({1,2,3,4},TTSSKĐ!U110,TTSSKĐ!AA110,TTSSKĐ!AG110,TTSSKĐ!AM110))=9)*(CHOOSE({1,2,3,4},TTSSKĐ!X110,TTSSKĐ!AD110,TTSSKĐ!AJ110,TTSSKĐ!AP110)))</f>
        <v>0</v>
      </c>
      <c r="J110">
        <f>SUMPRODUCT((MONTH(CHOOSE({1,2,3,4},TTSSKĐ!U110,TTSSKĐ!AA110,TTSSKĐ!AG110,TTSSKĐ!AM110))=10)*(CHOOSE({1,2,3,4},TTSSKĐ!X110,TTSSKĐ!AD110,TTSSKĐ!AJ110,TTSSKĐ!AP110)))</f>
        <v>0</v>
      </c>
      <c r="K110">
        <f>SUMPRODUCT((MONTH(CHOOSE({1,2,3,4},TTSSKĐ!U110,TTSSKĐ!AA110,TTSSKĐ!AG110,TTSSKĐ!AM110))=11)*(CHOOSE({1,2,3,4},TTSSKĐ!X110,TTSSKĐ!AD110,TTSSKĐ!AJ110,TTSSKĐ!AP110)))</f>
        <v>0</v>
      </c>
      <c r="L110">
        <f>SUMPRODUCT((MONTH(CHOOSE({1,2,3,4},TTSSKĐ!U110,TTSSKĐ!AA110,TTSSKĐ!AG110,TTSSKĐ!AM110))=12)*(CHOOSE({1,2,3,4},TTSSKĐ!X110,TTSSKĐ!AD110,TTSSKĐ!AJ110,TTSSKĐ!AP110)))</f>
        <v>0</v>
      </c>
    </row>
    <row r="111" spans="1:12">
      <c r="A111">
        <f>SUMPRODUCT((MONTH(CHOOSE({1,2,3,4},TTSSKĐ!U111,TTSSKĐ!AA111,TTSSKĐ!AG111,TTSSKĐ!AM111))=1)*(CHOOSE({1,2,3,4},TTSSKĐ!X111,TTSSKĐ!AD111,TTSSKĐ!AJ111,TTSSKĐ!AP111)))</f>
        <v>0</v>
      </c>
      <c r="B111">
        <f>SUMPRODUCT((MONTH(CHOOSE({1,2,3,4},TTSSKĐ!U111,TTSSKĐ!AA111,TTSSKĐ!AG111,TTSSKĐ!AM111))=2)*(CHOOSE({1,2,3,4},TTSSKĐ!X111,TTSSKĐ!AD111,TTSSKĐ!AJ111,TTSSKĐ!AP111)))</f>
        <v>0</v>
      </c>
      <c r="C111">
        <f>SUMPRODUCT((MONTH(CHOOSE({1,2,3,4},TTSSKĐ!U111,TTSSKĐ!AA111,TTSSKĐ!AG111,TTSSKĐ!AM111))=3)*(CHOOSE({1,2,3,4},TTSSKĐ!X111,TTSSKĐ!AD111,TTSSKĐ!AJ111,TTSSKĐ!AP111)))</f>
        <v>0</v>
      </c>
      <c r="D111">
        <f>SUMPRODUCT((MONTH(CHOOSE({1,2,3,4},TTSSKĐ!U111,TTSSKĐ!AA111,TTSSKĐ!AG111,TTSSKĐ!AM111))=4)*(CHOOSE({1,2,3,4},TTSSKĐ!X111,TTSSKĐ!AD111,TTSSKĐ!AJ111,TTSSKĐ!AP111)))</f>
        <v>0</v>
      </c>
      <c r="E111">
        <f>SUMPRODUCT((MONTH(CHOOSE({1,2,3,4},TTSSKĐ!U111,TTSSKĐ!AA111,TTSSKĐ!AG111,TTSSKĐ!AM111))=5)*(CHOOSE({1,2,3,4},TTSSKĐ!X111,TTSSKĐ!AD111,TTSSKĐ!AJ111,TTSSKĐ!AP111)))</f>
        <v>0</v>
      </c>
      <c r="F111">
        <f>SUMPRODUCT((MONTH(CHOOSE({1,2,3,4},TTSSKĐ!U111,TTSSKĐ!AA111,TTSSKĐ!AG111,TTSSKĐ!AM111))=6)*(CHOOSE({1,2,3,4},TTSSKĐ!X111,TTSSKĐ!AD111,TTSSKĐ!AJ111,TTSSKĐ!AP111)))</f>
        <v>0</v>
      </c>
      <c r="G111">
        <f>SUMPRODUCT((MONTH(CHOOSE({1,2,3,4},TTSSKĐ!U111,TTSSKĐ!AA111,TTSSKĐ!AG111,TTSSKĐ!AM111))=7)*(CHOOSE({1,2,3,4},TTSSKĐ!X111,TTSSKĐ!AD111,TTSSKĐ!AJ111,TTSSKĐ!AP111)))</f>
        <v>0</v>
      </c>
      <c r="H111">
        <f>SUMPRODUCT((MONTH(CHOOSE({1,2,3,4},TTSSKĐ!U111,TTSSKĐ!AA111,TTSSKĐ!AG111,TTSSKĐ!AM111))=8)*(CHOOSE({1,2,3,4},TTSSKĐ!X111,TTSSKĐ!AD111,TTSSKĐ!AJ111,TTSSKĐ!AP111)))</f>
        <v>0</v>
      </c>
      <c r="I111">
        <f>SUMPRODUCT((MONTH(CHOOSE({1,2,3,4},TTSSKĐ!U111,TTSSKĐ!AA111,TTSSKĐ!AG111,TTSSKĐ!AM111))=9)*(CHOOSE({1,2,3,4},TTSSKĐ!X111,TTSSKĐ!AD111,TTSSKĐ!AJ111,TTSSKĐ!AP111)))</f>
        <v>0</v>
      </c>
      <c r="J111">
        <f>SUMPRODUCT((MONTH(CHOOSE({1,2,3,4},TTSSKĐ!U111,TTSSKĐ!AA111,TTSSKĐ!AG111,TTSSKĐ!AM111))=10)*(CHOOSE({1,2,3,4},TTSSKĐ!X111,TTSSKĐ!AD111,TTSSKĐ!AJ111,TTSSKĐ!AP111)))</f>
        <v>0</v>
      </c>
      <c r="K111">
        <f>SUMPRODUCT((MONTH(CHOOSE({1,2,3,4},TTSSKĐ!U111,TTSSKĐ!AA111,TTSSKĐ!AG111,TTSSKĐ!AM111))=11)*(CHOOSE({1,2,3,4},TTSSKĐ!X111,TTSSKĐ!AD111,TTSSKĐ!AJ111,TTSSKĐ!AP111)))</f>
        <v>0</v>
      </c>
      <c r="L111">
        <f>SUMPRODUCT((MONTH(CHOOSE({1,2,3,4},TTSSKĐ!U111,TTSSKĐ!AA111,TTSSKĐ!AG111,TTSSKĐ!AM111))=12)*(CHOOSE({1,2,3,4},TTSSKĐ!X111,TTSSKĐ!AD111,TTSSKĐ!AJ111,TTSSKĐ!AP111)))</f>
        <v>0</v>
      </c>
    </row>
    <row r="112" spans="1:12">
      <c r="A112">
        <f>SUMPRODUCT((MONTH(CHOOSE({1,2,3,4},TTSSKĐ!U112,TTSSKĐ!AA112,TTSSKĐ!AG112,TTSSKĐ!AM112))=1)*(CHOOSE({1,2,3,4},TTSSKĐ!X112,TTSSKĐ!AD112,TTSSKĐ!AJ112,TTSSKĐ!AP112)))</f>
        <v>0</v>
      </c>
      <c r="B112">
        <f>SUMPRODUCT((MONTH(CHOOSE({1,2,3,4},TTSSKĐ!U112,TTSSKĐ!AA112,TTSSKĐ!AG112,TTSSKĐ!AM112))=2)*(CHOOSE({1,2,3,4},TTSSKĐ!X112,TTSSKĐ!AD112,TTSSKĐ!AJ112,TTSSKĐ!AP112)))</f>
        <v>0</v>
      </c>
      <c r="C112">
        <f>SUMPRODUCT((MONTH(CHOOSE({1,2,3,4},TTSSKĐ!U112,TTSSKĐ!AA112,TTSSKĐ!AG112,TTSSKĐ!AM112))=3)*(CHOOSE({1,2,3,4},TTSSKĐ!X112,TTSSKĐ!AD112,TTSSKĐ!AJ112,TTSSKĐ!AP112)))</f>
        <v>0</v>
      </c>
      <c r="D112">
        <f>SUMPRODUCT((MONTH(CHOOSE({1,2,3,4},TTSSKĐ!U112,TTSSKĐ!AA112,TTSSKĐ!AG112,TTSSKĐ!AM112))=4)*(CHOOSE({1,2,3,4},TTSSKĐ!X112,TTSSKĐ!AD112,TTSSKĐ!AJ112,TTSSKĐ!AP112)))</f>
        <v>0</v>
      </c>
      <c r="E112">
        <f>SUMPRODUCT((MONTH(CHOOSE({1,2,3,4},TTSSKĐ!U112,TTSSKĐ!AA112,TTSSKĐ!AG112,TTSSKĐ!AM112))=5)*(CHOOSE({1,2,3,4},TTSSKĐ!X112,TTSSKĐ!AD112,TTSSKĐ!AJ112,TTSSKĐ!AP112)))</f>
        <v>0</v>
      </c>
      <c r="F112">
        <f>SUMPRODUCT((MONTH(CHOOSE({1,2,3,4},TTSSKĐ!U112,TTSSKĐ!AA112,TTSSKĐ!AG112,TTSSKĐ!AM112))=6)*(CHOOSE({1,2,3,4},TTSSKĐ!X112,TTSSKĐ!AD112,TTSSKĐ!AJ112,TTSSKĐ!AP112)))</f>
        <v>0</v>
      </c>
      <c r="G112">
        <f>SUMPRODUCT((MONTH(CHOOSE({1,2,3,4},TTSSKĐ!U112,TTSSKĐ!AA112,TTSSKĐ!AG112,TTSSKĐ!AM112))=7)*(CHOOSE({1,2,3,4},TTSSKĐ!X112,TTSSKĐ!AD112,TTSSKĐ!AJ112,TTSSKĐ!AP112)))</f>
        <v>0</v>
      </c>
      <c r="H112">
        <f>SUMPRODUCT((MONTH(CHOOSE({1,2,3,4},TTSSKĐ!U112,TTSSKĐ!AA112,TTSSKĐ!AG112,TTSSKĐ!AM112))=8)*(CHOOSE({1,2,3,4},TTSSKĐ!X112,TTSSKĐ!AD112,TTSSKĐ!AJ112,TTSSKĐ!AP112)))</f>
        <v>0</v>
      </c>
      <c r="I112">
        <f>SUMPRODUCT((MONTH(CHOOSE({1,2,3,4},TTSSKĐ!U112,TTSSKĐ!AA112,TTSSKĐ!AG112,TTSSKĐ!AM112))=9)*(CHOOSE({1,2,3,4},TTSSKĐ!X112,TTSSKĐ!AD112,TTSSKĐ!AJ112,TTSSKĐ!AP112)))</f>
        <v>0</v>
      </c>
      <c r="J112">
        <f>SUMPRODUCT((MONTH(CHOOSE({1,2,3,4},TTSSKĐ!U112,TTSSKĐ!AA112,TTSSKĐ!AG112,TTSSKĐ!AM112))=10)*(CHOOSE({1,2,3,4},TTSSKĐ!X112,TTSSKĐ!AD112,TTSSKĐ!AJ112,TTSSKĐ!AP112)))</f>
        <v>0</v>
      </c>
      <c r="K112">
        <f>SUMPRODUCT((MONTH(CHOOSE({1,2,3,4},TTSSKĐ!U112,TTSSKĐ!AA112,TTSSKĐ!AG112,TTSSKĐ!AM112))=11)*(CHOOSE({1,2,3,4},TTSSKĐ!X112,TTSSKĐ!AD112,TTSSKĐ!AJ112,TTSSKĐ!AP112)))</f>
        <v>0</v>
      </c>
      <c r="L112">
        <f>SUMPRODUCT((MONTH(CHOOSE({1,2,3,4},TTSSKĐ!U112,TTSSKĐ!AA112,TTSSKĐ!AG112,TTSSKĐ!AM112))=12)*(CHOOSE({1,2,3,4},TTSSKĐ!X112,TTSSKĐ!AD112,TTSSKĐ!AJ112,TTSSKĐ!AP112)))</f>
        <v>0</v>
      </c>
    </row>
    <row r="113" spans="1:12">
      <c r="A113">
        <f>SUMPRODUCT((MONTH(CHOOSE({1,2,3,4},TTSSKĐ!U113,TTSSKĐ!AA113,TTSSKĐ!AG113,TTSSKĐ!AM113))=1)*(CHOOSE({1,2,3,4},TTSSKĐ!X113,TTSSKĐ!AD113,TTSSKĐ!AJ113,TTSSKĐ!AP113)))</f>
        <v>0</v>
      </c>
      <c r="B113">
        <f>SUMPRODUCT((MONTH(CHOOSE({1,2,3,4},TTSSKĐ!U113,TTSSKĐ!AA113,TTSSKĐ!AG113,TTSSKĐ!AM113))=2)*(CHOOSE({1,2,3,4},TTSSKĐ!X113,TTSSKĐ!AD113,TTSSKĐ!AJ113,TTSSKĐ!AP113)))</f>
        <v>0</v>
      </c>
      <c r="C113">
        <f>SUMPRODUCT((MONTH(CHOOSE({1,2,3,4},TTSSKĐ!U113,TTSSKĐ!AA113,TTSSKĐ!AG113,TTSSKĐ!AM113))=3)*(CHOOSE({1,2,3,4},TTSSKĐ!X113,TTSSKĐ!AD113,TTSSKĐ!AJ113,TTSSKĐ!AP113)))</f>
        <v>0</v>
      </c>
      <c r="D113">
        <f>SUMPRODUCT((MONTH(CHOOSE({1,2,3,4},TTSSKĐ!U113,TTSSKĐ!AA113,TTSSKĐ!AG113,TTSSKĐ!AM113))=4)*(CHOOSE({1,2,3,4},TTSSKĐ!X113,TTSSKĐ!AD113,TTSSKĐ!AJ113,TTSSKĐ!AP113)))</f>
        <v>0</v>
      </c>
      <c r="E113">
        <f>SUMPRODUCT((MONTH(CHOOSE({1,2,3,4},TTSSKĐ!U113,TTSSKĐ!AA113,TTSSKĐ!AG113,TTSSKĐ!AM113))=5)*(CHOOSE({1,2,3,4},TTSSKĐ!X113,TTSSKĐ!AD113,TTSSKĐ!AJ113,TTSSKĐ!AP113)))</f>
        <v>0</v>
      </c>
      <c r="F113">
        <f>SUMPRODUCT((MONTH(CHOOSE({1,2,3,4},TTSSKĐ!U113,TTSSKĐ!AA113,TTSSKĐ!AG113,TTSSKĐ!AM113))=6)*(CHOOSE({1,2,3,4},TTSSKĐ!X113,TTSSKĐ!AD113,TTSSKĐ!AJ113,TTSSKĐ!AP113)))</f>
        <v>0</v>
      </c>
      <c r="G113">
        <f>SUMPRODUCT((MONTH(CHOOSE({1,2,3,4},TTSSKĐ!U113,TTSSKĐ!AA113,TTSSKĐ!AG113,TTSSKĐ!AM113))=7)*(CHOOSE({1,2,3,4},TTSSKĐ!X113,TTSSKĐ!AD113,TTSSKĐ!AJ113,TTSSKĐ!AP113)))</f>
        <v>0</v>
      </c>
      <c r="H113">
        <f>SUMPRODUCT((MONTH(CHOOSE({1,2,3,4},TTSSKĐ!U113,TTSSKĐ!AA113,TTSSKĐ!AG113,TTSSKĐ!AM113))=8)*(CHOOSE({1,2,3,4},TTSSKĐ!X113,TTSSKĐ!AD113,TTSSKĐ!AJ113,TTSSKĐ!AP113)))</f>
        <v>0</v>
      </c>
      <c r="I113">
        <f>SUMPRODUCT((MONTH(CHOOSE({1,2,3,4},TTSSKĐ!U113,TTSSKĐ!AA113,TTSSKĐ!AG113,TTSSKĐ!AM113))=9)*(CHOOSE({1,2,3,4},TTSSKĐ!X113,TTSSKĐ!AD113,TTSSKĐ!AJ113,TTSSKĐ!AP113)))</f>
        <v>0</v>
      </c>
      <c r="J113">
        <f>SUMPRODUCT((MONTH(CHOOSE({1,2,3,4},TTSSKĐ!U113,TTSSKĐ!AA113,TTSSKĐ!AG113,TTSSKĐ!AM113))=10)*(CHOOSE({1,2,3,4},TTSSKĐ!X113,TTSSKĐ!AD113,TTSSKĐ!AJ113,TTSSKĐ!AP113)))</f>
        <v>0</v>
      </c>
      <c r="K113">
        <f>SUMPRODUCT((MONTH(CHOOSE({1,2,3,4},TTSSKĐ!U113,TTSSKĐ!AA113,TTSSKĐ!AG113,TTSSKĐ!AM113))=11)*(CHOOSE({1,2,3,4},TTSSKĐ!X113,TTSSKĐ!AD113,TTSSKĐ!AJ113,TTSSKĐ!AP113)))</f>
        <v>0</v>
      </c>
      <c r="L113">
        <f>SUMPRODUCT((MONTH(CHOOSE({1,2,3,4},TTSSKĐ!U113,TTSSKĐ!AA113,TTSSKĐ!AG113,TTSSKĐ!AM113))=12)*(CHOOSE({1,2,3,4},TTSSKĐ!X113,TTSSKĐ!AD113,TTSSKĐ!AJ113,TTSSKĐ!AP113)))</f>
        <v>0</v>
      </c>
    </row>
    <row r="114" spans="1:12">
      <c r="A114">
        <f>SUMPRODUCT((MONTH(CHOOSE({1,2,3,4},TTSSKĐ!U114,TTSSKĐ!AA114,TTSSKĐ!AG114,TTSSKĐ!AM114))=1)*(CHOOSE({1,2,3,4},TTSSKĐ!X114,TTSSKĐ!AD114,TTSSKĐ!AJ114,TTSSKĐ!AP114)))</f>
        <v>0</v>
      </c>
      <c r="B114">
        <f>SUMPRODUCT((MONTH(CHOOSE({1,2,3,4},TTSSKĐ!U114,TTSSKĐ!AA114,TTSSKĐ!AG114,TTSSKĐ!AM114))=2)*(CHOOSE({1,2,3,4},TTSSKĐ!X114,TTSSKĐ!AD114,TTSSKĐ!AJ114,TTSSKĐ!AP114)))</f>
        <v>0</v>
      </c>
      <c r="C114">
        <f>SUMPRODUCT((MONTH(CHOOSE({1,2,3,4},TTSSKĐ!U114,TTSSKĐ!AA114,TTSSKĐ!AG114,TTSSKĐ!AM114))=3)*(CHOOSE({1,2,3,4},TTSSKĐ!X114,TTSSKĐ!AD114,TTSSKĐ!AJ114,TTSSKĐ!AP114)))</f>
        <v>0</v>
      </c>
      <c r="D114">
        <f>SUMPRODUCT((MONTH(CHOOSE({1,2,3,4},TTSSKĐ!U114,TTSSKĐ!AA114,TTSSKĐ!AG114,TTSSKĐ!AM114))=4)*(CHOOSE({1,2,3,4},TTSSKĐ!X114,TTSSKĐ!AD114,TTSSKĐ!AJ114,TTSSKĐ!AP114)))</f>
        <v>0</v>
      </c>
      <c r="E114">
        <f>SUMPRODUCT((MONTH(CHOOSE({1,2,3,4},TTSSKĐ!U114,TTSSKĐ!AA114,TTSSKĐ!AG114,TTSSKĐ!AM114))=5)*(CHOOSE({1,2,3,4},TTSSKĐ!X114,TTSSKĐ!AD114,TTSSKĐ!AJ114,TTSSKĐ!AP114)))</f>
        <v>0</v>
      </c>
      <c r="F114">
        <f>SUMPRODUCT((MONTH(CHOOSE({1,2,3,4},TTSSKĐ!U114,TTSSKĐ!AA114,TTSSKĐ!AG114,TTSSKĐ!AM114))=6)*(CHOOSE({1,2,3,4},TTSSKĐ!X114,TTSSKĐ!AD114,TTSSKĐ!AJ114,TTSSKĐ!AP114)))</f>
        <v>0</v>
      </c>
      <c r="G114">
        <f>SUMPRODUCT((MONTH(CHOOSE({1,2,3,4},TTSSKĐ!U114,TTSSKĐ!AA114,TTSSKĐ!AG114,TTSSKĐ!AM114))=7)*(CHOOSE({1,2,3,4},TTSSKĐ!X114,TTSSKĐ!AD114,TTSSKĐ!AJ114,TTSSKĐ!AP114)))</f>
        <v>0</v>
      </c>
      <c r="H114">
        <f>SUMPRODUCT((MONTH(CHOOSE({1,2,3,4},TTSSKĐ!U114,TTSSKĐ!AA114,TTSSKĐ!AG114,TTSSKĐ!AM114))=8)*(CHOOSE({1,2,3,4},TTSSKĐ!X114,TTSSKĐ!AD114,TTSSKĐ!AJ114,TTSSKĐ!AP114)))</f>
        <v>0</v>
      </c>
      <c r="I114">
        <f>SUMPRODUCT((MONTH(CHOOSE({1,2,3,4},TTSSKĐ!U114,TTSSKĐ!AA114,TTSSKĐ!AG114,TTSSKĐ!AM114))=9)*(CHOOSE({1,2,3,4},TTSSKĐ!X114,TTSSKĐ!AD114,TTSSKĐ!AJ114,TTSSKĐ!AP114)))</f>
        <v>0</v>
      </c>
      <c r="J114">
        <f>SUMPRODUCT((MONTH(CHOOSE({1,2,3,4},TTSSKĐ!U114,TTSSKĐ!AA114,TTSSKĐ!AG114,TTSSKĐ!AM114))=10)*(CHOOSE({1,2,3,4},TTSSKĐ!X114,TTSSKĐ!AD114,TTSSKĐ!AJ114,TTSSKĐ!AP114)))</f>
        <v>0</v>
      </c>
      <c r="K114">
        <f>SUMPRODUCT((MONTH(CHOOSE({1,2,3,4},TTSSKĐ!U114,TTSSKĐ!AA114,TTSSKĐ!AG114,TTSSKĐ!AM114))=11)*(CHOOSE({1,2,3,4},TTSSKĐ!X114,TTSSKĐ!AD114,TTSSKĐ!AJ114,TTSSKĐ!AP114)))</f>
        <v>0</v>
      </c>
      <c r="L114">
        <f>SUMPRODUCT((MONTH(CHOOSE({1,2,3,4},TTSSKĐ!U114,TTSSKĐ!AA114,TTSSKĐ!AG114,TTSSKĐ!AM114))=12)*(CHOOSE({1,2,3,4},TTSSKĐ!X114,TTSSKĐ!AD114,TTSSKĐ!AJ114,TTSSKĐ!AP114)))</f>
        <v>0</v>
      </c>
    </row>
    <row r="115" spans="1:12">
      <c r="A115">
        <f>SUMPRODUCT((MONTH(CHOOSE({1,2,3,4},TTSSKĐ!U115,TTSSKĐ!AA115,TTSSKĐ!AG115,TTSSKĐ!AM115))=1)*(CHOOSE({1,2,3,4},TTSSKĐ!X115,TTSSKĐ!AD115,TTSSKĐ!AJ115,TTSSKĐ!AP115)))</f>
        <v>0</v>
      </c>
      <c r="B115">
        <f>SUMPRODUCT((MONTH(CHOOSE({1,2,3,4},TTSSKĐ!U115,TTSSKĐ!AA115,TTSSKĐ!AG115,TTSSKĐ!AM115))=2)*(CHOOSE({1,2,3,4},TTSSKĐ!X115,TTSSKĐ!AD115,TTSSKĐ!AJ115,TTSSKĐ!AP115)))</f>
        <v>0</v>
      </c>
      <c r="C115">
        <f>SUMPRODUCT((MONTH(CHOOSE({1,2,3,4},TTSSKĐ!U115,TTSSKĐ!AA115,TTSSKĐ!AG115,TTSSKĐ!AM115))=3)*(CHOOSE({1,2,3,4},TTSSKĐ!X115,TTSSKĐ!AD115,TTSSKĐ!AJ115,TTSSKĐ!AP115)))</f>
        <v>0</v>
      </c>
      <c r="D115">
        <f>SUMPRODUCT((MONTH(CHOOSE({1,2,3,4},TTSSKĐ!U115,TTSSKĐ!AA115,TTSSKĐ!AG115,TTSSKĐ!AM115))=4)*(CHOOSE({1,2,3,4},TTSSKĐ!X115,TTSSKĐ!AD115,TTSSKĐ!AJ115,TTSSKĐ!AP115)))</f>
        <v>0</v>
      </c>
      <c r="E115">
        <f>SUMPRODUCT((MONTH(CHOOSE({1,2,3,4},TTSSKĐ!U115,TTSSKĐ!AA115,TTSSKĐ!AG115,TTSSKĐ!AM115))=5)*(CHOOSE({1,2,3,4},TTSSKĐ!X115,TTSSKĐ!AD115,TTSSKĐ!AJ115,TTSSKĐ!AP115)))</f>
        <v>0</v>
      </c>
      <c r="F115">
        <f>SUMPRODUCT((MONTH(CHOOSE({1,2,3,4},TTSSKĐ!U115,TTSSKĐ!AA115,TTSSKĐ!AG115,TTSSKĐ!AM115))=6)*(CHOOSE({1,2,3,4},TTSSKĐ!X115,TTSSKĐ!AD115,TTSSKĐ!AJ115,TTSSKĐ!AP115)))</f>
        <v>0</v>
      </c>
      <c r="G115">
        <f>SUMPRODUCT((MONTH(CHOOSE({1,2,3,4},TTSSKĐ!U115,TTSSKĐ!AA115,TTSSKĐ!AG115,TTSSKĐ!AM115))=7)*(CHOOSE({1,2,3,4},TTSSKĐ!X115,TTSSKĐ!AD115,TTSSKĐ!AJ115,TTSSKĐ!AP115)))</f>
        <v>0</v>
      </c>
      <c r="H115">
        <f>SUMPRODUCT((MONTH(CHOOSE({1,2,3,4},TTSSKĐ!U115,TTSSKĐ!AA115,TTSSKĐ!AG115,TTSSKĐ!AM115))=8)*(CHOOSE({1,2,3,4},TTSSKĐ!X115,TTSSKĐ!AD115,TTSSKĐ!AJ115,TTSSKĐ!AP115)))</f>
        <v>0</v>
      </c>
      <c r="I115">
        <f>SUMPRODUCT((MONTH(CHOOSE({1,2,3,4},TTSSKĐ!U115,TTSSKĐ!AA115,TTSSKĐ!AG115,TTSSKĐ!AM115))=9)*(CHOOSE({1,2,3,4},TTSSKĐ!X115,TTSSKĐ!AD115,TTSSKĐ!AJ115,TTSSKĐ!AP115)))</f>
        <v>0</v>
      </c>
      <c r="J115">
        <f>SUMPRODUCT((MONTH(CHOOSE({1,2,3,4},TTSSKĐ!U115,TTSSKĐ!AA115,TTSSKĐ!AG115,TTSSKĐ!AM115))=10)*(CHOOSE({1,2,3,4},TTSSKĐ!X115,TTSSKĐ!AD115,TTSSKĐ!AJ115,TTSSKĐ!AP115)))</f>
        <v>0</v>
      </c>
      <c r="K115">
        <f>SUMPRODUCT((MONTH(CHOOSE({1,2,3,4},TTSSKĐ!U115,TTSSKĐ!AA115,TTSSKĐ!AG115,TTSSKĐ!AM115))=11)*(CHOOSE({1,2,3,4},TTSSKĐ!X115,TTSSKĐ!AD115,TTSSKĐ!AJ115,TTSSKĐ!AP115)))</f>
        <v>0</v>
      </c>
      <c r="L115">
        <f>SUMPRODUCT((MONTH(CHOOSE({1,2,3,4},TTSSKĐ!U115,TTSSKĐ!AA115,TTSSKĐ!AG115,TTSSKĐ!AM115))=12)*(CHOOSE({1,2,3,4},TTSSKĐ!X115,TTSSKĐ!AD115,TTSSKĐ!AJ115,TTSSKĐ!AP115)))</f>
        <v>0</v>
      </c>
    </row>
    <row r="116" spans="1:12">
      <c r="A116">
        <f>SUMPRODUCT((MONTH(CHOOSE({1,2,3,4},TTSSKĐ!U116,TTSSKĐ!AA116,TTSSKĐ!AG116,TTSSKĐ!AM116))=1)*(CHOOSE({1,2,3,4},TTSSKĐ!X116,TTSSKĐ!AD116,TTSSKĐ!AJ116,TTSSKĐ!AP116)))</f>
        <v>0</v>
      </c>
      <c r="B116">
        <f>SUMPRODUCT((MONTH(CHOOSE({1,2,3,4},TTSSKĐ!U116,TTSSKĐ!AA116,TTSSKĐ!AG116,TTSSKĐ!AM116))=2)*(CHOOSE({1,2,3,4},TTSSKĐ!X116,TTSSKĐ!AD116,TTSSKĐ!AJ116,TTSSKĐ!AP116)))</f>
        <v>0</v>
      </c>
      <c r="C116">
        <f>SUMPRODUCT((MONTH(CHOOSE({1,2,3,4},TTSSKĐ!U116,TTSSKĐ!AA116,TTSSKĐ!AG116,TTSSKĐ!AM116))=3)*(CHOOSE({1,2,3,4},TTSSKĐ!X116,TTSSKĐ!AD116,TTSSKĐ!AJ116,TTSSKĐ!AP116)))</f>
        <v>0</v>
      </c>
      <c r="D116">
        <f>SUMPRODUCT((MONTH(CHOOSE({1,2,3,4},TTSSKĐ!U116,TTSSKĐ!AA116,TTSSKĐ!AG116,TTSSKĐ!AM116))=4)*(CHOOSE({1,2,3,4},TTSSKĐ!X116,TTSSKĐ!AD116,TTSSKĐ!AJ116,TTSSKĐ!AP116)))</f>
        <v>0</v>
      </c>
      <c r="E116">
        <f>SUMPRODUCT((MONTH(CHOOSE({1,2,3,4},TTSSKĐ!U116,TTSSKĐ!AA116,TTSSKĐ!AG116,TTSSKĐ!AM116))=5)*(CHOOSE({1,2,3,4},TTSSKĐ!X116,TTSSKĐ!AD116,TTSSKĐ!AJ116,TTSSKĐ!AP116)))</f>
        <v>0</v>
      </c>
      <c r="F116">
        <f>SUMPRODUCT((MONTH(CHOOSE({1,2,3,4},TTSSKĐ!U116,TTSSKĐ!AA116,TTSSKĐ!AG116,TTSSKĐ!AM116))=6)*(CHOOSE({1,2,3,4},TTSSKĐ!X116,TTSSKĐ!AD116,TTSSKĐ!AJ116,TTSSKĐ!AP116)))</f>
        <v>0</v>
      </c>
      <c r="G116">
        <f>SUMPRODUCT((MONTH(CHOOSE({1,2,3,4},TTSSKĐ!U116,TTSSKĐ!AA116,TTSSKĐ!AG116,TTSSKĐ!AM116))=7)*(CHOOSE({1,2,3,4},TTSSKĐ!X116,TTSSKĐ!AD116,TTSSKĐ!AJ116,TTSSKĐ!AP116)))</f>
        <v>0</v>
      </c>
      <c r="H116">
        <f>SUMPRODUCT((MONTH(CHOOSE({1,2,3,4},TTSSKĐ!U116,TTSSKĐ!AA116,TTSSKĐ!AG116,TTSSKĐ!AM116))=8)*(CHOOSE({1,2,3,4},TTSSKĐ!X116,TTSSKĐ!AD116,TTSSKĐ!AJ116,TTSSKĐ!AP116)))</f>
        <v>0</v>
      </c>
      <c r="I116">
        <f>SUMPRODUCT((MONTH(CHOOSE({1,2,3,4},TTSSKĐ!U116,TTSSKĐ!AA116,TTSSKĐ!AG116,TTSSKĐ!AM116))=9)*(CHOOSE({1,2,3,4},TTSSKĐ!X116,TTSSKĐ!AD116,TTSSKĐ!AJ116,TTSSKĐ!AP116)))</f>
        <v>0</v>
      </c>
      <c r="J116">
        <f>SUMPRODUCT((MONTH(CHOOSE({1,2,3,4},TTSSKĐ!U116,TTSSKĐ!AA116,TTSSKĐ!AG116,TTSSKĐ!AM116))=10)*(CHOOSE({1,2,3,4},TTSSKĐ!X116,TTSSKĐ!AD116,TTSSKĐ!AJ116,TTSSKĐ!AP116)))</f>
        <v>0</v>
      </c>
      <c r="K116">
        <f>SUMPRODUCT((MONTH(CHOOSE({1,2,3,4},TTSSKĐ!U116,TTSSKĐ!AA116,TTSSKĐ!AG116,TTSSKĐ!AM116))=11)*(CHOOSE({1,2,3,4},TTSSKĐ!X116,TTSSKĐ!AD116,TTSSKĐ!AJ116,TTSSKĐ!AP116)))</f>
        <v>0</v>
      </c>
      <c r="L116">
        <f>SUMPRODUCT((MONTH(CHOOSE({1,2,3,4},TTSSKĐ!U116,TTSSKĐ!AA116,TTSSKĐ!AG116,TTSSKĐ!AM116))=12)*(CHOOSE({1,2,3,4},TTSSKĐ!X116,TTSSKĐ!AD116,TTSSKĐ!AJ116,TTSSKĐ!AP116)))</f>
        <v>0</v>
      </c>
    </row>
    <row r="117" spans="1:12">
      <c r="A117">
        <f>SUMPRODUCT((MONTH(CHOOSE({1,2,3,4},TTSSKĐ!U117,TTSSKĐ!AA117,TTSSKĐ!AG117,TTSSKĐ!AM117))=1)*(CHOOSE({1,2,3,4},TTSSKĐ!X117,TTSSKĐ!AD117,TTSSKĐ!AJ117,TTSSKĐ!AP117)))</f>
        <v>0</v>
      </c>
      <c r="B117">
        <f>SUMPRODUCT((MONTH(CHOOSE({1,2,3,4},TTSSKĐ!U117,TTSSKĐ!AA117,TTSSKĐ!AG117,TTSSKĐ!AM117))=2)*(CHOOSE({1,2,3,4},TTSSKĐ!X117,TTSSKĐ!AD117,TTSSKĐ!AJ117,TTSSKĐ!AP117)))</f>
        <v>0</v>
      </c>
      <c r="C117">
        <f>SUMPRODUCT((MONTH(CHOOSE({1,2,3,4},TTSSKĐ!U117,TTSSKĐ!AA117,TTSSKĐ!AG117,TTSSKĐ!AM117))=3)*(CHOOSE({1,2,3,4},TTSSKĐ!X117,TTSSKĐ!AD117,TTSSKĐ!AJ117,TTSSKĐ!AP117)))</f>
        <v>0</v>
      </c>
      <c r="D117">
        <f>SUMPRODUCT((MONTH(CHOOSE({1,2,3,4},TTSSKĐ!U117,TTSSKĐ!AA117,TTSSKĐ!AG117,TTSSKĐ!AM117))=4)*(CHOOSE({1,2,3,4},TTSSKĐ!X117,TTSSKĐ!AD117,TTSSKĐ!AJ117,TTSSKĐ!AP117)))</f>
        <v>0</v>
      </c>
      <c r="E117">
        <f>SUMPRODUCT((MONTH(CHOOSE({1,2,3,4},TTSSKĐ!U117,TTSSKĐ!AA117,TTSSKĐ!AG117,TTSSKĐ!AM117))=5)*(CHOOSE({1,2,3,4},TTSSKĐ!X117,TTSSKĐ!AD117,TTSSKĐ!AJ117,TTSSKĐ!AP117)))</f>
        <v>0</v>
      </c>
      <c r="F117">
        <f>SUMPRODUCT((MONTH(CHOOSE({1,2,3,4},TTSSKĐ!U117,TTSSKĐ!AA117,TTSSKĐ!AG117,TTSSKĐ!AM117))=6)*(CHOOSE({1,2,3,4},TTSSKĐ!X117,TTSSKĐ!AD117,TTSSKĐ!AJ117,TTSSKĐ!AP117)))</f>
        <v>0</v>
      </c>
      <c r="G117">
        <f>SUMPRODUCT((MONTH(CHOOSE({1,2,3,4},TTSSKĐ!U117,TTSSKĐ!AA117,TTSSKĐ!AG117,TTSSKĐ!AM117))=7)*(CHOOSE({1,2,3,4},TTSSKĐ!X117,TTSSKĐ!AD117,TTSSKĐ!AJ117,TTSSKĐ!AP117)))</f>
        <v>0</v>
      </c>
      <c r="H117">
        <f>SUMPRODUCT((MONTH(CHOOSE({1,2,3,4},TTSSKĐ!U117,TTSSKĐ!AA117,TTSSKĐ!AG117,TTSSKĐ!AM117))=8)*(CHOOSE({1,2,3,4},TTSSKĐ!X117,TTSSKĐ!AD117,TTSSKĐ!AJ117,TTSSKĐ!AP117)))</f>
        <v>0</v>
      </c>
      <c r="I117">
        <f>SUMPRODUCT((MONTH(CHOOSE({1,2,3,4},TTSSKĐ!U117,TTSSKĐ!AA117,TTSSKĐ!AG117,TTSSKĐ!AM117))=9)*(CHOOSE({1,2,3,4},TTSSKĐ!X117,TTSSKĐ!AD117,TTSSKĐ!AJ117,TTSSKĐ!AP117)))</f>
        <v>0</v>
      </c>
      <c r="J117">
        <f>SUMPRODUCT((MONTH(CHOOSE({1,2,3,4},TTSSKĐ!U117,TTSSKĐ!AA117,TTSSKĐ!AG117,TTSSKĐ!AM117))=10)*(CHOOSE({1,2,3,4},TTSSKĐ!X117,TTSSKĐ!AD117,TTSSKĐ!AJ117,TTSSKĐ!AP117)))</f>
        <v>0</v>
      </c>
      <c r="K117">
        <f>SUMPRODUCT((MONTH(CHOOSE({1,2,3,4},TTSSKĐ!U117,TTSSKĐ!AA117,TTSSKĐ!AG117,TTSSKĐ!AM117))=11)*(CHOOSE({1,2,3,4},TTSSKĐ!X117,TTSSKĐ!AD117,TTSSKĐ!AJ117,TTSSKĐ!AP117)))</f>
        <v>0</v>
      </c>
      <c r="L117">
        <f>SUMPRODUCT((MONTH(CHOOSE({1,2,3,4},TTSSKĐ!U117,TTSSKĐ!AA117,TTSSKĐ!AG117,TTSSKĐ!AM117))=12)*(CHOOSE({1,2,3,4},TTSSKĐ!X117,TTSSKĐ!AD117,TTSSKĐ!AJ117,TTSSKĐ!AP117)))</f>
        <v>0</v>
      </c>
    </row>
    <row r="118" spans="1:12">
      <c r="A118">
        <f>SUMPRODUCT((MONTH(CHOOSE({1,2,3,4},TTSSKĐ!U118,TTSSKĐ!AA118,TTSSKĐ!AG118,TTSSKĐ!AM118))=1)*(CHOOSE({1,2,3,4},TTSSKĐ!X118,TTSSKĐ!AD118,TTSSKĐ!AJ118,TTSSKĐ!AP118)))</f>
        <v>0</v>
      </c>
      <c r="B118">
        <f>SUMPRODUCT((MONTH(CHOOSE({1,2,3,4},TTSSKĐ!U118,TTSSKĐ!AA118,TTSSKĐ!AG118,TTSSKĐ!AM118))=2)*(CHOOSE({1,2,3,4},TTSSKĐ!X118,TTSSKĐ!AD118,TTSSKĐ!AJ118,TTSSKĐ!AP118)))</f>
        <v>0</v>
      </c>
      <c r="C118">
        <f>SUMPRODUCT((MONTH(CHOOSE({1,2,3,4},TTSSKĐ!U118,TTSSKĐ!AA118,TTSSKĐ!AG118,TTSSKĐ!AM118))=3)*(CHOOSE({1,2,3,4},TTSSKĐ!X118,TTSSKĐ!AD118,TTSSKĐ!AJ118,TTSSKĐ!AP118)))</f>
        <v>0</v>
      </c>
      <c r="D118">
        <f>SUMPRODUCT((MONTH(CHOOSE({1,2,3,4},TTSSKĐ!U118,TTSSKĐ!AA118,TTSSKĐ!AG118,TTSSKĐ!AM118))=4)*(CHOOSE({1,2,3,4},TTSSKĐ!X118,TTSSKĐ!AD118,TTSSKĐ!AJ118,TTSSKĐ!AP118)))</f>
        <v>0</v>
      </c>
      <c r="E118">
        <f>SUMPRODUCT((MONTH(CHOOSE({1,2,3,4},TTSSKĐ!U118,TTSSKĐ!AA118,TTSSKĐ!AG118,TTSSKĐ!AM118))=5)*(CHOOSE({1,2,3,4},TTSSKĐ!X118,TTSSKĐ!AD118,TTSSKĐ!AJ118,TTSSKĐ!AP118)))</f>
        <v>0</v>
      </c>
      <c r="F118">
        <f>SUMPRODUCT((MONTH(CHOOSE({1,2,3,4},TTSSKĐ!U118,TTSSKĐ!AA118,TTSSKĐ!AG118,TTSSKĐ!AM118))=6)*(CHOOSE({1,2,3,4},TTSSKĐ!X118,TTSSKĐ!AD118,TTSSKĐ!AJ118,TTSSKĐ!AP118)))</f>
        <v>0</v>
      </c>
      <c r="G118">
        <f>SUMPRODUCT((MONTH(CHOOSE({1,2,3,4},TTSSKĐ!U118,TTSSKĐ!AA118,TTSSKĐ!AG118,TTSSKĐ!AM118))=7)*(CHOOSE({1,2,3,4},TTSSKĐ!X118,TTSSKĐ!AD118,TTSSKĐ!AJ118,TTSSKĐ!AP118)))</f>
        <v>0</v>
      </c>
      <c r="H118">
        <f>SUMPRODUCT((MONTH(CHOOSE({1,2,3,4},TTSSKĐ!U118,TTSSKĐ!AA118,TTSSKĐ!AG118,TTSSKĐ!AM118))=8)*(CHOOSE({1,2,3,4},TTSSKĐ!X118,TTSSKĐ!AD118,TTSSKĐ!AJ118,TTSSKĐ!AP118)))</f>
        <v>0</v>
      </c>
      <c r="I118">
        <f>SUMPRODUCT((MONTH(CHOOSE({1,2,3,4},TTSSKĐ!U118,TTSSKĐ!AA118,TTSSKĐ!AG118,TTSSKĐ!AM118))=9)*(CHOOSE({1,2,3,4},TTSSKĐ!X118,TTSSKĐ!AD118,TTSSKĐ!AJ118,TTSSKĐ!AP118)))</f>
        <v>0</v>
      </c>
      <c r="J118">
        <f>SUMPRODUCT((MONTH(CHOOSE({1,2,3,4},TTSSKĐ!U118,TTSSKĐ!AA118,TTSSKĐ!AG118,TTSSKĐ!AM118))=10)*(CHOOSE({1,2,3,4},TTSSKĐ!X118,TTSSKĐ!AD118,TTSSKĐ!AJ118,TTSSKĐ!AP118)))</f>
        <v>0</v>
      </c>
      <c r="K118">
        <f>SUMPRODUCT((MONTH(CHOOSE({1,2,3,4},TTSSKĐ!U118,TTSSKĐ!AA118,TTSSKĐ!AG118,TTSSKĐ!AM118))=11)*(CHOOSE({1,2,3,4},TTSSKĐ!X118,TTSSKĐ!AD118,TTSSKĐ!AJ118,TTSSKĐ!AP118)))</f>
        <v>0</v>
      </c>
      <c r="L118">
        <f>SUMPRODUCT((MONTH(CHOOSE({1,2,3,4},TTSSKĐ!U118,TTSSKĐ!AA118,TTSSKĐ!AG118,TTSSKĐ!AM118))=12)*(CHOOSE({1,2,3,4},TTSSKĐ!X118,TTSSKĐ!AD118,TTSSKĐ!AJ118,TTSSKĐ!AP118)))</f>
        <v>0</v>
      </c>
    </row>
    <row r="119" spans="1:12">
      <c r="A119">
        <f>SUMPRODUCT((MONTH(CHOOSE({1,2,3,4},TTSSKĐ!U119,TTSSKĐ!AA119,TTSSKĐ!AG119,TTSSKĐ!AM119))=1)*(CHOOSE({1,2,3,4},TTSSKĐ!X119,TTSSKĐ!AD119,TTSSKĐ!AJ119,TTSSKĐ!AP119)))</f>
        <v>0</v>
      </c>
      <c r="B119">
        <f>SUMPRODUCT((MONTH(CHOOSE({1,2,3,4},TTSSKĐ!U119,TTSSKĐ!AA119,TTSSKĐ!AG119,TTSSKĐ!AM119))=2)*(CHOOSE({1,2,3,4},TTSSKĐ!X119,TTSSKĐ!AD119,TTSSKĐ!AJ119,TTSSKĐ!AP119)))</f>
        <v>0</v>
      </c>
      <c r="C119">
        <f>SUMPRODUCT((MONTH(CHOOSE({1,2,3,4},TTSSKĐ!U119,TTSSKĐ!AA119,TTSSKĐ!AG119,TTSSKĐ!AM119))=3)*(CHOOSE({1,2,3,4},TTSSKĐ!X119,TTSSKĐ!AD119,TTSSKĐ!AJ119,TTSSKĐ!AP119)))</f>
        <v>0</v>
      </c>
      <c r="D119">
        <f>SUMPRODUCT((MONTH(CHOOSE({1,2,3,4},TTSSKĐ!U119,TTSSKĐ!AA119,TTSSKĐ!AG119,TTSSKĐ!AM119))=4)*(CHOOSE({1,2,3,4},TTSSKĐ!X119,TTSSKĐ!AD119,TTSSKĐ!AJ119,TTSSKĐ!AP119)))</f>
        <v>0</v>
      </c>
      <c r="E119">
        <f>SUMPRODUCT((MONTH(CHOOSE({1,2,3,4},TTSSKĐ!U119,TTSSKĐ!AA119,TTSSKĐ!AG119,TTSSKĐ!AM119))=5)*(CHOOSE({1,2,3,4},TTSSKĐ!X119,TTSSKĐ!AD119,TTSSKĐ!AJ119,TTSSKĐ!AP119)))</f>
        <v>0</v>
      </c>
      <c r="F119">
        <f>SUMPRODUCT((MONTH(CHOOSE({1,2,3,4},TTSSKĐ!U119,TTSSKĐ!AA119,TTSSKĐ!AG119,TTSSKĐ!AM119))=6)*(CHOOSE({1,2,3,4},TTSSKĐ!X119,TTSSKĐ!AD119,TTSSKĐ!AJ119,TTSSKĐ!AP119)))</f>
        <v>0</v>
      </c>
      <c r="G119">
        <f>SUMPRODUCT((MONTH(CHOOSE({1,2,3,4},TTSSKĐ!U119,TTSSKĐ!AA119,TTSSKĐ!AG119,TTSSKĐ!AM119))=7)*(CHOOSE({1,2,3,4},TTSSKĐ!X119,TTSSKĐ!AD119,TTSSKĐ!AJ119,TTSSKĐ!AP119)))</f>
        <v>0</v>
      </c>
      <c r="H119">
        <f>SUMPRODUCT((MONTH(CHOOSE({1,2,3,4},TTSSKĐ!U119,TTSSKĐ!AA119,TTSSKĐ!AG119,TTSSKĐ!AM119))=8)*(CHOOSE({1,2,3,4},TTSSKĐ!X119,TTSSKĐ!AD119,TTSSKĐ!AJ119,TTSSKĐ!AP119)))</f>
        <v>0</v>
      </c>
      <c r="I119">
        <f>SUMPRODUCT((MONTH(CHOOSE({1,2,3,4},TTSSKĐ!U119,TTSSKĐ!AA119,TTSSKĐ!AG119,TTSSKĐ!AM119))=9)*(CHOOSE({1,2,3,4},TTSSKĐ!X119,TTSSKĐ!AD119,TTSSKĐ!AJ119,TTSSKĐ!AP119)))</f>
        <v>0</v>
      </c>
      <c r="J119">
        <f>SUMPRODUCT((MONTH(CHOOSE({1,2,3,4},TTSSKĐ!U119,TTSSKĐ!AA119,TTSSKĐ!AG119,TTSSKĐ!AM119))=10)*(CHOOSE({1,2,3,4},TTSSKĐ!X119,TTSSKĐ!AD119,TTSSKĐ!AJ119,TTSSKĐ!AP119)))</f>
        <v>0</v>
      </c>
      <c r="K119">
        <f>SUMPRODUCT((MONTH(CHOOSE({1,2,3,4},TTSSKĐ!U119,TTSSKĐ!AA119,TTSSKĐ!AG119,TTSSKĐ!AM119))=11)*(CHOOSE({1,2,3,4},TTSSKĐ!X119,TTSSKĐ!AD119,TTSSKĐ!AJ119,TTSSKĐ!AP119)))</f>
        <v>0</v>
      </c>
      <c r="L119">
        <f>SUMPRODUCT((MONTH(CHOOSE({1,2,3,4},TTSSKĐ!U119,TTSSKĐ!AA119,TTSSKĐ!AG119,TTSSKĐ!AM119))=12)*(CHOOSE({1,2,3,4},TTSSKĐ!X119,TTSSKĐ!AD119,TTSSKĐ!AJ119,TTSSKĐ!AP119)))</f>
        <v>0</v>
      </c>
    </row>
    <row r="120" spans="1:12">
      <c r="A120">
        <f>SUMPRODUCT((MONTH(CHOOSE({1,2,3,4},TTSSKĐ!U120,TTSSKĐ!AA120,TTSSKĐ!AG120,TTSSKĐ!AM120))=1)*(CHOOSE({1,2,3,4},TTSSKĐ!X120,TTSSKĐ!AD120,TTSSKĐ!AJ120,TTSSKĐ!AP120)))</f>
        <v>0</v>
      </c>
      <c r="B120">
        <f>SUMPRODUCT((MONTH(CHOOSE({1,2,3,4},TTSSKĐ!U120,TTSSKĐ!AA120,TTSSKĐ!AG120,TTSSKĐ!AM120))=2)*(CHOOSE({1,2,3,4},TTSSKĐ!X120,TTSSKĐ!AD120,TTSSKĐ!AJ120,TTSSKĐ!AP120)))</f>
        <v>0</v>
      </c>
      <c r="C120">
        <f>SUMPRODUCT((MONTH(CHOOSE({1,2,3,4},TTSSKĐ!U120,TTSSKĐ!AA120,TTSSKĐ!AG120,TTSSKĐ!AM120))=3)*(CHOOSE({1,2,3,4},TTSSKĐ!X120,TTSSKĐ!AD120,TTSSKĐ!AJ120,TTSSKĐ!AP120)))</f>
        <v>0</v>
      </c>
      <c r="D120">
        <f>SUMPRODUCT((MONTH(CHOOSE({1,2,3,4},TTSSKĐ!U120,TTSSKĐ!AA120,TTSSKĐ!AG120,TTSSKĐ!AM120))=4)*(CHOOSE({1,2,3,4},TTSSKĐ!X120,TTSSKĐ!AD120,TTSSKĐ!AJ120,TTSSKĐ!AP120)))</f>
        <v>0</v>
      </c>
      <c r="E120">
        <f>SUMPRODUCT((MONTH(CHOOSE({1,2,3,4},TTSSKĐ!U120,TTSSKĐ!AA120,TTSSKĐ!AG120,TTSSKĐ!AM120))=5)*(CHOOSE({1,2,3,4},TTSSKĐ!X120,TTSSKĐ!AD120,TTSSKĐ!AJ120,TTSSKĐ!AP120)))</f>
        <v>0</v>
      </c>
      <c r="F120">
        <f>SUMPRODUCT((MONTH(CHOOSE({1,2,3,4},TTSSKĐ!U120,TTSSKĐ!AA120,TTSSKĐ!AG120,TTSSKĐ!AM120))=6)*(CHOOSE({1,2,3,4},TTSSKĐ!X120,TTSSKĐ!AD120,TTSSKĐ!AJ120,TTSSKĐ!AP120)))</f>
        <v>0</v>
      </c>
      <c r="G120">
        <f>SUMPRODUCT((MONTH(CHOOSE({1,2,3,4},TTSSKĐ!U120,TTSSKĐ!AA120,TTSSKĐ!AG120,TTSSKĐ!AM120))=7)*(CHOOSE({1,2,3,4},TTSSKĐ!X120,TTSSKĐ!AD120,TTSSKĐ!AJ120,TTSSKĐ!AP120)))</f>
        <v>0</v>
      </c>
      <c r="H120">
        <f>SUMPRODUCT((MONTH(CHOOSE({1,2,3,4},TTSSKĐ!U120,TTSSKĐ!AA120,TTSSKĐ!AG120,TTSSKĐ!AM120))=8)*(CHOOSE({1,2,3,4},TTSSKĐ!X120,TTSSKĐ!AD120,TTSSKĐ!AJ120,TTSSKĐ!AP120)))</f>
        <v>0</v>
      </c>
      <c r="I120">
        <f>SUMPRODUCT((MONTH(CHOOSE({1,2,3,4},TTSSKĐ!U120,TTSSKĐ!AA120,TTSSKĐ!AG120,TTSSKĐ!AM120))=9)*(CHOOSE({1,2,3,4},TTSSKĐ!X120,TTSSKĐ!AD120,TTSSKĐ!AJ120,TTSSKĐ!AP120)))</f>
        <v>0</v>
      </c>
      <c r="J120">
        <f>SUMPRODUCT((MONTH(CHOOSE({1,2,3,4},TTSSKĐ!U120,TTSSKĐ!AA120,TTSSKĐ!AG120,TTSSKĐ!AM120))=10)*(CHOOSE({1,2,3,4},TTSSKĐ!X120,TTSSKĐ!AD120,TTSSKĐ!AJ120,TTSSKĐ!AP120)))</f>
        <v>0</v>
      </c>
      <c r="K120">
        <f>SUMPRODUCT((MONTH(CHOOSE({1,2,3,4},TTSSKĐ!U120,TTSSKĐ!AA120,TTSSKĐ!AG120,TTSSKĐ!AM120))=11)*(CHOOSE({1,2,3,4},TTSSKĐ!X120,TTSSKĐ!AD120,TTSSKĐ!AJ120,TTSSKĐ!AP120)))</f>
        <v>0</v>
      </c>
      <c r="L120">
        <f>SUMPRODUCT((MONTH(CHOOSE({1,2,3,4},TTSSKĐ!U120,TTSSKĐ!AA120,TTSSKĐ!AG120,TTSSKĐ!AM120))=12)*(CHOOSE({1,2,3,4},TTSSKĐ!X120,TTSSKĐ!AD120,TTSSKĐ!AJ120,TTSSKĐ!AP120)))</f>
        <v>0</v>
      </c>
    </row>
    <row r="121" spans="1:12">
      <c r="A121">
        <f>SUMPRODUCT((MONTH(CHOOSE({1,2,3,4},TTSSKĐ!U121,TTSSKĐ!AA121,TTSSKĐ!AG121,TTSSKĐ!AM121))=1)*(CHOOSE({1,2,3,4},TTSSKĐ!X121,TTSSKĐ!AD121,TTSSKĐ!AJ121,TTSSKĐ!AP121)))</f>
        <v>0</v>
      </c>
      <c r="B121">
        <f>SUMPRODUCT((MONTH(CHOOSE({1,2,3,4},TTSSKĐ!U121,TTSSKĐ!AA121,TTSSKĐ!AG121,TTSSKĐ!AM121))=2)*(CHOOSE({1,2,3,4},TTSSKĐ!X121,TTSSKĐ!AD121,TTSSKĐ!AJ121,TTSSKĐ!AP121)))</f>
        <v>0</v>
      </c>
      <c r="C121">
        <f>SUMPRODUCT((MONTH(CHOOSE({1,2,3,4},TTSSKĐ!U121,TTSSKĐ!AA121,TTSSKĐ!AG121,TTSSKĐ!AM121))=3)*(CHOOSE({1,2,3,4},TTSSKĐ!X121,TTSSKĐ!AD121,TTSSKĐ!AJ121,TTSSKĐ!AP121)))</f>
        <v>0</v>
      </c>
      <c r="D121">
        <f>SUMPRODUCT((MONTH(CHOOSE({1,2,3,4},TTSSKĐ!U121,TTSSKĐ!AA121,TTSSKĐ!AG121,TTSSKĐ!AM121))=4)*(CHOOSE({1,2,3,4},TTSSKĐ!X121,TTSSKĐ!AD121,TTSSKĐ!AJ121,TTSSKĐ!AP121)))</f>
        <v>0</v>
      </c>
      <c r="E121">
        <f>SUMPRODUCT((MONTH(CHOOSE({1,2,3,4},TTSSKĐ!U121,TTSSKĐ!AA121,TTSSKĐ!AG121,TTSSKĐ!AM121))=5)*(CHOOSE({1,2,3,4},TTSSKĐ!X121,TTSSKĐ!AD121,TTSSKĐ!AJ121,TTSSKĐ!AP121)))</f>
        <v>0</v>
      </c>
      <c r="F121">
        <f>SUMPRODUCT((MONTH(CHOOSE({1,2,3,4},TTSSKĐ!U121,TTSSKĐ!AA121,TTSSKĐ!AG121,TTSSKĐ!AM121))=6)*(CHOOSE({1,2,3,4},TTSSKĐ!X121,TTSSKĐ!AD121,TTSSKĐ!AJ121,TTSSKĐ!AP121)))</f>
        <v>0</v>
      </c>
      <c r="G121">
        <f>SUMPRODUCT((MONTH(CHOOSE({1,2,3,4},TTSSKĐ!U121,TTSSKĐ!AA121,TTSSKĐ!AG121,TTSSKĐ!AM121))=7)*(CHOOSE({1,2,3,4},TTSSKĐ!X121,TTSSKĐ!AD121,TTSSKĐ!AJ121,TTSSKĐ!AP121)))</f>
        <v>0</v>
      </c>
      <c r="H121">
        <f>SUMPRODUCT((MONTH(CHOOSE({1,2,3,4},TTSSKĐ!U121,TTSSKĐ!AA121,TTSSKĐ!AG121,TTSSKĐ!AM121))=8)*(CHOOSE({1,2,3,4},TTSSKĐ!X121,TTSSKĐ!AD121,TTSSKĐ!AJ121,TTSSKĐ!AP121)))</f>
        <v>0</v>
      </c>
      <c r="I121">
        <f>SUMPRODUCT((MONTH(CHOOSE({1,2,3,4},TTSSKĐ!U121,TTSSKĐ!AA121,TTSSKĐ!AG121,TTSSKĐ!AM121))=9)*(CHOOSE({1,2,3,4},TTSSKĐ!X121,TTSSKĐ!AD121,TTSSKĐ!AJ121,TTSSKĐ!AP121)))</f>
        <v>0</v>
      </c>
      <c r="J121">
        <f>SUMPRODUCT((MONTH(CHOOSE({1,2,3,4},TTSSKĐ!U121,TTSSKĐ!AA121,TTSSKĐ!AG121,TTSSKĐ!AM121))=10)*(CHOOSE({1,2,3,4},TTSSKĐ!X121,TTSSKĐ!AD121,TTSSKĐ!AJ121,TTSSKĐ!AP121)))</f>
        <v>0</v>
      </c>
      <c r="K121">
        <f>SUMPRODUCT((MONTH(CHOOSE({1,2,3,4},TTSSKĐ!U121,TTSSKĐ!AA121,TTSSKĐ!AG121,TTSSKĐ!AM121))=11)*(CHOOSE({1,2,3,4},TTSSKĐ!X121,TTSSKĐ!AD121,TTSSKĐ!AJ121,TTSSKĐ!AP121)))</f>
        <v>0</v>
      </c>
      <c r="L121">
        <f>SUMPRODUCT((MONTH(CHOOSE({1,2,3,4},TTSSKĐ!U121,TTSSKĐ!AA121,TTSSKĐ!AG121,TTSSKĐ!AM121))=12)*(CHOOSE({1,2,3,4},TTSSKĐ!X121,TTSSKĐ!AD121,TTSSKĐ!AJ121,TTSSKĐ!AP121)))</f>
        <v>0</v>
      </c>
    </row>
    <row r="122" spans="1:12">
      <c r="A122">
        <f>SUMPRODUCT((MONTH(CHOOSE({1,2,3,4},TTSSKĐ!U122,TTSSKĐ!AA122,TTSSKĐ!AG122,TTSSKĐ!AM122))=1)*(CHOOSE({1,2,3,4},TTSSKĐ!X122,TTSSKĐ!AD122,TTSSKĐ!AJ122,TTSSKĐ!AP122)))</f>
        <v>0</v>
      </c>
      <c r="B122">
        <f>SUMPRODUCT((MONTH(CHOOSE({1,2,3,4},TTSSKĐ!U122,TTSSKĐ!AA122,TTSSKĐ!AG122,TTSSKĐ!AM122))=2)*(CHOOSE({1,2,3,4},TTSSKĐ!X122,TTSSKĐ!AD122,TTSSKĐ!AJ122,TTSSKĐ!AP122)))</f>
        <v>0</v>
      </c>
      <c r="C122">
        <f>SUMPRODUCT((MONTH(CHOOSE({1,2,3,4},TTSSKĐ!U122,TTSSKĐ!AA122,TTSSKĐ!AG122,TTSSKĐ!AM122))=3)*(CHOOSE({1,2,3,4},TTSSKĐ!X122,TTSSKĐ!AD122,TTSSKĐ!AJ122,TTSSKĐ!AP122)))</f>
        <v>0</v>
      </c>
      <c r="D122">
        <f>SUMPRODUCT((MONTH(CHOOSE({1,2,3,4},TTSSKĐ!U122,TTSSKĐ!AA122,TTSSKĐ!AG122,TTSSKĐ!AM122))=4)*(CHOOSE({1,2,3,4},TTSSKĐ!X122,TTSSKĐ!AD122,TTSSKĐ!AJ122,TTSSKĐ!AP122)))</f>
        <v>0</v>
      </c>
      <c r="E122">
        <f>SUMPRODUCT((MONTH(CHOOSE({1,2,3,4},TTSSKĐ!U122,TTSSKĐ!AA122,TTSSKĐ!AG122,TTSSKĐ!AM122))=5)*(CHOOSE({1,2,3,4},TTSSKĐ!X122,TTSSKĐ!AD122,TTSSKĐ!AJ122,TTSSKĐ!AP122)))</f>
        <v>0</v>
      </c>
      <c r="F122">
        <f>SUMPRODUCT((MONTH(CHOOSE({1,2,3,4},TTSSKĐ!U122,TTSSKĐ!AA122,TTSSKĐ!AG122,TTSSKĐ!AM122))=6)*(CHOOSE({1,2,3,4},TTSSKĐ!X122,TTSSKĐ!AD122,TTSSKĐ!AJ122,TTSSKĐ!AP122)))</f>
        <v>0</v>
      </c>
      <c r="G122">
        <f>SUMPRODUCT((MONTH(CHOOSE({1,2,3,4},TTSSKĐ!U122,TTSSKĐ!AA122,TTSSKĐ!AG122,TTSSKĐ!AM122))=7)*(CHOOSE({1,2,3,4},TTSSKĐ!X122,TTSSKĐ!AD122,TTSSKĐ!AJ122,TTSSKĐ!AP122)))</f>
        <v>0</v>
      </c>
      <c r="H122">
        <f>SUMPRODUCT((MONTH(CHOOSE({1,2,3,4},TTSSKĐ!U122,TTSSKĐ!AA122,TTSSKĐ!AG122,TTSSKĐ!AM122))=8)*(CHOOSE({1,2,3,4},TTSSKĐ!X122,TTSSKĐ!AD122,TTSSKĐ!AJ122,TTSSKĐ!AP122)))</f>
        <v>0</v>
      </c>
      <c r="I122">
        <f>SUMPRODUCT((MONTH(CHOOSE({1,2,3,4},TTSSKĐ!U122,TTSSKĐ!AA122,TTSSKĐ!AG122,TTSSKĐ!AM122))=9)*(CHOOSE({1,2,3,4},TTSSKĐ!X122,TTSSKĐ!AD122,TTSSKĐ!AJ122,TTSSKĐ!AP122)))</f>
        <v>0</v>
      </c>
      <c r="J122">
        <f>SUMPRODUCT((MONTH(CHOOSE({1,2,3,4},TTSSKĐ!U122,TTSSKĐ!AA122,TTSSKĐ!AG122,TTSSKĐ!AM122))=10)*(CHOOSE({1,2,3,4},TTSSKĐ!X122,TTSSKĐ!AD122,TTSSKĐ!AJ122,TTSSKĐ!AP122)))</f>
        <v>0</v>
      </c>
      <c r="K122">
        <f>SUMPRODUCT((MONTH(CHOOSE({1,2,3,4},TTSSKĐ!U122,TTSSKĐ!AA122,TTSSKĐ!AG122,TTSSKĐ!AM122))=11)*(CHOOSE({1,2,3,4},TTSSKĐ!X122,TTSSKĐ!AD122,TTSSKĐ!AJ122,TTSSKĐ!AP122)))</f>
        <v>0</v>
      </c>
      <c r="L122">
        <f>SUMPRODUCT((MONTH(CHOOSE({1,2,3,4},TTSSKĐ!U122,TTSSKĐ!AA122,TTSSKĐ!AG122,TTSSKĐ!AM122))=12)*(CHOOSE({1,2,3,4},TTSSKĐ!X122,TTSSKĐ!AD122,TTSSKĐ!AJ122,TTSSKĐ!AP122)))</f>
        <v>0</v>
      </c>
    </row>
    <row r="123" spans="1:12">
      <c r="A123">
        <f>SUMPRODUCT((MONTH(CHOOSE({1,2,3,4},TTSSKĐ!U123,TTSSKĐ!AA123,TTSSKĐ!AG123,TTSSKĐ!AM123))=1)*(CHOOSE({1,2,3,4},TTSSKĐ!X123,TTSSKĐ!AD123,TTSSKĐ!AJ123,TTSSKĐ!AP123)))</f>
        <v>0</v>
      </c>
      <c r="B123">
        <f>SUMPRODUCT((MONTH(CHOOSE({1,2,3,4},TTSSKĐ!U123,TTSSKĐ!AA123,TTSSKĐ!AG123,TTSSKĐ!AM123))=2)*(CHOOSE({1,2,3,4},TTSSKĐ!X123,TTSSKĐ!AD123,TTSSKĐ!AJ123,TTSSKĐ!AP123)))</f>
        <v>0</v>
      </c>
      <c r="C123">
        <f>SUMPRODUCT((MONTH(CHOOSE({1,2,3,4},TTSSKĐ!U123,TTSSKĐ!AA123,TTSSKĐ!AG123,TTSSKĐ!AM123))=3)*(CHOOSE({1,2,3,4},TTSSKĐ!X123,TTSSKĐ!AD123,TTSSKĐ!AJ123,TTSSKĐ!AP123)))</f>
        <v>0</v>
      </c>
      <c r="D123">
        <f>SUMPRODUCT((MONTH(CHOOSE({1,2,3,4},TTSSKĐ!U123,TTSSKĐ!AA123,TTSSKĐ!AG123,TTSSKĐ!AM123))=4)*(CHOOSE({1,2,3,4},TTSSKĐ!X123,TTSSKĐ!AD123,TTSSKĐ!AJ123,TTSSKĐ!AP123)))</f>
        <v>0</v>
      </c>
      <c r="E123">
        <f>SUMPRODUCT((MONTH(CHOOSE({1,2,3,4},TTSSKĐ!U123,TTSSKĐ!AA123,TTSSKĐ!AG123,TTSSKĐ!AM123))=5)*(CHOOSE({1,2,3,4},TTSSKĐ!X123,TTSSKĐ!AD123,TTSSKĐ!AJ123,TTSSKĐ!AP123)))</f>
        <v>0</v>
      </c>
      <c r="F123">
        <f>SUMPRODUCT((MONTH(CHOOSE({1,2,3,4},TTSSKĐ!U123,TTSSKĐ!AA123,TTSSKĐ!AG123,TTSSKĐ!AM123))=6)*(CHOOSE({1,2,3,4},TTSSKĐ!X123,TTSSKĐ!AD123,TTSSKĐ!AJ123,TTSSKĐ!AP123)))</f>
        <v>0</v>
      </c>
      <c r="G123">
        <f>SUMPRODUCT((MONTH(CHOOSE({1,2,3,4},TTSSKĐ!U123,TTSSKĐ!AA123,TTSSKĐ!AG123,TTSSKĐ!AM123))=7)*(CHOOSE({1,2,3,4},TTSSKĐ!X123,TTSSKĐ!AD123,TTSSKĐ!AJ123,TTSSKĐ!AP123)))</f>
        <v>0</v>
      </c>
      <c r="H123">
        <f>SUMPRODUCT((MONTH(CHOOSE({1,2,3,4},TTSSKĐ!U123,TTSSKĐ!AA123,TTSSKĐ!AG123,TTSSKĐ!AM123))=8)*(CHOOSE({1,2,3,4},TTSSKĐ!X123,TTSSKĐ!AD123,TTSSKĐ!AJ123,TTSSKĐ!AP123)))</f>
        <v>0</v>
      </c>
      <c r="I123">
        <f>SUMPRODUCT((MONTH(CHOOSE({1,2,3,4},TTSSKĐ!U123,TTSSKĐ!AA123,TTSSKĐ!AG123,TTSSKĐ!AM123))=9)*(CHOOSE({1,2,3,4},TTSSKĐ!X123,TTSSKĐ!AD123,TTSSKĐ!AJ123,TTSSKĐ!AP123)))</f>
        <v>0</v>
      </c>
      <c r="J123">
        <f>SUMPRODUCT((MONTH(CHOOSE({1,2,3,4},TTSSKĐ!U123,TTSSKĐ!AA123,TTSSKĐ!AG123,TTSSKĐ!AM123))=10)*(CHOOSE({1,2,3,4},TTSSKĐ!X123,TTSSKĐ!AD123,TTSSKĐ!AJ123,TTSSKĐ!AP123)))</f>
        <v>0</v>
      </c>
      <c r="K123">
        <f>SUMPRODUCT((MONTH(CHOOSE({1,2,3,4},TTSSKĐ!U123,TTSSKĐ!AA123,TTSSKĐ!AG123,TTSSKĐ!AM123))=11)*(CHOOSE({1,2,3,4},TTSSKĐ!X123,TTSSKĐ!AD123,TTSSKĐ!AJ123,TTSSKĐ!AP123)))</f>
        <v>0</v>
      </c>
      <c r="L123">
        <f>SUMPRODUCT((MONTH(CHOOSE({1,2,3,4},TTSSKĐ!U123,TTSSKĐ!AA123,TTSSKĐ!AG123,TTSSKĐ!AM123))=12)*(CHOOSE({1,2,3,4},TTSSKĐ!X123,TTSSKĐ!AD123,TTSSKĐ!AJ123,TTSSKĐ!AP123)))</f>
        <v>0</v>
      </c>
    </row>
    <row r="124" spans="1:12">
      <c r="A124">
        <f>SUMPRODUCT((MONTH(CHOOSE({1,2,3,4},TTSSKĐ!U124,TTSSKĐ!AA124,TTSSKĐ!AG124,TTSSKĐ!AM124))=1)*(CHOOSE({1,2,3,4},TTSSKĐ!X124,TTSSKĐ!AD124,TTSSKĐ!AJ124,TTSSKĐ!AP124)))</f>
        <v>0</v>
      </c>
      <c r="B124">
        <f>SUMPRODUCT((MONTH(CHOOSE({1,2,3,4},TTSSKĐ!U124,TTSSKĐ!AA124,TTSSKĐ!AG124,TTSSKĐ!AM124))=2)*(CHOOSE({1,2,3,4},TTSSKĐ!X124,TTSSKĐ!AD124,TTSSKĐ!AJ124,TTSSKĐ!AP124)))</f>
        <v>0</v>
      </c>
      <c r="C124">
        <f>SUMPRODUCT((MONTH(CHOOSE({1,2,3,4},TTSSKĐ!U124,TTSSKĐ!AA124,TTSSKĐ!AG124,TTSSKĐ!AM124))=3)*(CHOOSE({1,2,3,4},TTSSKĐ!X124,TTSSKĐ!AD124,TTSSKĐ!AJ124,TTSSKĐ!AP124)))</f>
        <v>0</v>
      </c>
      <c r="D124">
        <f>SUMPRODUCT((MONTH(CHOOSE({1,2,3,4},TTSSKĐ!U124,TTSSKĐ!AA124,TTSSKĐ!AG124,TTSSKĐ!AM124))=4)*(CHOOSE({1,2,3,4},TTSSKĐ!X124,TTSSKĐ!AD124,TTSSKĐ!AJ124,TTSSKĐ!AP124)))</f>
        <v>0</v>
      </c>
      <c r="E124">
        <f>SUMPRODUCT((MONTH(CHOOSE({1,2,3,4},TTSSKĐ!U124,TTSSKĐ!AA124,TTSSKĐ!AG124,TTSSKĐ!AM124))=5)*(CHOOSE({1,2,3,4},TTSSKĐ!X124,TTSSKĐ!AD124,TTSSKĐ!AJ124,TTSSKĐ!AP124)))</f>
        <v>0</v>
      </c>
      <c r="F124">
        <f>SUMPRODUCT((MONTH(CHOOSE({1,2,3,4},TTSSKĐ!U124,TTSSKĐ!AA124,TTSSKĐ!AG124,TTSSKĐ!AM124))=6)*(CHOOSE({1,2,3,4},TTSSKĐ!X124,TTSSKĐ!AD124,TTSSKĐ!AJ124,TTSSKĐ!AP124)))</f>
        <v>0</v>
      </c>
      <c r="G124">
        <f>SUMPRODUCT((MONTH(CHOOSE({1,2,3,4},TTSSKĐ!U124,TTSSKĐ!AA124,TTSSKĐ!AG124,TTSSKĐ!AM124))=7)*(CHOOSE({1,2,3,4},TTSSKĐ!X124,TTSSKĐ!AD124,TTSSKĐ!AJ124,TTSSKĐ!AP124)))</f>
        <v>0</v>
      </c>
      <c r="H124">
        <f>SUMPRODUCT((MONTH(CHOOSE({1,2,3,4},TTSSKĐ!U124,TTSSKĐ!AA124,TTSSKĐ!AG124,TTSSKĐ!AM124))=8)*(CHOOSE({1,2,3,4},TTSSKĐ!X124,TTSSKĐ!AD124,TTSSKĐ!AJ124,TTSSKĐ!AP124)))</f>
        <v>0</v>
      </c>
      <c r="I124">
        <f>SUMPRODUCT((MONTH(CHOOSE({1,2,3,4},TTSSKĐ!U124,TTSSKĐ!AA124,TTSSKĐ!AG124,TTSSKĐ!AM124))=9)*(CHOOSE({1,2,3,4},TTSSKĐ!X124,TTSSKĐ!AD124,TTSSKĐ!AJ124,TTSSKĐ!AP124)))</f>
        <v>0</v>
      </c>
      <c r="J124">
        <f>SUMPRODUCT((MONTH(CHOOSE({1,2,3,4},TTSSKĐ!U124,TTSSKĐ!AA124,TTSSKĐ!AG124,TTSSKĐ!AM124))=10)*(CHOOSE({1,2,3,4},TTSSKĐ!X124,TTSSKĐ!AD124,TTSSKĐ!AJ124,TTSSKĐ!AP124)))</f>
        <v>0</v>
      </c>
      <c r="K124">
        <f>SUMPRODUCT((MONTH(CHOOSE({1,2,3,4},TTSSKĐ!U124,TTSSKĐ!AA124,TTSSKĐ!AG124,TTSSKĐ!AM124))=11)*(CHOOSE({1,2,3,4},TTSSKĐ!X124,TTSSKĐ!AD124,TTSSKĐ!AJ124,TTSSKĐ!AP124)))</f>
        <v>0</v>
      </c>
      <c r="L124">
        <f>SUMPRODUCT((MONTH(CHOOSE({1,2,3,4},TTSSKĐ!U124,TTSSKĐ!AA124,TTSSKĐ!AG124,TTSSKĐ!AM124))=12)*(CHOOSE({1,2,3,4},TTSSKĐ!X124,TTSSKĐ!AD124,TTSSKĐ!AJ124,TTSSKĐ!AP124)))</f>
        <v>0</v>
      </c>
    </row>
    <row r="125" spans="1:12">
      <c r="A125">
        <f>SUMPRODUCT((MONTH(CHOOSE({1,2,3,4},TTSSKĐ!U125,TTSSKĐ!AA125,TTSSKĐ!AG125,TTSSKĐ!AM125))=1)*(CHOOSE({1,2,3,4},TTSSKĐ!X125,TTSSKĐ!AD125,TTSSKĐ!AJ125,TTSSKĐ!AP125)))</f>
        <v>0</v>
      </c>
      <c r="B125">
        <f>SUMPRODUCT((MONTH(CHOOSE({1,2,3,4},TTSSKĐ!U125,TTSSKĐ!AA125,TTSSKĐ!AG125,TTSSKĐ!AM125))=2)*(CHOOSE({1,2,3,4},TTSSKĐ!X125,TTSSKĐ!AD125,TTSSKĐ!AJ125,TTSSKĐ!AP125)))</f>
        <v>0</v>
      </c>
      <c r="C125">
        <f>SUMPRODUCT((MONTH(CHOOSE({1,2,3,4},TTSSKĐ!U125,TTSSKĐ!AA125,TTSSKĐ!AG125,TTSSKĐ!AM125))=3)*(CHOOSE({1,2,3,4},TTSSKĐ!X125,TTSSKĐ!AD125,TTSSKĐ!AJ125,TTSSKĐ!AP125)))</f>
        <v>0</v>
      </c>
      <c r="D125">
        <f>SUMPRODUCT((MONTH(CHOOSE({1,2,3,4},TTSSKĐ!U125,TTSSKĐ!AA125,TTSSKĐ!AG125,TTSSKĐ!AM125))=4)*(CHOOSE({1,2,3,4},TTSSKĐ!X125,TTSSKĐ!AD125,TTSSKĐ!AJ125,TTSSKĐ!AP125)))</f>
        <v>0</v>
      </c>
      <c r="E125">
        <f>SUMPRODUCT((MONTH(CHOOSE({1,2,3,4},TTSSKĐ!U125,TTSSKĐ!AA125,TTSSKĐ!AG125,TTSSKĐ!AM125))=5)*(CHOOSE({1,2,3,4},TTSSKĐ!X125,TTSSKĐ!AD125,TTSSKĐ!AJ125,TTSSKĐ!AP125)))</f>
        <v>0</v>
      </c>
      <c r="F125">
        <f>SUMPRODUCT((MONTH(CHOOSE({1,2,3,4},TTSSKĐ!U125,TTSSKĐ!AA125,TTSSKĐ!AG125,TTSSKĐ!AM125))=6)*(CHOOSE({1,2,3,4},TTSSKĐ!X125,TTSSKĐ!AD125,TTSSKĐ!AJ125,TTSSKĐ!AP125)))</f>
        <v>0</v>
      </c>
      <c r="G125">
        <f>SUMPRODUCT((MONTH(CHOOSE({1,2,3,4},TTSSKĐ!U125,TTSSKĐ!AA125,TTSSKĐ!AG125,TTSSKĐ!AM125))=7)*(CHOOSE({1,2,3,4},TTSSKĐ!X125,TTSSKĐ!AD125,TTSSKĐ!AJ125,TTSSKĐ!AP125)))</f>
        <v>0</v>
      </c>
      <c r="H125">
        <f>SUMPRODUCT((MONTH(CHOOSE({1,2,3,4},TTSSKĐ!U125,TTSSKĐ!AA125,TTSSKĐ!AG125,TTSSKĐ!AM125))=8)*(CHOOSE({1,2,3,4},TTSSKĐ!X125,TTSSKĐ!AD125,TTSSKĐ!AJ125,TTSSKĐ!AP125)))</f>
        <v>0</v>
      </c>
      <c r="I125">
        <f>SUMPRODUCT((MONTH(CHOOSE({1,2,3,4},TTSSKĐ!U125,TTSSKĐ!AA125,TTSSKĐ!AG125,TTSSKĐ!AM125))=9)*(CHOOSE({1,2,3,4},TTSSKĐ!X125,TTSSKĐ!AD125,TTSSKĐ!AJ125,TTSSKĐ!AP125)))</f>
        <v>0</v>
      </c>
      <c r="J125">
        <f>SUMPRODUCT((MONTH(CHOOSE({1,2,3,4},TTSSKĐ!U125,TTSSKĐ!AA125,TTSSKĐ!AG125,TTSSKĐ!AM125))=10)*(CHOOSE({1,2,3,4},TTSSKĐ!X125,TTSSKĐ!AD125,TTSSKĐ!AJ125,TTSSKĐ!AP125)))</f>
        <v>0</v>
      </c>
      <c r="K125">
        <f>SUMPRODUCT((MONTH(CHOOSE({1,2,3,4},TTSSKĐ!U125,TTSSKĐ!AA125,TTSSKĐ!AG125,TTSSKĐ!AM125))=11)*(CHOOSE({1,2,3,4},TTSSKĐ!X125,TTSSKĐ!AD125,TTSSKĐ!AJ125,TTSSKĐ!AP125)))</f>
        <v>0</v>
      </c>
      <c r="L125">
        <f>SUMPRODUCT((MONTH(CHOOSE({1,2,3,4},TTSSKĐ!U125,TTSSKĐ!AA125,TTSSKĐ!AG125,TTSSKĐ!AM125))=12)*(CHOOSE({1,2,3,4},TTSSKĐ!X125,TTSSKĐ!AD125,TTSSKĐ!AJ125,TTSSKĐ!AP125)))</f>
        <v>0</v>
      </c>
    </row>
    <row r="126" spans="1:12">
      <c r="A126">
        <f>SUMPRODUCT((MONTH(CHOOSE({1,2,3,4},TTSSKĐ!U126,TTSSKĐ!AA126,TTSSKĐ!AG126,TTSSKĐ!AM126))=1)*(CHOOSE({1,2,3,4},TTSSKĐ!X126,TTSSKĐ!AD126,TTSSKĐ!AJ126,TTSSKĐ!AP126)))</f>
        <v>0</v>
      </c>
      <c r="B126">
        <f>SUMPRODUCT((MONTH(CHOOSE({1,2,3,4},TTSSKĐ!U126,TTSSKĐ!AA126,TTSSKĐ!AG126,TTSSKĐ!AM126))=2)*(CHOOSE({1,2,3,4},TTSSKĐ!X126,TTSSKĐ!AD126,TTSSKĐ!AJ126,TTSSKĐ!AP126)))</f>
        <v>0</v>
      </c>
      <c r="C126">
        <f>SUMPRODUCT((MONTH(CHOOSE({1,2,3,4},TTSSKĐ!U126,TTSSKĐ!AA126,TTSSKĐ!AG126,TTSSKĐ!AM126))=3)*(CHOOSE({1,2,3,4},TTSSKĐ!X126,TTSSKĐ!AD126,TTSSKĐ!AJ126,TTSSKĐ!AP126)))</f>
        <v>0</v>
      </c>
      <c r="D126">
        <f>SUMPRODUCT((MONTH(CHOOSE({1,2,3,4},TTSSKĐ!U126,TTSSKĐ!AA126,TTSSKĐ!AG126,TTSSKĐ!AM126))=4)*(CHOOSE({1,2,3,4},TTSSKĐ!X126,TTSSKĐ!AD126,TTSSKĐ!AJ126,TTSSKĐ!AP126)))</f>
        <v>0</v>
      </c>
      <c r="E126">
        <f>SUMPRODUCT((MONTH(CHOOSE({1,2,3,4},TTSSKĐ!U126,TTSSKĐ!AA126,TTSSKĐ!AG126,TTSSKĐ!AM126))=5)*(CHOOSE({1,2,3,4},TTSSKĐ!X126,TTSSKĐ!AD126,TTSSKĐ!AJ126,TTSSKĐ!AP126)))</f>
        <v>0</v>
      </c>
      <c r="F126">
        <f>SUMPRODUCT((MONTH(CHOOSE({1,2,3,4},TTSSKĐ!U126,TTSSKĐ!AA126,TTSSKĐ!AG126,TTSSKĐ!AM126))=6)*(CHOOSE({1,2,3,4},TTSSKĐ!X126,TTSSKĐ!AD126,TTSSKĐ!AJ126,TTSSKĐ!AP126)))</f>
        <v>0</v>
      </c>
      <c r="G126">
        <f>SUMPRODUCT((MONTH(CHOOSE({1,2,3,4},TTSSKĐ!U126,TTSSKĐ!AA126,TTSSKĐ!AG126,TTSSKĐ!AM126))=7)*(CHOOSE({1,2,3,4},TTSSKĐ!X126,TTSSKĐ!AD126,TTSSKĐ!AJ126,TTSSKĐ!AP126)))</f>
        <v>0</v>
      </c>
      <c r="H126">
        <f>SUMPRODUCT((MONTH(CHOOSE({1,2,3,4},TTSSKĐ!U126,TTSSKĐ!AA126,TTSSKĐ!AG126,TTSSKĐ!AM126))=8)*(CHOOSE({1,2,3,4},TTSSKĐ!X126,TTSSKĐ!AD126,TTSSKĐ!AJ126,TTSSKĐ!AP126)))</f>
        <v>0</v>
      </c>
      <c r="I126">
        <f>SUMPRODUCT((MONTH(CHOOSE({1,2,3,4},TTSSKĐ!U126,TTSSKĐ!AA126,TTSSKĐ!AG126,TTSSKĐ!AM126))=9)*(CHOOSE({1,2,3,4},TTSSKĐ!X126,TTSSKĐ!AD126,TTSSKĐ!AJ126,TTSSKĐ!AP126)))</f>
        <v>0</v>
      </c>
      <c r="J126">
        <f>SUMPRODUCT((MONTH(CHOOSE({1,2,3,4},TTSSKĐ!U126,TTSSKĐ!AA126,TTSSKĐ!AG126,TTSSKĐ!AM126))=10)*(CHOOSE({1,2,3,4},TTSSKĐ!X126,TTSSKĐ!AD126,TTSSKĐ!AJ126,TTSSKĐ!AP126)))</f>
        <v>0</v>
      </c>
      <c r="K126">
        <f>SUMPRODUCT((MONTH(CHOOSE({1,2,3,4},TTSSKĐ!U126,TTSSKĐ!AA126,TTSSKĐ!AG126,TTSSKĐ!AM126))=11)*(CHOOSE({1,2,3,4},TTSSKĐ!X126,TTSSKĐ!AD126,TTSSKĐ!AJ126,TTSSKĐ!AP126)))</f>
        <v>0</v>
      </c>
      <c r="L126">
        <f>SUMPRODUCT((MONTH(CHOOSE({1,2,3,4},TTSSKĐ!U126,TTSSKĐ!AA126,TTSSKĐ!AG126,TTSSKĐ!AM126))=12)*(CHOOSE({1,2,3,4},TTSSKĐ!X126,TTSSKĐ!AD126,TTSSKĐ!AJ126,TTSSKĐ!AP126)))</f>
        <v>0</v>
      </c>
    </row>
    <row r="127" spans="1:12">
      <c r="A127">
        <f>SUMPRODUCT((MONTH(CHOOSE({1,2,3,4},TTSSKĐ!U127,TTSSKĐ!AA127,TTSSKĐ!AG127,TTSSKĐ!AM127))=1)*(CHOOSE({1,2,3,4},TTSSKĐ!X127,TTSSKĐ!AD127,TTSSKĐ!AJ127,TTSSKĐ!AP127)))</f>
        <v>0</v>
      </c>
      <c r="B127">
        <f>SUMPRODUCT((MONTH(CHOOSE({1,2,3,4},TTSSKĐ!U127,TTSSKĐ!AA127,TTSSKĐ!AG127,TTSSKĐ!AM127))=2)*(CHOOSE({1,2,3,4},TTSSKĐ!X127,TTSSKĐ!AD127,TTSSKĐ!AJ127,TTSSKĐ!AP127)))</f>
        <v>0</v>
      </c>
      <c r="C127">
        <f>SUMPRODUCT((MONTH(CHOOSE({1,2,3,4},TTSSKĐ!U127,TTSSKĐ!AA127,TTSSKĐ!AG127,TTSSKĐ!AM127))=3)*(CHOOSE({1,2,3,4},TTSSKĐ!X127,TTSSKĐ!AD127,TTSSKĐ!AJ127,TTSSKĐ!AP127)))</f>
        <v>0</v>
      </c>
      <c r="D127">
        <f>SUMPRODUCT((MONTH(CHOOSE({1,2,3,4},TTSSKĐ!U127,TTSSKĐ!AA127,TTSSKĐ!AG127,TTSSKĐ!AM127))=4)*(CHOOSE({1,2,3,4},TTSSKĐ!X127,TTSSKĐ!AD127,TTSSKĐ!AJ127,TTSSKĐ!AP127)))</f>
        <v>0</v>
      </c>
      <c r="E127">
        <f>SUMPRODUCT((MONTH(CHOOSE({1,2,3,4},TTSSKĐ!U127,TTSSKĐ!AA127,TTSSKĐ!AG127,TTSSKĐ!AM127))=5)*(CHOOSE({1,2,3,4},TTSSKĐ!X127,TTSSKĐ!AD127,TTSSKĐ!AJ127,TTSSKĐ!AP127)))</f>
        <v>0</v>
      </c>
      <c r="F127">
        <f>SUMPRODUCT((MONTH(CHOOSE({1,2,3,4},TTSSKĐ!U127,TTSSKĐ!AA127,TTSSKĐ!AG127,TTSSKĐ!AM127))=6)*(CHOOSE({1,2,3,4},TTSSKĐ!X127,TTSSKĐ!AD127,TTSSKĐ!AJ127,TTSSKĐ!AP127)))</f>
        <v>0</v>
      </c>
      <c r="G127">
        <f>SUMPRODUCT((MONTH(CHOOSE({1,2,3,4},TTSSKĐ!U127,TTSSKĐ!AA127,TTSSKĐ!AG127,TTSSKĐ!AM127))=7)*(CHOOSE({1,2,3,4},TTSSKĐ!X127,TTSSKĐ!AD127,TTSSKĐ!AJ127,TTSSKĐ!AP127)))</f>
        <v>0</v>
      </c>
      <c r="H127">
        <f>SUMPRODUCT((MONTH(CHOOSE({1,2,3,4},TTSSKĐ!U127,TTSSKĐ!AA127,TTSSKĐ!AG127,TTSSKĐ!AM127))=8)*(CHOOSE({1,2,3,4},TTSSKĐ!X127,TTSSKĐ!AD127,TTSSKĐ!AJ127,TTSSKĐ!AP127)))</f>
        <v>0</v>
      </c>
      <c r="I127">
        <f>SUMPRODUCT((MONTH(CHOOSE({1,2,3,4},TTSSKĐ!U127,TTSSKĐ!AA127,TTSSKĐ!AG127,TTSSKĐ!AM127))=9)*(CHOOSE({1,2,3,4},TTSSKĐ!X127,TTSSKĐ!AD127,TTSSKĐ!AJ127,TTSSKĐ!AP127)))</f>
        <v>0</v>
      </c>
      <c r="J127">
        <f>SUMPRODUCT((MONTH(CHOOSE({1,2,3,4},TTSSKĐ!U127,TTSSKĐ!AA127,TTSSKĐ!AG127,TTSSKĐ!AM127))=10)*(CHOOSE({1,2,3,4},TTSSKĐ!X127,TTSSKĐ!AD127,TTSSKĐ!AJ127,TTSSKĐ!AP127)))</f>
        <v>0</v>
      </c>
      <c r="K127">
        <f>SUMPRODUCT((MONTH(CHOOSE({1,2,3,4},TTSSKĐ!U127,TTSSKĐ!AA127,TTSSKĐ!AG127,TTSSKĐ!AM127))=11)*(CHOOSE({1,2,3,4},TTSSKĐ!X127,TTSSKĐ!AD127,TTSSKĐ!AJ127,TTSSKĐ!AP127)))</f>
        <v>0</v>
      </c>
      <c r="L127">
        <f>SUMPRODUCT((MONTH(CHOOSE({1,2,3,4},TTSSKĐ!U127,TTSSKĐ!AA127,TTSSKĐ!AG127,TTSSKĐ!AM127))=12)*(CHOOSE({1,2,3,4},TTSSKĐ!X127,TTSSKĐ!AD127,TTSSKĐ!AJ127,TTSSKĐ!AP127)))</f>
        <v>0</v>
      </c>
    </row>
    <row r="128" spans="1:12">
      <c r="A128">
        <f>SUMPRODUCT((MONTH(CHOOSE({1,2,3,4},TTSSKĐ!U128,TTSSKĐ!AA128,TTSSKĐ!AG128,TTSSKĐ!AM128))=1)*(CHOOSE({1,2,3,4},TTSSKĐ!X128,TTSSKĐ!AD128,TTSSKĐ!AJ128,TTSSKĐ!AP128)))</f>
        <v>0</v>
      </c>
      <c r="B128">
        <f>SUMPRODUCT((MONTH(CHOOSE({1,2,3,4},TTSSKĐ!U128,TTSSKĐ!AA128,TTSSKĐ!AG128,TTSSKĐ!AM128))=2)*(CHOOSE({1,2,3,4},TTSSKĐ!X128,TTSSKĐ!AD128,TTSSKĐ!AJ128,TTSSKĐ!AP128)))</f>
        <v>0</v>
      </c>
      <c r="C128">
        <f>SUMPRODUCT((MONTH(CHOOSE({1,2,3,4},TTSSKĐ!U128,TTSSKĐ!AA128,TTSSKĐ!AG128,TTSSKĐ!AM128))=3)*(CHOOSE({1,2,3,4},TTSSKĐ!X128,TTSSKĐ!AD128,TTSSKĐ!AJ128,TTSSKĐ!AP128)))</f>
        <v>0</v>
      </c>
      <c r="D128">
        <f>SUMPRODUCT((MONTH(CHOOSE({1,2,3,4},TTSSKĐ!U128,TTSSKĐ!AA128,TTSSKĐ!AG128,TTSSKĐ!AM128))=4)*(CHOOSE({1,2,3,4},TTSSKĐ!X128,TTSSKĐ!AD128,TTSSKĐ!AJ128,TTSSKĐ!AP128)))</f>
        <v>0</v>
      </c>
      <c r="E128">
        <f>SUMPRODUCT((MONTH(CHOOSE({1,2,3,4},TTSSKĐ!U128,TTSSKĐ!AA128,TTSSKĐ!AG128,TTSSKĐ!AM128))=5)*(CHOOSE({1,2,3,4},TTSSKĐ!X128,TTSSKĐ!AD128,TTSSKĐ!AJ128,TTSSKĐ!AP128)))</f>
        <v>0</v>
      </c>
      <c r="F128">
        <f>SUMPRODUCT((MONTH(CHOOSE({1,2,3,4},TTSSKĐ!U128,TTSSKĐ!AA128,TTSSKĐ!AG128,TTSSKĐ!AM128))=6)*(CHOOSE({1,2,3,4},TTSSKĐ!X128,TTSSKĐ!AD128,TTSSKĐ!AJ128,TTSSKĐ!AP128)))</f>
        <v>0</v>
      </c>
      <c r="G128">
        <f>SUMPRODUCT((MONTH(CHOOSE({1,2,3,4},TTSSKĐ!U128,TTSSKĐ!AA128,TTSSKĐ!AG128,TTSSKĐ!AM128))=7)*(CHOOSE({1,2,3,4},TTSSKĐ!X128,TTSSKĐ!AD128,TTSSKĐ!AJ128,TTSSKĐ!AP128)))</f>
        <v>0</v>
      </c>
      <c r="H128">
        <f>SUMPRODUCT((MONTH(CHOOSE({1,2,3,4},TTSSKĐ!U128,TTSSKĐ!AA128,TTSSKĐ!AG128,TTSSKĐ!AM128))=8)*(CHOOSE({1,2,3,4},TTSSKĐ!X128,TTSSKĐ!AD128,TTSSKĐ!AJ128,TTSSKĐ!AP128)))</f>
        <v>0</v>
      </c>
      <c r="I128">
        <f>SUMPRODUCT((MONTH(CHOOSE({1,2,3,4},TTSSKĐ!U128,TTSSKĐ!AA128,TTSSKĐ!AG128,TTSSKĐ!AM128))=9)*(CHOOSE({1,2,3,4},TTSSKĐ!X128,TTSSKĐ!AD128,TTSSKĐ!AJ128,TTSSKĐ!AP128)))</f>
        <v>0</v>
      </c>
      <c r="J128">
        <f>SUMPRODUCT((MONTH(CHOOSE({1,2,3,4},TTSSKĐ!U128,TTSSKĐ!AA128,TTSSKĐ!AG128,TTSSKĐ!AM128))=10)*(CHOOSE({1,2,3,4},TTSSKĐ!X128,TTSSKĐ!AD128,TTSSKĐ!AJ128,TTSSKĐ!AP128)))</f>
        <v>0</v>
      </c>
      <c r="K128">
        <f>SUMPRODUCT((MONTH(CHOOSE({1,2,3,4},TTSSKĐ!U128,TTSSKĐ!AA128,TTSSKĐ!AG128,TTSSKĐ!AM128))=11)*(CHOOSE({1,2,3,4},TTSSKĐ!X128,TTSSKĐ!AD128,TTSSKĐ!AJ128,TTSSKĐ!AP128)))</f>
        <v>0</v>
      </c>
      <c r="L128">
        <f>SUMPRODUCT((MONTH(CHOOSE({1,2,3,4},TTSSKĐ!U128,TTSSKĐ!AA128,TTSSKĐ!AG128,TTSSKĐ!AM128))=12)*(CHOOSE({1,2,3,4},TTSSKĐ!X128,TTSSKĐ!AD128,TTSSKĐ!AJ128,TTSSKĐ!AP128)))</f>
        <v>0</v>
      </c>
    </row>
    <row r="129" spans="1:12">
      <c r="A129">
        <f>SUMPRODUCT((MONTH(CHOOSE({1,2,3,4},TTSSKĐ!U129,TTSSKĐ!AA129,TTSSKĐ!AG129,TTSSKĐ!AM129))=1)*(CHOOSE({1,2,3,4},TTSSKĐ!X129,TTSSKĐ!AD129,TTSSKĐ!AJ129,TTSSKĐ!AP129)))</f>
        <v>0</v>
      </c>
      <c r="B129">
        <f>SUMPRODUCT((MONTH(CHOOSE({1,2,3,4},TTSSKĐ!U129,TTSSKĐ!AA129,TTSSKĐ!AG129,TTSSKĐ!AM129))=2)*(CHOOSE({1,2,3,4},TTSSKĐ!X129,TTSSKĐ!AD129,TTSSKĐ!AJ129,TTSSKĐ!AP129)))</f>
        <v>0</v>
      </c>
      <c r="C129">
        <f>SUMPRODUCT((MONTH(CHOOSE({1,2,3,4},TTSSKĐ!U129,TTSSKĐ!AA129,TTSSKĐ!AG129,TTSSKĐ!AM129))=3)*(CHOOSE({1,2,3,4},TTSSKĐ!X129,TTSSKĐ!AD129,TTSSKĐ!AJ129,TTSSKĐ!AP129)))</f>
        <v>0</v>
      </c>
      <c r="D129">
        <f>SUMPRODUCT((MONTH(CHOOSE({1,2,3,4},TTSSKĐ!U129,TTSSKĐ!AA129,TTSSKĐ!AG129,TTSSKĐ!AM129))=4)*(CHOOSE({1,2,3,4},TTSSKĐ!X129,TTSSKĐ!AD129,TTSSKĐ!AJ129,TTSSKĐ!AP129)))</f>
        <v>0</v>
      </c>
      <c r="E129">
        <f>SUMPRODUCT((MONTH(CHOOSE({1,2,3,4},TTSSKĐ!U129,TTSSKĐ!AA129,TTSSKĐ!AG129,TTSSKĐ!AM129))=5)*(CHOOSE({1,2,3,4},TTSSKĐ!X129,TTSSKĐ!AD129,TTSSKĐ!AJ129,TTSSKĐ!AP129)))</f>
        <v>0</v>
      </c>
      <c r="F129">
        <f>SUMPRODUCT((MONTH(CHOOSE({1,2,3,4},TTSSKĐ!U129,TTSSKĐ!AA129,TTSSKĐ!AG129,TTSSKĐ!AM129))=6)*(CHOOSE({1,2,3,4},TTSSKĐ!X129,TTSSKĐ!AD129,TTSSKĐ!AJ129,TTSSKĐ!AP129)))</f>
        <v>0</v>
      </c>
      <c r="G129">
        <f>SUMPRODUCT((MONTH(CHOOSE({1,2,3,4},TTSSKĐ!U129,TTSSKĐ!AA129,TTSSKĐ!AG129,TTSSKĐ!AM129))=7)*(CHOOSE({1,2,3,4},TTSSKĐ!X129,TTSSKĐ!AD129,TTSSKĐ!AJ129,TTSSKĐ!AP129)))</f>
        <v>0</v>
      </c>
      <c r="H129">
        <f>SUMPRODUCT((MONTH(CHOOSE({1,2,3,4},TTSSKĐ!U129,TTSSKĐ!AA129,TTSSKĐ!AG129,TTSSKĐ!AM129))=8)*(CHOOSE({1,2,3,4},TTSSKĐ!X129,TTSSKĐ!AD129,TTSSKĐ!AJ129,TTSSKĐ!AP129)))</f>
        <v>0</v>
      </c>
      <c r="I129">
        <f>SUMPRODUCT((MONTH(CHOOSE({1,2,3,4},TTSSKĐ!U129,TTSSKĐ!AA129,TTSSKĐ!AG129,TTSSKĐ!AM129))=9)*(CHOOSE({1,2,3,4},TTSSKĐ!X129,TTSSKĐ!AD129,TTSSKĐ!AJ129,TTSSKĐ!AP129)))</f>
        <v>0</v>
      </c>
      <c r="J129">
        <f>SUMPRODUCT((MONTH(CHOOSE({1,2,3,4},TTSSKĐ!U129,TTSSKĐ!AA129,TTSSKĐ!AG129,TTSSKĐ!AM129))=10)*(CHOOSE({1,2,3,4},TTSSKĐ!X129,TTSSKĐ!AD129,TTSSKĐ!AJ129,TTSSKĐ!AP129)))</f>
        <v>0</v>
      </c>
      <c r="K129">
        <f>SUMPRODUCT((MONTH(CHOOSE({1,2,3,4},TTSSKĐ!U129,TTSSKĐ!AA129,TTSSKĐ!AG129,TTSSKĐ!AM129))=11)*(CHOOSE({1,2,3,4},TTSSKĐ!X129,TTSSKĐ!AD129,TTSSKĐ!AJ129,TTSSKĐ!AP129)))</f>
        <v>0</v>
      </c>
      <c r="L129">
        <f>SUMPRODUCT((MONTH(CHOOSE({1,2,3,4},TTSSKĐ!U129,TTSSKĐ!AA129,TTSSKĐ!AG129,TTSSKĐ!AM129))=12)*(CHOOSE({1,2,3,4},TTSSKĐ!X129,TTSSKĐ!AD129,TTSSKĐ!AJ129,TTSSKĐ!AP129)))</f>
        <v>0</v>
      </c>
    </row>
    <row r="130" spans="1:12">
      <c r="A130">
        <f>SUMPRODUCT((MONTH(CHOOSE({1,2,3,4},TTSSKĐ!U130,TTSSKĐ!AA130,TTSSKĐ!AG130,TTSSKĐ!AM130))=1)*(CHOOSE({1,2,3,4},TTSSKĐ!X130,TTSSKĐ!AD130,TTSSKĐ!AJ130,TTSSKĐ!AP130)))</f>
        <v>0</v>
      </c>
      <c r="B130">
        <f>SUMPRODUCT((MONTH(CHOOSE({1,2,3,4},TTSSKĐ!U130,TTSSKĐ!AA130,TTSSKĐ!AG130,TTSSKĐ!AM130))=2)*(CHOOSE({1,2,3,4},TTSSKĐ!X130,TTSSKĐ!AD130,TTSSKĐ!AJ130,TTSSKĐ!AP130)))</f>
        <v>0</v>
      </c>
      <c r="C130">
        <f>SUMPRODUCT((MONTH(CHOOSE({1,2,3,4},TTSSKĐ!U130,TTSSKĐ!AA130,TTSSKĐ!AG130,TTSSKĐ!AM130))=3)*(CHOOSE({1,2,3,4},TTSSKĐ!X130,TTSSKĐ!AD130,TTSSKĐ!AJ130,TTSSKĐ!AP130)))</f>
        <v>0</v>
      </c>
      <c r="D130">
        <f>SUMPRODUCT((MONTH(CHOOSE({1,2,3,4},TTSSKĐ!U130,TTSSKĐ!AA130,TTSSKĐ!AG130,TTSSKĐ!AM130))=4)*(CHOOSE({1,2,3,4},TTSSKĐ!X130,TTSSKĐ!AD130,TTSSKĐ!AJ130,TTSSKĐ!AP130)))</f>
        <v>0</v>
      </c>
      <c r="E130">
        <f>SUMPRODUCT((MONTH(CHOOSE({1,2,3,4},TTSSKĐ!U130,TTSSKĐ!AA130,TTSSKĐ!AG130,TTSSKĐ!AM130))=5)*(CHOOSE({1,2,3,4},TTSSKĐ!X130,TTSSKĐ!AD130,TTSSKĐ!AJ130,TTSSKĐ!AP130)))</f>
        <v>0</v>
      </c>
      <c r="F130">
        <f>SUMPRODUCT((MONTH(CHOOSE({1,2,3,4},TTSSKĐ!U130,TTSSKĐ!AA130,TTSSKĐ!AG130,TTSSKĐ!AM130))=6)*(CHOOSE({1,2,3,4},TTSSKĐ!X130,TTSSKĐ!AD130,TTSSKĐ!AJ130,TTSSKĐ!AP130)))</f>
        <v>0</v>
      </c>
      <c r="G130">
        <f>SUMPRODUCT((MONTH(CHOOSE({1,2,3,4},TTSSKĐ!U130,TTSSKĐ!AA130,TTSSKĐ!AG130,TTSSKĐ!AM130))=7)*(CHOOSE({1,2,3,4},TTSSKĐ!X130,TTSSKĐ!AD130,TTSSKĐ!AJ130,TTSSKĐ!AP130)))</f>
        <v>0</v>
      </c>
      <c r="H130">
        <f>SUMPRODUCT((MONTH(CHOOSE({1,2,3,4},TTSSKĐ!U130,TTSSKĐ!AA130,TTSSKĐ!AG130,TTSSKĐ!AM130))=8)*(CHOOSE({1,2,3,4},TTSSKĐ!X130,TTSSKĐ!AD130,TTSSKĐ!AJ130,TTSSKĐ!AP130)))</f>
        <v>0</v>
      </c>
      <c r="I130">
        <f>SUMPRODUCT((MONTH(CHOOSE({1,2,3,4},TTSSKĐ!U130,TTSSKĐ!AA130,TTSSKĐ!AG130,TTSSKĐ!AM130))=9)*(CHOOSE({1,2,3,4},TTSSKĐ!X130,TTSSKĐ!AD130,TTSSKĐ!AJ130,TTSSKĐ!AP130)))</f>
        <v>0</v>
      </c>
      <c r="J130">
        <f>SUMPRODUCT((MONTH(CHOOSE({1,2,3,4},TTSSKĐ!U130,TTSSKĐ!AA130,TTSSKĐ!AG130,TTSSKĐ!AM130))=10)*(CHOOSE({1,2,3,4},TTSSKĐ!X130,TTSSKĐ!AD130,TTSSKĐ!AJ130,TTSSKĐ!AP130)))</f>
        <v>0</v>
      </c>
      <c r="K130">
        <f>SUMPRODUCT((MONTH(CHOOSE({1,2,3,4},TTSSKĐ!U130,TTSSKĐ!AA130,TTSSKĐ!AG130,TTSSKĐ!AM130))=11)*(CHOOSE({1,2,3,4},TTSSKĐ!X130,TTSSKĐ!AD130,TTSSKĐ!AJ130,TTSSKĐ!AP130)))</f>
        <v>0</v>
      </c>
      <c r="L130">
        <f>SUMPRODUCT((MONTH(CHOOSE({1,2,3,4},TTSSKĐ!U130,TTSSKĐ!AA130,TTSSKĐ!AG130,TTSSKĐ!AM130))=12)*(CHOOSE({1,2,3,4},TTSSKĐ!X130,TTSSKĐ!AD130,TTSSKĐ!AJ130,TTSSKĐ!AP130)))</f>
        <v>0</v>
      </c>
    </row>
    <row r="131" spans="1:12">
      <c r="A131">
        <f>SUMPRODUCT((MONTH(CHOOSE({1,2,3,4},TTSSKĐ!U131,TTSSKĐ!AA131,TTSSKĐ!AG131,TTSSKĐ!AM131))=1)*(CHOOSE({1,2,3,4},TTSSKĐ!X131,TTSSKĐ!AD131,TTSSKĐ!AJ131,TTSSKĐ!AP131)))</f>
        <v>0</v>
      </c>
      <c r="B131">
        <f>SUMPRODUCT((MONTH(CHOOSE({1,2,3,4},TTSSKĐ!U131,TTSSKĐ!AA131,TTSSKĐ!AG131,TTSSKĐ!AM131))=2)*(CHOOSE({1,2,3,4},TTSSKĐ!X131,TTSSKĐ!AD131,TTSSKĐ!AJ131,TTSSKĐ!AP131)))</f>
        <v>0</v>
      </c>
      <c r="C131">
        <f>SUMPRODUCT((MONTH(CHOOSE({1,2,3,4},TTSSKĐ!U131,TTSSKĐ!AA131,TTSSKĐ!AG131,TTSSKĐ!AM131))=3)*(CHOOSE({1,2,3,4},TTSSKĐ!X131,TTSSKĐ!AD131,TTSSKĐ!AJ131,TTSSKĐ!AP131)))</f>
        <v>0</v>
      </c>
      <c r="D131">
        <f>SUMPRODUCT((MONTH(CHOOSE({1,2,3,4},TTSSKĐ!U131,TTSSKĐ!AA131,TTSSKĐ!AG131,TTSSKĐ!AM131))=4)*(CHOOSE({1,2,3,4},TTSSKĐ!X131,TTSSKĐ!AD131,TTSSKĐ!AJ131,TTSSKĐ!AP131)))</f>
        <v>0</v>
      </c>
      <c r="E131">
        <f>SUMPRODUCT((MONTH(CHOOSE({1,2,3,4},TTSSKĐ!U131,TTSSKĐ!AA131,TTSSKĐ!AG131,TTSSKĐ!AM131))=5)*(CHOOSE({1,2,3,4},TTSSKĐ!X131,TTSSKĐ!AD131,TTSSKĐ!AJ131,TTSSKĐ!AP131)))</f>
        <v>0</v>
      </c>
      <c r="F131">
        <f>SUMPRODUCT((MONTH(CHOOSE({1,2,3,4},TTSSKĐ!U131,TTSSKĐ!AA131,TTSSKĐ!AG131,TTSSKĐ!AM131))=6)*(CHOOSE({1,2,3,4},TTSSKĐ!X131,TTSSKĐ!AD131,TTSSKĐ!AJ131,TTSSKĐ!AP131)))</f>
        <v>0</v>
      </c>
      <c r="G131">
        <f>SUMPRODUCT((MONTH(CHOOSE({1,2,3,4},TTSSKĐ!U131,TTSSKĐ!AA131,TTSSKĐ!AG131,TTSSKĐ!AM131))=7)*(CHOOSE({1,2,3,4},TTSSKĐ!X131,TTSSKĐ!AD131,TTSSKĐ!AJ131,TTSSKĐ!AP131)))</f>
        <v>0</v>
      </c>
      <c r="H131">
        <f>SUMPRODUCT((MONTH(CHOOSE({1,2,3,4},TTSSKĐ!U131,TTSSKĐ!AA131,TTSSKĐ!AG131,TTSSKĐ!AM131))=8)*(CHOOSE({1,2,3,4},TTSSKĐ!X131,TTSSKĐ!AD131,TTSSKĐ!AJ131,TTSSKĐ!AP131)))</f>
        <v>0</v>
      </c>
      <c r="I131">
        <f>SUMPRODUCT((MONTH(CHOOSE({1,2,3,4},TTSSKĐ!U131,TTSSKĐ!AA131,TTSSKĐ!AG131,TTSSKĐ!AM131))=9)*(CHOOSE({1,2,3,4},TTSSKĐ!X131,TTSSKĐ!AD131,TTSSKĐ!AJ131,TTSSKĐ!AP131)))</f>
        <v>0</v>
      </c>
      <c r="J131">
        <f>SUMPRODUCT((MONTH(CHOOSE({1,2,3,4},TTSSKĐ!U131,TTSSKĐ!AA131,TTSSKĐ!AG131,TTSSKĐ!AM131))=10)*(CHOOSE({1,2,3,4},TTSSKĐ!X131,TTSSKĐ!AD131,TTSSKĐ!AJ131,TTSSKĐ!AP131)))</f>
        <v>0</v>
      </c>
      <c r="K131">
        <f>SUMPRODUCT((MONTH(CHOOSE({1,2,3,4},TTSSKĐ!U131,TTSSKĐ!AA131,TTSSKĐ!AG131,TTSSKĐ!AM131))=11)*(CHOOSE({1,2,3,4},TTSSKĐ!X131,TTSSKĐ!AD131,TTSSKĐ!AJ131,TTSSKĐ!AP131)))</f>
        <v>0</v>
      </c>
      <c r="L131">
        <f>SUMPRODUCT((MONTH(CHOOSE({1,2,3,4},TTSSKĐ!U131,TTSSKĐ!AA131,TTSSKĐ!AG131,TTSSKĐ!AM131))=12)*(CHOOSE({1,2,3,4},TTSSKĐ!X131,TTSSKĐ!AD131,TTSSKĐ!AJ131,TTSSKĐ!AP131)))</f>
        <v>0</v>
      </c>
    </row>
    <row r="132" spans="1:12">
      <c r="A132">
        <f>SUMPRODUCT((MONTH(CHOOSE({1,2,3,4},TTSSKĐ!U132,TTSSKĐ!AA132,TTSSKĐ!AG132,TTSSKĐ!AM132))=1)*(CHOOSE({1,2,3,4},TTSSKĐ!X132,TTSSKĐ!AD132,TTSSKĐ!AJ132,TTSSKĐ!AP132)))</f>
        <v>0</v>
      </c>
      <c r="B132">
        <f>SUMPRODUCT((MONTH(CHOOSE({1,2,3,4},TTSSKĐ!U132,TTSSKĐ!AA132,TTSSKĐ!AG132,TTSSKĐ!AM132))=2)*(CHOOSE({1,2,3,4},TTSSKĐ!X132,TTSSKĐ!AD132,TTSSKĐ!AJ132,TTSSKĐ!AP132)))</f>
        <v>0</v>
      </c>
      <c r="C132">
        <f>SUMPRODUCT((MONTH(CHOOSE({1,2,3,4},TTSSKĐ!U132,TTSSKĐ!AA132,TTSSKĐ!AG132,TTSSKĐ!AM132))=3)*(CHOOSE({1,2,3,4},TTSSKĐ!X132,TTSSKĐ!AD132,TTSSKĐ!AJ132,TTSSKĐ!AP132)))</f>
        <v>0</v>
      </c>
      <c r="D132">
        <f>SUMPRODUCT((MONTH(CHOOSE({1,2,3,4},TTSSKĐ!U132,TTSSKĐ!AA132,TTSSKĐ!AG132,TTSSKĐ!AM132))=4)*(CHOOSE({1,2,3,4},TTSSKĐ!X132,TTSSKĐ!AD132,TTSSKĐ!AJ132,TTSSKĐ!AP132)))</f>
        <v>0</v>
      </c>
      <c r="E132">
        <f>SUMPRODUCT((MONTH(CHOOSE({1,2,3,4},TTSSKĐ!U132,TTSSKĐ!AA132,TTSSKĐ!AG132,TTSSKĐ!AM132))=5)*(CHOOSE({1,2,3,4},TTSSKĐ!X132,TTSSKĐ!AD132,TTSSKĐ!AJ132,TTSSKĐ!AP132)))</f>
        <v>0</v>
      </c>
      <c r="F132">
        <f>SUMPRODUCT((MONTH(CHOOSE({1,2,3,4},TTSSKĐ!U132,TTSSKĐ!AA132,TTSSKĐ!AG132,TTSSKĐ!AM132))=6)*(CHOOSE({1,2,3,4},TTSSKĐ!X132,TTSSKĐ!AD132,TTSSKĐ!AJ132,TTSSKĐ!AP132)))</f>
        <v>0</v>
      </c>
      <c r="G132">
        <f>SUMPRODUCT((MONTH(CHOOSE({1,2,3,4},TTSSKĐ!U132,TTSSKĐ!AA132,TTSSKĐ!AG132,TTSSKĐ!AM132))=7)*(CHOOSE({1,2,3,4},TTSSKĐ!X132,TTSSKĐ!AD132,TTSSKĐ!AJ132,TTSSKĐ!AP132)))</f>
        <v>0</v>
      </c>
      <c r="H132">
        <f>SUMPRODUCT((MONTH(CHOOSE({1,2,3,4},TTSSKĐ!U132,TTSSKĐ!AA132,TTSSKĐ!AG132,TTSSKĐ!AM132))=8)*(CHOOSE({1,2,3,4},TTSSKĐ!X132,TTSSKĐ!AD132,TTSSKĐ!AJ132,TTSSKĐ!AP132)))</f>
        <v>0</v>
      </c>
      <c r="I132">
        <f>SUMPRODUCT((MONTH(CHOOSE({1,2,3,4},TTSSKĐ!U132,TTSSKĐ!AA132,TTSSKĐ!AG132,TTSSKĐ!AM132))=9)*(CHOOSE({1,2,3,4},TTSSKĐ!X132,TTSSKĐ!AD132,TTSSKĐ!AJ132,TTSSKĐ!AP132)))</f>
        <v>0</v>
      </c>
      <c r="J132">
        <f>SUMPRODUCT((MONTH(CHOOSE({1,2,3,4},TTSSKĐ!U132,TTSSKĐ!AA132,TTSSKĐ!AG132,TTSSKĐ!AM132))=10)*(CHOOSE({1,2,3,4},TTSSKĐ!X132,TTSSKĐ!AD132,TTSSKĐ!AJ132,TTSSKĐ!AP132)))</f>
        <v>0</v>
      </c>
      <c r="K132">
        <f>SUMPRODUCT((MONTH(CHOOSE({1,2,3,4},TTSSKĐ!U132,TTSSKĐ!AA132,TTSSKĐ!AG132,TTSSKĐ!AM132))=11)*(CHOOSE({1,2,3,4},TTSSKĐ!X132,TTSSKĐ!AD132,TTSSKĐ!AJ132,TTSSKĐ!AP132)))</f>
        <v>0</v>
      </c>
      <c r="L132">
        <f>SUMPRODUCT((MONTH(CHOOSE({1,2,3,4},TTSSKĐ!U132,TTSSKĐ!AA132,TTSSKĐ!AG132,TTSSKĐ!AM132))=12)*(CHOOSE({1,2,3,4},TTSSKĐ!X132,TTSSKĐ!AD132,TTSSKĐ!AJ132,TTSSKĐ!AP132)))</f>
        <v>0</v>
      </c>
    </row>
    <row r="133" spans="1:12">
      <c r="A133">
        <f>SUMPRODUCT((MONTH(CHOOSE({1,2,3,4},TTSSKĐ!U133,TTSSKĐ!AA133,TTSSKĐ!AG133,TTSSKĐ!AM133))=1)*(CHOOSE({1,2,3,4},TTSSKĐ!X133,TTSSKĐ!AD133,TTSSKĐ!AJ133,TTSSKĐ!AP133)))</f>
        <v>0</v>
      </c>
      <c r="B133">
        <f>SUMPRODUCT((MONTH(CHOOSE({1,2,3,4},TTSSKĐ!U133,TTSSKĐ!AA133,TTSSKĐ!AG133,TTSSKĐ!AM133))=2)*(CHOOSE({1,2,3,4},TTSSKĐ!X133,TTSSKĐ!AD133,TTSSKĐ!AJ133,TTSSKĐ!AP133)))</f>
        <v>0</v>
      </c>
      <c r="C133">
        <f>SUMPRODUCT((MONTH(CHOOSE({1,2,3,4},TTSSKĐ!U133,TTSSKĐ!AA133,TTSSKĐ!AG133,TTSSKĐ!AM133))=3)*(CHOOSE({1,2,3,4},TTSSKĐ!X133,TTSSKĐ!AD133,TTSSKĐ!AJ133,TTSSKĐ!AP133)))</f>
        <v>0</v>
      </c>
      <c r="D133">
        <f>SUMPRODUCT((MONTH(CHOOSE({1,2,3,4},TTSSKĐ!U133,TTSSKĐ!AA133,TTSSKĐ!AG133,TTSSKĐ!AM133))=4)*(CHOOSE({1,2,3,4},TTSSKĐ!X133,TTSSKĐ!AD133,TTSSKĐ!AJ133,TTSSKĐ!AP133)))</f>
        <v>0</v>
      </c>
      <c r="E133">
        <f>SUMPRODUCT((MONTH(CHOOSE({1,2,3,4},TTSSKĐ!U133,TTSSKĐ!AA133,TTSSKĐ!AG133,TTSSKĐ!AM133))=5)*(CHOOSE({1,2,3,4},TTSSKĐ!X133,TTSSKĐ!AD133,TTSSKĐ!AJ133,TTSSKĐ!AP133)))</f>
        <v>0</v>
      </c>
      <c r="F133">
        <f>SUMPRODUCT((MONTH(CHOOSE({1,2,3,4},TTSSKĐ!U133,TTSSKĐ!AA133,TTSSKĐ!AG133,TTSSKĐ!AM133))=6)*(CHOOSE({1,2,3,4},TTSSKĐ!X133,TTSSKĐ!AD133,TTSSKĐ!AJ133,TTSSKĐ!AP133)))</f>
        <v>0</v>
      </c>
      <c r="G133">
        <f>SUMPRODUCT((MONTH(CHOOSE({1,2,3,4},TTSSKĐ!U133,TTSSKĐ!AA133,TTSSKĐ!AG133,TTSSKĐ!AM133))=7)*(CHOOSE({1,2,3,4},TTSSKĐ!X133,TTSSKĐ!AD133,TTSSKĐ!AJ133,TTSSKĐ!AP133)))</f>
        <v>0</v>
      </c>
      <c r="H133">
        <f>SUMPRODUCT((MONTH(CHOOSE({1,2,3,4},TTSSKĐ!U133,TTSSKĐ!AA133,TTSSKĐ!AG133,TTSSKĐ!AM133))=8)*(CHOOSE({1,2,3,4},TTSSKĐ!X133,TTSSKĐ!AD133,TTSSKĐ!AJ133,TTSSKĐ!AP133)))</f>
        <v>0</v>
      </c>
      <c r="I133">
        <f>SUMPRODUCT((MONTH(CHOOSE({1,2,3,4},TTSSKĐ!U133,TTSSKĐ!AA133,TTSSKĐ!AG133,TTSSKĐ!AM133))=9)*(CHOOSE({1,2,3,4},TTSSKĐ!X133,TTSSKĐ!AD133,TTSSKĐ!AJ133,TTSSKĐ!AP133)))</f>
        <v>0</v>
      </c>
      <c r="J133">
        <f>SUMPRODUCT((MONTH(CHOOSE({1,2,3,4},TTSSKĐ!U133,TTSSKĐ!AA133,TTSSKĐ!AG133,TTSSKĐ!AM133))=10)*(CHOOSE({1,2,3,4},TTSSKĐ!X133,TTSSKĐ!AD133,TTSSKĐ!AJ133,TTSSKĐ!AP133)))</f>
        <v>0</v>
      </c>
      <c r="K133">
        <f>SUMPRODUCT((MONTH(CHOOSE({1,2,3,4},TTSSKĐ!U133,TTSSKĐ!AA133,TTSSKĐ!AG133,TTSSKĐ!AM133))=11)*(CHOOSE({1,2,3,4},TTSSKĐ!X133,TTSSKĐ!AD133,TTSSKĐ!AJ133,TTSSKĐ!AP133)))</f>
        <v>0</v>
      </c>
      <c r="L133">
        <f>SUMPRODUCT((MONTH(CHOOSE({1,2,3,4},TTSSKĐ!U133,TTSSKĐ!AA133,TTSSKĐ!AG133,TTSSKĐ!AM133))=12)*(CHOOSE({1,2,3,4},TTSSKĐ!X133,TTSSKĐ!AD133,TTSSKĐ!AJ133,TTSSKĐ!AP133)))</f>
        <v>0</v>
      </c>
    </row>
    <row r="134" spans="1:12">
      <c r="A134">
        <f>SUMPRODUCT((MONTH(CHOOSE({1,2,3,4},TTSSKĐ!U134,TTSSKĐ!AA134,TTSSKĐ!AG134,TTSSKĐ!AM134))=1)*(CHOOSE({1,2,3,4},TTSSKĐ!X134,TTSSKĐ!AD134,TTSSKĐ!AJ134,TTSSKĐ!AP134)))</f>
        <v>0</v>
      </c>
      <c r="B134">
        <f>SUMPRODUCT((MONTH(CHOOSE({1,2,3,4},TTSSKĐ!U134,TTSSKĐ!AA134,TTSSKĐ!AG134,TTSSKĐ!AM134))=2)*(CHOOSE({1,2,3,4},TTSSKĐ!X134,TTSSKĐ!AD134,TTSSKĐ!AJ134,TTSSKĐ!AP134)))</f>
        <v>0</v>
      </c>
      <c r="C134">
        <f>SUMPRODUCT((MONTH(CHOOSE({1,2,3,4},TTSSKĐ!U134,TTSSKĐ!AA134,TTSSKĐ!AG134,TTSSKĐ!AM134))=3)*(CHOOSE({1,2,3,4},TTSSKĐ!X134,TTSSKĐ!AD134,TTSSKĐ!AJ134,TTSSKĐ!AP134)))</f>
        <v>0</v>
      </c>
      <c r="D134">
        <f>SUMPRODUCT((MONTH(CHOOSE({1,2,3,4},TTSSKĐ!U134,TTSSKĐ!AA134,TTSSKĐ!AG134,TTSSKĐ!AM134))=4)*(CHOOSE({1,2,3,4},TTSSKĐ!X134,TTSSKĐ!AD134,TTSSKĐ!AJ134,TTSSKĐ!AP134)))</f>
        <v>0</v>
      </c>
      <c r="E134">
        <f>SUMPRODUCT((MONTH(CHOOSE({1,2,3,4},TTSSKĐ!U134,TTSSKĐ!AA134,TTSSKĐ!AG134,TTSSKĐ!AM134))=5)*(CHOOSE({1,2,3,4},TTSSKĐ!X134,TTSSKĐ!AD134,TTSSKĐ!AJ134,TTSSKĐ!AP134)))</f>
        <v>0</v>
      </c>
      <c r="F134">
        <f>SUMPRODUCT((MONTH(CHOOSE({1,2,3,4},TTSSKĐ!U134,TTSSKĐ!AA134,TTSSKĐ!AG134,TTSSKĐ!AM134))=6)*(CHOOSE({1,2,3,4},TTSSKĐ!X134,TTSSKĐ!AD134,TTSSKĐ!AJ134,TTSSKĐ!AP134)))</f>
        <v>0</v>
      </c>
      <c r="G134">
        <f>SUMPRODUCT((MONTH(CHOOSE({1,2,3,4},TTSSKĐ!U134,TTSSKĐ!AA134,TTSSKĐ!AG134,TTSSKĐ!AM134))=7)*(CHOOSE({1,2,3,4},TTSSKĐ!X134,TTSSKĐ!AD134,TTSSKĐ!AJ134,TTSSKĐ!AP134)))</f>
        <v>0</v>
      </c>
      <c r="H134">
        <f>SUMPRODUCT((MONTH(CHOOSE({1,2,3,4},TTSSKĐ!U134,TTSSKĐ!AA134,TTSSKĐ!AG134,TTSSKĐ!AM134))=8)*(CHOOSE({1,2,3,4},TTSSKĐ!X134,TTSSKĐ!AD134,TTSSKĐ!AJ134,TTSSKĐ!AP134)))</f>
        <v>0</v>
      </c>
      <c r="I134">
        <f>SUMPRODUCT((MONTH(CHOOSE({1,2,3,4},TTSSKĐ!U134,TTSSKĐ!AA134,TTSSKĐ!AG134,TTSSKĐ!AM134))=9)*(CHOOSE({1,2,3,4},TTSSKĐ!X134,TTSSKĐ!AD134,TTSSKĐ!AJ134,TTSSKĐ!AP134)))</f>
        <v>0</v>
      </c>
      <c r="J134">
        <f>SUMPRODUCT((MONTH(CHOOSE({1,2,3,4},TTSSKĐ!U134,TTSSKĐ!AA134,TTSSKĐ!AG134,TTSSKĐ!AM134))=10)*(CHOOSE({1,2,3,4},TTSSKĐ!X134,TTSSKĐ!AD134,TTSSKĐ!AJ134,TTSSKĐ!AP134)))</f>
        <v>0</v>
      </c>
      <c r="K134">
        <f>SUMPRODUCT((MONTH(CHOOSE({1,2,3,4},TTSSKĐ!U134,TTSSKĐ!AA134,TTSSKĐ!AG134,TTSSKĐ!AM134))=11)*(CHOOSE({1,2,3,4},TTSSKĐ!X134,TTSSKĐ!AD134,TTSSKĐ!AJ134,TTSSKĐ!AP134)))</f>
        <v>0</v>
      </c>
      <c r="L134">
        <f>SUMPRODUCT((MONTH(CHOOSE({1,2,3,4},TTSSKĐ!U134,TTSSKĐ!AA134,TTSSKĐ!AG134,TTSSKĐ!AM134))=12)*(CHOOSE({1,2,3,4},TTSSKĐ!X134,TTSSKĐ!AD134,TTSSKĐ!AJ134,TTSSKĐ!AP134)))</f>
        <v>0</v>
      </c>
    </row>
    <row r="135" spans="1:12">
      <c r="A135">
        <f>SUMPRODUCT((MONTH(CHOOSE({1,2,3,4},TTSSKĐ!U135,TTSSKĐ!AA135,TTSSKĐ!AG135,TTSSKĐ!AM135))=1)*(CHOOSE({1,2,3,4},TTSSKĐ!X135,TTSSKĐ!AD135,TTSSKĐ!AJ135,TTSSKĐ!AP135)))</f>
        <v>0</v>
      </c>
      <c r="B135">
        <f>SUMPRODUCT((MONTH(CHOOSE({1,2,3,4},TTSSKĐ!U135,TTSSKĐ!AA135,TTSSKĐ!AG135,TTSSKĐ!AM135))=2)*(CHOOSE({1,2,3,4},TTSSKĐ!X135,TTSSKĐ!AD135,TTSSKĐ!AJ135,TTSSKĐ!AP135)))</f>
        <v>0</v>
      </c>
      <c r="C135">
        <f>SUMPRODUCT((MONTH(CHOOSE({1,2,3,4},TTSSKĐ!U135,TTSSKĐ!AA135,TTSSKĐ!AG135,TTSSKĐ!AM135))=3)*(CHOOSE({1,2,3,4},TTSSKĐ!X135,TTSSKĐ!AD135,TTSSKĐ!AJ135,TTSSKĐ!AP135)))</f>
        <v>0</v>
      </c>
      <c r="D135">
        <f>SUMPRODUCT((MONTH(CHOOSE({1,2,3,4},TTSSKĐ!U135,TTSSKĐ!AA135,TTSSKĐ!AG135,TTSSKĐ!AM135))=4)*(CHOOSE({1,2,3,4},TTSSKĐ!X135,TTSSKĐ!AD135,TTSSKĐ!AJ135,TTSSKĐ!AP135)))</f>
        <v>0</v>
      </c>
      <c r="E135">
        <f>SUMPRODUCT((MONTH(CHOOSE({1,2,3,4},TTSSKĐ!U135,TTSSKĐ!AA135,TTSSKĐ!AG135,TTSSKĐ!AM135))=5)*(CHOOSE({1,2,3,4},TTSSKĐ!X135,TTSSKĐ!AD135,TTSSKĐ!AJ135,TTSSKĐ!AP135)))</f>
        <v>0</v>
      </c>
      <c r="F135">
        <f>SUMPRODUCT((MONTH(CHOOSE({1,2,3,4},TTSSKĐ!U135,TTSSKĐ!AA135,TTSSKĐ!AG135,TTSSKĐ!AM135))=6)*(CHOOSE({1,2,3,4},TTSSKĐ!X135,TTSSKĐ!AD135,TTSSKĐ!AJ135,TTSSKĐ!AP135)))</f>
        <v>0</v>
      </c>
      <c r="G135">
        <f>SUMPRODUCT((MONTH(CHOOSE({1,2,3,4},TTSSKĐ!U135,TTSSKĐ!AA135,TTSSKĐ!AG135,TTSSKĐ!AM135))=7)*(CHOOSE({1,2,3,4},TTSSKĐ!X135,TTSSKĐ!AD135,TTSSKĐ!AJ135,TTSSKĐ!AP135)))</f>
        <v>0</v>
      </c>
      <c r="H135">
        <f>SUMPRODUCT((MONTH(CHOOSE({1,2,3,4},TTSSKĐ!U135,TTSSKĐ!AA135,TTSSKĐ!AG135,TTSSKĐ!AM135))=8)*(CHOOSE({1,2,3,4},TTSSKĐ!X135,TTSSKĐ!AD135,TTSSKĐ!AJ135,TTSSKĐ!AP135)))</f>
        <v>0</v>
      </c>
      <c r="I135">
        <f>SUMPRODUCT((MONTH(CHOOSE({1,2,3,4},TTSSKĐ!U135,TTSSKĐ!AA135,TTSSKĐ!AG135,TTSSKĐ!AM135))=9)*(CHOOSE({1,2,3,4},TTSSKĐ!X135,TTSSKĐ!AD135,TTSSKĐ!AJ135,TTSSKĐ!AP135)))</f>
        <v>0</v>
      </c>
      <c r="J135">
        <f>SUMPRODUCT((MONTH(CHOOSE({1,2,3,4},TTSSKĐ!U135,TTSSKĐ!AA135,TTSSKĐ!AG135,TTSSKĐ!AM135))=10)*(CHOOSE({1,2,3,4},TTSSKĐ!X135,TTSSKĐ!AD135,TTSSKĐ!AJ135,TTSSKĐ!AP135)))</f>
        <v>0</v>
      </c>
      <c r="K135">
        <f>SUMPRODUCT((MONTH(CHOOSE({1,2,3,4},TTSSKĐ!U135,TTSSKĐ!AA135,TTSSKĐ!AG135,TTSSKĐ!AM135))=11)*(CHOOSE({1,2,3,4},TTSSKĐ!X135,TTSSKĐ!AD135,TTSSKĐ!AJ135,TTSSKĐ!AP135)))</f>
        <v>0</v>
      </c>
      <c r="L135">
        <f>SUMPRODUCT((MONTH(CHOOSE({1,2,3,4},TTSSKĐ!U135,TTSSKĐ!AA135,TTSSKĐ!AG135,TTSSKĐ!AM135))=12)*(CHOOSE({1,2,3,4},TTSSKĐ!X135,TTSSKĐ!AD135,TTSSKĐ!AJ135,TTSSKĐ!AP135)))</f>
        <v>0</v>
      </c>
    </row>
    <row r="136" spans="1:12">
      <c r="A136">
        <f>SUMPRODUCT((MONTH(CHOOSE({1,2,3,4},TTSSKĐ!U136,TTSSKĐ!AA136,TTSSKĐ!AG136,TTSSKĐ!AM136))=1)*(CHOOSE({1,2,3,4},TTSSKĐ!X136,TTSSKĐ!AD136,TTSSKĐ!AJ136,TTSSKĐ!AP136)))</f>
        <v>0</v>
      </c>
      <c r="B136">
        <f>SUMPRODUCT((MONTH(CHOOSE({1,2,3,4},TTSSKĐ!U136,TTSSKĐ!AA136,TTSSKĐ!AG136,TTSSKĐ!AM136))=2)*(CHOOSE({1,2,3,4},TTSSKĐ!X136,TTSSKĐ!AD136,TTSSKĐ!AJ136,TTSSKĐ!AP136)))</f>
        <v>0</v>
      </c>
      <c r="C136">
        <f>SUMPRODUCT((MONTH(CHOOSE({1,2,3,4},TTSSKĐ!U136,TTSSKĐ!AA136,TTSSKĐ!AG136,TTSSKĐ!AM136))=3)*(CHOOSE({1,2,3,4},TTSSKĐ!X136,TTSSKĐ!AD136,TTSSKĐ!AJ136,TTSSKĐ!AP136)))</f>
        <v>0</v>
      </c>
      <c r="D136">
        <f>SUMPRODUCT((MONTH(CHOOSE({1,2,3,4},TTSSKĐ!U136,TTSSKĐ!AA136,TTSSKĐ!AG136,TTSSKĐ!AM136))=4)*(CHOOSE({1,2,3,4},TTSSKĐ!X136,TTSSKĐ!AD136,TTSSKĐ!AJ136,TTSSKĐ!AP136)))</f>
        <v>0</v>
      </c>
      <c r="E136">
        <f>SUMPRODUCT((MONTH(CHOOSE({1,2,3,4},TTSSKĐ!U136,TTSSKĐ!AA136,TTSSKĐ!AG136,TTSSKĐ!AM136))=5)*(CHOOSE({1,2,3,4},TTSSKĐ!X136,TTSSKĐ!AD136,TTSSKĐ!AJ136,TTSSKĐ!AP136)))</f>
        <v>0</v>
      </c>
      <c r="F136">
        <f>SUMPRODUCT((MONTH(CHOOSE({1,2,3,4},TTSSKĐ!U136,TTSSKĐ!AA136,TTSSKĐ!AG136,TTSSKĐ!AM136))=6)*(CHOOSE({1,2,3,4},TTSSKĐ!X136,TTSSKĐ!AD136,TTSSKĐ!AJ136,TTSSKĐ!AP136)))</f>
        <v>0</v>
      </c>
      <c r="G136">
        <f>SUMPRODUCT((MONTH(CHOOSE({1,2,3,4},TTSSKĐ!U136,TTSSKĐ!AA136,TTSSKĐ!AG136,TTSSKĐ!AM136))=7)*(CHOOSE({1,2,3,4},TTSSKĐ!X136,TTSSKĐ!AD136,TTSSKĐ!AJ136,TTSSKĐ!AP136)))</f>
        <v>0</v>
      </c>
      <c r="H136">
        <f>SUMPRODUCT((MONTH(CHOOSE({1,2,3,4},TTSSKĐ!U136,TTSSKĐ!AA136,TTSSKĐ!AG136,TTSSKĐ!AM136))=8)*(CHOOSE({1,2,3,4},TTSSKĐ!X136,TTSSKĐ!AD136,TTSSKĐ!AJ136,TTSSKĐ!AP136)))</f>
        <v>0</v>
      </c>
      <c r="I136">
        <f>SUMPRODUCT((MONTH(CHOOSE({1,2,3,4},TTSSKĐ!U136,TTSSKĐ!AA136,TTSSKĐ!AG136,TTSSKĐ!AM136))=9)*(CHOOSE({1,2,3,4},TTSSKĐ!X136,TTSSKĐ!AD136,TTSSKĐ!AJ136,TTSSKĐ!AP136)))</f>
        <v>0</v>
      </c>
      <c r="J136">
        <f>SUMPRODUCT((MONTH(CHOOSE({1,2,3,4},TTSSKĐ!U136,TTSSKĐ!AA136,TTSSKĐ!AG136,TTSSKĐ!AM136))=10)*(CHOOSE({1,2,3,4},TTSSKĐ!X136,TTSSKĐ!AD136,TTSSKĐ!AJ136,TTSSKĐ!AP136)))</f>
        <v>0</v>
      </c>
      <c r="K136">
        <f>SUMPRODUCT((MONTH(CHOOSE({1,2,3,4},TTSSKĐ!U136,TTSSKĐ!AA136,TTSSKĐ!AG136,TTSSKĐ!AM136))=11)*(CHOOSE({1,2,3,4},TTSSKĐ!X136,TTSSKĐ!AD136,TTSSKĐ!AJ136,TTSSKĐ!AP136)))</f>
        <v>0</v>
      </c>
      <c r="L136">
        <f>SUMPRODUCT((MONTH(CHOOSE({1,2,3,4},TTSSKĐ!U136,TTSSKĐ!AA136,TTSSKĐ!AG136,TTSSKĐ!AM136))=12)*(CHOOSE({1,2,3,4},TTSSKĐ!X136,TTSSKĐ!AD136,TTSSKĐ!AJ136,TTSSKĐ!AP136)))</f>
        <v>0</v>
      </c>
    </row>
    <row r="137" spans="1:12">
      <c r="A137">
        <f>SUMPRODUCT((MONTH(CHOOSE({1,2,3,4},TTSSKĐ!U137,TTSSKĐ!AA137,TTSSKĐ!AG137,TTSSKĐ!AM137))=1)*(CHOOSE({1,2,3,4},TTSSKĐ!X137,TTSSKĐ!AD137,TTSSKĐ!AJ137,TTSSKĐ!AP137)))</f>
        <v>0</v>
      </c>
      <c r="B137">
        <f>SUMPRODUCT((MONTH(CHOOSE({1,2,3,4},TTSSKĐ!U137,TTSSKĐ!AA137,TTSSKĐ!AG137,TTSSKĐ!AM137))=2)*(CHOOSE({1,2,3,4},TTSSKĐ!X137,TTSSKĐ!AD137,TTSSKĐ!AJ137,TTSSKĐ!AP137)))</f>
        <v>0</v>
      </c>
      <c r="C137">
        <f>SUMPRODUCT((MONTH(CHOOSE({1,2,3,4},TTSSKĐ!U137,TTSSKĐ!AA137,TTSSKĐ!AG137,TTSSKĐ!AM137))=3)*(CHOOSE({1,2,3,4},TTSSKĐ!X137,TTSSKĐ!AD137,TTSSKĐ!AJ137,TTSSKĐ!AP137)))</f>
        <v>0</v>
      </c>
      <c r="D137">
        <f>SUMPRODUCT((MONTH(CHOOSE({1,2,3,4},TTSSKĐ!U137,TTSSKĐ!AA137,TTSSKĐ!AG137,TTSSKĐ!AM137))=4)*(CHOOSE({1,2,3,4},TTSSKĐ!X137,TTSSKĐ!AD137,TTSSKĐ!AJ137,TTSSKĐ!AP137)))</f>
        <v>0</v>
      </c>
      <c r="E137">
        <f>SUMPRODUCT((MONTH(CHOOSE({1,2,3,4},TTSSKĐ!U137,TTSSKĐ!AA137,TTSSKĐ!AG137,TTSSKĐ!AM137))=5)*(CHOOSE({1,2,3,4},TTSSKĐ!X137,TTSSKĐ!AD137,TTSSKĐ!AJ137,TTSSKĐ!AP137)))</f>
        <v>0</v>
      </c>
      <c r="F137">
        <f>SUMPRODUCT((MONTH(CHOOSE({1,2,3,4},TTSSKĐ!U137,TTSSKĐ!AA137,TTSSKĐ!AG137,TTSSKĐ!AM137))=6)*(CHOOSE({1,2,3,4},TTSSKĐ!X137,TTSSKĐ!AD137,TTSSKĐ!AJ137,TTSSKĐ!AP137)))</f>
        <v>0</v>
      </c>
      <c r="G137">
        <f>SUMPRODUCT((MONTH(CHOOSE({1,2,3,4},TTSSKĐ!U137,TTSSKĐ!AA137,TTSSKĐ!AG137,TTSSKĐ!AM137))=7)*(CHOOSE({1,2,3,4},TTSSKĐ!X137,TTSSKĐ!AD137,TTSSKĐ!AJ137,TTSSKĐ!AP137)))</f>
        <v>0</v>
      </c>
      <c r="H137">
        <f>SUMPRODUCT((MONTH(CHOOSE({1,2,3,4},TTSSKĐ!U137,TTSSKĐ!AA137,TTSSKĐ!AG137,TTSSKĐ!AM137))=8)*(CHOOSE({1,2,3,4},TTSSKĐ!X137,TTSSKĐ!AD137,TTSSKĐ!AJ137,TTSSKĐ!AP137)))</f>
        <v>0</v>
      </c>
      <c r="I137">
        <f>SUMPRODUCT((MONTH(CHOOSE({1,2,3,4},TTSSKĐ!U137,TTSSKĐ!AA137,TTSSKĐ!AG137,TTSSKĐ!AM137))=9)*(CHOOSE({1,2,3,4},TTSSKĐ!X137,TTSSKĐ!AD137,TTSSKĐ!AJ137,TTSSKĐ!AP137)))</f>
        <v>0</v>
      </c>
      <c r="J137">
        <f>SUMPRODUCT((MONTH(CHOOSE({1,2,3,4},TTSSKĐ!U137,TTSSKĐ!AA137,TTSSKĐ!AG137,TTSSKĐ!AM137))=10)*(CHOOSE({1,2,3,4},TTSSKĐ!X137,TTSSKĐ!AD137,TTSSKĐ!AJ137,TTSSKĐ!AP137)))</f>
        <v>0</v>
      </c>
      <c r="K137">
        <f>SUMPRODUCT((MONTH(CHOOSE({1,2,3,4},TTSSKĐ!U137,TTSSKĐ!AA137,TTSSKĐ!AG137,TTSSKĐ!AM137))=11)*(CHOOSE({1,2,3,4},TTSSKĐ!X137,TTSSKĐ!AD137,TTSSKĐ!AJ137,TTSSKĐ!AP137)))</f>
        <v>0</v>
      </c>
      <c r="L137">
        <f>SUMPRODUCT((MONTH(CHOOSE({1,2,3,4},TTSSKĐ!U137,TTSSKĐ!AA137,TTSSKĐ!AG137,TTSSKĐ!AM137))=12)*(CHOOSE({1,2,3,4},TTSSKĐ!X137,TTSSKĐ!AD137,TTSSKĐ!AJ137,TTSSKĐ!AP137)))</f>
        <v>0</v>
      </c>
    </row>
    <row r="138" spans="1:12">
      <c r="A138">
        <f>SUMPRODUCT((MONTH(CHOOSE({1,2,3,4},TTSSKĐ!U138,TTSSKĐ!AA138,TTSSKĐ!AG138,TTSSKĐ!AM138))=1)*(CHOOSE({1,2,3,4},TTSSKĐ!X138,TTSSKĐ!AD138,TTSSKĐ!AJ138,TTSSKĐ!AP138)))</f>
        <v>0</v>
      </c>
      <c r="B138">
        <f>SUMPRODUCT((MONTH(CHOOSE({1,2,3,4},TTSSKĐ!U138,TTSSKĐ!AA138,TTSSKĐ!AG138,TTSSKĐ!AM138))=2)*(CHOOSE({1,2,3,4},TTSSKĐ!X138,TTSSKĐ!AD138,TTSSKĐ!AJ138,TTSSKĐ!AP138)))</f>
        <v>0</v>
      </c>
      <c r="C138">
        <f>SUMPRODUCT((MONTH(CHOOSE({1,2,3,4},TTSSKĐ!U138,TTSSKĐ!AA138,TTSSKĐ!AG138,TTSSKĐ!AM138))=3)*(CHOOSE({1,2,3,4},TTSSKĐ!X138,TTSSKĐ!AD138,TTSSKĐ!AJ138,TTSSKĐ!AP138)))</f>
        <v>0</v>
      </c>
      <c r="D138">
        <f>SUMPRODUCT((MONTH(CHOOSE({1,2,3,4},TTSSKĐ!U138,TTSSKĐ!AA138,TTSSKĐ!AG138,TTSSKĐ!AM138))=4)*(CHOOSE({1,2,3,4},TTSSKĐ!X138,TTSSKĐ!AD138,TTSSKĐ!AJ138,TTSSKĐ!AP138)))</f>
        <v>0</v>
      </c>
      <c r="E138">
        <f>SUMPRODUCT((MONTH(CHOOSE({1,2,3,4},TTSSKĐ!U138,TTSSKĐ!AA138,TTSSKĐ!AG138,TTSSKĐ!AM138))=5)*(CHOOSE({1,2,3,4},TTSSKĐ!X138,TTSSKĐ!AD138,TTSSKĐ!AJ138,TTSSKĐ!AP138)))</f>
        <v>0</v>
      </c>
      <c r="F138">
        <f>SUMPRODUCT((MONTH(CHOOSE({1,2,3,4},TTSSKĐ!U138,TTSSKĐ!AA138,TTSSKĐ!AG138,TTSSKĐ!AM138))=6)*(CHOOSE({1,2,3,4},TTSSKĐ!X138,TTSSKĐ!AD138,TTSSKĐ!AJ138,TTSSKĐ!AP138)))</f>
        <v>0</v>
      </c>
      <c r="G138">
        <f>SUMPRODUCT((MONTH(CHOOSE({1,2,3,4},TTSSKĐ!U138,TTSSKĐ!AA138,TTSSKĐ!AG138,TTSSKĐ!AM138))=7)*(CHOOSE({1,2,3,4},TTSSKĐ!X138,TTSSKĐ!AD138,TTSSKĐ!AJ138,TTSSKĐ!AP138)))</f>
        <v>0</v>
      </c>
      <c r="H138">
        <f>SUMPRODUCT((MONTH(CHOOSE({1,2,3,4},TTSSKĐ!U138,TTSSKĐ!AA138,TTSSKĐ!AG138,TTSSKĐ!AM138))=8)*(CHOOSE({1,2,3,4},TTSSKĐ!X138,TTSSKĐ!AD138,TTSSKĐ!AJ138,TTSSKĐ!AP138)))</f>
        <v>0</v>
      </c>
      <c r="I138">
        <f>SUMPRODUCT((MONTH(CHOOSE({1,2,3,4},TTSSKĐ!U138,TTSSKĐ!AA138,TTSSKĐ!AG138,TTSSKĐ!AM138))=9)*(CHOOSE({1,2,3,4},TTSSKĐ!X138,TTSSKĐ!AD138,TTSSKĐ!AJ138,TTSSKĐ!AP138)))</f>
        <v>0</v>
      </c>
      <c r="J138">
        <f>SUMPRODUCT((MONTH(CHOOSE({1,2,3,4},TTSSKĐ!U138,TTSSKĐ!AA138,TTSSKĐ!AG138,TTSSKĐ!AM138))=10)*(CHOOSE({1,2,3,4},TTSSKĐ!X138,TTSSKĐ!AD138,TTSSKĐ!AJ138,TTSSKĐ!AP138)))</f>
        <v>0</v>
      </c>
      <c r="K138">
        <f>SUMPRODUCT((MONTH(CHOOSE({1,2,3,4},TTSSKĐ!U138,TTSSKĐ!AA138,TTSSKĐ!AG138,TTSSKĐ!AM138))=11)*(CHOOSE({1,2,3,4},TTSSKĐ!X138,TTSSKĐ!AD138,TTSSKĐ!AJ138,TTSSKĐ!AP138)))</f>
        <v>0</v>
      </c>
      <c r="L138">
        <f>SUMPRODUCT((MONTH(CHOOSE({1,2,3,4},TTSSKĐ!U138,TTSSKĐ!AA138,TTSSKĐ!AG138,TTSSKĐ!AM138))=12)*(CHOOSE({1,2,3,4},TTSSKĐ!X138,TTSSKĐ!AD138,TTSSKĐ!AJ138,TTSSKĐ!AP138)))</f>
        <v>0</v>
      </c>
    </row>
    <row r="139" spans="1:12">
      <c r="A139">
        <f>SUMPRODUCT((MONTH(CHOOSE({1,2,3,4},TTSSKĐ!U139,TTSSKĐ!AA139,TTSSKĐ!AG139,TTSSKĐ!AM139))=1)*(CHOOSE({1,2,3,4},TTSSKĐ!X139,TTSSKĐ!AD139,TTSSKĐ!AJ139,TTSSKĐ!AP139)))</f>
        <v>0</v>
      </c>
      <c r="B139">
        <f>SUMPRODUCT((MONTH(CHOOSE({1,2,3,4},TTSSKĐ!U139,TTSSKĐ!AA139,TTSSKĐ!AG139,TTSSKĐ!AM139))=2)*(CHOOSE({1,2,3,4},TTSSKĐ!X139,TTSSKĐ!AD139,TTSSKĐ!AJ139,TTSSKĐ!AP139)))</f>
        <v>0</v>
      </c>
      <c r="C139">
        <f>SUMPRODUCT((MONTH(CHOOSE({1,2,3,4},TTSSKĐ!U139,TTSSKĐ!AA139,TTSSKĐ!AG139,TTSSKĐ!AM139))=3)*(CHOOSE({1,2,3,4},TTSSKĐ!X139,TTSSKĐ!AD139,TTSSKĐ!AJ139,TTSSKĐ!AP139)))</f>
        <v>0</v>
      </c>
      <c r="D139">
        <f>SUMPRODUCT((MONTH(CHOOSE({1,2,3,4},TTSSKĐ!U139,TTSSKĐ!AA139,TTSSKĐ!AG139,TTSSKĐ!AM139))=4)*(CHOOSE({1,2,3,4},TTSSKĐ!X139,TTSSKĐ!AD139,TTSSKĐ!AJ139,TTSSKĐ!AP139)))</f>
        <v>0</v>
      </c>
      <c r="E139">
        <f>SUMPRODUCT((MONTH(CHOOSE({1,2,3,4},TTSSKĐ!U139,TTSSKĐ!AA139,TTSSKĐ!AG139,TTSSKĐ!AM139))=5)*(CHOOSE({1,2,3,4},TTSSKĐ!X139,TTSSKĐ!AD139,TTSSKĐ!AJ139,TTSSKĐ!AP139)))</f>
        <v>0</v>
      </c>
      <c r="F139">
        <f>SUMPRODUCT((MONTH(CHOOSE({1,2,3,4},TTSSKĐ!U139,TTSSKĐ!AA139,TTSSKĐ!AG139,TTSSKĐ!AM139))=6)*(CHOOSE({1,2,3,4},TTSSKĐ!X139,TTSSKĐ!AD139,TTSSKĐ!AJ139,TTSSKĐ!AP139)))</f>
        <v>0</v>
      </c>
      <c r="G139">
        <f>SUMPRODUCT((MONTH(CHOOSE({1,2,3,4},TTSSKĐ!U139,TTSSKĐ!AA139,TTSSKĐ!AG139,TTSSKĐ!AM139))=7)*(CHOOSE({1,2,3,4},TTSSKĐ!X139,TTSSKĐ!AD139,TTSSKĐ!AJ139,TTSSKĐ!AP139)))</f>
        <v>0</v>
      </c>
      <c r="H139">
        <f>SUMPRODUCT((MONTH(CHOOSE({1,2,3,4},TTSSKĐ!U139,TTSSKĐ!AA139,TTSSKĐ!AG139,TTSSKĐ!AM139))=8)*(CHOOSE({1,2,3,4},TTSSKĐ!X139,TTSSKĐ!AD139,TTSSKĐ!AJ139,TTSSKĐ!AP139)))</f>
        <v>0</v>
      </c>
      <c r="I139">
        <f>SUMPRODUCT((MONTH(CHOOSE({1,2,3,4},TTSSKĐ!U139,TTSSKĐ!AA139,TTSSKĐ!AG139,TTSSKĐ!AM139))=9)*(CHOOSE({1,2,3,4},TTSSKĐ!X139,TTSSKĐ!AD139,TTSSKĐ!AJ139,TTSSKĐ!AP139)))</f>
        <v>0</v>
      </c>
      <c r="J139">
        <f>SUMPRODUCT((MONTH(CHOOSE({1,2,3,4},TTSSKĐ!U139,TTSSKĐ!AA139,TTSSKĐ!AG139,TTSSKĐ!AM139))=10)*(CHOOSE({1,2,3,4},TTSSKĐ!X139,TTSSKĐ!AD139,TTSSKĐ!AJ139,TTSSKĐ!AP139)))</f>
        <v>0</v>
      </c>
      <c r="K139">
        <f>SUMPRODUCT((MONTH(CHOOSE({1,2,3,4},TTSSKĐ!U139,TTSSKĐ!AA139,TTSSKĐ!AG139,TTSSKĐ!AM139))=11)*(CHOOSE({1,2,3,4},TTSSKĐ!X139,TTSSKĐ!AD139,TTSSKĐ!AJ139,TTSSKĐ!AP139)))</f>
        <v>0</v>
      </c>
      <c r="L139">
        <f>SUMPRODUCT((MONTH(CHOOSE({1,2,3,4},TTSSKĐ!U139,TTSSKĐ!AA139,TTSSKĐ!AG139,TTSSKĐ!AM139))=12)*(CHOOSE({1,2,3,4},TTSSKĐ!X139,TTSSKĐ!AD139,TTSSKĐ!AJ139,TTSSKĐ!AP139)))</f>
        <v>0</v>
      </c>
    </row>
    <row r="140" spans="1:12">
      <c r="A140">
        <f>SUMPRODUCT((MONTH(CHOOSE({1,2,3,4},TTSSKĐ!U140,TTSSKĐ!AA140,TTSSKĐ!AG140,TTSSKĐ!AM140))=1)*(CHOOSE({1,2,3,4},TTSSKĐ!X140,TTSSKĐ!AD140,TTSSKĐ!AJ140,TTSSKĐ!AP140)))</f>
        <v>0</v>
      </c>
      <c r="B140">
        <f>SUMPRODUCT((MONTH(CHOOSE({1,2,3,4},TTSSKĐ!U140,TTSSKĐ!AA140,TTSSKĐ!AG140,TTSSKĐ!AM140))=2)*(CHOOSE({1,2,3,4},TTSSKĐ!X140,TTSSKĐ!AD140,TTSSKĐ!AJ140,TTSSKĐ!AP140)))</f>
        <v>0</v>
      </c>
      <c r="C140">
        <f>SUMPRODUCT((MONTH(CHOOSE({1,2,3,4},TTSSKĐ!U140,TTSSKĐ!AA140,TTSSKĐ!AG140,TTSSKĐ!AM140))=3)*(CHOOSE({1,2,3,4},TTSSKĐ!X140,TTSSKĐ!AD140,TTSSKĐ!AJ140,TTSSKĐ!AP140)))</f>
        <v>0</v>
      </c>
      <c r="D140">
        <f>SUMPRODUCT((MONTH(CHOOSE({1,2,3,4},TTSSKĐ!U140,TTSSKĐ!AA140,TTSSKĐ!AG140,TTSSKĐ!AM140))=4)*(CHOOSE({1,2,3,4},TTSSKĐ!X140,TTSSKĐ!AD140,TTSSKĐ!AJ140,TTSSKĐ!AP140)))</f>
        <v>0</v>
      </c>
      <c r="E140">
        <f>SUMPRODUCT((MONTH(CHOOSE({1,2,3,4},TTSSKĐ!U140,TTSSKĐ!AA140,TTSSKĐ!AG140,TTSSKĐ!AM140))=5)*(CHOOSE({1,2,3,4},TTSSKĐ!X140,TTSSKĐ!AD140,TTSSKĐ!AJ140,TTSSKĐ!AP140)))</f>
        <v>0</v>
      </c>
      <c r="F140">
        <f>SUMPRODUCT((MONTH(CHOOSE({1,2,3,4},TTSSKĐ!U140,TTSSKĐ!AA140,TTSSKĐ!AG140,TTSSKĐ!AM140))=6)*(CHOOSE({1,2,3,4},TTSSKĐ!X140,TTSSKĐ!AD140,TTSSKĐ!AJ140,TTSSKĐ!AP140)))</f>
        <v>0</v>
      </c>
      <c r="G140">
        <f>SUMPRODUCT((MONTH(CHOOSE({1,2,3,4},TTSSKĐ!U140,TTSSKĐ!AA140,TTSSKĐ!AG140,TTSSKĐ!AM140))=7)*(CHOOSE({1,2,3,4},TTSSKĐ!X140,TTSSKĐ!AD140,TTSSKĐ!AJ140,TTSSKĐ!AP140)))</f>
        <v>0</v>
      </c>
      <c r="H140">
        <f>SUMPRODUCT((MONTH(CHOOSE({1,2,3,4},TTSSKĐ!U140,TTSSKĐ!AA140,TTSSKĐ!AG140,TTSSKĐ!AM140))=8)*(CHOOSE({1,2,3,4},TTSSKĐ!X140,TTSSKĐ!AD140,TTSSKĐ!AJ140,TTSSKĐ!AP140)))</f>
        <v>0</v>
      </c>
      <c r="I140">
        <f>SUMPRODUCT((MONTH(CHOOSE({1,2,3,4},TTSSKĐ!U140,TTSSKĐ!AA140,TTSSKĐ!AG140,TTSSKĐ!AM140))=9)*(CHOOSE({1,2,3,4},TTSSKĐ!X140,TTSSKĐ!AD140,TTSSKĐ!AJ140,TTSSKĐ!AP140)))</f>
        <v>0</v>
      </c>
      <c r="J140">
        <f>SUMPRODUCT((MONTH(CHOOSE({1,2,3,4},TTSSKĐ!U140,TTSSKĐ!AA140,TTSSKĐ!AG140,TTSSKĐ!AM140))=10)*(CHOOSE({1,2,3,4},TTSSKĐ!X140,TTSSKĐ!AD140,TTSSKĐ!AJ140,TTSSKĐ!AP140)))</f>
        <v>0</v>
      </c>
      <c r="K140">
        <f>SUMPRODUCT((MONTH(CHOOSE({1,2,3,4},TTSSKĐ!U140,TTSSKĐ!AA140,TTSSKĐ!AG140,TTSSKĐ!AM140))=11)*(CHOOSE({1,2,3,4},TTSSKĐ!X140,TTSSKĐ!AD140,TTSSKĐ!AJ140,TTSSKĐ!AP140)))</f>
        <v>0</v>
      </c>
      <c r="L140">
        <f>SUMPRODUCT((MONTH(CHOOSE({1,2,3,4},TTSSKĐ!U140,TTSSKĐ!AA140,TTSSKĐ!AG140,TTSSKĐ!AM140))=12)*(CHOOSE({1,2,3,4},TTSSKĐ!X140,TTSSKĐ!AD140,TTSSKĐ!AJ140,TTSSKĐ!AP140)))</f>
        <v>0</v>
      </c>
    </row>
    <row r="141" spans="1:12">
      <c r="A141">
        <f>SUMPRODUCT((MONTH(CHOOSE({1,2,3,4},TTSSKĐ!U141,TTSSKĐ!AA141,TTSSKĐ!AG141,TTSSKĐ!AM141))=1)*(CHOOSE({1,2,3,4},TTSSKĐ!X141,TTSSKĐ!AD141,TTSSKĐ!AJ141,TTSSKĐ!AP141)))</f>
        <v>0</v>
      </c>
      <c r="B141">
        <f>SUMPRODUCT((MONTH(CHOOSE({1,2,3,4},TTSSKĐ!U141,TTSSKĐ!AA141,TTSSKĐ!AG141,TTSSKĐ!AM141))=2)*(CHOOSE({1,2,3,4},TTSSKĐ!X141,TTSSKĐ!AD141,TTSSKĐ!AJ141,TTSSKĐ!AP141)))</f>
        <v>0</v>
      </c>
      <c r="C141">
        <f>SUMPRODUCT((MONTH(CHOOSE({1,2,3,4},TTSSKĐ!U141,TTSSKĐ!AA141,TTSSKĐ!AG141,TTSSKĐ!AM141))=3)*(CHOOSE({1,2,3,4},TTSSKĐ!X141,TTSSKĐ!AD141,TTSSKĐ!AJ141,TTSSKĐ!AP141)))</f>
        <v>0</v>
      </c>
      <c r="D141">
        <f>SUMPRODUCT((MONTH(CHOOSE({1,2,3,4},TTSSKĐ!U141,TTSSKĐ!AA141,TTSSKĐ!AG141,TTSSKĐ!AM141))=4)*(CHOOSE({1,2,3,4},TTSSKĐ!X141,TTSSKĐ!AD141,TTSSKĐ!AJ141,TTSSKĐ!AP141)))</f>
        <v>0</v>
      </c>
      <c r="E141">
        <f>SUMPRODUCT((MONTH(CHOOSE({1,2,3,4},TTSSKĐ!U141,TTSSKĐ!AA141,TTSSKĐ!AG141,TTSSKĐ!AM141))=5)*(CHOOSE({1,2,3,4},TTSSKĐ!X141,TTSSKĐ!AD141,TTSSKĐ!AJ141,TTSSKĐ!AP141)))</f>
        <v>0</v>
      </c>
      <c r="F141">
        <f>SUMPRODUCT((MONTH(CHOOSE({1,2,3,4},TTSSKĐ!U141,TTSSKĐ!AA141,TTSSKĐ!AG141,TTSSKĐ!AM141))=6)*(CHOOSE({1,2,3,4},TTSSKĐ!X141,TTSSKĐ!AD141,TTSSKĐ!AJ141,TTSSKĐ!AP141)))</f>
        <v>0</v>
      </c>
      <c r="G141">
        <f>SUMPRODUCT((MONTH(CHOOSE({1,2,3,4},TTSSKĐ!U141,TTSSKĐ!AA141,TTSSKĐ!AG141,TTSSKĐ!AM141))=7)*(CHOOSE({1,2,3,4},TTSSKĐ!X141,TTSSKĐ!AD141,TTSSKĐ!AJ141,TTSSKĐ!AP141)))</f>
        <v>0</v>
      </c>
      <c r="H141">
        <f>SUMPRODUCT((MONTH(CHOOSE({1,2,3,4},TTSSKĐ!U141,TTSSKĐ!AA141,TTSSKĐ!AG141,TTSSKĐ!AM141))=8)*(CHOOSE({1,2,3,4},TTSSKĐ!X141,TTSSKĐ!AD141,TTSSKĐ!AJ141,TTSSKĐ!AP141)))</f>
        <v>0</v>
      </c>
      <c r="I141">
        <f>SUMPRODUCT((MONTH(CHOOSE({1,2,3,4},TTSSKĐ!U141,TTSSKĐ!AA141,TTSSKĐ!AG141,TTSSKĐ!AM141))=9)*(CHOOSE({1,2,3,4},TTSSKĐ!X141,TTSSKĐ!AD141,TTSSKĐ!AJ141,TTSSKĐ!AP141)))</f>
        <v>0</v>
      </c>
      <c r="J141">
        <f>SUMPRODUCT((MONTH(CHOOSE({1,2,3,4},TTSSKĐ!U141,TTSSKĐ!AA141,TTSSKĐ!AG141,TTSSKĐ!AM141))=10)*(CHOOSE({1,2,3,4},TTSSKĐ!X141,TTSSKĐ!AD141,TTSSKĐ!AJ141,TTSSKĐ!AP141)))</f>
        <v>0</v>
      </c>
      <c r="K141">
        <f>SUMPRODUCT((MONTH(CHOOSE({1,2,3,4},TTSSKĐ!U141,TTSSKĐ!AA141,TTSSKĐ!AG141,TTSSKĐ!AM141))=11)*(CHOOSE({1,2,3,4},TTSSKĐ!X141,TTSSKĐ!AD141,TTSSKĐ!AJ141,TTSSKĐ!AP141)))</f>
        <v>0</v>
      </c>
      <c r="L141">
        <f>SUMPRODUCT((MONTH(CHOOSE({1,2,3,4},TTSSKĐ!U141,TTSSKĐ!AA141,TTSSKĐ!AG141,TTSSKĐ!AM141))=12)*(CHOOSE({1,2,3,4},TTSSKĐ!X141,TTSSKĐ!AD141,TTSSKĐ!AJ141,TTSSKĐ!AP141)))</f>
        <v>0</v>
      </c>
    </row>
    <row r="142" spans="1:12">
      <c r="A142">
        <f>SUMPRODUCT((MONTH(CHOOSE({1,2,3,4},TTSSKĐ!U142,TTSSKĐ!AA142,TTSSKĐ!AG142,TTSSKĐ!AM142))=1)*(CHOOSE({1,2,3,4},TTSSKĐ!X142,TTSSKĐ!AD142,TTSSKĐ!AJ142,TTSSKĐ!AP142)))</f>
        <v>0</v>
      </c>
      <c r="B142">
        <f>SUMPRODUCT((MONTH(CHOOSE({1,2,3,4},TTSSKĐ!U142,TTSSKĐ!AA142,TTSSKĐ!AG142,TTSSKĐ!AM142))=2)*(CHOOSE({1,2,3,4},TTSSKĐ!X142,TTSSKĐ!AD142,TTSSKĐ!AJ142,TTSSKĐ!AP142)))</f>
        <v>0</v>
      </c>
      <c r="C142">
        <f>SUMPRODUCT((MONTH(CHOOSE({1,2,3,4},TTSSKĐ!U142,TTSSKĐ!AA142,TTSSKĐ!AG142,TTSSKĐ!AM142))=3)*(CHOOSE({1,2,3,4},TTSSKĐ!X142,TTSSKĐ!AD142,TTSSKĐ!AJ142,TTSSKĐ!AP142)))</f>
        <v>0</v>
      </c>
      <c r="D142">
        <f>SUMPRODUCT((MONTH(CHOOSE({1,2,3,4},TTSSKĐ!U142,TTSSKĐ!AA142,TTSSKĐ!AG142,TTSSKĐ!AM142))=4)*(CHOOSE({1,2,3,4},TTSSKĐ!X142,TTSSKĐ!AD142,TTSSKĐ!AJ142,TTSSKĐ!AP142)))</f>
        <v>0</v>
      </c>
      <c r="E142">
        <f>SUMPRODUCT((MONTH(CHOOSE({1,2,3,4},TTSSKĐ!U142,TTSSKĐ!AA142,TTSSKĐ!AG142,TTSSKĐ!AM142))=5)*(CHOOSE({1,2,3,4},TTSSKĐ!X142,TTSSKĐ!AD142,TTSSKĐ!AJ142,TTSSKĐ!AP142)))</f>
        <v>0</v>
      </c>
      <c r="F142">
        <f>SUMPRODUCT((MONTH(CHOOSE({1,2,3,4},TTSSKĐ!U142,TTSSKĐ!AA142,TTSSKĐ!AG142,TTSSKĐ!AM142))=6)*(CHOOSE({1,2,3,4},TTSSKĐ!X142,TTSSKĐ!AD142,TTSSKĐ!AJ142,TTSSKĐ!AP142)))</f>
        <v>0</v>
      </c>
      <c r="G142">
        <f>SUMPRODUCT((MONTH(CHOOSE({1,2,3,4},TTSSKĐ!U142,TTSSKĐ!AA142,TTSSKĐ!AG142,TTSSKĐ!AM142))=7)*(CHOOSE({1,2,3,4},TTSSKĐ!X142,TTSSKĐ!AD142,TTSSKĐ!AJ142,TTSSKĐ!AP142)))</f>
        <v>0</v>
      </c>
      <c r="H142">
        <f>SUMPRODUCT((MONTH(CHOOSE({1,2,3,4},TTSSKĐ!U142,TTSSKĐ!AA142,TTSSKĐ!AG142,TTSSKĐ!AM142))=8)*(CHOOSE({1,2,3,4},TTSSKĐ!X142,TTSSKĐ!AD142,TTSSKĐ!AJ142,TTSSKĐ!AP142)))</f>
        <v>0</v>
      </c>
      <c r="I142">
        <f>SUMPRODUCT((MONTH(CHOOSE({1,2,3,4},TTSSKĐ!U142,TTSSKĐ!AA142,TTSSKĐ!AG142,TTSSKĐ!AM142))=9)*(CHOOSE({1,2,3,4},TTSSKĐ!X142,TTSSKĐ!AD142,TTSSKĐ!AJ142,TTSSKĐ!AP142)))</f>
        <v>0</v>
      </c>
      <c r="J142">
        <f>SUMPRODUCT((MONTH(CHOOSE({1,2,3,4},TTSSKĐ!U142,TTSSKĐ!AA142,TTSSKĐ!AG142,TTSSKĐ!AM142))=10)*(CHOOSE({1,2,3,4},TTSSKĐ!X142,TTSSKĐ!AD142,TTSSKĐ!AJ142,TTSSKĐ!AP142)))</f>
        <v>0</v>
      </c>
      <c r="K142">
        <f>SUMPRODUCT((MONTH(CHOOSE({1,2,3,4},TTSSKĐ!U142,TTSSKĐ!AA142,TTSSKĐ!AG142,TTSSKĐ!AM142))=11)*(CHOOSE({1,2,3,4},TTSSKĐ!X142,TTSSKĐ!AD142,TTSSKĐ!AJ142,TTSSKĐ!AP142)))</f>
        <v>0</v>
      </c>
      <c r="L142">
        <f>SUMPRODUCT((MONTH(CHOOSE({1,2,3,4},TTSSKĐ!U142,TTSSKĐ!AA142,TTSSKĐ!AG142,TTSSKĐ!AM142))=12)*(CHOOSE({1,2,3,4},TTSSKĐ!X142,TTSSKĐ!AD142,TTSSKĐ!AJ142,TTSSKĐ!AP142)))</f>
        <v>0</v>
      </c>
    </row>
    <row r="143" spans="1:12">
      <c r="A143">
        <f>SUMPRODUCT((MONTH(CHOOSE({1,2,3,4},TTSSKĐ!U143,TTSSKĐ!AA143,TTSSKĐ!AG143,TTSSKĐ!AM143))=1)*(CHOOSE({1,2,3,4},TTSSKĐ!X143,TTSSKĐ!AD143,TTSSKĐ!AJ143,TTSSKĐ!AP143)))</f>
        <v>0</v>
      </c>
      <c r="B143">
        <f>SUMPRODUCT((MONTH(CHOOSE({1,2,3,4},TTSSKĐ!U143,TTSSKĐ!AA143,TTSSKĐ!AG143,TTSSKĐ!AM143))=2)*(CHOOSE({1,2,3,4},TTSSKĐ!X143,TTSSKĐ!AD143,TTSSKĐ!AJ143,TTSSKĐ!AP143)))</f>
        <v>0</v>
      </c>
      <c r="C143">
        <f>SUMPRODUCT((MONTH(CHOOSE({1,2,3,4},TTSSKĐ!U143,TTSSKĐ!AA143,TTSSKĐ!AG143,TTSSKĐ!AM143))=3)*(CHOOSE({1,2,3,4},TTSSKĐ!X143,TTSSKĐ!AD143,TTSSKĐ!AJ143,TTSSKĐ!AP143)))</f>
        <v>0</v>
      </c>
      <c r="D143">
        <f>SUMPRODUCT((MONTH(CHOOSE({1,2,3,4},TTSSKĐ!U143,TTSSKĐ!AA143,TTSSKĐ!AG143,TTSSKĐ!AM143))=4)*(CHOOSE({1,2,3,4},TTSSKĐ!X143,TTSSKĐ!AD143,TTSSKĐ!AJ143,TTSSKĐ!AP143)))</f>
        <v>0</v>
      </c>
      <c r="E143">
        <f>SUMPRODUCT((MONTH(CHOOSE({1,2,3,4},TTSSKĐ!U143,TTSSKĐ!AA143,TTSSKĐ!AG143,TTSSKĐ!AM143))=5)*(CHOOSE({1,2,3,4},TTSSKĐ!X143,TTSSKĐ!AD143,TTSSKĐ!AJ143,TTSSKĐ!AP143)))</f>
        <v>0</v>
      </c>
      <c r="F143">
        <f>SUMPRODUCT((MONTH(CHOOSE({1,2,3,4},TTSSKĐ!U143,TTSSKĐ!AA143,TTSSKĐ!AG143,TTSSKĐ!AM143))=6)*(CHOOSE({1,2,3,4},TTSSKĐ!X143,TTSSKĐ!AD143,TTSSKĐ!AJ143,TTSSKĐ!AP143)))</f>
        <v>0</v>
      </c>
      <c r="G143">
        <f>SUMPRODUCT((MONTH(CHOOSE({1,2,3,4},TTSSKĐ!U143,TTSSKĐ!AA143,TTSSKĐ!AG143,TTSSKĐ!AM143))=7)*(CHOOSE({1,2,3,4},TTSSKĐ!X143,TTSSKĐ!AD143,TTSSKĐ!AJ143,TTSSKĐ!AP143)))</f>
        <v>0</v>
      </c>
      <c r="H143">
        <f>SUMPRODUCT((MONTH(CHOOSE({1,2,3,4},TTSSKĐ!U143,TTSSKĐ!AA143,TTSSKĐ!AG143,TTSSKĐ!AM143))=8)*(CHOOSE({1,2,3,4},TTSSKĐ!X143,TTSSKĐ!AD143,TTSSKĐ!AJ143,TTSSKĐ!AP143)))</f>
        <v>0</v>
      </c>
      <c r="I143">
        <f>SUMPRODUCT((MONTH(CHOOSE({1,2,3,4},TTSSKĐ!U143,TTSSKĐ!AA143,TTSSKĐ!AG143,TTSSKĐ!AM143))=9)*(CHOOSE({1,2,3,4},TTSSKĐ!X143,TTSSKĐ!AD143,TTSSKĐ!AJ143,TTSSKĐ!AP143)))</f>
        <v>0</v>
      </c>
      <c r="J143">
        <f>SUMPRODUCT((MONTH(CHOOSE({1,2,3,4},TTSSKĐ!U143,TTSSKĐ!AA143,TTSSKĐ!AG143,TTSSKĐ!AM143))=10)*(CHOOSE({1,2,3,4},TTSSKĐ!X143,TTSSKĐ!AD143,TTSSKĐ!AJ143,TTSSKĐ!AP143)))</f>
        <v>0</v>
      </c>
      <c r="K143">
        <f>SUMPRODUCT((MONTH(CHOOSE({1,2,3,4},TTSSKĐ!U143,TTSSKĐ!AA143,TTSSKĐ!AG143,TTSSKĐ!AM143))=11)*(CHOOSE({1,2,3,4},TTSSKĐ!X143,TTSSKĐ!AD143,TTSSKĐ!AJ143,TTSSKĐ!AP143)))</f>
        <v>0</v>
      </c>
      <c r="L143">
        <f>SUMPRODUCT((MONTH(CHOOSE({1,2,3,4},TTSSKĐ!U143,TTSSKĐ!AA143,TTSSKĐ!AG143,TTSSKĐ!AM143))=12)*(CHOOSE({1,2,3,4},TTSSKĐ!X143,TTSSKĐ!AD143,TTSSKĐ!AJ143,TTSSKĐ!AP143)))</f>
        <v>0</v>
      </c>
    </row>
    <row r="144" spans="1:12">
      <c r="A144">
        <f>SUMPRODUCT((MONTH(CHOOSE({1,2,3,4},TTSSKĐ!U144,TTSSKĐ!AA144,TTSSKĐ!AG144,TTSSKĐ!AM144))=1)*(CHOOSE({1,2,3,4},TTSSKĐ!X144,TTSSKĐ!AD144,TTSSKĐ!AJ144,TTSSKĐ!AP144)))</f>
        <v>0</v>
      </c>
      <c r="B144">
        <f>SUMPRODUCT((MONTH(CHOOSE({1,2,3,4},TTSSKĐ!U144,TTSSKĐ!AA144,TTSSKĐ!AG144,TTSSKĐ!AM144))=2)*(CHOOSE({1,2,3,4},TTSSKĐ!X144,TTSSKĐ!AD144,TTSSKĐ!AJ144,TTSSKĐ!AP144)))</f>
        <v>0</v>
      </c>
      <c r="C144">
        <f>SUMPRODUCT((MONTH(CHOOSE({1,2,3,4},TTSSKĐ!U144,TTSSKĐ!AA144,TTSSKĐ!AG144,TTSSKĐ!AM144))=3)*(CHOOSE({1,2,3,4},TTSSKĐ!X144,TTSSKĐ!AD144,TTSSKĐ!AJ144,TTSSKĐ!AP144)))</f>
        <v>0</v>
      </c>
      <c r="D144">
        <f>SUMPRODUCT((MONTH(CHOOSE({1,2,3,4},TTSSKĐ!U144,TTSSKĐ!AA144,TTSSKĐ!AG144,TTSSKĐ!AM144))=4)*(CHOOSE({1,2,3,4},TTSSKĐ!X144,TTSSKĐ!AD144,TTSSKĐ!AJ144,TTSSKĐ!AP144)))</f>
        <v>0</v>
      </c>
      <c r="E144">
        <f>SUMPRODUCT((MONTH(CHOOSE({1,2,3,4},TTSSKĐ!U144,TTSSKĐ!AA144,TTSSKĐ!AG144,TTSSKĐ!AM144))=5)*(CHOOSE({1,2,3,4},TTSSKĐ!X144,TTSSKĐ!AD144,TTSSKĐ!AJ144,TTSSKĐ!AP144)))</f>
        <v>0</v>
      </c>
      <c r="F144">
        <f>SUMPRODUCT((MONTH(CHOOSE({1,2,3,4},TTSSKĐ!U144,TTSSKĐ!AA144,TTSSKĐ!AG144,TTSSKĐ!AM144))=6)*(CHOOSE({1,2,3,4},TTSSKĐ!X144,TTSSKĐ!AD144,TTSSKĐ!AJ144,TTSSKĐ!AP144)))</f>
        <v>0</v>
      </c>
      <c r="G144">
        <f>SUMPRODUCT((MONTH(CHOOSE({1,2,3,4},TTSSKĐ!U144,TTSSKĐ!AA144,TTSSKĐ!AG144,TTSSKĐ!AM144))=7)*(CHOOSE({1,2,3,4},TTSSKĐ!X144,TTSSKĐ!AD144,TTSSKĐ!AJ144,TTSSKĐ!AP144)))</f>
        <v>0</v>
      </c>
      <c r="H144">
        <f>SUMPRODUCT((MONTH(CHOOSE({1,2,3,4},TTSSKĐ!U144,TTSSKĐ!AA144,TTSSKĐ!AG144,TTSSKĐ!AM144))=8)*(CHOOSE({1,2,3,4},TTSSKĐ!X144,TTSSKĐ!AD144,TTSSKĐ!AJ144,TTSSKĐ!AP144)))</f>
        <v>0</v>
      </c>
      <c r="I144">
        <f>SUMPRODUCT((MONTH(CHOOSE({1,2,3,4},TTSSKĐ!U144,TTSSKĐ!AA144,TTSSKĐ!AG144,TTSSKĐ!AM144))=9)*(CHOOSE({1,2,3,4},TTSSKĐ!X144,TTSSKĐ!AD144,TTSSKĐ!AJ144,TTSSKĐ!AP144)))</f>
        <v>0</v>
      </c>
      <c r="J144">
        <f>SUMPRODUCT((MONTH(CHOOSE({1,2,3,4},TTSSKĐ!U144,TTSSKĐ!AA144,TTSSKĐ!AG144,TTSSKĐ!AM144))=10)*(CHOOSE({1,2,3,4},TTSSKĐ!X144,TTSSKĐ!AD144,TTSSKĐ!AJ144,TTSSKĐ!AP144)))</f>
        <v>0</v>
      </c>
      <c r="K144">
        <f>SUMPRODUCT((MONTH(CHOOSE({1,2,3,4},TTSSKĐ!U144,TTSSKĐ!AA144,TTSSKĐ!AG144,TTSSKĐ!AM144))=11)*(CHOOSE({1,2,3,4},TTSSKĐ!X144,TTSSKĐ!AD144,TTSSKĐ!AJ144,TTSSKĐ!AP144)))</f>
        <v>0</v>
      </c>
      <c r="L144">
        <f>SUMPRODUCT((MONTH(CHOOSE({1,2,3,4},TTSSKĐ!U144,TTSSKĐ!AA144,TTSSKĐ!AG144,TTSSKĐ!AM144))=12)*(CHOOSE({1,2,3,4},TTSSKĐ!X144,TTSSKĐ!AD144,TTSSKĐ!AJ144,TTSSKĐ!AP144)))</f>
        <v>0</v>
      </c>
    </row>
    <row r="145" spans="1:12">
      <c r="A145">
        <f>SUMPRODUCT((MONTH(CHOOSE({1,2,3,4},TTSSKĐ!U145,TTSSKĐ!AA145,TTSSKĐ!AG145,TTSSKĐ!AM145))=1)*(CHOOSE({1,2,3,4},TTSSKĐ!X145,TTSSKĐ!AD145,TTSSKĐ!AJ145,TTSSKĐ!AP145)))</f>
        <v>0</v>
      </c>
      <c r="B145">
        <f>SUMPRODUCT((MONTH(CHOOSE({1,2,3,4},TTSSKĐ!U145,TTSSKĐ!AA145,TTSSKĐ!AG145,TTSSKĐ!AM145))=2)*(CHOOSE({1,2,3,4},TTSSKĐ!X145,TTSSKĐ!AD145,TTSSKĐ!AJ145,TTSSKĐ!AP145)))</f>
        <v>0</v>
      </c>
      <c r="C145">
        <f>SUMPRODUCT((MONTH(CHOOSE({1,2,3,4},TTSSKĐ!U145,TTSSKĐ!AA145,TTSSKĐ!AG145,TTSSKĐ!AM145))=3)*(CHOOSE({1,2,3,4},TTSSKĐ!X145,TTSSKĐ!AD145,TTSSKĐ!AJ145,TTSSKĐ!AP145)))</f>
        <v>0</v>
      </c>
      <c r="D145">
        <f>SUMPRODUCT((MONTH(CHOOSE({1,2,3,4},TTSSKĐ!U145,TTSSKĐ!AA145,TTSSKĐ!AG145,TTSSKĐ!AM145))=4)*(CHOOSE({1,2,3,4},TTSSKĐ!X145,TTSSKĐ!AD145,TTSSKĐ!AJ145,TTSSKĐ!AP145)))</f>
        <v>0</v>
      </c>
      <c r="E145">
        <f>SUMPRODUCT((MONTH(CHOOSE({1,2,3,4},TTSSKĐ!U145,TTSSKĐ!AA145,TTSSKĐ!AG145,TTSSKĐ!AM145))=5)*(CHOOSE({1,2,3,4},TTSSKĐ!X145,TTSSKĐ!AD145,TTSSKĐ!AJ145,TTSSKĐ!AP145)))</f>
        <v>0</v>
      </c>
      <c r="F145">
        <f>SUMPRODUCT((MONTH(CHOOSE({1,2,3,4},TTSSKĐ!U145,TTSSKĐ!AA145,TTSSKĐ!AG145,TTSSKĐ!AM145))=6)*(CHOOSE({1,2,3,4},TTSSKĐ!X145,TTSSKĐ!AD145,TTSSKĐ!AJ145,TTSSKĐ!AP145)))</f>
        <v>0</v>
      </c>
      <c r="G145">
        <f>SUMPRODUCT((MONTH(CHOOSE({1,2,3,4},TTSSKĐ!U145,TTSSKĐ!AA145,TTSSKĐ!AG145,TTSSKĐ!AM145))=7)*(CHOOSE({1,2,3,4},TTSSKĐ!X145,TTSSKĐ!AD145,TTSSKĐ!AJ145,TTSSKĐ!AP145)))</f>
        <v>0</v>
      </c>
      <c r="H145">
        <f>SUMPRODUCT((MONTH(CHOOSE({1,2,3,4},TTSSKĐ!U145,TTSSKĐ!AA145,TTSSKĐ!AG145,TTSSKĐ!AM145))=8)*(CHOOSE({1,2,3,4},TTSSKĐ!X145,TTSSKĐ!AD145,TTSSKĐ!AJ145,TTSSKĐ!AP145)))</f>
        <v>0</v>
      </c>
      <c r="I145">
        <f>SUMPRODUCT((MONTH(CHOOSE({1,2,3,4},TTSSKĐ!U145,TTSSKĐ!AA145,TTSSKĐ!AG145,TTSSKĐ!AM145))=9)*(CHOOSE({1,2,3,4},TTSSKĐ!X145,TTSSKĐ!AD145,TTSSKĐ!AJ145,TTSSKĐ!AP145)))</f>
        <v>0</v>
      </c>
      <c r="J145">
        <f>SUMPRODUCT((MONTH(CHOOSE({1,2,3,4},TTSSKĐ!U145,TTSSKĐ!AA145,TTSSKĐ!AG145,TTSSKĐ!AM145))=10)*(CHOOSE({1,2,3,4},TTSSKĐ!X145,TTSSKĐ!AD145,TTSSKĐ!AJ145,TTSSKĐ!AP145)))</f>
        <v>0</v>
      </c>
      <c r="K145">
        <f>SUMPRODUCT((MONTH(CHOOSE({1,2,3,4},TTSSKĐ!U145,TTSSKĐ!AA145,TTSSKĐ!AG145,TTSSKĐ!AM145))=11)*(CHOOSE({1,2,3,4},TTSSKĐ!X145,TTSSKĐ!AD145,TTSSKĐ!AJ145,TTSSKĐ!AP145)))</f>
        <v>0</v>
      </c>
      <c r="L145">
        <f>SUMPRODUCT((MONTH(CHOOSE({1,2,3,4},TTSSKĐ!U145,TTSSKĐ!AA145,TTSSKĐ!AG145,TTSSKĐ!AM145))=12)*(CHOOSE({1,2,3,4},TTSSKĐ!X145,TTSSKĐ!AD145,TTSSKĐ!AJ145,TTSSKĐ!AP145)))</f>
        <v>0</v>
      </c>
    </row>
    <row r="146" spans="1:12">
      <c r="A146">
        <f>SUMPRODUCT((MONTH(CHOOSE({1,2,3,4},TTSSKĐ!U146,TTSSKĐ!AA146,TTSSKĐ!AG146,TTSSKĐ!AM146))=1)*(CHOOSE({1,2,3,4},TTSSKĐ!X146,TTSSKĐ!AD146,TTSSKĐ!AJ146,TTSSKĐ!AP146)))</f>
        <v>0</v>
      </c>
      <c r="B146">
        <f>SUMPRODUCT((MONTH(CHOOSE({1,2,3,4},TTSSKĐ!U146,TTSSKĐ!AA146,TTSSKĐ!AG146,TTSSKĐ!AM146))=2)*(CHOOSE({1,2,3,4},TTSSKĐ!X146,TTSSKĐ!AD146,TTSSKĐ!AJ146,TTSSKĐ!AP146)))</f>
        <v>0</v>
      </c>
      <c r="C146">
        <f>SUMPRODUCT((MONTH(CHOOSE({1,2,3,4},TTSSKĐ!U146,TTSSKĐ!AA146,TTSSKĐ!AG146,TTSSKĐ!AM146))=3)*(CHOOSE({1,2,3,4},TTSSKĐ!X146,TTSSKĐ!AD146,TTSSKĐ!AJ146,TTSSKĐ!AP146)))</f>
        <v>0</v>
      </c>
      <c r="D146">
        <f>SUMPRODUCT((MONTH(CHOOSE({1,2,3,4},TTSSKĐ!U146,TTSSKĐ!AA146,TTSSKĐ!AG146,TTSSKĐ!AM146))=4)*(CHOOSE({1,2,3,4},TTSSKĐ!X146,TTSSKĐ!AD146,TTSSKĐ!AJ146,TTSSKĐ!AP146)))</f>
        <v>0</v>
      </c>
      <c r="E146">
        <f>SUMPRODUCT((MONTH(CHOOSE({1,2,3,4},TTSSKĐ!U146,TTSSKĐ!AA146,TTSSKĐ!AG146,TTSSKĐ!AM146))=5)*(CHOOSE({1,2,3,4},TTSSKĐ!X146,TTSSKĐ!AD146,TTSSKĐ!AJ146,TTSSKĐ!AP146)))</f>
        <v>0</v>
      </c>
      <c r="F146">
        <f>SUMPRODUCT((MONTH(CHOOSE({1,2,3,4},TTSSKĐ!U146,TTSSKĐ!AA146,TTSSKĐ!AG146,TTSSKĐ!AM146))=6)*(CHOOSE({1,2,3,4},TTSSKĐ!X146,TTSSKĐ!AD146,TTSSKĐ!AJ146,TTSSKĐ!AP146)))</f>
        <v>0</v>
      </c>
      <c r="G146">
        <f>SUMPRODUCT((MONTH(CHOOSE({1,2,3,4},TTSSKĐ!U146,TTSSKĐ!AA146,TTSSKĐ!AG146,TTSSKĐ!AM146))=7)*(CHOOSE({1,2,3,4},TTSSKĐ!X146,TTSSKĐ!AD146,TTSSKĐ!AJ146,TTSSKĐ!AP146)))</f>
        <v>0</v>
      </c>
      <c r="H146">
        <f>SUMPRODUCT((MONTH(CHOOSE({1,2,3,4},TTSSKĐ!U146,TTSSKĐ!AA146,TTSSKĐ!AG146,TTSSKĐ!AM146))=8)*(CHOOSE({1,2,3,4},TTSSKĐ!X146,TTSSKĐ!AD146,TTSSKĐ!AJ146,TTSSKĐ!AP146)))</f>
        <v>0</v>
      </c>
      <c r="I146">
        <f>SUMPRODUCT((MONTH(CHOOSE({1,2,3,4},TTSSKĐ!U146,TTSSKĐ!AA146,TTSSKĐ!AG146,TTSSKĐ!AM146))=9)*(CHOOSE({1,2,3,4},TTSSKĐ!X146,TTSSKĐ!AD146,TTSSKĐ!AJ146,TTSSKĐ!AP146)))</f>
        <v>0</v>
      </c>
      <c r="J146">
        <f>SUMPRODUCT((MONTH(CHOOSE({1,2,3,4},TTSSKĐ!U146,TTSSKĐ!AA146,TTSSKĐ!AG146,TTSSKĐ!AM146))=10)*(CHOOSE({1,2,3,4},TTSSKĐ!X146,TTSSKĐ!AD146,TTSSKĐ!AJ146,TTSSKĐ!AP146)))</f>
        <v>0</v>
      </c>
      <c r="K146">
        <f>SUMPRODUCT((MONTH(CHOOSE({1,2,3,4},TTSSKĐ!U146,TTSSKĐ!AA146,TTSSKĐ!AG146,TTSSKĐ!AM146))=11)*(CHOOSE({1,2,3,4},TTSSKĐ!X146,TTSSKĐ!AD146,TTSSKĐ!AJ146,TTSSKĐ!AP146)))</f>
        <v>0</v>
      </c>
      <c r="L146">
        <f>SUMPRODUCT((MONTH(CHOOSE({1,2,3,4},TTSSKĐ!U146,TTSSKĐ!AA146,TTSSKĐ!AG146,TTSSKĐ!AM146))=12)*(CHOOSE({1,2,3,4},TTSSKĐ!X146,TTSSKĐ!AD146,TTSSKĐ!AJ146,TTSSKĐ!AP146)))</f>
        <v>0</v>
      </c>
    </row>
    <row r="147" spans="1:12">
      <c r="A147">
        <f>SUMPRODUCT((MONTH(CHOOSE({1,2,3,4},TTSSKĐ!U147,TTSSKĐ!AA147,TTSSKĐ!AG147,TTSSKĐ!AM147))=1)*(CHOOSE({1,2,3,4},TTSSKĐ!X147,TTSSKĐ!AD147,TTSSKĐ!AJ147,TTSSKĐ!AP147)))</f>
        <v>0</v>
      </c>
      <c r="B147">
        <f>SUMPRODUCT((MONTH(CHOOSE({1,2,3,4},TTSSKĐ!U147,TTSSKĐ!AA147,TTSSKĐ!AG147,TTSSKĐ!AM147))=2)*(CHOOSE({1,2,3,4},TTSSKĐ!X147,TTSSKĐ!AD147,TTSSKĐ!AJ147,TTSSKĐ!AP147)))</f>
        <v>0</v>
      </c>
      <c r="C147">
        <f>SUMPRODUCT((MONTH(CHOOSE({1,2,3,4},TTSSKĐ!U147,TTSSKĐ!AA147,TTSSKĐ!AG147,TTSSKĐ!AM147))=3)*(CHOOSE({1,2,3,4},TTSSKĐ!X147,TTSSKĐ!AD147,TTSSKĐ!AJ147,TTSSKĐ!AP147)))</f>
        <v>0</v>
      </c>
      <c r="D147">
        <f>SUMPRODUCT((MONTH(CHOOSE({1,2,3,4},TTSSKĐ!U147,TTSSKĐ!AA147,TTSSKĐ!AG147,TTSSKĐ!AM147))=4)*(CHOOSE({1,2,3,4},TTSSKĐ!X147,TTSSKĐ!AD147,TTSSKĐ!AJ147,TTSSKĐ!AP147)))</f>
        <v>0</v>
      </c>
      <c r="E147">
        <f>SUMPRODUCT((MONTH(CHOOSE({1,2,3,4},TTSSKĐ!U147,TTSSKĐ!AA147,TTSSKĐ!AG147,TTSSKĐ!AM147))=5)*(CHOOSE({1,2,3,4},TTSSKĐ!X147,TTSSKĐ!AD147,TTSSKĐ!AJ147,TTSSKĐ!AP147)))</f>
        <v>0</v>
      </c>
      <c r="F147">
        <f>SUMPRODUCT((MONTH(CHOOSE({1,2,3,4},TTSSKĐ!U147,TTSSKĐ!AA147,TTSSKĐ!AG147,TTSSKĐ!AM147))=6)*(CHOOSE({1,2,3,4},TTSSKĐ!X147,TTSSKĐ!AD147,TTSSKĐ!AJ147,TTSSKĐ!AP147)))</f>
        <v>0</v>
      </c>
      <c r="G147">
        <f>SUMPRODUCT((MONTH(CHOOSE({1,2,3,4},TTSSKĐ!U147,TTSSKĐ!AA147,TTSSKĐ!AG147,TTSSKĐ!AM147))=7)*(CHOOSE({1,2,3,4},TTSSKĐ!X147,TTSSKĐ!AD147,TTSSKĐ!AJ147,TTSSKĐ!AP147)))</f>
        <v>0</v>
      </c>
      <c r="H147">
        <f>SUMPRODUCT((MONTH(CHOOSE({1,2,3,4},TTSSKĐ!U147,TTSSKĐ!AA147,TTSSKĐ!AG147,TTSSKĐ!AM147))=8)*(CHOOSE({1,2,3,4},TTSSKĐ!X147,TTSSKĐ!AD147,TTSSKĐ!AJ147,TTSSKĐ!AP147)))</f>
        <v>0</v>
      </c>
      <c r="I147">
        <f>SUMPRODUCT((MONTH(CHOOSE({1,2,3,4},TTSSKĐ!U147,TTSSKĐ!AA147,TTSSKĐ!AG147,TTSSKĐ!AM147))=9)*(CHOOSE({1,2,3,4},TTSSKĐ!X147,TTSSKĐ!AD147,TTSSKĐ!AJ147,TTSSKĐ!AP147)))</f>
        <v>0</v>
      </c>
      <c r="J147">
        <f>SUMPRODUCT((MONTH(CHOOSE({1,2,3,4},TTSSKĐ!U147,TTSSKĐ!AA147,TTSSKĐ!AG147,TTSSKĐ!AM147))=10)*(CHOOSE({1,2,3,4},TTSSKĐ!X147,TTSSKĐ!AD147,TTSSKĐ!AJ147,TTSSKĐ!AP147)))</f>
        <v>0</v>
      </c>
      <c r="K147">
        <f>SUMPRODUCT((MONTH(CHOOSE({1,2,3,4},TTSSKĐ!U147,TTSSKĐ!AA147,TTSSKĐ!AG147,TTSSKĐ!AM147))=11)*(CHOOSE({1,2,3,4},TTSSKĐ!X147,TTSSKĐ!AD147,TTSSKĐ!AJ147,TTSSKĐ!AP147)))</f>
        <v>0</v>
      </c>
      <c r="L147">
        <f>SUMPRODUCT((MONTH(CHOOSE({1,2,3,4},TTSSKĐ!U147,TTSSKĐ!AA147,TTSSKĐ!AG147,TTSSKĐ!AM147))=12)*(CHOOSE({1,2,3,4},TTSSKĐ!X147,TTSSKĐ!AD147,TTSSKĐ!AJ147,TTSSKĐ!AP147)))</f>
        <v>0</v>
      </c>
    </row>
    <row r="148" spans="1:12">
      <c r="A148">
        <f>SUMPRODUCT((MONTH(CHOOSE({1,2,3,4},TTSSKĐ!U148,TTSSKĐ!AA148,TTSSKĐ!AG148,TTSSKĐ!AM148))=1)*(CHOOSE({1,2,3,4},TTSSKĐ!X148,TTSSKĐ!AD148,TTSSKĐ!AJ148,TTSSKĐ!AP148)))</f>
        <v>0</v>
      </c>
      <c r="B148">
        <f>SUMPRODUCT((MONTH(CHOOSE({1,2,3,4},TTSSKĐ!U148,TTSSKĐ!AA148,TTSSKĐ!AG148,TTSSKĐ!AM148))=2)*(CHOOSE({1,2,3,4},TTSSKĐ!X148,TTSSKĐ!AD148,TTSSKĐ!AJ148,TTSSKĐ!AP148)))</f>
        <v>0</v>
      </c>
      <c r="C148">
        <f>SUMPRODUCT((MONTH(CHOOSE({1,2,3,4},TTSSKĐ!U148,TTSSKĐ!AA148,TTSSKĐ!AG148,TTSSKĐ!AM148))=3)*(CHOOSE({1,2,3,4},TTSSKĐ!X148,TTSSKĐ!AD148,TTSSKĐ!AJ148,TTSSKĐ!AP148)))</f>
        <v>0</v>
      </c>
      <c r="D148">
        <f>SUMPRODUCT((MONTH(CHOOSE({1,2,3,4},TTSSKĐ!U148,TTSSKĐ!AA148,TTSSKĐ!AG148,TTSSKĐ!AM148))=4)*(CHOOSE({1,2,3,4},TTSSKĐ!X148,TTSSKĐ!AD148,TTSSKĐ!AJ148,TTSSKĐ!AP148)))</f>
        <v>0</v>
      </c>
      <c r="E148">
        <f>SUMPRODUCT((MONTH(CHOOSE({1,2,3,4},TTSSKĐ!U148,TTSSKĐ!AA148,TTSSKĐ!AG148,TTSSKĐ!AM148))=5)*(CHOOSE({1,2,3,4},TTSSKĐ!X148,TTSSKĐ!AD148,TTSSKĐ!AJ148,TTSSKĐ!AP148)))</f>
        <v>0</v>
      </c>
      <c r="F148">
        <f>SUMPRODUCT((MONTH(CHOOSE({1,2,3,4},TTSSKĐ!U148,TTSSKĐ!AA148,TTSSKĐ!AG148,TTSSKĐ!AM148))=6)*(CHOOSE({1,2,3,4},TTSSKĐ!X148,TTSSKĐ!AD148,TTSSKĐ!AJ148,TTSSKĐ!AP148)))</f>
        <v>0</v>
      </c>
      <c r="G148">
        <f>SUMPRODUCT((MONTH(CHOOSE({1,2,3,4},TTSSKĐ!U148,TTSSKĐ!AA148,TTSSKĐ!AG148,TTSSKĐ!AM148))=7)*(CHOOSE({1,2,3,4},TTSSKĐ!X148,TTSSKĐ!AD148,TTSSKĐ!AJ148,TTSSKĐ!AP148)))</f>
        <v>0</v>
      </c>
      <c r="H148">
        <f>SUMPRODUCT((MONTH(CHOOSE({1,2,3,4},TTSSKĐ!U148,TTSSKĐ!AA148,TTSSKĐ!AG148,TTSSKĐ!AM148))=8)*(CHOOSE({1,2,3,4},TTSSKĐ!X148,TTSSKĐ!AD148,TTSSKĐ!AJ148,TTSSKĐ!AP148)))</f>
        <v>0</v>
      </c>
      <c r="I148">
        <f>SUMPRODUCT((MONTH(CHOOSE({1,2,3,4},TTSSKĐ!U148,TTSSKĐ!AA148,TTSSKĐ!AG148,TTSSKĐ!AM148))=9)*(CHOOSE({1,2,3,4},TTSSKĐ!X148,TTSSKĐ!AD148,TTSSKĐ!AJ148,TTSSKĐ!AP148)))</f>
        <v>0</v>
      </c>
      <c r="J148">
        <f>SUMPRODUCT((MONTH(CHOOSE({1,2,3,4},TTSSKĐ!U148,TTSSKĐ!AA148,TTSSKĐ!AG148,TTSSKĐ!AM148))=10)*(CHOOSE({1,2,3,4},TTSSKĐ!X148,TTSSKĐ!AD148,TTSSKĐ!AJ148,TTSSKĐ!AP148)))</f>
        <v>0</v>
      </c>
      <c r="K148">
        <f>SUMPRODUCT((MONTH(CHOOSE({1,2,3,4},TTSSKĐ!U148,TTSSKĐ!AA148,TTSSKĐ!AG148,TTSSKĐ!AM148))=11)*(CHOOSE({1,2,3,4},TTSSKĐ!X148,TTSSKĐ!AD148,TTSSKĐ!AJ148,TTSSKĐ!AP148)))</f>
        <v>0</v>
      </c>
      <c r="L148">
        <f>SUMPRODUCT((MONTH(CHOOSE({1,2,3,4},TTSSKĐ!U148,TTSSKĐ!AA148,TTSSKĐ!AG148,TTSSKĐ!AM148))=12)*(CHOOSE({1,2,3,4},TTSSKĐ!X148,TTSSKĐ!AD148,TTSSKĐ!AJ148,TTSSKĐ!AP148)))</f>
        <v>0</v>
      </c>
    </row>
    <row r="149" spans="1:12">
      <c r="A149">
        <f>SUMPRODUCT((MONTH(CHOOSE({1,2,3,4},TTSSKĐ!U149,TTSSKĐ!AA149,TTSSKĐ!AG149,TTSSKĐ!AM149))=1)*(CHOOSE({1,2,3,4},TTSSKĐ!X149,TTSSKĐ!AD149,TTSSKĐ!AJ149,TTSSKĐ!AP149)))</f>
        <v>0</v>
      </c>
      <c r="B149">
        <f>SUMPRODUCT((MONTH(CHOOSE({1,2,3,4},TTSSKĐ!U149,TTSSKĐ!AA149,TTSSKĐ!AG149,TTSSKĐ!AM149))=2)*(CHOOSE({1,2,3,4},TTSSKĐ!X149,TTSSKĐ!AD149,TTSSKĐ!AJ149,TTSSKĐ!AP149)))</f>
        <v>0</v>
      </c>
      <c r="C149">
        <f>SUMPRODUCT((MONTH(CHOOSE({1,2,3,4},TTSSKĐ!U149,TTSSKĐ!AA149,TTSSKĐ!AG149,TTSSKĐ!AM149))=3)*(CHOOSE({1,2,3,4},TTSSKĐ!X149,TTSSKĐ!AD149,TTSSKĐ!AJ149,TTSSKĐ!AP149)))</f>
        <v>0</v>
      </c>
      <c r="D149">
        <f>SUMPRODUCT((MONTH(CHOOSE({1,2,3,4},TTSSKĐ!U149,TTSSKĐ!AA149,TTSSKĐ!AG149,TTSSKĐ!AM149))=4)*(CHOOSE({1,2,3,4},TTSSKĐ!X149,TTSSKĐ!AD149,TTSSKĐ!AJ149,TTSSKĐ!AP149)))</f>
        <v>0</v>
      </c>
      <c r="E149">
        <f>SUMPRODUCT((MONTH(CHOOSE({1,2,3,4},TTSSKĐ!U149,TTSSKĐ!AA149,TTSSKĐ!AG149,TTSSKĐ!AM149))=5)*(CHOOSE({1,2,3,4},TTSSKĐ!X149,TTSSKĐ!AD149,TTSSKĐ!AJ149,TTSSKĐ!AP149)))</f>
        <v>0</v>
      </c>
      <c r="F149">
        <f>SUMPRODUCT((MONTH(CHOOSE({1,2,3,4},TTSSKĐ!U149,TTSSKĐ!AA149,TTSSKĐ!AG149,TTSSKĐ!AM149))=6)*(CHOOSE({1,2,3,4},TTSSKĐ!X149,TTSSKĐ!AD149,TTSSKĐ!AJ149,TTSSKĐ!AP149)))</f>
        <v>0</v>
      </c>
      <c r="G149">
        <f>SUMPRODUCT((MONTH(CHOOSE({1,2,3,4},TTSSKĐ!U149,TTSSKĐ!AA149,TTSSKĐ!AG149,TTSSKĐ!AM149))=7)*(CHOOSE({1,2,3,4},TTSSKĐ!X149,TTSSKĐ!AD149,TTSSKĐ!AJ149,TTSSKĐ!AP149)))</f>
        <v>0</v>
      </c>
      <c r="H149">
        <f>SUMPRODUCT((MONTH(CHOOSE({1,2,3,4},TTSSKĐ!U149,TTSSKĐ!AA149,TTSSKĐ!AG149,TTSSKĐ!AM149))=8)*(CHOOSE({1,2,3,4},TTSSKĐ!X149,TTSSKĐ!AD149,TTSSKĐ!AJ149,TTSSKĐ!AP149)))</f>
        <v>0</v>
      </c>
      <c r="I149">
        <f>SUMPRODUCT((MONTH(CHOOSE({1,2,3,4},TTSSKĐ!U149,TTSSKĐ!AA149,TTSSKĐ!AG149,TTSSKĐ!AM149))=9)*(CHOOSE({1,2,3,4},TTSSKĐ!X149,TTSSKĐ!AD149,TTSSKĐ!AJ149,TTSSKĐ!AP149)))</f>
        <v>0</v>
      </c>
      <c r="J149">
        <f>SUMPRODUCT((MONTH(CHOOSE({1,2,3,4},TTSSKĐ!U149,TTSSKĐ!AA149,TTSSKĐ!AG149,TTSSKĐ!AM149))=10)*(CHOOSE({1,2,3,4},TTSSKĐ!X149,TTSSKĐ!AD149,TTSSKĐ!AJ149,TTSSKĐ!AP149)))</f>
        <v>0</v>
      </c>
      <c r="K149">
        <f>SUMPRODUCT((MONTH(CHOOSE({1,2,3,4},TTSSKĐ!U149,TTSSKĐ!AA149,TTSSKĐ!AG149,TTSSKĐ!AM149))=11)*(CHOOSE({1,2,3,4},TTSSKĐ!X149,TTSSKĐ!AD149,TTSSKĐ!AJ149,TTSSKĐ!AP149)))</f>
        <v>0</v>
      </c>
      <c r="L149">
        <f>SUMPRODUCT((MONTH(CHOOSE({1,2,3,4},TTSSKĐ!U149,TTSSKĐ!AA149,TTSSKĐ!AG149,TTSSKĐ!AM149))=12)*(CHOOSE({1,2,3,4},TTSSKĐ!X149,TTSSKĐ!AD149,TTSSKĐ!AJ149,TTSSKĐ!AP149)))</f>
        <v>0</v>
      </c>
    </row>
    <row r="150" spans="1:12">
      <c r="A150">
        <f>SUMPRODUCT((MONTH(CHOOSE({1,2,3,4},TTSSKĐ!U150,TTSSKĐ!AA150,TTSSKĐ!AG150,TTSSKĐ!AM150))=1)*(CHOOSE({1,2,3,4},TTSSKĐ!X150,TTSSKĐ!AD150,TTSSKĐ!AJ150,TTSSKĐ!AP150)))</f>
        <v>0</v>
      </c>
      <c r="B150">
        <f>SUMPRODUCT((MONTH(CHOOSE({1,2,3,4},TTSSKĐ!U150,TTSSKĐ!AA150,TTSSKĐ!AG150,TTSSKĐ!AM150))=2)*(CHOOSE({1,2,3,4},TTSSKĐ!X150,TTSSKĐ!AD150,TTSSKĐ!AJ150,TTSSKĐ!AP150)))</f>
        <v>0</v>
      </c>
      <c r="C150">
        <f>SUMPRODUCT((MONTH(CHOOSE({1,2,3,4},TTSSKĐ!U150,TTSSKĐ!AA150,TTSSKĐ!AG150,TTSSKĐ!AM150))=3)*(CHOOSE({1,2,3,4},TTSSKĐ!X150,TTSSKĐ!AD150,TTSSKĐ!AJ150,TTSSKĐ!AP150)))</f>
        <v>0</v>
      </c>
      <c r="D150">
        <f>SUMPRODUCT((MONTH(CHOOSE({1,2,3,4},TTSSKĐ!U150,TTSSKĐ!AA150,TTSSKĐ!AG150,TTSSKĐ!AM150))=4)*(CHOOSE({1,2,3,4},TTSSKĐ!X150,TTSSKĐ!AD150,TTSSKĐ!AJ150,TTSSKĐ!AP150)))</f>
        <v>0</v>
      </c>
      <c r="E150">
        <f>SUMPRODUCT((MONTH(CHOOSE({1,2,3,4},TTSSKĐ!U150,TTSSKĐ!AA150,TTSSKĐ!AG150,TTSSKĐ!AM150))=5)*(CHOOSE({1,2,3,4},TTSSKĐ!X150,TTSSKĐ!AD150,TTSSKĐ!AJ150,TTSSKĐ!AP150)))</f>
        <v>0</v>
      </c>
      <c r="F150">
        <f>SUMPRODUCT((MONTH(CHOOSE({1,2,3,4},TTSSKĐ!U150,TTSSKĐ!AA150,TTSSKĐ!AG150,TTSSKĐ!AM150))=6)*(CHOOSE({1,2,3,4},TTSSKĐ!X150,TTSSKĐ!AD150,TTSSKĐ!AJ150,TTSSKĐ!AP150)))</f>
        <v>0</v>
      </c>
      <c r="G150">
        <f>SUMPRODUCT((MONTH(CHOOSE({1,2,3,4},TTSSKĐ!U150,TTSSKĐ!AA150,TTSSKĐ!AG150,TTSSKĐ!AM150))=7)*(CHOOSE({1,2,3,4},TTSSKĐ!X150,TTSSKĐ!AD150,TTSSKĐ!AJ150,TTSSKĐ!AP150)))</f>
        <v>0</v>
      </c>
      <c r="H150">
        <f>SUMPRODUCT((MONTH(CHOOSE({1,2,3,4},TTSSKĐ!U150,TTSSKĐ!AA150,TTSSKĐ!AG150,TTSSKĐ!AM150))=8)*(CHOOSE({1,2,3,4},TTSSKĐ!X150,TTSSKĐ!AD150,TTSSKĐ!AJ150,TTSSKĐ!AP150)))</f>
        <v>0</v>
      </c>
      <c r="I150">
        <f>SUMPRODUCT((MONTH(CHOOSE({1,2,3,4},TTSSKĐ!U150,TTSSKĐ!AA150,TTSSKĐ!AG150,TTSSKĐ!AM150))=9)*(CHOOSE({1,2,3,4},TTSSKĐ!X150,TTSSKĐ!AD150,TTSSKĐ!AJ150,TTSSKĐ!AP150)))</f>
        <v>0</v>
      </c>
      <c r="J150">
        <f>SUMPRODUCT((MONTH(CHOOSE({1,2,3,4},TTSSKĐ!U150,TTSSKĐ!AA150,TTSSKĐ!AG150,TTSSKĐ!AM150))=10)*(CHOOSE({1,2,3,4},TTSSKĐ!X150,TTSSKĐ!AD150,TTSSKĐ!AJ150,TTSSKĐ!AP150)))</f>
        <v>0</v>
      </c>
      <c r="K150">
        <f>SUMPRODUCT((MONTH(CHOOSE({1,2,3,4},TTSSKĐ!U150,TTSSKĐ!AA150,TTSSKĐ!AG150,TTSSKĐ!AM150))=11)*(CHOOSE({1,2,3,4},TTSSKĐ!X150,TTSSKĐ!AD150,TTSSKĐ!AJ150,TTSSKĐ!AP150)))</f>
        <v>0</v>
      </c>
      <c r="L150">
        <f>SUMPRODUCT((MONTH(CHOOSE({1,2,3,4},TTSSKĐ!U150,TTSSKĐ!AA150,TTSSKĐ!AG150,TTSSKĐ!AM150))=12)*(CHOOSE({1,2,3,4},TTSSKĐ!X150,TTSSKĐ!AD150,TTSSKĐ!AJ150,TTSSKĐ!AP150)))</f>
        <v>0</v>
      </c>
    </row>
    <row r="151" spans="1:12">
      <c r="A151">
        <f>SUMPRODUCT((MONTH(CHOOSE({1,2,3,4},TTSSKĐ!U151,TTSSKĐ!AA151,TTSSKĐ!AG151,TTSSKĐ!AM151))=1)*(CHOOSE({1,2,3,4},TTSSKĐ!X151,TTSSKĐ!AD151,TTSSKĐ!AJ151,TTSSKĐ!AP151)))</f>
        <v>0</v>
      </c>
      <c r="B151">
        <f>SUMPRODUCT((MONTH(CHOOSE({1,2,3,4},TTSSKĐ!U151,TTSSKĐ!AA151,TTSSKĐ!AG151,TTSSKĐ!AM151))=2)*(CHOOSE({1,2,3,4},TTSSKĐ!X151,TTSSKĐ!AD151,TTSSKĐ!AJ151,TTSSKĐ!AP151)))</f>
        <v>0</v>
      </c>
      <c r="C151">
        <f>SUMPRODUCT((MONTH(CHOOSE({1,2,3,4},TTSSKĐ!U151,TTSSKĐ!AA151,TTSSKĐ!AG151,TTSSKĐ!AM151))=3)*(CHOOSE({1,2,3,4},TTSSKĐ!X151,TTSSKĐ!AD151,TTSSKĐ!AJ151,TTSSKĐ!AP151)))</f>
        <v>0</v>
      </c>
      <c r="D151">
        <f>SUMPRODUCT((MONTH(CHOOSE({1,2,3,4},TTSSKĐ!U151,TTSSKĐ!AA151,TTSSKĐ!AG151,TTSSKĐ!AM151))=4)*(CHOOSE({1,2,3,4},TTSSKĐ!X151,TTSSKĐ!AD151,TTSSKĐ!AJ151,TTSSKĐ!AP151)))</f>
        <v>0</v>
      </c>
      <c r="E151">
        <f>SUMPRODUCT((MONTH(CHOOSE({1,2,3,4},TTSSKĐ!U151,TTSSKĐ!AA151,TTSSKĐ!AG151,TTSSKĐ!AM151))=5)*(CHOOSE({1,2,3,4},TTSSKĐ!X151,TTSSKĐ!AD151,TTSSKĐ!AJ151,TTSSKĐ!AP151)))</f>
        <v>0</v>
      </c>
      <c r="F151">
        <f>SUMPRODUCT((MONTH(CHOOSE({1,2,3,4},TTSSKĐ!U151,TTSSKĐ!AA151,TTSSKĐ!AG151,TTSSKĐ!AM151))=6)*(CHOOSE({1,2,3,4},TTSSKĐ!X151,TTSSKĐ!AD151,TTSSKĐ!AJ151,TTSSKĐ!AP151)))</f>
        <v>0</v>
      </c>
      <c r="G151">
        <f>SUMPRODUCT((MONTH(CHOOSE({1,2,3,4},TTSSKĐ!U151,TTSSKĐ!AA151,TTSSKĐ!AG151,TTSSKĐ!AM151))=7)*(CHOOSE({1,2,3,4},TTSSKĐ!X151,TTSSKĐ!AD151,TTSSKĐ!AJ151,TTSSKĐ!AP151)))</f>
        <v>0</v>
      </c>
      <c r="H151">
        <f>SUMPRODUCT((MONTH(CHOOSE({1,2,3,4},TTSSKĐ!U151,TTSSKĐ!AA151,TTSSKĐ!AG151,TTSSKĐ!AM151))=8)*(CHOOSE({1,2,3,4},TTSSKĐ!X151,TTSSKĐ!AD151,TTSSKĐ!AJ151,TTSSKĐ!AP151)))</f>
        <v>0</v>
      </c>
      <c r="I151">
        <f>SUMPRODUCT((MONTH(CHOOSE({1,2,3,4},TTSSKĐ!U151,TTSSKĐ!AA151,TTSSKĐ!AG151,TTSSKĐ!AM151))=9)*(CHOOSE({1,2,3,4},TTSSKĐ!X151,TTSSKĐ!AD151,TTSSKĐ!AJ151,TTSSKĐ!AP151)))</f>
        <v>0</v>
      </c>
      <c r="J151">
        <f>SUMPRODUCT((MONTH(CHOOSE({1,2,3,4},TTSSKĐ!U151,TTSSKĐ!AA151,TTSSKĐ!AG151,TTSSKĐ!AM151))=10)*(CHOOSE({1,2,3,4},TTSSKĐ!X151,TTSSKĐ!AD151,TTSSKĐ!AJ151,TTSSKĐ!AP151)))</f>
        <v>0</v>
      </c>
      <c r="K151">
        <f>SUMPRODUCT((MONTH(CHOOSE({1,2,3,4},TTSSKĐ!U151,TTSSKĐ!AA151,TTSSKĐ!AG151,TTSSKĐ!AM151))=11)*(CHOOSE({1,2,3,4},TTSSKĐ!X151,TTSSKĐ!AD151,TTSSKĐ!AJ151,TTSSKĐ!AP151)))</f>
        <v>0</v>
      </c>
      <c r="L151">
        <f>SUMPRODUCT((MONTH(CHOOSE({1,2,3,4},TTSSKĐ!U151,TTSSKĐ!AA151,TTSSKĐ!AG151,TTSSKĐ!AM151))=12)*(CHOOSE({1,2,3,4},TTSSKĐ!X151,TTSSKĐ!AD151,TTSSKĐ!AJ151,TTSSKĐ!AP151)))</f>
        <v>0</v>
      </c>
    </row>
    <row r="152" spans="1:12">
      <c r="A152">
        <f>SUMPRODUCT((MONTH(CHOOSE({1,2,3,4},TTSSKĐ!U152,TTSSKĐ!AA152,TTSSKĐ!AG152,TTSSKĐ!AM152))=1)*(CHOOSE({1,2,3,4},TTSSKĐ!X152,TTSSKĐ!AD152,TTSSKĐ!AJ152,TTSSKĐ!AP152)))</f>
        <v>0</v>
      </c>
      <c r="B152">
        <f>SUMPRODUCT((MONTH(CHOOSE({1,2,3,4},TTSSKĐ!U152,TTSSKĐ!AA152,TTSSKĐ!AG152,TTSSKĐ!AM152))=2)*(CHOOSE({1,2,3,4},TTSSKĐ!X152,TTSSKĐ!AD152,TTSSKĐ!AJ152,TTSSKĐ!AP152)))</f>
        <v>0</v>
      </c>
      <c r="C152">
        <f>SUMPRODUCT((MONTH(CHOOSE({1,2,3,4},TTSSKĐ!U152,TTSSKĐ!AA152,TTSSKĐ!AG152,TTSSKĐ!AM152))=3)*(CHOOSE({1,2,3,4},TTSSKĐ!X152,TTSSKĐ!AD152,TTSSKĐ!AJ152,TTSSKĐ!AP152)))</f>
        <v>0</v>
      </c>
      <c r="D152">
        <f>SUMPRODUCT((MONTH(CHOOSE({1,2,3,4},TTSSKĐ!U152,TTSSKĐ!AA152,TTSSKĐ!AG152,TTSSKĐ!AM152))=4)*(CHOOSE({1,2,3,4},TTSSKĐ!X152,TTSSKĐ!AD152,TTSSKĐ!AJ152,TTSSKĐ!AP152)))</f>
        <v>0</v>
      </c>
      <c r="E152">
        <f>SUMPRODUCT((MONTH(CHOOSE({1,2,3,4},TTSSKĐ!U152,TTSSKĐ!AA152,TTSSKĐ!AG152,TTSSKĐ!AM152))=5)*(CHOOSE({1,2,3,4},TTSSKĐ!X152,TTSSKĐ!AD152,TTSSKĐ!AJ152,TTSSKĐ!AP152)))</f>
        <v>0</v>
      </c>
      <c r="F152">
        <f>SUMPRODUCT((MONTH(CHOOSE({1,2,3,4},TTSSKĐ!U152,TTSSKĐ!AA152,TTSSKĐ!AG152,TTSSKĐ!AM152))=6)*(CHOOSE({1,2,3,4},TTSSKĐ!X152,TTSSKĐ!AD152,TTSSKĐ!AJ152,TTSSKĐ!AP152)))</f>
        <v>0</v>
      </c>
      <c r="G152">
        <f>SUMPRODUCT((MONTH(CHOOSE({1,2,3,4},TTSSKĐ!U152,TTSSKĐ!AA152,TTSSKĐ!AG152,TTSSKĐ!AM152))=7)*(CHOOSE({1,2,3,4},TTSSKĐ!X152,TTSSKĐ!AD152,TTSSKĐ!AJ152,TTSSKĐ!AP152)))</f>
        <v>0</v>
      </c>
      <c r="H152">
        <f>SUMPRODUCT((MONTH(CHOOSE({1,2,3,4},TTSSKĐ!U152,TTSSKĐ!AA152,TTSSKĐ!AG152,TTSSKĐ!AM152))=8)*(CHOOSE({1,2,3,4},TTSSKĐ!X152,TTSSKĐ!AD152,TTSSKĐ!AJ152,TTSSKĐ!AP152)))</f>
        <v>0</v>
      </c>
      <c r="I152">
        <f>SUMPRODUCT((MONTH(CHOOSE({1,2,3,4},TTSSKĐ!U152,TTSSKĐ!AA152,TTSSKĐ!AG152,TTSSKĐ!AM152))=9)*(CHOOSE({1,2,3,4},TTSSKĐ!X152,TTSSKĐ!AD152,TTSSKĐ!AJ152,TTSSKĐ!AP152)))</f>
        <v>0</v>
      </c>
      <c r="J152">
        <f>SUMPRODUCT((MONTH(CHOOSE({1,2,3,4},TTSSKĐ!U152,TTSSKĐ!AA152,TTSSKĐ!AG152,TTSSKĐ!AM152))=10)*(CHOOSE({1,2,3,4},TTSSKĐ!X152,TTSSKĐ!AD152,TTSSKĐ!AJ152,TTSSKĐ!AP152)))</f>
        <v>0</v>
      </c>
      <c r="K152">
        <f>SUMPRODUCT((MONTH(CHOOSE({1,2,3,4},TTSSKĐ!U152,TTSSKĐ!AA152,TTSSKĐ!AG152,TTSSKĐ!AM152))=11)*(CHOOSE({1,2,3,4},TTSSKĐ!X152,TTSSKĐ!AD152,TTSSKĐ!AJ152,TTSSKĐ!AP152)))</f>
        <v>0</v>
      </c>
      <c r="L152">
        <f>SUMPRODUCT((MONTH(CHOOSE({1,2,3,4},TTSSKĐ!U152,TTSSKĐ!AA152,TTSSKĐ!AG152,TTSSKĐ!AM152))=12)*(CHOOSE({1,2,3,4},TTSSKĐ!X152,TTSSKĐ!AD152,TTSSKĐ!AJ152,TTSSKĐ!AP152)))</f>
        <v>0</v>
      </c>
    </row>
    <row r="153" spans="1:12">
      <c r="A153">
        <f>SUMPRODUCT((MONTH(CHOOSE({1,2,3,4},TTSSKĐ!U153,TTSSKĐ!AA153,TTSSKĐ!AG153,TTSSKĐ!AM153))=1)*(CHOOSE({1,2,3,4},TTSSKĐ!X153,TTSSKĐ!AD153,TTSSKĐ!AJ153,TTSSKĐ!AP153)))</f>
        <v>0</v>
      </c>
      <c r="B153">
        <f>SUMPRODUCT((MONTH(CHOOSE({1,2,3,4},TTSSKĐ!U153,TTSSKĐ!AA153,TTSSKĐ!AG153,TTSSKĐ!AM153))=2)*(CHOOSE({1,2,3,4},TTSSKĐ!X153,TTSSKĐ!AD153,TTSSKĐ!AJ153,TTSSKĐ!AP153)))</f>
        <v>0</v>
      </c>
      <c r="C153">
        <f>SUMPRODUCT((MONTH(CHOOSE({1,2,3,4},TTSSKĐ!U153,TTSSKĐ!AA153,TTSSKĐ!AG153,TTSSKĐ!AM153))=3)*(CHOOSE({1,2,3,4},TTSSKĐ!X153,TTSSKĐ!AD153,TTSSKĐ!AJ153,TTSSKĐ!AP153)))</f>
        <v>0</v>
      </c>
      <c r="D153">
        <f>SUMPRODUCT((MONTH(CHOOSE({1,2,3,4},TTSSKĐ!U153,TTSSKĐ!AA153,TTSSKĐ!AG153,TTSSKĐ!AM153))=4)*(CHOOSE({1,2,3,4},TTSSKĐ!X153,TTSSKĐ!AD153,TTSSKĐ!AJ153,TTSSKĐ!AP153)))</f>
        <v>0</v>
      </c>
      <c r="E153">
        <f>SUMPRODUCT((MONTH(CHOOSE({1,2,3,4},TTSSKĐ!U153,TTSSKĐ!AA153,TTSSKĐ!AG153,TTSSKĐ!AM153))=5)*(CHOOSE({1,2,3,4},TTSSKĐ!X153,TTSSKĐ!AD153,TTSSKĐ!AJ153,TTSSKĐ!AP153)))</f>
        <v>0</v>
      </c>
      <c r="F153">
        <f>SUMPRODUCT((MONTH(CHOOSE({1,2,3,4},TTSSKĐ!U153,TTSSKĐ!AA153,TTSSKĐ!AG153,TTSSKĐ!AM153))=6)*(CHOOSE({1,2,3,4},TTSSKĐ!X153,TTSSKĐ!AD153,TTSSKĐ!AJ153,TTSSKĐ!AP153)))</f>
        <v>0</v>
      </c>
      <c r="G153">
        <f>SUMPRODUCT((MONTH(CHOOSE({1,2,3,4},TTSSKĐ!U153,TTSSKĐ!AA153,TTSSKĐ!AG153,TTSSKĐ!AM153))=7)*(CHOOSE({1,2,3,4},TTSSKĐ!X153,TTSSKĐ!AD153,TTSSKĐ!AJ153,TTSSKĐ!AP153)))</f>
        <v>0</v>
      </c>
      <c r="H153">
        <f>SUMPRODUCT((MONTH(CHOOSE({1,2,3,4},TTSSKĐ!U153,TTSSKĐ!AA153,TTSSKĐ!AG153,TTSSKĐ!AM153))=8)*(CHOOSE({1,2,3,4},TTSSKĐ!X153,TTSSKĐ!AD153,TTSSKĐ!AJ153,TTSSKĐ!AP153)))</f>
        <v>0</v>
      </c>
      <c r="I153">
        <f>SUMPRODUCT((MONTH(CHOOSE({1,2,3,4},TTSSKĐ!U153,TTSSKĐ!AA153,TTSSKĐ!AG153,TTSSKĐ!AM153))=9)*(CHOOSE({1,2,3,4},TTSSKĐ!X153,TTSSKĐ!AD153,TTSSKĐ!AJ153,TTSSKĐ!AP153)))</f>
        <v>0</v>
      </c>
      <c r="J153">
        <f>SUMPRODUCT((MONTH(CHOOSE({1,2,3,4},TTSSKĐ!U153,TTSSKĐ!AA153,TTSSKĐ!AG153,TTSSKĐ!AM153))=10)*(CHOOSE({1,2,3,4},TTSSKĐ!X153,TTSSKĐ!AD153,TTSSKĐ!AJ153,TTSSKĐ!AP153)))</f>
        <v>0</v>
      </c>
      <c r="K153">
        <f>SUMPRODUCT((MONTH(CHOOSE({1,2,3,4},TTSSKĐ!U153,TTSSKĐ!AA153,TTSSKĐ!AG153,TTSSKĐ!AM153))=11)*(CHOOSE({1,2,3,4},TTSSKĐ!X153,TTSSKĐ!AD153,TTSSKĐ!AJ153,TTSSKĐ!AP153)))</f>
        <v>0</v>
      </c>
      <c r="L153">
        <f>SUMPRODUCT((MONTH(CHOOSE({1,2,3,4},TTSSKĐ!U153,TTSSKĐ!AA153,TTSSKĐ!AG153,TTSSKĐ!AM153))=12)*(CHOOSE({1,2,3,4},TTSSKĐ!X153,TTSSKĐ!AD153,TTSSKĐ!AJ153,TTSSKĐ!AP153)))</f>
        <v>0</v>
      </c>
    </row>
    <row r="154" spans="1:12">
      <c r="A154">
        <f>SUMPRODUCT((MONTH(CHOOSE({1,2,3,4},TTSSKĐ!U154,TTSSKĐ!AA154,TTSSKĐ!AG154,TTSSKĐ!AM154))=1)*(CHOOSE({1,2,3,4},TTSSKĐ!X154,TTSSKĐ!AD154,TTSSKĐ!AJ154,TTSSKĐ!AP154)))</f>
        <v>0</v>
      </c>
      <c r="B154">
        <f>SUMPRODUCT((MONTH(CHOOSE({1,2,3,4},TTSSKĐ!U154,TTSSKĐ!AA154,TTSSKĐ!AG154,TTSSKĐ!AM154))=2)*(CHOOSE({1,2,3,4},TTSSKĐ!X154,TTSSKĐ!AD154,TTSSKĐ!AJ154,TTSSKĐ!AP154)))</f>
        <v>0</v>
      </c>
      <c r="C154">
        <f>SUMPRODUCT((MONTH(CHOOSE({1,2,3,4},TTSSKĐ!U154,TTSSKĐ!AA154,TTSSKĐ!AG154,TTSSKĐ!AM154))=3)*(CHOOSE({1,2,3,4},TTSSKĐ!X154,TTSSKĐ!AD154,TTSSKĐ!AJ154,TTSSKĐ!AP154)))</f>
        <v>0</v>
      </c>
      <c r="D154">
        <f>SUMPRODUCT((MONTH(CHOOSE({1,2,3,4},TTSSKĐ!U154,TTSSKĐ!AA154,TTSSKĐ!AG154,TTSSKĐ!AM154))=4)*(CHOOSE({1,2,3,4},TTSSKĐ!X154,TTSSKĐ!AD154,TTSSKĐ!AJ154,TTSSKĐ!AP154)))</f>
        <v>0</v>
      </c>
      <c r="E154">
        <f>SUMPRODUCT((MONTH(CHOOSE({1,2,3,4},TTSSKĐ!U154,TTSSKĐ!AA154,TTSSKĐ!AG154,TTSSKĐ!AM154))=5)*(CHOOSE({1,2,3,4},TTSSKĐ!X154,TTSSKĐ!AD154,TTSSKĐ!AJ154,TTSSKĐ!AP154)))</f>
        <v>0</v>
      </c>
      <c r="F154">
        <f>SUMPRODUCT((MONTH(CHOOSE({1,2,3,4},TTSSKĐ!U154,TTSSKĐ!AA154,TTSSKĐ!AG154,TTSSKĐ!AM154))=6)*(CHOOSE({1,2,3,4},TTSSKĐ!X154,TTSSKĐ!AD154,TTSSKĐ!AJ154,TTSSKĐ!AP154)))</f>
        <v>0</v>
      </c>
      <c r="G154">
        <f>SUMPRODUCT((MONTH(CHOOSE({1,2,3,4},TTSSKĐ!U154,TTSSKĐ!AA154,TTSSKĐ!AG154,TTSSKĐ!AM154))=7)*(CHOOSE({1,2,3,4},TTSSKĐ!X154,TTSSKĐ!AD154,TTSSKĐ!AJ154,TTSSKĐ!AP154)))</f>
        <v>0</v>
      </c>
      <c r="H154">
        <f>SUMPRODUCT((MONTH(CHOOSE({1,2,3,4},TTSSKĐ!U154,TTSSKĐ!AA154,TTSSKĐ!AG154,TTSSKĐ!AM154))=8)*(CHOOSE({1,2,3,4},TTSSKĐ!X154,TTSSKĐ!AD154,TTSSKĐ!AJ154,TTSSKĐ!AP154)))</f>
        <v>0</v>
      </c>
      <c r="I154">
        <f>SUMPRODUCT((MONTH(CHOOSE({1,2,3,4},TTSSKĐ!U154,TTSSKĐ!AA154,TTSSKĐ!AG154,TTSSKĐ!AM154))=9)*(CHOOSE({1,2,3,4},TTSSKĐ!X154,TTSSKĐ!AD154,TTSSKĐ!AJ154,TTSSKĐ!AP154)))</f>
        <v>0</v>
      </c>
      <c r="J154">
        <f>SUMPRODUCT((MONTH(CHOOSE({1,2,3,4},TTSSKĐ!U154,TTSSKĐ!AA154,TTSSKĐ!AG154,TTSSKĐ!AM154))=10)*(CHOOSE({1,2,3,4},TTSSKĐ!X154,TTSSKĐ!AD154,TTSSKĐ!AJ154,TTSSKĐ!AP154)))</f>
        <v>0</v>
      </c>
      <c r="K154">
        <f>SUMPRODUCT((MONTH(CHOOSE({1,2,3,4},TTSSKĐ!U154,TTSSKĐ!AA154,TTSSKĐ!AG154,TTSSKĐ!AM154))=11)*(CHOOSE({1,2,3,4},TTSSKĐ!X154,TTSSKĐ!AD154,TTSSKĐ!AJ154,TTSSKĐ!AP154)))</f>
        <v>0</v>
      </c>
      <c r="L154">
        <f>SUMPRODUCT((MONTH(CHOOSE({1,2,3,4},TTSSKĐ!U154,TTSSKĐ!AA154,TTSSKĐ!AG154,TTSSKĐ!AM154))=12)*(CHOOSE({1,2,3,4},TTSSKĐ!X154,TTSSKĐ!AD154,TTSSKĐ!AJ154,TTSSKĐ!AP154)))</f>
        <v>0</v>
      </c>
    </row>
    <row r="155" spans="1:12">
      <c r="A155">
        <f>SUMPRODUCT((MONTH(CHOOSE({1,2,3,4},TTSSKĐ!U155,TTSSKĐ!AA155,TTSSKĐ!AG155,TTSSKĐ!AM155))=1)*(CHOOSE({1,2,3,4},TTSSKĐ!X155,TTSSKĐ!AD155,TTSSKĐ!AJ155,TTSSKĐ!AP155)))</f>
        <v>0</v>
      </c>
      <c r="B155">
        <f>SUMPRODUCT((MONTH(CHOOSE({1,2,3,4},TTSSKĐ!U155,TTSSKĐ!AA155,TTSSKĐ!AG155,TTSSKĐ!AM155))=2)*(CHOOSE({1,2,3,4},TTSSKĐ!X155,TTSSKĐ!AD155,TTSSKĐ!AJ155,TTSSKĐ!AP155)))</f>
        <v>0</v>
      </c>
      <c r="C155">
        <f>SUMPRODUCT((MONTH(CHOOSE({1,2,3,4},TTSSKĐ!U155,TTSSKĐ!AA155,TTSSKĐ!AG155,TTSSKĐ!AM155))=3)*(CHOOSE({1,2,3,4},TTSSKĐ!X155,TTSSKĐ!AD155,TTSSKĐ!AJ155,TTSSKĐ!AP155)))</f>
        <v>0</v>
      </c>
      <c r="D155">
        <f>SUMPRODUCT((MONTH(CHOOSE({1,2,3,4},TTSSKĐ!U155,TTSSKĐ!AA155,TTSSKĐ!AG155,TTSSKĐ!AM155))=4)*(CHOOSE({1,2,3,4},TTSSKĐ!X155,TTSSKĐ!AD155,TTSSKĐ!AJ155,TTSSKĐ!AP155)))</f>
        <v>0</v>
      </c>
      <c r="E155">
        <f>SUMPRODUCT((MONTH(CHOOSE({1,2,3,4},TTSSKĐ!U155,TTSSKĐ!AA155,TTSSKĐ!AG155,TTSSKĐ!AM155))=5)*(CHOOSE({1,2,3,4},TTSSKĐ!X155,TTSSKĐ!AD155,TTSSKĐ!AJ155,TTSSKĐ!AP155)))</f>
        <v>0</v>
      </c>
      <c r="F155">
        <f>SUMPRODUCT((MONTH(CHOOSE({1,2,3,4},TTSSKĐ!U155,TTSSKĐ!AA155,TTSSKĐ!AG155,TTSSKĐ!AM155))=6)*(CHOOSE({1,2,3,4},TTSSKĐ!X155,TTSSKĐ!AD155,TTSSKĐ!AJ155,TTSSKĐ!AP155)))</f>
        <v>0</v>
      </c>
      <c r="G155">
        <f>SUMPRODUCT((MONTH(CHOOSE({1,2,3,4},TTSSKĐ!U155,TTSSKĐ!AA155,TTSSKĐ!AG155,TTSSKĐ!AM155))=7)*(CHOOSE({1,2,3,4},TTSSKĐ!X155,TTSSKĐ!AD155,TTSSKĐ!AJ155,TTSSKĐ!AP155)))</f>
        <v>0</v>
      </c>
      <c r="H155">
        <f>SUMPRODUCT((MONTH(CHOOSE({1,2,3,4},TTSSKĐ!U155,TTSSKĐ!AA155,TTSSKĐ!AG155,TTSSKĐ!AM155))=8)*(CHOOSE({1,2,3,4},TTSSKĐ!X155,TTSSKĐ!AD155,TTSSKĐ!AJ155,TTSSKĐ!AP155)))</f>
        <v>0</v>
      </c>
      <c r="I155">
        <f>SUMPRODUCT((MONTH(CHOOSE({1,2,3,4},TTSSKĐ!U155,TTSSKĐ!AA155,TTSSKĐ!AG155,TTSSKĐ!AM155))=9)*(CHOOSE({1,2,3,4},TTSSKĐ!X155,TTSSKĐ!AD155,TTSSKĐ!AJ155,TTSSKĐ!AP155)))</f>
        <v>0</v>
      </c>
      <c r="J155">
        <f>SUMPRODUCT((MONTH(CHOOSE({1,2,3,4},TTSSKĐ!U155,TTSSKĐ!AA155,TTSSKĐ!AG155,TTSSKĐ!AM155))=10)*(CHOOSE({1,2,3,4},TTSSKĐ!X155,TTSSKĐ!AD155,TTSSKĐ!AJ155,TTSSKĐ!AP155)))</f>
        <v>0</v>
      </c>
      <c r="K155">
        <f>SUMPRODUCT((MONTH(CHOOSE({1,2,3,4},TTSSKĐ!U155,TTSSKĐ!AA155,TTSSKĐ!AG155,TTSSKĐ!AM155))=11)*(CHOOSE({1,2,3,4},TTSSKĐ!X155,TTSSKĐ!AD155,TTSSKĐ!AJ155,TTSSKĐ!AP155)))</f>
        <v>0</v>
      </c>
      <c r="L155">
        <f>SUMPRODUCT((MONTH(CHOOSE({1,2,3,4},TTSSKĐ!U155,TTSSKĐ!AA155,TTSSKĐ!AG155,TTSSKĐ!AM155))=12)*(CHOOSE({1,2,3,4},TTSSKĐ!X155,TTSSKĐ!AD155,TTSSKĐ!AJ155,TTSSKĐ!AP155)))</f>
        <v>0</v>
      </c>
    </row>
    <row r="156" spans="1:12">
      <c r="A156">
        <f>SUMPRODUCT((MONTH(CHOOSE({1,2,3,4},TTSSKĐ!U156,TTSSKĐ!AA156,TTSSKĐ!AG156,TTSSKĐ!AM156))=1)*(CHOOSE({1,2,3,4},TTSSKĐ!X156,TTSSKĐ!AD156,TTSSKĐ!AJ156,TTSSKĐ!AP156)))</f>
        <v>0</v>
      </c>
      <c r="B156">
        <f>SUMPRODUCT((MONTH(CHOOSE({1,2,3,4},TTSSKĐ!U156,TTSSKĐ!AA156,TTSSKĐ!AG156,TTSSKĐ!AM156))=2)*(CHOOSE({1,2,3,4},TTSSKĐ!X156,TTSSKĐ!AD156,TTSSKĐ!AJ156,TTSSKĐ!AP156)))</f>
        <v>0</v>
      </c>
      <c r="C156">
        <f>SUMPRODUCT((MONTH(CHOOSE({1,2,3,4},TTSSKĐ!U156,TTSSKĐ!AA156,TTSSKĐ!AG156,TTSSKĐ!AM156))=3)*(CHOOSE({1,2,3,4},TTSSKĐ!X156,TTSSKĐ!AD156,TTSSKĐ!AJ156,TTSSKĐ!AP156)))</f>
        <v>0</v>
      </c>
      <c r="D156">
        <f>SUMPRODUCT((MONTH(CHOOSE({1,2,3,4},TTSSKĐ!U156,TTSSKĐ!AA156,TTSSKĐ!AG156,TTSSKĐ!AM156))=4)*(CHOOSE({1,2,3,4},TTSSKĐ!X156,TTSSKĐ!AD156,TTSSKĐ!AJ156,TTSSKĐ!AP156)))</f>
        <v>0</v>
      </c>
      <c r="E156">
        <f>SUMPRODUCT((MONTH(CHOOSE({1,2,3,4},TTSSKĐ!U156,TTSSKĐ!AA156,TTSSKĐ!AG156,TTSSKĐ!AM156))=5)*(CHOOSE({1,2,3,4},TTSSKĐ!X156,TTSSKĐ!AD156,TTSSKĐ!AJ156,TTSSKĐ!AP156)))</f>
        <v>0</v>
      </c>
      <c r="F156">
        <f>SUMPRODUCT((MONTH(CHOOSE({1,2,3,4},TTSSKĐ!U156,TTSSKĐ!AA156,TTSSKĐ!AG156,TTSSKĐ!AM156))=6)*(CHOOSE({1,2,3,4},TTSSKĐ!X156,TTSSKĐ!AD156,TTSSKĐ!AJ156,TTSSKĐ!AP156)))</f>
        <v>0</v>
      </c>
      <c r="G156">
        <f>SUMPRODUCT((MONTH(CHOOSE({1,2,3,4},TTSSKĐ!U156,TTSSKĐ!AA156,TTSSKĐ!AG156,TTSSKĐ!AM156))=7)*(CHOOSE({1,2,3,4},TTSSKĐ!X156,TTSSKĐ!AD156,TTSSKĐ!AJ156,TTSSKĐ!AP156)))</f>
        <v>0</v>
      </c>
      <c r="H156">
        <f>SUMPRODUCT((MONTH(CHOOSE({1,2,3,4},TTSSKĐ!U156,TTSSKĐ!AA156,TTSSKĐ!AG156,TTSSKĐ!AM156))=8)*(CHOOSE({1,2,3,4},TTSSKĐ!X156,TTSSKĐ!AD156,TTSSKĐ!AJ156,TTSSKĐ!AP156)))</f>
        <v>0</v>
      </c>
      <c r="I156">
        <f>SUMPRODUCT((MONTH(CHOOSE({1,2,3,4},TTSSKĐ!U156,TTSSKĐ!AA156,TTSSKĐ!AG156,TTSSKĐ!AM156))=9)*(CHOOSE({1,2,3,4},TTSSKĐ!X156,TTSSKĐ!AD156,TTSSKĐ!AJ156,TTSSKĐ!AP156)))</f>
        <v>0</v>
      </c>
      <c r="J156">
        <f>SUMPRODUCT((MONTH(CHOOSE({1,2,3,4},TTSSKĐ!U156,TTSSKĐ!AA156,TTSSKĐ!AG156,TTSSKĐ!AM156))=10)*(CHOOSE({1,2,3,4},TTSSKĐ!X156,TTSSKĐ!AD156,TTSSKĐ!AJ156,TTSSKĐ!AP156)))</f>
        <v>0</v>
      </c>
      <c r="K156">
        <f>SUMPRODUCT((MONTH(CHOOSE({1,2,3,4},TTSSKĐ!U156,TTSSKĐ!AA156,TTSSKĐ!AG156,TTSSKĐ!AM156))=11)*(CHOOSE({1,2,3,4},TTSSKĐ!X156,TTSSKĐ!AD156,TTSSKĐ!AJ156,TTSSKĐ!AP156)))</f>
        <v>0</v>
      </c>
      <c r="L156">
        <f>SUMPRODUCT((MONTH(CHOOSE({1,2,3,4},TTSSKĐ!U156,TTSSKĐ!AA156,TTSSKĐ!AG156,TTSSKĐ!AM156))=12)*(CHOOSE({1,2,3,4},TTSSKĐ!X156,TTSSKĐ!AD156,TTSSKĐ!AJ156,TTSSKĐ!AP156)))</f>
        <v>0</v>
      </c>
    </row>
    <row r="157" spans="1:12">
      <c r="A157">
        <f>SUMPRODUCT((MONTH(CHOOSE({1,2,3,4},TTSSKĐ!U157,TTSSKĐ!AA157,TTSSKĐ!AG157,TTSSKĐ!AM157))=1)*(CHOOSE({1,2,3,4},TTSSKĐ!X157,TTSSKĐ!AD157,TTSSKĐ!AJ157,TTSSKĐ!AP157)))</f>
        <v>0</v>
      </c>
      <c r="B157">
        <f>SUMPRODUCT((MONTH(CHOOSE({1,2,3,4},TTSSKĐ!U157,TTSSKĐ!AA157,TTSSKĐ!AG157,TTSSKĐ!AM157))=2)*(CHOOSE({1,2,3,4},TTSSKĐ!X157,TTSSKĐ!AD157,TTSSKĐ!AJ157,TTSSKĐ!AP157)))</f>
        <v>0</v>
      </c>
      <c r="C157">
        <f>SUMPRODUCT((MONTH(CHOOSE({1,2,3,4},TTSSKĐ!U157,TTSSKĐ!AA157,TTSSKĐ!AG157,TTSSKĐ!AM157))=3)*(CHOOSE({1,2,3,4},TTSSKĐ!X157,TTSSKĐ!AD157,TTSSKĐ!AJ157,TTSSKĐ!AP157)))</f>
        <v>0</v>
      </c>
      <c r="D157">
        <f>SUMPRODUCT((MONTH(CHOOSE({1,2,3,4},TTSSKĐ!U157,TTSSKĐ!AA157,TTSSKĐ!AG157,TTSSKĐ!AM157))=4)*(CHOOSE({1,2,3,4},TTSSKĐ!X157,TTSSKĐ!AD157,TTSSKĐ!AJ157,TTSSKĐ!AP157)))</f>
        <v>0</v>
      </c>
      <c r="E157">
        <f>SUMPRODUCT((MONTH(CHOOSE({1,2,3,4},TTSSKĐ!U157,TTSSKĐ!AA157,TTSSKĐ!AG157,TTSSKĐ!AM157))=5)*(CHOOSE({1,2,3,4},TTSSKĐ!X157,TTSSKĐ!AD157,TTSSKĐ!AJ157,TTSSKĐ!AP157)))</f>
        <v>0</v>
      </c>
      <c r="F157">
        <f>SUMPRODUCT((MONTH(CHOOSE({1,2,3,4},TTSSKĐ!U157,TTSSKĐ!AA157,TTSSKĐ!AG157,TTSSKĐ!AM157))=6)*(CHOOSE({1,2,3,4},TTSSKĐ!X157,TTSSKĐ!AD157,TTSSKĐ!AJ157,TTSSKĐ!AP157)))</f>
        <v>0</v>
      </c>
      <c r="G157">
        <f>SUMPRODUCT((MONTH(CHOOSE({1,2,3,4},TTSSKĐ!U157,TTSSKĐ!AA157,TTSSKĐ!AG157,TTSSKĐ!AM157))=7)*(CHOOSE({1,2,3,4},TTSSKĐ!X157,TTSSKĐ!AD157,TTSSKĐ!AJ157,TTSSKĐ!AP157)))</f>
        <v>0</v>
      </c>
      <c r="H157">
        <f>SUMPRODUCT((MONTH(CHOOSE({1,2,3,4},TTSSKĐ!U157,TTSSKĐ!AA157,TTSSKĐ!AG157,TTSSKĐ!AM157))=8)*(CHOOSE({1,2,3,4},TTSSKĐ!X157,TTSSKĐ!AD157,TTSSKĐ!AJ157,TTSSKĐ!AP157)))</f>
        <v>0</v>
      </c>
      <c r="I157">
        <f>SUMPRODUCT((MONTH(CHOOSE({1,2,3,4},TTSSKĐ!U157,TTSSKĐ!AA157,TTSSKĐ!AG157,TTSSKĐ!AM157))=9)*(CHOOSE({1,2,3,4},TTSSKĐ!X157,TTSSKĐ!AD157,TTSSKĐ!AJ157,TTSSKĐ!AP157)))</f>
        <v>0</v>
      </c>
      <c r="J157">
        <f>SUMPRODUCT((MONTH(CHOOSE({1,2,3,4},TTSSKĐ!U157,TTSSKĐ!AA157,TTSSKĐ!AG157,TTSSKĐ!AM157))=10)*(CHOOSE({1,2,3,4},TTSSKĐ!X157,TTSSKĐ!AD157,TTSSKĐ!AJ157,TTSSKĐ!AP157)))</f>
        <v>0</v>
      </c>
      <c r="K157">
        <f>SUMPRODUCT((MONTH(CHOOSE({1,2,3,4},TTSSKĐ!U157,TTSSKĐ!AA157,TTSSKĐ!AG157,TTSSKĐ!AM157))=11)*(CHOOSE({1,2,3,4},TTSSKĐ!X157,TTSSKĐ!AD157,TTSSKĐ!AJ157,TTSSKĐ!AP157)))</f>
        <v>0</v>
      </c>
      <c r="L157">
        <f>SUMPRODUCT((MONTH(CHOOSE({1,2,3,4},TTSSKĐ!U157,TTSSKĐ!AA157,TTSSKĐ!AG157,TTSSKĐ!AM157))=12)*(CHOOSE({1,2,3,4},TTSSKĐ!X157,TTSSKĐ!AD157,TTSSKĐ!AJ157,TTSSKĐ!AP157)))</f>
        <v>0</v>
      </c>
    </row>
    <row r="158" spans="1:12">
      <c r="A158">
        <f>SUMPRODUCT((MONTH(CHOOSE({1,2,3,4},TTSSKĐ!U158,TTSSKĐ!AA158,TTSSKĐ!AG158,TTSSKĐ!AM158))=1)*(CHOOSE({1,2,3,4},TTSSKĐ!X158,TTSSKĐ!AD158,TTSSKĐ!AJ158,TTSSKĐ!AP158)))</f>
        <v>0</v>
      </c>
      <c r="B158">
        <f>SUMPRODUCT((MONTH(CHOOSE({1,2,3,4},TTSSKĐ!U158,TTSSKĐ!AA158,TTSSKĐ!AG158,TTSSKĐ!AM158))=2)*(CHOOSE({1,2,3,4},TTSSKĐ!X158,TTSSKĐ!AD158,TTSSKĐ!AJ158,TTSSKĐ!AP158)))</f>
        <v>0</v>
      </c>
      <c r="C158">
        <f>SUMPRODUCT((MONTH(CHOOSE({1,2,3,4},TTSSKĐ!U158,TTSSKĐ!AA158,TTSSKĐ!AG158,TTSSKĐ!AM158))=3)*(CHOOSE({1,2,3,4},TTSSKĐ!X158,TTSSKĐ!AD158,TTSSKĐ!AJ158,TTSSKĐ!AP158)))</f>
        <v>0</v>
      </c>
      <c r="D158">
        <f>SUMPRODUCT((MONTH(CHOOSE({1,2,3,4},TTSSKĐ!U158,TTSSKĐ!AA158,TTSSKĐ!AG158,TTSSKĐ!AM158))=4)*(CHOOSE({1,2,3,4},TTSSKĐ!X158,TTSSKĐ!AD158,TTSSKĐ!AJ158,TTSSKĐ!AP158)))</f>
        <v>0</v>
      </c>
      <c r="E158">
        <f>SUMPRODUCT((MONTH(CHOOSE({1,2,3,4},TTSSKĐ!U158,TTSSKĐ!AA158,TTSSKĐ!AG158,TTSSKĐ!AM158))=5)*(CHOOSE({1,2,3,4},TTSSKĐ!X158,TTSSKĐ!AD158,TTSSKĐ!AJ158,TTSSKĐ!AP158)))</f>
        <v>0</v>
      </c>
      <c r="F158">
        <f>SUMPRODUCT((MONTH(CHOOSE({1,2,3,4},TTSSKĐ!U158,TTSSKĐ!AA158,TTSSKĐ!AG158,TTSSKĐ!AM158))=6)*(CHOOSE({1,2,3,4},TTSSKĐ!X158,TTSSKĐ!AD158,TTSSKĐ!AJ158,TTSSKĐ!AP158)))</f>
        <v>0</v>
      </c>
      <c r="G158">
        <f>SUMPRODUCT((MONTH(CHOOSE({1,2,3,4},TTSSKĐ!U158,TTSSKĐ!AA158,TTSSKĐ!AG158,TTSSKĐ!AM158))=7)*(CHOOSE({1,2,3,4},TTSSKĐ!X158,TTSSKĐ!AD158,TTSSKĐ!AJ158,TTSSKĐ!AP158)))</f>
        <v>0</v>
      </c>
      <c r="H158">
        <f>SUMPRODUCT((MONTH(CHOOSE({1,2,3,4},TTSSKĐ!U158,TTSSKĐ!AA158,TTSSKĐ!AG158,TTSSKĐ!AM158))=8)*(CHOOSE({1,2,3,4},TTSSKĐ!X158,TTSSKĐ!AD158,TTSSKĐ!AJ158,TTSSKĐ!AP158)))</f>
        <v>0</v>
      </c>
      <c r="I158">
        <f>SUMPRODUCT((MONTH(CHOOSE({1,2,3,4},TTSSKĐ!U158,TTSSKĐ!AA158,TTSSKĐ!AG158,TTSSKĐ!AM158))=9)*(CHOOSE({1,2,3,4},TTSSKĐ!X158,TTSSKĐ!AD158,TTSSKĐ!AJ158,TTSSKĐ!AP158)))</f>
        <v>0</v>
      </c>
      <c r="J158">
        <f>SUMPRODUCT((MONTH(CHOOSE({1,2,3,4},TTSSKĐ!U158,TTSSKĐ!AA158,TTSSKĐ!AG158,TTSSKĐ!AM158))=10)*(CHOOSE({1,2,3,4},TTSSKĐ!X158,TTSSKĐ!AD158,TTSSKĐ!AJ158,TTSSKĐ!AP158)))</f>
        <v>0</v>
      </c>
      <c r="K158">
        <f>SUMPRODUCT((MONTH(CHOOSE({1,2,3,4},TTSSKĐ!U158,TTSSKĐ!AA158,TTSSKĐ!AG158,TTSSKĐ!AM158))=11)*(CHOOSE({1,2,3,4},TTSSKĐ!X158,TTSSKĐ!AD158,TTSSKĐ!AJ158,TTSSKĐ!AP158)))</f>
        <v>0</v>
      </c>
      <c r="L158">
        <f>SUMPRODUCT((MONTH(CHOOSE({1,2,3,4},TTSSKĐ!U158,TTSSKĐ!AA158,TTSSKĐ!AG158,TTSSKĐ!AM158))=12)*(CHOOSE({1,2,3,4},TTSSKĐ!X158,TTSSKĐ!AD158,TTSSKĐ!AJ158,TTSSKĐ!AP158)))</f>
        <v>0</v>
      </c>
    </row>
    <row r="159" spans="1:12">
      <c r="A159">
        <f>SUMPRODUCT((MONTH(CHOOSE({1,2,3,4},TTSSKĐ!U159,TTSSKĐ!AA159,TTSSKĐ!AG159,TTSSKĐ!AM159))=1)*(CHOOSE({1,2,3,4},TTSSKĐ!X159,TTSSKĐ!AD159,TTSSKĐ!AJ159,TTSSKĐ!AP159)))</f>
        <v>0</v>
      </c>
      <c r="B159">
        <f>SUMPRODUCT((MONTH(CHOOSE({1,2,3,4},TTSSKĐ!U159,TTSSKĐ!AA159,TTSSKĐ!AG159,TTSSKĐ!AM159))=2)*(CHOOSE({1,2,3,4},TTSSKĐ!X159,TTSSKĐ!AD159,TTSSKĐ!AJ159,TTSSKĐ!AP159)))</f>
        <v>0</v>
      </c>
      <c r="C159">
        <f>SUMPRODUCT((MONTH(CHOOSE({1,2,3,4},TTSSKĐ!U159,TTSSKĐ!AA159,TTSSKĐ!AG159,TTSSKĐ!AM159))=3)*(CHOOSE({1,2,3,4},TTSSKĐ!X159,TTSSKĐ!AD159,TTSSKĐ!AJ159,TTSSKĐ!AP159)))</f>
        <v>0</v>
      </c>
      <c r="D159">
        <f>SUMPRODUCT((MONTH(CHOOSE({1,2,3,4},TTSSKĐ!U159,TTSSKĐ!AA159,TTSSKĐ!AG159,TTSSKĐ!AM159))=4)*(CHOOSE({1,2,3,4},TTSSKĐ!X159,TTSSKĐ!AD159,TTSSKĐ!AJ159,TTSSKĐ!AP159)))</f>
        <v>0</v>
      </c>
      <c r="E159">
        <f>SUMPRODUCT((MONTH(CHOOSE({1,2,3,4},TTSSKĐ!U159,TTSSKĐ!AA159,TTSSKĐ!AG159,TTSSKĐ!AM159))=5)*(CHOOSE({1,2,3,4},TTSSKĐ!X159,TTSSKĐ!AD159,TTSSKĐ!AJ159,TTSSKĐ!AP159)))</f>
        <v>0</v>
      </c>
      <c r="F159">
        <f>SUMPRODUCT((MONTH(CHOOSE({1,2,3,4},TTSSKĐ!U159,TTSSKĐ!AA159,TTSSKĐ!AG159,TTSSKĐ!AM159))=6)*(CHOOSE({1,2,3,4},TTSSKĐ!X159,TTSSKĐ!AD159,TTSSKĐ!AJ159,TTSSKĐ!AP159)))</f>
        <v>0</v>
      </c>
      <c r="G159">
        <f>SUMPRODUCT((MONTH(CHOOSE({1,2,3,4},TTSSKĐ!U159,TTSSKĐ!AA159,TTSSKĐ!AG159,TTSSKĐ!AM159))=7)*(CHOOSE({1,2,3,4},TTSSKĐ!X159,TTSSKĐ!AD159,TTSSKĐ!AJ159,TTSSKĐ!AP159)))</f>
        <v>0</v>
      </c>
      <c r="H159">
        <f>SUMPRODUCT((MONTH(CHOOSE({1,2,3,4},TTSSKĐ!U159,TTSSKĐ!AA159,TTSSKĐ!AG159,TTSSKĐ!AM159))=8)*(CHOOSE({1,2,3,4},TTSSKĐ!X159,TTSSKĐ!AD159,TTSSKĐ!AJ159,TTSSKĐ!AP159)))</f>
        <v>0</v>
      </c>
      <c r="I159">
        <f>SUMPRODUCT((MONTH(CHOOSE({1,2,3,4},TTSSKĐ!U159,TTSSKĐ!AA159,TTSSKĐ!AG159,TTSSKĐ!AM159))=9)*(CHOOSE({1,2,3,4},TTSSKĐ!X159,TTSSKĐ!AD159,TTSSKĐ!AJ159,TTSSKĐ!AP159)))</f>
        <v>0</v>
      </c>
      <c r="J159">
        <f>SUMPRODUCT((MONTH(CHOOSE({1,2,3,4},TTSSKĐ!U159,TTSSKĐ!AA159,TTSSKĐ!AG159,TTSSKĐ!AM159))=10)*(CHOOSE({1,2,3,4},TTSSKĐ!X159,TTSSKĐ!AD159,TTSSKĐ!AJ159,TTSSKĐ!AP159)))</f>
        <v>0</v>
      </c>
      <c r="K159">
        <f>SUMPRODUCT((MONTH(CHOOSE({1,2,3,4},TTSSKĐ!U159,TTSSKĐ!AA159,TTSSKĐ!AG159,TTSSKĐ!AM159))=11)*(CHOOSE({1,2,3,4},TTSSKĐ!X159,TTSSKĐ!AD159,TTSSKĐ!AJ159,TTSSKĐ!AP159)))</f>
        <v>0</v>
      </c>
      <c r="L159">
        <f>SUMPRODUCT((MONTH(CHOOSE({1,2,3,4},TTSSKĐ!U159,TTSSKĐ!AA159,TTSSKĐ!AG159,TTSSKĐ!AM159))=12)*(CHOOSE({1,2,3,4},TTSSKĐ!X159,TTSSKĐ!AD159,TTSSKĐ!AJ159,TTSSKĐ!AP159)))</f>
        <v>0</v>
      </c>
    </row>
    <row r="160" spans="1:12">
      <c r="A160">
        <f>SUMPRODUCT((MONTH(CHOOSE({1,2,3,4},TTSSKĐ!U160,TTSSKĐ!AA160,TTSSKĐ!AG160,TTSSKĐ!AM160))=1)*(CHOOSE({1,2,3,4},TTSSKĐ!X160,TTSSKĐ!AD160,TTSSKĐ!AJ160,TTSSKĐ!AP160)))</f>
        <v>0</v>
      </c>
      <c r="B160">
        <f>SUMPRODUCT((MONTH(CHOOSE({1,2,3,4},TTSSKĐ!U160,TTSSKĐ!AA160,TTSSKĐ!AG160,TTSSKĐ!AM160))=2)*(CHOOSE({1,2,3,4},TTSSKĐ!X160,TTSSKĐ!AD160,TTSSKĐ!AJ160,TTSSKĐ!AP160)))</f>
        <v>0</v>
      </c>
      <c r="C160">
        <f>SUMPRODUCT((MONTH(CHOOSE({1,2,3,4},TTSSKĐ!U160,TTSSKĐ!AA160,TTSSKĐ!AG160,TTSSKĐ!AM160))=3)*(CHOOSE({1,2,3,4},TTSSKĐ!X160,TTSSKĐ!AD160,TTSSKĐ!AJ160,TTSSKĐ!AP160)))</f>
        <v>0</v>
      </c>
      <c r="D160">
        <f>SUMPRODUCT((MONTH(CHOOSE({1,2,3,4},TTSSKĐ!U160,TTSSKĐ!AA160,TTSSKĐ!AG160,TTSSKĐ!AM160))=4)*(CHOOSE({1,2,3,4},TTSSKĐ!X160,TTSSKĐ!AD160,TTSSKĐ!AJ160,TTSSKĐ!AP160)))</f>
        <v>0</v>
      </c>
      <c r="E160">
        <f>SUMPRODUCT((MONTH(CHOOSE({1,2,3,4},TTSSKĐ!U160,TTSSKĐ!AA160,TTSSKĐ!AG160,TTSSKĐ!AM160))=5)*(CHOOSE({1,2,3,4},TTSSKĐ!X160,TTSSKĐ!AD160,TTSSKĐ!AJ160,TTSSKĐ!AP160)))</f>
        <v>0</v>
      </c>
      <c r="F160">
        <f>SUMPRODUCT((MONTH(CHOOSE({1,2,3,4},TTSSKĐ!U160,TTSSKĐ!AA160,TTSSKĐ!AG160,TTSSKĐ!AM160))=6)*(CHOOSE({1,2,3,4},TTSSKĐ!X160,TTSSKĐ!AD160,TTSSKĐ!AJ160,TTSSKĐ!AP160)))</f>
        <v>0</v>
      </c>
      <c r="G160">
        <f>SUMPRODUCT((MONTH(CHOOSE({1,2,3,4},TTSSKĐ!U160,TTSSKĐ!AA160,TTSSKĐ!AG160,TTSSKĐ!AM160))=7)*(CHOOSE({1,2,3,4},TTSSKĐ!X160,TTSSKĐ!AD160,TTSSKĐ!AJ160,TTSSKĐ!AP160)))</f>
        <v>0</v>
      </c>
      <c r="H160">
        <f>SUMPRODUCT((MONTH(CHOOSE({1,2,3,4},TTSSKĐ!U160,TTSSKĐ!AA160,TTSSKĐ!AG160,TTSSKĐ!AM160))=8)*(CHOOSE({1,2,3,4},TTSSKĐ!X160,TTSSKĐ!AD160,TTSSKĐ!AJ160,TTSSKĐ!AP160)))</f>
        <v>0</v>
      </c>
      <c r="I160">
        <f>SUMPRODUCT((MONTH(CHOOSE({1,2,3,4},TTSSKĐ!U160,TTSSKĐ!AA160,TTSSKĐ!AG160,TTSSKĐ!AM160))=9)*(CHOOSE({1,2,3,4},TTSSKĐ!X160,TTSSKĐ!AD160,TTSSKĐ!AJ160,TTSSKĐ!AP160)))</f>
        <v>0</v>
      </c>
      <c r="J160">
        <f>SUMPRODUCT((MONTH(CHOOSE({1,2,3,4},TTSSKĐ!U160,TTSSKĐ!AA160,TTSSKĐ!AG160,TTSSKĐ!AM160))=10)*(CHOOSE({1,2,3,4},TTSSKĐ!X160,TTSSKĐ!AD160,TTSSKĐ!AJ160,TTSSKĐ!AP160)))</f>
        <v>0</v>
      </c>
      <c r="K160">
        <f>SUMPRODUCT((MONTH(CHOOSE({1,2,3,4},TTSSKĐ!U160,TTSSKĐ!AA160,TTSSKĐ!AG160,TTSSKĐ!AM160))=11)*(CHOOSE({1,2,3,4},TTSSKĐ!X160,TTSSKĐ!AD160,TTSSKĐ!AJ160,TTSSKĐ!AP160)))</f>
        <v>0</v>
      </c>
      <c r="L160">
        <f>SUMPRODUCT((MONTH(CHOOSE({1,2,3,4},TTSSKĐ!U160,TTSSKĐ!AA160,TTSSKĐ!AG160,TTSSKĐ!AM160))=12)*(CHOOSE({1,2,3,4},TTSSKĐ!X160,TTSSKĐ!AD160,TTSSKĐ!AJ160,TTSSKĐ!AP160)))</f>
        <v>0</v>
      </c>
    </row>
    <row r="161" spans="1:12">
      <c r="A161">
        <f>SUMPRODUCT((MONTH(CHOOSE({1,2,3,4},TTSSKĐ!U161,TTSSKĐ!AA161,TTSSKĐ!AG161,TTSSKĐ!AM161))=1)*(CHOOSE({1,2,3,4},TTSSKĐ!X161,TTSSKĐ!AD161,TTSSKĐ!AJ161,TTSSKĐ!AP161)))</f>
        <v>0</v>
      </c>
      <c r="B161">
        <f>SUMPRODUCT((MONTH(CHOOSE({1,2,3,4},TTSSKĐ!U161,TTSSKĐ!AA161,TTSSKĐ!AG161,TTSSKĐ!AM161))=2)*(CHOOSE({1,2,3,4},TTSSKĐ!X161,TTSSKĐ!AD161,TTSSKĐ!AJ161,TTSSKĐ!AP161)))</f>
        <v>0</v>
      </c>
      <c r="C161">
        <f>SUMPRODUCT((MONTH(CHOOSE({1,2,3,4},TTSSKĐ!U161,TTSSKĐ!AA161,TTSSKĐ!AG161,TTSSKĐ!AM161))=3)*(CHOOSE({1,2,3,4},TTSSKĐ!X161,TTSSKĐ!AD161,TTSSKĐ!AJ161,TTSSKĐ!AP161)))</f>
        <v>0</v>
      </c>
      <c r="D161">
        <f>SUMPRODUCT((MONTH(CHOOSE({1,2,3,4},TTSSKĐ!U161,TTSSKĐ!AA161,TTSSKĐ!AG161,TTSSKĐ!AM161))=4)*(CHOOSE({1,2,3,4},TTSSKĐ!X161,TTSSKĐ!AD161,TTSSKĐ!AJ161,TTSSKĐ!AP161)))</f>
        <v>0</v>
      </c>
      <c r="E161">
        <f>SUMPRODUCT((MONTH(CHOOSE({1,2,3,4},TTSSKĐ!U161,TTSSKĐ!AA161,TTSSKĐ!AG161,TTSSKĐ!AM161))=5)*(CHOOSE({1,2,3,4},TTSSKĐ!X161,TTSSKĐ!AD161,TTSSKĐ!AJ161,TTSSKĐ!AP161)))</f>
        <v>0</v>
      </c>
      <c r="F161">
        <f>SUMPRODUCT((MONTH(CHOOSE({1,2,3,4},TTSSKĐ!U161,TTSSKĐ!AA161,TTSSKĐ!AG161,TTSSKĐ!AM161))=6)*(CHOOSE({1,2,3,4},TTSSKĐ!X161,TTSSKĐ!AD161,TTSSKĐ!AJ161,TTSSKĐ!AP161)))</f>
        <v>0</v>
      </c>
      <c r="G161">
        <f>SUMPRODUCT((MONTH(CHOOSE({1,2,3,4},TTSSKĐ!U161,TTSSKĐ!AA161,TTSSKĐ!AG161,TTSSKĐ!AM161))=7)*(CHOOSE({1,2,3,4},TTSSKĐ!X161,TTSSKĐ!AD161,TTSSKĐ!AJ161,TTSSKĐ!AP161)))</f>
        <v>0</v>
      </c>
      <c r="H161">
        <f>SUMPRODUCT((MONTH(CHOOSE({1,2,3,4},TTSSKĐ!U161,TTSSKĐ!AA161,TTSSKĐ!AG161,TTSSKĐ!AM161))=8)*(CHOOSE({1,2,3,4},TTSSKĐ!X161,TTSSKĐ!AD161,TTSSKĐ!AJ161,TTSSKĐ!AP161)))</f>
        <v>0</v>
      </c>
      <c r="I161">
        <f>SUMPRODUCT((MONTH(CHOOSE({1,2,3,4},TTSSKĐ!U161,TTSSKĐ!AA161,TTSSKĐ!AG161,TTSSKĐ!AM161))=9)*(CHOOSE({1,2,3,4},TTSSKĐ!X161,TTSSKĐ!AD161,TTSSKĐ!AJ161,TTSSKĐ!AP161)))</f>
        <v>0</v>
      </c>
      <c r="J161">
        <f>SUMPRODUCT((MONTH(CHOOSE({1,2,3,4},TTSSKĐ!U161,TTSSKĐ!AA161,TTSSKĐ!AG161,TTSSKĐ!AM161))=10)*(CHOOSE({1,2,3,4},TTSSKĐ!X161,TTSSKĐ!AD161,TTSSKĐ!AJ161,TTSSKĐ!AP161)))</f>
        <v>0</v>
      </c>
      <c r="K161">
        <f>SUMPRODUCT((MONTH(CHOOSE({1,2,3,4},TTSSKĐ!U161,TTSSKĐ!AA161,TTSSKĐ!AG161,TTSSKĐ!AM161))=11)*(CHOOSE({1,2,3,4},TTSSKĐ!X161,TTSSKĐ!AD161,TTSSKĐ!AJ161,TTSSKĐ!AP161)))</f>
        <v>0</v>
      </c>
      <c r="L161">
        <f>SUMPRODUCT((MONTH(CHOOSE({1,2,3,4},TTSSKĐ!U161,TTSSKĐ!AA161,TTSSKĐ!AG161,TTSSKĐ!AM161))=12)*(CHOOSE({1,2,3,4},TTSSKĐ!X161,TTSSKĐ!AD161,TTSSKĐ!AJ161,TTSSKĐ!AP161)))</f>
        <v>0</v>
      </c>
    </row>
    <row r="162" spans="1:12">
      <c r="A162">
        <f>SUMPRODUCT((MONTH(CHOOSE({1,2,3,4},TTSSKĐ!U162,TTSSKĐ!AA162,TTSSKĐ!AG162,TTSSKĐ!AM162))=1)*(CHOOSE({1,2,3,4},TTSSKĐ!X162,TTSSKĐ!AD162,TTSSKĐ!AJ162,TTSSKĐ!AP162)))</f>
        <v>0</v>
      </c>
      <c r="B162">
        <f>SUMPRODUCT((MONTH(CHOOSE({1,2,3,4},TTSSKĐ!U162,TTSSKĐ!AA162,TTSSKĐ!AG162,TTSSKĐ!AM162))=2)*(CHOOSE({1,2,3,4},TTSSKĐ!X162,TTSSKĐ!AD162,TTSSKĐ!AJ162,TTSSKĐ!AP162)))</f>
        <v>0</v>
      </c>
      <c r="C162">
        <f>SUMPRODUCT((MONTH(CHOOSE({1,2,3,4},TTSSKĐ!U162,TTSSKĐ!AA162,TTSSKĐ!AG162,TTSSKĐ!AM162))=3)*(CHOOSE({1,2,3,4},TTSSKĐ!X162,TTSSKĐ!AD162,TTSSKĐ!AJ162,TTSSKĐ!AP162)))</f>
        <v>0</v>
      </c>
      <c r="D162">
        <f>SUMPRODUCT((MONTH(CHOOSE({1,2,3,4},TTSSKĐ!U162,TTSSKĐ!AA162,TTSSKĐ!AG162,TTSSKĐ!AM162))=4)*(CHOOSE({1,2,3,4},TTSSKĐ!X162,TTSSKĐ!AD162,TTSSKĐ!AJ162,TTSSKĐ!AP162)))</f>
        <v>0</v>
      </c>
      <c r="E162">
        <f>SUMPRODUCT((MONTH(CHOOSE({1,2,3,4},TTSSKĐ!U162,TTSSKĐ!AA162,TTSSKĐ!AG162,TTSSKĐ!AM162))=5)*(CHOOSE({1,2,3,4},TTSSKĐ!X162,TTSSKĐ!AD162,TTSSKĐ!AJ162,TTSSKĐ!AP162)))</f>
        <v>0</v>
      </c>
      <c r="F162">
        <f>SUMPRODUCT((MONTH(CHOOSE({1,2,3,4},TTSSKĐ!U162,TTSSKĐ!AA162,TTSSKĐ!AG162,TTSSKĐ!AM162))=6)*(CHOOSE({1,2,3,4},TTSSKĐ!X162,TTSSKĐ!AD162,TTSSKĐ!AJ162,TTSSKĐ!AP162)))</f>
        <v>0</v>
      </c>
      <c r="G162">
        <f>SUMPRODUCT((MONTH(CHOOSE({1,2,3,4},TTSSKĐ!U162,TTSSKĐ!AA162,TTSSKĐ!AG162,TTSSKĐ!AM162))=7)*(CHOOSE({1,2,3,4},TTSSKĐ!X162,TTSSKĐ!AD162,TTSSKĐ!AJ162,TTSSKĐ!AP162)))</f>
        <v>0</v>
      </c>
      <c r="H162">
        <f>SUMPRODUCT((MONTH(CHOOSE({1,2,3,4},TTSSKĐ!U162,TTSSKĐ!AA162,TTSSKĐ!AG162,TTSSKĐ!AM162))=8)*(CHOOSE({1,2,3,4},TTSSKĐ!X162,TTSSKĐ!AD162,TTSSKĐ!AJ162,TTSSKĐ!AP162)))</f>
        <v>0</v>
      </c>
      <c r="I162">
        <f>SUMPRODUCT((MONTH(CHOOSE({1,2,3,4},TTSSKĐ!U162,TTSSKĐ!AA162,TTSSKĐ!AG162,TTSSKĐ!AM162))=9)*(CHOOSE({1,2,3,4},TTSSKĐ!X162,TTSSKĐ!AD162,TTSSKĐ!AJ162,TTSSKĐ!AP162)))</f>
        <v>0</v>
      </c>
      <c r="J162">
        <f>SUMPRODUCT((MONTH(CHOOSE({1,2,3,4},TTSSKĐ!U162,TTSSKĐ!AA162,TTSSKĐ!AG162,TTSSKĐ!AM162))=10)*(CHOOSE({1,2,3,4},TTSSKĐ!X162,TTSSKĐ!AD162,TTSSKĐ!AJ162,TTSSKĐ!AP162)))</f>
        <v>0</v>
      </c>
      <c r="K162">
        <f>SUMPRODUCT((MONTH(CHOOSE({1,2,3,4},TTSSKĐ!U162,TTSSKĐ!AA162,TTSSKĐ!AG162,TTSSKĐ!AM162))=11)*(CHOOSE({1,2,3,4},TTSSKĐ!X162,TTSSKĐ!AD162,TTSSKĐ!AJ162,TTSSKĐ!AP162)))</f>
        <v>0</v>
      </c>
      <c r="L162">
        <f>SUMPRODUCT((MONTH(CHOOSE({1,2,3,4},TTSSKĐ!U162,TTSSKĐ!AA162,TTSSKĐ!AG162,TTSSKĐ!AM162))=12)*(CHOOSE({1,2,3,4},TTSSKĐ!X162,TTSSKĐ!AD162,TTSSKĐ!AJ162,TTSSKĐ!AP162)))</f>
        <v>0</v>
      </c>
    </row>
    <row r="163" spans="1:12">
      <c r="A163">
        <f>SUMPRODUCT((MONTH(CHOOSE({1,2,3,4},TTSSKĐ!U163,TTSSKĐ!AA163,TTSSKĐ!AG163,TTSSKĐ!AM163))=1)*(CHOOSE({1,2,3,4},TTSSKĐ!X163,TTSSKĐ!AD163,TTSSKĐ!AJ163,TTSSKĐ!AP163)))</f>
        <v>0</v>
      </c>
      <c r="B163">
        <f>SUMPRODUCT((MONTH(CHOOSE({1,2,3,4},TTSSKĐ!U163,TTSSKĐ!AA163,TTSSKĐ!AG163,TTSSKĐ!AM163))=2)*(CHOOSE({1,2,3,4},TTSSKĐ!X163,TTSSKĐ!AD163,TTSSKĐ!AJ163,TTSSKĐ!AP163)))</f>
        <v>0</v>
      </c>
      <c r="C163">
        <f>SUMPRODUCT((MONTH(CHOOSE({1,2,3,4},TTSSKĐ!U163,TTSSKĐ!AA163,TTSSKĐ!AG163,TTSSKĐ!AM163))=3)*(CHOOSE({1,2,3,4},TTSSKĐ!X163,TTSSKĐ!AD163,TTSSKĐ!AJ163,TTSSKĐ!AP163)))</f>
        <v>0</v>
      </c>
      <c r="D163">
        <f>SUMPRODUCT((MONTH(CHOOSE({1,2,3,4},TTSSKĐ!U163,TTSSKĐ!AA163,TTSSKĐ!AG163,TTSSKĐ!AM163))=4)*(CHOOSE({1,2,3,4},TTSSKĐ!X163,TTSSKĐ!AD163,TTSSKĐ!AJ163,TTSSKĐ!AP163)))</f>
        <v>0</v>
      </c>
      <c r="E163">
        <f>SUMPRODUCT((MONTH(CHOOSE({1,2,3,4},TTSSKĐ!U163,TTSSKĐ!AA163,TTSSKĐ!AG163,TTSSKĐ!AM163))=5)*(CHOOSE({1,2,3,4},TTSSKĐ!X163,TTSSKĐ!AD163,TTSSKĐ!AJ163,TTSSKĐ!AP163)))</f>
        <v>0</v>
      </c>
      <c r="F163">
        <f>SUMPRODUCT((MONTH(CHOOSE({1,2,3,4},TTSSKĐ!U163,TTSSKĐ!AA163,TTSSKĐ!AG163,TTSSKĐ!AM163))=6)*(CHOOSE({1,2,3,4},TTSSKĐ!X163,TTSSKĐ!AD163,TTSSKĐ!AJ163,TTSSKĐ!AP163)))</f>
        <v>0</v>
      </c>
      <c r="G163">
        <f>SUMPRODUCT((MONTH(CHOOSE({1,2,3,4},TTSSKĐ!U163,TTSSKĐ!AA163,TTSSKĐ!AG163,TTSSKĐ!AM163))=7)*(CHOOSE({1,2,3,4},TTSSKĐ!X163,TTSSKĐ!AD163,TTSSKĐ!AJ163,TTSSKĐ!AP163)))</f>
        <v>0</v>
      </c>
      <c r="H163">
        <f>SUMPRODUCT((MONTH(CHOOSE({1,2,3,4},TTSSKĐ!U163,TTSSKĐ!AA163,TTSSKĐ!AG163,TTSSKĐ!AM163))=8)*(CHOOSE({1,2,3,4},TTSSKĐ!X163,TTSSKĐ!AD163,TTSSKĐ!AJ163,TTSSKĐ!AP163)))</f>
        <v>0</v>
      </c>
      <c r="I163">
        <f>SUMPRODUCT((MONTH(CHOOSE({1,2,3,4},TTSSKĐ!U163,TTSSKĐ!AA163,TTSSKĐ!AG163,TTSSKĐ!AM163))=9)*(CHOOSE({1,2,3,4},TTSSKĐ!X163,TTSSKĐ!AD163,TTSSKĐ!AJ163,TTSSKĐ!AP163)))</f>
        <v>0</v>
      </c>
      <c r="J163">
        <f>SUMPRODUCT((MONTH(CHOOSE({1,2,3,4},TTSSKĐ!U163,TTSSKĐ!AA163,TTSSKĐ!AG163,TTSSKĐ!AM163))=10)*(CHOOSE({1,2,3,4},TTSSKĐ!X163,TTSSKĐ!AD163,TTSSKĐ!AJ163,TTSSKĐ!AP163)))</f>
        <v>0</v>
      </c>
      <c r="K163">
        <f>SUMPRODUCT((MONTH(CHOOSE({1,2,3,4},TTSSKĐ!U163,TTSSKĐ!AA163,TTSSKĐ!AG163,TTSSKĐ!AM163))=11)*(CHOOSE({1,2,3,4},TTSSKĐ!X163,TTSSKĐ!AD163,TTSSKĐ!AJ163,TTSSKĐ!AP163)))</f>
        <v>0</v>
      </c>
      <c r="L163">
        <f>SUMPRODUCT((MONTH(CHOOSE({1,2,3,4},TTSSKĐ!U163,TTSSKĐ!AA163,TTSSKĐ!AG163,TTSSKĐ!AM163))=12)*(CHOOSE({1,2,3,4},TTSSKĐ!X163,TTSSKĐ!AD163,TTSSKĐ!AJ163,TTSSKĐ!AP163)))</f>
        <v>0</v>
      </c>
    </row>
    <row r="164" spans="1:12">
      <c r="A164">
        <f>SUMPRODUCT((MONTH(CHOOSE({1,2,3,4},TTSSKĐ!U164,TTSSKĐ!AA164,TTSSKĐ!AG164,TTSSKĐ!AM164))=1)*(CHOOSE({1,2,3,4},TTSSKĐ!X164,TTSSKĐ!AD164,TTSSKĐ!AJ164,TTSSKĐ!AP164)))</f>
        <v>0</v>
      </c>
      <c r="B164">
        <f>SUMPRODUCT((MONTH(CHOOSE({1,2,3,4},TTSSKĐ!U164,TTSSKĐ!AA164,TTSSKĐ!AG164,TTSSKĐ!AM164))=2)*(CHOOSE({1,2,3,4},TTSSKĐ!X164,TTSSKĐ!AD164,TTSSKĐ!AJ164,TTSSKĐ!AP164)))</f>
        <v>0</v>
      </c>
      <c r="C164">
        <f>SUMPRODUCT((MONTH(CHOOSE({1,2,3,4},TTSSKĐ!U164,TTSSKĐ!AA164,TTSSKĐ!AG164,TTSSKĐ!AM164))=3)*(CHOOSE({1,2,3,4},TTSSKĐ!X164,TTSSKĐ!AD164,TTSSKĐ!AJ164,TTSSKĐ!AP164)))</f>
        <v>0</v>
      </c>
      <c r="D164">
        <f>SUMPRODUCT((MONTH(CHOOSE({1,2,3,4},TTSSKĐ!U164,TTSSKĐ!AA164,TTSSKĐ!AG164,TTSSKĐ!AM164))=4)*(CHOOSE({1,2,3,4},TTSSKĐ!X164,TTSSKĐ!AD164,TTSSKĐ!AJ164,TTSSKĐ!AP164)))</f>
        <v>0</v>
      </c>
      <c r="E164">
        <f>SUMPRODUCT((MONTH(CHOOSE({1,2,3,4},TTSSKĐ!U164,TTSSKĐ!AA164,TTSSKĐ!AG164,TTSSKĐ!AM164))=5)*(CHOOSE({1,2,3,4},TTSSKĐ!X164,TTSSKĐ!AD164,TTSSKĐ!AJ164,TTSSKĐ!AP164)))</f>
        <v>0</v>
      </c>
      <c r="F164">
        <f>SUMPRODUCT((MONTH(CHOOSE({1,2,3,4},TTSSKĐ!U164,TTSSKĐ!AA164,TTSSKĐ!AG164,TTSSKĐ!AM164))=6)*(CHOOSE({1,2,3,4},TTSSKĐ!X164,TTSSKĐ!AD164,TTSSKĐ!AJ164,TTSSKĐ!AP164)))</f>
        <v>0</v>
      </c>
      <c r="G164">
        <f>SUMPRODUCT((MONTH(CHOOSE({1,2,3,4},TTSSKĐ!U164,TTSSKĐ!AA164,TTSSKĐ!AG164,TTSSKĐ!AM164))=7)*(CHOOSE({1,2,3,4},TTSSKĐ!X164,TTSSKĐ!AD164,TTSSKĐ!AJ164,TTSSKĐ!AP164)))</f>
        <v>0</v>
      </c>
      <c r="H164">
        <f>SUMPRODUCT((MONTH(CHOOSE({1,2,3,4},TTSSKĐ!U164,TTSSKĐ!AA164,TTSSKĐ!AG164,TTSSKĐ!AM164))=8)*(CHOOSE({1,2,3,4},TTSSKĐ!X164,TTSSKĐ!AD164,TTSSKĐ!AJ164,TTSSKĐ!AP164)))</f>
        <v>0</v>
      </c>
      <c r="I164">
        <f>SUMPRODUCT((MONTH(CHOOSE({1,2,3,4},TTSSKĐ!U164,TTSSKĐ!AA164,TTSSKĐ!AG164,TTSSKĐ!AM164))=9)*(CHOOSE({1,2,3,4},TTSSKĐ!X164,TTSSKĐ!AD164,TTSSKĐ!AJ164,TTSSKĐ!AP164)))</f>
        <v>0</v>
      </c>
      <c r="J164">
        <f>SUMPRODUCT((MONTH(CHOOSE({1,2,3,4},TTSSKĐ!U164,TTSSKĐ!AA164,TTSSKĐ!AG164,TTSSKĐ!AM164))=10)*(CHOOSE({1,2,3,4},TTSSKĐ!X164,TTSSKĐ!AD164,TTSSKĐ!AJ164,TTSSKĐ!AP164)))</f>
        <v>0</v>
      </c>
      <c r="K164">
        <f>SUMPRODUCT((MONTH(CHOOSE({1,2,3,4},TTSSKĐ!U164,TTSSKĐ!AA164,TTSSKĐ!AG164,TTSSKĐ!AM164))=11)*(CHOOSE({1,2,3,4},TTSSKĐ!X164,TTSSKĐ!AD164,TTSSKĐ!AJ164,TTSSKĐ!AP164)))</f>
        <v>0</v>
      </c>
      <c r="L164">
        <f>SUMPRODUCT((MONTH(CHOOSE({1,2,3,4},TTSSKĐ!U164,TTSSKĐ!AA164,TTSSKĐ!AG164,TTSSKĐ!AM164))=12)*(CHOOSE({1,2,3,4},TTSSKĐ!X164,TTSSKĐ!AD164,TTSSKĐ!AJ164,TTSSKĐ!AP164)))</f>
        <v>0</v>
      </c>
    </row>
    <row r="165" spans="1:12">
      <c r="A165">
        <f>SUMPRODUCT((MONTH(CHOOSE({1,2,3,4},TTSSKĐ!U165,TTSSKĐ!AA165,TTSSKĐ!AG165,TTSSKĐ!AM165))=1)*(CHOOSE({1,2,3,4},TTSSKĐ!X165,TTSSKĐ!AD165,TTSSKĐ!AJ165,TTSSKĐ!AP165)))</f>
        <v>0</v>
      </c>
      <c r="B165">
        <f>SUMPRODUCT((MONTH(CHOOSE({1,2,3,4},TTSSKĐ!U165,TTSSKĐ!AA165,TTSSKĐ!AG165,TTSSKĐ!AM165))=2)*(CHOOSE({1,2,3,4},TTSSKĐ!X165,TTSSKĐ!AD165,TTSSKĐ!AJ165,TTSSKĐ!AP165)))</f>
        <v>0</v>
      </c>
      <c r="C165">
        <f>SUMPRODUCT((MONTH(CHOOSE({1,2,3,4},TTSSKĐ!U165,TTSSKĐ!AA165,TTSSKĐ!AG165,TTSSKĐ!AM165))=3)*(CHOOSE({1,2,3,4},TTSSKĐ!X165,TTSSKĐ!AD165,TTSSKĐ!AJ165,TTSSKĐ!AP165)))</f>
        <v>0</v>
      </c>
      <c r="D165">
        <f>SUMPRODUCT((MONTH(CHOOSE({1,2,3,4},TTSSKĐ!U165,TTSSKĐ!AA165,TTSSKĐ!AG165,TTSSKĐ!AM165))=4)*(CHOOSE({1,2,3,4},TTSSKĐ!X165,TTSSKĐ!AD165,TTSSKĐ!AJ165,TTSSKĐ!AP165)))</f>
        <v>0</v>
      </c>
      <c r="E165">
        <f>SUMPRODUCT((MONTH(CHOOSE({1,2,3,4},TTSSKĐ!U165,TTSSKĐ!AA165,TTSSKĐ!AG165,TTSSKĐ!AM165))=5)*(CHOOSE({1,2,3,4},TTSSKĐ!X165,TTSSKĐ!AD165,TTSSKĐ!AJ165,TTSSKĐ!AP165)))</f>
        <v>0</v>
      </c>
      <c r="F165">
        <f>SUMPRODUCT((MONTH(CHOOSE({1,2,3,4},TTSSKĐ!U165,TTSSKĐ!AA165,TTSSKĐ!AG165,TTSSKĐ!AM165))=6)*(CHOOSE({1,2,3,4},TTSSKĐ!X165,TTSSKĐ!AD165,TTSSKĐ!AJ165,TTSSKĐ!AP165)))</f>
        <v>0</v>
      </c>
      <c r="G165">
        <f>SUMPRODUCT((MONTH(CHOOSE({1,2,3,4},TTSSKĐ!U165,TTSSKĐ!AA165,TTSSKĐ!AG165,TTSSKĐ!AM165))=7)*(CHOOSE({1,2,3,4},TTSSKĐ!X165,TTSSKĐ!AD165,TTSSKĐ!AJ165,TTSSKĐ!AP165)))</f>
        <v>0</v>
      </c>
      <c r="H165">
        <f>SUMPRODUCT((MONTH(CHOOSE({1,2,3,4},TTSSKĐ!U165,TTSSKĐ!AA165,TTSSKĐ!AG165,TTSSKĐ!AM165))=8)*(CHOOSE({1,2,3,4},TTSSKĐ!X165,TTSSKĐ!AD165,TTSSKĐ!AJ165,TTSSKĐ!AP165)))</f>
        <v>0</v>
      </c>
      <c r="I165">
        <f>SUMPRODUCT((MONTH(CHOOSE({1,2,3,4},TTSSKĐ!U165,TTSSKĐ!AA165,TTSSKĐ!AG165,TTSSKĐ!AM165))=9)*(CHOOSE({1,2,3,4},TTSSKĐ!X165,TTSSKĐ!AD165,TTSSKĐ!AJ165,TTSSKĐ!AP165)))</f>
        <v>0</v>
      </c>
      <c r="J165">
        <f>SUMPRODUCT((MONTH(CHOOSE({1,2,3,4},TTSSKĐ!U165,TTSSKĐ!AA165,TTSSKĐ!AG165,TTSSKĐ!AM165))=10)*(CHOOSE({1,2,3,4},TTSSKĐ!X165,TTSSKĐ!AD165,TTSSKĐ!AJ165,TTSSKĐ!AP165)))</f>
        <v>0</v>
      </c>
      <c r="K165">
        <f>SUMPRODUCT((MONTH(CHOOSE({1,2,3,4},TTSSKĐ!U165,TTSSKĐ!AA165,TTSSKĐ!AG165,TTSSKĐ!AM165))=11)*(CHOOSE({1,2,3,4},TTSSKĐ!X165,TTSSKĐ!AD165,TTSSKĐ!AJ165,TTSSKĐ!AP165)))</f>
        <v>0</v>
      </c>
      <c r="L165">
        <f>SUMPRODUCT((MONTH(CHOOSE({1,2,3,4},TTSSKĐ!U165,TTSSKĐ!AA165,TTSSKĐ!AG165,TTSSKĐ!AM165))=12)*(CHOOSE({1,2,3,4},TTSSKĐ!X165,TTSSKĐ!AD165,TTSSKĐ!AJ165,TTSSKĐ!AP165)))</f>
        <v>0</v>
      </c>
    </row>
    <row r="166" spans="1:12">
      <c r="A166">
        <f>SUMPRODUCT((MONTH(CHOOSE({1,2,3,4},TTSSKĐ!U166,TTSSKĐ!AA166,TTSSKĐ!AG166,TTSSKĐ!AM166))=1)*(CHOOSE({1,2,3,4},TTSSKĐ!X166,TTSSKĐ!AD166,TTSSKĐ!AJ166,TTSSKĐ!AP166)))</f>
        <v>0</v>
      </c>
      <c r="B166">
        <f>SUMPRODUCT((MONTH(CHOOSE({1,2,3,4},TTSSKĐ!U166,TTSSKĐ!AA166,TTSSKĐ!AG166,TTSSKĐ!AM166))=2)*(CHOOSE({1,2,3,4},TTSSKĐ!X166,TTSSKĐ!AD166,TTSSKĐ!AJ166,TTSSKĐ!AP166)))</f>
        <v>0</v>
      </c>
      <c r="C166">
        <f>SUMPRODUCT((MONTH(CHOOSE({1,2,3,4},TTSSKĐ!U166,TTSSKĐ!AA166,TTSSKĐ!AG166,TTSSKĐ!AM166))=3)*(CHOOSE({1,2,3,4},TTSSKĐ!X166,TTSSKĐ!AD166,TTSSKĐ!AJ166,TTSSKĐ!AP166)))</f>
        <v>0</v>
      </c>
      <c r="D166">
        <f>SUMPRODUCT((MONTH(CHOOSE({1,2,3,4},TTSSKĐ!U166,TTSSKĐ!AA166,TTSSKĐ!AG166,TTSSKĐ!AM166))=4)*(CHOOSE({1,2,3,4},TTSSKĐ!X166,TTSSKĐ!AD166,TTSSKĐ!AJ166,TTSSKĐ!AP166)))</f>
        <v>0</v>
      </c>
      <c r="E166">
        <f>SUMPRODUCT((MONTH(CHOOSE({1,2,3,4},TTSSKĐ!U166,TTSSKĐ!AA166,TTSSKĐ!AG166,TTSSKĐ!AM166))=5)*(CHOOSE({1,2,3,4},TTSSKĐ!X166,TTSSKĐ!AD166,TTSSKĐ!AJ166,TTSSKĐ!AP166)))</f>
        <v>0</v>
      </c>
      <c r="F166">
        <f>SUMPRODUCT((MONTH(CHOOSE({1,2,3,4},TTSSKĐ!U166,TTSSKĐ!AA166,TTSSKĐ!AG166,TTSSKĐ!AM166))=6)*(CHOOSE({1,2,3,4},TTSSKĐ!X166,TTSSKĐ!AD166,TTSSKĐ!AJ166,TTSSKĐ!AP166)))</f>
        <v>0</v>
      </c>
      <c r="G166">
        <f>SUMPRODUCT((MONTH(CHOOSE({1,2,3,4},TTSSKĐ!U166,TTSSKĐ!AA166,TTSSKĐ!AG166,TTSSKĐ!AM166))=7)*(CHOOSE({1,2,3,4},TTSSKĐ!X166,TTSSKĐ!AD166,TTSSKĐ!AJ166,TTSSKĐ!AP166)))</f>
        <v>0</v>
      </c>
      <c r="H166">
        <f>SUMPRODUCT((MONTH(CHOOSE({1,2,3,4},TTSSKĐ!U166,TTSSKĐ!AA166,TTSSKĐ!AG166,TTSSKĐ!AM166))=8)*(CHOOSE({1,2,3,4},TTSSKĐ!X166,TTSSKĐ!AD166,TTSSKĐ!AJ166,TTSSKĐ!AP166)))</f>
        <v>0</v>
      </c>
      <c r="I166">
        <f>SUMPRODUCT((MONTH(CHOOSE({1,2,3,4},TTSSKĐ!U166,TTSSKĐ!AA166,TTSSKĐ!AG166,TTSSKĐ!AM166))=9)*(CHOOSE({1,2,3,4},TTSSKĐ!X166,TTSSKĐ!AD166,TTSSKĐ!AJ166,TTSSKĐ!AP166)))</f>
        <v>0</v>
      </c>
      <c r="J166">
        <f>SUMPRODUCT((MONTH(CHOOSE({1,2,3,4},TTSSKĐ!U166,TTSSKĐ!AA166,TTSSKĐ!AG166,TTSSKĐ!AM166))=10)*(CHOOSE({1,2,3,4},TTSSKĐ!X166,TTSSKĐ!AD166,TTSSKĐ!AJ166,TTSSKĐ!AP166)))</f>
        <v>0</v>
      </c>
      <c r="K166">
        <f>SUMPRODUCT((MONTH(CHOOSE({1,2,3,4},TTSSKĐ!U166,TTSSKĐ!AA166,TTSSKĐ!AG166,TTSSKĐ!AM166))=11)*(CHOOSE({1,2,3,4},TTSSKĐ!X166,TTSSKĐ!AD166,TTSSKĐ!AJ166,TTSSKĐ!AP166)))</f>
        <v>0</v>
      </c>
      <c r="L166">
        <f>SUMPRODUCT((MONTH(CHOOSE({1,2,3,4},TTSSKĐ!U166,TTSSKĐ!AA166,TTSSKĐ!AG166,TTSSKĐ!AM166))=12)*(CHOOSE({1,2,3,4},TTSSKĐ!X166,TTSSKĐ!AD166,TTSSKĐ!AJ166,TTSSKĐ!AP166)))</f>
        <v>0</v>
      </c>
    </row>
    <row r="167" spans="1:12">
      <c r="A167">
        <f>SUMPRODUCT((MONTH(CHOOSE({1,2,3,4},TTSSKĐ!U167,TTSSKĐ!AA167,TTSSKĐ!AG167,TTSSKĐ!AM167))=1)*(CHOOSE({1,2,3,4},TTSSKĐ!X167,TTSSKĐ!AD167,TTSSKĐ!AJ167,TTSSKĐ!AP167)))</f>
        <v>0</v>
      </c>
      <c r="B167">
        <f>SUMPRODUCT((MONTH(CHOOSE({1,2,3,4},TTSSKĐ!U167,TTSSKĐ!AA167,TTSSKĐ!AG167,TTSSKĐ!AM167))=2)*(CHOOSE({1,2,3,4},TTSSKĐ!X167,TTSSKĐ!AD167,TTSSKĐ!AJ167,TTSSKĐ!AP167)))</f>
        <v>0</v>
      </c>
      <c r="C167">
        <f>SUMPRODUCT((MONTH(CHOOSE({1,2,3,4},TTSSKĐ!U167,TTSSKĐ!AA167,TTSSKĐ!AG167,TTSSKĐ!AM167))=3)*(CHOOSE({1,2,3,4},TTSSKĐ!X167,TTSSKĐ!AD167,TTSSKĐ!AJ167,TTSSKĐ!AP167)))</f>
        <v>0</v>
      </c>
      <c r="D167">
        <f>SUMPRODUCT((MONTH(CHOOSE({1,2,3,4},TTSSKĐ!U167,TTSSKĐ!AA167,TTSSKĐ!AG167,TTSSKĐ!AM167))=4)*(CHOOSE({1,2,3,4},TTSSKĐ!X167,TTSSKĐ!AD167,TTSSKĐ!AJ167,TTSSKĐ!AP167)))</f>
        <v>0</v>
      </c>
      <c r="E167">
        <f>SUMPRODUCT((MONTH(CHOOSE({1,2,3,4},TTSSKĐ!U167,TTSSKĐ!AA167,TTSSKĐ!AG167,TTSSKĐ!AM167))=5)*(CHOOSE({1,2,3,4},TTSSKĐ!X167,TTSSKĐ!AD167,TTSSKĐ!AJ167,TTSSKĐ!AP167)))</f>
        <v>0</v>
      </c>
      <c r="F167">
        <f>SUMPRODUCT((MONTH(CHOOSE({1,2,3,4},TTSSKĐ!U167,TTSSKĐ!AA167,TTSSKĐ!AG167,TTSSKĐ!AM167))=6)*(CHOOSE({1,2,3,4},TTSSKĐ!X167,TTSSKĐ!AD167,TTSSKĐ!AJ167,TTSSKĐ!AP167)))</f>
        <v>0</v>
      </c>
      <c r="G167">
        <f>SUMPRODUCT((MONTH(CHOOSE({1,2,3,4},TTSSKĐ!U167,TTSSKĐ!AA167,TTSSKĐ!AG167,TTSSKĐ!AM167))=7)*(CHOOSE({1,2,3,4},TTSSKĐ!X167,TTSSKĐ!AD167,TTSSKĐ!AJ167,TTSSKĐ!AP167)))</f>
        <v>0</v>
      </c>
      <c r="H167">
        <f>SUMPRODUCT((MONTH(CHOOSE({1,2,3,4},TTSSKĐ!U167,TTSSKĐ!AA167,TTSSKĐ!AG167,TTSSKĐ!AM167))=8)*(CHOOSE({1,2,3,4},TTSSKĐ!X167,TTSSKĐ!AD167,TTSSKĐ!AJ167,TTSSKĐ!AP167)))</f>
        <v>0</v>
      </c>
      <c r="I167">
        <f>SUMPRODUCT((MONTH(CHOOSE({1,2,3,4},TTSSKĐ!U167,TTSSKĐ!AA167,TTSSKĐ!AG167,TTSSKĐ!AM167))=9)*(CHOOSE({1,2,3,4},TTSSKĐ!X167,TTSSKĐ!AD167,TTSSKĐ!AJ167,TTSSKĐ!AP167)))</f>
        <v>0</v>
      </c>
      <c r="J167">
        <f>SUMPRODUCT((MONTH(CHOOSE({1,2,3,4},TTSSKĐ!U167,TTSSKĐ!AA167,TTSSKĐ!AG167,TTSSKĐ!AM167))=10)*(CHOOSE({1,2,3,4},TTSSKĐ!X167,TTSSKĐ!AD167,TTSSKĐ!AJ167,TTSSKĐ!AP167)))</f>
        <v>0</v>
      </c>
      <c r="K167">
        <f>SUMPRODUCT((MONTH(CHOOSE({1,2,3,4},TTSSKĐ!U167,TTSSKĐ!AA167,TTSSKĐ!AG167,TTSSKĐ!AM167))=11)*(CHOOSE({1,2,3,4},TTSSKĐ!X167,TTSSKĐ!AD167,TTSSKĐ!AJ167,TTSSKĐ!AP167)))</f>
        <v>0</v>
      </c>
      <c r="L167">
        <f>SUMPRODUCT((MONTH(CHOOSE({1,2,3,4},TTSSKĐ!U167,TTSSKĐ!AA167,TTSSKĐ!AG167,TTSSKĐ!AM167))=12)*(CHOOSE({1,2,3,4},TTSSKĐ!X167,TTSSKĐ!AD167,TTSSKĐ!AJ167,TTSSKĐ!AP167)))</f>
        <v>0</v>
      </c>
    </row>
    <row r="168" spans="1:12">
      <c r="A168">
        <f>SUMPRODUCT((MONTH(CHOOSE({1,2,3,4},TTSSKĐ!U168,TTSSKĐ!AA168,TTSSKĐ!AG168,TTSSKĐ!AM168))=1)*(CHOOSE({1,2,3,4},TTSSKĐ!X168,TTSSKĐ!AD168,TTSSKĐ!AJ168,TTSSKĐ!AP168)))</f>
        <v>0</v>
      </c>
      <c r="B168">
        <f>SUMPRODUCT((MONTH(CHOOSE({1,2,3,4},TTSSKĐ!U168,TTSSKĐ!AA168,TTSSKĐ!AG168,TTSSKĐ!AM168))=2)*(CHOOSE({1,2,3,4},TTSSKĐ!X168,TTSSKĐ!AD168,TTSSKĐ!AJ168,TTSSKĐ!AP168)))</f>
        <v>0</v>
      </c>
      <c r="C168">
        <f>SUMPRODUCT((MONTH(CHOOSE({1,2,3,4},TTSSKĐ!U168,TTSSKĐ!AA168,TTSSKĐ!AG168,TTSSKĐ!AM168))=3)*(CHOOSE({1,2,3,4},TTSSKĐ!X168,TTSSKĐ!AD168,TTSSKĐ!AJ168,TTSSKĐ!AP168)))</f>
        <v>0</v>
      </c>
      <c r="D168">
        <f>SUMPRODUCT((MONTH(CHOOSE({1,2,3,4},TTSSKĐ!U168,TTSSKĐ!AA168,TTSSKĐ!AG168,TTSSKĐ!AM168))=4)*(CHOOSE({1,2,3,4},TTSSKĐ!X168,TTSSKĐ!AD168,TTSSKĐ!AJ168,TTSSKĐ!AP168)))</f>
        <v>0</v>
      </c>
      <c r="E168">
        <f>SUMPRODUCT((MONTH(CHOOSE({1,2,3,4},TTSSKĐ!U168,TTSSKĐ!AA168,TTSSKĐ!AG168,TTSSKĐ!AM168))=5)*(CHOOSE({1,2,3,4},TTSSKĐ!X168,TTSSKĐ!AD168,TTSSKĐ!AJ168,TTSSKĐ!AP168)))</f>
        <v>0</v>
      </c>
      <c r="F168">
        <f>SUMPRODUCT((MONTH(CHOOSE({1,2,3,4},TTSSKĐ!U168,TTSSKĐ!AA168,TTSSKĐ!AG168,TTSSKĐ!AM168))=6)*(CHOOSE({1,2,3,4},TTSSKĐ!X168,TTSSKĐ!AD168,TTSSKĐ!AJ168,TTSSKĐ!AP168)))</f>
        <v>0</v>
      </c>
      <c r="G168">
        <f>SUMPRODUCT((MONTH(CHOOSE({1,2,3,4},TTSSKĐ!U168,TTSSKĐ!AA168,TTSSKĐ!AG168,TTSSKĐ!AM168))=7)*(CHOOSE({1,2,3,4},TTSSKĐ!X168,TTSSKĐ!AD168,TTSSKĐ!AJ168,TTSSKĐ!AP168)))</f>
        <v>0</v>
      </c>
      <c r="H168">
        <f>SUMPRODUCT((MONTH(CHOOSE({1,2,3,4},TTSSKĐ!U168,TTSSKĐ!AA168,TTSSKĐ!AG168,TTSSKĐ!AM168))=8)*(CHOOSE({1,2,3,4},TTSSKĐ!X168,TTSSKĐ!AD168,TTSSKĐ!AJ168,TTSSKĐ!AP168)))</f>
        <v>0</v>
      </c>
      <c r="I168">
        <f>SUMPRODUCT((MONTH(CHOOSE({1,2,3,4},TTSSKĐ!U168,TTSSKĐ!AA168,TTSSKĐ!AG168,TTSSKĐ!AM168))=9)*(CHOOSE({1,2,3,4},TTSSKĐ!X168,TTSSKĐ!AD168,TTSSKĐ!AJ168,TTSSKĐ!AP168)))</f>
        <v>0</v>
      </c>
      <c r="J168">
        <f>SUMPRODUCT((MONTH(CHOOSE({1,2,3,4},TTSSKĐ!U168,TTSSKĐ!AA168,TTSSKĐ!AG168,TTSSKĐ!AM168))=10)*(CHOOSE({1,2,3,4},TTSSKĐ!X168,TTSSKĐ!AD168,TTSSKĐ!AJ168,TTSSKĐ!AP168)))</f>
        <v>0</v>
      </c>
      <c r="K168">
        <f>SUMPRODUCT((MONTH(CHOOSE({1,2,3,4},TTSSKĐ!U168,TTSSKĐ!AA168,TTSSKĐ!AG168,TTSSKĐ!AM168))=11)*(CHOOSE({1,2,3,4},TTSSKĐ!X168,TTSSKĐ!AD168,TTSSKĐ!AJ168,TTSSKĐ!AP168)))</f>
        <v>0</v>
      </c>
      <c r="L168">
        <f>SUMPRODUCT((MONTH(CHOOSE({1,2,3,4},TTSSKĐ!U168,TTSSKĐ!AA168,TTSSKĐ!AG168,TTSSKĐ!AM168))=12)*(CHOOSE({1,2,3,4},TTSSKĐ!X168,TTSSKĐ!AD168,TTSSKĐ!AJ168,TTSSKĐ!AP168)))</f>
        <v>0</v>
      </c>
    </row>
    <row r="169" spans="1:12">
      <c r="A169">
        <f>SUMPRODUCT((MONTH(CHOOSE({1,2,3,4},TTSSKĐ!U169,TTSSKĐ!AA169,TTSSKĐ!AG169,TTSSKĐ!AM169))=1)*(CHOOSE({1,2,3,4},TTSSKĐ!X169,TTSSKĐ!AD169,TTSSKĐ!AJ169,TTSSKĐ!AP169)))</f>
        <v>0</v>
      </c>
      <c r="B169">
        <f>SUMPRODUCT((MONTH(CHOOSE({1,2,3,4},TTSSKĐ!U169,TTSSKĐ!AA169,TTSSKĐ!AG169,TTSSKĐ!AM169))=2)*(CHOOSE({1,2,3,4},TTSSKĐ!X169,TTSSKĐ!AD169,TTSSKĐ!AJ169,TTSSKĐ!AP169)))</f>
        <v>0</v>
      </c>
      <c r="C169">
        <f>SUMPRODUCT((MONTH(CHOOSE({1,2,3,4},TTSSKĐ!U169,TTSSKĐ!AA169,TTSSKĐ!AG169,TTSSKĐ!AM169))=3)*(CHOOSE({1,2,3,4},TTSSKĐ!X169,TTSSKĐ!AD169,TTSSKĐ!AJ169,TTSSKĐ!AP169)))</f>
        <v>0</v>
      </c>
      <c r="D169">
        <f>SUMPRODUCT((MONTH(CHOOSE({1,2,3,4},TTSSKĐ!U169,TTSSKĐ!AA169,TTSSKĐ!AG169,TTSSKĐ!AM169))=4)*(CHOOSE({1,2,3,4},TTSSKĐ!X169,TTSSKĐ!AD169,TTSSKĐ!AJ169,TTSSKĐ!AP169)))</f>
        <v>0</v>
      </c>
      <c r="E169">
        <f>SUMPRODUCT((MONTH(CHOOSE({1,2,3,4},TTSSKĐ!U169,TTSSKĐ!AA169,TTSSKĐ!AG169,TTSSKĐ!AM169))=5)*(CHOOSE({1,2,3,4},TTSSKĐ!X169,TTSSKĐ!AD169,TTSSKĐ!AJ169,TTSSKĐ!AP169)))</f>
        <v>0</v>
      </c>
      <c r="F169">
        <f>SUMPRODUCT((MONTH(CHOOSE({1,2,3,4},TTSSKĐ!U169,TTSSKĐ!AA169,TTSSKĐ!AG169,TTSSKĐ!AM169))=6)*(CHOOSE({1,2,3,4},TTSSKĐ!X169,TTSSKĐ!AD169,TTSSKĐ!AJ169,TTSSKĐ!AP169)))</f>
        <v>0</v>
      </c>
      <c r="G169">
        <f>SUMPRODUCT((MONTH(CHOOSE({1,2,3,4},TTSSKĐ!U169,TTSSKĐ!AA169,TTSSKĐ!AG169,TTSSKĐ!AM169))=7)*(CHOOSE({1,2,3,4},TTSSKĐ!X169,TTSSKĐ!AD169,TTSSKĐ!AJ169,TTSSKĐ!AP169)))</f>
        <v>0</v>
      </c>
      <c r="H169">
        <f>SUMPRODUCT((MONTH(CHOOSE({1,2,3,4},TTSSKĐ!U169,TTSSKĐ!AA169,TTSSKĐ!AG169,TTSSKĐ!AM169))=8)*(CHOOSE({1,2,3,4},TTSSKĐ!X169,TTSSKĐ!AD169,TTSSKĐ!AJ169,TTSSKĐ!AP169)))</f>
        <v>0</v>
      </c>
      <c r="I169">
        <f>SUMPRODUCT((MONTH(CHOOSE({1,2,3,4},TTSSKĐ!U169,TTSSKĐ!AA169,TTSSKĐ!AG169,TTSSKĐ!AM169))=9)*(CHOOSE({1,2,3,4},TTSSKĐ!X169,TTSSKĐ!AD169,TTSSKĐ!AJ169,TTSSKĐ!AP169)))</f>
        <v>0</v>
      </c>
      <c r="J169">
        <f>SUMPRODUCT((MONTH(CHOOSE({1,2,3,4},TTSSKĐ!U169,TTSSKĐ!AA169,TTSSKĐ!AG169,TTSSKĐ!AM169))=10)*(CHOOSE({1,2,3,4},TTSSKĐ!X169,TTSSKĐ!AD169,TTSSKĐ!AJ169,TTSSKĐ!AP169)))</f>
        <v>0</v>
      </c>
      <c r="K169">
        <f>SUMPRODUCT((MONTH(CHOOSE({1,2,3,4},TTSSKĐ!U169,TTSSKĐ!AA169,TTSSKĐ!AG169,TTSSKĐ!AM169))=11)*(CHOOSE({1,2,3,4},TTSSKĐ!X169,TTSSKĐ!AD169,TTSSKĐ!AJ169,TTSSKĐ!AP169)))</f>
        <v>0</v>
      </c>
      <c r="L169">
        <f>SUMPRODUCT((MONTH(CHOOSE({1,2,3,4},TTSSKĐ!U169,TTSSKĐ!AA169,TTSSKĐ!AG169,TTSSKĐ!AM169))=12)*(CHOOSE({1,2,3,4},TTSSKĐ!X169,TTSSKĐ!AD169,TTSSKĐ!AJ169,TTSSKĐ!AP169)))</f>
        <v>0</v>
      </c>
    </row>
    <row r="170" spans="1:12">
      <c r="A170">
        <f>SUMPRODUCT((MONTH(CHOOSE({1,2,3,4},TTSSKĐ!U170,TTSSKĐ!AA170,TTSSKĐ!AG170,TTSSKĐ!AM170))=1)*(CHOOSE({1,2,3,4},TTSSKĐ!X170,TTSSKĐ!AD170,TTSSKĐ!AJ170,TTSSKĐ!AP170)))</f>
        <v>0</v>
      </c>
      <c r="B170">
        <f>SUMPRODUCT((MONTH(CHOOSE({1,2,3,4},TTSSKĐ!U170,TTSSKĐ!AA170,TTSSKĐ!AG170,TTSSKĐ!AM170))=2)*(CHOOSE({1,2,3,4},TTSSKĐ!X170,TTSSKĐ!AD170,TTSSKĐ!AJ170,TTSSKĐ!AP170)))</f>
        <v>0</v>
      </c>
      <c r="C170">
        <f>SUMPRODUCT((MONTH(CHOOSE({1,2,3,4},TTSSKĐ!U170,TTSSKĐ!AA170,TTSSKĐ!AG170,TTSSKĐ!AM170))=3)*(CHOOSE({1,2,3,4},TTSSKĐ!X170,TTSSKĐ!AD170,TTSSKĐ!AJ170,TTSSKĐ!AP170)))</f>
        <v>0</v>
      </c>
      <c r="D170">
        <f>SUMPRODUCT((MONTH(CHOOSE({1,2,3,4},TTSSKĐ!U170,TTSSKĐ!AA170,TTSSKĐ!AG170,TTSSKĐ!AM170))=4)*(CHOOSE({1,2,3,4},TTSSKĐ!X170,TTSSKĐ!AD170,TTSSKĐ!AJ170,TTSSKĐ!AP170)))</f>
        <v>0</v>
      </c>
      <c r="E170">
        <f>SUMPRODUCT((MONTH(CHOOSE({1,2,3,4},TTSSKĐ!U170,TTSSKĐ!AA170,TTSSKĐ!AG170,TTSSKĐ!AM170))=5)*(CHOOSE({1,2,3,4},TTSSKĐ!X170,TTSSKĐ!AD170,TTSSKĐ!AJ170,TTSSKĐ!AP170)))</f>
        <v>0</v>
      </c>
      <c r="F170">
        <f>SUMPRODUCT((MONTH(CHOOSE({1,2,3,4},TTSSKĐ!U170,TTSSKĐ!AA170,TTSSKĐ!AG170,TTSSKĐ!AM170))=6)*(CHOOSE({1,2,3,4},TTSSKĐ!X170,TTSSKĐ!AD170,TTSSKĐ!AJ170,TTSSKĐ!AP170)))</f>
        <v>0</v>
      </c>
      <c r="G170">
        <f>SUMPRODUCT((MONTH(CHOOSE({1,2,3,4},TTSSKĐ!U170,TTSSKĐ!AA170,TTSSKĐ!AG170,TTSSKĐ!AM170))=7)*(CHOOSE({1,2,3,4},TTSSKĐ!X170,TTSSKĐ!AD170,TTSSKĐ!AJ170,TTSSKĐ!AP170)))</f>
        <v>0</v>
      </c>
      <c r="H170">
        <f>SUMPRODUCT((MONTH(CHOOSE({1,2,3,4},TTSSKĐ!U170,TTSSKĐ!AA170,TTSSKĐ!AG170,TTSSKĐ!AM170))=8)*(CHOOSE({1,2,3,4},TTSSKĐ!X170,TTSSKĐ!AD170,TTSSKĐ!AJ170,TTSSKĐ!AP170)))</f>
        <v>0</v>
      </c>
      <c r="I170">
        <f>SUMPRODUCT((MONTH(CHOOSE({1,2,3,4},TTSSKĐ!U170,TTSSKĐ!AA170,TTSSKĐ!AG170,TTSSKĐ!AM170))=9)*(CHOOSE({1,2,3,4},TTSSKĐ!X170,TTSSKĐ!AD170,TTSSKĐ!AJ170,TTSSKĐ!AP170)))</f>
        <v>0</v>
      </c>
      <c r="J170">
        <f>SUMPRODUCT((MONTH(CHOOSE({1,2,3,4},TTSSKĐ!U170,TTSSKĐ!AA170,TTSSKĐ!AG170,TTSSKĐ!AM170))=10)*(CHOOSE({1,2,3,4},TTSSKĐ!X170,TTSSKĐ!AD170,TTSSKĐ!AJ170,TTSSKĐ!AP170)))</f>
        <v>0</v>
      </c>
      <c r="K170">
        <f>SUMPRODUCT((MONTH(CHOOSE({1,2,3,4},TTSSKĐ!U170,TTSSKĐ!AA170,TTSSKĐ!AG170,TTSSKĐ!AM170))=11)*(CHOOSE({1,2,3,4},TTSSKĐ!X170,TTSSKĐ!AD170,TTSSKĐ!AJ170,TTSSKĐ!AP170)))</f>
        <v>0</v>
      </c>
      <c r="L170">
        <f>SUMPRODUCT((MONTH(CHOOSE({1,2,3,4},TTSSKĐ!U170,TTSSKĐ!AA170,TTSSKĐ!AG170,TTSSKĐ!AM170))=12)*(CHOOSE({1,2,3,4},TTSSKĐ!X170,TTSSKĐ!AD170,TTSSKĐ!AJ170,TTSSKĐ!AP170)))</f>
        <v>0</v>
      </c>
    </row>
    <row r="171" spans="1:12">
      <c r="A171">
        <f>SUMPRODUCT((MONTH(CHOOSE({1,2,3,4},TTSSKĐ!U171,TTSSKĐ!AA171,TTSSKĐ!AG171,TTSSKĐ!AM171))=1)*(CHOOSE({1,2,3,4},TTSSKĐ!X171,TTSSKĐ!AD171,TTSSKĐ!AJ171,TTSSKĐ!AP171)))</f>
        <v>0</v>
      </c>
      <c r="B171">
        <f>SUMPRODUCT((MONTH(CHOOSE({1,2,3,4},TTSSKĐ!U171,TTSSKĐ!AA171,TTSSKĐ!AG171,TTSSKĐ!AM171))=2)*(CHOOSE({1,2,3,4},TTSSKĐ!X171,TTSSKĐ!AD171,TTSSKĐ!AJ171,TTSSKĐ!AP171)))</f>
        <v>0</v>
      </c>
      <c r="C171">
        <f>SUMPRODUCT((MONTH(CHOOSE({1,2,3,4},TTSSKĐ!U171,TTSSKĐ!AA171,TTSSKĐ!AG171,TTSSKĐ!AM171))=3)*(CHOOSE({1,2,3,4},TTSSKĐ!X171,TTSSKĐ!AD171,TTSSKĐ!AJ171,TTSSKĐ!AP171)))</f>
        <v>0</v>
      </c>
      <c r="D171">
        <f>SUMPRODUCT((MONTH(CHOOSE({1,2,3,4},TTSSKĐ!U171,TTSSKĐ!AA171,TTSSKĐ!AG171,TTSSKĐ!AM171))=4)*(CHOOSE({1,2,3,4},TTSSKĐ!X171,TTSSKĐ!AD171,TTSSKĐ!AJ171,TTSSKĐ!AP171)))</f>
        <v>0</v>
      </c>
      <c r="E171">
        <f>SUMPRODUCT((MONTH(CHOOSE({1,2,3,4},TTSSKĐ!U171,TTSSKĐ!AA171,TTSSKĐ!AG171,TTSSKĐ!AM171))=5)*(CHOOSE({1,2,3,4},TTSSKĐ!X171,TTSSKĐ!AD171,TTSSKĐ!AJ171,TTSSKĐ!AP171)))</f>
        <v>0</v>
      </c>
      <c r="F171">
        <f>SUMPRODUCT((MONTH(CHOOSE({1,2,3,4},TTSSKĐ!U171,TTSSKĐ!AA171,TTSSKĐ!AG171,TTSSKĐ!AM171))=6)*(CHOOSE({1,2,3,4},TTSSKĐ!X171,TTSSKĐ!AD171,TTSSKĐ!AJ171,TTSSKĐ!AP171)))</f>
        <v>0</v>
      </c>
      <c r="G171">
        <f>SUMPRODUCT((MONTH(CHOOSE({1,2,3,4},TTSSKĐ!U171,TTSSKĐ!AA171,TTSSKĐ!AG171,TTSSKĐ!AM171))=7)*(CHOOSE({1,2,3,4},TTSSKĐ!X171,TTSSKĐ!AD171,TTSSKĐ!AJ171,TTSSKĐ!AP171)))</f>
        <v>0</v>
      </c>
      <c r="H171">
        <f>SUMPRODUCT((MONTH(CHOOSE({1,2,3,4},TTSSKĐ!U171,TTSSKĐ!AA171,TTSSKĐ!AG171,TTSSKĐ!AM171))=8)*(CHOOSE({1,2,3,4},TTSSKĐ!X171,TTSSKĐ!AD171,TTSSKĐ!AJ171,TTSSKĐ!AP171)))</f>
        <v>0</v>
      </c>
      <c r="I171">
        <f>SUMPRODUCT((MONTH(CHOOSE({1,2,3,4},TTSSKĐ!U171,TTSSKĐ!AA171,TTSSKĐ!AG171,TTSSKĐ!AM171))=9)*(CHOOSE({1,2,3,4},TTSSKĐ!X171,TTSSKĐ!AD171,TTSSKĐ!AJ171,TTSSKĐ!AP171)))</f>
        <v>0</v>
      </c>
      <c r="J171">
        <f>SUMPRODUCT((MONTH(CHOOSE({1,2,3,4},TTSSKĐ!U171,TTSSKĐ!AA171,TTSSKĐ!AG171,TTSSKĐ!AM171))=10)*(CHOOSE({1,2,3,4},TTSSKĐ!X171,TTSSKĐ!AD171,TTSSKĐ!AJ171,TTSSKĐ!AP171)))</f>
        <v>0</v>
      </c>
      <c r="K171">
        <f>SUMPRODUCT((MONTH(CHOOSE({1,2,3,4},TTSSKĐ!U171,TTSSKĐ!AA171,TTSSKĐ!AG171,TTSSKĐ!AM171))=11)*(CHOOSE({1,2,3,4},TTSSKĐ!X171,TTSSKĐ!AD171,TTSSKĐ!AJ171,TTSSKĐ!AP171)))</f>
        <v>0</v>
      </c>
      <c r="L171">
        <f>SUMPRODUCT((MONTH(CHOOSE({1,2,3,4},TTSSKĐ!U171,TTSSKĐ!AA171,TTSSKĐ!AG171,TTSSKĐ!AM171))=12)*(CHOOSE({1,2,3,4},TTSSKĐ!X171,TTSSKĐ!AD171,TTSSKĐ!AJ171,TTSSKĐ!AP171)))</f>
        <v>0</v>
      </c>
    </row>
    <row r="172" spans="1:12">
      <c r="A172">
        <f>SUMPRODUCT((MONTH(CHOOSE({1,2,3,4},TTSSKĐ!U172,TTSSKĐ!AA172,TTSSKĐ!AG172,TTSSKĐ!AM172))=1)*(CHOOSE({1,2,3,4},TTSSKĐ!X172,TTSSKĐ!AD172,TTSSKĐ!AJ172,TTSSKĐ!AP172)))</f>
        <v>0</v>
      </c>
      <c r="B172">
        <f>SUMPRODUCT((MONTH(CHOOSE({1,2,3,4},TTSSKĐ!U172,TTSSKĐ!AA172,TTSSKĐ!AG172,TTSSKĐ!AM172))=2)*(CHOOSE({1,2,3,4},TTSSKĐ!X172,TTSSKĐ!AD172,TTSSKĐ!AJ172,TTSSKĐ!AP172)))</f>
        <v>0</v>
      </c>
      <c r="C172">
        <f>SUMPRODUCT((MONTH(CHOOSE({1,2,3,4},TTSSKĐ!U172,TTSSKĐ!AA172,TTSSKĐ!AG172,TTSSKĐ!AM172))=3)*(CHOOSE({1,2,3,4},TTSSKĐ!X172,TTSSKĐ!AD172,TTSSKĐ!AJ172,TTSSKĐ!AP172)))</f>
        <v>0</v>
      </c>
      <c r="D172">
        <f>SUMPRODUCT((MONTH(CHOOSE({1,2,3,4},TTSSKĐ!U172,TTSSKĐ!AA172,TTSSKĐ!AG172,TTSSKĐ!AM172))=4)*(CHOOSE({1,2,3,4},TTSSKĐ!X172,TTSSKĐ!AD172,TTSSKĐ!AJ172,TTSSKĐ!AP172)))</f>
        <v>0</v>
      </c>
      <c r="E172">
        <f>SUMPRODUCT((MONTH(CHOOSE({1,2,3,4},TTSSKĐ!U172,TTSSKĐ!AA172,TTSSKĐ!AG172,TTSSKĐ!AM172))=5)*(CHOOSE({1,2,3,4},TTSSKĐ!X172,TTSSKĐ!AD172,TTSSKĐ!AJ172,TTSSKĐ!AP172)))</f>
        <v>0</v>
      </c>
      <c r="F172">
        <f>SUMPRODUCT((MONTH(CHOOSE({1,2,3,4},TTSSKĐ!U172,TTSSKĐ!AA172,TTSSKĐ!AG172,TTSSKĐ!AM172))=6)*(CHOOSE({1,2,3,4},TTSSKĐ!X172,TTSSKĐ!AD172,TTSSKĐ!AJ172,TTSSKĐ!AP172)))</f>
        <v>0</v>
      </c>
      <c r="G172">
        <f>SUMPRODUCT((MONTH(CHOOSE({1,2,3,4},TTSSKĐ!U172,TTSSKĐ!AA172,TTSSKĐ!AG172,TTSSKĐ!AM172))=7)*(CHOOSE({1,2,3,4},TTSSKĐ!X172,TTSSKĐ!AD172,TTSSKĐ!AJ172,TTSSKĐ!AP172)))</f>
        <v>0</v>
      </c>
      <c r="H172">
        <f>SUMPRODUCT((MONTH(CHOOSE({1,2,3,4},TTSSKĐ!U172,TTSSKĐ!AA172,TTSSKĐ!AG172,TTSSKĐ!AM172))=8)*(CHOOSE({1,2,3,4},TTSSKĐ!X172,TTSSKĐ!AD172,TTSSKĐ!AJ172,TTSSKĐ!AP172)))</f>
        <v>0</v>
      </c>
      <c r="I172">
        <f>SUMPRODUCT((MONTH(CHOOSE({1,2,3,4},TTSSKĐ!U172,TTSSKĐ!AA172,TTSSKĐ!AG172,TTSSKĐ!AM172))=9)*(CHOOSE({1,2,3,4},TTSSKĐ!X172,TTSSKĐ!AD172,TTSSKĐ!AJ172,TTSSKĐ!AP172)))</f>
        <v>0</v>
      </c>
      <c r="J172">
        <f>SUMPRODUCT((MONTH(CHOOSE({1,2,3,4},TTSSKĐ!U172,TTSSKĐ!AA172,TTSSKĐ!AG172,TTSSKĐ!AM172))=10)*(CHOOSE({1,2,3,4},TTSSKĐ!X172,TTSSKĐ!AD172,TTSSKĐ!AJ172,TTSSKĐ!AP172)))</f>
        <v>0</v>
      </c>
      <c r="K172">
        <f>SUMPRODUCT((MONTH(CHOOSE({1,2,3,4},TTSSKĐ!U172,TTSSKĐ!AA172,TTSSKĐ!AG172,TTSSKĐ!AM172))=11)*(CHOOSE({1,2,3,4},TTSSKĐ!X172,TTSSKĐ!AD172,TTSSKĐ!AJ172,TTSSKĐ!AP172)))</f>
        <v>0</v>
      </c>
      <c r="L172">
        <f>SUMPRODUCT((MONTH(CHOOSE({1,2,3,4},TTSSKĐ!U172,TTSSKĐ!AA172,TTSSKĐ!AG172,TTSSKĐ!AM172))=12)*(CHOOSE({1,2,3,4},TTSSKĐ!X172,TTSSKĐ!AD172,TTSSKĐ!AJ172,TTSSKĐ!AP172)))</f>
        <v>0</v>
      </c>
    </row>
    <row r="173" spans="1:12">
      <c r="A173">
        <f>SUMPRODUCT((MONTH(CHOOSE({1,2,3,4},TTSSKĐ!U173,TTSSKĐ!AA173,TTSSKĐ!AG173,TTSSKĐ!AM173))=1)*(CHOOSE({1,2,3,4},TTSSKĐ!X173,TTSSKĐ!AD173,TTSSKĐ!AJ173,TTSSKĐ!AP173)))</f>
        <v>0</v>
      </c>
      <c r="B173">
        <f>SUMPRODUCT((MONTH(CHOOSE({1,2,3,4},TTSSKĐ!U173,TTSSKĐ!AA173,TTSSKĐ!AG173,TTSSKĐ!AM173))=2)*(CHOOSE({1,2,3,4},TTSSKĐ!X173,TTSSKĐ!AD173,TTSSKĐ!AJ173,TTSSKĐ!AP173)))</f>
        <v>0</v>
      </c>
      <c r="C173">
        <f>SUMPRODUCT((MONTH(CHOOSE({1,2,3,4},TTSSKĐ!U173,TTSSKĐ!AA173,TTSSKĐ!AG173,TTSSKĐ!AM173))=3)*(CHOOSE({1,2,3,4},TTSSKĐ!X173,TTSSKĐ!AD173,TTSSKĐ!AJ173,TTSSKĐ!AP173)))</f>
        <v>0</v>
      </c>
      <c r="D173">
        <f>SUMPRODUCT((MONTH(CHOOSE({1,2,3,4},TTSSKĐ!U173,TTSSKĐ!AA173,TTSSKĐ!AG173,TTSSKĐ!AM173))=4)*(CHOOSE({1,2,3,4},TTSSKĐ!X173,TTSSKĐ!AD173,TTSSKĐ!AJ173,TTSSKĐ!AP173)))</f>
        <v>0</v>
      </c>
      <c r="E173">
        <f>SUMPRODUCT((MONTH(CHOOSE({1,2,3,4},TTSSKĐ!U173,TTSSKĐ!AA173,TTSSKĐ!AG173,TTSSKĐ!AM173))=5)*(CHOOSE({1,2,3,4},TTSSKĐ!X173,TTSSKĐ!AD173,TTSSKĐ!AJ173,TTSSKĐ!AP173)))</f>
        <v>0</v>
      </c>
      <c r="F173">
        <f>SUMPRODUCT((MONTH(CHOOSE({1,2,3,4},TTSSKĐ!U173,TTSSKĐ!AA173,TTSSKĐ!AG173,TTSSKĐ!AM173))=6)*(CHOOSE({1,2,3,4},TTSSKĐ!X173,TTSSKĐ!AD173,TTSSKĐ!AJ173,TTSSKĐ!AP173)))</f>
        <v>0</v>
      </c>
      <c r="G173">
        <f>SUMPRODUCT((MONTH(CHOOSE({1,2,3,4},TTSSKĐ!U173,TTSSKĐ!AA173,TTSSKĐ!AG173,TTSSKĐ!AM173))=7)*(CHOOSE({1,2,3,4},TTSSKĐ!X173,TTSSKĐ!AD173,TTSSKĐ!AJ173,TTSSKĐ!AP173)))</f>
        <v>0</v>
      </c>
      <c r="H173">
        <f>SUMPRODUCT((MONTH(CHOOSE({1,2,3,4},TTSSKĐ!U173,TTSSKĐ!AA173,TTSSKĐ!AG173,TTSSKĐ!AM173))=8)*(CHOOSE({1,2,3,4},TTSSKĐ!X173,TTSSKĐ!AD173,TTSSKĐ!AJ173,TTSSKĐ!AP173)))</f>
        <v>0</v>
      </c>
      <c r="I173">
        <f>SUMPRODUCT((MONTH(CHOOSE({1,2,3,4},TTSSKĐ!U173,TTSSKĐ!AA173,TTSSKĐ!AG173,TTSSKĐ!AM173))=9)*(CHOOSE({1,2,3,4},TTSSKĐ!X173,TTSSKĐ!AD173,TTSSKĐ!AJ173,TTSSKĐ!AP173)))</f>
        <v>0</v>
      </c>
      <c r="J173">
        <f>SUMPRODUCT((MONTH(CHOOSE({1,2,3,4},TTSSKĐ!U173,TTSSKĐ!AA173,TTSSKĐ!AG173,TTSSKĐ!AM173))=10)*(CHOOSE({1,2,3,4},TTSSKĐ!X173,TTSSKĐ!AD173,TTSSKĐ!AJ173,TTSSKĐ!AP173)))</f>
        <v>0</v>
      </c>
      <c r="K173">
        <f>SUMPRODUCT((MONTH(CHOOSE({1,2,3,4},TTSSKĐ!U173,TTSSKĐ!AA173,TTSSKĐ!AG173,TTSSKĐ!AM173))=11)*(CHOOSE({1,2,3,4},TTSSKĐ!X173,TTSSKĐ!AD173,TTSSKĐ!AJ173,TTSSKĐ!AP173)))</f>
        <v>0</v>
      </c>
      <c r="L173">
        <f>SUMPRODUCT((MONTH(CHOOSE({1,2,3,4},TTSSKĐ!U173,TTSSKĐ!AA173,TTSSKĐ!AG173,TTSSKĐ!AM173))=12)*(CHOOSE({1,2,3,4},TTSSKĐ!X173,TTSSKĐ!AD173,TTSSKĐ!AJ173,TTSSKĐ!AP173)))</f>
        <v>0</v>
      </c>
    </row>
    <row r="174" spans="1:12">
      <c r="A174">
        <f>SUMPRODUCT((MONTH(CHOOSE({1,2,3,4},TTSSKĐ!U174,TTSSKĐ!AA174,TTSSKĐ!AG174,TTSSKĐ!AM174))=1)*(CHOOSE({1,2,3,4},TTSSKĐ!X174,TTSSKĐ!AD174,TTSSKĐ!AJ174,TTSSKĐ!AP174)))</f>
        <v>0</v>
      </c>
      <c r="B174">
        <f>SUMPRODUCT((MONTH(CHOOSE({1,2,3,4},TTSSKĐ!U174,TTSSKĐ!AA174,TTSSKĐ!AG174,TTSSKĐ!AM174))=2)*(CHOOSE({1,2,3,4},TTSSKĐ!X174,TTSSKĐ!AD174,TTSSKĐ!AJ174,TTSSKĐ!AP174)))</f>
        <v>0</v>
      </c>
      <c r="C174">
        <f>SUMPRODUCT((MONTH(CHOOSE({1,2,3,4},TTSSKĐ!U174,TTSSKĐ!AA174,TTSSKĐ!AG174,TTSSKĐ!AM174))=3)*(CHOOSE({1,2,3,4},TTSSKĐ!X174,TTSSKĐ!AD174,TTSSKĐ!AJ174,TTSSKĐ!AP174)))</f>
        <v>0</v>
      </c>
      <c r="D174">
        <f>SUMPRODUCT((MONTH(CHOOSE({1,2,3,4},TTSSKĐ!U174,TTSSKĐ!AA174,TTSSKĐ!AG174,TTSSKĐ!AM174))=4)*(CHOOSE({1,2,3,4},TTSSKĐ!X174,TTSSKĐ!AD174,TTSSKĐ!AJ174,TTSSKĐ!AP174)))</f>
        <v>0</v>
      </c>
      <c r="E174">
        <f>SUMPRODUCT((MONTH(CHOOSE({1,2,3,4},TTSSKĐ!U174,TTSSKĐ!AA174,TTSSKĐ!AG174,TTSSKĐ!AM174))=5)*(CHOOSE({1,2,3,4},TTSSKĐ!X174,TTSSKĐ!AD174,TTSSKĐ!AJ174,TTSSKĐ!AP174)))</f>
        <v>0</v>
      </c>
      <c r="F174">
        <f>SUMPRODUCT((MONTH(CHOOSE({1,2,3,4},TTSSKĐ!U174,TTSSKĐ!AA174,TTSSKĐ!AG174,TTSSKĐ!AM174))=6)*(CHOOSE({1,2,3,4},TTSSKĐ!X174,TTSSKĐ!AD174,TTSSKĐ!AJ174,TTSSKĐ!AP174)))</f>
        <v>0</v>
      </c>
      <c r="G174">
        <f>SUMPRODUCT((MONTH(CHOOSE({1,2,3,4},TTSSKĐ!U174,TTSSKĐ!AA174,TTSSKĐ!AG174,TTSSKĐ!AM174))=7)*(CHOOSE({1,2,3,4},TTSSKĐ!X174,TTSSKĐ!AD174,TTSSKĐ!AJ174,TTSSKĐ!AP174)))</f>
        <v>0</v>
      </c>
      <c r="H174">
        <f>SUMPRODUCT((MONTH(CHOOSE({1,2,3,4},TTSSKĐ!U174,TTSSKĐ!AA174,TTSSKĐ!AG174,TTSSKĐ!AM174))=8)*(CHOOSE({1,2,3,4},TTSSKĐ!X174,TTSSKĐ!AD174,TTSSKĐ!AJ174,TTSSKĐ!AP174)))</f>
        <v>0</v>
      </c>
      <c r="I174">
        <f>SUMPRODUCT((MONTH(CHOOSE({1,2,3,4},TTSSKĐ!U174,TTSSKĐ!AA174,TTSSKĐ!AG174,TTSSKĐ!AM174))=9)*(CHOOSE({1,2,3,4},TTSSKĐ!X174,TTSSKĐ!AD174,TTSSKĐ!AJ174,TTSSKĐ!AP174)))</f>
        <v>0</v>
      </c>
      <c r="J174">
        <f>SUMPRODUCT((MONTH(CHOOSE({1,2,3,4},TTSSKĐ!U174,TTSSKĐ!AA174,TTSSKĐ!AG174,TTSSKĐ!AM174))=10)*(CHOOSE({1,2,3,4},TTSSKĐ!X174,TTSSKĐ!AD174,TTSSKĐ!AJ174,TTSSKĐ!AP174)))</f>
        <v>0</v>
      </c>
      <c r="K174">
        <f>SUMPRODUCT((MONTH(CHOOSE({1,2,3,4},TTSSKĐ!U174,TTSSKĐ!AA174,TTSSKĐ!AG174,TTSSKĐ!AM174))=11)*(CHOOSE({1,2,3,4},TTSSKĐ!X174,TTSSKĐ!AD174,TTSSKĐ!AJ174,TTSSKĐ!AP174)))</f>
        <v>0</v>
      </c>
      <c r="L174">
        <f>SUMPRODUCT((MONTH(CHOOSE({1,2,3,4},TTSSKĐ!U174,TTSSKĐ!AA174,TTSSKĐ!AG174,TTSSKĐ!AM174))=12)*(CHOOSE({1,2,3,4},TTSSKĐ!X174,TTSSKĐ!AD174,TTSSKĐ!AJ174,TTSSKĐ!AP174)))</f>
        <v>0</v>
      </c>
    </row>
    <row r="175" spans="1:12">
      <c r="A175">
        <f>SUMPRODUCT((MONTH(CHOOSE({1,2,3,4},TTSSKĐ!U175,TTSSKĐ!AA175,TTSSKĐ!AG175,TTSSKĐ!AM175))=1)*(CHOOSE({1,2,3,4},TTSSKĐ!X175,TTSSKĐ!AD175,TTSSKĐ!AJ175,TTSSKĐ!AP175)))</f>
        <v>0</v>
      </c>
      <c r="B175">
        <f>SUMPRODUCT((MONTH(CHOOSE({1,2,3,4},TTSSKĐ!U175,TTSSKĐ!AA175,TTSSKĐ!AG175,TTSSKĐ!AM175))=2)*(CHOOSE({1,2,3,4},TTSSKĐ!X175,TTSSKĐ!AD175,TTSSKĐ!AJ175,TTSSKĐ!AP175)))</f>
        <v>0</v>
      </c>
      <c r="C175">
        <f>SUMPRODUCT((MONTH(CHOOSE({1,2,3,4},TTSSKĐ!U175,TTSSKĐ!AA175,TTSSKĐ!AG175,TTSSKĐ!AM175))=3)*(CHOOSE({1,2,3,4},TTSSKĐ!X175,TTSSKĐ!AD175,TTSSKĐ!AJ175,TTSSKĐ!AP175)))</f>
        <v>0</v>
      </c>
      <c r="D175">
        <f>SUMPRODUCT((MONTH(CHOOSE({1,2,3,4},TTSSKĐ!U175,TTSSKĐ!AA175,TTSSKĐ!AG175,TTSSKĐ!AM175))=4)*(CHOOSE({1,2,3,4},TTSSKĐ!X175,TTSSKĐ!AD175,TTSSKĐ!AJ175,TTSSKĐ!AP175)))</f>
        <v>0</v>
      </c>
      <c r="E175">
        <f>SUMPRODUCT((MONTH(CHOOSE({1,2,3,4},TTSSKĐ!U175,TTSSKĐ!AA175,TTSSKĐ!AG175,TTSSKĐ!AM175))=5)*(CHOOSE({1,2,3,4},TTSSKĐ!X175,TTSSKĐ!AD175,TTSSKĐ!AJ175,TTSSKĐ!AP175)))</f>
        <v>0</v>
      </c>
      <c r="F175">
        <f>SUMPRODUCT((MONTH(CHOOSE({1,2,3,4},TTSSKĐ!U175,TTSSKĐ!AA175,TTSSKĐ!AG175,TTSSKĐ!AM175))=6)*(CHOOSE({1,2,3,4},TTSSKĐ!X175,TTSSKĐ!AD175,TTSSKĐ!AJ175,TTSSKĐ!AP175)))</f>
        <v>0</v>
      </c>
      <c r="G175">
        <f>SUMPRODUCT((MONTH(CHOOSE({1,2,3,4},TTSSKĐ!U175,TTSSKĐ!AA175,TTSSKĐ!AG175,TTSSKĐ!AM175))=7)*(CHOOSE({1,2,3,4},TTSSKĐ!X175,TTSSKĐ!AD175,TTSSKĐ!AJ175,TTSSKĐ!AP175)))</f>
        <v>0</v>
      </c>
      <c r="H175">
        <f>SUMPRODUCT((MONTH(CHOOSE({1,2,3,4},TTSSKĐ!U175,TTSSKĐ!AA175,TTSSKĐ!AG175,TTSSKĐ!AM175))=8)*(CHOOSE({1,2,3,4},TTSSKĐ!X175,TTSSKĐ!AD175,TTSSKĐ!AJ175,TTSSKĐ!AP175)))</f>
        <v>0</v>
      </c>
      <c r="I175">
        <f>SUMPRODUCT((MONTH(CHOOSE({1,2,3,4},TTSSKĐ!U175,TTSSKĐ!AA175,TTSSKĐ!AG175,TTSSKĐ!AM175))=9)*(CHOOSE({1,2,3,4},TTSSKĐ!X175,TTSSKĐ!AD175,TTSSKĐ!AJ175,TTSSKĐ!AP175)))</f>
        <v>0</v>
      </c>
      <c r="J175">
        <f>SUMPRODUCT((MONTH(CHOOSE({1,2,3,4},TTSSKĐ!U175,TTSSKĐ!AA175,TTSSKĐ!AG175,TTSSKĐ!AM175))=10)*(CHOOSE({1,2,3,4},TTSSKĐ!X175,TTSSKĐ!AD175,TTSSKĐ!AJ175,TTSSKĐ!AP175)))</f>
        <v>0</v>
      </c>
      <c r="K175">
        <f>SUMPRODUCT((MONTH(CHOOSE({1,2,3,4},TTSSKĐ!U175,TTSSKĐ!AA175,TTSSKĐ!AG175,TTSSKĐ!AM175))=11)*(CHOOSE({1,2,3,4},TTSSKĐ!X175,TTSSKĐ!AD175,TTSSKĐ!AJ175,TTSSKĐ!AP175)))</f>
        <v>0</v>
      </c>
      <c r="L175">
        <f>SUMPRODUCT((MONTH(CHOOSE({1,2,3,4},TTSSKĐ!U175,TTSSKĐ!AA175,TTSSKĐ!AG175,TTSSKĐ!AM175))=12)*(CHOOSE({1,2,3,4},TTSSKĐ!X175,TTSSKĐ!AD175,TTSSKĐ!AJ175,TTSSKĐ!AP175)))</f>
        <v>0</v>
      </c>
    </row>
    <row r="176" spans="1:12">
      <c r="A176">
        <f>SUMPRODUCT((MONTH(CHOOSE({1,2,3,4},TTSSKĐ!U176,TTSSKĐ!AA176,TTSSKĐ!AG176,TTSSKĐ!AM176))=1)*(CHOOSE({1,2,3,4},TTSSKĐ!X176,TTSSKĐ!AD176,TTSSKĐ!AJ176,TTSSKĐ!AP176)))</f>
        <v>0</v>
      </c>
      <c r="B176">
        <f>SUMPRODUCT((MONTH(CHOOSE({1,2,3,4},TTSSKĐ!U176,TTSSKĐ!AA176,TTSSKĐ!AG176,TTSSKĐ!AM176))=2)*(CHOOSE({1,2,3,4},TTSSKĐ!X176,TTSSKĐ!AD176,TTSSKĐ!AJ176,TTSSKĐ!AP176)))</f>
        <v>0</v>
      </c>
      <c r="C176">
        <f>SUMPRODUCT((MONTH(CHOOSE({1,2,3,4},TTSSKĐ!U176,TTSSKĐ!AA176,TTSSKĐ!AG176,TTSSKĐ!AM176))=3)*(CHOOSE({1,2,3,4},TTSSKĐ!X176,TTSSKĐ!AD176,TTSSKĐ!AJ176,TTSSKĐ!AP176)))</f>
        <v>0</v>
      </c>
      <c r="D176">
        <f>SUMPRODUCT((MONTH(CHOOSE({1,2,3,4},TTSSKĐ!U176,TTSSKĐ!AA176,TTSSKĐ!AG176,TTSSKĐ!AM176))=4)*(CHOOSE({1,2,3,4},TTSSKĐ!X176,TTSSKĐ!AD176,TTSSKĐ!AJ176,TTSSKĐ!AP176)))</f>
        <v>0</v>
      </c>
      <c r="E176">
        <f>SUMPRODUCT((MONTH(CHOOSE({1,2,3,4},TTSSKĐ!U176,TTSSKĐ!AA176,TTSSKĐ!AG176,TTSSKĐ!AM176))=5)*(CHOOSE({1,2,3,4},TTSSKĐ!X176,TTSSKĐ!AD176,TTSSKĐ!AJ176,TTSSKĐ!AP176)))</f>
        <v>0</v>
      </c>
      <c r="F176">
        <f>SUMPRODUCT((MONTH(CHOOSE({1,2,3,4},TTSSKĐ!U176,TTSSKĐ!AA176,TTSSKĐ!AG176,TTSSKĐ!AM176))=6)*(CHOOSE({1,2,3,4},TTSSKĐ!X176,TTSSKĐ!AD176,TTSSKĐ!AJ176,TTSSKĐ!AP176)))</f>
        <v>0</v>
      </c>
      <c r="G176">
        <f>SUMPRODUCT((MONTH(CHOOSE({1,2,3,4},TTSSKĐ!U176,TTSSKĐ!AA176,TTSSKĐ!AG176,TTSSKĐ!AM176))=7)*(CHOOSE({1,2,3,4},TTSSKĐ!X176,TTSSKĐ!AD176,TTSSKĐ!AJ176,TTSSKĐ!AP176)))</f>
        <v>0</v>
      </c>
      <c r="H176">
        <f>SUMPRODUCT((MONTH(CHOOSE({1,2,3,4},TTSSKĐ!U176,TTSSKĐ!AA176,TTSSKĐ!AG176,TTSSKĐ!AM176))=8)*(CHOOSE({1,2,3,4},TTSSKĐ!X176,TTSSKĐ!AD176,TTSSKĐ!AJ176,TTSSKĐ!AP176)))</f>
        <v>0</v>
      </c>
      <c r="I176">
        <f>SUMPRODUCT((MONTH(CHOOSE({1,2,3,4},TTSSKĐ!U176,TTSSKĐ!AA176,TTSSKĐ!AG176,TTSSKĐ!AM176))=9)*(CHOOSE({1,2,3,4},TTSSKĐ!X176,TTSSKĐ!AD176,TTSSKĐ!AJ176,TTSSKĐ!AP176)))</f>
        <v>0</v>
      </c>
      <c r="J176">
        <f>SUMPRODUCT((MONTH(CHOOSE({1,2,3,4},TTSSKĐ!U176,TTSSKĐ!AA176,TTSSKĐ!AG176,TTSSKĐ!AM176))=10)*(CHOOSE({1,2,3,4},TTSSKĐ!X176,TTSSKĐ!AD176,TTSSKĐ!AJ176,TTSSKĐ!AP176)))</f>
        <v>0</v>
      </c>
      <c r="K176">
        <f>SUMPRODUCT((MONTH(CHOOSE({1,2,3,4},TTSSKĐ!U176,TTSSKĐ!AA176,TTSSKĐ!AG176,TTSSKĐ!AM176))=11)*(CHOOSE({1,2,3,4},TTSSKĐ!X176,TTSSKĐ!AD176,TTSSKĐ!AJ176,TTSSKĐ!AP176)))</f>
        <v>0</v>
      </c>
      <c r="L176">
        <f>SUMPRODUCT((MONTH(CHOOSE({1,2,3,4},TTSSKĐ!U176,TTSSKĐ!AA176,TTSSKĐ!AG176,TTSSKĐ!AM176))=12)*(CHOOSE({1,2,3,4},TTSSKĐ!X176,TTSSKĐ!AD176,TTSSKĐ!AJ176,TTSSKĐ!AP176)))</f>
        <v>0</v>
      </c>
    </row>
    <row r="177" spans="1:12">
      <c r="A177">
        <f>SUMPRODUCT((MONTH(CHOOSE({1,2,3,4},TTSSKĐ!U177,TTSSKĐ!AA177,TTSSKĐ!AG177,TTSSKĐ!AM177))=1)*(CHOOSE({1,2,3,4},TTSSKĐ!X177,TTSSKĐ!AD177,TTSSKĐ!AJ177,TTSSKĐ!AP177)))</f>
        <v>0</v>
      </c>
      <c r="B177">
        <f>SUMPRODUCT((MONTH(CHOOSE({1,2,3,4},TTSSKĐ!U177,TTSSKĐ!AA177,TTSSKĐ!AG177,TTSSKĐ!AM177))=2)*(CHOOSE({1,2,3,4},TTSSKĐ!X177,TTSSKĐ!AD177,TTSSKĐ!AJ177,TTSSKĐ!AP177)))</f>
        <v>0</v>
      </c>
      <c r="C177">
        <f>SUMPRODUCT((MONTH(CHOOSE({1,2,3,4},TTSSKĐ!U177,TTSSKĐ!AA177,TTSSKĐ!AG177,TTSSKĐ!AM177))=3)*(CHOOSE({1,2,3,4},TTSSKĐ!X177,TTSSKĐ!AD177,TTSSKĐ!AJ177,TTSSKĐ!AP177)))</f>
        <v>0</v>
      </c>
      <c r="D177">
        <f>SUMPRODUCT((MONTH(CHOOSE({1,2,3,4},TTSSKĐ!U177,TTSSKĐ!AA177,TTSSKĐ!AG177,TTSSKĐ!AM177))=4)*(CHOOSE({1,2,3,4},TTSSKĐ!X177,TTSSKĐ!AD177,TTSSKĐ!AJ177,TTSSKĐ!AP177)))</f>
        <v>0</v>
      </c>
      <c r="E177">
        <f>SUMPRODUCT((MONTH(CHOOSE({1,2,3,4},TTSSKĐ!U177,TTSSKĐ!AA177,TTSSKĐ!AG177,TTSSKĐ!AM177))=5)*(CHOOSE({1,2,3,4},TTSSKĐ!X177,TTSSKĐ!AD177,TTSSKĐ!AJ177,TTSSKĐ!AP177)))</f>
        <v>0</v>
      </c>
      <c r="F177">
        <f>SUMPRODUCT((MONTH(CHOOSE({1,2,3,4},TTSSKĐ!U177,TTSSKĐ!AA177,TTSSKĐ!AG177,TTSSKĐ!AM177))=6)*(CHOOSE({1,2,3,4},TTSSKĐ!X177,TTSSKĐ!AD177,TTSSKĐ!AJ177,TTSSKĐ!AP177)))</f>
        <v>0</v>
      </c>
      <c r="G177">
        <f>SUMPRODUCT((MONTH(CHOOSE({1,2,3,4},TTSSKĐ!U177,TTSSKĐ!AA177,TTSSKĐ!AG177,TTSSKĐ!AM177))=7)*(CHOOSE({1,2,3,4},TTSSKĐ!X177,TTSSKĐ!AD177,TTSSKĐ!AJ177,TTSSKĐ!AP177)))</f>
        <v>0</v>
      </c>
      <c r="H177">
        <f>SUMPRODUCT((MONTH(CHOOSE({1,2,3,4},TTSSKĐ!U177,TTSSKĐ!AA177,TTSSKĐ!AG177,TTSSKĐ!AM177))=8)*(CHOOSE({1,2,3,4},TTSSKĐ!X177,TTSSKĐ!AD177,TTSSKĐ!AJ177,TTSSKĐ!AP177)))</f>
        <v>0</v>
      </c>
      <c r="I177">
        <f>SUMPRODUCT((MONTH(CHOOSE({1,2,3,4},TTSSKĐ!U177,TTSSKĐ!AA177,TTSSKĐ!AG177,TTSSKĐ!AM177))=9)*(CHOOSE({1,2,3,4},TTSSKĐ!X177,TTSSKĐ!AD177,TTSSKĐ!AJ177,TTSSKĐ!AP177)))</f>
        <v>0</v>
      </c>
      <c r="J177">
        <f>SUMPRODUCT((MONTH(CHOOSE({1,2,3,4},TTSSKĐ!U177,TTSSKĐ!AA177,TTSSKĐ!AG177,TTSSKĐ!AM177))=10)*(CHOOSE({1,2,3,4},TTSSKĐ!X177,TTSSKĐ!AD177,TTSSKĐ!AJ177,TTSSKĐ!AP177)))</f>
        <v>0</v>
      </c>
      <c r="K177">
        <f>SUMPRODUCT((MONTH(CHOOSE({1,2,3,4},TTSSKĐ!U177,TTSSKĐ!AA177,TTSSKĐ!AG177,TTSSKĐ!AM177))=11)*(CHOOSE({1,2,3,4},TTSSKĐ!X177,TTSSKĐ!AD177,TTSSKĐ!AJ177,TTSSKĐ!AP177)))</f>
        <v>0</v>
      </c>
      <c r="L177">
        <f>SUMPRODUCT((MONTH(CHOOSE({1,2,3,4},TTSSKĐ!U177,TTSSKĐ!AA177,TTSSKĐ!AG177,TTSSKĐ!AM177))=12)*(CHOOSE({1,2,3,4},TTSSKĐ!X177,TTSSKĐ!AD177,TTSSKĐ!AJ177,TTSSKĐ!AP177)))</f>
        <v>0</v>
      </c>
    </row>
    <row r="178" spans="1:12">
      <c r="A178">
        <f>SUMPRODUCT((MONTH(CHOOSE({1,2,3,4},TTSSKĐ!U178,TTSSKĐ!AA178,TTSSKĐ!AG178,TTSSKĐ!AM178))=1)*(CHOOSE({1,2,3,4},TTSSKĐ!X178,TTSSKĐ!AD178,TTSSKĐ!AJ178,TTSSKĐ!AP178)))</f>
        <v>0</v>
      </c>
      <c r="B178">
        <f>SUMPRODUCT((MONTH(CHOOSE({1,2,3,4},TTSSKĐ!U178,TTSSKĐ!AA178,TTSSKĐ!AG178,TTSSKĐ!AM178))=2)*(CHOOSE({1,2,3,4},TTSSKĐ!X178,TTSSKĐ!AD178,TTSSKĐ!AJ178,TTSSKĐ!AP178)))</f>
        <v>0</v>
      </c>
      <c r="C178">
        <f>SUMPRODUCT((MONTH(CHOOSE({1,2,3,4},TTSSKĐ!U178,TTSSKĐ!AA178,TTSSKĐ!AG178,TTSSKĐ!AM178))=3)*(CHOOSE({1,2,3,4},TTSSKĐ!X178,TTSSKĐ!AD178,TTSSKĐ!AJ178,TTSSKĐ!AP178)))</f>
        <v>0</v>
      </c>
      <c r="D178">
        <f>SUMPRODUCT((MONTH(CHOOSE({1,2,3,4},TTSSKĐ!U178,TTSSKĐ!AA178,TTSSKĐ!AG178,TTSSKĐ!AM178))=4)*(CHOOSE({1,2,3,4},TTSSKĐ!X178,TTSSKĐ!AD178,TTSSKĐ!AJ178,TTSSKĐ!AP178)))</f>
        <v>0</v>
      </c>
      <c r="E178">
        <f>SUMPRODUCT((MONTH(CHOOSE({1,2,3,4},TTSSKĐ!U178,TTSSKĐ!AA178,TTSSKĐ!AG178,TTSSKĐ!AM178))=5)*(CHOOSE({1,2,3,4},TTSSKĐ!X178,TTSSKĐ!AD178,TTSSKĐ!AJ178,TTSSKĐ!AP178)))</f>
        <v>0</v>
      </c>
      <c r="F178">
        <f>SUMPRODUCT((MONTH(CHOOSE({1,2,3,4},TTSSKĐ!U178,TTSSKĐ!AA178,TTSSKĐ!AG178,TTSSKĐ!AM178))=6)*(CHOOSE({1,2,3,4},TTSSKĐ!X178,TTSSKĐ!AD178,TTSSKĐ!AJ178,TTSSKĐ!AP178)))</f>
        <v>0</v>
      </c>
      <c r="G178">
        <f>SUMPRODUCT((MONTH(CHOOSE({1,2,3,4},TTSSKĐ!U178,TTSSKĐ!AA178,TTSSKĐ!AG178,TTSSKĐ!AM178))=7)*(CHOOSE({1,2,3,4},TTSSKĐ!X178,TTSSKĐ!AD178,TTSSKĐ!AJ178,TTSSKĐ!AP178)))</f>
        <v>0</v>
      </c>
      <c r="H178">
        <f>SUMPRODUCT((MONTH(CHOOSE({1,2,3,4},TTSSKĐ!U178,TTSSKĐ!AA178,TTSSKĐ!AG178,TTSSKĐ!AM178))=8)*(CHOOSE({1,2,3,4},TTSSKĐ!X178,TTSSKĐ!AD178,TTSSKĐ!AJ178,TTSSKĐ!AP178)))</f>
        <v>0</v>
      </c>
      <c r="I178">
        <f>SUMPRODUCT((MONTH(CHOOSE({1,2,3,4},TTSSKĐ!U178,TTSSKĐ!AA178,TTSSKĐ!AG178,TTSSKĐ!AM178))=9)*(CHOOSE({1,2,3,4},TTSSKĐ!X178,TTSSKĐ!AD178,TTSSKĐ!AJ178,TTSSKĐ!AP178)))</f>
        <v>0</v>
      </c>
      <c r="J178">
        <f>SUMPRODUCT((MONTH(CHOOSE({1,2,3,4},TTSSKĐ!U178,TTSSKĐ!AA178,TTSSKĐ!AG178,TTSSKĐ!AM178))=10)*(CHOOSE({1,2,3,4},TTSSKĐ!X178,TTSSKĐ!AD178,TTSSKĐ!AJ178,TTSSKĐ!AP178)))</f>
        <v>0</v>
      </c>
      <c r="K178">
        <f>SUMPRODUCT((MONTH(CHOOSE({1,2,3,4},TTSSKĐ!U178,TTSSKĐ!AA178,TTSSKĐ!AG178,TTSSKĐ!AM178))=11)*(CHOOSE({1,2,3,4},TTSSKĐ!X178,TTSSKĐ!AD178,TTSSKĐ!AJ178,TTSSKĐ!AP178)))</f>
        <v>0</v>
      </c>
      <c r="L178">
        <f>SUMPRODUCT((MONTH(CHOOSE({1,2,3,4},TTSSKĐ!U178,TTSSKĐ!AA178,TTSSKĐ!AG178,TTSSKĐ!AM178))=12)*(CHOOSE({1,2,3,4},TTSSKĐ!X178,TTSSKĐ!AD178,TTSSKĐ!AJ178,TTSSKĐ!AP178)))</f>
        <v>0</v>
      </c>
    </row>
    <row r="179" spans="1:12">
      <c r="A179">
        <f>SUMPRODUCT((MONTH(CHOOSE({1,2,3,4},TTSSKĐ!U179,TTSSKĐ!AA179,TTSSKĐ!AG179,TTSSKĐ!AM179))=1)*(CHOOSE({1,2,3,4},TTSSKĐ!X179,TTSSKĐ!AD179,TTSSKĐ!AJ179,TTSSKĐ!AP179)))</f>
        <v>0</v>
      </c>
      <c r="B179">
        <f>SUMPRODUCT((MONTH(CHOOSE({1,2,3,4},TTSSKĐ!U179,TTSSKĐ!AA179,TTSSKĐ!AG179,TTSSKĐ!AM179))=2)*(CHOOSE({1,2,3,4},TTSSKĐ!X179,TTSSKĐ!AD179,TTSSKĐ!AJ179,TTSSKĐ!AP179)))</f>
        <v>0</v>
      </c>
      <c r="C179">
        <f>SUMPRODUCT((MONTH(CHOOSE({1,2,3,4},TTSSKĐ!U179,TTSSKĐ!AA179,TTSSKĐ!AG179,TTSSKĐ!AM179))=3)*(CHOOSE({1,2,3,4},TTSSKĐ!X179,TTSSKĐ!AD179,TTSSKĐ!AJ179,TTSSKĐ!AP179)))</f>
        <v>0</v>
      </c>
      <c r="D179">
        <f>SUMPRODUCT((MONTH(CHOOSE({1,2,3,4},TTSSKĐ!U179,TTSSKĐ!AA179,TTSSKĐ!AG179,TTSSKĐ!AM179))=4)*(CHOOSE({1,2,3,4},TTSSKĐ!X179,TTSSKĐ!AD179,TTSSKĐ!AJ179,TTSSKĐ!AP179)))</f>
        <v>0</v>
      </c>
      <c r="E179">
        <f>SUMPRODUCT((MONTH(CHOOSE({1,2,3,4},TTSSKĐ!U179,TTSSKĐ!AA179,TTSSKĐ!AG179,TTSSKĐ!AM179))=5)*(CHOOSE({1,2,3,4},TTSSKĐ!X179,TTSSKĐ!AD179,TTSSKĐ!AJ179,TTSSKĐ!AP179)))</f>
        <v>0</v>
      </c>
      <c r="F179">
        <f>SUMPRODUCT((MONTH(CHOOSE({1,2,3,4},TTSSKĐ!U179,TTSSKĐ!AA179,TTSSKĐ!AG179,TTSSKĐ!AM179))=6)*(CHOOSE({1,2,3,4},TTSSKĐ!X179,TTSSKĐ!AD179,TTSSKĐ!AJ179,TTSSKĐ!AP179)))</f>
        <v>0</v>
      </c>
      <c r="G179">
        <f>SUMPRODUCT((MONTH(CHOOSE({1,2,3,4},TTSSKĐ!U179,TTSSKĐ!AA179,TTSSKĐ!AG179,TTSSKĐ!AM179))=7)*(CHOOSE({1,2,3,4},TTSSKĐ!X179,TTSSKĐ!AD179,TTSSKĐ!AJ179,TTSSKĐ!AP179)))</f>
        <v>0</v>
      </c>
      <c r="H179">
        <f>SUMPRODUCT((MONTH(CHOOSE({1,2,3,4},TTSSKĐ!U179,TTSSKĐ!AA179,TTSSKĐ!AG179,TTSSKĐ!AM179))=8)*(CHOOSE({1,2,3,4},TTSSKĐ!X179,TTSSKĐ!AD179,TTSSKĐ!AJ179,TTSSKĐ!AP179)))</f>
        <v>0</v>
      </c>
      <c r="I179">
        <f>SUMPRODUCT((MONTH(CHOOSE({1,2,3,4},TTSSKĐ!U179,TTSSKĐ!AA179,TTSSKĐ!AG179,TTSSKĐ!AM179))=9)*(CHOOSE({1,2,3,4},TTSSKĐ!X179,TTSSKĐ!AD179,TTSSKĐ!AJ179,TTSSKĐ!AP179)))</f>
        <v>0</v>
      </c>
      <c r="J179">
        <f>SUMPRODUCT((MONTH(CHOOSE({1,2,3,4},TTSSKĐ!U179,TTSSKĐ!AA179,TTSSKĐ!AG179,TTSSKĐ!AM179))=10)*(CHOOSE({1,2,3,4},TTSSKĐ!X179,TTSSKĐ!AD179,TTSSKĐ!AJ179,TTSSKĐ!AP179)))</f>
        <v>0</v>
      </c>
      <c r="K179">
        <f>SUMPRODUCT((MONTH(CHOOSE({1,2,3,4},TTSSKĐ!U179,TTSSKĐ!AA179,TTSSKĐ!AG179,TTSSKĐ!AM179))=11)*(CHOOSE({1,2,3,4},TTSSKĐ!X179,TTSSKĐ!AD179,TTSSKĐ!AJ179,TTSSKĐ!AP179)))</f>
        <v>0</v>
      </c>
      <c r="L179">
        <f>SUMPRODUCT((MONTH(CHOOSE({1,2,3,4},TTSSKĐ!U179,TTSSKĐ!AA179,TTSSKĐ!AG179,TTSSKĐ!AM179))=12)*(CHOOSE({1,2,3,4},TTSSKĐ!X179,TTSSKĐ!AD179,TTSSKĐ!AJ179,TTSSKĐ!AP179)))</f>
        <v>0</v>
      </c>
    </row>
    <row r="180" spans="1:12">
      <c r="A180">
        <f>SUMPRODUCT((MONTH(CHOOSE({1,2,3,4},TTSSKĐ!U180,TTSSKĐ!AA180,TTSSKĐ!AG180,TTSSKĐ!AM180))=1)*(CHOOSE({1,2,3,4},TTSSKĐ!X180,TTSSKĐ!AD180,TTSSKĐ!AJ180,TTSSKĐ!AP180)))</f>
        <v>0</v>
      </c>
      <c r="B180">
        <f>SUMPRODUCT((MONTH(CHOOSE({1,2,3,4},TTSSKĐ!U180,TTSSKĐ!AA180,TTSSKĐ!AG180,TTSSKĐ!AM180))=2)*(CHOOSE({1,2,3,4},TTSSKĐ!X180,TTSSKĐ!AD180,TTSSKĐ!AJ180,TTSSKĐ!AP180)))</f>
        <v>0</v>
      </c>
      <c r="C180">
        <f>SUMPRODUCT((MONTH(CHOOSE({1,2,3,4},TTSSKĐ!U180,TTSSKĐ!AA180,TTSSKĐ!AG180,TTSSKĐ!AM180))=3)*(CHOOSE({1,2,3,4},TTSSKĐ!X180,TTSSKĐ!AD180,TTSSKĐ!AJ180,TTSSKĐ!AP180)))</f>
        <v>0</v>
      </c>
      <c r="D180">
        <f>SUMPRODUCT((MONTH(CHOOSE({1,2,3,4},TTSSKĐ!U180,TTSSKĐ!AA180,TTSSKĐ!AG180,TTSSKĐ!AM180))=4)*(CHOOSE({1,2,3,4},TTSSKĐ!X180,TTSSKĐ!AD180,TTSSKĐ!AJ180,TTSSKĐ!AP180)))</f>
        <v>0</v>
      </c>
      <c r="E180">
        <f>SUMPRODUCT((MONTH(CHOOSE({1,2,3,4},TTSSKĐ!U180,TTSSKĐ!AA180,TTSSKĐ!AG180,TTSSKĐ!AM180))=5)*(CHOOSE({1,2,3,4},TTSSKĐ!X180,TTSSKĐ!AD180,TTSSKĐ!AJ180,TTSSKĐ!AP180)))</f>
        <v>0</v>
      </c>
      <c r="F180">
        <f>SUMPRODUCT((MONTH(CHOOSE({1,2,3,4},TTSSKĐ!U180,TTSSKĐ!AA180,TTSSKĐ!AG180,TTSSKĐ!AM180))=6)*(CHOOSE({1,2,3,4},TTSSKĐ!X180,TTSSKĐ!AD180,TTSSKĐ!AJ180,TTSSKĐ!AP180)))</f>
        <v>0</v>
      </c>
      <c r="G180">
        <f>SUMPRODUCT((MONTH(CHOOSE({1,2,3,4},TTSSKĐ!U180,TTSSKĐ!AA180,TTSSKĐ!AG180,TTSSKĐ!AM180))=7)*(CHOOSE({1,2,3,4},TTSSKĐ!X180,TTSSKĐ!AD180,TTSSKĐ!AJ180,TTSSKĐ!AP180)))</f>
        <v>0</v>
      </c>
      <c r="H180">
        <f>SUMPRODUCT((MONTH(CHOOSE({1,2,3,4},TTSSKĐ!U180,TTSSKĐ!AA180,TTSSKĐ!AG180,TTSSKĐ!AM180))=8)*(CHOOSE({1,2,3,4},TTSSKĐ!X180,TTSSKĐ!AD180,TTSSKĐ!AJ180,TTSSKĐ!AP180)))</f>
        <v>0</v>
      </c>
      <c r="I180">
        <f>SUMPRODUCT((MONTH(CHOOSE({1,2,3,4},TTSSKĐ!U180,TTSSKĐ!AA180,TTSSKĐ!AG180,TTSSKĐ!AM180))=9)*(CHOOSE({1,2,3,4},TTSSKĐ!X180,TTSSKĐ!AD180,TTSSKĐ!AJ180,TTSSKĐ!AP180)))</f>
        <v>0</v>
      </c>
      <c r="J180">
        <f>SUMPRODUCT((MONTH(CHOOSE({1,2,3,4},TTSSKĐ!U180,TTSSKĐ!AA180,TTSSKĐ!AG180,TTSSKĐ!AM180))=10)*(CHOOSE({1,2,3,4},TTSSKĐ!X180,TTSSKĐ!AD180,TTSSKĐ!AJ180,TTSSKĐ!AP180)))</f>
        <v>0</v>
      </c>
      <c r="K180">
        <f>SUMPRODUCT((MONTH(CHOOSE({1,2,3,4},TTSSKĐ!U180,TTSSKĐ!AA180,TTSSKĐ!AG180,TTSSKĐ!AM180))=11)*(CHOOSE({1,2,3,4},TTSSKĐ!X180,TTSSKĐ!AD180,TTSSKĐ!AJ180,TTSSKĐ!AP180)))</f>
        <v>0</v>
      </c>
      <c r="L180">
        <f>SUMPRODUCT((MONTH(CHOOSE({1,2,3,4},TTSSKĐ!U180,TTSSKĐ!AA180,TTSSKĐ!AG180,TTSSKĐ!AM180))=12)*(CHOOSE({1,2,3,4},TTSSKĐ!X180,TTSSKĐ!AD180,TTSSKĐ!AJ180,TTSSKĐ!AP180)))</f>
        <v>0</v>
      </c>
    </row>
    <row r="181" spans="1:12">
      <c r="A181">
        <f>SUMPRODUCT((MONTH(CHOOSE({1,2,3,4},TTSSKĐ!U181,TTSSKĐ!AA181,TTSSKĐ!AG181,TTSSKĐ!AM181))=1)*(CHOOSE({1,2,3,4},TTSSKĐ!X181,TTSSKĐ!AD181,TTSSKĐ!AJ181,TTSSKĐ!AP181)))</f>
        <v>0</v>
      </c>
      <c r="B181">
        <f>SUMPRODUCT((MONTH(CHOOSE({1,2,3,4},TTSSKĐ!U181,TTSSKĐ!AA181,TTSSKĐ!AG181,TTSSKĐ!AM181))=2)*(CHOOSE({1,2,3,4},TTSSKĐ!X181,TTSSKĐ!AD181,TTSSKĐ!AJ181,TTSSKĐ!AP181)))</f>
        <v>0</v>
      </c>
      <c r="C181">
        <f>SUMPRODUCT((MONTH(CHOOSE({1,2,3,4},TTSSKĐ!U181,TTSSKĐ!AA181,TTSSKĐ!AG181,TTSSKĐ!AM181))=3)*(CHOOSE({1,2,3,4},TTSSKĐ!X181,TTSSKĐ!AD181,TTSSKĐ!AJ181,TTSSKĐ!AP181)))</f>
        <v>0</v>
      </c>
      <c r="D181">
        <f>SUMPRODUCT((MONTH(CHOOSE({1,2,3,4},TTSSKĐ!U181,TTSSKĐ!AA181,TTSSKĐ!AG181,TTSSKĐ!AM181))=4)*(CHOOSE({1,2,3,4},TTSSKĐ!X181,TTSSKĐ!AD181,TTSSKĐ!AJ181,TTSSKĐ!AP181)))</f>
        <v>0</v>
      </c>
      <c r="E181">
        <f>SUMPRODUCT((MONTH(CHOOSE({1,2,3,4},TTSSKĐ!U181,TTSSKĐ!AA181,TTSSKĐ!AG181,TTSSKĐ!AM181))=5)*(CHOOSE({1,2,3,4},TTSSKĐ!X181,TTSSKĐ!AD181,TTSSKĐ!AJ181,TTSSKĐ!AP181)))</f>
        <v>0</v>
      </c>
      <c r="F181">
        <f>SUMPRODUCT((MONTH(CHOOSE({1,2,3,4},TTSSKĐ!U181,TTSSKĐ!AA181,TTSSKĐ!AG181,TTSSKĐ!AM181))=6)*(CHOOSE({1,2,3,4},TTSSKĐ!X181,TTSSKĐ!AD181,TTSSKĐ!AJ181,TTSSKĐ!AP181)))</f>
        <v>0</v>
      </c>
      <c r="G181">
        <f>SUMPRODUCT((MONTH(CHOOSE({1,2,3,4},TTSSKĐ!U181,TTSSKĐ!AA181,TTSSKĐ!AG181,TTSSKĐ!AM181))=7)*(CHOOSE({1,2,3,4},TTSSKĐ!X181,TTSSKĐ!AD181,TTSSKĐ!AJ181,TTSSKĐ!AP181)))</f>
        <v>0</v>
      </c>
      <c r="H181">
        <f>SUMPRODUCT((MONTH(CHOOSE({1,2,3,4},TTSSKĐ!U181,TTSSKĐ!AA181,TTSSKĐ!AG181,TTSSKĐ!AM181))=8)*(CHOOSE({1,2,3,4},TTSSKĐ!X181,TTSSKĐ!AD181,TTSSKĐ!AJ181,TTSSKĐ!AP181)))</f>
        <v>0</v>
      </c>
      <c r="I181">
        <f>SUMPRODUCT((MONTH(CHOOSE({1,2,3,4},TTSSKĐ!U181,TTSSKĐ!AA181,TTSSKĐ!AG181,TTSSKĐ!AM181))=9)*(CHOOSE({1,2,3,4},TTSSKĐ!X181,TTSSKĐ!AD181,TTSSKĐ!AJ181,TTSSKĐ!AP181)))</f>
        <v>0</v>
      </c>
      <c r="J181">
        <f>SUMPRODUCT((MONTH(CHOOSE({1,2,3,4},TTSSKĐ!U181,TTSSKĐ!AA181,TTSSKĐ!AG181,TTSSKĐ!AM181))=10)*(CHOOSE({1,2,3,4},TTSSKĐ!X181,TTSSKĐ!AD181,TTSSKĐ!AJ181,TTSSKĐ!AP181)))</f>
        <v>0</v>
      </c>
      <c r="K181">
        <f>SUMPRODUCT((MONTH(CHOOSE({1,2,3,4},TTSSKĐ!U181,TTSSKĐ!AA181,TTSSKĐ!AG181,TTSSKĐ!AM181))=11)*(CHOOSE({1,2,3,4},TTSSKĐ!X181,TTSSKĐ!AD181,TTSSKĐ!AJ181,TTSSKĐ!AP181)))</f>
        <v>0</v>
      </c>
      <c r="L181">
        <f>SUMPRODUCT((MONTH(CHOOSE({1,2,3,4},TTSSKĐ!U181,TTSSKĐ!AA181,TTSSKĐ!AG181,TTSSKĐ!AM181))=12)*(CHOOSE({1,2,3,4},TTSSKĐ!X181,TTSSKĐ!AD181,TTSSKĐ!AJ181,TTSSKĐ!AP181)))</f>
        <v>0</v>
      </c>
    </row>
    <row r="182" spans="1:12">
      <c r="A182">
        <f>SUMPRODUCT((MONTH(CHOOSE({1,2,3,4},TTSSKĐ!U182,TTSSKĐ!AA182,TTSSKĐ!AG182,TTSSKĐ!AM182))=1)*(CHOOSE({1,2,3,4},TTSSKĐ!X182,TTSSKĐ!AD182,TTSSKĐ!AJ182,TTSSKĐ!AP182)))</f>
        <v>0</v>
      </c>
      <c r="B182">
        <f>SUMPRODUCT((MONTH(CHOOSE({1,2,3,4},TTSSKĐ!U182,TTSSKĐ!AA182,TTSSKĐ!AG182,TTSSKĐ!AM182))=2)*(CHOOSE({1,2,3,4},TTSSKĐ!X182,TTSSKĐ!AD182,TTSSKĐ!AJ182,TTSSKĐ!AP182)))</f>
        <v>0</v>
      </c>
      <c r="C182">
        <f>SUMPRODUCT((MONTH(CHOOSE({1,2,3,4},TTSSKĐ!U182,TTSSKĐ!AA182,TTSSKĐ!AG182,TTSSKĐ!AM182))=3)*(CHOOSE({1,2,3,4},TTSSKĐ!X182,TTSSKĐ!AD182,TTSSKĐ!AJ182,TTSSKĐ!AP182)))</f>
        <v>0</v>
      </c>
      <c r="D182">
        <f>SUMPRODUCT((MONTH(CHOOSE({1,2,3,4},TTSSKĐ!U182,TTSSKĐ!AA182,TTSSKĐ!AG182,TTSSKĐ!AM182))=4)*(CHOOSE({1,2,3,4},TTSSKĐ!X182,TTSSKĐ!AD182,TTSSKĐ!AJ182,TTSSKĐ!AP182)))</f>
        <v>0</v>
      </c>
      <c r="E182">
        <f>SUMPRODUCT((MONTH(CHOOSE({1,2,3,4},TTSSKĐ!U182,TTSSKĐ!AA182,TTSSKĐ!AG182,TTSSKĐ!AM182))=5)*(CHOOSE({1,2,3,4},TTSSKĐ!X182,TTSSKĐ!AD182,TTSSKĐ!AJ182,TTSSKĐ!AP182)))</f>
        <v>0</v>
      </c>
      <c r="F182">
        <f>SUMPRODUCT((MONTH(CHOOSE({1,2,3,4},TTSSKĐ!U182,TTSSKĐ!AA182,TTSSKĐ!AG182,TTSSKĐ!AM182))=6)*(CHOOSE({1,2,3,4},TTSSKĐ!X182,TTSSKĐ!AD182,TTSSKĐ!AJ182,TTSSKĐ!AP182)))</f>
        <v>0</v>
      </c>
      <c r="G182">
        <f>SUMPRODUCT((MONTH(CHOOSE({1,2,3,4},TTSSKĐ!U182,TTSSKĐ!AA182,TTSSKĐ!AG182,TTSSKĐ!AM182))=7)*(CHOOSE({1,2,3,4},TTSSKĐ!X182,TTSSKĐ!AD182,TTSSKĐ!AJ182,TTSSKĐ!AP182)))</f>
        <v>0</v>
      </c>
      <c r="H182">
        <f>SUMPRODUCT((MONTH(CHOOSE({1,2,3,4},TTSSKĐ!U182,TTSSKĐ!AA182,TTSSKĐ!AG182,TTSSKĐ!AM182))=8)*(CHOOSE({1,2,3,4},TTSSKĐ!X182,TTSSKĐ!AD182,TTSSKĐ!AJ182,TTSSKĐ!AP182)))</f>
        <v>0</v>
      </c>
      <c r="I182">
        <f>SUMPRODUCT((MONTH(CHOOSE({1,2,3,4},TTSSKĐ!U182,TTSSKĐ!AA182,TTSSKĐ!AG182,TTSSKĐ!AM182))=9)*(CHOOSE({1,2,3,4},TTSSKĐ!X182,TTSSKĐ!AD182,TTSSKĐ!AJ182,TTSSKĐ!AP182)))</f>
        <v>0</v>
      </c>
      <c r="J182">
        <f>SUMPRODUCT((MONTH(CHOOSE({1,2,3,4},TTSSKĐ!U182,TTSSKĐ!AA182,TTSSKĐ!AG182,TTSSKĐ!AM182))=10)*(CHOOSE({1,2,3,4},TTSSKĐ!X182,TTSSKĐ!AD182,TTSSKĐ!AJ182,TTSSKĐ!AP182)))</f>
        <v>0</v>
      </c>
      <c r="K182">
        <f>SUMPRODUCT((MONTH(CHOOSE({1,2,3,4},TTSSKĐ!U182,TTSSKĐ!AA182,TTSSKĐ!AG182,TTSSKĐ!AM182))=11)*(CHOOSE({1,2,3,4},TTSSKĐ!X182,TTSSKĐ!AD182,TTSSKĐ!AJ182,TTSSKĐ!AP182)))</f>
        <v>0</v>
      </c>
      <c r="L182">
        <f>SUMPRODUCT((MONTH(CHOOSE({1,2,3,4},TTSSKĐ!U182,TTSSKĐ!AA182,TTSSKĐ!AG182,TTSSKĐ!AM182))=12)*(CHOOSE({1,2,3,4},TTSSKĐ!X182,TTSSKĐ!AD182,TTSSKĐ!AJ182,TTSSKĐ!AP182)))</f>
        <v>0</v>
      </c>
    </row>
    <row r="183" spans="1:12">
      <c r="A183">
        <f>SUMPRODUCT((MONTH(CHOOSE({1,2,3,4},TTSSKĐ!U183,TTSSKĐ!AA183,TTSSKĐ!AG183,TTSSKĐ!AM183))=1)*(CHOOSE({1,2,3,4},TTSSKĐ!X183,TTSSKĐ!AD183,TTSSKĐ!AJ183,TTSSKĐ!AP183)))</f>
        <v>0</v>
      </c>
      <c r="B183">
        <f>SUMPRODUCT((MONTH(CHOOSE({1,2,3,4},TTSSKĐ!U183,TTSSKĐ!AA183,TTSSKĐ!AG183,TTSSKĐ!AM183))=2)*(CHOOSE({1,2,3,4},TTSSKĐ!X183,TTSSKĐ!AD183,TTSSKĐ!AJ183,TTSSKĐ!AP183)))</f>
        <v>0</v>
      </c>
      <c r="C183">
        <f>SUMPRODUCT((MONTH(CHOOSE({1,2,3,4},TTSSKĐ!U183,TTSSKĐ!AA183,TTSSKĐ!AG183,TTSSKĐ!AM183))=3)*(CHOOSE({1,2,3,4},TTSSKĐ!X183,TTSSKĐ!AD183,TTSSKĐ!AJ183,TTSSKĐ!AP183)))</f>
        <v>0</v>
      </c>
      <c r="D183">
        <f>SUMPRODUCT((MONTH(CHOOSE({1,2,3,4},TTSSKĐ!U183,TTSSKĐ!AA183,TTSSKĐ!AG183,TTSSKĐ!AM183))=4)*(CHOOSE({1,2,3,4},TTSSKĐ!X183,TTSSKĐ!AD183,TTSSKĐ!AJ183,TTSSKĐ!AP183)))</f>
        <v>0</v>
      </c>
      <c r="E183">
        <f>SUMPRODUCT((MONTH(CHOOSE({1,2,3,4},TTSSKĐ!U183,TTSSKĐ!AA183,TTSSKĐ!AG183,TTSSKĐ!AM183))=5)*(CHOOSE({1,2,3,4},TTSSKĐ!X183,TTSSKĐ!AD183,TTSSKĐ!AJ183,TTSSKĐ!AP183)))</f>
        <v>0</v>
      </c>
      <c r="F183">
        <f>SUMPRODUCT((MONTH(CHOOSE({1,2,3,4},TTSSKĐ!U183,TTSSKĐ!AA183,TTSSKĐ!AG183,TTSSKĐ!AM183))=6)*(CHOOSE({1,2,3,4},TTSSKĐ!X183,TTSSKĐ!AD183,TTSSKĐ!AJ183,TTSSKĐ!AP183)))</f>
        <v>0</v>
      </c>
      <c r="G183">
        <f>SUMPRODUCT((MONTH(CHOOSE({1,2,3,4},TTSSKĐ!U183,TTSSKĐ!AA183,TTSSKĐ!AG183,TTSSKĐ!AM183))=7)*(CHOOSE({1,2,3,4},TTSSKĐ!X183,TTSSKĐ!AD183,TTSSKĐ!AJ183,TTSSKĐ!AP183)))</f>
        <v>0</v>
      </c>
      <c r="H183">
        <f>SUMPRODUCT((MONTH(CHOOSE({1,2,3,4},TTSSKĐ!U183,TTSSKĐ!AA183,TTSSKĐ!AG183,TTSSKĐ!AM183))=8)*(CHOOSE({1,2,3,4},TTSSKĐ!X183,TTSSKĐ!AD183,TTSSKĐ!AJ183,TTSSKĐ!AP183)))</f>
        <v>0</v>
      </c>
      <c r="I183">
        <f>SUMPRODUCT((MONTH(CHOOSE({1,2,3,4},TTSSKĐ!U183,TTSSKĐ!AA183,TTSSKĐ!AG183,TTSSKĐ!AM183))=9)*(CHOOSE({1,2,3,4},TTSSKĐ!X183,TTSSKĐ!AD183,TTSSKĐ!AJ183,TTSSKĐ!AP183)))</f>
        <v>0</v>
      </c>
      <c r="J183">
        <f>SUMPRODUCT((MONTH(CHOOSE({1,2,3,4},TTSSKĐ!U183,TTSSKĐ!AA183,TTSSKĐ!AG183,TTSSKĐ!AM183))=10)*(CHOOSE({1,2,3,4},TTSSKĐ!X183,TTSSKĐ!AD183,TTSSKĐ!AJ183,TTSSKĐ!AP183)))</f>
        <v>0</v>
      </c>
      <c r="K183">
        <f>SUMPRODUCT((MONTH(CHOOSE({1,2,3,4},TTSSKĐ!U183,TTSSKĐ!AA183,TTSSKĐ!AG183,TTSSKĐ!AM183))=11)*(CHOOSE({1,2,3,4},TTSSKĐ!X183,TTSSKĐ!AD183,TTSSKĐ!AJ183,TTSSKĐ!AP183)))</f>
        <v>0</v>
      </c>
      <c r="L183">
        <f>SUMPRODUCT((MONTH(CHOOSE({1,2,3,4},TTSSKĐ!U183,TTSSKĐ!AA183,TTSSKĐ!AG183,TTSSKĐ!AM183))=12)*(CHOOSE({1,2,3,4},TTSSKĐ!X183,TTSSKĐ!AD183,TTSSKĐ!AJ183,TTSSKĐ!AP183)))</f>
        <v>0</v>
      </c>
    </row>
    <row r="184" spans="1:12">
      <c r="A184">
        <f>SUMPRODUCT((MONTH(CHOOSE({1,2,3,4},TTSSKĐ!U184,TTSSKĐ!AA184,TTSSKĐ!AG184,TTSSKĐ!AM184))=1)*(CHOOSE({1,2,3,4},TTSSKĐ!X184,TTSSKĐ!AD184,TTSSKĐ!AJ184,TTSSKĐ!AP184)))</f>
        <v>0</v>
      </c>
      <c r="B184">
        <f>SUMPRODUCT((MONTH(CHOOSE({1,2,3,4},TTSSKĐ!U184,TTSSKĐ!AA184,TTSSKĐ!AG184,TTSSKĐ!AM184))=2)*(CHOOSE({1,2,3,4},TTSSKĐ!X184,TTSSKĐ!AD184,TTSSKĐ!AJ184,TTSSKĐ!AP184)))</f>
        <v>0</v>
      </c>
      <c r="C184">
        <f>SUMPRODUCT((MONTH(CHOOSE({1,2,3,4},TTSSKĐ!U184,TTSSKĐ!AA184,TTSSKĐ!AG184,TTSSKĐ!AM184))=3)*(CHOOSE({1,2,3,4},TTSSKĐ!X184,TTSSKĐ!AD184,TTSSKĐ!AJ184,TTSSKĐ!AP184)))</f>
        <v>0</v>
      </c>
      <c r="D184">
        <f>SUMPRODUCT((MONTH(CHOOSE({1,2,3,4},TTSSKĐ!U184,TTSSKĐ!AA184,TTSSKĐ!AG184,TTSSKĐ!AM184))=4)*(CHOOSE({1,2,3,4},TTSSKĐ!X184,TTSSKĐ!AD184,TTSSKĐ!AJ184,TTSSKĐ!AP184)))</f>
        <v>0</v>
      </c>
      <c r="E184">
        <f>SUMPRODUCT((MONTH(CHOOSE({1,2,3,4},TTSSKĐ!U184,TTSSKĐ!AA184,TTSSKĐ!AG184,TTSSKĐ!AM184))=5)*(CHOOSE({1,2,3,4},TTSSKĐ!X184,TTSSKĐ!AD184,TTSSKĐ!AJ184,TTSSKĐ!AP184)))</f>
        <v>0</v>
      </c>
      <c r="F184">
        <f>SUMPRODUCT((MONTH(CHOOSE({1,2,3,4},TTSSKĐ!U184,TTSSKĐ!AA184,TTSSKĐ!AG184,TTSSKĐ!AM184))=6)*(CHOOSE({1,2,3,4},TTSSKĐ!X184,TTSSKĐ!AD184,TTSSKĐ!AJ184,TTSSKĐ!AP184)))</f>
        <v>0</v>
      </c>
      <c r="G184">
        <f>SUMPRODUCT((MONTH(CHOOSE({1,2,3,4},TTSSKĐ!U184,TTSSKĐ!AA184,TTSSKĐ!AG184,TTSSKĐ!AM184))=7)*(CHOOSE({1,2,3,4},TTSSKĐ!X184,TTSSKĐ!AD184,TTSSKĐ!AJ184,TTSSKĐ!AP184)))</f>
        <v>0</v>
      </c>
      <c r="H184">
        <f>SUMPRODUCT((MONTH(CHOOSE({1,2,3,4},TTSSKĐ!U184,TTSSKĐ!AA184,TTSSKĐ!AG184,TTSSKĐ!AM184))=8)*(CHOOSE({1,2,3,4},TTSSKĐ!X184,TTSSKĐ!AD184,TTSSKĐ!AJ184,TTSSKĐ!AP184)))</f>
        <v>0</v>
      </c>
      <c r="I184">
        <f>SUMPRODUCT((MONTH(CHOOSE({1,2,3,4},TTSSKĐ!U184,TTSSKĐ!AA184,TTSSKĐ!AG184,TTSSKĐ!AM184))=9)*(CHOOSE({1,2,3,4},TTSSKĐ!X184,TTSSKĐ!AD184,TTSSKĐ!AJ184,TTSSKĐ!AP184)))</f>
        <v>0</v>
      </c>
      <c r="J184">
        <f>SUMPRODUCT((MONTH(CHOOSE({1,2,3,4},TTSSKĐ!U184,TTSSKĐ!AA184,TTSSKĐ!AG184,TTSSKĐ!AM184))=10)*(CHOOSE({1,2,3,4},TTSSKĐ!X184,TTSSKĐ!AD184,TTSSKĐ!AJ184,TTSSKĐ!AP184)))</f>
        <v>0</v>
      </c>
      <c r="K184">
        <f>SUMPRODUCT((MONTH(CHOOSE({1,2,3,4},TTSSKĐ!U184,TTSSKĐ!AA184,TTSSKĐ!AG184,TTSSKĐ!AM184))=11)*(CHOOSE({1,2,3,4},TTSSKĐ!X184,TTSSKĐ!AD184,TTSSKĐ!AJ184,TTSSKĐ!AP184)))</f>
        <v>0</v>
      </c>
      <c r="L184">
        <f>SUMPRODUCT((MONTH(CHOOSE({1,2,3,4},TTSSKĐ!U184,TTSSKĐ!AA184,TTSSKĐ!AG184,TTSSKĐ!AM184))=12)*(CHOOSE({1,2,3,4},TTSSKĐ!X184,TTSSKĐ!AD184,TTSSKĐ!AJ184,TTSSKĐ!AP184)))</f>
        <v>0</v>
      </c>
    </row>
    <row r="185" spans="1:12">
      <c r="A185">
        <f>SUMPRODUCT((MONTH(CHOOSE({1,2,3,4},TTSSKĐ!U185,TTSSKĐ!AA185,TTSSKĐ!AG185,TTSSKĐ!AM185))=1)*(CHOOSE({1,2,3,4},TTSSKĐ!X185,TTSSKĐ!AD185,TTSSKĐ!AJ185,TTSSKĐ!AP185)))</f>
        <v>0</v>
      </c>
      <c r="B185">
        <f>SUMPRODUCT((MONTH(CHOOSE({1,2,3,4},TTSSKĐ!U185,TTSSKĐ!AA185,TTSSKĐ!AG185,TTSSKĐ!AM185))=2)*(CHOOSE({1,2,3,4},TTSSKĐ!X185,TTSSKĐ!AD185,TTSSKĐ!AJ185,TTSSKĐ!AP185)))</f>
        <v>0</v>
      </c>
      <c r="C185">
        <f>SUMPRODUCT((MONTH(CHOOSE({1,2,3,4},TTSSKĐ!U185,TTSSKĐ!AA185,TTSSKĐ!AG185,TTSSKĐ!AM185))=3)*(CHOOSE({1,2,3,4},TTSSKĐ!X185,TTSSKĐ!AD185,TTSSKĐ!AJ185,TTSSKĐ!AP185)))</f>
        <v>0</v>
      </c>
      <c r="D185">
        <f>SUMPRODUCT((MONTH(CHOOSE({1,2,3,4},TTSSKĐ!U185,TTSSKĐ!AA185,TTSSKĐ!AG185,TTSSKĐ!AM185))=4)*(CHOOSE({1,2,3,4},TTSSKĐ!X185,TTSSKĐ!AD185,TTSSKĐ!AJ185,TTSSKĐ!AP185)))</f>
        <v>0</v>
      </c>
      <c r="E185">
        <f>SUMPRODUCT((MONTH(CHOOSE({1,2,3,4},TTSSKĐ!U185,TTSSKĐ!AA185,TTSSKĐ!AG185,TTSSKĐ!AM185))=5)*(CHOOSE({1,2,3,4},TTSSKĐ!X185,TTSSKĐ!AD185,TTSSKĐ!AJ185,TTSSKĐ!AP185)))</f>
        <v>0</v>
      </c>
      <c r="F185">
        <f>SUMPRODUCT((MONTH(CHOOSE({1,2,3,4},TTSSKĐ!U185,TTSSKĐ!AA185,TTSSKĐ!AG185,TTSSKĐ!AM185))=6)*(CHOOSE({1,2,3,4},TTSSKĐ!X185,TTSSKĐ!AD185,TTSSKĐ!AJ185,TTSSKĐ!AP185)))</f>
        <v>0</v>
      </c>
      <c r="G185">
        <f>SUMPRODUCT((MONTH(CHOOSE({1,2,3,4},TTSSKĐ!U185,TTSSKĐ!AA185,TTSSKĐ!AG185,TTSSKĐ!AM185))=7)*(CHOOSE({1,2,3,4},TTSSKĐ!X185,TTSSKĐ!AD185,TTSSKĐ!AJ185,TTSSKĐ!AP185)))</f>
        <v>0</v>
      </c>
      <c r="H185">
        <f>SUMPRODUCT((MONTH(CHOOSE({1,2,3,4},TTSSKĐ!U185,TTSSKĐ!AA185,TTSSKĐ!AG185,TTSSKĐ!AM185))=8)*(CHOOSE({1,2,3,4},TTSSKĐ!X185,TTSSKĐ!AD185,TTSSKĐ!AJ185,TTSSKĐ!AP185)))</f>
        <v>0</v>
      </c>
      <c r="I185">
        <f>SUMPRODUCT((MONTH(CHOOSE({1,2,3,4},TTSSKĐ!U185,TTSSKĐ!AA185,TTSSKĐ!AG185,TTSSKĐ!AM185))=9)*(CHOOSE({1,2,3,4},TTSSKĐ!X185,TTSSKĐ!AD185,TTSSKĐ!AJ185,TTSSKĐ!AP185)))</f>
        <v>0</v>
      </c>
      <c r="J185">
        <f>SUMPRODUCT((MONTH(CHOOSE({1,2,3,4},TTSSKĐ!U185,TTSSKĐ!AA185,TTSSKĐ!AG185,TTSSKĐ!AM185))=10)*(CHOOSE({1,2,3,4},TTSSKĐ!X185,TTSSKĐ!AD185,TTSSKĐ!AJ185,TTSSKĐ!AP185)))</f>
        <v>0</v>
      </c>
      <c r="K185">
        <f>SUMPRODUCT((MONTH(CHOOSE({1,2,3,4},TTSSKĐ!U185,TTSSKĐ!AA185,TTSSKĐ!AG185,TTSSKĐ!AM185))=11)*(CHOOSE({1,2,3,4},TTSSKĐ!X185,TTSSKĐ!AD185,TTSSKĐ!AJ185,TTSSKĐ!AP185)))</f>
        <v>0</v>
      </c>
      <c r="L185">
        <f>SUMPRODUCT((MONTH(CHOOSE({1,2,3,4},TTSSKĐ!U185,TTSSKĐ!AA185,TTSSKĐ!AG185,TTSSKĐ!AM185))=12)*(CHOOSE({1,2,3,4},TTSSKĐ!X185,TTSSKĐ!AD185,TTSSKĐ!AJ185,TTSSKĐ!AP185)))</f>
        <v>0</v>
      </c>
    </row>
    <row r="186" spans="1:12">
      <c r="A186">
        <f>SUMPRODUCT((MONTH(CHOOSE({1,2,3,4},TTSSKĐ!U186,TTSSKĐ!AA186,TTSSKĐ!AG186,TTSSKĐ!AM186))=1)*(CHOOSE({1,2,3,4},TTSSKĐ!X186,TTSSKĐ!AD186,TTSSKĐ!AJ186,TTSSKĐ!AP186)))</f>
        <v>0</v>
      </c>
      <c r="B186">
        <f>SUMPRODUCT((MONTH(CHOOSE({1,2,3,4},TTSSKĐ!U186,TTSSKĐ!AA186,TTSSKĐ!AG186,TTSSKĐ!AM186))=2)*(CHOOSE({1,2,3,4},TTSSKĐ!X186,TTSSKĐ!AD186,TTSSKĐ!AJ186,TTSSKĐ!AP186)))</f>
        <v>0</v>
      </c>
      <c r="C186">
        <f>SUMPRODUCT((MONTH(CHOOSE({1,2,3,4},TTSSKĐ!U186,TTSSKĐ!AA186,TTSSKĐ!AG186,TTSSKĐ!AM186))=3)*(CHOOSE({1,2,3,4},TTSSKĐ!X186,TTSSKĐ!AD186,TTSSKĐ!AJ186,TTSSKĐ!AP186)))</f>
        <v>0</v>
      </c>
      <c r="D186">
        <f>SUMPRODUCT((MONTH(CHOOSE({1,2,3,4},TTSSKĐ!U186,TTSSKĐ!AA186,TTSSKĐ!AG186,TTSSKĐ!AM186))=4)*(CHOOSE({1,2,3,4},TTSSKĐ!X186,TTSSKĐ!AD186,TTSSKĐ!AJ186,TTSSKĐ!AP186)))</f>
        <v>0</v>
      </c>
      <c r="E186">
        <f>SUMPRODUCT((MONTH(CHOOSE({1,2,3,4},TTSSKĐ!U186,TTSSKĐ!AA186,TTSSKĐ!AG186,TTSSKĐ!AM186))=5)*(CHOOSE({1,2,3,4},TTSSKĐ!X186,TTSSKĐ!AD186,TTSSKĐ!AJ186,TTSSKĐ!AP186)))</f>
        <v>0</v>
      </c>
      <c r="F186">
        <f>SUMPRODUCT((MONTH(CHOOSE({1,2,3,4},TTSSKĐ!U186,TTSSKĐ!AA186,TTSSKĐ!AG186,TTSSKĐ!AM186))=6)*(CHOOSE({1,2,3,4},TTSSKĐ!X186,TTSSKĐ!AD186,TTSSKĐ!AJ186,TTSSKĐ!AP186)))</f>
        <v>0</v>
      </c>
      <c r="G186">
        <f>SUMPRODUCT((MONTH(CHOOSE({1,2,3,4},TTSSKĐ!U186,TTSSKĐ!AA186,TTSSKĐ!AG186,TTSSKĐ!AM186))=7)*(CHOOSE({1,2,3,4},TTSSKĐ!X186,TTSSKĐ!AD186,TTSSKĐ!AJ186,TTSSKĐ!AP186)))</f>
        <v>0</v>
      </c>
      <c r="H186">
        <f>SUMPRODUCT((MONTH(CHOOSE({1,2,3,4},TTSSKĐ!U186,TTSSKĐ!AA186,TTSSKĐ!AG186,TTSSKĐ!AM186))=8)*(CHOOSE({1,2,3,4},TTSSKĐ!X186,TTSSKĐ!AD186,TTSSKĐ!AJ186,TTSSKĐ!AP186)))</f>
        <v>0</v>
      </c>
      <c r="I186">
        <f>SUMPRODUCT((MONTH(CHOOSE({1,2,3,4},TTSSKĐ!U186,TTSSKĐ!AA186,TTSSKĐ!AG186,TTSSKĐ!AM186))=9)*(CHOOSE({1,2,3,4},TTSSKĐ!X186,TTSSKĐ!AD186,TTSSKĐ!AJ186,TTSSKĐ!AP186)))</f>
        <v>0</v>
      </c>
      <c r="J186">
        <f>SUMPRODUCT((MONTH(CHOOSE({1,2,3,4},TTSSKĐ!U186,TTSSKĐ!AA186,TTSSKĐ!AG186,TTSSKĐ!AM186))=10)*(CHOOSE({1,2,3,4},TTSSKĐ!X186,TTSSKĐ!AD186,TTSSKĐ!AJ186,TTSSKĐ!AP186)))</f>
        <v>0</v>
      </c>
      <c r="K186">
        <f>SUMPRODUCT((MONTH(CHOOSE({1,2,3,4},TTSSKĐ!U186,TTSSKĐ!AA186,TTSSKĐ!AG186,TTSSKĐ!AM186))=11)*(CHOOSE({1,2,3,4},TTSSKĐ!X186,TTSSKĐ!AD186,TTSSKĐ!AJ186,TTSSKĐ!AP186)))</f>
        <v>0</v>
      </c>
      <c r="L186">
        <f>SUMPRODUCT((MONTH(CHOOSE({1,2,3,4},TTSSKĐ!U186,TTSSKĐ!AA186,TTSSKĐ!AG186,TTSSKĐ!AM186))=12)*(CHOOSE({1,2,3,4},TTSSKĐ!X186,TTSSKĐ!AD186,TTSSKĐ!AJ186,TTSSKĐ!AP186)))</f>
        <v>0</v>
      </c>
    </row>
    <row r="187" spans="1:12">
      <c r="A187">
        <f>SUMPRODUCT((MONTH(CHOOSE({1,2,3,4},TTSSKĐ!U187,TTSSKĐ!AA187,TTSSKĐ!AG187,TTSSKĐ!AM187))=1)*(CHOOSE({1,2,3,4},TTSSKĐ!X187,TTSSKĐ!AD187,TTSSKĐ!AJ187,TTSSKĐ!AP187)))</f>
        <v>0</v>
      </c>
      <c r="B187">
        <f>SUMPRODUCT((MONTH(CHOOSE({1,2,3,4},TTSSKĐ!U187,TTSSKĐ!AA187,TTSSKĐ!AG187,TTSSKĐ!AM187))=2)*(CHOOSE({1,2,3,4},TTSSKĐ!X187,TTSSKĐ!AD187,TTSSKĐ!AJ187,TTSSKĐ!AP187)))</f>
        <v>0</v>
      </c>
      <c r="C187">
        <f>SUMPRODUCT((MONTH(CHOOSE({1,2,3,4},TTSSKĐ!U187,TTSSKĐ!AA187,TTSSKĐ!AG187,TTSSKĐ!AM187))=3)*(CHOOSE({1,2,3,4},TTSSKĐ!X187,TTSSKĐ!AD187,TTSSKĐ!AJ187,TTSSKĐ!AP187)))</f>
        <v>0</v>
      </c>
      <c r="D187">
        <f>SUMPRODUCT((MONTH(CHOOSE({1,2,3,4},TTSSKĐ!U187,TTSSKĐ!AA187,TTSSKĐ!AG187,TTSSKĐ!AM187))=4)*(CHOOSE({1,2,3,4},TTSSKĐ!X187,TTSSKĐ!AD187,TTSSKĐ!AJ187,TTSSKĐ!AP187)))</f>
        <v>0</v>
      </c>
      <c r="E187">
        <f>SUMPRODUCT((MONTH(CHOOSE({1,2,3,4},TTSSKĐ!U187,TTSSKĐ!AA187,TTSSKĐ!AG187,TTSSKĐ!AM187))=5)*(CHOOSE({1,2,3,4},TTSSKĐ!X187,TTSSKĐ!AD187,TTSSKĐ!AJ187,TTSSKĐ!AP187)))</f>
        <v>0</v>
      </c>
      <c r="F187">
        <f>SUMPRODUCT((MONTH(CHOOSE({1,2,3,4},TTSSKĐ!U187,TTSSKĐ!AA187,TTSSKĐ!AG187,TTSSKĐ!AM187))=6)*(CHOOSE({1,2,3,4},TTSSKĐ!X187,TTSSKĐ!AD187,TTSSKĐ!AJ187,TTSSKĐ!AP187)))</f>
        <v>0</v>
      </c>
      <c r="G187">
        <f>SUMPRODUCT((MONTH(CHOOSE({1,2,3,4},TTSSKĐ!U187,TTSSKĐ!AA187,TTSSKĐ!AG187,TTSSKĐ!AM187))=7)*(CHOOSE({1,2,3,4},TTSSKĐ!X187,TTSSKĐ!AD187,TTSSKĐ!AJ187,TTSSKĐ!AP187)))</f>
        <v>0</v>
      </c>
      <c r="H187">
        <f>SUMPRODUCT((MONTH(CHOOSE({1,2,3,4},TTSSKĐ!U187,TTSSKĐ!AA187,TTSSKĐ!AG187,TTSSKĐ!AM187))=8)*(CHOOSE({1,2,3,4},TTSSKĐ!X187,TTSSKĐ!AD187,TTSSKĐ!AJ187,TTSSKĐ!AP187)))</f>
        <v>0</v>
      </c>
      <c r="I187">
        <f>SUMPRODUCT((MONTH(CHOOSE({1,2,3,4},TTSSKĐ!U187,TTSSKĐ!AA187,TTSSKĐ!AG187,TTSSKĐ!AM187))=9)*(CHOOSE({1,2,3,4},TTSSKĐ!X187,TTSSKĐ!AD187,TTSSKĐ!AJ187,TTSSKĐ!AP187)))</f>
        <v>0</v>
      </c>
      <c r="J187">
        <f>SUMPRODUCT((MONTH(CHOOSE({1,2,3,4},TTSSKĐ!U187,TTSSKĐ!AA187,TTSSKĐ!AG187,TTSSKĐ!AM187))=10)*(CHOOSE({1,2,3,4},TTSSKĐ!X187,TTSSKĐ!AD187,TTSSKĐ!AJ187,TTSSKĐ!AP187)))</f>
        <v>0</v>
      </c>
      <c r="K187">
        <f>SUMPRODUCT((MONTH(CHOOSE({1,2,3,4},TTSSKĐ!U187,TTSSKĐ!AA187,TTSSKĐ!AG187,TTSSKĐ!AM187))=11)*(CHOOSE({1,2,3,4},TTSSKĐ!X187,TTSSKĐ!AD187,TTSSKĐ!AJ187,TTSSKĐ!AP187)))</f>
        <v>0</v>
      </c>
      <c r="L187">
        <f>SUMPRODUCT((MONTH(CHOOSE({1,2,3,4},TTSSKĐ!U187,TTSSKĐ!AA187,TTSSKĐ!AG187,TTSSKĐ!AM187))=12)*(CHOOSE({1,2,3,4},TTSSKĐ!X187,TTSSKĐ!AD187,TTSSKĐ!AJ187,TTSSKĐ!AP187)))</f>
        <v>0</v>
      </c>
    </row>
    <row r="188" spans="1:12">
      <c r="A188">
        <f>SUMPRODUCT((MONTH(CHOOSE({1,2,3,4},TTSSKĐ!U188,TTSSKĐ!AA188,TTSSKĐ!AG188,TTSSKĐ!AM188))=1)*(CHOOSE({1,2,3,4},TTSSKĐ!X188,TTSSKĐ!AD188,TTSSKĐ!AJ188,TTSSKĐ!AP188)))</f>
        <v>0</v>
      </c>
      <c r="B188">
        <f>SUMPRODUCT((MONTH(CHOOSE({1,2,3,4},TTSSKĐ!U188,TTSSKĐ!AA188,TTSSKĐ!AG188,TTSSKĐ!AM188))=2)*(CHOOSE({1,2,3,4},TTSSKĐ!X188,TTSSKĐ!AD188,TTSSKĐ!AJ188,TTSSKĐ!AP188)))</f>
        <v>0</v>
      </c>
      <c r="C188">
        <f>SUMPRODUCT((MONTH(CHOOSE({1,2,3,4},TTSSKĐ!U188,TTSSKĐ!AA188,TTSSKĐ!AG188,TTSSKĐ!AM188))=3)*(CHOOSE({1,2,3,4},TTSSKĐ!X188,TTSSKĐ!AD188,TTSSKĐ!AJ188,TTSSKĐ!AP188)))</f>
        <v>0</v>
      </c>
      <c r="D188">
        <f>SUMPRODUCT((MONTH(CHOOSE({1,2,3,4},TTSSKĐ!U188,TTSSKĐ!AA188,TTSSKĐ!AG188,TTSSKĐ!AM188))=4)*(CHOOSE({1,2,3,4},TTSSKĐ!X188,TTSSKĐ!AD188,TTSSKĐ!AJ188,TTSSKĐ!AP188)))</f>
        <v>0</v>
      </c>
      <c r="E188">
        <f>SUMPRODUCT((MONTH(CHOOSE({1,2,3,4},TTSSKĐ!U188,TTSSKĐ!AA188,TTSSKĐ!AG188,TTSSKĐ!AM188))=5)*(CHOOSE({1,2,3,4},TTSSKĐ!X188,TTSSKĐ!AD188,TTSSKĐ!AJ188,TTSSKĐ!AP188)))</f>
        <v>0</v>
      </c>
      <c r="F188">
        <f>SUMPRODUCT((MONTH(CHOOSE({1,2,3,4},TTSSKĐ!U188,TTSSKĐ!AA188,TTSSKĐ!AG188,TTSSKĐ!AM188))=6)*(CHOOSE({1,2,3,4},TTSSKĐ!X188,TTSSKĐ!AD188,TTSSKĐ!AJ188,TTSSKĐ!AP188)))</f>
        <v>0</v>
      </c>
      <c r="G188">
        <f>SUMPRODUCT((MONTH(CHOOSE({1,2,3,4},TTSSKĐ!U188,TTSSKĐ!AA188,TTSSKĐ!AG188,TTSSKĐ!AM188))=7)*(CHOOSE({1,2,3,4},TTSSKĐ!X188,TTSSKĐ!AD188,TTSSKĐ!AJ188,TTSSKĐ!AP188)))</f>
        <v>0</v>
      </c>
      <c r="H188">
        <f>SUMPRODUCT((MONTH(CHOOSE({1,2,3,4},TTSSKĐ!U188,TTSSKĐ!AA188,TTSSKĐ!AG188,TTSSKĐ!AM188))=8)*(CHOOSE({1,2,3,4},TTSSKĐ!X188,TTSSKĐ!AD188,TTSSKĐ!AJ188,TTSSKĐ!AP188)))</f>
        <v>0</v>
      </c>
      <c r="I188">
        <f>SUMPRODUCT((MONTH(CHOOSE({1,2,3,4},TTSSKĐ!U188,TTSSKĐ!AA188,TTSSKĐ!AG188,TTSSKĐ!AM188))=9)*(CHOOSE({1,2,3,4},TTSSKĐ!X188,TTSSKĐ!AD188,TTSSKĐ!AJ188,TTSSKĐ!AP188)))</f>
        <v>0</v>
      </c>
      <c r="J188">
        <f>SUMPRODUCT((MONTH(CHOOSE({1,2,3,4},TTSSKĐ!U188,TTSSKĐ!AA188,TTSSKĐ!AG188,TTSSKĐ!AM188))=10)*(CHOOSE({1,2,3,4},TTSSKĐ!X188,TTSSKĐ!AD188,TTSSKĐ!AJ188,TTSSKĐ!AP188)))</f>
        <v>0</v>
      </c>
      <c r="K188">
        <f>SUMPRODUCT((MONTH(CHOOSE({1,2,3,4},TTSSKĐ!U188,TTSSKĐ!AA188,TTSSKĐ!AG188,TTSSKĐ!AM188))=11)*(CHOOSE({1,2,3,4},TTSSKĐ!X188,TTSSKĐ!AD188,TTSSKĐ!AJ188,TTSSKĐ!AP188)))</f>
        <v>0</v>
      </c>
      <c r="L188">
        <f>SUMPRODUCT((MONTH(CHOOSE({1,2,3,4},TTSSKĐ!U188,TTSSKĐ!AA188,TTSSKĐ!AG188,TTSSKĐ!AM188))=12)*(CHOOSE({1,2,3,4},TTSSKĐ!X188,TTSSKĐ!AD188,TTSSKĐ!AJ188,TTSSKĐ!AP188)))</f>
        <v>0</v>
      </c>
    </row>
    <row r="189" spans="1:12">
      <c r="A189">
        <f>SUMPRODUCT((MONTH(CHOOSE({1,2,3,4},TTSSKĐ!U189,TTSSKĐ!AA189,TTSSKĐ!AG189,TTSSKĐ!AM189))=1)*(CHOOSE({1,2,3,4},TTSSKĐ!X189,TTSSKĐ!AD189,TTSSKĐ!AJ189,TTSSKĐ!AP189)))</f>
        <v>0</v>
      </c>
      <c r="B189">
        <f>SUMPRODUCT((MONTH(CHOOSE({1,2,3,4},TTSSKĐ!U189,TTSSKĐ!AA189,TTSSKĐ!AG189,TTSSKĐ!AM189))=2)*(CHOOSE({1,2,3,4},TTSSKĐ!X189,TTSSKĐ!AD189,TTSSKĐ!AJ189,TTSSKĐ!AP189)))</f>
        <v>0</v>
      </c>
      <c r="C189">
        <f>SUMPRODUCT((MONTH(CHOOSE({1,2,3,4},TTSSKĐ!U189,TTSSKĐ!AA189,TTSSKĐ!AG189,TTSSKĐ!AM189))=3)*(CHOOSE({1,2,3,4},TTSSKĐ!X189,TTSSKĐ!AD189,TTSSKĐ!AJ189,TTSSKĐ!AP189)))</f>
        <v>0</v>
      </c>
      <c r="D189">
        <f>SUMPRODUCT((MONTH(CHOOSE({1,2,3,4},TTSSKĐ!U189,TTSSKĐ!AA189,TTSSKĐ!AG189,TTSSKĐ!AM189))=4)*(CHOOSE({1,2,3,4},TTSSKĐ!X189,TTSSKĐ!AD189,TTSSKĐ!AJ189,TTSSKĐ!AP189)))</f>
        <v>0</v>
      </c>
      <c r="E189">
        <f>SUMPRODUCT((MONTH(CHOOSE({1,2,3,4},TTSSKĐ!U189,TTSSKĐ!AA189,TTSSKĐ!AG189,TTSSKĐ!AM189))=5)*(CHOOSE({1,2,3,4},TTSSKĐ!X189,TTSSKĐ!AD189,TTSSKĐ!AJ189,TTSSKĐ!AP189)))</f>
        <v>0</v>
      </c>
      <c r="F189">
        <f>SUMPRODUCT((MONTH(CHOOSE({1,2,3,4},TTSSKĐ!U189,TTSSKĐ!AA189,TTSSKĐ!AG189,TTSSKĐ!AM189))=6)*(CHOOSE({1,2,3,4},TTSSKĐ!X189,TTSSKĐ!AD189,TTSSKĐ!AJ189,TTSSKĐ!AP189)))</f>
        <v>0</v>
      </c>
      <c r="G189">
        <f>SUMPRODUCT((MONTH(CHOOSE({1,2,3,4},TTSSKĐ!U189,TTSSKĐ!AA189,TTSSKĐ!AG189,TTSSKĐ!AM189))=7)*(CHOOSE({1,2,3,4},TTSSKĐ!X189,TTSSKĐ!AD189,TTSSKĐ!AJ189,TTSSKĐ!AP189)))</f>
        <v>0</v>
      </c>
      <c r="H189">
        <f>SUMPRODUCT((MONTH(CHOOSE({1,2,3,4},TTSSKĐ!U189,TTSSKĐ!AA189,TTSSKĐ!AG189,TTSSKĐ!AM189))=8)*(CHOOSE({1,2,3,4},TTSSKĐ!X189,TTSSKĐ!AD189,TTSSKĐ!AJ189,TTSSKĐ!AP189)))</f>
        <v>0</v>
      </c>
      <c r="I189">
        <f>SUMPRODUCT((MONTH(CHOOSE({1,2,3,4},TTSSKĐ!U189,TTSSKĐ!AA189,TTSSKĐ!AG189,TTSSKĐ!AM189))=9)*(CHOOSE({1,2,3,4},TTSSKĐ!X189,TTSSKĐ!AD189,TTSSKĐ!AJ189,TTSSKĐ!AP189)))</f>
        <v>0</v>
      </c>
      <c r="J189">
        <f>SUMPRODUCT((MONTH(CHOOSE({1,2,3,4},TTSSKĐ!U189,TTSSKĐ!AA189,TTSSKĐ!AG189,TTSSKĐ!AM189))=10)*(CHOOSE({1,2,3,4},TTSSKĐ!X189,TTSSKĐ!AD189,TTSSKĐ!AJ189,TTSSKĐ!AP189)))</f>
        <v>0</v>
      </c>
      <c r="K189">
        <f>SUMPRODUCT((MONTH(CHOOSE({1,2,3,4},TTSSKĐ!U189,TTSSKĐ!AA189,TTSSKĐ!AG189,TTSSKĐ!AM189))=11)*(CHOOSE({1,2,3,4},TTSSKĐ!X189,TTSSKĐ!AD189,TTSSKĐ!AJ189,TTSSKĐ!AP189)))</f>
        <v>0</v>
      </c>
      <c r="L189">
        <f>SUMPRODUCT((MONTH(CHOOSE({1,2,3,4},TTSSKĐ!U189,TTSSKĐ!AA189,TTSSKĐ!AG189,TTSSKĐ!AM189))=12)*(CHOOSE({1,2,3,4},TTSSKĐ!X189,TTSSKĐ!AD189,TTSSKĐ!AJ189,TTSSKĐ!AP189)))</f>
        <v>0</v>
      </c>
    </row>
    <row r="190" spans="1:12">
      <c r="A190">
        <f>SUMPRODUCT((MONTH(CHOOSE({1,2,3,4},TTSSKĐ!U190,TTSSKĐ!AA190,TTSSKĐ!AG190,TTSSKĐ!AM190))=1)*(CHOOSE({1,2,3,4},TTSSKĐ!X190,TTSSKĐ!AD190,TTSSKĐ!AJ190,TTSSKĐ!AP190)))</f>
        <v>0</v>
      </c>
      <c r="B190">
        <f>SUMPRODUCT((MONTH(CHOOSE({1,2,3,4},TTSSKĐ!U190,TTSSKĐ!AA190,TTSSKĐ!AG190,TTSSKĐ!AM190))=2)*(CHOOSE({1,2,3,4},TTSSKĐ!X190,TTSSKĐ!AD190,TTSSKĐ!AJ190,TTSSKĐ!AP190)))</f>
        <v>0</v>
      </c>
      <c r="C190">
        <f>SUMPRODUCT((MONTH(CHOOSE({1,2,3,4},TTSSKĐ!U190,TTSSKĐ!AA190,TTSSKĐ!AG190,TTSSKĐ!AM190))=3)*(CHOOSE({1,2,3,4},TTSSKĐ!X190,TTSSKĐ!AD190,TTSSKĐ!AJ190,TTSSKĐ!AP190)))</f>
        <v>0</v>
      </c>
      <c r="D190">
        <f>SUMPRODUCT((MONTH(CHOOSE({1,2,3,4},TTSSKĐ!U190,TTSSKĐ!AA190,TTSSKĐ!AG190,TTSSKĐ!AM190))=4)*(CHOOSE({1,2,3,4},TTSSKĐ!X190,TTSSKĐ!AD190,TTSSKĐ!AJ190,TTSSKĐ!AP190)))</f>
        <v>0</v>
      </c>
      <c r="E190">
        <f>SUMPRODUCT((MONTH(CHOOSE({1,2,3,4},TTSSKĐ!U190,TTSSKĐ!AA190,TTSSKĐ!AG190,TTSSKĐ!AM190))=5)*(CHOOSE({1,2,3,4},TTSSKĐ!X190,TTSSKĐ!AD190,TTSSKĐ!AJ190,TTSSKĐ!AP190)))</f>
        <v>0</v>
      </c>
      <c r="F190">
        <f>SUMPRODUCT((MONTH(CHOOSE({1,2,3,4},TTSSKĐ!U190,TTSSKĐ!AA190,TTSSKĐ!AG190,TTSSKĐ!AM190))=6)*(CHOOSE({1,2,3,4},TTSSKĐ!X190,TTSSKĐ!AD190,TTSSKĐ!AJ190,TTSSKĐ!AP190)))</f>
        <v>0</v>
      </c>
      <c r="G190">
        <f>SUMPRODUCT((MONTH(CHOOSE({1,2,3,4},TTSSKĐ!U190,TTSSKĐ!AA190,TTSSKĐ!AG190,TTSSKĐ!AM190))=7)*(CHOOSE({1,2,3,4},TTSSKĐ!X190,TTSSKĐ!AD190,TTSSKĐ!AJ190,TTSSKĐ!AP190)))</f>
        <v>0</v>
      </c>
      <c r="H190">
        <f>SUMPRODUCT((MONTH(CHOOSE({1,2,3,4},TTSSKĐ!U190,TTSSKĐ!AA190,TTSSKĐ!AG190,TTSSKĐ!AM190))=8)*(CHOOSE({1,2,3,4},TTSSKĐ!X190,TTSSKĐ!AD190,TTSSKĐ!AJ190,TTSSKĐ!AP190)))</f>
        <v>0</v>
      </c>
      <c r="I190">
        <f>SUMPRODUCT((MONTH(CHOOSE({1,2,3,4},TTSSKĐ!U190,TTSSKĐ!AA190,TTSSKĐ!AG190,TTSSKĐ!AM190))=9)*(CHOOSE({1,2,3,4},TTSSKĐ!X190,TTSSKĐ!AD190,TTSSKĐ!AJ190,TTSSKĐ!AP190)))</f>
        <v>0</v>
      </c>
      <c r="J190">
        <f>SUMPRODUCT((MONTH(CHOOSE({1,2,3,4},TTSSKĐ!U190,TTSSKĐ!AA190,TTSSKĐ!AG190,TTSSKĐ!AM190))=10)*(CHOOSE({1,2,3,4},TTSSKĐ!X190,TTSSKĐ!AD190,TTSSKĐ!AJ190,TTSSKĐ!AP190)))</f>
        <v>0</v>
      </c>
      <c r="K190">
        <f>SUMPRODUCT((MONTH(CHOOSE({1,2,3,4},TTSSKĐ!U190,TTSSKĐ!AA190,TTSSKĐ!AG190,TTSSKĐ!AM190))=11)*(CHOOSE({1,2,3,4},TTSSKĐ!X190,TTSSKĐ!AD190,TTSSKĐ!AJ190,TTSSKĐ!AP190)))</f>
        <v>0</v>
      </c>
      <c r="L190">
        <f>SUMPRODUCT((MONTH(CHOOSE({1,2,3,4},TTSSKĐ!U190,TTSSKĐ!AA190,TTSSKĐ!AG190,TTSSKĐ!AM190))=12)*(CHOOSE({1,2,3,4},TTSSKĐ!X190,TTSSKĐ!AD190,TTSSKĐ!AJ190,TTSSKĐ!AP190)))</f>
        <v>0</v>
      </c>
    </row>
    <row r="191" spans="1:12">
      <c r="A191">
        <f>SUMPRODUCT((MONTH(CHOOSE({1,2,3,4},TTSSKĐ!U191,TTSSKĐ!AA191,TTSSKĐ!AG191,TTSSKĐ!AM191))=1)*(CHOOSE({1,2,3,4},TTSSKĐ!X191,TTSSKĐ!AD191,TTSSKĐ!AJ191,TTSSKĐ!AP191)))</f>
        <v>0</v>
      </c>
      <c r="B191">
        <f>SUMPRODUCT((MONTH(CHOOSE({1,2,3,4},TTSSKĐ!U191,TTSSKĐ!AA191,TTSSKĐ!AG191,TTSSKĐ!AM191))=2)*(CHOOSE({1,2,3,4},TTSSKĐ!X191,TTSSKĐ!AD191,TTSSKĐ!AJ191,TTSSKĐ!AP191)))</f>
        <v>0</v>
      </c>
      <c r="C191">
        <f>SUMPRODUCT((MONTH(CHOOSE({1,2,3,4},TTSSKĐ!U191,TTSSKĐ!AA191,TTSSKĐ!AG191,TTSSKĐ!AM191))=3)*(CHOOSE({1,2,3,4},TTSSKĐ!X191,TTSSKĐ!AD191,TTSSKĐ!AJ191,TTSSKĐ!AP191)))</f>
        <v>0</v>
      </c>
      <c r="D191">
        <f>SUMPRODUCT((MONTH(CHOOSE({1,2,3,4},TTSSKĐ!U191,TTSSKĐ!AA191,TTSSKĐ!AG191,TTSSKĐ!AM191))=4)*(CHOOSE({1,2,3,4},TTSSKĐ!X191,TTSSKĐ!AD191,TTSSKĐ!AJ191,TTSSKĐ!AP191)))</f>
        <v>0</v>
      </c>
      <c r="E191">
        <f>SUMPRODUCT((MONTH(CHOOSE({1,2,3,4},TTSSKĐ!U191,TTSSKĐ!AA191,TTSSKĐ!AG191,TTSSKĐ!AM191))=5)*(CHOOSE({1,2,3,4},TTSSKĐ!X191,TTSSKĐ!AD191,TTSSKĐ!AJ191,TTSSKĐ!AP191)))</f>
        <v>0</v>
      </c>
      <c r="F191">
        <f>SUMPRODUCT((MONTH(CHOOSE({1,2,3,4},TTSSKĐ!U191,TTSSKĐ!AA191,TTSSKĐ!AG191,TTSSKĐ!AM191))=6)*(CHOOSE({1,2,3,4},TTSSKĐ!X191,TTSSKĐ!AD191,TTSSKĐ!AJ191,TTSSKĐ!AP191)))</f>
        <v>0</v>
      </c>
      <c r="G191">
        <f>SUMPRODUCT((MONTH(CHOOSE({1,2,3,4},TTSSKĐ!U191,TTSSKĐ!AA191,TTSSKĐ!AG191,TTSSKĐ!AM191))=7)*(CHOOSE({1,2,3,4},TTSSKĐ!X191,TTSSKĐ!AD191,TTSSKĐ!AJ191,TTSSKĐ!AP191)))</f>
        <v>0</v>
      </c>
      <c r="H191">
        <f>SUMPRODUCT((MONTH(CHOOSE({1,2,3,4},TTSSKĐ!U191,TTSSKĐ!AA191,TTSSKĐ!AG191,TTSSKĐ!AM191))=8)*(CHOOSE({1,2,3,4},TTSSKĐ!X191,TTSSKĐ!AD191,TTSSKĐ!AJ191,TTSSKĐ!AP191)))</f>
        <v>0</v>
      </c>
      <c r="I191">
        <f>SUMPRODUCT((MONTH(CHOOSE({1,2,3,4},TTSSKĐ!U191,TTSSKĐ!AA191,TTSSKĐ!AG191,TTSSKĐ!AM191))=9)*(CHOOSE({1,2,3,4},TTSSKĐ!X191,TTSSKĐ!AD191,TTSSKĐ!AJ191,TTSSKĐ!AP191)))</f>
        <v>0</v>
      </c>
      <c r="J191">
        <f>SUMPRODUCT((MONTH(CHOOSE({1,2,3,4},TTSSKĐ!U191,TTSSKĐ!AA191,TTSSKĐ!AG191,TTSSKĐ!AM191))=10)*(CHOOSE({1,2,3,4},TTSSKĐ!X191,TTSSKĐ!AD191,TTSSKĐ!AJ191,TTSSKĐ!AP191)))</f>
        <v>0</v>
      </c>
      <c r="K191">
        <f>SUMPRODUCT((MONTH(CHOOSE({1,2,3,4},TTSSKĐ!U191,TTSSKĐ!AA191,TTSSKĐ!AG191,TTSSKĐ!AM191))=11)*(CHOOSE({1,2,3,4},TTSSKĐ!X191,TTSSKĐ!AD191,TTSSKĐ!AJ191,TTSSKĐ!AP191)))</f>
        <v>0</v>
      </c>
      <c r="L191">
        <f>SUMPRODUCT((MONTH(CHOOSE({1,2,3,4},TTSSKĐ!U191,TTSSKĐ!AA191,TTSSKĐ!AG191,TTSSKĐ!AM191))=12)*(CHOOSE({1,2,3,4},TTSSKĐ!X191,TTSSKĐ!AD191,TTSSKĐ!AJ191,TTSSKĐ!AP191)))</f>
        <v>0</v>
      </c>
    </row>
    <row r="192" spans="1:12">
      <c r="A192">
        <f>SUMPRODUCT((MONTH(CHOOSE({1,2,3,4},TTSSKĐ!U192,TTSSKĐ!AA192,TTSSKĐ!AG192,TTSSKĐ!AM192))=1)*(CHOOSE({1,2,3,4},TTSSKĐ!X192,TTSSKĐ!AD192,TTSSKĐ!AJ192,TTSSKĐ!AP192)))</f>
        <v>0</v>
      </c>
      <c r="B192">
        <f>SUMPRODUCT((MONTH(CHOOSE({1,2,3,4},TTSSKĐ!U192,TTSSKĐ!AA192,TTSSKĐ!AG192,TTSSKĐ!AM192))=2)*(CHOOSE({1,2,3,4},TTSSKĐ!X192,TTSSKĐ!AD192,TTSSKĐ!AJ192,TTSSKĐ!AP192)))</f>
        <v>0</v>
      </c>
      <c r="C192">
        <f>SUMPRODUCT((MONTH(CHOOSE({1,2,3,4},TTSSKĐ!U192,TTSSKĐ!AA192,TTSSKĐ!AG192,TTSSKĐ!AM192))=3)*(CHOOSE({1,2,3,4},TTSSKĐ!X192,TTSSKĐ!AD192,TTSSKĐ!AJ192,TTSSKĐ!AP192)))</f>
        <v>0</v>
      </c>
      <c r="D192">
        <f>SUMPRODUCT((MONTH(CHOOSE({1,2,3,4},TTSSKĐ!U192,TTSSKĐ!AA192,TTSSKĐ!AG192,TTSSKĐ!AM192))=4)*(CHOOSE({1,2,3,4},TTSSKĐ!X192,TTSSKĐ!AD192,TTSSKĐ!AJ192,TTSSKĐ!AP192)))</f>
        <v>0</v>
      </c>
      <c r="E192">
        <f>SUMPRODUCT((MONTH(CHOOSE({1,2,3,4},TTSSKĐ!U192,TTSSKĐ!AA192,TTSSKĐ!AG192,TTSSKĐ!AM192))=5)*(CHOOSE({1,2,3,4},TTSSKĐ!X192,TTSSKĐ!AD192,TTSSKĐ!AJ192,TTSSKĐ!AP192)))</f>
        <v>0</v>
      </c>
      <c r="F192">
        <f>SUMPRODUCT((MONTH(CHOOSE({1,2,3,4},TTSSKĐ!U192,TTSSKĐ!AA192,TTSSKĐ!AG192,TTSSKĐ!AM192))=6)*(CHOOSE({1,2,3,4},TTSSKĐ!X192,TTSSKĐ!AD192,TTSSKĐ!AJ192,TTSSKĐ!AP192)))</f>
        <v>0</v>
      </c>
      <c r="G192">
        <f>SUMPRODUCT((MONTH(CHOOSE({1,2,3,4},TTSSKĐ!U192,TTSSKĐ!AA192,TTSSKĐ!AG192,TTSSKĐ!AM192))=7)*(CHOOSE({1,2,3,4},TTSSKĐ!X192,TTSSKĐ!AD192,TTSSKĐ!AJ192,TTSSKĐ!AP192)))</f>
        <v>0</v>
      </c>
      <c r="H192">
        <f>SUMPRODUCT((MONTH(CHOOSE({1,2,3,4},TTSSKĐ!U192,TTSSKĐ!AA192,TTSSKĐ!AG192,TTSSKĐ!AM192))=8)*(CHOOSE({1,2,3,4},TTSSKĐ!X192,TTSSKĐ!AD192,TTSSKĐ!AJ192,TTSSKĐ!AP192)))</f>
        <v>0</v>
      </c>
      <c r="I192">
        <f>SUMPRODUCT((MONTH(CHOOSE({1,2,3,4},TTSSKĐ!U192,TTSSKĐ!AA192,TTSSKĐ!AG192,TTSSKĐ!AM192))=9)*(CHOOSE({1,2,3,4},TTSSKĐ!X192,TTSSKĐ!AD192,TTSSKĐ!AJ192,TTSSKĐ!AP192)))</f>
        <v>0</v>
      </c>
      <c r="J192">
        <f>SUMPRODUCT((MONTH(CHOOSE({1,2,3,4},TTSSKĐ!U192,TTSSKĐ!AA192,TTSSKĐ!AG192,TTSSKĐ!AM192))=10)*(CHOOSE({1,2,3,4},TTSSKĐ!X192,TTSSKĐ!AD192,TTSSKĐ!AJ192,TTSSKĐ!AP192)))</f>
        <v>0</v>
      </c>
      <c r="K192">
        <f>SUMPRODUCT((MONTH(CHOOSE({1,2,3,4},TTSSKĐ!U192,TTSSKĐ!AA192,TTSSKĐ!AG192,TTSSKĐ!AM192))=11)*(CHOOSE({1,2,3,4},TTSSKĐ!X192,TTSSKĐ!AD192,TTSSKĐ!AJ192,TTSSKĐ!AP192)))</f>
        <v>0</v>
      </c>
      <c r="L192">
        <f>SUMPRODUCT((MONTH(CHOOSE({1,2,3,4},TTSSKĐ!U192,TTSSKĐ!AA192,TTSSKĐ!AG192,TTSSKĐ!AM192))=12)*(CHOOSE({1,2,3,4},TTSSKĐ!X192,TTSSKĐ!AD192,TTSSKĐ!AJ192,TTSSKĐ!AP192)))</f>
        <v>0</v>
      </c>
    </row>
    <row r="193" spans="1:12">
      <c r="A193">
        <f>SUMPRODUCT((MONTH(CHOOSE({1,2,3,4},TTSSKĐ!U193,TTSSKĐ!AA193,TTSSKĐ!AG193,TTSSKĐ!AM193))=1)*(CHOOSE({1,2,3,4},TTSSKĐ!X193,TTSSKĐ!AD193,TTSSKĐ!AJ193,TTSSKĐ!AP193)))</f>
        <v>0</v>
      </c>
      <c r="B193">
        <f>SUMPRODUCT((MONTH(CHOOSE({1,2,3,4},TTSSKĐ!U193,TTSSKĐ!AA193,TTSSKĐ!AG193,TTSSKĐ!AM193))=2)*(CHOOSE({1,2,3,4},TTSSKĐ!X193,TTSSKĐ!AD193,TTSSKĐ!AJ193,TTSSKĐ!AP193)))</f>
        <v>0</v>
      </c>
      <c r="C193">
        <f>SUMPRODUCT((MONTH(CHOOSE({1,2,3,4},TTSSKĐ!U193,TTSSKĐ!AA193,TTSSKĐ!AG193,TTSSKĐ!AM193))=3)*(CHOOSE({1,2,3,4},TTSSKĐ!X193,TTSSKĐ!AD193,TTSSKĐ!AJ193,TTSSKĐ!AP193)))</f>
        <v>0</v>
      </c>
      <c r="D193">
        <f>SUMPRODUCT((MONTH(CHOOSE({1,2,3,4},TTSSKĐ!U193,TTSSKĐ!AA193,TTSSKĐ!AG193,TTSSKĐ!AM193))=4)*(CHOOSE({1,2,3,4},TTSSKĐ!X193,TTSSKĐ!AD193,TTSSKĐ!AJ193,TTSSKĐ!AP193)))</f>
        <v>0</v>
      </c>
      <c r="E193">
        <f>SUMPRODUCT((MONTH(CHOOSE({1,2,3,4},TTSSKĐ!U193,TTSSKĐ!AA193,TTSSKĐ!AG193,TTSSKĐ!AM193))=5)*(CHOOSE({1,2,3,4},TTSSKĐ!X193,TTSSKĐ!AD193,TTSSKĐ!AJ193,TTSSKĐ!AP193)))</f>
        <v>0</v>
      </c>
      <c r="F193">
        <f>SUMPRODUCT((MONTH(CHOOSE({1,2,3,4},TTSSKĐ!U193,TTSSKĐ!AA193,TTSSKĐ!AG193,TTSSKĐ!AM193))=6)*(CHOOSE({1,2,3,4},TTSSKĐ!X193,TTSSKĐ!AD193,TTSSKĐ!AJ193,TTSSKĐ!AP193)))</f>
        <v>0</v>
      </c>
      <c r="G193">
        <f>SUMPRODUCT((MONTH(CHOOSE({1,2,3,4},TTSSKĐ!U193,TTSSKĐ!AA193,TTSSKĐ!AG193,TTSSKĐ!AM193))=7)*(CHOOSE({1,2,3,4},TTSSKĐ!X193,TTSSKĐ!AD193,TTSSKĐ!AJ193,TTSSKĐ!AP193)))</f>
        <v>0</v>
      </c>
      <c r="H193">
        <f>SUMPRODUCT((MONTH(CHOOSE({1,2,3,4},TTSSKĐ!U193,TTSSKĐ!AA193,TTSSKĐ!AG193,TTSSKĐ!AM193))=8)*(CHOOSE({1,2,3,4},TTSSKĐ!X193,TTSSKĐ!AD193,TTSSKĐ!AJ193,TTSSKĐ!AP193)))</f>
        <v>0</v>
      </c>
      <c r="I193">
        <f>SUMPRODUCT((MONTH(CHOOSE({1,2,3,4},TTSSKĐ!U193,TTSSKĐ!AA193,TTSSKĐ!AG193,TTSSKĐ!AM193))=9)*(CHOOSE({1,2,3,4},TTSSKĐ!X193,TTSSKĐ!AD193,TTSSKĐ!AJ193,TTSSKĐ!AP193)))</f>
        <v>0</v>
      </c>
      <c r="J193">
        <f>SUMPRODUCT((MONTH(CHOOSE({1,2,3,4},TTSSKĐ!U193,TTSSKĐ!AA193,TTSSKĐ!AG193,TTSSKĐ!AM193))=10)*(CHOOSE({1,2,3,4},TTSSKĐ!X193,TTSSKĐ!AD193,TTSSKĐ!AJ193,TTSSKĐ!AP193)))</f>
        <v>0</v>
      </c>
      <c r="K193">
        <f>SUMPRODUCT((MONTH(CHOOSE({1,2,3,4},TTSSKĐ!U193,TTSSKĐ!AA193,TTSSKĐ!AG193,TTSSKĐ!AM193))=11)*(CHOOSE({1,2,3,4},TTSSKĐ!X193,TTSSKĐ!AD193,TTSSKĐ!AJ193,TTSSKĐ!AP193)))</f>
        <v>0</v>
      </c>
      <c r="L193">
        <f>SUMPRODUCT((MONTH(CHOOSE({1,2,3,4},TTSSKĐ!U193,TTSSKĐ!AA193,TTSSKĐ!AG193,TTSSKĐ!AM193))=12)*(CHOOSE({1,2,3,4},TTSSKĐ!X193,TTSSKĐ!AD193,TTSSKĐ!AJ193,TTSSKĐ!AP193)))</f>
        <v>0</v>
      </c>
    </row>
    <row r="194" spans="1:12">
      <c r="A194">
        <f>SUMPRODUCT((MONTH(CHOOSE({1,2,3,4},TTSSKĐ!U194,TTSSKĐ!AA194,TTSSKĐ!AG194,TTSSKĐ!AM194))=1)*(CHOOSE({1,2,3,4},TTSSKĐ!X194,TTSSKĐ!AD194,TTSSKĐ!AJ194,TTSSKĐ!AP194)))</f>
        <v>0</v>
      </c>
      <c r="B194">
        <f>SUMPRODUCT((MONTH(CHOOSE({1,2,3,4},TTSSKĐ!U194,TTSSKĐ!AA194,TTSSKĐ!AG194,TTSSKĐ!AM194))=2)*(CHOOSE({1,2,3,4},TTSSKĐ!X194,TTSSKĐ!AD194,TTSSKĐ!AJ194,TTSSKĐ!AP194)))</f>
        <v>0</v>
      </c>
      <c r="C194">
        <f>SUMPRODUCT((MONTH(CHOOSE({1,2,3,4},TTSSKĐ!U194,TTSSKĐ!AA194,TTSSKĐ!AG194,TTSSKĐ!AM194))=3)*(CHOOSE({1,2,3,4},TTSSKĐ!X194,TTSSKĐ!AD194,TTSSKĐ!AJ194,TTSSKĐ!AP194)))</f>
        <v>0</v>
      </c>
      <c r="D194">
        <f>SUMPRODUCT((MONTH(CHOOSE({1,2,3,4},TTSSKĐ!U194,TTSSKĐ!AA194,TTSSKĐ!AG194,TTSSKĐ!AM194))=4)*(CHOOSE({1,2,3,4},TTSSKĐ!X194,TTSSKĐ!AD194,TTSSKĐ!AJ194,TTSSKĐ!AP194)))</f>
        <v>0</v>
      </c>
      <c r="E194">
        <f>SUMPRODUCT((MONTH(CHOOSE({1,2,3,4},TTSSKĐ!U194,TTSSKĐ!AA194,TTSSKĐ!AG194,TTSSKĐ!AM194))=5)*(CHOOSE({1,2,3,4},TTSSKĐ!X194,TTSSKĐ!AD194,TTSSKĐ!AJ194,TTSSKĐ!AP194)))</f>
        <v>0</v>
      </c>
      <c r="F194">
        <f>SUMPRODUCT((MONTH(CHOOSE({1,2,3,4},TTSSKĐ!U194,TTSSKĐ!AA194,TTSSKĐ!AG194,TTSSKĐ!AM194))=6)*(CHOOSE({1,2,3,4},TTSSKĐ!X194,TTSSKĐ!AD194,TTSSKĐ!AJ194,TTSSKĐ!AP194)))</f>
        <v>0</v>
      </c>
      <c r="G194">
        <f>SUMPRODUCT((MONTH(CHOOSE({1,2,3,4},TTSSKĐ!U194,TTSSKĐ!AA194,TTSSKĐ!AG194,TTSSKĐ!AM194))=7)*(CHOOSE({1,2,3,4},TTSSKĐ!X194,TTSSKĐ!AD194,TTSSKĐ!AJ194,TTSSKĐ!AP194)))</f>
        <v>0</v>
      </c>
      <c r="H194">
        <f>SUMPRODUCT((MONTH(CHOOSE({1,2,3,4},TTSSKĐ!U194,TTSSKĐ!AA194,TTSSKĐ!AG194,TTSSKĐ!AM194))=8)*(CHOOSE({1,2,3,4},TTSSKĐ!X194,TTSSKĐ!AD194,TTSSKĐ!AJ194,TTSSKĐ!AP194)))</f>
        <v>0</v>
      </c>
      <c r="I194">
        <f>SUMPRODUCT((MONTH(CHOOSE({1,2,3,4},TTSSKĐ!U194,TTSSKĐ!AA194,TTSSKĐ!AG194,TTSSKĐ!AM194))=9)*(CHOOSE({1,2,3,4},TTSSKĐ!X194,TTSSKĐ!AD194,TTSSKĐ!AJ194,TTSSKĐ!AP194)))</f>
        <v>0</v>
      </c>
      <c r="J194">
        <f>SUMPRODUCT((MONTH(CHOOSE({1,2,3,4},TTSSKĐ!U194,TTSSKĐ!AA194,TTSSKĐ!AG194,TTSSKĐ!AM194))=10)*(CHOOSE({1,2,3,4},TTSSKĐ!X194,TTSSKĐ!AD194,TTSSKĐ!AJ194,TTSSKĐ!AP194)))</f>
        <v>0</v>
      </c>
      <c r="K194">
        <f>SUMPRODUCT((MONTH(CHOOSE({1,2,3,4},TTSSKĐ!U194,TTSSKĐ!AA194,TTSSKĐ!AG194,TTSSKĐ!AM194))=11)*(CHOOSE({1,2,3,4},TTSSKĐ!X194,TTSSKĐ!AD194,TTSSKĐ!AJ194,TTSSKĐ!AP194)))</f>
        <v>0</v>
      </c>
      <c r="L194">
        <f>SUMPRODUCT((MONTH(CHOOSE({1,2,3,4},TTSSKĐ!U194,TTSSKĐ!AA194,TTSSKĐ!AG194,TTSSKĐ!AM194))=12)*(CHOOSE({1,2,3,4},TTSSKĐ!X194,TTSSKĐ!AD194,TTSSKĐ!AJ194,TTSSKĐ!AP194)))</f>
        <v>0</v>
      </c>
    </row>
    <row r="195" spans="1:12">
      <c r="A195">
        <f>SUMPRODUCT((MONTH(CHOOSE({1,2,3,4},TTSSKĐ!U195,TTSSKĐ!AA195,TTSSKĐ!AG195,TTSSKĐ!AM195))=1)*(CHOOSE({1,2,3,4},TTSSKĐ!X195,TTSSKĐ!AD195,TTSSKĐ!AJ195,TTSSKĐ!AP195)))</f>
        <v>0</v>
      </c>
      <c r="B195">
        <f>SUMPRODUCT((MONTH(CHOOSE({1,2,3,4},TTSSKĐ!U195,TTSSKĐ!AA195,TTSSKĐ!AG195,TTSSKĐ!AM195))=2)*(CHOOSE({1,2,3,4},TTSSKĐ!X195,TTSSKĐ!AD195,TTSSKĐ!AJ195,TTSSKĐ!AP195)))</f>
        <v>0</v>
      </c>
      <c r="C195">
        <f>SUMPRODUCT((MONTH(CHOOSE({1,2,3,4},TTSSKĐ!U195,TTSSKĐ!AA195,TTSSKĐ!AG195,TTSSKĐ!AM195))=3)*(CHOOSE({1,2,3,4},TTSSKĐ!X195,TTSSKĐ!AD195,TTSSKĐ!AJ195,TTSSKĐ!AP195)))</f>
        <v>0</v>
      </c>
      <c r="D195">
        <f>SUMPRODUCT((MONTH(CHOOSE({1,2,3,4},TTSSKĐ!U195,TTSSKĐ!AA195,TTSSKĐ!AG195,TTSSKĐ!AM195))=4)*(CHOOSE({1,2,3,4},TTSSKĐ!X195,TTSSKĐ!AD195,TTSSKĐ!AJ195,TTSSKĐ!AP195)))</f>
        <v>0</v>
      </c>
      <c r="E195">
        <f>SUMPRODUCT((MONTH(CHOOSE({1,2,3,4},TTSSKĐ!U195,TTSSKĐ!AA195,TTSSKĐ!AG195,TTSSKĐ!AM195))=5)*(CHOOSE({1,2,3,4},TTSSKĐ!X195,TTSSKĐ!AD195,TTSSKĐ!AJ195,TTSSKĐ!AP195)))</f>
        <v>0</v>
      </c>
      <c r="F195">
        <f>SUMPRODUCT((MONTH(CHOOSE({1,2,3,4},TTSSKĐ!U195,TTSSKĐ!AA195,TTSSKĐ!AG195,TTSSKĐ!AM195))=6)*(CHOOSE({1,2,3,4},TTSSKĐ!X195,TTSSKĐ!AD195,TTSSKĐ!AJ195,TTSSKĐ!AP195)))</f>
        <v>0</v>
      </c>
      <c r="G195">
        <f>SUMPRODUCT((MONTH(CHOOSE({1,2,3,4},TTSSKĐ!U195,TTSSKĐ!AA195,TTSSKĐ!AG195,TTSSKĐ!AM195))=7)*(CHOOSE({1,2,3,4},TTSSKĐ!X195,TTSSKĐ!AD195,TTSSKĐ!AJ195,TTSSKĐ!AP195)))</f>
        <v>0</v>
      </c>
      <c r="H195">
        <f>SUMPRODUCT((MONTH(CHOOSE({1,2,3,4},TTSSKĐ!U195,TTSSKĐ!AA195,TTSSKĐ!AG195,TTSSKĐ!AM195))=8)*(CHOOSE({1,2,3,4},TTSSKĐ!X195,TTSSKĐ!AD195,TTSSKĐ!AJ195,TTSSKĐ!AP195)))</f>
        <v>0</v>
      </c>
      <c r="I195">
        <f>SUMPRODUCT((MONTH(CHOOSE({1,2,3,4},TTSSKĐ!U195,TTSSKĐ!AA195,TTSSKĐ!AG195,TTSSKĐ!AM195))=9)*(CHOOSE({1,2,3,4},TTSSKĐ!X195,TTSSKĐ!AD195,TTSSKĐ!AJ195,TTSSKĐ!AP195)))</f>
        <v>0</v>
      </c>
      <c r="J195">
        <f>SUMPRODUCT((MONTH(CHOOSE({1,2,3,4},TTSSKĐ!U195,TTSSKĐ!AA195,TTSSKĐ!AG195,TTSSKĐ!AM195))=10)*(CHOOSE({1,2,3,4},TTSSKĐ!X195,TTSSKĐ!AD195,TTSSKĐ!AJ195,TTSSKĐ!AP195)))</f>
        <v>0</v>
      </c>
      <c r="K195">
        <f>SUMPRODUCT((MONTH(CHOOSE({1,2,3,4},TTSSKĐ!U195,TTSSKĐ!AA195,TTSSKĐ!AG195,TTSSKĐ!AM195))=11)*(CHOOSE({1,2,3,4},TTSSKĐ!X195,TTSSKĐ!AD195,TTSSKĐ!AJ195,TTSSKĐ!AP195)))</f>
        <v>0</v>
      </c>
      <c r="L195">
        <f>SUMPRODUCT((MONTH(CHOOSE({1,2,3,4},TTSSKĐ!U195,TTSSKĐ!AA195,TTSSKĐ!AG195,TTSSKĐ!AM195))=12)*(CHOOSE({1,2,3,4},TTSSKĐ!X195,TTSSKĐ!AD195,TTSSKĐ!AJ195,TTSSKĐ!AP195)))</f>
        <v>0</v>
      </c>
    </row>
    <row r="196" spans="1:12">
      <c r="A196">
        <f>SUMPRODUCT((MONTH(CHOOSE({1,2,3,4},TTSSKĐ!U196,TTSSKĐ!AA196,TTSSKĐ!AG196,TTSSKĐ!AM196))=1)*(CHOOSE({1,2,3,4},TTSSKĐ!X196,TTSSKĐ!AD196,TTSSKĐ!AJ196,TTSSKĐ!AP196)))</f>
        <v>0</v>
      </c>
      <c r="B196">
        <f>SUMPRODUCT((MONTH(CHOOSE({1,2,3,4},TTSSKĐ!U196,TTSSKĐ!AA196,TTSSKĐ!AG196,TTSSKĐ!AM196))=2)*(CHOOSE({1,2,3,4},TTSSKĐ!X196,TTSSKĐ!AD196,TTSSKĐ!AJ196,TTSSKĐ!AP196)))</f>
        <v>0</v>
      </c>
      <c r="C196">
        <f>SUMPRODUCT((MONTH(CHOOSE({1,2,3,4},TTSSKĐ!U196,TTSSKĐ!AA196,TTSSKĐ!AG196,TTSSKĐ!AM196))=3)*(CHOOSE({1,2,3,4},TTSSKĐ!X196,TTSSKĐ!AD196,TTSSKĐ!AJ196,TTSSKĐ!AP196)))</f>
        <v>0</v>
      </c>
      <c r="D196">
        <f>SUMPRODUCT((MONTH(CHOOSE({1,2,3,4},TTSSKĐ!U196,TTSSKĐ!AA196,TTSSKĐ!AG196,TTSSKĐ!AM196))=4)*(CHOOSE({1,2,3,4},TTSSKĐ!X196,TTSSKĐ!AD196,TTSSKĐ!AJ196,TTSSKĐ!AP196)))</f>
        <v>0</v>
      </c>
      <c r="E196">
        <f>SUMPRODUCT((MONTH(CHOOSE({1,2,3,4},TTSSKĐ!U196,TTSSKĐ!AA196,TTSSKĐ!AG196,TTSSKĐ!AM196))=5)*(CHOOSE({1,2,3,4},TTSSKĐ!X196,TTSSKĐ!AD196,TTSSKĐ!AJ196,TTSSKĐ!AP196)))</f>
        <v>0</v>
      </c>
      <c r="F196">
        <f>SUMPRODUCT((MONTH(CHOOSE({1,2,3,4},TTSSKĐ!U196,TTSSKĐ!AA196,TTSSKĐ!AG196,TTSSKĐ!AM196))=6)*(CHOOSE({1,2,3,4},TTSSKĐ!X196,TTSSKĐ!AD196,TTSSKĐ!AJ196,TTSSKĐ!AP196)))</f>
        <v>0</v>
      </c>
      <c r="G196">
        <f>SUMPRODUCT((MONTH(CHOOSE({1,2,3,4},TTSSKĐ!U196,TTSSKĐ!AA196,TTSSKĐ!AG196,TTSSKĐ!AM196))=7)*(CHOOSE({1,2,3,4},TTSSKĐ!X196,TTSSKĐ!AD196,TTSSKĐ!AJ196,TTSSKĐ!AP196)))</f>
        <v>0</v>
      </c>
      <c r="H196">
        <f>SUMPRODUCT((MONTH(CHOOSE({1,2,3,4},TTSSKĐ!U196,TTSSKĐ!AA196,TTSSKĐ!AG196,TTSSKĐ!AM196))=8)*(CHOOSE({1,2,3,4},TTSSKĐ!X196,TTSSKĐ!AD196,TTSSKĐ!AJ196,TTSSKĐ!AP196)))</f>
        <v>0</v>
      </c>
      <c r="I196">
        <f>SUMPRODUCT((MONTH(CHOOSE({1,2,3,4},TTSSKĐ!U196,TTSSKĐ!AA196,TTSSKĐ!AG196,TTSSKĐ!AM196))=9)*(CHOOSE({1,2,3,4},TTSSKĐ!X196,TTSSKĐ!AD196,TTSSKĐ!AJ196,TTSSKĐ!AP196)))</f>
        <v>0</v>
      </c>
      <c r="J196">
        <f>SUMPRODUCT((MONTH(CHOOSE({1,2,3,4},TTSSKĐ!U196,TTSSKĐ!AA196,TTSSKĐ!AG196,TTSSKĐ!AM196))=10)*(CHOOSE({1,2,3,4},TTSSKĐ!X196,TTSSKĐ!AD196,TTSSKĐ!AJ196,TTSSKĐ!AP196)))</f>
        <v>0</v>
      </c>
      <c r="K196">
        <f>SUMPRODUCT((MONTH(CHOOSE({1,2,3,4},TTSSKĐ!U196,TTSSKĐ!AA196,TTSSKĐ!AG196,TTSSKĐ!AM196))=11)*(CHOOSE({1,2,3,4},TTSSKĐ!X196,TTSSKĐ!AD196,TTSSKĐ!AJ196,TTSSKĐ!AP196)))</f>
        <v>0</v>
      </c>
      <c r="L196">
        <f>SUMPRODUCT((MONTH(CHOOSE({1,2,3,4},TTSSKĐ!U196,TTSSKĐ!AA196,TTSSKĐ!AG196,TTSSKĐ!AM196))=12)*(CHOOSE({1,2,3,4},TTSSKĐ!X196,TTSSKĐ!AD196,TTSSKĐ!AJ196,TTSSKĐ!AP196)))</f>
        <v>0</v>
      </c>
    </row>
    <row r="197" spans="1:12">
      <c r="A197">
        <f>SUMPRODUCT((MONTH(CHOOSE({1,2,3,4},TTSSKĐ!U197,TTSSKĐ!AA197,TTSSKĐ!AG197,TTSSKĐ!AM197))=1)*(CHOOSE({1,2,3,4},TTSSKĐ!X197,TTSSKĐ!AD197,TTSSKĐ!AJ197,TTSSKĐ!AP197)))</f>
        <v>0</v>
      </c>
      <c r="B197">
        <f>SUMPRODUCT((MONTH(CHOOSE({1,2,3,4},TTSSKĐ!U197,TTSSKĐ!AA197,TTSSKĐ!AG197,TTSSKĐ!AM197))=2)*(CHOOSE({1,2,3,4},TTSSKĐ!X197,TTSSKĐ!AD197,TTSSKĐ!AJ197,TTSSKĐ!AP197)))</f>
        <v>0</v>
      </c>
      <c r="C197">
        <f>SUMPRODUCT((MONTH(CHOOSE({1,2,3,4},TTSSKĐ!U197,TTSSKĐ!AA197,TTSSKĐ!AG197,TTSSKĐ!AM197))=3)*(CHOOSE({1,2,3,4},TTSSKĐ!X197,TTSSKĐ!AD197,TTSSKĐ!AJ197,TTSSKĐ!AP197)))</f>
        <v>0</v>
      </c>
      <c r="D197">
        <f>SUMPRODUCT((MONTH(CHOOSE({1,2,3,4},TTSSKĐ!U197,TTSSKĐ!AA197,TTSSKĐ!AG197,TTSSKĐ!AM197))=4)*(CHOOSE({1,2,3,4},TTSSKĐ!X197,TTSSKĐ!AD197,TTSSKĐ!AJ197,TTSSKĐ!AP197)))</f>
        <v>0</v>
      </c>
      <c r="E197">
        <f>SUMPRODUCT((MONTH(CHOOSE({1,2,3,4},TTSSKĐ!U197,TTSSKĐ!AA197,TTSSKĐ!AG197,TTSSKĐ!AM197))=5)*(CHOOSE({1,2,3,4},TTSSKĐ!X197,TTSSKĐ!AD197,TTSSKĐ!AJ197,TTSSKĐ!AP197)))</f>
        <v>0</v>
      </c>
      <c r="F197">
        <f>SUMPRODUCT((MONTH(CHOOSE({1,2,3,4},TTSSKĐ!U197,TTSSKĐ!AA197,TTSSKĐ!AG197,TTSSKĐ!AM197))=6)*(CHOOSE({1,2,3,4},TTSSKĐ!X197,TTSSKĐ!AD197,TTSSKĐ!AJ197,TTSSKĐ!AP197)))</f>
        <v>0</v>
      </c>
      <c r="G197">
        <f>SUMPRODUCT((MONTH(CHOOSE({1,2,3,4},TTSSKĐ!U197,TTSSKĐ!AA197,TTSSKĐ!AG197,TTSSKĐ!AM197))=7)*(CHOOSE({1,2,3,4},TTSSKĐ!X197,TTSSKĐ!AD197,TTSSKĐ!AJ197,TTSSKĐ!AP197)))</f>
        <v>0</v>
      </c>
      <c r="H197">
        <f>SUMPRODUCT((MONTH(CHOOSE({1,2,3,4},TTSSKĐ!U197,TTSSKĐ!AA197,TTSSKĐ!AG197,TTSSKĐ!AM197))=8)*(CHOOSE({1,2,3,4},TTSSKĐ!X197,TTSSKĐ!AD197,TTSSKĐ!AJ197,TTSSKĐ!AP197)))</f>
        <v>0</v>
      </c>
      <c r="I197">
        <f>SUMPRODUCT((MONTH(CHOOSE({1,2,3,4},TTSSKĐ!U197,TTSSKĐ!AA197,TTSSKĐ!AG197,TTSSKĐ!AM197))=9)*(CHOOSE({1,2,3,4},TTSSKĐ!X197,TTSSKĐ!AD197,TTSSKĐ!AJ197,TTSSKĐ!AP197)))</f>
        <v>0</v>
      </c>
      <c r="J197">
        <f>SUMPRODUCT((MONTH(CHOOSE({1,2,3,4},TTSSKĐ!U197,TTSSKĐ!AA197,TTSSKĐ!AG197,TTSSKĐ!AM197))=10)*(CHOOSE({1,2,3,4},TTSSKĐ!X197,TTSSKĐ!AD197,TTSSKĐ!AJ197,TTSSKĐ!AP197)))</f>
        <v>0</v>
      </c>
      <c r="K197">
        <f>SUMPRODUCT((MONTH(CHOOSE({1,2,3,4},TTSSKĐ!U197,TTSSKĐ!AA197,TTSSKĐ!AG197,TTSSKĐ!AM197))=11)*(CHOOSE({1,2,3,4},TTSSKĐ!X197,TTSSKĐ!AD197,TTSSKĐ!AJ197,TTSSKĐ!AP197)))</f>
        <v>0</v>
      </c>
      <c r="L197">
        <f>SUMPRODUCT((MONTH(CHOOSE({1,2,3,4},TTSSKĐ!U197,TTSSKĐ!AA197,TTSSKĐ!AG197,TTSSKĐ!AM197))=12)*(CHOOSE({1,2,3,4},TTSSKĐ!X197,TTSSKĐ!AD197,TTSSKĐ!AJ197,TTSSKĐ!AP197)))</f>
        <v>0</v>
      </c>
    </row>
    <row r="198" spans="1:12">
      <c r="A198">
        <f>SUMPRODUCT((MONTH(CHOOSE({1,2,3,4},TTSSKĐ!U198,TTSSKĐ!AA198,TTSSKĐ!AG198,TTSSKĐ!AM198))=1)*(CHOOSE({1,2,3,4},TTSSKĐ!X198,TTSSKĐ!AD198,TTSSKĐ!AJ198,TTSSKĐ!AP198)))</f>
        <v>0</v>
      </c>
      <c r="B198">
        <f>SUMPRODUCT((MONTH(CHOOSE({1,2,3,4},TTSSKĐ!U198,TTSSKĐ!AA198,TTSSKĐ!AG198,TTSSKĐ!AM198))=2)*(CHOOSE({1,2,3,4},TTSSKĐ!X198,TTSSKĐ!AD198,TTSSKĐ!AJ198,TTSSKĐ!AP198)))</f>
        <v>0</v>
      </c>
      <c r="C198">
        <f>SUMPRODUCT((MONTH(CHOOSE({1,2,3,4},TTSSKĐ!U198,TTSSKĐ!AA198,TTSSKĐ!AG198,TTSSKĐ!AM198))=3)*(CHOOSE({1,2,3,4},TTSSKĐ!X198,TTSSKĐ!AD198,TTSSKĐ!AJ198,TTSSKĐ!AP198)))</f>
        <v>0</v>
      </c>
      <c r="D198">
        <f>SUMPRODUCT((MONTH(CHOOSE({1,2,3,4},TTSSKĐ!U198,TTSSKĐ!AA198,TTSSKĐ!AG198,TTSSKĐ!AM198))=4)*(CHOOSE({1,2,3,4},TTSSKĐ!X198,TTSSKĐ!AD198,TTSSKĐ!AJ198,TTSSKĐ!AP198)))</f>
        <v>0</v>
      </c>
      <c r="E198">
        <f>SUMPRODUCT((MONTH(CHOOSE({1,2,3,4},TTSSKĐ!U198,TTSSKĐ!AA198,TTSSKĐ!AG198,TTSSKĐ!AM198))=5)*(CHOOSE({1,2,3,4},TTSSKĐ!X198,TTSSKĐ!AD198,TTSSKĐ!AJ198,TTSSKĐ!AP198)))</f>
        <v>0</v>
      </c>
      <c r="F198">
        <f>SUMPRODUCT((MONTH(CHOOSE({1,2,3,4},TTSSKĐ!U198,TTSSKĐ!AA198,TTSSKĐ!AG198,TTSSKĐ!AM198))=6)*(CHOOSE({1,2,3,4},TTSSKĐ!X198,TTSSKĐ!AD198,TTSSKĐ!AJ198,TTSSKĐ!AP198)))</f>
        <v>0</v>
      </c>
      <c r="G198">
        <f>SUMPRODUCT((MONTH(CHOOSE({1,2,3,4},TTSSKĐ!U198,TTSSKĐ!AA198,TTSSKĐ!AG198,TTSSKĐ!AM198))=7)*(CHOOSE({1,2,3,4},TTSSKĐ!X198,TTSSKĐ!AD198,TTSSKĐ!AJ198,TTSSKĐ!AP198)))</f>
        <v>0</v>
      </c>
      <c r="H198">
        <f>SUMPRODUCT((MONTH(CHOOSE({1,2,3,4},TTSSKĐ!U198,TTSSKĐ!AA198,TTSSKĐ!AG198,TTSSKĐ!AM198))=8)*(CHOOSE({1,2,3,4},TTSSKĐ!X198,TTSSKĐ!AD198,TTSSKĐ!AJ198,TTSSKĐ!AP198)))</f>
        <v>0</v>
      </c>
      <c r="I198">
        <f>SUMPRODUCT((MONTH(CHOOSE({1,2,3,4},TTSSKĐ!U198,TTSSKĐ!AA198,TTSSKĐ!AG198,TTSSKĐ!AM198))=9)*(CHOOSE({1,2,3,4},TTSSKĐ!X198,TTSSKĐ!AD198,TTSSKĐ!AJ198,TTSSKĐ!AP198)))</f>
        <v>0</v>
      </c>
      <c r="J198">
        <f>SUMPRODUCT((MONTH(CHOOSE({1,2,3,4},TTSSKĐ!U198,TTSSKĐ!AA198,TTSSKĐ!AG198,TTSSKĐ!AM198))=10)*(CHOOSE({1,2,3,4},TTSSKĐ!X198,TTSSKĐ!AD198,TTSSKĐ!AJ198,TTSSKĐ!AP198)))</f>
        <v>0</v>
      </c>
      <c r="K198">
        <f>SUMPRODUCT((MONTH(CHOOSE({1,2,3,4},TTSSKĐ!U198,TTSSKĐ!AA198,TTSSKĐ!AG198,TTSSKĐ!AM198))=11)*(CHOOSE({1,2,3,4},TTSSKĐ!X198,TTSSKĐ!AD198,TTSSKĐ!AJ198,TTSSKĐ!AP198)))</f>
        <v>0</v>
      </c>
      <c r="L198">
        <f>SUMPRODUCT((MONTH(CHOOSE({1,2,3,4},TTSSKĐ!U198,TTSSKĐ!AA198,TTSSKĐ!AG198,TTSSKĐ!AM198))=12)*(CHOOSE({1,2,3,4},TTSSKĐ!X198,TTSSKĐ!AD198,TTSSKĐ!AJ198,TTSSKĐ!AP198)))</f>
        <v>0</v>
      </c>
    </row>
    <row r="199" spans="1:12">
      <c r="A199">
        <f>SUMPRODUCT((MONTH(CHOOSE({1,2,3,4},TTSSKĐ!U199,TTSSKĐ!AA199,TTSSKĐ!AG199,TTSSKĐ!AM199))=1)*(CHOOSE({1,2,3,4},TTSSKĐ!X199,TTSSKĐ!AD199,TTSSKĐ!AJ199,TTSSKĐ!AP199)))</f>
        <v>0</v>
      </c>
      <c r="B199">
        <f>SUMPRODUCT((MONTH(CHOOSE({1,2,3,4},TTSSKĐ!U199,TTSSKĐ!AA199,TTSSKĐ!AG199,TTSSKĐ!AM199))=2)*(CHOOSE({1,2,3,4},TTSSKĐ!X199,TTSSKĐ!AD199,TTSSKĐ!AJ199,TTSSKĐ!AP199)))</f>
        <v>0</v>
      </c>
      <c r="C199">
        <f>SUMPRODUCT((MONTH(CHOOSE({1,2,3,4},TTSSKĐ!U199,TTSSKĐ!AA199,TTSSKĐ!AG199,TTSSKĐ!AM199))=3)*(CHOOSE({1,2,3,4},TTSSKĐ!X199,TTSSKĐ!AD199,TTSSKĐ!AJ199,TTSSKĐ!AP199)))</f>
        <v>0</v>
      </c>
      <c r="D199">
        <f>SUMPRODUCT((MONTH(CHOOSE({1,2,3,4},TTSSKĐ!U199,TTSSKĐ!AA199,TTSSKĐ!AG199,TTSSKĐ!AM199))=4)*(CHOOSE({1,2,3,4},TTSSKĐ!X199,TTSSKĐ!AD199,TTSSKĐ!AJ199,TTSSKĐ!AP199)))</f>
        <v>0</v>
      </c>
      <c r="E199">
        <f>SUMPRODUCT((MONTH(CHOOSE({1,2,3,4},TTSSKĐ!U199,TTSSKĐ!AA199,TTSSKĐ!AG199,TTSSKĐ!AM199))=5)*(CHOOSE({1,2,3,4},TTSSKĐ!X199,TTSSKĐ!AD199,TTSSKĐ!AJ199,TTSSKĐ!AP199)))</f>
        <v>0</v>
      </c>
      <c r="F199">
        <f>SUMPRODUCT((MONTH(CHOOSE({1,2,3,4},TTSSKĐ!U199,TTSSKĐ!AA199,TTSSKĐ!AG199,TTSSKĐ!AM199))=6)*(CHOOSE({1,2,3,4},TTSSKĐ!X199,TTSSKĐ!AD199,TTSSKĐ!AJ199,TTSSKĐ!AP199)))</f>
        <v>0</v>
      </c>
      <c r="G199">
        <f>SUMPRODUCT((MONTH(CHOOSE({1,2,3,4},TTSSKĐ!U199,TTSSKĐ!AA199,TTSSKĐ!AG199,TTSSKĐ!AM199))=7)*(CHOOSE({1,2,3,4},TTSSKĐ!X199,TTSSKĐ!AD199,TTSSKĐ!AJ199,TTSSKĐ!AP199)))</f>
        <v>0</v>
      </c>
      <c r="H199">
        <f>SUMPRODUCT((MONTH(CHOOSE({1,2,3,4},TTSSKĐ!U199,TTSSKĐ!AA199,TTSSKĐ!AG199,TTSSKĐ!AM199))=8)*(CHOOSE({1,2,3,4},TTSSKĐ!X199,TTSSKĐ!AD199,TTSSKĐ!AJ199,TTSSKĐ!AP199)))</f>
        <v>0</v>
      </c>
      <c r="I199">
        <f>SUMPRODUCT((MONTH(CHOOSE({1,2,3,4},TTSSKĐ!U199,TTSSKĐ!AA199,TTSSKĐ!AG199,TTSSKĐ!AM199))=9)*(CHOOSE({1,2,3,4},TTSSKĐ!X199,TTSSKĐ!AD199,TTSSKĐ!AJ199,TTSSKĐ!AP199)))</f>
        <v>0</v>
      </c>
      <c r="J199">
        <f>SUMPRODUCT((MONTH(CHOOSE({1,2,3,4},TTSSKĐ!U199,TTSSKĐ!AA199,TTSSKĐ!AG199,TTSSKĐ!AM199))=10)*(CHOOSE({1,2,3,4},TTSSKĐ!X199,TTSSKĐ!AD199,TTSSKĐ!AJ199,TTSSKĐ!AP199)))</f>
        <v>0</v>
      </c>
      <c r="K199">
        <f>SUMPRODUCT((MONTH(CHOOSE({1,2,3,4},TTSSKĐ!U199,TTSSKĐ!AA199,TTSSKĐ!AG199,TTSSKĐ!AM199))=11)*(CHOOSE({1,2,3,4},TTSSKĐ!X199,TTSSKĐ!AD199,TTSSKĐ!AJ199,TTSSKĐ!AP199)))</f>
        <v>0</v>
      </c>
      <c r="L199">
        <f>SUMPRODUCT((MONTH(CHOOSE({1,2,3,4},TTSSKĐ!U199,TTSSKĐ!AA199,TTSSKĐ!AG199,TTSSKĐ!AM199))=12)*(CHOOSE({1,2,3,4},TTSSKĐ!X199,TTSSKĐ!AD199,TTSSKĐ!AJ199,TTSSKĐ!AP199)))</f>
        <v>0</v>
      </c>
    </row>
    <row r="200" spans="1:12">
      <c r="A200">
        <f>SUMPRODUCT((MONTH(CHOOSE({1,2,3,4},TTSSKĐ!U200,TTSSKĐ!AA200,TTSSKĐ!AG200,TTSSKĐ!AM200))=1)*(CHOOSE({1,2,3,4},TTSSKĐ!X200,TTSSKĐ!AD200,TTSSKĐ!AJ200,TTSSKĐ!AP200)))</f>
        <v>0</v>
      </c>
      <c r="B200">
        <f>SUMPRODUCT((MONTH(CHOOSE({1,2,3,4},TTSSKĐ!U200,TTSSKĐ!AA200,TTSSKĐ!AG200,TTSSKĐ!AM200))=2)*(CHOOSE({1,2,3,4},TTSSKĐ!X200,TTSSKĐ!AD200,TTSSKĐ!AJ200,TTSSKĐ!AP200)))</f>
        <v>0</v>
      </c>
      <c r="C200">
        <f>SUMPRODUCT((MONTH(CHOOSE({1,2,3,4},TTSSKĐ!U200,TTSSKĐ!AA200,TTSSKĐ!AG200,TTSSKĐ!AM200))=3)*(CHOOSE({1,2,3,4},TTSSKĐ!X200,TTSSKĐ!AD200,TTSSKĐ!AJ200,TTSSKĐ!AP200)))</f>
        <v>0</v>
      </c>
      <c r="D200">
        <f>SUMPRODUCT((MONTH(CHOOSE({1,2,3,4},TTSSKĐ!U200,TTSSKĐ!AA200,TTSSKĐ!AG200,TTSSKĐ!AM200))=4)*(CHOOSE({1,2,3,4},TTSSKĐ!X200,TTSSKĐ!AD200,TTSSKĐ!AJ200,TTSSKĐ!AP200)))</f>
        <v>0</v>
      </c>
      <c r="E200">
        <f>SUMPRODUCT((MONTH(CHOOSE({1,2,3,4},TTSSKĐ!U200,TTSSKĐ!AA200,TTSSKĐ!AG200,TTSSKĐ!AM200))=5)*(CHOOSE({1,2,3,4},TTSSKĐ!X200,TTSSKĐ!AD200,TTSSKĐ!AJ200,TTSSKĐ!AP200)))</f>
        <v>0</v>
      </c>
      <c r="F200">
        <f>SUMPRODUCT((MONTH(CHOOSE({1,2,3,4},TTSSKĐ!U200,TTSSKĐ!AA200,TTSSKĐ!AG200,TTSSKĐ!AM200))=6)*(CHOOSE({1,2,3,4},TTSSKĐ!X200,TTSSKĐ!AD200,TTSSKĐ!AJ200,TTSSKĐ!AP200)))</f>
        <v>0</v>
      </c>
      <c r="G200">
        <f>SUMPRODUCT((MONTH(CHOOSE({1,2,3,4},TTSSKĐ!U200,TTSSKĐ!AA200,TTSSKĐ!AG200,TTSSKĐ!AM200))=7)*(CHOOSE({1,2,3,4},TTSSKĐ!X200,TTSSKĐ!AD200,TTSSKĐ!AJ200,TTSSKĐ!AP200)))</f>
        <v>0</v>
      </c>
      <c r="H200">
        <f>SUMPRODUCT((MONTH(CHOOSE({1,2,3,4},TTSSKĐ!U200,TTSSKĐ!AA200,TTSSKĐ!AG200,TTSSKĐ!AM200))=8)*(CHOOSE({1,2,3,4},TTSSKĐ!X200,TTSSKĐ!AD200,TTSSKĐ!AJ200,TTSSKĐ!AP200)))</f>
        <v>0</v>
      </c>
      <c r="I200">
        <f>SUMPRODUCT((MONTH(CHOOSE({1,2,3,4},TTSSKĐ!U200,TTSSKĐ!AA200,TTSSKĐ!AG200,TTSSKĐ!AM200))=9)*(CHOOSE({1,2,3,4},TTSSKĐ!X200,TTSSKĐ!AD200,TTSSKĐ!AJ200,TTSSKĐ!AP200)))</f>
        <v>0</v>
      </c>
      <c r="J200">
        <f>SUMPRODUCT((MONTH(CHOOSE({1,2,3,4},TTSSKĐ!U200,TTSSKĐ!AA200,TTSSKĐ!AG200,TTSSKĐ!AM200))=10)*(CHOOSE({1,2,3,4},TTSSKĐ!X200,TTSSKĐ!AD200,TTSSKĐ!AJ200,TTSSKĐ!AP200)))</f>
        <v>0</v>
      </c>
      <c r="K200">
        <f>SUMPRODUCT((MONTH(CHOOSE({1,2,3,4},TTSSKĐ!U200,TTSSKĐ!AA200,TTSSKĐ!AG200,TTSSKĐ!AM200))=11)*(CHOOSE({1,2,3,4},TTSSKĐ!X200,TTSSKĐ!AD200,TTSSKĐ!AJ200,TTSSKĐ!AP200)))</f>
        <v>0</v>
      </c>
      <c r="L200">
        <f>SUMPRODUCT((MONTH(CHOOSE({1,2,3,4},TTSSKĐ!U200,TTSSKĐ!AA200,TTSSKĐ!AG200,TTSSKĐ!AM200))=12)*(CHOOSE({1,2,3,4},TTSSKĐ!X200,TTSSKĐ!AD200,TTSSKĐ!AJ200,TTSSKĐ!AP200)))</f>
        <v>0</v>
      </c>
    </row>
    <row r="201" spans="1:12">
      <c r="A201">
        <f>SUMPRODUCT((MONTH(CHOOSE({1,2,3,4},TTSSKĐ!U201,TTSSKĐ!AA201,TTSSKĐ!AG201,TTSSKĐ!AM201))=1)*(CHOOSE({1,2,3,4},TTSSKĐ!X201,TTSSKĐ!AD201,TTSSKĐ!AJ201,TTSSKĐ!AP201)))</f>
        <v>0</v>
      </c>
      <c r="B201">
        <f>SUMPRODUCT((MONTH(CHOOSE({1,2,3,4},TTSSKĐ!U201,TTSSKĐ!AA201,TTSSKĐ!AG201,TTSSKĐ!AM201))=2)*(CHOOSE({1,2,3,4},TTSSKĐ!X201,TTSSKĐ!AD201,TTSSKĐ!AJ201,TTSSKĐ!AP201)))</f>
        <v>0</v>
      </c>
      <c r="C201">
        <f>SUMPRODUCT((MONTH(CHOOSE({1,2,3,4},TTSSKĐ!U201,TTSSKĐ!AA201,TTSSKĐ!AG201,TTSSKĐ!AM201))=3)*(CHOOSE({1,2,3,4},TTSSKĐ!X201,TTSSKĐ!AD201,TTSSKĐ!AJ201,TTSSKĐ!AP201)))</f>
        <v>0</v>
      </c>
      <c r="D201">
        <f>SUMPRODUCT((MONTH(CHOOSE({1,2,3,4},TTSSKĐ!U201,TTSSKĐ!AA201,TTSSKĐ!AG201,TTSSKĐ!AM201))=4)*(CHOOSE({1,2,3,4},TTSSKĐ!X201,TTSSKĐ!AD201,TTSSKĐ!AJ201,TTSSKĐ!AP201)))</f>
        <v>0</v>
      </c>
      <c r="E201">
        <f>SUMPRODUCT((MONTH(CHOOSE({1,2,3,4},TTSSKĐ!U201,TTSSKĐ!AA201,TTSSKĐ!AG201,TTSSKĐ!AM201))=5)*(CHOOSE({1,2,3,4},TTSSKĐ!X201,TTSSKĐ!AD201,TTSSKĐ!AJ201,TTSSKĐ!AP201)))</f>
        <v>0</v>
      </c>
      <c r="F201">
        <f>SUMPRODUCT((MONTH(CHOOSE({1,2,3,4},TTSSKĐ!U201,TTSSKĐ!AA201,TTSSKĐ!AG201,TTSSKĐ!AM201))=6)*(CHOOSE({1,2,3,4},TTSSKĐ!X201,TTSSKĐ!AD201,TTSSKĐ!AJ201,TTSSKĐ!AP201)))</f>
        <v>0</v>
      </c>
      <c r="G201">
        <f>SUMPRODUCT((MONTH(CHOOSE({1,2,3,4},TTSSKĐ!U201,TTSSKĐ!AA201,TTSSKĐ!AG201,TTSSKĐ!AM201))=7)*(CHOOSE({1,2,3,4},TTSSKĐ!X201,TTSSKĐ!AD201,TTSSKĐ!AJ201,TTSSKĐ!AP201)))</f>
        <v>0</v>
      </c>
      <c r="H201">
        <f>SUMPRODUCT((MONTH(CHOOSE({1,2,3,4},TTSSKĐ!U201,TTSSKĐ!AA201,TTSSKĐ!AG201,TTSSKĐ!AM201))=8)*(CHOOSE({1,2,3,4},TTSSKĐ!X201,TTSSKĐ!AD201,TTSSKĐ!AJ201,TTSSKĐ!AP201)))</f>
        <v>0</v>
      </c>
      <c r="I201">
        <f>SUMPRODUCT((MONTH(CHOOSE({1,2,3,4},TTSSKĐ!U201,TTSSKĐ!AA201,TTSSKĐ!AG201,TTSSKĐ!AM201))=9)*(CHOOSE({1,2,3,4},TTSSKĐ!X201,TTSSKĐ!AD201,TTSSKĐ!AJ201,TTSSKĐ!AP201)))</f>
        <v>0</v>
      </c>
      <c r="J201">
        <f>SUMPRODUCT((MONTH(CHOOSE({1,2,3,4},TTSSKĐ!U201,TTSSKĐ!AA201,TTSSKĐ!AG201,TTSSKĐ!AM201))=10)*(CHOOSE({1,2,3,4},TTSSKĐ!X201,TTSSKĐ!AD201,TTSSKĐ!AJ201,TTSSKĐ!AP201)))</f>
        <v>0</v>
      </c>
      <c r="K201">
        <f>SUMPRODUCT((MONTH(CHOOSE({1,2,3,4},TTSSKĐ!U201,TTSSKĐ!AA201,TTSSKĐ!AG201,TTSSKĐ!AM201))=11)*(CHOOSE({1,2,3,4},TTSSKĐ!X201,TTSSKĐ!AD201,TTSSKĐ!AJ201,TTSSKĐ!AP201)))</f>
        <v>0</v>
      </c>
      <c r="L201">
        <f>SUMPRODUCT((MONTH(CHOOSE({1,2,3,4},TTSSKĐ!U201,TTSSKĐ!AA201,TTSSKĐ!AG201,TTSSKĐ!AM201))=12)*(CHOOSE({1,2,3,4},TTSSKĐ!X201,TTSSKĐ!AD201,TTSSKĐ!AJ201,TTSSKĐ!AP201)))</f>
        <v>0</v>
      </c>
    </row>
    <row r="202" spans="1:12">
      <c r="A202">
        <f>SUMPRODUCT((MONTH(CHOOSE({1,2,3,4},TTSSKĐ!U202,TTSSKĐ!AA202,TTSSKĐ!AG202,TTSSKĐ!AM202))=1)*(CHOOSE({1,2,3,4},TTSSKĐ!X202,TTSSKĐ!AD202,TTSSKĐ!AJ202,TTSSKĐ!AP202)))</f>
        <v>0</v>
      </c>
      <c r="B202">
        <f>SUMPRODUCT((MONTH(CHOOSE({1,2,3,4},TTSSKĐ!U202,TTSSKĐ!AA202,TTSSKĐ!AG202,TTSSKĐ!AM202))=2)*(CHOOSE({1,2,3,4},TTSSKĐ!X202,TTSSKĐ!AD202,TTSSKĐ!AJ202,TTSSKĐ!AP202)))</f>
        <v>0</v>
      </c>
      <c r="C202">
        <f>SUMPRODUCT((MONTH(CHOOSE({1,2,3,4},TTSSKĐ!U202,TTSSKĐ!AA202,TTSSKĐ!AG202,TTSSKĐ!AM202))=3)*(CHOOSE({1,2,3,4},TTSSKĐ!X202,TTSSKĐ!AD202,TTSSKĐ!AJ202,TTSSKĐ!AP202)))</f>
        <v>0</v>
      </c>
      <c r="D202">
        <f>SUMPRODUCT((MONTH(CHOOSE({1,2,3,4},TTSSKĐ!U202,TTSSKĐ!AA202,TTSSKĐ!AG202,TTSSKĐ!AM202))=4)*(CHOOSE({1,2,3,4},TTSSKĐ!X202,TTSSKĐ!AD202,TTSSKĐ!AJ202,TTSSKĐ!AP202)))</f>
        <v>0</v>
      </c>
      <c r="E202">
        <f>SUMPRODUCT((MONTH(CHOOSE({1,2,3,4},TTSSKĐ!U202,TTSSKĐ!AA202,TTSSKĐ!AG202,TTSSKĐ!AM202))=5)*(CHOOSE({1,2,3,4},TTSSKĐ!X202,TTSSKĐ!AD202,TTSSKĐ!AJ202,TTSSKĐ!AP202)))</f>
        <v>0</v>
      </c>
      <c r="F202">
        <f>SUMPRODUCT((MONTH(CHOOSE({1,2,3,4},TTSSKĐ!U202,TTSSKĐ!AA202,TTSSKĐ!AG202,TTSSKĐ!AM202))=6)*(CHOOSE({1,2,3,4},TTSSKĐ!X202,TTSSKĐ!AD202,TTSSKĐ!AJ202,TTSSKĐ!AP202)))</f>
        <v>0</v>
      </c>
      <c r="G202">
        <f>SUMPRODUCT((MONTH(CHOOSE({1,2,3,4},TTSSKĐ!U202,TTSSKĐ!AA202,TTSSKĐ!AG202,TTSSKĐ!AM202))=7)*(CHOOSE({1,2,3,4},TTSSKĐ!X202,TTSSKĐ!AD202,TTSSKĐ!AJ202,TTSSKĐ!AP202)))</f>
        <v>0</v>
      </c>
      <c r="H202">
        <f>SUMPRODUCT((MONTH(CHOOSE({1,2,3,4},TTSSKĐ!U202,TTSSKĐ!AA202,TTSSKĐ!AG202,TTSSKĐ!AM202))=8)*(CHOOSE({1,2,3,4},TTSSKĐ!X202,TTSSKĐ!AD202,TTSSKĐ!AJ202,TTSSKĐ!AP202)))</f>
        <v>0</v>
      </c>
      <c r="I202">
        <f>SUMPRODUCT((MONTH(CHOOSE({1,2,3,4},TTSSKĐ!U202,TTSSKĐ!AA202,TTSSKĐ!AG202,TTSSKĐ!AM202))=9)*(CHOOSE({1,2,3,4},TTSSKĐ!X202,TTSSKĐ!AD202,TTSSKĐ!AJ202,TTSSKĐ!AP202)))</f>
        <v>0</v>
      </c>
      <c r="J202">
        <f>SUMPRODUCT((MONTH(CHOOSE({1,2,3,4},TTSSKĐ!U202,TTSSKĐ!AA202,TTSSKĐ!AG202,TTSSKĐ!AM202))=10)*(CHOOSE({1,2,3,4},TTSSKĐ!X202,TTSSKĐ!AD202,TTSSKĐ!AJ202,TTSSKĐ!AP202)))</f>
        <v>0</v>
      </c>
      <c r="K202">
        <f>SUMPRODUCT((MONTH(CHOOSE({1,2,3,4},TTSSKĐ!U202,TTSSKĐ!AA202,TTSSKĐ!AG202,TTSSKĐ!AM202))=11)*(CHOOSE({1,2,3,4},TTSSKĐ!X202,TTSSKĐ!AD202,TTSSKĐ!AJ202,TTSSKĐ!AP202)))</f>
        <v>0</v>
      </c>
      <c r="L202">
        <f>SUMPRODUCT((MONTH(CHOOSE({1,2,3,4},TTSSKĐ!U202,TTSSKĐ!AA202,TTSSKĐ!AG202,TTSSKĐ!AM202))=12)*(CHOOSE({1,2,3,4},TTSSKĐ!X202,TTSSKĐ!AD202,TTSSKĐ!AJ202,TTSSKĐ!AP202)))</f>
        <v>0</v>
      </c>
    </row>
    <row r="203" spans="1:12">
      <c r="A203">
        <f>SUMPRODUCT((MONTH(CHOOSE({1,2,3,4},TTSSKĐ!U203,TTSSKĐ!AA203,TTSSKĐ!AG203,TTSSKĐ!AM203))=1)*(CHOOSE({1,2,3,4},TTSSKĐ!X203,TTSSKĐ!AD203,TTSSKĐ!AJ203,TTSSKĐ!AP203)))</f>
        <v>0</v>
      </c>
      <c r="B203">
        <f>SUMPRODUCT((MONTH(CHOOSE({1,2,3,4},TTSSKĐ!U203,TTSSKĐ!AA203,TTSSKĐ!AG203,TTSSKĐ!AM203))=2)*(CHOOSE({1,2,3,4},TTSSKĐ!X203,TTSSKĐ!AD203,TTSSKĐ!AJ203,TTSSKĐ!AP203)))</f>
        <v>0</v>
      </c>
      <c r="C203">
        <f>SUMPRODUCT((MONTH(CHOOSE({1,2,3,4},TTSSKĐ!U203,TTSSKĐ!AA203,TTSSKĐ!AG203,TTSSKĐ!AM203))=3)*(CHOOSE({1,2,3,4},TTSSKĐ!X203,TTSSKĐ!AD203,TTSSKĐ!AJ203,TTSSKĐ!AP203)))</f>
        <v>0</v>
      </c>
      <c r="D203">
        <f>SUMPRODUCT((MONTH(CHOOSE({1,2,3,4},TTSSKĐ!U203,TTSSKĐ!AA203,TTSSKĐ!AG203,TTSSKĐ!AM203))=4)*(CHOOSE({1,2,3,4},TTSSKĐ!X203,TTSSKĐ!AD203,TTSSKĐ!AJ203,TTSSKĐ!AP203)))</f>
        <v>0</v>
      </c>
      <c r="E203">
        <f>SUMPRODUCT((MONTH(CHOOSE({1,2,3,4},TTSSKĐ!U203,TTSSKĐ!AA203,TTSSKĐ!AG203,TTSSKĐ!AM203))=5)*(CHOOSE({1,2,3,4},TTSSKĐ!X203,TTSSKĐ!AD203,TTSSKĐ!AJ203,TTSSKĐ!AP203)))</f>
        <v>0</v>
      </c>
      <c r="F203">
        <f>SUMPRODUCT((MONTH(CHOOSE({1,2,3,4},TTSSKĐ!U203,TTSSKĐ!AA203,TTSSKĐ!AG203,TTSSKĐ!AM203))=6)*(CHOOSE({1,2,3,4},TTSSKĐ!X203,TTSSKĐ!AD203,TTSSKĐ!AJ203,TTSSKĐ!AP203)))</f>
        <v>0</v>
      </c>
      <c r="G203">
        <f>SUMPRODUCT((MONTH(CHOOSE({1,2,3,4},TTSSKĐ!U203,TTSSKĐ!AA203,TTSSKĐ!AG203,TTSSKĐ!AM203))=7)*(CHOOSE({1,2,3,4},TTSSKĐ!X203,TTSSKĐ!AD203,TTSSKĐ!AJ203,TTSSKĐ!AP203)))</f>
        <v>0</v>
      </c>
      <c r="H203">
        <f>SUMPRODUCT((MONTH(CHOOSE({1,2,3,4},TTSSKĐ!U203,TTSSKĐ!AA203,TTSSKĐ!AG203,TTSSKĐ!AM203))=8)*(CHOOSE({1,2,3,4},TTSSKĐ!X203,TTSSKĐ!AD203,TTSSKĐ!AJ203,TTSSKĐ!AP203)))</f>
        <v>0</v>
      </c>
      <c r="I203">
        <f>SUMPRODUCT((MONTH(CHOOSE({1,2,3,4},TTSSKĐ!U203,TTSSKĐ!AA203,TTSSKĐ!AG203,TTSSKĐ!AM203))=9)*(CHOOSE({1,2,3,4},TTSSKĐ!X203,TTSSKĐ!AD203,TTSSKĐ!AJ203,TTSSKĐ!AP203)))</f>
        <v>0</v>
      </c>
      <c r="J203">
        <f>SUMPRODUCT((MONTH(CHOOSE({1,2,3,4},TTSSKĐ!U203,TTSSKĐ!AA203,TTSSKĐ!AG203,TTSSKĐ!AM203))=10)*(CHOOSE({1,2,3,4},TTSSKĐ!X203,TTSSKĐ!AD203,TTSSKĐ!AJ203,TTSSKĐ!AP203)))</f>
        <v>0</v>
      </c>
      <c r="K203">
        <f>SUMPRODUCT((MONTH(CHOOSE({1,2,3,4},TTSSKĐ!U203,TTSSKĐ!AA203,TTSSKĐ!AG203,TTSSKĐ!AM203))=11)*(CHOOSE({1,2,3,4},TTSSKĐ!X203,TTSSKĐ!AD203,TTSSKĐ!AJ203,TTSSKĐ!AP203)))</f>
        <v>0</v>
      </c>
      <c r="L203">
        <f>SUMPRODUCT((MONTH(CHOOSE({1,2,3,4},TTSSKĐ!U203,TTSSKĐ!AA203,TTSSKĐ!AG203,TTSSKĐ!AM203))=12)*(CHOOSE({1,2,3,4},TTSSKĐ!X203,TTSSKĐ!AD203,TTSSKĐ!AJ203,TTSSKĐ!AP203)))</f>
        <v>0</v>
      </c>
    </row>
    <row r="204" spans="1:12">
      <c r="A204">
        <f>SUMPRODUCT((MONTH(CHOOSE({1,2,3,4},TTSSKĐ!U204,TTSSKĐ!AA204,TTSSKĐ!AG204,TTSSKĐ!AM204))=1)*(CHOOSE({1,2,3,4},TTSSKĐ!X204,TTSSKĐ!AD204,TTSSKĐ!AJ204,TTSSKĐ!AP204)))</f>
        <v>0</v>
      </c>
      <c r="B204">
        <f>SUMPRODUCT((MONTH(CHOOSE({1,2,3,4},TTSSKĐ!U204,TTSSKĐ!AA204,TTSSKĐ!AG204,TTSSKĐ!AM204))=2)*(CHOOSE({1,2,3,4},TTSSKĐ!X204,TTSSKĐ!AD204,TTSSKĐ!AJ204,TTSSKĐ!AP204)))</f>
        <v>0</v>
      </c>
      <c r="C204">
        <f>SUMPRODUCT((MONTH(CHOOSE({1,2,3,4},TTSSKĐ!U204,TTSSKĐ!AA204,TTSSKĐ!AG204,TTSSKĐ!AM204))=3)*(CHOOSE({1,2,3,4},TTSSKĐ!X204,TTSSKĐ!AD204,TTSSKĐ!AJ204,TTSSKĐ!AP204)))</f>
        <v>0</v>
      </c>
      <c r="D204">
        <f>SUMPRODUCT((MONTH(CHOOSE({1,2,3,4},TTSSKĐ!U204,TTSSKĐ!AA204,TTSSKĐ!AG204,TTSSKĐ!AM204))=4)*(CHOOSE({1,2,3,4},TTSSKĐ!X204,TTSSKĐ!AD204,TTSSKĐ!AJ204,TTSSKĐ!AP204)))</f>
        <v>0</v>
      </c>
      <c r="E204">
        <f>SUMPRODUCT((MONTH(CHOOSE({1,2,3,4},TTSSKĐ!U204,TTSSKĐ!AA204,TTSSKĐ!AG204,TTSSKĐ!AM204))=5)*(CHOOSE({1,2,3,4},TTSSKĐ!X204,TTSSKĐ!AD204,TTSSKĐ!AJ204,TTSSKĐ!AP204)))</f>
        <v>0</v>
      </c>
      <c r="F204">
        <f>SUMPRODUCT((MONTH(CHOOSE({1,2,3,4},TTSSKĐ!U204,TTSSKĐ!AA204,TTSSKĐ!AG204,TTSSKĐ!AM204))=6)*(CHOOSE({1,2,3,4},TTSSKĐ!X204,TTSSKĐ!AD204,TTSSKĐ!AJ204,TTSSKĐ!AP204)))</f>
        <v>0</v>
      </c>
      <c r="G204">
        <f>SUMPRODUCT((MONTH(CHOOSE({1,2,3,4},TTSSKĐ!U204,TTSSKĐ!AA204,TTSSKĐ!AG204,TTSSKĐ!AM204))=7)*(CHOOSE({1,2,3,4},TTSSKĐ!X204,TTSSKĐ!AD204,TTSSKĐ!AJ204,TTSSKĐ!AP204)))</f>
        <v>0</v>
      </c>
      <c r="H204">
        <f>SUMPRODUCT((MONTH(CHOOSE({1,2,3,4},TTSSKĐ!U204,TTSSKĐ!AA204,TTSSKĐ!AG204,TTSSKĐ!AM204))=8)*(CHOOSE({1,2,3,4},TTSSKĐ!X204,TTSSKĐ!AD204,TTSSKĐ!AJ204,TTSSKĐ!AP204)))</f>
        <v>0</v>
      </c>
      <c r="I204">
        <f>SUMPRODUCT((MONTH(CHOOSE({1,2,3,4},TTSSKĐ!U204,TTSSKĐ!AA204,TTSSKĐ!AG204,TTSSKĐ!AM204))=9)*(CHOOSE({1,2,3,4},TTSSKĐ!X204,TTSSKĐ!AD204,TTSSKĐ!AJ204,TTSSKĐ!AP204)))</f>
        <v>0</v>
      </c>
      <c r="J204">
        <f>SUMPRODUCT((MONTH(CHOOSE({1,2,3,4},TTSSKĐ!U204,TTSSKĐ!AA204,TTSSKĐ!AG204,TTSSKĐ!AM204))=10)*(CHOOSE({1,2,3,4},TTSSKĐ!X204,TTSSKĐ!AD204,TTSSKĐ!AJ204,TTSSKĐ!AP204)))</f>
        <v>0</v>
      </c>
      <c r="K204">
        <f>SUMPRODUCT((MONTH(CHOOSE({1,2,3,4},TTSSKĐ!U204,TTSSKĐ!AA204,TTSSKĐ!AG204,TTSSKĐ!AM204))=11)*(CHOOSE({1,2,3,4},TTSSKĐ!X204,TTSSKĐ!AD204,TTSSKĐ!AJ204,TTSSKĐ!AP204)))</f>
        <v>0</v>
      </c>
      <c r="L204">
        <f>SUMPRODUCT((MONTH(CHOOSE({1,2,3,4},TTSSKĐ!U204,TTSSKĐ!AA204,TTSSKĐ!AG204,TTSSKĐ!AM204))=12)*(CHOOSE({1,2,3,4},TTSSKĐ!X204,TTSSKĐ!AD204,TTSSKĐ!AJ204,TTSSKĐ!AP204)))</f>
        <v>0</v>
      </c>
    </row>
    <row r="205" spans="1:12">
      <c r="A205">
        <f>SUMPRODUCT((MONTH(CHOOSE({1,2,3,4},TTSSKĐ!U205,TTSSKĐ!AA205,TTSSKĐ!AG205,TTSSKĐ!AM205))=1)*(CHOOSE({1,2,3,4},TTSSKĐ!X205,TTSSKĐ!AD205,TTSSKĐ!AJ205,TTSSKĐ!AP205)))</f>
        <v>0</v>
      </c>
      <c r="B205">
        <f>SUMPRODUCT((MONTH(CHOOSE({1,2,3,4},TTSSKĐ!U205,TTSSKĐ!AA205,TTSSKĐ!AG205,TTSSKĐ!AM205))=2)*(CHOOSE({1,2,3,4},TTSSKĐ!X205,TTSSKĐ!AD205,TTSSKĐ!AJ205,TTSSKĐ!AP205)))</f>
        <v>0</v>
      </c>
      <c r="C205">
        <f>SUMPRODUCT((MONTH(CHOOSE({1,2,3,4},TTSSKĐ!U205,TTSSKĐ!AA205,TTSSKĐ!AG205,TTSSKĐ!AM205))=3)*(CHOOSE({1,2,3,4},TTSSKĐ!X205,TTSSKĐ!AD205,TTSSKĐ!AJ205,TTSSKĐ!AP205)))</f>
        <v>0</v>
      </c>
      <c r="D205">
        <f>SUMPRODUCT((MONTH(CHOOSE({1,2,3,4},TTSSKĐ!U205,TTSSKĐ!AA205,TTSSKĐ!AG205,TTSSKĐ!AM205))=4)*(CHOOSE({1,2,3,4},TTSSKĐ!X205,TTSSKĐ!AD205,TTSSKĐ!AJ205,TTSSKĐ!AP205)))</f>
        <v>0</v>
      </c>
      <c r="E205">
        <f>SUMPRODUCT((MONTH(CHOOSE({1,2,3,4},TTSSKĐ!U205,TTSSKĐ!AA205,TTSSKĐ!AG205,TTSSKĐ!AM205))=5)*(CHOOSE({1,2,3,4},TTSSKĐ!X205,TTSSKĐ!AD205,TTSSKĐ!AJ205,TTSSKĐ!AP205)))</f>
        <v>0</v>
      </c>
      <c r="F205">
        <f>SUMPRODUCT((MONTH(CHOOSE({1,2,3,4},TTSSKĐ!U205,TTSSKĐ!AA205,TTSSKĐ!AG205,TTSSKĐ!AM205))=6)*(CHOOSE({1,2,3,4},TTSSKĐ!X205,TTSSKĐ!AD205,TTSSKĐ!AJ205,TTSSKĐ!AP205)))</f>
        <v>0</v>
      </c>
      <c r="G205">
        <f>SUMPRODUCT((MONTH(CHOOSE({1,2,3,4},TTSSKĐ!U205,TTSSKĐ!AA205,TTSSKĐ!AG205,TTSSKĐ!AM205))=7)*(CHOOSE({1,2,3,4},TTSSKĐ!X205,TTSSKĐ!AD205,TTSSKĐ!AJ205,TTSSKĐ!AP205)))</f>
        <v>0</v>
      </c>
      <c r="H205">
        <f>SUMPRODUCT((MONTH(CHOOSE({1,2,3,4},TTSSKĐ!U205,TTSSKĐ!AA205,TTSSKĐ!AG205,TTSSKĐ!AM205))=8)*(CHOOSE({1,2,3,4},TTSSKĐ!X205,TTSSKĐ!AD205,TTSSKĐ!AJ205,TTSSKĐ!AP205)))</f>
        <v>0</v>
      </c>
      <c r="I205">
        <f>SUMPRODUCT((MONTH(CHOOSE({1,2,3,4},TTSSKĐ!U205,TTSSKĐ!AA205,TTSSKĐ!AG205,TTSSKĐ!AM205))=9)*(CHOOSE({1,2,3,4},TTSSKĐ!X205,TTSSKĐ!AD205,TTSSKĐ!AJ205,TTSSKĐ!AP205)))</f>
        <v>0</v>
      </c>
      <c r="J205">
        <f>SUMPRODUCT((MONTH(CHOOSE({1,2,3,4},TTSSKĐ!U205,TTSSKĐ!AA205,TTSSKĐ!AG205,TTSSKĐ!AM205))=10)*(CHOOSE({1,2,3,4},TTSSKĐ!X205,TTSSKĐ!AD205,TTSSKĐ!AJ205,TTSSKĐ!AP205)))</f>
        <v>0</v>
      </c>
      <c r="K205">
        <f>SUMPRODUCT((MONTH(CHOOSE({1,2,3,4},TTSSKĐ!U205,TTSSKĐ!AA205,TTSSKĐ!AG205,TTSSKĐ!AM205))=11)*(CHOOSE({1,2,3,4},TTSSKĐ!X205,TTSSKĐ!AD205,TTSSKĐ!AJ205,TTSSKĐ!AP205)))</f>
        <v>0</v>
      </c>
      <c r="L205">
        <f>SUMPRODUCT((MONTH(CHOOSE({1,2,3,4},TTSSKĐ!U205,TTSSKĐ!AA205,TTSSKĐ!AG205,TTSSKĐ!AM205))=12)*(CHOOSE({1,2,3,4},TTSSKĐ!X205,TTSSKĐ!AD205,TTSSKĐ!AJ205,TTSSKĐ!AP205)))</f>
        <v>0</v>
      </c>
    </row>
    <row r="206" spans="1:12">
      <c r="A206">
        <f>SUMPRODUCT((MONTH(CHOOSE({1,2,3,4},TTSSKĐ!U206,TTSSKĐ!AA206,TTSSKĐ!AG206,TTSSKĐ!AM206))=1)*(CHOOSE({1,2,3,4},TTSSKĐ!X206,TTSSKĐ!AD206,TTSSKĐ!AJ206,TTSSKĐ!AP206)))</f>
        <v>0</v>
      </c>
      <c r="B206">
        <f>SUMPRODUCT((MONTH(CHOOSE({1,2,3,4},TTSSKĐ!U206,TTSSKĐ!AA206,TTSSKĐ!AG206,TTSSKĐ!AM206))=2)*(CHOOSE({1,2,3,4},TTSSKĐ!X206,TTSSKĐ!AD206,TTSSKĐ!AJ206,TTSSKĐ!AP206)))</f>
        <v>0</v>
      </c>
      <c r="C206">
        <f>SUMPRODUCT((MONTH(CHOOSE({1,2,3,4},TTSSKĐ!U206,TTSSKĐ!AA206,TTSSKĐ!AG206,TTSSKĐ!AM206))=3)*(CHOOSE({1,2,3,4},TTSSKĐ!X206,TTSSKĐ!AD206,TTSSKĐ!AJ206,TTSSKĐ!AP206)))</f>
        <v>0</v>
      </c>
      <c r="D206">
        <f>SUMPRODUCT((MONTH(CHOOSE({1,2,3,4},TTSSKĐ!U206,TTSSKĐ!AA206,TTSSKĐ!AG206,TTSSKĐ!AM206))=4)*(CHOOSE({1,2,3,4},TTSSKĐ!X206,TTSSKĐ!AD206,TTSSKĐ!AJ206,TTSSKĐ!AP206)))</f>
        <v>0</v>
      </c>
      <c r="E206">
        <f>SUMPRODUCT((MONTH(CHOOSE({1,2,3,4},TTSSKĐ!U206,TTSSKĐ!AA206,TTSSKĐ!AG206,TTSSKĐ!AM206))=5)*(CHOOSE({1,2,3,4},TTSSKĐ!X206,TTSSKĐ!AD206,TTSSKĐ!AJ206,TTSSKĐ!AP206)))</f>
        <v>0</v>
      </c>
      <c r="F206">
        <f>SUMPRODUCT((MONTH(CHOOSE({1,2,3,4},TTSSKĐ!U206,TTSSKĐ!AA206,TTSSKĐ!AG206,TTSSKĐ!AM206))=6)*(CHOOSE({1,2,3,4},TTSSKĐ!X206,TTSSKĐ!AD206,TTSSKĐ!AJ206,TTSSKĐ!AP206)))</f>
        <v>0</v>
      </c>
      <c r="G206">
        <f>SUMPRODUCT((MONTH(CHOOSE({1,2,3,4},TTSSKĐ!U206,TTSSKĐ!AA206,TTSSKĐ!AG206,TTSSKĐ!AM206))=7)*(CHOOSE({1,2,3,4},TTSSKĐ!X206,TTSSKĐ!AD206,TTSSKĐ!AJ206,TTSSKĐ!AP206)))</f>
        <v>0</v>
      </c>
      <c r="H206">
        <f>SUMPRODUCT((MONTH(CHOOSE({1,2,3,4},TTSSKĐ!U206,TTSSKĐ!AA206,TTSSKĐ!AG206,TTSSKĐ!AM206))=8)*(CHOOSE({1,2,3,4},TTSSKĐ!X206,TTSSKĐ!AD206,TTSSKĐ!AJ206,TTSSKĐ!AP206)))</f>
        <v>0</v>
      </c>
      <c r="I206">
        <f>SUMPRODUCT((MONTH(CHOOSE({1,2,3,4},TTSSKĐ!U206,TTSSKĐ!AA206,TTSSKĐ!AG206,TTSSKĐ!AM206))=9)*(CHOOSE({1,2,3,4},TTSSKĐ!X206,TTSSKĐ!AD206,TTSSKĐ!AJ206,TTSSKĐ!AP206)))</f>
        <v>0</v>
      </c>
      <c r="J206">
        <f>SUMPRODUCT((MONTH(CHOOSE({1,2,3,4},TTSSKĐ!U206,TTSSKĐ!AA206,TTSSKĐ!AG206,TTSSKĐ!AM206))=10)*(CHOOSE({1,2,3,4},TTSSKĐ!X206,TTSSKĐ!AD206,TTSSKĐ!AJ206,TTSSKĐ!AP206)))</f>
        <v>0</v>
      </c>
      <c r="K206">
        <f>SUMPRODUCT((MONTH(CHOOSE({1,2,3,4},TTSSKĐ!U206,TTSSKĐ!AA206,TTSSKĐ!AG206,TTSSKĐ!AM206))=11)*(CHOOSE({1,2,3,4},TTSSKĐ!X206,TTSSKĐ!AD206,TTSSKĐ!AJ206,TTSSKĐ!AP206)))</f>
        <v>0</v>
      </c>
      <c r="L206">
        <f>SUMPRODUCT((MONTH(CHOOSE({1,2,3,4},TTSSKĐ!U206,TTSSKĐ!AA206,TTSSKĐ!AG206,TTSSKĐ!AM206))=12)*(CHOOSE({1,2,3,4},TTSSKĐ!X206,TTSSKĐ!AD206,TTSSKĐ!AJ206,TTSSKĐ!AP206)))</f>
        <v>0</v>
      </c>
    </row>
    <row r="207" spans="1:12">
      <c r="A207">
        <f>SUMPRODUCT((MONTH(CHOOSE({1,2,3,4},TTSSKĐ!U207,TTSSKĐ!AA207,TTSSKĐ!AG207,TTSSKĐ!AM207))=1)*(CHOOSE({1,2,3,4},TTSSKĐ!X207,TTSSKĐ!AD207,TTSSKĐ!AJ207,TTSSKĐ!AP207)))</f>
        <v>0</v>
      </c>
      <c r="B207">
        <f>SUMPRODUCT((MONTH(CHOOSE({1,2,3,4},TTSSKĐ!U207,TTSSKĐ!AA207,TTSSKĐ!AG207,TTSSKĐ!AM207))=2)*(CHOOSE({1,2,3,4},TTSSKĐ!X207,TTSSKĐ!AD207,TTSSKĐ!AJ207,TTSSKĐ!AP207)))</f>
        <v>0</v>
      </c>
      <c r="C207">
        <f>SUMPRODUCT((MONTH(CHOOSE({1,2,3,4},TTSSKĐ!U207,TTSSKĐ!AA207,TTSSKĐ!AG207,TTSSKĐ!AM207))=3)*(CHOOSE({1,2,3,4},TTSSKĐ!X207,TTSSKĐ!AD207,TTSSKĐ!AJ207,TTSSKĐ!AP207)))</f>
        <v>0</v>
      </c>
      <c r="D207">
        <f>SUMPRODUCT((MONTH(CHOOSE({1,2,3,4},TTSSKĐ!U207,TTSSKĐ!AA207,TTSSKĐ!AG207,TTSSKĐ!AM207))=4)*(CHOOSE({1,2,3,4},TTSSKĐ!X207,TTSSKĐ!AD207,TTSSKĐ!AJ207,TTSSKĐ!AP207)))</f>
        <v>0</v>
      </c>
      <c r="E207">
        <f>SUMPRODUCT((MONTH(CHOOSE({1,2,3,4},TTSSKĐ!U207,TTSSKĐ!AA207,TTSSKĐ!AG207,TTSSKĐ!AM207))=5)*(CHOOSE({1,2,3,4},TTSSKĐ!X207,TTSSKĐ!AD207,TTSSKĐ!AJ207,TTSSKĐ!AP207)))</f>
        <v>0</v>
      </c>
      <c r="F207">
        <f>SUMPRODUCT((MONTH(CHOOSE({1,2,3,4},TTSSKĐ!U207,TTSSKĐ!AA207,TTSSKĐ!AG207,TTSSKĐ!AM207))=6)*(CHOOSE({1,2,3,4},TTSSKĐ!X207,TTSSKĐ!AD207,TTSSKĐ!AJ207,TTSSKĐ!AP207)))</f>
        <v>0</v>
      </c>
      <c r="G207">
        <f>SUMPRODUCT((MONTH(CHOOSE({1,2,3,4},TTSSKĐ!U207,TTSSKĐ!AA207,TTSSKĐ!AG207,TTSSKĐ!AM207))=7)*(CHOOSE({1,2,3,4},TTSSKĐ!X207,TTSSKĐ!AD207,TTSSKĐ!AJ207,TTSSKĐ!AP207)))</f>
        <v>0</v>
      </c>
      <c r="H207">
        <f>SUMPRODUCT((MONTH(CHOOSE({1,2,3,4},TTSSKĐ!U207,TTSSKĐ!AA207,TTSSKĐ!AG207,TTSSKĐ!AM207))=8)*(CHOOSE({1,2,3,4},TTSSKĐ!X207,TTSSKĐ!AD207,TTSSKĐ!AJ207,TTSSKĐ!AP207)))</f>
        <v>0</v>
      </c>
      <c r="I207">
        <f>SUMPRODUCT((MONTH(CHOOSE({1,2,3,4},TTSSKĐ!U207,TTSSKĐ!AA207,TTSSKĐ!AG207,TTSSKĐ!AM207))=9)*(CHOOSE({1,2,3,4},TTSSKĐ!X207,TTSSKĐ!AD207,TTSSKĐ!AJ207,TTSSKĐ!AP207)))</f>
        <v>0</v>
      </c>
      <c r="J207">
        <f>SUMPRODUCT((MONTH(CHOOSE({1,2,3,4},TTSSKĐ!U207,TTSSKĐ!AA207,TTSSKĐ!AG207,TTSSKĐ!AM207))=10)*(CHOOSE({1,2,3,4},TTSSKĐ!X207,TTSSKĐ!AD207,TTSSKĐ!AJ207,TTSSKĐ!AP207)))</f>
        <v>0</v>
      </c>
      <c r="K207">
        <f>SUMPRODUCT((MONTH(CHOOSE({1,2,3,4},TTSSKĐ!U207,TTSSKĐ!AA207,TTSSKĐ!AG207,TTSSKĐ!AM207))=11)*(CHOOSE({1,2,3,4},TTSSKĐ!X207,TTSSKĐ!AD207,TTSSKĐ!AJ207,TTSSKĐ!AP207)))</f>
        <v>0</v>
      </c>
      <c r="L207">
        <f>SUMPRODUCT((MONTH(CHOOSE({1,2,3,4},TTSSKĐ!U207,TTSSKĐ!AA207,TTSSKĐ!AG207,TTSSKĐ!AM207))=12)*(CHOOSE({1,2,3,4},TTSSKĐ!X207,TTSSKĐ!AD207,TTSSKĐ!AJ207,TTSSKĐ!AP207)))</f>
        <v>0</v>
      </c>
    </row>
    <row r="208" spans="1:12">
      <c r="A208">
        <f>SUMPRODUCT((MONTH(CHOOSE({1,2,3,4},TTSSKĐ!U208,TTSSKĐ!AA208,TTSSKĐ!AG208,TTSSKĐ!AM208))=1)*(CHOOSE({1,2,3,4},TTSSKĐ!X208,TTSSKĐ!AD208,TTSSKĐ!AJ208,TTSSKĐ!AP208)))</f>
        <v>0</v>
      </c>
      <c r="B208">
        <f>SUMPRODUCT((MONTH(CHOOSE({1,2,3,4},TTSSKĐ!U208,TTSSKĐ!AA208,TTSSKĐ!AG208,TTSSKĐ!AM208))=2)*(CHOOSE({1,2,3,4},TTSSKĐ!X208,TTSSKĐ!AD208,TTSSKĐ!AJ208,TTSSKĐ!AP208)))</f>
        <v>0</v>
      </c>
      <c r="C208">
        <f>SUMPRODUCT((MONTH(CHOOSE({1,2,3,4},TTSSKĐ!U208,TTSSKĐ!AA208,TTSSKĐ!AG208,TTSSKĐ!AM208))=3)*(CHOOSE({1,2,3,4},TTSSKĐ!X208,TTSSKĐ!AD208,TTSSKĐ!AJ208,TTSSKĐ!AP208)))</f>
        <v>0</v>
      </c>
      <c r="D208">
        <f>SUMPRODUCT((MONTH(CHOOSE({1,2,3,4},TTSSKĐ!U208,TTSSKĐ!AA208,TTSSKĐ!AG208,TTSSKĐ!AM208))=4)*(CHOOSE({1,2,3,4},TTSSKĐ!X208,TTSSKĐ!AD208,TTSSKĐ!AJ208,TTSSKĐ!AP208)))</f>
        <v>0</v>
      </c>
      <c r="E208">
        <f>SUMPRODUCT((MONTH(CHOOSE({1,2,3,4},TTSSKĐ!U208,TTSSKĐ!AA208,TTSSKĐ!AG208,TTSSKĐ!AM208))=5)*(CHOOSE({1,2,3,4},TTSSKĐ!X208,TTSSKĐ!AD208,TTSSKĐ!AJ208,TTSSKĐ!AP208)))</f>
        <v>0</v>
      </c>
      <c r="F208">
        <f>SUMPRODUCT((MONTH(CHOOSE({1,2,3,4},TTSSKĐ!U208,TTSSKĐ!AA208,TTSSKĐ!AG208,TTSSKĐ!AM208))=6)*(CHOOSE({1,2,3,4},TTSSKĐ!X208,TTSSKĐ!AD208,TTSSKĐ!AJ208,TTSSKĐ!AP208)))</f>
        <v>0</v>
      </c>
      <c r="G208">
        <f>SUMPRODUCT((MONTH(CHOOSE({1,2,3,4},TTSSKĐ!U208,TTSSKĐ!AA208,TTSSKĐ!AG208,TTSSKĐ!AM208))=7)*(CHOOSE({1,2,3,4},TTSSKĐ!X208,TTSSKĐ!AD208,TTSSKĐ!AJ208,TTSSKĐ!AP208)))</f>
        <v>0</v>
      </c>
      <c r="H208">
        <f>SUMPRODUCT((MONTH(CHOOSE({1,2,3,4},TTSSKĐ!U208,TTSSKĐ!AA208,TTSSKĐ!AG208,TTSSKĐ!AM208))=8)*(CHOOSE({1,2,3,4},TTSSKĐ!X208,TTSSKĐ!AD208,TTSSKĐ!AJ208,TTSSKĐ!AP208)))</f>
        <v>0</v>
      </c>
      <c r="I208">
        <f>SUMPRODUCT((MONTH(CHOOSE({1,2,3,4},TTSSKĐ!U208,TTSSKĐ!AA208,TTSSKĐ!AG208,TTSSKĐ!AM208))=9)*(CHOOSE({1,2,3,4},TTSSKĐ!X208,TTSSKĐ!AD208,TTSSKĐ!AJ208,TTSSKĐ!AP208)))</f>
        <v>0</v>
      </c>
      <c r="J208">
        <f>SUMPRODUCT((MONTH(CHOOSE({1,2,3,4},TTSSKĐ!U208,TTSSKĐ!AA208,TTSSKĐ!AG208,TTSSKĐ!AM208))=10)*(CHOOSE({1,2,3,4},TTSSKĐ!X208,TTSSKĐ!AD208,TTSSKĐ!AJ208,TTSSKĐ!AP208)))</f>
        <v>0</v>
      </c>
      <c r="K208">
        <f>SUMPRODUCT((MONTH(CHOOSE({1,2,3,4},TTSSKĐ!U208,TTSSKĐ!AA208,TTSSKĐ!AG208,TTSSKĐ!AM208))=11)*(CHOOSE({1,2,3,4},TTSSKĐ!X208,TTSSKĐ!AD208,TTSSKĐ!AJ208,TTSSKĐ!AP208)))</f>
        <v>0</v>
      </c>
      <c r="L208">
        <f>SUMPRODUCT((MONTH(CHOOSE({1,2,3,4},TTSSKĐ!U208,TTSSKĐ!AA208,TTSSKĐ!AG208,TTSSKĐ!AM208))=12)*(CHOOSE({1,2,3,4},TTSSKĐ!X208,TTSSKĐ!AD208,TTSSKĐ!AJ208,TTSSKĐ!AP208)))</f>
        <v>0</v>
      </c>
    </row>
    <row r="209" spans="1:12">
      <c r="A209">
        <f>SUMPRODUCT((MONTH(CHOOSE({1,2,3,4},TTSSKĐ!U209,TTSSKĐ!AA209,TTSSKĐ!AG209,TTSSKĐ!AM209))=1)*(CHOOSE({1,2,3,4},TTSSKĐ!X209,TTSSKĐ!AD209,TTSSKĐ!AJ209,TTSSKĐ!AP209)))</f>
        <v>0</v>
      </c>
      <c r="B209">
        <f>SUMPRODUCT((MONTH(CHOOSE({1,2,3,4},TTSSKĐ!U209,TTSSKĐ!AA209,TTSSKĐ!AG209,TTSSKĐ!AM209))=2)*(CHOOSE({1,2,3,4},TTSSKĐ!X209,TTSSKĐ!AD209,TTSSKĐ!AJ209,TTSSKĐ!AP209)))</f>
        <v>0</v>
      </c>
      <c r="C209">
        <f>SUMPRODUCT((MONTH(CHOOSE({1,2,3,4},TTSSKĐ!U209,TTSSKĐ!AA209,TTSSKĐ!AG209,TTSSKĐ!AM209))=3)*(CHOOSE({1,2,3,4},TTSSKĐ!X209,TTSSKĐ!AD209,TTSSKĐ!AJ209,TTSSKĐ!AP209)))</f>
        <v>0</v>
      </c>
      <c r="D209">
        <f>SUMPRODUCT((MONTH(CHOOSE({1,2,3,4},TTSSKĐ!U209,TTSSKĐ!AA209,TTSSKĐ!AG209,TTSSKĐ!AM209))=4)*(CHOOSE({1,2,3,4},TTSSKĐ!X209,TTSSKĐ!AD209,TTSSKĐ!AJ209,TTSSKĐ!AP209)))</f>
        <v>0</v>
      </c>
      <c r="E209">
        <f>SUMPRODUCT((MONTH(CHOOSE({1,2,3,4},TTSSKĐ!U209,TTSSKĐ!AA209,TTSSKĐ!AG209,TTSSKĐ!AM209))=5)*(CHOOSE({1,2,3,4},TTSSKĐ!X209,TTSSKĐ!AD209,TTSSKĐ!AJ209,TTSSKĐ!AP209)))</f>
        <v>0</v>
      </c>
      <c r="F209">
        <f>SUMPRODUCT((MONTH(CHOOSE({1,2,3,4},TTSSKĐ!U209,TTSSKĐ!AA209,TTSSKĐ!AG209,TTSSKĐ!AM209))=6)*(CHOOSE({1,2,3,4},TTSSKĐ!X209,TTSSKĐ!AD209,TTSSKĐ!AJ209,TTSSKĐ!AP209)))</f>
        <v>0</v>
      </c>
      <c r="G209">
        <f>SUMPRODUCT((MONTH(CHOOSE({1,2,3,4},TTSSKĐ!U209,TTSSKĐ!AA209,TTSSKĐ!AG209,TTSSKĐ!AM209))=7)*(CHOOSE({1,2,3,4},TTSSKĐ!X209,TTSSKĐ!AD209,TTSSKĐ!AJ209,TTSSKĐ!AP209)))</f>
        <v>0</v>
      </c>
      <c r="H209">
        <f>SUMPRODUCT((MONTH(CHOOSE({1,2,3,4},TTSSKĐ!U209,TTSSKĐ!AA209,TTSSKĐ!AG209,TTSSKĐ!AM209))=8)*(CHOOSE({1,2,3,4},TTSSKĐ!X209,TTSSKĐ!AD209,TTSSKĐ!AJ209,TTSSKĐ!AP209)))</f>
        <v>0</v>
      </c>
      <c r="I209">
        <f>SUMPRODUCT((MONTH(CHOOSE({1,2,3,4},TTSSKĐ!U209,TTSSKĐ!AA209,TTSSKĐ!AG209,TTSSKĐ!AM209))=9)*(CHOOSE({1,2,3,4},TTSSKĐ!X209,TTSSKĐ!AD209,TTSSKĐ!AJ209,TTSSKĐ!AP209)))</f>
        <v>0</v>
      </c>
      <c r="J209">
        <f>SUMPRODUCT((MONTH(CHOOSE({1,2,3,4},TTSSKĐ!U209,TTSSKĐ!AA209,TTSSKĐ!AG209,TTSSKĐ!AM209))=10)*(CHOOSE({1,2,3,4},TTSSKĐ!X209,TTSSKĐ!AD209,TTSSKĐ!AJ209,TTSSKĐ!AP209)))</f>
        <v>0</v>
      </c>
      <c r="K209">
        <f>SUMPRODUCT((MONTH(CHOOSE({1,2,3,4},TTSSKĐ!U209,TTSSKĐ!AA209,TTSSKĐ!AG209,TTSSKĐ!AM209))=11)*(CHOOSE({1,2,3,4},TTSSKĐ!X209,TTSSKĐ!AD209,TTSSKĐ!AJ209,TTSSKĐ!AP209)))</f>
        <v>0</v>
      </c>
      <c r="L209">
        <f>SUMPRODUCT((MONTH(CHOOSE({1,2,3,4},TTSSKĐ!U209,TTSSKĐ!AA209,TTSSKĐ!AG209,TTSSKĐ!AM209))=12)*(CHOOSE({1,2,3,4},TTSSKĐ!X209,TTSSKĐ!AD209,TTSSKĐ!AJ209,TTSSKĐ!AP209)))</f>
        <v>0</v>
      </c>
    </row>
    <row r="210" spans="1:12">
      <c r="A210">
        <f>SUMPRODUCT((MONTH(CHOOSE({1,2,3,4},TTSSKĐ!U210,TTSSKĐ!AA210,TTSSKĐ!AG210,TTSSKĐ!AM210))=1)*(CHOOSE({1,2,3,4},TTSSKĐ!X210,TTSSKĐ!AD210,TTSSKĐ!AJ210,TTSSKĐ!AP210)))</f>
        <v>0</v>
      </c>
      <c r="B210">
        <f>SUMPRODUCT((MONTH(CHOOSE({1,2,3,4},TTSSKĐ!U210,TTSSKĐ!AA210,TTSSKĐ!AG210,TTSSKĐ!AM210))=2)*(CHOOSE({1,2,3,4},TTSSKĐ!X210,TTSSKĐ!AD210,TTSSKĐ!AJ210,TTSSKĐ!AP210)))</f>
        <v>0</v>
      </c>
      <c r="C210">
        <f>SUMPRODUCT((MONTH(CHOOSE({1,2,3,4},TTSSKĐ!U210,TTSSKĐ!AA210,TTSSKĐ!AG210,TTSSKĐ!AM210))=3)*(CHOOSE({1,2,3,4},TTSSKĐ!X210,TTSSKĐ!AD210,TTSSKĐ!AJ210,TTSSKĐ!AP210)))</f>
        <v>0</v>
      </c>
      <c r="D210">
        <f>SUMPRODUCT((MONTH(CHOOSE({1,2,3,4},TTSSKĐ!U210,TTSSKĐ!AA210,TTSSKĐ!AG210,TTSSKĐ!AM210))=4)*(CHOOSE({1,2,3,4},TTSSKĐ!X210,TTSSKĐ!AD210,TTSSKĐ!AJ210,TTSSKĐ!AP210)))</f>
        <v>0</v>
      </c>
      <c r="E210">
        <f>SUMPRODUCT((MONTH(CHOOSE({1,2,3,4},TTSSKĐ!U210,TTSSKĐ!AA210,TTSSKĐ!AG210,TTSSKĐ!AM210))=5)*(CHOOSE({1,2,3,4},TTSSKĐ!X210,TTSSKĐ!AD210,TTSSKĐ!AJ210,TTSSKĐ!AP210)))</f>
        <v>0</v>
      </c>
      <c r="F210">
        <f>SUMPRODUCT((MONTH(CHOOSE({1,2,3,4},TTSSKĐ!U210,TTSSKĐ!AA210,TTSSKĐ!AG210,TTSSKĐ!AM210))=6)*(CHOOSE({1,2,3,4},TTSSKĐ!X210,TTSSKĐ!AD210,TTSSKĐ!AJ210,TTSSKĐ!AP210)))</f>
        <v>0</v>
      </c>
      <c r="G210">
        <f>SUMPRODUCT((MONTH(CHOOSE({1,2,3,4},TTSSKĐ!U210,TTSSKĐ!AA210,TTSSKĐ!AG210,TTSSKĐ!AM210))=7)*(CHOOSE({1,2,3,4},TTSSKĐ!X210,TTSSKĐ!AD210,TTSSKĐ!AJ210,TTSSKĐ!AP210)))</f>
        <v>0</v>
      </c>
      <c r="H210">
        <f>SUMPRODUCT((MONTH(CHOOSE({1,2,3,4},TTSSKĐ!U210,TTSSKĐ!AA210,TTSSKĐ!AG210,TTSSKĐ!AM210))=8)*(CHOOSE({1,2,3,4},TTSSKĐ!X210,TTSSKĐ!AD210,TTSSKĐ!AJ210,TTSSKĐ!AP210)))</f>
        <v>0</v>
      </c>
      <c r="I210">
        <f>SUMPRODUCT((MONTH(CHOOSE({1,2,3,4},TTSSKĐ!U210,TTSSKĐ!AA210,TTSSKĐ!AG210,TTSSKĐ!AM210))=9)*(CHOOSE({1,2,3,4},TTSSKĐ!X210,TTSSKĐ!AD210,TTSSKĐ!AJ210,TTSSKĐ!AP210)))</f>
        <v>0</v>
      </c>
      <c r="J210">
        <f>SUMPRODUCT((MONTH(CHOOSE({1,2,3,4},TTSSKĐ!U210,TTSSKĐ!AA210,TTSSKĐ!AG210,TTSSKĐ!AM210))=10)*(CHOOSE({1,2,3,4},TTSSKĐ!X210,TTSSKĐ!AD210,TTSSKĐ!AJ210,TTSSKĐ!AP210)))</f>
        <v>0</v>
      </c>
      <c r="K210">
        <f>SUMPRODUCT((MONTH(CHOOSE({1,2,3,4},TTSSKĐ!U210,TTSSKĐ!AA210,TTSSKĐ!AG210,TTSSKĐ!AM210))=11)*(CHOOSE({1,2,3,4},TTSSKĐ!X210,TTSSKĐ!AD210,TTSSKĐ!AJ210,TTSSKĐ!AP210)))</f>
        <v>0</v>
      </c>
      <c r="L210">
        <f>SUMPRODUCT((MONTH(CHOOSE({1,2,3,4},TTSSKĐ!U210,TTSSKĐ!AA210,TTSSKĐ!AG210,TTSSKĐ!AM210))=12)*(CHOOSE({1,2,3,4},TTSSKĐ!X210,TTSSKĐ!AD210,TTSSKĐ!AJ210,TTSSKĐ!AP210)))</f>
        <v>0</v>
      </c>
    </row>
    <row r="211" spans="1:12">
      <c r="A211">
        <f>SUMPRODUCT((MONTH(CHOOSE({1,2,3,4},TTSSKĐ!U211,TTSSKĐ!AA211,TTSSKĐ!AG211,TTSSKĐ!AM211))=1)*(CHOOSE({1,2,3,4},TTSSKĐ!X211,TTSSKĐ!AD211,TTSSKĐ!AJ211,TTSSKĐ!AP211)))</f>
        <v>0</v>
      </c>
      <c r="B211">
        <f>SUMPRODUCT((MONTH(CHOOSE({1,2,3,4},TTSSKĐ!U211,TTSSKĐ!AA211,TTSSKĐ!AG211,TTSSKĐ!AM211))=2)*(CHOOSE({1,2,3,4},TTSSKĐ!X211,TTSSKĐ!AD211,TTSSKĐ!AJ211,TTSSKĐ!AP211)))</f>
        <v>0</v>
      </c>
      <c r="C211">
        <f>SUMPRODUCT((MONTH(CHOOSE({1,2,3,4},TTSSKĐ!U211,TTSSKĐ!AA211,TTSSKĐ!AG211,TTSSKĐ!AM211))=3)*(CHOOSE({1,2,3,4},TTSSKĐ!X211,TTSSKĐ!AD211,TTSSKĐ!AJ211,TTSSKĐ!AP211)))</f>
        <v>0</v>
      </c>
      <c r="D211">
        <f>SUMPRODUCT((MONTH(CHOOSE({1,2,3,4},TTSSKĐ!U211,TTSSKĐ!AA211,TTSSKĐ!AG211,TTSSKĐ!AM211))=4)*(CHOOSE({1,2,3,4},TTSSKĐ!X211,TTSSKĐ!AD211,TTSSKĐ!AJ211,TTSSKĐ!AP211)))</f>
        <v>0</v>
      </c>
      <c r="E211">
        <f>SUMPRODUCT((MONTH(CHOOSE({1,2,3,4},TTSSKĐ!U211,TTSSKĐ!AA211,TTSSKĐ!AG211,TTSSKĐ!AM211))=5)*(CHOOSE({1,2,3,4},TTSSKĐ!X211,TTSSKĐ!AD211,TTSSKĐ!AJ211,TTSSKĐ!AP211)))</f>
        <v>0</v>
      </c>
      <c r="F211">
        <f>SUMPRODUCT((MONTH(CHOOSE({1,2,3,4},TTSSKĐ!U211,TTSSKĐ!AA211,TTSSKĐ!AG211,TTSSKĐ!AM211))=6)*(CHOOSE({1,2,3,4},TTSSKĐ!X211,TTSSKĐ!AD211,TTSSKĐ!AJ211,TTSSKĐ!AP211)))</f>
        <v>0</v>
      </c>
      <c r="G211">
        <f>SUMPRODUCT((MONTH(CHOOSE({1,2,3,4},TTSSKĐ!U211,TTSSKĐ!AA211,TTSSKĐ!AG211,TTSSKĐ!AM211))=7)*(CHOOSE({1,2,3,4},TTSSKĐ!X211,TTSSKĐ!AD211,TTSSKĐ!AJ211,TTSSKĐ!AP211)))</f>
        <v>0</v>
      </c>
      <c r="H211">
        <f>SUMPRODUCT((MONTH(CHOOSE({1,2,3,4},TTSSKĐ!U211,TTSSKĐ!AA211,TTSSKĐ!AG211,TTSSKĐ!AM211))=8)*(CHOOSE({1,2,3,4},TTSSKĐ!X211,TTSSKĐ!AD211,TTSSKĐ!AJ211,TTSSKĐ!AP211)))</f>
        <v>0</v>
      </c>
      <c r="I211">
        <f>SUMPRODUCT((MONTH(CHOOSE({1,2,3,4},TTSSKĐ!U211,TTSSKĐ!AA211,TTSSKĐ!AG211,TTSSKĐ!AM211))=9)*(CHOOSE({1,2,3,4},TTSSKĐ!X211,TTSSKĐ!AD211,TTSSKĐ!AJ211,TTSSKĐ!AP211)))</f>
        <v>0</v>
      </c>
      <c r="J211">
        <f>SUMPRODUCT((MONTH(CHOOSE({1,2,3,4},TTSSKĐ!U211,TTSSKĐ!AA211,TTSSKĐ!AG211,TTSSKĐ!AM211))=10)*(CHOOSE({1,2,3,4},TTSSKĐ!X211,TTSSKĐ!AD211,TTSSKĐ!AJ211,TTSSKĐ!AP211)))</f>
        <v>0</v>
      </c>
      <c r="K211">
        <f>SUMPRODUCT((MONTH(CHOOSE({1,2,3,4},TTSSKĐ!U211,TTSSKĐ!AA211,TTSSKĐ!AG211,TTSSKĐ!AM211))=11)*(CHOOSE({1,2,3,4},TTSSKĐ!X211,TTSSKĐ!AD211,TTSSKĐ!AJ211,TTSSKĐ!AP211)))</f>
        <v>0</v>
      </c>
      <c r="L211">
        <f>SUMPRODUCT((MONTH(CHOOSE({1,2,3,4},TTSSKĐ!U211,TTSSKĐ!AA211,TTSSKĐ!AG211,TTSSKĐ!AM211))=12)*(CHOOSE({1,2,3,4},TTSSKĐ!X211,TTSSKĐ!AD211,TTSSKĐ!AJ211,TTSSKĐ!AP211)))</f>
        <v>0</v>
      </c>
    </row>
    <row r="212" spans="1:12">
      <c r="A212">
        <f>SUMPRODUCT((MONTH(CHOOSE({1,2,3,4},TTSSKĐ!U212,TTSSKĐ!AA212,TTSSKĐ!AG212,TTSSKĐ!AM212))=1)*(CHOOSE({1,2,3,4},TTSSKĐ!X212,TTSSKĐ!AD212,TTSSKĐ!AJ212,TTSSKĐ!AP212)))</f>
        <v>0</v>
      </c>
      <c r="B212">
        <f>SUMPRODUCT((MONTH(CHOOSE({1,2,3,4},TTSSKĐ!U212,TTSSKĐ!AA212,TTSSKĐ!AG212,TTSSKĐ!AM212))=2)*(CHOOSE({1,2,3,4},TTSSKĐ!X212,TTSSKĐ!AD212,TTSSKĐ!AJ212,TTSSKĐ!AP212)))</f>
        <v>0</v>
      </c>
      <c r="C212">
        <f>SUMPRODUCT((MONTH(CHOOSE({1,2,3,4},TTSSKĐ!U212,TTSSKĐ!AA212,TTSSKĐ!AG212,TTSSKĐ!AM212))=3)*(CHOOSE({1,2,3,4},TTSSKĐ!X212,TTSSKĐ!AD212,TTSSKĐ!AJ212,TTSSKĐ!AP212)))</f>
        <v>0</v>
      </c>
      <c r="D212">
        <f>SUMPRODUCT((MONTH(CHOOSE({1,2,3,4},TTSSKĐ!U212,TTSSKĐ!AA212,TTSSKĐ!AG212,TTSSKĐ!AM212))=4)*(CHOOSE({1,2,3,4},TTSSKĐ!X212,TTSSKĐ!AD212,TTSSKĐ!AJ212,TTSSKĐ!AP212)))</f>
        <v>0</v>
      </c>
      <c r="E212">
        <f>SUMPRODUCT((MONTH(CHOOSE({1,2,3,4},TTSSKĐ!U212,TTSSKĐ!AA212,TTSSKĐ!AG212,TTSSKĐ!AM212))=5)*(CHOOSE({1,2,3,4},TTSSKĐ!X212,TTSSKĐ!AD212,TTSSKĐ!AJ212,TTSSKĐ!AP212)))</f>
        <v>0</v>
      </c>
      <c r="F212">
        <f>SUMPRODUCT((MONTH(CHOOSE({1,2,3,4},TTSSKĐ!U212,TTSSKĐ!AA212,TTSSKĐ!AG212,TTSSKĐ!AM212))=6)*(CHOOSE({1,2,3,4},TTSSKĐ!X212,TTSSKĐ!AD212,TTSSKĐ!AJ212,TTSSKĐ!AP212)))</f>
        <v>0</v>
      </c>
      <c r="G212">
        <f>SUMPRODUCT((MONTH(CHOOSE({1,2,3,4},TTSSKĐ!U212,TTSSKĐ!AA212,TTSSKĐ!AG212,TTSSKĐ!AM212))=7)*(CHOOSE({1,2,3,4},TTSSKĐ!X212,TTSSKĐ!AD212,TTSSKĐ!AJ212,TTSSKĐ!AP212)))</f>
        <v>0</v>
      </c>
      <c r="H212">
        <f>SUMPRODUCT((MONTH(CHOOSE({1,2,3,4},TTSSKĐ!U212,TTSSKĐ!AA212,TTSSKĐ!AG212,TTSSKĐ!AM212))=8)*(CHOOSE({1,2,3,4},TTSSKĐ!X212,TTSSKĐ!AD212,TTSSKĐ!AJ212,TTSSKĐ!AP212)))</f>
        <v>0</v>
      </c>
      <c r="I212">
        <f>SUMPRODUCT((MONTH(CHOOSE({1,2,3,4},TTSSKĐ!U212,TTSSKĐ!AA212,TTSSKĐ!AG212,TTSSKĐ!AM212))=9)*(CHOOSE({1,2,3,4},TTSSKĐ!X212,TTSSKĐ!AD212,TTSSKĐ!AJ212,TTSSKĐ!AP212)))</f>
        <v>0</v>
      </c>
      <c r="J212">
        <f>SUMPRODUCT((MONTH(CHOOSE({1,2,3,4},TTSSKĐ!U212,TTSSKĐ!AA212,TTSSKĐ!AG212,TTSSKĐ!AM212))=10)*(CHOOSE({1,2,3,4},TTSSKĐ!X212,TTSSKĐ!AD212,TTSSKĐ!AJ212,TTSSKĐ!AP212)))</f>
        <v>0</v>
      </c>
      <c r="K212">
        <f>SUMPRODUCT((MONTH(CHOOSE({1,2,3,4},TTSSKĐ!U212,TTSSKĐ!AA212,TTSSKĐ!AG212,TTSSKĐ!AM212))=11)*(CHOOSE({1,2,3,4},TTSSKĐ!X212,TTSSKĐ!AD212,TTSSKĐ!AJ212,TTSSKĐ!AP212)))</f>
        <v>0</v>
      </c>
      <c r="L212">
        <f>SUMPRODUCT((MONTH(CHOOSE({1,2,3,4},TTSSKĐ!U212,TTSSKĐ!AA212,TTSSKĐ!AG212,TTSSKĐ!AM212))=12)*(CHOOSE({1,2,3,4},TTSSKĐ!X212,TTSSKĐ!AD212,TTSSKĐ!AJ212,TTSSKĐ!AP212)))</f>
        <v>0</v>
      </c>
    </row>
    <row r="213" spans="1:12">
      <c r="A213">
        <f>SUMPRODUCT((MONTH(CHOOSE({1,2,3,4},TTSSKĐ!U213,TTSSKĐ!AA213,TTSSKĐ!AG213,TTSSKĐ!AM213))=1)*(CHOOSE({1,2,3,4},TTSSKĐ!X213,TTSSKĐ!AD213,TTSSKĐ!AJ213,TTSSKĐ!AP213)))</f>
        <v>0</v>
      </c>
      <c r="B213">
        <f>SUMPRODUCT((MONTH(CHOOSE({1,2,3,4},TTSSKĐ!U213,TTSSKĐ!AA213,TTSSKĐ!AG213,TTSSKĐ!AM213))=2)*(CHOOSE({1,2,3,4},TTSSKĐ!X213,TTSSKĐ!AD213,TTSSKĐ!AJ213,TTSSKĐ!AP213)))</f>
        <v>0</v>
      </c>
      <c r="C213">
        <f>SUMPRODUCT((MONTH(CHOOSE({1,2,3,4},TTSSKĐ!U213,TTSSKĐ!AA213,TTSSKĐ!AG213,TTSSKĐ!AM213))=3)*(CHOOSE({1,2,3,4},TTSSKĐ!X213,TTSSKĐ!AD213,TTSSKĐ!AJ213,TTSSKĐ!AP213)))</f>
        <v>0</v>
      </c>
      <c r="D213">
        <f>SUMPRODUCT((MONTH(CHOOSE({1,2,3,4},TTSSKĐ!U213,TTSSKĐ!AA213,TTSSKĐ!AG213,TTSSKĐ!AM213))=4)*(CHOOSE({1,2,3,4},TTSSKĐ!X213,TTSSKĐ!AD213,TTSSKĐ!AJ213,TTSSKĐ!AP213)))</f>
        <v>0</v>
      </c>
      <c r="E213">
        <f>SUMPRODUCT((MONTH(CHOOSE({1,2,3,4},TTSSKĐ!U213,TTSSKĐ!AA213,TTSSKĐ!AG213,TTSSKĐ!AM213))=5)*(CHOOSE({1,2,3,4},TTSSKĐ!X213,TTSSKĐ!AD213,TTSSKĐ!AJ213,TTSSKĐ!AP213)))</f>
        <v>0</v>
      </c>
      <c r="F213">
        <f>SUMPRODUCT((MONTH(CHOOSE({1,2,3,4},TTSSKĐ!U213,TTSSKĐ!AA213,TTSSKĐ!AG213,TTSSKĐ!AM213))=6)*(CHOOSE({1,2,3,4},TTSSKĐ!X213,TTSSKĐ!AD213,TTSSKĐ!AJ213,TTSSKĐ!AP213)))</f>
        <v>0</v>
      </c>
      <c r="G213">
        <f>SUMPRODUCT((MONTH(CHOOSE({1,2,3,4},TTSSKĐ!U213,TTSSKĐ!AA213,TTSSKĐ!AG213,TTSSKĐ!AM213))=7)*(CHOOSE({1,2,3,4},TTSSKĐ!X213,TTSSKĐ!AD213,TTSSKĐ!AJ213,TTSSKĐ!AP213)))</f>
        <v>0</v>
      </c>
      <c r="H213">
        <f>SUMPRODUCT((MONTH(CHOOSE({1,2,3,4},TTSSKĐ!U213,TTSSKĐ!AA213,TTSSKĐ!AG213,TTSSKĐ!AM213))=8)*(CHOOSE({1,2,3,4},TTSSKĐ!X213,TTSSKĐ!AD213,TTSSKĐ!AJ213,TTSSKĐ!AP213)))</f>
        <v>0</v>
      </c>
      <c r="I213">
        <f>SUMPRODUCT((MONTH(CHOOSE({1,2,3,4},TTSSKĐ!U213,TTSSKĐ!AA213,TTSSKĐ!AG213,TTSSKĐ!AM213))=9)*(CHOOSE({1,2,3,4},TTSSKĐ!X213,TTSSKĐ!AD213,TTSSKĐ!AJ213,TTSSKĐ!AP213)))</f>
        <v>0</v>
      </c>
      <c r="J213">
        <f>SUMPRODUCT((MONTH(CHOOSE({1,2,3,4},TTSSKĐ!U213,TTSSKĐ!AA213,TTSSKĐ!AG213,TTSSKĐ!AM213))=10)*(CHOOSE({1,2,3,4},TTSSKĐ!X213,TTSSKĐ!AD213,TTSSKĐ!AJ213,TTSSKĐ!AP213)))</f>
        <v>0</v>
      </c>
      <c r="K213">
        <f>SUMPRODUCT((MONTH(CHOOSE({1,2,3,4},TTSSKĐ!U213,TTSSKĐ!AA213,TTSSKĐ!AG213,TTSSKĐ!AM213))=11)*(CHOOSE({1,2,3,4},TTSSKĐ!X213,TTSSKĐ!AD213,TTSSKĐ!AJ213,TTSSKĐ!AP213)))</f>
        <v>0</v>
      </c>
      <c r="L213">
        <f>SUMPRODUCT((MONTH(CHOOSE({1,2,3,4},TTSSKĐ!U213,TTSSKĐ!AA213,TTSSKĐ!AG213,TTSSKĐ!AM213))=12)*(CHOOSE({1,2,3,4},TTSSKĐ!X213,TTSSKĐ!AD213,TTSSKĐ!AJ213,TTSSKĐ!AP213)))</f>
        <v>0</v>
      </c>
    </row>
    <row r="214" spans="1:12">
      <c r="A214">
        <f>SUMPRODUCT((MONTH(CHOOSE({1,2,3,4},TTSSKĐ!U214,TTSSKĐ!AA214,TTSSKĐ!AG214,TTSSKĐ!AM214))=1)*(CHOOSE({1,2,3,4},TTSSKĐ!X214,TTSSKĐ!AD214,TTSSKĐ!AJ214,TTSSKĐ!AP214)))</f>
        <v>0</v>
      </c>
      <c r="B214">
        <f>SUMPRODUCT((MONTH(CHOOSE({1,2,3,4},TTSSKĐ!U214,TTSSKĐ!AA214,TTSSKĐ!AG214,TTSSKĐ!AM214))=2)*(CHOOSE({1,2,3,4},TTSSKĐ!X214,TTSSKĐ!AD214,TTSSKĐ!AJ214,TTSSKĐ!AP214)))</f>
        <v>0</v>
      </c>
      <c r="C214">
        <f>SUMPRODUCT((MONTH(CHOOSE({1,2,3,4},TTSSKĐ!U214,TTSSKĐ!AA214,TTSSKĐ!AG214,TTSSKĐ!AM214))=3)*(CHOOSE({1,2,3,4},TTSSKĐ!X214,TTSSKĐ!AD214,TTSSKĐ!AJ214,TTSSKĐ!AP214)))</f>
        <v>0</v>
      </c>
      <c r="D214">
        <f>SUMPRODUCT((MONTH(CHOOSE({1,2,3,4},TTSSKĐ!U214,TTSSKĐ!AA214,TTSSKĐ!AG214,TTSSKĐ!AM214))=4)*(CHOOSE({1,2,3,4},TTSSKĐ!X214,TTSSKĐ!AD214,TTSSKĐ!AJ214,TTSSKĐ!AP214)))</f>
        <v>0</v>
      </c>
      <c r="E214">
        <f>SUMPRODUCT((MONTH(CHOOSE({1,2,3,4},TTSSKĐ!U214,TTSSKĐ!AA214,TTSSKĐ!AG214,TTSSKĐ!AM214))=5)*(CHOOSE({1,2,3,4},TTSSKĐ!X214,TTSSKĐ!AD214,TTSSKĐ!AJ214,TTSSKĐ!AP214)))</f>
        <v>0</v>
      </c>
      <c r="F214">
        <f>SUMPRODUCT((MONTH(CHOOSE({1,2,3,4},TTSSKĐ!U214,TTSSKĐ!AA214,TTSSKĐ!AG214,TTSSKĐ!AM214))=6)*(CHOOSE({1,2,3,4},TTSSKĐ!X214,TTSSKĐ!AD214,TTSSKĐ!AJ214,TTSSKĐ!AP214)))</f>
        <v>0</v>
      </c>
      <c r="G214">
        <f>SUMPRODUCT((MONTH(CHOOSE({1,2,3,4},TTSSKĐ!U214,TTSSKĐ!AA214,TTSSKĐ!AG214,TTSSKĐ!AM214))=7)*(CHOOSE({1,2,3,4},TTSSKĐ!X214,TTSSKĐ!AD214,TTSSKĐ!AJ214,TTSSKĐ!AP214)))</f>
        <v>0</v>
      </c>
      <c r="H214">
        <f>SUMPRODUCT((MONTH(CHOOSE({1,2,3,4},TTSSKĐ!U214,TTSSKĐ!AA214,TTSSKĐ!AG214,TTSSKĐ!AM214))=8)*(CHOOSE({1,2,3,4},TTSSKĐ!X214,TTSSKĐ!AD214,TTSSKĐ!AJ214,TTSSKĐ!AP214)))</f>
        <v>0</v>
      </c>
      <c r="I214">
        <f>SUMPRODUCT((MONTH(CHOOSE({1,2,3,4},TTSSKĐ!U214,TTSSKĐ!AA214,TTSSKĐ!AG214,TTSSKĐ!AM214))=9)*(CHOOSE({1,2,3,4},TTSSKĐ!X214,TTSSKĐ!AD214,TTSSKĐ!AJ214,TTSSKĐ!AP214)))</f>
        <v>0</v>
      </c>
      <c r="J214">
        <f>SUMPRODUCT((MONTH(CHOOSE({1,2,3,4},TTSSKĐ!U214,TTSSKĐ!AA214,TTSSKĐ!AG214,TTSSKĐ!AM214))=10)*(CHOOSE({1,2,3,4},TTSSKĐ!X214,TTSSKĐ!AD214,TTSSKĐ!AJ214,TTSSKĐ!AP214)))</f>
        <v>0</v>
      </c>
      <c r="K214">
        <f>SUMPRODUCT((MONTH(CHOOSE({1,2,3,4},TTSSKĐ!U214,TTSSKĐ!AA214,TTSSKĐ!AG214,TTSSKĐ!AM214))=11)*(CHOOSE({1,2,3,4},TTSSKĐ!X214,TTSSKĐ!AD214,TTSSKĐ!AJ214,TTSSKĐ!AP214)))</f>
        <v>0</v>
      </c>
      <c r="L214">
        <f>SUMPRODUCT((MONTH(CHOOSE({1,2,3,4},TTSSKĐ!U214,TTSSKĐ!AA214,TTSSKĐ!AG214,TTSSKĐ!AM214))=12)*(CHOOSE({1,2,3,4},TTSSKĐ!X214,TTSSKĐ!AD214,TTSSKĐ!AJ214,TTSSKĐ!AP214)))</f>
        <v>0</v>
      </c>
    </row>
    <row r="215" spans="1:12">
      <c r="A215">
        <f>SUMPRODUCT((MONTH(CHOOSE({1,2,3,4},TTSSKĐ!U215,TTSSKĐ!AA215,TTSSKĐ!AG215,TTSSKĐ!AM215))=1)*(CHOOSE({1,2,3,4},TTSSKĐ!X215,TTSSKĐ!AD215,TTSSKĐ!AJ215,TTSSKĐ!AP215)))</f>
        <v>0</v>
      </c>
      <c r="B215">
        <f>SUMPRODUCT((MONTH(CHOOSE({1,2,3,4},TTSSKĐ!U215,TTSSKĐ!AA215,TTSSKĐ!AG215,TTSSKĐ!AM215))=2)*(CHOOSE({1,2,3,4},TTSSKĐ!X215,TTSSKĐ!AD215,TTSSKĐ!AJ215,TTSSKĐ!AP215)))</f>
        <v>0</v>
      </c>
      <c r="C215">
        <f>SUMPRODUCT((MONTH(CHOOSE({1,2,3,4},TTSSKĐ!U215,TTSSKĐ!AA215,TTSSKĐ!AG215,TTSSKĐ!AM215))=3)*(CHOOSE({1,2,3,4},TTSSKĐ!X215,TTSSKĐ!AD215,TTSSKĐ!AJ215,TTSSKĐ!AP215)))</f>
        <v>0</v>
      </c>
      <c r="D215">
        <f>SUMPRODUCT((MONTH(CHOOSE({1,2,3,4},TTSSKĐ!U215,TTSSKĐ!AA215,TTSSKĐ!AG215,TTSSKĐ!AM215))=4)*(CHOOSE({1,2,3,4},TTSSKĐ!X215,TTSSKĐ!AD215,TTSSKĐ!AJ215,TTSSKĐ!AP215)))</f>
        <v>0</v>
      </c>
      <c r="E215">
        <f>SUMPRODUCT((MONTH(CHOOSE({1,2,3,4},TTSSKĐ!U215,TTSSKĐ!AA215,TTSSKĐ!AG215,TTSSKĐ!AM215))=5)*(CHOOSE({1,2,3,4},TTSSKĐ!X215,TTSSKĐ!AD215,TTSSKĐ!AJ215,TTSSKĐ!AP215)))</f>
        <v>0</v>
      </c>
      <c r="F215">
        <f>SUMPRODUCT((MONTH(CHOOSE({1,2,3,4},TTSSKĐ!U215,TTSSKĐ!AA215,TTSSKĐ!AG215,TTSSKĐ!AM215))=6)*(CHOOSE({1,2,3,4},TTSSKĐ!X215,TTSSKĐ!AD215,TTSSKĐ!AJ215,TTSSKĐ!AP215)))</f>
        <v>0</v>
      </c>
      <c r="G215">
        <f>SUMPRODUCT((MONTH(CHOOSE({1,2,3,4},TTSSKĐ!U215,TTSSKĐ!AA215,TTSSKĐ!AG215,TTSSKĐ!AM215))=7)*(CHOOSE({1,2,3,4},TTSSKĐ!X215,TTSSKĐ!AD215,TTSSKĐ!AJ215,TTSSKĐ!AP215)))</f>
        <v>0</v>
      </c>
      <c r="H215">
        <f>SUMPRODUCT((MONTH(CHOOSE({1,2,3,4},TTSSKĐ!U215,TTSSKĐ!AA215,TTSSKĐ!AG215,TTSSKĐ!AM215))=8)*(CHOOSE({1,2,3,4},TTSSKĐ!X215,TTSSKĐ!AD215,TTSSKĐ!AJ215,TTSSKĐ!AP215)))</f>
        <v>0</v>
      </c>
      <c r="I215">
        <f>SUMPRODUCT((MONTH(CHOOSE({1,2,3,4},TTSSKĐ!U215,TTSSKĐ!AA215,TTSSKĐ!AG215,TTSSKĐ!AM215))=9)*(CHOOSE({1,2,3,4},TTSSKĐ!X215,TTSSKĐ!AD215,TTSSKĐ!AJ215,TTSSKĐ!AP215)))</f>
        <v>0</v>
      </c>
      <c r="J215">
        <f>SUMPRODUCT((MONTH(CHOOSE({1,2,3,4},TTSSKĐ!U215,TTSSKĐ!AA215,TTSSKĐ!AG215,TTSSKĐ!AM215))=10)*(CHOOSE({1,2,3,4},TTSSKĐ!X215,TTSSKĐ!AD215,TTSSKĐ!AJ215,TTSSKĐ!AP215)))</f>
        <v>0</v>
      </c>
      <c r="K215">
        <f>SUMPRODUCT((MONTH(CHOOSE({1,2,3,4},TTSSKĐ!U215,TTSSKĐ!AA215,TTSSKĐ!AG215,TTSSKĐ!AM215))=11)*(CHOOSE({1,2,3,4},TTSSKĐ!X215,TTSSKĐ!AD215,TTSSKĐ!AJ215,TTSSKĐ!AP215)))</f>
        <v>0</v>
      </c>
      <c r="L215">
        <f>SUMPRODUCT((MONTH(CHOOSE({1,2,3,4},TTSSKĐ!U215,TTSSKĐ!AA215,TTSSKĐ!AG215,TTSSKĐ!AM215))=12)*(CHOOSE({1,2,3,4},TTSSKĐ!X215,TTSSKĐ!AD215,TTSSKĐ!AJ215,TTSSKĐ!AP215)))</f>
        <v>0</v>
      </c>
    </row>
    <row r="216" spans="1:12">
      <c r="A216">
        <f>SUMPRODUCT((MONTH(CHOOSE({1,2,3,4},TTSSKĐ!U216,TTSSKĐ!AA216,TTSSKĐ!AG216,TTSSKĐ!AM216))=1)*(CHOOSE({1,2,3,4},TTSSKĐ!X216,TTSSKĐ!AD216,TTSSKĐ!AJ216,TTSSKĐ!AP216)))</f>
        <v>0</v>
      </c>
      <c r="B216">
        <f>SUMPRODUCT((MONTH(CHOOSE({1,2,3,4},TTSSKĐ!U216,TTSSKĐ!AA216,TTSSKĐ!AG216,TTSSKĐ!AM216))=2)*(CHOOSE({1,2,3,4},TTSSKĐ!X216,TTSSKĐ!AD216,TTSSKĐ!AJ216,TTSSKĐ!AP216)))</f>
        <v>0</v>
      </c>
      <c r="C216">
        <f>SUMPRODUCT((MONTH(CHOOSE({1,2,3,4},TTSSKĐ!U216,TTSSKĐ!AA216,TTSSKĐ!AG216,TTSSKĐ!AM216))=3)*(CHOOSE({1,2,3,4},TTSSKĐ!X216,TTSSKĐ!AD216,TTSSKĐ!AJ216,TTSSKĐ!AP216)))</f>
        <v>0</v>
      </c>
      <c r="D216">
        <f>SUMPRODUCT((MONTH(CHOOSE({1,2,3,4},TTSSKĐ!U216,TTSSKĐ!AA216,TTSSKĐ!AG216,TTSSKĐ!AM216))=4)*(CHOOSE({1,2,3,4},TTSSKĐ!X216,TTSSKĐ!AD216,TTSSKĐ!AJ216,TTSSKĐ!AP216)))</f>
        <v>0</v>
      </c>
      <c r="E216">
        <f>SUMPRODUCT((MONTH(CHOOSE({1,2,3,4},TTSSKĐ!U216,TTSSKĐ!AA216,TTSSKĐ!AG216,TTSSKĐ!AM216))=5)*(CHOOSE({1,2,3,4},TTSSKĐ!X216,TTSSKĐ!AD216,TTSSKĐ!AJ216,TTSSKĐ!AP216)))</f>
        <v>0</v>
      </c>
      <c r="F216">
        <f>SUMPRODUCT((MONTH(CHOOSE({1,2,3,4},TTSSKĐ!U216,TTSSKĐ!AA216,TTSSKĐ!AG216,TTSSKĐ!AM216))=6)*(CHOOSE({1,2,3,4},TTSSKĐ!X216,TTSSKĐ!AD216,TTSSKĐ!AJ216,TTSSKĐ!AP216)))</f>
        <v>0</v>
      </c>
      <c r="G216">
        <f>SUMPRODUCT((MONTH(CHOOSE({1,2,3,4},TTSSKĐ!U216,TTSSKĐ!AA216,TTSSKĐ!AG216,TTSSKĐ!AM216))=7)*(CHOOSE({1,2,3,4},TTSSKĐ!X216,TTSSKĐ!AD216,TTSSKĐ!AJ216,TTSSKĐ!AP216)))</f>
        <v>0</v>
      </c>
      <c r="H216">
        <f>SUMPRODUCT((MONTH(CHOOSE({1,2,3,4},TTSSKĐ!U216,TTSSKĐ!AA216,TTSSKĐ!AG216,TTSSKĐ!AM216))=8)*(CHOOSE({1,2,3,4},TTSSKĐ!X216,TTSSKĐ!AD216,TTSSKĐ!AJ216,TTSSKĐ!AP216)))</f>
        <v>0</v>
      </c>
      <c r="I216">
        <f>SUMPRODUCT((MONTH(CHOOSE({1,2,3,4},TTSSKĐ!U216,TTSSKĐ!AA216,TTSSKĐ!AG216,TTSSKĐ!AM216))=9)*(CHOOSE({1,2,3,4},TTSSKĐ!X216,TTSSKĐ!AD216,TTSSKĐ!AJ216,TTSSKĐ!AP216)))</f>
        <v>0</v>
      </c>
      <c r="J216">
        <f>SUMPRODUCT((MONTH(CHOOSE({1,2,3,4},TTSSKĐ!U216,TTSSKĐ!AA216,TTSSKĐ!AG216,TTSSKĐ!AM216))=10)*(CHOOSE({1,2,3,4},TTSSKĐ!X216,TTSSKĐ!AD216,TTSSKĐ!AJ216,TTSSKĐ!AP216)))</f>
        <v>0</v>
      </c>
      <c r="K216">
        <f>SUMPRODUCT((MONTH(CHOOSE({1,2,3,4},TTSSKĐ!U216,TTSSKĐ!AA216,TTSSKĐ!AG216,TTSSKĐ!AM216))=11)*(CHOOSE({1,2,3,4},TTSSKĐ!X216,TTSSKĐ!AD216,TTSSKĐ!AJ216,TTSSKĐ!AP216)))</f>
        <v>0</v>
      </c>
      <c r="L216">
        <f>SUMPRODUCT((MONTH(CHOOSE({1,2,3,4},TTSSKĐ!U216,TTSSKĐ!AA216,TTSSKĐ!AG216,TTSSKĐ!AM216))=12)*(CHOOSE({1,2,3,4},TTSSKĐ!X216,TTSSKĐ!AD216,TTSSKĐ!AJ216,TTSSKĐ!AP216)))</f>
        <v>0</v>
      </c>
    </row>
    <row r="217" spans="1:12">
      <c r="A217">
        <f>SUMPRODUCT((MONTH(CHOOSE({1,2,3,4},TTSSKĐ!U217,TTSSKĐ!AA217,TTSSKĐ!AG217,TTSSKĐ!AM217))=1)*(CHOOSE({1,2,3,4},TTSSKĐ!X217,TTSSKĐ!AD217,TTSSKĐ!AJ217,TTSSKĐ!AP217)))</f>
        <v>0</v>
      </c>
      <c r="B217">
        <f>SUMPRODUCT((MONTH(CHOOSE({1,2,3,4},TTSSKĐ!U217,TTSSKĐ!AA217,TTSSKĐ!AG217,TTSSKĐ!AM217))=2)*(CHOOSE({1,2,3,4},TTSSKĐ!X217,TTSSKĐ!AD217,TTSSKĐ!AJ217,TTSSKĐ!AP217)))</f>
        <v>0</v>
      </c>
      <c r="C217">
        <f>SUMPRODUCT((MONTH(CHOOSE({1,2,3,4},TTSSKĐ!U217,TTSSKĐ!AA217,TTSSKĐ!AG217,TTSSKĐ!AM217))=3)*(CHOOSE({1,2,3,4},TTSSKĐ!X217,TTSSKĐ!AD217,TTSSKĐ!AJ217,TTSSKĐ!AP217)))</f>
        <v>0</v>
      </c>
      <c r="D217">
        <f>SUMPRODUCT((MONTH(CHOOSE({1,2,3,4},TTSSKĐ!U217,TTSSKĐ!AA217,TTSSKĐ!AG217,TTSSKĐ!AM217))=4)*(CHOOSE({1,2,3,4},TTSSKĐ!X217,TTSSKĐ!AD217,TTSSKĐ!AJ217,TTSSKĐ!AP217)))</f>
        <v>0</v>
      </c>
      <c r="E217">
        <f>SUMPRODUCT((MONTH(CHOOSE({1,2,3,4},TTSSKĐ!U217,TTSSKĐ!AA217,TTSSKĐ!AG217,TTSSKĐ!AM217))=5)*(CHOOSE({1,2,3,4},TTSSKĐ!X217,TTSSKĐ!AD217,TTSSKĐ!AJ217,TTSSKĐ!AP217)))</f>
        <v>0</v>
      </c>
      <c r="F217">
        <f>SUMPRODUCT((MONTH(CHOOSE({1,2,3,4},TTSSKĐ!U217,TTSSKĐ!AA217,TTSSKĐ!AG217,TTSSKĐ!AM217))=6)*(CHOOSE({1,2,3,4},TTSSKĐ!X217,TTSSKĐ!AD217,TTSSKĐ!AJ217,TTSSKĐ!AP217)))</f>
        <v>0</v>
      </c>
      <c r="G217">
        <f>SUMPRODUCT((MONTH(CHOOSE({1,2,3,4},TTSSKĐ!U217,TTSSKĐ!AA217,TTSSKĐ!AG217,TTSSKĐ!AM217))=7)*(CHOOSE({1,2,3,4},TTSSKĐ!X217,TTSSKĐ!AD217,TTSSKĐ!AJ217,TTSSKĐ!AP217)))</f>
        <v>0</v>
      </c>
      <c r="H217">
        <f>SUMPRODUCT((MONTH(CHOOSE({1,2,3,4},TTSSKĐ!U217,TTSSKĐ!AA217,TTSSKĐ!AG217,TTSSKĐ!AM217))=8)*(CHOOSE({1,2,3,4},TTSSKĐ!X217,TTSSKĐ!AD217,TTSSKĐ!AJ217,TTSSKĐ!AP217)))</f>
        <v>0</v>
      </c>
      <c r="I217">
        <f>SUMPRODUCT((MONTH(CHOOSE({1,2,3,4},TTSSKĐ!U217,TTSSKĐ!AA217,TTSSKĐ!AG217,TTSSKĐ!AM217))=9)*(CHOOSE({1,2,3,4},TTSSKĐ!X217,TTSSKĐ!AD217,TTSSKĐ!AJ217,TTSSKĐ!AP217)))</f>
        <v>0</v>
      </c>
      <c r="J217">
        <f>SUMPRODUCT((MONTH(CHOOSE({1,2,3,4},TTSSKĐ!U217,TTSSKĐ!AA217,TTSSKĐ!AG217,TTSSKĐ!AM217))=10)*(CHOOSE({1,2,3,4},TTSSKĐ!X217,TTSSKĐ!AD217,TTSSKĐ!AJ217,TTSSKĐ!AP217)))</f>
        <v>0</v>
      </c>
      <c r="K217">
        <f>SUMPRODUCT((MONTH(CHOOSE({1,2,3,4},TTSSKĐ!U217,TTSSKĐ!AA217,TTSSKĐ!AG217,TTSSKĐ!AM217))=11)*(CHOOSE({1,2,3,4},TTSSKĐ!X217,TTSSKĐ!AD217,TTSSKĐ!AJ217,TTSSKĐ!AP217)))</f>
        <v>0</v>
      </c>
      <c r="L217">
        <f>SUMPRODUCT((MONTH(CHOOSE({1,2,3,4},TTSSKĐ!U217,TTSSKĐ!AA217,TTSSKĐ!AG217,TTSSKĐ!AM217))=12)*(CHOOSE({1,2,3,4},TTSSKĐ!X217,TTSSKĐ!AD217,TTSSKĐ!AJ217,TTSSKĐ!AP217)))</f>
        <v>0</v>
      </c>
    </row>
    <row r="218" spans="1:12">
      <c r="A218">
        <f>SUMPRODUCT((MONTH(CHOOSE({1,2,3,4},TTSSKĐ!U218,TTSSKĐ!AA218,TTSSKĐ!AG218,TTSSKĐ!AM218))=1)*(CHOOSE({1,2,3,4},TTSSKĐ!X218,TTSSKĐ!AD218,TTSSKĐ!AJ218,TTSSKĐ!AP218)))</f>
        <v>0</v>
      </c>
      <c r="B218">
        <f>SUMPRODUCT((MONTH(CHOOSE({1,2,3,4},TTSSKĐ!U218,TTSSKĐ!AA218,TTSSKĐ!AG218,TTSSKĐ!AM218))=2)*(CHOOSE({1,2,3,4},TTSSKĐ!X218,TTSSKĐ!AD218,TTSSKĐ!AJ218,TTSSKĐ!AP218)))</f>
        <v>0</v>
      </c>
      <c r="C218">
        <f>SUMPRODUCT((MONTH(CHOOSE({1,2,3,4},TTSSKĐ!U218,TTSSKĐ!AA218,TTSSKĐ!AG218,TTSSKĐ!AM218))=3)*(CHOOSE({1,2,3,4},TTSSKĐ!X218,TTSSKĐ!AD218,TTSSKĐ!AJ218,TTSSKĐ!AP218)))</f>
        <v>0</v>
      </c>
      <c r="D218">
        <f>SUMPRODUCT((MONTH(CHOOSE({1,2,3,4},TTSSKĐ!U218,TTSSKĐ!AA218,TTSSKĐ!AG218,TTSSKĐ!AM218))=4)*(CHOOSE({1,2,3,4},TTSSKĐ!X218,TTSSKĐ!AD218,TTSSKĐ!AJ218,TTSSKĐ!AP218)))</f>
        <v>0</v>
      </c>
      <c r="E218">
        <f>SUMPRODUCT((MONTH(CHOOSE({1,2,3,4},TTSSKĐ!U218,TTSSKĐ!AA218,TTSSKĐ!AG218,TTSSKĐ!AM218))=5)*(CHOOSE({1,2,3,4},TTSSKĐ!X218,TTSSKĐ!AD218,TTSSKĐ!AJ218,TTSSKĐ!AP218)))</f>
        <v>0</v>
      </c>
      <c r="F218">
        <f>SUMPRODUCT((MONTH(CHOOSE({1,2,3,4},TTSSKĐ!U218,TTSSKĐ!AA218,TTSSKĐ!AG218,TTSSKĐ!AM218))=6)*(CHOOSE({1,2,3,4},TTSSKĐ!X218,TTSSKĐ!AD218,TTSSKĐ!AJ218,TTSSKĐ!AP218)))</f>
        <v>0</v>
      </c>
      <c r="G218">
        <f>SUMPRODUCT((MONTH(CHOOSE({1,2,3,4},TTSSKĐ!U218,TTSSKĐ!AA218,TTSSKĐ!AG218,TTSSKĐ!AM218))=7)*(CHOOSE({1,2,3,4},TTSSKĐ!X218,TTSSKĐ!AD218,TTSSKĐ!AJ218,TTSSKĐ!AP218)))</f>
        <v>0</v>
      </c>
      <c r="H218">
        <f>SUMPRODUCT((MONTH(CHOOSE({1,2,3,4},TTSSKĐ!U218,TTSSKĐ!AA218,TTSSKĐ!AG218,TTSSKĐ!AM218))=8)*(CHOOSE({1,2,3,4},TTSSKĐ!X218,TTSSKĐ!AD218,TTSSKĐ!AJ218,TTSSKĐ!AP218)))</f>
        <v>0</v>
      </c>
      <c r="I218">
        <f>SUMPRODUCT((MONTH(CHOOSE({1,2,3,4},TTSSKĐ!U218,TTSSKĐ!AA218,TTSSKĐ!AG218,TTSSKĐ!AM218))=9)*(CHOOSE({1,2,3,4},TTSSKĐ!X218,TTSSKĐ!AD218,TTSSKĐ!AJ218,TTSSKĐ!AP218)))</f>
        <v>0</v>
      </c>
      <c r="J218">
        <f>SUMPRODUCT((MONTH(CHOOSE({1,2,3,4},TTSSKĐ!U218,TTSSKĐ!AA218,TTSSKĐ!AG218,TTSSKĐ!AM218))=10)*(CHOOSE({1,2,3,4},TTSSKĐ!X218,TTSSKĐ!AD218,TTSSKĐ!AJ218,TTSSKĐ!AP218)))</f>
        <v>0</v>
      </c>
      <c r="K218">
        <f>SUMPRODUCT((MONTH(CHOOSE({1,2,3,4},TTSSKĐ!U218,TTSSKĐ!AA218,TTSSKĐ!AG218,TTSSKĐ!AM218))=11)*(CHOOSE({1,2,3,4},TTSSKĐ!X218,TTSSKĐ!AD218,TTSSKĐ!AJ218,TTSSKĐ!AP218)))</f>
        <v>0</v>
      </c>
      <c r="L218">
        <f>SUMPRODUCT((MONTH(CHOOSE({1,2,3,4},TTSSKĐ!U218,TTSSKĐ!AA218,TTSSKĐ!AG218,TTSSKĐ!AM218))=12)*(CHOOSE({1,2,3,4},TTSSKĐ!X218,TTSSKĐ!AD218,TTSSKĐ!AJ218,TTSSKĐ!AP218)))</f>
        <v>0</v>
      </c>
    </row>
    <row r="219" spans="1:12">
      <c r="A219">
        <f>SUMPRODUCT((MONTH(CHOOSE({1,2,3,4},TTSSKĐ!U219,TTSSKĐ!AA219,TTSSKĐ!AG219,TTSSKĐ!AM219))=1)*(CHOOSE({1,2,3,4},TTSSKĐ!X219,TTSSKĐ!AD219,TTSSKĐ!AJ219,TTSSKĐ!AP219)))</f>
        <v>0</v>
      </c>
      <c r="B219">
        <f>SUMPRODUCT((MONTH(CHOOSE({1,2,3,4},TTSSKĐ!U219,TTSSKĐ!AA219,TTSSKĐ!AG219,TTSSKĐ!AM219))=2)*(CHOOSE({1,2,3,4},TTSSKĐ!X219,TTSSKĐ!AD219,TTSSKĐ!AJ219,TTSSKĐ!AP219)))</f>
        <v>0</v>
      </c>
      <c r="C219">
        <f>SUMPRODUCT((MONTH(CHOOSE({1,2,3,4},TTSSKĐ!U219,TTSSKĐ!AA219,TTSSKĐ!AG219,TTSSKĐ!AM219))=3)*(CHOOSE({1,2,3,4},TTSSKĐ!X219,TTSSKĐ!AD219,TTSSKĐ!AJ219,TTSSKĐ!AP219)))</f>
        <v>0</v>
      </c>
      <c r="D219">
        <f>SUMPRODUCT((MONTH(CHOOSE({1,2,3,4},TTSSKĐ!U219,TTSSKĐ!AA219,TTSSKĐ!AG219,TTSSKĐ!AM219))=4)*(CHOOSE({1,2,3,4},TTSSKĐ!X219,TTSSKĐ!AD219,TTSSKĐ!AJ219,TTSSKĐ!AP219)))</f>
        <v>0</v>
      </c>
      <c r="E219">
        <f>SUMPRODUCT((MONTH(CHOOSE({1,2,3,4},TTSSKĐ!U219,TTSSKĐ!AA219,TTSSKĐ!AG219,TTSSKĐ!AM219))=5)*(CHOOSE({1,2,3,4},TTSSKĐ!X219,TTSSKĐ!AD219,TTSSKĐ!AJ219,TTSSKĐ!AP219)))</f>
        <v>0</v>
      </c>
      <c r="F219">
        <f>SUMPRODUCT((MONTH(CHOOSE({1,2,3,4},TTSSKĐ!U219,TTSSKĐ!AA219,TTSSKĐ!AG219,TTSSKĐ!AM219))=6)*(CHOOSE({1,2,3,4},TTSSKĐ!X219,TTSSKĐ!AD219,TTSSKĐ!AJ219,TTSSKĐ!AP219)))</f>
        <v>0</v>
      </c>
      <c r="G219">
        <f>SUMPRODUCT((MONTH(CHOOSE({1,2,3,4},TTSSKĐ!U219,TTSSKĐ!AA219,TTSSKĐ!AG219,TTSSKĐ!AM219))=7)*(CHOOSE({1,2,3,4},TTSSKĐ!X219,TTSSKĐ!AD219,TTSSKĐ!AJ219,TTSSKĐ!AP219)))</f>
        <v>0</v>
      </c>
      <c r="H219">
        <f>SUMPRODUCT((MONTH(CHOOSE({1,2,3,4},TTSSKĐ!U219,TTSSKĐ!AA219,TTSSKĐ!AG219,TTSSKĐ!AM219))=8)*(CHOOSE({1,2,3,4},TTSSKĐ!X219,TTSSKĐ!AD219,TTSSKĐ!AJ219,TTSSKĐ!AP219)))</f>
        <v>0</v>
      </c>
      <c r="I219">
        <f>SUMPRODUCT((MONTH(CHOOSE({1,2,3,4},TTSSKĐ!U219,TTSSKĐ!AA219,TTSSKĐ!AG219,TTSSKĐ!AM219))=9)*(CHOOSE({1,2,3,4},TTSSKĐ!X219,TTSSKĐ!AD219,TTSSKĐ!AJ219,TTSSKĐ!AP219)))</f>
        <v>0</v>
      </c>
      <c r="J219">
        <f>SUMPRODUCT((MONTH(CHOOSE({1,2,3,4},TTSSKĐ!U219,TTSSKĐ!AA219,TTSSKĐ!AG219,TTSSKĐ!AM219))=10)*(CHOOSE({1,2,3,4},TTSSKĐ!X219,TTSSKĐ!AD219,TTSSKĐ!AJ219,TTSSKĐ!AP219)))</f>
        <v>0</v>
      </c>
      <c r="K219">
        <f>SUMPRODUCT((MONTH(CHOOSE({1,2,3,4},TTSSKĐ!U219,TTSSKĐ!AA219,TTSSKĐ!AG219,TTSSKĐ!AM219))=11)*(CHOOSE({1,2,3,4},TTSSKĐ!X219,TTSSKĐ!AD219,TTSSKĐ!AJ219,TTSSKĐ!AP219)))</f>
        <v>0</v>
      </c>
      <c r="L219">
        <f>SUMPRODUCT((MONTH(CHOOSE({1,2,3,4},TTSSKĐ!U219,TTSSKĐ!AA219,TTSSKĐ!AG219,TTSSKĐ!AM219))=12)*(CHOOSE({1,2,3,4},TTSSKĐ!X219,TTSSKĐ!AD219,TTSSKĐ!AJ219,TTSSKĐ!AP219)))</f>
        <v>0</v>
      </c>
    </row>
    <row r="220" spans="1:12">
      <c r="A220">
        <f>SUMPRODUCT((MONTH(CHOOSE({1,2,3,4},TTSSKĐ!U220,TTSSKĐ!AA220,TTSSKĐ!AG220,TTSSKĐ!AM220))=1)*(CHOOSE({1,2,3,4},TTSSKĐ!X220,TTSSKĐ!AD220,TTSSKĐ!AJ220,TTSSKĐ!AP220)))</f>
        <v>0</v>
      </c>
      <c r="B220">
        <f>SUMPRODUCT((MONTH(CHOOSE({1,2,3,4},TTSSKĐ!U220,TTSSKĐ!AA220,TTSSKĐ!AG220,TTSSKĐ!AM220))=2)*(CHOOSE({1,2,3,4},TTSSKĐ!X220,TTSSKĐ!AD220,TTSSKĐ!AJ220,TTSSKĐ!AP220)))</f>
        <v>0</v>
      </c>
      <c r="C220">
        <f>SUMPRODUCT((MONTH(CHOOSE({1,2,3,4},TTSSKĐ!U220,TTSSKĐ!AA220,TTSSKĐ!AG220,TTSSKĐ!AM220))=3)*(CHOOSE({1,2,3,4},TTSSKĐ!X220,TTSSKĐ!AD220,TTSSKĐ!AJ220,TTSSKĐ!AP220)))</f>
        <v>0</v>
      </c>
      <c r="D220">
        <f>SUMPRODUCT((MONTH(CHOOSE({1,2,3,4},TTSSKĐ!U220,TTSSKĐ!AA220,TTSSKĐ!AG220,TTSSKĐ!AM220))=4)*(CHOOSE({1,2,3,4},TTSSKĐ!X220,TTSSKĐ!AD220,TTSSKĐ!AJ220,TTSSKĐ!AP220)))</f>
        <v>0</v>
      </c>
      <c r="E220">
        <f>SUMPRODUCT((MONTH(CHOOSE({1,2,3,4},TTSSKĐ!U220,TTSSKĐ!AA220,TTSSKĐ!AG220,TTSSKĐ!AM220))=5)*(CHOOSE({1,2,3,4},TTSSKĐ!X220,TTSSKĐ!AD220,TTSSKĐ!AJ220,TTSSKĐ!AP220)))</f>
        <v>0</v>
      </c>
      <c r="F220">
        <f>SUMPRODUCT((MONTH(CHOOSE({1,2,3,4},TTSSKĐ!U220,TTSSKĐ!AA220,TTSSKĐ!AG220,TTSSKĐ!AM220))=6)*(CHOOSE({1,2,3,4},TTSSKĐ!X220,TTSSKĐ!AD220,TTSSKĐ!AJ220,TTSSKĐ!AP220)))</f>
        <v>0</v>
      </c>
      <c r="G220">
        <f>SUMPRODUCT((MONTH(CHOOSE({1,2,3,4},TTSSKĐ!U220,TTSSKĐ!AA220,TTSSKĐ!AG220,TTSSKĐ!AM220))=7)*(CHOOSE({1,2,3,4},TTSSKĐ!X220,TTSSKĐ!AD220,TTSSKĐ!AJ220,TTSSKĐ!AP220)))</f>
        <v>0</v>
      </c>
      <c r="H220">
        <f>SUMPRODUCT((MONTH(CHOOSE({1,2,3,4},TTSSKĐ!U220,TTSSKĐ!AA220,TTSSKĐ!AG220,TTSSKĐ!AM220))=8)*(CHOOSE({1,2,3,4},TTSSKĐ!X220,TTSSKĐ!AD220,TTSSKĐ!AJ220,TTSSKĐ!AP220)))</f>
        <v>0</v>
      </c>
      <c r="I220">
        <f>SUMPRODUCT((MONTH(CHOOSE({1,2,3,4},TTSSKĐ!U220,TTSSKĐ!AA220,TTSSKĐ!AG220,TTSSKĐ!AM220))=9)*(CHOOSE({1,2,3,4},TTSSKĐ!X220,TTSSKĐ!AD220,TTSSKĐ!AJ220,TTSSKĐ!AP220)))</f>
        <v>0</v>
      </c>
      <c r="J220">
        <f>SUMPRODUCT((MONTH(CHOOSE({1,2,3,4},TTSSKĐ!U220,TTSSKĐ!AA220,TTSSKĐ!AG220,TTSSKĐ!AM220))=10)*(CHOOSE({1,2,3,4},TTSSKĐ!X220,TTSSKĐ!AD220,TTSSKĐ!AJ220,TTSSKĐ!AP220)))</f>
        <v>0</v>
      </c>
      <c r="K220">
        <f>SUMPRODUCT((MONTH(CHOOSE({1,2,3,4},TTSSKĐ!U220,TTSSKĐ!AA220,TTSSKĐ!AG220,TTSSKĐ!AM220))=11)*(CHOOSE({1,2,3,4},TTSSKĐ!X220,TTSSKĐ!AD220,TTSSKĐ!AJ220,TTSSKĐ!AP220)))</f>
        <v>0</v>
      </c>
      <c r="L220">
        <f>SUMPRODUCT((MONTH(CHOOSE({1,2,3,4},TTSSKĐ!U220,TTSSKĐ!AA220,TTSSKĐ!AG220,TTSSKĐ!AM220))=12)*(CHOOSE({1,2,3,4},TTSSKĐ!X220,TTSSKĐ!AD220,TTSSKĐ!AJ220,TTSSKĐ!AP220)))</f>
        <v>0</v>
      </c>
    </row>
    <row r="221" spans="1:12">
      <c r="A221">
        <f>SUMPRODUCT((MONTH(CHOOSE({1,2,3,4},TTSSKĐ!U221,TTSSKĐ!AA221,TTSSKĐ!AG221,TTSSKĐ!AM221))=1)*(CHOOSE({1,2,3,4},TTSSKĐ!X221,TTSSKĐ!AD221,TTSSKĐ!AJ221,TTSSKĐ!AP221)))</f>
        <v>0</v>
      </c>
      <c r="B221">
        <f>SUMPRODUCT((MONTH(CHOOSE({1,2,3,4},TTSSKĐ!U221,TTSSKĐ!AA221,TTSSKĐ!AG221,TTSSKĐ!AM221))=2)*(CHOOSE({1,2,3,4},TTSSKĐ!X221,TTSSKĐ!AD221,TTSSKĐ!AJ221,TTSSKĐ!AP221)))</f>
        <v>0</v>
      </c>
      <c r="C221">
        <f>SUMPRODUCT((MONTH(CHOOSE({1,2,3,4},TTSSKĐ!U221,TTSSKĐ!AA221,TTSSKĐ!AG221,TTSSKĐ!AM221))=3)*(CHOOSE({1,2,3,4},TTSSKĐ!X221,TTSSKĐ!AD221,TTSSKĐ!AJ221,TTSSKĐ!AP221)))</f>
        <v>0</v>
      </c>
      <c r="D221">
        <f>SUMPRODUCT((MONTH(CHOOSE({1,2,3,4},TTSSKĐ!U221,TTSSKĐ!AA221,TTSSKĐ!AG221,TTSSKĐ!AM221))=4)*(CHOOSE({1,2,3,4},TTSSKĐ!X221,TTSSKĐ!AD221,TTSSKĐ!AJ221,TTSSKĐ!AP221)))</f>
        <v>0</v>
      </c>
      <c r="E221">
        <f>SUMPRODUCT((MONTH(CHOOSE({1,2,3,4},TTSSKĐ!U221,TTSSKĐ!AA221,TTSSKĐ!AG221,TTSSKĐ!AM221))=5)*(CHOOSE({1,2,3,4},TTSSKĐ!X221,TTSSKĐ!AD221,TTSSKĐ!AJ221,TTSSKĐ!AP221)))</f>
        <v>0</v>
      </c>
      <c r="F221">
        <f>SUMPRODUCT((MONTH(CHOOSE({1,2,3,4},TTSSKĐ!U221,TTSSKĐ!AA221,TTSSKĐ!AG221,TTSSKĐ!AM221))=6)*(CHOOSE({1,2,3,4},TTSSKĐ!X221,TTSSKĐ!AD221,TTSSKĐ!AJ221,TTSSKĐ!AP221)))</f>
        <v>0</v>
      </c>
      <c r="G221">
        <f>SUMPRODUCT((MONTH(CHOOSE({1,2,3,4},TTSSKĐ!U221,TTSSKĐ!AA221,TTSSKĐ!AG221,TTSSKĐ!AM221))=7)*(CHOOSE({1,2,3,4},TTSSKĐ!X221,TTSSKĐ!AD221,TTSSKĐ!AJ221,TTSSKĐ!AP221)))</f>
        <v>0</v>
      </c>
      <c r="H221">
        <f>SUMPRODUCT((MONTH(CHOOSE({1,2,3,4},TTSSKĐ!U221,TTSSKĐ!AA221,TTSSKĐ!AG221,TTSSKĐ!AM221))=8)*(CHOOSE({1,2,3,4},TTSSKĐ!X221,TTSSKĐ!AD221,TTSSKĐ!AJ221,TTSSKĐ!AP221)))</f>
        <v>0</v>
      </c>
      <c r="I221">
        <f>SUMPRODUCT((MONTH(CHOOSE({1,2,3,4},TTSSKĐ!U221,TTSSKĐ!AA221,TTSSKĐ!AG221,TTSSKĐ!AM221))=9)*(CHOOSE({1,2,3,4},TTSSKĐ!X221,TTSSKĐ!AD221,TTSSKĐ!AJ221,TTSSKĐ!AP221)))</f>
        <v>0</v>
      </c>
      <c r="J221">
        <f>SUMPRODUCT((MONTH(CHOOSE({1,2,3,4},TTSSKĐ!U221,TTSSKĐ!AA221,TTSSKĐ!AG221,TTSSKĐ!AM221))=10)*(CHOOSE({1,2,3,4},TTSSKĐ!X221,TTSSKĐ!AD221,TTSSKĐ!AJ221,TTSSKĐ!AP221)))</f>
        <v>0</v>
      </c>
      <c r="K221">
        <f>SUMPRODUCT((MONTH(CHOOSE({1,2,3,4},TTSSKĐ!U221,TTSSKĐ!AA221,TTSSKĐ!AG221,TTSSKĐ!AM221))=11)*(CHOOSE({1,2,3,4},TTSSKĐ!X221,TTSSKĐ!AD221,TTSSKĐ!AJ221,TTSSKĐ!AP221)))</f>
        <v>0</v>
      </c>
      <c r="L221">
        <f>SUMPRODUCT((MONTH(CHOOSE({1,2,3,4},TTSSKĐ!U221,TTSSKĐ!AA221,TTSSKĐ!AG221,TTSSKĐ!AM221))=12)*(CHOOSE({1,2,3,4},TTSSKĐ!X221,TTSSKĐ!AD221,TTSSKĐ!AJ221,TTSSKĐ!AP221)))</f>
        <v>0</v>
      </c>
    </row>
    <row r="222" spans="1:12">
      <c r="A222">
        <f>SUMPRODUCT((MONTH(CHOOSE({1,2,3,4},TTSSKĐ!U222,TTSSKĐ!AA222,TTSSKĐ!AG222,TTSSKĐ!AM222))=1)*(CHOOSE({1,2,3,4},TTSSKĐ!X222,TTSSKĐ!AD222,TTSSKĐ!AJ222,TTSSKĐ!AP222)))</f>
        <v>0</v>
      </c>
      <c r="B222">
        <f>SUMPRODUCT((MONTH(CHOOSE({1,2,3,4},TTSSKĐ!U222,TTSSKĐ!AA222,TTSSKĐ!AG222,TTSSKĐ!AM222))=2)*(CHOOSE({1,2,3,4},TTSSKĐ!X222,TTSSKĐ!AD222,TTSSKĐ!AJ222,TTSSKĐ!AP222)))</f>
        <v>0</v>
      </c>
      <c r="C222">
        <f>SUMPRODUCT((MONTH(CHOOSE({1,2,3,4},TTSSKĐ!U222,TTSSKĐ!AA222,TTSSKĐ!AG222,TTSSKĐ!AM222))=3)*(CHOOSE({1,2,3,4},TTSSKĐ!X222,TTSSKĐ!AD222,TTSSKĐ!AJ222,TTSSKĐ!AP222)))</f>
        <v>0</v>
      </c>
      <c r="D222">
        <f>SUMPRODUCT((MONTH(CHOOSE({1,2,3,4},TTSSKĐ!U222,TTSSKĐ!AA222,TTSSKĐ!AG222,TTSSKĐ!AM222))=4)*(CHOOSE({1,2,3,4},TTSSKĐ!X222,TTSSKĐ!AD222,TTSSKĐ!AJ222,TTSSKĐ!AP222)))</f>
        <v>0</v>
      </c>
      <c r="E222">
        <f>SUMPRODUCT((MONTH(CHOOSE({1,2,3,4},TTSSKĐ!U222,TTSSKĐ!AA222,TTSSKĐ!AG222,TTSSKĐ!AM222))=5)*(CHOOSE({1,2,3,4},TTSSKĐ!X222,TTSSKĐ!AD222,TTSSKĐ!AJ222,TTSSKĐ!AP222)))</f>
        <v>0</v>
      </c>
      <c r="F222">
        <f>SUMPRODUCT((MONTH(CHOOSE({1,2,3,4},TTSSKĐ!U222,TTSSKĐ!AA222,TTSSKĐ!AG222,TTSSKĐ!AM222))=6)*(CHOOSE({1,2,3,4},TTSSKĐ!X222,TTSSKĐ!AD222,TTSSKĐ!AJ222,TTSSKĐ!AP222)))</f>
        <v>0</v>
      </c>
      <c r="G222">
        <f>SUMPRODUCT((MONTH(CHOOSE({1,2,3,4},TTSSKĐ!U222,TTSSKĐ!AA222,TTSSKĐ!AG222,TTSSKĐ!AM222))=7)*(CHOOSE({1,2,3,4},TTSSKĐ!X222,TTSSKĐ!AD222,TTSSKĐ!AJ222,TTSSKĐ!AP222)))</f>
        <v>0</v>
      </c>
      <c r="H222">
        <f>SUMPRODUCT((MONTH(CHOOSE({1,2,3,4},TTSSKĐ!U222,TTSSKĐ!AA222,TTSSKĐ!AG222,TTSSKĐ!AM222))=8)*(CHOOSE({1,2,3,4},TTSSKĐ!X222,TTSSKĐ!AD222,TTSSKĐ!AJ222,TTSSKĐ!AP222)))</f>
        <v>0</v>
      </c>
      <c r="I222">
        <f>SUMPRODUCT((MONTH(CHOOSE({1,2,3,4},TTSSKĐ!U222,TTSSKĐ!AA222,TTSSKĐ!AG222,TTSSKĐ!AM222))=9)*(CHOOSE({1,2,3,4},TTSSKĐ!X222,TTSSKĐ!AD222,TTSSKĐ!AJ222,TTSSKĐ!AP222)))</f>
        <v>0</v>
      </c>
      <c r="J222">
        <f>SUMPRODUCT((MONTH(CHOOSE({1,2,3,4},TTSSKĐ!U222,TTSSKĐ!AA222,TTSSKĐ!AG222,TTSSKĐ!AM222))=10)*(CHOOSE({1,2,3,4},TTSSKĐ!X222,TTSSKĐ!AD222,TTSSKĐ!AJ222,TTSSKĐ!AP222)))</f>
        <v>0</v>
      </c>
      <c r="K222">
        <f>SUMPRODUCT((MONTH(CHOOSE({1,2,3,4},TTSSKĐ!U222,TTSSKĐ!AA222,TTSSKĐ!AG222,TTSSKĐ!AM222))=11)*(CHOOSE({1,2,3,4},TTSSKĐ!X222,TTSSKĐ!AD222,TTSSKĐ!AJ222,TTSSKĐ!AP222)))</f>
        <v>0</v>
      </c>
      <c r="L222">
        <f>SUMPRODUCT((MONTH(CHOOSE({1,2,3,4},TTSSKĐ!U222,TTSSKĐ!AA222,TTSSKĐ!AG222,TTSSKĐ!AM222))=12)*(CHOOSE({1,2,3,4},TTSSKĐ!X222,TTSSKĐ!AD222,TTSSKĐ!AJ222,TTSSKĐ!AP222)))</f>
        <v>0</v>
      </c>
    </row>
    <row r="223" spans="1:12">
      <c r="A223">
        <f>SUMPRODUCT((MONTH(CHOOSE({1,2,3,4},TTSSKĐ!U223,TTSSKĐ!AA223,TTSSKĐ!AG223,TTSSKĐ!AM223))=1)*(CHOOSE({1,2,3,4},TTSSKĐ!X223,TTSSKĐ!AD223,TTSSKĐ!AJ223,TTSSKĐ!AP223)))</f>
        <v>0</v>
      </c>
      <c r="B223">
        <f>SUMPRODUCT((MONTH(CHOOSE({1,2,3,4},TTSSKĐ!U223,TTSSKĐ!AA223,TTSSKĐ!AG223,TTSSKĐ!AM223))=2)*(CHOOSE({1,2,3,4},TTSSKĐ!X223,TTSSKĐ!AD223,TTSSKĐ!AJ223,TTSSKĐ!AP223)))</f>
        <v>0</v>
      </c>
      <c r="C223">
        <f>SUMPRODUCT((MONTH(CHOOSE({1,2,3,4},TTSSKĐ!U223,TTSSKĐ!AA223,TTSSKĐ!AG223,TTSSKĐ!AM223))=3)*(CHOOSE({1,2,3,4},TTSSKĐ!X223,TTSSKĐ!AD223,TTSSKĐ!AJ223,TTSSKĐ!AP223)))</f>
        <v>0</v>
      </c>
      <c r="D223">
        <f>SUMPRODUCT((MONTH(CHOOSE({1,2,3,4},TTSSKĐ!U223,TTSSKĐ!AA223,TTSSKĐ!AG223,TTSSKĐ!AM223))=4)*(CHOOSE({1,2,3,4},TTSSKĐ!X223,TTSSKĐ!AD223,TTSSKĐ!AJ223,TTSSKĐ!AP223)))</f>
        <v>0</v>
      </c>
      <c r="E223">
        <f>SUMPRODUCT((MONTH(CHOOSE({1,2,3,4},TTSSKĐ!U223,TTSSKĐ!AA223,TTSSKĐ!AG223,TTSSKĐ!AM223))=5)*(CHOOSE({1,2,3,4},TTSSKĐ!X223,TTSSKĐ!AD223,TTSSKĐ!AJ223,TTSSKĐ!AP223)))</f>
        <v>0</v>
      </c>
      <c r="F223">
        <f>SUMPRODUCT((MONTH(CHOOSE({1,2,3,4},TTSSKĐ!U223,TTSSKĐ!AA223,TTSSKĐ!AG223,TTSSKĐ!AM223))=6)*(CHOOSE({1,2,3,4},TTSSKĐ!X223,TTSSKĐ!AD223,TTSSKĐ!AJ223,TTSSKĐ!AP223)))</f>
        <v>0</v>
      </c>
      <c r="G223">
        <f>SUMPRODUCT((MONTH(CHOOSE({1,2,3,4},TTSSKĐ!U223,TTSSKĐ!AA223,TTSSKĐ!AG223,TTSSKĐ!AM223))=7)*(CHOOSE({1,2,3,4},TTSSKĐ!X223,TTSSKĐ!AD223,TTSSKĐ!AJ223,TTSSKĐ!AP223)))</f>
        <v>0</v>
      </c>
      <c r="H223">
        <f>SUMPRODUCT((MONTH(CHOOSE({1,2,3,4},TTSSKĐ!U223,TTSSKĐ!AA223,TTSSKĐ!AG223,TTSSKĐ!AM223))=8)*(CHOOSE({1,2,3,4},TTSSKĐ!X223,TTSSKĐ!AD223,TTSSKĐ!AJ223,TTSSKĐ!AP223)))</f>
        <v>0</v>
      </c>
      <c r="I223">
        <f>SUMPRODUCT((MONTH(CHOOSE({1,2,3,4},TTSSKĐ!U223,TTSSKĐ!AA223,TTSSKĐ!AG223,TTSSKĐ!AM223))=9)*(CHOOSE({1,2,3,4},TTSSKĐ!X223,TTSSKĐ!AD223,TTSSKĐ!AJ223,TTSSKĐ!AP223)))</f>
        <v>0</v>
      </c>
      <c r="J223">
        <f>SUMPRODUCT((MONTH(CHOOSE({1,2,3,4},TTSSKĐ!U223,TTSSKĐ!AA223,TTSSKĐ!AG223,TTSSKĐ!AM223))=10)*(CHOOSE({1,2,3,4},TTSSKĐ!X223,TTSSKĐ!AD223,TTSSKĐ!AJ223,TTSSKĐ!AP223)))</f>
        <v>0</v>
      </c>
      <c r="K223">
        <f>SUMPRODUCT((MONTH(CHOOSE({1,2,3,4},TTSSKĐ!U223,TTSSKĐ!AA223,TTSSKĐ!AG223,TTSSKĐ!AM223))=11)*(CHOOSE({1,2,3,4},TTSSKĐ!X223,TTSSKĐ!AD223,TTSSKĐ!AJ223,TTSSKĐ!AP223)))</f>
        <v>0</v>
      </c>
      <c r="L223">
        <f>SUMPRODUCT((MONTH(CHOOSE({1,2,3,4},TTSSKĐ!U223,TTSSKĐ!AA223,TTSSKĐ!AG223,TTSSKĐ!AM223))=12)*(CHOOSE({1,2,3,4},TTSSKĐ!X223,TTSSKĐ!AD223,TTSSKĐ!AJ223,TTSSKĐ!AP223)))</f>
        <v>0</v>
      </c>
    </row>
    <row r="224" spans="1:12">
      <c r="A224">
        <f>SUMPRODUCT((MONTH(CHOOSE({1,2,3,4},TTSSKĐ!U224,TTSSKĐ!AA224,TTSSKĐ!AG224,TTSSKĐ!AM224))=1)*(CHOOSE({1,2,3,4},TTSSKĐ!X224,TTSSKĐ!AD224,TTSSKĐ!AJ224,TTSSKĐ!AP224)))</f>
        <v>0</v>
      </c>
      <c r="B224">
        <f>SUMPRODUCT((MONTH(CHOOSE({1,2,3,4},TTSSKĐ!U224,TTSSKĐ!AA224,TTSSKĐ!AG224,TTSSKĐ!AM224))=2)*(CHOOSE({1,2,3,4},TTSSKĐ!X224,TTSSKĐ!AD224,TTSSKĐ!AJ224,TTSSKĐ!AP224)))</f>
        <v>0</v>
      </c>
      <c r="C224">
        <f>SUMPRODUCT((MONTH(CHOOSE({1,2,3,4},TTSSKĐ!U224,TTSSKĐ!AA224,TTSSKĐ!AG224,TTSSKĐ!AM224))=3)*(CHOOSE({1,2,3,4},TTSSKĐ!X224,TTSSKĐ!AD224,TTSSKĐ!AJ224,TTSSKĐ!AP224)))</f>
        <v>0</v>
      </c>
      <c r="D224">
        <f>SUMPRODUCT((MONTH(CHOOSE({1,2,3,4},TTSSKĐ!U224,TTSSKĐ!AA224,TTSSKĐ!AG224,TTSSKĐ!AM224))=4)*(CHOOSE({1,2,3,4},TTSSKĐ!X224,TTSSKĐ!AD224,TTSSKĐ!AJ224,TTSSKĐ!AP224)))</f>
        <v>0</v>
      </c>
      <c r="E224">
        <f>SUMPRODUCT((MONTH(CHOOSE({1,2,3,4},TTSSKĐ!U224,TTSSKĐ!AA224,TTSSKĐ!AG224,TTSSKĐ!AM224))=5)*(CHOOSE({1,2,3,4},TTSSKĐ!X224,TTSSKĐ!AD224,TTSSKĐ!AJ224,TTSSKĐ!AP224)))</f>
        <v>0</v>
      </c>
      <c r="F224">
        <f>SUMPRODUCT((MONTH(CHOOSE({1,2,3,4},TTSSKĐ!U224,TTSSKĐ!AA224,TTSSKĐ!AG224,TTSSKĐ!AM224))=6)*(CHOOSE({1,2,3,4},TTSSKĐ!X224,TTSSKĐ!AD224,TTSSKĐ!AJ224,TTSSKĐ!AP224)))</f>
        <v>0</v>
      </c>
      <c r="G224">
        <f>SUMPRODUCT((MONTH(CHOOSE({1,2,3,4},TTSSKĐ!U224,TTSSKĐ!AA224,TTSSKĐ!AG224,TTSSKĐ!AM224))=7)*(CHOOSE({1,2,3,4},TTSSKĐ!X224,TTSSKĐ!AD224,TTSSKĐ!AJ224,TTSSKĐ!AP224)))</f>
        <v>0</v>
      </c>
      <c r="H224">
        <f>SUMPRODUCT((MONTH(CHOOSE({1,2,3,4},TTSSKĐ!U224,TTSSKĐ!AA224,TTSSKĐ!AG224,TTSSKĐ!AM224))=8)*(CHOOSE({1,2,3,4},TTSSKĐ!X224,TTSSKĐ!AD224,TTSSKĐ!AJ224,TTSSKĐ!AP224)))</f>
        <v>0</v>
      </c>
      <c r="I224">
        <f>SUMPRODUCT((MONTH(CHOOSE({1,2,3,4},TTSSKĐ!U224,TTSSKĐ!AA224,TTSSKĐ!AG224,TTSSKĐ!AM224))=9)*(CHOOSE({1,2,3,4},TTSSKĐ!X224,TTSSKĐ!AD224,TTSSKĐ!AJ224,TTSSKĐ!AP224)))</f>
        <v>0</v>
      </c>
      <c r="J224">
        <f>SUMPRODUCT((MONTH(CHOOSE({1,2,3,4},TTSSKĐ!U224,TTSSKĐ!AA224,TTSSKĐ!AG224,TTSSKĐ!AM224))=10)*(CHOOSE({1,2,3,4},TTSSKĐ!X224,TTSSKĐ!AD224,TTSSKĐ!AJ224,TTSSKĐ!AP224)))</f>
        <v>0</v>
      </c>
      <c r="K224">
        <f>SUMPRODUCT((MONTH(CHOOSE({1,2,3,4},TTSSKĐ!U224,TTSSKĐ!AA224,TTSSKĐ!AG224,TTSSKĐ!AM224))=11)*(CHOOSE({1,2,3,4},TTSSKĐ!X224,TTSSKĐ!AD224,TTSSKĐ!AJ224,TTSSKĐ!AP224)))</f>
        <v>0</v>
      </c>
      <c r="L224">
        <f>SUMPRODUCT((MONTH(CHOOSE({1,2,3,4},TTSSKĐ!U224,TTSSKĐ!AA224,TTSSKĐ!AG224,TTSSKĐ!AM224))=12)*(CHOOSE({1,2,3,4},TTSSKĐ!X224,TTSSKĐ!AD224,TTSSKĐ!AJ224,TTSSKĐ!AP224)))</f>
        <v>0</v>
      </c>
    </row>
    <row r="225" spans="1:12">
      <c r="A225">
        <f>SUMPRODUCT((MONTH(CHOOSE({1,2,3,4},TTSSKĐ!U225,TTSSKĐ!AA225,TTSSKĐ!AG225,TTSSKĐ!AM225))=1)*(CHOOSE({1,2,3,4},TTSSKĐ!X225,TTSSKĐ!AD225,TTSSKĐ!AJ225,TTSSKĐ!AP225)))</f>
        <v>0</v>
      </c>
      <c r="B225">
        <f>SUMPRODUCT((MONTH(CHOOSE({1,2,3,4},TTSSKĐ!U225,TTSSKĐ!AA225,TTSSKĐ!AG225,TTSSKĐ!AM225))=2)*(CHOOSE({1,2,3,4},TTSSKĐ!X225,TTSSKĐ!AD225,TTSSKĐ!AJ225,TTSSKĐ!AP225)))</f>
        <v>0</v>
      </c>
      <c r="C225">
        <f>SUMPRODUCT((MONTH(CHOOSE({1,2,3,4},TTSSKĐ!U225,TTSSKĐ!AA225,TTSSKĐ!AG225,TTSSKĐ!AM225))=3)*(CHOOSE({1,2,3,4},TTSSKĐ!X225,TTSSKĐ!AD225,TTSSKĐ!AJ225,TTSSKĐ!AP225)))</f>
        <v>0</v>
      </c>
      <c r="D225">
        <f>SUMPRODUCT((MONTH(CHOOSE({1,2,3,4},TTSSKĐ!U225,TTSSKĐ!AA225,TTSSKĐ!AG225,TTSSKĐ!AM225))=4)*(CHOOSE({1,2,3,4},TTSSKĐ!X225,TTSSKĐ!AD225,TTSSKĐ!AJ225,TTSSKĐ!AP225)))</f>
        <v>0</v>
      </c>
      <c r="E225">
        <f>SUMPRODUCT((MONTH(CHOOSE({1,2,3,4},TTSSKĐ!U225,TTSSKĐ!AA225,TTSSKĐ!AG225,TTSSKĐ!AM225))=5)*(CHOOSE({1,2,3,4},TTSSKĐ!X225,TTSSKĐ!AD225,TTSSKĐ!AJ225,TTSSKĐ!AP225)))</f>
        <v>0</v>
      </c>
      <c r="F225">
        <f>SUMPRODUCT((MONTH(CHOOSE({1,2,3,4},TTSSKĐ!U225,TTSSKĐ!AA225,TTSSKĐ!AG225,TTSSKĐ!AM225))=6)*(CHOOSE({1,2,3,4},TTSSKĐ!X225,TTSSKĐ!AD225,TTSSKĐ!AJ225,TTSSKĐ!AP225)))</f>
        <v>0</v>
      </c>
      <c r="G225">
        <f>SUMPRODUCT((MONTH(CHOOSE({1,2,3,4},TTSSKĐ!U225,TTSSKĐ!AA225,TTSSKĐ!AG225,TTSSKĐ!AM225))=7)*(CHOOSE({1,2,3,4},TTSSKĐ!X225,TTSSKĐ!AD225,TTSSKĐ!AJ225,TTSSKĐ!AP225)))</f>
        <v>0</v>
      </c>
      <c r="H225">
        <f>SUMPRODUCT((MONTH(CHOOSE({1,2,3,4},TTSSKĐ!U225,TTSSKĐ!AA225,TTSSKĐ!AG225,TTSSKĐ!AM225))=8)*(CHOOSE({1,2,3,4},TTSSKĐ!X225,TTSSKĐ!AD225,TTSSKĐ!AJ225,TTSSKĐ!AP225)))</f>
        <v>0</v>
      </c>
      <c r="I225">
        <f>SUMPRODUCT((MONTH(CHOOSE({1,2,3,4},TTSSKĐ!U225,TTSSKĐ!AA225,TTSSKĐ!AG225,TTSSKĐ!AM225))=9)*(CHOOSE({1,2,3,4},TTSSKĐ!X225,TTSSKĐ!AD225,TTSSKĐ!AJ225,TTSSKĐ!AP225)))</f>
        <v>0</v>
      </c>
      <c r="J225">
        <f>SUMPRODUCT((MONTH(CHOOSE({1,2,3,4},TTSSKĐ!U225,TTSSKĐ!AA225,TTSSKĐ!AG225,TTSSKĐ!AM225))=10)*(CHOOSE({1,2,3,4},TTSSKĐ!X225,TTSSKĐ!AD225,TTSSKĐ!AJ225,TTSSKĐ!AP225)))</f>
        <v>0</v>
      </c>
      <c r="K225">
        <f>SUMPRODUCT((MONTH(CHOOSE({1,2,3,4},TTSSKĐ!U225,TTSSKĐ!AA225,TTSSKĐ!AG225,TTSSKĐ!AM225))=11)*(CHOOSE({1,2,3,4},TTSSKĐ!X225,TTSSKĐ!AD225,TTSSKĐ!AJ225,TTSSKĐ!AP225)))</f>
        <v>0</v>
      </c>
      <c r="L225">
        <f>SUMPRODUCT((MONTH(CHOOSE({1,2,3,4},TTSSKĐ!U225,TTSSKĐ!AA225,TTSSKĐ!AG225,TTSSKĐ!AM225))=12)*(CHOOSE({1,2,3,4},TTSSKĐ!X225,TTSSKĐ!AD225,TTSSKĐ!AJ225,TTSSKĐ!AP225)))</f>
        <v>0</v>
      </c>
    </row>
    <row r="226" spans="1:12">
      <c r="A226">
        <f>SUMPRODUCT((MONTH(CHOOSE({1,2,3,4},TTSSKĐ!U226,TTSSKĐ!AA226,TTSSKĐ!AG226,TTSSKĐ!AM226))=1)*(CHOOSE({1,2,3,4},TTSSKĐ!X226,TTSSKĐ!AD226,TTSSKĐ!AJ226,TTSSKĐ!AP226)))</f>
        <v>0</v>
      </c>
      <c r="B226">
        <f>SUMPRODUCT((MONTH(CHOOSE({1,2,3,4},TTSSKĐ!U226,TTSSKĐ!AA226,TTSSKĐ!AG226,TTSSKĐ!AM226))=2)*(CHOOSE({1,2,3,4},TTSSKĐ!X226,TTSSKĐ!AD226,TTSSKĐ!AJ226,TTSSKĐ!AP226)))</f>
        <v>0</v>
      </c>
      <c r="C226">
        <f>SUMPRODUCT((MONTH(CHOOSE({1,2,3,4},TTSSKĐ!U226,TTSSKĐ!AA226,TTSSKĐ!AG226,TTSSKĐ!AM226))=3)*(CHOOSE({1,2,3,4},TTSSKĐ!X226,TTSSKĐ!AD226,TTSSKĐ!AJ226,TTSSKĐ!AP226)))</f>
        <v>0</v>
      </c>
      <c r="D226">
        <f>SUMPRODUCT((MONTH(CHOOSE({1,2,3,4},TTSSKĐ!U226,TTSSKĐ!AA226,TTSSKĐ!AG226,TTSSKĐ!AM226))=4)*(CHOOSE({1,2,3,4},TTSSKĐ!X226,TTSSKĐ!AD226,TTSSKĐ!AJ226,TTSSKĐ!AP226)))</f>
        <v>0</v>
      </c>
      <c r="E226">
        <f>SUMPRODUCT((MONTH(CHOOSE({1,2,3,4},TTSSKĐ!U226,TTSSKĐ!AA226,TTSSKĐ!AG226,TTSSKĐ!AM226))=5)*(CHOOSE({1,2,3,4},TTSSKĐ!X226,TTSSKĐ!AD226,TTSSKĐ!AJ226,TTSSKĐ!AP226)))</f>
        <v>0</v>
      </c>
      <c r="F226">
        <f>SUMPRODUCT((MONTH(CHOOSE({1,2,3,4},TTSSKĐ!U226,TTSSKĐ!AA226,TTSSKĐ!AG226,TTSSKĐ!AM226))=6)*(CHOOSE({1,2,3,4},TTSSKĐ!X226,TTSSKĐ!AD226,TTSSKĐ!AJ226,TTSSKĐ!AP226)))</f>
        <v>0</v>
      </c>
      <c r="G226">
        <f>SUMPRODUCT((MONTH(CHOOSE({1,2,3,4},TTSSKĐ!U226,TTSSKĐ!AA226,TTSSKĐ!AG226,TTSSKĐ!AM226))=7)*(CHOOSE({1,2,3,4},TTSSKĐ!X226,TTSSKĐ!AD226,TTSSKĐ!AJ226,TTSSKĐ!AP226)))</f>
        <v>0</v>
      </c>
      <c r="H226">
        <f>SUMPRODUCT((MONTH(CHOOSE({1,2,3,4},TTSSKĐ!U226,TTSSKĐ!AA226,TTSSKĐ!AG226,TTSSKĐ!AM226))=8)*(CHOOSE({1,2,3,4},TTSSKĐ!X226,TTSSKĐ!AD226,TTSSKĐ!AJ226,TTSSKĐ!AP226)))</f>
        <v>0</v>
      </c>
      <c r="I226">
        <f>SUMPRODUCT((MONTH(CHOOSE({1,2,3,4},TTSSKĐ!U226,TTSSKĐ!AA226,TTSSKĐ!AG226,TTSSKĐ!AM226))=9)*(CHOOSE({1,2,3,4},TTSSKĐ!X226,TTSSKĐ!AD226,TTSSKĐ!AJ226,TTSSKĐ!AP226)))</f>
        <v>0</v>
      </c>
      <c r="J226">
        <f>SUMPRODUCT((MONTH(CHOOSE({1,2,3,4},TTSSKĐ!U226,TTSSKĐ!AA226,TTSSKĐ!AG226,TTSSKĐ!AM226))=10)*(CHOOSE({1,2,3,4},TTSSKĐ!X226,TTSSKĐ!AD226,TTSSKĐ!AJ226,TTSSKĐ!AP226)))</f>
        <v>0</v>
      </c>
      <c r="K226">
        <f>SUMPRODUCT((MONTH(CHOOSE({1,2,3,4},TTSSKĐ!U226,TTSSKĐ!AA226,TTSSKĐ!AG226,TTSSKĐ!AM226))=11)*(CHOOSE({1,2,3,4},TTSSKĐ!X226,TTSSKĐ!AD226,TTSSKĐ!AJ226,TTSSKĐ!AP226)))</f>
        <v>0</v>
      </c>
      <c r="L226">
        <f>SUMPRODUCT((MONTH(CHOOSE({1,2,3,4},TTSSKĐ!U226,TTSSKĐ!AA226,TTSSKĐ!AG226,TTSSKĐ!AM226))=12)*(CHOOSE({1,2,3,4},TTSSKĐ!X226,TTSSKĐ!AD226,TTSSKĐ!AJ226,TTSSKĐ!AP226)))</f>
        <v>0</v>
      </c>
    </row>
    <row r="227" spans="1:12">
      <c r="A227">
        <f>SUMPRODUCT((MONTH(CHOOSE({1,2,3,4},TTSSKĐ!U227,TTSSKĐ!AA227,TTSSKĐ!AG227,TTSSKĐ!AM227))=1)*(CHOOSE({1,2,3,4},TTSSKĐ!X227,TTSSKĐ!AD227,TTSSKĐ!AJ227,TTSSKĐ!AP227)))</f>
        <v>0</v>
      </c>
      <c r="B227">
        <f>SUMPRODUCT((MONTH(CHOOSE({1,2,3,4},TTSSKĐ!U227,TTSSKĐ!AA227,TTSSKĐ!AG227,TTSSKĐ!AM227))=2)*(CHOOSE({1,2,3,4},TTSSKĐ!X227,TTSSKĐ!AD227,TTSSKĐ!AJ227,TTSSKĐ!AP227)))</f>
        <v>0</v>
      </c>
      <c r="C227">
        <f>SUMPRODUCT((MONTH(CHOOSE({1,2,3,4},TTSSKĐ!U227,TTSSKĐ!AA227,TTSSKĐ!AG227,TTSSKĐ!AM227))=3)*(CHOOSE({1,2,3,4},TTSSKĐ!X227,TTSSKĐ!AD227,TTSSKĐ!AJ227,TTSSKĐ!AP227)))</f>
        <v>0</v>
      </c>
      <c r="D227">
        <f>SUMPRODUCT((MONTH(CHOOSE({1,2,3,4},TTSSKĐ!U227,TTSSKĐ!AA227,TTSSKĐ!AG227,TTSSKĐ!AM227))=4)*(CHOOSE({1,2,3,4},TTSSKĐ!X227,TTSSKĐ!AD227,TTSSKĐ!AJ227,TTSSKĐ!AP227)))</f>
        <v>0</v>
      </c>
      <c r="E227">
        <f>SUMPRODUCT((MONTH(CHOOSE({1,2,3,4},TTSSKĐ!U227,TTSSKĐ!AA227,TTSSKĐ!AG227,TTSSKĐ!AM227))=5)*(CHOOSE({1,2,3,4},TTSSKĐ!X227,TTSSKĐ!AD227,TTSSKĐ!AJ227,TTSSKĐ!AP227)))</f>
        <v>0</v>
      </c>
      <c r="F227">
        <f>SUMPRODUCT((MONTH(CHOOSE({1,2,3,4},TTSSKĐ!U227,TTSSKĐ!AA227,TTSSKĐ!AG227,TTSSKĐ!AM227))=6)*(CHOOSE({1,2,3,4},TTSSKĐ!X227,TTSSKĐ!AD227,TTSSKĐ!AJ227,TTSSKĐ!AP227)))</f>
        <v>0</v>
      </c>
      <c r="G227">
        <f>SUMPRODUCT((MONTH(CHOOSE({1,2,3,4},TTSSKĐ!U227,TTSSKĐ!AA227,TTSSKĐ!AG227,TTSSKĐ!AM227))=7)*(CHOOSE({1,2,3,4},TTSSKĐ!X227,TTSSKĐ!AD227,TTSSKĐ!AJ227,TTSSKĐ!AP227)))</f>
        <v>0</v>
      </c>
      <c r="H227">
        <f>SUMPRODUCT((MONTH(CHOOSE({1,2,3,4},TTSSKĐ!U227,TTSSKĐ!AA227,TTSSKĐ!AG227,TTSSKĐ!AM227))=8)*(CHOOSE({1,2,3,4},TTSSKĐ!X227,TTSSKĐ!AD227,TTSSKĐ!AJ227,TTSSKĐ!AP227)))</f>
        <v>0</v>
      </c>
      <c r="I227">
        <f>SUMPRODUCT((MONTH(CHOOSE({1,2,3,4},TTSSKĐ!U227,TTSSKĐ!AA227,TTSSKĐ!AG227,TTSSKĐ!AM227))=9)*(CHOOSE({1,2,3,4},TTSSKĐ!X227,TTSSKĐ!AD227,TTSSKĐ!AJ227,TTSSKĐ!AP227)))</f>
        <v>0</v>
      </c>
      <c r="J227">
        <f>SUMPRODUCT((MONTH(CHOOSE({1,2,3,4},TTSSKĐ!U227,TTSSKĐ!AA227,TTSSKĐ!AG227,TTSSKĐ!AM227))=10)*(CHOOSE({1,2,3,4},TTSSKĐ!X227,TTSSKĐ!AD227,TTSSKĐ!AJ227,TTSSKĐ!AP227)))</f>
        <v>0</v>
      </c>
      <c r="K227">
        <f>SUMPRODUCT((MONTH(CHOOSE({1,2,3,4},TTSSKĐ!U227,TTSSKĐ!AA227,TTSSKĐ!AG227,TTSSKĐ!AM227))=11)*(CHOOSE({1,2,3,4},TTSSKĐ!X227,TTSSKĐ!AD227,TTSSKĐ!AJ227,TTSSKĐ!AP227)))</f>
        <v>0</v>
      </c>
      <c r="L227">
        <f>SUMPRODUCT((MONTH(CHOOSE({1,2,3,4},TTSSKĐ!U227,TTSSKĐ!AA227,TTSSKĐ!AG227,TTSSKĐ!AM227))=12)*(CHOOSE({1,2,3,4},TTSSKĐ!X227,TTSSKĐ!AD227,TTSSKĐ!AJ227,TTSSKĐ!AP227)))</f>
        <v>0</v>
      </c>
    </row>
    <row r="228" spans="1:12">
      <c r="A228">
        <f>SUMPRODUCT((MONTH(CHOOSE({1,2,3,4},TTSSKĐ!U228,TTSSKĐ!AA228,TTSSKĐ!AG228,TTSSKĐ!AM228))=1)*(CHOOSE({1,2,3,4},TTSSKĐ!X228,TTSSKĐ!AD228,TTSSKĐ!AJ228,TTSSKĐ!AP228)))</f>
        <v>0</v>
      </c>
      <c r="B228">
        <f>SUMPRODUCT((MONTH(CHOOSE({1,2,3,4},TTSSKĐ!U228,TTSSKĐ!AA228,TTSSKĐ!AG228,TTSSKĐ!AM228))=2)*(CHOOSE({1,2,3,4},TTSSKĐ!X228,TTSSKĐ!AD228,TTSSKĐ!AJ228,TTSSKĐ!AP228)))</f>
        <v>0</v>
      </c>
      <c r="C228">
        <f>SUMPRODUCT((MONTH(CHOOSE({1,2,3,4},TTSSKĐ!U228,TTSSKĐ!AA228,TTSSKĐ!AG228,TTSSKĐ!AM228))=3)*(CHOOSE({1,2,3,4},TTSSKĐ!X228,TTSSKĐ!AD228,TTSSKĐ!AJ228,TTSSKĐ!AP228)))</f>
        <v>0</v>
      </c>
      <c r="D228">
        <f>SUMPRODUCT((MONTH(CHOOSE({1,2,3,4},TTSSKĐ!U228,TTSSKĐ!AA228,TTSSKĐ!AG228,TTSSKĐ!AM228))=4)*(CHOOSE({1,2,3,4},TTSSKĐ!X228,TTSSKĐ!AD228,TTSSKĐ!AJ228,TTSSKĐ!AP228)))</f>
        <v>0</v>
      </c>
      <c r="E228">
        <f>SUMPRODUCT((MONTH(CHOOSE({1,2,3,4},TTSSKĐ!U228,TTSSKĐ!AA228,TTSSKĐ!AG228,TTSSKĐ!AM228))=5)*(CHOOSE({1,2,3,4},TTSSKĐ!X228,TTSSKĐ!AD228,TTSSKĐ!AJ228,TTSSKĐ!AP228)))</f>
        <v>0</v>
      </c>
      <c r="F228">
        <f>SUMPRODUCT((MONTH(CHOOSE({1,2,3,4},TTSSKĐ!U228,TTSSKĐ!AA228,TTSSKĐ!AG228,TTSSKĐ!AM228))=6)*(CHOOSE({1,2,3,4},TTSSKĐ!X228,TTSSKĐ!AD228,TTSSKĐ!AJ228,TTSSKĐ!AP228)))</f>
        <v>0</v>
      </c>
      <c r="G228">
        <f>SUMPRODUCT((MONTH(CHOOSE({1,2,3,4},TTSSKĐ!U228,TTSSKĐ!AA228,TTSSKĐ!AG228,TTSSKĐ!AM228))=7)*(CHOOSE({1,2,3,4},TTSSKĐ!X228,TTSSKĐ!AD228,TTSSKĐ!AJ228,TTSSKĐ!AP228)))</f>
        <v>0</v>
      </c>
      <c r="H228">
        <f>SUMPRODUCT((MONTH(CHOOSE({1,2,3,4},TTSSKĐ!U228,TTSSKĐ!AA228,TTSSKĐ!AG228,TTSSKĐ!AM228))=8)*(CHOOSE({1,2,3,4},TTSSKĐ!X228,TTSSKĐ!AD228,TTSSKĐ!AJ228,TTSSKĐ!AP228)))</f>
        <v>0</v>
      </c>
      <c r="I228">
        <f>SUMPRODUCT((MONTH(CHOOSE({1,2,3,4},TTSSKĐ!U228,TTSSKĐ!AA228,TTSSKĐ!AG228,TTSSKĐ!AM228))=9)*(CHOOSE({1,2,3,4},TTSSKĐ!X228,TTSSKĐ!AD228,TTSSKĐ!AJ228,TTSSKĐ!AP228)))</f>
        <v>0</v>
      </c>
      <c r="J228">
        <f>SUMPRODUCT((MONTH(CHOOSE({1,2,3,4},TTSSKĐ!U228,TTSSKĐ!AA228,TTSSKĐ!AG228,TTSSKĐ!AM228))=10)*(CHOOSE({1,2,3,4},TTSSKĐ!X228,TTSSKĐ!AD228,TTSSKĐ!AJ228,TTSSKĐ!AP228)))</f>
        <v>0</v>
      </c>
      <c r="K228">
        <f>SUMPRODUCT((MONTH(CHOOSE({1,2,3,4},TTSSKĐ!U228,TTSSKĐ!AA228,TTSSKĐ!AG228,TTSSKĐ!AM228))=11)*(CHOOSE({1,2,3,4},TTSSKĐ!X228,TTSSKĐ!AD228,TTSSKĐ!AJ228,TTSSKĐ!AP228)))</f>
        <v>0</v>
      </c>
      <c r="L228">
        <f>SUMPRODUCT((MONTH(CHOOSE({1,2,3,4},TTSSKĐ!U228,TTSSKĐ!AA228,TTSSKĐ!AG228,TTSSKĐ!AM228))=12)*(CHOOSE({1,2,3,4},TTSSKĐ!X228,TTSSKĐ!AD228,TTSSKĐ!AJ228,TTSSKĐ!AP228)))</f>
        <v>0</v>
      </c>
    </row>
    <row r="229" spans="1:12">
      <c r="A229">
        <f>SUMPRODUCT((MONTH(CHOOSE({1,2,3,4},TTSSKĐ!U229,TTSSKĐ!AA229,TTSSKĐ!AG229,TTSSKĐ!AM229))=1)*(CHOOSE({1,2,3,4},TTSSKĐ!X229,TTSSKĐ!AD229,TTSSKĐ!AJ229,TTSSKĐ!AP229)))</f>
        <v>0</v>
      </c>
      <c r="B229">
        <f>SUMPRODUCT((MONTH(CHOOSE({1,2,3,4},TTSSKĐ!U229,TTSSKĐ!AA229,TTSSKĐ!AG229,TTSSKĐ!AM229))=2)*(CHOOSE({1,2,3,4},TTSSKĐ!X229,TTSSKĐ!AD229,TTSSKĐ!AJ229,TTSSKĐ!AP229)))</f>
        <v>0</v>
      </c>
      <c r="C229">
        <f>SUMPRODUCT((MONTH(CHOOSE({1,2,3,4},TTSSKĐ!U229,TTSSKĐ!AA229,TTSSKĐ!AG229,TTSSKĐ!AM229))=3)*(CHOOSE({1,2,3,4},TTSSKĐ!X229,TTSSKĐ!AD229,TTSSKĐ!AJ229,TTSSKĐ!AP229)))</f>
        <v>0</v>
      </c>
      <c r="D229">
        <f>SUMPRODUCT((MONTH(CHOOSE({1,2,3,4},TTSSKĐ!U229,TTSSKĐ!AA229,TTSSKĐ!AG229,TTSSKĐ!AM229))=4)*(CHOOSE({1,2,3,4},TTSSKĐ!X229,TTSSKĐ!AD229,TTSSKĐ!AJ229,TTSSKĐ!AP229)))</f>
        <v>0</v>
      </c>
      <c r="E229">
        <f>SUMPRODUCT((MONTH(CHOOSE({1,2,3,4},TTSSKĐ!U229,TTSSKĐ!AA229,TTSSKĐ!AG229,TTSSKĐ!AM229))=5)*(CHOOSE({1,2,3,4},TTSSKĐ!X229,TTSSKĐ!AD229,TTSSKĐ!AJ229,TTSSKĐ!AP229)))</f>
        <v>0</v>
      </c>
      <c r="F229">
        <f>SUMPRODUCT((MONTH(CHOOSE({1,2,3,4},TTSSKĐ!U229,TTSSKĐ!AA229,TTSSKĐ!AG229,TTSSKĐ!AM229))=6)*(CHOOSE({1,2,3,4},TTSSKĐ!X229,TTSSKĐ!AD229,TTSSKĐ!AJ229,TTSSKĐ!AP229)))</f>
        <v>0</v>
      </c>
      <c r="G229">
        <f>SUMPRODUCT((MONTH(CHOOSE({1,2,3,4},TTSSKĐ!U229,TTSSKĐ!AA229,TTSSKĐ!AG229,TTSSKĐ!AM229))=7)*(CHOOSE({1,2,3,4},TTSSKĐ!X229,TTSSKĐ!AD229,TTSSKĐ!AJ229,TTSSKĐ!AP229)))</f>
        <v>0</v>
      </c>
      <c r="H229">
        <f>SUMPRODUCT((MONTH(CHOOSE({1,2,3,4},TTSSKĐ!U229,TTSSKĐ!AA229,TTSSKĐ!AG229,TTSSKĐ!AM229))=8)*(CHOOSE({1,2,3,4},TTSSKĐ!X229,TTSSKĐ!AD229,TTSSKĐ!AJ229,TTSSKĐ!AP229)))</f>
        <v>0</v>
      </c>
      <c r="I229">
        <f>SUMPRODUCT((MONTH(CHOOSE({1,2,3,4},TTSSKĐ!U229,TTSSKĐ!AA229,TTSSKĐ!AG229,TTSSKĐ!AM229))=9)*(CHOOSE({1,2,3,4},TTSSKĐ!X229,TTSSKĐ!AD229,TTSSKĐ!AJ229,TTSSKĐ!AP229)))</f>
        <v>0</v>
      </c>
      <c r="J229">
        <f>SUMPRODUCT((MONTH(CHOOSE({1,2,3,4},TTSSKĐ!U229,TTSSKĐ!AA229,TTSSKĐ!AG229,TTSSKĐ!AM229))=10)*(CHOOSE({1,2,3,4},TTSSKĐ!X229,TTSSKĐ!AD229,TTSSKĐ!AJ229,TTSSKĐ!AP229)))</f>
        <v>0</v>
      </c>
      <c r="K229">
        <f>SUMPRODUCT((MONTH(CHOOSE({1,2,3,4},TTSSKĐ!U229,TTSSKĐ!AA229,TTSSKĐ!AG229,TTSSKĐ!AM229))=11)*(CHOOSE({1,2,3,4},TTSSKĐ!X229,TTSSKĐ!AD229,TTSSKĐ!AJ229,TTSSKĐ!AP229)))</f>
        <v>0</v>
      </c>
      <c r="L229">
        <f>SUMPRODUCT((MONTH(CHOOSE({1,2,3,4},TTSSKĐ!U229,TTSSKĐ!AA229,TTSSKĐ!AG229,TTSSKĐ!AM229))=12)*(CHOOSE({1,2,3,4},TTSSKĐ!X229,TTSSKĐ!AD229,TTSSKĐ!AJ229,TTSSKĐ!AP229)))</f>
        <v>0</v>
      </c>
    </row>
    <row r="230" spans="1:12">
      <c r="A230">
        <f>SUMPRODUCT((MONTH(CHOOSE({1,2,3,4},TTSSKĐ!U230,TTSSKĐ!AA230,TTSSKĐ!AG230,TTSSKĐ!AM230))=1)*(CHOOSE({1,2,3,4},TTSSKĐ!X230,TTSSKĐ!AD230,TTSSKĐ!AJ230,TTSSKĐ!AP230)))</f>
        <v>0</v>
      </c>
      <c r="B230">
        <f>SUMPRODUCT((MONTH(CHOOSE({1,2,3,4},TTSSKĐ!U230,TTSSKĐ!AA230,TTSSKĐ!AG230,TTSSKĐ!AM230))=2)*(CHOOSE({1,2,3,4},TTSSKĐ!X230,TTSSKĐ!AD230,TTSSKĐ!AJ230,TTSSKĐ!AP230)))</f>
        <v>0</v>
      </c>
      <c r="C230">
        <f>SUMPRODUCT((MONTH(CHOOSE({1,2,3,4},TTSSKĐ!U230,TTSSKĐ!AA230,TTSSKĐ!AG230,TTSSKĐ!AM230))=3)*(CHOOSE({1,2,3,4},TTSSKĐ!X230,TTSSKĐ!AD230,TTSSKĐ!AJ230,TTSSKĐ!AP230)))</f>
        <v>0</v>
      </c>
      <c r="D230">
        <f>SUMPRODUCT((MONTH(CHOOSE({1,2,3,4},TTSSKĐ!U230,TTSSKĐ!AA230,TTSSKĐ!AG230,TTSSKĐ!AM230))=4)*(CHOOSE({1,2,3,4},TTSSKĐ!X230,TTSSKĐ!AD230,TTSSKĐ!AJ230,TTSSKĐ!AP230)))</f>
        <v>0</v>
      </c>
      <c r="E230">
        <f>SUMPRODUCT((MONTH(CHOOSE({1,2,3,4},TTSSKĐ!U230,TTSSKĐ!AA230,TTSSKĐ!AG230,TTSSKĐ!AM230))=5)*(CHOOSE({1,2,3,4},TTSSKĐ!X230,TTSSKĐ!AD230,TTSSKĐ!AJ230,TTSSKĐ!AP230)))</f>
        <v>0</v>
      </c>
      <c r="F230">
        <f>SUMPRODUCT((MONTH(CHOOSE({1,2,3,4},TTSSKĐ!U230,TTSSKĐ!AA230,TTSSKĐ!AG230,TTSSKĐ!AM230))=6)*(CHOOSE({1,2,3,4},TTSSKĐ!X230,TTSSKĐ!AD230,TTSSKĐ!AJ230,TTSSKĐ!AP230)))</f>
        <v>0</v>
      </c>
      <c r="G230">
        <f>SUMPRODUCT((MONTH(CHOOSE({1,2,3,4},TTSSKĐ!U230,TTSSKĐ!AA230,TTSSKĐ!AG230,TTSSKĐ!AM230))=7)*(CHOOSE({1,2,3,4},TTSSKĐ!X230,TTSSKĐ!AD230,TTSSKĐ!AJ230,TTSSKĐ!AP230)))</f>
        <v>0</v>
      </c>
      <c r="H230">
        <f>SUMPRODUCT((MONTH(CHOOSE({1,2,3,4},TTSSKĐ!U230,TTSSKĐ!AA230,TTSSKĐ!AG230,TTSSKĐ!AM230))=8)*(CHOOSE({1,2,3,4},TTSSKĐ!X230,TTSSKĐ!AD230,TTSSKĐ!AJ230,TTSSKĐ!AP230)))</f>
        <v>0</v>
      </c>
      <c r="I230">
        <f>SUMPRODUCT((MONTH(CHOOSE({1,2,3,4},TTSSKĐ!U230,TTSSKĐ!AA230,TTSSKĐ!AG230,TTSSKĐ!AM230))=9)*(CHOOSE({1,2,3,4},TTSSKĐ!X230,TTSSKĐ!AD230,TTSSKĐ!AJ230,TTSSKĐ!AP230)))</f>
        <v>0</v>
      </c>
      <c r="J230">
        <f>SUMPRODUCT((MONTH(CHOOSE({1,2,3,4},TTSSKĐ!U230,TTSSKĐ!AA230,TTSSKĐ!AG230,TTSSKĐ!AM230))=10)*(CHOOSE({1,2,3,4},TTSSKĐ!X230,TTSSKĐ!AD230,TTSSKĐ!AJ230,TTSSKĐ!AP230)))</f>
        <v>0</v>
      </c>
      <c r="K230">
        <f>SUMPRODUCT((MONTH(CHOOSE({1,2,3,4},TTSSKĐ!U230,TTSSKĐ!AA230,TTSSKĐ!AG230,TTSSKĐ!AM230))=11)*(CHOOSE({1,2,3,4},TTSSKĐ!X230,TTSSKĐ!AD230,TTSSKĐ!AJ230,TTSSKĐ!AP230)))</f>
        <v>0</v>
      </c>
      <c r="L230">
        <f>SUMPRODUCT((MONTH(CHOOSE({1,2,3,4},TTSSKĐ!U230,TTSSKĐ!AA230,TTSSKĐ!AG230,TTSSKĐ!AM230))=12)*(CHOOSE({1,2,3,4},TTSSKĐ!X230,TTSSKĐ!AD230,TTSSKĐ!AJ230,TTSSKĐ!AP230)))</f>
        <v>0</v>
      </c>
    </row>
    <row r="231" spans="1:12">
      <c r="A231">
        <f>SUMPRODUCT((MONTH(CHOOSE({1,2,3,4},TTSSKĐ!U231,TTSSKĐ!AA231,TTSSKĐ!AG231,TTSSKĐ!AM231))=1)*(CHOOSE({1,2,3,4},TTSSKĐ!X231,TTSSKĐ!AD231,TTSSKĐ!AJ231,TTSSKĐ!AP231)))</f>
        <v>0</v>
      </c>
      <c r="B231">
        <f>SUMPRODUCT((MONTH(CHOOSE({1,2,3,4},TTSSKĐ!U231,TTSSKĐ!AA231,TTSSKĐ!AG231,TTSSKĐ!AM231))=2)*(CHOOSE({1,2,3,4},TTSSKĐ!X231,TTSSKĐ!AD231,TTSSKĐ!AJ231,TTSSKĐ!AP231)))</f>
        <v>0</v>
      </c>
      <c r="C231">
        <f>SUMPRODUCT((MONTH(CHOOSE({1,2,3,4},TTSSKĐ!U231,TTSSKĐ!AA231,TTSSKĐ!AG231,TTSSKĐ!AM231))=3)*(CHOOSE({1,2,3,4},TTSSKĐ!X231,TTSSKĐ!AD231,TTSSKĐ!AJ231,TTSSKĐ!AP231)))</f>
        <v>0</v>
      </c>
      <c r="D231">
        <f>SUMPRODUCT((MONTH(CHOOSE({1,2,3,4},TTSSKĐ!U231,TTSSKĐ!AA231,TTSSKĐ!AG231,TTSSKĐ!AM231))=4)*(CHOOSE({1,2,3,4},TTSSKĐ!X231,TTSSKĐ!AD231,TTSSKĐ!AJ231,TTSSKĐ!AP231)))</f>
        <v>0</v>
      </c>
      <c r="E231">
        <f>SUMPRODUCT((MONTH(CHOOSE({1,2,3,4},TTSSKĐ!U231,TTSSKĐ!AA231,TTSSKĐ!AG231,TTSSKĐ!AM231))=5)*(CHOOSE({1,2,3,4},TTSSKĐ!X231,TTSSKĐ!AD231,TTSSKĐ!AJ231,TTSSKĐ!AP231)))</f>
        <v>0</v>
      </c>
      <c r="F231">
        <f>SUMPRODUCT((MONTH(CHOOSE({1,2,3,4},TTSSKĐ!U231,TTSSKĐ!AA231,TTSSKĐ!AG231,TTSSKĐ!AM231))=6)*(CHOOSE({1,2,3,4},TTSSKĐ!X231,TTSSKĐ!AD231,TTSSKĐ!AJ231,TTSSKĐ!AP231)))</f>
        <v>0</v>
      </c>
      <c r="G231">
        <f>SUMPRODUCT((MONTH(CHOOSE({1,2,3,4},TTSSKĐ!U231,TTSSKĐ!AA231,TTSSKĐ!AG231,TTSSKĐ!AM231))=7)*(CHOOSE({1,2,3,4},TTSSKĐ!X231,TTSSKĐ!AD231,TTSSKĐ!AJ231,TTSSKĐ!AP231)))</f>
        <v>0</v>
      </c>
      <c r="H231">
        <f>SUMPRODUCT((MONTH(CHOOSE({1,2,3,4},TTSSKĐ!U231,TTSSKĐ!AA231,TTSSKĐ!AG231,TTSSKĐ!AM231))=8)*(CHOOSE({1,2,3,4},TTSSKĐ!X231,TTSSKĐ!AD231,TTSSKĐ!AJ231,TTSSKĐ!AP231)))</f>
        <v>0</v>
      </c>
      <c r="I231">
        <f>SUMPRODUCT((MONTH(CHOOSE({1,2,3,4},TTSSKĐ!U231,TTSSKĐ!AA231,TTSSKĐ!AG231,TTSSKĐ!AM231))=9)*(CHOOSE({1,2,3,4},TTSSKĐ!X231,TTSSKĐ!AD231,TTSSKĐ!AJ231,TTSSKĐ!AP231)))</f>
        <v>0</v>
      </c>
      <c r="J231">
        <f>SUMPRODUCT((MONTH(CHOOSE({1,2,3,4},TTSSKĐ!U231,TTSSKĐ!AA231,TTSSKĐ!AG231,TTSSKĐ!AM231))=10)*(CHOOSE({1,2,3,4},TTSSKĐ!X231,TTSSKĐ!AD231,TTSSKĐ!AJ231,TTSSKĐ!AP231)))</f>
        <v>0</v>
      </c>
      <c r="K231">
        <f>SUMPRODUCT((MONTH(CHOOSE({1,2,3,4},TTSSKĐ!U231,TTSSKĐ!AA231,TTSSKĐ!AG231,TTSSKĐ!AM231))=11)*(CHOOSE({1,2,3,4},TTSSKĐ!X231,TTSSKĐ!AD231,TTSSKĐ!AJ231,TTSSKĐ!AP231)))</f>
        <v>0</v>
      </c>
      <c r="L231">
        <f>SUMPRODUCT((MONTH(CHOOSE({1,2,3,4},TTSSKĐ!U231,TTSSKĐ!AA231,TTSSKĐ!AG231,TTSSKĐ!AM231))=12)*(CHOOSE({1,2,3,4},TTSSKĐ!X231,TTSSKĐ!AD231,TTSSKĐ!AJ231,TTSSKĐ!AP231)))</f>
        <v>0</v>
      </c>
    </row>
    <row r="232" spans="1:12">
      <c r="A232">
        <f>SUMPRODUCT((MONTH(CHOOSE({1,2,3,4},TTSSKĐ!U232,TTSSKĐ!AA232,TTSSKĐ!AG232,TTSSKĐ!AM232))=1)*(CHOOSE({1,2,3,4},TTSSKĐ!X232,TTSSKĐ!AD232,TTSSKĐ!AJ232,TTSSKĐ!AP232)))</f>
        <v>0</v>
      </c>
      <c r="B232">
        <f>SUMPRODUCT((MONTH(CHOOSE({1,2,3,4},TTSSKĐ!U232,TTSSKĐ!AA232,TTSSKĐ!AG232,TTSSKĐ!AM232))=2)*(CHOOSE({1,2,3,4},TTSSKĐ!X232,TTSSKĐ!AD232,TTSSKĐ!AJ232,TTSSKĐ!AP232)))</f>
        <v>0</v>
      </c>
      <c r="C232">
        <f>SUMPRODUCT((MONTH(CHOOSE({1,2,3,4},TTSSKĐ!U232,TTSSKĐ!AA232,TTSSKĐ!AG232,TTSSKĐ!AM232))=3)*(CHOOSE({1,2,3,4},TTSSKĐ!X232,TTSSKĐ!AD232,TTSSKĐ!AJ232,TTSSKĐ!AP232)))</f>
        <v>0</v>
      </c>
      <c r="D232">
        <f>SUMPRODUCT((MONTH(CHOOSE({1,2,3,4},TTSSKĐ!U232,TTSSKĐ!AA232,TTSSKĐ!AG232,TTSSKĐ!AM232))=4)*(CHOOSE({1,2,3,4},TTSSKĐ!X232,TTSSKĐ!AD232,TTSSKĐ!AJ232,TTSSKĐ!AP232)))</f>
        <v>0</v>
      </c>
      <c r="E232">
        <f>SUMPRODUCT((MONTH(CHOOSE({1,2,3,4},TTSSKĐ!U232,TTSSKĐ!AA232,TTSSKĐ!AG232,TTSSKĐ!AM232))=5)*(CHOOSE({1,2,3,4},TTSSKĐ!X232,TTSSKĐ!AD232,TTSSKĐ!AJ232,TTSSKĐ!AP232)))</f>
        <v>0</v>
      </c>
      <c r="F232">
        <f>SUMPRODUCT((MONTH(CHOOSE({1,2,3,4},TTSSKĐ!U232,TTSSKĐ!AA232,TTSSKĐ!AG232,TTSSKĐ!AM232))=6)*(CHOOSE({1,2,3,4},TTSSKĐ!X232,TTSSKĐ!AD232,TTSSKĐ!AJ232,TTSSKĐ!AP232)))</f>
        <v>0</v>
      </c>
      <c r="G232">
        <f>SUMPRODUCT((MONTH(CHOOSE({1,2,3,4},TTSSKĐ!U232,TTSSKĐ!AA232,TTSSKĐ!AG232,TTSSKĐ!AM232))=7)*(CHOOSE({1,2,3,4},TTSSKĐ!X232,TTSSKĐ!AD232,TTSSKĐ!AJ232,TTSSKĐ!AP232)))</f>
        <v>0</v>
      </c>
      <c r="H232">
        <f>SUMPRODUCT((MONTH(CHOOSE({1,2,3,4},TTSSKĐ!U232,TTSSKĐ!AA232,TTSSKĐ!AG232,TTSSKĐ!AM232))=8)*(CHOOSE({1,2,3,4},TTSSKĐ!X232,TTSSKĐ!AD232,TTSSKĐ!AJ232,TTSSKĐ!AP232)))</f>
        <v>0</v>
      </c>
      <c r="I232">
        <f>SUMPRODUCT((MONTH(CHOOSE({1,2,3,4},TTSSKĐ!U232,TTSSKĐ!AA232,TTSSKĐ!AG232,TTSSKĐ!AM232))=9)*(CHOOSE({1,2,3,4},TTSSKĐ!X232,TTSSKĐ!AD232,TTSSKĐ!AJ232,TTSSKĐ!AP232)))</f>
        <v>0</v>
      </c>
      <c r="J232">
        <f>SUMPRODUCT((MONTH(CHOOSE({1,2,3,4},TTSSKĐ!U232,TTSSKĐ!AA232,TTSSKĐ!AG232,TTSSKĐ!AM232))=10)*(CHOOSE({1,2,3,4},TTSSKĐ!X232,TTSSKĐ!AD232,TTSSKĐ!AJ232,TTSSKĐ!AP232)))</f>
        <v>0</v>
      </c>
      <c r="K232">
        <f>SUMPRODUCT((MONTH(CHOOSE({1,2,3,4},TTSSKĐ!U232,TTSSKĐ!AA232,TTSSKĐ!AG232,TTSSKĐ!AM232))=11)*(CHOOSE({1,2,3,4},TTSSKĐ!X232,TTSSKĐ!AD232,TTSSKĐ!AJ232,TTSSKĐ!AP232)))</f>
        <v>0</v>
      </c>
      <c r="L232">
        <f>SUMPRODUCT((MONTH(CHOOSE({1,2,3,4},TTSSKĐ!U232,TTSSKĐ!AA232,TTSSKĐ!AG232,TTSSKĐ!AM232))=12)*(CHOOSE({1,2,3,4},TTSSKĐ!X232,TTSSKĐ!AD232,TTSSKĐ!AJ232,TTSSKĐ!AP232)))</f>
        <v>0</v>
      </c>
    </row>
    <row r="233" spans="1:12">
      <c r="A233">
        <f>SUMPRODUCT((MONTH(CHOOSE({1,2,3,4},TTSSKĐ!U233,TTSSKĐ!AA233,TTSSKĐ!AG233,TTSSKĐ!AM233))=1)*(CHOOSE({1,2,3,4},TTSSKĐ!X233,TTSSKĐ!AD233,TTSSKĐ!AJ233,TTSSKĐ!AP233)))</f>
        <v>0</v>
      </c>
      <c r="B233">
        <f>SUMPRODUCT((MONTH(CHOOSE({1,2,3,4},TTSSKĐ!U233,TTSSKĐ!AA233,TTSSKĐ!AG233,TTSSKĐ!AM233))=2)*(CHOOSE({1,2,3,4},TTSSKĐ!X233,TTSSKĐ!AD233,TTSSKĐ!AJ233,TTSSKĐ!AP233)))</f>
        <v>0</v>
      </c>
      <c r="C233">
        <f>SUMPRODUCT((MONTH(CHOOSE({1,2,3,4},TTSSKĐ!U233,TTSSKĐ!AA233,TTSSKĐ!AG233,TTSSKĐ!AM233))=3)*(CHOOSE({1,2,3,4},TTSSKĐ!X233,TTSSKĐ!AD233,TTSSKĐ!AJ233,TTSSKĐ!AP233)))</f>
        <v>0</v>
      </c>
      <c r="D233">
        <f>SUMPRODUCT((MONTH(CHOOSE({1,2,3,4},TTSSKĐ!U233,TTSSKĐ!AA233,TTSSKĐ!AG233,TTSSKĐ!AM233))=4)*(CHOOSE({1,2,3,4},TTSSKĐ!X233,TTSSKĐ!AD233,TTSSKĐ!AJ233,TTSSKĐ!AP233)))</f>
        <v>0</v>
      </c>
      <c r="E233">
        <f>SUMPRODUCT((MONTH(CHOOSE({1,2,3,4},TTSSKĐ!U233,TTSSKĐ!AA233,TTSSKĐ!AG233,TTSSKĐ!AM233))=5)*(CHOOSE({1,2,3,4},TTSSKĐ!X233,TTSSKĐ!AD233,TTSSKĐ!AJ233,TTSSKĐ!AP233)))</f>
        <v>0</v>
      </c>
      <c r="F233">
        <f>SUMPRODUCT((MONTH(CHOOSE({1,2,3,4},TTSSKĐ!U233,TTSSKĐ!AA233,TTSSKĐ!AG233,TTSSKĐ!AM233))=6)*(CHOOSE({1,2,3,4},TTSSKĐ!X233,TTSSKĐ!AD233,TTSSKĐ!AJ233,TTSSKĐ!AP233)))</f>
        <v>0</v>
      </c>
      <c r="G233">
        <f>SUMPRODUCT((MONTH(CHOOSE({1,2,3,4},TTSSKĐ!U233,TTSSKĐ!AA233,TTSSKĐ!AG233,TTSSKĐ!AM233))=7)*(CHOOSE({1,2,3,4},TTSSKĐ!X233,TTSSKĐ!AD233,TTSSKĐ!AJ233,TTSSKĐ!AP233)))</f>
        <v>0</v>
      </c>
      <c r="H233">
        <f>SUMPRODUCT((MONTH(CHOOSE({1,2,3,4},TTSSKĐ!U233,TTSSKĐ!AA233,TTSSKĐ!AG233,TTSSKĐ!AM233))=8)*(CHOOSE({1,2,3,4},TTSSKĐ!X233,TTSSKĐ!AD233,TTSSKĐ!AJ233,TTSSKĐ!AP233)))</f>
        <v>0</v>
      </c>
      <c r="I233">
        <f>SUMPRODUCT((MONTH(CHOOSE({1,2,3,4},TTSSKĐ!U233,TTSSKĐ!AA233,TTSSKĐ!AG233,TTSSKĐ!AM233))=9)*(CHOOSE({1,2,3,4},TTSSKĐ!X233,TTSSKĐ!AD233,TTSSKĐ!AJ233,TTSSKĐ!AP233)))</f>
        <v>0</v>
      </c>
      <c r="J233">
        <f>SUMPRODUCT((MONTH(CHOOSE({1,2,3,4},TTSSKĐ!U233,TTSSKĐ!AA233,TTSSKĐ!AG233,TTSSKĐ!AM233))=10)*(CHOOSE({1,2,3,4},TTSSKĐ!X233,TTSSKĐ!AD233,TTSSKĐ!AJ233,TTSSKĐ!AP233)))</f>
        <v>0</v>
      </c>
      <c r="K233">
        <f>SUMPRODUCT((MONTH(CHOOSE({1,2,3,4},TTSSKĐ!U233,TTSSKĐ!AA233,TTSSKĐ!AG233,TTSSKĐ!AM233))=11)*(CHOOSE({1,2,3,4},TTSSKĐ!X233,TTSSKĐ!AD233,TTSSKĐ!AJ233,TTSSKĐ!AP233)))</f>
        <v>0</v>
      </c>
      <c r="L233">
        <f>SUMPRODUCT((MONTH(CHOOSE({1,2,3,4},TTSSKĐ!U233,TTSSKĐ!AA233,TTSSKĐ!AG233,TTSSKĐ!AM233))=12)*(CHOOSE({1,2,3,4},TTSSKĐ!X233,TTSSKĐ!AD233,TTSSKĐ!AJ233,TTSSKĐ!AP233)))</f>
        <v>0</v>
      </c>
    </row>
    <row r="234" spans="1:12">
      <c r="A234">
        <f>SUMPRODUCT((MONTH(CHOOSE({1,2,3,4},TTSSKĐ!U234,TTSSKĐ!AA234,TTSSKĐ!AG234,TTSSKĐ!AM234))=1)*(CHOOSE({1,2,3,4},TTSSKĐ!X234,TTSSKĐ!AD234,TTSSKĐ!AJ234,TTSSKĐ!AP234)))</f>
        <v>0</v>
      </c>
      <c r="B234">
        <f>SUMPRODUCT((MONTH(CHOOSE({1,2,3,4},TTSSKĐ!U234,TTSSKĐ!AA234,TTSSKĐ!AG234,TTSSKĐ!AM234))=2)*(CHOOSE({1,2,3,4},TTSSKĐ!X234,TTSSKĐ!AD234,TTSSKĐ!AJ234,TTSSKĐ!AP234)))</f>
        <v>0</v>
      </c>
      <c r="C234">
        <f>SUMPRODUCT((MONTH(CHOOSE({1,2,3,4},TTSSKĐ!U234,TTSSKĐ!AA234,TTSSKĐ!AG234,TTSSKĐ!AM234))=3)*(CHOOSE({1,2,3,4},TTSSKĐ!X234,TTSSKĐ!AD234,TTSSKĐ!AJ234,TTSSKĐ!AP234)))</f>
        <v>0</v>
      </c>
      <c r="D234">
        <f>SUMPRODUCT((MONTH(CHOOSE({1,2,3,4},TTSSKĐ!U234,TTSSKĐ!AA234,TTSSKĐ!AG234,TTSSKĐ!AM234))=4)*(CHOOSE({1,2,3,4},TTSSKĐ!X234,TTSSKĐ!AD234,TTSSKĐ!AJ234,TTSSKĐ!AP234)))</f>
        <v>0</v>
      </c>
      <c r="E234">
        <f>SUMPRODUCT((MONTH(CHOOSE({1,2,3,4},TTSSKĐ!U234,TTSSKĐ!AA234,TTSSKĐ!AG234,TTSSKĐ!AM234))=5)*(CHOOSE({1,2,3,4},TTSSKĐ!X234,TTSSKĐ!AD234,TTSSKĐ!AJ234,TTSSKĐ!AP234)))</f>
        <v>0</v>
      </c>
      <c r="F234">
        <f>SUMPRODUCT((MONTH(CHOOSE({1,2,3,4},TTSSKĐ!U234,TTSSKĐ!AA234,TTSSKĐ!AG234,TTSSKĐ!AM234))=6)*(CHOOSE({1,2,3,4},TTSSKĐ!X234,TTSSKĐ!AD234,TTSSKĐ!AJ234,TTSSKĐ!AP234)))</f>
        <v>0</v>
      </c>
      <c r="G234">
        <f>SUMPRODUCT((MONTH(CHOOSE({1,2,3,4},TTSSKĐ!U234,TTSSKĐ!AA234,TTSSKĐ!AG234,TTSSKĐ!AM234))=7)*(CHOOSE({1,2,3,4},TTSSKĐ!X234,TTSSKĐ!AD234,TTSSKĐ!AJ234,TTSSKĐ!AP234)))</f>
        <v>0</v>
      </c>
      <c r="H234">
        <f>SUMPRODUCT((MONTH(CHOOSE({1,2,3,4},TTSSKĐ!U234,TTSSKĐ!AA234,TTSSKĐ!AG234,TTSSKĐ!AM234))=8)*(CHOOSE({1,2,3,4},TTSSKĐ!X234,TTSSKĐ!AD234,TTSSKĐ!AJ234,TTSSKĐ!AP234)))</f>
        <v>0</v>
      </c>
      <c r="I234">
        <f>SUMPRODUCT((MONTH(CHOOSE({1,2,3,4},TTSSKĐ!U234,TTSSKĐ!AA234,TTSSKĐ!AG234,TTSSKĐ!AM234))=9)*(CHOOSE({1,2,3,4},TTSSKĐ!X234,TTSSKĐ!AD234,TTSSKĐ!AJ234,TTSSKĐ!AP234)))</f>
        <v>0</v>
      </c>
      <c r="J234">
        <f>SUMPRODUCT((MONTH(CHOOSE({1,2,3,4},TTSSKĐ!U234,TTSSKĐ!AA234,TTSSKĐ!AG234,TTSSKĐ!AM234))=10)*(CHOOSE({1,2,3,4},TTSSKĐ!X234,TTSSKĐ!AD234,TTSSKĐ!AJ234,TTSSKĐ!AP234)))</f>
        <v>0</v>
      </c>
      <c r="K234">
        <f>SUMPRODUCT((MONTH(CHOOSE({1,2,3,4},TTSSKĐ!U234,TTSSKĐ!AA234,TTSSKĐ!AG234,TTSSKĐ!AM234))=11)*(CHOOSE({1,2,3,4},TTSSKĐ!X234,TTSSKĐ!AD234,TTSSKĐ!AJ234,TTSSKĐ!AP234)))</f>
        <v>0</v>
      </c>
      <c r="L234">
        <f>SUMPRODUCT((MONTH(CHOOSE({1,2,3,4},TTSSKĐ!U234,TTSSKĐ!AA234,TTSSKĐ!AG234,TTSSKĐ!AM234))=12)*(CHOOSE({1,2,3,4},TTSSKĐ!X234,TTSSKĐ!AD234,TTSSKĐ!AJ234,TTSSKĐ!AP234)))</f>
        <v>0</v>
      </c>
    </row>
    <row r="235" spans="1:12">
      <c r="A235">
        <f>SUMPRODUCT((MONTH(CHOOSE({1,2,3,4},TTSSKĐ!U235,TTSSKĐ!AA235,TTSSKĐ!AG235,TTSSKĐ!AM235))=1)*(CHOOSE({1,2,3,4},TTSSKĐ!X235,TTSSKĐ!AD235,TTSSKĐ!AJ235,TTSSKĐ!AP235)))</f>
        <v>0</v>
      </c>
      <c r="B235">
        <f>SUMPRODUCT((MONTH(CHOOSE({1,2,3,4},TTSSKĐ!U235,TTSSKĐ!AA235,TTSSKĐ!AG235,TTSSKĐ!AM235))=2)*(CHOOSE({1,2,3,4},TTSSKĐ!X235,TTSSKĐ!AD235,TTSSKĐ!AJ235,TTSSKĐ!AP235)))</f>
        <v>0</v>
      </c>
      <c r="C235">
        <f>SUMPRODUCT((MONTH(CHOOSE({1,2,3,4},TTSSKĐ!U235,TTSSKĐ!AA235,TTSSKĐ!AG235,TTSSKĐ!AM235))=3)*(CHOOSE({1,2,3,4},TTSSKĐ!X235,TTSSKĐ!AD235,TTSSKĐ!AJ235,TTSSKĐ!AP235)))</f>
        <v>0</v>
      </c>
      <c r="D235">
        <f>SUMPRODUCT((MONTH(CHOOSE({1,2,3,4},TTSSKĐ!U235,TTSSKĐ!AA235,TTSSKĐ!AG235,TTSSKĐ!AM235))=4)*(CHOOSE({1,2,3,4},TTSSKĐ!X235,TTSSKĐ!AD235,TTSSKĐ!AJ235,TTSSKĐ!AP235)))</f>
        <v>0</v>
      </c>
      <c r="E235">
        <f>SUMPRODUCT((MONTH(CHOOSE({1,2,3,4},TTSSKĐ!U235,TTSSKĐ!AA235,TTSSKĐ!AG235,TTSSKĐ!AM235))=5)*(CHOOSE({1,2,3,4},TTSSKĐ!X235,TTSSKĐ!AD235,TTSSKĐ!AJ235,TTSSKĐ!AP235)))</f>
        <v>0</v>
      </c>
      <c r="F235">
        <f>SUMPRODUCT((MONTH(CHOOSE({1,2,3,4},TTSSKĐ!U235,TTSSKĐ!AA235,TTSSKĐ!AG235,TTSSKĐ!AM235))=6)*(CHOOSE({1,2,3,4},TTSSKĐ!X235,TTSSKĐ!AD235,TTSSKĐ!AJ235,TTSSKĐ!AP235)))</f>
        <v>0</v>
      </c>
      <c r="G235">
        <f>SUMPRODUCT((MONTH(CHOOSE({1,2,3,4},TTSSKĐ!U235,TTSSKĐ!AA235,TTSSKĐ!AG235,TTSSKĐ!AM235))=7)*(CHOOSE({1,2,3,4},TTSSKĐ!X235,TTSSKĐ!AD235,TTSSKĐ!AJ235,TTSSKĐ!AP235)))</f>
        <v>0</v>
      </c>
      <c r="H235">
        <f>SUMPRODUCT((MONTH(CHOOSE({1,2,3,4},TTSSKĐ!U235,TTSSKĐ!AA235,TTSSKĐ!AG235,TTSSKĐ!AM235))=8)*(CHOOSE({1,2,3,4},TTSSKĐ!X235,TTSSKĐ!AD235,TTSSKĐ!AJ235,TTSSKĐ!AP235)))</f>
        <v>0</v>
      </c>
      <c r="I235">
        <f>SUMPRODUCT((MONTH(CHOOSE({1,2,3,4},TTSSKĐ!U235,TTSSKĐ!AA235,TTSSKĐ!AG235,TTSSKĐ!AM235))=9)*(CHOOSE({1,2,3,4},TTSSKĐ!X235,TTSSKĐ!AD235,TTSSKĐ!AJ235,TTSSKĐ!AP235)))</f>
        <v>0</v>
      </c>
      <c r="J235">
        <f>SUMPRODUCT((MONTH(CHOOSE({1,2,3,4},TTSSKĐ!U235,TTSSKĐ!AA235,TTSSKĐ!AG235,TTSSKĐ!AM235))=10)*(CHOOSE({1,2,3,4},TTSSKĐ!X235,TTSSKĐ!AD235,TTSSKĐ!AJ235,TTSSKĐ!AP235)))</f>
        <v>0</v>
      </c>
      <c r="K235">
        <f>SUMPRODUCT((MONTH(CHOOSE({1,2,3,4},TTSSKĐ!U235,TTSSKĐ!AA235,TTSSKĐ!AG235,TTSSKĐ!AM235))=11)*(CHOOSE({1,2,3,4},TTSSKĐ!X235,TTSSKĐ!AD235,TTSSKĐ!AJ235,TTSSKĐ!AP235)))</f>
        <v>0</v>
      </c>
      <c r="L235">
        <f>SUMPRODUCT((MONTH(CHOOSE({1,2,3,4},TTSSKĐ!U235,TTSSKĐ!AA235,TTSSKĐ!AG235,TTSSKĐ!AM235))=12)*(CHOOSE({1,2,3,4},TTSSKĐ!X235,TTSSKĐ!AD235,TTSSKĐ!AJ235,TTSSKĐ!AP235)))</f>
        <v>0</v>
      </c>
    </row>
    <row r="236" spans="1:12">
      <c r="A236">
        <f>SUMPRODUCT((MONTH(CHOOSE({1,2,3,4},TTSSKĐ!U236,TTSSKĐ!AA236,TTSSKĐ!AG236,TTSSKĐ!AM236))=1)*(CHOOSE({1,2,3,4},TTSSKĐ!X236,TTSSKĐ!AD236,TTSSKĐ!AJ236,TTSSKĐ!AP236)))</f>
        <v>0</v>
      </c>
      <c r="B236">
        <f>SUMPRODUCT((MONTH(CHOOSE({1,2,3,4},TTSSKĐ!U236,TTSSKĐ!AA236,TTSSKĐ!AG236,TTSSKĐ!AM236))=2)*(CHOOSE({1,2,3,4},TTSSKĐ!X236,TTSSKĐ!AD236,TTSSKĐ!AJ236,TTSSKĐ!AP236)))</f>
        <v>0</v>
      </c>
      <c r="C236">
        <f>SUMPRODUCT((MONTH(CHOOSE({1,2,3,4},TTSSKĐ!U236,TTSSKĐ!AA236,TTSSKĐ!AG236,TTSSKĐ!AM236))=3)*(CHOOSE({1,2,3,4},TTSSKĐ!X236,TTSSKĐ!AD236,TTSSKĐ!AJ236,TTSSKĐ!AP236)))</f>
        <v>0</v>
      </c>
      <c r="D236">
        <f>SUMPRODUCT((MONTH(CHOOSE({1,2,3,4},TTSSKĐ!U236,TTSSKĐ!AA236,TTSSKĐ!AG236,TTSSKĐ!AM236))=4)*(CHOOSE({1,2,3,4},TTSSKĐ!X236,TTSSKĐ!AD236,TTSSKĐ!AJ236,TTSSKĐ!AP236)))</f>
        <v>0</v>
      </c>
      <c r="E236">
        <f>SUMPRODUCT((MONTH(CHOOSE({1,2,3,4},TTSSKĐ!U236,TTSSKĐ!AA236,TTSSKĐ!AG236,TTSSKĐ!AM236))=5)*(CHOOSE({1,2,3,4},TTSSKĐ!X236,TTSSKĐ!AD236,TTSSKĐ!AJ236,TTSSKĐ!AP236)))</f>
        <v>0</v>
      </c>
      <c r="F236">
        <f>SUMPRODUCT((MONTH(CHOOSE({1,2,3,4},TTSSKĐ!U236,TTSSKĐ!AA236,TTSSKĐ!AG236,TTSSKĐ!AM236))=6)*(CHOOSE({1,2,3,4},TTSSKĐ!X236,TTSSKĐ!AD236,TTSSKĐ!AJ236,TTSSKĐ!AP236)))</f>
        <v>0</v>
      </c>
      <c r="G236">
        <f>SUMPRODUCT((MONTH(CHOOSE({1,2,3,4},TTSSKĐ!U236,TTSSKĐ!AA236,TTSSKĐ!AG236,TTSSKĐ!AM236))=7)*(CHOOSE({1,2,3,4},TTSSKĐ!X236,TTSSKĐ!AD236,TTSSKĐ!AJ236,TTSSKĐ!AP236)))</f>
        <v>0</v>
      </c>
      <c r="H236">
        <f>SUMPRODUCT((MONTH(CHOOSE({1,2,3,4},TTSSKĐ!U236,TTSSKĐ!AA236,TTSSKĐ!AG236,TTSSKĐ!AM236))=8)*(CHOOSE({1,2,3,4},TTSSKĐ!X236,TTSSKĐ!AD236,TTSSKĐ!AJ236,TTSSKĐ!AP236)))</f>
        <v>0</v>
      </c>
      <c r="I236">
        <f>SUMPRODUCT((MONTH(CHOOSE({1,2,3,4},TTSSKĐ!U236,TTSSKĐ!AA236,TTSSKĐ!AG236,TTSSKĐ!AM236))=9)*(CHOOSE({1,2,3,4},TTSSKĐ!X236,TTSSKĐ!AD236,TTSSKĐ!AJ236,TTSSKĐ!AP236)))</f>
        <v>0</v>
      </c>
      <c r="J236">
        <f>SUMPRODUCT((MONTH(CHOOSE({1,2,3,4},TTSSKĐ!U236,TTSSKĐ!AA236,TTSSKĐ!AG236,TTSSKĐ!AM236))=10)*(CHOOSE({1,2,3,4},TTSSKĐ!X236,TTSSKĐ!AD236,TTSSKĐ!AJ236,TTSSKĐ!AP236)))</f>
        <v>0</v>
      </c>
      <c r="K236">
        <f>SUMPRODUCT((MONTH(CHOOSE({1,2,3,4},TTSSKĐ!U236,TTSSKĐ!AA236,TTSSKĐ!AG236,TTSSKĐ!AM236))=11)*(CHOOSE({1,2,3,4},TTSSKĐ!X236,TTSSKĐ!AD236,TTSSKĐ!AJ236,TTSSKĐ!AP236)))</f>
        <v>0</v>
      </c>
      <c r="L236">
        <f>SUMPRODUCT((MONTH(CHOOSE({1,2,3,4},TTSSKĐ!U236,TTSSKĐ!AA236,TTSSKĐ!AG236,TTSSKĐ!AM236))=12)*(CHOOSE({1,2,3,4},TTSSKĐ!X236,TTSSKĐ!AD236,TTSSKĐ!AJ236,TTSSKĐ!AP236)))</f>
        <v>0</v>
      </c>
    </row>
    <row r="237" spans="1:12">
      <c r="A237">
        <f>SUMPRODUCT((MONTH(CHOOSE({1,2,3,4},TTSSKĐ!U237,TTSSKĐ!AA237,TTSSKĐ!AG237,TTSSKĐ!AM237))=1)*(CHOOSE({1,2,3,4},TTSSKĐ!X237,TTSSKĐ!AD237,TTSSKĐ!AJ237,TTSSKĐ!AP237)))</f>
        <v>0</v>
      </c>
      <c r="B237">
        <f>SUMPRODUCT((MONTH(CHOOSE({1,2,3,4},TTSSKĐ!U237,TTSSKĐ!AA237,TTSSKĐ!AG237,TTSSKĐ!AM237))=2)*(CHOOSE({1,2,3,4},TTSSKĐ!X237,TTSSKĐ!AD237,TTSSKĐ!AJ237,TTSSKĐ!AP237)))</f>
        <v>0</v>
      </c>
      <c r="C237">
        <f>SUMPRODUCT((MONTH(CHOOSE({1,2,3,4},TTSSKĐ!U237,TTSSKĐ!AA237,TTSSKĐ!AG237,TTSSKĐ!AM237))=3)*(CHOOSE({1,2,3,4},TTSSKĐ!X237,TTSSKĐ!AD237,TTSSKĐ!AJ237,TTSSKĐ!AP237)))</f>
        <v>0</v>
      </c>
      <c r="D237">
        <f>SUMPRODUCT((MONTH(CHOOSE({1,2,3,4},TTSSKĐ!U237,TTSSKĐ!AA237,TTSSKĐ!AG237,TTSSKĐ!AM237))=4)*(CHOOSE({1,2,3,4},TTSSKĐ!X237,TTSSKĐ!AD237,TTSSKĐ!AJ237,TTSSKĐ!AP237)))</f>
        <v>0</v>
      </c>
      <c r="E237">
        <f>SUMPRODUCT((MONTH(CHOOSE({1,2,3,4},TTSSKĐ!U237,TTSSKĐ!AA237,TTSSKĐ!AG237,TTSSKĐ!AM237))=5)*(CHOOSE({1,2,3,4},TTSSKĐ!X237,TTSSKĐ!AD237,TTSSKĐ!AJ237,TTSSKĐ!AP237)))</f>
        <v>0</v>
      </c>
      <c r="F237">
        <f>SUMPRODUCT((MONTH(CHOOSE({1,2,3,4},TTSSKĐ!U237,TTSSKĐ!AA237,TTSSKĐ!AG237,TTSSKĐ!AM237))=6)*(CHOOSE({1,2,3,4},TTSSKĐ!X237,TTSSKĐ!AD237,TTSSKĐ!AJ237,TTSSKĐ!AP237)))</f>
        <v>0</v>
      </c>
      <c r="G237">
        <f>SUMPRODUCT((MONTH(CHOOSE({1,2,3,4},TTSSKĐ!U237,TTSSKĐ!AA237,TTSSKĐ!AG237,TTSSKĐ!AM237))=7)*(CHOOSE({1,2,3,4},TTSSKĐ!X237,TTSSKĐ!AD237,TTSSKĐ!AJ237,TTSSKĐ!AP237)))</f>
        <v>0</v>
      </c>
      <c r="H237">
        <f>SUMPRODUCT((MONTH(CHOOSE({1,2,3,4},TTSSKĐ!U237,TTSSKĐ!AA237,TTSSKĐ!AG237,TTSSKĐ!AM237))=8)*(CHOOSE({1,2,3,4},TTSSKĐ!X237,TTSSKĐ!AD237,TTSSKĐ!AJ237,TTSSKĐ!AP237)))</f>
        <v>0</v>
      </c>
      <c r="I237">
        <f>SUMPRODUCT((MONTH(CHOOSE({1,2,3,4},TTSSKĐ!U237,TTSSKĐ!AA237,TTSSKĐ!AG237,TTSSKĐ!AM237))=9)*(CHOOSE({1,2,3,4},TTSSKĐ!X237,TTSSKĐ!AD237,TTSSKĐ!AJ237,TTSSKĐ!AP237)))</f>
        <v>0</v>
      </c>
      <c r="J237">
        <f>SUMPRODUCT((MONTH(CHOOSE({1,2,3,4},TTSSKĐ!U237,TTSSKĐ!AA237,TTSSKĐ!AG237,TTSSKĐ!AM237))=10)*(CHOOSE({1,2,3,4},TTSSKĐ!X237,TTSSKĐ!AD237,TTSSKĐ!AJ237,TTSSKĐ!AP237)))</f>
        <v>0</v>
      </c>
      <c r="K237">
        <f>SUMPRODUCT((MONTH(CHOOSE({1,2,3,4},TTSSKĐ!U237,TTSSKĐ!AA237,TTSSKĐ!AG237,TTSSKĐ!AM237))=11)*(CHOOSE({1,2,3,4},TTSSKĐ!X237,TTSSKĐ!AD237,TTSSKĐ!AJ237,TTSSKĐ!AP237)))</f>
        <v>0</v>
      </c>
      <c r="L237">
        <f>SUMPRODUCT((MONTH(CHOOSE({1,2,3,4},TTSSKĐ!U237,TTSSKĐ!AA237,TTSSKĐ!AG237,TTSSKĐ!AM237))=12)*(CHOOSE({1,2,3,4},TTSSKĐ!X237,TTSSKĐ!AD237,TTSSKĐ!AJ237,TTSSKĐ!AP237)))</f>
        <v>0</v>
      </c>
    </row>
    <row r="238" spans="1:12">
      <c r="A238">
        <f>SUMPRODUCT((MONTH(CHOOSE({1,2,3,4},TTSSKĐ!U238,TTSSKĐ!AA238,TTSSKĐ!AG238,TTSSKĐ!AM238))=1)*(CHOOSE({1,2,3,4},TTSSKĐ!X238,TTSSKĐ!AD238,TTSSKĐ!AJ238,TTSSKĐ!AP238)))</f>
        <v>0</v>
      </c>
      <c r="B238">
        <f>SUMPRODUCT((MONTH(CHOOSE({1,2,3,4},TTSSKĐ!U238,TTSSKĐ!AA238,TTSSKĐ!AG238,TTSSKĐ!AM238))=2)*(CHOOSE({1,2,3,4},TTSSKĐ!X238,TTSSKĐ!AD238,TTSSKĐ!AJ238,TTSSKĐ!AP238)))</f>
        <v>0</v>
      </c>
      <c r="C238">
        <f>SUMPRODUCT((MONTH(CHOOSE({1,2,3,4},TTSSKĐ!U238,TTSSKĐ!AA238,TTSSKĐ!AG238,TTSSKĐ!AM238))=3)*(CHOOSE({1,2,3,4},TTSSKĐ!X238,TTSSKĐ!AD238,TTSSKĐ!AJ238,TTSSKĐ!AP238)))</f>
        <v>0</v>
      </c>
      <c r="D238">
        <f>SUMPRODUCT((MONTH(CHOOSE({1,2,3,4},TTSSKĐ!U238,TTSSKĐ!AA238,TTSSKĐ!AG238,TTSSKĐ!AM238))=4)*(CHOOSE({1,2,3,4},TTSSKĐ!X238,TTSSKĐ!AD238,TTSSKĐ!AJ238,TTSSKĐ!AP238)))</f>
        <v>0</v>
      </c>
      <c r="E238">
        <f>SUMPRODUCT((MONTH(CHOOSE({1,2,3,4},TTSSKĐ!U238,TTSSKĐ!AA238,TTSSKĐ!AG238,TTSSKĐ!AM238))=5)*(CHOOSE({1,2,3,4},TTSSKĐ!X238,TTSSKĐ!AD238,TTSSKĐ!AJ238,TTSSKĐ!AP238)))</f>
        <v>0</v>
      </c>
      <c r="F238">
        <f>SUMPRODUCT((MONTH(CHOOSE({1,2,3,4},TTSSKĐ!U238,TTSSKĐ!AA238,TTSSKĐ!AG238,TTSSKĐ!AM238))=6)*(CHOOSE({1,2,3,4},TTSSKĐ!X238,TTSSKĐ!AD238,TTSSKĐ!AJ238,TTSSKĐ!AP238)))</f>
        <v>0</v>
      </c>
      <c r="G238">
        <f>SUMPRODUCT((MONTH(CHOOSE({1,2,3,4},TTSSKĐ!U238,TTSSKĐ!AA238,TTSSKĐ!AG238,TTSSKĐ!AM238))=7)*(CHOOSE({1,2,3,4},TTSSKĐ!X238,TTSSKĐ!AD238,TTSSKĐ!AJ238,TTSSKĐ!AP238)))</f>
        <v>0</v>
      </c>
      <c r="H238">
        <f>SUMPRODUCT((MONTH(CHOOSE({1,2,3,4},TTSSKĐ!U238,TTSSKĐ!AA238,TTSSKĐ!AG238,TTSSKĐ!AM238))=8)*(CHOOSE({1,2,3,4},TTSSKĐ!X238,TTSSKĐ!AD238,TTSSKĐ!AJ238,TTSSKĐ!AP238)))</f>
        <v>0</v>
      </c>
      <c r="I238">
        <f>SUMPRODUCT((MONTH(CHOOSE({1,2,3,4},TTSSKĐ!U238,TTSSKĐ!AA238,TTSSKĐ!AG238,TTSSKĐ!AM238))=9)*(CHOOSE({1,2,3,4},TTSSKĐ!X238,TTSSKĐ!AD238,TTSSKĐ!AJ238,TTSSKĐ!AP238)))</f>
        <v>0</v>
      </c>
      <c r="J238">
        <f>SUMPRODUCT((MONTH(CHOOSE({1,2,3,4},TTSSKĐ!U238,TTSSKĐ!AA238,TTSSKĐ!AG238,TTSSKĐ!AM238))=10)*(CHOOSE({1,2,3,4},TTSSKĐ!X238,TTSSKĐ!AD238,TTSSKĐ!AJ238,TTSSKĐ!AP238)))</f>
        <v>0</v>
      </c>
      <c r="K238">
        <f>SUMPRODUCT((MONTH(CHOOSE({1,2,3,4},TTSSKĐ!U238,TTSSKĐ!AA238,TTSSKĐ!AG238,TTSSKĐ!AM238))=11)*(CHOOSE({1,2,3,4},TTSSKĐ!X238,TTSSKĐ!AD238,TTSSKĐ!AJ238,TTSSKĐ!AP238)))</f>
        <v>0</v>
      </c>
      <c r="L238">
        <f>SUMPRODUCT((MONTH(CHOOSE({1,2,3,4},TTSSKĐ!U238,TTSSKĐ!AA238,TTSSKĐ!AG238,TTSSKĐ!AM238))=12)*(CHOOSE({1,2,3,4},TTSSKĐ!X238,TTSSKĐ!AD238,TTSSKĐ!AJ238,TTSSKĐ!AP238)))</f>
        <v>0</v>
      </c>
    </row>
    <row r="239" spans="1:12">
      <c r="A239">
        <f>SUMPRODUCT((MONTH(CHOOSE({1,2,3,4},TTSSKĐ!U239,TTSSKĐ!AA239,TTSSKĐ!AG239,TTSSKĐ!AM239))=1)*(CHOOSE({1,2,3,4},TTSSKĐ!X239,TTSSKĐ!AD239,TTSSKĐ!AJ239,TTSSKĐ!AP239)))</f>
        <v>0</v>
      </c>
      <c r="B239">
        <f>SUMPRODUCT((MONTH(CHOOSE({1,2,3,4},TTSSKĐ!U239,TTSSKĐ!AA239,TTSSKĐ!AG239,TTSSKĐ!AM239))=2)*(CHOOSE({1,2,3,4},TTSSKĐ!X239,TTSSKĐ!AD239,TTSSKĐ!AJ239,TTSSKĐ!AP239)))</f>
        <v>0</v>
      </c>
      <c r="C239">
        <f>SUMPRODUCT((MONTH(CHOOSE({1,2,3,4},TTSSKĐ!U239,TTSSKĐ!AA239,TTSSKĐ!AG239,TTSSKĐ!AM239))=3)*(CHOOSE({1,2,3,4},TTSSKĐ!X239,TTSSKĐ!AD239,TTSSKĐ!AJ239,TTSSKĐ!AP239)))</f>
        <v>0</v>
      </c>
      <c r="D239">
        <f>SUMPRODUCT((MONTH(CHOOSE({1,2,3,4},TTSSKĐ!U239,TTSSKĐ!AA239,TTSSKĐ!AG239,TTSSKĐ!AM239))=4)*(CHOOSE({1,2,3,4},TTSSKĐ!X239,TTSSKĐ!AD239,TTSSKĐ!AJ239,TTSSKĐ!AP239)))</f>
        <v>0</v>
      </c>
      <c r="E239">
        <f>SUMPRODUCT((MONTH(CHOOSE({1,2,3,4},TTSSKĐ!U239,TTSSKĐ!AA239,TTSSKĐ!AG239,TTSSKĐ!AM239))=5)*(CHOOSE({1,2,3,4},TTSSKĐ!X239,TTSSKĐ!AD239,TTSSKĐ!AJ239,TTSSKĐ!AP239)))</f>
        <v>0</v>
      </c>
      <c r="F239">
        <f>SUMPRODUCT((MONTH(CHOOSE({1,2,3,4},TTSSKĐ!U239,TTSSKĐ!AA239,TTSSKĐ!AG239,TTSSKĐ!AM239))=6)*(CHOOSE({1,2,3,4},TTSSKĐ!X239,TTSSKĐ!AD239,TTSSKĐ!AJ239,TTSSKĐ!AP239)))</f>
        <v>0</v>
      </c>
      <c r="G239">
        <f>SUMPRODUCT((MONTH(CHOOSE({1,2,3,4},TTSSKĐ!U239,TTSSKĐ!AA239,TTSSKĐ!AG239,TTSSKĐ!AM239))=7)*(CHOOSE({1,2,3,4},TTSSKĐ!X239,TTSSKĐ!AD239,TTSSKĐ!AJ239,TTSSKĐ!AP239)))</f>
        <v>0</v>
      </c>
      <c r="H239">
        <f>SUMPRODUCT((MONTH(CHOOSE({1,2,3,4},TTSSKĐ!U239,TTSSKĐ!AA239,TTSSKĐ!AG239,TTSSKĐ!AM239))=8)*(CHOOSE({1,2,3,4},TTSSKĐ!X239,TTSSKĐ!AD239,TTSSKĐ!AJ239,TTSSKĐ!AP239)))</f>
        <v>0</v>
      </c>
      <c r="I239">
        <f>SUMPRODUCT((MONTH(CHOOSE({1,2,3,4},TTSSKĐ!U239,TTSSKĐ!AA239,TTSSKĐ!AG239,TTSSKĐ!AM239))=9)*(CHOOSE({1,2,3,4},TTSSKĐ!X239,TTSSKĐ!AD239,TTSSKĐ!AJ239,TTSSKĐ!AP239)))</f>
        <v>0</v>
      </c>
      <c r="J239">
        <f>SUMPRODUCT((MONTH(CHOOSE({1,2,3,4},TTSSKĐ!U239,TTSSKĐ!AA239,TTSSKĐ!AG239,TTSSKĐ!AM239))=10)*(CHOOSE({1,2,3,4},TTSSKĐ!X239,TTSSKĐ!AD239,TTSSKĐ!AJ239,TTSSKĐ!AP239)))</f>
        <v>0</v>
      </c>
      <c r="K239">
        <f>SUMPRODUCT((MONTH(CHOOSE({1,2,3,4},TTSSKĐ!U239,TTSSKĐ!AA239,TTSSKĐ!AG239,TTSSKĐ!AM239))=11)*(CHOOSE({1,2,3,4},TTSSKĐ!X239,TTSSKĐ!AD239,TTSSKĐ!AJ239,TTSSKĐ!AP239)))</f>
        <v>0</v>
      </c>
      <c r="L239">
        <f>SUMPRODUCT((MONTH(CHOOSE({1,2,3,4},TTSSKĐ!U239,TTSSKĐ!AA239,TTSSKĐ!AG239,TTSSKĐ!AM239))=12)*(CHOOSE({1,2,3,4},TTSSKĐ!X239,TTSSKĐ!AD239,TTSSKĐ!AJ239,TTSSKĐ!AP239)))</f>
        <v>0</v>
      </c>
    </row>
    <row r="240" spans="1:12">
      <c r="A240">
        <f>SUMPRODUCT((MONTH(CHOOSE({1,2,3,4},TTSSKĐ!U240,TTSSKĐ!AA240,TTSSKĐ!AG240,TTSSKĐ!AM240))=1)*(CHOOSE({1,2,3,4},TTSSKĐ!X240,TTSSKĐ!AD240,TTSSKĐ!AJ240,TTSSKĐ!AP240)))</f>
        <v>0</v>
      </c>
      <c r="B240">
        <f>SUMPRODUCT((MONTH(CHOOSE({1,2,3,4},TTSSKĐ!U240,TTSSKĐ!AA240,TTSSKĐ!AG240,TTSSKĐ!AM240))=2)*(CHOOSE({1,2,3,4},TTSSKĐ!X240,TTSSKĐ!AD240,TTSSKĐ!AJ240,TTSSKĐ!AP240)))</f>
        <v>0</v>
      </c>
      <c r="C240">
        <f>SUMPRODUCT((MONTH(CHOOSE({1,2,3,4},TTSSKĐ!U240,TTSSKĐ!AA240,TTSSKĐ!AG240,TTSSKĐ!AM240))=3)*(CHOOSE({1,2,3,4},TTSSKĐ!X240,TTSSKĐ!AD240,TTSSKĐ!AJ240,TTSSKĐ!AP240)))</f>
        <v>0</v>
      </c>
      <c r="D240">
        <f>SUMPRODUCT((MONTH(CHOOSE({1,2,3,4},TTSSKĐ!U240,TTSSKĐ!AA240,TTSSKĐ!AG240,TTSSKĐ!AM240))=4)*(CHOOSE({1,2,3,4},TTSSKĐ!X240,TTSSKĐ!AD240,TTSSKĐ!AJ240,TTSSKĐ!AP240)))</f>
        <v>0</v>
      </c>
      <c r="E240">
        <f>SUMPRODUCT((MONTH(CHOOSE({1,2,3,4},TTSSKĐ!U240,TTSSKĐ!AA240,TTSSKĐ!AG240,TTSSKĐ!AM240))=5)*(CHOOSE({1,2,3,4},TTSSKĐ!X240,TTSSKĐ!AD240,TTSSKĐ!AJ240,TTSSKĐ!AP240)))</f>
        <v>0</v>
      </c>
      <c r="F240">
        <f>SUMPRODUCT((MONTH(CHOOSE({1,2,3,4},TTSSKĐ!U240,TTSSKĐ!AA240,TTSSKĐ!AG240,TTSSKĐ!AM240))=6)*(CHOOSE({1,2,3,4},TTSSKĐ!X240,TTSSKĐ!AD240,TTSSKĐ!AJ240,TTSSKĐ!AP240)))</f>
        <v>0</v>
      </c>
      <c r="G240">
        <f>SUMPRODUCT((MONTH(CHOOSE({1,2,3,4},TTSSKĐ!U240,TTSSKĐ!AA240,TTSSKĐ!AG240,TTSSKĐ!AM240))=7)*(CHOOSE({1,2,3,4},TTSSKĐ!X240,TTSSKĐ!AD240,TTSSKĐ!AJ240,TTSSKĐ!AP240)))</f>
        <v>0</v>
      </c>
      <c r="H240">
        <f>SUMPRODUCT((MONTH(CHOOSE({1,2,3,4},TTSSKĐ!U240,TTSSKĐ!AA240,TTSSKĐ!AG240,TTSSKĐ!AM240))=8)*(CHOOSE({1,2,3,4},TTSSKĐ!X240,TTSSKĐ!AD240,TTSSKĐ!AJ240,TTSSKĐ!AP240)))</f>
        <v>0</v>
      </c>
      <c r="I240">
        <f>SUMPRODUCT((MONTH(CHOOSE({1,2,3,4},TTSSKĐ!U240,TTSSKĐ!AA240,TTSSKĐ!AG240,TTSSKĐ!AM240))=9)*(CHOOSE({1,2,3,4},TTSSKĐ!X240,TTSSKĐ!AD240,TTSSKĐ!AJ240,TTSSKĐ!AP240)))</f>
        <v>0</v>
      </c>
      <c r="J240">
        <f>SUMPRODUCT((MONTH(CHOOSE({1,2,3,4},TTSSKĐ!U240,TTSSKĐ!AA240,TTSSKĐ!AG240,TTSSKĐ!AM240))=10)*(CHOOSE({1,2,3,4},TTSSKĐ!X240,TTSSKĐ!AD240,TTSSKĐ!AJ240,TTSSKĐ!AP240)))</f>
        <v>0</v>
      </c>
      <c r="K240">
        <f>SUMPRODUCT((MONTH(CHOOSE({1,2,3,4},TTSSKĐ!U240,TTSSKĐ!AA240,TTSSKĐ!AG240,TTSSKĐ!AM240))=11)*(CHOOSE({1,2,3,4},TTSSKĐ!X240,TTSSKĐ!AD240,TTSSKĐ!AJ240,TTSSKĐ!AP240)))</f>
        <v>0</v>
      </c>
      <c r="L240">
        <f>SUMPRODUCT((MONTH(CHOOSE({1,2,3,4},TTSSKĐ!U240,TTSSKĐ!AA240,TTSSKĐ!AG240,TTSSKĐ!AM240))=12)*(CHOOSE({1,2,3,4},TTSSKĐ!X240,TTSSKĐ!AD240,TTSSKĐ!AJ240,TTSSKĐ!AP240)))</f>
        <v>0</v>
      </c>
    </row>
    <row r="241" spans="1:12">
      <c r="A241">
        <f>SUMPRODUCT((MONTH(CHOOSE({1,2,3,4},TTSSKĐ!U241,TTSSKĐ!AA241,TTSSKĐ!AG241,TTSSKĐ!AM241))=1)*(CHOOSE({1,2,3,4},TTSSKĐ!X241,TTSSKĐ!AD241,TTSSKĐ!AJ241,TTSSKĐ!AP241)))</f>
        <v>0</v>
      </c>
      <c r="B241">
        <f>SUMPRODUCT((MONTH(CHOOSE({1,2,3,4},TTSSKĐ!U241,TTSSKĐ!AA241,TTSSKĐ!AG241,TTSSKĐ!AM241))=2)*(CHOOSE({1,2,3,4},TTSSKĐ!X241,TTSSKĐ!AD241,TTSSKĐ!AJ241,TTSSKĐ!AP241)))</f>
        <v>0</v>
      </c>
      <c r="C241">
        <f>SUMPRODUCT((MONTH(CHOOSE({1,2,3,4},TTSSKĐ!U241,TTSSKĐ!AA241,TTSSKĐ!AG241,TTSSKĐ!AM241))=3)*(CHOOSE({1,2,3,4},TTSSKĐ!X241,TTSSKĐ!AD241,TTSSKĐ!AJ241,TTSSKĐ!AP241)))</f>
        <v>0</v>
      </c>
      <c r="D241">
        <f>SUMPRODUCT((MONTH(CHOOSE({1,2,3,4},TTSSKĐ!U241,TTSSKĐ!AA241,TTSSKĐ!AG241,TTSSKĐ!AM241))=4)*(CHOOSE({1,2,3,4},TTSSKĐ!X241,TTSSKĐ!AD241,TTSSKĐ!AJ241,TTSSKĐ!AP241)))</f>
        <v>0</v>
      </c>
      <c r="E241">
        <f>SUMPRODUCT((MONTH(CHOOSE({1,2,3,4},TTSSKĐ!U241,TTSSKĐ!AA241,TTSSKĐ!AG241,TTSSKĐ!AM241))=5)*(CHOOSE({1,2,3,4},TTSSKĐ!X241,TTSSKĐ!AD241,TTSSKĐ!AJ241,TTSSKĐ!AP241)))</f>
        <v>0</v>
      </c>
      <c r="F241">
        <f>SUMPRODUCT((MONTH(CHOOSE({1,2,3,4},TTSSKĐ!U241,TTSSKĐ!AA241,TTSSKĐ!AG241,TTSSKĐ!AM241))=6)*(CHOOSE({1,2,3,4},TTSSKĐ!X241,TTSSKĐ!AD241,TTSSKĐ!AJ241,TTSSKĐ!AP241)))</f>
        <v>0</v>
      </c>
      <c r="G241">
        <f>SUMPRODUCT((MONTH(CHOOSE({1,2,3,4},TTSSKĐ!U241,TTSSKĐ!AA241,TTSSKĐ!AG241,TTSSKĐ!AM241))=7)*(CHOOSE({1,2,3,4},TTSSKĐ!X241,TTSSKĐ!AD241,TTSSKĐ!AJ241,TTSSKĐ!AP241)))</f>
        <v>0</v>
      </c>
      <c r="H241">
        <f>SUMPRODUCT((MONTH(CHOOSE({1,2,3,4},TTSSKĐ!U241,TTSSKĐ!AA241,TTSSKĐ!AG241,TTSSKĐ!AM241))=8)*(CHOOSE({1,2,3,4},TTSSKĐ!X241,TTSSKĐ!AD241,TTSSKĐ!AJ241,TTSSKĐ!AP241)))</f>
        <v>0</v>
      </c>
      <c r="I241">
        <f>SUMPRODUCT((MONTH(CHOOSE({1,2,3,4},TTSSKĐ!U241,TTSSKĐ!AA241,TTSSKĐ!AG241,TTSSKĐ!AM241))=9)*(CHOOSE({1,2,3,4},TTSSKĐ!X241,TTSSKĐ!AD241,TTSSKĐ!AJ241,TTSSKĐ!AP241)))</f>
        <v>0</v>
      </c>
      <c r="J241">
        <f>SUMPRODUCT((MONTH(CHOOSE({1,2,3,4},TTSSKĐ!U241,TTSSKĐ!AA241,TTSSKĐ!AG241,TTSSKĐ!AM241))=10)*(CHOOSE({1,2,3,4},TTSSKĐ!X241,TTSSKĐ!AD241,TTSSKĐ!AJ241,TTSSKĐ!AP241)))</f>
        <v>0</v>
      </c>
      <c r="K241">
        <f>SUMPRODUCT((MONTH(CHOOSE({1,2,3,4},TTSSKĐ!U241,TTSSKĐ!AA241,TTSSKĐ!AG241,TTSSKĐ!AM241))=11)*(CHOOSE({1,2,3,4},TTSSKĐ!X241,TTSSKĐ!AD241,TTSSKĐ!AJ241,TTSSKĐ!AP241)))</f>
        <v>0</v>
      </c>
      <c r="L241">
        <f>SUMPRODUCT((MONTH(CHOOSE({1,2,3,4},TTSSKĐ!U241,TTSSKĐ!AA241,TTSSKĐ!AG241,TTSSKĐ!AM241))=12)*(CHOOSE({1,2,3,4},TTSSKĐ!X241,TTSSKĐ!AD241,TTSSKĐ!AJ241,TTSSKĐ!AP241)))</f>
        <v>0</v>
      </c>
    </row>
    <row r="242" spans="1:12">
      <c r="A242">
        <f>SUMPRODUCT((MONTH(CHOOSE({1,2,3,4},TTSSKĐ!U242,TTSSKĐ!AA242,TTSSKĐ!AG242,TTSSKĐ!AM242))=1)*(CHOOSE({1,2,3,4},TTSSKĐ!X242,TTSSKĐ!AD242,TTSSKĐ!AJ242,TTSSKĐ!AP242)))</f>
        <v>0</v>
      </c>
      <c r="B242">
        <f>SUMPRODUCT((MONTH(CHOOSE({1,2,3,4},TTSSKĐ!U242,TTSSKĐ!AA242,TTSSKĐ!AG242,TTSSKĐ!AM242))=2)*(CHOOSE({1,2,3,4},TTSSKĐ!X242,TTSSKĐ!AD242,TTSSKĐ!AJ242,TTSSKĐ!AP242)))</f>
        <v>0</v>
      </c>
      <c r="C242">
        <f>SUMPRODUCT((MONTH(CHOOSE({1,2,3,4},TTSSKĐ!U242,TTSSKĐ!AA242,TTSSKĐ!AG242,TTSSKĐ!AM242))=3)*(CHOOSE({1,2,3,4},TTSSKĐ!X242,TTSSKĐ!AD242,TTSSKĐ!AJ242,TTSSKĐ!AP242)))</f>
        <v>0</v>
      </c>
      <c r="D242">
        <f>SUMPRODUCT((MONTH(CHOOSE({1,2,3,4},TTSSKĐ!U242,TTSSKĐ!AA242,TTSSKĐ!AG242,TTSSKĐ!AM242))=4)*(CHOOSE({1,2,3,4},TTSSKĐ!X242,TTSSKĐ!AD242,TTSSKĐ!AJ242,TTSSKĐ!AP242)))</f>
        <v>0</v>
      </c>
      <c r="E242">
        <f>SUMPRODUCT((MONTH(CHOOSE({1,2,3,4},TTSSKĐ!U242,TTSSKĐ!AA242,TTSSKĐ!AG242,TTSSKĐ!AM242))=5)*(CHOOSE({1,2,3,4},TTSSKĐ!X242,TTSSKĐ!AD242,TTSSKĐ!AJ242,TTSSKĐ!AP242)))</f>
        <v>0</v>
      </c>
      <c r="F242">
        <f>SUMPRODUCT((MONTH(CHOOSE({1,2,3,4},TTSSKĐ!U242,TTSSKĐ!AA242,TTSSKĐ!AG242,TTSSKĐ!AM242))=6)*(CHOOSE({1,2,3,4},TTSSKĐ!X242,TTSSKĐ!AD242,TTSSKĐ!AJ242,TTSSKĐ!AP242)))</f>
        <v>0</v>
      </c>
      <c r="G242">
        <f>SUMPRODUCT((MONTH(CHOOSE({1,2,3,4},TTSSKĐ!U242,TTSSKĐ!AA242,TTSSKĐ!AG242,TTSSKĐ!AM242))=7)*(CHOOSE({1,2,3,4},TTSSKĐ!X242,TTSSKĐ!AD242,TTSSKĐ!AJ242,TTSSKĐ!AP242)))</f>
        <v>0</v>
      </c>
      <c r="H242">
        <f>SUMPRODUCT((MONTH(CHOOSE({1,2,3,4},TTSSKĐ!U242,TTSSKĐ!AA242,TTSSKĐ!AG242,TTSSKĐ!AM242))=8)*(CHOOSE({1,2,3,4},TTSSKĐ!X242,TTSSKĐ!AD242,TTSSKĐ!AJ242,TTSSKĐ!AP242)))</f>
        <v>0</v>
      </c>
      <c r="I242">
        <f>SUMPRODUCT((MONTH(CHOOSE({1,2,3,4},TTSSKĐ!U242,TTSSKĐ!AA242,TTSSKĐ!AG242,TTSSKĐ!AM242))=9)*(CHOOSE({1,2,3,4},TTSSKĐ!X242,TTSSKĐ!AD242,TTSSKĐ!AJ242,TTSSKĐ!AP242)))</f>
        <v>0</v>
      </c>
      <c r="J242">
        <f>SUMPRODUCT((MONTH(CHOOSE({1,2,3,4},TTSSKĐ!U242,TTSSKĐ!AA242,TTSSKĐ!AG242,TTSSKĐ!AM242))=10)*(CHOOSE({1,2,3,4},TTSSKĐ!X242,TTSSKĐ!AD242,TTSSKĐ!AJ242,TTSSKĐ!AP242)))</f>
        <v>0</v>
      </c>
      <c r="K242">
        <f>SUMPRODUCT((MONTH(CHOOSE({1,2,3,4},TTSSKĐ!U242,TTSSKĐ!AA242,TTSSKĐ!AG242,TTSSKĐ!AM242))=11)*(CHOOSE({1,2,3,4},TTSSKĐ!X242,TTSSKĐ!AD242,TTSSKĐ!AJ242,TTSSKĐ!AP242)))</f>
        <v>0</v>
      </c>
      <c r="L242">
        <f>SUMPRODUCT((MONTH(CHOOSE({1,2,3,4},TTSSKĐ!U242,TTSSKĐ!AA242,TTSSKĐ!AG242,TTSSKĐ!AM242))=12)*(CHOOSE({1,2,3,4},TTSSKĐ!X242,TTSSKĐ!AD242,TTSSKĐ!AJ242,TTSSKĐ!AP242)))</f>
        <v>0</v>
      </c>
    </row>
    <row r="243" spans="1:12">
      <c r="A243">
        <f>SUMPRODUCT((MONTH(CHOOSE({1,2,3,4},TTSSKĐ!U243,TTSSKĐ!AA243,TTSSKĐ!AG243,TTSSKĐ!AM243))=1)*(CHOOSE({1,2,3,4},TTSSKĐ!X243,TTSSKĐ!AD243,TTSSKĐ!AJ243,TTSSKĐ!AP243)))</f>
        <v>0</v>
      </c>
      <c r="B243">
        <f>SUMPRODUCT((MONTH(CHOOSE({1,2,3,4},TTSSKĐ!U243,TTSSKĐ!AA243,TTSSKĐ!AG243,TTSSKĐ!AM243))=2)*(CHOOSE({1,2,3,4},TTSSKĐ!X243,TTSSKĐ!AD243,TTSSKĐ!AJ243,TTSSKĐ!AP243)))</f>
        <v>0</v>
      </c>
      <c r="C243">
        <f>SUMPRODUCT((MONTH(CHOOSE({1,2,3,4},TTSSKĐ!U243,TTSSKĐ!AA243,TTSSKĐ!AG243,TTSSKĐ!AM243))=3)*(CHOOSE({1,2,3,4},TTSSKĐ!X243,TTSSKĐ!AD243,TTSSKĐ!AJ243,TTSSKĐ!AP243)))</f>
        <v>0</v>
      </c>
      <c r="D243">
        <f>SUMPRODUCT((MONTH(CHOOSE({1,2,3,4},TTSSKĐ!U243,TTSSKĐ!AA243,TTSSKĐ!AG243,TTSSKĐ!AM243))=4)*(CHOOSE({1,2,3,4},TTSSKĐ!X243,TTSSKĐ!AD243,TTSSKĐ!AJ243,TTSSKĐ!AP243)))</f>
        <v>0</v>
      </c>
      <c r="E243">
        <f>SUMPRODUCT((MONTH(CHOOSE({1,2,3,4},TTSSKĐ!U243,TTSSKĐ!AA243,TTSSKĐ!AG243,TTSSKĐ!AM243))=5)*(CHOOSE({1,2,3,4},TTSSKĐ!X243,TTSSKĐ!AD243,TTSSKĐ!AJ243,TTSSKĐ!AP243)))</f>
        <v>0</v>
      </c>
      <c r="F243">
        <f>SUMPRODUCT((MONTH(CHOOSE({1,2,3,4},TTSSKĐ!U243,TTSSKĐ!AA243,TTSSKĐ!AG243,TTSSKĐ!AM243))=6)*(CHOOSE({1,2,3,4},TTSSKĐ!X243,TTSSKĐ!AD243,TTSSKĐ!AJ243,TTSSKĐ!AP243)))</f>
        <v>0</v>
      </c>
      <c r="G243">
        <f>SUMPRODUCT((MONTH(CHOOSE({1,2,3,4},TTSSKĐ!U243,TTSSKĐ!AA243,TTSSKĐ!AG243,TTSSKĐ!AM243))=7)*(CHOOSE({1,2,3,4},TTSSKĐ!X243,TTSSKĐ!AD243,TTSSKĐ!AJ243,TTSSKĐ!AP243)))</f>
        <v>0</v>
      </c>
      <c r="H243">
        <f>SUMPRODUCT((MONTH(CHOOSE({1,2,3,4},TTSSKĐ!U243,TTSSKĐ!AA243,TTSSKĐ!AG243,TTSSKĐ!AM243))=8)*(CHOOSE({1,2,3,4},TTSSKĐ!X243,TTSSKĐ!AD243,TTSSKĐ!AJ243,TTSSKĐ!AP243)))</f>
        <v>0</v>
      </c>
      <c r="I243">
        <f>SUMPRODUCT((MONTH(CHOOSE({1,2,3,4},TTSSKĐ!U243,TTSSKĐ!AA243,TTSSKĐ!AG243,TTSSKĐ!AM243))=9)*(CHOOSE({1,2,3,4},TTSSKĐ!X243,TTSSKĐ!AD243,TTSSKĐ!AJ243,TTSSKĐ!AP243)))</f>
        <v>0</v>
      </c>
      <c r="J243">
        <f>SUMPRODUCT((MONTH(CHOOSE({1,2,3,4},TTSSKĐ!U243,TTSSKĐ!AA243,TTSSKĐ!AG243,TTSSKĐ!AM243))=10)*(CHOOSE({1,2,3,4},TTSSKĐ!X243,TTSSKĐ!AD243,TTSSKĐ!AJ243,TTSSKĐ!AP243)))</f>
        <v>0</v>
      </c>
      <c r="K243">
        <f>SUMPRODUCT((MONTH(CHOOSE({1,2,3,4},TTSSKĐ!U243,TTSSKĐ!AA243,TTSSKĐ!AG243,TTSSKĐ!AM243))=11)*(CHOOSE({1,2,3,4},TTSSKĐ!X243,TTSSKĐ!AD243,TTSSKĐ!AJ243,TTSSKĐ!AP243)))</f>
        <v>0</v>
      </c>
      <c r="L243">
        <f>SUMPRODUCT((MONTH(CHOOSE({1,2,3,4},TTSSKĐ!U243,TTSSKĐ!AA243,TTSSKĐ!AG243,TTSSKĐ!AM243))=12)*(CHOOSE({1,2,3,4},TTSSKĐ!X243,TTSSKĐ!AD243,TTSSKĐ!AJ243,TTSSKĐ!AP243)))</f>
        <v>0</v>
      </c>
    </row>
    <row r="244" spans="1:12">
      <c r="A244">
        <f>SUMPRODUCT((MONTH(CHOOSE({1,2,3,4},TTSSKĐ!U244,TTSSKĐ!AA244,TTSSKĐ!AG244,TTSSKĐ!AM244))=1)*(CHOOSE({1,2,3,4},TTSSKĐ!X244,TTSSKĐ!AD244,TTSSKĐ!AJ244,TTSSKĐ!AP244)))</f>
        <v>0</v>
      </c>
      <c r="B244">
        <f>SUMPRODUCT((MONTH(CHOOSE({1,2,3,4},TTSSKĐ!U244,TTSSKĐ!AA244,TTSSKĐ!AG244,TTSSKĐ!AM244))=2)*(CHOOSE({1,2,3,4},TTSSKĐ!X244,TTSSKĐ!AD244,TTSSKĐ!AJ244,TTSSKĐ!AP244)))</f>
        <v>0</v>
      </c>
      <c r="C244">
        <f>SUMPRODUCT((MONTH(CHOOSE({1,2,3,4},TTSSKĐ!U244,TTSSKĐ!AA244,TTSSKĐ!AG244,TTSSKĐ!AM244))=3)*(CHOOSE({1,2,3,4},TTSSKĐ!X244,TTSSKĐ!AD244,TTSSKĐ!AJ244,TTSSKĐ!AP244)))</f>
        <v>0</v>
      </c>
      <c r="D244">
        <f>SUMPRODUCT((MONTH(CHOOSE({1,2,3,4},TTSSKĐ!U244,TTSSKĐ!AA244,TTSSKĐ!AG244,TTSSKĐ!AM244))=4)*(CHOOSE({1,2,3,4},TTSSKĐ!X244,TTSSKĐ!AD244,TTSSKĐ!AJ244,TTSSKĐ!AP244)))</f>
        <v>0</v>
      </c>
      <c r="E244">
        <f>SUMPRODUCT((MONTH(CHOOSE({1,2,3,4},TTSSKĐ!U244,TTSSKĐ!AA244,TTSSKĐ!AG244,TTSSKĐ!AM244))=5)*(CHOOSE({1,2,3,4},TTSSKĐ!X244,TTSSKĐ!AD244,TTSSKĐ!AJ244,TTSSKĐ!AP244)))</f>
        <v>0</v>
      </c>
      <c r="F244">
        <f>SUMPRODUCT((MONTH(CHOOSE({1,2,3,4},TTSSKĐ!U244,TTSSKĐ!AA244,TTSSKĐ!AG244,TTSSKĐ!AM244))=6)*(CHOOSE({1,2,3,4},TTSSKĐ!X244,TTSSKĐ!AD244,TTSSKĐ!AJ244,TTSSKĐ!AP244)))</f>
        <v>0</v>
      </c>
      <c r="G244">
        <f>SUMPRODUCT((MONTH(CHOOSE({1,2,3,4},TTSSKĐ!U244,TTSSKĐ!AA244,TTSSKĐ!AG244,TTSSKĐ!AM244))=7)*(CHOOSE({1,2,3,4},TTSSKĐ!X244,TTSSKĐ!AD244,TTSSKĐ!AJ244,TTSSKĐ!AP244)))</f>
        <v>0</v>
      </c>
      <c r="H244">
        <f>SUMPRODUCT((MONTH(CHOOSE({1,2,3,4},TTSSKĐ!U244,TTSSKĐ!AA244,TTSSKĐ!AG244,TTSSKĐ!AM244))=8)*(CHOOSE({1,2,3,4},TTSSKĐ!X244,TTSSKĐ!AD244,TTSSKĐ!AJ244,TTSSKĐ!AP244)))</f>
        <v>0</v>
      </c>
      <c r="I244">
        <f>SUMPRODUCT((MONTH(CHOOSE({1,2,3,4},TTSSKĐ!U244,TTSSKĐ!AA244,TTSSKĐ!AG244,TTSSKĐ!AM244))=9)*(CHOOSE({1,2,3,4},TTSSKĐ!X244,TTSSKĐ!AD244,TTSSKĐ!AJ244,TTSSKĐ!AP244)))</f>
        <v>0</v>
      </c>
      <c r="J244">
        <f>SUMPRODUCT((MONTH(CHOOSE({1,2,3,4},TTSSKĐ!U244,TTSSKĐ!AA244,TTSSKĐ!AG244,TTSSKĐ!AM244))=10)*(CHOOSE({1,2,3,4},TTSSKĐ!X244,TTSSKĐ!AD244,TTSSKĐ!AJ244,TTSSKĐ!AP244)))</f>
        <v>0</v>
      </c>
      <c r="K244">
        <f>SUMPRODUCT((MONTH(CHOOSE({1,2,3,4},TTSSKĐ!U244,TTSSKĐ!AA244,TTSSKĐ!AG244,TTSSKĐ!AM244))=11)*(CHOOSE({1,2,3,4},TTSSKĐ!X244,TTSSKĐ!AD244,TTSSKĐ!AJ244,TTSSKĐ!AP244)))</f>
        <v>0</v>
      </c>
      <c r="L244">
        <f>SUMPRODUCT((MONTH(CHOOSE({1,2,3,4},TTSSKĐ!U244,TTSSKĐ!AA244,TTSSKĐ!AG244,TTSSKĐ!AM244))=12)*(CHOOSE({1,2,3,4},TTSSKĐ!X244,TTSSKĐ!AD244,TTSSKĐ!AJ244,TTSSKĐ!AP244)))</f>
        <v>0</v>
      </c>
    </row>
    <row r="245" spans="1:12">
      <c r="A245">
        <f>SUMPRODUCT((MONTH(CHOOSE({1,2,3,4},TTSSKĐ!U245,TTSSKĐ!AA245,TTSSKĐ!AG245,TTSSKĐ!AM245))=1)*(CHOOSE({1,2,3,4},TTSSKĐ!X245,TTSSKĐ!AD245,TTSSKĐ!AJ245,TTSSKĐ!AP245)))</f>
        <v>0</v>
      </c>
      <c r="B245">
        <f>SUMPRODUCT((MONTH(CHOOSE({1,2,3,4},TTSSKĐ!U245,TTSSKĐ!AA245,TTSSKĐ!AG245,TTSSKĐ!AM245))=2)*(CHOOSE({1,2,3,4},TTSSKĐ!X245,TTSSKĐ!AD245,TTSSKĐ!AJ245,TTSSKĐ!AP245)))</f>
        <v>0</v>
      </c>
      <c r="C245">
        <f>SUMPRODUCT((MONTH(CHOOSE({1,2,3,4},TTSSKĐ!U245,TTSSKĐ!AA245,TTSSKĐ!AG245,TTSSKĐ!AM245))=3)*(CHOOSE({1,2,3,4},TTSSKĐ!X245,TTSSKĐ!AD245,TTSSKĐ!AJ245,TTSSKĐ!AP245)))</f>
        <v>0</v>
      </c>
      <c r="D245">
        <f>SUMPRODUCT((MONTH(CHOOSE({1,2,3,4},TTSSKĐ!U245,TTSSKĐ!AA245,TTSSKĐ!AG245,TTSSKĐ!AM245))=4)*(CHOOSE({1,2,3,4},TTSSKĐ!X245,TTSSKĐ!AD245,TTSSKĐ!AJ245,TTSSKĐ!AP245)))</f>
        <v>0</v>
      </c>
      <c r="E245">
        <f>SUMPRODUCT((MONTH(CHOOSE({1,2,3,4},TTSSKĐ!U245,TTSSKĐ!AA245,TTSSKĐ!AG245,TTSSKĐ!AM245))=5)*(CHOOSE({1,2,3,4},TTSSKĐ!X245,TTSSKĐ!AD245,TTSSKĐ!AJ245,TTSSKĐ!AP245)))</f>
        <v>0</v>
      </c>
      <c r="F245">
        <f>SUMPRODUCT((MONTH(CHOOSE({1,2,3,4},TTSSKĐ!U245,TTSSKĐ!AA245,TTSSKĐ!AG245,TTSSKĐ!AM245))=6)*(CHOOSE({1,2,3,4},TTSSKĐ!X245,TTSSKĐ!AD245,TTSSKĐ!AJ245,TTSSKĐ!AP245)))</f>
        <v>0</v>
      </c>
      <c r="G245">
        <f>SUMPRODUCT((MONTH(CHOOSE({1,2,3,4},TTSSKĐ!U245,TTSSKĐ!AA245,TTSSKĐ!AG245,TTSSKĐ!AM245))=7)*(CHOOSE({1,2,3,4},TTSSKĐ!X245,TTSSKĐ!AD245,TTSSKĐ!AJ245,TTSSKĐ!AP245)))</f>
        <v>0</v>
      </c>
      <c r="H245">
        <f>SUMPRODUCT((MONTH(CHOOSE({1,2,3,4},TTSSKĐ!U245,TTSSKĐ!AA245,TTSSKĐ!AG245,TTSSKĐ!AM245))=8)*(CHOOSE({1,2,3,4},TTSSKĐ!X245,TTSSKĐ!AD245,TTSSKĐ!AJ245,TTSSKĐ!AP245)))</f>
        <v>0</v>
      </c>
      <c r="I245">
        <f>SUMPRODUCT((MONTH(CHOOSE({1,2,3,4},TTSSKĐ!U245,TTSSKĐ!AA245,TTSSKĐ!AG245,TTSSKĐ!AM245))=9)*(CHOOSE({1,2,3,4},TTSSKĐ!X245,TTSSKĐ!AD245,TTSSKĐ!AJ245,TTSSKĐ!AP245)))</f>
        <v>0</v>
      </c>
      <c r="J245">
        <f>SUMPRODUCT((MONTH(CHOOSE({1,2,3,4},TTSSKĐ!U245,TTSSKĐ!AA245,TTSSKĐ!AG245,TTSSKĐ!AM245))=10)*(CHOOSE({1,2,3,4},TTSSKĐ!X245,TTSSKĐ!AD245,TTSSKĐ!AJ245,TTSSKĐ!AP245)))</f>
        <v>0</v>
      </c>
      <c r="K245">
        <f>SUMPRODUCT((MONTH(CHOOSE({1,2,3,4},TTSSKĐ!U245,TTSSKĐ!AA245,TTSSKĐ!AG245,TTSSKĐ!AM245))=11)*(CHOOSE({1,2,3,4},TTSSKĐ!X245,TTSSKĐ!AD245,TTSSKĐ!AJ245,TTSSKĐ!AP245)))</f>
        <v>0</v>
      </c>
      <c r="L245">
        <f>SUMPRODUCT((MONTH(CHOOSE({1,2,3,4},TTSSKĐ!U245,TTSSKĐ!AA245,TTSSKĐ!AG245,TTSSKĐ!AM245))=12)*(CHOOSE({1,2,3,4},TTSSKĐ!X245,TTSSKĐ!AD245,TTSSKĐ!AJ245,TTSSKĐ!AP245)))</f>
        <v>0</v>
      </c>
    </row>
    <row r="246" spans="1:12">
      <c r="A246">
        <f>SUMPRODUCT((MONTH(CHOOSE({1,2,3,4},TTSSKĐ!U246,TTSSKĐ!AA246,TTSSKĐ!AG246,TTSSKĐ!AM246))=1)*(CHOOSE({1,2,3,4},TTSSKĐ!X246,TTSSKĐ!AD246,TTSSKĐ!AJ246,TTSSKĐ!AP246)))</f>
        <v>0</v>
      </c>
      <c r="B246">
        <f>SUMPRODUCT((MONTH(CHOOSE({1,2,3,4},TTSSKĐ!U246,TTSSKĐ!AA246,TTSSKĐ!AG246,TTSSKĐ!AM246))=2)*(CHOOSE({1,2,3,4},TTSSKĐ!X246,TTSSKĐ!AD246,TTSSKĐ!AJ246,TTSSKĐ!AP246)))</f>
        <v>0</v>
      </c>
      <c r="C246">
        <f>SUMPRODUCT((MONTH(CHOOSE({1,2,3,4},TTSSKĐ!U246,TTSSKĐ!AA246,TTSSKĐ!AG246,TTSSKĐ!AM246))=3)*(CHOOSE({1,2,3,4},TTSSKĐ!X246,TTSSKĐ!AD246,TTSSKĐ!AJ246,TTSSKĐ!AP246)))</f>
        <v>0</v>
      </c>
      <c r="D246">
        <f>SUMPRODUCT((MONTH(CHOOSE({1,2,3,4},TTSSKĐ!U246,TTSSKĐ!AA246,TTSSKĐ!AG246,TTSSKĐ!AM246))=4)*(CHOOSE({1,2,3,4},TTSSKĐ!X246,TTSSKĐ!AD246,TTSSKĐ!AJ246,TTSSKĐ!AP246)))</f>
        <v>0</v>
      </c>
      <c r="E246">
        <f>SUMPRODUCT((MONTH(CHOOSE({1,2,3,4},TTSSKĐ!U246,TTSSKĐ!AA246,TTSSKĐ!AG246,TTSSKĐ!AM246))=5)*(CHOOSE({1,2,3,4},TTSSKĐ!X246,TTSSKĐ!AD246,TTSSKĐ!AJ246,TTSSKĐ!AP246)))</f>
        <v>0</v>
      </c>
      <c r="F246">
        <f>SUMPRODUCT((MONTH(CHOOSE({1,2,3,4},TTSSKĐ!U246,TTSSKĐ!AA246,TTSSKĐ!AG246,TTSSKĐ!AM246))=6)*(CHOOSE({1,2,3,4},TTSSKĐ!X246,TTSSKĐ!AD246,TTSSKĐ!AJ246,TTSSKĐ!AP246)))</f>
        <v>0</v>
      </c>
      <c r="G246">
        <f>SUMPRODUCT((MONTH(CHOOSE({1,2,3,4},TTSSKĐ!U246,TTSSKĐ!AA246,TTSSKĐ!AG246,TTSSKĐ!AM246))=7)*(CHOOSE({1,2,3,4},TTSSKĐ!X246,TTSSKĐ!AD246,TTSSKĐ!AJ246,TTSSKĐ!AP246)))</f>
        <v>0</v>
      </c>
      <c r="H246">
        <f>SUMPRODUCT((MONTH(CHOOSE({1,2,3,4},TTSSKĐ!U246,TTSSKĐ!AA246,TTSSKĐ!AG246,TTSSKĐ!AM246))=8)*(CHOOSE({1,2,3,4},TTSSKĐ!X246,TTSSKĐ!AD246,TTSSKĐ!AJ246,TTSSKĐ!AP246)))</f>
        <v>0</v>
      </c>
      <c r="I246">
        <f>SUMPRODUCT((MONTH(CHOOSE({1,2,3,4},TTSSKĐ!U246,TTSSKĐ!AA246,TTSSKĐ!AG246,TTSSKĐ!AM246))=9)*(CHOOSE({1,2,3,4},TTSSKĐ!X246,TTSSKĐ!AD246,TTSSKĐ!AJ246,TTSSKĐ!AP246)))</f>
        <v>0</v>
      </c>
      <c r="J246">
        <f>SUMPRODUCT((MONTH(CHOOSE({1,2,3,4},TTSSKĐ!U246,TTSSKĐ!AA246,TTSSKĐ!AG246,TTSSKĐ!AM246))=10)*(CHOOSE({1,2,3,4},TTSSKĐ!X246,TTSSKĐ!AD246,TTSSKĐ!AJ246,TTSSKĐ!AP246)))</f>
        <v>0</v>
      </c>
      <c r="K246">
        <f>SUMPRODUCT((MONTH(CHOOSE({1,2,3,4},TTSSKĐ!U246,TTSSKĐ!AA246,TTSSKĐ!AG246,TTSSKĐ!AM246))=11)*(CHOOSE({1,2,3,4},TTSSKĐ!X246,TTSSKĐ!AD246,TTSSKĐ!AJ246,TTSSKĐ!AP246)))</f>
        <v>0</v>
      </c>
      <c r="L246">
        <f>SUMPRODUCT((MONTH(CHOOSE({1,2,3,4},TTSSKĐ!U246,TTSSKĐ!AA246,TTSSKĐ!AG246,TTSSKĐ!AM246))=12)*(CHOOSE({1,2,3,4},TTSSKĐ!X246,TTSSKĐ!AD246,TTSSKĐ!AJ246,TTSSKĐ!AP246)))</f>
        <v>0</v>
      </c>
    </row>
    <row r="247" spans="1:12">
      <c r="A247">
        <f>SUMPRODUCT((MONTH(CHOOSE({1,2,3,4},TTSSKĐ!U247,TTSSKĐ!AA247,TTSSKĐ!AG247,TTSSKĐ!AM247))=1)*(CHOOSE({1,2,3,4},TTSSKĐ!X247,TTSSKĐ!AD247,TTSSKĐ!AJ247,TTSSKĐ!AP247)))</f>
        <v>0</v>
      </c>
      <c r="B247">
        <f>SUMPRODUCT((MONTH(CHOOSE({1,2,3,4},TTSSKĐ!U247,TTSSKĐ!AA247,TTSSKĐ!AG247,TTSSKĐ!AM247))=2)*(CHOOSE({1,2,3,4},TTSSKĐ!X247,TTSSKĐ!AD247,TTSSKĐ!AJ247,TTSSKĐ!AP247)))</f>
        <v>0</v>
      </c>
      <c r="C247">
        <f>SUMPRODUCT((MONTH(CHOOSE({1,2,3,4},TTSSKĐ!U247,TTSSKĐ!AA247,TTSSKĐ!AG247,TTSSKĐ!AM247))=3)*(CHOOSE({1,2,3,4},TTSSKĐ!X247,TTSSKĐ!AD247,TTSSKĐ!AJ247,TTSSKĐ!AP247)))</f>
        <v>0</v>
      </c>
      <c r="D247">
        <f>SUMPRODUCT((MONTH(CHOOSE({1,2,3,4},TTSSKĐ!U247,TTSSKĐ!AA247,TTSSKĐ!AG247,TTSSKĐ!AM247))=4)*(CHOOSE({1,2,3,4},TTSSKĐ!X247,TTSSKĐ!AD247,TTSSKĐ!AJ247,TTSSKĐ!AP247)))</f>
        <v>0</v>
      </c>
      <c r="E247">
        <f>SUMPRODUCT((MONTH(CHOOSE({1,2,3,4},TTSSKĐ!U247,TTSSKĐ!AA247,TTSSKĐ!AG247,TTSSKĐ!AM247))=5)*(CHOOSE({1,2,3,4},TTSSKĐ!X247,TTSSKĐ!AD247,TTSSKĐ!AJ247,TTSSKĐ!AP247)))</f>
        <v>0</v>
      </c>
      <c r="F247">
        <f>SUMPRODUCT((MONTH(CHOOSE({1,2,3,4},TTSSKĐ!U247,TTSSKĐ!AA247,TTSSKĐ!AG247,TTSSKĐ!AM247))=6)*(CHOOSE({1,2,3,4},TTSSKĐ!X247,TTSSKĐ!AD247,TTSSKĐ!AJ247,TTSSKĐ!AP247)))</f>
        <v>0</v>
      </c>
      <c r="G247">
        <f>SUMPRODUCT((MONTH(CHOOSE({1,2,3,4},TTSSKĐ!U247,TTSSKĐ!AA247,TTSSKĐ!AG247,TTSSKĐ!AM247))=7)*(CHOOSE({1,2,3,4},TTSSKĐ!X247,TTSSKĐ!AD247,TTSSKĐ!AJ247,TTSSKĐ!AP247)))</f>
        <v>0</v>
      </c>
      <c r="H247">
        <f>SUMPRODUCT((MONTH(CHOOSE({1,2,3,4},TTSSKĐ!U247,TTSSKĐ!AA247,TTSSKĐ!AG247,TTSSKĐ!AM247))=8)*(CHOOSE({1,2,3,4},TTSSKĐ!X247,TTSSKĐ!AD247,TTSSKĐ!AJ247,TTSSKĐ!AP247)))</f>
        <v>0</v>
      </c>
      <c r="I247">
        <f>SUMPRODUCT((MONTH(CHOOSE({1,2,3,4},TTSSKĐ!U247,TTSSKĐ!AA247,TTSSKĐ!AG247,TTSSKĐ!AM247))=9)*(CHOOSE({1,2,3,4},TTSSKĐ!X247,TTSSKĐ!AD247,TTSSKĐ!AJ247,TTSSKĐ!AP247)))</f>
        <v>0</v>
      </c>
      <c r="J247">
        <f>SUMPRODUCT((MONTH(CHOOSE({1,2,3,4},TTSSKĐ!U247,TTSSKĐ!AA247,TTSSKĐ!AG247,TTSSKĐ!AM247))=10)*(CHOOSE({1,2,3,4},TTSSKĐ!X247,TTSSKĐ!AD247,TTSSKĐ!AJ247,TTSSKĐ!AP247)))</f>
        <v>0</v>
      </c>
      <c r="K247">
        <f>SUMPRODUCT((MONTH(CHOOSE({1,2,3,4},TTSSKĐ!U247,TTSSKĐ!AA247,TTSSKĐ!AG247,TTSSKĐ!AM247))=11)*(CHOOSE({1,2,3,4},TTSSKĐ!X247,TTSSKĐ!AD247,TTSSKĐ!AJ247,TTSSKĐ!AP247)))</f>
        <v>0</v>
      </c>
      <c r="L247">
        <f>SUMPRODUCT((MONTH(CHOOSE({1,2,3,4},TTSSKĐ!U247,TTSSKĐ!AA247,TTSSKĐ!AG247,TTSSKĐ!AM247))=12)*(CHOOSE({1,2,3,4},TTSSKĐ!X247,TTSSKĐ!AD247,TTSSKĐ!AJ247,TTSSKĐ!AP247)))</f>
        <v>0</v>
      </c>
    </row>
    <row r="248" spans="1:12">
      <c r="A248">
        <f>SUMPRODUCT((MONTH(CHOOSE({1,2,3,4},TTSSKĐ!U248,TTSSKĐ!AA248,TTSSKĐ!AG248,TTSSKĐ!AM248))=1)*(CHOOSE({1,2,3,4},TTSSKĐ!X248,TTSSKĐ!AD248,TTSSKĐ!AJ248,TTSSKĐ!AP248)))</f>
        <v>0</v>
      </c>
      <c r="B248">
        <f>SUMPRODUCT((MONTH(CHOOSE({1,2,3,4},TTSSKĐ!U248,TTSSKĐ!AA248,TTSSKĐ!AG248,TTSSKĐ!AM248))=2)*(CHOOSE({1,2,3,4},TTSSKĐ!X248,TTSSKĐ!AD248,TTSSKĐ!AJ248,TTSSKĐ!AP248)))</f>
        <v>0</v>
      </c>
      <c r="C248">
        <f>SUMPRODUCT((MONTH(CHOOSE({1,2,3,4},TTSSKĐ!U248,TTSSKĐ!AA248,TTSSKĐ!AG248,TTSSKĐ!AM248))=3)*(CHOOSE({1,2,3,4},TTSSKĐ!X248,TTSSKĐ!AD248,TTSSKĐ!AJ248,TTSSKĐ!AP248)))</f>
        <v>0</v>
      </c>
      <c r="D248">
        <f>SUMPRODUCT((MONTH(CHOOSE({1,2,3,4},TTSSKĐ!U248,TTSSKĐ!AA248,TTSSKĐ!AG248,TTSSKĐ!AM248))=4)*(CHOOSE({1,2,3,4},TTSSKĐ!X248,TTSSKĐ!AD248,TTSSKĐ!AJ248,TTSSKĐ!AP248)))</f>
        <v>0</v>
      </c>
      <c r="E248">
        <f>SUMPRODUCT((MONTH(CHOOSE({1,2,3,4},TTSSKĐ!U248,TTSSKĐ!AA248,TTSSKĐ!AG248,TTSSKĐ!AM248))=5)*(CHOOSE({1,2,3,4},TTSSKĐ!X248,TTSSKĐ!AD248,TTSSKĐ!AJ248,TTSSKĐ!AP248)))</f>
        <v>0</v>
      </c>
      <c r="F248">
        <f>SUMPRODUCT((MONTH(CHOOSE({1,2,3,4},TTSSKĐ!U248,TTSSKĐ!AA248,TTSSKĐ!AG248,TTSSKĐ!AM248))=6)*(CHOOSE({1,2,3,4},TTSSKĐ!X248,TTSSKĐ!AD248,TTSSKĐ!AJ248,TTSSKĐ!AP248)))</f>
        <v>0</v>
      </c>
      <c r="G248">
        <f>SUMPRODUCT((MONTH(CHOOSE({1,2,3,4},TTSSKĐ!U248,TTSSKĐ!AA248,TTSSKĐ!AG248,TTSSKĐ!AM248))=7)*(CHOOSE({1,2,3,4},TTSSKĐ!X248,TTSSKĐ!AD248,TTSSKĐ!AJ248,TTSSKĐ!AP248)))</f>
        <v>0</v>
      </c>
      <c r="H248">
        <f>SUMPRODUCT((MONTH(CHOOSE({1,2,3,4},TTSSKĐ!U248,TTSSKĐ!AA248,TTSSKĐ!AG248,TTSSKĐ!AM248))=8)*(CHOOSE({1,2,3,4},TTSSKĐ!X248,TTSSKĐ!AD248,TTSSKĐ!AJ248,TTSSKĐ!AP248)))</f>
        <v>0</v>
      </c>
      <c r="I248">
        <f>SUMPRODUCT((MONTH(CHOOSE({1,2,3,4},TTSSKĐ!U248,TTSSKĐ!AA248,TTSSKĐ!AG248,TTSSKĐ!AM248))=9)*(CHOOSE({1,2,3,4},TTSSKĐ!X248,TTSSKĐ!AD248,TTSSKĐ!AJ248,TTSSKĐ!AP248)))</f>
        <v>0</v>
      </c>
      <c r="J248">
        <f>SUMPRODUCT((MONTH(CHOOSE({1,2,3,4},TTSSKĐ!U248,TTSSKĐ!AA248,TTSSKĐ!AG248,TTSSKĐ!AM248))=10)*(CHOOSE({1,2,3,4},TTSSKĐ!X248,TTSSKĐ!AD248,TTSSKĐ!AJ248,TTSSKĐ!AP248)))</f>
        <v>0</v>
      </c>
      <c r="K248">
        <f>SUMPRODUCT((MONTH(CHOOSE({1,2,3,4},TTSSKĐ!U248,TTSSKĐ!AA248,TTSSKĐ!AG248,TTSSKĐ!AM248))=11)*(CHOOSE({1,2,3,4},TTSSKĐ!X248,TTSSKĐ!AD248,TTSSKĐ!AJ248,TTSSKĐ!AP248)))</f>
        <v>0</v>
      </c>
      <c r="L248">
        <f>SUMPRODUCT((MONTH(CHOOSE({1,2,3,4},TTSSKĐ!U248,TTSSKĐ!AA248,TTSSKĐ!AG248,TTSSKĐ!AM248))=12)*(CHOOSE({1,2,3,4},TTSSKĐ!X248,TTSSKĐ!AD248,TTSSKĐ!AJ248,TTSSKĐ!AP248)))</f>
        <v>0</v>
      </c>
    </row>
    <row r="249" spans="1:12">
      <c r="A249">
        <f>SUMPRODUCT((MONTH(CHOOSE({1,2,3,4},TTSSKĐ!U249,TTSSKĐ!AA249,TTSSKĐ!AG249,TTSSKĐ!AM249))=1)*(CHOOSE({1,2,3,4},TTSSKĐ!X249,TTSSKĐ!AD249,TTSSKĐ!AJ249,TTSSKĐ!AP249)))</f>
        <v>0</v>
      </c>
      <c r="B249">
        <f>SUMPRODUCT((MONTH(CHOOSE({1,2,3,4},TTSSKĐ!U249,TTSSKĐ!AA249,TTSSKĐ!AG249,TTSSKĐ!AM249))=2)*(CHOOSE({1,2,3,4},TTSSKĐ!X249,TTSSKĐ!AD249,TTSSKĐ!AJ249,TTSSKĐ!AP249)))</f>
        <v>0</v>
      </c>
      <c r="C249">
        <f>SUMPRODUCT((MONTH(CHOOSE({1,2,3,4},TTSSKĐ!U249,TTSSKĐ!AA249,TTSSKĐ!AG249,TTSSKĐ!AM249))=3)*(CHOOSE({1,2,3,4},TTSSKĐ!X249,TTSSKĐ!AD249,TTSSKĐ!AJ249,TTSSKĐ!AP249)))</f>
        <v>0</v>
      </c>
      <c r="D249">
        <f>SUMPRODUCT((MONTH(CHOOSE({1,2,3,4},TTSSKĐ!U249,TTSSKĐ!AA249,TTSSKĐ!AG249,TTSSKĐ!AM249))=4)*(CHOOSE({1,2,3,4},TTSSKĐ!X249,TTSSKĐ!AD249,TTSSKĐ!AJ249,TTSSKĐ!AP249)))</f>
        <v>0</v>
      </c>
      <c r="E249">
        <f>SUMPRODUCT((MONTH(CHOOSE({1,2,3,4},TTSSKĐ!U249,TTSSKĐ!AA249,TTSSKĐ!AG249,TTSSKĐ!AM249))=5)*(CHOOSE({1,2,3,4},TTSSKĐ!X249,TTSSKĐ!AD249,TTSSKĐ!AJ249,TTSSKĐ!AP249)))</f>
        <v>0</v>
      </c>
      <c r="F249">
        <f>SUMPRODUCT((MONTH(CHOOSE({1,2,3,4},TTSSKĐ!U249,TTSSKĐ!AA249,TTSSKĐ!AG249,TTSSKĐ!AM249))=6)*(CHOOSE({1,2,3,4},TTSSKĐ!X249,TTSSKĐ!AD249,TTSSKĐ!AJ249,TTSSKĐ!AP249)))</f>
        <v>0</v>
      </c>
      <c r="G249">
        <f>SUMPRODUCT((MONTH(CHOOSE({1,2,3,4},TTSSKĐ!U249,TTSSKĐ!AA249,TTSSKĐ!AG249,TTSSKĐ!AM249))=7)*(CHOOSE({1,2,3,4},TTSSKĐ!X249,TTSSKĐ!AD249,TTSSKĐ!AJ249,TTSSKĐ!AP249)))</f>
        <v>0</v>
      </c>
      <c r="H249">
        <f>SUMPRODUCT((MONTH(CHOOSE({1,2,3,4},TTSSKĐ!U249,TTSSKĐ!AA249,TTSSKĐ!AG249,TTSSKĐ!AM249))=8)*(CHOOSE({1,2,3,4},TTSSKĐ!X249,TTSSKĐ!AD249,TTSSKĐ!AJ249,TTSSKĐ!AP249)))</f>
        <v>0</v>
      </c>
      <c r="I249">
        <f>SUMPRODUCT((MONTH(CHOOSE({1,2,3,4},TTSSKĐ!U249,TTSSKĐ!AA249,TTSSKĐ!AG249,TTSSKĐ!AM249))=9)*(CHOOSE({1,2,3,4},TTSSKĐ!X249,TTSSKĐ!AD249,TTSSKĐ!AJ249,TTSSKĐ!AP249)))</f>
        <v>0</v>
      </c>
      <c r="J249">
        <f>SUMPRODUCT((MONTH(CHOOSE({1,2,3,4},TTSSKĐ!U249,TTSSKĐ!AA249,TTSSKĐ!AG249,TTSSKĐ!AM249))=10)*(CHOOSE({1,2,3,4},TTSSKĐ!X249,TTSSKĐ!AD249,TTSSKĐ!AJ249,TTSSKĐ!AP249)))</f>
        <v>0</v>
      </c>
      <c r="K249">
        <f>SUMPRODUCT((MONTH(CHOOSE({1,2,3,4},TTSSKĐ!U249,TTSSKĐ!AA249,TTSSKĐ!AG249,TTSSKĐ!AM249))=11)*(CHOOSE({1,2,3,4},TTSSKĐ!X249,TTSSKĐ!AD249,TTSSKĐ!AJ249,TTSSKĐ!AP249)))</f>
        <v>0</v>
      </c>
      <c r="L249">
        <f>SUMPRODUCT((MONTH(CHOOSE({1,2,3,4},TTSSKĐ!U249,TTSSKĐ!AA249,TTSSKĐ!AG249,TTSSKĐ!AM249))=12)*(CHOOSE({1,2,3,4},TTSSKĐ!X249,TTSSKĐ!AD249,TTSSKĐ!AJ249,TTSSKĐ!AP249)))</f>
        <v>0</v>
      </c>
    </row>
    <row r="250" spans="1:12">
      <c r="A250">
        <f>SUMPRODUCT((MONTH(CHOOSE({1,2,3,4},TTSSKĐ!U250,TTSSKĐ!AA250,TTSSKĐ!AG250,TTSSKĐ!AM250))=1)*(CHOOSE({1,2,3,4},TTSSKĐ!X250,TTSSKĐ!AD250,TTSSKĐ!AJ250,TTSSKĐ!AP250)))</f>
        <v>0</v>
      </c>
      <c r="B250">
        <f>SUMPRODUCT((MONTH(CHOOSE({1,2,3,4},TTSSKĐ!U250,TTSSKĐ!AA250,TTSSKĐ!AG250,TTSSKĐ!AM250))=2)*(CHOOSE({1,2,3,4},TTSSKĐ!X250,TTSSKĐ!AD250,TTSSKĐ!AJ250,TTSSKĐ!AP250)))</f>
        <v>0</v>
      </c>
      <c r="C250">
        <f>SUMPRODUCT((MONTH(CHOOSE({1,2,3,4},TTSSKĐ!U250,TTSSKĐ!AA250,TTSSKĐ!AG250,TTSSKĐ!AM250))=3)*(CHOOSE({1,2,3,4},TTSSKĐ!X250,TTSSKĐ!AD250,TTSSKĐ!AJ250,TTSSKĐ!AP250)))</f>
        <v>0</v>
      </c>
      <c r="D250">
        <f>SUMPRODUCT((MONTH(CHOOSE({1,2,3,4},TTSSKĐ!U250,TTSSKĐ!AA250,TTSSKĐ!AG250,TTSSKĐ!AM250))=4)*(CHOOSE({1,2,3,4},TTSSKĐ!X250,TTSSKĐ!AD250,TTSSKĐ!AJ250,TTSSKĐ!AP250)))</f>
        <v>0</v>
      </c>
      <c r="E250">
        <f>SUMPRODUCT((MONTH(CHOOSE({1,2,3,4},TTSSKĐ!U250,TTSSKĐ!AA250,TTSSKĐ!AG250,TTSSKĐ!AM250))=5)*(CHOOSE({1,2,3,4},TTSSKĐ!X250,TTSSKĐ!AD250,TTSSKĐ!AJ250,TTSSKĐ!AP250)))</f>
        <v>0</v>
      </c>
      <c r="F250">
        <f>SUMPRODUCT((MONTH(CHOOSE({1,2,3,4},TTSSKĐ!U250,TTSSKĐ!AA250,TTSSKĐ!AG250,TTSSKĐ!AM250))=6)*(CHOOSE({1,2,3,4},TTSSKĐ!X250,TTSSKĐ!AD250,TTSSKĐ!AJ250,TTSSKĐ!AP250)))</f>
        <v>0</v>
      </c>
      <c r="G250">
        <f>SUMPRODUCT((MONTH(CHOOSE({1,2,3,4},TTSSKĐ!U250,TTSSKĐ!AA250,TTSSKĐ!AG250,TTSSKĐ!AM250))=7)*(CHOOSE({1,2,3,4},TTSSKĐ!X250,TTSSKĐ!AD250,TTSSKĐ!AJ250,TTSSKĐ!AP250)))</f>
        <v>0</v>
      </c>
      <c r="H250">
        <f>SUMPRODUCT((MONTH(CHOOSE({1,2,3,4},TTSSKĐ!U250,TTSSKĐ!AA250,TTSSKĐ!AG250,TTSSKĐ!AM250))=8)*(CHOOSE({1,2,3,4},TTSSKĐ!X250,TTSSKĐ!AD250,TTSSKĐ!AJ250,TTSSKĐ!AP250)))</f>
        <v>0</v>
      </c>
      <c r="I250">
        <f>SUMPRODUCT((MONTH(CHOOSE({1,2,3,4},TTSSKĐ!U250,TTSSKĐ!AA250,TTSSKĐ!AG250,TTSSKĐ!AM250))=9)*(CHOOSE({1,2,3,4},TTSSKĐ!X250,TTSSKĐ!AD250,TTSSKĐ!AJ250,TTSSKĐ!AP250)))</f>
        <v>0</v>
      </c>
      <c r="J250">
        <f>SUMPRODUCT((MONTH(CHOOSE({1,2,3,4},TTSSKĐ!U250,TTSSKĐ!AA250,TTSSKĐ!AG250,TTSSKĐ!AM250))=10)*(CHOOSE({1,2,3,4},TTSSKĐ!X250,TTSSKĐ!AD250,TTSSKĐ!AJ250,TTSSKĐ!AP250)))</f>
        <v>0</v>
      </c>
      <c r="K250">
        <f>SUMPRODUCT((MONTH(CHOOSE({1,2,3,4},TTSSKĐ!U250,TTSSKĐ!AA250,TTSSKĐ!AG250,TTSSKĐ!AM250))=11)*(CHOOSE({1,2,3,4},TTSSKĐ!X250,TTSSKĐ!AD250,TTSSKĐ!AJ250,TTSSKĐ!AP250)))</f>
        <v>0</v>
      </c>
      <c r="L250">
        <f>SUMPRODUCT((MONTH(CHOOSE({1,2,3,4},TTSSKĐ!U250,TTSSKĐ!AA250,TTSSKĐ!AG250,TTSSKĐ!AM250))=12)*(CHOOSE({1,2,3,4},TTSSKĐ!X250,TTSSKĐ!AD250,TTSSKĐ!AJ250,TTSSKĐ!AP250)))</f>
        <v>0</v>
      </c>
    </row>
    <row r="251" spans="1:12">
      <c r="A251">
        <f>SUMPRODUCT((MONTH(CHOOSE({1,2,3,4},TTSSKĐ!U251,TTSSKĐ!AA251,TTSSKĐ!AG251,TTSSKĐ!AM251))=1)*(CHOOSE({1,2,3,4},TTSSKĐ!X251,TTSSKĐ!AD251,TTSSKĐ!AJ251,TTSSKĐ!AP251)))</f>
        <v>0</v>
      </c>
      <c r="B251">
        <f>SUMPRODUCT((MONTH(CHOOSE({1,2,3,4},TTSSKĐ!U251,TTSSKĐ!AA251,TTSSKĐ!AG251,TTSSKĐ!AM251))=2)*(CHOOSE({1,2,3,4},TTSSKĐ!X251,TTSSKĐ!AD251,TTSSKĐ!AJ251,TTSSKĐ!AP251)))</f>
        <v>0</v>
      </c>
      <c r="C251">
        <f>SUMPRODUCT((MONTH(CHOOSE({1,2,3,4},TTSSKĐ!U251,TTSSKĐ!AA251,TTSSKĐ!AG251,TTSSKĐ!AM251))=3)*(CHOOSE({1,2,3,4},TTSSKĐ!X251,TTSSKĐ!AD251,TTSSKĐ!AJ251,TTSSKĐ!AP251)))</f>
        <v>0</v>
      </c>
      <c r="D251">
        <f>SUMPRODUCT((MONTH(CHOOSE({1,2,3,4},TTSSKĐ!U251,TTSSKĐ!AA251,TTSSKĐ!AG251,TTSSKĐ!AM251))=4)*(CHOOSE({1,2,3,4},TTSSKĐ!X251,TTSSKĐ!AD251,TTSSKĐ!AJ251,TTSSKĐ!AP251)))</f>
        <v>0</v>
      </c>
      <c r="E251">
        <f>SUMPRODUCT((MONTH(CHOOSE({1,2,3,4},TTSSKĐ!U251,TTSSKĐ!AA251,TTSSKĐ!AG251,TTSSKĐ!AM251))=5)*(CHOOSE({1,2,3,4},TTSSKĐ!X251,TTSSKĐ!AD251,TTSSKĐ!AJ251,TTSSKĐ!AP251)))</f>
        <v>0</v>
      </c>
      <c r="F251">
        <f>SUMPRODUCT((MONTH(CHOOSE({1,2,3,4},TTSSKĐ!U251,TTSSKĐ!AA251,TTSSKĐ!AG251,TTSSKĐ!AM251))=6)*(CHOOSE({1,2,3,4},TTSSKĐ!X251,TTSSKĐ!AD251,TTSSKĐ!AJ251,TTSSKĐ!AP251)))</f>
        <v>0</v>
      </c>
      <c r="G251">
        <f>SUMPRODUCT((MONTH(CHOOSE({1,2,3,4},TTSSKĐ!U251,TTSSKĐ!AA251,TTSSKĐ!AG251,TTSSKĐ!AM251))=7)*(CHOOSE({1,2,3,4},TTSSKĐ!X251,TTSSKĐ!AD251,TTSSKĐ!AJ251,TTSSKĐ!AP251)))</f>
        <v>0</v>
      </c>
      <c r="H251">
        <f>SUMPRODUCT((MONTH(CHOOSE({1,2,3,4},TTSSKĐ!U251,TTSSKĐ!AA251,TTSSKĐ!AG251,TTSSKĐ!AM251))=8)*(CHOOSE({1,2,3,4},TTSSKĐ!X251,TTSSKĐ!AD251,TTSSKĐ!AJ251,TTSSKĐ!AP251)))</f>
        <v>0</v>
      </c>
      <c r="I251">
        <f>SUMPRODUCT((MONTH(CHOOSE({1,2,3,4},TTSSKĐ!U251,TTSSKĐ!AA251,TTSSKĐ!AG251,TTSSKĐ!AM251))=9)*(CHOOSE({1,2,3,4},TTSSKĐ!X251,TTSSKĐ!AD251,TTSSKĐ!AJ251,TTSSKĐ!AP251)))</f>
        <v>0</v>
      </c>
      <c r="J251">
        <f>SUMPRODUCT((MONTH(CHOOSE({1,2,3,4},TTSSKĐ!U251,TTSSKĐ!AA251,TTSSKĐ!AG251,TTSSKĐ!AM251))=10)*(CHOOSE({1,2,3,4},TTSSKĐ!X251,TTSSKĐ!AD251,TTSSKĐ!AJ251,TTSSKĐ!AP251)))</f>
        <v>0</v>
      </c>
      <c r="K251">
        <f>SUMPRODUCT((MONTH(CHOOSE({1,2,3,4},TTSSKĐ!U251,TTSSKĐ!AA251,TTSSKĐ!AG251,TTSSKĐ!AM251))=11)*(CHOOSE({1,2,3,4},TTSSKĐ!X251,TTSSKĐ!AD251,TTSSKĐ!AJ251,TTSSKĐ!AP251)))</f>
        <v>0</v>
      </c>
      <c r="L251">
        <f>SUMPRODUCT((MONTH(CHOOSE({1,2,3,4},TTSSKĐ!U251,TTSSKĐ!AA251,TTSSKĐ!AG251,TTSSKĐ!AM251))=12)*(CHOOSE({1,2,3,4},TTSSKĐ!X251,TTSSKĐ!AD251,TTSSKĐ!AJ251,TTSSKĐ!AP251)))</f>
        <v>0</v>
      </c>
    </row>
    <row r="252" spans="1:12">
      <c r="A252">
        <f>SUMPRODUCT((MONTH(CHOOSE({1,2,3,4},TTSSKĐ!U252,TTSSKĐ!AA252,TTSSKĐ!AG252,TTSSKĐ!AM252))=1)*(CHOOSE({1,2,3,4},TTSSKĐ!X252,TTSSKĐ!AD252,TTSSKĐ!AJ252,TTSSKĐ!AP252)))</f>
        <v>0</v>
      </c>
      <c r="B252">
        <f>SUMPRODUCT((MONTH(CHOOSE({1,2,3,4},TTSSKĐ!U252,TTSSKĐ!AA252,TTSSKĐ!AG252,TTSSKĐ!AM252))=2)*(CHOOSE({1,2,3,4},TTSSKĐ!X252,TTSSKĐ!AD252,TTSSKĐ!AJ252,TTSSKĐ!AP252)))</f>
        <v>0</v>
      </c>
      <c r="C252">
        <f>SUMPRODUCT((MONTH(CHOOSE({1,2,3,4},TTSSKĐ!U252,TTSSKĐ!AA252,TTSSKĐ!AG252,TTSSKĐ!AM252))=3)*(CHOOSE({1,2,3,4},TTSSKĐ!X252,TTSSKĐ!AD252,TTSSKĐ!AJ252,TTSSKĐ!AP252)))</f>
        <v>0</v>
      </c>
      <c r="D252">
        <f>SUMPRODUCT((MONTH(CHOOSE({1,2,3,4},TTSSKĐ!U252,TTSSKĐ!AA252,TTSSKĐ!AG252,TTSSKĐ!AM252))=4)*(CHOOSE({1,2,3,4},TTSSKĐ!X252,TTSSKĐ!AD252,TTSSKĐ!AJ252,TTSSKĐ!AP252)))</f>
        <v>0</v>
      </c>
      <c r="E252">
        <f>SUMPRODUCT((MONTH(CHOOSE({1,2,3,4},TTSSKĐ!U252,TTSSKĐ!AA252,TTSSKĐ!AG252,TTSSKĐ!AM252))=5)*(CHOOSE({1,2,3,4},TTSSKĐ!X252,TTSSKĐ!AD252,TTSSKĐ!AJ252,TTSSKĐ!AP252)))</f>
        <v>0</v>
      </c>
      <c r="F252">
        <f>SUMPRODUCT((MONTH(CHOOSE({1,2,3,4},TTSSKĐ!U252,TTSSKĐ!AA252,TTSSKĐ!AG252,TTSSKĐ!AM252))=6)*(CHOOSE({1,2,3,4},TTSSKĐ!X252,TTSSKĐ!AD252,TTSSKĐ!AJ252,TTSSKĐ!AP252)))</f>
        <v>0</v>
      </c>
      <c r="G252">
        <f>SUMPRODUCT((MONTH(CHOOSE({1,2,3,4},TTSSKĐ!U252,TTSSKĐ!AA252,TTSSKĐ!AG252,TTSSKĐ!AM252))=7)*(CHOOSE({1,2,3,4},TTSSKĐ!X252,TTSSKĐ!AD252,TTSSKĐ!AJ252,TTSSKĐ!AP252)))</f>
        <v>0</v>
      </c>
      <c r="H252">
        <f>SUMPRODUCT((MONTH(CHOOSE({1,2,3,4},TTSSKĐ!U252,TTSSKĐ!AA252,TTSSKĐ!AG252,TTSSKĐ!AM252))=8)*(CHOOSE({1,2,3,4},TTSSKĐ!X252,TTSSKĐ!AD252,TTSSKĐ!AJ252,TTSSKĐ!AP252)))</f>
        <v>0</v>
      </c>
      <c r="I252">
        <f>SUMPRODUCT((MONTH(CHOOSE({1,2,3,4},TTSSKĐ!U252,TTSSKĐ!AA252,TTSSKĐ!AG252,TTSSKĐ!AM252))=9)*(CHOOSE({1,2,3,4},TTSSKĐ!X252,TTSSKĐ!AD252,TTSSKĐ!AJ252,TTSSKĐ!AP252)))</f>
        <v>0</v>
      </c>
      <c r="J252">
        <f>SUMPRODUCT((MONTH(CHOOSE({1,2,3,4},TTSSKĐ!U252,TTSSKĐ!AA252,TTSSKĐ!AG252,TTSSKĐ!AM252))=10)*(CHOOSE({1,2,3,4},TTSSKĐ!X252,TTSSKĐ!AD252,TTSSKĐ!AJ252,TTSSKĐ!AP252)))</f>
        <v>0</v>
      </c>
      <c r="K252">
        <f>SUMPRODUCT((MONTH(CHOOSE({1,2,3,4},TTSSKĐ!U252,TTSSKĐ!AA252,TTSSKĐ!AG252,TTSSKĐ!AM252))=11)*(CHOOSE({1,2,3,4},TTSSKĐ!X252,TTSSKĐ!AD252,TTSSKĐ!AJ252,TTSSKĐ!AP252)))</f>
        <v>0</v>
      </c>
      <c r="L252">
        <f>SUMPRODUCT((MONTH(CHOOSE({1,2,3,4},TTSSKĐ!U252,TTSSKĐ!AA252,TTSSKĐ!AG252,TTSSKĐ!AM252))=12)*(CHOOSE({1,2,3,4},TTSSKĐ!X252,TTSSKĐ!AD252,TTSSKĐ!AJ252,TTSSKĐ!AP252)))</f>
        <v>0</v>
      </c>
    </row>
    <row r="253" spans="1:12">
      <c r="A253">
        <f>SUMPRODUCT((MONTH(CHOOSE({1,2,3,4},TTSSKĐ!U253,TTSSKĐ!AA253,TTSSKĐ!AG253,TTSSKĐ!AM253))=1)*(CHOOSE({1,2,3,4},TTSSKĐ!X253,TTSSKĐ!AD253,TTSSKĐ!AJ253,TTSSKĐ!AP253)))</f>
        <v>0</v>
      </c>
      <c r="B253">
        <f>SUMPRODUCT((MONTH(CHOOSE({1,2,3,4},TTSSKĐ!U253,TTSSKĐ!AA253,TTSSKĐ!AG253,TTSSKĐ!AM253))=2)*(CHOOSE({1,2,3,4},TTSSKĐ!X253,TTSSKĐ!AD253,TTSSKĐ!AJ253,TTSSKĐ!AP253)))</f>
        <v>0</v>
      </c>
      <c r="C253">
        <f>SUMPRODUCT((MONTH(CHOOSE({1,2,3,4},TTSSKĐ!U253,TTSSKĐ!AA253,TTSSKĐ!AG253,TTSSKĐ!AM253))=3)*(CHOOSE({1,2,3,4},TTSSKĐ!X253,TTSSKĐ!AD253,TTSSKĐ!AJ253,TTSSKĐ!AP253)))</f>
        <v>0</v>
      </c>
      <c r="D253">
        <f>SUMPRODUCT((MONTH(CHOOSE({1,2,3,4},TTSSKĐ!U253,TTSSKĐ!AA253,TTSSKĐ!AG253,TTSSKĐ!AM253))=4)*(CHOOSE({1,2,3,4},TTSSKĐ!X253,TTSSKĐ!AD253,TTSSKĐ!AJ253,TTSSKĐ!AP253)))</f>
        <v>0</v>
      </c>
      <c r="E253">
        <f>SUMPRODUCT((MONTH(CHOOSE({1,2,3,4},TTSSKĐ!U253,TTSSKĐ!AA253,TTSSKĐ!AG253,TTSSKĐ!AM253))=5)*(CHOOSE({1,2,3,4},TTSSKĐ!X253,TTSSKĐ!AD253,TTSSKĐ!AJ253,TTSSKĐ!AP253)))</f>
        <v>0</v>
      </c>
      <c r="F253">
        <f>SUMPRODUCT((MONTH(CHOOSE({1,2,3,4},TTSSKĐ!U253,TTSSKĐ!AA253,TTSSKĐ!AG253,TTSSKĐ!AM253))=6)*(CHOOSE({1,2,3,4},TTSSKĐ!X253,TTSSKĐ!AD253,TTSSKĐ!AJ253,TTSSKĐ!AP253)))</f>
        <v>0</v>
      </c>
      <c r="G253">
        <f>SUMPRODUCT((MONTH(CHOOSE({1,2,3,4},TTSSKĐ!U253,TTSSKĐ!AA253,TTSSKĐ!AG253,TTSSKĐ!AM253))=7)*(CHOOSE({1,2,3,4},TTSSKĐ!X253,TTSSKĐ!AD253,TTSSKĐ!AJ253,TTSSKĐ!AP253)))</f>
        <v>0</v>
      </c>
      <c r="H253">
        <f>SUMPRODUCT((MONTH(CHOOSE({1,2,3,4},TTSSKĐ!U253,TTSSKĐ!AA253,TTSSKĐ!AG253,TTSSKĐ!AM253))=8)*(CHOOSE({1,2,3,4},TTSSKĐ!X253,TTSSKĐ!AD253,TTSSKĐ!AJ253,TTSSKĐ!AP253)))</f>
        <v>0</v>
      </c>
      <c r="I253">
        <f>SUMPRODUCT((MONTH(CHOOSE({1,2,3,4},TTSSKĐ!U253,TTSSKĐ!AA253,TTSSKĐ!AG253,TTSSKĐ!AM253))=9)*(CHOOSE({1,2,3,4},TTSSKĐ!X253,TTSSKĐ!AD253,TTSSKĐ!AJ253,TTSSKĐ!AP253)))</f>
        <v>0</v>
      </c>
      <c r="J253">
        <f>SUMPRODUCT((MONTH(CHOOSE({1,2,3,4},TTSSKĐ!U253,TTSSKĐ!AA253,TTSSKĐ!AG253,TTSSKĐ!AM253))=10)*(CHOOSE({1,2,3,4},TTSSKĐ!X253,TTSSKĐ!AD253,TTSSKĐ!AJ253,TTSSKĐ!AP253)))</f>
        <v>0</v>
      </c>
      <c r="K253">
        <f>SUMPRODUCT((MONTH(CHOOSE({1,2,3,4},TTSSKĐ!U253,TTSSKĐ!AA253,TTSSKĐ!AG253,TTSSKĐ!AM253))=11)*(CHOOSE({1,2,3,4},TTSSKĐ!X253,TTSSKĐ!AD253,TTSSKĐ!AJ253,TTSSKĐ!AP253)))</f>
        <v>0</v>
      </c>
      <c r="L253">
        <f>SUMPRODUCT((MONTH(CHOOSE({1,2,3,4},TTSSKĐ!U253,TTSSKĐ!AA253,TTSSKĐ!AG253,TTSSKĐ!AM253))=12)*(CHOOSE({1,2,3,4},TTSSKĐ!X253,TTSSKĐ!AD253,TTSSKĐ!AJ253,TTSSKĐ!AP253)))</f>
        <v>0</v>
      </c>
    </row>
    <row r="254" spans="1:12">
      <c r="A254">
        <f>SUMPRODUCT((MONTH(CHOOSE({1,2,3,4},TTSSKĐ!U254,TTSSKĐ!AA254,TTSSKĐ!AG254,TTSSKĐ!AM254))=1)*(CHOOSE({1,2,3,4},TTSSKĐ!X254,TTSSKĐ!AD254,TTSSKĐ!AJ254,TTSSKĐ!AP254)))</f>
        <v>0</v>
      </c>
      <c r="B254">
        <f>SUMPRODUCT((MONTH(CHOOSE({1,2,3,4},TTSSKĐ!U254,TTSSKĐ!AA254,TTSSKĐ!AG254,TTSSKĐ!AM254))=2)*(CHOOSE({1,2,3,4},TTSSKĐ!X254,TTSSKĐ!AD254,TTSSKĐ!AJ254,TTSSKĐ!AP254)))</f>
        <v>0</v>
      </c>
      <c r="C254">
        <f>SUMPRODUCT((MONTH(CHOOSE({1,2,3,4},TTSSKĐ!U254,TTSSKĐ!AA254,TTSSKĐ!AG254,TTSSKĐ!AM254))=3)*(CHOOSE({1,2,3,4},TTSSKĐ!X254,TTSSKĐ!AD254,TTSSKĐ!AJ254,TTSSKĐ!AP254)))</f>
        <v>0</v>
      </c>
      <c r="D254">
        <f>SUMPRODUCT((MONTH(CHOOSE({1,2,3,4},TTSSKĐ!U254,TTSSKĐ!AA254,TTSSKĐ!AG254,TTSSKĐ!AM254))=4)*(CHOOSE({1,2,3,4},TTSSKĐ!X254,TTSSKĐ!AD254,TTSSKĐ!AJ254,TTSSKĐ!AP254)))</f>
        <v>0</v>
      </c>
      <c r="E254">
        <f>SUMPRODUCT((MONTH(CHOOSE({1,2,3,4},TTSSKĐ!U254,TTSSKĐ!AA254,TTSSKĐ!AG254,TTSSKĐ!AM254))=5)*(CHOOSE({1,2,3,4},TTSSKĐ!X254,TTSSKĐ!AD254,TTSSKĐ!AJ254,TTSSKĐ!AP254)))</f>
        <v>0</v>
      </c>
      <c r="F254">
        <f>SUMPRODUCT((MONTH(CHOOSE({1,2,3,4},TTSSKĐ!U254,TTSSKĐ!AA254,TTSSKĐ!AG254,TTSSKĐ!AM254))=6)*(CHOOSE({1,2,3,4},TTSSKĐ!X254,TTSSKĐ!AD254,TTSSKĐ!AJ254,TTSSKĐ!AP254)))</f>
        <v>0</v>
      </c>
      <c r="G254">
        <f>SUMPRODUCT((MONTH(CHOOSE({1,2,3,4},TTSSKĐ!U254,TTSSKĐ!AA254,TTSSKĐ!AG254,TTSSKĐ!AM254))=7)*(CHOOSE({1,2,3,4},TTSSKĐ!X254,TTSSKĐ!AD254,TTSSKĐ!AJ254,TTSSKĐ!AP254)))</f>
        <v>0</v>
      </c>
      <c r="H254">
        <f>SUMPRODUCT((MONTH(CHOOSE({1,2,3,4},TTSSKĐ!U254,TTSSKĐ!AA254,TTSSKĐ!AG254,TTSSKĐ!AM254))=8)*(CHOOSE({1,2,3,4},TTSSKĐ!X254,TTSSKĐ!AD254,TTSSKĐ!AJ254,TTSSKĐ!AP254)))</f>
        <v>0</v>
      </c>
      <c r="I254">
        <f>SUMPRODUCT((MONTH(CHOOSE({1,2,3,4},TTSSKĐ!U254,TTSSKĐ!AA254,TTSSKĐ!AG254,TTSSKĐ!AM254))=9)*(CHOOSE({1,2,3,4},TTSSKĐ!X254,TTSSKĐ!AD254,TTSSKĐ!AJ254,TTSSKĐ!AP254)))</f>
        <v>0</v>
      </c>
      <c r="J254">
        <f>SUMPRODUCT((MONTH(CHOOSE({1,2,3,4},TTSSKĐ!U254,TTSSKĐ!AA254,TTSSKĐ!AG254,TTSSKĐ!AM254))=10)*(CHOOSE({1,2,3,4},TTSSKĐ!X254,TTSSKĐ!AD254,TTSSKĐ!AJ254,TTSSKĐ!AP254)))</f>
        <v>0</v>
      </c>
      <c r="K254">
        <f>SUMPRODUCT((MONTH(CHOOSE({1,2,3,4},TTSSKĐ!U254,TTSSKĐ!AA254,TTSSKĐ!AG254,TTSSKĐ!AM254))=11)*(CHOOSE({1,2,3,4},TTSSKĐ!X254,TTSSKĐ!AD254,TTSSKĐ!AJ254,TTSSKĐ!AP254)))</f>
        <v>0</v>
      </c>
      <c r="L254">
        <f>SUMPRODUCT((MONTH(CHOOSE({1,2,3,4},TTSSKĐ!U254,TTSSKĐ!AA254,TTSSKĐ!AG254,TTSSKĐ!AM254))=12)*(CHOOSE({1,2,3,4},TTSSKĐ!X254,TTSSKĐ!AD254,TTSSKĐ!AJ254,TTSSKĐ!AP254)))</f>
        <v>0</v>
      </c>
    </row>
    <row r="255" spans="1:12">
      <c r="A255">
        <f>SUMPRODUCT((MONTH(CHOOSE({1,2,3,4},TTSSKĐ!U255,TTSSKĐ!AA255,TTSSKĐ!AG255,TTSSKĐ!AM255))=1)*(CHOOSE({1,2,3,4},TTSSKĐ!X255,TTSSKĐ!AD255,TTSSKĐ!AJ255,TTSSKĐ!AP255)))</f>
        <v>0</v>
      </c>
      <c r="B255">
        <f>SUMPRODUCT((MONTH(CHOOSE({1,2,3,4},TTSSKĐ!U255,TTSSKĐ!AA255,TTSSKĐ!AG255,TTSSKĐ!AM255))=2)*(CHOOSE({1,2,3,4},TTSSKĐ!X255,TTSSKĐ!AD255,TTSSKĐ!AJ255,TTSSKĐ!AP255)))</f>
        <v>0</v>
      </c>
      <c r="C255">
        <f>SUMPRODUCT((MONTH(CHOOSE({1,2,3,4},TTSSKĐ!U255,TTSSKĐ!AA255,TTSSKĐ!AG255,TTSSKĐ!AM255))=3)*(CHOOSE({1,2,3,4},TTSSKĐ!X255,TTSSKĐ!AD255,TTSSKĐ!AJ255,TTSSKĐ!AP255)))</f>
        <v>0</v>
      </c>
      <c r="D255">
        <f>SUMPRODUCT((MONTH(CHOOSE({1,2,3,4},TTSSKĐ!U255,TTSSKĐ!AA255,TTSSKĐ!AG255,TTSSKĐ!AM255))=4)*(CHOOSE({1,2,3,4},TTSSKĐ!X255,TTSSKĐ!AD255,TTSSKĐ!AJ255,TTSSKĐ!AP255)))</f>
        <v>0</v>
      </c>
      <c r="E255">
        <f>SUMPRODUCT((MONTH(CHOOSE({1,2,3,4},TTSSKĐ!U255,TTSSKĐ!AA255,TTSSKĐ!AG255,TTSSKĐ!AM255))=5)*(CHOOSE({1,2,3,4},TTSSKĐ!X255,TTSSKĐ!AD255,TTSSKĐ!AJ255,TTSSKĐ!AP255)))</f>
        <v>0</v>
      </c>
      <c r="F255">
        <f>SUMPRODUCT((MONTH(CHOOSE({1,2,3,4},TTSSKĐ!U255,TTSSKĐ!AA255,TTSSKĐ!AG255,TTSSKĐ!AM255))=6)*(CHOOSE({1,2,3,4},TTSSKĐ!X255,TTSSKĐ!AD255,TTSSKĐ!AJ255,TTSSKĐ!AP255)))</f>
        <v>0</v>
      </c>
      <c r="G255">
        <f>SUMPRODUCT((MONTH(CHOOSE({1,2,3,4},TTSSKĐ!U255,TTSSKĐ!AA255,TTSSKĐ!AG255,TTSSKĐ!AM255))=7)*(CHOOSE({1,2,3,4},TTSSKĐ!X255,TTSSKĐ!AD255,TTSSKĐ!AJ255,TTSSKĐ!AP255)))</f>
        <v>0</v>
      </c>
      <c r="H255">
        <f>SUMPRODUCT((MONTH(CHOOSE({1,2,3,4},TTSSKĐ!U255,TTSSKĐ!AA255,TTSSKĐ!AG255,TTSSKĐ!AM255))=8)*(CHOOSE({1,2,3,4},TTSSKĐ!X255,TTSSKĐ!AD255,TTSSKĐ!AJ255,TTSSKĐ!AP255)))</f>
        <v>0</v>
      </c>
      <c r="I255">
        <f>SUMPRODUCT((MONTH(CHOOSE({1,2,3,4},TTSSKĐ!U255,TTSSKĐ!AA255,TTSSKĐ!AG255,TTSSKĐ!AM255))=9)*(CHOOSE({1,2,3,4},TTSSKĐ!X255,TTSSKĐ!AD255,TTSSKĐ!AJ255,TTSSKĐ!AP255)))</f>
        <v>0</v>
      </c>
      <c r="J255">
        <f>SUMPRODUCT((MONTH(CHOOSE({1,2,3,4},TTSSKĐ!U255,TTSSKĐ!AA255,TTSSKĐ!AG255,TTSSKĐ!AM255))=10)*(CHOOSE({1,2,3,4},TTSSKĐ!X255,TTSSKĐ!AD255,TTSSKĐ!AJ255,TTSSKĐ!AP255)))</f>
        <v>0</v>
      </c>
      <c r="K255">
        <f>SUMPRODUCT((MONTH(CHOOSE({1,2,3,4},TTSSKĐ!U255,TTSSKĐ!AA255,TTSSKĐ!AG255,TTSSKĐ!AM255))=11)*(CHOOSE({1,2,3,4},TTSSKĐ!X255,TTSSKĐ!AD255,TTSSKĐ!AJ255,TTSSKĐ!AP255)))</f>
        <v>0</v>
      </c>
      <c r="L255">
        <f>SUMPRODUCT((MONTH(CHOOSE({1,2,3,4},TTSSKĐ!U255,TTSSKĐ!AA255,TTSSKĐ!AG255,TTSSKĐ!AM255))=12)*(CHOOSE({1,2,3,4},TTSSKĐ!X255,TTSSKĐ!AD255,TTSSKĐ!AJ255,TTSSKĐ!AP255)))</f>
        <v>0</v>
      </c>
    </row>
    <row r="256" spans="1:12">
      <c r="A256">
        <f>SUMPRODUCT((MONTH(CHOOSE({1,2,3,4},TTSSKĐ!U256,TTSSKĐ!AA256,TTSSKĐ!AG256,TTSSKĐ!AM256))=1)*(CHOOSE({1,2,3,4},TTSSKĐ!X256,TTSSKĐ!AD256,TTSSKĐ!AJ256,TTSSKĐ!AP256)))</f>
        <v>0</v>
      </c>
      <c r="B256">
        <f>SUMPRODUCT((MONTH(CHOOSE({1,2,3,4},TTSSKĐ!U256,TTSSKĐ!AA256,TTSSKĐ!AG256,TTSSKĐ!AM256))=2)*(CHOOSE({1,2,3,4},TTSSKĐ!X256,TTSSKĐ!AD256,TTSSKĐ!AJ256,TTSSKĐ!AP256)))</f>
        <v>0</v>
      </c>
      <c r="C256">
        <f>SUMPRODUCT((MONTH(CHOOSE({1,2,3,4},TTSSKĐ!U256,TTSSKĐ!AA256,TTSSKĐ!AG256,TTSSKĐ!AM256))=3)*(CHOOSE({1,2,3,4},TTSSKĐ!X256,TTSSKĐ!AD256,TTSSKĐ!AJ256,TTSSKĐ!AP256)))</f>
        <v>0</v>
      </c>
      <c r="D256">
        <f>SUMPRODUCT((MONTH(CHOOSE({1,2,3,4},TTSSKĐ!U256,TTSSKĐ!AA256,TTSSKĐ!AG256,TTSSKĐ!AM256))=4)*(CHOOSE({1,2,3,4},TTSSKĐ!X256,TTSSKĐ!AD256,TTSSKĐ!AJ256,TTSSKĐ!AP256)))</f>
        <v>0</v>
      </c>
      <c r="E256">
        <f>SUMPRODUCT((MONTH(CHOOSE({1,2,3,4},TTSSKĐ!U256,TTSSKĐ!AA256,TTSSKĐ!AG256,TTSSKĐ!AM256))=5)*(CHOOSE({1,2,3,4},TTSSKĐ!X256,TTSSKĐ!AD256,TTSSKĐ!AJ256,TTSSKĐ!AP256)))</f>
        <v>0</v>
      </c>
      <c r="F256">
        <f>SUMPRODUCT((MONTH(CHOOSE({1,2,3,4},TTSSKĐ!U256,TTSSKĐ!AA256,TTSSKĐ!AG256,TTSSKĐ!AM256))=6)*(CHOOSE({1,2,3,4},TTSSKĐ!X256,TTSSKĐ!AD256,TTSSKĐ!AJ256,TTSSKĐ!AP256)))</f>
        <v>0</v>
      </c>
      <c r="G256">
        <f>SUMPRODUCT((MONTH(CHOOSE({1,2,3,4},TTSSKĐ!U256,TTSSKĐ!AA256,TTSSKĐ!AG256,TTSSKĐ!AM256))=7)*(CHOOSE({1,2,3,4},TTSSKĐ!X256,TTSSKĐ!AD256,TTSSKĐ!AJ256,TTSSKĐ!AP256)))</f>
        <v>0</v>
      </c>
      <c r="H256">
        <f>SUMPRODUCT((MONTH(CHOOSE({1,2,3,4},TTSSKĐ!U256,TTSSKĐ!AA256,TTSSKĐ!AG256,TTSSKĐ!AM256))=8)*(CHOOSE({1,2,3,4},TTSSKĐ!X256,TTSSKĐ!AD256,TTSSKĐ!AJ256,TTSSKĐ!AP256)))</f>
        <v>0</v>
      </c>
      <c r="I256">
        <f>SUMPRODUCT((MONTH(CHOOSE({1,2,3,4},TTSSKĐ!U256,TTSSKĐ!AA256,TTSSKĐ!AG256,TTSSKĐ!AM256))=9)*(CHOOSE({1,2,3,4},TTSSKĐ!X256,TTSSKĐ!AD256,TTSSKĐ!AJ256,TTSSKĐ!AP256)))</f>
        <v>0</v>
      </c>
      <c r="J256">
        <f>SUMPRODUCT((MONTH(CHOOSE({1,2,3,4},TTSSKĐ!U256,TTSSKĐ!AA256,TTSSKĐ!AG256,TTSSKĐ!AM256))=10)*(CHOOSE({1,2,3,4},TTSSKĐ!X256,TTSSKĐ!AD256,TTSSKĐ!AJ256,TTSSKĐ!AP256)))</f>
        <v>0</v>
      </c>
      <c r="K256">
        <f>SUMPRODUCT((MONTH(CHOOSE({1,2,3,4},TTSSKĐ!U256,TTSSKĐ!AA256,TTSSKĐ!AG256,TTSSKĐ!AM256))=11)*(CHOOSE({1,2,3,4},TTSSKĐ!X256,TTSSKĐ!AD256,TTSSKĐ!AJ256,TTSSKĐ!AP256)))</f>
        <v>0</v>
      </c>
      <c r="L256">
        <f>SUMPRODUCT((MONTH(CHOOSE({1,2,3,4},TTSSKĐ!U256,TTSSKĐ!AA256,TTSSKĐ!AG256,TTSSKĐ!AM256))=12)*(CHOOSE({1,2,3,4},TTSSKĐ!X256,TTSSKĐ!AD256,TTSSKĐ!AJ256,TTSSKĐ!AP256)))</f>
        <v>0</v>
      </c>
    </row>
    <row r="257" spans="1:12">
      <c r="A257">
        <f>SUMPRODUCT((MONTH(CHOOSE({1,2,3,4},TTSSKĐ!U257,TTSSKĐ!AA257,TTSSKĐ!AG257,TTSSKĐ!AM257))=1)*(CHOOSE({1,2,3,4},TTSSKĐ!X257,TTSSKĐ!AD257,TTSSKĐ!AJ257,TTSSKĐ!AP257)))</f>
        <v>0</v>
      </c>
      <c r="B257">
        <f>SUMPRODUCT((MONTH(CHOOSE({1,2,3,4},TTSSKĐ!U257,TTSSKĐ!AA257,TTSSKĐ!AG257,TTSSKĐ!AM257))=2)*(CHOOSE({1,2,3,4},TTSSKĐ!X257,TTSSKĐ!AD257,TTSSKĐ!AJ257,TTSSKĐ!AP257)))</f>
        <v>0</v>
      </c>
      <c r="C257">
        <f>SUMPRODUCT((MONTH(CHOOSE({1,2,3,4},TTSSKĐ!U257,TTSSKĐ!AA257,TTSSKĐ!AG257,TTSSKĐ!AM257))=3)*(CHOOSE({1,2,3,4},TTSSKĐ!X257,TTSSKĐ!AD257,TTSSKĐ!AJ257,TTSSKĐ!AP257)))</f>
        <v>0</v>
      </c>
      <c r="D257">
        <f>SUMPRODUCT((MONTH(CHOOSE({1,2,3,4},TTSSKĐ!U257,TTSSKĐ!AA257,TTSSKĐ!AG257,TTSSKĐ!AM257))=4)*(CHOOSE({1,2,3,4},TTSSKĐ!X257,TTSSKĐ!AD257,TTSSKĐ!AJ257,TTSSKĐ!AP257)))</f>
        <v>0</v>
      </c>
      <c r="E257">
        <f>SUMPRODUCT((MONTH(CHOOSE({1,2,3,4},TTSSKĐ!U257,TTSSKĐ!AA257,TTSSKĐ!AG257,TTSSKĐ!AM257))=5)*(CHOOSE({1,2,3,4},TTSSKĐ!X257,TTSSKĐ!AD257,TTSSKĐ!AJ257,TTSSKĐ!AP257)))</f>
        <v>0</v>
      </c>
      <c r="F257">
        <f>SUMPRODUCT((MONTH(CHOOSE({1,2,3,4},TTSSKĐ!U257,TTSSKĐ!AA257,TTSSKĐ!AG257,TTSSKĐ!AM257))=6)*(CHOOSE({1,2,3,4},TTSSKĐ!X257,TTSSKĐ!AD257,TTSSKĐ!AJ257,TTSSKĐ!AP257)))</f>
        <v>0</v>
      </c>
      <c r="G257">
        <f>SUMPRODUCT((MONTH(CHOOSE({1,2,3,4},TTSSKĐ!U257,TTSSKĐ!AA257,TTSSKĐ!AG257,TTSSKĐ!AM257))=7)*(CHOOSE({1,2,3,4},TTSSKĐ!X257,TTSSKĐ!AD257,TTSSKĐ!AJ257,TTSSKĐ!AP257)))</f>
        <v>0</v>
      </c>
      <c r="H257">
        <f>SUMPRODUCT((MONTH(CHOOSE({1,2,3,4},TTSSKĐ!U257,TTSSKĐ!AA257,TTSSKĐ!AG257,TTSSKĐ!AM257))=8)*(CHOOSE({1,2,3,4},TTSSKĐ!X257,TTSSKĐ!AD257,TTSSKĐ!AJ257,TTSSKĐ!AP257)))</f>
        <v>0</v>
      </c>
      <c r="I257">
        <f>SUMPRODUCT((MONTH(CHOOSE({1,2,3,4},TTSSKĐ!U257,TTSSKĐ!AA257,TTSSKĐ!AG257,TTSSKĐ!AM257))=9)*(CHOOSE({1,2,3,4},TTSSKĐ!X257,TTSSKĐ!AD257,TTSSKĐ!AJ257,TTSSKĐ!AP257)))</f>
        <v>0</v>
      </c>
      <c r="J257">
        <f>SUMPRODUCT((MONTH(CHOOSE({1,2,3,4},TTSSKĐ!U257,TTSSKĐ!AA257,TTSSKĐ!AG257,TTSSKĐ!AM257))=10)*(CHOOSE({1,2,3,4},TTSSKĐ!X257,TTSSKĐ!AD257,TTSSKĐ!AJ257,TTSSKĐ!AP257)))</f>
        <v>0</v>
      </c>
      <c r="K257">
        <f>SUMPRODUCT((MONTH(CHOOSE({1,2,3,4},TTSSKĐ!U257,TTSSKĐ!AA257,TTSSKĐ!AG257,TTSSKĐ!AM257))=11)*(CHOOSE({1,2,3,4},TTSSKĐ!X257,TTSSKĐ!AD257,TTSSKĐ!AJ257,TTSSKĐ!AP257)))</f>
        <v>0</v>
      </c>
      <c r="L257">
        <f>SUMPRODUCT((MONTH(CHOOSE({1,2,3,4},TTSSKĐ!U257,TTSSKĐ!AA257,TTSSKĐ!AG257,TTSSKĐ!AM257))=12)*(CHOOSE({1,2,3,4},TTSSKĐ!X257,TTSSKĐ!AD257,TTSSKĐ!AJ257,TTSSKĐ!AP257)))</f>
        <v>0</v>
      </c>
    </row>
    <row r="258" spans="1:12">
      <c r="A258">
        <f>SUMPRODUCT((MONTH(CHOOSE({1,2,3,4},TTSSKĐ!U258,TTSSKĐ!AA258,TTSSKĐ!AG258,TTSSKĐ!AM258))=1)*(CHOOSE({1,2,3,4},TTSSKĐ!X258,TTSSKĐ!AD258,TTSSKĐ!AJ258,TTSSKĐ!AP258)))</f>
        <v>0</v>
      </c>
      <c r="B258">
        <f>SUMPRODUCT((MONTH(CHOOSE({1,2,3,4},TTSSKĐ!U258,TTSSKĐ!AA258,TTSSKĐ!AG258,TTSSKĐ!AM258))=2)*(CHOOSE({1,2,3,4},TTSSKĐ!X258,TTSSKĐ!AD258,TTSSKĐ!AJ258,TTSSKĐ!AP258)))</f>
        <v>0</v>
      </c>
      <c r="C258">
        <f>SUMPRODUCT((MONTH(CHOOSE({1,2,3,4},TTSSKĐ!U258,TTSSKĐ!AA258,TTSSKĐ!AG258,TTSSKĐ!AM258))=3)*(CHOOSE({1,2,3,4},TTSSKĐ!X258,TTSSKĐ!AD258,TTSSKĐ!AJ258,TTSSKĐ!AP258)))</f>
        <v>0</v>
      </c>
      <c r="D258">
        <f>SUMPRODUCT((MONTH(CHOOSE({1,2,3,4},TTSSKĐ!U258,TTSSKĐ!AA258,TTSSKĐ!AG258,TTSSKĐ!AM258))=4)*(CHOOSE({1,2,3,4},TTSSKĐ!X258,TTSSKĐ!AD258,TTSSKĐ!AJ258,TTSSKĐ!AP258)))</f>
        <v>0</v>
      </c>
      <c r="E258">
        <f>SUMPRODUCT((MONTH(CHOOSE({1,2,3,4},TTSSKĐ!U258,TTSSKĐ!AA258,TTSSKĐ!AG258,TTSSKĐ!AM258))=5)*(CHOOSE({1,2,3,4},TTSSKĐ!X258,TTSSKĐ!AD258,TTSSKĐ!AJ258,TTSSKĐ!AP258)))</f>
        <v>0</v>
      </c>
      <c r="F258">
        <f>SUMPRODUCT((MONTH(CHOOSE({1,2,3,4},TTSSKĐ!U258,TTSSKĐ!AA258,TTSSKĐ!AG258,TTSSKĐ!AM258))=6)*(CHOOSE({1,2,3,4},TTSSKĐ!X258,TTSSKĐ!AD258,TTSSKĐ!AJ258,TTSSKĐ!AP258)))</f>
        <v>0</v>
      </c>
      <c r="G258">
        <f>SUMPRODUCT((MONTH(CHOOSE({1,2,3,4},TTSSKĐ!U258,TTSSKĐ!AA258,TTSSKĐ!AG258,TTSSKĐ!AM258))=7)*(CHOOSE({1,2,3,4},TTSSKĐ!X258,TTSSKĐ!AD258,TTSSKĐ!AJ258,TTSSKĐ!AP258)))</f>
        <v>0</v>
      </c>
      <c r="H258">
        <f>SUMPRODUCT((MONTH(CHOOSE({1,2,3,4},TTSSKĐ!U258,TTSSKĐ!AA258,TTSSKĐ!AG258,TTSSKĐ!AM258))=8)*(CHOOSE({1,2,3,4},TTSSKĐ!X258,TTSSKĐ!AD258,TTSSKĐ!AJ258,TTSSKĐ!AP258)))</f>
        <v>0</v>
      </c>
      <c r="I258">
        <f>SUMPRODUCT((MONTH(CHOOSE({1,2,3,4},TTSSKĐ!U258,TTSSKĐ!AA258,TTSSKĐ!AG258,TTSSKĐ!AM258))=9)*(CHOOSE({1,2,3,4},TTSSKĐ!X258,TTSSKĐ!AD258,TTSSKĐ!AJ258,TTSSKĐ!AP258)))</f>
        <v>0</v>
      </c>
      <c r="J258">
        <f>SUMPRODUCT((MONTH(CHOOSE({1,2,3,4},TTSSKĐ!U258,TTSSKĐ!AA258,TTSSKĐ!AG258,TTSSKĐ!AM258))=10)*(CHOOSE({1,2,3,4},TTSSKĐ!X258,TTSSKĐ!AD258,TTSSKĐ!AJ258,TTSSKĐ!AP258)))</f>
        <v>0</v>
      </c>
      <c r="K258">
        <f>SUMPRODUCT((MONTH(CHOOSE({1,2,3,4},TTSSKĐ!U258,TTSSKĐ!AA258,TTSSKĐ!AG258,TTSSKĐ!AM258))=11)*(CHOOSE({1,2,3,4},TTSSKĐ!X258,TTSSKĐ!AD258,TTSSKĐ!AJ258,TTSSKĐ!AP258)))</f>
        <v>0</v>
      </c>
      <c r="L258">
        <f>SUMPRODUCT((MONTH(CHOOSE({1,2,3,4},TTSSKĐ!U258,TTSSKĐ!AA258,TTSSKĐ!AG258,TTSSKĐ!AM258))=12)*(CHOOSE({1,2,3,4},TTSSKĐ!X258,TTSSKĐ!AD258,TTSSKĐ!AJ258,TTSSKĐ!AP258)))</f>
        <v>0</v>
      </c>
    </row>
    <row r="259" spans="1:12">
      <c r="A259">
        <f>SUMPRODUCT((MONTH(CHOOSE({1,2,3,4},TTSSKĐ!U259,TTSSKĐ!AA259,TTSSKĐ!AG259,TTSSKĐ!AM259))=1)*(CHOOSE({1,2,3,4},TTSSKĐ!X259,TTSSKĐ!AD259,TTSSKĐ!AJ259,TTSSKĐ!AP259)))</f>
        <v>0</v>
      </c>
      <c r="B259">
        <f>SUMPRODUCT((MONTH(CHOOSE({1,2,3,4},TTSSKĐ!U259,TTSSKĐ!AA259,TTSSKĐ!AG259,TTSSKĐ!AM259))=2)*(CHOOSE({1,2,3,4},TTSSKĐ!X259,TTSSKĐ!AD259,TTSSKĐ!AJ259,TTSSKĐ!AP259)))</f>
        <v>0</v>
      </c>
      <c r="C259">
        <f>SUMPRODUCT((MONTH(CHOOSE({1,2,3,4},TTSSKĐ!U259,TTSSKĐ!AA259,TTSSKĐ!AG259,TTSSKĐ!AM259))=3)*(CHOOSE({1,2,3,4},TTSSKĐ!X259,TTSSKĐ!AD259,TTSSKĐ!AJ259,TTSSKĐ!AP259)))</f>
        <v>0</v>
      </c>
      <c r="D259">
        <f>SUMPRODUCT((MONTH(CHOOSE({1,2,3,4},TTSSKĐ!U259,TTSSKĐ!AA259,TTSSKĐ!AG259,TTSSKĐ!AM259))=4)*(CHOOSE({1,2,3,4},TTSSKĐ!X259,TTSSKĐ!AD259,TTSSKĐ!AJ259,TTSSKĐ!AP259)))</f>
        <v>0</v>
      </c>
      <c r="E259">
        <f>SUMPRODUCT((MONTH(CHOOSE({1,2,3,4},TTSSKĐ!U259,TTSSKĐ!AA259,TTSSKĐ!AG259,TTSSKĐ!AM259))=5)*(CHOOSE({1,2,3,4},TTSSKĐ!X259,TTSSKĐ!AD259,TTSSKĐ!AJ259,TTSSKĐ!AP259)))</f>
        <v>0</v>
      </c>
      <c r="F259">
        <f>SUMPRODUCT((MONTH(CHOOSE({1,2,3,4},TTSSKĐ!U259,TTSSKĐ!AA259,TTSSKĐ!AG259,TTSSKĐ!AM259))=6)*(CHOOSE({1,2,3,4},TTSSKĐ!X259,TTSSKĐ!AD259,TTSSKĐ!AJ259,TTSSKĐ!AP259)))</f>
        <v>0</v>
      </c>
      <c r="G259">
        <f>SUMPRODUCT((MONTH(CHOOSE({1,2,3,4},TTSSKĐ!U259,TTSSKĐ!AA259,TTSSKĐ!AG259,TTSSKĐ!AM259))=7)*(CHOOSE({1,2,3,4},TTSSKĐ!X259,TTSSKĐ!AD259,TTSSKĐ!AJ259,TTSSKĐ!AP259)))</f>
        <v>0</v>
      </c>
      <c r="H259">
        <f>SUMPRODUCT((MONTH(CHOOSE({1,2,3,4},TTSSKĐ!U259,TTSSKĐ!AA259,TTSSKĐ!AG259,TTSSKĐ!AM259))=8)*(CHOOSE({1,2,3,4},TTSSKĐ!X259,TTSSKĐ!AD259,TTSSKĐ!AJ259,TTSSKĐ!AP259)))</f>
        <v>0</v>
      </c>
      <c r="I259">
        <f>SUMPRODUCT((MONTH(CHOOSE({1,2,3,4},TTSSKĐ!U259,TTSSKĐ!AA259,TTSSKĐ!AG259,TTSSKĐ!AM259))=9)*(CHOOSE({1,2,3,4},TTSSKĐ!X259,TTSSKĐ!AD259,TTSSKĐ!AJ259,TTSSKĐ!AP259)))</f>
        <v>0</v>
      </c>
      <c r="J259">
        <f>SUMPRODUCT((MONTH(CHOOSE({1,2,3,4},TTSSKĐ!U259,TTSSKĐ!AA259,TTSSKĐ!AG259,TTSSKĐ!AM259))=10)*(CHOOSE({1,2,3,4},TTSSKĐ!X259,TTSSKĐ!AD259,TTSSKĐ!AJ259,TTSSKĐ!AP259)))</f>
        <v>0</v>
      </c>
      <c r="K259">
        <f>SUMPRODUCT((MONTH(CHOOSE({1,2,3,4},TTSSKĐ!U259,TTSSKĐ!AA259,TTSSKĐ!AG259,TTSSKĐ!AM259))=11)*(CHOOSE({1,2,3,4},TTSSKĐ!X259,TTSSKĐ!AD259,TTSSKĐ!AJ259,TTSSKĐ!AP259)))</f>
        <v>0</v>
      </c>
      <c r="L259">
        <f>SUMPRODUCT((MONTH(CHOOSE({1,2,3,4},TTSSKĐ!U259,TTSSKĐ!AA259,TTSSKĐ!AG259,TTSSKĐ!AM259))=12)*(CHOOSE({1,2,3,4},TTSSKĐ!X259,TTSSKĐ!AD259,TTSSKĐ!AJ259,TTSSKĐ!AP259)))</f>
        <v>0</v>
      </c>
    </row>
    <row r="260" spans="1:12">
      <c r="A260">
        <f>SUMPRODUCT((MONTH(CHOOSE({1,2,3,4},TTSSKĐ!U260,TTSSKĐ!AA260,TTSSKĐ!AG260,TTSSKĐ!AM260))=1)*(CHOOSE({1,2,3,4},TTSSKĐ!X260,TTSSKĐ!AD260,TTSSKĐ!AJ260,TTSSKĐ!AP260)))</f>
        <v>0</v>
      </c>
      <c r="B260">
        <f>SUMPRODUCT((MONTH(CHOOSE({1,2,3,4},TTSSKĐ!U260,TTSSKĐ!AA260,TTSSKĐ!AG260,TTSSKĐ!AM260))=2)*(CHOOSE({1,2,3,4},TTSSKĐ!X260,TTSSKĐ!AD260,TTSSKĐ!AJ260,TTSSKĐ!AP260)))</f>
        <v>0</v>
      </c>
      <c r="C260">
        <f>SUMPRODUCT((MONTH(CHOOSE({1,2,3,4},TTSSKĐ!U260,TTSSKĐ!AA260,TTSSKĐ!AG260,TTSSKĐ!AM260))=3)*(CHOOSE({1,2,3,4},TTSSKĐ!X260,TTSSKĐ!AD260,TTSSKĐ!AJ260,TTSSKĐ!AP260)))</f>
        <v>0</v>
      </c>
      <c r="D260">
        <f>SUMPRODUCT((MONTH(CHOOSE({1,2,3,4},TTSSKĐ!U260,TTSSKĐ!AA260,TTSSKĐ!AG260,TTSSKĐ!AM260))=4)*(CHOOSE({1,2,3,4},TTSSKĐ!X260,TTSSKĐ!AD260,TTSSKĐ!AJ260,TTSSKĐ!AP260)))</f>
        <v>0</v>
      </c>
      <c r="E260">
        <f>SUMPRODUCT((MONTH(CHOOSE({1,2,3,4},TTSSKĐ!U260,TTSSKĐ!AA260,TTSSKĐ!AG260,TTSSKĐ!AM260))=5)*(CHOOSE({1,2,3,4},TTSSKĐ!X260,TTSSKĐ!AD260,TTSSKĐ!AJ260,TTSSKĐ!AP260)))</f>
        <v>0</v>
      </c>
      <c r="F260">
        <f>SUMPRODUCT((MONTH(CHOOSE({1,2,3,4},TTSSKĐ!U260,TTSSKĐ!AA260,TTSSKĐ!AG260,TTSSKĐ!AM260))=6)*(CHOOSE({1,2,3,4},TTSSKĐ!X260,TTSSKĐ!AD260,TTSSKĐ!AJ260,TTSSKĐ!AP260)))</f>
        <v>0</v>
      </c>
      <c r="G260">
        <f>SUMPRODUCT((MONTH(CHOOSE({1,2,3,4},TTSSKĐ!U260,TTSSKĐ!AA260,TTSSKĐ!AG260,TTSSKĐ!AM260))=7)*(CHOOSE({1,2,3,4},TTSSKĐ!X260,TTSSKĐ!AD260,TTSSKĐ!AJ260,TTSSKĐ!AP260)))</f>
        <v>0</v>
      </c>
      <c r="H260">
        <f>SUMPRODUCT((MONTH(CHOOSE({1,2,3,4},TTSSKĐ!U260,TTSSKĐ!AA260,TTSSKĐ!AG260,TTSSKĐ!AM260))=8)*(CHOOSE({1,2,3,4},TTSSKĐ!X260,TTSSKĐ!AD260,TTSSKĐ!AJ260,TTSSKĐ!AP260)))</f>
        <v>0</v>
      </c>
      <c r="I260">
        <f>SUMPRODUCT((MONTH(CHOOSE({1,2,3,4},TTSSKĐ!U260,TTSSKĐ!AA260,TTSSKĐ!AG260,TTSSKĐ!AM260))=9)*(CHOOSE({1,2,3,4},TTSSKĐ!X260,TTSSKĐ!AD260,TTSSKĐ!AJ260,TTSSKĐ!AP260)))</f>
        <v>0</v>
      </c>
      <c r="J260">
        <f>SUMPRODUCT((MONTH(CHOOSE({1,2,3,4},TTSSKĐ!U260,TTSSKĐ!AA260,TTSSKĐ!AG260,TTSSKĐ!AM260))=10)*(CHOOSE({1,2,3,4},TTSSKĐ!X260,TTSSKĐ!AD260,TTSSKĐ!AJ260,TTSSKĐ!AP260)))</f>
        <v>0</v>
      </c>
      <c r="K260">
        <f>SUMPRODUCT((MONTH(CHOOSE({1,2,3,4},TTSSKĐ!U260,TTSSKĐ!AA260,TTSSKĐ!AG260,TTSSKĐ!AM260))=11)*(CHOOSE({1,2,3,4},TTSSKĐ!X260,TTSSKĐ!AD260,TTSSKĐ!AJ260,TTSSKĐ!AP260)))</f>
        <v>0</v>
      </c>
      <c r="L260">
        <f>SUMPRODUCT((MONTH(CHOOSE({1,2,3,4},TTSSKĐ!U260,TTSSKĐ!AA260,TTSSKĐ!AG260,TTSSKĐ!AM260))=12)*(CHOOSE({1,2,3,4},TTSSKĐ!X260,TTSSKĐ!AD260,TTSSKĐ!AJ260,TTSSKĐ!AP260)))</f>
        <v>0</v>
      </c>
    </row>
    <row r="261" spans="1:12">
      <c r="A261">
        <f>SUMPRODUCT((MONTH(CHOOSE({1,2,3,4},TTSSKĐ!U261,TTSSKĐ!AA261,TTSSKĐ!AG261,TTSSKĐ!AM261))=1)*(CHOOSE({1,2,3,4},TTSSKĐ!X261,TTSSKĐ!AD261,TTSSKĐ!AJ261,TTSSKĐ!AP261)))</f>
        <v>0</v>
      </c>
      <c r="B261">
        <f>SUMPRODUCT((MONTH(CHOOSE({1,2,3,4},TTSSKĐ!U261,TTSSKĐ!AA261,TTSSKĐ!AG261,TTSSKĐ!AM261))=2)*(CHOOSE({1,2,3,4},TTSSKĐ!X261,TTSSKĐ!AD261,TTSSKĐ!AJ261,TTSSKĐ!AP261)))</f>
        <v>0</v>
      </c>
      <c r="C261">
        <f>SUMPRODUCT((MONTH(CHOOSE({1,2,3,4},TTSSKĐ!U261,TTSSKĐ!AA261,TTSSKĐ!AG261,TTSSKĐ!AM261))=3)*(CHOOSE({1,2,3,4},TTSSKĐ!X261,TTSSKĐ!AD261,TTSSKĐ!AJ261,TTSSKĐ!AP261)))</f>
        <v>0</v>
      </c>
      <c r="D261">
        <f>SUMPRODUCT((MONTH(CHOOSE({1,2,3,4},TTSSKĐ!U261,TTSSKĐ!AA261,TTSSKĐ!AG261,TTSSKĐ!AM261))=4)*(CHOOSE({1,2,3,4},TTSSKĐ!X261,TTSSKĐ!AD261,TTSSKĐ!AJ261,TTSSKĐ!AP261)))</f>
        <v>0</v>
      </c>
      <c r="E261">
        <f>SUMPRODUCT((MONTH(CHOOSE({1,2,3,4},TTSSKĐ!U261,TTSSKĐ!AA261,TTSSKĐ!AG261,TTSSKĐ!AM261))=5)*(CHOOSE({1,2,3,4},TTSSKĐ!X261,TTSSKĐ!AD261,TTSSKĐ!AJ261,TTSSKĐ!AP261)))</f>
        <v>0</v>
      </c>
      <c r="F261">
        <f>SUMPRODUCT((MONTH(CHOOSE({1,2,3,4},TTSSKĐ!U261,TTSSKĐ!AA261,TTSSKĐ!AG261,TTSSKĐ!AM261))=6)*(CHOOSE({1,2,3,4},TTSSKĐ!X261,TTSSKĐ!AD261,TTSSKĐ!AJ261,TTSSKĐ!AP261)))</f>
        <v>0</v>
      </c>
      <c r="G261">
        <f>SUMPRODUCT((MONTH(CHOOSE({1,2,3,4},TTSSKĐ!U261,TTSSKĐ!AA261,TTSSKĐ!AG261,TTSSKĐ!AM261))=7)*(CHOOSE({1,2,3,4},TTSSKĐ!X261,TTSSKĐ!AD261,TTSSKĐ!AJ261,TTSSKĐ!AP261)))</f>
        <v>0</v>
      </c>
      <c r="H261">
        <f>SUMPRODUCT((MONTH(CHOOSE({1,2,3,4},TTSSKĐ!U261,TTSSKĐ!AA261,TTSSKĐ!AG261,TTSSKĐ!AM261))=8)*(CHOOSE({1,2,3,4},TTSSKĐ!X261,TTSSKĐ!AD261,TTSSKĐ!AJ261,TTSSKĐ!AP261)))</f>
        <v>0</v>
      </c>
      <c r="I261">
        <f>SUMPRODUCT((MONTH(CHOOSE({1,2,3,4},TTSSKĐ!U261,TTSSKĐ!AA261,TTSSKĐ!AG261,TTSSKĐ!AM261))=9)*(CHOOSE({1,2,3,4},TTSSKĐ!X261,TTSSKĐ!AD261,TTSSKĐ!AJ261,TTSSKĐ!AP261)))</f>
        <v>0</v>
      </c>
      <c r="J261">
        <f>SUMPRODUCT((MONTH(CHOOSE({1,2,3,4},TTSSKĐ!U261,TTSSKĐ!AA261,TTSSKĐ!AG261,TTSSKĐ!AM261))=10)*(CHOOSE({1,2,3,4},TTSSKĐ!X261,TTSSKĐ!AD261,TTSSKĐ!AJ261,TTSSKĐ!AP261)))</f>
        <v>0</v>
      </c>
      <c r="K261">
        <f>SUMPRODUCT((MONTH(CHOOSE({1,2,3,4},TTSSKĐ!U261,TTSSKĐ!AA261,TTSSKĐ!AG261,TTSSKĐ!AM261))=11)*(CHOOSE({1,2,3,4},TTSSKĐ!X261,TTSSKĐ!AD261,TTSSKĐ!AJ261,TTSSKĐ!AP261)))</f>
        <v>0</v>
      </c>
      <c r="L261">
        <f>SUMPRODUCT((MONTH(CHOOSE({1,2,3,4},TTSSKĐ!U261,TTSSKĐ!AA261,TTSSKĐ!AG261,TTSSKĐ!AM261))=12)*(CHOOSE({1,2,3,4},TTSSKĐ!X261,TTSSKĐ!AD261,TTSSKĐ!AJ261,TTSSKĐ!AP261)))</f>
        <v>0</v>
      </c>
    </row>
    <row r="262" spans="1:12">
      <c r="A262">
        <f>SUMPRODUCT((MONTH(CHOOSE({1,2,3,4},TTSSKĐ!U262,TTSSKĐ!AA262,TTSSKĐ!AG262,TTSSKĐ!AM262))=1)*(CHOOSE({1,2,3,4},TTSSKĐ!X262,TTSSKĐ!AD262,TTSSKĐ!AJ262,TTSSKĐ!AP262)))</f>
        <v>0</v>
      </c>
      <c r="B262">
        <f>SUMPRODUCT((MONTH(CHOOSE({1,2,3,4},TTSSKĐ!U262,TTSSKĐ!AA262,TTSSKĐ!AG262,TTSSKĐ!AM262))=2)*(CHOOSE({1,2,3,4},TTSSKĐ!X262,TTSSKĐ!AD262,TTSSKĐ!AJ262,TTSSKĐ!AP262)))</f>
        <v>0</v>
      </c>
      <c r="C262">
        <f>SUMPRODUCT((MONTH(CHOOSE({1,2,3,4},TTSSKĐ!U262,TTSSKĐ!AA262,TTSSKĐ!AG262,TTSSKĐ!AM262))=3)*(CHOOSE({1,2,3,4},TTSSKĐ!X262,TTSSKĐ!AD262,TTSSKĐ!AJ262,TTSSKĐ!AP262)))</f>
        <v>0</v>
      </c>
      <c r="D262">
        <f>SUMPRODUCT((MONTH(CHOOSE({1,2,3,4},TTSSKĐ!U262,TTSSKĐ!AA262,TTSSKĐ!AG262,TTSSKĐ!AM262))=4)*(CHOOSE({1,2,3,4},TTSSKĐ!X262,TTSSKĐ!AD262,TTSSKĐ!AJ262,TTSSKĐ!AP262)))</f>
        <v>0</v>
      </c>
      <c r="E262">
        <f>SUMPRODUCT((MONTH(CHOOSE({1,2,3,4},TTSSKĐ!U262,TTSSKĐ!AA262,TTSSKĐ!AG262,TTSSKĐ!AM262))=5)*(CHOOSE({1,2,3,4},TTSSKĐ!X262,TTSSKĐ!AD262,TTSSKĐ!AJ262,TTSSKĐ!AP262)))</f>
        <v>0</v>
      </c>
      <c r="F262">
        <f>SUMPRODUCT((MONTH(CHOOSE({1,2,3,4},TTSSKĐ!U262,TTSSKĐ!AA262,TTSSKĐ!AG262,TTSSKĐ!AM262))=6)*(CHOOSE({1,2,3,4},TTSSKĐ!X262,TTSSKĐ!AD262,TTSSKĐ!AJ262,TTSSKĐ!AP262)))</f>
        <v>0</v>
      </c>
      <c r="G262">
        <f>SUMPRODUCT((MONTH(CHOOSE({1,2,3,4},TTSSKĐ!U262,TTSSKĐ!AA262,TTSSKĐ!AG262,TTSSKĐ!AM262))=7)*(CHOOSE({1,2,3,4},TTSSKĐ!X262,TTSSKĐ!AD262,TTSSKĐ!AJ262,TTSSKĐ!AP262)))</f>
        <v>0</v>
      </c>
      <c r="H262">
        <f>SUMPRODUCT((MONTH(CHOOSE({1,2,3,4},TTSSKĐ!U262,TTSSKĐ!AA262,TTSSKĐ!AG262,TTSSKĐ!AM262))=8)*(CHOOSE({1,2,3,4},TTSSKĐ!X262,TTSSKĐ!AD262,TTSSKĐ!AJ262,TTSSKĐ!AP262)))</f>
        <v>0</v>
      </c>
      <c r="I262">
        <f>SUMPRODUCT((MONTH(CHOOSE({1,2,3,4},TTSSKĐ!U262,TTSSKĐ!AA262,TTSSKĐ!AG262,TTSSKĐ!AM262))=9)*(CHOOSE({1,2,3,4},TTSSKĐ!X262,TTSSKĐ!AD262,TTSSKĐ!AJ262,TTSSKĐ!AP262)))</f>
        <v>0</v>
      </c>
      <c r="J262">
        <f>SUMPRODUCT((MONTH(CHOOSE({1,2,3,4},TTSSKĐ!U262,TTSSKĐ!AA262,TTSSKĐ!AG262,TTSSKĐ!AM262))=10)*(CHOOSE({1,2,3,4},TTSSKĐ!X262,TTSSKĐ!AD262,TTSSKĐ!AJ262,TTSSKĐ!AP262)))</f>
        <v>0</v>
      </c>
      <c r="K262">
        <f>SUMPRODUCT((MONTH(CHOOSE({1,2,3,4},TTSSKĐ!U262,TTSSKĐ!AA262,TTSSKĐ!AG262,TTSSKĐ!AM262))=11)*(CHOOSE({1,2,3,4},TTSSKĐ!X262,TTSSKĐ!AD262,TTSSKĐ!AJ262,TTSSKĐ!AP262)))</f>
        <v>0</v>
      </c>
      <c r="L262">
        <f>SUMPRODUCT((MONTH(CHOOSE({1,2,3,4},TTSSKĐ!U262,TTSSKĐ!AA262,TTSSKĐ!AG262,TTSSKĐ!AM262))=12)*(CHOOSE({1,2,3,4},TTSSKĐ!X262,TTSSKĐ!AD262,TTSSKĐ!AJ262,TTSSKĐ!AP262)))</f>
        <v>0</v>
      </c>
    </row>
    <row r="263" spans="1:12">
      <c r="A263">
        <f>SUMPRODUCT((MONTH(CHOOSE({1,2,3,4},TTSSKĐ!U263,TTSSKĐ!AA263,TTSSKĐ!AG263,TTSSKĐ!AM263))=1)*(CHOOSE({1,2,3,4},TTSSKĐ!X263,TTSSKĐ!AD263,TTSSKĐ!AJ263,TTSSKĐ!AP263)))</f>
        <v>0</v>
      </c>
      <c r="B263">
        <f>SUMPRODUCT((MONTH(CHOOSE({1,2,3,4},TTSSKĐ!U263,TTSSKĐ!AA263,TTSSKĐ!AG263,TTSSKĐ!AM263))=2)*(CHOOSE({1,2,3,4},TTSSKĐ!X263,TTSSKĐ!AD263,TTSSKĐ!AJ263,TTSSKĐ!AP263)))</f>
        <v>0</v>
      </c>
      <c r="C263">
        <f>SUMPRODUCT((MONTH(CHOOSE({1,2,3,4},TTSSKĐ!U263,TTSSKĐ!AA263,TTSSKĐ!AG263,TTSSKĐ!AM263))=3)*(CHOOSE({1,2,3,4},TTSSKĐ!X263,TTSSKĐ!AD263,TTSSKĐ!AJ263,TTSSKĐ!AP263)))</f>
        <v>0</v>
      </c>
      <c r="D263">
        <f>SUMPRODUCT((MONTH(CHOOSE({1,2,3,4},TTSSKĐ!U263,TTSSKĐ!AA263,TTSSKĐ!AG263,TTSSKĐ!AM263))=4)*(CHOOSE({1,2,3,4},TTSSKĐ!X263,TTSSKĐ!AD263,TTSSKĐ!AJ263,TTSSKĐ!AP263)))</f>
        <v>0</v>
      </c>
      <c r="E263">
        <f>SUMPRODUCT((MONTH(CHOOSE({1,2,3,4},TTSSKĐ!U263,TTSSKĐ!AA263,TTSSKĐ!AG263,TTSSKĐ!AM263))=5)*(CHOOSE({1,2,3,4},TTSSKĐ!X263,TTSSKĐ!AD263,TTSSKĐ!AJ263,TTSSKĐ!AP263)))</f>
        <v>0</v>
      </c>
      <c r="F263">
        <f>SUMPRODUCT((MONTH(CHOOSE({1,2,3,4},TTSSKĐ!U263,TTSSKĐ!AA263,TTSSKĐ!AG263,TTSSKĐ!AM263))=6)*(CHOOSE({1,2,3,4},TTSSKĐ!X263,TTSSKĐ!AD263,TTSSKĐ!AJ263,TTSSKĐ!AP263)))</f>
        <v>0</v>
      </c>
      <c r="G263">
        <f>SUMPRODUCT((MONTH(CHOOSE({1,2,3,4},TTSSKĐ!U263,TTSSKĐ!AA263,TTSSKĐ!AG263,TTSSKĐ!AM263))=7)*(CHOOSE({1,2,3,4},TTSSKĐ!X263,TTSSKĐ!AD263,TTSSKĐ!AJ263,TTSSKĐ!AP263)))</f>
        <v>0</v>
      </c>
      <c r="H263">
        <f>SUMPRODUCT((MONTH(CHOOSE({1,2,3,4},TTSSKĐ!U263,TTSSKĐ!AA263,TTSSKĐ!AG263,TTSSKĐ!AM263))=8)*(CHOOSE({1,2,3,4},TTSSKĐ!X263,TTSSKĐ!AD263,TTSSKĐ!AJ263,TTSSKĐ!AP263)))</f>
        <v>0</v>
      </c>
      <c r="I263">
        <f>SUMPRODUCT((MONTH(CHOOSE({1,2,3,4},TTSSKĐ!U263,TTSSKĐ!AA263,TTSSKĐ!AG263,TTSSKĐ!AM263))=9)*(CHOOSE({1,2,3,4},TTSSKĐ!X263,TTSSKĐ!AD263,TTSSKĐ!AJ263,TTSSKĐ!AP263)))</f>
        <v>0</v>
      </c>
      <c r="J263">
        <f>SUMPRODUCT((MONTH(CHOOSE({1,2,3,4},TTSSKĐ!U263,TTSSKĐ!AA263,TTSSKĐ!AG263,TTSSKĐ!AM263))=10)*(CHOOSE({1,2,3,4},TTSSKĐ!X263,TTSSKĐ!AD263,TTSSKĐ!AJ263,TTSSKĐ!AP263)))</f>
        <v>0</v>
      </c>
      <c r="K263">
        <f>SUMPRODUCT((MONTH(CHOOSE({1,2,3,4},TTSSKĐ!U263,TTSSKĐ!AA263,TTSSKĐ!AG263,TTSSKĐ!AM263))=11)*(CHOOSE({1,2,3,4},TTSSKĐ!X263,TTSSKĐ!AD263,TTSSKĐ!AJ263,TTSSKĐ!AP263)))</f>
        <v>0</v>
      </c>
      <c r="L263">
        <f>SUMPRODUCT((MONTH(CHOOSE({1,2,3,4},TTSSKĐ!U263,TTSSKĐ!AA263,TTSSKĐ!AG263,TTSSKĐ!AM263))=12)*(CHOOSE({1,2,3,4},TTSSKĐ!X263,TTSSKĐ!AD263,TTSSKĐ!AJ263,TTSSKĐ!AP263)))</f>
        <v>0</v>
      </c>
    </row>
    <row r="264" spans="1:12">
      <c r="A264">
        <f>SUMPRODUCT((MONTH(CHOOSE({1,2,3,4},TTSSKĐ!U264,TTSSKĐ!AA264,TTSSKĐ!AG264,TTSSKĐ!AM264))=1)*(CHOOSE({1,2,3,4},TTSSKĐ!X264,TTSSKĐ!AD264,TTSSKĐ!AJ264,TTSSKĐ!AP264)))</f>
        <v>0</v>
      </c>
      <c r="B264">
        <f>SUMPRODUCT((MONTH(CHOOSE({1,2,3,4},TTSSKĐ!U264,TTSSKĐ!AA264,TTSSKĐ!AG264,TTSSKĐ!AM264))=2)*(CHOOSE({1,2,3,4},TTSSKĐ!X264,TTSSKĐ!AD264,TTSSKĐ!AJ264,TTSSKĐ!AP264)))</f>
        <v>0</v>
      </c>
      <c r="C264">
        <f>SUMPRODUCT((MONTH(CHOOSE({1,2,3,4},TTSSKĐ!U264,TTSSKĐ!AA264,TTSSKĐ!AG264,TTSSKĐ!AM264))=3)*(CHOOSE({1,2,3,4},TTSSKĐ!X264,TTSSKĐ!AD264,TTSSKĐ!AJ264,TTSSKĐ!AP264)))</f>
        <v>0</v>
      </c>
      <c r="D264">
        <f>SUMPRODUCT((MONTH(CHOOSE({1,2,3,4},TTSSKĐ!U264,TTSSKĐ!AA264,TTSSKĐ!AG264,TTSSKĐ!AM264))=4)*(CHOOSE({1,2,3,4},TTSSKĐ!X264,TTSSKĐ!AD264,TTSSKĐ!AJ264,TTSSKĐ!AP264)))</f>
        <v>0</v>
      </c>
      <c r="E264">
        <f>SUMPRODUCT((MONTH(CHOOSE({1,2,3,4},TTSSKĐ!U264,TTSSKĐ!AA264,TTSSKĐ!AG264,TTSSKĐ!AM264))=5)*(CHOOSE({1,2,3,4},TTSSKĐ!X264,TTSSKĐ!AD264,TTSSKĐ!AJ264,TTSSKĐ!AP264)))</f>
        <v>0</v>
      </c>
      <c r="F264">
        <f>SUMPRODUCT((MONTH(CHOOSE({1,2,3,4},TTSSKĐ!U264,TTSSKĐ!AA264,TTSSKĐ!AG264,TTSSKĐ!AM264))=6)*(CHOOSE({1,2,3,4},TTSSKĐ!X264,TTSSKĐ!AD264,TTSSKĐ!AJ264,TTSSKĐ!AP264)))</f>
        <v>0</v>
      </c>
      <c r="G264">
        <f>SUMPRODUCT((MONTH(CHOOSE({1,2,3,4},TTSSKĐ!U264,TTSSKĐ!AA264,TTSSKĐ!AG264,TTSSKĐ!AM264))=7)*(CHOOSE({1,2,3,4},TTSSKĐ!X264,TTSSKĐ!AD264,TTSSKĐ!AJ264,TTSSKĐ!AP264)))</f>
        <v>0</v>
      </c>
      <c r="H264">
        <f>SUMPRODUCT((MONTH(CHOOSE({1,2,3,4},TTSSKĐ!U264,TTSSKĐ!AA264,TTSSKĐ!AG264,TTSSKĐ!AM264))=8)*(CHOOSE({1,2,3,4},TTSSKĐ!X264,TTSSKĐ!AD264,TTSSKĐ!AJ264,TTSSKĐ!AP264)))</f>
        <v>0</v>
      </c>
      <c r="I264">
        <f>SUMPRODUCT((MONTH(CHOOSE({1,2,3,4},TTSSKĐ!U264,TTSSKĐ!AA264,TTSSKĐ!AG264,TTSSKĐ!AM264))=9)*(CHOOSE({1,2,3,4},TTSSKĐ!X264,TTSSKĐ!AD264,TTSSKĐ!AJ264,TTSSKĐ!AP264)))</f>
        <v>0</v>
      </c>
      <c r="J264">
        <f>SUMPRODUCT((MONTH(CHOOSE({1,2,3,4},TTSSKĐ!U264,TTSSKĐ!AA264,TTSSKĐ!AG264,TTSSKĐ!AM264))=10)*(CHOOSE({1,2,3,4},TTSSKĐ!X264,TTSSKĐ!AD264,TTSSKĐ!AJ264,TTSSKĐ!AP264)))</f>
        <v>0</v>
      </c>
      <c r="K264">
        <f>SUMPRODUCT((MONTH(CHOOSE({1,2,3,4},TTSSKĐ!U264,TTSSKĐ!AA264,TTSSKĐ!AG264,TTSSKĐ!AM264))=11)*(CHOOSE({1,2,3,4},TTSSKĐ!X264,TTSSKĐ!AD264,TTSSKĐ!AJ264,TTSSKĐ!AP264)))</f>
        <v>0</v>
      </c>
      <c r="L264">
        <f>SUMPRODUCT((MONTH(CHOOSE({1,2,3,4},TTSSKĐ!U264,TTSSKĐ!AA264,TTSSKĐ!AG264,TTSSKĐ!AM264))=12)*(CHOOSE({1,2,3,4},TTSSKĐ!X264,TTSSKĐ!AD264,TTSSKĐ!AJ264,TTSSKĐ!AP264)))</f>
        <v>0</v>
      </c>
    </row>
    <row r="265" spans="1:12">
      <c r="A265">
        <f>SUMPRODUCT((MONTH(CHOOSE({1,2,3,4},TTSSKĐ!U265,TTSSKĐ!AA265,TTSSKĐ!AG265,TTSSKĐ!AM265))=1)*(CHOOSE({1,2,3,4},TTSSKĐ!X265,TTSSKĐ!AD265,TTSSKĐ!AJ265,TTSSKĐ!AP265)))</f>
        <v>0</v>
      </c>
      <c r="B265">
        <f>SUMPRODUCT((MONTH(CHOOSE({1,2,3,4},TTSSKĐ!U265,TTSSKĐ!AA265,TTSSKĐ!AG265,TTSSKĐ!AM265))=2)*(CHOOSE({1,2,3,4},TTSSKĐ!X265,TTSSKĐ!AD265,TTSSKĐ!AJ265,TTSSKĐ!AP265)))</f>
        <v>0</v>
      </c>
      <c r="C265">
        <f>SUMPRODUCT((MONTH(CHOOSE({1,2,3,4},TTSSKĐ!U265,TTSSKĐ!AA265,TTSSKĐ!AG265,TTSSKĐ!AM265))=3)*(CHOOSE({1,2,3,4},TTSSKĐ!X265,TTSSKĐ!AD265,TTSSKĐ!AJ265,TTSSKĐ!AP265)))</f>
        <v>0</v>
      </c>
      <c r="D265">
        <f>SUMPRODUCT((MONTH(CHOOSE({1,2,3,4},TTSSKĐ!U265,TTSSKĐ!AA265,TTSSKĐ!AG265,TTSSKĐ!AM265))=4)*(CHOOSE({1,2,3,4},TTSSKĐ!X265,TTSSKĐ!AD265,TTSSKĐ!AJ265,TTSSKĐ!AP265)))</f>
        <v>0</v>
      </c>
      <c r="E265">
        <f>SUMPRODUCT((MONTH(CHOOSE({1,2,3,4},TTSSKĐ!U265,TTSSKĐ!AA265,TTSSKĐ!AG265,TTSSKĐ!AM265))=5)*(CHOOSE({1,2,3,4},TTSSKĐ!X265,TTSSKĐ!AD265,TTSSKĐ!AJ265,TTSSKĐ!AP265)))</f>
        <v>0</v>
      </c>
      <c r="F265">
        <f>SUMPRODUCT((MONTH(CHOOSE({1,2,3,4},TTSSKĐ!U265,TTSSKĐ!AA265,TTSSKĐ!AG265,TTSSKĐ!AM265))=6)*(CHOOSE({1,2,3,4},TTSSKĐ!X265,TTSSKĐ!AD265,TTSSKĐ!AJ265,TTSSKĐ!AP265)))</f>
        <v>0</v>
      </c>
      <c r="G265">
        <f>SUMPRODUCT((MONTH(CHOOSE({1,2,3,4},TTSSKĐ!U265,TTSSKĐ!AA265,TTSSKĐ!AG265,TTSSKĐ!AM265))=7)*(CHOOSE({1,2,3,4},TTSSKĐ!X265,TTSSKĐ!AD265,TTSSKĐ!AJ265,TTSSKĐ!AP265)))</f>
        <v>0</v>
      </c>
      <c r="H265">
        <f>SUMPRODUCT((MONTH(CHOOSE({1,2,3,4},TTSSKĐ!U265,TTSSKĐ!AA265,TTSSKĐ!AG265,TTSSKĐ!AM265))=8)*(CHOOSE({1,2,3,4},TTSSKĐ!X265,TTSSKĐ!AD265,TTSSKĐ!AJ265,TTSSKĐ!AP265)))</f>
        <v>0</v>
      </c>
      <c r="I265">
        <f>SUMPRODUCT((MONTH(CHOOSE({1,2,3,4},TTSSKĐ!U265,TTSSKĐ!AA265,TTSSKĐ!AG265,TTSSKĐ!AM265))=9)*(CHOOSE({1,2,3,4},TTSSKĐ!X265,TTSSKĐ!AD265,TTSSKĐ!AJ265,TTSSKĐ!AP265)))</f>
        <v>0</v>
      </c>
      <c r="J265">
        <f>SUMPRODUCT((MONTH(CHOOSE({1,2,3,4},TTSSKĐ!U265,TTSSKĐ!AA265,TTSSKĐ!AG265,TTSSKĐ!AM265))=10)*(CHOOSE({1,2,3,4},TTSSKĐ!X265,TTSSKĐ!AD265,TTSSKĐ!AJ265,TTSSKĐ!AP265)))</f>
        <v>0</v>
      </c>
      <c r="K265">
        <f>SUMPRODUCT((MONTH(CHOOSE({1,2,3,4},TTSSKĐ!U265,TTSSKĐ!AA265,TTSSKĐ!AG265,TTSSKĐ!AM265))=11)*(CHOOSE({1,2,3,4},TTSSKĐ!X265,TTSSKĐ!AD265,TTSSKĐ!AJ265,TTSSKĐ!AP265)))</f>
        <v>0</v>
      </c>
      <c r="L265">
        <f>SUMPRODUCT((MONTH(CHOOSE({1,2,3,4},TTSSKĐ!U265,TTSSKĐ!AA265,TTSSKĐ!AG265,TTSSKĐ!AM265))=12)*(CHOOSE({1,2,3,4},TTSSKĐ!X265,TTSSKĐ!AD265,TTSSKĐ!AJ265,TTSSKĐ!AP265)))</f>
        <v>0</v>
      </c>
    </row>
    <row r="266" spans="1:12">
      <c r="A266">
        <f>SUMPRODUCT((MONTH(CHOOSE({1,2,3,4},TTSSKĐ!U266,TTSSKĐ!AA266,TTSSKĐ!AG266,TTSSKĐ!AM266))=1)*(CHOOSE({1,2,3,4},TTSSKĐ!X266,TTSSKĐ!AD266,TTSSKĐ!AJ266,TTSSKĐ!AP266)))</f>
        <v>0</v>
      </c>
      <c r="B266">
        <f>SUMPRODUCT((MONTH(CHOOSE({1,2,3,4},TTSSKĐ!U266,TTSSKĐ!AA266,TTSSKĐ!AG266,TTSSKĐ!AM266))=2)*(CHOOSE({1,2,3,4},TTSSKĐ!X266,TTSSKĐ!AD266,TTSSKĐ!AJ266,TTSSKĐ!AP266)))</f>
        <v>0</v>
      </c>
      <c r="C266">
        <f>SUMPRODUCT((MONTH(CHOOSE({1,2,3,4},TTSSKĐ!U266,TTSSKĐ!AA266,TTSSKĐ!AG266,TTSSKĐ!AM266))=3)*(CHOOSE({1,2,3,4},TTSSKĐ!X266,TTSSKĐ!AD266,TTSSKĐ!AJ266,TTSSKĐ!AP266)))</f>
        <v>0</v>
      </c>
      <c r="D266">
        <f>SUMPRODUCT((MONTH(CHOOSE({1,2,3,4},TTSSKĐ!U266,TTSSKĐ!AA266,TTSSKĐ!AG266,TTSSKĐ!AM266))=4)*(CHOOSE({1,2,3,4},TTSSKĐ!X266,TTSSKĐ!AD266,TTSSKĐ!AJ266,TTSSKĐ!AP266)))</f>
        <v>0</v>
      </c>
      <c r="E266">
        <f>SUMPRODUCT((MONTH(CHOOSE({1,2,3,4},TTSSKĐ!U266,TTSSKĐ!AA266,TTSSKĐ!AG266,TTSSKĐ!AM266))=5)*(CHOOSE({1,2,3,4},TTSSKĐ!X266,TTSSKĐ!AD266,TTSSKĐ!AJ266,TTSSKĐ!AP266)))</f>
        <v>0</v>
      </c>
      <c r="F266">
        <f>SUMPRODUCT((MONTH(CHOOSE({1,2,3,4},TTSSKĐ!U266,TTSSKĐ!AA266,TTSSKĐ!AG266,TTSSKĐ!AM266))=6)*(CHOOSE({1,2,3,4},TTSSKĐ!X266,TTSSKĐ!AD266,TTSSKĐ!AJ266,TTSSKĐ!AP266)))</f>
        <v>0</v>
      </c>
      <c r="G266">
        <f>SUMPRODUCT((MONTH(CHOOSE({1,2,3,4},TTSSKĐ!U266,TTSSKĐ!AA266,TTSSKĐ!AG266,TTSSKĐ!AM266))=7)*(CHOOSE({1,2,3,4},TTSSKĐ!X266,TTSSKĐ!AD266,TTSSKĐ!AJ266,TTSSKĐ!AP266)))</f>
        <v>0</v>
      </c>
      <c r="H266">
        <f>SUMPRODUCT((MONTH(CHOOSE({1,2,3,4},TTSSKĐ!U266,TTSSKĐ!AA266,TTSSKĐ!AG266,TTSSKĐ!AM266))=8)*(CHOOSE({1,2,3,4},TTSSKĐ!X266,TTSSKĐ!AD266,TTSSKĐ!AJ266,TTSSKĐ!AP266)))</f>
        <v>0</v>
      </c>
      <c r="I266">
        <f>SUMPRODUCT((MONTH(CHOOSE({1,2,3,4},TTSSKĐ!U266,TTSSKĐ!AA266,TTSSKĐ!AG266,TTSSKĐ!AM266))=9)*(CHOOSE({1,2,3,4},TTSSKĐ!X266,TTSSKĐ!AD266,TTSSKĐ!AJ266,TTSSKĐ!AP266)))</f>
        <v>0</v>
      </c>
      <c r="J266">
        <f>SUMPRODUCT((MONTH(CHOOSE({1,2,3,4},TTSSKĐ!U266,TTSSKĐ!AA266,TTSSKĐ!AG266,TTSSKĐ!AM266))=10)*(CHOOSE({1,2,3,4},TTSSKĐ!X266,TTSSKĐ!AD266,TTSSKĐ!AJ266,TTSSKĐ!AP266)))</f>
        <v>0</v>
      </c>
      <c r="K266">
        <f>SUMPRODUCT((MONTH(CHOOSE({1,2,3,4},TTSSKĐ!U266,TTSSKĐ!AA266,TTSSKĐ!AG266,TTSSKĐ!AM266))=11)*(CHOOSE({1,2,3,4},TTSSKĐ!X266,TTSSKĐ!AD266,TTSSKĐ!AJ266,TTSSKĐ!AP266)))</f>
        <v>0</v>
      </c>
      <c r="L266">
        <f>SUMPRODUCT((MONTH(CHOOSE({1,2,3,4},TTSSKĐ!U266,TTSSKĐ!AA266,TTSSKĐ!AG266,TTSSKĐ!AM266))=12)*(CHOOSE({1,2,3,4},TTSSKĐ!X266,TTSSKĐ!AD266,TTSSKĐ!AJ266,TTSSKĐ!AP266)))</f>
        <v>0</v>
      </c>
    </row>
    <row r="267" spans="1:12">
      <c r="A267">
        <f>SUMPRODUCT((MONTH(CHOOSE({1,2,3,4},TTSSKĐ!U267,TTSSKĐ!AA267,TTSSKĐ!AG267,TTSSKĐ!AM267))=1)*(CHOOSE({1,2,3,4},TTSSKĐ!X267,TTSSKĐ!AD267,TTSSKĐ!AJ267,TTSSKĐ!AP267)))</f>
        <v>0</v>
      </c>
      <c r="B267">
        <f>SUMPRODUCT((MONTH(CHOOSE({1,2,3,4},TTSSKĐ!U267,TTSSKĐ!AA267,TTSSKĐ!AG267,TTSSKĐ!AM267))=2)*(CHOOSE({1,2,3,4},TTSSKĐ!X267,TTSSKĐ!AD267,TTSSKĐ!AJ267,TTSSKĐ!AP267)))</f>
        <v>0</v>
      </c>
      <c r="C267">
        <f>SUMPRODUCT((MONTH(CHOOSE({1,2,3,4},TTSSKĐ!U267,TTSSKĐ!AA267,TTSSKĐ!AG267,TTSSKĐ!AM267))=3)*(CHOOSE({1,2,3,4},TTSSKĐ!X267,TTSSKĐ!AD267,TTSSKĐ!AJ267,TTSSKĐ!AP267)))</f>
        <v>0</v>
      </c>
      <c r="D267">
        <f>SUMPRODUCT((MONTH(CHOOSE({1,2,3,4},TTSSKĐ!U267,TTSSKĐ!AA267,TTSSKĐ!AG267,TTSSKĐ!AM267))=4)*(CHOOSE({1,2,3,4},TTSSKĐ!X267,TTSSKĐ!AD267,TTSSKĐ!AJ267,TTSSKĐ!AP267)))</f>
        <v>0</v>
      </c>
      <c r="E267">
        <f>SUMPRODUCT((MONTH(CHOOSE({1,2,3,4},TTSSKĐ!U267,TTSSKĐ!AA267,TTSSKĐ!AG267,TTSSKĐ!AM267))=5)*(CHOOSE({1,2,3,4},TTSSKĐ!X267,TTSSKĐ!AD267,TTSSKĐ!AJ267,TTSSKĐ!AP267)))</f>
        <v>0</v>
      </c>
      <c r="F267">
        <f>SUMPRODUCT((MONTH(CHOOSE({1,2,3,4},TTSSKĐ!U267,TTSSKĐ!AA267,TTSSKĐ!AG267,TTSSKĐ!AM267))=6)*(CHOOSE({1,2,3,4},TTSSKĐ!X267,TTSSKĐ!AD267,TTSSKĐ!AJ267,TTSSKĐ!AP267)))</f>
        <v>0</v>
      </c>
      <c r="G267">
        <f>SUMPRODUCT((MONTH(CHOOSE({1,2,3,4},TTSSKĐ!U267,TTSSKĐ!AA267,TTSSKĐ!AG267,TTSSKĐ!AM267))=7)*(CHOOSE({1,2,3,4},TTSSKĐ!X267,TTSSKĐ!AD267,TTSSKĐ!AJ267,TTSSKĐ!AP267)))</f>
        <v>0</v>
      </c>
      <c r="H267">
        <f>SUMPRODUCT((MONTH(CHOOSE({1,2,3,4},TTSSKĐ!U267,TTSSKĐ!AA267,TTSSKĐ!AG267,TTSSKĐ!AM267))=8)*(CHOOSE({1,2,3,4},TTSSKĐ!X267,TTSSKĐ!AD267,TTSSKĐ!AJ267,TTSSKĐ!AP267)))</f>
        <v>0</v>
      </c>
      <c r="I267">
        <f>SUMPRODUCT((MONTH(CHOOSE({1,2,3,4},TTSSKĐ!U267,TTSSKĐ!AA267,TTSSKĐ!AG267,TTSSKĐ!AM267))=9)*(CHOOSE({1,2,3,4},TTSSKĐ!X267,TTSSKĐ!AD267,TTSSKĐ!AJ267,TTSSKĐ!AP267)))</f>
        <v>0</v>
      </c>
      <c r="J267">
        <f>SUMPRODUCT((MONTH(CHOOSE({1,2,3,4},TTSSKĐ!U267,TTSSKĐ!AA267,TTSSKĐ!AG267,TTSSKĐ!AM267))=10)*(CHOOSE({1,2,3,4},TTSSKĐ!X267,TTSSKĐ!AD267,TTSSKĐ!AJ267,TTSSKĐ!AP267)))</f>
        <v>0</v>
      </c>
      <c r="K267">
        <f>SUMPRODUCT((MONTH(CHOOSE({1,2,3,4},TTSSKĐ!U267,TTSSKĐ!AA267,TTSSKĐ!AG267,TTSSKĐ!AM267))=11)*(CHOOSE({1,2,3,4},TTSSKĐ!X267,TTSSKĐ!AD267,TTSSKĐ!AJ267,TTSSKĐ!AP267)))</f>
        <v>0</v>
      </c>
      <c r="L267">
        <f>SUMPRODUCT((MONTH(CHOOSE({1,2,3,4},TTSSKĐ!U267,TTSSKĐ!AA267,TTSSKĐ!AG267,TTSSKĐ!AM267))=12)*(CHOOSE({1,2,3,4},TTSSKĐ!X267,TTSSKĐ!AD267,TTSSKĐ!AJ267,TTSSKĐ!AP267)))</f>
        <v>0</v>
      </c>
    </row>
    <row r="268" spans="1:12">
      <c r="A268">
        <f>SUMPRODUCT((MONTH(CHOOSE({1,2,3,4},TTSSKĐ!U268,TTSSKĐ!AA268,TTSSKĐ!AG268,TTSSKĐ!AM268))=1)*(CHOOSE({1,2,3,4},TTSSKĐ!X268,TTSSKĐ!AD268,TTSSKĐ!AJ268,TTSSKĐ!AP268)))</f>
        <v>0</v>
      </c>
      <c r="B268">
        <f>SUMPRODUCT((MONTH(CHOOSE({1,2,3,4},TTSSKĐ!U268,TTSSKĐ!AA268,TTSSKĐ!AG268,TTSSKĐ!AM268))=2)*(CHOOSE({1,2,3,4},TTSSKĐ!X268,TTSSKĐ!AD268,TTSSKĐ!AJ268,TTSSKĐ!AP268)))</f>
        <v>0</v>
      </c>
      <c r="C268">
        <f>SUMPRODUCT((MONTH(CHOOSE({1,2,3,4},TTSSKĐ!U268,TTSSKĐ!AA268,TTSSKĐ!AG268,TTSSKĐ!AM268))=3)*(CHOOSE({1,2,3,4},TTSSKĐ!X268,TTSSKĐ!AD268,TTSSKĐ!AJ268,TTSSKĐ!AP268)))</f>
        <v>0</v>
      </c>
      <c r="D268">
        <f>SUMPRODUCT((MONTH(CHOOSE({1,2,3,4},TTSSKĐ!U268,TTSSKĐ!AA268,TTSSKĐ!AG268,TTSSKĐ!AM268))=4)*(CHOOSE({1,2,3,4},TTSSKĐ!X268,TTSSKĐ!AD268,TTSSKĐ!AJ268,TTSSKĐ!AP268)))</f>
        <v>0</v>
      </c>
      <c r="E268">
        <f>SUMPRODUCT((MONTH(CHOOSE({1,2,3,4},TTSSKĐ!U268,TTSSKĐ!AA268,TTSSKĐ!AG268,TTSSKĐ!AM268))=5)*(CHOOSE({1,2,3,4},TTSSKĐ!X268,TTSSKĐ!AD268,TTSSKĐ!AJ268,TTSSKĐ!AP268)))</f>
        <v>0</v>
      </c>
      <c r="F268">
        <f>SUMPRODUCT((MONTH(CHOOSE({1,2,3,4},TTSSKĐ!U268,TTSSKĐ!AA268,TTSSKĐ!AG268,TTSSKĐ!AM268))=6)*(CHOOSE({1,2,3,4},TTSSKĐ!X268,TTSSKĐ!AD268,TTSSKĐ!AJ268,TTSSKĐ!AP268)))</f>
        <v>0</v>
      </c>
      <c r="G268">
        <f>SUMPRODUCT((MONTH(CHOOSE({1,2,3,4},TTSSKĐ!U268,TTSSKĐ!AA268,TTSSKĐ!AG268,TTSSKĐ!AM268))=7)*(CHOOSE({1,2,3,4},TTSSKĐ!X268,TTSSKĐ!AD268,TTSSKĐ!AJ268,TTSSKĐ!AP268)))</f>
        <v>0</v>
      </c>
      <c r="H268">
        <f>SUMPRODUCT((MONTH(CHOOSE({1,2,3,4},TTSSKĐ!U268,TTSSKĐ!AA268,TTSSKĐ!AG268,TTSSKĐ!AM268))=8)*(CHOOSE({1,2,3,4},TTSSKĐ!X268,TTSSKĐ!AD268,TTSSKĐ!AJ268,TTSSKĐ!AP268)))</f>
        <v>0</v>
      </c>
      <c r="I268">
        <f>SUMPRODUCT((MONTH(CHOOSE({1,2,3,4},TTSSKĐ!U268,TTSSKĐ!AA268,TTSSKĐ!AG268,TTSSKĐ!AM268))=9)*(CHOOSE({1,2,3,4},TTSSKĐ!X268,TTSSKĐ!AD268,TTSSKĐ!AJ268,TTSSKĐ!AP268)))</f>
        <v>0</v>
      </c>
      <c r="J268">
        <f>SUMPRODUCT((MONTH(CHOOSE({1,2,3,4},TTSSKĐ!U268,TTSSKĐ!AA268,TTSSKĐ!AG268,TTSSKĐ!AM268))=10)*(CHOOSE({1,2,3,4},TTSSKĐ!X268,TTSSKĐ!AD268,TTSSKĐ!AJ268,TTSSKĐ!AP268)))</f>
        <v>0</v>
      </c>
      <c r="K268">
        <f>SUMPRODUCT((MONTH(CHOOSE({1,2,3,4},TTSSKĐ!U268,TTSSKĐ!AA268,TTSSKĐ!AG268,TTSSKĐ!AM268))=11)*(CHOOSE({1,2,3,4},TTSSKĐ!X268,TTSSKĐ!AD268,TTSSKĐ!AJ268,TTSSKĐ!AP268)))</f>
        <v>0</v>
      </c>
      <c r="L268">
        <f>SUMPRODUCT((MONTH(CHOOSE({1,2,3,4},TTSSKĐ!U268,TTSSKĐ!AA268,TTSSKĐ!AG268,TTSSKĐ!AM268))=12)*(CHOOSE({1,2,3,4},TTSSKĐ!X268,TTSSKĐ!AD268,TTSSKĐ!AJ268,TTSSKĐ!AP268)))</f>
        <v>0</v>
      </c>
    </row>
    <row r="269" spans="1:12">
      <c r="A269">
        <f>SUMPRODUCT((MONTH(CHOOSE({1,2,3,4},TTSSKĐ!U269,TTSSKĐ!AA269,TTSSKĐ!AG269,TTSSKĐ!AM269))=1)*(CHOOSE({1,2,3,4},TTSSKĐ!X269,TTSSKĐ!AD269,TTSSKĐ!AJ269,TTSSKĐ!AP269)))</f>
        <v>0</v>
      </c>
      <c r="B269">
        <f>SUMPRODUCT((MONTH(CHOOSE({1,2,3,4},TTSSKĐ!U269,TTSSKĐ!AA269,TTSSKĐ!AG269,TTSSKĐ!AM269))=2)*(CHOOSE({1,2,3,4},TTSSKĐ!X269,TTSSKĐ!AD269,TTSSKĐ!AJ269,TTSSKĐ!AP269)))</f>
        <v>0</v>
      </c>
      <c r="C269">
        <f>SUMPRODUCT((MONTH(CHOOSE({1,2,3,4},TTSSKĐ!U269,TTSSKĐ!AA269,TTSSKĐ!AG269,TTSSKĐ!AM269))=3)*(CHOOSE({1,2,3,4},TTSSKĐ!X269,TTSSKĐ!AD269,TTSSKĐ!AJ269,TTSSKĐ!AP269)))</f>
        <v>0</v>
      </c>
      <c r="D269">
        <f>SUMPRODUCT((MONTH(CHOOSE({1,2,3,4},TTSSKĐ!U269,TTSSKĐ!AA269,TTSSKĐ!AG269,TTSSKĐ!AM269))=4)*(CHOOSE({1,2,3,4},TTSSKĐ!X269,TTSSKĐ!AD269,TTSSKĐ!AJ269,TTSSKĐ!AP269)))</f>
        <v>0</v>
      </c>
      <c r="E269">
        <f>SUMPRODUCT((MONTH(CHOOSE({1,2,3,4},TTSSKĐ!U269,TTSSKĐ!AA269,TTSSKĐ!AG269,TTSSKĐ!AM269))=5)*(CHOOSE({1,2,3,4},TTSSKĐ!X269,TTSSKĐ!AD269,TTSSKĐ!AJ269,TTSSKĐ!AP269)))</f>
        <v>0</v>
      </c>
      <c r="F269">
        <f>SUMPRODUCT((MONTH(CHOOSE({1,2,3,4},TTSSKĐ!U269,TTSSKĐ!AA269,TTSSKĐ!AG269,TTSSKĐ!AM269))=6)*(CHOOSE({1,2,3,4},TTSSKĐ!X269,TTSSKĐ!AD269,TTSSKĐ!AJ269,TTSSKĐ!AP269)))</f>
        <v>0</v>
      </c>
      <c r="G269">
        <f>SUMPRODUCT((MONTH(CHOOSE({1,2,3,4},TTSSKĐ!U269,TTSSKĐ!AA269,TTSSKĐ!AG269,TTSSKĐ!AM269))=7)*(CHOOSE({1,2,3,4},TTSSKĐ!X269,TTSSKĐ!AD269,TTSSKĐ!AJ269,TTSSKĐ!AP269)))</f>
        <v>0</v>
      </c>
      <c r="H269">
        <f>SUMPRODUCT((MONTH(CHOOSE({1,2,3,4},TTSSKĐ!U269,TTSSKĐ!AA269,TTSSKĐ!AG269,TTSSKĐ!AM269))=8)*(CHOOSE({1,2,3,4},TTSSKĐ!X269,TTSSKĐ!AD269,TTSSKĐ!AJ269,TTSSKĐ!AP269)))</f>
        <v>0</v>
      </c>
      <c r="I269">
        <f>SUMPRODUCT((MONTH(CHOOSE({1,2,3,4},TTSSKĐ!U269,TTSSKĐ!AA269,TTSSKĐ!AG269,TTSSKĐ!AM269))=9)*(CHOOSE({1,2,3,4},TTSSKĐ!X269,TTSSKĐ!AD269,TTSSKĐ!AJ269,TTSSKĐ!AP269)))</f>
        <v>0</v>
      </c>
      <c r="J269">
        <f>SUMPRODUCT((MONTH(CHOOSE({1,2,3,4},TTSSKĐ!U269,TTSSKĐ!AA269,TTSSKĐ!AG269,TTSSKĐ!AM269))=10)*(CHOOSE({1,2,3,4},TTSSKĐ!X269,TTSSKĐ!AD269,TTSSKĐ!AJ269,TTSSKĐ!AP269)))</f>
        <v>0</v>
      </c>
      <c r="K269">
        <f>SUMPRODUCT((MONTH(CHOOSE({1,2,3,4},TTSSKĐ!U269,TTSSKĐ!AA269,TTSSKĐ!AG269,TTSSKĐ!AM269))=11)*(CHOOSE({1,2,3,4},TTSSKĐ!X269,TTSSKĐ!AD269,TTSSKĐ!AJ269,TTSSKĐ!AP269)))</f>
        <v>0</v>
      </c>
      <c r="L269">
        <f>SUMPRODUCT((MONTH(CHOOSE({1,2,3,4},TTSSKĐ!U269,TTSSKĐ!AA269,TTSSKĐ!AG269,TTSSKĐ!AM269))=12)*(CHOOSE({1,2,3,4},TTSSKĐ!X269,TTSSKĐ!AD269,TTSSKĐ!AJ269,TTSSKĐ!AP269)))</f>
        <v>0</v>
      </c>
    </row>
    <row r="270" spans="1:12">
      <c r="A270">
        <f>SUMPRODUCT((MONTH(CHOOSE({1,2,3,4},TTSSKĐ!U270,TTSSKĐ!AA270,TTSSKĐ!AG270,TTSSKĐ!AM270))=1)*(CHOOSE({1,2,3,4},TTSSKĐ!X270,TTSSKĐ!AD270,TTSSKĐ!AJ270,TTSSKĐ!AP270)))</f>
        <v>0</v>
      </c>
      <c r="B270">
        <f>SUMPRODUCT((MONTH(CHOOSE({1,2,3,4},TTSSKĐ!U270,TTSSKĐ!AA270,TTSSKĐ!AG270,TTSSKĐ!AM270))=2)*(CHOOSE({1,2,3,4},TTSSKĐ!X270,TTSSKĐ!AD270,TTSSKĐ!AJ270,TTSSKĐ!AP270)))</f>
        <v>0</v>
      </c>
      <c r="C270">
        <f>SUMPRODUCT((MONTH(CHOOSE({1,2,3,4},TTSSKĐ!U270,TTSSKĐ!AA270,TTSSKĐ!AG270,TTSSKĐ!AM270))=3)*(CHOOSE({1,2,3,4},TTSSKĐ!X270,TTSSKĐ!AD270,TTSSKĐ!AJ270,TTSSKĐ!AP270)))</f>
        <v>0</v>
      </c>
      <c r="D270">
        <f>SUMPRODUCT((MONTH(CHOOSE({1,2,3,4},TTSSKĐ!U270,TTSSKĐ!AA270,TTSSKĐ!AG270,TTSSKĐ!AM270))=4)*(CHOOSE({1,2,3,4},TTSSKĐ!X270,TTSSKĐ!AD270,TTSSKĐ!AJ270,TTSSKĐ!AP270)))</f>
        <v>0</v>
      </c>
      <c r="E270">
        <f>SUMPRODUCT((MONTH(CHOOSE({1,2,3,4},TTSSKĐ!U270,TTSSKĐ!AA270,TTSSKĐ!AG270,TTSSKĐ!AM270))=5)*(CHOOSE({1,2,3,4},TTSSKĐ!X270,TTSSKĐ!AD270,TTSSKĐ!AJ270,TTSSKĐ!AP270)))</f>
        <v>0</v>
      </c>
      <c r="F270">
        <f>SUMPRODUCT((MONTH(CHOOSE({1,2,3,4},TTSSKĐ!U270,TTSSKĐ!AA270,TTSSKĐ!AG270,TTSSKĐ!AM270))=6)*(CHOOSE({1,2,3,4},TTSSKĐ!X270,TTSSKĐ!AD270,TTSSKĐ!AJ270,TTSSKĐ!AP270)))</f>
        <v>0</v>
      </c>
      <c r="G270">
        <f>SUMPRODUCT((MONTH(CHOOSE({1,2,3,4},TTSSKĐ!U270,TTSSKĐ!AA270,TTSSKĐ!AG270,TTSSKĐ!AM270))=7)*(CHOOSE({1,2,3,4},TTSSKĐ!X270,TTSSKĐ!AD270,TTSSKĐ!AJ270,TTSSKĐ!AP270)))</f>
        <v>0</v>
      </c>
      <c r="H270">
        <f>SUMPRODUCT((MONTH(CHOOSE({1,2,3,4},TTSSKĐ!U270,TTSSKĐ!AA270,TTSSKĐ!AG270,TTSSKĐ!AM270))=8)*(CHOOSE({1,2,3,4},TTSSKĐ!X270,TTSSKĐ!AD270,TTSSKĐ!AJ270,TTSSKĐ!AP270)))</f>
        <v>0</v>
      </c>
      <c r="I270">
        <f>SUMPRODUCT((MONTH(CHOOSE({1,2,3,4},TTSSKĐ!U270,TTSSKĐ!AA270,TTSSKĐ!AG270,TTSSKĐ!AM270))=9)*(CHOOSE({1,2,3,4},TTSSKĐ!X270,TTSSKĐ!AD270,TTSSKĐ!AJ270,TTSSKĐ!AP270)))</f>
        <v>0</v>
      </c>
      <c r="J270">
        <f>SUMPRODUCT((MONTH(CHOOSE({1,2,3,4},TTSSKĐ!U270,TTSSKĐ!AA270,TTSSKĐ!AG270,TTSSKĐ!AM270))=10)*(CHOOSE({1,2,3,4},TTSSKĐ!X270,TTSSKĐ!AD270,TTSSKĐ!AJ270,TTSSKĐ!AP270)))</f>
        <v>0</v>
      </c>
      <c r="K270">
        <f>SUMPRODUCT((MONTH(CHOOSE({1,2,3,4},TTSSKĐ!U270,TTSSKĐ!AA270,TTSSKĐ!AG270,TTSSKĐ!AM270))=11)*(CHOOSE({1,2,3,4},TTSSKĐ!X270,TTSSKĐ!AD270,TTSSKĐ!AJ270,TTSSKĐ!AP270)))</f>
        <v>0</v>
      </c>
      <c r="L270">
        <f>SUMPRODUCT((MONTH(CHOOSE({1,2,3,4},TTSSKĐ!U270,TTSSKĐ!AA270,TTSSKĐ!AG270,TTSSKĐ!AM270))=12)*(CHOOSE({1,2,3,4},TTSSKĐ!X270,TTSSKĐ!AD270,TTSSKĐ!AJ270,TTSSKĐ!AP270)))</f>
        <v>0</v>
      </c>
    </row>
    <row r="271" spans="1:12">
      <c r="A271">
        <f>SUMPRODUCT((MONTH(CHOOSE({1,2,3,4},TTSSKĐ!U271,TTSSKĐ!AA271,TTSSKĐ!AG271,TTSSKĐ!AM271))=1)*(CHOOSE({1,2,3,4},TTSSKĐ!X271,TTSSKĐ!AD271,TTSSKĐ!AJ271,TTSSKĐ!AP271)))</f>
        <v>0</v>
      </c>
      <c r="B271">
        <f>SUMPRODUCT((MONTH(CHOOSE({1,2,3,4},TTSSKĐ!U271,TTSSKĐ!AA271,TTSSKĐ!AG271,TTSSKĐ!AM271))=2)*(CHOOSE({1,2,3,4},TTSSKĐ!X271,TTSSKĐ!AD271,TTSSKĐ!AJ271,TTSSKĐ!AP271)))</f>
        <v>0</v>
      </c>
      <c r="C271">
        <f>SUMPRODUCT((MONTH(CHOOSE({1,2,3,4},TTSSKĐ!U271,TTSSKĐ!AA271,TTSSKĐ!AG271,TTSSKĐ!AM271))=3)*(CHOOSE({1,2,3,4},TTSSKĐ!X271,TTSSKĐ!AD271,TTSSKĐ!AJ271,TTSSKĐ!AP271)))</f>
        <v>0</v>
      </c>
      <c r="D271">
        <f>SUMPRODUCT((MONTH(CHOOSE({1,2,3,4},TTSSKĐ!U271,TTSSKĐ!AA271,TTSSKĐ!AG271,TTSSKĐ!AM271))=4)*(CHOOSE({1,2,3,4},TTSSKĐ!X271,TTSSKĐ!AD271,TTSSKĐ!AJ271,TTSSKĐ!AP271)))</f>
        <v>0</v>
      </c>
      <c r="E271">
        <f>SUMPRODUCT((MONTH(CHOOSE({1,2,3,4},TTSSKĐ!U271,TTSSKĐ!AA271,TTSSKĐ!AG271,TTSSKĐ!AM271))=5)*(CHOOSE({1,2,3,4},TTSSKĐ!X271,TTSSKĐ!AD271,TTSSKĐ!AJ271,TTSSKĐ!AP271)))</f>
        <v>0</v>
      </c>
      <c r="F271">
        <f>SUMPRODUCT((MONTH(CHOOSE({1,2,3,4},TTSSKĐ!U271,TTSSKĐ!AA271,TTSSKĐ!AG271,TTSSKĐ!AM271))=6)*(CHOOSE({1,2,3,4},TTSSKĐ!X271,TTSSKĐ!AD271,TTSSKĐ!AJ271,TTSSKĐ!AP271)))</f>
        <v>0</v>
      </c>
      <c r="G271">
        <f>SUMPRODUCT((MONTH(CHOOSE({1,2,3,4},TTSSKĐ!U271,TTSSKĐ!AA271,TTSSKĐ!AG271,TTSSKĐ!AM271))=7)*(CHOOSE({1,2,3,4},TTSSKĐ!X271,TTSSKĐ!AD271,TTSSKĐ!AJ271,TTSSKĐ!AP271)))</f>
        <v>0</v>
      </c>
      <c r="H271">
        <f>SUMPRODUCT((MONTH(CHOOSE({1,2,3,4},TTSSKĐ!U271,TTSSKĐ!AA271,TTSSKĐ!AG271,TTSSKĐ!AM271))=8)*(CHOOSE({1,2,3,4},TTSSKĐ!X271,TTSSKĐ!AD271,TTSSKĐ!AJ271,TTSSKĐ!AP271)))</f>
        <v>0</v>
      </c>
      <c r="I271">
        <f>SUMPRODUCT((MONTH(CHOOSE({1,2,3,4},TTSSKĐ!U271,TTSSKĐ!AA271,TTSSKĐ!AG271,TTSSKĐ!AM271))=9)*(CHOOSE({1,2,3,4},TTSSKĐ!X271,TTSSKĐ!AD271,TTSSKĐ!AJ271,TTSSKĐ!AP271)))</f>
        <v>0</v>
      </c>
      <c r="J271">
        <f>SUMPRODUCT((MONTH(CHOOSE({1,2,3,4},TTSSKĐ!U271,TTSSKĐ!AA271,TTSSKĐ!AG271,TTSSKĐ!AM271))=10)*(CHOOSE({1,2,3,4},TTSSKĐ!X271,TTSSKĐ!AD271,TTSSKĐ!AJ271,TTSSKĐ!AP271)))</f>
        <v>0</v>
      </c>
      <c r="K271">
        <f>SUMPRODUCT((MONTH(CHOOSE({1,2,3,4},TTSSKĐ!U271,TTSSKĐ!AA271,TTSSKĐ!AG271,TTSSKĐ!AM271))=11)*(CHOOSE({1,2,3,4},TTSSKĐ!X271,TTSSKĐ!AD271,TTSSKĐ!AJ271,TTSSKĐ!AP271)))</f>
        <v>0</v>
      </c>
      <c r="L271">
        <f>SUMPRODUCT((MONTH(CHOOSE({1,2,3,4},TTSSKĐ!U271,TTSSKĐ!AA271,TTSSKĐ!AG271,TTSSKĐ!AM271))=12)*(CHOOSE({1,2,3,4},TTSSKĐ!X271,TTSSKĐ!AD271,TTSSKĐ!AJ271,TTSSKĐ!AP271)))</f>
        <v>0</v>
      </c>
    </row>
    <row r="272" spans="1:12">
      <c r="A272">
        <f>SUMPRODUCT((MONTH(CHOOSE({1,2,3,4},TTSSKĐ!U272,TTSSKĐ!AA272,TTSSKĐ!AG272,TTSSKĐ!AM272))=1)*(CHOOSE({1,2,3,4},TTSSKĐ!X272,TTSSKĐ!AD272,TTSSKĐ!AJ272,TTSSKĐ!AP272)))</f>
        <v>0</v>
      </c>
      <c r="B272">
        <f>SUMPRODUCT((MONTH(CHOOSE({1,2,3,4},TTSSKĐ!U272,TTSSKĐ!AA272,TTSSKĐ!AG272,TTSSKĐ!AM272))=2)*(CHOOSE({1,2,3,4},TTSSKĐ!X272,TTSSKĐ!AD272,TTSSKĐ!AJ272,TTSSKĐ!AP272)))</f>
        <v>0</v>
      </c>
      <c r="C272">
        <f>SUMPRODUCT((MONTH(CHOOSE({1,2,3,4},TTSSKĐ!U272,TTSSKĐ!AA272,TTSSKĐ!AG272,TTSSKĐ!AM272))=3)*(CHOOSE({1,2,3,4},TTSSKĐ!X272,TTSSKĐ!AD272,TTSSKĐ!AJ272,TTSSKĐ!AP272)))</f>
        <v>0</v>
      </c>
      <c r="D272">
        <f>SUMPRODUCT((MONTH(CHOOSE({1,2,3,4},TTSSKĐ!U272,TTSSKĐ!AA272,TTSSKĐ!AG272,TTSSKĐ!AM272))=4)*(CHOOSE({1,2,3,4},TTSSKĐ!X272,TTSSKĐ!AD272,TTSSKĐ!AJ272,TTSSKĐ!AP272)))</f>
        <v>0</v>
      </c>
      <c r="E272">
        <f>SUMPRODUCT((MONTH(CHOOSE({1,2,3,4},TTSSKĐ!U272,TTSSKĐ!AA272,TTSSKĐ!AG272,TTSSKĐ!AM272))=5)*(CHOOSE({1,2,3,4},TTSSKĐ!X272,TTSSKĐ!AD272,TTSSKĐ!AJ272,TTSSKĐ!AP272)))</f>
        <v>0</v>
      </c>
      <c r="F272">
        <f>SUMPRODUCT((MONTH(CHOOSE({1,2,3,4},TTSSKĐ!U272,TTSSKĐ!AA272,TTSSKĐ!AG272,TTSSKĐ!AM272))=6)*(CHOOSE({1,2,3,4},TTSSKĐ!X272,TTSSKĐ!AD272,TTSSKĐ!AJ272,TTSSKĐ!AP272)))</f>
        <v>0</v>
      </c>
      <c r="G272">
        <f>SUMPRODUCT((MONTH(CHOOSE({1,2,3,4},TTSSKĐ!U272,TTSSKĐ!AA272,TTSSKĐ!AG272,TTSSKĐ!AM272))=7)*(CHOOSE({1,2,3,4},TTSSKĐ!X272,TTSSKĐ!AD272,TTSSKĐ!AJ272,TTSSKĐ!AP272)))</f>
        <v>0</v>
      </c>
      <c r="H272">
        <f>SUMPRODUCT((MONTH(CHOOSE({1,2,3,4},TTSSKĐ!U272,TTSSKĐ!AA272,TTSSKĐ!AG272,TTSSKĐ!AM272))=8)*(CHOOSE({1,2,3,4},TTSSKĐ!X272,TTSSKĐ!AD272,TTSSKĐ!AJ272,TTSSKĐ!AP272)))</f>
        <v>0</v>
      </c>
      <c r="I272">
        <f>SUMPRODUCT((MONTH(CHOOSE({1,2,3,4},TTSSKĐ!U272,TTSSKĐ!AA272,TTSSKĐ!AG272,TTSSKĐ!AM272))=9)*(CHOOSE({1,2,3,4},TTSSKĐ!X272,TTSSKĐ!AD272,TTSSKĐ!AJ272,TTSSKĐ!AP272)))</f>
        <v>0</v>
      </c>
      <c r="J272">
        <f>SUMPRODUCT((MONTH(CHOOSE({1,2,3,4},TTSSKĐ!U272,TTSSKĐ!AA272,TTSSKĐ!AG272,TTSSKĐ!AM272))=10)*(CHOOSE({1,2,3,4},TTSSKĐ!X272,TTSSKĐ!AD272,TTSSKĐ!AJ272,TTSSKĐ!AP272)))</f>
        <v>0</v>
      </c>
      <c r="K272">
        <f>SUMPRODUCT((MONTH(CHOOSE({1,2,3,4},TTSSKĐ!U272,TTSSKĐ!AA272,TTSSKĐ!AG272,TTSSKĐ!AM272))=11)*(CHOOSE({1,2,3,4},TTSSKĐ!X272,TTSSKĐ!AD272,TTSSKĐ!AJ272,TTSSKĐ!AP272)))</f>
        <v>0</v>
      </c>
      <c r="L272">
        <f>SUMPRODUCT((MONTH(CHOOSE({1,2,3,4},TTSSKĐ!U272,TTSSKĐ!AA272,TTSSKĐ!AG272,TTSSKĐ!AM272))=12)*(CHOOSE({1,2,3,4},TTSSKĐ!X272,TTSSKĐ!AD272,TTSSKĐ!AJ272,TTSSKĐ!AP272)))</f>
        <v>0</v>
      </c>
    </row>
    <row r="273" spans="1:12">
      <c r="A273">
        <f>SUMPRODUCT((MONTH(CHOOSE({1,2,3,4},TTSSKĐ!U273,TTSSKĐ!AA273,TTSSKĐ!AG273,TTSSKĐ!AM273))=1)*(CHOOSE({1,2,3,4},TTSSKĐ!X273,TTSSKĐ!AD273,TTSSKĐ!AJ273,TTSSKĐ!AP273)))</f>
        <v>0</v>
      </c>
      <c r="B273">
        <f>SUMPRODUCT((MONTH(CHOOSE({1,2,3,4},TTSSKĐ!U273,TTSSKĐ!AA273,TTSSKĐ!AG273,TTSSKĐ!AM273))=2)*(CHOOSE({1,2,3,4},TTSSKĐ!X273,TTSSKĐ!AD273,TTSSKĐ!AJ273,TTSSKĐ!AP273)))</f>
        <v>0</v>
      </c>
      <c r="C273">
        <f>SUMPRODUCT((MONTH(CHOOSE({1,2,3,4},TTSSKĐ!U273,TTSSKĐ!AA273,TTSSKĐ!AG273,TTSSKĐ!AM273))=3)*(CHOOSE({1,2,3,4},TTSSKĐ!X273,TTSSKĐ!AD273,TTSSKĐ!AJ273,TTSSKĐ!AP273)))</f>
        <v>0</v>
      </c>
      <c r="D273">
        <f>SUMPRODUCT((MONTH(CHOOSE({1,2,3,4},TTSSKĐ!U273,TTSSKĐ!AA273,TTSSKĐ!AG273,TTSSKĐ!AM273))=4)*(CHOOSE({1,2,3,4},TTSSKĐ!X273,TTSSKĐ!AD273,TTSSKĐ!AJ273,TTSSKĐ!AP273)))</f>
        <v>0</v>
      </c>
      <c r="E273">
        <f>SUMPRODUCT((MONTH(CHOOSE({1,2,3,4},TTSSKĐ!U273,TTSSKĐ!AA273,TTSSKĐ!AG273,TTSSKĐ!AM273))=5)*(CHOOSE({1,2,3,4},TTSSKĐ!X273,TTSSKĐ!AD273,TTSSKĐ!AJ273,TTSSKĐ!AP273)))</f>
        <v>0</v>
      </c>
      <c r="F273">
        <f>SUMPRODUCT((MONTH(CHOOSE({1,2,3,4},TTSSKĐ!U273,TTSSKĐ!AA273,TTSSKĐ!AG273,TTSSKĐ!AM273))=6)*(CHOOSE({1,2,3,4},TTSSKĐ!X273,TTSSKĐ!AD273,TTSSKĐ!AJ273,TTSSKĐ!AP273)))</f>
        <v>0</v>
      </c>
      <c r="G273">
        <f>SUMPRODUCT((MONTH(CHOOSE({1,2,3,4},TTSSKĐ!U273,TTSSKĐ!AA273,TTSSKĐ!AG273,TTSSKĐ!AM273))=7)*(CHOOSE({1,2,3,4},TTSSKĐ!X273,TTSSKĐ!AD273,TTSSKĐ!AJ273,TTSSKĐ!AP273)))</f>
        <v>0</v>
      </c>
      <c r="H273">
        <f>SUMPRODUCT((MONTH(CHOOSE({1,2,3,4},TTSSKĐ!U273,TTSSKĐ!AA273,TTSSKĐ!AG273,TTSSKĐ!AM273))=8)*(CHOOSE({1,2,3,4},TTSSKĐ!X273,TTSSKĐ!AD273,TTSSKĐ!AJ273,TTSSKĐ!AP273)))</f>
        <v>0</v>
      </c>
      <c r="I273">
        <f>SUMPRODUCT((MONTH(CHOOSE({1,2,3,4},TTSSKĐ!U273,TTSSKĐ!AA273,TTSSKĐ!AG273,TTSSKĐ!AM273))=9)*(CHOOSE({1,2,3,4},TTSSKĐ!X273,TTSSKĐ!AD273,TTSSKĐ!AJ273,TTSSKĐ!AP273)))</f>
        <v>0</v>
      </c>
      <c r="J273">
        <f>SUMPRODUCT((MONTH(CHOOSE({1,2,3,4},TTSSKĐ!U273,TTSSKĐ!AA273,TTSSKĐ!AG273,TTSSKĐ!AM273))=10)*(CHOOSE({1,2,3,4},TTSSKĐ!X273,TTSSKĐ!AD273,TTSSKĐ!AJ273,TTSSKĐ!AP273)))</f>
        <v>0</v>
      </c>
      <c r="K273">
        <f>SUMPRODUCT((MONTH(CHOOSE({1,2,3,4},TTSSKĐ!U273,TTSSKĐ!AA273,TTSSKĐ!AG273,TTSSKĐ!AM273))=11)*(CHOOSE({1,2,3,4},TTSSKĐ!X273,TTSSKĐ!AD273,TTSSKĐ!AJ273,TTSSKĐ!AP273)))</f>
        <v>0</v>
      </c>
      <c r="L273">
        <f>SUMPRODUCT((MONTH(CHOOSE({1,2,3,4},TTSSKĐ!U273,TTSSKĐ!AA273,TTSSKĐ!AG273,TTSSKĐ!AM273))=12)*(CHOOSE({1,2,3,4},TTSSKĐ!X273,TTSSKĐ!AD273,TTSSKĐ!AJ273,TTSSKĐ!AP273)))</f>
        <v>0</v>
      </c>
    </row>
    <row r="274" spans="1:12">
      <c r="A274">
        <f>SUMPRODUCT((MONTH(CHOOSE({1,2,3,4},TTSSKĐ!U274,TTSSKĐ!AA274,TTSSKĐ!AG274,TTSSKĐ!AM274))=1)*(CHOOSE({1,2,3,4},TTSSKĐ!X274,TTSSKĐ!AD274,TTSSKĐ!AJ274,TTSSKĐ!AP274)))</f>
        <v>0</v>
      </c>
      <c r="B274">
        <f>SUMPRODUCT((MONTH(CHOOSE({1,2,3,4},TTSSKĐ!U274,TTSSKĐ!AA274,TTSSKĐ!AG274,TTSSKĐ!AM274))=2)*(CHOOSE({1,2,3,4},TTSSKĐ!X274,TTSSKĐ!AD274,TTSSKĐ!AJ274,TTSSKĐ!AP274)))</f>
        <v>0</v>
      </c>
      <c r="C274">
        <f>SUMPRODUCT((MONTH(CHOOSE({1,2,3,4},TTSSKĐ!U274,TTSSKĐ!AA274,TTSSKĐ!AG274,TTSSKĐ!AM274))=3)*(CHOOSE({1,2,3,4},TTSSKĐ!X274,TTSSKĐ!AD274,TTSSKĐ!AJ274,TTSSKĐ!AP274)))</f>
        <v>0</v>
      </c>
      <c r="D274">
        <f>SUMPRODUCT((MONTH(CHOOSE({1,2,3,4},TTSSKĐ!U274,TTSSKĐ!AA274,TTSSKĐ!AG274,TTSSKĐ!AM274))=4)*(CHOOSE({1,2,3,4},TTSSKĐ!X274,TTSSKĐ!AD274,TTSSKĐ!AJ274,TTSSKĐ!AP274)))</f>
        <v>0</v>
      </c>
      <c r="E274">
        <f>SUMPRODUCT((MONTH(CHOOSE({1,2,3,4},TTSSKĐ!U274,TTSSKĐ!AA274,TTSSKĐ!AG274,TTSSKĐ!AM274))=5)*(CHOOSE({1,2,3,4},TTSSKĐ!X274,TTSSKĐ!AD274,TTSSKĐ!AJ274,TTSSKĐ!AP274)))</f>
        <v>0</v>
      </c>
      <c r="F274">
        <f>SUMPRODUCT((MONTH(CHOOSE({1,2,3,4},TTSSKĐ!U274,TTSSKĐ!AA274,TTSSKĐ!AG274,TTSSKĐ!AM274))=6)*(CHOOSE({1,2,3,4},TTSSKĐ!X274,TTSSKĐ!AD274,TTSSKĐ!AJ274,TTSSKĐ!AP274)))</f>
        <v>0</v>
      </c>
      <c r="G274">
        <f>SUMPRODUCT((MONTH(CHOOSE({1,2,3,4},TTSSKĐ!U274,TTSSKĐ!AA274,TTSSKĐ!AG274,TTSSKĐ!AM274))=7)*(CHOOSE({1,2,3,4},TTSSKĐ!X274,TTSSKĐ!AD274,TTSSKĐ!AJ274,TTSSKĐ!AP274)))</f>
        <v>0</v>
      </c>
      <c r="H274">
        <f>SUMPRODUCT((MONTH(CHOOSE({1,2,3,4},TTSSKĐ!U274,TTSSKĐ!AA274,TTSSKĐ!AG274,TTSSKĐ!AM274))=8)*(CHOOSE({1,2,3,4},TTSSKĐ!X274,TTSSKĐ!AD274,TTSSKĐ!AJ274,TTSSKĐ!AP274)))</f>
        <v>0</v>
      </c>
      <c r="I274">
        <f>SUMPRODUCT((MONTH(CHOOSE({1,2,3,4},TTSSKĐ!U274,TTSSKĐ!AA274,TTSSKĐ!AG274,TTSSKĐ!AM274))=9)*(CHOOSE({1,2,3,4},TTSSKĐ!X274,TTSSKĐ!AD274,TTSSKĐ!AJ274,TTSSKĐ!AP274)))</f>
        <v>0</v>
      </c>
      <c r="J274">
        <f>SUMPRODUCT((MONTH(CHOOSE({1,2,3,4},TTSSKĐ!U274,TTSSKĐ!AA274,TTSSKĐ!AG274,TTSSKĐ!AM274))=10)*(CHOOSE({1,2,3,4},TTSSKĐ!X274,TTSSKĐ!AD274,TTSSKĐ!AJ274,TTSSKĐ!AP274)))</f>
        <v>0</v>
      </c>
      <c r="K274">
        <f>SUMPRODUCT((MONTH(CHOOSE({1,2,3,4},TTSSKĐ!U274,TTSSKĐ!AA274,TTSSKĐ!AG274,TTSSKĐ!AM274))=11)*(CHOOSE({1,2,3,4},TTSSKĐ!X274,TTSSKĐ!AD274,TTSSKĐ!AJ274,TTSSKĐ!AP274)))</f>
        <v>0</v>
      </c>
      <c r="L274">
        <f>SUMPRODUCT((MONTH(CHOOSE({1,2,3,4},TTSSKĐ!U274,TTSSKĐ!AA274,TTSSKĐ!AG274,TTSSKĐ!AM274))=12)*(CHOOSE({1,2,3,4},TTSSKĐ!X274,TTSSKĐ!AD274,TTSSKĐ!AJ274,TTSSKĐ!AP274)))</f>
        <v>0</v>
      </c>
    </row>
    <row r="275" spans="1:12">
      <c r="A275">
        <f>SUMPRODUCT((MONTH(CHOOSE({1,2,3,4},TTSSKĐ!U275,TTSSKĐ!AA275,TTSSKĐ!AG275,TTSSKĐ!AM275))=1)*(CHOOSE({1,2,3,4},TTSSKĐ!X275,TTSSKĐ!AD275,TTSSKĐ!AJ275,TTSSKĐ!AP275)))</f>
        <v>0</v>
      </c>
      <c r="B275">
        <f>SUMPRODUCT((MONTH(CHOOSE({1,2,3,4},TTSSKĐ!U275,TTSSKĐ!AA275,TTSSKĐ!AG275,TTSSKĐ!AM275))=2)*(CHOOSE({1,2,3,4},TTSSKĐ!X275,TTSSKĐ!AD275,TTSSKĐ!AJ275,TTSSKĐ!AP275)))</f>
        <v>0</v>
      </c>
      <c r="C275">
        <f>SUMPRODUCT((MONTH(CHOOSE({1,2,3,4},TTSSKĐ!U275,TTSSKĐ!AA275,TTSSKĐ!AG275,TTSSKĐ!AM275))=3)*(CHOOSE({1,2,3,4},TTSSKĐ!X275,TTSSKĐ!AD275,TTSSKĐ!AJ275,TTSSKĐ!AP275)))</f>
        <v>0</v>
      </c>
      <c r="D275">
        <f>SUMPRODUCT((MONTH(CHOOSE({1,2,3,4},TTSSKĐ!U275,TTSSKĐ!AA275,TTSSKĐ!AG275,TTSSKĐ!AM275))=4)*(CHOOSE({1,2,3,4},TTSSKĐ!X275,TTSSKĐ!AD275,TTSSKĐ!AJ275,TTSSKĐ!AP275)))</f>
        <v>0</v>
      </c>
      <c r="E275">
        <f>SUMPRODUCT((MONTH(CHOOSE({1,2,3,4},TTSSKĐ!U275,TTSSKĐ!AA275,TTSSKĐ!AG275,TTSSKĐ!AM275))=5)*(CHOOSE({1,2,3,4},TTSSKĐ!X275,TTSSKĐ!AD275,TTSSKĐ!AJ275,TTSSKĐ!AP275)))</f>
        <v>0</v>
      </c>
      <c r="F275">
        <f>SUMPRODUCT((MONTH(CHOOSE({1,2,3,4},TTSSKĐ!U275,TTSSKĐ!AA275,TTSSKĐ!AG275,TTSSKĐ!AM275))=6)*(CHOOSE({1,2,3,4},TTSSKĐ!X275,TTSSKĐ!AD275,TTSSKĐ!AJ275,TTSSKĐ!AP275)))</f>
        <v>0</v>
      </c>
      <c r="G275">
        <f>SUMPRODUCT((MONTH(CHOOSE({1,2,3,4},TTSSKĐ!U275,TTSSKĐ!AA275,TTSSKĐ!AG275,TTSSKĐ!AM275))=7)*(CHOOSE({1,2,3,4},TTSSKĐ!X275,TTSSKĐ!AD275,TTSSKĐ!AJ275,TTSSKĐ!AP275)))</f>
        <v>0</v>
      </c>
      <c r="H275">
        <f>SUMPRODUCT((MONTH(CHOOSE({1,2,3,4},TTSSKĐ!U275,TTSSKĐ!AA275,TTSSKĐ!AG275,TTSSKĐ!AM275))=8)*(CHOOSE({1,2,3,4},TTSSKĐ!X275,TTSSKĐ!AD275,TTSSKĐ!AJ275,TTSSKĐ!AP275)))</f>
        <v>0</v>
      </c>
      <c r="I275">
        <f>SUMPRODUCT((MONTH(CHOOSE({1,2,3,4},TTSSKĐ!U275,TTSSKĐ!AA275,TTSSKĐ!AG275,TTSSKĐ!AM275))=9)*(CHOOSE({1,2,3,4},TTSSKĐ!X275,TTSSKĐ!AD275,TTSSKĐ!AJ275,TTSSKĐ!AP275)))</f>
        <v>0</v>
      </c>
      <c r="J275">
        <f>SUMPRODUCT((MONTH(CHOOSE({1,2,3,4},TTSSKĐ!U275,TTSSKĐ!AA275,TTSSKĐ!AG275,TTSSKĐ!AM275))=10)*(CHOOSE({1,2,3,4},TTSSKĐ!X275,TTSSKĐ!AD275,TTSSKĐ!AJ275,TTSSKĐ!AP275)))</f>
        <v>0</v>
      </c>
      <c r="K275">
        <f>SUMPRODUCT((MONTH(CHOOSE({1,2,3,4},TTSSKĐ!U275,TTSSKĐ!AA275,TTSSKĐ!AG275,TTSSKĐ!AM275))=11)*(CHOOSE({1,2,3,4},TTSSKĐ!X275,TTSSKĐ!AD275,TTSSKĐ!AJ275,TTSSKĐ!AP275)))</f>
        <v>0</v>
      </c>
      <c r="L275">
        <f>SUMPRODUCT((MONTH(CHOOSE({1,2,3,4},TTSSKĐ!U275,TTSSKĐ!AA275,TTSSKĐ!AG275,TTSSKĐ!AM275))=12)*(CHOOSE({1,2,3,4},TTSSKĐ!X275,TTSSKĐ!AD275,TTSSKĐ!AJ275,TTSSKĐ!AP275)))</f>
        <v>0</v>
      </c>
    </row>
    <row r="276" spans="1:12">
      <c r="A276">
        <f>SUMPRODUCT((MONTH(CHOOSE({1,2,3,4},TTSSKĐ!U276,TTSSKĐ!AA276,TTSSKĐ!AG276,TTSSKĐ!AM276))=1)*(CHOOSE({1,2,3,4},TTSSKĐ!X276,TTSSKĐ!AD276,TTSSKĐ!AJ276,TTSSKĐ!AP276)))</f>
        <v>0</v>
      </c>
      <c r="B276">
        <f>SUMPRODUCT((MONTH(CHOOSE({1,2,3,4},TTSSKĐ!U276,TTSSKĐ!AA276,TTSSKĐ!AG276,TTSSKĐ!AM276))=2)*(CHOOSE({1,2,3,4},TTSSKĐ!X276,TTSSKĐ!AD276,TTSSKĐ!AJ276,TTSSKĐ!AP276)))</f>
        <v>0</v>
      </c>
      <c r="C276">
        <f>SUMPRODUCT((MONTH(CHOOSE({1,2,3,4},TTSSKĐ!U276,TTSSKĐ!AA276,TTSSKĐ!AG276,TTSSKĐ!AM276))=3)*(CHOOSE({1,2,3,4},TTSSKĐ!X276,TTSSKĐ!AD276,TTSSKĐ!AJ276,TTSSKĐ!AP276)))</f>
        <v>0</v>
      </c>
      <c r="D276">
        <f>SUMPRODUCT((MONTH(CHOOSE({1,2,3,4},TTSSKĐ!U276,TTSSKĐ!AA276,TTSSKĐ!AG276,TTSSKĐ!AM276))=4)*(CHOOSE({1,2,3,4},TTSSKĐ!X276,TTSSKĐ!AD276,TTSSKĐ!AJ276,TTSSKĐ!AP276)))</f>
        <v>0</v>
      </c>
      <c r="E276">
        <f>SUMPRODUCT((MONTH(CHOOSE({1,2,3,4},TTSSKĐ!U276,TTSSKĐ!AA276,TTSSKĐ!AG276,TTSSKĐ!AM276))=5)*(CHOOSE({1,2,3,4},TTSSKĐ!X276,TTSSKĐ!AD276,TTSSKĐ!AJ276,TTSSKĐ!AP276)))</f>
        <v>0</v>
      </c>
      <c r="F276">
        <f>SUMPRODUCT((MONTH(CHOOSE({1,2,3,4},TTSSKĐ!U276,TTSSKĐ!AA276,TTSSKĐ!AG276,TTSSKĐ!AM276))=6)*(CHOOSE({1,2,3,4},TTSSKĐ!X276,TTSSKĐ!AD276,TTSSKĐ!AJ276,TTSSKĐ!AP276)))</f>
        <v>0</v>
      </c>
      <c r="G276">
        <f>SUMPRODUCT((MONTH(CHOOSE({1,2,3,4},TTSSKĐ!U276,TTSSKĐ!AA276,TTSSKĐ!AG276,TTSSKĐ!AM276))=7)*(CHOOSE({1,2,3,4},TTSSKĐ!X276,TTSSKĐ!AD276,TTSSKĐ!AJ276,TTSSKĐ!AP276)))</f>
        <v>0</v>
      </c>
      <c r="H276">
        <f>SUMPRODUCT((MONTH(CHOOSE({1,2,3,4},TTSSKĐ!U276,TTSSKĐ!AA276,TTSSKĐ!AG276,TTSSKĐ!AM276))=8)*(CHOOSE({1,2,3,4},TTSSKĐ!X276,TTSSKĐ!AD276,TTSSKĐ!AJ276,TTSSKĐ!AP276)))</f>
        <v>0</v>
      </c>
      <c r="I276">
        <f>SUMPRODUCT((MONTH(CHOOSE({1,2,3,4},TTSSKĐ!U276,TTSSKĐ!AA276,TTSSKĐ!AG276,TTSSKĐ!AM276))=9)*(CHOOSE({1,2,3,4},TTSSKĐ!X276,TTSSKĐ!AD276,TTSSKĐ!AJ276,TTSSKĐ!AP276)))</f>
        <v>0</v>
      </c>
      <c r="J276">
        <f>SUMPRODUCT((MONTH(CHOOSE({1,2,3,4},TTSSKĐ!U276,TTSSKĐ!AA276,TTSSKĐ!AG276,TTSSKĐ!AM276))=10)*(CHOOSE({1,2,3,4},TTSSKĐ!X276,TTSSKĐ!AD276,TTSSKĐ!AJ276,TTSSKĐ!AP276)))</f>
        <v>0</v>
      </c>
      <c r="K276">
        <f>SUMPRODUCT((MONTH(CHOOSE({1,2,3,4},TTSSKĐ!U276,TTSSKĐ!AA276,TTSSKĐ!AG276,TTSSKĐ!AM276))=11)*(CHOOSE({1,2,3,4},TTSSKĐ!X276,TTSSKĐ!AD276,TTSSKĐ!AJ276,TTSSKĐ!AP276)))</f>
        <v>0</v>
      </c>
      <c r="L276">
        <f>SUMPRODUCT((MONTH(CHOOSE({1,2,3,4},TTSSKĐ!U276,TTSSKĐ!AA276,TTSSKĐ!AG276,TTSSKĐ!AM276))=12)*(CHOOSE({1,2,3,4},TTSSKĐ!X276,TTSSKĐ!AD276,TTSSKĐ!AJ276,TTSSKĐ!AP276)))</f>
        <v>0</v>
      </c>
    </row>
    <row r="277" spans="1:12">
      <c r="A277">
        <f>SUMPRODUCT((MONTH(CHOOSE({1,2,3,4},TTSSKĐ!U277,TTSSKĐ!AA277,TTSSKĐ!AG277,TTSSKĐ!AM277))=1)*(CHOOSE({1,2,3,4},TTSSKĐ!X277,TTSSKĐ!AD277,TTSSKĐ!AJ277,TTSSKĐ!AP277)))</f>
        <v>0</v>
      </c>
      <c r="B277">
        <f>SUMPRODUCT((MONTH(CHOOSE({1,2,3,4},TTSSKĐ!U277,TTSSKĐ!AA277,TTSSKĐ!AG277,TTSSKĐ!AM277))=2)*(CHOOSE({1,2,3,4},TTSSKĐ!X277,TTSSKĐ!AD277,TTSSKĐ!AJ277,TTSSKĐ!AP277)))</f>
        <v>0</v>
      </c>
      <c r="C277">
        <f>SUMPRODUCT((MONTH(CHOOSE({1,2,3,4},TTSSKĐ!U277,TTSSKĐ!AA277,TTSSKĐ!AG277,TTSSKĐ!AM277))=3)*(CHOOSE({1,2,3,4},TTSSKĐ!X277,TTSSKĐ!AD277,TTSSKĐ!AJ277,TTSSKĐ!AP277)))</f>
        <v>0</v>
      </c>
      <c r="D277">
        <f>SUMPRODUCT((MONTH(CHOOSE({1,2,3,4},TTSSKĐ!U277,TTSSKĐ!AA277,TTSSKĐ!AG277,TTSSKĐ!AM277))=4)*(CHOOSE({1,2,3,4},TTSSKĐ!X277,TTSSKĐ!AD277,TTSSKĐ!AJ277,TTSSKĐ!AP277)))</f>
        <v>0</v>
      </c>
      <c r="E277">
        <f>SUMPRODUCT((MONTH(CHOOSE({1,2,3,4},TTSSKĐ!U277,TTSSKĐ!AA277,TTSSKĐ!AG277,TTSSKĐ!AM277))=5)*(CHOOSE({1,2,3,4},TTSSKĐ!X277,TTSSKĐ!AD277,TTSSKĐ!AJ277,TTSSKĐ!AP277)))</f>
        <v>0</v>
      </c>
      <c r="F277">
        <f>SUMPRODUCT((MONTH(CHOOSE({1,2,3,4},TTSSKĐ!U277,TTSSKĐ!AA277,TTSSKĐ!AG277,TTSSKĐ!AM277))=6)*(CHOOSE({1,2,3,4},TTSSKĐ!X277,TTSSKĐ!AD277,TTSSKĐ!AJ277,TTSSKĐ!AP277)))</f>
        <v>0</v>
      </c>
      <c r="G277">
        <f>SUMPRODUCT((MONTH(CHOOSE({1,2,3,4},TTSSKĐ!U277,TTSSKĐ!AA277,TTSSKĐ!AG277,TTSSKĐ!AM277))=7)*(CHOOSE({1,2,3,4},TTSSKĐ!X277,TTSSKĐ!AD277,TTSSKĐ!AJ277,TTSSKĐ!AP277)))</f>
        <v>0</v>
      </c>
      <c r="H277">
        <f>SUMPRODUCT((MONTH(CHOOSE({1,2,3,4},TTSSKĐ!U277,TTSSKĐ!AA277,TTSSKĐ!AG277,TTSSKĐ!AM277))=8)*(CHOOSE({1,2,3,4},TTSSKĐ!X277,TTSSKĐ!AD277,TTSSKĐ!AJ277,TTSSKĐ!AP277)))</f>
        <v>0</v>
      </c>
      <c r="I277">
        <f>SUMPRODUCT((MONTH(CHOOSE({1,2,3,4},TTSSKĐ!U277,TTSSKĐ!AA277,TTSSKĐ!AG277,TTSSKĐ!AM277))=9)*(CHOOSE({1,2,3,4},TTSSKĐ!X277,TTSSKĐ!AD277,TTSSKĐ!AJ277,TTSSKĐ!AP277)))</f>
        <v>0</v>
      </c>
      <c r="J277">
        <f>SUMPRODUCT((MONTH(CHOOSE({1,2,3,4},TTSSKĐ!U277,TTSSKĐ!AA277,TTSSKĐ!AG277,TTSSKĐ!AM277))=10)*(CHOOSE({1,2,3,4},TTSSKĐ!X277,TTSSKĐ!AD277,TTSSKĐ!AJ277,TTSSKĐ!AP277)))</f>
        <v>0</v>
      </c>
      <c r="K277">
        <f>SUMPRODUCT((MONTH(CHOOSE({1,2,3,4},TTSSKĐ!U277,TTSSKĐ!AA277,TTSSKĐ!AG277,TTSSKĐ!AM277))=11)*(CHOOSE({1,2,3,4},TTSSKĐ!X277,TTSSKĐ!AD277,TTSSKĐ!AJ277,TTSSKĐ!AP277)))</f>
        <v>0</v>
      </c>
      <c r="L277">
        <f>SUMPRODUCT((MONTH(CHOOSE({1,2,3,4},TTSSKĐ!U277,TTSSKĐ!AA277,TTSSKĐ!AG277,TTSSKĐ!AM277))=12)*(CHOOSE({1,2,3,4},TTSSKĐ!X277,TTSSKĐ!AD277,TTSSKĐ!AJ277,TTSSKĐ!AP277)))</f>
        <v>0</v>
      </c>
    </row>
    <row r="278" spans="1:12">
      <c r="A278">
        <f>SUMPRODUCT((MONTH(CHOOSE({1,2,3,4},TTSSKĐ!U278,TTSSKĐ!AA278,TTSSKĐ!AG278,TTSSKĐ!AM278))=1)*(CHOOSE({1,2,3,4},TTSSKĐ!X278,TTSSKĐ!AD278,TTSSKĐ!AJ278,TTSSKĐ!AP278)))</f>
        <v>0</v>
      </c>
      <c r="B278">
        <f>SUMPRODUCT((MONTH(CHOOSE({1,2,3,4},TTSSKĐ!U278,TTSSKĐ!AA278,TTSSKĐ!AG278,TTSSKĐ!AM278))=2)*(CHOOSE({1,2,3,4},TTSSKĐ!X278,TTSSKĐ!AD278,TTSSKĐ!AJ278,TTSSKĐ!AP278)))</f>
        <v>0</v>
      </c>
      <c r="C278">
        <f>SUMPRODUCT((MONTH(CHOOSE({1,2,3,4},TTSSKĐ!U278,TTSSKĐ!AA278,TTSSKĐ!AG278,TTSSKĐ!AM278))=3)*(CHOOSE({1,2,3,4},TTSSKĐ!X278,TTSSKĐ!AD278,TTSSKĐ!AJ278,TTSSKĐ!AP278)))</f>
        <v>0</v>
      </c>
      <c r="D278">
        <f>SUMPRODUCT((MONTH(CHOOSE({1,2,3,4},TTSSKĐ!U278,TTSSKĐ!AA278,TTSSKĐ!AG278,TTSSKĐ!AM278))=4)*(CHOOSE({1,2,3,4},TTSSKĐ!X278,TTSSKĐ!AD278,TTSSKĐ!AJ278,TTSSKĐ!AP278)))</f>
        <v>0</v>
      </c>
      <c r="E278">
        <f>SUMPRODUCT((MONTH(CHOOSE({1,2,3,4},TTSSKĐ!U278,TTSSKĐ!AA278,TTSSKĐ!AG278,TTSSKĐ!AM278))=5)*(CHOOSE({1,2,3,4},TTSSKĐ!X278,TTSSKĐ!AD278,TTSSKĐ!AJ278,TTSSKĐ!AP278)))</f>
        <v>0</v>
      </c>
      <c r="F278">
        <f>SUMPRODUCT((MONTH(CHOOSE({1,2,3,4},TTSSKĐ!U278,TTSSKĐ!AA278,TTSSKĐ!AG278,TTSSKĐ!AM278))=6)*(CHOOSE({1,2,3,4},TTSSKĐ!X278,TTSSKĐ!AD278,TTSSKĐ!AJ278,TTSSKĐ!AP278)))</f>
        <v>0</v>
      </c>
      <c r="G278">
        <f>SUMPRODUCT((MONTH(CHOOSE({1,2,3,4},TTSSKĐ!U278,TTSSKĐ!AA278,TTSSKĐ!AG278,TTSSKĐ!AM278))=7)*(CHOOSE({1,2,3,4},TTSSKĐ!X278,TTSSKĐ!AD278,TTSSKĐ!AJ278,TTSSKĐ!AP278)))</f>
        <v>0</v>
      </c>
      <c r="H278">
        <f>SUMPRODUCT((MONTH(CHOOSE({1,2,3,4},TTSSKĐ!U278,TTSSKĐ!AA278,TTSSKĐ!AG278,TTSSKĐ!AM278))=8)*(CHOOSE({1,2,3,4},TTSSKĐ!X278,TTSSKĐ!AD278,TTSSKĐ!AJ278,TTSSKĐ!AP278)))</f>
        <v>0</v>
      </c>
      <c r="I278">
        <f>SUMPRODUCT((MONTH(CHOOSE({1,2,3,4},TTSSKĐ!U278,TTSSKĐ!AA278,TTSSKĐ!AG278,TTSSKĐ!AM278))=9)*(CHOOSE({1,2,3,4},TTSSKĐ!X278,TTSSKĐ!AD278,TTSSKĐ!AJ278,TTSSKĐ!AP278)))</f>
        <v>0</v>
      </c>
      <c r="J278">
        <f>SUMPRODUCT((MONTH(CHOOSE({1,2,3,4},TTSSKĐ!U278,TTSSKĐ!AA278,TTSSKĐ!AG278,TTSSKĐ!AM278))=10)*(CHOOSE({1,2,3,4},TTSSKĐ!X278,TTSSKĐ!AD278,TTSSKĐ!AJ278,TTSSKĐ!AP278)))</f>
        <v>0</v>
      </c>
      <c r="K278">
        <f>SUMPRODUCT((MONTH(CHOOSE({1,2,3,4},TTSSKĐ!U278,TTSSKĐ!AA278,TTSSKĐ!AG278,TTSSKĐ!AM278))=11)*(CHOOSE({1,2,3,4},TTSSKĐ!X278,TTSSKĐ!AD278,TTSSKĐ!AJ278,TTSSKĐ!AP278)))</f>
        <v>0</v>
      </c>
      <c r="L278">
        <f>SUMPRODUCT((MONTH(CHOOSE({1,2,3,4},TTSSKĐ!U278,TTSSKĐ!AA278,TTSSKĐ!AG278,TTSSKĐ!AM278))=12)*(CHOOSE({1,2,3,4},TTSSKĐ!X278,TTSSKĐ!AD278,TTSSKĐ!AJ278,TTSSKĐ!AP278)))</f>
        <v>0</v>
      </c>
    </row>
    <row r="279" spans="1:12">
      <c r="A279">
        <f>SUMPRODUCT((MONTH(CHOOSE({1,2,3,4},TTSSKĐ!U279,TTSSKĐ!AA279,TTSSKĐ!AG279,TTSSKĐ!AM279))=1)*(CHOOSE({1,2,3,4},TTSSKĐ!X279,TTSSKĐ!AD279,TTSSKĐ!AJ279,TTSSKĐ!AP279)))</f>
        <v>0</v>
      </c>
      <c r="B279">
        <f>SUMPRODUCT((MONTH(CHOOSE({1,2,3,4},TTSSKĐ!U279,TTSSKĐ!AA279,TTSSKĐ!AG279,TTSSKĐ!AM279))=2)*(CHOOSE({1,2,3,4},TTSSKĐ!X279,TTSSKĐ!AD279,TTSSKĐ!AJ279,TTSSKĐ!AP279)))</f>
        <v>0</v>
      </c>
      <c r="C279">
        <f>SUMPRODUCT((MONTH(CHOOSE({1,2,3,4},TTSSKĐ!U279,TTSSKĐ!AA279,TTSSKĐ!AG279,TTSSKĐ!AM279))=3)*(CHOOSE({1,2,3,4},TTSSKĐ!X279,TTSSKĐ!AD279,TTSSKĐ!AJ279,TTSSKĐ!AP279)))</f>
        <v>0</v>
      </c>
      <c r="D279">
        <f>SUMPRODUCT((MONTH(CHOOSE({1,2,3,4},TTSSKĐ!U279,TTSSKĐ!AA279,TTSSKĐ!AG279,TTSSKĐ!AM279))=4)*(CHOOSE({1,2,3,4},TTSSKĐ!X279,TTSSKĐ!AD279,TTSSKĐ!AJ279,TTSSKĐ!AP279)))</f>
        <v>0</v>
      </c>
      <c r="E279">
        <f>SUMPRODUCT((MONTH(CHOOSE({1,2,3,4},TTSSKĐ!U279,TTSSKĐ!AA279,TTSSKĐ!AG279,TTSSKĐ!AM279))=5)*(CHOOSE({1,2,3,4},TTSSKĐ!X279,TTSSKĐ!AD279,TTSSKĐ!AJ279,TTSSKĐ!AP279)))</f>
        <v>0</v>
      </c>
      <c r="F279">
        <f>SUMPRODUCT((MONTH(CHOOSE({1,2,3,4},TTSSKĐ!U279,TTSSKĐ!AA279,TTSSKĐ!AG279,TTSSKĐ!AM279))=6)*(CHOOSE({1,2,3,4},TTSSKĐ!X279,TTSSKĐ!AD279,TTSSKĐ!AJ279,TTSSKĐ!AP279)))</f>
        <v>0</v>
      </c>
      <c r="G279">
        <f>SUMPRODUCT((MONTH(CHOOSE({1,2,3,4},TTSSKĐ!U279,TTSSKĐ!AA279,TTSSKĐ!AG279,TTSSKĐ!AM279))=7)*(CHOOSE({1,2,3,4},TTSSKĐ!X279,TTSSKĐ!AD279,TTSSKĐ!AJ279,TTSSKĐ!AP279)))</f>
        <v>0</v>
      </c>
      <c r="H279">
        <f>SUMPRODUCT((MONTH(CHOOSE({1,2,3,4},TTSSKĐ!U279,TTSSKĐ!AA279,TTSSKĐ!AG279,TTSSKĐ!AM279))=8)*(CHOOSE({1,2,3,4},TTSSKĐ!X279,TTSSKĐ!AD279,TTSSKĐ!AJ279,TTSSKĐ!AP279)))</f>
        <v>0</v>
      </c>
      <c r="I279">
        <f>SUMPRODUCT((MONTH(CHOOSE({1,2,3,4},TTSSKĐ!U279,TTSSKĐ!AA279,TTSSKĐ!AG279,TTSSKĐ!AM279))=9)*(CHOOSE({1,2,3,4},TTSSKĐ!X279,TTSSKĐ!AD279,TTSSKĐ!AJ279,TTSSKĐ!AP279)))</f>
        <v>0</v>
      </c>
      <c r="J279">
        <f>SUMPRODUCT((MONTH(CHOOSE({1,2,3,4},TTSSKĐ!U279,TTSSKĐ!AA279,TTSSKĐ!AG279,TTSSKĐ!AM279))=10)*(CHOOSE({1,2,3,4},TTSSKĐ!X279,TTSSKĐ!AD279,TTSSKĐ!AJ279,TTSSKĐ!AP279)))</f>
        <v>0</v>
      </c>
      <c r="K279">
        <f>SUMPRODUCT((MONTH(CHOOSE({1,2,3,4},TTSSKĐ!U279,TTSSKĐ!AA279,TTSSKĐ!AG279,TTSSKĐ!AM279))=11)*(CHOOSE({1,2,3,4},TTSSKĐ!X279,TTSSKĐ!AD279,TTSSKĐ!AJ279,TTSSKĐ!AP279)))</f>
        <v>0</v>
      </c>
      <c r="L279">
        <f>SUMPRODUCT((MONTH(CHOOSE({1,2,3,4},TTSSKĐ!U279,TTSSKĐ!AA279,TTSSKĐ!AG279,TTSSKĐ!AM279))=12)*(CHOOSE({1,2,3,4},TTSSKĐ!X279,TTSSKĐ!AD279,TTSSKĐ!AJ279,TTSSKĐ!AP279)))</f>
        <v>0</v>
      </c>
    </row>
    <row r="280" spans="1:12">
      <c r="A280">
        <f>SUMPRODUCT((MONTH(CHOOSE({1,2,3,4},TTSSKĐ!U280,TTSSKĐ!AA280,TTSSKĐ!AG280,TTSSKĐ!AM280))=1)*(CHOOSE({1,2,3,4},TTSSKĐ!X280,TTSSKĐ!AD280,TTSSKĐ!AJ280,TTSSKĐ!AP280)))</f>
        <v>0</v>
      </c>
      <c r="B280">
        <f>SUMPRODUCT((MONTH(CHOOSE({1,2,3,4},TTSSKĐ!U280,TTSSKĐ!AA280,TTSSKĐ!AG280,TTSSKĐ!AM280))=2)*(CHOOSE({1,2,3,4},TTSSKĐ!X280,TTSSKĐ!AD280,TTSSKĐ!AJ280,TTSSKĐ!AP280)))</f>
        <v>0</v>
      </c>
      <c r="C280">
        <f>SUMPRODUCT((MONTH(CHOOSE({1,2,3,4},TTSSKĐ!U280,TTSSKĐ!AA280,TTSSKĐ!AG280,TTSSKĐ!AM280))=3)*(CHOOSE({1,2,3,4},TTSSKĐ!X280,TTSSKĐ!AD280,TTSSKĐ!AJ280,TTSSKĐ!AP280)))</f>
        <v>0</v>
      </c>
      <c r="D280">
        <f>SUMPRODUCT((MONTH(CHOOSE({1,2,3,4},TTSSKĐ!U280,TTSSKĐ!AA280,TTSSKĐ!AG280,TTSSKĐ!AM280))=4)*(CHOOSE({1,2,3,4},TTSSKĐ!X280,TTSSKĐ!AD280,TTSSKĐ!AJ280,TTSSKĐ!AP280)))</f>
        <v>0</v>
      </c>
      <c r="E280">
        <f>SUMPRODUCT((MONTH(CHOOSE({1,2,3,4},TTSSKĐ!U280,TTSSKĐ!AA280,TTSSKĐ!AG280,TTSSKĐ!AM280))=5)*(CHOOSE({1,2,3,4},TTSSKĐ!X280,TTSSKĐ!AD280,TTSSKĐ!AJ280,TTSSKĐ!AP280)))</f>
        <v>0</v>
      </c>
      <c r="F280">
        <f>SUMPRODUCT((MONTH(CHOOSE({1,2,3,4},TTSSKĐ!U280,TTSSKĐ!AA280,TTSSKĐ!AG280,TTSSKĐ!AM280))=6)*(CHOOSE({1,2,3,4},TTSSKĐ!X280,TTSSKĐ!AD280,TTSSKĐ!AJ280,TTSSKĐ!AP280)))</f>
        <v>0</v>
      </c>
      <c r="G280">
        <f>SUMPRODUCT((MONTH(CHOOSE({1,2,3,4},TTSSKĐ!U280,TTSSKĐ!AA280,TTSSKĐ!AG280,TTSSKĐ!AM280))=7)*(CHOOSE({1,2,3,4},TTSSKĐ!X280,TTSSKĐ!AD280,TTSSKĐ!AJ280,TTSSKĐ!AP280)))</f>
        <v>0</v>
      </c>
      <c r="H280">
        <f>SUMPRODUCT((MONTH(CHOOSE({1,2,3,4},TTSSKĐ!U280,TTSSKĐ!AA280,TTSSKĐ!AG280,TTSSKĐ!AM280))=8)*(CHOOSE({1,2,3,4},TTSSKĐ!X280,TTSSKĐ!AD280,TTSSKĐ!AJ280,TTSSKĐ!AP280)))</f>
        <v>0</v>
      </c>
      <c r="I280">
        <f>SUMPRODUCT((MONTH(CHOOSE({1,2,3,4},TTSSKĐ!U280,TTSSKĐ!AA280,TTSSKĐ!AG280,TTSSKĐ!AM280))=9)*(CHOOSE({1,2,3,4},TTSSKĐ!X280,TTSSKĐ!AD280,TTSSKĐ!AJ280,TTSSKĐ!AP280)))</f>
        <v>0</v>
      </c>
      <c r="J280">
        <f>SUMPRODUCT((MONTH(CHOOSE({1,2,3,4},TTSSKĐ!U280,TTSSKĐ!AA280,TTSSKĐ!AG280,TTSSKĐ!AM280))=10)*(CHOOSE({1,2,3,4},TTSSKĐ!X280,TTSSKĐ!AD280,TTSSKĐ!AJ280,TTSSKĐ!AP280)))</f>
        <v>0</v>
      </c>
      <c r="K280">
        <f>SUMPRODUCT((MONTH(CHOOSE({1,2,3,4},TTSSKĐ!U280,TTSSKĐ!AA280,TTSSKĐ!AG280,TTSSKĐ!AM280))=11)*(CHOOSE({1,2,3,4},TTSSKĐ!X280,TTSSKĐ!AD280,TTSSKĐ!AJ280,TTSSKĐ!AP280)))</f>
        <v>0</v>
      </c>
      <c r="L280">
        <f>SUMPRODUCT((MONTH(CHOOSE({1,2,3,4},TTSSKĐ!U280,TTSSKĐ!AA280,TTSSKĐ!AG280,TTSSKĐ!AM280))=12)*(CHOOSE({1,2,3,4},TTSSKĐ!X280,TTSSKĐ!AD280,TTSSKĐ!AJ280,TTSSKĐ!AP280)))</f>
        <v>0</v>
      </c>
    </row>
    <row r="281" spans="1:12">
      <c r="A281">
        <f>SUMPRODUCT((MONTH(CHOOSE({1,2,3,4},TTSSKĐ!U281,TTSSKĐ!AA281,TTSSKĐ!AG281,TTSSKĐ!AM281))=1)*(CHOOSE({1,2,3,4},TTSSKĐ!X281,TTSSKĐ!AD281,TTSSKĐ!AJ281,TTSSKĐ!AP281)))</f>
        <v>0</v>
      </c>
      <c r="B281">
        <f>SUMPRODUCT((MONTH(CHOOSE({1,2,3,4},TTSSKĐ!U281,TTSSKĐ!AA281,TTSSKĐ!AG281,TTSSKĐ!AM281))=2)*(CHOOSE({1,2,3,4},TTSSKĐ!X281,TTSSKĐ!AD281,TTSSKĐ!AJ281,TTSSKĐ!AP281)))</f>
        <v>0</v>
      </c>
      <c r="C281">
        <f>SUMPRODUCT((MONTH(CHOOSE({1,2,3,4},TTSSKĐ!U281,TTSSKĐ!AA281,TTSSKĐ!AG281,TTSSKĐ!AM281))=3)*(CHOOSE({1,2,3,4},TTSSKĐ!X281,TTSSKĐ!AD281,TTSSKĐ!AJ281,TTSSKĐ!AP281)))</f>
        <v>0</v>
      </c>
      <c r="D281">
        <f>SUMPRODUCT((MONTH(CHOOSE({1,2,3,4},TTSSKĐ!U281,TTSSKĐ!AA281,TTSSKĐ!AG281,TTSSKĐ!AM281))=4)*(CHOOSE({1,2,3,4},TTSSKĐ!X281,TTSSKĐ!AD281,TTSSKĐ!AJ281,TTSSKĐ!AP281)))</f>
        <v>0</v>
      </c>
      <c r="E281">
        <f>SUMPRODUCT((MONTH(CHOOSE({1,2,3,4},TTSSKĐ!U281,TTSSKĐ!AA281,TTSSKĐ!AG281,TTSSKĐ!AM281))=5)*(CHOOSE({1,2,3,4},TTSSKĐ!X281,TTSSKĐ!AD281,TTSSKĐ!AJ281,TTSSKĐ!AP281)))</f>
        <v>0</v>
      </c>
      <c r="F281">
        <f>SUMPRODUCT((MONTH(CHOOSE({1,2,3,4},TTSSKĐ!U281,TTSSKĐ!AA281,TTSSKĐ!AG281,TTSSKĐ!AM281))=6)*(CHOOSE({1,2,3,4},TTSSKĐ!X281,TTSSKĐ!AD281,TTSSKĐ!AJ281,TTSSKĐ!AP281)))</f>
        <v>0</v>
      </c>
      <c r="G281">
        <f>SUMPRODUCT((MONTH(CHOOSE({1,2,3,4},TTSSKĐ!U281,TTSSKĐ!AA281,TTSSKĐ!AG281,TTSSKĐ!AM281))=7)*(CHOOSE({1,2,3,4},TTSSKĐ!X281,TTSSKĐ!AD281,TTSSKĐ!AJ281,TTSSKĐ!AP281)))</f>
        <v>0</v>
      </c>
      <c r="H281">
        <f>SUMPRODUCT((MONTH(CHOOSE({1,2,3,4},TTSSKĐ!U281,TTSSKĐ!AA281,TTSSKĐ!AG281,TTSSKĐ!AM281))=8)*(CHOOSE({1,2,3,4},TTSSKĐ!X281,TTSSKĐ!AD281,TTSSKĐ!AJ281,TTSSKĐ!AP281)))</f>
        <v>0</v>
      </c>
      <c r="I281">
        <f>SUMPRODUCT((MONTH(CHOOSE({1,2,3,4},TTSSKĐ!U281,TTSSKĐ!AA281,TTSSKĐ!AG281,TTSSKĐ!AM281))=9)*(CHOOSE({1,2,3,4},TTSSKĐ!X281,TTSSKĐ!AD281,TTSSKĐ!AJ281,TTSSKĐ!AP281)))</f>
        <v>0</v>
      </c>
      <c r="J281">
        <f>SUMPRODUCT((MONTH(CHOOSE({1,2,3,4},TTSSKĐ!U281,TTSSKĐ!AA281,TTSSKĐ!AG281,TTSSKĐ!AM281))=10)*(CHOOSE({1,2,3,4},TTSSKĐ!X281,TTSSKĐ!AD281,TTSSKĐ!AJ281,TTSSKĐ!AP281)))</f>
        <v>0</v>
      </c>
      <c r="K281">
        <f>SUMPRODUCT((MONTH(CHOOSE({1,2,3,4},TTSSKĐ!U281,TTSSKĐ!AA281,TTSSKĐ!AG281,TTSSKĐ!AM281))=11)*(CHOOSE({1,2,3,4},TTSSKĐ!X281,TTSSKĐ!AD281,TTSSKĐ!AJ281,TTSSKĐ!AP281)))</f>
        <v>0</v>
      </c>
      <c r="L281">
        <f>SUMPRODUCT((MONTH(CHOOSE({1,2,3,4},TTSSKĐ!U281,TTSSKĐ!AA281,TTSSKĐ!AG281,TTSSKĐ!AM281))=12)*(CHOOSE({1,2,3,4},TTSSKĐ!X281,TTSSKĐ!AD281,TTSSKĐ!AJ281,TTSSKĐ!AP281)))</f>
        <v>0</v>
      </c>
    </row>
    <row r="282" spans="1:12">
      <c r="A282">
        <f>SUMPRODUCT((MONTH(CHOOSE({1,2,3,4},TTSSKĐ!U282,TTSSKĐ!AA282,TTSSKĐ!AG282,TTSSKĐ!AM282))=1)*(CHOOSE({1,2,3,4},TTSSKĐ!X282,TTSSKĐ!AD282,TTSSKĐ!AJ282,TTSSKĐ!AP282)))</f>
        <v>0</v>
      </c>
      <c r="B282">
        <f>SUMPRODUCT((MONTH(CHOOSE({1,2,3,4},TTSSKĐ!U282,TTSSKĐ!AA282,TTSSKĐ!AG282,TTSSKĐ!AM282))=2)*(CHOOSE({1,2,3,4},TTSSKĐ!X282,TTSSKĐ!AD282,TTSSKĐ!AJ282,TTSSKĐ!AP282)))</f>
        <v>0</v>
      </c>
      <c r="C282">
        <f>SUMPRODUCT((MONTH(CHOOSE({1,2,3,4},TTSSKĐ!U282,TTSSKĐ!AA282,TTSSKĐ!AG282,TTSSKĐ!AM282))=3)*(CHOOSE({1,2,3,4},TTSSKĐ!X282,TTSSKĐ!AD282,TTSSKĐ!AJ282,TTSSKĐ!AP282)))</f>
        <v>0</v>
      </c>
      <c r="D282">
        <f>SUMPRODUCT((MONTH(CHOOSE({1,2,3,4},TTSSKĐ!U282,TTSSKĐ!AA282,TTSSKĐ!AG282,TTSSKĐ!AM282))=4)*(CHOOSE({1,2,3,4},TTSSKĐ!X282,TTSSKĐ!AD282,TTSSKĐ!AJ282,TTSSKĐ!AP282)))</f>
        <v>0</v>
      </c>
      <c r="E282">
        <f>SUMPRODUCT((MONTH(CHOOSE({1,2,3,4},TTSSKĐ!U282,TTSSKĐ!AA282,TTSSKĐ!AG282,TTSSKĐ!AM282))=5)*(CHOOSE({1,2,3,4},TTSSKĐ!X282,TTSSKĐ!AD282,TTSSKĐ!AJ282,TTSSKĐ!AP282)))</f>
        <v>0</v>
      </c>
      <c r="F282">
        <f>SUMPRODUCT((MONTH(CHOOSE({1,2,3,4},TTSSKĐ!U282,TTSSKĐ!AA282,TTSSKĐ!AG282,TTSSKĐ!AM282))=6)*(CHOOSE({1,2,3,4},TTSSKĐ!X282,TTSSKĐ!AD282,TTSSKĐ!AJ282,TTSSKĐ!AP282)))</f>
        <v>0</v>
      </c>
      <c r="G282">
        <f>SUMPRODUCT((MONTH(CHOOSE({1,2,3,4},TTSSKĐ!U282,TTSSKĐ!AA282,TTSSKĐ!AG282,TTSSKĐ!AM282))=7)*(CHOOSE({1,2,3,4},TTSSKĐ!X282,TTSSKĐ!AD282,TTSSKĐ!AJ282,TTSSKĐ!AP282)))</f>
        <v>0</v>
      </c>
      <c r="H282">
        <f>SUMPRODUCT((MONTH(CHOOSE({1,2,3,4},TTSSKĐ!U282,TTSSKĐ!AA282,TTSSKĐ!AG282,TTSSKĐ!AM282))=8)*(CHOOSE({1,2,3,4},TTSSKĐ!X282,TTSSKĐ!AD282,TTSSKĐ!AJ282,TTSSKĐ!AP282)))</f>
        <v>0</v>
      </c>
      <c r="I282">
        <f>SUMPRODUCT((MONTH(CHOOSE({1,2,3,4},TTSSKĐ!U282,TTSSKĐ!AA282,TTSSKĐ!AG282,TTSSKĐ!AM282))=9)*(CHOOSE({1,2,3,4},TTSSKĐ!X282,TTSSKĐ!AD282,TTSSKĐ!AJ282,TTSSKĐ!AP282)))</f>
        <v>0</v>
      </c>
      <c r="J282">
        <f>SUMPRODUCT((MONTH(CHOOSE({1,2,3,4},TTSSKĐ!U282,TTSSKĐ!AA282,TTSSKĐ!AG282,TTSSKĐ!AM282))=10)*(CHOOSE({1,2,3,4},TTSSKĐ!X282,TTSSKĐ!AD282,TTSSKĐ!AJ282,TTSSKĐ!AP282)))</f>
        <v>0</v>
      </c>
      <c r="K282">
        <f>SUMPRODUCT((MONTH(CHOOSE({1,2,3,4},TTSSKĐ!U282,TTSSKĐ!AA282,TTSSKĐ!AG282,TTSSKĐ!AM282))=11)*(CHOOSE({1,2,3,4},TTSSKĐ!X282,TTSSKĐ!AD282,TTSSKĐ!AJ282,TTSSKĐ!AP282)))</f>
        <v>0</v>
      </c>
      <c r="L282">
        <f>SUMPRODUCT((MONTH(CHOOSE({1,2,3,4},TTSSKĐ!U282,TTSSKĐ!AA282,TTSSKĐ!AG282,TTSSKĐ!AM282))=12)*(CHOOSE({1,2,3,4},TTSSKĐ!X282,TTSSKĐ!AD282,TTSSKĐ!AJ282,TTSSKĐ!AP282)))</f>
        <v>0</v>
      </c>
    </row>
    <row r="283" spans="1:12">
      <c r="A283">
        <f>SUMPRODUCT((MONTH(CHOOSE({1,2,3,4},TTSSKĐ!U283,TTSSKĐ!AA283,TTSSKĐ!AG283,TTSSKĐ!AM283))=1)*(CHOOSE({1,2,3,4},TTSSKĐ!X283,TTSSKĐ!AD283,TTSSKĐ!AJ283,TTSSKĐ!AP283)))</f>
        <v>0</v>
      </c>
      <c r="B283">
        <f>SUMPRODUCT((MONTH(CHOOSE({1,2,3,4},TTSSKĐ!U283,TTSSKĐ!AA283,TTSSKĐ!AG283,TTSSKĐ!AM283))=2)*(CHOOSE({1,2,3,4},TTSSKĐ!X283,TTSSKĐ!AD283,TTSSKĐ!AJ283,TTSSKĐ!AP283)))</f>
        <v>0</v>
      </c>
      <c r="C283">
        <f>SUMPRODUCT((MONTH(CHOOSE({1,2,3,4},TTSSKĐ!U283,TTSSKĐ!AA283,TTSSKĐ!AG283,TTSSKĐ!AM283))=3)*(CHOOSE({1,2,3,4},TTSSKĐ!X283,TTSSKĐ!AD283,TTSSKĐ!AJ283,TTSSKĐ!AP283)))</f>
        <v>0</v>
      </c>
      <c r="D283">
        <f>SUMPRODUCT((MONTH(CHOOSE({1,2,3,4},TTSSKĐ!U283,TTSSKĐ!AA283,TTSSKĐ!AG283,TTSSKĐ!AM283))=4)*(CHOOSE({1,2,3,4},TTSSKĐ!X283,TTSSKĐ!AD283,TTSSKĐ!AJ283,TTSSKĐ!AP283)))</f>
        <v>0</v>
      </c>
      <c r="E283">
        <f>SUMPRODUCT((MONTH(CHOOSE({1,2,3,4},TTSSKĐ!U283,TTSSKĐ!AA283,TTSSKĐ!AG283,TTSSKĐ!AM283))=5)*(CHOOSE({1,2,3,4},TTSSKĐ!X283,TTSSKĐ!AD283,TTSSKĐ!AJ283,TTSSKĐ!AP283)))</f>
        <v>0</v>
      </c>
      <c r="F283">
        <f>SUMPRODUCT((MONTH(CHOOSE({1,2,3,4},TTSSKĐ!U283,TTSSKĐ!AA283,TTSSKĐ!AG283,TTSSKĐ!AM283))=6)*(CHOOSE({1,2,3,4},TTSSKĐ!X283,TTSSKĐ!AD283,TTSSKĐ!AJ283,TTSSKĐ!AP283)))</f>
        <v>0</v>
      </c>
      <c r="G283">
        <f>SUMPRODUCT((MONTH(CHOOSE({1,2,3,4},TTSSKĐ!U283,TTSSKĐ!AA283,TTSSKĐ!AG283,TTSSKĐ!AM283))=7)*(CHOOSE({1,2,3,4},TTSSKĐ!X283,TTSSKĐ!AD283,TTSSKĐ!AJ283,TTSSKĐ!AP283)))</f>
        <v>0</v>
      </c>
      <c r="H283">
        <f>SUMPRODUCT((MONTH(CHOOSE({1,2,3,4},TTSSKĐ!U283,TTSSKĐ!AA283,TTSSKĐ!AG283,TTSSKĐ!AM283))=8)*(CHOOSE({1,2,3,4},TTSSKĐ!X283,TTSSKĐ!AD283,TTSSKĐ!AJ283,TTSSKĐ!AP283)))</f>
        <v>0</v>
      </c>
      <c r="I283">
        <f>SUMPRODUCT((MONTH(CHOOSE({1,2,3,4},TTSSKĐ!U283,TTSSKĐ!AA283,TTSSKĐ!AG283,TTSSKĐ!AM283))=9)*(CHOOSE({1,2,3,4},TTSSKĐ!X283,TTSSKĐ!AD283,TTSSKĐ!AJ283,TTSSKĐ!AP283)))</f>
        <v>0</v>
      </c>
      <c r="J283">
        <f>SUMPRODUCT((MONTH(CHOOSE({1,2,3,4},TTSSKĐ!U283,TTSSKĐ!AA283,TTSSKĐ!AG283,TTSSKĐ!AM283))=10)*(CHOOSE({1,2,3,4},TTSSKĐ!X283,TTSSKĐ!AD283,TTSSKĐ!AJ283,TTSSKĐ!AP283)))</f>
        <v>0</v>
      </c>
      <c r="K283">
        <f>SUMPRODUCT((MONTH(CHOOSE({1,2,3,4},TTSSKĐ!U283,TTSSKĐ!AA283,TTSSKĐ!AG283,TTSSKĐ!AM283))=11)*(CHOOSE({1,2,3,4},TTSSKĐ!X283,TTSSKĐ!AD283,TTSSKĐ!AJ283,TTSSKĐ!AP283)))</f>
        <v>0</v>
      </c>
      <c r="L283">
        <f>SUMPRODUCT((MONTH(CHOOSE({1,2,3,4},TTSSKĐ!U283,TTSSKĐ!AA283,TTSSKĐ!AG283,TTSSKĐ!AM283))=12)*(CHOOSE({1,2,3,4},TTSSKĐ!X283,TTSSKĐ!AD283,TTSSKĐ!AJ283,TTSSKĐ!AP283)))</f>
        <v>0</v>
      </c>
    </row>
    <row r="284" spans="1:12">
      <c r="A284">
        <f>SUMPRODUCT((MONTH(CHOOSE({1,2,3,4},TTSSKĐ!U284,TTSSKĐ!AA284,TTSSKĐ!AG284,TTSSKĐ!AM284))=1)*(CHOOSE({1,2,3,4},TTSSKĐ!X284,TTSSKĐ!AD284,TTSSKĐ!AJ284,TTSSKĐ!AP284)))</f>
        <v>0</v>
      </c>
      <c r="B284">
        <f>SUMPRODUCT((MONTH(CHOOSE({1,2,3,4},TTSSKĐ!U284,TTSSKĐ!AA284,TTSSKĐ!AG284,TTSSKĐ!AM284))=2)*(CHOOSE({1,2,3,4},TTSSKĐ!X284,TTSSKĐ!AD284,TTSSKĐ!AJ284,TTSSKĐ!AP284)))</f>
        <v>0</v>
      </c>
      <c r="C284">
        <f>SUMPRODUCT((MONTH(CHOOSE({1,2,3,4},TTSSKĐ!U284,TTSSKĐ!AA284,TTSSKĐ!AG284,TTSSKĐ!AM284))=3)*(CHOOSE({1,2,3,4},TTSSKĐ!X284,TTSSKĐ!AD284,TTSSKĐ!AJ284,TTSSKĐ!AP284)))</f>
        <v>0</v>
      </c>
      <c r="D284">
        <f>SUMPRODUCT((MONTH(CHOOSE({1,2,3,4},TTSSKĐ!U284,TTSSKĐ!AA284,TTSSKĐ!AG284,TTSSKĐ!AM284))=4)*(CHOOSE({1,2,3,4},TTSSKĐ!X284,TTSSKĐ!AD284,TTSSKĐ!AJ284,TTSSKĐ!AP284)))</f>
        <v>0</v>
      </c>
      <c r="E284">
        <f>SUMPRODUCT((MONTH(CHOOSE({1,2,3,4},TTSSKĐ!U284,TTSSKĐ!AA284,TTSSKĐ!AG284,TTSSKĐ!AM284))=5)*(CHOOSE({1,2,3,4},TTSSKĐ!X284,TTSSKĐ!AD284,TTSSKĐ!AJ284,TTSSKĐ!AP284)))</f>
        <v>0</v>
      </c>
      <c r="F284">
        <f>SUMPRODUCT((MONTH(CHOOSE({1,2,3,4},TTSSKĐ!U284,TTSSKĐ!AA284,TTSSKĐ!AG284,TTSSKĐ!AM284))=6)*(CHOOSE({1,2,3,4},TTSSKĐ!X284,TTSSKĐ!AD284,TTSSKĐ!AJ284,TTSSKĐ!AP284)))</f>
        <v>0</v>
      </c>
      <c r="G284">
        <f>SUMPRODUCT((MONTH(CHOOSE({1,2,3,4},TTSSKĐ!U284,TTSSKĐ!AA284,TTSSKĐ!AG284,TTSSKĐ!AM284))=7)*(CHOOSE({1,2,3,4},TTSSKĐ!X284,TTSSKĐ!AD284,TTSSKĐ!AJ284,TTSSKĐ!AP284)))</f>
        <v>0</v>
      </c>
      <c r="H284">
        <f>SUMPRODUCT((MONTH(CHOOSE({1,2,3,4},TTSSKĐ!U284,TTSSKĐ!AA284,TTSSKĐ!AG284,TTSSKĐ!AM284))=8)*(CHOOSE({1,2,3,4},TTSSKĐ!X284,TTSSKĐ!AD284,TTSSKĐ!AJ284,TTSSKĐ!AP284)))</f>
        <v>0</v>
      </c>
      <c r="I284">
        <f>SUMPRODUCT((MONTH(CHOOSE({1,2,3,4},TTSSKĐ!U284,TTSSKĐ!AA284,TTSSKĐ!AG284,TTSSKĐ!AM284))=9)*(CHOOSE({1,2,3,4},TTSSKĐ!X284,TTSSKĐ!AD284,TTSSKĐ!AJ284,TTSSKĐ!AP284)))</f>
        <v>0</v>
      </c>
      <c r="J284">
        <f>SUMPRODUCT((MONTH(CHOOSE({1,2,3,4},TTSSKĐ!U284,TTSSKĐ!AA284,TTSSKĐ!AG284,TTSSKĐ!AM284))=10)*(CHOOSE({1,2,3,4},TTSSKĐ!X284,TTSSKĐ!AD284,TTSSKĐ!AJ284,TTSSKĐ!AP284)))</f>
        <v>0</v>
      </c>
      <c r="K284">
        <f>SUMPRODUCT((MONTH(CHOOSE({1,2,3,4},TTSSKĐ!U284,TTSSKĐ!AA284,TTSSKĐ!AG284,TTSSKĐ!AM284))=11)*(CHOOSE({1,2,3,4},TTSSKĐ!X284,TTSSKĐ!AD284,TTSSKĐ!AJ284,TTSSKĐ!AP284)))</f>
        <v>0</v>
      </c>
      <c r="L284">
        <f>SUMPRODUCT((MONTH(CHOOSE({1,2,3,4},TTSSKĐ!U284,TTSSKĐ!AA284,TTSSKĐ!AG284,TTSSKĐ!AM284))=12)*(CHOOSE({1,2,3,4},TTSSKĐ!X284,TTSSKĐ!AD284,TTSSKĐ!AJ284,TTSSKĐ!AP284)))</f>
        <v>0</v>
      </c>
    </row>
    <row r="285" spans="1:12">
      <c r="A285">
        <f>SUMPRODUCT((MONTH(CHOOSE({1,2,3,4},TTSSKĐ!U285,TTSSKĐ!AA285,TTSSKĐ!AG285,TTSSKĐ!AM285))=1)*(CHOOSE({1,2,3,4},TTSSKĐ!X285,TTSSKĐ!AD285,TTSSKĐ!AJ285,TTSSKĐ!AP285)))</f>
        <v>0</v>
      </c>
      <c r="B285">
        <f>SUMPRODUCT((MONTH(CHOOSE({1,2,3,4},TTSSKĐ!U285,TTSSKĐ!AA285,TTSSKĐ!AG285,TTSSKĐ!AM285))=2)*(CHOOSE({1,2,3,4},TTSSKĐ!X285,TTSSKĐ!AD285,TTSSKĐ!AJ285,TTSSKĐ!AP285)))</f>
        <v>0</v>
      </c>
      <c r="C285">
        <f>SUMPRODUCT((MONTH(CHOOSE({1,2,3,4},TTSSKĐ!U285,TTSSKĐ!AA285,TTSSKĐ!AG285,TTSSKĐ!AM285))=3)*(CHOOSE({1,2,3,4},TTSSKĐ!X285,TTSSKĐ!AD285,TTSSKĐ!AJ285,TTSSKĐ!AP285)))</f>
        <v>0</v>
      </c>
      <c r="D285">
        <f>SUMPRODUCT((MONTH(CHOOSE({1,2,3,4},TTSSKĐ!U285,TTSSKĐ!AA285,TTSSKĐ!AG285,TTSSKĐ!AM285))=4)*(CHOOSE({1,2,3,4},TTSSKĐ!X285,TTSSKĐ!AD285,TTSSKĐ!AJ285,TTSSKĐ!AP285)))</f>
        <v>0</v>
      </c>
      <c r="E285">
        <f>SUMPRODUCT((MONTH(CHOOSE({1,2,3,4},TTSSKĐ!U285,TTSSKĐ!AA285,TTSSKĐ!AG285,TTSSKĐ!AM285))=5)*(CHOOSE({1,2,3,4},TTSSKĐ!X285,TTSSKĐ!AD285,TTSSKĐ!AJ285,TTSSKĐ!AP285)))</f>
        <v>0</v>
      </c>
      <c r="F285">
        <f>SUMPRODUCT((MONTH(CHOOSE({1,2,3,4},TTSSKĐ!U285,TTSSKĐ!AA285,TTSSKĐ!AG285,TTSSKĐ!AM285))=6)*(CHOOSE({1,2,3,4},TTSSKĐ!X285,TTSSKĐ!AD285,TTSSKĐ!AJ285,TTSSKĐ!AP285)))</f>
        <v>0</v>
      </c>
      <c r="G285">
        <f>SUMPRODUCT((MONTH(CHOOSE({1,2,3,4},TTSSKĐ!U285,TTSSKĐ!AA285,TTSSKĐ!AG285,TTSSKĐ!AM285))=7)*(CHOOSE({1,2,3,4},TTSSKĐ!X285,TTSSKĐ!AD285,TTSSKĐ!AJ285,TTSSKĐ!AP285)))</f>
        <v>0</v>
      </c>
      <c r="H285">
        <f>SUMPRODUCT((MONTH(CHOOSE({1,2,3,4},TTSSKĐ!U285,TTSSKĐ!AA285,TTSSKĐ!AG285,TTSSKĐ!AM285))=8)*(CHOOSE({1,2,3,4},TTSSKĐ!X285,TTSSKĐ!AD285,TTSSKĐ!AJ285,TTSSKĐ!AP285)))</f>
        <v>0</v>
      </c>
      <c r="I285">
        <f>SUMPRODUCT((MONTH(CHOOSE({1,2,3,4},TTSSKĐ!U285,TTSSKĐ!AA285,TTSSKĐ!AG285,TTSSKĐ!AM285))=9)*(CHOOSE({1,2,3,4},TTSSKĐ!X285,TTSSKĐ!AD285,TTSSKĐ!AJ285,TTSSKĐ!AP285)))</f>
        <v>0</v>
      </c>
      <c r="J285">
        <f>SUMPRODUCT((MONTH(CHOOSE({1,2,3,4},TTSSKĐ!U285,TTSSKĐ!AA285,TTSSKĐ!AG285,TTSSKĐ!AM285))=10)*(CHOOSE({1,2,3,4},TTSSKĐ!X285,TTSSKĐ!AD285,TTSSKĐ!AJ285,TTSSKĐ!AP285)))</f>
        <v>0</v>
      </c>
      <c r="K285">
        <f>SUMPRODUCT((MONTH(CHOOSE({1,2,3,4},TTSSKĐ!U285,TTSSKĐ!AA285,TTSSKĐ!AG285,TTSSKĐ!AM285))=11)*(CHOOSE({1,2,3,4},TTSSKĐ!X285,TTSSKĐ!AD285,TTSSKĐ!AJ285,TTSSKĐ!AP285)))</f>
        <v>0</v>
      </c>
      <c r="L285">
        <f>SUMPRODUCT((MONTH(CHOOSE({1,2,3,4},TTSSKĐ!U285,TTSSKĐ!AA285,TTSSKĐ!AG285,TTSSKĐ!AM285))=12)*(CHOOSE({1,2,3,4},TTSSKĐ!X285,TTSSKĐ!AD285,TTSSKĐ!AJ285,TTSSKĐ!AP285)))</f>
        <v>0</v>
      </c>
    </row>
    <row r="286" spans="1:12">
      <c r="A286">
        <f>SUMPRODUCT((MONTH(CHOOSE({1,2,3,4},TTSSKĐ!U286,TTSSKĐ!AA286,TTSSKĐ!AG286,TTSSKĐ!AM286))=1)*(CHOOSE({1,2,3,4},TTSSKĐ!X286,TTSSKĐ!AD286,TTSSKĐ!AJ286,TTSSKĐ!AP286)))</f>
        <v>0</v>
      </c>
      <c r="B286">
        <f>SUMPRODUCT((MONTH(CHOOSE({1,2,3,4},TTSSKĐ!U286,TTSSKĐ!AA286,TTSSKĐ!AG286,TTSSKĐ!AM286))=2)*(CHOOSE({1,2,3,4},TTSSKĐ!X286,TTSSKĐ!AD286,TTSSKĐ!AJ286,TTSSKĐ!AP286)))</f>
        <v>0</v>
      </c>
      <c r="C286">
        <f>SUMPRODUCT((MONTH(CHOOSE({1,2,3,4},TTSSKĐ!U286,TTSSKĐ!AA286,TTSSKĐ!AG286,TTSSKĐ!AM286))=3)*(CHOOSE({1,2,3,4},TTSSKĐ!X286,TTSSKĐ!AD286,TTSSKĐ!AJ286,TTSSKĐ!AP286)))</f>
        <v>0</v>
      </c>
      <c r="D286">
        <f>SUMPRODUCT((MONTH(CHOOSE({1,2,3,4},TTSSKĐ!U286,TTSSKĐ!AA286,TTSSKĐ!AG286,TTSSKĐ!AM286))=4)*(CHOOSE({1,2,3,4},TTSSKĐ!X286,TTSSKĐ!AD286,TTSSKĐ!AJ286,TTSSKĐ!AP286)))</f>
        <v>0</v>
      </c>
      <c r="E286">
        <f>SUMPRODUCT((MONTH(CHOOSE({1,2,3,4},TTSSKĐ!U286,TTSSKĐ!AA286,TTSSKĐ!AG286,TTSSKĐ!AM286))=5)*(CHOOSE({1,2,3,4},TTSSKĐ!X286,TTSSKĐ!AD286,TTSSKĐ!AJ286,TTSSKĐ!AP286)))</f>
        <v>0</v>
      </c>
      <c r="F286">
        <f>SUMPRODUCT((MONTH(CHOOSE({1,2,3,4},TTSSKĐ!U286,TTSSKĐ!AA286,TTSSKĐ!AG286,TTSSKĐ!AM286))=6)*(CHOOSE({1,2,3,4},TTSSKĐ!X286,TTSSKĐ!AD286,TTSSKĐ!AJ286,TTSSKĐ!AP286)))</f>
        <v>0</v>
      </c>
      <c r="G286">
        <f>SUMPRODUCT((MONTH(CHOOSE({1,2,3,4},TTSSKĐ!U286,TTSSKĐ!AA286,TTSSKĐ!AG286,TTSSKĐ!AM286))=7)*(CHOOSE({1,2,3,4},TTSSKĐ!X286,TTSSKĐ!AD286,TTSSKĐ!AJ286,TTSSKĐ!AP286)))</f>
        <v>0</v>
      </c>
      <c r="H286">
        <f>SUMPRODUCT((MONTH(CHOOSE({1,2,3,4},TTSSKĐ!U286,TTSSKĐ!AA286,TTSSKĐ!AG286,TTSSKĐ!AM286))=8)*(CHOOSE({1,2,3,4},TTSSKĐ!X286,TTSSKĐ!AD286,TTSSKĐ!AJ286,TTSSKĐ!AP286)))</f>
        <v>0</v>
      </c>
      <c r="I286">
        <f>SUMPRODUCT((MONTH(CHOOSE({1,2,3,4},TTSSKĐ!U286,TTSSKĐ!AA286,TTSSKĐ!AG286,TTSSKĐ!AM286))=9)*(CHOOSE({1,2,3,4},TTSSKĐ!X286,TTSSKĐ!AD286,TTSSKĐ!AJ286,TTSSKĐ!AP286)))</f>
        <v>0</v>
      </c>
      <c r="J286">
        <f>SUMPRODUCT((MONTH(CHOOSE({1,2,3,4},TTSSKĐ!U286,TTSSKĐ!AA286,TTSSKĐ!AG286,TTSSKĐ!AM286))=10)*(CHOOSE({1,2,3,4},TTSSKĐ!X286,TTSSKĐ!AD286,TTSSKĐ!AJ286,TTSSKĐ!AP286)))</f>
        <v>0</v>
      </c>
      <c r="K286">
        <f>SUMPRODUCT((MONTH(CHOOSE({1,2,3,4},TTSSKĐ!U286,TTSSKĐ!AA286,TTSSKĐ!AG286,TTSSKĐ!AM286))=11)*(CHOOSE({1,2,3,4},TTSSKĐ!X286,TTSSKĐ!AD286,TTSSKĐ!AJ286,TTSSKĐ!AP286)))</f>
        <v>0</v>
      </c>
      <c r="L286">
        <f>SUMPRODUCT((MONTH(CHOOSE({1,2,3,4},TTSSKĐ!U286,TTSSKĐ!AA286,TTSSKĐ!AG286,TTSSKĐ!AM286))=12)*(CHOOSE({1,2,3,4},TTSSKĐ!X286,TTSSKĐ!AD286,TTSSKĐ!AJ286,TTSSKĐ!AP286)))</f>
        <v>0</v>
      </c>
    </row>
    <row r="287" spans="1:12">
      <c r="A287">
        <f>SUMPRODUCT((MONTH(CHOOSE({1,2,3,4},TTSSKĐ!U287,TTSSKĐ!AA287,TTSSKĐ!AG287,TTSSKĐ!AM287))=1)*(CHOOSE({1,2,3,4},TTSSKĐ!X287,TTSSKĐ!AD287,TTSSKĐ!AJ287,TTSSKĐ!AP287)))</f>
        <v>0</v>
      </c>
      <c r="B287">
        <f>SUMPRODUCT((MONTH(CHOOSE({1,2,3,4},TTSSKĐ!U287,TTSSKĐ!AA287,TTSSKĐ!AG287,TTSSKĐ!AM287))=2)*(CHOOSE({1,2,3,4},TTSSKĐ!X287,TTSSKĐ!AD287,TTSSKĐ!AJ287,TTSSKĐ!AP287)))</f>
        <v>0</v>
      </c>
      <c r="C287">
        <f>SUMPRODUCT((MONTH(CHOOSE({1,2,3,4},TTSSKĐ!U287,TTSSKĐ!AA287,TTSSKĐ!AG287,TTSSKĐ!AM287))=3)*(CHOOSE({1,2,3,4},TTSSKĐ!X287,TTSSKĐ!AD287,TTSSKĐ!AJ287,TTSSKĐ!AP287)))</f>
        <v>0</v>
      </c>
      <c r="D287">
        <f>SUMPRODUCT((MONTH(CHOOSE({1,2,3,4},TTSSKĐ!U287,TTSSKĐ!AA287,TTSSKĐ!AG287,TTSSKĐ!AM287))=4)*(CHOOSE({1,2,3,4},TTSSKĐ!X287,TTSSKĐ!AD287,TTSSKĐ!AJ287,TTSSKĐ!AP287)))</f>
        <v>0</v>
      </c>
      <c r="E287">
        <f>SUMPRODUCT((MONTH(CHOOSE({1,2,3,4},TTSSKĐ!U287,TTSSKĐ!AA287,TTSSKĐ!AG287,TTSSKĐ!AM287))=5)*(CHOOSE({1,2,3,4},TTSSKĐ!X287,TTSSKĐ!AD287,TTSSKĐ!AJ287,TTSSKĐ!AP287)))</f>
        <v>0</v>
      </c>
      <c r="F287">
        <f>SUMPRODUCT((MONTH(CHOOSE({1,2,3,4},TTSSKĐ!U287,TTSSKĐ!AA287,TTSSKĐ!AG287,TTSSKĐ!AM287))=6)*(CHOOSE({1,2,3,4},TTSSKĐ!X287,TTSSKĐ!AD287,TTSSKĐ!AJ287,TTSSKĐ!AP287)))</f>
        <v>0</v>
      </c>
      <c r="G287">
        <f>SUMPRODUCT((MONTH(CHOOSE({1,2,3,4},TTSSKĐ!U287,TTSSKĐ!AA287,TTSSKĐ!AG287,TTSSKĐ!AM287))=7)*(CHOOSE({1,2,3,4},TTSSKĐ!X287,TTSSKĐ!AD287,TTSSKĐ!AJ287,TTSSKĐ!AP287)))</f>
        <v>0</v>
      </c>
      <c r="H287">
        <f>SUMPRODUCT((MONTH(CHOOSE({1,2,3,4},TTSSKĐ!U287,TTSSKĐ!AA287,TTSSKĐ!AG287,TTSSKĐ!AM287))=8)*(CHOOSE({1,2,3,4},TTSSKĐ!X287,TTSSKĐ!AD287,TTSSKĐ!AJ287,TTSSKĐ!AP287)))</f>
        <v>0</v>
      </c>
      <c r="I287">
        <f>SUMPRODUCT((MONTH(CHOOSE({1,2,3,4},TTSSKĐ!U287,TTSSKĐ!AA287,TTSSKĐ!AG287,TTSSKĐ!AM287))=9)*(CHOOSE({1,2,3,4},TTSSKĐ!X287,TTSSKĐ!AD287,TTSSKĐ!AJ287,TTSSKĐ!AP287)))</f>
        <v>0</v>
      </c>
      <c r="J287">
        <f>SUMPRODUCT((MONTH(CHOOSE({1,2,3,4},TTSSKĐ!U287,TTSSKĐ!AA287,TTSSKĐ!AG287,TTSSKĐ!AM287))=10)*(CHOOSE({1,2,3,4},TTSSKĐ!X287,TTSSKĐ!AD287,TTSSKĐ!AJ287,TTSSKĐ!AP287)))</f>
        <v>0</v>
      </c>
      <c r="K287">
        <f>SUMPRODUCT((MONTH(CHOOSE({1,2,3,4},TTSSKĐ!U287,TTSSKĐ!AA287,TTSSKĐ!AG287,TTSSKĐ!AM287))=11)*(CHOOSE({1,2,3,4},TTSSKĐ!X287,TTSSKĐ!AD287,TTSSKĐ!AJ287,TTSSKĐ!AP287)))</f>
        <v>0</v>
      </c>
      <c r="L287">
        <f>SUMPRODUCT((MONTH(CHOOSE({1,2,3,4},TTSSKĐ!U287,TTSSKĐ!AA287,TTSSKĐ!AG287,TTSSKĐ!AM287))=12)*(CHOOSE({1,2,3,4},TTSSKĐ!X287,TTSSKĐ!AD287,TTSSKĐ!AJ287,TTSSKĐ!AP287)))</f>
        <v>0</v>
      </c>
    </row>
    <row r="288" spans="1:12">
      <c r="A288">
        <f>SUMPRODUCT((MONTH(CHOOSE({1,2,3,4},TTSSKĐ!U288,TTSSKĐ!AA288,TTSSKĐ!AG288,TTSSKĐ!AM288))=1)*(CHOOSE({1,2,3,4},TTSSKĐ!X288,TTSSKĐ!AD288,TTSSKĐ!AJ288,TTSSKĐ!AP288)))</f>
        <v>0</v>
      </c>
      <c r="B288">
        <f>SUMPRODUCT((MONTH(CHOOSE({1,2,3,4},TTSSKĐ!U288,TTSSKĐ!AA288,TTSSKĐ!AG288,TTSSKĐ!AM288))=2)*(CHOOSE({1,2,3,4},TTSSKĐ!X288,TTSSKĐ!AD288,TTSSKĐ!AJ288,TTSSKĐ!AP288)))</f>
        <v>0</v>
      </c>
      <c r="C288">
        <f>SUMPRODUCT((MONTH(CHOOSE({1,2,3,4},TTSSKĐ!U288,TTSSKĐ!AA288,TTSSKĐ!AG288,TTSSKĐ!AM288))=3)*(CHOOSE({1,2,3,4},TTSSKĐ!X288,TTSSKĐ!AD288,TTSSKĐ!AJ288,TTSSKĐ!AP288)))</f>
        <v>0</v>
      </c>
      <c r="D288">
        <f>SUMPRODUCT((MONTH(CHOOSE({1,2,3,4},TTSSKĐ!U288,TTSSKĐ!AA288,TTSSKĐ!AG288,TTSSKĐ!AM288))=4)*(CHOOSE({1,2,3,4},TTSSKĐ!X288,TTSSKĐ!AD288,TTSSKĐ!AJ288,TTSSKĐ!AP288)))</f>
        <v>0</v>
      </c>
      <c r="E288">
        <f>SUMPRODUCT((MONTH(CHOOSE({1,2,3,4},TTSSKĐ!U288,TTSSKĐ!AA288,TTSSKĐ!AG288,TTSSKĐ!AM288))=5)*(CHOOSE({1,2,3,4},TTSSKĐ!X288,TTSSKĐ!AD288,TTSSKĐ!AJ288,TTSSKĐ!AP288)))</f>
        <v>0</v>
      </c>
      <c r="F288">
        <f>SUMPRODUCT((MONTH(CHOOSE({1,2,3,4},TTSSKĐ!U288,TTSSKĐ!AA288,TTSSKĐ!AG288,TTSSKĐ!AM288))=6)*(CHOOSE({1,2,3,4},TTSSKĐ!X288,TTSSKĐ!AD288,TTSSKĐ!AJ288,TTSSKĐ!AP288)))</f>
        <v>0</v>
      </c>
      <c r="G288">
        <f>SUMPRODUCT((MONTH(CHOOSE({1,2,3,4},TTSSKĐ!U288,TTSSKĐ!AA288,TTSSKĐ!AG288,TTSSKĐ!AM288))=7)*(CHOOSE({1,2,3,4},TTSSKĐ!X288,TTSSKĐ!AD288,TTSSKĐ!AJ288,TTSSKĐ!AP288)))</f>
        <v>0</v>
      </c>
      <c r="H288">
        <f>SUMPRODUCT((MONTH(CHOOSE({1,2,3,4},TTSSKĐ!U288,TTSSKĐ!AA288,TTSSKĐ!AG288,TTSSKĐ!AM288))=8)*(CHOOSE({1,2,3,4},TTSSKĐ!X288,TTSSKĐ!AD288,TTSSKĐ!AJ288,TTSSKĐ!AP288)))</f>
        <v>0</v>
      </c>
      <c r="I288">
        <f>SUMPRODUCT((MONTH(CHOOSE({1,2,3,4},TTSSKĐ!U288,TTSSKĐ!AA288,TTSSKĐ!AG288,TTSSKĐ!AM288))=9)*(CHOOSE({1,2,3,4},TTSSKĐ!X288,TTSSKĐ!AD288,TTSSKĐ!AJ288,TTSSKĐ!AP288)))</f>
        <v>0</v>
      </c>
      <c r="J288">
        <f>SUMPRODUCT((MONTH(CHOOSE({1,2,3,4},TTSSKĐ!U288,TTSSKĐ!AA288,TTSSKĐ!AG288,TTSSKĐ!AM288))=10)*(CHOOSE({1,2,3,4},TTSSKĐ!X288,TTSSKĐ!AD288,TTSSKĐ!AJ288,TTSSKĐ!AP288)))</f>
        <v>0</v>
      </c>
      <c r="K288">
        <f>SUMPRODUCT((MONTH(CHOOSE({1,2,3,4},TTSSKĐ!U288,TTSSKĐ!AA288,TTSSKĐ!AG288,TTSSKĐ!AM288))=11)*(CHOOSE({1,2,3,4},TTSSKĐ!X288,TTSSKĐ!AD288,TTSSKĐ!AJ288,TTSSKĐ!AP288)))</f>
        <v>0</v>
      </c>
      <c r="L288">
        <f>SUMPRODUCT((MONTH(CHOOSE({1,2,3,4},TTSSKĐ!U288,TTSSKĐ!AA288,TTSSKĐ!AG288,TTSSKĐ!AM288))=12)*(CHOOSE({1,2,3,4},TTSSKĐ!X288,TTSSKĐ!AD288,TTSSKĐ!AJ288,TTSSKĐ!AP288)))</f>
        <v>0</v>
      </c>
    </row>
    <row r="289" spans="1:12">
      <c r="A289">
        <f>SUMPRODUCT((MONTH(CHOOSE({1,2,3,4},TTSSKĐ!U289,TTSSKĐ!AA289,TTSSKĐ!AG289,TTSSKĐ!AM289))=1)*(CHOOSE({1,2,3,4},TTSSKĐ!X289,TTSSKĐ!AD289,TTSSKĐ!AJ289,TTSSKĐ!AP289)))</f>
        <v>0</v>
      </c>
      <c r="B289">
        <f>SUMPRODUCT((MONTH(CHOOSE({1,2,3,4},TTSSKĐ!U289,TTSSKĐ!AA289,TTSSKĐ!AG289,TTSSKĐ!AM289))=2)*(CHOOSE({1,2,3,4},TTSSKĐ!X289,TTSSKĐ!AD289,TTSSKĐ!AJ289,TTSSKĐ!AP289)))</f>
        <v>0</v>
      </c>
      <c r="C289">
        <f>SUMPRODUCT((MONTH(CHOOSE({1,2,3,4},TTSSKĐ!U289,TTSSKĐ!AA289,TTSSKĐ!AG289,TTSSKĐ!AM289))=3)*(CHOOSE({1,2,3,4},TTSSKĐ!X289,TTSSKĐ!AD289,TTSSKĐ!AJ289,TTSSKĐ!AP289)))</f>
        <v>0</v>
      </c>
      <c r="D289">
        <f>SUMPRODUCT((MONTH(CHOOSE({1,2,3,4},TTSSKĐ!U289,TTSSKĐ!AA289,TTSSKĐ!AG289,TTSSKĐ!AM289))=4)*(CHOOSE({1,2,3,4},TTSSKĐ!X289,TTSSKĐ!AD289,TTSSKĐ!AJ289,TTSSKĐ!AP289)))</f>
        <v>0</v>
      </c>
      <c r="E289">
        <f>SUMPRODUCT((MONTH(CHOOSE({1,2,3,4},TTSSKĐ!U289,TTSSKĐ!AA289,TTSSKĐ!AG289,TTSSKĐ!AM289))=5)*(CHOOSE({1,2,3,4},TTSSKĐ!X289,TTSSKĐ!AD289,TTSSKĐ!AJ289,TTSSKĐ!AP289)))</f>
        <v>0</v>
      </c>
      <c r="F289">
        <f>SUMPRODUCT((MONTH(CHOOSE({1,2,3,4},TTSSKĐ!U289,TTSSKĐ!AA289,TTSSKĐ!AG289,TTSSKĐ!AM289))=6)*(CHOOSE({1,2,3,4},TTSSKĐ!X289,TTSSKĐ!AD289,TTSSKĐ!AJ289,TTSSKĐ!AP289)))</f>
        <v>0</v>
      </c>
      <c r="G289">
        <f>SUMPRODUCT((MONTH(CHOOSE({1,2,3,4},TTSSKĐ!U289,TTSSKĐ!AA289,TTSSKĐ!AG289,TTSSKĐ!AM289))=7)*(CHOOSE({1,2,3,4},TTSSKĐ!X289,TTSSKĐ!AD289,TTSSKĐ!AJ289,TTSSKĐ!AP289)))</f>
        <v>0</v>
      </c>
      <c r="H289">
        <f>SUMPRODUCT((MONTH(CHOOSE({1,2,3,4},TTSSKĐ!U289,TTSSKĐ!AA289,TTSSKĐ!AG289,TTSSKĐ!AM289))=8)*(CHOOSE({1,2,3,4},TTSSKĐ!X289,TTSSKĐ!AD289,TTSSKĐ!AJ289,TTSSKĐ!AP289)))</f>
        <v>0</v>
      </c>
      <c r="I289">
        <f>SUMPRODUCT((MONTH(CHOOSE({1,2,3,4},TTSSKĐ!U289,TTSSKĐ!AA289,TTSSKĐ!AG289,TTSSKĐ!AM289))=9)*(CHOOSE({1,2,3,4},TTSSKĐ!X289,TTSSKĐ!AD289,TTSSKĐ!AJ289,TTSSKĐ!AP289)))</f>
        <v>0</v>
      </c>
      <c r="J289">
        <f>SUMPRODUCT((MONTH(CHOOSE({1,2,3,4},TTSSKĐ!U289,TTSSKĐ!AA289,TTSSKĐ!AG289,TTSSKĐ!AM289))=10)*(CHOOSE({1,2,3,4},TTSSKĐ!X289,TTSSKĐ!AD289,TTSSKĐ!AJ289,TTSSKĐ!AP289)))</f>
        <v>0</v>
      </c>
      <c r="K289">
        <f>SUMPRODUCT((MONTH(CHOOSE({1,2,3,4},TTSSKĐ!U289,TTSSKĐ!AA289,TTSSKĐ!AG289,TTSSKĐ!AM289))=11)*(CHOOSE({1,2,3,4},TTSSKĐ!X289,TTSSKĐ!AD289,TTSSKĐ!AJ289,TTSSKĐ!AP289)))</f>
        <v>0</v>
      </c>
      <c r="L289">
        <f>SUMPRODUCT((MONTH(CHOOSE({1,2,3,4},TTSSKĐ!U289,TTSSKĐ!AA289,TTSSKĐ!AG289,TTSSKĐ!AM289))=12)*(CHOOSE({1,2,3,4},TTSSKĐ!X289,TTSSKĐ!AD289,TTSSKĐ!AJ289,TTSSKĐ!AP289)))</f>
        <v>0</v>
      </c>
    </row>
    <row r="290" spans="1:12">
      <c r="A290">
        <f>SUMPRODUCT((MONTH(CHOOSE({1,2,3,4},TTSSKĐ!U290,TTSSKĐ!AA290,TTSSKĐ!AG290,TTSSKĐ!AM290))=1)*(CHOOSE({1,2,3,4},TTSSKĐ!X290,TTSSKĐ!AD290,TTSSKĐ!AJ290,TTSSKĐ!AP290)))</f>
        <v>0</v>
      </c>
      <c r="B290">
        <f>SUMPRODUCT((MONTH(CHOOSE({1,2,3,4},TTSSKĐ!U290,TTSSKĐ!AA290,TTSSKĐ!AG290,TTSSKĐ!AM290))=2)*(CHOOSE({1,2,3,4},TTSSKĐ!X290,TTSSKĐ!AD290,TTSSKĐ!AJ290,TTSSKĐ!AP290)))</f>
        <v>0</v>
      </c>
      <c r="C290">
        <f>SUMPRODUCT((MONTH(CHOOSE({1,2,3,4},TTSSKĐ!U290,TTSSKĐ!AA290,TTSSKĐ!AG290,TTSSKĐ!AM290))=3)*(CHOOSE({1,2,3,4},TTSSKĐ!X290,TTSSKĐ!AD290,TTSSKĐ!AJ290,TTSSKĐ!AP290)))</f>
        <v>0</v>
      </c>
      <c r="D290">
        <f>SUMPRODUCT((MONTH(CHOOSE({1,2,3,4},TTSSKĐ!U290,TTSSKĐ!AA290,TTSSKĐ!AG290,TTSSKĐ!AM290))=4)*(CHOOSE({1,2,3,4},TTSSKĐ!X290,TTSSKĐ!AD290,TTSSKĐ!AJ290,TTSSKĐ!AP290)))</f>
        <v>0</v>
      </c>
      <c r="E290">
        <f>SUMPRODUCT((MONTH(CHOOSE({1,2,3,4},TTSSKĐ!U290,TTSSKĐ!AA290,TTSSKĐ!AG290,TTSSKĐ!AM290))=5)*(CHOOSE({1,2,3,4},TTSSKĐ!X290,TTSSKĐ!AD290,TTSSKĐ!AJ290,TTSSKĐ!AP290)))</f>
        <v>0</v>
      </c>
      <c r="F290">
        <f>SUMPRODUCT((MONTH(CHOOSE({1,2,3,4},TTSSKĐ!U290,TTSSKĐ!AA290,TTSSKĐ!AG290,TTSSKĐ!AM290))=6)*(CHOOSE({1,2,3,4},TTSSKĐ!X290,TTSSKĐ!AD290,TTSSKĐ!AJ290,TTSSKĐ!AP290)))</f>
        <v>0</v>
      </c>
      <c r="G290">
        <f>SUMPRODUCT((MONTH(CHOOSE({1,2,3,4},TTSSKĐ!U290,TTSSKĐ!AA290,TTSSKĐ!AG290,TTSSKĐ!AM290))=7)*(CHOOSE({1,2,3,4},TTSSKĐ!X290,TTSSKĐ!AD290,TTSSKĐ!AJ290,TTSSKĐ!AP290)))</f>
        <v>0</v>
      </c>
      <c r="H290">
        <f>SUMPRODUCT((MONTH(CHOOSE({1,2,3,4},TTSSKĐ!U290,TTSSKĐ!AA290,TTSSKĐ!AG290,TTSSKĐ!AM290))=8)*(CHOOSE({1,2,3,4},TTSSKĐ!X290,TTSSKĐ!AD290,TTSSKĐ!AJ290,TTSSKĐ!AP290)))</f>
        <v>0</v>
      </c>
      <c r="I290">
        <f>SUMPRODUCT((MONTH(CHOOSE({1,2,3,4},TTSSKĐ!U290,TTSSKĐ!AA290,TTSSKĐ!AG290,TTSSKĐ!AM290))=9)*(CHOOSE({1,2,3,4},TTSSKĐ!X290,TTSSKĐ!AD290,TTSSKĐ!AJ290,TTSSKĐ!AP290)))</f>
        <v>0</v>
      </c>
      <c r="J290">
        <f>SUMPRODUCT((MONTH(CHOOSE({1,2,3,4},TTSSKĐ!U290,TTSSKĐ!AA290,TTSSKĐ!AG290,TTSSKĐ!AM290))=10)*(CHOOSE({1,2,3,4},TTSSKĐ!X290,TTSSKĐ!AD290,TTSSKĐ!AJ290,TTSSKĐ!AP290)))</f>
        <v>0</v>
      </c>
      <c r="K290">
        <f>SUMPRODUCT((MONTH(CHOOSE({1,2,3,4},TTSSKĐ!U290,TTSSKĐ!AA290,TTSSKĐ!AG290,TTSSKĐ!AM290))=11)*(CHOOSE({1,2,3,4},TTSSKĐ!X290,TTSSKĐ!AD290,TTSSKĐ!AJ290,TTSSKĐ!AP290)))</f>
        <v>0</v>
      </c>
      <c r="L290">
        <f>SUMPRODUCT((MONTH(CHOOSE({1,2,3,4},TTSSKĐ!U290,TTSSKĐ!AA290,TTSSKĐ!AG290,TTSSKĐ!AM290))=12)*(CHOOSE({1,2,3,4},TTSSKĐ!X290,TTSSKĐ!AD290,TTSSKĐ!AJ290,TTSSKĐ!AP290)))</f>
        <v>0</v>
      </c>
    </row>
    <row r="291" spans="1:12">
      <c r="A291">
        <f>SUMPRODUCT((MONTH(CHOOSE({1,2,3,4},TTSSKĐ!U291,TTSSKĐ!AA291,TTSSKĐ!AG291,TTSSKĐ!AM291))=1)*(CHOOSE({1,2,3,4},TTSSKĐ!X291,TTSSKĐ!AD291,TTSSKĐ!AJ291,TTSSKĐ!AP291)))</f>
        <v>0</v>
      </c>
      <c r="B291">
        <f>SUMPRODUCT((MONTH(CHOOSE({1,2,3,4},TTSSKĐ!U291,TTSSKĐ!AA291,TTSSKĐ!AG291,TTSSKĐ!AM291))=2)*(CHOOSE({1,2,3,4},TTSSKĐ!X291,TTSSKĐ!AD291,TTSSKĐ!AJ291,TTSSKĐ!AP291)))</f>
        <v>0</v>
      </c>
      <c r="C291">
        <f>SUMPRODUCT((MONTH(CHOOSE({1,2,3,4},TTSSKĐ!U291,TTSSKĐ!AA291,TTSSKĐ!AG291,TTSSKĐ!AM291))=3)*(CHOOSE({1,2,3,4},TTSSKĐ!X291,TTSSKĐ!AD291,TTSSKĐ!AJ291,TTSSKĐ!AP291)))</f>
        <v>0</v>
      </c>
      <c r="D291">
        <f>SUMPRODUCT((MONTH(CHOOSE({1,2,3,4},TTSSKĐ!U291,TTSSKĐ!AA291,TTSSKĐ!AG291,TTSSKĐ!AM291))=4)*(CHOOSE({1,2,3,4},TTSSKĐ!X291,TTSSKĐ!AD291,TTSSKĐ!AJ291,TTSSKĐ!AP291)))</f>
        <v>0</v>
      </c>
      <c r="E291">
        <f>SUMPRODUCT((MONTH(CHOOSE({1,2,3,4},TTSSKĐ!U291,TTSSKĐ!AA291,TTSSKĐ!AG291,TTSSKĐ!AM291))=5)*(CHOOSE({1,2,3,4},TTSSKĐ!X291,TTSSKĐ!AD291,TTSSKĐ!AJ291,TTSSKĐ!AP291)))</f>
        <v>0</v>
      </c>
      <c r="F291">
        <f>SUMPRODUCT((MONTH(CHOOSE({1,2,3,4},TTSSKĐ!U291,TTSSKĐ!AA291,TTSSKĐ!AG291,TTSSKĐ!AM291))=6)*(CHOOSE({1,2,3,4},TTSSKĐ!X291,TTSSKĐ!AD291,TTSSKĐ!AJ291,TTSSKĐ!AP291)))</f>
        <v>0</v>
      </c>
      <c r="G291">
        <f>SUMPRODUCT((MONTH(CHOOSE({1,2,3,4},TTSSKĐ!U291,TTSSKĐ!AA291,TTSSKĐ!AG291,TTSSKĐ!AM291))=7)*(CHOOSE({1,2,3,4},TTSSKĐ!X291,TTSSKĐ!AD291,TTSSKĐ!AJ291,TTSSKĐ!AP291)))</f>
        <v>0</v>
      </c>
      <c r="H291">
        <f>SUMPRODUCT((MONTH(CHOOSE({1,2,3,4},TTSSKĐ!U291,TTSSKĐ!AA291,TTSSKĐ!AG291,TTSSKĐ!AM291))=8)*(CHOOSE({1,2,3,4},TTSSKĐ!X291,TTSSKĐ!AD291,TTSSKĐ!AJ291,TTSSKĐ!AP291)))</f>
        <v>0</v>
      </c>
      <c r="I291">
        <f>SUMPRODUCT((MONTH(CHOOSE({1,2,3,4},TTSSKĐ!U291,TTSSKĐ!AA291,TTSSKĐ!AG291,TTSSKĐ!AM291))=9)*(CHOOSE({1,2,3,4},TTSSKĐ!X291,TTSSKĐ!AD291,TTSSKĐ!AJ291,TTSSKĐ!AP291)))</f>
        <v>0</v>
      </c>
      <c r="J291">
        <f>SUMPRODUCT((MONTH(CHOOSE({1,2,3,4},TTSSKĐ!U291,TTSSKĐ!AA291,TTSSKĐ!AG291,TTSSKĐ!AM291))=10)*(CHOOSE({1,2,3,4},TTSSKĐ!X291,TTSSKĐ!AD291,TTSSKĐ!AJ291,TTSSKĐ!AP291)))</f>
        <v>0</v>
      </c>
      <c r="K291">
        <f>SUMPRODUCT((MONTH(CHOOSE({1,2,3,4},TTSSKĐ!U291,TTSSKĐ!AA291,TTSSKĐ!AG291,TTSSKĐ!AM291))=11)*(CHOOSE({1,2,3,4},TTSSKĐ!X291,TTSSKĐ!AD291,TTSSKĐ!AJ291,TTSSKĐ!AP291)))</f>
        <v>0</v>
      </c>
      <c r="L291">
        <f>SUMPRODUCT((MONTH(CHOOSE({1,2,3,4},TTSSKĐ!U291,TTSSKĐ!AA291,TTSSKĐ!AG291,TTSSKĐ!AM291))=12)*(CHOOSE({1,2,3,4},TTSSKĐ!X291,TTSSKĐ!AD291,TTSSKĐ!AJ291,TTSSKĐ!AP291)))</f>
        <v>0</v>
      </c>
    </row>
    <row r="292" spans="1:12">
      <c r="A292">
        <f>SUMPRODUCT((MONTH(CHOOSE({1,2,3,4},TTSSKĐ!U292,TTSSKĐ!AA292,TTSSKĐ!AG292,TTSSKĐ!AM292))=1)*(CHOOSE({1,2,3,4},TTSSKĐ!X292,TTSSKĐ!AD292,TTSSKĐ!AJ292,TTSSKĐ!AP292)))</f>
        <v>0</v>
      </c>
      <c r="B292">
        <f>SUMPRODUCT((MONTH(CHOOSE({1,2,3,4},TTSSKĐ!U292,TTSSKĐ!AA292,TTSSKĐ!AG292,TTSSKĐ!AM292))=2)*(CHOOSE({1,2,3,4},TTSSKĐ!X292,TTSSKĐ!AD292,TTSSKĐ!AJ292,TTSSKĐ!AP292)))</f>
        <v>0</v>
      </c>
      <c r="C292">
        <f>SUMPRODUCT((MONTH(CHOOSE({1,2,3,4},TTSSKĐ!U292,TTSSKĐ!AA292,TTSSKĐ!AG292,TTSSKĐ!AM292))=3)*(CHOOSE({1,2,3,4},TTSSKĐ!X292,TTSSKĐ!AD292,TTSSKĐ!AJ292,TTSSKĐ!AP292)))</f>
        <v>0</v>
      </c>
      <c r="D292">
        <f>SUMPRODUCT((MONTH(CHOOSE({1,2,3,4},TTSSKĐ!U292,TTSSKĐ!AA292,TTSSKĐ!AG292,TTSSKĐ!AM292))=4)*(CHOOSE({1,2,3,4},TTSSKĐ!X292,TTSSKĐ!AD292,TTSSKĐ!AJ292,TTSSKĐ!AP292)))</f>
        <v>0</v>
      </c>
      <c r="E292">
        <f>SUMPRODUCT((MONTH(CHOOSE({1,2,3,4},TTSSKĐ!U292,TTSSKĐ!AA292,TTSSKĐ!AG292,TTSSKĐ!AM292))=5)*(CHOOSE({1,2,3,4},TTSSKĐ!X292,TTSSKĐ!AD292,TTSSKĐ!AJ292,TTSSKĐ!AP292)))</f>
        <v>0</v>
      </c>
      <c r="F292">
        <f>SUMPRODUCT((MONTH(CHOOSE({1,2,3,4},TTSSKĐ!U292,TTSSKĐ!AA292,TTSSKĐ!AG292,TTSSKĐ!AM292))=6)*(CHOOSE({1,2,3,4},TTSSKĐ!X292,TTSSKĐ!AD292,TTSSKĐ!AJ292,TTSSKĐ!AP292)))</f>
        <v>0</v>
      </c>
      <c r="G292">
        <f>SUMPRODUCT((MONTH(CHOOSE({1,2,3,4},TTSSKĐ!U292,TTSSKĐ!AA292,TTSSKĐ!AG292,TTSSKĐ!AM292))=7)*(CHOOSE({1,2,3,4},TTSSKĐ!X292,TTSSKĐ!AD292,TTSSKĐ!AJ292,TTSSKĐ!AP292)))</f>
        <v>0</v>
      </c>
      <c r="H292">
        <f>SUMPRODUCT((MONTH(CHOOSE({1,2,3,4},TTSSKĐ!U292,TTSSKĐ!AA292,TTSSKĐ!AG292,TTSSKĐ!AM292))=8)*(CHOOSE({1,2,3,4},TTSSKĐ!X292,TTSSKĐ!AD292,TTSSKĐ!AJ292,TTSSKĐ!AP292)))</f>
        <v>0</v>
      </c>
      <c r="I292">
        <f>SUMPRODUCT((MONTH(CHOOSE({1,2,3,4},TTSSKĐ!U292,TTSSKĐ!AA292,TTSSKĐ!AG292,TTSSKĐ!AM292))=9)*(CHOOSE({1,2,3,4},TTSSKĐ!X292,TTSSKĐ!AD292,TTSSKĐ!AJ292,TTSSKĐ!AP292)))</f>
        <v>0</v>
      </c>
      <c r="J292">
        <f>SUMPRODUCT((MONTH(CHOOSE({1,2,3,4},TTSSKĐ!U292,TTSSKĐ!AA292,TTSSKĐ!AG292,TTSSKĐ!AM292))=10)*(CHOOSE({1,2,3,4},TTSSKĐ!X292,TTSSKĐ!AD292,TTSSKĐ!AJ292,TTSSKĐ!AP292)))</f>
        <v>0</v>
      </c>
      <c r="K292">
        <f>SUMPRODUCT((MONTH(CHOOSE({1,2,3,4},TTSSKĐ!U292,TTSSKĐ!AA292,TTSSKĐ!AG292,TTSSKĐ!AM292))=11)*(CHOOSE({1,2,3,4},TTSSKĐ!X292,TTSSKĐ!AD292,TTSSKĐ!AJ292,TTSSKĐ!AP292)))</f>
        <v>0</v>
      </c>
      <c r="L292">
        <f>SUMPRODUCT((MONTH(CHOOSE({1,2,3,4},TTSSKĐ!U292,TTSSKĐ!AA292,TTSSKĐ!AG292,TTSSKĐ!AM292))=12)*(CHOOSE({1,2,3,4},TTSSKĐ!X292,TTSSKĐ!AD292,TTSSKĐ!AJ292,TTSSKĐ!AP292)))</f>
        <v>0</v>
      </c>
    </row>
    <row r="293" spans="1:12">
      <c r="A293">
        <f>SUMPRODUCT((MONTH(CHOOSE({1,2,3,4},TTSSKĐ!U293,TTSSKĐ!AA293,TTSSKĐ!AG293,TTSSKĐ!AM293))=1)*(CHOOSE({1,2,3,4},TTSSKĐ!X293,TTSSKĐ!AD293,TTSSKĐ!AJ293,TTSSKĐ!AP293)))</f>
        <v>0</v>
      </c>
      <c r="B293">
        <f>SUMPRODUCT((MONTH(CHOOSE({1,2,3,4},TTSSKĐ!U293,TTSSKĐ!AA293,TTSSKĐ!AG293,TTSSKĐ!AM293))=2)*(CHOOSE({1,2,3,4},TTSSKĐ!X293,TTSSKĐ!AD293,TTSSKĐ!AJ293,TTSSKĐ!AP293)))</f>
        <v>0</v>
      </c>
      <c r="C293">
        <f>SUMPRODUCT((MONTH(CHOOSE({1,2,3,4},TTSSKĐ!U293,TTSSKĐ!AA293,TTSSKĐ!AG293,TTSSKĐ!AM293))=3)*(CHOOSE({1,2,3,4},TTSSKĐ!X293,TTSSKĐ!AD293,TTSSKĐ!AJ293,TTSSKĐ!AP293)))</f>
        <v>0</v>
      </c>
      <c r="D293">
        <f>SUMPRODUCT((MONTH(CHOOSE({1,2,3,4},TTSSKĐ!U293,TTSSKĐ!AA293,TTSSKĐ!AG293,TTSSKĐ!AM293))=4)*(CHOOSE({1,2,3,4},TTSSKĐ!X293,TTSSKĐ!AD293,TTSSKĐ!AJ293,TTSSKĐ!AP293)))</f>
        <v>0</v>
      </c>
      <c r="E293">
        <f>SUMPRODUCT((MONTH(CHOOSE({1,2,3,4},TTSSKĐ!U293,TTSSKĐ!AA293,TTSSKĐ!AG293,TTSSKĐ!AM293))=5)*(CHOOSE({1,2,3,4},TTSSKĐ!X293,TTSSKĐ!AD293,TTSSKĐ!AJ293,TTSSKĐ!AP293)))</f>
        <v>0</v>
      </c>
      <c r="F293">
        <f>SUMPRODUCT((MONTH(CHOOSE({1,2,3,4},TTSSKĐ!U293,TTSSKĐ!AA293,TTSSKĐ!AG293,TTSSKĐ!AM293))=6)*(CHOOSE({1,2,3,4},TTSSKĐ!X293,TTSSKĐ!AD293,TTSSKĐ!AJ293,TTSSKĐ!AP293)))</f>
        <v>0</v>
      </c>
      <c r="G293">
        <f>SUMPRODUCT((MONTH(CHOOSE({1,2,3,4},TTSSKĐ!U293,TTSSKĐ!AA293,TTSSKĐ!AG293,TTSSKĐ!AM293))=7)*(CHOOSE({1,2,3,4},TTSSKĐ!X293,TTSSKĐ!AD293,TTSSKĐ!AJ293,TTSSKĐ!AP293)))</f>
        <v>0</v>
      </c>
      <c r="H293">
        <f>SUMPRODUCT((MONTH(CHOOSE({1,2,3,4},TTSSKĐ!U293,TTSSKĐ!AA293,TTSSKĐ!AG293,TTSSKĐ!AM293))=8)*(CHOOSE({1,2,3,4},TTSSKĐ!X293,TTSSKĐ!AD293,TTSSKĐ!AJ293,TTSSKĐ!AP293)))</f>
        <v>0</v>
      </c>
      <c r="I293">
        <f>SUMPRODUCT((MONTH(CHOOSE({1,2,3,4},TTSSKĐ!U293,TTSSKĐ!AA293,TTSSKĐ!AG293,TTSSKĐ!AM293))=9)*(CHOOSE({1,2,3,4},TTSSKĐ!X293,TTSSKĐ!AD293,TTSSKĐ!AJ293,TTSSKĐ!AP293)))</f>
        <v>0</v>
      </c>
      <c r="J293">
        <f>SUMPRODUCT((MONTH(CHOOSE({1,2,3,4},TTSSKĐ!U293,TTSSKĐ!AA293,TTSSKĐ!AG293,TTSSKĐ!AM293))=10)*(CHOOSE({1,2,3,4},TTSSKĐ!X293,TTSSKĐ!AD293,TTSSKĐ!AJ293,TTSSKĐ!AP293)))</f>
        <v>0</v>
      </c>
      <c r="K293">
        <f>SUMPRODUCT((MONTH(CHOOSE({1,2,3,4},TTSSKĐ!U293,TTSSKĐ!AA293,TTSSKĐ!AG293,TTSSKĐ!AM293))=11)*(CHOOSE({1,2,3,4},TTSSKĐ!X293,TTSSKĐ!AD293,TTSSKĐ!AJ293,TTSSKĐ!AP293)))</f>
        <v>0</v>
      </c>
      <c r="L293">
        <f>SUMPRODUCT((MONTH(CHOOSE({1,2,3,4},TTSSKĐ!U293,TTSSKĐ!AA293,TTSSKĐ!AG293,TTSSKĐ!AM293))=12)*(CHOOSE({1,2,3,4},TTSSKĐ!X293,TTSSKĐ!AD293,TTSSKĐ!AJ293,TTSSKĐ!AP293)))</f>
        <v>0</v>
      </c>
    </row>
    <row r="294" spans="1:12">
      <c r="A294">
        <f>SUMPRODUCT((MONTH(CHOOSE({1,2,3,4},TTSSKĐ!U294,TTSSKĐ!AA294,TTSSKĐ!AG294,TTSSKĐ!AM294))=1)*(CHOOSE({1,2,3,4},TTSSKĐ!X294,TTSSKĐ!AD294,TTSSKĐ!AJ294,TTSSKĐ!AP294)))</f>
        <v>0</v>
      </c>
      <c r="B294">
        <f>SUMPRODUCT((MONTH(CHOOSE({1,2,3,4},TTSSKĐ!U294,TTSSKĐ!AA294,TTSSKĐ!AG294,TTSSKĐ!AM294))=2)*(CHOOSE({1,2,3,4},TTSSKĐ!X294,TTSSKĐ!AD294,TTSSKĐ!AJ294,TTSSKĐ!AP294)))</f>
        <v>0</v>
      </c>
      <c r="C294">
        <f>SUMPRODUCT((MONTH(CHOOSE({1,2,3,4},TTSSKĐ!U294,TTSSKĐ!AA294,TTSSKĐ!AG294,TTSSKĐ!AM294))=3)*(CHOOSE({1,2,3,4},TTSSKĐ!X294,TTSSKĐ!AD294,TTSSKĐ!AJ294,TTSSKĐ!AP294)))</f>
        <v>0</v>
      </c>
      <c r="D294">
        <f>SUMPRODUCT((MONTH(CHOOSE({1,2,3,4},TTSSKĐ!U294,TTSSKĐ!AA294,TTSSKĐ!AG294,TTSSKĐ!AM294))=4)*(CHOOSE({1,2,3,4},TTSSKĐ!X294,TTSSKĐ!AD294,TTSSKĐ!AJ294,TTSSKĐ!AP294)))</f>
        <v>0</v>
      </c>
      <c r="E294">
        <f>SUMPRODUCT((MONTH(CHOOSE({1,2,3,4},TTSSKĐ!U294,TTSSKĐ!AA294,TTSSKĐ!AG294,TTSSKĐ!AM294))=5)*(CHOOSE({1,2,3,4},TTSSKĐ!X294,TTSSKĐ!AD294,TTSSKĐ!AJ294,TTSSKĐ!AP294)))</f>
        <v>0</v>
      </c>
      <c r="F294">
        <f>SUMPRODUCT((MONTH(CHOOSE({1,2,3,4},TTSSKĐ!U294,TTSSKĐ!AA294,TTSSKĐ!AG294,TTSSKĐ!AM294))=6)*(CHOOSE({1,2,3,4},TTSSKĐ!X294,TTSSKĐ!AD294,TTSSKĐ!AJ294,TTSSKĐ!AP294)))</f>
        <v>0</v>
      </c>
      <c r="G294">
        <f>SUMPRODUCT((MONTH(CHOOSE({1,2,3,4},TTSSKĐ!U294,TTSSKĐ!AA294,TTSSKĐ!AG294,TTSSKĐ!AM294))=7)*(CHOOSE({1,2,3,4},TTSSKĐ!X294,TTSSKĐ!AD294,TTSSKĐ!AJ294,TTSSKĐ!AP294)))</f>
        <v>0</v>
      </c>
      <c r="H294">
        <f>SUMPRODUCT((MONTH(CHOOSE({1,2,3,4},TTSSKĐ!U294,TTSSKĐ!AA294,TTSSKĐ!AG294,TTSSKĐ!AM294))=8)*(CHOOSE({1,2,3,4},TTSSKĐ!X294,TTSSKĐ!AD294,TTSSKĐ!AJ294,TTSSKĐ!AP294)))</f>
        <v>0</v>
      </c>
      <c r="I294">
        <f>SUMPRODUCT((MONTH(CHOOSE({1,2,3,4},TTSSKĐ!U294,TTSSKĐ!AA294,TTSSKĐ!AG294,TTSSKĐ!AM294))=9)*(CHOOSE({1,2,3,4},TTSSKĐ!X294,TTSSKĐ!AD294,TTSSKĐ!AJ294,TTSSKĐ!AP294)))</f>
        <v>0</v>
      </c>
      <c r="J294">
        <f>SUMPRODUCT((MONTH(CHOOSE({1,2,3,4},TTSSKĐ!U294,TTSSKĐ!AA294,TTSSKĐ!AG294,TTSSKĐ!AM294))=10)*(CHOOSE({1,2,3,4},TTSSKĐ!X294,TTSSKĐ!AD294,TTSSKĐ!AJ294,TTSSKĐ!AP294)))</f>
        <v>0</v>
      </c>
      <c r="K294">
        <f>SUMPRODUCT((MONTH(CHOOSE({1,2,3,4},TTSSKĐ!U294,TTSSKĐ!AA294,TTSSKĐ!AG294,TTSSKĐ!AM294))=11)*(CHOOSE({1,2,3,4},TTSSKĐ!X294,TTSSKĐ!AD294,TTSSKĐ!AJ294,TTSSKĐ!AP294)))</f>
        <v>0</v>
      </c>
      <c r="L294">
        <f>SUMPRODUCT((MONTH(CHOOSE({1,2,3,4},TTSSKĐ!U294,TTSSKĐ!AA294,TTSSKĐ!AG294,TTSSKĐ!AM294))=12)*(CHOOSE({1,2,3,4},TTSSKĐ!X294,TTSSKĐ!AD294,TTSSKĐ!AJ294,TTSSKĐ!AP294)))</f>
        <v>0</v>
      </c>
    </row>
    <row r="295" spans="1:12">
      <c r="A295">
        <f>SUMPRODUCT((MONTH(CHOOSE({1,2,3,4},TTSSKĐ!U295,TTSSKĐ!AA295,TTSSKĐ!AG295,TTSSKĐ!AM295))=1)*(CHOOSE({1,2,3,4},TTSSKĐ!X295,TTSSKĐ!AD295,TTSSKĐ!AJ295,TTSSKĐ!AP295)))</f>
        <v>0</v>
      </c>
      <c r="B295">
        <f>SUMPRODUCT((MONTH(CHOOSE({1,2,3,4},TTSSKĐ!U295,TTSSKĐ!AA295,TTSSKĐ!AG295,TTSSKĐ!AM295))=2)*(CHOOSE({1,2,3,4},TTSSKĐ!X295,TTSSKĐ!AD295,TTSSKĐ!AJ295,TTSSKĐ!AP295)))</f>
        <v>0</v>
      </c>
      <c r="C295">
        <f>SUMPRODUCT((MONTH(CHOOSE({1,2,3,4},TTSSKĐ!U295,TTSSKĐ!AA295,TTSSKĐ!AG295,TTSSKĐ!AM295))=3)*(CHOOSE({1,2,3,4},TTSSKĐ!X295,TTSSKĐ!AD295,TTSSKĐ!AJ295,TTSSKĐ!AP295)))</f>
        <v>0</v>
      </c>
      <c r="D295">
        <f>SUMPRODUCT((MONTH(CHOOSE({1,2,3,4},TTSSKĐ!U295,TTSSKĐ!AA295,TTSSKĐ!AG295,TTSSKĐ!AM295))=4)*(CHOOSE({1,2,3,4},TTSSKĐ!X295,TTSSKĐ!AD295,TTSSKĐ!AJ295,TTSSKĐ!AP295)))</f>
        <v>0</v>
      </c>
      <c r="E295">
        <f>SUMPRODUCT((MONTH(CHOOSE({1,2,3,4},TTSSKĐ!U295,TTSSKĐ!AA295,TTSSKĐ!AG295,TTSSKĐ!AM295))=5)*(CHOOSE({1,2,3,4},TTSSKĐ!X295,TTSSKĐ!AD295,TTSSKĐ!AJ295,TTSSKĐ!AP295)))</f>
        <v>0</v>
      </c>
      <c r="F295">
        <f>SUMPRODUCT((MONTH(CHOOSE({1,2,3,4},TTSSKĐ!U295,TTSSKĐ!AA295,TTSSKĐ!AG295,TTSSKĐ!AM295))=6)*(CHOOSE({1,2,3,4},TTSSKĐ!X295,TTSSKĐ!AD295,TTSSKĐ!AJ295,TTSSKĐ!AP295)))</f>
        <v>0</v>
      </c>
      <c r="G295">
        <f>SUMPRODUCT((MONTH(CHOOSE({1,2,3,4},TTSSKĐ!U295,TTSSKĐ!AA295,TTSSKĐ!AG295,TTSSKĐ!AM295))=7)*(CHOOSE({1,2,3,4},TTSSKĐ!X295,TTSSKĐ!AD295,TTSSKĐ!AJ295,TTSSKĐ!AP295)))</f>
        <v>0</v>
      </c>
      <c r="H295">
        <f>SUMPRODUCT((MONTH(CHOOSE({1,2,3,4},TTSSKĐ!U295,TTSSKĐ!AA295,TTSSKĐ!AG295,TTSSKĐ!AM295))=8)*(CHOOSE({1,2,3,4},TTSSKĐ!X295,TTSSKĐ!AD295,TTSSKĐ!AJ295,TTSSKĐ!AP295)))</f>
        <v>0</v>
      </c>
      <c r="I295">
        <f>SUMPRODUCT((MONTH(CHOOSE({1,2,3,4},TTSSKĐ!U295,TTSSKĐ!AA295,TTSSKĐ!AG295,TTSSKĐ!AM295))=9)*(CHOOSE({1,2,3,4},TTSSKĐ!X295,TTSSKĐ!AD295,TTSSKĐ!AJ295,TTSSKĐ!AP295)))</f>
        <v>0</v>
      </c>
      <c r="J295">
        <f>SUMPRODUCT((MONTH(CHOOSE({1,2,3,4},TTSSKĐ!U295,TTSSKĐ!AA295,TTSSKĐ!AG295,TTSSKĐ!AM295))=10)*(CHOOSE({1,2,3,4},TTSSKĐ!X295,TTSSKĐ!AD295,TTSSKĐ!AJ295,TTSSKĐ!AP295)))</f>
        <v>0</v>
      </c>
      <c r="K295">
        <f>SUMPRODUCT((MONTH(CHOOSE({1,2,3,4},TTSSKĐ!U295,TTSSKĐ!AA295,TTSSKĐ!AG295,TTSSKĐ!AM295))=11)*(CHOOSE({1,2,3,4},TTSSKĐ!X295,TTSSKĐ!AD295,TTSSKĐ!AJ295,TTSSKĐ!AP295)))</f>
        <v>0</v>
      </c>
      <c r="L295">
        <f>SUMPRODUCT((MONTH(CHOOSE({1,2,3,4},TTSSKĐ!U295,TTSSKĐ!AA295,TTSSKĐ!AG295,TTSSKĐ!AM295))=12)*(CHOOSE({1,2,3,4},TTSSKĐ!X295,TTSSKĐ!AD295,TTSSKĐ!AJ295,TTSSKĐ!AP295)))</f>
        <v>0</v>
      </c>
    </row>
    <row r="296" spans="1:12">
      <c r="A296">
        <f>SUMPRODUCT((MONTH(CHOOSE({1,2,3,4},TTSSKĐ!U296,TTSSKĐ!AA296,TTSSKĐ!AG296,TTSSKĐ!AM296))=1)*(CHOOSE({1,2,3,4},TTSSKĐ!X296,TTSSKĐ!AD296,TTSSKĐ!AJ296,TTSSKĐ!AP296)))</f>
        <v>0</v>
      </c>
      <c r="B296">
        <f>SUMPRODUCT((MONTH(CHOOSE({1,2,3,4},TTSSKĐ!U296,TTSSKĐ!AA296,TTSSKĐ!AG296,TTSSKĐ!AM296))=2)*(CHOOSE({1,2,3,4},TTSSKĐ!X296,TTSSKĐ!AD296,TTSSKĐ!AJ296,TTSSKĐ!AP296)))</f>
        <v>0</v>
      </c>
      <c r="C296">
        <f>SUMPRODUCT((MONTH(CHOOSE({1,2,3,4},TTSSKĐ!U296,TTSSKĐ!AA296,TTSSKĐ!AG296,TTSSKĐ!AM296))=3)*(CHOOSE({1,2,3,4},TTSSKĐ!X296,TTSSKĐ!AD296,TTSSKĐ!AJ296,TTSSKĐ!AP296)))</f>
        <v>0</v>
      </c>
      <c r="D296">
        <f>SUMPRODUCT((MONTH(CHOOSE({1,2,3,4},TTSSKĐ!U296,TTSSKĐ!AA296,TTSSKĐ!AG296,TTSSKĐ!AM296))=4)*(CHOOSE({1,2,3,4},TTSSKĐ!X296,TTSSKĐ!AD296,TTSSKĐ!AJ296,TTSSKĐ!AP296)))</f>
        <v>0</v>
      </c>
      <c r="E296">
        <f>SUMPRODUCT((MONTH(CHOOSE({1,2,3,4},TTSSKĐ!U296,TTSSKĐ!AA296,TTSSKĐ!AG296,TTSSKĐ!AM296))=5)*(CHOOSE({1,2,3,4},TTSSKĐ!X296,TTSSKĐ!AD296,TTSSKĐ!AJ296,TTSSKĐ!AP296)))</f>
        <v>0</v>
      </c>
      <c r="F296">
        <f>SUMPRODUCT((MONTH(CHOOSE({1,2,3,4},TTSSKĐ!U296,TTSSKĐ!AA296,TTSSKĐ!AG296,TTSSKĐ!AM296))=6)*(CHOOSE({1,2,3,4},TTSSKĐ!X296,TTSSKĐ!AD296,TTSSKĐ!AJ296,TTSSKĐ!AP296)))</f>
        <v>0</v>
      </c>
      <c r="G296">
        <f>SUMPRODUCT((MONTH(CHOOSE({1,2,3,4},TTSSKĐ!U296,TTSSKĐ!AA296,TTSSKĐ!AG296,TTSSKĐ!AM296))=7)*(CHOOSE({1,2,3,4},TTSSKĐ!X296,TTSSKĐ!AD296,TTSSKĐ!AJ296,TTSSKĐ!AP296)))</f>
        <v>0</v>
      </c>
      <c r="H296">
        <f>SUMPRODUCT((MONTH(CHOOSE({1,2,3,4},TTSSKĐ!U296,TTSSKĐ!AA296,TTSSKĐ!AG296,TTSSKĐ!AM296))=8)*(CHOOSE({1,2,3,4},TTSSKĐ!X296,TTSSKĐ!AD296,TTSSKĐ!AJ296,TTSSKĐ!AP296)))</f>
        <v>0</v>
      </c>
      <c r="I296">
        <f>SUMPRODUCT((MONTH(CHOOSE({1,2,3,4},TTSSKĐ!U296,TTSSKĐ!AA296,TTSSKĐ!AG296,TTSSKĐ!AM296))=9)*(CHOOSE({1,2,3,4},TTSSKĐ!X296,TTSSKĐ!AD296,TTSSKĐ!AJ296,TTSSKĐ!AP296)))</f>
        <v>0</v>
      </c>
      <c r="J296">
        <f>SUMPRODUCT((MONTH(CHOOSE({1,2,3,4},TTSSKĐ!U296,TTSSKĐ!AA296,TTSSKĐ!AG296,TTSSKĐ!AM296))=10)*(CHOOSE({1,2,3,4},TTSSKĐ!X296,TTSSKĐ!AD296,TTSSKĐ!AJ296,TTSSKĐ!AP296)))</f>
        <v>0</v>
      </c>
      <c r="K296">
        <f>SUMPRODUCT((MONTH(CHOOSE({1,2,3,4},TTSSKĐ!U296,TTSSKĐ!AA296,TTSSKĐ!AG296,TTSSKĐ!AM296))=11)*(CHOOSE({1,2,3,4},TTSSKĐ!X296,TTSSKĐ!AD296,TTSSKĐ!AJ296,TTSSKĐ!AP296)))</f>
        <v>0</v>
      </c>
      <c r="L296">
        <f>SUMPRODUCT((MONTH(CHOOSE({1,2,3,4},TTSSKĐ!U296,TTSSKĐ!AA296,TTSSKĐ!AG296,TTSSKĐ!AM296))=12)*(CHOOSE({1,2,3,4},TTSSKĐ!X296,TTSSKĐ!AD296,TTSSKĐ!AJ296,TTSSKĐ!AP296)))</f>
        <v>0</v>
      </c>
    </row>
    <row r="297" spans="1:12">
      <c r="A297">
        <f>SUMPRODUCT((MONTH(CHOOSE({1,2,3,4},TTSSKĐ!U297,TTSSKĐ!AA297,TTSSKĐ!AG297,TTSSKĐ!AM297))=1)*(CHOOSE({1,2,3,4},TTSSKĐ!X297,TTSSKĐ!AD297,TTSSKĐ!AJ297,TTSSKĐ!AP297)))</f>
        <v>0</v>
      </c>
      <c r="B297">
        <f>SUMPRODUCT((MONTH(CHOOSE({1,2,3,4},TTSSKĐ!U297,TTSSKĐ!AA297,TTSSKĐ!AG297,TTSSKĐ!AM297))=2)*(CHOOSE({1,2,3,4},TTSSKĐ!X297,TTSSKĐ!AD297,TTSSKĐ!AJ297,TTSSKĐ!AP297)))</f>
        <v>0</v>
      </c>
      <c r="C297">
        <f>SUMPRODUCT((MONTH(CHOOSE({1,2,3,4},TTSSKĐ!U297,TTSSKĐ!AA297,TTSSKĐ!AG297,TTSSKĐ!AM297))=3)*(CHOOSE({1,2,3,4},TTSSKĐ!X297,TTSSKĐ!AD297,TTSSKĐ!AJ297,TTSSKĐ!AP297)))</f>
        <v>0</v>
      </c>
      <c r="D297">
        <f>SUMPRODUCT((MONTH(CHOOSE({1,2,3,4},TTSSKĐ!U297,TTSSKĐ!AA297,TTSSKĐ!AG297,TTSSKĐ!AM297))=4)*(CHOOSE({1,2,3,4},TTSSKĐ!X297,TTSSKĐ!AD297,TTSSKĐ!AJ297,TTSSKĐ!AP297)))</f>
        <v>0</v>
      </c>
      <c r="E297">
        <f>SUMPRODUCT((MONTH(CHOOSE({1,2,3,4},TTSSKĐ!U297,TTSSKĐ!AA297,TTSSKĐ!AG297,TTSSKĐ!AM297))=5)*(CHOOSE({1,2,3,4},TTSSKĐ!X297,TTSSKĐ!AD297,TTSSKĐ!AJ297,TTSSKĐ!AP297)))</f>
        <v>0</v>
      </c>
      <c r="F297">
        <f>SUMPRODUCT((MONTH(CHOOSE({1,2,3,4},TTSSKĐ!U297,TTSSKĐ!AA297,TTSSKĐ!AG297,TTSSKĐ!AM297))=6)*(CHOOSE({1,2,3,4},TTSSKĐ!X297,TTSSKĐ!AD297,TTSSKĐ!AJ297,TTSSKĐ!AP297)))</f>
        <v>0</v>
      </c>
      <c r="G297">
        <f>SUMPRODUCT((MONTH(CHOOSE({1,2,3,4},TTSSKĐ!U297,TTSSKĐ!AA297,TTSSKĐ!AG297,TTSSKĐ!AM297))=7)*(CHOOSE({1,2,3,4},TTSSKĐ!X297,TTSSKĐ!AD297,TTSSKĐ!AJ297,TTSSKĐ!AP297)))</f>
        <v>0</v>
      </c>
      <c r="H297">
        <f>SUMPRODUCT((MONTH(CHOOSE({1,2,3,4},TTSSKĐ!U297,TTSSKĐ!AA297,TTSSKĐ!AG297,TTSSKĐ!AM297))=8)*(CHOOSE({1,2,3,4},TTSSKĐ!X297,TTSSKĐ!AD297,TTSSKĐ!AJ297,TTSSKĐ!AP297)))</f>
        <v>0</v>
      </c>
      <c r="I297">
        <f>SUMPRODUCT((MONTH(CHOOSE({1,2,3,4},TTSSKĐ!U297,TTSSKĐ!AA297,TTSSKĐ!AG297,TTSSKĐ!AM297))=9)*(CHOOSE({1,2,3,4},TTSSKĐ!X297,TTSSKĐ!AD297,TTSSKĐ!AJ297,TTSSKĐ!AP297)))</f>
        <v>0</v>
      </c>
      <c r="J297">
        <f>SUMPRODUCT((MONTH(CHOOSE({1,2,3,4},TTSSKĐ!U297,TTSSKĐ!AA297,TTSSKĐ!AG297,TTSSKĐ!AM297))=10)*(CHOOSE({1,2,3,4},TTSSKĐ!X297,TTSSKĐ!AD297,TTSSKĐ!AJ297,TTSSKĐ!AP297)))</f>
        <v>0</v>
      </c>
      <c r="K297">
        <f>SUMPRODUCT((MONTH(CHOOSE({1,2,3,4},TTSSKĐ!U297,TTSSKĐ!AA297,TTSSKĐ!AG297,TTSSKĐ!AM297))=11)*(CHOOSE({1,2,3,4},TTSSKĐ!X297,TTSSKĐ!AD297,TTSSKĐ!AJ297,TTSSKĐ!AP297)))</f>
        <v>0</v>
      </c>
      <c r="L297">
        <f>SUMPRODUCT((MONTH(CHOOSE({1,2,3,4},TTSSKĐ!U297,TTSSKĐ!AA297,TTSSKĐ!AG297,TTSSKĐ!AM297))=12)*(CHOOSE({1,2,3,4},TTSSKĐ!X297,TTSSKĐ!AD297,TTSSKĐ!AJ297,TTSSKĐ!AP297)))</f>
        <v>0</v>
      </c>
    </row>
    <row r="298" spans="1:12">
      <c r="A298">
        <f>SUMPRODUCT((MONTH(CHOOSE({1,2,3,4},TTSSKĐ!U298,TTSSKĐ!AA298,TTSSKĐ!AG298,TTSSKĐ!AM298))=1)*(CHOOSE({1,2,3,4},TTSSKĐ!X298,TTSSKĐ!AD298,TTSSKĐ!AJ298,TTSSKĐ!AP298)))</f>
        <v>0</v>
      </c>
      <c r="B298">
        <f>SUMPRODUCT((MONTH(CHOOSE({1,2,3,4},TTSSKĐ!U298,TTSSKĐ!AA298,TTSSKĐ!AG298,TTSSKĐ!AM298))=2)*(CHOOSE({1,2,3,4},TTSSKĐ!X298,TTSSKĐ!AD298,TTSSKĐ!AJ298,TTSSKĐ!AP298)))</f>
        <v>0</v>
      </c>
      <c r="C298">
        <f>SUMPRODUCT((MONTH(CHOOSE({1,2,3,4},TTSSKĐ!U298,TTSSKĐ!AA298,TTSSKĐ!AG298,TTSSKĐ!AM298))=3)*(CHOOSE({1,2,3,4},TTSSKĐ!X298,TTSSKĐ!AD298,TTSSKĐ!AJ298,TTSSKĐ!AP298)))</f>
        <v>0</v>
      </c>
      <c r="D298">
        <f>SUMPRODUCT((MONTH(CHOOSE({1,2,3,4},TTSSKĐ!U298,TTSSKĐ!AA298,TTSSKĐ!AG298,TTSSKĐ!AM298))=4)*(CHOOSE({1,2,3,4},TTSSKĐ!X298,TTSSKĐ!AD298,TTSSKĐ!AJ298,TTSSKĐ!AP298)))</f>
        <v>0</v>
      </c>
      <c r="E298">
        <f>SUMPRODUCT((MONTH(CHOOSE({1,2,3,4},TTSSKĐ!U298,TTSSKĐ!AA298,TTSSKĐ!AG298,TTSSKĐ!AM298))=5)*(CHOOSE({1,2,3,4},TTSSKĐ!X298,TTSSKĐ!AD298,TTSSKĐ!AJ298,TTSSKĐ!AP298)))</f>
        <v>0</v>
      </c>
      <c r="F298">
        <f>SUMPRODUCT((MONTH(CHOOSE({1,2,3,4},TTSSKĐ!U298,TTSSKĐ!AA298,TTSSKĐ!AG298,TTSSKĐ!AM298))=6)*(CHOOSE({1,2,3,4},TTSSKĐ!X298,TTSSKĐ!AD298,TTSSKĐ!AJ298,TTSSKĐ!AP298)))</f>
        <v>0</v>
      </c>
      <c r="G298">
        <f>SUMPRODUCT((MONTH(CHOOSE({1,2,3,4},TTSSKĐ!U298,TTSSKĐ!AA298,TTSSKĐ!AG298,TTSSKĐ!AM298))=7)*(CHOOSE({1,2,3,4},TTSSKĐ!X298,TTSSKĐ!AD298,TTSSKĐ!AJ298,TTSSKĐ!AP298)))</f>
        <v>0</v>
      </c>
      <c r="H298">
        <f>SUMPRODUCT((MONTH(CHOOSE({1,2,3,4},TTSSKĐ!U298,TTSSKĐ!AA298,TTSSKĐ!AG298,TTSSKĐ!AM298))=8)*(CHOOSE({1,2,3,4},TTSSKĐ!X298,TTSSKĐ!AD298,TTSSKĐ!AJ298,TTSSKĐ!AP298)))</f>
        <v>0</v>
      </c>
      <c r="I298">
        <f>SUMPRODUCT((MONTH(CHOOSE({1,2,3,4},TTSSKĐ!U298,TTSSKĐ!AA298,TTSSKĐ!AG298,TTSSKĐ!AM298))=9)*(CHOOSE({1,2,3,4},TTSSKĐ!X298,TTSSKĐ!AD298,TTSSKĐ!AJ298,TTSSKĐ!AP298)))</f>
        <v>0</v>
      </c>
      <c r="J298">
        <f>SUMPRODUCT((MONTH(CHOOSE({1,2,3,4},TTSSKĐ!U298,TTSSKĐ!AA298,TTSSKĐ!AG298,TTSSKĐ!AM298))=10)*(CHOOSE({1,2,3,4},TTSSKĐ!X298,TTSSKĐ!AD298,TTSSKĐ!AJ298,TTSSKĐ!AP298)))</f>
        <v>0</v>
      </c>
      <c r="K298">
        <f>SUMPRODUCT((MONTH(CHOOSE({1,2,3,4},TTSSKĐ!U298,TTSSKĐ!AA298,TTSSKĐ!AG298,TTSSKĐ!AM298))=11)*(CHOOSE({1,2,3,4},TTSSKĐ!X298,TTSSKĐ!AD298,TTSSKĐ!AJ298,TTSSKĐ!AP298)))</f>
        <v>0</v>
      </c>
      <c r="L298">
        <f>SUMPRODUCT((MONTH(CHOOSE({1,2,3,4},TTSSKĐ!U298,TTSSKĐ!AA298,TTSSKĐ!AG298,TTSSKĐ!AM298))=12)*(CHOOSE({1,2,3,4},TTSSKĐ!X298,TTSSKĐ!AD298,TTSSKĐ!AJ298,TTSSKĐ!AP298)))</f>
        <v>0</v>
      </c>
    </row>
    <row r="299" spans="1:12">
      <c r="A299">
        <f>SUMPRODUCT((MONTH(CHOOSE({1,2,3,4},TTSSKĐ!U299,TTSSKĐ!AA299,TTSSKĐ!AG299,TTSSKĐ!AM299))=1)*(CHOOSE({1,2,3,4},TTSSKĐ!X299,TTSSKĐ!AD299,TTSSKĐ!AJ299,TTSSKĐ!AP299)))</f>
        <v>0</v>
      </c>
      <c r="B299">
        <f>SUMPRODUCT((MONTH(CHOOSE({1,2,3,4},TTSSKĐ!U299,TTSSKĐ!AA299,TTSSKĐ!AG299,TTSSKĐ!AM299))=2)*(CHOOSE({1,2,3,4},TTSSKĐ!X299,TTSSKĐ!AD299,TTSSKĐ!AJ299,TTSSKĐ!AP299)))</f>
        <v>0</v>
      </c>
      <c r="C299">
        <f>SUMPRODUCT((MONTH(CHOOSE({1,2,3,4},TTSSKĐ!U299,TTSSKĐ!AA299,TTSSKĐ!AG299,TTSSKĐ!AM299))=3)*(CHOOSE({1,2,3,4},TTSSKĐ!X299,TTSSKĐ!AD299,TTSSKĐ!AJ299,TTSSKĐ!AP299)))</f>
        <v>0</v>
      </c>
      <c r="D299">
        <f>SUMPRODUCT((MONTH(CHOOSE({1,2,3,4},TTSSKĐ!U299,TTSSKĐ!AA299,TTSSKĐ!AG299,TTSSKĐ!AM299))=4)*(CHOOSE({1,2,3,4},TTSSKĐ!X299,TTSSKĐ!AD299,TTSSKĐ!AJ299,TTSSKĐ!AP299)))</f>
        <v>0</v>
      </c>
      <c r="E299">
        <f>SUMPRODUCT((MONTH(CHOOSE({1,2,3,4},TTSSKĐ!U299,TTSSKĐ!AA299,TTSSKĐ!AG299,TTSSKĐ!AM299))=5)*(CHOOSE({1,2,3,4},TTSSKĐ!X299,TTSSKĐ!AD299,TTSSKĐ!AJ299,TTSSKĐ!AP299)))</f>
        <v>0</v>
      </c>
      <c r="F299">
        <f>SUMPRODUCT((MONTH(CHOOSE({1,2,3,4},TTSSKĐ!U299,TTSSKĐ!AA299,TTSSKĐ!AG299,TTSSKĐ!AM299))=6)*(CHOOSE({1,2,3,4},TTSSKĐ!X299,TTSSKĐ!AD299,TTSSKĐ!AJ299,TTSSKĐ!AP299)))</f>
        <v>0</v>
      </c>
      <c r="G299">
        <f>SUMPRODUCT((MONTH(CHOOSE({1,2,3,4},TTSSKĐ!U299,TTSSKĐ!AA299,TTSSKĐ!AG299,TTSSKĐ!AM299))=7)*(CHOOSE({1,2,3,4},TTSSKĐ!X299,TTSSKĐ!AD299,TTSSKĐ!AJ299,TTSSKĐ!AP299)))</f>
        <v>0</v>
      </c>
      <c r="H299">
        <f>SUMPRODUCT((MONTH(CHOOSE({1,2,3,4},TTSSKĐ!U299,TTSSKĐ!AA299,TTSSKĐ!AG299,TTSSKĐ!AM299))=8)*(CHOOSE({1,2,3,4},TTSSKĐ!X299,TTSSKĐ!AD299,TTSSKĐ!AJ299,TTSSKĐ!AP299)))</f>
        <v>0</v>
      </c>
      <c r="I299">
        <f>SUMPRODUCT((MONTH(CHOOSE({1,2,3,4},TTSSKĐ!U299,TTSSKĐ!AA299,TTSSKĐ!AG299,TTSSKĐ!AM299))=9)*(CHOOSE({1,2,3,4},TTSSKĐ!X299,TTSSKĐ!AD299,TTSSKĐ!AJ299,TTSSKĐ!AP299)))</f>
        <v>0</v>
      </c>
      <c r="J299">
        <f>SUMPRODUCT((MONTH(CHOOSE({1,2,3,4},TTSSKĐ!U299,TTSSKĐ!AA299,TTSSKĐ!AG299,TTSSKĐ!AM299))=10)*(CHOOSE({1,2,3,4},TTSSKĐ!X299,TTSSKĐ!AD299,TTSSKĐ!AJ299,TTSSKĐ!AP299)))</f>
        <v>0</v>
      </c>
      <c r="K299">
        <f>SUMPRODUCT((MONTH(CHOOSE({1,2,3,4},TTSSKĐ!U299,TTSSKĐ!AA299,TTSSKĐ!AG299,TTSSKĐ!AM299))=11)*(CHOOSE({1,2,3,4},TTSSKĐ!X299,TTSSKĐ!AD299,TTSSKĐ!AJ299,TTSSKĐ!AP299)))</f>
        <v>0</v>
      </c>
      <c r="L299">
        <f>SUMPRODUCT((MONTH(CHOOSE({1,2,3,4},TTSSKĐ!U299,TTSSKĐ!AA299,TTSSKĐ!AG299,TTSSKĐ!AM299))=12)*(CHOOSE({1,2,3,4},TTSSKĐ!X299,TTSSKĐ!AD299,TTSSKĐ!AJ299,TTSSKĐ!AP299)))</f>
        <v>0</v>
      </c>
    </row>
    <row r="300" spans="1:12">
      <c r="A300">
        <f>SUMPRODUCT((MONTH(CHOOSE({1,2,3,4},TTSSKĐ!U300,TTSSKĐ!AA300,TTSSKĐ!AG300,TTSSKĐ!AM300))=1)*(CHOOSE({1,2,3,4},TTSSKĐ!X300,TTSSKĐ!AD300,TTSSKĐ!AJ300,TTSSKĐ!AP300)))</f>
        <v>0</v>
      </c>
      <c r="B300">
        <f>SUMPRODUCT((MONTH(CHOOSE({1,2,3,4},TTSSKĐ!U300,TTSSKĐ!AA300,TTSSKĐ!AG300,TTSSKĐ!AM300))=2)*(CHOOSE({1,2,3,4},TTSSKĐ!X300,TTSSKĐ!AD300,TTSSKĐ!AJ300,TTSSKĐ!AP300)))</f>
        <v>0</v>
      </c>
      <c r="C300">
        <f>SUMPRODUCT((MONTH(CHOOSE({1,2,3,4},TTSSKĐ!U300,TTSSKĐ!AA300,TTSSKĐ!AG300,TTSSKĐ!AM300))=3)*(CHOOSE({1,2,3,4},TTSSKĐ!X300,TTSSKĐ!AD300,TTSSKĐ!AJ300,TTSSKĐ!AP300)))</f>
        <v>0</v>
      </c>
      <c r="D300">
        <f>SUMPRODUCT((MONTH(CHOOSE({1,2,3,4},TTSSKĐ!U300,TTSSKĐ!AA300,TTSSKĐ!AG300,TTSSKĐ!AM300))=4)*(CHOOSE({1,2,3,4},TTSSKĐ!X300,TTSSKĐ!AD300,TTSSKĐ!AJ300,TTSSKĐ!AP300)))</f>
        <v>0</v>
      </c>
      <c r="E300">
        <f>SUMPRODUCT((MONTH(CHOOSE({1,2,3,4},TTSSKĐ!U300,TTSSKĐ!AA300,TTSSKĐ!AG300,TTSSKĐ!AM300))=5)*(CHOOSE({1,2,3,4},TTSSKĐ!X300,TTSSKĐ!AD300,TTSSKĐ!AJ300,TTSSKĐ!AP300)))</f>
        <v>0</v>
      </c>
      <c r="F300">
        <f>SUMPRODUCT((MONTH(CHOOSE({1,2,3,4},TTSSKĐ!U300,TTSSKĐ!AA300,TTSSKĐ!AG300,TTSSKĐ!AM300))=6)*(CHOOSE({1,2,3,4},TTSSKĐ!X300,TTSSKĐ!AD300,TTSSKĐ!AJ300,TTSSKĐ!AP300)))</f>
        <v>0</v>
      </c>
      <c r="G300">
        <f>SUMPRODUCT((MONTH(CHOOSE({1,2,3,4},TTSSKĐ!U300,TTSSKĐ!AA300,TTSSKĐ!AG300,TTSSKĐ!AM300))=7)*(CHOOSE({1,2,3,4},TTSSKĐ!X300,TTSSKĐ!AD300,TTSSKĐ!AJ300,TTSSKĐ!AP300)))</f>
        <v>0</v>
      </c>
      <c r="H300">
        <f>SUMPRODUCT((MONTH(CHOOSE({1,2,3,4},TTSSKĐ!U300,TTSSKĐ!AA300,TTSSKĐ!AG300,TTSSKĐ!AM300))=8)*(CHOOSE({1,2,3,4},TTSSKĐ!X300,TTSSKĐ!AD300,TTSSKĐ!AJ300,TTSSKĐ!AP300)))</f>
        <v>0</v>
      </c>
      <c r="I300">
        <f>SUMPRODUCT((MONTH(CHOOSE({1,2,3,4},TTSSKĐ!U300,TTSSKĐ!AA300,TTSSKĐ!AG300,TTSSKĐ!AM300))=9)*(CHOOSE({1,2,3,4},TTSSKĐ!X300,TTSSKĐ!AD300,TTSSKĐ!AJ300,TTSSKĐ!AP300)))</f>
        <v>0</v>
      </c>
      <c r="J300">
        <f>SUMPRODUCT((MONTH(CHOOSE({1,2,3,4},TTSSKĐ!U300,TTSSKĐ!AA300,TTSSKĐ!AG300,TTSSKĐ!AM300))=10)*(CHOOSE({1,2,3,4},TTSSKĐ!X300,TTSSKĐ!AD300,TTSSKĐ!AJ300,TTSSKĐ!AP300)))</f>
        <v>0</v>
      </c>
      <c r="K300">
        <f>SUMPRODUCT((MONTH(CHOOSE({1,2,3,4},TTSSKĐ!U300,TTSSKĐ!AA300,TTSSKĐ!AG300,TTSSKĐ!AM300))=11)*(CHOOSE({1,2,3,4},TTSSKĐ!X300,TTSSKĐ!AD300,TTSSKĐ!AJ300,TTSSKĐ!AP300)))</f>
        <v>0</v>
      </c>
      <c r="L300">
        <f>SUMPRODUCT((MONTH(CHOOSE({1,2,3,4},TTSSKĐ!U300,TTSSKĐ!AA300,TTSSKĐ!AG300,TTSSKĐ!AM300))=12)*(CHOOSE({1,2,3,4},TTSSKĐ!X300,TTSSKĐ!AD300,TTSSKĐ!AJ300,TTSSKĐ!AP300)))</f>
        <v>0</v>
      </c>
    </row>
    <row r="301" spans="1:12">
      <c r="A301">
        <f>SUMPRODUCT((MONTH(CHOOSE({1,2,3,4},TTSSKĐ!U301,TTSSKĐ!AA301,TTSSKĐ!AG301,TTSSKĐ!AM301))=1)*(CHOOSE({1,2,3,4},TTSSKĐ!X301,TTSSKĐ!AD301,TTSSKĐ!AJ301,TTSSKĐ!AP301)))</f>
        <v>0</v>
      </c>
      <c r="B301">
        <f>SUMPRODUCT((MONTH(CHOOSE({1,2,3,4},TTSSKĐ!U301,TTSSKĐ!AA301,TTSSKĐ!AG301,TTSSKĐ!AM301))=2)*(CHOOSE({1,2,3,4},TTSSKĐ!X301,TTSSKĐ!AD301,TTSSKĐ!AJ301,TTSSKĐ!AP301)))</f>
        <v>0</v>
      </c>
      <c r="C301">
        <f>SUMPRODUCT((MONTH(CHOOSE({1,2,3,4},TTSSKĐ!U301,TTSSKĐ!AA301,TTSSKĐ!AG301,TTSSKĐ!AM301))=3)*(CHOOSE({1,2,3,4},TTSSKĐ!X301,TTSSKĐ!AD301,TTSSKĐ!AJ301,TTSSKĐ!AP301)))</f>
        <v>0</v>
      </c>
      <c r="D301">
        <f>SUMPRODUCT((MONTH(CHOOSE({1,2,3,4},TTSSKĐ!U301,TTSSKĐ!AA301,TTSSKĐ!AG301,TTSSKĐ!AM301))=4)*(CHOOSE({1,2,3,4},TTSSKĐ!X301,TTSSKĐ!AD301,TTSSKĐ!AJ301,TTSSKĐ!AP301)))</f>
        <v>0</v>
      </c>
      <c r="E301">
        <f>SUMPRODUCT((MONTH(CHOOSE({1,2,3,4},TTSSKĐ!U301,TTSSKĐ!AA301,TTSSKĐ!AG301,TTSSKĐ!AM301))=5)*(CHOOSE({1,2,3,4},TTSSKĐ!X301,TTSSKĐ!AD301,TTSSKĐ!AJ301,TTSSKĐ!AP301)))</f>
        <v>0</v>
      </c>
      <c r="F301">
        <f>SUMPRODUCT((MONTH(CHOOSE({1,2,3,4},TTSSKĐ!U301,TTSSKĐ!AA301,TTSSKĐ!AG301,TTSSKĐ!AM301))=6)*(CHOOSE({1,2,3,4},TTSSKĐ!X301,TTSSKĐ!AD301,TTSSKĐ!AJ301,TTSSKĐ!AP301)))</f>
        <v>0</v>
      </c>
      <c r="G301">
        <f>SUMPRODUCT((MONTH(CHOOSE({1,2,3,4},TTSSKĐ!U301,TTSSKĐ!AA301,TTSSKĐ!AG301,TTSSKĐ!AM301))=7)*(CHOOSE({1,2,3,4},TTSSKĐ!X301,TTSSKĐ!AD301,TTSSKĐ!AJ301,TTSSKĐ!AP301)))</f>
        <v>0</v>
      </c>
      <c r="H301">
        <f>SUMPRODUCT((MONTH(CHOOSE({1,2,3,4},TTSSKĐ!U301,TTSSKĐ!AA301,TTSSKĐ!AG301,TTSSKĐ!AM301))=8)*(CHOOSE({1,2,3,4},TTSSKĐ!X301,TTSSKĐ!AD301,TTSSKĐ!AJ301,TTSSKĐ!AP301)))</f>
        <v>0</v>
      </c>
      <c r="I301">
        <f>SUMPRODUCT((MONTH(CHOOSE({1,2,3,4},TTSSKĐ!U301,TTSSKĐ!AA301,TTSSKĐ!AG301,TTSSKĐ!AM301))=9)*(CHOOSE({1,2,3,4},TTSSKĐ!X301,TTSSKĐ!AD301,TTSSKĐ!AJ301,TTSSKĐ!AP301)))</f>
        <v>0</v>
      </c>
      <c r="J301">
        <f>SUMPRODUCT((MONTH(CHOOSE({1,2,3,4},TTSSKĐ!U301,TTSSKĐ!AA301,TTSSKĐ!AG301,TTSSKĐ!AM301))=10)*(CHOOSE({1,2,3,4},TTSSKĐ!X301,TTSSKĐ!AD301,TTSSKĐ!AJ301,TTSSKĐ!AP301)))</f>
        <v>0</v>
      </c>
      <c r="K301">
        <f>SUMPRODUCT((MONTH(CHOOSE({1,2,3,4},TTSSKĐ!U301,TTSSKĐ!AA301,TTSSKĐ!AG301,TTSSKĐ!AM301))=11)*(CHOOSE({1,2,3,4},TTSSKĐ!X301,TTSSKĐ!AD301,TTSSKĐ!AJ301,TTSSKĐ!AP301)))</f>
        <v>0</v>
      </c>
      <c r="L301">
        <f>SUMPRODUCT((MONTH(CHOOSE({1,2,3,4},TTSSKĐ!U301,TTSSKĐ!AA301,TTSSKĐ!AG301,TTSSKĐ!AM301))=12)*(CHOOSE({1,2,3,4},TTSSKĐ!X301,TTSSKĐ!AD301,TTSSKĐ!AJ301,TTSSKĐ!AP301)))</f>
        <v>0</v>
      </c>
    </row>
    <row r="302" spans="1:12">
      <c r="A302">
        <f>SUMPRODUCT((MONTH(CHOOSE({1,2,3,4},TTSSKĐ!U302,TTSSKĐ!AA302,TTSSKĐ!AG302,TTSSKĐ!AM302))=1)*(CHOOSE({1,2,3,4},TTSSKĐ!X302,TTSSKĐ!AD302,TTSSKĐ!AJ302,TTSSKĐ!AP302)))</f>
        <v>0</v>
      </c>
      <c r="B302">
        <f>SUMPRODUCT((MONTH(CHOOSE({1,2,3,4},TTSSKĐ!U302,TTSSKĐ!AA302,TTSSKĐ!AG302,TTSSKĐ!AM302))=2)*(CHOOSE({1,2,3,4},TTSSKĐ!X302,TTSSKĐ!AD302,TTSSKĐ!AJ302,TTSSKĐ!AP302)))</f>
        <v>0</v>
      </c>
      <c r="C302">
        <f>SUMPRODUCT((MONTH(CHOOSE({1,2,3,4},TTSSKĐ!U302,TTSSKĐ!AA302,TTSSKĐ!AG302,TTSSKĐ!AM302))=3)*(CHOOSE({1,2,3,4},TTSSKĐ!X302,TTSSKĐ!AD302,TTSSKĐ!AJ302,TTSSKĐ!AP302)))</f>
        <v>0</v>
      </c>
      <c r="D302">
        <f>SUMPRODUCT((MONTH(CHOOSE({1,2,3,4},TTSSKĐ!U302,TTSSKĐ!AA302,TTSSKĐ!AG302,TTSSKĐ!AM302))=4)*(CHOOSE({1,2,3,4},TTSSKĐ!X302,TTSSKĐ!AD302,TTSSKĐ!AJ302,TTSSKĐ!AP302)))</f>
        <v>0</v>
      </c>
      <c r="E302">
        <f>SUMPRODUCT((MONTH(CHOOSE({1,2,3,4},TTSSKĐ!U302,TTSSKĐ!AA302,TTSSKĐ!AG302,TTSSKĐ!AM302))=5)*(CHOOSE({1,2,3,4},TTSSKĐ!X302,TTSSKĐ!AD302,TTSSKĐ!AJ302,TTSSKĐ!AP302)))</f>
        <v>0</v>
      </c>
      <c r="F302">
        <f>SUMPRODUCT((MONTH(CHOOSE({1,2,3,4},TTSSKĐ!U302,TTSSKĐ!AA302,TTSSKĐ!AG302,TTSSKĐ!AM302))=6)*(CHOOSE({1,2,3,4},TTSSKĐ!X302,TTSSKĐ!AD302,TTSSKĐ!AJ302,TTSSKĐ!AP302)))</f>
        <v>0</v>
      </c>
      <c r="G302">
        <f>SUMPRODUCT((MONTH(CHOOSE({1,2,3,4},TTSSKĐ!U302,TTSSKĐ!AA302,TTSSKĐ!AG302,TTSSKĐ!AM302))=7)*(CHOOSE({1,2,3,4},TTSSKĐ!X302,TTSSKĐ!AD302,TTSSKĐ!AJ302,TTSSKĐ!AP302)))</f>
        <v>0</v>
      </c>
      <c r="H302">
        <f>SUMPRODUCT((MONTH(CHOOSE({1,2,3,4},TTSSKĐ!U302,TTSSKĐ!AA302,TTSSKĐ!AG302,TTSSKĐ!AM302))=8)*(CHOOSE({1,2,3,4},TTSSKĐ!X302,TTSSKĐ!AD302,TTSSKĐ!AJ302,TTSSKĐ!AP302)))</f>
        <v>0</v>
      </c>
      <c r="I302">
        <f>SUMPRODUCT((MONTH(CHOOSE({1,2,3,4},TTSSKĐ!U302,TTSSKĐ!AA302,TTSSKĐ!AG302,TTSSKĐ!AM302))=9)*(CHOOSE({1,2,3,4},TTSSKĐ!X302,TTSSKĐ!AD302,TTSSKĐ!AJ302,TTSSKĐ!AP302)))</f>
        <v>0</v>
      </c>
      <c r="J302">
        <f>SUMPRODUCT((MONTH(CHOOSE({1,2,3,4},TTSSKĐ!U302,TTSSKĐ!AA302,TTSSKĐ!AG302,TTSSKĐ!AM302))=10)*(CHOOSE({1,2,3,4},TTSSKĐ!X302,TTSSKĐ!AD302,TTSSKĐ!AJ302,TTSSKĐ!AP302)))</f>
        <v>0</v>
      </c>
      <c r="K302">
        <f>SUMPRODUCT((MONTH(CHOOSE({1,2,3,4},TTSSKĐ!U302,TTSSKĐ!AA302,TTSSKĐ!AG302,TTSSKĐ!AM302))=11)*(CHOOSE({1,2,3,4},TTSSKĐ!X302,TTSSKĐ!AD302,TTSSKĐ!AJ302,TTSSKĐ!AP302)))</f>
        <v>0</v>
      </c>
      <c r="L302">
        <f>SUMPRODUCT((MONTH(CHOOSE({1,2,3,4},TTSSKĐ!U302,TTSSKĐ!AA302,TTSSKĐ!AG302,TTSSKĐ!AM302))=12)*(CHOOSE({1,2,3,4},TTSSKĐ!X302,TTSSKĐ!AD302,TTSSKĐ!AJ302,TTSSKĐ!AP302)))</f>
        <v>0</v>
      </c>
    </row>
    <row r="303" spans="1:12">
      <c r="A303">
        <f>SUMPRODUCT((MONTH(CHOOSE({1,2,3,4},TTSSKĐ!U303,TTSSKĐ!AA303,TTSSKĐ!AG303,TTSSKĐ!AM303))=1)*(CHOOSE({1,2,3,4},TTSSKĐ!X303,TTSSKĐ!AD303,TTSSKĐ!AJ303,TTSSKĐ!AP303)))</f>
        <v>0</v>
      </c>
      <c r="B303">
        <f>SUMPRODUCT((MONTH(CHOOSE({1,2,3,4},TTSSKĐ!U303,TTSSKĐ!AA303,TTSSKĐ!AG303,TTSSKĐ!AM303))=2)*(CHOOSE({1,2,3,4},TTSSKĐ!X303,TTSSKĐ!AD303,TTSSKĐ!AJ303,TTSSKĐ!AP303)))</f>
        <v>0</v>
      </c>
      <c r="C303">
        <f>SUMPRODUCT((MONTH(CHOOSE({1,2,3,4},TTSSKĐ!U303,TTSSKĐ!AA303,TTSSKĐ!AG303,TTSSKĐ!AM303))=3)*(CHOOSE({1,2,3,4},TTSSKĐ!X303,TTSSKĐ!AD303,TTSSKĐ!AJ303,TTSSKĐ!AP303)))</f>
        <v>0</v>
      </c>
      <c r="D303">
        <f>SUMPRODUCT((MONTH(CHOOSE({1,2,3,4},TTSSKĐ!U303,TTSSKĐ!AA303,TTSSKĐ!AG303,TTSSKĐ!AM303))=4)*(CHOOSE({1,2,3,4},TTSSKĐ!X303,TTSSKĐ!AD303,TTSSKĐ!AJ303,TTSSKĐ!AP303)))</f>
        <v>0</v>
      </c>
      <c r="E303">
        <f>SUMPRODUCT((MONTH(CHOOSE({1,2,3,4},TTSSKĐ!U303,TTSSKĐ!AA303,TTSSKĐ!AG303,TTSSKĐ!AM303))=5)*(CHOOSE({1,2,3,4},TTSSKĐ!X303,TTSSKĐ!AD303,TTSSKĐ!AJ303,TTSSKĐ!AP303)))</f>
        <v>0</v>
      </c>
      <c r="F303">
        <f>SUMPRODUCT((MONTH(CHOOSE({1,2,3,4},TTSSKĐ!U303,TTSSKĐ!AA303,TTSSKĐ!AG303,TTSSKĐ!AM303))=6)*(CHOOSE({1,2,3,4},TTSSKĐ!X303,TTSSKĐ!AD303,TTSSKĐ!AJ303,TTSSKĐ!AP303)))</f>
        <v>0</v>
      </c>
      <c r="G303">
        <f>SUMPRODUCT((MONTH(CHOOSE({1,2,3,4},TTSSKĐ!U303,TTSSKĐ!AA303,TTSSKĐ!AG303,TTSSKĐ!AM303))=7)*(CHOOSE({1,2,3,4},TTSSKĐ!X303,TTSSKĐ!AD303,TTSSKĐ!AJ303,TTSSKĐ!AP303)))</f>
        <v>0</v>
      </c>
      <c r="H303">
        <f>SUMPRODUCT((MONTH(CHOOSE({1,2,3,4},TTSSKĐ!U303,TTSSKĐ!AA303,TTSSKĐ!AG303,TTSSKĐ!AM303))=8)*(CHOOSE({1,2,3,4},TTSSKĐ!X303,TTSSKĐ!AD303,TTSSKĐ!AJ303,TTSSKĐ!AP303)))</f>
        <v>0</v>
      </c>
      <c r="I303">
        <f>SUMPRODUCT((MONTH(CHOOSE({1,2,3,4},TTSSKĐ!U303,TTSSKĐ!AA303,TTSSKĐ!AG303,TTSSKĐ!AM303))=9)*(CHOOSE({1,2,3,4},TTSSKĐ!X303,TTSSKĐ!AD303,TTSSKĐ!AJ303,TTSSKĐ!AP303)))</f>
        <v>0</v>
      </c>
      <c r="J303">
        <f>SUMPRODUCT((MONTH(CHOOSE({1,2,3,4},TTSSKĐ!U303,TTSSKĐ!AA303,TTSSKĐ!AG303,TTSSKĐ!AM303))=10)*(CHOOSE({1,2,3,4},TTSSKĐ!X303,TTSSKĐ!AD303,TTSSKĐ!AJ303,TTSSKĐ!AP303)))</f>
        <v>0</v>
      </c>
      <c r="K303">
        <f>SUMPRODUCT((MONTH(CHOOSE({1,2,3,4},TTSSKĐ!U303,TTSSKĐ!AA303,TTSSKĐ!AG303,TTSSKĐ!AM303))=11)*(CHOOSE({1,2,3,4},TTSSKĐ!X303,TTSSKĐ!AD303,TTSSKĐ!AJ303,TTSSKĐ!AP303)))</f>
        <v>0</v>
      </c>
      <c r="L303">
        <f>SUMPRODUCT((MONTH(CHOOSE({1,2,3,4},TTSSKĐ!U303,TTSSKĐ!AA303,TTSSKĐ!AG303,TTSSKĐ!AM303))=12)*(CHOOSE({1,2,3,4},TTSSKĐ!X303,TTSSKĐ!AD303,TTSSKĐ!AJ303,TTSSKĐ!AP303)))</f>
        <v>0</v>
      </c>
    </row>
    <row r="304" spans="1:12">
      <c r="A304">
        <f>SUMPRODUCT((MONTH(CHOOSE({1,2,3,4},TTSSKĐ!U304,TTSSKĐ!AA304,TTSSKĐ!AG304,TTSSKĐ!AM304))=1)*(CHOOSE({1,2,3,4},TTSSKĐ!X304,TTSSKĐ!AD304,TTSSKĐ!AJ304,TTSSKĐ!AP304)))</f>
        <v>0</v>
      </c>
      <c r="B304">
        <f>SUMPRODUCT((MONTH(CHOOSE({1,2,3,4},TTSSKĐ!U304,TTSSKĐ!AA304,TTSSKĐ!AG304,TTSSKĐ!AM304))=2)*(CHOOSE({1,2,3,4},TTSSKĐ!X304,TTSSKĐ!AD304,TTSSKĐ!AJ304,TTSSKĐ!AP304)))</f>
        <v>0</v>
      </c>
      <c r="C304">
        <f>SUMPRODUCT((MONTH(CHOOSE({1,2,3,4},TTSSKĐ!U304,TTSSKĐ!AA304,TTSSKĐ!AG304,TTSSKĐ!AM304))=3)*(CHOOSE({1,2,3,4},TTSSKĐ!X304,TTSSKĐ!AD304,TTSSKĐ!AJ304,TTSSKĐ!AP304)))</f>
        <v>0</v>
      </c>
      <c r="D304">
        <f>SUMPRODUCT((MONTH(CHOOSE({1,2,3,4},TTSSKĐ!U304,TTSSKĐ!AA304,TTSSKĐ!AG304,TTSSKĐ!AM304))=4)*(CHOOSE({1,2,3,4},TTSSKĐ!X304,TTSSKĐ!AD304,TTSSKĐ!AJ304,TTSSKĐ!AP304)))</f>
        <v>0</v>
      </c>
      <c r="E304">
        <f>SUMPRODUCT((MONTH(CHOOSE({1,2,3,4},TTSSKĐ!U304,TTSSKĐ!AA304,TTSSKĐ!AG304,TTSSKĐ!AM304))=5)*(CHOOSE({1,2,3,4},TTSSKĐ!X304,TTSSKĐ!AD304,TTSSKĐ!AJ304,TTSSKĐ!AP304)))</f>
        <v>0</v>
      </c>
      <c r="F304">
        <f>SUMPRODUCT((MONTH(CHOOSE({1,2,3,4},TTSSKĐ!U304,TTSSKĐ!AA304,TTSSKĐ!AG304,TTSSKĐ!AM304))=6)*(CHOOSE({1,2,3,4},TTSSKĐ!X304,TTSSKĐ!AD304,TTSSKĐ!AJ304,TTSSKĐ!AP304)))</f>
        <v>0</v>
      </c>
      <c r="G304">
        <f>SUMPRODUCT((MONTH(CHOOSE({1,2,3,4},TTSSKĐ!U304,TTSSKĐ!AA304,TTSSKĐ!AG304,TTSSKĐ!AM304))=7)*(CHOOSE({1,2,3,4},TTSSKĐ!X304,TTSSKĐ!AD304,TTSSKĐ!AJ304,TTSSKĐ!AP304)))</f>
        <v>0</v>
      </c>
      <c r="H304">
        <f>SUMPRODUCT((MONTH(CHOOSE({1,2,3,4},TTSSKĐ!U304,TTSSKĐ!AA304,TTSSKĐ!AG304,TTSSKĐ!AM304))=8)*(CHOOSE({1,2,3,4},TTSSKĐ!X304,TTSSKĐ!AD304,TTSSKĐ!AJ304,TTSSKĐ!AP304)))</f>
        <v>0</v>
      </c>
      <c r="I304">
        <f>SUMPRODUCT((MONTH(CHOOSE({1,2,3,4},TTSSKĐ!U304,TTSSKĐ!AA304,TTSSKĐ!AG304,TTSSKĐ!AM304))=9)*(CHOOSE({1,2,3,4},TTSSKĐ!X304,TTSSKĐ!AD304,TTSSKĐ!AJ304,TTSSKĐ!AP304)))</f>
        <v>0</v>
      </c>
      <c r="J304">
        <f>SUMPRODUCT((MONTH(CHOOSE({1,2,3,4},TTSSKĐ!U304,TTSSKĐ!AA304,TTSSKĐ!AG304,TTSSKĐ!AM304))=10)*(CHOOSE({1,2,3,4},TTSSKĐ!X304,TTSSKĐ!AD304,TTSSKĐ!AJ304,TTSSKĐ!AP304)))</f>
        <v>0</v>
      </c>
      <c r="K304">
        <f>SUMPRODUCT((MONTH(CHOOSE({1,2,3,4},TTSSKĐ!U304,TTSSKĐ!AA304,TTSSKĐ!AG304,TTSSKĐ!AM304))=11)*(CHOOSE({1,2,3,4},TTSSKĐ!X304,TTSSKĐ!AD304,TTSSKĐ!AJ304,TTSSKĐ!AP304)))</f>
        <v>0</v>
      </c>
      <c r="L304">
        <f>SUMPRODUCT((MONTH(CHOOSE({1,2,3,4},TTSSKĐ!U304,TTSSKĐ!AA304,TTSSKĐ!AG304,TTSSKĐ!AM304))=12)*(CHOOSE({1,2,3,4},TTSSKĐ!X304,TTSSKĐ!AD304,TTSSKĐ!AJ304,TTSSKĐ!AP304)))</f>
        <v>0</v>
      </c>
    </row>
    <row r="305" spans="1:12">
      <c r="A305">
        <f>SUMPRODUCT((MONTH(CHOOSE({1,2,3,4},TTSSKĐ!U305,TTSSKĐ!AA305,TTSSKĐ!AG305,TTSSKĐ!AM305))=1)*(CHOOSE({1,2,3,4},TTSSKĐ!X305,TTSSKĐ!AD305,TTSSKĐ!AJ305,TTSSKĐ!AP305)))</f>
        <v>0</v>
      </c>
      <c r="B305">
        <f>SUMPRODUCT((MONTH(CHOOSE({1,2,3,4},TTSSKĐ!U305,TTSSKĐ!AA305,TTSSKĐ!AG305,TTSSKĐ!AM305))=2)*(CHOOSE({1,2,3,4},TTSSKĐ!X305,TTSSKĐ!AD305,TTSSKĐ!AJ305,TTSSKĐ!AP305)))</f>
        <v>0</v>
      </c>
      <c r="C305">
        <f>SUMPRODUCT((MONTH(CHOOSE({1,2,3,4},TTSSKĐ!U305,TTSSKĐ!AA305,TTSSKĐ!AG305,TTSSKĐ!AM305))=3)*(CHOOSE({1,2,3,4},TTSSKĐ!X305,TTSSKĐ!AD305,TTSSKĐ!AJ305,TTSSKĐ!AP305)))</f>
        <v>0</v>
      </c>
      <c r="D305">
        <f>SUMPRODUCT((MONTH(CHOOSE({1,2,3,4},TTSSKĐ!U305,TTSSKĐ!AA305,TTSSKĐ!AG305,TTSSKĐ!AM305))=4)*(CHOOSE({1,2,3,4},TTSSKĐ!X305,TTSSKĐ!AD305,TTSSKĐ!AJ305,TTSSKĐ!AP305)))</f>
        <v>0</v>
      </c>
      <c r="E305">
        <f>SUMPRODUCT((MONTH(CHOOSE({1,2,3,4},TTSSKĐ!U305,TTSSKĐ!AA305,TTSSKĐ!AG305,TTSSKĐ!AM305))=5)*(CHOOSE({1,2,3,4},TTSSKĐ!X305,TTSSKĐ!AD305,TTSSKĐ!AJ305,TTSSKĐ!AP305)))</f>
        <v>0</v>
      </c>
      <c r="F305">
        <f>SUMPRODUCT((MONTH(CHOOSE({1,2,3,4},TTSSKĐ!U305,TTSSKĐ!AA305,TTSSKĐ!AG305,TTSSKĐ!AM305))=6)*(CHOOSE({1,2,3,4},TTSSKĐ!X305,TTSSKĐ!AD305,TTSSKĐ!AJ305,TTSSKĐ!AP305)))</f>
        <v>0</v>
      </c>
      <c r="G305">
        <f>SUMPRODUCT((MONTH(CHOOSE({1,2,3,4},TTSSKĐ!U305,TTSSKĐ!AA305,TTSSKĐ!AG305,TTSSKĐ!AM305))=7)*(CHOOSE({1,2,3,4},TTSSKĐ!X305,TTSSKĐ!AD305,TTSSKĐ!AJ305,TTSSKĐ!AP305)))</f>
        <v>0</v>
      </c>
      <c r="H305">
        <f>SUMPRODUCT((MONTH(CHOOSE({1,2,3,4},TTSSKĐ!U305,TTSSKĐ!AA305,TTSSKĐ!AG305,TTSSKĐ!AM305))=8)*(CHOOSE({1,2,3,4},TTSSKĐ!X305,TTSSKĐ!AD305,TTSSKĐ!AJ305,TTSSKĐ!AP305)))</f>
        <v>0</v>
      </c>
      <c r="I305">
        <f>SUMPRODUCT((MONTH(CHOOSE({1,2,3,4},TTSSKĐ!U305,TTSSKĐ!AA305,TTSSKĐ!AG305,TTSSKĐ!AM305))=9)*(CHOOSE({1,2,3,4},TTSSKĐ!X305,TTSSKĐ!AD305,TTSSKĐ!AJ305,TTSSKĐ!AP305)))</f>
        <v>0</v>
      </c>
      <c r="J305">
        <f>SUMPRODUCT((MONTH(CHOOSE({1,2,3,4},TTSSKĐ!U305,TTSSKĐ!AA305,TTSSKĐ!AG305,TTSSKĐ!AM305))=10)*(CHOOSE({1,2,3,4},TTSSKĐ!X305,TTSSKĐ!AD305,TTSSKĐ!AJ305,TTSSKĐ!AP305)))</f>
        <v>0</v>
      </c>
      <c r="K305">
        <f>SUMPRODUCT((MONTH(CHOOSE({1,2,3,4},TTSSKĐ!U305,TTSSKĐ!AA305,TTSSKĐ!AG305,TTSSKĐ!AM305))=11)*(CHOOSE({1,2,3,4},TTSSKĐ!X305,TTSSKĐ!AD305,TTSSKĐ!AJ305,TTSSKĐ!AP305)))</f>
        <v>0</v>
      </c>
      <c r="L305">
        <f>SUMPRODUCT((MONTH(CHOOSE({1,2,3,4},TTSSKĐ!U305,TTSSKĐ!AA305,TTSSKĐ!AG305,TTSSKĐ!AM305))=12)*(CHOOSE({1,2,3,4},TTSSKĐ!X305,TTSSKĐ!AD305,TTSSKĐ!AJ305,TTSSKĐ!AP305)))</f>
        <v>0</v>
      </c>
    </row>
    <row r="306" spans="1:12">
      <c r="A306">
        <f>SUMPRODUCT((MONTH(CHOOSE({1,2,3,4},TTSSKĐ!U306,TTSSKĐ!AA306,TTSSKĐ!AG306,TTSSKĐ!AM306))=1)*(CHOOSE({1,2,3,4},TTSSKĐ!X306,TTSSKĐ!AD306,TTSSKĐ!AJ306,TTSSKĐ!AP306)))</f>
        <v>0</v>
      </c>
      <c r="B306">
        <f>SUMPRODUCT((MONTH(CHOOSE({1,2,3,4},TTSSKĐ!U306,TTSSKĐ!AA306,TTSSKĐ!AG306,TTSSKĐ!AM306))=2)*(CHOOSE({1,2,3,4},TTSSKĐ!X306,TTSSKĐ!AD306,TTSSKĐ!AJ306,TTSSKĐ!AP306)))</f>
        <v>0</v>
      </c>
      <c r="C306">
        <f>SUMPRODUCT((MONTH(CHOOSE({1,2,3,4},TTSSKĐ!U306,TTSSKĐ!AA306,TTSSKĐ!AG306,TTSSKĐ!AM306))=3)*(CHOOSE({1,2,3,4},TTSSKĐ!X306,TTSSKĐ!AD306,TTSSKĐ!AJ306,TTSSKĐ!AP306)))</f>
        <v>0</v>
      </c>
      <c r="D306">
        <f>SUMPRODUCT((MONTH(CHOOSE({1,2,3,4},TTSSKĐ!U306,TTSSKĐ!AA306,TTSSKĐ!AG306,TTSSKĐ!AM306))=4)*(CHOOSE({1,2,3,4},TTSSKĐ!X306,TTSSKĐ!AD306,TTSSKĐ!AJ306,TTSSKĐ!AP306)))</f>
        <v>0</v>
      </c>
      <c r="E306">
        <f>SUMPRODUCT((MONTH(CHOOSE({1,2,3,4},TTSSKĐ!U306,TTSSKĐ!AA306,TTSSKĐ!AG306,TTSSKĐ!AM306))=5)*(CHOOSE({1,2,3,4},TTSSKĐ!X306,TTSSKĐ!AD306,TTSSKĐ!AJ306,TTSSKĐ!AP306)))</f>
        <v>0</v>
      </c>
      <c r="F306">
        <f>SUMPRODUCT((MONTH(CHOOSE({1,2,3,4},TTSSKĐ!U306,TTSSKĐ!AA306,TTSSKĐ!AG306,TTSSKĐ!AM306))=6)*(CHOOSE({1,2,3,4},TTSSKĐ!X306,TTSSKĐ!AD306,TTSSKĐ!AJ306,TTSSKĐ!AP306)))</f>
        <v>0</v>
      </c>
      <c r="G306">
        <f>SUMPRODUCT((MONTH(CHOOSE({1,2,3,4},TTSSKĐ!U306,TTSSKĐ!AA306,TTSSKĐ!AG306,TTSSKĐ!AM306))=7)*(CHOOSE({1,2,3,4},TTSSKĐ!X306,TTSSKĐ!AD306,TTSSKĐ!AJ306,TTSSKĐ!AP306)))</f>
        <v>0</v>
      </c>
      <c r="H306">
        <f>SUMPRODUCT((MONTH(CHOOSE({1,2,3,4},TTSSKĐ!U306,TTSSKĐ!AA306,TTSSKĐ!AG306,TTSSKĐ!AM306))=8)*(CHOOSE({1,2,3,4},TTSSKĐ!X306,TTSSKĐ!AD306,TTSSKĐ!AJ306,TTSSKĐ!AP306)))</f>
        <v>0</v>
      </c>
      <c r="I306">
        <f>SUMPRODUCT((MONTH(CHOOSE({1,2,3,4},TTSSKĐ!U306,TTSSKĐ!AA306,TTSSKĐ!AG306,TTSSKĐ!AM306))=9)*(CHOOSE({1,2,3,4},TTSSKĐ!X306,TTSSKĐ!AD306,TTSSKĐ!AJ306,TTSSKĐ!AP306)))</f>
        <v>0</v>
      </c>
      <c r="J306">
        <f>SUMPRODUCT((MONTH(CHOOSE({1,2,3,4},TTSSKĐ!U306,TTSSKĐ!AA306,TTSSKĐ!AG306,TTSSKĐ!AM306))=10)*(CHOOSE({1,2,3,4},TTSSKĐ!X306,TTSSKĐ!AD306,TTSSKĐ!AJ306,TTSSKĐ!AP306)))</f>
        <v>0</v>
      </c>
      <c r="K306">
        <f>SUMPRODUCT((MONTH(CHOOSE({1,2,3,4},TTSSKĐ!U306,TTSSKĐ!AA306,TTSSKĐ!AG306,TTSSKĐ!AM306))=11)*(CHOOSE({1,2,3,4},TTSSKĐ!X306,TTSSKĐ!AD306,TTSSKĐ!AJ306,TTSSKĐ!AP306)))</f>
        <v>0</v>
      </c>
      <c r="L306">
        <f>SUMPRODUCT((MONTH(CHOOSE({1,2,3,4},TTSSKĐ!U306,TTSSKĐ!AA306,TTSSKĐ!AG306,TTSSKĐ!AM306))=12)*(CHOOSE({1,2,3,4},TTSSKĐ!X306,TTSSKĐ!AD306,TTSSKĐ!AJ306,TTSSKĐ!AP306)))</f>
        <v>0</v>
      </c>
    </row>
    <row r="307" spans="1:12">
      <c r="A307">
        <f>SUMPRODUCT((MONTH(CHOOSE({1,2,3,4},TTSSKĐ!U307,TTSSKĐ!AA307,TTSSKĐ!AG307,TTSSKĐ!AM307))=1)*(CHOOSE({1,2,3,4},TTSSKĐ!X307,TTSSKĐ!AD307,TTSSKĐ!AJ307,TTSSKĐ!AP307)))</f>
        <v>0</v>
      </c>
      <c r="B307">
        <f>SUMPRODUCT((MONTH(CHOOSE({1,2,3,4},TTSSKĐ!U307,TTSSKĐ!AA307,TTSSKĐ!AG307,TTSSKĐ!AM307))=2)*(CHOOSE({1,2,3,4},TTSSKĐ!X307,TTSSKĐ!AD307,TTSSKĐ!AJ307,TTSSKĐ!AP307)))</f>
        <v>0</v>
      </c>
      <c r="C307">
        <f>SUMPRODUCT((MONTH(CHOOSE({1,2,3,4},TTSSKĐ!U307,TTSSKĐ!AA307,TTSSKĐ!AG307,TTSSKĐ!AM307))=3)*(CHOOSE({1,2,3,4},TTSSKĐ!X307,TTSSKĐ!AD307,TTSSKĐ!AJ307,TTSSKĐ!AP307)))</f>
        <v>0</v>
      </c>
      <c r="D307">
        <f>SUMPRODUCT((MONTH(CHOOSE({1,2,3,4},TTSSKĐ!U307,TTSSKĐ!AA307,TTSSKĐ!AG307,TTSSKĐ!AM307))=4)*(CHOOSE({1,2,3,4},TTSSKĐ!X307,TTSSKĐ!AD307,TTSSKĐ!AJ307,TTSSKĐ!AP307)))</f>
        <v>0</v>
      </c>
      <c r="E307">
        <f>SUMPRODUCT((MONTH(CHOOSE({1,2,3,4},TTSSKĐ!U307,TTSSKĐ!AA307,TTSSKĐ!AG307,TTSSKĐ!AM307))=5)*(CHOOSE({1,2,3,4},TTSSKĐ!X307,TTSSKĐ!AD307,TTSSKĐ!AJ307,TTSSKĐ!AP307)))</f>
        <v>0</v>
      </c>
      <c r="F307">
        <f>SUMPRODUCT((MONTH(CHOOSE({1,2,3,4},TTSSKĐ!U307,TTSSKĐ!AA307,TTSSKĐ!AG307,TTSSKĐ!AM307))=6)*(CHOOSE({1,2,3,4},TTSSKĐ!X307,TTSSKĐ!AD307,TTSSKĐ!AJ307,TTSSKĐ!AP307)))</f>
        <v>0</v>
      </c>
      <c r="G307">
        <f>SUMPRODUCT((MONTH(CHOOSE({1,2,3,4},TTSSKĐ!U307,TTSSKĐ!AA307,TTSSKĐ!AG307,TTSSKĐ!AM307))=7)*(CHOOSE({1,2,3,4},TTSSKĐ!X307,TTSSKĐ!AD307,TTSSKĐ!AJ307,TTSSKĐ!AP307)))</f>
        <v>0</v>
      </c>
      <c r="H307">
        <f>SUMPRODUCT((MONTH(CHOOSE({1,2,3,4},TTSSKĐ!U307,TTSSKĐ!AA307,TTSSKĐ!AG307,TTSSKĐ!AM307))=8)*(CHOOSE({1,2,3,4},TTSSKĐ!X307,TTSSKĐ!AD307,TTSSKĐ!AJ307,TTSSKĐ!AP307)))</f>
        <v>0</v>
      </c>
      <c r="I307">
        <f>SUMPRODUCT((MONTH(CHOOSE({1,2,3,4},TTSSKĐ!U307,TTSSKĐ!AA307,TTSSKĐ!AG307,TTSSKĐ!AM307))=9)*(CHOOSE({1,2,3,4},TTSSKĐ!X307,TTSSKĐ!AD307,TTSSKĐ!AJ307,TTSSKĐ!AP307)))</f>
        <v>0</v>
      </c>
      <c r="J307">
        <f>SUMPRODUCT((MONTH(CHOOSE({1,2,3,4},TTSSKĐ!U307,TTSSKĐ!AA307,TTSSKĐ!AG307,TTSSKĐ!AM307))=10)*(CHOOSE({1,2,3,4},TTSSKĐ!X307,TTSSKĐ!AD307,TTSSKĐ!AJ307,TTSSKĐ!AP307)))</f>
        <v>0</v>
      </c>
      <c r="K307">
        <f>SUMPRODUCT((MONTH(CHOOSE({1,2,3,4},TTSSKĐ!U307,TTSSKĐ!AA307,TTSSKĐ!AG307,TTSSKĐ!AM307))=11)*(CHOOSE({1,2,3,4},TTSSKĐ!X307,TTSSKĐ!AD307,TTSSKĐ!AJ307,TTSSKĐ!AP307)))</f>
        <v>0</v>
      </c>
      <c r="L307">
        <f>SUMPRODUCT((MONTH(CHOOSE({1,2,3,4},TTSSKĐ!U307,TTSSKĐ!AA307,TTSSKĐ!AG307,TTSSKĐ!AM307))=12)*(CHOOSE({1,2,3,4},TTSSKĐ!X307,TTSSKĐ!AD307,TTSSKĐ!AJ307,TTSSKĐ!AP307)))</f>
        <v>0</v>
      </c>
    </row>
    <row r="308" spans="1:12">
      <c r="A308">
        <f>SUMPRODUCT((MONTH(CHOOSE({1,2,3,4},TTSSKĐ!U308,TTSSKĐ!AA308,TTSSKĐ!AG308,TTSSKĐ!AM308))=1)*(CHOOSE({1,2,3,4},TTSSKĐ!X308,TTSSKĐ!AD308,TTSSKĐ!AJ308,TTSSKĐ!AP308)))</f>
        <v>0</v>
      </c>
      <c r="B308">
        <f>SUMPRODUCT((MONTH(CHOOSE({1,2,3,4},TTSSKĐ!U308,TTSSKĐ!AA308,TTSSKĐ!AG308,TTSSKĐ!AM308))=2)*(CHOOSE({1,2,3,4},TTSSKĐ!X308,TTSSKĐ!AD308,TTSSKĐ!AJ308,TTSSKĐ!AP308)))</f>
        <v>0</v>
      </c>
      <c r="C308">
        <f>SUMPRODUCT((MONTH(CHOOSE({1,2,3,4},TTSSKĐ!U308,TTSSKĐ!AA308,TTSSKĐ!AG308,TTSSKĐ!AM308))=3)*(CHOOSE({1,2,3,4},TTSSKĐ!X308,TTSSKĐ!AD308,TTSSKĐ!AJ308,TTSSKĐ!AP308)))</f>
        <v>0</v>
      </c>
      <c r="D308">
        <f>SUMPRODUCT((MONTH(CHOOSE({1,2,3,4},TTSSKĐ!U308,TTSSKĐ!AA308,TTSSKĐ!AG308,TTSSKĐ!AM308))=4)*(CHOOSE({1,2,3,4},TTSSKĐ!X308,TTSSKĐ!AD308,TTSSKĐ!AJ308,TTSSKĐ!AP308)))</f>
        <v>0</v>
      </c>
      <c r="E308">
        <f>SUMPRODUCT((MONTH(CHOOSE({1,2,3,4},TTSSKĐ!U308,TTSSKĐ!AA308,TTSSKĐ!AG308,TTSSKĐ!AM308))=5)*(CHOOSE({1,2,3,4},TTSSKĐ!X308,TTSSKĐ!AD308,TTSSKĐ!AJ308,TTSSKĐ!AP308)))</f>
        <v>0</v>
      </c>
      <c r="F308">
        <f>SUMPRODUCT((MONTH(CHOOSE({1,2,3,4},TTSSKĐ!U308,TTSSKĐ!AA308,TTSSKĐ!AG308,TTSSKĐ!AM308))=6)*(CHOOSE({1,2,3,4},TTSSKĐ!X308,TTSSKĐ!AD308,TTSSKĐ!AJ308,TTSSKĐ!AP308)))</f>
        <v>0</v>
      </c>
      <c r="G308">
        <f>SUMPRODUCT((MONTH(CHOOSE({1,2,3,4},TTSSKĐ!U308,TTSSKĐ!AA308,TTSSKĐ!AG308,TTSSKĐ!AM308))=7)*(CHOOSE({1,2,3,4},TTSSKĐ!X308,TTSSKĐ!AD308,TTSSKĐ!AJ308,TTSSKĐ!AP308)))</f>
        <v>0</v>
      </c>
      <c r="H308">
        <f>SUMPRODUCT((MONTH(CHOOSE({1,2,3,4},TTSSKĐ!U308,TTSSKĐ!AA308,TTSSKĐ!AG308,TTSSKĐ!AM308))=8)*(CHOOSE({1,2,3,4},TTSSKĐ!X308,TTSSKĐ!AD308,TTSSKĐ!AJ308,TTSSKĐ!AP308)))</f>
        <v>0</v>
      </c>
      <c r="I308">
        <f>SUMPRODUCT((MONTH(CHOOSE({1,2,3,4},TTSSKĐ!U308,TTSSKĐ!AA308,TTSSKĐ!AG308,TTSSKĐ!AM308))=9)*(CHOOSE({1,2,3,4},TTSSKĐ!X308,TTSSKĐ!AD308,TTSSKĐ!AJ308,TTSSKĐ!AP308)))</f>
        <v>0</v>
      </c>
      <c r="J308">
        <f>SUMPRODUCT((MONTH(CHOOSE({1,2,3,4},TTSSKĐ!U308,TTSSKĐ!AA308,TTSSKĐ!AG308,TTSSKĐ!AM308))=10)*(CHOOSE({1,2,3,4},TTSSKĐ!X308,TTSSKĐ!AD308,TTSSKĐ!AJ308,TTSSKĐ!AP308)))</f>
        <v>0</v>
      </c>
      <c r="K308">
        <f>SUMPRODUCT((MONTH(CHOOSE({1,2,3,4},TTSSKĐ!U308,TTSSKĐ!AA308,TTSSKĐ!AG308,TTSSKĐ!AM308))=11)*(CHOOSE({1,2,3,4},TTSSKĐ!X308,TTSSKĐ!AD308,TTSSKĐ!AJ308,TTSSKĐ!AP308)))</f>
        <v>0</v>
      </c>
      <c r="L308">
        <f>SUMPRODUCT((MONTH(CHOOSE({1,2,3,4},TTSSKĐ!U308,TTSSKĐ!AA308,TTSSKĐ!AG308,TTSSKĐ!AM308))=12)*(CHOOSE({1,2,3,4},TTSSKĐ!X308,TTSSKĐ!AD308,TTSSKĐ!AJ308,TTSSKĐ!AP308)))</f>
        <v>0</v>
      </c>
    </row>
    <row r="309" spans="1:12">
      <c r="A309">
        <f>SUMPRODUCT((MONTH(CHOOSE({1,2,3,4},TTSSKĐ!U309,TTSSKĐ!AA309,TTSSKĐ!AG309,TTSSKĐ!AM309))=1)*(CHOOSE({1,2,3,4},TTSSKĐ!X309,TTSSKĐ!AD309,TTSSKĐ!AJ309,TTSSKĐ!AP309)))</f>
        <v>0</v>
      </c>
      <c r="B309">
        <f>SUMPRODUCT((MONTH(CHOOSE({1,2,3,4},TTSSKĐ!U309,TTSSKĐ!AA309,TTSSKĐ!AG309,TTSSKĐ!AM309))=2)*(CHOOSE({1,2,3,4},TTSSKĐ!X309,TTSSKĐ!AD309,TTSSKĐ!AJ309,TTSSKĐ!AP309)))</f>
        <v>0</v>
      </c>
      <c r="C309">
        <f>SUMPRODUCT((MONTH(CHOOSE({1,2,3,4},TTSSKĐ!U309,TTSSKĐ!AA309,TTSSKĐ!AG309,TTSSKĐ!AM309))=3)*(CHOOSE({1,2,3,4},TTSSKĐ!X309,TTSSKĐ!AD309,TTSSKĐ!AJ309,TTSSKĐ!AP309)))</f>
        <v>0</v>
      </c>
      <c r="D309">
        <f>SUMPRODUCT((MONTH(CHOOSE({1,2,3,4},TTSSKĐ!U309,TTSSKĐ!AA309,TTSSKĐ!AG309,TTSSKĐ!AM309))=4)*(CHOOSE({1,2,3,4},TTSSKĐ!X309,TTSSKĐ!AD309,TTSSKĐ!AJ309,TTSSKĐ!AP309)))</f>
        <v>0</v>
      </c>
      <c r="E309">
        <f>SUMPRODUCT((MONTH(CHOOSE({1,2,3,4},TTSSKĐ!U309,TTSSKĐ!AA309,TTSSKĐ!AG309,TTSSKĐ!AM309))=5)*(CHOOSE({1,2,3,4},TTSSKĐ!X309,TTSSKĐ!AD309,TTSSKĐ!AJ309,TTSSKĐ!AP309)))</f>
        <v>0</v>
      </c>
      <c r="F309">
        <f>SUMPRODUCT((MONTH(CHOOSE({1,2,3,4},TTSSKĐ!U309,TTSSKĐ!AA309,TTSSKĐ!AG309,TTSSKĐ!AM309))=6)*(CHOOSE({1,2,3,4},TTSSKĐ!X309,TTSSKĐ!AD309,TTSSKĐ!AJ309,TTSSKĐ!AP309)))</f>
        <v>0</v>
      </c>
      <c r="G309">
        <f>SUMPRODUCT((MONTH(CHOOSE({1,2,3,4},TTSSKĐ!U309,TTSSKĐ!AA309,TTSSKĐ!AG309,TTSSKĐ!AM309))=7)*(CHOOSE({1,2,3,4},TTSSKĐ!X309,TTSSKĐ!AD309,TTSSKĐ!AJ309,TTSSKĐ!AP309)))</f>
        <v>0</v>
      </c>
      <c r="H309">
        <f>SUMPRODUCT((MONTH(CHOOSE({1,2,3,4},TTSSKĐ!U309,TTSSKĐ!AA309,TTSSKĐ!AG309,TTSSKĐ!AM309))=8)*(CHOOSE({1,2,3,4},TTSSKĐ!X309,TTSSKĐ!AD309,TTSSKĐ!AJ309,TTSSKĐ!AP309)))</f>
        <v>0</v>
      </c>
      <c r="I309">
        <f>SUMPRODUCT((MONTH(CHOOSE({1,2,3,4},TTSSKĐ!U309,TTSSKĐ!AA309,TTSSKĐ!AG309,TTSSKĐ!AM309))=9)*(CHOOSE({1,2,3,4},TTSSKĐ!X309,TTSSKĐ!AD309,TTSSKĐ!AJ309,TTSSKĐ!AP309)))</f>
        <v>0</v>
      </c>
      <c r="J309">
        <f>SUMPRODUCT((MONTH(CHOOSE({1,2,3,4},TTSSKĐ!U309,TTSSKĐ!AA309,TTSSKĐ!AG309,TTSSKĐ!AM309))=10)*(CHOOSE({1,2,3,4},TTSSKĐ!X309,TTSSKĐ!AD309,TTSSKĐ!AJ309,TTSSKĐ!AP309)))</f>
        <v>0</v>
      </c>
      <c r="K309">
        <f>SUMPRODUCT((MONTH(CHOOSE({1,2,3,4},TTSSKĐ!U309,TTSSKĐ!AA309,TTSSKĐ!AG309,TTSSKĐ!AM309))=11)*(CHOOSE({1,2,3,4},TTSSKĐ!X309,TTSSKĐ!AD309,TTSSKĐ!AJ309,TTSSKĐ!AP309)))</f>
        <v>0</v>
      </c>
      <c r="L309">
        <f>SUMPRODUCT((MONTH(CHOOSE({1,2,3,4},TTSSKĐ!U309,TTSSKĐ!AA309,TTSSKĐ!AG309,TTSSKĐ!AM309))=12)*(CHOOSE({1,2,3,4},TTSSKĐ!X309,TTSSKĐ!AD309,TTSSKĐ!AJ309,TTSSKĐ!AP309)))</f>
        <v>0</v>
      </c>
    </row>
    <row r="310" spans="1:12">
      <c r="A310">
        <f>SUMPRODUCT((MONTH(CHOOSE({1,2,3,4},TTSSKĐ!U310,TTSSKĐ!AA310,TTSSKĐ!AG310,TTSSKĐ!AM310))=1)*(CHOOSE({1,2,3,4},TTSSKĐ!X310,TTSSKĐ!AD310,TTSSKĐ!AJ310,TTSSKĐ!AP310)))</f>
        <v>0</v>
      </c>
      <c r="B310">
        <f>SUMPRODUCT((MONTH(CHOOSE({1,2,3,4},TTSSKĐ!U310,TTSSKĐ!AA310,TTSSKĐ!AG310,TTSSKĐ!AM310))=2)*(CHOOSE({1,2,3,4},TTSSKĐ!X310,TTSSKĐ!AD310,TTSSKĐ!AJ310,TTSSKĐ!AP310)))</f>
        <v>0</v>
      </c>
      <c r="C310">
        <f>SUMPRODUCT((MONTH(CHOOSE({1,2,3,4},TTSSKĐ!U310,TTSSKĐ!AA310,TTSSKĐ!AG310,TTSSKĐ!AM310))=3)*(CHOOSE({1,2,3,4},TTSSKĐ!X310,TTSSKĐ!AD310,TTSSKĐ!AJ310,TTSSKĐ!AP310)))</f>
        <v>0</v>
      </c>
      <c r="D310">
        <f>SUMPRODUCT((MONTH(CHOOSE({1,2,3,4},TTSSKĐ!U310,TTSSKĐ!AA310,TTSSKĐ!AG310,TTSSKĐ!AM310))=4)*(CHOOSE({1,2,3,4},TTSSKĐ!X310,TTSSKĐ!AD310,TTSSKĐ!AJ310,TTSSKĐ!AP310)))</f>
        <v>0</v>
      </c>
      <c r="E310">
        <f>SUMPRODUCT((MONTH(CHOOSE({1,2,3,4},TTSSKĐ!U310,TTSSKĐ!AA310,TTSSKĐ!AG310,TTSSKĐ!AM310))=5)*(CHOOSE({1,2,3,4},TTSSKĐ!X310,TTSSKĐ!AD310,TTSSKĐ!AJ310,TTSSKĐ!AP310)))</f>
        <v>0</v>
      </c>
      <c r="F310">
        <f>SUMPRODUCT((MONTH(CHOOSE({1,2,3,4},TTSSKĐ!U310,TTSSKĐ!AA310,TTSSKĐ!AG310,TTSSKĐ!AM310))=6)*(CHOOSE({1,2,3,4},TTSSKĐ!X310,TTSSKĐ!AD310,TTSSKĐ!AJ310,TTSSKĐ!AP310)))</f>
        <v>0</v>
      </c>
      <c r="G310">
        <f>SUMPRODUCT((MONTH(CHOOSE({1,2,3,4},TTSSKĐ!U310,TTSSKĐ!AA310,TTSSKĐ!AG310,TTSSKĐ!AM310))=7)*(CHOOSE({1,2,3,4},TTSSKĐ!X310,TTSSKĐ!AD310,TTSSKĐ!AJ310,TTSSKĐ!AP310)))</f>
        <v>0</v>
      </c>
      <c r="H310">
        <f>SUMPRODUCT((MONTH(CHOOSE({1,2,3,4},TTSSKĐ!U310,TTSSKĐ!AA310,TTSSKĐ!AG310,TTSSKĐ!AM310))=8)*(CHOOSE({1,2,3,4},TTSSKĐ!X310,TTSSKĐ!AD310,TTSSKĐ!AJ310,TTSSKĐ!AP310)))</f>
        <v>0</v>
      </c>
      <c r="I310">
        <f>SUMPRODUCT((MONTH(CHOOSE({1,2,3,4},TTSSKĐ!U310,TTSSKĐ!AA310,TTSSKĐ!AG310,TTSSKĐ!AM310))=9)*(CHOOSE({1,2,3,4},TTSSKĐ!X310,TTSSKĐ!AD310,TTSSKĐ!AJ310,TTSSKĐ!AP310)))</f>
        <v>0</v>
      </c>
      <c r="J310">
        <f>SUMPRODUCT((MONTH(CHOOSE({1,2,3,4},TTSSKĐ!U310,TTSSKĐ!AA310,TTSSKĐ!AG310,TTSSKĐ!AM310))=10)*(CHOOSE({1,2,3,4},TTSSKĐ!X310,TTSSKĐ!AD310,TTSSKĐ!AJ310,TTSSKĐ!AP310)))</f>
        <v>0</v>
      </c>
      <c r="K310">
        <f>SUMPRODUCT((MONTH(CHOOSE({1,2,3,4},TTSSKĐ!U310,TTSSKĐ!AA310,TTSSKĐ!AG310,TTSSKĐ!AM310))=11)*(CHOOSE({1,2,3,4},TTSSKĐ!X310,TTSSKĐ!AD310,TTSSKĐ!AJ310,TTSSKĐ!AP310)))</f>
        <v>0</v>
      </c>
      <c r="L310">
        <f>SUMPRODUCT((MONTH(CHOOSE({1,2,3,4},TTSSKĐ!U310,TTSSKĐ!AA310,TTSSKĐ!AG310,TTSSKĐ!AM310))=12)*(CHOOSE({1,2,3,4},TTSSKĐ!X310,TTSSKĐ!AD310,TTSSKĐ!AJ310,TTSSKĐ!AP310)))</f>
        <v>0</v>
      </c>
    </row>
    <row r="311" spans="1:12">
      <c r="A311">
        <f>SUMPRODUCT((MONTH(CHOOSE({1,2,3,4},TTSSKĐ!U311,TTSSKĐ!AA311,TTSSKĐ!AG311,TTSSKĐ!AM311))=1)*(CHOOSE({1,2,3,4},TTSSKĐ!X311,TTSSKĐ!AD311,TTSSKĐ!AJ311,TTSSKĐ!AP311)))</f>
        <v>0</v>
      </c>
      <c r="B311">
        <f>SUMPRODUCT((MONTH(CHOOSE({1,2,3,4},TTSSKĐ!U311,TTSSKĐ!AA311,TTSSKĐ!AG311,TTSSKĐ!AM311))=2)*(CHOOSE({1,2,3,4},TTSSKĐ!X311,TTSSKĐ!AD311,TTSSKĐ!AJ311,TTSSKĐ!AP311)))</f>
        <v>0</v>
      </c>
      <c r="C311">
        <f>SUMPRODUCT((MONTH(CHOOSE({1,2,3,4},TTSSKĐ!U311,TTSSKĐ!AA311,TTSSKĐ!AG311,TTSSKĐ!AM311))=3)*(CHOOSE({1,2,3,4},TTSSKĐ!X311,TTSSKĐ!AD311,TTSSKĐ!AJ311,TTSSKĐ!AP311)))</f>
        <v>0</v>
      </c>
      <c r="D311">
        <f>SUMPRODUCT((MONTH(CHOOSE({1,2,3,4},TTSSKĐ!U311,TTSSKĐ!AA311,TTSSKĐ!AG311,TTSSKĐ!AM311))=4)*(CHOOSE({1,2,3,4},TTSSKĐ!X311,TTSSKĐ!AD311,TTSSKĐ!AJ311,TTSSKĐ!AP311)))</f>
        <v>0</v>
      </c>
      <c r="E311">
        <f>SUMPRODUCT((MONTH(CHOOSE({1,2,3,4},TTSSKĐ!U311,TTSSKĐ!AA311,TTSSKĐ!AG311,TTSSKĐ!AM311))=5)*(CHOOSE({1,2,3,4},TTSSKĐ!X311,TTSSKĐ!AD311,TTSSKĐ!AJ311,TTSSKĐ!AP311)))</f>
        <v>0</v>
      </c>
      <c r="F311">
        <f>SUMPRODUCT((MONTH(CHOOSE({1,2,3,4},TTSSKĐ!U311,TTSSKĐ!AA311,TTSSKĐ!AG311,TTSSKĐ!AM311))=6)*(CHOOSE({1,2,3,4},TTSSKĐ!X311,TTSSKĐ!AD311,TTSSKĐ!AJ311,TTSSKĐ!AP311)))</f>
        <v>0</v>
      </c>
      <c r="G311">
        <f>SUMPRODUCT((MONTH(CHOOSE({1,2,3,4},TTSSKĐ!U311,TTSSKĐ!AA311,TTSSKĐ!AG311,TTSSKĐ!AM311))=7)*(CHOOSE({1,2,3,4},TTSSKĐ!X311,TTSSKĐ!AD311,TTSSKĐ!AJ311,TTSSKĐ!AP311)))</f>
        <v>0</v>
      </c>
      <c r="H311">
        <f>SUMPRODUCT((MONTH(CHOOSE({1,2,3,4},TTSSKĐ!U311,TTSSKĐ!AA311,TTSSKĐ!AG311,TTSSKĐ!AM311))=8)*(CHOOSE({1,2,3,4},TTSSKĐ!X311,TTSSKĐ!AD311,TTSSKĐ!AJ311,TTSSKĐ!AP311)))</f>
        <v>0</v>
      </c>
      <c r="I311">
        <f>SUMPRODUCT((MONTH(CHOOSE({1,2,3,4},TTSSKĐ!U311,TTSSKĐ!AA311,TTSSKĐ!AG311,TTSSKĐ!AM311))=9)*(CHOOSE({1,2,3,4},TTSSKĐ!X311,TTSSKĐ!AD311,TTSSKĐ!AJ311,TTSSKĐ!AP311)))</f>
        <v>0</v>
      </c>
      <c r="J311">
        <f>SUMPRODUCT((MONTH(CHOOSE({1,2,3,4},TTSSKĐ!U311,TTSSKĐ!AA311,TTSSKĐ!AG311,TTSSKĐ!AM311))=10)*(CHOOSE({1,2,3,4},TTSSKĐ!X311,TTSSKĐ!AD311,TTSSKĐ!AJ311,TTSSKĐ!AP311)))</f>
        <v>0</v>
      </c>
      <c r="K311">
        <f>SUMPRODUCT((MONTH(CHOOSE({1,2,3,4},TTSSKĐ!U311,TTSSKĐ!AA311,TTSSKĐ!AG311,TTSSKĐ!AM311))=11)*(CHOOSE({1,2,3,4},TTSSKĐ!X311,TTSSKĐ!AD311,TTSSKĐ!AJ311,TTSSKĐ!AP311)))</f>
        <v>0</v>
      </c>
      <c r="L311">
        <f>SUMPRODUCT((MONTH(CHOOSE({1,2,3,4},TTSSKĐ!U311,TTSSKĐ!AA311,TTSSKĐ!AG311,TTSSKĐ!AM311))=12)*(CHOOSE({1,2,3,4},TTSSKĐ!X311,TTSSKĐ!AD311,TTSSKĐ!AJ311,TTSSKĐ!AP311)))</f>
        <v>0</v>
      </c>
    </row>
    <row r="312" spans="1:12">
      <c r="A312">
        <f>SUMPRODUCT((MONTH(CHOOSE({1,2,3,4},TTSSKĐ!U312,TTSSKĐ!AA312,TTSSKĐ!AG312,TTSSKĐ!AM312))=1)*(CHOOSE({1,2,3,4},TTSSKĐ!X312,TTSSKĐ!AD312,TTSSKĐ!AJ312,TTSSKĐ!AP312)))</f>
        <v>0</v>
      </c>
      <c r="B312">
        <f>SUMPRODUCT((MONTH(CHOOSE({1,2,3,4},TTSSKĐ!U312,TTSSKĐ!AA312,TTSSKĐ!AG312,TTSSKĐ!AM312))=2)*(CHOOSE({1,2,3,4},TTSSKĐ!X312,TTSSKĐ!AD312,TTSSKĐ!AJ312,TTSSKĐ!AP312)))</f>
        <v>0</v>
      </c>
      <c r="C312">
        <f>SUMPRODUCT((MONTH(CHOOSE({1,2,3,4},TTSSKĐ!U312,TTSSKĐ!AA312,TTSSKĐ!AG312,TTSSKĐ!AM312))=3)*(CHOOSE({1,2,3,4},TTSSKĐ!X312,TTSSKĐ!AD312,TTSSKĐ!AJ312,TTSSKĐ!AP312)))</f>
        <v>0</v>
      </c>
      <c r="D312">
        <f>SUMPRODUCT((MONTH(CHOOSE({1,2,3,4},TTSSKĐ!U312,TTSSKĐ!AA312,TTSSKĐ!AG312,TTSSKĐ!AM312))=4)*(CHOOSE({1,2,3,4},TTSSKĐ!X312,TTSSKĐ!AD312,TTSSKĐ!AJ312,TTSSKĐ!AP312)))</f>
        <v>0</v>
      </c>
      <c r="E312">
        <f>SUMPRODUCT((MONTH(CHOOSE({1,2,3,4},TTSSKĐ!U312,TTSSKĐ!AA312,TTSSKĐ!AG312,TTSSKĐ!AM312))=5)*(CHOOSE({1,2,3,4},TTSSKĐ!X312,TTSSKĐ!AD312,TTSSKĐ!AJ312,TTSSKĐ!AP312)))</f>
        <v>0</v>
      </c>
      <c r="F312">
        <f>SUMPRODUCT((MONTH(CHOOSE({1,2,3,4},TTSSKĐ!U312,TTSSKĐ!AA312,TTSSKĐ!AG312,TTSSKĐ!AM312))=6)*(CHOOSE({1,2,3,4},TTSSKĐ!X312,TTSSKĐ!AD312,TTSSKĐ!AJ312,TTSSKĐ!AP312)))</f>
        <v>0</v>
      </c>
      <c r="G312">
        <f>SUMPRODUCT((MONTH(CHOOSE({1,2,3,4},TTSSKĐ!U312,TTSSKĐ!AA312,TTSSKĐ!AG312,TTSSKĐ!AM312))=7)*(CHOOSE({1,2,3,4},TTSSKĐ!X312,TTSSKĐ!AD312,TTSSKĐ!AJ312,TTSSKĐ!AP312)))</f>
        <v>0</v>
      </c>
      <c r="H312">
        <f>SUMPRODUCT((MONTH(CHOOSE({1,2,3,4},TTSSKĐ!U312,TTSSKĐ!AA312,TTSSKĐ!AG312,TTSSKĐ!AM312))=8)*(CHOOSE({1,2,3,4},TTSSKĐ!X312,TTSSKĐ!AD312,TTSSKĐ!AJ312,TTSSKĐ!AP312)))</f>
        <v>0</v>
      </c>
      <c r="I312">
        <f>SUMPRODUCT((MONTH(CHOOSE({1,2,3,4},TTSSKĐ!U312,TTSSKĐ!AA312,TTSSKĐ!AG312,TTSSKĐ!AM312))=9)*(CHOOSE({1,2,3,4},TTSSKĐ!X312,TTSSKĐ!AD312,TTSSKĐ!AJ312,TTSSKĐ!AP312)))</f>
        <v>0</v>
      </c>
      <c r="J312">
        <f>SUMPRODUCT((MONTH(CHOOSE({1,2,3,4},TTSSKĐ!U312,TTSSKĐ!AA312,TTSSKĐ!AG312,TTSSKĐ!AM312))=10)*(CHOOSE({1,2,3,4},TTSSKĐ!X312,TTSSKĐ!AD312,TTSSKĐ!AJ312,TTSSKĐ!AP312)))</f>
        <v>0</v>
      </c>
      <c r="K312">
        <f>SUMPRODUCT((MONTH(CHOOSE({1,2,3,4},TTSSKĐ!U312,TTSSKĐ!AA312,TTSSKĐ!AG312,TTSSKĐ!AM312))=11)*(CHOOSE({1,2,3,4},TTSSKĐ!X312,TTSSKĐ!AD312,TTSSKĐ!AJ312,TTSSKĐ!AP312)))</f>
        <v>0</v>
      </c>
      <c r="L312">
        <f>SUMPRODUCT((MONTH(CHOOSE({1,2,3,4},TTSSKĐ!U312,TTSSKĐ!AA312,TTSSKĐ!AG312,TTSSKĐ!AM312))=12)*(CHOOSE({1,2,3,4},TTSSKĐ!X312,TTSSKĐ!AD312,TTSSKĐ!AJ312,TTSSKĐ!AP312)))</f>
        <v>0</v>
      </c>
    </row>
    <row r="313" spans="1:12">
      <c r="A313">
        <f>SUMPRODUCT((MONTH(CHOOSE({1,2,3,4},TTSSKĐ!U313,TTSSKĐ!AA313,TTSSKĐ!AG313,TTSSKĐ!AM313))=1)*(CHOOSE({1,2,3,4},TTSSKĐ!X313,TTSSKĐ!AD313,TTSSKĐ!AJ313,TTSSKĐ!AP313)))</f>
        <v>0</v>
      </c>
      <c r="B313">
        <f>SUMPRODUCT((MONTH(CHOOSE({1,2,3,4},TTSSKĐ!U313,TTSSKĐ!AA313,TTSSKĐ!AG313,TTSSKĐ!AM313))=2)*(CHOOSE({1,2,3,4},TTSSKĐ!X313,TTSSKĐ!AD313,TTSSKĐ!AJ313,TTSSKĐ!AP313)))</f>
        <v>0</v>
      </c>
      <c r="C313">
        <f>SUMPRODUCT((MONTH(CHOOSE({1,2,3,4},TTSSKĐ!U313,TTSSKĐ!AA313,TTSSKĐ!AG313,TTSSKĐ!AM313))=3)*(CHOOSE({1,2,3,4},TTSSKĐ!X313,TTSSKĐ!AD313,TTSSKĐ!AJ313,TTSSKĐ!AP313)))</f>
        <v>0</v>
      </c>
      <c r="D313">
        <f>SUMPRODUCT((MONTH(CHOOSE({1,2,3,4},TTSSKĐ!U313,TTSSKĐ!AA313,TTSSKĐ!AG313,TTSSKĐ!AM313))=4)*(CHOOSE({1,2,3,4},TTSSKĐ!X313,TTSSKĐ!AD313,TTSSKĐ!AJ313,TTSSKĐ!AP313)))</f>
        <v>0</v>
      </c>
      <c r="E313">
        <f>SUMPRODUCT((MONTH(CHOOSE({1,2,3,4},TTSSKĐ!U313,TTSSKĐ!AA313,TTSSKĐ!AG313,TTSSKĐ!AM313))=5)*(CHOOSE({1,2,3,4},TTSSKĐ!X313,TTSSKĐ!AD313,TTSSKĐ!AJ313,TTSSKĐ!AP313)))</f>
        <v>0</v>
      </c>
      <c r="F313">
        <f>SUMPRODUCT((MONTH(CHOOSE({1,2,3,4},TTSSKĐ!U313,TTSSKĐ!AA313,TTSSKĐ!AG313,TTSSKĐ!AM313))=6)*(CHOOSE({1,2,3,4},TTSSKĐ!X313,TTSSKĐ!AD313,TTSSKĐ!AJ313,TTSSKĐ!AP313)))</f>
        <v>0</v>
      </c>
      <c r="G313">
        <f>SUMPRODUCT((MONTH(CHOOSE({1,2,3,4},TTSSKĐ!U313,TTSSKĐ!AA313,TTSSKĐ!AG313,TTSSKĐ!AM313))=7)*(CHOOSE({1,2,3,4},TTSSKĐ!X313,TTSSKĐ!AD313,TTSSKĐ!AJ313,TTSSKĐ!AP313)))</f>
        <v>0</v>
      </c>
      <c r="H313">
        <f>SUMPRODUCT((MONTH(CHOOSE({1,2,3,4},TTSSKĐ!U313,TTSSKĐ!AA313,TTSSKĐ!AG313,TTSSKĐ!AM313))=8)*(CHOOSE({1,2,3,4},TTSSKĐ!X313,TTSSKĐ!AD313,TTSSKĐ!AJ313,TTSSKĐ!AP313)))</f>
        <v>0</v>
      </c>
      <c r="I313">
        <f>SUMPRODUCT((MONTH(CHOOSE({1,2,3,4},TTSSKĐ!U313,TTSSKĐ!AA313,TTSSKĐ!AG313,TTSSKĐ!AM313))=9)*(CHOOSE({1,2,3,4},TTSSKĐ!X313,TTSSKĐ!AD313,TTSSKĐ!AJ313,TTSSKĐ!AP313)))</f>
        <v>0</v>
      </c>
      <c r="J313">
        <f>SUMPRODUCT((MONTH(CHOOSE({1,2,3,4},TTSSKĐ!U313,TTSSKĐ!AA313,TTSSKĐ!AG313,TTSSKĐ!AM313))=10)*(CHOOSE({1,2,3,4},TTSSKĐ!X313,TTSSKĐ!AD313,TTSSKĐ!AJ313,TTSSKĐ!AP313)))</f>
        <v>0</v>
      </c>
      <c r="K313">
        <f>SUMPRODUCT((MONTH(CHOOSE({1,2,3,4},TTSSKĐ!U313,TTSSKĐ!AA313,TTSSKĐ!AG313,TTSSKĐ!AM313))=11)*(CHOOSE({1,2,3,4},TTSSKĐ!X313,TTSSKĐ!AD313,TTSSKĐ!AJ313,TTSSKĐ!AP313)))</f>
        <v>0</v>
      </c>
      <c r="L313">
        <f>SUMPRODUCT((MONTH(CHOOSE({1,2,3,4},TTSSKĐ!U313,TTSSKĐ!AA313,TTSSKĐ!AG313,TTSSKĐ!AM313))=12)*(CHOOSE({1,2,3,4},TTSSKĐ!X313,TTSSKĐ!AD313,TTSSKĐ!AJ313,TTSSKĐ!AP313)))</f>
        <v>0</v>
      </c>
    </row>
    <row r="314" spans="1:12">
      <c r="A314">
        <f>SUMPRODUCT((MONTH(CHOOSE({1,2,3,4},TTSSKĐ!U314,TTSSKĐ!AA314,TTSSKĐ!AG314,TTSSKĐ!AM314))=1)*(CHOOSE({1,2,3,4},TTSSKĐ!X314,TTSSKĐ!AD314,TTSSKĐ!AJ314,TTSSKĐ!AP314)))</f>
        <v>0</v>
      </c>
      <c r="B314">
        <f>SUMPRODUCT((MONTH(CHOOSE({1,2,3,4},TTSSKĐ!U314,TTSSKĐ!AA314,TTSSKĐ!AG314,TTSSKĐ!AM314))=2)*(CHOOSE({1,2,3,4},TTSSKĐ!X314,TTSSKĐ!AD314,TTSSKĐ!AJ314,TTSSKĐ!AP314)))</f>
        <v>0</v>
      </c>
      <c r="C314">
        <f>SUMPRODUCT((MONTH(CHOOSE({1,2,3,4},TTSSKĐ!U314,TTSSKĐ!AA314,TTSSKĐ!AG314,TTSSKĐ!AM314))=3)*(CHOOSE({1,2,3,4},TTSSKĐ!X314,TTSSKĐ!AD314,TTSSKĐ!AJ314,TTSSKĐ!AP314)))</f>
        <v>0</v>
      </c>
      <c r="D314">
        <f>SUMPRODUCT((MONTH(CHOOSE({1,2,3,4},TTSSKĐ!U314,TTSSKĐ!AA314,TTSSKĐ!AG314,TTSSKĐ!AM314))=4)*(CHOOSE({1,2,3,4},TTSSKĐ!X314,TTSSKĐ!AD314,TTSSKĐ!AJ314,TTSSKĐ!AP314)))</f>
        <v>0</v>
      </c>
      <c r="E314">
        <f>SUMPRODUCT((MONTH(CHOOSE({1,2,3,4},TTSSKĐ!U314,TTSSKĐ!AA314,TTSSKĐ!AG314,TTSSKĐ!AM314))=5)*(CHOOSE({1,2,3,4},TTSSKĐ!X314,TTSSKĐ!AD314,TTSSKĐ!AJ314,TTSSKĐ!AP314)))</f>
        <v>0</v>
      </c>
      <c r="F314">
        <f>SUMPRODUCT((MONTH(CHOOSE({1,2,3,4},TTSSKĐ!U314,TTSSKĐ!AA314,TTSSKĐ!AG314,TTSSKĐ!AM314))=6)*(CHOOSE({1,2,3,4},TTSSKĐ!X314,TTSSKĐ!AD314,TTSSKĐ!AJ314,TTSSKĐ!AP314)))</f>
        <v>0</v>
      </c>
      <c r="G314">
        <f>SUMPRODUCT((MONTH(CHOOSE({1,2,3,4},TTSSKĐ!U314,TTSSKĐ!AA314,TTSSKĐ!AG314,TTSSKĐ!AM314))=7)*(CHOOSE({1,2,3,4},TTSSKĐ!X314,TTSSKĐ!AD314,TTSSKĐ!AJ314,TTSSKĐ!AP314)))</f>
        <v>0</v>
      </c>
      <c r="H314">
        <f>SUMPRODUCT((MONTH(CHOOSE({1,2,3,4},TTSSKĐ!U314,TTSSKĐ!AA314,TTSSKĐ!AG314,TTSSKĐ!AM314))=8)*(CHOOSE({1,2,3,4},TTSSKĐ!X314,TTSSKĐ!AD314,TTSSKĐ!AJ314,TTSSKĐ!AP314)))</f>
        <v>0</v>
      </c>
      <c r="I314">
        <f>SUMPRODUCT((MONTH(CHOOSE({1,2,3,4},TTSSKĐ!U314,TTSSKĐ!AA314,TTSSKĐ!AG314,TTSSKĐ!AM314))=9)*(CHOOSE({1,2,3,4},TTSSKĐ!X314,TTSSKĐ!AD314,TTSSKĐ!AJ314,TTSSKĐ!AP314)))</f>
        <v>0</v>
      </c>
      <c r="J314">
        <f>SUMPRODUCT((MONTH(CHOOSE({1,2,3,4},TTSSKĐ!U314,TTSSKĐ!AA314,TTSSKĐ!AG314,TTSSKĐ!AM314))=10)*(CHOOSE({1,2,3,4},TTSSKĐ!X314,TTSSKĐ!AD314,TTSSKĐ!AJ314,TTSSKĐ!AP314)))</f>
        <v>0</v>
      </c>
      <c r="K314">
        <f>SUMPRODUCT((MONTH(CHOOSE({1,2,3,4},TTSSKĐ!U314,TTSSKĐ!AA314,TTSSKĐ!AG314,TTSSKĐ!AM314))=11)*(CHOOSE({1,2,3,4},TTSSKĐ!X314,TTSSKĐ!AD314,TTSSKĐ!AJ314,TTSSKĐ!AP314)))</f>
        <v>0</v>
      </c>
      <c r="L314">
        <f>SUMPRODUCT((MONTH(CHOOSE({1,2,3,4},TTSSKĐ!U314,TTSSKĐ!AA314,TTSSKĐ!AG314,TTSSKĐ!AM314))=12)*(CHOOSE({1,2,3,4},TTSSKĐ!X314,TTSSKĐ!AD314,TTSSKĐ!AJ314,TTSSKĐ!AP314)))</f>
        <v>0</v>
      </c>
    </row>
    <row r="315" spans="1:12">
      <c r="A315">
        <f>SUMPRODUCT((MONTH(CHOOSE({1,2,3,4},TTSSKĐ!U315,TTSSKĐ!AA315,TTSSKĐ!AG315,TTSSKĐ!AM315))=1)*(CHOOSE({1,2,3,4},TTSSKĐ!X315,TTSSKĐ!AD315,TTSSKĐ!AJ315,TTSSKĐ!AP315)))</f>
        <v>0</v>
      </c>
      <c r="B315">
        <f>SUMPRODUCT((MONTH(CHOOSE({1,2,3,4},TTSSKĐ!U315,TTSSKĐ!AA315,TTSSKĐ!AG315,TTSSKĐ!AM315))=2)*(CHOOSE({1,2,3,4},TTSSKĐ!X315,TTSSKĐ!AD315,TTSSKĐ!AJ315,TTSSKĐ!AP315)))</f>
        <v>0</v>
      </c>
      <c r="C315">
        <f>SUMPRODUCT((MONTH(CHOOSE({1,2,3,4},TTSSKĐ!U315,TTSSKĐ!AA315,TTSSKĐ!AG315,TTSSKĐ!AM315))=3)*(CHOOSE({1,2,3,4},TTSSKĐ!X315,TTSSKĐ!AD315,TTSSKĐ!AJ315,TTSSKĐ!AP315)))</f>
        <v>0</v>
      </c>
      <c r="D315">
        <f>SUMPRODUCT((MONTH(CHOOSE({1,2,3,4},TTSSKĐ!U315,TTSSKĐ!AA315,TTSSKĐ!AG315,TTSSKĐ!AM315))=4)*(CHOOSE({1,2,3,4},TTSSKĐ!X315,TTSSKĐ!AD315,TTSSKĐ!AJ315,TTSSKĐ!AP315)))</f>
        <v>0</v>
      </c>
      <c r="E315">
        <f>SUMPRODUCT((MONTH(CHOOSE({1,2,3,4},TTSSKĐ!U315,TTSSKĐ!AA315,TTSSKĐ!AG315,TTSSKĐ!AM315))=5)*(CHOOSE({1,2,3,4},TTSSKĐ!X315,TTSSKĐ!AD315,TTSSKĐ!AJ315,TTSSKĐ!AP315)))</f>
        <v>0</v>
      </c>
      <c r="F315">
        <f>SUMPRODUCT((MONTH(CHOOSE({1,2,3,4},TTSSKĐ!U315,TTSSKĐ!AA315,TTSSKĐ!AG315,TTSSKĐ!AM315))=6)*(CHOOSE({1,2,3,4},TTSSKĐ!X315,TTSSKĐ!AD315,TTSSKĐ!AJ315,TTSSKĐ!AP315)))</f>
        <v>0</v>
      </c>
      <c r="G315">
        <f>SUMPRODUCT((MONTH(CHOOSE({1,2,3,4},TTSSKĐ!U315,TTSSKĐ!AA315,TTSSKĐ!AG315,TTSSKĐ!AM315))=7)*(CHOOSE({1,2,3,4},TTSSKĐ!X315,TTSSKĐ!AD315,TTSSKĐ!AJ315,TTSSKĐ!AP315)))</f>
        <v>0</v>
      </c>
      <c r="H315">
        <f>SUMPRODUCT((MONTH(CHOOSE({1,2,3,4},TTSSKĐ!U315,TTSSKĐ!AA315,TTSSKĐ!AG315,TTSSKĐ!AM315))=8)*(CHOOSE({1,2,3,4},TTSSKĐ!X315,TTSSKĐ!AD315,TTSSKĐ!AJ315,TTSSKĐ!AP315)))</f>
        <v>0</v>
      </c>
      <c r="I315">
        <f>SUMPRODUCT((MONTH(CHOOSE({1,2,3,4},TTSSKĐ!U315,TTSSKĐ!AA315,TTSSKĐ!AG315,TTSSKĐ!AM315))=9)*(CHOOSE({1,2,3,4},TTSSKĐ!X315,TTSSKĐ!AD315,TTSSKĐ!AJ315,TTSSKĐ!AP315)))</f>
        <v>0</v>
      </c>
      <c r="J315">
        <f>SUMPRODUCT((MONTH(CHOOSE({1,2,3,4},TTSSKĐ!U315,TTSSKĐ!AA315,TTSSKĐ!AG315,TTSSKĐ!AM315))=10)*(CHOOSE({1,2,3,4},TTSSKĐ!X315,TTSSKĐ!AD315,TTSSKĐ!AJ315,TTSSKĐ!AP315)))</f>
        <v>0</v>
      </c>
      <c r="K315">
        <f>SUMPRODUCT((MONTH(CHOOSE({1,2,3,4},TTSSKĐ!U315,TTSSKĐ!AA315,TTSSKĐ!AG315,TTSSKĐ!AM315))=11)*(CHOOSE({1,2,3,4},TTSSKĐ!X315,TTSSKĐ!AD315,TTSSKĐ!AJ315,TTSSKĐ!AP315)))</f>
        <v>0</v>
      </c>
      <c r="L315">
        <f>SUMPRODUCT((MONTH(CHOOSE({1,2,3,4},TTSSKĐ!U315,TTSSKĐ!AA315,TTSSKĐ!AG315,TTSSKĐ!AM315))=12)*(CHOOSE({1,2,3,4},TTSSKĐ!X315,TTSSKĐ!AD315,TTSSKĐ!AJ315,TTSSKĐ!AP315)))</f>
        <v>0</v>
      </c>
    </row>
    <row r="316" spans="1:12">
      <c r="A316">
        <f>SUMPRODUCT((MONTH(CHOOSE({1,2,3,4},TTSSKĐ!U316,TTSSKĐ!AA316,TTSSKĐ!AG316,TTSSKĐ!AM316))=1)*(CHOOSE({1,2,3,4},TTSSKĐ!X316,TTSSKĐ!AD316,TTSSKĐ!AJ316,TTSSKĐ!AP316)))</f>
        <v>0</v>
      </c>
      <c r="B316">
        <f>SUMPRODUCT((MONTH(CHOOSE({1,2,3,4},TTSSKĐ!U316,TTSSKĐ!AA316,TTSSKĐ!AG316,TTSSKĐ!AM316))=2)*(CHOOSE({1,2,3,4},TTSSKĐ!X316,TTSSKĐ!AD316,TTSSKĐ!AJ316,TTSSKĐ!AP316)))</f>
        <v>0</v>
      </c>
      <c r="C316">
        <f>SUMPRODUCT((MONTH(CHOOSE({1,2,3,4},TTSSKĐ!U316,TTSSKĐ!AA316,TTSSKĐ!AG316,TTSSKĐ!AM316))=3)*(CHOOSE({1,2,3,4},TTSSKĐ!X316,TTSSKĐ!AD316,TTSSKĐ!AJ316,TTSSKĐ!AP316)))</f>
        <v>0</v>
      </c>
      <c r="D316">
        <f>SUMPRODUCT((MONTH(CHOOSE({1,2,3,4},TTSSKĐ!U316,TTSSKĐ!AA316,TTSSKĐ!AG316,TTSSKĐ!AM316))=4)*(CHOOSE({1,2,3,4},TTSSKĐ!X316,TTSSKĐ!AD316,TTSSKĐ!AJ316,TTSSKĐ!AP316)))</f>
        <v>0</v>
      </c>
      <c r="E316">
        <f>SUMPRODUCT((MONTH(CHOOSE({1,2,3,4},TTSSKĐ!U316,TTSSKĐ!AA316,TTSSKĐ!AG316,TTSSKĐ!AM316))=5)*(CHOOSE({1,2,3,4},TTSSKĐ!X316,TTSSKĐ!AD316,TTSSKĐ!AJ316,TTSSKĐ!AP316)))</f>
        <v>0</v>
      </c>
      <c r="F316">
        <f>SUMPRODUCT((MONTH(CHOOSE({1,2,3,4},TTSSKĐ!U316,TTSSKĐ!AA316,TTSSKĐ!AG316,TTSSKĐ!AM316))=6)*(CHOOSE({1,2,3,4},TTSSKĐ!X316,TTSSKĐ!AD316,TTSSKĐ!AJ316,TTSSKĐ!AP316)))</f>
        <v>0</v>
      </c>
      <c r="G316">
        <f>SUMPRODUCT((MONTH(CHOOSE({1,2,3,4},TTSSKĐ!U316,TTSSKĐ!AA316,TTSSKĐ!AG316,TTSSKĐ!AM316))=7)*(CHOOSE({1,2,3,4},TTSSKĐ!X316,TTSSKĐ!AD316,TTSSKĐ!AJ316,TTSSKĐ!AP316)))</f>
        <v>0</v>
      </c>
      <c r="H316">
        <f>SUMPRODUCT((MONTH(CHOOSE({1,2,3,4},TTSSKĐ!U316,TTSSKĐ!AA316,TTSSKĐ!AG316,TTSSKĐ!AM316))=8)*(CHOOSE({1,2,3,4},TTSSKĐ!X316,TTSSKĐ!AD316,TTSSKĐ!AJ316,TTSSKĐ!AP316)))</f>
        <v>0</v>
      </c>
      <c r="I316">
        <f>SUMPRODUCT((MONTH(CHOOSE({1,2,3,4},TTSSKĐ!U316,TTSSKĐ!AA316,TTSSKĐ!AG316,TTSSKĐ!AM316))=9)*(CHOOSE({1,2,3,4},TTSSKĐ!X316,TTSSKĐ!AD316,TTSSKĐ!AJ316,TTSSKĐ!AP316)))</f>
        <v>0</v>
      </c>
      <c r="J316">
        <f>SUMPRODUCT((MONTH(CHOOSE({1,2,3,4},TTSSKĐ!U316,TTSSKĐ!AA316,TTSSKĐ!AG316,TTSSKĐ!AM316))=10)*(CHOOSE({1,2,3,4},TTSSKĐ!X316,TTSSKĐ!AD316,TTSSKĐ!AJ316,TTSSKĐ!AP316)))</f>
        <v>0</v>
      </c>
      <c r="K316">
        <f>SUMPRODUCT((MONTH(CHOOSE({1,2,3,4},TTSSKĐ!U316,TTSSKĐ!AA316,TTSSKĐ!AG316,TTSSKĐ!AM316))=11)*(CHOOSE({1,2,3,4},TTSSKĐ!X316,TTSSKĐ!AD316,TTSSKĐ!AJ316,TTSSKĐ!AP316)))</f>
        <v>0</v>
      </c>
      <c r="L316">
        <f>SUMPRODUCT((MONTH(CHOOSE({1,2,3,4},TTSSKĐ!U316,TTSSKĐ!AA316,TTSSKĐ!AG316,TTSSKĐ!AM316))=12)*(CHOOSE({1,2,3,4},TTSSKĐ!X316,TTSSKĐ!AD316,TTSSKĐ!AJ316,TTSSKĐ!AP316)))</f>
        <v>0</v>
      </c>
    </row>
    <row r="317" spans="1:12">
      <c r="A317">
        <f>SUMPRODUCT((MONTH(CHOOSE({1,2,3,4},TTSSKĐ!U317,TTSSKĐ!AA317,TTSSKĐ!AG317,TTSSKĐ!AM317))=1)*(CHOOSE({1,2,3,4},TTSSKĐ!X317,TTSSKĐ!AD317,TTSSKĐ!AJ317,TTSSKĐ!AP317)))</f>
        <v>0</v>
      </c>
      <c r="B317">
        <f>SUMPRODUCT((MONTH(CHOOSE({1,2,3,4},TTSSKĐ!U317,TTSSKĐ!AA317,TTSSKĐ!AG317,TTSSKĐ!AM317))=2)*(CHOOSE({1,2,3,4},TTSSKĐ!X317,TTSSKĐ!AD317,TTSSKĐ!AJ317,TTSSKĐ!AP317)))</f>
        <v>0</v>
      </c>
      <c r="C317">
        <f>SUMPRODUCT((MONTH(CHOOSE({1,2,3,4},TTSSKĐ!U317,TTSSKĐ!AA317,TTSSKĐ!AG317,TTSSKĐ!AM317))=3)*(CHOOSE({1,2,3,4},TTSSKĐ!X317,TTSSKĐ!AD317,TTSSKĐ!AJ317,TTSSKĐ!AP317)))</f>
        <v>0</v>
      </c>
      <c r="D317">
        <f>SUMPRODUCT((MONTH(CHOOSE({1,2,3,4},TTSSKĐ!U317,TTSSKĐ!AA317,TTSSKĐ!AG317,TTSSKĐ!AM317))=4)*(CHOOSE({1,2,3,4},TTSSKĐ!X317,TTSSKĐ!AD317,TTSSKĐ!AJ317,TTSSKĐ!AP317)))</f>
        <v>0</v>
      </c>
      <c r="E317">
        <f>SUMPRODUCT((MONTH(CHOOSE({1,2,3,4},TTSSKĐ!U317,TTSSKĐ!AA317,TTSSKĐ!AG317,TTSSKĐ!AM317))=5)*(CHOOSE({1,2,3,4},TTSSKĐ!X317,TTSSKĐ!AD317,TTSSKĐ!AJ317,TTSSKĐ!AP317)))</f>
        <v>0</v>
      </c>
      <c r="F317">
        <f>SUMPRODUCT((MONTH(CHOOSE({1,2,3,4},TTSSKĐ!U317,TTSSKĐ!AA317,TTSSKĐ!AG317,TTSSKĐ!AM317))=6)*(CHOOSE({1,2,3,4},TTSSKĐ!X317,TTSSKĐ!AD317,TTSSKĐ!AJ317,TTSSKĐ!AP317)))</f>
        <v>0</v>
      </c>
      <c r="G317">
        <f>SUMPRODUCT((MONTH(CHOOSE({1,2,3,4},TTSSKĐ!U317,TTSSKĐ!AA317,TTSSKĐ!AG317,TTSSKĐ!AM317))=7)*(CHOOSE({1,2,3,4},TTSSKĐ!X317,TTSSKĐ!AD317,TTSSKĐ!AJ317,TTSSKĐ!AP317)))</f>
        <v>0</v>
      </c>
      <c r="H317">
        <f>SUMPRODUCT((MONTH(CHOOSE({1,2,3,4},TTSSKĐ!U317,TTSSKĐ!AA317,TTSSKĐ!AG317,TTSSKĐ!AM317))=8)*(CHOOSE({1,2,3,4},TTSSKĐ!X317,TTSSKĐ!AD317,TTSSKĐ!AJ317,TTSSKĐ!AP317)))</f>
        <v>0</v>
      </c>
      <c r="I317">
        <f>SUMPRODUCT((MONTH(CHOOSE({1,2,3,4},TTSSKĐ!U317,TTSSKĐ!AA317,TTSSKĐ!AG317,TTSSKĐ!AM317))=9)*(CHOOSE({1,2,3,4},TTSSKĐ!X317,TTSSKĐ!AD317,TTSSKĐ!AJ317,TTSSKĐ!AP317)))</f>
        <v>0</v>
      </c>
      <c r="J317">
        <f>SUMPRODUCT((MONTH(CHOOSE({1,2,3,4},TTSSKĐ!U317,TTSSKĐ!AA317,TTSSKĐ!AG317,TTSSKĐ!AM317))=10)*(CHOOSE({1,2,3,4},TTSSKĐ!X317,TTSSKĐ!AD317,TTSSKĐ!AJ317,TTSSKĐ!AP317)))</f>
        <v>0</v>
      </c>
      <c r="K317">
        <f>SUMPRODUCT((MONTH(CHOOSE({1,2,3,4},TTSSKĐ!U317,TTSSKĐ!AA317,TTSSKĐ!AG317,TTSSKĐ!AM317))=11)*(CHOOSE({1,2,3,4},TTSSKĐ!X317,TTSSKĐ!AD317,TTSSKĐ!AJ317,TTSSKĐ!AP317)))</f>
        <v>0</v>
      </c>
      <c r="L317">
        <f>SUMPRODUCT((MONTH(CHOOSE({1,2,3,4},TTSSKĐ!U317,TTSSKĐ!AA317,TTSSKĐ!AG317,TTSSKĐ!AM317))=12)*(CHOOSE({1,2,3,4},TTSSKĐ!X317,TTSSKĐ!AD317,TTSSKĐ!AJ317,TTSSKĐ!AP317)))</f>
        <v>0</v>
      </c>
    </row>
    <row r="318" spans="1:12">
      <c r="A318">
        <f>SUMPRODUCT((MONTH(CHOOSE({1,2,3,4},TTSSKĐ!U318,TTSSKĐ!AA318,TTSSKĐ!AG318,TTSSKĐ!AM318))=1)*(CHOOSE({1,2,3,4},TTSSKĐ!X318,TTSSKĐ!AD318,TTSSKĐ!AJ318,TTSSKĐ!AP318)))</f>
        <v>0</v>
      </c>
      <c r="B318">
        <f>SUMPRODUCT((MONTH(CHOOSE({1,2,3,4},TTSSKĐ!U318,TTSSKĐ!AA318,TTSSKĐ!AG318,TTSSKĐ!AM318))=2)*(CHOOSE({1,2,3,4},TTSSKĐ!X318,TTSSKĐ!AD318,TTSSKĐ!AJ318,TTSSKĐ!AP318)))</f>
        <v>0</v>
      </c>
      <c r="C318">
        <f>SUMPRODUCT((MONTH(CHOOSE({1,2,3,4},TTSSKĐ!U318,TTSSKĐ!AA318,TTSSKĐ!AG318,TTSSKĐ!AM318))=3)*(CHOOSE({1,2,3,4},TTSSKĐ!X318,TTSSKĐ!AD318,TTSSKĐ!AJ318,TTSSKĐ!AP318)))</f>
        <v>0</v>
      </c>
      <c r="D318">
        <f>SUMPRODUCT((MONTH(CHOOSE({1,2,3,4},TTSSKĐ!U318,TTSSKĐ!AA318,TTSSKĐ!AG318,TTSSKĐ!AM318))=4)*(CHOOSE({1,2,3,4},TTSSKĐ!X318,TTSSKĐ!AD318,TTSSKĐ!AJ318,TTSSKĐ!AP318)))</f>
        <v>0</v>
      </c>
      <c r="E318">
        <f>SUMPRODUCT((MONTH(CHOOSE({1,2,3,4},TTSSKĐ!U318,TTSSKĐ!AA318,TTSSKĐ!AG318,TTSSKĐ!AM318))=5)*(CHOOSE({1,2,3,4},TTSSKĐ!X318,TTSSKĐ!AD318,TTSSKĐ!AJ318,TTSSKĐ!AP318)))</f>
        <v>0</v>
      </c>
      <c r="F318">
        <f>SUMPRODUCT((MONTH(CHOOSE({1,2,3,4},TTSSKĐ!U318,TTSSKĐ!AA318,TTSSKĐ!AG318,TTSSKĐ!AM318))=6)*(CHOOSE({1,2,3,4},TTSSKĐ!X318,TTSSKĐ!AD318,TTSSKĐ!AJ318,TTSSKĐ!AP318)))</f>
        <v>0</v>
      </c>
      <c r="G318">
        <f>SUMPRODUCT((MONTH(CHOOSE({1,2,3,4},TTSSKĐ!U318,TTSSKĐ!AA318,TTSSKĐ!AG318,TTSSKĐ!AM318))=7)*(CHOOSE({1,2,3,4},TTSSKĐ!X318,TTSSKĐ!AD318,TTSSKĐ!AJ318,TTSSKĐ!AP318)))</f>
        <v>0</v>
      </c>
      <c r="H318">
        <f>SUMPRODUCT((MONTH(CHOOSE({1,2,3,4},TTSSKĐ!U318,TTSSKĐ!AA318,TTSSKĐ!AG318,TTSSKĐ!AM318))=8)*(CHOOSE({1,2,3,4},TTSSKĐ!X318,TTSSKĐ!AD318,TTSSKĐ!AJ318,TTSSKĐ!AP318)))</f>
        <v>0</v>
      </c>
      <c r="I318">
        <f>SUMPRODUCT((MONTH(CHOOSE({1,2,3,4},TTSSKĐ!U318,TTSSKĐ!AA318,TTSSKĐ!AG318,TTSSKĐ!AM318))=9)*(CHOOSE({1,2,3,4},TTSSKĐ!X318,TTSSKĐ!AD318,TTSSKĐ!AJ318,TTSSKĐ!AP318)))</f>
        <v>0</v>
      </c>
      <c r="J318">
        <f>SUMPRODUCT((MONTH(CHOOSE({1,2,3,4},TTSSKĐ!U318,TTSSKĐ!AA318,TTSSKĐ!AG318,TTSSKĐ!AM318))=10)*(CHOOSE({1,2,3,4},TTSSKĐ!X318,TTSSKĐ!AD318,TTSSKĐ!AJ318,TTSSKĐ!AP318)))</f>
        <v>0</v>
      </c>
      <c r="K318">
        <f>SUMPRODUCT((MONTH(CHOOSE({1,2,3,4},TTSSKĐ!U318,TTSSKĐ!AA318,TTSSKĐ!AG318,TTSSKĐ!AM318))=11)*(CHOOSE({1,2,3,4},TTSSKĐ!X318,TTSSKĐ!AD318,TTSSKĐ!AJ318,TTSSKĐ!AP318)))</f>
        <v>0</v>
      </c>
      <c r="L318">
        <f>SUMPRODUCT((MONTH(CHOOSE({1,2,3,4},TTSSKĐ!U318,TTSSKĐ!AA318,TTSSKĐ!AG318,TTSSKĐ!AM318))=12)*(CHOOSE({1,2,3,4},TTSSKĐ!X318,TTSSKĐ!AD318,TTSSKĐ!AJ318,TTSSKĐ!AP318)))</f>
        <v>0</v>
      </c>
    </row>
    <row r="319" spans="1:12">
      <c r="A319">
        <f>SUMPRODUCT((MONTH(CHOOSE({1,2,3,4},TTSSKĐ!U319,TTSSKĐ!AA319,TTSSKĐ!AG319,TTSSKĐ!AM319))=1)*(CHOOSE({1,2,3,4},TTSSKĐ!X319,TTSSKĐ!AD319,TTSSKĐ!AJ319,TTSSKĐ!AP319)))</f>
        <v>0</v>
      </c>
      <c r="B319">
        <f>SUMPRODUCT((MONTH(CHOOSE({1,2,3,4},TTSSKĐ!U319,TTSSKĐ!AA319,TTSSKĐ!AG319,TTSSKĐ!AM319))=2)*(CHOOSE({1,2,3,4},TTSSKĐ!X319,TTSSKĐ!AD319,TTSSKĐ!AJ319,TTSSKĐ!AP319)))</f>
        <v>0</v>
      </c>
      <c r="C319">
        <f>SUMPRODUCT((MONTH(CHOOSE({1,2,3,4},TTSSKĐ!U319,TTSSKĐ!AA319,TTSSKĐ!AG319,TTSSKĐ!AM319))=3)*(CHOOSE({1,2,3,4},TTSSKĐ!X319,TTSSKĐ!AD319,TTSSKĐ!AJ319,TTSSKĐ!AP319)))</f>
        <v>0</v>
      </c>
      <c r="D319">
        <f>SUMPRODUCT((MONTH(CHOOSE({1,2,3,4},TTSSKĐ!U319,TTSSKĐ!AA319,TTSSKĐ!AG319,TTSSKĐ!AM319))=4)*(CHOOSE({1,2,3,4},TTSSKĐ!X319,TTSSKĐ!AD319,TTSSKĐ!AJ319,TTSSKĐ!AP319)))</f>
        <v>0</v>
      </c>
      <c r="E319">
        <f>SUMPRODUCT((MONTH(CHOOSE({1,2,3,4},TTSSKĐ!U319,TTSSKĐ!AA319,TTSSKĐ!AG319,TTSSKĐ!AM319))=5)*(CHOOSE({1,2,3,4},TTSSKĐ!X319,TTSSKĐ!AD319,TTSSKĐ!AJ319,TTSSKĐ!AP319)))</f>
        <v>0</v>
      </c>
      <c r="F319">
        <f>SUMPRODUCT((MONTH(CHOOSE({1,2,3,4},TTSSKĐ!U319,TTSSKĐ!AA319,TTSSKĐ!AG319,TTSSKĐ!AM319))=6)*(CHOOSE({1,2,3,4},TTSSKĐ!X319,TTSSKĐ!AD319,TTSSKĐ!AJ319,TTSSKĐ!AP319)))</f>
        <v>0</v>
      </c>
      <c r="G319">
        <f>SUMPRODUCT((MONTH(CHOOSE({1,2,3,4},TTSSKĐ!U319,TTSSKĐ!AA319,TTSSKĐ!AG319,TTSSKĐ!AM319))=7)*(CHOOSE({1,2,3,4},TTSSKĐ!X319,TTSSKĐ!AD319,TTSSKĐ!AJ319,TTSSKĐ!AP319)))</f>
        <v>0</v>
      </c>
      <c r="H319">
        <f>SUMPRODUCT((MONTH(CHOOSE({1,2,3,4},TTSSKĐ!U319,TTSSKĐ!AA319,TTSSKĐ!AG319,TTSSKĐ!AM319))=8)*(CHOOSE({1,2,3,4},TTSSKĐ!X319,TTSSKĐ!AD319,TTSSKĐ!AJ319,TTSSKĐ!AP319)))</f>
        <v>0</v>
      </c>
      <c r="I319">
        <f>SUMPRODUCT((MONTH(CHOOSE({1,2,3,4},TTSSKĐ!U319,TTSSKĐ!AA319,TTSSKĐ!AG319,TTSSKĐ!AM319))=9)*(CHOOSE({1,2,3,4},TTSSKĐ!X319,TTSSKĐ!AD319,TTSSKĐ!AJ319,TTSSKĐ!AP319)))</f>
        <v>0</v>
      </c>
      <c r="J319">
        <f>SUMPRODUCT((MONTH(CHOOSE({1,2,3,4},TTSSKĐ!U319,TTSSKĐ!AA319,TTSSKĐ!AG319,TTSSKĐ!AM319))=10)*(CHOOSE({1,2,3,4},TTSSKĐ!X319,TTSSKĐ!AD319,TTSSKĐ!AJ319,TTSSKĐ!AP319)))</f>
        <v>0</v>
      </c>
      <c r="K319">
        <f>SUMPRODUCT((MONTH(CHOOSE({1,2,3,4},TTSSKĐ!U319,TTSSKĐ!AA319,TTSSKĐ!AG319,TTSSKĐ!AM319))=11)*(CHOOSE({1,2,3,4},TTSSKĐ!X319,TTSSKĐ!AD319,TTSSKĐ!AJ319,TTSSKĐ!AP319)))</f>
        <v>0</v>
      </c>
      <c r="L319">
        <f>SUMPRODUCT((MONTH(CHOOSE({1,2,3,4},TTSSKĐ!U319,TTSSKĐ!AA319,TTSSKĐ!AG319,TTSSKĐ!AM319))=12)*(CHOOSE({1,2,3,4},TTSSKĐ!X319,TTSSKĐ!AD319,TTSSKĐ!AJ319,TTSSKĐ!AP319)))</f>
        <v>0</v>
      </c>
    </row>
    <row r="320" spans="1:12">
      <c r="A320">
        <f>SUMPRODUCT((MONTH(CHOOSE({1,2,3,4},TTSSKĐ!U320,TTSSKĐ!AA320,TTSSKĐ!AG320,TTSSKĐ!AM320))=1)*(CHOOSE({1,2,3,4},TTSSKĐ!X320,TTSSKĐ!AD320,TTSSKĐ!AJ320,TTSSKĐ!AP320)))</f>
        <v>0</v>
      </c>
      <c r="B320">
        <f>SUMPRODUCT((MONTH(CHOOSE({1,2,3,4},TTSSKĐ!U320,TTSSKĐ!AA320,TTSSKĐ!AG320,TTSSKĐ!AM320))=2)*(CHOOSE({1,2,3,4},TTSSKĐ!X320,TTSSKĐ!AD320,TTSSKĐ!AJ320,TTSSKĐ!AP320)))</f>
        <v>0</v>
      </c>
      <c r="C320">
        <f>SUMPRODUCT((MONTH(CHOOSE({1,2,3,4},TTSSKĐ!U320,TTSSKĐ!AA320,TTSSKĐ!AG320,TTSSKĐ!AM320))=3)*(CHOOSE({1,2,3,4},TTSSKĐ!X320,TTSSKĐ!AD320,TTSSKĐ!AJ320,TTSSKĐ!AP320)))</f>
        <v>0</v>
      </c>
      <c r="D320">
        <f>SUMPRODUCT((MONTH(CHOOSE({1,2,3,4},TTSSKĐ!U320,TTSSKĐ!AA320,TTSSKĐ!AG320,TTSSKĐ!AM320))=4)*(CHOOSE({1,2,3,4},TTSSKĐ!X320,TTSSKĐ!AD320,TTSSKĐ!AJ320,TTSSKĐ!AP320)))</f>
        <v>0</v>
      </c>
      <c r="E320">
        <f>SUMPRODUCT((MONTH(CHOOSE({1,2,3,4},TTSSKĐ!U320,TTSSKĐ!AA320,TTSSKĐ!AG320,TTSSKĐ!AM320))=5)*(CHOOSE({1,2,3,4},TTSSKĐ!X320,TTSSKĐ!AD320,TTSSKĐ!AJ320,TTSSKĐ!AP320)))</f>
        <v>0</v>
      </c>
      <c r="F320">
        <f>SUMPRODUCT((MONTH(CHOOSE({1,2,3,4},TTSSKĐ!U320,TTSSKĐ!AA320,TTSSKĐ!AG320,TTSSKĐ!AM320))=6)*(CHOOSE({1,2,3,4},TTSSKĐ!X320,TTSSKĐ!AD320,TTSSKĐ!AJ320,TTSSKĐ!AP320)))</f>
        <v>0</v>
      </c>
      <c r="G320">
        <f>SUMPRODUCT((MONTH(CHOOSE({1,2,3,4},TTSSKĐ!U320,TTSSKĐ!AA320,TTSSKĐ!AG320,TTSSKĐ!AM320))=7)*(CHOOSE({1,2,3,4},TTSSKĐ!X320,TTSSKĐ!AD320,TTSSKĐ!AJ320,TTSSKĐ!AP320)))</f>
        <v>0</v>
      </c>
      <c r="H320">
        <f>SUMPRODUCT((MONTH(CHOOSE({1,2,3,4},TTSSKĐ!U320,TTSSKĐ!AA320,TTSSKĐ!AG320,TTSSKĐ!AM320))=8)*(CHOOSE({1,2,3,4},TTSSKĐ!X320,TTSSKĐ!AD320,TTSSKĐ!AJ320,TTSSKĐ!AP320)))</f>
        <v>0</v>
      </c>
      <c r="I320">
        <f>SUMPRODUCT((MONTH(CHOOSE({1,2,3,4},TTSSKĐ!U320,TTSSKĐ!AA320,TTSSKĐ!AG320,TTSSKĐ!AM320))=9)*(CHOOSE({1,2,3,4},TTSSKĐ!X320,TTSSKĐ!AD320,TTSSKĐ!AJ320,TTSSKĐ!AP320)))</f>
        <v>0</v>
      </c>
      <c r="J320">
        <f>SUMPRODUCT((MONTH(CHOOSE({1,2,3,4},TTSSKĐ!U320,TTSSKĐ!AA320,TTSSKĐ!AG320,TTSSKĐ!AM320))=10)*(CHOOSE({1,2,3,4},TTSSKĐ!X320,TTSSKĐ!AD320,TTSSKĐ!AJ320,TTSSKĐ!AP320)))</f>
        <v>0</v>
      </c>
      <c r="K320">
        <f>SUMPRODUCT((MONTH(CHOOSE({1,2,3,4},TTSSKĐ!U320,TTSSKĐ!AA320,TTSSKĐ!AG320,TTSSKĐ!AM320))=11)*(CHOOSE({1,2,3,4},TTSSKĐ!X320,TTSSKĐ!AD320,TTSSKĐ!AJ320,TTSSKĐ!AP320)))</f>
        <v>0</v>
      </c>
      <c r="L320">
        <f>SUMPRODUCT((MONTH(CHOOSE({1,2,3,4},TTSSKĐ!U320,TTSSKĐ!AA320,TTSSKĐ!AG320,TTSSKĐ!AM320))=12)*(CHOOSE({1,2,3,4},TTSSKĐ!X320,TTSSKĐ!AD320,TTSSKĐ!AJ320,TTSSKĐ!AP320)))</f>
        <v>0</v>
      </c>
    </row>
    <row r="321" spans="1:12">
      <c r="A321">
        <f>SUMPRODUCT((MONTH(CHOOSE({1,2,3,4},TTSSKĐ!U321,TTSSKĐ!AA321,TTSSKĐ!AG321,TTSSKĐ!AM321))=1)*(CHOOSE({1,2,3,4},TTSSKĐ!X321,TTSSKĐ!AD321,TTSSKĐ!AJ321,TTSSKĐ!AP321)))</f>
        <v>0</v>
      </c>
      <c r="B321">
        <f>SUMPRODUCT((MONTH(CHOOSE({1,2,3,4},TTSSKĐ!U321,TTSSKĐ!AA321,TTSSKĐ!AG321,TTSSKĐ!AM321))=2)*(CHOOSE({1,2,3,4},TTSSKĐ!X321,TTSSKĐ!AD321,TTSSKĐ!AJ321,TTSSKĐ!AP321)))</f>
        <v>0</v>
      </c>
      <c r="C321">
        <f>SUMPRODUCT((MONTH(CHOOSE({1,2,3,4},TTSSKĐ!U321,TTSSKĐ!AA321,TTSSKĐ!AG321,TTSSKĐ!AM321))=3)*(CHOOSE({1,2,3,4},TTSSKĐ!X321,TTSSKĐ!AD321,TTSSKĐ!AJ321,TTSSKĐ!AP321)))</f>
        <v>0</v>
      </c>
      <c r="D321">
        <f>SUMPRODUCT((MONTH(CHOOSE({1,2,3,4},TTSSKĐ!U321,TTSSKĐ!AA321,TTSSKĐ!AG321,TTSSKĐ!AM321))=4)*(CHOOSE({1,2,3,4},TTSSKĐ!X321,TTSSKĐ!AD321,TTSSKĐ!AJ321,TTSSKĐ!AP321)))</f>
        <v>0</v>
      </c>
      <c r="E321">
        <f>SUMPRODUCT((MONTH(CHOOSE({1,2,3,4},TTSSKĐ!U321,TTSSKĐ!AA321,TTSSKĐ!AG321,TTSSKĐ!AM321))=5)*(CHOOSE({1,2,3,4},TTSSKĐ!X321,TTSSKĐ!AD321,TTSSKĐ!AJ321,TTSSKĐ!AP321)))</f>
        <v>0</v>
      </c>
      <c r="F321">
        <f>SUMPRODUCT((MONTH(CHOOSE({1,2,3,4},TTSSKĐ!U321,TTSSKĐ!AA321,TTSSKĐ!AG321,TTSSKĐ!AM321))=6)*(CHOOSE({1,2,3,4},TTSSKĐ!X321,TTSSKĐ!AD321,TTSSKĐ!AJ321,TTSSKĐ!AP321)))</f>
        <v>0</v>
      </c>
      <c r="G321">
        <f>SUMPRODUCT((MONTH(CHOOSE({1,2,3,4},TTSSKĐ!U321,TTSSKĐ!AA321,TTSSKĐ!AG321,TTSSKĐ!AM321))=7)*(CHOOSE({1,2,3,4},TTSSKĐ!X321,TTSSKĐ!AD321,TTSSKĐ!AJ321,TTSSKĐ!AP321)))</f>
        <v>0</v>
      </c>
      <c r="H321">
        <f>SUMPRODUCT((MONTH(CHOOSE({1,2,3,4},TTSSKĐ!U321,TTSSKĐ!AA321,TTSSKĐ!AG321,TTSSKĐ!AM321))=8)*(CHOOSE({1,2,3,4},TTSSKĐ!X321,TTSSKĐ!AD321,TTSSKĐ!AJ321,TTSSKĐ!AP321)))</f>
        <v>0</v>
      </c>
      <c r="I321">
        <f>SUMPRODUCT((MONTH(CHOOSE({1,2,3,4},TTSSKĐ!U321,TTSSKĐ!AA321,TTSSKĐ!AG321,TTSSKĐ!AM321))=9)*(CHOOSE({1,2,3,4},TTSSKĐ!X321,TTSSKĐ!AD321,TTSSKĐ!AJ321,TTSSKĐ!AP321)))</f>
        <v>0</v>
      </c>
      <c r="J321">
        <f>SUMPRODUCT((MONTH(CHOOSE({1,2,3,4},TTSSKĐ!U321,TTSSKĐ!AA321,TTSSKĐ!AG321,TTSSKĐ!AM321))=10)*(CHOOSE({1,2,3,4},TTSSKĐ!X321,TTSSKĐ!AD321,TTSSKĐ!AJ321,TTSSKĐ!AP321)))</f>
        <v>0</v>
      </c>
      <c r="K321">
        <f>SUMPRODUCT((MONTH(CHOOSE({1,2,3,4},TTSSKĐ!U321,TTSSKĐ!AA321,TTSSKĐ!AG321,TTSSKĐ!AM321))=11)*(CHOOSE({1,2,3,4},TTSSKĐ!X321,TTSSKĐ!AD321,TTSSKĐ!AJ321,TTSSKĐ!AP321)))</f>
        <v>0</v>
      </c>
      <c r="L321">
        <f>SUMPRODUCT((MONTH(CHOOSE({1,2,3,4},TTSSKĐ!U321,TTSSKĐ!AA321,TTSSKĐ!AG321,TTSSKĐ!AM321))=12)*(CHOOSE({1,2,3,4},TTSSKĐ!X321,TTSSKĐ!AD321,TTSSKĐ!AJ321,TTSSKĐ!AP321)))</f>
        <v>0</v>
      </c>
    </row>
    <row r="322" spans="1:12">
      <c r="A322">
        <f>SUMPRODUCT((MONTH(CHOOSE({1,2,3,4},TTSSKĐ!U322,TTSSKĐ!AA322,TTSSKĐ!AG322,TTSSKĐ!AM322))=1)*(CHOOSE({1,2,3,4},TTSSKĐ!X322,TTSSKĐ!AD322,TTSSKĐ!AJ322,TTSSKĐ!AP322)))</f>
        <v>0</v>
      </c>
      <c r="B322">
        <f>SUMPRODUCT((MONTH(CHOOSE({1,2,3,4},TTSSKĐ!U322,TTSSKĐ!AA322,TTSSKĐ!AG322,TTSSKĐ!AM322))=2)*(CHOOSE({1,2,3,4},TTSSKĐ!X322,TTSSKĐ!AD322,TTSSKĐ!AJ322,TTSSKĐ!AP322)))</f>
        <v>0</v>
      </c>
      <c r="C322">
        <f>SUMPRODUCT((MONTH(CHOOSE({1,2,3,4},TTSSKĐ!U322,TTSSKĐ!AA322,TTSSKĐ!AG322,TTSSKĐ!AM322))=3)*(CHOOSE({1,2,3,4},TTSSKĐ!X322,TTSSKĐ!AD322,TTSSKĐ!AJ322,TTSSKĐ!AP322)))</f>
        <v>0</v>
      </c>
      <c r="D322">
        <f>SUMPRODUCT((MONTH(CHOOSE({1,2,3,4},TTSSKĐ!U322,TTSSKĐ!AA322,TTSSKĐ!AG322,TTSSKĐ!AM322))=4)*(CHOOSE({1,2,3,4},TTSSKĐ!X322,TTSSKĐ!AD322,TTSSKĐ!AJ322,TTSSKĐ!AP322)))</f>
        <v>0</v>
      </c>
      <c r="E322">
        <f>SUMPRODUCT((MONTH(CHOOSE({1,2,3,4},TTSSKĐ!U322,TTSSKĐ!AA322,TTSSKĐ!AG322,TTSSKĐ!AM322))=5)*(CHOOSE({1,2,3,4},TTSSKĐ!X322,TTSSKĐ!AD322,TTSSKĐ!AJ322,TTSSKĐ!AP322)))</f>
        <v>0</v>
      </c>
      <c r="F322">
        <f>SUMPRODUCT((MONTH(CHOOSE({1,2,3,4},TTSSKĐ!U322,TTSSKĐ!AA322,TTSSKĐ!AG322,TTSSKĐ!AM322))=6)*(CHOOSE({1,2,3,4},TTSSKĐ!X322,TTSSKĐ!AD322,TTSSKĐ!AJ322,TTSSKĐ!AP322)))</f>
        <v>0</v>
      </c>
      <c r="G322">
        <f>SUMPRODUCT((MONTH(CHOOSE({1,2,3,4},TTSSKĐ!U322,TTSSKĐ!AA322,TTSSKĐ!AG322,TTSSKĐ!AM322))=7)*(CHOOSE({1,2,3,4},TTSSKĐ!X322,TTSSKĐ!AD322,TTSSKĐ!AJ322,TTSSKĐ!AP322)))</f>
        <v>0</v>
      </c>
      <c r="H322">
        <f>SUMPRODUCT((MONTH(CHOOSE({1,2,3,4},TTSSKĐ!U322,TTSSKĐ!AA322,TTSSKĐ!AG322,TTSSKĐ!AM322))=8)*(CHOOSE({1,2,3,4},TTSSKĐ!X322,TTSSKĐ!AD322,TTSSKĐ!AJ322,TTSSKĐ!AP322)))</f>
        <v>0</v>
      </c>
      <c r="I322">
        <f>SUMPRODUCT((MONTH(CHOOSE({1,2,3,4},TTSSKĐ!U322,TTSSKĐ!AA322,TTSSKĐ!AG322,TTSSKĐ!AM322))=9)*(CHOOSE({1,2,3,4},TTSSKĐ!X322,TTSSKĐ!AD322,TTSSKĐ!AJ322,TTSSKĐ!AP322)))</f>
        <v>0</v>
      </c>
      <c r="J322">
        <f>SUMPRODUCT((MONTH(CHOOSE({1,2,3,4},TTSSKĐ!U322,TTSSKĐ!AA322,TTSSKĐ!AG322,TTSSKĐ!AM322))=10)*(CHOOSE({1,2,3,4},TTSSKĐ!X322,TTSSKĐ!AD322,TTSSKĐ!AJ322,TTSSKĐ!AP322)))</f>
        <v>0</v>
      </c>
      <c r="K322">
        <f>SUMPRODUCT((MONTH(CHOOSE({1,2,3,4},TTSSKĐ!U322,TTSSKĐ!AA322,TTSSKĐ!AG322,TTSSKĐ!AM322))=11)*(CHOOSE({1,2,3,4},TTSSKĐ!X322,TTSSKĐ!AD322,TTSSKĐ!AJ322,TTSSKĐ!AP322)))</f>
        <v>0</v>
      </c>
      <c r="L322">
        <f>SUMPRODUCT((MONTH(CHOOSE({1,2,3,4},TTSSKĐ!U322,TTSSKĐ!AA322,TTSSKĐ!AG322,TTSSKĐ!AM322))=12)*(CHOOSE({1,2,3,4},TTSSKĐ!X322,TTSSKĐ!AD322,TTSSKĐ!AJ322,TTSSKĐ!AP322)))</f>
        <v>0</v>
      </c>
    </row>
    <row r="323" spans="1:12">
      <c r="A323">
        <f>SUMPRODUCT((MONTH(CHOOSE({1,2,3,4},TTSSKĐ!U323,TTSSKĐ!AA323,TTSSKĐ!AG323,TTSSKĐ!AM323))=1)*(CHOOSE({1,2,3,4},TTSSKĐ!X323,TTSSKĐ!AD323,TTSSKĐ!AJ323,TTSSKĐ!AP323)))</f>
        <v>0</v>
      </c>
      <c r="B323">
        <f>SUMPRODUCT((MONTH(CHOOSE({1,2,3,4},TTSSKĐ!U323,TTSSKĐ!AA323,TTSSKĐ!AG323,TTSSKĐ!AM323))=2)*(CHOOSE({1,2,3,4},TTSSKĐ!X323,TTSSKĐ!AD323,TTSSKĐ!AJ323,TTSSKĐ!AP323)))</f>
        <v>0</v>
      </c>
      <c r="C323">
        <f>SUMPRODUCT((MONTH(CHOOSE({1,2,3,4},TTSSKĐ!U323,TTSSKĐ!AA323,TTSSKĐ!AG323,TTSSKĐ!AM323))=3)*(CHOOSE({1,2,3,4},TTSSKĐ!X323,TTSSKĐ!AD323,TTSSKĐ!AJ323,TTSSKĐ!AP323)))</f>
        <v>0</v>
      </c>
      <c r="D323">
        <f>SUMPRODUCT((MONTH(CHOOSE({1,2,3,4},TTSSKĐ!U323,TTSSKĐ!AA323,TTSSKĐ!AG323,TTSSKĐ!AM323))=4)*(CHOOSE({1,2,3,4},TTSSKĐ!X323,TTSSKĐ!AD323,TTSSKĐ!AJ323,TTSSKĐ!AP323)))</f>
        <v>0</v>
      </c>
      <c r="E323">
        <f>SUMPRODUCT((MONTH(CHOOSE({1,2,3,4},TTSSKĐ!U323,TTSSKĐ!AA323,TTSSKĐ!AG323,TTSSKĐ!AM323))=5)*(CHOOSE({1,2,3,4},TTSSKĐ!X323,TTSSKĐ!AD323,TTSSKĐ!AJ323,TTSSKĐ!AP323)))</f>
        <v>0</v>
      </c>
      <c r="F323">
        <f>SUMPRODUCT((MONTH(CHOOSE({1,2,3,4},TTSSKĐ!U323,TTSSKĐ!AA323,TTSSKĐ!AG323,TTSSKĐ!AM323))=6)*(CHOOSE({1,2,3,4},TTSSKĐ!X323,TTSSKĐ!AD323,TTSSKĐ!AJ323,TTSSKĐ!AP323)))</f>
        <v>0</v>
      </c>
      <c r="G323">
        <f>SUMPRODUCT((MONTH(CHOOSE({1,2,3,4},TTSSKĐ!U323,TTSSKĐ!AA323,TTSSKĐ!AG323,TTSSKĐ!AM323))=7)*(CHOOSE({1,2,3,4},TTSSKĐ!X323,TTSSKĐ!AD323,TTSSKĐ!AJ323,TTSSKĐ!AP323)))</f>
        <v>0</v>
      </c>
      <c r="H323">
        <f>SUMPRODUCT((MONTH(CHOOSE({1,2,3,4},TTSSKĐ!U323,TTSSKĐ!AA323,TTSSKĐ!AG323,TTSSKĐ!AM323))=8)*(CHOOSE({1,2,3,4},TTSSKĐ!X323,TTSSKĐ!AD323,TTSSKĐ!AJ323,TTSSKĐ!AP323)))</f>
        <v>0</v>
      </c>
      <c r="I323">
        <f>SUMPRODUCT((MONTH(CHOOSE({1,2,3,4},TTSSKĐ!U323,TTSSKĐ!AA323,TTSSKĐ!AG323,TTSSKĐ!AM323))=9)*(CHOOSE({1,2,3,4},TTSSKĐ!X323,TTSSKĐ!AD323,TTSSKĐ!AJ323,TTSSKĐ!AP323)))</f>
        <v>0</v>
      </c>
      <c r="J323">
        <f>SUMPRODUCT((MONTH(CHOOSE({1,2,3,4},TTSSKĐ!U323,TTSSKĐ!AA323,TTSSKĐ!AG323,TTSSKĐ!AM323))=10)*(CHOOSE({1,2,3,4},TTSSKĐ!X323,TTSSKĐ!AD323,TTSSKĐ!AJ323,TTSSKĐ!AP323)))</f>
        <v>0</v>
      </c>
      <c r="K323">
        <f>SUMPRODUCT((MONTH(CHOOSE({1,2,3,4},TTSSKĐ!U323,TTSSKĐ!AA323,TTSSKĐ!AG323,TTSSKĐ!AM323))=11)*(CHOOSE({1,2,3,4},TTSSKĐ!X323,TTSSKĐ!AD323,TTSSKĐ!AJ323,TTSSKĐ!AP323)))</f>
        <v>0</v>
      </c>
      <c r="L323">
        <f>SUMPRODUCT((MONTH(CHOOSE({1,2,3,4},TTSSKĐ!U323,TTSSKĐ!AA323,TTSSKĐ!AG323,TTSSKĐ!AM323))=12)*(CHOOSE({1,2,3,4},TTSSKĐ!X323,TTSSKĐ!AD323,TTSSKĐ!AJ323,TTSSKĐ!AP323)))</f>
        <v>0</v>
      </c>
    </row>
    <row r="324" spans="1:12">
      <c r="A324">
        <f>SUMPRODUCT((MONTH(CHOOSE({1,2,3,4},TTSSKĐ!U324,TTSSKĐ!AA324,TTSSKĐ!AG324,TTSSKĐ!AM324))=1)*(CHOOSE({1,2,3,4},TTSSKĐ!X324,TTSSKĐ!AD324,TTSSKĐ!AJ324,TTSSKĐ!AP324)))</f>
        <v>0</v>
      </c>
      <c r="B324">
        <f>SUMPRODUCT((MONTH(CHOOSE({1,2,3,4},TTSSKĐ!U324,TTSSKĐ!AA324,TTSSKĐ!AG324,TTSSKĐ!AM324))=2)*(CHOOSE({1,2,3,4},TTSSKĐ!X324,TTSSKĐ!AD324,TTSSKĐ!AJ324,TTSSKĐ!AP324)))</f>
        <v>0</v>
      </c>
      <c r="C324">
        <f>SUMPRODUCT((MONTH(CHOOSE({1,2,3,4},TTSSKĐ!U324,TTSSKĐ!AA324,TTSSKĐ!AG324,TTSSKĐ!AM324))=3)*(CHOOSE({1,2,3,4},TTSSKĐ!X324,TTSSKĐ!AD324,TTSSKĐ!AJ324,TTSSKĐ!AP324)))</f>
        <v>0</v>
      </c>
      <c r="D324">
        <f>SUMPRODUCT((MONTH(CHOOSE({1,2,3,4},TTSSKĐ!U324,TTSSKĐ!AA324,TTSSKĐ!AG324,TTSSKĐ!AM324))=4)*(CHOOSE({1,2,3,4},TTSSKĐ!X324,TTSSKĐ!AD324,TTSSKĐ!AJ324,TTSSKĐ!AP324)))</f>
        <v>0</v>
      </c>
      <c r="E324">
        <f>SUMPRODUCT((MONTH(CHOOSE({1,2,3,4},TTSSKĐ!U324,TTSSKĐ!AA324,TTSSKĐ!AG324,TTSSKĐ!AM324))=5)*(CHOOSE({1,2,3,4},TTSSKĐ!X324,TTSSKĐ!AD324,TTSSKĐ!AJ324,TTSSKĐ!AP324)))</f>
        <v>0</v>
      </c>
      <c r="F324">
        <f>SUMPRODUCT((MONTH(CHOOSE({1,2,3,4},TTSSKĐ!U324,TTSSKĐ!AA324,TTSSKĐ!AG324,TTSSKĐ!AM324))=6)*(CHOOSE({1,2,3,4},TTSSKĐ!X324,TTSSKĐ!AD324,TTSSKĐ!AJ324,TTSSKĐ!AP324)))</f>
        <v>0</v>
      </c>
      <c r="G324">
        <f>SUMPRODUCT((MONTH(CHOOSE({1,2,3,4},TTSSKĐ!U324,TTSSKĐ!AA324,TTSSKĐ!AG324,TTSSKĐ!AM324))=7)*(CHOOSE({1,2,3,4},TTSSKĐ!X324,TTSSKĐ!AD324,TTSSKĐ!AJ324,TTSSKĐ!AP324)))</f>
        <v>0</v>
      </c>
      <c r="H324">
        <f>SUMPRODUCT((MONTH(CHOOSE({1,2,3,4},TTSSKĐ!U324,TTSSKĐ!AA324,TTSSKĐ!AG324,TTSSKĐ!AM324))=8)*(CHOOSE({1,2,3,4},TTSSKĐ!X324,TTSSKĐ!AD324,TTSSKĐ!AJ324,TTSSKĐ!AP324)))</f>
        <v>0</v>
      </c>
      <c r="I324">
        <f>SUMPRODUCT((MONTH(CHOOSE({1,2,3,4},TTSSKĐ!U324,TTSSKĐ!AA324,TTSSKĐ!AG324,TTSSKĐ!AM324))=9)*(CHOOSE({1,2,3,4},TTSSKĐ!X324,TTSSKĐ!AD324,TTSSKĐ!AJ324,TTSSKĐ!AP324)))</f>
        <v>0</v>
      </c>
      <c r="J324">
        <f>SUMPRODUCT((MONTH(CHOOSE({1,2,3,4},TTSSKĐ!U324,TTSSKĐ!AA324,TTSSKĐ!AG324,TTSSKĐ!AM324))=10)*(CHOOSE({1,2,3,4},TTSSKĐ!X324,TTSSKĐ!AD324,TTSSKĐ!AJ324,TTSSKĐ!AP324)))</f>
        <v>0</v>
      </c>
      <c r="K324">
        <f>SUMPRODUCT((MONTH(CHOOSE({1,2,3,4},TTSSKĐ!U324,TTSSKĐ!AA324,TTSSKĐ!AG324,TTSSKĐ!AM324))=11)*(CHOOSE({1,2,3,4},TTSSKĐ!X324,TTSSKĐ!AD324,TTSSKĐ!AJ324,TTSSKĐ!AP324)))</f>
        <v>0</v>
      </c>
      <c r="L324">
        <f>SUMPRODUCT((MONTH(CHOOSE({1,2,3,4},TTSSKĐ!U324,TTSSKĐ!AA324,TTSSKĐ!AG324,TTSSKĐ!AM324))=12)*(CHOOSE({1,2,3,4},TTSSKĐ!X324,TTSSKĐ!AD324,TTSSKĐ!AJ324,TTSSKĐ!AP324)))</f>
        <v>0</v>
      </c>
    </row>
    <row r="325" spans="1:12">
      <c r="A325">
        <f>SUMPRODUCT((MONTH(CHOOSE({1,2,3,4},TTSSKĐ!U325,TTSSKĐ!AA325,TTSSKĐ!AG325,TTSSKĐ!AM325))=1)*(CHOOSE({1,2,3,4},TTSSKĐ!X325,TTSSKĐ!AD325,TTSSKĐ!AJ325,TTSSKĐ!AP325)))</f>
        <v>0</v>
      </c>
      <c r="B325">
        <f>SUMPRODUCT((MONTH(CHOOSE({1,2,3,4},TTSSKĐ!U325,TTSSKĐ!AA325,TTSSKĐ!AG325,TTSSKĐ!AM325))=2)*(CHOOSE({1,2,3,4},TTSSKĐ!X325,TTSSKĐ!AD325,TTSSKĐ!AJ325,TTSSKĐ!AP325)))</f>
        <v>0</v>
      </c>
      <c r="C325">
        <f>SUMPRODUCT((MONTH(CHOOSE({1,2,3,4},TTSSKĐ!U325,TTSSKĐ!AA325,TTSSKĐ!AG325,TTSSKĐ!AM325))=3)*(CHOOSE({1,2,3,4},TTSSKĐ!X325,TTSSKĐ!AD325,TTSSKĐ!AJ325,TTSSKĐ!AP325)))</f>
        <v>0</v>
      </c>
      <c r="D325">
        <f>SUMPRODUCT((MONTH(CHOOSE({1,2,3,4},TTSSKĐ!U325,TTSSKĐ!AA325,TTSSKĐ!AG325,TTSSKĐ!AM325))=4)*(CHOOSE({1,2,3,4},TTSSKĐ!X325,TTSSKĐ!AD325,TTSSKĐ!AJ325,TTSSKĐ!AP325)))</f>
        <v>0</v>
      </c>
      <c r="E325">
        <f>SUMPRODUCT((MONTH(CHOOSE({1,2,3,4},TTSSKĐ!U325,TTSSKĐ!AA325,TTSSKĐ!AG325,TTSSKĐ!AM325))=5)*(CHOOSE({1,2,3,4},TTSSKĐ!X325,TTSSKĐ!AD325,TTSSKĐ!AJ325,TTSSKĐ!AP325)))</f>
        <v>0</v>
      </c>
      <c r="F325">
        <f>SUMPRODUCT((MONTH(CHOOSE({1,2,3,4},TTSSKĐ!U325,TTSSKĐ!AA325,TTSSKĐ!AG325,TTSSKĐ!AM325))=6)*(CHOOSE({1,2,3,4},TTSSKĐ!X325,TTSSKĐ!AD325,TTSSKĐ!AJ325,TTSSKĐ!AP325)))</f>
        <v>0</v>
      </c>
      <c r="G325">
        <f>SUMPRODUCT((MONTH(CHOOSE({1,2,3,4},TTSSKĐ!U325,TTSSKĐ!AA325,TTSSKĐ!AG325,TTSSKĐ!AM325))=7)*(CHOOSE({1,2,3,4},TTSSKĐ!X325,TTSSKĐ!AD325,TTSSKĐ!AJ325,TTSSKĐ!AP325)))</f>
        <v>0</v>
      </c>
      <c r="H325">
        <f>SUMPRODUCT((MONTH(CHOOSE({1,2,3,4},TTSSKĐ!U325,TTSSKĐ!AA325,TTSSKĐ!AG325,TTSSKĐ!AM325))=8)*(CHOOSE({1,2,3,4},TTSSKĐ!X325,TTSSKĐ!AD325,TTSSKĐ!AJ325,TTSSKĐ!AP325)))</f>
        <v>0</v>
      </c>
      <c r="I325">
        <f>SUMPRODUCT((MONTH(CHOOSE({1,2,3,4},TTSSKĐ!U325,TTSSKĐ!AA325,TTSSKĐ!AG325,TTSSKĐ!AM325))=9)*(CHOOSE({1,2,3,4},TTSSKĐ!X325,TTSSKĐ!AD325,TTSSKĐ!AJ325,TTSSKĐ!AP325)))</f>
        <v>0</v>
      </c>
      <c r="J325">
        <f>SUMPRODUCT((MONTH(CHOOSE({1,2,3,4},TTSSKĐ!U325,TTSSKĐ!AA325,TTSSKĐ!AG325,TTSSKĐ!AM325))=10)*(CHOOSE({1,2,3,4},TTSSKĐ!X325,TTSSKĐ!AD325,TTSSKĐ!AJ325,TTSSKĐ!AP325)))</f>
        <v>0</v>
      </c>
      <c r="K325">
        <f>SUMPRODUCT((MONTH(CHOOSE({1,2,3,4},TTSSKĐ!U325,TTSSKĐ!AA325,TTSSKĐ!AG325,TTSSKĐ!AM325))=11)*(CHOOSE({1,2,3,4},TTSSKĐ!X325,TTSSKĐ!AD325,TTSSKĐ!AJ325,TTSSKĐ!AP325)))</f>
        <v>0</v>
      </c>
      <c r="L325">
        <f>SUMPRODUCT((MONTH(CHOOSE({1,2,3,4},TTSSKĐ!U325,TTSSKĐ!AA325,TTSSKĐ!AG325,TTSSKĐ!AM325))=12)*(CHOOSE({1,2,3,4},TTSSKĐ!X325,TTSSKĐ!AD325,TTSSKĐ!AJ325,TTSSKĐ!AP325)))</f>
        <v>0</v>
      </c>
    </row>
    <row r="326" spans="1:12">
      <c r="A326">
        <f>SUMPRODUCT((MONTH(CHOOSE({1,2,3,4},TTSSKĐ!U326,TTSSKĐ!AA326,TTSSKĐ!AG326,TTSSKĐ!AM326))=1)*(CHOOSE({1,2,3,4},TTSSKĐ!X326,TTSSKĐ!AD326,TTSSKĐ!AJ326,TTSSKĐ!AP326)))</f>
        <v>0</v>
      </c>
      <c r="B326">
        <f>SUMPRODUCT((MONTH(CHOOSE({1,2,3,4},TTSSKĐ!U326,TTSSKĐ!AA326,TTSSKĐ!AG326,TTSSKĐ!AM326))=2)*(CHOOSE({1,2,3,4},TTSSKĐ!X326,TTSSKĐ!AD326,TTSSKĐ!AJ326,TTSSKĐ!AP326)))</f>
        <v>0</v>
      </c>
      <c r="C326">
        <f>SUMPRODUCT((MONTH(CHOOSE({1,2,3,4},TTSSKĐ!U326,TTSSKĐ!AA326,TTSSKĐ!AG326,TTSSKĐ!AM326))=3)*(CHOOSE({1,2,3,4},TTSSKĐ!X326,TTSSKĐ!AD326,TTSSKĐ!AJ326,TTSSKĐ!AP326)))</f>
        <v>0</v>
      </c>
      <c r="D326">
        <f>SUMPRODUCT((MONTH(CHOOSE({1,2,3,4},TTSSKĐ!U326,TTSSKĐ!AA326,TTSSKĐ!AG326,TTSSKĐ!AM326))=4)*(CHOOSE({1,2,3,4},TTSSKĐ!X326,TTSSKĐ!AD326,TTSSKĐ!AJ326,TTSSKĐ!AP326)))</f>
        <v>0</v>
      </c>
      <c r="E326">
        <f>SUMPRODUCT((MONTH(CHOOSE({1,2,3,4},TTSSKĐ!U326,TTSSKĐ!AA326,TTSSKĐ!AG326,TTSSKĐ!AM326))=5)*(CHOOSE({1,2,3,4},TTSSKĐ!X326,TTSSKĐ!AD326,TTSSKĐ!AJ326,TTSSKĐ!AP326)))</f>
        <v>0</v>
      </c>
      <c r="F326">
        <f>SUMPRODUCT((MONTH(CHOOSE({1,2,3,4},TTSSKĐ!U326,TTSSKĐ!AA326,TTSSKĐ!AG326,TTSSKĐ!AM326))=6)*(CHOOSE({1,2,3,4},TTSSKĐ!X326,TTSSKĐ!AD326,TTSSKĐ!AJ326,TTSSKĐ!AP326)))</f>
        <v>0</v>
      </c>
      <c r="G326">
        <f>SUMPRODUCT((MONTH(CHOOSE({1,2,3,4},TTSSKĐ!U326,TTSSKĐ!AA326,TTSSKĐ!AG326,TTSSKĐ!AM326))=7)*(CHOOSE({1,2,3,4},TTSSKĐ!X326,TTSSKĐ!AD326,TTSSKĐ!AJ326,TTSSKĐ!AP326)))</f>
        <v>0</v>
      </c>
      <c r="H326">
        <f>SUMPRODUCT((MONTH(CHOOSE({1,2,3,4},TTSSKĐ!U326,TTSSKĐ!AA326,TTSSKĐ!AG326,TTSSKĐ!AM326))=8)*(CHOOSE({1,2,3,4},TTSSKĐ!X326,TTSSKĐ!AD326,TTSSKĐ!AJ326,TTSSKĐ!AP326)))</f>
        <v>0</v>
      </c>
      <c r="I326">
        <f>SUMPRODUCT((MONTH(CHOOSE({1,2,3,4},TTSSKĐ!U326,TTSSKĐ!AA326,TTSSKĐ!AG326,TTSSKĐ!AM326))=9)*(CHOOSE({1,2,3,4},TTSSKĐ!X326,TTSSKĐ!AD326,TTSSKĐ!AJ326,TTSSKĐ!AP326)))</f>
        <v>0</v>
      </c>
      <c r="J326">
        <f>SUMPRODUCT((MONTH(CHOOSE({1,2,3,4},TTSSKĐ!U326,TTSSKĐ!AA326,TTSSKĐ!AG326,TTSSKĐ!AM326))=10)*(CHOOSE({1,2,3,4},TTSSKĐ!X326,TTSSKĐ!AD326,TTSSKĐ!AJ326,TTSSKĐ!AP326)))</f>
        <v>0</v>
      </c>
      <c r="K326">
        <f>SUMPRODUCT((MONTH(CHOOSE({1,2,3,4},TTSSKĐ!U326,TTSSKĐ!AA326,TTSSKĐ!AG326,TTSSKĐ!AM326))=11)*(CHOOSE({1,2,3,4},TTSSKĐ!X326,TTSSKĐ!AD326,TTSSKĐ!AJ326,TTSSKĐ!AP326)))</f>
        <v>0</v>
      </c>
      <c r="L326">
        <f>SUMPRODUCT((MONTH(CHOOSE({1,2,3,4},TTSSKĐ!U326,TTSSKĐ!AA326,TTSSKĐ!AG326,TTSSKĐ!AM326))=12)*(CHOOSE({1,2,3,4},TTSSKĐ!X326,TTSSKĐ!AD326,TTSSKĐ!AJ326,TTSSKĐ!AP326)))</f>
        <v>0</v>
      </c>
    </row>
    <row r="327" spans="1:12">
      <c r="A327">
        <f>SUMPRODUCT((MONTH(CHOOSE({1,2,3,4},TTSSKĐ!U327,TTSSKĐ!AA327,TTSSKĐ!AG327,TTSSKĐ!AM327))=1)*(CHOOSE({1,2,3,4},TTSSKĐ!X327,TTSSKĐ!AD327,TTSSKĐ!AJ327,TTSSKĐ!AP327)))</f>
        <v>0</v>
      </c>
      <c r="B327">
        <f>SUMPRODUCT((MONTH(CHOOSE({1,2,3,4},TTSSKĐ!U327,TTSSKĐ!AA327,TTSSKĐ!AG327,TTSSKĐ!AM327))=2)*(CHOOSE({1,2,3,4},TTSSKĐ!X327,TTSSKĐ!AD327,TTSSKĐ!AJ327,TTSSKĐ!AP327)))</f>
        <v>0</v>
      </c>
      <c r="C327">
        <f>SUMPRODUCT((MONTH(CHOOSE({1,2,3,4},TTSSKĐ!U327,TTSSKĐ!AA327,TTSSKĐ!AG327,TTSSKĐ!AM327))=3)*(CHOOSE({1,2,3,4},TTSSKĐ!X327,TTSSKĐ!AD327,TTSSKĐ!AJ327,TTSSKĐ!AP327)))</f>
        <v>0</v>
      </c>
      <c r="D327">
        <f>SUMPRODUCT((MONTH(CHOOSE({1,2,3,4},TTSSKĐ!U327,TTSSKĐ!AA327,TTSSKĐ!AG327,TTSSKĐ!AM327))=4)*(CHOOSE({1,2,3,4},TTSSKĐ!X327,TTSSKĐ!AD327,TTSSKĐ!AJ327,TTSSKĐ!AP327)))</f>
        <v>0</v>
      </c>
      <c r="E327">
        <f>SUMPRODUCT((MONTH(CHOOSE({1,2,3,4},TTSSKĐ!U327,TTSSKĐ!AA327,TTSSKĐ!AG327,TTSSKĐ!AM327))=5)*(CHOOSE({1,2,3,4},TTSSKĐ!X327,TTSSKĐ!AD327,TTSSKĐ!AJ327,TTSSKĐ!AP327)))</f>
        <v>0</v>
      </c>
      <c r="F327">
        <f>SUMPRODUCT((MONTH(CHOOSE({1,2,3,4},TTSSKĐ!U327,TTSSKĐ!AA327,TTSSKĐ!AG327,TTSSKĐ!AM327))=6)*(CHOOSE({1,2,3,4},TTSSKĐ!X327,TTSSKĐ!AD327,TTSSKĐ!AJ327,TTSSKĐ!AP327)))</f>
        <v>0</v>
      </c>
      <c r="G327">
        <f>SUMPRODUCT((MONTH(CHOOSE({1,2,3,4},TTSSKĐ!U327,TTSSKĐ!AA327,TTSSKĐ!AG327,TTSSKĐ!AM327))=7)*(CHOOSE({1,2,3,4},TTSSKĐ!X327,TTSSKĐ!AD327,TTSSKĐ!AJ327,TTSSKĐ!AP327)))</f>
        <v>0</v>
      </c>
      <c r="H327">
        <f>SUMPRODUCT((MONTH(CHOOSE({1,2,3,4},TTSSKĐ!U327,TTSSKĐ!AA327,TTSSKĐ!AG327,TTSSKĐ!AM327))=8)*(CHOOSE({1,2,3,4},TTSSKĐ!X327,TTSSKĐ!AD327,TTSSKĐ!AJ327,TTSSKĐ!AP327)))</f>
        <v>0</v>
      </c>
      <c r="I327">
        <f>SUMPRODUCT((MONTH(CHOOSE({1,2,3,4},TTSSKĐ!U327,TTSSKĐ!AA327,TTSSKĐ!AG327,TTSSKĐ!AM327))=9)*(CHOOSE({1,2,3,4},TTSSKĐ!X327,TTSSKĐ!AD327,TTSSKĐ!AJ327,TTSSKĐ!AP327)))</f>
        <v>0</v>
      </c>
      <c r="J327">
        <f>SUMPRODUCT((MONTH(CHOOSE({1,2,3,4},TTSSKĐ!U327,TTSSKĐ!AA327,TTSSKĐ!AG327,TTSSKĐ!AM327))=10)*(CHOOSE({1,2,3,4},TTSSKĐ!X327,TTSSKĐ!AD327,TTSSKĐ!AJ327,TTSSKĐ!AP327)))</f>
        <v>0</v>
      </c>
      <c r="K327">
        <f>SUMPRODUCT((MONTH(CHOOSE({1,2,3,4},TTSSKĐ!U327,TTSSKĐ!AA327,TTSSKĐ!AG327,TTSSKĐ!AM327))=11)*(CHOOSE({1,2,3,4},TTSSKĐ!X327,TTSSKĐ!AD327,TTSSKĐ!AJ327,TTSSKĐ!AP327)))</f>
        <v>0</v>
      </c>
      <c r="L327">
        <f>SUMPRODUCT((MONTH(CHOOSE({1,2,3,4},TTSSKĐ!U327,TTSSKĐ!AA327,TTSSKĐ!AG327,TTSSKĐ!AM327))=12)*(CHOOSE({1,2,3,4},TTSSKĐ!X327,TTSSKĐ!AD327,TTSSKĐ!AJ327,TTSSKĐ!AP327)))</f>
        <v>0</v>
      </c>
    </row>
    <row r="328" spans="1:12">
      <c r="A328">
        <f>SUMPRODUCT((MONTH(CHOOSE({1,2,3,4},TTSSKĐ!U328,TTSSKĐ!AA328,TTSSKĐ!AG328,TTSSKĐ!AM328))=1)*(CHOOSE({1,2,3,4},TTSSKĐ!X328,TTSSKĐ!AD328,TTSSKĐ!AJ328,TTSSKĐ!AP328)))</f>
        <v>0</v>
      </c>
      <c r="B328">
        <f>SUMPRODUCT((MONTH(CHOOSE({1,2,3,4},TTSSKĐ!U328,TTSSKĐ!AA328,TTSSKĐ!AG328,TTSSKĐ!AM328))=2)*(CHOOSE({1,2,3,4},TTSSKĐ!X328,TTSSKĐ!AD328,TTSSKĐ!AJ328,TTSSKĐ!AP328)))</f>
        <v>0</v>
      </c>
      <c r="C328">
        <f>SUMPRODUCT((MONTH(CHOOSE({1,2,3,4},TTSSKĐ!U328,TTSSKĐ!AA328,TTSSKĐ!AG328,TTSSKĐ!AM328))=3)*(CHOOSE({1,2,3,4},TTSSKĐ!X328,TTSSKĐ!AD328,TTSSKĐ!AJ328,TTSSKĐ!AP328)))</f>
        <v>0</v>
      </c>
      <c r="D328">
        <f>SUMPRODUCT((MONTH(CHOOSE({1,2,3,4},TTSSKĐ!U328,TTSSKĐ!AA328,TTSSKĐ!AG328,TTSSKĐ!AM328))=4)*(CHOOSE({1,2,3,4},TTSSKĐ!X328,TTSSKĐ!AD328,TTSSKĐ!AJ328,TTSSKĐ!AP328)))</f>
        <v>0</v>
      </c>
      <c r="E328">
        <f>SUMPRODUCT((MONTH(CHOOSE({1,2,3,4},TTSSKĐ!U328,TTSSKĐ!AA328,TTSSKĐ!AG328,TTSSKĐ!AM328))=5)*(CHOOSE({1,2,3,4},TTSSKĐ!X328,TTSSKĐ!AD328,TTSSKĐ!AJ328,TTSSKĐ!AP328)))</f>
        <v>0</v>
      </c>
      <c r="F328">
        <f>SUMPRODUCT((MONTH(CHOOSE({1,2,3,4},TTSSKĐ!U328,TTSSKĐ!AA328,TTSSKĐ!AG328,TTSSKĐ!AM328))=6)*(CHOOSE({1,2,3,4},TTSSKĐ!X328,TTSSKĐ!AD328,TTSSKĐ!AJ328,TTSSKĐ!AP328)))</f>
        <v>0</v>
      </c>
      <c r="G328">
        <f>SUMPRODUCT((MONTH(CHOOSE({1,2,3,4},TTSSKĐ!U328,TTSSKĐ!AA328,TTSSKĐ!AG328,TTSSKĐ!AM328))=7)*(CHOOSE({1,2,3,4},TTSSKĐ!X328,TTSSKĐ!AD328,TTSSKĐ!AJ328,TTSSKĐ!AP328)))</f>
        <v>0</v>
      </c>
      <c r="H328">
        <f>SUMPRODUCT((MONTH(CHOOSE({1,2,3,4},TTSSKĐ!U328,TTSSKĐ!AA328,TTSSKĐ!AG328,TTSSKĐ!AM328))=8)*(CHOOSE({1,2,3,4},TTSSKĐ!X328,TTSSKĐ!AD328,TTSSKĐ!AJ328,TTSSKĐ!AP328)))</f>
        <v>0</v>
      </c>
      <c r="I328">
        <f>SUMPRODUCT((MONTH(CHOOSE({1,2,3,4},TTSSKĐ!U328,TTSSKĐ!AA328,TTSSKĐ!AG328,TTSSKĐ!AM328))=9)*(CHOOSE({1,2,3,4},TTSSKĐ!X328,TTSSKĐ!AD328,TTSSKĐ!AJ328,TTSSKĐ!AP328)))</f>
        <v>0</v>
      </c>
      <c r="J328">
        <f>SUMPRODUCT((MONTH(CHOOSE({1,2,3,4},TTSSKĐ!U328,TTSSKĐ!AA328,TTSSKĐ!AG328,TTSSKĐ!AM328))=10)*(CHOOSE({1,2,3,4},TTSSKĐ!X328,TTSSKĐ!AD328,TTSSKĐ!AJ328,TTSSKĐ!AP328)))</f>
        <v>0</v>
      </c>
      <c r="K328">
        <f>SUMPRODUCT((MONTH(CHOOSE({1,2,3,4},TTSSKĐ!U328,TTSSKĐ!AA328,TTSSKĐ!AG328,TTSSKĐ!AM328))=11)*(CHOOSE({1,2,3,4},TTSSKĐ!X328,TTSSKĐ!AD328,TTSSKĐ!AJ328,TTSSKĐ!AP328)))</f>
        <v>0</v>
      </c>
      <c r="L328">
        <f>SUMPRODUCT((MONTH(CHOOSE({1,2,3,4},TTSSKĐ!U328,TTSSKĐ!AA328,TTSSKĐ!AG328,TTSSKĐ!AM328))=12)*(CHOOSE({1,2,3,4},TTSSKĐ!X328,TTSSKĐ!AD328,TTSSKĐ!AJ328,TTSSKĐ!AP328)))</f>
        <v>0</v>
      </c>
    </row>
    <row r="329" spans="1:12">
      <c r="A329">
        <f>SUMPRODUCT((MONTH(CHOOSE({1,2,3,4},TTSSKĐ!U329,TTSSKĐ!AA329,TTSSKĐ!AG329,TTSSKĐ!AM329))=1)*(CHOOSE({1,2,3,4},TTSSKĐ!X329,TTSSKĐ!AD329,TTSSKĐ!AJ329,TTSSKĐ!AP329)))</f>
        <v>0</v>
      </c>
      <c r="B329">
        <f>SUMPRODUCT((MONTH(CHOOSE({1,2,3,4},TTSSKĐ!U329,TTSSKĐ!AA329,TTSSKĐ!AG329,TTSSKĐ!AM329))=2)*(CHOOSE({1,2,3,4},TTSSKĐ!X329,TTSSKĐ!AD329,TTSSKĐ!AJ329,TTSSKĐ!AP329)))</f>
        <v>0</v>
      </c>
      <c r="C329">
        <f>SUMPRODUCT((MONTH(CHOOSE({1,2,3,4},TTSSKĐ!U329,TTSSKĐ!AA329,TTSSKĐ!AG329,TTSSKĐ!AM329))=3)*(CHOOSE({1,2,3,4},TTSSKĐ!X329,TTSSKĐ!AD329,TTSSKĐ!AJ329,TTSSKĐ!AP329)))</f>
        <v>0</v>
      </c>
      <c r="D329">
        <f>SUMPRODUCT((MONTH(CHOOSE({1,2,3,4},TTSSKĐ!U329,TTSSKĐ!AA329,TTSSKĐ!AG329,TTSSKĐ!AM329))=4)*(CHOOSE({1,2,3,4},TTSSKĐ!X329,TTSSKĐ!AD329,TTSSKĐ!AJ329,TTSSKĐ!AP329)))</f>
        <v>0</v>
      </c>
      <c r="E329">
        <f>SUMPRODUCT((MONTH(CHOOSE({1,2,3,4},TTSSKĐ!U329,TTSSKĐ!AA329,TTSSKĐ!AG329,TTSSKĐ!AM329))=5)*(CHOOSE({1,2,3,4},TTSSKĐ!X329,TTSSKĐ!AD329,TTSSKĐ!AJ329,TTSSKĐ!AP329)))</f>
        <v>0</v>
      </c>
      <c r="F329">
        <f>SUMPRODUCT((MONTH(CHOOSE({1,2,3,4},TTSSKĐ!U329,TTSSKĐ!AA329,TTSSKĐ!AG329,TTSSKĐ!AM329))=6)*(CHOOSE({1,2,3,4},TTSSKĐ!X329,TTSSKĐ!AD329,TTSSKĐ!AJ329,TTSSKĐ!AP329)))</f>
        <v>0</v>
      </c>
      <c r="G329">
        <f>SUMPRODUCT((MONTH(CHOOSE({1,2,3,4},TTSSKĐ!U329,TTSSKĐ!AA329,TTSSKĐ!AG329,TTSSKĐ!AM329))=7)*(CHOOSE({1,2,3,4},TTSSKĐ!X329,TTSSKĐ!AD329,TTSSKĐ!AJ329,TTSSKĐ!AP329)))</f>
        <v>0</v>
      </c>
      <c r="H329">
        <f>SUMPRODUCT((MONTH(CHOOSE({1,2,3,4},TTSSKĐ!U329,TTSSKĐ!AA329,TTSSKĐ!AG329,TTSSKĐ!AM329))=8)*(CHOOSE({1,2,3,4},TTSSKĐ!X329,TTSSKĐ!AD329,TTSSKĐ!AJ329,TTSSKĐ!AP329)))</f>
        <v>0</v>
      </c>
      <c r="I329">
        <f>SUMPRODUCT((MONTH(CHOOSE({1,2,3,4},TTSSKĐ!U329,TTSSKĐ!AA329,TTSSKĐ!AG329,TTSSKĐ!AM329))=9)*(CHOOSE({1,2,3,4},TTSSKĐ!X329,TTSSKĐ!AD329,TTSSKĐ!AJ329,TTSSKĐ!AP329)))</f>
        <v>0</v>
      </c>
      <c r="J329">
        <f>SUMPRODUCT((MONTH(CHOOSE({1,2,3,4},TTSSKĐ!U329,TTSSKĐ!AA329,TTSSKĐ!AG329,TTSSKĐ!AM329))=10)*(CHOOSE({1,2,3,4},TTSSKĐ!X329,TTSSKĐ!AD329,TTSSKĐ!AJ329,TTSSKĐ!AP329)))</f>
        <v>0</v>
      </c>
      <c r="K329">
        <f>SUMPRODUCT((MONTH(CHOOSE({1,2,3,4},TTSSKĐ!U329,TTSSKĐ!AA329,TTSSKĐ!AG329,TTSSKĐ!AM329))=11)*(CHOOSE({1,2,3,4},TTSSKĐ!X329,TTSSKĐ!AD329,TTSSKĐ!AJ329,TTSSKĐ!AP329)))</f>
        <v>0</v>
      </c>
      <c r="L329">
        <f>SUMPRODUCT((MONTH(CHOOSE({1,2,3,4},TTSSKĐ!U329,TTSSKĐ!AA329,TTSSKĐ!AG329,TTSSKĐ!AM329))=12)*(CHOOSE({1,2,3,4},TTSSKĐ!X329,TTSSKĐ!AD329,TTSSKĐ!AJ329,TTSSKĐ!AP329)))</f>
        <v>0</v>
      </c>
    </row>
    <row r="330" spans="1:12">
      <c r="A330">
        <f>SUMPRODUCT((MONTH(CHOOSE({1,2,3,4},TTSSKĐ!U330,TTSSKĐ!AA330,TTSSKĐ!AG330,TTSSKĐ!AM330))=1)*(CHOOSE({1,2,3,4},TTSSKĐ!X330,TTSSKĐ!AD330,TTSSKĐ!AJ330,TTSSKĐ!AP330)))</f>
        <v>0</v>
      </c>
      <c r="B330">
        <f>SUMPRODUCT((MONTH(CHOOSE({1,2,3,4},TTSSKĐ!U330,TTSSKĐ!AA330,TTSSKĐ!AG330,TTSSKĐ!AM330))=2)*(CHOOSE({1,2,3,4},TTSSKĐ!X330,TTSSKĐ!AD330,TTSSKĐ!AJ330,TTSSKĐ!AP330)))</f>
        <v>0</v>
      </c>
      <c r="C330">
        <f>SUMPRODUCT((MONTH(CHOOSE({1,2,3,4},TTSSKĐ!U330,TTSSKĐ!AA330,TTSSKĐ!AG330,TTSSKĐ!AM330))=3)*(CHOOSE({1,2,3,4},TTSSKĐ!X330,TTSSKĐ!AD330,TTSSKĐ!AJ330,TTSSKĐ!AP330)))</f>
        <v>0</v>
      </c>
      <c r="D330">
        <f>SUMPRODUCT((MONTH(CHOOSE({1,2,3,4},TTSSKĐ!U330,TTSSKĐ!AA330,TTSSKĐ!AG330,TTSSKĐ!AM330))=4)*(CHOOSE({1,2,3,4},TTSSKĐ!X330,TTSSKĐ!AD330,TTSSKĐ!AJ330,TTSSKĐ!AP330)))</f>
        <v>0</v>
      </c>
      <c r="E330">
        <f>SUMPRODUCT((MONTH(CHOOSE({1,2,3,4},TTSSKĐ!U330,TTSSKĐ!AA330,TTSSKĐ!AG330,TTSSKĐ!AM330))=5)*(CHOOSE({1,2,3,4},TTSSKĐ!X330,TTSSKĐ!AD330,TTSSKĐ!AJ330,TTSSKĐ!AP330)))</f>
        <v>0</v>
      </c>
      <c r="F330">
        <f>SUMPRODUCT((MONTH(CHOOSE({1,2,3,4},TTSSKĐ!U330,TTSSKĐ!AA330,TTSSKĐ!AG330,TTSSKĐ!AM330))=6)*(CHOOSE({1,2,3,4},TTSSKĐ!X330,TTSSKĐ!AD330,TTSSKĐ!AJ330,TTSSKĐ!AP330)))</f>
        <v>0</v>
      </c>
      <c r="G330">
        <f>SUMPRODUCT((MONTH(CHOOSE({1,2,3,4},TTSSKĐ!U330,TTSSKĐ!AA330,TTSSKĐ!AG330,TTSSKĐ!AM330))=7)*(CHOOSE({1,2,3,4},TTSSKĐ!X330,TTSSKĐ!AD330,TTSSKĐ!AJ330,TTSSKĐ!AP330)))</f>
        <v>0</v>
      </c>
      <c r="H330">
        <f>SUMPRODUCT((MONTH(CHOOSE({1,2,3,4},TTSSKĐ!U330,TTSSKĐ!AA330,TTSSKĐ!AG330,TTSSKĐ!AM330))=8)*(CHOOSE({1,2,3,4},TTSSKĐ!X330,TTSSKĐ!AD330,TTSSKĐ!AJ330,TTSSKĐ!AP330)))</f>
        <v>0</v>
      </c>
      <c r="I330">
        <f>SUMPRODUCT((MONTH(CHOOSE({1,2,3,4},TTSSKĐ!U330,TTSSKĐ!AA330,TTSSKĐ!AG330,TTSSKĐ!AM330))=9)*(CHOOSE({1,2,3,4},TTSSKĐ!X330,TTSSKĐ!AD330,TTSSKĐ!AJ330,TTSSKĐ!AP330)))</f>
        <v>0</v>
      </c>
      <c r="J330">
        <f>SUMPRODUCT((MONTH(CHOOSE({1,2,3,4},TTSSKĐ!U330,TTSSKĐ!AA330,TTSSKĐ!AG330,TTSSKĐ!AM330))=10)*(CHOOSE({1,2,3,4},TTSSKĐ!X330,TTSSKĐ!AD330,TTSSKĐ!AJ330,TTSSKĐ!AP330)))</f>
        <v>0</v>
      </c>
      <c r="K330">
        <f>SUMPRODUCT((MONTH(CHOOSE({1,2,3,4},TTSSKĐ!U330,TTSSKĐ!AA330,TTSSKĐ!AG330,TTSSKĐ!AM330))=11)*(CHOOSE({1,2,3,4},TTSSKĐ!X330,TTSSKĐ!AD330,TTSSKĐ!AJ330,TTSSKĐ!AP330)))</f>
        <v>0</v>
      </c>
      <c r="L330">
        <f>SUMPRODUCT((MONTH(CHOOSE({1,2,3,4},TTSSKĐ!U330,TTSSKĐ!AA330,TTSSKĐ!AG330,TTSSKĐ!AM330))=12)*(CHOOSE({1,2,3,4},TTSSKĐ!X330,TTSSKĐ!AD330,TTSSKĐ!AJ330,TTSSKĐ!AP330)))</f>
        <v>0</v>
      </c>
    </row>
    <row r="331" spans="1:12">
      <c r="A331">
        <f>SUMPRODUCT((MONTH(CHOOSE({1,2,3,4},TTSSKĐ!U331,TTSSKĐ!AA331,TTSSKĐ!AG331,TTSSKĐ!AM331))=1)*(CHOOSE({1,2,3,4},TTSSKĐ!X331,TTSSKĐ!AD331,TTSSKĐ!AJ331,TTSSKĐ!AP331)))</f>
        <v>0</v>
      </c>
      <c r="B331">
        <f>SUMPRODUCT((MONTH(CHOOSE({1,2,3,4},TTSSKĐ!U331,TTSSKĐ!AA331,TTSSKĐ!AG331,TTSSKĐ!AM331))=2)*(CHOOSE({1,2,3,4},TTSSKĐ!X331,TTSSKĐ!AD331,TTSSKĐ!AJ331,TTSSKĐ!AP331)))</f>
        <v>0</v>
      </c>
      <c r="C331">
        <f>SUMPRODUCT((MONTH(CHOOSE({1,2,3,4},TTSSKĐ!U331,TTSSKĐ!AA331,TTSSKĐ!AG331,TTSSKĐ!AM331))=3)*(CHOOSE({1,2,3,4},TTSSKĐ!X331,TTSSKĐ!AD331,TTSSKĐ!AJ331,TTSSKĐ!AP331)))</f>
        <v>0</v>
      </c>
      <c r="D331">
        <f>SUMPRODUCT((MONTH(CHOOSE({1,2,3,4},TTSSKĐ!U331,TTSSKĐ!AA331,TTSSKĐ!AG331,TTSSKĐ!AM331))=4)*(CHOOSE({1,2,3,4},TTSSKĐ!X331,TTSSKĐ!AD331,TTSSKĐ!AJ331,TTSSKĐ!AP331)))</f>
        <v>0</v>
      </c>
      <c r="E331">
        <f>SUMPRODUCT((MONTH(CHOOSE({1,2,3,4},TTSSKĐ!U331,TTSSKĐ!AA331,TTSSKĐ!AG331,TTSSKĐ!AM331))=5)*(CHOOSE({1,2,3,4},TTSSKĐ!X331,TTSSKĐ!AD331,TTSSKĐ!AJ331,TTSSKĐ!AP331)))</f>
        <v>0</v>
      </c>
      <c r="F331">
        <f>SUMPRODUCT((MONTH(CHOOSE({1,2,3,4},TTSSKĐ!U331,TTSSKĐ!AA331,TTSSKĐ!AG331,TTSSKĐ!AM331))=6)*(CHOOSE({1,2,3,4},TTSSKĐ!X331,TTSSKĐ!AD331,TTSSKĐ!AJ331,TTSSKĐ!AP331)))</f>
        <v>0</v>
      </c>
      <c r="G331">
        <f>SUMPRODUCT((MONTH(CHOOSE({1,2,3,4},TTSSKĐ!U331,TTSSKĐ!AA331,TTSSKĐ!AG331,TTSSKĐ!AM331))=7)*(CHOOSE({1,2,3,4},TTSSKĐ!X331,TTSSKĐ!AD331,TTSSKĐ!AJ331,TTSSKĐ!AP331)))</f>
        <v>0</v>
      </c>
      <c r="H331">
        <f>SUMPRODUCT((MONTH(CHOOSE({1,2,3,4},TTSSKĐ!U331,TTSSKĐ!AA331,TTSSKĐ!AG331,TTSSKĐ!AM331))=8)*(CHOOSE({1,2,3,4},TTSSKĐ!X331,TTSSKĐ!AD331,TTSSKĐ!AJ331,TTSSKĐ!AP331)))</f>
        <v>0</v>
      </c>
      <c r="I331">
        <f>SUMPRODUCT((MONTH(CHOOSE({1,2,3,4},TTSSKĐ!U331,TTSSKĐ!AA331,TTSSKĐ!AG331,TTSSKĐ!AM331))=9)*(CHOOSE({1,2,3,4},TTSSKĐ!X331,TTSSKĐ!AD331,TTSSKĐ!AJ331,TTSSKĐ!AP331)))</f>
        <v>0</v>
      </c>
      <c r="J331">
        <f>SUMPRODUCT((MONTH(CHOOSE({1,2,3,4},TTSSKĐ!U331,TTSSKĐ!AA331,TTSSKĐ!AG331,TTSSKĐ!AM331))=10)*(CHOOSE({1,2,3,4},TTSSKĐ!X331,TTSSKĐ!AD331,TTSSKĐ!AJ331,TTSSKĐ!AP331)))</f>
        <v>0</v>
      </c>
      <c r="K331">
        <f>SUMPRODUCT((MONTH(CHOOSE({1,2,3,4},TTSSKĐ!U331,TTSSKĐ!AA331,TTSSKĐ!AG331,TTSSKĐ!AM331))=11)*(CHOOSE({1,2,3,4},TTSSKĐ!X331,TTSSKĐ!AD331,TTSSKĐ!AJ331,TTSSKĐ!AP331)))</f>
        <v>0</v>
      </c>
      <c r="L331">
        <f>SUMPRODUCT((MONTH(CHOOSE({1,2,3,4},TTSSKĐ!U331,TTSSKĐ!AA331,TTSSKĐ!AG331,TTSSKĐ!AM331))=12)*(CHOOSE({1,2,3,4},TTSSKĐ!X331,TTSSKĐ!AD331,TTSSKĐ!AJ331,TTSSKĐ!AP331)))</f>
        <v>0</v>
      </c>
    </row>
    <row r="332" spans="1:12">
      <c r="A332">
        <f>SUMPRODUCT((MONTH(CHOOSE({1,2,3,4},TTSSKĐ!U332,TTSSKĐ!AA332,TTSSKĐ!AG332,TTSSKĐ!AM332))=1)*(CHOOSE({1,2,3,4},TTSSKĐ!X332,TTSSKĐ!AD332,TTSSKĐ!AJ332,TTSSKĐ!AP332)))</f>
        <v>0</v>
      </c>
      <c r="B332">
        <f>SUMPRODUCT((MONTH(CHOOSE({1,2,3,4},TTSSKĐ!U332,TTSSKĐ!AA332,TTSSKĐ!AG332,TTSSKĐ!AM332))=2)*(CHOOSE({1,2,3,4},TTSSKĐ!X332,TTSSKĐ!AD332,TTSSKĐ!AJ332,TTSSKĐ!AP332)))</f>
        <v>0</v>
      </c>
      <c r="C332">
        <f>SUMPRODUCT((MONTH(CHOOSE({1,2,3,4},TTSSKĐ!U332,TTSSKĐ!AA332,TTSSKĐ!AG332,TTSSKĐ!AM332))=3)*(CHOOSE({1,2,3,4},TTSSKĐ!X332,TTSSKĐ!AD332,TTSSKĐ!AJ332,TTSSKĐ!AP332)))</f>
        <v>0</v>
      </c>
      <c r="D332">
        <f>SUMPRODUCT((MONTH(CHOOSE({1,2,3,4},TTSSKĐ!U332,TTSSKĐ!AA332,TTSSKĐ!AG332,TTSSKĐ!AM332))=4)*(CHOOSE({1,2,3,4},TTSSKĐ!X332,TTSSKĐ!AD332,TTSSKĐ!AJ332,TTSSKĐ!AP332)))</f>
        <v>0</v>
      </c>
      <c r="E332">
        <f>SUMPRODUCT((MONTH(CHOOSE({1,2,3,4},TTSSKĐ!U332,TTSSKĐ!AA332,TTSSKĐ!AG332,TTSSKĐ!AM332))=5)*(CHOOSE({1,2,3,4},TTSSKĐ!X332,TTSSKĐ!AD332,TTSSKĐ!AJ332,TTSSKĐ!AP332)))</f>
        <v>0</v>
      </c>
      <c r="F332">
        <f>SUMPRODUCT((MONTH(CHOOSE({1,2,3,4},TTSSKĐ!U332,TTSSKĐ!AA332,TTSSKĐ!AG332,TTSSKĐ!AM332))=6)*(CHOOSE({1,2,3,4},TTSSKĐ!X332,TTSSKĐ!AD332,TTSSKĐ!AJ332,TTSSKĐ!AP332)))</f>
        <v>0</v>
      </c>
      <c r="G332">
        <f>SUMPRODUCT((MONTH(CHOOSE({1,2,3,4},TTSSKĐ!U332,TTSSKĐ!AA332,TTSSKĐ!AG332,TTSSKĐ!AM332))=7)*(CHOOSE({1,2,3,4},TTSSKĐ!X332,TTSSKĐ!AD332,TTSSKĐ!AJ332,TTSSKĐ!AP332)))</f>
        <v>0</v>
      </c>
      <c r="H332">
        <f>SUMPRODUCT((MONTH(CHOOSE({1,2,3,4},TTSSKĐ!U332,TTSSKĐ!AA332,TTSSKĐ!AG332,TTSSKĐ!AM332))=8)*(CHOOSE({1,2,3,4},TTSSKĐ!X332,TTSSKĐ!AD332,TTSSKĐ!AJ332,TTSSKĐ!AP332)))</f>
        <v>0</v>
      </c>
      <c r="I332">
        <f>SUMPRODUCT((MONTH(CHOOSE({1,2,3,4},TTSSKĐ!U332,TTSSKĐ!AA332,TTSSKĐ!AG332,TTSSKĐ!AM332))=9)*(CHOOSE({1,2,3,4},TTSSKĐ!X332,TTSSKĐ!AD332,TTSSKĐ!AJ332,TTSSKĐ!AP332)))</f>
        <v>0</v>
      </c>
      <c r="J332">
        <f>SUMPRODUCT((MONTH(CHOOSE({1,2,3,4},TTSSKĐ!U332,TTSSKĐ!AA332,TTSSKĐ!AG332,TTSSKĐ!AM332))=10)*(CHOOSE({1,2,3,4},TTSSKĐ!X332,TTSSKĐ!AD332,TTSSKĐ!AJ332,TTSSKĐ!AP332)))</f>
        <v>0</v>
      </c>
      <c r="K332">
        <f>SUMPRODUCT((MONTH(CHOOSE({1,2,3,4},TTSSKĐ!U332,TTSSKĐ!AA332,TTSSKĐ!AG332,TTSSKĐ!AM332))=11)*(CHOOSE({1,2,3,4},TTSSKĐ!X332,TTSSKĐ!AD332,TTSSKĐ!AJ332,TTSSKĐ!AP332)))</f>
        <v>0</v>
      </c>
      <c r="L332">
        <f>SUMPRODUCT((MONTH(CHOOSE({1,2,3,4},TTSSKĐ!U332,TTSSKĐ!AA332,TTSSKĐ!AG332,TTSSKĐ!AM332))=12)*(CHOOSE({1,2,3,4},TTSSKĐ!X332,TTSSKĐ!AD332,TTSSKĐ!AJ332,TTSSKĐ!AP332)))</f>
        <v>0</v>
      </c>
    </row>
    <row r="333" spans="1:12">
      <c r="A333">
        <f>SUMPRODUCT((MONTH(CHOOSE({1,2,3,4},TTSSKĐ!U333,TTSSKĐ!AA333,TTSSKĐ!AG333,TTSSKĐ!AM333))=1)*(CHOOSE({1,2,3,4},TTSSKĐ!X333,TTSSKĐ!AD333,TTSSKĐ!AJ333,TTSSKĐ!AP333)))</f>
        <v>0</v>
      </c>
      <c r="B333">
        <f>SUMPRODUCT((MONTH(CHOOSE({1,2,3,4},TTSSKĐ!U333,TTSSKĐ!AA333,TTSSKĐ!AG333,TTSSKĐ!AM333))=2)*(CHOOSE({1,2,3,4},TTSSKĐ!X333,TTSSKĐ!AD333,TTSSKĐ!AJ333,TTSSKĐ!AP333)))</f>
        <v>0</v>
      </c>
      <c r="C333">
        <f>SUMPRODUCT((MONTH(CHOOSE({1,2,3,4},TTSSKĐ!U333,TTSSKĐ!AA333,TTSSKĐ!AG333,TTSSKĐ!AM333))=3)*(CHOOSE({1,2,3,4},TTSSKĐ!X333,TTSSKĐ!AD333,TTSSKĐ!AJ333,TTSSKĐ!AP333)))</f>
        <v>0</v>
      </c>
      <c r="D333">
        <f>SUMPRODUCT((MONTH(CHOOSE({1,2,3,4},TTSSKĐ!U333,TTSSKĐ!AA333,TTSSKĐ!AG333,TTSSKĐ!AM333))=4)*(CHOOSE({1,2,3,4},TTSSKĐ!X333,TTSSKĐ!AD333,TTSSKĐ!AJ333,TTSSKĐ!AP333)))</f>
        <v>0</v>
      </c>
      <c r="E333">
        <f>SUMPRODUCT((MONTH(CHOOSE({1,2,3,4},TTSSKĐ!U333,TTSSKĐ!AA333,TTSSKĐ!AG333,TTSSKĐ!AM333))=5)*(CHOOSE({1,2,3,4},TTSSKĐ!X333,TTSSKĐ!AD333,TTSSKĐ!AJ333,TTSSKĐ!AP333)))</f>
        <v>0</v>
      </c>
      <c r="F333">
        <f>SUMPRODUCT((MONTH(CHOOSE({1,2,3,4},TTSSKĐ!U333,TTSSKĐ!AA333,TTSSKĐ!AG333,TTSSKĐ!AM333))=6)*(CHOOSE({1,2,3,4},TTSSKĐ!X333,TTSSKĐ!AD333,TTSSKĐ!AJ333,TTSSKĐ!AP333)))</f>
        <v>0</v>
      </c>
      <c r="G333">
        <f>SUMPRODUCT((MONTH(CHOOSE({1,2,3,4},TTSSKĐ!U333,TTSSKĐ!AA333,TTSSKĐ!AG333,TTSSKĐ!AM333))=7)*(CHOOSE({1,2,3,4},TTSSKĐ!X333,TTSSKĐ!AD333,TTSSKĐ!AJ333,TTSSKĐ!AP333)))</f>
        <v>0</v>
      </c>
      <c r="H333">
        <f>SUMPRODUCT((MONTH(CHOOSE({1,2,3,4},TTSSKĐ!U333,TTSSKĐ!AA333,TTSSKĐ!AG333,TTSSKĐ!AM333))=8)*(CHOOSE({1,2,3,4},TTSSKĐ!X333,TTSSKĐ!AD333,TTSSKĐ!AJ333,TTSSKĐ!AP333)))</f>
        <v>0</v>
      </c>
      <c r="I333">
        <f>SUMPRODUCT((MONTH(CHOOSE({1,2,3,4},TTSSKĐ!U333,TTSSKĐ!AA333,TTSSKĐ!AG333,TTSSKĐ!AM333))=9)*(CHOOSE({1,2,3,4},TTSSKĐ!X333,TTSSKĐ!AD333,TTSSKĐ!AJ333,TTSSKĐ!AP333)))</f>
        <v>0</v>
      </c>
      <c r="J333">
        <f>SUMPRODUCT((MONTH(CHOOSE({1,2,3,4},TTSSKĐ!U333,TTSSKĐ!AA333,TTSSKĐ!AG333,TTSSKĐ!AM333))=10)*(CHOOSE({1,2,3,4},TTSSKĐ!X333,TTSSKĐ!AD333,TTSSKĐ!AJ333,TTSSKĐ!AP333)))</f>
        <v>0</v>
      </c>
      <c r="K333">
        <f>SUMPRODUCT((MONTH(CHOOSE({1,2,3,4},TTSSKĐ!U333,TTSSKĐ!AA333,TTSSKĐ!AG333,TTSSKĐ!AM333))=11)*(CHOOSE({1,2,3,4},TTSSKĐ!X333,TTSSKĐ!AD333,TTSSKĐ!AJ333,TTSSKĐ!AP333)))</f>
        <v>0</v>
      </c>
      <c r="L333">
        <f>SUMPRODUCT((MONTH(CHOOSE({1,2,3,4},TTSSKĐ!U333,TTSSKĐ!AA333,TTSSKĐ!AG333,TTSSKĐ!AM333))=12)*(CHOOSE({1,2,3,4},TTSSKĐ!X333,TTSSKĐ!AD333,TTSSKĐ!AJ333,TTSSKĐ!AP333)))</f>
        <v>0</v>
      </c>
    </row>
    <row r="334" spans="1:12">
      <c r="A334">
        <f>SUMPRODUCT((MONTH(CHOOSE({1,2,3,4},TTSSKĐ!U334,TTSSKĐ!AA334,TTSSKĐ!AG334,TTSSKĐ!AM334))=1)*(CHOOSE({1,2,3,4},TTSSKĐ!X334,TTSSKĐ!AD334,TTSSKĐ!AJ334,TTSSKĐ!AP334)))</f>
        <v>0</v>
      </c>
      <c r="B334">
        <f>SUMPRODUCT((MONTH(CHOOSE({1,2,3,4},TTSSKĐ!U334,TTSSKĐ!AA334,TTSSKĐ!AG334,TTSSKĐ!AM334))=2)*(CHOOSE({1,2,3,4},TTSSKĐ!X334,TTSSKĐ!AD334,TTSSKĐ!AJ334,TTSSKĐ!AP334)))</f>
        <v>0</v>
      </c>
      <c r="C334">
        <f>SUMPRODUCT((MONTH(CHOOSE({1,2,3,4},TTSSKĐ!U334,TTSSKĐ!AA334,TTSSKĐ!AG334,TTSSKĐ!AM334))=3)*(CHOOSE({1,2,3,4},TTSSKĐ!X334,TTSSKĐ!AD334,TTSSKĐ!AJ334,TTSSKĐ!AP334)))</f>
        <v>0</v>
      </c>
      <c r="D334">
        <f>SUMPRODUCT((MONTH(CHOOSE({1,2,3,4},TTSSKĐ!U334,TTSSKĐ!AA334,TTSSKĐ!AG334,TTSSKĐ!AM334))=4)*(CHOOSE({1,2,3,4},TTSSKĐ!X334,TTSSKĐ!AD334,TTSSKĐ!AJ334,TTSSKĐ!AP334)))</f>
        <v>0</v>
      </c>
      <c r="E334">
        <f>SUMPRODUCT((MONTH(CHOOSE({1,2,3,4},TTSSKĐ!U334,TTSSKĐ!AA334,TTSSKĐ!AG334,TTSSKĐ!AM334))=5)*(CHOOSE({1,2,3,4},TTSSKĐ!X334,TTSSKĐ!AD334,TTSSKĐ!AJ334,TTSSKĐ!AP334)))</f>
        <v>0</v>
      </c>
      <c r="F334">
        <f>SUMPRODUCT((MONTH(CHOOSE({1,2,3,4},TTSSKĐ!U334,TTSSKĐ!AA334,TTSSKĐ!AG334,TTSSKĐ!AM334))=6)*(CHOOSE({1,2,3,4},TTSSKĐ!X334,TTSSKĐ!AD334,TTSSKĐ!AJ334,TTSSKĐ!AP334)))</f>
        <v>0</v>
      </c>
      <c r="G334">
        <f>SUMPRODUCT((MONTH(CHOOSE({1,2,3,4},TTSSKĐ!U334,TTSSKĐ!AA334,TTSSKĐ!AG334,TTSSKĐ!AM334))=7)*(CHOOSE({1,2,3,4},TTSSKĐ!X334,TTSSKĐ!AD334,TTSSKĐ!AJ334,TTSSKĐ!AP334)))</f>
        <v>0</v>
      </c>
      <c r="H334">
        <f>SUMPRODUCT((MONTH(CHOOSE({1,2,3,4},TTSSKĐ!U334,TTSSKĐ!AA334,TTSSKĐ!AG334,TTSSKĐ!AM334))=8)*(CHOOSE({1,2,3,4},TTSSKĐ!X334,TTSSKĐ!AD334,TTSSKĐ!AJ334,TTSSKĐ!AP334)))</f>
        <v>0</v>
      </c>
      <c r="I334">
        <f>SUMPRODUCT((MONTH(CHOOSE({1,2,3,4},TTSSKĐ!U334,TTSSKĐ!AA334,TTSSKĐ!AG334,TTSSKĐ!AM334))=9)*(CHOOSE({1,2,3,4},TTSSKĐ!X334,TTSSKĐ!AD334,TTSSKĐ!AJ334,TTSSKĐ!AP334)))</f>
        <v>0</v>
      </c>
      <c r="J334">
        <f>SUMPRODUCT((MONTH(CHOOSE({1,2,3,4},TTSSKĐ!U334,TTSSKĐ!AA334,TTSSKĐ!AG334,TTSSKĐ!AM334))=10)*(CHOOSE({1,2,3,4},TTSSKĐ!X334,TTSSKĐ!AD334,TTSSKĐ!AJ334,TTSSKĐ!AP334)))</f>
        <v>0</v>
      </c>
      <c r="K334">
        <f>SUMPRODUCT((MONTH(CHOOSE({1,2,3,4},TTSSKĐ!U334,TTSSKĐ!AA334,TTSSKĐ!AG334,TTSSKĐ!AM334))=11)*(CHOOSE({1,2,3,4},TTSSKĐ!X334,TTSSKĐ!AD334,TTSSKĐ!AJ334,TTSSKĐ!AP334)))</f>
        <v>0</v>
      </c>
      <c r="L334">
        <f>SUMPRODUCT((MONTH(CHOOSE({1,2,3,4},TTSSKĐ!U334,TTSSKĐ!AA334,TTSSKĐ!AG334,TTSSKĐ!AM334))=12)*(CHOOSE({1,2,3,4},TTSSKĐ!X334,TTSSKĐ!AD334,TTSSKĐ!AJ334,TTSSKĐ!AP334)))</f>
        <v>0</v>
      </c>
    </row>
    <row r="335" spans="1:12">
      <c r="A335">
        <f>SUMPRODUCT((MONTH(CHOOSE({1,2,3,4},TTSSKĐ!U335,TTSSKĐ!AA335,TTSSKĐ!AG335,TTSSKĐ!AM335))=1)*(CHOOSE({1,2,3,4},TTSSKĐ!X335,TTSSKĐ!AD335,TTSSKĐ!AJ335,TTSSKĐ!AP335)))</f>
        <v>0</v>
      </c>
      <c r="B335">
        <f>SUMPRODUCT((MONTH(CHOOSE({1,2,3,4},TTSSKĐ!U335,TTSSKĐ!AA335,TTSSKĐ!AG335,TTSSKĐ!AM335))=2)*(CHOOSE({1,2,3,4},TTSSKĐ!X335,TTSSKĐ!AD335,TTSSKĐ!AJ335,TTSSKĐ!AP335)))</f>
        <v>0</v>
      </c>
      <c r="C335">
        <f>SUMPRODUCT((MONTH(CHOOSE({1,2,3,4},TTSSKĐ!U335,TTSSKĐ!AA335,TTSSKĐ!AG335,TTSSKĐ!AM335))=3)*(CHOOSE({1,2,3,4},TTSSKĐ!X335,TTSSKĐ!AD335,TTSSKĐ!AJ335,TTSSKĐ!AP335)))</f>
        <v>0</v>
      </c>
      <c r="D335">
        <f>SUMPRODUCT((MONTH(CHOOSE({1,2,3,4},TTSSKĐ!U335,TTSSKĐ!AA335,TTSSKĐ!AG335,TTSSKĐ!AM335))=4)*(CHOOSE({1,2,3,4},TTSSKĐ!X335,TTSSKĐ!AD335,TTSSKĐ!AJ335,TTSSKĐ!AP335)))</f>
        <v>0</v>
      </c>
      <c r="E335">
        <f>SUMPRODUCT((MONTH(CHOOSE({1,2,3,4},TTSSKĐ!U335,TTSSKĐ!AA335,TTSSKĐ!AG335,TTSSKĐ!AM335))=5)*(CHOOSE({1,2,3,4},TTSSKĐ!X335,TTSSKĐ!AD335,TTSSKĐ!AJ335,TTSSKĐ!AP335)))</f>
        <v>0</v>
      </c>
      <c r="F335">
        <f>SUMPRODUCT((MONTH(CHOOSE({1,2,3,4},TTSSKĐ!U335,TTSSKĐ!AA335,TTSSKĐ!AG335,TTSSKĐ!AM335))=6)*(CHOOSE({1,2,3,4},TTSSKĐ!X335,TTSSKĐ!AD335,TTSSKĐ!AJ335,TTSSKĐ!AP335)))</f>
        <v>0</v>
      </c>
      <c r="G335">
        <f>SUMPRODUCT((MONTH(CHOOSE({1,2,3,4},TTSSKĐ!U335,TTSSKĐ!AA335,TTSSKĐ!AG335,TTSSKĐ!AM335))=7)*(CHOOSE({1,2,3,4},TTSSKĐ!X335,TTSSKĐ!AD335,TTSSKĐ!AJ335,TTSSKĐ!AP335)))</f>
        <v>0</v>
      </c>
      <c r="H335">
        <f>SUMPRODUCT((MONTH(CHOOSE({1,2,3,4},TTSSKĐ!U335,TTSSKĐ!AA335,TTSSKĐ!AG335,TTSSKĐ!AM335))=8)*(CHOOSE({1,2,3,4},TTSSKĐ!X335,TTSSKĐ!AD335,TTSSKĐ!AJ335,TTSSKĐ!AP335)))</f>
        <v>0</v>
      </c>
      <c r="I335">
        <f>SUMPRODUCT((MONTH(CHOOSE({1,2,3,4},TTSSKĐ!U335,TTSSKĐ!AA335,TTSSKĐ!AG335,TTSSKĐ!AM335))=9)*(CHOOSE({1,2,3,4},TTSSKĐ!X335,TTSSKĐ!AD335,TTSSKĐ!AJ335,TTSSKĐ!AP335)))</f>
        <v>0</v>
      </c>
      <c r="J335">
        <f>SUMPRODUCT((MONTH(CHOOSE({1,2,3,4},TTSSKĐ!U335,TTSSKĐ!AA335,TTSSKĐ!AG335,TTSSKĐ!AM335))=10)*(CHOOSE({1,2,3,4},TTSSKĐ!X335,TTSSKĐ!AD335,TTSSKĐ!AJ335,TTSSKĐ!AP335)))</f>
        <v>0</v>
      </c>
      <c r="K335">
        <f>SUMPRODUCT((MONTH(CHOOSE({1,2,3,4},TTSSKĐ!U335,TTSSKĐ!AA335,TTSSKĐ!AG335,TTSSKĐ!AM335))=11)*(CHOOSE({1,2,3,4},TTSSKĐ!X335,TTSSKĐ!AD335,TTSSKĐ!AJ335,TTSSKĐ!AP335)))</f>
        <v>0</v>
      </c>
      <c r="L335">
        <f>SUMPRODUCT((MONTH(CHOOSE({1,2,3,4},TTSSKĐ!U335,TTSSKĐ!AA335,TTSSKĐ!AG335,TTSSKĐ!AM335))=12)*(CHOOSE({1,2,3,4},TTSSKĐ!X335,TTSSKĐ!AD335,TTSSKĐ!AJ335,TTSSKĐ!AP335)))</f>
        <v>0</v>
      </c>
    </row>
    <row r="336" spans="1:12">
      <c r="A336">
        <f>SUMPRODUCT((MONTH(CHOOSE({1,2,3,4},TTSSKĐ!U336,TTSSKĐ!AA336,TTSSKĐ!AG336,TTSSKĐ!AM336))=1)*(CHOOSE({1,2,3,4},TTSSKĐ!X336,TTSSKĐ!AD336,TTSSKĐ!AJ336,TTSSKĐ!AP336)))</f>
        <v>0</v>
      </c>
      <c r="B336">
        <f>SUMPRODUCT((MONTH(CHOOSE({1,2,3,4},TTSSKĐ!U336,TTSSKĐ!AA336,TTSSKĐ!AG336,TTSSKĐ!AM336))=2)*(CHOOSE({1,2,3,4},TTSSKĐ!X336,TTSSKĐ!AD336,TTSSKĐ!AJ336,TTSSKĐ!AP336)))</f>
        <v>0</v>
      </c>
      <c r="C336">
        <f>SUMPRODUCT((MONTH(CHOOSE({1,2,3,4},TTSSKĐ!U336,TTSSKĐ!AA336,TTSSKĐ!AG336,TTSSKĐ!AM336))=3)*(CHOOSE({1,2,3,4},TTSSKĐ!X336,TTSSKĐ!AD336,TTSSKĐ!AJ336,TTSSKĐ!AP336)))</f>
        <v>0</v>
      </c>
      <c r="D336">
        <f>SUMPRODUCT((MONTH(CHOOSE({1,2,3,4},TTSSKĐ!U336,TTSSKĐ!AA336,TTSSKĐ!AG336,TTSSKĐ!AM336))=4)*(CHOOSE({1,2,3,4},TTSSKĐ!X336,TTSSKĐ!AD336,TTSSKĐ!AJ336,TTSSKĐ!AP336)))</f>
        <v>0</v>
      </c>
      <c r="E336">
        <f>SUMPRODUCT((MONTH(CHOOSE({1,2,3,4},TTSSKĐ!U336,TTSSKĐ!AA336,TTSSKĐ!AG336,TTSSKĐ!AM336))=5)*(CHOOSE({1,2,3,4},TTSSKĐ!X336,TTSSKĐ!AD336,TTSSKĐ!AJ336,TTSSKĐ!AP336)))</f>
        <v>0</v>
      </c>
      <c r="F336">
        <f>SUMPRODUCT((MONTH(CHOOSE({1,2,3,4},TTSSKĐ!U336,TTSSKĐ!AA336,TTSSKĐ!AG336,TTSSKĐ!AM336))=6)*(CHOOSE({1,2,3,4},TTSSKĐ!X336,TTSSKĐ!AD336,TTSSKĐ!AJ336,TTSSKĐ!AP336)))</f>
        <v>0</v>
      </c>
      <c r="G336">
        <f>SUMPRODUCT((MONTH(CHOOSE({1,2,3,4},TTSSKĐ!U336,TTSSKĐ!AA336,TTSSKĐ!AG336,TTSSKĐ!AM336))=7)*(CHOOSE({1,2,3,4},TTSSKĐ!X336,TTSSKĐ!AD336,TTSSKĐ!AJ336,TTSSKĐ!AP336)))</f>
        <v>0</v>
      </c>
      <c r="H336">
        <f>SUMPRODUCT((MONTH(CHOOSE({1,2,3,4},TTSSKĐ!U336,TTSSKĐ!AA336,TTSSKĐ!AG336,TTSSKĐ!AM336))=8)*(CHOOSE({1,2,3,4},TTSSKĐ!X336,TTSSKĐ!AD336,TTSSKĐ!AJ336,TTSSKĐ!AP336)))</f>
        <v>0</v>
      </c>
      <c r="I336">
        <f>SUMPRODUCT((MONTH(CHOOSE({1,2,3,4},TTSSKĐ!U336,TTSSKĐ!AA336,TTSSKĐ!AG336,TTSSKĐ!AM336))=9)*(CHOOSE({1,2,3,4},TTSSKĐ!X336,TTSSKĐ!AD336,TTSSKĐ!AJ336,TTSSKĐ!AP336)))</f>
        <v>0</v>
      </c>
      <c r="J336">
        <f>SUMPRODUCT((MONTH(CHOOSE({1,2,3,4},TTSSKĐ!U336,TTSSKĐ!AA336,TTSSKĐ!AG336,TTSSKĐ!AM336))=10)*(CHOOSE({1,2,3,4},TTSSKĐ!X336,TTSSKĐ!AD336,TTSSKĐ!AJ336,TTSSKĐ!AP336)))</f>
        <v>0</v>
      </c>
      <c r="K336">
        <f>SUMPRODUCT((MONTH(CHOOSE({1,2,3,4},TTSSKĐ!U336,TTSSKĐ!AA336,TTSSKĐ!AG336,TTSSKĐ!AM336))=11)*(CHOOSE({1,2,3,4},TTSSKĐ!X336,TTSSKĐ!AD336,TTSSKĐ!AJ336,TTSSKĐ!AP336)))</f>
        <v>0</v>
      </c>
      <c r="L336">
        <f>SUMPRODUCT((MONTH(CHOOSE({1,2,3,4},TTSSKĐ!U336,TTSSKĐ!AA336,TTSSKĐ!AG336,TTSSKĐ!AM336))=12)*(CHOOSE({1,2,3,4},TTSSKĐ!X336,TTSSKĐ!AD336,TTSSKĐ!AJ336,TTSSKĐ!AP336)))</f>
        <v>0</v>
      </c>
    </row>
    <row r="337" spans="1:12">
      <c r="A337">
        <f>SUMPRODUCT((MONTH(CHOOSE({1,2,3,4},TTSSKĐ!U337,TTSSKĐ!AA337,TTSSKĐ!AG337,TTSSKĐ!AM337))=1)*(CHOOSE({1,2,3,4},TTSSKĐ!X337,TTSSKĐ!AD337,TTSSKĐ!AJ337,TTSSKĐ!AP337)))</f>
        <v>0</v>
      </c>
      <c r="B337">
        <f>SUMPRODUCT((MONTH(CHOOSE({1,2,3,4},TTSSKĐ!U337,TTSSKĐ!AA337,TTSSKĐ!AG337,TTSSKĐ!AM337))=2)*(CHOOSE({1,2,3,4},TTSSKĐ!X337,TTSSKĐ!AD337,TTSSKĐ!AJ337,TTSSKĐ!AP337)))</f>
        <v>0</v>
      </c>
      <c r="C337">
        <f>SUMPRODUCT((MONTH(CHOOSE({1,2,3,4},TTSSKĐ!U337,TTSSKĐ!AA337,TTSSKĐ!AG337,TTSSKĐ!AM337))=3)*(CHOOSE({1,2,3,4},TTSSKĐ!X337,TTSSKĐ!AD337,TTSSKĐ!AJ337,TTSSKĐ!AP337)))</f>
        <v>0</v>
      </c>
      <c r="D337">
        <f>SUMPRODUCT((MONTH(CHOOSE({1,2,3,4},TTSSKĐ!U337,TTSSKĐ!AA337,TTSSKĐ!AG337,TTSSKĐ!AM337))=4)*(CHOOSE({1,2,3,4},TTSSKĐ!X337,TTSSKĐ!AD337,TTSSKĐ!AJ337,TTSSKĐ!AP337)))</f>
        <v>0</v>
      </c>
      <c r="E337">
        <f>SUMPRODUCT((MONTH(CHOOSE({1,2,3,4},TTSSKĐ!U337,TTSSKĐ!AA337,TTSSKĐ!AG337,TTSSKĐ!AM337))=5)*(CHOOSE({1,2,3,4},TTSSKĐ!X337,TTSSKĐ!AD337,TTSSKĐ!AJ337,TTSSKĐ!AP337)))</f>
        <v>0</v>
      </c>
      <c r="F337">
        <f>SUMPRODUCT((MONTH(CHOOSE({1,2,3,4},TTSSKĐ!U337,TTSSKĐ!AA337,TTSSKĐ!AG337,TTSSKĐ!AM337))=6)*(CHOOSE({1,2,3,4},TTSSKĐ!X337,TTSSKĐ!AD337,TTSSKĐ!AJ337,TTSSKĐ!AP337)))</f>
        <v>0</v>
      </c>
      <c r="G337">
        <f>SUMPRODUCT((MONTH(CHOOSE({1,2,3,4},TTSSKĐ!U337,TTSSKĐ!AA337,TTSSKĐ!AG337,TTSSKĐ!AM337))=7)*(CHOOSE({1,2,3,4},TTSSKĐ!X337,TTSSKĐ!AD337,TTSSKĐ!AJ337,TTSSKĐ!AP337)))</f>
        <v>0</v>
      </c>
      <c r="H337">
        <f>SUMPRODUCT((MONTH(CHOOSE({1,2,3,4},TTSSKĐ!U337,TTSSKĐ!AA337,TTSSKĐ!AG337,TTSSKĐ!AM337))=8)*(CHOOSE({1,2,3,4},TTSSKĐ!X337,TTSSKĐ!AD337,TTSSKĐ!AJ337,TTSSKĐ!AP337)))</f>
        <v>0</v>
      </c>
      <c r="I337">
        <f>SUMPRODUCT((MONTH(CHOOSE({1,2,3,4},TTSSKĐ!U337,TTSSKĐ!AA337,TTSSKĐ!AG337,TTSSKĐ!AM337))=9)*(CHOOSE({1,2,3,4},TTSSKĐ!X337,TTSSKĐ!AD337,TTSSKĐ!AJ337,TTSSKĐ!AP337)))</f>
        <v>0</v>
      </c>
      <c r="J337">
        <f>SUMPRODUCT((MONTH(CHOOSE({1,2,3,4},TTSSKĐ!U337,TTSSKĐ!AA337,TTSSKĐ!AG337,TTSSKĐ!AM337))=10)*(CHOOSE({1,2,3,4},TTSSKĐ!X337,TTSSKĐ!AD337,TTSSKĐ!AJ337,TTSSKĐ!AP337)))</f>
        <v>0</v>
      </c>
      <c r="K337">
        <f>SUMPRODUCT((MONTH(CHOOSE({1,2,3,4},TTSSKĐ!U337,TTSSKĐ!AA337,TTSSKĐ!AG337,TTSSKĐ!AM337))=11)*(CHOOSE({1,2,3,4},TTSSKĐ!X337,TTSSKĐ!AD337,TTSSKĐ!AJ337,TTSSKĐ!AP337)))</f>
        <v>0</v>
      </c>
      <c r="L337">
        <f>SUMPRODUCT((MONTH(CHOOSE({1,2,3,4},TTSSKĐ!U337,TTSSKĐ!AA337,TTSSKĐ!AG337,TTSSKĐ!AM337))=12)*(CHOOSE({1,2,3,4},TTSSKĐ!X337,TTSSKĐ!AD337,TTSSKĐ!AJ337,TTSSKĐ!AP337)))</f>
        <v>0</v>
      </c>
    </row>
    <row r="338" spans="1:12">
      <c r="A338">
        <f>SUMPRODUCT((MONTH(CHOOSE({1,2,3,4},TTSSKĐ!U338,TTSSKĐ!AA338,TTSSKĐ!AG338,TTSSKĐ!AM338))=1)*(CHOOSE({1,2,3,4},TTSSKĐ!X338,TTSSKĐ!AD338,TTSSKĐ!AJ338,TTSSKĐ!AP338)))</f>
        <v>0</v>
      </c>
      <c r="B338">
        <f>SUMPRODUCT((MONTH(CHOOSE({1,2,3,4},TTSSKĐ!U338,TTSSKĐ!AA338,TTSSKĐ!AG338,TTSSKĐ!AM338))=2)*(CHOOSE({1,2,3,4},TTSSKĐ!X338,TTSSKĐ!AD338,TTSSKĐ!AJ338,TTSSKĐ!AP338)))</f>
        <v>0</v>
      </c>
      <c r="C338">
        <f>SUMPRODUCT((MONTH(CHOOSE({1,2,3,4},TTSSKĐ!U338,TTSSKĐ!AA338,TTSSKĐ!AG338,TTSSKĐ!AM338))=3)*(CHOOSE({1,2,3,4},TTSSKĐ!X338,TTSSKĐ!AD338,TTSSKĐ!AJ338,TTSSKĐ!AP338)))</f>
        <v>0</v>
      </c>
      <c r="D338">
        <f>SUMPRODUCT((MONTH(CHOOSE({1,2,3,4},TTSSKĐ!U338,TTSSKĐ!AA338,TTSSKĐ!AG338,TTSSKĐ!AM338))=4)*(CHOOSE({1,2,3,4},TTSSKĐ!X338,TTSSKĐ!AD338,TTSSKĐ!AJ338,TTSSKĐ!AP338)))</f>
        <v>0</v>
      </c>
      <c r="E338">
        <f>SUMPRODUCT((MONTH(CHOOSE({1,2,3,4},TTSSKĐ!U338,TTSSKĐ!AA338,TTSSKĐ!AG338,TTSSKĐ!AM338))=5)*(CHOOSE({1,2,3,4},TTSSKĐ!X338,TTSSKĐ!AD338,TTSSKĐ!AJ338,TTSSKĐ!AP338)))</f>
        <v>0</v>
      </c>
      <c r="F338">
        <f>SUMPRODUCT((MONTH(CHOOSE({1,2,3,4},TTSSKĐ!U338,TTSSKĐ!AA338,TTSSKĐ!AG338,TTSSKĐ!AM338))=6)*(CHOOSE({1,2,3,4},TTSSKĐ!X338,TTSSKĐ!AD338,TTSSKĐ!AJ338,TTSSKĐ!AP338)))</f>
        <v>0</v>
      </c>
      <c r="G338">
        <f>SUMPRODUCT((MONTH(CHOOSE({1,2,3,4},TTSSKĐ!U338,TTSSKĐ!AA338,TTSSKĐ!AG338,TTSSKĐ!AM338))=7)*(CHOOSE({1,2,3,4},TTSSKĐ!X338,TTSSKĐ!AD338,TTSSKĐ!AJ338,TTSSKĐ!AP338)))</f>
        <v>0</v>
      </c>
      <c r="H338">
        <f>SUMPRODUCT((MONTH(CHOOSE({1,2,3,4},TTSSKĐ!U338,TTSSKĐ!AA338,TTSSKĐ!AG338,TTSSKĐ!AM338))=8)*(CHOOSE({1,2,3,4},TTSSKĐ!X338,TTSSKĐ!AD338,TTSSKĐ!AJ338,TTSSKĐ!AP338)))</f>
        <v>0</v>
      </c>
      <c r="I338">
        <f>SUMPRODUCT((MONTH(CHOOSE({1,2,3,4},TTSSKĐ!U338,TTSSKĐ!AA338,TTSSKĐ!AG338,TTSSKĐ!AM338))=9)*(CHOOSE({1,2,3,4},TTSSKĐ!X338,TTSSKĐ!AD338,TTSSKĐ!AJ338,TTSSKĐ!AP338)))</f>
        <v>0</v>
      </c>
      <c r="J338">
        <f>SUMPRODUCT((MONTH(CHOOSE({1,2,3,4},TTSSKĐ!U338,TTSSKĐ!AA338,TTSSKĐ!AG338,TTSSKĐ!AM338))=10)*(CHOOSE({1,2,3,4},TTSSKĐ!X338,TTSSKĐ!AD338,TTSSKĐ!AJ338,TTSSKĐ!AP338)))</f>
        <v>0</v>
      </c>
      <c r="K338">
        <f>SUMPRODUCT((MONTH(CHOOSE({1,2,3,4},TTSSKĐ!U338,TTSSKĐ!AA338,TTSSKĐ!AG338,TTSSKĐ!AM338))=11)*(CHOOSE({1,2,3,4},TTSSKĐ!X338,TTSSKĐ!AD338,TTSSKĐ!AJ338,TTSSKĐ!AP338)))</f>
        <v>0</v>
      </c>
      <c r="L338">
        <f>SUMPRODUCT((MONTH(CHOOSE({1,2,3,4},TTSSKĐ!U338,TTSSKĐ!AA338,TTSSKĐ!AG338,TTSSKĐ!AM338))=12)*(CHOOSE({1,2,3,4},TTSSKĐ!X338,TTSSKĐ!AD338,TTSSKĐ!AJ338,TTSSKĐ!AP338)))</f>
        <v>0</v>
      </c>
    </row>
    <row r="339" spans="1:12">
      <c r="A339">
        <f>SUMPRODUCT((MONTH(CHOOSE({1,2,3,4},TTSSKĐ!U339,TTSSKĐ!AA339,TTSSKĐ!AG339,TTSSKĐ!AM339))=1)*(CHOOSE({1,2,3,4},TTSSKĐ!X339,TTSSKĐ!AD339,TTSSKĐ!AJ339,TTSSKĐ!AP339)))</f>
        <v>0</v>
      </c>
      <c r="B339">
        <f>SUMPRODUCT((MONTH(CHOOSE({1,2,3,4},TTSSKĐ!U339,TTSSKĐ!AA339,TTSSKĐ!AG339,TTSSKĐ!AM339))=2)*(CHOOSE({1,2,3,4},TTSSKĐ!X339,TTSSKĐ!AD339,TTSSKĐ!AJ339,TTSSKĐ!AP339)))</f>
        <v>0</v>
      </c>
      <c r="C339">
        <f>SUMPRODUCT((MONTH(CHOOSE({1,2,3,4},TTSSKĐ!U339,TTSSKĐ!AA339,TTSSKĐ!AG339,TTSSKĐ!AM339))=3)*(CHOOSE({1,2,3,4},TTSSKĐ!X339,TTSSKĐ!AD339,TTSSKĐ!AJ339,TTSSKĐ!AP339)))</f>
        <v>0</v>
      </c>
      <c r="D339">
        <f>SUMPRODUCT((MONTH(CHOOSE({1,2,3,4},TTSSKĐ!U339,TTSSKĐ!AA339,TTSSKĐ!AG339,TTSSKĐ!AM339))=4)*(CHOOSE({1,2,3,4},TTSSKĐ!X339,TTSSKĐ!AD339,TTSSKĐ!AJ339,TTSSKĐ!AP339)))</f>
        <v>0</v>
      </c>
      <c r="E339">
        <f>SUMPRODUCT((MONTH(CHOOSE({1,2,3,4},TTSSKĐ!U339,TTSSKĐ!AA339,TTSSKĐ!AG339,TTSSKĐ!AM339))=5)*(CHOOSE({1,2,3,4},TTSSKĐ!X339,TTSSKĐ!AD339,TTSSKĐ!AJ339,TTSSKĐ!AP339)))</f>
        <v>0</v>
      </c>
      <c r="F339">
        <f>SUMPRODUCT((MONTH(CHOOSE({1,2,3,4},TTSSKĐ!U339,TTSSKĐ!AA339,TTSSKĐ!AG339,TTSSKĐ!AM339))=6)*(CHOOSE({1,2,3,4},TTSSKĐ!X339,TTSSKĐ!AD339,TTSSKĐ!AJ339,TTSSKĐ!AP339)))</f>
        <v>0</v>
      </c>
      <c r="G339">
        <f>SUMPRODUCT((MONTH(CHOOSE({1,2,3,4},TTSSKĐ!U339,TTSSKĐ!AA339,TTSSKĐ!AG339,TTSSKĐ!AM339))=7)*(CHOOSE({1,2,3,4},TTSSKĐ!X339,TTSSKĐ!AD339,TTSSKĐ!AJ339,TTSSKĐ!AP339)))</f>
        <v>0</v>
      </c>
      <c r="H339">
        <f>SUMPRODUCT((MONTH(CHOOSE({1,2,3,4},TTSSKĐ!U339,TTSSKĐ!AA339,TTSSKĐ!AG339,TTSSKĐ!AM339))=8)*(CHOOSE({1,2,3,4},TTSSKĐ!X339,TTSSKĐ!AD339,TTSSKĐ!AJ339,TTSSKĐ!AP339)))</f>
        <v>0</v>
      </c>
      <c r="I339">
        <f>SUMPRODUCT((MONTH(CHOOSE({1,2,3,4},TTSSKĐ!U339,TTSSKĐ!AA339,TTSSKĐ!AG339,TTSSKĐ!AM339))=9)*(CHOOSE({1,2,3,4},TTSSKĐ!X339,TTSSKĐ!AD339,TTSSKĐ!AJ339,TTSSKĐ!AP339)))</f>
        <v>0</v>
      </c>
      <c r="J339">
        <f>SUMPRODUCT((MONTH(CHOOSE({1,2,3,4},TTSSKĐ!U339,TTSSKĐ!AA339,TTSSKĐ!AG339,TTSSKĐ!AM339))=10)*(CHOOSE({1,2,3,4},TTSSKĐ!X339,TTSSKĐ!AD339,TTSSKĐ!AJ339,TTSSKĐ!AP339)))</f>
        <v>0</v>
      </c>
      <c r="K339">
        <f>SUMPRODUCT((MONTH(CHOOSE({1,2,3,4},TTSSKĐ!U339,TTSSKĐ!AA339,TTSSKĐ!AG339,TTSSKĐ!AM339))=11)*(CHOOSE({1,2,3,4},TTSSKĐ!X339,TTSSKĐ!AD339,TTSSKĐ!AJ339,TTSSKĐ!AP339)))</f>
        <v>0</v>
      </c>
      <c r="L339">
        <f>SUMPRODUCT((MONTH(CHOOSE({1,2,3,4},TTSSKĐ!U339,TTSSKĐ!AA339,TTSSKĐ!AG339,TTSSKĐ!AM339))=12)*(CHOOSE({1,2,3,4},TTSSKĐ!X339,TTSSKĐ!AD339,TTSSKĐ!AJ339,TTSSKĐ!AP339)))</f>
        <v>0</v>
      </c>
    </row>
    <row r="340" spans="1:12">
      <c r="A340">
        <f>SUMPRODUCT((MONTH(CHOOSE({1,2,3,4},TTSSKĐ!U340,TTSSKĐ!AA340,TTSSKĐ!AG340,TTSSKĐ!AM340))=1)*(CHOOSE({1,2,3,4},TTSSKĐ!X340,TTSSKĐ!AD340,TTSSKĐ!AJ340,TTSSKĐ!AP340)))</f>
        <v>0</v>
      </c>
      <c r="B340">
        <f>SUMPRODUCT((MONTH(CHOOSE({1,2,3,4},TTSSKĐ!U340,TTSSKĐ!AA340,TTSSKĐ!AG340,TTSSKĐ!AM340))=2)*(CHOOSE({1,2,3,4},TTSSKĐ!X340,TTSSKĐ!AD340,TTSSKĐ!AJ340,TTSSKĐ!AP340)))</f>
        <v>0</v>
      </c>
      <c r="C340">
        <f>SUMPRODUCT((MONTH(CHOOSE({1,2,3,4},TTSSKĐ!U340,TTSSKĐ!AA340,TTSSKĐ!AG340,TTSSKĐ!AM340))=3)*(CHOOSE({1,2,3,4},TTSSKĐ!X340,TTSSKĐ!AD340,TTSSKĐ!AJ340,TTSSKĐ!AP340)))</f>
        <v>0</v>
      </c>
      <c r="D340">
        <f>SUMPRODUCT((MONTH(CHOOSE({1,2,3,4},TTSSKĐ!U340,TTSSKĐ!AA340,TTSSKĐ!AG340,TTSSKĐ!AM340))=4)*(CHOOSE({1,2,3,4},TTSSKĐ!X340,TTSSKĐ!AD340,TTSSKĐ!AJ340,TTSSKĐ!AP340)))</f>
        <v>0</v>
      </c>
      <c r="E340">
        <f>SUMPRODUCT((MONTH(CHOOSE({1,2,3,4},TTSSKĐ!U340,TTSSKĐ!AA340,TTSSKĐ!AG340,TTSSKĐ!AM340))=5)*(CHOOSE({1,2,3,4},TTSSKĐ!X340,TTSSKĐ!AD340,TTSSKĐ!AJ340,TTSSKĐ!AP340)))</f>
        <v>0</v>
      </c>
      <c r="F340">
        <f>SUMPRODUCT((MONTH(CHOOSE({1,2,3,4},TTSSKĐ!U340,TTSSKĐ!AA340,TTSSKĐ!AG340,TTSSKĐ!AM340))=6)*(CHOOSE({1,2,3,4},TTSSKĐ!X340,TTSSKĐ!AD340,TTSSKĐ!AJ340,TTSSKĐ!AP340)))</f>
        <v>0</v>
      </c>
      <c r="G340">
        <f>SUMPRODUCT((MONTH(CHOOSE({1,2,3,4},TTSSKĐ!U340,TTSSKĐ!AA340,TTSSKĐ!AG340,TTSSKĐ!AM340))=7)*(CHOOSE({1,2,3,4},TTSSKĐ!X340,TTSSKĐ!AD340,TTSSKĐ!AJ340,TTSSKĐ!AP340)))</f>
        <v>0</v>
      </c>
      <c r="H340">
        <f>SUMPRODUCT((MONTH(CHOOSE({1,2,3,4},TTSSKĐ!U340,TTSSKĐ!AA340,TTSSKĐ!AG340,TTSSKĐ!AM340))=8)*(CHOOSE({1,2,3,4},TTSSKĐ!X340,TTSSKĐ!AD340,TTSSKĐ!AJ340,TTSSKĐ!AP340)))</f>
        <v>0</v>
      </c>
      <c r="I340">
        <f>SUMPRODUCT((MONTH(CHOOSE({1,2,3,4},TTSSKĐ!U340,TTSSKĐ!AA340,TTSSKĐ!AG340,TTSSKĐ!AM340))=9)*(CHOOSE({1,2,3,4},TTSSKĐ!X340,TTSSKĐ!AD340,TTSSKĐ!AJ340,TTSSKĐ!AP340)))</f>
        <v>0</v>
      </c>
      <c r="J340">
        <f>SUMPRODUCT((MONTH(CHOOSE({1,2,3,4},TTSSKĐ!U340,TTSSKĐ!AA340,TTSSKĐ!AG340,TTSSKĐ!AM340))=10)*(CHOOSE({1,2,3,4},TTSSKĐ!X340,TTSSKĐ!AD340,TTSSKĐ!AJ340,TTSSKĐ!AP340)))</f>
        <v>0</v>
      </c>
      <c r="K340">
        <f>SUMPRODUCT((MONTH(CHOOSE({1,2,3,4},TTSSKĐ!U340,TTSSKĐ!AA340,TTSSKĐ!AG340,TTSSKĐ!AM340))=11)*(CHOOSE({1,2,3,4},TTSSKĐ!X340,TTSSKĐ!AD340,TTSSKĐ!AJ340,TTSSKĐ!AP340)))</f>
        <v>0</v>
      </c>
      <c r="L340">
        <f>SUMPRODUCT((MONTH(CHOOSE({1,2,3,4},TTSSKĐ!U340,TTSSKĐ!AA340,TTSSKĐ!AG340,TTSSKĐ!AM340))=12)*(CHOOSE({1,2,3,4},TTSSKĐ!X340,TTSSKĐ!AD340,TTSSKĐ!AJ340,TTSSKĐ!AP340)))</f>
        <v>0</v>
      </c>
    </row>
    <row r="341" spans="1:12">
      <c r="A341">
        <f>SUMPRODUCT((MONTH(CHOOSE({1,2,3,4},TTSSKĐ!U341,TTSSKĐ!AA341,TTSSKĐ!AG341,TTSSKĐ!AM341))=1)*(CHOOSE({1,2,3,4},TTSSKĐ!X341,TTSSKĐ!AD341,TTSSKĐ!AJ341,TTSSKĐ!AP341)))</f>
        <v>0</v>
      </c>
      <c r="B341">
        <f>SUMPRODUCT((MONTH(CHOOSE({1,2,3,4},TTSSKĐ!U341,TTSSKĐ!AA341,TTSSKĐ!AG341,TTSSKĐ!AM341))=2)*(CHOOSE({1,2,3,4},TTSSKĐ!X341,TTSSKĐ!AD341,TTSSKĐ!AJ341,TTSSKĐ!AP341)))</f>
        <v>0</v>
      </c>
      <c r="C341">
        <f>SUMPRODUCT((MONTH(CHOOSE({1,2,3,4},TTSSKĐ!U341,TTSSKĐ!AA341,TTSSKĐ!AG341,TTSSKĐ!AM341))=3)*(CHOOSE({1,2,3,4},TTSSKĐ!X341,TTSSKĐ!AD341,TTSSKĐ!AJ341,TTSSKĐ!AP341)))</f>
        <v>0</v>
      </c>
      <c r="D341">
        <f>SUMPRODUCT((MONTH(CHOOSE({1,2,3,4},TTSSKĐ!U341,TTSSKĐ!AA341,TTSSKĐ!AG341,TTSSKĐ!AM341))=4)*(CHOOSE({1,2,3,4},TTSSKĐ!X341,TTSSKĐ!AD341,TTSSKĐ!AJ341,TTSSKĐ!AP341)))</f>
        <v>0</v>
      </c>
      <c r="E341">
        <f>SUMPRODUCT((MONTH(CHOOSE({1,2,3,4},TTSSKĐ!U341,TTSSKĐ!AA341,TTSSKĐ!AG341,TTSSKĐ!AM341))=5)*(CHOOSE({1,2,3,4},TTSSKĐ!X341,TTSSKĐ!AD341,TTSSKĐ!AJ341,TTSSKĐ!AP341)))</f>
        <v>0</v>
      </c>
      <c r="F341">
        <f>SUMPRODUCT((MONTH(CHOOSE({1,2,3,4},TTSSKĐ!U341,TTSSKĐ!AA341,TTSSKĐ!AG341,TTSSKĐ!AM341))=6)*(CHOOSE({1,2,3,4},TTSSKĐ!X341,TTSSKĐ!AD341,TTSSKĐ!AJ341,TTSSKĐ!AP341)))</f>
        <v>0</v>
      </c>
      <c r="G341">
        <f>SUMPRODUCT((MONTH(CHOOSE({1,2,3,4},TTSSKĐ!U341,TTSSKĐ!AA341,TTSSKĐ!AG341,TTSSKĐ!AM341))=7)*(CHOOSE({1,2,3,4},TTSSKĐ!X341,TTSSKĐ!AD341,TTSSKĐ!AJ341,TTSSKĐ!AP341)))</f>
        <v>0</v>
      </c>
      <c r="H341">
        <f>SUMPRODUCT((MONTH(CHOOSE({1,2,3,4},TTSSKĐ!U341,TTSSKĐ!AA341,TTSSKĐ!AG341,TTSSKĐ!AM341))=8)*(CHOOSE({1,2,3,4},TTSSKĐ!X341,TTSSKĐ!AD341,TTSSKĐ!AJ341,TTSSKĐ!AP341)))</f>
        <v>0</v>
      </c>
      <c r="I341">
        <f>SUMPRODUCT((MONTH(CHOOSE({1,2,3,4},TTSSKĐ!U341,TTSSKĐ!AA341,TTSSKĐ!AG341,TTSSKĐ!AM341))=9)*(CHOOSE({1,2,3,4},TTSSKĐ!X341,TTSSKĐ!AD341,TTSSKĐ!AJ341,TTSSKĐ!AP341)))</f>
        <v>0</v>
      </c>
      <c r="J341">
        <f>SUMPRODUCT((MONTH(CHOOSE({1,2,3,4},TTSSKĐ!U341,TTSSKĐ!AA341,TTSSKĐ!AG341,TTSSKĐ!AM341))=10)*(CHOOSE({1,2,3,4},TTSSKĐ!X341,TTSSKĐ!AD341,TTSSKĐ!AJ341,TTSSKĐ!AP341)))</f>
        <v>0</v>
      </c>
      <c r="K341">
        <f>SUMPRODUCT((MONTH(CHOOSE({1,2,3,4},TTSSKĐ!U341,TTSSKĐ!AA341,TTSSKĐ!AG341,TTSSKĐ!AM341))=11)*(CHOOSE({1,2,3,4},TTSSKĐ!X341,TTSSKĐ!AD341,TTSSKĐ!AJ341,TTSSKĐ!AP341)))</f>
        <v>0</v>
      </c>
      <c r="L341">
        <f>SUMPRODUCT((MONTH(CHOOSE({1,2,3,4},TTSSKĐ!U341,TTSSKĐ!AA341,TTSSKĐ!AG341,TTSSKĐ!AM341))=12)*(CHOOSE({1,2,3,4},TTSSKĐ!X341,TTSSKĐ!AD341,TTSSKĐ!AJ341,TTSSKĐ!AP341)))</f>
        <v>0</v>
      </c>
    </row>
    <row r="342" spans="1:12">
      <c r="A342">
        <f>SUMPRODUCT((MONTH(CHOOSE({1,2,3,4},TTSSKĐ!U342,TTSSKĐ!AA342,TTSSKĐ!AG342,TTSSKĐ!AM342))=1)*(CHOOSE({1,2,3,4},TTSSKĐ!X342,TTSSKĐ!AD342,TTSSKĐ!AJ342,TTSSKĐ!AP342)))</f>
        <v>0</v>
      </c>
      <c r="B342">
        <f>SUMPRODUCT((MONTH(CHOOSE({1,2,3,4},TTSSKĐ!U342,TTSSKĐ!AA342,TTSSKĐ!AG342,TTSSKĐ!AM342))=2)*(CHOOSE({1,2,3,4},TTSSKĐ!X342,TTSSKĐ!AD342,TTSSKĐ!AJ342,TTSSKĐ!AP342)))</f>
        <v>0</v>
      </c>
      <c r="C342">
        <f>SUMPRODUCT((MONTH(CHOOSE({1,2,3,4},TTSSKĐ!U342,TTSSKĐ!AA342,TTSSKĐ!AG342,TTSSKĐ!AM342))=3)*(CHOOSE({1,2,3,4},TTSSKĐ!X342,TTSSKĐ!AD342,TTSSKĐ!AJ342,TTSSKĐ!AP342)))</f>
        <v>0</v>
      </c>
      <c r="D342">
        <f>SUMPRODUCT((MONTH(CHOOSE({1,2,3,4},TTSSKĐ!U342,TTSSKĐ!AA342,TTSSKĐ!AG342,TTSSKĐ!AM342))=4)*(CHOOSE({1,2,3,4},TTSSKĐ!X342,TTSSKĐ!AD342,TTSSKĐ!AJ342,TTSSKĐ!AP342)))</f>
        <v>0</v>
      </c>
      <c r="E342">
        <f>SUMPRODUCT((MONTH(CHOOSE({1,2,3,4},TTSSKĐ!U342,TTSSKĐ!AA342,TTSSKĐ!AG342,TTSSKĐ!AM342))=5)*(CHOOSE({1,2,3,4},TTSSKĐ!X342,TTSSKĐ!AD342,TTSSKĐ!AJ342,TTSSKĐ!AP342)))</f>
        <v>0</v>
      </c>
      <c r="F342">
        <f>SUMPRODUCT((MONTH(CHOOSE({1,2,3,4},TTSSKĐ!U342,TTSSKĐ!AA342,TTSSKĐ!AG342,TTSSKĐ!AM342))=6)*(CHOOSE({1,2,3,4},TTSSKĐ!X342,TTSSKĐ!AD342,TTSSKĐ!AJ342,TTSSKĐ!AP342)))</f>
        <v>0</v>
      </c>
      <c r="G342">
        <f>SUMPRODUCT((MONTH(CHOOSE({1,2,3,4},TTSSKĐ!U342,TTSSKĐ!AA342,TTSSKĐ!AG342,TTSSKĐ!AM342))=7)*(CHOOSE({1,2,3,4},TTSSKĐ!X342,TTSSKĐ!AD342,TTSSKĐ!AJ342,TTSSKĐ!AP342)))</f>
        <v>0</v>
      </c>
      <c r="H342">
        <f>SUMPRODUCT((MONTH(CHOOSE({1,2,3,4},TTSSKĐ!U342,TTSSKĐ!AA342,TTSSKĐ!AG342,TTSSKĐ!AM342))=8)*(CHOOSE({1,2,3,4},TTSSKĐ!X342,TTSSKĐ!AD342,TTSSKĐ!AJ342,TTSSKĐ!AP342)))</f>
        <v>0</v>
      </c>
      <c r="I342">
        <f>SUMPRODUCT((MONTH(CHOOSE({1,2,3,4},TTSSKĐ!U342,TTSSKĐ!AA342,TTSSKĐ!AG342,TTSSKĐ!AM342))=9)*(CHOOSE({1,2,3,4},TTSSKĐ!X342,TTSSKĐ!AD342,TTSSKĐ!AJ342,TTSSKĐ!AP342)))</f>
        <v>0</v>
      </c>
      <c r="J342">
        <f>SUMPRODUCT((MONTH(CHOOSE({1,2,3,4},TTSSKĐ!U342,TTSSKĐ!AA342,TTSSKĐ!AG342,TTSSKĐ!AM342))=10)*(CHOOSE({1,2,3,4},TTSSKĐ!X342,TTSSKĐ!AD342,TTSSKĐ!AJ342,TTSSKĐ!AP342)))</f>
        <v>0</v>
      </c>
      <c r="K342">
        <f>SUMPRODUCT((MONTH(CHOOSE({1,2,3,4},TTSSKĐ!U342,TTSSKĐ!AA342,TTSSKĐ!AG342,TTSSKĐ!AM342))=11)*(CHOOSE({1,2,3,4},TTSSKĐ!X342,TTSSKĐ!AD342,TTSSKĐ!AJ342,TTSSKĐ!AP342)))</f>
        <v>0</v>
      </c>
      <c r="L342">
        <f>SUMPRODUCT((MONTH(CHOOSE({1,2,3,4},TTSSKĐ!U342,TTSSKĐ!AA342,TTSSKĐ!AG342,TTSSKĐ!AM342))=12)*(CHOOSE({1,2,3,4},TTSSKĐ!X342,TTSSKĐ!AD342,TTSSKĐ!AJ342,TTSSKĐ!AP342)))</f>
        <v>0</v>
      </c>
    </row>
    <row r="343" spans="1:12">
      <c r="A343">
        <f>SUMPRODUCT((MONTH(CHOOSE({1,2,3,4},TTSSKĐ!U343,TTSSKĐ!AA343,TTSSKĐ!AG343,TTSSKĐ!AM343))=1)*(CHOOSE({1,2,3,4},TTSSKĐ!X343,TTSSKĐ!AD343,TTSSKĐ!AJ343,TTSSKĐ!AP343)))</f>
        <v>0</v>
      </c>
      <c r="B343">
        <f>SUMPRODUCT((MONTH(CHOOSE({1,2,3,4},TTSSKĐ!U343,TTSSKĐ!AA343,TTSSKĐ!AG343,TTSSKĐ!AM343))=2)*(CHOOSE({1,2,3,4},TTSSKĐ!X343,TTSSKĐ!AD343,TTSSKĐ!AJ343,TTSSKĐ!AP343)))</f>
        <v>0</v>
      </c>
      <c r="C343">
        <f>SUMPRODUCT((MONTH(CHOOSE({1,2,3,4},TTSSKĐ!U343,TTSSKĐ!AA343,TTSSKĐ!AG343,TTSSKĐ!AM343))=3)*(CHOOSE({1,2,3,4},TTSSKĐ!X343,TTSSKĐ!AD343,TTSSKĐ!AJ343,TTSSKĐ!AP343)))</f>
        <v>0</v>
      </c>
      <c r="D343">
        <f>SUMPRODUCT((MONTH(CHOOSE({1,2,3,4},TTSSKĐ!U343,TTSSKĐ!AA343,TTSSKĐ!AG343,TTSSKĐ!AM343))=4)*(CHOOSE({1,2,3,4},TTSSKĐ!X343,TTSSKĐ!AD343,TTSSKĐ!AJ343,TTSSKĐ!AP343)))</f>
        <v>0</v>
      </c>
      <c r="E343">
        <f>SUMPRODUCT((MONTH(CHOOSE({1,2,3,4},TTSSKĐ!U343,TTSSKĐ!AA343,TTSSKĐ!AG343,TTSSKĐ!AM343))=5)*(CHOOSE({1,2,3,4},TTSSKĐ!X343,TTSSKĐ!AD343,TTSSKĐ!AJ343,TTSSKĐ!AP343)))</f>
        <v>0</v>
      </c>
      <c r="F343">
        <f>SUMPRODUCT((MONTH(CHOOSE({1,2,3,4},TTSSKĐ!U343,TTSSKĐ!AA343,TTSSKĐ!AG343,TTSSKĐ!AM343))=6)*(CHOOSE({1,2,3,4},TTSSKĐ!X343,TTSSKĐ!AD343,TTSSKĐ!AJ343,TTSSKĐ!AP343)))</f>
        <v>0</v>
      </c>
      <c r="G343">
        <f>SUMPRODUCT((MONTH(CHOOSE({1,2,3,4},TTSSKĐ!U343,TTSSKĐ!AA343,TTSSKĐ!AG343,TTSSKĐ!AM343))=7)*(CHOOSE({1,2,3,4},TTSSKĐ!X343,TTSSKĐ!AD343,TTSSKĐ!AJ343,TTSSKĐ!AP343)))</f>
        <v>0</v>
      </c>
      <c r="H343">
        <f>SUMPRODUCT((MONTH(CHOOSE({1,2,3,4},TTSSKĐ!U343,TTSSKĐ!AA343,TTSSKĐ!AG343,TTSSKĐ!AM343))=8)*(CHOOSE({1,2,3,4},TTSSKĐ!X343,TTSSKĐ!AD343,TTSSKĐ!AJ343,TTSSKĐ!AP343)))</f>
        <v>0</v>
      </c>
      <c r="I343">
        <f>SUMPRODUCT((MONTH(CHOOSE({1,2,3,4},TTSSKĐ!U343,TTSSKĐ!AA343,TTSSKĐ!AG343,TTSSKĐ!AM343))=9)*(CHOOSE({1,2,3,4},TTSSKĐ!X343,TTSSKĐ!AD343,TTSSKĐ!AJ343,TTSSKĐ!AP343)))</f>
        <v>0</v>
      </c>
      <c r="J343">
        <f>SUMPRODUCT((MONTH(CHOOSE({1,2,3,4},TTSSKĐ!U343,TTSSKĐ!AA343,TTSSKĐ!AG343,TTSSKĐ!AM343))=10)*(CHOOSE({1,2,3,4},TTSSKĐ!X343,TTSSKĐ!AD343,TTSSKĐ!AJ343,TTSSKĐ!AP343)))</f>
        <v>0</v>
      </c>
      <c r="K343">
        <f>SUMPRODUCT((MONTH(CHOOSE({1,2,3,4},TTSSKĐ!U343,TTSSKĐ!AA343,TTSSKĐ!AG343,TTSSKĐ!AM343))=11)*(CHOOSE({1,2,3,4},TTSSKĐ!X343,TTSSKĐ!AD343,TTSSKĐ!AJ343,TTSSKĐ!AP343)))</f>
        <v>0</v>
      </c>
      <c r="L343">
        <f>SUMPRODUCT((MONTH(CHOOSE({1,2,3,4},TTSSKĐ!U343,TTSSKĐ!AA343,TTSSKĐ!AG343,TTSSKĐ!AM343))=12)*(CHOOSE({1,2,3,4},TTSSKĐ!X343,TTSSKĐ!AD343,TTSSKĐ!AJ343,TTSSKĐ!AP343)))</f>
        <v>0</v>
      </c>
    </row>
    <row r="344" spans="1:12">
      <c r="A344">
        <f>SUMPRODUCT((MONTH(CHOOSE({1,2,3,4},TTSSKĐ!U344,TTSSKĐ!AA344,TTSSKĐ!AG344,TTSSKĐ!AM344))=1)*(CHOOSE({1,2,3,4},TTSSKĐ!X344,TTSSKĐ!AD344,TTSSKĐ!AJ344,TTSSKĐ!AP344)))</f>
        <v>0</v>
      </c>
      <c r="B344">
        <f>SUMPRODUCT((MONTH(CHOOSE({1,2,3,4},TTSSKĐ!U344,TTSSKĐ!AA344,TTSSKĐ!AG344,TTSSKĐ!AM344))=2)*(CHOOSE({1,2,3,4},TTSSKĐ!X344,TTSSKĐ!AD344,TTSSKĐ!AJ344,TTSSKĐ!AP344)))</f>
        <v>0</v>
      </c>
      <c r="C344">
        <f>SUMPRODUCT((MONTH(CHOOSE({1,2,3,4},TTSSKĐ!U344,TTSSKĐ!AA344,TTSSKĐ!AG344,TTSSKĐ!AM344))=3)*(CHOOSE({1,2,3,4},TTSSKĐ!X344,TTSSKĐ!AD344,TTSSKĐ!AJ344,TTSSKĐ!AP344)))</f>
        <v>0</v>
      </c>
      <c r="D344">
        <f>SUMPRODUCT((MONTH(CHOOSE({1,2,3,4},TTSSKĐ!U344,TTSSKĐ!AA344,TTSSKĐ!AG344,TTSSKĐ!AM344))=4)*(CHOOSE({1,2,3,4},TTSSKĐ!X344,TTSSKĐ!AD344,TTSSKĐ!AJ344,TTSSKĐ!AP344)))</f>
        <v>0</v>
      </c>
      <c r="E344">
        <f>SUMPRODUCT((MONTH(CHOOSE({1,2,3,4},TTSSKĐ!U344,TTSSKĐ!AA344,TTSSKĐ!AG344,TTSSKĐ!AM344))=5)*(CHOOSE({1,2,3,4},TTSSKĐ!X344,TTSSKĐ!AD344,TTSSKĐ!AJ344,TTSSKĐ!AP344)))</f>
        <v>0</v>
      </c>
      <c r="F344">
        <f>SUMPRODUCT((MONTH(CHOOSE({1,2,3,4},TTSSKĐ!U344,TTSSKĐ!AA344,TTSSKĐ!AG344,TTSSKĐ!AM344))=6)*(CHOOSE({1,2,3,4},TTSSKĐ!X344,TTSSKĐ!AD344,TTSSKĐ!AJ344,TTSSKĐ!AP344)))</f>
        <v>0</v>
      </c>
      <c r="G344">
        <f>SUMPRODUCT((MONTH(CHOOSE({1,2,3,4},TTSSKĐ!U344,TTSSKĐ!AA344,TTSSKĐ!AG344,TTSSKĐ!AM344))=7)*(CHOOSE({1,2,3,4},TTSSKĐ!X344,TTSSKĐ!AD344,TTSSKĐ!AJ344,TTSSKĐ!AP344)))</f>
        <v>0</v>
      </c>
      <c r="H344">
        <f>SUMPRODUCT((MONTH(CHOOSE({1,2,3,4},TTSSKĐ!U344,TTSSKĐ!AA344,TTSSKĐ!AG344,TTSSKĐ!AM344))=8)*(CHOOSE({1,2,3,4},TTSSKĐ!X344,TTSSKĐ!AD344,TTSSKĐ!AJ344,TTSSKĐ!AP344)))</f>
        <v>0</v>
      </c>
      <c r="I344">
        <f>SUMPRODUCT((MONTH(CHOOSE({1,2,3,4},TTSSKĐ!U344,TTSSKĐ!AA344,TTSSKĐ!AG344,TTSSKĐ!AM344))=9)*(CHOOSE({1,2,3,4},TTSSKĐ!X344,TTSSKĐ!AD344,TTSSKĐ!AJ344,TTSSKĐ!AP344)))</f>
        <v>0</v>
      </c>
      <c r="J344">
        <f>SUMPRODUCT((MONTH(CHOOSE({1,2,3,4},TTSSKĐ!U344,TTSSKĐ!AA344,TTSSKĐ!AG344,TTSSKĐ!AM344))=10)*(CHOOSE({1,2,3,4},TTSSKĐ!X344,TTSSKĐ!AD344,TTSSKĐ!AJ344,TTSSKĐ!AP344)))</f>
        <v>0</v>
      </c>
      <c r="K344">
        <f>SUMPRODUCT((MONTH(CHOOSE({1,2,3,4},TTSSKĐ!U344,TTSSKĐ!AA344,TTSSKĐ!AG344,TTSSKĐ!AM344))=11)*(CHOOSE({1,2,3,4},TTSSKĐ!X344,TTSSKĐ!AD344,TTSSKĐ!AJ344,TTSSKĐ!AP344)))</f>
        <v>0</v>
      </c>
      <c r="L344">
        <f>SUMPRODUCT((MONTH(CHOOSE({1,2,3,4},TTSSKĐ!U344,TTSSKĐ!AA344,TTSSKĐ!AG344,TTSSKĐ!AM344))=12)*(CHOOSE({1,2,3,4},TTSSKĐ!X344,TTSSKĐ!AD344,TTSSKĐ!AJ344,TTSSKĐ!AP344)))</f>
        <v>0</v>
      </c>
    </row>
    <row r="345" spans="1:12">
      <c r="A345">
        <f>SUMPRODUCT((MONTH(CHOOSE({1,2,3,4},TTSSKĐ!U345,TTSSKĐ!AA345,TTSSKĐ!AG345,TTSSKĐ!AM345))=1)*(CHOOSE({1,2,3,4},TTSSKĐ!X345,TTSSKĐ!AD345,TTSSKĐ!AJ345,TTSSKĐ!AP345)))</f>
        <v>0</v>
      </c>
      <c r="B345">
        <f>SUMPRODUCT((MONTH(CHOOSE({1,2,3,4},TTSSKĐ!U345,TTSSKĐ!AA345,TTSSKĐ!AG345,TTSSKĐ!AM345))=2)*(CHOOSE({1,2,3,4},TTSSKĐ!X345,TTSSKĐ!AD345,TTSSKĐ!AJ345,TTSSKĐ!AP345)))</f>
        <v>0</v>
      </c>
      <c r="C345">
        <f>SUMPRODUCT((MONTH(CHOOSE({1,2,3,4},TTSSKĐ!U345,TTSSKĐ!AA345,TTSSKĐ!AG345,TTSSKĐ!AM345))=3)*(CHOOSE({1,2,3,4},TTSSKĐ!X345,TTSSKĐ!AD345,TTSSKĐ!AJ345,TTSSKĐ!AP345)))</f>
        <v>0</v>
      </c>
      <c r="D345">
        <f>SUMPRODUCT((MONTH(CHOOSE({1,2,3,4},TTSSKĐ!U345,TTSSKĐ!AA345,TTSSKĐ!AG345,TTSSKĐ!AM345))=4)*(CHOOSE({1,2,3,4},TTSSKĐ!X345,TTSSKĐ!AD345,TTSSKĐ!AJ345,TTSSKĐ!AP345)))</f>
        <v>0</v>
      </c>
      <c r="E345">
        <f>SUMPRODUCT((MONTH(CHOOSE({1,2,3,4},TTSSKĐ!U345,TTSSKĐ!AA345,TTSSKĐ!AG345,TTSSKĐ!AM345))=5)*(CHOOSE({1,2,3,4},TTSSKĐ!X345,TTSSKĐ!AD345,TTSSKĐ!AJ345,TTSSKĐ!AP345)))</f>
        <v>0</v>
      </c>
      <c r="F345">
        <f>SUMPRODUCT((MONTH(CHOOSE({1,2,3,4},TTSSKĐ!U345,TTSSKĐ!AA345,TTSSKĐ!AG345,TTSSKĐ!AM345))=6)*(CHOOSE({1,2,3,4},TTSSKĐ!X345,TTSSKĐ!AD345,TTSSKĐ!AJ345,TTSSKĐ!AP345)))</f>
        <v>0</v>
      </c>
      <c r="G345">
        <f>SUMPRODUCT((MONTH(CHOOSE({1,2,3,4},TTSSKĐ!U345,TTSSKĐ!AA345,TTSSKĐ!AG345,TTSSKĐ!AM345))=7)*(CHOOSE({1,2,3,4},TTSSKĐ!X345,TTSSKĐ!AD345,TTSSKĐ!AJ345,TTSSKĐ!AP345)))</f>
        <v>0</v>
      </c>
      <c r="H345">
        <f>SUMPRODUCT((MONTH(CHOOSE({1,2,3,4},TTSSKĐ!U345,TTSSKĐ!AA345,TTSSKĐ!AG345,TTSSKĐ!AM345))=8)*(CHOOSE({1,2,3,4},TTSSKĐ!X345,TTSSKĐ!AD345,TTSSKĐ!AJ345,TTSSKĐ!AP345)))</f>
        <v>0</v>
      </c>
      <c r="I345">
        <f>SUMPRODUCT((MONTH(CHOOSE({1,2,3,4},TTSSKĐ!U345,TTSSKĐ!AA345,TTSSKĐ!AG345,TTSSKĐ!AM345))=9)*(CHOOSE({1,2,3,4},TTSSKĐ!X345,TTSSKĐ!AD345,TTSSKĐ!AJ345,TTSSKĐ!AP345)))</f>
        <v>0</v>
      </c>
      <c r="J345">
        <f>SUMPRODUCT((MONTH(CHOOSE({1,2,3,4},TTSSKĐ!U345,TTSSKĐ!AA345,TTSSKĐ!AG345,TTSSKĐ!AM345))=10)*(CHOOSE({1,2,3,4},TTSSKĐ!X345,TTSSKĐ!AD345,TTSSKĐ!AJ345,TTSSKĐ!AP345)))</f>
        <v>0</v>
      </c>
      <c r="K345">
        <f>SUMPRODUCT((MONTH(CHOOSE({1,2,3,4},TTSSKĐ!U345,TTSSKĐ!AA345,TTSSKĐ!AG345,TTSSKĐ!AM345))=11)*(CHOOSE({1,2,3,4},TTSSKĐ!X345,TTSSKĐ!AD345,TTSSKĐ!AJ345,TTSSKĐ!AP345)))</f>
        <v>0</v>
      </c>
      <c r="L345">
        <f>SUMPRODUCT((MONTH(CHOOSE({1,2,3,4},TTSSKĐ!U345,TTSSKĐ!AA345,TTSSKĐ!AG345,TTSSKĐ!AM345))=12)*(CHOOSE({1,2,3,4},TTSSKĐ!X345,TTSSKĐ!AD345,TTSSKĐ!AJ345,TTSSKĐ!AP345)))</f>
        <v>0</v>
      </c>
    </row>
    <row r="346" spans="1:12">
      <c r="A346">
        <f>SUMPRODUCT((MONTH(CHOOSE({1,2,3,4},TTSSKĐ!U346,TTSSKĐ!AA346,TTSSKĐ!AG346,TTSSKĐ!AM346))=1)*(CHOOSE({1,2,3,4},TTSSKĐ!X346,TTSSKĐ!AD346,TTSSKĐ!AJ346,TTSSKĐ!AP346)))</f>
        <v>0</v>
      </c>
      <c r="B346">
        <f>SUMPRODUCT((MONTH(CHOOSE({1,2,3,4},TTSSKĐ!U346,TTSSKĐ!AA346,TTSSKĐ!AG346,TTSSKĐ!AM346))=2)*(CHOOSE({1,2,3,4},TTSSKĐ!X346,TTSSKĐ!AD346,TTSSKĐ!AJ346,TTSSKĐ!AP346)))</f>
        <v>0</v>
      </c>
      <c r="C346">
        <f>SUMPRODUCT((MONTH(CHOOSE({1,2,3,4},TTSSKĐ!U346,TTSSKĐ!AA346,TTSSKĐ!AG346,TTSSKĐ!AM346))=3)*(CHOOSE({1,2,3,4},TTSSKĐ!X346,TTSSKĐ!AD346,TTSSKĐ!AJ346,TTSSKĐ!AP346)))</f>
        <v>0</v>
      </c>
      <c r="D346">
        <f>SUMPRODUCT((MONTH(CHOOSE({1,2,3,4},TTSSKĐ!U346,TTSSKĐ!AA346,TTSSKĐ!AG346,TTSSKĐ!AM346))=4)*(CHOOSE({1,2,3,4},TTSSKĐ!X346,TTSSKĐ!AD346,TTSSKĐ!AJ346,TTSSKĐ!AP346)))</f>
        <v>0</v>
      </c>
      <c r="E346">
        <f>SUMPRODUCT((MONTH(CHOOSE({1,2,3,4},TTSSKĐ!U346,TTSSKĐ!AA346,TTSSKĐ!AG346,TTSSKĐ!AM346))=5)*(CHOOSE({1,2,3,4},TTSSKĐ!X346,TTSSKĐ!AD346,TTSSKĐ!AJ346,TTSSKĐ!AP346)))</f>
        <v>0</v>
      </c>
      <c r="F346">
        <f>SUMPRODUCT((MONTH(CHOOSE({1,2,3,4},TTSSKĐ!U346,TTSSKĐ!AA346,TTSSKĐ!AG346,TTSSKĐ!AM346))=6)*(CHOOSE({1,2,3,4},TTSSKĐ!X346,TTSSKĐ!AD346,TTSSKĐ!AJ346,TTSSKĐ!AP346)))</f>
        <v>0</v>
      </c>
      <c r="G346">
        <f>SUMPRODUCT((MONTH(CHOOSE({1,2,3,4},TTSSKĐ!U346,TTSSKĐ!AA346,TTSSKĐ!AG346,TTSSKĐ!AM346))=7)*(CHOOSE({1,2,3,4},TTSSKĐ!X346,TTSSKĐ!AD346,TTSSKĐ!AJ346,TTSSKĐ!AP346)))</f>
        <v>0</v>
      </c>
      <c r="H346">
        <f>SUMPRODUCT((MONTH(CHOOSE({1,2,3,4},TTSSKĐ!U346,TTSSKĐ!AA346,TTSSKĐ!AG346,TTSSKĐ!AM346))=8)*(CHOOSE({1,2,3,4},TTSSKĐ!X346,TTSSKĐ!AD346,TTSSKĐ!AJ346,TTSSKĐ!AP346)))</f>
        <v>0</v>
      </c>
      <c r="I346">
        <f>SUMPRODUCT((MONTH(CHOOSE({1,2,3,4},TTSSKĐ!U346,TTSSKĐ!AA346,TTSSKĐ!AG346,TTSSKĐ!AM346))=9)*(CHOOSE({1,2,3,4},TTSSKĐ!X346,TTSSKĐ!AD346,TTSSKĐ!AJ346,TTSSKĐ!AP346)))</f>
        <v>0</v>
      </c>
      <c r="J346">
        <f>SUMPRODUCT((MONTH(CHOOSE({1,2,3,4},TTSSKĐ!U346,TTSSKĐ!AA346,TTSSKĐ!AG346,TTSSKĐ!AM346))=10)*(CHOOSE({1,2,3,4},TTSSKĐ!X346,TTSSKĐ!AD346,TTSSKĐ!AJ346,TTSSKĐ!AP346)))</f>
        <v>0</v>
      </c>
      <c r="K346">
        <f>SUMPRODUCT((MONTH(CHOOSE({1,2,3,4},TTSSKĐ!U346,TTSSKĐ!AA346,TTSSKĐ!AG346,TTSSKĐ!AM346))=11)*(CHOOSE({1,2,3,4},TTSSKĐ!X346,TTSSKĐ!AD346,TTSSKĐ!AJ346,TTSSKĐ!AP346)))</f>
        <v>0</v>
      </c>
      <c r="L346">
        <f>SUMPRODUCT((MONTH(CHOOSE({1,2,3,4},TTSSKĐ!U346,TTSSKĐ!AA346,TTSSKĐ!AG346,TTSSKĐ!AM346))=12)*(CHOOSE({1,2,3,4},TTSSKĐ!X346,TTSSKĐ!AD346,TTSSKĐ!AJ346,TTSSKĐ!AP346)))</f>
        <v>0</v>
      </c>
    </row>
    <row r="347" spans="1:12">
      <c r="A347">
        <f>SUMPRODUCT((MONTH(CHOOSE({1,2,3,4},TTSSKĐ!U347,TTSSKĐ!AA347,TTSSKĐ!AG347,TTSSKĐ!AM347))=1)*(CHOOSE({1,2,3,4},TTSSKĐ!X347,TTSSKĐ!AD347,TTSSKĐ!AJ347,TTSSKĐ!AP347)))</f>
        <v>0</v>
      </c>
      <c r="B347">
        <f>SUMPRODUCT((MONTH(CHOOSE({1,2,3,4},TTSSKĐ!U347,TTSSKĐ!AA347,TTSSKĐ!AG347,TTSSKĐ!AM347))=2)*(CHOOSE({1,2,3,4},TTSSKĐ!X347,TTSSKĐ!AD347,TTSSKĐ!AJ347,TTSSKĐ!AP347)))</f>
        <v>0</v>
      </c>
      <c r="C347">
        <f>SUMPRODUCT((MONTH(CHOOSE({1,2,3,4},TTSSKĐ!U347,TTSSKĐ!AA347,TTSSKĐ!AG347,TTSSKĐ!AM347))=3)*(CHOOSE({1,2,3,4},TTSSKĐ!X347,TTSSKĐ!AD347,TTSSKĐ!AJ347,TTSSKĐ!AP347)))</f>
        <v>0</v>
      </c>
      <c r="D347">
        <f>SUMPRODUCT((MONTH(CHOOSE({1,2,3,4},TTSSKĐ!U347,TTSSKĐ!AA347,TTSSKĐ!AG347,TTSSKĐ!AM347))=4)*(CHOOSE({1,2,3,4},TTSSKĐ!X347,TTSSKĐ!AD347,TTSSKĐ!AJ347,TTSSKĐ!AP347)))</f>
        <v>0</v>
      </c>
      <c r="E347">
        <f>SUMPRODUCT((MONTH(CHOOSE({1,2,3,4},TTSSKĐ!U347,TTSSKĐ!AA347,TTSSKĐ!AG347,TTSSKĐ!AM347))=5)*(CHOOSE({1,2,3,4},TTSSKĐ!X347,TTSSKĐ!AD347,TTSSKĐ!AJ347,TTSSKĐ!AP347)))</f>
        <v>0</v>
      </c>
      <c r="F347">
        <f>SUMPRODUCT((MONTH(CHOOSE({1,2,3,4},TTSSKĐ!U347,TTSSKĐ!AA347,TTSSKĐ!AG347,TTSSKĐ!AM347))=6)*(CHOOSE({1,2,3,4},TTSSKĐ!X347,TTSSKĐ!AD347,TTSSKĐ!AJ347,TTSSKĐ!AP347)))</f>
        <v>0</v>
      </c>
      <c r="G347">
        <f>SUMPRODUCT((MONTH(CHOOSE({1,2,3,4},TTSSKĐ!U347,TTSSKĐ!AA347,TTSSKĐ!AG347,TTSSKĐ!AM347))=7)*(CHOOSE({1,2,3,4},TTSSKĐ!X347,TTSSKĐ!AD347,TTSSKĐ!AJ347,TTSSKĐ!AP347)))</f>
        <v>0</v>
      </c>
      <c r="H347">
        <f>SUMPRODUCT((MONTH(CHOOSE({1,2,3,4},TTSSKĐ!U347,TTSSKĐ!AA347,TTSSKĐ!AG347,TTSSKĐ!AM347))=8)*(CHOOSE({1,2,3,4},TTSSKĐ!X347,TTSSKĐ!AD347,TTSSKĐ!AJ347,TTSSKĐ!AP347)))</f>
        <v>0</v>
      </c>
      <c r="I347">
        <f>SUMPRODUCT((MONTH(CHOOSE({1,2,3,4},TTSSKĐ!U347,TTSSKĐ!AA347,TTSSKĐ!AG347,TTSSKĐ!AM347))=9)*(CHOOSE({1,2,3,4},TTSSKĐ!X347,TTSSKĐ!AD347,TTSSKĐ!AJ347,TTSSKĐ!AP347)))</f>
        <v>0</v>
      </c>
      <c r="J347">
        <f>SUMPRODUCT((MONTH(CHOOSE({1,2,3,4},TTSSKĐ!U347,TTSSKĐ!AA347,TTSSKĐ!AG347,TTSSKĐ!AM347))=10)*(CHOOSE({1,2,3,4},TTSSKĐ!X347,TTSSKĐ!AD347,TTSSKĐ!AJ347,TTSSKĐ!AP347)))</f>
        <v>0</v>
      </c>
      <c r="K347">
        <f>SUMPRODUCT((MONTH(CHOOSE({1,2,3,4},TTSSKĐ!U347,TTSSKĐ!AA347,TTSSKĐ!AG347,TTSSKĐ!AM347))=11)*(CHOOSE({1,2,3,4},TTSSKĐ!X347,TTSSKĐ!AD347,TTSSKĐ!AJ347,TTSSKĐ!AP347)))</f>
        <v>0</v>
      </c>
      <c r="L347">
        <f>SUMPRODUCT((MONTH(CHOOSE({1,2,3,4},TTSSKĐ!U347,TTSSKĐ!AA347,TTSSKĐ!AG347,TTSSKĐ!AM347))=12)*(CHOOSE({1,2,3,4},TTSSKĐ!X347,TTSSKĐ!AD347,TTSSKĐ!AJ347,TTSSKĐ!AP347)))</f>
        <v>0</v>
      </c>
    </row>
    <row r="348" spans="1:12">
      <c r="A348">
        <f>SUMPRODUCT((MONTH(CHOOSE({1,2,3,4},TTSSKĐ!U348,TTSSKĐ!AA348,TTSSKĐ!AG348,TTSSKĐ!AM348))=1)*(CHOOSE({1,2,3,4},TTSSKĐ!X348,TTSSKĐ!AD348,TTSSKĐ!AJ348,TTSSKĐ!AP348)))</f>
        <v>0</v>
      </c>
      <c r="B348">
        <f>SUMPRODUCT((MONTH(CHOOSE({1,2,3,4},TTSSKĐ!U348,TTSSKĐ!AA348,TTSSKĐ!AG348,TTSSKĐ!AM348))=2)*(CHOOSE({1,2,3,4},TTSSKĐ!X348,TTSSKĐ!AD348,TTSSKĐ!AJ348,TTSSKĐ!AP348)))</f>
        <v>0</v>
      </c>
      <c r="C348">
        <f>SUMPRODUCT((MONTH(CHOOSE({1,2,3,4},TTSSKĐ!U348,TTSSKĐ!AA348,TTSSKĐ!AG348,TTSSKĐ!AM348))=3)*(CHOOSE({1,2,3,4},TTSSKĐ!X348,TTSSKĐ!AD348,TTSSKĐ!AJ348,TTSSKĐ!AP348)))</f>
        <v>0</v>
      </c>
      <c r="D348">
        <f>SUMPRODUCT((MONTH(CHOOSE({1,2,3,4},TTSSKĐ!U348,TTSSKĐ!AA348,TTSSKĐ!AG348,TTSSKĐ!AM348))=4)*(CHOOSE({1,2,3,4},TTSSKĐ!X348,TTSSKĐ!AD348,TTSSKĐ!AJ348,TTSSKĐ!AP348)))</f>
        <v>0</v>
      </c>
      <c r="E348">
        <f>SUMPRODUCT((MONTH(CHOOSE({1,2,3,4},TTSSKĐ!U348,TTSSKĐ!AA348,TTSSKĐ!AG348,TTSSKĐ!AM348))=5)*(CHOOSE({1,2,3,4},TTSSKĐ!X348,TTSSKĐ!AD348,TTSSKĐ!AJ348,TTSSKĐ!AP348)))</f>
        <v>0</v>
      </c>
      <c r="F348">
        <f>SUMPRODUCT((MONTH(CHOOSE({1,2,3,4},TTSSKĐ!U348,TTSSKĐ!AA348,TTSSKĐ!AG348,TTSSKĐ!AM348))=6)*(CHOOSE({1,2,3,4},TTSSKĐ!X348,TTSSKĐ!AD348,TTSSKĐ!AJ348,TTSSKĐ!AP348)))</f>
        <v>0</v>
      </c>
      <c r="G348">
        <f>SUMPRODUCT((MONTH(CHOOSE({1,2,3,4},TTSSKĐ!U348,TTSSKĐ!AA348,TTSSKĐ!AG348,TTSSKĐ!AM348))=7)*(CHOOSE({1,2,3,4},TTSSKĐ!X348,TTSSKĐ!AD348,TTSSKĐ!AJ348,TTSSKĐ!AP348)))</f>
        <v>0</v>
      </c>
      <c r="H348">
        <f>SUMPRODUCT((MONTH(CHOOSE({1,2,3,4},TTSSKĐ!U348,TTSSKĐ!AA348,TTSSKĐ!AG348,TTSSKĐ!AM348))=8)*(CHOOSE({1,2,3,4},TTSSKĐ!X348,TTSSKĐ!AD348,TTSSKĐ!AJ348,TTSSKĐ!AP348)))</f>
        <v>0</v>
      </c>
      <c r="I348">
        <f>SUMPRODUCT((MONTH(CHOOSE({1,2,3,4},TTSSKĐ!U348,TTSSKĐ!AA348,TTSSKĐ!AG348,TTSSKĐ!AM348))=9)*(CHOOSE({1,2,3,4},TTSSKĐ!X348,TTSSKĐ!AD348,TTSSKĐ!AJ348,TTSSKĐ!AP348)))</f>
        <v>0</v>
      </c>
      <c r="J348">
        <f>SUMPRODUCT((MONTH(CHOOSE({1,2,3,4},TTSSKĐ!U348,TTSSKĐ!AA348,TTSSKĐ!AG348,TTSSKĐ!AM348))=10)*(CHOOSE({1,2,3,4},TTSSKĐ!X348,TTSSKĐ!AD348,TTSSKĐ!AJ348,TTSSKĐ!AP348)))</f>
        <v>0</v>
      </c>
      <c r="K348">
        <f>SUMPRODUCT((MONTH(CHOOSE({1,2,3,4},TTSSKĐ!U348,TTSSKĐ!AA348,TTSSKĐ!AG348,TTSSKĐ!AM348))=11)*(CHOOSE({1,2,3,4},TTSSKĐ!X348,TTSSKĐ!AD348,TTSSKĐ!AJ348,TTSSKĐ!AP348)))</f>
        <v>0</v>
      </c>
      <c r="L348">
        <f>SUMPRODUCT((MONTH(CHOOSE({1,2,3,4},TTSSKĐ!U348,TTSSKĐ!AA348,TTSSKĐ!AG348,TTSSKĐ!AM348))=12)*(CHOOSE({1,2,3,4},TTSSKĐ!X348,TTSSKĐ!AD348,TTSSKĐ!AJ348,TTSSKĐ!AP348)))</f>
        <v>0</v>
      </c>
    </row>
    <row r="349" spans="1:12">
      <c r="A349">
        <f>SUMPRODUCT((MONTH(CHOOSE({1,2,3,4},TTSSKĐ!U349,TTSSKĐ!AA349,TTSSKĐ!AG349,TTSSKĐ!AM349))=1)*(CHOOSE({1,2,3,4},TTSSKĐ!X349,TTSSKĐ!AD349,TTSSKĐ!AJ349,TTSSKĐ!AP349)))</f>
        <v>0</v>
      </c>
      <c r="B349">
        <f>SUMPRODUCT((MONTH(CHOOSE({1,2,3,4},TTSSKĐ!U349,TTSSKĐ!AA349,TTSSKĐ!AG349,TTSSKĐ!AM349))=2)*(CHOOSE({1,2,3,4},TTSSKĐ!X349,TTSSKĐ!AD349,TTSSKĐ!AJ349,TTSSKĐ!AP349)))</f>
        <v>0</v>
      </c>
      <c r="C349">
        <f>SUMPRODUCT((MONTH(CHOOSE({1,2,3,4},TTSSKĐ!U349,TTSSKĐ!AA349,TTSSKĐ!AG349,TTSSKĐ!AM349))=3)*(CHOOSE({1,2,3,4},TTSSKĐ!X349,TTSSKĐ!AD349,TTSSKĐ!AJ349,TTSSKĐ!AP349)))</f>
        <v>0</v>
      </c>
      <c r="D349">
        <f>SUMPRODUCT((MONTH(CHOOSE({1,2,3,4},TTSSKĐ!U349,TTSSKĐ!AA349,TTSSKĐ!AG349,TTSSKĐ!AM349))=4)*(CHOOSE({1,2,3,4},TTSSKĐ!X349,TTSSKĐ!AD349,TTSSKĐ!AJ349,TTSSKĐ!AP349)))</f>
        <v>0</v>
      </c>
      <c r="E349">
        <f>SUMPRODUCT((MONTH(CHOOSE({1,2,3,4},TTSSKĐ!U349,TTSSKĐ!AA349,TTSSKĐ!AG349,TTSSKĐ!AM349))=5)*(CHOOSE({1,2,3,4},TTSSKĐ!X349,TTSSKĐ!AD349,TTSSKĐ!AJ349,TTSSKĐ!AP349)))</f>
        <v>0</v>
      </c>
      <c r="F349">
        <f>SUMPRODUCT((MONTH(CHOOSE({1,2,3,4},TTSSKĐ!U349,TTSSKĐ!AA349,TTSSKĐ!AG349,TTSSKĐ!AM349))=6)*(CHOOSE({1,2,3,4},TTSSKĐ!X349,TTSSKĐ!AD349,TTSSKĐ!AJ349,TTSSKĐ!AP349)))</f>
        <v>0</v>
      </c>
      <c r="G349">
        <f>SUMPRODUCT((MONTH(CHOOSE({1,2,3,4},TTSSKĐ!U349,TTSSKĐ!AA349,TTSSKĐ!AG349,TTSSKĐ!AM349))=7)*(CHOOSE({1,2,3,4},TTSSKĐ!X349,TTSSKĐ!AD349,TTSSKĐ!AJ349,TTSSKĐ!AP349)))</f>
        <v>0</v>
      </c>
      <c r="H349">
        <f>SUMPRODUCT((MONTH(CHOOSE({1,2,3,4},TTSSKĐ!U349,TTSSKĐ!AA349,TTSSKĐ!AG349,TTSSKĐ!AM349))=8)*(CHOOSE({1,2,3,4},TTSSKĐ!X349,TTSSKĐ!AD349,TTSSKĐ!AJ349,TTSSKĐ!AP349)))</f>
        <v>0</v>
      </c>
      <c r="I349">
        <f>SUMPRODUCT((MONTH(CHOOSE({1,2,3,4},TTSSKĐ!U349,TTSSKĐ!AA349,TTSSKĐ!AG349,TTSSKĐ!AM349))=9)*(CHOOSE({1,2,3,4},TTSSKĐ!X349,TTSSKĐ!AD349,TTSSKĐ!AJ349,TTSSKĐ!AP349)))</f>
        <v>0</v>
      </c>
      <c r="J349">
        <f>SUMPRODUCT((MONTH(CHOOSE({1,2,3,4},TTSSKĐ!U349,TTSSKĐ!AA349,TTSSKĐ!AG349,TTSSKĐ!AM349))=10)*(CHOOSE({1,2,3,4},TTSSKĐ!X349,TTSSKĐ!AD349,TTSSKĐ!AJ349,TTSSKĐ!AP349)))</f>
        <v>0</v>
      </c>
      <c r="K349">
        <f>SUMPRODUCT((MONTH(CHOOSE({1,2,3,4},TTSSKĐ!U349,TTSSKĐ!AA349,TTSSKĐ!AG349,TTSSKĐ!AM349))=11)*(CHOOSE({1,2,3,4},TTSSKĐ!X349,TTSSKĐ!AD349,TTSSKĐ!AJ349,TTSSKĐ!AP349)))</f>
        <v>0</v>
      </c>
      <c r="L349">
        <f>SUMPRODUCT((MONTH(CHOOSE({1,2,3,4},TTSSKĐ!U349,TTSSKĐ!AA349,TTSSKĐ!AG349,TTSSKĐ!AM349))=12)*(CHOOSE({1,2,3,4},TTSSKĐ!X349,TTSSKĐ!AD349,TTSSKĐ!AJ349,TTSSKĐ!AP349)))</f>
        <v>0</v>
      </c>
    </row>
    <row r="350" spans="1:12">
      <c r="A350">
        <f>SUMPRODUCT((MONTH(CHOOSE({1,2,3,4},TTSSKĐ!U350,TTSSKĐ!AA350,TTSSKĐ!AG350,TTSSKĐ!AM350))=1)*(CHOOSE({1,2,3,4},TTSSKĐ!X350,TTSSKĐ!AD350,TTSSKĐ!AJ350,TTSSKĐ!AP350)))</f>
        <v>0</v>
      </c>
      <c r="B350">
        <f>SUMPRODUCT((MONTH(CHOOSE({1,2,3,4},TTSSKĐ!U350,TTSSKĐ!AA350,TTSSKĐ!AG350,TTSSKĐ!AM350))=2)*(CHOOSE({1,2,3,4},TTSSKĐ!X350,TTSSKĐ!AD350,TTSSKĐ!AJ350,TTSSKĐ!AP350)))</f>
        <v>0</v>
      </c>
      <c r="C350">
        <f>SUMPRODUCT((MONTH(CHOOSE({1,2,3,4},TTSSKĐ!U350,TTSSKĐ!AA350,TTSSKĐ!AG350,TTSSKĐ!AM350))=3)*(CHOOSE({1,2,3,4},TTSSKĐ!X350,TTSSKĐ!AD350,TTSSKĐ!AJ350,TTSSKĐ!AP350)))</f>
        <v>0</v>
      </c>
      <c r="D350">
        <f>SUMPRODUCT((MONTH(CHOOSE({1,2,3,4},TTSSKĐ!U350,TTSSKĐ!AA350,TTSSKĐ!AG350,TTSSKĐ!AM350))=4)*(CHOOSE({1,2,3,4},TTSSKĐ!X350,TTSSKĐ!AD350,TTSSKĐ!AJ350,TTSSKĐ!AP350)))</f>
        <v>0</v>
      </c>
      <c r="E350">
        <f>SUMPRODUCT((MONTH(CHOOSE({1,2,3,4},TTSSKĐ!U350,TTSSKĐ!AA350,TTSSKĐ!AG350,TTSSKĐ!AM350))=5)*(CHOOSE({1,2,3,4},TTSSKĐ!X350,TTSSKĐ!AD350,TTSSKĐ!AJ350,TTSSKĐ!AP350)))</f>
        <v>0</v>
      </c>
      <c r="F350">
        <f>SUMPRODUCT((MONTH(CHOOSE({1,2,3,4},TTSSKĐ!U350,TTSSKĐ!AA350,TTSSKĐ!AG350,TTSSKĐ!AM350))=6)*(CHOOSE({1,2,3,4},TTSSKĐ!X350,TTSSKĐ!AD350,TTSSKĐ!AJ350,TTSSKĐ!AP350)))</f>
        <v>0</v>
      </c>
      <c r="G350">
        <f>SUMPRODUCT((MONTH(CHOOSE({1,2,3,4},TTSSKĐ!U350,TTSSKĐ!AA350,TTSSKĐ!AG350,TTSSKĐ!AM350))=7)*(CHOOSE({1,2,3,4},TTSSKĐ!X350,TTSSKĐ!AD350,TTSSKĐ!AJ350,TTSSKĐ!AP350)))</f>
        <v>0</v>
      </c>
      <c r="H350">
        <f>SUMPRODUCT((MONTH(CHOOSE({1,2,3,4},TTSSKĐ!U350,TTSSKĐ!AA350,TTSSKĐ!AG350,TTSSKĐ!AM350))=8)*(CHOOSE({1,2,3,4},TTSSKĐ!X350,TTSSKĐ!AD350,TTSSKĐ!AJ350,TTSSKĐ!AP350)))</f>
        <v>0</v>
      </c>
      <c r="I350">
        <f>SUMPRODUCT((MONTH(CHOOSE({1,2,3,4},TTSSKĐ!U350,TTSSKĐ!AA350,TTSSKĐ!AG350,TTSSKĐ!AM350))=9)*(CHOOSE({1,2,3,4},TTSSKĐ!X350,TTSSKĐ!AD350,TTSSKĐ!AJ350,TTSSKĐ!AP350)))</f>
        <v>0</v>
      </c>
      <c r="J350">
        <f>SUMPRODUCT((MONTH(CHOOSE({1,2,3,4},TTSSKĐ!U350,TTSSKĐ!AA350,TTSSKĐ!AG350,TTSSKĐ!AM350))=10)*(CHOOSE({1,2,3,4},TTSSKĐ!X350,TTSSKĐ!AD350,TTSSKĐ!AJ350,TTSSKĐ!AP350)))</f>
        <v>0</v>
      </c>
      <c r="K350">
        <f>SUMPRODUCT((MONTH(CHOOSE({1,2,3,4},TTSSKĐ!U350,TTSSKĐ!AA350,TTSSKĐ!AG350,TTSSKĐ!AM350))=11)*(CHOOSE({1,2,3,4},TTSSKĐ!X350,TTSSKĐ!AD350,TTSSKĐ!AJ350,TTSSKĐ!AP350)))</f>
        <v>0</v>
      </c>
      <c r="L350">
        <f>SUMPRODUCT((MONTH(CHOOSE({1,2,3,4},TTSSKĐ!U350,TTSSKĐ!AA350,TTSSKĐ!AG350,TTSSKĐ!AM350))=12)*(CHOOSE({1,2,3,4},TTSSKĐ!X350,TTSSKĐ!AD350,TTSSKĐ!AJ350,TTSSKĐ!AP350)))</f>
        <v>0</v>
      </c>
    </row>
    <row r="351" spans="1:12">
      <c r="A351">
        <f>SUMPRODUCT((MONTH(CHOOSE({1,2,3,4},TTSSKĐ!U351,TTSSKĐ!AA351,TTSSKĐ!AG351,TTSSKĐ!AM351))=1)*(CHOOSE({1,2,3,4},TTSSKĐ!X351,TTSSKĐ!AD351,TTSSKĐ!AJ351,TTSSKĐ!AP351)))</f>
        <v>0</v>
      </c>
      <c r="B351">
        <f>SUMPRODUCT((MONTH(CHOOSE({1,2,3,4},TTSSKĐ!U351,TTSSKĐ!AA351,TTSSKĐ!AG351,TTSSKĐ!AM351))=2)*(CHOOSE({1,2,3,4},TTSSKĐ!X351,TTSSKĐ!AD351,TTSSKĐ!AJ351,TTSSKĐ!AP351)))</f>
        <v>0</v>
      </c>
      <c r="C351">
        <f>SUMPRODUCT((MONTH(CHOOSE({1,2,3,4},TTSSKĐ!U351,TTSSKĐ!AA351,TTSSKĐ!AG351,TTSSKĐ!AM351))=3)*(CHOOSE({1,2,3,4},TTSSKĐ!X351,TTSSKĐ!AD351,TTSSKĐ!AJ351,TTSSKĐ!AP351)))</f>
        <v>0</v>
      </c>
      <c r="D351">
        <f>SUMPRODUCT((MONTH(CHOOSE({1,2,3,4},TTSSKĐ!U351,TTSSKĐ!AA351,TTSSKĐ!AG351,TTSSKĐ!AM351))=4)*(CHOOSE({1,2,3,4},TTSSKĐ!X351,TTSSKĐ!AD351,TTSSKĐ!AJ351,TTSSKĐ!AP351)))</f>
        <v>0</v>
      </c>
      <c r="E351">
        <f>SUMPRODUCT((MONTH(CHOOSE({1,2,3,4},TTSSKĐ!U351,TTSSKĐ!AA351,TTSSKĐ!AG351,TTSSKĐ!AM351))=5)*(CHOOSE({1,2,3,4},TTSSKĐ!X351,TTSSKĐ!AD351,TTSSKĐ!AJ351,TTSSKĐ!AP351)))</f>
        <v>0</v>
      </c>
      <c r="F351">
        <f>SUMPRODUCT((MONTH(CHOOSE({1,2,3,4},TTSSKĐ!U351,TTSSKĐ!AA351,TTSSKĐ!AG351,TTSSKĐ!AM351))=6)*(CHOOSE({1,2,3,4},TTSSKĐ!X351,TTSSKĐ!AD351,TTSSKĐ!AJ351,TTSSKĐ!AP351)))</f>
        <v>0</v>
      </c>
      <c r="G351">
        <f>SUMPRODUCT((MONTH(CHOOSE({1,2,3,4},TTSSKĐ!U351,TTSSKĐ!AA351,TTSSKĐ!AG351,TTSSKĐ!AM351))=7)*(CHOOSE({1,2,3,4},TTSSKĐ!X351,TTSSKĐ!AD351,TTSSKĐ!AJ351,TTSSKĐ!AP351)))</f>
        <v>0</v>
      </c>
      <c r="H351">
        <f>SUMPRODUCT((MONTH(CHOOSE({1,2,3,4},TTSSKĐ!U351,TTSSKĐ!AA351,TTSSKĐ!AG351,TTSSKĐ!AM351))=8)*(CHOOSE({1,2,3,4},TTSSKĐ!X351,TTSSKĐ!AD351,TTSSKĐ!AJ351,TTSSKĐ!AP351)))</f>
        <v>0</v>
      </c>
      <c r="I351">
        <f>SUMPRODUCT((MONTH(CHOOSE({1,2,3,4},TTSSKĐ!U351,TTSSKĐ!AA351,TTSSKĐ!AG351,TTSSKĐ!AM351))=9)*(CHOOSE({1,2,3,4},TTSSKĐ!X351,TTSSKĐ!AD351,TTSSKĐ!AJ351,TTSSKĐ!AP351)))</f>
        <v>0</v>
      </c>
      <c r="J351">
        <f>SUMPRODUCT((MONTH(CHOOSE({1,2,3,4},TTSSKĐ!U351,TTSSKĐ!AA351,TTSSKĐ!AG351,TTSSKĐ!AM351))=10)*(CHOOSE({1,2,3,4},TTSSKĐ!X351,TTSSKĐ!AD351,TTSSKĐ!AJ351,TTSSKĐ!AP351)))</f>
        <v>0</v>
      </c>
      <c r="K351">
        <f>SUMPRODUCT((MONTH(CHOOSE({1,2,3,4},TTSSKĐ!U351,TTSSKĐ!AA351,TTSSKĐ!AG351,TTSSKĐ!AM351))=11)*(CHOOSE({1,2,3,4},TTSSKĐ!X351,TTSSKĐ!AD351,TTSSKĐ!AJ351,TTSSKĐ!AP351)))</f>
        <v>0</v>
      </c>
      <c r="L351">
        <f>SUMPRODUCT((MONTH(CHOOSE({1,2,3,4},TTSSKĐ!U351,TTSSKĐ!AA351,TTSSKĐ!AG351,TTSSKĐ!AM351))=12)*(CHOOSE({1,2,3,4},TTSSKĐ!X351,TTSSKĐ!AD351,TTSSKĐ!AJ351,TTSSKĐ!AP351)))</f>
        <v>0</v>
      </c>
    </row>
    <row r="352" spans="1:12">
      <c r="A352">
        <f>SUMPRODUCT((MONTH(CHOOSE({1,2,3,4},TTSSKĐ!U352,TTSSKĐ!AA352,TTSSKĐ!AG352,TTSSKĐ!AM352))=1)*(CHOOSE({1,2,3,4},TTSSKĐ!X352,TTSSKĐ!AD352,TTSSKĐ!AJ352,TTSSKĐ!AP352)))</f>
        <v>0</v>
      </c>
      <c r="B352">
        <f>SUMPRODUCT((MONTH(CHOOSE({1,2,3,4},TTSSKĐ!U352,TTSSKĐ!AA352,TTSSKĐ!AG352,TTSSKĐ!AM352))=2)*(CHOOSE({1,2,3,4},TTSSKĐ!X352,TTSSKĐ!AD352,TTSSKĐ!AJ352,TTSSKĐ!AP352)))</f>
        <v>0</v>
      </c>
      <c r="C352">
        <f>SUMPRODUCT((MONTH(CHOOSE({1,2,3,4},TTSSKĐ!U352,TTSSKĐ!AA352,TTSSKĐ!AG352,TTSSKĐ!AM352))=3)*(CHOOSE({1,2,3,4},TTSSKĐ!X352,TTSSKĐ!AD352,TTSSKĐ!AJ352,TTSSKĐ!AP352)))</f>
        <v>0</v>
      </c>
      <c r="D352">
        <f>SUMPRODUCT((MONTH(CHOOSE({1,2,3,4},TTSSKĐ!U352,TTSSKĐ!AA352,TTSSKĐ!AG352,TTSSKĐ!AM352))=4)*(CHOOSE({1,2,3,4},TTSSKĐ!X352,TTSSKĐ!AD352,TTSSKĐ!AJ352,TTSSKĐ!AP352)))</f>
        <v>0</v>
      </c>
      <c r="E352">
        <f>SUMPRODUCT((MONTH(CHOOSE({1,2,3,4},TTSSKĐ!U352,TTSSKĐ!AA352,TTSSKĐ!AG352,TTSSKĐ!AM352))=5)*(CHOOSE({1,2,3,4},TTSSKĐ!X352,TTSSKĐ!AD352,TTSSKĐ!AJ352,TTSSKĐ!AP352)))</f>
        <v>0</v>
      </c>
      <c r="F352">
        <f>SUMPRODUCT((MONTH(CHOOSE({1,2,3,4},TTSSKĐ!U352,TTSSKĐ!AA352,TTSSKĐ!AG352,TTSSKĐ!AM352))=6)*(CHOOSE({1,2,3,4},TTSSKĐ!X352,TTSSKĐ!AD352,TTSSKĐ!AJ352,TTSSKĐ!AP352)))</f>
        <v>0</v>
      </c>
      <c r="G352">
        <f>SUMPRODUCT((MONTH(CHOOSE({1,2,3,4},TTSSKĐ!U352,TTSSKĐ!AA352,TTSSKĐ!AG352,TTSSKĐ!AM352))=7)*(CHOOSE({1,2,3,4},TTSSKĐ!X352,TTSSKĐ!AD352,TTSSKĐ!AJ352,TTSSKĐ!AP352)))</f>
        <v>0</v>
      </c>
      <c r="H352">
        <f>SUMPRODUCT((MONTH(CHOOSE({1,2,3,4},TTSSKĐ!U352,TTSSKĐ!AA352,TTSSKĐ!AG352,TTSSKĐ!AM352))=8)*(CHOOSE({1,2,3,4},TTSSKĐ!X352,TTSSKĐ!AD352,TTSSKĐ!AJ352,TTSSKĐ!AP352)))</f>
        <v>0</v>
      </c>
      <c r="I352">
        <f>SUMPRODUCT((MONTH(CHOOSE({1,2,3,4},TTSSKĐ!U352,TTSSKĐ!AA352,TTSSKĐ!AG352,TTSSKĐ!AM352))=9)*(CHOOSE({1,2,3,4},TTSSKĐ!X352,TTSSKĐ!AD352,TTSSKĐ!AJ352,TTSSKĐ!AP352)))</f>
        <v>0</v>
      </c>
      <c r="J352">
        <f>SUMPRODUCT((MONTH(CHOOSE({1,2,3,4},TTSSKĐ!U352,TTSSKĐ!AA352,TTSSKĐ!AG352,TTSSKĐ!AM352))=10)*(CHOOSE({1,2,3,4},TTSSKĐ!X352,TTSSKĐ!AD352,TTSSKĐ!AJ352,TTSSKĐ!AP352)))</f>
        <v>0</v>
      </c>
      <c r="K352">
        <f>SUMPRODUCT((MONTH(CHOOSE({1,2,3,4},TTSSKĐ!U352,TTSSKĐ!AA352,TTSSKĐ!AG352,TTSSKĐ!AM352))=11)*(CHOOSE({1,2,3,4},TTSSKĐ!X352,TTSSKĐ!AD352,TTSSKĐ!AJ352,TTSSKĐ!AP352)))</f>
        <v>0</v>
      </c>
      <c r="L352">
        <f>SUMPRODUCT((MONTH(CHOOSE({1,2,3,4},TTSSKĐ!U352,TTSSKĐ!AA352,TTSSKĐ!AG352,TTSSKĐ!AM352))=12)*(CHOOSE({1,2,3,4},TTSSKĐ!X352,TTSSKĐ!AD352,TTSSKĐ!AJ352,TTSSKĐ!AP352)))</f>
        <v>0</v>
      </c>
    </row>
    <row r="353" spans="1:12">
      <c r="A353">
        <f>SUMPRODUCT((MONTH(CHOOSE({1,2,3,4},TTSSKĐ!U353,TTSSKĐ!AA353,TTSSKĐ!AG353,TTSSKĐ!AM353))=1)*(CHOOSE({1,2,3,4},TTSSKĐ!X353,TTSSKĐ!AD353,TTSSKĐ!AJ353,TTSSKĐ!AP353)))</f>
        <v>0</v>
      </c>
      <c r="B353">
        <f>SUMPRODUCT((MONTH(CHOOSE({1,2,3,4},TTSSKĐ!U353,TTSSKĐ!AA353,TTSSKĐ!AG353,TTSSKĐ!AM353))=2)*(CHOOSE({1,2,3,4},TTSSKĐ!X353,TTSSKĐ!AD353,TTSSKĐ!AJ353,TTSSKĐ!AP353)))</f>
        <v>0</v>
      </c>
      <c r="C353">
        <f>SUMPRODUCT((MONTH(CHOOSE({1,2,3,4},TTSSKĐ!U353,TTSSKĐ!AA353,TTSSKĐ!AG353,TTSSKĐ!AM353))=3)*(CHOOSE({1,2,3,4},TTSSKĐ!X353,TTSSKĐ!AD353,TTSSKĐ!AJ353,TTSSKĐ!AP353)))</f>
        <v>0</v>
      </c>
      <c r="D353">
        <f>SUMPRODUCT((MONTH(CHOOSE({1,2,3,4},TTSSKĐ!U353,TTSSKĐ!AA353,TTSSKĐ!AG353,TTSSKĐ!AM353))=4)*(CHOOSE({1,2,3,4},TTSSKĐ!X353,TTSSKĐ!AD353,TTSSKĐ!AJ353,TTSSKĐ!AP353)))</f>
        <v>0</v>
      </c>
      <c r="E353">
        <f>SUMPRODUCT((MONTH(CHOOSE({1,2,3,4},TTSSKĐ!U353,TTSSKĐ!AA353,TTSSKĐ!AG353,TTSSKĐ!AM353))=5)*(CHOOSE({1,2,3,4},TTSSKĐ!X353,TTSSKĐ!AD353,TTSSKĐ!AJ353,TTSSKĐ!AP353)))</f>
        <v>0</v>
      </c>
      <c r="F353">
        <f>SUMPRODUCT((MONTH(CHOOSE({1,2,3,4},TTSSKĐ!U353,TTSSKĐ!AA353,TTSSKĐ!AG353,TTSSKĐ!AM353))=6)*(CHOOSE({1,2,3,4},TTSSKĐ!X353,TTSSKĐ!AD353,TTSSKĐ!AJ353,TTSSKĐ!AP353)))</f>
        <v>0</v>
      </c>
      <c r="G353">
        <f>SUMPRODUCT((MONTH(CHOOSE({1,2,3,4},TTSSKĐ!U353,TTSSKĐ!AA353,TTSSKĐ!AG353,TTSSKĐ!AM353))=7)*(CHOOSE({1,2,3,4},TTSSKĐ!X353,TTSSKĐ!AD353,TTSSKĐ!AJ353,TTSSKĐ!AP353)))</f>
        <v>0</v>
      </c>
      <c r="H353">
        <f>SUMPRODUCT((MONTH(CHOOSE({1,2,3,4},TTSSKĐ!U353,TTSSKĐ!AA353,TTSSKĐ!AG353,TTSSKĐ!AM353))=8)*(CHOOSE({1,2,3,4},TTSSKĐ!X353,TTSSKĐ!AD353,TTSSKĐ!AJ353,TTSSKĐ!AP353)))</f>
        <v>0</v>
      </c>
      <c r="I353">
        <f>SUMPRODUCT((MONTH(CHOOSE({1,2,3,4},TTSSKĐ!U353,TTSSKĐ!AA353,TTSSKĐ!AG353,TTSSKĐ!AM353))=9)*(CHOOSE({1,2,3,4},TTSSKĐ!X353,TTSSKĐ!AD353,TTSSKĐ!AJ353,TTSSKĐ!AP353)))</f>
        <v>0</v>
      </c>
      <c r="J353">
        <f>SUMPRODUCT((MONTH(CHOOSE({1,2,3,4},TTSSKĐ!U353,TTSSKĐ!AA353,TTSSKĐ!AG353,TTSSKĐ!AM353))=10)*(CHOOSE({1,2,3,4},TTSSKĐ!X353,TTSSKĐ!AD353,TTSSKĐ!AJ353,TTSSKĐ!AP353)))</f>
        <v>0</v>
      </c>
      <c r="K353">
        <f>SUMPRODUCT((MONTH(CHOOSE({1,2,3,4},TTSSKĐ!U353,TTSSKĐ!AA353,TTSSKĐ!AG353,TTSSKĐ!AM353))=11)*(CHOOSE({1,2,3,4},TTSSKĐ!X353,TTSSKĐ!AD353,TTSSKĐ!AJ353,TTSSKĐ!AP353)))</f>
        <v>0</v>
      </c>
      <c r="L353">
        <f>SUMPRODUCT((MONTH(CHOOSE({1,2,3,4},TTSSKĐ!U353,TTSSKĐ!AA353,TTSSKĐ!AG353,TTSSKĐ!AM353))=12)*(CHOOSE({1,2,3,4},TTSSKĐ!X353,TTSSKĐ!AD353,TTSSKĐ!AJ353,TTSSKĐ!AP353)))</f>
        <v>0</v>
      </c>
    </row>
    <row r="354" spans="1:12">
      <c r="A354">
        <f>SUMPRODUCT((MONTH(CHOOSE({1,2,3,4},TTSSKĐ!U354,TTSSKĐ!AA354,TTSSKĐ!AG354,TTSSKĐ!AM354))=1)*(CHOOSE({1,2,3,4},TTSSKĐ!X354,TTSSKĐ!AD354,TTSSKĐ!AJ354,TTSSKĐ!AP354)))</f>
        <v>0</v>
      </c>
      <c r="B354">
        <f>SUMPRODUCT((MONTH(CHOOSE({1,2,3,4},TTSSKĐ!U354,TTSSKĐ!AA354,TTSSKĐ!AG354,TTSSKĐ!AM354))=2)*(CHOOSE({1,2,3,4},TTSSKĐ!X354,TTSSKĐ!AD354,TTSSKĐ!AJ354,TTSSKĐ!AP354)))</f>
        <v>0</v>
      </c>
      <c r="C354">
        <f>SUMPRODUCT((MONTH(CHOOSE({1,2,3,4},TTSSKĐ!U354,TTSSKĐ!AA354,TTSSKĐ!AG354,TTSSKĐ!AM354))=3)*(CHOOSE({1,2,3,4},TTSSKĐ!X354,TTSSKĐ!AD354,TTSSKĐ!AJ354,TTSSKĐ!AP354)))</f>
        <v>0</v>
      </c>
      <c r="D354">
        <f>SUMPRODUCT((MONTH(CHOOSE({1,2,3,4},TTSSKĐ!U354,TTSSKĐ!AA354,TTSSKĐ!AG354,TTSSKĐ!AM354))=4)*(CHOOSE({1,2,3,4},TTSSKĐ!X354,TTSSKĐ!AD354,TTSSKĐ!AJ354,TTSSKĐ!AP354)))</f>
        <v>0</v>
      </c>
      <c r="E354">
        <f>SUMPRODUCT((MONTH(CHOOSE({1,2,3,4},TTSSKĐ!U354,TTSSKĐ!AA354,TTSSKĐ!AG354,TTSSKĐ!AM354))=5)*(CHOOSE({1,2,3,4},TTSSKĐ!X354,TTSSKĐ!AD354,TTSSKĐ!AJ354,TTSSKĐ!AP354)))</f>
        <v>0</v>
      </c>
      <c r="F354">
        <f>SUMPRODUCT((MONTH(CHOOSE({1,2,3,4},TTSSKĐ!U354,TTSSKĐ!AA354,TTSSKĐ!AG354,TTSSKĐ!AM354))=6)*(CHOOSE({1,2,3,4},TTSSKĐ!X354,TTSSKĐ!AD354,TTSSKĐ!AJ354,TTSSKĐ!AP354)))</f>
        <v>0</v>
      </c>
      <c r="G354">
        <f>SUMPRODUCT((MONTH(CHOOSE({1,2,3,4},TTSSKĐ!U354,TTSSKĐ!AA354,TTSSKĐ!AG354,TTSSKĐ!AM354))=7)*(CHOOSE({1,2,3,4},TTSSKĐ!X354,TTSSKĐ!AD354,TTSSKĐ!AJ354,TTSSKĐ!AP354)))</f>
        <v>0</v>
      </c>
      <c r="H354">
        <f>SUMPRODUCT((MONTH(CHOOSE({1,2,3,4},TTSSKĐ!U354,TTSSKĐ!AA354,TTSSKĐ!AG354,TTSSKĐ!AM354))=8)*(CHOOSE({1,2,3,4},TTSSKĐ!X354,TTSSKĐ!AD354,TTSSKĐ!AJ354,TTSSKĐ!AP354)))</f>
        <v>0</v>
      </c>
      <c r="I354">
        <f>SUMPRODUCT((MONTH(CHOOSE({1,2,3,4},TTSSKĐ!U354,TTSSKĐ!AA354,TTSSKĐ!AG354,TTSSKĐ!AM354))=9)*(CHOOSE({1,2,3,4},TTSSKĐ!X354,TTSSKĐ!AD354,TTSSKĐ!AJ354,TTSSKĐ!AP354)))</f>
        <v>0</v>
      </c>
      <c r="J354">
        <f>SUMPRODUCT((MONTH(CHOOSE({1,2,3,4},TTSSKĐ!U354,TTSSKĐ!AA354,TTSSKĐ!AG354,TTSSKĐ!AM354))=10)*(CHOOSE({1,2,3,4},TTSSKĐ!X354,TTSSKĐ!AD354,TTSSKĐ!AJ354,TTSSKĐ!AP354)))</f>
        <v>0</v>
      </c>
      <c r="K354">
        <f>SUMPRODUCT((MONTH(CHOOSE({1,2,3,4},TTSSKĐ!U354,TTSSKĐ!AA354,TTSSKĐ!AG354,TTSSKĐ!AM354))=11)*(CHOOSE({1,2,3,4},TTSSKĐ!X354,TTSSKĐ!AD354,TTSSKĐ!AJ354,TTSSKĐ!AP354)))</f>
        <v>0</v>
      </c>
      <c r="L354">
        <f>SUMPRODUCT((MONTH(CHOOSE({1,2,3,4},TTSSKĐ!U354,TTSSKĐ!AA354,TTSSKĐ!AG354,TTSSKĐ!AM354))=12)*(CHOOSE({1,2,3,4},TTSSKĐ!X354,TTSSKĐ!AD354,TTSSKĐ!AJ354,TTSSKĐ!AP354)))</f>
        <v>0</v>
      </c>
    </row>
    <row r="355" spans="1:12">
      <c r="A355">
        <f>SUMPRODUCT((MONTH(CHOOSE({1,2,3,4},TTSSKĐ!U355,TTSSKĐ!AA355,TTSSKĐ!AG355,TTSSKĐ!AM355))=1)*(CHOOSE({1,2,3,4},TTSSKĐ!X355,TTSSKĐ!AD355,TTSSKĐ!AJ355,TTSSKĐ!AP355)))</f>
        <v>0</v>
      </c>
      <c r="B355">
        <f>SUMPRODUCT((MONTH(CHOOSE({1,2,3,4},TTSSKĐ!U355,TTSSKĐ!AA355,TTSSKĐ!AG355,TTSSKĐ!AM355))=2)*(CHOOSE({1,2,3,4},TTSSKĐ!X355,TTSSKĐ!AD355,TTSSKĐ!AJ355,TTSSKĐ!AP355)))</f>
        <v>0</v>
      </c>
      <c r="C355">
        <f>SUMPRODUCT((MONTH(CHOOSE({1,2,3,4},TTSSKĐ!U355,TTSSKĐ!AA355,TTSSKĐ!AG355,TTSSKĐ!AM355))=3)*(CHOOSE({1,2,3,4},TTSSKĐ!X355,TTSSKĐ!AD355,TTSSKĐ!AJ355,TTSSKĐ!AP355)))</f>
        <v>0</v>
      </c>
      <c r="D355">
        <f>SUMPRODUCT((MONTH(CHOOSE({1,2,3,4},TTSSKĐ!U355,TTSSKĐ!AA355,TTSSKĐ!AG355,TTSSKĐ!AM355))=4)*(CHOOSE({1,2,3,4},TTSSKĐ!X355,TTSSKĐ!AD355,TTSSKĐ!AJ355,TTSSKĐ!AP355)))</f>
        <v>0</v>
      </c>
      <c r="E355">
        <f>SUMPRODUCT((MONTH(CHOOSE({1,2,3,4},TTSSKĐ!U355,TTSSKĐ!AA355,TTSSKĐ!AG355,TTSSKĐ!AM355))=5)*(CHOOSE({1,2,3,4},TTSSKĐ!X355,TTSSKĐ!AD355,TTSSKĐ!AJ355,TTSSKĐ!AP355)))</f>
        <v>0</v>
      </c>
      <c r="F355">
        <f>SUMPRODUCT((MONTH(CHOOSE({1,2,3,4},TTSSKĐ!U355,TTSSKĐ!AA355,TTSSKĐ!AG355,TTSSKĐ!AM355))=6)*(CHOOSE({1,2,3,4},TTSSKĐ!X355,TTSSKĐ!AD355,TTSSKĐ!AJ355,TTSSKĐ!AP355)))</f>
        <v>0</v>
      </c>
      <c r="G355">
        <f>SUMPRODUCT((MONTH(CHOOSE({1,2,3,4},TTSSKĐ!U355,TTSSKĐ!AA355,TTSSKĐ!AG355,TTSSKĐ!AM355))=7)*(CHOOSE({1,2,3,4},TTSSKĐ!X355,TTSSKĐ!AD355,TTSSKĐ!AJ355,TTSSKĐ!AP355)))</f>
        <v>0</v>
      </c>
      <c r="H355">
        <f>SUMPRODUCT((MONTH(CHOOSE({1,2,3,4},TTSSKĐ!U355,TTSSKĐ!AA355,TTSSKĐ!AG355,TTSSKĐ!AM355))=8)*(CHOOSE({1,2,3,4},TTSSKĐ!X355,TTSSKĐ!AD355,TTSSKĐ!AJ355,TTSSKĐ!AP355)))</f>
        <v>0</v>
      </c>
      <c r="I355">
        <f>SUMPRODUCT((MONTH(CHOOSE({1,2,3,4},TTSSKĐ!U355,TTSSKĐ!AA355,TTSSKĐ!AG355,TTSSKĐ!AM355))=9)*(CHOOSE({1,2,3,4},TTSSKĐ!X355,TTSSKĐ!AD355,TTSSKĐ!AJ355,TTSSKĐ!AP355)))</f>
        <v>0</v>
      </c>
      <c r="J355">
        <f>SUMPRODUCT((MONTH(CHOOSE({1,2,3,4},TTSSKĐ!U355,TTSSKĐ!AA355,TTSSKĐ!AG355,TTSSKĐ!AM355))=10)*(CHOOSE({1,2,3,4},TTSSKĐ!X355,TTSSKĐ!AD355,TTSSKĐ!AJ355,TTSSKĐ!AP355)))</f>
        <v>0</v>
      </c>
      <c r="K355">
        <f>SUMPRODUCT((MONTH(CHOOSE({1,2,3,4},TTSSKĐ!U355,TTSSKĐ!AA355,TTSSKĐ!AG355,TTSSKĐ!AM355))=11)*(CHOOSE({1,2,3,4},TTSSKĐ!X355,TTSSKĐ!AD355,TTSSKĐ!AJ355,TTSSKĐ!AP355)))</f>
        <v>0</v>
      </c>
      <c r="L355">
        <f>SUMPRODUCT((MONTH(CHOOSE({1,2,3,4},TTSSKĐ!U355,TTSSKĐ!AA355,TTSSKĐ!AG355,TTSSKĐ!AM355))=12)*(CHOOSE({1,2,3,4},TTSSKĐ!X355,TTSSKĐ!AD355,TTSSKĐ!AJ355,TTSSKĐ!AP355)))</f>
        <v>0</v>
      </c>
    </row>
    <row r="356" spans="1:12">
      <c r="A356">
        <f>SUMPRODUCT((MONTH(CHOOSE({1,2,3,4},TTSSKĐ!U356,TTSSKĐ!AA356,TTSSKĐ!AG356,TTSSKĐ!AM356))=1)*(CHOOSE({1,2,3,4},TTSSKĐ!X356,TTSSKĐ!AD356,TTSSKĐ!AJ356,TTSSKĐ!AP356)))</f>
        <v>0</v>
      </c>
      <c r="B356">
        <f>SUMPRODUCT((MONTH(CHOOSE({1,2,3,4},TTSSKĐ!U356,TTSSKĐ!AA356,TTSSKĐ!AG356,TTSSKĐ!AM356))=2)*(CHOOSE({1,2,3,4},TTSSKĐ!X356,TTSSKĐ!AD356,TTSSKĐ!AJ356,TTSSKĐ!AP356)))</f>
        <v>0</v>
      </c>
      <c r="C356">
        <f>SUMPRODUCT((MONTH(CHOOSE({1,2,3,4},TTSSKĐ!U356,TTSSKĐ!AA356,TTSSKĐ!AG356,TTSSKĐ!AM356))=3)*(CHOOSE({1,2,3,4},TTSSKĐ!X356,TTSSKĐ!AD356,TTSSKĐ!AJ356,TTSSKĐ!AP356)))</f>
        <v>0</v>
      </c>
      <c r="D356">
        <f>SUMPRODUCT((MONTH(CHOOSE({1,2,3,4},TTSSKĐ!U356,TTSSKĐ!AA356,TTSSKĐ!AG356,TTSSKĐ!AM356))=4)*(CHOOSE({1,2,3,4},TTSSKĐ!X356,TTSSKĐ!AD356,TTSSKĐ!AJ356,TTSSKĐ!AP356)))</f>
        <v>0</v>
      </c>
      <c r="E356">
        <f>SUMPRODUCT((MONTH(CHOOSE({1,2,3,4},TTSSKĐ!U356,TTSSKĐ!AA356,TTSSKĐ!AG356,TTSSKĐ!AM356))=5)*(CHOOSE({1,2,3,4},TTSSKĐ!X356,TTSSKĐ!AD356,TTSSKĐ!AJ356,TTSSKĐ!AP356)))</f>
        <v>0</v>
      </c>
      <c r="F356">
        <f>SUMPRODUCT((MONTH(CHOOSE({1,2,3,4},TTSSKĐ!U356,TTSSKĐ!AA356,TTSSKĐ!AG356,TTSSKĐ!AM356))=6)*(CHOOSE({1,2,3,4},TTSSKĐ!X356,TTSSKĐ!AD356,TTSSKĐ!AJ356,TTSSKĐ!AP356)))</f>
        <v>0</v>
      </c>
      <c r="G356">
        <f>SUMPRODUCT((MONTH(CHOOSE({1,2,3,4},TTSSKĐ!U356,TTSSKĐ!AA356,TTSSKĐ!AG356,TTSSKĐ!AM356))=7)*(CHOOSE({1,2,3,4},TTSSKĐ!X356,TTSSKĐ!AD356,TTSSKĐ!AJ356,TTSSKĐ!AP356)))</f>
        <v>0</v>
      </c>
      <c r="H356">
        <f>SUMPRODUCT((MONTH(CHOOSE({1,2,3,4},TTSSKĐ!U356,TTSSKĐ!AA356,TTSSKĐ!AG356,TTSSKĐ!AM356))=8)*(CHOOSE({1,2,3,4},TTSSKĐ!X356,TTSSKĐ!AD356,TTSSKĐ!AJ356,TTSSKĐ!AP356)))</f>
        <v>0</v>
      </c>
      <c r="I356">
        <f>SUMPRODUCT((MONTH(CHOOSE({1,2,3,4},TTSSKĐ!U356,TTSSKĐ!AA356,TTSSKĐ!AG356,TTSSKĐ!AM356))=9)*(CHOOSE({1,2,3,4},TTSSKĐ!X356,TTSSKĐ!AD356,TTSSKĐ!AJ356,TTSSKĐ!AP356)))</f>
        <v>0</v>
      </c>
      <c r="J356">
        <f>SUMPRODUCT((MONTH(CHOOSE({1,2,3,4},TTSSKĐ!U356,TTSSKĐ!AA356,TTSSKĐ!AG356,TTSSKĐ!AM356))=10)*(CHOOSE({1,2,3,4},TTSSKĐ!X356,TTSSKĐ!AD356,TTSSKĐ!AJ356,TTSSKĐ!AP356)))</f>
        <v>0</v>
      </c>
      <c r="K356">
        <f>SUMPRODUCT((MONTH(CHOOSE({1,2,3,4},TTSSKĐ!U356,TTSSKĐ!AA356,TTSSKĐ!AG356,TTSSKĐ!AM356))=11)*(CHOOSE({1,2,3,4},TTSSKĐ!X356,TTSSKĐ!AD356,TTSSKĐ!AJ356,TTSSKĐ!AP356)))</f>
        <v>0</v>
      </c>
      <c r="L356">
        <f>SUMPRODUCT((MONTH(CHOOSE({1,2,3,4},TTSSKĐ!U356,TTSSKĐ!AA356,TTSSKĐ!AG356,TTSSKĐ!AM356))=12)*(CHOOSE({1,2,3,4},TTSSKĐ!X356,TTSSKĐ!AD356,TTSSKĐ!AJ356,TTSSKĐ!AP356)))</f>
        <v>0</v>
      </c>
    </row>
    <row r="357" spans="1:12">
      <c r="A357">
        <f>SUMPRODUCT((MONTH(CHOOSE({1,2,3,4},TTSSKĐ!U357,TTSSKĐ!AA357,TTSSKĐ!AG357,TTSSKĐ!AM357))=1)*(CHOOSE({1,2,3,4},TTSSKĐ!X357,TTSSKĐ!AD357,TTSSKĐ!AJ357,TTSSKĐ!AP357)))</f>
        <v>0</v>
      </c>
      <c r="B357">
        <f>SUMPRODUCT((MONTH(CHOOSE({1,2,3,4},TTSSKĐ!U357,TTSSKĐ!AA357,TTSSKĐ!AG357,TTSSKĐ!AM357))=2)*(CHOOSE({1,2,3,4},TTSSKĐ!X357,TTSSKĐ!AD357,TTSSKĐ!AJ357,TTSSKĐ!AP357)))</f>
        <v>0</v>
      </c>
      <c r="C357">
        <f>SUMPRODUCT((MONTH(CHOOSE({1,2,3,4},TTSSKĐ!U357,TTSSKĐ!AA357,TTSSKĐ!AG357,TTSSKĐ!AM357))=3)*(CHOOSE({1,2,3,4},TTSSKĐ!X357,TTSSKĐ!AD357,TTSSKĐ!AJ357,TTSSKĐ!AP357)))</f>
        <v>0</v>
      </c>
      <c r="D357">
        <f>SUMPRODUCT((MONTH(CHOOSE({1,2,3,4},TTSSKĐ!U357,TTSSKĐ!AA357,TTSSKĐ!AG357,TTSSKĐ!AM357))=4)*(CHOOSE({1,2,3,4},TTSSKĐ!X357,TTSSKĐ!AD357,TTSSKĐ!AJ357,TTSSKĐ!AP357)))</f>
        <v>0</v>
      </c>
      <c r="E357">
        <f>SUMPRODUCT((MONTH(CHOOSE({1,2,3,4},TTSSKĐ!U357,TTSSKĐ!AA357,TTSSKĐ!AG357,TTSSKĐ!AM357))=5)*(CHOOSE({1,2,3,4},TTSSKĐ!X357,TTSSKĐ!AD357,TTSSKĐ!AJ357,TTSSKĐ!AP357)))</f>
        <v>0</v>
      </c>
      <c r="F357">
        <f>SUMPRODUCT((MONTH(CHOOSE({1,2,3,4},TTSSKĐ!U357,TTSSKĐ!AA357,TTSSKĐ!AG357,TTSSKĐ!AM357))=6)*(CHOOSE({1,2,3,4},TTSSKĐ!X357,TTSSKĐ!AD357,TTSSKĐ!AJ357,TTSSKĐ!AP357)))</f>
        <v>0</v>
      </c>
      <c r="G357">
        <f>SUMPRODUCT((MONTH(CHOOSE({1,2,3,4},TTSSKĐ!U357,TTSSKĐ!AA357,TTSSKĐ!AG357,TTSSKĐ!AM357))=7)*(CHOOSE({1,2,3,4},TTSSKĐ!X357,TTSSKĐ!AD357,TTSSKĐ!AJ357,TTSSKĐ!AP357)))</f>
        <v>0</v>
      </c>
      <c r="H357">
        <f>SUMPRODUCT((MONTH(CHOOSE({1,2,3,4},TTSSKĐ!U357,TTSSKĐ!AA357,TTSSKĐ!AG357,TTSSKĐ!AM357))=8)*(CHOOSE({1,2,3,4},TTSSKĐ!X357,TTSSKĐ!AD357,TTSSKĐ!AJ357,TTSSKĐ!AP357)))</f>
        <v>0</v>
      </c>
      <c r="I357">
        <f>SUMPRODUCT((MONTH(CHOOSE({1,2,3,4},TTSSKĐ!U357,TTSSKĐ!AA357,TTSSKĐ!AG357,TTSSKĐ!AM357))=9)*(CHOOSE({1,2,3,4},TTSSKĐ!X357,TTSSKĐ!AD357,TTSSKĐ!AJ357,TTSSKĐ!AP357)))</f>
        <v>0</v>
      </c>
      <c r="J357">
        <f>SUMPRODUCT((MONTH(CHOOSE({1,2,3,4},TTSSKĐ!U357,TTSSKĐ!AA357,TTSSKĐ!AG357,TTSSKĐ!AM357))=10)*(CHOOSE({1,2,3,4},TTSSKĐ!X357,TTSSKĐ!AD357,TTSSKĐ!AJ357,TTSSKĐ!AP357)))</f>
        <v>0</v>
      </c>
      <c r="K357">
        <f>SUMPRODUCT((MONTH(CHOOSE({1,2,3,4},TTSSKĐ!U357,TTSSKĐ!AA357,TTSSKĐ!AG357,TTSSKĐ!AM357))=11)*(CHOOSE({1,2,3,4},TTSSKĐ!X357,TTSSKĐ!AD357,TTSSKĐ!AJ357,TTSSKĐ!AP357)))</f>
        <v>0</v>
      </c>
      <c r="L357">
        <f>SUMPRODUCT((MONTH(CHOOSE({1,2,3,4},TTSSKĐ!U357,TTSSKĐ!AA357,TTSSKĐ!AG357,TTSSKĐ!AM357))=12)*(CHOOSE({1,2,3,4},TTSSKĐ!X357,TTSSKĐ!AD357,TTSSKĐ!AJ357,TTSSKĐ!AP357)))</f>
        <v>0</v>
      </c>
    </row>
    <row r="358" spans="1:12">
      <c r="A358">
        <f>SUMPRODUCT((MONTH(CHOOSE({1,2,3,4},TTSSKĐ!U358,TTSSKĐ!AA358,TTSSKĐ!AG358,TTSSKĐ!AM358))=1)*(CHOOSE({1,2,3,4},TTSSKĐ!X358,TTSSKĐ!AD358,TTSSKĐ!AJ358,TTSSKĐ!AP358)))</f>
        <v>0</v>
      </c>
      <c r="B358">
        <f>SUMPRODUCT((MONTH(CHOOSE({1,2,3,4},TTSSKĐ!U358,TTSSKĐ!AA358,TTSSKĐ!AG358,TTSSKĐ!AM358))=2)*(CHOOSE({1,2,3,4},TTSSKĐ!X358,TTSSKĐ!AD358,TTSSKĐ!AJ358,TTSSKĐ!AP358)))</f>
        <v>0</v>
      </c>
      <c r="C358">
        <f>SUMPRODUCT((MONTH(CHOOSE({1,2,3,4},TTSSKĐ!U358,TTSSKĐ!AA358,TTSSKĐ!AG358,TTSSKĐ!AM358))=3)*(CHOOSE({1,2,3,4},TTSSKĐ!X358,TTSSKĐ!AD358,TTSSKĐ!AJ358,TTSSKĐ!AP358)))</f>
        <v>0</v>
      </c>
      <c r="D358">
        <f>SUMPRODUCT((MONTH(CHOOSE({1,2,3,4},TTSSKĐ!U358,TTSSKĐ!AA358,TTSSKĐ!AG358,TTSSKĐ!AM358))=4)*(CHOOSE({1,2,3,4},TTSSKĐ!X358,TTSSKĐ!AD358,TTSSKĐ!AJ358,TTSSKĐ!AP358)))</f>
        <v>0</v>
      </c>
      <c r="E358">
        <f>SUMPRODUCT((MONTH(CHOOSE({1,2,3,4},TTSSKĐ!U358,TTSSKĐ!AA358,TTSSKĐ!AG358,TTSSKĐ!AM358))=5)*(CHOOSE({1,2,3,4},TTSSKĐ!X358,TTSSKĐ!AD358,TTSSKĐ!AJ358,TTSSKĐ!AP358)))</f>
        <v>0</v>
      </c>
      <c r="F358">
        <f>SUMPRODUCT((MONTH(CHOOSE({1,2,3,4},TTSSKĐ!U358,TTSSKĐ!AA358,TTSSKĐ!AG358,TTSSKĐ!AM358))=6)*(CHOOSE({1,2,3,4},TTSSKĐ!X358,TTSSKĐ!AD358,TTSSKĐ!AJ358,TTSSKĐ!AP358)))</f>
        <v>0</v>
      </c>
      <c r="G358">
        <f>SUMPRODUCT((MONTH(CHOOSE({1,2,3,4},TTSSKĐ!U358,TTSSKĐ!AA358,TTSSKĐ!AG358,TTSSKĐ!AM358))=7)*(CHOOSE({1,2,3,4},TTSSKĐ!X358,TTSSKĐ!AD358,TTSSKĐ!AJ358,TTSSKĐ!AP358)))</f>
        <v>0</v>
      </c>
      <c r="H358">
        <f>SUMPRODUCT((MONTH(CHOOSE({1,2,3,4},TTSSKĐ!U358,TTSSKĐ!AA358,TTSSKĐ!AG358,TTSSKĐ!AM358))=8)*(CHOOSE({1,2,3,4},TTSSKĐ!X358,TTSSKĐ!AD358,TTSSKĐ!AJ358,TTSSKĐ!AP358)))</f>
        <v>0</v>
      </c>
      <c r="I358">
        <f>SUMPRODUCT((MONTH(CHOOSE({1,2,3,4},TTSSKĐ!U358,TTSSKĐ!AA358,TTSSKĐ!AG358,TTSSKĐ!AM358))=9)*(CHOOSE({1,2,3,4},TTSSKĐ!X358,TTSSKĐ!AD358,TTSSKĐ!AJ358,TTSSKĐ!AP358)))</f>
        <v>0</v>
      </c>
      <c r="J358">
        <f>SUMPRODUCT((MONTH(CHOOSE({1,2,3,4},TTSSKĐ!U358,TTSSKĐ!AA358,TTSSKĐ!AG358,TTSSKĐ!AM358))=10)*(CHOOSE({1,2,3,4},TTSSKĐ!X358,TTSSKĐ!AD358,TTSSKĐ!AJ358,TTSSKĐ!AP358)))</f>
        <v>0</v>
      </c>
      <c r="K358">
        <f>SUMPRODUCT((MONTH(CHOOSE({1,2,3,4},TTSSKĐ!U358,TTSSKĐ!AA358,TTSSKĐ!AG358,TTSSKĐ!AM358))=11)*(CHOOSE({1,2,3,4},TTSSKĐ!X358,TTSSKĐ!AD358,TTSSKĐ!AJ358,TTSSKĐ!AP358)))</f>
        <v>0</v>
      </c>
      <c r="L358">
        <f>SUMPRODUCT((MONTH(CHOOSE({1,2,3,4},TTSSKĐ!U358,TTSSKĐ!AA358,TTSSKĐ!AG358,TTSSKĐ!AM358))=12)*(CHOOSE({1,2,3,4},TTSSKĐ!X358,TTSSKĐ!AD358,TTSSKĐ!AJ358,TTSSKĐ!AP358)))</f>
        <v>0</v>
      </c>
    </row>
    <row r="359" spans="1:12">
      <c r="A359">
        <f>SUMPRODUCT((MONTH(CHOOSE({1,2,3,4},TTSSKĐ!U359,TTSSKĐ!AA359,TTSSKĐ!AG359,TTSSKĐ!AM359))=1)*(CHOOSE({1,2,3,4},TTSSKĐ!X359,TTSSKĐ!AD359,TTSSKĐ!AJ359,TTSSKĐ!AP359)))</f>
        <v>0</v>
      </c>
      <c r="B359">
        <f>SUMPRODUCT((MONTH(CHOOSE({1,2,3,4},TTSSKĐ!U359,TTSSKĐ!AA359,TTSSKĐ!AG359,TTSSKĐ!AM359))=2)*(CHOOSE({1,2,3,4},TTSSKĐ!X359,TTSSKĐ!AD359,TTSSKĐ!AJ359,TTSSKĐ!AP359)))</f>
        <v>0</v>
      </c>
      <c r="C359">
        <f>SUMPRODUCT((MONTH(CHOOSE({1,2,3,4},TTSSKĐ!U359,TTSSKĐ!AA359,TTSSKĐ!AG359,TTSSKĐ!AM359))=3)*(CHOOSE({1,2,3,4},TTSSKĐ!X359,TTSSKĐ!AD359,TTSSKĐ!AJ359,TTSSKĐ!AP359)))</f>
        <v>0</v>
      </c>
      <c r="D359">
        <f>SUMPRODUCT((MONTH(CHOOSE({1,2,3,4},TTSSKĐ!U359,TTSSKĐ!AA359,TTSSKĐ!AG359,TTSSKĐ!AM359))=4)*(CHOOSE({1,2,3,4},TTSSKĐ!X359,TTSSKĐ!AD359,TTSSKĐ!AJ359,TTSSKĐ!AP359)))</f>
        <v>0</v>
      </c>
      <c r="E359">
        <f>SUMPRODUCT((MONTH(CHOOSE({1,2,3,4},TTSSKĐ!U359,TTSSKĐ!AA359,TTSSKĐ!AG359,TTSSKĐ!AM359))=5)*(CHOOSE({1,2,3,4},TTSSKĐ!X359,TTSSKĐ!AD359,TTSSKĐ!AJ359,TTSSKĐ!AP359)))</f>
        <v>0</v>
      </c>
      <c r="F359">
        <f>SUMPRODUCT((MONTH(CHOOSE({1,2,3,4},TTSSKĐ!U359,TTSSKĐ!AA359,TTSSKĐ!AG359,TTSSKĐ!AM359))=6)*(CHOOSE({1,2,3,4},TTSSKĐ!X359,TTSSKĐ!AD359,TTSSKĐ!AJ359,TTSSKĐ!AP359)))</f>
        <v>0</v>
      </c>
      <c r="G359">
        <f>SUMPRODUCT((MONTH(CHOOSE({1,2,3,4},TTSSKĐ!U359,TTSSKĐ!AA359,TTSSKĐ!AG359,TTSSKĐ!AM359))=7)*(CHOOSE({1,2,3,4},TTSSKĐ!X359,TTSSKĐ!AD359,TTSSKĐ!AJ359,TTSSKĐ!AP359)))</f>
        <v>0</v>
      </c>
      <c r="H359">
        <f>SUMPRODUCT((MONTH(CHOOSE({1,2,3,4},TTSSKĐ!U359,TTSSKĐ!AA359,TTSSKĐ!AG359,TTSSKĐ!AM359))=8)*(CHOOSE({1,2,3,4},TTSSKĐ!X359,TTSSKĐ!AD359,TTSSKĐ!AJ359,TTSSKĐ!AP359)))</f>
        <v>0</v>
      </c>
      <c r="I359">
        <f>SUMPRODUCT((MONTH(CHOOSE({1,2,3,4},TTSSKĐ!U359,TTSSKĐ!AA359,TTSSKĐ!AG359,TTSSKĐ!AM359))=9)*(CHOOSE({1,2,3,4},TTSSKĐ!X359,TTSSKĐ!AD359,TTSSKĐ!AJ359,TTSSKĐ!AP359)))</f>
        <v>0</v>
      </c>
      <c r="J359">
        <f>SUMPRODUCT((MONTH(CHOOSE({1,2,3,4},TTSSKĐ!U359,TTSSKĐ!AA359,TTSSKĐ!AG359,TTSSKĐ!AM359))=10)*(CHOOSE({1,2,3,4},TTSSKĐ!X359,TTSSKĐ!AD359,TTSSKĐ!AJ359,TTSSKĐ!AP359)))</f>
        <v>0</v>
      </c>
      <c r="K359">
        <f>SUMPRODUCT((MONTH(CHOOSE({1,2,3,4},TTSSKĐ!U359,TTSSKĐ!AA359,TTSSKĐ!AG359,TTSSKĐ!AM359))=11)*(CHOOSE({1,2,3,4},TTSSKĐ!X359,TTSSKĐ!AD359,TTSSKĐ!AJ359,TTSSKĐ!AP359)))</f>
        <v>0</v>
      </c>
      <c r="L359">
        <f>SUMPRODUCT((MONTH(CHOOSE({1,2,3,4},TTSSKĐ!U359,TTSSKĐ!AA359,TTSSKĐ!AG359,TTSSKĐ!AM359))=12)*(CHOOSE({1,2,3,4},TTSSKĐ!X359,TTSSKĐ!AD359,TTSSKĐ!AJ359,TTSSKĐ!AP359)))</f>
        <v>0</v>
      </c>
    </row>
    <row r="360" spans="1:12">
      <c r="A360">
        <f>SUMPRODUCT((MONTH(CHOOSE({1,2,3,4},TTSSKĐ!U360,TTSSKĐ!AA360,TTSSKĐ!AG360,TTSSKĐ!AM360))=1)*(CHOOSE({1,2,3,4},TTSSKĐ!X360,TTSSKĐ!AD360,TTSSKĐ!AJ360,TTSSKĐ!AP360)))</f>
        <v>0</v>
      </c>
      <c r="B360">
        <f>SUMPRODUCT((MONTH(CHOOSE({1,2,3,4},TTSSKĐ!U360,TTSSKĐ!AA360,TTSSKĐ!AG360,TTSSKĐ!AM360))=2)*(CHOOSE({1,2,3,4},TTSSKĐ!X360,TTSSKĐ!AD360,TTSSKĐ!AJ360,TTSSKĐ!AP360)))</f>
        <v>0</v>
      </c>
      <c r="C360">
        <f>SUMPRODUCT((MONTH(CHOOSE({1,2,3,4},TTSSKĐ!U360,TTSSKĐ!AA360,TTSSKĐ!AG360,TTSSKĐ!AM360))=3)*(CHOOSE({1,2,3,4},TTSSKĐ!X360,TTSSKĐ!AD360,TTSSKĐ!AJ360,TTSSKĐ!AP360)))</f>
        <v>0</v>
      </c>
      <c r="D360">
        <f>SUMPRODUCT((MONTH(CHOOSE({1,2,3,4},TTSSKĐ!U360,TTSSKĐ!AA360,TTSSKĐ!AG360,TTSSKĐ!AM360))=4)*(CHOOSE({1,2,3,4},TTSSKĐ!X360,TTSSKĐ!AD360,TTSSKĐ!AJ360,TTSSKĐ!AP360)))</f>
        <v>0</v>
      </c>
      <c r="E360">
        <f>SUMPRODUCT((MONTH(CHOOSE({1,2,3,4},TTSSKĐ!U360,TTSSKĐ!AA360,TTSSKĐ!AG360,TTSSKĐ!AM360))=5)*(CHOOSE({1,2,3,4},TTSSKĐ!X360,TTSSKĐ!AD360,TTSSKĐ!AJ360,TTSSKĐ!AP360)))</f>
        <v>0</v>
      </c>
      <c r="F360">
        <f>SUMPRODUCT((MONTH(CHOOSE({1,2,3,4},TTSSKĐ!U360,TTSSKĐ!AA360,TTSSKĐ!AG360,TTSSKĐ!AM360))=6)*(CHOOSE({1,2,3,4},TTSSKĐ!X360,TTSSKĐ!AD360,TTSSKĐ!AJ360,TTSSKĐ!AP360)))</f>
        <v>0</v>
      </c>
      <c r="G360">
        <f>SUMPRODUCT((MONTH(CHOOSE({1,2,3,4},TTSSKĐ!U360,TTSSKĐ!AA360,TTSSKĐ!AG360,TTSSKĐ!AM360))=7)*(CHOOSE({1,2,3,4},TTSSKĐ!X360,TTSSKĐ!AD360,TTSSKĐ!AJ360,TTSSKĐ!AP360)))</f>
        <v>0</v>
      </c>
      <c r="H360">
        <f>SUMPRODUCT((MONTH(CHOOSE({1,2,3,4},TTSSKĐ!U360,TTSSKĐ!AA360,TTSSKĐ!AG360,TTSSKĐ!AM360))=8)*(CHOOSE({1,2,3,4},TTSSKĐ!X360,TTSSKĐ!AD360,TTSSKĐ!AJ360,TTSSKĐ!AP360)))</f>
        <v>0</v>
      </c>
      <c r="I360">
        <f>SUMPRODUCT((MONTH(CHOOSE({1,2,3,4},TTSSKĐ!U360,TTSSKĐ!AA360,TTSSKĐ!AG360,TTSSKĐ!AM360))=9)*(CHOOSE({1,2,3,4},TTSSKĐ!X360,TTSSKĐ!AD360,TTSSKĐ!AJ360,TTSSKĐ!AP360)))</f>
        <v>0</v>
      </c>
      <c r="J360">
        <f>SUMPRODUCT((MONTH(CHOOSE({1,2,3,4},TTSSKĐ!U360,TTSSKĐ!AA360,TTSSKĐ!AG360,TTSSKĐ!AM360))=10)*(CHOOSE({1,2,3,4},TTSSKĐ!X360,TTSSKĐ!AD360,TTSSKĐ!AJ360,TTSSKĐ!AP360)))</f>
        <v>0</v>
      </c>
      <c r="K360">
        <f>SUMPRODUCT((MONTH(CHOOSE({1,2,3,4},TTSSKĐ!U360,TTSSKĐ!AA360,TTSSKĐ!AG360,TTSSKĐ!AM360))=11)*(CHOOSE({1,2,3,4},TTSSKĐ!X360,TTSSKĐ!AD360,TTSSKĐ!AJ360,TTSSKĐ!AP360)))</f>
        <v>0</v>
      </c>
      <c r="L360">
        <f>SUMPRODUCT((MONTH(CHOOSE({1,2,3,4},TTSSKĐ!U360,TTSSKĐ!AA360,TTSSKĐ!AG360,TTSSKĐ!AM360))=12)*(CHOOSE({1,2,3,4},TTSSKĐ!X360,TTSSKĐ!AD360,TTSSKĐ!AJ360,TTSSKĐ!AP360)))</f>
        <v>0</v>
      </c>
    </row>
    <row r="361" spans="1:12">
      <c r="A361">
        <f>SUMPRODUCT((MONTH(CHOOSE({1,2,3,4},TTSSKĐ!U361,TTSSKĐ!AA361,TTSSKĐ!AG361,TTSSKĐ!AM361))=1)*(CHOOSE({1,2,3,4},TTSSKĐ!X361,TTSSKĐ!AD361,TTSSKĐ!AJ361,TTSSKĐ!AP361)))</f>
        <v>0</v>
      </c>
      <c r="B361">
        <f>SUMPRODUCT((MONTH(CHOOSE({1,2,3,4},TTSSKĐ!U361,TTSSKĐ!AA361,TTSSKĐ!AG361,TTSSKĐ!AM361))=2)*(CHOOSE({1,2,3,4},TTSSKĐ!X361,TTSSKĐ!AD361,TTSSKĐ!AJ361,TTSSKĐ!AP361)))</f>
        <v>0</v>
      </c>
      <c r="C361">
        <f>SUMPRODUCT((MONTH(CHOOSE({1,2,3,4},TTSSKĐ!U361,TTSSKĐ!AA361,TTSSKĐ!AG361,TTSSKĐ!AM361))=3)*(CHOOSE({1,2,3,4},TTSSKĐ!X361,TTSSKĐ!AD361,TTSSKĐ!AJ361,TTSSKĐ!AP361)))</f>
        <v>0</v>
      </c>
      <c r="D361">
        <f>SUMPRODUCT((MONTH(CHOOSE({1,2,3,4},TTSSKĐ!U361,TTSSKĐ!AA361,TTSSKĐ!AG361,TTSSKĐ!AM361))=4)*(CHOOSE({1,2,3,4},TTSSKĐ!X361,TTSSKĐ!AD361,TTSSKĐ!AJ361,TTSSKĐ!AP361)))</f>
        <v>0</v>
      </c>
      <c r="E361">
        <f>SUMPRODUCT((MONTH(CHOOSE({1,2,3,4},TTSSKĐ!U361,TTSSKĐ!AA361,TTSSKĐ!AG361,TTSSKĐ!AM361))=5)*(CHOOSE({1,2,3,4},TTSSKĐ!X361,TTSSKĐ!AD361,TTSSKĐ!AJ361,TTSSKĐ!AP361)))</f>
        <v>0</v>
      </c>
      <c r="F361">
        <f>SUMPRODUCT((MONTH(CHOOSE({1,2,3,4},TTSSKĐ!U361,TTSSKĐ!AA361,TTSSKĐ!AG361,TTSSKĐ!AM361))=6)*(CHOOSE({1,2,3,4},TTSSKĐ!X361,TTSSKĐ!AD361,TTSSKĐ!AJ361,TTSSKĐ!AP361)))</f>
        <v>0</v>
      </c>
      <c r="G361">
        <f>SUMPRODUCT((MONTH(CHOOSE({1,2,3,4},TTSSKĐ!U361,TTSSKĐ!AA361,TTSSKĐ!AG361,TTSSKĐ!AM361))=7)*(CHOOSE({1,2,3,4},TTSSKĐ!X361,TTSSKĐ!AD361,TTSSKĐ!AJ361,TTSSKĐ!AP361)))</f>
        <v>0</v>
      </c>
      <c r="H361">
        <f>SUMPRODUCT((MONTH(CHOOSE({1,2,3,4},TTSSKĐ!U361,TTSSKĐ!AA361,TTSSKĐ!AG361,TTSSKĐ!AM361))=8)*(CHOOSE({1,2,3,4},TTSSKĐ!X361,TTSSKĐ!AD361,TTSSKĐ!AJ361,TTSSKĐ!AP361)))</f>
        <v>0</v>
      </c>
      <c r="I361">
        <f>SUMPRODUCT((MONTH(CHOOSE({1,2,3,4},TTSSKĐ!U361,TTSSKĐ!AA361,TTSSKĐ!AG361,TTSSKĐ!AM361))=9)*(CHOOSE({1,2,3,4},TTSSKĐ!X361,TTSSKĐ!AD361,TTSSKĐ!AJ361,TTSSKĐ!AP361)))</f>
        <v>0</v>
      </c>
      <c r="J361">
        <f>SUMPRODUCT((MONTH(CHOOSE({1,2,3,4},TTSSKĐ!U361,TTSSKĐ!AA361,TTSSKĐ!AG361,TTSSKĐ!AM361))=10)*(CHOOSE({1,2,3,4},TTSSKĐ!X361,TTSSKĐ!AD361,TTSSKĐ!AJ361,TTSSKĐ!AP361)))</f>
        <v>0</v>
      </c>
      <c r="K361">
        <f>SUMPRODUCT((MONTH(CHOOSE({1,2,3,4},TTSSKĐ!U361,TTSSKĐ!AA361,TTSSKĐ!AG361,TTSSKĐ!AM361))=11)*(CHOOSE({1,2,3,4},TTSSKĐ!X361,TTSSKĐ!AD361,TTSSKĐ!AJ361,TTSSKĐ!AP361)))</f>
        <v>0</v>
      </c>
      <c r="L361">
        <f>SUMPRODUCT((MONTH(CHOOSE({1,2,3,4},TTSSKĐ!U361,TTSSKĐ!AA361,TTSSKĐ!AG361,TTSSKĐ!AM361))=12)*(CHOOSE({1,2,3,4},TTSSKĐ!X361,TTSSKĐ!AD361,TTSSKĐ!AJ361,TTSSKĐ!AP361)))</f>
        <v>0</v>
      </c>
    </row>
    <row r="362" spans="1:12">
      <c r="A362">
        <f>SUMPRODUCT((MONTH(CHOOSE({1,2,3,4},TTSSKĐ!U362,TTSSKĐ!AA362,TTSSKĐ!AG362,TTSSKĐ!AM362))=1)*(CHOOSE({1,2,3,4},TTSSKĐ!X362,TTSSKĐ!AD362,TTSSKĐ!AJ362,TTSSKĐ!AP362)))</f>
        <v>0</v>
      </c>
      <c r="B362">
        <f>SUMPRODUCT((MONTH(CHOOSE({1,2,3,4},TTSSKĐ!U362,TTSSKĐ!AA362,TTSSKĐ!AG362,TTSSKĐ!AM362))=2)*(CHOOSE({1,2,3,4},TTSSKĐ!X362,TTSSKĐ!AD362,TTSSKĐ!AJ362,TTSSKĐ!AP362)))</f>
        <v>0</v>
      </c>
      <c r="C362">
        <f>SUMPRODUCT((MONTH(CHOOSE({1,2,3,4},TTSSKĐ!U362,TTSSKĐ!AA362,TTSSKĐ!AG362,TTSSKĐ!AM362))=3)*(CHOOSE({1,2,3,4},TTSSKĐ!X362,TTSSKĐ!AD362,TTSSKĐ!AJ362,TTSSKĐ!AP362)))</f>
        <v>0</v>
      </c>
      <c r="D362">
        <f>SUMPRODUCT((MONTH(CHOOSE({1,2,3,4},TTSSKĐ!U362,TTSSKĐ!AA362,TTSSKĐ!AG362,TTSSKĐ!AM362))=4)*(CHOOSE({1,2,3,4},TTSSKĐ!X362,TTSSKĐ!AD362,TTSSKĐ!AJ362,TTSSKĐ!AP362)))</f>
        <v>0</v>
      </c>
      <c r="E362">
        <f>SUMPRODUCT((MONTH(CHOOSE({1,2,3,4},TTSSKĐ!U362,TTSSKĐ!AA362,TTSSKĐ!AG362,TTSSKĐ!AM362))=5)*(CHOOSE({1,2,3,4},TTSSKĐ!X362,TTSSKĐ!AD362,TTSSKĐ!AJ362,TTSSKĐ!AP362)))</f>
        <v>0</v>
      </c>
      <c r="F362">
        <f>SUMPRODUCT((MONTH(CHOOSE({1,2,3,4},TTSSKĐ!U362,TTSSKĐ!AA362,TTSSKĐ!AG362,TTSSKĐ!AM362))=6)*(CHOOSE({1,2,3,4},TTSSKĐ!X362,TTSSKĐ!AD362,TTSSKĐ!AJ362,TTSSKĐ!AP362)))</f>
        <v>0</v>
      </c>
      <c r="G362">
        <f>SUMPRODUCT((MONTH(CHOOSE({1,2,3,4},TTSSKĐ!U362,TTSSKĐ!AA362,TTSSKĐ!AG362,TTSSKĐ!AM362))=7)*(CHOOSE({1,2,3,4},TTSSKĐ!X362,TTSSKĐ!AD362,TTSSKĐ!AJ362,TTSSKĐ!AP362)))</f>
        <v>0</v>
      </c>
      <c r="H362">
        <f>SUMPRODUCT((MONTH(CHOOSE({1,2,3,4},TTSSKĐ!U362,TTSSKĐ!AA362,TTSSKĐ!AG362,TTSSKĐ!AM362))=8)*(CHOOSE({1,2,3,4},TTSSKĐ!X362,TTSSKĐ!AD362,TTSSKĐ!AJ362,TTSSKĐ!AP362)))</f>
        <v>0</v>
      </c>
      <c r="I362">
        <f>SUMPRODUCT((MONTH(CHOOSE({1,2,3,4},TTSSKĐ!U362,TTSSKĐ!AA362,TTSSKĐ!AG362,TTSSKĐ!AM362))=9)*(CHOOSE({1,2,3,4},TTSSKĐ!X362,TTSSKĐ!AD362,TTSSKĐ!AJ362,TTSSKĐ!AP362)))</f>
        <v>0</v>
      </c>
      <c r="J362">
        <f>SUMPRODUCT((MONTH(CHOOSE({1,2,3,4},TTSSKĐ!U362,TTSSKĐ!AA362,TTSSKĐ!AG362,TTSSKĐ!AM362))=10)*(CHOOSE({1,2,3,4},TTSSKĐ!X362,TTSSKĐ!AD362,TTSSKĐ!AJ362,TTSSKĐ!AP362)))</f>
        <v>0</v>
      </c>
      <c r="K362">
        <f>SUMPRODUCT((MONTH(CHOOSE({1,2,3,4},TTSSKĐ!U362,TTSSKĐ!AA362,TTSSKĐ!AG362,TTSSKĐ!AM362))=11)*(CHOOSE({1,2,3,4},TTSSKĐ!X362,TTSSKĐ!AD362,TTSSKĐ!AJ362,TTSSKĐ!AP362)))</f>
        <v>0</v>
      </c>
      <c r="L362">
        <f>SUMPRODUCT((MONTH(CHOOSE({1,2,3,4},TTSSKĐ!U362,TTSSKĐ!AA362,TTSSKĐ!AG362,TTSSKĐ!AM362))=12)*(CHOOSE({1,2,3,4},TTSSKĐ!X362,TTSSKĐ!AD362,TTSSKĐ!AJ362,TTSSKĐ!AP362)))</f>
        <v>0</v>
      </c>
    </row>
    <row r="363" spans="1:12">
      <c r="A363">
        <f>SUMPRODUCT((MONTH(CHOOSE({1,2,3,4},TTSSKĐ!U363,TTSSKĐ!AA363,TTSSKĐ!AG363,TTSSKĐ!AM363))=1)*(CHOOSE({1,2,3,4},TTSSKĐ!X363,TTSSKĐ!AD363,TTSSKĐ!AJ363,TTSSKĐ!AP363)))</f>
        <v>0</v>
      </c>
      <c r="B363">
        <f>SUMPRODUCT((MONTH(CHOOSE({1,2,3,4},TTSSKĐ!U363,TTSSKĐ!AA363,TTSSKĐ!AG363,TTSSKĐ!AM363))=2)*(CHOOSE({1,2,3,4},TTSSKĐ!X363,TTSSKĐ!AD363,TTSSKĐ!AJ363,TTSSKĐ!AP363)))</f>
        <v>0</v>
      </c>
      <c r="C363">
        <f>SUMPRODUCT((MONTH(CHOOSE({1,2,3,4},TTSSKĐ!U363,TTSSKĐ!AA363,TTSSKĐ!AG363,TTSSKĐ!AM363))=3)*(CHOOSE({1,2,3,4},TTSSKĐ!X363,TTSSKĐ!AD363,TTSSKĐ!AJ363,TTSSKĐ!AP363)))</f>
        <v>0</v>
      </c>
      <c r="D363">
        <f>SUMPRODUCT((MONTH(CHOOSE({1,2,3,4},TTSSKĐ!U363,TTSSKĐ!AA363,TTSSKĐ!AG363,TTSSKĐ!AM363))=4)*(CHOOSE({1,2,3,4},TTSSKĐ!X363,TTSSKĐ!AD363,TTSSKĐ!AJ363,TTSSKĐ!AP363)))</f>
        <v>0</v>
      </c>
      <c r="E363">
        <f>SUMPRODUCT((MONTH(CHOOSE({1,2,3,4},TTSSKĐ!U363,TTSSKĐ!AA363,TTSSKĐ!AG363,TTSSKĐ!AM363))=5)*(CHOOSE({1,2,3,4},TTSSKĐ!X363,TTSSKĐ!AD363,TTSSKĐ!AJ363,TTSSKĐ!AP363)))</f>
        <v>0</v>
      </c>
      <c r="F363">
        <f>SUMPRODUCT((MONTH(CHOOSE({1,2,3,4},TTSSKĐ!U363,TTSSKĐ!AA363,TTSSKĐ!AG363,TTSSKĐ!AM363))=6)*(CHOOSE({1,2,3,4},TTSSKĐ!X363,TTSSKĐ!AD363,TTSSKĐ!AJ363,TTSSKĐ!AP363)))</f>
        <v>0</v>
      </c>
      <c r="G363">
        <f>SUMPRODUCT((MONTH(CHOOSE({1,2,3,4},TTSSKĐ!U363,TTSSKĐ!AA363,TTSSKĐ!AG363,TTSSKĐ!AM363))=7)*(CHOOSE({1,2,3,4},TTSSKĐ!X363,TTSSKĐ!AD363,TTSSKĐ!AJ363,TTSSKĐ!AP363)))</f>
        <v>0</v>
      </c>
      <c r="H363">
        <f>SUMPRODUCT((MONTH(CHOOSE({1,2,3,4},TTSSKĐ!U363,TTSSKĐ!AA363,TTSSKĐ!AG363,TTSSKĐ!AM363))=8)*(CHOOSE({1,2,3,4},TTSSKĐ!X363,TTSSKĐ!AD363,TTSSKĐ!AJ363,TTSSKĐ!AP363)))</f>
        <v>0</v>
      </c>
      <c r="I363">
        <f>SUMPRODUCT((MONTH(CHOOSE({1,2,3,4},TTSSKĐ!U363,TTSSKĐ!AA363,TTSSKĐ!AG363,TTSSKĐ!AM363))=9)*(CHOOSE({1,2,3,4},TTSSKĐ!X363,TTSSKĐ!AD363,TTSSKĐ!AJ363,TTSSKĐ!AP363)))</f>
        <v>0</v>
      </c>
      <c r="J363">
        <f>SUMPRODUCT((MONTH(CHOOSE({1,2,3,4},TTSSKĐ!U363,TTSSKĐ!AA363,TTSSKĐ!AG363,TTSSKĐ!AM363))=10)*(CHOOSE({1,2,3,4},TTSSKĐ!X363,TTSSKĐ!AD363,TTSSKĐ!AJ363,TTSSKĐ!AP363)))</f>
        <v>0</v>
      </c>
      <c r="K363">
        <f>SUMPRODUCT((MONTH(CHOOSE({1,2,3,4},TTSSKĐ!U363,TTSSKĐ!AA363,TTSSKĐ!AG363,TTSSKĐ!AM363))=11)*(CHOOSE({1,2,3,4},TTSSKĐ!X363,TTSSKĐ!AD363,TTSSKĐ!AJ363,TTSSKĐ!AP363)))</f>
        <v>0</v>
      </c>
      <c r="L363">
        <f>SUMPRODUCT((MONTH(CHOOSE({1,2,3,4},TTSSKĐ!U363,TTSSKĐ!AA363,TTSSKĐ!AG363,TTSSKĐ!AM363))=12)*(CHOOSE({1,2,3,4},TTSSKĐ!X363,TTSSKĐ!AD363,TTSSKĐ!AJ363,TTSSKĐ!AP363)))</f>
        <v>0</v>
      </c>
    </row>
    <row r="364" spans="1:12">
      <c r="A364">
        <f>SUMPRODUCT((MONTH(CHOOSE({1,2,3,4},TTSSKĐ!U364,TTSSKĐ!AA364,TTSSKĐ!AG364,TTSSKĐ!AM364))=1)*(CHOOSE({1,2,3,4},TTSSKĐ!X364,TTSSKĐ!AD364,TTSSKĐ!AJ364,TTSSKĐ!AP364)))</f>
        <v>0</v>
      </c>
      <c r="B364">
        <f>SUMPRODUCT((MONTH(CHOOSE({1,2,3,4},TTSSKĐ!U364,TTSSKĐ!AA364,TTSSKĐ!AG364,TTSSKĐ!AM364))=2)*(CHOOSE({1,2,3,4},TTSSKĐ!X364,TTSSKĐ!AD364,TTSSKĐ!AJ364,TTSSKĐ!AP364)))</f>
        <v>0</v>
      </c>
      <c r="C364">
        <f>SUMPRODUCT((MONTH(CHOOSE({1,2,3,4},TTSSKĐ!U364,TTSSKĐ!AA364,TTSSKĐ!AG364,TTSSKĐ!AM364))=3)*(CHOOSE({1,2,3,4},TTSSKĐ!X364,TTSSKĐ!AD364,TTSSKĐ!AJ364,TTSSKĐ!AP364)))</f>
        <v>0</v>
      </c>
      <c r="D364">
        <f>SUMPRODUCT((MONTH(CHOOSE({1,2,3,4},TTSSKĐ!U364,TTSSKĐ!AA364,TTSSKĐ!AG364,TTSSKĐ!AM364))=4)*(CHOOSE({1,2,3,4},TTSSKĐ!X364,TTSSKĐ!AD364,TTSSKĐ!AJ364,TTSSKĐ!AP364)))</f>
        <v>0</v>
      </c>
      <c r="E364">
        <f>SUMPRODUCT((MONTH(CHOOSE({1,2,3,4},TTSSKĐ!U364,TTSSKĐ!AA364,TTSSKĐ!AG364,TTSSKĐ!AM364))=5)*(CHOOSE({1,2,3,4},TTSSKĐ!X364,TTSSKĐ!AD364,TTSSKĐ!AJ364,TTSSKĐ!AP364)))</f>
        <v>0</v>
      </c>
      <c r="F364">
        <f>SUMPRODUCT((MONTH(CHOOSE({1,2,3,4},TTSSKĐ!U364,TTSSKĐ!AA364,TTSSKĐ!AG364,TTSSKĐ!AM364))=6)*(CHOOSE({1,2,3,4},TTSSKĐ!X364,TTSSKĐ!AD364,TTSSKĐ!AJ364,TTSSKĐ!AP364)))</f>
        <v>0</v>
      </c>
      <c r="G364">
        <f>SUMPRODUCT((MONTH(CHOOSE({1,2,3,4},TTSSKĐ!U364,TTSSKĐ!AA364,TTSSKĐ!AG364,TTSSKĐ!AM364))=7)*(CHOOSE({1,2,3,4},TTSSKĐ!X364,TTSSKĐ!AD364,TTSSKĐ!AJ364,TTSSKĐ!AP364)))</f>
        <v>0</v>
      </c>
      <c r="H364">
        <f>SUMPRODUCT((MONTH(CHOOSE({1,2,3,4},TTSSKĐ!U364,TTSSKĐ!AA364,TTSSKĐ!AG364,TTSSKĐ!AM364))=8)*(CHOOSE({1,2,3,4},TTSSKĐ!X364,TTSSKĐ!AD364,TTSSKĐ!AJ364,TTSSKĐ!AP364)))</f>
        <v>0</v>
      </c>
      <c r="I364">
        <f>SUMPRODUCT((MONTH(CHOOSE({1,2,3,4},TTSSKĐ!U364,TTSSKĐ!AA364,TTSSKĐ!AG364,TTSSKĐ!AM364))=9)*(CHOOSE({1,2,3,4},TTSSKĐ!X364,TTSSKĐ!AD364,TTSSKĐ!AJ364,TTSSKĐ!AP364)))</f>
        <v>0</v>
      </c>
      <c r="J364">
        <f>SUMPRODUCT((MONTH(CHOOSE({1,2,3,4},TTSSKĐ!U364,TTSSKĐ!AA364,TTSSKĐ!AG364,TTSSKĐ!AM364))=10)*(CHOOSE({1,2,3,4},TTSSKĐ!X364,TTSSKĐ!AD364,TTSSKĐ!AJ364,TTSSKĐ!AP364)))</f>
        <v>0</v>
      </c>
      <c r="K364">
        <f>SUMPRODUCT((MONTH(CHOOSE({1,2,3,4},TTSSKĐ!U364,TTSSKĐ!AA364,TTSSKĐ!AG364,TTSSKĐ!AM364))=11)*(CHOOSE({1,2,3,4},TTSSKĐ!X364,TTSSKĐ!AD364,TTSSKĐ!AJ364,TTSSKĐ!AP364)))</f>
        <v>0</v>
      </c>
      <c r="L364">
        <f>SUMPRODUCT((MONTH(CHOOSE({1,2,3,4},TTSSKĐ!U364,TTSSKĐ!AA364,TTSSKĐ!AG364,TTSSKĐ!AM364))=12)*(CHOOSE({1,2,3,4},TTSSKĐ!X364,TTSSKĐ!AD364,TTSSKĐ!AJ364,TTSSKĐ!AP364)))</f>
        <v>0</v>
      </c>
    </row>
    <row r="365" spans="1:12">
      <c r="A365">
        <f>SUMPRODUCT((MONTH(CHOOSE({1,2,3,4},TTSSKĐ!U365,TTSSKĐ!AA365,TTSSKĐ!AG365,TTSSKĐ!AM365))=1)*(CHOOSE({1,2,3,4},TTSSKĐ!X365,TTSSKĐ!AD365,TTSSKĐ!AJ365,TTSSKĐ!AP365)))</f>
        <v>0</v>
      </c>
      <c r="B365">
        <f>SUMPRODUCT((MONTH(CHOOSE({1,2,3,4},TTSSKĐ!U365,TTSSKĐ!AA365,TTSSKĐ!AG365,TTSSKĐ!AM365))=2)*(CHOOSE({1,2,3,4},TTSSKĐ!X365,TTSSKĐ!AD365,TTSSKĐ!AJ365,TTSSKĐ!AP365)))</f>
        <v>0</v>
      </c>
      <c r="C365">
        <f>SUMPRODUCT((MONTH(CHOOSE({1,2,3,4},TTSSKĐ!U365,TTSSKĐ!AA365,TTSSKĐ!AG365,TTSSKĐ!AM365))=3)*(CHOOSE({1,2,3,4},TTSSKĐ!X365,TTSSKĐ!AD365,TTSSKĐ!AJ365,TTSSKĐ!AP365)))</f>
        <v>0</v>
      </c>
      <c r="D365">
        <f>SUMPRODUCT((MONTH(CHOOSE({1,2,3,4},TTSSKĐ!U365,TTSSKĐ!AA365,TTSSKĐ!AG365,TTSSKĐ!AM365))=4)*(CHOOSE({1,2,3,4},TTSSKĐ!X365,TTSSKĐ!AD365,TTSSKĐ!AJ365,TTSSKĐ!AP365)))</f>
        <v>0</v>
      </c>
      <c r="E365">
        <f>SUMPRODUCT((MONTH(CHOOSE({1,2,3,4},TTSSKĐ!U365,TTSSKĐ!AA365,TTSSKĐ!AG365,TTSSKĐ!AM365))=5)*(CHOOSE({1,2,3,4},TTSSKĐ!X365,TTSSKĐ!AD365,TTSSKĐ!AJ365,TTSSKĐ!AP365)))</f>
        <v>0</v>
      </c>
      <c r="F365">
        <f>SUMPRODUCT((MONTH(CHOOSE({1,2,3,4},TTSSKĐ!U365,TTSSKĐ!AA365,TTSSKĐ!AG365,TTSSKĐ!AM365))=6)*(CHOOSE({1,2,3,4},TTSSKĐ!X365,TTSSKĐ!AD365,TTSSKĐ!AJ365,TTSSKĐ!AP365)))</f>
        <v>0</v>
      </c>
      <c r="G365">
        <f>SUMPRODUCT((MONTH(CHOOSE({1,2,3,4},TTSSKĐ!U365,TTSSKĐ!AA365,TTSSKĐ!AG365,TTSSKĐ!AM365))=7)*(CHOOSE({1,2,3,4},TTSSKĐ!X365,TTSSKĐ!AD365,TTSSKĐ!AJ365,TTSSKĐ!AP365)))</f>
        <v>0</v>
      </c>
      <c r="H365">
        <f>SUMPRODUCT((MONTH(CHOOSE({1,2,3,4},TTSSKĐ!U365,TTSSKĐ!AA365,TTSSKĐ!AG365,TTSSKĐ!AM365))=8)*(CHOOSE({1,2,3,4},TTSSKĐ!X365,TTSSKĐ!AD365,TTSSKĐ!AJ365,TTSSKĐ!AP365)))</f>
        <v>0</v>
      </c>
      <c r="I365">
        <f>SUMPRODUCT((MONTH(CHOOSE({1,2,3,4},TTSSKĐ!U365,TTSSKĐ!AA365,TTSSKĐ!AG365,TTSSKĐ!AM365))=9)*(CHOOSE({1,2,3,4},TTSSKĐ!X365,TTSSKĐ!AD365,TTSSKĐ!AJ365,TTSSKĐ!AP365)))</f>
        <v>0</v>
      </c>
      <c r="J365">
        <f>SUMPRODUCT((MONTH(CHOOSE({1,2,3,4},TTSSKĐ!U365,TTSSKĐ!AA365,TTSSKĐ!AG365,TTSSKĐ!AM365))=10)*(CHOOSE({1,2,3,4},TTSSKĐ!X365,TTSSKĐ!AD365,TTSSKĐ!AJ365,TTSSKĐ!AP365)))</f>
        <v>0</v>
      </c>
      <c r="K365">
        <f>SUMPRODUCT((MONTH(CHOOSE({1,2,3,4},TTSSKĐ!U365,TTSSKĐ!AA365,TTSSKĐ!AG365,TTSSKĐ!AM365))=11)*(CHOOSE({1,2,3,4},TTSSKĐ!X365,TTSSKĐ!AD365,TTSSKĐ!AJ365,TTSSKĐ!AP365)))</f>
        <v>0</v>
      </c>
      <c r="L365">
        <f>SUMPRODUCT((MONTH(CHOOSE({1,2,3,4},TTSSKĐ!U365,TTSSKĐ!AA365,TTSSKĐ!AG365,TTSSKĐ!AM365))=12)*(CHOOSE({1,2,3,4},TTSSKĐ!X365,TTSSKĐ!AD365,TTSSKĐ!AJ365,TTSSKĐ!AP365)))</f>
        <v>0</v>
      </c>
    </row>
    <row r="366" spans="1:12">
      <c r="A366">
        <f>SUMPRODUCT((MONTH(CHOOSE({1,2,3,4},TTSSKĐ!U366,TTSSKĐ!AA366,TTSSKĐ!AG366,TTSSKĐ!AM366))=1)*(CHOOSE({1,2,3,4},TTSSKĐ!X366,TTSSKĐ!AD366,TTSSKĐ!AJ366,TTSSKĐ!AP366)))</f>
        <v>0</v>
      </c>
      <c r="B366">
        <f>SUMPRODUCT((MONTH(CHOOSE({1,2,3,4},TTSSKĐ!U366,TTSSKĐ!AA366,TTSSKĐ!AG366,TTSSKĐ!AM366))=2)*(CHOOSE({1,2,3,4},TTSSKĐ!X366,TTSSKĐ!AD366,TTSSKĐ!AJ366,TTSSKĐ!AP366)))</f>
        <v>0</v>
      </c>
      <c r="C366">
        <f>SUMPRODUCT((MONTH(CHOOSE({1,2,3,4},TTSSKĐ!U366,TTSSKĐ!AA366,TTSSKĐ!AG366,TTSSKĐ!AM366))=3)*(CHOOSE({1,2,3,4},TTSSKĐ!X366,TTSSKĐ!AD366,TTSSKĐ!AJ366,TTSSKĐ!AP366)))</f>
        <v>0</v>
      </c>
      <c r="D366">
        <f>SUMPRODUCT((MONTH(CHOOSE({1,2,3,4},TTSSKĐ!U366,TTSSKĐ!AA366,TTSSKĐ!AG366,TTSSKĐ!AM366))=4)*(CHOOSE({1,2,3,4},TTSSKĐ!X366,TTSSKĐ!AD366,TTSSKĐ!AJ366,TTSSKĐ!AP366)))</f>
        <v>0</v>
      </c>
      <c r="E366">
        <f>SUMPRODUCT((MONTH(CHOOSE({1,2,3,4},TTSSKĐ!U366,TTSSKĐ!AA366,TTSSKĐ!AG366,TTSSKĐ!AM366))=5)*(CHOOSE({1,2,3,4},TTSSKĐ!X366,TTSSKĐ!AD366,TTSSKĐ!AJ366,TTSSKĐ!AP366)))</f>
        <v>0</v>
      </c>
      <c r="F366">
        <f>SUMPRODUCT((MONTH(CHOOSE({1,2,3,4},TTSSKĐ!U366,TTSSKĐ!AA366,TTSSKĐ!AG366,TTSSKĐ!AM366))=6)*(CHOOSE({1,2,3,4},TTSSKĐ!X366,TTSSKĐ!AD366,TTSSKĐ!AJ366,TTSSKĐ!AP366)))</f>
        <v>0</v>
      </c>
      <c r="G366">
        <f>SUMPRODUCT((MONTH(CHOOSE({1,2,3,4},TTSSKĐ!U366,TTSSKĐ!AA366,TTSSKĐ!AG366,TTSSKĐ!AM366))=7)*(CHOOSE({1,2,3,4},TTSSKĐ!X366,TTSSKĐ!AD366,TTSSKĐ!AJ366,TTSSKĐ!AP366)))</f>
        <v>0</v>
      </c>
      <c r="H366">
        <f>SUMPRODUCT((MONTH(CHOOSE({1,2,3,4},TTSSKĐ!U366,TTSSKĐ!AA366,TTSSKĐ!AG366,TTSSKĐ!AM366))=8)*(CHOOSE({1,2,3,4},TTSSKĐ!X366,TTSSKĐ!AD366,TTSSKĐ!AJ366,TTSSKĐ!AP366)))</f>
        <v>0</v>
      </c>
      <c r="I366">
        <f>SUMPRODUCT((MONTH(CHOOSE({1,2,3,4},TTSSKĐ!U366,TTSSKĐ!AA366,TTSSKĐ!AG366,TTSSKĐ!AM366))=9)*(CHOOSE({1,2,3,4},TTSSKĐ!X366,TTSSKĐ!AD366,TTSSKĐ!AJ366,TTSSKĐ!AP366)))</f>
        <v>0</v>
      </c>
      <c r="J366">
        <f>SUMPRODUCT((MONTH(CHOOSE({1,2,3,4},TTSSKĐ!U366,TTSSKĐ!AA366,TTSSKĐ!AG366,TTSSKĐ!AM366))=10)*(CHOOSE({1,2,3,4},TTSSKĐ!X366,TTSSKĐ!AD366,TTSSKĐ!AJ366,TTSSKĐ!AP366)))</f>
        <v>0</v>
      </c>
      <c r="K366">
        <f>SUMPRODUCT((MONTH(CHOOSE({1,2,3,4},TTSSKĐ!U366,TTSSKĐ!AA366,TTSSKĐ!AG366,TTSSKĐ!AM366))=11)*(CHOOSE({1,2,3,4},TTSSKĐ!X366,TTSSKĐ!AD366,TTSSKĐ!AJ366,TTSSKĐ!AP366)))</f>
        <v>0</v>
      </c>
      <c r="L366">
        <f>SUMPRODUCT((MONTH(CHOOSE({1,2,3,4},TTSSKĐ!U366,TTSSKĐ!AA366,TTSSKĐ!AG366,TTSSKĐ!AM366))=12)*(CHOOSE({1,2,3,4},TTSSKĐ!X366,TTSSKĐ!AD366,TTSSKĐ!AJ366,TTSSKĐ!AP366)))</f>
        <v>0</v>
      </c>
    </row>
    <row r="367" spans="1:12">
      <c r="A367">
        <f>SUMPRODUCT((MONTH(CHOOSE({1,2,3,4},TTSSKĐ!U367,TTSSKĐ!AA367,TTSSKĐ!AG367,TTSSKĐ!AM367))=1)*(CHOOSE({1,2,3,4},TTSSKĐ!X367,TTSSKĐ!AD367,TTSSKĐ!AJ367,TTSSKĐ!AP367)))</f>
        <v>0</v>
      </c>
      <c r="B367">
        <f>SUMPRODUCT((MONTH(CHOOSE({1,2,3,4},TTSSKĐ!U367,TTSSKĐ!AA367,TTSSKĐ!AG367,TTSSKĐ!AM367))=2)*(CHOOSE({1,2,3,4},TTSSKĐ!X367,TTSSKĐ!AD367,TTSSKĐ!AJ367,TTSSKĐ!AP367)))</f>
        <v>0</v>
      </c>
      <c r="C367">
        <f>SUMPRODUCT((MONTH(CHOOSE({1,2,3,4},TTSSKĐ!U367,TTSSKĐ!AA367,TTSSKĐ!AG367,TTSSKĐ!AM367))=3)*(CHOOSE({1,2,3,4},TTSSKĐ!X367,TTSSKĐ!AD367,TTSSKĐ!AJ367,TTSSKĐ!AP367)))</f>
        <v>0</v>
      </c>
      <c r="D367">
        <f>SUMPRODUCT((MONTH(CHOOSE({1,2,3,4},TTSSKĐ!U367,TTSSKĐ!AA367,TTSSKĐ!AG367,TTSSKĐ!AM367))=4)*(CHOOSE({1,2,3,4},TTSSKĐ!X367,TTSSKĐ!AD367,TTSSKĐ!AJ367,TTSSKĐ!AP367)))</f>
        <v>0</v>
      </c>
      <c r="E367">
        <f>SUMPRODUCT((MONTH(CHOOSE({1,2,3,4},TTSSKĐ!U367,TTSSKĐ!AA367,TTSSKĐ!AG367,TTSSKĐ!AM367))=5)*(CHOOSE({1,2,3,4},TTSSKĐ!X367,TTSSKĐ!AD367,TTSSKĐ!AJ367,TTSSKĐ!AP367)))</f>
        <v>0</v>
      </c>
      <c r="F367">
        <f>SUMPRODUCT((MONTH(CHOOSE({1,2,3,4},TTSSKĐ!U367,TTSSKĐ!AA367,TTSSKĐ!AG367,TTSSKĐ!AM367))=6)*(CHOOSE({1,2,3,4},TTSSKĐ!X367,TTSSKĐ!AD367,TTSSKĐ!AJ367,TTSSKĐ!AP367)))</f>
        <v>0</v>
      </c>
      <c r="G367">
        <f>SUMPRODUCT((MONTH(CHOOSE({1,2,3,4},TTSSKĐ!U367,TTSSKĐ!AA367,TTSSKĐ!AG367,TTSSKĐ!AM367))=7)*(CHOOSE({1,2,3,4},TTSSKĐ!X367,TTSSKĐ!AD367,TTSSKĐ!AJ367,TTSSKĐ!AP367)))</f>
        <v>0</v>
      </c>
      <c r="H367">
        <f>SUMPRODUCT((MONTH(CHOOSE({1,2,3,4},TTSSKĐ!U367,TTSSKĐ!AA367,TTSSKĐ!AG367,TTSSKĐ!AM367))=8)*(CHOOSE({1,2,3,4},TTSSKĐ!X367,TTSSKĐ!AD367,TTSSKĐ!AJ367,TTSSKĐ!AP367)))</f>
        <v>0</v>
      </c>
      <c r="I367">
        <f>SUMPRODUCT((MONTH(CHOOSE({1,2,3,4},TTSSKĐ!U367,TTSSKĐ!AA367,TTSSKĐ!AG367,TTSSKĐ!AM367))=9)*(CHOOSE({1,2,3,4},TTSSKĐ!X367,TTSSKĐ!AD367,TTSSKĐ!AJ367,TTSSKĐ!AP367)))</f>
        <v>0</v>
      </c>
      <c r="J367">
        <f>SUMPRODUCT((MONTH(CHOOSE({1,2,3,4},TTSSKĐ!U367,TTSSKĐ!AA367,TTSSKĐ!AG367,TTSSKĐ!AM367))=10)*(CHOOSE({1,2,3,4},TTSSKĐ!X367,TTSSKĐ!AD367,TTSSKĐ!AJ367,TTSSKĐ!AP367)))</f>
        <v>0</v>
      </c>
      <c r="K367">
        <f>SUMPRODUCT((MONTH(CHOOSE({1,2,3,4},TTSSKĐ!U367,TTSSKĐ!AA367,TTSSKĐ!AG367,TTSSKĐ!AM367))=11)*(CHOOSE({1,2,3,4},TTSSKĐ!X367,TTSSKĐ!AD367,TTSSKĐ!AJ367,TTSSKĐ!AP367)))</f>
        <v>0</v>
      </c>
      <c r="L367">
        <f>SUMPRODUCT((MONTH(CHOOSE({1,2,3,4},TTSSKĐ!U367,TTSSKĐ!AA367,TTSSKĐ!AG367,TTSSKĐ!AM367))=12)*(CHOOSE({1,2,3,4},TTSSKĐ!X367,TTSSKĐ!AD367,TTSSKĐ!AJ367,TTSSKĐ!AP367)))</f>
        <v>0</v>
      </c>
    </row>
    <row r="368" spans="1:12">
      <c r="A368">
        <f>SUMPRODUCT((MONTH(CHOOSE({1,2,3,4},TTSSKĐ!U368,TTSSKĐ!AA368,TTSSKĐ!AG368,TTSSKĐ!AM368))=1)*(CHOOSE({1,2,3,4},TTSSKĐ!X368,TTSSKĐ!AD368,TTSSKĐ!AJ368,TTSSKĐ!AP368)))</f>
        <v>0</v>
      </c>
      <c r="B368">
        <f>SUMPRODUCT((MONTH(CHOOSE({1,2,3,4},TTSSKĐ!U368,TTSSKĐ!AA368,TTSSKĐ!AG368,TTSSKĐ!AM368))=2)*(CHOOSE({1,2,3,4},TTSSKĐ!X368,TTSSKĐ!AD368,TTSSKĐ!AJ368,TTSSKĐ!AP368)))</f>
        <v>0</v>
      </c>
      <c r="C368">
        <f>SUMPRODUCT((MONTH(CHOOSE({1,2,3,4},TTSSKĐ!U368,TTSSKĐ!AA368,TTSSKĐ!AG368,TTSSKĐ!AM368))=3)*(CHOOSE({1,2,3,4},TTSSKĐ!X368,TTSSKĐ!AD368,TTSSKĐ!AJ368,TTSSKĐ!AP368)))</f>
        <v>0</v>
      </c>
      <c r="D368">
        <f>SUMPRODUCT((MONTH(CHOOSE({1,2,3,4},TTSSKĐ!U368,TTSSKĐ!AA368,TTSSKĐ!AG368,TTSSKĐ!AM368))=4)*(CHOOSE({1,2,3,4},TTSSKĐ!X368,TTSSKĐ!AD368,TTSSKĐ!AJ368,TTSSKĐ!AP368)))</f>
        <v>0</v>
      </c>
      <c r="E368">
        <f>SUMPRODUCT((MONTH(CHOOSE({1,2,3,4},TTSSKĐ!U368,TTSSKĐ!AA368,TTSSKĐ!AG368,TTSSKĐ!AM368))=5)*(CHOOSE({1,2,3,4},TTSSKĐ!X368,TTSSKĐ!AD368,TTSSKĐ!AJ368,TTSSKĐ!AP368)))</f>
        <v>0</v>
      </c>
      <c r="F368">
        <f>SUMPRODUCT((MONTH(CHOOSE({1,2,3,4},TTSSKĐ!U368,TTSSKĐ!AA368,TTSSKĐ!AG368,TTSSKĐ!AM368))=6)*(CHOOSE({1,2,3,4},TTSSKĐ!X368,TTSSKĐ!AD368,TTSSKĐ!AJ368,TTSSKĐ!AP368)))</f>
        <v>0</v>
      </c>
      <c r="G368">
        <f>SUMPRODUCT((MONTH(CHOOSE({1,2,3,4},TTSSKĐ!U368,TTSSKĐ!AA368,TTSSKĐ!AG368,TTSSKĐ!AM368))=7)*(CHOOSE({1,2,3,4},TTSSKĐ!X368,TTSSKĐ!AD368,TTSSKĐ!AJ368,TTSSKĐ!AP368)))</f>
        <v>0</v>
      </c>
      <c r="H368">
        <f>SUMPRODUCT((MONTH(CHOOSE({1,2,3,4},TTSSKĐ!U368,TTSSKĐ!AA368,TTSSKĐ!AG368,TTSSKĐ!AM368))=8)*(CHOOSE({1,2,3,4},TTSSKĐ!X368,TTSSKĐ!AD368,TTSSKĐ!AJ368,TTSSKĐ!AP368)))</f>
        <v>0</v>
      </c>
      <c r="I368">
        <f>SUMPRODUCT((MONTH(CHOOSE({1,2,3,4},TTSSKĐ!U368,TTSSKĐ!AA368,TTSSKĐ!AG368,TTSSKĐ!AM368))=9)*(CHOOSE({1,2,3,4},TTSSKĐ!X368,TTSSKĐ!AD368,TTSSKĐ!AJ368,TTSSKĐ!AP368)))</f>
        <v>0</v>
      </c>
      <c r="J368">
        <f>SUMPRODUCT((MONTH(CHOOSE({1,2,3,4},TTSSKĐ!U368,TTSSKĐ!AA368,TTSSKĐ!AG368,TTSSKĐ!AM368))=10)*(CHOOSE({1,2,3,4},TTSSKĐ!X368,TTSSKĐ!AD368,TTSSKĐ!AJ368,TTSSKĐ!AP368)))</f>
        <v>0</v>
      </c>
      <c r="K368">
        <f>SUMPRODUCT((MONTH(CHOOSE({1,2,3,4},TTSSKĐ!U368,TTSSKĐ!AA368,TTSSKĐ!AG368,TTSSKĐ!AM368))=11)*(CHOOSE({1,2,3,4},TTSSKĐ!X368,TTSSKĐ!AD368,TTSSKĐ!AJ368,TTSSKĐ!AP368)))</f>
        <v>0</v>
      </c>
      <c r="L368">
        <f>SUMPRODUCT((MONTH(CHOOSE({1,2,3,4},TTSSKĐ!U368,TTSSKĐ!AA368,TTSSKĐ!AG368,TTSSKĐ!AM368))=12)*(CHOOSE({1,2,3,4},TTSSKĐ!X368,TTSSKĐ!AD368,TTSSKĐ!AJ368,TTSSKĐ!AP368)))</f>
        <v>0</v>
      </c>
    </row>
    <row r="369" spans="1:12">
      <c r="A369">
        <f>SUMPRODUCT((MONTH(CHOOSE({1,2,3,4},TTSSKĐ!U369,TTSSKĐ!AA369,TTSSKĐ!AG369,TTSSKĐ!AM369))=1)*(CHOOSE({1,2,3,4},TTSSKĐ!X369,TTSSKĐ!AD369,TTSSKĐ!AJ369,TTSSKĐ!AP369)))</f>
        <v>0</v>
      </c>
      <c r="B369">
        <f>SUMPRODUCT((MONTH(CHOOSE({1,2,3,4},TTSSKĐ!U369,TTSSKĐ!AA369,TTSSKĐ!AG369,TTSSKĐ!AM369))=2)*(CHOOSE({1,2,3,4},TTSSKĐ!X369,TTSSKĐ!AD369,TTSSKĐ!AJ369,TTSSKĐ!AP369)))</f>
        <v>0</v>
      </c>
      <c r="C369">
        <f>SUMPRODUCT((MONTH(CHOOSE({1,2,3,4},TTSSKĐ!U369,TTSSKĐ!AA369,TTSSKĐ!AG369,TTSSKĐ!AM369))=3)*(CHOOSE({1,2,3,4},TTSSKĐ!X369,TTSSKĐ!AD369,TTSSKĐ!AJ369,TTSSKĐ!AP369)))</f>
        <v>0</v>
      </c>
      <c r="D369">
        <f>SUMPRODUCT((MONTH(CHOOSE({1,2,3,4},TTSSKĐ!U369,TTSSKĐ!AA369,TTSSKĐ!AG369,TTSSKĐ!AM369))=4)*(CHOOSE({1,2,3,4},TTSSKĐ!X369,TTSSKĐ!AD369,TTSSKĐ!AJ369,TTSSKĐ!AP369)))</f>
        <v>0</v>
      </c>
      <c r="E369">
        <f>SUMPRODUCT((MONTH(CHOOSE({1,2,3,4},TTSSKĐ!U369,TTSSKĐ!AA369,TTSSKĐ!AG369,TTSSKĐ!AM369))=5)*(CHOOSE({1,2,3,4},TTSSKĐ!X369,TTSSKĐ!AD369,TTSSKĐ!AJ369,TTSSKĐ!AP369)))</f>
        <v>0</v>
      </c>
      <c r="F369">
        <f>SUMPRODUCT((MONTH(CHOOSE({1,2,3,4},TTSSKĐ!U369,TTSSKĐ!AA369,TTSSKĐ!AG369,TTSSKĐ!AM369))=6)*(CHOOSE({1,2,3,4},TTSSKĐ!X369,TTSSKĐ!AD369,TTSSKĐ!AJ369,TTSSKĐ!AP369)))</f>
        <v>0</v>
      </c>
      <c r="G369">
        <f>SUMPRODUCT((MONTH(CHOOSE({1,2,3,4},TTSSKĐ!U369,TTSSKĐ!AA369,TTSSKĐ!AG369,TTSSKĐ!AM369))=7)*(CHOOSE({1,2,3,4},TTSSKĐ!X369,TTSSKĐ!AD369,TTSSKĐ!AJ369,TTSSKĐ!AP369)))</f>
        <v>0</v>
      </c>
      <c r="H369">
        <f>SUMPRODUCT((MONTH(CHOOSE({1,2,3,4},TTSSKĐ!U369,TTSSKĐ!AA369,TTSSKĐ!AG369,TTSSKĐ!AM369))=8)*(CHOOSE({1,2,3,4},TTSSKĐ!X369,TTSSKĐ!AD369,TTSSKĐ!AJ369,TTSSKĐ!AP369)))</f>
        <v>0</v>
      </c>
      <c r="I369">
        <f>SUMPRODUCT((MONTH(CHOOSE({1,2,3,4},TTSSKĐ!U369,TTSSKĐ!AA369,TTSSKĐ!AG369,TTSSKĐ!AM369))=9)*(CHOOSE({1,2,3,4},TTSSKĐ!X369,TTSSKĐ!AD369,TTSSKĐ!AJ369,TTSSKĐ!AP369)))</f>
        <v>0</v>
      </c>
      <c r="J369">
        <f>SUMPRODUCT((MONTH(CHOOSE({1,2,3,4},TTSSKĐ!U369,TTSSKĐ!AA369,TTSSKĐ!AG369,TTSSKĐ!AM369))=10)*(CHOOSE({1,2,3,4},TTSSKĐ!X369,TTSSKĐ!AD369,TTSSKĐ!AJ369,TTSSKĐ!AP369)))</f>
        <v>0</v>
      </c>
      <c r="K369">
        <f>SUMPRODUCT((MONTH(CHOOSE({1,2,3,4},TTSSKĐ!U369,TTSSKĐ!AA369,TTSSKĐ!AG369,TTSSKĐ!AM369))=11)*(CHOOSE({1,2,3,4},TTSSKĐ!X369,TTSSKĐ!AD369,TTSSKĐ!AJ369,TTSSKĐ!AP369)))</f>
        <v>0</v>
      </c>
      <c r="L369">
        <f>SUMPRODUCT((MONTH(CHOOSE({1,2,3,4},TTSSKĐ!U369,TTSSKĐ!AA369,TTSSKĐ!AG369,TTSSKĐ!AM369))=12)*(CHOOSE({1,2,3,4},TTSSKĐ!X369,TTSSKĐ!AD369,TTSSKĐ!AJ369,TTSSKĐ!AP369)))</f>
        <v>0</v>
      </c>
    </row>
    <row r="370" spans="1:12">
      <c r="A370">
        <f>SUMPRODUCT((MONTH(CHOOSE({1,2,3,4},TTSSKĐ!U370,TTSSKĐ!AA370,TTSSKĐ!AG370,TTSSKĐ!AM370))=1)*(CHOOSE({1,2,3,4},TTSSKĐ!X370,TTSSKĐ!AD370,TTSSKĐ!AJ370,TTSSKĐ!AP370)))</f>
        <v>0</v>
      </c>
      <c r="B370">
        <f>SUMPRODUCT((MONTH(CHOOSE({1,2,3,4},TTSSKĐ!U370,TTSSKĐ!AA370,TTSSKĐ!AG370,TTSSKĐ!AM370))=2)*(CHOOSE({1,2,3,4},TTSSKĐ!X370,TTSSKĐ!AD370,TTSSKĐ!AJ370,TTSSKĐ!AP370)))</f>
        <v>0</v>
      </c>
      <c r="C370">
        <f>SUMPRODUCT((MONTH(CHOOSE({1,2,3,4},TTSSKĐ!U370,TTSSKĐ!AA370,TTSSKĐ!AG370,TTSSKĐ!AM370))=3)*(CHOOSE({1,2,3,4},TTSSKĐ!X370,TTSSKĐ!AD370,TTSSKĐ!AJ370,TTSSKĐ!AP370)))</f>
        <v>0</v>
      </c>
      <c r="D370">
        <f>SUMPRODUCT((MONTH(CHOOSE({1,2,3,4},TTSSKĐ!U370,TTSSKĐ!AA370,TTSSKĐ!AG370,TTSSKĐ!AM370))=4)*(CHOOSE({1,2,3,4},TTSSKĐ!X370,TTSSKĐ!AD370,TTSSKĐ!AJ370,TTSSKĐ!AP370)))</f>
        <v>0</v>
      </c>
      <c r="E370">
        <f>SUMPRODUCT((MONTH(CHOOSE({1,2,3,4},TTSSKĐ!U370,TTSSKĐ!AA370,TTSSKĐ!AG370,TTSSKĐ!AM370))=5)*(CHOOSE({1,2,3,4},TTSSKĐ!X370,TTSSKĐ!AD370,TTSSKĐ!AJ370,TTSSKĐ!AP370)))</f>
        <v>0</v>
      </c>
      <c r="F370">
        <f>SUMPRODUCT((MONTH(CHOOSE({1,2,3,4},TTSSKĐ!U370,TTSSKĐ!AA370,TTSSKĐ!AG370,TTSSKĐ!AM370))=6)*(CHOOSE({1,2,3,4},TTSSKĐ!X370,TTSSKĐ!AD370,TTSSKĐ!AJ370,TTSSKĐ!AP370)))</f>
        <v>0</v>
      </c>
      <c r="G370">
        <f>SUMPRODUCT((MONTH(CHOOSE({1,2,3,4},TTSSKĐ!U370,TTSSKĐ!AA370,TTSSKĐ!AG370,TTSSKĐ!AM370))=7)*(CHOOSE({1,2,3,4},TTSSKĐ!X370,TTSSKĐ!AD370,TTSSKĐ!AJ370,TTSSKĐ!AP370)))</f>
        <v>0</v>
      </c>
      <c r="H370">
        <f>SUMPRODUCT((MONTH(CHOOSE({1,2,3,4},TTSSKĐ!U370,TTSSKĐ!AA370,TTSSKĐ!AG370,TTSSKĐ!AM370))=8)*(CHOOSE({1,2,3,4},TTSSKĐ!X370,TTSSKĐ!AD370,TTSSKĐ!AJ370,TTSSKĐ!AP370)))</f>
        <v>0</v>
      </c>
      <c r="I370">
        <f>SUMPRODUCT((MONTH(CHOOSE({1,2,3,4},TTSSKĐ!U370,TTSSKĐ!AA370,TTSSKĐ!AG370,TTSSKĐ!AM370))=9)*(CHOOSE({1,2,3,4},TTSSKĐ!X370,TTSSKĐ!AD370,TTSSKĐ!AJ370,TTSSKĐ!AP370)))</f>
        <v>0</v>
      </c>
      <c r="J370">
        <f>SUMPRODUCT((MONTH(CHOOSE({1,2,3,4},TTSSKĐ!U370,TTSSKĐ!AA370,TTSSKĐ!AG370,TTSSKĐ!AM370))=10)*(CHOOSE({1,2,3,4},TTSSKĐ!X370,TTSSKĐ!AD370,TTSSKĐ!AJ370,TTSSKĐ!AP370)))</f>
        <v>0</v>
      </c>
      <c r="K370">
        <f>SUMPRODUCT((MONTH(CHOOSE({1,2,3,4},TTSSKĐ!U370,TTSSKĐ!AA370,TTSSKĐ!AG370,TTSSKĐ!AM370))=11)*(CHOOSE({1,2,3,4},TTSSKĐ!X370,TTSSKĐ!AD370,TTSSKĐ!AJ370,TTSSKĐ!AP370)))</f>
        <v>0</v>
      </c>
      <c r="L370">
        <f>SUMPRODUCT((MONTH(CHOOSE({1,2,3,4},TTSSKĐ!U370,TTSSKĐ!AA370,TTSSKĐ!AG370,TTSSKĐ!AM370))=12)*(CHOOSE({1,2,3,4},TTSSKĐ!X370,TTSSKĐ!AD370,TTSSKĐ!AJ370,TTSSKĐ!AP370)))</f>
        <v>0</v>
      </c>
    </row>
    <row r="371" spans="1:12">
      <c r="A371">
        <f>SUMPRODUCT((MONTH(CHOOSE({1,2,3,4},TTSSKĐ!U371,TTSSKĐ!AA371,TTSSKĐ!AG371,TTSSKĐ!AM371))=1)*(CHOOSE({1,2,3,4},TTSSKĐ!X371,TTSSKĐ!AD371,TTSSKĐ!AJ371,TTSSKĐ!AP371)))</f>
        <v>0</v>
      </c>
      <c r="B371">
        <f>SUMPRODUCT((MONTH(CHOOSE({1,2,3,4},TTSSKĐ!U371,TTSSKĐ!AA371,TTSSKĐ!AG371,TTSSKĐ!AM371))=2)*(CHOOSE({1,2,3,4},TTSSKĐ!X371,TTSSKĐ!AD371,TTSSKĐ!AJ371,TTSSKĐ!AP371)))</f>
        <v>0</v>
      </c>
      <c r="C371">
        <f>SUMPRODUCT((MONTH(CHOOSE({1,2,3,4},TTSSKĐ!U371,TTSSKĐ!AA371,TTSSKĐ!AG371,TTSSKĐ!AM371))=3)*(CHOOSE({1,2,3,4},TTSSKĐ!X371,TTSSKĐ!AD371,TTSSKĐ!AJ371,TTSSKĐ!AP371)))</f>
        <v>0</v>
      </c>
      <c r="D371">
        <f>SUMPRODUCT((MONTH(CHOOSE({1,2,3,4},TTSSKĐ!U371,TTSSKĐ!AA371,TTSSKĐ!AG371,TTSSKĐ!AM371))=4)*(CHOOSE({1,2,3,4},TTSSKĐ!X371,TTSSKĐ!AD371,TTSSKĐ!AJ371,TTSSKĐ!AP371)))</f>
        <v>0</v>
      </c>
      <c r="E371">
        <f>SUMPRODUCT((MONTH(CHOOSE({1,2,3,4},TTSSKĐ!U371,TTSSKĐ!AA371,TTSSKĐ!AG371,TTSSKĐ!AM371))=5)*(CHOOSE({1,2,3,4},TTSSKĐ!X371,TTSSKĐ!AD371,TTSSKĐ!AJ371,TTSSKĐ!AP371)))</f>
        <v>0</v>
      </c>
      <c r="F371">
        <f>SUMPRODUCT((MONTH(CHOOSE({1,2,3,4},TTSSKĐ!U371,TTSSKĐ!AA371,TTSSKĐ!AG371,TTSSKĐ!AM371))=6)*(CHOOSE({1,2,3,4},TTSSKĐ!X371,TTSSKĐ!AD371,TTSSKĐ!AJ371,TTSSKĐ!AP371)))</f>
        <v>0</v>
      </c>
      <c r="G371">
        <f>SUMPRODUCT((MONTH(CHOOSE({1,2,3,4},TTSSKĐ!U371,TTSSKĐ!AA371,TTSSKĐ!AG371,TTSSKĐ!AM371))=7)*(CHOOSE({1,2,3,4},TTSSKĐ!X371,TTSSKĐ!AD371,TTSSKĐ!AJ371,TTSSKĐ!AP371)))</f>
        <v>0</v>
      </c>
      <c r="H371">
        <f>SUMPRODUCT((MONTH(CHOOSE({1,2,3,4},TTSSKĐ!U371,TTSSKĐ!AA371,TTSSKĐ!AG371,TTSSKĐ!AM371))=8)*(CHOOSE({1,2,3,4},TTSSKĐ!X371,TTSSKĐ!AD371,TTSSKĐ!AJ371,TTSSKĐ!AP371)))</f>
        <v>0</v>
      </c>
      <c r="I371">
        <f>SUMPRODUCT((MONTH(CHOOSE({1,2,3,4},TTSSKĐ!U371,TTSSKĐ!AA371,TTSSKĐ!AG371,TTSSKĐ!AM371))=9)*(CHOOSE({1,2,3,4},TTSSKĐ!X371,TTSSKĐ!AD371,TTSSKĐ!AJ371,TTSSKĐ!AP371)))</f>
        <v>0</v>
      </c>
      <c r="J371">
        <f>SUMPRODUCT((MONTH(CHOOSE({1,2,3,4},TTSSKĐ!U371,TTSSKĐ!AA371,TTSSKĐ!AG371,TTSSKĐ!AM371))=10)*(CHOOSE({1,2,3,4},TTSSKĐ!X371,TTSSKĐ!AD371,TTSSKĐ!AJ371,TTSSKĐ!AP371)))</f>
        <v>0</v>
      </c>
      <c r="K371">
        <f>SUMPRODUCT((MONTH(CHOOSE({1,2,3,4},TTSSKĐ!U371,TTSSKĐ!AA371,TTSSKĐ!AG371,TTSSKĐ!AM371))=11)*(CHOOSE({1,2,3,4},TTSSKĐ!X371,TTSSKĐ!AD371,TTSSKĐ!AJ371,TTSSKĐ!AP371)))</f>
        <v>0</v>
      </c>
      <c r="L371">
        <f>SUMPRODUCT((MONTH(CHOOSE({1,2,3,4},TTSSKĐ!U371,TTSSKĐ!AA371,TTSSKĐ!AG371,TTSSKĐ!AM371))=12)*(CHOOSE({1,2,3,4},TTSSKĐ!X371,TTSSKĐ!AD371,TTSSKĐ!AJ371,TTSSKĐ!AP371)))</f>
        <v>0</v>
      </c>
    </row>
    <row r="372" spans="1:12">
      <c r="A372">
        <f>SUMPRODUCT((MONTH(CHOOSE({1,2,3,4},TTSSKĐ!U372,TTSSKĐ!AA372,TTSSKĐ!AG372,TTSSKĐ!AM372))=1)*(CHOOSE({1,2,3,4},TTSSKĐ!X372,TTSSKĐ!AD372,TTSSKĐ!AJ372,TTSSKĐ!AP372)))</f>
        <v>0</v>
      </c>
      <c r="B372">
        <f>SUMPRODUCT((MONTH(CHOOSE({1,2,3,4},TTSSKĐ!U372,TTSSKĐ!AA372,TTSSKĐ!AG372,TTSSKĐ!AM372))=2)*(CHOOSE({1,2,3,4},TTSSKĐ!X372,TTSSKĐ!AD372,TTSSKĐ!AJ372,TTSSKĐ!AP372)))</f>
        <v>0</v>
      </c>
      <c r="C372">
        <f>SUMPRODUCT((MONTH(CHOOSE({1,2,3,4},TTSSKĐ!U372,TTSSKĐ!AA372,TTSSKĐ!AG372,TTSSKĐ!AM372))=3)*(CHOOSE({1,2,3,4},TTSSKĐ!X372,TTSSKĐ!AD372,TTSSKĐ!AJ372,TTSSKĐ!AP372)))</f>
        <v>0</v>
      </c>
      <c r="D372">
        <f>SUMPRODUCT((MONTH(CHOOSE({1,2,3,4},TTSSKĐ!U372,TTSSKĐ!AA372,TTSSKĐ!AG372,TTSSKĐ!AM372))=4)*(CHOOSE({1,2,3,4},TTSSKĐ!X372,TTSSKĐ!AD372,TTSSKĐ!AJ372,TTSSKĐ!AP372)))</f>
        <v>0</v>
      </c>
      <c r="E372">
        <f>SUMPRODUCT((MONTH(CHOOSE({1,2,3,4},TTSSKĐ!U372,TTSSKĐ!AA372,TTSSKĐ!AG372,TTSSKĐ!AM372))=5)*(CHOOSE({1,2,3,4},TTSSKĐ!X372,TTSSKĐ!AD372,TTSSKĐ!AJ372,TTSSKĐ!AP372)))</f>
        <v>0</v>
      </c>
      <c r="F372">
        <f>SUMPRODUCT((MONTH(CHOOSE({1,2,3,4},TTSSKĐ!U372,TTSSKĐ!AA372,TTSSKĐ!AG372,TTSSKĐ!AM372))=6)*(CHOOSE({1,2,3,4},TTSSKĐ!X372,TTSSKĐ!AD372,TTSSKĐ!AJ372,TTSSKĐ!AP372)))</f>
        <v>0</v>
      </c>
      <c r="G372">
        <f>SUMPRODUCT((MONTH(CHOOSE({1,2,3,4},TTSSKĐ!U372,TTSSKĐ!AA372,TTSSKĐ!AG372,TTSSKĐ!AM372))=7)*(CHOOSE({1,2,3,4},TTSSKĐ!X372,TTSSKĐ!AD372,TTSSKĐ!AJ372,TTSSKĐ!AP372)))</f>
        <v>0</v>
      </c>
      <c r="H372">
        <f>SUMPRODUCT((MONTH(CHOOSE({1,2,3,4},TTSSKĐ!U372,TTSSKĐ!AA372,TTSSKĐ!AG372,TTSSKĐ!AM372))=8)*(CHOOSE({1,2,3,4},TTSSKĐ!X372,TTSSKĐ!AD372,TTSSKĐ!AJ372,TTSSKĐ!AP372)))</f>
        <v>0</v>
      </c>
      <c r="I372">
        <f>SUMPRODUCT((MONTH(CHOOSE({1,2,3,4},TTSSKĐ!U372,TTSSKĐ!AA372,TTSSKĐ!AG372,TTSSKĐ!AM372))=9)*(CHOOSE({1,2,3,4},TTSSKĐ!X372,TTSSKĐ!AD372,TTSSKĐ!AJ372,TTSSKĐ!AP372)))</f>
        <v>0</v>
      </c>
      <c r="J372">
        <f>SUMPRODUCT((MONTH(CHOOSE({1,2,3,4},TTSSKĐ!U372,TTSSKĐ!AA372,TTSSKĐ!AG372,TTSSKĐ!AM372))=10)*(CHOOSE({1,2,3,4},TTSSKĐ!X372,TTSSKĐ!AD372,TTSSKĐ!AJ372,TTSSKĐ!AP372)))</f>
        <v>0</v>
      </c>
      <c r="K372">
        <f>SUMPRODUCT((MONTH(CHOOSE({1,2,3,4},TTSSKĐ!U372,TTSSKĐ!AA372,TTSSKĐ!AG372,TTSSKĐ!AM372))=11)*(CHOOSE({1,2,3,4},TTSSKĐ!X372,TTSSKĐ!AD372,TTSSKĐ!AJ372,TTSSKĐ!AP372)))</f>
        <v>0</v>
      </c>
      <c r="L372">
        <f>SUMPRODUCT((MONTH(CHOOSE({1,2,3,4},TTSSKĐ!U372,TTSSKĐ!AA372,TTSSKĐ!AG372,TTSSKĐ!AM372))=12)*(CHOOSE({1,2,3,4},TTSSKĐ!X372,TTSSKĐ!AD372,TTSSKĐ!AJ372,TTSSKĐ!AP372)))</f>
        <v>0</v>
      </c>
    </row>
    <row r="373" spans="1:12">
      <c r="A373">
        <f>SUMPRODUCT((MONTH(CHOOSE({1,2,3,4},TTSSKĐ!U373,TTSSKĐ!AA373,TTSSKĐ!AG373,TTSSKĐ!AM373))=1)*(CHOOSE({1,2,3,4},TTSSKĐ!X373,TTSSKĐ!AD373,TTSSKĐ!AJ373,TTSSKĐ!AP373)))</f>
        <v>0</v>
      </c>
      <c r="B373">
        <f>SUMPRODUCT((MONTH(CHOOSE({1,2,3,4},TTSSKĐ!U373,TTSSKĐ!AA373,TTSSKĐ!AG373,TTSSKĐ!AM373))=2)*(CHOOSE({1,2,3,4},TTSSKĐ!X373,TTSSKĐ!AD373,TTSSKĐ!AJ373,TTSSKĐ!AP373)))</f>
        <v>0</v>
      </c>
      <c r="C373">
        <f>SUMPRODUCT((MONTH(CHOOSE({1,2,3,4},TTSSKĐ!U373,TTSSKĐ!AA373,TTSSKĐ!AG373,TTSSKĐ!AM373))=3)*(CHOOSE({1,2,3,4},TTSSKĐ!X373,TTSSKĐ!AD373,TTSSKĐ!AJ373,TTSSKĐ!AP373)))</f>
        <v>0</v>
      </c>
      <c r="D373">
        <f>SUMPRODUCT((MONTH(CHOOSE({1,2,3,4},TTSSKĐ!U373,TTSSKĐ!AA373,TTSSKĐ!AG373,TTSSKĐ!AM373))=4)*(CHOOSE({1,2,3,4},TTSSKĐ!X373,TTSSKĐ!AD373,TTSSKĐ!AJ373,TTSSKĐ!AP373)))</f>
        <v>0</v>
      </c>
      <c r="E373">
        <f>SUMPRODUCT((MONTH(CHOOSE({1,2,3,4},TTSSKĐ!U373,TTSSKĐ!AA373,TTSSKĐ!AG373,TTSSKĐ!AM373))=5)*(CHOOSE({1,2,3,4},TTSSKĐ!X373,TTSSKĐ!AD373,TTSSKĐ!AJ373,TTSSKĐ!AP373)))</f>
        <v>0</v>
      </c>
      <c r="F373">
        <f>SUMPRODUCT((MONTH(CHOOSE({1,2,3,4},TTSSKĐ!U373,TTSSKĐ!AA373,TTSSKĐ!AG373,TTSSKĐ!AM373))=6)*(CHOOSE({1,2,3,4},TTSSKĐ!X373,TTSSKĐ!AD373,TTSSKĐ!AJ373,TTSSKĐ!AP373)))</f>
        <v>0</v>
      </c>
      <c r="G373">
        <f>SUMPRODUCT((MONTH(CHOOSE({1,2,3,4},TTSSKĐ!U373,TTSSKĐ!AA373,TTSSKĐ!AG373,TTSSKĐ!AM373))=7)*(CHOOSE({1,2,3,4},TTSSKĐ!X373,TTSSKĐ!AD373,TTSSKĐ!AJ373,TTSSKĐ!AP373)))</f>
        <v>0</v>
      </c>
      <c r="H373">
        <f>SUMPRODUCT((MONTH(CHOOSE({1,2,3,4},TTSSKĐ!U373,TTSSKĐ!AA373,TTSSKĐ!AG373,TTSSKĐ!AM373))=8)*(CHOOSE({1,2,3,4},TTSSKĐ!X373,TTSSKĐ!AD373,TTSSKĐ!AJ373,TTSSKĐ!AP373)))</f>
        <v>0</v>
      </c>
      <c r="I373">
        <f>SUMPRODUCT((MONTH(CHOOSE({1,2,3,4},TTSSKĐ!U373,TTSSKĐ!AA373,TTSSKĐ!AG373,TTSSKĐ!AM373))=9)*(CHOOSE({1,2,3,4},TTSSKĐ!X373,TTSSKĐ!AD373,TTSSKĐ!AJ373,TTSSKĐ!AP373)))</f>
        <v>0</v>
      </c>
      <c r="J373">
        <f>SUMPRODUCT((MONTH(CHOOSE({1,2,3,4},TTSSKĐ!U373,TTSSKĐ!AA373,TTSSKĐ!AG373,TTSSKĐ!AM373))=10)*(CHOOSE({1,2,3,4},TTSSKĐ!X373,TTSSKĐ!AD373,TTSSKĐ!AJ373,TTSSKĐ!AP373)))</f>
        <v>0</v>
      </c>
      <c r="K373">
        <f>SUMPRODUCT((MONTH(CHOOSE({1,2,3,4},TTSSKĐ!U373,TTSSKĐ!AA373,TTSSKĐ!AG373,TTSSKĐ!AM373))=11)*(CHOOSE({1,2,3,4},TTSSKĐ!X373,TTSSKĐ!AD373,TTSSKĐ!AJ373,TTSSKĐ!AP373)))</f>
        <v>0</v>
      </c>
      <c r="L373">
        <f>SUMPRODUCT((MONTH(CHOOSE({1,2,3,4},TTSSKĐ!U373,TTSSKĐ!AA373,TTSSKĐ!AG373,TTSSKĐ!AM373))=12)*(CHOOSE({1,2,3,4},TTSSKĐ!X373,TTSSKĐ!AD373,TTSSKĐ!AJ373,TTSSKĐ!AP373)))</f>
        <v>0</v>
      </c>
    </row>
    <row r="374" spans="1:12">
      <c r="A374">
        <f>SUMPRODUCT((MONTH(CHOOSE({1,2,3,4},TTSSKĐ!U374,TTSSKĐ!AA374,TTSSKĐ!AG374,TTSSKĐ!AM374))=1)*(CHOOSE({1,2,3,4},TTSSKĐ!X374,TTSSKĐ!AD374,TTSSKĐ!AJ374,TTSSKĐ!AP374)))</f>
        <v>0</v>
      </c>
      <c r="B374">
        <f>SUMPRODUCT((MONTH(CHOOSE({1,2,3,4},TTSSKĐ!U374,TTSSKĐ!AA374,TTSSKĐ!AG374,TTSSKĐ!AM374))=2)*(CHOOSE({1,2,3,4},TTSSKĐ!X374,TTSSKĐ!AD374,TTSSKĐ!AJ374,TTSSKĐ!AP374)))</f>
        <v>0</v>
      </c>
      <c r="C374">
        <f>SUMPRODUCT((MONTH(CHOOSE({1,2,3,4},TTSSKĐ!U374,TTSSKĐ!AA374,TTSSKĐ!AG374,TTSSKĐ!AM374))=3)*(CHOOSE({1,2,3,4},TTSSKĐ!X374,TTSSKĐ!AD374,TTSSKĐ!AJ374,TTSSKĐ!AP374)))</f>
        <v>0</v>
      </c>
      <c r="D374">
        <f>SUMPRODUCT((MONTH(CHOOSE({1,2,3,4},TTSSKĐ!U374,TTSSKĐ!AA374,TTSSKĐ!AG374,TTSSKĐ!AM374))=4)*(CHOOSE({1,2,3,4},TTSSKĐ!X374,TTSSKĐ!AD374,TTSSKĐ!AJ374,TTSSKĐ!AP374)))</f>
        <v>0</v>
      </c>
      <c r="E374">
        <f>SUMPRODUCT((MONTH(CHOOSE({1,2,3,4},TTSSKĐ!U374,TTSSKĐ!AA374,TTSSKĐ!AG374,TTSSKĐ!AM374))=5)*(CHOOSE({1,2,3,4},TTSSKĐ!X374,TTSSKĐ!AD374,TTSSKĐ!AJ374,TTSSKĐ!AP374)))</f>
        <v>0</v>
      </c>
      <c r="F374">
        <f>SUMPRODUCT((MONTH(CHOOSE({1,2,3,4},TTSSKĐ!U374,TTSSKĐ!AA374,TTSSKĐ!AG374,TTSSKĐ!AM374))=6)*(CHOOSE({1,2,3,4},TTSSKĐ!X374,TTSSKĐ!AD374,TTSSKĐ!AJ374,TTSSKĐ!AP374)))</f>
        <v>0</v>
      </c>
      <c r="G374">
        <f>SUMPRODUCT((MONTH(CHOOSE({1,2,3,4},TTSSKĐ!U374,TTSSKĐ!AA374,TTSSKĐ!AG374,TTSSKĐ!AM374))=7)*(CHOOSE({1,2,3,4},TTSSKĐ!X374,TTSSKĐ!AD374,TTSSKĐ!AJ374,TTSSKĐ!AP374)))</f>
        <v>0</v>
      </c>
      <c r="H374">
        <f>SUMPRODUCT((MONTH(CHOOSE({1,2,3,4},TTSSKĐ!U374,TTSSKĐ!AA374,TTSSKĐ!AG374,TTSSKĐ!AM374))=8)*(CHOOSE({1,2,3,4},TTSSKĐ!X374,TTSSKĐ!AD374,TTSSKĐ!AJ374,TTSSKĐ!AP374)))</f>
        <v>0</v>
      </c>
      <c r="I374">
        <f>SUMPRODUCT((MONTH(CHOOSE({1,2,3,4},TTSSKĐ!U374,TTSSKĐ!AA374,TTSSKĐ!AG374,TTSSKĐ!AM374))=9)*(CHOOSE({1,2,3,4},TTSSKĐ!X374,TTSSKĐ!AD374,TTSSKĐ!AJ374,TTSSKĐ!AP374)))</f>
        <v>0</v>
      </c>
      <c r="J374">
        <f>SUMPRODUCT((MONTH(CHOOSE({1,2,3,4},TTSSKĐ!U374,TTSSKĐ!AA374,TTSSKĐ!AG374,TTSSKĐ!AM374))=10)*(CHOOSE({1,2,3,4},TTSSKĐ!X374,TTSSKĐ!AD374,TTSSKĐ!AJ374,TTSSKĐ!AP374)))</f>
        <v>0</v>
      </c>
      <c r="K374">
        <f>SUMPRODUCT((MONTH(CHOOSE({1,2,3,4},TTSSKĐ!U374,TTSSKĐ!AA374,TTSSKĐ!AG374,TTSSKĐ!AM374))=11)*(CHOOSE({1,2,3,4},TTSSKĐ!X374,TTSSKĐ!AD374,TTSSKĐ!AJ374,TTSSKĐ!AP374)))</f>
        <v>0</v>
      </c>
      <c r="L374">
        <f>SUMPRODUCT((MONTH(CHOOSE({1,2,3,4},TTSSKĐ!U374,TTSSKĐ!AA374,TTSSKĐ!AG374,TTSSKĐ!AM374))=12)*(CHOOSE({1,2,3,4},TTSSKĐ!X374,TTSSKĐ!AD374,TTSSKĐ!AJ374,TTSSKĐ!AP374)))</f>
        <v>0</v>
      </c>
    </row>
    <row r="375" spans="1:12">
      <c r="A375">
        <f>SUMPRODUCT((MONTH(CHOOSE({1,2,3,4},TTSSKĐ!U375,TTSSKĐ!AA375,TTSSKĐ!AG375,TTSSKĐ!AM375))=1)*(CHOOSE({1,2,3,4},TTSSKĐ!X375,TTSSKĐ!AD375,TTSSKĐ!AJ375,TTSSKĐ!AP375)))</f>
        <v>0</v>
      </c>
      <c r="B375">
        <f>SUMPRODUCT((MONTH(CHOOSE({1,2,3,4},TTSSKĐ!U375,TTSSKĐ!AA375,TTSSKĐ!AG375,TTSSKĐ!AM375))=2)*(CHOOSE({1,2,3,4},TTSSKĐ!X375,TTSSKĐ!AD375,TTSSKĐ!AJ375,TTSSKĐ!AP375)))</f>
        <v>0</v>
      </c>
      <c r="C375">
        <f>SUMPRODUCT((MONTH(CHOOSE({1,2,3,4},TTSSKĐ!U375,TTSSKĐ!AA375,TTSSKĐ!AG375,TTSSKĐ!AM375))=3)*(CHOOSE({1,2,3,4},TTSSKĐ!X375,TTSSKĐ!AD375,TTSSKĐ!AJ375,TTSSKĐ!AP375)))</f>
        <v>0</v>
      </c>
      <c r="D375">
        <f>SUMPRODUCT((MONTH(CHOOSE({1,2,3,4},TTSSKĐ!U375,TTSSKĐ!AA375,TTSSKĐ!AG375,TTSSKĐ!AM375))=4)*(CHOOSE({1,2,3,4},TTSSKĐ!X375,TTSSKĐ!AD375,TTSSKĐ!AJ375,TTSSKĐ!AP375)))</f>
        <v>0</v>
      </c>
      <c r="E375">
        <f>SUMPRODUCT((MONTH(CHOOSE({1,2,3,4},TTSSKĐ!U375,TTSSKĐ!AA375,TTSSKĐ!AG375,TTSSKĐ!AM375))=5)*(CHOOSE({1,2,3,4},TTSSKĐ!X375,TTSSKĐ!AD375,TTSSKĐ!AJ375,TTSSKĐ!AP375)))</f>
        <v>0</v>
      </c>
      <c r="F375">
        <f>SUMPRODUCT((MONTH(CHOOSE({1,2,3,4},TTSSKĐ!U375,TTSSKĐ!AA375,TTSSKĐ!AG375,TTSSKĐ!AM375))=6)*(CHOOSE({1,2,3,4},TTSSKĐ!X375,TTSSKĐ!AD375,TTSSKĐ!AJ375,TTSSKĐ!AP375)))</f>
        <v>0</v>
      </c>
      <c r="G375">
        <f>SUMPRODUCT((MONTH(CHOOSE({1,2,3,4},TTSSKĐ!U375,TTSSKĐ!AA375,TTSSKĐ!AG375,TTSSKĐ!AM375))=7)*(CHOOSE({1,2,3,4},TTSSKĐ!X375,TTSSKĐ!AD375,TTSSKĐ!AJ375,TTSSKĐ!AP375)))</f>
        <v>0</v>
      </c>
      <c r="H375">
        <f>SUMPRODUCT((MONTH(CHOOSE({1,2,3,4},TTSSKĐ!U375,TTSSKĐ!AA375,TTSSKĐ!AG375,TTSSKĐ!AM375))=8)*(CHOOSE({1,2,3,4},TTSSKĐ!X375,TTSSKĐ!AD375,TTSSKĐ!AJ375,TTSSKĐ!AP375)))</f>
        <v>0</v>
      </c>
      <c r="I375">
        <f>SUMPRODUCT((MONTH(CHOOSE({1,2,3,4},TTSSKĐ!U375,TTSSKĐ!AA375,TTSSKĐ!AG375,TTSSKĐ!AM375))=9)*(CHOOSE({1,2,3,4},TTSSKĐ!X375,TTSSKĐ!AD375,TTSSKĐ!AJ375,TTSSKĐ!AP375)))</f>
        <v>0</v>
      </c>
      <c r="J375">
        <f>SUMPRODUCT((MONTH(CHOOSE({1,2,3,4},TTSSKĐ!U375,TTSSKĐ!AA375,TTSSKĐ!AG375,TTSSKĐ!AM375))=10)*(CHOOSE({1,2,3,4},TTSSKĐ!X375,TTSSKĐ!AD375,TTSSKĐ!AJ375,TTSSKĐ!AP375)))</f>
        <v>0</v>
      </c>
      <c r="K375">
        <f>SUMPRODUCT((MONTH(CHOOSE({1,2,3,4},TTSSKĐ!U375,TTSSKĐ!AA375,TTSSKĐ!AG375,TTSSKĐ!AM375))=11)*(CHOOSE({1,2,3,4},TTSSKĐ!X375,TTSSKĐ!AD375,TTSSKĐ!AJ375,TTSSKĐ!AP375)))</f>
        <v>0</v>
      </c>
      <c r="L375">
        <f>SUMPRODUCT((MONTH(CHOOSE({1,2,3,4},TTSSKĐ!U375,TTSSKĐ!AA375,TTSSKĐ!AG375,TTSSKĐ!AM375))=12)*(CHOOSE({1,2,3,4},TTSSKĐ!X375,TTSSKĐ!AD375,TTSSKĐ!AJ375,TTSSKĐ!AP375)))</f>
        <v>0</v>
      </c>
    </row>
    <row r="376" spans="1:12">
      <c r="A376">
        <f>SUMPRODUCT((MONTH(CHOOSE({1,2,3,4},TTSSKĐ!U376,TTSSKĐ!AA376,TTSSKĐ!AG376,TTSSKĐ!AM376))=1)*(CHOOSE({1,2,3,4},TTSSKĐ!X376,TTSSKĐ!AD376,TTSSKĐ!AJ376,TTSSKĐ!AP376)))</f>
        <v>0</v>
      </c>
      <c r="B376">
        <f>SUMPRODUCT((MONTH(CHOOSE({1,2,3,4},TTSSKĐ!U376,TTSSKĐ!AA376,TTSSKĐ!AG376,TTSSKĐ!AM376))=2)*(CHOOSE({1,2,3,4},TTSSKĐ!X376,TTSSKĐ!AD376,TTSSKĐ!AJ376,TTSSKĐ!AP376)))</f>
        <v>0</v>
      </c>
      <c r="C376">
        <f>SUMPRODUCT((MONTH(CHOOSE({1,2,3,4},TTSSKĐ!U376,TTSSKĐ!AA376,TTSSKĐ!AG376,TTSSKĐ!AM376))=3)*(CHOOSE({1,2,3,4},TTSSKĐ!X376,TTSSKĐ!AD376,TTSSKĐ!AJ376,TTSSKĐ!AP376)))</f>
        <v>0</v>
      </c>
      <c r="D376">
        <f>SUMPRODUCT((MONTH(CHOOSE({1,2,3,4},TTSSKĐ!U376,TTSSKĐ!AA376,TTSSKĐ!AG376,TTSSKĐ!AM376))=4)*(CHOOSE({1,2,3,4},TTSSKĐ!X376,TTSSKĐ!AD376,TTSSKĐ!AJ376,TTSSKĐ!AP376)))</f>
        <v>0</v>
      </c>
      <c r="E376">
        <f>SUMPRODUCT((MONTH(CHOOSE({1,2,3,4},TTSSKĐ!U376,TTSSKĐ!AA376,TTSSKĐ!AG376,TTSSKĐ!AM376))=5)*(CHOOSE({1,2,3,4},TTSSKĐ!X376,TTSSKĐ!AD376,TTSSKĐ!AJ376,TTSSKĐ!AP376)))</f>
        <v>0</v>
      </c>
      <c r="F376">
        <f>SUMPRODUCT((MONTH(CHOOSE({1,2,3,4},TTSSKĐ!U376,TTSSKĐ!AA376,TTSSKĐ!AG376,TTSSKĐ!AM376))=6)*(CHOOSE({1,2,3,4},TTSSKĐ!X376,TTSSKĐ!AD376,TTSSKĐ!AJ376,TTSSKĐ!AP376)))</f>
        <v>0</v>
      </c>
      <c r="G376">
        <f>SUMPRODUCT((MONTH(CHOOSE({1,2,3,4},TTSSKĐ!U376,TTSSKĐ!AA376,TTSSKĐ!AG376,TTSSKĐ!AM376))=7)*(CHOOSE({1,2,3,4},TTSSKĐ!X376,TTSSKĐ!AD376,TTSSKĐ!AJ376,TTSSKĐ!AP376)))</f>
        <v>0</v>
      </c>
      <c r="H376">
        <f>SUMPRODUCT((MONTH(CHOOSE({1,2,3,4},TTSSKĐ!U376,TTSSKĐ!AA376,TTSSKĐ!AG376,TTSSKĐ!AM376))=8)*(CHOOSE({1,2,3,4},TTSSKĐ!X376,TTSSKĐ!AD376,TTSSKĐ!AJ376,TTSSKĐ!AP376)))</f>
        <v>0</v>
      </c>
      <c r="I376">
        <f>SUMPRODUCT((MONTH(CHOOSE({1,2,3,4},TTSSKĐ!U376,TTSSKĐ!AA376,TTSSKĐ!AG376,TTSSKĐ!AM376))=9)*(CHOOSE({1,2,3,4},TTSSKĐ!X376,TTSSKĐ!AD376,TTSSKĐ!AJ376,TTSSKĐ!AP376)))</f>
        <v>0</v>
      </c>
      <c r="J376">
        <f>SUMPRODUCT((MONTH(CHOOSE({1,2,3,4},TTSSKĐ!U376,TTSSKĐ!AA376,TTSSKĐ!AG376,TTSSKĐ!AM376))=10)*(CHOOSE({1,2,3,4},TTSSKĐ!X376,TTSSKĐ!AD376,TTSSKĐ!AJ376,TTSSKĐ!AP376)))</f>
        <v>0</v>
      </c>
      <c r="K376">
        <f>SUMPRODUCT((MONTH(CHOOSE({1,2,3,4},TTSSKĐ!U376,TTSSKĐ!AA376,TTSSKĐ!AG376,TTSSKĐ!AM376))=11)*(CHOOSE({1,2,3,4},TTSSKĐ!X376,TTSSKĐ!AD376,TTSSKĐ!AJ376,TTSSKĐ!AP376)))</f>
        <v>0</v>
      </c>
      <c r="L376">
        <f>SUMPRODUCT((MONTH(CHOOSE({1,2,3,4},TTSSKĐ!U376,TTSSKĐ!AA376,TTSSKĐ!AG376,TTSSKĐ!AM376))=12)*(CHOOSE({1,2,3,4},TTSSKĐ!X376,TTSSKĐ!AD376,TTSSKĐ!AJ376,TTSSKĐ!AP376)))</f>
        <v>0</v>
      </c>
    </row>
    <row r="377" spans="1:12">
      <c r="A377">
        <f>SUMPRODUCT((MONTH(CHOOSE({1,2,3,4},TTSSKĐ!U377,TTSSKĐ!AA377,TTSSKĐ!AG377,TTSSKĐ!AM377))=1)*(CHOOSE({1,2,3,4},TTSSKĐ!X377,TTSSKĐ!AD377,TTSSKĐ!AJ377,TTSSKĐ!AP377)))</f>
        <v>0</v>
      </c>
      <c r="B377">
        <f>SUMPRODUCT((MONTH(CHOOSE({1,2,3,4},TTSSKĐ!U377,TTSSKĐ!AA377,TTSSKĐ!AG377,TTSSKĐ!AM377))=2)*(CHOOSE({1,2,3,4},TTSSKĐ!X377,TTSSKĐ!AD377,TTSSKĐ!AJ377,TTSSKĐ!AP377)))</f>
        <v>0</v>
      </c>
      <c r="C377">
        <f>SUMPRODUCT((MONTH(CHOOSE({1,2,3,4},TTSSKĐ!U377,TTSSKĐ!AA377,TTSSKĐ!AG377,TTSSKĐ!AM377))=3)*(CHOOSE({1,2,3,4},TTSSKĐ!X377,TTSSKĐ!AD377,TTSSKĐ!AJ377,TTSSKĐ!AP377)))</f>
        <v>0</v>
      </c>
      <c r="D377">
        <f>SUMPRODUCT((MONTH(CHOOSE({1,2,3,4},TTSSKĐ!U377,TTSSKĐ!AA377,TTSSKĐ!AG377,TTSSKĐ!AM377))=4)*(CHOOSE({1,2,3,4},TTSSKĐ!X377,TTSSKĐ!AD377,TTSSKĐ!AJ377,TTSSKĐ!AP377)))</f>
        <v>0</v>
      </c>
      <c r="E377">
        <f>SUMPRODUCT((MONTH(CHOOSE({1,2,3,4},TTSSKĐ!U377,TTSSKĐ!AA377,TTSSKĐ!AG377,TTSSKĐ!AM377))=5)*(CHOOSE({1,2,3,4},TTSSKĐ!X377,TTSSKĐ!AD377,TTSSKĐ!AJ377,TTSSKĐ!AP377)))</f>
        <v>0</v>
      </c>
      <c r="F377">
        <f>SUMPRODUCT((MONTH(CHOOSE({1,2,3,4},TTSSKĐ!U377,TTSSKĐ!AA377,TTSSKĐ!AG377,TTSSKĐ!AM377))=6)*(CHOOSE({1,2,3,4},TTSSKĐ!X377,TTSSKĐ!AD377,TTSSKĐ!AJ377,TTSSKĐ!AP377)))</f>
        <v>0</v>
      </c>
      <c r="G377">
        <f>SUMPRODUCT((MONTH(CHOOSE({1,2,3,4},TTSSKĐ!U377,TTSSKĐ!AA377,TTSSKĐ!AG377,TTSSKĐ!AM377))=7)*(CHOOSE({1,2,3,4},TTSSKĐ!X377,TTSSKĐ!AD377,TTSSKĐ!AJ377,TTSSKĐ!AP377)))</f>
        <v>0</v>
      </c>
      <c r="H377">
        <f>SUMPRODUCT((MONTH(CHOOSE({1,2,3,4},TTSSKĐ!U377,TTSSKĐ!AA377,TTSSKĐ!AG377,TTSSKĐ!AM377))=8)*(CHOOSE({1,2,3,4},TTSSKĐ!X377,TTSSKĐ!AD377,TTSSKĐ!AJ377,TTSSKĐ!AP377)))</f>
        <v>0</v>
      </c>
      <c r="I377">
        <f>SUMPRODUCT((MONTH(CHOOSE({1,2,3,4},TTSSKĐ!U377,TTSSKĐ!AA377,TTSSKĐ!AG377,TTSSKĐ!AM377))=9)*(CHOOSE({1,2,3,4},TTSSKĐ!X377,TTSSKĐ!AD377,TTSSKĐ!AJ377,TTSSKĐ!AP377)))</f>
        <v>0</v>
      </c>
      <c r="J377">
        <f>SUMPRODUCT((MONTH(CHOOSE({1,2,3,4},TTSSKĐ!U377,TTSSKĐ!AA377,TTSSKĐ!AG377,TTSSKĐ!AM377))=10)*(CHOOSE({1,2,3,4},TTSSKĐ!X377,TTSSKĐ!AD377,TTSSKĐ!AJ377,TTSSKĐ!AP377)))</f>
        <v>0</v>
      </c>
      <c r="K377">
        <f>SUMPRODUCT((MONTH(CHOOSE({1,2,3,4},TTSSKĐ!U377,TTSSKĐ!AA377,TTSSKĐ!AG377,TTSSKĐ!AM377))=11)*(CHOOSE({1,2,3,4},TTSSKĐ!X377,TTSSKĐ!AD377,TTSSKĐ!AJ377,TTSSKĐ!AP377)))</f>
        <v>0</v>
      </c>
      <c r="L377">
        <f>SUMPRODUCT((MONTH(CHOOSE({1,2,3,4},TTSSKĐ!U377,TTSSKĐ!AA377,TTSSKĐ!AG377,TTSSKĐ!AM377))=12)*(CHOOSE({1,2,3,4},TTSSKĐ!X377,TTSSKĐ!AD377,TTSSKĐ!AJ377,TTSSKĐ!AP377)))</f>
        <v>0</v>
      </c>
    </row>
    <row r="378" spans="1:12">
      <c r="A378">
        <f>SUMPRODUCT((MONTH(CHOOSE({1,2,3,4},TTSSKĐ!U378,TTSSKĐ!AA378,TTSSKĐ!AG378,TTSSKĐ!AM378))=1)*(CHOOSE({1,2,3,4},TTSSKĐ!X378,TTSSKĐ!AD378,TTSSKĐ!AJ378,TTSSKĐ!AP378)))</f>
        <v>0</v>
      </c>
      <c r="B378">
        <f>SUMPRODUCT((MONTH(CHOOSE({1,2,3,4},TTSSKĐ!U378,TTSSKĐ!AA378,TTSSKĐ!AG378,TTSSKĐ!AM378))=2)*(CHOOSE({1,2,3,4},TTSSKĐ!X378,TTSSKĐ!AD378,TTSSKĐ!AJ378,TTSSKĐ!AP378)))</f>
        <v>0</v>
      </c>
      <c r="C378">
        <f>SUMPRODUCT((MONTH(CHOOSE({1,2,3,4},TTSSKĐ!U378,TTSSKĐ!AA378,TTSSKĐ!AG378,TTSSKĐ!AM378))=3)*(CHOOSE({1,2,3,4},TTSSKĐ!X378,TTSSKĐ!AD378,TTSSKĐ!AJ378,TTSSKĐ!AP378)))</f>
        <v>0</v>
      </c>
      <c r="D378">
        <f>SUMPRODUCT((MONTH(CHOOSE({1,2,3,4},TTSSKĐ!U378,TTSSKĐ!AA378,TTSSKĐ!AG378,TTSSKĐ!AM378))=4)*(CHOOSE({1,2,3,4},TTSSKĐ!X378,TTSSKĐ!AD378,TTSSKĐ!AJ378,TTSSKĐ!AP378)))</f>
        <v>0</v>
      </c>
      <c r="E378">
        <f>SUMPRODUCT((MONTH(CHOOSE({1,2,3,4},TTSSKĐ!U378,TTSSKĐ!AA378,TTSSKĐ!AG378,TTSSKĐ!AM378))=5)*(CHOOSE({1,2,3,4},TTSSKĐ!X378,TTSSKĐ!AD378,TTSSKĐ!AJ378,TTSSKĐ!AP378)))</f>
        <v>0</v>
      </c>
      <c r="F378">
        <f>SUMPRODUCT((MONTH(CHOOSE({1,2,3,4},TTSSKĐ!U378,TTSSKĐ!AA378,TTSSKĐ!AG378,TTSSKĐ!AM378))=6)*(CHOOSE({1,2,3,4},TTSSKĐ!X378,TTSSKĐ!AD378,TTSSKĐ!AJ378,TTSSKĐ!AP378)))</f>
        <v>0</v>
      </c>
      <c r="G378">
        <f>SUMPRODUCT((MONTH(CHOOSE({1,2,3,4},TTSSKĐ!U378,TTSSKĐ!AA378,TTSSKĐ!AG378,TTSSKĐ!AM378))=7)*(CHOOSE({1,2,3,4},TTSSKĐ!X378,TTSSKĐ!AD378,TTSSKĐ!AJ378,TTSSKĐ!AP378)))</f>
        <v>0</v>
      </c>
      <c r="H378">
        <f>SUMPRODUCT((MONTH(CHOOSE({1,2,3,4},TTSSKĐ!U378,TTSSKĐ!AA378,TTSSKĐ!AG378,TTSSKĐ!AM378))=8)*(CHOOSE({1,2,3,4},TTSSKĐ!X378,TTSSKĐ!AD378,TTSSKĐ!AJ378,TTSSKĐ!AP378)))</f>
        <v>0</v>
      </c>
      <c r="I378">
        <f>SUMPRODUCT((MONTH(CHOOSE({1,2,3,4},TTSSKĐ!U378,TTSSKĐ!AA378,TTSSKĐ!AG378,TTSSKĐ!AM378))=9)*(CHOOSE({1,2,3,4},TTSSKĐ!X378,TTSSKĐ!AD378,TTSSKĐ!AJ378,TTSSKĐ!AP378)))</f>
        <v>0</v>
      </c>
      <c r="J378">
        <f>SUMPRODUCT((MONTH(CHOOSE({1,2,3,4},TTSSKĐ!U378,TTSSKĐ!AA378,TTSSKĐ!AG378,TTSSKĐ!AM378))=10)*(CHOOSE({1,2,3,4},TTSSKĐ!X378,TTSSKĐ!AD378,TTSSKĐ!AJ378,TTSSKĐ!AP378)))</f>
        <v>0</v>
      </c>
      <c r="K378">
        <f>SUMPRODUCT((MONTH(CHOOSE({1,2,3,4},TTSSKĐ!U378,TTSSKĐ!AA378,TTSSKĐ!AG378,TTSSKĐ!AM378))=11)*(CHOOSE({1,2,3,4},TTSSKĐ!X378,TTSSKĐ!AD378,TTSSKĐ!AJ378,TTSSKĐ!AP378)))</f>
        <v>0</v>
      </c>
      <c r="L378">
        <f>SUMPRODUCT((MONTH(CHOOSE({1,2,3,4},TTSSKĐ!U378,TTSSKĐ!AA378,TTSSKĐ!AG378,TTSSKĐ!AM378))=12)*(CHOOSE({1,2,3,4},TTSSKĐ!X378,TTSSKĐ!AD378,TTSSKĐ!AJ378,TTSSKĐ!AP378)))</f>
        <v>0</v>
      </c>
    </row>
    <row r="379" spans="1:12">
      <c r="A379">
        <f>SUMPRODUCT((MONTH(CHOOSE({1,2,3,4},TTSSKĐ!U379,TTSSKĐ!AA379,TTSSKĐ!AG379,TTSSKĐ!AM379))=1)*(CHOOSE({1,2,3,4},TTSSKĐ!X379,TTSSKĐ!AD379,TTSSKĐ!AJ379,TTSSKĐ!AP379)))</f>
        <v>0</v>
      </c>
      <c r="B379">
        <f>SUMPRODUCT((MONTH(CHOOSE({1,2,3,4},TTSSKĐ!U379,TTSSKĐ!AA379,TTSSKĐ!AG379,TTSSKĐ!AM379))=2)*(CHOOSE({1,2,3,4},TTSSKĐ!X379,TTSSKĐ!AD379,TTSSKĐ!AJ379,TTSSKĐ!AP379)))</f>
        <v>0</v>
      </c>
      <c r="C379">
        <f>SUMPRODUCT((MONTH(CHOOSE({1,2,3,4},TTSSKĐ!U379,TTSSKĐ!AA379,TTSSKĐ!AG379,TTSSKĐ!AM379))=3)*(CHOOSE({1,2,3,4},TTSSKĐ!X379,TTSSKĐ!AD379,TTSSKĐ!AJ379,TTSSKĐ!AP379)))</f>
        <v>0</v>
      </c>
      <c r="D379">
        <f>SUMPRODUCT((MONTH(CHOOSE({1,2,3,4},TTSSKĐ!U379,TTSSKĐ!AA379,TTSSKĐ!AG379,TTSSKĐ!AM379))=4)*(CHOOSE({1,2,3,4},TTSSKĐ!X379,TTSSKĐ!AD379,TTSSKĐ!AJ379,TTSSKĐ!AP379)))</f>
        <v>0</v>
      </c>
      <c r="E379">
        <f>SUMPRODUCT((MONTH(CHOOSE({1,2,3,4},TTSSKĐ!U379,TTSSKĐ!AA379,TTSSKĐ!AG379,TTSSKĐ!AM379))=5)*(CHOOSE({1,2,3,4},TTSSKĐ!X379,TTSSKĐ!AD379,TTSSKĐ!AJ379,TTSSKĐ!AP379)))</f>
        <v>0</v>
      </c>
      <c r="F379">
        <f>SUMPRODUCT((MONTH(CHOOSE({1,2,3,4},TTSSKĐ!U379,TTSSKĐ!AA379,TTSSKĐ!AG379,TTSSKĐ!AM379))=6)*(CHOOSE({1,2,3,4},TTSSKĐ!X379,TTSSKĐ!AD379,TTSSKĐ!AJ379,TTSSKĐ!AP379)))</f>
        <v>0</v>
      </c>
      <c r="G379">
        <f>SUMPRODUCT((MONTH(CHOOSE({1,2,3,4},TTSSKĐ!U379,TTSSKĐ!AA379,TTSSKĐ!AG379,TTSSKĐ!AM379))=7)*(CHOOSE({1,2,3,4},TTSSKĐ!X379,TTSSKĐ!AD379,TTSSKĐ!AJ379,TTSSKĐ!AP379)))</f>
        <v>0</v>
      </c>
      <c r="H379">
        <f>SUMPRODUCT((MONTH(CHOOSE({1,2,3,4},TTSSKĐ!U379,TTSSKĐ!AA379,TTSSKĐ!AG379,TTSSKĐ!AM379))=8)*(CHOOSE({1,2,3,4},TTSSKĐ!X379,TTSSKĐ!AD379,TTSSKĐ!AJ379,TTSSKĐ!AP379)))</f>
        <v>0</v>
      </c>
      <c r="I379">
        <f>SUMPRODUCT((MONTH(CHOOSE({1,2,3,4},TTSSKĐ!U379,TTSSKĐ!AA379,TTSSKĐ!AG379,TTSSKĐ!AM379))=9)*(CHOOSE({1,2,3,4},TTSSKĐ!X379,TTSSKĐ!AD379,TTSSKĐ!AJ379,TTSSKĐ!AP379)))</f>
        <v>0</v>
      </c>
      <c r="J379">
        <f>SUMPRODUCT((MONTH(CHOOSE({1,2,3,4},TTSSKĐ!U379,TTSSKĐ!AA379,TTSSKĐ!AG379,TTSSKĐ!AM379))=10)*(CHOOSE({1,2,3,4},TTSSKĐ!X379,TTSSKĐ!AD379,TTSSKĐ!AJ379,TTSSKĐ!AP379)))</f>
        <v>0</v>
      </c>
      <c r="K379">
        <f>SUMPRODUCT((MONTH(CHOOSE({1,2,3,4},TTSSKĐ!U379,TTSSKĐ!AA379,TTSSKĐ!AG379,TTSSKĐ!AM379))=11)*(CHOOSE({1,2,3,4},TTSSKĐ!X379,TTSSKĐ!AD379,TTSSKĐ!AJ379,TTSSKĐ!AP379)))</f>
        <v>0</v>
      </c>
      <c r="L379">
        <f>SUMPRODUCT((MONTH(CHOOSE({1,2,3,4},TTSSKĐ!U379,TTSSKĐ!AA379,TTSSKĐ!AG379,TTSSKĐ!AM379))=12)*(CHOOSE({1,2,3,4},TTSSKĐ!X379,TTSSKĐ!AD379,TTSSKĐ!AJ379,TTSSKĐ!AP379)))</f>
        <v>0</v>
      </c>
    </row>
    <row r="380" spans="1:12">
      <c r="A380">
        <f>SUMPRODUCT((MONTH(CHOOSE({1,2,3,4},TTSSKĐ!U380,TTSSKĐ!AA380,TTSSKĐ!AG380,TTSSKĐ!AM380))=1)*(CHOOSE({1,2,3,4},TTSSKĐ!X380,TTSSKĐ!AD380,TTSSKĐ!AJ380,TTSSKĐ!AP380)))</f>
        <v>0</v>
      </c>
      <c r="B380">
        <f>SUMPRODUCT((MONTH(CHOOSE({1,2,3,4},TTSSKĐ!U380,TTSSKĐ!AA380,TTSSKĐ!AG380,TTSSKĐ!AM380))=2)*(CHOOSE({1,2,3,4},TTSSKĐ!X380,TTSSKĐ!AD380,TTSSKĐ!AJ380,TTSSKĐ!AP380)))</f>
        <v>0</v>
      </c>
      <c r="C380">
        <f>SUMPRODUCT((MONTH(CHOOSE({1,2,3,4},TTSSKĐ!U380,TTSSKĐ!AA380,TTSSKĐ!AG380,TTSSKĐ!AM380))=3)*(CHOOSE({1,2,3,4},TTSSKĐ!X380,TTSSKĐ!AD380,TTSSKĐ!AJ380,TTSSKĐ!AP380)))</f>
        <v>0</v>
      </c>
      <c r="D380">
        <f>SUMPRODUCT((MONTH(CHOOSE({1,2,3,4},TTSSKĐ!U380,TTSSKĐ!AA380,TTSSKĐ!AG380,TTSSKĐ!AM380))=4)*(CHOOSE({1,2,3,4},TTSSKĐ!X380,TTSSKĐ!AD380,TTSSKĐ!AJ380,TTSSKĐ!AP380)))</f>
        <v>0</v>
      </c>
      <c r="E380">
        <f>SUMPRODUCT((MONTH(CHOOSE({1,2,3,4},TTSSKĐ!U380,TTSSKĐ!AA380,TTSSKĐ!AG380,TTSSKĐ!AM380))=5)*(CHOOSE({1,2,3,4},TTSSKĐ!X380,TTSSKĐ!AD380,TTSSKĐ!AJ380,TTSSKĐ!AP380)))</f>
        <v>0</v>
      </c>
      <c r="F380">
        <f>SUMPRODUCT((MONTH(CHOOSE({1,2,3,4},TTSSKĐ!U380,TTSSKĐ!AA380,TTSSKĐ!AG380,TTSSKĐ!AM380))=6)*(CHOOSE({1,2,3,4},TTSSKĐ!X380,TTSSKĐ!AD380,TTSSKĐ!AJ380,TTSSKĐ!AP380)))</f>
        <v>0</v>
      </c>
      <c r="G380">
        <f>SUMPRODUCT((MONTH(CHOOSE({1,2,3,4},TTSSKĐ!U380,TTSSKĐ!AA380,TTSSKĐ!AG380,TTSSKĐ!AM380))=7)*(CHOOSE({1,2,3,4},TTSSKĐ!X380,TTSSKĐ!AD380,TTSSKĐ!AJ380,TTSSKĐ!AP380)))</f>
        <v>0</v>
      </c>
      <c r="H380">
        <f>SUMPRODUCT((MONTH(CHOOSE({1,2,3,4},TTSSKĐ!U380,TTSSKĐ!AA380,TTSSKĐ!AG380,TTSSKĐ!AM380))=8)*(CHOOSE({1,2,3,4},TTSSKĐ!X380,TTSSKĐ!AD380,TTSSKĐ!AJ380,TTSSKĐ!AP380)))</f>
        <v>0</v>
      </c>
      <c r="I380">
        <f>SUMPRODUCT((MONTH(CHOOSE({1,2,3,4},TTSSKĐ!U380,TTSSKĐ!AA380,TTSSKĐ!AG380,TTSSKĐ!AM380))=9)*(CHOOSE({1,2,3,4},TTSSKĐ!X380,TTSSKĐ!AD380,TTSSKĐ!AJ380,TTSSKĐ!AP380)))</f>
        <v>0</v>
      </c>
      <c r="J380">
        <f>SUMPRODUCT((MONTH(CHOOSE({1,2,3,4},TTSSKĐ!U380,TTSSKĐ!AA380,TTSSKĐ!AG380,TTSSKĐ!AM380))=10)*(CHOOSE({1,2,3,4},TTSSKĐ!X380,TTSSKĐ!AD380,TTSSKĐ!AJ380,TTSSKĐ!AP380)))</f>
        <v>0</v>
      </c>
      <c r="K380">
        <f>SUMPRODUCT((MONTH(CHOOSE({1,2,3,4},TTSSKĐ!U380,TTSSKĐ!AA380,TTSSKĐ!AG380,TTSSKĐ!AM380))=11)*(CHOOSE({1,2,3,4},TTSSKĐ!X380,TTSSKĐ!AD380,TTSSKĐ!AJ380,TTSSKĐ!AP380)))</f>
        <v>0</v>
      </c>
      <c r="L380">
        <f>SUMPRODUCT((MONTH(CHOOSE({1,2,3,4},TTSSKĐ!U380,TTSSKĐ!AA380,TTSSKĐ!AG380,TTSSKĐ!AM380))=12)*(CHOOSE({1,2,3,4},TTSSKĐ!X380,TTSSKĐ!AD380,TTSSKĐ!AJ380,TTSSKĐ!AP380)))</f>
        <v>0</v>
      </c>
    </row>
    <row r="381" spans="1:12">
      <c r="A381">
        <f>SUMPRODUCT((MONTH(CHOOSE({1,2,3,4},TTSSKĐ!U381,TTSSKĐ!AA381,TTSSKĐ!AG381,TTSSKĐ!AM381))=1)*(CHOOSE({1,2,3,4},TTSSKĐ!X381,TTSSKĐ!AD381,TTSSKĐ!AJ381,TTSSKĐ!AP381)))</f>
        <v>0</v>
      </c>
      <c r="B381">
        <f>SUMPRODUCT((MONTH(CHOOSE({1,2,3,4},TTSSKĐ!U381,TTSSKĐ!AA381,TTSSKĐ!AG381,TTSSKĐ!AM381))=2)*(CHOOSE({1,2,3,4},TTSSKĐ!X381,TTSSKĐ!AD381,TTSSKĐ!AJ381,TTSSKĐ!AP381)))</f>
        <v>0</v>
      </c>
      <c r="C381">
        <f>SUMPRODUCT((MONTH(CHOOSE({1,2,3,4},TTSSKĐ!U381,TTSSKĐ!AA381,TTSSKĐ!AG381,TTSSKĐ!AM381))=3)*(CHOOSE({1,2,3,4},TTSSKĐ!X381,TTSSKĐ!AD381,TTSSKĐ!AJ381,TTSSKĐ!AP381)))</f>
        <v>0</v>
      </c>
      <c r="D381">
        <f>SUMPRODUCT((MONTH(CHOOSE({1,2,3,4},TTSSKĐ!U381,TTSSKĐ!AA381,TTSSKĐ!AG381,TTSSKĐ!AM381))=4)*(CHOOSE({1,2,3,4},TTSSKĐ!X381,TTSSKĐ!AD381,TTSSKĐ!AJ381,TTSSKĐ!AP381)))</f>
        <v>0</v>
      </c>
      <c r="E381">
        <f>SUMPRODUCT((MONTH(CHOOSE({1,2,3,4},TTSSKĐ!U381,TTSSKĐ!AA381,TTSSKĐ!AG381,TTSSKĐ!AM381))=5)*(CHOOSE({1,2,3,4},TTSSKĐ!X381,TTSSKĐ!AD381,TTSSKĐ!AJ381,TTSSKĐ!AP381)))</f>
        <v>0</v>
      </c>
      <c r="F381">
        <f>SUMPRODUCT((MONTH(CHOOSE({1,2,3,4},TTSSKĐ!U381,TTSSKĐ!AA381,TTSSKĐ!AG381,TTSSKĐ!AM381))=6)*(CHOOSE({1,2,3,4},TTSSKĐ!X381,TTSSKĐ!AD381,TTSSKĐ!AJ381,TTSSKĐ!AP381)))</f>
        <v>0</v>
      </c>
      <c r="G381">
        <f>SUMPRODUCT((MONTH(CHOOSE({1,2,3,4},TTSSKĐ!U381,TTSSKĐ!AA381,TTSSKĐ!AG381,TTSSKĐ!AM381))=7)*(CHOOSE({1,2,3,4},TTSSKĐ!X381,TTSSKĐ!AD381,TTSSKĐ!AJ381,TTSSKĐ!AP381)))</f>
        <v>0</v>
      </c>
      <c r="H381">
        <f>SUMPRODUCT((MONTH(CHOOSE({1,2,3,4},TTSSKĐ!U381,TTSSKĐ!AA381,TTSSKĐ!AG381,TTSSKĐ!AM381))=8)*(CHOOSE({1,2,3,4},TTSSKĐ!X381,TTSSKĐ!AD381,TTSSKĐ!AJ381,TTSSKĐ!AP381)))</f>
        <v>0</v>
      </c>
      <c r="I381">
        <f>SUMPRODUCT((MONTH(CHOOSE({1,2,3,4},TTSSKĐ!U381,TTSSKĐ!AA381,TTSSKĐ!AG381,TTSSKĐ!AM381))=9)*(CHOOSE({1,2,3,4},TTSSKĐ!X381,TTSSKĐ!AD381,TTSSKĐ!AJ381,TTSSKĐ!AP381)))</f>
        <v>0</v>
      </c>
      <c r="J381">
        <f>SUMPRODUCT((MONTH(CHOOSE({1,2,3,4},TTSSKĐ!U381,TTSSKĐ!AA381,TTSSKĐ!AG381,TTSSKĐ!AM381))=10)*(CHOOSE({1,2,3,4},TTSSKĐ!X381,TTSSKĐ!AD381,TTSSKĐ!AJ381,TTSSKĐ!AP381)))</f>
        <v>0</v>
      </c>
      <c r="K381">
        <f>SUMPRODUCT((MONTH(CHOOSE({1,2,3,4},TTSSKĐ!U381,TTSSKĐ!AA381,TTSSKĐ!AG381,TTSSKĐ!AM381))=11)*(CHOOSE({1,2,3,4},TTSSKĐ!X381,TTSSKĐ!AD381,TTSSKĐ!AJ381,TTSSKĐ!AP381)))</f>
        <v>0</v>
      </c>
      <c r="L381">
        <f>SUMPRODUCT((MONTH(CHOOSE({1,2,3,4},TTSSKĐ!U381,TTSSKĐ!AA381,TTSSKĐ!AG381,TTSSKĐ!AM381))=12)*(CHOOSE({1,2,3,4},TTSSKĐ!X381,TTSSKĐ!AD381,TTSSKĐ!AJ381,TTSSKĐ!AP381)))</f>
        <v>0</v>
      </c>
    </row>
    <row r="382" spans="1:12">
      <c r="A382">
        <f>SUMPRODUCT((MONTH(CHOOSE({1,2,3,4},TTSSKĐ!U382,TTSSKĐ!AA382,TTSSKĐ!AG382,TTSSKĐ!AM382))=1)*(CHOOSE({1,2,3,4},TTSSKĐ!X382,TTSSKĐ!AD382,TTSSKĐ!AJ382,TTSSKĐ!AP382)))</f>
        <v>0</v>
      </c>
      <c r="B382">
        <f>SUMPRODUCT((MONTH(CHOOSE({1,2,3,4},TTSSKĐ!U382,TTSSKĐ!AA382,TTSSKĐ!AG382,TTSSKĐ!AM382))=2)*(CHOOSE({1,2,3,4},TTSSKĐ!X382,TTSSKĐ!AD382,TTSSKĐ!AJ382,TTSSKĐ!AP382)))</f>
        <v>0</v>
      </c>
      <c r="C382">
        <f>SUMPRODUCT((MONTH(CHOOSE({1,2,3,4},TTSSKĐ!U382,TTSSKĐ!AA382,TTSSKĐ!AG382,TTSSKĐ!AM382))=3)*(CHOOSE({1,2,3,4},TTSSKĐ!X382,TTSSKĐ!AD382,TTSSKĐ!AJ382,TTSSKĐ!AP382)))</f>
        <v>0</v>
      </c>
      <c r="D382">
        <f>SUMPRODUCT((MONTH(CHOOSE({1,2,3,4},TTSSKĐ!U382,TTSSKĐ!AA382,TTSSKĐ!AG382,TTSSKĐ!AM382))=4)*(CHOOSE({1,2,3,4},TTSSKĐ!X382,TTSSKĐ!AD382,TTSSKĐ!AJ382,TTSSKĐ!AP382)))</f>
        <v>0</v>
      </c>
      <c r="E382">
        <f>SUMPRODUCT((MONTH(CHOOSE({1,2,3,4},TTSSKĐ!U382,TTSSKĐ!AA382,TTSSKĐ!AG382,TTSSKĐ!AM382))=5)*(CHOOSE({1,2,3,4},TTSSKĐ!X382,TTSSKĐ!AD382,TTSSKĐ!AJ382,TTSSKĐ!AP382)))</f>
        <v>0</v>
      </c>
      <c r="F382">
        <f>SUMPRODUCT((MONTH(CHOOSE({1,2,3,4},TTSSKĐ!U382,TTSSKĐ!AA382,TTSSKĐ!AG382,TTSSKĐ!AM382))=6)*(CHOOSE({1,2,3,4},TTSSKĐ!X382,TTSSKĐ!AD382,TTSSKĐ!AJ382,TTSSKĐ!AP382)))</f>
        <v>0</v>
      </c>
      <c r="G382">
        <f>SUMPRODUCT((MONTH(CHOOSE({1,2,3,4},TTSSKĐ!U382,TTSSKĐ!AA382,TTSSKĐ!AG382,TTSSKĐ!AM382))=7)*(CHOOSE({1,2,3,4},TTSSKĐ!X382,TTSSKĐ!AD382,TTSSKĐ!AJ382,TTSSKĐ!AP382)))</f>
        <v>0</v>
      </c>
      <c r="H382">
        <f>SUMPRODUCT((MONTH(CHOOSE({1,2,3,4},TTSSKĐ!U382,TTSSKĐ!AA382,TTSSKĐ!AG382,TTSSKĐ!AM382))=8)*(CHOOSE({1,2,3,4},TTSSKĐ!X382,TTSSKĐ!AD382,TTSSKĐ!AJ382,TTSSKĐ!AP382)))</f>
        <v>0</v>
      </c>
      <c r="I382">
        <f>SUMPRODUCT((MONTH(CHOOSE({1,2,3,4},TTSSKĐ!U382,TTSSKĐ!AA382,TTSSKĐ!AG382,TTSSKĐ!AM382))=9)*(CHOOSE({1,2,3,4},TTSSKĐ!X382,TTSSKĐ!AD382,TTSSKĐ!AJ382,TTSSKĐ!AP382)))</f>
        <v>0</v>
      </c>
      <c r="J382">
        <f>SUMPRODUCT((MONTH(CHOOSE({1,2,3,4},TTSSKĐ!U382,TTSSKĐ!AA382,TTSSKĐ!AG382,TTSSKĐ!AM382))=10)*(CHOOSE({1,2,3,4},TTSSKĐ!X382,TTSSKĐ!AD382,TTSSKĐ!AJ382,TTSSKĐ!AP382)))</f>
        <v>0</v>
      </c>
      <c r="K382">
        <f>SUMPRODUCT((MONTH(CHOOSE({1,2,3,4},TTSSKĐ!U382,TTSSKĐ!AA382,TTSSKĐ!AG382,TTSSKĐ!AM382))=11)*(CHOOSE({1,2,3,4},TTSSKĐ!X382,TTSSKĐ!AD382,TTSSKĐ!AJ382,TTSSKĐ!AP382)))</f>
        <v>0</v>
      </c>
      <c r="L382">
        <f>SUMPRODUCT((MONTH(CHOOSE({1,2,3,4},TTSSKĐ!U382,TTSSKĐ!AA382,TTSSKĐ!AG382,TTSSKĐ!AM382))=12)*(CHOOSE({1,2,3,4},TTSSKĐ!X382,TTSSKĐ!AD382,TTSSKĐ!AJ382,TTSSKĐ!AP382)))</f>
        <v>0</v>
      </c>
    </row>
    <row r="383" spans="1:12">
      <c r="A383">
        <f>SUMPRODUCT((MONTH(CHOOSE({1,2,3,4},TTSSKĐ!U383,TTSSKĐ!AA383,TTSSKĐ!AG383,TTSSKĐ!AM383))=1)*(CHOOSE({1,2,3,4},TTSSKĐ!X383,TTSSKĐ!AD383,TTSSKĐ!AJ383,TTSSKĐ!AP383)))</f>
        <v>0</v>
      </c>
      <c r="B383">
        <f>SUMPRODUCT((MONTH(CHOOSE({1,2,3,4},TTSSKĐ!U383,TTSSKĐ!AA383,TTSSKĐ!AG383,TTSSKĐ!AM383))=2)*(CHOOSE({1,2,3,4},TTSSKĐ!X383,TTSSKĐ!AD383,TTSSKĐ!AJ383,TTSSKĐ!AP383)))</f>
        <v>0</v>
      </c>
      <c r="C383">
        <f>SUMPRODUCT((MONTH(CHOOSE({1,2,3,4},TTSSKĐ!U383,TTSSKĐ!AA383,TTSSKĐ!AG383,TTSSKĐ!AM383))=3)*(CHOOSE({1,2,3,4},TTSSKĐ!X383,TTSSKĐ!AD383,TTSSKĐ!AJ383,TTSSKĐ!AP383)))</f>
        <v>0</v>
      </c>
      <c r="D383">
        <f>SUMPRODUCT((MONTH(CHOOSE({1,2,3,4},TTSSKĐ!U383,TTSSKĐ!AA383,TTSSKĐ!AG383,TTSSKĐ!AM383))=4)*(CHOOSE({1,2,3,4},TTSSKĐ!X383,TTSSKĐ!AD383,TTSSKĐ!AJ383,TTSSKĐ!AP383)))</f>
        <v>0</v>
      </c>
      <c r="E383">
        <f>SUMPRODUCT((MONTH(CHOOSE({1,2,3,4},TTSSKĐ!U383,TTSSKĐ!AA383,TTSSKĐ!AG383,TTSSKĐ!AM383))=5)*(CHOOSE({1,2,3,4},TTSSKĐ!X383,TTSSKĐ!AD383,TTSSKĐ!AJ383,TTSSKĐ!AP383)))</f>
        <v>0</v>
      </c>
      <c r="F383">
        <f>SUMPRODUCT((MONTH(CHOOSE({1,2,3,4},TTSSKĐ!U383,TTSSKĐ!AA383,TTSSKĐ!AG383,TTSSKĐ!AM383))=6)*(CHOOSE({1,2,3,4},TTSSKĐ!X383,TTSSKĐ!AD383,TTSSKĐ!AJ383,TTSSKĐ!AP383)))</f>
        <v>0</v>
      </c>
      <c r="G383">
        <f>SUMPRODUCT((MONTH(CHOOSE({1,2,3,4},TTSSKĐ!U383,TTSSKĐ!AA383,TTSSKĐ!AG383,TTSSKĐ!AM383))=7)*(CHOOSE({1,2,3,4},TTSSKĐ!X383,TTSSKĐ!AD383,TTSSKĐ!AJ383,TTSSKĐ!AP383)))</f>
        <v>0</v>
      </c>
      <c r="H383">
        <f>SUMPRODUCT((MONTH(CHOOSE({1,2,3,4},TTSSKĐ!U383,TTSSKĐ!AA383,TTSSKĐ!AG383,TTSSKĐ!AM383))=8)*(CHOOSE({1,2,3,4},TTSSKĐ!X383,TTSSKĐ!AD383,TTSSKĐ!AJ383,TTSSKĐ!AP383)))</f>
        <v>0</v>
      </c>
      <c r="I383">
        <f>SUMPRODUCT((MONTH(CHOOSE({1,2,3,4},TTSSKĐ!U383,TTSSKĐ!AA383,TTSSKĐ!AG383,TTSSKĐ!AM383))=9)*(CHOOSE({1,2,3,4},TTSSKĐ!X383,TTSSKĐ!AD383,TTSSKĐ!AJ383,TTSSKĐ!AP383)))</f>
        <v>0</v>
      </c>
      <c r="J383">
        <f>SUMPRODUCT((MONTH(CHOOSE({1,2,3,4},TTSSKĐ!U383,TTSSKĐ!AA383,TTSSKĐ!AG383,TTSSKĐ!AM383))=10)*(CHOOSE({1,2,3,4},TTSSKĐ!X383,TTSSKĐ!AD383,TTSSKĐ!AJ383,TTSSKĐ!AP383)))</f>
        <v>0</v>
      </c>
      <c r="K383">
        <f>SUMPRODUCT((MONTH(CHOOSE({1,2,3,4},TTSSKĐ!U383,TTSSKĐ!AA383,TTSSKĐ!AG383,TTSSKĐ!AM383))=11)*(CHOOSE({1,2,3,4},TTSSKĐ!X383,TTSSKĐ!AD383,TTSSKĐ!AJ383,TTSSKĐ!AP383)))</f>
        <v>0</v>
      </c>
      <c r="L383">
        <f>SUMPRODUCT((MONTH(CHOOSE({1,2,3,4},TTSSKĐ!U383,TTSSKĐ!AA383,TTSSKĐ!AG383,TTSSKĐ!AM383))=12)*(CHOOSE({1,2,3,4},TTSSKĐ!X383,TTSSKĐ!AD383,TTSSKĐ!AJ383,TTSSKĐ!AP383)))</f>
        <v>0</v>
      </c>
    </row>
    <row r="384" spans="1:12">
      <c r="A384">
        <f>SUMPRODUCT((MONTH(CHOOSE({1,2,3,4},TTSSKĐ!U384,TTSSKĐ!AA384,TTSSKĐ!AG384,TTSSKĐ!AM384))=1)*(CHOOSE({1,2,3,4},TTSSKĐ!X384,TTSSKĐ!AD384,TTSSKĐ!AJ384,TTSSKĐ!AP384)))</f>
        <v>0</v>
      </c>
      <c r="B384">
        <f>SUMPRODUCT((MONTH(CHOOSE({1,2,3,4},TTSSKĐ!U384,TTSSKĐ!AA384,TTSSKĐ!AG384,TTSSKĐ!AM384))=2)*(CHOOSE({1,2,3,4},TTSSKĐ!X384,TTSSKĐ!AD384,TTSSKĐ!AJ384,TTSSKĐ!AP384)))</f>
        <v>0</v>
      </c>
      <c r="C384">
        <f>SUMPRODUCT((MONTH(CHOOSE({1,2,3,4},TTSSKĐ!U384,TTSSKĐ!AA384,TTSSKĐ!AG384,TTSSKĐ!AM384))=3)*(CHOOSE({1,2,3,4},TTSSKĐ!X384,TTSSKĐ!AD384,TTSSKĐ!AJ384,TTSSKĐ!AP384)))</f>
        <v>0</v>
      </c>
      <c r="D384">
        <f>SUMPRODUCT((MONTH(CHOOSE({1,2,3,4},TTSSKĐ!U384,TTSSKĐ!AA384,TTSSKĐ!AG384,TTSSKĐ!AM384))=4)*(CHOOSE({1,2,3,4},TTSSKĐ!X384,TTSSKĐ!AD384,TTSSKĐ!AJ384,TTSSKĐ!AP384)))</f>
        <v>0</v>
      </c>
      <c r="E384">
        <f>SUMPRODUCT((MONTH(CHOOSE({1,2,3,4},TTSSKĐ!U384,TTSSKĐ!AA384,TTSSKĐ!AG384,TTSSKĐ!AM384))=5)*(CHOOSE({1,2,3,4},TTSSKĐ!X384,TTSSKĐ!AD384,TTSSKĐ!AJ384,TTSSKĐ!AP384)))</f>
        <v>0</v>
      </c>
      <c r="F384">
        <f>SUMPRODUCT((MONTH(CHOOSE({1,2,3,4},TTSSKĐ!U384,TTSSKĐ!AA384,TTSSKĐ!AG384,TTSSKĐ!AM384))=6)*(CHOOSE({1,2,3,4},TTSSKĐ!X384,TTSSKĐ!AD384,TTSSKĐ!AJ384,TTSSKĐ!AP384)))</f>
        <v>0</v>
      </c>
      <c r="G384">
        <f>SUMPRODUCT((MONTH(CHOOSE({1,2,3,4},TTSSKĐ!U384,TTSSKĐ!AA384,TTSSKĐ!AG384,TTSSKĐ!AM384))=7)*(CHOOSE({1,2,3,4},TTSSKĐ!X384,TTSSKĐ!AD384,TTSSKĐ!AJ384,TTSSKĐ!AP384)))</f>
        <v>0</v>
      </c>
      <c r="H384">
        <f>SUMPRODUCT((MONTH(CHOOSE({1,2,3,4},TTSSKĐ!U384,TTSSKĐ!AA384,TTSSKĐ!AG384,TTSSKĐ!AM384))=8)*(CHOOSE({1,2,3,4},TTSSKĐ!X384,TTSSKĐ!AD384,TTSSKĐ!AJ384,TTSSKĐ!AP384)))</f>
        <v>0</v>
      </c>
      <c r="I384">
        <f>SUMPRODUCT((MONTH(CHOOSE({1,2,3,4},TTSSKĐ!U384,TTSSKĐ!AA384,TTSSKĐ!AG384,TTSSKĐ!AM384))=9)*(CHOOSE({1,2,3,4},TTSSKĐ!X384,TTSSKĐ!AD384,TTSSKĐ!AJ384,TTSSKĐ!AP384)))</f>
        <v>0</v>
      </c>
      <c r="J384">
        <f>SUMPRODUCT((MONTH(CHOOSE({1,2,3,4},TTSSKĐ!U384,TTSSKĐ!AA384,TTSSKĐ!AG384,TTSSKĐ!AM384))=10)*(CHOOSE({1,2,3,4},TTSSKĐ!X384,TTSSKĐ!AD384,TTSSKĐ!AJ384,TTSSKĐ!AP384)))</f>
        <v>0</v>
      </c>
      <c r="K384">
        <f>SUMPRODUCT((MONTH(CHOOSE({1,2,3,4},TTSSKĐ!U384,TTSSKĐ!AA384,TTSSKĐ!AG384,TTSSKĐ!AM384))=11)*(CHOOSE({1,2,3,4},TTSSKĐ!X384,TTSSKĐ!AD384,TTSSKĐ!AJ384,TTSSKĐ!AP384)))</f>
        <v>0</v>
      </c>
      <c r="L384">
        <f>SUMPRODUCT((MONTH(CHOOSE({1,2,3,4},TTSSKĐ!U384,TTSSKĐ!AA384,TTSSKĐ!AG384,TTSSKĐ!AM384))=12)*(CHOOSE({1,2,3,4},TTSSKĐ!X384,TTSSKĐ!AD384,TTSSKĐ!AJ384,TTSSKĐ!AP384)))</f>
        <v>0</v>
      </c>
    </row>
    <row r="385" spans="1:12">
      <c r="A385">
        <f>SUMPRODUCT((MONTH(CHOOSE({1,2,3,4},TTSSKĐ!U385,TTSSKĐ!AA385,TTSSKĐ!AG385,TTSSKĐ!AM385))=1)*(CHOOSE({1,2,3,4},TTSSKĐ!X385,TTSSKĐ!AD385,TTSSKĐ!AJ385,TTSSKĐ!AP385)))</f>
        <v>0</v>
      </c>
      <c r="B385">
        <f>SUMPRODUCT((MONTH(CHOOSE({1,2,3,4},TTSSKĐ!U385,TTSSKĐ!AA385,TTSSKĐ!AG385,TTSSKĐ!AM385))=2)*(CHOOSE({1,2,3,4},TTSSKĐ!X385,TTSSKĐ!AD385,TTSSKĐ!AJ385,TTSSKĐ!AP385)))</f>
        <v>0</v>
      </c>
      <c r="C385">
        <f>SUMPRODUCT((MONTH(CHOOSE({1,2,3,4},TTSSKĐ!U385,TTSSKĐ!AA385,TTSSKĐ!AG385,TTSSKĐ!AM385))=3)*(CHOOSE({1,2,3,4},TTSSKĐ!X385,TTSSKĐ!AD385,TTSSKĐ!AJ385,TTSSKĐ!AP385)))</f>
        <v>0</v>
      </c>
      <c r="D385">
        <f>SUMPRODUCT((MONTH(CHOOSE({1,2,3,4},TTSSKĐ!U385,TTSSKĐ!AA385,TTSSKĐ!AG385,TTSSKĐ!AM385))=4)*(CHOOSE({1,2,3,4},TTSSKĐ!X385,TTSSKĐ!AD385,TTSSKĐ!AJ385,TTSSKĐ!AP385)))</f>
        <v>0</v>
      </c>
      <c r="E385">
        <f>SUMPRODUCT((MONTH(CHOOSE({1,2,3,4},TTSSKĐ!U385,TTSSKĐ!AA385,TTSSKĐ!AG385,TTSSKĐ!AM385))=5)*(CHOOSE({1,2,3,4},TTSSKĐ!X385,TTSSKĐ!AD385,TTSSKĐ!AJ385,TTSSKĐ!AP385)))</f>
        <v>0</v>
      </c>
      <c r="F385">
        <f>SUMPRODUCT((MONTH(CHOOSE({1,2,3,4},TTSSKĐ!U385,TTSSKĐ!AA385,TTSSKĐ!AG385,TTSSKĐ!AM385))=6)*(CHOOSE({1,2,3,4},TTSSKĐ!X385,TTSSKĐ!AD385,TTSSKĐ!AJ385,TTSSKĐ!AP385)))</f>
        <v>0</v>
      </c>
      <c r="G385">
        <f>SUMPRODUCT((MONTH(CHOOSE({1,2,3,4},TTSSKĐ!U385,TTSSKĐ!AA385,TTSSKĐ!AG385,TTSSKĐ!AM385))=7)*(CHOOSE({1,2,3,4},TTSSKĐ!X385,TTSSKĐ!AD385,TTSSKĐ!AJ385,TTSSKĐ!AP385)))</f>
        <v>0</v>
      </c>
      <c r="H385">
        <f>SUMPRODUCT((MONTH(CHOOSE({1,2,3,4},TTSSKĐ!U385,TTSSKĐ!AA385,TTSSKĐ!AG385,TTSSKĐ!AM385))=8)*(CHOOSE({1,2,3,4},TTSSKĐ!X385,TTSSKĐ!AD385,TTSSKĐ!AJ385,TTSSKĐ!AP385)))</f>
        <v>0</v>
      </c>
      <c r="I385">
        <f>SUMPRODUCT((MONTH(CHOOSE({1,2,3,4},TTSSKĐ!U385,TTSSKĐ!AA385,TTSSKĐ!AG385,TTSSKĐ!AM385))=9)*(CHOOSE({1,2,3,4},TTSSKĐ!X385,TTSSKĐ!AD385,TTSSKĐ!AJ385,TTSSKĐ!AP385)))</f>
        <v>0</v>
      </c>
      <c r="J385">
        <f>SUMPRODUCT((MONTH(CHOOSE({1,2,3,4},TTSSKĐ!U385,TTSSKĐ!AA385,TTSSKĐ!AG385,TTSSKĐ!AM385))=10)*(CHOOSE({1,2,3,4},TTSSKĐ!X385,TTSSKĐ!AD385,TTSSKĐ!AJ385,TTSSKĐ!AP385)))</f>
        <v>0</v>
      </c>
      <c r="K385">
        <f>SUMPRODUCT((MONTH(CHOOSE({1,2,3,4},TTSSKĐ!U385,TTSSKĐ!AA385,TTSSKĐ!AG385,TTSSKĐ!AM385))=11)*(CHOOSE({1,2,3,4},TTSSKĐ!X385,TTSSKĐ!AD385,TTSSKĐ!AJ385,TTSSKĐ!AP385)))</f>
        <v>0</v>
      </c>
      <c r="L385">
        <f>SUMPRODUCT((MONTH(CHOOSE({1,2,3,4},TTSSKĐ!U385,TTSSKĐ!AA385,TTSSKĐ!AG385,TTSSKĐ!AM385))=12)*(CHOOSE({1,2,3,4},TTSSKĐ!X385,TTSSKĐ!AD385,TTSSKĐ!AJ385,TTSSKĐ!AP385)))</f>
        <v>0</v>
      </c>
    </row>
    <row r="386" spans="1:12">
      <c r="A386">
        <f>SUMPRODUCT((MONTH(CHOOSE({1,2,3,4},TTSSKĐ!U386,TTSSKĐ!AA386,TTSSKĐ!AG386,TTSSKĐ!AM386))=1)*(CHOOSE({1,2,3,4},TTSSKĐ!X386,TTSSKĐ!AD386,TTSSKĐ!AJ386,TTSSKĐ!AP386)))</f>
        <v>0</v>
      </c>
      <c r="B386">
        <f>SUMPRODUCT((MONTH(CHOOSE({1,2,3,4},TTSSKĐ!U386,TTSSKĐ!AA386,TTSSKĐ!AG386,TTSSKĐ!AM386))=2)*(CHOOSE({1,2,3,4},TTSSKĐ!X386,TTSSKĐ!AD386,TTSSKĐ!AJ386,TTSSKĐ!AP386)))</f>
        <v>0</v>
      </c>
      <c r="C386">
        <f>SUMPRODUCT((MONTH(CHOOSE({1,2,3,4},TTSSKĐ!U386,TTSSKĐ!AA386,TTSSKĐ!AG386,TTSSKĐ!AM386))=3)*(CHOOSE({1,2,3,4},TTSSKĐ!X386,TTSSKĐ!AD386,TTSSKĐ!AJ386,TTSSKĐ!AP386)))</f>
        <v>0</v>
      </c>
      <c r="D386">
        <f>SUMPRODUCT((MONTH(CHOOSE({1,2,3,4},TTSSKĐ!U386,TTSSKĐ!AA386,TTSSKĐ!AG386,TTSSKĐ!AM386))=4)*(CHOOSE({1,2,3,4},TTSSKĐ!X386,TTSSKĐ!AD386,TTSSKĐ!AJ386,TTSSKĐ!AP386)))</f>
        <v>0</v>
      </c>
      <c r="E386">
        <f>SUMPRODUCT((MONTH(CHOOSE({1,2,3,4},TTSSKĐ!U386,TTSSKĐ!AA386,TTSSKĐ!AG386,TTSSKĐ!AM386))=5)*(CHOOSE({1,2,3,4},TTSSKĐ!X386,TTSSKĐ!AD386,TTSSKĐ!AJ386,TTSSKĐ!AP386)))</f>
        <v>0</v>
      </c>
      <c r="F386">
        <f>SUMPRODUCT((MONTH(CHOOSE({1,2,3,4},TTSSKĐ!U386,TTSSKĐ!AA386,TTSSKĐ!AG386,TTSSKĐ!AM386))=6)*(CHOOSE({1,2,3,4},TTSSKĐ!X386,TTSSKĐ!AD386,TTSSKĐ!AJ386,TTSSKĐ!AP386)))</f>
        <v>0</v>
      </c>
      <c r="G386">
        <f>SUMPRODUCT((MONTH(CHOOSE({1,2,3,4},TTSSKĐ!U386,TTSSKĐ!AA386,TTSSKĐ!AG386,TTSSKĐ!AM386))=7)*(CHOOSE({1,2,3,4},TTSSKĐ!X386,TTSSKĐ!AD386,TTSSKĐ!AJ386,TTSSKĐ!AP386)))</f>
        <v>0</v>
      </c>
      <c r="H386">
        <f>SUMPRODUCT((MONTH(CHOOSE({1,2,3,4},TTSSKĐ!U386,TTSSKĐ!AA386,TTSSKĐ!AG386,TTSSKĐ!AM386))=8)*(CHOOSE({1,2,3,4},TTSSKĐ!X386,TTSSKĐ!AD386,TTSSKĐ!AJ386,TTSSKĐ!AP386)))</f>
        <v>0</v>
      </c>
      <c r="I386">
        <f>SUMPRODUCT((MONTH(CHOOSE({1,2,3,4},TTSSKĐ!U386,TTSSKĐ!AA386,TTSSKĐ!AG386,TTSSKĐ!AM386))=9)*(CHOOSE({1,2,3,4},TTSSKĐ!X386,TTSSKĐ!AD386,TTSSKĐ!AJ386,TTSSKĐ!AP386)))</f>
        <v>0</v>
      </c>
      <c r="J386">
        <f>SUMPRODUCT((MONTH(CHOOSE({1,2,3,4},TTSSKĐ!U386,TTSSKĐ!AA386,TTSSKĐ!AG386,TTSSKĐ!AM386))=10)*(CHOOSE({1,2,3,4},TTSSKĐ!X386,TTSSKĐ!AD386,TTSSKĐ!AJ386,TTSSKĐ!AP386)))</f>
        <v>0</v>
      </c>
      <c r="K386">
        <f>SUMPRODUCT((MONTH(CHOOSE({1,2,3,4},TTSSKĐ!U386,TTSSKĐ!AA386,TTSSKĐ!AG386,TTSSKĐ!AM386))=11)*(CHOOSE({1,2,3,4},TTSSKĐ!X386,TTSSKĐ!AD386,TTSSKĐ!AJ386,TTSSKĐ!AP386)))</f>
        <v>0</v>
      </c>
      <c r="L386">
        <f>SUMPRODUCT((MONTH(CHOOSE({1,2,3,4},TTSSKĐ!U386,TTSSKĐ!AA386,TTSSKĐ!AG386,TTSSKĐ!AM386))=12)*(CHOOSE({1,2,3,4},TTSSKĐ!X386,TTSSKĐ!AD386,TTSSKĐ!AJ386,TTSSKĐ!AP386)))</f>
        <v>0</v>
      </c>
    </row>
    <row r="387" spans="1:12">
      <c r="A387">
        <f>SUMPRODUCT((MONTH(CHOOSE({1,2,3,4},TTSSKĐ!U387,TTSSKĐ!AA387,TTSSKĐ!AG387,TTSSKĐ!AM387))=1)*(CHOOSE({1,2,3,4},TTSSKĐ!X387,TTSSKĐ!AD387,TTSSKĐ!AJ387,TTSSKĐ!AP387)))</f>
        <v>0</v>
      </c>
      <c r="B387">
        <f>SUMPRODUCT((MONTH(CHOOSE({1,2,3,4},TTSSKĐ!U387,TTSSKĐ!AA387,TTSSKĐ!AG387,TTSSKĐ!AM387))=2)*(CHOOSE({1,2,3,4},TTSSKĐ!X387,TTSSKĐ!AD387,TTSSKĐ!AJ387,TTSSKĐ!AP387)))</f>
        <v>0</v>
      </c>
      <c r="C387">
        <f>SUMPRODUCT((MONTH(CHOOSE({1,2,3,4},TTSSKĐ!U387,TTSSKĐ!AA387,TTSSKĐ!AG387,TTSSKĐ!AM387))=3)*(CHOOSE({1,2,3,4},TTSSKĐ!X387,TTSSKĐ!AD387,TTSSKĐ!AJ387,TTSSKĐ!AP387)))</f>
        <v>0</v>
      </c>
      <c r="D387">
        <f>SUMPRODUCT((MONTH(CHOOSE({1,2,3,4},TTSSKĐ!U387,TTSSKĐ!AA387,TTSSKĐ!AG387,TTSSKĐ!AM387))=4)*(CHOOSE({1,2,3,4},TTSSKĐ!X387,TTSSKĐ!AD387,TTSSKĐ!AJ387,TTSSKĐ!AP387)))</f>
        <v>0</v>
      </c>
      <c r="E387">
        <f>SUMPRODUCT((MONTH(CHOOSE({1,2,3,4},TTSSKĐ!U387,TTSSKĐ!AA387,TTSSKĐ!AG387,TTSSKĐ!AM387))=5)*(CHOOSE({1,2,3,4},TTSSKĐ!X387,TTSSKĐ!AD387,TTSSKĐ!AJ387,TTSSKĐ!AP387)))</f>
        <v>0</v>
      </c>
      <c r="F387">
        <f>SUMPRODUCT((MONTH(CHOOSE({1,2,3,4},TTSSKĐ!U387,TTSSKĐ!AA387,TTSSKĐ!AG387,TTSSKĐ!AM387))=6)*(CHOOSE({1,2,3,4},TTSSKĐ!X387,TTSSKĐ!AD387,TTSSKĐ!AJ387,TTSSKĐ!AP387)))</f>
        <v>0</v>
      </c>
      <c r="G387">
        <f>SUMPRODUCT((MONTH(CHOOSE({1,2,3,4},TTSSKĐ!U387,TTSSKĐ!AA387,TTSSKĐ!AG387,TTSSKĐ!AM387))=7)*(CHOOSE({1,2,3,4},TTSSKĐ!X387,TTSSKĐ!AD387,TTSSKĐ!AJ387,TTSSKĐ!AP387)))</f>
        <v>0</v>
      </c>
      <c r="H387">
        <f>SUMPRODUCT((MONTH(CHOOSE({1,2,3,4},TTSSKĐ!U387,TTSSKĐ!AA387,TTSSKĐ!AG387,TTSSKĐ!AM387))=8)*(CHOOSE({1,2,3,4},TTSSKĐ!X387,TTSSKĐ!AD387,TTSSKĐ!AJ387,TTSSKĐ!AP387)))</f>
        <v>0</v>
      </c>
      <c r="I387">
        <f>SUMPRODUCT((MONTH(CHOOSE({1,2,3,4},TTSSKĐ!U387,TTSSKĐ!AA387,TTSSKĐ!AG387,TTSSKĐ!AM387))=9)*(CHOOSE({1,2,3,4},TTSSKĐ!X387,TTSSKĐ!AD387,TTSSKĐ!AJ387,TTSSKĐ!AP387)))</f>
        <v>0</v>
      </c>
      <c r="J387">
        <f>SUMPRODUCT((MONTH(CHOOSE({1,2,3,4},TTSSKĐ!U387,TTSSKĐ!AA387,TTSSKĐ!AG387,TTSSKĐ!AM387))=10)*(CHOOSE({1,2,3,4},TTSSKĐ!X387,TTSSKĐ!AD387,TTSSKĐ!AJ387,TTSSKĐ!AP387)))</f>
        <v>0</v>
      </c>
      <c r="K387">
        <f>SUMPRODUCT((MONTH(CHOOSE({1,2,3,4},TTSSKĐ!U387,TTSSKĐ!AA387,TTSSKĐ!AG387,TTSSKĐ!AM387))=11)*(CHOOSE({1,2,3,4},TTSSKĐ!X387,TTSSKĐ!AD387,TTSSKĐ!AJ387,TTSSKĐ!AP387)))</f>
        <v>0</v>
      </c>
      <c r="L387">
        <f>SUMPRODUCT((MONTH(CHOOSE({1,2,3,4},TTSSKĐ!U387,TTSSKĐ!AA387,TTSSKĐ!AG387,TTSSKĐ!AM387))=12)*(CHOOSE({1,2,3,4},TTSSKĐ!X387,TTSSKĐ!AD387,TTSSKĐ!AJ387,TTSSKĐ!AP387)))</f>
        <v>0</v>
      </c>
    </row>
    <row r="388" spans="1:12">
      <c r="A388">
        <f>SUMPRODUCT((MONTH(CHOOSE({1,2,3,4},TTSSKĐ!U388,TTSSKĐ!AA388,TTSSKĐ!AG388,TTSSKĐ!AM388))=1)*(CHOOSE({1,2,3,4},TTSSKĐ!X388,TTSSKĐ!AD388,TTSSKĐ!AJ388,TTSSKĐ!AP388)))</f>
        <v>0</v>
      </c>
      <c r="B388">
        <f>SUMPRODUCT((MONTH(CHOOSE({1,2,3,4},TTSSKĐ!U388,TTSSKĐ!AA388,TTSSKĐ!AG388,TTSSKĐ!AM388))=2)*(CHOOSE({1,2,3,4},TTSSKĐ!X388,TTSSKĐ!AD388,TTSSKĐ!AJ388,TTSSKĐ!AP388)))</f>
        <v>0</v>
      </c>
      <c r="C388">
        <f>SUMPRODUCT((MONTH(CHOOSE({1,2,3,4},TTSSKĐ!U388,TTSSKĐ!AA388,TTSSKĐ!AG388,TTSSKĐ!AM388))=3)*(CHOOSE({1,2,3,4},TTSSKĐ!X388,TTSSKĐ!AD388,TTSSKĐ!AJ388,TTSSKĐ!AP388)))</f>
        <v>0</v>
      </c>
      <c r="D388">
        <f>SUMPRODUCT((MONTH(CHOOSE({1,2,3,4},TTSSKĐ!U388,TTSSKĐ!AA388,TTSSKĐ!AG388,TTSSKĐ!AM388))=4)*(CHOOSE({1,2,3,4},TTSSKĐ!X388,TTSSKĐ!AD388,TTSSKĐ!AJ388,TTSSKĐ!AP388)))</f>
        <v>0</v>
      </c>
      <c r="E388">
        <f>SUMPRODUCT((MONTH(CHOOSE({1,2,3,4},TTSSKĐ!U388,TTSSKĐ!AA388,TTSSKĐ!AG388,TTSSKĐ!AM388))=5)*(CHOOSE({1,2,3,4},TTSSKĐ!X388,TTSSKĐ!AD388,TTSSKĐ!AJ388,TTSSKĐ!AP388)))</f>
        <v>0</v>
      </c>
      <c r="F388">
        <f>SUMPRODUCT((MONTH(CHOOSE({1,2,3,4},TTSSKĐ!U388,TTSSKĐ!AA388,TTSSKĐ!AG388,TTSSKĐ!AM388))=6)*(CHOOSE({1,2,3,4},TTSSKĐ!X388,TTSSKĐ!AD388,TTSSKĐ!AJ388,TTSSKĐ!AP388)))</f>
        <v>0</v>
      </c>
      <c r="G388">
        <f>SUMPRODUCT((MONTH(CHOOSE({1,2,3,4},TTSSKĐ!U388,TTSSKĐ!AA388,TTSSKĐ!AG388,TTSSKĐ!AM388))=7)*(CHOOSE({1,2,3,4},TTSSKĐ!X388,TTSSKĐ!AD388,TTSSKĐ!AJ388,TTSSKĐ!AP388)))</f>
        <v>0</v>
      </c>
      <c r="H388">
        <f>SUMPRODUCT((MONTH(CHOOSE({1,2,3,4},TTSSKĐ!U388,TTSSKĐ!AA388,TTSSKĐ!AG388,TTSSKĐ!AM388))=8)*(CHOOSE({1,2,3,4},TTSSKĐ!X388,TTSSKĐ!AD388,TTSSKĐ!AJ388,TTSSKĐ!AP388)))</f>
        <v>0</v>
      </c>
      <c r="I388">
        <f>SUMPRODUCT((MONTH(CHOOSE({1,2,3,4},TTSSKĐ!U388,TTSSKĐ!AA388,TTSSKĐ!AG388,TTSSKĐ!AM388))=9)*(CHOOSE({1,2,3,4},TTSSKĐ!X388,TTSSKĐ!AD388,TTSSKĐ!AJ388,TTSSKĐ!AP388)))</f>
        <v>0</v>
      </c>
      <c r="J388">
        <f>SUMPRODUCT((MONTH(CHOOSE({1,2,3,4},TTSSKĐ!U388,TTSSKĐ!AA388,TTSSKĐ!AG388,TTSSKĐ!AM388))=10)*(CHOOSE({1,2,3,4},TTSSKĐ!X388,TTSSKĐ!AD388,TTSSKĐ!AJ388,TTSSKĐ!AP388)))</f>
        <v>0</v>
      </c>
      <c r="K388">
        <f>SUMPRODUCT((MONTH(CHOOSE({1,2,3,4},TTSSKĐ!U388,TTSSKĐ!AA388,TTSSKĐ!AG388,TTSSKĐ!AM388))=11)*(CHOOSE({1,2,3,4},TTSSKĐ!X388,TTSSKĐ!AD388,TTSSKĐ!AJ388,TTSSKĐ!AP388)))</f>
        <v>0</v>
      </c>
      <c r="L388">
        <f>SUMPRODUCT((MONTH(CHOOSE({1,2,3,4},TTSSKĐ!U388,TTSSKĐ!AA388,TTSSKĐ!AG388,TTSSKĐ!AM388))=12)*(CHOOSE({1,2,3,4},TTSSKĐ!X388,TTSSKĐ!AD388,TTSSKĐ!AJ388,TTSSKĐ!AP388)))</f>
        <v>0</v>
      </c>
    </row>
    <row r="389" spans="1:12">
      <c r="A389">
        <f>SUMPRODUCT((MONTH(CHOOSE({1,2,3,4},TTSSKĐ!U389,TTSSKĐ!AA389,TTSSKĐ!AG389,TTSSKĐ!AM389))=1)*(CHOOSE({1,2,3,4},TTSSKĐ!X389,TTSSKĐ!AD389,TTSSKĐ!AJ389,TTSSKĐ!AP389)))</f>
        <v>0</v>
      </c>
      <c r="B389">
        <f>SUMPRODUCT((MONTH(CHOOSE({1,2,3,4},TTSSKĐ!U389,TTSSKĐ!AA389,TTSSKĐ!AG389,TTSSKĐ!AM389))=2)*(CHOOSE({1,2,3,4},TTSSKĐ!X389,TTSSKĐ!AD389,TTSSKĐ!AJ389,TTSSKĐ!AP389)))</f>
        <v>0</v>
      </c>
      <c r="C389">
        <f>SUMPRODUCT((MONTH(CHOOSE({1,2,3,4},TTSSKĐ!U389,TTSSKĐ!AA389,TTSSKĐ!AG389,TTSSKĐ!AM389))=3)*(CHOOSE({1,2,3,4},TTSSKĐ!X389,TTSSKĐ!AD389,TTSSKĐ!AJ389,TTSSKĐ!AP389)))</f>
        <v>0</v>
      </c>
      <c r="D389">
        <f>SUMPRODUCT((MONTH(CHOOSE({1,2,3,4},TTSSKĐ!U389,TTSSKĐ!AA389,TTSSKĐ!AG389,TTSSKĐ!AM389))=4)*(CHOOSE({1,2,3,4},TTSSKĐ!X389,TTSSKĐ!AD389,TTSSKĐ!AJ389,TTSSKĐ!AP389)))</f>
        <v>0</v>
      </c>
      <c r="E389">
        <f>SUMPRODUCT((MONTH(CHOOSE({1,2,3,4},TTSSKĐ!U389,TTSSKĐ!AA389,TTSSKĐ!AG389,TTSSKĐ!AM389))=5)*(CHOOSE({1,2,3,4},TTSSKĐ!X389,TTSSKĐ!AD389,TTSSKĐ!AJ389,TTSSKĐ!AP389)))</f>
        <v>0</v>
      </c>
      <c r="F389">
        <f>SUMPRODUCT((MONTH(CHOOSE({1,2,3,4},TTSSKĐ!U389,TTSSKĐ!AA389,TTSSKĐ!AG389,TTSSKĐ!AM389))=6)*(CHOOSE({1,2,3,4},TTSSKĐ!X389,TTSSKĐ!AD389,TTSSKĐ!AJ389,TTSSKĐ!AP389)))</f>
        <v>0</v>
      </c>
      <c r="G389">
        <f>SUMPRODUCT((MONTH(CHOOSE({1,2,3,4},TTSSKĐ!U389,TTSSKĐ!AA389,TTSSKĐ!AG389,TTSSKĐ!AM389))=7)*(CHOOSE({1,2,3,4},TTSSKĐ!X389,TTSSKĐ!AD389,TTSSKĐ!AJ389,TTSSKĐ!AP389)))</f>
        <v>0</v>
      </c>
      <c r="H389">
        <f>SUMPRODUCT((MONTH(CHOOSE({1,2,3,4},TTSSKĐ!U389,TTSSKĐ!AA389,TTSSKĐ!AG389,TTSSKĐ!AM389))=8)*(CHOOSE({1,2,3,4},TTSSKĐ!X389,TTSSKĐ!AD389,TTSSKĐ!AJ389,TTSSKĐ!AP389)))</f>
        <v>0</v>
      </c>
      <c r="I389">
        <f>SUMPRODUCT((MONTH(CHOOSE({1,2,3,4},TTSSKĐ!U389,TTSSKĐ!AA389,TTSSKĐ!AG389,TTSSKĐ!AM389))=9)*(CHOOSE({1,2,3,4},TTSSKĐ!X389,TTSSKĐ!AD389,TTSSKĐ!AJ389,TTSSKĐ!AP389)))</f>
        <v>0</v>
      </c>
      <c r="J389">
        <f>SUMPRODUCT((MONTH(CHOOSE({1,2,3,4},TTSSKĐ!U389,TTSSKĐ!AA389,TTSSKĐ!AG389,TTSSKĐ!AM389))=10)*(CHOOSE({1,2,3,4},TTSSKĐ!X389,TTSSKĐ!AD389,TTSSKĐ!AJ389,TTSSKĐ!AP389)))</f>
        <v>0</v>
      </c>
      <c r="K389">
        <f>SUMPRODUCT((MONTH(CHOOSE({1,2,3,4},TTSSKĐ!U389,TTSSKĐ!AA389,TTSSKĐ!AG389,TTSSKĐ!AM389))=11)*(CHOOSE({1,2,3,4},TTSSKĐ!X389,TTSSKĐ!AD389,TTSSKĐ!AJ389,TTSSKĐ!AP389)))</f>
        <v>0</v>
      </c>
      <c r="L389">
        <f>SUMPRODUCT((MONTH(CHOOSE({1,2,3,4},TTSSKĐ!U389,TTSSKĐ!AA389,TTSSKĐ!AG389,TTSSKĐ!AM389))=12)*(CHOOSE({1,2,3,4},TTSSKĐ!X389,TTSSKĐ!AD389,TTSSKĐ!AJ389,TTSSKĐ!AP389)))</f>
        <v>0</v>
      </c>
    </row>
    <row r="390" spans="1:12">
      <c r="A390">
        <f>SUMPRODUCT((MONTH(CHOOSE({1,2,3,4},TTSSKĐ!U390,TTSSKĐ!AA390,TTSSKĐ!AG390,TTSSKĐ!AM390))=1)*(CHOOSE({1,2,3,4},TTSSKĐ!X390,TTSSKĐ!AD390,TTSSKĐ!AJ390,TTSSKĐ!AP390)))</f>
        <v>0</v>
      </c>
      <c r="B390">
        <f>SUMPRODUCT((MONTH(CHOOSE({1,2,3,4},TTSSKĐ!U390,TTSSKĐ!AA390,TTSSKĐ!AG390,TTSSKĐ!AM390))=2)*(CHOOSE({1,2,3,4},TTSSKĐ!X390,TTSSKĐ!AD390,TTSSKĐ!AJ390,TTSSKĐ!AP390)))</f>
        <v>0</v>
      </c>
      <c r="C390">
        <f>SUMPRODUCT((MONTH(CHOOSE({1,2,3,4},TTSSKĐ!U390,TTSSKĐ!AA390,TTSSKĐ!AG390,TTSSKĐ!AM390))=3)*(CHOOSE({1,2,3,4},TTSSKĐ!X390,TTSSKĐ!AD390,TTSSKĐ!AJ390,TTSSKĐ!AP390)))</f>
        <v>0</v>
      </c>
      <c r="D390">
        <f>SUMPRODUCT((MONTH(CHOOSE({1,2,3,4},TTSSKĐ!U390,TTSSKĐ!AA390,TTSSKĐ!AG390,TTSSKĐ!AM390))=4)*(CHOOSE({1,2,3,4},TTSSKĐ!X390,TTSSKĐ!AD390,TTSSKĐ!AJ390,TTSSKĐ!AP390)))</f>
        <v>0</v>
      </c>
      <c r="E390">
        <f>SUMPRODUCT((MONTH(CHOOSE({1,2,3,4},TTSSKĐ!U390,TTSSKĐ!AA390,TTSSKĐ!AG390,TTSSKĐ!AM390))=5)*(CHOOSE({1,2,3,4},TTSSKĐ!X390,TTSSKĐ!AD390,TTSSKĐ!AJ390,TTSSKĐ!AP390)))</f>
        <v>0</v>
      </c>
      <c r="F390">
        <f>SUMPRODUCT((MONTH(CHOOSE({1,2,3,4},TTSSKĐ!U390,TTSSKĐ!AA390,TTSSKĐ!AG390,TTSSKĐ!AM390))=6)*(CHOOSE({1,2,3,4},TTSSKĐ!X390,TTSSKĐ!AD390,TTSSKĐ!AJ390,TTSSKĐ!AP390)))</f>
        <v>0</v>
      </c>
      <c r="G390">
        <f>SUMPRODUCT((MONTH(CHOOSE({1,2,3,4},TTSSKĐ!U390,TTSSKĐ!AA390,TTSSKĐ!AG390,TTSSKĐ!AM390))=7)*(CHOOSE({1,2,3,4},TTSSKĐ!X390,TTSSKĐ!AD390,TTSSKĐ!AJ390,TTSSKĐ!AP390)))</f>
        <v>0</v>
      </c>
      <c r="H390">
        <f>SUMPRODUCT((MONTH(CHOOSE({1,2,3,4},TTSSKĐ!U390,TTSSKĐ!AA390,TTSSKĐ!AG390,TTSSKĐ!AM390))=8)*(CHOOSE({1,2,3,4},TTSSKĐ!X390,TTSSKĐ!AD390,TTSSKĐ!AJ390,TTSSKĐ!AP390)))</f>
        <v>0</v>
      </c>
      <c r="I390">
        <f>SUMPRODUCT((MONTH(CHOOSE({1,2,3,4},TTSSKĐ!U390,TTSSKĐ!AA390,TTSSKĐ!AG390,TTSSKĐ!AM390))=9)*(CHOOSE({1,2,3,4},TTSSKĐ!X390,TTSSKĐ!AD390,TTSSKĐ!AJ390,TTSSKĐ!AP390)))</f>
        <v>0</v>
      </c>
      <c r="J390">
        <f>SUMPRODUCT((MONTH(CHOOSE({1,2,3,4},TTSSKĐ!U390,TTSSKĐ!AA390,TTSSKĐ!AG390,TTSSKĐ!AM390))=10)*(CHOOSE({1,2,3,4},TTSSKĐ!X390,TTSSKĐ!AD390,TTSSKĐ!AJ390,TTSSKĐ!AP390)))</f>
        <v>0</v>
      </c>
      <c r="K390">
        <f>SUMPRODUCT((MONTH(CHOOSE({1,2,3,4},TTSSKĐ!U390,TTSSKĐ!AA390,TTSSKĐ!AG390,TTSSKĐ!AM390))=11)*(CHOOSE({1,2,3,4},TTSSKĐ!X390,TTSSKĐ!AD390,TTSSKĐ!AJ390,TTSSKĐ!AP390)))</f>
        <v>0</v>
      </c>
      <c r="L390">
        <f>SUMPRODUCT((MONTH(CHOOSE({1,2,3,4},TTSSKĐ!U390,TTSSKĐ!AA390,TTSSKĐ!AG390,TTSSKĐ!AM390))=12)*(CHOOSE({1,2,3,4},TTSSKĐ!X390,TTSSKĐ!AD390,TTSSKĐ!AJ390,TTSSKĐ!AP390)))</f>
        <v>0</v>
      </c>
    </row>
    <row r="391" spans="1:12">
      <c r="A391">
        <f>SUMPRODUCT((MONTH(CHOOSE({1,2,3,4},TTSSKĐ!U391,TTSSKĐ!AA391,TTSSKĐ!AG391,TTSSKĐ!AM391))=1)*(CHOOSE({1,2,3,4},TTSSKĐ!X391,TTSSKĐ!AD391,TTSSKĐ!AJ391,TTSSKĐ!AP391)))</f>
        <v>0</v>
      </c>
      <c r="B391">
        <f>SUMPRODUCT((MONTH(CHOOSE({1,2,3,4},TTSSKĐ!U391,TTSSKĐ!AA391,TTSSKĐ!AG391,TTSSKĐ!AM391))=2)*(CHOOSE({1,2,3,4},TTSSKĐ!X391,TTSSKĐ!AD391,TTSSKĐ!AJ391,TTSSKĐ!AP391)))</f>
        <v>0</v>
      </c>
      <c r="C391">
        <f>SUMPRODUCT((MONTH(CHOOSE({1,2,3,4},TTSSKĐ!U391,TTSSKĐ!AA391,TTSSKĐ!AG391,TTSSKĐ!AM391))=3)*(CHOOSE({1,2,3,4},TTSSKĐ!X391,TTSSKĐ!AD391,TTSSKĐ!AJ391,TTSSKĐ!AP391)))</f>
        <v>0</v>
      </c>
      <c r="D391">
        <f>SUMPRODUCT((MONTH(CHOOSE({1,2,3,4},TTSSKĐ!U391,TTSSKĐ!AA391,TTSSKĐ!AG391,TTSSKĐ!AM391))=4)*(CHOOSE({1,2,3,4},TTSSKĐ!X391,TTSSKĐ!AD391,TTSSKĐ!AJ391,TTSSKĐ!AP391)))</f>
        <v>0</v>
      </c>
      <c r="E391">
        <f>SUMPRODUCT((MONTH(CHOOSE({1,2,3,4},TTSSKĐ!U391,TTSSKĐ!AA391,TTSSKĐ!AG391,TTSSKĐ!AM391))=5)*(CHOOSE({1,2,3,4},TTSSKĐ!X391,TTSSKĐ!AD391,TTSSKĐ!AJ391,TTSSKĐ!AP391)))</f>
        <v>0</v>
      </c>
      <c r="F391">
        <f>SUMPRODUCT((MONTH(CHOOSE({1,2,3,4},TTSSKĐ!U391,TTSSKĐ!AA391,TTSSKĐ!AG391,TTSSKĐ!AM391))=6)*(CHOOSE({1,2,3,4},TTSSKĐ!X391,TTSSKĐ!AD391,TTSSKĐ!AJ391,TTSSKĐ!AP391)))</f>
        <v>0</v>
      </c>
      <c r="G391">
        <f>SUMPRODUCT((MONTH(CHOOSE({1,2,3,4},TTSSKĐ!U391,TTSSKĐ!AA391,TTSSKĐ!AG391,TTSSKĐ!AM391))=7)*(CHOOSE({1,2,3,4},TTSSKĐ!X391,TTSSKĐ!AD391,TTSSKĐ!AJ391,TTSSKĐ!AP391)))</f>
        <v>0</v>
      </c>
      <c r="H391">
        <f>SUMPRODUCT((MONTH(CHOOSE({1,2,3,4},TTSSKĐ!U391,TTSSKĐ!AA391,TTSSKĐ!AG391,TTSSKĐ!AM391))=8)*(CHOOSE({1,2,3,4},TTSSKĐ!X391,TTSSKĐ!AD391,TTSSKĐ!AJ391,TTSSKĐ!AP391)))</f>
        <v>0</v>
      </c>
      <c r="I391">
        <f>SUMPRODUCT((MONTH(CHOOSE({1,2,3,4},TTSSKĐ!U391,TTSSKĐ!AA391,TTSSKĐ!AG391,TTSSKĐ!AM391))=9)*(CHOOSE({1,2,3,4},TTSSKĐ!X391,TTSSKĐ!AD391,TTSSKĐ!AJ391,TTSSKĐ!AP391)))</f>
        <v>0</v>
      </c>
      <c r="J391">
        <f>SUMPRODUCT((MONTH(CHOOSE({1,2,3,4},TTSSKĐ!U391,TTSSKĐ!AA391,TTSSKĐ!AG391,TTSSKĐ!AM391))=10)*(CHOOSE({1,2,3,4},TTSSKĐ!X391,TTSSKĐ!AD391,TTSSKĐ!AJ391,TTSSKĐ!AP391)))</f>
        <v>0</v>
      </c>
      <c r="K391">
        <f>SUMPRODUCT((MONTH(CHOOSE({1,2,3,4},TTSSKĐ!U391,TTSSKĐ!AA391,TTSSKĐ!AG391,TTSSKĐ!AM391))=11)*(CHOOSE({1,2,3,4},TTSSKĐ!X391,TTSSKĐ!AD391,TTSSKĐ!AJ391,TTSSKĐ!AP391)))</f>
        <v>0</v>
      </c>
      <c r="L391">
        <f>SUMPRODUCT((MONTH(CHOOSE({1,2,3,4},TTSSKĐ!U391,TTSSKĐ!AA391,TTSSKĐ!AG391,TTSSKĐ!AM391))=12)*(CHOOSE({1,2,3,4},TTSSKĐ!X391,TTSSKĐ!AD391,TTSSKĐ!AJ391,TTSSKĐ!AP391)))</f>
        <v>0</v>
      </c>
    </row>
    <row r="392" spans="1:12">
      <c r="A392">
        <f>SUMPRODUCT((MONTH(CHOOSE({1,2,3,4},TTSSKĐ!U392,TTSSKĐ!AA392,TTSSKĐ!AG392,TTSSKĐ!AM392))=1)*(CHOOSE({1,2,3,4},TTSSKĐ!X392,TTSSKĐ!AD392,TTSSKĐ!AJ392,TTSSKĐ!AP392)))</f>
        <v>0</v>
      </c>
      <c r="B392">
        <f>SUMPRODUCT((MONTH(CHOOSE({1,2,3,4},TTSSKĐ!U392,TTSSKĐ!AA392,TTSSKĐ!AG392,TTSSKĐ!AM392))=2)*(CHOOSE({1,2,3,4},TTSSKĐ!X392,TTSSKĐ!AD392,TTSSKĐ!AJ392,TTSSKĐ!AP392)))</f>
        <v>0</v>
      </c>
      <c r="C392">
        <f>SUMPRODUCT((MONTH(CHOOSE({1,2,3,4},TTSSKĐ!U392,TTSSKĐ!AA392,TTSSKĐ!AG392,TTSSKĐ!AM392))=3)*(CHOOSE({1,2,3,4},TTSSKĐ!X392,TTSSKĐ!AD392,TTSSKĐ!AJ392,TTSSKĐ!AP392)))</f>
        <v>0</v>
      </c>
      <c r="D392">
        <f>SUMPRODUCT((MONTH(CHOOSE({1,2,3,4},TTSSKĐ!U392,TTSSKĐ!AA392,TTSSKĐ!AG392,TTSSKĐ!AM392))=4)*(CHOOSE({1,2,3,4},TTSSKĐ!X392,TTSSKĐ!AD392,TTSSKĐ!AJ392,TTSSKĐ!AP392)))</f>
        <v>0</v>
      </c>
      <c r="E392">
        <f>SUMPRODUCT((MONTH(CHOOSE({1,2,3,4},TTSSKĐ!U392,TTSSKĐ!AA392,TTSSKĐ!AG392,TTSSKĐ!AM392))=5)*(CHOOSE({1,2,3,4},TTSSKĐ!X392,TTSSKĐ!AD392,TTSSKĐ!AJ392,TTSSKĐ!AP392)))</f>
        <v>0</v>
      </c>
      <c r="F392">
        <f>SUMPRODUCT((MONTH(CHOOSE({1,2,3,4},TTSSKĐ!U392,TTSSKĐ!AA392,TTSSKĐ!AG392,TTSSKĐ!AM392))=6)*(CHOOSE({1,2,3,4},TTSSKĐ!X392,TTSSKĐ!AD392,TTSSKĐ!AJ392,TTSSKĐ!AP392)))</f>
        <v>0</v>
      </c>
      <c r="G392">
        <f>SUMPRODUCT((MONTH(CHOOSE({1,2,3,4},TTSSKĐ!U392,TTSSKĐ!AA392,TTSSKĐ!AG392,TTSSKĐ!AM392))=7)*(CHOOSE({1,2,3,4},TTSSKĐ!X392,TTSSKĐ!AD392,TTSSKĐ!AJ392,TTSSKĐ!AP392)))</f>
        <v>0</v>
      </c>
      <c r="H392">
        <f>SUMPRODUCT((MONTH(CHOOSE({1,2,3,4},TTSSKĐ!U392,TTSSKĐ!AA392,TTSSKĐ!AG392,TTSSKĐ!AM392))=8)*(CHOOSE({1,2,3,4},TTSSKĐ!X392,TTSSKĐ!AD392,TTSSKĐ!AJ392,TTSSKĐ!AP392)))</f>
        <v>0</v>
      </c>
      <c r="I392">
        <f>SUMPRODUCT((MONTH(CHOOSE({1,2,3,4},TTSSKĐ!U392,TTSSKĐ!AA392,TTSSKĐ!AG392,TTSSKĐ!AM392))=9)*(CHOOSE({1,2,3,4},TTSSKĐ!X392,TTSSKĐ!AD392,TTSSKĐ!AJ392,TTSSKĐ!AP392)))</f>
        <v>0</v>
      </c>
      <c r="J392">
        <f>SUMPRODUCT((MONTH(CHOOSE({1,2,3,4},TTSSKĐ!U392,TTSSKĐ!AA392,TTSSKĐ!AG392,TTSSKĐ!AM392))=10)*(CHOOSE({1,2,3,4},TTSSKĐ!X392,TTSSKĐ!AD392,TTSSKĐ!AJ392,TTSSKĐ!AP392)))</f>
        <v>0</v>
      </c>
      <c r="K392">
        <f>SUMPRODUCT((MONTH(CHOOSE({1,2,3,4},TTSSKĐ!U392,TTSSKĐ!AA392,TTSSKĐ!AG392,TTSSKĐ!AM392))=11)*(CHOOSE({1,2,3,4},TTSSKĐ!X392,TTSSKĐ!AD392,TTSSKĐ!AJ392,TTSSKĐ!AP392)))</f>
        <v>0</v>
      </c>
      <c r="L392">
        <f>SUMPRODUCT((MONTH(CHOOSE({1,2,3,4},TTSSKĐ!U392,TTSSKĐ!AA392,TTSSKĐ!AG392,TTSSKĐ!AM392))=12)*(CHOOSE({1,2,3,4},TTSSKĐ!X392,TTSSKĐ!AD392,TTSSKĐ!AJ392,TTSSKĐ!AP392)))</f>
        <v>0</v>
      </c>
    </row>
    <row r="393" spans="1:12">
      <c r="A393">
        <f>SUMPRODUCT((MONTH(CHOOSE({1,2,3,4},TTSSKĐ!U393,TTSSKĐ!AA393,TTSSKĐ!AG393,TTSSKĐ!AM393))=1)*(CHOOSE({1,2,3,4},TTSSKĐ!X393,TTSSKĐ!AD393,TTSSKĐ!AJ393,TTSSKĐ!AP393)))</f>
        <v>0</v>
      </c>
      <c r="B393">
        <f>SUMPRODUCT((MONTH(CHOOSE({1,2,3,4},TTSSKĐ!U393,TTSSKĐ!AA393,TTSSKĐ!AG393,TTSSKĐ!AM393))=2)*(CHOOSE({1,2,3,4},TTSSKĐ!X393,TTSSKĐ!AD393,TTSSKĐ!AJ393,TTSSKĐ!AP393)))</f>
        <v>0</v>
      </c>
      <c r="C393">
        <f>SUMPRODUCT((MONTH(CHOOSE({1,2,3,4},TTSSKĐ!U393,TTSSKĐ!AA393,TTSSKĐ!AG393,TTSSKĐ!AM393))=3)*(CHOOSE({1,2,3,4},TTSSKĐ!X393,TTSSKĐ!AD393,TTSSKĐ!AJ393,TTSSKĐ!AP393)))</f>
        <v>0</v>
      </c>
      <c r="D393">
        <f>SUMPRODUCT((MONTH(CHOOSE({1,2,3,4},TTSSKĐ!U393,TTSSKĐ!AA393,TTSSKĐ!AG393,TTSSKĐ!AM393))=4)*(CHOOSE({1,2,3,4},TTSSKĐ!X393,TTSSKĐ!AD393,TTSSKĐ!AJ393,TTSSKĐ!AP393)))</f>
        <v>0</v>
      </c>
      <c r="E393">
        <f>SUMPRODUCT((MONTH(CHOOSE({1,2,3,4},TTSSKĐ!U393,TTSSKĐ!AA393,TTSSKĐ!AG393,TTSSKĐ!AM393))=5)*(CHOOSE({1,2,3,4},TTSSKĐ!X393,TTSSKĐ!AD393,TTSSKĐ!AJ393,TTSSKĐ!AP393)))</f>
        <v>0</v>
      </c>
      <c r="F393">
        <f>SUMPRODUCT((MONTH(CHOOSE({1,2,3,4},TTSSKĐ!U393,TTSSKĐ!AA393,TTSSKĐ!AG393,TTSSKĐ!AM393))=6)*(CHOOSE({1,2,3,4},TTSSKĐ!X393,TTSSKĐ!AD393,TTSSKĐ!AJ393,TTSSKĐ!AP393)))</f>
        <v>0</v>
      </c>
      <c r="G393">
        <f>SUMPRODUCT((MONTH(CHOOSE({1,2,3,4},TTSSKĐ!U393,TTSSKĐ!AA393,TTSSKĐ!AG393,TTSSKĐ!AM393))=7)*(CHOOSE({1,2,3,4},TTSSKĐ!X393,TTSSKĐ!AD393,TTSSKĐ!AJ393,TTSSKĐ!AP393)))</f>
        <v>0</v>
      </c>
      <c r="H393">
        <f>SUMPRODUCT((MONTH(CHOOSE({1,2,3,4},TTSSKĐ!U393,TTSSKĐ!AA393,TTSSKĐ!AG393,TTSSKĐ!AM393))=8)*(CHOOSE({1,2,3,4},TTSSKĐ!X393,TTSSKĐ!AD393,TTSSKĐ!AJ393,TTSSKĐ!AP393)))</f>
        <v>0</v>
      </c>
      <c r="I393">
        <f>SUMPRODUCT((MONTH(CHOOSE({1,2,3,4},TTSSKĐ!U393,TTSSKĐ!AA393,TTSSKĐ!AG393,TTSSKĐ!AM393))=9)*(CHOOSE({1,2,3,4},TTSSKĐ!X393,TTSSKĐ!AD393,TTSSKĐ!AJ393,TTSSKĐ!AP393)))</f>
        <v>0</v>
      </c>
      <c r="J393">
        <f>SUMPRODUCT((MONTH(CHOOSE({1,2,3,4},TTSSKĐ!U393,TTSSKĐ!AA393,TTSSKĐ!AG393,TTSSKĐ!AM393))=10)*(CHOOSE({1,2,3,4},TTSSKĐ!X393,TTSSKĐ!AD393,TTSSKĐ!AJ393,TTSSKĐ!AP393)))</f>
        <v>0</v>
      </c>
      <c r="K393">
        <f>SUMPRODUCT((MONTH(CHOOSE({1,2,3,4},TTSSKĐ!U393,TTSSKĐ!AA393,TTSSKĐ!AG393,TTSSKĐ!AM393))=11)*(CHOOSE({1,2,3,4},TTSSKĐ!X393,TTSSKĐ!AD393,TTSSKĐ!AJ393,TTSSKĐ!AP393)))</f>
        <v>0</v>
      </c>
      <c r="L393">
        <f>SUMPRODUCT((MONTH(CHOOSE({1,2,3,4},TTSSKĐ!U393,TTSSKĐ!AA393,TTSSKĐ!AG393,TTSSKĐ!AM393))=12)*(CHOOSE({1,2,3,4},TTSSKĐ!X393,TTSSKĐ!AD393,TTSSKĐ!AJ393,TTSSKĐ!AP393)))</f>
        <v>0</v>
      </c>
    </row>
    <row r="394" spans="1:12">
      <c r="A394">
        <f>SUMPRODUCT((MONTH(CHOOSE({1,2,3,4},TTSSKĐ!U394,TTSSKĐ!AA394,TTSSKĐ!AG394,TTSSKĐ!AM394))=1)*(CHOOSE({1,2,3,4},TTSSKĐ!X394,TTSSKĐ!AD394,TTSSKĐ!AJ394,TTSSKĐ!AP394)))</f>
        <v>0</v>
      </c>
      <c r="B394">
        <f>SUMPRODUCT((MONTH(CHOOSE({1,2,3,4},TTSSKĐ!U394,TTSSKĐ!AA394,TTSSKĐ!AG394,TTSSKĐ!AM394))=2)*(CHOOSE({1,2,3,4},TTSSKĐ!X394,TTSSKĐ!AD394,TTSSKĐ!AJ394,TTSSKĐ!AP394)))</f>
        <v>0</v>
      </c>
      <c r="C394">
        <f>SUMPRODUCT((MONTH(CHOOSE({1,2,3,4},TTSSKĐ!U394,TTSSKĐ!AA394,TTSSKĐ!AG394,TTSSKĐ!AM394))=3)*(CHOOSE({1,2,3,4},TTSSKĐ!X394,TTSSKĐ!AD394,TTSSKĐ!AJ394,TTSSKĐ!AP394)))</f>
        <v>0</v>
      </c>
      <c r="D394">
        <f>SUMPRODUCT((MONTH(CHOOSE({1,2,3,4},TTSSKĐ!U394,TTSSKĐ!AA394,TTSSKĐ!AG394,TTSSKĐ!AM394))=4)*(CHOOSE({1,2,3,4},TTSSKĐ!X394,TTSSKĐ!AD394,TTSSKĐ!AJ394,TTSSKĐ!AP394)))</f>
        <v>0</v>
      </c>
      <c r="E394">
        <f>SUMPRODUCT((MONTH(CHOOSE({1,2,3,4},TTSSKĐ!U394,TTSSKĐ!AA394,TTSSKĐ!AG394,TTSSKĐ!AM394))=5)*(CHOOSE({1,2,3,4},TTSSKĐ!X394,TTSSKĐ!AD394,TTSSKĐ!AJ394,TTSSKĐ!AP394)))</f>
        <v>0</v>
      </c>
      <c r="F394">
        <f>SUMPRODUCT((MONTH(CHOOSE({1,2,3,4},TTSSKĐ!U394,TTSSKĐ!AA394,TTSSKĐ!AG394,TTSSKĐ!AM394))=6)*(CHOOSE({1,2,3,4},TTSSKĐ!X394,TTSSKĐ!AD394,TTSSKĐ!AJ394,TTSSKĐ!AP394)))</f>
        <v>0</v>
      </c>
      <c r="G394">
        <f>SUMPRODUCT((MONTH(CHOOSE({1,2,3,4},TTSSKĐ!U394,TTSSKĐ!AA394,TTSSKĐ!AG394,TTSSKĐ!AM394))=7)*(CHOOSE({1,2,3,4},TTSSKĐ!X394,TTSSKĐ!AD394,TTSSKĐ!AJ394,TTSSKĐ!AP394)))</f>
        <v>0</v>
      </c>
      <c r="H394">
        <f>SUMPRODUCT((MONTH(CHOOSE({1,2,3,4},TTSSKĐ!U394,TTSSKĐ!AA394,TTSSKĐ!AG394,TTSSKĐ!AM394))=8)*(CHOOSE({1,2,3,4},TTSSKĐ!X394,TTSSKĐ!AD394,TTSSKĐ!AJ394,TTSSKĐ!AP394)))</f>
        <v>0</v>
      </c>
      <c r="I394">
        <f>SUMPRODUCT((MONTH(CHOOSE({1,2,3,4},TTSSKĐ!U394,TTSSKĐ!AA394,TTSSKĐ!AG394,TTSSKĐ!AM394))=9)*(CHOOSE({1,2,3,4},TTSSKĐ!X394,TTSSKĐ!AD394,TTSSKĐ!AJ394,TTSSKĐ!AP394)))</f>
        <v>0</v>
      </c>
      <c r="J394">
        <f>SUMPRODUCT((MONTH(CHOOSE({1,2,3,4},TTSSKĐ!U394,TTSSKĐ!AA394,TTSSKĐ!AG394,TTSSKĐ!AM394))=10)*(CHOOSE({1,2,3,4},TTSSKĐ!X394,TTSSKĐ!AD394,TTSSKĐ!AJ394,TTSSKĐ!AP394)))</f>
        <v>0</v>
      </c>
      <c r="K394">
        <f>SUMPRODUCT((MONTH(CHOOSE({1,2,3,4},TTSSKĐ!U394,TTSSKĐ!AA394,TTSSKĐ!AG394,TTSSKĐ!AM394))=11)*(CHOOSE({1,2,3,4},TTSSKĐ!X394,TTSSKĐ!AD394,TTSSKĐ!AJ394,TTSSKĐ!AP394)))</f>
        <v>0</v>
      </c>
      <c r="L394">
        <f>SUMPRODUCT((MONTH(CHOOSE({1,2,3,4},TTSSKĐ!U394,TTSSKĐ!AA394,TTSSKĐ!AG394,TTSSKĐ!AM394))=12)*(CHOOSE({1,2,3,4},TTSSKĐ!X394,TTSSKĐ!AD394,TTSSKĐ!AJ394,TTSSKĐ!AP394)))</f>
        <v>0</v>
      </c>
    </row>
    <row r="395" spans="1:12">
      <c r="A395">
        <f>SUMPRODUCT((MONTH(CHOOSE({1,2,3,4},TTSSKĐ!U395,TTSSKĐ!AA395,TTSSKĐ!AG395,TTSSKĐ!AM395))=1)*(CHOOSE({1,2,3,4},TTSSKĐ!X395,TTSSKĐ!AD395,TTSSKĐ!AJ395,TTSSKĐ!AP395)))</f>
        <v>0</v>
      </c>
      <c r="B395">
        <f>SUMPRODUCT((MONTH(CHOOSE({1,2,3,4},TTSSKĐ!U395,TTSSKĐ!AA395,TTSSKĐ!AG395,TTSSKĐ!AM395))=2)*(CHOOSE({1,2,3,4},TTSSKĐ!X395,TTSSKĐ!AD395,TTSSKĐ!AJ395,TTSSKĐ!AP395)))</f>
        <v>0</v>
      </c>
      <c r="C395">
        <f>SUMPRODUCT((MONTH(CHOOSE({1,2,3,4},TTSSKĐ!U395,TTSSKĐ!AA395,TTSSKĐ!AG395,TTSSKĐ!AM395))=3)*(CHOOSE({1,2,3,4},TTSSKĐ!X395,TTSSKĐ!AD395,TTSSKĐ!AJ395,TTSSKĐ!AP395)))</f>
        <v>0</v>
      </c>
      <c r="D395">
        <f>SUMPRODUCT((MONTH(CHOOSE({1,2,3,4},TTSSKĐ!U395,TTSSKĐ!AA395,TTSSKĐ!AG395,TTSSKĐ!AM395))=4)*(CHOOSE({1,2,3,4},TTSSKĐ!X395,TTSSKĐ!AD395,TTSSKĐ!AJ395,TTSSKĐ!AP395)))</f>
        <v>0</v>
      </c>
      <c r="E395">
        <f>SUMPRODUCT((MONTH(CHOOSE({1,2,3,4},TTSSKĐ!U395,TTSSKĐ!AA395,TTSSKĐ!AG395,TTSSKĐ!AM395))=5)*(CHOOSE({1,2,3,4},TTSSKĐ!X395,TTSSKĐ!AD395,TTSSKĐ!AJ395,TTSSKĐ!AP395)))</f>
        <v>0</v>
      </c>
      <c r="F395">
        <f>SUMPRODUCT((MONTH(CHOOSE({1,2,3,4},TTSSKĐ!U395,TTSSKĐ!AA395,TTSSKĐ!AG395,TTSSKĐ!AM395))=6)*(CHOOSE({1,2,3,4},TTSSKĐ!X395,TTSSKĐ!AD395,TTSSKĐ!AJ395,TTSSKĐ!AP395)))</f>
        <v>0</v>
      </c>
      <c r="G395">
        <f>SUMPRODUCT((MONTH(CHOOSE({1,2,3,4},TTSSKĐ!U395,TTSSKĐ!AA395,TTSSKĐ!AG395,TTSSKĐ!AM395))=7)*(CHOOSE({1,2,3,4},TTSSKĐ!X395,TTSSKĐ!AD395,TTSSKĐ!AJ395,TTSSKĐ!AP395)))</f>
        <v>0</v>
      </c>
      <c r="H395">
        <f>SUMPRODUCT((MONTH(CHOOSE({1,2,3,4},TTSSKĐ!U395,TTSSKĐ!AA395,TTSSKĐ!AG395,TTSSKĐ!AM395))=8)*(CHOOSE({1,2,3,4},TTSSKĐ!X395,TTSSKĐ!AD395,TTSSKĐ!AJ395,TTSSKĐ!AP395)))</f>
        <v>0</v>
      </c>
      <c r="I395">
        <f>SUMPRODUCT((MONTH(CHOOSE({1,2,3,4},TTSSKĐ!U395,TTSSKĐ!AA395,TTSSKĐ!AG395,TTSSKĐ!AM395))=9)*(CHOOSE({1,2,3,4},TTSSKĐ!X395,TTSSKĐ!AD395,TTSSKĐ!AJ395,TTSSKĐ!AP395)))</f>
        <v>0</v>
      </c>
      <c r="J395">
        <f>SUMPRODUCT((MONTH(CHOOSE({1,2,3,4},TTSSKĐ!U395,TTSSKĐ!AA395,TTSSKĐ!AG395,TTSSKĐ!AM395))=10)*(CHOOSE({1,2,3,4},TTSSKĐ!X395,TTSSKĐ!AD395,TTSSKĐ!AJ395,TTSSKĐ!AP395)))</f>
        <v>0</v>
      </c>
      <c r="K395">
        <f>SUMPRODUCT((MONTH(CHOOSE({1,2,3,4},TTSSKĐ!U395,TTSSKĐ!AA395,TTSSKĐ!AG395,TTSSKĐ!AM395))=11)*(CHOOSE({1,2,3,4},TTSSKĐ!X395,TTSSKĐ!AD395,TTSSKĐ!AJ395,TTSSKĐ!AP395)))</f>
        <v>0</v>
      </c>
      <c r="L395">
        <f>SUMPRODUCT((MONTH(CHOOSE({1,2,3,4},TTSSKĐ!U395,TTSSKĐ!AA395,TTSSKĐ!AG395,TTSSKĐ!AM395))=12)*(CHOOSE({1,2,3,4},TTSSKĐ!X395,TTSSKĐ!AD395,TTSSKĐ!AJ395,TTSSKĐ!AP395)))</f>
        <v>0</v>
      </c>
    </row>
    <row r="396" spans="1:12">
      <c r="A396">
        <f>SUMPRODUCT((MONTH(CHOOSE({1,2,3,4},TTSSKĐ!U396,TTSSKĐ!AA396,TTSSKĐ!AG396,TTSSKĐ!AM396))=1)*(CHOOSE({1,2,3,4},TTSSKĐ!X396,TTSSKĐ!AD396,TTSSKĐ!AJ396,TTSSKĐ!AP396)))</f>
        <v>0</v>
      </c>
      <c r="B396">
        <f>SUMPRODUCT((MONTH(CHOOSE({1,2,3,4},TTSSKĐ!U396,TTSSKĐ!AA396,TTSSKĐ!AG396,TTSSKĐ!AM396))=2)*(CHOOSE({1,2,3,4},TTSSKĐ!X396,TTSSKĐ!AD396,TTSSKĐ!AJ396,TTSSKĐ!AP396)))</f>
        <v>0</v>
      </c>
      <c r="C396">
        <f>SUMPRODUCT((MONTH(CHOOSE({1,2,3,4},TTSSKĐ!U396,TTSSKĐ!AA396,TTSSKĐ!AG396,TTSSKĐ!AM396))=3)*(CHOOSE({1,2,3,4},TTSSKĐ!X396,TTSSKĐ!AD396,TTSSKĐ!AJ396,TTSSKĐ!AP396)))</f>
        <v>0</v>
      </c>
      <c r="D396">
        <f>SUMPRODUCT((MONTH(CHOOSE({1,2,3,4},TTSSKĐ!U396,TTSSKĐ!AA396,TTSSKĐ!AG396,TTSSKĐ!AM396))=4)*(CHOOSE({1,2,3,4},TTSSKĐ!X396,TTSSKĐ!AD396,TTSSKĐ!AJ396,TTSSKĐ!AP396)))</f>
        <v>0</v>
      </c>
      <c r="E396">
        <f>SUMPRODUCT((MONTH(CHOOSE({1,2,3,4},TTSSKĐ!U396,TTSSKĐ!AA396,TTSSKĐ!AG396,TTSSKĐ!AM396))=5)*(CHOOSE({1,2,3,4},TTSSKĐ!X396,TTSSKĐ!AD396,TTSSKĐ!AJ396,TTSSKĐ!AP396)))</f>
        <v>0</v>
      </c>
      <c r="F396">
        <f>SUMPRODUCT((MONTH(CHOOSE({1,2,3,4},TTSSKĐ!U396,TTSSKĐ!AA396,TTSSKĐ!AG396,TTSSKĐ!AM396))=6)*(CHOOSE({1,2,3,4},TTSSKĐ!X396,TTSSKĐ!AD396,TTSSKĐ!AJ396,TTSSKĐ!AP396)))</f>
        <v>0</v>
      </c>
      <c r="G396">
        <f>SUMPRODUCT((MONTH(CHOOSE({1,2,3,4},TTSSKĐ!U396,TTSSKĐ!AA396,TTSSKĐ!AG396,TTSSKĐ!AM396))=7)*(CHOOSE({1,2,3,4},TTSSKĐ!X396,TTSSKĐ!AD396,TTSSKĐ!AJ396,TTSSKĐ!AP396)))</f>
        <v>0</v>
      </c>
      <c r="H396">
        <f>SUMPRODUCT((MONTH(CHOOSE({1,2,3,4},TTSSKĐ!U396,TTSSKĐ!AA396,TTSSKĐ!AG396,TTSSKĐ!AM396))=8)*(CHOOSE({1,2,3,4},TTSSKĐ!X396,TTSSKĐ!AD396,TTSSKĐ!AJ396,TTSSKĐ!AP396)))</f>
        <v>0</v>
      </c>
      <c r="I396">
        <f>SUMPRODUCT((MONTH(CHOOSE({1,2,3,4},TTSSKĐ!U396,TTSSKĐ!AA396,TTSSKĐ!AG396,TTSSKĐ!AM396))=9)*(CHOOSE({1,2,3,4},TTSSKĐ!X396,TTSSKĐ!AD396,TTSSKĐ!AJ396,TTSSKĐ!AP396)))</f>
        <v>0</v>
      </c>
      <c r="J396">
        <f>SUMPRODUCT((MONTH(CHOOSE({1,2,3,4},TTSSKĐ!U396,TTSSKĐ!AA396,TTSSKĐ!AG396,TTSSKĐ!AM396))=10)*(CHOOSE({1,2,3,4},TTSSKĐ!X396,TTSSKĐ!AD396,TTSSKĐ!AJ396,TTSSKĐ!AP396)))</f>
        <v>0</v>
      </c>
      <c r="K396">
        <f>SUMPRODUCT((MONTH(CHOOSE({1,2,3,4},TTSSKĐ!U396,TTSSKĐ!AA396,TTSSKĐ!AG396,TTSSKĐ!AM396))=11)*(CHOOSE({1,2,3,4},TTSSKĐ!X396,TTSSKĐ!AD396,TTSSKĐ!AJ396,TTSSKĐ!AP396)))</f>
        <v>0</v>
      </c>
      <c r="L396">
        <f>SUMPRODUCT((MONTH(CHOOSE({1,2,3,4},TTSSKĐ!U396,TTSSKĐ!AA396,TTSSKĐ!AG396,TTSSKĐ!AM396))=12)*(CHOOSE({1,2,3,4},TTSSKĐ!X396,TTSSKĐ!AD396,TTSSKĐ!AJ396,TTSSKĐ!AP396)))</f>
        <v>0</v>
      </c>
    </row>
    <row r="397" spans="1:12">
      <c r="A397">
        <f>SUMPRODUCT((MONTH(CHOOSE({1,2,3,4},TTSSKĐ!U397,TTSSKĐ!AA397,TTSSKĐ!AG397,TTSSKĐ!AM397))=1)*(CHOOSE({1,2,3,4},TTSSKĐ!X397,TTSSKĐ!AD397,TTSSKĐ!AJ397,TTSSKĐ!AP397)))</f>
        <v>0</v>
      </c>
      <c r="B397">
        <f>SUMPRODUCT((MONTH(CHOOSE({1,2,3,4},TTSSKĐ!U397,TTSSKĐ!AA397,TTSSKĐ!AG397,TTSSKĐ!AM397))=2)*(CHOOSE({1,2,3,4},TTSSKĐ!X397,TTSSKĐ!AD397,TTSSKĐ!AJ397,TTSSKĐ!AP397)))</f>
        <v>0</v>
      </c>
      <c r="C397">
        <f>SUMPRODUCT((MONTH(CHOOSE({1,2,3,4},TTSSKĐ!U397,TTSSKĐ!AA397,TTSSKĐ!AG397,TTSSKĐ!AM397))=3)*(CHOOSE({1,2,3,4},TTSSKĐ!X397,TTSSKĐ!AD397,TTSSKĐ!AJ397,TTSSKĐ!AP397)))</f>
        <v>0</v>
      </c>
      <c r="D397">
        <f>SUMPRODUCT((MONTH(CHOOSE({1,2,3,4},TTSSKĐ!U397,TTSSKĐ!AA397,TTSSKĐ!AG397,TTSSKĐ!AM397))=4)*(CHOOSE({1,2,3,4},TTSSKĐ!X397,TTSSKĐ!AD397,TTSSKĐ!AJ397,TTSSKĐ!AP397)))</f>
        <v>0</v>
      </c>
      <c r="E397">
        <f>SUMPRODUCT((MONTH(CHOOSE({1,2,3,4},TTSSKĐ!U397,TTSSKĐ!AA397,TTSSKĐ!AG397,TTSSKĐ!AM397))=5)*(CHOOSE({1,2,3,4},TTSSKĐ!X397,TTSSKĐ!AD397,TTSSKĐ!AJ397,TTSSKĐ!AP397)))</f>
        <v>0</v>
      </c>
      <c r="F397">
        <f>SUMPRODUCT((MONTH(CHOOSE({1,2,3,4},TTSSKĐ!U397,TTSSKĐ!AA397,TTSSKĐ!AG397,TTSSKĐ!AM397))=6)*(CHOOSE({1,2,3,4},TTSSKĐ!X397,TTSSKĐ!AD397,TTSSKĐ!AJ397,TTSSKĐ!AP397)))</f>
        <v>0</v>
      </c>
      <c r="G397">
        <f>SUMPRODUCT((MONTH(CHOOSE({1,2,3,4},TTSSKĐ!U397,TTSSKĐ!AA397,TTSSKĐ!AG397,TTSSKĐ!AM397))=7)*(CHOOSE({1,2,3,4},TTSSKĐ!X397,TTSSKĐ!AD397,TTSSKĐ!AJ397,TTSSKĐ!AP397)))</f>
        <v>0</v>
      </c>
      <c r="H397">
        <f>SUMPRODUCT((MONTH(CHOOSE({1,2,3,4},TTSSKĐ!U397,TTSSKĐ!AA397,TTSSKĐ!AG397,TTSSKĐ!AM397))=8)*(CHOOSE({1,2,3,4},TTSSKĐ!X397,TTSSKĐ!AD397,TTSSKĐ!AJ397,TTSSKĐ!AP397)))</f>
        <v>0</v>
      </c>
      <c r="I397">
        <f>SUMPRODUCT((MONTH(CHOOSE({1,2,3,4},TTSSKĐ!U397,TTSSKĐ!AA397,TTSSKĐ!AG397,TTSSKĐ!AM397))=9)*(CHOOSE({1,2,3,4},TTSSKĐ!X397,TTSSKĐ!AD397,TTSSKĐ!AJ397,TTSSKĐ!AP397)))</f>
        <v>0</v>
      </c>
      <c r="J397">
        <f>SUMPRODUCT((MONTH(CHOOSE({1,2,3,4},TTSSKĐ!U397,TTSSKĐ!AA397,TTSSKĐ!AG397,TTSSKĐ!AM397))=10)*(CHOOSE({1,2,3,4},TTSSKĐ!X397,TTSSKĐ!AD397,TTSSKĐ!AJ397,TTSSKĐ!AP397)))</f>
        <v>0</v>
      </c>
      <c r="K397">
        <f>SUMPRODUCT((MONTH(CHOOSE({1,2,3,4},TTSSKĐ!U397,TTSSKĐ!AA397,TTSSKĐ!AG397,TTSSKĐ!AM397))=11)*(CHOOSE({1,2,3,4},TTSSKĐ!X397,TTSSKĐ!AD397,TTSSKĐ!AJ397,TTSSKĐ!AP397)))</f>
        <v>0</v>
      </c>
      <c r="L397">
        <f>SUMPRODUCT((MONTH(CHOOSE({1,2,3,4},TTSSKĐ!U397,TTSSKĐ!AA397,TTSSKĐ!AG397,TTSSKĐ!AM397))=12)*(CHOOSE({1,2,3,4},TTSSKĐ!X397,TTSSKĐ!AD397,TTSSKĐ!AJ397,TTSSKĐ!AP397)))</f>
        <v>0</v>
      </c>
    </row>
    <row r="398" spans="1:12">
      <c r="A398">
        <f>SUMPRODUCT((MONTH(CHOOSE({1,2,3,4},TTSSKĐ!U398,TTSSKĐ!AA398,TTSSKĐ!AG398,TTSSKĐ!AM398))=1)*(CHOOSE({1,2,3,4},TTSSKĐ!X398,TTSSKĐ!AD398,TTSSKĐ!AJ398,TTSSKĐ!AP398)))</f>
        <v>0</v>
      </c>
      <c r="B398">
        <f>SUMPRODUCT((MONTH(CHOOSE({1,2,3,4},TTSSKĐ!U398,TTSSKĐ!AA398,TTSSKĐ!AG398,TTSSKĐ!AM398))=2)*(CHOOSE({1,2,3,4},TTSSKĐ!X398,TTSSKĐ!AD398,TTSSKĐ!AJ398,TTSSKĐ!AP398)))</f>
        <v>0</v>
      </c>
      <c r="C398">
        <f>SUMPRODUCT((MONTH(CHOOSE({1,2,3,4},TTSSKĐ!U398,TTSSKĐ!AA398,TTSSKĐ!AG398,TTSSKĐ!AM398))=3)*(CHOOSE({1,2,3,4},TTSSKĐ!X398,TTSSKĐ!AD398,TTSSKĐ!AJ398,TTSSKĐ!AP398)))</f>
        <v>0</v>
      </c>
      <c r="D398">
        <f>SUMPRODUCT((MONTH(CHOOSE({1,2,3,4},TTSSKĐ!U398,TTSSKĐ!AA398,TTSSKĐ!AG398,TTSSKĐ!AM398))=4)*(CHOOSE({1,2,3,4},TTSSKĐ!X398,TTSSKĐ!AD398,TTSSKĐ!AJ398,TTSSKĐ!AP398)))</f>
        <v>0</v>
      </c>
      <c r="E398">
        <f>SUMPRODUCT((MONTH(CHOOSE({1,2,3,4},TTSSKĐ!U398,TTSSKĐ!AA398,TTSSKĐ!AG398,TTSSKĐ!AM398))=5)*(CHOOSE({1,2,3,4},TTSSKĐ!X398,TTSSKĐ!AD398,TTSSKĐ!AJ398,TTSSKĐ!AP398)))</f>
        <v>0</v>
      </c>
      <c r="F398">
        <f>SUMPRODUCT((MONTH(CHOOSE({1,2,3,4},TTSSKĐ!U398,TTSSKĐ!AA398,TTSSKĐ!AG398,TTSSKĐ!AM398))=6)*(CHOOSE({1,2,3,4},TTSSKĐ!X398,TTSSKĐ!AD398,TTSSKĐ!AJ398,TTSSKĐ!AP398)))</f>
        <v>0</v>
      </c>
      <c r="G398">
        <f>SUMPRODUCT((MONTH(CHOOSE({1,2,3,4},TTSSKĐ!U398,TTSSKĐ!AA398,TTSSKĐ!AG398,TTSSKĐ!AM398))=7)*(CHOOSE({1,2,3,4},TTSSKĐ!X398,TTSSKĐ!AD398,TTSSKĐ!AJ398,TTSSKĐ!AP398)))</f>
        <v>0</v>
      </c>
      <c r="H398">
        <f>SUMPRODUCT((MONTH(CHOOSE({1,2,3,4},TTSSKĐ!U398,TTSSKĐ!AA398,TTSSKĐ!AG398,TTSSKĐ!AM398))=8)*(CHOOSE({1,2,3,4},TTSSKĐ!X398,TTSSKĐ!AD398,TTSSKĐ!AJ398,TTSSKĐ!AP398)))</f>
        <v>0</v>
      </c>
      <c r="I398">
        <f>SUMPRODUCT((MONTH(CHOOSE({1,2,3,4},TTSSKĐ!U398,TTSSKĐ!AA398,TTSSKĐ!AG398,TTSSKĐ!AM398))=9)*(CHOOSE({1,2,3,4},TTSSKĐ!X398,TTSSKĐ!AD398,TTSSKĐ!AJ398,TTSSKĐ!AP398)))</f>
        <v>0</v>
      </c>
      <c r="J398">
        <f>SUMPRODUCT((MONTH(CHOOSE({1,2,3,4},TTSSKĐ!U398,TTSSKĐ!AA398,TTSSKĐ!AG398,TTSSKĐ!AM398))=10)*(CHOOSE({1,2,3,4},TTSSKĐ!X398,TTSSKĐ!AD398,TTSSKĐ!AJ398,TTSSKĐ!AP398)))</f>
        <v>0</v>
      </c>
      <c r="K398">
        <f>SUMPRODUCT((MONTH(CHOOSE({1,2,3,4},TTSSKĐ!U398,TTSSKĐ!AA398,TTSSKĐ!AG398,TTSSKĐ!AM398))=11)*(CHOOSE({1,2,3,4},TTSSKĐ!X398,TTSSKĐ!AD398,TTSSKĐ!AJ398,TTSSKĐ!AP398)))</f>
        <v>0</v>
      </c>
      <c r="L398">
        <f>SUMPRODUCT((MONTH(CHOOSE({1,2,3,4},TTSSKĐ!U398,TTSSKĐ!AA398,TTSSKĐ!AG398,TTSSKĐ!AM398))=12)*(CHOOSE({1,2,3,4},TTSSKĐ!X398,TTSSKĐ!AD398,TTSSKĐ!AJ398,TTSSKĐ!AP398)))</f>
        <v>0</v>
      </c>
    </row>
    <row r="399" spans="1:12">
      <c r="A399">
        <f>SUMPRODUCT((MONTH(CHOOSE({1,2,3,4},TTSSKĐ!U399,TTSSKĐ!AA399,TTSSKĐ!AG399,TTSSKĐ!AM399))=1)*(CHOOSE({1,2,3,4},TTSSKĐ!X399,TTSSKĐ!AD399,TTSSKĐ!AJ399,TTSSKĐ!AP399)))</f>
        <v>0</v>
      </c>
      <c r="B399">
        <f>SUMPRODUCT((MONTH(CHOOSE({1,2,3,4},TTSSKĐ!U399,TTSSKĐ!AA399,TTSSKĐ!AG399,TTSSKĐ!AM399))=2)*(CHOOSE({1,2,3,4},TTSSKĐ!X399,TTSSKĐ!AD399,TTSSKĐ!AJ399,TTSSKĐ!AP399)))</f>
        <v>0</v>
      </c>
      <c r="C399">
        <f>SUMPRODUCT((MONTH(CHOOSE({1,2,3,4},TTSSKĐ!U399,TTSSKĐ!AA399,TTSSKĐ!AG399,TTSSKĐ!AM399))=3)*(CHOOSE({1,2,3,4},TTSSKĐ!X399,TTSSKĐ!AD399,TTSSKĐ!AJ399,TTSSKĐ!AP399)))</f>
        <v>0</v>
      </c>
      <c r="D399">
        <f>SUMPRODUCT((MONTH(CHOOSE({1,2,3,4},TTSSKĐ!U399,TTSSKĐ!AA399,TTSSKĐ!AG399,TTSSKĐ!AM399))=4)*(CHOOSE({1,2,3,4},TTSSKĐ!X399,TTSSKĐ!AD399,TTSSKĐ!AJ399,TTSSKĐ!AP399)))</f>
        <v>0</v>
      </c>
      <c r="E399">
        <f>SUMPRODUCT((MONTH(CHOOSE({1,2,3,4},TTSSKĐ!U399,TTSSKĐ!AA399,TTSSKĐ!AG399,TTSSKĐ!AM399))=5)*(CHOOSE({1,2,3,4},TTSSKĐ!X399,TTSSKĐ!AD399,TTSSKĐ!AJ399,TTSSKĐ!AP399)))</f>
        <v>0</v>
      </c>
      <c r="F399">
        <f>SUMPRODUCT((MONTH(CHOOSE({1,2,3,4},TTSSKĐ!U399,TTSSKĐ!AA399,TTSSKĐ!AG399,TTSSKĐ!AM399))=6)*(CHOOSE({1,2,3,4},TTSSKĐ!X399,TTSSKĐ!AD399,TTSSKĐ!AJ399,TTSSKĐ!AP399)))</f>
        <v>0</v>
      </c>
      <c r="G399">
        <f>SUMPRODUCT((MONTH(CHOOSE({1,2,3,4},TTSSKĐ!U399,TTSSKĐ!AA399,TTSSKĐ!AG399,TTSSKĐ!AM399))=7)*(CHOOSE({1,2,3,4},TTSSKĐ!X399,TTSSKĐ!AD399,TTSSKĐ!AJ399,TTSSKĐ!AP399)))</f>
        <v>0</v>
      </c>
      <c r="H399">
        <f>SUMPRODUCT((MONTH(CHOOSE({1,2,3,4},TTSSKĐ!U399,TTSSKĐ!AA399,TTSSKĐ!AG399,TTSSKĐ!AM399))=8)*(CHOOSE({1,2,3,4},TTSSKĐ!X399,TTSSKĐ!AD399,TTSSKĐ!AJ399,TTSSKĐ!AP399)))</f>
        <v>0</v>
      </c>
      <c r="I399">
        <f>SUMPRODUCT((MONTH(CHOOSE({1,2,3,4},TTSSKĐ!U399,TTSSKĐ!AA399,TTSSKĐ!AG399,TTSSKĐ!AM399))=9)*(CHOOSE({1,2,3,4},TTSSKĐ!X399,TTSSKĐ!AD399,TTSSKĐ!AJ399,TTSSKĐ!AP399)))</f>
        <v>0</v>
      </c>
      <c r="J399">
        <f>SUMPRODUCT((MONTH(CHOOSE({1,2,3,4},TTSSKĐ!U399,TTSSKĐ!AA399,TTSSKĐ!AG399,TTSSKĐ!AM399))=10)*(CHOOSE({1,2,3,4},TTSSKĐ!X399,TTSSKĐ!AD399,TTSSKĐ!AJ399,TTSSKĐ!AP399)))</f>
        <v>0</v>
      </c>
      <c r="K399">
        <f>SUMPRODUCT((MONTH(CHOOSE({1,2,3,4},TTSSKĐ!U399,TTSSKĐ!AA399,TTSSKĐ!AG399,TTSSKĐ!AM399))=11)*(CHOOSE({1,2,3,4},TTSSKĐ!X399,TTSSKĐ!AD399,TTSSKĐ!AJ399,TTSSKĐ!AP399)))</f>
        <v>0</v>
      </c>
      <c r="L399">
        <f>SUMPRODUCT((MONTH(CHOOSE({1,2,3,4},TTSSKĐ!U399,TTSSKĐ!AA399,TTSSKĐ!AG399,TTSSKĐ!AM399))=12)*(CHOOSE({1,2,3,4},TTSSKĐ!X399,TTSSKĐ!AD399,TTSSKĐ!AJ399,TTSSKĐ!AP399)))</f>
        <v>0</v>
      </c>
    </row>
    <row r="400" spans="1:12">
      <c r="A400">
        <f>SUMPRODUCT((MONTH(CHOOSE({1,2,3,4},TTSSKĐ!U400,TTSSKĐ!AA400,TTSSKĐ!AG400,TTSSKĐ!AM400))=1)*(CHOOSE({1,2,3,4},TTSSKĐ!X400,TTSSKĐ!AD400,TTSSKĐ!AJ400,TTSSKĐ!AP400)))</f>
        <v>0</v>
      </c>
      <c r="B400">
        <f>SUMPRODUCT((MONTH(CHOOSE({1,2,3,4},TTSSKĐ!U400,TTSSKĐ!AA400,TTSSKĐ!AG400,TTSSKĐ!AM400))=2)*(CHOOSE({1,2,3,4},TTSSKĐ!X400,TTSSKĐ!AD400,TTSSKĐ!AJ400,TTSSKĐ!AP400)))</f>
        <v>0</v>
      </c>
      <c r="C400">
        <f>SUMPRODUCT((MONTH(CHOOSE({1,2,3,4},TTSSKĐ!U400,TTSSKĐ!AA400,TTSSKĐ!AG400,TTSSKĐ!AM400))=3)*(CHOOSE({1,2,3,4},TTSSKĐ!X400,TTSSKĐ!AD400,TTSSKĐ!AJ400,TTSSKĐ!AP400)))</f>
        <v>0</v>
      </c>
      <c r="D400">
        <f>SUMPRODUCT((MONTH(CHOOSE({1,2,3,4},TTSSKĐ!U400,TTSSKĐ!AA400,TTSSKĐ!AG400,TTSSKĐ!AM400))=4)*(CHOOSE({1,2,3,4},TTSSKĐ!X400,TTSSKĐ!AD400,TTSSKĐ!AJ400,TTSSKĐ!AP400)))</f>
        <v>0</v>
      </c>
      <c r="E400">
        <f>SUMPRODUCT((MONTH(CHOOSE({1,2,3,4},TTSSKĐ!U400,TTSSKĐ!AA400,TTSSKĐ!AG400,TTSSKĐ!AM400))=5)*(CHOOSE({1,2,3,4},TTSSKĐ!X400,TTSSKĐ!AD400,TTSSKĐ!AJ400,TTSSKĐ!AP400)))</f>
        <v>0</v>
      </c>
      <c r="F400">
        <f>SUMPRODUCT((MONTH(CHOOSE({1,2,3,4},TTSSKĐ!U400,TTSSKĐ!AA400,TTSSKĐ!AG400,TTSSKĐ!AM400))=6)*(CHOOSE({1,2,3,4},TTSSKĐ!X400,TTSSKĐ!AD400,TTSSKĐ!AJ400,TTSSKĐ!AP400)))</f>
        <v>0</v>
      </c>
      <c r="G400">
        <f>SUMPRODUCT((MONTH(CHOOSE({1,2,3,4},TTSSKĐ!U400,TTSSKĐ!AA400,TTSSKĐ!AG400,TTSSKĐ!AM400))=7)*(CHOOSE({1,2,3,4},TTSSKĐ!X400,TTSSKĐ!AD400,TTSSKĐ!AJ400,TTSSKĐ!AP400)))</f>
        <v>0</v>
      </c>
      <c r="H400">
        <f>SUMPRODUCT((MONTH(CHOOSE({1,2,3,4},TTSSKĐ!U400,TTSSKĐ!AA400,TTSSKĐ!AG400,TTSSKĐ!AM400))=8)*(CHOOSE({1,2,3,4},TTSSKĐ!X400,TTSSKĐ!AD400,TTSSKĐ!AJ400,TTSSKĐ!AP400)))</f>
        <v>0</v>
      </c>
      <c r="I400">
        <f>SUMPRODUCT((MONTH(CHOOSE({1,2,3,4},TTSSKĐ!U400,TTSSKĐ!AA400,TTSSKĐ!AG400,TTSSKĐ!AM400))=9)*(CHOOSE({1,2,3,4},TTSSKĐ!X400,TTSSKĐ!AD400,TTSSKĐ!AJ400,TTSSKĐ!AP400)))</f>
        <v>0</v>
      </c>
      <c r="J400">
        <f>SUMPRODUCT((MONTH(CHOOSE({1,2,3,4},TTSSKĐ!U400,TTSSKĐ!AA400,TTSSKĐ!AG400,TTSSKĐ!AM400))=10)*(CHOOSE({1,2,3,4},TTSSKĐ!X400,TTSSKĐ!AD400,TTSSKĐ!AJ400,TTSSKĐ!AP400)))</f>
        <v>0</v>
      </c>
      <c r="K400">
        <f>SUMPRODUCT((MONTH(CHOOSE({1,2,3,4},TTSSKĐ!U400,TTSSKĐ!AA400,TTSSKĐ!AG400,TTSSKĐ!AM400))=11)*(CHOOSE({1,2,3,4},TTSSKĐ!X400,TTSSKĐ!AD400,TTSSKĐ!AJ400,TTSSKĐ!AP400)))</f>
        <v>0</v>
      </c>
      <c r="L400">
        <f>SUMPRODUCT((MONTH(CHOOSE({1,2,3,4},TTSSKĐ!U400,TTSSKĐ!AA400,TTSSKĐ!AG400,TTSSKĐ!AM400))=12)*(CHOOSE({1,2,3,4},TTSSKĐ!X400,TTSSKĐ!AD400,TTSSKĐ!AJ400,TTSSKĐ!AP400)))</f>
        <v>0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2"/>
  <dimension ref="A1:L400"/>
  <sheetViews>
    <sheetView workbookViewId="0">
      <selection activeCell="J12" sqref="J12"/>
    </sheetView>
  </sheetViews>
  <sheetFormatPr defaultRowHeight="12.75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40" customFormat="1">
      <c r="A2" s="40">
        <f>SUM(A3:A444)</f>
        <v>0</v>
      </c>
      <c r="B2" s="40">
        <f t="shared" ref="B2:L2" si="1">SUM(B3:B444)</f>
        <v>0</v>
      </c>
      <c r="C2" s="40">
        <f t="shared" si="1"/>
        <v>0</v>
      </c>
      <c r="D2" s="40">
        <f t="shared" si="1"/>
        <v>0</v>
      </c>
      <c r="E2" s="40">
        <f t="shared" si="1"/>
        <v>0</v>
      </c>
      <c r="F2" s="40">
        <f t="shared" si="1"/>
        <v>0</v>
      </c>
      <c r="G2" s="40">
        <f t="shared" si="1"/>
        <v>0</v>
      </c>
      <c r="H2" s="40">
        <f t="shared" si="1"/>
        <v>0</v>
      </c>
      <c r="I2" s="40">
        <f t="shared" si="1"/>
        <v>0</v>
      </c>
      <c r="J2" s="40">
        <f t="shared" si="1"/>
        <v>0</v>
      </c>
      <c r="K2" s="40">
        <f t="shared" si="1"/>
        <v>0</v>
      </c>
      <c r="L2" s="40">
        <f t="shared" si="1"/>
        <v>0</v>
      </c>
    </row>
    <row r="3" spans="1:12" ht="15.75" customHeight="1">
      <c r="A3">
        <f>SUMPRODUCT((MONTH(CHOOSE({1,2,3,4},KHP!U3,KHP!AA3,KHP!AG3,KHP!AM3))=1)*(CHOOSE({1,2,3,4},KHP!X3,KHP!AD3,KHP!AJ3,KHP!AP3)))</f>
        <v>0</v>
      </c>
      <c r="B3">
        <f>SUMPRODUCT((MONTH(CHOOSE({1,2,3,4},KHP!U3,KHP!AA3,KHP!AG3,KHP!AM3))=2)*(CHOOSE({1,2,3,4},KHP!X3,KHP!AD3,KHP!AJ3,KHP!AP3)))</f>
        <v>0</v>
      </c>
      <c r="C3">
        <f>SUMPRODUCT((MONTH(CHOOSE({1,2,3,4},KHP!U3,KHP!AA3,KHP!AG3,KHP!AM3))=3)*(CHOOSE({1,2,3,4},KHP!X3,KHP!AD3,KHP!AJ3,KHP!AP3)))</f>
        <v>0</v>
      </c>
      <c r="D3">
        <f>SUMPRODUCT((MONTH(CHOOSE({1,2,3,4},KHP!U3,KHP!AA3,KHP!AG3,KHP!AM3))=4)*(CHOOSE({1,2,3,4},KHP!X3,KHP!AD3,KHP!AJ3,KHP!AP3)))</f>
        <v>0</v>
      </c>
      <c r="E3">
        <f>SUMPRODUCT((MONTH(CHOOSE({1,2,3,4},KHP!U3,KHP!AA3,KHP!AG3,KHP!AM3))=5)*(CHOOSE({1,2,3,4},KHP!X3,KHP!AD3,KHP!AJ3,KHP!AP3)))</f>
        <v>0</v>
      </c>
      <c r="F3">
        <f>SUMPRODUCT((MONTH(CHOOSE({1,2,3,4},KHP!U3,KHP!AA3,KHP!AG3,KHP!AM3))=6)*(CHOOSE({1,2,3,4},KHP!X3,KHP!AD3,KHP!AJ3,KHP!AP3)))</f>
        <v>0</v>
      </c>
      <c r="G3">
        <f>SUMPRODUCT((MONTH(CHOOSE({1,2,3,4},KHP!U3,KHP!AA3,KHP!AG3,KHP!AM3))=7)*(CHOOSE({1,2,3,4},KHP!X3,KHP!AD3,KHP!AJ3,KHP!AP3)))</f>
        <v>0</v>
      </c>
      <c r="H3">
        <f>SUMPRODUCT((MONTH(CHOOSE({1,2,3,4},KHP!U3,KHP!AA3,KHP!AG3,KHP!AM3))=8)*(CHOOSE({1,2,3,4},KHP!X3,KHP!AD3,KHP!AJ3,KHP!AP3)))</f>
        <v>0</v>
      </c>
      <c r="I3">
        <f>SUMPRODUCT((MONTH(CHOOSE({1,2,3,4},KHP!U3,KHP!AA3,KHP!AG3,KHP!AM3))=9)*(CHOOSE({1,2,3,4},KHP!X3,KHP!AD3,KHP!AJ3,KHP!AP3)))</f>
        <v>0</v>
      </c>
      <c r="J3">
        <f>SUMPRODUCT((MONTH(CHOOSE({1,2,3,4},KHP!U3,KHP!AA3,KHP!AG3,KHP!AM3))=10)*(CHOOSE({1,2,3,4},KHP!X3,KHP!AD3,KHP!AJ3,KHP!AP3)))</f>
        <v>0</v>
      </c>
      <c r="K3">
        <f>SUMPRODUCT((MONTH(CHOOSE({1,2,3,4},KHP!U3,KHP!AA3,KHP!AG3,KHP!AM3))=11)*(CHOOSE({1,2,3,4},KHP!X3,KHP!AD3,KHP!AJ3,KHP!AP3)))</f>
        <v>0</v>
      </c>
      <c r="L3">
        <f>SUMPRODUCT((MONTH(CHOOSE({1,2,3,4},KHP!U3,KHP!AA3,KHP!AG3,KHP!AM3))=12)*(CHOOSE({1,2,3,4},KHP!X3,KHP!AD3,KHP!AJ3,KHP!AP3)))</f>
        <v>0</v>
      </c>
    </row>
    <row r="4" spans="1:12">
      <c r="A4">
        <f>SUMPRODUCT((MONTH(CHOOSE({1,2,3,4},KHP!U4,KHP!AA4,KHP!AG4,KHP!AM4))=1)*(CHOOSE({1,2,3,4},KHP!X4,KHP!AD4,KHP!AJ4,KHP!AP4)))</f>
        <v>0</v>
      </c>
      <c r="B4">
        <f>SUMPRODUCT((MONTH(CHOOSE({1,2,3,4},KHP!U4,KHP!AA4,KHP!AG4,KHP!AM4))=2)*(CHOOSE({1,2,3,4},KHP!X4,KHP!AD4,KHP!AJ4,KHP!AP4)))</f>
        <v>0</v>
      </c>
      <c r="C4">
        <f>SUMPRODUCT((MONTH(CHOOSE({1,2,3,4},KHP!U4,KHP!AA4,KHP!AG4,KHP!AM4))=3)*(CHOOSE({1,2,3,4},KHP!X4,KHP!AD4,KHP!AJ4,KHP!AP4)))</f>
        <v>0</v>
      </c>
      <c r="D4">
        <f>SUMPRODUCT((MONTH(CHOOSE({1,2,3,4},KHP!U4,KHP!AA4,KHP!AG4,KHP!AM4))=4)*(CHOOSE({1,2,3,4},KHP!X4,KHP!AD4,KHP!AJ4,KHP!AP4)))</f>
        <v>0</v>
      </c>
      <c r="E4">
        <f>SUMPRODUCT((MONTH(CHOOSE({1,2,3,4},KHP!U4,KHP!AA4,KHP!AG4,KHP!AM4))=5)*(CHOOSE({1,2,3,4},KHP!X4,KHP!AD4,KHP!AJ4,KHP!AP4)))</f>
        <v>0</v>
      </c>
      <c r="F4">
        <f>SUMPRODUCT((MONTH(CHOOSE({1,2,3,4},KHP!U4,KHP!AA4,KHP!AG4,KHP!AM4))=6)*(CHOOSE({1,2,3,4},KHP!X4,KHP!AD4,KHP!AJ4,KHP!AP4)))</f>
        <v>0</v>
      </c>
      <c r="G4">
        <f>SUMPRODUCT((MONTH(CHOOSE({1,2,3,4},KHP!U4,KHP!AA4,KHP!AG4,KHP!AM4))=7)*(CHOOSE({1,2,3,4},KHP!X4,KHP!AD4,KHP!AJ4,KHP!AP4)))</f>
        <v>0</v>
      </c>
      <c r="H4">
        <f>SUMPRODUCT((MONTH(CHOOSE({1,2,3,4},KHP!U4,KHP!AA4,KHP!AG4,KHP!AM4))=8)*(CHOOSE({1,2,3,4},KHP!X4,KHP!AD4,KHP!AJ4,KHP!AP4)))</f>
        <v>0</v>
      </c>
      <c r="I4">
        <f>SUMPRODUCT((MONTH(CHOOSE({1,2,3,4},KHP!U4,KHP!AA4,KHP!AG4,KHP!AM4))=9)*(CHOOSE({1,2,3,4},KHP!X4,KHP!AD4,KHP!AJ4,KHP!AP4)))</f>
        <v>0</v>
      </c>
      <c r="J4">
        <f>SUMPRODUCT((MONTH(CHOOSE({1,2,3,4},KHP!U4,KHP!AA4,KHP!AG4,KHP!AM4))=10)*(CHOOSE({1,2,3,4},KHP!X4,KHP!AD4,KHP!AJ4,KHP!AP4)))</f>
        <v>0</v>
      </c>
      <c r="K4">
        <f>SUMPRODUCT((MONTH(CHOOSE({1,2,3,4},KHP!U4,KHP!AA4,KHP!AG4,KHP!AM4))=11)*(CHOOSE({1,2,3,4},KHP!X4,KHP!AD4,KHP!AJ4,KHP!AP4)))</f>
        <v>0</v>
      </c>
      <c r="L4">
        <f>SUMPRODUCT((MONTH(CHOOSE({1,2,3,4},KHP!U4,KHP!AA4,KHP!AG4,KHP!AM4))=12)*(CHOOSE({1,2,3,4},KHP!X4,KHP!AD4,KHP!AJ4,KHP!AP4)))</f>
        <v>0</v>
      </c>
    </row>
    <row r="5" spans="1:12">
      <c r="A5">
        <f>SUMPRODUCT((MONTH(CHOOSE({1,2,3,4},KHP!U5,KHP!AA5,KHP!AG5,KHP!AM5))=1)*(CHOOSE({1,2,3,4},KHP!X5,KHP!AD5,KHP!AJ5,KHP!AP5)))</f>
        <v>0</v>
      </c>
      <c r="B5">
        <f>SUMPRODUCT((MONTH(CHOOSE({1,2,3,4},KHP!U5,KHP!AA5,KHP!AG5,KHP!AM5))=2)*(CHOOSE({1,2,3,4},KHP!X5,KHP!AD5,KHP!AJ5,KHP!AP5)))</f>
        <v>0</v>
      </c>
      <c r="C5">
        <f>SUMPRODUCT((MONTH(CHOOSE({1,2,3,4},KHP!U5,KHP!AA5,KHP!AG5,KHP!AM5))=3)*(CHOOSE({1,2,3,4},KHP!X5,KHP!AD5,KHP!AJ5,KHP!AP5)))</f>
        <v>0</v>
      </c>
      <c r="D5">
        <f>SUMPRODUCT((MONTH(CHOOSE({1,2,3,4},KHP!U5,KHP!AA5,KHP!AG5,KHP!AM5))=4)*(CHOOSE({1,2,3,4},KHP!X5,KHP!AD5,KHP!AJ5,KHP!AP5)))</f>
        <v>0</v>
      </c>
      <c r="E5">
        <f>SUMPRODUCT((MONTH(CHOOSE({1,2,3,4},KHP!U5,KHP!AA5,KHP!AG5,KHP!AM5))=5)*(CHOOSE({1,2,3,4},KHP!X5,KHP!AD5,KHP!AJ5,KHP!AP5)))</f>
        <v>0</v>
      </c>
      <c r="F5">
        <f>SUMPRODUCT((MONTH(CHOOSE({1,2,3,4},KHP!U5,KHP!AA5,KHP!AG5,KHP!AM5))=6)*(CHOOSE({1,2,3,4},KHP!X5,KHP!AD5,KHP!AJ5,KHP!AP5)))</f>
        <v>0</v>
      </c>
      <c r="G5">
        <f>SUMPRODUCT((MONTH(CHOOSE({1,2,3,4},KHP!U5,KHP!AA5,KHP!AG5,KHP!AM5))=7)*(CHOOSE({1,2,3,4},KHP!X5,KHP!AD5,KHP!AJ5,KHP!AP5)))</f>
        <v>0</v>
      </c>
      <c r="H5">
        <f>SUMPRODUCT((MONTH(CHOOSE({1,2,3,4},KHP!U5,KHP!AA5,KHP!AG5,KHP!AM5))=8)*(CHOOSE({1,2,3,4},KHP!X5,KHP!AD5,KHP!AJ5,KHP!AP5)))</f>
        <v>0</v>
      </c>
      <c r="I5">
        <f>SUMPRODUCT((MONTH(CHOOSE({1,2,3,4},KHP!U5,KHP!AA5,KHP!AG5,KHP!AM5))=9)*(CHOOSE({1,2,3,4},KHP!X5,KHP!AD5,KHP!AJ5,KHP!AP5)))</f>
        <v>0</v>
      </c>
      <c r="J5">
        <f>SUMPRODUCT((MONTH(CHOOSE({1,2,3,4},KHP!U5,KHP!AA5,KHP!AG5,KHP!AM5))=10)*(CHOOSE({1,2,3,4},KHP!X5,KHP!AD5,KHP!AJ5,KHP!AP5)))</f>
        <v>0</v>
      </c>
      <c r="K5">
        <f>SUMPRODUCT((MONTH(CHOOSE({1,2,3,4},KHP!U5,KHP!AA5,KHP!AG5,KHP!AM5))=11)*(CHOOSE({1,2,3,4},KHP!X5,KHP!AD5,KHP!AJ5,KHP!AP5)))</f>
        <v>0</v>
      </c>
      <c r="L5">
        <f>SUMPRODUCT((MONTH(CHOOSE({1,2,3,4},KHP!U5,KHP!AA5,KHP!AG5,KHP!AM5))=12)*(CHOOSE({1,2,3,4},KHP!X5,KHP!AD5,KHP!AJ5,KHP!AP5)))</f>
        <v>0</v>
      </c>
    </row>
    <row r="6" spans="1:12">
      <c r="A6">
        <f>SUMPRODUCT((MONTH(CHOOSE({1,2,3,4},KHP!U6,KHP!AA6,KHP!AG6,KHP!AM6))=1)*(CHOOSE({1,2,3,4},KHP!X6,KHP!AD6,KHP!AJ6,KHP!AP6)))</f>
        <v>0</v>
      </c>
      <c r="B6">
        <f>SUMPRODUCT((MONTH(CHOOSE({1,2,3,4},KHP!U6,KHP!AA6,KHP!AG6,KHP!AM6))=2)*(CHOOSE({1,2,3,4},KHP!X6,KHP!AD6,KHP!AJ6,KHP!AP6)))</f>
        <v>0</v>
      </c>
      <c r="C6">
        <f>SUMPRODUCT((MONTH(CHOOSE({1,2,3,4},KHP!U6,KHP!AA6,KHP!AG6,KHP!AM6))=3)*(CHOOSE({1,2,3,4},KHP!X6,KHP!AD6,KHP!AJ6,KHP!AP6)))</f>
        <v>0</v>
      </c>
      <c r="D6">
        <f>SUMPRODUCT((MONTH(CHOOSE({1,2,3,4},KHP!U6,KHP!AA6,KHP!AG6,KHP!AM6))=4)*(CHOOSE({1,2,3,4},KHP!X6,KHP!AD6,KHP!AJ6,KHP!AP6)))</f>
        <v>0</v>
      </c>
      <c r="E6">
        <f>SUMPRODUCT((MONTH(CHOOSE({1,2,3,4},KHP!U6,KHP!AA6,KHP!AG6,KHP!AM6))=5)*(CHOOSE({1,2,3,4},KHP!X6,KHP!AD6,KHP!AJ6,KHP!AP6)))</f>
        <v>0</v>
      </c>
      <c r="F6">
        <f>SUMPRODUCT((MONTH(CHOOSE({1,2,3,4},KHP!U6,KHP!AA6,KHP!AG6,KHP!AM6))=6)*(CHOOSE({1,2,3,4},KHP!X6,KHP!AD6,KHP!AJ6,KHP!AP6)))</f>
        <v>0</v>
      </c>
      <c r="G6">
        <f>SUMPRODUCT((MONTH(CHOOSE({1,2,3,4},KHP!U6,KHP!AA6,KHP!AG6,KHP!AM6))=7)*(CHOOSE({1,2,3,4},KHP!X6,KHP!AD6,KHP!AJ6,KHP!AP6)))</f>
        <v>0</v>
      </c>
      <c r="H6">
        <f>SUMPRODUCT((MONTH(CHOOSE({1,2,3,4},KHP!U6,KHP!AA6,KHP!AG6,KHP!AM6))=8)*(CHOOSE({1,2,3,4},KHP!X6,KHP!AD6,KHP!AJ6,KHP!AP6)))</f>
        <v>0</v>
      </c>
      <c r="I6">
        <f>SUMPRODUCT((MONTH(CHOOSE({1,2,3,4},KHP!U6,KHP!AA6,KHP!AG6,KHP!AM6))=9)*(CHOOSE({1,2,3,4},KHP!X6,KHP!AD6,KHP!AJ6,KHP!AP6)))</f>
        <v>0</v>
      </c>
      <c r="J6">
        <f>SUMPRODUCT((MONTH(CHOOSE({1,2,3,4},KHP!U6,KHP!AA6,KHP!AG6,KHP!AM6))=10)*(CHOOSE({1,2,3,4},KHP!X6,KHP!AD6,KHP!AJ6,KHP!AP6)))</f>
        <v>0</v>
      </c>
      <c r="K6">
        <f>SUMPRODUCT((MONTH(CHOOSE({1,2,3,4},KHP!U6,KHP!AA6,KHP!AG6,KHP!AM6))=11)*(CHOOSE({1,2,3,4},KHP!X6,KHP!AD6,KHP!AJ6,KHP!AP6)))</f>
        <v>0</v>
      </c>
      <c r="L6">
        <f>SUMPRODUCT((MONTH(CHOOSE({1,2,3,4},KHP!U6,KHP!AA6,KHP!AG6,KHP!AM6))=12)*(CHOOSE({1,2,3,4},KHP!X6,KHP!AD6,KHP!AJ6,KHP!AP6)))</f>
        <v>0</v>
      </c>
    </row>
    <row r="7" spans="1:12">
      <c r="A7">
        <f>SUMPRODUCT((MONTH(CHOOSE({1,2,3,4},KHP!U7,KHP!AA7,KHP!AG7,KHP!AM7))=1)*(CHOOSE({1,2,3,4},KHP!X7,KHP!AD7,KHP!AJ7,KHP!AP7)))</f>
        <v>0</v>
      </c>
      <c r="B7">
        <f>SUMPRODUCT((MONTH(CHOOSE({1,2,3,4},KHP!U7,KHP!AA7,KHP!AG7,KHP!AM7))=2)*(CHOOSE({1,2,3,4},KHP!X7,KHP!AD7,KHP!AJ7,KHP!AP7)))</f>
        <v>0</v>
      </c>
      <c r="C7">
        <f>SUMPRODUCT((MONTH(CHOOSE({1,2,3,4},KHP!U7,KHP!AA7,KHP!AG7,KHP!AM7))=3)*(CHOOSE({1,2,3,4},KHP!X7,KHP!AD7,KHP!AJ7,KHP!AP7)))</f>
        <v>0</v>
      </c>
      <c r="D7">
        <f>SUMPRODUCT((MONTH(CHOOSE({1,2,3,4},KHP!U7,KHP!AA7,KHP!AG7,KHP!AM7))=4)*(CHOOSE({1,2,3,4},KHP!X7,KHP!AD7,KHP!AJ7,KHP!AP7)))</f>
        <v>0</v>
      </c>
      <c r="E7">
        <f>SUMPRODUCT((MONTH(CHOOSE({1,2,3,4},KHP!U7,KHP!AA7,KHP!AG7,KHP!AM7))=5)*(CHOOSE({1,2,3,4},KHP!X7,KHP!AD7,KHP!AJ7,KHP!AP7)))</f>
        <v>0</v>
      </c>
      <c r="F7">
        <f>SUMPRODUCT((MONTH(CHOOSE({1,2,3,4},KHP!U7,KHP!AA7,KHP!AG7,KHP!AM7))=6)*(CHOOSE({1,2,3,4},KHP!X7,KHP!AD7,KHP!AJ7,KHP!AP7)))</f>
        <v>0</v>
      </c>
      <c r="G7">
        <f>SUMPRODUCT((MONTH(CHOOSE({1,2,3,4},KHP!U7,KHP!AA7,KHP!AG7,KHP!AM7))=7)*(CHOOSE({1,2,3,4},KHP!X7,KHP!AD7,KHP!AJ7,KHP!AP7)))</f>
        <v>0</v>
      </c>
      <c r="H7">
        <f>SUMPRODUCT((MONTH(CHOOSE({1,2,3,4},KHP!U7,KHP!AA7,KHP!AG7,KHP!AM7))=8)*(CHOOSE({1,2,3,4},KHP!X7,KHP!AD7,KHP!AJ7,KHP!AP7)))</f>
        <v>0</v>
      </c>
      <c r="I7">
        <f>SUMPRODUCT((MONTH(CHOOSE({1,2,3,4},KHP!U7,KHP!AA7,KHP!AG7,KHP!AM7))=9)*(CHOOSE({1,2,3,4},KHP!X7,KHP!AD7,KHP!AJ7,KHP!AP7)))</f>
        <v>0</v>
      </c>
      <c r="J7">
        <f>SUMPRODUCT((MONTH(CHOOSE({1,2,3,4},KHP!U7,KHP!AA7,KHP!AG7,KHP!AM7))=10)*(CHOOSE({1,2,3,4},KHP!X7,KHP!AD7,KHP!AJ7,KHP!AP7)))</f>
        <v>0</v>
      </c>
      <c r="K7">
        <f>SUMPRODUCT((MONTH(CHOOSE({1,2,3,4},KHP!U7,KHP!AA7,KHP!AG7,KHP!AM7))=11)*(CHOOSE({1,2,3,4},KHP!X7,KHP!AD7,KHP!AJ7,KHP!AP7)))</f>
        <v>0</v>
      </c>
      <c r="L7">
        <f>SUMPRODUCT((MONTH(CHOOSE({1,2,3,4},KHP!U7,KHP!AA7,KHP!AG7,KHP!AM7))=12)*(CHOOSE({1,2,3,4},KHP!X7,KHP!AD7,KHP!AJ7,KHP!AP7)))</f>
        <v>0</v>
      </c>
    </row>
    <row r="8" spans="1:12">
      <c r="A8">
        <f>SUMPRODUCT((MONTH(CHOOSE({1,2,3,4},KHP!U8,KHP!AA8,KHP!AG8,KHP!AM8))=1)*(CHOOSE({1,2,3,4},KHP!X8,KHP!AD8,KHP!AJ8,KHP!AP8)))</f>
        <v>0</v>
      </c>
      <c r="B8">
        <f>SUMPRODUCT((MONTH(CHOOSE({1,2,3,4},KHP!U8,KHP!AA8,KHP!AG8,KHP!AM8))=2)*(CHOOSE({1,2,3,4},KHP!X8,KHP!AD8,KHP!AJ8,KHP!AP8)))</f>
        <v>0</v>
      </c>
      <c r="C8">
        <f>SUMPRODUCT((MONTH(CHOOSE({1,2,3,4},KHP!U8,KHP!AA8,KHP!AG8,KHP!AM8))=3)*(CHOOSE({1,2,3,4},KHP!X8,KHP!AD8,KHP!AJ8,KHP!AP8)))</f>
        <v>0</v>
      </c>
      <c r="D8">
        <f>SUMPRODUCT((MONTH(CHOOSE({1,2,3,4},KHP!U8,KHP!AA8,KHP!AG8,KHP!AM8))=4)*(CHOOSE({1,2,3,4},KHP!X8,KHP!AD8,KHP!AJ8,KHP!AP8)))</f>
        <v>0</v>
      </c>
      <c r="E8">
        <f>SUMPRODUCT((MONTH(CHOOSE({1,2,3,4},KHP!U8,KHP!AA8,KHP!AG8,KHP!AM8))=5)*(CHOOSE({1,2,3,4},KHP!X8,KHP!AD8,KHP!AJ8,KHP!AP8)))</f>
        <v>0</v>
      </c>
      <c r="F8">
        <f>SUMPRODUCT((MONTH(CHOOSE({1,2,3,4},KHP!U8,KHP!AA8,KHP!AG8,KHP!AM8))=6)*(CHOOSE({1,2,3,4},KHP!X8,KHP!AD8,KHP!AJ8,KHP!AP8)))</f>
        <v>0</v>
      </c>
      <c r="G8">
        <f>SUMPRODUCT((MONTH(CHOOSE({1,2,3,4},KHP!U8,KHP!AA8,KHP!AG8,KHP!AM8))=7)*(CHOOSE({1,2,3,4},KHP!X8,KHP!AD8,KHP!AJ8,KHP!AP8)))</f>
        <v>0</v>
      </c>
      <c r="H8">
        <f>SUMPRODUCT((MONTH(CHOOSE({1,2,3,4},KHP!U8,KHP!AA8,KHP!AG8,KHP!AM8))=8)*(CHOOSE({1,2,3,4},KHP!X8,KHP!AD8,KHP!AJ8,KHP!AP8)))</f>
        <v>0</v>
      </c>
      <c r="I8">
        <f>SUMPRODUCT((MONTH(CHOOSE({1,2,3,4},KHP!U8,KHP!AA8,KHP!AG8,KHP!AM8))=9)*(CHOOSE({1,2,3,4},KHP!X8,KHP!AD8,KHP!AJ8,KHP!AP8)))</f>
        <v>0</v>
      </c>
      <c r="J8">
        <f>SUMPRODUCT((MONTH(CHOOSE({1,2,3,4},KHP!U8,KHP!AA8,KHP!AG8,KHP!AM8))=10)*(CHOOSE({1,2,3,4},KHP!X8,KHP!AD8,KHP!AJ8,KHP!AP8)))</f>
        <v>0</v>
      </c>
      <c r="K8">
        <f>SUMPRODUCT((MONTH(CHOOSE({1,2,3,4},KHP!U8,KHP!AA8,KHP!AG8,KHP!AM8))=11)*(CHOOSE({1,2,3,4},KHP!X8,KHP!AD8,KHP!AJ8,KHP!AP8)))</f>
        <v>0</v>
      </c>
      <c r="L8">
        <f>SUMPRODUCT((MONTH(CHOOSE({1,2,3,4},KHP!U8,KHP!AA8,KHP!AG8,KHP!AM8))=12)*(CHOOSE({1,2,3,4},KHP!X8,KHP!AD8,KHP!AJ8,KHP!AP8)))</f>
        <v>0</v>
      </c>
    </row>
    <row r="9" spans="1:12">
      <c r="A9">
        <f>SUMPRODUCT((MONTH(CHOOSE({1,2,3,4},KHP!U9,KHP!AA9,KHP!AG9,KHP!AM9))=1)*(CHOOSE({1,2,3,4},KHP!X9,KHP!AD9,KHP!AJ9,KHP!AP9)))</f>
        <v>0</v>
      </c>
      <c r="B9">
        <f>SUMPRODUCT((MONTH(CHOOSE({1,2,3,4},KHP!U9,KHP!AA9,KHP!AG9,KHP!AM9))=2)*(CHOOSE({1,2,3,4},KHP!X9,KHP!AD9,KHP!AJ9,KHP!AP9)))</f>
        <v>0</v>
      </c>
      <c r="C9">
        <f>SUMPRODUCT((MONTH(CHOOSE({1,2,3,4},KHP!U9,KHP!AA9,KHP!AG9,KHP!AM9))=3)*(CHOOSE({1,2,3,4},KHP!X9,KHP!AD9,KHP!AJ9,KHP!AP9)))</f>
        <v>0</v>
      </c>
      <c r="D9">
        <f>SUMPRODUCT((MONTH(CHOOSE({1,2,3,4},KHP!U9,KHP!AA9,KHP!AG9,KHP!AM9))=4)*(CHOOSE({1,2,3,4},KHP!X9,KHP!AD9,KHP!AJ9,KHP!AP9)))</f>
        <v>0</v>
      </c>
      <c r="E9">
        <f>SUMPRODUCT((MONTH(CHOOSE({1,2,3,4},KHP!U9,KHP!AA9,KHP!AG9,KHP!AM9))=5)*(CHOOSE({1,2,3,4},KHP!X9,KHP!AD9,KHP!AJ9,KHP!AP9)))</f>
        <v>0</v>
      </c>
      <c r="F9">
        <f>SUMPRODUCT((MONTH(CHOOSE({1,2,3,4},KHP!U9,KHP!AA9,KHP!AG9,KHP!AM9))=6)*(CHOOSE({1,2,3,4},KHP!X9,KHP!AD9,KHP!AJ9,KHP!AP9)))</f>
        <v>0</v>
      </c>
      <c r="G9">
        <f>SUMPRODUCT((MONTH(CHOOSE({1,2,3,4},KHP!U9,KHP!AA9,KHP!AG9,KHP!AM9))=7)*(CHOOSE({1,2,3,4},KHP!X9,KHP!AD9,KHP!AJ9,KHP!AP9)))</f>
        <v>0</v>
      </c>
      <c r="H9">
        <f>SUMPRODUCT((MONTH(CHOOSE({1,2,3,4},KHP!U9,KHP!AA9,KHP!AG9,KHP!AM9))=8)*(CHOOSE({1,2,3,4},KHP!X9,KHP!AD9,KHP!AJ9,KHP!AP9)))</f>
        <v>0</v>
      </c>
      <c r="I9">
        <f>SUMPRODUCT((MONTH(CHOOSE({1,2,3,4},KHP!U9,KHP!AA9,KHP!AG9,KHP!AM9))=9)*(CHOOSE({1,2,3,4},KHP!X9,KHP!AD9,KHP!AJ9,KHP!AP9)))</f>
        <v>0</v>
      </c>
      <c r="J9">
        <f>SUMPRODUCT((MONTH(CHOOSE({1,2,3,4},KHP!U9,KHP!AA9,KHP!AG9,KHP!AM9))=10)*(CHOOSE({1,2,3,4},KHP!X9,KHP!AD9,KHP!AJ9,KHP!AP9)))</f>
        <v>0</v>
      </c>
      <c r="K9">
        <f>SUMPRODUCT((MONTH(CHOOSE({1,2,3,4},KHP!U9,KHP!AA9,KHP!AG9,KHP!AM9))=11)*(CHOOSE({1,2,3,4},KHP!X9,KHP!AD9,KHP!AJ9,KHP!AP9)))</f>
        <v>0</v>
      </c>
      <c r="L9">
        <f>SUMPRODUCT((MONTH(CHOOSE({1,2,3,4},KHP!U9,KHP!AA9,KHP!AG9,KHP!AM9))=12)*(CHOOSE({1,2,3,4},KHP!X9,KHP!AD9,KHP!AJ9,KHP!AP9)))</f>
        <v>0</v>
      </c>
    </row>
    <row r="10" spans="1:12">
      <c r="A10">
        <f>SUMPRODUCT((MONTH(CHOOSE({1,2,3,4},KHP!U10,KHP!AA10,KHP!AG10,KHP!AM10))=1)*(CHOOSE({1,2,3,4},KHP!X10,KHP!AD10,KHP!AJ10,KHP!AP10)))</f>
        <v>0</v>
      </c>
      <c r="B10">
        <f>SUMPRODUCT((MONTH(CHOOSE({1,2,3,4},KHP!U10,KHP!AA10,KHP!AG10,KHP!AM10))=2)*(CHOOSE({1,2,3,4},KHP!X10,KHP!AD10,KHP!AJ10,KHP!AP10)))</f>
        <v>0</v>
      </c>
      <c r="C10">
        <f>SUMPRODUCT((MONTH(CHOOSE({1,2,3,4},KHP!U10,KHP!AA10,KHP!AG10,KHP!AM10))=3)*(CHOOSE({1,2,3,4},KHP!X10,KHP!AD10,KHP!AJ10,KHP!AP10)))</f>
        <v>0</v>
      </c>
      <c r="D10">
        <f>SUMPRODUCT((MONTH(CHOOSE({1,2,3,4},KHP!U10,KHP!AA10,KHP!AG10,KHP!AM10))=4)*(CHOOSE({1,2,3,4},KHP!X10,KHP!AD10,KHP!AJ10,KHP!AP10)))</f>
        <v>0</v>
      </c>
      <c r="E10">
        <f>SUMPRODUCT((MONTH(CHOOSE({1,2,3,4},KHP!U10,KHP!AA10,KHP!AG10,KHP!AM10))=5)*(CHOOSE({1,2,3,4},KHP!X10,KHP!AD10,KHP!AJ10,KHP!AP10)))</f>
        <v>0</v>
      </c>
      <c r="F10">
        <f>SUMPRODUCT((MONTH(CHOOSE({1,2,3,4},KHP!U10,KHP!AA10,KHP!AG10,KHP!AM10))=6)*(CHOOSE({1,2,3,4},KHP!X10,KHP!AD10,KHP!AJ10,KHP!AP10)))</f>
        <v>0</v>
      </c>
      <c r="G10">
        <f>SUMPRODUCT((MONTH(CHOOSE({1,2,3,4},KHP!U10,KHP!AA10,KHP!AG10,KHP!AM10))=7)*(CHOOSE({1,2,3,4},KHP!X10,KHP!AD10,KHP!AJ10,KHP!AP10)))</f>
        <v>0</v>
      </c>
      <c r="H10">
        <f>SUMPRODUCT((MONTH(CHOOSE({1,2,3,4},KHP!U10,KHP!AA10,KHP!AG10,KHP!AM10))=8)*(CHOOSE({1,2,3,4},KHP!X10,KHP!AD10,KHP!AJ10,KHP!AP10)))</f>
        <v>0</v>
      </c>
      <c r="I10">
        <f>SUMPRODUCT((MONTH(CHOOSE({1,2,3,4},KHP!U10,KHP!AA10,KHP!AG10,KHP!AM10))=9)*(CHOOSE({1,2,3,4},KHP!X10,KHP!AD10,KHP!AJ10,KHP!AP10)))</f>
        <v>0</v>
      </c>
      <c r="J10">
        <f>SUMPRODUCT((MONTH(CHOOSE({1,2,3,4},KHP!U10,KHP!AA10,KHP!AG10,KHP!AM10))=10)*(CHOOSE({1,2,3,4},KHP!X10,KHP!AD10,KHP!AJ10,KHP!AP10)))</f>
        <v>0</v>
      </c>
      <c r="K10">
        <f>SUMPRODUCT((MONTH(CHOOSE({1,2,3,4},KHP!U10,KHP!AA10,KHP!AG10,KHP!AM10))=11)*(CHOOSE({1,2,3,4},KHP!X10,KHP!AD10,KHP!AJ10,KHP!AP10)))</f>
        <v>0</v>
      </c>
      <c r="L10">
        <f>SUMPRODUCT((MONTH(CHOOSE({1,2,3,4},KHP!U10,KHP!AA10,KHP!AG10,KHP!AM10))=12)*(CHOOSE({1,2,3,4},KHP!X10,KHP!AD10,KHP!AJ10,KHP!AP10)))</f>
        <v>0</v>
      </c>
    </row>
    <row r="11" spans="1:12">
      <c r="A11">
        <f>SUMPRODUCT((MONTH(CHOOSE({1,2,3,4},KHP!U11,KHP!AA11,KHP!AG11,KHP!AM11))=1)*(CHOOSE({1,2,3,4},KHP!X11,KHP!AD11,KHP!AJ11,KHP!AP11)))</f>
        <v>0</v>
      </c>
      <c r="B11">
        <f>SUMPRODUCT((MONTH(CHOOSE({1,2,3,4},KHP!U11,KHP!AA11,KHP!AG11,KHP!AM11))=2)*(CHOOSE({1,2,3,4},KHP!X11,KHP!AD11,KHP!AJ11,KHP!AP11)))</f>
        <v>0</v>
      </c>
      <c r="C11">
        <f>SUMPRODUCT((MONTH(CHOOSE({1,2,3,4},KHP!U11,KHP!AA11,KHP!AG11,KHP!AM11))=3)*(CHOOSE({1,2,3,4},KHP!X11,KHP!AD11,KHP!AJ11,KHP!AP11)))</f>
        <v>0</v>
      </c>
      <c r="D11">
        <f>SUMPRODUCT((MONTH(CHOOSE({1,2,3,4},KHP!U11,KHP!AA11,KHP!AG11,KHP!AM11))=4)*(CHOOSE({1,2,3,4},KHP!X11,KHP!AD11,KHP!AJ11,KHP!AP11)))</f>
        <v>0</v>
      </c>
      <c r="E11">
        <f>SUMPRODUCT((MONTH(CHOOSE({1,2,3,4},KHP!U11,KHP!AA11,KHP!AG11,KHP!AM11))=5)*(CHOOSE({1,2,3,4},KHP!X11,KHP!AD11,KHP!AJ11,KHP!AP11)))</f>
        <v>0</v>
      </c>
      <c r="F11">
        <f>SUMPRODUCT((MONTH(CHOOSE({1,2,3,4},KHP!U11,KHP!AA11,KHP!AG11,KHP!AM11))=6)*(CHOOSE({1,2,3,4},KHP!X11,KHP!AD11,KHP!AJ11,KHP!AP11)))</f>
        <v>0</v>
      </c>
      <c r="G11">
        <f>SUMPRODUCT((MONTH(CHOOSE({1,2,3,4},KHP!U11,KHP!AA11,KHP!AG11,KHP!AM11))=7)*(CHOOSE({1,2,3,4},KHP!X11,KHP!AD11,KHP!AJ11,KHP!AP11)))</f>
        <v>0</v>
      </c>
      <c r="H11">
        <f>SUMPRODUCT((MONTH(CHOOSE({1,2,3,4},KHP!U11,KHP!AA11,KHP!AG11,KHP!AM11))=8)*(CHOOSE({1,2,3,4},KHP!X11,KHP!AD11,KHP!AJ11,KHP!AP11)))</f>
        <v>0</v>
      </c>
      <c r="I11">
        <f>SUMPRODUCT((MONTH(CHOOSE({1,2,3,4},KHP!U11,KHP!AA11,KHP!AG11,KHP!AM11))=9)*(CHOOSE({1,2,3,4},KHP!X11,KHP!AD11,KHP!AJ11,KHP!AP11)))</f>
        <v>0</v>
      </c>
      <c r="J11">
        <f>SUMPRODUCT((MONTH(CHOOSE({1,2,3,4},KHP!U11,KHP!AA11,KHP!AG11,KHP!AM11))=10)*(CHOOSE({1,2,3,4},KHP!X11,KHP!AD11,KHP!AJ11,KHP!AP11)))</f>
        <v>0</v>
      </c>
      <c r="K11">
        <f>SUMPRODUCT((MONTH(CHOOSE({1,2,3,4},KHP!U11,KHP!AA11,KHP!AG11,KHP!AM11))=11)*(CHOOSE({1,2,3,4},KHP!X11,KHP!AD11,KHP!AJ11,KHP!AP11)))</f>
        <v>0</v>
      </c>
      <c r="L11">
        <f>SUMPRODUCT((MONTH(CHOOSE({1,2,3,4},KHP!U11,KHP!AA11,KHP!AG11,KHP!AM11))=12)*(CHOOSE({1,2,3,4},KHP!X11,KHP!AD11,KHP!AJ11,KHP!AP11)))</f>
        <v>0</v>
      </c>
    </row>
    <row r="12" spans="1:12">
      <c r="A12">
        <f>SUMPRODUCT((MONTH(CHOOSE({1,2,3,4},KHP!U12,KHP!AA12,KHP!AG12,KHP!AM12))=1)*(CHOOSE({1,2,3,4},KHP!X12,KHP!AD12,KHP!AJ12,KHP!AP12)))</f>
        <v>0</v>
      </c>
      <c r="B12">
        <f>SUMPRODUCT((MONTH(CHOOSE({1,2,3,4},KHP!U12,KHP!AA12,KHP!AG12,KHP!AM12))=2)*(CHOOSE({1,2,3,4},KHP!X12,KHP!AD12,KHP!AJ12,KHP!AP12)))</f>
        <v>0</v>
      </c>
      <c r="C12">
        <f>SUMPRODUCT((MONTH(CHOOSE({1,2,3,4},KHP!U12,KHP!AA12,KHP!AG12,KHP!AM12))=3)*(CHOOSE({1,2,3,4},KHP!X12,KHP!AD12,KHP!AJ12,KHP!AP12)))</f>
        <v>0</v>
      </c>
      <c r="D12">
        <f>SUMPRODUCT((MONTH(CHOOSE({1,2,3,4},KHP!U12,KHP!AA12,KHP!AG12,KHP!AM12))=4)*(CHOOSE({1,2,3,4},KHP!X12,KHP!AD12,KHP!AJ12,KHP!AP12)))</f>
        <v>0</v>
      </c>
      <c r="E12">
        <f>SUMPRODUCT((MONTH(CHOOSE({1,2,3,4},KHP!U12,KHP!AA12,KHP!AG12,KHP!AM12))=5)*(CHOOSE({1,2,3,4},KHP!X12,KHP!AD12,KHP!AJ12,KHP!AP12)))</f>
        <v>0</v>
      </c>
      <c r="F12">
        <f>SUMPRODUCT((MONTH(CHOOSE({1,2,3,4},KHP!U12,KHP!AA12,KHP!AG12,KHP!AM12))=6)*(CHOOSE({1,2,3,4},KHP!X12,KHP!AD12,KHP!AJ12,KHP!AP12)))</f>
        <v>0</v>
      </c>
      <c r="G12">
        <f>SUMPRODUCT((MONTH(CHOOSE({1,2,3,4},KHP!U12,KHP!AA12,KHP!AG12,KHP!AM12))=7)*(CHOOSE({1,2,3,4},KHP!X12,KHP!AD12,KHP!AJ12,KHP!AP12)))</f>
        <v>0</v>
      </c>
      <c r="H12">
        <f>SUMPRODUCT((MONTH(CHOOSE({1,2,3,4},KHP!U12,KHP!AA12,KHP!AG12,KHP!AM12))=8)*(CHOOSE({1,2,3,4},KHP!X12,KHP!AD12,KHP!AJ12,KHP!AP12)))</f>
        <v>0</v>
      </c>
      <c r="I12">
        <f>SUMPRODUCT((MONTH(CHOOSE({1,2,3,4},KHP!U12,KHP!AA12,KHP!AG12,KHP!AM12))=9)*(CHOOSE({1,2,3,4},KHP!X12,KHP!AD12,KHP!AJ12,KHP!AP12)))</f>
        <v>0</v>
      </c>
      <c r="J12">
        <f>SUMPRODUCT((MONTH(CHOOSE({1,2,3,4},KHP!U12,KHP!AA12,KHP!AG12,KHP!AM12))=10)*(CHOOSE({1,2,3,4},KHP!X12,KHP!AD12,KHP!AJ12,KHP!AP12)))</f>
        <v>0</v>
      </c>
      <c r="K12">
        <f>SUMPRODUCT((MONTH(CHOOSE({1,2,3,4},KHP!U12,KHP!AA12,KHP!AG12,KHP!AM12))=11)*(CHOOSE({1,2,3,4},KHP!X12,KHP!AD12,KHP!AJ12,KHP!AP12)))</f>
        <v>0</v>
      </c>
      <c r="L12">
        <f>SUMPRODUCT((MONTH(CHOOSE({1,2,3,4},KHP!U12,KHP!AA12,KHP!AG12,KHP!AM12))=12)*(CHOOSE({1,2,3,4},KHP!X12,KHP!AD12,KHP!AJ12,KHP!AP12)))</f>
        <v>0</v>
      </c>
    </row>
    <row r="13" spans="1:12">
      <c r="A13">
        <f>SUMPRODUCT((MONTH(CHOOSE({1,2,3,4},KHP!U13,KHP!AA13,KHP!AG13,KHP!AM13))=1)*(CHOOSE({1,2,3,4},KHP!X13,KHP!AD13,KHP!AJ13,KHP!AP13)))</f>
        <v>0</v>
      </c>
      <c r="B13">
        <f>SUMPRODUCT((MONTH(CHOOSE({1,2,3,4},KHP!U13,KHP!AA13,KHP!AG13,KHP!AM13))=2)*(CHOOSE({1,2,3,4},KHP!X13,KHP!AD13,KHP!AJ13,KHP!AP13)))</f>
        <v>0</v>
      </c>
      <c r="C13">
        <f>SUMPRODUCT((MONTH(CHOOSE({1,2,3,4},KHP!U13,KHP!AA13,KHP!AG13,KHP!AM13))=3)*(CHOOSE({1,2,3,4},KHP!X13,KHP!AD13,KHP!AJ13,KHP!AP13)))</f>
        <v>0</v>
      </c>
      <c r="D13">
        <f>SUMPRODUCT((MONTH(CHOOSE({1,2,3,4},KHP!U13,KHP!AA13,KHP!AG13,KHP!AM13))=4)*(CHOOSE({1,2,3,4},KHP!X13,KHP!AD13,KHP!AJ13,KHP!AP13)))</f>
        <v>0</v>
      </c>
      <c r="E13">
        <f>SUMPRODUCT((MONTH(CHOOSE({1,2,3,4},KHP!U13,KHP!AA13,KHP!AG13,KHP!AM13))=5)*(CHOOSE({1,2,3,4},KHP!X13,KHP!AD13,KHP!AJ13,KHP!AP13)))</f>
        <v>0</v>
      </c>
      <c r="F13">
        <f>SUMPRODUCT((MONTH(CHOOSE({1,2,3,4},KHP!U13,KHP!AA13,KHP!AG13,KHP!AM13))=6)*(CHOOSE({1,2,3,4},KHP!X13,KHP!AD13,KHP!AJ13,KHP!AP13)))</f>
        <v>0</v>
      </c>
      <c r="G13">
        <f>SUMPRODUCT((MONTH(CHOOSE({1,2,3,4},KHP!U13,KHP!AA13,KHP!AG13,KHP!AM13))=7)*(CHOOSE({1,2,3,4},KHP!X13,KHP!AD13,KHP!AJ13,KHP!AP13)))</f>
        <v>0</v>
      </c>
      <c r="H13">
        <f>SUMPRODUCT((MONTH(CHOOSE({1,2,3,4},KHP!U13,KHP!AA13,KHP!AG13,KHP!AM13))=8)*(CHOOSE({1,2,3,4},KHP!X13,KHP!AD13,KHP!AJ13,KHP!AP13)))</f>
        <v>0</v>
      </c>
      <c r="I13">
        <f>SUMPRODUCT((MONTH(CHOOSE({1,2,3,4},KHP!U13,KHP!AA13,KHP!AG13,KHP!AM13))=9)*(CHOOSE({1,2,3,4},KHP!X13,KHP!AD13,KHP!AJ13,KHP!AP13)))</f>
        <v>0</v>
      </c>
      <c r="J13">
        <f>SUMPRODUCT((MONTH(CHOOSE({1,2,3,4},KHP!U13,KHP!AA13,KHP!AG13,KHP!AM13))=10)*(CHOOSE({1,2,3,4},KHP!X13,KHP!AD13,KHP!AJ13,KHP!AP13)))</f>
        <v>0</v>
      </c>
      <c r="K13">
        <f>SUMPRODUCT((MONTH(CHOOSE({1,2,3,4},KHP!U13,KHP!AA13,KHP!AG13,KHP!AM13))=11)*(CHOOSE({1,2,3,4},KHP!X13,KHP!AD13,KHP!AJ13,KHP!AP13)))</f>
        <v>0</v>
      </c>
      <c r="L13">
        <f>SUMPRODUCT((MONTH(CHOOSE({1,2,3,4},KHP!U13,KHP!AA13,KHP!AG13,KHP!AM13))=12)*(CHOOSE({1,2,3,4},KHP!X13,KHP!AD13,KHP!AJ13,KHP!AP13)))</f>
        <v>0</v>
      </c>
    </row>
    <row r="14" spans="1:12">
      <c r="A14">
        <f>SUMPRODUCT((MONTH(CHOOSE({1,2,3,4},KHP!U14,KHP!AA14,KHP!AG14,KHP!AM14))=1)*(CHOOSE({1,2,3,4},KHP!X14,KHP!AD14,KHP!AJ14,KHP!AP14)))</f>
        <v>0</v>
      </c>
      <c r="B14">
        <f>SUMPRODUCT((MONTH(CHOOSE({1,2,3,4},KHP!U14,KHP!AA14,KHP!AG14,KHP!AM14))=2)*(CHOOSE({1,2,3,4},KHP!X14,KHP!AD14,KHP!AJ14,KHP!AP14)))</f>
        <v>0</v>
      </c>
      <c r="C14">
        <f>SUMPRODUCT((MONTH(CHOOSE({1,2,3,4},KHP!U14,KHP!AA14,KHP!AG14,KHP!AM14))=3)*(CHOOSE({1,2,3,4},KHP!X14,KHP!AD14,KHP!AJ14,KHP!AP14)))</f>
        <v>0</v>
      </c>
      <c r="D14">
        <f>SUMPRODUCT((MONTH(CHOOSE({1,2,3,4},KHP!U14,KHP!AA14,KHP!AG14,KHP!AM14))=4)*(CHOOSE({1,2,3,4},KHP!X14,KHP!AD14,KHP!AJ14,KHP!AP14)))</f>
        <v>0</v>
      </c>
      <c r="E14">
        <f>SUMPRODUCT((MONTH(CHOOSE({1,2,3,4},KHP!U14,KHP!AA14,KHP!AG14,KHP!AM14))=5)*(CHOOSE({1,2,3,4},KHP!X14,KHP!AD14,KHP!AJ14,KHP!AP14)))</f>
        <v>0</v>
      </c>
      <c r="F14">
        <f>SUMPRODUCT((MONTH(CHOOSE({1,2,3,4},KHP!U14,KHP!AA14,KHP!AG14,KHP!AM14))=6)*(CHOOSE({1,2,3,4},KHP!X14,KHP!AD14,KHP!AJ14,KHP!AP14)))</f>
        <v>0</v>
      </c>
      <c r="G14">
        <f>SUMPRODUCT((MONTH(CHOOSE({1,2,3,4},KHP!U14,KHP!AA14,KHP!AG14,KHP!AM14))=7)*(CHOOSE({1,2,3,4},KHP!X14,KHP!AD14,KHP!AJ14,KHP!AP14)))</f>
        <v>0</v>
      </c>
      <c r="H14">
        <f>SUMPRODUCT((MONTH(CHOOSE({1,2,3,4},KHP!U14,KHP!AA14,KHP!AG14,KHP!AM14))=8)*(CHOOSE({1,2,3,4},KHP!X14,KHP!AD14,KHP!AJ14,KHP!AP14)))</f>
        <v>0</v>
      </c>
      <c r="I14">
        <f>SUMPRODUCT((MONTH(CHOOSE({1,2,3,4},KHP!U14,KHP!AA14,KHP!AG14,KHP!AM14))=9)*(CHOOSE({1,2,3,4},KHP!X14,KHP!AD14,KHP!AJ14,KHP!AP14)))</f>
        <v>0</v>
      </c>
      <c r="J14">
        <f>SUMPRODUCT((MONTH(CHOOSE({1,2,3,4},KHP!U14,KHP!AA14,KHP!AG14,KHP!AM14))=10)*(CHOOSE({1,2,3,4},KHP!X14,KHP!AD14,KHP!AJ14,KHP!AP14)))</f>
        <v>0</v>
      </c>
      <c r="K14">
        <f>SUMPRODUCT((MONTH(CHOOSE({1,2,3,4},KHP!U14,KHP!AA14,KHP!AG14,KHP!AM14))=11)*(CHOOSE({1,2,3,4},KHP!X14,KHP!AD14,KHP!AJ14,KHP!AP14)))</f>
        <v>0</v>
      </c>
      <c r="L14">
        <f>SUMPRODUCT((MONTH(CHOOSE({1,2,3,4},KHP!U14,KHP!AA14,KHP!AG14,KHP!AM14))=12)*(CHOOSE({1,2,3,4},KHP!X14,KHP!AD14,KHP!AJ14,KHP!AP14)))</f>
        <v>0</v>
      </c>
    </row>
    <row r="15" spans="1:12">
      <c r="A15">
        <f>SUMPRODUCT((MONTH(CHOOSE({1,2,3,4},KHP!U15,KHP!AA15,KHP!AG15,KHP!AM15))=1)*(CHOOSE({1,2,3,4},KHP!X15,KHP!AD15,KHP!AJ15,KHP!AP15)))</f>
        <v>0</v>
      </c>
      <c r="B15">
        <f>SUMPRODUCT((MONTH(CHOOSE({1,2,3,4},KHP!U15,KHP!AA15,KHP!AG15,KHP!AM15))=2)*(CHOOSE({1,2,3,4},KHP!X15,KHP!AD15,KHP!AJ15,KHP!AP15)))</f>
        <v>0</v>
      </c>
      <c r="C15">
        <f>SUMPRODUCT((MONTH(CHOOSE({1,2,3,4},KHP!U15,KHP!AA15,KHP!AG15,KHP!AM15))=3)*(CHOOSE({1,2,3,4},KHP!X15,KHP!AD15,KHP!AJ15,KHP!AP15)))</f>
        <v>0</v>
      </c>
      <c r="D15">
        <f>SUMPRODUCT((MONTH(CHOOSE({1,2,3,4},KHP!U15,KHP!AA15,KHP!AG15,KHP!AM15))=4)*(CHOOSE({1,2,3,4},KHP!X15,KHP!AD15,KHP!AJ15,KHP!AP15)))</f>
        <v>0</v>
      </c>
      <c r="E15">
        <f>SUMPRODUCT((MONTH(CHOOSE({1,2,3,4},KHP!U15,KHP!AA15,KHP!AG15,KHP!AM15))=5)*(CHOOSE({1,2,3,4},KHP!X15,KHP!AD15,KHP!AJ15,KHP!AP15)))</f>
        <v>0</v>
      </c>
      <c r="F15">
        <f>SUMPRODUCT((MONTH(CHOOSE({1,2,3,4},KHP!U15,KHP!AA15,KHP!AG15,KHP!AM15))=6)*(CHOOSE({1,2,3,4},KHP!X15,KHP!AD15,KHP!AJ15,KHP!AP15)))</f>
        <v>0</v>
      </c>
      <c r="G15">
        <f>SUMPRODUCT((MONTH(CHOOSE({1,2,3,4},KHP!U15,KHP!AA15,KHP!AG15,KHP!AM15))=7)*(CHOOSE({1,2,3,4},KHP!X15,KHP!AD15,KHP!AJ15,KHP!AP15)))</f>
        <v>0</v>
      </c>
      <c r="H15">
        <f>SUMPRODUCT((MONTH(CHOOSE({1,2,3,4},KHP!U15,KHP!AA15,KHP!AG15,KHP!AM15))=8)*(CHOOSE({1,2,3,4},KHP!X15,KHP!AD15,KHP!AJ15,KHP!AP15)))</f>
        <v>0</v>
      </c>
      <c r="I15">
        <f>SUMPRODUCT((MONTH(CHOOSE({1,2,3,4},KHP!U15,KHP!AA15,KHP!AG15,KHP!AM15))=9)*(CHOOSE({1,2,3,4},KHP!X15,KHP!AD15,KHP!AJ15,KHP!AP15)))</f>
        <v>0</v>
      </c>
      <c r="J15">
        <f>SUMPRODUCT((MONTH(CHOOSE({1,2,3,4},KHP!U15,KHP!AA15,KHP!AG15,KHP!AM15))=10)*(CHOOSE({1,2,3,4},KHP!X15,KHP!AD15,KHP!AJ15,KHP!AP15)))</f>
        <v>0</v>
      </c>
      <c r="K15">
        <f>SUMPRODUCT((MONTH(CHOOSE({1,2,3,4},KHP!U15,KHP!AA15,KHP!AG15,KHP!AM15))=11)*(CHOOSE({1,2,3,4},KHP!X15,KHP!AD15,KHP!AJ15,KHP!AP15)))</f>
        <v>0</v>
      </c>
      <c r="L15">
        <f>SUMPRODUCT((MONTH(CHOOSE({1,2,3,4},KHP!U15,KHP!AA15,KHP!AG15,KHP!AM15))=12)*(CHOOSE({1,2,3,4},KHP!X15,KHP!AD15,KHP!AJ15,KHP!AP15)))</f>
        <v>0</v>
      </c>
    </row>
    <row r="16" spans="1:12">
      <c r="A16">
        <f>SUMPRODUCT((MONTH(CHOOSE({1,2,3,4},KHP!U16,KHP!AA16,KHP!AG16,KHP!AM16))=1)*(CHOOSE({1,2,3,4},KHP!X16,KHP!AD16,KHP!AJ16,KHP!AP16)))</f>
        <v>0</v>
      </c>
      <c r="B16">
        <f>SUMPRODUCT((MONTH(CHOOSE({1,2,3,4},KHP!U16,KHP!AA16,KHP!AG16,KHP!AM16))=2)*(CHOOSE({1,2,3,4},KHP!X16,KHP!AD16,KHP!AJ16,KHP!AP16)))</f>
        <v>0</v>
      </c>
      <c r="C16">
        <f>SUMPRODUCT((MONTH(CHOOSE({1,2,3,4},KHP!U16,KHP!AA16,KHP!AG16,KHP!AM16))=3)*(CHOOSE({1,2,3,4},KHP!X16,KHP!AD16,KHP!AJ16,KHP!AP16)))</f>
        <v>0</v>
      </c>
      <c r="D16">
        <f>SUMPRODUCT((MONTH(CHOOSE({1,2,3,4},KHP!U16,KHP!AA16,KHP!AG16,KHP!AM16))=4)*(CHOOSE({1,2,3,4},KHP!X16,KHP!AD16,KHP!AJ16,KHP!AP16)))</f>
        <v>0</v>
      </c>
      <c r="E16">
        <f>SUMPRODUCT((MONTH(CHOOSE({1,2,3,4},KHP!U16,KHP!AA16,KHP!AG16,KHP!AM16))=5)*(CHOOSE({1,2,3,4},KHP!X16,KHP!AD16,KHP!AJ16,KHP!AP16)))</f>
        <v>0</v>
      </c>
      <c r="F16">
        <f>SUMPRODUCT((MONTH(CHOOSE({1,2,3,4},KHP!U16,KHP!AA16,KHP!AG16,KHP!AM16))=6)*(CHOOSE({1,2,3,4},KHP!X16,KHP!AD16,KHP!AJ16,KHP!AP16)))</f>
        <v>0</v>
      </c>
      <c r="G16">
        <f>SUMPRODUCT((MONTH(CHOOSE({1,2,3,4},KHP!U16,KHP!AA16,KHP!AG16,KHP!AM16))=7)*(CHOOSE({1,2,3,4},KHP!X16,KHP!AD16,KHP!AJ16,KHP!AP16)))</f>
        <v>0</v>
      </c>
      <c r="H16">
        <f>SUMPRODUCT((MONTH(CHOOSE({1,2,3,4},KHP!U16,KHP!AA16,KHP!AG16,KHP!AM16))=8)*(CHOOSE({1,2,3,4},KHP!X16,KHP!AD16,KHP!AJ16,KHP!AP16)))</f>
        <v>0</v>
      </c>
      <c r="I16">
        <f>SUMPRODUCT((MONTH(CHOOSE({1,2,3,4},KHP!U16,KHP!AA16,KHP!AG16,KHP!AM16))=9)*(CHOOSE({1,2,3,4},KHP!X16,KHP!AD16,KHP!AJ16,KHP!AP16)))</f>
        <v>0</v>
      </c>
      <c r="J16">
        <f>SUMPRODUCT((MONTH(CHOOSE({1,2,3,4},KHP!U16,KHP!AA16,KHP!AG16,KHP!AM16))=10)*(CHOOSE({1,2,3,4},KHP!X16,KHP!AD16,KHP!AJ16,KHP!AP16)))</f>
        <v>0</v>
      </c>
      <c r="K16">
        <f>SUMPRODUCT((MONTH(CHOOSE({1,2,3,4},KHP!U16,KHP!AA16,KHP!AG16,KHP!AM16))=11)*(CHOOSE({1,2,3,4},KHP!X16,KHP!AD16,KHP!AJ16,KHP!AP16)))</f>
        <v>0</v>
      </c>
      <c r="L16">
        <f>SUMPRODUCT((MONTH(CHOOSE({1,2,3,4},KHP!U16,KHP!AA16,KHP!AG16,KHP!AM16))=12)*(CHOOSE({1,2,3,4},KHP!X16,KHP!AD16,KHP!AJ16,KHP!AP16)))</f>
        <v>0</v>
      </c>
    </row>
    <row r="17" spans="1:12">
      <c r="A17">
        <f>SUMPRODUCT((MONTH(CHOOSE({1,2,3,4},KHP!U17,KHP!AA17,KHP!AG17,KHP!AM17))=1)*(CHOOSE({1,2,3,4},KHP!X17,KHP!AD17,KHP!AJ17,KHP!AP17)))</f>
        <v>0</v>
      </c>
      <c r="B17">
        <f>SUMPRODUCT((MONTH(CHOOSE({1,2,3,4},KHP!U17,KHP!AA17,KHP!AG17,KHP!AM17))=2)*(CHOOSE({1,2,3,4},KHP!X17,KHP!AD17,KHP!AJ17,KHP!AP17)))</f>
        <v>0</v>
      </c>
      <c r="C17">
        <f>SUMPRODUCT((MONTH(CHOOSE({1,2,3,4},KHP!U17,KHP!AA17,KHP!AG17,KHP!AM17))=3)*(CHOOSE({1,2,3,4},KHP!X17,KHP!AD17,KHP!AJ17,KHP!AP17)))</f>
        <v>0</v>
      </c>
      <c r="D17">
        <f>SUMPRODUCT((MONTH(CHOOSE({1,2,3,4},KHP!U17,KHP!AA17,KHP!AG17,KHP!AM17))=4)*(CHOOSE({1,2,3,4},KHP!X17,KHP!AD17,KHP!AJ17,KHP!AP17)))</f>
        <v>0</v>
      </c>
      <c r="E17">
        <f>SUMPRODUCT((MONTH(CHOOSE({1,2,3,4},KHP!U17,KHP!AA17,KHP!AG17,KHP!AM17))=5)*(CHOOSE({1,2,3,4},KHP!X17,KHP!AD17,KHP!AJ17,KHP!AP17)))</f>
        <v>0</v>
      </c>
      <c r="F17">
        <f>SUMPRODUCT((MONTH(CHOOSE({1,2,3,4},KHP!U17,KHP!AA17,KHP!AG17,KHP!AM17))=6)*(CHOOSE({1,2,3,4},KHP!X17,KHP!AD17,KHP!AJ17,KHP!AP17)))</f>
        <v>0</v>
      </c>
      <c r="G17">
        <f>SUMPRODUCT((MONTH(CHOOSE({1,2,3,4},KHP!U17,KHP!AA17,KHP!AG17,KHP!AM17))=7)*(CHOOSE({1,2,3,4},KHP!X17,KHP!AD17,KHP!AJ17,KHP!AP17)))</f>
        <v>0</v>
      </c>
      <c r="H17">
        <f>SUMPRODUCT((MONTH(CHOOSE({1,2,3,4},KHP!U17,KHP!AA17,KHP!AG17,KHP!AM17))=8)*(CHOOSE({1,2,3,4},KHP!X17,KHP!AD17,KHP!AJ17,KHP!AP17)))</f>
        <v>0</v>
      </c>
      <c r="I17">
        <f>SUMPRODUCT((MONTH(CHOOSE({1,2,3,4},KHP!U17,KHP!AA17,KHP!AG17,KHP!AM17))=9)*(CHOOSE({1,2,3,4},KHP!X17,KHP!AD17,KHP!AJ17,KHP!AP17)))</f>
        <v>0</v>
      </c>
      <c r="J17">
        <f>SUMPRODUCT((MONTH(CHOOSE({1,2,3,4},KHP!U17,KHP!AA17,KHP!AG17,KHP!AM17))=10)*(CHOOSE({1,2,3,4},KHP!X17,KHP!AD17,KHP!AJ17,KHP!AP17)))</f>
        <v>0</v>
      </c>
      <c r="K17">
        <f>SUMPRODUCT((MONTH(CHOOSE({1,2,3,4},KHP!U17,KHP!AA17,KHP!AG17,KHP!AM17))=11)*(CHOOSE({1,2,3,4},KHP!X17,KHP!AD17,KHP!AJ17,KHP!AP17)))</f>
        <v>0</v>
      </c>
      <c r="L17">
        <f>SUMPRODUCT((MONTH(CHOOSE({1,2,3,4},KHP!U17,KHP!AA17,KHP!AG17,KHP!AM17))=12)*(CHOOSE({1,2,3,4},KHP!X17,KHP!AD17,KHP!AJ17,KHP!AP17)))</f>
        <v>0</v>
      </c>
    </row>
    <row r="18" spans="1:12">
      <c r="A18">
        <f>SUMPRODUCT((MONTH(CHOOSE({1,2,3,4},KHP!U18,KHP!AA18,KHP!AG18,KHP!AM18))=1)*(CHOOSE({1,2,3,4},KHP!X18,KHP!AD18,KHP!AJ18,KHP!AP18)))</f>
        <v>0</v>
      </c>
      <c r="B18">
        <f>SUMPRODUCT((MONTH(CHOOSE({1,2,3,4},KHP!U18,KHP!AA18,KHP!AG18,KHP!AM18))=2)*(CHOOSE({1,2,3,4},KHP!X18,KHP!AD18,KHP!AJ18,KHP!AP18)))</f>
        <v>0</v>
      </c>
      <c r="C18">
        <f>SUMPRODUCT((MONTH(CHOOSE({1,2,3,4},KHP!U18,KHP!AA18,KHP!AG18,KHP!AM18))=3)*(CHOOSE({1,2,3,4},KHP!X18,KHP!AD18,KHP!AJ18,KHP!AP18)))</f>
        <v>0</v>
      </c>
      <c r="D18">
        <f>SUMPRODUCT((MONTH(CHOOSE({1,2,3,4},KHP!U18,KHP!AA18,KHP!AG18,KHP!AM18))=4)*(CHOOSE({1,2,3,4},KHP!X18,KHP!AD18,KHP!AJ18,KHP!AP18)))</f>
        <v>0</v>
      </c>
      <c r="E18">
        <f>SUMPRODUCT((MONTH(CHOOSE({1,2,3,4},KHP!U18,KHP!AA18,KHP!AG18,KHP!AM18))=5)*(CHOOSE({1,2,3,4},KHP!X18,KHP!AD18,KHP!AJ18,KHP!AP18)))</f>
        <v>0</v>
      </c>
      <c r="F18">
        <f>SUMPRODUCT((MONTH(CHOOSE({1,2,3,4},KHP!U18,KHP!AA18,KHP!AG18,KHP!AM18))=6)*(CHOOSE({1,2,3,4},KHP!X18,KHP!AD18,KHP!AJ18,KHP!AP18)))</f>
        <v>0</v>
      </c>
      <c r="G18">
        <f>SUMPRODUCT((MONTH(CHOOSE({1,2,3,4},KHP!U18,KHP!AA18,KHP!AG18,KHP!AM18))=7)*(CHOOSE({1,2,3,4},KHP!X18,KHP!AD18,KHP!AJ18,KHP!AP18)))</f>
        <v>0</v>
      </c>
      <c r="H18">
        <f>SUMPRODUCT((MONTH(CHOOSE({1,2,3,4},KHP!U18,KHP!AA18,KHP!AG18,KHP!AM18))=8)*(CHOOSE({1,2,3,4},KHP!X18,KHP!AD18,KHP!AJ18,KHP!AP18)))</f>
        <v>0</v>
      </c>
      <c r="I18">
        <f>SUMPRODUCT((MONTH(CHOOSE({1,2,3,4},KHP!U18,KHP!AA18,KHP!AG18,KHP!AM18))=9)*(CHOOSE({1,2,3,4},KHP!X18,KHP!AD18,KHP!AJ18,KHP!AP18)))</f>
        <v>0</v>
      </c>
      <c r="J18">
        <f>SUMPRODUCT((MONTH(CHOOSE({1,2,3,4},KHP!U18,KHP!AA18,KHP!AG18,KHP!AM18))=10)*(CHOOSE({1,2,3,4},KHP!X18,KHP!AD18,KHP!AJ18,KHP!AP18)))</f>
        <v>0</v>
      </c>
      <c r="K18">
        <f>SUMPRODUCT((MONTH(CHOOSE({1,2,3,4},KHP!U18,KHP!AA18,KHP!AG18,KHP!AM18))=11)*(CHOOSE({1,2,3,4},KHP!X18,KHP!AD18,KHP!AJ18,KHP!AP18)))</f>
        <v>0</v>
      </c>
      <c r="L18">
        <f>SUMPRODUCT((MONTH(CHOOSE({1,2,3,4},KHP!U18,KHP!AA18,KHP!AG18,KHP!AM18))=12)*(CHOOSE({1,2,3,4},KHP!X18,KHP!AD18,KHP!AJ18,KHP!AP18)))</f>
        <v>0</v>
      </c>
    </row>
    <row r="19" spans="1:12">
      <c r="A19">
        <f>SUMPRODUCT((MONTH(CHOOSE({1,2,3,4},KHP!U19,KHP!AA19,KHP!AG19,KHP!AM19))=1)*(CHOOSE({1,2,3,4},KHP!X19,KHP!AD19,KHP!AJ19,KHP!AP19)))</f>
        <v>0</v>
      </c>
      <c r="B19">
        <f>SUMPRODUCT((MONTH(CHOOSE({1,2,3,4},KHP!U19,KHP!AA19,KHP!AG19,KHP!AM19))=2)*(CHOOSE({1,2,3,4},KHP!X19,KHP!AD19,KHP!AJ19,KHP!AP19)))</f>
        <v>0</v>
      </c>
      <c r="C19">
        <f>SUMPRODUCT((MONTH(CHOOSE({1,2,3,4},KHP!U19,KHP!AA19,KHP!AG19,KHP!AM19))=3)*(CHOOSE({1,2,3,4},KHP!X19,KHP!AD19,KHP!AJ19,KHP!AP19)))</f>
        <v>0</v>
      </c>
      <c r="D19">
        <f>SUMPRODUCT((MONTH(CHOOSE({1,2,3,4},KHP!U19,KHP!AA19,KHP!AG19,KHP!AM19))=4)*(CHOOSE({1,2,3,4},KHP!X19,KHP!AD19,KHP!AJ19,KHP!AP19)))</f>
        <v>0</v>
      </c>
      <c r="E19">
        <f>SUMPRODUCT((MONTH(CHOOSE({1,2,3,4},KHP!U19,KHP!AA19,KHP!AG19,KHP!AM19))=5)*(CHOOSE({1,2,3,4},KHP!X19,KHP!AD19,KHP!AJ19,KHP!AP19)))</f>
        <v>0</v>
      </c>
      <c r="F19">
        <f>SUMPRODUCT((MONTH(CHOOSE({1,2,3,4},KHP!U19,KHP!AA19,KHP!AG19,KHP!AM19))=6)*(CHOOSE({1,2,3,4},KHP!X19,KHP!AD19,KHP!AJ19,KHP!AP19)))</f>
        <v>0</v>
      </c>
      <c r="G19">
        <f>SUMPRODUCT((MONTH(CHOOSE({1,2,3,4},KHP!U19,KHP!AA19,KHP!AG19,KHP!AM19))=7)*(CHOOSE({1,2,3,4},KHP!X19,KHP!AD19,KHP!AJ19,KHP!AP19)))</f>
        <v>0</v>
      </c>
      <c r="H19">
        <f>SUMPRODUCT((MONTH(CHOOSE({1,2,3,4},KHP!U19,KHP!AA19,KHP!AG19,KHP!AM19))=8)*(CHOOSE({1,2,3,4},KHP!X19,KHP!AD19,KHP!AJ19,KHP!AP19)))</f>
        <v>0</v>
      </c>
      <c r="I19">
        <f>SUMPRODUCT((MONTH(CHOOSE({1,2,3,4},KHP!U19,KHP!AA19,KHP!AG19,KHP!AM19))=9)*(CHOOSE({1,2,3,4},KHP!X19,KHP!AD19,KHP!AJ19,KHP!AP19)))</f>
        <v>0</v>
      </c>
      <c r="J19">
        <f>SUMPRODUCT((MONTH(CHOOSE({1,2,3,4},KHP!U19,KHP!AA19,KHP!AG19,KHP!AM19))=10)*(CHOOSE({1,2,3,4},KHP!X19,KHP!AD19,KHP!AJ19,KHP!AP19)))</f>
        <v>0</v>
      </c>
      <c r="K19">
        <f>SUMPRODUCT((MONTH(CHOOSE({1,2,3,4},KHP!U19,KHP!AA19,KHP!AG19,KHP!AM19))=11)*(CHOOSE({1,2,3,4},KHP!X19,KHP!AD19,KHP!AJ19,KHP!AP19)))</f>
        <v>0</v>
      </c>
      <c r="L19">
        <f>SUMPRODUCT((MONTH(CHOOSE({1,2,3,4},KHP!U19,KHP!AA19,KHP!AG19,KHP!AM19))=12)*(CHOOSE({1,2,3,4},KHP!X19,KHP!AD19,KHP!AJ19,KHP!AP19)))</f>
        <v>0</v>
      </c>
    </row>
    <row r="20" spans="1:12">
      <c r="A20">
        <f>SUMPRODUCT((MONTH(CHOOSE({1,2,3,4},KHP!U20,KHP!AA20,KHP!AG20,KHP!AM20))=1)*(CHOOSE({1,2,3,4},KHP!X20,KHP!AD20,KHP!AJ20,KHP!AP20)))</f>
        <v>0</v>
      </c>
      <c r="B20">
        <f>SUMPRODUCT((MONTH(CHOOSE({1,2,3,4},KHP!U20,KHP!AA20,KHP!AG20,KHP!AM20))=2)*(CHOOSE({1,2,3,4},KHP!X20,KHP!AD20,KHP!AJ20,KHP!AP20)))</f>
        <v>0</v>
      </c>
      <c r="C20">
        <f>SUMPRODUCT((MONTH(CHOOSE({1,2,3,4},KHP!U20,KHP!AA20,KHP!AG20,KHP!AM20))=3)*(CHOOSE({1,2,3,4},KHP!X20,KHP!AD20,KHP!AJ20,KHP!AP20)))</f>
        <v>0</v>
      </c>
      <c r="D20">
        <f>SUMPRODUCT((MONTH(CHOOSE({1,2,3,4},KHP!U20,KHP!AA20,KHP!AG20,KHP!AM20))=4)*(CHOOSE({1,2,3,4},KHP!X20,KHP!AD20,KHP!AJ20,KHP!AP20)))</f>
        <v>0</v>
      </c>
      <c r="E20">
        <f>SUMPRODUCT((MONTH(CHOOSE({1,2,3,4},KHP!U20,KHP!AA20,KHP!AG20,KHP!AM20))=5)*(CHOOSE({1,2,3,4},KHP!X20,KHP!AD20,KHP!AJ20,KHP!AP20)))</f>
        <v>0</v>
      </c>
      <c r="F20">
        <f>SUMPRODUCT((MONTH(CHOOSE({1,2,3,4},KHP!U20,KHP!AA20,KHP!AG20,KHP!AM20))=6)*(CHOOSE({1,2,3,4},KHP!X20,KHP!AD20,KHP!AJ20,KHP!AP20)))</f>
        <v>0</v>
      </c>
      <c r="G20">
        <f>SUMPRODUCT((MONTH(CHOOSE({1,2,3,4},KHP!U20,KHP!AA20,KHP!AG20,KHP!AM20))=7)*(CHOOSE({1,2,3,4},KHP!X20,KHP!AD20,KHP!AJ20,KHP!AP20)))</f>
        <v>0</v>
      </c>
      <c r="H20">
        <f>SUMPRODUCT((MONTH(CHOOSE({1,2,3,4},KHP!U20,KHP!AA20,KHP!AG20,KHP!AM20))=8)*(CHOOSE({1,2,3,4},KHP!X20,KHP!AD20,KHP!AJ20,KHP!AP20)))</f>
        <v>0</v>
      </c>
      <c r="I20">
        <f>SUMPRODUCT((MONTH(CHOOSE({1,2,3,4},KHP!U20,KHP!AA20,KHP!AG20,KHP!AM20))=9)*(CHOOSE({1,2,3,4},KHP!X20,KHP!AD20,KHP!AJ20,KHP!AP20)))</f>
        <v>0</v>
      </c>
      <c r="J20">
        <f>SUMPRODUCT((MONTH(CHOOSE({1,2,3,4},KHP!U20,KHP!AA20,KHP!AG20,KHP!AM20))=10)*(CHOOSE({1,2,3,4},KHP!X20,KHP!AD20,KHP!AJ20,KHP!AP20)))</f>
        <v>0</v>
      </c>
      <c r="K20">
        <f>SUMPRODUCT((MONTH(CHOOSE({1,2,3,4},KHP!U20,KHP!AA20,KHP!AG20,KHP!AM20))=11)*(CHOOSE({1,2,3,4},KHP!X20,KHP!AD20,KHP!AJ20,KHP!AP20)))</f>
        <v>0</v>
      </c>
      <c r="L20">
        <f>SUMPRODUCT((MONTH(CHOOSE({1,2,3,4},KHP!U20,KHP!AA20,KHP!AG20,KHP!AM20))=12)*(CHOOSE({1,2,3,4},KHP!X20,KHP!AD20,KHP!AJ20,KHP!AP20)))</f>
        <v>0</v>
      </c>
    </row>
    <row r="21" spans="1:12">
      <c r="A21">
        <f>SUMPRODUCT((MONTH(CHOOSE({1,2,3,4},KHP!U21,KHP!AA21,KHP!AG21,KHP!AM21))=1)*(CHOOSE({1,2,3,4},KHP!X21,KHP!AD21,KHP!AJ21,KHP!AP21)))</f>
        <v>0</v>
      </c>
      <c r="B21">
        <f>SUMPRODUCT((MONTH(CHOOSE({1,2,3,4},KHP!U21,KHP!AA21,KHP!AG21,KHP!AM21))=2)*(CHOOSE({1,2,3,4},KHP!X21,KHP!AD21,KHP!AJ21,KHP!AP21)))</f>
        <v>0</v>
      </c>
      <c r="C21">
        <f>SUMPRODUCT((MONTH(CHOOSE({1,2,3,4},KHP!U21,KHP!AA21,KHP!AG21,KHP!AM21))=3)*(CHOOSE({1,2,3,4},KHP!X21,KHP!AD21,KHP!AJ21,KHP!AP21)))</f>
        <v>0</v>
      </c>
      <c r="D21">
        <f>SUMPRODUCT((MONTH(CHOOSE({1,2,3,4},KHP!U21,KHP!AA21,KHP!AG21,KHP!AM21))=4)*(CHOOSE({1,2,3,4},KHP!X21,KHP!AD21,KHP!AJ21,KHP!AP21)))</f>
        <v>0</v>
      </c>
      <c r="E21">
        <f>SUMPRODUCT((MONTH(CHOOSE({1,2,3,4},KHP!U21,KHP!AA21,KHP!AG21,KHP!AM21))=5)*(CHOOSE({1,2,3,4},KHP!X21,KHP!AD21,KHP!AJ21,KHP!AP21)))</f>
        <v>0</v>
      </c>
      <c r="F21">
        <f>SUMPRODUCT((MONTH(CHOOSE({1,2,3,4},KHP!U21,KHP!AA21,KHP!AG21,KHP!AM21))=6)*(CHOOSE({1,2,3,4},KHP!X21,KHP!AD21,KHP!AJ21,KHP!AP21)))</f>
        <v>0</v>
      </c>
      <c r="G21">
        <f>SUMPRODUCT((MONTH(CHOOSE({1,2,3,4},KHP!U21,KHP!AA21,KHP!AG21,KHP!AM21))=7)*(CHOOSE({1,2,3,4},KHP!X21,KHP!AD21,KHP!AJ21,KHP!AP21)))</f>
        <v>0</v>
      </c>
      <c r="H21">
        <f>SUMPRODUCT((MONTH(CHOOSE({1,2,3,4},KHP!U21,KHP!AA21,KHP!AG21,KHP!AM21))=8)*(CHOOSE({1,2,3,4},KHP!X21,KHP!AD21,KHP!AJ21,KHP!AP21)))</f>
        <v>0</v>
      </c>
      <c r="I21">
        <f>SUMPRODUCT((MONTH(CHOOSE({1,2,3,4},KHP!U21,KHP!AA21,KHP!AG21,KHP!AM21))=9)*(CHOOSE({1,2,3,4},KHP!X21,KHP!AD21,KHP!AJ21,KHP!AP21)))</f>
        <v>0</v>
      </c>
      <c r="J21">
        <f>SUMPRODUCT((MONTH(CHOOSE({1,2,3,4},KHP!U21,KHP!AA21,KHP!AG21,KHP!AM21))=10)*(CHOOSE({1,2,3,4},KHP!X21,KHP!AD21,KHP!AJ21,KHP!AP21)))</f>
        <v>0</v>
      </c>
      <c r="K21">
        <f>SUMPRODUCT((MONTH(CHOOSE({1,2,3,4},KHP!U21,KHP!AA21,KHP!AG21,KHP!AM21))=11)*(CHOOSE({1,2,3,4},KHP!X21,KHP!AD21,KHP!AJ21,KHP!AP21)))</f>
        <v>0</v>
      </c>
      <c r="L21">
        <f>SUMPRODUCT((MONTH(CHOOSE({1,2,3,4},KHP!U21,KHP!AA21,KHP!AG21,KHP!AM21))=12)*(CHOOSE({1,2,3,4},KHP!X21,KHP!AD21,KHP!AJ21,KHP!AP21)))</f>
        <v>0</v>
      </c>
    </row>
    <row r="22" spans="1:12">
      <c r="A22">
        <f>SUMPRODUCT((MONTH(CHOOSE({1,2,3,4},KHP!U22,KHP!AA22,KHP!AG22,KHP!AM22))=1)*(CHOOSE({1,2,3,4},KHP!X22,KHP!AD22,KHP!AJ22,KHP!AP22)))</f>
        <v>0</v>
      </c>
      <c r="B22">
        <f>SUMPRODUCT((MONTH(CHOOSE({1,2,3,4},KHP!U22,KHP!AA22,KHP!AG22,KHP!AM22))=2)*(CHOOSE({1,2,3,4},KHP!X22,KHP!AD22,KHP!AJ22,KHP!AP22)))</f>
        <v>0</v>
      </c>
      <c r="C22">
        <f>SUMPRODUCT((MONTH(CHOOSE({1,2,3,4},KHP!U22,KHP!AA22,KHP!AG22,KHP!AM22))=3)*(CHOOSE({1,2,3,4},KHP!X22,KHP!AD22,KHP!AJ22,KHP!AP22)))</f>
        <v>0</v>
      </c>
      <c r="D22">
        <f>SUMPRODUCT((MONTH(CHOOSE({1,2,3,4},KHP!U22,KHP!AA22,KHP!AG22,KHP!AM22))=4)*(CHOOSE({1,2,3,4},KHP!X22,KHP!AD22,KHP!AJ22,KHP!AP22)))</f>
        <v>0</v>
      </c>
      <c r="E22">
        <f>SUMPRODUCT((MONTH(CHOOSE({1,2,3,4},KHP!U22,KHP!AA22,KHP!AG22,KHP!AM22))=5)*(CHOOSE({1,2,3,4},KHP!X22,KHP!AD22,KHP!AJ22,KHP!AP22)))</f>
        <v>0</v>
      </c>
      <c r="F22">
        <f>SUMPRODUCT((MONTH(CHOOSE({1,2,3,4},KHP!U22,KHP!AA22,KHP!AG22,KHP!AM22))=6)*(CHOOSE({1,2,3,4},KHP!X22,KHP!AD22,KHP!AJ22,KHP!AP22)))</f>
        <v>0</v>
      </c>
      <c r="G22">
        <f>SUMPRODUCT((MONTH(CHOOSE({1,2,3,4},KHP!U22,KHP!AA22,KHP!AG22,KHP!AM22))=7)*(CHOOSE({1,2,3,4},KHP!X22,KHP!AD22,KHP!AJ22,KHP!AP22)))</f>
        <v>0</v>
      </c>
      <c r="H22">
        <f>SUMPRODUCT((MONTH(CHOOSE({1,2,3,4},KHP!U22,KHP!AA22,KHP!AG22,KHP!AM22))=8)*(CHOOSE({1,2,3,4},KHP!X22,KHP!AD22,KHP!AJ22,KHP!AP22)))</f>
        <v>0</v>
      </c>
      <c r="I22">
        <f>SUMPRODUCT((MONTH(CHOOSE({1,2,3,4},KHP!U22,KHP!AA22,KHP!AG22,KHP!AM22))=9)*(CHOOSE({1,2,3,4},KHP!X22,KHP!AD22,KHP!AJ22,KHP!AP22)))</f>
        <v>0</v>
      </c>
      <c r="J22">
        <f>SUMPRODUCT((MONTH(CHOOSE({1,2,3,4},KHP!U22,KHP!AA22,KHP!AG22,KHP!AM22))=10)*(CHOOSE({1,2,3,4},KHP!X22,KHP!AD22,KHP!AJ22,KHP!AP22)))</f>
        <v>0</v>
      </c>
      <c r="K22">
        <f>SUMPRODUCT((MONTH(CHOOSE({1,2,3,4},KHP!U22,KHP!AA22,KHP!AG22,KHP!AM22))=11)*(CHOOSE({1,2,3,4},KHP!X22,KHP!AD22,KHP!AJ22,KHP!AP22)))</f>
        <v>0</v>
      </c>
      <c r="L22">
        <f>SUMPRODUCT((MONTH(CHOOSE({1,2,3,4},KHP!U22,KHP!AA22,KHP!AG22,KHP!AM22))=12)*(CHOOSE({1,2,3,4},KHP!X22,KHP!AD22,KHP!AJ22,KHP!AP22)))</f>
        <v>0</v>
      </c>
    </row>
    <row r="23" spans="1:12">
      <c r="A23">
        <f>SUMPRODUCT((MONTH(CHOOSE({1,2,3,4},KHP!U23,KHP!AA23,KHP!AG23,KHP!AM23))=1)*(CHOOSE({1,2,3,4},KHP!X23,KHP!AD23,KHP!AJ23,KHP!AP23)))</f>
        <v>0</v>
      </c>
      <c r="B23">
        <f>SUMPRODUCT((MONTH(CHOOSE({1,2,3,4},KHP!U23,KHP!AA23,KHP!AG23,KHP!AM23))=2)*(CHOOSE({1,2,3,4},KHP!X23,KHP!AD23,KHP!AJ23,KHP!AP23)))</f>
        <v>0</v>
      </c>
      <c r="C23">
        <f>SUMPRODUCT((MONTH(CHOOSE({1,2,3,4},KHP!U23,KHP!AA23,KHP!AG23,KHP!AM23))=3)*(CHOOSE({1,2,3,4},KHP!X23,KHP!AD23,KHP!AJ23,KHP!AP23)))</f>
        <v>0</v>
      </c>
      <c r="D23">
        <f>SUMPRODUCT((MONTH(CHOOSE({1,2,3,4},KHP!U23,KHP!AA23,KHP!AG23,KHP!AM23))=4)*(CHOOSE({1,2,3,4},KHP!X23,KHP!AD23,KHP!AJ23,KHP!AP23)))</f>
        <v>0</v>
      </c>
      <c r="E23">
        <f>SUMPRODUCT((MONTH(CHOOSE({1,2,3,4},KHP!U23,KHP!AA23,KHP!AG23,KHP!AM23))=5)*(CHOOSE({1,2,3,4},KHP!X23,KHP!AD23,KHP!AJ23,KHP!AP23)))</f>
        <v>0</v>
      </c>
      <c r="F23">
        <f>SUMPRODUCT((MONTH(CHOOSE({1,2,3,4},KHP!U23,KHP!AA23,KHP!AG23,KHP!AM23))=6)*(CHOOSE({1,2,3,4},KHP!X23,KHP!AD23,KHP!AJ23,KHP!AP23)))</f>
        <v>0</v>
      </c>
      <c r="G23">
        <f>SUMPRODUCT((MONTH(CHOOSE({1,2,3,4},KHP!U23,KHP!AA23,KHP!AG23,KHP!AM23))=7)*(CHOOSE({1,2,3,4},KHP!X23,KHP!AD23,KHP!AJ23,KHP!AP23)))</f>
        <v>0</v>
      </c>
      <c r="H23">
        <f>SUMPRODUCT((MONTH(CHOOSE({1,2,3,4},KHP!U23,KHP!AA23,KHP!AG23,KHP!AM23))=8)*(CHOOSE({1,2,3,4},KHP!X23,KHP!AD23,KHP!AJ23,KHP!AP23)))</f>
        <v>0</v>
      </c>
      <c r="I23">
        <f>SUMPRODUCT((MONTH(CHOOSE({1,2,3,4},KHP!U23,KHP!AA23,KHP!AG23,KHP!AM23))=9)*(CHOOSE({1,2,3,4},KHP!X23,KHP!AD23,KHP!AJ23,KHP!AP23)))</f>
        <v>0</v>
      </c>
      <c r="J23">
        <f>SUMPRODUCT((MONTH(CHOOSE({1,2,3,4},KHP!U23,KHP!AA23,KHP!AG23,KHP!AM23))=10)*(CHOOSE({1,2,3,4},KHP!X23,KHP!AD23,KHP!AJ23,KHP!AP23)))</f>
        <v>0</v>
      </c>
      <c r="K23">
        <f>SUMPRODUCT((MONTH(CHOOSE({1,2,3,4},KHP!U23,KHP!AA23,KHP!AG23,KHP!AM23))=11)*(CHOOSE({1,2,3,4},KHP!X23,KHP!AD23,KHP!AJ23,KHP!AP23)))</f>
        <v>0</v>
      </c>
      <c r="L23">
        <f>SUMPRODUCT((MONTH(CHOOSE({1,2,3,4},KHP!U23,KHP!AA23,KHP!AG23,KHP!AM23))=12)*(CHOOSE({1,2,3,4},KHP!X23,KHP!AD23,KHP!AJ23,KHP!AP23)))</f>
        <v>0</v>
      </c>
    </row>
    <row r="24" spans="1:12">
      <c r="A24">
        <f>SUMPRODUCT((MONTH(CHOOSE({1,2,3,4},KHP!U24,KHP!AA24,KHP!AG24,KHP!AM24))=1)*(CHOOSE({1,2,3,4},KHP!X24,KHP!AD24,KHP!AJ24,KHP!AP24)))</f>
        <v>0</v>
      </c>
      <c r="B24">
        <f>SUMPRODUCT((MONTH(CHOOSE({1,2,3,4},KHP!U24,KHP!AA24,KHP!AG24,KHP!AM24))=2)*(CHOOSE({1,2,3,4},KHP!X24,KHP!AD24,KHP!AJ24,KHP!AP24)))</f>
        <v>0</v>
      </c>
      <c r="C24">
        <f>SUMPRODUCT((MONTH(CHOOSE({1,2,3,4},KHP!U24,KHP!AA24,KHP!AG24,KHP!AM24))=3)*(CHOOSE({1,2,3,4},KHP!X24,KHP!AD24,KHP!AJ24,KHP!AP24)))</f>
        <v>0</v>
      </c>
      <c r="D24">
        <f>SUMPRODUCT((MONTH(CHOOSE({1,2,3,4},KHP!U24,KHP!AA24,KHP!AG24,KHP!AM24))=4)*(CHOOSE({1,2,3,4},KHP!X24,KHP!AD24,KHP!AJ24,KHP!AP24)))</f>
        <v>0</v>
      </c>
      <c r="E24">
        <f>SUMPRODUCT((MONTH(CHOOSE({1,2,3,4},KHP!U24,KHP!AA24,KHP!AG24,KHP!AM24))=5)*(CHOOSE({1,2,3,4},KHP!X24,KHP!AD24,KHP!AJ24,KHP!AP24)))</f>
        <v>0</v>
      </c>
      <c r="F24">
        <f>SUMPRODUCT((MONTH(CHOOSE({1,2,3,4},KHP!U24,KHP!AA24,KHP!AG24,KHP!AM24))=6)*(CHOOSE({1,2,3,4},KHP!X24,KHP!AD24,KHP!AJ24,KHP!AP24)))</f>
        <v>0</v>
      </c>
      <c r="G24">
        <f>SUMPRODUCT((MONTH(CHOOSE({1,2,3,4},KHP!U24,KHP!AA24,KHP!AG24,KHP!AM24))=7)*(CHOOSE({1,2,3,4},KHP!X24,KHP!AD24,KHP!AJ24,KHP!AP24)))</f>
        <v>0</v>
      </c>
      <c r="H24">
        <f>SUMPRODUCT((MONTH(CHOOSE({1,2,3,4},KHP!U24,KHP!AA24,KHP!AG24,KHP!AM24))=8)*(CHOOSE({1,2,3,4},KHP!X24,KHP!AD24,KHP!AJ24,KHP!AP24)))</f>
        <v>0</v>
      </c>
      <c r="I24">
        <f>SUMPRODUCT((MONTH(CHOOSE({1,2,3,4},KHP!U24,KHP!AA24,KHP!AG24,KHP!AM24))=9)*(CHOOSE({1,2,3,4},KHP!X24,KHP!AD24,KHP!AJ24,KHP!AP24)))</f>
        <v>0</v>
      </c>
      <c r="J24">
        <f>SUMPRODUCT((MONTH(CHOOSE({1,2,3,4},KHP!U24,KHP!AA24,KHP!AG24,KHP!AM24))=10)*(CHOOSE({1,2,3,4},KHP!X24,KHP!AD24,KHP!AJ24,KHP!AP24)))</f>
        <v>0</v>
      </c>
      <c r="K24">
        <f>SUMPRODUCT((MONTH(CHOOSE({1,2,3,4},KHP!U24,KHP!AA24,KHP!AG24,KHP!AM24))=11)*(CHOOSE({1,2,3,4},KHP!X24,KHP!AD24,KHP!AJ24,KHP!AP24)))</f>
        <v>0</v>
      </c>
      <c r="L24">
        <f>SUMPRODUCT((MONTH(CHOOSE({1,2,3,4},KHP!U24,KHP!AA24,KHP!AG24,KHP!AM24))=12)*(CHOOSE({1,2,3,4},KHP!X24,KHP!AD24,KHP!AJ24,KHP!AP24)))</f>
        <v>0</v>
      </c>
    </row>
    <row r="25" spans="1:12">
      <c r="A25">
        <f>SUMPRODUCT((MONTH(CHOOSE({1,2,3,4},KHP!U25,KHP!AA25,KHP!AG25,KHP!AM25))=1)*(CHOOSE({1,2,3,4},KHP!X25,KHP!AD25,KHP!AJ25,KHP!AP25)))</f>
        <v>0</v>
      </c>
      <c r="B25">
        <f>SUMPRODUCT((MONTH(CHOOSE({1,2,3,4},KHP!U25,KHP!AA25,KHP!AG25,KHP!AM25))=2)*(CHOOSE({1,2,3,4},KHP!X25,KHP!AD25,KHP!AJ25,KHP!AP25)))</f>
        <v>0</v>
      </c>
      <c r="C25">
        <f>SUMPRODUCT((MONTH(CHOOSE({1,2,3,4},KHP!U25,KHP!AA25,KHP!AG25,KHP!AM25))=3)*(CHOOSE({1,2,3,4},KHP!X25,KHP!AD25,KHP!AJ25,KHP!AP25)))</f>
        <v>0</v>
      </c>
      <c r="D25">
        <f>SUMPRODUCT((MONTH(CHOOSE({1,2,3,4},KHP!U25,KHP!AA25,KHP!AG25,KHP!AM25))=4)*(CHOOSE({1,2,3,4},KHP!X25,KHP!AD25,KHP!AJ25,KHP!AP25)))</f>
        <v>0</v>
      </c>
      <c r="E25">
        <f>SUMPRODUCT((MONTH(CHOOSE({1,2,3,4},KHP!U25,KHP!AA25,KHP!AG25,KHP!AM25))=5)*(CHOOSE({1,2,3,4},KHP!X25,KHP!AD25,KHP!AJ25,KHP!AP25)))</f>
        <v>0</v>
      </c>
      <c r="F25">
        <f>SUMPRODUCT((MONTH(CHOOSE({1,2,3,4},KHP!U25,KHP!AA25,KHP!AG25,KHP!AM25))=6)*(CHOOSE({1,2,3,4},KHP!X25,KHP!AD25,KHP!AJ25,KHP!AP25)))</f>
        <v>0</v>
      </c>
      <c r="G25">
        <f>SUMPRODUCT((MONTH(CHOOSE({1,2,3,4},KHP!U25,KHP!AA25,KHP!AG25,KHP!AM25))=7)*(CHOOSE({1,2,3,4},KHP!X25,KHP!AD25,KHP!AJ25,KHP!AP25)))</f>
        <v>0</v>
      </c>
      <c r="H25">
        <f>SUMPRODUCT((MONTH(CHOOSE({1,2,3,4},KHP!U25,KHP!AA25,KHP!AG25,KHP!AM25))=8)*(CHOOSE({1,2,3,4},KHP!X25,KHP!AD25,KHP!AJ25,KHP!AP25)))</f>
        <v>0</v>
      </c>
      <c r="I25">
        <f>SUMPRODUCT((MONTH(CHOOSE({1,2,3,4},KHP!U25,KHP!AA25,KHP!AG25,KHP!AM25))=9)*(CHOOSE({1,2,3,4},KHP!X25,KHP!AD25,KHP!AJ25,KHP!AP25)))</f>
        <v>0</v>
      </c>
      <c r="J25">
        <f>SUMPRODUCT((MONTH(CHOOSE({1,2,3,4},KHP!U25,KHP!AA25,KHP!AG25,KHP!AM25))=10)*(CHOOSE({1,2,3,4},KHP!X25,KHP!AD25,KHP!AJ25,KHP!AP25)))</f>
        <v>0</v>
      </c>
      <c r="K25">
        <f>SUMPRODUCT((MONTH(CHOOSE({1,2,3,4},KHP!U25,KHP!AA25,KHP!AG25,KHP!AM25))=11)*(CHOOSE({1,2,3,4},KHP!X25,KHP!AD25,KHP!AJ25,KHP!AP25)))</f>
        <v>0</v>
      </c>
      <c r="L25">
        <f>SUMPRODUCT((MONTH(CHOOSE({1,2,3,4},KHP!U25,KHP!AA25,KHP!AG25,KHP!AM25))=12)*(CHOOSE({1,2,3,4},KHP!X25,KHP!AD25,KHP!AJ25,KHP!AP25)))</f>
        <v>0</v>
      </c>
    </row>
    <row r="26" spans="1:12">
      <c r="A26">
        <f>SUMPRODUCT((MONTH(CHOOSE({1,2,3,4},KHP!U26,KHP!AA26,KHP!AG26,KHP!AM26))=1)*(CHOOSE({1,2,3,4},KHP!X26,KHP!AD26,KHP!AJ26,KHP!AP26)))</f>
        <v>0</v>
      </c>
      <c r="B26">
        <f>SUMPRODUCT((MONTH(CHOOSE({1,2,3,4},KHP!U26,KHP!AA26,KHP!AG26,KHP!AM26))=2)*(CHOOSE({1,2,3,4},KHP!X26,KHP!AD26,KHP!AJ26,KHP!AP26)))</f>
        <v>0</v>
      </c>
      <c r="C26">
        <f>SUMPRODUCT((MONTH(CHOOSE({1,2,3,4},KHP!U26,KHP!AA26,KHP!AG26,KHP!AM26))=3)*(CHOOSE({1,2,3,4},KHP!X26,KHP!AD26,KHP!AJ26,KHP!AP26)))</f>
        <v>0</v>
      </c>
      <c r="D26">
        <f>SUMPRODUCT((MONTH(CHOOSE({1,2,3,4},KHP!U26,KHP!AA26,KHP!AG26,KHP!AM26))=4)*(CHOOSE({1,2,3,4},KHP!X26,KHP!AD26,KHP!AJ26,KHP!AP26)))</f>
        <v>0</v>
      </c>
      <c r="E26">
        <f>SUMPRODUCT((MONTH(CHOOSE({1,2,3,4},KHP!U26,KHP!AA26,KHP!AG26,KHP!AM26))=5)*(CHOOSE({1,2,3,4},KHP!X26,KHP!AD26,KHP!AJ26,KHP!AP26)))</f>
        <v>0</v>
      </c>
      <c r="F26">
        <f>SUMPRODUCT((MONTH(CHOOSE({1,2,3,4},KHP!U26,KHP!AA26,KHP!AG26,KHP!AM26))=6)*(CHOOSE({1,2,3,4},KHP!X26,KHP!AD26,KHP!AJ26,KHP!AP26)))</f>
        <v>0</v>
      </c>
      <c r="G26">
        <f>SUMPRODUCT((MONTH(CHOOSE({1,2,3,4},KHP!U26,KHP!AA26,KHP!AG26,KHP!AM26))=7)*(CHOOSE({1,2,3,4},KHP!X26,KHP!AD26,KHP!AJ26,KHP!AP26)))</f>
        <v>0</v>
      </c>
      <c r="H26">
        <f>SUMPRODUCT((MONTH(CHOOSE({1,2,3,4},KHP!U26,KHP!AA26,KHP!AG26,KHP!AM26))=8)*(CHOOSE({1,2,3,4},KHP!X26,KHP!AD26,KHP!AJ26,KHP!AP26)))</f>
        <v>0</v>
      </c>
      <c r="I26">
        <f>SUMPRODUCT((MONTH(CHOOSE({1,2,3,4},KHP!U26,KHP!AA26,KHP!AG26,KHP!AM26))=9)*(CHOOSE({1,2,3,4},KHP!X26,KHP!AD26,KHP!AJ26,KHP!AP26)))</f>
        <v>0</v>
      </c>
      <c r="J26">
        <f>SUMPRODUCT((MONTH(CHOOSE({1,2,3,4},KHP!U26,KHP!AA26,KHP!AG26,KHP!AM26))=10)*(CHOOSE({1,2,3,4},KHP!X26,KHP!AD26,KHP!AJ26,KHP!AP26)))</f>
        <v>0</v>
      </c>
      <c r="K26">
        <f>SUMPRODUCT((MONTH(CHOOSE({1,2,3,4},KHP!U26,KHP!AA26,KHP!AG26,KHP!AM26))=11)*(CHOOSE({1,2,3,4},KHP!X26,KHP!AD26,KHP!AJ26,KHP!AP26)))</f>
        <v>0</v>
      </c>
      <c r="L26">
        <f>SUMPRODUCT((MONTH(CHOOSE({1,2,3,4},KHP!U26,KHP!AA26,KHP!AG26,KHP!AM26))=12)*(CHOOSE({1,2,3,4},KHP!X26,KHP!AD26,KHP!AJ26,KHP!AP26)))</f>
        <v>0</v>
      </c>
    </row>
    <row r="27" spans="1:12">
      <c r="A27">
        <f>SUMPRODUCT((MONTH(CHOOSE({1,2,3,4},KHP!U27,KHP!AA27,KHP!AG27,KHP!AM27))=1)*(CHOOSE({1,2,3,4},KHP!X27,KHP!AD27,KHP!AJ27,KHP!AP27)))</f>
        <v>0</v>
      </c>
      <c r="B27">
        <f>SUMPRODUCT((MONTH(CHOOSE({1,2,3,4},KHP!U27,KHP!AA27,KHP!AG27,KHP!AM27))=2)*(CHOOSE({1,2,3,4},KHP!X27,KHP!AD27,KHP!AJ27,KHP!AP27)))</f>
        <v>0</v>
      </c>
      <c r="C27">
        <f>SUMPRODUCT((MONTH(CHOOSE({1,2,3,4},KHP!U27,KHP!AA27,KHP!AG27,KHP!AM27))=3)*(CHOOSE({1,2,3,4},KHP!X27,KHP!AD27,KHP!AJ27,KHP!AP27)))</f>
        <v>0</v>
      </c>
      <c r="D27">
        <f>SUMPRODUCT((MONTH(CHOOSE({1,2,3,4},KHP!U27,KHP!AA27,KHP!AG27,KHP!AM27))=4)*(CHOOSE({1,2,3,4},KHP!X27,KHP!AD27,KHP!AJ27,KHP!AP27)))</f>
        <v>0</v>
      </c>
      <c r="E27">
        <f>SUMPRODUCT((MONTH(CHOOSE({1,2,3,4},KHP!U27,KHP!AA27,KHP!AG27,KHP!AM27))=5)*(CHOOSE({1,2,3,4},KHP!X27,KHP!AD27,KHP!AJ27,KHP!AP27)))</f>
        <v>0</v>
      </c>
      <c r="F27">
        <f>SUMPRODUCT((MONTH(CHOOSE({1,2,3,4},KHP!U27,KHP!AA27,KHP!AG27,KHP!AM27))=6)*(CHOOSE({1,2,3,4},KHP!X27,KHP!AD27,KHP!AJ27,KHP!AP27)))</f>
        <v>0</v>
      </c>
      <c r="G27">
        <f>SUMPRODUCT((MONTH(CHOOSE({1,2,3,4},KHP!U27,KHP!AA27,KHP!AG27,KHP!AM27))=7)*(CHOOSE({1,2,3,4},KHP!X27,KHP!AD27,KHP!AJ27,KHP!AP27)))</f>
        <v>0</v>
      </c>
      <c r="H27">
        <f>SUMPRODUCT((MONTH(CHOOSE({1,2,3,4},KHP!U27,KHP!AA27,KHP!AG27,KHP!AM27))=8)*(CHOOSE({1,2,3,4},KHP!X27,KHP!AD27,KHP!AJ27,KHP!AP27)))</f>
        <v>0</v>
      </c>
      <c r="I27">
        <f>SUMPRODUCT((MONTH(CHOOSE({1,2,3,4},KHP!U27,KHP!AA27,KHP!AG27,KHP!AM27))=9)*(CHOOSE({1,2,3,4},KHP!X27,KHP!AD27,KHP!AJ27,KHP!AP27)))</f>
        <v>0</v>
      </c>
      <c r="J27">
        <f>SUMPRODUCT((MONTH(CHOOSE({1,2,3,4},KHP!U27,KHP!AA27,KHP!AG27,KHP!AM27))=10)*(CHOOSE({1,2,3,4},KHP!X27,KHP!AD27,KHP!AJ27,KHP!AP27)))</f>
        <v>0</v>
      </c>
      <c r="K27">
        <f>SUMPRODUCT((MONTH(CHOOSE({1,2,3,4},KHP!U27,KHP!AA27,KHP!AG27,KHP!AM27))=11)*(CHOOSE({1,2,3,4},KHP!X27,KHP!AD27,KHP!AJ27,KHP!AP27)))</f>
        <v>0</v>
      </c>
      <c r="L27">
        <f>SUMPRODUCT((MONTH(CHOOSE({1,2,3,4},KHP!U27,KHP!AA27,KHP!AG27,KHP!AM27))=12)*(CHOOSE({1,2,3,4},KHP!X27,KHP!AD27,KHP!AJ27,KHP!AP27)))</f>
        <v>0</v>
      </c>
    </row>
    <row r="28" spans="1:12">
      <c r="A28">
        <f>SUMPRODUCT((MONTH(CHOOSE({1,2,3,4},KHP!U28,KHP!AA28,KHP!AG28,KHP!AM28))=1)*(CHOOSE({1,2,3,4},KHP!X28,KHP!AD28,KHP!AJ28,KHP!AP28)))</f>
        <v>0</v>
      </c>
      <c r="B28">
        <f>SUMPRODUCT((MONTH(CHOOSE({1,2,3,4},KHP!U28,KHP!AA28,KHP!AG28,KHP!AM28))=2)*(CHOOSE({1,2,3,4},KHP!X28,KHP!AD28,KHP!AJ28,KHP!AP28)))</f>
        <v>0</v>
      </c>
      <c r="C28">
        <f>SUMPRODUCT((MONTH(CHOOSE({1,2,3,4},KHP!U28,KHP!AA28,KHP!AG28,KHP!AM28))=3)*(CHOOSE({1,2,3,4},KHP!X28,KHP!AD28,KHP!AJ28,KHP!AP28)))</f>
        <v>0</v>
      </c>
      <c r="D28">
        <f>SUMPRODUCT((MONTH(CHOOSE({1,2,3,4},KHP!U28,KHP!AA28,KHP!AG28,KHP!AM28))=4)*(CHOOSE({1,2,3,4},KHP!X28,KHP!AD28,KHP!AJ28,KHP!AP28)))</f>
        <v>0</v>
      </c>
      <c r="E28">
        <f>SUMPRODUCT((MONTH(CHOOSE({1,2,3,4},KHP!U28,KHP!AA28,KHP!AG28,KHP!AM28))=5)*(CHOOSE({1,2,3,4},KHP!X28,KHP!AD28,KHP!AJ28,KHP!AP28)))</f>
        <v>0</v>
      </c>
      <c r="F28">
        <f>SUMPRODUCT((MONTH(CHOOSE({1,2,3,4},KHP!U28,KHP!AA28,KHP!AG28,KHP!AM28))=6)*(CHOOSE({1,2,3,4},KHP!X28,KHP!AD28,KHP!AJ28,KHP!AP28)))</f>
        <v>0</v>
      </c>
      <c r="G28">
        <f>SUMPRODUCT((MONTH(CHOOSE({1,2,3,4},KHP!U28,KHP!AA28,KHP!AG28,KHP!AM28))=7)*(CHOOSE({1,2,3,4},KHP!X28,KHP!AD28,KHP!AJ28,KHP!AP28)))</f>
        <v>0</v>
      </c>
      <c r="H28">
        <f>SUMPRODUCT((MONTH(CHOOSE({1,2,3,4},KHP!U28,KHP!AA28,KHP!AG28,KHP!AM28))=8)*(CHOOSE({1,2,3,4},KHP!X28,KHP!AD28,KHP!AJ28,KHP!AP28)))</f>
        <v>0</v>
      </c>
      <c r="I28">
        <f>SUMPRODUCT((MONTH(CHOOSE({1,2,3,4},KHP!U28,KHP!AA28,KHP!AG28,KHP!AM28))=9)*(CHOOSE({1,2,3,4},KHP!X28,KHP!AD28,KHP!AJ28,KHP!AP28)))</f>
        <v>0</v>
      </c>
      <c r="J28">
        <f>SUMPRODUCT((MONTH(CHOOSE({1,2,3,4},KHP!U28,KHP!AA28,KHP!AG28,KHP!AM28))=10)*(CHOOSE({1,2,3,4},KHP!X28,KHP!AD28,KHP!AJ28,KHP!AP28)))</f>
        <v>0</v>
      </c>
      <c r="K28">
        <f>SUMPRODUCT((MONTH(CHOOSE({1,2,3,4},KHP!U28,KHP!AA28,KHP!AG28,KHP!AM28))=11)*(CHOOSE({1,2,3,4},KHP!X28,KHP!AD28,KHP!AJ28,KHP!AP28)))</f>
        <v>0</v>
      </c>
      <c r="L28">
        <f>SUMPRODUCT((MONTH(CHOOSE({1,2,3,4},KHP!U28,KHP!AA28,KHP!AG28,KHP!AM28))=12)*(CHOOSE({1,2,3,4},KHP!X28,KHP!AD28,KHP!AJ28,KHP!AP28)))</f>
        <v>0</v>
      </c>
    </row>
    <row r="29" spans="1:12">
      <c r="A29">
        <f>SUMPRODUCT((MONTH(CHOOSE({1,2,3,4},KHP!U29,KHP!AA29,KHP!AG29,KHP!AM29))=1)*(CHOOSE({1,2,3,4},KHP!X29,KHP!AD29,KHP!AJ29,KHP!AP29)))</f>
        <v>0</v>
      </c>
      <c r="B29">
        <f>SUMPRODUCT((MONTH(CHOOSE({1,2,3,4},KHP!U29,KHP!AA29,KHP!AG29,KHP!AM29))=2)*(CHOOSE({1,2,3,4},KHP!X29,KHP!AD29,KHP!AJ29,KHP!AP29)))</f>
        <v>0</v>
      </c>
      <c r="C29">
        <f>SUMPRODUCT((MONTH(CHOOSE({1,2,3,4},KHP!U29,KHP!AA29,KHP!AG29,KHP!AM29))=3)*(CHOOSE({1,2,3,4},KHP!X29,KHP!AD29,KHP!AJ29,KHP!AP29)))</f>
        <v>0</v>
      </c>
      <c r="D29">
        <f>SUMPRODUCT((MONTH(CHOOSE({1,2,3,4},KHP!U29,KHP!AA29,KHP!AG29,KHP!AM29))=4)*(CHOOSE({1,2,3,4},KHP!X29,KHP!AD29,KHP!AJ29,KHP!AP29)))</f>
        <v>0</v>
      </c>
      <c r="E29">
        <f>SUMPRODUCT((MONTH(CHOOSE({1,2,3,4},KHP!U29,KHP!AA29,KHP!AG29,KHP!AM29))=5)*(CHOOSE({1,2,3,4},KHP!X29,KHP!AD29,KHP!AJ29,KHP!AP29)))</f>
        <v>0</v>
      </c>
      <c r="F29">
        <f>SUMPRODUCT((MONTH(CHOOSE({1,2,3,4},KHP!U29,KHP!AA29,KHP!AG29,KHP!AM29))=6)*(CHOOSE({1,2,3,4},KHP!X29,KHP!AD29,KHP!AJ29,KHP!AP29)))</f>
        <v>0</v>
      </c>
      <c r="G29">
        <f>SUMPRODUCT((MONTH(CHOOSE({1,2,3,4},KHP!U29,KHP!AA29,KHP!AG29,KHP!AM29))=7)*(CHOOSE({1,2,3,4},KHP!X29,KHP!AD29,KHP!AJ29,KHP!AP29)))</f>
        <v>0</v>
      </c>
      <c r="H29">
        <f>SUMPRODUCT((MONTH(CHOOSE({1,2,3,4},KHP!U29,KHP!AA29,KHP!AG29,KHP!AM29))=8)*(CHOOSE({1,2,3,4},KHP!X29,KHP!AD29,KHP!AJ29,KHP!AP29)))</f>
        <v>0</v>
      </c>
      <c r="I29">
        <f>SUMPRODUCT((MONTH(CHOOSE({1,2,3,4},KHP!U29,KHP!AA29,KHP!AG29,KHP!AM29))=9)*(CHOOSE({1,2,3,4},KHP!X29,KHP!AD29,KHP!AJ29,KHP!AP29)))</f>
        <v>0</v>
      </c>
      <c r="J29">
        <f>SUMPRODUCT((MONTH(CHOOSE({1,2,3,4},KHP!U29,KHP!AA29,KHP!AG29,KHP!AM29))=10)*(CHOOSE({1,2,3,4},KHP!X29,KHP!AD29,KHP!AJ29,KHP!AP29)))</f>
        <v>0</v>
      </c>
      <c r="K29">
        <f>SUMPRODUCT((MONTH(CHOOSE({1,2,3,4},KHP!U29,KHP!AA29,KHP!AG29,KHP!AM29))=11)*(CHOOSE({1,2,3,4},KHP!X29,KHP!AD29,KHP!AJ29,KHP!AP29)))</f>
        <v>0</v>
      </c>
      <c r="L29">
        <f>SUMPRODUCT((MONTH(CHOOSE({1,2,3,4},KHP!U29,KHP!AA29,KHP!AG29,KHP!AM29))=12)*(CHOOSE({1,2,3,4},KHP!X29,KHP!AD29,KHP!AJ29,KHP!AP29)))</f>
        <v>0</v>
      </c>
    </row>
    <row r="30" spans="1:12">
      <c r="A30">
        <f>SUMPRODUCT((MONTH(CHOOSE({1,2,3,4},KHP!U30,KHP!AA30,KHP!AG30,KHP!AM30))=1)*(CHOOSE({1,2,3,4},KHP!X30,KHP!AD30,KHP!AJ30,KHP!AP30)))</f>
        <v>0</v>
      </c>
      <c r="B30">
        <f>SUMPRODUCT((MONTH(CHOOSE({1,2,3,4},KHP!U30,KHP!AA30,KHP!AG30,KHP!AM30))=2)*(CHOOSE({1,2,3,4},KHP!X30,KHP!AD30,KHP!AJ30,KHP!AP30)))</f>
        <v>0</v>
      </c>
      <c r="C30">
        <f>SUMPRODUCT((MONTH(CHOOSE({1,2,3,4},KHP!U30,KHP!AA30,KHP!AG30,KHP!AM30))=3)*(CHOOSE({1,2,3,4},KHP!X30,KHP!AD30,KHP!AJ30,KHP!AP30)))</f>
        <v>0</v>
      </c>
      <c r="D30">
        <f>SUMPRODUCT((MONTH(CHOOSE({1,2,3,4},KHP!U30,KHP!AA30,KHP!AG30,KHP!AM30))=4)*(CHOOSE({1,2,3,4},KHP!X30,KHP!AD30,KHP!AJ30,KHP!AP30)))</f>
        <v>0</v>
      </c>
      <c r="E30">
        <f>SUMPRODUCT((MONTH(CHOOSE({1,2,3,4},KHP!U30,KHP!AA30,KHP!AG30,KHP!AM30))=5)*(CHOOSE({1,2,3,4},KHP!X30,KHP!AD30,KHP!AJ30,KHP!AP30)))</f>
        <v>0</v>
      </c>
      <c r="F30">
        <f>SUMPRODUCT((MONTH(CHOOSE({1,2,3,4},KHP!U30,KHP!AA30,KHP!AG30,KHP!AM30))=6)*(CHOOSE({1,2,3,4},KHP!X30,KHP!AD30,KHP!AJ30,KHP!AP30)))</f>
        <v>0</v>
      </c>
      <c r="G30">
        <f>SUMPRODUCT((MONTH(CHOOSE({1,2,3,4},KHP!U30,KHP!AA30,KHP!AG30,KHP!AM30))=7)*(CHOOSE({1,2,3,4},KHP!X30,KHP!AD30,KHP!AJ30,KHP!AP30)))</f>
        <v>0</v>
      </c>
      <c r="H30">
        <f>SUMPRODUCT((MONTH(CHOOSE({1,2,3,4},KHP!U30,KHP!AA30,KHP!AG30,KHP!AM30))=8)*(CHOOSE({1,2,3,4},KHP!X30,KHP!AD30,KHP!AJ30,KHP!AP30)))</f>
        <v>0</v>
      </c>
      <c r="I30">
        <f>SUMPRODUCT((MONTH(CHOOSE({1,2,3,4},KHP!U30,KHP!AA30,KHP!AG30,KHP!AM30))=9)*(CHOOSE({1,2,3,4},KHP!X30,KHP!AD30,KHP!AJ30,KHP!AP30)))</f>
        <v>0</v>
      </c>
      <c r="J30">
        <f>SUMPRODUCT((MONTH(CHOOSE({1,2,3,4},KHP!U30,KHP!AA30,KHP!AG30,KHP!AM30))=10)*(CHOOSE({1,2,3,4},KHP!X30,KHP!AD30,KHP!AJ30,KHP!AP30)))</f>
        <v>0</v>
      </c>
      <c r="K30">
        <f>SUMPRODUCT((MONTH(CHOOSE({1,2,3,4},KHP!U30,KHP!AA30,KHP!AG30,KHP!AM30))=11)*(CHOOSE({1,2,3,4},KHP!X30,KHP!AD30,KHP!AJ30,KHP!AP30)))</f>
        <v>0</v>
      </c>
      <c r="L30">
        <f>SUMPRODUCT((MONTH(CHOOSE({1,2,3,4},KHP!U30,KHP!AA30,KHP!AG30,KHP!AM30))=12)*(CHOOSE({1,2,3,4},KHP!X30,KHP!AD30,KHP!AJ30,KHP!AP30)))</f>
        <v>0</v>
      </c>
    </row>
    <row r="31" spans="1:12">
      <c r="A31">
        <f>SUMPRODUCT((MONTH(CHOOSE({1,2,3,4},KHP!U31,KHP!AA31,KHP!AG31,KHP!AM31))=1)*(CHOOSE({1,2,3,4},KHP!X31,KHP!AD31,KHP!AJ31,KHP!AP31)))</f>
        <v>0</v>
      </c>
      <c r="B31">
        <f>SUMPRODUCT((MONTH(CHOOSE({1,2,3,4},KHP!U31,KHP!AA31,KHP!AG31,KHP!AM31))=2)*(CHOOSE({1,2,3,4},KHP!X31,KHP!AD31,KHP!AJ31,KHP!AP31)))</f>
        <v>0</v>
      </c>
      <c r="C31">
        <f>SUMPRODUCT((MONTH(CHOOSE({1,2,3,4},KHP!U31,KHP!AA31,KHP!AG31,KHP!AM31))=3)*(CHOOSE({1,2,3,4},KHP!X31,KHP!AD31,KHP!AJ31,KHP!AP31)))</f>
        <v>0</v>
      </c>
      <c r="D31">
        <f>SUMPRODUCT((MONTH(CHOOSE({1,2,3,4},KHP!U31,KHP!AA31,KHP!AG31,KHP!AM31))=4)*(CHOOSE({1,2,3,4},KHP!X31,KHP!AD31,KHP!AJ31,KHP!AP31)))</f>
        <v>0</v>
      </c>
      <c r="E31">
        <f>SUMPRODUCT((MONTH(CHOOSE({1,2,3,4},KHP!U31,KHP!AA31,KHP!AG31,KHP!AM31))=5)*(CHOOSE({1,2,3,4},KHP!X31,KHP!AD31,KHP!AJ31,KHP!AP31)))</f>
        <v>0</v>
      </c>
      <c r="F31">
        <f>SUMPRODUCT((MONTH(CHOOSE({1,2,3,4},KHP!U31,KHP!AA31,KHP!AG31,KHP!AM31))=6)*(CHOOSE({1,2,3,4},KHP!X31,KHP!AD31,KHP!AJ31,KHP!AP31)))</f>
        <v>0</v>
      </c>
      <c r="G31">
        <f>SUMPRODUCT((MONTH(CHOOSE({1,2,3,4},KHP!U31,KHP!AA31,KHP!AG31,KHP!AM31))=7)*(CHOOSE({1,2,3,4},KHP!X31,KHP!AD31,KHP!AJ31,KHP!AP31)))</f>
        <v>0</v>
      </c>
      <c r="H31">
        <f>SUMPRODUCT((MONTH(CHOOSE({1,2,3,4},KHP!U31,KHP!AA31,KHP!AG31,KHP!AM31))=8)*(CHOOSE({1,2,3,4},KHP!X31,KHP!AD31,KHP!AJ31,KHP!AP31)))</f>
        <v>0</v>
      </c>
      <c r="I31">
        <f>SUMPRODUCT((MONTH(CHOOSE({1,2,3,4},KHP!U31,KHP!AA31,KHP!AG31,KHP!AM31))=9)*(CHOOSE({1,2,3,4},KHP!X31,KHP!AD31,KHP!AJ31,KHP!AP31)))</f>
        <v>0</v>
      </c>
      <c r="J31">
        <f>SUMPRODUCT((MONTH(CHOOSE({1,2,3,4},KHP!U31,KHP!AA31,KHP!AG31,KHP!AM31))=10)*(CHOOSE({1,2,3,4},KHP!X31,KHP!AD31,KHP!AJ31,KHP!AP31)))</f>
        <v>0</v>
      </c>
      <c r="K31">
        <f>SUMPRODUCT((MONTH(CHOOSE({1,2,3,4},KHP!U31,KHP!AA31,KHP!AG31,KHP!AM31))=11)*(CHOOSE({1,2,3,4},KHP!X31,KHP!AD31,KHP!AJ31,KHP!AP31)))</f>
        <v>0</v>
      </c>
      <c r="L31">
        <f>SUMPRODUCT((MONTH(CHOOSE({1,2,3,4},KHP!U31,KHP!AA31,KHP!AG31,KHP!AM31))=12)*(CHOOSE({1,2,3,4},KHP!X31,KHP!AD31,KHP!AJ31,KHP!AP31)))</f>
        <v>0</v>
      </c>
    </row>
    <row r="32" spans="1:12">
      <c r="A32">
        <f>SUMPRODUCT((MONTH(CHOOSE({1,2,3,4},KHP!U32,KHP!AA32,KHP!AG32,KHP!AM32))=1)*(CHOOSE({1,2,3,4},KHP!X32,KHP!AD32,KHP!AJ32,KHP!AP32)))</f>
        <v>0</v>
      </c>
      <c r="B32">
        <f>SUMPRODUCT((MONTH(CHOOSE({1,2,3,4},KHP!U32,KHP!AA32,KHP!AG32,KHP!AM32))=2)*(CHOOSE({1,2,3,4},KHP!X32,KHP!AD32,KHP!AJ32,KHP!AP32)))</f>
        <v>0</v>
      </c>
      <c r="C32">
        <f>SUMPRODUCT((MONTH(CHOOSE({1,2,3,4},KHP!U32,KHP!AA32,KHP!AG32,KHP!AM32))=3)*(CHOOSE({1,2,3,4},KHP!X32,KHP!AD32,KHP!AJ32,KHP!AP32)))</f>
        <v>0</v>
      </c>
      <c r="D32">
        <f>SUMPRODUCT((MONTH(CHOOSE({1,2,3,4},KHP!U32,KHP!AA32,KHP!AG32,KHP!AM32))=4)*(CHOOSE({1,2,3,4},KHP!X32,KHP!AD32,KHP!AJ32,KHP!AP32)))</f>
        <v>0</v>
      </c>
      <c r="E32">
        <f>SUMPRODUCT((MONTH(CHOOSE({1,2,3,4},KHP!U32,KHP!AA32,KHP!AG32,KHP!AM32))=5)*(CHOOSE({1,2,3,4},KHP!X32,KHP!AD32,KHP!AJ32,KHP!AP32)))</f>
        <v>0</v>
      </c>
      <c r="F32">
        <f>SUMPRODUCT((MONTH(CHOOSE({1,2,3,4},KHP!U32,KHP!AA32,KHP!AG32,KHP!AM32))=6)*(CHOOSE({1,2,3,4},KHP!X32,KHP!AD32,KHP!AJ32,KHP!AP32)))</f>
        <v>0</v>
      </c>
      <c r="G32">
        <f>SUMPRODUCT((MONTH(CHOOSE({1,2,3,4},KHP!U32,KHP!AA32,KHP!AG32,KHP!AM32))=7)*(CHOOSE({1,2,3,4},KHP!X32,KHP!AD32,KHP!AJ32,KHP!AP32)))</f>
        <v>0</v>
      </c>
      <c r="H32">
        <f>SUMPRODUCT((MONTH(CHOOSE({1,2,3,4},KHP!U32,KHP!AA32,KHP!AG32,KHP!AM32))=8)*(CHOOSE({1,2,3,4},KHP!X32,KHP!AD32,KHP!AJ32,KHP!AP32)))</f>
        <v>0</v>
      </c>
      <c r="I32">
        <f>SUMPRODUCT((MONTH(CHOOSE({1,2,3,4},KHP!U32,KHP!AA32,KHP!AG32,KHP!AM32))=9)*(CHOOSE({1,2,3,4},KHP!X32,KHP!AD32,KHP!AJ32,KHP!AP32)))</f>
        <v>0</v>
      </c>
      <c r="J32">
        <f>SUMPRODUCT((MONTH(CHOOSE({1,2,3,4},KHP!U32,KHP!AA32,KHP!AG32,KHP!AM32))=10)*(CHOOSE({1,2,3,4},KHP!X32,KHP!AD32,KHP!AJ32,KHP!AP32)))</f>
        <v>0</v>
      </c>
      <c r="K32">
        <f>SUMPRODUCT((MONTH(CHOOSE({1,2,3,4},KHP!U32,KHP!AA32,KHP!AG32,KHP!AM32))=11)*(CHOOSE({1,2,3,4},KHP!X32,KHP!AD32,KHP!AJ32,KHP!AP32)))</f>
        <v>0</v>
      </c>
      <c r="L32">
        <f>SUMPRODUCT((MONTH(CHOOSE({1,2,3,4},KHP!U32,KHP!AA32,KHP!AG32,KHP!AM32))=12)*(CHOOSE({1,2,3,4},KHP!X32,KHP!AD32,KHP!AJ32,KHP!AP32)))</f>
        <v>0</v>
      </c>
    </row>
    <row r="33" spans="1:12">
      <c r="A33">
        <f>SUMPRODUCT((MONTH(CHOOSE({1,2,3,4},KHP!U33,KHP!AA33,KHP!AG33,KHP!AM33))=1)*(CHOOSE({1,2,3,4},KHP!X33,KHP!AD33,KHP!AJ33,KHP!AP33)))</f>
        <v>0</v>
      </c>
      <c r="B33">
        <f>SUMPRODUCT((MONTH(CHOOSE({1,2,3,4},KHP!U33,KHP!AA33,KHP!AG33,KHP!AM33))=2)*(CHOOSE({1,2,3,4},KHP!X33,KHP!AD33,KHP!AJ33,KHP!AP33)))</f>
        <v>0</v>
      </c>
      <c r="C33">
        <f>SUMPRODUCT((MONTH(CHOOSE({1,2,3,4},KHP!U33,KHP!AA33,KHP!AG33,KHP!AM33))=3)*(CHOOSE({1,2,3,4},KHP!X33,KHP!AD33,KHP!AJ33,KHP!AP33)))</f>
        <v>0</v>
      </c>
      <c r="D33">
        <f>SUMPRODUCT((MONTH(CHOOSE({1,2,3,4},KHP!U33,KHP!AA33,KHP!AG33,KHP!AM33))=4)*(CHOOSE({1,2,3,4},KHP!X33,KHP!AD33,KHP!AJ33,KHP!AP33)))</f>
        <v>0</v>
      </c>
      <c r="E33">
        <f>SUMPRODUCT((MONTH(CHOOSE({1,2,3,4},KHP!U33,KHP!AA33,KHP!AG33,KHP!AM33))=5)*(CHOOSE({1,2,3,4},KHP!X33,KHP!AD33,KHP!AJ33,KHP!AP33)))</f>
        <v>0</v>
      </c>
      <c r="F33">
        <f>SUMPRODUCT((MONTH(CHOOSE({1,2,3,4},KHP!U33,KHP!AA33,KHP!AG33,KHP!AM33))=6)*(CHOOSE({1,2,3,4},KHP!X33,KHP!AD33,KHP!AJ33,KHP!AP33)))</f>
        <v>0</v>
      </c>
      <c r="G33">
        <f>SUMPRODUCT((MONTH(CHOOSE({1,2,3,4},KHP!U33,KHP!AA33,KHP!AG33,KHP!AM33))=7)*(CHOOSE({1,2,3,4},KHP!X33,KHP!AD33,KHP!AJ33,KHP!AP33)))</f>
        <v>0</v>
      </c>
      <c r="H33">
        <f>SUMPRODUCT((MONTH(CHOOSE({1,2,3,4},KHP!U33,KHP!AA33,KHP!AG33,KHP!AM33))=8)*(CHOOSE({1,2,3,4},KHP!X33,KHP!AD33,KHP!AJ33,KHP!AP33)))</f>
        <v>0</v>
      </c>
      <c r="I33">
        <f>SUMPRODUCT((MONTH(CHOOSE({1,2,3,4},KHP!U33,KHP!AA33,KHP!AG33,KHP!AM33))=9)*(CHOOSE({1,2,3,4},KHP!X33,KHP!AD33,KHP!AJ33,KHP!AP33)))</f>
        <v>0</v>
      </c>
      <c r="J33">
        <f>SUMPRODUCT((MONTH(CHOOSE({1,2,3,4},KHP!U33,KHP!AA33,KHP!AG33,KHP!AM33))=10)*(CHOOSE({1,2,3,4},KHP!X33,KHP!AD33,KHP!AJ33,KHP!AP33)))</f>
        <v>0</v>
      </c>
      <c r="K33">
        <f>SUMPRODUCT((MONTH(CHOOSE({1,2,3,4},KHP!U33,KHP!AA33,KHP!AG33,KHP!AM33))=11)*(CHOOSE({1,2,3,4},KHP!X33,KHP!AD33,KHP!AJ33,KHP!AP33)))</f>
        <v>0</v>
      </c>
      <c r="L33">
        <f>SUMPRODUCT((MONTH(CHOOSE({1,2,3,4},KHP!U33,KHP!AA33,KHP!AG33,KHP!AM33))=12)*(CHOOSE({1,2,3,4},KHP!X33,KHP!AD33,KHP!AJ33,KHP!AP33)))</f>
        <v>0</v>
      </c>
    </row>
    <row r="34" spans="1:12">
      <c r="A34">
        <f>SUMPRODUCT((MONTH(CHOOSE({1,2,3,4},KHP!U34,KHP!AA34,KHP!AG34,KHP!AM34))=1)*(CHOOSE({1,2,3,4},KHP!X34,KHP!AD34,KHP!AJ34,KHP!AP34)))</f>
        <v>0</v>
      </c>
      <c r="B34">
        <f>SUMPRODUCT((MONTH(CHOOSE({1,2,3,4},KHP!U34,KHP!AA34,KHP!AG34,KHP!AM34))=2)*(CHOOSE({1,2,3,4},KHP!X34,KHP!AD34,KHP!AJ34,KHP!AP34)))</f>
        <v>0</v>
      </c>
      <c r="C34">
        <f>SUMPRODUCT((MONTH(CHOOSE({1,2,3,4},KHP!U34,KHP!AA34,KHP!AG34,KHP!AM34))=3)*(CHOOSE({1,2,3,4},KHP!X34,KHP!AD34,KHP!AJ34,KHP!AP34)))</f>
        <v>0</v>
      </c>
      <c r="D34">
        <f>SUMPRODUCT((MONTH(CHOOSE({1,2,3,4},KHP!U34,KHP!AA34,KHP!AG34,KHP!AM34))=4)*(CHOOSE({1,2,3,4},KHP!X34,KHP!AD34,KHP!AJ34,KHP!AP34)))</f>
        <v>0</v>
      </c>
      <c r="E34">
        <f>SUMPRODUCT((MONTH(CHOOSE({1,2,3,4},KHP!U34,KHP!AA34,KHP!AG34,KHP!AM34))=5)*(CHOOSE({1,2,3,4},KHP!X34,KHP!AD34,KHP!AJ34,KHP!AP34)))</f>
        <v>0</v>
      </c>
      <c r="F34">
        <f>SUMPRODUCT((MONTH(CHOOSE({1,2,3,4},KHP!U34,KHP!AA34,KHP!AG34,KHP!AM34))=6)*(CHOOSE({1,2,3,4},KHP!X34,KHP!AD34,KHP!AJ34,KHP!AP34)))</f>
        <v>0</v>
      </c>
      <c r="G34">
        <f>SUMPRODUCT((MONTH(CHOOSE({1,2,3,4},KHP!U34,KHP!AA34,KHP!AG34,KHP!AM34))=7)*(CHOOSE({1,2,3,4},KHP!X34,KHP!AD34,KHP!AJ34,KHP!AP34)))</f>
        <v>0</v>
      </c>
      <c r="H34">
        <f>SUMPRODUCT((MONTH(CHOOSE({1,2,3,4},KHP!U34,KHP!AA34,KHP!AG34,KHP!AM34))=8)*(CHOOSE({1,2,3,4},KHP!X34,KHP!AD34,KHP!AJ34,KHP!AP34)))</f>
        <v>0</v>
      </c>
      <c r="I34">
        <f>SUMPRODUCT((MONTH(CHOOSE({1,2,3,4},KHP!U34,KHP!AA34,KHP!AG34,KHP!AM34))=9)*(CHOOSE({1,2,3,4},KHP!X34,KHP!AD34,KHP!AJ34,KHP!AP34)))</f>
        <v>0</v>
      </c>
      <c r="J34">
        <f>SUMPRODUCT((MONTH(CHOOSE({1,2,3,4},KHP!U34,KHP!AA34,KHP!AG34,KHP!AM34))=10)*(CHOOSE({1,2,3,4},KHP!X34,KHP!AD34,KHP!AJ34,KHP!AP34)))</f>
        <v>0</v>
      </c>
      <c r="K34">
        <f>SUMPRODUCT((MONTH(CHOOSE({1,2,3,4},KHP!U34,KHP!AA34,KHP!AG34,KHP!AM34))=11)*(CHOOSE({1,2,3,4},KHP!X34,KHP!AD34,KHP!AJ34,KHP!AP34)))</f>
        <v>0</v>
      </c>
      <c r="L34">
        <f>SUMPRODUCT((MONTH(CHOOSE({1,2,3,4},KHP!U34,KHP!AA34,KHP!AG34,KHP!AM34))=12)*(CHOOSE({1,2,3,4},KHP!X34,KHP!AD34,KHP!AJ34,KHP!AP34)))</f>
        <v>0</v>
      </c>
    </row>
    <row r="35" spans="1:12">
      <c r="A35">
        <f>SUMPRODUCT((MONTH(CHOOSE({1,2,3,4},KHP!U35,KHP!AA35,KHP!AG35,KHP!AM35))=1)*(CHOOSE({1,2,3,4},KHP!X35,KHP!AD35,KHP!AJ35,KHP!AP35)))</f>
        <v>0</v>
      </c>
      <c r="B35">
        <f>SUMPRODUCT((MONTH(CHOOSE({1,2,3,4},KHP!U35,KHP!AA35,KHP!AG35,KHP!AM35))=2)*(CHOOSE({1,2,3,4},KHP!X35,KHP!AD35,KHP!AJ35,KHP!AP35)))</f>
        <v>0</v>
      </c>
      <c r="C35">
        <f>SUMPRODUCT((MONTH(CHOOSE({1,2,3,4},KHP!U35,KHP!AA35,KHP!AG35,KHP!AM35))=3)*(CHOOSE({1,2,3,4},KHP!X35,KHP!AD35,KHP!AJ35,KHP!AP35)))</f>
        <v>0</v>
      </c>
      <c r="D35">
        <f>SUMPRODUCT((MONTH(CHOOSE({1,2,3,4},KHP!U35,KHP!AA35,KHP!AG35,KHP!AM35))=4)*(CHOOSE({1,2,3,4},KHP!X35,KHP!AD35,KHP!AJ35,KHP!AP35)))</f>
        <v>0</v>
      </c>
      <c r="E35">
        <f>SUMPRODUCT((MONTH(CHOOSE({1,2,3,4},KHP!U35,KHP!AA35,KHP!AG35,KHP!AM35))=5)*(CHOOSE({1,2,3,4},KHP!X35,KHP!AD35,KHP!AJ35,KHP!AP35)))</f>
        <v>0</v>
      </c>
      <c r="F35">
        <f>SUMPRODUCT((MONTH(CHOOSE({1,2,3,4},KHP!U35,KHP!AA35,KHP!AG35,KHP!AM35))=6)*(CHOOSE({1,2,3,4},KHP!X35,KHP!AD35,KHP!AJ35,KHP!AP35)))</f>
        <v>0</v>
      </c>
      <c r="G35">
        <f>SUMPRODUCT((MONTH(CHOOSE({1,2,3,4},KHP!U35,KHP!AA35,KHP!AG35,KHP!AM35))=7)*(CHOOSE({1,2,3,4},KHP!X35,KHP!AD35,KHP!AJ35,KHP!AP35)))</f>
        <v>0</v>
      </c>
      <c r="H35">
        <f>SUMPRODUCT((MONTH(CHOOSE({1,2,3,4},KHP!U35,KHP!AA35,KHP!AG35,KHP!AM35))=8)*(CHOOSE({1,2,3,4},KHP!X35,KHP!AD35,KHP!AJ35,KHP!AP35)))</f>
        <v>0</v>
      </c>
      <c r="I35">
        <f>SUMPRODUCT((MONTH(CHOOSE({1,2,3,4},KHP!U35,KHP!AA35,KHP!AG35,KHP!AM35))=9)*(CHOOSE({1,2,3,4},KHP!X35,KHP!AD35,KHP!AJ35,KHP!AP35)))</f>
        <v>0</v>
      </c>
      <c r="J35">
        <f>SUMPRODUCT((MONTH(CHOOSE({1,2,3,4},KHP!U35,KHP!AA35,KHP!AG35,KHP!AM35))=10)*(CHOOSE({1,2,3,4},KHP!X35,KHP!AD35,KHP!AJ35,KHP!AP35)))</f>
        <v>0</v>
      </c>
      <c r="K35">
        <f>SUMPRODUCT((MONTH(CHOOSE({1,2,3,4},KHP!U35,KHP!AA35,KHP!AG35,KHP!AM35))=11)*(CHOOSE({1,2,3,4},KHP!X35,KHP!AD35,KHP!AJ35,KHP!AP35)))</f>
        <v>0</v>
      </c>
      <c r="L35">
        <f>SUMPRODUCT((MONTH(CHOOSE({1,2,3,4},KHP!U35,KHP!AA35,KHP!AG35,KHP!AM35))=12)*(CHOOSE({1,2,3,4},KHP!X35,KHP!AD35,KHP!AJ35,KHP!AP35)))</f>
        <v>0</v>
      </c>
    </row>
    <row r="36" spans="1:12">
      <c r="A36">
        <f>SUMPRODUCT((MONTH(CHOOSE({1,2,3,4},KHP!U36,KHP!AA36,KHP!AG36,KHP!AM36))=1)*(CHOOSE({1,2,3,4},KHP!X36,KHP!AD36,KHP!AJ36,KHP!AP36)))</f>
        <v>0</v>
      </c>
      <c r="B36">
        <f>SUMPRODUCT((MONTH(CHOOSE({1,2,3,4},KHP!U36,KHP!AA36,KHP!AG36,KHP!AM36))=2)*(CHOOSE({1,2,3,4},KHP!X36,KHP!AD36,KHP!AJ36,KHP!AP36)))</f>
        <v>0</v>
      </c>
      <c r="C36">
        <f>SUMPRODUCT((MONTH(CHOOSE({1,2,3,4},KHP!U36,KHP!AA36,KHP!AG36,KHP!AM36))=3)*(CHOOSE({1,2,3,4},KHP!X36,KHP!AD36,KHP!AJ36,KHP!AP36)))</f>
        <v>0</v>
      </c>
      <c r="D36">
        <f>SUMPRODUCT((MONTH(CHOOSE({1,2,3,4},KHP!U36,KHP!AA36,KHP!AG36,KHP!AM36))=4)*(CHOOSE({1,2,3,4},KHP!X36,KHP!AD36,KHP!AJ36,KHP!AP36)))</f>
        <v>0</v>
      </c>
      <c r="E36">
        <f>SUMPRODUCT((MONTH(CHOOSE({1,2,3,4},KHP!U36,KHP!AA36,KHP!AG36,KHP!AM36))=5)*(CHOOSE({1,2,3,4},KHP!X36,KHP!AD36,KHP!AJ36,KHP!AP36)))</f>
        <v>0</v>
      </c>
      <c r="F36">
        <f>SUMPRODUCT((MONTH(CHOOSE({1,2,3,4},KHP!U36,KHP!AA36,KHP!AG36,KHP!AM36))=6)*(CHOOSE({1,2,3,4},KHP!X36,KHP!AD36,KHP!AJ36,KHP!AP36)))</f>
        <v>0</v>
      </c>
      <c r="G36">
        <f>SUMPRODUCT((MONTH(CHOOSE({1,2,3,4},KHP!U36,KHP!AA36,KHP!AG36,KHP!AM36))=7)*(CHOOSE({1,2,3,4},KHP!X36,KHP!AD36,KHP!AJ36,KHP!AP36)))</f>
        <v>0</v>
      </c>
      <c r="H36">
        <f>SUMPRODUCT((MONTH(CHOOSE({1,2,3,4},KHP!U36,KHP!AA36,KHP!AG36,KHP!AM36))=8)*(CHOOSE({1,2,3,4},KHP!X36,KHP!AD36,KHP!AJ36,KHP!AP36)))</f>
        <v>0</v>
      </c>
      <c r="I36">
        <f>SUMPRODUCT((MONTH(CHOOSE({1,2,3,4},KHP!U36,KHP!AA36,KHP!AG36,KHP!AM36))=9)*(CHOOSE({1,2,3,4},KHP!X36,KHP!AD36,KHP!AJ36,KHP!AP36)))</f>
        <v>0</v>
      </c>
      <c r="J36">
        <f>SUMPRODUCT((MONTH(CHOOSE({1,2,3,4},KHP!U36,KHP!AA36,KHP!AG36,KHP!AM36))=10)*(CHOOSE({1,2,3,4},KHP!X36,KHP!AD36,KHP!AJ36,KHP!AP36)))</f>
        <v>0</v>
      </c>
      <c r="K36">
        <f>SUMPRODUCT((MONTH(CHOOSE({1,2,3,4},KHP!U36,KHP!AA36,KHP!AG36,KHP!AM36))=11)*(CHOOSE({1,2,3,4},KHP!X36,KHP!AD36,KHP!AJ36,KHP!AP36)))</f>
        <v>0</v>
      </c>
      <c r="L36">
        <f>SUMPRODUCT((MONTH(CHOOSE({1,2,3,4},KHP!U36,KHP!AA36,KHP!AG36,KHP!AM36))=12)*(CHOOSE({1,2,3,4},KHP!X36,KHP!AD36,KHP!AJ36,KHP!AP36)))</f>
        <v>0</v>
      </c>
    </row>
    <row r="37" spans="1:12">
      <c r="A37">
        <f>SUMPRODUCT((MONTH(CHOOSE({1,2,3,4},KHP!U37,KHP!AA37,KHP!AG37,KHP!AM37))=1)*(CHOOSE({1,2,3,4},KHP!X37,KHP!AD37,KHP!AJ37,KHP!AP37)))</f>
        <v>0</v>
      </c>
      <c r="B37">
        <f>SUMPRODUCT((MONTH(CHOOSE({1,2,3,4},KHP!U37,KHP!AA37,KHP!AG37,KHP!AM37))=2)*(CHOOSE({1,2,3,4},KHP!X37,KHP!AD37,KHP!AJ37,KHP!AP37)))</f>
        <v>0</v>
      </c>
      <c r="C37">
        <f>SUMPRODUCT((MONTH(CHOOSE({1,2,3,4},KHP!U37,KHP!AA37,KHP!AG37,KHP!AM37))=3)*(CHOOSE({1,2,3,4},KHP!X37,KHP!AD37,KHP!AJ37,KHP!AP37)))</f>
        <v>0</v>
      </c>
      <c r="D37">
        <f>SUMPRODUCT((MONTH(CHOOSE({1,2,3,4},KHP!U37,KHP!AA37,KHP!AG37,KHP!AM37))=4)*(CHOOSE({1,2,3,4},KHP!X37,KHP!AD37,KHP!AJ37,KHP!AP37)))</f>
        <v>0</v>
      </c>
      <c r="E37">
        <f>SUMPRODUCT((MONTH(CHOOSE({1,2,3,4},KHP!U37,KHP!AA37,KHP!AG37,KHP!AM37))=5)*(CHOOSE({1,2,3,4},KHP!X37,KHP!AD37,KHP!AJ37,KHP!AP37)))</f>
        <v>0</v>
      </c>
      <c r="F37">
        <f>SUMPRODUCT((MONTH(CHOOSE({1,2,3,4},KHP!U37,KHP!AA37,KHP!AG37,KHP!AM37))=6)*(CHOOSE({1,2,3,4},KHP!X37,KHP!AD37,KHP!AJ37,KHP!AP37)))</f>
        <v>0</v>
      </c>
      <c r="G37">
        <f>SUMPRODUCT((MONTH(CHOOSE({1,2,3,4},KHP!U37,KHP!AA37,KHP!AG37,KHP!AM37))=7)*(CHOOSE({1,2,3,4},KHP!X37,KHP!AD37,KHP!AJ37,KHP!AP37)))</f>
        <v>0</v>
      </c>
      <c r="H37">
        <f>SUMPRODUCT((MONTH(CHOOSE({1,2,3,4},KHP!U37,KHP!AA37,KHP!AG37,KHP!AM37))=8)*(CHOOSE({1,2,3,4},KHP!X37,KHP!AD37,KHP!AJ37,KHP!AP37)))</f>
        <v>0</v>
      </c>
      <c r="I37">
        <f>SUMPRODUCT((MONTH(CHOOSE({1,2,3,4},KHP!U37,KHP!AA37,KHP!AG37,KHP!AM37))=9)*(CHOOSE({1,2,3,4},KHP!X37,KHP!AD37,KHP!AJ37,KHP!AP37)))</f>
        <v>0</v>
      </c>
      <c r="J37">
        <f>SUMPRODUCT((MONTH(CHOOSE({1,2,3,4},KHP!U37,KHP!AA37,KHP!AG37,KHP!AM37))=10)*(CHOOSE({1,2,3,4},KHP!X37,KHP!AD37,KHP!AJ37,KHP!AP37)))</f>
        <v>0</v>
      </c>
      <c r="K37">
        <f>SUMPRODUCT((MONTH(CHOOSE({1,2,3,4},KHP!U37,KHP!AA37,KHP!AG37,KHP!AM37))=11)*(CHOOSE({1,2,3,4},KHP!X37,KHP!AD37,KHP!AJ37,KHP!AP37)))</f>
        <v>0</v>
      </c>
      <c r="L37">
        <f>SUMPRODUCT((MONTH(CHOOSE({1,2,3,4},KHP!U37,KHP!AA37,KHP!AG37,KHP!AM37))=12)*(CHOOSE({1,2,3,4},KHP!X37,KHP!AD37,KHP!AJ37,KHP!AP37)))</f>
        <v>0</v>
      </c>
    </row>
    <row r="38" spans="1:12">
      <c r="A38">
        <f>SUMPRODUCT((MONTH(CHOOSE({1,2,3,4},KHP!U38,KHP!AA38,KHP!AG38,KHP!AM38))=1)*(CHOOSE({1,2,3,4},KHP!X38,KHP!AD38,KHP!AJ38,KHP!AP38)))</f>
        <v>0</v>
      </c>
      <c r="B38">
        <f>SUMPRODUCT((MONTH(CHOOSE({1,2,3,4},KHP!U38,KHP!AA38,KHP!AG38,KHP!AM38))=2)*(CHOOSE({1,2,3,4},KHP!X38,KHP!AD38,KHP!AJ38,KHP!AP38)))</f>
        <v>0</v>
      </c>
      <c r="C38">
        <f>SUMPRODUCT((MONTH(CHOOSE({1,2,3,4},KHP!U38,KHP!AA38,KHP!AG38,KHP!AM38))=3)*(CHOOSE({1,2,3,4},KHP!X38,KHP!AD38,KHP!AJ38,KHP!AP38)))</f>
        <v>0</v>
      </c>
      <c r="D38">
        <f>SUMPRODUCT((MONTH(CHOOSE({1,2,3,4},KHP!U38,KHP!AA38,KHP!AG38,KHP!AM38))=4)*(CHOOSE({1,2,3,4},KHP!X38,KHP!AD38,KHP!AJ38,KHP!AP38)))</f>
        <v>0</v>
      </c>
      <c r="E38">
        <f>SUMPRODUCT((MONTH(CHOOSE({1,2,3,4},KHP!U38,KHP!AA38,KHP!AG38,KHP!AM38))=5)*(CHOOSE({1,2,3,4},KHP!X38,KHP!AD38,KHP!AJ38,KHP!AP38)))</f>
        <v>0</v>
      </c>
      <c r="F38">
        <f>SUMPRODUCT((MONTH(CHOOSE({1,2,3,4},KHP!U38,KHP!AA38,KHP!AG38,KHP!AM38))=6)*(CHOOSE({1,2,3,4},KHP!X38,KHP!AD38,KHP!AJ38,KHP!AP38)))</f>
        <v>0</v>
      </c>
      <c r="G38">
        <f>SUMPRODUCT((MONTH(CHOOSE({1,2,3,4},KHP!U38,KHP!AA38,KHP!AG38,KHP!AM38))=7)*(CHOOSE({1,2,3,4},KHP!X38,KHP!AD38,KHP!AJ38,KHP!AP38)))</f>
        <v>0</v>
      </c>
      <c r="H38">
        <f>SUMPRODUCT((MONTH(CHOOSE({1,2,3,4},KHP!U38,KHP!AA38,KHP!AG38,KHP!AM38))=8)*(CHOOSE({1,2,3,4},KHP!X38,KHP!AD38,KHP!AJ38,KHP!AP38)))</f>
        <v>0</v>
      </c>
      <c r="I38">
        <f>SUMPRODUCT((MONTH(CHOOSE({1,2,3,4},KHP!U38,KHP!AA38,KHP!AG38,KHP!AM38))=9)*(CHOOSE({1,2,3,4},KHP!X38,KHP!AD38,KHP!AJ38,KHP!AP38)))</f>
        <v>0</v>
      </c>
      <c r="J38">
        <f>SUMPRODUCT((MONTH(CHOOSE({1,2,3,4},KHP!U38,KHP!AA38,KHP!AG38,KHP!AM38))=10)*(CHOOSE({1,2,3,4},KHP!X38,KHP!AD38,KHP!AJ38,KHP!AP38)))</f>
        <v>0</v>
      </c>
      <c r="K38">
        <f>SUMPRODUCT((MONTH(CHOOSE({1,2,3,4},KHP!U38,KHP!AA38,KHP!AG38,KHP!AM38))=11)*(CHOOSE({1,2,3,4},KHP!X38,KHP!AD38,KHP!AJ38,KHP!AP38)))</f>
        <v>0</v>
      </c>
      <c r="L38">
        <f>SUMPRODUCT((MONTH(CHOOSE({1,2,3,4},KHP!U38,KHP!AA38,KHP!AG38,KHP!AM38))=12)*(CHOOSE({1,2,3,4},KHP!X38,KHP!AD38,KHP!AJ38,KHP!AP38)))</f>
        <v>0</v>
      </c>
    </row>
    <row r="39" spans="1:12">
      <c r="A39">
        <f>SUMPRODUCT((MONTH(CHOOSE({1,2,3,4},KHP!U39,KHP!AA39,KHP!AG39,KHP!AM39))=1)*(CHOOSE({1,2,3,4},KHP!X39,KHP!AD39,KHP!AJ39,KHP!AP39)))</f>
        <v>0</v>
      </c>
      <c r="B39">
        <f>SUMPRODUCT((MONTH(CHOOSE({1,2,3,4},KHP!U39,KHP!AA39,KHP!AG39,KHP!AM39))=2)*(CHOOSE({1,2,3,4},KHP!X39,KHP!AD39,KHP!AJ39,KHP!AP39)))</f>
        <v>0</v>
      </c>
      <c r="C39">
        <f>SUMPRODUCT((MONTH(CHOOSE({1,2,3,4},KHP!U39,KHP!AA39,KHP!AG39,KHP!AM39))=3)*(CHOOSE({1,2,3,4},KHP!X39,KHP!AD39,KHP!AJ39,KHP!AP39)))</f>
        <v>0</v>
      </c>
      <c r="D39">
        <f>SUMPRODUCT((MONTH(CHOOSE({1,2,3,4},KHP!U39,KHP!AA39,KHP!AG39,KHP!AM39))=4)*(CHOOSE({1,2,3,4},KHP!X39,KHP!AD39,KHP!AJ39,KHP!AP39)))</f>
        <v>0</v>
      </c>
      <c r="E39">
        <f>SUMPRODUCT((MONTH(CHOOSE({1,2,3,4},KHP!U39,KHP!AA39,KHP!AG39,KHP!AM39))=5)*(CHOOSE({1,2,3,4},KHP!X39,KHP!AD39,KHP!AJ39,KHP!AP39)))</f>
        <v>0</v>
      </c>
      <c r="F39">
        <f>SUMPRODUCT((MONTH(CHOOSE({1,2,3,4},KHP!U39,KHP!AA39,KHP!AG39,KHP!AM39))=6)*(CHOOSE({1,2,3,4},KHP!X39,KHP!AD39,KHP!AJ39,KHP!AP39)))</f>
        <v>0</v>
      </c>
      <c r="G39">
        <f>SUMPRODUCT((MONTH(CHOOSE({1,2,3,4},KHP!U39,KHP!AA39,KHP!AG39,KHP!AM39))=7)*(CHOOSE({1,2,3,4},KHP!X39,KHP!AD39,KHP!AJ39,KHP!AP39)))</f>
        <v>0</v>
      </c>
      <c r="H39">
        <f>SUMPRODUCT((MONTH(CHOOSE({1,2,3,4},KHP!U39,KHP!AA39,KHP!AG39,KHP!AM39))=8)*(CHOOSE({1,2,3,4},KHP!X39,KHP!AD39,KHP!AJ39,KHP!AP39)))</f>
        <v>0</v>
      </c>
      <c r="I39">
        <f>SUMPRODUCT((MONTH(CHOOSE({1,2,3,4},KHP!U39,KHP!AA39,KHP!AG39,KHP!AM39))=9)*(CHOOSE({1,2,3,4},KHP!X39,KHP!AD39,KHP!AJ39,KHP!AP39)))</f>
        <v>0</v>
      </c>
      <c r="J39">
        <f>SUMPRODUCT((MONTH(CHOOSE({1,2,3,4},KHP!U39,KHP!AA39,KHP!AG39,KHP!AM39))=10)*(CHOOSE({1,2,3,4},KHP!X39,KHP!AD39,KHP!AJ39,KHP!AP39)))</f>
        <v>0</v>
      </c>
      <c r="K39">
        <f>SUMPRODUCT((MONTH(CHOOSE({1,2,3,4},KHP!U39,KHP!AA39,KHP!AG39,KHP!AM39))=11)*(CHOOSE({1,2,3,4},KHP!X39,KHP!AD39,KHP!AJ39,KHP!AP39)))</f>
        <v>0</v>
      </c>
      <c r="L39">
        <f>SUMPRODUCT((MONTH(CHOOSE({1,2,3,4},KHP!U39,KHP!AA39,KHP!AG39,KHP!AM39))=12)*(CHOOSE({1,2,3,4},KHP!X39,KHP!AD39,KHP!AJ39,KHP!AP39)))</f>
        <v>0</v>
      </c>
    </row>
    <row r="40" spans="1:12">
      <c r="A40">
        <f>SUMPRODUCT((MONTH(CHOOSE({1,2,3,4},KHP!U40,KHP!AA40,KHP!AG40,KHP!AM40))=1)*(CHOOSE({1,2,3,4},KHP!X40,KHP!AD40,KHP!AJ40,KHP!AP40)))</f>
        <v>0</v>
      </c>
      <c r="B40">
        <f>SUMPRODUCT((MONTH(CHOOSE({1,2,3,4},KHP!U40,KHP!AA40,KHP!AG40,KHP!AM40))=2)*(CHOOSE({1,2,3,4},KHP!X40,KHP!AD40,KHP!AJ40,KHP!AP40)))</f>
        <v>0</v>
      </c>
      <c r="C40">
        <f>SUMPRODUCT((MONTH(CHOOSE({1,2,3,4},KHP!U40,KHP!AA40,KHP!AG40,KHP!AM40))=3)*(CHOOSE({1,2,3,4},KHP!X40,KHP!AD40,KHP!AJ40,KHP!AP40)))</f>
        <v>0</v>
      </c>
      <c r="D40">
        <f>SUMPRODUCT((MONTH(CHOOSE({1,2,3,4},KHP!U40,KHP!AA40,KHP!AG40,KHP!AM40))=4)*(CHOOSE({1,2,3,4},KHP!X40,KHP!AD40,KHP!AJ40,KHP!AP40)))</f>
        <v>0</v>
      </c>
      <c r="E40">
        <f>SUMPRODUCT((MONTH(CHOOSE({1,2,3,4},KHP!U40,KHP!AA40,KHP!AG40,KHP!AM40))=5)*(CHOOSE({1,2,3,4},KHP!X40,KHP!AD40,KHP!AJ40,KHP!AP40)))</f>
        <v>0</v>
      </c>
      <c r="F40">
        <f>SUMPRODUCT((MONTH(CHOOSE({1,2,3,4},KHP!U40,KHP!AA40,KHP!AG40,KHP!AM40))=6)*(CHOOSE({1,2,3,4},KHP!X40,KHP!AD40,KHP!AJ40,KHP!AP40)))</f>
        <v>0</v>
      </c>
      <c r="G40">
        <f>SUMPRODUCT((MONTH(CHOOSE({1,2,3,4},KHP!U40,KHP!AA40,KHP!AG40,KHP!AM40))=7)*(CHOOSE({1,2,3,4},KHP!X40,KHP!AD40,KHP!AJ40,KHP!AP40)))</f>
        <v>0</v>
      </c>
      <c r="H40">
        <f>SUMPRODUCT((MONTH(CHOOSE({1,2,3,4},KHP!U40,KHP!AA40,KHP!AG40,KHP!AM40))=8)*(CHOOSE({1,2,3,4},KHP!X40,KHP!AD40,KHP!AJ40,KHP!AP40)))</f>
        <v>0</v>
      </c>
      <c r="I40">
        <f>SUMPRODUCT((MONTH(CHOOSE({1,2,3,4},KHP!U40,KHP!AA40,KHP!AG40,KHP!AM40))=9)*(CHOOSE({1,2,3,4},KHP!X40,KHP!AD40,KHP!AJ40,KHP!AP40)))</f>
        <v>0</v>
      </c>
      <c r="J40">
        <f>SUMPRODUCT((MONTH(CHOOSE({1,2,3,4},KHP!U40,KHP!AA40,KHP!AG40,KHP!AM40))=10)*(CHOOSE({1,2,3,4},KHP!X40,KHP!AD40,KHP!AJ40,KHP!AP40)))</f>
        <v>0</v>
      </c>
      <c r="K40">
        <f>SUMPRODUCT((MONTH(CHOOSE({1,2,3,4},KHP!U40,KHP!AA40,KHP!AG40,KHP!AM40))=11)*(CHOOSE({1,2,3,4},KHP!X40,KHP!AD40,KHP!AJ40,KHP!AP40)))</f>
        <v>0</v>
      </c>
      <c r="L40">
        <f>SUMPRODUCT((MONTH(CHOOSE({1,2,3,4},KHP!U40,KHP!AA40,KHP!AG40,KHP!AM40))=12)*(CHOOSE({1,2,3,4},KHP!X40,KHP!AD40,KHP!AJ40,KHP!AP40)))</f>
        <v>0</v>
      </c>
    </row>
    <row r="41" spans="1:12">
      <c r="A41">
        <f>SUMPRODUCT((MONTH(CHOOSE({1,2,3,4},KHP!U41,KHP!AA41,KHP!AG41,KHP!AM41))=1)*(CHOOSE({1,2,3,4},KHP!X41,KHP!AD41,KHP!AJ41,KHP!AP41)))</f>
        <v>0</v>
      </c>
      <c r="B41">
        <f>SUMPRODUCT((MONTH(CHOOSE({1,2,3,4},KHP!U41,KHP!AA41,KHP!AG41,KHP!AM41))=2)*(CHOOSE({1,2,3,4},KHP!X41,KHP!AD41,KHP!AJ41,KHP!AP41)))</f>
        <v>0</v>
      </c>
      <c r="C41">
        <f>SUMPRODUCT((MONTH(CHOOSE({1,2,3,4},KHP!U41,KHP!AA41,KHP!AG41,KHP!AM41))=3)*(CHOOSE({1,2,3,4},KHP!X41,KHP!AD41,KHP!AJ41,KHP!AP41)))</f>
        <v>0</v>
      </c>
      <c r="D41">
        <f>SUMPRODUCT((MONTH(CHOOSE({1,2,3,4},KHP!U41,KHP!AA41,KHP!AG41,KHP!AM41))=4)*(CHOOSE({1,2,3,4},KHP!X41,KHP!AD41,KHP!AJ41,KHP!AP41)))</f>
        <v>0</v>
      </c>
      <c r="E41">
        <f>SUMPRODUCT((MONTH(CHOOSE({1,2,3,4},KHP!U41,KHP!AA41,KHP!AG41,KHP!AM41))=5)*(CHOOSE({1,2,3,4},KHP!X41,KHP!AD41,KHP!AJ41,KHP!AP41)))</f>
        <v>0</v>
      </c>
      <c r="F41">
        <f>SUMPRODUCT((MONTH(CHOOSE({1,2,3,4},KHP!U41,KHP!AA41,KHP!AG41,KHP!AM41))=6)*(CHOOSE({1,2,3,4},KHP!X41,KHP!AD41,KHP!AJ41,KHP!AP41)))</f>
        <v>0</v>
      </c>
      <c r="G41">
        <f>SUMPRODUCT((MONTH(CHOOSE({1,2,3,4},KHP!U41,KHP!AA41,KHP!AG41,KHP!AM41))=7)*(CHOOSE({1,2,3,4},KHP!X41,KHP!AD41,KHP!AJ41,KHP!AP41)))</f>
        <v>0</v>
      </c>
      <c r="H41">
        <f>SUMPRODUCT((MONTH(CHOOSE({1,2,3,4},KHP!U41,KHP!AA41,KHP!AG41,KHP!AM41))=8)*(CHOOSE({1,2,3,4},KHP!X41,KHP!AD41,KHP!AJ41,KHP!AP41)))</f>
        <v>0</v>
      </c>
      <c r="I41">
        <f>SUMPRODUCT((MONTH(CHOOSE({1,2,3,4},KHP!U41,KHP!AA41,KHP!AG41,KHP!AM41))=9)*(CHOOSE({1,2,3,4},KHP!X41,KHP!AD41,KHP!AJ41,KHP!AP41)))</f>
        <v>0</v>
      </c>
      <c r="J41">
        <f>SUMPRODUCT((MONTH(CHOOSE({1,2,3,4},KHP!U41,KHP!AA41,KHP!AG41,KHP!AM41))=10)*(CHOOSE({1,2,3,4},KHP!X41,KHP!AD41,KHP!AJ41,KHP!AP41)))</f>
        <v>0</v>
      </c>
      <c r="K41">
        <f>SUMPRODUCT((MONTH(CHOOSE({1,2,3,4},KHP!U41,KHP!AA41,KHP!AG41,KHP!AM41))=11)*(CHOOSE({1,2,3,4},KHP!X41,KHP!AD41,KHP!AJ41,KHP!AP41)))</f>
        <v>0</v>
      </c>
      <c r="L41">
        <f>SUMPRODUCT((MONTH(CHOOSE({1,2,3,4},KHP!U41,KHP!AA41,KHP!AG41,KHP!AM41))=12)*(CHOOSE({1,2,3,4},KHP!X41,KHP!AD41,KHP!AJ41,KHP!AP41)))</f>
        <v>0</v>
      </c>
    </row>
    <row r="42" spans="1:12">
      <c r="A42">
        <f>SUMPRODUCT((MONTH(CHOOSE({1,2,3,4},KHP!U42,KHP!AA42,KHP!AG42,KHP!AM42))=1)*(CHOOSE({1,2,3,4},KHP!X42,KHP!AD42,KHP!AJ42,KHP!AP42)))</f>
        <v>0</v>
      </c>
      <c r="B42">
        <f>SUMPRODUCT((MONTH(CHOOSE({1,2,3,4},KHP!U42,KHP!AA42,KHP!AG42,KHP!AM42))=2)*(CHOOSE({1,2,3,4},KHP!X42,KHP!AD42,KHP!AJ42,KHP!AP42)))</f>
        <v>0</v>
      </c>
      <c r="C42">
        <f>SUMPRODUCT((MONTH(CHOOSE({1,2,3,4},KHP!U42,KHP!AA42,KHP!AG42,KHP!AM42))=3)*(CHOOSE({1,2,3,4},KHP!X42,KHP!AD42,KHP!AJ42,KHP!AP42)))</f>
        <v>0</v>
      </c>
      <c r="D42">
        <f>SUMPRODUCT((MONTH(CHOOSE({1,2,3,4},KHP!U42,KHP!AA42,KHP!AG42,KHP!AM42))=4)*(CHOOSE({1,2,3,4},KHP!X42,KHP!AD42,KHP!AJ42,KHP!AP42)))</f>
        <v>0</v>
      </c>
      <c r="E42">
        <f>SUMPRODUCT((MONTH(CHOOSE({1,2,3,4},KHP!U42,KHP!AA42,KHP!AG42,KHP!AM42))=5)*(CHOOSE({1,2,3,4},KHP!X42,KHP!AD42,KHP!AJ42,KHP!AP42)))</f>
        <v>0</v>
      </c>
      <c r="F42">
        <f>SUMPRODUCT((MONTH(CHOOSE({1,2,3,4},KHP!U42,KHP!AA42,KHP!AG42,KHP!AM42))=6)*(CHOOSE({1,2,3,4},KHP!X42,KHP!AD42,KHP!AJ42,KHP!AP42)))</f>
        <v>0</v>
      </c>
      <c r="G42">
        <f>SUMPRODUCT((MONTH(CHOOSE({1,2,3,4},KHP!U42,KHP!AA42,KHP!AG42,KHP!AM42))=7)*(CHOOSE({1,2,3,4},KHP!X42,KHP!AD42,KHP!AJ42,KHP!AP42)))</f>
        <v>0</v>
      </c>
      <c r="H42">
        <f>SUMPRODUCT((MONTH(CHOOSE({1,2,3,4},KHP!U42,KHP!AA42,KHP!AG42,KHP!AM42))=8)*(CHOOSE({1,2,3,4},KHP!X42,KHP!AD42,KHP!AJ42,KHP!AP42)))</f>
        <v>0</v>
      </c>
      <c r="I42">
        <f>SUMPRODUCT((MONTH(CHOOSE({1,2,3,4},KHP!U42,KHP!AA42,KHP!AG42,KHP!AM42))=9)*(CHOOSE({1,2,3,4},KHP!X42,KHP!AD42,KHP!AJ42,KHP!AP42)))</f>
        <v>0</v>
      </c>
      <c r="J42">
        <f>SUMPRODUCT((MONTH(CHOOSE({1,2,3,4},KHP!U42,KHP!AA42,KHP!AG42,KHP!AM42))=10)*(CHOOSE({1,2,3,4},KHP!X42,KHP!AD42,KHP!AJ42,KHP!AP42)))</f>
        <v>0</v>
      </c>
      <c r="K42">
        <f>SUMPRODUCT((MONTH(CHOOSE({1,2,3,4},KHP!U42,KHP!AA42,KHP!AG42,KHP!AM42))=11)*(CHOOSE({1,2,3,4},KHP!X42,KHP!AD42,KHP!AJ42,KHP!AP42)))</f>
        <v>0</v>
      </c>
      <c r="L42">
        <f>SUMPRODUCT((MONTH(CHOOSE({1,2,3,4},KHP!U42,KHP!AA42,KHP!AG42,KHP!AM42))=12)*(CHOOSE({1,2,3,4},KHP!X42,KHP!AD42,KHP!AJ42,KHP!AP42)))</f>
        <v>0</v>
      </c>
    </row>
    <row r="43" spans="1:12">
      <c r="A43">
        <f>SUMPRODUCT((MONTH(CHOOSE({1,2,3,4},KHP!U43,KHP!AA43,KHP!AG43,KHP!AM43))=1)*(CHOOSE({1,2,3,4},KHP!X43,KHP!AD43,KHP!AJ43,KHP!AP43)))</f>
        <v>0</v>
      </c>
      <c r="B43">
        <f>SUMPRODUCT((MONTH(CHOOSE({1,2,3,4},KHP!U43,KHP!AA43,KHP!AG43,KHP!AM43))=2)*(CHOOSE({1,2,3,4},KHP!X43,KHP!AD43,KHP!AJ43,KHP!AP43)))</f>
        <v>0</v>
      </c>
      <c r="C43">
        <f>SUMPRODUCT((MONTH(CHOOSE({1,2,3,4},KHP!U43,KHP!AA43,KHP!AG43,KHP!AM43))=3)*(CHOOSE({1,2,3,4},KHP!X43,KHP!AD43,KHP!AJ43,KHP!AP43)))</f>
        <v>0</v>
      </c>
      <c r="D43">
        <f>SUMPRODUCT((MONTH(CHOOSE({1,2,3,4},KHP!U43,KHP!AA43,KHP!AG43,KHP!AM43))=4)*(CHOOSE({1,2,3,4},KHP!X43,KHP!AD43,KHP!AJ43,KHP!AP43)))</f>
        <v>0</v>
      </c>
      <c r="E43">
        <f>SUMPRODUCT((MONTH(CHOOSE({1,2,3,4},KHP!U43,KHP!AA43,KHP!AG43,KHP!AM43))=5)*(CHOOSE({1,2,3,4},KHP!X43,KHP!AD43,KHP!AJ43,KHP!AP43)))</f>
        <v>0</v>
      </c>
      <c r="F43">
        <f>SUMPRODUCT((MONTH(CHOOSE({1,2,3,4},KHP!U43,KHP!AA43,KHP!AG43,KHP!AM43))=6)*(CHOOSE({1,2,3,4},KHP!X43,KHP!AD43,KHP!AJ43,KHP!AP43)))</f>
        <v>0</v>
      </c>
      <c r="G43">
        <f>SUMPRODUCT((MONTH(CHOOSE({1,2,3,4},KHP!U43,KHP!AA43,KHP!AG43,KHP!AM43))=7)*(CHOOSE({1,2,3,4},KHP!X43,KHP!AD43,KHP!AJ43,KHP!AP43)))</f>
        <v>0</v>
      </c>
      <c r="H43">
        <f>SUMPRODUCT((MONTH(CHOOSE({1,2,3,4},KHP!U43,KHP!AA43,KHP!AG43,KHP!AM43))=8)*(CHOOSE({1,2,3,4},KHP!X43,KHP!AD43,KHP!AJ43,KHP!AP43)))</f>
        <v>0</v>
      </c>
      <c r="I43">
        <f>SUMPRODUCT((MONTH(CHOOSE({1,2,3,4},KHP!U43,KHP!AA43,KHP!AG43,KHP!AM43))=9)*(CHOOSE({1,2,3,4},KHP!X43,KHP!AD43,KHP!AJ43,KHP!AP43)))</f>
        <v>0</v>
      </c>
      <c r="J43">
        <f>SUMPRODUCT((MONTH(CHOOSE({1,2,3,4},KHP!U43,KHP!AA43,KHP!AG43,KHP!AM43))=10)*(CHOOSE({1,2,3,4},KHP!X43,KHP!AD43,KHP!AJ43,KHP!AP43)))</f>
        <v>0</v>
      </c>
      <c r="K43">
        <f>SUMPRODUCT((MONTH(CHOOSE({1,2,3,4},KHP!U43,KHP!AA43,KHP!AG43,KHP!AM43))=11)*(CHOOSE({1,2,3,4},KHP!X43,KHP!AD43,KHP!AJ43,KHP!AP43)))</f>
        <v>0</v>
      </c>
      <c r="L43">
        <f>SUMPRODUCT((MONTH(CHOOSE({1,2,3,4},KHP!U43,KHP!AA43,KHP!AG43,KHP!AM43))=12)*(CHOOSE({1,2,3,4},KHP!X43,KHP!AD43,KHP!AJ43,KHP!AP43)))</f>
        <v>0</v>
      </c>
    </row>
    <row r="44" spans="1:12">
      <c r="A44">
        <f>SUMPRODUCT((MONTH(CHOOSE({1,2,3,4},KHP!U44,KHP!AA44,KHP!AG44,KHP!AM44))=1)*(CHOOSE({1,2,3,4},KHP!X44,KHP!AD44,KHP!AJ44,KHP!AP44)))</f>
        <v>0</v>
      </c>
      <c r="B44">
        <f>SUMPRODUCT((MONTH(CHOOSE({1,2,3,4},KHP!U44,KHP!AA44,KHP!AG44,KHP!AM44))=2)*(CHOOSE({1,2,3,4},KHP!X44,KHP!AD44,KHP!AJ44,KHP!AP44)))</f>
        <v>0</v>
      </c>
      <c r="C44">
        <f>SUMPRODUCT((MONTH(CHOOSE({1,2,3,4},KHP!U44,KHP!AA44,KHP!AG44,KHP!AM44))=3)*(CHOOSE({1,2,3,4},KHP!X44,KHP!AD44,KHP!AJ44,KHP!AP44)))</f>
        <v>0</v>
      </c>
      <c r="D44">
        <f>SUMPRODUCT((MONTH(CHOOSE({1,2,3,4},KHP!U44,KHP!AA44,KHP!AG44,KHP!AM44))=4)*(CHOOSE({1,2,3,4},KHP!X44,KHP!AD44,KHP!AJ44,KHP!AP44)))</f>
        <v>0</v>
      </c>
      <c r="E44">
        <f>SUMPRODUCT((MONTH(CHOOSE({1,2,3,4},KHP!U44,KHP!AA44,KHP!AG44,KHP!AM44))=5)*(CHOOSE({1,2,3,4},KHP!X44,KHP!AD44,KHP!AJ44,KHP!AP44)))</f>
        <v>0</v>
      </c>
      <c r="F44">
        <f>SUMPRODUCT((MONTH(CHOOSE({1,2,3,4},KHP!U44,KHP!AA44,KHP!AG44,KHP!AM44))=6)*(CHOOSE({1,2,3,4},KHP!X44,KHP!AD44,KHP!AJ44,KHP!AP44)))</f>
        <v>0</v>
      </c>
      <c r="G44">
        <f>SUMPRODUCT((MONTH(CHOOSE({1,2,3,4},KHP!U44,KHP!AA44,KHP!AG44,KHP!AM44))=7)*(CHOOSE({1,2,3,4},KHP!X44,KHP!AD44,KHP!AJ44,KHP!AP44)))</f>
        <v>0</v>
      </c>
      <c r="H44">
        <f>SUMPRODUCT((MONTH(CHOOSE({1,2,3,4},KHP!U44,KHP!AA44,KHP!AG44,KHP!AM44))=8)*(CHOOSE({1,2,3,4},KHP!X44,KHP!AD44,KHP!AJ44,KHP!AP44)))</f>
        <v>0</v>
      </c>
      <c r="I44">
        <f>SUMPRODUCT((MONTH(CHOOSE({1,2,3,4},KHP!U44,KHP!AA44,KHP!AG44,KHP!AM44))=9)*(CHOOSE({1,2,3,4},KHP!X44,KHP!AD44,KHP!AJ44,KHP!AP44)))</f>
        <v>0</v>
      </c>
      <c r="J44">
        <f>SUMPRODUCT((MONTH(CHOOSE({1,2,3,4},KHP!U44,KHP!AA44,KHP!AG44,KHP!AM44))=10)*(CHOOSE({1,2,3,4},KHP!X44,KHP!AD44,KHP!AJ44,KHP!AP44)))</f>
        <v>0</v>
      </c>
      <c r="K44">
        <f>SUMPRODUCT((MONTH(CHOOSE({1,2,3,4},KHP!U44,KHP!AA44,KHP!AG44,KHP!AM44))=11)*(CHOOSE({1,2,3,4},KHP!X44,KHP!AD44,KHP!AJ44,KHP!AP44)))</f>
        <v>0</v>
      </c>
      <c r="L44">
        <f>SUMPRODUCT((MONTH(CHOOSE({1,2,3,4},KHP!U44,KHP!AA44,KHP!AG44,KHP!AM44))=12)*(CHOOSE({1,2,3,4},KHP!X44,KHP!AD44,KHP!AJ44,KHP!AP44)))</f>
        <v>0</v>
      </c>
    </row>
    <row r="45" spans="1:12">
      <c r="A45">
        <f>SUMPRODUCT((MONTH(CHOOSE({1,2,3,4},KHP!U45,KHP!AA45,KHP!AG45,KHP!AM45))=1)*(CHOOSE({1,2,3,4},KHP!X45,KHP!AD45,KHP!AJ45,KHP!AP45)))</f>
        <v>0</v>
      </c>
      <c r="B45">
        <f>SUMPRODUCT((MONTH(CHOOSE({1,2,3,4},KHP!U45,KHP!AA45,KHP!AG45,KHP!AM45))=2)*(CHOOSE({1,2,3,4},KHP!X45,KHP!AD45,KHP!AJ45,KHP!AP45)))</f>
        <v>0</v>
      </c>
      <c r="C45">
        <f>SUMPRODUCT((MONTH(CHOOSE({1,2,3,4},KHP!U45,KHP!AA45,KHP!AG45,KHP!AM45))=3)*(CHOOSE({1,2,3,4},KHP!X45,KHP!AD45,KHP!AJ45,KHP!AP45)))</f>
        <v>0</v>
      </c>
      <c r="D45">
        <f>SUMPRODUCT((MONTH(CHOOSE({1,2,3,4},KHP!U45,KHP!AA45,KHP!AG45,KHP!AM45))=4)*(CHOOSE({1,2,3,4},KHP!X45,KHP!AD45,KHP!AJ45,KHP!AP45)))</f>
        <v>0</v>
      </c>
      <c r="E45">
        <f>SUMPRODUCT((MONTH(CHOOSE({1,2,3,4},KHP!U45,KHP!AA45,KHP!AG45,KHP!AM45))=5)*(CHOOSE({1,2,3,4},KHP!X45,KHP!AD45,KHP!AJ45,KHP!AP45)))</f>
        <v>0</v>
      </c>
      <c r="F45">
        <f>SUMPRODUCT((MONTH(CHOOSE({1,2,3,4},KHP!U45,KHP!AA45,KHP!AG45,KHP!AM45))=6)*(CHOOSE({1,2,3,4},KHP!X45,KHP!AD45,KHP!AJ45,KHP!AP45)))</f>
        <v>0</v>
      </c>
      <c r="G45">
        <f>SUMPRODUCT((MONTH(CHOOSE({1,2,3,4},KHP!U45,KHP!AA45,KHP!AG45,KHP!AM45))=7)*(CHOOSE({1,2,3,4},KHP!X45,KHP!AD45,KHP!AJ45,KHP!AP45)))</f>
        <v>0</v>
      </c>
      <c r="H45">
        <f>SUMPRODUCT((MONTH(CHOOSE({1,2,3,4},KHP!U45,KHP!AA45,KHP!AG45,KHP!AM45))=8)*(CHOOSE({1,2,3,4},KHP!X45,KHP!AD45,KHP!AJ45,KHP!AP45)))</f>
        <v>0</v>
      </c>
      <c r="I45">
        <f>SUMPRODUCT((MONTH(CHOOSE({1,2,3,4},KHP!U45,KHP!AA45,KHP!AG45,KHP!AM45))=9)*(CHOOSE({1,2,3,4},KHP!X45,KHP!AD45,KHP!AJ45,KHP!AP45)))</f>
        <v>0</v>
      </c>
      <c r="J45">
        <f>SUMPRODUCT((MONTH(CHOOSE({1,2,3,4},KHP!U45,KHP!AA45,KHP!AG45,KHP!AM45))=10)*(CHOOSE({1,2,3,4},KHP!X45,KHP!AD45,KHP!AJ45,KHP!AP45)))</f>
        <v>0</v>
      </c>
      <c r="K45">
        <f>SUMPRODUCT((MONTH(CHOOSE({1,2,3,4},KHP!U45,KHP!AA45,KHP!AG45,KHP!AM45))=11)*(CHOOSE({1,2,3,4},KHP!X45,KHP!AD45,KHP!AJ45,KHP!AP45)))</f>
        <v>0</v>
      </c>
      <c r="L45">
        <f>SUMPRODUCT((MONTH(CHOOSE({1,2,3,4},KHP!U45,KHP!AA45,KHP!AG45,KHP!AM45))=12)*(CHOOSE({1,2,3,4},KHP!X45,KHP!AD45,KHP!AJ45,KHP!AP45)))</f>
        <v>0</v>
      </c>
    </row>
    <row r="46" spans="1:12">
      <c r="A46">
        <f>SUMPRODUCT((MONTH(CHOOSE({1,2,3,4},KHP!U46,KHP!AA46,KHP!AG46,KHP!AM46))=1)*(CHOOSE({1,2,3,4},KHP!X46,KHP!AD46,KHP!AJ46,KHP!AP46)))</f>
        <v>0</v>
      </c>
      <c r="B46">
        <f>SUMPRODUCT((MONTH(CHOOSE({1,2,3,4},KHP!U46,KHP!AA46,KHP!AG46,KHP!AM46))=2)*(CHOOSE({1,2,3,4},KHP!X46,KHP!AD46,KHP!AJ46,KHP!AP46)))</f>
        <v>0</v>
      </c>
      <c r="C46">
        <f>SUMPRODUCT((MONTH(CHOOSE({1,2,3,4},KHP!U46,KHP!AA46,KHP!AG46,KHP!AM46))=3)*(CHOOSE({1,2,3,4},KHP!X46,KHP!AD46,KHP!AJ46,KHP!AP46)))</f>
        <v>0</v>
      </c>
      <c r="D46">
        <f>SUMPRODUCT((MONTH(CHOOSE({1,2,3,4},KHP!U46,KHP!AA46,KHP!AG46,KHP!AM46))=4)*(CHOOSE({1,2,3,4},KHP!X46,KHP!AD46,KHP!AJ46,KHP!AP46)))</f>
        <v>0</v>
      </c>
      <c r="E46">
        <f>SUMPRODUCT((MONTH(CHOOSE({1,2,3,4},KHP!U46,KHP!AA46,KHP!AG46,KHP!AM46))=5)*(CHOOSE({1,2,3,4},KHP!X46,KHP!AD46,KHP!AJ46,KHP!AP46)))</f>
        <v>0</v>
      </c>
      <c r="F46">
        <f>SUMPRODUCT((MONTH(CHOOSE({1,2,3,4},KHP!U46,KHP!AA46,KHP!AG46,KHP!AM46))=6)*(CHOOSE({1,2,3,4},KHP!X46,KHP!AD46,KHP!AJ46,KHP!AP46)))</f>
        <v>0</v>
      </c>
      <c r="G46">
        <f>SUMPRODUCT((MONTH(CHOOSE({1,2,3,4},KHP!U46,KHP!AA46,KHP!AG46,KHP!AM46))=7)*(CHOOSE({1,2,3,4},KHP!X46,KHP!AD46,KHP!AJ46,KHP!AP46)))</f>
        <v>0</v>
      </c>
      <c r="H46">
        <f>SUMPRODUCT((MONTH(CHOOSE({1,2,3,4},KHP!U46,KHP!AA46,KHP!AG46,KHP!AM46))=8)*(CHOOSE({1,2,3,4},KHP!X46,KHP!AD46,KHP!AJ46,KHP!AP46)))</f>
        <v>0</v>
      </c>
      <c r="I46">
        <f>SUMPRODUCT((MONTH(CHOOSE({1,2,3,4},KHP!U46,KHP!AA46,KHP!AG46,KHP!AM46))=9)*(CHOOSE({1,2,3,4},KHP!X46,KHP!AD46,KHP!AJ46,KHP!AP46)))</f>
        <v>0</v>
      </c>
      <c r="J46">
        <f>SUMPRODUCT((MONTH(CHOOSE({1,2,3,4},KHP!U46,KHP!AA46,KHP!AG46,KHP!AM46))=10)*(CHOOSE({1,2,3,4},KHP!X46,KHP!AD46,KHP!AJ46,KHP!AP46)))</f>
        <v>0</v>
      </c>
      <c r="K46">
        <f>SUMPRODUCT((MONTH(CHOOSE({1,2,3,4},KHP!U46,KHP!AA46,KHP!AG46,KHP!AM46))=11)*(CHOOSE({1,2,3,4},KHP!X46,KHP!AD46,KHP!AJ46,KHP!AP46)))</f>
        <v>0</v>
      </c>
      <c r="L46">
        <f>SUMPRODUCT((MONTH(CHOOSE({1,2,3,4},KHP!U46,KHP!AA46,KHP!AG46,KHP!AM46))=12)*(CHOOSE({1,2,3,4},KHP!X46,KHP!AD46,KHP!AJ46,KHP!AP46)))</f>
        <v>0</v>
      </c>
    </row>
    <row r="47" spans="1:12">
      <c r="A47">
        <f>SUMPRODUCT((MONTH(CHOOSE({1,2,3,4},KHP!U47,KHP!AA47,KHP!AG47,KHP!AM47))=1)*(CHOOSE({1,2,3,4},KHP!X47,KHP!AD47,KHP!AJ47,KHP!AP47)))</f>
        <v>0</v>
      </c>
      <c r="B47">
        <f>SUMPRODUCT((MONTH(CHOOSE({1,2,3,4},KHP!U47,KHP!AA47,KHP!AG47,KHP!AM47))=2)*(CHOOSE({1,2,3,4},KHP!X47,KHP!AD47,KHP!AJ47,KHP!AP47)))</f>
        <v>0</v>
      </c>
      <c r="C47">
        <f>SUMPRODUCT((MONTH(CHOOSE({1,2,3,4},KHP!U47,KHP!AA47,KHP!AG47,KHP!AM47))=3)*(CHOOSE({1,2,3,4},KHP!X47,KHP!AD47,KHP!AJ47,KHP!AP47)))</f>
        <v>0</v>
      </c>
      <c r="D47">
        <f>SUMPRODUCT((MONTH(CHOOSE({1,2,3,4},KHP!U47,KHP!AA47,KHP!AG47,KHP!AM47))=4)*(CHOOSE({1,2,3,4},KHP!X47,KHP!AD47,KHP!AJ47,KHP!AP47)))</f>
        <v>0</v>
      </c>
      <c r="E47">
        <f>SUMPRODUCT((MONTH(CHOOSE({1,2,3,4},KHP!U47,KHP!AA47,KHP!AG47,KHP!AM47))=5)*(CHOOSE({1,2,3,4},KHP!X47,KHP!AD47,KHP!AJ47,KHP!AP47)))</f>
        <v>0</v>
      </c>
      <c r="F47">
        <f>SUMPRODUCT((MONTH(CHOOSE({1,2,3,4},KHP!U47,KHP!AA47,KHP!AG47,KHP!AM47))=6)*(CHOOSE({1,2,3,4},KHP!X47,KHP!AD47,KHP!AJ47,KHP!AP47)))</f>
        <v>0</v>
      </c>
      <c r="G47">
        <f>SUMPRODUCT((MONTH(CHOOSE({1,2,3,4},KHP!U47,KHP!AA47,KHP!AG47,KHP!AM47))=7)*(CHOOSE({1,2,3,4},KHP!X47,KHP!AD47,KHP!AJ47,KHP!AP47)))</f>
        <v>0</v>
      </c>
      <c r="H47">
        <f>SUMPRODUCT((MONTH(CHOOSE({1,2,3,4},KHP!U47,KHP!AA47,KHP!AG47,KHP!AM47))=8)*(CHOOSE({1,2,3,4},KHP!X47,KHP!AD47,KHP!AJ47,KHP!AP47)))</f>
        <v>0</v>
      </c>
      <c r="I47">
        <f>SUMPRODUCT((MONTH(CHOOSE({1,2,3,4},KHP!U47,KHP!AA47,KHP!AG47,KHP!AM47))=9)*(CHOOSE({1,2,3,4},KHP!X47,KHP!AD47,KHP!AJ47,KHP!AP47)))</f>
        <v>0</v>
      </c>
      <c r="J47">
        <f>SUMPRODUCT((MONTH(CHOOSE({1,2,3,4},KHP!U47,KHP!AA47,KHP!AG47,KHP!AM47))=10)*(CHOOSE({1,2,3,4},KHP!X47,KHP!AD47,KHP!AJ47,KHP!AP47)))</f>
        <v>0</v>
      </c>
      <c r="K47">
        <f>SUMPRODUCT((MONTH(CHOOSE({1,2,3,4},KHP!U47,KHP!AA47,KHP!AG47,KHP!AM47))=11)*(CHOOSE({1,2,3,4},KHP!X47,KHP!AD47,KHP!AJ47,KHP!AP47)))</f>
        <v>0</v>
      </c>
      <c r="L47">
        <f>SUMPRODUCT((MONTH(CHOOSE({1,2,3,4},KHP!U47,KHP!AA47,KHP!AG47,KHP!AM47))=12)*(CHOOSE({1,2,3,4},KHP!X47,KHP!AD47,KHP!AJ47,KHP!AP47)))</f>
        <v>0</v>
      </c>
    </row>
    <row r="48" spans="1:12">
      <c r="A48">
        <f>SUMPRODUCT((MONTH(CHOOSE({1,2,3,4},KHP!U48,KHP!AA48,KHP!AG48,KHP!AM48))=1)*(CHOOSE({1,2,3,4},KHP!X48,KHP!AD48,KHP!AJ48,KHP!AP48)))</f>
        <v>0</v>
      </c>
      <c r="B48">
        <f>SUMPRODUCT((MONTH(CHOOSE({1,2,3,4},KHP!U48,KHP!AA48,KHP!AG48,KHP!AM48))=2)*(CHOOSE({1,2,3,4},KHP!X48,KHP!AD48,KHP!AJ48,KHP!AP48)))</f>
        <v>0</v>
      </c>
      <c r="C48">
        <f>SUMPRODUCT((MONTH(CHOOSE({1,2,3,4},KHP!U48,KHP!AA48,KHP!AG48,KHP!AM48))=3)*(CHOOSE({1,2,3,4},KHP!X48,KHP!AD48,KHP!AJ48,KHP!AP48)))</f>
        <v>0</v>
      </c>
      <c r="D48">
        <f>SUMPRODUCT((MONTH(CHOOSE({1,2,3,4},KHP!U48,KHP!AA48,KHP!AG48,KHP!AM48))=4)*(CHOOSE({1,2,3,4},KHP!X48,KHP!AD48,KHP!AJ48,KHP!AP48)))</f>
        <v>0</v>
      </c>
      <c r="E48">
        <f>SUMPRODUCT((MONTH(CHOOSE({1,2,3,4},KHP!U48,KHP!AA48,KHP!AG48,KHP!AM48))=5)*(CHOOSE({1,2,3,4},KHP!X48,KHP!AD48,KHP!AJ48,KHP!AP48)))</f>
        <v>0</v>
      </c>
      <c r="F48">
        <f>SUMPRODUCT((MONTH(CHOOSE({1,2,3,4},KHP!U48,KHP!AA48,KHP!AG48,KHP!AM48))=6)*(CHOOSE({1,2,3,4},KHP!X48,KHP!AD48,KHP!AJ48,KHP!AP48)))</f>
        <v>0</v>
      </c>
      <c r="G48">
        <f>SUMPRODUCT((MONTH(CHOOSE({1,2,3,4},KHP!U48,KHP!AA48,KHP!AG48,KHP!AM48))=7)*(CHOOSE({1,2,3,4},KHP!X48,KHP!AD48,KHP!AJ48,KHP!AP48)))</f>
        <v>0</v>
      </c>
      <c r="H48">
        <f>SUMPRODUCT((MONTH(CHOOSE({1,2,3,4},KHP!U48,KHP!AA48,KHP!AG48,KHP!AM48))=8)*(CHOOSE({1,2,3,4},KHP!X48,KHP!AD48,KHP!AJ48,KHP!AP48)))</f>
        <v>0</v>
      </c>
      <c r="I48">
        <f>SUMPRODUCT((MONTH(CHOOSE({1,2,3,4},KHP!U48,KHP!AA48,KHP!AG48,KHP!AM48))=9)*(CHOOSE({1,2,3,4},KHP!X48,KHP!AD48,KHP!AJ48,KHP!AP48)))</f>
        <v>0</v>
      </c>
      <c r="J48">
        <f>SUMPRODUCT((MONTH(CHOOSE({1,2,3,4},KHP!U48,KHP!AA48,KHP!AG48,KHP!AM48))=10)*(CHOOSE({1,2,3,4},KHP!X48,KHP!AD48,KHP!AJ48,KHP!AP48)))</f>
        <v>0</v>
      </c>
      <c r="K48">
        <f>SUMPRODUCT((MONTH(CHOOSE({1,2,3,4},KHP!U48,KHP!AA48,KHP!AG48,KHP!AM48))=11)*(CHOOSE({1,2,3,4},KHP!X48,KHP!AD48,KHP!AJ48,KHP!AP48)))</f>
        <v>0</v>
      </c>
      <c r="L48">
        <f>SUMPRODUCT((MONTH(CHOOSE({1,2,3,4},KHP!U48,KHP!AA48,KHP!AG48,KHP!AM48))=12)*(CHOOSE({1,2,3,4},KHP!X48,KHP!AD48,KHP!AJ48,KHP!AP48)))</f>
        <v>0</v>
      </c>
    </row>
    <row r="49" spans="1:12">
      <c r="A49">
        <f>SUMPRODUCT((MONTH(CHOOSE({1,2,3,4},KHP!U49,KHP!AA49,KHP!AG49,KHP!AM49))=1)*(CHOOSE({1,2,3,4},KHP!X49,KHP!AD49,KHP!AJ49,KHP!AP49)))</f>
        <v>0</v>
      </c>
      <c r="B49">
        <f>SUMPRODUCT((MONTH(CHOOSE({1,2,3,4},KHP!U49,KHP!AA49,KHP!AG49,KHP!AM49))=2)*(CHOOSE({1,2,3,4},KHP!X49,KHP!AD49,KHP!AJ49,KHP!AP49)))</f>
        <v>0</v>
      </c>
      <c r="C49">
        <f>SUMPRODUCT((MONTH(CHOOSE({1,2,3,4},KHP!U49,KHP!AA49,KHP!AG49,KHP!AM49))=3)*(CHOOSE({1,2,3,4},KHP!X49,KHP!AD49,KHP!AJ49,KHP!AP49)))</f>
        <v>0</v>
      </c>
      <c r="D49">
        <f>SUMPRODUCT((MONTH(CHOOSE({1,2,3,4},KHP!U49,KHP!AA49,KHP!AG49,KHP!AM49))=4)*(CHOOSE({1,2,3,4},KHP!X49,KHP!AD49,KHP!AJ49,KHP!AP49)))</f>
        <v>0</v>
      </c>
      <c r="E49">
        <f>SUMPRODUCT((MONTH(CHOOSE({1,2,3,4},KHP!U49,KHP!AA49,KHP!AG49,KHP!AM49))=5)*(CHOOSE({1,2,3,4},KHP!X49,KHP!AD49,KHP!AJ49,KHP!AP49)))</f>
        <v>0</v>
      </c>
      <c r="F49">
        <f>SUMPRODUCT((MONTH(CHOOSE({1,2,3,4},KHP!U49,KHP!AA49,KHP!AG49,KHP!AM49))=6)*(CHOOSE({1,2,3,4},KHP!X49,KHP!AD49,KHP!AJ49,KHP!AP49)))</f>
        <v>0</v>
      </c>
      <c r="G49">
        <f>SUMPRODUCT((MONTH(CHOOSE({1,2,3,4},KHP!U49,KHP!AA49,KHP!AG49,KHP!AM49))=7)*(CHOOSE({1,2,3,4},KHP!X49,KHP!AD49,KHP!AJ49,KHP!AP49)))</f>
        <v>0</v>
      </c>
      <c r="H49">
        <f>SUMPRODUCT((MONTH(CHOOSE({1,2,3,4},KHP!U49,KHP!AA49,KHP!AG49,KHP!AM49))=8)*(CHOOSE({1,2,3,4},KHP!X49,KHP!AD49,KHP!AJ49,KHP!AP49)))</f>
        <v>0</v>
      </c>
      <c r="I49">
        <f>SUMPRODUCT((MONTH(CHOOSE({1,2,3,4},KHP!U49,KHP!AA49,KHP!AG49,KHP!AM49))=9)*(CHOOSE({1,2,3,4},KHP!X49,KHP!AD49,KHP!AJ49,KHP!AP49)))</f>
        <v>0</v>
      </c>
      <c r="J49">
        <f>SUMPRODUCT((MONTH(CHOOSE({1,2,3,4},KHP!U49,KHP!AA49,KHP!AG49,KHP!AM49))=10)*(CHOOSE({1,2,3,4},KHP!X49,KHP!AD49,KHP!AJ49,KHP!AP49)))</f>
        <v>0</v>
      </c>
      <c r="K49">
        <f>SUMPRODUCT((MONTH(CHOOSE({1,2,3,4},KHP!U49,KHP!AA49,KHP!AG49,KHP!AM49))=11)*(CHOOSE({1,2,3,4},KHP!X49,KHP!AD49,KHP!AJ49,KHP!AP49)))</f>
        <v>0</v>
      </c>
      <c r="L49">
        <f>SUMPRODUCT((MONTH(CHOOSE({1,2,3,4},KHP!U49,KHP!AA49,KHP!AG49,KHP!AM49))=12)*(CHOOSE({1,2,3,4},KHP!X49,KHP!AD49,KHP!AJ49,KHP!AP49)))</f>
        <v>0</v>
      </c>
    </row>
    <row r="50" spans="1:12">
      <c r="A50">
        <f>SUMPRODUCT((MONTH(CHOOSE({1,2,3,4},KHP!U50,KHP!AA50,KHP!AG50,KHP!AM50))=1)*(CHOOSE({1,2,3,4},KHP!X50,KHP!AD50,KHP!AJ50,KHP!AP50)))</f>
        <v>0</v>
      </c>
      <c r="B50">
        <f>SUMPRODUCT((MONTH(CHOOSE({1,2,3,4},KHP!U50,KHP!AA50,KHP!AG50,KHP!AM50))=2)*(CHOOSE({1,2,3,4},KHP!X50,KHP!AD50,KHP!AJ50,KHP!AP50)))</f>
        <v>0</v>
      </c>
      <c r="C50">
        <f>SUMPRODUCT((MONTH(CHOOSE({1,2,3,4},KHP!U50,KHP!AA50,KHP!AG50,KHP!AM50))=3)*(CHOOSE({1,2,3,4},KHP!X50,KHP!AD50,KHP!AJ50,KHP!AP50)))</f>
        <v>0</v>
      </c>
      <c r="D50">
        <f>SUMPRODUCT((MONTH(CHOOSE({1,2,3,4},KHP!U50,KHP!AA50,KHP!AG50,KHP!AM50))=4)*(CHOOSE({1,2,3,4},KHP!X50,KHP!AD50,KHP!AJ50,KHP!AP50)))</f>
        <v>0</v>
      </c>
      <c r="E50">
        <f>SUMPRODUCT((MONTH(CHOOSE({1,2,3,4},KHP!U50,KHP!AA50,KHP!AG50,KHP!AM50))=5)*(CHOOSE({1,2,3,4},KHP!X50,KHP!AD50,KHP!AJ50,KHP!AP50)))</f>
        <v>0</v>
      </c>
      <c r="F50">
        <f>SUMPRODUCT((MONTH(CHOOSE({1,2,3,4},KHP!U50,KHP!AA50,KHP!AG50,KHP!AM50))=6)*(CHOOSE({1,2,3,4},KHP!X50,KHP!AD50,KHP!AJ50,KHP!AP50)))</f>
        <v>0</v>
      </c>
      <c r="G50">
        <f>SUMPRODUCT((MONTH(CHOOSE({1,2,3,4},KHP!U50,KHP!AA50,KHP!AG50,KHP!AM50))=7)*(CHOOSE({1,2,3,4},KHP!X50,KHP!AD50,KHP!AJ50,KHP!AP50)))</f>
        <v>0</v>
      </c>
      <c r="H50">
        <f>SUMPRODUCT((MONTH(CHOOSE({1,2,3,4},KHP!U50,KHP!AA50,KHP!AG50,KHP!AM50))=8)*(CHOOSE({1,2,3,4},KHP!X50,KHP!AD50,KHP!AJ50,KHP!AP50)))</f>
        <v>0</v>
      </c>
      <c r="I50">
        <f>SUMPRODUCT((MONTH(CHOOSE({1,2,3,4},KHP!U50,KHP!AA50,KHP!AG50,KHP!AM50))=9)*(CHOOSE({1,2,3,4},KHP!X50,KHP!AD50,KHP!AJ50,KHP!AP50)))</f>
        <v>0</v>
      </c>
      <c r="J50">
        <f>SUMPRODUCT((MONTH(CHOOSE({1,2,3,4},KHP!U50,KHP!AA50,KHP!AG50,KHP!AM50))=10)*(CHOOSE({1,2,3,4},KHP!X50,KHP!AD50,KHP!AJ50,KHP!AP50)))</f>
        <v>0</v>
      </c>
      <c r="K50">
        <f>SUMPRODUCT((MONTH(CHOOSE({1,2,3,4},KHP!U50,KHP!AA50,KHP!AG50,KHP!AM50))=11)*(CHOOSE({1,2,3,4},KHP!X50,KHP!AD50,KHP!AJ50,KHP!AP50)))</f>
        <v>0</v>
      </c>
      <c r="L50">
        <f>SUMPRODUCT((MONTH(CHOOSE({1,2,3,4},KHP!U50,KHP!AA50,KHP!AG50,KHP!AM50))=12)*(CHOOSE({1,2,3,4},KHP!X50,KHP!AD50,KHP!AJ50,KHP!AP50)))</f>
        <v>0</v>
      </c>
    </row>
    <row r="51" spans="1:12">
      <c r="A51">
        <f>SUMPRODUCT((MONTH(CHOOSE({1,2,3,4},KHP!U51,KHP!AA51,KHP!AG51,KHP!AM51))=1)*(CHOOSE({1,2,3,4},KHP!X51,KHP!AD51,KHP!AJ51,KHP!AP51)))</f>
        <v>0</v>
      </c>
      <c r="B51">
        <f>SUMPRODUCT((MONTH(CHOOSE({1,2,3,4},KHP!U51,KHP!AA51,KHP!AG51,KHP!AM51))=2)*(CHOOSE({1,2,3,4},KHP!X51,KHP!AD51,KHP!AJ51,KHP!AP51)))</f>
        <v>0</v>
      </c>
      <c r="C51">
        <f>SUMPRODUCT((MONTH(CHOOSE({1,2,3,4},KHP!U51,KHP!AA51,KHP!AG51,KHP!AM51))=3)*(CHOOSE({1,2,3,4},KHP!X51,KHP!AD51,KHP!AJ51,KHP!AP51)))</f>
        <v>0</v>
      </c>
      <c r="D51">
        <f>SUMPRODUCT((MONTH(CHOOSE({1,2,3,4},KHP!U51,KHP!AA51,KHP!AG51,KHP!AM51))=4)*(CHOOSE({1,2,3,4},KHP!X51,KHP!AD51,KHP!AJ51,KHP!AP51)))</f>
        <v>0</v>
      </c>
      <c r="E51">
        <f>SUMPRODUCT((MONTH(CHOOSE({1,2,3,4},KHP!U51,KHP!AA51,KHP!AG51,KHP!AM51))=5)*(CHOOSE({1,2,3,4},KHP!X51,KHP!AD51,KHP!AJ51,KHP!AP51)))</f>
        <v>0</v>
      </c>
      <c r="F51">
        <f>SUMPRODUCT((MONTH(CHOOSE({1,2,3,4},KHP!U51,KHP!AA51,KHP!AG51,KHP!AM51))=6)*(CHOOSE({1,2,3,4},KHP!X51,KHP!AD51,KHP!AJ51,KHP!AP51)))</f>
        <v>0</v>
      </c>
      <c r="G51">
        <f>SUMPRODUCT((MONTH(CHOOSE({1,2,3,4},KHP!U51,KHP!AA51,KHP!AG51,KHP!AM51))=7)*(CHOOSE({1,2,3,4},KHP!X51,KHP!AD51,KHP!AJ51,KHP!AP51)))</f>
        <v>0</v>
      </c>
      <c r="H51">
        <f>SUMPRODUCT((MONTH(CHOOSE({1,2,3,4},KHP!U51,KHP!AA51,KHP!AG51,KHP!AM51))=8)*(CHOOSE({1,2,3,4},KHP!X51,KHP!AD51,KHP!AJ51,KHP!AP51)))</f>
        <v>0</v>
      </c>
      <c r="I51">
        <f>SUMPRODUCT((MONTH(CHOOSE({1,2,3,4},KHP!U51,KHP!AA51,KHP!AG51,KHP!AM51))=9)*(CHOOSE({1,2,3,4},KHP!X51,KHP!AD51,KHP!AJ51,KHP!AP51)))</f>
        <v>0</v>
      </c>
      <c r="J51">
        <f>SUMPRODUCT((MONTH(CHOOSE({1,2,3,4},KHP!U51,KHP!AA51,KHP!AG51,KHP!AM51))=10)*(CHOOSE({1,2,3,4},KHP!X51,KHP!AD51,KHP!AJ51,KHP!AP51)))</f>
        <v>0</v>
      </c>
      <c r="K51">
        <f>SUMPRODUCT((MONTH(CHOOSE({1,2,3,4},KHP!U51,KHP!AA51,KHP!AG51,KHP!AM51))=11)*(CHOOSE({1,2,3,4},KHP!X51,KHP!AD51,KHP!AJ51,KHP!AP51)))</f>
        <v>0</v>
      </c>
      <c r="L51">
        <f>SUMPRODUCT((MONTH(CHOOSE({1,2,3,4},KHP!U51,KHP!AA51,KHP!AG51,KHP!AM51))=12)*(CHOOSE({1,2,3,4},KHP!X51,KHP!AD51,KHP!AJ51,KHP!AP51)))</f>
        <v>0</v>
      </c>
    </row>
    <row r="52" spans="1:12">
      <c r="A52">
        <f>SUMPRODUCT((MONTH(CHOOSE({1,2,3,4},KHP!U52,KHP!AA52,KHP!AG52,KHP!AM52))=1)*(CHOOSE({1,2,3,4},KHP!X52,KHP!AD52,KHP!AJ52,KHP!AP52)))</f>
        <v>0</v>
      </c>
      <c r="B52">
        <f>SUMPRODUCT((MONTH(CHOOSE({1,2,3,4},KHP!U52,KHP!AA52,KHP!AG52,KHP!AM52))=2)*(CHOOSE({1,2,3,4},KHP!X52,KHP!AD52,KHP!AJ52,KHP!AP52)))</f>
        <v>0</v>
      </c>
      <c r="C52">
        <f>SUMPRODUCT((MONTH(CHOOSE({1,2,3,4},KHP!U52,KHP!AA52,KHP!AG52,KHP!AM52))=3)*(CHOOSE({1,2,3,4},KHP!X52,KHP!AD52,KHP!AJ52,KHP!AP52)))</f>
        <v>0</v>
      </c>
      <c r="D52">
        <f>SUMPRODUCT((MONTH(CHOOSE({1,2,3,4},KHP!U52,KHP!AA52,KHP!AG52,KHP!AM52))=4)*(CHOOSE({1,2,3,4},KHP!X52,KHP!AD52,KHP!AJ52,KHP!AP52)))</f>
        <v>0</v>
      </c>
      <c r="E52">
        <f>SUMPRODUCT((MONTH(CHOOSE({1,2,3,4},KHP!U52,KHP!AA52,KHP!AG52,KHP!AM52))=5)*(CHOOSE({1,2,3,4},KHP!X52,KHP!AD52,KHP!AJ52,KHP!AP52)))</f>
        <v>0</v>
      </c>
      <c r="F52">
        <f>SUMPRODUCT((MONTH(CHOOSE({1,2,3,4},KHP!U52,KHP!AA52,KHP!AG52,KHP!AM52))=6)*(CHOOSE({1,2,3,4},KHP!X52,KHP!AD52,KHP!AJ52,KHP!AP52)))</f>
        <v>0</v>
      </c>
      <c r="G52">
        <f>SUMPRODUCT((MONTH(CHOOSE({1,2,3,4},KHP!U52,KHP!AA52,KHP!AG52,KHP!AM52))=7)*(CHOOSE({1,2,3,4},KHP!X52,KHP!AD52,KHP!AJ52,KHP!AP52)))</f>
        <v>0</v>
      </c>
      <c r="H52">
        <f>SUMPRODUCT((MONTH(CHOOSE({1,2,3,4},KHP!U52,KHP!AA52,KHP!AG52,KHP!AM52))=8)*(CHOOSE({1,2,3,4},KHP!X52,KHP!AD52,KHP!AJ52,KHP!AP52)))</f>
        <v>0</v>
      </c>
      <c r="I52">
        <f>SUMPRODUCT((MONTH(CHOOSE({1,2,3,4},KHP!U52,KHP!AA52,KHP!AG52,KHP!AM52))=9)*(CHOOSE({1,2,3,4},KHP!X52,KHP!AD52,KHP!AJ52,KHP!AP52)))</f>
        <v>0</v>
      </c>
      <c r="J52">
        <f>SUMPRODUCT((MONTH(CHOOSE({1,2,3,4},KHP!U52,KHP!AA52,KHP!AG52,KHP!AM52))=10)*(CHOOSE({1,2,3,4},KHP!X52,KHP!AD52,KHP!AJ52,KHP!AP52)))</f>
        <v>0</v>
      </c>
      <c r="K52">
        <f>SUMPRODUCT((MONTH(CHOOSE({1,2,3,4},KHP!U52,KHP!AA52,KHP!AG52,KHP!AM52))=11)*(CHOOSE({1,2,3,4},KHP!X52,KHP!AD52,KHP!AJ52,KHP!AP52)))</f>
        <v>0</v>
      </c>
      <c r="L52">
        <f>SUMPRODUCT((MONTH(CHOOSE({1,2,3,4},KHP!U52,KHP!AA52,KHP!AG52,KHP!AM52))=12)*(CHOOSE({1,2,3,4},KHP!X52,KHP!AD52,KHP!AJ52,KHP!AP52)))</f>
        <v>0</v>
      </c>
    </row>
    <row r="53" spans="1:12">
      <c r="A53">
        <f>SUMPRODUCT((MONTH(CHOOSE({1,2,3,4},KHP!U53,KHP!AA53,KHP!AG53,KHP!AM53))=1)*(CHOOSE({1,2,3,4},KHP!X53,KHP!AD53,KHP!AJ53,KHP!AP53)))</f>
        <v>0</v>
      </c>
      <c r="B53">
        <f>SUMPRODUCT((MONTH(CHOOSE({1,2,3,4},KHP!U53,KHP!AA53,KHP!AG53,KHP!AM53))=2)*(CHOOSE({1,2,3,4},KHP!X53,KHP!AD53,KHP!AJ53,KHP!AP53)))</f>
        <v>0</v>
      </c>
      <c r="C53">
        <f>SUMPRODUCT((MONTH(CHOOSE({1,2,3,4},KHP!U53,KHP!AA53,KHP!AG53,KHP!AM53))=3)*(CHOOSE({1,2,3,4},KHP!X53,KHP!AD53,KHP!AJ53,KHP!AP53)))</f>
        <v>0</v>
      </c>
      <c r="D53">
        <f>SUMPRODUCT((MONTH(CHOOSE({1,2,3,4},KHP!U53,KHP!AA53,KHP!AG53,KHP!AM53))=4)*(CHOOSE({1,2,3,4},KHP!X53,KHP!AD53,KHP!AJ53,KHP!AP53)))</f>
        <v>0</v>
      </c>
      <c r="E53">
        <f>SUMPRODUCT((MONTH(CHOOSE({1,2,3,4},KHP!U53,KHP!AA53,KHP!AG53,KHP!AM53))=5)*(CHOOSE({1,2,3,4},KHP!X53,KHP!AD53,KHP!AJ53,KHP!AP53)))</f>
        <v>0</v>
      </c>
      <c r="F53">
        <f>SUMPRODUCT((MONTH(CHOOSE({1,2,3,4},KHP!U53,KHP!AA53,KHP!AG53,KHP!AM53))=6)*(CHOOSE({1,2,3,4},KHP!X53,KHP!AD53,KHP!AJ53,KHP!AP53)))</f>
        <v>0</v>
      </c>
      <c r="G53">
        <f>SUMPRODUCT((MONTH(CHOOSE({1,2,3,4},KHP!U53,KHP!AA53,KHP!AG53,KHP!AM53))=7)*(CHOOSE({1,2,3,4},KHP!X53,KHP!AD53,KHP!AJ53,KHP!AP53)))</f>
        <v>0</v>
      </c>
      <c r="H53">
        <f>SUMPRODUCT((MONTH(CHOOSE({1,2,3,4},KHP!U53,KHP!AA53,KHP!AG53,KHP!AM53))=8)*(CHOOSE({1,2,3,4},KHP!X53,KHP!AD53,KHP!AJ53,KHP!AP53)))</f>
        <v>0</v>
      </c>
      <c r="I53">
        <f>SUMPRODUCT((MONTH(CHOOSE({1,2,3,4},KHP!U53,KHP!AA53,KHP!AG53,KHP!AM53))=9)*(CHOOSE({1,2,3,4},KHP!X53,KHP!AD53,KHP!AJ53,KHP!AP53)))</f>
        <v>0</v>
      </c>
      <c r="J53">
        <f>SUMPRODUCT((MONTH(CHOOSE({1,2,3,4},KHP!U53,KHP!AA53,KHP!AG53,KHP!AM53))=10)*(CHOOSE({1,2,3,4},KHP!X53,KHP!AD53,KHP!AJ53,KHP!AP53)))</f>
        <v>0</v>
      </c>
      <c r="K53">
        <f>SUMPRODUCT((MONTH(CHOOSE({1,2,3,4},KHP!U53,KHP!AA53,KHP!AG53,KHP!AM53))=11)*(CHOOSE({1,2,3,4},KHP!X53,KHP!AD53,KHP!AJ53,KHP!AP53)))</f>
        <v>0</v>
      </c>
      <c r="L53">
        <f>SUMPRODUCT((MONTH(CHOOSE({1,2,3,4},KHP!U53,KHP!AA53,KHP!AG53,KHP!AM53))=12)*(CHOOSE({1,2,3,4},KHP!X53,KHP!AD53,KHP!AJ53,KHP!AP53)))</f>
        <v>0</v>
      </c>
    </row>
    <row r="54" spans="1:12">
      <c r="A54">
        <f>SUMPRODUCT((MONTH(CHOOSE({1,2,3,4},KHP!U54,KHP!AA54,KHP!AG54,KHP!AM54))=1)*(CHOOSE({1,2,3,4},KHP!X54,KHP!AD54,KHP!AJ54,KHP!AP54)))</f>
        <v>0</v>
      </c>
      <c r="B54">
        <f>SUMPRODUCT((MONTH(CHOOSE({1,2,3,4},KHP!U54,KHP!AA54,KHP!AG54,KHP!AM54))=2)*(CHOOSE({1,2,3,4},KHP!X54,KHP!AD54,KHP!AJ54,KHP!AP54)))</f>
        <v>0</v>
      </c>
      <c r="C54">
        <f>SUMPRODUCT((MONTH(CHOOSE({1,2,3,4},KHP!U54,KHP!AA54,KHP!AG54,KHP!AM54))=3)*(CHOOSE({1,2,3,4},KHP!X54,KHP!AD54,KHP!AJ54,KHP!AP54)))</f>
        <v>0</v>
      </c>
      <c r="D54">
        <f>SUMPRODUCT((MONTH(CHOOSE({1,2,3,4},KHP!U54,KHP!AA54,KHP!AG54,KHP!AM54))=4)*(CHOOSE({1,2,3,4},KHP!X54,KHP!AD54,KHP!AJ54,KHP!AP54)))</f>
        <v>0</v>
      </c>
      <c r="E54">
        <f>SUMPRODUCT((MONTH(CHOOSE({1,2,3,4},KHP!U54,KHP!AA54,KHP!AG54,KHP!AM54))=5)*(CHOOSE({1,2,3,4},KHP!X54,KHP!AD54,KHP!AJ54,KHP!AP54)))</f>
        <v>0</v>
      </c>
      <c r="F54">
        <f>SUMPRODUCT((MONTH(CHOOSE({1,2,3,4},KHP!U54,KHP!AA54,KHP!AG54,KHP!AM54))=6)*(CHOOSE({1,2,3,4},KHP!X54,KHP!AD54,KHP!AJ54,KHP!AP54)))</f>
        <v>0</v>
      </c>
      <c r="G54">
        <f>SUMPRODUCT((MONTH(CHOOSE({1,2,3,4},KHP!U54,KHP!AA54,KHP!AG54,KHP!AM54))=7)*(CHOOSE({1,2,3,4},KHP!X54,KHP!AD54,KHP!AJ54,KHP!AP54)))</f>
        <v>0</v>
      </c>
      <c r="H54">
        <f>SUMPRODUCT((MONTH(CHOOSE({1,2,3,4},KHP!U54,KHP!AA54,KHP!AG54,KHP!AM54))=8)*(CHOOSE({1,2,3,4},KHP!X54,KHP!AD54,KHP!AJ54,KHP!AP54)))</f>
        <v>0</v>
      </c>
      <c r="I54">
        <f>SUMPRODUCT((MONTH(CHOOSE({1,2,3,4},KHP!U54,KHP!AA54,KHP!AG54,KHP!AM54))=9)*(CHOOSE({1,2,3,4},KHP!X54,KHP!AD54,KHP!AJ54,KHP!AP54)))</f>
        <v>0</v>
      </c>
      <c r="J54">
        <f>SUMPRODUCT((MONTH(CHOOSE({1,2,3,4},KHP!U54,KHP!AA54,KHP!AG54,KHP!AM54))=10)*(CHOOSE({1,2,3,4},KHP!X54,KHP!AD54,KHP!AJ54,KHP!AP54)))</f>
        <v>0</v>
      </c>
      <c r="K54">
        <f>SUMPRODUCT((MONTH(CHOOSE({1,2,3,4},KHP!U54,KHP!AA54,KHP!AG54,KHP!AM54))=11)*(CHOOSE({1,2,3,4},KHP!X54,KHP!AD54,KHP!AJ54,KHP!AP54)))</f>
        <v>0</v>
      </c>
      <c r="L54">
        <f>SUMPRODUCT((MONTH(CHOOSE({1,2,3,4},KHP!U54,KHP!AA54,KHP!AG54,KHP!AM54))=12)*(CHOOSE({1,2,3,4},KHP!X54,KHP!AD54,KHP!AJ54,KHP!AP54)))</f>
        <v>0</v>
      </c>
    </row>
    <row r="55" spans="1:12">
      <c r="A55">
        <f>SUMPRODUCT((MONTH(CHOOSE({1,2,3,4},KHP!U55,KHP!AA55,KHP!AG55,KHP!AM55))=1)*(CHOOSE({1,2,3,4},KHP!X55,KHP!AD55,KHP!AJ55,KHP!AP55)))</f>
        <v>0</v>
      </c>
      <c r="B55">
        <f>SUMPRODUCT((MONTH(CHOOSE({1,2,3,4},KHP!U55,KHP!AA55,KHP!AG55,KHP!AM55))=2)*(CHOOSE({1,2,3,4},KHP!X55,KHP!AD55,KHP!AJ55,KHP!AP55)))</f>
        <v>0</v>
      </c>
      <c r="C55">
        <f>SUMPRODUCT((MONTH(CHOOSE({1,2,3,4},KHP!U55,KHP!AA55,KHP!AG55,KHP!AM55))=3)*(CHOOSE({1,2,3,4},KHP!X55,KHP!AD55,KHP!AJ55,KHP!AP55)))</f>
        <v>0</v>
      </c>
      <c r="D55">
        <f>SUMPRODUCT((MONTH(CHOOSE({1,2,3,4},KHP!U55,KHP!AA55,KHP!AG55,KHP!AM55))=4)*(CHOOSE({1,2,3,4},KHP!X55,KHP!AD55,KHP!AJ55,KHP!AP55)))</f>
        <v>0</v>
      </c>
      <c r="E55">
        <f>SUMPRODUCT((MONTH(CHOOSE({1,2,3,4},KHP!U55,KHP!AA55,KHP!AG55,KHP!AM55))=5)*(CHOOSE({1,2,3,4},KHP!X55,KHP!AD55,KHP!AJ55,KHP!AP55)))</f>
        <v>0</v>
      </c>
      <c r="F55">
        <f>SUMPRODUCT((MONTH(CHOOSE({1,2,3,4},KHP!U55,KHP!AA55,KHP!AG55,KHP!AM55))=6)*(CHOOSE({1,2,3,4},KHP!X55,KHP!AD55,KHP!AJ55,KHP!AP55)))</f>
        <v>0</v>
      </c>
      <c r="G55">
        <f>SUMPRODUCT((MONTH(CHOOSE({1,2,3,4},KHP!U55,KHP!AA55,KHP!AG55,KHP!AM55))=7)*(CHOOSE({1,2,3,4},KHP!X55,KHP!AD55,KHP!AJ55,KHP!AP55)))</f>
        <v>0</v>
      </c>
      <c r="H55">
        <f>SUMPRODUCT((MONTH(CHOOSE({1,2,3,4},KHP!U55,KHP!AA55,KHP!AG55,KHP!AM55))=8)*(CHOOSE({1,2,3,4},KHP!X55,KHP!AD55,KHP!AJ55,KHP!AP55)))</f>
        <v>0</v>
      </c>
      <c r="I55">
        <f>SUMPRODUCT((MONTH(CHOOSE({1,2,3,4},KHP!U55,KHP!AA55,KHP!AG55,KHP!AM55))=9)*(CHOOSE({1,2,3,4},KHP!X55,KHP!AD55,KHP!AJ55,KHP!AP55)))</f>
        <v>0</v>
      </c>
      <c r="J55">
        <f>SUMPRODUCT((MONTH(CHOOSE({1,2,3,4},KHP!U55,KHP!AA55,KHP!AG55,KHP!AM55))=10)*(CHOOSE({1,2,3,4},KHP!X55,KHP!AD55,KHP!AJ55,KHP!AP55)))</f>
        <v>0</v>
      </c>
      <c r="K55">
        <f>SUMPRODUCT((MONTH(CHOOSE({1,2,3,4},KHP!U55,KHP!AA55,KHP!AG55,KHP!AM55))=11)*(CHOOSE({1,2,3,4},KHP!X55,KHP!AD55,KHP!AJ55,KHP!AP55)))</f>
        <v>0</v>
      </c>
      <c r="L55">
        <f>SUMPRODUCT((MONTH(CHOOSE({1,2,3,4},KHP!U55,KHP!AA55,KHP!AG55,KHP!AM55))=12)*(CHOOSE({1,2,3,4},KHP!X55,KHP!AD55,KHP!AJ55,KHP!AP55)))</f>
        <v>0</v>
      </c>
    </row>
    <row r="56" spans="1:12">
      <c r="A56">
        <f>SUMPRODUCT((MONTH(CHOOSE({1,2,3,4},KHP!U56,KHP!AA56,KHP!AG56,KHP!AM56))=1)*(CHOOSE({1,2,3,4},KHP!X56,KHP!AD56,KHP!AJ56,KHP!AP56)))</f>
        <v>0</v>
      </c>
      <c r="B56">
        <f>SUMPRODUCT((MONTH(CHOOSE({1,2,3,4},KHP!U56,KHP!AA56,KHP!AG56,KHP!AM56))=2)*(CHOOSE({1,2,3,4},KHP!X56,KHP!AD56,KHP!AJ56,KHP!AP56)))</f>
        <v>0</v>
      </c>
      <c r="C56">
        <f>SUMPRODUCT((MONTH(CHOOSE({1,2,3,4},KHP!U56,KHP!AA56,KHP!AG56,KHP!AM56))=3)*(CHOOSE({1,2,3,4},KHP!X56,KHP!AD56,KHP!AJ56,KHP!AP56)))</f>
        <v>0</v>
      </c>
      <c r="D56">
        <f>SUMPRODUCT((MONTH(CHOOSE({1,2,3,4},KHP!U56,KHP!AA56,KHP!AG56,KHP!AM56))=4)*(CHOOSE({1,2,3,4},KHP!X56,KHP!AD56,KHP!AJ56,KHP!AP56)))</f>
        <v>0</v>
      </c>
      <c r="E56">
        <f>SUMPRODUCT((MONTH(CHOOSE({1,2,3,4},KHP!U56,KHP!AA56,KHP!AG56,KHP!AM56))=5)*(CHOOSE({1,2,3,4},KHP!X56,KHP!AD56,KHP!AJ56,KHP!AP56)))</f>
        <v>0</v>
      </c>
      <c r="F56">
        <f>SUMPRODUCT((MONTH(CHOOSE({1,2,3,4},KHP!U56,KHP!AA56,KHP!AG56,KHP!AM56))=6)*(CHOOSE({1,2,3,4},KHP!X56,KHP!AD56,KHP!AJ56,KHP!AP56)))</f>
        <v>0</v>
      </c>
      <c r="G56">
        <f>SUMPRODUCT((MONTH(CHOOSE({1,2,3,4},KHP!U56,KHP!AA56,KHP!AG56,KHP!AM56))=7)*(CHOOSE({1,2,3,4},KHP!X56,KHP!AD56,KHP!AJ56,KHP!AP56)))</f>
        <v>0</v>
      </c>
      <c r="H56">
        <f>SUMPRODUCT((MONTH(CHOOSE({1,2,3,4},KHP!U56,KHP!AA56,KHP!AG56,KHP!AM56))=8)*(CHOOSE({1,2,3,4},KHP!X56,KHP!AD56,KHP!AJ56,KHP!AP56)))</f>
        <v>0</v>
      </c>
      <c r="I56">
        <f>SUMPRODUCT((MONTH(CHOOSE({1,2,3,4},KHP!U56,KHP!AA56,KHP!AG56,KHP!AM56))=9)*(CHOOSE({1,2,3,4},KHP!X56,KHP!AD56,KHP!AJ56,KHP!AP56)))</f>
        <v>0</v>
      </c>
      <c r="J56">
        <f>SUMPRODUCT((MONTH(CHOOSE({1,2,3,4},KHP!U56,KHP!AA56,KHP!AG56,KHP!AM56))=10)*(CHOOSE({1,2,3,4},KHP!X56,KHP!AD56,KHP!AJ56,KHP!AP56)))</f>
        <v>0</v>
      </c>
      <c r="K56">
        <f>SUMPRODUCT((MONTH(CHOOSE({1,2,3,4},KHP!U56,KHP!AA56,KHP!AG56,KHP!AM56))=11)*(CHOOSE({1,2,3,4},KHP!X56,KHP!AD56,KHP!AJ56,KHP!AP56)))</f>
        <v>0</v>
      </c>
      <c r="L56">
        <f>SUMPRODUCT((MONTH(CHOOSE({1,2,3,4},KHP!U56,KHP!AA56,KHP!AG56,KHP!AM56))=12)*(CHOOSE({1,2,3,4},KHP!X56,KHP!AD56,KHP!AJ56,KHP!AP56)))</f>
        <v>0</v>
      </c>
    </row>
    <row r="57" spans="1:12">
      <c r="A57">
        <f>SUMPRODUCT((MONTH(CHOOSE({1,2,3,4},KHP!U57,KHP!AA57,KHP!AG57,KHP!AM57))=1)*(CHOOSE({1,2,3,4},KHP!X57,KHP!AD57,KHP!AJ57,KHP!AP57)))</f>
        <v>0</v>
      </c>
      <c r="B57">
        <f>SUMPRODUCT((MONTH(CHOOSE({1,2,3,4},KHP!U57,KHP!AA57,KHP!AG57,KHP!AM57))=2)*(CHOOSE({1,2,3,4},KHP!X57,KHP!AD57,KHP!AJ57,KHP!AP57)))</f>
        <v>0</v>
      </c>
      <c r="C57">
        <f>SUMPRODUCT((MONTH(CHOOSE({1,2,3,4},KHP!U57,KHP!AA57,KHP!AG57,KHP!AM57))=3)*(CHOOSE({1,2,3,4},KHP!X57,KHP!AD57,KHP!AJ57,KHP!AP57)))</f>
        <v>0</v>
      </c>
      <c r="D57">
        <f>SUMPRODUCT((MONTH(CHOOSE({1,2,3,4},KHP!U57,KHP!AA57,KHP!AG57,KHP!AM57))=4)*(CHOOSE({1,2,3,4},KHP!X57,KHP!AD57,KHP!AJ57,KHP!AP57)))</f>
        <v>0</v>
      </c>
      <c r="E57">
        <f>SUMPRODUCT((MONTH(CHOOSE({1,2,3,4},KHP!U57,KHP!AA57,KHP!AG57,KHP!AM57))=5)*(CHOOSE({1,2,3,4},KHP!X57,KHP!AD57,KHP!AJ57,KHP!AP57)))</f>
        <v>0</v>
      </c>
      <c r="F57">
        <f>SUMPRODUCT((MONTH(CHOOSE({1,2,3,4},KHP!U57,KHP!AA57,KHP!AG57,KHP!AM57))=6)*(CHOOSE({1,2,3,4},KHP!X57,KHP!AD57,KHP!AJ57,KHP!AP57)))</f>
        <v>0</v>
      </c>
      <c r="G57">
        <f>SUMPRODUCT((MONTH(CHOOSE({1,2,3,4},KHP!U57,KHP!AA57,KHP!AG57,KHP!AM57))=7)*(CHOOSE({1,2,3,4},KHP!X57,KHP!AD57,KHP!AJ57,KHP!AP57)))</f>
        <v>0</v>
      </c>
      <c r="H57">
        <f>SUMPRODUCT((MONTH(CHOOSE({1,2,3,4},KHP!U57,KHP!AA57,KHP!AG57,KHP!AM57))=8)*(CHOOSE({1,2,3,4},KHP!X57,KHP!AD57,KHP!AJ57,KHP!AP57)))</f>
        <v>0</v>
      </c>
      <c r="I57">
        <f>SUMPRODUCT((MONTH(CHOOSE({1,2,3,4},KHP!U57,KHP!AA57,KHP!AG57,KHP!AM57))=9)*(CHOOSE({1,2,3,4},KHP!X57,KHP!AD57,KHP!AJ57,KHP!AP57)))</f>
        <v>0</v>
      </c>
      <c r="J57">
        <f>SUMPRODUCT((MONTH(CHOOSE({1,2,3,4},KHP!U57,KHP!AA57,KHP!AG57,KHP!AM57))=10)*(CHOOSE({1,2,3,4},KHP!X57,KHP!AD57,KHP!AJ57,KHP!AP57)))</f>
        <v>0</v>
      </c>
      <c r="K57">
        <f>SUMPRODUCT((MONTH(CHOOSE({1,2,3,4},KHP!U57,KHP!AA57,KHP!AG57,KHP!AM57))=11)*(CHOOSE({1,2,3,4},KHP!X57,KHP!AD57,KHP!AJ57,KHP!AP57)))</f>
        <v>0</v>
      </c>
      <c r="L57">
        <f>SUMPRODUCT((MONTH(CHOOSE({1,2,3,4},KHP!U57,KHP!AA57,KHP!AG57,KHP!AM57))=12)*(CHOOSE({1,2,3,4},KHP!X57,KHP!AD57,KHP!AJ57,KHP!AP57)))</f>
        <v>0</v>
      </c>
    </row>
    <row r="58" spans="1:12">
      <c r="A58">
        <f>SUMPRODUCT((MONTH(CHOOSE({1,2,3,4},KHP!U58,KHP!AA58,KHP!AG58,KHP!AM58))=1)*(CHOOSE({1,2,3,4},KHP!X58,KHP!AD58,KHP!AJ58,KHP!AP58)))</f>
        <v>0</v>
      </c>
      <c r="B58">
        <f>SUMPRODUCT((MONTH(CHOOSE({1,2,3,4},KHP!U58,KHP!AA58,KHP!AG58,KHP!AM58))=2)*(CHOOSE({1,2,3,4},KHP!X58,KHP!AD58,KHP!AJ58,KHP!AP58)))</f>
        <v>0</v>
      </c>
      <c r="C58">
        <f>SUMPRODUCT((MONTH(CHOOSE({1,2,3,4},KHP!U58,KHP!AA58,KHP!AG58,KHP!AM58))=3)*(CHOOSE({1,2,3,4},KHP!X58,KHP!AD58,KHP!AJ58,KHP!AP58)))</f>
        <v>0</v>
      </c>
      <c r="D58">
        <f>SUMPRODUCT((MONTH(CHOOSE({1,2,3,4},KHP!U58,KHP!AA58,KHP!AG58,KHP!AM58))=4)*(CHOOSE({1,2,3,4},KHP!X58,KHP!AD58,KHP!AJ58,KHP!AP58)))</f>
        <v>0</v>
      </c>
      <c r="E58">
        <f>SUMPRODUCT((MONTH(CHOOSE({1,2,3,4},KHP!U58,KHP!AA58,KHP!AG58,KHP!AM58))=5)*(CHOOSE({1,2,3,4},KHP!X58,KHP!AD58,KHP!AJ58,KHP!AP58)))</f>
        <v>0</v>
      </c>
      <c r="F58">
        <f>SUMPRODUCT((MONTH(CHOOSE({1,2,3,4},KHP!U58,KHP!AA58,KHP!AG58,KHP!AM58))=6)*(CHOOSE({1,2,3,4},KHP!X58,KHP!AD58,KHP!AJ58,KHP!AP58)))</f>
        <v>0</v>
      </c>
      <c r="G58">
        <f>SUMPRODUCT((MONTH(CHOOSE({1,2,3,4},KHP!U58,KHP!AA58,KHP!AG58,KHP!AM58))=7)*(CHOOSE({1,2,3,4},KHP!X58,KHP!AD58,KHP!AJ58,KHP!AP58)))</f>
        <v>0</v>
      </c>
      <c r="H58">
        <f>SUMPRODUCT((MONTH(CHOOSE({1,2,3,4},KHP!U58,KHP!AA58,KHP!AG58,KHP!AM58))=8)*(CHOOSE({1,2,3,4},KHP!X58,KHP!AD58,KHP!AJ58,KHP!AP58)))</f>
        <v>0</v>
      </c>
      <c r="I58">
        <f>SUMPRODUCT((MONTH(CHOOSE({1,2,3,4},KHP!U58,KHP!AA58,KHP!AG58,KHP!AM58))=9)*(CHOOSE({1,2,3,4},KHP!X58,KHP!AD58,KHP!AJ58,KHP!AP58)))</f>
        <v>0</v>
      </c>
      <c r="J58">
        <f>SUMPRODUCT((MONTH(CHOOSE({1,2,3,4},KHP!U58,KHP!AA58,KHP!AG58,KHP!AM58))=10)*(CHOOSE({1,2,3,4},KHP!X58,KHP!AD58,KHP!AJ58,KHP!AP58)))</f>
        <v>0</v>
      </c>
      <c r="K58">
        <f>SUMPRODUCT((MONTH(CHOOSE({1,2,3,4},KHP!U58,KHP!AA58,KHP!AG58,KHP!AM58))=11)*(CHOOSE({1,2,3,4},KHP!X58,KHP!AD58,KHP!AJ58,KHP!AP58)))</f>
        <v>0</v>
      </c>
      <c r="L58">
        <f>SUMPRODUCT((MONTH(CHOOSE({1,2,3,4},KHP!U58,KHP!AA58,KHP!AG58,KHP!AM58))=12)*(CHOOSE({1,2,3,4},KHP!X58,KHP!AD58,KHP!AJ58,KHP!AP58)))</f>
        <v>0</v>
      </c>
    </row>
    <row r="59" spans="1:12">
      <c r="A59">
        <f>SUMPRODUCT((MONTH(CHOOSE({1,2,3,4},KHP!U59,KHP!AA59,KHP!AG59,KHP!AM59))=1)*(CHOOSE({1,2,3,4},KHP!X59,KHP!AD59,KHP!AJ59,KHP!AP59)))</f>
        <v>0</v>
      </c>
      <c r="B59">
        <f>SUMPRODUCT((MONTH(CHOOSE({1,2,3,4},KHP!U59,KHP!AA59,KHP!AG59,KHP!AM59))=2)*(CHOOSE({1,2,3,4},KHP!X59,KHP!AD59,KHP!AJ59,KHP!AP59)))</f>
        <v>0</v>
      </c>
      <c r="C59">
        <f>SUMPRODUCT((MONTH(CHOOSE({1,2,3,4},KHP!U59,KHP!AA59,KHP!AG59,KHP!AM59))=3)*(CHOOSE({1,2,3,4},KHP!X59,KHP!AD59,KHP!AJ59,KHP!AP59)))</f>
        <v>0</v>
      </c>
      <c r="D59">
        <f>SUMPRODUCT((MONTH(CHOOSE({1,2,3,4},KHP!U59,KHP!AA59,KHP!AG59,KHP!AM59))=4)*(CHOOSE({1,2,3,4},KHP!X59,KHP!AD59,KHP!AJ59,KHP!AP59)))</f>
        <v>0</v>
      </c>
      <c r="E59">
        <f>SUMPRODUCT((MONTH(CHOOSE({1,2,3,4},KHP!U59,KHP!AA59,KHP!AG59,KHP!AM59))=5)*(CHOOSE({1,2,3,4},KHP!X59,KHP!AD59,KHP!AJ59,KHP!AP59)))</f>
        <v>0</v>
      </c>
      <c r="F59">
        <f>SUMPRODUCT((MONTH(CHOOSE({1,2,3,4},KHP!U59,KHP!AA59,KHP!AG59,KHP!AM59))=6)*(CHOOSE({1,2,3,4},KHP!X59,KHP!AD59,KHP!AJ59,KHP!AP59)))</f>
        <v>0</v>
      </c>
      <c r="G59">
        <f>SUMPRODUCT((MONTH(CHOOSE({1,2,3,4},KHP!U59,KHP!AA59,KHP!AG59,KHP!AM59))=7)*(CHOOSE({1,2,3,4},KHP!X59,KHP!AD59,KHP!AJ59,KHP!AP59)))</f>
        <v>0</v>
      </c>
      <c r="H59">
        <f>SUMPRODUCT((MONTH(CHOOSE({1,2,3,4},KHP!U59,KHP!AA59,KHP!AG59,KHP!AM59))=8)*(CHOOSE({1,2,3,4},KHP!X59,KHP!AD59,KHP!AJ59,KHP!AP59)))</f>
        <v>0</v>
      </c>
      <c r="I59">
        <f>SUMPRODUCT((MONTH(CHOOSE({1,2,3,4},KHP!U59,KHP!AA59,KHP!AG59,KHP!AM59))=9)*(CHOOSE({1,2,3,4},KHP!X59,KHP!AD59,KHP!AJ59,KHP!AP59)))</f>
        <v>0</v>
      </c>
      <c r="J59">
        <f>SUMPRODUCT((MONTH(CHOOSE({1,2,3,4},KHP!U59,KHP!AA59,KHP!AG59,KHP!AM59))=10)*(CHOOSE({1,2,3,4},KHP!X59,KHP!AD59,KHP!AJ59,KHP!AP59)))</f>
        <v>0</v>
      </c>
      <c r="K59">
        <f>SUMPRODUCT((MONTH(CHOOSE({1,2,3,4},KHP!U59,KHP!AA59,KHP!AG59,KHP!AM59))=11)*(CHOOSE({1,2,3,4},KHP!X59,KHP!AD59,KHP!AJ59,KHP!AP59)))</f>
        <v>0</v>
      </c>
      <c r="L59">
        <f>SUMPRODUCT((MONTH(CHOOSE({1,2,3,4},KHP!U59,KHP!AA59,KHP!AG59,KHP!AM59))=12)*(CHOOSE({1,2,3,4},KHP!X59,KHP!AD59,KHP!AJ59,KHP!AP59)))</f>
        <v>0</v>
      </c>
    </row>
    <row r="60" spans="1:12">
      <c r="A60">
        <f>SUMPRODUCT((MONTH(CHOOSE({1,2,3,4},KHP!U60,KHP!AA60,KHP!AG60,KHP!AM60))=1)*(CHOOSE({1,2,3,4},KHP!X60,KHP!AD60,KHP!AJ60,KHP!AP60)))</f>
        <v>0</v>
      </c>
      <c r="B60">
        <f>SUMPRODUCT((MONTH(CHOOSE({1,2,3,4},KHP!U60,KHP!AA60,KHP!AG60,KHP!AM60))=2)*(CHOOSE({1,2,3,4},KHP!X60,KHP!AD60,KHP!AJ60,KHP!AP60)))</f>
        <v>0</v>
      </c>
      <c r="C60">
        <f>SUMPRODUCT((MONTH(CHOOSE({1,2,3,4},KHP!U60,KHP!AA60,KHP!AG60,KHP!AM60))=3)*(CHOOSE({1,2,3,4},KHP!X60,KHP!AD60,KHP!AJ60,KHP!AP60)))</f>
        <v>0</v>
      </c>
      <c r="D60">
        <f>SUMPRODUCT((MONTH(CHOOSE({1,2,3,4},KHP!U60,KHP!AA60,KHP!AG60,KHP!AM60))=4)*(CHOOSE({1,2,3,4},KHP!X60,KHP!AD60,KHP!AJ60,KHP!AP60)))</f>
        <v>0</v>
      </c>
      <c r="E60">
        <f>SUMPRODUCT((MONTH(CHOOSE({1,2,3,4},KHP!U60,KHP!AA60,KHP!AG60,KHP!AM60))=5)*(CHOOSE({1,2,3,4},KHP!X60,KHP!AD60,KHP!AJ60,KHP!AP60)))</f>
        <v>0</v>
      </c>
      <c r="F60">
        <f>SUMPRODUCT((MONTH(CHOOSE({1,2,3,4},KHP!U60,KHP!AA60,KHP!AG60,KHP!AM60))=6)*(CHOOSE({1,2,3,4},KHP!X60,KHP!AD60,KHP!AJ60,KHP!AP60)))</f>
        <v>0</v>
      </c>
      <c r="G60">
        <f>SUMPRODUCT((MONTH(CHOOSE({1,2,3,4},KHP!U60,KHP!AA60,KHP!AG60,KHP!AM60))=7)*(CHOOSE({1,2,3,4},KHP!X60,KHP!AD60,KHP!AJ60,KHP!AP60)))</f>
        <v>0</v>
      </c>
      <c r="H60">
        <f>SUMPRODUCT((MONTH(CHOOSE({1,2,3,4},KHP!U60,KHP!AA60,KHP!AG60,KHP!AM60))=8)*(CHOOSE({1,2,3,4},KHP!X60,KHP!AD60,KHP!AJ60,KHP!AP60)))</f>
        <v>0</v>
      </c>
      <c r="I60">
        <f>SUMPRODUCT((MONTH(CHOOSE({1,2,3,4},KHP!U60,KHP!AA60,KHP!AG60,KHP!AM60))=9)*(CHOOSE({1,2,3,4},KHP!X60,KHP!AD60,KHP!AJ60,KHP!AP60)))</f>
        <v>0</v>
      </c>
      <c r="J60">
        <f>SUMPRODUCT((MONTH(CHOOSE({1,2,3,4},KHP!U60,KHP!AA60,KHP!AG60,KHP!AM60))=10)*(CHOOSE({1,2,3,4},KHP!X60,KHP!AD60,KHP!AJ60,KHP!AP60)))</f>
        <v>0</v>
      </c>
      <c r="K60">
        <f>SUMPRODUCT((MONTH(CHOOSE({1,2,3,4},KHP!U60,KHP!AA60,KHP!AG60,KHP!AM60))=11)*(CHOOSE({1,2,3,4},KHP!X60,KHP!AD60,KHP!AJ60,KHP!AP60)))</f>
        <v>0</v>
      </c>
      <c r="L60">
        <f>SUMPRODUCT((MONTH(CHOOSE({1,2,3,4},KHP!U60,KHP!AA60,KHP!AG60,KHP!AM60))=12)*(CHOOSE({1,2,3,4},KHP!X60,KHP!AD60,KHP!AJ60,KHP!AP60)))</f>
        <v>0</v>
      </c>
    </row>
    <row r="61" spans="1:12">
      <c r="A61">
        <f>SUMPRODUCT((MONTH(CHOOSE({1,2,3,4},KHP!U61,KHP!AA61,KHP!AG61,KHP!AM61))=1)*(CHOOSE({1,2,3,4},KHP!X61,KHP!AD61,KHP!AJ61,KHP!AP61)))</f>
        <v>0</v>
      </c>
      <c r="B61">
        <f>SUMPRODUCT((MONTH(CHOOSE({1,2,3,4},KHP!U61,KHP!AA61,KHP!AG61,KHP!AM61))=2)*(CHOOSE({1,2,3,4},KHP!X61,KHP!AD61,KHP!AJ61,KHP!AP61)))</f>
        <v>0</v>
      </c>
      <c r="C61">
        <f>SUMPRODUCT((MONTH(CHOOSE({1,2,3,4},KHP!U61,KHP!AA61,KHP!AG61,KHP!AM61))=3)*(CHOOSE({1,2,3,4},KHP!X61,KHP!AD61,KHP!AJ61,KHP!AP61)))</f>
        <v>0</v>
      </c>
      <c r="D61">
        <f>SUMPRODUCT((MONTH(CHOOSE({1,2,3,4},KHP!U61,KHP!AA61,KHP!AG61,KHP!AM61))=4)*(CHOOSE({1,2,3,4},KHP!X61,KHP!AD61,KHP!AJ61,KHP!AP61)))</f>
        <v>0</v>
      </c>
      <c r="E61">
        <f>SUMPRODUCT((MONTH(CHOOSE({1,2,3,4},KHP!U61,KHP!AA61,KHP!AG61,KHP!AM61))=5)*(CHOOSE({1,2,3,4},KHP!X61,KHP!AD61,KHP!AJ61,KHP!AP61)))</f>
        <v>0</v>
      </c>
      <c r="F61">
        <f>SUMPRODUCT((MONTH(CHOOSE({1,2,3,4},KHP!U61,KHP!AA61,KHP!AG61,KHP!AM61))=6)*(CHOOSE({1,2,3,4},KHP!X61,KHP!AD61,KHP!AJ61,KHP!AP61)))</f>
        <v>0</v>
      </c>
      <c r="G61">
        <f>SUMPRODUCT((MONTH(CHOOSE({1,2,3,4},KHP!U61,KHP!AA61,KHP!AG61,KHP!AM61))=7)*(CHOOSE({1,2,3,4},KHP!X61,KHP!AD61,KHP!AJ61,KHP!AP61)))</f>
        <v>0</v>
      </c>
      <c r="H61">
        <f>SUMPRODUCT((MONTH(CHOOSE({1,2,3,4},KHP!U61,KHP!AA61,KHP!AG61,KHP!AM61))=8)*(CHOOSE({1,2,3,4},KHP!X61,KHP!AD61,KHP!AJ61,KHP!AP61)))</f>
        <v>0</v>
      </c>
      <c r="I61">
        <f>SUMPRODUCT((MONTH(CHOOSE({1,2,3,4},KHP!U61,KHP!AA61,KHP!AG61,KHP!AM61))=9)*(CHOOSE({1,2,3,4},KHP!X61,KHP!AD61,KHP!AJ61,KHP!AP61)))</f>
        <v>0</v>
      </c>
      <c r="J61">
        <f>SUMPRODUCT((MONTH(CHOOSE({1,2,3,4},KHP!U61,KHP!AA61,KHP!AG61,KHP!AM61))=10)*(CHOOSE({1,2,3,4},KHP!X61,KHP!AD61,KHP!AJ61,KHP!AP61)))</f>
        <v>0</v>
      </c>
      <c r="K61">
        <f>SUMPRODUCT((MONTH(CHOOSE({1,2,3,4},KHP!U61,KHP!AA61,KHP!AG61,KHP!AM61))=11)*(CHOOSE({1,2,3,4},KHP!X61,KHP!AD61,KHP!AJ61,KHP!AP61)))</f>
        <v>0</v>
      </c>
      <c r="L61">
        <f>SUMPRODUCT((MONTH(CHOOSE({1,2,3,4},KHP!U61,KHP!AA61,KHP!AG61,KHP!AM61))=12)*(CHOOSE({1,2,3,4},KHP!X61,KHP!AD61,KHP!AJ61,KHP!AP61)))</f>
        <v>0</v>
      </c>
    </row>
    <row r="62" spans="1:12">
      <c r="A62">
        <f>SUMPRODUCT((MONTH(CHOOSE({1,2,3,4},KHP!U62,KHP!AA62,KHP!AG62,KHP!AM62))=1)*(CHOOSE({1,2,3,4},KHP!X62,KHP!AD62,KHP!AJ62,KHP!AP62)))</f>
        <v>0</v>
      </c>
      <c r="B62">
        <f>SUMPRODUCT((MONTH(CHOOSE({1,2,3,4},KHP!U62,KHP!AA62,KHP!AG62,KHP!AM62))=2)*(CHOOSE({1,2,3,4},KHP!X62,KHP!AD62,KHP!AJ62,KHP!AP62)))</f>
        <v>0</v>
      </c>
      <c r="C62">
        <f>SUMPRODUCT((MONTH(CHOOSE({1,2,3,4},KHP!U62,KHP!AA62,KHP!AG62,KHP!AM62))=3)*(CHOOSE({1,2,3,4},KHP!X62,KHP!AD62,KHP!AJ62,KHP!AP62)))</f>
        <v>0</v>
      </c>
      <c r="D62">
        <f>SUMPRODUCT((MONTH(CHOOSE({1,2,3,4},KHP!U62,KHP!AA62,KHP!AG62,KHP!AM62))=4)*(CHOOSE({1,2,3,4},KHP!X62,KHP!AD62,KHP!AJ62,KHP!AP62)))</f>
        <v>0</v>
      </c>
      <c r="E62">
        <f>SUMPRODUCT((MONTH(CHOOSE({1,2,3,4},KHP!U62,KHP!AA62,KHP!AG62,KHP!AM62))=5)*(CHOOSE({1,2,3,4},KHP!X62,KHP!AD62,KHP!AJ62,KHP!AP62)))</f>
        <v>0</v>
      </c>
      <c r="F62">
        <f>SUMPRODUCT((MONTH(CHOOSE({1,2,3,4},KHP!U62,KHP!AA62,KHP!AG62,KHP!AM62))=6)*(CHOOSE({1,2,3,4},KHP!X62,KHP!AD62,KHP!AJ62,KHP!AP62)))</f>
        <v>0</v>
      </c>
      <c r="G62">
        <f>SUMPRODUCT((MONTH(CHOOSE({1,2,3,4},KHP!U62,KHP!AA62,KHP!AG62,KHP!AM62))=7)*(CHOOSE({1,2,3,4},KHP!X62,KHP!AD62,KHP!AJ62,KHP!AP62)))</f>
        <v>0</v>
      </c>
      <c r="H62">
        <f>SUMPRODUCT((MONTH(CHOOSE({1,2,3,4},KHP!U62,KHP!AA62,KHP!AG62,KHP!AM62))=8)*(CHOOSE({1,2,3,4},KHP!X62,KHP!AD62,KHP!AJ62,KHP!AP62)))</f>
        <v>0</v>
      </c>
      <c r="I62">
        <f>SUMPRODUCT((MONTH(CHOOSE({1,2,3,4},KHP!U62,KHP!AA62,KHP!AG62,KHP!AM62))=9)*(CHOOSE({1,2,3,4},KHP!X62,KHP!AD62,KHP!AJ62,KHP!AP62)))</f>
        <v>0</v>
      </c>
      <c r="J62">
        <f>SUMPRODUCT((MONTH(CHOOSE({1,2,3,4},KHP!U62,KHP!AA62,KHP!AG62,KHP!AM62))=10)*(CHOOSE({1,2,3,4},KHP!X62,KHP!AD62,KHP!AJ62,KHP!AP62)))</f>
        <v>0</v>
      </c>
      <c r="K62">
        <f>SUMPRODUCT((MONTH(CHOOSE({1,2,3,4},KHP!U62,KHP!AA62,KHP!AG62,KHP!AM62))=11)*(CHOOSE({1,2,3,4},KHP!X62,KHP!AD62,KHP!AJ62,KHP!AP62)))</f>
        <v>0</v>
      </c>
      <c r="L62">
        <f>SUMPRODUCT((MONTH(CHOOSE({1,2,3,4},KHP!U62,KHP!AA62,KHP!AG62,KHP!AM62))=12)*(CHOOSE({1,2,3,4},KHP!X62,KHP!AD62,KHP!AJ62,KHP!AP62)))</f>
        <v>0</v>
      </c>
    </row>
    <row r="63" spans="1:12">
      <c r="A63">
        <f>SUMPRODUCT((MONTH(CHOOSE({1,2,3,4},KHP!U63,KHP!AA63,KHP!AG63,KHP!AM63))=1)*(CHOOSE({1,2,3,4},KHP!X63,KHP!AD63,KHP!AJ63,KHP!AP63)))</f>
        <v>0</v>
      </c>
      <c r="B63">
        <f>SUMPRODUCT((MONTH(CHOOSE({1,2,3,4},KHP!U63,KHP!AA63,KHP!AG63,KHP!AM63))=2)*(CHOOSE({1,2,3,4},KHP!X63,KHP!AD63,KHP!AJ63,KHP!AP63)))</f>
        <v>0</v>
      </c>
      <c r="C63">
        <f>SUMPRODUCT((MONTH(CHOOSE({1,2,3,4},KHP!U63,KHP!AA63,KHP!AG63,KHP!AM63))=3)*(CHOOSE({1,2,3,4},KHP!X63,KHP!AD63,KHP!AJ63,KHP!AP63)))</f>
        <v>0</v>
      </c>
      <c r="D63">
        <f>SUMPRODUCT((MONTH(CHOOSE({1,2,3,4},KHP!U63,KHP!AA63,KHP!AG63,KHP!AM63))=4)*(CHOOSE({1,2,3,4},KHP!X63,KHP!AD63,KHP!AJ63,KHP!AP63)))</f>
        <v>0</v>
      </c>
      <c r="E63">
        <f>SUMPRODUCT((MONTH(CHOOSE({1,2,3,4},KHP!U63,KHP!AA63,KHP!AG63,KHP!AM63))=5)*(CHOOSE({1,2,3,4},KHP!X63,KHP!AD63,KHP!AJ63,KHP!AP63)))</f>
        <v>0</v>
      </c>
      <c r="F63">
        <f>SUMPRODUCT((MONTH(CHOOSE({1,2,3,4},KHP!U63,KHP!AA63,KHP!AG63,KHP!AM63))=6)*(CHOOSE({1,2,3,4},KHP!X63,KHP!AD63,KHP!AJ63,KHP!AP63)))</f>
        <v>0</v>
      </c>
      <c r="G63">
        <f>SUMPRODUCT((MONTH(CHOOSE({1,2,3,4},KHP!U63,KHP!AA63,KHP!AG63,KHP!AM63))=7)*(CHOOSE({1,2,3,4},KHP!X63,KHP!AD63,KHP!AJ63,KHP!AP63)))</f>
        <v>0</v>
      </c>
      <c r="H63">
        <f>SUMPRODUCT((MONTH(CHOOSE({1,2,3,4},KHP!U63,KHP!AA63,KHP!AG63,KHP!AM63))=8)*(CHOOSE({1,2,3,4},KHP!X63,KHP!AD63,KHP!AJ63,KHP!AP63)))</f>
        <v>0</v>
      </c>
      <c r="I63">
        <f>SUMPRODUCT((MONTH(CHOOSE({1,2,3,4},KHP!U63,KHP!AA63,KHP!AG63,KHP!AM63))=9)*(CHOOSE({1,2,3,4},KHP!X63,KHP!AD63,KHP!AJ63,KHP!AP63)))</f>
        <v>0</v>
      </c>
      <c r="J63">
        <f>SUMPRODUCT((MONTH(CHOOSE({1,2,3,4},KHP!U63,KHP!AA63,KHP!AG63,KHP!AM63))=10)*(CHOOSE({1,2,3,4},KHP!X63,KHP!AD63,KHP!AJ63,KHP!AP63)))</f>
        <v>0</v>
      </c>
      <c r="K63">
        <f>SUMPRODUCT((MONTH(CHOOSE({1,2,3,4},KHP!U63,KHP!AA63,KHP!AG63,KHP!AM63))=11)*(CHOOSE({1,2,3,4},KHP!X63,KHP!AD63,KHP!AJ63,KHP!AP63)))</f>
        <v>0</v>
      </c>
      <c r="L63">
        <f>SUMPRODUCT((MONTH(CHOOSE({1,2,3,4},KHP!U63,KHP!AA63,KHP!AG63,KHP!AM63))=12)*(CHOOSE({1,2,3,4},KHP!X63,KHP!AD63,KHP!AJ63,KHP!AP63)))</f>
        <v>0</v>
      </c>
    </row>
    <row r="64" spans="1:12">
      <c r="A64">
        <f>SUMPRODUCT((MONTH(CHOOSE({1,2,3,4},KHP!U64,KHP!AA64,KHP!AG64,KHP!AM64))=1)*(CHOOSE({1,2,3,4},KHP!X64,KHP!AD64,KHP!AJ64,KHP!AP64)))</f>
        <v>0</v>
      </c>
      <c r="B64">
        <f>SUMPRODUCT((MONTH(CHOOSE({1,2,3,4},KHP!U64,KHP!AA64,KHP!AG64,KHP!AM64))=2)*(CHOOSE({1,2,3,4},KHP!X64,KHP!AD64,KHP!AJ64,KHP!AP64)))</f>
        <v>0</v>
      </c>
      <c r="C64">
        <f>SUMPRODUCT((MONTH(CHOOSE({1,2,3,4},KHP!U64,KHP!AA64,KHP!AG64,KHP!AM64))=3)*(CHOOSE({1,2,3,4},KHP!X64,KHP!AD64,KHP!AJ64,KHP!AP64)))</f>
        <v>0</v>
      </c>
      <c r="D64">
        <f>SUMPRODUCT((MONTH(CHOOSE({1,2,3,4},KHP!U64,KHP!AA64,KHP!AG64,KHP!AM64))=4)*(CHOOSE({1,2,3,4},KHP!X64,KHP!AD64,KHP!AJ64,KHP!AP64)))</f>
        <v>0</v>
      </c>
      <c r="E64">
        <f>SUMPRODUCT((MONTH(CHOOSE({1,2,3,4},KHP!U64,KHP!AA64,KHP!AG64,KHP!AM64))=5)*(CHOOSE({1,2,3,4},KHP!X64,KHP!AD64,KHP!AJ64,KHP!AP64)))</f>
        <v>0</v>
      </c>
      <c r="F64">
        <f>SUMPRODUCT((MONTH(CHOOSE({1,2,3,4},KHP!U64,KHP!AA64,KHP!AG64,KHP!AM64))=6)*(CHOOSE({1,2,3,4},KHP!X64,KHP!AD64,KHP!AJ64,KHP!AP64)))</f>
        <v>0</v>
      </c>
      <c r="G64">
        <f>SUMPRODUCT((MONTH(CHOOSE({1,2,3,4},KHP!U64,KHP!AA64,KHP!AG64,KHP!AM64))=7)*(CHOOSE({1,2,3,4},KHP!X64,KHP!AD64,KHP!AJ64,KHP!AP64)))</f>
        <v>0</v>
      </c>
      <c r="H64">
        <f>SUMPRODUCT((MONTH(CHOOSE({1,2,3,4},KHP!U64,KHP!AA64,KHP!AG64,KHP!AM64))=8)*(CHOOSE({1,2,3,4},KHP!X64,KHP!AD64,KHP!AJ64,KHP!AP64)))</f>
        <v>0</v>
      </c>
      <c r="I64">
        <f>SUMPRODUCT((MONTH(CHOOSE({1,2,3,4},KHP!U64,KHP!AA64,KHP!AG64,KHP!AM64))=9)*(CHOOSE({1,2,3,4},KHP!X64,KHP!AD64,KHP!AJ64,KHP!AP64)))</f>
        <v>0</v>
      </c>
      <c r="J64">
        <f>SUMPRODUCT((MONTH(CHOOSE({1,2,3,4},KHP!U64,KHP!AA64,KHP!AG64,KHP!AM64))=10)*(CHOOSE({1,2,3,4},KHP!X64,KHP!AD64,KHP!AJ64,KHP!AP64)))</f>
        <v>0</v>
      </c>
      <c r="K64">
        <f>SUMPRODUCT((MONTH(CHOOSE({1,2,3,4},KHP!U64,KHP!AA64,KHP!AG64,KHP!AM64))=11)*(CHOOSE({1,2,3,4},KHP!X64,KHP!AD64,KHP!AJ64,KHP!AP64)))</f>
        <v>0</v>
      </c>
      <c r="L64">
        <f>SUMPRODUCT((MONTH(CHOOSE({1,2,3,4},KHP!U64,KHP!AA64,KHP!AG64,KHP!AM64))=12)*(CHOOSE({1,2,3,4},KHP!X64,KHP!AD64,KHP!AJ64,KHP!AP64)))</f>
        <v>0</v>
      </c>
    </row>
    <row r="65" spans="1:12">
      <c r="A65">
        <f>SUMPRODUCT((MONTH(CHOOSE({1,2,3,4},KHP!U65,KHP!AA65,KHP!AG65,KHP!AM65))=1)*(CHOOSE({1,2,3,4},KHP!X65,KHP!AD65,KHP!AJ65,KHP!AP65)))</f>
        <v>0</v>
      </c>
      <c r="B65">
        <f>SUMPRODUCT((MONTH(CHOOSE({1,2,3,4},KHP!U65,KHP!AA65,KHP!AG65,KHP!AM65))=2)*(CHOOSE({1,2,3,4},KHP!X65,KHP!AD65,KHP!AJ65,KHP!AP65)))</f>
        <v>0</v>
      </c>
      <c r="C65">
        <f>SUMPRODUCT((MONTH(CHOOSE({1,2,3,4},KHP!U65,KHP!AA65,KHP!AG65,KHP!AM65))=3)*(CHOOSE({1,2,3,4},KHP!X65,KHP!AD65,KHP!AJ65,KHP!AP65)))</f>
        <v>0</v>
      </c>
      <c r="D65">
        <f>SUMPRODUCT((MONTH(CHOOSE({1,2,3,4},KHP!U65,KHP!AA65,KHP!AG65,KHP!AM65))=4)*(CHOOSE({1,2,3,4},KHP!X65,KHP!AD65,KHP!AJ65,KHP!AP65)))</f>
        <v>0</v>
      </c>
      <c r="E65">
        <f>SUMPRODUCT((MONTH(CHOOSE({1,2,3,4},KHP!U65,KHP!AA65,KHP!AG65,KHP!AM65))=5)*(CHOOSE({1,2,3,4},KHP!X65,KHP!AD65,KHP!AJ65,KHP!AP65)))</f>
        <v>0</v>
      </c>
      <c r="F65">
        <f>SUMPRODUCT((MONTH(CHOOSE({1,2,3,4},KHP!U65,KHP!AA65,KHP!AG65,KHP!AM65))=6)*(CHOOSE({1,2,3,4},KHP!X65,KHP!AD65,KHP!AJ65,KHP!AP65)))</f>
        <v>0</v>
      </c>
      <c r="G65">
        <f>SUMPRODUCT((MONTH(CHOOSE({1,2,3,4},KHP!U65,KHP!AA65,KHP!AG65,KHP!AM65))=7)*(CHOOSE({1,2,3,4},KHP!X65,KHP!AD65,KHP!AJ65,KHP!AP65)))</f>
        <v>0</v>
      </c>
      <c r="H65">
        <f>SUMPRODUCT((MONTH(CHOOSE({1,2,3,4},KHP!U65,KHP!AA65,KHP!AG65,KHP!AM65))=8)*(CHOOSE({1,2,3,4},KHP!X65,KHP!AD65,KHP!AJ65,KHP!AP65)))</f>
        <v>0</v>
      </c>
      <c r="I65">
        <f>SUMPRODUCT((MONTH(CHOOSE({1,2,3,4},KHP!U65,KHP!AA65,KHP!AG65,KHP!AM65))=9)*(CHOOSE({1,2,3,4},KHP!X65,KHP!AD65,KHP!AJ65,KHP!AP65)))</f>
        <v>0</v>
      </c>
      <c r="J65">
        <f>SUMPRODUCT((MONTH(CHOOSE({1,2,3,4},KHP!U65,KHP!AA65,KHP!AG65,KHP!AM65))=10)*(CHOOSE({1,2,3,4},KHP!X65,KHP!AD65,KHP!AJ65,KHP!AP65)))</f>
        <v>0</v>
      </c>
      <c r="K65">
        <f>SUMPRODUCT((MONTH(CHOOSE({1,2,3,4},KHP!U65,KHP!AA65,KHP!AG65,KHP!AM65))=11)*(CHOOSE({1,2,3,4},KHP!X65,KHP!AD65,KHP!AJ65,KHP!AP65)))</f>
        <v>0</v>
      </c>
      <c r="L65">
        <f>SUMPRODUCT((MONTH(CHOOSE({1,2,3,4},KHP!U65,KHP!AA65,KHP!AG65,KHP!AM65))=12)*(CHOOSE({1,2,3,4},KHP!X65,KHP!AD65,KHP!AJ65,KHP!AP65)))</f>
        <v>0</v>
      </c>
    </row>
    <row r="66" spans="1:12">
      <c r="A66">
        <f>SUMPRODUCT((MONTH(CHOOSE({1,2,3,4},KHP!U66,KHP!AA66,KHP!AG66,KHP!AM66))=1)*(CHOOSE({1,2,3,4},KHP!X66,KHP!AD66,KHP!AJ66,KHP!AP66)))</f>
        <v>0</v>
      </c>
      <c r="B66">
        <f>SUMPRODUCT((MONTH(CHOOSE({1,2,3,4},KHP!U66,KHP!AA66,KHP!AG66,KHP!AM66))=2)*(CHOOSE({1,2,3,4},KHP!X66,KHP!AD66,KHP!AJ66,KHP!AP66)))</f>
        <v>0</v>
      </c>
      <c r="C66">
        <f>SUMPRODUCT((MONTH(CHOOSE({1,2,3,4},KHP!U66,KHP!AA66,KHP!AG66,KHP!AM66))=3)*(CHOOSE({1,2,3,4},KHP!X66,KHP!AD66,KHP!AJ66,KHP!AP66)))</f>
        <v>0</v>
      </c>
      <c r="D66">
        <f>SUMPRODUCT((MONTH(CHOOSE({1,2,3,4},KHP!U66,KHP!AA66,KHP!AG66,KHP!AM66))=4)*(CHOOSE({1,2,3,4},KHP!X66,KHP!AD66,KHP!AJ66,KHP!AP66)))</f>
        <v>0</v>
      </c>
      <c r="E66">
        <f>SUMPRODUCT((MONTH(CHOOSE({1,2,3,4},KHP!U66,KHP!AA66,KHP!AG66,KHP!AM66))=5)*(CHOOSE({1,2,3,4},KHP!X66,KHP!AD66,KHP!AJ66,KHP!AP66)))</f>
        <v>0</v>
      </c>
      <c r="F66">
        <f>SUMPRODUCT((MONTH(CHOOSE({1,2,3,4},KHP!U66,KHP!AA66,KHP!AG66,KHP!AM66))=6)*(CHOOSE({1,2,3,4},KHP!X66,KHP!AD66,KHP!AJ66,KHP!AP66)))</f>
        <v>0</v>
      </c>
      <c r="G66">
        <f>SUMPRODUCT((MONTH(CHOOSE({1,2,3,4},KHP!U66,KHP!AA66,KHP!AG66,KHP!AM66))=7)*(CHOOSE({1,2,3,4},KHP!X66,KHP!AD66,KHP!AJ66,KHP!AP66)))</f>
        <v>0</v>
      </c>
      <c r="H66">
        <f>SUMPRODUCT((MONTH(CHOOSE({1,2,3,4},KHP!U66,KHP!AA66,KHP!AG66,KHP!AM66))=8)*(CHOOSE({1,2,3,4},KHP!X66,KHP!AD66,KHP!AJ66,KHP!AP66)))</f>
        <v>0</v>
      </c>
      <c r="I66">
        <f>SUMPRODUCT((MONTH(CHOOSE({1,2,3,4},KHP!U66,KHP!AA66,KHP!AG66,KHP!AM66))=9)*(CHOOSE({1,2,3,4},KHP!X66,KHP!AD66,KHP!AJ66,KHP!AP66)))</f>
        <v>0</v>
      </c>
      <c r="J66">
        <f>SUMPRODUCT((MONTH(CHOOSE({1,2,3,4},KHP!U66,KHP!AA66,KHP!AG66,KHP!AM66))=10)*(CHOOSE({1,2,3,4},KHP!X66,KHP!AD66,KHP!AJ66,KHP!AP66)))</f>
        <v>0</v>
      </c>
      <c r="K66">
        <f>SUMPRODUCT((MONTH(CHOOSE({1,2,3,4},KHP!U66,KHP!AA66,KHP!AG66,KHP!AM66))=11)*(CHOOSE({1,2,3,4},KHP!X66,KHP!AD66,KHP!AJ66,KHP!AP66)))</f>
        <v>0</v>
      </c>
      <c r="L66">
        <f>SUMPRODUCT((MONTH(CHOOSE({1,2,3,4},KHP!U66,KHP!AA66,KHP!AG66,KHP!AM66))=12)*(CHOOSE({1,2,3,4},KHP!X66,KHP!AD66,KHP!AJ66,KHP!AP66)))</f>
        <v>0</v>
      </c>
    </row>
    <row r="67" spans="1:12">
      <c r="A67">
        <f>SUMPRODUCT((MONTH(CHOOSE({1,2,3,4},KHP!U67,KHP!AA67,KHP!AG67,KHP!AM67))=1)*(CHOOSE({1,2,3,4},KHP!X67,KHP!AD67,KHP!AJ67,KHP!AP67)))</f>
        <v>0</v>
      </c>
      <c r="B67">
        <f>SUMPRODUCT((MONTH(CHOOSE({1,2,3,4},KHP!U67,KHP!AA67,KHP!AG67,KHP!AM67))=2)*(CHOOSE({1,2,3,4},KHP!X67,KHP!AD67,KHP!AJ67,KHP!AP67)))</f>
        <v>0</v>
      </c>
      <c r="C67">
        <f>SUMPRODUCT((MONTH(CHOOSE({1,2,3,4},KHP!U67,KHP!AA67,KHP!AG67,KHP!AM67))=3)*(CHOOSE({1,2,3,4},KHP!X67,KHP!AD67,KHP!AJ67,KHP!AP67)))</f>
        <v>0</v>
      </c>
      <c r="D67">
        <f>SUMPRODUCT((MONTH(CHOOSE({1,2,3,4},KHP!U67,KHP!AA67,KHP!AG67,KHP!AM67))=4)*(CHOOSE({1,2,3,4},KHP!X67,KHP!AD67,KHP!AJ67,KHP!AP67)))</f>
        <v>0</v>
      </c>
      <c r="E67">
        <f>SUMPRODUCT((MONTH(CHOOSE({1,2,3,4},KHP!U67,KHP!AA67,KHP!AG67,KHP!AM67))=5)*(CHOOSE({1,2,3,4},KHP!X67,KHP!AD67,KHP!AJ67,KHP!AP67)))</f>
        <v>0</v>
      </c>
      <c r="F67">
        <f>SUMPRODUCT((MONTH(CHOOSE({1,2,3,4},KHP!U67,KHP!AA67,KHP!AG67,KHP!AM67))=6)*(CHOOSE({1,2,3,4},KHP!X67,KHP!AD67,KHP!AJ67,KHP!AP67)))</f>
        <v>0</v>
      </c>
      <c r="G67">
        <f>SUMPRODUCT((MONTH(CHOOSE({1,2,3,4},KHP!U67,KHP!AA67,KHP!AG67,KHP!AM67))=7)*(CHOOSE({1,2,3,4},KHP!X67,KHP!AD67,KHP!AJ67,KHP!AP67)))</f>
        <v>0</v>
      </c>
      <c r="H67">
        <f>SUMPRODUCT((MONTH(CHOOSE({1,2,3,4},KHP!U67,KHP!AA67,KHP!AG67,KHP!AM67))=8)*(CHOOSE({1,2,3,4},KHP!X67,KHP!AD67,KHP!AJ67,KHP!AP67)))</f>
        <v>0</v>
      </c>
      <c r="I67">
        <f>SUMPRODUCT((MONTH(CHOOSE({1,2,3,4},KHP!U67,KHP!AA67,KHP!AG67,KHP!AM67))=9)*(CHOOSE({1,2,3,4},KHP!X67,KHP!AD67,KHP!AJ67,KHP!AP67)))</f>
        <v>0</v>
      </c>
      <c r="J67">
        <f>SUMPRODUCT((MONTH(CHOOSE({1,2,3,4},KHP!U67,KHP!AA67,KHP!AG67,KHP!AM67))=10)*(CHOOSE({1,2,3,4},KHP!X67,KHP!AD67,KHP!AJ67,KHP!AP67)))</f>
        <v>0</v>
      </c>
      <c r="K67">
        <f>SUMPRODUCT((MONTH(CHOOSE({1,2,3,4},KHP!U67,KHP!AA67,KHP!AG67,KHP!AM67))=11)*(CHOOSE({1,2,3,4},KHP!X67,KHP!AD67,KHP!AJ67,KHP!AP67)))</f>
        <v>0</v>
      </c>
      <c r="L67">
        <f>SUMPRODUCT((MONTH(CHOOSE({1,2,3,4},KHP!U67,KHP!AA67,KHP!AG67,KHP!AM67))=12)*(CHOOSE({1,2,3,4},KHP!X67,KHP!AD67,KHP!AJ67,KHP!AP67)))</f>
        <v>0</v>
      </c>
    </row>
    <row r="68" spans="1:12">
      <c r="A68">
        <f>SUMPRODUCT((MONTH(CHOOSE({1,2,3,4},KHP!U68,KHP!AA68,KHP!AG68,KHP!AM68))=1)*(CHOOSE({1,2,3,4},KHP!X68,KHP!AD68,KHP!AJ68,KHP!AP68)))</f>
        <v>0</v>
      </c>
      <c r="B68">
        <f>SUMPRODUCT((MONTH(CHOOSE({1,2,3,4},KHP!U68,KHP!AA68,KHP!AG68,KHP!AM68))=2)*(CHOOSE({1,2,3,4},KHP!X68,KHP!AD68,KHP!AJ68,KHP!AP68)))</f>
        <v>0</v>
      </c>
      <c r="C68">
        <f>SUMPRODUCT((MONTH(CHOOSE({1,2,3,4},KHP!U68,KHP!AA68,KHP!AG68,KHP!AM68))=3)*(CHOOSE({1,2,3,4},KHP!X68,KHP!AD68,KHP!AJ68,KHP!AP68)))</f>
        <v>0</v>
      </c>
      <c r="D68">
        <f>SUMPRODUCT((MONTH(CHOOSE({1,2,3,4},KHP!U68,KHP!AA68,KHP!AG68,KHP!AM68))=4)*(CHOOSE({1,2,3,4},KHP!X68,KHP!AD68,KHP!AJ68,KHP!AP68)))</f>
        <v>0</v>
      </c>
      <c r="E68">
        <f>SUMPRODUCT((MONTH(CHOOSE({1,2,3,4},KHP!U68,KHP!AA68,KHP!AG68,KHP!AM68))=5)*(CHOOSE({1,2,3,4},KHP!X68,KHP!AD68,KHP!AJ68,KHP!AP68)))</f>
        <v>0</v>
      </c>
      <c r="F68">
        <f>SUMPRODUCT((MONTH(CHOOSE({1,2,3,4},KHP!U68,KHP!AA68,KHP!AG68,KHP!AM68))=6)*(CHOOSE({1,2,3,4},KHP!X68,KHP!AD68,KHP!AJ68,KHP!AP68)))</f>
        <v>0</v>
      </c>
      <c r="G68">
        <f>SUMPRODUCT((MONTH(CHOOSE({1,2,3,4},KHP!U68,KHP!AA68,KHP!AG68,KHP!AM68))=7)*(CHOOSE({1,2,3,4},KHP!X68,KHP!AD68,KHP!AJ68,KHP!AP68)))</f>
        <v>0</v>
      </c>
      <c r="H68">
        <f>SUMPRODUCT((MONTH(CHOOSE({1,2,3,4},KHP!U68,KHP!AA68,KHP!AG68,KHP!AM68))=8)*(CHOOSE({1,2,3,4},KHP!X68,KHP!AD68,KHP!AJ68,KHP!AP68)))</f>
        <v>0</v>
      </c>
      <c r="I68">
        <f>SUMPRODUCT((MONTH(CHOOSE({1,2,3,4},KHP!U68,KHP!AA68,KHP!AG68,KHP!AM68))=9)*(CHOOSE({1,2,3,4},KHP!X68,KHP!AD68,KHP!AJ68,KHP!AP68)))</f>
        <v>0</v>
      </c>
      <c r="J68">
        <f>SUMPRODUCT((MONTH(CHOOSE({1,2,3,4},KHP!U68,KHP!AA68,KHP!AG68,KHP!AM68))=10)*(CHOOSE({1,2,3,4},KHP!X68,KHP!AD68,KHP!AJ68,KHP!AP68)))</f>
        <v>0</v>
      </c>
      <c r="K68">
        <f>SUMPRODUCT((MONTH(CHOOSE({1,2,3,4},KHP!U68,KHP!AA68,KHP!AG68,KHP!AM68))=11)*(CHOOSE({1,2,3,4},KHP!X68,KHP!AD68,KHP!AJ68,KHP!AP68)))</f>
        <v>0</v>
      </c>
      <c r="L68">
        <f>SUMPRODUCT((MONTH(CHOOSE({1,2,3,4},KHP!U68,KHP!AA68,KHP!AG68,KHP!AM68))=12)*(CHOOSE({1,2,3,4},KHP!X68,KHP!AD68,KHP!AJ68,KHP!AP68)))</f>
        <v>0</v>
      </c>
    </row>
    <row r="69" spans="1:12">
      <c r="A69">
        <f>SUMPRODUCT((MONTH(CHOOSE({1,2,3,4},KHP!U69,KHP!AA69,KHP!AG69,KHP!AM69))=1)*(CHOOSE({1,2,3,4},KHP!X69,KHP!AD69,KHP!AJ69,KHP!AP69)))</f>
        <v>0</v>
      </c>
      <c r="B69">
        <f>SUMPRODUCT((MONTH(CHOOSE({1,2,3,4},KHP!U69,KHP!AA69,KHP!AG69,KHP!AM69))=2)*(CHOOSE({1,2,3,4},KHP!X69,KHP!AD69,KHP!AJ69,KHP!AP69)))</f>
        <v>0</v>
      </c>
      <c r="C69">
        <f>SUMPRODUCT((MONTH(CHOOSE({1,2,3,4},KHP!U69,KHP!AA69,KHP!AG69,KHP!AM69))=3)*(CHOOSE({1,2,3,4},KHP!X69,KHP!AD69,KHP!AJ69,KHP!AP69)))</f>
        <v>0</v>
      </c>
      <c r="D69">
        <f>SUMPRODUCT((MONTH(CHOOSE({1,2,3,4},KHP!U69,KHP!AA69,KHP!AG69,KHP!AM69))=4)*(CHOOSE({1,2,3,4},KHP!X69,KHP!AD69,KHP!AJ69,KHP!AP69)))</f>
        <v>0</v>
      </c>
      <c r="E69">
        <f>SUMPRODUCT((MONTH(CHOOSE({1,2,3,4},KHP!U69,KHP!AA69,KHP!AG69,KHP!AM69))=5)*(CHOOSE({1,2,3,4},KHP!X69,KHP!AD69,KHP!AJ69,KHP!AP69)))</f>
        <v>0</v>
      </c>
      <c r="F69">
        <f>SUMPRODUCT((MONTH(CHOOSE({1,2,3,4},KHP!U69,KHP!AA69,KHP!AG69,KHP!AM69))=6)*(CHOOSE({1,2,3,4},KHP!X69,KHP!AD69,KHP!AJ69,KHP!AP69)))</f>
        <v>0</v>
      </c>
      <c r="G69">
        <f>SUMPRODUCT((MONTH(CHOOSE({1,2,3,4},KHP!U69,KHP!AA69,KHP!AG69,KHP!AM69))=7)*(CHOOSE({1,2,3,4},KHP!X69,KHP!AD69,KHP!AJ69,KHP!AP69)))</f>
        <v>0</v>
      </c>
      <c r="H69">
        <f>SUMPRODUCT((MONTH(CHOOSE({1,2,3,4},KHP!U69,KHP!AA69,KHP!AG69,KHP!AM69))=8)*(CHOOSE({1,2,3,4},KHP!X69,KHP!AD69,KHP!AJ69,KHP!AP69)))</f>
        <v>0</v>
      </c>
      <c r="I69">
        <f>SUMPRODUCT((MONTH(CHOOSE({1,2,3,4},KHP!U69,KHP!AA69,KHP!AG69,KHP!AM69))=9)*(CHOOSE({1,2,3,4},KHP!X69,KHP!AD69,KHP!AJ69,KHP!AP69)))</f>
        <v>0</v>
      </c>
      <c r="J69">
        <f>SUMPRODUCT((MONTH(CHOOSE({1,2,3,4},KHP!U69,KHP!AA69,KHP!AG69,KHP!AM69))=10)*(CHOOSE({1,2,3,4},KHP!X69,KHP!AD69,KHP!AJ69,KHP!AP69)))</f>
        <v>0</v>
      </c>
      <c r="K69">
        <f>SUMPRODUCT((MONTH(CHOOSE({1,2,3,4},KHP!U69,KHP!AA69,KHP!AG69,KHP!AM69))=11)*(CHOOSE({1,2,3,4},KHP!X69,KHP!AD69,KHP!AJ69,KHP!AP69)))</f>
        <v>0</v>
      </c>
      <c r="L69">
        <f>SUMPRODUCT((MONTH(CHOOSE({1,2,3,4},KHP!U69,KHP!AA69,KHP!AG69,KHP!AM69))=12)*(CHOOSE({1,2,3,4},KHP!X69,KHP!AD69,KHP!AJ69,KHP!AP69)))</f>
        <v>0</v>
      </c>
    </row>
    <row r="70" spans="1:12">
      <c r="A70">
        <f>SUMPRODUCT((MONTH(CHOOSE({1,2,3,4},KHP!U70,KHP!AA70,KHP!AG70,KHP!AM70))=1)*(CHOOSE({1,2,3,4},KHP!X70,KHP!AD70,KHP!AJ70,KHP!AP70)))</f>
        <v>0</v>
      </c>
      <c r="B70">
        <f>SUMPRODUCT((MONTH(CHOOSE({1,2,3,4},KHP!U70,KHP!AA70,KHP!AG70,KHP!AM70))=2)*(CHOOSE({1,2,3,4},KHP!X70,KHP!AD70,KHP!AJ70,KHP!AP70)))</f>
        <v>0</v>
      </c>
      <c r="C70">
        <f>SUMPRODUCT((MONTH(CHOOSE({1,2,3,4},KHP!U70,KHP!AA70,KHP!AG70,KHP!AM70))=3)*(CHOOSE({1,2,3,4},KHP!X70,KHP!AD70,KHP!AJ70,KHP!AP70)))</f>
        <v>0</v>
      </c>
      <c r="D70">
        <f>SUMPRODUCT((MONTH(CHOOSE({1,2,3,4},KHP!U70,KHP!AA70,KHP!AG70,KHP!AM70))=4)*(CHOOSE({1,2,3,4},KHP!X70,KHP!AD70,KHP!AJ70,KHP!AP70)))</f>
        <v>0</v>
      </c>
      <c r="E70">
        <f>SUMPRODUCT((MONTH(CHOOSE({1,2,3,4},KHP!U70,KHP!AA70,KHP!AG70,KHP!AM70))=5)*(CHOOSE({1,2,3,4},KHP!X70,KHP!AD70,KHP!AJ70,KHP!AP70)))</f>
        <v>0</v>
      </c>
      <c r="F70">
        <f>SUMPRODUCT((MONTH(CHOOSE({1,2,3,4},KHP!U70,KHP!AA70,KHP!AG70,KHP!AM70))=6)*(CHOOSE({1,2,3,4},KHP!X70,KHP!AD70,KHP!AJ70,KHP!AP70)))</f>
        <v>0</v>
      </c>
      <c r="G70">
        <f>SUMPRODUCT((MONTH(CHOOSE({1,2,3,4},KHP!U70,KHP!AA70,KHP!AG70,KHP!AM70))=7)*(CHOOSE({1,2,3,4},KHP!X70,KHP!AD70,KHP!AJ70,KHP!AP70)))</f>
        <v>0</v>
      </c>
      <c r="H70">
        <f>SUMPRODUCT((MONTH(CHOOSE({1,2,3,4},KHP!U70,KHP!AA70,KHP!AG70,KHP!AM70))=8)*(CHOOSE({1,2,3,4},KHP!X70,KHP!AD70,KHP!AJ70,KHP!AP70)))</f>
        <v>0</v>
      </c>
      <c r="I70">
        <f>SUMPRODUCT((MONTH(CHOOSE({1,2,3,4},KHP!U70,KHP!AA70,KHP!AG70,KHP!AM70))=9)*(CHOOSE({1,2,3,4},KHP!X70,KHP!AD70,KHP!AJ70,KHP!AP70)))</f>
        <v>0</v>
      </c>
      <c r="J70">
        <f>SUMPRODUCT((MONTH(CHOOSE({1,2,3,4},KHP!U70,KHP!AA70,KHP!AG70,KHP!AM70))=10)*(CHOOSE({1,2,3,4},KHP!X70,KHP!AD70,KHP!AJ70,KHP!AP70)))</f>
        <v>0</v>
      </c>
      <c r="K70">
        <f>SUMPRODUCT((MONTH(CHOOSE({1,2,3,4},KHP!U70,KHP!AA70,KHP!AG70,KHP!AM70))=11)*(CHOOSE({1,2,3,4},KHP!X70,KHP!AD70,KHP!AJ70,KHP!AP70)))</f>
        <v>0</v>
      </c>
      <c r="L70">
        <f>SUMPRODUCT((MONTH(CHOOSE({1,2,3,4},KHP!U70,KHP!AA70,KHP!AG70,KHP!AM70))=12)*(CHOOSE({1,2,3,4},KHP!X70,KHP!AD70,KHP!AJ70,KHP!AP70)))</f>
        <v>0</v>
      </c>
    </row>
    <row r="71" spans="1:12">
      <c r="A71">
        <f>SUMPRODUCT((MONTH(CHOOSE({1,2,3,4},KHP!U71,KHP!AA71,KHP!AG71,KHP!AM71))=1)*(CHOOSE({1,2,3,4},KHP!X71,KHP!AD71,KHP!AJ71,KHP!AP71)))</f>
        <v>0</v>
      </c>
      <c r="B71">
        <f>SUMPRODUCT((MONTH(CHOOSE({1,2,3,4},KHP!U71,KHP!AA71,KHP!AG71,KHP!AM71))=2)*(CHOOSE({1,2,3,4},KHP!X71,KHP!AD71,KHP!AJ71,KHP!AP71)))</f>
        <v>0</v>
      </c>
      <c r="C71">
        <f>SUMPRODUCT((MONTH(CHOOSE({1,2,3,4},KHP!U71,KHP!AA71,KHP!AG71,KHP!AM71))=3)*(CHOOSE({1,2,3,4},KHP!X71,KHP!AD71,KHP!AJ71,KHP!AP71)))</f>
        <v>0</v>
      </c>
      <c r="D71">
        <f>SUMPRODUCT((MONTH(CHOOSE({1,2,3,4},KHP!U71,KHP!AA71,KHP!AG71,KHP!AM71))=4)*(CHOOSE({1,2,3,4},KHP!X71,KHP!AD71,KHP!AJ71,KHP!AP71)))</f>
        <v>0</v>
      </c>
      <c r="E71">
        <f>SUMPRODUCT((MONTH(CHOOSE({1,2,3,4},KHP!U71,KHP!AA71,KHP!AG71,KHP!AM71))=5)*(CHOOSE({1,2,3,4},KHP!X71,KHP!AD71,KHP!AJ71,KHP!AP71)))</f>
        <v>0</v>
      </c>
      <c r="F71">
        <f>SUMPRODUCT((MONTH(CHOOSE({1,2,3,4},KHP!U71,KHP!AA71,KHP!AG71,KHP!AM71))=6)*(CHOOSE({1,2,3,4},KHP!X71,KHP!AD71,KHP!AJ71,KHP!AP71)))</f>
        <v>0</v>
      </c>
      <c r="G71">
        <f>SUMPRODUCT((MONTH(CHOOSE({1,2,3,4},KHP!U71,KHP!AA71,KHP!AG71,KHP!AM71))=7)*(CHOOSE({1,2,3,4},KHP!X71,KHP!AD71,KHP!AJ71,KHP!AP71)))</f>
        <v>0</v>
      </c>
      <c r="H71">
        <f>SUMPRODUCT((MONTH(CHOOSE({1,2,3,4},KHP!U71,KHP!AA71,KHP!AG71,KHP!AM71))=8)*(CHOOSE({1,2,3,4},KHP!X71,KHP!AD71,KHP!AJ71,KHP!AP71)))</f>
        <v>0</v>
      </c>
      <c r="I71">
        <f>SUMPRODUCT((MONTH(CHOOSE({1,2,3,4},KHP!U71,KHP!AA71,KHP!AG71,KHP!AM71))=9)*(CHOOSE({1,2,3,4},KHP!X71,KHP!AD71,KHP!AJ71,KHP!AP71)))</f>
        <v>0</v>
      </c>
      <c r="J71">
        <f>SUMPRODUCT((MONTH(CHOOSE({1,2,3,4},KHP!U71,KHP!AA71,KHP!AG71,KHP!AM71))=10)*(CHOOSE({1,2,3,4},KHP!X71,KHP!AD71,KHP!AJ71,KHP!AP71)))</f>
        <v>0</v>
      </c>
      <c r="K71">
        <f>SUMPRODUCT((MONTH(CHOOSE({1,2,3,4},KHP!U71,KHP!AA71,KHP!AG71,KHP!AM71))=11)*(CHOOSE({1,2,3,4},KHP!X71,KHP!AD71,KHP!AJ71,KHP!AP71)))</f>
        <v>0</v>
      </c>
      <c r="L71">
        <f>SUMPRODUCT((MONTH(CHOOSE({1,2,3,4},KHP!U71,KHP!AA71,KHP!AG71,KHP!AM71))=12)*(CHOOSE({1,2,3,4},KHP!X71,KHP!AD71,KHP!AJ71,KHP!AP71)))</f>
        <v>0</v>
      </c>
    </row>
    <row r="72" spans="1:12">
      <c r="A72">
        <f>SUMPRODUCT((MONTH(CHOOSE({1,2,3,4},KHP!U72,KHP!AA72,KHP!AG72,KHP!AM72))=1)*(CHOOSE({1,2,3,4},KHP!X72,KHP!AD72,KHP!AJ72,KHP!AP72)))</f>
        <v>0</v>
      </c>
      <c r="B72">
        <f>SUMPRODUCT((MONTH(CHOOSE({1,2,3,4},KHP!U72,KHP!AA72,KHP!AG72,KHP!AM72))=2)*(CHOOSE({1,2,3,4},KHP!X72,KHP!AD72,KHP!AJ72,KHP!AP72)))</f>
        <v>0</v>
      </c>
      <c r="C72">
        <f>SUMPRODUCT((MONTH(CHOOSE({1,2,3,4},KHP!U72,KHP!AA72,KHP!AG72,KHP!AM72))=3)*(CHOOSE({1,2,3,4},KHP!X72,KHP!AD72,KHP!AJ72,KHP!AP72)))</f>
        <v>0</v>
      </c>
      <c r="D72">
        <f>SUMPRODUCT((MONTH(CHOOSE({1,2,3,4},KHP!U72,KHP!AA72,KHP!AG72,KHP!AM72))=4)*(CHOOSE({1,2,3,4},KHP!X72,KHP!AD72,KHP!AJ72,KHP!AP72)))</f>
        <v>0</v>
      </c>
      <c r="E72">
        <f>SUMPRODUCT((MONTH(CHOOSE({1,2,3,4},KHP!U72,KHP!AA72,KHP!AG72,KHP!AM72))=5)*(CHOOSE({1,2,3,4},KHP!X72,KHP!AD72,KHP!AJ72,KHP!AP72)))</f>
        <v>0</v>
      </c>
      <c r="F72">
        <f>SUMPRODUCT((MONTH(CHOOSE({1,2,3,4},KHP!U72,KHP!AA72,KHP!AG72,KHP!AM72))=6)*(CHOOSE({1,2,3,4},KHP!X72,KHP!AD72,KHP!AJ72,KHP!AP72)))</f>
        <v>0</v>
      </c>
      <c r="G72">
        <f>SUMPRODUCT((MONTH(CHOOSE({1,2,3,4},KHP!U72,KHP!AA72,KHP!AG72,KHP!AM72))=7)*(CHOOSE({1,2,3,4},KHP!X72,KHP!AD72,KHP!AJ72,KHP!AP72)))</f>
        <v>0</v>
      </c>
      <c r="H72">
        <f>SUMPRODUCT((MONTH(CHOOSE({1,2,3,4},KHP!U72,KHP!AA72,KHP!AG72,KHP!AM72))=8)*(CHOOSE({1,2,3,4},KHP!X72,KHP!AD72,KHP!AJ72,KHP!AP72)))</f>
        <v>0</v>
      </c>
      <c r="I72">
        <f>SUMPRODUCT((MONTH(CHOOSE({1,2,3,4},KHP!U72,KHP!AA72,KHP!AG72,KHP!AM72))=9)*(CHOOSE({1,2,3,4},KHP!X72,KHP!AD72,KHP!AJ72,KHP!AP72)))</f>
        <v>0</v>
      </c>
      <c r="J72">
        <f>SUMPRODUCT((MONTH(CHOOSE({1,2,3,4},KHP!U72,KHP!AA72,KHP!AG72,KHP!AM72))=10)*(CHOOSE({1,2,3,4},KHP!X72,KHP!AD72,KHP!AJ72,KHP!AP72)))</f>
        <v>0</v>
      </c>
      <c r="K72">
        <f>SUMPRODUCT((MONTH(CHOOSE({1,2,3,4},KHP!U72,KHP!AA72,KHP!AG72,KHP!AM72))=11)*(CHOOSE({1,2,3,4},KHP!X72,KHP!AD72,KHP!AJ72,KHP!AP72)))</f>
        <v>0</v>
      </c>
      <c r="L72">
        <f>SUMPRODUCT((MONTH(CHOOSE({1,2,3,4},KHP!U72,KHP!AA72,KHP!AG72,KHP!AM72))=12)*(CHOOSE({1,2,3,4},KHP!X72,KHP!AD72,KHP!AJ72,KHP!AP72)))</f>
        <v>0</v>
      </c>
    </row>
    <row r="73" spans="1:12">
      <c r="A73">
        <f>SUMPRODUCT((MONTH(CHOOSE({1,2,3,4},KHP!U73,KHP!AA73,KHP!AG73,KHP!AM73))=1)*(CHOOSE({1,2,3,4},KHP!X73,KHP!AD73,KHP!AJ73,KHP!AP73)))</f>
        <v>0</v>
      </c>
      <c r="B73">
        <f>SUMPRODUCT((MONTH(CHOOSE({1,2,3,4},KHP!U73,KHP!AA73,KHP!AG73,KHP!AM73))=2)*(CHOOSE({1,2,3,4},KHP!X73,KHP!AD73,KHP!AJ73,KHP!AP73)))</f>
        <v>0</v>
      </c>
      <c r="C73">
        <f>SUMPRODUCT((MONTH(CHOOSE({1,2,3,4},KHP!U73,KHP!AA73,KHP!AG73,KHP!AM73))=3)*(CHOOSE({1,2,3,4},KHP!X73,KHP!AD73,KHP!AJ73,KHP!AP73)))</f>
        <v>0</v>
      </c>
      <c r="D73">
        <f>SUMPRODUCT((MONTH(CHOOSE({1,2,3,4},KHP!U73,KHP!AA73,KHP!AG73,KHP!AM73))=4)*(CHOOSE({1,2,3,4},KHP!X73,KHP!AD73,KHP!AJ73,KHP!AP73)))</f>
        <v>0</v>
      </c>
      <c r="E73">
        <f>SUMPRODUCT((MONTH(CHOOSE({1,2,3,4},KHP!U73,KHP!AA73,KHP!AG73,KHP!AM73))=5)*(CHOOSE({1,2,3,4},KHP!X73,KHP!AD73,KHP!AJ73,KHP!AP73)))</f>
        <v>0</v>
      </c>
      <c r="F73">
        <f>SUMPRODUCT((MONTH(CHOOSE({1,2,3,4},KHP!U73,KHP!AA73,KHP!AG73,KHP!AM73))=6)*(CHOOSE({1,2,3,4},KHP!X73,KHP!AD73,KHP!AJ73,KHP!AP73)))</f>
        <v>0</v>
      </c>
      <c r="G73">
        <f>SUMPRODUCT((MONTH(CHOOSE({1,2,3,4},KHP!U73,KHP!AA73,KHP!AG73,KHP!AM73))=7)*(CHOOSE({1,2,3,4},KHP!X73,KHP!AD73,KHP!AJ73,KHP!AP73)))</f>
        <v>0</v>
      </c>
      <c r="H73">
        <f>SUMPRODUCT((MONTH(CHOOSE({1,2,3,4},KHP!U73,KHP!AA73,KHP!AG73,KHP!AM73))=8)*(CHOOSE({1,2,3,4},KHP!X73,KHP!AD73,KHP!AJ73,KHP!AP73)))</f>
        <v>0</v>
      </c>
      <c r="I73">
        <f>SUMPRODUCT((MONTH(CHOOSE({1,2,3,4},KHP!U73,KHP!AA73,KHP!AG73,KHP!AM73))=9)*(CHOOSE({1,2,3,4},KHP!X73,KHP!AD73,KHP!AJ73,KHP!AP73)))</f>
        <v>0</v>
      </c>
      <c r="J73">
        <f>SUMPRODUCT((MONTH(CHOOSE({1,2,3,4},KHP!U73,KHP!AA73,KHP!AG73,KHP!AM73))=10)*(CHOOSE({1,2,3,4},KHP!X73,KHP!AD73,KHP!AJ73,KHP!AP73)))</f>
        <v>0</v>
      </c>
      <c r="K73">
        <f>SUMPRODUCT((MONTH(CHOOSE({1,2,3,4},KHP!U73,KHP!AA73,KHP!AG73,KHP!AM73))=11)*(CHOOSE({1,2,3,4},KHP!X73,KHP!AD73,KHP!AJ73,KHP!AP73)))</f>
        <v>0</v>
      </c>
      <c r="L73">
        <f>SUMPRODUCT((MONTH(CHOOSE({1,2,3,4},KHP!U73,KHP!AA73,KHP!AG73,KHP!AM73))=12)*(CHOOSE({1,2,3,4},KHP!X73,KHP!AD73,KHP!AJ73,KHP!AP73)))</f>
        <v>0</v>
      </c>
    </row>
    <row r="74" spans="1:12">
      <c r="A74">
        <f>SUMPRODUCT((MONTH(CHOOSE({1,2,3,4},KHP!U74,KHP!AA74,KHP!AG74,KHP!AM74))=1)*(CHOOSE({1,2,3,4},KHP!X74,KHP!AD74,KHP!AJ74,KHP!AP74)))</f>
        <v>0</v>
      </c>
      <c r="B74">
        <f>SUMPRODUCT((MONTH(CHOOSE({1,2,3,4},KHP!U74,KHP!AA74,KHP!AG74,KHP!AM74))=2)*(CHOOSE({1,2,3,4},KHP!X74,KHP!AD74,KHP!AJ74,KHP!AP74)))</f>
        <v>0</v>
      </c>
      <c r="C74">
        <f>SUMPRODUCT((MONTH(CHOOSE({1,2,3,4},KHP!U74,KHP!AA74,KHP!AG74,KHP!AM74))=3)*(CHOOSE({1,2,3,4},KHP!X74,KHP!AD74,KHP!AJ74,KHP!AP74)))</f>
        <v>0</v>
      </c>
      <c r="D74">
        <f>SUMPRODUCT((MONTH(CHOOSE({1,2,3,4},KHP!U74,KHP!AA74,KHP!AG74,KHP!AM74))=4)*(CHOOSE({1,2,3,4},KHP!X74,KHP!AD74,KHP!AJ74,KHP!AP74)))</f>
        <v>0</v>
      </c>
      <c r="E74">
        <f>SUMPRODUCT((MONTH(CHOOSE({1,2,3,4},KHP!U74,KHP!AA74,KHP!AG74,KHP!AM74))=5)*(CHOOSE({1,2,3,4},KHP!X74,KHP!AD74,KHP!AJ74,KHP!AP74)))</f>
        <v>0</v>
      </c>
      <c r="F74">
        <f>SUMPRODUCT((MONTH(CHOOSE({1,2,3,4},KHP!U74,KHP!AA74,KHP!AG74,KHP!AM74))=6)*(CHOOSE({1,2,3,4},KHP!X74,KHP!AD74,KHP!AJ74,KHP!AP74)))</f>
        <v>0</v>
      </c>
      <c r="G74">
        <f>SUMPRODUCT((MONTH(CHOOSE({1,2,3,4},KHP!U74,KHP!AA74,KHP!AG74,KHP!AM74))=7)*(CHOOSE({1,2,3,4},KHP!X74,KHP!AD74,KHP!AJ74,KHP!AP74)))</f>
        <v>0</v>
      </c>
      <c r="H74">
        <f>SUMPRODUCT((MONTH(CHOOSE({1,2,3,4},KHP!U74,KHP!AA74,KHP!AG74,KHP!AM74))=8)*(CHOOSE({1,2,3,4},KHP!X74,KHP!AD74,KHP!AJ74,KHP!AP74)))</f>
        <v>0</v>
      </c>
      <c r="I74">
        <f>SUMPRODUCT((MONTH(CHOOSE({1,2,3,4},KHP!U74,KHP!AA74,KHP!AG74,KHP!AM74))=9)*(CHOOSE({1,2,3,4},KHP!X74,KHP!AD74,KHP!AJ74,KHP!AP74)))</f>
        <v>0</v>
      </c>
      <c r="J74">
        <f>SUMPRODUCT((MONTH(CHOOSE({1,2,3,4},KHP!U74,KHP!AA74,KHP!AG74,KHP!AM74))=10)*(CHOOSE({1,2,3,4},KHP!X74,KHP!AD74,KHP!AJ74,KHP!AP74)))</f>
        <v>0</v>
      </c>
      <c r="K74">
        <f>SUMPRODUCT((MONTH(CHOOSE({1,2,3,4},KHP!U74,KHP!AA74,KHP!AG74,KHP!AM74))=11)*(CHOOSE({1,2,3,4},KHP!X74,KHP!AD74,KHP!AJ74,KHP!AP74)))</f>
        <v>0</v>
      </c>
      <c r="L74">
        <f>SUMPRODUCT((MONTH(CHOOSE({1,2,3,4},KHP!U74,KHP!AA74,KHP!AG74,KHP!AM74))=12)*(CHOOSE({1,2,3,4},KHP!X74,KHP!AD74,KHP!AJ74,KHP!AP74)))</f>
        <v>0</v>
      </c>
    </row>
    <row r="75" spans="1:12">
      <c r="A75">
        <f>SUMPRODUCT((MONTH(CHOOSE({1,2,3,4},KHP!U75,KHP!AA75,KHP!AG75,KHP!AM75))=1)*(CHOOSE({1,2,3,4},KHP!X75,KHP!AD75,KHP!AJ75,KHP!AP75)))</f>
        <v>0</v>
      </c>
      <c r="B75">
        <f>SUMPRODUCT((MONTH(CHOOSE({1,2,3,4},KHP!U75,KHP!AA75,KHP!AG75,KHP!AM75))=2)*(CHOOSE({1,2,3,4},KHP!X75,KHP!AD75,KHP!AJ75,KHP!AP75)))</f>
        <v>0</v>
      </c>
      <c r="C75">
        <f>SUMPRODUCT((MONTH(CHOOSE({1,2,3,4},KHP!U75,KHP!AA75,KHP!AG75,KHP!AM75))=3)*(CHOOSE({1,2,3,4},KHP!X75,KHP!AD75,KHP!AJ75,KHP!AP75)))</f>
        <v>0</v>
      </c>
      <c r="D75">
        <f>SUMPRODUCT((MONTH(CHOOSE({1,2,3,4},KHP!U75,KHP!AA75,KHP!AG75,KHP!AM75))=4)*(CHOOSE({1,2,3,4},KHP!X75,KHP!AD75,KHP!AJ75,KHP!AP75)))</f>
        <v>0</v>
      </c>
      <c r="E75">
        <f>SUMPRODUCT((MONTH(CHOOSE({1,2,3,4},KHP!U75,KHP!AA75,KHP!AG75,KHP!AM75))=5)*(CHOOSE({1,2,3,4},KHP!X75,KHP!AD75,KHP!AJ75,KHP!AP75)))</f>
        <v>0</v>
      </c>
      <c r="F75">
        <f>SUMPRODUCT((MONTH(CHOOSE({1,2,3,4},KHP!U75,KHP!AA75,KHP!AG75,KHP!AM75))=6)*(CHOOSE({1,2,3,4},KHP!X75,KHP!AD75,KHP!AJ75,KHP!AP75)))</f>
        <v>0</v>
      </c>
      <c r="G75">
        <f>SUMPRODUCT((MONTH(CHOOSE({1,2,3,4},KHP!U75,KHP!AA75,KHP!AG75,KHP!AM75))=7)*(CHOOSE({1,2,3,4},KHP!X75,KHP!AD75,KHP!AJ75,KHP!AP75)))</f>
        <v>0</v>
      </c>
      <c r="H75">
        <f>SUMPRODUCT((MONTH(CHOOSE({1,2,3,4},KHP!U75,KHP!AA75,KHP!AG75,KHP!AM75))=8)*(CHOOSE({1,2,3,4},KHP!X75,KHP!AD75,KHP!AJ75,KHP!AP75)))</f>
        <v>0</v>
      </c>
      <c r="I75">
        <f>SUMPRODUCT((MONTH(CHOOSE({1,2,3,4},KHP!U75,KHP!AA75,KHP!AG75,KHP!AM75))=9)*(CHOOSE({1,2,3,4},KHP!X75,KHP!AD75,KHP!AJ75,KHP!AP75)))</f>
        <v>0</v>
      </c>
      <c r="J75">
        <f>SUMPRODUCT((MONTH(CHOOSE({1,2,3,4},KHP!U75,KHP!AA75,KHP!AG75,KHP!AM75))=10)*(CHOOSE({1,2,3,4},KHP!X75,KHP!AD75,KHP!AJ75,KHP!AP75)))</f>
        <v>0</v>
      </c>
      <c r="K75">
        <f>SUMPRODUCT((MONTH(CHOOSE({1,2,3,4},KHP!U75,KHP!AA75,KHP!AG75,KHP!AM75))=11)*(CHOOSE({1,2,3,4},KHP!X75,KHP!AD75,KHP!AJ75,KHP!AP75)))</f>
        <v>0</v>
      </c>
      <c r="L75">
        <f>SUMPRODUCT((MONTH(CHOOSE({1,2,3,4},KHP!U75,KHP!AA75,KHP!AG75,KHP!AM75))=12)*(CHOOSE({1,2,3,4},KHP!X75,KHP!AD75,KHP!AJ75,KHP!AP75)))</f>
        <v>0</v>
      </c>
    </row>
    <row r="76" spans="1:12">
      <c r="A76">
        <f>SUMPRODUCT((MONTH(CHOOSE({1,2,3,4},KHP!U76,KHP!AA76,KHP!AG76,KHP!AM76))=1)*(CHOOSE({1,2,3,4},KHP!X76,KHP!AD76,KHP!AJ76,KHP!AP76)))</f>
        <v>0</v>
      </c>
      <c r="B76">
        <f>SUMPRODUCT((MONTH(CHOOSE({1,2,3,4},KHP!U76,KHP!AA76,KHP!AG76,KHP!AM76))=2)*(CHOOSE({1,2,3,4},KHP!X76,KHP!AD76,KHP!AJ76,KHP!AP76)))</f>
        <v>0</v>
      </c>
      <c r="C76">
        <f>SUMPRODUCT((MONTH(CHOOSE({1,2,3,4},KHP!U76,KHP!AA76,KHP!AG76,KHP!AM76))=3)*(CHOOSE({1,2,3,4},KHP!X76,KHP!AD76,KHP!AJ76,KHP!AP76)))</f>
        <v>0</v>
      </c>
      <c r="D76">
        <f>SUMPRODUCT((MONTH(CHOOSE({1,2,3,4},KHP!U76,KHP!AA76,KHP!AG76,KHP!AM76))=4)*(CHOOSE({1,2,3,4},KHP!X76,KHP!AD76,KHP!AJ76,KHP!AP76)))</f>
        <v>0</v>
      </c>
      <c r="E76">
        <f>SUMPRODUCT((MONTH(CHOOSE({1,2,3,4},KHP!U76,KHP!AA76,KHP!AG76,KHP!AM76))=5)*(CHOOSE({1,2,3,4},KHP!X76,KHP!AD76,KHP!AJ76,KHP!AP76)))</f>
        <v>0</v>
      </c>
      <c r="F76">
        <f>SUMPRODUCT((MONTH(CHOOSE({1,2,3,4},KHP!U76,KHP!AA76,KHP!AG76,KHP!AM76))=6)*(CHOOSE({1,2,3,4},KHP!X76,KHP!AD76,KHP!AJ76,KHP!AP76)))</f>
        <v>0</v>
      </c>
      <c r="G76">
        <f>SUMPRODUCT((MONTH(CHOOSE({1,2,3,4},KHP!U76,KHP!AA76,KHP!AG76,KHP!AM76))=7)*(CHOOSE({1,2,3,4},KHP!X76,KHP!AD76,KHP!AJ76,KHP!AP76)))</f>
        <v>0</v>
      </c>
      <c r="H76">
        <f>SUMPRODUCT((MONTH(CHOOSE({1,2,3,4},KHP!U76,KHP!AA76,KHP!AG76,KHP!AM76))=8)*(CHOOSE({1,2,3,4},KHP!X76,KHP!AD76,KHP!AJ76,KHP!AP76)))</f>
        <v>0</v>
      </c>
      <c r="I76">
        <f>SUMPRODUCT((MONTH(CHOOSE({1,2,3,4},KHP!U76,KHP!AA76,KHP!AG76,KHP!AM76))=9)*(CHOOSE({1,2,3,4},KHP!X76,KHP!AD76,KHP!AJ76,KHP!AP76)))</f>
        <v>0</v>
      </c>
      <c r="J76">
        <f>SUMPRODUCT((MONTH(CHOOSE({1,2,3,4},KHP!U76,KHP!AA76,KHP!AG76,KHP!AM76))=10)*(CHOOSE({1,2,3,4},KHP!X76,KHP!AD76,KHP!AJ76,KHP!AP76)))</f>
        <v>0</v>
      </c>
      <c r="K76">
        <f>SUMPRODUCT((MONTH(CHOOSE({1,2,3,4},KHP!U76,KHP!AA76,KHP!AG76,KHP!AM76))=11)*(CHOOSE({1,2,3,4},KHP!X76,KHP!AD76,KHP!AJ76,KHP!AP76)))</f>
        <v>0</v>
      </c>
      <c r="L76">
        <f>SUMPRODUCT((MONTH(CHOOSE({1,2,3,4},KHP!U76,KHP!AA76,KHP!AG76,KHP!AM76))=12)*(CHOOSE({1,2,3,4},KHP!X76,KHP!AD76,KHP!AJ76,KHP!AP76)))</f>
        <v>0</v>
      </c>
    </row>
    <row r="77" spans="1:12">
      <c r="A77">
        <f>SUMPRODUCT((MONTH(CHOOSE({1,2,3,4},KHP!U77,KHP!AA77,KHP!AG77,KHP!AM77))=1)*(CHOOSE({1,2,3,4},KHP!X77,KHP!AD77,KHP!AJ77,KHP!AP77)))</f>
        <v>0</v>
      </c>
      <c r="B77">
        <f>SUMPRODUCT((MONTH(CHOOSE({1,2,3,4},KHP!U77,KHP!AA77,KHP!AG77,KHP!AM77))=2)*(CHOOSE({1,2,3,4},KHP!X77,KHP!AD77,KHP!AJ77,KHP!AP77)))</f>
        <v>0</v>
      </c>
      <c r="C77">
        <f>SUMPRODUCT((MONTH(CHOOSE({1,2,3,4},KHP!U77,KHP!AA77,KHP!AG77,KHP!AM77))=3)*(CHOOSE({1,2,3,4},KHP!X77,KHP!AD77,KHP!AJ77,KHP!AP77)))</f>
        <v>0</v>
      </c>
      <c r="D77">
        <f>SUMPRODUCT((MONTH(CHOOSE({1,2,3,4},KHP!U77,KHP!AA77,KHP!AG77,KHP!AM77))=4)*(CHOOSE({1,2,3,4},KHP!X77,KHP!AD77,KHP!AJ77,KHP!AP77)))</f>
        <v>0</v>
      </c>
      <c r="E77">
        <f>SUMPRODUCT((MONTH(CHOOSE({1,2,3,4},KHP!U77,KHP!AA77,KHP!AG77,KHP!AM77))=5)*(CHOOSE({1,2,3,4},KHP!X77,KHP!AD77,KHP!AJ77,KHP!AP77)))</f>
        <v>0</v>
      </c>
      <c r="F77">
        <f>SUMPRODUCT((MONTH(CHOOSE({1,2,3,4},KHP!U77,KHP!AA77,KHP!AG77,KHP!AM77))=6)*(CHOOSE({1,2,3,4},KHP!X77,KHP!AD77,KHP!AJ77,KHP!AP77)))</f>
        <v>0</v>
      </c>
      <c r="G77">
        <f>SUMPRODUCT((MONTH(CHOOSE({1,2,3,4},KHP!U77,KHP!AA77,KHP!AG77,KHP!AM77))=7)*(CHOOSE({1,2,3,4},KHP!X77,KHP!AD77,KHP!AJ77,KHP!AP77)))</f>
        <v>0</v>
      </c>
      <c r="H77">
        <f>SUMPRODUCT((MONTH(CHOOSE({1,2,3,4},KHP!U77,KHP!AA77,KHP!AG77,KHP!AM77))=8)*(CHOOSE({1,2,3,4},KHP!X77,KHP!AD77,KHP!AJ77,KHP!AP77)))</f>
        <v>0</v>
      </c>
      <c r="I77">
        <f>SUMPRODUCT((MONTH(CHOOSE({1,2,3,4},KHP!U77,KHP!AA77,KHP!AG77,KHP!AM77))=9)*(CHOOSE({1,2,3,4},KHP!X77,KHP!AD77,KHP!AJ77,KHP!AP77)))</f>
        <v>0</v>
      </c>
      <c r="J77">
        <f>SUMPRODUCT((MONTH(CHOOSE({1,2,3,4},KHP!U77,KHP!AA77,KHP!AG77,KHP!AM77))=10)*(CHOOSE({1,2,3,4},KHP!X77,KHP!AD77,KHP!AJ77,KHP!AP77)))</f>
        <v>0</v>
      </c>
      <c r="K77">
        <f>SUMPRODUCT((MONTH(CHOOSE({1,2,3,4},KHP!U77,KHP!AA77,KHP!AG77,KHP!AM77))=11)*(CHOOSE({1,2,3,4},KHP!X77,KHP!AD77,KHP!AJ77,KHP!AP77)))</f>
        <v>0</v>
      </c>
      <c r="L77">
        <f>SUMPRODUCT((MONTH(CHOOSE({1,2,3,4},KHP!U77,KHP!AA77,KHP!AG77,KHP!AM77))=12)*(CHOOSE({1,2,3,4},KHP!X77,KHP!AD77,KHP!AJ77,KHP!AP77)))</f>
        <v>0</v>
      </c>
    </row>
    <row r="78" spans="1:12">
      <c r="A78">
        <f>SUMPRODUCT((MONTH(CHOOSE({1,2,3,4},KHP!U78,KHP!AA78,KHP!AG78,KHP!AM78))=1)*(CHOOSE({1,2,3,4},KHP!X78,KHP!AD78,KHP!AJ78,KHP!AP78)))</f>
        <v>0</v>
      </c>
      <c r="B78">
        <f>SUMPRODUCT((MONTH(CHOOSE({1,2,3,4},KHP!U78,KHP!AA78,KHP!AG78,KHP!AM78))=2)*(CHOOSE({1,2,3,4},KHP!X78,KHP!AD78,KHP!AJ78,KHP!AP78)))</f>
        <v>0</v>
      </c>
      <c r="C78">
        <f>SUMPRODUCT((MONTH(CHOOSE({1,2,3,4},KHP!U78,KHP!AA78,KHP!AG78,KHP!AM78))=3)*(CHOOSE({1,2,3,4},KHP!X78,KHP!AD78,KHP!AJ78,KHP!AP78)))</f>
        <v>0</v>
      </c>
      <c r="D78">
        <f>SUMPRODUCT((MONTH(CHOOSE({1,2,3,4},KHP!U78,KHP!AA78,KHP!AG78,KHP!AM78))=4)*(CHOOSE({1,2,3,4},KHP!X78,KHP!AD78,KHP!AJ78,KHP!AP78)))</f>
        <v>0</v>
      </c>
      <c r="E78">
        <f>SUMPRODUCT((MONTH(CHOOSE({1,2,3,4},KHP!U78,KHP!AA78,KHP!AG78,KHP!AM78))=5)*(CHOOSE({1,2,3,4},KHP!X78,KHP!AD78,KHP!AJ78,KHP!AP78)))</f>
        <v>0</v>
      </c>
      <c r="F78">
        <f>SUMPRODUCT((MONTH(CHOOSE({1,2,3,4},KHP!U78,KHP!AA78,KHP!AG78,KHP!AM78))=6)*(CHOOSE({1,2,3,4},KHP!X78,KHP!AD78,KHP!AJ78,KHP!AP78)))</f>
        <v>0</v>
      </c>
      <c r="G78">
        <f>SUMPRODUCT((MONTH(CHOOSE({1,2,3,4},KHP!U78,KHP!AA78,KHP!AG78,KHP!AM78))=7)*(CHOOSE({1,2,3,4},KHP!X78,KHP!AD78,KHP!AJ78,KHP!AP78)))</f>
        <v>0</v>
      </c>
      <c r="H78">
        <f>SUMPRODUCT((MONTH(CHOOSE({1,2,3,4},KHP!U78,KHP!AA78,KHP!AG78,KHP!AM78))=8)*(CHOOSE({1,2,3,4},KHP!X78,KHP!AD78,KHP!AJ78,KHP!AP78)))</f>
        <v>0</v>
      </c>
      <c r="I78">
        <f>SUMPRODUCT((MONTH(CHOOSE({1,2,3,4},KHP!U78,KHP!AA78,KHP!AG78,KHP!AM78))=9)*(CHOOSE({1,2,3,4},KHP!X78,KHP!AD78,KHP!AJ78,KHP!AP78)))</f>
        <v>0</v>
      </c>
      <c r="J78">
        <f>SUMPRODUCT((MONTH(CHOOSE({1,2,3,4},KHP!U78,KHP!AA78,KHP!AG78,KHP!AM78))=10)*(CHOOSE({1,2,3,4},KHP!X78,KHP!AD78,KHP!AJ78,KHP!AP78)))</f>
        <v>0</v>
      </c>
      <c r="K78">
        <f>SUMPRODUCT((MONTH(CHOOSE({1,2,3,4},KHP!U78,KHP!AA78,KHP!AG78,KHP!AM78))=11)*(CHOOSE({1,2,3,4},KHP!X78,KHP!AD78,KHP!AJ78,KHP!AP78)))</f>
        <v>0</v>
      </c>
      <c r="L78">
        <f>SUMPRODUCT((MONTH(CHOOSE({1,2,3,4},KHP!U78,KHP!AA78,KHP!AG78,KHP!AM78))=12)*(CHOOSE({1,2,3,4},KHP!X78,KHP!AD78,KHP!AJ78,KHP!AP78)))</f>
        <v>0</v>
      </c>
    </row>
    <row r="79" spans="1:12">
      <c r="A79">
        <f>SUMPRODUCT((MONTH(CHOOSE({1,2,3,4},KHP!U79,KHP!AA79,KHP!AG79,KHP!AM79))=1)*(CHOOSE({1,2,3,4},KHP!X79,KHP!AD79,KHP!AJ79,KHP!AP79)))</f>
        <v>0</v>
      </c>
      <c r="B79">
        <f>SUMPRODUCT((MONTH(CHOOSE({1,2,3,4},KHP!U79,KHP!AA79,KHP!AG79,KHP!AM79))=2)*(CHOOSE({1,2,3,4},KHP!X79,KHP!AD79,KHP!AJ79,KHP!AP79)))</f>
        <v>0</v>
      </c>
      <c r="C79">
        <f>SUMPRODUCT((MONTH(CHOOSE({1,2,3,4},KHP!U79,KHP!AA79,KHP!AG79,KHP!AM79))=3)*(CHOOSE({1,2,3,4},KHP!X79,KHP!AD79,KHP!AJ79,KHP!AP79)))</f>
        <v>0</v>
      </c>
      <c r="D79">
        <f>SUMPRODUCT((MONTH(CHOOSE({1,2,3,4},KHP!U79,KHP!AA79,KHP!AG79,KHP!AM79))=4)*(CHOOSE({1,2,3,4},KHP!X79,KHP!AD79,KHP!AJ79,KHP!AP79)))</f>
        <v>0</v>
      </c>
      <c r="E79">
        <f>SUMPRODUCT((MONTH(CHOOSE({1,2,3,4},KHP!U79,KHP!AA79,KHP!AG79,KHP!AM79))=5)*(CHOOSE({1,2,3,4},KHP!X79,KHP!AD79,KHP!AJ79,KHP!AP79)))</f>
        <v>0</v>
      </c>
      <c r="F79">
        <f>SUMPRODUCT((MONTH(CHOOSE({1,2,3,4},KHP!U79,KHP!AA79,KHP!AG79,KHP!AM79))=6)*(CHOOSE({1,2,3,4},KHP!X79,KHP!AD79,KHP!AJ79,KHP!AP79)))</f>
        <v>0</v>
      </c>
      <c r="G79">
        <f>SUMPRODUCT((MONTH(CHOOSE({1,2,3,4},KHP!U79,KHP!AA79,KHP!AG79,KHP!AM79))=7)*(CHOOSE({1,2,3,4},KHP!X79,KHP!AD79,KHP!AJ79,KHP!AP79)))</f>
        <v>0</v>
      </c>
      <c r="H79">
        <f>SUMPRODUCT((MONTH(CHOOSE({1,2,3,4},KHP!U79,KHP!AA79,KHP!AG79,KHP!AM79))=8)*(CHOOSE({1,2,3,4},KHP!X79,KHP!AD79,KHP!AJ79,KHP!AP79)))</f>
        <v>0</v>
      </c>
      <c r="I79">
        <f>SUMPRODUCT((MONTH(CHOOSE({1,2,3,4},KHP!U79,KHP!AA79,KHP!AG79,KHP!AM79))=9)*(CHOOSE({1,2,3,4},KHP!X79,KHP!AD79,KHP!AJ79,KHP!AP79)))</f>
        <v>0</v>
      </c>
      <c r="J79">
        <f>SUMPRODUCT((MONTH(CHOOSE({1,2,3,4},KHP!U79,KHP!AA79,KHP!AG79,KHP!AM79))=10)*(CHOOSE({1,2,3,4},KHP!X79,KHP!AD79,KHP!AJ79,KHP!AP79)))</f>
        <v>0</v>
      </c>
      <c r="K79">
        <f>SUMPRODUCT((MONTH(CHOOSE({1,2,3,4},KHP!U79,KHP!AA79,KHP!AG79,KHP!AM79))=11)*(CHOOSE({1,2,3,4},KHP!X79,KHP!AD79,KHP!AJ79,KHP!AP79)))</f>
        <v>0</v>
      </c>
      <c r="L79">
        <f>SUMPRODUCT((MONTH(CHOOSE({1,2,3,4},KHP!U79,KHP!AA79,KHP!AG79,KHP!AM79))=12)*(CHOOSE({1,2,3,4},KHP!X79,KHP!AD79,KHP!AJ79,KHP!AP79)))</f>
        <v>0</v>
      </c>
    </row>
    <row r="80" spans="1:12">
      <c r="A80">
        <f>SUMPRODUCT((MONTH(CHOOSE({1,2,3,4},KHP!U80,KHP!AA80,KHP!AG80,KHP!AM80))=1)*(CHOOSE({1,2,3,4},KHP!X80,KHP!AD80,KHP!AJ80,KHP!AP80)))</f>
        <v>0</v>
      </c>
      <c r="B80">
        <f>SUMPRODUCT((MONTH(CHOOSE({1,2,3,4},KHP!U80,KHP!AA80,KHP!AG80,KHP!AM80))=2)*(CHOOSE({1,2,3,4},KHP!X80,KHP!AD80,KHP!AJ80,KHP!AP80)))</f>
        <v>0</v>
      </c>
      <c r="C80">
        <f>SUMPRODUCT((MONTH(CHOOSE({1,2,3,4},KHP!U80,KHP!AA80,KHP!AG80,KHP!AM80))=3)*(CHOOSE({1,2,3,4},KHP!X80,KHP!AD80,KHP!AJ80,KHP!AP80)))</f>
        <v>0</v>
      </c>
      <c r="D80">
        <f>SUMPRODUCT((MONTH(CHOOSE({1,2,3,4},KHP!U80,KHP!AA80,KHP!AG80,KHP!AM80))=4)*(CHOOSE({1,2,3,4},KHP!X80,KHP!AD80,KHP!AJ80,KHP!AP80)))</f>
        <v>0</v>
      </c>
      <c r="E80">
        <f>SUMPRODUCT((MONTH(CHOOSE({1,2,3,4},KHP!U80,KHP!AA80,KHP!AG80,KHP!AM80))=5)*(CHOOSE({1,2,3,4},KHP!X80,KHP!AD80,KHP!AJ80,KHP!AP80)))</f>
        <v>0</v>
      </c>
      <c r="F80">
        <f>SUMPRODUCT((MONTH(CHOOSE({1,2,3,4},KHP!U80,KHP!AA80,KHP!AG80,KHP!AM80))=6)*(CHOOSE({1,2,3,4},KHP!X80,KHP!AD80,KHP!AJ80,KHP!AP80)))</f>
        <v>0</v>
      </c>
      <c r="G80">
        <f>SUMPRODUCT((MONTH(CHOOSE({1,2,3,4},KHP!U80,KHP!AA80,KHP!AG80,KHP!AM80))=7)*(CHOOSE({1,2,3,4},KHP!X80,KHP!AD80,KHP!AJ80,KHP!AP80)))</f>
        <v>0</v>
      </c>
      <c r="H80">
        <f>SUMPRODUCT((MONTH(CHOOSE({1,2,3,4},KHP!U80,KHP!AA80,KHP!AG80,KHP!AM80))=8)*(CHOOSE({1,2,3,4},KHP!X80,KHP!AD80,KHP!AJ80,KHP!AP80)))</f>
        <v>0</v>
      </c>
      <c r="I80">
        <f>SUMPRODUCT((MONTH(CHOOSE({1,2,3,4},KHP!U80,KHP!AA80,KHP!AG80,KHP!AM80))=9)*(CHOOSE({1,2,3,4},KHP!X80,KHP!AD80,KHP!AJ80,KHP!AP80)))</f>
        <v>0</v>
      </c>
      <c r="J80">
        <f>SUMPRODUCT((MONTH(CHOOSE({1,2,3,4},KHP!U80,KHP!AA80,KHP!AG80,KHP!AM80))=10)*(CHOOSE({1,2,3,4},KHP!X80,KHP!AD80,KHP!AJ80,KHP!AP80)))</f>
        <v>0</v>
      </c>
      <c r="K80">
        <f>SUMPRODUCT((MONTH(CHOOSE({1,2,3,4},KHP!U80,KHP!AA80,KHP!AG80,KHP!AM80))=11)*(CHOOSE({1,2,3,4},KHP!X80,KHP!AD80,KHP!AJ80,KHP!AP80)))</f>
        <v>0</v>
      </c>
      <c r="L80">
        <f>SUMPRODUCT((MONTH(CHOOSE({1,2,3,4},KHP!U80,KHP!AA80,KHP!AG80,KHP!AM80))=12)*(CHOOSE({1,2,3,4},KHP!X80,KHP!AD80,KHP!AJ80,KHP!AP80)))</f>
        <v>0</v>
      </c>
    </row>
    <row r="81" spans="1:12">
      <c r="A81">
        <f>SUMPRODUCT((MONTH(CHOOSE({1,2,3,4},KHP!U81,KHP!AA81,KHP!AG81,KHP!AM81))=1)*(CHOOSE({1,2,3,4},KHP!X81,KHP!AD81,KHP!AJ81,KHP!AP81)))</f>
        <v>0</v>
      </c>
      <c r="B81">
        <f>SUMPRODUCT((MONTH(CHOOSE({1,2,3,4},KHP!U81,KHP!AA81,KHP!AG81,KHP!AM81))=2)*(CHOOSE({1,2,3,4},KHP!X81,KHP!AD81,KHP!AJ81,KHP!AP81)))</f>
        <v>0</v>
      </c>
      <c r="C81">
        <f>SUMPRODUCT((MONTH(CHOOSE({1,2,3,4},KHP!U81,KHP!AA81,KHP!AG81,KHP!AM81))=3)*(CHOOSE({1,2,3,4},KHP!X81,KHP!AD81,KHP!AJ81,KHP!AP81)))</f>
        <v>0</v>
      </c>
      <c r="D81">
        <f>SUMPRODUCT((MONTH(CHOOSE({1,2,3,4},KHP!U81,KHP!AA81,KHP!AG81,KHP!AM81))=4)*(CHOOSE({1,2,3,4},KHP!X81,KHP!AD81,KHP!AJ81,KHP!AP81)))</f>
        <v>0</v>
      </c>
      <c r="E81">
        <f>SUMPRODUCT((MONTH(CHOOSE({1,2,3,4},KHP!U81,KHP!AA81,KHP!AG81,KHP!AM81))=5)*(CHOOSE({1,2,3,4},KHP!X81,KHP!AD81,KHP!AJ81,KHP!AP81)))</f>
        <v>0</v>
      </c>
      <c r="F81">
        <f>SUMPRODUCT((MONTH(CHOOSE({1,2,3,4},KHP!U81,KHP!AA81,KHP!AG81,KHP!AM81))=6)*(CHOOSE({1,2,3,4},KHP!X81,KHP!AD81,KHP!AJ81,KHP!AP81)))</f>
        <v>0</v>
      </c>
      <c r="G81">
        <f>SUMPRODUCT((MONTH(CHOOSE({1,2,3,4},KHP!U81,KHP!AA81,KHP!AG81,KHP!AM81))=7)*(CHOOSE({1,2,3,4},KHP!X81,KHP!AD81,KHP!AJ81,KHP!AP81)))</f>
        <v>0</v>
      </c>
      <c r="H81">
        <f>SUMPRODUCT((MONTH(CHOOSE({1,2,3,4},KHP!U81,KHP!AA81,KHP!AG81,KHP!AM81))=8)*(CHOOSE({1,2,3,4},KHP!X81,KHP!AD81,KHP!AJ81,KHP!AP81)))</f>
        <v>0</v>
      </c>
      <c r="I81">
        <f>SUMPRODUCT((MONTH(CHOOSE({1,2,3,4},KHP!U81,KHP!AA81,KHP!AG81,KHP!AM81))=9)*(CHOOSE({1,2,3,4},KHP!X81,KHP!AD81,KHP!AJ81,KHP!AP81)))</f>
        <v>0</v>
      </c>
      <c r="J81">
        <f>SUMPRODUCT((MONTH(CHOOSE({1,2,3,4},KHP!U81,KHP!AA81,KHP!AG81,KHP!AM81))=10)*(CHOOSE({1,2,3,4},KHP!X81,KHP!AD81,KHP!AJ81,KHP!AP81)))</f>
        <v>0</v>
      </c>
      <c r="K81">
        <f>SUMPRODUCT((MONTH(CHOOSE({1,2,3,4},KHP!U81,KHP!AA81,KHP!AG81,KHP!AM81))=11)*(CHOOSE({1,2,3,4},KHP!X81,KHP!AD81,KHP!AJ81,KHP!AP81)))</f>
        <v>0</v>
      </c>
      <c r="L81">
        <f>SUMPRODUCT((MONTH(CHOOSE({1,2,3,4},KHP!U81,KHP!AA81,KHP!AG81,KHP!AM81))=12)*(CHOOSE({1,2,3,4},KHP!X81,KHP!AD81,KHP!AJ81,KHP!AP81)))</f>
        <v>0</v>
      </c>
    </row>
    <row r="82" spans="1:12">
      <c r="A82">
        <f>SUMPRODUCT((MONTH(CHOOSE({1,2,3,4},KHP!U82,KHP!AA82,KHP!AG82,KHP!AM82))=1)*(CHOOSE({1,2,3,4},KHP!X82,KHP!AD82,KHP!AJ82,KHP!AP82)))</f>
        <v>0</v>
      </c>
      <c r="B82">
        <f>SUMPRODUCT((MONTH(CHOOSE({1,2,3,4},KHP!U82,KHP!AA82,KHP!AG82,KHP!AM82))=2)*(CHOOSE({1,2,3,4},KHP!X82,KHP!AD82,KHP!AJ82,KHP!AP82)))</f>
        <v>0</v>
      </c>
      <c r="C82">
        <f>SUMPRODUCT((MONTH(CHOOSE({1,2,3,4},KHP!U82,KHP!AA82,KHP!AG82,KHP!AM82))=3)*(CHOOSE({1,2,3,4},KHP!X82,KHP!AD82,KHP!AJ82,KHP!AP82)))</f>
        <v>0</v>
      </c>
      <c r="D82">
        <f>SUMPRODUCT((MONTH(CHOOSE({1,2,3,4},KHP!U82,KHP!AA82,KHP!AG82,KHP!AM82))=4)*(CHOOSE({1,2,3,4},KHP!X82,KHP!AD82,KHP!AJ82,KHP!AP82)))</f>
        <v>0</v>
      </c>
      <c r="E82">
        <f>SUMPRODUCT((MONTH(CHOOSE({1,2,3,4},KHP!U82,KHP!AA82,KHP!AG82,KHP!AM82))=5)*(CHOOSE({1,2,3,4},KHP!X82,KHP!AD82,KHP!AJ82,KHP!AP82)))</f>
        <v>0</v>
      </c>
      <c r="F82">
        <f>SUMPRODUCT((MONTH(CHOOSE({1,2,3,4},KHP!U82,KHP!AA82,KHP!AG82,KHP!AM82))=6)*(CHOOSE({1,2,3,4},KHP!X82,KHP!AD82,KHP!AJ82,KHP!AP82)))</f>
        <v>0</v>
      </c>
      <c r="G82">
        <f>SUMPRODUCT((MONTH(CHOOSE({1,2,3,4},KHP!U82,KHP!AA82,KHP!AG82,KHP!AM82))=7)*(CHOOSE({1,2,3,4},KHP!X82,KHP!AD82,KHP!AJ82,KHP!AP82)))</f>
        <v>0</v>
      </c>
      <c r="H82">
        <f>SUMPRODUCT((MONTH(CHOOSE({1,2,3,4},KHP!U82,KHP!AA82,KHP!AG82,KHP!AM82))=8)*(CHOOSE({1,2,3,4},KHP!X82,KHP!AD82,KHP!AJ82,KHP!AP82)))</f>
        <v>0</v>
      </c>
      <c r="I82">
        <f>SUMPRODUCT((MONTH(CHOOSE({1,2,3,4},KHP!U82,KHP!AA82,KHP!AG82,KHP!AM82))=9)*(CHOOSE({1,2,3,4},KHP!X82,KHP!AD82,KHP!AJ82,KHP!AP82)))</f>
        <v>0</v>
      </c>
      <c r="J82">
        <f>SUMPRODUCT((MONTH(CHOOSE({1,2,3,4},KHP!U82,KHP!AA82,KHP!AG82,KHP!AM82))=10)*(CHOOSE({1,2,3,4},KHP!X82,KHP!AD82,KHP!AJ82,KHP!AP82)))</f>
        <v>0</v>
      </c>
      <c r="K82">
        <f>SUMPRODUCT((MONTH(CHOOSE({1,2,3,4},KHP!U82,KHP!AA82,KHP!AG82,KHP!AM82))=11)*(CHOOSE({1,2,3,4},KHP!X82,KHP!AD82,KHP!AJ82,KHP!AP82)))</f>
        <v>0</v>
      </c>
      <c r="L82">
        <f>SUMPRODUCT((MONTH(CHOOSE({1,2,3,4},KHP!U82,KHP!AA82,KHP!AG82,KHP!AM82))=12)*(CHOOSE({1,2,3,4},KHP!X82,KHP!AD82,KHP!AJ82,KHP!AP82)))</f>
        <v>0</v>
      </c>
    </row>
    <row r="83" spans="1:12">
      <c r="A83">
        <f>SUMPRODUCT((MONTH(CHOOSE({1,2,3,4},KHP!U83,KHP!AA83,KHP!AG83,KHP!AM83))=1)*(CHOOSE({1,2,3,4},KHP!X83,KHP!AD83,KHP!AJ83,KHP!AP83)))</f>
        <v>0</v>
      </c>
      <c r="B83">
        <f>SUMPRODUCT((MONTH(CHOOSE({1,2,3,4},KHP!U83,KHP!AA83,KHP!AG83,KHP!AM83))=2)*(CHOOSE({1,2,3,4},KHP!X83,KHP!AD83,KHP!AJ83,KHP!AP83)))</f>
        <v>0</v>
      </c>
      <c r="C83">
        <f>SUMPRODUCT((MONTH(CHOOSE({1,2,3,4},KHP!U83,KHP!AA83,KHP!AG83,KHP!AM83))=3)*(CHOOSE({1,2,3,4},KHP!X83,KHP!AD83,KHP!AJ83,KHP!AP83)))</f>
        <v>0</v>
      </c>
      <c r="D83">
        <f>SUMPRODUCT((MONTH(CHOOSE({1,2,3,4},KHP!U83,KHP!AA83,KHP!AG83,KHP!AM83))=4)*(CHOOSE({1,2,3,4},KHP!X83,KHP!AD83,KHP!AJ83,KHP!AP83)))</f>
        <v>0</v>
      </c>
      <c r="E83">
        <f>SUMPRODUCT((MONTH(CHOOSE({1,2,3,4},KHP!U83,KHP!AA83,KHP!AG83,KHP!AM83))=5)*(CHOOSE({1,2,3,4},KHP!X83,KHP!AD83,KHP!AJ83,KHP!AP83)))</f>
        <v>0</v>
      </c>
      <c r="F83">
        <f>SUMPRODUCT((MONTH(CHOOSE({1,2,3,4},KHP!U83,KHP!AA83,KHP!AG83,KHP!AM83))=6)*(CHOOSE({1,2,3,4},KHP!X83,KHP!AD83,KHP!AJ83,KHP!AP83)))</f>
        <v>0</v>
      </c>
      <c r="G83">
        <f>SUMPRODUCT((MONTH(CHOOSE({1,2,3,4},KHP!U83,KHP!AA83,KHP!AG83,KHP!AM83))=7)*(CHOOSE({1,2,3,4},KHP!X83,KHP!AD83,KHP!AJ83,KHP!AP83)))</f>
        <v>0</v>
      </c>
      <c r="H83">
        <f>SUMPRODUCT((MONTH(CHOOSE({1,2,3,4},KHP!U83,KHP!AA83,KHP!AG83,KHP!AM83))=8)*(CHOOSE({1,2,3,4},KHP!X83,KHP!AD83,KHP!AJ83,KHP!AP83)))</f>
        <v>0</v>
      </c>
      <c r="I83">
        <f>SUMPRODUCT((MONTH(CHOOSE({1,2,3,4},KHP!U83,KHP!AA83,KHP!AG83,KHP!AM83))=9)*(CHOOSE({1,2,3,4},KHP!X83,KHP!AD83,KHP!AJ83,KHP!AP83)))</f>
        <v>0</v>
      </c>
      <c r="J83">
        <f>SUMPRODUCT((MONTH(CHOOSE({1,2,3,4},KHP!U83,KHP!AA83,KHP!AG83,KHP!AM83))=10)*(CHOOSE({1,2,3,4},KHP!X83,KHP!AD83,KHP!AJ83,KHP!AP83)))</f>
        <v>0</v>
      </c>
      <c r="K83">
        <f>SUMPRODUCT((MONTH(CHOOSE({1,2,3,4},KHP!U83,KHP!AA83,KHP!AG83,KHP!AM83))=11)*(CHOOSE({1,2,3,4},KHP!X83,KHP!AD83,KHP!AJ83,KHP!AP83)))</f>
        <v>0</v>
      </c>
      <c r="L83">
        <f>SUMPRODUCT((MONTH(CHOOSE({1,2,3,4},KHP!U83,KHP!AA83,KHP!AG83,KHP!AM83))=12)*(CHOOSE({1,2,3,4},KHP!X83,KHP!AD83,KHP!AJ83,KHP!AP83)))</f>
        <v>0</v>
      </c>
    </row>
    <row r="84" spans="1:12">
      <c r="A84">
        <f>SUMPRODUCT((MONTH(CHOOSE({1,2,3,4},KHP!U84,KHP!AA84,KHP!AG84,KHP!AM84))=1)*(CHOOSE({1,2,3,4},KHP!X84,KHP!AD84,KHP!AJ84,KHP!AP84)))</f>
        <v>0</v>
      </c>
      <c r="B84">
        <f>SUMPRODUCT((MONTH(CHOOSE({1,2,3,4},KHP!U84,KHP!AA84,KHP!AG84,KHP!AM84))=2)*(CHOOSE({1,2,3,4},KHP!X84,KHP!AD84,KHP!AJ84,KHP!AP84)))</f>
        <v>0</v>
      </c>
      <c r="C84">
        <f>SUMPRODUCT((MONTH(CHOOSE({1,2,3,4},KHP!U84,KHP!AA84,KHP!AG84,KHP!AM84))=3)*(CHOOSE({1,2,3,4},KHP!X84,KHP!AD84,KHP!AJ84,KHP!AP84)))</f>
        <v>0</v>
      </c>
      <c r="D84">
        <f>SUMPRODUCT((MONTH(CHOOSE({1,2,3,4},KHP!U84,KHP!AA84,KHP!AG84,KHP!AM84))=4)*(CHOOSE({1,2,3,4},KHP!X84,KHP!AD84,KHP!AJ84,KHP!AP84)))</f>
        <v>0</v>
      </c>
      <c r="E84">
        <f>SUMPRODUCT((MONTH(CHOOSE({1,2,3,4},KHP!U84,KHP!AA84,KHP!AG84,KHP!AM84))=5)*(CHOOSE({1,2,3,4},KHP!X84,KHP!AD84,KHP!AJ84,KHP!AP84)))</f>
        <v>0</v>
      </c>
      <c r="F84">
        <f>SUMPRODUCT((MONTH(CHOOSE({1,2,3,4},KHP!U84,KHP!AA84,KHP!AG84,KHP!AM84))=6)*(CHOOSE({1,2,3,4},KHP!X84,KHP!AD84,KHP!AJ84,KHP!AP84)))</f>
        <v>0</v>
      </c>
      <c r="G84">
        <f>SUMPRODUCT((MONTH(CHOOSE({1,2,3,4},KHP!U84,KHP!AA84,KHP!AG84,KHP!AM84))=7)*(CHOOSE({1,2,3,4},KHP!X84,KHP!AD84,KHP!AJ84,KHP!AP84)))</f>
        <v>0</v>
      </c>
      <c r="H84">
        <f>SUMPRODUCT((MONTH(CHOOSE({1,2,3,4},KHP!U84,KHP!AA84,KHP!AG84,KHP!AM84))=8)*(CHOOSE({1,2,3,4},KHP!X84,KHP!AD84,KHP!AJ84,KHP!AP84)))</f>
        <v>0</v>
      </c>
      <c r="I84">
        <f>SUMPRODUCT((MONTH(CHOOSE({1,2,3,4},KHP!U84,KHP!AA84,KHP!AG84,KHP!AM84))=9)*(CHOOSE({1,2,3,4},KHP!X84,KHP!AD84,KHP!AJ84,KHP!AP84)))</f>
        <v>0</v>
      </c>
      <c r="J84">
        <f>SUMPRODUCT((MONTH(CHOOSE({1,2,3,4},KHP!U84,KHP!AA84,KHP!AG84,KHP!AM84))=10)*(CHOOSE({1,2,3,4},KHP!X84,KHP!AD84,KHP!AJ84,KHP!AP84)))</f>
        <v>0</v>
      </c>
      <c r="K84">
        <f>SUMPRODUCT((MONTH(CHOOSE({1,2,3,4},KHP!U84,KHP!AA84,KHP!AG84,KHP!AM84))=11)*(CHOOSE({1,2,3,4},KHP!X84,KHP!AD84,KHP!AJ84,KHP!AP84)))</f>
        <v>0</v>
      </c>
      <c r="L84">
        <f>SUMPRODUCT((MONTH(CHOOSE({1,2,3,4},KHP!U84,KHP!AA84,KHP!AG84,KHP!AM84))=12)*(CHOOSE({1,2,3,4},KHP!X84,KHP!AD84,KHP!AJ84,KHP!AP84)))</f>
        <v>0</v>
      </c>
    </row>
    <row r="85" spans="1:12">
      <c r="A85">
        <f>SUMPRODUCT((MONTH(CHOOSE({1,2,3,4},KHP!U85,KHP!AA85,KHP!AG85,KHP!AM85))=1)*(CHOOSE({1,2,3,4},KHP!X85,KHP!AD85,KHP!AJ85,KHP!AP85)))</f>
        <v>0</v>
      </c>
      <c r="B85">
        <f>SUMPRODUCT((MONTH(CHOOSE({1,2,3,4},KHP!U85,KHP!AA85,KHP!AG85,KHP!AM85))=2)*(CHOOSE({1,2,3,4},KHP!X85,KHP!AD85,KHP!AJ85,KHP!AP85)))</f>
        <v>0</v>
      </c>
      <c r="C85">
        <f>SUMPRODUCT((MONTH(CHOOSE({1,2,3,4},KHP!U85,KHP!AA85,KHP!AG85,KHP!AM85))=3)*(CHOOSE({1,2,3,4},KHP!X85,KHP!AD85,KHP!AJ85,KHP!AP85)))</f>
        <v>0</v>
      </c>
      <c r="D85">
        <f>SUMPRODUCT((MONTH(CHOOSE({1,2,3,4},KHP!U85,KHP!AA85,KHP!AG85,KHP!AM85))=4)*(CHOOSE({1,2,3,4},KHP!X85,KHP!AD85,KHP!AJ85,KHP!AP85)))</f>
        <v>0</v>
      </c>
      <c r="E85">
        <f>SUMPRODUCT((MONTH(CHOOSE({1,2,3,4},KHP!U85,KHP!AA85,KHP!AG85,KHP!AM85))=5)*(CHOOSE({1,2,3,4},KHP!X85,KHP!AD85,KHP!AJ85,KHP!AP85)))</f>
        <v>0</v>
      </c>
      <c r="F85">
        <f>SUMPRODUCT((MONTH(CHOOSE({1,2,3,4},KHP!U85,KHP!AA85,KHP!AG85,KHP!AM85))=6)*(CHOOSE({1,2,3,4},KHP!X85,KHP!AD85,KHP!AJ85,KHP!AP85)))</f>
        <v>0</v>
      </c>
      <c r="G85">
        <f>SUMPRODUCT((MONTH(CHOOSE({1,2,3,4},KHP!U85,KHP!AA85,KHP!AG85,KHP!AM85))=7)*(CHOOSE({1,2,3,4},KHP!X85,KHP!AD85,KHP!AJ85,KHP!AP85)))</f>
        <v>0</v>
      </c>
      <c r="H85">
        <f>SUMPRODUCT((MONTH(CHOOSE({1,2,3,4},KHP!U85,KHP!AA85,KHP!AG85,KHP!AM85))=8)*(CHOOSE({1,2,3,4},KHP!X85,KHP!AD85,KHP!AJ85,KHP!AP85)))</f>
        <v>0</v>
      </c>
      <c r="I85">
        <f>SUMPRODUCT((MONTH(CHOOSE({1,2,3,4},KHP!U85,KHP!AA85,KHP!AG85,KHP!AM85))=9)*(CHOOSE({1,2,3,4},KHP!X85,KHP!AD85,KHP!AJ85,KHP!AP85)))</f>
        <v>0</v>
      </c>
      <c r="J85">
        <f>SUMPRODUCT((MONTH(CHOOSE({1,2,3,4},KHP!U85,KHP!AA85,KHP!AG85,KHP!AM85))=10)*(CHOOSE({1,2,3,4},KHP!X85,KHP!AD85,KHP!AJ85,KHP!AP85)))</f>
        <v>0</v>
      </c>
      <c r="K85">
        <f>SUMPRODUCT((MONTH(CHOOSE({1,2,3,4},KHP!U85,KHP!AA85,KHP!AG85,KHP!AM85))=11)*(CHOOSE({1,2,3,4},KHP!X85,KHP!AD85,KHP!AJ85,KHP!AP85)))</f>
        <v>0</v>
      </c>
      <c r="L85">
        <f>SUMPRODUCT((MONTH(CHOOSE({1,2,3,4},KHP!U85,KHP!AA85,KHP!AG85,KHP!AM85))=12)*(CHOOSE({1,2,3,4},KHP!X85,KHP!AD85,KHP!AJ85,KHP!AP85)))</f>
        <v>0</v>
      </c>
    </row>
    <row r="86" spans="1:12">
      <c r="A86">
        <f>SUMPRODUCT((MONTH(CHOOSE({1,2,3,4},KHP!U86,KHP!AA86,KHP!AG86,KHP!AM86))=1)*(CHOOSE({1,2,3,4},KHP!X86,KHP!AD86,KHP!AJ86,KHP!AP86)))</f>
        <v>0</v>
      </c>
      <c r="B86">
        <f>SUMPRODUCT((MONTH(CHOOSE({1,2,3,4},KHP!U86,KHP!AA86,KHP!AG86,KHP!AM86))=2)*(CHOOSE({1,2,3,4},KHP!X86,KHP!AD86,KHP!AJ86,KHP!AP86)))</f>
        <v>0</v>
      </c>
      <c r="C86">
        <f>SUMPRODUCT((MONTH(CHOOSE({1,2,3,4},KHP!U86,KHP!AA86,KHP!AG86,KHP!AM86))=3)*(CHOOSE({1,2,3,4},KHP!X86,KHP!AD86,KHP!AJ86,KHP!AP86)))</f>
        <v>0</v>
      </c>
      <c r="D86">
        <f>SUMPRODUCT((MONTH(CHOOSE({1,2,3,4},KHP!U86,KHP!AA86,KHP!AG86,KHP!AM86))=4)*(CHOOSE({1,2,3,4},KHP!X86,KHP!AD86,KHP!AJ86,KHP!AP86)))</f>
        <v>0</v>
      </c>
      <c r="E86">
        <f>SUMPRODUCT((MONTH(CHOOSE({1,2,3,4},KHP!U86,KHP!AA86,KHP!AG86,KHP!AM86))=5)*(CHOOSE({1,2,3,4},KHP!X86,KHP!AD86,KHP!AJ86,KHP!AP86)))</f>
        <v>0</v>
      </c>
      <c r="F86">
        <f>SUMPRODUCT((MONTH(CHOOSE({1,2,3,4},KHP!U86,KHP!AA86,KHP!AG86,KHP!AM86))=6)*(CHOOSE({1,2,3,4},KHP!X86,KHP!AD86,KHP!AJ86,KHP!AP86)))</f>
        <v>0</v>
      </c>
      <c r="G86">
        <f>SUMPRODUCT((MONTH(CHOOSE({1,2,3,4},KHP!U86,KHP!AA86,KHP!AG86,KHP!AM86))=7)*(CHOOSE({1,2,3,4},KHP!X86,KHP!AD86,KHP!AJ86,KHP!AP86)))</f>
        <v>0</v>
      </c>
      <c r="H86">
        <f>SUMPRODUCT((MONTH(CHOOSE({1,2,3,4},KHP!U86,KHP!AA86,KHP!AG86,KHP!AM86))=8)*(CHOOSE({1,2,3,4},KHP!X86,KHP!AD86,KHP!AJ86,KHP!AP86)))</f>
        <v>0</v>
      </c>
      <c r="I86">
        <f>SUMPRODUCT((MONTH(CHOOSE({1,2,3,4},KHP!U86,KHP!AA86,KHP!AG86,KHP!AM86))=9)*(CHOOSE({1,2,3,4},KHP!X86,KHP!AD86,KHP!AJ86,KHP!AP86)))</f>
        <v>0</v>
      </c>
      <c r="J86">
        <f>SUMPRODUCT((MONTH(CHOOSE({1,2,3,4},KHP!U86,KHP!AA86,KHP!AG86,KHP!AM86))=10)*(CHOOSE({1,2,3,4},KHP!X86,KHP!AD86,KHP!AJ86,KHP!AP86)))</f>
        <v>0</v>
      </c>
      <c r="K86">
        <f>SUMPRODUCT((MONTH(CHOOSE({1,2,3,4},KHP!U86,KHP!AA86,KHP!AG86,KHP!AM86))=11)*(CHOOSE({1,2,3,4},KHP!X86,KHP!AD86,KHP!AJ86,KHP!AP86)))</f>
        <v>0</v>
      </c>
      <c r="L86">
        <f>SUMPRODUCT((MONTH(CHOOSE({1,2,3,4},KHP!U86,KHP!AA86,KHP!AG86,KHP!AM86))=12)*(CHOOSE({1,2,3,4},KHP!X86,KHP!AD86,KHP!AJ86,KHP!AP86)))</f>
        <v>0</v>
      </c>
    </row>
    <row r="87" spans="1:12">
      <c r="A87">
        <f>SUMPRODUCT((MONTH(CHOOSE({1,2,3,4},KHP!U87,KHP!AA87,KHP!AG87,KHP!AM87))=1)*(CHOOSE({1,2,3,4},KHP!X87,KHP!AD87,KHP!AJ87,KHP!AP87)))</f>
        <v>0</v>
      </c>
      <c r="B87">
        <f>SUMPRODUCT((MONTH(CHOOSE({1,2,3,4},KHP!U87,KHP!AA87,KHP!AG87,KHP!AM87))=2)*(CHOOSE({1,2,3,4},KHP!X87,KHP!AD87,KHP!AJ87,KHP!AP87)))</f>
        <v>0</v>
      </c>
      <c r="C87">
        <f>SUMPRODUCT((MONTH(CHOOSE({1,2,3,4},KHP!U87,KHP!AA87,KHP!AG87,KHP!AM87))=3)*(CHOOSE({1,2,3,4},KHP!X87,KHP!AD87,KHP!AJ87,KHP!AP87)))</f>
        <v>0</v>
      </c>
      <c r="D87">
        <f>SUMPRODUCT((MONTH(CHOOSE({1,2,3,4},KHP!U87,KHP!AA87,KHP!AG87,KHP!AM87))=4)*(CHOOSE({1,2,3,4},KHP!X87,KHP!AD87,KHP!AJ87,KHP!AP87)))</f>
        <v>0</v>
      </c>
      <c r="E87">
        <f>SUMPRODUCT((MONTH(CHOOSE({1,2,3,4},KHP!U87,KHP!AA87,KHP!AG87,KHP!AM87))=5)*(CHOOSE({1,2,3,4},KHP!X87,KHP!AD87,KHP!AJ87,KHP!AP87)))</f>
        <v>0</v>
      </c>
      <c r="F87">
        <f>SUMPRODUCT((MONTH(CHOOSE({1,2,3,4},KHP!U87,KHP!AA87,KHP!AG87,KHP!AM87))=6)*(CHOOSE({1,2,3,4},KHP!X87,KHP!AD87,KHP!AJ87,KHP!AP87)))</f>
        <v>0</v>
      </c>
      <c r="G87">
        <f>SUMPRODUCT((MONTH(CHOOSE({1,2,3,4},KHP!U87,KHP!AA87,KHP!AG87,KHP!AM87))=7)*(CHOOSE({1,2,3,4},KHP!X87,KHP!AD87,KHP!AJ87,KHP!AP87)))</f>
        <v>0</v>
      </c>
      <c r="H87">
        <f>SUMPRODUCT((MONTH(CHOOSE({1,2,3,4},KHP!U87,KHP!AA87,KHP!AG87,KHP!AM87))=8)*(CHOOSE({1,2,3,4},KHP!X87,KHP!AD87,KHP!AJ87,KHP!AP87)))</f>
        <v>0</v>
      </c>
      <c r="I87">
        <f>SUMPRODUCT((MONTH(CHOOSE({1,2,3,4},KHP!U87,KHP!AA87,KHP!AG87,KHP!AM87))=9)*(CHOOSE({1,2,3,4},KHP!X87,KHP!AD87,KHP!AJ87,KHP!AP87)))</f>
        <v>0</v>
      </c>
      <c r="J87">
        <f>SUMPRODUCT((MONTH(CHOOSE({1,2,3,4},KHP!U87,KHP!AA87,KHP!AG87,KHP!AM87))=10)*(CHOOSE({1,2,3,4},KHP!X87,KHP!AD87,KHP!AJ87,KHP!AP87)))</f>
        <v>0</v>
      </c>
      <c r="K87">
        <f>SUMPRODUCT((MONTH(CHOOSE({1,2,3,4},KHP!U87,KHP!AA87,KHP!AG87,KHP!AM87))=11)*(CHOOSE({1,2,3,4},KHP!X87,KHP!AD87,KHP!AJ87,KHP!AP87)))</f>
        <v>0</v>
      </c>
      <c r="L87">
        <f>SUMPRODUCT((MONTH(CHOOSE({1,2,3,4},KHP!U87,KHP!AA87,KHP!AG87,KHP!AM87))=12)*(CHOOSE({1,2,3,4},KHP!X87,KHP!AD87,KHP!AJ87,KHP!AP87)))</f>
        <v>0</v>
      </c>
    </row>
    <row r="88" spans="1:12">
      <c r="A88">
        <f>SUMPRODUCT((MONTH(CHOOSE({1,2,3,4},KHP!U88,KHP!AA88,KHP!AG88,KHP!AM88))=1)*(CHOOSE({1,2,3,4},KHP!X88,KHP!AD88,KHP!AJ88,KHP!AP88)))</f>
        <v>0</v>
      </c>
      <c r="B88">
        <f>SUMPRODUCT((MONTH(CHOOSE({1,2,3,4},KHP!U88,KHP!AA88,KHP!AG88,KHP!AM88))=2)*(CHOOSE({1,2,3,4},KHP!X88,KHP!AD88,KHP!AJ88,KHP!AP88)))</f>
        <v>0</v>
      </c>
      <c r="C88">
        <f>SUMPRODUCT((MONTH(CHOOSE({1,2,3,4},KHP!U88,KHP!AA88,KHP!AG88,KHP!AM88))=3)*(CHOOSE({1,2,3,4},KHP!X88,KHP!AD88,KHP!AJ88,KHP!AP88)))</f>
        <v>0</v>
      </c>
      <c r="D88">
        <f>SUMPRODUCT((MONTH(CHOOSE({1,2,3,4},KHP!U88,KHP!AA88,KHP!AG88,KHP!AM88))=4)*(CHOOSE({1,2,3,4},KHP!X88,KHP!AD88,KHP!AJ88,KHP!AP88)))</f>
        <v>0</v>
      </c>
      <c r="E88">
        <f>SUMPRODUCT((MONTH(CHOOSE({1,2,3,4},KHP!U88,KHP!AA88,KHP!AG88,KHP!AM88))=5)*(CHOOSE({1,2,3,4},KHP!X88,KHP!AD88,KHP!AJ88,KHP!AP88)))</f>
        <v>0</v>
      </c>
      <c r="F88">
        <f>SUMPRODUCT((MONTH(CHOOSE({1,2,3,4},KHP!U88,KHP!AA88,KHP!AG88,KHP!AM88))=6)*(CHOOSE({1,2,3,4},KHP!X88,KHP!AD88,KHP!AJ88,KHP!AP88)))</f>
        <v>0</v>
      </c>
      <c r="G88">
        <f>SUMPRODUCT((MONTH(CHOOSE({1,2,3,4},KHP!U88,KHP!AA88,KHP!AG88,KHP!AM88))=7)*(CHOOSE({1,2,3,4},KHP!X88,KHP!AD88,KHP!AJ88,KHP!AP88)))</f>
        <v>0</v>
      </c>
      <c r="H88">
        <f>SUMPRODUCT((MONTH(CHOOSE({1,2,3,4},KHP!U88,KHP!AA88,KHP!AG88,KHP!AM88))=8)*(CHOOSE({1,2,3,4},KHP!X88,KHP!AD88,KHP!AJ88,KHP!AP88)))</f>
        <v>0</v>
      </c>
      <c r="I88">
        <f>SUMPRODUCT((MONTH(CHOOSE({1,2,3,4},KHP!U88,KHP!AA88,KHP!AG88,KHP!AM88))=9)*(CHOOSE({1,2,3,4},KHP!X88,KHP!AD88,KHP!AJ88,KHP!AP88)))</f>
        <v>0</v>
      </c>
      <c r="J88">
        <f>SUMPRODUCT((MONTH(CHOOSE({1,2,3,4},KHP!U88,KHP!AA88,KHP!AG88,KHP!AM88))=10)*(CHOOSE({1,2,3,4},KHP!X88,KHP!AD88,KHP!AJ88,KHP!AP88)))</f>
        <v>0</v>
      </c>
      <c r="K88">
        <f>SUMPRODUCT((MONTH(CHOOSE({1,2,3,4},KHP!U88,KHP!AA88,KHP!AG88,KHP!AM88))=11)*(CHOOSE({1,2,3,4},KHP!X88,KHP!AD88,KHP!AJ88,KHP!AP88)))</f>
        <v>0</v>
      </c>
      <c r="L88">
        <f>SUMPRODUCT((MONTH(CHOOSE({1,2,3,4},KHP!U88,KHP!AA88,KHP!AG88,KHP!AM88))=12)*(CHOOSE({1,2,3,4},KHP!X88,KHP!AD88,KHP!AJ88,KHP!AP88)))</f>
        <v>0</v>
      </c>
    </row>
    <row r="89" spans="1:12">
      <c r="A89">
        <f>SUMPRODUCT((MONTH(CHOOSE({1,2,3,4},KHP!U89,KHP!AA89,KHP!AG89,KHP!AM89))=1)*(CHOOSE({1,2,3,4},KHP!X89,KHP!AD89,KHP!AJ89,KHP!AP89)))</f>
        <v>0</v>
      </c>
      <c r="B89">
        <f>SUMPRODUCT((MONTH(CHOOSE({1,2,3,4},KHP!U89,KHP!AA89,KHP!AG89,KHP!AM89))=2)*(CHOOSE({1,2,3,4},KHP!X89,KHP!AD89,KHP!AJ89,KHP!AP89)))</f>
        <v>0</v>
      </c>
      <c r="C89">
        <f>SUMPRODUCT((MONTH(CHOOSE({1,2,3,4},KHP!U89,KHP!AA89,KHP!AG89,KHP!AM89))=3)*(CHOOSE({1,2,3,4},KHP!X89,KHP!AD89,KHP!AJ89,KHP!AP89)))</f>
        <v>0</v>
      </c>
      <c r="D89">
        <f>SUMPRODUCT((MONTH(CHOOSE({1,2,3,4},KHP!U89,KHP!AA89,KHP!AG89,KHP!AM89))=4)*(CHOOSE({1,2,3,4},KHP!X89,KHP!AD89,KHP!AJ89,KHP!AP89)))</f>
        <v>0</v>
      </c>
      <c r="E89">
        <f>SUMPRODUCT((MONTH(CHOOSE({1,2,3,4},KHP!U89,KHP!AA89,KHP!AG89,KHP!AM89))=5)*(CHOOSE({1,2,3,4},KHP!X89,KHP!AD89,KHP!AJ89,KHP!AP89)))</f>
        <v>0</v>
      </c>
      <c r="F89">
        <f>SUMPRODUCT((MONTH(CHOOSE({1,2,3,4},KHP!U89,KHP!AA89,KHP!AG89,KHP!AM89))=6)*(CHOOSE({1,2,3,4},KHP!X89,KHP!AD89,KHP!AJ89,KHP!AP89)))</f>
        <v>0</v>
      </c>
      <c r="G89">
        <f>SUMPRODUCT((MONTH(CHOOSE({1,2,3,4},KHP!U89,KHP!AA89,KHP!AG89,KHP!AM89))=7)*(CHOOSE({1,2,3,4},KHP!X89,KHP!AD89,KHP!AJ89,KHP!AP89)))</f>
        <v>0</v>
      </c>
      <c r="H89">
        <f>SUMPRODUCT((MONTH(CHOOSE({1,2,3,4},KHP!U89,KHP!AA89,KHP!AG89,KHP!AM89))=8)*(CHOOSE({1,2,3,4},KHP!X89,KHP!AD89,KHP!AJ89,KHP!AP89)))</f>
        <v>0</v>
      </c>
      <c r="I89">
        <f>SUMPRODUCT((MONTH(CHOOSE({1,2,3,4},KHP!U89,KHP!AA89,KHP!AG89,KHP!AM89))=9)*(CHOOSE({1,2,3,4},KHP!X89,KHP!AD89,KHP!AJ89,KHP!AP89)))</f>
        <v>0</v>
      </c>
      <c r="J89">
        <f>SUMPRODUCT((MONTH(CHOOSE({1,2,3,4},KHP!U89,KHP!AA89,KHP!AG89,KHP!AM89))=10)*(CHOOSE({1,2,3,4},KHP!X89,KHP!AD89,KHP!AJ89,KHP!AP89)))</f>
        <v>0</v>
      </c>
      <c r="K89">
        <f>SUMPRODUCT((MONTH(CHOOSE({1,2,3,4},KHP!U89,KHP!AA89,KHP!AG89,KHP!AM89))=11)*(CHOOSE({1,2,3,4},KHP!X89,KHP!AD89,KHP!AJ89,KHP!AP89)))</f>
        <v>0</v>
      </c>
      <c r="L89">
        <f>SUMPRODUCT((MONTH(CHOOSE({1,2,3,4},KHP!U89,KHP!AA89,KHP!AG89,KHP!AM89))=12)*(CHOOSE({1,2,3,4},KHP!X89,KHP!AD89,KHP!AJ89,KHP!AP89)))</f>
        <v>0</v>
      </c>
    </row>
    <row r="90" spans="1:12">
      <c r="A90">
        <f>SUMPRODUCT((MONTH(CHOOSE({1,2,3,4},KHP!U90,KHP!AA90,KHP!AG90,KHP!AM90))=1)*(CHOOSE({1,2,3,4},KHP!X90,KHP!AD90,KHP!AJ90,KHP!AP90)))</f>
        <v>0</v>
      </c>
      <c r="B90">
        <f>SUMPRODUCT((MONTH(CHOOSE({1,2,3,4},KHP!U90,KHP!AA90,KHP!AG90,KHP!AM90))=2)*(CHOOSE({1,2,3,4},KHP!X90,KHP!AD90,KHP!AJ90,KHP!AP90)))</f>
        <v>0</v>
      </c>
      <c r="C90">
        <f>SUMPRODUCT((MONTH(CHOOSE({1,2,3,4},KHP!U90,KHP!AA90,KHP!AG90,KHP!AM90))=3)*(CHOOSE({1,2,3,4},KHP!X90,KHP!AD90,KHP!AJ90,KHP!AP90)))</f>
        <v>0</v>
      </c>
      <c r="D90">
        <f>SUMPRODUCT((MONTH(CHOOSE({1,2,3,4},KHP!U90,KHP!AA90,KHP!AG90,KHP!AM90))=4)*(CHOOSE({1,2,3,4},KHP!X90,KHP!AD90,KHP!AJ90,KHP!AP90)))</f>
        <v>0</v>
      </c>
      <c r="E90">
        <f>SUMPRODUCT((MONTH(CHOOSE({1,2,3,4},KHP!U90,KHP!AA90,KHP!AG90,KHP!AM90))=5)*(CHOOSE({1,2,3,4},KHP!X90,KHP!AD90,KHP!AJ90,KHP!AP90)))</f>
        <v>0</v>
      </c>
      <c r="F90">
        <f>SUMPRODUCT((MONTH(CHOOSE({1,2,3,4},KHP!U90,KHP!AA90,KHP!AG90,KHP!AM90))=6)*(CHOOSE({1,2,3,4},KHP!X90,KHP!AD90,KHP!AJ90,KHP!AP90)))</f>
        <v>0</v>
      </c>
      <c r="G90">
        <f>SUMPRODUCT((MONTH(CHOOSE({1,2,3,4},KHP!U90,KHP!AA90,KHP!AG90,KHP!AM90))=7)*(CHOOSE({1,2,3,4},KHP!X90,KHP!AD90,KHP!AJ90,KHP!AP90)))</f>
        <v>0</v>
      </c>
      <c r="H90">
        <f>SUMPRODUCT((MONTH(CHOOSE({1,2,3,4},KHP!U90,KHP!AA90,KHP!AG90,KHP!AM90))=8)*(CHOOSE({1,2,3,4},KHP!X90,KHP!AD90,KHP!AJ90,KHP!AP90)))</f>
        <v>0</v>
      </c>
      <c r="I90">
        <f>SUMPRODUCT((MONTH(CHOOSE({1,2,3,4},KHP!U90,KHP!AA90,KHP!AG90,KHP!AM90))=9)*(CHOOSE({1,2,3,4},KHP!X90,KHP!AD90,KHP!AJ90,KHP!AP90)))</f>
        <v>0</v>
      </c>
      <c r="J90">
        <f>SUMPRODUCT((MONTH(CHOOSE({1,2,3,4},KHP!U90,KHP!AA90,KHP!AG90,KHP!AM90))=10)*(CHOOSE({1,2,3,4},KHP!X90,KHP!AD90,KHP!AJ90,KHP!AP90)))</f>
        <v>0</v>
      </c>
      <c r="K90">
        <f>SUMPRODUCT((MONTH(CHOOSE({1,2,3,4},KHP!U90,KHP!AA90,KHP!AG90,KHP!AM90))=11)*(CHOOSE({1,2,3,4},KHP!X90,KHP!AD90,KHP!AJ90,KHP!AP90)))</f>
        <v>0</v>
      </c>
      <c r="L90">
        <f>SUMPRODUCT((MONTH(CHOOSE({1,2,3,4},KHP!U90,KHP!AA90,KHP!AG90,KHP!AM90))=12)*(CHOOSE({1,2,3,4},KHP!X90,KHP!AD90,KHP!AJ90,KHP!AP90)))</f>
        <v>0</v>
      </c>
    </row>
    <row r="91" spans="1:12">
      <c r="A91">
        <f>SUMPRODUCT((MONTH(CHOOSE({1,2,3,4},KHP!U91,KHP!AA91,KHP!AG91,KHP!AM91))=1)*(CHOOSE({1,2,3,4},KHP!X91,KHP!AD91,KHP!AJ91,KHP!AP91)))</f>
        <v>0</v>
      </c>
      <c r="B91">
        <f>SUMPRODUCT((MONTH(CHOOSE({1,2,3,4},KHP!U91,KHP!AA91,KHP!AG91,KHP!AM91))=2)*(CHOOSE({1,2,3,4},KHP!X91,KHP!AD91,KHP!AJ91,KHP!AP91)))</f>
        <v>0</v>
      </c>
      <c r="C91">
        <f>SUMPRODUCT((MONTH(CHOOSE({1,2,3,4},KHP!U91,KHP!AA91,KHP!AG91,KHP!AM91))=3)*(CHOOSE({1,2,3,4},KHP!X91,KHP!AD91,KHP!AJ91,KHP!AP91)))</f>
        <v>0</v>
      </c>
      <c r="D91">
        <f>SUMPRODUCT((MONTH(CHOOSE({1,2,3,4},KHP!U91,KHP!AA91,KHP!AG91,KHP!AM91))=4)*(CHOOSE({1,2,3,4},KHP!X91,KHP!AD91,KHP!AJ91,KHP!AP91)))</f>
        <v>0</v>
      </c>
      <c r="E91">
        <f>SUMPRODUCT((MONTH(CHOOSE({1,2,3,4},KHP!U91,KHP!AA91,KHP!AG91,KHP!AM91))=5)*(CHOOSE({1,2,3,4},KHP!X91,KHP!AD91,KHP!AJ91,KHP!AP91)))</f>
        <v>0</v>
      </c>
      <c r="F91">
        <f>SUMPRODUCT((MONTH(CHOOSE({1,2,3,4},KHP!U91,KHP!AA91,KHP!AG91,KHP!AM91))=6)*(CHOOSE({1,2,3,4},KHP!X91,KHP!AD91,KHP!AJ91,KHP!AP91)))</f>
        <v>0</v>
      </c>
      <c r="G91">
        <f>SUMPRODUCT((MONTH(CHOOSE({1,2,3,4},KHP!U91,KHP!AA91,KHP!AG91,KHP!AM91))=7)*(CHOOSE({1,2,3,4},KHP!X91,KHP!AD91,KHP!AJ91,KHP!AP91)))</f>
        <v>0</v>
      </c>
      <c r="H91">
        <f>SUMPRODUCT((MONTH(CHOOSE({1,2,3,4},KHP!U91,KHP!AA91,KHP!AG91,KHP!AM91))=8)*(CHOOSE({1,2,3,4},KHP!X91,KHP!AD91,KHP!AJ91,KHP!AP91)))</f>
        <v>0</v>
      </c>
      <c r="I91">
        <f>SUMPRODUCT((MONTH(CHOOSE({1,2,3,4},KHP!U91,KHP!AA91,KHP!AG91,KHP!AM91))=9)*(CHOOSE({1,2,3,4},KHP!X91,KHP!AD91,KHP!AJ91,KHP!AP91)))</f>
        <v>0</v>
      </c>
      <c r="J91">
        <f>SUMPRODUCT((MONTH(CHOOSE({1,2,3,4},KHP!U91,KHP!AA91,KHP!AG91,KHP!AM91))=10)*(CHOOSE({1,2,3,4},KHP!X91,KHP!AD91,KHP!AJ91,KHP!AP91)))</f>
        <v>0</v>
      </c>
      <c r="K91">
        <f>SUMPRODUCT((MONTH(CHOOSE({1,2,3,4},KHP!U91,KHP!AA91,KHP!AG91,KHP!AM91))=11)*(CHOOSE({1,2,3,4},KHP!X91,KHP!AD91,KHP!AJ91,KHP!AP91)))</f>
        <v>0</v>
      </c>
      <c r="L91">
        <f>SUMPRODUCT((MONTH(CHOOSE({1,2,3,4},KHP!U91,KHP!AA91,KHP!AG91,KHP!AM91))=12)*(CHOOSE({1,2,3,4},KHP!X91,KHP!AD91,KHP!AJ91,KHP!AP91)))</f>
        <v>0</v>
      </c>
    </row>
    <row r="92" spans="1:12">
      <c r="A92">
        <f>SUMPRODUCT((MONTH(CHOOSE({1,2,3,4},KHP!U92,KHP!AA92,KHP!AG92,KHP!AM92))=1)*(CHOOSE({1,2,3,4},KHP!X92,KHP!AD92,KHP!AJ92,KHP!AP92)))</f>
        <v>0</v>
      </c>
      <c r="B92">
        <f>SUMPRODUCT((MONTH(CHOOSE({1,2,3,4},KHP!U92,KHP!AA92,KHP!AG92,KHP!AM92))=2)*(CHOOSE({1,2,3,4},KHP!X92,KHP!AD92,KHP!AJ92,KHP!AP92)))</f>
        <v>0</v>
      </c>
      <c r="C92">
        <f>SUMPRODUCT((MONTH(CHOOSE({1,2,3,4},KHP!U92,KHP!AA92,KHP!AG92,KHP!AM92))=3)*(CHOOSE({1,2,3,4},KHP!X92,KHP!AD92,KHP!AJ92,KHP!AP92)))</f>
        <v>0</v>
      </c>
      <c r="D92">
        <f>SUMPRODUCT((MONTH(CHOOSE({1,2,3,4},KHP!U92,KHP!AA92,KHP!AG92,KHP!AM92))=4)*(CHOOSE({1,2,3,4},KHP!X92,KHP!AD92,KHP!AJ92,KHP!AP92)))</f>
        <v>0</v>
      </c>
      <c r="E92">
        <f>SUMPRODUCT((MONTH(CHOOSE({1,2,3,4},KHP!U92,KHP!AA92,KHP!AG92,KHP!AM92))=5)*(CHOOSE({1,2,3,4},KHP!X92,KHP!AD92,KHP!AJ92,KHP!AP92)))</f>
        <v>0</v>
      </c>
      <c r="F92">
        <f>SUMPRODUCT((MONTH(CHOOSE({1,2,3,4},KHP!U92,KHP!AA92,KHP!AG92,KHP!AM92))=6)*(CHOOSE({1,2,3,4},KHP!X92,KHP!AD92,KHP!AJ92,KHP!AP92)))</f>
        <v>0</v>
      </c>
      <c r="G92">
        <f>SUMPRODUCT((MONTH(CHOOSE({1,2,3,4},KHP!U92,KHP!AA92,KHP!AG92,KHP!AM92))=7)*(CHOOSE({1,2,3,4},KHP!X92,KHP!AD92,KHP!AJ92,KHP!AP92)))</f>
        <v>0</v>
      </c>
      <c r="H92">
        <f>SUMPRODUCT((MONTH(CHOOSE({1,2,3,4},KHP!U92,KHP!AA92,KHP!AG92,KHP!AM92))=8)*(CHOOSE({1,2,3,4},KHP!X92,KHP!AD92,KHP!AJ92,KHP!AP92)))</f>
        <v>0</v>
      </c>
      <c r="I92">
        <f>SUMPRODUCT((MONTH(CHOOSE({1,2,3,4},KHP!U92,KHP!AA92,KHP!AG92,KHP!AM92))=9)*(CHOOSE({1,2,3,4},KHP!X92,KHP!AD92,KHP!AJ92,KHP!AP92)))</f>
        <v>0</v>
      </c>
      <c r="J92">
        <f>SUMPRODUCT((MONTH(CHOOSE({1,2,3,4},KHP!U92,KHP!AA92,KHP!AG92,KHP!AM92))=10)*(CHOOSE({1,2,3,4},KHP!X92,KHP!AD92,KHP!AJ92,KHP!AP92)))</f>
        <v>0</v>
      </c>
      <c r="K92">
        <f>SUMPRODUCT((MONTH(CHOOSE({1,2,3,4},KHP!U92,KHP!AA92,KHP!AG92,KHP!AM92))=11)*(CHOOSE({1,2,3,4},KHP!X92,KHP!AD92,KHP!AJ92,KHP!AP92)))</f>
        <v>0</v>
      </c>
      <c r="L92">
        <f>SUMPRODUCT((MONTH(CHOOSE({1,2,3,4},KHP!U92,KHP!AA92,KHP!AG92,KHP!AM92))=12)*(CHOOSE({1,2,3,4},KHP!X92,KHP!AD92,KHP!AJ92,KHP!AP92)))</f>
        <v>0</v>
      </c>
    </row>
    <row r="93" spans="1:12">
      <c r="A93">
        <f>SUMPRODUCT((MONTH(CHOOSE({1,2,3,4},KHP!U93,KHP!AA93,KHP!AG93,KHP!AM93))=1)*(CHOOSE({1,2,3,4},KHP!X93,KHP!AD93,KHP!AJ93,KHP!AP93)))</f>
        <v>0</v>
      </c>
      <c r="B93">
        <f>SUMPRODUCT((MONTH(CHOOSE({1,2,3,4},KHP!U93,KHP!AA93,KHP!AG93,KHP!AM93))=2)*(CHOOSE({1,2,3,4},KHP!X93,KHP!AD93,KHP!AJ93,KHP!AP93)))</f>
        <v>0</v>
      </c>
      <c r="C93">
        <f>SUMPRODUCT((MONTH(CHOOSE({1,2,3,4},KHP!U93,KHP!AA93,KHP!AG93,KHP!AM93))=3)*(CHOOSE({1,2,3,4},KHP!X93,KHP!AD93,KHP!AJ93,KHP!AP93)))</f>
        <v>0</v>
      </c>
      <c r="D93">
        <f>SUMPRODUCT((MONTH(CHOOSE({1,2,3,4},KHP!U93,KHP!AA93,KHP!AG93,KHP!AM93))=4)*(CHOOSE({1,2,3,4},KHP!X93,KHP!AD93,KHP!AJ93,KHP!AP93)))</f>
        <v>0</v>
      </c>
      <c r="E93">
        <f>SUMPRODUCT((MONTH(CHOOSE({1,2,3,4},KHP!U93,KHP!AA93,KHP!AG93,KHP!AM93))=5)*(CHOOSE({1,2,3,4},KHP!X93,KHP!AD93,KHP!AJ93,KHP!AP93)))</f>
        <v>0</v>
      </c>
      <c r="F93">
        <f>SUMPRODUCT((MONTH(CHOOSE({1,2,3,4},KHP!U93,KHP!AA93,KHP!AG93,KHP!AM93))=6)*(CHOOSE({1,2,3,4},KHP!X93,KHP!AD93,KHP!AJ93,KHP!AP93)))</f>
        <v>0</v>
      </c>
      <c r="G93">
        <f>SUMPRODUCT((MONTH(CHOOSE({1,2,3,4},KHP!U93,KHP!AA93,KHP!AG93,KHP!AM93))=7)*(CHOOSE({1,2,3,4},KHP!X93,KHP!AD93,KHP!AJ93,KHP!AP93)))</f>
        <v>0</v>
      </c>
      <c r="H93">
        <f>SUMPRODUCT((MONTH(CHOOSE({1,2,3,4},KHP!U93,KHP!AA93,KHP!AG93,KHP!AM93))=8)*(CHOOSE({1,2,3,4},KHP!X93,KHP!AD93,KHP!AJ93,KHP!AP93)))</f>
        <v>0</v>
      </c>
      <c r="I93">
        <f>SUMPRODUCT((MONTH(CHOOSE({1,2,3,4},KHP!U93,KHP!AA93,KHP!AG93,KHP!AM93))=9)*(CHOOSE({1,2,3,4},KHP!X93,KHP!AD93,KHP!AJ93,KHP!AP93)))</f>
        <v>0</v>
      </c>
      <c r="J93">
        <f>SUMPRODUCT((MONTH(CHOOSE({1,2,3,4},KHP!U93,KHP!AA93,KHP!AG93,KHP!AM93))=10)*(CHOOSE({1,2,3,4},KHP!X93,KHP!AD93,KHP!AJ93,KHP!AP93)))</f>
        <v>0</v>
      </c>
      <c r="K93">
        <f>SUMPRODUCT((MONTH(CHOOSE({1,2,3,4},KHP!U93,KHP!AA93,KHP!AG93,KHP!AM93))=11)*(CHOOSE({1,2,3,4},KHP!X93,KHP!AD93,KHP!AJ93,KHP!AP93)))</f>
        <v>0</v>
      </c>
      <c r="L93">
        <f>SUMPRODUCT((MONTH(CHOOSE({1,2,3,4},KHP!U93,KHP!AA93,KHP!AG93,KHP!AM93))=12)*(CHOOSE({1,2,3,4},KHP!X93,KHP!AD93,KHP!AJ93,KHP!AP93)))</f>
        <v>0</v>
      </c>
    </row>
    <row r="94" spans="1:12">
      <c r="A94">
        <f>SUMPRODUCT((MONTH(CHOOSE({1,2,3,4},KHP!U94,KHP!AA94,KHP!AG94,KHP!AM94))=1)*(CHOOSE({1,2,3,4},KHP!X94,KHP!AD94,KHP!AJ94,KHP!AP94)))</f>
        <v>0</v>
      </c>
      <c r="B94">
        <f>SUMPRODUCT((MONTH(CHOOSE({1,2,3,4},KHP!U94,KHP!AA94,KHP!AG94,KHP!AM94))=2)*(CHOOSE({1,2,3,4},KHP!X94,KHP!AD94,KHP!AJ94,KHP!AP94)))</f>
        <v>0</v>
      </c>
      <c r="C94">
        <f>SUMPRODUCT((MONTH(CHOOSE({1,2,3,4},KHP!U94,KHP!AA94,KHP!AG94,KHP!AM94))=3)*(CHOOSE({1,2,3,4},KHP!X94,KHP!AD94,KHP!AJ94,KHP!AP94)))</f>
        <v>0</v>
      </c>
      <c r="D94">
        <f>SUMPRODUCT((MONTH(CHOOSE({1,2,3,4},KHP!U94,KHP!AA94,KHP!AG94,KHP!AM94))=4)*(CHOOSE({1,2,3,4},KHP!X94,KHP!AD94,KHP!AJ94,KHP!AP94)))</f>
        <v>0</v>
      </c>
      <c r="E94">
        <f>SUMPRODUCT((MONTH(CHOOSE({1,2,3,4},KHP!U94,KHP!AA94,KHP!AG94,KHP!AM94))=5)*(CHOOSE({1,2,3,4},KHP!X94,KHP!AD94,KHP!AJ94,KHP!AP94)))</f>
        <v>0</v>
      </c>
      <c r="F94">
        <f>SUMPRODUCT((MONTH(CHOOSE({1,2,3,4},KHP!U94,KHP!AA94,KHP!AG94,KHP!AM94))=6)*(CHOOSE({1,2,3,4},KHP!X94,KHP!AD94,KHP!AJ94,KHP!AP94)))</f>
        <v>0</v>
      </c>
      <c r="G94">
        <f>SUMPRODUCT((MONTH(CHOOSE({1,2,3,4},KHP!U94,KHP!AA94,KHP!AG94,KHP!AM94))=7)*(CHOOSE({1,2,3,4},KHP!X94,KHP!AD94,KHP!AJ94,KHP!AP94)))</f>
        <v>0</v>
      </c>
      <c r="H94">
        <f>SUMPRODUCT((MONTH(CHOOSE({1,2,3,4},KHP!U94,KHP!AA94,KHP!AG94,KHP!AM94))=8)*(CHOOSE({1,2,3,4},KHP!X94,KHP!AD94,KHP!AJ94,KHP!AP94)))</f>
        <v>0</v>
      </c>
      <c r="I94">
        <f>SUMPRODUCT((MONTH(CHOOSE({1,2,3,4},KHP!U94,KHP!AA94,KHP!AG94,KHP!AM94))=9)*(CHOOSE({1,2,3,4},KHP!X94,KHP!AD94,KHP!AJ94,KHP!AP94)))</f>
        <v>0</v>
      </c>
      <c r="J94">
        <f>SUMPRODUCT((MONTH(CHOOSE({1,2,3,4},KHP!U94,KHP!AA94,KHP!AG94,KHP!AM94))=10)*(CHOOSE({1,2,3,4},KHP!X94,KHP!AD94,KHP!AJ94,KHP!AP94)))</f>
        <v>0</v>
      </c>
      <c r="K94">
        <f>SUMPRODUCT((MONTH(CHOOSE({1,2,3,4},KHP!U94,KHP!AA94,KHP!AG94,KHP!AM94))=11)*(CHOOSE({1,2,3,4},KHP!X94,KHP!AD94,KHP!AJ94,KHP!AP94)))</f>
        <v>0</v>
      </c>
      <c r="L94">
        <f>SUMPRODUCT((MONTH(CHOOSE({1,2,3,4},KHP!U94,KHP!AA94,KHP!AG94,KHP!AM94))=12)*(CHOOSE({1,2,3,4},KHP!X94,KHP!AD94,KHP!AJ94,KHP!AP94)))</f>
        <v>0</v>
      </c>
    </row>
    <row r="95" spans="1:12">
      <c r="A95">
        <f>SUMPRODUCT((MONTH(CHOOSE({1,2,3,4},KHP!U95,KHP!AA95,KHP!AG95,KHP!AM95))=1)*(CHOOSE({1,2,3,4},KHP!X95,KHP!AD95,KHP!AJ95,KHP!AP95)))</f>
        <v>0</v>
      </c>
      <c r="B95">
        <f>SUMPRODUCT((MONTH(CHOOSE({1,2,3,4},KHP!U95,KHP!AA95,KHP!AG95,KHP!AM95))=2)*(CHOOSE({1,2,3,4},KHP!X95,KHP!AD95,KHP!AJ95,KHP!AP95)))</f>
        <v>0</v>
      </c>
      <c r="C95">
        <f>SUMPRODUCT((MONTH(CHOOSE({1,2,3,4},KHP!U95,KHP!AA95,KHP!AG95,KHP!AM95))=3)*(CHOOSE({1,2,3,4},KHP!X95,KHP!AD95,KHP!AJ95,KHP!AP95)))</f>
        <v>0</v>
      </c>
      <c r="D95">
        <f>SUMPRODUCT((MONTH(CHOOSE({1,2,3,4},KHP!U95,KHP!AA95,KHP!AG95,KHP!AM95))=4)*(CHOOSE({1,2,3,4},KHP!X95,KHP!AD95,KHP!AJ95,KHP!AP95)))</f>
        <v>0</v>
      </c>
      <c r="E95">
        <f>SUMPRODUCT((MONTH(CHOOSE({1,2,3,4},KHP!U95,KHP!AA95,KHP!AG95,KHP!AM95))=5)*(CHOOSE({1,2,3,4},KHP!X95,KHP!AD95,KHP!AJ95,KHP!AP95)))</f>
        <v>0</v>
      </c>
      <c r="F95">
        <f>SUMPRODUCT((MONTH(CHOOSE({1,2,3,4},KHP!U95,KHP!AA95,KHP!AG95,KHP!AM95))=6)*(CHOOSE({1,2,3,4},KHP!X95,KHP!AD95,KHP!AJ95,KHP!AP95)))</f>
        <v>0</v>
      </c>
      <c r="G95">
        <f>SUMPRODUCT((MONTH(CHOOSE({1,2,3,4},KHP!U95,KHP!AA95,KHP!AG95,KHP!AM95))=7)*(CHOOSE({1,2,3,4},KHP!X95,KHP!AD95,KHP!AJ95,KHP!AP95)))</f>
        <v>0</v>
      </c>
      <c r="H95">
        <f>SUMPRODUCT((MONTH(CHOOSE({1,2,3,4},KHP!U95,KHP!AA95,KHP!AG95,KHP!AM95))=8)*(CHOOSE({1,2,3,4},KHP!X95,KHP!AD95,KHP!AJ95,KHP!AP95)))</f>
        <v>0</v>
      </c>
      <c r="I95">
        <f>SUMPRODUCT((MONTH(CHOOSE({1,2,3,4},KHP!U95,KHP!AA95,KHP!AG95,KHP!AM95))=9)*(CHOOSE({1,2,3,4},KHP!X95,KHP!AD95,KHP!AJ95,KHP!AP95)))</f>
        <v>0</v>
      </c>
      <c r="J95">
        <f>SUMPRODUCT((MONTH(CHOOSE({1,2,3,4},KHP!U95,KHP!AA95,KHP!AG95,KHP!AM95))=10)*(CHOOSE({1,2,3,4},KHP!X95,KHP!AD95,KHP!AJ95,KHP!AP95)))</f>
        <v>0</v>
      </c>
      <c r="K95">
        <f>SUMPRODUCT((MONTH(CHOOSE({1,2,3,4},KHP!U95,KHP!AA95,KHP!AG95,KHP!AM95))=11)*(CHOOSE({1,2,3,4},KHP!X95,KHP!AD95,KHP!AJ95,KHP!AP95)))</f>
        <v>0</v>
      </c>
      <c r="L95">
        <f>SUMPRODUCT((MONTH(CHOOSE({1,2,3,4},KHP!U95,KHP!AA95,KHP!AG95,KHP!AM95))=12)*(CHOOSE({1,2,3,4},KHP!X95,KHP!AD95,KHP!AJ95,KHP!AP95)))</f>
        <v>0</v>
      </c>
    </row>
    <row r="96" spans="1:12">
      <c r="A96">
        <f>SUMPRODUCT((MONTH(CHOOSE({1,2,3,4},KHP!U96,KHP!AA96,KHP!AG96,KHP!AM96))=1)*(CHOOSE({1,2,3,4},KHP!X96,KHP!AD96,KHP!AJ96,KHP!AP96)))</f>
        <v>0</v>
      </c>
      <c r="B96">
        <f>SUMPRODUCT((MONTH(CHOOSE({1,2,3,4},KHP!U96,KHP!AA96,KHP!AG96,KHP!AM96))=2)*(CHOOSE({1,2,3,4},KHP!X96,KHP!AD96,KHP!AJ96,KHP!AP96)))</f>
        <v>0</v>
      </c>
      <c r="C96">
        <f>SUMPRODUCT((MONTH(CHOOSE({1,2,3,4},KHP!U96,KHP!AA96,KHP!AG96,KHP!AM96))=3)*(CHOOSE({1,2,3,4},KHP!X96,KHP!AD96,KHP!AJ96,KHP!AP96)))</f>
        <v>0</v>
      </c>
      <c r="D96">
        <f>SUMPRODUCT((MONTH(CHOOSE({1,2,3,4},KHP!U96,KHP!AA96,KHP!AG96,KHP!AM96))=4)*(CHOOSE({1,2,3,4},KHP!X96,KHP!AD96,KHP!AJ96,KHP!AP96)))</f>
        <v>0</v>
      </c>
      <c r="E96">
        <f>SUMPRODUCT((MONTH(CHOOSE({1,2,3,4},KHP!U96,KHP!AA96,KHP!AG96,KHP!AM96))=5)*(CHOOSE({1,2,3,4},KHP!X96,KHP!AD96,KHP!AJ96,KHP!AP96)))</f>
        <v>0</v>
      </c>
      <c r="F96">
        <f>SUMPRODUCT((MONTH(CHOOSE({1,2,3,4},KHP!U96,KHP!AA96,KHP!AG96,KHP!AM96))=6)*(CHOOSE({1,2,3,4},KHP!X96,KHP!AD96,KHP!AJ96,KHP!AP96)))</f>
        <v>0</v>
      </c>
      <c r="G96">
        <f>SUMPRODUCT((MONTH(CHOOSE({1,2,3,4},KHP!U96,KHP!AA96,KHP!AG96,KHP!AM96))=7)*(CHOOSE({1,2,3,4},KHP!X96,KHP!AD96,KHP!AJ96,KHP!AP96)))</f>
        <v>0</v>
      </c>
      <c r="H96">
        <f>SUMPRODUCT((MONTH(CHOOSE({1,2,3,4},KHP!U96,KHP!AA96,KHP!AG96,KHP!AM96))=8)*(CHOOSE({1,2,3,4},KHP!X96,KHP!AD96,KHP!AJ96,KHP!AP96)))</f>
        <v>0</v>
      </c>
      <c r="I96">
        <f>SUMPRODUCT((MONTH(CHOOSE({1,2,3,4},KHP!U96,KHP!AA96,KHP!AG96,KHP!AM96))=9)*(CHOOSE({1,2,3,4},KHP!X96,KHP!AD96,KHP!AJ96,KHP!AP96)))</f>
        <v>0</v>
      </c>
      <c r="J96">
        <f>SUMPRODUCT((MONTH(CHOOSE({1,2,3,4},KHP!U96,KHP!AA96,KHP!AG96,KHP!AM96))=10)*(CHOOSE({1,2,3,4},KHP!X96,KHP!AD96,KHP!AJ96,KHP!AP96)))</f>
        <v>0</v>
      </c>
      <c r="K96">
        <f>SUMPRODUCT((MONTH(CHOOSE({1,2,3,4},KHP!U96,KHP!AA96,KHP!AG96,KHP!AM96))=11)*(CHOOSE({1,2,3,4},KHP!X96,KHP!AD96,KHP!AJ96,KHP!AP96)))</f>
        <v>0</v>
      </c>
      <c r="L96">
        <f>SUMPRODUCT((MONTH(CHOOSE({1,2,3,4},KHP!U96,KHP!AA96,KHP!AG96,KHP!AM96))=12)*(CHOOSE({1,2,3,4},KHP!X96,KHP!AD96,KHP!AJ96,KHP!AP96)))</f>
        <v>0</v>
      </c>
    </row>
    <row r="97" spans="1:12">
      <c r="A97">
        <f>SUMPRODUCT((MONTH(CHOOSE({1,2,3,4},KHP!U97,KHP!AA97,KHP!AG97,KHP!AM97))=1)*(CHOOSE({1,2,3,4},KHP!X97,KHP!AD97,KHP!AJ97,KHP!AP97)))</f>
        <v>0</v>
      </c>
      <c r="B97">
        <f>SUMPRODUCT((MONTH(CHOOSE({1,2,3,4},KHP!U97,KHP!AA97,KHP!AG97,KHP!AM97))=2)*(CHOOSE({1,2,3,4},KHP!X97,KHP!AD97,KHP!AJ97,KHP!AP97)))</f>
        <v>0</v>
      </c>
      <c r="C97">
        <f>SUMPRODUCT((MONTH(CHOOSE({1,2,3,4},KHP!U97,KHP!AA97,KHP!AG97,KHP!AM97))=3)*(CHOOSE({1,2,3,4},KHP!X97,KHP!AD97,KHP!AJ97,KHP!AP97)))</f>
        <v>0</v>
      </c>
      <c r="D97">
        <f>SUMPRODUCT((MONTH(CHOOSE({1,2,3,4},KHP!U97,KHP!AA97,KHP!AG97,KHP!AM97))=4)*(CHOOSE({1,2,3,4},KHP!X97,KHP!AD97,KHP!AJ97,KHP!AP97)))</f>
        <v>0</v>
      </c>
      <c r="E97">
        <f>SUMPRODUCT((MONTH(CHOOSE({1,2,3,4},KHP!U97,KHP!AA97,KHP!AG97,KHP!AM97))=5)*(CHOOSE({1,2,3,4},KHP!X97,KHP!AD97,KHP!AJ97,KHP!AP97)))</f>
        <v>0</v>
      </c>
      <c r="F97">
        <f>SUMPRODUCT((MONTH(CHOOSE({1,2,3,4},KHP!U97,KHP!AA97,KHP!AG97,KHP!AM97))=6)*(CHOOSE({1,2,3,4},KHP!X97,KHP!AD97,KHP!AJ97,KHP!AP97)))</f>
        <v>0</v>
      </c>
      <c r="G97">
        <f>SUMPRODUCT((MONTH(CHOOSE({1,2,3,4},KHP!U97,KHP!AA97,KHP!AG97,KHP!AM97))=7)*(CHOOSE({1,2,3,4},KHP!X97,KHP!AD97,KHP!AJ97,KHP!AP97)))</f>
        <v>0</v>
      </c>
      <c r="H97">
        <f>SUMPRODUCT((MONTH(CHOOSE({1,2,3,4},KHP!U97,KHP!AA97,KHP!AG97,KHP!AM97))=8)*(CHOOSE({1,2,3,4},KHP!X97,KHP!AD97,KHP!AJ97,KHP!AP97)))</f>
        <v>0</v>
      </c>
      <c r="I97">
        <f>SUMPRODUCT((MONTH(CHOOSE({1,2,3,4},KHP!U97,KHP!AA97,KHP!AG97,KHP!AM97))=9)*(CHOOSE({1,2,3,4},KHP!X97,KHP!AD97,KHP!AJ97,KHP!AP97)))</f>
        <v>0</v>
      </c>
      <c r="J97">
        <f>SUMPRODUCT((MONTH(CHOOSE({1,2,3,4},KHP!U97,KHP!AA97,KHP!AG97,KHP!AM97))=10)*(CHOOSE({1,2,3,4},KHP!X97,KHP!AD97,KHP!AJ97,KHP!AP97)))</f>
        <v>0</v>
      </c>
      <c r="K97">
        <f>SUMPRODUCT((MONTH(CHOOSE({1,2,3,4},KHP!U97,KHP!AA97,KHP!AG97,KHP!AM97))=11)*(CHOOSE({1,2,3,4},KHP!X97,KHP!AD97,KHP!AJ97,KHP!AP97)))</f>
        <v>0</v>
      </c>
      <c r="L97">
        <f>SUMPRODUCT((MONTH(CHOOSE({1,2,3,4},KHP!U97,KHP!AA97,KHP!AG97,KHP!AM97))=12)*(CHOOSE({1,2,3,4},KHP!X97,KHP!AD97,KHP!AJ97,KHP!AP97)))</f>
        <v>0</v>
      </c>
    </row>
    <row r="98" spans="1:12">
      <c r="A98">
        <f>SUMPRODUCT((MONTH(CHOOSE({1,2,3,4},KHP!U98,KHP!AA98,KHP!AG98,KHP!AM98))=1)*(CHOOSE({1,2,3,4},KHP!X98,KHP!AD98,KHP!AJ98,KHP!AP98)))</f>
        <v>0</v>
      </c>
      <c r="B98">
        <f>SUMPRODUCT((MONTH(CHOOSE({1,2,3,4},KHP!U98,KHP!AA98,KHP!AG98,KHP!AM98))=2)*(CHOOSE({1,2,3,4},KHP!X98,KHP!AD98,KHP!AJ98,KHP!AP98)))</f>
        <v>0</v>
      </c>
      <c r="C98">
        <f>SUMPRODUCT((MONTH(CHOOSE({1,2,3,4},KHP!U98,KHP!AA98,KHP!AG98,KHP!AM98))=3)*(CHOOSE({1,2,3,4},KHP!X98,KHP!AD98,KHP!AJ98,KHP!AP98)))</f>
        <v>0</v>
      </c>
      <c r="D98">
        <f>SUMPRODUCT((MONTH(CHOOSE({1,2,3,4},KHP!U98,KHP!AA98,KHP!AG98,KHP!AM98))=4)*(CHOOSE({1,2,3,4},KHP!X98,KHP!AD98,KHP!AJ98,KHP!AP98)))</f>
        <v>0</v>
      </c>
      <c r="E98">
        <f>SUMPRODUCT((MONTH(CHOOSE({1,2,3,4},KHP!U98,KHP!AA98,KHP!AG98,KHP!AM98))=5)*(CHOOSE({1,2,3,4},KHP!X98,KHP!AD98,KHP!AJ98,KHP!AP98)))</f>
        <v>0</v>
      </c>
      <c r="F98">
        <f>SUMPRODUCT((MONTH(CHOOSE({1,2,3,4},KHP!U98,KHP!AA98,KHP!AG98,KHP!AM98))=6)*(CHOOSE({1,2,3,4},KHP!X98,KHP!AD98,KHP!AJ98,KHP!AP98)))</f>
        <v>0</v>
      </c>
      <c r="G98">
        <f>SUMPRODUCT((MONTH(CHOOSE({1,2,3,4},KHP!U98,KHP!AA98,KHP!AG98,KHP!AM98))=7)*(CHOOSE({1,2,3,4},KHP!X98,KHP!AD98,KHP!AJ98,KHP!AP98)))</f>
        <v>0</v>
      </c>
      <c r="H98">
        <f>SUMPRODUCT((MONTH(CHOOSE({1,2,3,4},KHP!U98,KHP!AA98,KHP!AG98,KHP!AM98))=8)*(CHOOSE({1,2,3,4},KHP!X98,KHP!AD98,KHP!AJ98,KHP!AP98)))</f>
        <v>0</v>
      </c>
      <c r="I98">
        <f>SUMPRODUCT((MONTH(CHOOSE({1,2,3,4},KHP!U98,KHP!AA98,KHP!AG98,KHP!AM98))=9)*(CHOOSE({1,2,3,4},KHP!X98,KHP!AD98,KHP!AJ98,KHP!AP98)))</f>
        <v>0</v>
      </c>
      <c r="J98">
        <f>SUMPRODUCT((MONTH(CHOOSE({1,2,3,4},KHP!U98,KHP!AA98,KHP!AG98,KHP!AM98))=10)*(CHOOSE({1,2,3,4},KHP!X98,KHP!AD98,KHP!AJ98,KHP!AP98)))</f>
        <v>0</v>
      </c>
      <c r="K98">
        <f>SUMPRODUCT((MONTH(CHOOSE({1,2,3,4},KHP!U98,KHP!AA98,KHP!AG98,KHP!AM98))=11)*(CHOOSE({1,2,3,4},KHP!X98,KHP!AD98,KHP!AJ98,KHP!AP98)))</f>
        <v>0</v>
      </c>
      <c r="L98">
        <f>SUMPRODUCT((MONTH(CHOOSE({1,2,3,4},KHP!U98,KHP!AA98,KHP!AG98,KHP!AM98))=12)*(CHOOSE({1,2,3,4},KHP!X98,KHP!AD98,KHP!AJ98,KHP!AP98)))</f>
        <v>0</v>
      </c>
    </row>
    <row r="99" spans="1:12">
      <c r="A99">
        <f>SUMPRODUCT((MONTH(CHOOSE({1,2,3,4},KHP!U99,KHP!AA99,KHP!AG99,KHP!AM99))=1)*(CHOOSE({1,2,3,4},KHP!X99,KHP!AD99,KHP!AJ99,KHP!AP99)))</f>
        <v>0</v>
      </c>
      <c r="B99">
        <f>SUMPRODUCT((MONTH(CHOOSE({1,2,3,4},KHP!U99,KHP!AA99,KHP!AG99,KHP!AM99))=2)*(CHOOSE({1,2,3,4},KHP!X99,KHP!AD99,KHP!AJ99,KHP!AP99)))</f>
        <v>0</v>
      </c>
      <c r="C99">
        <f>SUMPRODUCT((MONTH(CHOOSE({1,2,3,4},KHP!U99,KHP!AA99,KHP!AG99,KHP!AM99))=3)*(CHOOSE({1,2,3,4},KHP!X99,KHP!AD99,KHP!AJ99,KHP!AP99)))</f>
        <v>0</v>
      </c>
      <c r="D99">
        <f>SUMPRODUCT((MONTH(CHOOSE({1,2,3,4},KHP!U99,KHP!AA99,KHP!AG99,KHP!AM99))=4)*(CHOOSE({1,2,3,4},KHP!X99,KHP!AD99,KHP!AJ99,KHP!AP99)))</f>
        <v>0</v>
      </c>
      <c r="E99">
        <f>SUMPRODUCT((MONTH(CHOOSE({1,2,3,4},KHP!U99,KHP!AA99,KHP!AG99,KHP!AM99))=5)*(CHOOSE({1,2,3,4},KHP!X99,KHP!AD99,KHP!AJ99,KHP!AP99)))</f>
        <v>0</v>
      </c>
      <c r="F99">
        <f>SUMPRODUCT((MONTH(CHOOSE({1,2,3,4},KHP!U99,KHP!AA99,KHP!AG99,KHP!AM99))=6)*(CHOOSE({1,2,3,4},KHP!X99,KHP!AD99,KHP!AJ99,KHP!AP99)))</f>
        <v>0</v>
      </c>
      <c r="G99">
        <f>SUMPRODUCT((MONTH(CHOOSE({1,2,3,4},KHP!U99,KHP!AA99,KHP!AG99,KHP!AM99))=7)*(CHOOSE({1,2,3,4},KHP!X99,KHP!AD99,KHP!AJ99,KHP!AP99)))</f>
        <v>0</v>
      </c>
      <c r="H99">
        <f>SUMPRODUCT((MONTH(CHOOSE({1,2,3,4},KHP!U99,KHP!AA99,KHP!AG99,KHP!AM99))=8)*(CHOOSE({1,2,3,4},KHP!X99,KHP!AD99,KHP!AJ99,KHP!AP99)))</f>
        <v>0</v>
      </c>
      <c r="I99">
        <f>SUMPRODUCT((MONTH(CHOOSE({1,2,3,4},KHP!U99,KHP!AA99,KHP!AG99,KHP!AM99))=9)*(CHOOSE({1,2,3,4},KHP!X99,KHP!AD99,KHP!AJ99,KHP!AP99)))</f>
        <v>0</v>
      </c>
      <c r="J99">
        <f>SUMPRODUCT((MONTH(CHOOSE({1,2,3,4},KHP!U99,KHP!AA99,KHP!AG99,KHP!AM99))=10)*(CHOOSE({1,2,3,4},KHP!X99,KHP!AD99,KHP!AJ99,KHP!AP99)))</f>
        <v>0</v>
      </c>
      <c r="K99">
        <f>SUMPRODUCT((MONTH(CHOOSE({1,2,3,4},KHP!U99,KHP!AA99,KHP!AG99,KHP!AM99))=11)*(CHOOSE({1,2,3,4},KHP!X99,KHP!AD99,KHP!AJ99,KHP!AP99)))</f>
        <v>0</v>
      </c>
      <c r="L99">
        <f>SUMPRODUCT((MONTH(CHOOSE({1,2,3,4},KHP!U99,KHP!AA99,KHP!AG99,KHP!AM99))=12)*(CHOOSE({1,2,3,4},KHP!X99,KHP!AD99,KHP!AJ99,KHP!AP99)))</f>
        <v>0</v>
      </c>
    </row>
    <row r="100" spans="1:12">
      <c r="A100">
        <f>SUMPRODUCT((MONTH(CHOOSE({1,2,3,4},KHP!U100,KHP!AA100,KHP!AG100,KHP!AM100))=1)*(CHOOSE({1,2,3,4},KHP!X100,KHP!AD100,KHP!AJ100,KHP!AP100)))</f>
        <v>0</v>
      </c>
      <c r="B100">
        <f>SUMPRODUCT((MONTH(CHOOSE({1,2,3,4},KHP!U100,KHP!AA100,KHP!AG100,KHP!AM100))=2)*(CHOOSE({1,2,3,4},KHP!X100,KHP!AD100,KHP!AJ100,KHP!AP100)))</f>
        <v>0</v>
      </c>
      <c r="C100">
        <f>SUMPRODUCT((MONTH(CHOOSE({1,2,3,4},KHP!U100,KHP!AA100,KHP!AG100,KHP!AM100))=3)*(CHOOSE({1,2,3,4},KHP!X100,KHP!AD100,KHP!AJ100,KHP!AP100)))</f>
        <v>0</v>
      </c>
      <c r="D100">
        <f>SUMPRODUCT((MONTH(CHOOSE({1,2,3,4},KHP!U100,KHP!AA100,KHP!AG100,KHP!AM100))=4)*(CHOOSE({1,2,3,4},KHP!X100,KHP!AD100,KHP!AJ100,KHP!AP100)))</f>
        <v>0</v>
      </c>
      <c r="E100">
        <f>SUMPRODUCT((MONTH(CHOOSE({1,2,3,4},KHP!U100,KHP!AA100,KHP!AG100,KHP!AM100))=5)*(CHOOSE({1,2,3,4},KHP!X100,KHP!AD100,KHP!AJ100,KHP!AP100)))</f>
        <v>0</v>
      </c>
      <c r="F100">
        <f>SUMPRODUCT((MONTH(CHOOSE({1,2,3,4},KHP!U100,KHP!AA100,KHP!AG100,KHP!AM100))=6)*(CHOOSE({1,2,3,4},KHP!X100,KHP!AD100,KHP!AJ100,KHP!AP100)))</f>
        <v>0</v>
      </c>
      <c r="G100">
        <f>SUMPRODUCT((MONTH(CHOOSE({1,2,3,4},KHP!U100,KHP!AA100,KHP!AG100,KHP!AM100))=7)*(CHOOSE({1,2,3,4},KHP!X100,KHP!AD100,KHP!AJ100,KHP!AP100)))</f>
        <v>0</v>
      </c>
      <c r="H100">
        <f>SUMPRODUCT((MONTH(CHOOSE({1,2,3,4},KHP!U100,KHP!AA100,KHP!AG100,KHP!AM100))=8)*(CHOOSE({1,2,3,4},KHP!X100,KHP!AD100,KHP!AJ100,KHP!AP100)))</f>
        <v>0</v>
      </c>
      <c r="I100">
        <f>SUMPRODUCT((MONTH(CHOOSE({1,2,3,4},KHP!U100,KHP!AA100,KHP!AG100,KHP!AM100))=9)*(CHOOSE({1,2,3,4},KHP!X100,KHP!AD100,KHP!AJ100,KHP!AP100)))</f>
        <v>0</v>
      </c>
      <c r="J100">
        <f>SUMPRODUCT((MONTH(CHOOSE({1,2,3,4},KHP!U100,KHP!AA100,KHP!AG100,KHP!AM100))=10)*(CHOOSE({1,2,3,4},KHP!X100,KHP!AD100,KHP!AJ100,KHP!AP100)))</f>
        <v>0</v>
      </c>
      <c r="K100">
        <f>SUMPRODUCT((MONTH(CHOOSE({1,2,3,4},KHP!U100,KHP!AA100,KHP!AG100,KHP!AM100))=11)*(CHOOSE({1,2,3,4},KHP!X100,KHP!AD100,KHP!AJ100,KHP!AP100)))</f>
        <v>0</v>
      </c>
      <c r="L100">
        <f>SUMPRODUCT((MONTH(CHOOSE({1,2,3,4},KHP!U100,KHP!AA100,KHP!AG100,KHP!AM100))=12)*(CHOOSE({1,2,3,4},KHP!X100,KHP!AD100,KHP!AJ100,KHP!AP100)))</f>
        <v>0</v>
      </c>
    </row>
    <row r="101" spans="1:12">
      <c r="A101">
        <f>SUMPRODUCT((MONTH(CHOOSE({1,2,3,4},KHP!U101,KHP!AA101,KHP!AG101,KHP!AM101))=1)*(CHOOSE({1,2,3,4},KHP!X101,KHP!AD101,KHP!AJ101,KHP!AP101)))</f>
        <v>0</v>
      </c>
      <c r="B101">
        <f>SUMPRODUCT((MONTH(CHOOSE({1,2,3,4},KHP!U101,KHP!AA101,KHP!AG101,KHP!AM101))=2)*(CHOOSE({1,2,3,4},KHP!X101,KHP!AD101,KHP!AJ101,KHP!AP101)))</f>
        <v>0</v>
      </c>
      <c r="C101">
        <f>SUMPRODUCT((MONTH(CHOOSE({1,2,3,4},KHP!U101,KHP!AA101,KHP!AG101,KHP!AM101))=3)*(CHOOSE({1,2,3,4},KHP!X101,KHP!AD101,KHP!AJ101,KHP!AP101)))</f>
        <v>0</v>
      </c>
      <c r="D101">
        <f>SUMPRODUCT((MONTH(CHOOSE({1,2,3,4},KHP!U101,KHP!AA101,KHP!AG101,KHP!AM101))=4)*(CHOOSE({1,2,3,4},KHP!X101,KHP!AD101,KHP!AJ101,KHP!AP101)))</f>
        <v>0</v>
      </c>
      <c r="E101">
        <f>SUMPRODUCT((MONTH(CHOOSE({1,2,3,4},KHP!U101,KHP!AA101,KHP!AG101,KHP!AM101))=5)*(CHOOSE({1,2,3,4},KHP!X101,KHP!AD101,KHP!AJ101,KHP!AP101)))</f>
        <v>0</v>
      </c>
      <c r="F101">
        <f>SUMPRODUCT((MONTH(CHOOSE({1,2,3,4},KHP!U101,KHP!AA101,KHP!AG101,KHP!AM101))=6)*(CHOOSE({1,2,3,4},KHP!X101,KHP!AD101,KHP!AJ101,KHP!AP101)))</f>
        <v>0</v>
      </c>
      <c r="G101">
        <f>SUMPRODUCT((MONTH(CHOOSE({1,2,3,4},KHP!U101,KHP!AA101,KHP!AG101,KHP!AM101))=7)*(CHOOSE({1,2,3,4},KHP!X101,KHP!AD101,KHP!AJ101,KHP!AP101)))</f>
        <v>0</v>
      </c>
      <c r="H101">
        <f>SUMPRODUCT((MONTH(CHOOSE({1,2,3,4},KHP!U101,KHP!AA101,KHP!AG101,KHP!AM101))=8)*(CHOOSE({1,2,3,4},KHP!X101,KHP!AD101,KHP!AJ101,KHP!AP101)))</f>
        <v>0</v>
      </c>
      <c r="I101">
        <f>SUMPRODUCT((MONTH(CHOOSE({1,2,3,4},KHP!U101,KHP!AA101,KHP!AG101,KHP!AM101))=9)*(CHOOSE({1,2,3,4},KHP!X101,KHP!AD101,KHP!AJ101,KHP!AP101)))</f>
        <v>0</v>
      </c>
      <c r="J101">
        <f>SUMPRODUCT((MONTH(CHOOSE({1,2,3,4},KHP!U101,KHP!AA101,KHP!AG101,KHP!AM101))=10)*(CHOOSE({1,2,3,4},KHP!X101,KHP!AD101,KHP!AJ101,KHP!AP101)))</f>
        <v>0</v>
      </c>
      <c r="K101">
        <f>SUMPRODUCT((MONTH(CHOOSE({1,2,3,4},KHP!U101,KHP!AA101,KHP!AG101,KHP!AM101))=11)*(CHOOSE({1,2,3,4},KHP!X101,KHP!AD101,KHP!AJ101,KHP!AP101)))</f>
        <v>0</v>
      </c>
      <c r="L101">
        <f>SUMPRODUCT((MONTH(CHOOSE({1,2,3,4},KHP!U101,KHP!AA101,KHP!AG101,KHP!AM101))=12)*(CHOOSE({1,2,3,4},KHP!X101,KHP!AD101,KHP!AJ101,KHP!AP101)))</f>
        <v>0</v>
      </c>
    </row>
    <row r="102" spans="1:12">
      <c r="A102">
        <f>SUMPRODUCT((MONTH(CHOOSE({1,2,3,4},KHP!U102,KHP!AA102,KHP!AG102,KHP!AM102))=1)*(CHOOSE({1,2,3,4},KHP!X102,KHP!AD102,KHP!AJ102,KHP!AP102)))</f>
        <v>0</v>
      </c>
      <c r="B102">
        <f>SUMPRODUCT((MONTH(CHOOSE({1,2,3,4},KHP!U102,KHP!AA102,KHP!AG102,KHP!AM102))=2)*(CHOOSE({1,2,3,4},KHP!X102,KHP!AD102,KHP!AJ102,KHP!AP102)))</f>
        <v>0</v>
      </c>
      <c r="C102">
        <f>SUMPRODUCT((MONTH(CHOOSE({1,2,3,4},KHP!U102,KHP!AA102,KHP!AG102,KHP!AM102))=3)*(CHOOSE({1,2,3,4},KHP!X102,KHP!AD102,KHP!AJ102,KHP!AP102)))</f>
        <v>0</v>
      </c>
      <c r="D102">
        <f>SUMPRODUCT((MONTH(CHOOSE({1,2,3,4},KHP!U102,KHP!AA102,KHP!AG102,KHP!AM102))=4)*(CHOOSE({1,2,3,4},KHP!X102,KHP!AD102,KHP!AJ102,KHP!AP102)))</f>
        <v>0</v>
      </c>
      <c r="E102">
        <f>SUMPRODUCT((MONTH(CHOOSE({1,2,3,4},KHP!U102,KHP!AA102,KHP!AG102,KHP!AM102))=5)*(CHOOSE({1,2,3,4},KHP!X102,KHP!AD102,KHP!AJ102,KHP!AP102)))</f>
        <v>0</v>
      </c>
      <c r="F102">
        <f>SUMPRODUCT((MONTH(CHOOSE({1,2,3,4},KHP!U102,KHP!AA102,KHP!AG102,KHP!AM102))=6)*(CHOOSE({1,2,3,4},KHP!X102,KHP!AD102,KHP!AJ102,KHP!AP102)))</f>
        <v>0</v>
      </c>
      <c r="G102">
        <f>SUMPRODUCT((MONTH(CHOOSE({1,2,3,4},KHP!U102,KHP!AA102,KHP!AG102,KHP!AM102))=7)*(CHOOSE({1,2,3,4},KHP!X102,KHP!AD102,KHP!AJ102,KHP!AP102)))</f>
        <v>0</v>
      </c>
      <c r="H102">
        <f>SUMPRODUCT((MONTH(CHOOSE({1,2,3,4},KHP!U102,KHP!AA102,KHP!AG102,KHP!AM102))=8)*(CHOOSE({1,2,3,4},KHP!X102,KHP!AD102,KHP!AJ102,KHP!AP102)))</f>
        <v>0</v>
      </c>
      <c r="I102">
        <f>SUMPRODUCT((MONTH(CHOOSE({1,2,3,4},KHP!U102,KHP!AA102,KHP!AG102,KHP!AM102))=9)*(CHOOSE({1,2,3,4},KHP!X102,KHP!AD102,KHP!AJ102,KHP!AP102)))</f>
        <v>0</v>
      </c>
      <c r="J102">
        <f>SUMPRODUCT((MONTH(CHOOSE({1,2,3,4},KHP!U102,KHP!AA102,KHP!AG102,KHP!AM102))=10)*(CHOOSE({1,2,3,4},KHP!X102,KHP!AD102,KHP!AJ102,KHP!AP102)))</f>
        <v>0</v>
      </c>
      <c r="K102">
        <f>SUMPRODUCT((MONTH(CHOOSE({1,2,3,4},KHP!U102,KHP!AA102,KHP!AG102,KHP!AM102))=11)*(CHOOSE({1,2,3,4},KHP!X102,KHP!AD102,KHP!AJ102,KHP!AP102)))</f>
        <v>0</v>
      </c>
      <c r="L102">
        <f>SUMPRODUCT((MONTH(CHOOSE({1,2,3,4},KHP!U102,KHP!AA102,KHP!AG102,KHP!AM102))=12)*(CHOOSE({1,2,3,4},KHP!X102,KHP!AD102,KHP!AJ102,KHP!AP102)))</f>
        <v>0</v>
      </c>
    </row>
    <row r="103" spans="1:12">
      <c r="A103">
        <f>SUMPRODUCT((MONTH(CHOOSE({1,2,3,4},KHP!U103,KHP!AA103,KHP!AG103,KHP!AM103))=1)*(CHOOSE({1,2,3,4},KHP!X103,KHP!AD103,KHP!AJ103,KHP!AP103)))</f>
        <v>0</v>
      </c>
      <c r="B103">
        <f>SUMPRODUCT((MONTH(CHOOSE({1,2,3,4},KHP!U103,KHP!AA103,KHP!AG103,KHP!AM103))=2)*(CHOOSE({1,2,3,4},KHP!X103,KHP!AD103,KHP!AJ103,KHP!AP103)))</f>
        <v>0</v>
      </c>
      <c r="C103">
        <f>SUMPRODUCT((MONTH(CHOOSE({1,2,3,4},KHP!U103,KHP!AA103,KHP!AG103,KHP!AM103))=3)*(CHOOSE({1,2,3,4},KHP!X103,KHP!AD103,KHP!AJ103,KHP!AP103)))</f>
        <v>0</v>
      </c>
      <c r="D103">
        <f>SUMPRODUCT((MONTH(CHOOSE({1,2,3,4},KHP!U103,KHP!AA103,KHP!AG103,KHP!AM103))=4)*(CHOOSE({1,2,3,4},KHP!X103,KHP!AD103,KHP!AJ103,KHP!AP103)))</f>
        <v>0</v>
      </c>
      <c r="E103">
        <f>SUMPRODUCT((MONTH(CHOOSE({1,2,3,4},KHP!U103,KHP!AA103,KHP!AG103,KHP!AM103))=5)*(CHOOSE({1,2,3,4},KHP!X103,KHP!AD103,KHP!AJ103,KHP!AP103)))</f>
        <v>0</v>
      </c>
      <c r="F103">
        <f>SUMPRODUCT((MONTH(CHOOSE({1,2,3,4},KHP!U103,KHP!AA103,KHP!AG103,KHP!AM103))=6)*(CHOOSE({1,2,3,4},KHP!X103,KHP!AD103,KHP!AJ103,KHP!AP103)))</f>
        <v>0</v>
      </c>
      <c r="G103">
        <f>SUMPRODUCT((MONTH(CHOOSE({1,2,3,4},KHP!U103,KHP!AA103,KHP!AG103,KHP!AM103))=7)*(CHOOSE({1,2,3,4},KHP!X103,KHP!AD103,KHP!AJ103,KHP!AP103)))</f>
        <v>0</v>
      </c>
      <c r="H103">
        <f>SUMPRODUCT((MONTH(CHOOSE({1,2,3,4},KHP!U103,KHP!AA103,KHP!AG103,KHP!AM103))=8)*(CHOOSE({1,2,3,4},KHP!X103,KHP!AD103,KHP!AJ103,KHP!AP103)))</f>
        <v>0</v>
      </c>
      <c r="I103">
        <f>SUMPRODUCT((MONTH(CHOOSE({1,2,3,4},KHP!U103,KHP!AA103,KHP!AG103,KHP!AM103))=9)*(CHOOSE({1,2,3,4},KHP!X103,KHP!AD103,KHP!AJ103,KHP!AP103)))</f>
        <v>0</v>
      </c>
      <c r="J103">
        <f>SUMPRODUCT((MONTH(CHOOSE({1,2,3,4},KHP!U103,KHP!AA103,KHP!AG103,KHP!AM103))=10)*(CHOOSE({1,2,3,4},KHP!X103,KHP!AD103,KHP!AJ103,KHP!AP103)))</f>
        <v>0</v>
      </c>
      <c r="K103">
        <f>SUMPRODUCT((MONTH(CHOOSE({1,2,3,4},KHP!U103,KHP!AA103,KHP!AG103,KHP!AM103))=11)*(CHOOSE({1,2,3,4},KHP!X103,KHP!AD103,KHP!AJ103,KHP!AP103)))</f>
        <v>0</v>
      </c>
      <c r="L103">
        <f>SUMPRODUCT((MONTH(CHOOSE({1,2,3,4},KHP!U103,KHP!AA103,KHP!AG103,KHP!AM103))=12)*(CHOOSE({1,2,3,4},KHP!X103,KHP!AD103,KHP!AJ103,KHP!AP103)))</f>
        <v>0</v>
      </c>
    </row>
    <row r="104" spans="1:12">
      <c r="A104">
        <f>SUMPRODUCT((MONTH(CHOOSE({1,2,3,4},KHP!U104,KHP!AA104,KHP!AG104,KHP!AM104))=1)*(CHOOSE({1,2,3,4},KHP!X104,KHP!AD104,KHP!AJ104,KHP!AP104)))</f>
        <v>0</v>
      </c>
      <c r="B104">
        <f>SUMPRODUCT((MONTH(CHOOSE({1,2,3,4},KHP!U104,KHP!AA104,KHP!AG104,KHP!AM104))=2)*(CHOOSE({1,2,3,4},KHP!X104,KHP!AD104,KHP!AJ104,KHP!AP104)))</f>
        <v>0</v>
      </c>
      <c r="C104">
        <f>SUMPRODUCT((MONTH(CHOOSE({1,2,3,4},KHP!U104,KHP!AA104,KHP!AG104,KHP!AM104))=3)*(CHOOSE({1,2,3,4},KHP!X104,KHP!AD104,KHP!AJ104,KHP!AP104)))</f>
        <v>0</v>
      </c>
      <c r="D104">
        <f>SUMPRODUCT((MONTH(CHOOSE({1,2,3,4},KHP!U104,KHP!AA104,KHP!AG104,KHP!AM104))=4)*(CHOOSE({1,2,3,4},KHP!X104,KHP!AD104,KHP!AJ104,KHP!AP104)))</f>
        <v>0</v>
      </c>
      <c r="E104">
        <f>SUMPRODUCT((MONTH(CHOOSE({1,2,3,4},KHP!U104,KHP!AA104,KHP!AG104,KHP!AM104))=5)*(CHOOSE({1,2,3,4},KHP!X104,KHP!AD104,KHP!AJ104,KHP!AP104)))</f>
        <v>0</v>
      </c>
      <c r="F104">
        <f>SUMPRODUCT((MONTH(CHOOSE({1,2,3,4},KHP!U104,KHP!AA104,KHP!AG104,KHP!AM104))=6)*(CHOOSE({1,2,3,4},KHP!X104,KHP!AD104,KHP!AJ104,KHP!AP104)))</f>
        <v>0</v>
      </c>
      <c r="G104">
        <f>SUMPRODUCT((MONTH(CHOOSE({1,2,3,4},KHP!U104,KHP!AA104,KHP!AG104,KHP!AM104))=7)*(CHOOSE({1,2,3,4},KHP!X104,KHP!AD104,KHP!AJ104,KHP!AP104)))</f>
        <v>0</v>
      </c>
      <c r="H104">
        <f>SUMPRODUCT((MONTH(CHOOSE({1,2,3,4},KHP!U104,KHP!AA104,KHP!AG104,KHP!AM104))=8)*(CHOOSE({1,2,3,4},KHP!X104,KHP!AD104,KHP!AJ104,KHP!AP104)))</f>
        <v>0</v>
      </c>
      <c r="I104">
        <f>SUMPRODUCT((MONTH(CHOOSE({1,2,3,4},KHP!U104,KHP!AA104,KHP!AG104,KHP!AM104))=9)*(CHOOSE({1,2,3,4},KHP!X104,KHP!AD104,KHP!AJ104,KHP!AP104)))</f>
        <v>0</v>
      </c>
      <c r="J104">
        <f>SUMPRODUCT((MONTH(CHOOSE({1,2,3,4},KHP!U104,KHP!AA104,KHP!AG104,KHP!AM104))=10)*(CHOOSE({1,2,3,4},KHP!X104,KHP!AD104,KHP!AJ104,KHP!AP104)))</f>
        <v>0</v>
      </c>
      <c r="K104">
        <f>SUMPRODUCT((MONTH(CHOOSE({1,2,3,4},KHP!U104,KHP!AA104,KHP!AG104,KHP!AM104))=11)*(CHOOSE({1,2,3,4},KHP!X104,KHP!AD104,KHP!AJ104,KHP!AP104)))</f>
        <v>0</v>
      </c>
      <c r="L104">
        <f>SUMPRODUCT((MONTH(CHOOSE({1,2,3,4},KHP!U104,KHP!AA104,KHP!AG104,KHP!AM104))=12)*(CHOOSE({1,2,3,4},KHP!X104,KHP!AD104,KHP!AJ104,KHP!AP104)))</f>
        <v>0</v>
      </c>
    </row>
    <row r="105" spans="1:12">
      <c r="A105">
        <f>SUMPRODUCT((MONTH(CHOOSE({1,2,3,4},KHP!U105,KHP!AA105,KHP!AG105,KHP!AM105))=1)*(CHOOSE({1,2,3,4},KHP!X105,KHP!AD105,KHP!AJ105,KHP!AP105)))</f>
        <v>0</v>
      </c>
      <c r="B105">
        <f>SUMPRODUCT((MONTH(CHOOSE({1,2,3,4},KHP!U105,KHP!AA105,KHP!AG105,KHP!AM105))=2)*(CHOOSE({1,2,3,4},KHP!X105,KHP!AD105,KHP!AJ105,KHP!AP105)))</f>
        <v>0</v>
      </c>
      <c r="C105">
        <f>SUMPRODUCT((MONTH(CHOOSE({1,2,3,4},KHP!U105,KHP!AA105,KHP!AG105,KHP!AM105))=3)*(CHOOSE({1,2,3,4},KHP!X105,KHP!AD105,KHP!AJ105,KHP!AP105)))</f>
        <v>0</v>
      </c>
      <c r="D105">
        <f>SUMPRODUCT((MONTH(CHOOSE({1,2,3,4},KHP!U105,KHP!AA105,KHP!AG105,KHP!AM105))=4)*(CHOOSE({1,2,3,4},KHP!X105,KHP!AD105,KHP!AJ105,KHP!AP105)))</f>
        <v>0</v>
      </c>
      <c r="E105">
        <f>SUMPRODUCT((MONTH(CHOOSE({1,2,3,4},KHP!U105,KHP!AA105,KHP!AG105,KHP!AM105))=5)*(CHOOSE({1,2,3,4},KHP!X105,KHP!AD105,KHP!AJ105,KHP!AP105)))</f>
        <v>0</v>
      </c>
      <c r="F105">
        <f>SUMPRODUCT((MONTH(CHOOSE({1,2,3,4},KHP!U105,KHP!AA105,KHP!AG105,KHP!AM105))=6)*(CHOOSE({1,2,3,4},KHP!X105,KHP!AD105,KHP!AJ105,KHP!AP105)))</f>
        <v>0</v>
      </c>
      <c r="G105">
        <f>SUMPRODUCT((MONTH(CHOOSE({1,2,3,4},KHP!U105,KHP!AA105,KHP!AG105,KHP!AM105))=7)*(CHOOSE({1,2,3,4},KHP!X105,KHP!AD105,KHP!AJ105,KHP!AP105)))</f>
        <v>0</v>
      </c>
      <c r="H105">
        <f>SUMPRODUCT((MONTH(CHOOSE({1,2,3,4},KHP!U105,KHP!AA105,KHP!AG105,KHP!AM105))=8)*(CHOOSE({1,2,3,4},KHP!X105,KHP!AD105,KHP!AJ105,KHP!AP105)))</f>
        <v>0</v>
      </c>
      <c r="I105">
        <f>SUMPRODUCT((MONTH(CHOOSE({1,2,3,4},KHP!U105,KHP!AA105,KHP!AG105,KHP!AM105))=9)*(CHOOSE({1,2,3,4},KHP!X105,KHP!AD105,KHP!AJ105,KHP!AP105)))</f>
        <v>0</v>
      </c>
      <c r="J105">
        <f>SUMPRODUCT((MONTH(CHOOSE({1,2,3,4},KHP!U105,KHP!AA105,KHP!AG105,KHP!AM105))=10)*(CHOOSE({1,2,3,4},KHP!X105,KHP!AD105,KHP!AJ105,KHP!AP105)))</f>
        <v>0</v>
      </c>
      <c r="K105">
        <f>SUMPRODUCT((MONTH(CHOOSE({1,2,3,4},KHP!U105,KHP!AA105,KHP!AG105,KHP!AM105))=11)*(CHOOSE({1,2,3,4},KHP!X105,KHP!AD105,KHP!AJ105,KHP!AP105)))</f>
        <v>0</v>
      </c>
      <c r="L105">
        <f>SUMPRODUCT((MONTH(CHOOSE({1,2,3,4},KHP!U105,KHP!AA105,KHP!AG105,KHP!AM105))=12)*(CHOOSE({1,2,3,4},KHP!X105,KHP!AD105,KHP!AJ105,KHP!AP105)))</f>
        <v>0</v>
      </c>
    </row>
    <row r="106" spans="1:12">
      <c r="A106">
        <f>SUMPRODUCT((MONTH(CHOOSE({1,2,3,4},KHP!U106,KHP!AA106,KHP!AG106,KHP!AM106))=1)*(CHOOSE({1,2,3,4},KHP!X106,KHP!AD106,KHP!AJ106,KHP!AP106)))</f>
        <v>0</v>
      </c>
      <c r="B106">
        <f>SUMPRODUCT((MONTH(CHOOSE({1,2,3,4},KHP!U106,KHP!AA106,KHP!AG106,KHP!AM106))=2)*(CHOOSE({1,2,3,4},KHP!X106,KHP!AD106,KHP!AJ106,KHP!AP106)))</f>
        <v>0</v>
      </c>
      <c r="C106">
        <f>SUMPRODUCT((MONTH(CHOOSE({1,2,3,4},KHP!U106,KHP!AA106,KHP!AG106,KHP!AM106))=3)*(CHOOSE({1,2,3,4},KHP!X106,KHP!AD106,KHP!AJ106,KHP!AP106)))</f>
        <v>0</v>
      </c>
      <c r="D106">
        <f>SUMPRODUCT((MONTH(CHOOSE({1,2,3,4},KHP!U106,KHP!AA106,KHP!AG106,KHP!AM106))=4)*(CHOOSE({1,2,3,4},KHP!X106,KHP!AD106,KHP!AJ106,KHP!AP106)))</f>
        <v>0</v>
      </c>
      <c r="E106">
        <f>SUMPRODUCT((MONTH(CHOOSE({1,2,3,4},KHP!U106,KHP!AA106,KHP!AG106,KHP!AM106))=5)*(CHOOSE({1,2,3,4},KHP!X106,KHP!AD106,KHP!AJ106,KHP!AP106)))</f>
        <v>0</v>
      </c>
      <c r="F106">
        <f>SUMPRODUCT((MONTH(CHOOSE({1,2,3,4},KHP!U106,KHP!AA106,KHP!AG106,KHP!AM106))=6)*(CHOOSE({1,2,3,4},KHP!X106,KHP!AD106,KHP!AJ106,KHP!AP106)))</f>
        <v>0</v>
      </c>
      <c r="G106">
        <f>SUMPRODUCT((MONTH(CHOOSE({1,2,3,4},KHP!U106,KHP!AA106,KHP!AG106,KHP!AM106))=7)*(CHOOSE({1,2,3,4},KHP!X106,KHP!AD106,KHP!AJ106,KHP!AP106)))</f>
        <v>0</v>
      </c>
      <c r="H106">
        <f>SUMPRODUCT((MONTH(CHOOSE({1,2,3,4},KHP!U106,KHP!AA106,KHP!AG106,KHP!AM106))=8)*(CHOOSE({1,2,3,4},KHP!X106,KHP!AD106,KHP!AJ106,KHP!AP106)))</f>
        <v>0</v>
      </c>
      <c r="I106">
        <f>SUMPRODUCT((MONTH(CHOOSE({1,2,3,4},KHP!U106,KHP!AA106,KHP!AG106,KHP!AM106))=9)*(CHOOSE({1,2,3,4},KHP!X106,KHP!AD106,KHP!AJ106,KHP!AP106)))</f>
        <v>0</v>
      </c>
      <c r="J106">
        <f>SUMPRODUCT((MONTH(CHOOSE({1,2,3,4},KHP!U106,KHP!AA106,KHP!AG106,KHP!AM106))=10)*(CHOOSE({1,2,3,4},KHP!X106,KHP!AD106,KHP!AJ106,KHP!AP106)))</f>
        <v>0</v>
      </c>
      <c r="K106">
        <f>SUMPRODUCT((MONTH(CHOOSE({1,2,3,4},KHP!U106,KHP!AA106,KHP!AG106,KHP!AM106))=11)*(CHOOSE({1,2,3,4},KHP!X106,KHP!AD106,KHP!AJ106,KHP!AP106)))</f>
        <v>0</v>
      </c>
      <c r="L106">
        <f>SUMPRODUCT((MONTH(CHOOSE({1,2,3,4},KHP!U106,KHP!AA106,KHP!AG106,KHP!AM106))=12)*(CHOOSE({1,2,3,4},KHP!X106,KHP!AD106,KHP!AJ106,KHP!AP106)))</f>
        <v>0</v>
      </c>
    </row>
    <row r="107" spans="1:12">
      <c r="A107">
        <f>SUMPRODUCT((MONTH(CHOOSE({1,2,3,4},KHP!U107,KHP!AA107,KHP!AG107,KHP!AM107))=1)*(CHOOSE({1,2,3,4},KHP!X107,KHP!AD107,KHP!AJ107,KHP!AP107)))</f>
        <v>0</v>
      </c>
      <c r="B107">
        <f>SUMPRODUCT((MONTH(CHOOSE({1,2,3,4},KHP!U107,KHP!AA107,KHP!AG107,KHP!AM107))=2)*(CHOOSE({1,2,3,4},KHP!X107,KHP!AD107,KHP!AJ107,KHP!AP107)))</f>
        <v>0</v>
      </c>
      <c r="C107">
        <f>SUMPRODUCT((MONTH(CHOOSE({1,2,3,4},KHP!U107,KHP!AA107,KHP!AG107,KHP!AM107))=3)*(CHOOSE({1,2,3,4},KHP!X107,KHP!AD107,KHP!AJ107,KHP!AP107)))</f>
        <v>0</v>
      </c>
      <c r="D107">
        <f>SUMPRODUCT((MONTH(CHOOSE({1,2,3,4},KHP!U107,KHP!AA107,KHP!AG107,KHP!AM107))=4)*(CHOOSE({1,2,3,4},KHP!X107,KHP!AD107,KHP!AJ107,KHP!AP107)))</f>
        <v>0</v>
      </c>
      <c r="E107">
        <f>SUMPRODUCT((MONTH(CHOOSE({1,2,3,4},KHP!U107,KHP!AA107,KHP!AG107,KHP!AM107))=5)*(CHOOSE({1,2,3,4},KHP!X107,KHP!AD107,KHP!AJ107,KHP!AP107)))</f>
        <v>0</v>
      </c>
      <c r="F107">
        <f>SUMPRODUCT((MONTH(CHOOSE({1,2,3,4},KHP!U107,KHP!AA107,KHP!AG107,KHP!AM107))=6)*(CHOOSE({1,2,3,4},KHP!X107,KHP!AD107,KHP!AJ107,KHP!AP107)))</f>
        <v>0</v>
      </c>
      <c r="G107">
        <f>SUMPRODUCT((MONTH(CHOOSE({1,2,3,4},KHP!U107,KHP!AA107,KHP!AG107,KHP!AM107))=7)*(CHOOSE({1,2,3,4},KHP!X107,KHP!AD107,KHP!AJ107,KHP!AP107)))</f>
        <v>0</v>
      </c>
      <c r="H107">
        <f>SUMPRODUCT((MONTH(CHOOSE({1,2,3,4},KHP!U107,KHP!AA107,KHP!AG107,KHP!AM107))=8)*(CHOOSE({1,2,3,4},KHP!X107,KHP!AD107,KHP!AJ107,KHP!AP107)))</f>
        <v>0</v>
      </c>
      <c r="I107">
        <f>SUMPRODUCT((MONTH(CHOOSE({1,2,3,4},KHP!U107,KHP!AA107,KHP!AG107,KHP!AM107))=9)*(CHOOSE({1,2,3,4},KHP!X107,KHP!AD107,KHP!AJ107,KHP!AP107)))</f>
        <v>0</v>
      </c>
      <c r="J107">
        <f>SUMPRODUCT((MONTH(CHOOSE({1,2,3,4},KHP!U107,KHP!AA107,KHP!AG107,KHP!AM107))=10)*(CHOOSE({1,2,3,4},KHP!X107,KHP!AD107,KHP!AJ107,KHP!AP107)))</f>
        <v>0</v>
      </c>
      <c r="K107">
        <f>SUMPRODUCT((MONTH(CHOOSE({1,2,3,4},KHP!U107,KHP!AA107,KHP!AG107,KHP!AM107))=11)*(CHOOSE({1,2,3,4},KHP!X107,KHP!AD107,KHP!AJ107,KHP!AP107)))</f>
        <v>0</v>
      </c>
      <c r="L107">
        <f>SUMPRODUCT((MONTH(CHOOSE({1,2,3,4},KHP!U107,KHP!AA107,KHP!AG107,KHP!AM107))=12)*(CHOOSE({1,2,3,4},KHP!X107,KHP!AD107,KHP!AJ107,KHP!AP107)))</f>
        <v>0</v>
      </c>
    </row>
    <row r="108" spans="1:12">
      <c r="A108">
        <f>SUMPRODUCT((MONTH(CHOOSE({1,2,3,4},KHP!U108,KHP!AA108,KHP!AG108,KHP!AM108))=1)*(CHOOSE({1,2,3,4},KHP!X108,KHP!AD108,KHP!AJ108,KHP!AP108)))</f>
        <v>0</v>
      </c>
      <c r="B108">
        <f>SUMPRODUCT((MONTH(CHOOSE({1,2,3,4},KHP!U108,KHP!AA108,KHP!AG108,KHP!AM108))=2)*(CHOOSE({1,2,3,4},KHP!X108,KHP!AD108,KHP!AJ108,KHP!AP108)))</f>
        <v>0</v>
      </c>
      <c r="C108">
        <f>SUMPRODUCT((MONTH(CHOOSE({1,2,3,4},KHP!U108,KHP!AA108,KHP!AG108,KHP!AM108))=3)*(CHOOSE({1,2,3,4},KHP!X108,KHP!AD108,KHP!AJ108,KHP!AP108)))</f>
        <v>0</v>
      </c>
      <c r="D108">
        <f>SUMPRODUCT((MONTH(CHOOSE({1,2,3,4},KHP!U108,KHP!AA108,KHP!AG108,KHP!AM108))=4)*(CHOOSE({1,2,3,4},KHP!X108,KHP!AD108,KHP!AJ108,KHP!AP108)))</f>
        <v>0</v>
      </c>
      <c r="E108">
        <f>SUMPRODUCT((MONTH(CHOOSE({1,2,3,4},KHP!U108,KHP!AA108,KHP!AG108,KHP!AM108))=5)*(CHOOSE({1,2,3,4},KHP!X108,KHP!AD108,KHP!AJ108,KHP!AP108)))</f>
        <v>0</v>
      </c>
      <c r="F108">
        <f>SUMPRODUCT((MONTH(CHOOSE({1,2,3,4},KHP!U108,KHP!AA108,KHP!AG108,KHP!AM108))=6)*(CHOOSE({1,2,3,4},KHP!X108,KHP!AD108,KHP!AJ108,KHP!AP108)))</f>
        <v>0</v>
      </c>
      <c r="G108">
        <f>SUMPRODUCT((MONTH(CHOOSE({1,2,3,4},KHP!U108,KHP!AA108,KHP!AG108,KHP!AM108))=7)*(CHOOSE({1,2,3,4},KHP!X108,KHP!AD108,KHP!AJ108,KHP!AP108)))</f>
        <v>0</v>
      </c>
      <c r="H108">
        <f>SUMPRODUCT((MONTH(CHOOSE({1,2,3,4},KHP!U108,KHP!AA108,KHP!AG108,KHP!AM108))=8)*(CHOOSE({1,2,3,4},KHP!X108,KHP!AD108,KHP!AJ108,KHP!AP108)))</f>
        <v>0</v>
      </c>
      <c r="I108">
        <f>SUMPRODUCT((MONTH(CHOOSE({1,2,3,4},KHP!U108,KHP!AA108,KHP!AG108,KHP!AM108))=9)*(CHOOSE({1,2,3,4},KHP!X108,KHP!AD108,KHP!AJ108,KHP!AP108)))</f>
        <v>0</v>
      </c>
      <c r="J108">
        <f>SUMPRODUCT((MONTH(CHOOSE({1,2,3,4},KHP!U108,KHP!AA108,KHP!AG108,KHP!AM108))=10)*(CHOOSE({1,2,3,4},KHP!X108,KHP!AD108,KHP!AJ108,KHP!AP108)))</f>
        <v>0</v>
      </c>
      <c r="K108">
        <f>SUMPRODUCT((MONTH(CHOOSE({1,2,3,4},KHP!U108,KHP!AA108,KHP!AG108,KHP!AM108))=11)*(CHOOSE({1,2,3,4},KHP!X108,KHP!AD108,KHP!AJ108,KHP!AP108)))</f>
        <v>0</v>
      </c>
      <c r="L108">
        <f>SUMPRODUCT((MONTH(CHOOSE({1,2,3,4},KHP!U108,KHP!AA108,KHP!AG108,KHP!AM108))=12)*(CHOOSE({1,2,3,4},KHP!X108,KHP!AD108,KHP!AJ108,KHP!AP108)))</f>
        <v>0</v>
      </c>
    </row>
    <row r="109" spans="1:12">
      <c r="A109">
        <f>SUMPRODUCT((MONTH(CHOOSE({1,2,3,4},KHP!U109,KHP!AA109,KHP!AG109,KHP!AM109))=1)*(CHOOSE({1,2,3,4},KHP!X109,KHP!AD109,KHP!AJ109,KHP!AP109)))</f>
        <v>0</v>
      </c>
      <c r="B109">
        <f>SUMPRODUCT((MONTH(CHOOSE({1,2,3,4},KHP!U109,KHP!AA109,KHP!AG109,KHP!AM109))=2)*(CHOOSE({1,2,3,4},KHP!X109,KHP!AD109,KHP!AJ109,KHP!AP109)))</f>
        <v>0</v>
      </c>
      <c r="C109">
        <f>SUMPRODUCT((MONTH(CHOOSE({1,2,3,4},KHP!U109,KHP!AA109,KHP!AG109,KHP!AM109))=3)*(CHOOSE({1,2,3,4},KHP!X109,KHP!AD109,KHP!AJ109,KHP!AP109)))</f>
        <v>0</v>
      </c>
      <c r="D109">
        <f>SUMPRODUCT((MONTH(CHOOSE({1,2,3,4},KHP!U109,KHP!AA109,KHP!AG109,KHP!AM109))=4)*(CHOOSE({1,2,3,4},KHP!X109,KHP!AD109,KHP!AJ109,KHP!AP109)))</f>
        <v>0</v>
      </c>
      <c r="E109">
        <f>SUMPRODUCT((MONTH(CHOOSE({1,2,3,4},KHP!U109,KHP!AA109,KHP!AG109,KHP!AM109))=5)*(CHOOSE({1,2,3,4},KHP!X109,KHP!AD109,KHP!AJ109,KHP!AP109)))</f>
        <v>0</v>
      </c>
      <c r="F109">
        <f>SUMPRODUCT((MONTH(CHOOSE({1,2,3,4},KHP!U109,KHP!AA109,KHP!AG109,KHP!AM109))=6)*(CHOOSE({1,2,3,4},KHP!X109,KHP!AD109,KHP!AJ109,KHP!AP109)))</f>
        <v>0</v>
      </c>
      <c r="G109">
        <f>SUMPRODUCT((MONTH(CHOOSE({1,2,3,4},KHP!U109,KHP!AA109,KHP!AG109,KHP!AM109))=7)*(CHOOSE({1,2,3,4},KHP!X109,KHP!AD109,KHP!AJ109,KHP!AP109)))</f>
        <v>0</v>
      </c>
      <c r="H109">
        <f>SUMPRODUCT((MONTH(CHOOSE({1,2,3,4},KHP!U109,KHP!AA109,KHP!AG109,KHP!AM109))=8)*(CHOOSE({1,2,3,4},KHP!X109,KHP!AD109,KHP!AJ109,KHP!AP109)))</f>
        <v>0</v>
      </c>
      <c r="I109">
        <f>SUMPRODUCT((MONTH(CHOOSE({1,2,3,4},KHP!U109,KHP!AA109,KHP!AG109,KHP!AM109))=9)*(CHOOSE({1,2,3,4},KHP!X109,KHP!AD109,KHP!AJ109,KHP!AP109)))</f>
        <v>0</v>
      </c>
      <c r="J109">
        <f>SUMPRODUCT((MONTH(CHOOSE({1,2,3,4},KHP!U109,KHP!AA109,KHP!AG109,KHP!AM109))=10)*(CHOOSE({1,2,3,4},KHP!X109,KHP!AD109,KHP!AJ109,KHP!AP109)))</f>
        <v>0</v>
      </c>
      <c r="K109">
        <f>SUMPRODUCT((MONTH(CHOOSE({1,2,3,4},KHP!U109,KHP!AA109,KHP!AG109,KHP!AM109))=11)*(CHOOSE({1,2,3,4},KHP!X109,KHP!AD109,KHP!AJ109,KHP!AP109)))</f>
        <v>0</v>
      </c>
      <c r="L109">
        <f>SUMPRODUCT((MONTH(CHOOSE({1,2,3,4},KHP!U109,KHP!AA109,KHP!AG109,KHP!AM109))=12)*(CHOOSE({1,2,3,4},KHP!X109,KHP!AD109,KHP!AJ109,KHP!AP109)))</f>
        <v>0</v>
      </c>
    </row>
    <row r="110" spans="1:12">
      <c r="A110">
        <f>SUMPRODUCT((MONTH(CHOOSE({1,2,3,4},KHP!U110,KHP!AA110,KHP!AG110,KHP!AM110))=1)*(CHOOSE({1,2,3,4},KHP!X110,KHP!AD110,KHP!AJ110,KHP!AP110)))</f>
        <v>0</v>
      </c>
      <c r="B110">
        <f>SUMPRODUCT((MONTH(CHOOSE({1,2,3,4},KHP!U110,KHP!AA110,KHP!AG110,KHP!AM110))=2)*(CHOOSE({1,2,3,4},KHP!X110,KHP!AD110,KHP!AJ110,KHP!AP110)))</f>
        <v>0</v>
      </c>
      <c r="C110">
        <f>SUMPRODUCT((MONTH(CHOOSE({1,2,3,4},KHP!U110,KHP!AA110,KHP!AG110,KHP!AM110))=3)*(CHOOSE({1,2,3,4},KHP!X110,KHP!AD110,KHP!AJ110,KHP!AP110)))</f>
        <v>0</v>
      </c>
      <c r="D110">
        <f>SUMPRODUCT((MONTH(CHOOSE({1,2,3,4},KHP!U110,KHP!AA110,KHP!AG110,KHP!AM110))=4)*(CHOOSE({1,2,3,4},KHP!X110,KHP!AD110,KHP!AJ110,KHP!AP110)))</f>
        <v>0</v>
      </c>
      <c r="E110">
        <f>SUMPRODUCT((MONTH(CHOOSE({1,2,3,4},KHP!U110,KHP!AA110,KHP!AG110,KHP!AM110))=5)*(CHOOSE({1,2,3,4},KHP!X110,KHP!AD110,KHP!AJ110,KHP!AP110)))</f>
        <v>0</v>
      </c>
      <c r="F110">
        <f>SUMPRODUCT((MONTH(CHOOSE({1,2,3,4},KHP!U110,KHP!AA110,KHP!AG110,KHP!AM110))=6)*(CHOOSE({1,2,3,4},KHP!X110,KHP!AD110,KHP!AJ110,KHP!AP110)))</f>
        <v>0</v>
      </c>
      <c r="G110">
        <f>SUMPRODUCT((MONTH(CHOOSE({1,2,3,4},KHP!U110,KHP!AA110,KHP!AG110,KHP!AM110))=7)*(CHOOSE({1,2,3,4},KHP!X110,KHP!AD110,KHP!AJ110,KHP!AP110)))</f>
        <v>0</v>
      </c>
      <c r="H110">
        <f>SUMPRODUCT((MONTH(CHOOSE({1,2,3,4},KHP!U110,KHP!AA110,KHP!AG110,KHP!AM110))=8)*(CHOOSE({1,2,3,4},KHP!X110,KHP!AD110,KHP!AJ110,KHP!AP110)))</f>
        <v>0</v>
      </c>
      <c r="I110">
        <f>SUMPRODUCT((MONTH(CHOOSE({1,2,3,4},KHP!U110,KHP!AA110,KHP!AG110,KHP!AM110))=9)*(CHOOSE({1,2,3,4},KHP!X110,KHP!AD110,KHP!AJ110,KHP!AP110)))</f>
        <v>0</v>
      </c>
      <c r="J110">
        <f>SUMPRODUCT((MONTH(CHOOSE({1,2,3,4},KHP!U110,KHP!AA110,KHP!AG110,KHP!AM110))=10)*(CHOOSE({1,2,3,4},KHP!X110,KHP!AD110,KHP!AJ110,KHP!AP110)))</f>
        <v>0</v>
      </c>
      <c r="K110">
        <f>SUMPRODUCT((MONTH(CHOOSE({1,2,3,4},KHP!U110,KHP!AA110,KHP!AG110,KHP!AM110))=11)*(CHOOSE({1,2,3,4},KHP!X110,KHP!AD110,KHP!AJ110,KHP!AP110)))</f>
        <v>0</v>
      </c>
      <c r="L110">
        <f>SUMPRODUCT((MONTH(CHOOSE({1,2,3,4},KHP!U110,KHP!AA110,KHP!AG110,KHP!AM110))=12)*(CHOOSE({1,2,3,4},KHP!X110,KHP!AD110,KHP!AJ110,KHP!AP110)))</f>
        <v>0</v>
      </c>
    </row>
    <row r="111" spans="1:12">
      <c r="A111">
        <f>SUMPRODUCT((MONTH(CHOOSE({1,2,3,4},KHP!U111,KHP!AA111,KHP!AG111,KHP!AM111))=1)*(CHOOSE({1,2,3,4},KHP!X111,KHP!AD111,KHP!AJ111,KHP!AP111)))</f>
        <v>0</v>
      </c>
      <c r="B111">
        <f>SUMPRODUCT((MONTH(CHOOSE({1,2,3,4},KHP!U111,KHP!AA111,KHP!AG111,KHP!AM111))=2)*(CHOOSE({1,2,3,4},KHP!X111,KHP!AD111,KHP!AJ111,KHP!AP111)))</f>
        <v>0</v>
      </c>
      <c r="C111">
        <f>SUMPRODUCT((MONTH(CHOOSE({1,2,3,4},KHP!U111,KHP!AA111,KHP!AG111,KHP!AM111))=3)*(CHOOSE({1,2,3,4},KHP!X111,KHP!AD111,KHP!AJ111,KHP!AP111)))</f>
        <v>0</v>
      </c>
      <c r="D111">
        <f>SUMPRODUCT((MONTH(CHOOSE({1,2,3,4},KHP!U111,KHP!AA111,KHP!AG111,KHP!AM111))=4)*(CHOOSE({1,2,3,4},KHP!X111,KHP!AD111,KHP!AJ111,KHP!AP111)))</f>
        <v>0</v>
      </c>
      <c r="E111">
        <f>SUMPRODUCT((MONTH(CHOOSE({1,2,3,4},KHP!U111,KHP!AA111,KHP!AG111,KHP!AM111))=5)*(CHOOSE({1,2,3,4},KHP!X111,KHP!AD111,KHP!AJ111,KHP!AP111)))</f>
        <v>0</v>
      </c>
      <c r="F111">
        <f>SUMPRODUCT((MONTH(CHOOSE({1,2,3,4},KHP!U111,KHP!AA111,KHP!AG111,KHP!AM111))=6)*(CHOOSE({1,2,3,4},KHP!X111,KHP!AD111,KHP!AJ111,KHP!AP111)))</f>
        <v>0</v>
      </c>
      <c r="G111">
        <f>SUMPRODUCT((MONTH(CHOOSE({1,2,3,4},KHP!U111,KHP!AA111,KHP!AG111,KHP!AM111))=7)*(CHOOSE({1,2,3,4},KHP!X111,KHP!AD111,KHP!AJ111,KHP!AP111)))</f>
        <v>0</v>
      </c>
      <c r="H111">
        <f>SUMPRODUCT((MONTH(CHOOSE({1,2,3,4},KHP!U111,KHP!AA111,KHP!AG111,KHP!AM111))=8)*(CHOOSE({1,2,3,4},KHP!X111,KHP!AD111,KHP!AJ111,KHP!AP111)))</f>
        <v>0</v>
      </c>
      <c r="I111">
        <f>SUMPRODUCT((MONTH(CHOOSE({1,2,3,4},KHP!U111,KHP!AA111,KHP!AG111,KHP!AM111))=9)*(CHOOSE({1,2,3,4},KHP!X111,KHP!AD111,KHP!AJ111,KHP!AP111)))</f>
        <v>0</v>
      </c>
      <c r="J111">
        <f>SUMPRODUCT((MONTH(CHOOSE({1,2,3,4},KHP!U111,KHP!AA111,KHP!AG111,KHP!AM111))=10)*(CHOOSE({1,2,3,4},KHP!X111,KHP!AD111,KHP!AJ111,KHP!AP111)))</f>
        <v>0</v>
      </c>
      <c r="K111">
        <f>SUMPRODUCT((MONTH(CHOOSE({1,2,3,4},KHP!U111,KHP!AA111,KHP!AG111,KHP!AM111))=11)*(CHOOSE({1,2,3,4},KHP!X111,KHP!AD111,KHP!AJ111,KHP!AP111)))</f>
        <v>0</v>
      </c>
      <c r="L111">
        <f>SUMPRODUCT((MONTH(CHOOSE({1,2,3,4},KHP!U111,KHP!AA111,KHP!AG111,KHP!AM111))=12)*(CHOOSE({1,2,3,4},KHP!X111,KHP!AD111,KHP!AJ111,KHP!AP111)))</f>
        <v>0</v>
      </c>
    </row>
    <row r="112" spans="1:12">
      <c r="A112">
        <f>SUMPRODUCT((MONTH(CHOOSE({1,2,3,4},KHP!U112,KHP!AA112,KHP!AG112,KHP!AM112))=1)*(CHOOSE({1,2,3,4},KHP!X112,KHP!AD112,KHP!AJ112,KHP!AP112)))</f>
        <v>0</v>
      </c>
      <c r="B112">
        <f>SUMPRODUCT((MONTH(CHOOSE({1,2,3,4},KHP!U112,KHP!AA112,KHP!AG112,KHP!AM112))=2)*(CHOOSE({1,2,3,4},KHP!X112,KHP!AD112,KHP!AJ112,KHP!AP112)))</f>
        <v>0</v>
      </c>
      <c r="C112">
        <f>SUMPRODUCT((MONTH(CHOOSE({1,2,3,4},KHP!U112,KHP!AA112,KHP!AG112,KHP!AM112))=3)*(CHOOSE({1,2,3,4},KHP!X112,KHP!AD112,KHP!AJ112,KHP!AP112)))</f>
        <v>0</v>
      </c>
      <c r="D112">
        <f>SUMPRODUCT((MONTH(CHOOSE({1,2,3,4},KHP!U112,KHP!AA112,KHP!AG112,KHP!AM112))=4)*(CHOOSE({1,2,3,4},KHP!X112,KHP!AD112,KHP!AJ112,KHP!AP112)))</f>
        <v>0</v>
      </c>
      <c r="E112">
        <f>SUMPRODUCT((MONTH(CHOOSE({1,2,3,4},KHP!U112,KHP!AA112,KHP!AG112,KHP!AM112))=5)*(CHOOSE({1,2,3,4},KHP!X112,KHP!AD112,KHP!AJ112,KHP!AP112)))</f>
        <v>0</v>
      </c>
      <c r="F112">
        <f>SUMPRODUCT((MONTH(CHOOSE({1,2,3,4},KHP!U112,KHP!AA112,KHP!AG112,KHP!AM112))=6)*(CHOOSE({1,2,3,4},KHP!X112,KHP!AD112,KHP!AJ112,KHP!AP112)))</f>
        <v>0</v>
      </c>
      <c r="G112">
        <f>SUMPRODUCT((MONTH(CHOOSE({1,2,3,4},KHP!U112,KHP!AA112,KHP!AG112,KHP!AM112))=7)*(CHOOSE({1,2,3,4},KHP!X112,KHP!AD112,KHP!AJ112,KHP!AP112)))</f>
        <v>0</v>
      </c>
      <c r="H112">
        <f>SUMPRODUCT((MONTH(CHOOSE({1,2,3,4},KHP!U112,KHP!AA112,KHP!AG112,KHP!AM112))=8)*(CHOOSE({1,2,3,4},KHP!X112,KHP!AD112,KHP!AJ112,KHP!AP112)))</f>
        <v>0</v>
      </c>
      <c r="I112">
        <f>SUMPRODUCT((MONTH(CHOOSE({1,2,3,4},KHP!U112,KHP!AA112,KHP!AG112,KHP!AM112))=9)*(CHOOSE({1,2,3,4},KHP!X112,KHP!AD112,KHP!AJ112,KHP!AP112)))</f>
        <v>0</v>
      </c>
      <c r="J112">
        <f>SUMPRODUCT((MONTH(CHOOSE({1,2,3,4},KHP!U112,KHP!AA112,KHP!AG112,KHP!AM112))=10)*(CHOOSE({1,2,3,4},KHP!X112,KHP!AD112,KHP!AJ112,KHP!AP112)))</f>
        <v>0</v>
      </c>
      <c r="K112">
        <f>SUMPRODUCT((MONTH(CHOOSE({1,2,3,4},KHP!U112,KHP!AA112,KHP!AG112,KHP!AM112))=11)*(CHOOSE({1,2,3,4},KHP!X112,KHP!AD112,KHP!AJ112,KHP!AP112)))</f>
        <v>0</v>
      </c>
      <c r="L112">
        <f>SUMPRODUCT((MONTH(CHOOSE({1,2,3,4},KHP!U112,KHP!AA112,KHP!AG112,KHP!AM112))=12)*(CHOOSE({1,2,3,4},KHP!X112,KHP!AD112,KHP!AJ112,KHP!AP112)))</f>
        <v>0</v>
      </c>
    </row>
    <row r="113" spans="1:12">
      <c r="A113">
        <f>SUMPRODUCT((MONTH(CHOOSE({1,2,3,4},KHP!U113,KHP!AA113,KHP!AG113,KHP!AM113))=1)*(CHOOSE({1,2,3,4},KHP!X113,KHP!AD113,KHP!AJ113,KHP!AP113)))</f>
        <v>0</v>
      </c>
      <c r="B113">
        <f>SUMPRODUCT((MONTH(CHOOSE({1,2,3,4},KHP!U113,KHP!AA113,KHP!AG113,KHP!AM113))=2)*(CHOOSE({1,2,3,4},KHP!X113,KHP!AD113,KHP!AJ113,KHP!AP113)))</f>
        <v>0</v>
      </c>
      <c r="C113">
        <f>SUMPRODUCT((MONTH(CHOOSE({1,2,3,4},KHP!U113,KHP!AA113,KHP!AG113,KHP!AM113))=3)*(CHOOSE({1,2,3,4},KHP!X113,KHP!AD113,KHP!AJ113,KHP!AP113)))</f>
        <v>0</v>
      </c>
      <c r="D113">
        <f>SUMPRODUCT((MONTH(CHOOSE({1,2,3,4},KHP!U113,KHP!AA113,KHP!AG113,KHP!AM113))=4)*(CHOOSE({1,2,3,4},KHP!X113,KHP!AD113,KHP!AJ113,KHP!AP113)))</f>
        <v>0</v>
      </c>
      <c r="E113">
        <f>SUMPRODUCT((MONTH(CHOOSE({1,2,3,4},KHP!U113,KHP!AA113,KHP!AG113,KHP!AM113))=5)*(CHOOSE({1,2,3,4},KHP!X113,KHP!AD113,KHP!AJ113,KHP!AP113)))</f>
        <v>0</v>
      </c>
      <c r="F113">
        <f>SUMPRODUCT((MONTH(CHOOSE({1,2,3,4},KHP!U113,KHP!AA113,KHP!AG113,KHP!AM113))=6)*(CHOOSE({1,2,3,4},KHP!X113,KHP!AD113,KHP!AJ113,KHP!AP113)))</f>
        <v>0</v>
      </c>
      <c r="G113">
        <f>SUMPRODUCT((MONTH(CHOOSE({1,2,3,4},KHP!U113,KHP!AA113,KHP!AG113,KHP!AM113))=7)*(CHOOSE({1,2,3,4},KHP!X113,KHP!AD113,KHP!AJ113,KHP!AP113)))</f>
        <v>0</v>
      </c>
      <c r="H113">
        <f>SUMPRODUCT((MONTH(CHOOSE({1,2,3,4},KHP!U113,KHP!AA113,KHP!AG113,KHP!AM113))=8)*(CHOOSE({1,2,3,4},KHP!X113,KHP!AD113,KHP!AJ113,KHP!AP113)))</f>
        <v>0</v>
      </c>
      <c r="I113">
        <f>SUMPRODUCT((MONTH(CHOOSE({1,2,3,4},KHP!U113,KHP!AA113,KHP!AG113,KHP!AM113))=9)*(CHOOSE({1,2,3,4},KHP!X113,KHP!AD113,KHP!AJ113,KHP!AP113)))</f>
        <v>0</v>
      </c>
      <c r="J113">
        <f>SUMPRODUCT((MONTH(CHOOSE({1,2,3,4},KHP!U113,KHP!AA113,KHP!AG113,KHP!AM113))=10)*(CHOOSE({1,2,3,4},KHP!X113,KHP!AD113,KHP!AJ113,KHP!AP113)))</f>
        <v>0</v>
      </c>
      <c r="K113">
        <f>SUMPRODUCT((MONTH(CHOOSE({1,2,3,4},KHP!U113,KHP!AA113,KHP!AG113,KHP!AM113))=11)*(CHOOSE({1,2,3,4},KHP!X113,KHP!AD113,KHP!AJ113,KHP!AP113)))</f>
        <v>0</v>
      </c>
      <c r="L113">
        <f>SUMPRODUCT((MONTH(CHOOSE({1,2,3,4},KHP!U113,KHP!AA113,KHP!AG113,KHP!AM113))=12)*(CHOOSE({1,2,3,4},KHP!X113,KHP!AD113,KHP!AJ113,KHP!AP113)))</f>
        <v>0</v>
      </c>
    </row>
    <row r="114" spans="1:12">
      <c r="A114">
        <f>SUMPRODUCT((MONTH(CHOOSE({1,2,3,4},KHP!U114,KHP!AA114,KHP!AG114,KHP!AM114))=1)*(CHOOSE({1,2,3,4},KHP!X114,KHP!AD114,KHP!AJ114,KHP!AP114)))</f>
        <v>0</v>
      </c>
      <c r="B114">
        <f>SUMPRODUCT((MONTH(CHOOSE({1,2,3,4},KHP!U114,KHP!AA114,KHP!AG114,KHP!AM114))=2)*(CHOOSE({1,2,3,4},KHP!X114,KHP!AD114,KHP!AJ114,KHP!AP114)))</f>
        <v>0</v>
      </c>
      <c r="C114">
        <f>SUMPRODUCT((MONTH(CHOOSE({1,2,3,4},KHP!U114,KHP!AA114,KHP!AG114,KHP!AM114))=3)*(CHOOSE({1,2,3,4},KHP!X114,KHP!AD114,KHP!AJ114,KHP!AP114)))</f>
        <v>0</v>
      </c>
      <c r="D114">
        <f>SUMPRODUCT((MONTH(CHOOSE({1,2,3,4},KHP!U114,KHP!AA114,KHP!AG114,KHP!AM114))=4)*(CHOOSE({1,2,3,4},KHP!X114,KHP!AD114,KHP!AJ114,KHP!AP114)))</f>
        <v>0</v>
      </c>
      <c r="E114">
        <f>SUMPRODUCT((MONTH(CHOOSE({1,2,3,4},KHP!U114,KHP!AA114,KHP!AG114,KHP!AM114))=5)*(CHOOSE({1,2,3,4},KHP!X114,KHP!AD114,KHP!AJ114,KHP!AP114)))</f>
        <v>0</v>
      </c>
      <c r="F114">
        <f>SUMPRODUCT((MONTH(CHOOSE({1,2,3,4},KHP!U114,KHP!AA114,KHP!AG114,KHP!AM114))=6)*(CHOOSE({1,2,3,4},KHP!X114,KHP!AD114,KHP!AJ114,KHP!AP114)))</f>
        <v>0</v>
      </c>
      <c r="G114">
        <f>SUMPRODUCT((MONTH(CHOOSE({1,2,3,4},KHP!U114,KHP!AA114,KHP!AG114,KHP!AM114))=7)*(CHOOSE({1,2,3,4},KHP!X114,KHP!AD114,KHP!AJ114,KHP!AP114)))</f>
        <v>0</v>
      </c>
      <c r="H114">
        <f>SUMPRODUCT((MONTH(CHOOSE({1,2,3,4},KHP!U114,KHP!AA114,KHP!AG114,KHP!AM114))=8)*(CHOOSE({1,2,3,4},KHP!X114,KHP!AD114,KHP!AJ114,KHP!AP114)))</f>
        <v>0</v>
      </c>
      <c r="I114">
        <f>SUMPRODUCT((MONTH(CHOOSE({1,2,3,4},KHP!U114,KHP!AA114,KHP!AG114,KHP!AM114))=9)*(CHOOSE({1,2,3,4},KHP!X114,KHP!AD114,KHP!AJ114,KHP!AP114)))</f>
        <v>0</v>
      </c>
      <c r="J114">
        <f>SUMPRODUCT((MONTH(CHOOSE({1,2,3,4},KHP!U114,KHP!AA114,KHP!AG114,KHP!AM114))=10)*(CHOOSE({1,2,3,4},KHP!X114,KHP!AD114,KHP!AJ114,KHP!AP114)))</f>
        <v>0</v>
      </c>
      <c r="K114">
        <f>SUMPRODUCT((MONTH(CHOOSE({1,2,3,4},KHP!U114,KHP!AA114,KHP!AG114,KHP!AM114))=11)*(CHOOSE({1,2,3,4},KHP!X114,KHP!AD114,KHP!AJ114,KHP!AP114)))</f>
        <v>0</v>
      </c>
      <c r="L114">
        <f>SUMPRODUCT((MONTH(CHOOSE({1,2,3,4},KHP!U114,KHP!AA114,KHP!AG114,KHP!AM114))=12)*(CHOOSE({1,2,3,4},KHP!X114,KHP!AD114,KHP!AJ114,KHP!AP114)))</f>
        <v>0</v>
      </c>
    </row>
    <row r="115" spans="1:12">
      <c r="A115">
        <f>SUMPRODUCT((MONTH(CHOOSE({1,2,3,4},KHP!U115,KHP!AA115,KHP!AG115,KHP!AM115))=1)*(CHOOSE({1,2,3,4},KHP!X115,KHP!AD115,KHP!AJ115,KHP!AP115)))</f>
        <v>0</v>
      </c>
      <c r="B115">
        <f>SUMPRODUCT((MONTH(CHOOSE({1,2,3,4},KHP!U115,KHP!AA115,KHP!AG115,KHP!AM115))=2)*(CHOOSE({1,2,3,4},KHP!X115,KHP!AD115,KHP!AJ115,KHP!AP115)))</f>
        <v>0</v>
      </c>
      <c r="C115">
        <f>SUMPRODUCT((MONTH(CHOOSE({1,2,3,4},KHP!U115,KHP!AA115,KHP!AG115,KHP!AM115))=3)*(CHOOSE({1,2,3,4},KHP!X115,KHP!AD115,KHP!AJ115,KHP!AP115)))</f>
        <v>0</v>
      </c>
      <c r="D115">
        <f>SUMPRODUCT((MONTH(CHOOSE({1,2,3,4},KHP!U115,KHP!AA115,KHP!AG115,KHP!AM115))=4)*(CHOOSE({1,2,3,4},KHP!X115,KHP!AD115,KHP!AJ115,KHP!AP115)))</f>
        <v>0</v>
      </c>
      <c r="E115">
        <f>SUMPRODUCT((MONTH(CHOOSE({1,2,3,4},KHP!U115,KHP!AA115,KHP!AG115,KHP!AM115))=5)*(CHOOSE({1,2,3,4},KHP!X115,KHP!AD115,KHP!AJ115,KHP!AP115)))</f>
        <v>0</v>
      </c>
      <c r="F115">
        <f>SUMPRODUCT((MONTH(CHOOSE({1,2,3,4},KHP!U115,KHP!AA115,KHP!AG115,KHP!AM115))=6)*(CHOOSE({1,2,3,4},KHP!X115,KHP!AD115,KHP!AJ115,KHP!AP115)))</f>
        <v>0</v>
      </c>
      <c r="G115">
        <f>SUMPRODUCT((MONTH(CHOOSE({1,2,3,4},KHP!U115,KHP!AA115,KHP!AG115,KHP!AM115))=7)*(CHOOSE({1,2,3,4},KHP!X115,KHP!AD115,KHP!AJ115,KHP!AP115)))</f>
        <v>0</v>
      </c>
      <c r="H115">
        <f>SUMPRODUCT((MONTH(CHOOSE({1,2,3,4},KHP!U115,KHP!AA115,KHP!AG115,KHP!AM115))=8)*(CHOOSE({1,2,3,4},KHP!X115,KHP!AD115,KHP!AJ115,KHP!AP115)))</f>
        <v>0</v>
      </c>
      <c r="I115">
        <f>SUMPRODUCT((MONTH(CHOOSE({1,2,3,4},KHP!U115,KHP!AA115,KHP!AG115,KHP!AM115))=9)*(CHOOSE({1,2,3,4},KHP!X115,KHP!AD115,KHP!AJ115,KHP!AP115)))</f>
        <v>0</v>
      </c>
      <c r="J115">
        <f>SUMPRODUCT((MONTH(CHOOSE({1,2,3,4},KHP!U115,KHP!AA115,KHP!AG115,KHP!AM115))=10)*(CHOOSE({1,2,3,4},KHP!X115,KHP!AD115,KHP!AJ115,KHP!AP115)))</f>
        <v>0</v>
      </c>
      <c r="K115">
        <f>SUMPRODUCT((MONTH(CHOOSE({1,2,3,4},KHP!U115,KHP!AA115,KHP!AG115,KHP!AM115))=11)*(CHOOSE({1,2,3,4},KHP!X115,KHP!AD115,KHP!AJ115,KHP!AP115)))</f>
        <v>0</v>
      </c>
      <c r="L115">
        <f>SUMPRODUCT((MONTH(CHOOSE({1,2,3,4},KHP!U115,KHP!AA115,KHP!AG115,KHP!AM115))=12)*(CHOOSE({1,2,3,4},KHP!X115,KHP!AD115,KHP!AJ115,KHP!AP115)))</f>
        <v>0</v>
      </c>
    </row>
    <row r="116" spans="1:12">
      <c r="A116">
        <f>SUMPRODUCT((MONTH(CHOOSE({1,2,3,4},KHP!U116,KHP!AA116,KHP!AG116,KHP!AM116))=1)*(CHOOSE({1,2,3,4},KHP!X116,KHP!AD116,KHP!AJ116,KHP!AP116)))</f>
        <v>0</v>
      </c>
      <c r="B116">
        <f>SUMPRODUCT((MONTH(CHOOSE({1,2,3,4},KHP!U116,KHP!AA116,KHP!AG116,KHP!AM116))=2)*(CHOOSE({1,2,3,4},KHP!X116,KHP!AD116,KHP!AJ116,KHP!AP116)))</f>
        <v>0</v>
      </c>
      <c r="C116">
        <f>SUMPRODUCT((MONTH(CHOOSE({1,2,3,4},KHP!U116,KHP!AA116,KHP!AG116,KHP!AM116))=3)*(CHOOSE({1,2,3,4},KHP!X116,KHP!AD116,KHP!AJ116,KHP!AP116)))</f>
        <v>0</v>
      </c>
      <c r="D116">
        <f>SUMPRODUCT((MONTH(CHOOSE({1,2,3,4},KHP!U116,KHP!AA116,KHP!AG116,KHP!AM116))=4)*(CHOOSE({1,2,3,4},KHP!X116,KHP!AD116,KHP!AJ116,KHP!AP116)))</f>
        <v>0</v>
      </c>
      <c r="E116">
        <f>SUMPRODUCT((MONTH(CHOOSE({1,2,3,4},KHP!U116,KHP!AA116,KHP!AG116,KHP!AM116))=5)*(CHOOSE({1,2,3,4},KHP!X116,KHP!AD116,KHP!AJ116,KHP!AP116)))</f>
        <v>0</v>
      </c>
      <c r="F116">
        <f>SUMPRODUCT((MONTH(CHOOSE({1,2,3,4},KHP!U116,KHP!AA116,KHP!AG116,KHP!AM116))=6)*(CHOOSE({1,2,3,4},KHP!X116,KHP!AD116,KHP!AJ116,KHP!AP116)))</f>
        <v>0</v>
      </c>
      <c r="G116">
        <f>SUMPRODUCT((MONTH(CHOOSE({1,2,3,4},KHP!U116,KHP!AA116,KHP!AG116,KHP!AM116))=7)*(CHOOSE({1,2,3,4},KHP!X116,KHP!AD116,KHP!AJ116,KHP!AP116)))</f>
        <v>0</v>
      </c>
      <c r="H116">
        <f>SUMPRODUCT((MONTH(CHOOSE({1,2,3,4},KHP!U116,KHP!AA116,KHP!AG116,KHP!AM116))=8)*(CHOOSE({1,2,3,4},KHP!X116,KHP!AD116,KHP!AJ116,KHP!AP116)))</f>
        <v>0</v>
      </c>
      <c r="I116">
        <f>SUMPRODUCT((MONTH(CHOOSE({1,2,3,4},KHP!U116,KHP!AA116,KHP!AG116,KHP!AM116))=9)*(CHOOSE({1,2,3,4},KHP!X116,KHP!AD116,KHP!AJ116,KHP!AP116)))</f>
        <v>0</v>
      </c>
      <c r="J116">
        <f>SUMPRODUCT((MONTH(CHOOSE({1,2,3,4},KHP!U116,KHP!AA116,KHP!AG116,KHP!AM116))=10)*(CHOOSE({1,2,3,4},KHP!X116,KHP!AD116,KHP!AJ116,KHP!AP116)))</f>
        <v>0</v>
      </c>
      <c r="K116">
        <f>SUMPRODUCT((MONTH(CHOOSE({1,2,3,4},KHP!U116,KHP!AA116,KHP!AG116,KHP!AM116))=11)*(CHOOSE({1,2,3,4},KHP!X116,KHP!AD116,KHP!AJ116,KHP!AP116)))</f>
        <v>0</v>
      </c>
      <c r="L116">
        <f>SUMPRODUCT((MONTH(CHOOSE({1,2,3,4},KHP!U116,KHP!AA116,KHP!AG116,KHP!AM116))=12)*(CHOOSE({1,2,3,4},KHP!X116,KHP!AD116,KHP!AJ116,KHP!AP116)))</f>
        <v>0</v>
      </c>
    </row>
    <row r="117" spans="1:12">
      <c r="A117">
        <f>SUMPRODUCT((MONTH(CHOOSE({1,2,3,4},KHP!U117,KHP!AA117,KHP!AG117,KHP!AM117))=1)*(CHOOSE({1,2,3,4},KHP!X117,KHP!AD117,KHP!AJ117,KHP!AP117)))</f>
        <v>0</v>
      </c>
      <c r="B117">
        <f>SUMPRODUCT((MONTH(CHOOSE({1,2,3,4},KHP!U117,KHP!AA117,KHP!AG117,KHP!AM117))=2)*(CHOOSE({1,2,3,4},KHP!X117,KHP!AD117,KHP!AJ117,KHP!AP117)))</f>
        <v>0</v>
      </c>
      <c r="C117">
        <f>SUMPRODUCT((MONTH(CHOOSE({1,2,3,4},KHP!U117,KHP!AA117,KHP!AG117,KHP!AM117))=3)*(CHOOSE({1,2,3,4},KHP!X117,KHP!AD117,KHP!AJ117,KHP!AP117)))</f>
        <v>0</v>
      </c>
      <c r="D117">
        <f>SUMPRODUCT((MONTH(CHOOSE({1,2,3,4},KHP!U117,KHP!AA117,KHP!AG117,KHP!AM117))=4)*(CHOOSE({1,2,3,4},KHP!X117,KHP!AD117,KHP!AJ117,KHP!AP117)))</f>
        <v>0</v>
      </c>
      <c r="E117">
        <f>SUMPRODUCT((MONTH(CHOOSE({1,2,3,4},KHP!U117,KHP!AA117,KHP!AG117,KHP!AM117))=5)*(CHOOSE({1,2,3,4},KHP!X117,KHP!AD117,KHP!AJ117,KHP!AP117)))</f>
        <v>0</v>
      </c>
      <c r="F117">
        <f>SUMPRODUCT((MONTH(CHOOSE({1,2,3,4},KHP!U117,KHP!AA117,KHP!AG117,KHP!AM117))=6)*(CHOOSE({1,2,3,4},KHP!X117,KHP!AD117,KHP!AJ117,KHP!AP117)))</f>
        <v>0</v>
      </c>
      <c r="G117">
        <f>SUMPRODUCT((MONTH(CHOOSE({1,2,3,4},KHP!U117,KHP!AA117,KHP!AG117,KHP!AM117))=7)*(CHOOSE({1,2,3,4},KHP!X117,KHP!AD117,KHP!AJ117,KHP!AP117)))</f>
        <v>0</v>
      </c>
      <c r="H117">
        <f>SUMPRODUCT((MONTH(CHOOSE({1,2,3,4},KHP!U117,KHP!AA117,KHP!AG117,KHP!AM117))=8)*(CHOOSE({1,2,3,4},KHP!X117,KHP!AD117,KHP!AJ117,KHP!AP117)))</f>
        <v>0</v>
      </c>
      <c r="I117">
        <f>SUMPRODUCT((MONTH(CHOOSE({1,2,3,4},KHP!U117,KHP!AA117,KHP!AG117,KHP!AM117))=9)*(CHOOSE({1,2,3,4},KHP!X117,KHP!AD117,KHP!AJ117,KHP!AP117)))</f>
        <v>0</v>
      </c>
      <c r="J117">
        <f>SUMPRODUCT((MONTH(CHOOSE({1,2,3,4},KHP!U117,KHP!AA117,KHP!AG117,KHP!AM117))=10)*(CHOOSE({1,2,3,4},KHP!X117,KHP!AD117,KHP!AJ117,KHP!AP117)))</f>
        <v>0</v>
      </c>
      <c r="K117">
        <f>SUMPRODUCT((MONTH(CHOOSE({1,2,3,4},KHP!U117,KHP!AA117,KHP!AG117,KHP!AM117))=11)*(CHOOSE({1,2,3,4},KHP!X117,KHP!AD117,KHP!AJ117,KHP!AP117)))</f>
        <v>0</v>
      </c>
      <c r="L117">
        <f>SUMPRODUCT((MONTH(CHOOSE({1,2,3,4},KHP!U117,KHP!AA117,KHP!AG117,KHP!AM117))=12)*(CHOOSE({1,2,3,4},KHP!X117,KHP!AD117,KHP!AJ117,KHP!AP117)))</f>
        <v>0</v>
      </c>
    </row>
    <row r="118" spans="1:12">
      <c r="A118">
        <f>SUMPRODUCT((MONTH(CHOOSE({1,2,3,4},KHP!U118,KHP!AA118,KHP!AG118,KHP!AM118))=1)*(CHOOSE({1,2,3,4},KHP!X118,KHP!AD118,KHP!AJ118,KHP!AP118)))</f>
        <v>0</v>
      </c>
      <c r="B118">
        <f>SUMPRODUCT((MONTH(CHOOSE({1,2,3,4},KHP!U118,KHP!AA118,KHP!AG118,KHP!AM118))=2)*(CHOOSE({1,2,3,4},KHP!X118,KHP!AD118,KHP!AJ118,KHP!AP118)))</f>
        <v>0</v>
      </c>
      <c r="C118">
        <f>SUMPRODUCT((MONTH(CHOOSE({1,2,3,4},KHP!U118,KHP!AA118,KHP!AG118,KHP!AM118))=3)*(CHOOSE({1,2,3,4},KHP!X118,KHP!AD118,KHP!AJ118,KHP!AP118)))</f>
        <v>0</v>
      </c>
      <c r="D118">
        <f>SUMPRODUCT((MONTH(CHOOSE({1,2,3,4},KHP!U118,KHP!AA118,KHP!AG118,KHP!AM118))=4)*(CHOOSE({1,2,3,4},KHP!X118,KHP!AD118,KHP!AJ118,KHP!AP118)))</f>
        <v>0</v>
      </c>
      <c r="E118">
        <f>SUMPRODUCT((MONTH(CHOOSE({1,2,3,4},KHP!U118,KHP!AA118,KHP!AG118,KHP!AM118))=5)*(CHOOSE({1,2,3,4},KHP!X118,KHP!AD118,KHP!AJ118,KHP!AP118)))</f>
        <v>0</v>
      </c>
      <c r="F118">
        <f>SUMPRODUCT((MONTH(CHOOSE({1,2,3,4},KHP!U118,KHP!AA118,KHP!AG118,KHP!AM118))=6)*(CHOOSE({1,2,3,4},KHP!X118,KHP!AD118,KHP!AJ118,KHP!AP118)))</f>
        <v>0</v>
      </c>
      <c r="G118">
        <f>SUMPRODUCT((MONTH(CHOOSE({1,2,3,4},KHP!U118,KHP!AA118,KHP!AG118,KHP!AM118))=7)*(CHOOSE({1,2,3,4},KHP!X118,KHP!AD118,KHP!AJ118,KHP!AP118)))</f>
        <v>0</v>
      </c>
      <c r="H118">
        <f>SUMPRODUCT((MONTH(CHOOSE({1,2,3,4},KHP!U118,KHP!AA118,KHP!AG118,KHP!AM118))=8)*(CHOOSE({1,2,3,4},KHP!X118,KHP!AD118,KHP!AJ118,KHP!AP118)))</f>
        <v>0</v>
      </c>
      <c r="I118">
        <f>SUMPRODUCT((MONTH(CHOOSE({1,2,3,4},KHP!U118,KHP!AA118,KHP!AG118,KHP!AM118))=9)*(CHOOSE({1,2,3,4},KHP!X118,KHP!AD118,KHP!AJ118,KHP!AP118)))</f>
        <v>0</v>
      </c>
      <c r="J118">
        <f>SUMPRODUCT((MONTH(CHOOSE({1,2,3,4},KHP!U118,KHP!AA118,KHP!AG118,KHP!AM118))=10)*(CHOOSE({1,2,3,4},KHP!X118,KHP!AD118,KHP!AJ118,KHP!AP118)))</f>
        <v>0</v>
      </c>
      <c r="K118">
        <f>SUMPRODUCT((MONTH(CHOOSE({1,2,3,4},KHP!U118,KHP!AA118,KHP!AG118,KHP!AM118))=11)*(CHOOSE({1,2,3,4},KHP!X118,KHP!AD118,KHP!AJ118,KHP!AP118)))</f>
        <v>0</v>
      </c>
      <c r="L118">
        <f>SUMPRODUCT((MONTH(CHOOSE({1,2,3,4},KHP!U118,KHP!AA118,KHP!AG118,KHP!AM118))=12)*(CHOOSE({1,2,3,4},KHP!X118,KHP!AD118,KHP!AJ118,KHP!AP118)))</f>
        <v>0</v>
      </c>
    </row>
    <row r="119" spans="1:12">
      <c r="A119">
        <f>SUMPRODUCT((MONTH(CHOOSE({1,2,3,4},KHP!U119,KHP!AA119,KHP!AG119,KHP!AM119))=1)*(CHOOSE({1,2,3,4},KHP!X119,KHP!AD119,KHP!AJ119,KHP!AP119)))</f>
        <v>0</v>
      </c>
      <c r="B119">
        <f>SUMPRODUCT((MONTH(CHOOSE({1,2,3,4},KHP!U119,KHP!AA119,KHP!AG119,KHP!AM119))=2)*(CHOOSE({1,2,3,4},KHP!X119,KHP!AD119,KHP!AJ119,KHP!AP119)))</f>
        <v>0</v>
      </c>
      <c r="C119">
        <f>SUMPRODUCT((MONTH(CHOOSE({1,2,3,4},KHP!U119,KHP!AA119,KHP!AG119,KHP!AM119))=3)*(CHOOSE({1,2,3,4},KHP!X119,KHP!AD119,KHP!AJ119,KHP!AP119)))</f>
        <v>0</v>
      </c>
      <c r="D119">
        <f>SUMPRODUCT((MONTH(CHOOSE({1,2,3,4},KHP!U119,KHP!AA119,KHP!AG119,KHP!AM119))=4)*(CHOOSE({1,2,3,4},KHP!X119,KHP!AD119,KHP!AJ119,KHP!AP119)))</f>
        <v>0</v>
      </c>
      <c r="E119">
        <f>SUMPRODUCT((MONTH(CHOOSE({1,2,3,4},KHP!U119,KHP!AA119,KHP!AG119,KHP!AM119))=5)*(CHOOSE({1,2,3,4},KHP!X119,KHP!AD119,KHP!AJ119,KHP!AP119)))</f>
        <v>0</v>
      </c>
      <c r="F119">
        <f>SUMPRODUCT((MONTH(CHOOSE({1,2,3,4},KHP!U119,KHP!AA119,KHP!AG119,KHP!AM119))=6)*(CHOOSE({1,2,3,4},KHP!X119,KHP!AD119,KHP!AJ119,KHP!AP119)))</f>
        <v>0</v>
      </c>
      <c r="G119">
        <f>SUMPRODUCT((MONTH(CHOOSE({1,2,3,4},KHP!U119,KHP!AA119,KHP!AG119,KHP!AM119))=7)*(CHOOSE({1,2,3,4},KHP!X119,KHP!AD119,KHP!AJ119,KHP!AP119)))</f>
        <v>0</v>
      </c>
      <c r="H119">
        <f>SUMPRODUCT((MONTH(CHOOSE({1,2,3,4},KHP!U119,KHP!AA119,KHP!AG119,KHP!AM119))=8)*(CHOOSE({1,2,3,4},KHP!X119,KHP!AD119,KHP!AJ119,KHP!AP119)))</f>
        <v>0</v>
      </c>
      <c r="I119">
        <f>SUMPRODUCT((MONTH(CHOOSE({1,2,3,4},KHP!U119,KHP!AA119,KHP!AG119,KHP!AM119))=9)*(CHOOSE({1,2,3,4},KHP!X119,KHP!AD119,KHP!AJ119,KHP!AP119)))</f>
        <v>0</v>
      </c>
      <c r="J119">
        <f>SUMPRODUCT((MONTH(CHOOSE({1,2,3,4},KHP!U119,KHP!AA119,KHP!AG119,KHP!AM119))=10)*(CHOOSE({1,2,3,4},KHP!X119,KHP!AD119,KHP!AJ119,KHP!AP119)))</f>
        <v>0</v>
      </c>
      <c r="K119">
        <f>SUMPRODUCT((MONTH(CHOOSE({1,2,3,4},KHP!U119,KHP!AA119,KHP!AG119,KHP!AM119))=11)*(CHOOSE({1,2,3,4},KHP!X119,KHP!AD119,KHP!AJ119,KHP!AP119)))</f>
        <v>0</v>
      </c>
      <c r="L119">
        <f>SUMPRODUCT((MONTH(CHOOSE({1,2,3,4},KHP!U119,KHP!AA119,KHP!AG119,KHP!AM119))=12)*(CHOOSE({1,2,3,4},KHP!X119,KHP!AD119,KHP!AJ119,KHP!AP119)))</f>
        <v>0</v>
      </c>
    </row>
    <row r="120" spans="1:12">
      <c r="A120">
        <f>SUMPRODUCT((MONTH(CHOOSE({1,2,3,4},KHP!U120,KHP!AA120,KHP!AG120,KHP!AM120))=1)*(CHOOSE({1,2,3,4},KHP!X120,KHP!AD120,KHP!AJ120,KHP!AP120)))</f>
        <v>0</v>
      </c>
      <c r="B120">
        <f>SUMPRODUCT((MONTH(CHOOSE({1,2,3,4},KHP!U120,KHP!AA120,KHP!AG120,KHP!AM120))=2)*(CHOOSE({1,2,3,4},KHP!X120,KHP!AD120,KHP!AJ120,KHP!AP120)))</f>
        <v>0</v>
      </c>
      <c r="C120">
        <f>SUMPRODUCT((MONTH(CHOOSE({1,2,3,4},KHP!U120,KHP!AA120,KHP!AG120,KHP!AM120))=3)*(CHOOSE({1,2,3,4},KHP!X120,KHP!AD120,KHP!AJ120,KHP!AP120)))</f>
        <v>0</v>
      </c>
      <c r="D120">
        <f>SUMPRODUCT((MONTH(CHOOSE({1,2,3,4},KHP!U120,KHP!AA120,KHP!AG120,KHP!AM120))=4)*(CHOOSE({1,2,3,4},KHP!X120,KHP!AD120,KHP!AJ120,KHP!AP120)))</f>
        <v>0</v>
      </c>
      <c r="E120">
        <f>SUMPRODUCT((MONTH(CHOOSE({1,2,3,4},KHP!U120,KHP!AA120,KHP!AG120,KHP!AM120))=5)*(CHOOSE({1,2,3,4},KHP!X120,KHP!AD120,KHP!AJ120,KHP!AP120)))</f>
        <v>0</v>
      </c>
      <c r="F120">
        <f>SUMPRODUCT((MONTH(CHOOSE({1,2,3,4},KHP!U120,KHP!AA120,KHP!AG120,KHP!AM120))=6)*(CHOOSE({1,2,3,4},KHP!X120,KHP!AD120,KHP!AJ120,KHP!AP120)))</f>
        <v>0</v>
      </c>
      <c r="G120">
        <f>SUMPRODUCT((MONTH(CHOOSE({1,2,3,4},KHP!U120,KHP!AA120,KHP!AG120,KHP!AM120))=7)*(CHOOSE({1,2,3,4},KHP!X120,KHP!AD120,KHP!AJ120,KHP!AP120)))</f>
        <v>0</v>
      </c>
      <c r="H120">
        <f>SUMPRODUCT((MONTH(CHOOSE({1,2,3,4},KHP!U120,KHP!AA120,KHP!AG120,KHP!AM120))=8)*(CHOOSE({1,2,3,4},KHP!X120,KHP!AD120,KHP!AJ120,KHP!AP120)))</f>
        <v>0</v>
      </c>
      <c r="I120">
        <f>SUMPRODUCT((MONTH(CHOOSE({1,2,3,4},KHP!U120,KHP!AA120,KHP!AG120,KHP!AM120))=9)*(CHOOSE({1,2,3,4},KHP!X120,KHP!AD120,KHP!AJ120,KHP!AP120)))</f>
        <v>0</v>
      </c>
      <c r="J120">
        <f>SUMPRODUCT((MONTH(CHOOSE({1,2,3,4},KHP!U120,KHP!AA120,KHP!AG120,KHP!AM120))=10)*(CHOOSE({1,2,3,4},KHP!X120,KHP!AD120,KHP!AJ120,KHP!AP120)))</f>
        <v>0</v>
      </c>
      <c r="K120">
        <f>SUMPRODUCT((MONTH(CHOOSE({1,2,3,4},KHP!U120,KHP!AA120,KHP!AG120,KHP!AM120))=11)*(CHOOSE({1,2,3,4},KHP!X120,KHP!AD120,KHP!AJ120,KHP!AP120)))</f>
        <v>0</v>
      </c>
      <c r="L120">
        <f>SUMPRODUCT((MONTH(CHOOSE({1,2,3,4},KHP!U120,KHP!AA120,KHP!AG120,KHP!AM120))=12)*(CHOOSE({1,2,3,4},KHP!X120,KHP!AD120,KHP!AJ120,KHP!AP120)))</f>
        <v>0</v>
      </c>
    </row>
    <row r="121" spans="1:12">
      <c r="A121">
        <f>SUMPRODUCT((MONTH(CHOOSE({1,2,3,4},KHP!U121,KHP!AA121,KHP!AG121,KHP!AM121))=1)*(CHOOSE({1,2,3,4},KHP!X121,KHP!AD121,KHP!AJ121,KHP!AP121)))</f>
        <v>0</v>
      </c>
      <c r="B121">
        <f>SUMPRODUCT((MONTH(CHOOSE({1,2,3,4},KHP!U121,KHP!AA121,KHP!AG121,KHP!AM121))=2)*(CHOOSE({1,2,3,4},KHP!X121,KHP!AD121,KHP!AJ121,KHP!AP121)))</f>
        <v>0</v>
      </c>
      <c r="C121">
        <f>SUMPRODUCT((MONTH(CHOOSE({1,2,3,4},KHP!U121,KHP!AA121,KHP!AG121,KHP!AM121))=3)*(CHOOSE({1,2,3,4},KHP!X121,KHP!AD121,KHP!AJ121,KHP!AP121)))</f>
        <v>0</v>
      </c>
      <c r="D121">
        <f>SUMPRODUCT((MONTH(CHOOSE({1,2,3,4},KHP!U121,KHP!AA121,KHP!AG121,KHP!AM121))=4)*(CHOOSE({1,2,3,4},KHP!X121,KHP!AD121,KHP!AJ121,KHP!AP121)))</f>
        <v>0</v>
      </c>
      <c r="E121">
        <f>SUMPRODUCT((MONTH(CHOOSE({1,2,3,4},KHP!U121,KHP!AA121,KHP!AG121,KHP!AM121))=5)*(CHOOSE({1,2,3,4},KHP!X121,KHP!AD121,KHP!AJ121,KHP!AP121)))</f>
        <v>0</v>
      </c>
      <c r="F121">
        <f>SUMPRODUCT((MONTH(CHOOSE({1,2,3,4},KHP!U121,KHP!AA121,KHP!AG121,KHP!AM121))=6)*(CHOOSE({1,2,3,4},KHP!X121,KHP!AD121,KHP!AJ121,KHP!AP121)))</f>
        <v>0</v>
      </c>
      <c r="G121">
        <f>SUMPRODUCT((MONTH(CHOOSE({1,2,3,4},KHP!U121,KHP!AA121,KHP!AG121,KHP!AM121))=7)*(CHOOSE({1,2,3,4},KHP!X121,KHP!AD121,KHP!AJ121,KHP!AP121)))</f>
        <v>0</v>
      </c>
      <c r="H121">
        <f>SUMPRODUCT((MONTH(CHOOSE({1,2,3,4},KHP!U121,KHP!AA121,KHP!AG121,KHP!AM121))=8)*(CHOOSE({1,2,3,4},KHP!X121,KHP!AD121,KHP!AJ121,KHP!AP121)))</f>
        <v>0</v>
      </c>
      <c r="I121">
        <f>SUMPRODUCT((MONTH(CHOOSE({1,2,3,4},KHP!U121,KHP!AA121,KHP!AG121,KHP!AM121))=9)*(CHOOSE({1,2,3,4},KHP!X121,KHP!AD121,KHP!AJ121,KHP!AP121)))</f>
        <v>0</v>
      </c>
      <c r="J121">
        <f>SUMPRODUCT((MONTH(CHOOSE({1,2,3,4},KHP!U121,KHP!AA121,KHP!AG121,KHP!AM121))=10)*(CHOOSE({1,2,3,4},KHP!X121,KHP!AD121,KHP!AJ121,KHP!AP121)))</f>
        <v>0</v>
      </c>
      <c r="K121">
        <f>SUMPRODUCT((MONTH(CHOOSE({1,2,3,4},KHP!U121,KHP!AA121,KHP!AG121,KHP!AM121))=11)*(CHOOSE({1,2,3,4},KHP!X121,KHP!AD121,KHP!AJ121,KHP!AP121)))</f>
        <v>0</v>
      </c>
      <c r="L121">
        <f>SUMPRODUCT((MONTH(CHOOSE({1,2,3,4},KHP!U121,KHP!AA121,KHP!AG121,KHP!AM121))=12)*(CHOOSE({1,2,3,4},KHP!X121,KHP!AD121,KHP!AJ121,KHP!AP121)))</f>
        <v>0</v>
      </c>
    </row>
    <row r="122" spans="1:12">
      <c r="A122">
        <f>SUMPRODUCT((MONTH(CHOOSE({1,2,3,4},KHP!U122,KHP!AA122,KHP!AG122,KHP!AM122))=1)*(CHOOSE({1,2,3,4},KHP!X122,KHP!AD122,KHP!AJ122,KHP!AP122)))</f>
        <v>0</v>
      </c>
      <c r="B122">
        <f>SUMPRODUCT((MONTH(CHOOSE({1,2,3,4},KHP!U122,KHP!AA122,KHP!AG122,KHP!AM122))=2)*(CHOOSE({1,2,3,4},KHP!X122,KHP!AD122,KHP!AJ122,KHP!AP122)))</f>
        <v>0</v>
      </c>
      <c r="C122">
        <f>SUMPRODUCT((MONTH(CHOOSE({1,2,3,4},KHP!U122,KHP!AA122,KHP!AG122,KHP!AM122))=3)*(CHOOSE({1,2,3,4},KHP!X122,KHP!AD122,KHP!AJ122,KHP!AP122)))</f>
        <v>0</v>
      </c>
      <c r="D122">
        <f>SUMPRODUCT((MONTH(CHOOSE({1,2,3,4},KHP!U122,KHP!AA122,KHP!AG122,KHP!AM122))=4)*(CHOOSE({1,2,3,4},KHP!X122,KHP!AD122,KHP!AJ122,KHP!AP122)))</f>
        <v>0</v>
      </c>
      <c r="E122">
        <f>SUMPRODUCT((MONTH(CHOOSE({1,2,3,4},KHP!U122,KHP!AA122,KHP!AG122,KHP!AM122))=5)*(CHOOSE({1,2,3,4},KHP!X122,KHP!AD122,KHP!AJ122,KHP!AP122)))</f>
        <v>0</v>
      </c>
      <c r="F122">
        <f>SUMPRODUCT((MONTH(CHOOSE({1,2,3,4},KHP!U122,KHP!AA122,KHP!AG122,KHP!AM122))=6)*(CHOOSE({1,2,3,4},KHP!X122,KHP!AD122,KHP!AJ122,KHP!AP122)))</f>
        <v>0</v>
      </c>
      <c r="G122">
        <f>SUMPRODUCT((MONTH(CHOOSE({1,2,3,4},KHP!U122,KHP!AA122,KHP!AG122,KHP!AM122))=7)*(CHOOSE({1,2,3,4},KHP!X122,KHP!AD122,KHP!AJ122,KHP!AP122)))</f>
        <v>0</v>
      </c>
      <c r="H122">
        <f>SUMPRODUCT((MONTH(CHOOSE({1,2,3,4},KHP!U122,KHP!AA122,KHP!AG122,KHP!AM122))=8)*(CHOOSE({1,2,3,4},KHP!X122,KHP!AD122,KHP!AJ122,KHP!AP122)))</f>
        <v>0</v>
      </c>
      <c r="I122">
        <f>SUMPRODUCT((MONTH(CHOOSE({1,2,3,4},KHP!U122,KHP!AA122,KHP!AG122,KHP!AM122))=9)*(CHOOSE({1,2,3,4},KHP!X122,KHP!AD122,KHP!AJ122,KHP!AP122)))</f>
        <v>0</v>
      </c>
      <c r="J122">
        <f>SUMPRODUCT((MONTH(CHOOSE({1,2,3,4},KHP!U122,KHP!AA122,KHP!AG122,KHP!AM122))=10)*(CHOOSE({1,2,3,4},KHP!X122,KHP!AD122,KHP!AJ122,KHP!AP122)))</f>
        <v>0</v>
      </c>
      <c r="K122">
        <f>SUMPRODUCT((MONTH(CHOOSE({1,2,3,4},KHP!U122,KHP!AA122,KHP!AG122,KHP!AM122))=11)*(CHOOSE({1,2,3,4},KHP!X122,KHP!AD122,KHP!AJ122,KHP!AP122)))</f>
        <v>0</v>
      </c>
      <c r="L122">
        <f>SUMPRODUCT((MONTH(CHOOSE({1,2,3,4},KHP!U122,KHP!AA122,KHP!AG122,KHP!AM122))=12)*(CHOOSE({1,2,3,4},KHP!X122,KHP!AD122,KHP!AJ122,KHP!AP122)))</f>
        <v>0</v>
      </c>
    </row>
    <row r="123" spans="1:12">
      <c r="A123">
        <f>SUMPRODUCT((MONTH(CHOOSE({1,2,3,4},KHP!U123,KHP!AA123,KHP!AG123,KHP!AM123))=1)*(CHOOSE({1,2,3,4},KHP!X123,KHP!AD123,KHP!AJ123,KHP!AP123)))</f>
        <v>0</v>
      </c>
      <c r="B123">
        <f>SUMPRODUCT((MONTH(CHOOSE({1,2,3,4},KHP!U123,KHP!AA123,KHP!AG123,KHP!AM123))=2)*(CHOOSE({1,2,3,4},KHP!X123,KHP!AD123,KHP!AJ123,KHP!AP123)))</f>
        <v>0</v>
      </c>
      <c r="C123">
        <f>SUMPRODUCT((MONTH(CHOOSE({1,2,3,4},KHP!U123,KHP!AA123,KHP!AG123,KHP!AM123))=3)*(CHOOSE({1,2,3,4},KHP!X123,KHP!AD123,KHP!AJ123,KHP!AP123)))</f>
        <v>0</v>
      </c>
      <c r="D123">
        <f>SUMPRODUCT((MONTH(CHOOSE({1,2,3,4},KHP!U123,KHP!AA123,KHP!AG123,KHP!AM123))=4)*(CHOOSE({1,2,3,4},KHP!X123,KHP!AD123,KHP!AJ123,KHP!AP123)))</f>
        <v>0</v>
      </c>
      <c r="E123">
        <f>SUMPRODUCT((MONTH(CHOOSE({1,2,3,4},KHP!U123,KHP!AA123,KHP!AG123,KHP!AM123))=5)*(CHOOSE({1,2,3,4},KHP!X123,KHP!AD123,KHP!AJ123,KHP!AP123)))</f>
        <v>0</v>
      </c>
      <c r="F123">
        <f>SUMPRODUCT((MONTH(CHOOSE({1,2,3,4},KHP!U123,KHP!AA123,KHP!AG123,KHP!AM123))=6)*(CHOOSE({1,2,3,4},KHP!X123,KHP!AD123,KHP!AJ123,KHP!AP123)))</f>
        <v>0</v>
      </c>
      <c r="G123">
        <f>SUMPRODUCT((MONTH(CHOOSE({1,2,3,4},KHP!U123,KHP!AA123,KHP!AG123,KHP!AM123))=7)*(CHOOSE({1,2,3,4},KHP!X123,KHP!AD123,KHP!AJ123,KHP!AP123)))</f>
        <v>0</v>
      </c>
      <c r="H123">
        <f>SUMPRODUCT((MONTH(CHOOSE({1,2,3,4},KHP!U123,KHP!AA123,KHP!AG123,KHP!AM123))=8)*(CHOOSE({1,2,3,4},KHP!X123,KHP!AD123,KHP!AJ123,KHP!AP123)))</f>
        <v>0</v>
      </c>
      <c r="I123">
        <f>SUMPRODUCT((MONTH(CHOOSE({1,2,3,4},KHP!U123,KHP!AA123,KHP!AG123,KHP!AM123))=9)*(CHOOSE({1,2,3,4},KHP!X123,KHP!AD123,KHP!AJ123,KHP!AP123)))</f>
        <v>0</v>
      </c>
      <c r="J123">
        <f>SUMPRODUCT((MONTH(CHOOSE({1,2,3,4},KHP!U123,KHP!AA123,KHP!AG123,KHP!AM123))=10)*(CHOOSE({1,2,3,4},KHP!X123,KHP!AD123,KHP!AJ123,KHP!AP123)))</f>
        <v>0</v>
      </c>
      <c r="K123">
        <f>SUMPRODUCT((MONTH(CHOOSE({1,2,3,4},KHP!U123,KHP!AA123,KHP!AG123,KHP!AM123))=11)*(CHOOSE({1,2,3,4},KHP!X123,KHP!AD123,KHP!AJ123,KHP!AP123)))</f>
        <v>0</v>
      </c>
      <c r="L123">
        <f>SUMPRODUCT((MONTH(CHOOSE({1,2,3,4},KHP!U123,KHP!AA123,KHP!AG123,KHP!AM123))=12)*(CHOOSE({1,2,3,4},KHP!X123,KHP!AD123,KHP!AJ123,KHP!AP123)))</f>
        <v>0</v>
      </c>
    </row>
    <row r="124" spans="1:12">
      <c r="A124">
        <f>SUMPRODUCT((MONTH(CHOOSE({1,2,3,4},KHP!U124,KHP!AA124,KHP!AG124,KHP!AM124))=1)*(CHOOSE({1,2,3,4},KHP!X124,KHP!AD124,KHP!AJ124,KHP!AP124)))</f>
        <v>0</v>
      </c>
      <c r="B124">
        <f>SUMPRODUCT((MONTH(CHOOSE({1,2,3,4},KHP!U124,KHP!AA124,KHP!AG124,KHP!AM124))=2)*(CHOOSE({1,2,3,4},KHP!X124,KHP!AD124,KHP!AJ124,KHP!AP124)))</f>
        <v>0</v>
      </c>
      <c r="C124">
        <f>SUMPRODUCT((MONTH(CHOOSE({1,2,3,4},KHP!U124,KHP!AA124,KHP!AG124,KHP!AM124))=3)*(CHOOSE({1,2,3,4},KHP!X124,KHP!AD124,KHP!AJ124,KHP!AP124)))</f>
        <v>0</v>
      </c>
      <c r="D124">
        <f>SUMPRODUCT((MONTH(CHOOSE({1,2,3,4},KHP!U124,KHP!AA124,KHP!AG124,KHP!AM124))=4)*(CHOOSE({1,2,3,4},KHP!X124,KHP!AD124,KHP!AJ124,KHP!AP124)))</f>
        <v>0</v>
      </c>
      <c r="E124">
        <f>SUMPRODUCT((MONTH(CHOOSE({1,2,3,4},KHP!U124,KHP!AA124,KHP!AG124,KHP!AM124))=5)*(CHOOSE({1,2,3,4},KHP!X124,KHP!AD124,KHP!AJ124,KHP!AP124)))</f>
        <v>0</v>
      </c>
      <c r="F124">
        <f>SUMPRODUCT((MONTH(CHOOSE({1,2,3,4},KHP!U124,KHP!AA124,KHP!AG124,KHP!AM124))=6)*(CHOOSE({1,2,3,4},KHP!X124,KHP!AD124,KHP!AJ124,KHP!AP124)))</f>
        <v>0</v>
      </c>
      <c r="G124">
        <f>SUMPRODUCT((MONTH(CHOOSE({1,2,3,4},KHP!U124,KHP!AA124,KHP!AG124,KHP!AM124))=7)*(CHOOSE({1,2,3,4},KHP!X124,KHP!AD124,KHP!AJ124,KHP!AP124)))</f>
        <v>0</v>
      </c>
      <c r="H124">
        <f>SUMPRODUCT((MONTH(CHOOSE({1,2,3,4},KHP!U124,KHP!AA124,KHP!AG124,KHP!AM124))=8)*(CHOOSE({1,2,3,4},KHP!X124,KHP!AD124,KHP!AJ124,KHP!AP124)))</f>
        <v>0</v>
      </c>
      <c r="I124">
        <f>SUMPRODUCT((MONTH(CHOOSE({1,2,3,4},KHP!U124,KHP!AA124,KHP!AG124,KHP!AM124))=9)*(CHOOSE({1,2,3,4},KHP!X124,KHP!AD124,KHP!AJ124,KHP!AP124)))</f>
        <v>0</v>
      </c>
      <c r="J124">
        <f>SUMPRODUCT((MONTH(CHOOSE({1,2,3,4},KHP!U124,KHP!AA124,KHP!AG124,KHP!AM124))=10)*(CHOOSE({1,2,3,4},KHP!X124,KHP!AD124,KHP!AJ124,KHP!AP124)))</f>
        <v>0</v>
      </c>
      <c r="K124">
        <f>SUMPRODUCT((MONTH(CHOOSE({1,2,3,4},KHP!U124,KHP!AA124,KHP!AG124,KHP!AM124))=11)*(CHOOSE({1,2,3,4},KHP!X124,KHP!AD124,KHP!AJ124,KHP!AP124)))</f>
        <v>0</v>
      </c>
      <c r="L124">
        <f>SUMPRODUCT((MONTH(CHOOSE({1,2,3,4},KHP!U124,KHP!AA124,KHP!AG124,KHP!AM124))=12)*(CHOOSE({1,2,3,4},KHP!X124,KHP!AD124,KHP!AJ124,KHP!AP124)))</f>
        <v>0</v>
      </c>
    </row>
    <row r="125" spans="1:12">
      <c r="A125">
        <f>SUMPRODUCT((MONTH(CHOOSE({1,2,3,4},KHP!U125,KHP!AA125,KHP!AG125,KHP!AM125))=1)*(CHOOSE({1,2,3,4},KHP!X125,KHP!AD125,KHP!AJ125,KHP!AP125)))</f>
        <v>0</v>
      </c>
      <c r="B125">
        <f>SUMPRODUCT((MONTH(CHOOSE({1,2,3,4},KHP!U125,KHP!AA125,KHP!AG125,KHP!AM125))=2)*(CHOOSE({1,2,3,4},KHP!X125,KHP!AD125,KHP!AJ125,KHP!AP125)))</f>
        <v>0</v>
      </c>
      <c r="C125">
        <f>SUMPRODUCT((MONTH(CHOOSE({1,2,3,4},KHP!U125,KHP!AA125,KHP!AG125,KHP!AM125))=3)*(CHOOSE({1,2,3,4},KHP!X125,KHP!AD125,KHP!AJ125,KHP!AP125)))</f>
        <v>0</v>
      </c>
      <c r="D125">
        <f>SUMPRODUCT((MONTH(CHOOSE({1,2,3,4},KHP!U125,KHP!AA125,KHP!AG125,KHP!AM125))=4)*(CHOOSE({1,2,3,4},KHP!X125,KHP!AD125,KHP!AJ125,KHP!AP125)))</f>
        <v>0</v>
      </c>
      <c r="E125">
        <f>SUMPRODUCT((MONTH(CHOOSE({1,2,3,4},KHP!U125,KHP!AA125,KHP!AG125,KHP!AM125))=5)*(CHOOSE({1,2,3,4},KHP!X125,KHP!AD125,KHP!AJ125,KHP!AP125)))</f>
        <v>0</v>
      </c>
      <c r="F125">
        <f>SUMPRODUCT((MONTH(CHOOSE({1,2,3,4},KHP!U125,KHP!AA125,KHP!AG125,KHP!AM125))=6)*(CHOOSE({1,2,3,4},KHP!X125,KHP!AD125,KHP!AJ125,KHP!AP125)))</f>
        <v>0</v>
      </c>
      <c r="G125">
        <f>SUMPRODUCT((MONTH(CHOOSE({1,2,3,4},KHP!U125,KHP!AA125,KHP!AG125,KHP!AM125))=7)*(CHOOSE({1,2,3,4},KHP!X125,KHP!AD125,KHP!AJ125,KHP!AP125)))</f>
        <v>0</v>
      </c>
      <c r="H125">
        <f>SUMPRODUCT((MONTH(CHOOSE({1,2,3,4},KHP!U125,KHP!AA125,KHP!AG125,KHP!AM125))=8)*(CHOOSE({1,2,3,4},KHP!X125,KHP!AD125,KHP!AJ125,KHP!AP125)))</f>
        <v>0</v>
      </c>
      <c r="I125">
        <f>SUMPRODUCT((MONTH(CHOOSE({1,2,3,4},KHP!U125,KHP!AA125,KHP!AG125,KHP!AM125))=9)*(CHOOSE({1,2,3,4},KHP!X125,KHP!AD125,KHP!AJ125,KHP!AP125)))</f>
        <v>0</v>
      </c>
      <c r="J125">
        <f>SUMPRODUCT((MONTH(CHOOSE({1,2,3,4},KHP!U125,KHP!AA125,KHP!AG125,KHP!AM125))=10)*(CHOOSE({1,2,3,4},KHP!X125,KHP!AD125,KHP!AJ125,KHP!AP125)))</f>
        <v>0</v>
      </c>
      <c r="K125">
        <f>SUMPRODUCT((MONTH(CHOOSE({1,2,3,4},KHP!U125,KHP!AA125,KHP!AG125,KHP!AM125))=11)*(CHOOSE({1,2,3,4},KHP!X125,KHP!AD125,KHP!AJ125,KHP!AP125)))</f>
        <v>0</v>
      </c>
      <c r="L125">
        <f>SUMPRODUCT((MONTH(CHOOSE({1,2,3,4},KHP!U125,KHP!AA125,KHP!AG125,KHP!AM125))=12)*(CHOOSE({1,2,3,4},KHP!X125,KHP!AD125,KHP!AJ125,KHP!AP125)))</f>
        <v>0</v>
      </c>
    </row>
    <row r="126" spans="1:12">
      <c r="A126">
        <f>SUMPRODUCT((MONTH(CHOOSE({1,2,3,4},KHP!U126,KHP!AA126,KHP!AG126,KHP!AM126))=1)*(CHOOSE({1,2,3,4},KHP!X126,KHP!AD126,KHP!AJ126,KHP!AP126)))</f>
        <v>0</v>
      </c>
      <c r="B126">
        <f>SUMPRODUCT((MONTH(CHOOSE({1,2,3,4},KHP!U126,KHP!AA126,KHP!AG126,KHP!AM126))=2)*(CHOOSE({1,2,3,4},KHP!X126,KHP!AD126,KHP!AJ126,KHP!AP126)))</f>
        <v>0</v>
      </c>
      <c r="C126">
        <f>SUMPRODUCT((MONTH(CHOOSE({1,2,3,4},KHP!U126,KHP!AA126,KHP!AG126,KHP!AM126))=3)*(CHOOSE({1,2,3,4},KHP!X126,KHP!AD126,KHP!AJ126,KHP!AP126)))</f>
        <v>0</v>
      </c>
      <c r="D126">
        <f>SUMPRODUCT((MONTH(CHOOSE({1,2,3,4},KHP!U126,KHP!AA126,KHP!AG126,KHP!AM126))=4)*(CHOOSE({1,2,3,4},KHP!X126,KHP!AD126,KHP!AJ126,KHP!AP126)))</f>
        <v>0</v>
      </c>
      <c r="E126">
        <f>SUMPRODUCT((MONTH(CHOOSE({1,2,3,4},KHP!U126,KHP!AA126,KHP!AG126,KHP!AM126))=5)*(CHOOSE({1,2,3,4},KHP!X126,KHP!AD126,KHP!AJ126,KHP!AP126)))</f>
        <v>0</v>
      </c>
      <c r="F126">
        <f>SUMPRODUCT((MONTH(CHOOSE({1,2,3,4},KHP!U126,KHP!AA126,KHP!AG126,KHP!AM126))=6)*(CHOOSE({1,2,3,4},KHP!X126,KHP!AD126,KHP!AJ126,KHP!AP126)))</f>
        <v>0</v>
      </c>
      <c r="G126">
        <f>SUMPRODUCT((MONTH(CHOOSE({1,2,3,4},KHP!U126,KHP!AA126,KHP!AG126,KHP!AM126))=7)*(CHOOSE({1,2,3,4},KHP!X126,KHP!AD126,KHP!AJ126,KHP!AP126)))</f>
        <v>0</v>
      </c>
      <c r="H126">
        <f>SUMPRODUCT((MONTH(CHOOSE({1,2,3,4},KHP!U126,KHP!AA126,KHP!AG126,KHP!AM126))=8)*(CHOOSE({1,2,3,4},KHP!X126,KHP!AD126,KHP!AJ126,KHP!AP126)))</f>
        <v>0</v>
      </c>
      <c r="I126">
        <f>SUMPRODUCT((MONTH(CHOOSE({1,2,3,4},KHP!U126,KHP!AA126,KHP!AG126,KHP!AM126))=9)*(CHOOSE({1,2,3,4},KHP!X126,KHP!AD126,KHP!AJ126,KHP!AP126)))</f>
        <v>0</v>
      </c>
      <c r="J126">
        <f>SUMPRODUCT((MONTH(CHOOSE({1,2,3,4},KHP!U126,KHP!AA126,KHP!AG126,KHP!AM126))=10)*(CHOOSE({1,2,3,4},KHP!X126,KHP!AD126,KHP!AJ126,KHP!AP126)))</f>
        <v>0</v>
      </c>
      <c r="K126">
        <f>SUMPRODUCT((MONTH(CHOOSE({1,2,3,4},KHP!U126,KHP!AA126,KHP!AG126,KHP!AM126))=11)*(CHOOSE({1,2,3,4},KHP!X126,KHP!AD126,KHP!AJ126,KHP!AP126)))</f>
        <v>0</v>
      </c>
      <c r="L126">
        <f>SUMPRODUCT((MONTH(CHOOSE({1,2,3,4},KHP!U126,KHP!AA126,KHP!AG126,KHP!AM126))=12)*(CHOOSE({1,2,3,4},KHP!X126,KHP!AD126,KHP!AJ126,KHP!AP126)))</f>
        <v>0</v>
      </c>
    </row>
    <row r="127" spans="1:12">
      <c r="A127">
        <f>SUMPRODUCT((MONTH(CHOOSE({1,2,3,4},KHP!U127,KHP!AA127,KHP!AG127,KHP!AM127))=1)*(CHOOSE({1,2,3,4},KHP!X127,KHP!AD127,KHP!AJ127,KHP!AP127)))</f>
        <v>0</v>
      </c>
      <c r="B127">
        <f>SUMPRODUCT((MONTH(CHOOSE({1,2,3,4},KHP!U127,KHP!AA127,KHP!AG127,KHP!AM127))=2)*(CHOOSE({1,2,3,4},KHP!X127,KHP!AD127,KHP!AJ127,KHP!AP127)))</f>
        <v>0</v>
      </c>
      <c r="C127">
        <f>SUMPRODUCT((MONTH(CHOOSE({1,2,3,4},KHP!U127,KHP!AA127,KHP!AG127,KHP!AM127))=3)*(CHOOSE({1,2,3,4},KHP!X127,KHP!AD127,KHP!AJ127,KHP!AP127)))</f>
        <v>0</v>
      </c>
      <c r="D127">
        <f>SUMPRODUCT((MONTH(CHOOSE({1,2,3,4},KHP!U127,KHP!AA127,KHP!AG127,KHP!AM127))=4)*(CHOOSE({1,2,3,4},KHP!X127,KHP!AD127,KHP!AJ127,KHP!AP127)))</f>
        <v>0</v>
      </c>
      <c r="E127">
        <f>SUMPRODUCT((MONTH(CHOOSE({1,2,3,4},KHP!U127,KHP!AA127,KHP!AG127,KHP!AM127))=5)*(CHOOSE({1,2,3,4},KHP!X127,KHP!AD127,KHP!AJ127,KHP!AP127)))</f>
        <v>0</v>
      </c>
      <c r="F127">
        <f>SUMPRODUCT((MONTH(CHOOSE({1,2,3,4},KHP!U127,KHP!AA127,KHP!AG127,KHP!AM127))=6)*(CHOOSE({1,2,3,4},KHP!X127,KHP!AD127,KHP!AJ127,KHP!AP127)))</f>
        <v>0</v>
      </c>
      <c r="G127">
        <f>SUMPRODUCT((MONTH(CHOOSE({1,2,3,4},KHP!U127,KHP!AA127,KHP!AG127,KHP!AM127))=7)*(CHOOSE({1,2,3,4},KHP!X127,KHP!AD127,KHP!AJ127,KHP!AP127)))</f>
        <v>0</v>
      </c>
      <c r="H127">
        <f>SUMPRODUCT((MONTH(CHOOSE({1,2,3,4},KHP!U127,KHP!AA127,KHP!AG127,KHP!AM127))=8)*(CHOOSE({1,2,3,4},KHP!X127,KHP!AD127,KHP!AJ127,KHP!AP127)))</f>
        <v>0</v>
      </c>
      <c r="I127">
        <f>SUMPRODUCT((MONTH(CHOOSE({1,2,3,4},KHP!U127,KHP!AA127,KHP!AG127,KHP!AM127))=9)*(CHOOSE({1,2,3,4},KHP!X127,KHP!AD127,KHP!AJ127,KHP!AP127)))</f>
        <v>0</v>
      </c>
      <c r="J127">
        <f>SUMPRODUCT((MONTH(CHOOSE({1,2,3,4},KHP!U127,KHP!AA127,KHP!AG127,KHP!AM127))=10)*(CHOOSE({1,2,3,4},KHP!X127,KHP!AD127,KHP!AJ127,KHP!AP127)))</f>
        <v>0</v>
      </c>
      <c r="K127">
        <f>SUMPRODUCT((MONTH(CHOOSE({1,2,3,4},KHP!U127,KHP!AA127,KHP!AG127,KHP!AM127))=11)*(CHOOSE({1,2,3,4},KHP!X127,KHP!AD127,KHP!AJ127,KHP!AP127)))</f>
        <v>0</v>
      </c>
      <c r="L127">
        <f>SUMPRODUCT((MONTH(CHOOSE({1,2,3,4},KHP!U127,KHP!AA127,KHP!AG127,KHP!AM127))=12)*(CHOOSE({1,2,3,4},KHP!X127,KHP!AD127,KHP!AJ127,KHP!AP127)))</f>
        <v>0</v>
      </c>
    </row>
    <row r="128" spans="1:12">
      <c r="A128">
        <f>SUMPRODUCT((MONTH(CHOOSE({1,2,3,4},KHP!U128,KHP!AA128,KHP!AG128,KHP!AM128))=1)*(CHOOSE({1,2,3,4},KHP!X128,KHP!AD128,KHP!AJ128,KHP!AP128)))</f>
        <v>0</v>
      </c>
      <c r="B128">
        <f>SUMPRODUCT((MONTH(CHOOSE({1,2,3,4},KHP!U128,KHP!AA128,KHP!AG128,KHP!AM128))=2)*(CHOOSE({1,2,3,4},KHP!X128,KHP!AD128,KHP!AJ128,KHP!AP128)))</f>
        <v>0</v>
      </c>
      <c r="C128">
        <f>SUMPRODUCT((MONTH(CHOOSE({1,2,3,4},KHP!U128,KHP!AA128,KHP!AG128,KHP!AM128))=3)*(CHOOSE({1,2,3,4},KHP!X128,KHP!AD128,KHP!AJ128,KHP!AP128)))</f>
        <v>0</v>
      </c>
      <c r="D128">
        <f>SUMPRODUCT((MONTH(CHOOSE({1,2,3,4},KHP!U128,KHP!AA128,KHP!AG128,KHP!AM128))=4)*(CHOOSE({1,2,3,4},KHP!X128,KHP!AD128,KHP!AJ128,KHP!AP128)))</f>
        <v>0</v>
      </c>
      <c r="E128">
        <f>SUMPRODUCT((MONTH(CHOOSE({1,2,3,4},KHP!U128,KHP!AA128,KHP!AG128,KHP!AM128))=5)*(CHOOSE({1,2,3,4},KHP!X128,KHP!AD128,KHP!AJ128,KHP!AP128)))</f>
        <v>0</v>
      </c>
      <c r="F128">
        <f>SUMPRODUCT((MONTH(CHOOSE({1,2,3,4},KHP!U128,KHP!AA128,KHP!AG128,KHP!AM128))=6)*(CHOOSE({1,2,3,4},KHP!X128,KHP!AD128,KHP!AJ128,KHP!AP128)))</f>
        <v>0</v>
      </c>
      <c r="G128">
        <f>SUMPRODUCT((MONTH(CHOOSE({1,2,3,4},KHP!U128,KHP!AA128,KHP!AG128,KHP!AM128))=7)*(CHOOSE({1,2,3,4},KHP!X128,KHP!AD128,KHP!AJ128,KHP!AP128)))</f>
        <v>0</v>
      </c>
      <c r="H128">
        <f>SUMPRODUCT((MONTH(CHOOSE({1,2,3,4},KHP!U128,KHP!AA128,KHP!AG128,KHP!AM128))=8)*(CHOOSE({1,2,3,4},KHP!X128,KHP!AD128,KHP!AJ128,KHP!AP128)))</f>
        <v>0</v>
      </c>
      <c r="I128">
        <f>SUMPRODUCT((MONTH(CHOOSE({1,2,3,4},KHP!U128,KHP!AA128,KHP!AG128,KHP!AM128))=9)*(CHOOSE({1,2,3,4},KHP!X128,KHP!AD128,KHP!AJ128,KHP!AP128)))</f>
        <v>0</v>
      </c>
      <c r="J128">
        <f>SUMPRODUCT((MONTH(CHOOSE({1,2,3,4},KHP!U128,KHP!AA128,KHP!AG128,KHP!AM128))=10)*(CHOOSE({1,2,3,4},KHP!X128,KHP!AD128,KHP!AJ128,KHP!AP128)))</f>
        <v>0</v>
      </c>
      <c r="K128">
        <f>SUMPRODUCT((MONTH(CHOOSE({1,2,3,4},KHP!U128,KHP!AA128,KHP!AG128,KHP!AM128))=11)*(CHOOSE({1,2,3,4},KHP!X128,KHP!AD128,KHP!AJ128,KHP!AP128)))</f>
        <v>0</v>
      </c>
      <c r="L128">
        <f>SUMPRODUCT((MONTH(CHOOSE({1,2,3,4},KHP!U128,KHP!AA128,KHP!AG128,KHP!AM128))=12)*(CHOOSE({1,2,3,4},KHP!X128,KHP!AD128,KHP!AJ128,KHP!AP128)))</f>
        <v>0</v>
      </c>
    </row>
    <row r="129" spans="1:12">
      <c r="A129">
        <f>SUMPRODUCT((MONTH(CHOOSE({1,2,3,4},KHP!U129,KHP!AA129,KHP!AG129,KHP!AM129))=1)*(CHOOSE({1,2,3,4},KHP!X129,KHP!AD129,KHP!AJ129,KHP!AP129)))</f>
        <v>0</v>
      </c>
      <c r="B129">
        <f>SUMPRODUCT((MONTH(CHOOSE({1,2,3,4},KHP!U129,KHP!AA129,KHP!AG129,KHP!AM129))=2)*(CHOOSE({1,2,3,4},KHP!X129,KHP!AD129,KHP!AJ129,KHP!AP129)))</f>
        <v>0</v>
      </c>
      <c r="C129">
        <f>SUMPRODUCT((MONTH(CHOOSE({1,2,3,4},KHP!U129,KHP!AA129,KHP!AG129,KHP!AM129))=3)*(CHOOSE({1,2,3,4},KHP!X129,KHP!AD129,KHP!AJ129,KHP!AP129)))</f>
        <v>0</v>
      </c>
      <c r="D129">
        <f>SUMPRODUCT((MONTH(CHOOSE({1,2,3,4},KHP!U129,KHP!AA129,KHP!AG129,KHP!AM129))=4)*(CHOOSE({1,2,3,4},KHP!X129,KHP!AD129,KHP!AJ129,KHP!AP129)))</f>
        <v>0</v>
      </c>
      <c r="E129">
        <f>SUMPRODUCT((MONTH(CHOOSE({1,2,3,4},KHP!U129,KHP!AA129,KHP!AG129,KHP!AM129))=5)*(CHOOSE({1,2,3,4},KHP!X129,KHP!AD129,KHP!AJ129,KHP!AP129)))</f>
        <v>0</v>
      </c>
      <c r="F129">
        <f>SUMPRODUCT((MONTH(CHOOSE({1,2,3,4},KHP!U129,KHP!AA129,KHP!AG129,KHP!AM129))=6)*(CHOOSE({1,2,3,4},KHP!X129,KHP!AD129,KHP!AJ129,KHP!AP129)))</f>
        <v>0</v>
      </c>
      <c r="G129">
        <f>SUMPRODUCT((MONTH(CHOOSE({1,2,3,4},KHP!U129,KHP!AA129,KHP!AG129,KHP!AM129))=7)*(CHOOSE({1,2,3,4},KHP!X129,KHP!AD129,KHP!AJ129,KHP!AP129)))</f>
        <v>0</v>
      </c>
      <c r="H129">
        <f>SUMPRODUCT((MONTH(CHOOSE({1,2,3,4},KHP!U129,KHP!AA129,KHP!AG129,KHP!AM129))=8)*(CHOOSE({1,2,3,4},KHP!X129,KHP!AD129,KHP!AJ129,KHP!AP129)))</f>
        <v>0</v>
      </c>
      <c r="I129">
        <f>SUMPRODUCT((MONTH(CHOOSE({1,2,3,4},KHP!U129,KHP!AA129,KHP!AG129,KHP!AM129))=9)*(CHOOSE({1,2,3,4},KHP!X129,KHP!AD129,KHP!AJ129,KHP!AP129)))</f>
        <v>0</v>
      </c>
      <c r="J129">
        <f>SUMPRODUCT((MONTH(CHOOSE({1,2,3,4},KHP!U129,KHP!AA129,KHP!AG129,KHP!AM129))=10)*(CHOOSE({1,2,3,4},KHP!X129,KHP!AD129,KHP!AJ129,KHP!AP129)))</f>
        <v>0</v>
      </c>
      <c r="K129">
        <f>SUMPRODUCT((MONTH(CHOOSE({1,2,3,4},KHP!U129,KHP!AA129,KHP!AG129,KHP!AM129))=11)*(CHOOSE({1,2,3,4},KHP!X129,KHP!AD129,KHP!AJ129,KHP!AP129)))</f>
        <v>0</v>
      </c>
      <c r="L129">
        <f>SUMPRODUCT((MONTH(CHOOSE({1,2,3,4},KHP!U129,KHP!AA129,KHP!AG129,KHP!AM129))=12)*(CHOOSE({1,2,3,4},KHP!X129,KHP!AD129,KHP!AJ129,KHP!AP129)))</f>
        <v>0</v>
      </c>
    </row>
    <row r="130" spans="1:12">
      <c r="A130">
        <f>SUMPRODUCT((MONTH(CHOOSE({1,2,3,4},KHP!U130,KHP!AA130,KHP!AG130,KHP!AM130))=1)*(CHOOSE({1,2,3,4},KHP!X130,KHP!AD130,KHP!AJ130,KHP!AP130)))</f>
        <v>0</v>
      </c>
      <c r="B130">
        <f>SUMPRODUCT((MONTH(CHOOSE({1,2,3,4},KHP!U130,KHP!AA130,KHP!AG130,KHP!AM130))=2)*(CHOOSE({1,2,3,4},KHP!X130,KHP!AD130,KHP!AJ130,KHP!AP130)))</f>
        <v>0</v>
      </c>
      <c r="C130">
        <f>SUMPRODUCT((MONTH(CHOOSE({1,2,3,4},KHP!U130,KHP!AA130,KHP!AG130,KHP!AM130))=3)*(CHOOSE({1,2,3,4},KHP!X130,KHP!AD130,KHP!AJ130,KHP!AP130)))</f>
        <v>0</v>
      </c>
      <c r="D130">
        <f>SUMPRODUCT((MONTH(CHOOSE({1,2,3,4},KHP!U130,KHP!AA130,KHP!AG130,KHP!AM130))=4)*(CHOOSE({1,2,3,4},KHP!X130,KHP!AD130,KHP!AJ130,KHP!AP130)))</f>
        <v>0</v>
      </c>
      <c r="E130">
        <f>SUMPRODUCT((MONTH(CHOOSE({1,2,3,4},KHP!U130,KHP!AA130,KHP!AG130,KHP!AM130))=5)*(CHOOSE({1,2,3,4},KHP!X130,KHP!AD130,KHP!AJ130,KHP!AP130)))</f>
        <v>0</v>
      </c>
      <c r="F130">
        <f>SUMPRODUCT((MONTH(CHOOSE({1,2,3,4},KHP!U130,KHP!AA130,KHP!AG130,KHP!AM130))=6)*(CHOOSE({1,2,3,4},KHP!X130,KHP!AD130,KHP!AJ130,KHP!AP130)))</f>
        <v>0</v>
      </c>
      <c r="G130">
        <f>SUMPRODUCT((MONTH(CHOOSE({1,2,3,4},KHP!U130,KHP!AA130,KHP!AG130,KHP!AM130))=7)*(CHOOSE({1,2,3,4},KHP!X130,KHP!AD130,KHP!AJ130,KHP!AP130)))</f>
        <v>0</v>
      </c>
      <c r="H130">
        <f>SUMPRODUCT((MONTH(CHOOSE({1,2,3,4},KHP!U130,KHP!AA130,KHP!AG130,KHP!AM130))=8)*(CHOOSE({1,2,3,4},KHP!X130,KHP!AD130,KHP!AJ130,KHP!AP130)))</f>
        <v>0</v>
      </c>
      <c r="I130">
        <f>SUMPRODUCT((MONTH(CHOOSE({1,2,3,4},KHP!U130,KHP!AA130,KHP!AG130,KHP!AM130))=9)*(CHOOSE({1,2,3,4},KHP!X130,KHP!AD130,KHP!AJ130,KHP!AP130)))</f>
        <v>0</v>
      </c>
      <c r="J130">
        <f>SUMPRODUCT((MONTH(CHOOSE({1,2,3,4},KHP!U130,KHP!AA130,KHP!AG130,KHP!AM130))=10)*(CHOOSE({1,2,3,4},KHP!X130,KHP!AD130,KHP!AJ130,KHP!AP130)))</f>
        <v>0</v>
      </c>
      <c r="K130">
        <f>SUMPRODUCT((MONTH(CHOOSE({1,2,3,4},KHP!U130,KHP!AA130,KHP!AG130,KHP!AM130))=11)*(CHOOSE({1,2,3,4},KHP!X130,KHP!AD130,KHP!AJ130,KHP!AP130)))</f>
        <v>0</v>
      </c>
      <c r="L130">
        <f>SUMPRODUCT((MONTH(CHOOSE({1,2,3,4},KHP!U130,KHP!AA130,KHP!AG130,KHP!AM130))=12)*(CHOOSE({1,2,3,4},KHP!X130,KHP!AD130,KHP!AJ130,KHP!AP130)))</f>
        <v>0</v>
      </c>
    </row>
    <row r="131" spans="1:12">
      <c r="A131">
        <f>SUMPRODUCT((MONTH(CHOOSE({1,2,3,4},KHP!U131,KHP!AA131,KHP!AG131,KHP!AM131))=1)*(CHOOSE({1,2,3,4},KHP!X131,KHP!AD131,KHP!AJ131,KHP!AP131)))</f>
        <v>0</v>
      </c>
      <c r="B131">
        <f>SUMPRODUCT((MONTH(CHOOSE({1,2,3,4},KHP!U131,KHP!AA131,KHP!AG131,KHP!AM131))=2)*(CHOOSE({1,2,3,4},KHP!X131,KHP!AD131,KHP!AJ131,KHP!AP131)))</f>
        <v>0</v>
      </c>
      <c r="C131">
        <f>SUMPRODUCT((MONTH(CHOOSE({1,2,3,4},KHP!U131,KHP!AA131,KHP!AG131,KHP!AM131))=3)*(CHOOSE({1,2,3,4},KHP!X131,KHP!AD131,KHP!AJ131,KHP!AP131)))</f>
        <v>0</v>
      </c>
      <c r="D131">
        <f>SUMPRODUCT((MONTH(CHOOSE({1,2,3,4},KHP!U131,KHP!AA131,KHP!AG131,KHP!AM131))=4)*(CHOOSE({1,2,3,4},KHP!X131,KHP!AD131,KHP!AJ131,KHP!AP131)))</f>
        <v>0</v>
      </c>
      <c r="E131">
        <f>SUMPRODUCT((MONTH(CHOOSE({1,2,3,4},KHP!U131,KHP!AA131,KHP!AG131,KHP!AM131))=5)*(CHOOSE({1,2,3,4},KHP!X131,KHP!AD131,KHP!AJ131,KHP!AP131)))</f>
        <v>0</v>
      </c>
      <c r="F131">
        <f>SUMPRODUCT((MONTH(CHOOSE({1,2,3,4},KHP!U131,KHP!AA131,KHP!AG131,KHP!AM131))=6)*(CHOOSE({1,2,3,4},KHP!X131,KHP!AD131,KHP!AJ131,KHP!AP131)))</f>
        <v>0</v>
      </c>
      <c r="G131">
        <f>SUMPRODUCT((MONTH(CHOOSE({1,2,3,4},KHP!U131,KHP!AA131,KHP!AG131,KHP!AM131))=7)*(CHOOSE({1,2,3,4},KHP!X131,KHP!AD131,KHP!AJ131,KHP!AP131)))</f>
        <v>0</v>
      </c>
      <c r="H131">
        <f>SUMPRODUCT((MONTH(CHOOSE({1,2,3,4},KHP!U131,KHP!AA131,KHP!AG131,KHP!AM131))=8)*(CHOOSE({1,2,3,4},KHP!X131,KHP!AD131,KHP!AJ131,KHP!AP131)))</f>
        <v>0</v>
      </c>
      <c r="I131">
        <f>SUMPRODUCT((MONTH(CHOOSE({1,2,3,4},KHP!U131,KHP!AA131,KHP!AG131,KHP!AM131))=9)*(CHOOSE({1,2,3,4},KHP!X131,KHP!AD131,KHP!AJ131,KHP!AP131)))</f>
        <v>0</v>
      </c>
      <c r="J131">
        <f>SUMPRODUCT((MONTH(CHOOSE({1,2,3,4},KHP!U131,KHP!AA131,KHP!AG131,KHP!AM131))=10)*(CHOOSE({1,2,3,4},KHP!X131,KHP!AD131,KHP!AJ131,KHP!AP131)))</f>
        <v>0</v>
      </c>
      <c r="K131">
        <f>SUMPRODUCT((MONTH(CHOOSE({1,2,3,4},KHP!U131,KHP!AA131,KHP!AG131,KHP!AM131))=11)*(CHOOSE({1,2,3,4},KHP!X131,KHP!AD131,KHP!AJ131,KHP!AP131)))</f>
        <v>0</v>
      </c>
      <c r="L131">
        <f>SUMPRODUCT((MONTH(CHOOSE({1,2,3,4},KHP!U131,KHP!AA131,KHP!AG131,KHP!AM131))=12)*(CHOOSE({1,2,3,4},KHP!X131,KHP!AD131,KHP!AJ131,KHP!AP131)))</f>
        <v>0</v>
      </c>
    </row>
    <row r="132" spans="1:12">
      <c r="A132">
        <f>SUMPRODUCT((MONTH(CHOOSE({1,2,3,4},KHP!U132,KHP!AA132,KHP!AG132,KHP!AM132))=1)*(CHOOSE({1,2,3,4},KHP!X132,KHP!AD132,KHP!AJ132,KHP!AP132)))</f>
        <v>0</v>
      </c>
      <c r="B132">
        <f>SUMPRODUCT((MONTH(CHOOSE({1,2,3,4},KHP!U132,KHP!AA132,KHP!AG132,KHP!AM132))=2)*(CHOOSE({1,2,3,4},KHP!X132,KHP!AD132,KHP!AJ132,KHP!AP132)))</f>
        <v>0</v>
      </c>
      <c r="C132">
        <f>SUMPRODUCT((MONTH(CHOOSE({1,2,3,4},KHP!U132,KHP!AA132,KHP!AG132,KHP!AM132))=3)*(CHOOSE({1,2,3,4},KHP!X132,KHP!AD132,KHP!AJ132,KHP!AP132)))</f>
        <v>0</v>
      </c>
      <c r="D132">
        <f>SUMPRODUCT((MONTH(CHOOSE({1,2,3,4},KHP!U132,KHP!AA132,KHP!AG132,KHP!AM132))=4)*(CHOOSE({1,2,3,4},KHP!X132,KHP!AD132,KHP!AJ132,KHP!AP132)))</f>
        <v>0</v>
      </c>
      <c r="E132">
        <f>SUMPRODUCT((MONTH(CHOOSE({1,2,3,4},KHP!U132,KHP!AA132,KHP!AG132,KHP!AM132))=5)*(CHOOSE({1,2,3,4},KHP!X132,KHP!AD132,KHP!AJ132,KHP!AP132)))</f>
        <v>0</v>
      </c>
      <c r="F132">
        <f>SUMPRODUCT((MONTH(CHOOSE({1,2,3,4},KHP!U132,KHP!AA132,KHP!AG132,KHP!AM132))=6)*(CHOOSE({1,2,3,4},KHP!X132,KHP!AD132,KHP!AJ132,KHP!AP132)))</f>
        <v>0</v>
      </c>
      <c r="G132">
        <f>SUMPRODUCT((MONTH(CHOOSE({1,2,3,4},KHP!U132,KHP!AA132,KHP!AG132,KHP!AM132))=7)*(CHOOSE({1,2,3,4},KHP!X132,KHP!AD132,KHP!AJ132,KHP!AP132)))</f>
        <v>0</v>
      </c>
      <c r="H132">
        <f>SUMPRODUCT((MONTH(CHOOSE({1,2,3,4},KHP!U132,KHP!AA132,KHP!AG132,KHP!AM132))=8)*(CHOOSE({1,2,3,4},KHP!X132,KHP!AD132,KHP!AJ132,KHP!AP132)))</f>
        <v>0</v>
      </c>
      <c r="I132">
        <f>SUMPRODUCT((MONTH(CHOOSE({1,2,3,4},KHP!U132,KHP!AA132,KHP!AG132,KHP!AM132))=9)*(CHOOSE({1,2,3,4},KHP!X132,KHP!AD132,KHP!AJ132,KHP!AP132)))</f>
        <v>0</v>
      </c>
      <c r="J132">
        <f>SUMPRODUCT((MONTH(CHOOSE({1,2,3,4},KHP!U132,KHP!AA132,KHP!AG132,KHP!AM132))=10)*(CHOOSE({1,2,3,4},KHP!X132,KHP!AD132,KHP!AJ132,KHP!AP132)))</f>
        <v>0</v>
      </c>
      <c r="K132">
        <f>SUMPRODUCT((MONTH(CHOOSE({1,2,3,4},KHP!U132,KHP!AA132,KHP!AG132,KHP!AM132))=11)*(CHOOSE({1,2,3,4},KHP!X132,KHP!AD132,KHP!AJ132,KHP!AP132)))</f>
        <v>0</v>
      </c>
      <c r="L132">
        <f>SUMPRODUCT((MONTH(CHOOSE({1,2,3,4},KHP!U132,KHP!AA132,KHP!AG132,KHP!AM132))=12)*(CHOOSE({1,2,3,4},KHP!X132,KHP!AD132,KHP!AJ132,KHP!AP132)))</f>
        <v>0</v>
      </c>
    </row>
    <row r="133" spans="1:12">
      <c r="A133">
        <f>SUMPRODUCT((MONTH(CHOOSE({1,2,3,4},KHP!U133,KHP!AA133,KHP!AG133,KHP!AM133))=1)*(CHOOSE({1,2,3,4},KHP!X133,KHP!AD133,KHP!AJ133,KHP!AP133)))</f>
        <v>0</v>
      </c>
      <c r="B133">
        <f>SUMPRODUCT((MONTH(CHOOSE({1,2,3,4},KHP!U133,KHP!AA133,KHP!AG133,KHP!AM133))=2)*(CHOOSE({1,2,3,4},KHP!X133,KHP!AD133,KHP!AJ133,KHP!AP133)))</f>
        <v>0</v>
      </c>
      <c r="C133">
        <f>SUMPRODUCT((MONTH(CHOOSE({1,2,3,4},KHP!U133,KHP!AA133,KHP!AG133,KHP!AM133))=3)*(CHOOSE({1,2,3,4},KHP!X133,KHP!AD133,KHP!AJ133,KHP!AP133)))</f>
        <v>0</v>
      </c>
      <c r="D133">
        <f>SUMPRODUCT((MONTH(CHOOSE({1,2,3,4},KHP!U133,KHP!AA133,KHP!AG133,KHP!AM133))=4)*(CHOOSE({1,2,3,4},KHP!X133,KHP!AD133,KHP!AJ133,KHP!AP133)))</f>
        <v>0</v>
      </c>
      <c r="E133">
        <f>SUMPRODUCT((MONTH(CHOOSE({1,2,3,4},KHP!U133,KHP!AA133,KHP!AG133,KHP!AM133))=5)*(CHOOSE({1,2,3,4},KHP!X133,KHP!AD133,KHP!AJ133,KHP!AP133)))</f>
        <v>0</v>
      </c>
      <c r="F133">
        <f>SUMPRODUCT((MONTH(CHOOSE({1,2,3,4},KHP!U133,KHP!AA133,KHP!AG133,KHP!AM133))=6)*(CHOOSE({1,2,3,4},KHP!X133,KHP!AD133,KHP!AJ133,KHP!AP133)))</f>
        <v>0</v>
      </c>
      <c r="G133">
        <f>SUMPRODUCT((MONTH(CHOOSE({1,2,3,4},KHP!U133,KHP!AA133,KHP!AG133,KHP!AM133))=7)*(CHOOSE({1,2,3,4},KHP!X133,KHP!AD133,KHP!AJ133,KHP!AP133)))</f>
        <v>0</v>
      </c>
      <c r="H133">
        <f>SUMPRODUCT((MONTH(CHOOSE({1,2,3,4},KHP!U133,KHP!AA133,KHP!AG133,KHP!AM133))=8)*(CHOOSE({1,2,3,4},KHP!X133,KHP!AD133,KHP!AJ133,KHP!AP133)))</f>
        <v>0</v>
      </c>
      <c r="I133">
        <f>SUMPRODUCT((MONTH(CHOOSE({1,2,3,4},KHP!U133,KHP!AA133,KHP!AG133,KHP!AM133))=9)*(CHOOSE({1,2,3,4},KHP!X133,KHP!AD133,KHP!AJ133,KHP!AP133)))</f>
        <v>0</v>
      </c>
      <c r="J133">
        <f>SUMPRODUCT((MONTH(CHOOSE({1,2,3,4},KHP!U133,KHP!AA133,KHP!AG133,KHP!AM133))=10)*(CHOOSE({1,2,3,4},KHP!X133,KHP!AD133,KHP!AJ133,KHP!AP133)))</f>
        <v>0</v>
      </c>
      <c r="K133">
        <f>SUMPRODUCT((MONTH(CHOOSE({1,2,3,4},KHP!U133,KHP!AA133,KHP!AG133,KHP!AM133))=11)*(CHOOSE({1,2,3,4},KHP!X133,KHP!AD133,KHP!AJ133,KHP!AP133)))</f>
        <v>0</v>
      </c>
      <c r="L133">
        <f>SUMPRODUCT((MONTH(CHOOSE({1,2,3,4},KHP!U133,KHP!AA133,KHP!AG133,KHP!AM133))=12)*(CHOOSE({1,2,3,4},KHP!X133,KHP!AD133,KHP!AJ133,KHP!AP133)))</f>
        <v>0</v>
      </c>
    </row>
    <row r="134" spans="1:12">
      <c r="A134">
        <f>SUMPRODUCT((MONTH(CHOOSE({1,2,3,4},KHP!U134,KHP!AA134,KHP!AG134,KHP!AM134))=1)*(CHOOSE({1,2,3,4},KHP!X134,KHP!AD134,KHP!AJ134,KHP!AP134)))</f>
        <v>0</v>
      </c>
      <c r="B134">
        <f>SUMPRODUCT((MONTH(CHOOSE({1,2,3,4},KHP!U134,KHP!AA134,KHP!AG134,KHP!AM134))=2)*(CHOOSE({1,2,3,4},KHP!X134,KHP!AD134,KHP!AJ134,KHP!AP134)))</f>
        <v>0</v>
      </c>
      <c r="C134">
        <f>SUMPRODUCT((MONTH(CHOOSE({1,2,3,4},KHP!U134,KHP!AA134,KHP!AG134,KHP!AM134))=3)*(CHOOSE({1,2,3,4},KHP!X134,KHP!AD134,KHP!AJ134,KHP!AP134)))</f>
        <v>0</v>
      </c>
      <c r="D134">
        <f>SUMPRODUCT((MONTH(CHOOSE({1,2,3,4},KHP!U134,KHP!AA134,KHP!AG134,KHP!AM134))=4)*(CHOOSE({1,2,3,4},KHP!X134,KHP!AD134,KHP!AJ134,KHP!AP134)))</f>
        <v>0</v>
      </c>
      <c r="E134">
        <f>SUMPRODUCT((MONTH(CHOOSE({1,2,3,4},KHP!U134,KHP!AA134,KHP!AG134,KHP!AM134))=5)*(CHOOSE({1,2,3,4},KHP!X134,KHP!AD134,KHP!AJ134,KHP!AP134)))</f>
        <v>0</v>
      </c>
      <c r="F134">
        <f>SUMPRODUCT((MONTH(CHOOSE({1,2,3,4},KHP!U134,KHP!AA134,KHP!AG134,KHP!AM134))=6)*(CHOOSE({1,2,3,4},KHP!X134,KHP!AD134,KHP!AJ134,KHP!AP134)))</f>
        <v>0</v>
      </c>
      <c r="G134">
        <f>SUMPRODUCT((MONTH(CHOOSE({1,2,3,4},KHP!U134,KHP!AA134,KHP!AG134,KHP!AM134))=7)*(CHOOSE({1,2,3,4},KHP!X134,KHP!AD134,KHP!AJ134,KHP!AP134)))</f>
        <v>0</v>
      </c>
      <c r="H134">
        <f>SUMPRODUCT((MONTH(CHOOSE({1,2,3,4},KHP!U134,KHP!AA134,KHP!AG134,KHP!AM134))=8)*(CHOOSE({1,2,3,4},KHP!X134,KHP!AD134,KHP!AJ134,KHP!AP134)))</f>
        <v>0</v>
      </c>
      <c r="I134">
        <f>SUMPRODUCT((MONTH(CHOOSE({1,2,3,4},KHP!U134,KHP!AA134,KHP!AG134,KHP!AM134))=9)*(CHOOSE({1,2,3,4},KHP!X134,KHP!AD134,KHP!AJ134,KHP!AP134)))</f>
        <v>0</v>
      </c>
      <c r="J134">
        <f>SUMPRODUCT((MONTH(CHOOSE({1,2,3,4},KHP!U134,KHP!AA134,KHP!AG134,KHP!AM134))=10)*(CHOOSE({1,2,3,4},KHP!X134,KHP!AD134,KHP!AJ134,KHP!AP134)))</f>
        <v>0</v>
      </c>
      <c r="K134">
        <f>SUMPRODUCT((MONTH(CHOOSE({1,2,3,4},KHP!U134,KHP!AA134,KHP!AG134,KHP!AM134))=11)*(CHOOSE({1,2,3,4},KHP!X134,KHP!AD134,KHP!AJ134,KHP!AP134)))</f>
        <v>0</v>
      </c>
      <c r="L134">
        <f>SUMPRODUCT((MONTH(CHOOSE({1,2,3,4},KHP!U134,KHP!AA134,KHP!AG134,KHP!AM134))=12)*(CHOOSE({1,2,3,4},KHP!X134,KHP!AD134,KHP!AJ134,KHP!AP134)))</f>
        <v>0</v>
      </c>
    </row>
    <row r="135" spans="1:12">
      <c r="A135">
        <f>SUMPRODUCT((MONTH(CHOOSE({1,2,3,4},KHP!U135,KHP!AA135,KHP!AG135,KHP!AM135))=1)*(CHOOSE({1,2,3,4},KHP!X135,KHP!AD135,KHP!AJ135,KHP!AP135)))</f>
        <v>0</v>
      </c>
      <c r="B135">
        <f>SUMPRODUCT((MONTH(CHOOSE({1,2,3,4},KHP!U135,KHP!AA135,KHP!AG135,KHP!AM135))=2)*(CHOOSE({1,2,3,4},KHP!X135,KHP!AD135,KHP!AJ135,KHP!AP135)))</f>
        <v>0</v>
      </c>
      <c r="C135">
        <f>SUMPRODUCT((MONTH(CHOOSE({1,2,3,4},KHP!U135,KHP!AA135,KHP!AG135,KHP!AM135))=3)*(CHOOSE({1,2,3,4},KHP!X135,KHP!AD135,KHP!AJ135,KHP!AP135)))</f>
        <v>0</v>
      </c>
      <c r="D135">
        <f>SUMPRODUCT((MONTH(CHOOSE({1,2,3,4},KHP!U135,KHP!AA135,KHP!AG135,KHP!AM135))=4)*(CHOOSE({1,2,3,4},KHP!X135,KHP!AD135,KHP!AJ135,KHP!AP135)))</f>
        <v>0</v>
      </c>
      <c r="E135">
        <f>SUMPRODUCT((MONTH(CHOOSE({1,2,3,4},KHP!U135,KHP!AA135,KHP!AG135,KHP!AM135))=5)*(CHOOSE({1,2,3,4},KHP!X135,KHP!AD135,KHP!AJ135,KHP!AP135)))</f>
        <v>0</v>
      </c>
      <c r="F135">
        <f>SUMPRODUCT((MONTH(CHOOSE({1,2,3,4},KHP!U135,KHP!AA135,KHP!AG135,KHP!AM135))=6)*(CHOOSE({1,2,3,4},KHP!X135,KHP!AD135,KHP!AJ135,KHP!AP135)))</f>
        <v>0</v>
      </c>
      <c r="G135">
        <f>SUMPRODUCT((MONTH(CHOOSE({1,2,3,4},KHP!U135,KHP!AA135,KHP!AG135,KHP!AM135))=7)*(CHOOSE({1,2,3,4},KHP!X135,KHP!AD135,KHP!AJ135,KHP!AP135)))</f>
        <v>0</v>
      </c>
      <c r="H135">
        <f>SUMPRODUCT((MONTH(CHOOSE({1,2,3,4},KHP!U135,KHP!AA135,KHP!AG135,KHP!AM135))=8)*(CHOOSE({1,2,3,4},KHP!X135,KHP!AD135,KHP!AJ135,KHP!AP135)))</f>
        <v>0</v>
      </c>
      <c r="I135">
        <f>SUMPRODUCT((MONTH(CHOOSE({1,2,3,4},KHP!U135,KHP!AA135,KHP!AG135,KHP!AM135))=9)*(CHOOSE({1,2,3,4},KHP!X135,KHP!AD135,KHP!AJ135,KHP!AP135)))</f>
        <v>0</v>
      </c>
      <c r="J135">
        <f>SUMPRODUCT((MONTH(CHOOSE({1,2,3,4},KHP!U135,KHP!AA135,KHP!AG135,KHP!AM135))=10)*(CHOOSE({1,2,3,4},KHP!X135,KHP!AD135,KHP!AJ135,KHP!AP135)))</f>
        <v>0</v>
      </c>
      <c r="K135">
        <f>SUMPRODUCT((MONTH(CHOOSE({1,2,3,4},KHP!U135,KHP!AA135,KHP!AG135,KHP!AM135))=11)*(CHOOSE({1,2,3,4},KHP!X135,KHP!AD135,KHP!AJ135,KHP!AP135)))</f>
        <v>0</v>
      </c>
      <c r="L135">
        <f>SUMPRODUCT((MONTH(CHOOSE({1,2,3,4},KHP!U135,KHP!AA135,KHP!AG135,KHP!AM135))=12)*(CHOOSE({1,2,3,4},KHP!X135,KHP!AD135,KHP!AJ135,KHP!AP135)))</f>
        <v>0</v>
      </c>
    </row>
    <row r="136" spans="1:12">
      <c r="A136">
        <f>SUMPRODUCT((MONTH(CHOOSE({1,2,3,4},KHP!U136,KHP!AA136,KHP!AG136,KHP!AM136))=1)*(CHOOSE({1,2,3,4},KHP!X136,KHP!AD136,KHP!AJ136,KHP!AP136)))</f>
        <v>0</v>
      </c>
      <c r="B136">
        <f>SUMPRODUCT((MONTH(CHOOSE({1,2,3,4},KHP!U136,KHP!AA136,KHP!AG136,KHP!AM136))=2)*(CHOOSE({1,2,3,4},KHP!X136,KHP!AD136,KHP!AJ136,KHP!AP136)))</f>
        <v>0</v>
      </c>
      <c r="C136">
        <f>SUMPRODUCT((MONTH(CHOOSE({1,2,3,4},KHP!U136,KHP!AA136,KHP!AG136,KHP!AM136))=3)*(CHOOSE({1,2,3,4},KHP!X136,KHP!AD136,KHP!AJ136,KHP!AP136)))</f>
        <v>0</v>
      </c>
      <c r="D136">
        <f>SUMPRODUCT((MONTH(CHOOSE({1,2,3,4},KHP!U136,KHP!AA136,KHP!AG136,KHP!AM136))=4)*(CHOOSE({1,2,3,4},KHP!X136,KHP!AD136,KHP!AJ136,KHP!AP136)))</f>
        <v>0</v>
      </c>
      <c r="E136">
        <f>SUMPRODUCT((MONTH(CHOOSE({1,2,3,4},KHP!U136,KHP!AA136,KHP!AG136,KHP!AM136))=5)*(CHOOSE({1,2,3,4},KHP!X136,KHP!AD136,KHP!AJ136,KHP!AP136)))</f>
        <v>0</v>
      </c>
      <c r="F136">
        <f>SUMPRODUCT((MONTH(CHOOSE({1,2,3,4},KHP!U136,KHP!AA136,KHP!AG136,KHP!AM136))=6)*(CHOOSE({1,2,3,4},KHP!X136,KHP!AD136,KHP!AJ136,KHP!AP136)))</f>
        <v>0</v>
      </c>
      <c r="G136">
        <f>SUMPRODUCT((MONTH(CHOOSE({1,2,3,4},KHP!U136,KHP!AA136,KHP!AG136,KHP!AM136))=7)*(CHOOSE({1,2,3,4},KHP!X136,KHP!AD136,KHP!AJ136,KHP!AP136)))</f>
        <v>0</v>
      </c>
      <c r="H136">
        <f>SUMPRODUCT((MONTH(CHOOSE({1,2,3,4},KHP!U136,KHP!AA136,KHP!AG136,KHP!AM136))=8)*(CHOOSE({1,2,3,4},KHP!X136,KHP!AD136,KHP!AJ136,KHP!AP136)))</f>
        <v>0</v>
      </c>
      <c r="I136">
        <f>SUMPRODUCT((MONTH(CHOOSE({1,2,3,4},KHP!U136,KHP!AA136,KHP!AG136,KHP!AM136))=9)*(CHOOSE({1,2,3,4},KHP!X136,KHP!AD136,KHP!AJ136,KHP!AP136)))</f>
        <v>0</v>
      </c>
      <c r="J136">
        <f>SUMPRODUCT((MONTH(CHOOSE({1,2,3,4},KHP!U136,KHP!AA136,KHP!AG136,KHP!AM136))=10)*(CHOOSE({1,2,3,4},KHP!X136,KHP!AD136,KHP!AJ136,KHP!AP136)))</f>
        <v>0</v>
      </c>
      <c r="K136">
        <f>SUMPRODUCT((MONTH(CHOOSE({1,2,3,4},KHP!U136,KHP!AA136,KHP!AG136,KHP!AM136))=11)*(CHOOSE({1,2,3,4},KHP!X136,KHP!AD136,KHP!AJ136,KHP!AP136)))</f>
        <v>0</v>
      </c>
      <c r="L136">
        <f>SUMPRODUCT((MONTH(CHOOSE({1,2,3,4},KHP!U136,KHP!AA136,KHP!AG136,KHP!AM136))=12)*(CHOOSE({1,2,3,4},KHP!X136,KHP!AD136,KHP!AJ136,KHP!AP136)))</f>
        <v>0</v>
      </c>
    </row>
    <row r="137" spans="1:12">
      <c r="A137">
        <f>SUMPRODUCT((MONTH(CHOOSE({1,2,3,4},KHP!U137,KHP!AA137,KHP!AG137,KHP!AM137))=1)*(CHOOSE({1,2,3,4},KHP!X137,KHP!AD137,KHP!AJ137,KHP!AP137)))</f>
        <v>0</v>
      </c>
      <c r="B137">
        <f>SUMPRODUCT((MONTH(CHOOSE({1,2,3,4},KHP!U137,KHP!AA137,KHP!AG137,KHP!AM137))=2)*(CHOOSE({1,2,3,4},KHP!X137,KHP!AD137,KHP!AJ137,KHP!AP137)))</f>
        <v>0</v>
      </c>
      <c r="C137">
        <f>SUMPRODUCT((MONTH(CHOOSE({1,2,3,4},KHP!U137,KHP!AA137,KHP!AG137,KHP!AM137))=3)*(CHOOSE({1,2,3,4},KHP!X137,KHP!AD137,KHP!AJ137,KHP!AP137)))</f>
        <v>0</v>
      </c>
      <c r="D137">
        <f>SUMPRODUCT((MONTH(CHOOSE({1,2,3,4},KHP!U137,KHP!AA137,KHP!AG137,KHP!AM137))=4)*(CHOOSE({1,2,3,4},KHP!X137,KHP!AD137,KHP!AJ137,KHP!AP137)))</f>
        <v>0</v>
      </c>
      <c r="E137">
        <f>SUMPRODUCT((MONTH(CHOOSE({1,2,3,4},KHP!U137,KHP!AA137,KHP!AG137,KHP!AM137))=5)*(CHOOSE({1,2,3,4},KHP!X137,KHP!AD137,KHP!AJ137,KHP!AP137)))</f>
        <v>0</v>
      </c>
      <c r="F137">
        <f>SUMPRODUCT((MONTH(CHOOSE({1,2,3,4},KHP!U137,KHP!AA137,KHP!AG137,KHP!AM137))=6)*(CHOOSE({1,2,3,4},KHP!X137,KHP!AD137,KHP!AJ137,KHP!AP137)))</f>
        <v>0</v>
      </c>
      <c r="G137">
        <f>SUMPRODUCT((MONTH(CHOOSE({1,2,3,4},KHP!U137,KHP!AA137,KHP!AG137,KHP!AM137))=7)*(CHOOSE({1,2,3,4},KHP!X137,KHP!AD137,KHP!AJ137,KHP!AP137)))</f>
        <v>0</v>
      </c>
      <c r="H137">
        <f>SUMPRODUCT((MONTH(CHOOSE({1,2,3,4},KHP!U137,KHP!AA137,KHP!AG137,KHP!AM137))=8)*(CHOOSE({1,2,3,4},KHP!X137,KHP!AD137,KHP!AJ137,KHP!AP137)))</f>
        <v>0</v>
      </c>
      <c r="I137">
        <f>SUMPRODUCT((MONTH(CHOOSE({1,2,3,4},KHP!U137,KHP!AA137,KHP!AG137,KHP!AM137))=9)*(CHOOSE({1,2,3,4},KHP!X137,KHP!AD137,KHP!AJ137,KHP!AP137)))</f>
        <v>0</v>
      </c>
      <c r="J137">
        <f>SUMPRODUCT((MONTH(CHOOSE({1,2,3,4},KHP!U137,KHP!AA137,KHP!AG137,KHP!AM137))=10)*(CHOOSE({1,2,3,4},KHP!X137,KHP!AD137,KHP!AJ137,KHP!AP137)))</f>
        <v>0</v>
      </c>
      <c r="K137">
        <f>SUMPRODUCT((MONTH(CHOOSE({1,2,3,4},KHP!U137,KHP!AA137,KHP!AG137,KHP!AM137))=11)*(CHOOSE({1,2,3,4},KHP!X137,KHP!AD137,KHP!AJ137,KHP!AP137)))</f>
        <v>0</v>
      </c>
      <c r="L137">
        <f>SUMPRODUCT((MONTH(CHOOSE({1,2,3,4},KHP!U137,KHP!AA137,KHP!AG137,KHP!AM137))=12)*(CHOOSE({1,2,3,4},KHP!X137,KHP!AD137,KHP!AJ137,KHP!AP137)))</f>
        <v>0</v>
      </c>
    </row>
    <row r="138" spans="1:12">
      <c r="A138">
        <f>SUMPRODUCT((MONTH(CHOOSE({1,2,3,4},KHP!U138,KHP!AA138,KHP!AG138,KHP!AM138))=1)*(CHOOSE({1,2,3,4},KHP!X138,KHP!AD138,KHP!AJ138,KHP!AP138)))</f>
        <v>0</v>
      </c>
      <c r="B138">
        <f>SUMPRODUCT((MONTH(CHOOSE({1,2,3,4},KHP!U138,KHP!AA138,KHP!AG138,KHP!AM138))=2)*(CHOOSE({1,2,3,4},KHP!X138,KHP!AD138,KHP!AJ138,KHP!AP138)))</f>
        <v>0</v>
      </c>
      <c r="C138">
        <f>SUMPRODUCT((MONTH(CHOOSE({1,2,3,4},KHP!U138,KHP!AA138,KHP!AG138,KHP!AM138))=3)*(CHOOSE({1,2,3,4},KHP!X138,KHP!AD138,KHP!AJ138,KHP!AP138)))</f>
        <v>0</v>
      </c>
      <c r="D138">
        <f>SUMPRODUCT((MONTH(CHOOSE({1,2,3,4},KHP!U138,KHP!AA138,KHP!AG138,KHP!AM138))=4)*(CHOOSE({1,2,3,4},KHP!X138,KHP!AD138,KHP!AJ138,KHP!AP138)))</f>
        <v>0</v>
      </c>
      <c r="E138">
        <f>SUMPRODUCT((MONTH(CHOOSE({1,2,3,4},KHP!U138,KHP!AA138,KHP!AG138,KHP!AM138))=5)*(CHOOSE({1,2,3,4},KHP!X138,KHP!AD138,KHP!AJ138,KHP!AP138)))</f>
        <v>0</v>
      </c>
      <c r="F138">
        <f>SUMPRODUCT((MONTH(CHOOSE({1,2,3,4},KHP!U138,KHP!AA138,KHP!AG138,KHP!AM138))=6)*(CHOOSE({1,2,3,4},KHP!X138,KHP!AD138,KHP!AJ138,KHP!AP138)))</f>
        <v>0</v>
      </c>
      <c r="G138">
        <f>SUMPRODUCT((MONTH(CHOOSE({1,2,3,4},KHP!U138,KHP!AA138,KHP!AG138,KHP!AM138))=7)*(CHOOSE({1,2,3,4},KHP!X138,KHP!AD138,KHP!AJ138,KHP!AP138)))</f>
        <v>0</v>
      </c>
      <c r="H138">
        <f>SUMPRODUCT((MONTH(CHOOSE({1,2,3,4},KHP!U138,KHP!AA138,KHP!AG138,KHP!AM138))=8)*(CHOOSE({1,2,3,4},KHP!X138,KHP!AD138,KHP!AJ138,KHP!AP138)))</f>
        <v>0</v>
      </c>
      <c r="I138">
        <f>SUMPRODUCT((MONTH(CHOOSE({1,2,3,4},KHP!U138,KHP!AA138,KHP!AG138,KHP!AM138))=9)*(CHOOSE({1,2,3,4},KHP!X138,KHP!AD138,KHP!AJ138,KHP!AP138)))</f>
        <v>0</v>
      </c>
      <c r="J138">
        <f>SUMPRODUCT((MONTH(CHOOSE({1,2,3,4},KHP!U138,KHP!AA138,KHP!AG138,KHP!AM138))=10)*(CHOOSE({1,2,3,4},KHP!X138,KHP!AD138,KHP!AJ138,KHP!AP138)))</f>
        <v>0</v>
      </c>
      <c r="K138">
        <f>SUMPRODUCT((MONTH(CHOOSE({1,2,3,4},KHP!U138,KHP!AA138,KHP!AG138,KHP!AM138))=11)*(CHOOSE({1,2,3,4},KHP!X138,KHP!AD138,KHP!AJ138,KHP!AP138)))</f>
        <v>0</v>
      </c>
      <c r="L138">
        <f>SUMPRODUCT((MONTH(CHOOSE({1,2,3,4},KHP!U138,KHP!AA138,KHP!AG138,KHP!AM138))=12)*(CHOOSE({1,2,3,4},KHP!X138,KHP!AD138,KHP!AJ138,KHP!AP138)))</f>
        <v>0</v>
      </c>
    </row>
    <row r="139" spans="1:12">
      <c r="A139">
        <f>SUMPRODUCT((MONTH(CHOOSE({1,2,3,4},KHP!U139,KHP!AA139,KHP!AG139,KHP!AM139))=1)*(CHOOSE({1,2,3,4},KHP!X139,KHP!AD139,KHP!AJ139,KHP!AP139)))</f>
        <v>0</v>
      </c>
      <c r="B139">
        <f>SUMPRODUCT((MONTH(CHOOSE({1,2,3,4},KHP!U139,KHP!AA139,KHP!AG139,KHP!AM139))=2)*(CHOOSE({1,2,3,4},KHP!X139,KHP!AD139,KHP!AJ139,KHP!AP139)))</f>
        <v>0</v>
      </c>
      <c r="C139">
        <f>SUMPRODUCT((MONTH(CHOOSE({1,2,3,4},KHP!U139,KHP!AA139,KHP!AG139,KHP!AM139))=3)*(CHOOSE({1,2,3,4},KHP!X139,KHP!AD139,KHP!AJ139,KHP!AP139)))</f>
        <v>0</v>
      </c>
      <c r="D139">
        <f>SUMPRODUCT((MONTH(CHOOSE({1,2,3,4},KHP!U139,KHP!AA139,KHP!AG139,KHP!AM139))=4)*(CHOOSE({1,2,3,4},KHP!X139,KHP!AD139,KHP!AJ139,KHP!AP139)))</f>
        <v>0</v>
      </c>
      <c r="E139">
        <f>SUMPRODUCT((MONTH(CHOOSE({1,2,3,4},KHP!U139,KHP!AA139,KHP!AG139,KHP!AM139))=5)*(CHOOSE({1,2,3,4},KHP!X139,KHP!AD139,KHP!AJ139,KHP!AP139)))</f>
        <v>0</v>
      </c>
      <c r="F139">
        <f>SUMPRODUCT((MONTH(CHOOSE({1,2,3,4},KHP!U139,KHP!AA139,KHP!AG139,KHP!AM139))=6)*(CHOOSE({1,2,3,4},KHP!X139,KHP!AD139,KHP!AJ139,KHP!AP139)))</f>
        <v>0</v>
      </c>
      <c r="G139">
        <f>SUMPRODUCT((MONTH(CHOOSE({1,2,3,4},KHP!U139,KHP!AA139,KHP!AG139,KHP!AM139))=7)*(CHOOSE({1,2,3,4},KHP!X139,KHP!AD139,KHP!AJ139,KHP!AP139)))</f>
        <v>0</v>
      </c>
      <c r="H139">
        <f>SUMPRODUCT((MONTH(CHOOSE({1,2,3,4},KHP!U139,KHP!AA139,KHP!AG139,KHP!AM139))=8)*(CHOOSE({1,2,3,4},KHP!X139,KHP!AD139,KHP!AJ139,KHP!AP139)))</f>
        <v>0</v>
      </c>
      <c r="I139">
        <f>SUMPRODUCT((MONTH(CHOOSE({1,2,3,4},KHP!U139,KHP!AA139,KHP!AG139,KHP!AM139))=9)*(CHOOSE({1,2,3,4},KHP!X139,KHP!AD139,KHP!AJ139,KHP!AP139)))</f>
        <v>0</v>
      </c>
      <c r="J139">
        <f>SUMPRODUCT((MONTH(CHOOSE({1,2,3,4},KHP!U139,KHP!AA139,KHP!AG139,KHP!AM139))=10)*(CHOOSE({1,2,3,4},KHP!X139,KHP!AD139,KHP!AJ139,KHP!AP139)))</f>
        <v>0</v>
      </c>
      <c r="K139">
        <f>SUMPRODUCT((MONTH(CHOOSE({1,2,3,4},KHP!U139,KHP!AA139,KHP!AG139,KHP!AM139))=11)*(CHOOSE({1,2,3,4},KHP!X139,KHP!AD139,KHP!AJ139,KHP!AP139)))</f>
        <v>0</v>
      </c>
      <c r="L139">
        <f>SUMPRODUCT((MONTH(CHOOSE({1,2,3,4},KHP!U139,KHP!AA139,KHP!AG139,KHP!AM139))=12)*(CHOOSE({1,2,3,4},KHP!X139,KHP!AD139,KHP!AJ139,KHP!AP139)))</f>
        <v>0</v>
      </c>
    </row>
    <row r="140" spans="1:12">
      <c r="A140">
        <f>SUMPRODUCT((MONTH(CHOOSE({1,2,3,4},KHP!U140,KHP!AA140,KHP!AG140,KHP!AM140))=1)*(CHOOSE({1,2,3,4},KHP!X140,KHP!AD140,KHP!AJ140,KHP!AP140)))</f>
        <v>0</v>
      </c>
      <c r="B140">
        <f>SUMPRODUCT((MONTH(CHOOSE({1,2,3,4},KHP!U140,KHP!AA140,KHP!AG140,KHP!AM140))=2)*(CHOOSE({1,2,3,4},KHP!X140,KHP!AD140,KHP!AJ140,KHP!AP140)))</f>
        <v>0</v>
      </c>
      <c r="C140">
        <f>SUMPRODUCT((MONTH(CHOOSE({1,2,3,4},KHP!U140,KHP!AA140,KHP!AG140,KHP!AM140))=3)*(CHOOSE({1,2,3,4},KHP!X140,KHP!AD140,KHP!AJ140,KHP!AP140)))</f>
        <v>0</v>
      </c>
      <c r="D140">
        <f>SUMPRODUCT((MONTH(CHOOSE({1,2,3,4},KHP!U140,KHP!AA140,KHP!AG140,KHP!AM140))=4)*(CHOOSE({1,2,3,4},KHP!X140,KHP!AD140,KHP!AJ140,KHP!AP140)))</f>
        <v>0</v>
      </c>
      <c r="E140">
        <f>SUMPRODUCT((MONTH(CHOOSE({1,2,3,4},KHP!U140,KHP!AA140,KHP!AG140,KHP!AM140))=5)*(CHOOSE({1,2,3,4},KHP!X140,KHP!AD140,KHP!AJ140,KHP!AP140)))</f>
        <v>0</v>
      </c>
      <c r="F140">
        <f>SUMPRODUCT((MONTH(CHOOSE({1,2,3,4},KHP!U140,KHP!AA140,KHP!AG140,KHP!AM140))=6)*(CHOOSE({1,2,3,4},KHP!X140,KHP!AD140,KHP!AJ140,KHP!AP140)))</f>
        <v>0</v>
      </c>
      <c r="G140">
        <f>SUMPRODUCT((MONTH(CHOOSE({1,2,3,4},KHP!U140,KHP!AA140,KHP!AG140,KHP!AM140))=7)*(CHOOSE({1,2,3,4},KHP!X140,KHP!AD140,KHP!AJ140,KHP!AP140)))</f>
        <v>0</v>
      </c>
      <c r="H140">
        <f>SUMPRODUCT((MONTH(CHOOSE({1,2,3,4},KHP!U140,KHP!AA140,KHP!AG140,KHP!AM140))=8)*(CHOOSE({1,2,3,4},KHP!X140,KHP!AD140,KHP!AJ140,KHP!AP140)))</f>
        <v>0</v>
      </c>
      <c r="I140">
        <f>SUMPRODUCT((MONTH(CHOOSE({1,2,3,4},KHP!U140,KHP!AA140,KHP!AG140,KHP!AM140))=9)*(CHOOSE({1,2,3,4},KHP!X140,KHP!AD140,KHP!AJ140,KHP!AP140)))</f>
        <v>0</v>
      </c>
      <c r="J140">
        <f>SUMPRODUCT((MONTH(CHOOSE({1,2,3,4},KHP!U140,KHP!AA140,KHP!AG140,KHP!AM140))=10)*(CHOOSE({1,2,3,4},KHP!X140,KHP!AD140,KHP!AJ140,KHP!AP140)))</f>
        <v>0</v>
      </c>
      <c r="K140">
        <f>SUMPRODUCT((MONTH(CHOOSE({1,2,3,4},KHP!U140,KHP!AA140,KHP!AG140,KHP!AM140))=11)*(CHOOSE({1,2,3,4},KHP!X140,KHP!AD140,KHP!AJ140,KHP!AP140)))</f>
        <v>0</v>
      </c>
      <c r="L140">
        <f>SUMPRODUCT((MONTH(CHOOSE({1,2,3,4},KHP!U140,KHP!AA140,KHP!AG140,KHP!AM140))=12)*(CHOOSE({1,2,3,4},KHP!X140,KHP!AD140,KHP!AJ140,KHP!AP140)))</f>
        <v>0</v>
      </c>
    </row>
    <row r="141" spans="1:12">
      <c r="A141">
        <f>SUMPRODUCT((MONTH(CHOOSE({1,2,3,4},KHP!U141,KHP!AA141,KHP!AG141,KHP!AM141))=1)*(CHOOSE({1,2,3,4},KHP!X141,KHP!AD141,KHP!AJ141,KHP!AP141)))</f>
        <v>0</v>
      </c>
      <c r="B141">
        <f>SUMPRODUCT((MONTH(CHOOSE({1,2,3,4},KHP!U141,KHP!AA141,KHP!AG141,KHP!AM141))=2)*(CHOOSE({1,2,3,4},KHP!X141,KHP!AD141,KHP!AJ141,KHP!AP141)))</f>
        <v>0</v>
      </c>
      <c r="C141">
        <f>SUMPRODUCT((MONTH(CHOOSE({1,2,3,4},KHP!U141,KHP!AA141,KHP!AG141,KHP!AM141))=3)*(CHOOSE({1,2,3,4},KHP!X141,KHP!AD141,KHP!AJ141,KHP!AP141)))</f>
        <v>0</v>
      </c>
      <c r="D141">
        <f>SUMPRODUCT((MONTH(CHOOSE({1,2,3,4},KHP!U141,KHP!AA141,KHP!AG141,KHP!AM141))=4)*(CHOOSE({1,2,3,4},KHP!X141,KHP!AD141,KHP!AJ141,KHP!AP141)))</f>
        <v>0</v>
      </c>
      <c r="E141">
        <f>SUMPRODUCT((MONTH(CHOOSE({1,2,3,4},KHP!U141,KHP!AA141,KHP!AG141,KHP!AM141))=5)*(CHOOSE({1,2,3,4},KHP!X141,KHP!AD141,KHP!AJ141,KHP!AP141)))</f>
        <v>0</v>
      </c>
      <c r="F141">
        <f>SUMPRODUCT((MONTH(CHOOSE({1,2,3,4},KHP!U141,KHP!AA141,KHP!AG141,KHP!AM141))=6)*(CHOOSE({1,2,3,4},KHP!X141,KHP!AD141,KHP!AJ141,KHP!AP141)))</f>
        <v>0</v>
      </c>
      <c r="G141">
        <f>SUMPRODUCT((MONTH(CHOOSE({1,2,3,4},KHP!U141,KHP!AA141,KHP!AG141,KHP!AM141))=7)*(CHOOSE({1,2,3,4},KHP!X141,KHP!AD141,KHP!AJ141,KHP!AP141)))</f>
        <v>0</v>
      </c>
      <c r="H141">
        <f>SUMPRODUCT((MONTH(CHOOSE({1,2,3,4},KHP!U141,KHP!AA141,KHP!AG141,KHP!AM141))=8)*(CHOOSE({1,2,3,4},KHP!X141,KHP!AD141,KHP!AJ141,KHP!AP141)))</f>
        <v>0</v>
      </c>
      <c r="I141">
        <f>SUMPRODUCT((MONTH(CHOOSE({1,2,3,4},KHP!U141,KHP!AA141,KHP!AG141,KHP!AM141))=9)*(CHOOSE({1,2,3,4},KHP!X141,KHP!AD141,KHP!AJ141,KHP!AP141)))</f>
        <v>0</v>
      </c>
      <c r="J141">
        <f>SUMPRODUCT((MONTH(CHOOSE({1,2,3,4},KHP!U141,KHP!AA141,KHP!AG141,KHP!AM141))=10)*(CHOOSE({1,2,3,4},KHP!X141,KHP!AD141,KHP!AJ141,KHP!AP141)))</f>
        <v>0</v>
      </c>
      <c r="K141">
        <f>SUMPRODUCT((MONTH(CHOOSE({1,2,3,4},KHP!U141,KHP!AA141,KHP!AG141,KHP!AM141))=11)*(CHOOSE({1,2,3,4},KHP!X141,KHP!AD141,KHP!AJ141,KHP!AP141)))</f>
        <v>0</v>
      </c>
      <c r="L141">
        <f>SUMPRODUCT((MONTH(CHOOSE({1,2,3,4},KHP!U141,KHP!AA141,KHP!AG141,KHP!AM141))=12)*(CHOOSE({1,2,3,4},KHP!X141,KHP!AD141,KHP!AJ141,KHP!AP141)))</f>
        <v>0</v>
      </c>
    </row>
    <row r="142" spans="1:12">
      <c r="A142">
        <f>SUMPRODUCT((MONTH(CHOOSE({1,2,3,4},KHP!U142,KHP!AA142,KHP!AG142,KHP!AM142))=1)*(CHOOSE({1,2,3,4},KHP!X142,KHP!AD142,KHP!AJ142,KHP!AP142)))</f>
        <v>0</v>
      </c>
      <c r="B142">
        <f>SUMPRODUCT((MONTH(CHOOSE({1,2,3,4},KHP!U142,KHP!AA142,KHP!AG142,KHP!AM142))=2)*(CHOOSE({1,2,3,4},KHP!X142,KHP!AD142,KHP!AJ142,KHP!AP142)))</f>
        <v>0</v>
      </c>
      <c r="C142">
        <f>SUMPRODUCT((MONTH(CHOOSE({1,2,3,4},KHP!U142,KHP!AA142,KHP!AG142,KHP!AM142))=3)*(CHOOSE({1,2,3,4},KHP!X142,KHP!AD142,KHP!AJ142,KHP!AP142)))</f>
        <v>0</v>
      </c>
      <c r="D142">
        <f>SUMPRODUCT((MONTH(CHOOSE({1,2,3,4},KHP!U142,KHP!AA142,KHP!AG142,KHP!AM142))=4)*(CHOOSE({1,2,3,4},KHP!X142,KHP!AD142,KHP!AJ142,KHP!AP142)))</f>
        <v>0</v>
      </c>
      <c r="E142">
        <f>SUMPRODUCT((MONTH(CHOOSE({1,2,3,4},KHP!U142,KHP!AA142,KHP!AG142,KHP!AM142))=5)*(CHOOSE({1,2,3,4},KHP!X142,KHP!AD142,KHP!AJ142,KHP!AP142)))</f>
        <v>0</v>
      </c>
      <c r="F142">
        <f>SUMPRODUCT((MONTH(CHOOSE({1,2,3,4},KHP!U142,KHP!AA142,KHP!AG142,KHP!AM142))=6)*(CHOOSE({1,2,3,4},KHP!X142,KHP!AD142,KHP!AJ142,KHP!AP142)))</f>
        <v>0</v>
      </c>
      <c r="G142">
        <f>SUMPRODUCT((MONTH(CHOOSE({1,2,3,4},KHP!U142,KHP!AA142,KHP!AG142,KHP!AM142))=7)*(CHOOSE({1,2,3,4},KHP!X142,KHP!AD142,KHP!AJ142,KHP!AP142)))</f>
        <v>0</v>
      </c>
      <c r="H142">
        <f>SUMPRODUCT((MONTH(CHOOSE({1,2,3,4},KHP!U142,KHP!AA142,KHP!AG142,KHP!AM142))=8)*(CHOOSE({1,2,3,4},KHP!X142,KHP!AD142,KHP!AJ142,KHP!AP142)))</f>
        <v>0</v>
      </c>
      <c r="I142">
        <f>SUMPRODUCT((MONTH(CHOOSE({1,2,3,4},KHP!U142,KHP!AA142,KHP!AG142,KHP!AM142))=9)*(CHOOSE({1,2,3,4},KHP!X142,KHP!AD142,KHP!AJ142,KHP!AP142)))</f>
        <v>0</v>
      </c>
      <c r="J142">
        <f>SUMPRODUCT((MONTH(CHOOSE({1,2,3,4},KHP!U142,KHP!AA142,KHP!AG142,KHP!AM142))=10)*(CHOOSE({1,2,3,4},KHP!X142,KHP!AD142,KHP!AJ142,KHP!AP142)))</f>
        <v>0</v>
      </c>
      <c r="K142">
        <f>SUMPRODUCT((MONTH(CHOOSE({1,2,3,4},KHP!U142,KHP!AA142,KHP!AG142,KHP!AM142))=11)*(CHOOSE({1,2,3,4},KHP!X142,KHP!AD142,KHP!AJ142,KHP!AP142)))</f>
        <v>0</v>
      </c>
      <c r="L142">
        <f>SUMPRODUCT((MONTH(CHOOSE({1,2,3,4},KHP!U142,KHP!AA142,KHP!AG142,KHP!AM142))=12)*(CHOOSE({1,2,3,4},KHP!X142,KHP!AD142,KHP!AJ142,KHP!AP142)))</f>
        <v>0</v>
      </c>
    </row>
    <row r="143" spans="1:12">
      <c r="A143">
        <f>SUMPRODUCT((MONTH(CHOOSE({1,2,3,4},KHP!U143,KHP!AA143,KHP!AG143,KHP!AM143))=1)*(CHOOSE({1,2,3,4},KHP!X143,KHP!AD143,KHP!AJ143,KHP!AP143)))</f>
        <v>0</v>
      </c>
      <c r="B143">
        <f>SUMPRODUCT((MONTH(CHOOSE({1,2,3,4},KHP!U143,KHP!AA143,KHP!AG143,KHP!AM143))=2)*(CHOOSE({1,2,3,4},KHP!X143,KHP!AD143,KHP!AJ143,KHP!AP143)))</f>
        <v>0</v>
      </c>
      <c r="C143">
        <f>SUMPRODUCT((MONTH(CHOOSE({1,2,3,4},KHP!U143,KHP!AA143,KHP!AG143,KHP!AM143))=3)*(CHOOSE({1,2,3,4},KHP!X143,KHP!AD143,KHP!AJ143,KHP!AP143)))</f>
        <v>0</v>
      </c>
      <c r="D143">
        <f>SUMPRODUCT((MONTH(CHOOSE({1,2,3,4},KHP!U143,KHP!AA143,KHP!AG143,KHP!AM143))=4)*(CHOOSE({1,2,3,4},KHP!X143,KHP!AD143,KHP!AJ143,KHP!AP143)))</f>
        <v>0</v>
      </c>
      <c r="E143">
        <f>SUMPRODUCT((MONTH(CHOOSE({1,2,3,4},KHP!U143,KHP!AA143,KHP!AG143,KHP!AM143))=5)*(CHOOSE({1,2,3,4},KHP!X143,KHP!AD143,KHP!AJ143,KHP!AP143)))</f>
        <v>0</v>
      </c>
      <c r="F143">
        <f>SUMPRODUCT((MONTH(CHOOSE({1,2,3,4},KHP!U143,KHP!AA143,KHP!AG143,KHP!AM143))=6)*(CHOOSE({1,2,3,4},KHP!X143,KHP!AD143,KHP!AJ143,KHP!AP143)))</f>
        <v>0</v>
      </c>
      <c r="G143">
        <f>SUMPRODUCT((MONTH(CHOOSE({1,2,3,4},KHP!U143,KHP!AA143,KHP!AG143,KHP!AM143))=7)*(CHOOSE({1,2,3,4},KHP!X143,KHP!AD143,KHP!AJ143,KHP!AP143)))</f>
        <v>0</v>
      </c>
      <c r="H143">
        <f>SUMPRODUCT((MONTH(CHOOSE({1,2,3,4},KHP!U143,KHP!AA143,KHP!AG143,KHP!AM143))=8)*(CHOOSE({1,2,3,4},KHP!X143,KHP!AD143,KHP!AJ143,KHP!AP143)))</f>
        <v>0</v>
      </c>
      <c r="I143">
        <f>SUMPRODUCT((MONTH(CHOOSE({1,2,3,4},KHP!U143,KHP!AA143,KHP!AG143,KHP!AM143))=9)*(CHOOSE({1,2,3,4},KHP!X143,KHP!AD143,KHP!AJ143,KHP!AP143)))</f>
        <v>0</v>
      </c>
      <c r="J143">
        <f>SUMPRODUCT((MONTH(CHOOSE({1,2,3,4},KHP!U143,KHP!AA143,KHP!AG143,KHP!AM143))=10)*(CHOOSE({1,2,3,4},KHP!X143,KHP!AD143,KHP!AJ143,KHP!AP143)))</f>
        <v>0</v>
      </c>
      <c r="K143">
        <f>SUMPRODUCT((MONTH(CHOOSE({1,2,3,4},KHP!U143,KHP!AA143,KHP!AG143,KHP!AM143))=11)*(CHOOSE({1,2,3,4},KHP!X143,KHP!AD143,KHP!AJ143,KHP!AP143)))</f>
        <v>0</v>
      </c>
      <c r="L143">
        <f>SUMPRODUCT((MONTH(CHOOSE({1,2,3,4},KHP!U143,KHP!AA143,KHP!AG143,KHP!AM143))=12)*(CHOOSE({1,2,3,4},KHP!X143,KHP!AD143,KHP!AJ143,KHP!AP143)))</f>
        <v>0</v>
      </c>
    </row>
    <row r="144" spans="1:12">
      <c r="A144">
        <f>SUMPRODUCT((MONTH(CHOOSE({1,2,3,4},KHP!U144,KHP!AA144,KHP!AG144,KHP!AM144))=1)*(CHOOSE({1,2,3,4},KHP!X144,KHP!AD144,KHP!AJ144,KHP!AP144)))</f>
        <v>0</v>
      </c>
      <c r="B144">
        <f>SUMPRODUCT((MONTH(CHOOSE({1,2,3,4},KHP!U144,KHP!AA144,KHP!AG144,KHP!AM144))=2)*(CHOOSE({1,2,3,4},KHP!X144,KHP!AD144,KHP!AJ144,KHP!AP144)))</f>
        <v>0</v>
      </c>
      <c r="C144">
        <f>SUMPRODUCT((MONTH(CHOOSE({1,2,3,4},KHP!U144,KHP!AA144,KHP!AG144,KHP!AM144))=3)*(CHOOSE({1,2,3,4},KHP!X144,KHP!AD144,KHP!AJ144,KHP!AP144)))</f>
        <v>0</v>
      </c>
      <c r="D144">
        <f>SUMPRODUCT((MONTH(CHOOSE({1,2,3,4},KHP!U144,KHP!AA144,KHP!AG144,KHP!AM144))=4)*(CHOOSE({1,2,3,4},KHP!X144,KHP!AD144,KHP!AJ144,KHP!AP144)))</f>
        <v>0</v>
      </c>
      <c r="E144">
        <f>SUMPRODUCT((MONTH(CHOOSE({1,2,3,4},KHP!U144,KHP!AA144,KHP!AG144,KHP!AM144))=5)*(CHOOSE({1,2,3,4},KHP!X144,KHP!AD144,KHP!AJ144,KHP!AP144)))</f>
        <v>0</v>
      </c>
      <c r="F144">
        <f>SUMPRODUCT((MONTH(CHOOSE({1,2,3,4},KHP!U144,KHP!AA144,KHP!AG144,KHP!AM144))=6)*(CHOOSE({1,2,3,4},KHP!X144,KHP!AD144,KHP!AJ144,KHP!AP144)))</f>
        <v>0</v>
      </c>
      <c r="G144">
        <f>SUMPRODUCT((MONTH(CHOOSE({1,2,3,4},KHP!U144,KHP!AA144,KHP!AG144,KHP!AM144))=7)*(CHOOSE({1,2,3,4},KHP!X144,KHP!AD144,KHP!AJ144,KHP!AP144)))</f>
        <v>0</v>
      </c>
      <c r="H144">
        <f>SUMPRODUCT((MONTH(CHOOSE({1,2,3,4},KHP!U144,KHP!AA144,KHP!AG144,KHP!AM144))=8)*(CHOOSE({1,2,3,4},KHP!X144,KHP!AD144,KHP!AJ144,KHP!AP144)))</f>
        <v>0</v>
      </c>
      <c r="I144">
        <f>SUMPRODUCT((MONTH(CHOOSE({1,2,3,4},KHP!U144,KHP!AA144,KHP!AG144,KHP!AM144))=9)*(CHOOSE({1,2,3,4},KHP!X144,KHP!AD144,KHP!AJ144,KHP!AP144)))</f>
        <v>0</v>
      </c>
      <c r="J144">
        <f>SUMPRODUCT((MONTH(CHOOSE({1,2,3,4},KHP!U144,KHP!AA144,KHP!AG144,KHP!AM144))=10)*(CHOOSE({1,2,3,4},KHP!X144,KHP!AD144,KHP!AJ144,KHP!AP144)))</f>
        <v>0</v>
      </c>
      <c r="K144">
        <f>SUMPRODUCT((MONTH(CHOOSE({1,2,3,4},KHP!U144,KHP!AA144,KHP!AG144,KHP!AM144))=11)*(CHOOSE({1,2,3,4},KHP!X144,KHP!AD144,KHP!AJ144,KHP!AP144)))</f>
        <v>0</v>
      </c>
      <c r="L144">
        <f>SUMPRODUCT((MONTH(CHOOSE({1,2,3,4},KHP!U144,KHP!AA144,KHP!AG144,KHP!AM144))=12)*(CHOOSE({1,2,3,4},KHP!X144,KHP!AD144,KHP!AJ144,KHP!AP144)))</f>
        <v>0</v>
      </c>
    </row>
    <row r="145" spans="1:12">
      <c r="A145">
        <f>SUMPRODUCT((MONTH(CHOOSE({1,2,3,4},KHP!U145,KHP!AA145,KHP!AG145,KHP!AM145))=1)*(CHOOSE({1,2,3,4},KHP!X145,KHP!AD145,KHP!AJ145,KHP!AP145)))</f>
        <v>0</v>
      </c>
      <c r="B145">
        <f>SUMPRODUCT((MONTH(CHOOSE({1,2,3,4},KHP!U145,KHP!AA145,KHP!AG145,KHP!AM145))=2)*(CHOOSE({1,2,3,4},KHP!X145,KHP!AD145,KHP!AJ145,KHP!AP145)))</f>
        <v>0</v>
      </c>
      <c r="C145">
        <f>SUMPRODUCT((MONTH(CHOOSE({1,2,3,4},KHP!U145,KHP!AA145,KHP!AG145,KHP!AM145))=3)*(CHOOSE({1,2,3,4},KHP!X145,KHP!AD145,KHP!AJ145,KHP!AP145)))</f>
        <v>0</v>
      </c>
      <c r="D145">
        <f>SUMPRODUCT((MONTH(CHOOSE({1,2,3,4},KHP!U145,KHP!AA145,KHP!AG145,KHP!AM145))=4)*(CHOOSE({1,2,3,4},KHP!X145,KHP!AD145,KHP!AJ145,KHP!AP145)))</f>
        <v>0</v>
      </c>
      <c r="E145">
        <f>SUMPRODUCT((MONTH(CHOOSE({1,2,3,4},KHP!U145,KHP!AA145,KHP!AG145,KHP!AM145))=5)*(CHOOSE({1,2,3,4},KHP!X145,KHP!AD145,KHP!AJ145,KHP!AP145)))</f>
        <v>0</v>
      </c>
      <c r="F145">
        <f>SUMPRODUCT((MONTH(CHOOSE({1,2,3,4},KHP!U145,KHP!AA145,KHP!AG145,KHP!AM145))=6)*(CHOOSE({1,2,3,4},KHP!X145,KHP!AD145,KHP!AJ145,KHP!AP145)))</f>
        <v>0</v>
      </c>
      <c r="G145">
        <f>SUMPRODUCT((MONTH(CHOOSE({1,2,3,4},KHP!U145,KHP!AA145,KHP!AG145,KHP!AM145))=7)*(CHOOSE({1,2,3,4},KHP!X145,KHP!AD145,KHP!AJ145,KHP!AP145)))</f>
        <v>0</v>
      </c>
      <c r="H145">
        <f>SUMPRODUCT((MONTH(CHOOSE({1,2,3,4},KHP!U145,KHP!AA145,KHP!AG145,KHP!AM145))=8)*(CHOOSE({1,2,3,4},KHP!X145,KHP!AD145,KHP!AJ145,KHP!AP145)))</f>
        <v>0</v>
      </c>
      <c r="I145">
        <f>SUMPRODUCT((MONTH(CHOOSE({1,2,3,4},KHP!U145,KHP!AA145,KHP!AG145,KHP!AM145))=9)*(CHOOSE({1,2,3,4},KHP!X145,KHP!AD145,KHP!AJ145,KHP!AP145)))</f>
        <v>0</v>
      </c>
      <c r="J145">
        <f>SUMPRODUCT((MONTH(CHOOSE({1,2,3,4},KHP!U145,KHP!AA145,KHP!AG145,KHP!AM145))=10)*(CHOOSE({1,2,3,4},KHP!X145,KHP!AD145,KHP!AJ145,KHP!AP145)))</f>
        <v>0</v>
      </c>
      <c r="K145">
        <f>SUMPRODUCT((MONTH(CHOOSE({1,2,3,4},KHP!U145,KHP!AA145,KHP!AG145,KHP!AM145))=11)*(CHOOSE({1,2,3,4},KHP!X145,KHP!AD145,KHP!AJ145,KHP!AP145)))</f>
        <v>0</v>
      </c>
      <c r="L145">
        <f>SUMPRODUCT((MONTH(CHOOSE({1,2,3,4},KHP!U145,KHP!AA145,KHP!AG145,KHP!AM145))=12)*(CHOOSE({1,2,3,4},KHP!X145,KHP!AD145,KHP!AJ145,KHP!AP145)))</f>
        <v>0</v>
      </c>
    </row>
    <row r="146" spans="1:12">
      <c r="A146">
        <f>SUMPRODUCT((MONTH(CHOOSE({1,2,3,4},KHP!U146,KHP!AA146,KHP!AG146,KHP!AM146))=1)*(CHOOSE({1,2,3,4},KHP!X146,KHP!AD146,KHP!AJ146,KHP!AP146)))</f>
        <v>0</v>
      </c>
      <c r="B146">
        <f>SUMPRODUCT((MONTH(CHOOSE({1,2,3,4},KHP!U146,KHP!AA146,KHP!AG146,KHP!AM146))=2)*(CHOOSE({1,2,3,4},KHP!X146,KHP!AD146,KHP!AJ146,KHP!AP146)))</f>
        <v>0</v>
      </c>
      <c r="C146">
        <f>SUMPRODUCT((MONTH(CHOOSE({1,2,3,4},KHP!U146,KHP!AA146,KHP!AG146,KHP!AM146))=3)*(CHOOSE({1,2,3,4},KHP!X146,KHP!AD146,KHP!AJ146,KHP!AP146)))</f>
        <v>0</v>
      </c>
      <c r="D146">
        <f>SUMPRODUCT((MONTH(CHOOSE({1,2,3,4},KHP!U146,KHP!AA146,KHP!AG146,KHP!AM146))=4)*(CHOOSE({1,2,3,4},KHP!X146,KHP!AD146,KHP!AJ146,KHP!AP146)))</f>
        <v>0</v>
      </c>
      <c r="E146">
        <f>SUMPRODUCT((MONTH(CHOOSE({1,2,3,4},KHP!U146,KHP!AA146,KHP!AG146,KHP!AM146))=5)*(CHOOSE({1,2,3,4},KHP!X146,KHP!AD146,KHP!AJ146,KHP!AP146)))</f>
        <v>0</v>
      </c>
      <c r="F146">
        <f>SUMPRODUCT((MONTH(CHOOSE({1,2,3,4},KHP!U146,KHP!AA146,KHP!AG146,KHP!AM146))=6)*(CHOOSE({1,2,3,4},KHP!X146,KHP!AD146,KHP!AJ146,KHP!AP146)))</f>
        <v>0</v>
      </c>
      <c r="G146">
        <f>SUMPRODUCT((MONTH(CHOOSE({1,2,3,4},KHP!U146,KHP!AA146,KHP!AG146,KHP!AM146))=7)*(CHOOSE({1,2,3,4},KHP!X146,KHP!AD146,KHP!AJ146,KHP!AP146)))</f>
        <v>0</v>
      </c>
      <c r="H146">
        <f>SUMPRODUCT((MONTH(CHOOSE({1,2,3,4},KHP!U146,KHP!AA146,KHP!AG146,KHP!AM146))=8)*(CHOOSE({1,2,3,4},KHP!X146,KHP!AD146,KHP!AJ146,KHP!AP146)))</f>
        <v>0</v>
      </c>
      <c r="I146">
        <f>SUMPRODUCT((MONTH(CHOOSE({1,2,3,4},KHP!U146,KHP!AA146,KHP!AG146,KHP!AM146))=9)*(CHOOSE({1,2,3,4},KHP!X146,KHP!AD146,KHP!AJ146,KHP!AP146)))</f>
        <v>0</v>
      </c>
      <c r="J146">
        <f>SUMPRODUCT((MONTH(CHOOSE({1,2,3,4},KHP!U146,KHP!AA146,KHP!AG146,KHP!AM146))=10)*(CHOOSE({1,2,3,4},KHP!X146,KHP!AD146,KHP!AJ146,KHP!AP146)))</f>
        <v>0</v>
      </c>
      <c r="K146">
        <f>SUMPRODUCT((MONTH(CHOOSE({1,2,3,4},KHP!U146,KHP!AA146,KHP!AG146,KHP!AM146))=11)*(CHOOSE({1,2,3,4},KHP!X146,KHP!AD146,KHP!AJ146,KHP!AP146)))</f>
        <v>0</v>
      </c>
      <c r="L146">
        <f>SUMPRODUCT((MONTH(CHOOSE({1,2,3,4},KHP!U146,KHP!AA146,KHP!AG146,KHP!AM146))=12)*(CHOOSE({1,2,3,4},KHP!X146,KHP!AD146,KHP!AJ146,KHP!AP146)))</f>
        <v>0</v>
      </c>
    </row>
    <row r="147" spans="1:12">
      <c r="A147">
        <f>SUMPRODUCT((MONTH(CHOOSE({1,2,3,4},KHP!U147,KHP!AA147,KHP!AG147,KHP!AM147))=1)*(CHOOSE({1,2,3,4},KHP!X147,KHP!AD147,KHP!AJ147,KHP!AP147)))</f>
        <v>0</v>
      </c>
      <c r="B147">
        <f>SUMPRODUCT((MONTH(CHOOSE({1,2,3,4},KHP!U147,KHP!AA147,KHP!AG147,KHP!AM147))=2)*(CHOOSE({1,2,3,4},KHP!X147,KHP!AD147,KHP!AJ147,KHP!AP147)))</f>
        <v>0</v>
      </c>
      <c r="C147">
        <f>SUMPRODUCT((MONTH(CHOOSE({1,2,3,4},KHP!U147,KHP!AA147,KHP!AG147,KHP!AM147))=3)*(CHOOSE({1,2,3,4},KHP!X147,KHP!AD147,KHP!AJ147,KHP!AP147)))</f>
        <v>0</v>
      </c>
      <c r="D147">
        <f>SUMPRODUCT((MONTH(CHOOSE({1,2,3,4},KHP!U147,KHP!AA147,KHP!AG147,KHP!AM147))=4)*(CHOOSE({1,2,3,4},KHP!X147,KHP!AD147,KHP!AJ147,KHP!AP147)))</f>
        <v>0</v>
      </c>
      <c r="E147">
        <f>SUMPRODUCT((MONTH(CHOOSE({1,2,3,4},KHP!U147,KHP!AA147,KHP!AG147,KHP!AM147))=5)*(CHOOSE({1,2,3,4},KHP!X147,KHP!AD147,KHP!AJ147,KHP!AP147)))</f>
        <v>0</v>
      </c>
      <c r="F147">
        <f>SUMPRODUCT((MONTH(CHOOSE({1,2,3,4},KHP!U147,KHP!AA147,KHP!AG147,KHP!AM147))=6)*(CHOOSE({1,2,3,4},KHP!X147,KHP!AD147,KHP!AJ147,KHP!AP147)))</f>
        <v>0</v>
      </c>
      <c r="G147">
        <f>SUMPRODUCT((MONTH(CHOOSE({1,2,3,4},KHP!U147,KHP!AA147,KHP!AG147,KHP!AM147))=7)*(CHOOSE({1,2,3,4},KHP!X147,KHP!AD147,KHP!AJ147,KHP!AP147)))</f>
        <v>0</v>
      </c>
      <c r="H147">
        <f>SUMPRODUCT((MONTH(CHOOSE({1,2,3,4},KHP!U147,KHP!AA147,KHP!AG147,KHP!AM147))=8)*(CHOOSE({1,2,3,4},KHP!X147,KHP!AD147,KHP!AJ147,KHP!AP147)))</f>
        <v>0</v>
      </c>
      <c r="I147">
        <f>SUMPRODUCT((MONTH(CHOOSE({1,2,3,4},KHP!U147,KHP!AA147,KHP!AG147,KHP!AM147))=9)*(CHOOSE({1,2,3,4},KHP!X147,KHP!AD147,KHP!AJ147,KHP!AP147)))</f>
        <v>0</v>
      </c>
      <c r="J147">
        <f>SUMPRODUCT((MONTH(CHOOSE({1,2,3,4},KHP!U147,KHP!AA147,KHP!AG147,KHP!AM147))=10)*(CHOOSE({1,2,3,4},KHP!X147,KHP!AD147,KHP!AJ147,KHP!AP147)))</f>
        <v>0</v>
      </c>
      <c r="K147">
        <f>SUMPRODUCT((MONTH(CHOOSE({1,2,3,4},KHP!U147,KHP!AA147,KHP!AG147,KHP!AM147))=11)*(CHOOSE({1,2,3,4},KHP!X147,KHP!AD147,KHP!AJ147,KHP!AP147)))</f>
        <v>0</v>
      </c>
      <c r="L147">
        <f>SUMPRODUCT((MONTH(CHOOSE({1,2,3,4},KHP!U147,KHP!AA147,KHP!AG147,KHP!AM147))=12)*(CHOOSE({1,2,3,4},KHP!X147,KHP!AD147,KHP!AJ147,KHP!AP147)))</f>
        <v>0</v>
      </c>
    </row>
    <row r="148" spans="1:12">
      <c r="A148">
        <f>SUMPRODUCT((MONTH(CHOOSE({1,2,3,4},KHP!U148,KHP!AA148,KHP!AG148,KHP!AM148))=1)*(CHOOSE({1,2,3,4},KHP!X148,KHP!AD148,KHP!AJ148,KHP!AP148)))</f>
        <v>0</v>
      </c>
      <c r="B148">
        <f>SUMPRODUCT((MONTH(CHOOSE({1,2,3,4},KHP!U148,KHP!AA148,KHP!AG148,KHP!AM148))=2)*(CHOOSE({1,2,3,4},KHP!X148,KHP!AD148,KHP!AJ148,KHP!AP148)))</f>
        <v>0</v>
      </c>
      <c r="C148">
        <f>SUMPRODUCT((MONTH(CHOOSE({1,2,3,4},KHP!U148,KHP!AA148,KHP!AG148,KHP!AM148))=3)*(CHOOSE({1,2,3,4},KHP!X148,KHP!AD148,KHP!AJ148,KHP!AP148)))</f>
        <v>0</v>
      </c>
      <c r="D148">
        <f>SUMPRODUCT((MONTH(CHOOSE({1,2,3,4},KHP!U148,KHP!AA148,KHP!AG148,KHP!AM148))=4)*(CHOOSE({1,2,3,4},KHP!X148,KHP!AD148,KHP!AJ148,KHP!AP148)))</f>
        <v>0</v>
      </c>
      <c r="E148">
        <f>SUMPRODUCT((MONTH(CHOOSE({1,2,3,4},KHP!U148,KHP!AA148,KHP!AG148,KHP!AM148))=5)*(CHOOSE({1,2,3,4},KHP!X148,KHP!AD148,KHP!AJ148,KHP!AP148)))</f>
        <v>0</v>
      </c>
      <c r="F148">
        <f>SUMPRODUCT((MONTH(CHOOSE({1,2,3,4},KHP!U148,KHP!AA148,KHP!AG148,KHP!AM148))=6)*(CHOOSE({1,2,3,4},KHP!X148,KHP!AD148,KHP!AJ148,KHP!AP148)))</f>
        <v>0</v>
      </c>
      <c r="G148">
        <f>SUMPRODUCT((MONTH(CHOOSE({1,2,3,4},KHP!U148,KHP!AA148,KHP!AG148,KHP!AM148))=7)*(CHOOSE({1,2,3,4},KHP!X148,KHP!AD148,KHP!AJ148,KHP!AP148)))</f>
        <v>0</v>
      </c>
      <c r="H148">
        <f>SUMPRODUCT((MONTH(CHOOSE({1,2,3,4},KHP!U148,KHP!AA148,KHP!AG148,KHP!AM148))=8)*(CHOOSE({1,2,3,4},KHP!X148,KHP!AD148,KHP!AJ148,KHP!AP148)))</f>
        <v>0</v>
      </c>
      <c r="I148">
        <f>SUMPRODUCT((MONTH(CHOOSE({1,2,3,4},KHP!U148,KHP!AA148,KHP!AG148,KHP!AM148))=9)*(CHOOSE({1,2,3,4},KHP!X148,KHP!AD148,KHP!AJ148,KHP!AP148)))</f>
        <v>0</v>
      </c>
      <c r="J148">
        <f>SUMPRODUCT((MONTH(CHOOSE({1,2,3,4},KHP!U148,KHP!AA148,KHP!AG148,KHP!AM148))=10)*(CHOOSE({1,2,3,4},KHP!X148,KHP!AD148,KHP!AJ148,KHP!AP148)))</f>
        <v>0</v>
      </c>
      <c r="K148">
        <f>SUMPRODUCT((MONTH(CHOOSE({1,2,3,4},KHP!U148,KHP!AA148,KHP!AG148,KHP!AM148))=11)*(CHOOSE({1,2,3,4},KHP!X148,KHP!AD148,KHP!AJ148,KHP!AP148)))</f>
        <v>0</v>
      </c>
      <c r="L148">
        <f>SUMPRODUCT((MONTH(CHOOSE({1,2,3,4},KHP!U148,KHP!AA148,KHP!AG148,KHP!AM148))=12)*(CHOOSE({1,2,3,4},KHP!X148,KHP!AD148,KHP!AJ148,KHP!AP148)))</f>
        <v>0</v>
      </c>
    </row>
    <row r="149" spans="1:12">
      <c r="A149">
        <f>SUMPRODUCT((MONTH(CHOOSE({1,2,3,4},KHP!U149,KHP!AA149,KHP!AG149,KHP!AM149))=1)*(CHOOSE({1,2,3,4},KHP!X149,KHP!AD149,KHP!AJ149,KHP!AP149)))</f>
        <v>0</v>
      </c>
      <c r="B149">
        <f>SUMPRODUCT((MONTH(CHOOSE({1,2,3,4},KHP!U149,KHP!AA149,KHP!AG149,KHP!AM149))=2)*(CHOOSE({1,2,3,4},KHP!X149,KHP!AD149,KHP!AJ149,KHP!AP149)))</f>
        <v>0</v>
      </c>
      <c r="C149">
        <f>SUMPRODUCT((MONTH(CHOOSE({1,2,3,4},KHP!U149,KHP!AA149,KHP!AG149,KHP!AM149))=3)*(CHOOSE({1,2,3,4},KHP!X149,KHP!AD149,KHP!AJ149,KHP!AP149)))</f>
        <v>0</v>
      </c>
      <c r="D149">
        <f>SUMPRODUCT((MONTH(CHOOSE({1,2,3,4},KHP!U149,KHP!AA149,KHP!AG149,KHP!AM149))=4)*(CHOOSE({1,2,3,4},KHP!X149,KHP!AD149,KHP!AJ149,KHP!AP149)))</f>
        <v>0</v>
      </c>
      <c r="E149">
        <f>SUMPRODUCT((MONTH(CHOOSE({1,2,3,4},KHP!U149,KHP!AA149,KHP!AG149,KHP!AM149))=5)*(CHOOSE({1,2,3,4},KHP!X149,KHP!AD149,KHP!AJ149,KHP!AP149)))</f>
        <v>0</v>
      </c>
      <c r="F149">
        <f>SUMPRODUCT((MONTH(CHOOSE({1,2,3,4},KHP!U149,KHP!AA149,KHP!AG149,KHP!AM149))=6)*(CHOOSE({1,2,3,4},KHP!X149,KHP!AD149,KHP!AJ149,KHP!AP149)))</f>
        <v>0</v>
      </c>
      <c r="G149">
        <f>SUMPRODUCT((MONTH(CHOOSE({1,2,3,4},KHP!U149,KHP!AA149,KHP!AG149,KHP!AM149))=7)*(CHOOSE({1,2,3,4},KHP!X149,KHP!AD149,KHP!AJ149,KHP!AP149)))</f>
        <v>0</v>
      </c>
      <c r="H149">
        <f>SUMPRODUCT((MONTH(CHOOSE({1,2,3,4},KHP!U149,KHP!AA149,KHP!AG149,KHP!AM149))=8)*(CHOOSE({1,2,3,4},KHP!X149,KHP!AD149,KHP!AJ149,KHP!AP149)))</f>
        <v>0</v>
      </c>
      <c r="I149">
        <f>SUMPRODUCT((MONTH(CHOOSE({1,2,3,4},KHP!U149,KHP!AA149,KHP!AG149,KHP!AM149))=9)*(CHOOSE({1,2,3,4},KHP!X149,KHP!AD149,KHP!AJ149,KHP!AP149)))</f>
        <v>0</v>
      </c>
      <c r="J149">
        <f>SUMPRODUCT((MONTH(CHOOSE({1,2,3,4},KHP!U149,KHP!AA149,KHP!AG149,KHP!AM149))=10)*(CHOOSE({1,2,3,4},KHP!X149,KHP!AD149,KHP!AJ149,KHP!AP149)))</f>
        <v>0</v>
      </c>
      <c r="K149">
        <f>SUMPRODUCT((MONTH(CHOOSE({1,2,3,4},KHP!U149,KHP!AA149,KHP!AG149,KHP!AM149))=11)*(CHOOSE({1,2,3,4},KHP!X149,KHP!AD149,KHP!AJ149,KHP!AP149)))</f>
        <v>0</v>
      </c>
      <c r="L149">
        <f>SUMPRODUCT((MONTH(CHOOSE({1,2,3,4},KHP!U149,KHP!AA149,KHP!AG149,KHP!AM149))=12)*(CHOOSE({1,2,3,4},KHP!X149,KHP!AD149,KHP!AJ149,KHP!AP149)))</f>
        <v>0</v>
      </c>
    </row>
    <row r="150" spans="1:12">
      <c r="A150">
        <f>SUMPRODUCT((MONTH(CHOOSE({1,2,3,4},KHP!U150,KHP!AA150,KHP!AG150,KHP!AM150))=1)*(CHOOSE({1,2,3,4},KHP!X150,KHP!AD150,KHP!AJ150,KHP!AP150)))</f>
        <v>0</v>
      </c>
      <c r="B150">
        <f>SUMPRODUCT((MONTH(CHOOSE({1,2,3,4},KHP!U150,KHP!AA150,KHP!AG150,KHP!AM150))=2)*(CHOOSE({1,2,3,4},KHP!X150,KHP!AD150,KHP!AJ150,KHP!AP150)))</f>
        <v>0</v>
      </c>
      <c r="C150">
        <f>SUMPRODUCT((MONTH(CHOOSE({1,2,3,4},KHP!U150,KHP!AA150,KHP!AG150,KHP!AM150))=3)*(CHOOSE({1,2,3,4},KHP!X150,KHP!AD150,KHP!AJ150,KHP!AP150)))</f>
        <v>0</v>
      </c>
      <c r="D150">
        <f>SUMPRODUCT((MONTH(CHOOSE({1,2,3,4},KHP!U150,KHP!AA150,KHP!AG150,KHP!AM150))=4)*(CHOOSE({1,2,3,4},KHP!X150,KHP!AD150,KHP!AJ150,KHP!AP150)))</f>
        <v>0</v>
      </c>
      <c r="E150">
        <f>SUMPRODUCT((MONTH(CHOOSE({1,2,3,4},KHP!U150,KHP!AA150,KHP!AG150,KHP!AM150))=5)*(CHOOSE({1,2,3,4},KHP!X150,KHP!AD150,KHP!AJ150,KHP!AP150)))</f>
        <v>0</v>
      </c>
      <c r="F150">
        <f>SUMPRODUCT((MONTH(CHOOSE({1,2,3,4},KHP!U150,KHP!AA150,KHP!AG150,KHP!AM150))=6)*(CHOOSE({1,2,3,4},KHP!X150,KHP!AD150,KHP!AJ150,KHP!AP150)))</f>
        <v>0</v>
      </c>
      <c r="G150">
        <f>SUMPRODUCT((MONTH(CHOOSE({1,2,3,4},KHP!U150,KHP!AA150,KHP!AG150,KHP!AM150))=7)*(CHOOSE({1,2,3,4},KHP!X150,KHP!AD150,KHP!AJ150,KHP!AP150)))</f>
        <v>0</v>
      </c>
      <c r="H150">
        <f>SUMPRODUCT((MONTH(CHOOSE({1,2,3,4},KHP!U150,KHP!AA150,KHP!AG150,KHP!AM150))=8)*(CHOOSE({1,2,3,4},KHP!X150,KHP!AD150,KHP!AJ150,KHP!AP150)))</f>
        <v>0</v>
      </c>
      <c r="I150">
        <f>SUMPRODUCT((MONTH(CHOOSE({1,2,3,4},KHP!U150,KHP!AA150,KHP!AG150,KHP!AM150))=9)*(CHOOSE({1,2,3,4},KHP!X150,KHP!AD150,KHP!AJ150,KHP!AP150)))</f>
        <v>0</v>
      </c>
      <c r="J150">
        <f>SUMPRODUCT((MONTH(CHOOSE({1,2,3,4},KHP!U150,KHP!AA150,KHP!AG150,KHP!AM150))=10)*(CHOOSE({1,2,3,4},KHP!X150,KHP!AD150,KHP!AJ150,KHP!AP150)))</f>
        <v>0</v>
      </c>
      <c r="K150">
        <f>SUMPRODUCT((MONTH(CHOOSE({1,2,3,4},KHP!U150,KHP!AA150,KHP!AG150,KHP!AM150))=11)*(CHOOSE({1,2,3,4},KHP!X150,KHP!AD150,KHP!AJ150,KHP!AP150)))</f>
        <v>0</v>
      </c>
      <c r="L150">
        <f>SUMPRODUCT((MONTH(CHOOSE({1,2,3,4},KHP!U150,KHP!AA150,KHP!AG150,KHP!AM150))=12)*(CHOOSE({1,2,3,4},KHP!X150,KHP!AD150,KHP!AJ150,KHP!AP150)))</f>
        <v>0</v>
      </c>
    </row>
    <row r="151" spans="1:12">
      <c r="A151">
        <f>SUMPRODUCT((MONTH(CHOOSE({1,2,3,4},KHP!U151,KHP!AA151,KHP!AG151,KHP!AM151))=1)*(CHOOSE({1,2,3,4},KHP!X151,KHP!AD151,KHP!AJ151,KHP!AP151)))</f>
        <v>0</v>
      </c>
      <c r="B151">
        <f>SUMPRODUCT((MONTH(CHOOSE({1,2,3,4},KHP!U151,KHP!AA151,KHP!AG151,KHP!AM151))=2)*(CHOOSE({1,2,3,4},KHP!X151,KHP!AD151,KHP!AJ151,KHP!AP151)))</f>
        <v>0</v>
      </c>
      <c r="C151">
        <f>SUMPRODUCT((MONTH(CHOOSE({1,2,3,4},KHP!U151,KHP!AA151,KHP!AG151,KHP!AM151))=3)*(CHOOSE({1,2,3,4},KHP!X151,KHP!AD151,KHP!AJ151,KHP!AP151)))</f>
        <v>0</v>
      </c>
      <c r="D151">
        <f>SUMPRODUCT((MONTH(CHOOSE({1,2,3,4},KHP!U151,KHP!AA151,KHP!AG151,KHP!AM151))=4)*(CHOOSE({1,2,3,4},KHP!X151,KHP!AD151,KHP!AJ151,KHP!AP151)))</f>
        <v>0</v>
      </c>
      <c r="E151">
        <f>SUMPRODUCT((MONTH(CHOOSE({1,2,3,4},KHP!U151,KHP!AA151,KHP!AG151,KHP!AM151))=5)*(CHOOSE({1,2,3,4},KHP!X151,KHP!AD151,KHP!AJ151,KHP!AP151)))</f>
        <v>0</v>
      </c>
      <c r="F151">
        <f>SUMPRODUCT((MONTH(CHOOSE({1,2,3,4},KHP!U151,KHP!AA151,KHP!AG151,KHP!AM151))=6)*(CHOOSE({1,2,3,4},KHP!X151,KHP!AD151,KHP!AJ151,KHP!AP151)))</f>
        <v>0</v>
      </c>
      <c r="G151">
        <f>SUMPRODUCT((MONTH(CHOOSE({1,2,3,4},KHP!U151,KHP!AA151,KHP!AG151,KHP!AM151))=7)*(CHOOSE({1,2,3,4},KHP!X151,KHP!AD151,KHP!AJ151,KHP!AP151)))</f>
        <v>0</v>
      </c>
      <c r="H151">
        <f>SUMPRODUCT((MONTH(CHOOSE({1,2,3,4},KHP!U151,KHP!AA151,KHP!AG151,KHP!AM151))=8)*(CHOOSE({1,2,3,4},KHP!X151,KHP!AD151,KHP!AJ151,KHP!AP151)))</f>
        <v>0</v>
      </c>
      <c r="I151">
        <f>SUMPRODUCT((MONTH(CHOOSE({1,2,3,4},KHP!U151,KHP!AA151,KHP!AG151,KHP!AM151))=9)*(CHOOSE({1,2,3,4},KHP!X151,KHP!AD151,KHP!AJ151,KHP!AP151)))</f>
        <v>0</v>
      </c>
      <c r="J151">
        <f>SUMPRODUCT((MONTH(CHOOSE({1,2,3,4},KHP!U151,KHP!AA151,KHP!AG151,KHP!AM151))=10)*(CHOOSE({1,2,3,4},KHP!X151,KHP!AD151,KHP!AJ151,KHP!AP151)))</f>
        <v>0</v>
      </c>
      <c r="K151">
        <f>SUMPRODUCT((MONTH(CHOOSE({1,2,3,4},KHP!U151,KHP!AA151,KHP!AG151,KHP!AM151))=11)*(CHOOSE({1,2,3,4},KHP!X151,KHP!AD151,KHP!AJ151,KHP!AP151)))</f>
        <v>0</v>
      </c>
      <c r="L151">
        <f>SUMPRODUCT((MONTH(CHOOSE({1,2,3,4},KHP!U151,KHP!AA151,KHP!AG151,KHP!AM151))=12)*(CHOOSE({1,2,3,4},KHP!X151,KHP!AD151,KHP!AJ151,KHP!AP151)))</f>
        <v>0</v>
      </c>
    </row>
    <row r="152" spans="1:12">
      <c r="A152">
        <f>SUMPRODUCT((MONTH(CHOOSE({1,2,3,4},KHP!U152,KHP!AA152,KHP!AG152,KHP!AM152))=1)*(CHOOSE({1,2,3,4},KHP!X152,KHP!AD152,KHP!AJ152,KHP!AP152)))</f>
        <v>0</v>
      </c>
      <c r="B152">
        <f>SUMPRODUCT((MONTH(CHOOSE({1,2,3,4},KHP!U152,KHP!AA152,KHP!AG152,KHP!AM152))=2)*(CHOOSE({1,2,3,4},KHP!X152,KHP!AD152,KHP!AJ152,KHP!AP152)))</f>
        <v>0</v>
      </c>
      <c r="C152">
        <f>SUMPRODUCT((MONTH(CHOOSE({1,2,3,4},KHP!U152,KHP!AA152,KHP!AG152,KHP!AM152))=3)*(CHOOSE({1,2,3,4},KHP!X152,KHP!AD152,KHP!AJ152,KHP!AP152)))</f>
        <v>0</v>
      </c>
      <c r="D152">
        <f>SUMPRODUCT((MONTH(CHOOSE({1,2,3,4},KHP!U152,KHP!AA152,KHP!AG152,KHP!AM152))=4)*(CHOOSE({1,2,3,4},KHP!X152,KHP!AD152,KHP!AJ152,KHP!AP152)))</f>
        <v>0</v>
      </c>
      <c r="E152">
        <f>SUMPRODUCT((MONTH(CHOOSE({1,2,3,4},KHP!U152,KHP!AA152,KHP!AG152,KHP!AM152))=5)*(CHOOSE({1,2,3,4},KHP!X152,KHP!AD152,KHP!AJ152,KHP!AP152)))</f>
        <v>0</v>
      </c>
      <c r="F152">
        <f>SUMPRODUCT((MONTH(CHOOSE({1,2,3,4},KHP!U152,KHP!AA152,KHP!AG152,KHP!AM152))=6)*(CHOOSE({1,2,3,4},KHP!X152,KHP!AD152,KHP!AJ152,KHP!AP152)))</f>
        <v>0</v>
      </c>
      <c r="G152">
        <f>SUMPRODUCT((MONTH(CHOOSE({1,2,3,4},KHP!U152,KHP!AA152,KHP!AG152,KHP!AM152))=7)*(CHOOSE({1,2,3,4},KHP!X152,KHP!AD152,KHP!AJ152,KHP!AP152)))</f>
        <v>0</v>
      </c>
      <c r="H152">
        <f>SUMPRODUCT((MONTH(CHOOSE({1,2,3,4},KHP!U152,KHP!AA152,KHP!AG152,KHP!AM152))=8)*(CHOOSE({1,2,3,4},KHP!X152,KHP!AD152,KHP!AJ152,KHP!AP152)))</f>
        <v>0</v>
      </c>
      <c r="I152">
        <f>SUMPRODUCT((MONTH(CHOOSE({1,2,3,4},KHP!U152,KHP!AA152,KHP!AG152,KHP!AM152))=9)*(CHOOSE({1,2,3,4},KHP!X152,KHP!AD152,KHP!AJ152,KHP!AP152)))</f>
        <v>0</v>
      </c>
      <c r="J152">
        <f>SUMPRODUCT((MONTH(CHOOSE({1,2,3,4},KHP!U152,KHP!AA152,KHP!AG152,KHP!AM152))=10)*(CHOOSE({1,2,3,4},KHP!X152,KHP!AD152,KHP!AJ152,KHP!AP152)))</f>
        <v>0</v>
      </c>
      <c r="K152">
        <f>SUMPRODUCT((MONTH(CHOOSE({1,2,3,4},KHP!U152,KHP!AA152,KHP!AG152,KHP!AM152))=11)*(CHOOSE({1,2,3,4},KHP!X152,KHP!AD152,KHP!AJ152,KHP!AP152)))</f>
        <v>0</v>
      </c>
      <c r="L152">
        <f>SUMPRODUCT((MONTH(CHOOSE({1,2,3,4},KHP!U152,KHP!AA152,KHP!AG152,KHP!AM152))=12)*(CHOOSE({1,2,3,4},KHP!X152,KHP!AD152,KHP!AJ152,KHP!AP152)))</f>
        <v>0</v>
      </c>
    </row>
    <row r="153" spans="1:12">
      <c r="A153">
        <f>SUMPRODUCT((MONTH(CHOOSE({1,2,3,4},KHP!U153,KHP!AA153,KHP!AG153,KHP!AM153))=1)*(CHOOSE({1,2,3,4},KHP!X153,KHP!AD153,KHP!AJ153,KHP!AP153)))</f>
        <v>0</v>
      </c>
      <c r="B153">
        <f>SUMPRODUCT((MONTH(CHOOSE({1,2,3,4},KHP!U153,KHP!AA153,KHP!AG153,KHP!AM153))=2)*(CHOOSE({1,2,3,4},KHP!X153,KHP!AD153,KHP!AJ153,KHP!AP153)))</f>
        <v>0</v>
      </c>
      <c r="C153">
        <f>SUMPRODUCT((MONTH(CHOOSE({1,2,3,4},KHP!U153,KHP!AA153,KHP!AG153,KHP!AM153))=3)*(CHOOSE({1,2,3,4},KHP!X153,KHP!AD153,KHP!AJ153,KHP!AP153)))</f>
        <v>0</v>
      </c>
      <c r="D153">
        <f>SUMPRODUCT((MONTH(CHOOSE({1,2,3,4},KHP!U153,KHP!AA153,KHP!AG153,KHP!AM153))=4)*(CHOOSE({1,2,3,4},KHP!X153,KHP!AD153,KHP!AJ153,KHP!AP153)))</f>
        <v>0</v>
      </c>
      <c r="E153">
        <f>SUMPRODUCT((MONTH(CHOOSE({1,2,3,4},KHP!U153,KHP!AA153,KHP!AG153,KHP!AM153))=5)*(CHOOSE({1,2,3,4},KHP!X153,KHP!AD153,KHP!AJ153,KHP!AP153)))</f>
        <v>0</v>
      </c>
      <c r="F153">
        <f>SUMPRODUCT((MONTH(CHOOSE({1,2,3,4},KHP!U153,KHP!AA153,KHP!AG153,KHP!AM153))=6)*(CHOOSE({1,2,3,4},KHP!X153,KHP!AD153,KHP!AJ153,KHP!AP153)))</f>
        <v>0</v>
      </c>
      <c r="G153">
        <f>SUMPRODUCT((MONTH(CHOOSE({1,2,3,4},KHP!U153,KHP!AA153,KHP!AG153,KHP!AM153))=7)*(CHOOSE({1,2,3,4},KHP!X153,KHP!AD153,KHP!AJ153,KHP!AP153)))</f>
        <v>0</v>
      </c>
      <c r="H153">
        <f>SUMPRODUCT((MONTH(CHOOSE({1,2,3,4},KHP!U153,KHP!AA153,KHP!AG153,KHP!AM153))=8)*(CHOOSE({1,2,3,4},KHP!X153,KHP!AD153,KHP!AJ153,KHP!AP153)))</f>
        <v>0</v>
      </c>
      <c r="I153">
        <f>SUMPRODUCT((MONTH(CHOOSE({1,2,3,4},KHP!U153,KHP!AA153,KHP!AG153,KHP!AM153))=9)*(CHOOSE({1,2,3,4},KHP!X153,KHP!AD153,KHP!AJ153,KHP!AP153)))</f>
        <v>0</v>
      </c>
      <c r="J153">
        <f>SUMPRODUCT((MONTH(CHOOSE({1,2,3,4},KHP!U153,KHP!AA153,KHP!AG153,KHP!AM153))=10)*(CHOOSE({1,2,3,4},KHP!X153,KHP!AD153,KHP!AJ153,KHP!AP153)))</f>
        <v>0</v>
      </c>
      <c r="K153">
        <f>SUMPRODUCT((MONTH(CHOOSE({1,2,3,4},KHP!U153,KHP!AA153,KHP!AG153,KHP!AM153))=11)*(CHOOSE({1,2,3,4},KHP!X153,KHP!AD153,KHP!AJ153,KHP!AP153)))</f>
        <v>0</v>
      </c>
      <c r="L153">
        <f>SUMPRODUCT((MONTH(CHOOSE({1,2,3,4},KHP!U153,KHP!AA153,KHP!AG153,KHP!AM153))=12)*(CHOOSE({1,2,3,4},KHP!X153,KHP!AD153,KHP!AJ153,KHP!AP153)))</f>
        <v>0</v>
      </c>
    </row>
    <row r="154" spans="1:12">
      <c r="A154">
        <f>SUMPRODUCT((MONTH(CHOOSE({1,2,3,4},KHP!U154,KHP!AA154,KHP!AG154,KHP!AM154))=1)*(CHOOSE({1,2,3,4},KHP!X154,KHP!AD154,KHP!AJ154,KHP!AP154)))</f>
        <v>0</v>
      </c>
      <c r="B154">
        <f>SUMPRODUCT((MONTH(CHOOSE({1,2,3,4},KHP!U154,KHP!AA154,KHP!AG154,KHP!AM154))=2)*(CHOOSE({1,2,3,4},KHP!X154,KHP!AD154,KHP!AJ154,KHP!AP154)))</f>
        <v>0</v>
      </c>
      <c r="C154">
        <f>SUMPRODUCT((MONTH(CHOOSE({1,2,3,4},KHP!U154,KHP!AA154,KHP!AG154,KHP!AM154))=3)*(CHOOSE({1,2,3,4},KHP!X154,KHP!AD154,KHP!AJ154,KHP!AP154)))</f>
        <v>0</v>
      </c>
      <c r="D154">
        <f>SUMPRODUCT((MONTH(CHOOSE({1,2,3,4},KHP!U154,KHP!AA154,KHP!AG154,KHP!AM154))=4)*(CHOOSE({1,2,3,4},KHP!X154,KHP!AD154,KHP!AJ154,KHP!AP154)))</f>
        <v>0</v>
      </c>
      <c r="E154">
        <f>SUMPRODUCT((MONTH(CHOOSE({1,2,3,4},KHP!U154,KHP!AA154,KHP!AG154,KHP!AM154))=5)*(CHOOSE({1,2,3,4},KHP!X154,KHP!AD154,KHP!AJ154,KHP!AP154)))</f>
        <v>0</v>
      </c>
      <c r="F154">
        <f>SUMPRODUCT((MONTH(CHOOSE({1,2,3,4},KHP!U154,KHP!AA154,KHP!AG154,KHP!AM154))=6)*(CHOOSE({1,2,3,4},KHP!X154,KHP!AD154,KHP!AJ154,KHP!AP154)))</f>
        <v>0</v>
      </c>
      <c r="G154">
        <f>SUMPRODUCT((MONTH(CHOOSE({1,2,3,4},KHP!U154,KHP!AA154,KHP!AG154,KHP!AM154))=7)*(CHOOSE({1,2,3,4},KHP!X154,KHP!AD154,KHP!AJ154,KHP!AP154)))</f>
        <v>0</v>
      </c>
      <c r="H154">
        <f>SUMPRODUCT((MONTH(CHOOSE({1,2,3,4},KHP!U154,KHP!AA154,KHP!AG154,KHP!AM154))=8)*(CHOOSE({1,2,3,4},KHP!X154,KHP!AD154,KHP!AJ154,KHP!AP154)))</f>
        <v>0</v>
      </c>
      <c r="I154">
        <f>SUMPRODUCT((MONTH(CHOOSE({1,2,3,4},KHP!U154,KHP!AA154,KHP!AG154,KHP!AM154))=9)*(CHOOSE({1,2,3,4},KHP!X154,KHP!AD154,KHP!AJ154,KHP!AP154)))</f>
        <v>0</v>
      </c>
      <c r="J154">
        <f>SUMPRODUCT((MONTH(CHOOSE({1,2,3,4},KHP!U154,KHP!AA154,KHP!AG154,KHP!AM154))=10)*(CHOOSE({1,2,3,4},KHP!X154,KHP!AD154,KHP!AJ154,KHP!AP154)))</f>
        <v>0</v>
      </c>
      <c r="K154">
        <f>SUMPRODUCT((MONTH(CHOOSE({1,2,3,4},KHP!U154,KHP!AA154,KHP!AG154,KHP!AM154))=11)*(CHOOSE({1,2,3,4},KHP!X154,KHP!AD154,KHP!AJ154,KHP!AP154)))</f>
        <v>0</v>
      </c>
      <c r="L154">
        <f>SUMPRODUCT((MONTH(CHOOSE({1,2,3,4},KHP!U154,KHP!AA154,KHP!AG154,KHP!AM154))=12)*(CHOOSE({1,2,3,4},KHP!X154,KHP!AD154,KHP!AJ154,KHP!AP154)))</f>
        <v>0</v>
      </c>
    </row>
    <row r="155" spans="1:12">
      <c r="A155">
        <f>SUMPRODUCT((MONTH(CHOOSE({1,2,3,4},KHP!U155,KHP!AA155,KHP!AG155,KHP!AM155))=1)*(CHOOSE({1,2,3,4},KHP!X155,KHP!AD155,KHP!AJ155,KHP!AP155)))</f>
        <v>0</v>
      </c>
      <c r="B155">
        <f>SUMPRODUCT((MONTH(CHOOSE({1,2,3,4},KHP!U155,KHP!AA155,KHP!AG155,KHP!AM155))=2)*(CHOOSE({1,2,3,4},KHP!X155,KHP!AD155,KHP!AJ155,KHP!AP155)))</f>
        <v>0</v>
      </c>
      <c r="C155">
        <f>SUMPRODUCT((MONTH(CHOOSE({1,2,3,4},KHP!U155,KHP!AA155,KHP!AG155,KHP!AM155))=3)*(CHOOSE({1,2,3,4},KHP!X155,KHP!AD155,KHP!AJ155,KHP!AP155)))</f>
        <v>0</v>
      </c>
      <c r="D155">
        <f>SUMPRODUCT((MONTH(CHOOSE({1,2,3,4},KHP!U155,KHP!AA155,KHP!AG155,KHP!AM155))=4)*(CHOOSE({1,2,3,4},KHP!X155,KHP!AD155,KHP!AJ155,KHP!AP155)))</f>
        <v>0</v>
      </c>
      <c r="E155">
        <f>SUMPRODUCT((MONTH(CHOOSE({1,2,3,4},KHP!U155,KHP!AA155,KHP!AG155,KHP!AM155))=5)*(CHOOSE({1,2,3,4},KHP!X155,KHP!AD155,KHP!AJ155,KHP!AP155)))</f>
        <v>0</v>
      </c>
      <c r="F155">
        <f>SUMPRODUCT((MONTH(CHOOSE({1,2,3,4},KHP!U155,KHP!AA155,KHP!AG155,KHP!AM155))=6)*(CHOOSE({1,2,3,4},KHP!X155,KHP!AD155,KHP!AJ155,KHP!AP155)))</f>
        <v>0</v>
      </c>
      <c r="G155">
        <f>SUMPRODUCT((MONTH(CHOOSE({1,2,3,4},KHP!U155,KHP!AA155,KHP!AG155,KHP!AM155))=7)*(CHOOSE({1,2,3,4},KHP!X155,KHP!AD155,KHP!AJ155,KHP!AP155)))</f>
        <v>0</v>
      </c>
      <c r="H155">
        <f>SUMPRODUCT((MONTH(CHOOSE({1,2,3,4},KHP!U155,KHP!AA155,KHP!AG155,KHP!AM155))=8)*(CHOOSE({1,2,3,4},KHP!X155,KHP!AD155,KHP!AJ155,KHP!AP155)))</f>
        <v>0</v>
      </c>
      <c r="I155">
        <f>SUMPRODUCT((MONTH(CHOOSE({1,2,3,4},KHP!U155,KHP!AA155,KHP!AG155,KHP!AM155))=9)*(CHOOSE({1,2,3,4},KHP!X155,KHP!AD155,KHP!AJ155,KHP!AP155)))</f>
        <v>0</v>
      </c>
      <c r="J155">
        <f>SUMPRODUCT((MONTH(CHOOSE({1,2,3,4},KHP!U155,KHP!AA155,KHP!AG155,KHP!AM155))=10)*(CHOOSE({1,2,3,4},KHP!X155,KHP!AD155,KHP!AJ155,KHP!AP155)))</f>
        <v>0</v>
      </c>
      <c r="K155">
        <f>SUMPRODUCT((MONTH(CHOOSE({1,2,3,4},KHP!U155,KHP!AA155,KHP!AG155,KHP!AM155))=11)*(CHOOSE({1,2,3,4},KHP!X155,KHP!AD155,KHP!AJ155,KHP!AP155)))</f>
        <v>0</v>
      </c>
      <c r="L155">
        <f>SUMPRODUCT((MONTH(CHOOSE({1,2,3,4},KHP!U155,KHP!AA155,KHP!AG155,KHP!AM155))=12)*(CHOOSE({1,2,3,4},KHP!X155,KHP!AD155,KHP!AJ155,KHP!AP155)))</f>
        <v>0</v>
      </c>
    </row>
    <row r="156" spans="1:12">
      <c r="A156">
        <f>SUMPRODUCT((MONTH(CHOOSE({1,2,3,4},KHP!U156,KHP!AA156,KHP!AG156,KHP!AM156))=1)*(CHOOSE({1,2,3,4},KHP!X156,KHP!AD156,KHP!AJ156,KHP!AP156)))</f>
        <v>0</v>
      </c>
      <c r="B156">
        <f>SUMPRODUCT((MONTH(CHOOSE({1,2,3,4},KHP!U156,KHP!AA156,KHP!AG156,KHP!AM156))=2)*(CHOOSE({1,2,3,4},KHP!X156,KHP!AD156,KHP!AJ156,KHP!AP156)))</f>
        <v>0</v>
      </c>
      <c r="C156">
        <f>SUMPRODUCT((MONTH(CHOOSE({1,2,3,4},KHP!U156,KHP!AA156,KHP!AG156,KHP!AM156))=3)*(CHOOSE({1,2,3,4},KHP!X156,KHP!AD156,KHP!AJ156,KHP!AP156)))</f>
        <v>0</v>
      </c>
      <c r="D156">
        <f>SUMPRODUCT((MONTH(CHOOSE({1,2,3,4},KHP!U156,KHP!AA156,KHP!AG156,KHP!AM156))=4)*(CHOOSE({1,2,3,4},KHP!X156,KHP!AD156,KHP!AJ156,KHP!AP156)))</f>
        <v>0</v>
      </c>
      <c r="E156">
        <f>SUMPRODUCT((MONTH(CHOOSE({1,2,3,4},KHP!U156,KHP!AA156,KHP!AG156,KHP!AM156))=5)*(CHOOSE({1,2,3,4},KHP!X156,KHP!AD156,KHP!AJ156,KHP!AP156)))</f>
        <v>0</v>
      </c>
      <c r="F156">
        <f>SUMPRODUCT((MONTH(CHOOSE({1,2,3,4},KHP!U156,KHP!AA156,KHP!AG156,KHP!AM156))=6)*(CHOOSE({1,2,3,4},KHP!X156,KHP!AD156,KHP!AJ156,KHP!AP156)))</f>
        <v>0</v>
      </c>
      <c r="G156">
        <f>SUMPRODUCT((MONTH(CHOOSE({1,2,3,4},KHP!U156,KHP!AA156,KHP!AG156,KHP!AM156))=7)*(CHOOSE({1,2,3,4},KHP!X156,KHP!AD156,KHP!AJ156,KHP!AP156)))</f>
        <v>0</v>
      </c>
      <c r="H156">
        <f>SUMPRODUCT((MONTH(CHOOSE({1,2,3,4},KHP!U156,KHP!AA156,KHP!AG156,KHP!AM156))=8)*(CHOOSE({1,2,3,4},KHP!X156,KHP!AD156,KHP!AJ156,KHP!AP156)))</f>
        <v>0</v>
      </c>
      <c r="I156">
        <f>SUMPRODUCT((MONTH(CHOOSE({1,2,3,4},KHP!U156,KHP!AA156,KHP!AG156,KHP!AM156))=9)*(CHOOSE({1,2,3,4},KHP!X156,KHP!AD156,KHP!AJ156,KHP!AP156)))</f>
        <v>0</v>
      </c>
      <c r="J156">
        <f>SUMPRODUCT((MONTH(CHOOSE({1,2,3,4},KHP!U156,KHP!AA156,KHP!AG156,KHP!AM156))=10)*(CHOOSE({1,2,3,4},KHP!X156,KHP!AD156,KHP!AJ156,KHP!AP156)))</f>
        <v>0</v>
      </c>
      <c r="K156">
        <f>SUMPRODUCT((MONTH(CHOOSE({1,2,3,4},KHP!U156,KHP!AA156,KHP!AG156,KHP!AM156))=11)*(CHOOSE({1,2,3,4},KHP!X156,KHP!AD156,KHP!AJ156,KHP!AP156)))</f>
        <v>0</v>
      </c>
      <c r="L156">
        <f>SUMPRODUCT((MONTH(CHOOSE({1,2,3,4},KHP!U156,KHP!AA156,KHP!AG156,KHP!AM156))=12)*(CHOOSE({1,2,3,4},KHP!X156,KHP!AD156,KHP!AJ156,KHP!AP156)))</f>
        <v>0</v>
      </c>
    </row>
    <row r="157" spans="1:12">
      <c r="A157">
        <f>SUMPRODUCT((MONTH(CHOOSE({1,2,3,4},KHP!U157,KHP!AA157,KHP!AG157,KHP!AM157))=1)*(CHOOSE({1,2,3,4},KHP!X157,KHP!AD157,KHP!AJ157,KHP!AP157)))</f>
        <v>0</v>
      </c>
      <c r="B157">
        <f>SUMPRODUCT((MONTH(CHOOSE({1,2,3,4},KHP!U157,KHP!AA157,KHP!AG157,KHP!AM157))=2)*(CHOOSE({1,2,3,4},KHP!X157,KHP!AD157,KHP!AJ157,KHP!AP157)))</f>
        <v>0</v>
      </c>
      <c r="C157">
        <f>SUMPRODUCT((MONTH(CHOOSE({1,2,3,4},KHP!U157,KHP!AA157,KHP!AG157,KHP!AM157))=3)*(CHOOSE({1,2,3,4},KHP!X157,KHP!AD157,KHP!AJ157,KHP!AP157)))</f>
        <v>0</v>
      </c>
      <c r="D157">
        <f>SUMPRODUCT((MONTH(CHOOSE({1,2,3,4},KHP!U157,KHP!AA157,KHP!AG157,KHP!AM157))=4)*(CHOOSE({1,2,3,4},KHP!X157,KHP!AD157,KHP!AJ157,KHP!AP157)))</f>
        <v>0</v>
      </c>
      <c r="E157">
        <f>SUMPRODUCT((MONTH(CHOOSE({1,2,3,4},KHP!U157,KHP!AA157,KHP!AG157,KHP!AM157))=5)*(CHOOSE({1,2,3,4},KHP!X157,KHP!AD157,KHP!AJ157,KHP!AP157)))</f>
        <v>0</v>
      </c>
      <c r="F157">
        <f>SUMPRODUCT((MONTH(CHOOSE({1,2,3,4},KHP!U157,KHP!AA157,KHP!AG157,KHP!AM157))=6)*(CHOOSE({1,2,3,4},KHP!X157,KHP!AD157,KHP!AJ157,KHP!AP157)))</f>
        <v>0</v>
      </c>
      <c r="G157">
        <f>SUMPRODUCT((MONTH(CHOOSE({1,2,3,4},KHP!U157,KHP!AA157,KHP!AG157,KHP!AM157))=7)*(CHOOSE({1,2,3,4},KHP!X157,KHP!AD157,KHP!AJ157,KHP!AP157)))</f>
        <v>0</v>
      </c>
      <c r="H157">
        <f>SUMPRODUCT((MONTH(CHOOSE({1,2,3,4},KHP!U157,KHP!AA157,KHP!AG157,KHP!AM157))=8)*(CHOOSE({1,2,3,4},KHP!X157,KHP!AD157,KHP!AJ157,KHP!AP157)))</f>
        <v>0</v>
      </c>
      <c r="I157">
        <f>SUMPRODUCT((MONTH(CHOOSE({1,2,3,4},KHP!U157,KHP!AA157,KHP!AG157,KHP!AM157))=9)*(CHOOSE({1,2,3,4},KHP!X157,KHP!AD157,KHP!AJ157,KHP!AP157)))</f>
        <v>0</v>
      </c>
      <c r="J157">
        <f>SUMPRODUCT((MONTH(CHOOSE({1,2,3,4},KHP!U157,KHP!AA157,KHP!AG157,KHP!AM157))=10)*(CHOOSE({1,2,3,4},KHP!X157,KHP!AD157,KHP!AJ157,KHP!AP157)))</f>
        <v>0</v>
      </c>
      <c r="K157">
        <f>SUMPRODUCT((MONTH(CHOOSE({1,2,3,4},KHP!U157,KHP!AA157,KHP!AG157,KHP!AM157))=11)*(CHOOSE({1,2,3,4},KHP!X157,KHP!AD157,KHP!AJ157,KHP!AP157)))</f>
        <v>0</v>
      </c>
      <c r="L157">
        <f>SUMPRODUCT((MONTH(CHOOSE({1,2,3,4},KHP!U157,KHP!AA157,KHP!AG157,KHP!AM157))=12)*(CHOOSE({1,2,3,4},KHP!X157,KHP!AD157,KHP!AJ157,KHP!AP157)))</f>
        <v>0</v>
      </c>
    </row>
    <row r="158" spans="1:12">
      <c r="A158">
        <f>SUMPRODUCT((MONTH(CHOOSE({1,2,3,4},KHP!U158,KHP!AA158,KHP!AG158,KHP!AM158))=1)*(CHOOSE({1,2,3,4},KHP!X158,KHP!AD158,KHP!AJ158,KHP!AP158)))</f>
        <v>0</v>
      </c>
      <c r="B158">
        <f>SUMPRODUCT((MONTH(CHOOSE({1,2,3,4},KHP!U158,KHP!AA158,KHP!AG158,KHP!AM158))=2)*(CHOOSE({1,2,3,4},KHP!X158,KHP!AD158,KHP!AJ158,KHP!AP158)))</f>
        <v>0</v>
      </c>
      <c r="C158">
        <f>SUMPRODUCT((MONTH(CHOOSE({1,2,3,4},KHP!U158,KHP!AA158,KHP!AG158,KHP!AM158))=3)*(CHOOSE({1,2,3,4},KHP!X158,KHP!AD158,KHP!AJ158,KHP!AP158)))</f>
        <v>0</v>
      </c>
      <c r="D158">
        <f>SUMPRODUCT((MONTH(CHOOSE({1,2,3,4},KHP!U158,KHP!AA158,KHP!AG158,KHP!AM158))=4)*(CHOOSE({1,2,3,4},KHP!X158,KHP!AD158,KHP!AJ158,KHP!AP158)))</f>
        <v>0</v>
      </c>
      <c r="E158">
        <f>SUMPRODUCT((MONTH(CHOOSE({1,2,3,4},KHP!U158,KHP!AA158,KHP!AG158,KHP!AM158))=5)*(CHOOSE({1,2,3,4},KHP!X158,KHP!AD158,KHP!AJ158,KHP!AP158)))</f>
        <v>0</v>
      </c>
      <c r="F158">
        <f>SUMPRODUCT((MONTH(CHOOSE({1,2,3,4},KHP!U158,KHP!AA158,KHP!AG158,KHP!AM158))=6)*(CHOOSE({1,2,3,4},KHP!X158,KHP!AD158,KHP!AJ158,KHP!AP158)))</f>
        <v>0</v>
      </c>
      <c r="G158">
        <f>SUMPRODUCT((MONTH(CHOOSE({1,2,3,4},KHP!U158,KHP!AA158,KHP!AG158,KHP!AM158))=7)*(CHOOSE({1,2,3,4},KHP!X158,KHP!AD158,KHP!AJ158,KHP!AP158)))</f>
        <v>0</v>
      </c>
      <c r="H158">
        <f>SUMPRODUCT((MONTH(CHOOSE({1,2,3,4},KHP!U158,KHP!AA158,KHP!AG158,KHP!AM158))=8)*(CHOOSE({1,2,3,4},KHP!X158,KHP!AD158,KHP!AJ158,KHP!AP158)))</f>
        <v>0</v>
      </c>
      <c r="I158">
        <f>SUMPRODUCT((MONTH(CHOOSE({1,2,3,4},KHP!U158,KHP!AA158,KHP!AG158,KHP!AM158))=9)*(CHOOSE({1,2,3,4},KHP!X158,KHP!AD158,KHP!AJ158,KHP!AP158)))</f>
        <v>0</v>
      </c>
      <c r="J158">
        <f>SUMPRODUCT((MONTH(CHOOSE({1,2,3,4},KHP!U158,KHP!AA158,KHP!AG158,KHP!AM158))=10)*(CHOOSE({1,2,3,4},KHP!X158,KHP!AD158,KHP!AJ158,KHP!AP158)))</f>
        <v>0</v>
      </c>
      <c r="K158">
        <f>SUMPRODUCT((MONTH(CHOOSE({1,2,3,4},KHP!U158,KHP!AA158,KHP!AG158,KHP!AM158))=11)*(CHOOSE({1,2,3,4},KHP!X158,KHP!AD158,KHP!AJ158,KHP!AP158)))</f>
        <v>0</v>
      </c>
      <c r="L158">
        <f>SUMPRODUCT((MONTH(CHOOSE({1,2,3,4},KHP!U158,KHP!AA158,KHP!AG158,KHP!AM158))=12)*(CHOOSE({1,2,3,4},KHP!X158,KHP!AD158,KHP!AJ158,KHP!AP158)))</f>
        <v>0</v>
      </c>
    </row>
    <row r="159" spans="1:12">
      <c r="A159">
        <f>SUMPRODUCT((MONTH(CHOOSE({1,2,3,4},KHP!U159,KHP!AA159,KHP!AG159,KHP!AM159))=1)*(CHOOSE({1,2,3,4},KHP!X159,KHP!AD159,KHP!AJ159,KHP!AP159)))</f>
        <v>0</v>
      </c>
      <c r="B159">
        <f>SUMPRODUCT((MONTH(CHOOSE({1,2,3,4},KHP!U159,KHP!AA159,KHP!AG159,KHP!AM159))=2)*(CHOOSE({1,2,3,4},KHP!X159,KHP!AD159,KHP!AJ159,KHP!AP159)))</f>
        <v>0</v>
      </c>
      <c r="C159">
        <f>SUMPRODUCT((MONTH(CHOOSE({1,2,3,4},KHP!U159,KHP!AA159,KHP!AG159,KHP!AM159))=3)*(CHOOSE({1,2,3,4},KHP!X159,KHP!AD159,KHP!AJ159,KHP!AP159)))</f>
        <v>0</v>
      </c>
      <c r="D159">
        <f>SUMPRODUCT((MONTH(CHOOSE({1,2,3,4},KHP!U159,KHP!AA159,KHP!AG159,KHP!AM159))=4)*(CHOOSE({1,2,3,4},KHP!X159,KHP!AD159,KHP!AJ159,KHP!AP159)))</f>
        <v>0</v>
      </c>
      <c r="E159">
        <f>SUMPRODUCT((MONTH(CHOOSE({1,2,3,4},KHP!U159,KHP!AA159,KHP!AG159,KHP!AM159))=5)*(CHOOSE({1,2,3,4},KHP!X159,KHP!AD159,KHP!AJ159,KHP!AP159)))</f>
        <v>0</v>
      </c>
      <c r="F159">
        <f>SUMPRODUCT((MONTH(CHOOSE({1,2,3,4},KHP!U159,KHP!AA159,KHP!AG159,KHP!AM159))=6)*(CHOOSE({1,2,3,4},KHP!X159,KHP!AD159,KHP!AJ159,KHP!AP159)))</f>
        <v>0</v>
      </c>
      <c r="G159">
        <f>SUMPRODUCT((MONTH(CHOOSE({1,2,3,4},KHP!U159,KHP!AA159,KHP!AG159,KHP!AM159))=7)*(CHOOSE({1,2,3,4},KHP!X159,KHP!AD159,KHP!AJ159,KHP!AP159)))</f>
        <v>0</v>
      </c>
      <c r="H159">
        <f>SUMPRODUCT((MONTH(CHOOSE({1,2,3,4},KHP!U159,KHP!AA159,KHP!AG159,KHP!AM159))=8)*(CHOOSE({1,2,3,4},KHP!X159,KHP!AD159,KHP!AJ159,KHP!AP159)))</f>
        <v>0</v>
      </c>
      <c r="I159">
        <f>SUMPRODUCT((MONTH(CHOOSE({1,2,3,4},KHP!U159,KHP!AA159,KHP!AG159,KHP!AM159))=9)*(CHOOSE({1,2,3,4},KHP!X159,KHP!AD159,KHP!AJ159,KHP!AP159)))</f>
        <v>0</v>
      </c>
      <c r="J159">
        <f>SUMPRODUCT((MONTH(CHOOSE({1,2,3,4},KHP!U159,KHP!AA159,KHP!AG159,KHP!AM159))=10)*(CHOOSE({1,2,3,4},KHP!X159,KHP!AD159,KHP!AJ159,KHP!AP159)))</f>
        <v>0</v>
      </c>
      <c r="K159">
        <f>SUMPRODUCT((MONTH(CHOOSE({1,2,3,4},KHP!U159,KHP!AA159,KHP!AG159,KHP!AM159))=11)*(CHOOSE({1,2,3,4},KHP!X159,KHP!AD159,KHP!AJ159,KHP!AP159)))</f>
        <v>0</v>
      </c>
      <c r="L159">
        <f>SUMPRODUCT((MONTH(CHOOSE({1,2,3,4},KHP!U159,KHP!AA159,KHP!AG159,KHP!AM159))=12)*(CHOOSE({1,2,3,4},KHP!X159,KHP!AD159,KHP!AJ159,KHP!AP159)))</f>
        <v>0</v>
      </c>
    </row>
    <row r="160" spans="1:12">
      <c r="A160">
        <f>SUMPRODUCT((MONTH(CHOOSE({1,2,3,4},KHP!U160,KHP!AA160,KHP!AG160,KHP!AM160))=1)*(CHOOSE({1,2,3,4},KHP!X160,KHP!AD160,KHP!AJ160,KHP!AP160)))</f>
        <v>0</v>
      </c>
      <c r="B160">
        <f>SUMPRODUCT((MONTH(CHOOSE({1,2,3,4},KHP!U160,KHP!AA160,KHP!AG160,KHP!AM160))=2)*(CHOOSE({1,2,3,4},KHP!X160,KHP!AD160,KHP!AJ160,KHP!AP160)))</f>
        <v>0</v>
      </c>
      <c r="C160">
        <f>SUMPRODUCT((MONTH(CHOOSE({1,2,3,4},KHP!U160,KHP!AA160,KHP!AG160,KHP!AM160))=3)*(CHOOSE({1,2,3,4},KHP!X160,KHP!AD160,KHP!AJ160,KHP!AP160)))</f>
        <v>0</v>
      </c>
      <c r="D160">
        <f>SUMPRODUCT((MONTH(CHOOSE({1,2,3,4},KHP!U160,KHP!AA160,KHP!AG160,KHP!AM160))=4)*(CHOOSE({1,2,3,4},KHP!X160,KHP!AD160,KHP!AJ160,KHP!AP160)))</f>
        <v>0</v>
      </c>
      <c r="E160">
        <f>SUMPRODUCT((MONTH(CHOOSE({1,2,3,4},KHP!U160,KHP!AA160,KHP!AG160,KHP!AM160))=5)*(CHOOSE({1,2,3,4},KHP!X160,KHP!AD160,KHP!AJ160,KHP!AP160)))</f>
        <v>0</v>
      </c>
      <c r="F160">
        <f>SUMPRODUCT((MONTH(CHOOSE({1,2,3,4},KHP!U160,KHP!AA160,KHP!AG160,KHP!AM160))=6)*(CHOOSE({1,2,3,4},KHP!X160,KHP!AD160,KHP!AJ160,KHP!AP160)))</f>
        <v>0</v>
      </c>
      <c r="G160">
        <f>SUMPRODUCT((MONTH(CHOOSE({1,2,3,4},KHP!U160,KHP!AA160,KHP!AG160,KHP!AM160))=7)*(CHOOSE({1,2,3,4},KHP!X160,KHP!AD160,KHP!AJ160,KHP!AP160)))</f>
        <v>0</v>
      </c>
      <c r="H160">
        <f>SUMPRODUCT((MONTH(CHOOSE({1,2,3,4},KHP!U160,KHP!AA160,KHP!AG160,KHP!AM160))=8)*(CHOOSE({1,2,3,4},KHP!X160,KHP!AD160,KHP!AJ160,KHP!AP160)))</f>
        <v>0</v>
      </c>
      <c r="I160">
        <f>SUMPRODUCT((MONTH(CHOOSE({1,2,3,4},KHP!U160,KHP!AA160,KHP!AG160,KHP!AM160))=9)*(CHOOSE({1,2,3,4},KHP!X160,KHP!AD160,KHP!AJ160,KHP!AP160)))</f>
        <v>0</v>
      </c>
      <c r="J160">
        <f>SUMPRODUCT((MONTH(CHOOSE({1,2,3,4},KHP!U160,KHP!AA160,KHP!AG160,KHP!AM160))=10)*(CHOOSE({1,2,3,4},KHP!X160,KHP!AD160,KHP!AJ160,KHP!AP160)))</f>
        <v>0</v>
      </c>
      <c r="K160">
        <f>SUMPRODUCT((MONTH(CHOOSE({1,2,3,4},KHP!U160,KHP!AA160,KHP!AG160,KHP!AM160))=11)*(CHOOSE({1,2,3,4},KHP!X160,KHP!AD160,KHP!AJ160,KHP!AP160)))</f>
        <v>0</v>
      </c>
      <c r="L160">
        <f>SUMPRODUCT((MONTH(CHOOSE({1,2,3,4},KHP!U160,KHP!AA160,KHP!AG160,KHP!AM160))=12)*(CHOOSE({1,2,3,4},KHP!X160,KHP!AD160,KHP!AJ160,KHP!AP160)))</f>
        <v>0</v>
      </c>
    </row>
    <row r="161" spans="1:12">
      <c r="A161">
        <f>SUMPRODUCT((MONTH(CHOOSE({1,2,3,4},KHP!U161,KHP!AA161,KHP!AG161,KHP!AM161))=1)*(CHOOSE({1,2,3,4},KHP!X161,KHP!AD161,KHP!AJ161,KHP!AP161)))</f>
        <v>0</v>
      </c>
      <c r="B161">
        <f>SUMPRODUCT((MONTH(CHOOSE({1,2,3,4},KHP!U161,KHP!AA161,KHP!AG161,KHP!AM161))=2)*(CHOOSE({1,2,3,4},KHP!X161,KHP!AD161,KHP!AJ161,KHP!AP161)))</f>
        <v>0</v>
      </c>
      <c r="C161">
        <f>SUMPRODUCT((MONTH(CHOOSE({1,2,3,4},KHP!U161,KHP!AA161,KHP!AG161,KHP!AM161))=3)*(CHOOSE({1,2,3,4},KHP!X161,KHP!AD161,KHP!AJ161,KHP!AP161)))</f>
        <v>0</v>
      </c>
      <c r="D161">
        <f>SUMPRODUCT((MONTH(CHOOSE({1,2,3,4},KHP!U161,KHP!AA161,KHP!AG161,KHP!AM161))=4)*(CHOOSE({1,2,3,4},KHP!X161,KHP!AD161,KHP!AJ161,KHP!AP161)))</f>
        <v>0</v>
      </c>
      <c r="E161">
        <f>SUMPRODUCT((MONTH(CHOOSE({1,2,3,4},KHP!U161,KHP!AA161,KHP!AG161,KHP!AM161))=5)*(CHOOSE({1,2,3,4},KHP!X161,KHP!AD161,KHP!AJ161,KHP!AP161)))</f>
        <v>0</v>
      </c>
      <c r="F161">
        <f>SUMPRODUCT((MONTH(CHOOSE({1,2,3,4},KHP!U161,KHP!AA161,KHP!AG161,KHP!AM161))=6)*(CHOOSE({1,2,3,4},KHP!X161,KHP!AD161,KHP!AJ161,KHP!AP161)))</f>
        <v>0</v>
      </c>
      <c r="G161">
        <f>SUMPRODUCT((MONTH(CHOOSE({1,2,3,4},KHP!U161,KHP!AA161,KHP!AG161,KHP!AM161))=7)*(CHOOSE({1,2,3,4},KHP!X161,KHP!AD161,KHP!AJ161,KHP!AP161)))</f>
        <v>0</v>
      </c>
      <c r="H161">
        <f>SUMPRODUCT((MONTH(CHOOSE({1,2,3,4},KHP!U161,KHP!AA161,KHP!AG161,KHP!AM161))=8)*(CHOOSE({1,2,3,4},KHP!X161,KHP!AD161,KHP!AJ161,KHP!AP161)))</f>
        <v>0</v>
      </c>
      <c r="I161">
        <f>SUMPRODUCT((MONTH(CHOOSE({1,2,3,4},KHP!U161,KHP!AA161,KHP!AG161,KHP!AM161))=9)*(CHOOSE({1,2,3,4},KHP!X161,KHP!AD161,KHP!AJ161,KHP!AP161)))</f>
        <v>0</v>
      </c>
      <c r="J161">
        <f>SUMPRODUCT((MONTH(CHOOSE({1,2,3,4},KHP!U161,KHP!AA161,KHP!AG161,KHP!AM161))=10)*(CHOOSE({1,2,3,4},KHP!X161,KHP!AD161,KHP!AJ161,KHP!AP161)))</f>
        <v>0</v>
      </c>
      <c r="K161">
        <f>SUMPRODUCT((MONTH(CHOOSE({1,2,3,4},KHP!U161,KHP!AA161,KHP!AG161,KHP!AM161))=11)*(CHOOSE({1,2,3,4},KHP!X161,KHP!AD161,KHP!AJ161,KHP!AP161)))</f>
        <v>0</v>
      </c>
      <c r="L161">
        <f>SUMPRODUCT((MONTH(CHOOSE({1,2,3,4},KHP!U161,KHP!AA161,KHP!AG161,KHP!AM161))=12)*(CHOOSE({1,2,3,4},KHP!X161,KHP!AD161,KHP!AJ161,KHP!AP161)))</f>
        <v>0</v>
      </c>
    </row>
    <row r="162" spans="1:12">
      <c r="A162">
        <f>SUMPRODUCT((MONTH(CHOOSE({1,2,3,4},KHP!U162,KHP!AA162,KHP!AG162,KHP!AM162))=1)*(CHOOSE({1,2,3,4},KHP!X162,KHP!AD162,KHP!AJ162,KHP!AP162)))</f>
        <v>0</v>
      </c>
      <c r="B162">
        <f>SUMPRODUCT((MONTH(CHOOSE({1,2,3,4},KHP!U162,KHP!AA162,KHP!AG162,KHP!AM162))=2)*(CHOOSE({1,2,3,4},KHP!X162,KHP!AD162,KHP!AJ162,KHP!AP162)))</f>
        <v>0</v>
      </c>
      <c r="C162">
        <f>SUMPRODUCT((MONTH(CHOOSE({1,2,3,4},KHP!U162,KHP!AA162,KHP!AG162,KHP!AM162))=3)*(CHOOSE({1,2,3,4},KHP!X162,KHP!AD162,KHP!AJ162,KHP!AP162)))</f>
        <v>0</v>
      </c>
      <c r="D162">
        <f>SUMPRODUCT((MONTH(CHOOSE({1,2,3,4},KHP!U162,KHP!AA162,KHP!AG162,KHP!AM162))=4)*(CHOOSE({1,2,3,4},KHP!X162,KHP!AD162,KHP!AJ162,KHP!AP162)))</f>
        <v>0</v>
      </c>
      <c r="E162">
        <f>SUMPRODUCT((MONTH(CHOOSE({1,2,3,4},KHP!U162,KHP!AA162,KHP!AG162,KHP!AM162))=5)*(CHOOSE({1,2,3,4},KHP!X162,KHP!AD162,KHP!AJ162,KHP!AP162)))</f>
        <v>0</v>
      </c>
      <c r="F162">
        <f>SUMPRODUCT((MONTH(CHOOSE({1,2,3,4},KHP!U162,KHP!AA162,KHP!AG162,KHP!AM162))=6)*(CHOOSE({1,2,3,4},KHP!X162,KHP!AD162,KHP!AJ162,KHP!AP162)))</f>
        <v>0</v>
      </c>
      <c r="G162">
        <f>SUMPRODUCT((MONTH(CHOOSE({1,2,3,4},KHP!U162,KHP!AA162,KHP!AG162,KHP!AM162))=7)*(CHOOSE({1,2,3,4},KHP!X162,KHP!AD162,KHP!AJ162,KHP!AP162)))</f>
        <v>0</v>
      </c>
      <c r="H162">
        <f>SUMPRODUCT((MONTH(CHOOSE({1,2,3,4},KHP!U162,KHP!AA162,KHP!AG162,KHP!AM162))=8)*(CHOOSE({1,2,3,4},KHP!X162,KHP!AD162,KHP!AJ162,KHP!AP162)))</f>
        <v>0</v>
      </c>
      <c r="I162">
        <f>SUMPRODUCT((MONTH(CHOOSE({1,2,3,4},KHP!U162,KHP!AA162,KHP!AG162,KHP!AM162))=9)*(CHOOSE({1,2,3,4},KHP!X162,KHP!AD162,KHP!AJ162,KHP!AP162)))</f>
        <v>0</v>
      </c>
      <c r="J162">
        <f>SUMPRODUCT((MONTH(CHOOSE({1,2,3,4},KHP!U162,KHP!AA162,KHP!AG162,KHP!AM162))=10)*(CHOOSE({1,2,3,4},KHP!X162,KHP!AD162,KHP!AJ162,KHP!AP162)))</f>
        <v>0</v>
      </c>
      <c r="K162">
        <f>SUMPRODUCT((MONTH(CHOOSE({1,2,3,4},KHP!U162,KHP!AA162,KHP!AG162,KHP!AM162))=11)*(CHOOSE({1,2,3,4},KHP!X162,KHP!AD162,KHP!AJ162,KHP!AP162)))</f>
        <v>0</v>
      </c>
      <c r="L162">
        <f>SUMPRODUCT((MONTH(CHOOSE({1,2,3,4},KHP!U162,KHP!AA162,KHP!AG162,KHP!AM162))=12)*(CHOOSE({1,2,3,4},KHP!X162,KHP!AD162,KHP!AJ162,KHP!AP162)))</f>
        <v>0</v>
      </c>
    </row>
    <row r="163" spans="1:12">
      <c r="A163">
        <f>SUMPRODUCT((MONTH(CHOOSE({1,2,3,4},KHP!U163,KHP!AA163,KHP!AG163,KHP!AM163))=1)*(CHOOSE({1,2,3,4},KHP!X163,KHP!AD163,KHP!AJ163,KHP!AP163)))</f>
        <v>0</v>
      </c>
      <c r="B163">
        <f>SUMPRODUCT((MONTH(CHOOSE({1,2,3,4},KHP!U163,KHP!AA163,KHP!AG163,KHP!AM163))=2)*(CHOOSE({1,2,3,4},KHP!X163,KHP!AD163,KHP!AJ163,KHP!AP163)))</f>
        <v>0</v>
      </c>
      <c r="C163">
        <f>SUMPRODUCT((MONTH(CHOOSE({1,2,3,4},KHP!U163,KHP!AA163,KHP!AG163,KHP!AM163))=3)*(CHOOSE({1,2,3,4},KHP!X163,KHP!AD163,KHP!AJ163,KHP!AP163)))</f>
        <v>0</v>
      </c>
      <c r="D163">
        <f>SUMPRODUCT((MONTH(CHOOSE({1,2,3,4},KHP!U163,KHP!AA163,KHP!AG163,KHP!AM163))=4)*(CHOOSE({1,2,3,4},KHP!X163,KHP!AD163,KHP!AJ163,KHP!AP163)))</f>
        <v>0</v>
      </c>
      <c r="E163">
        <f>SUMPRODUCT((MONTH(CHOOSE({1,2,3,4},KHP!U163,KHP!AA163,KHP!AG163,KHP!AM163))=5)*(CHOOSE({1,2,3,4},KHP!X163,KHP!AD163,KHP!AJ163,KHP!AP163)))</f>
        <v>0</v>
      </c>
      <c r="F163">
        <f>SUMPRODUCT((MONTH(CHOOSE({1,2,3,4},KHP!U163,KHP!AA163,KHP!AG163,KHP!AM163))=6)*(CHOOSE({1,2,3,4},KHP!X163,KHP!AD163,KHP!AJ163,KHP!AP163)))</f>
        <v>0</v>
      </c>
      <c r="G163">
        <f>SUMPRODUCT((MONTH(CHOOSE({1,2,3,4},KHP!U163,KHP!AA163,KHP!AG163,KHP!AM163))=7)*(CHOOSE({1,2,3,4},KHP!X163,KHP!AD163,KHP!AJ163,KHP!AP163)))</f>
        <v>0</v>
      </c>
      <c r="H163">
        <f>SUMPRODUCT((MONTH(CHOOSE({1,2,3,4},KHP!U163,KHP!AA163,KHP!AG163,KHP!AM163))=8)*(CHOOSE({1,2,3,4},KHP!X163,KHP!AD163,KHP!AJ163,KHP!AP163)))</f>
        <v>0</v>
      </c>
      <c r="I163">
        <f>SUMPRODUCT((MONTH(CHOOSE({1,2,3,4},KHP!U163,KHP!AA163,KHP!AG163,KHP!AM163))=9)*(CHOOSE({1,2,3,4},KHP!X163,KHP!AD163,KHP!AJ163,KHP!AP163)))</f>
        <v>0</v>
      </c>
      <c r="J163">
        <f>SUMPRODUCT((MONTH(CHOOSE({1,2,3,4},KHP!U163,KHP!AA163,KHP!AG163,KHP!AM163))=10)*(CHOOSE({1,2,3,4},KHP!X163,KHP!AD163,KHP!AJ163,KHP!AP163)))</f>
        <v>0</v>
      </c>
      <c r="K163">
        <f>SUMPRODUCT((MONTH(CHOOSE({1,2,3,4},KHP!U163,KHP!AA163,KHP!AG163,KHP!AM163))=11)*(CHOOSE({1,2,3,4},KHP!X163,KHP!AD163,KHP!AJ163,KHP!AP163)))</f>
        <v>0</v>
      </c>
      <c r="L163">
        <f>SUMPRODUCT((MONTH(CHOOSE({1,2,3,4},KHP!U163,KHP!AA163,KHP!AG163,KHP!AM163))=12)*(CHOOSE({1,2,3,4},KHP!X163,KHP!AD163,KHP!AJ163,KHP!AP163)))</f>
        <v>0</v>
      </c>
    </row>
    <row r="164" spans="1:12">
      <c r="A164">
        <f>SUMPRODUCT((MONTH(CHOOSE({1,2,3,4},KHP!U164,KHP!AA164,KHP!AG164,KHP!AM164))=1)*(CHOOSE({1,2,3,4},KHP!X164,KHP!AD164,KHP!AJ164,KHP!AP164)))</f>
        <v>0</v>
      </c>
      <c r="B164">
        <f>SUMPRODUCT((MONTH(CHOOSE({1,2,3,4},KHP!U164,KHP!AA164,KHP!AG164,KHP!AM164))=2)*(CHOOSE({1,2,3,4},KHP!X164,KHP!AD164,KHP!AJ164,KHP!AP164)))</f>
        <v>0</v>
      </c>
      <c r="C164">
        <f>SUMPRODUCT((MONTH(CHOOSE({1,2,3,4},KHP!U164,KHP!AA164,KHP!AG164,KHP!AM164))=3)*(CHOOSE({1,2,3,4},KHP!X164,KHP!AD164,KHP!AJ164,KHP!AP164)))</f>
        <v>0</v>
      </c>
      <c r="D164">
        <f>SUMPRODUCT((MONTH(CHOOSE({1,2,3,4},KHP!U164,KHP!AA164,KHP!AG164,KHP!AM164))=4)*(CHOOSE({1,2,3,4},KHP!X164,KHP!AD164,KHP!AJ164,KHP!AP164)))</f>
        <v>0</v>
      </c>
      <c r="E164">
        <f>SUMPRODUCT((MONTH(CHOOSE({1,2,3,4},KHP!U164,KHP!AA164,KHP!AG164,KHP!AM164))=5)*(CHOOSE({1,2,3,4},KHP!X164,KHP!AD164,KHP!AJ164,KHP!AP164)))</f>
        <v>0</v>
      </c>
      <c r="F164">
        <f>SUMPRODUCT((MONTH(CHOOSE({1,2,3,4},KHP!U164,KHP!AA164,KHP!AG164,KHP!AM164))=6)*(CHOOSE({1,2,3,4},KHP!X164,KHP!AD164,KHP!AJ164,KHP!AP164)))</f>
        <v>0</v>
      </c>
      <c r="G164">
        <f>SUMPRODUCT((MONTH(CHOOSE({1,2,3,4},KHP!U164,KHP!AA164,KHP!AG164,KHP!AM164))=7)*(CHOOSE({1,2,3,4},KHP!X164,KHP!AD164,KHP!AJ164,KHP!AP164)))</f>
        <v>0</v>
      </c>
      <c r="H164">
        <f>SUMPRODUCT((MONTH(CHOOSE({1,2,3,4},KHP!U164,KHP!AA164,KHP!AG164,KHP!AM164))=8)*(CHOOSE({1,2,3,4},KHP!X164,KHP!AD164,KHP!AJ164,KHP!AP164)))</f>
        <v>0</v>
      </c>
      <c r="I164">
        <f>SUMPRODUCT((MONTH(CHOOSE({1,2,3,4},KHP!U164,KHP!AA164,KHP!AG164,KHP!AM164))=9)*(CHOOSE({1,2,3,4},KHP!X164,KHP!AD164,KHP!AJ164,KHP!AP164)))</f>
        <v>0</v>
      </c>
      <c r="J164">
        <f>SUMPRODUCT((MONTH(CHOOSE({1,2,3,4},KHP!U164,KHP!AA164,KHP!AG164,KHP!AM164))=10)*(CHOOSE({1,2,3,4},KHP!X164,KHP!AD164,KHP!AJ164,KHP!AP164)))</f>
        <v>0</v>
      </c>
      <c r="K164">
        <f>SUMPRODUCT((MONTH(CHOOSE({1,2,3,4},KHP!U164,KHP!AA164,KHP!AG164,KHP!AM164))=11)*(CHOOSE({1,2,3,4},KHP!X164,KHP!AD164,KHP!AJ164,KHP!AP164)))</f>
        <v>0</v>
      </c>
      <c r="L164">
        <f>SUMPRODUCT((MONTH(CHOOSE({1,2,3,4},KHP!U164,KHP!AA164,KHP!AG164,KHP!AM164))=12)*(CHOOSE({1,2,3,4},KHP!X164,KHP!AD164,KHP!AJ164,KHP!AP164)))</f>
        <v>0</v>
      </c>
    </row>
    <row r="165" spans="1:12">
      <c r="A165">
        <f>SUMPRODUCT((MONTH(CHOOSE({1,2,3,4},KHP!U165,KHP!AA165,KHP!AG165,KHP!AM165))=1)*(CHOOSE({1,2,3,4},KHP!X165,KHP!AD165,KHP!AJ165,KHP!AP165)))</f>
        <v>0</v>
      </c>
      <c r="B165">
        <f>SUMPRODUCT((MONTH(CHOOSE({1,2,3,4},KHP!U165,KHP!AA165,KHP!AG165,KHP!AM165))=2)*(CHOOSE({1,2,3,4},KHP!X165,KHP!AD165,KHP!AJ165,KHP!AP165)))</f>
        <v>0</v>
      </c>
      <c r="C165">
        <f>SUMPRODUCT((MONTH(CHOOSE({1,2,3,4},KHP!U165,KHP!AA165,KHP!AG165,KHP!AM165))=3)*(CHOOSE({1,2,3,4},KHP!X165,KHP!AD165,KHP!AJ165,KHP!AP165)))</f>
        <v>0</v>
      </c>
      <c r="D165">
        <f>SUMPRODUCT((MONTH(CHOOSE({1,2,3,4},KHP!U165,KHP!AA165,KHP!AG165,KHP!AM165))=4)*(CHOOSE({1,2,3,4},KHP!X165,KHP!AD165,KHP!AJ165,KHP!AP165)))</f>
        <v>0</v>
      </c>
      <c r="E165">
        <f>SUMPRODUCT((MONTH(CHOOSE({1,2,3,4},KHP!U165,KHP!AA165,KHP!AG165,KHP!AM165))=5)*(CHOOSE({1,2,3,4},KHP!X165,KHP!AD165,KHP!AJ165,KHP!AP165)))</f>
        <v>0</v>
      </c>
      <c r="F165">
        <f>SUMPRODUCT((MONTH(CHOOSE({1,2,3,4},KHP!U165,KHP!AA165,KHP!AG165,KHP!AM165))=6)*(CHOOSE({1,2,3,4},KHP!X165,KHP!AD165,KHP!AJ165,KHP!AP165)))</f>
        <v>0</v>
      </c>
      <c r="G165">
        <f>SUMPRODUCT((MONTH(CHOOSE({1,2,3,4},KHP!U165,KHP!AA165,KHP!AG165,KHP!AM165))=7)*(CHOOSE({1,2,3,4},KHP!X165,KHP!AD165,KHP!AJ165,KHP!AP165)))</f>
        <v>0</v>
      </c>
      <c r="H165">
        <f>SUMPRODUCT((MONTH(CHOOSE({1,2,3,4},KHP!U165,KHP!AA165,KHP!AG165,KHP!AM165))=8)*(CHOOSE({1,2,3,4},KHP!X165,KHP!AD165,KHP!AJ165,KHP!AP165)))</f>
        <v>0</v>
      </c>
      <c r="I165">
        <f>SUMPRODUCT((MONTH(CHOOSE({1,2,3,4},KHP!U165,KHP!AA165,KHP!AG165,KHP!AM165))=9)*(CHOOSE({1,2,3,4},KHP!X165,KHP!AD165,KHP!AJ165,KHP!AP165)))</f>
        <v>0</v>
      </c>
      <c r="J165">
        <f>SUMPRODUCT((MONTH(CHOOSE({1,2,3,4},KHP!U165,KHP!AA165,KHP!AG165,KHP!AM165))=10)*(CHOOSE({1,2,3,4},KHP!X165,KHP!AD165,KHP!AJ165,KHP!AP165)))</f>
        <v>0</v>
      </c>
      <c r="K165">
        <f>SUMPRODUCT((MONTH(CHOOSE({1,2,3,4},KHP!U165,KHP!AA165,KHP!AG165,KHP!AM165))=11)*(CHOOSE({1,2,3,4},KHP!X165,KHP!AD165,KHP!AJ165,KHP!AP165)))</f>
        <v>0</v>
      </c>
      <c r="L165">
        <f>SUMPRODUCT((MONTH(CHOOSE({1,2,3,4},KHP!U165,KHP!AA165,KHP!AG165,KHP!AM165))=12)*(CHOOSE({1,2,3,4},KHP!X165,KHP!AD165,KHP!AJ165,KHP!AP165)))</f>
        <v>0</v>
      </c>
    </row>
    <row r="166" spans="1:12">
      <c r="A166">
        <f>SUMPRODUCT((MONTH(CHOOSE({1,2,3,4},KHP!U166,KHP!AA166,KHP!AG166,KHP!AM166))=1)*(CHOOSE({1,2,3,4},KHP!X166,KHP!AD166,KHP!AJ166,KHP!AP166)))</f>
        <v>0</v>
      </c>
      <c r="B166">
        <f>SUMPRODUCT((MONTH(CHOOSE({1,2,3,4},KHP!U166,KHP!AA166,KHP!AG166,KHP!AM166))=2)*(CHOOSE({1,2,3,4},KHP!X166,KHP!AD166,KHP!AJ166,KHP!AP166)))</f>
        <v>0</v>
      </c>
      <c r="C166">
        <f>SUMPRODUCT((MONTH(CHOOSE({1,2,3,4},KHP!U166,KHP!AA166,KHP!AG166,KHP!AM166))=3)*(CHOOSE({1,2,3,4},KHP!X166,KHP!AD166,KHP!AJ166,KHP!AP166)))</f>
        <v>0</v>
      </c>
      <c r="D166">
        <f>SUMPRODUCT((MONTH(CHOOSE({1,2,3,4},KHP!U166,KHP!AA166,KHP!AG166,KHP!AM166))=4)*(CHOOSE({1,2,3,4},KHP!X166,KHP!AD166,KHP!AJ166,KHP!AP166)))</f>
        <v>0</v>
      </c>
      <c r="E166">
        <f>SUMPRODUCT((MONTH(CHOOSE({1,2,3,4},KHP!U166,KHP!AA166,KHP!AG166,KHP!AM166))=5)*(CHOOSE({1,2,3,4},KHP!X166,KHP!AD166,KHP!AJ166,KHP!AP166)))</f>
        <v>0</v>
      </c>
      <c r="F166">
        <f>SUMPRODUCT((MONTH(CHOOSE({1,2,3,4},KHP!U166,KHP!AA166,KHP!AG166,KHP!AM166))=6)*(CHOOSE({1,2,3,4},KHP!X166,KHP!AD166,KHP!AJ166,KHP!AP166)))</f>
        <v>0</v>
      </c>
      <c r="G166">
        <f>SUMPRODUCT((MONTH(CHOOSE({1,2,3,4},KHP!U166,KHP!AA166,KHP!AG166,KHP!AM166))=7)*(CHOOSE({1,2,3,4},KHP!X166,KHP!AD166,KHP!AJ166,KHP!AP166)))</f>
        <v>0</v>
      </c>
      <c r="H166">
        <f>SUMPRODUCT((MONTH(CHOOSE({1,2,3,4},KHP!U166,KHP!AA166,KHP!AG166,KHP!AM166))=8)*(CHOOSE({1,2,3,4},KHP!X166,KHP!AD166,KHP!AJ166,KHP!AP166)))</f>
        <v>0</v>
      </c>
      <c r="I166">
        <f>SUMPRODUCT((MONTH(CHOOSE({1,2,3,4},KHP!U166,KHP!AA166,KHP!AG166,KHP!AM166))=9)*(CHOOSE({1,2,3,4},KHP!X166,KHP!AD166,KHP!AJ166,KHP!AP166)))</f>
        <v>0</v>
      </c>
      <c r="J166">
        <f>SUMPRODUCT((MONTH(CHOOSE({1,2,3,4},KHP!U166,KHP!AA166,KHP!AG166,KHP!AM166))=10)*(CHOOSE({1,2,3,4},KHP!X166,KHP!AD166,KHP!AJ166,KHP!AP166)))</f>
        <v>0</v>
      </c>
      <c r="K166">
        <f>SUMPRODUCT((MONTH(CHOOSE({1,2,3,4},KHP!U166,KHP!AA166,KHP!AG166,KHP!AM166))=11)*(CHOOSE({1,2,3,4},KHP!X166,KHP!AD166,KHP!AJ166,KHP!AP166)))</f>
        <v>0</v>
      </c>
      <c r="L166">
        <f>SUMPRODUCT((MONTH(CHOOSE({1,2,3,4},KHP!U166,KHP!AA166,KHP!AG166,KHP!AM166))=12)*(CHOOSE({1,2,3,4},KHP!X166,KHP!AD166,KHP!AJ166,KHP!AP166)))</f>
        <v>0</v>
      </c>
    </row>
    <row r="167" spans="1:12">
      <c r="A167">
        <f>SUMPRODUCT((MONTH(CHOOSE({1,2,3,4},KHP!U167,KHP!AA167,KHP!AG167,KHP!AM167))=1)*(CHOOSE({1,2,3,4},KHP!X167,KHP!AD167,KHP!AJ167,KHP!AP167)))</f>
        <v>0</v>
      </c>
      <c r="B167">
        <f>SUMPRODUCT((MONTH(CHOOSE({1,2,3,4},KHP!U167,KHP!AA167,KHP!AG167,KHP!AM167))=2)*(CHOOSE({1,2,3,4},KHP!X167,KHP!AD167,KHP!AJ167,KHP!AP167)))</f>
        <v>0</v>
      </c>
      <c r="C167">
        <f>SUMPRODUCT((MONTH(CHOOSE({1,2,3,4},KHP!U167,KHP!AA167,KHP!AG167,KHP!AM167))=3)*(CHOOSE({1,2,3,4},KHP!X167,KHP!AD167,KHP!AJ167,KHP!AP167)))</f>
        <v>0</v>
      </c>
      <c r="D167">
        <f>SUMPRODUCT((MONTH(CHOOSE({1,2,3,4},KHP!U167,KHP!AA167,KHP!AG167,KHP!AM167))=4)*(CHOOSE({1,2,3,4},KHP!X167,KHP!AD167,KHP!AJ167,KHP!AP167)))</f>
        <v>0</v>
      </c>
      <c r="E167">
        <f>SUMPRODUCT((MONTH(CHOOSE({1,2,3,4},KHP!U167,KHP!AA167,KHP!AG167,KHP!AM167))=5)*(CHOOSE({1,2,3,4},KHP!X167,KHP!AD167,KHP!AJ167,KHP!AP167)))</f>
        <v>0</v>
      </c>
      <c r="F167">
        <f>SUMPRODUCT((MONTH(CHOOSE({1,2,3,4},KHP!U167,KHP!AA167,KHP!AG167,KHP!AM167))=6)*(CHOOSE({1,2,3,4},KHP!X167,KHP!AD167,KHP!AJ167,KHP!AP167)))</f>
        <v>0</v>
      </c>
      <c r="G167">
        <f>SUMPRODUCT((MONTH(CHOOSE({1,2,3,4},KHP!U167,KHP!AA167,KHP!AG167,KHP!AM167))=7)*(CHOOSE({1,2,3,4},KHP!X167,KHP!AD167,KHP!AJ167,KHP!AP167)))</f>
        <v>0</v>
      </c>
      <c r="H167">
        <f>SUMPRODUCT((MONTH(CHOOSE({1,2,3,4},KHP!U167,KHP!AA167,KHP!AG167,KHP!AM167))=8)*(CHOOSE({1,2,3,4},KHP!X167,KHP!AD167,KHP!AJ167,KHP!AP167)))</f>
        <v>0</v>
      </c>
      <c r="I167">
        <f>SUMPRODUCT((MONTH(CHOOSE({1,2,3,4},KHP!U167,KHP!AA167,KHP!AG167,KHP!AM167))=9)*(CHOOSE({1,2,3,4},KHP!X167,KHP!AD167,KHP!AJ167,KHP!AP167)))</f>
        <v>0</v>
      </c>
      <c r="J167">
        <f>SUMPRODUCT((MONTH(CHOOSE({1,2,3,4},KHP!U167,KHP!AA167,KHP!AG167,KHP!AM167))=10)*(CHOOSE({1,2,3,4},KHP!X167,KHP!AD167,KHP!AJ167,KHP!AP167)))</f>
        <v>0</v>
      </c>
      <c r="K167">
        <f>SUMPRODUCT((MONTH(CHOOSE({1,2,3,4},KHP!U167,KHP!AA167,KHP!AG167,KHP!AM167))=11)*(CHOOSE({1,2,3,4},KHP!X167,KHP!AD167,KHP!AJ167,KHP!AP167)))</f>
        <v>0</v>
      </c>
      <c r="L167">
        <f>SUMPRODUCT((MONTH(CHOOSE({1,2,3,4},KHP!U167,KHP!AA167,KHP!AG167,KHP!AM167))=12)*(CHOOSE({1,2,3,4},KHP!X167,KHP!AD167,KHP!AJ167,KHP!AP167)))</f>
        <v>0</v>
      </c>
    </row>
    <row r="168" spans="1:12">
      <c r="A168">
        <f>SUMPRODUCT((MONTH(CHOOSE({1,2,3,4},KHP!U168,KHP!AA168,KHP!AG168,KHP!AM168))=1)*(CHOOSE({1,2,3,4},KHP!X168,KHP!AD168,KHP!AJ168,KHP!AP168)))</f>
        <v>0</v>
      </c>
      <c r="B168">
        <f>SUMPRODUCT((MONTH(CHOOSE({1,2,3,4},KHP!U168,KHP!AA168,KHP!AG168,KHP!AM168))=2)*(CHOOSE({1,2,3,4},KHP!X168,KHP!AD168,KHP!AJ168,KHP!AP168)))</f>
        <v>0</v>
      </c>
      <c r="C168">
        <f>SUMPRODUCT((MONTH(CHOOSE({1,2,3,4},KHP!U168,KHP!AA168,KHP!AG168,KHP!AM168))=3)*(CHOOSE({1,2,3,4},KHP!X168,KHP!AD168,KHP!AJ168,KHP!AP168)))</f>
        <v>0</v>
      </c>
      <c r="D168">
        <f>SUMPRODUCT((MONTH(CHOOSE({1,2,3,4},KHP!U168,KHP!AA168,KHP!AG168,KHP!AM168))=4)*(CHOOSE({1,2,3,4},KHP!X168,KHP!AD168,KHP!AJ168,KHP!AP168)))</f>
        <v>0</v>
      </c>
      <c r="E168">
        <f>SUMPRODUCT((MONTH(CHOOSE({1,2,3,4},KHP!U168,KHP!AA168,KHP!AG168,KHP!AM168))=5)*(CHOOSE({1,2,3,4},KHP!X168,KHP!AD168,KHP!AJ168,KHP!AP168)))</f>
        <v>0</v>
      </c>
      <c r="F168">
        <f>SUMPRODUCT((MONTH(CHOOSE({1,2,3,4},KHP!U168,KHP!AA168,KHP!AG168,KHP!AM168))=6)*(CHOOSE({1,2,3,4},KHP!X168,KHP!AD168,KHP!AJ168,KHP!AP168)))</f>
        <v>0</v>
      </c>
      <c r="G168">
        <f>SUMPRODUCT((MONTH(CHOOSE({1,2,3,4},KHP!U168,KHP!AA168,KHP!AG168,KHP!AM168))=7)*(CHOOSE({1,2,3,4},KHP!X168,KHP!AD168,KHP!AJ168,KHP!AP168)))</f>
        <v>0</v>
      </c>
      <c r="H168">
        <f>SUMPRODUCT((MONTH(CHOOSE({1,2,3,4},KHP!U168,KHP!AA168,KHP!AG168,KHP!AM168))=8)*(CHOOSE({1,2,3,4},KHP!X168,KHP!AD168,KHP!AJ168,KHP!AP168)))</f>
        <v>0</v>
      </c>
      <c r="I168">
        <f>SUMPRODUCT((MONTH(CHOOSE({1,2,3,4},KHP!U168,KHP!AA168,KHP!AG168,KHP!AM168))=9)*(CHOOSE({1,2,3,4},KHP!X168,KHP!AD168,KHP!AJ168,KHP!AP168)))</f>
        <v>0</v>
      </c>
      <c r="J168">
        <f>SUMPRODUCT((MONTH(CHOOSE({1,2,3,4},KHP!U168,KHP!AA168,KHP!AG168,KHP!AM168))=10)*(CHOOSE({1,2,3,4},KHP!X168,KHP!AD168,KHP!AJ168,KHP!AP168)))</f>
        <v>0</v>
      </c>
      <c r="K168">
        <f>SUMPRODUCT((MONTH(CHOOSE({1,2,3,4},KHP!U168,KHP!AA168,KHP!AG168,KHP!AM168))=11)*(CHOOSE({1,2,3,4},KHP!X168,KHP!AD168,KHP!AJ168,KHP!AP168)))</f>
        <v>0</v>
      </c>
      <c r="L168">
        <f>SUMPRODUCT((MONTH(CHOOSE({1,2,3,4},KHP!U168,KHP!AA168,KHP!AG168,KHP!AM168))=12)*(CHOOSE({1,2,3,4},KHP!X168,KHP!AD168,KHP!AJ168,KHP!AP168)))</f>
        <v>0</v>
      </c>
    </row>
    <row r="169" spans="1:12">
      <c r="A169">
        <f>SUMPRODUCT((MONTH(CHOOSE({1,2,3,4},KHP!U169,KHP!AA169,KHP!AG169,KHP!AM169))=1)*(CHOOSE({1,2,3,4},KHP!X169,KHP!AD169,KHP!AJ169,KHP!AP169)))</f>
        <v>0</v>
      </c>
      <c r="B169">
        <f>SUMPRODUCT((MONTH(CHOOSE({1,2,3,4},KHP!U169,KHP!AA169,KHP!AG169,KHP!AM169))=2)*(CHOOSE({1,2,3,4},KHP!X169,KHP!AD169,KHP!AJ169,KHP!AP169)))</f>
        <v>0</v>
      </c>
      <c r="C169">
        <f>SUMPRODUCT((MONTH(CHOOSE({1,2,3,4},KHP!U169,KHP!AA169,KHP!AG169,KHP!AM169))=3)*(CHOOSE({1,2,3,4},KHP!X169,KHP!AD169,KHP!AJ169,KHP!AP169)))</f>
        <v>0</v>
      </c>
      <c r="D169">
        <f>SUMPRODUCT((MONTH(CHOOSE({1,2,3,4},KHP!U169,KHP!AA169,KHP!AG169,KHP!AM169))=4)*(CHOOSE({1,2,3,4},KHP!X169,KHP!AD169,KHP!AJ169,KHP!AP169)))</f>
        <v>0</v>
      </c>
      <c r="E169">
        <f>SUMPRODUCT((MONTH(CHOOSE({1,2,3,4},KHP!U169,KHP!AA169,KHP!AG169,KHP!AM169))=5)*(CHOOSE({1,2,3,4},KHP!X169,KHP!AD169,KHP!AJ169,KHP!AP169)))</f>
        <v>0</v>
      </c>
      <c r="F169">
        <f>SUMPRODUCT((MONTH(CHOOSE({1,2,3,4},KHP!U169,KHP!AA169,KHP!AG169,KHP!AM169))=6)*(CHOOSE({1,2,3,4},KHP!X169,KHP!AD169,KHP!AJ169,KHP!AP169)))</f>
        <v>0</v>
      </c>
      <c r="G169">
        <f>SUMPRODUCT((MONTH(CHOOSE({1,2,3,4},KHP!U169,KHP!AA169,KHP!AG169,KHP!AM169))=7)*(CHOOSE({1,2,3,4},KHP!X169,KHP!AD169,KHP!AJ169,KHP!AP169)))</f>
        <v>0</v>
      </c>
      <c r="H169">
        <f>SUMPRODUCT((MONTH(CHOOSE({1,2,3,4},KHP!U169,KHP!AA169,KHP!AG169,KHP!AM169))=8)*(CHOOSE({1,2,3,4},KHP!X169,KHP!AD169,KHP!AJ169,KHP!AP169)))</f>
        <v>0</v>
      </c>
      <c r="I169">
        <f>SUMPRODUCT((MONTH(CHOOSE({1,2,3,4},KHP!U169,KHP!AA169,KHP!AG169,KHP!AM169))=9)*(CHOOSE({1,2,3,4},KHP!X169,KHP!AD169,KHP!AJ169,KHP!AP169)))</f>
        <v>0</v>
      </c>
      <c r="J169">
        <f>SUMPRODUCT((MONTH(CHOOSE({1,2,3,4},KHP!U169,KHP!AA169,KHP!AG169,KHP!AM169))=10)*(CHOOSE({1,2,3,4},KHP!X169,KHP!AD169,KHP!AJ169,KHP!AP169)))</f>
        <v>0</v>
      </c>
      <c r="K169">
        <f>SUMPRODUCT((MONTH(CHOOSE({1,2,3,4},KHP!U169,KHP!AA169,KHP!AG169,KHP!AM169))=11)*(CHOOSE({1,2,3,4},KHP!X169,KHP!AD169,KHP!AJ169,KHP!AP169)))</f>
        <v>0</v>
      </c>
      <c r="L169">
        <f>SUMPRODUCT((MONTH(CHOOSE({1,2,3,4},KHP!U169,KHP!AA169,KHP!AG169,KHP!AM169))=12)*(CHOOSE({1,2,3,4},KHP!X169,KHP!AD169,KHP!AJ169,KHP!AP169)))</f>
        <v>0</v>
      </c>
    </row>
    <row r="170" spans="1:12">
      <c r="A170">
        <f>SUMPRODUCT((MONTH(CHOOSE({1,2,3,4},KHP!U170,KHP!AA170,KHP!AG170,KHP!AM170))=1)*(CHOOSE({1,2,3,4},KHP!X170,KHP!AD170,KHP!AJ170,KHP!AP170)))</f>
        <v>0</v>
      </c>
      <c r="B170">
        <f>SUMPRODUCT((MONTH(CHOOSE({1,2,3,4},KHP!U170,KHP!AA170,KHP!AG170,KHP!AM170))=2)*(CHOOSE({1,2,3,4},KHP!X170,KHP!AD170,KHP!AJ170,KHP!AP170)))</f>
        <v>0</v>
      </c>
      <c r="C170">
        <f>SUMPRODUCT((MONTH(CHOOSE({1,2,3,4},KHP!U170,KHP!AA170,KHP!AG170,KHP!AM170))=3)*(CHOOSE({1,2,3,4},KHP!X170,KHP!AD170,KHP!AJ170,KHP!AP170)))</f>
        <v>0</v>
      </c>
      <c r="D170">
        <f>SUMPRODUCT((MONTH(CHOOSE({1,2,3,4},KHP!U170,KHP!AA170,KHP!AG170,KHP!AM170))=4)*(CHOOSE({1,2,3,4},KHP!X170,KHP!AD170,KHP!AJ170,KHP!AP170)))</f>
        <v>0</v>
      </c>
      <c r="E170">
        <f>SUMPRODUCT((MONTH(CHOOSE({1,2,3,4},KHP!U170,KHP!AA170,KHP!AG170,KHP!AM170))=5)*(CHOOSE({1,2,3,4},KHP!X170,KHP!AD170,KHP!AJ170,KHP!AP170)))</f>
        <v>0</v>
      </c>
      <c r="F170">
        <f>SUMPRODUCT((MONTH(CHOOSE({1,2,3,4},KHP!U170,KHP!AA170,KHP!AG170,KHP!AM170))=6)*(CHOOSE({1,2,3,4},KHP!X170,KHP!AD170,KHP!AJ170,KHP!AP170)))</f>
        <v>0</v>
      </c>
      <c r="G170">
        <f>SUMPRODUCT((MONTH(CHOOSE({1,2,3,4},KHP!U170,KHP!AA170,KHP!AG170,KHP!AM170))=7)*(CHOOSE({1,2,3,4},KHP!X170,KHP!AD170,KHP!AJ170,KHP!AP170)))</f>
        <v>0</v>
      </c>
      <c r="H170">
        <f>SUMPRODUCT((MONTH(CHOOSE({1,2,3,4},KHP!U170,KHP!AA170,KHP!AG170,KHP!AM170))=8)*(CHOOSE({1,2,3,4},KHP!X170,KHP!AD170,KHP!AJ170,KHP!AP170)))</f>
        <v>0</v>
      </c>
      <c r="I170">
        <f>SUMPRODUCT((MONTH(CHOOSE({1,2,3,4},KHP!U170,KHP!AA170,KHP!AG170,KHP!AM170))=9)*(CHOOSE({1,2,3,4},KHP!X170,KHP!AD170,KHP!AJ170,KHP!AP170)))</f>
        <v>0</v>
      </c>
      <c r="J170">
        <f>SUMPRODUCT((MONTH(CHOOSE({1,2,3,4},KHP!U170,KHP!AA170,KHP!AG170,KHP!AM170))=10)*(CHOOSE({1,2,3,4},KHP!X170,KHP!AD170,KHP!AJ170,KHP!AP170)))</f>
        <v>0</v>
      </c>
      <c r="K170">
        <f>SUMPRODUCT((MONTH(CHOOSE({1,2,3,4},KHP!U170,KHP!AA170,KHP!AG170,KHP!AM170))=11)*(CHOOSE({1,2,3,4},KHP!X170,KHP!AD170,KHP!AJ170,KHP!AP170)))</f>
        <v>0</v>
      </c>
      <c r="L170">
        <f>SUMPRODUCT((MONTH(CHOOSE({1,2,3,4},KHP!U170,KHP!AA170,KHP!AG170,KHP!AM170))=12)*(CHOOSE({1,2,3,4},KHP!X170,KHP!AD170,KHP!AJ170,KHP!AP170)))</f>
        <v>0</v>
      </c>
    </row>
    <row r="171" spans="1:12">
      <c r="A171">
        <f>SUMPRODUCT((MONTH(CHOOSE({1,2,3,4},KHP!U171,KHP!AA171,KHP!AG171,KHP!AM171))=1)*(CHOOSE({1,2,3,4},KHP!X171,KHP!AD171,KHP!AJ171,KHP!AP171)))</f>
        <v>0</v>
      </c>
      <c r="B171">
        <f>SUMPRODUCT((MONTH(CHOOSE({1,2,3,4},KHP!U171,KHP!AA171,KHP!AG171,KHP!AM171))=2)*(CHOOSE({1,2,3,4},KHP!X171,KHP!AD171,KHP!AJ171,KHP!AP171)))</f>
        <v>0</v>
      </c>
      <c r="C171">
        <f>SUMPRODUCT((MONTH(CHOOSE({1,2,3,4},KHP!U171,KHP!AA171,KHP!AG171,KHP!AM171))=3)*(CHOOSE({1,2,3,4},KHP!X171,KHP!AD171,KHP!AJ171,KHP!AP171)))</f>
        <v>0</v>
      </c>
      <c r="D171">
        <f>SUMPRODUCT((MONTH(CHOOSE({1,2,3,4},KHP!U171,KHP!AA171,KHP!AG171,KHP!AM171))=4)*(CHOOSE({1,2,3,4},KHP!X171,KHP!AD171,KHP!AJ171,KHP!AP171)))</f>
        <v>0</v>
      </c>
      <c r="E171">
        <f>SUMPRODUCT((MONTH(CHOOSE({1,2,3,4},KHP!U171,KHP!AA171,KHP!AG171,KHP!AM171))=5)*(CHOOSE({1,2,3,4},KHP!X171,KHP!AD171,KHP!AJ171,KHP!AP171)))</f>
        <v>0</v>
      </c>
      <c r="F171">
        <f>SUMPRODUCT((MONTH(CHOOSE({1,2,3,4},KHP!U171,KHP!AA171,KHP!AG171,KHP!AM171))=6)*(CHOOSE({1,2,3,4},KHP!X171,KHP!AD171,KHP!AJ171,KHP!AP171)))</f>
        <v>0</v>
      </c>
      <c r="G171">
        <f>SUMPRODUCT((MONTH(CHOOSE({1,2,3,4},KHP!U171,KHP!AA171,KHP!AG171,KHP!AM171))=7)*(CHOOSE({1,2,3,4},KHP!X171,KHP!AD171,KHP!AJ171,KHP!AP171)))</f>
        <v>0</v>
      </c>
      <c r="H171">
        <f>SUMPRODUCT((MONTH(CHOOSE({1,2,3,4},KHP!U171,KHP!AA171,KHP!AG171,KHP!AM171))=8)*(CHOOSE({1,2,3,4},KHP!X171,KHP!AD171,KHP!AJ171,KHP!AP171)))</f>
        <v>0</v>
      </c>
      <c r="I171">
        <f>SUMPRODUCT((MONTH(CHOOSE({1,2,3,4},KHP!U171,KHP!AA171,KHP!AG171,KHP!AM171))=9)*(CHOOSE({1,2,3,4},KHP!X171,KHP!AD171,KHP!AJ171,KHP!AP171)))</f>
        <v>0</v>
      </c>
      <c r="J171">
        <f>SUMPRODUCT((MONTH(CHOOSE({1,2,3,4},KHP!U171,KHP!AA171,KHP!AG171,KHP!AM171))=10)*(CHOOSE({1,2,3,4},KHP!X171,KHP!AD171,KHP!AJ171,KHP!AP171)))</f>
        <v>0</v>
      </c>
      <c r="K171">
        <f>SUMPRODUCT((MONTH(CHOOSE({1,2,3,4},KHP!U171,KHP!AA171,KHP!AG171,KHP!AM171))=11)*(CHOOSE({1,2,3,4},KHP!X171,KHP!AD171,KHP!AJ171,KHP!AP171)))</f>
        <v>0</v>
      </c>
      <c r="L171">
        <f>SUMPRODUCT((MONTH(CHOOSE({1,2,3,4},KHP!U171,KHP!AA171,KHP!AG171,KHP!AM171))=12)*(CHOOSE({1,2,3,4},KHP!X171,KHP!AD171,KHP!AJ171,KHP!AP171)))</f>
        <v>0</v>
      </c>
    </row>
    <row r="172" spans="1:12">
      <c r="A172">
        <f>SUMPRODUCT((MONTH(CHOOSE({1,2,3,4},KHP!U172,KHP!AA172,KHP!AG172,KHP!AM172))=1)*(CHOOSE({1,2,3,4},KHP!X172,KHP!AD172,KHP!AJ172,KHP!AP172)))</f>
        <v>0</v>
      </c>
      <c r="B172">
        <f>SUMPRODUCT((MONTH(CHOOSE({1,2,3,4},KHP!U172,KHP!AA172,KHP!AG172,KHP!AM172))=2)*(CHOOSE({1,2,3,4},KHP!X172,KHP!AD172,KHP!AJ172,KHP!AP172)))</f>
        <v>0</v>
      </c>
      <c r="C172">
        <f>SUMPRODUCT((MONTH(CHOOSE({1,2,3,4},KHP!U172,KHP!AA172,KHP!AG172,KHP!AM172))=3)*(CHOOSE({1,2,3,4},KHP!X172,KHP!AD172,KHP!AJ172,KHP!AP172)))</f>
        <v>0</v>
      </c>
      <c r="D172">
        <f>SUMPRODUCT((MONTH(CHOOSE({1,2,3,4},KHP!U172,KHP!AA172,KHP!AG172,KHP!AM172))=4)*(CHOOSE({1,2,3,4},KHP!X172,KHP!AD172,KHP!AJ172,KHP!AP172)))</f>
        <v>0</v>
      </c>
      <c r="E172">
        <f>SUMPRODUCT((MONTH(CHOOSE({1,2,3,4},KHP!U172,KHP!AA172,KHP!AG172,KHP!AM172))=5)*(CHOOSE({1,2,3,4},KHP!X172,KHP!AD172,KHP!AJ172,KHP!AP172)))</f>
        <v>0</v>
      </c>
      <c r="F172">
        <f>SUMPRODUCT((MONTH(CHOOSE({1,2,3,4},KHP!U172,KHP!AA172,KHP!AG172,KHP!AM172))=6)*(CHOOSE({1,2,3,4},KHP!X172,KHP!AD172,KHP!AJ172,KHP!AP172)))</f>
        <v>0</v>
      </c>
      <c r="G172">
        <f>SUMPRODUCT((MONTH(CHOOSE({1,2,3,4},KHP!U172,KHP!AA172,KHP!AG172,KHP!AM172))=7)*(CHOOSE({1,2,3,4},KHP!X172,KHP!AD172,KHP!AJ172,KHP!AP172)))</f>
        <v>0</v>
      </c>
      <c r="H172">
        <f>SUMPRODUCT((MONTH(CHOOSE({1,2,3,4},KHP!U172,KHP!AA172,KHP!AG172,KHP!AM172))=8)*(CHOOSE({1,2,3,4},KHP!X172,KHP!AD172,KHP!AJ172,KHP!AP172)))</f>
        <v>0</v>
      </c>
      <c r="I172">
        <f>SUMPRODUCT((MONTH(CHOOSE({1,2,3,4},KHP!U172,KHP!AA172,KHP!AG172,KHP!AM172))=9)*(CHOOSE({1,2,3,4},KHP!X172,KHP!AD172,KHP!AJ172,KHP!AP172)))</f>
        <v>0</v>
      </c>
      <c r="J172">
        <f>SUMPRODUCT((MONTH(CHOOSE({1,2,3,4},KHP!U172,KHP!AA172,KHP!AG172,KHP!AM172))=10)*(CHOOSE({1,2,3,4},KHP!X172,KHP!AD172,KHP!AJ172,KHP!AP172)))</f>
        <v>0</v>
      </c>
      <c r="K172">
        <f>SUMPRODUCT((MONTH(CHOOSE({1,2,3,4},KHP!U172,KHP!AA172,KHP!AG172,KHP!AM172))=11)*(CHOOSE({1,2,3,4},KHP!X172,KHP!AD172,KHP!AJ172,KHP!AP172)))</f>
        <v>0</v>
      </c>
      <c r="L172">
        <f>SUMPRODUCT((MONTH(CHOOSE({1,2,3,4},KHP!U172,KHP!AA172,KHP!AG172,KHP!AM172))=12)*(CHOOSE({1,2,3,4},KHP!X172,KHP!AD172,KHP!AJ172,KHP!AP172)))</f>
        <v>0</v>
      </c>
    </row>
    <row r="173" spans="1:12">
      <c r="A173">
        <f>SUMPRODUCT((MONTH(CHOOSE({1,2,3,4},KHP!U173,KHP!AA173,KHP!AG173,KHP!AM173))=1)*(CHOOSE({1,2,3,4},KHP!X173,KHP!AD173,KHP!AJ173,KHP!AP173)))</f>
        <v>0</v>
      </c>
      <c r="B173">
        <f>SUMPRODUCT((MONTH(CHOOSE({1,2,3,4},KHP!U173,KHP!AA173,KHP!AG173,KHP!AM173))=2)*(CHOOSE({1,2,3,4},KHP!X173,KHP!AD173,KHP!AJ173,KHP!AP173)))</f>
        <v>0</v>
      </c>
      <c r="C173">
        <f>SUMPRODUCT((MONTH(CHOOSE({1,2,3,4},KHP!U173,KHP!AA173,KHP!AG173,KHP!AM173))=3)*(CHOOSE({1,2,3,4},KHP!X173,KHP!AD173,KHP!AJ173,KHP!AP173)))</f>
        <v>0</v>
      </c>
      <c r="D173">
        <f>SUMPRODUCT((MONTH(CHOOSE({1,2,3,4},KHP!U173,KHP!AA173,KHP!AG173,KHP!AM173))=4)*(CHOOSE({1,2,3,4},KHP!X173,KHP!AD173,KHP!AJ173,KHP!AP173)))</f>
        <v>0</v>
      </c>
      <c r="E173">
        <f>SUMPRODUCT((MONTH(CHOOSE({1,2,3,4},KHP!U173,KHP!AA173,KHP!AG173,KHP!AM173))=5)*(CHOOSE({1,2,3,4},KHP!X173,KHP!AD173,KHP!AJ173,KHP!AP173)))</f>
        <v>0</v>
      </c>
      <c r="F173">
        <f>SUMPRODUCT((MONTH(CHOOSE({1,2,3,4},KHP!U173,KHP!AA173,KHP!AG173,KHP!AM173))=6)*(CHOOSE({1,2,3,4},KHP!X173,KHP!AD173,KHP!AJ173,KHP!AP173)))</f>
        <v>0</v>
      </c>
      <c r="G173">
        <f>SUMPRODUCT((MONTH(CHOOSE({1,2,3,4},KHP!U173,KHP!AA173,KHP!AG173,KHP!AM173))=7)*(CHOOSE({1,2,3,4},KHP!X173,KHP!AD173,KHP!AJ173,KHP!AP173)))</f>
        <v>0</v>
      </c>
      <c r="H173">
        <f>SUMPRODUCT((MONTH(CHOOSE({1,2,3,4},KHP!U173,KHP!AA173,KHP!AG173,KHP!AM173))=8)*(CHOOSE({1,2,3,4},KHP!X173,KHP!AD173,KHP!AJ173,KHP!AP173)))</f>
        <v>0</v>
      </c>
      <c r="I173">
        <f>SUMPRODUCT((MONTH(CHOOSE({1,2,3,4},KHP!U173,KHP!AA173,KHP!AG173,KHP!AM173))=9)*(CHOOSE({1,2,3,4},KHP!X173,KHP!AD173,KHP!AJ173,KHP!AP173)))</f>
        <v>0</v>
      </c>
      <c r="J173">
        <f>SUMPRODUCT((MONTH(CHOOSE({1,2,3,4},KHP!U173,KHP!AA173,KHP!AG173,KHP!AM173))=10)*(CHOOSE({1,2,3,4},KHP!X173,KHP!AD173,KHP!AJ173,KHP!AP173)))</f>
        <v>0</v>
      </c>
      <c r="K173">
        <f>SUMPRODUCT((MONTH(CHOOSE({1,2,3,4},KHP!U173,KHP!AA173,KHP!AG173,KHP!AM173))=11)*(CHOOSE({1,2,3,4},KHP!X173,KHP!AD173,KHP!AJ173,KHP!AP173)))</f>
        <v>0</v>
      </c>
      <c r="L173">
        <f>SUMPRODUCT((MONTH(CHOOSE({1,2,3,4},KHP!U173,KHP!AA173,KHP!AG173,KHP!AM173))=12)*(CHOOSE({1,2,3,4},KHP!X173,KHP!AD173,KHP!AJ173,KHP!AP173)))</f>
        <v>0</v>
      </c>
    </row>
    <row r="174" spans="1:12">
      <c r="A174">
        <f>SUMPRODUCT((MONTH(CHOOSE({1,2,3,4},KHP!U174,KHP!AA174,KHP!AG174,KHP!AM174))=1)*(CHOOSE({1,2,3,4},KHP!X174,KHP!AD174,KHP!AJ174,KHP!AP174)))</f>
        <v>0</v>
      </c>
      <c r="B174">
        <f>SUMPRODUCT((MONTH(CHOOSE({1,2,3,4},KHP!U174,KHP!AA174,KHP!AG174,KHP!AM174))=2)*(CHOOSE({1,2,3,4},KHP!X174,KHP!AD174,KHP!AJ174,KHP!AP174)))</f>
        <v>0</v>
      </c>
      <c r="C174">
        <f>SUMPRODUCT((MONTH(CHOOSE({1,2,3,4},KHP!U174,KHP!AA174,KHP!AG174,KHP!AM174))=3)*(CHOOSE({1,2,3,4},KHP!X174,KHP!AD174,KHP!AJ174,KHP!AP174)))</f>
        <v>0</v>
      </c>
      <c r="D174">
        <f>SUMPRODUCT((MONTH(CHOOSE({1,2,3,4},KHP!U174,KHP!AA174,KHP!AG174,KHP!AM174))=4)*(CHOOSE({1,2,3,4},KHP!X174,KHP!AD174,KHP!AJ174,KHP!AP174)))</f>
        <v>0</v>
      </c>
      <c r="E174">
        <f>SUMPRODUCT((MONTH(CHOOSE({1,2,3,4},KHP!U174,KHP!AA174,KHP!AG174,KHP!AM174))=5)*(CHOOSE({1,2,3,4},KHP!X174,KHP!AD174,KHP!AJ174,KHP!AP174)))</f>
        <v>0</v>
      </c>
      <c r="F174">
        <f>SUMPRODUCT((MONTH(CHOOSE({1,2,3,4},KHP!U174,KHP!AA174,KHP!AG174,KHP!AM174))=6)*(CHOOSE({1,2,3,4},KHP!X174,KHP!AD174,KHP!AJ174,KHP!AP174)))</f>
        <v>0</v>
      </c>
      <c r="G174">
        <f>SUMPRODUCT((MONTH(CHOOSE({1,2,3,4},KHP!U174,KHP!AA174,KHP!AG174,KHP!AM174))=7)*(CHOOSE({1,2,3,4},KHP!X174,KHP!AD174,KHP!AJ174,KHP!AP174)))</f>
        <v>0</v>
      </c>
      <c r="H174">
        <f>SUMPRODUCT((MONTH(CHOOSE({1,2,3,4},KHP!U174,KHP!AA174,KHP!AG174,KHP!AM174))=8)*(CHOOSE({1,2,3,4},KHP!X174,KHP!AD174,KHP!AJ174,KHP!AP174)))</f>
        <v>0</v>
      </c>
      <c r="I174">
        <f>SUMPRODUCT((MONTH(CHOOSE({1,2,3,4},KHP!U174,KHP!AA174,KHP!AG174,KHP!AM174))=9)*(CHOOSE({1,2,3,4},KHP!X174,KHP!AD174,KHP!AJ174,KHP!AP174)))</f>
        <v>0</v>
      </c>
      <c r="J174">
        <f>SUMPRODUCT((MONTH(CHOOSE({1,2,3,4},KHP!U174,KHP!AA174,KHP!AG174,KHP!AM174))=10)*(CHOOSE({1,2,3,4},KHP!X174,KHP!AD174,KHP!AJ174,KHP!AP174)))</f>
        <v>0</v>
      </c>
      <c r="K174">
        <f>SUMPRODUCT((MONTH(CHOOSE({1,2,3,4},KHP!U174,KHP!AA174,KHP!AG174,KHP!AM174))=11)*(CHOOSE({1,2,3,4},KHP!X174,KHP!AD174,KHP!AJ174,KHP!AP174)))</f>
        <v>0</v>
      </c>
      <c r="L174">
        <f>SUMPRODUCT((MONTH(CHOOSE({1,2,3,4},KHP!U174,KHP!AA174,KHP!AG174,KHP!AM174))=12)*(CHOOSE({1,2,3,4},KHP!X174,KHP!AD174,KHP!AJ174,KHP!AP174)))</f>
        <v>0</v>
      </c>
    </row>
    <row r="175" spans="1:12">
      <c r="A175">
        <f>SUMPRODUCT((MONTH(CHOOSE({1,2,3,4},KHP!U175,KHP!AA175,KHP!AG175,KHP!AM175))=1)*(CHOOSE({1,2,3,4},KHP!X175,KHP!AD175,KHP!AJ175,KHP!AP175)))</f>
        <v>0</v>
      </c>
      <c r="B175">
        <f>SUMPRODUCT((MONTH(CHOOSE({1,2,3,4},KHP!U175,KHP!AA175,KHP!AG175,KHP!AM175))=2)*(CHOOSE({1,2,3,4},KHP!X175,KHP!AD175,KHP!AJ175,KHP!AP175)))</f>
        <v>0</v>
      </c>
      <c r="C175">
        <f>SUMPRODUCT((MONTH(CHOOSE({1,2,3,4},KHP!U175,KHP!AA175,KHP!AG175,KHP!AM175))=3)*(CHOOSE({1,2,3,4},KHP!X175,KHP!AD175,KHP!AJ175,KHP!AP175)))</f>
        <v>0</v>
      </c>
      <c r="D175">
        <f>SUMPRODUCT((MONTH(CHOOSE({1,2,3,4},KHP!U175,KHP!AA175,KHP!AG175,KHP!AM175))=4)*(CHOOSE({1,2,3,4},KHP!X175,KHP!AD175,KHP!AJ175,KHP!AP175)))</f>
        <v>0</v>
      </c>
      <c r="E175">
        <f>SUMPRODUCT((MONTH(CHOOSE({1,2,3,4},KHP!U175,KHP!AA175,KHP!AG175,KHP!AM175))=5)*(CHOOSE({1,2,3,4},KHP!X175,KHP!AD175,KHP!AJ175,KHP!AP175)))</f>
        <v>0</v>
      </c>
      <c r="F175">
        <f>SUMPRODUCT((MONTH(CHOOSE({1,2,3,4},KHP!U175,KHP!AA175,KHP!AG175,KHP!AM175))=6)*(CHOOSE({1,2,3,4},KHP!X175,KHP!AD175,KHP!AJ175,KHP!AP175)))</f>
        <v>0</v>
      </c>
      <c r="G175">
        <f>SUMPRODUCT((MONTH(CHOOSE({1,2,3,4},KHP!U175,KHP!AA175,KHP!AG175,KHP!AM175))=7)*(CHOOSE({1,2,3,4},KHP!X175,KHP!AD175,KHP!AJ175,KHP!AP175)))</f>
        <v>0</v>
      </c>
      <c r="H175">
        <f>SUMPRODUCT((MONTH(CHOOSE({1,2,3,4},KHP!U175,KHP!AA175,KHP!AG175,KHP!AM175))=8)*(CHOOSE({1,2,3,4},KHP!X175,KHP!AD175,KHP!AJ175,KHP!AP175)))</f>
        <v>0</v>
      </c>
      <c r="I175">
        <f>SUMPRODUCT((MONTH(CHOOSE({1,2,3,4},KHP!U175,KHP!AA175,KHP!AG175,KHP!AM175))=9)*(CHOOSE({1,2,3,4},KHP!X175,KHP!AD175,KHP!AJ175,KHP!AP175)))</f>
        <v>0</v>
      </c>
      <c r="J175">
        <f>SUMPRODUCT((MONTH(CHOOSE({1,2,3,4},KHP!U175,KHP!AA175,KHP!AG175,KHP!AM175))=10)*(CHOOSE({1,2,3,4},KHP!X175,KHP!AD175,KHP!AJ175,KHP!AP175)))</f>
        <v>0</v>
      </c>
      <c r="K175">
        <f>SUMPRODUCT((MONTH(CHOOSE({1,2,3,4},KHP!U175,KHP!AA175,KHP!AG175,KHP!AM175))=11)*(CHOOSE({1,2,3,4},KHP!X175,KHP!AD175,KHP!AJ175,KHP!AP175)))</f>
        <v>0</v>
      </c>
      <c r="L175">
        <f>SUMPRODUCT((MONTH(CHOOSE({1,2,3,4},KHP!U175,KHP!AA175,KHP!AG175,KHP!AM175))=12)*(CHOOSE({1,2,3,4},KHP!X175,KHP!AD175,KHP!AJ175,KHP!AP175)))</f>
        <v>0</v>
      </c>
    </row>
    <row r="176" spans="1:12">
      <c r="A176">
        <f>SUMPRODUCT((MONTH(CHOOSE({1,2,3,4},KHP!U176,KHP!AA176,KHP!AG176,KHP!AM176))=1)*(CHOOSE({1,2,3,4},KHP!X176,KHP!AD176,KHP!AJ176,KHP!AP176)))</f>
        <v>0</v>
      </c>
      <c r="B176">
        <f>SUMPRODUCT((MONTH(CHOOSE({1,2,3,4},KHP!U176,KHP!AA176,KHP!AG176,KHP!AM176))=2)*(CHOOSE({1,2,3,4},KHP!X176,KHP!AD176,KHP!AJ176,KHP!AP176)))</f>
        <v>0</v>
      </c>
      <c r="C176">
        <f>SUMPRODUCT((MONTH(CHOOSE({1,2,3,4},KHP!U176,KHP!AA176,KHP!AG176,KHP!AM176))=3)*(CHOOSE({1,2,3,4},KHP!X176,KHP!AD176,KHP!AJ176,KHP!AP176)))</f>
        <v>0</v>
      </c>
      <c r="D176">
        <f>SUMPRODUCT((MONTH(CHOOSE({1,2,3,4},KHP!U176,KHP!AA176,KHP!AG176,KHP!AM176))=4)*(CHOOSE({1,2,3,4},KHP!X176,KHP!AD176,KHP!AJ176,KHP!AP176)))</f>
        <v>0</v>
      </c>
      <c r="E176">
        <f>SUMPRODUCT((MONTH(CHOOSE({1,2,3,4},KHP!U176,KHP!AA176,KHP!AG176,KHP!AM176))=5)*(CHOOSE({1,2,3,4},KHP!X176,KHP!AD176,KHP!AJ176,KHP!AP176)))</f>
        <v>0</v>
      </c>
      <c r="F176">
        <f>SUMPRODUCT((MONTH(CHOOSE({1,2,3,4},KHP!U176,KHP!AA176,KHP!AG176,KHP!AM176))=6)*(CHOOSE({1,2,3,4},KHP!X176,KHP!AD176,KHP!AJ176,KHP!AP176)))</f>
        <v>0</v>
      </c>
      <c r="G176">
        <f>SUMPRODUCT((MONTH(CHOOSE({1,2,3,4},KHP!U176,KHP!AA176,KHP!AG176,KHP!AM176))=7)*(CHOOSE({1,2,3,4},KHP!X176,KHP!AD176,KHP!AJ176,KHP!AP176)))</f>
        <v>0</v>
      </c>
      <c r="H176">
        <f>SUMPRODUCT((MONTH(CHOOSE({1,2,3,4},KHP!U176,KHP!AA176,KHP!AG176,KHP!AM176))=8)*(CHOOSE({1,2,3,4},KHP!X176,KHP!AD176,KHP!AJ176,KHP!AP176)))</f>
        <v>0</v>
      </c>
      <c r="I176">
        <f>SUMPRODUCT((MONTH(CHOOSE({1,2,3,4},KHP!U176,KHP!AA176,KHP!AG176,KHP!AM176))=9)*(CHOOSE({1,2,3,4},KHP!X176,KHP!AD176,KHP!AJ176,KHP!AP176)))</f>
        <v>0</v>
      </c>
      <c r="J176">
        <f>SUMPRODUCT((MONTH(CHOOSE({1,2,3,4},KHP!U176,KHP!AA176,KHP!AG176,KHP!AM176))=10)*(CHOOSE({1,2,3,4},KHP!X176,KHP!AD176,KHP!AJ176,KHP!AP176)))</f>
        <v>0</v>
      </c>
      <c r="K176">
        <f>SUMPRODUCT((MONTH(CHOOSE({1,2,3,4},KHP!U176,KHP!AA176,KHP!AG176,KHP!AM176))=11)*(CHOOSE({1,2,3,4},KHP!X176,KHP!AD176,KHP!AJ176,KHP!AP176)))</f>
        <v>0</v>
      </c>
      <c r="L176">
        <f>SUMPRODUCT((MONTH(CHOOSE({1,2,3,4},KHP!U176,KHP!AA176,KHP!AG176,KHP!AM176))=12)*(CHOOSE({1,2,3,4},KHP!X176,KHP!AD176,KHP!AJ176,KHP!AP176)))</f>
        <v>0</v>
      </c>
    </row>
    <row r="177" spans="1:12">
      <c r="A177">
        <f>SUMPRODUCT((MONTH(CHOOSE({1,2,3,4},KHP!U177,KHP!AA177,KHP!AG177,KHP!AM177))=1)*(CHOOSE({1,2,3,4},KHP!X177,KHP!AD177,KHP!AJ177,KHP!AP177)))</f>
        <v>0</v>
      </c>
      <c r="B177">
        <f>SUMPRODUCT((MONTH(CHOOSE({1,2,3,4},KHP!U177,KHP!AA177,KHP!AG177,KHP!AM177))=2)*(CHOOSE({1,2,3,4},KHP!X177,KHP!AD177,KHP!AJ177,KHP!AP177)))</f>
        <v>0</v>
      </c>
      <c r="C177">
        <f>SUMPRODUCT((MONTH(CHOOSE({1,2,3,4},KHP!U177,KHP!AA177,KHP!AG177,KHP!AM177))=3)*(CHOOSE({1,2,3,4},KHP!X177,KHP!AD177,KHP!AJ177,KHP!AP177)))</f>
        <v>0</v>
      </c>
      <c r="D177">
        <f>SUMPRODUCT((MONTH(CHOOSE({1,2,3,4},KHP!U177,KHP!AA177,KHP!AG177,KHP!AM177))=4)*(CHOOSE({1,2,3,4},KHP!X177,KHP!AD177,KHP!AJ177,KHP!AP177)))</f>
        <v>0</v>
      </c>
      <c r="E177">
        <f>SUMPRODUCT((MONTH(CHOOSE({1,2,3,4},KHP!U177,KHP!AA177,KHP!AG177,KHP!AM177))=5)*(CHOOSE({1,2,3,4},KHP!X177,KHP!AD177,KHP!AJ177,KHP!AP177)))</f>
        <v>0</v>
      </c>
      <c r="F177">
        <f>SUMPRODUCT((MONTH(CHOOSE({1,2,3,4},KHP!U177,KHP!AA177,KHP!AG177,KHP!AM177))=6)*(CHOOSE({1,2,3,4},KHP!X177,KHP!AD177,KHP!AJ177,KHP!AP177)))</f>
        <v>0</v>
      </c>
      <c r="G177">
        <f>SUMPRODUCT((MONTH(CHOOSE({1,2,3,4},KHP!U177,KHP!AA177,KHP!AG177,KHP!AM177))=7)*(CHOOSE({1,2,3,4},KHP!X177,KHP!AD177,KHP!AJ177,KHP!AP177)))</f>
        <v>0</v>
      </c>
      <c r="H177">
        <f>SUMPRODUCT((MONTH(CHOOSE({1,2,3,4},KHP!U177,KHP!AA177,KHP!AG177,KHP!AM177))=8)*(CHOOSE({1,2,3,4},KHP!X177,KHP!AD177,KHP!AJ177,KHP!AP177)))</f>
        <v>0</v>
      </c>
      <c r="I177">
        <f>SUMPRODUCT((MONTH(CHOOSE({1,2,3,4},KHP!U177,KHP!AA177,KHP!AG177,KHP!AM177))=9)*(CHOOSE({1,2,3,4},KHP!X177,KHP!AD177,KHP!AJ177,KHP!AP177)))</f>
        <v>0</v>
      </c>
      <c r="J177">
        <f>SUMPRODUCT((MONTH(CHOOSE({1,2,3,4},KHP!U177,KHP!AA177,KHP!AG177,KHP!AM177))=10)*(CHOOSE({1,2,3,4},KHP!X177,KHP!AD177,KHP!AJ177,KHP!AP177)))</f>
        <v>0</v>
      </c>
      <c r="K177">
        <f>SUMPRODUCT((MONTH(CHOOSE({1,2,3,4},KHP!U177,KHP!AA177,KHP!AG177,KHP!AM177))=11)*(CHOOSE({1,2,3,4},KHP!X177,KHP!AD177,KHP!AJ177,KHP!AP177)))</f>
        <v>0</v>
      </c>
      <c r="L177">
        <f>SUMPRODUCT((MONTH(CHOOSE({1,2,3,4},KHP!U177,KHP!AA177,KHP!AG177,KHP!AM177))=12)*(CHOOSE({1,2,3,4},KHP!X177,KHP!AD177,KHP!AJ177,KHP!AP177)))</f>
        <v>0</v>
      </c>
    </row>
    <row r="178" spans="1:12">
      <c r="A178">
        <f>SUMPRODUCT((MONTH(CHOOSE({1,2,3,4},KHP!U178,KHP!AA178,KHP!AG178,KHP!AM178))=1)*(CHOOSE({1,2,3,4},KHP!X178,KHP!AD178,KHP!AJ178,KHP!AP178)))</f>
        <v>0</v>
      </c>
      <c r="B178">
        <f>SUMPRODUCT((MONTH(CHOOSE({1,2,3,4},KHP!U178,KHP!AA178,KHP!AG178,KHP!AM178))=2)*(CHOOSE({1,2,3,4},KHP!X178,KHP!AD178,KHP!AJ178,KHP!AP178)))</f>
        <v>0</v>
      </c>
      <c r="C178">
        <f>SUMPRODUCT((MONTH(CHOOSE({1,2,3,4},KHP!U178,KHP!AA178,KHP!AG178,KHP!AM178))=3)*(CHOOSE({1,2,3,4},KHP!X178,KHP!AD178,KHP!AJ178,KHP!AP178)))</f>
        <v>0</v>
      </c>
      <c r="D178">
        <f>SUMPRODUCT((MONTH(CHOOSE({1,2,3,4},KHP!U178,KHP!AA178,KHP!AG178,KHP!AM178))=4)*(CHOOSE({1,2,3,4},KHP!X178,KHP!AD178,KHP!AJ178,KHP!AP178)))</f>
        <v>0</v>
      </c>
      <c r="E178">
        <f>SUMPRODUCT((MONTH(CHOOSE({1,2,3,4},KHP!U178,KHP!AA178,KHP!AG178,KHP!AM178))=5)*(CHOOSE({1,2,3,4},KHP!X178,KHP!AD178,KHP!AJ178,KHP!AP178)))</f>
        <v>0</v>
      </c>
      <c r="F178">
        <f>SUMPRODUCT((MONTH(CHOOSE({1,2,3,4},KHP!U178,KHP!AA178,KHP!AG178,KHP!AM178))=6)*(CHOOSE({1,2,3,4},KHP!X178,KHP!AD178,KHP!AJ178,KHP!AP178)))</f>
        <v>0</v>
      </c>
      <c r="G178">
        <f>SUMPRODUCT((MONTH(CHOOSE({1,2,3,4},KHP!U178,KHP!AA178,KHP!AG178,KHP!AM178))=7)*(CHOOSE({1,2,3,4},KHP!X178,KHP!AD178,KHP!AJ178,KHP!AP178)))</f>
        <v>0</v>
      </c>
      <c r="H178">
        <f>SUMPRODUCT((MONTH(CHOOSE({1,2,3,4},KHP!U178,KHP!AA178,KHP!AG178,KHP!AM178))=8)*(CHOOSE({1,2,3,4},KHP!X178,KHP!AD178,KHP!AJ178,KHP!AP178)))</f>
        <v>0</v>
      </c>
      <c r="I178">
        <f>SUMPRODUCT((MONTH(CHOOSE({1,2,3,4},KHP!U178,KHP!AA178,KHP!AG178,KHP!AM178))=9)*(CHOOSE({1,2,3,4},KHP!X178,KHP!AD178,KHP!AJ178,KHP!AP178)))</f>
        <v>0</v>
      </c>
      <c r="J178">
        <f>SUMPRODUCT((MONTH(CHOOSE({1,2,3,4},KHP!U178,KHP!AA178,KHP!AG178,KHP!AM178))=10)*(CHOOSE({1,2,3,4},KHP!X178,KHP!AD178,KHP!AJ178,KHP!AP178)))</f>
        <v>0</v>
      </c>
      <c r="K178">
        <f>SUMPRODUCT((MONTH(CHOOSE({1,2,3,4},KHP!U178,KHP!AA178,KHP!AG178,KHP!AM178))=11)*(CHOOSE({1,2,3,4},KHP!X178,KHP!AD178,KHP!AJ178,KHP!AP178)))</f>
        <v>0</v>
      </c>
      <c r="L178">
        <f>SUMPRODUCT((MONTH(CHOOSE({1,2,3,4},KHP!U178,KHP!AA178,KHP!AG178,KHP!AM178))=12)*(CHOOSE({1,2,3,4},KHP!X178,KHP!AD178,KHP!AJ178,KHP!AP178)))</f>
        <v>0</v>
      </c>
    </row>
    <row r="179" spans="1:12">
      <c r="A179">
        <f>SUMPRODUCT((MONTH(CHOOSE({1,2,3,4},KHP!U179,KHP!AA179,KHP!AG179,KHP!AM179))=1)*(CHOOSE({1,2,3,4},KHP!X179,KHP!AD179,KHP!AJ179,KHP!AP179)))</f>
        <v>0</v>
      </c>
      <c r="B179">
        <f>SUMPRODUCT((MONTH(CHOOSE({1,2,3,4},KHP!U179,KHP!AA179,KHP!AG179,KHP!AM179))=2)*(CHOOSE({1,2,3,4},KHP!X179,KHP!AD179,KHP!AJ179,KHP!AP179)))</f>
        <v>0</v>
      </c>
      <c r="C179">
        <f>SUMPRODUCT((MONTH(CHOOSE({1,2,3,4},KHP!U179,KHP!AA179,KHP!AG179,KHP!AM179))=3)*(CHOOSE({1,2,3,4},KHP!X179,KHP!AD179,KHP!AJ179,KHP!AP179)))</f>
        <v>0</v>
      </c>
      <c r="D179">
        <f>SUMPRODUCT((MONTH(CHOOSE({1,2,3,4},KHP!U179,KHP!AA179,KHP!AG179,KHP!AM179))=4)*(CHOOSE({1,2,3,4},KHP!X179,KHP!AD179,KHP!AJ179,KHP!AP179)))</f>
        <v>0</v>
      </c>
      <c r="E179">
        <f>SUMPRODUCT((MONTH(CHOOSE({1,2,3,4},KHP!U179,KHP!AA179,KHP!AG179,KHP!AM179))=5)*(CHOOSE({1,2,3,4},KHP!X179,KHP!AD179,KHP!AJ179,KHP!AP179)))</f>
        <v>0</v>
      </c>
      <c r="F179">
        <f>SUMPRODUCT((MONTH(CHOOSE({1,2,3,4},KHP!U179,KHP!AA179,KHP!AG179,KHP!AM179))=6)*(CHOOSE({1,2,3,4},KHP!X179,KHP!AD179,KHP!AJ179,KHP!AP179)))</f>
        <v>0</v>
      </c>
      <c r="G179">
        <f>SUMPRODUCT((MONTH(CHOOSE({1,2,3,4},KHP!U179,KHP!AA179,KHP!AG179,KHP!AM179))=7)*(CHOOSE({1,2,3,4},KHP!X179,KHP!AD179,KHP!AJ179,KHP!AP179)))</f>
        <v>0</v>
      </c>
      <c r="H179">
        <f>SUMPRODUCT((MONTH(CHOOSE({1,2,3,4},KHP!U179,KHP!AA179,KHP!AG179,KHP!AM179))=8)*(CHOOSE({1,2,3,4},KHP!X179,KHP!AD179,KHP!AJ179,KHP!AP179)))</f>
        <v>0</v>
      </c>
      <c r="I179">
        <f>SUMPRODUCT((MONTH(CHOOSE({1,2,3,4},KHP!U179,KHP!AA179,KHP!AG179,KHP!AM179))=9)*(CHOOSE({1,2,3,4},KHP!X179,KHP!AD179,KHP!AJ179,KHP!AP179)))</f>
        <v>0</v>
      </c>
      <c r="J179">
        <f>SUMPRODUCT((MONTH(CHOOSE({1,2,3,4},KHP!U179,KHP!AA179,KHP!AG179,KHP!AM179))=10)*(CHOOSE({1,2,3,4},KHP!X179,KHP!AD179,KHP!AJ179,KHP!AP179)))</f>
        <v>0</v>
      </c>
      <c r="K179">
        <f>SUMPRODUCT((MONTH(CHOOSE({1,2,3,4},KHP!U179,KHP!AA179,KHP!AG179,KHP!AM179))=11)*(CHOOSE({1,2,3,4},KHP!X179,KHP!AD179,KHP!AJ179,KHP!AP179)))</f>
        <v>0</v>
      </c>
      <c r="L179">
        <f>SUMPRODUCT((MONTH(CHOOSE({1,2,3,4},KHP!U179,KHP!AA179,KHP!AG179,KHP!AM179))=12)*(CHOOSE({1,2,3,4},KHP!X179,KHP!AD179,KHP!AJ179,KHP!AP179)))</f>
        <v>0</v>
      </c>
    </row>
    <row r="180" spans="1:12">
      <c r="A180">
        <f>SUMPRODUCT((MONTH(CHOOSE({1,2,3,4},KHP!U180,KHP!AA180,KHP!AG180,KHP!AM180))=1)*(CHOOSE({1,2,3,4},KHP!X180,KHP!AD180,KHP!AJ180,KHP!AP180)))</f>
        <v>0</v>
      </c>
      <c r="B180">
        <f>SUMPRODUCT((MONTH(CHOOSE({1,2,3,4},KHP!U180,KHP!AA180,KHP!AG180,KHP!AM180))=2)*(CHOOSE({1,2,3,4},KHP!X180,KHP!AD180,KHP!AJ180,KHP!AP180)))</f>
        <v>0</v>
      </c>
      <c r="C180">
        <f>SUMPRODUCT((MONTH(CHOOSE({1,2,3,4},KHP!U180,KHP!AA180,KHP!AG180,KHP!AM180))=3)*(CHOOSE({1,2,3,4},KHP!X180,KHP!AD180,KHP!AJ180,KHP!AP180)))</f>
        <v>0</v>
      </c>
      <c r="D180">
        <f>SUMPRODUCT((MONTH(CHOOSE({1,2,3,4},KHP!U180,KHP!AA180,KHP!AG180,KHP!AM180))=4)*(CHOOSE({1,2,3,4},KHP!X180,KHP!AD180,KHP!AJ180,KHP!AP180)))</f>
        <v>0</v>
      </c>
      <c r="E180">
        <f>SUMPRODUCT((MONTH(CHOOSE({1,2,3,4},KHP!U180,KHP!AA180,KHP!AG180,KHP!AM180))=5)*(CHOOSE({1,2,3,4},KHP!X180,KHP!AD180,KHP!AJ180,KHP!AP180)))</f>
        <v>0</v>
      </c>
      <c r="F180">
        <f>SUMPRODUCT((MONTH(CHOOSE({1,2,3,4},KHP!U180,KHP!AA180,KHP!AG180,KHP!AM180))=6)*(CHOOSE({1,2,3,4},KHP!X180,KHP!AD180,KHP!AJ180,KHP!AP180)))</f>
        <v>0</v>
      </c>
      <c r="G180">
        <f>SUMPRODUCT((MONTH(CHOOSE({1,2,3,4},KHP!U180,KHP!AA180,KHP!AG180,KHP!AM180))=7)*(CHOOSE({1,2,3,4},KHP!X180,KHP!AD180,KHP!AJ180,KHP!AP180)))</f>
        <v>0</v>
      </c>
      <c r="H180">
        <f>SUMPRODUCT((MONTH(CHOOSE({1,2,3,4},KHP!U180,KHP!AA180,KHP!AG180,KHP!AM180))=8)*(CHOOSE({1,2,3,4},KHP!X180,KHP!AD180,KHP!AJ180,KHP!AP180)))</f>
        <v>0</v>
      </c>
      <c r="I180">
        <f>SUMPRODUCT((MONTH(CHOOSE({1,2,3,4},KHP!U180,KHP!AA180,KHP!AG180,KHP!AM180))=9)*(CHOOSE({1,2,3,4},KHP!X180,KHP!AD180,KHP!AJ180,KHP!AP180)))</f>
        <v>0</v>
      </c>
      <c r="J180">
        <f>SUMPRODUCT((MONTH(CHOOSE({1,2,3,4},KHP!U180,KHP!AA180,KHP!AG180,KHP!AM180))=10)*(CHOOSE({1,2,3,4},KHP!X180,KHP!AD180,KHP!AJ180,KHP!AP180)))</f>
        <v>0</v>
      </c>
      <c r="K180">
        <f>SUMPRODUCT((MONTH(CHOOSE({1,2,3,4},KHP!U180,KHP!AA180,KHP!AG180,KHP!AM180))=11)*(CHOOSE({1,2,3,4},KHP!X180,KHP!AD180,KHP!AJ180,KHP!AP180)))</f>
        <v>0</v>
      </c>
      <c r="L180">
        <f>SUMPRODUCT((MONTH(CHOOSE({1,2,3,4},KHP!U180,KHP!AA180,KHP!AG180,KHP!AM180))=12)*(CHOOSE({1,2,3,4},KHP!X180,KHP!AD180,KHP!AJ180,KHP!AP180)))</f>
        <v>0</v>
      </c>
    </row>
    <row r="181" spans="1:12">
      <c r="A181">
        <f>SUMPRODUCT((MONTH(CHOOSE({1,2,3,4},KHP!U181,KHP!AA181,KHP!AG181,KHP!AM181))=1)*(CHOOSE({1,2,3,4},KHP!X181,KHP!AD181,KHP!AJ181,KHP!AP181)))</f>
        <v>0</v>
      </c>
      <c r="B181">
        <f>SUMPRODUCT((MONTH(CHOOSE({1,2,3,4},KHP!U181,KHP!AA181,KHP!AG181,KHP!AM181))=2)*(CHOOSE({1,2,3,4},KHP!X181,KHP!AD181,KHP!AJ181,KHP!AP181)))</f>
        <v>0</v>
      </c>
      <c r="C181">
        <f>SUMPRODUCT((MONTH(CHOOSE({1,2,3,4},KHP!U181,KHP!AA181,KHP!AG181,KHP!AM181))=3)*(CHOOSE({1,2,3,4},KHP!X181,KHP!AD181,KHP!AJ181,KHP!AP181)))</f>
        <v>0</v>
      </c>
      <c r="D181">
        <f>SUMPRODUCT((MONTH(CHOOSE({1,2,3,4},KHP!U181,KHP!AA181,KHP!AG181,KHP!AM181))=4)*(CHOOSE({1,2,3,4},KHP!X181,KHP!AD181,KHP!AJ181,KHP!AP181)))</f>
        <v>0</v>
      </c>
      <c r="E181">
        <f>SUMPRODUCT((MONTH(CHOOSE({1,2,3,4},KHP!U181,KHP!AA181,KHP!AG181,KHP!AM181))=5)*(CHOOSE({1,2,3,4},KHP!X181,KHP!AD181,KHP!AJ181,KHP!AP181)))</f>
        <v>0</v>
      </c>
      <c r="F181">
        <f>SUMPRODUCT((MONTH(CHOOSE({1,2,3,4},KHP!U181,KHP!AA181,KHP!AG181,KHP!AM181))=6)*(CHOOSE({1,2,3,4},KHP!X181,KHP!AD181,KHP!AJ181,KHP!AP181)))</f>
        <v>0</v>
      </c>
      <c r="G181">
        <f>SUMPRODUCT((MONTH(CHOOSE({1,2,3,4},KHP!U181,KHP!AA181,KHP!AG181,KHP!AM181))=7)*(CHOOSE({1,2,3,4},KHP!X181,KHP!AD181,KHP!AJ181,KHP!AP181)))</f>
        <v>0</v>
      </c>
      <c r="H181">
        <f>SUMPRODUCT((MONTH(CHOOSE({1,2,3,4},KHP!U181,KHP!AA181,KHP!AG181,KHP!AM181))=8)*(CHOOSE({1,2,3,4},KHP!X181,KHP!AD181,KHP!AJ181,KHP!AP181)))</f>
        <v>0</v>
      </c>
      <c r="I181">
        <f>SUMPRODUCT((MONTH(CHOOSE({1,2,3,4},KHP!U181,KHP!AA181,KHP!AG181,KHP!AM181))=9)*(CHOOSE({1,2,3,4},KHP!X181,KHP!AD181,KHP!AJ181,KHP!AP181)))</f>
        <v>0</v>
      </c>
      <c r="J181">
        <f>SUMPRODUCT((MONTH(CHOOSE({1,2,3,4},KHP!U181,KHP!AA181,KHP!AG181,KHP!AM181))=10)*(CHOOSE({1,2,3,4},KHP!X181,KHP!AD181,KHP!AJ181,KHP!AP181)))</f>
        <v>0</v>
      </c>
      <c r="K181">
        <f>SUMPRODUCT((MONTH(CHOOSE({1,2,3,4},KHP!U181,KHP!AA181,KHP!AG181,KHP!AM181))=11)*(CHOOSE({1,2,3,4},KHP!X181,KHP!AD181,KHP!AJ181,KHP!AP181)))</f>
        <v>0</v>
      </c>
      <c r="L181">
        <f>SUMPRODUCT((MONTH(CHOOSE({1,2,3,4},KHP!U181,KHP!AA181,KHP!AG181,KHP!AM181))=12)*(CHOOSE({1,2,3,4},KHP!X181,KHP!AD181,KHP!AJ181,KHP!AP181)))</f>
        <v>0</v>
      </c>
    </row>
    <row r="182" spans="1:12">
      <c r="A182">
        <f>SUMPRODUCT((MONTH(CHOOSE({1,2,3,4},KHP!U182,KHP!AA182,KHP!AG182,KHP!AM182))=1)*(CHOOSE({1,2,3,4},KHP!X182,KHP!AD182,KHP!AJ182,KHP!AP182)))</f>
        <v>0</v>
      </c>
      <c r="B182">
        <f>SUMPRODUCT((MONTH(CHOOSE({1,2,3,4},KHP!U182,KHP!AA182,KHP!AG182,KHP!AM182))=2)*(CHOOSE({1,2,3,4},KHP!X182,KHP!AD182,KHP!AJ182,KHP!AP182)))</f>
        <v>0</v>
      </c>
      <c r="C182">
        <f>SUMPRODUCT((MONTH(CHOOSE({1,2,3,4},KHP!U182,KHP!AA182,KHP!AG182,KHP!AM182))=3)*(CHOOSE({1,2,3,4},KHP!X182,KHP!AD182,KHP!AJ182,KHP!AP182)))</f>
        <v>0</v>
      </c>
      <c r="D182">
        <f>SUMPRODUCT((MONTH(CHOOSE({1,2,3,4},KHP!U182,KHP!AA182,KHP!AG182,KHP!AM182))=4)*(CHOOSE({1,2,3,4},KHP!X182,KHP!AD182,KHP!AJ182,KHP!AP182)))</f>
        <v>0</v>
      </c>
      <c r="E182">
        <f>SUMPRODUCT((MONTH(CHOOSE({1,2,3,4},KHP!U182,KHP!AA182,KHP!AG182,KHP!AM182))=5)*(CHOOSE({1,2,3,4},KHP!X182,KHP!AD182,KHP!AJ182,KHP!AP182)))</f>
        <v>0</v>
      </c>
      <c r="F182">
        <f>SUMPRODUCT((MONTH(CHOOSE({1,2,3,4},KHP!U182,KHP!AA182,KHP!AG182,KHP!AM182))=6)*(CHOOSE({1,2,3,4},KHP!X182,KHP!AD182,KHP!AJ182,KHP!AP182)))</f>
        <v>0</v>
      </c>
      <c r="G182">
        <f>SUMPRODUCT((MONTH(CHOOSE({1,2,3,4},KHP!U182,KHP!AA182,KHP!AG182,KHP!AM182))=7)*(CHOOSE({1,2,3,4},KHP!X182,KHP!AD182,KHP!AJ182,KHP!AP182)))</f>
        <v>0</v>
      </c>
      <c r="H182">
        <f>SUMPRODUCT((MONTH(CHOOSE({1,2,3,4},KHP!U182,KHP!AA182,KHP!AG182,KHP!AM182))=8)*(CHOOSE({1,2,3,4},KHP!X182,KHP!AD182,KHP!AJ182,KHP!AP182)))</f>
        <v>0</v>
      </c>
      <c r="I182">
        <f>SUMPRODUCT((MONTH(CHOOSE({1,2,3,4},KHP!U182,KHP!AA182,KHP!AG182,KHP!AM182))=9)*(CHOOSE({1,2,3,4},KHP!X182,KHP!AD182,KHP!AJ182,KHP!AP182)))</f>
        <v>0</v>
      </c>
      <c r="J182">
        <f>SUMPRODUCT((MONTH(CHOOSE({1,2,3,4},KHP!U182,KHP!AA182,KHP!AG182,KHP!AM182))=10)*(CHOOSE({1,2,3,4},KHP!X182,KHP!AD182,KHP!AJ182,KHP!AP182)))</f>
        <v>0</v>
      </c>
      <c r="K182">
        <f>SUMPRODUCT((MONTH(CHOOSE({1,2,3,4},KHP!U182,KHP!AA182,KHP!AG182,KHP!AM182))=11)*(CHOOSE({1,2,3,4},KHP!X182,KHP!AD182,KHP!AJ182,KHP!AP182)))</f>
        <v>0</v>
      </c>
      <c r="L182">
        <f>SUMPRODUCT((MONTH(CHOOSE({1,2,3,4},KHP!U182,KHP!AA182,KHP!AG182,KHP!AM182))=12)*(CHOOSE({1,2,3,4},KHP!X182,KHP!AD182,KHP!AJ182,KHP!AP182)))</f>
        <v>0</v>
      </c>
    </row>
    <row r="183" spans="1:12">
      <c r="A183">
        <f>SUMPRODUCT((MONTH(CHOOSE({1,2,3,4},KHP!U183,KHP!AA183,KHP!AG183,KHP!AM183))=1)*(CHOOSE({1,2,3,4},KHP!X183,KHP!AD183,KHP!AJ183,KHP!AP183)))</f>
        <v>0</v>
      </c>
      <c r="B183">
        <f>SUMPRODUCT((MONTH(CHOOSE({1,2,3,4},KHP!U183,KHP!AA183,KHP!AG183,KHP!AM183))=2)*(CHOOSE({1,2,3,4},KHP!X183,KHP!AD183,KHP!AJ183,KHP!AP183)))</f>
        <v>0</v>
      </c>
      <c r="C183">
        <f>SUMPRODUCT((MONTH(CHOOSE({1,2,3,4},KHP!U183,KHP!AA183,KHP!AG183,KHP!AM183))=3)*(CHOOSE({1,2,3,4},KHP!X183,KHP!AD183,KHP!AJ183,KHP!AP183)))</f>
        <v>0</v>
      </c>
      <c r="D183">
        <f>SUMPRODUCT((MONTH(CHOOSE({1,2,3,4},KHP!U183,KHP!AA183,KHP!AG183,KHP!AM183))=4)*(CHOOSE({1,2,3,4},KHP!X183,KHP!AD183,KHP!AJ183,KHP!AP183)))</f>
        <v>0</v>
      </c>
      <c r="E183">
        <f>SUMPRODUCT((MONTH(CHOOSE({1,2,3,4},KHP!U183,KHP!AA183,KHP!AG183,KHP!AM183))=5)*(CHOOSE({1,2,3,4},KHP!X183,KHP!AD183,KHP!AJ183,KHP!AP183)))</f>
        <v>0</v>
      </c>
      <c r="F183">
        <f>SUMPRODUCT((MONTH(CHOOSE({1,2,3,4},KHP!U183,KHP!AA183,KHP!AG183,KHP!AM183))=6)*(CHOOSE({1,2,3,4},KHP!X183,KHP!AD183,KHP!AJ183,KHP!AP183)))</f>
        <v>0</v>
      </c>
      <c r="G183">
        <f>SUMPRODUCT((MONTH(CHOOSE({1,2,3,4},KHP!U183,KHP!AA183,KHP!AG183,KHP!AM183))=7)*(CHOOSE({1,2,3,4},KHP!X183,KHP!AD183,KHP!AJ183,KHP!AP183)))</f>
        <v>0</v>
      </c>
      <c r="H183">
        <f>SUMPRODUCT((MONTH(CHOOSE({1,2,3,4},KHP!U183,KHP!AA183,KHP!AG183,KHP!AM183))=8)*(CHOOSE({1,2,3,4},KHP!X183,KHP!AD183,KHP!AJ183,KHP!AP183)))</f>
        <v>0</v>
      </c>
      <c r="I183">
        <f>SUMPRODUCT((MONTH(CHOOSE({1,2,3,4},KHP!U183,KHP!AA183,KHP!AG183,KHP!AM183))=9)*(CHOOSE({1,2,3,4},KHP!X183,KHP!AD183,KHP!AJ183,KHP!AP183)))</f>
        <v>0</v>
      </c>
      <c r="J183">
        <f>SUMPRODUCT((MONTH(CHOOSE({1,2,3,4},KHP!U183,KHP!AA183,KHP!AG183,KHP!AM183))=10)*(CHOOSE({1,2,3,4},KHP!X183,KHP!AD183,KHP!AJ183,KHP!AP183)))</f>
        <v>0</v>
      </c>
      <c r="K183">
        <f>SUMPRODUCT((MONTH(CHOOSE({1,2,3,4},KHP!U183,KHP!AA183,KHP!AG183,KHP!AM183))=11)*(CHOOSE({1,2,3,4},KHP!X183,KHP!AD183,KHP!AJ183,KHP!AP183)))</f>
        <v>0</v>
      </c>
      <c r="L183">
        <f>SUMPRODUCT((MONTH(CHOOSE({1,2,3,4},KHP!U183,KHP!AA183,KHP!AG183,KHP!AM183))=12)*(CHOOSE({1,2,3,4},KHP!X183,KHP!AD183,KHP!AJ183,KHP!AP183)))</f>
        <v>0</v>
      </c>
    </row>
    <row r="184" spans="1:12">
      <c r="A184">
        <f>SUMPRODUCT((MONTH(CHOOSE({1,2,3,4},KHP!U184,KHP!AA184,KHP!AG184,KHP!AM184))=1)*(CHOOSE({1,2,3,4},KHP!X184,KHP!AD184,KHP!AJ184,KHP!AP184)))</f>
        <v>0</v>
      </c>
      <c r="B184">
        <f>SUMPRODUCT((MONTH(CHOOSE({1,2,3,4},KHP!U184,KHP!AA184,KHP!AG184,KHP!AM184))=2)*(CHOOSE({1,2,3,4},KHP!X184,KHP!AD184,KHP!AJ184,KHP!AP184)))</f>
        <v>0</v>
      </c>
      <c r="C184">
        <f>SUMPRODUCT((MONTH(CHOOSE({1,2,3,4},KHP!U184,KHP!AA184,KHP!AG184,KHP!AM184))=3)*(CHOOSE({1,2,3,4},KHP!X184,KHP!AD184,KHP!AJ184,KHP!AP184)))</f>
        <v>0</v>
      </c>
      <c r="D184">
        <f>SUMPRODUCT((MONTH(CHOOSE({1,2,3,4},KHP!U184,KHP!AA184,KHP!AG184,KHP!AM184))=4)*(CHOOSE({1,2,3,4},KHP!X184,KHP!AD184,KHP!AJ184,KHP!AP184)))</f>
        <v>0</v>
      </c>
      <c r="E184">
        <f>SUMPRODUCT((MONTH(CHOOSE({1,2,3,4},KHP!U184,KHP!AA184,KHP!AG184,KHP!AM184))=5)*(CHOOSE({1,2,3,4},KHP!X184,KHP!AD184,KHP!AJ184,KHP!AP184)))</f>
        <v>0</v>
      </c>
      <c r="F184">
        <f>SUMPRODUCT((MONTH(CHOOSE({1,2,3,4},KHP!U184,KHP!AA184,KHP!AG184,KHP!AM184))=6)*(CHOOSE({1,2,3,4},KHP!X184,KHP!AD184,KHP!AJ184,KHP!AP184)))</f>
        <v>0</v>
      </c>
      <c r="G184">
        <f>SUMPRODUCT((MONTH(CHOOSE({1,2,3,4},KHP!U184,KHP!AA184,KHP!AG184,KHP!AM184))=7)*(CHOOSE({1,2,3,4},KHP!X184,KHP!AD184,KHP!AJ184,KHP!AP184)))</f>
        <v>0</v>
      </c>
      <c r="H184">
        <f>SUMPRODUCT((MONTH(CHOOSE({1,2,3,4},KHP!U184,KHP!AA184,KHP!AG184,KHP!AM184))=8)*(CHOOSE({1,2,3,4},KHP!X184,KHP!AD184,KHP!AJ184,KHP!AP184)))</f>
        <v>0</v>
      </c>
      <c r="I184">
        <f>SUMPRODUCT((MONTH(CHOOSE({1,2,3,4},KHP!U184,KHP!AA184,KHP!AG184,KHP!AM184))=9)*(CHOOSE({1,2,3,4},KHP!X184,KHP!AD184,KHP!AJ184,KHP!AP184)))</f>
        <v>0</v>
      </c>
      <c r="J184">
        <f>SUMPRODUCT((MONTH(CHOOSE({1,2,3,4},KHP!U184,KHP!AA184,KHP!AG184,KHP!AM184))=10)*(CHOOSE({1,2,3,4},KHP!X184,KHP!AD184,KHP!AJ184,KHP!AP184)))</f>
        <v>0</v>
      </c>
      <c r="K184">
        <f>SUMPRODUCT((MONTH(CHOOSE({1,2,3,4},KHP!U184,KHP!AA184,KHP!AG184,KHP!AM184))=11)*(CHOOSE({1,2,3,4},KHP!X184,KHP!AD184,KHP!AJ184,KHP!AP184)))</f>
        <v>0</v>
      </c>
      <c r="L184">
        <f>SUMPRODUCT((MONTH(CHOOSE({1,2,3,4},KHP!U184,KHP!AA184,KHP!AG184,KHP!AM184))=12)*(CHOOSE({1,2,3,4},KHP!X184,KHP!AD184,KHP!AJ184,KHP!AP184)))</f>
        <v>0</v>
      </c>
    </row>
    <row r="185" spans="1:12">
      <c r="A185">
        <f>SUMPRODUCT((MONTH(CHOOSE({1,2,3,4},KHP!U185,KHP!AA185,KHP!AG185,KHP!AM185))=1)*(CHOOSE({1,2,3,4},KHP!X185,KHP!AD185,KHP!AJ185,KHP!AP185)))</f>
        <v>0</v>
      </c>
      <c r="B185">
        <f>SUMPRODUCT((MONTH(CHOOSE({1,2,3,4},KHP!U185,KHP!AA185,KHP!AG185,KHP!AM185))=2)*(CHOOSE({1,2,3,4},KHP!X185,KHP!AD185,KHP!AJ185,KHP!AP185)))</f>
        <v>0</v>
      </c>
      <c r="C185">
        <f>SUMPRODUCT((MONTH(CHOOSE({1,2,3,4},KHP!U185,KHP!AA185,KHP!AG185,KHP!AM185))=3)*(CHOOSE({1,2,3,4},KHP!X185,KHP!AD185,KHP!AJ185,KHP!AP185)))</f>
        <v>0</v>
      </c>
      <c r="D185">
        <f>SUMPRODUCT((MONTH(CHOOSE({1,2,3,4},KHP!U185,KHP!AA185,KHP!AG185,KHP!AM185))=4)*(CHOOSE({1,2,3,4},KHP!X185,KHP!AD185,KHP!AJ185,KHP!AP185)))</f>
        <v>0</v>
      </c>
      <c r="E185">
        <f>SUMPRODUCT((MONTH(CHOOSE({1,2,3,4},KHP!U185,KHP!AA185,KHP!AG185,KHP!AM185))=5)*(CHOOSE({1,2,3,4},KHP!X185,KHP!AD185,KHP!AJ185,KHP!AP185)))</f>
        <v>0</v>
      </c>
      <c r="F185">
        <f>SUMPRODUCT((MONTH(CHOOSE({1,2,3,4},KHP!U185,KHP!AA185,KHP!AG185,KHP!AM185))=6)*(CHOOSE({1,2,3,4},KHP!X185,KHP!AD185,KHP!AJ185,KHP!AP185)))</f>
        <v>0</v>
      </c>
      <c r="G185">
        <f>SUMPRODUCT((MONTH(CHOOSE({1,2,3,4},KHP!U185,KHP!AA185,KHP!AG185,KHP!AM185))=7)*(CHOOSE({1,2,3,4},KHP!X185,KHP!AD185,KHP!AJ185,KHP!AP185)))</f>
        <v>0</v>
      </c>
      <c r="H185">
        <f>SUMPRODUCT((MONTH(CHOOSE({1,2,3,4},KHP!U185,KHP!AA185,KHP!AG185,KHP!AM185))=8)*(CHOOSE({1,2,3,4},KHP!X185,KHP!AD185,KHP!AJ185,KHP!AP185)))</f>
        <v>0</v>
      </c>
      <c r="I185">
        <f>SUMPRODUCT((MONTH(CHOOSE({1,2,3,4},KHP!U185,KHP!AA185,KHP!AG185,KHP!AM185))=9)*(CHOOSE({1,2,3,4},KHP!X185,KHP!AD185,KHP!AJ185,KHP!AP185)))</f>
        <v>0</v>
      </c>
      <c r="J185">
        <f>SUMPRODUCT((MONTH(CHOOSE({1,2,3,4},KHP!U185,KHP!AA185,KHP!AG185,KHP!AM185))=10)*(CHOOSE({1,2,3,4},KHP!X185,KHP!AD185,KHP!AJ185,KHP!AP185)))</f>
        <v>0</v>
      </c>
      <c r="K185">
        <f>SUMPRODUCT((MONTH(CHOOSE({1,2,3,4},KHP!U185,KHP!AA185,KHP!AG185,KHP!AM185))=11)*(CHOOSE({1,2,3,4},KHP!X185,KHP!AD185,KHP!AJ185,KHP!AP185)))</f>
        <v>0</v>
      </c>
      <c r="L185">
        <f>SUMPRODUCT((MONTH(CHOOSE({1,2,3,4},KHP!U185,KHP!AA185,KHP!AG185,KHP!AM185))=12)*(CHOOSE({1,2,3,4},KHP!X185,KHP!AD185,KHP!AJ185,KHP!AP185)))</f>
        <v>0</v>
      </c>
    </row>
    <row r="186" spans="1:12">
      <c r="A186">
        <f>SUMPRODUCT((MONTH(CHOOSE({1,2,3,4},KHP!U186,KHP!AA186,KHP!AG186,KHP!AM186))=1)*(CHOOSE({1,2,3,4},KHP!X186,KHP!AD186,KHP!AJ186,KHP!AP186)))</f>
        <v>0</v>
      </c>
      <c r="B186">
        <f>SUMPRODUCT((MONTH(CHOOSE({1,2,3,4},KHP!U186,KHP!AA186,KHP!AG186,KHP!AM186))=2)*(CHOOSE({1,2,3,4},KHP!X186,KHP!AD186,KHP!AJ186,KHP!AP186)))</f>
        <v>0</v>
      </c>
      <c r="C186">
        <f>SUMPRODUCT((MONTH(CHOOSE({1,2,3,4},KHP!U186,KHP!AA186,KHP!AG186,KHP!AM186))=3)*(CHOOSE({1,2,3,4},KHP!X186,KHP!AD186,KHP!AJ186,KHP!AP186)))</f>
        <v>0</v>
      </c>
      <c r="D186">
        <f>SUMPRODUCT((MONTH(CHOOSE({1,2,3,4},KHP!U186,KHP!AA186,KHP!AG186,KHP!AM186))=4)*(CHOOSE({1,2,3,4},KHP!X186,KHP!AD186,KHP!AJ186,KHP!AP186)))</f>
        <v>0</v>
      </c>
      <c r="E186">
        <f>SUMPRODUCT((MONTH(CHOOSE({1,2,3,4},KHP!U186,KHP!AA186,KHP!AG186,KHP!AM186))=5)*(CHOOSE({1,2,3,4},KHP!X186,KHP!AD186,KHP!AJ186,KHP!AP186)))</f>
        <v>0</v>
      </c>
      <c r="F186">
        <f>SUMPRODUCT((MONTH(CHOOSE({1,2,3,4},KHP!U186,KHP!AA186,KHP!AG186,KHP!AM186))=6)*(CHOOSE({1,2,3,4},KHP!X186,KHP!AD186,KHP!AJ186,KHP!AP186)))</f>
        <v>0</v>
      </c>
      <c r="G186">
        <f>SUMPRODUCT((MONTH(CHOOSE({1,2,3,4},KHP!U186,KHP!AA186,KHP!AG186,KHP!AM186))=7)*(CHOOSE({1,2,3,4},KHP!X186,KHP!AD186,KHP!AJ186,KHP!AP186)))</f>
        <v>0</v>
      </c>
      <c r="H186">
        <f>SUMPRODUCT((MONTH(CHOOSE({1,2,3,4},KHP!U186,KHP!AA186,KHP!AG186,KHP!AM186))=8)*(CHOOSE({1,2,3,4},KHP!X186,KHP!AD186,KHP!AJ186,KHP!AP186)))</f>
        <v>0</v>
      </c>
      <c r="I186">
        <f>SUMPRODUCT((MONTH(CHOOSE({1,2,3,4},KHP!U186,KHP!AA186,KHP!AG186,KHP!AM186))=9)*(CHOOSE({1,2,3,4},KHP!X186,KHP!AD186,KHP!AJ186,KHP!AP186)))</f>
        <v>0</v>
      </c>
      <c r="J186">
        <f>SUMPRODUCT((MONTH(CHOOSE({1,2,3,4},KHP!U186,KHP!AA186,KHP!AG186,KHP!AM186))=10)*(CHOOSE({1,2,3,4},KHP!X186,KHP!AD186,KHP!AJ186,KHP!AP186)))</f>
        <v>0</v>
      </c>
      <c r="K186">
        <f>SUMPRODUCT((MONTH(CHOOSE({1,2,3,4},KHP!U186,KHP!AA186,KHP!AG186,KHP!AM186))=11)*(CHOOSE({1,2,3,4},KHP!X186,KHP!AD186,KHP!AJ186,KHP!AP186)))</f>
        <v>0</v>
      </c>
      <c r="L186">
        <f>SUMPRODUCT((MONTH(CHOOSE({1,2,3,4},KHP!U186,KHP!AA186,KHP!AG186,KHP!AM186))=12)*(CHOOSE({1,2,3,4},KHP!X186,KHP!AD186,KHP!AJ186,KHP!AP186)))</f>
        <v>0</v>
      </c>
    </row>
    <row r="187" spans="1:12">
      <c r="A187">
        <f>SUMPRODUCT((MONTH(CHOOSE({1,2,3,4},KHP!U187,KHP!AA187,KHP!AG187,KHP!AM187))=1)*(CHOOSE({1,2,3,4},KHP!X187,KHP!AD187,KHP!AJ187,KHP!AP187)))</f>
        <v>0</v>
      </c>
      <c r="B187">
        <f>SUMPRODUCT((MONTH(CHOOSE({1,2,3,4},KHP!U187,KHP!AA187,KHP!AG187,KHP!AM187))=2)*(CHOOSE({1,2,3,4},KHP!X187,KHP!AD187,KHP!AJ187,KHP!AP187)))</f>
        <v>0</v>
      </c>
      <c r="C187">
        <f>SUMPRODUCT((MONTH(CHOOSE({1,2,3,4},KHP!U187,KHP!AA187,KHP!AG187,KHP!AM187))=3)*(CHOOSE({1,2,3,4},KHP!X187,KHP!AD187,KHP!AJ187,KHP!AP187)))</f>
        <v>0</v>
      </c>
      <c r="D187">
        <f>SUMPRODUCT((MONTH(CHOOSE({1,2,3,4},KHP!U187,KHP!AA187,KHP!AG187,KHP!AM187))=4)*(CHOOSE({1,2,3,4},KHP!X187,KHP!AD187,KHP!AJ187,KHP!AP187)))</f>
        <v>0</v>
      </c>
      <c r="E187">
        <f>SUMPRODUCT((MONTH(CHOOSE({1,2,3,4},KHP!U187,KHP!AA187,KHP!AG187,KHP!AM187))=5)*(CHOOSE({1,2,3,4},KHP!X187,KHP!AD187,KHP!AJ187,KHP!AP187)))</f>
        <v>0</v>
      </c>
      <c r="F187">
        <f>SUMPRODUCT((MONTH(CHOOSE({1,2,3,4},KHP!U187,KHP!AA187,KHP!AG187,KHP!AM187))=6)*(CHOOSE({1,2,3,4},KHP!X187,KHP!AD187,KHP!AJ187,KHP!AP187)))</f>
        <v>0</v>
      </c>
      <c r="G187">
        <f>SUMPRODUCT((MONTH(CHOOSE({1,2,3,4},KHP!U187,KHP!AA187,KHP!AG187,KHP!AM187))=7)*(CHOOSE({1,2,3,4},KHP!X187,KHP!AD187,KHP!AJ187,KHP!AP187)))</f>
        <v>0</v>
      </c>
      <c r="H187">
        <f>SUMPRODUCT((MONTH(CHOOSE({1,2,3,4},KHP!U187,KHP!AA187,KHP!AG187,KHP!AM187))=8)*(CHOOSE({1,2,3,4},KHP!X187,KHP!AD187,KHP!AJ187,KHP!AP187)))</f>
        <v>0</v>
      </c>
      <c r="I187">
        <f>SUMPRODUCT((MONTH(CHOOSE({1,2,3,4},KHP!U187,KHP!AA187,KHP!AG187,KHP!AM187))=9)*(CHOOSE({1,2,3,4},KHP!X187,KHP!AD187,KHP!AJ187,KHP!AP187)))</f>
        <v>0</v>
      </c>
      <c r="J187">
        <f>SUMPRODUCT((MONTH(CHOOSE({1,2,3,4},KHP!U187,KHP!AA187,KHP!AG187,KHP!AM187))=10)*(CHOOSE({1,2,3,4},KHP!X187,KHP!AD187,KHP!AJ187,KHP!AP187)))</f>
        <v>0</v>
      </c>
      <c r="K187">
        <f>SUMPRODUCT((MONTH(CHOOSE({1,2,3,4},KHP!U187,KHP!AA187,KHP!AG187,KHP!AM187))=11)*(CHOOSE({1,2,3,4},KHP!X187,KHP!AD187,KHP!AJ187,KHP!AP187)))</f>
        <v>0</v>
      </c>
      <c r="L187">
        <f>SUMPRODUCT((MONTH(CHOOSE({1,2,3,4},KHP!U187,KHP!AA187,KHP!AG187,KHP!AM187))=12)*(CHOOSE({1,2,3,4},KHP!X187,KHP!AD187,KHP!AJ187,KHP!AP187)))</f>
        <v>0</v>
      </c>
    </row>
    <row r="188" spans="1:12">
      <c r="A188">
        <f>SUMPRODUCT((MONTH(CHOOSE({1,2,3,4},KHP!U188,KHP!AA188,KHP!AG188,KHP!AM188))=1)*(CHOOSE({1,2,3,4},KHP!X188,KHP!AD188,KHP!AJ188,KHP!AP188)))</f>
        <v>0</v>
      </c>
      <c r="B188">
        <f>SUMPRODUCT((MONTH(CHOOSE({1,2,3,4},KHP!U188,KHP!AA188,KHP!AG188,KHP!AM188))=2)*(CHOOSE({1,2,3,4},KHP!X188,KHP!AD188,KHP!AJ188,KHP!AP188)))</f>
        <v>0</v>
      </c>
      <c r="C188">
        <f>SUMPRODUCT((MONTH(CHOOSE({1,2,3,4},KHP!U188,KHP!AA188,KHP!AG188,KHP!AM188))=3)*(CHOOSE({1,2,3,4},KHP!X188,KHP!AD188,KHP!AJ188,KHP!AP188)))</f>
        <v>0</v>
      </c>
      <c r="D188">
        <f>SUMPRODUCT((MONTH(CHOOSE({1,2,3,4},KHP!U188,KHP!AA188,KHP!AG188,KHP!AM188))=4)*(CHOOSE({1,2,3,4},KHP!X188,KHP!AD188,KHP!AJ188,KHP!AP188)))</f>
        <v>0</v>
      </c>
      <c r="E188">
        <f>SUMPRODUCT((MONTH(CHOOSE({1,2,3,4},KHP!U188,KHP!AA188,KHP!AG188,KHP!AM188))=5)*(CHOOSE({1,2,3,4},KHP!X188,KHP!AD188,KHP!AJ188,KHP!AP188)))</f>
        <v>0</v>
      </c>
      <c r="F188">
        <f>SUMPRODUCT((MONTH(CHOOSE({1,2,3,4},KHP!U188,KHP!AA188,KHP!AG188,KHP!AM188))=6)*(CHOOSE({1,2,3,4},KHP!X188,KHP!AD188,KHP!AJ188,KHP!AP188)))</f>
        <v>0</v>
      </c>
      <c r="G188">
        <f>SUMPRODUCT((MONTH(CHOOSE({1,2,3,4},KHP!U188,KHP!AA188,KHP!AG188,KHP!AM188))=7)*(CHOOSE({1,2,3,4},KHP!X188,KHP!AD188,KHP!AJ188,KHP!AP188)))</f>
        <v>0</v>
      </c>
      <c r="H188">
        <f>SUMPRODUCT((MONTH(CHOOSE({1,2,3,4},KHP!U188,KHP!AA188,KHP!AG188,KHP!AM188))=8)*(CHOOSE({1,2,3,4},KHP!X188,KHP!AD188,KHP!AJ188,KHP!AP188)))</f>
        <v>0</v>
      </c>
      <c r="I188">
        <f>SUMPRODUCT((MONTH(CHOOSE({1,2,3,4},KHP!U188,KHP!AA188,KHP!AG188,KHP!AM188))=9)*(CHOOSE({1,2,3,4},KHP!X188,KHP!AD188,KHP!AJ188,KHP!AP188)))</f>
        <v>0</v>
      </c>
      <c r="J188">
        <f>SUMPRODUCT((MONTH(CHOOSE({1,2,3,4},KHP!U188,KHP!AA188,KHP!AG188,KHP!AM188))=10)*(CHOOSE({1,2,3,4},KHP!X188,KHP!AD188,KHP!AJ188,KHP!AP188)))</f>
        <v>0</v>
      </c>
      <c r="K188">
        <f>SUMPRODUCT((MONTH(CHOOSE({1,2,3,4},KHP!U188,KHP!AA188,KHP!AG188,KHP!AM188))=11)*(CHOOSE({1,2,3,4},KHP!X188,KHP!AD188,KHP!AJ188,KHP!AP188)))</f>
        <v>0</v>
      </c>
      <c r="L188">
        <f>SUMPRODUCT((MONTH(CHOOSE({1,2,3,4},KHP!U188,KHP!AA188,KHP!AG188,KHP!AM188))=12)*(CHOOSE({1,2,3,4},KHP!X188,KHP!AD188,KHP!AJ188,KHP!AP188)))</f>
        <v>0</v>
      </c>
    </row>
    <row r="189" spans="1:12">
      <c r="A189">
        <f>SUMPRODUCT((MONTH(CHOOSE({1,2,3,4},KHP!U189,KHP!AA189,KHP!AG189,KHP!AM189))=1)*(CHOOSE({1,2,3,4},KHP!X189,KHP!AD189,KHP!AJ189,KHP!AP189)))</f>
        <v>0</v>
      </c>
      <c r="B189">
        <f>SUMPRODUCT((MONTH(CHOOSE({1,2,3,4},KHP!U189,KHP!AA189,KHP!AG189,KHP!AM189))=2)*(CHOOSE({1,2,3,4},KHP!X189,KHP!AD189,KHP!AJ189,KHP!AP189)))</f>
        <v>0</v>
      </c>
      <c r="C189">
        <f>SUMPRODUCT((MONTH(CHOOSE({1,2,3,4},KHP!U189,KHP!AA189,KHP!AG189,KHP!AM189))=3)*(CHOOSE({1,2,3,4},KHP!X189,KHP!AD189,KHP!AJ189,KHP!AP189)))</f>
        <v>0</v>
      </c>
      <c r="D189">
        <f>SUMPRODUCT((MONTH(CHOOSE({1,2,3,4},KHP!U189,KHP!AA189,KHP!AG189,KHP!AM189))=4)*(CHOOSE({1,2,3,4},KHP!X189,KHP!AD189,KHP!AJ189,KHP!AP189)))</f>
        <v>0</v>
      </c>
      <c r="E189">
        <f>SUMPRODUCT((MONTH(CHOOSE({1,2,3,4},KHP!U189,KHP!AA189,KHP!AG189,KHP!AM189))=5)*(CHOOSE({1,2,3,4},KHP!X189,KHP!AD189,KHP!AJ189,KHP!AP189)))</f>
        <v>0</v>
      </c>
      <c r="F189">
        <f>SUMPRODUCT((MONTH(CHOOSE({1,2,3,4},KHP!U189,KHP!AA189,KHP!AG189,KHP!AM189))=6)*(CHOOSE({1,2,3,4},KHP!X189,KHP!AD189,KHP!AJ189,KHP!AP189)))</f>
        <v>0</v>
      </c>
      <c r="G189">
        <f>SUMPRODUCT((MONTH(CHOOSE({1,2,3,4},KHP!U189,KHP!AA189,KHP!AG189,KHP!AM189))=7)*(CHOOSE({1,2,3,4},KHP!X189,KHP!AD189,KHP!AJ189,KHP!AP189)))</f>
        <v>0</v>
      </c>
      <c r="H189">
        <f>SUMPRODUCT((MONTH(CHOOSE({1,2,3,4},KHP!U189,KHP!AA189,KHP!AG189,KHP!AM189))=8)*(CHOOSE({1,2,3,4},KHP!X189,KHP!AD189,KHP!AJ189,KHP!AP189)))</f>
        <v>0</v>
      </c>
      <c r="I189">
        <f>SUMPRODUCT((MONTH(CHOOSE({1,2,3,4},KHP!U189,KHP!AA189,KHP!AG189,KHP!AM189))=9)*(CHOOSE({1,2,3,4},KHP!X189,KHP!AD189,KHP!AJ189,KHP!AP189)))</f>
        <v>0</v>
      </c>
      <c r="J189">
        <f>SUMPRODUCT((MONTH(CHOOSE({1,2,3,4},KHP!U189,KHP!AA189,KHP!AG189,KHP!AM189))=10)*(CHOOSE({1,2,3,4},KHP!X189,KHP!AD189,KHP!AJ189,KHP!AP189)))</f>
        <v>0</v>
      </c>
      <c r="K189">
        <f>SUMPRODUCT((MONTH(CHOOSE({1,2,3,4},KHP!U189,KHP!AA189,KHP!AG189,KHP!AM189))=11)*(CHOOSE({1,2,3,4},KHP!X189,KHP!AD189,KHP!AJ189,KHP!AP189)))</f>
        <v>0</v>
      </c>
      <c r="L189">
        <f>SUMPRODUCT((MONTH(CHOOSE({1,2,3,4},KHP!U189,KHP!AA189,KHP!AG189,KHP!AM189))=12)*(CHOOSE({1,2,3,4},KHP!X189,KHP!AD189,KHP!AJ189,KHP!AP189)))</f>
        <v>0</v>
      </c>
    </row>
    <row r="190" spans="1:12">
      <c r="A190">
        <f>SUMPRODUCT((MONTH(CHOOSE({1,2,3,4},KHP!U190,KHP!AA190,KHP!AG190,KHP!AM190))=1)*(CHOOSE({1,2,3,4},KHP!X190,KHP!AD190,KHP!AJ190,KHP!AP190)))</f>
        <v>0</v>
      </c>
      <c r="B190">
        <f>SUMPRODUCT((MONTH(CHOOSE({1,2,3,4},KHP!U190,KHP!AA190,KHP!AG190,KHP!AM190))=2)*(CHOOSE({1,2,3,4},KHP!X190,KHP!AD190,KHP!AJ190,KHP!AP190)))</f>
        <v>0</v>
      </c>
      <c r="C190">
        <f>SUMPRODUCT((MONTH(CHOOSE({1,2,3,4},KHP!U190,KHP!AA190,KHP!AG190,KHP!AM190))=3)*(CHOOSE({1,2,3,4},KHP!X190,KHP!AD190,KHP!AJ190,KHP!AP190)))</f>
        <v>0</v>
      </c>
      <c r="D190">
        <f>SUMPRODUCT((MONTH(CHOOSE({1,2,3,4},KHP!U190,KHP!AA190,KHP!AG190,KHP!AM190))=4)*(CHOOSE({1,2,3,4},KHP!X190,KHP!AD190,KHP!AJ190,KHP!AP190)))</f>
        <v>0</v>
      </c>
      <c r="E190">
        <f>SUMPRODUCT((MONTH(CHOOSE({1,2,3,4},KHP!U190,KHP!AA190,KHP!AG190,KHP!AM190))=5)*(CHOOSE({1,2,3,4},KHP!X190,KHP!AD190,KHP!AJ190,KHP!AP190)))</f>
        <v>0</v>
      </c>
      <c r="F190">
        <f>SUMPRODUCT((MONTH(CHOOSE({1,2,3,4},KHP!U190,KHP!AA190,KHP!AG190,KHP!AM190))=6)*(CHOOSE({1,2,3,4},KHP!X190,KHP!AD190,KHP!AJ190,KHP!AP190)))</f>
        <v>0</v>
      </c>
      <c r="G190">
        <f>SUMPRODUCT((MONTH(CHOOSE({1,2,3,4},KHP!U190,KHP!AA190,KHP!AG190,KHP!AM190))=7)*(CHOOSE({1,2,3,4},KHP!X190,KHP!AD190,KHP!AJ190,KHP!AP190)))</f>
        <v>0</v>
      </c>
      <c r="H190">
        <f>SUMPRODUCT((MONTH(CHOOSE({1,2,3,4},KHP!U190,KHP!AA190,KHP!AG190,KHP!AM190))=8)*(CHOOSE({1,2,3,4},KHP!X190,KHP!AD190,KHP!AJ190,KHP!AP190)))</f>
        <v>0</v>
      </c>
      <c r="I190">
        <f>SUMPRODUCT((MONTH(CHOOSE({1,2,3,4},KHP!U190,KHP!AA190,KHP!AG190,KHP!AM190))=9)*(CHOOSE({1,2,3,4},KHP!X190,KHP!AD190,KHP!AJ190,KHP!AP190)))</f>
        <v>0</v>
      </c>
      <c r="J190">
        <f>SUMPRODUCT((MONTH(CHOOSE({1,2,3,4},KHP!U190,KHP!AA190,KHP!AG190,KHP!AM190))=10)*(CHOOSE({1,2,3,4},KHP!X190,KHP!AD190,KHP!AJ190,KHP!AP190)))</f>
        <v>0</v>
      </c>
      <c r="K190">
        <f>SUMPRODUCT((MONTH(CHOOSE({1,2,3,4},KHP!U190,KHP!AA190,KHP!AG190,KHP!AM190))=11)*(CHOOSE({1,2,3,4},KHP!X190,KHP!AD190,KHP!AJ190,KHP!AP190)))</f>
        <v>0</v>
      </c>
      <c r="L190">
        <f>SUMPRODUCT((MONTH(CHOOSE({1,2,3,4},KHP!U190,KHP!AA190,KHP!AG190,KHP!AM190))=12)*(CHOOSE({1,2,3,4},KHP!X190,KHP!AD190,KHP!AJ190,KHP!AP190)))</f>
        <v>0</v>
      </c>
    </row>
    <row r="191" spans="1:12">
      <c r="A191">
        <f>SUMPRODUCT((MONTH(CHOOSE({1,2,3,4},KHP!U191,KHP!AA191,KHP!AG191,KHP!AM191))=1)*(CHOOSE({1,2,3,4},KHP!X191,KHP!AD191,KHP!AJ191,KHP!AP191)))</f>
        <v>0</v>
      </c>
      <c r="B191">
        <f>SUMPRODUCT((MONTH(CHOOSE({1,2,3,4},KHP!U191,KHP!AA191,KHP!AG191,KHP!AM191))=2)*(CHOOSE({1,2,3,4},KHP!X191,KHP!AD191,KHP!AJ191,KHP!AP191)))</f>
        <v>0</v>
      </c>
      <c r="C191">
        <f>SUMPRODUCT((MONTH(CHOOSE({1,2,3,4},KHP!U191,KHP!AA191,KHP!AG191,KHP!AM191))=3)*(CHOOSE({1,2,3,4},KHP!X191,KHP!AD191,KHP!AJ191,KHP!AP191)))</f>
        <v>0</v>
      </c>
      <c r="D191">
        <f>SUMPRODUCT((MONTH(CHOOSE({1,2,3,4},KHP!U191,KHP!AA191,KHP!AG191,KHP!AM191))=4)*(CHOOSE({1,2,3,4},KHP!X191,KHP!AD191,KHP!AJ191,KHP!AP191)))</f>
        <v>0</v>
      </c>
      <c r="E191">
        <f>SUMPRODUCT((MONTH(CHOOSE({1,2,3,4},KHP!U191,KHP!AA191,KHP!AG191,KHP!AM191))=5)*(CHOOSE({1,2,3,4},KHP!X191,KHP!AD191,KHP!AJ191,KHP!AP191)))</f>
        <v>0</v>
      </c>
      <c r="F191">
        <f>SUMPRODUCT((MONTH(CHOOSE({1,2,3,4},KHP!U191,KHP!AA191,KHP!AG191,KHP!AM191))=6)*(CHOOSE({1,2,3,4},KHP!X191,KHP!AD191,KHP!AJ191,KHP!AP191)))</f>
        <v>0</v>
      </c>
      <c r="G191">
        <f>SUMPRODUCT((MONTH(CHOOSE({1,2,3,4},KHP!U191,KHP!AA191,KHP!AG191,KHP!AM191))=7)*(CHOOSE({1,2,3,4},KHP!X191,KHP!AD191,KHP!AJ191,KHP!AP191)))</f>
        <v>0</v>
      </c>
      <c r="H191">
        <f>SUMPRODUCT((MONTH(CHOOSE({1,2,3,4},KHP!U191,KHP!AA191,KHP!AG191,KHP!AM191))=8)*(CHOOSE({1,2,3,4},KHP!X191,KHP!AD191,KHP!AJ191,KHP!AP191)))</f>
        <v>0</v>
      </c>
      <c r="I191">
        <f>SUMPRODUCT((MONTH(CHOOSE({1,2,3,4},KHP!U191,KHP!AA191,KHP!AG191,KHP!AM191))=9)*(CHOOSE({1,2,3,4},KHP!X191,KHP!AD191,KHP!AJ191,KHP!AP191)))</f>
        <v>0</v>
      </c>
      <c r="J191">
        <f>SUMPRODUCT((MONTH(CHOOSE({1,2,3,4},KHP!U191,KHP!AA191,KHP!AG191,KHP!AM191))=10)*(CHOOSE({1,2,3,4},KHP!X191,KHP!AD191,KHP!AJ191,KHP!AP191)))</f>
        <v>0</v>
      </c>
      <c r="K191">
        <f>SUMPRODUCT((MONTH(CHOOSE({1,2,3,4},KHP!U191,KHP!AA191,KHP!AG191,KHP!AM191))=11)*(CHOOSE({1,2,3,4},KHP!X191,KHP!AD191,KHP!AJ191,KHP!AP191)))</f>
        <v>0</v>
      </c>
      <c r="L191">
        <f>SUMPRODUCT((MONTH(CHOOSE({1,2,3,4},KHP!U191,KHP!AA191,KHP!AG191,KHP!AM191))=12)*(CHOOSE({1,2,3,4},KHP!X191,KHP!AD191,KHP!AJ191,KHP!AP191)))</f>
        <v>0</v>
      </c>
    </row>
    <row r="192" spans="1:12">
      <c r="A192">
        <f>SUMPRODUCT((MONTH(CHOOSE({1,2,3,4},KHP!U192,KHP!AA192,KHP!AG192,KHP!AM192))=1)*(CHOOSE({1,2,3,4},KHP!X192,KHP!AD192,KHP!AJ192,KHP!AP192)))</f>
        <v>0</v>
      </c>
      <c r="B192">
        <f>SUMPRODUCT((MONTH(CHOOSE({1,2,3,4},KHP!U192,KHP!AA192,KHP!AG192,KHP!AM192))=2)*(CHOOSE({1,2,3,4},KHP!X192,KHP!AD192,KHP!AJ192,KHP!AP192)))</f>
        <v>0</v>
      </c>
      <c r="C192">
        <f>SUMPRODUCT((MONTH(CHOOSE({1,2,3,4},KHP!U192,KHP!AA192,KHP!AG192,KHP!AM192))=3)*(CHOOSE({1,2,3,4},KHP!X192,KHP!AD192,KHP!AJ192,KHP!AP192)))</f>
        <v>0</v>
      </c>
      <c r="D192">
        <f>SUMPRODUCT((MONTH(CHOOSE({1,2,3,4},KHP!U192,KHP!AA192,KHP!AG192,KHP!AM192))=4)*(CHOOSE({1,2,3,4},KHP!X192,KHP!AD192,KHP!AJ192,KHP!AP192)))</f>
        <v>0</v>
      </c>
      <c r="E192">
        <f>SUMPRODUCT((MONTH(CHOOSE({1,2,3,4},KHP!U192,KHP!AA192,KHP!AG192,KHP!AM192))=5)*(CHOOSE({1,2,3,4},KHP!X192,KHP!AD192,KHP!AJ192,KHP!AP192)))</f>
        <v>0</v>
      </c>
      <c r="F192">
        <f>SUMPRODUCT((MONTH(CHOOSE({1,2,3,4},KHP!U192,KHP!AA192,KHP!AG192,KHP!AM192))=6)*(CHOOSE({1,2,3,4},KHP!X192,KHP!AD192,KHP!AJ192,KHP!AP192)))</f>
        <v>0</v>
      </c>
      <c r="G192">
        <f>SUMPRODUCT((MONTH(CHOOSE({1,2,3,4},KHP!U192,KHP!AA192,KHP!AG192,KHP!AM192))=7)*(CHOOSE({1,2,3,4},KHP!X192,KHP!AD192,KHP!AJ192,KHP!AP192)))</f>
        <v>0</v>
      </c>
      <c r="H192">
        <f>SUMPRODUCT((MONTH(CHOOSE({1,2,3,4},KHP!U192,KHP!AA192,KHP!AG192,KHP!AM192))=8)*(CHOOSE({1,2,3,4},KHP!X192,KHP!AD192,KHP!AJ192,KHP!AP192)))</f>
        <v>0</v>
      </c>
      <c r="I192">
        <f>SUMPRODUCT((MONTH(CHOOSE({1,2,3,4},KHP!U192,KHP!AA192,KHP!AG192,KHP!AM192))=9)*(CHOOSE({1,2,3,4},KHP!X192,KHP!AD192,KHP!AJ192,KHP!AP192)))</f>
        <v>0</v>
      </c>
      <c r="J192">
        <f>SUMPRODUCT((MONTH(CHOOSE({1,2,3,4},KHP!U192,KHP!AA192,KHP!AG192,KHP!AM192))=10)*(CHOOSE({1,2,3,4},KHP!X192,KHP!AD192,KHP!AJ192,KHP!AP192)))</f>
        <v>0</v>
      </c>
      <c r="K192">
        <f>SUMPRODUCT((MONTH(CHOOSE({1,2,3,4},KHP!U192,KHP!AA192,KHP!AG192,KHP!AM192))=11)*(CHOOSE({1,2,3,4},KHP!X192,KHP!AD192,KHP!AJ192,KHP!AP192)))</f>
        <v>0</v>
      </c>
      <c r="L192">
        <f>SUMPRODUCT((MONTH(CHOOSE({1,2,3,4},KHP!U192,KHP!AA192,KHP!AG192,KHP!AM192))=12)*(CHOOSE({1,2,3,4},KHP!X192,KHP!AD192,KHP!AJ192,KHP!AP192)))</f>
        <v>0</v>
      </c>
    </row>
    <row r="193" spans="1:12">
      <c r="A193">
        <f>SUMPRODUCT((MONTH(CHOOSE({1,2,3,4},KHP!U193,KHP!AA193,KHP!AG193,KHP!AM193))=1)*(CHOOSE({1,2,3,4},KHP!X193,KHP!AD193,KHP!AJ193,KHP!AP193)))</f>
        <v>0</v>
      </c>
      <c r="B193">
        <f>SUMPRODUCT((MONTH(CHOOSE({1,2,3,4},KHP!U193,KHP!AA193,KHP!AG193,KHP!AM193))=2)*(CHOOSE({1,2,3,4},KHP!X193,KHP!AD193,KHP!AJ193,KHP!AP193)))</f>
        <v>0</v>
      </c>
      <c r="C193">
        <f>SUMPRODUCT((MONTH(CHOOSE({1,2,3,4},KHP!U193,KHP!AA193,KHP!AG193,KHP!AM193))=3)*(CHOOSE({1,2,3,4},KHP!X193,KHP!AD193,KHP!AJ193,KHP!AP193)))</f>
        <v>0</v>
      </c>
      <c r="D193">
        <f>SUMPRODUCT((MONTH(CHOOSE({1,2,3,4},KHP!U193,KHP!AA193,KHP!AG193,KHP!AM193))=4)*(CHOOSE({1,2,3,4},KHP!X193,KHP!AD193,KHP!AJ193,KHP!AP193)))</f>
        <v>0</v>
      </c>
      <c r="E193">
        <f>SUMPRODUCT((MONTH(CHOOSE({1,2,3,4},KHP!U193,KHP!AA193,KHP!AG193,KHP!AM193))=5)*(CHOOSE({1,2,3,4},KHP!X193,KHP!AD193,KHP!AJ193,KHP!AP193)))</f>
        <v>0</v>
      </c>
      <c r="F193">
        <f>SUMPRODUCT((MONTH(CHOOSE({1,2,3,4},KHP!U193,KHP!AA193,KHP!AG193,KHP!AM193))=6)*(CHOOSE({1,2,3,4},KHP!X193,KHP!AD193,KHP!AJ193,KHP!AP193)))</f>
        <v>0</v>
      </c>
      <c r="G193">
        <f>SUMPRODUCT((MONTH(CHOOSE({1,2,3,4},KHP!U193,KHP!AA193,KHP!AG193,KHP!AM193))=7)*(CHOOSE({1,2,3,4},KHP!X193,KHP!AD193,KHP!AJ193,KHP!AP193)))</f>
        <v>0</v>
      </c>
      <c r="H193">
        <f>SUMPRODUCT((MONTH(CHOOSE({1,2,3,4},KHP!U193,KHP!AA193,KHP!AG193,KHP!AM193))=8)*(CHOOSE({1,2,3,4},KHP!X193,KHP!AD193,KHP!AJ193,KHP!AP193)))</f>
        <v>0</v>
      </c>
      <c r="I193">
        <f>SUMPRODUCT((MONTH(CHOOSE({1,2,3,4},KHP!U193,KHP!AA193,KHP!AG193,KHP!AM193))=9)*(CHOOSE({1,2,3,4},KHP!X193,KHP!AD193,KHP!AJ193,KHP!AP193)))</f>
        <v>0</v>
      </c>
      <c r="J193">
        <f>SUMPRODUCT((MONTH(CHOOSE({1,2,3,4},KHP!U193,KHP!AA193,KHP!AG193,KHP!AM193))=10)*(CHOOSE({1,2,3,4},KHP!X193,KHP!AD193,KHP!AJ193,KHP!AP193)))</f>
        <v>0</v>
      </c>
      <c r="K193">
        <f>SUMPRODUCT((MONTH(CHOOSE({1,2,3,4},KHP!U193,KHP!AA193,KHP!AG193,KHP!AM193))=11)*(CHOOSE({1,2,3,4},KHP!X193,KHP!AD193,KHP!AJ193,KHP!AP193)))</f>
        <v>0</v>
      </c>
      <c r="L193">
        <f>SUMPRODUCT((MONTH(CHOOSE({1,2,3,4},KHP!U193,KHP!AA193,KHP!AG193,KHP!AM193))=12)*(CHOOSE({1,2,3,4},KHP!X193,KHP!AD193,KHP!AJ193,KHP!AP193)))</f>
        <v>0</v>
      </c>
    </row>
    <row r="194" spans="1:12">
      <c r="A194">
        <f>SUMPRODUCT((MONTH(CHOOSE({1,2,3,4},KHP!U194,KHP!AA194,KHP!AG194,KHP!AM194))=1)*(CHOOSE({1,2,3,4},KHP!X194,KHP!AD194,KHP!AJ194,KHP!AP194)))</f>
        <v>0</v>
      </c>
      <c r="B194">
        <f>SUMPRODUCT((MONTH(CHOOSE({1,2,3,4},KHP!U194,KHP!AA194,KHP!AG194,KHP!AM194))=2)*(CHOOSE({1,2,3,4},KHP!X194,KHP!AD194,KHP!AJ194,KHP!AP194)))</f>
        <v>0</v>
      </c>
      <c r="C194">
        <f>SUMPRODUCT((MONTH(CHOOSE({1,2,3,4},KHP!U194,KHP!AA194,KHP!AG194,KHP!AM194))=3)*(CHOOSE({1,2,3,4},KHP!X194,KHP!AD194,KHP!AJ194,KHP!AP194)))</f>
        <v>0</v>
      </c>
      <c r="D194">
        <f>SUMPRODUCT((MONTH(CHOOSE({1,2,3,4},KHP!U194,KHP!AA194,KHP!AG194,KHP!AM194))=4)*(CHOOSE({1,2,3,4},KHP!X194,KHP!AD194,KHP!AJ194,KHP!AP194)))</f>
        <v>0</v>
      </c>
      <c r="E194">
        <f>SUMPRODUCT((MONTH(CHOOSE({1,2,3,4},KHP!U194,KHP!AA194,KHP!AG194,KHP!AM194))=5)*(CHOOSE({1,2,3,4},KHP!X194,KHP!AD194,KHP!AJ194,KHP!AP194)))</f>
        <v>0</v>
      </c>
      <c r="F194">
        <f>SUMPRODUCT((MONTH(CHOOSE({1,2,3,4},KHP!U194,KHP!AA194,KHP!AG194,KHP!AM194))=6)*(CHOOSE({1,2,3,4},KHP!X194,KHP!AD194,KHP!AJ194,KHP!AP194)))</f>
        <v>0</v>
      </c>
      <c r="G194">
        <f>SUMPRODUCT((MONTH(CHOOSE({1,2,3,4},KHP!U194,KHP!AA194,KHP!AG194,KHP!AM194))=7)*(CHOOSE({1,2,3,4},KHP!X194,KHP!AD194,KHP!AJ194,KHP!AP194)))</f>
        <v>0</v>
      </c>
      <c r="H194">
        <f>SUMPRODUCT((MONTH(CHOOSE({1,2,3,4},KHP!U194,KHP!AA194,KHP!AG194,KHP!AM194))=8)*(CHOOSE({1,2,3,4},KHP!X194,KHP!AD194,KHP!AJ194,KHP!AP194)))</f>
        <v>0</v>
      </c>
      <c r="I194">
        <f>SUMPRODUCT((MONTH(CHOOSE({1,2,3,4},KHP!U194,KHP!AA194,KHP!AG194,KHP!AM194))=9)*(CHOOSE({1,2,3,4},KHP!X194,KHP!AD194,KHP!AJ194,KHP!AP194)))</f>
        <v>0</v>
      </c>
      <c r="J194">
        <f>SUMPRODUCT((MONTH(CHOOSE({1,2,3,4},KHP!U194,KHP!AA194,KHP!AG194,KHP!AM194))=10)*(CHOOSE({1,2,3,4},KHP!X194,KHP!AD194,KHP!AJ194,KHP!AP194)))</f>
        <v>0</v>
      </c>
      <c r="K194">
        <f>SUMPRODUCT((MONTH(CHOOSE({1,2,3,4},KHP!U194,KHP!AA194,KHP!AG194,KHP!AM194))=11)*(CHOOSE({1,2,3,4},KHP!X194,KHP!AD194,KHP!AJ194,KHP!AP194)))</f>
        <v>0</v>
      </c>
      <c r="L194">
        <f>SUMPRODUCT((MONTH(CHOOSE({1,2,3,4},KHP!U194,KHP!AA194,KHP!AG194,KHP!AM194))=12)*(CHOOSE({1,2,3,4},KHP!X194,KHP!AD194,KHP!AJ194,KHP!AP194)))</f>
        <v>0</v>
      </c>
    </row>
    <row r="195" spans="1:12">
      <c r="A195">
        <f>SUMPRODUCT((MONTH(CHOOSE({1,2,3,4},KHP!U195,KHP!AA195,KHP!AG195,KHP!AM195))=1)*(CHOOSE({1,2,3,4},KHP!X195,KHP!AD195,KHP!AJ195,KHP!AP195)))</f>
        <v>0</v>
      </c>
      <c r="B195">
        <f>SUMPRODUCT((MONTH(CHOOSE({1,2,3,4},KHP!U195,KHP!AA195,KHP!AG195,KHP!AM195))=2)*(CHOOSE({1,2,3,4},KHP!X195,KHP!AD195,KHP!AJ195,KHP!AP195)))</f>
        <v>0</v>
      </c>
      <c r="C195">
        <f>SUMPRODUCT((MONTH(CHOOSE({1,2,3,4},KHP!U195,KHP!AA195,KHP!AG195,KHP!AM195))=3)*(CHOOSE({1,2,3,4},KHP!X195,KHP!AD195,KHP!AJ195,KHP!AP195)))</f>
        <v>0</v>
      </c>
      <c r="D195">
        <f>SUMPRODUCT((MONTH(CHOOSE({1,2,3,4},KHP!U195,KHP!AA195,KHP!AG195,KHP!AM195))=4)*(CHOOSE({1,2,3,4},KHP!X195,KHP!AD195,KHP!AJ195,KHP!AP195)))</f>
        <v>0</v>
      </c>
      <c r="E195">
        <f>SUMPRODUCT((MONTH(CHOOSE({1,2,3,4},KHP!U195,KHP!AA195,KHP!AG195,KHP!AM195))=5)*(CHOOSE({1,2,3,4},KHP!X195,KHP!AD195,KHP!AJ195,KHP!AP195)))</f>
        <v>0</v>
      </c>
      <c r="F195">
        <f>SUMPRODUCT((MONTH(CHOOSE({1,2,3,4},KHP!U195,KHP!AA195,KHP!AG195,KHP!AM195))=6)*(CHOOSE({1,2,3,4},KHP!X195,KHP!AD195,KHP!AJ195,KHP!AP195)))</f>
        <v>0</v>
      </c>
      <c r="G195">
        <f>SUMPRODUCT((MONTH(CHOOSE({1,2,3,4},KHP!U195,KHP!AA195,KHP!AG195,KHP!AM195))=7)*(CHOOSE({1,2,3,4},KHP!X195,KHP!AD195,KHP!AJ195,KHP!AP195)))</f>
        <v>0</v>
      </c>
      <c r="H195">
        <f>SUMPRODUCT((MONTH(CHOOSE({1,2,3,4},KHP!U195,KHP!AA195,KHP!AG195,KHP!AM195))=8)*(CHOOSE({1,2,3,4},KHP!X195,KHP!AD195,KHP!AJ195,KHP!AP195)))</f>
        <v>0</v>
      </c>
      <c r="I195">
        <f>SUMPRODUCT((MONTH(CHOOSE({1,2,3,4},KHP!U195,KHP!AA195,KHP!AG195,KHP!AM195))=9)*(CHOOSE({1,2,3,4},KHP!X195,KHP!AD195,KHP!AJ195,KHP!AP195)))</f>
        <v>0</v>
      </c>
      <c r="J195">
        <f>SUMPRODUCT((MONTH(CHOOSE({1,2,3,4},KHP!U195,KHP!AA195,KHP!AG195,KHP!AM195))=10)*(CHOOSE({1,2,3,4},KHP!X195,KHP!AD195,KHP!AJ195,KHP!AP195)))</f>
        <v>0</v>
      </c>
      <c r="K195">
        <f>SUMPRODUCT((MONTH(CHOOSE({1,2,3,4},KHP!U195,KHP!AA195,KHP!AG195,KHP!AM195))=11)*(CHOOSE({1,2,3,4},KHP!X195,KHP!AD195,KHP!AJ195,KHP!AP195)))</f>
        <v>0</v>
      </c>
      <c r="L195">
        <f>SUMPRODUCT((MONTH(CHOOSE({1,2,3,4},KHP!U195,KHP!AA195,KHP!AG195,KHP!AM195))=12)*(CHOOSE({1,2,3,4},KHP!X195,KHP!AD195,KHP!AJ195,KHP!AP195)))</f>
        <v>0</v>
      </c>
    </row>
    <row r="196" spans="1:12">
      <c r="A196">
        <f>SUMPRODUCT((MONTH(CHOOSE({1,2,3,4},KHP!U196,KHP!AA196,KHP!AG196,KHP!AM196))=1)*(CHOOSE({1,2,3,4},KHP!X196,KHP!AD196,KHP!AJ196,KHP!AP196)))</f>
        <v>0</v>
      </c>
      <c r="B196">
        <f>SUMPRODUCT((MONTH(CHOOSE({1,2,3,4},KHP!U196,KHP!AA196,KHP!AG196,KHP!AM196))=2)*(CHOOSE({1,2,3,4},KHP!X196,KHP!AD196,KHP!AJ196,KHP!AP196)))</f>
        <v>0</v>
      </c>
      <c r="C196">
        <f>SUMPRODUCT((MONTH(CHOOSE({1,2,3,4},KHP!U196,KHP!AA196,KHP!AG196,KHP!AM196))=3)*(CHOOSE({1,2,3,4},KHP!X196,KHP!AD196,KHP!AJ196,KHP!AP196)))</f>
        <v>0</v>
      </c>
      <c r="D196">
        <f>SUMPRODUCT((MONTH(CHOOSE({1,2,3,4},KHP!U196,KHP!AA196,KHP!AG196,KHP!AM196))=4)*(CHOOSE({1,2,3,4},KHP!X196,KHP!AD196,KHP!AJ196,KHP!AP196)))</f>
        <v>0</v>
      </c>
      <c r="E196">
        <f>SUMPRODUCT((MONTH(CHOOSE({1,2,3,4},KHP!U196,KHP!AA196,KHP!AG196,KHP!AM196))=5)*(CHOOSE({1,2,3,4},KHP!X196,KHP!AD196,KHP!AJ196,KHP!AP196)))</f>
        <v>0</v>
      </c>
      <c r="F196">
        <f>SUMPRODUCT((MONTH(CHOOSE({1,2,3,4},KHP!U196,KHP!AA196,KHP!AG196,KHP!AM196))=6)*(CHOOSE({1,2,3,4},KHP!X196,KHP!AD196,KHP!AJ196,KHP!AP196)))</f>
        <v>0</v>
      </c>
      <c r="G196">
        <f>SUMPRODUCT((MONTH(CHOOSE({1,2,3,4},KHP!U196,KHP!AA196,KHP!AG196,KHP!AM196))=7)*(CHOOSE({1,2,3,4},KHP!X196,KHP!AD196,KHP!AJ196,KHP!AP196)))</f>
        <v>0</v>
      </c>
      <c r="H196">
        <f>SUMPRODUCT((MONTH(CHOOSE({1,2,3,4},KHP!U196,KHP!AA196,KHP!AG196,KHP!AM196))=8)*(CHOOSE({1,2,3,4},KHP!X196,KHP!AD196,KHP!AJ196,KHP!AP196)))</f>
        <v>0</v>
      </c>
      <c r="I196">
        <f>SUMPRODUCT((MONTH(CHOOSE({1,2,3,4},KHP!U196,KHP!AA196,KHP!AG196,KHP!AM196))=9)*(CHOOSE({1,2,3,4},KHP!X196,KHP!AD196,KHP!AJ196,KHP!AP196)))</f>
        <v>0</v>
      </c>
      <c r="J196">
        <f>SUMPRODUCT((MONTH(CHOOSE({1,2,3,4},KHP!U196,KHP!AA196,KHP!AG196,KHP!AM196))=10)*(CHOOSE({1,2,3,4},KHP!X196,KHP!AD196,KHP!AJ196,KHP!AP196)))</f>
        <v>0</v>
      </c>
      <c r="K196">
        <f>SUMPRODUCT((MONTH(CHOOSE({1,2,3,4},KHP!U196,KHP!AA196,KHP!AG196,KHP!AM196))=11)*(CHOOSE({1,2,3,4},KHP!X196,KHP!AD196,KHP!AJ196,KHP!AP196)))</f>
        <v>0</v>
      </c>
      <c r="L196">
        <f>SUMPRODUCT((MONTH(CHOOSE({1,2,3,4},KHP!U196,KHP!AA196,KHP!AG196,KHP!AM196))=12)*(CHOOSE({1,2,3,4},KHP!X196,KHP!AD196,KHP!AJ196,KHP!AP196)))</f>
        <v>0</v>
      </c>
    </row>
    <row r="197" spans="1:12">
      <c r="A197">
        <f>SUMPRODUCT((MONTH(CHOOSE({1,2,3,4},KHP!U197,KHP!AA197,KHP!AG197,KHP!AM197))=1)*(CHOOSE({1,2,3,4},KHP!X197,KHP!AD197,KHP!AJ197,KHP!AP197)))</f>
        <v>0</v>
      </c>
      <c r="B197">
        <f>SUMPRODUCT((MONTH(CHOOSE({1,2,3,4},KHP!U197,KHP!AA197,KHP!AG197,KHP!AM197))=2)*(CHOOSE({1,2,3,4},KHP!X197,KHP!AD197,KHP!AJ197,KHP!AP197)))</f>
        <v>0</v>
      </c>
      <c r="C197">
        <f>SUMPRODUCT((MONTH(CHOOSE({1,2,3,4},KHP!U197,KHP!AA197,KHP!AG197,KHP!AM197))=3)*(CHOOSE({1,2,3,4},KHP!X197,KHP!AD197,KHP!AJ197,KHP!AP197)))</f>
        <v>0</v>
      </c>
      <c r="D197">
        <f>SUMPRODUCT((MONTH(CHOOSE({1,2,3,4},KHP!U197,KHP!AA197,KHP!AG197,KHP!AM197))=4)*(CHOOSE({1,2,3,4},KHP!X197,KHP!AD197,KHP!AJ197,KHP!AP197)))</f>
        <v>0</v>
      </c>
      <c r="E197">
        <f>SUMPRODUCT((MONTH(CHOOSE({1,2,3,4},KHP!U197,KHP!AA197,KHP!AG197,KHP!AM197))=5)*(CHOOSE({1,2,3,4},KHP!X197,KHP!AD197,KHP!AJ197,KHP!AP197)))</f>
        <v>0</v>
      </c>
      <c r="F197">
        <f>SUMPRODUCT((MONTH(CHOOSE({1,2,3,4},KHP!U197,KHP!AA197,KHP!AG197,KHP!AM197))=6)*(CHOOSE({1,2,3,4},KHP!X197,KHP!AD197,KHP!AJ197,KHP!AP197)))</f>
        <v>0</v>
      </c>
      <c r="G197">
        <f>SUMPRODUCT((MONTH(CHOOSE({1,2,3,4},KHP!U197,KHP!AA197,KHP!AG197,KHP!AM197))=7)*(CHOOSE({1,2,3,4},KHP!X197,KHP!AD197,KHP!AJ197,KHP!AP197)))</f>
        <v>0</v>
      </c>
      <c r="H197">
        <f>SUMPRODUCT((MONTH(CHOOSE({1,2,3,4},KHP!U197,KHP!AA197,KHP!AG197,KHP!AM197))=8)*(CHOOSE({1,2,3,4},KHP!X197,KHP!AD197,KHP!AJ197,KHP!AP197)))</f>
        <v>0</v>
      </c>
      <c r="I197">
        <f>SUMPRODUCT((MONTH(CHOOSE({1,2,3,4},KHP!U197,KHP!AA197,KHP!AG197,KHP!AM197))=9)*(CHOOSE({1,2,3,4},KHP!X197,KHP!AD197,KHP!AJ197,KHP!AP197)))</f>
        <v>0</v>
      </c>
      <c r="J197">
        <f>SUMPRODUCT((MONTH(CHOOSE({1,2,3,4},KHP!U197,KHP!AA197,KHP!AG197,KHP!AM197))=10)*(CHOOSE({1,2,3,4},KHP!X197,KHP!AD197,KHP!AJ197,KHP!AP197)))</f>
        <v>0</v>
      </c>
      <c r="K197">
        <f>SUMPRODUCT((MONTH(CHOOSE({1,2,3,4},KHP!U197,KHP!AA197,KHP!AG197,KHP!AM197))=11)*(CHOOSE({1,2,3,4},KHP!X197,KHP!AD197,KHP!AJ197,KHP!AP197)))</f>
        <v>0</v>
      </c>
      <c r="L197">
        <f>SUMPRODUCT((MONTH(CHOOSE({1,2,3,4},KHP!U197,KHP!AA197,KHP!AG197,KHP!AM197))=12)*(CHOOSE({1,2,3,4},KHP!X197,KHP!AD197,KHP!AJ197,KHP!AP197)))</f>
        <v>0</v>
      </c>
    </row>
    <row r="198" spans="1:12">
      <c r="A198">
        <f>SUMPRODUCT((MONTH(CHOOSE({1,2,3,4},KHP!U198,KHP!AA198,KHP!AG198,KHP!AM198))=1)*(CHOOSE({1,2,3,4},KHP!X198,KHP!AD198,KHP!AJ198,KHP!AP198)))</f>
        <v>0</v>
      </c>
      <c r="B198">
        <f>SUMPRODUCT((MONTH(CHOOSE({1,2,3,4},KHP!U198,KHP!AA198,KHP!AG198,KHP!AM198))=2)*(CHOOSE({1,2,3,4},KHP!X198,KHP!AD198,KHP!AJ198,KHP!AP198)))</f>
        <v>0</v>
      </c>
      <c r="C198">
        <f>SUMPRODUCT((MONTH(CHOOSE({1,2,3,4},KHP!U198,KHP!AA198,KHP!AG198,KHP!AM198))=3)*(CHOOSE({1,2,3,4},KHP!X198,KHP!AD198,KHP!AJ198,KHP!AP198)))</f>
        <v>0</v>
      </c>
      <c r="D198">
        <f>SUMPRODUCT((MONTH(CHOOSE({1,2,3,4},KHP!U198,KHP!AA198,KHP!AG198,KHP!AM198))=4)*(CHOOSE({1,2,3,4},KHP!X198,KHP!AD198,KHP!AJ198,KHP!AP198)))</f>
        <v>0</v>
      </c>
      <c r="E198">
        <f>SUMPRODUCT((MONTH(CHOOSE({1,2,3,4},KHP!U198,KHP!AA198,KHP!AG198,KHP!AM198))=5)*(CHOOSE({1,2,3,4},KHP!X198,KHP!AD198,KHP!AJ198,KHP!AP198)))</f>
        <v>0</v>
      </c>
      <c r="F198">
        <f>SUMPRODUCT((MONTH(CHOOSE({1,2,3,4},KHP!U198,KHP!AA198,KHP!AG198,KHP!AM198))=6)*(CHOOSE({1,2,3,4},KHP!X198,KHP!AD198,KHP!AJ198,KHP!AP198)))</f>
        <v>0</v>
      </c>
      <c r="G198">
        <f>SUMPRODUCT((MONTH(CHOOSE({1,2,3,4},KHP!U198,KHP!AA198,KHP!AG198,KHP!AM198))=7)*(CHOOSE({1,2,3,4},KHP!X198,KHP!AD198,KHP!AJ198,KHP!AP198)))</f>
        <v>0</v>
      </c>
      <c r="H198">
        <f>SUMPRODUCT((MONTH(CHOOSE({1,2,3,4},KHP!U198,KHP!AA198,KHP!AG198,KHP!AM198))=8)*(CHOOSE({1,2,3,4},KHP!X198,KHP!AD198,KHP!AJ198,KHP!AP198)))</f>
        <v>0</v>
      </c>
      <c r="I198">
        <f>SUMPRODUCT((MONTH(CHOOSE({1,2,3,4},KHP!U198,KHP!AA198,KHP!AG198,KHP!AM198))=9)*(CHOOSE({1,2,3,4},KHP!X198,KHP!AD198,KHP!AJ198,KHP!AP198)))</f>
        <v>0</v>
      </c>
      <c r="J198">
        <f>SUMPRODUCT((MONTH(CHOOSE({1,2,3,4},KHP!U198,KHP!AA198,KHP!AG198,KHP!AM198))=10)*(CHOOSE({1,2,3,4},KHP!X198,KHP!AD198,KHP!AJ198,KHP!AP198)))</f>
        <v>0</v>
      </c>
      <c r="K198">
        <f>SUMPRODUCT((MONTH(CHOOSE({1,2,3,4},KHP!U198,KHP!AA198,KHP!AG198,KHP!AM198))=11)*(CHOOSE({1,2,3,4},KHP!X198,KHP!AD198,KHP!AJ198,KHP!AP198)))</f>
        <v>0</v>
      </c>
      <c r="L198">
        <f>SUMPRODUCT((MONTH(CHOOSE({1,2,3,4},KHP!U198,KHP!AA198,KHP!AG198,KHP!AM198))=12)*(CHOOSE({1,2,3,4},KHP!X198,KHP!AD198,KHP!AJ198,KHP!AP198)))</f>
        <v>0</v>
      </c>
    </row>
    <row r="199" spans="1:12">
      <c r="A199">
        <f>SUMPRODUCT((MONTH(CHOOSE({1,2,3,4},KHP!U199,KHP!AA199,KHP!AG199,KHP!AM199))=1)*(CHOOSE({1,2,3,4},KHP!X199,KHP!AD199,KHP!AJ199,KHP!AP199)))</f>
        <v>0</v>
      </c>
      <c r="B199">
        <f>SUMPRODUCT((MONTH(CHOOSE({1,2,3,4},KHP!U199,KHP!AA199,KHP!AG199,KHP!AM199))=2)*(CHOOSE({1,2,3,4},KHP!X199,KHP!AD199,KHP!AJ199,KHP!AP199)))</f>
        <v>0</v>
      </c>
      <c r="C199">
        <f>SUMPRODUCT((MONTH(CHOOSE({1,2,3,4},KHP!U199,KHP!AA199,KHP!AG199,KHP!AM199))=3)*(CHOOSE({1,2,3,4},KHP!X199,KHP!AD199,KHP!AJ199,KHP!AP199)))</f>
        <v>0</v>
      </c>
      <c r="D199">
        <f>SUMPRODUCT((MONTH(CHOOSE({1,2,3,4},KHP!U199,KHP!AA199,KHP!AG199,KHP!AM199))=4)*(CHOOSE({1,2,3,4},KHP!X199,KHP!AD199,KHP!AJ199,KHP!AP199)))</f>
        <v>0</v>
      </c>
      <c r="E199">
        <f>SUMPRODUCT((MONTH(CHOOSE({1,2,3,4},KHP!U199,KHP!AA199,KHP!AG199,KHP!AM199))=5)*(CHOOSE({1,2,3,4},KHP!X199,KHP!AD199,KHP!AJ199,KHP!AP199)))</f>
        <v>0</v>
      </c>
      <c r="F199">
        <f>SUMPRODUCT((MONTH(CHOOSE({1,2,3,4},KHP!U199,KHP!AA199,KHP!AG199,KHP!AM199))=6)*(CHOOSE({1,2,3,4},KHP!X199,KHP!AD199,KHP!AJ199,KHP!AP199)))</f>
        <v>0</v>
      </c>
      <c r="G199">
        <f>SUMPRODUCT((MONTH(CHOOSE({1,2,3,4},KHP!U199,KHP!AA199,KHP!AG199,KHP!AM199))=7)*(CHOOSE({1,2,3,4},KHP!X199,KHP!AD199,KHP!AJ199,KHP!AP199)))</f>
        <v>0</v>
      </c>
      <c r="H199">
        <f>SUMPRODUCT((MONTH(CHOOSE({1,2,3,4},KHP!U199,KHP!AA199,KHP!AG199,KHP!AM199))=8)*(CHOOSE({1,2,3,4},KHP!X199,KHP!AD199,KHP!AJ199,KHP!AP199)))</f>
        <v>0</v>
      </c>
      <c r="I199">
        <f>SUMPRODUCT((MONTH(CHOOSE({1,2,3,4},KHP!U199,KHP!AA199,KHP!AG199,KHP!AM199))=9)*(CHOOSE({1,2,3,4},KHP!X199,KHP!AD199,KHP!AJ199,KHP!AP199)))</f>
        <v>0</v>
      </c>
      <c r="J199">
        <f>SUMPRODUCT((MONTH(CHOOSE({1,2,3,4},KHP!U199,KHP!AA199,KHP!AG199,KHP!AM199))=10)*(CHOOSE({1,2,3,4},KHP!X199,KHP!AD199,KHP!AJ199,KHP!AP199)))</f>
        <v>0</v>
      </c>
      <c r="K199">
        <f>SUMPRODUCT((MONTH(CHOOSE({1,2,3,4},KHP!U199,KHP!AA199,KHP!AG199,KHP!AM199))=11)*(CHOOSE({1,2,3,4},KHP!X199,KHP!AD199,KHP!AJ199,KHP!AP199)))</f>
        <v>0</v>
      </c>
      <c r="L199">
        <f>SUMPRODUCT((MONTH(CHOOSE({1,2,3,4},KHP!U199,KHP!AA199,KHP!AG199,KHP!AM199))=12)*(CHOOSE({1,2,3,4},KHP!X199,KHP!AD199,KHP!AJ199,KHP!AP199)))</f>
        <v>0</v>
      </c>
    </row>
    <row r="200" spans="1:12">
      <c r="A200">
        <f>SUMPRODUCT((MONTH(CHOOSE({1,2,3,4},KHP!U200,KHP!AA200,KHP!AG200,KHP!AM200))=1)*(CHOOSE({1,2,3,4},KHP!X200,KHP!AD200,KHP!AJ200,KHP!AP200)))</f>
        <v>0</v>
      </c>
      <c r="B200">
        <f>SUMPRODUCT((MONTH(CHOOSE({1,2,3,4},KHP!U200,KHP!AA200,KHP!AG200,KHP!AM200))=2)*(CHOOSE({1,2,3,4},KHP!X200,KHP!AD200,KHP!AJ200,KHP!AP200)))</f>
        <v>0</v>
      </c>
      <c r="C200">
        <f>SUMPRODUCT((MONTH(CHOOSE({1,2,3,4},KHP!U200,KHP!AA200,KHP!AG200,KHP!AM200))=3)*(CHOOSE({1,2,3,4},KHP!X200,KHP!AD200,KHP!AJ200,KHP!AP200)))</f>
        <v>0</v>
      </c>
      <c r="D200">
        <f>SUMPRODUCT((MONTH(CHOOSE({1,2,3,4},KHP!U200,KHP!AA200,KHP!AG200,KHP!AM200))=4)*(CHOOSE({1,2,3,4},KHP!X200,KHP!AD200,KHP!AJ200,KHP!AP200)))</f>
        <v>0</v>
      </c>
      <c r="E200">
        <f>SUMPRODUCT((MONTH(CHOOSE({1,2,3,4},KHP!U200,KHP!AA200,KHP!AG200,KHP!AM200))=5)*(CHOOSE({1,2,3,4},KHP!X200,KHP!AD200,KHP!AJ200,KHP!AP200)))</f>
        <v>0</v>
      </c>
      <c r="F200">
        <f>SUMPRODUCT((MONTH(CHOOSE({1,2,3,4},KHP!U200,KHP!AA200,KHP!AG200,KHP!AM200))=6)*(CHOOSE({1,2,3,4},KHP!X200,KHP!AD200,KHP!AJ200,KHP!AP200)))</f>
        <v>0</v>
      </c>
      <c r="G200">
        <f>SUMPRODUCT((MONTH(CHOOSE({1,2,3,4},KHP!U200,KHP!AA200,KHP!AG200,KHP!AM200))=7)*(CHOOSE({1,2,3,4},KHP!X200,KHP!AD200,KHP!AJ200,KHP!AP200)))</f>
        <v>0</v>
      </c>
      <c r="H200">
        <f>SUMPRODUCT((MONTH(CHOOSE({1,2,3,4},KHP!U200,KHP!AA200,KHP!AG200,KHP!AM200))=8)*(CHOOSE({1,2,3,4},KHP!X200,KHP!AD200,KHP!AJ200,KHP!AP200)))</f>
        <v>0</v>
      </c>
      <c r="I200">
        <f>SUMPRODUCT((MONTH(CHOOSE({1,2,3,4},KHP!U200,KHP!AA200,KHP!AG200,KHP!AM200))=9)*(CHOOSE({1,2,3,4},KHP!X200,KHP!AD200,KHP!AJ200,KHP!AP200)))</f>
        <v>0</v>
      </c>
      <c r="J200">
        <f>SUMPRODUCT((MONTH(CHOOSE({1,2,3,4},KHP!U200,KHP!AA200,KHP!AG200,KHP!AM200))=10)*(CHOOSE({1,2,3,4},KHP!X200,KHP!AD200,KHP!AJ200,KHP!AP200)))</f>
        <v>0</v>
      </c>
      <c r="K200">
        <f>SUMPRODUCT((MONTH(CHOOSE({1,2,3,4},KHP!U200,KHP!AA200,KHP!AG200,KHP!AM200))=11)*(CHOOSE({1,2,3,4},KHP!X200,KHP!AD200,KHP!AJ200,KHP!AP200)))</f>
        <v>0</v>
      </c>
      <c r="L200">
        <f>SUMPRODUCT((MONTH(CHOOSE({1,2,3,4},KHP!U200,KHP!AA200,KHP!AG200,KHP!AM200))=12)*(CHOOSE({1,2,3,4},KHP!X200,KHP!AD200,KHP!AJ200,KHP!AP200)))</f>
        <v>0</v>
      </c>
    </row>
    <row r="201" spans="1:12">
      <c r="A201">
        <f>SUMPRODUCT((MONTH(CHOOSE({1,2,3,4},KHP!U201,KHP!AA201,KHP!AG201,KHP!AM201))=1)*(CHOOSE({1,2,3,4},KHP!X201,KHP!AD201,KHP!AJ201,KHP!AP201)))</f>
        <v>0</v>
      </c>
      <c r="B201">
        <f>SUMPRODUCT((MONTH(CHOOSE({1,2,3,4},KHP!U201,KHP!AA201,KHP!AG201,KHP!AM201))=2)*(CHOOSE({1,2,3,4},KHP!X201,KHP!AD201,KHP!AJ201,KHP!AP201)))</f>
        <v>0</v>
      </c>
      <c r="C201">
        <f>SUMPRODUCT((MONTH(CHOOSE({1,2,3,4},KHP!U201,KHP!AA201,KHP!AG201,KHP!AM201))=3)*(CHOOSE({1,2,3,4},KHP!X201,KHP!AD201,KHP!AJ201,KHP!AP201)))</f>
        <v>0</v>
      </c>
      <c r="D201">
        <f>SUMPRODUCT((MONTH(CHOOSE({1,2,3,4},KHP!U201,KHP!AA201,KHP!AG201,KHP!AM201))=4)*(CHOOSE({1,2,3,4},KHP!X201,KHP!AD201,KHP!AJ201,KHP!AP201)))</f>
        <v>0</v>
      </c>
      <c r="E201">
        <f>SUMPRODUCT((MONTH(CHOOSE({1,2,3,4},KHP!U201,KHP!AA201,KHP!AG201,KHP!AM201))=5)*(CHOOSE({1,2,3,4},KHP!X201,KHP!AD201,KHP!AJ201,KHP!AP201)))</f>
        <v>0</v>
      </c>
      <c r="F201">
        <f>SUMPRODUCT((MONTH(CHOOSE({1,2,3,4},KHP!U201,KHP!AA201,KHP!AG201,KHP!AM201))=6)*(CHOOSE({1,2,3,4},KHP!X201,KHP!AD201,KHP!AJ201,KHP!AP201)))</f>
        <v>0</v>
      </c>
      <c r="G201">
        <f>SUMPRODUCT((MONTH(CHOOSE({1,2,3,4},KHP!U201,KHP!AA201,KHP!AG201,KHP!AM201))=7)*(CHOOSE({1,2,3,4},KHP!X201,KHP!AD201,KHP!AJ201,KHP!AP201)))</f>
        <v>0</v>
      </c>
      <c r="H201">
        <f>SUMPRODUCT((MONTH(CHOOSE({1,2,3,4},KHP!U201,KHP!AA201,KHP!AG201,KHP!AM201))=8)*(CHOOSE({1,2,3,4},KHP!X201,KHP!AD201,KHP!AJ201,KHP!AP201)))</f>
        <v>0</v>
      </c>
      <c r="I201">
        <f>SUMPRODUCT((MONTH(CHOOSE({1,2,3,4},KHP!U201,KHP!AA201,KHP!AG201,KHP!AM201))=9)*(CHOOSE({1,2,3,4},KHP!X201,KHP!AD201,KHP!AJ201,KHP!AP201)))</f>
        <v>0</v>
      </c>
      <c r="J201">
        <f>SUMPRODUCT((MONTH(CHOOSE({1,2,3,4},KHP!U201,KHP!AA201,KHP!AG201,KHP!AM201))=10)*(CHOOSE({1,2,3,4},KHP!X201,KHP!AD201,KHP!AJ201,KHP!AP201)))</f>
        <v>0</v>
      </c>
      <c r="K201">
        <f>SUMPRODUCT((MONTH(CHOOSE({1,2,3,4},KHP!U201,KHP!AA201,KHP!AG201,KHP!AM201))=11)*(CHOOSE({1,2,3,4},KHP!X201,KHP!AD201,KHP!AJ201,KHP!AP201)))</f>
        <v>0</v>
      </c>
      <c r="L201">
        <f>SUMPRODUCT((MONTH(CHOOSE({1,2,3,4},KHP!U201,KHP!AA201,KHP!AG201,KHP!AM201))=12)*(CHOOSE({1,2,3,4},KHP!X201,KHP!AD201,KHP!AJ201,KHP!AP201)))</f>
        <v>0</v>
      </c>
    </row>
    <row r="202" spans="1:12">
      <c r="A202">
        <f>SUMPRODUCT((MONTH(CHOOSE({1,2,3,4},KHP!U202,KHP!AA202,KHP!AG202,KHP!AM202))=1)*(CHOOSE({1,2,3,4},KHP!X202,KHP!AD202,KHP!AJ202,KHP!AP202)))</f>
        <v>0</v>
      </c>
      <c r="B202">
        <f>SUMPRODUCT((MONTH(CHOOSE({1,2,3,4},KHP!U202,KHP!AA202,KHP!AG202,KHP!AM202))=2)*(CHOOSE({1,2,3,4},KHP!X202,KHP!AD202,KHP!AJ202,KHP!AP202)))</f>
        <v>0</v>
      </c>
      <c r="C202">
        <f>SUMPRODUCT((MONTH(CHOOSE({1,2,3,4},KHP!U202,KHP!AA202,KHP!AG202,KHP!AM202))=3)*(CHOOSE({1,2,3,4},KHP!X202,KHP!AD202,KHP!AJ202,KHP!AP202)))</f>
        <v>0</v>
      </c>
      <c r="D202">
        <f>SUMPRODUCT((MONTH(CHOOSE({1,2,3,4},KHP!U202,KHP!AA202,KHP!AG202,KHP!AM202))=4)*(CHOOSE({1,2,3,4},KHP!X202,KHP!AD202,KHP!AJ202,KHP!AP202)))</f>
        <v>0</v>
      </c>
      <c r="E202">
        <f>SUMPRODUCT((MONTH(CHOOSE({1,2,3,4},KHP!U202,KHP!AA202,KHP!AG202,KHP!AM202))=5)*(CHOOSE({1,2,3,4},KHP!X202,KHP!AD202,KHP!AJ202,KHP!AP202)))</f>
        <v>0</v>
      </c>
      <c r="F202">
        <f>SUMPRODUCT((MONTH(CHOOSE({1,2,3,4},KHP!U202,KHP!AA202,KHP!AG202,KHP!AM202))=6)*(CHOOSE({1,2,3,4},KHP!X202,KHP!AD202,KHP!AJ202,KHP!AP202)))</f>
        <v>0</v>
      </c>
      <c r="G202">
        <f>SUMPRODUCT((MONTH(CHOOSE({1,2,3,4},KHP!U202,KHP!AA202,KHP!AG202,KHP!AM202))=7)*(CHOOSE({1,2,3,4},KHP!X202,KHP!AD202,KHP!AJ202,KHP!AP202)))</f>
        <v>0</v>
      </c>
      <c r="H202">
        <f>SUMPRODUCT((MONTH(CHOOSE({1,2,3,4},KHP!U202,KHP!AA202,KHP!AG202,KHP!AM202))=8)*(CHOOSE({1,2,3,4},KHP!X202,KHP!AD202,KHP!AJ202,KHP!AP202)))</f>
        <v>0</v>
      </c>
      <c r="I202">
        <f>SUMPRODUCT((MONTH(CHOOSE({1,2,3,4},KHP!U202,KHP!AA202,KHP!AG202,KHP!AM202))=9)*(CHOOSE({1,2,3,4},KHP!X202,KHP!AD202,KHP!AJ202,KHP!AP202)))</f>
        <v>0</v>
      </c>
      <c r="J202">
        <f>SUMPRODUCT((MONTH(CHOOSE({1,2,3,4},KHP!U202,KHP!AA202,KHP!AG202,KHP!AM202))=10)*(CHOOSE({1,2,3,4},KHP!X202,KHP!AD202,KHP!AJ202,KHP!AP202)))</f>
        <v>0</v>
      </c>
      <c r="K202">
        <f>SUMPRODUCT((MONTH(CHOOSE({1,2,3,4},KHP!U202,KHP!AA202,KHP!AG202,KHP!AM202))=11)*(CHOOSE({1,2,3,4},KHP!X202,KHP!AD202,KHP!AJ202,KHP!AP202)))</f>
        <v>0</v>
      </c>
      <c r="L202">
        <f>SUMPRODUCT((MONTH(CHOOSE({1,2,3,4},KHP!U202,KHP!AA202,KHP!AG202,KHP!AM202))=12)*(CHOOSE({1,2,3,4},KHP!X202,KHP!AD202,KHP!AJ202,KHP!AP202)))</f>
        <v>0</v>
      </c>
    </row>
    <row r="203" spans="1:12">
      <c r="A203">
        <f>SUMPRODUCT((MONTH(CHOOSE({1,2,3,4},KHP!U203,KHP!AA203,KHP!AG203,KHP!AM203))=1)*(CHOOSE({1,2,3,4},KHP!X203,KHP!AD203,KHP!AJ203,KHP!AP203)))</f>
        <v>0</v>
      </c>
      <c r="B203">
        <f>SUMPRODUCT((MONTH(CHOOSE({1,2,3,4},KHP!U203,KHP!AA203,KHP!AG203,KHP!AM203))=2)*(CHOOSE({1,2,3,4},KHP!X203,KHP!AD203,KHP!AJ203,KHP!AP203)))</f>
        <v>0</v>
      </c>
      <c r="C203">
        <f>SUMPRODUCT((MONTH(CHOOSE({1,2,3,4},KHP!U203,KHP!AA203,KHP!AG203,KHP!AM203))=3)*(CHOOSE({1,2,3,4},KHP!X203,KHP!AD203,KHP!AJ203,KHP!AP203)))</f>
        <v>0</v>
      </c>
      <c r="D203">
        <f>SUMPRODUCT((MONTH(CHOOSE({1,2,3,4},KHP!U203,KHP!AA203,KHP!AG203,KHP!AM203))=4)*(CHOOSE({1,2,3,4},KHP!X203,KHP!AD203,KHP!AJ203,KHP!AP203)))</f>
        <v>0</v>
      </c>
      <c r="E203">
        <f>SUMPRODUCT((MONTH(CHOOSE({1,2,3,4},KHP!U203,KHP!AA203,KHP!AG203,KHP!AM203))=5)*(CHOOSE({1,2,3,4},KHP!X203,KHP!AD203,KHP!AJ203,KHP!AP203)))</f>
        <v>0</v>
      </c>
      <c r="F203">
        <f>SUMPRODUCT((MONTH(CHOOSE({1,2,3,4},KHP!U203,KHP!AA203,KHP!AG203,KHP!AM203))=6)*(CHOOSE({1,2,3,4},KHP!X203,KHP!AD203,KHP!AJ203,KHP!AP203)))</f>
        <v>0</v>
      </c>
      <c r="G203">
        <f>SUMPRODUCT((MONTH(CHOOSE({1,2,3,4},KHP!U203,KHP!AA203,KHP!AG203,KHP!AM203))=7)*(CHOOSE({1,2,3,4},KHP!X203,KHP!AD203,KHP!AJ203,KHP!AP203)))</f>
        <v>0</v>
      </c>
      <c r="H203">
        <f>SUMPRODUCT((MONTH(CHOOSE({1,2,3,4},KHP!U203,KHP!AA203,KHP!AG203,KHP!AM203))=8)*(CHOOSE({1,2,3,4},KHP!X203,KHP!AD203,KHP!AJ203,KHP!AP203)))</f>
        <v>0</v>
      </c>
      <c r="I203">
        <f>SUMPRODUCT((MONTH(CHOOSE({1,2,3,4},KHP!U203,KHP!AA203,KHP!AG203,KHP!AM203))=9)*(CHOOSE({1,2,3,4},KHP!X203,KHP!AD203,KHP!AJ203,KHP!AP203)))</f>
        <v>0</v>
      </c>
      <c r="J203">
        <f>SUMPRODUCT((MONTH(CHOOSE({1,2,3,4},KHP!U203,KHP!AA203,KHP!AG203,KHP!AM203))=10)*(CHOOSE({1,2,3,4},KHP!X203,KHP!AD203,KHP!AJ203,KHP!AP203)))</f>
        <v>0</v>
      </c>
      <c r="K203">
        <f>SUMPRODUCT((MONTH(CHOOSE({1,2,3,4},KHP!U203,KHP!AA203,KHP!AG203,KHP!AM203))=11)*(CHOOSE({1,2,3,4},KHP!X203,KHP!AD203,KHP!AJ203,KHP!AP203)))</f>
        <v>0</v>
      </c>
      <c r="L203">
        <f>SUMPRODUCT((MONTH(CHOOSE({1,2,3,4},KHP!U203,KHP!AA203,KHP!AG203,KHP!AM203))=12)*(CHOOSE({1,2,3,4},KHP!X203,KHP!AD203,KHP!AJ203,KHP!AP203)))</f>
        <v>0</v>
      </c>
    </row>
    <row r="204" spans="1:12">
      <c r="A204">
        <f>SUMPRODUCT((MONTH(CHOOSE({1,2,3,4},KHP!U204,KHP!AA204,KHP!AG204,KHP!AM204))=1)*(CHOOSE({1,2,3,4},KHP!X204,KHP!AD204,KHP!AJ204,KHP!AP204)))</f>
        <v>0</v>
      </c>
      <c r="B204">
        <f>SUMPRODUCT((MONTH(CHOOSE({1,2,3,4},KHP!U204,KHP!AA204,KHP!AG204,KHP!AM204))=2)*(CHOOSE({1,2,3,4},KHP!X204,KHP!AD204,KHP!AJ204,KHP!AP204)))</f>
        <v>0</v>
      </c>
      <c r="C204">
        <f>SUMPRODUCT((MONTH(CHOOSE({1,2,3,4},KHP!U204,KHP!AA204,KHP!AG204,KHP!AM204))=3)*(CHOOSE({1,2,3,4},KHP!X204,KHP!AD204,KHP!AJ204,KHP!AP204)))</f>
        <v>0</v>
      </c>
      <c r="D204">
        <f>SUMPRODUCT((MONTH(CHOOSE({1,2,3,4},KHP!U204,KHP!AA204,KHP!AG204,KHP!AM204))=4)*(CHOOSE({1,2,3,4},KHP!X204,KHP!AD204,KHP!AJ204,KHP!AP204)))</f>
        <v>0</v>
      </c>
      <c r="E204">
        <f>SUMPRODUCT((MONTH(CHOOSE({1,2,3,4},KHP!U204,KHP!AA204,KHP!AG204,KHP!AM204))=5)*(CHOOSE({1,2,3,4},KHP!X204,KHP!AD204,KHP!AJ204,KHP!AP204)))</f>
        <v>0</v>
      </c>
      <c r="F204">
        <f>SUMPRODUCT((MONTH(CHOOSE({1,2,3,4},KHP!U204,KHP!AA204,KHP!AG204,KHP!AM204))=6)*(CHOOSE({1,2,3,4},KHP!X204,KHP!AD204,KHP!AJ204,KHP!AP204)))</f>
        <v>0</v>
      </c>
      <c r="G204">
        <f>SUMPRODUCT((MONTH(CHOOSE({1,2,3,4},KHP!U204,KHP!AA204,KHP!AG204,KHP!AM204))=7)*(CHOOSE({1,2,3,4},KHP!X204,KHP!AD204,KHP!AJ204,KHP!AP204)))</f>
        <v>0</v>
      </c>
      <c r="H204">
        <f>SUMPRODUCT((MONTH(CHOOSE({1,2,3,4},KHP!U204,KHP!AA204,KHP!AG204,KHP!AM204))=8)*(CHOOSE({1,2,3,4},KHP!X204,KHP!AD204,KHP!AJ204,KHP!AP204)))</f>
        <v>0</v>
      </c>
      <c r="I204">
        <f>SUMPRODUCT((MONTH(CHOOSE({1,2,3,4},KHP!U204,KHP!AA204,KHP!AG204,KHP!AM204))=9)*(CHOOSE({1,2,3,4},KHP!X204,KHP!AD204,KHP!AJ204,KHP!AP204)))</f>
        <v>0</v>
      </c>
      <c r="J204">
        <f>SUMPRODUCT((MONTH(CHOOSE({1,2,3,4},KHP!U204,KHP!AA204,KHP!AG204,KHP!AM204))=10)*(CHOOSE({1,2,3,4},KHP!X204,KHP!AD204,KHP!AJ204,KHP!AP204)))</f>
        <v>0</v>
      </c>
      <c r="K204">
        <f>SUMPRODUCT((MONTH(CHOOSE({1,2,3,4},KHP!U204,KHP!AA204,KHP!AG204,KHP!AM204))=11)*(CHOOSE({1,2,3,4},KHP!X204,KHP!AD204,KHP!AJ204,KHP!AP204)))</f>
        <v>0</v>
      </c>
      <c r="L204">
        <f>SUMPRODUCT((MONTH(CHOOSE({1,2,3,4},KHP!U204,KHP!AA204,KHP!AG204,KHP!AM204))=12)*(CHOOSE({1,2,3,4},KHP!X204,KHP!AD204,KHP!AJ204,KHP!AP204)))</f>
        <v>0</v>
      </c>
    </row>
    <row r="205" spans="1:12">
      <c r="A205">
        <f>SUMPRODUCT((MONTH(CHOOSE({1,2,3,4},KHP!U205,KHP!AA205,KHP!AG205,KHP!AM205))=1)*(CHOOSE({1,2,3,4},KHP!X205,KHP!AD205,KHP!AJ205,KHP!AP205)))</f>
        <v>0</v>
      </c>
      <c r="B205">
        <f>SUMPRODUCT((MONTH(CHOOSE({1,2,3,4},KHP!U205,KHP!AA205,KHP!AG205,KHP!AM205))=2)*(CHOOSE({1,2,3,4},KHP!X205,KHP!AD205,KHP!AJ205,KHP!AP205)))</f>
        <v>0</v>
      </c>
      <c r="C205">
        <f>SUMPRODUCT((MONTH(CHOOSE({1,2,3,4},KHP!U205,KHP!AA205,KHP!AG205,KHP!AM205))=3)*(CHOOSE({1,2,3,4},KHP!X205,KHP!AD205,KHP!AJ205,KHP!AP205)))</f>
        <v>0</v>
      </c>
      <c r="D205">
        <f>SUMPRODUCT((MONTH(CHOOSE({1,2,3,4},KHP!U205,KHP!AA205,KHP!AG205,KHP!AM205))=4)*(CHOOSE({1,2,3,4},KHP!X205,KHP!AD205,KHP!AJ205,KHP!AP205)))</f>
        <v>0</v>
      </c>
      <c r="E205">
        <f>SUMPRODUCT((MONTH(CHOOSE({1,2,3,4},KHP!U205,KHP!AA205,KHP!AG205,KHP!AM205))=5)*(CHOOSE({1,2,3,4},KHP!X205,KHP!AD205,KHP!AJ205,KHP!AP205)))</f>
        <v>0</v>
      </c>
      <c r="F205">
        <f>SUMPRODUCT((MONTH(CHOOSE({1,2,3,4},KHP!U205,KHP!AA205,KHP!AG205,KHP!AM205))=6)*(CHOOSE({1,2,3,4},KHP!X205,KHP!AD205,KHP!AJ205,KHP!AP205)))</f>
        <v>0</v>
      </c>
      <c r="G205">
        <f>SUMPRODUCT((MONTH(CHOOSE({1,2,3,4},KHP!U205,KHP!AA205,KHP!AG205,KHP!AM205))=7)*(CHOOSE({1,2,3,4},KHP!X205,KHP!AD205,KHP!AJ205,KHP!AP205)))</f>
        <v>0</v>
      </c>
      <c r="H205">
        <f>SUMPRODUCT((MONTH(CHOOSE({1,2,3,4},KHP!U205,KHP!AA205,KHP!AG205,KHP!AM205))=8)*(CHOOSE({1,2,3,4},KHP!X205,KHP!AD205,KHP!AJ205,KHP!AP205)))</f>
        <v>0</v>
      </c>
      <c r="I205">
        <f>SUMPRODUCT((MONTH(CHOOSE({1,2,3,4},KHP!U205,KHP!AA205,KHP!AG205,KHP!AM205))=9)*(CHOOSE({1,2,3,4},KHP!X205,KHP!AD205,KHP!AJ205,KHP!AP205)))</f>
        <v>0</v>
      </c>
      <c r="J205">
        <f>SUMPRODUCT((MONTH(CHOOSE({1,2,3,4},KHP!U205,KHP!AA205,KHP!AG205,KHP!AM205))=10)*(CHOOSE({1,2,3,4},KHP!X205,KHP!AD205,KHP!AJ205,KHP!AP205)))</f>
        <v>0</v>
      </c>
      <c r="K205">
        <f>SUMPRODUCT((MONTH(CHOOSE({1,2,3,4},KHP!U205,KHP!AA205,KHP!AG205,KHP!AM205))=11)*(CHOOSE({1,2,3,4},KHP!X205,KHP!AD205,KHP!AJ205,KHP!AP205)))</f>
        <v>0</v>
      </c>
      <c r="L205">
        <f>SUMPRODUCT((MONTH(CHOOSE({1,2,3,4},KHP!U205,KHP!AA205,KHP!AG205,KHP!AM205))=12)*(CHOOSE({1,2,3,4},KHP!X205,KHP!AD205,KHP!AJ205,KHP!AP205)))</f>
        <v>0</v>
      </c>
    </row>
    <row r="206" spans="1:12">
      <c r="A206">
        <f>SUMPRODUCT((MONTH(CHOOSE({1,2,3,4},KHP!U206,KHP!AA206,KHP!AG206,KHP!AM206))=1)*(CHOOSE({1,2,3,4},KHP!X206,KHP!AD206,KHP!AJ206,KHP!AP206)))</f>
        <v>0</v>
      </c>
      <c r="B206">
        <f>SUMPRODUCT((MONTH(CHOOSE({1,2,3,4},KHP!U206,KHP!AA206,KHP!AG206,KHP!AM206))=2)*(CHOOSE({1,2,3,4},KHP!X206,KHP!AD206,KHP!AJ206,KHP!AP206)))</f>
        <v>0</v>
      </c>
      <c r="C206">
        <f>SUMPRODUCT((MONTH(CHOOSE({1,2,3,4},KHP!U206,KHP!AA206,KHP!AG206,KHP!AM206))=3)*(CHOOSE({1,2,3,4},KHP!X206,KHP!AD206,KHP!AJ206,KHP!AP206)))</f>
        <v>0</v>
      </c>
      <c r="D206">
        <f>SUMPRODUCT((MONTH(CHOOSE({1,2,3,4},KHP!U206,KHP!AA206,KHP!AG206,KHP!AM206))=4)*(CHOOSE({1,2,3,4},KHP!X206,KHP!AD206,KHP!AJ206,KHP!AP206)))</f>
        <v>0</v>
      </c>
      <c r="E206">
        <f>SUMPRODUCT((MONTH(CHOOSE({1,2,3,4},KHP!U206,KHP!AA206,KHP!AG206,KHP!AM206))=5)*(CHOOSE({1,2,3,4},KHP!X206,KHP!AD206,KHP!AJ206,KHP!AP206)))</f>
        <v>0</v>
      </c>
      <c r="F206">
        <f>SUMPRODUCT((MONTH(CHOOSE({1,2,3,4},KHP!U206,KHP!AA206,KHP!AG206,KHP!AM206))=6)*(CHOOSE({1,2,3,4},KHP!X206,KHP!AD206,KHP!AJ206,KHP!AP206)))</f>
        <v>0</v>
      </c>
      <c r="G206">
        <f>SUMPRODUCT((MONTH(CHOOSE({1,2,3,4},KHP!U206,KHP!AA206,KHP!AG206,KHP!AM206))=7)*(CHOOSE({1,2,3,4},KHP!X206,KHP!AD206,KHP!AJ206,KHP!AP206)))</f>
        <v>0</v>
      </c>
      <c r="H206">
        <f>SUMPRODUCT((MONTH(CHOOSE({1,2,3,4},KHP!U206,KHP!AA206,KHP!AG206,KHP!AM206))=8)*(CHOOSE({1,2,3,4},KHP!X206,KHP!AD206,KHP!AJ206,KHP!AP206)))</f>
        <v>0</v>
      </c>
      <c r="I206">
        <f>SUMPRODUCT((MONTH(CHOOSE({1,2,3,4},KHP!U206,KHP!AA206,KHP!AG206,KHP!AM206))=9)*(CHOOSE({1,2,3,4},KHP!X206,KHP!AD206,KHP!AJ206,KHP!AP206)))</f>
        <v>0</v>
      </c>
      <c r="J206">
        <f>SUMPRODUCT((MONTH(CHOOSE({1,2,3,4},KHP!U206,KHP!AA206,KHP!AG206,KHP!AM206))=10)*(CHOOSE({1,2,3,4},KHP!X206,KHP!AD206,KHP!AJ206,KHP!AP206)))</f>
        <v>0</v>
      </c>
      <c r="K206">
        <f>SUMPRODUCT((MONTH(CHOOSE({1,2,3,4},KHP!U206,KHP!AA206,KHP!AG206,KHP!AM206))=11)*(CHOOSE({1,2,3,4},KHP!X206,KHP!AD206,KHP!AJ206,KHP!AP206)))</f>
        <v>0</v>
      </c>
      <c r="L206">
        <f>SUMPRODUCT((MONTH(CHOOSE({1,2,3,4},KHP!U206,KHP!AA206,KHP!AG206,KHP!AM206))=12)*(CHOOSE({1,2,3,4},KHP!X206,KHP!AD206,KHP!AJ206,KHP!AP206)))</f>
        <v>0</v>
      </c>
    </row>
    <row r="207" spans="1:12">
      <c r="A207">
        <f>SUMPRODUCT((MONTH(CHOOSE({1,2,3,4},KHP!U207,KHP!AA207,KHP!AG207,KHP!AM207))=1)*(CHOOSE({1,2,3,4},KHP!X207,KHP!AD207,KHP!AJ207,KHP!AP207)))</f>
        <v>0</v>
      </c>
      <c r="B207">
        <f>SUMPRODUCT((MONTH(CHOOSE({1,2,3,4},KHP!U207,KHP!AA207,KHP!AG207,KHP!AM207))=2)*(CHOOSE({1,2,3,4},KHP!X207,KHP!AD207,KHP!AJ207,KHP!AP207)))</f>
        <v>0</v>
      </c>
      <c r="C207">
        <f>SUMPRODUCT((MONTH(CHOOSE({1,2,3,4},KHP!U207,KHP!AA207,KHP!AG207,KHP!AM207))=3)*(CHOOSE({1,2,3,4},KHP!X207,KHP!AD207,KHP!AJ207,KHP!AP207)))</f>
        <v>0</v>
      </c>
      <c r="D207">
        <f>SUMPRODUCT((MONTH(CHOOSE({1,2,3,4},KHP!U207,KHP!AA207,KHP!AG207,KHP!AM207))=4)*(CHOOSE({1,2,3,4},KHP!X207,KHP!AD207,KHP!AJ207,KHP!AP207)))</f>
        <v>0</v>
      </c>
      <c r="E207">
        <f>SUMPRODUCT((MONTH(CHOOSE({1,2,3,4},KHP!U207,KHP!AA207,KHP!AG207,KHP!AM207))=5)*(CHOOSE({1,2,3,4},KHP!X207,KHP!AD207,KHP!AJ207,KHP!AP207)))</f>
        <v>0</v>
      </c>
      <c r="F207">
        <f>SUMPRODUCT((MONTH(CHOOSE({1,2,3,4},KHP!U207,KHP!AA207,KHP!AG207,KHP!AM207))=6)*(CHOOSE({1,2,3,4},KHP!X207,KHP!AD207,KHP!AJ207,KHP!AP207)))</f>
        <v>0</v>
      </c>
      <c r="G207">
        <f>SUMPRODUCT((MONTH(CHOOSE({1,2,3,4},KHP!U207,KHP!AA207,KHP!AG207,KHP!AM207))=7)*(CHOOSE({1,2,3,4},KHP!X207,KHP!AD207,KHP!AJ207,KHP!AP207)))</f>
        <v>0</v>
      </c>
      <c r="H207">
        <f>SUMPRODUCT((MONTH(CHOOSE({1,2,3,4},KHP!U207,KHP!AA207,KHP!AG207,KHP!AM207))=8)*(CHOOSE({1,2,3,4},KHP!X207,KHP!AD207,KHP!AJ207,KHP!AP207)))</f>
        <v>0</v>
      </c>
      <c r="I207">
        <f>SUMPRODUCT((MONTH(CHOOSE({1,2,3,4},KHP!U207,KHP!AA207,KHP!AG207,KHP!AM207))=9)*(CHOOSE({1,2,3,4},KHP!X207,KHP!AD207,KHP!AJ207,KHP!AP207)))</f>
        <v>0</v>
      </c>
      <c r="J207">
        <f>SUMPRODUCT((MONTH(CHOOSE({1,2,3,4},KHP!U207,KHP!AA207,KHP!AG207,KHP!AM207))=10)*(CHOOSE({1,2,3,4},KHP!X207,KHP!AD207,KHP!AJ207,KHP!AP207)))</f>
        <v>0</v>
      </c>
      <c r="K207">
        <f>SUMPRODUCT((MONTH(CHOOSE({1,2,3,4},KHP!U207,KHP!AA207,KHP!AG207,KHP!AM207))=11)*(CHOOSE({1,2,3,4},KHP!X207,KHP!AD207,KHP!AJ207,KHP!AP207)))</f>
        <v>0</v>
      </c>
      <c r="L207">
        <f>SUMPRODUCT((MONTH(CHOOSE({1,2,3,4},KHP!U207,KHP!AA207,KHP!AG207,KHP!AM207))=12)*(CHOOSE({1,2,3,4},KHP!X207,KHP!AD207,KHP!AJ207,KHP!AP207)))</f>
        <v>0</v>
      </c>
    </row>
    <row r="208" spans="1:12">
      <c r="A208">
        <f>SUMPRODUCT((MONTH(CHOOSE({1,2,3,4},KHP!U208,KHP!AA208,KHP!AG208,KHP!AM208))=1)*(CHOOSE({1,2,3,4},KHP!X208,KHP!AD208,KHP!AJ208,KHP!AP208)))</f>
        <v>0</v>
      </c>
      <c r="B208">
        <f>SUMPRODUCT((MONTH(CHOOSE({1,2,3,4},KHP!U208,KHP!AA208,KHP!AG208,KHP!AM208))=2)*(CHOOSE({1,2,3,4},KHP!X208,KHP!AD208,KHP!AJ208,KHP!AP208)))</f>
        <v>0</v>
      </c>
      <c r="C208">
        <f>SUMPRODUCT((MONTH(CHOOSE({1,2,3,4},KHP!U208,KHP!AA208,KHP!AG208,KHP!AM208))=3)*(CHOOSE({1,2,3,4},KHP!X208,KHP!AD208,KHP!AJ208,KHP!AP208)))</f>
        <v>0</v>
      </c>
      <c r="D208">
        <f>SUMPRODUCT((MONTH(CHOOSE({1,2,3,4},KHP!U208,KHP!AA208,KHP!AG208,KHP!AM208))=4)*(CHOOSE({1,2,3,4},KHP!X208,KHP!AD208,KHP!AJ208,KHP!AP208)))</f>
        <v>0</v>
      </c>
      <c r="E208">
        <f>SUMPRODUCT((MONTH(CHOOSE({1,2,3,4},KHP!U208,KHP!AA208,KHP!AG208,KHP!AM208))=5)*(CHOOSE({1,2,3,4},KHP!X208,KHP!AD208,KHP!AJ208,KHP!AP208)))</f>
        <v>0</v>
      </c>
      <c r="F208">
        <f>SUMPRODUCT((MONTH(CHOOSE({1,2,3,4},KHP!U208,KHP!AA208,KHP!AG208,KHP!AM208))=6)*(CHOOSE({1,2,3,4},KHP!X208,KHP!AD208,KHP!AJ208,KHP!AP208)))</f>
        <v>0</v>
      </c>
      <c r="G208">
        <f>SUMPRODUCT((MONTH(CHOOSE({1,2,3,4},KHP!U208,KHP!AA208,KHP!AG208,KHP!AM208))=7)*(CHOOSE({1,2,3,4},KHP!X208,KHP!AD208,KHP!AJ208,KHP!AP208)))</f>
        <v>0</v>
      </c>
      <c r="H208">
        <f>SUMPRODUCT((MONTH(CHOOSE({1,2,3,4},KHP!U208,KHP!AA208,KHP!AG208,KHP!AM208))=8)*(CHOOSE({1,2,3,4},KHP!X208,KHP!AD208,KHP!AJ208,KHP!AP208)))</f>
        <v>0</v>
      </c>
      <c r="I208">
        <f>SUMPRODUCT((MONTH(CHOOSE({1,2,3,4},KHP!U208,KHP!AA208,KHP!AG208,KHP!AM208))=9)*(CHOOSE({1,2,3,4},KHP!X208,KHP!AD208,KHP!AJ208,KHP!AP208)))</f>
        <v>0</v>
      </c>
      <c r="J208">
        <f>SUMPRODUCT((MONTH(CHOOSE({1,2,3,4},KHP!U208,KHP!AA208,KHP!AG208,KHP!AM208))=10)*(CHOOSE({1,2,3,4},KHP!X208,KHP!AD208,KHP!AJ208,KHP!AP208)))</f>
        <v>0</v>
      </c>
      <c r="K208">
        <f>SUMPRODUCT((MONTH(CHOOSE({1,2,3,4},KHP!U208,KHP!AA208,KHP!AG208,KHP!AM208))=11)*(CHOOSE({1,2,3,4},KHP!X208,KHP!AD208,KHP!AJ208,KHP!AP208)))</f>
        <v>0</v>
      </c>
      <c r="L208">
        <f>SUMPRODUCT((MONTH(CHOOSE({1,2,3,4},KHP!U208,KHP!AA208,KHP!AG208,KHP!AM208))=12)*(CHOOSE({1,2,3,4},KHP!X208,KHP!AD208,KHP!AJ208,KHP!AP208)))</f>
        <v>0</v>
      </c>
    </row>
    <row r="209" spans="1:12">
      <c r="A209">
        <f>SUMPRODUCT((MONTH(CHOOSE({1,2,3,4},KHP!U209,KHP!AA209,KHP!AG209,KHP!AM209))=1)*(CHOOSE({1,2,3,4},KHP!X209,KHP!AD209,KHP!AJ209,KHP!AP209)))</f>
        <v>0</v>
      </c>
      <c r="B209">
        <f>SUMPRODUCT((MONTH(CHOOSE({1,2,3,4},KHP!U209,KHP!AA209,KHP!AG209,KHP!AM209))=2)*(CHOOSE({1,2,3,4},KHP!X209,KHP!AD209,KHP!AJ209,KHP!AP209)))</f>
        <v>0</v>
      </c>
      <c r="C209">
        <f>SUMPRODUCT((MONTH(CHOOSE({1,2,3,4},KHP!U209,KHP!AA209,KHP!AG209,KHP!AM209))=3)*(CHOOSE({1,2,3,4},KHP!X209,KHP!AD209,KHP!AJ209,KHP!AP209)))</f>
        <v>0</v>
      </c>
      <c r="D209">
        <f>SUMPRODUCT((MONTH(CHOOSE({1,2,3,4},KHP!U209,KHP!AA209,KHP!AG209,KHP!AM209))=4)*(CHOOSE({1,2,3,4},KHP!X209,KHP!AD209,KHP!AJ209,KHP!AP209)))</f>
        <v>0</v>
      </c>
      <c r="E209">
        <f>SUMPRODUCT((MONTH(CHOOSE({1,2,3,4},KHP!U209,KHP!AA209,KHP!AG209,KHP!AM209))=5)*(CHOOSE({1,2,3,4},KHP!X209,KHP!AD209,KHP!AJ209,KHP!AP209)))</f>
        <v>0</v>
      </c>
      <c r="F209">
        <f>SUMPRODUCT((MONTH(CHOOSE({1,2,3,4},KHP!U209,KHP!AA209,KHP!AG209,KHP!AM209))=6)*(CHOOSE({1,2,3,4},KHP!X209,KHP!AD209,KHP!AJ209,KHP!AP209)))</f>
        <v>0</v>
      </c>
      <c r="G209">
        <f>SUMPRODUCT((MONTH(CHOOSE({1,2,3,4},KHP!U209,KHP!AA209,KHP!AG209,KHP!AM209))=7)*(CHOOSE({1,2,3,4},KHP!X209,KHP!AD209,KHP!AJ209,KHP!AP209)))</f>
        <v>0</v>
      </c>
      <c r="H209">
        <f>SUMPRODUCT((MONTH(CHOOSE({1,2,3,4},KHP!U209,KHP!AA209,KHP!AG209,KHP!AM209))=8)*(CHOOSE({1,2,3,4},KHP!X209,KHP!AD209,KHP!AJ209,KHP!AP209)))</f>
        <v>0</v>
      </c>
      <c r="I209">
        <f>SUMPRODUCT((MONTH(CHOOSE({1,2,3,4},KHP!U209,KHP!AA209,KHP!AG209,KHP!AM209))=9)*(CHOOSE({1,2,3,4},KHP!X209,KHP!AD209,KHP!AJ209,KHP!AP209)))</f>
        <v>0</v>
      </c>
      <c r="J209">
        <f>SUMPRODUCT((MONTH(CHOOSE({1,2,3,4},KHP!U209,KHP!AA209,KHP!AG209,KHP!AM209))=10)*(CHOOSE({1,2,3,4},KHP!X209,KHP!AD209,KHP!AJ209,KHP!AP209)))</f>
        <v>0</v>
      </c>
      <c r="K209">
        <f>SUMPRODUCT((MONTH(CHOOSE({1,2,3,4},KHP!U209,KHP!AA209,KHP!AG209,KHP!AM209))=11)*(CHOOSE({1,2,3,4},KHP!X209,KHP!AD209,KHP!AJ209,KHP!AP209)))</f>
        <v>0</v>
      </c>
      <c r="L209">
        <f>SUMPRODUCT((MONTH(CHOOSE({1,2,3,4},KHP!U209,KHP!AA209,KHP!AG209,KHP!AM209))=12)*(CHOOSE({1,2,3,4},KHP!X209,KHP!AD209,KHP!AJ209,KHP!AP209)))</f>
        <v>0</v>
      </c>
    </row>
    <row r="210" spans="1:12">
      <c r="A210">
        <f>SUMPRODUCT((MONTH(CHOOSE({1,2,3,4},KHP!U210,KHP!AA210,KHP!AG210,KHP!AM210))=1)*(CHOOSE({1,2,3,4},KHP!X210,KHP!AD210,KHP!AJ210,KHP!AP210)))</f>
        <v>0</v>
      </c>
      <c r="B210">
        <f>SUMPRODUCT((MONTH(CHOOSE({1,2,3,4},KHP!U210,KHP!AA210,KHP!AG210,KHP!AM210))=2)*(CHOOSE({1,2,3,4},KHP!X210,KHP!AD210,KHP!AJ210,KHP!AP210)))</f>
        <v>0</v>
      </c>
      <c r="C210">
        <f>SUMPRODUCT((MONTH(CHOOSE({1,2,3,4},KHP!U210,KHP!AA210,KHP!AG210,KHP!AM210))=3)*(CHOOSE({1,2,3,4},KHP!X210,KHP!AD210,KHP!AJ210,KHP!AP210)))</f>
        <v>0</v>
      </c>
      <c r="D210">
        <f>SUMPRODUCT((MONTH(CHOOSE({1,2,3,4},KHP!U210,KHP!AA210,KHP!AG210,KHP!AM210))=4)*(CHOOSE({1,2,3,4},KHP!X210,KHP!AD210,KHP!AJ210,KHP!AP210)))</f>
        <v>0</v>
      </c>
      <c r="E210">
        <f>SUMPRODUCT((MONTH(CHOOSE({1,2,3,4},KHP!U210,KHP!AA210,KHP!AG210,KHP!AM210))=5)*(CHOOSE({1,2,3,4},KHP!X210,KHP!AD210,KHP!AJ210,KHP!AP210)))</f>
        <v>0</v>
      </c>
      <c r="F210">
        <f>SUMPRODUCT((MONTH(CHOOSE({1,2,3,4},KHP!U210,KHP!AA210,KHP!AG210,KHP!AM210))=6)*(CHOOSE({1,2,3,4},KHP!X210,KHP!AD210,KHP!AJ210,KHP!AP210)))</f>
        <v>0</v>
      </c>
      <c r="G210">
        <f>SUMPRODUCT((MONTH(CHOOSE({1,2,3,4},KHP!U210,KHP!AA210,KHP!AG210,KHP!AM210))=7)*(CHOOSE({1,2,3,4},KHP!X210,KHP!AD210,KHP!AJ210,KHP!AP210)))</f>
        <v>0</v>
      </c>
      <c r="H210">
        <f>SUMPRODUCT((MONTH(CHOOSE({1,2,3,4},KHP!U210,KHP!AA210,KHP!AG210,KHP!AM210))=8)*(CHOOSE({1,2,3,4},KHP!X210,KHP!AD210,KHP!AJ210,KHP!AP210)))</f>
        <v>0</v>
      </c>
      <c r="I210">
        <f>SUMPRODUCT((MONTH(CHOOSE({1,2,3,4},KHP!U210,KHP!AA210,KHP!AG210,KHP!AM210))=9)*(CHOOSE({1,2,3,4},KHP!X210,KHP!AD210,KHP!AJ210,KHP!AP210)))</f>
        <v>0</v>
      </c>
      <c r="J210">
        <f>SUMPRODUCT((MONTH(CHOOSE({1,2,3,4},KHP!U210,KHP!AA210,KHP!AG210,KHP!AM210))=10)*(CHOOSE({1,2,3,4},KHP!X210,KHP!AD210,KHP!AJ210,KHP!AP210)))</f>
        <v>0</v>
      </c>
      <c r="K210">
        <f>SUMPRODUCT((MONTH(CHOOSE({1,2,3,4},KHP!U210,KHP!AA210,KHP!AG210,KHP!AM210))=11)*(CHOOSE({1,2,3,4},KHP!X210,KHP!AD210,KHP!AJ210,KHP!AP210)))</f>
        <v>0</v>
      </c>
      <c r="L210">
        <f>SUMPRODUCT((MONTH(CHOOSE({1,2,3,4},KHP!U210,KHP!AA210,KHP!AG210,KHP!AM210))=12)*(CHOOSE({1,2,3,4},KHP!X210,KHP!AD210,KHP!AJ210,KHP!AP210)))</f>
        <v>0</v>
      </c>
    </row>
    <row r="211" spans="1:12">
      <c r="A211">
        <f>SUMPRODUCT((MONTH(CHOOSE({1,2,3,4},KHP!U211,KHP!AA211,KHP!AG211,KHP!AM211))=1)*(CHOOSE({1,2,3,4},KHP!X211,KHP!AD211,KHP!AJ211,KHP!AP211)))</f>
        <v>0</v>
      </c>
      <c r="B211">
        <f>SUMPRODUCT((MONTH(CHOOSE({1,2,3,4},KHP!U211,KHP!AA211,KHP!AG211,KHP!AM211))=2)*(CHOOSE({1,2,3,4},KHP!X211,KHP!AD211,KHP!AJ211,KHP!AP211)))</f>
        <v>0</v>
      </c>
      <c r="C211">
        <f>SUMPRODUCT((MONTH(CHOOSE({1,2,3,4},KHP!U211,KHP!AA211,KHP!AG211,KHP!AM211))=3)*(CHOOSE({1,2,3,4},KHP!X211,KHP!AD211,KHP!AJ211,KHP!AP211)))</f>
        <v>0</v>
      </c>
      <c r="D211">
        <f>SUMPRODUCT((MONTH(CHOOSE({1,2,3,4},KHP!U211,KHP!AA211,KHP!AG211,KHP!AM211))=4)*(CHOOSE({1,2,3,4},KHP!X211,KHP!AD211,KHP!AJ211,KHP!AP211)))</f>
        <v>0</v>
      </c>
      <c r="E211">
        <f>SUMPRODUCT((MONTH(CHOOSE({1,2,3,4},KHP!U211,KHP!AA211,KHP!AG211,KHP!AM211))=5)*(CHOOSE({1,2,3,4},KHP!X211,KHP!AD211,KHP!AJ211,KHP!AP211)))</f>
        <v>0</v>
      </c>
      <c r="F211">
        <f>SUMPRODUCT((MONTH(CHOOSE({1,2,3,4},KHP!U211,KHP!AA211,KHP!AG211,KHP!AM211))=6)*(CHOOSE({1,2,3,4},KHP!X211,KHP!AD211,KHP!AJ211,KHP!AP211)))</f>
        <v>0</v>
      </c>
      <c r="G211">
        <f>SUMPRODUCT((MONTH(CHOOSE({1,2,3,4},KHP!U211,KHP!AA211,KHP!AG211,KHP!AM211))=7)*(CHOOSE({1,2,3,4},KHP!X211,KHP!AD211,KHP!AJ211,KHP!AP211)))</f>
        <v>0</v>
      </c>
      <c r="H211">
        <f>SUMPRODUCT((MONTH(CHOOSE({1,2,3,4},KHP!U211,KHP!AA211,KHP!AG211,KHP!AM211))=8)*(CHOOSE({1,2,3,4},KHP!X211,KHP!AD211,KHP!AJ211,KHP!AP211)))</f>
        <v>0</v>
      </c>
      <c r="I211">
        <f>SUMPRODUCT((MONTH(CHOOSE({1,2,3,4},KHP!U211,KHP!AA211,KHP!AG211,KHP!AM211))=9)*(CHOOSE({1,2,3,4},KHP!X211,KHP!AD211,KHP!AJ211,KHP!AP211)))</f>
        <v>0</v>
      </c>
      <c r="J211">
        <f>SUMPRODUCT((MONTH(CHOOSE({1,2,3,4},KHP!U211,KHP!AA211,KHP!AG211,KHP!AM211))=10)*(CHOOSE({1,2,3,4},KHP!X211,KHP!AD211,KHP!AJ211,KHP!AP211)))</f>
        <v>0</v>
      </c>
      <c r="K211">
        <f>SUMPRODUCT((MONTH(CHOOSE({1,2,3,4},KHP!U211,KHP!AA211,KHP!AG211,KHP!AM211))=11)*(CHOOSE({1,2,3,4},KHP!X211,KHP!AD211,KHP!AJ211,KHP!AP211)))</f>
        <v>0</v>
      </c>
      <c r="L211">
        <f>SUMPRODUCT((MONTH(CHOOSE({1,2,3,4},KHP!U211,KHP!AA211,KHP!AG211,KHP!AM211))=12)*(CHOOSE({1,2,3,4},KHP!X211,KHP!AD211,KHP!AJ211,KHP!AP211)))</f>
        <v>0</v>
      </c>
    </row>
    <row r="212" spans="1:12">
      <c r="A212">
        <f>SUMPRODUCT((MONTH(CHOOSE({1,2,3,4},KHP!U212,KHP!AA212,KHP!AG212,KHP!AM212))=1)*(CHOOSE({1,2,3,4},KHP!X212,KHP!AD212,KHP!AJ212,KHP!AP212)))</f>
        <v>0</v>
      </c>
      <c r="B212">
        <f>SUMPRODUCT((MONTH(CHOOSE({1,2,3,4},KHP!U212,KHP!AA212,KHP!AG212,KHP!AM212))=2)*(CHOOSE({1,2,3,4},KHP!X212,KHP!AD212,KHP!AJ212,KHP!AP212)))</f>
        <v>0</v>
      </c>
      <c r="C212">
        <f>SUMPRODUCT((MONTH(CHOOSE({1,2,3,4},KHP!U212,KHP!AA212,KHP!AG212,KHP!AM212))=3)*(CHOOSE({1,2,3,4},KHP!X212,KHP!AD212,KHP!AJ212,KHP!AP212)))</f>
        <v>0</v>
      </c>
      <c r="D212">
        <f>SUMPRODUCT((MONTH(CHOOSE({1,2,3,4},KHP!U212,KHP!AA212,KHP!AG212,KHP!AM212))=4)*(CHOOSE({1,2,3,4},KHP!X212,KHP!AD212,KHP!AJ212,KHP!AP212)))</f>
        <v>0</v>
      </c>
      <c r="E212">
        <f>SUMPRODUCT((MONTH(CHOOSE({1,2,3,4},KHP!U212,KHP!AA212,KHP!AG212,KHP!AM212))=5)*(CHOOSE({1,2,3,4},KHP!X212,KHP!AD212,KHP!AJ212,KHP!AP212)))</f>
        <v>0</v>
      </c>
      <c r="F212">
        <f>SUMPRODUCT((MONTH(CHOOSE({1,2,3,4},KHP!U212,KHP!AA212,KHP!AG212,KHP!AM212))=6)*(CHOOSE({1,2,3,4},KHP!X212,KHP!AD212,KHP!AJ212,KHP!AP212)))</f>
        <v>0</v>
      </c>
      <c r="G212">
        <f>SUMPRODUCT((MONTH(CHOOSE({1,2,3,4},KHP!U212,KHP!AA212,KHP!AG212,KHP!AM212))=7)*(CHOOSE({1,2,3,4},KHP!X212,KHP!AD212,KHP!AJ212,KHP!AP212)))</f>
        <v>0</v>
      </c>
      <c r="H212">
        <f>SUMPRODUCT((MONTH(CHOOSE({1,2,3,4},KHP!U212,KHP!AA212,KHP!AG212,KHP!AM212))=8)*(CHOOSE({1,2,3,4},KHP!X212,KHP!AD212,KHP!AJ212,KHP!AP212)))</f>
        <v>0</v>
      </c>
      <c r="I212">
        <f>SUMPRODUCT((MONTH(CHOOSE({1,2,3,4},KHP!U212,KHP!AA212,KHP!AG212,KHP!AM212))=9)*(CHOOSE({1,2,3,4},KHP!X212,KHP!AD212,KHP!AJ212,KHP!AP212)))</f>
        <v>0</v>
      </c>
      <c r="J212">
        <f>SUMPRODUCT((MONTH(CHOOSE({1,2,3,4},KHP!U212,KHP!AA212,KHP!AG212,KHP!AM212))=10)*(CHOOSE({1,2,3,4},KHP!X212,KHP!AD212,KHP!AJ212,KHP!AP212)))</f>
        <v>0</v>
      </c>
      <c r="K212">
        <f>SUMPRODUCT((MONTH(CHOOSE({1,2,3,4},KHP!U212,KHP!AA212,KHP!AG212,KHP!AM212))=11)*(CHOOSE({1,2,3,4},KHP!X212,KHP!AD212,KHP!AJ212,KHP!AP212)))</f>
        <v>0</v>
      </c>
      <c r="L212">
        <f>SUMPRODUCT((MONTH(CHOOSE({1,2,3,4},KHP!U212,KHP!AA212,KHP!AG212,KHP!AM212))=12)*(CHOOSE({1,2,3,4},KHP!X212,KHP!AD212,KHP!AJ212,KHP!AP212)))</f>
        <v>0</v>
      </c>
    </row>
    <row r="213" spans="1:12">
      <c r="A213">
        <f>SUMPRODUCT((MONTH(CHOOSE({1,2,3,4},KHP!U213,KHP!AA213,KHP!AG213,KHP!AM213))=1)*(CHOOSE({1,2,3,4},KHP!X213,KHP!AD213,KHP!AJ213,KHP!AP213)))</f>
        <v>0</v>
      </c>
      <c r="B213">
        <f>SUMPRODUCT((MONTH(CHOOSE({1,2,3,4},KHP!U213,KHP!AA213,KHP!AG213,KHP!AM213))=2)*(CHOOSE({1,2,3,4},KHP!X213,KHP!AD213,KHP!AJ213,KHP!AP213)))</f>
        <v>0</v>
      </c>
      <c r="C213">
        <f>SUMPRODUCT((MONTH(CHOOSE({1,2,3,4},KHP!U213,KHP!AA213,KHP!AG213,KHP!AM213))=3)*(CHOOSE({1,2,3,4},KHP!X213,KHP!AD213,KHP!AJ213,KHP!AP213)))</f>
        <v>0</v>
      </c>
      <c r="D213">
        <f>SUMPRODUCT((MONTH(CHOOSE({1,2,3,4},KHP!U213,KHP!AA213,KHP!AG213,KHP!AM213))=4)*(CHOOSE({1,2,3,4},KHP!X213,KHP!AD213,KHP!AJ213,KHP!AP213)))</f>
        <v>0</v>
      </c>
      <c r="E213">
        <f>SUMPRODUCT((MONTH(CHOOSE({1,2,3,4},KHP!U213,KHP!AA213,KHP!AG213,KHP!AM213))=5)*(CHOOSE({1,2,3,4},KHP!X213,KHP!AD213,KHP!AJ213,KHP!AP213)))</f>
        <v>0</v>
      </c>
      <c r="F213">
        <f>SUMPRODUCT((MONTH(CHOOSE({1,2,3,4},KHP!U213,KHP!AA213,KHP!AG213,KHP!AM213))=6)*(CHOOSE({1,2,3,4},KHP!X213,KHP!AD213,KHP!AJ213,KHP!AP213)))</f>
        <v>0</v>
      </c>
      <c r="G213">
        <f>SUMPRODUCT((MONTH(CHOOSE({1,2,3,4},KHP!U213,KHP!AA213,KHP!AG213,KHP!AM213))=7)*(CHOOSE({1,2,3,4},KHP!X213,KHP!AD213,KHP!AJ213,KHP!AP213)))</f>
        <v>0</v>
      </c>
      <c r="H213">
        <f>SUMPRODUCT((MONTH(CHOOSE({1,2,3,4},KHP!U213,KHP!AA213,KHP!AG213,KHP!AM213))=8)*(CHOOSE({1,2,3,4},KHP!X213,KHP!AD213,KHP!AJ213,KHP!AP213)))</f>
        <v>0</v>
      </c>
      <c r="I213">
        <f>SUMPRODUCT((MONTH(CHOOSE({1,2,3,4},KHP!U213,KHP!AA213,KHP!AG213,KHP!AM213))=9)*(CHOOSE({1,2,3,4},KHP!X213,KHP!AD213,KHP!AJ213,KHP!AP213)))</f>
        <v>0</v>
      </c>
      <c r="J213">
        <f>SUMPRODUCT((MONTH(CHOOSE({1,2,3,4},KHP!U213,KHP!AA213,KHP!AG213,KHP!AM213))=10)*(CHOOSE({1,2,3,4},KHP!X213,KHP!AD213,KHP!AJ213,KHP!AP213)))</f>
        <v>0</v>
      </c>
      <c r="K213">
        <f>SUMPRODUCT((MONTH(CHOOSE({1,2,3,4},KHP!U213,KHP!AA213,KHP!AG213,KHP!AM213))=11)*(CHOOSE({1,2,3,4},KHP!X213,KHP!AD213,KHP!AJ213,KHP!AP213)))</f>
        <v>0</v>
      </c>
      <c r="L213">
        <f>SUMPRODUCT((MONTH(CHOOSE({1,2,3,4},KHP!U213,KHP!AA213,KHP!AG213,KHP!AM213))=12)*(CHOOSE({1,2,3,4},KHP!X213,KHP!AD213,KHP!AJ213,KHP!AP213)))</f>
        <v>0</v>
      </c>
    </row>
    <row r="214" spans="1:12">
      <c r="A214">
        <f>SUMPRODUCT((MONTH(CHOOSE({1,2,3,4},KHP!U214,KHP!AA214,KHP!AG214,KHP!AM214))=1)*(CHOOSE({1,2,3,4},KHP!X214,KHP!AD214,KHP!AJ214,KHP!AP214)))</f>
        <v>0</v>
      </c>
      <c r="B214">
        <f>SUMPRODUCT((MONTH(CHOOSE({1,2,3,4},KHP!U214,KHP!AA214,KHP!AG214,KHP!AM214))=2)*(CHOOSE({1,2,3,4},KHP!X214,KHP!AD214,KHP!AJ214,KHP!AP214)))</f>
        <v>0</v>
      </c>
      <c r="C214">
        <f>SUMPRODUCT((MONTH(CHOOSE({1,2,3,4},KHP!U214,KHP!AA214,KHP!AG214,KHP!AM214))=3)*(CHOOSE({1,2,3,4},KHP!X214,KHP!AD214,KHP!AJ214,KHP!AP214)))</f>
        <v>0</v>
      </c>
      <c r="D214">
        <f>SUMPRODUCT((MONTH(CHOOSE({1,2,3,4},KHP!U214,KHP!AA214,KHP!AG214,KHP!AM214))=4)*(CHOOSE({1,2,3,4},KHP!X214,KHP!AD214,KHP!AJ214,KHP!AP214)))</f>
        <v>0</v>
      </c>
      <c r="E214">
        <f>SUMPRODUCT((MONTH(CHOOSE({1,2,3,4},KHP!U214,KHP!AA214,KHP!AG214,KHP!AM214))=5)*(CHOOSE({1,2,3,4},KHP!X214,KHP!AD214,KHP!AJ214,KHP!AP214)))</f>
        <v>0</v>
      </c>
      <c r="F214">
        <f>SUMPRODUCT((MONTH(CHOOSE({1,2,3,4},KHP!U214,KHP!AA214,KHP!AG214,KHP!AM214))=6)*(CHOOSE({1,2,3,4},KHP!X214,KHP!AD214,KHP!AJ214,KHP!AP214)))</f>
        <v>0</v>
      </c>
      <c r="G214">
        <f>SUMPRODUCT((MONTH(CHOOSE({1,2,3,4},KHP!U214,KHP!AA214,KHP!AG214,KHP!AM214))=7)*(CHOOSE({1,2,3,4},KHP!X214,KHP!AD214,KHP!AJ214,KHP!AP214)))</f>
        <v>0</v>
      </c>
      <c r="H214">
        <f>SUMPRODUCT((MONTH(CHOOSE({1,2,3,4},KHP!U214,KHP!AA214,KHP!AG214,KHP!AM214))=8)*(CHOOSE({1,2,3,4},KHP!X214,KHP!AD214,KHP!AJ214,KHP!AP214)))</f>
        <v>0</v>
      </c>
      <c r="I214">
        <f>SUMPRODUCT((MONTH(CHOOSE({1,2,3,4},KHP!U214,KHP!AA214,KHP!AG214,KHP!AM214))=9)*(CHOOSE({1,2,3,4},KHP!X214,KHP!AD214,KHP!AJ214,KHP!AP214)))</f>
        <v>0</v>
      </c>
      <c r="J214">
        <f>SUMPRODUCT((MONTH(CHOOSE({1,2,3,4},KHP!U214,KHP!AA214,KHP!AG214,KHP!AM214))=10)*(CHOOSE({1,2,3,4},KHP!X214,KHP!AD214,KHP!AJ214,KHP!AP214)))</f>
        <v>0</v>
      </c>
      <c r="K214">
        <f>SUMPRODUCT((MONTH(CHOOSE({1,2,3,4},KHP!U214,KHP!AA214,KHP!AG214,KHP!AM214))=11)*(CHOOSE({1,2,3,4},KHP!X214,KHP!AD214,KHP!AJ214,KHP!AP214)))</f>
        <v>0</v>
      </c>
      <c r="L214">
        <f>SUMPRODUCT((MONTH(CHOOSE({1,2,3,4},KHP!U214,KHP!AA214,KHP!AG214,KHP!AM214))=12)*(CHOOSE({1,2,3,4},KHP!X214,KHP!AD214,KHP!AJ214,KHP!AP214)))</f>
        <v>0</v>
      </c>
    </row>
    <row r="215" spans="1:12">
      <c r="A215">
        <f>SUMPRODUCT((MONTH(CHOOSE({1,2,3,4},KHP!U215,KHP!AA215,KHP!AG215,KHP!AM215))=1)*(CHOOSE({1,2,3,4},KHP!X215,KHP!AD215,KHP!AJ215,KHP!AP215)))</f>
        <v>0</v>
      </c>
      <c r="B215">
        <f>SUMPRODUCT((MONTH(CHOOSE({1,2,3,4},KHP!U215,KHP!AA215,KHP!AG215,KHP!AM215))=2)*(CHOOSE({1,2,3,4},KHP!X215,KHP!AD215,KHP!AJ215,KHP!AP215)))</f>
        <v>0</v>
      </c>
      <c r="C215">
        <f>SUMPRODUCT((MONTH(CHOOSE({1,2,3,4},KHP!U215,KHP!AA215,KHP!AG215,KHP!AM215))=3)*(CHOOSE({1,2,3,4},KHP!X215,KHP!AD215,KHP!AJ215,KHP!AP215)))</f>
        <v>0</v>
      </c>
      <c r="D215">
        <f>SUMPRODUCT((MONTH(CHOOSE({1,2,3,4},KHP!U215,KHP!AA215,KHP!AG215,KHP!AM215))=4)*(CHOOSE({1,2,3,4},KHP!X215,KHP!AD215,KHP!AJ215,KHP!AP215)))</f>
        <v>0</v>
      </c>
      <c r="E215">
        <f>SUMPRODUCT((MONTH(CHOOSE({1,2,3,4},KHP!U215,KHP!AA215,KHP!AG215,KHP!AM215))=5)*(CHOOSE({1,2,3,4},KHP!X215,KHP!AD215,KHP!AJ215,KHP!AP215)))</f>
        <v>0</v>
      </c>
      <c r="F215">
        <f>SUMPRODUCT((MONTH(CHOOSE({1,2,3,4},KHP!U215,KHP!AA215,KHP!AG215,KHP!AM215))=6)*(CHOOSE({1,2,3,4},KHP!X215,KHP!AD215,KHP!AJ215,KHP!AP215)))</f>
        <v>0</v>
      </c>
      <c r="G215">
        <f>SUMPRODUCT((MONTH(CHOOSE({1,2,3,4},KHP!U215,KHP!AA215,KHP!AG215,KHP!AM215))=7)*(CHOOSE({1,2,3,4},KHP!X215,KHP!AD215,KHP!AJ215,KHP!AP215)))</f>
        <v>0</v>
      </c>
      <c r="H215">
        <f>SUMPRODUCT((MONTH(CHOOSE({1,2,3,4},KHP!U215,KHP!AA215,KHP!AG215,KHP!AM215))=8)*(CHOOSE({1,2,3,4},KHP!X215,KHP!AD215,KHP!AJ215,KHP!AP215)))</f>
        <v>0</v>
      </c>
      <c r="I215">
        <f>SUMPRODUCT((MONTH(CHOOSE({1,2,3,4},KHP!U215,KHP!AA215,KHP!AG215,KHP!AM215))=9)*(CHOOSE({1,2,3,4},KHP!X215,KHP!AD215,KHP!AJ215,KHP!AP215)))</f>
        <v>0</v>
      </c>
      <c r="J215">
        <f>SUMPRODUCT((MONTH(CHOOSE({1,2,3,4},KHP!U215,KHP!AA215,KHP!AG215,KHP!AM215))=10)*(CHOOSE({1,2,3,4},KHP!X215,KHP!AD215,KHP!AJ215,KHP!AP215)))</f>
        <v>0</v>
      </c>
      <c r="K215">
        <f>SUMPRODUCT((MONTH(CHOOSE({1,2,3,4},KHP!U215,KHP!AA215,KHP!AG215,KHP!AM215))=11)*(CHOOSE({1,2,3,4},KHP!X215,KHP!AD215,KHP!AJ215,KHP!AP215)))</f>
        <v>0</v>
      </c>
      <c r="L215">
        <f>SUMPRODUCT((MONTH(CHOOSE({1,2,3,4},KHP!U215,KHP!AA215,KHP!AG215,KHP!AM215))=12)*(CHOOSE({1,2,3,4},KHP!X215,KHP!AD215,KHP!AJ215,KHP!AP215)))</f>
        <v>0</v>
      </c>
    </row>
    <row r="216" spans="1:12">
      <c r="A216">
        <f>SUMPRODUCT((MONTH(CHOOSE({1,2,3,4},KHP!U216,KHP!AA216,KHP!AG216,KHP!AM216))=1)*(CHOOSE({1,2,3,4},KHP!X216,KHP!AD216,KHP!AJ216,KHP!AP216)))</f>
        <v>0</v>
      </c>
      <c r="B216">
        <f>SUMPRODUCT((MONTH(CHOOSE({1,2,3,4},KHP!U216,KHP!AA216,KHP!AG216,KHP!AM216))=2)*(CHOOSE({1,2,3,4},KHP!X216,KHP!AD216,KHP!AJ216,KHP!AP216)))</f>
        <v>0</v>
      </c>
      <c r="C216">
        <f>SUMPRODUCT((MONTH(CHOOSE({1,2,3,4},KHP!U216,KHP!AA216,KHP!AG216,KHP!AM216))=3)*(CHOOSE({1,2,3,4},KHP!X216,KHP!AD216,KHP!AJ216,KHP!AP216)))</f>
        <v>0</v>
      </c>
      <c r="D216">
        <f>SUMPRODUCT((MONTH(CHOOSE({1,2,3,4},KHP!U216,KHP!AA216,KHP!AG216,KHP!AM216))=4)*(CHOOSE({1,2,3,4},KHP!X216,KHP!AD216,KHP!AJ216,KHP!AP216)))</f>
        <v>0</v>
      </c>
      <c r="E216">
        <f>SUMPRODUCT((MONTH(CHOOSE({1,2,3,4},KHP!U216,KHP!AA216,KHP!AG216,KHP!AM216))=5)*(CHOOSE({1,2,3,4},KHP!X216,KHP!AD216,KHP!AJ216,KHP!AP216)))</f>
        <v>0</v>
      </c>
      <c r="F216">
        <f>SUMPRODUCT((MONTH(CHOOSE({1,2,3,4},KHP!U216,KHP!AA216,KHP!AG216,KHP!AM216))=6)*(CHOOSE({1,2,3,4},KHP!X216,KHP!AD216,KHP!AJ216,KHP!AP216)))</f>
        <v>0</v>
      </c>
      <c r="G216">
        <f>SUMPRODUCT((MONTH(CHOOSE({1,2,3,4},KHP!U216,KHP!AA216,KHP!AG216,KHP!AM216))=7)*(CHOOSE({1,2,3,4},KHP!X216,KHP!AD216,KHP!AJ216,KHP!AP216)))</f>
        <v>0</v>
      </c>
      <c r="H216">
        <f>SUMPRODUCT((MONTH(CHOOSE({1,2,3,4},KHP!U216,KHP!AA216,KHP!AG216,KHP!AM216))=8)*(CHOOSE({1,2,3,4},KHP!X216,KHP!AD216,KHP!AJ216,KHP!AP216)))</f>
        <v>0</v>
      </c>
      <c r="I216">
        <f>SUMPRODUCT((MONTH(CHOOSE({1,2,3,4},KHP!U216,KHP!AA216,KHP!AG216,KHP!AM216))=9)*(CHOOSE({1,2,3,4},KHP!X216,KHP!AD216,KHP!AJ216,KHP!AP216)))</f>
        <v>0</v>
      </c>
      <c r="J216">
        <f>SUMPRODUCT((MONTH(CHOOSE({1,2,3,4},KHP!U216,KHP!AA216,KHP!AG216,KHP!AM216))=10)*(CHOOSE({1,2,3,4},KHP!X216,KHP!AD216,KHP!AJ216,KHP!AP216)))</f>
        <v>0</v>
      </c>
      <c r="K216">
        <f>SUMPRODUCT((MONTH(CHOOSE({1,2,3,4},KHP!U216,KHP!AA216,KHP!AG216,KHP!AM216))=11)*(CHOOSE({1,2,3,4},KHP!X216,KHP!AD216,KHP!AJ216,KHP!AP216)))</f>
        <v>0</v>
      </c>
      <c r="L216">
        <f>SUMPRODUCT((MONTH(CHOOSE({1,2,3,4},KHP!U216,KHP!AA216,KHP!AG216,KHP!AM216))=12)*(CHOOSE({1,2,3,4},KHP!X216,KHP!AD216,KHP!AJ216,KHP!AP216)))</f>
        <v>0</v>
      </c>
    </row>
    <row r="217" spans="1:12">
      <c r="A217">
        <f>SUMPRODUCT((MONTH(CHOOSE({1,2,3,4},KHP!U217,KHP!AA217,KHP!AG217,KHP!AM217))=1)*(CHOOSE({1,2,3,4},KHP!X217,KHP!AD217,KHP!AJ217,KHP!AP217)))</f>
        <v>0</v>
      </c>
      <c r="B217">
        <f>SUMPRODUCT((MONTH(CHOOSE({1,2,3,4},KHP!U217,KHP!AA217,KHP!AG217,KHP!AM217))=2)*(CHOOSE({1,2,3,4},KHP!X217,KHP!AD217,KHP!AJ217,KHP!AP217)))</f>
        <v>0</v>
      </c>
      <c r="C217">
        <f>SUMPRODUCT((MONTH(CHOOSE({1,2,3,4},KHP!U217,KHP!AA217,KHP!AG217,KHP!AM217))=3)*(CHOOSE({1,2,3,4},KHP!X217,KHP!AD217,KHP!AJ217,KHP!AP217)))</f>
        <v>0</v>
      </c>
      <c r="D217">
        <f>SUMPRODUCT((MONTH(CHOOSE({1,2,3,4},KHP!U217,KHP!AA217,KHP!AG217,KHP!AM217))=4)*(CHOOSE({1,2,3,4},KHP!X217,KHP!AD217,KHP!AJ217,KHP!AP217)))</f>
        <v>0</v>
      </c>
      <c r="E217">
        <f>SUMPRODUCT((MONTH(CHOOSE({1,2,3,4},KHP!U217,KHP!AA217,KHP!AG217,KHP!AM217))=5)*(CHOOSE({1,2,3,4},KHP!X217,KHP!AD217,KHP!AJ217,KHP!AP217)))</f>
        <v>0</v>
      </c>
      <c r="F217">
        <f>SUMPRODUCT((MONTH(CHOOSE({1,2,3,4},KHP!U217,KHP!AA217,KHP!AG217,KHP!AM217))=6)*(CHOOSE({1,2,3,4},KHP!X217,KHP!AD217,KHP!AJ217,KHP!AP217)))</f>
        <v>0</v>
      </c>
      <c r="G217">
        <f>SUMPRODUCT((MONTH(CHOOSE({1,2,3,4},KHP!U217,KHP!AA217,KHP!AG217,KHP!AM217))=7)*(CHOOSE({1,2,3,4},KHP!X217,KHP!AD217,KHP!AJ217,KHP!AP217)))</f>
        <v>0</v>
      </c>
      <c r="H217">
        <f>SUMPRODUCT((MONTH(CHOOSE({1,2,3,4},KHP!U217,KHP!AA217,KHP!AG217,KHP!AM217))=8)*(CHOOSE({1,2,3,4},KHP!X217,KHP!AD217,KHP!AJ217,KHP!AP217)))</f>
        <v>0</v>
      </c>
      <c r="I217">
        <f>SUMPRODUCT((MONTH(CHOOSE({1,2,3,4},KHP!U217,KHP!AA217,KHP!AG217,KHP!AM217))=9)*(CHOOSE({1,2,3,4},KHP!X217,KHP!AD217,KHP!AJ217,KHP!AP217)))</f>
        <v>0</v>
      </c>
      <c r="J217">
        <f>SUMPRODUCT((MONTH(CHOOSE({1,2,3,4},KHP!U217,KHP!AA217,KHP!AG217,KHP!AM217))=10)*(CHOOSE({1,2,3,4},KHP!X217,KHP!AD217,KHP!AJ217,KHP!AP217)))</f>
        <v>0</v>
      </c>
      <c r="K217">
        <f>SUMPRODUCT((MONTH(CHOOSE({1,2,3,4},KHP!U217,KHP!AA217,KHP!AG217,KHP!AM217))=11)*(CHOOSE({1,2,3,4},KHP!X217,KHP!AD217,KHP!AJ217,KHP!AP217)))</f>
        <v>0</v>
      </c>
      <c r="L217">
        <f>SUMPRODUCT((MONTH(CHOOSE({1,2,3,4},KHP!U217,KHP!AA217,KHP!AG217,KHP!AM217))=12)*(CHOOSE({1,2,3,4},KHP!X217,KHP!AD217,KHP!AJ217,KHP!AP217)))</f>
        <v>0</v>
      </c>
    </row>
    <row r="218" spans="1:12">
      <c r="A218">
        <f>SUMPRODUCT((MONTH(CHOOSE({1,2,3,4},KHP!U218,KHP!AA218,KHP!AG218,KHP!AM218))=1)*(CHOOSE({1,2,3,4},KHP!X218,KHP!AD218,KHP!AJ218,KHP!AP218)))</f>
        <v>0</v>
      </c>
      <c r="B218">
        <f>SUMPRODUCT((MONTH(CHOOSE({1,2,3,4},KHP!U218,KHP!AA218,KHP!AG218,KHP!AM218))=2)*(CHOOSE({1,2,3,4},KHP!X218,KHP!AD218,KHP!AJ218,KHP!AP218)))</f>
        <v>0</v>
      </c>
      <c r="C218">
        <f>SUMPRODUCT((MONTH(CHOOSE({1,2,3,4},KHP!U218,KHP!AA218,KHP!AG218,KHP!AM218))=3)*(CHOOSE({1,2,3,4},KHP!X218,KHP!AD218,KHP!AJ218,KHP!AP218)))</f>
        <v>0</v>
      </c>
      <c r="D218">
        <f>SUMPRODUCT((MONTH(CHOOSE({1,2,3,4},KHP!U218,KHP!AA218,KHP!AG218,KHP!AM218))=4)*(CHOOSE({1,2,3,4},KHP!X218,KHP!AD218,KHP!AJ218,KHP!AP218)))</f>
        <v>0</v>
      </c>
      <c r="E218">
        <f>SUMPRODUCT((MONTH(CHOOSE({1,2,3,4},KHP!U218,KHP!AA218,KHP!AG218,KHP!AM218))=5)*(CHOOSE({1,2,3,4},KHP!X218,KHP!AD218,KHP!AJ218,KHP!AP218)))</f>
        <v>0</v>
      </c>
      <c r="F218">
        <f>SUMPRODUCT((MONTH(CHOOSE({1,2,3,4},KHP!U218,KHP!AA218,KHP!AG218,KHP!AM218))=6)*(CHOOSE({1,2,3,4},KHP!X218,KHP!AD218,KHP!AJ218,KHP!AP218)))</f>
        <v>0</v>
      </c>
      <c r="G218">
        <f>SUMPRODUCT((MONTH(CHOOSE({1,2,3,4},KHP!U218,KHP!AA218,KHP!AG218,KHP!AM218))=7)*(CHOOSE({1,2,3,4},KHP!X218,KHP!AD218,KHP!AJ218,KHP!AP218)))</f>
        <v>0</v>
      </c>
      <c r="H218">
        <f>SUMPRODUCT((MONTH(CHOOSE({1,2,3,4},KHP!U218,KHP!AA218,KHP!AG218,KHP!AM218))=8)*(CHOOSE({1,2,3,4},KHP!X218,KHP!AD218,KHP!AJ218,KHP!AP218)))</f>
        <v>0</v>
      </c>
      <c r="I218">
        <f>SUMPRODUCT((MONTH(CHOOSE({1,2,3,4},KHP!U218,KHP!AA218,KHP!AG218,KHP!AM218))=9)*(CHOOSE({1,2,3,4},KHP!X218,KHP!AD218,KHP!AJ218,KHP!AP218)))</f>
        <v>0</v>
      </c>
      <c r="J218">
        <f>SUMPRODUCT((MONTH(CHOOSE({1,2,3,4},KHP!U218,KHP!AA218,KHP!AG218,KHP!AM218))=10)*(CHOOSE({1,2,3,4},KHP!X218,KHP!AD218,KHP!AJ218,KHP!AP218)))</f>
        <v>0</v>
      </c>
      <c r="K218">
        <f>SUMPRODUCT((MONTH(CHOOSE({1,2,3,4},KHP!U218,KHP!AA218,KHP!AG218,KHP!AM218))=11)*(CHOOSE({1,2,3,4},KHP!X218,KHP!AD218,KHP!AJ218,KHP!AP218)))</f>
        <v>0</v>
      </c>
      <c r="L218">
        <f>SUMPRODUCT((MONTH(CHOOSE({1,2,3,4},KHP!U218,KHP!AA218,KHP!AG218,KHP!AM218))=12)*(CHOOSE({1,2,3,4},KHP!X218,KHP!AD218,KHP!AJ218,KHP!AP218)))</f>
        <v>0</v>
      </c>
    </row>
    <row r="219" spans="1:12">
      <c r="A219">
        <f>SUMPRODUCT((MONTH(CHOOSE({1,2,3,4},KHP!U219,KHP!AA219,KHP!AG219,KHP!AM219))=1)*(CHOOSE({1,2,3,4},KHP!X219,KHP!AD219,KHP!AJ219,KHP!AP219)))</f>
        <v>0</v>
      </c>
      <c r="B219">
        <f>SUMPRODUCT((MONTH(CHOOSE({1,2,3,4},KHP!U219,KHP!AA219,KHP!AG219,KHP!AM219))=2)*(CHOOSE({1,2,3,4},KHP!X219,KHP!AD219,KHP!AJ219,KHP!AP219)))</f>
        <v>0</v>
      </c>
      <c r="C219">
        <f>SUMPRODUCT((MONTH(CHOOSE({1,2,3,4},KHP!U219,KHP!AA219,KHP!AG219,KHP!AM219))=3)*(CHOOSE({1,2,3,4},KHP!X219,KHP!AD219,KHP!AJ219,KHP!AP219)))</f>
        <v>0</v>
      </c>
      <c r="D219">
        <f>SUMPRODUCT((MONTH(CHOOSE({1,2,3,4},KHP!U219,KHP!AA219,KHP!AG219,KHP!AM219))=4)*(CHOOSE({1,2,3,4},KHP!X219,KHP!AD219,KHP!AJ219,KHP!AP219)))</f>
        <v>0</v>
      </c>
      <c r="E219">
        <f>SUMPRODUCT((MONTH(CHOOSE({1,2,3,4},KHP!U219,KHP!AA219,KHP!AG219,KHP!AM219))=5)*(CHOOSE({1,2,3,4},KHP!X219,KHP!AD219,KHP!AJ219,KHP!AP219)))</f>
        <v>0</v>
      </c>
      <c r="F219">
        <f>SUMPRODUCT((MONTH(CHOOSE({1,2,3,4},KHP!U219,KHP!AA219,KHP!AG219,KHP!AM219))=6)*(CHOOSE({1,2,3,4},KHP!X219,KHP!AD219,KHP!AJ219,KHP!AP219)))</f>
        <v>0</v>
      </c>
      <c r="G219">
        <f>SUMPRODUCT((MONTH(CHOOSE({1,2,3,4},KHP!U219,KHP!AA219,KHP!AG219,KHP!AM219))=7)*(CHOOSE({1,2,3,4},KHP!X219,KHP!AD219,KHP!AJ219,KHP!AP219)))</f>
        <v>0</v>
      </c>
      <c r="H219">
        <f>SUMPRODUCT((MONTH(CHOOSE({1,2,3,4},KHP!U219,KHP!AA219,KHP!AG219,KHP!AM219))=8)*(CHOOSE({1,2,3,4},KHP!X219,KHP!AD219,KHP!AJ219,KHP!AP219)))</f>
        <v>0</v>
      </c>
      <c r="I219">
        <f>SUMPRODUCT((MONTH(CHOOSE({1,2,3,4},KHP!U219,KHP!AA219,KHP!AG219,KHP!AM219))=9)*(CHOOSE({1,2,3,4},KHP!X219,KHP!AD219,KHP!AJ219,KHP!AP219)))</f>
        <v>0</v>
      </c>
      <c r="J219">
        <f>SUMPRODUCT((MONTH(CHOOSE({1,2,3,4},KHP!U219,KHP!AA219,KHP!AG219,KHP!AM219))=10)*(CHOOSE({1,2,3,4},KHP!X219,KHP!AD219,KHP!AJ219,KHP!AP219)))</f>
        <v>0</v>
      </c>
      <c r="K219">
        <f>SUMPRODUCT((MONTH(CHOOSE({1,2,3,4},KHP!U219,KHP!AA219,KHP!AG219,KHP!AM219))=11)*(CHOOSE({1,2,3,4},KHP!X219,KHP!AD219,KHP!AJ219,KHP!AP219)))</f>
        <v>0</v>
      </c>
      <c r="L219">
        <f>SUMPRODUCT((MONTH(CHOOSE({1,2,3,4},KHP!U219,KHP!AA219,KHP!AG219,KHP!AM219))=12)*(CHOOSE({1,2,3,4},KHP!X219,KHP!AD219,KHP!AJ219,KHP!AP219)))</f>
        <v>0</v>
      </c>
    </row>
    <row r="220" spans="1:12">
      <c r="A220">
        <f>SUMPRODUCT((MONTH(CHOOSE({1,2,3,4},KHP!U220,KHP!AA220,KHP!AG220,KHP!AM220))=1)*(CHOOSE({1,2,3,4},KHP!X220,KHP!AD220,KHP!AJ220,KHP!AP220)))</f>
        <v>0</v>
      </c>
      <c r="B220">
        <f>SUMPRODUCT((MONTH(CHOOSE({1,2,3,4},KHP!U220,KHP!AA220,KHP!AG220,KHP!AM220))=2)*(CHOOSE({1,2,3,4},KHP!X220,KHP!AD220,KHP!AJ220,KHP!AP220)))</f>
        <v>0</v>
      </c>
      <c r="C220">
        <f>SUMPRODUCT((MONTH(CHOOSE({1,2,3,4},KHP!U220,KHP!AA220,KHP!AG220,KHP!AM220))=3)*(CHOOSE({1,2,3,4},KHP!X220,KHP!AD220,KHP!AJ220,KHP!AP220)))</f>
        <v>0</v>
      </c>
      <c r="D220">
        <f>SUMPRODUCT((MONTH(CHOOSE({1,2,3,4},KHP!U220,KHP!AA220,KHP!AG220,KHP!AM220))=4)*(CHOOSE({1,2,3,4},KHP!X220,KHP!AD220,KHP!AJ220,KHP!AP220)))</f>
        <v>0</v>
      </c>
      <c r="E220">
        <f>SUMPRODUCT((MONTH(CHOOSE({1,2,3,4},KHP!U220,KHP!AA220,KHP!AG220,KHP!AM220))=5)*(CHOOSE({1,2,3,4},KHP!X220,KHP!AD220,KHP!AJ220,KHP!AP220)))</f>
        <v>0</v>
      </c>
      <c r="F220">
        <f>SUMPRODUCT((MONTH(CHOOSE({1,2,3,4},KHP!U220,KHP!AA220,KHP!AG220,KHP!AM220))=6)*(CHOOSE({1,2,3,4},KHP!X220,KHP!AD220,KHP!AJ220,KHP!AP220)))</f>
        <v>0</v>
      </c>
      <c r="G220">
        <f>SUMPRODUCT((MONTH(CHOOSE({1,2,3,4},KHP!U220,KHP!AA220,KHP!AG220,KHP!AM220))=7)*(CHOOSE({1,2,3,4},KHP!X220,KHP!AD220,KHP!AJ220,KHP!AP220)))</f>
        <v>0</v>
      </c>
      <c r="H220">
        <f>SUMPRODUCT((MONTH(CHOOSE({1,2,3,4},KHP!U220,KHP!AA220,KHP!AG220,KHP!AM220))=8)*(CHOOSE({1,2,3,4},KHP!X220,KHP!AD220,KHP!AJ220,KHP!AP220)))</f>
        <v>0</v>
      </c>
      <c r="I220">
        <f>SUMPRODUCT((MONTH(CHOOSE({1,2,3,4},KHP!U220,KHP!AA220,KHP!AG220,KHP!AM220))=9)*(CHOOSE({1,2,3,4},KHP!X220,KHP!AD220,KHP!AJ220,KHP!AP220)))</f>
        <v>0</v>
      </c>
      <c r="J220">
        <f>SUMPRODUCT((MONTH(CHOOSE({1,2,3,4},KHP!U220,KHP!AA220,KHP!AG220,KHP!AM220))=10)*(CHOOSE({1,2,3,4},KHP!X220,KHP!AD220,KHP!AJ220,KHP!AP220)))</f>
        <v>0</v>
      </c>
      <c r="K220">
        <f>SUMPRODUCT((MONTH(CHOOSE({1,2,3,4},KHP!U220,KHP!AA220,KHP!AG220,KHP!AM220))=11)*(CHOOSE({1,2,3,4},KHP!X220,KHP!AD220,KHP!AJ220,KHP!AP220)))</f>
        <v>0</v>
      </c>
      <c r="L220">
        <f>SUMPRODUCT((MONTH(CHOOSE({1,2,3,4},KHP!U220,KHP!AA220,KHP!AG220,KHP!AM220))=12)*(CHOOSE({1,2,3,4},KHP!X220,KHP!AD220,KHP!AJ220,KHP!AP220)))</f>
        <v>0</v>
      </c>
    </row>
    <row r="221" spans="1:12">
      <c r="A221">
        <f>SUMPRODUCT((MONTH(CHOOSE({1,2,3,4},KHP!U221,KHP!AA221,KHP!AG221,KHP!AM221))=1)*(CHOOSE({1,2,3,4},KHP!X221,KHP!AD221,KHP!AJ221,KHP!AP221)))</f>
        <v>0</v>
      </c>
      <c r="B221">
        <f>SUMPRODUCT((MONTH(CHOOSE({1,2,3,4},KHP!U221,KHP!AA221,KHP!AG221,KHP!AM221))=2)*(CHOOSE({1,2,3,4},KHP!X221,KHP!AD221,KHP!AJ221,KHP!AP221)))</f>
        <v>0</v>
      </c>
      <c r="C221">
        <f>SUMPRODUCT((MONTH(CHOOSE({1,2,3,4},KHP!U221,KHP!AA221,KHP!AG221,KHP!AM221))=3)*(CHOOSE({1,2,3,4},KHP!X221,KHP!AD221,KHP!AJ221,KHP!AP221)))</f>
        <v>0</v>
      </c>
      <c r="D221">
        <f>SUMPRODUCT((MONTH(CHOOSE({1,2,3,4},KHP!U221,KHP!AA221,KHP!AG221,KHP!AM221))=4)*(CHOOSE({1,2,3,4},KHP!X221,KHP!AD221,KHP!AJ221,KHP!AP221)))</f>
        <v>0</v>
      </c>
      <c r="E221">
        <f>SUMPRODUCT((MONTH(CHOOSE({1,2,3,4},KHP!U221,KHP!AA221,KHP!AG221,KHP!AM221))=5)*(CHOOSE({1,2,3,4},KHP!X221,KHP!AD221,KHP!AJ221,KHP!AP221)))</f>
        <v>0</v>
      </c>
      <c r="F221">
        <f>SUMPRODUCT((MONTH(CHOOSE({1,2,3,4},KHP!U221,KHP!AA221,KHP!AG221,KHP!AM221))=6)*(CHOOSE({1,2,3,4},KHP!X221,KHP!AD221,KHP!AJ221,KHP!AP221)))</f>
        <v>0</v>
      </c>
      <c r="G221">
        <f>SUMPRODUCT((MONTH(CHOOSE({1,2,3,4},KHP!U221,KHP!AA221,KHP!AG221,KHP!AM221))=7)*(CHOOSE({1,2,3,4},KHP!X221,KHP!AD221,KHP!AJ221,KHP!AP221)))</f>
        <v>0</v>
      </c>
      <c r="H221">
        <f>SUMPRODUCT((MONTH(CHOOSE({1,2,3,4},KHP!U221,KHP!AA221,KHP!AG221,KHP!AM221))=8)*(CHOOSE({1,2,3,4},KHP!X221,KHP!AD221,KHP!AJ221,KHP!AP221)))</f>
        <v>0</v>
      </c>
      <c r="I221">
        <f>SUMPRODUCT((MONTH(CHOOSE({1,2,3,4},KHP!U221,KHP!AA221,KHP!AG221,KHP!AM221))=9)*(CHOOSE({1,2,3,4},KHP!X221,KHP!AD221,KHP!AJ221,KHP!AP221)))</f>
        <v>0</v>
      </c>
      <c r="J221">
        <f>SUMPRODUCT((MONTH(CHOOSE({1,2,3,4},KHP!U221,KHP!AA221,KHP!AG221,KHP!AM221))=10)*(CHOOSE({1,2,3,4},KHP!X221,KHP!AD221,KHP!AJ221,KHP!AP221)))</f>
        <v>0</v>
      </c>
      <c r="K221">
        <f>SUMPRODUCT((MONTH(CHOOSE({1,2,3,4},KHP!U221,KHP!AA221,KHP!AG221,KHP!AM221))=11)*(CHOOSE({1,2,3,4},KHP!X221,KHP!AD221,KHP!AJ221,KHP!AP221)))</f>
        <v>0</v>
      </c>
      <c r="L221">
        <f>SUMPRODUCT((MONTH(CHOOSE({1,2,3,4},KHP!U221,KHP!AA221,KHP!AG221,KHP!AM221))=12)*(CHOOSE({1,2,3,4},KHP!X221,KHP!AD221,KHP!AJ221,KHP!AP221)))</f>
        <v>0</v>
      </c>
    </row>
    <row r="222" spans="1:12">
      <c r="A222">
        <f>SUMPRODUCT((MONTH(CHOOSE({1,2,3,4},KHP!U222,KHP!AA222,KHP!AG222,KHP!AM222))=1)*(CHOOSE({1,2,3,4},KHP!X222,KHP!AD222,KHP!AJ222,KHP!AP222)))</f>
        <v>0</v>
      </c>
      <c r="B222">
        <f>SUMPRODUCT((MONTH(CHOOSE({1,2,3,4},KHP!U222,KHP!AA222,KHP!AG222,KHP!AM222))=2)*(CHOOSE({1,2,3,4},KHP!X222,KHP!AD222,KHP!AJ222,KHP!AP222)))</f>
        <v>0</v>
      </c>
      <c r="C222">
        <f>SUMPRODUCT((MONTH(CHOOSE({1,2,3,4},KHP!U222,KHP!AA222,KHP!AG222,KHP!AM222))=3)*(CHOOSE({1,2,3,4},KHP!X222,KHP!AD222,KHP!AJ222,KHP!AP222)))</f>
        <v>0</v>
      </c>
      <c r="D222">
        <f>SUMPRODUCT((MONTH(CHOOSE({1,2,3,4},KHP!U222,KHP!AA222,KHP!AG222,KHP!AM222))=4)*(CHOOSE({1,2,3,4},KHP!X222,KHP!AD222,KHP!AJ222,KHP!AP222)))</f>
        <v>0</v>
      </c>
      <c r="E222">
        <f>SUMPRODUCT((MONTH(CHOOSE({1,2,3,4},KHP!U222,KHP!AA222,KHP!AG222,KHP!AM222))=5)*(CHOOSE({1,2,3,4},KHP!X222,KHP!AD222,KHP!AJ222,KHP!AP222)))</f>
        <v>0</v>
      </c>
      <c r="F222">
        <f>SUMPRODUCT((MONTH(CHOOSE({1,2,3,4},KHP!U222,KHP!AA222,KHP!AG222,KHP!AM222))=6)*(CHOOSE({1,2,3,4},KHP!X222,KHP!AD222,KHP!AJ222,KHP!AP222)))</f>
        <v>0</v>
      </c>
      <c r="G222">
        <f>SUMPRODUCT((MONTH(CHOOSE({1,2,3,4},KHP!U222,KHP!AA222,KHP!AG222,KHP!AM222))=7)*(CHOOSE({1,2,3,4},KHP!X222,KHP!AD222,KHP!AJ222,KHP!AP222)))</f>
        <v>0</v>
      </c>
      <c r="H222">
        <f>SUMPRODUCT((MONTH(CHOOSE({1,2,3,4},KHP!U222,KHP!AA222,KHP!AG222,KHP!AM222))=8)*(CHOOSE({1,2,3,4},KHP!X222,KHP!AD222,KHP!AJ222,KHP!AP222)))</f>
        <v>0</v>
      </c>
      <c r="I222">
        <f>SUMPRODUCT((MONTH(CHOOSE({1,2,3,4},KHP!U222,KHP!AA222,KHP!AG222,KHP!AM222))=9)*(CHOOSE({1,2,3,4},KHP!X222,KHP!AD222,KHP!AJ222,KHP!AP222)))</f>
        <v>0</v>
      </c>
      <c r="J222">
        <f>SUMPRODUCT((MONTH(CHOOSE({1,2,3,4},KHP!U222,KHP!AA222,KHP!AG222,KHP!AM222))=10)*(CHOOSE({1,2,3,4},KHP!X222,KHP!AD222,KHP!AJ222,KHP!AP222)))</f>
        <v>0</v>
      </c>
      <c r="K222">
        <f>SUMPRODUCT((MONTH(CHOOSE({1,2,3,4},KHP!U222,KHP!AA222,KHP!AG222,KHP!AM222))=11)*(CHOOSE({1,2,3,4},KHP!X222,KHP!AD222,KHP!AJ222,KHP!AP222)))</f>
        <v>0</v>
      </c>
      <c r="L222">
        <f>SUMPRODUCT((MONTH(CHOOSE({1,2,3,4},KHP!U222,KHP!AA222,KHP!AG222,KHP!AM222))=12)*(CHOOSE({1,2,3,4},KHP!X222,KHP!AD222,KHP!AJ222,KHP!AP222)))</f>
        <v>0</v>
      </c>
    </row>
    <row r="223" spans="1:12">
      <c r="A223">
        <f>SUMPRODUCT((MONTH(CHOOSE({1,2,3,4},KHP!U223,KHP!AA223,KHP!AG223,KHP!AM223))=1)*(CHOOSE({1,2,3,4},KHP!X223,KHP!AD223,KHP!AJ223,KHP!AP223)))</f>
        <v>0</v>
      </c>
      <c r="B223">
        <f>SUMPRODUCT((MONTH(CHOOSE({1,2,3,4},KHP!U223,KHP!AA223,KHP!AG223,KHP!AM223))=2)*(CHOOSE({1,2,3,4},KHP!X223,KHP!AD223,KHP!AJ223,KHP!AP223)))</f>
        <v>0</v>
      </c>
      <c r="C223">
        <f>SUMPRODUCT((MONTH(CHOOSE({1,2,3,4},KHP!U223,KHP!AA223,KHP!AG223,KHP!AM223))=3)*(CHOOSE({1,2,3,4},KHP!X223,KHP!AD223,KHP!AJ223,KHP!AP223)))</f>
        <v>0</v>
      </c>
      <c r="D223">
        <f>SUMPRODUCT((MONTH(CHOOSE({1,2,3,4},KHP!U223,KHP!AA223,KHP!AG223,KHP!AM223))=4)*(CHOOSE({1,2,3,4},KHP!X223,KHP!AD223,KHP!AJ223,KHP!AP223)))</f>
        <v>0</v>
      </c>
      <c r="E223">
        <f>SUMPRODUCT((MONTH(CHOOSE({1,2,3,4},KHP!U223,KHP!AA223,KHP!AG223,KHP!AM223))=5)*(CHOOSE({1,2,3,4},KHP!X223,KHP!AD223,KHP!AJ223,KHP!AP223)))</f>
        <v>0</v>
      </c>
      <c r="F223">
        <f>SUMPRODUCT((MONTH(CHOOSE({1,2,3,4},KHP!U223,KHP!AA223,KHP!AG223,KHP!AM223))=6)*(CHOOSE({1,2,3,4},KHP!X223,KHP!AD223,KHP!AJ223,KHP!AP223)))</f>
        <v>0</v>
      </c>
      <c r="G223">
        <f>SUMPRODUCT((MONTH(CHOOSE({1,2,3,4},KHP!U223,KHP!AA223,KHP!AG223,KHP!AM223))=7)*(CHOOSE({1,2,3,4},KHP!X223,KHP!AD223,KHP!AJ223,KHP!AP223)))</f>
        <v>0</v>
      </c>
      <c r="H223">
        <f>SUMPRODUCT((MONTH(CHOOSE({1,2,3,4},KHP!U223,KHP!AA223,KHP!AG223,KHP!AM223))=8)*(CHOOSE({1,2,3,4},KHP!X223,KHP!AD223,KHP!AJ223,KHP!AP223)))</f>
        <v>0</v>
      </c>
      <c r="I223">
        <f>SUMPRODUCT((MONTH(CHOOSE({1,2,3,4},KHP!U223,KHP!AA223,KHP!AG223,KHP!AM223))=9)*(CHOOSE({1,2,3,4},KHP!X223,KHP!AD223,KHP!AJ223,KHP!AP223)))</f>
        <v>0</v>
      </c>
      <c r="J223">
        <f>SUMPRODUCT((MONTH(CHOOSE({1,2,3,4},KHP!U223,KHP!AA223,KHP!AG223,KHP!AM223))=10)*(CHOOSE({1,2,3,4},KHP!X223,KHP!AD223,KHP!AJ223,KHP!AP223)))</f>
        <v>0</v>
      </c>
      <c r="K223">
        <f>SUMPRODUCT((MONTH(CHOOSE({1,2,3,4},KHP!U223,KHP!AA223,KHP!AG223,KHP!AM223))=11)*(CHOOSE({1,2,3,4},KHP!X223,KHP!AD223,KHP!AJ223,KHP!AP223)))</f>
        <v>0</v>
      </c>
      <c r="L223">
        <f>SUMPRODUCT((MONTH(CHOOSE({1,2,3,4},KHP!U223,KHP!AA223,KHP!AG223,KHP!AM223))=12)*(CHOOSE({1,2,3,4},KHP!X223,KHP!AD223,KHP!AJ223,KHP!AP223)))</f>
        <v>0</v>
      </c>
    </row>
    <row r="224" spans="1:12">
      <c r="A224">
        <f>SUMPRODUCT((MONTH(CHOOSE({1,2,3,4},KHP!U224,KHP!AA224,KHP!AG224,KHP!AM224))=1)*(CHOOSE({1,2,3,4},KHP!X224,KHP!AD224,KHP!AJ224,KHP!AP224)))</f>
        <v>0</v>
      </c>
      <c r="B224">
        <f>SUMPRODUCT((MONTH(CHOOSE({1,2,3,4},KHP!U224,KHP!AA224,KHP!AG224,KHP!AM224))=2)*(CHOOSE({1,2,3,4},KHP!X224,KHP!AD224,KHP!AJ224,KHP!AP224)))</f>
        <v>0</v>
      </c>
      <c r="C224">
        <f>SUMPRODUCT((MONTH(CHOOSE({1,2,3,4},KHP!U224,KHP!AA224,KHP!AG224,KHP!AM224))=3)*(CHOOSE({1,2,3,4},KHP!X224,KHP!AD224,KHP!AJ224,KHP!AP224)))</f>
        <v>0</v>
      </c>
      <c r="D224">
        <f>SUMPRODUCT((MONTH(CHOOSE({1,2,3,4},KHP!U224,KHP!AA224,KHP!AG224,KHP!AM224))=4)*(CHOOSE({1,2,3,4},KHP!X224,KHP!AD224,KHP!AJ224,KHP!AP224)))</f>
        <v>0</v>
      </c>
      <c r="E224">
        <f>SUMPRODUCT((MONTH(CHOOSE({1,2,3,4},KHP!U224,KHP!AA224,KHP!AG224,KHP!AM224))=5)*(CHOOSE({1,2,3,4},KHP!X224,KHP!AD224,KHP!AJ224,KHP!AP224)))</f>
        <v>0</v>
      </c>
      <c r="F224">
        <f>SUMPRODUCT((MONTH(CHOOSE({1,2,3,4},KHP!U224,KHP!AA224,KHP!AG224,KHP!AM224))=6)*(CHOOSE({1,2,3,4},KHP!X224,KHP!AD224,KHP!AJ224,KHP!AP224)))</f>
        <v>0</v>
      </c>
      <c r="G224">
        <f>SUMPRODUCT((MONTH(CHOOSE({1,2,3,4},KHP!U224,KHP!AA224,KHP!AG224,KHP!AM224))=7)*(CHOOSE({1,2,3,4},KHP!X224,KHP!AD224,KHP!AJ224,KHP!AP224)))</f>
        <v>0</v>
      </c>
      <c r="H224">
        <f>SUMPRODUCT((MONTH(CHOOSE({1,2,3,4},KHP!U224,KHP!AA224,KHP!AG224,KHP!AM224))=8)*(CHOOSE({1,2,3,4},KHP!X224,KHP!AD224,KHP!AJ224,KHP!AP224)))</f>
        <v>0</v>
      </c>
      <c r="I224">
        <f>SUMPRODUCT((MONTH(CHOOSE({1,2,3,4},KHP!U224,KHP!AA224,KHP!AG224,KHP!AM224))=9)*(CHOOSE({1,2,3,4},KHP!X224,KHP!AD224,KHP!AJ224,KHP!AP224)))</f>
        <v>0</v>
      </c>
      <c r="J224">
        <f>SUMPRODUCT((MONTH(CHOOSE({1,2,3,4},KHP!U224,KHP!AA224,KHP!AG224,KHP!AM224))=10)*(CHOOSE({1,2,3,4},KHP!X224,KHP!AD224,KHP!AJ224,KHP!AP224)))</f>
        <v>0</v>
      </c>
      <c r="K224">
        <f>SUMPRODUCT((MONTH(CHOOSE({1,2,3,4},KHP!U224,KHP!AA224,KHP!AG224,KHP!AM224))=11)*(CHOOSE({1,2,3,4},KHP!X224,KHP!AD224,KHP!AJ224,KHP!AP224)))</f>
        <v>0</v>
      </c>
      <c r="L224">
        <f>SUMPRODUCT((MONTH(CHOOSE({1,2,3,4},KHP!U224,KHP!AA224,KHP!AG224,KHP!AM224))=12)*(CHOOSE({1,2,3,4},KHP!X224,KHP!AD224,KHP!AJ224,KHP!AP224)))</f>
        <v>0</v>
      </c>
    </row>
    <row r="225" spans="1:12">
      <c r="A225">
        <f>SUMPRODUCT((MONTH(CHOOSE({1,2,3,4},KHP!U225,KHP!AA225,KHP!AG225,KHP!AM225))=1)*(CHOOSE({1,2,3,4},KHP!X225,KHP!AD225,KHP!AJ225,KHP!AP225)))</f>
        <v>0</v>
      </c>
      <c r="B225">
        <f>SUMPRODUCT((MONTH(CHOOSE({1,2,3,4},KHP!U225,KHP!AA225,KHP!AG225,KHP!AM225))=2)*(CHOOSE({1,2,3,4},KHP!X225,KHP!AD225,KHP!AJ225,KHP!AP225)))</f>
        <v>0</v>
      </c>
      <c r="C225">
        <f>SUMPRODUCT((MONTH(CHOOSE({1,2,3,4},KHP!U225,KHP!AA225,KHP!AG225,KHP!AM225))=3)*(CHOOSE({1,2,3,4},KHP!X225,KHP!AD225,KHP!AJ225,KHP!AP225)))</f>
        <v>0</v>
      </c>
      <c r="D225">
        <f>SUMPRODUCT((MONTH(CHOOSE({1,2,3,4},KHP!U225,KHP!AA225,KHP!AG225,KHP!AM225))=4)*(CHOOSE({1,2,3,4},KHP!X225,KHP!AD225,KHP!AJ225,KHP!AP225)))</f>
        <v>0</v>
      </c>
      <c r="E225">
        <f>SUMPRODUCT((MONTH(CHOOSE({1,2,3,4},KHP!U225,KHP!AA225,KHP!AG225,KHP!AM225))=5)*(CHOOSE({1,2,3,4},KHP!X225,KHP!AD225,KHP!AJ225,KHP!AP225)))</f>
        <v>0</v>
      </c>
      <c r="F225">
        <f>SUMPRODUCT((MONTH(CHOOSE({1,2,3,4},KHP!U225,KHP!AA225,KHP!AG225,KHP!AM225))=6)*(CHOOSE({1,2,3,4},KHP!X225,KHP!AD225,KHP!AJ225,KHP!AP225)))</f>
        <v>0</v>
      </c>
      <c r="G225">
        <f>SUMPRODUCT((MONTH(CHOOSE({1,2,3,4},KHP!U225,KHP!AA225,KHP!AG225,KHP!AM225))=7)*(CHOOSE({1,2,3,4},KHP!X225,KHP!AD225,KHP!AJ225,KHP!AP225)))</f>
        <v>0</v>
      </c>
      <c r="H225">
        <f>SUMPRODUCT((MONTH(CHOOSE({1,2,3,4},KHP!U225,KHP!AA225,KHP!AG225,KHP!AM225))=8)*(CHOOSE({1,2,3,4},KHP!X225,KHP!AD225,KHP!AJ225,KHP!AP225)))</f>
        <v>0</v>
      </c>
      <c r="I225">
        <f>SUMPRODUCT((MONTH(CHOOSE({1,2,3,4},KHP!U225,KHP!AA225,KHP!AG225,KHP!AM225))=9)*(CHOOSE({1,2,3,4},KHP!X225,KHP!AD225,KHP!AJ225,KHP!AP225)))</f>
        <v>0</v>
      </c>
      <c r="J225">
        <f>SUMPRODUCT((MONTH(CHOOSE({1,2,3,4},KHP!U225,KHP!AA225,KHP!AG225,KHP!AM225))=10)*(CHOOSE({1,2,3,4},KHP!X225,KHP!AD225,KHP!AJ225,KHP!AP225)))</f>
        <v>0</v>
      </c>
      <c r="K225">
        <f>SUMPRODUCT((MONTH(CHOOSE({1,2,3,4},KHP!U225,KHP!AA225,KHP!AG225,KHP!AM225))=11)*(CHOOSE({1,2,3,4},KHP!X225,KHP!AD225,KHP!AJ225,KHP!AP225)))</f>
        <v>0</v>
      </c>
      <c r="L225">
        <f>SUMPRODUCT((MONTH(CHOOSE({1,2,3,4},KHP!U225,KHP!AA225,KHP!AG225,KHP!AM225))=12)*(CHOOSE({1,2,3,4},KHP!X225,KHP!AD225,KHP!AJ225,KHP!AP225)))</f>
        <v>0</v>
      </c>
    </row>
    <row r="226" spans="1:12">
      <c r="A226">
        <f>SUMPRODUCT((MONTH(CHOOSE({1,2,3,4},KHP!U226,KHP!AA226,KHP!AG226,KHP!AM226))=1)*(CHOOSE({1,2,3,4},KHP!X226,KHP!AD226,KHP!AJ226,KHP!AP226)))</f>
        <v>0</v>
      </c>
      <c r="B226">
        <f>SUMPRODUCT((MONTH(CHOOSE({1,2,3,4},KHP!U226,KHP!AA226,KHP!AG226,KHP!AM226))=2)*(CHOOSE({1,2,3,4},KHP!X226,KHP!AD226,KHP!AJ226,KHP!AP226)))</f>
        <v>0</v>
      </c>
      <c r="C226">
        <f>SUMPRODUCT((MONTH(CHOOSE({1,2,3,4},KHP!U226,KHP!AA226,KHP!AG226,KHP!AM226))=3)*(CHOOSE({1,2,3,4},KHP!X226,KHP!AD226,KHP!AJ226,KHP!AP226)))</f>
        <v>0</v>
      </c>
      <c r="D226">
        <f>SUMPRODUCT((MONTH(CHOOSE({1,2,3,4},KHP!U226,KHP!AA226,KHP!AG226,KHP!AM226))=4)*(CHOOSE({1,2,3,4},KHP!X226,KHP!AD226,KHP!AJ226,KHP!AP226)))</f>
        <v>0</v>
      </c>
      <c r="E226">
        <f>SUMPRODUCT((MONTH(CHOOSE({1,2,3,4},KHP!U226,KHP!AA226,KHP!AG226,KHP!AM226))=5)*(CHOOSE({1,2,3,4},KHP!X226,KHP!AD226,KHP!AJ226,KHP!AP226)))</f>
        <v>0</v>
      </c>
      <c r="F226">
        <f>SUMPRODUCT((MONTH(CHOOSE({1,2,3,4},KHP!U226,KHP!AA226,KHP!AG226,KHP!AM226))=6)*(CHOOSE({1,2,3,4},KHP!X226,KHP!AD226,KHP!AJ226,KHP!AP226)))</f>
        <v>0</v>
      </c>
      <c r="G226">
        <f>SUMPRODUCT((MONTH(CHOOSE({1,2,3,4},KHP!U226,KHP!AA226,KHP!AG226,KHP!AM226))=7)*(CHOOSE({1,2,3,4},KHP!X226,KHP!AD226,KHP!AJ226,KHP!AP226)))</f>
        <v>0</v>
      </c>
      <c r="H226">
        <f>SUMPRODUCT((MONTH(CHOOSE({1,2,3,4},KHP!U226,KHP!AA226,KHP!AG226,KHP!AM226))=8)*(CHOOSE({1,2,3,4},KHP!X226,KHP!AD226,KHP!AJ226,KHP!AP226)))</f>
        <v>0</v>
      </c>
      <c r="I226">
        <f>SUMPRODUCT((MONTH(CHOOSE({1,2,3,4},KHP!U226,KHP!AA226,KHP!AG226,KHP!AM226))=9)*(CHOOSE({1,2,3,4},KHP!X226,KHP!AD226,KHP!AJ226,KHP!AP226)))</f>
        <v>0</v>
      </c>
      <c r="J226">
        <f>SUMPRODUCT((MONTH(CHOOSE({1,2,3,4},KHP!U226,KHP!AA226,KHP!AG226,KHP!AM226))=10)*(CHOOSE({1,2,3,4},KHP!X226,KHP!AD226,KHP!AJ226,KHP!AP226)))</f>
        <v>0</v>
      </c>
      <c r="K226">
        <f>SUMPRODUCT((MONTH(CHOOSE({1,2,3,4},KHP!U226,KHP!AA226,KHP!AG226,KHP!AM226))=11)*(CHOOSE({1,2,3,4},KHP!X226,KHP!AD226,KHP!AJ226,KHP!AP226)))</f>
        <v>0</v>
      </c>
      <c r="L226">
        <f>SUMPRODUCT((MONTH(CHOOSE({1,2,3,4},KHP!U226,KHP!AA226,KHP!AG226,KHP!AM226))=12)*(CHOOSE({1,2,3,4},KHP!X226,KHP!AD226,KHP!AJ226,KHP!AP226)))</f>
        <v>0</v>
      </c>
    </row>
    <row r="227" spans="1:12">
      <c r="A227">
        <f>SUMPRODUCT((MONTH(CHOOSE({1,2,3,4},KHP!U227,KHP!AA227,KHP!AG227,KHP!AM227))=1)*(CHOOSE({1,2,3,4},KHP!X227,KHP!AD227,KHP!AJ227,KHP!AP227)))</f>
        <v>0</v>
      </c>
      <c r="B227">
        <f>SUMPRODUCT((MONTH(CHOOSE({1,2,3,4},KHP!U227,KHP!AA227,KHP!AG227,KHP!AM227))=2)*(CHOOSE({1,2,3,4},KHP!X227,KHP!AD227,KHP!AJ227,KHP!AP227)))</f>
        <v>0</v>
      </c>
      <c r="C227">
        <f>SUMPRODUCT((MONTH(CHOOSE({1,2,3,4},KHP!U227,KHP!AA227,KHP!AG227,KHP!AM227))=3)*(CHOOSE({1,2,3,4},KHP!X227,KHP!AD227,KHP!AJ227,KHP!AP227)))</f>
        <v>0</v>
      </c>
      <c r="D227">
        <f>SUMPRODUCT((MONTH(CHOOSE({1,2,3,4},KHP!U227,KHP!AA227,KHP!AG227,KHP!AM227))=4)*(CHOOSE({1,2,3,4},KHP!X227,KHP!AD227,KHP!AJ227,KHP!AP227)))</f>
        <v>0</v>
      </c>
      <c r="E227">
        <f>SUMPRODUCT((MONTH(CHOOSE({1,2,3,4},KHP!U227,KHP!AA227,KHP!AG227,KHP!AM227))=5)*(CHOOSE({1,2,3,4},KHP!X227,KHP!AD227,KHP!AJ227,KHP!AP227)))</f>
        <v>0</v>
      </c>
      <c r="F227">
        <f>SUMPRODUCT((MONTH(CHOOSE({1,2,3,4},KHP!U227,KHP!AA227,KHP!AG227,KHP!AM227))=6)*(CHOOSE({1,2,3,4},KHP!X227,KHP!AD227,KHP!AJ227,KHP!AP227)))</f>
        <v>0</v>
      </c>
      <c r="G227">
        <f>SUMPRODUCT((MONTH(CHOOSE({1,2,3,4},KHP!U227,KHP!AA227,KHP!AG227,KHP!AM227))=7)*(CHOOSE({1,2,3,4},KHP!X227,KHP!AD227,KHP!AJ227,KHP!AP227)))</f>
        <v>0</v>
      </c>
      <c r="H227">
        <f>SUMPRODUCT((MONTH(CHOOSE({1,2,3,4},KHP!U227,KHP!AA227,KHP!AG227,KHP!AM227))=8)*(CHOOSE({1,2,3,4},KHP!X227,KHP!AD227,KHP!AJ227,KHP!AP227)))</f>
        <v>0</v>
      </c>
      <c r="I227">
        <f>SUMPRODUCT((MONTH(CHOOSE({1,2,3,4},KHP!U227,KHP!AA227,KHP!AG227,KHP!AM227))=9)*(CHOOSE({1,2,3,4},KHP!X227,KHP!AD227,KHP!AJ227,KHP!AP227)))</f>
        <v>0</v>
      </c>
      <c r="J227">
        <f>SUMPRODUCT((MONTH(CHOOSE({1,2,3,4},KHP!U227,KHP!AA227,KHP!AG227,KHP!AM227))=10)*(CHOOSE({1,2,3,4},KHP!X227,KHP!AD227,KHP!AJ227,KHP!AP227)))</f>
        <v>0</v>
      </c>
      <c r="K227">
        <f>SUMPRODUCT((MONTH(CHOOSE({1,2,3,4},KHP!U227,KHP!AA227,KHP!AG227,KHP!AM227))=11)*(CHOOSE({1,2,3,4},KHP!X227,KHP!AD227,KHP!AJ227,KHP!AP227)))</f>
        <v>0</v>
      </c>
      <c r="L227">
        <f>SUMPRODUCT((MONTH(CHOOSE({1,2,3,4},KHP!U227,KHP!AA227,KHP!AG227,KHP!AM227))=12)*(CHOOSE({1,2,3,4},KHP!X227,KHP!AD227,KHP!AJ227,KHP!AP227)))</f>
        <v>0</v>
      </c>
    </row>
    <row r="228" spans="1:12">
      <c r="A228">
        <f>SUMPRODUCT((MONTH(CHOOSE({1,2,3,4},KHP!U228,KHP!AA228,KHP!AG228,KHP!AM228))=1)*(CHOOSE({1,2,3,4},KHP!X228,KHP!AD228,KHP!AJ228,KHP!AP228)))</f>
        <v>0</v>
      </c>
      <c r="B228">
        <f>SUMPRODUCT((MONTH(CHOOSE({1,2,3,4},KHP!U228,KHP!AA228,KHP!AG228,KHP!AM228))=2)*(CHOOSE({1,2,3,4},KHP!X228,KHP!AD228,KHP!AJ228,KHP!AP228)))</f>
        <v>0</v>
      </c>
      <c r="C228">
        <f>SUMPRODUCT((MONTH(CHOOSE({1,2,3,4},KHP!U228,KHP!AA228,KHP!AG228,KHP!AM228))=3)*(CHOOSE({1,2,3,4},KHP!X228,KHP!AD228,KHP!AJ228,KHP!AP228)))</f>
        <v>0</v>
      </c>
      <c r="D228">
        <f>SUMPRODUCT((MONTH(CHOOSE({1,2,3,4},KHP!U228,KHP!AA228,KHP!AG228,KHP!AM228))=4)*(CHOOSE({1,2,3,4},KHP!X228,KHP!AD228,KHP!AJ228,KHP!AP228)))</f>
        <v>0</v>
      </c>
      <c r="E228">
        <f>SUMPRODUCT((MONTH(CHOOSE({1,2,3,4},KHP!U228,KHP!AA228,KHP!AG228,KHP!AM228))=5)*(CHOOSE({1,2,3,4},KHP!X228,KHP!AD228,KHP!AJ228,KHP!AP228)))</f>
        <v>0</v>
      </c>
      <c r="F228">
        <f>SUMPRODUCT((MONTH(CHOOSE({1,2,3,4},KHP!U228,KHP!AA228,KHP!AG228,KHP!AM228))=6)*(CHOOSE({1,2,3,4},KHP!X228,KHP!AD228,KHP!AJ228,KHP!AP228)))</f>
        <v>0</v>
      </c>
      <c r="G228">
        <f>SUMPRODUCT((MONTH(CHOOSE({1,2,3,4},KHP!U228,KHP!AA228,KHP!AG228,KHP!AM228))=7)*(CHOOSE({1,2,3,4},KHP!X228,KHP!AD228,KHP!AJ228,KHP!AP228)))</f>
        <v>0</v>
      </c>
      <c r="H228">
        <f>SUMPRODUCT((MONTH(CHOOSE({1,2,3,4},KHP!U228,KHP!AA228,KHP!AG228,KHP!AM228))=8)*(CHOOSE({1,2,3,4},KHP!X228,KHP!AD228,KHP!AJ228,KHP!AP228)))</f>
        <v>0</v>
      </c>
      <c r="I228">
        <f>SUMPRODUCT((MONTH(CHOOSE({1,2,3,4},KHP!U228,KHP!AA228,KHP!AG228,KHP!AM228))=9)*(CHOOSE({1,2,3,4},KHP!X228,KHP!AD228,KHP!AJ228,KHP!AP228)))</f>
        <v>0</v>
      </c>
      <c r="J228">
        <f>SUMPRODUCT((MONTH(CHOOSE({1,2,3,4},KHP!U228,KHP!AA228,KHP!AG228,KHP!AM228))=10)*(CHOOSE({1,2,3,4},KHP!X228,KHP!AD228,KHP!AJ228,KHP!AP228)))</f>
        <v>0</v>
      </c>
      <c r="K228">
        <f>SUMPRODUCT((MONTH(CHOOSE({1,2,3,4},KHP!U228,KHP!AA228,KHP!AG228,KHP!AM228))=11)*(CHOOSE({1,2,3,4},KHP!X228,KHP!AD228,KHP!AJ228,KHP!AP228)))</f>
        <v>0</v>
      </c>
      <c r="L228">
        <f>SUMPRODUCT((MONTH(CHOOSE({1,2,3,4},KHP!U228,KHP!AA228,KHP!AG228,KHP!AM228))=12)*(CHOOSE({1,2,3,4},KHP!X228,KHP!AD228,KHP!AJ228,KHP!AP228)))</f>
        <v>0</v>
      </c>
    </row>
    <row r="229" spans="1:12">
      <c r="A229">
        <f>SUMPRODUCT((MONTH(CHOOSE({1,2,3,4},KHP!U229,KHP!AA229,KHP!AG229,KHP!AM229))=1)*(CHOOSE({1,2,3,4},KHP!X229,KHP!AD229,KHP!AJ229,KHP!AP229)))</f>
        <v>0</v>
      </c>
      <c r="B229">
        <f>SUMPRODUCT((MONTH(CHOOSE({1,2,3,4},KHP!U229,KHP!AA229,KHP!AG229,KHP!AM229))=2)*(CHOOSE({1,2,3,4},KHP!X229,KHP!AD229,KHP!AJ229,KHP!AP229)))</f>
        <v>0</v>
      </c>
      <c r="C229">
        <f>SUMPRODUCT((MONTH(CHOOSE({1,2,3,4},KHP!U229,KHP!AA229,KHP!AG229,KHP!AM229))=3)*(CHOOSE({1,2,3,4},KHP!X229,KHP!AD229,KHP!AJ229,KHP!AP229)))</f>
        <v>0</v>
      </c>
      <c r="D229">
        <f>SUMPRODUCT((MONTH(CHOOSE({1,2,3,4},KHP!U229,KHP!AA229,KHP!AG229,KHP!AM229))=4)*(CHOOSE({1,2,3,4},KHP!X229,KHP!AD229,KHP!AJ229,KHP!AP229)))</f>
        <v>0</v>
      </c>
      <c r="E229">
        <f>SUMPRODUCT((MONTH(CHOOSE({1,2,3,4},KHP!U229,KHP!AA229,KHP!AG229,KHP!AM229))=5)*(CHOOSE({1,2,3,4},KHP!X229,KHP!AD229,KHP!AJ229,KHP!AP229)))</f>
        <v>0</v>
      </c>
      <c r="F229">
        <f>SUMPRODUCT((MONTH(CHOOSE({1,2,3,4},KHP!U229,KHP!AA229,KHP!AG229,KHP!AM229))=6)*(CHOOSE({1,2,3,4},KHP!X229,KHP!AD229,KHP!AJ229,KHP!AP229)))</f>
        <v>0</v>
      </c>
      <c r="G229">
        <f>SUMPRODUCT((MONTH(CHOOSE({1,2,3,4},KHP!U229,KHP!AA229,KHP!AG229,KHP!AM229))=7)*(CHOOSE({1,2,3,4},KHP!X229,KHP!AD229,KHP!AJ229,KHP!AP229)))</f>
        <v>0</v>
      </c>
      <c r="H229">
        <f>SUMPRODUCT((MONTH(CHOOSE({1,2,3,4},KHP!U229,KHP!AA229,KHP!AG229,KHP!AM229))=8)*(CHOOSE({1,2,3,4},KHP!X229,KHP!AD229,KHP!AJ229,KHP!AP229)))</f>
        <v>0</v>
      </c>
      <c r="I229">
        <f>SUMPRODUCT((MONTH(CHOOSE({1,2,3,4},KHP!U229,KHP!AA229,KHP!AG229,KHP!AM229))=9)*(CHOOSE({1,2,3,4},KHP!X229,KHP!AD229,KHP!AJ229,KHP!AP229)))</f>
        <v>0</v>
      </c>
      <c r="J229">
        <f>SUMPRODUCT((MONTH(CHOOSE({1,2,3,4},KHP!U229,KHP!AA229,KHP!AG229,KHP!AM229))=10)*(CHOOSE({1,2,3,4},KHP!X229,KHP!AD229,KHP!AJ229,KHP!AP229)))</f>
        <v>0</v>
      </c>
      <c r="K229">
        <f>SUMPRODUCT((MONTH(CHOOSE({1,2,3,4},KHP!U229,KHP!AA229,KHP!AG229,KHP!AM229))=11)*(CHOOSE({1,2,3,4},KHP!X229,KHP!AD229,KHP!AJ229,KHP!AP229)))</f>
        <v>0</v>
      </c>
      <c r="L229">
        <f>SUMPRODUCT((MONTH(CHOOSE({1,2,3,4},KHP!U229,KHP!AA229,KHP!AG229,KHP!AM229))=12)*(CHOOSE({1,2,3,4},KHP!X229,KHP!AD229,KHP!AJ229,KHP!AP229)))</f>
        <v>0</v>
      </c>
    </row>
    <row r="230" spans="1:12">
      <c r="A230">
        <f>SUMPRODUCT((MONTH(CHOOSE({1,2,3,4},KHP!U230,KHP!AA230,KHP!AG230,KHP!AM230))=1)*(CHOOSE({1,2,3,4},KHP!X230,KHP!AD230,KHP!AJ230,KHP!AP230)))</f>
        <v>0</v>
      </c>
      <c r="B230">
        <f>SUMPRODUCT((MONTH(CHOOSE({1,2,3,4},KHP!U230,KHP!AA230,KHP!AG230,KHP!AM230))=2)*(CHOOSE({1,2,3,4},KHP!X230,KHP!AD230,KHP!AJ230,KHP!AP230)))</f>
        <v>0</v>
      </c>
      <c r="C230">
        <f>SUMPRODUCT((MONTH(CHOOSE({1,2,3,4},KHP!U230,KHP!AA230,KHP!AG230,KHP!AM230))=3)*(CHOOSE({1,2,3,4},KHP!X230,KHP!AD230,KHP!AJ230,KHP!AP230)))</f>
        <v>0</v>
      </c>
      <c r="D230">
        <f>SUMPRODUCT((MONTH(CHOOSE({1,2,3,4},KHP!U230,KHP!AA230,KHP!AG230,KHP!AM230))=4)*(CHOOSE({1,2,3,4},KHP!X230,KHP!AD230,KHP!AJ230,KHP!AP230)))</f>
        <v>0</v>
      </c>
      <c r="E230">
        <f>SUMPRODUCT((MONTH(CHOOSE({1,2,3,4},KHP!U230,KHP!AA230,KHP!AG230,KHP!AM230))=5)*(CHOOSE({1,2,3,4},KHP!X230,KHP!AD230,KHP!AJ230,KHP!AP230)))</f>
        <v>0</v>
      </c>
      <c r="F230">
        <f>SUMPRODUCT((MONTH(CHOOSE({1,2,3,4},KHP!U230,KHP!AA230,KHP!AG230,KHP!AM230))=6)*(CHOOSE({1,2,3,4},KHP!X230,KHP!AD230,KHP!AJ230,KHP!AP230)))</f>
        <v>0</v>
      </c>
      <c r="G230">
        <f>SUMPRODUCT((MONTH(CHOOSE({1,2,3,4},KHP!U230,KHP!AA230,KHP!AG230,KHP!AM230))=7)*(CHOOSE({1,2,3,4},KHP!X230,KHP!AD230,KHP!AJ230,KHP!AP230)))</f>
        <v>0</v>
      </c>
      <c r="H230">
        <f>SUMPRODUCT((MONTH(CHOOSE({1,2,3,4},KHP!U230,KHP!AA230,KHP!AG230,KHP!AM230))=8)*(CHOOSE({1,2,3,4},KHP!X230,KHP!AD230,KHP!AJ230,KHP!AP230)))</f>
        <v>0</v>
      </c>
      <c r="I230">
        <f>SUMPRODUCT((MONTH(CHOOSE({1,2,3,4},KHP!U230,KHP!AA230,KHP!AG230,KHP!AM230))=9)*(CHOOSE({1,2,3,4},KHP!X230,KHP!AD230,KHP!AJ230,KHP!AP230)))</f>
        <v>0</v>
      </c>
      <c r="J230">
        <f>SUMPRODUCT((MONTH(CHOOSE({1,2,3,4},KHP!U230,KHP!AA230,KHP!AG230,KHP!AM230))=10)*(CHOOSE({1,2,3,4},KHP!X230,KHP!AD230,KHP!AJ230,KHP!AP230)))</f>
        <v>0</v>
      </c>
      <c r="K230">
        <f>SUMPRODUCT((MONTH(CHOOSE({1,2,3,4},KHP!U230,KHP!AA230,KHP!AG230,KHP!AM230))=11)*(CHOOSE({1,2,3,4},KHP!X230,KHP!AD230,KHP!AJ230,KHP!AP230)))</f>
        <v>0</v>
      </c>
      <c r="L230">
        <f>SUMPRODUCT((MONTH(CHOOSE({1,2,3,4},KHP!U230,KHP!AA230,KHP!AG230,KHP!AM230))=12)*(CHOOSE({1,2,3,4},KHP!X230,KHP!AD230,KHP!AJ230,KHP!AP230)))</f>
        <v>0</v>
      </c>
    </row>
    <row r="231" spans="1:12">
      <c r="A231">
        <f>SUMPRODUCT((MONTH(CHOOSE({1,2,3,4},KHP!U231,KHP!AA231,KHP!AG231,KHP!AM231))=1)*(CHOOSE({1,2,3,4},KHP!X231,KHP!AD231,KHP!AJ231,KHP!AP231)))</f>
        <v>0</v>
      </c>
      <c r="B231">
        <f>SUMPRODUCT((MONTH(CHOOSE({1,2,3,4},KHP!U231,KHP!AA231,KHP!AG231,KHP!AM231))=2)*(CHOOSE({1,2,3,4},KHP!X231,KHP!AD231,KHP!AJ231,KHP!AP231)))</f>
        <v>0</v>
      </c>
      <c r="C231">
        <f>SUMPRODUCT((MONTH(CHOOSE({1,2,3,4},KHP!U231,KHP!AA231,KHP!AG231,KHP!AM231))=3)*(CHOOSE({1,2,3,4},KHP!X231,KHP!AD231,KHP!AJ231,KHP!AP231)))</f>
        <v>0</v>
      </c>
      <c r="D231">
        <f>SUMPRODUCT((MONTH(CHOOSE({1,2,3,4},KHP!U231,KHP!AA231,KHP!AG231,KHP!AM231))=4)*(CHOOSE({1,2,3,4},KHP!X231,KHP!AD231,KHP!AJ231,KHP!AP231)))</f>
        <v>0</v>
      </c>
      <c r="E231">
        <f>SUMPRODUCT((MONTH(CHOOSE({1,2,3,4},KHP!U231,KHP!AA231,KHP!AG231,KHP!AM231))=5)*(CHOOSE({1,2,3,4},KHP!X231,KHP!AD231,KHP!AJ231,KHP!AP231)))</f>
        <v>0</v>
      </c>
      <c r="F231">
        <f>SUMPRODUCT((MONTH(CHOOSE({1,2,3,4},KHP!U231,KHP!AA231,KHP!AG231,KHP!AM231))=6)*(CHOOSE({1,2,3,4},KHP!X231,KHP!AD231,KHP!AJ231,KHP!AP231)))</f>
        <v>0</v>
      </c>
      <c r="G231">
        <f>SUMPRODUCT((MONTH(CHOOSE({1,2,3,4},KHP!U231,KHP!AA231,KHP!AG231,KHP!AM231))=7)*(CHOOSE({1,2,3,4},KHP!X231,KHP!AD231,KHP!AJ231,KHP!AP231)))</f>
        <v>0</v>
      </c>
      <c r="H231">
        <f>SUMPRODUCT((MONTH(CHOOSE({1,2,3,4},KHP!U231,KHP!AA231,KHP!AG231,KHP!AM231))=8)*(CHOOSE({1,2,3,4},KHP!X231,KHP!AD231,KHP!AJ231,KHP!AP231)))</f>
        <v>0</v>
      </c>
      <c r="I231">
        <f>SUMPRODUCT((MONTH(CHOOSE({1,2,3,4},KHP!U231,KHP!AA231,KHP!AG231,KHP!AM231))=9)*(CHOOSE({1,2,3,4},KHP!X231,KHP!AD231,KHP!AJ231,KHP!AP231)))</f>
        <v>0</v>
      </c>
      <c r="J231">
        <f>SUMPRODUCT((MONTH(CHOOSE({1,2,3,4},KHP!U231,KHP!AA231,KHP!AG231,KHP!AM231))=10)*(CHOOSE({1,2,3,4},KHP!X231,KHP!AD231,KHP!AJ231,KHP!AP231)))</f>
        <v>0</v>
      </c>
      <c r="K231">
        <f>SUMPRODUCT((MONTH(CHOOSE({1,2,3,4},KHP!U231,KHP!AA231,KHP!AG231,KHP!AM231))=11)*(CHOOSE({1,2,3,4},KHP!X231,KHP!AD231,KHP!AJ231,KHP!AP231)))</f>
        <v>0</v>
      </c>
      <c r="L231">
        <f>SUMPRODUCT((MONTH(CHOOSE({1,2,3,4},KHP!U231,KHP!AA231,KHP!AG231,KHP!AM231))=12)*(CHOOSE({1,2,3,4},KHP!X231,KHP!AD231,KHP!AJ231,KHP!AP231)))</f>
        <v>0</v>
      </c>
    </row>
    <row r="232" spans="1:12">
      <c r="A232">
        <f>SUMPRODUCT((MONTH(CHOOSE({1,2,3,4},KHP!U232,KHP!AA232,KHP!AG232,KHP!AM232))=1)*(CHOOSE({1,2,3,4},KHP!X232,KHP!AD232,KHP!AJ232,KHP!AP232)))</f>
        <v>0</v>
      </c>
      <c r="B232">
        <f>SUMPRODUCT((MONTH(CHOOSE({1,2,3,4},KHP!U232,KHP!AA232,KHP!AG232,KHP!AM232))=2)*(CHOOSE({1,2,3,4},KHP!X232,KHP!AD232,KHP!AJ232,KHP!AP232)))</f>
        <v>0</v>
      </c>
      <c r="C232">
        <f>SUMPRODUCT((MONTH(CHOOSE({1,2,3,4},KHP!U232,KHP!AA232,KHP!AG232,KHP!AM232))=3)*(CHOOSE({1,2,3,4},KHP!X232,KHP!AD232,KHP!AJ232,KHP!AP232)))</f>
        <v>0</v>
      </c>
      <c r="D232">
        <f>SUMPRODUCT((MONTH(CHOOSE({1,2,3,4},KHP!U232,KHP!AA232,KHP!AG232,KHP!AM232))=4)*(CHOOSE({1,2,3,4},KHP!X232,KHP!AD232,KHP!AJ232,KHP!AP232)))</f>
        <v>0</v>
      </c>
      <c r="E232">
        <f>SUMPRODUCT((MONTH(CHOOSE({1,2,3,4},KHP!U232,KHP!AA232,KHP!AG232,KHP!AM232))=5)*(CHOOSE({1,2,3,4},KHP!X232,KHP!AD232,KHP!AJ232,KHP!AP232)))</f>
        <v>0</v>
      </c>
      <c r="F232">
        <f>SUMPRODUCT((MONTH(CHOOSE({1,2,3,4},KHP!U232,KHP!AA232,KHP!AG232,KHP!AM232))=6)*(CHOOSE({1,2,3,4},KHP!X232,KHP!AD232,KHP!AJ232,KHP!AP232)))</f>
        <v>0</v>
      </c>
      <c r="G232">
        <f>SUMPRODUCT((MONTH(CHOOSE({1,2,3,4},KHP!U232,KHP!AA232,KHP!AG232,KHP!AM232))=7)*(CHOOSE({1,2,3,4},KHP!X232,KHP!AD232,KHP!AJ232,KHP!AP232)))</f>
        <v>0</v>
      </c>
      <c r="H232">
        <f>SUMPRODUCT((MONTH(CHOOSE({1,2,3,4},KHP!U232,KHP!AA232,KHP!AG232,KHP!AM232))=8)*(CHOOSE({1,2,3,4},KHP!X232,KHP!AD232,KHP!AJ232,KHP!AP232)))</f>
        <v>0</v>
      </c>
      <c r="I232">
        <f>SUMPRODUCT((MONTH(CHOOSE({1,2,3,4},KHP!U232,KHP!AA232,KHP!AG232,KHP!AM232))=9)*(CHOOSE({1,2,3,4},KHP!X232,KHP!AD232,KHP!AJ232,KHP!AP232)))</f>
        <v>0</v>
      </c>
      <c r="J232">
        <f>SUMPRODUCT((MONTH(CHOOSE({1,2,3,4},KHP!U232,KHP!AA232,KHP!AG232,KHP!AM232))=10)*(CHOOSE({1,2,3,4},KHP!X232,KHP!AD232,KHP!AJ232,KHP!AP232)))</f>
        <v>0</v>
      </c>
      <c r="K232">
        <f>SUMPRODUCT((MONTH(CHOOSE({1,2,3,4},KHP!U232,KHP!AA232,KHP!AG232,KHP!AM232))=11)*(CHOOSE({1,2,3,4},KHP!X232,KHP!AD232,KHP!AJ232,KHP!AP232)))</f>
        <v>0</v>
      </c>
      <c r="L232">
        <f>SUMPRODUCT((MONTH(CHOOSE({1,2,3,4},KHP!U232,KHP!AA232,KHP!AG232,KHP!AM232))=12)*(CHOOSE({1,2,3,4},KHP!X232,KHP!AD232,KHP!AJ232,KHP!AP232)))</f>
        <v>0</v>
      </c>
    </row>
    <row r="233" spans="1:12">
      <c r="A233">
        <f>SUMPRODUCT((MONTH(CHOOSE({1,2,3,4},KHP!U233,KHP!AA233,KHP!AG233,KHP!AM233))=1)*(CHOOSE({1,2,3,4},KHP!X233,KHP!AD233,KHP!AJ233,KHP!AP233)))</f>
        <v>0</v>
      </c>
      <c r="B233">
        <f>SUMPRODUCT((MONTH(CHOOSE({1,2,3,4},KHP!U233,KHP!AA233,KHP!AG233,KHP!AM233))=2)*(CHOOSE({1,2,3,4},KHP!X233,KHP!AD233,KHP!AJ233,KHP!AP233)))</f>
        <v>0</v>
      </c>
      <c r="C233">
        <f>SUMPRODUCT((MONTH(CHOOSE({1,2,3,4},KHP!U233,KHP!AA233,KHP!AG233,KHP!AM233))=3)*(CHOOSE({1,2,3,4},KHP!X233,KHP!AD233,KHP!AJ233,KHP!AP233)))</f>
        <v>0</v>
      </c>
      <c r="D233">
        <f>SUMPRODUCT((MONTH(CHOOSE({1,2,3,4},KHP!U233,KHP!AA233,KHP!AG233,KHP!AM233))=4)*(CHOOSE({1,2,3,4},KHP!X233,KHP!AD233,KHP!AJ233,KHP!AP233)))</f>
        <v>0</v>
      </c>
      <c r="E233">
        <f>SUMPRODUCT((MONTH(CHOOSE({1,2,3,4},KHP!U233,KHP!AA233,KHP!AG233,KHP!AM233))=5)*(CHOOSE({1,2,3,4},KHP!X233,KHP!AD233,KHP!AJ233,KHP!AP233)))</f>
        <v>0</v>
      </c>
      <c r="F233">
        <f>SUMPRODUCT((MONTH(CHOOSE({1,2,3,4},KHP!U233,KHP!AA233,KHP!AG233,KHP!AM233))=6)*(CHOOSE({1,2,3,4},KHP!X233,KHP!AD233,KHP!AJ233,KHP!AP233)))</f>
        <v>0</v>
      </c>
      <c r="G233">
        <f>SUMPRODUCT((MONTH(CHOOSE({1,2,3,4},KHP!U233,KHP!AA233,KHP!AG233,KHP!AM233))=7)*(CHOOSE({1,2,3,4},KHP!X233,KHP!AD233,KHP!AJ233,KHP!AP233)))</f>
        <v>0</v>
      </c>
      <c r="H233">
        <f>SUMPRODUCT((MONTH(CHOOSE({1,2,3,4},KHP!U233,KHP!AA233,KHP!AG233,KHP!AM233))=8)*(CHOOSE({1,2,3,4},KHP!X233,KHP!AD233,KHP!AJ233,KHP!AP233)))</f>
        <v>0</v>
      </c>
      <c r="I233">
        <f>SUMPRODUCT((MONTH(CHOOSE({1,2,3,4},KHP!U233,KHP!AA233,KHP!AG233,KHP!AM233))=9)*(CHOOSE({1,2,3,4},KHP!X233,KHP!AD233,KHP!AJ233,KHP!AP233)))</f>
        <v>0</v>
      </c>
      <c r="J233">
        <f>SUMPRODUCT((MONTH(CHOOSE({1,2,3,4},KHP!U233,KHP!AA233,KHP!AG233,KHP!AM233))=10)*(CHOOSE({1,2,3,4},KHP!X233,KHP!AD233,KHP!AJ233,KHP!AP233)))</f>
        <v>0</v>
      </c>
      <c r="K233">
        <f>SUMPRODUCT((MONTH(CHOOSE({1,2,3,4},KHP!U233,KHP!AA233,KHP!AG233,KHP!AM233))=11)*(CHOOSE({1,2,3,4},KHP!X233,KHP!AD233,KHP!AJ233,KHP!AP233)))</f>
        <v>0</v>
      </c>
      <c r="L233">
        <f>SUMPRODUCT((MONTH(CHOOSE({1,2,3,4},KHP!U233,KHP!AA233,KHP!AG233,KHP!AM233))=12)*(CHOOSE({1,2,3,4},KHP!X233,KHP!AD233,KHP!AJ233,KHP!AP233)))</f>
        <v>0</v>
      </c>
    </row>
    <row r="234" spans="1:12">
      <c r="A234">
        <f>SUMPRODUCT((MONTH(CHOOSE({1,2,3,4},KHP!U234,KHP!AA234,KHP!AG234,KHP!AM234))=1)*(CHOOSE({1,2,3,4},KHP!X234,KHP!AD234,KHP!AJ234,KHP!AP234)))</f>
        <v>0</v>
      </c>
      <c r="B234">
        <f>SUMPRODUCT((MONTH(CHOOSE({1,2,3,4},KHP!U234,KHP!AA234,KHP!AG234,KHP!AM234))=2)*(CHOOSE({1,2,3,4},KHP!X234,KHP!AD234,KHP!AJ234,KHP!AP234)))</f>
        <v>0</v>
      </c>
      <c r="C234">
        <f>SUMPRODUCT((MONTH(CHOOSE({1,2,3,4},KHP!U234,KHP!AA234,KHP!AG234,KHP!AM234))=3)*(CHOOSE({1,2,3,4},KHP!X234,KHP!AD234,KHP!AJ234,KHP!AP234)))</f>
        <v>0</v>
      </c>
      <c r="D234">
        <f>SUMPRODUCT((MONTH(CHOOSE({1,2,3,4},KHP!U234,KHP!AA234,KHP!AG234,KHP!AM234))=4)*(CHOOSE({1,2,3,4},KHP!X234,KHP!AD234,KHP!AJ234,KHP!AP234)))</f>
        <v>0</v>
      </c>
      <c r="E234">
        <f>SUMPRODUCT((MONTH(CHOOSE({1,2,3,4},KHP!U234,KHP!AA234,KHP!AG234,KHP!AM234))=5)*(CHOOSE({1,2,3,4},KHP!X234,KHP!AD234,KHP!AJ234,KHP!AP234)))</f>
        <v>0</v>
      </c>
      <c r="F234">
        <f>SUMPRODUCT((MONTH(CHOOSE({1,2,3,4},KHP!U234,KHP!AA234,KHP!AG234,KHP!AM234))=6)*(CHOOSE({1,2,3,4},KHP!X234,KHP!AD234,KHP!AJ234,KHP!AP234)))</f>
        <v>0</v>
      </c>
      <c r="G234">
        <f>SUMPRODUCT((MONTH(CHOOSE({1,2,3,4},KHP!U234,KHP!AA234,KHP!AG234,KHP!AM234))=7)*(CHOOSE({1,2,3,4},KHP!X234,KHP!AD234,KHP!AJ234,KHP!AP234)))</f>
        <v>0</v>
      </c>
      <c r="H234">
        <f>SUMPRODUCT((MONTH(CHOOSE({1,2,3,4},KHP!U234,KHP!AA234,KHP!AG234,KHP!AM234))=8)*(CHOOSE({1,2,3,4},KHP!X234,KHP!AD234,KHP!AJ234,KHP!AP234)))</f>
        <v>0</v>
      </c>
      <c r="I234">
        <f>SUMPRODUCT((MONTH(CHOOSE({1,2,3,4},KHP!U234,KHP!AA234,KHP!AG234,KHP!AM234))=9)*(CHOOSE({1,2,3,4},KHP!X234,KHP!AD234,KHP!AJ234,KHP!AP234)))</f>
        <v>0</v>
      </c>
      <c r="J234">
        <f>SUMPRODUCT((MONTH(CHOOSE({1,2,3,4},KHP!U234,KHP!AA234,KHP!AG234,KHP!AM234))=10)*(CHOOSE({1,2,3,4},KHP!X234,KHP!AD234,KHP!AJ234,KHP!AP234)))</f>
        <v>0</v>
      </c>
      <c r="K234">
        <f>SUMPRODUCT((MONTH(CHOOSE({1,2,3,4},KHP!U234,KHP!AA234,KHP!AG234,KHP!AM234))=11)*(CHOOSE({1,2,3,4},KHP!X234,KHP!AD234,KHP!AJ234,KHP!AP234)))</f>
        <v>0</v>
      </c>
      <c r="L234">
        <f>SUMPRODUCT((MONTH(CHOOSE({1,2,3,4},KHP!U234,KHP!AA234,KHP!AG234,KHP!AM234))=12)*(CHOOSE({1,2,3,4},KHP!X234,KHP!AD234,KHP!AJ234,KHP!AP234)))</f>
        <v>0</v>
      </c>
    </row>
    <row r="235" spans="1:12">
      <c r="A235">
        <f>SUMPRODUCT((MONTH(CHOOSE({1,2,3,4},KHP!U235,KHP!AA235,KHP!AG235,KHP!AM235))=1)*(CHOOSE({1,2,3,4},KHP!X235,KHP!AD235,KHP!AJ235,KHP!AP235)))</f>
        <v>0</v>
      </c>
      <c r="B235">
        <f>SUMPRODUCT((MONTH(CHOOSE({1,2,3,4},KHP!U235,KHP!AA235,KHP!AG235,KHP!AM235))=2)*(CHOOSE({1,2,3,4},KHP!X235,KHP!AD235,KHP!AJ235,KHP!AP235)))</f>
        <v>0</v>
      </c>
      <c r="C235">
        <f>SUMPRODUCT((MONTH(CHOOSE({1,2,3,4},KHP!U235,KHP!AA235,KHP!AG235,KHP!AM235))=3)*(CHOOSE({1,2,3,4},KHP!X235,KHP!AD235,KHP!AJ235,KHP!AP235)))</f>
        <v>0</v>
      </c>
      <c r="D235">
        <f>SUMPRODUCT((MONTH(CHOOSE({1,2,3,4},KHP!U235,KHP!AA235,KHP!AG235,KHP!AM235))=4)*(CHOOSE({1,2,3,4},KHP!X235,KHP!AD235,KHP!AJ235,KHP!AP235)))</f>
        <v>0</v>
      </c>
      <c r="E235">
        <f>SUMPRODUCT((MONTH(CHOOSE({1,2,3,4},KHP!U235,KHP!AA235,KHP!AG235,KHP!AM235))=5)*(CHOOSE({1,2,3,4},KHP!X235,KHP!AD235,KHP!AJ235,KHP!AP235)))</f>
        <v>0</v>
      </c>
      <c r="F235">
        <f>SUMPRODUCT((MONTH(CHOOSE({1,2,3,4},KHP!U235,KHP!AA235,KHP!AG235,KHP!AM235))=6)*(CHOOSE({1,2,3,4},KHP!X235,KHP!AD235,KHP!AJ235,KHP!AP235)))</f>
        <v>0</v>
      </c>
      <c r="G235">
        <f>SUMPRODUCT((MONTH(CHOOSE({1,2,3,4},KHP!U235,KHP!AA235,KHP!AG235,KHP!AM235))=7)*(CHOOSE({1,2,3,4},KHP!X235,KHP!AD235,KHP!AJ235,KHP!AP235)))</f>
        <v>0</v>
      </c>
      <c r="H235">
        <f>SUMPRODUCT((MONTH(CHOOSE({1,2,3,4},KHP!U235,KHP!AA235,KHP!AG235,KHP!AM235))=8)*(CHOOSE({1,2,3,4},KHP!X235,KHP!AD235,KHP!AJ235,KHP!AP235)))</f>
        <v>0</v>
      </c>
      <c r="I235">
        <f>SUMPRODUCT((MONTH(CHOOSE({1,2,3,4},KHP!U235,KHP!AA235,KHP!AG235,KHP!AM235))=9)*(CHOOSE({1,2,3,4},KHP!X235,KHP!AD235,KHP!AJ235,KHP!AP235)))</f>
        <v>0</v>
      </c>
      <c r="J235">
        <f>SUMPRODUCT((MONTH(CHOOSE({1,2,3,4},KHP!U235,KHP!AA235,KHP!AG235,KHP!AM235))=10)*(CHOOSE({1,2,3,4},KHP!X235,KHP!AD235,KHP!AJ235,KHP!AP235)))</f>
        <v>0</v>
      </c>
      <c r="K235">
        <f>SUMPRODUCT((MONTH(CHOOSE({1,2,3,4},KHP!U235,KHP!AA235,KHP!AG235,KHP!AM235))=11)*(CHOOSE({1,2,3,4},KHP!X235,KHP!AD235,KHP!AJ235,KHP!AP235)))</f>
        <v>0</v>
      </c>
      <c r="L235">
        <f>SUMPRODUCT((MONTH(CHOOSE({1,2,3,4},KHP!U235,KHP!AA235,KHP!AG235,KHP!AM235))=12)*(CHOOSE({1,2,3,4},KHP!X235,KHP!AD235,KHP!AJ235,KHP!AP235)))</f>
        <v>0</v>
      </c>
    </row>
    <row r="236" spans="1:12">
      <c r="A236">
        <f>SUMPRODUCT((MONTH(CHOOSE({1,2,3,4},KHP!U236,KHP!AA236,KHP!AG236,KHP!AM236))=1)*(CHOOSE({1,2,3,4},KHP!X236,KHP!AD236,KHP!AJ236,KHP!AP236)))</f>
        <v>0</v>
      </c>
      <c r="B236">
        <f>SUMPRODUCT((MONTH(CHOOSE({1,2,3,4},KHP!U236,KHP!AA236,KHP!AG236,KHP!AM236))=2)*(CHOOSE({1,2,3,4},KHP!X236,KHP!AD236,KHP!AJ236,KHP!AP236)))</f>
        <v>0</v>
      </c>
      <c r="C236">
        <f>SUMPRODUCT((MONTH(CHOOSE({1,2,3,4},KHP!U236,KHP!AA236,KHP!AG236,KHP!AM236))=3)*(CHOOSE({1,2,3,4},KHP!X236,KHP!AD236,KHP!AJ236,KHP!AP236)))</f>
        <v>0</v>
      </c>
      <c r="D236">
        <f>SUMPRODUCT((MONTH(CHOOSE({1,2,3,4},KHP!U236,KHP!AA236,KHP!AG236,KHP!AM236))=4)*(CHOOSE({1,2,3,4},KHP!X236,KHP!AD236,KHP!AJ236,KHP!AP236)))</f>
        <v>0</v>
      </c>
      <c r="E236">
        <f>SUMPRODUCT((MONTH(CHOOSE({1,2,3,4},KHP!U236,KHP!AA236,KHP!AG236,KHP!AM236))=5)*(CHOOSE({1,2,3,4},KHP!X236,KHP!AD236,KHP!AJ236,KHP!AP236)))</f>
        <v>0</v>
      </c>
      <c r="F236">
        <f>SUMPRODUCT((MONTH(CHOOSE({1,2,3,4},KHP!U236,KHP!AA236,KHP!AG236,KHP!AM236))=6)*(CHOOSE({1,2,3,4},KHP!X236,KHP!AD236,KHP!AJ236,KHP!AP236)))</f>
        <v>0</v>
      </c>
      <c r="G236">
        <f>SUMPRODUCT((MONTH(CHOOSE({1,2,3,4},KHP!U236,KHP!AA236,KHP!AG236,KHP!AM236))=7)*(CHOOSE({1,2,3,4},KHP!X236,KHP!AD236,KHP!AJ236,KHP!AP236)))</f>
        <v>0</v>
      </c>
      <c r="H236">
        <f>SUMPRODUCT((MONTH(CHOOSE({1,2,3,4},KHP!U236,KHP!AA236,KHP!AG236,KHP!AM236))=8)*(CHOOSE({1,2,3,4},KHP!X236,KHP!AD236,KHP!AJ236,KHP!AP236)))</f>
        <v>0</v>
      </c>
      <c r="I236">
        <f>SUMPRODUCT((MONTH(CHOOSE({1,2,3,4},KHP!U236,KHP!AA236,KHP!AG236,KHP!AM236))=9)*(CHOOSE({1,2,3,4},KHP!X236,KHP!AD236,KHP!AJ236,KHP!AP236)))</f>
        <v>0</v>
      </c>
      <c r="J236">
        <f>SUMPRODUCT((MONTH(CHOOSE({1,2,3,4},KHP!U236,KHP!AA236,KHP!AG236,KHP!AM236))=10)*(CHOOSE({1,2,3,4},KHP!X236,KHP!AD236,KHP!AJ236,KHP!AP236)))</f>
        <v>0</v>
      </c>
      <c r="K236">
        <f>SUMPRODUCT((MONTH(CHOOSE({1,2,3,4},KHP!U236,KHP!AA236,KHP!AG236,KHP!AM236))=11)*(CHOOSE({1,2,3,4},KHP!X236,KHP!AD236,KHP!AJ236,KHP!AP236)))</f>
        <v>0</v>
      </c>
      <c r="L236">
        <f>SUMPRODUCT((MONTH(CHOOSE({1,2,3,4},KHP!U236,KHP!AA236,KHP!AG236,KHP!AM236))=12)*(CHOOSE({1,2,3,4},KHP!X236,KHP!AD236,KHP!AJ236,KHP!AP236)))</f>
        <v>0</v>
      </c>
    </row>
    <row r="237" spans="1:12">
      <c r="A237">
        <f>SUMPRODUCT((MONTH(CHOOSE({1,2,3,4},KHP!U237,KHP!AA237,KHP!AG237,KHP!AM237))=1)*(CHOOSE({1,2,3,4},KHP!X237,KHP!AD237,KHP!AJ237,KHP!AP237)))</f>
        <v>0</v>
      </c>
      <c r="B237">
        <f>SUMPRODUCT((MONTH(CHOOSE({1,2,3,4},KHP!U237,KHP!AA237,KHP!AG237,KHP!AM237))=2)*(CHOOSE({1,2,3,4},KHP!X237,KHP!AD237,KHP!AJ237,KHP!AP237)))</f>
        <v>0</v>
      </c>
      <c r="C237">
        <f>SUMPRODUCT((MONTH(CHOOSE({1,2,3,4},KHP!U237,KHP!AA237,KHP!AG237,KHP!AM237))=3)*(CHOOSE({1,2,3,4},KHP!X237,KHP!AD237,KHP!AJ237,KHP!AP237)))</f>
        <v>0</v>
      </c>
      <c r="D237">
        <f>SUMPRODUCT((MONTH(CHOOSE({1,2,3,4},KHP!U237,KHP!AA237,KHP!AG237,KHP!AM237))=4)*(CHOOSE({1,2,3,4},KHP!X237,KHP!AD237,KHP!AJ237,KHP!AP237)))</f>
        <v>0</v>
      </c>
      <c r="E237">
        <f>SUMPRODUCT((MONTH(CHOOSE({1,2,3,4},KHP!U237,KHP!AA237,KHP!AG237,KHP!AM237))=5)*(CHOOSE({1,2,3,4},KHP!X237,KHP!AD237,KHP!AJ237,KHP!AP237)))</f>
        <v>0</v>
      </c>
      <c r="F237">
        <f>SUMPRODUCT((MONTH(CHOOSE({1,2,3,4},KHP!U237,KHP!AA237,KHP!AG237,KHP!AM237))=6)*(CHOOSE({1,2,3,4},KHP!X237,KHP!AD237,KHP!AJ237,KHP!AP237)))</f>
        <v>0</v>
      </c>
      <c r="G237">
        <f>SUMPRODUCT((MONTH(CHOOSE({1,2,3,4},KHP!U237,KHP!AA237,KHP!AG237,KHP!AM237))=7)*(CHOOSE({1,2,3,4},KHP!X237,KHP!AD237,KHP!AJ237,KHP!AP237)))</f>
        <v>0</v>
      </c>
      <c r="H237">
        <f>SUMPRODUCT((MONTH(CHOOSE({1,2,3,4},KHP!U237,KHP!AA237,KHP!AG237,KHP!AM237))=8)*(CHOOSE({1,2,3,4},KHP!X237,KHP!AD237,KHP!AJ237,KHP!AP237)))</f>
        <v>0</v>
      </c>
      <c r="I237">
        <f>SUMPRODUCT((MONTH(CHOOSE({1,2,3,4},KHP!U237,KHP!AA237,KHP!AG237,KHP!AM237))=9)*(CHOOSE({1,2,3,4},KHP!X237,KHP!AD237,KHP!AJ237,KHP!AP237)))</f>
        <v>0</v>
      </c>
      <c r="J237">
        <f>SUMPRODUCT((MONTH(CHOOSE({1,2,3,4},KHP!U237,KHP!AA237,KHP!AG237,KHP!AM237))=10)*(CHOOSE({1,2,3,4},KHP!X237,KHP!AD237,KHP!AJ237,KHP!AP237)))</f>
        <v>0</v>
      </c>
      <c r="K237">
        <f>SUMPRODUCT((MONTH(CHOOSE({1,2,3,4},KHP!U237,KHP!AA237,KHP!AG237,KHP!AM237))=11)*(CHOOSE({1,2,3,4},KHP!X237,KHP!AD237,KHP!AJ237,KHP!AP237)))</f>
        <v>0</v>
      </c>
      <c r="L237">
        <f>SUMPRODUCT((MONTH(CHOOSE({1,2,3,4},KHP!U237,KHP!AA237,KHP!AG237,KHP!AM237))=12)*(CHOOSE({1,2,3,4},KHP!X237,KHP!AD237,KHP!AJ237,KHP!AP237)))</f>
        <v>0</v>
      </c>
    </row>
    <row r="238" spans="1:12">
      <c r="A238">
        <f>SUMPRODUCT((MONTH(CHOOSE({1,2,3,4},KHP!U238,KHP!AA238,KHP!AG238,KHP!AM238))=1)*(CHOOSE({1,2,3,4},KHP!X238,KHP!AD238,KHP!AJ238,KHP!AP238)))</f>
        <v>0</v>
      </c>
      <c r="B238">
        <f>SUMPRODUCT((MONTH(CHOOSE({1,2,3,4},KHP!U238,KHP!AA238,KHP!AG238,KHP!AM238))=2)*(CHOOSE({1,2,3,4},KHP!X238,KHP!AD238,KHP!AJ238,KHP!AP238)))</f>
        <v>0</v>
      </c>
      <c r="C238">
        <f>SUMPRODUCT((MONTH(CHOOSE({1,2,3,4},KHP!U238,KHP!AA238,KHP!AG238,KHP!AM238))=3)*(CHOOSE({1,2,3,4},KHP!X238,KHP!AD238,KHP!AJ238,KHP!AP238)))</f>
        <v>0</v>
      </c>
      <c r="D238">
        <f>SUMPRODUCT((MONTH(CHOOSE({1,2,3,4},KHP!U238,KHP!AA238,KHP!AG238,KHP!AM238))=4)*(CHOOSE({1,2,3,4},KHP!X238,KHP!AD238,KHP!AJ238,KHP!AP238)))</f>
        <v>0</v>
      </c>
      <c r="E238">
        <f>SUMPRODUCT((MONTH(CHOOSE({1,2,3,4},KHP!U238,KHP!AA238,KHP!AG238,KHP!AM238))=5)*(CHOOSE({1,2,3,4},KHP!X238,KHP!AD238,KHP!AJ238,KHP!AP238)))</f>
        <v>0</v>
      </c>
      <c r="F238">
        <f>SUMPRODUCT((MONTH(CHOOSE({1,2,3,4},KHP!U238,KHP!AA238,KHP!AG238,KHP!AM238))=6)*(CHOOSE({1,2,3,4},KHP!X238,KHP!AD238,KHP!AJ238,KHP!AP238)))</f>
        <v>0</v>
      </c>
      <c r="G238">
        <f>SUMPRODUCT((MONTH(CHOOSE({1,2,3,4},KHP!U238,KHP!AA238,KHP!AG238,KHP!AM238))=7)*(CHOOSE({1,2,3,4},KHP!X238,KHP!AD238,KHP!AJ238,KHP!AP238)))</f>
        <v>0</v>
      </c>
      <c r="H238">
        <f>SUMPRODUCT((MONTH(CHOOSE({1,2,3,4},KHP!U238,KHP!AA238,KHP!AG238,KHP!AM238))=8)*(CHOOSE({1,2,3,4},KHP!X238,KHP!AD238,KHP!AJ238,KHP!AP238)))</f>
        <v>0</v>
      </c>
      <c r="I238">
        <f>SUMPRODUCT((MONTH(CHOOSE({1,2,3,4},KHP!U238,KHP!AA238,KHP!AG238,KHP!AM238))=9)*(CHOOSE({1,2,3,4},KHP!X238,KHP!AD238,KHP!AJ238,KHP!AP238)))</f>
        <v>0</v>
      </c>
      <c r="J238">
        <f>SUMPRODUCT((MONTH(CHOOSE({1,2,3,4},KHP!U238,KHP!AA238,KHP!AG238,KHP!AM238))=10)*(CHOOSE({1,2,3,4},KHP!X238,KHP!AD238,KHP!AJ238,KHP!AP238)))</f>
        <v>0</v>
      </c>
      <c r="K238">
        <f>SUMPRODUCT((MONTH(CHOOSE({1,2,3,4},KHP!U238,KHP!AA238,KHP!AG238,KHP!AM238))=11)*(CHOOSE({1,2,3,4},KHP!X238,KHP!AD238,KHP!AJ238,KHP!AP238)))</f>
        <v>0</v>
      </c>
      <c r="L238">
        <f>SUMPRODUCT((MONTH(CHOOSE({1,2,3,4},KHP!U238,KHP!AA238,KHP!AG238,KHP!AM238))=12)*(CHOOSE({1,2,3,4},KHP!X238,KHP!AD238,KHP!AJ238,KHP!AP238)))</f>
        <v>0</v>
      </c>
    </row>
    <row r="239" spans="1:12">
      <c r="A239">
        <f>SUMPRODUCT((MONTH(CHOOSE({1,2,3,4},KHP!U239,KHP!AA239,KHP!AG239,KHP!AM239))=1)*(CHOOSE({1,2,3,4},KHP!X239,KHP!AD239,KHP!AJ239,KHP!AP239)))</f>
        <v>0</v>
      </c>
      <c r="B239">
        <f>SUMPRODUCT((MONTH(CHOOSE({1,2,3,4},KHP!U239,KHP!AA239,KHP!AG239,KHP!AM239))=2)*(CHOOSE({1,2,3,4},KHP!X239,KHP!AD239,KHP!AJ239,KHP!AP239)))</f>
        <v>0</v>
      </c>
      <c r="C239">
        <f>SUMPRODUCT((MONTH(CHOOSE({1,2,3,4},KHP!U239,KHP!AA239,KHP!AG239,KHP!AM239))=3)*(CHOOSE({1,2,3,4},KHP!X239,KHP!AD239,KHP!AJ239,KHP!AP239)))</f>
        <v>0</v>
      </c>
      <c r="D239">
        <f>SUMPRODUCT((MONTH(CHOOSE({1,2,3,4},KHP!U239,KHP!AA239,KHP!AG239,KHP!AM239))=4)*(CHOOSE({1,2,3,4},KHP!X239,KHP!AD239,KHP!AJ239,KHP!AP239)))</f>
        <v>0</v>
      </c>
      <c r="E239">
        <f>SUMPRODUCT((MONTH(CHOOSE({1,2,3,4},KHP!U239,KHP!AA239,KHP!AG239,KHP!AM239))=5)*(CHOOSE({1,2,3,4},KHP!X239,KHP!AD239,KHP!AJ239,KHP!AP239)))</f>
        <v>0</v>
      </c>
      <c r="F239">
        <f>SUMPRODUCT((MONTH(CHOOSE({1,2,3,4},KHP!U239,KHP!AA239,KHP!AG239,KHP!AM239))=6)*(CHOOSE({1,2,3,4},KHP!X239,KHP!AD239,KHP!AJ239,KHP!AP239)))</f>
        <v>0</v>
      </c>
      <c r="G239">
        <f>SUMPRODUCT((MONTH(CHOOSE({1,2,3,4},KHP!U239,KHP!AA239,KHP!AG239,KHP!AM239))=7)*(CHOOSE({1,2,3,4},KHP!X239,KHP!AD239,KHP!AJ239,KHP!AP239)))</f>
        <v>0</v>
      </c>
      <c r="H239">
        <f>SUMPRODUCT((MONTH(CHOOSE({1,2,3,4},KHP!U239,KHP!AA239,KHP!AG239,KHP!AM239))=8)*(CHOOSE({1,2,3,4},KHP!X239,KHP!AD239,KHP!AJ239,KHP!AP239)))</f>
        <v>0</v>
      </c>
      <c r="I239">
        <f>SUMPRODUCT((MONTH(CHOOSE({1,2,3,4},KHP!U239,KHP!AA239,KHP!AG239,KHP!AM239))=9)*(CHOOSE({1,2,3,4},KHP!X239,KHP!AD239,KHP!AJ239,KHP!AP239)))</f>
        <v>0</v>
      </c>
      <c r="J239">
        <f>SUMPRODUCT((MONTH(CHOOSE({1,2,3,4},KHP!U239,KHP!AA239,KHP!AG239,KHP!AM239))=10)*(CHOOSE({1,2,3,4},KHP!X239,KHP!AD239,KHP!AJ239,KHP!AP239)))</f>
        <v>0</v>
      </c>
      <c r="K239">
        <f>SUMPRODUCT((MONTH(CHOOSE({1,2,3,4},KHP!U239,KHP!AA239,KHP!AG239,KHP!AM239))=11)*(CHOOSE({1,2,3,4},KHP!X239,KHP!AD239,KHP!AJ239,KHP!AP239)))</f>
        <v>0</v>
      </c>
      <c r="L239">
        <f>SUMPRODUCT((MONTH(CHOOSE({1,2,3,4},KHP!U239,KHP!AA239,KHP!AG239,KHP!AM239))=12)*(CHOOSE({1,2,3,4},KHP!X239,KHP!AD239,KHP!AJ239,KHP!AP239)))</f>
        <v>0</v>
      </c>
    </row>
    <row r="240" spans="1:12">
      <c r="A240">
        <f>SUMPRODUCT((MONTH(CHOOSE({1,2,3,4},KHP!U240,KHP!AA240,KHP!AG240,KHP!AM240))=1)*(CHOOSE({1,2,3,4},KHP!X240,KHP!AD240,KHP!AJ240,KHP!AP240)))</f>
        <v>0</v>
      </c>
      <c r="B240">
        <f>SUMPRODUCT((MONTH(CHOOSE({1,2,3,4},KHP!U240,KHP!AA240,KHP!AG240,KHP!AM240))=2)*(CHOOSE({1,2,3,4},KHP!X240,KHP!AD240,KHP!AJ240,KHP!AP240)))</f>
        <v>0</v>
      </c>
      <c r="C240">
        <f>SUMPRODUCT((MONTH(CHOOSE({1,2,3,4},KHP!U240,KHP!AA240,KHP!AG240,KHP!AM240))=3)*(CHOOSE({1,2,3,4},KHP!X240,KHP!AD240,KHP!AJ240,KHP!AP240)))</f>
        <v>0</v>
      </c>
      <c r="D240">
        <f>SUMPRODUCT((MONTH(CHOOSE({1,2,3,4},KHP!U240,KHP!AA240,KHP!AG240,KHP!AM240))=4)*(CHOOSE({1,2,3,4},KHP!X240,KHP!AD240,KHP!AJ240,KHP!AP240)))</f>
        <v>0</v>
      </c>
      <c r="E240">
        <f>SUMPRODUCT((MONTH(CHOOSE({1,2,3,4},KHP!U240,KHP!AA240,KHP!AG240,KHP!AM240))=5)*(CHOOSE({1,2,3,4},KHP!X240,KHP!AD240,KHP!AJ240,KHP!AP240)))</f>
        <v>0</v>
      </c>
      <c r="F240">
        <f>SUMPRODUCT((MONTH(CHOOSE({1,2,3,4},KHP!U240,KHP!AA240,KHP!AG240,KHP!AM240))=6)*(CHOOSE({1,2,3,4},KHP!X240,KHP!AD240,KHP!AJ240,KHP!AP240)))</f>
        <v>0</v>
      </c>
      <c r="G240">
        <f>SUMPRODUCT((MONTH(CHOOSE({1,2,3,4},KHP!U240,KHP!AA240,KHP!AG240,KHP!AM240))=7)*(CHOOSE({1,2,3,4},KHP!X240,KHP!AD240,KHP!AJ240,KHP!AP240)))</f>
        <v>0</v>
      </c>
      <c r="H240">
        <f>SUMPRODUCT((MONTH(CHOOSE({1,2,3,4},KHP!U240,KHP!AA240,KHP!AG240,KHP!AM240))=8)*(CHOOSE({1,2,3,4},KHP!X240,KHP!AD240,KHP!AJ240,KHP!AP240)))</f>
        <v>0</v>
      </c>
      <c r="I240">
        <f>SUMPRODUCT((MONTH(CHOOSE({1,2,3,4},KHP!U240,KHP!AA240,KHP!AG240,KHP!AM240))=9)*(CHOOSE({1,2,3,4},KHP!X240,KHP!AD240,KHP!AJ240,KHP!AP240)))</f>
        <v>0</v>
      </c>
      <c r="J240">
        <f>SUMPRODUCT((MONTH(CHOOSE({1,2,3,4},KHP!U240,KHP!AA240,KHP!AG240,KHP!AM240))=10)*(CHOOSE({1,2,3,4},KHP!X240,KHP!AD240,KHP!AJ240,KHP!AP240)))</f>
        <v>0</v>
      </c>
      <c r="K240">
        <f>SUMPRODUCT((MONTH(CHOOSE({1,2,3,4},KHP!U240,KHP!AA240,KHP!AG240,KHP!AM240))=11)*(CHOOSE({1,2,3,4},KHP!X240,KHP!AD240,KHP!AJ240,KHP!AP240)))</f>
        <v>0</v>
      </c>
      <c r="L240">
        <f>SUMPRODUCT((MONTH(CHOOSE({1,2,3,4},KHP!U240,KHP!AA240,KHP!AG240,KHP!AM240))=12)*(CHOOSE({1,2,3,4},KHP!X240,KHP!AD240,KHP!AJ240,KHP!AP240)))</f>
        <v>0</v>
      </c>
    </row>
    <row r="241" spans="1:12">
      <c r="A241">
        <f>SUMPRODUCT((MONTH(CHOOSE({1,2,3,4},KHP!U241,KHP!AA241,KHP!AG241,KHP!AM241))=1)*(CHOOSE({1,2,3,4},KHP!X241,KHP!AD241,KHP!AJ241,KHP!AP241)))</f>
        <v>0</v>
      </c>
      <c r="B241">
        <f>SUMPRODUCT((MONTH(CHOOSE({1,2,3,4},KHP!U241,KHP!AA241,KHP!AG241,KHP!AM241))=2)*(CHOOSE({1,2,3,4},KHP!X241,KHP!AD241,KHP!AJ241,KHP!AP241)))</f>
        <v>0</v>
      </c>
      <c r="C241">
        <f>SUMPRODUCT((MONTH(CHOOSE({1,2,3,4},KHP!U241,KHP!AA241,KHP!AG241,KHP!AM241))=3)*(CHOOSE({1,2,3,4},KHP!X241,KHP!AD241,KHP!AJ241,KHP!AP241)))</f>
        <v>0</v>
      </c>
      <c r="D241">
        <f>SUMPRODUCT((MONTH(CHOOSE({1,2,3,4},KHP!U241,KHP!AA241,KHP!AG241,KHP!AM241))=4)*(CHOOSE({1,2,3,4},KHP!X241,KHP!AD241,KHP!AJ241,KHP!AP241)))</f>
        <v>0</v>
      </c>
      <c r="E241">
        <f>SUMPRODUCT((MONTH(CHOOSE({1,2,3,4},KHP!U241,KHP!AA241,KHP!AG241,KHP!AM241))=5)*(CHOOSE({1,2,3,4},KHP!X241,KHP!AD241,KHP!AJ241,KHP!AP241)))</f>
        <v>0</v>
      </c>
      <c r="F241">
        <f>SUMPRODUCT((MONTH(CHOOSE({1,2,3,4},KHP!U241,KHP!AA241,KHP!AG241,KHP!AM241))=6)*(CHOOSE({1,2,3,4},KHP!X241,KHP!AD241,KHP!AJ241,KHP!AP241)))</f>
        <v>0</v>
      </c>
      <c r="G241">
        <f>SUMPRODUCT((MONTH(CHOOSE({1,2,3,4},KHP!U241,KHP!AA241,KHP!AG241,KHP!AM241))=7)*(CHOOSE({1,2,3,4},KHP!X241,KHP!AD241,KHP!AJ241,KHP!AP241)))</f>
        <v>0</v>
      </c>
      <c r="H241">
        <f>SUMPRODUCT((MONTH(CHOOSE({1,2,3,4},KHP!U241,KHP!AA241,KHP!AG241,KHP!AM241))=8)*(CHOOSE({1,2,3,4},KHP!X241,KHP!AD241,KHP!AJ241,KHP!AP241)))</f>
        <v>0</v>
      </c>
      <c r="I241">
        <f>SUMPRODUCT((MONTH(CHOOSE({1,2,3,4},KHP!U241,KHP!AA241,KHP!AG241,KHP!AM241))=9)*(CHOOSE({1,2,3,4},KHP!X241,KHP!AD241,KHP!AJ241,KHP!AP241)))</f>
        <v>0</v>
      </c>
      <c r="J241">
        <f>SUMPRODUCT((MONTH(CHOOSE({1,2,3,4},KHP!U241,KHP!AA241,KHP!AG241,KHP!AM241))=10)*(CHOOSE({1,2,3,4},KHP!X241,KHP!AD241,KHP!AJ241,KHP!AP241)))</f>
        <v>0</v>
      </c>
      <c r="K241">
        <f>SUMPRODUCT((MONTH(CHOOSE({1,2,3,4},KHP!U241,KHP!AA241,KHP!AG241,KHP!AM241))=11)*(CHOOSE({1,2,3,4},KHP!X241,KHP!AD241,KHP!AJ241,KHP!AP241)))</f>
        <v>0</v>
      </c>
      <c r="L241">
        <f>SUMPRODUCT((MONTH(CHOOSE({1,2,3,4},KHP!U241,KHP!AA241,KHP!AG241,KHP!AM241))=12)*(CHOOSE({1,2,3,4},KHP!X241,KHP!AD241,KHP!AJ241,KHP!AP241)))</f>
        <v>0</v>
      </c>
    </row>
    <row r="242" spans="1:12">
      <c r="A242">
        <f>SUMPRODUCT((MONTH(CHOOSE({1,2,3,4},KHP!U242,KHP!AA242,KHP!AG242,KHP!AM242))=1)*(CHOOSE({1,2,3,4},KHP!X242,KHP!AD242,KHP!AJ242,KHP!AP242)))</f>
        <v>0</v>
      </c>
      <c r="B242">
        <f>SUMPRODUCT((MONTH(CHOOSE({1,2,3,4},KHP!U242,KHP!AA242,KHP!AG242,KHP!AM242))=2)*(CHOOSE({1,2,3,4},KHP!X242,KHP!AD242,KHP!AJ242,KHP!AP242)))</f>
        <v>0</v>
      </c>
      <c r="C242">
        <f>SUMPRODUCT((MONTH(CHOOSE({1,2,3,4},KHP!U242,KHP!AA242,KHP!AG242,KHP!AM242))=3)*(CHOOSE({1,2,3,4},KHP!X242,KHP!AD242,KHP!AJ242,KHP!AP242)))</f>
        <v>0</v>
      </c>
      <c r="D242">
        <f>SUMPRODUCT((MONTH(CHOOSE({1,2,3,4},KHP!U242,KHP!AA242,KHP!AG242,KHP!AM242))=4)*(CHOOSE({1,2,3,4},KHP!X242,KHP!AD242,KHP!AJ242,KHP!AP242)))</f>
        <v>0</v>
      </c>
      <c r="E242">
        <f>SUMPRODUCT((MONTH(CHOOSE({1,2,3,4},KHP!U242,KHP!AA242,KHP!AG242,KHP!AM242))=5)*(CHOOSE({1,2,3,4},KHP!X242,KHP!AD242,KHP!AJ242,KHP!AP242)))</f>
        <v>0</v>
      </c>
      <c r="F242">
        <f>SUMPRODUCT((MONTH(CHOOSE({1,2,3,4},KHP!U242,KHP!AA242,KHP!AG242,KHP!AM242))=6)*(CHOOSE({1,2,3,4},KHP!X242,KHP!AD242,KHP!AJ242,KHP!AP242)))</f>
        <v>0</v>
      </c>
      <c r="G242">
        <f>SUMPRODUCT((MONTH(CHOOSE({1,2,3,4},KHP!U242,KHP!AA242,KHP!AG242,KHP!AM242))=7)*(CHOOSE({1,2,3,4},KHP!X242,KHP!AD242,KHP!AJ242,KHP!AP242)))</f>
        <v>0</v>
      </c>
      <c r="H242">
        <f>SUMPRODUCT((MONTH(CHOOSE({1,2,3,4},KHP!U242,KHP!AA242,KHP!AG242,KHP!AM242))=8)*(CHOOSE({1,2,3,4},KHP!X242,KHP!AD242,KHP!AJ242,KHP!AP242)))</f>
        <v>0</v>
      </c>
      <c r="I242">
        <f>SUMPRODUCT((MONTH(CHOOSE({1,2,3,4},KHP!U242,KHP!AA242,KHP!AG242,KHP!AM242))=9)*(CHOOSE({1,2,3,4},KHP!X242,KHP!AD242,KHP!AJ242,KHP!AP242)))</f>
        <v>0</v>
      </c>
      <c r="J242">
        <f>SUMPRODUCT((MONTH(CHOOSE({1,2,3,4},KHP!U242,KHP!AA242,KHP!AG242,KHP!AM242))=10)*(CHOOSE({1,2,3,4},KHP!X242,KHP!AD242,KHP!AJ242,KHP!AP242)))</f>
        <v>0</v>
      </c>
      <c r="K242">
        <f>SUMPRODUCT((MONTH(CHOOSE({1,2,3,4},KHP!U242,KHP!AA242,KHP!AG242,KHP!AM242))=11)*(CHOOSE({1,2,3,4},KHP!X242,KHP!AD242,KHP!AJ242,KHP!AP242)))</f>
        <v>0</v>
      </c>
      <c r="L242">
        <f>SUMPRODUCT((MONTH(CHOOSE({1,2,3,4},KHP!U242,KHP!AA242,KHP!AG242,KHP!AM242))=12)*(CHOOSE({1,2,3,4},KHP!X242,KHP!AD242,KHP!AJ242,KHP!AP242)))</f>
        <v>0</v>
      </c>
    </row>
    <row r="243" spans="1:12">
      <c r="A243">
        <f>SUMPRODUCT((MONTH(CHOOSE({1,2,3,4},KHP!U243,KHP!AA243,KHP!AG243,KHP!AM243))=1)*(CHOOSE({1,2,3,4},KHP!X243,KHP!AD243,KHP!AJ243,KHP!AP243)))</f>
        <v>0</v>
      </c>
      <c r="B243">
        <f>SUMPRODUCT((MONTH(CHOOSE({1,2,3,4},KHP!U243,KHP!AA243,KHP!AG243,KHP!AM243))=2)*(CHOOSE({1,2,3,4},KHP!X243,KHP!AD243,KHP!AJ243,KHP!AP243)))</f>
        <v>0</v>
      </c>
      <c r="C243">
        <f>SUMPRODUCT((MONTH(CHOOSE({1,2,3,4},KHP!U243,KHP!AA243,KHP!AG243,KHP!AM243))=3)*(CHOOSE({1,2,3,4},KHP!X243,KHP!AD243,KHP!AJ243,KHP!AP243)))</f>
        <v>0</v>
      </c>
      <c r="D243">
        <f>SUMPRODUCT((MONTH(CHOOSE({1,2,3,4},KHP!U243,KHP!AA243,KHP!AG243,KHP!AM243))=4)*(CHOOSE({1,2,3,4},KHP!X243,KHP!AD243,KHP!AJ243,KHP!AP243)))</f>
        <v>0</v>
      </c>
      <c r="E243">
        <f>SUMPRODUCT((MONTH(CHOOSE({1,2,3,4},KHP!U243,KHP!AA243,KHP!AG243,KHP!AM243))=5)*(CHOOSE({1,2,3,4},KHP!X243,KHP!AD243,KHP!AJ243,KHP!AP243)))</f>
        <v>0</v>
      </c>
      <c r="F243">
        <f>SUMPRODUCT((MONTH(CHOOSE({1,2,3,4},KHP!U243,KHP!AA243,KHP!AG243,KHP!AM243))=6)*(CHOOSE({1,2,3,4},KHP!X243,KHP!AD243,KHP!AJ243,KHP!AP243)))</f>
        <v>0</v>
      </c>
      <c r="G243">
        <f>SUMPRODUCT((MONTH(CHOOSE({1,2,3,4},KHP!U243,KHP!AA243,KHP!AG243,KHP!AM243))=7)*(CHOOSE({1,2,3,4},KHP!X243,KHP!AD243,KHP!AJ243,KHP!AP243)))</f>
        <v>0</v>
      </c>
      <c r="H243">
        <f>SUMPRODUCT((MONTH(CHOOSE({1,2,3,4},KHP!U243,KHP!AA243,KHP!AG243,KHP!AM243))=8)*(CHOOSE({1,2,3,4},KHP!X243,KHP!AD243,KHP!AJ243,KHP!AP243)))</f>
        <v>0</v>
      </c>
      <c r="I243">
        <f>SUMPRODUCT((MONTH(CHOOSE({1,2,3,4},KHP!U243,KHP!AA243,KHP!AG243,KHP!AM243))=9)*(CHOOSE({1,2,3,4},KHP!X243,KHP!AD243,KHP!AJ243,KHP!AP243)))</f>
        <v>0</v>
      </c>
      <c r="J243">
        <f>SUMPRODUCT((MONTH(CHOOSE({1,2,3,4},KHP!U243,KHP!AA243,KHP!AG243,KHP!AM243))=10)*(CHOOSE({1,2,3,4},KHP!X243,KHP!AD243,KHP!AJ243,KHP!AP243)))</f>
        <v>0</v>
      </c>
      <c r="K243">
        <f>SUMPRODUCT((MONTH(CHOOSE({1,2,3,4},KHP!U243,KHP!AA243,KHP!AG243,KHP!AM243))=11)*(CHOOSE({1,2,3,4},KHP!X243,KHP!AD243,KHP!AJ243,KHP!AP243)))</f>
        <v>0</v>
      </c>
      <c r="L243">
        <f>SUMPRODUCT((MONTH(CHOOSE({1,2,3,4},KHP!U243,KHP!AA243,KHP!AG243,KHP!AM243))=12)*(CHOOSE({1,2,3,4},KHP!X243,KHP!AD243,KHP!AJ243,KHP!AP243)))</f>
        <v>0</v>
      </c>
    </row>
    <row r="244" spans="1:12">
      <c r="A244">
        <f>SUMPRODUCT((MONTH(CHOOSE({1,2,3,4},KHP!U244,KHP!AA244,KHP!AG244,KHP!AM244))=1)*(CHOOSE({1,2,3,4},KHP!X244,KHP!AD244,KHP!AJ244,KHP!AP244)))</f>
        <v>0</v>
      </c>
      <c r="B244">
        <f>SUMPRODUCT((MONTH(CHOOSE({1,2,3,4},KHP!U244,KHP!AA244,KHP!AG244,KHP!AM244))=2)*(CHOOSE({1,2,3,4},KHP!X244,KHP!AD244,KHP!AJ244,KHP!AP244)))</f>
        <v>0</v>
      </c>
      <c r="C244">
        <f>SUMPRODUCT((MONTH(CHOOSE({1,2,3,4},KHP!U244,KHP!AA244,KHP!AG244,KHP!AM244))=3)*(CHOOSE({1,2,3,4},KHP!X244,KHP!AD244,KHP!AJ244,KHP!AP244)))</f>
        <v>0</v>
      </c>
      <c r="D244">
        <f>SUMPRODUCT((MONTH(CHOOSE({1,2,3,4},KHP!U244,KHP!AA244,KHP!AG244,KHP!AM244))=4)*(CHOOSE({1,2,3,4},KHP!X244,KHP!AD244,KHP!AJ244,KHP!AP244)))</f>
        <v>0</v>
      </c>
      <c r="E244">
        <f>SUMPRODUCT((MONTH(CHOOSE({1,2,3,4},KHP!U244,KHP!AA244,KHP!AG244,KHP!AM244))=5)*(CHOOSE({1,2,3,4},KHP!X244,KHP!AD244,KHP!AJ244,KHP!AP244)))</f>
        <v>0</v>
      </c>
      <c r="F244">
        <f>SUMPRODUCT((MONTH(CHOOSE({1,2,3,4},KHP!U244,KHP!AA244,KHP!AG244,KHP!AM244))=6)*(CHOOSE({1,2,3,4},KHP!X244,KHP!AD244,KHP!AJ244,KHP!AP244)))</f>
        <v>0</v>
      </c>
      <c r="G244">
        <f>SUMPRODUCT((MONTH(CHOOSE({1,2,3,4},KHP!U244,KHP!AA244,KHP!AG244,KHP!AM244))=7)*(CHOOSE({1,2,3,4},KHP!X244,KHP!AD244,KHP!AJ244,KHP!AP244)))</f>
        <v>0</v>
      </c>
      <c r="H244">
        <f>SUMPRODUCT((MONTH(CHOOSE({1,2,3,4},KHP!U244,KHP!AA244,KHP!AG244,KHP!AM244))=8)*(CHOOSE({1,2,3,4},KHP!X244,KHP!AD244,KHP!AJ244,KHP!AP244)))</f>
        <v>0</v>
      </c>
      <c r="I244">
        <f>SUMPRODUCT((MONTH(CHOOSE({1,2,3,4},KHP!U244,KHP!AA244,KHP!AG244,KHP!AM244))=9)*(CHOOSE({1,2,3,4},KHP!X244,KHP!AD244,KHP!AJ244,KHP!AP244)))</f>
        <v>0</v>
      </c>
      <c r="J244">
        <f>SUMPRODUCT((MONTH(CHOOSE({1,2,3,4},KHP!U244,KHP!AA244,KHP!AG244,KHP!AM244))=10)*(CHOOSE({1,2,3,4},KHP!X244,KHP!AD244,KHP!AJ244,KHP!AP244)))</f>
        <v>0</v>
      </c>
      <c r="K244">
        <f>SUMPRODUCT((MONTH(CHOOSE({1,2,3,4},KHP!U244,KHP!AA244,KHP!AG244,KHP!AM244))=11)*(CHOOSE({1,2,3,4},KHP!X244,KHP!AD244,KHP!AJ244,KHP!AP244)))</f>
        <v>0</v>
      </c>
      <c r="L244">
        <f>SUMPRODUCT((MONTH(CHOOSE({1,2,3,4},KHP!U244,KHP!AA244,KHP!AG244,KHP!AM244))=12)*(CHOOSE({1,2,3,4},KHP!X244,KHP!AD244,KHP!AJ244,KHP!AP244)))</f>
        <v>0</v>
      </c>
    </row>
    <row r="245" spans="1:12">
      <c r="A245">
        <f>SUMPRODUCT((MONTH(CHOOSE({1,2,3,4},KHP!U245,KHP!AA245,KHP!AG245,KHP!AM245))=1)*(CHOOSE({1,2,3,4},KHP!X245,KHP!AD245,KHP!AJ245,KHP!AP245)))</f>
        <v>0</v>
      </c>
      <c r="B245">
        <f>SUMPRODUCT((MONTH(CHOOSE({1,2,3,4},KHP!U245,KHP!AA245,KHP!AG245,KHP!AM245))=2)*(CHOOSE({1,2,3,4},KHP!X245,KHP!AD245,KHP!AJ245,KHP!AP245)))</f>
        <v>0</v>
      </c>
      <c r="C245">
        <f>SUMPRODUCT((MONTH(CHOOSE({1,2,3,4},KHP!U245,KHP!AA245,KHP!AG245,KHP!AM245))=3)*(CHOOSE({1,2,3,4},KHP!X245,KHP!AD245,KHP!AJ245,KHP!AP245)))</f>
        <v>0</v>
      </c>
      <c r="D245">
        <f>SUMPRODUCT((MONTH(CHOOSE({1,2,3,4},KHP!U245,KHP!AA245,KHP!AG245,KHP!AM245))=4)*(CHOOSE({1,2,3,4},KHP!X245,KHP!AD245,KHP!AJ245,KHP!AP245)))</f>
        <v>0</v>
      </c>
      <c r="E245">
        <f>SUMPRODUCT((MONTH(CHOOSE({1,2,3,4},KHP!U245,KHP!AA245,KHP!AG245,KHP!AM245))=5)*(CHOOSE({1,2,3,4},KHP!X245,KHP!AD245,KHP!AJ245,KHP!AP245)))</f>
        <v>0</v>
      </c>
      <c r="F245">
        <f>SUMPRODUCT((MONTH(CHOOSE({1,2,3,4},KHP!U245,KHP!AA245,KHP!AG245,KHP!AM245))=6)*(CHOOSE({1,2,3,4},KHP!X245,KHP!AD245,KHP!AJ245,KHP!AP245)))</f>
        <v>0</v>
      </c>
      <c r="G245">
        <f>SUMPRODUCT((MONTH(CHOOSE({1,2,3,4},KHP!U245,KHP!AA245,KHP!AG245,KHP!AM245))=7)*(CHOOSE({1,2,3,4},KHP!X245,KHP!AD245,KHP!AJ245,KHP!AP245)))</f>
        <v>0</v>
      </c>
      <c r="H245">
        <f>SUMPRODUCT((MONTH(CHOOSE({1,2,3,4},KHP!U245,KHP!AA245,KHP!AG245,KHP!AM245))=8)*(CHOOSE({1,2,3,4},KHP!X245,KHP!AD245,KHP!AJ245,KHP!AP245)))</f>
        <v>0</v>
      </c>
      <c r="I245">
        <f>SUMPRODUCT((MONTH(CHOOSE({1,2,3,4},KHP!U245,KHP!AA245,KHP!AG245,KHP!AM245))=9)*(CHOOSE({1,2,3,4},KHP!X245,KHP!AD245,KHP!AJ245,KHP!AP245)))</f>
        <v>0</v>
      </c>
      <c r="J245">
        <f>SUMPRODUCT((MONTH(CHOOSE({1,2,3,4},KHP!U245,KHP!AA245,KHP!AG245,KHP!AM245))=10)*(CHOOSE({1,2,3,4},KHP!X245,KHP!AD245,KHP!AJ245,KHP!AP245)))</f>
        <v>0</v>
      </c>
      <c r="K245">
        <f>SUMPRODUCT((MONTH(CHOOSE({1,2,3,4},KHP!U245,KHP!AA245,KHP!AG245,KHP!AM245))=11)*(CHOOSE({1,2,3,4},KHP!X245,KHP!AD245,KHP!AJ245,KHP!AP245)))</f>
        <v>0</v>
      </c>
      <c r="L245">
        <f>SUMPRODUCT((MONTH(CHOOSE({1,2,3,4},KHP!U245,KHP!AA245,KHP!AG245,KHP!AM245))=12)*(CHOOSE({1,2,3,4},KHP!X245,KHP!AD245,KHP!AJ245,KHP!AP245)))</f>
        <v>0</v>
      </c>
    </row>
    <row r="246" spans="1:12">
      <c r="A246">
        <f>SUMPRODUCT((MONTH(CHOOSE({1,2,3,4},KHP!U246,KHP!AA246,KHP!AG246,KHP!AM246))=1)*(CHOOSE({1,2,3,4},KHP!X246,KHP!AD246,KHP!AJ246,KHP!AP246)))</f>
        <v>0</v>
      </c>
      <c r="B246">
        <f>SUMPRODUCT((MONTH(CHOOSE({1,2,3,4},KHP!U246,KHP!AA246,KHP!AG246,KHP!AM246))=2)*(CHOOSE({1,2,3,4},KHP!X246,KHP!AD246,KHP!AJ246,KHP!AP246)))</f>
        <v>0</v>
      </c>
      <c r="C246">
        <f>SUMPRODUCT((MONTH(CHOOSE({1,2,3,4},KHP!U246,KHP!AA246,KHP!AG246,KHP!AM246))=3)*(CHOOSE({1,2,3,4},KHP!X246,KHP!AD246,KHP!AJ246,KHP!AP246)))</f>
        <v>0</v>
      </c>
      <c r="D246">
        <f>SUMPRODUCT((MONTH(CHOOSE({1,2,3,4},KHP!U246,KHP!AA246,KHP!AG246,KHP!AM246))=4)*(CHOOSE({1,2,3,4},KHP!X246,KHP!AD246,KHP!AJ246,KHP!AP246)))</f>
        <v>0</v>
      </c>
      <c r="E246">
        <f>SUMPRODUCT((MONTH(CHOOSE({1,2,3,4},KHP!U246,KHP!AA246,KHP!AG246,KHP!AM246))=5)*(CHOOSE({1,2,3,4},KHP!X246,KHP!AD246,KHP!AJ246,KHP!AP246)))</f>
        <v>0</v>
      </c>
      <c r="F246">
        <f>SUMPRODUCT((MONTH(CHOOSE({1,2,3,4},KHP!U246,KHP!AA246,KHP!AG246,KHP!AM246))=6)*(CHOOSE({1,2,3,4},KHP!X246,KHP!AD246,KHP!AJ246,KHP!AP246)))</f>
        <v>0</v>
      </c>
      <c r="G246">
        <f>SUMPRODUCT((MONTH(CHOOSE({1,2,3,4},KHP!U246,KHP!AA246,KHP!AG246,KHP!AM246))=7)*(CHOOSE({1,2,3,4},KHP!X246,KHP!AD246,KHP!AJ246,KHP!AP246)))</f>
        <v>0</v>
      </c>
      <c r="H246">
        <f>SUMPRODUCT((MONTH(CHOOSE({1,2,3,4},KHP!U246,KHP!AA246,KHP!AG246,KHP!AM246))=8)*(CHOOSE({1,2,3,4},KHP!X246,KHP!AD246,KHP!AJ246,KHP!AP246)))</f>
        <v>0</v>
      </c>
      <c r="I246">
        <f>SUMPRODUCT((MONTH(CHOOSE({1,2,3,4},KHP!U246,KHP!AA246,KHP!AG246,KHP!AM246))=9)*(CHOOSE({1,2,3,4},KHP!X246,KHP!AD246,KHP!AJ246,KHP!AP246)))</f>
        <v>0</v>
      </c>
      <c r="J246">
        <f>SUMPRODUCT((MONTH(CHOOSE({1,2,3,4},KHP!U246,KHP!AA246,KHP!AG246,KHP!AM246))=10)*(CHOOSE({1,2,3,4},KHP!X246,KHP!AD246,KHP!AJ246,KHP!AP246)))</f>
        <v>0</v>
      </c>
      <c r="K246">
        <f>SUMPRODUCT((MONTH(CHOOSE({1,2,3,4},KHP!U246,KHP!AA246,KHP!AG246,KHP!AM246))=11)*(CHOOSE({1,2,3,4},KHP!X246,KHP!AD246,KHP!AJ246,KHP!AP246)))</f>
        <v>0</v>
      </c>
      <c r="L246">
        <f>SUMPRODUCT((MONTH(CHOOSE({1,2,3,4},KHP!U246,KHP!AA246,KHP!AG246,KHP!AM246))=12)*(CHOOSE({1,2,3,4},KHP!X246,KHP!AD246,KHP!AJ246,KHP!AP246)))</f>
        <v>0</v>
      </c>
    </row>
    <row r="247" spans="1:12">
      <c r="A247">
        <f>SUMPRODUCT((MONTH(CHOOSE({1,2,3,4},KHP!U247,KHP!AA247,KHP!AG247,KHP!AM247))=1)*(CHOOSE({1,2,3,4},KHP!X247,KHP!AD247,KHP!AJ247,KHP!AP247)))</f>
        <v>0</v>
      </c>
      <c r="B247">
        <f>SUMPRODUCT((MONTH(CHOOSE({1,2,3,4},KHP!U247,KHP!AA247,KHP!AG247,KHP!AM247))=2)*(CHOOSE({1,2,3,4},KHP!X247,KHP!AD247,KHP!AJ247,KHP!AP247)))</f>
        <v>0</v>
      </c>
      <c r="C247">
        <f>SUMPRODUCT((MONTH(CHOOSE({1,2,3,4},KHP!U247,KHP!AA247,KHP!AG247,KHP!AM247))=3)*(CHOOSE({1,2,3,4},KHP!X247,KHP!AD247,KHP!AJ247,KHP!AP247)))</f>
        <v>0</v>
      </c>
      <c r="D247">
        <f>SUMPRODUCT((MONTH(CHOOSE({1,2,3,4},KHP!U247,KHP!AA247,KHP!AG247,KHP!AM247))=4)*(CHOOSE({1,2,3,4},KHP!X247,KHP!AD247,KHP!AJ247,KHP!AP247)))</f>
        <v>0</v>
      </c>
      <c r="E247">
        <f>SUMPRODUCT((MONTH(CHOOSE({1,2,3,4},KHP!U247,KHP!AA247,KHP!AG247,KHP!AM247))=5)*(CHOOSE({1,2,3,4},KHP!X247,KHP!AD247,KHP!AJ247,KHP!AP247)))</f>
        <v>0</v>
      </c>
      <c r="F247">
        <f>SUMPRODUCT((MONTH(CHOOSE({1,2,3,4},KHP!U247,KHP!AA247,KHP!AG247,KHP!AM247))=6)*(CHOOSE({1,2,3,4},KHP!X247,KHP!AD247,KHP!AJ247,KHP!AP247)))</f>
        <v>0</v>
      </c>
      <c r="G247">
        <f>SUMPRODUCT((MONTH(CHOOSE({1,2,3,4},KHP!U247,KHP!AA247,KHP!AG247,KHP!AM247))=7)*(CHOOSE({1,2,3,4},KHP!X247,KHP!AD247,KHP!AJ247,KHP!AP247)))</f>
        <v>0</v>
      </c>
      <c r="H247">
        <f>SUMPRODUCT((MONTH(CHOOSE({1,2,3,4},KHP!U247,KHP!AA247,KHP!AG247,KHP!AM247))=8)*(CHOOSE({1,2,3,4},KHP!X247,KHP!AD247,KHP!AJ247,KHP!AP247)))</f>
        <v>0</v>
      </c>
      <c r="I247">
        <f>SUMPRODUCT((MONTH(CHOOSE({1,2,3,4},KHP!U247,KHP!AA247,KHP!AG247,KHP!AM247))=9)*(CHOOSE({1,2,3,4},KHP!X247,KHP!AD247,KHP!AJ247,KHP!AP247)))</f>
        <v>0</v>
      </c>
      <c r="J247">
        <f>SUMPRODUCT((MONTH(CHOOSE({1,2,3,4},KHP!U247,KHP!AA247,KHP!AG247,KHP!AM247))=10)*(CHOOSE({1,2,3,4},KHP!X247,KHP!AD247,KHP!AJ247,KHP!AP247)))</f>
        <v>0</v>
      </c>
      <c r="K247">
        <f>SUMPRODUCT((MONTH(CHOOSE({1,2,3,4},KHP!U247,KHP!AA247,KHP!AG247,KHP!AM247))=11)*(CHOOSE({1,2,3,4},KHP!X247,KHP!AD247,KHP!AJ247,KHP!AP247)))</f>
        <v>0</v>
      </c>
      <c r="L247">
        <f>SUMPRODUCT((MONTH(CHOOSE({1,2,3,4},KHP!U247,KHP!AA247,KHP!AG247,KHP!AM247))=12)*(CHOOSE({1,2,3,4},KHP!X247,KHP!AD247,KHP!AJ247,KHP!AP247)))</f>
        <v>0</v>
      </c>
    </row>
    <row r="248" spans="1:12">
      <c r="A248">
        <f>SUMPRODUCT((MONTH(CHOOSE({1,2,3,4},KHP!U248,KHP!AA248,KHP!AG248,KHP!AM248))=1)*(CHOOSE({1,2,3,4},KHP!X248,KHP!AD248,KHP!AJ248,KHP!AP248)))</f>
        <v>0</v>
      </c>
      <c r="B248">
        <f>SUMPRODUCT((MONTH(CHOOSE({1,2,3,4},KHP!U248,KHP!AA248,KHP!AG248,KHP!AM248))=2)*(CHOOSE({1,2,3,4},KHP!X248,KHP!AD248,KHP!AJ248,KHP!AP248)))</f>
        <v>0</v>
      </c>
      <c r="C248">
        <f>SUMPRODUCT((MONTH(CHOOSE({1,2,3,4},KHP!U248,KHP!AA248,KHP!AG248,KHP!AM248))=3)*(CHOOSE({1,2,3,4},KHP!X248,KHP!AD248,KHP!AJ248,KHP!AP248)))</f>
        <v>0</v>
      </c>
      <c r="D248">
        <f>SUMPRODUCT((MONTH(CHOOSE({1,2,3,4},KHP!U248,KHP!AA248,KHP!AG248,KHP!AM248))=4)*(CHOOSE({1,2,3,4},KHP!X248,KHP!AD248,KHP!AJ248,KHP!AP248)))</f>
        <v>0</v>
      </c>
      <c r="E248">
        <f>SUMPRODUCT((MONTH(CHOOSE({1,2,3,4},KHP!U248,KHP!AA248,KHP!AG248,KHP!AM248))=5)*(CHOOSE({1,2,3,4},KHP!X248,KHP!AD248,KHP!AJ248,KHP!AP248)))</f>
        <v>0</v>
      </c>
      <c r="F248">
        <f>SUMPRODUCT((MONTH(CHOOSE({1,2,3,4},KHP!U248,KHP!AA248,KHP!AG248,KHP!AM248))=6)*(CHOOSE({1,2,3,4},KHP!X248,KHP!AD248,KHP!AJ248,KHP!AP248)))</f>
        <v>0</v>
      </c>
      <c r="G248">
        <f>SUMPRODUCT((MONTH(CHOOSE({1,2,3,4},KHP!U248,KHP!AA248,KHP!AG248,KHP!AM248))=7)*(CHOOSE({1,2,3,4},KHP!X248,KHP!AD248,KHP!AJ248,KHP!AP248)))</f>
        <v>0</v>
      </c>
      <c r="H248">
        <f>SUMPRODUCT((MONTH(CHOOSE({1,2,3,4},KHP!U248,KHP!AA248,KHP!AG248,KHP!AM248))=8)*(CHOOSE({1,2,3,4},KHP!X248,KHP!AD248,KHP!AJ248,KHP!AP248)))</f>
        <v>0</v>
      </c>
      <c r="I248">
        <f>SUMPRODUCT((MONTH(CHOOSE({1,2,3,4},KHP!U248,KHP!AA248,KHP!AG248,KHP!AM248))=9)*(CHOOSE({1,2,3,4},KHP!X248,KHP!AD248,KHP!AJ248,KHP!AP248)))</f>
        <v>0</v>
      </c>
      <c r="J248">
        <f>SUMPRODUCT((MONTH(CHOOSE({1,2,3,4},KHP!U248,KHP!AA248,KHP!AG248,KHP!AM248))=10)*(CHOOSE({1,2,3,4},KHP!X248,KHP!AD248,KHP!AJ248,KHP!AP248)))</f>
        <v>0</v>
      </c>
      <c r="K248">
        <f>SUMPRODUCT((MONTH(CHOOSE({1,2,3,4},KHP!U248,KHP!AA248,KHP!AG248,KHP!AM248))=11)*(CHOOSE({1,2,3,4},KHP!X248,KHP!AD248,KHP!AJ248,KHP!AP248)))</f>
        <v>0</v>
      </c>
      <c r="L248">
        <f>SUMPRODUCT((MONTH(CHOOSE({1,2,3,4},KHP!U248,KHP!AA248,KHP!AG248,KHP!AM248))=12)*(CHOOSE({1,2,3,4},KHP!X248,KHP!AD248,KHP!AJ248,KHP!AP248)))</f>
        <v>0</v>
      </c>
    </row>
    <row r="249" spans="1:12">
      <c r="A249">
        <f>SUMPRODUCT((MONTH(CHOOSE({1,2,3,4},KHP!U249,KHP!AA249,KHP!AG249,KHP!AM249))=1)*(CHOOSE({1,2,3,4},KHP!X249,KHP!AD249,KHP!AJ249,KHP!AP249)))</f>
        <v>0</v>
      </c>
      <c r="B249">
        <f>SUMPRODUCT((MONTH(CHOOSE({1,2,3,4},KHP!U249,KHP!AA249,KHP!AG249,KHP!AM249))=2)*(CHOOSE({1,2,3,4},KHP!X249,KHP!AD249,KHP!AJ249,KHP!AP249)))</f>
        <v>0</v>
      </c>
      <c r="C249">
        <f>SUMPRODUCT((MONTH(CHOOSE({1,2,3,4},KHP!U249,KHP!AA249,KHP!AG249,KHP!AM249))=3)*(CHOOSE({1,2,3,4},KHP!X249,KHP!AD249,KHP!AJ249,KHP!AP249)))</f>
        <v>0</v>
      </c>
      <c r="D249">
        <f>SUMPRODUCT((MONTH(CHOOSE({1,2,3,4},KHP!U249,KHP!AA249,KHP!AG249,KHP!AM249))=4)*(CHOOSE({1,2,3,4},KHP!X249,KHP!AD249,KHP!AJ249,KHP!AP249)))</f>
        <v>0</v>
      </c>
      <c r="E249">
        <f>SUMPRODUCT((MONTH(CHOOSE({1,2,3,4},KHP!U249,KHP!AA249,KHP!AG249,KHP!AM249))=5)*(CHOOSE({1,2,3,4},KHP!X249,KHP!AD249,KHP!AJ249,KHP!AP249)))</f>
        <v>0</v>
      </c>
      <c r="F249">
        <f>SUMPRODUCT((MONTH(CHOOSE({1,2,3,4},KHP!U249,KHP!AA249,KHP!AG249,KHP!AM249))=6)*(CHOOSE({1,2,3,4},KHP!X249,KHP!AD249,KHP!AJ249,KHP!AP249)))</f>
        <v>0</v>
      </c>
      <c r="G249">
        <f>SUMPRODUCT((MONTH(CHOOSE({1,2,3,4},KHP!U249,KHP!AA249,KHP!AG249,KHP!AM249))=7)*(CHOOSE({1,2,3,4},KHP!X249,KHP!AD249,KHP!AJ249,KHP!AP249)))</f>
        <v>0</v>
      </c>
      <c r="H249">
        <f>SUMPRODUCT((MONTH(CHOOSE({1,2,3,4},KHP!U249,KHP!AA249,KHP!AG249,KHP!AM249))=8)*(CHOOSE({1,2,3,4},KHP!X249,KHP!AD249,KHP!AJ249,KHP!AP249)))</f>
        <v>0</v>
      </c>
      <c r="I249">
        <f>SUMPRODUCT((MONTH(CHOOSE({1,2,3,4},KHP!U249,KHP!AA249,KHP!AG249,KHP!AM249))=9)*(CHOOSE({1,2,3,4},KHP!X249,KHP!AD249,KHP!AJ249,KHP!AP249)))</f>
        <v>0</v>
      </c>
      <c r="J249">
        <f>SUMPRODUCT((MONTH(CHOOSE({1,2,3,4},KHP!U249,KHP!AA249,KHP!AG249,KHP!AM249))=10)*(CHOOSE({1,2,3,4},KHP!X249,KHP!AD249,KHP!AJ249,KHP!AP249)))</f>
        <v>0</v>
      </c>
      <c r="K249">
        <f>SUMPRODUCT((MONTH(CHOOSE({1,2,3,4},KHP!U249,KHP!AA249,KHP!AG249,KHP!AM249))=11)*(CHOOSE({1,2,3,4},KHP!X249,KHP!AD249,KHP!AJ249,KHP!AP249)))</f>
        <v>0</v>
      </c>
      <c r="L249">
        <f>SUMPRODUCT((MONTH(CHOOSE({1,2,3,4},KHP!U249,KHP!AA249,KHP!AG249,KHP!AM249))=12)*(CHOOSE({1,2,3,4},KHP!X249,KHP!AD249,KHP!AJ249,KHP!AP249)))</f>
        <v>0</v>
      </c>
    </row>
    <row r="250" spans="1:12">
      <c r="A250">
        <f>SUMPRODUCT((MONTH(CHOOSE({1,2,3,4},KHP!U250,KHP!AA250,KHP!AG250,KHP!AM250))=1)*(CHOOSE({1,2,3,4},KHP!X250,KHP!AD250,KHP!AJ250,KHP!AP250)))</f>
        <v>0</v>
      </c>
      <c r="B250">
        <f>SUMPRODUCT((MONTH(CHOOSE({1,2,3,4},KHP!U250,KHP!AA250,KHP!AG250,KHP!AM250))=2)*(CHOOSE({1,2,3,4},KHP!X250,KHP!AD250,KHP!AJ250,KHP!AP250)))</f>
        <v>0</v>
      </c>
      <c r="C250">
        <f>SUMPRODUCT((MONTH(CHOOSE({1,2,3,4},KHP!U250,KHP!AA250,KHP!AG250,KHP!AM250))=3)*(CHOOSE({1,2,3,4},KHP!X250,KHP!AD250,KHP!AJ250,KHP!AP250)))</f>
        <v>0</v>
      </c>
      <c r="D250">
        <f>SUMPRODUCT((MONTH(CHOOSE({1,2,3,4},KHP!U250,KHP!AA250,KHP!AG250,KHP!AM250))=4)*(CHOOSE({1,2,3,4},KHP!X250,KHP!AD250,KHP!AJ250,KHP!AP250)))</f>
        <v>0</v>
      </c>
      <c r="E250">
        <f>SUMPRODUCT((MONTH(CHOOSE({1,2,3,4},KHP!U250,KHP!AA250,KHP!AG250,KHP!AM250))=5)*(CHOOSE({1,2,3,4},KHP!X250,KHP!AD250,KHP!AJ250,KHP!AP250)))</f>
        <v>0</v>
      </c>
      <c r="F250">
        <f>SUMPRODUCT((MONTH(CHOOSE({1,2,3,4},KHP!U250,KHP!AA250,KHP!AG250,KHP!AM250))=6)*(CHOOSE({1,2,3,4},KHP!X250,KHP!AD250,KHP!AJ250,KHP!AP250)))</f>
        <v>0</v>
      </c>
      <c r="G250">
        <f>SUMPRODUCT((MONTH(CHOOSE({1,2,3,4},KHP!U250,KHP!AA250,KHP!AG250,KHP!AM250))=7)*(CHOOSE({1,2,3,4},KHP!X250,KHP!AD250,KHP!AJ250,KHP!AP250)))</f>
        <v>0</v>
      </c>
      <c r="H250">
        <f>SUMPRODUCT((MONTH(CHOOSE({1,2,3,4},KHP!U250,KHP!AA250,KHP!AG250,KHP!AM250))=8)*(CHOOSE({1,2,3,4},KHP!X250,KHP!AD250,KHP!AJ250,KHP!AP250)))</f>
        <v>0</v>
      </c>
      <c r="I250">
        <f>SUMPRODUCT((MONTH(CHOOSE({1,2,3,4},KHP!U250,KHP!AA250,KHP!AG250,KHP!AM250))=9)*(CHOOSE({1,2,3,4},KHP!X250,KHP!AD250,KHP!AJ250,KHP!AP250)))</f>
        <v>0</v>
      </c>
      <c r="J250">
        <f>SUMPRODUCT((MONTH(CHOOSE({1,2,3,4},KHP!U250,KHP!AA250,KHP!AG250,KHP!AM250))=10)*(CHOOSE({1,2,3,4},KHP!X250,KHP!AD250,KHP!AJ250,KHP!AP250)))</f>
        <v>0</v>
      </c>
      <c r="K250">
        <f>SUMPRODUCT((MONTH(CHOOSE({1,2,3,4},KHP!U250,KHP!AA250,KHP!AG250,KHP!AM250))=11)*(CHOOSE({1,2,3,4},KHP!X250,KHP!AD250,KHP!AJ250,KHP!AP250)))</f>
        <v>0</v>
      </c>
      <c r="L250">
        <f>SUMPRODUCT((MONTH(CHOOSE({1,2,3,4},KHP!U250,KHP!AA250,KHP!AG250,KHP!AM250))=12)*(CHOOSE({1,2,3,4},KHP!X250,KHP!AD250,KHP!AJ250,KHP!AP250)))</f>
        <v>0</v>
      </c>
    </row>
    <row r="251" spans="1:12">
      <c r="A251">
        <f>SUMPRODUCT((MONTH(CHOOSE({1,2,3,4},KHP!U251,KHP!AA251,KHP!AG251,KHP!AM251))=1)*(CHOOSE({1,2,3,4},KHP!X251,KHP!AD251,KHP!AJ251,KHP!AP251)))</f>
        <v>0</v>
      </c>
      <c r="B251">
        <f>SUMPRODUCT((MONTH(CHOOSE({1,2,3,4},KHP!U251,KHP!AA251,KHP!AG251,KHP!AM251))=2)*(CHOOSE({1,2,3,4},KHP!X251,KHP!AD251,KHP!AJ251,KHP!AP251)))</f>
        <v>0</v>
      </c>
      <c r="C251">
        <f>SUMPRODUCT((MONTH(CHOOSE({1,2,3,4},KHP!U251,KHP!AA251,KHP!AG251,KHP!AM251))=3)*(CHOOSE({1,2,3,4},KHP!X251,KHP!AD251,KHP!AJ251,KHP!AP251)))</f>
        <v>0</v>
      </c>
      <c r="D251">
        <f>SUMPRODUCT((MONTH(CHOOSE({1,2,3,4},KHP!U251,KHP!AA251,KHP!AG251,KHP!AM251))=4)*(CHOOSE({1,2,3,4},KHP!X251,KHP!AD251,KHP!AJ251,KHP!AP251)))</f>
        <v>0</v>
      </c>
      <c r="E251">
        <f>SUMPRODUCT((MONTH(CHOOSE({1,2,3,4},KHP!U251,KHP!AA251,KHP!AG251,KHP!AM251))=5)*(CHOOSE({1,2,3,4},KHP!X251,KHP!AD251,KHP!AJ251,KHP!AP251)))</f>
        <v>0</v>
      </c>
      <c r="F251">
        <f>SUMPRODUCT((MONTH(CHOOSE({1,2,3,4},KHP!U251,KHP!AA251,KHP!AG251,KHP!AM251))=6)*(CHOOSE({1,2,3,4},KHP!X251,KHP!AD251,KHP!AJ251,KHP!AP251)))</f>
        <v>0</v>
      </c>
      <c r="G251">
        <f>SUMPRODUCT((MONTH(CHOOSE({1,2,3,4},KHP!U251,KHP!AA251,KHP!AG251,KHP!AM251))=7)*(CHOOSE({1,2,3,4},KHP!X251,KHP!AD251,KHP!AJ251,KHP!AP251)))</f>
        <v>0</v>
      </c>
      <c r="H251">
        <f>SUMPRODUCT((MONTH(CHOOSE({1,2,3,4},KHP!U251,KHP!AA251,KHP!AG251,KHP!AM251))=8)*(CHOOSE({1,2,3,4},KHP!X251,KHP!AD251,KHP!AJ251,KHP!AP251)))</f>
        <v>0</v>
      </c>
      <c r="I251">
        <f>SUMPRODUCT((MONTH(CHOOSE({1,2,3,4},KHP!U251,KHP!AA251,KHP!AG251,KHP!AM251))=9)*(CHOOSE({1,2,3,4},KHP!X251,KHP!AD251,KHP!AJ251,KHP!AP251)))</f>
        <v>0</v>
      </c>
      <c r="J251">
        <f>SUMPRODUCT((MONTH(CHOOSE({1,2,3,4},KHP!U251,KHP!AA251,KHP!AG251,KHP!AM251))=10)*(CHOOSE({1,2,3,4},KHP!X251,KHP!AD251,KHP!AJ251,KHP!AP251)))</f>
        <v>0</v>
      </c>
      <c r="K251">
        <f>SUMPRODUCT((MONTH(CHOOSE({1,2,3,4},KHP!U251,KHP!AA251,KHP!AG251,KHP!AM251))=11)*(CHOOSE({1,2,3,4},KHP!X251,KHP!AD251,KHP!AJ251,KHP!AP251)))</f>
        <v>0</v>
      </c>
      <c r="L251">
        <f>SUMPRODUCT((MONTH(CHOOSE({1,2,3,4},KHP!U251,KHP!AA251,KHP!AG251,KHP!AM251))=12)*(CHOOSE({1,2,3,4},KHP!X251,KHP!AD251,KHP!AJ251,KHP!AP251)))</f>
        <v>0</v>
      </c>
    </row>
    <row r="252" spans="1:12">
      <c r="A252">
        <f>SUMPRODUCT((MONTH(CHOOSE({1,2,3,4},KHP!U252,KHP!AA252,KHP!AG252,KHP!AM252))=1)*(CHOOSE({1,2,3,4},KHP!X252,KHP!AD252,KHP!AJ252,KHP!AP252)))</f>
        <v>0</v>
      </c>
      <c r="B252">
        <f>SUMPRODUCT((MONTH(CHOOSE({1,2,3,4},KHP!U252,KHP!AA252,KHP!AG252,KHP!AM252))=2)*(CHOOSE({1,2,3,4},KHP!X252,KHP!AD252,KHP!AJ252,KHP!AP252)))</f>
        <v>0</v>
      </c>
      <c r="C252">
        <f>SUMPRODUCT((MONTH(CHOOSE({1,2,3,4},KHP!U252,KHP!AA252,KHP!AG252,KHP!AM252))=3)*(CHOOSE({1,2,3,4},KHP!X252,KHP!AD252,KHP!AJ252,KHP!AP252)))</f>
        <v>0</v>
      </c>
      <c r="D252">
        <f>SUMPRODUCT((MONTH(CHOOSE({1,2,3,4},KHP!U252,KHP!AA252,KHP!AG252,KHP!AM252))=4)*(CHOOSE({1,2,3,4},KHP!X252,KHP!AD252,KHP!AJ252,KHP!AP252)))</f>
        <v>0</v>
      </c>
      <c r="E252">
        <f>SUMPRODUCT((MONTH(CHOOSE({1,2,3,4},KHP!U252,KHP!AA252,KHP!AG252,KHP!AM252))=5)*(CHOOSE({1,2,3,4},KHP!X252,KHP!AD252,KHP!AJ252,KHP!AP252)))</f>
        <v>0</v>
      </c>
      <c r="F252">
        <f>SUMPRODUCT((MONTH(CHOOSE({1,2,3,4},KHP!U252,KHP!AA252,KHP!AG252,KHP!AM252))=6)*(CHOOSE({1,2,3,4},KHP!X252,KHP!AD252,KHP!AJ252,KHP!AP252)))</f>
        <v>0</v>
      </c>
      <c r="G252">
        <f>SUMPRODUCT((MONTH(CHOOSE({1,2,3,4},KHP!U252,KHP!AA252,KHP!AG252,KHP!AM252))=7)*(CHOOSE({1,2,3,4},KHP!X252,KHP!AD252,KHP!AJ252,KHP!AP252)))</f>
        <v>0</v>
      </c>
      <c r="H252">
        <f>SUMPRODUCT((MONTH(CHOOSE({1,2,3,4},KHP!U252,KHP!AA252,KHP!AG252,KHP!AM252))=8)*(CHOOSE({1,2,3,4},KHP!X252,KHP!AD252,KHP!AJ252,KHP!AP252)))</f>
        <v>0</v>
      </c>
      <c r="I252">
        <f>SUMPRODUCT((MONTH(CHOOSE({1,2,3,4},KHP!U252,KHP!AA252,KHP!AG252,KHP!AM252))=9)*(CHOOSE({1,2,3,4},KHP!X252,KHP!AD252,KHP!AJ252,KHP!AP252)))</f>
        <v>0</v>
      </c>
      <c r="J252">
        <f>SUMPRODUCT((MONTH(CHOOSE({1,2,3,4},KHP!U252,KHP!AA252,KHP!AG252,KHP!AM252))=10)*(CHOOSE({1,2,3,4},KHP!X252,KHP!AD252,KHP!AJ252,KHP!AP252)))</f>
        <v>0</v>
      </c>
      <c r="K252">
        <f>SUMPRODUCT((MONTH(CHOOSE({1,2,3,4},KHP!U252,KHP!AA252,KHP!AG252,KHP!AM252))=11)*(CHOOSE({1,2,3,4},KHP!X252,KHP!AD252,KHP!AJ252,KHP!AP252)))</f>
        <v>0</v>
      </c>
      <c r="L252">
        <f>SUMPRODUCT((MONTH(CHOOSE({1,2,3,4},KHP!U252,KHP!AA252,KHP!AG252,KHP!AM252))=12)*(CHOOSE({1,2,3,4},KHP!X252,KHP!AD252,KHP!AJ252,KHP!AP252)))</f>
        <v>0</v>
      </c>
    </row>
    <row r="253" spans="1:12">
      <c r="A253">
        <f>SUMPRODUCT((MONTH(CHOOSE({1,2,3,4},KHP!U253,KHP!AA253,KHP!AG253,KHP!AM253))=1)*(CHOOSE({1,2,3,4},KHP!X253,KHP!AD253,KHP!AJ253,KHP!AP253)))</f>
        <v>0</v>
      </c>
      <c r="B253">
        <f>SUMPRODUCT((MONTH(CHOOSE({1,2,3,4},KHP!U253,KHP!AA253,KHP!AG253,KHP!AM253))=2)*(CHOOSE({1,2,3,4},KHP!X253,KHP!AD253,KHP!AJ253,KHP!AP253)))</f>
        <v>0</v>
      </c>
      <c r="C253">
        <f>SUMPRODUCT((MONTH(CHOOSE({1,2,3,4},KHP!U253,KHP!AA253,KHP!AG253,KHP!AM253))=3)*(CHOOSE({1,2,3,4},KHP!X253,KHP!AD253,KHP!AJ253,KHP!AP253)))</f>
        <v>0</v>
      </c>
      <c r="D253">
        <f>SUMPRODUCT((MONTH(CHOOSE({1,2,3,4},KHP!U253,KHP!AA253,KHP!AG253,KHP!AM253))=4)*(CHOOSE({1,2,3,4},KHP!X253,KHP!AD253,KHP!AJ253,KHP!AP253)))</f>
        <v>0</v>
      </c>
      <c r="E253">
        <f>SUMPRODUCT((MONTH(CHOOSE({1,2,3,4},KHP!U253,KHP!AA253,KHP!AG253,KHP!AM253))=5)*(CHOOSE({1,2,3,4},KHP!X253,KHP!AD253,KHP!AJ253,KHP!AP253)))</f>
        <v>0</v>
      </c>
      <c r="F253">
        <f>SUMPRODUCT((MONTH(CHOOSE({1,2,3,4},KHP!U253,KHP!AA253,KHP!AG253,KHP!AM253))=6)*(CHOOSE({1,2,3,4},KHP!X253,KHP!AD253,KHP!AJ253,KHP!AP253)))</f>
        <v>0</v>
      </c>
      <c r="G253">
        <f>SUMPRODUCT((MONTH(CHOOSE({1,2,3,4},KHP!U253,KHP!AA253,KHP!AG253,KHP!AM253))=7)*(CHOOSE({1,2,3,4},KHP!X253,KHP!AD253,KHP!AJ253,KHP!AP253)))</f>
        <v>0</v>
      </c>
      <c r="H253">
        <f>SUMPRODUCT((MONTH(CHOOSE({1,2,3,4},KHP!U253,KHP!AA253,KHP!AG253,KHP!AM253))=8)*(CHOOSE({1,2,3,4},KHP!X253,KHP!AD253,KHP!AJ253,KHP!AP253)))</f>
        <v>0</v>
      </c>
      <c r="I253">
        <f>SUMPRODUCT((MONTH(CHOOSE({1,2,3,4},KHP!U253,KHP!AA253,KHP!AG253,KHP!AM253))=9)*(CHOOSE({1,2,3,4},KHP!X253,KHP!AD253,KHP!AJ253,KHP!AP253)))</f>
        <v>0</v>
      </c>
      <c r="J253">
        <f>SUMPRODUCT((MONTH(CHOOSE({1,2,3,4},KHP!U253,KHP!AA253,KHP!AG253,KHP!AM253))=10)*(CHOOSE({1,2,3,4},KHP!X253,KHP!AD253,KHP!AJ253,KHP!AP253)))</f>
        <v>0</v>
      </c>
      <c r="K253">
        <f>SUMPRODUCT((MONTH(CHOOSE({1,2,3,4},KHP!U253,KHP!AA253,KHP!AG253,KHP!AM253))=11)*(CHOOSE({1,2,3,4},KHP!X253,KHP!AD253,KHP!AJ253,KHP!AP253)))</f>
        <v>0</v>
      </c>
      <c r="L253">
        <f>SUMPRODUCT((MONTH(CHOOSE({1,2,3,4},KHP!U253,KHP!AA253,KHP!AG253,KHP!AM253))=12)*(CHOOSE({1,2,3,4},KHP!X253,KHP!AD253,KHP!AJ253,KHP!AP253)))</f>
        <v>0</v>
      </c>
    </row>
    <row r="254" spans="1:12">
      <c r="A254">
        <f>SUMPRODUCT((MONTH(CHOOSE({1,2,3,4},KHP!U254,KHP!AA254,KHP!AG254,KHP!AM254))=1)*(CHOOSE({1,2,3,4},KHP!X254,KHP!AD254,KHP!AJ254,KHP!AP254)))</f>
        <v>0</v>
      </c>
      <c r="B254">
        <f>SUMPRODUCT((MONTH(CHOOSE({1,2,3,4},KHP!U254,KHP!AA254,KHP!AG254,KHP!AM254))=2)*(CHOOSE({1,2,3,4},KHP!X254,KHP!AD254,KHP!AJ254,KHP!AP254)))</f>
        <v>0</v>
      </c>
      <c r="C254">
        <f>SUMPRODUCT((MONTH(CHOOSE({1,2,3,4},KHP!U254,KHP!AA254,KHP!AG254,KHP!AM254))=3)*(CHOOSE({1,2,3,4},KHP!X254,KHP!AD254,KHP!AJ254,KHP!AP254)))</f>
        <v>0</v>
      </c>
      <c r="D254">
        <f>SUMPRODUCT((MONTH(CHOOSE({1,2,3,4},KHP!U254,KHP!AA254,KHP!AG254,KHP!AM254))=4)*(CHOOSE({1,2,3,4},KHP!X254,KHP!AD254,KHP!AJ254,KHP!AP254)))</f>
        <v>0</v>
      </c>
      <c r="E254">
        <f>SUMPRODUCT((MONTH(CHOOSE({1,2,3,4},KHP!U254,KHP!AA254,KHP!AG254,KHP!AM254))=5)*(CHOOSE({1,2,3,4},KHP!X254,KHP!AD254,KHP!AJ254,KHP!AP254)))</f>
        <v>0</v>
      </c>
      <c r="F254">
        <f>SUMPRODUCT((MONTH(CHOOSE({1,2,3,4},KHP!U254,KHP!AA254,KHP!AG254,KHP!AM254))=6)*(CHOOSE({1,2,3,4},KHP!X254,KHP!AD254,KHP!AJ254,KHP!AP254)))</f>
        <v>0</v>
      </c>
      <c r="G254">
        <f>SUMPRODUCT((MONTH(CHOOSE({1,2,3,4},KHP!U254,KHP!AA254,KHP!AG254,KHP!AM254))=7)*(CHOOSE({1,2,3,4},KHP!X254,KHP!AD254,KHP!AJ254,KHP!AP254)))</f>
        <v>0</v>
      </c>
      <c r="H254">
        <f>SUMPRODUCT((MONTH(CHOOSE({1,2,3,4},KHP!U254,KHP!AA254,KHP!AG254,KHP!AM254))=8)*(CHOOSE({1,2,3,4},KHP!X254,KHP!AD254,KHP!AJ254,KHP!AP254)))</f>
        <v>0</v>
      </c>
      <c r="I254">
        <f>SUMPRODUCT((MONTH(CHOOSE({1,2,3,4},KHP!U254,KHP!AA254,KHP!AG254,KHP!AM254))=9)*(CHOOSE({1,2,3,4},KHP!X254,KHP!AD254,KHP!AJ254,KHP!AP254)))</f>
        <v>0</v>
      </c>
      <c r="J254">
        <f>SUMPRODUCT((MONTH(CHOOSE({1,2,3,4},KHP!U254,KHP!AA254,KHP!AG254,KHP!AM254))=10)*(CHOOSE({1,2,3,4},KHP!X254,KHP!AD254,KHP!AJ254,KHP!AP254)))</f>
        <v>0</v>
      </c>
      <c r="K254">
        <f>SUMPRODUCT((MONTH(CHOOSE({1,2,3,4},KHP!U254,KHP!AA254,KHP!AG254,KHP!AM254))=11)*(CHOOSE({1,2,3,4},KHP!X254,KHP!AD254,KHP!AJ254,KHP!AP254)))</f>
        <v>0</v>
      </c>
      <c r="L254">
        <f>SUMPRODUCT((MONTH(CHOOSE({1,2,3,4},KHP!U254,KHP!AA254,KHP!AG254,KHP!AM254))=12)*(CHOOSE({1,2,3,4},KHP!X254,KHP!AD254,KHP!AJ254,KHP!AP254)))</f>
        <v>0</v>
      </c>
    </row>
    <row r="255" spans="1:12">
      <c r="A255">
        <f>SUMPRODUCT((MONTH(CHOOSE({1,2,3,4},KHP!U255,KHP!AA255,KHP!AG255,KHP!AM255))=1)*(CHOOSE({1,2,3,4},KHP!X255,KHP!AD255,KHP!AJ255,KHP!AP255)))</f>
        <v>0</v>
      </c>
      <c r="B255">
        <f>SUMPRODUCT((MONTH(CHOOSE({1,2,3,4},KHP!U255,KHP!AA255,KHP!AG255,KHP!AM255))=2)*(CHOOSE({1,2,3,4},KHP!X255,KHP!AD255,KHP!AJ255,KHP!AP255)))</f>
        <v>0</v>
      </c>
      <c r="C255">
        <f>SUMPRODUCT((MONTH(CHOOSE({1,2,3,4},KHP!U255,KHP!AA255,KHP!AG255,KHP!AM255))=3)*(CHOOSE({1,2,3,4},KHP!X255,KHP!AD255,KHP!AJ255,KHP!AP255)))</f>
        <v>0</v>
      </c>
      <c r="D255">
        <f>SUMPRODUCT((MONTH(CHOOSE({1,2,3,4},KHP!U255,KHP!AA255,KHP!AG255,KHP!AM255))=4)*(CHOOSE({1,2,3,4},KHP!X255,KHP!AD255,KHP!AJ255,KHP!AP255)))</f>
        <v>0</v>
      </c>
      <c r="E255">
        <f>SUMPRODUCT((MONTH(CHOOSE({1,2,3,4},KHP!U255,KHP!AA255,KHP!AG255,KHP!AM255))=5)*(CHOOSE({1,2,3,4},KHP!X255,KHP!AD255,KHP!AJ255,KHP!AP255)))</f>
        <v>0</v>
      </c>
      <c r="F255">
        <f>SUMPRODUCT((MONTH(CHOOSE({1,2,3,4},KHP!U255,KHP!AA255,KHP!AG255,KHP!AM255))=6)*(CHOOSE({1,2,3,4},KHP!X255,KHP!AD255,KHP!AJ255,KHP!AP255)))</f>
        <v>0</v>
      </c>
      <c r="G255">
        <f>SUMPRODUCT((MONTH(CHOOSE({1,2,3,4},KHP!U255,KHP!AA255,KHP!AG255,KHP!AM255))=7)*(CHOOSE({1,2,3,4},KHP!X255,KHP!AD255,KHP!AJ255,KHP!AP255)))</f>
        <v>0</v>
      </c>
      <c r="H255">
        <f>SUMPRODUCT((MONTH(CHOOSE({1,2,3,4},KHP!U255,KHP!AA255,KHP!AG255,KHP!AM255))=8)*(CHOOSE({1,2,3,4},KHP!X255,KHP!AD255,KHP!AJ255,KHP!AP255)))</f>
        <v>0</v>
      </c>
      <c r="I255">
        <f>SUMPRODUCT((MONTH(CHOOSE({1,2,3,4},KHP!U255,KHP!AA255,KHP!AG255,KHP!AM255))=9)*(CHOOSE({1,2,3,4},KHP!X255,KHP!AD255,KHP!AJ255,KHP!AP255)))</f>
        <v>0</v>
      </c>
      <c r="J255">
        <f>SUMPRODUCT((MONTH(CHOOSE({1,2,3,4},KHP!U255,KHP!AA255,KHP!AG255,KHP!AM255))=10)*(CHOOSE({1,2,3,4},KHP!X255,KHP!AD255,KHP!AJ255,KHP!AP255)))</f>
        <v>0</v>
      </c>
      <c r="K255">
        <f>SUMPRODUCT((MONTH(CHOOSE({1,2,3,4},KHP!U255,KHP!AA255,KHP!AG255,KHP!AM255))=11)*(CHOOSE({1,2,3,4},KHP!X255,KHP!AD255,KHP!AJ255,KHP!AP255)))</f>
        <v>0</v>
      </c>
      <c r="L255">
        <f>SUMPRODUCT((MONTH(CHOOSE({1,2,3,4},KHP!U255,KHP!AA255,KHP!AG255,KHP!AM255))=12)*(CHOOSE({1,2,3,4},KHP!X255,KHP!AD255,KHP!AJ255,KHP!AP255)))</f>
        <v>0</v>
      </c>
    </row>
    <row r="256" spans="1:12">
      <c r="A256">
        <f>SUMPRODUCT((MONTH(CHOOSE({1,2,3,4},KHP!U256,KHP!AA256,KHP!AG256,KHP!AM256))=1)*(CHOOSE({1,2,3,4},KHP!X256,KHP!AD256,KHP!AJ256,KHP!AP256)))</f>
        <v>0</v>
      </c>
      <c r="B256">
        <f>SUMPRODUCT((MONTH(CHOOSE({1,2,3,4},KHP!U256,KHP!AA256,KHP!AG256,KHP!AM256))=2)*(CHOOSE({1,2,3,4},KHP!X256,KHP!AD256,KHP!AJ256,KHP!AP256)))</f>
        <v>0</v>
      </c>
      <c r="C256">
        <f>SUMPRODUCT((MONTH(CHOOSE({1,2,3,4},KHP!U256,KHP!AA256,KHP!AG256,KHP!AM256))=3)*(CHOOSE({1,2,3,4},KHP!X256,KHP!AD256,KHP!AJ256,KHP!AP256)))</f>
        <v>0</v>
      </c>
      <c r="D256">
        <f>SUMPRODUCT((MONTH(CHOOSE({1,2,3,4},KHP!U256,KHP!AA256,KHP!AG256,KHP!AM256))=4)*(CHOOSE({1,2,3,4},KHP!X256,KHP!AD256,KHP!AJ256,KHP!AP256)))</f>
        <v>0</v>
      </c>
      <c r="E256">
        <f>SUMPRODUCT((MONTH(CHOOSE({1,2,3,4},KHP!U256,KHP!AA256,KHP!AG256,KHP!AM256))=5)*(CHOOSE({1,2,3,4},KHP!X256,KHP!AD256,KHP!AJ256,KHP!AP256)))</f>
        <v>0</v>
      </c>
      <c r="F256">
        <f>SUMPRODUCT((MONTH(CHOOSE({1,2,3,4},KHP!U256,KHP!AA256,KHP!AG256,KHP!AM256))=6)*(CHOOSE({1,2,3,4},KHP!X256,KHP!AD256,KHP!AJ256,KHP!AP256)))</f>
        <v>0</v>
      </c>
      <c r="G256">
        <f>SUMPRODUCT((MONTH(CHOOSE({1,2,3,4},KHP!U256,KHP!AA256,KHP!AG256,KHP!AM256))=7)*(CHOOSE({1,2,3,4},KHP!X256,KHP!AD256,KHP!AJ256,KHP!AP256)))</f>
        <v>0</v>
      </c>
      <c r="H256">
        <f>SUMPRODUCT((MONTH(CHOOSE({1,2,3,4},KHP!U256,KHP!AA256,KHP!AG256,KHP!AM256))=8)*(CHOOSE({1,2,3,4},KHP!X256,KHP!AD256,KHP!AJ256,KHP!AP256)))</f>
        <v>0</v>
      </c>
      <c r="I256">
        <f>SUMPRODUCT((MONTH(CHOOSE({1,2,3,4},KHP!U256,KHP!AA256,KHP!AG256,KHP!AM256))=9)*(CHOOSE({1,2,3,4},KHP!X256,KHP!AD256,KHP!AJ256,KHP!AP256)))</f>
        <v>0</v>
      </c>
      <c r="J256">
        <f>SUMPRODUCT((MONTH(CHOOSE({1,2,3,4},KHP!U256,KHP!AA256,KHP!AG256,KHP!AM256))=10)*(CHOOSE({1,2,3,4},KHP!X256,KHP!AD256,KHP!AJ256,KHP!AP256)))</f>
        <v>0</v>
      </c>
      <c r="K256">
        <f>SUMPRODUCT((MONTH(CHOOSE({1,2,3,4},KHP!U256,KHP!AA256,KHP!AG256,KHP!AM256))=11)*(CHOOSE({1,2,3,4},KHP!X256,KHP!AD256,KHP!AJ256,KHP!AP256)))</f>
        <v>0</v>
      </c>
      <c r="L256">
        <f>SUMPRODUCT((MONTH(CHOOSE({1,2,3,4},KHP!U256,KHP!AA256,KHP!AG256,KHP!AM256))=12)*(CHOOSE({1,2,3,4},KHP!X256,KHP!AD256,KHP!AJ256,KHP!AP256)))</f>
        <v>0</v>
      </c>
    </row>
    <row r="257" spans="1:12">
      <c r="A257">
        <f>SUMPRODUCT((MONTH(CHOOSE({1,2,3,4},KHP!U257,KHP!AA257,KHP!AG257,KHP!AM257))=1)*(CHOOSE({1,2,3,4},KHP!X257,KHP!AD257,KHP!AJ257,KHP!AP257)))</f>
        <v>0</v>
      </c>
      <c r="B257">
        <f>SUMPRODUCT((MONTH(CHOOSE({1,2,3,4},KHP!U257,KHP!AA257,KHP!AG257,KHP!AM257))=2)*(CHOOSE({1,2,3,4},KHP!X257,KHP!AD257,KHP!AJ257,KHP!AP257)))</f>
        <v>0</v>
      </c>
      <c r="C257">
        <f>SUMPRODUCT((MONTH(CHOOSE({1,2,3,4},KHP!U257,KHP!AA257,KHP!AG257,KHP!AM257))=3)*(CHOOSE({1,2,3,4},KHP!X257,KHP!AD257,KHP!AJ257,KHP!AP257)))</f>
        <v>0</v>
      </c>
      <c r="D257">
        <f>SUMPRODUCT((MONTH(CHOOSE({1,2,3,4},KHP!U257,KHP!AA257,KHP!AG257,KHP!AM257))=4)*(CHOOSE({1,2,3,4},KHP!X257,KHP!AD257,KHP!AJ257,KHP!AP257)))</f>
        <v>0</v>
      </c>
      <c r="E257">
        <f>SUMPRODUCT((MONTH(CHOOSE({1,2,3,4},KHP!U257,KHP!AA257,KHP!AG257,KHP!AM257))=5)*(CHOOSE({1,2,3,4},KHP!X257,KHP!AD257,KHP!AJ257,KHP!AP257)))</f>
        <v>0</v>
      </c>
      <c r="F257">
        <f>SUMPRODUCT((MONTH(CHOOSE({1,2,3,4},KHP!U257,KHP!AA257,KHP!AG257,KHP!AM257))=6)*(CHOOSE({1,2,3,4},KHP!X257,KHP!AD257,KHP!AJ257,KHP!AP257)))</f>
        <v>0</v>
      </c>
      <c r="G257">
        <f>SUMPRODUCT((MONTH(CHOOSE({1,2,3,4},KHP!U257,KHP!AA257,KHP!AG257,KHP!AM257))=7)*(CHOOSE({1,2,3,4},KHP!X257,KHP!AD257,KHP!AJ257,KHP!AP257)))</f>
        <v>0</v>
      </c>
      <c r="H257">
        <f>SUMPRODUCT((MONTH(CHOOSE({1,2,3,4},KHP!U257,KHP!AA257,KHP!AG257,KHP!AM257))=8)*(CHOOSE({1,2,3,4},KHP!X257,KHP!AD257,KHP!AJ257,KHP!AP257)))</f>
        <v>0</v>
      </c>
      <c r="I257">
        <f>SUMPRODUCT((MONTH(CHOOSE({1,2,3,4},KHP!U257,KHP!AA257,KHP!AG257,KHP!AM257))=9)*(CHOOSE({1,2,3,4},KHP!X257,KHP!AD257,KHP!AJ257,KHP!AP257)))</f>
        <v>0</v>
      </c>
      <c r="J257">
        <f>SUMPRODUCT((MONTH(CHOOSE({1,2,3,4},KHP!U257,KHP!AA257,KHP!AG257,KHP!AM257))=10)*(CHOOSE({1,2,3,4},KHP!X257,KHP!AD257,KHP!AJ257,KHP!AP257)))</f>
        <v>0</v>
      </c>
      <c r="K257">
        <f>SUMPRODUCT((MONTH(CHOOSE({1,2,3,4},KHP!U257,KHP!AA257,KHP!AG257,KHP!AM257))=11)*(CHOOSE({1,2,3,4},KHP!X257,KHP!AD257,KHP!AJ257,KHP!AP257)))</f>
        <v>0</v>
      </c>
      <c r="L257">
        <f>SUMPRODUCT((MONTH(CHOOSE({1,2,3,4},KHP!U257,KHP!AA257,KHP!AG257,KHP!AM257))=12)*(CHOOSE({1,2,3,4},KHP!X257,KHP!AD257,KHP!AJ257,KHP!AP257)))</f>
        <v>0</v>
      </c>
    </row>
    <row r="258" spans="1:12">
      <c r="A258">
        <f>SUMPRODUCT((MONTH(CHOOSE({1,2,3,4},KHP!U258,KHP!AA258,KHP!AG258,KHP!AM258))=1)*(CHOOSE({1,2,3,4},KHP!X258,KHP!AD258,KHP!AJ258,KHP!AP258)))</f>
        <v>0</v>
      </c>
      <c r="B258">
        <f>SUMPRODUCT((MONTH(CHOOSE({1,2,3,4},KHP!U258,KHP!AA258,KHP!AG258,KHP!AM258))=2)*(CHOOSE({1,2,3,4},KHP!X258,KHP!AD258,KHP!AJ258,KHP!AP258)))</f>
        <v>0</v>
      </c>
      <c r="C258">
        <f>SUMPRODUCT((MONTH(CHOOSE({1,2,3,4},KHP!U258,KHP!AA258,KHP!AG258,KHP!AM258))=3)*(CHOOSE({1,2,3,4},KHP!X258,KHP!AD258,KHP!AJ258,KHP!AP258)))</f>
        <v>0</v>
      </c>
      <c r="D258">
        <f>SUMPRODUCT((MONTH(CHOOSE({1,2,3,4},KHP!U258,KHP!AA258,KHP!AG258,KHP!AM258))=4)*(CHOOSE({1,2,3,4},KHP!X258,KHP!AD258,KHP!AJ258,KHP!AP258)))</f>
        <v>0</v>
      </c>
      <c r="E258">
        <f>SUMPRODUCT((MONTH(CHOOSE({1,2,3,4},KHP!U258,KHP!AA258,KHP!AG258,KHP!AM258))=5)*(CHOOSE({1,2,3,4},KHP!X258,KHP!AD258,KHP!AJ258,KHP!AP258)))</f>
        <v>0</v>
      </c>
      <c r="F258">
        <f>SUMPRODUCT((MONTH(CHOOSE({1,2,3,4},KHP!U258,KHP!AA258,KHP!AG258,KHP!AM258))=6)*(CHOOSE({1,2,3,4},KHP!X258,KHP!AD258,KHP!AJ258,KHP!AP258)))</f>
        <v>0</v>
      </c>
      <c r="G258">
        <f>SUMPRODUCT((MONTH(CHOOSE({1,2,3,4},KHP!U258,KHP!AA258,KHP!AG258,KHP!AM258))=7)*(CHOOSE({1,2,3,4},KHP!X258,KHP!AD258,KHP!AJ258,KHP!AP258)))</f>
        <v>0</v>
      </c>
      <c r="H258">
        <f>SUMPRODUCT((MONTH(CHOOSE({1,2,3,4},KHP!U258,KHP!AA258,KHP!AG258,KHP!AM258))=8)*(CHOOSE({1,2,3,4},KHP!X258,KHP!AD258,KHP!AJ258,KHP!AP258)))</f>
        <v>0</v>
      </c>
      <c r="I258">
        <f>SUMPRODUCT((MONTH(CHOOSE({1,2,3,4},KHP!U258,KHP!AA258,KHP!AG258,KHP!AM258))=9)*(CHOOSE({1,2,3,4},KHP!X258,KHP!AD258,KHP!AJ258,KHP!AP258)))</f>
        <v>0</v>
      </c>
      <c r="J258">
        <f>SUMPRODUCT((MONTH(CHOOSE({1,2,3,4},KHP!U258,KHP!AA258,KHP!AG258,KHP!AM258))=10)*(CHOOSE({1,2,3,4},KHP!X258,KHP!AD258,KHP!AJ258,KHP!AP258)))</f>
        <v>0</v>
      </c>
      <c r="K258">
        <f>SUMPRODUCT((MONTH(CHOOSE({1,2,3,4},KHP!U258,KHP!AA258,KHP!AG258,KHP!AM258))=11)*(CHOOSE({1,2,3,4},KHP!X258,KHP!AD258,KHP!AJ258,KHP!AP258)))</f>
        <v>0</v>
      </c>
      <c r="L258">
        <f>SUMPRODUCT((MONTH(CHOOSE({1,2,3,4},KHP!U258,KHP!AA258,KHP!AG258,KHP!AM258))=12)*(CHOOSE({1,2,3,4},KHP!X258,KHP!AD258,KHP!AJ258,KHP!AP258)))</f>
        <v>0</v>
      </c>
    </row>
    <row r="259" spans="1:12">
      <c r="A259">
        <f>SUMPRODUCT((MONTH(CHOOSE({1,2,3,4},KHP!U259,KHP!AA259,KHP!AG259,KHP!AM259))=1)*(CHOOSE({1,2,3,4},KHP!X259,KHP!AD259,KHP!AJ259,KHP!AP259)))</f>
        <v>0</v>
      </c>
      <c r="B259">
        <f>SUMPRODUCT((MONTH(CHOOSE({1,2,3,4},KHP!U259,KHP!AA259,KHP!AG259,KHP!AM259))=2)*(CHOOSE({1,2,3,4},KHP!X259,KHP!AD259,KHP!AJ259,KHP!AP259)))</f>
        <v>0</v>
      </c>
      <c r="C259">
        <f>SUMPRODUCT((MONTH(CHOOSE({1,2,3,4},KHP!U259,KHP!AA259,KHP!AG259,KHP!AM259))=3)*(CHOOSE({1,2,3,4},KHP!X259,KHP!AD259,KHP!AJ259,KHP!AP259)))</f>
        <v>0</v>
      </c>
      <c r="D259">
        <f>SUMPRODUCT((MONTH(CHOOSE({1,2,3,4},KHP!U259,KHP!AA259,KHP!AG259,KHP!AM259))=4)*(CHOOSE({1,2,3,4},KHP!X259,KHP!AD259,KHP!AJ259,KHP!AP259)))</f>
        <v>0</v>
      </c>
      <c r="E259">
        <f>SUMPRODUCT((MONTH(CHOOSE({1,2,3,4},KHP!U259,KHP!AA259,KHP!AG259,KHP!AM259))=5)*(CHOOSE({1,2,3,4},KHP!X259,KHP!AD259,KHP!AJ259,KHP!AP259)))</f>
        <v>0</v>
      </c>
      <c r="F259">
        <f>SUMPRODUCT((MONTH(CHOOSE({1,2,3,4},KHP!U259,KHP!AA259,KHP!AG259,KHP!AM259))=6)*(CHOOSE({1,2,3,4},KHP!X259,KHP!AD259,KHP!AJ259,KHP!AP259)))</f>
        <v>0</v>
      </c>
      <c r="G259">
        <f>SUMPRODUCT((MONTH(CHOOSE({1,2,3,4},KHP!U259,KHP!AA259,KHP!AG259,KHP!AM259))=7)*(CHOOSE({1,2,3,4},KHP!X259,KHP!AD259,KHP!AJ259,KHP!AP259)))</f>
        <v>0</v>
      </c>
      <c r="H259">
        <f>SUMPRODUCT((MONTH(CHOOSE({1,2,3,4},KHP!U259,KHP!AA259,KHP!AG259,KHP!AM259))=8)*(CHOOSE({1,2,3,4},KHP!X259,KHP!AD259,KHP!AJ259,KHP!AP259)))</f>
        <v>0</v>
      </c>
      <c r="I259">
        <f>SUMPRODUCT((MONTH(CHOOSE({1,2,3,4},KHP!U259,KHP!AA259,KHP!AG259,KHP!AM259))=9)*(CHOOSE({1,2,3,4},KHP!X259,KHP!AD259,KHP!AJ259,KHP!AP259)))</f>
        <v>0</v>
      </c>
      <c r="J259">
        <f>SUMPRODUCT((MONTH(CHOOSE({1,2,3,4},KHP!U259,KHP!AA259,KHP!AG259,KHP!AM259))=10)*(CHOOSE({1,2,3,4},KHP!X259,KHP!AD259,KHP!AJ259,KHP!AP259)))</f>
        <v>0</v>
      </c>
      <c r="K259">
        <f>SUMPRODUCT((MONTH(CHOOSE({1,2,3,4},KHP!U259,KHP!AA259,KHP!AG259,KHP!AM259))=11)*(CHOOSE({1,2,3,4},KHP!X259,KHP!AD259,KHP!AJ259,KHP!AP259)))</f>
        <v>0</v>
      </c>
      <c r="L259">
        <f>SUMPRODUCT((MONTH(CHOOSE({1,2,3,4},KHP!U259,KHP!AA259,KHP!AG259,KHP!AM259))=12)*(CHOOSE({1,2,3,4},KHP!X259,KHP!AD259,KHP!AJ259,KHP!AP259)))</f>
        <v>0</v>
      </c>
    </row>
    <row r="260" spans="1:12">
      <c r="A260">
        <f>SUMPRODUCT((MONTH(CHOOSE({1,2,3,4},KHP!U260,KHP!AA260,KHP!AG260,KHP!AM260))=1)*(CHOOSE({1,2,3,4},KHP!X260,KHP!AD260,KHP!AJ260,KHP!AP260)))</f>
        <v>0</v>
      </c>
      <c r="B260">
        <f>SUMPRODUCT((MONTH(CHOOSE({1,2,3,4},KHP!U260,KHP!AA260,KHP!AG260,KHP!AM260))=2)*(CHOOSE({1,2,3,4},KHP!X260,KHP!AD260,KHP!AJ260,KHP!AP260)))</f>
        <v>0</v>
      </c>
      <c r="C260">
        <f>SUMPRODUCT((MONTH(CHOOSE({1,2,3,4},KHP!U260,KHP!AA260,KHP!AG260,KHP!AM260))=3)*(CHOOSE({1,2,3,4},KHP!X260,KHP!AD260,KHP!AJ260,KHP!AP260)))</f>
        <v>0</v>
      </c>
      <c r="D260">
        <f>SUMPRODUCT((MONTH(CHOOSE({1,2,3,4},KHP!U260,KHP!AA260,KHP!AG260,KHP!AM260))=4)*(CHOOSE({1,2,3,4},KHP!X260,KHP!AD260,KHP!AJ260,KHP!AP260)))</f>
        <v>0</v>
      </c>
      <c r="E260">
        <f>SUMPRODUCT((MONTH(CHOOSE({1,2,3,4},KHP!U260,KHP!AA260,KHP!AG260,KHP!AM260))=5)*(CHOOSE({1,2,3,4},KHP!X260,KHP!AD260,KHP!AJ260,KHP!AP260)))</f>
        <v>0</v>
      </c>
      <c r="F260">
        <f>SUMPRODUCT((MONTH(CHOOSE({1,2,3,4},KHP!U260,KHP!AA260,KHP!AG260,KHP!AM260))=6)*(CHOOSE({1,2,3,4},KHP!X260,KHP!AD260,KHP!AJ260,KHP!AP260)))</f>
        <v>0</v>
      </c>
      <c r="G260">
        <f>SUMPRODUCT((MONTH(CHOOSE({1,2,3,4},KHP!U260,KHP!AA260,KHP!AG260,KHP!AM260))=7)*(CHOOSE({1,2,3,4},KHP!X260,KHP!AD260,KHP!AJ260,KHP!AP260)))</f>
        <v>0</v>
      </c>
      <c r="H260">
        <f>SUMPRODUCT((MONTH(CHOOSE({1,2,3,4},KHP!U260,KHP!AA260,KHP!AG260,KHP!AM260))=8)*(CHOOSE({1,2,3,4},KHP!X260,KHP!AD260,KHP!AJ260,KHP!AP260)))</f>
        <v>0</v>
      </c>
      <c r="I260">
        <f>SUMPRODUCT((MONTH(CHOOSE({1,2,3,4},KHP!U260,KHP!AA260,KHP!AG260,KHP!AM260))=9)*(CHOOSE({1,2,3,4},KHP!X260,KHP!AD260,KHP!AJ260,KHP!AP260)))</f>
        <v>0</v>
      </c>
      <c r="J260">
        <f>SUMPRODUCT((MONTH(CHOOSE({1,2,3,4},KHP!U260,KHP!AA260,KHP!AG260,KHP!AM260))=10)*(CHOOSE({1,2,3,4},KHP!X260,KHP!AD260,KHP!AJ260,KHP!AP260)))</f>
        <v>0</v>
      </c>
      <c r="K260">
        <f>SUMPRODUCT((MONTH(CHOOSE({1,2,3,4},KHP!U260,KHP!AA260,KHP!AG260,KHP!AM260))=11)*(CHOOSE({1,2,3,4},KHP!X260,KHP!AD260,KHP!AJ260,KHP!AP260)))</f>
        <v>0</v>
      </c>
      <c r="L260">
        <f>SUMPRODUCT((MONTH(CHOOSE({1,2,3,4},KHP!U260,KHP!AA260,KHP!AG260,KHP!AM260))=12)*(CHOOSE({1,2,3,4},KHP!X260,KHP!AD260,KHP!AJ260,KHP!AP260)))</f>
        <v>0</v>
      </c>
    </row>
    <row r="261" spans="1:12">
      <c r="A261">
        <f>SUMPRODUCT((MONTH(CHOOSE({1,2,3,4},KHP!U261,KHP!AA261,KHP!AG261,KHP!AM261))=1)*(CHOOSE({1,2,3,4},KHP!X261,KHP!AD261,KHP!AJ261,KHP!AP261)))</f>
        <v>0</v>
      </c>
      <c r="B261">
        <f>SUMPRODUCT((MONTH(CHOOSE({1,2,3,4},KHP!U261,KHP!AA261,KHP!AG261,KHP!AM261))=2)*(CHOOSE({1,2,3,4},KHP!X261,KHP!AD261,KHP!AJ261,KHP!AP261)))</f>
        <v>0</v>
      </c>
      <c r="C261">
        <f>SUMPRODUCT((MONTH(CHOOSE({1,2,3,4},KHP!U261,KHP!AA261,KHP!AG261,KHP!AM261))=3)*(CHOOSE({1,2,3,4},KHP!X261,KHP!AD261,KHP!AJ261,KHP!AP261)))</f>
        <v>0</v>
      </c>
      <c r="D261">
        <f>SUMPRODUCT((MONTH(CHOOSE({1,2,3,4},KHP!U261,KHP!AA261,KHP!AG261,KHP!AM261))=4)*(CHOOSE({1,2,3,4},KHP!X261,KHP!AD261,KHP!AJ261,KHP!AP261)))</f>
        <v>0</v>
      </c>
      <c r="E261">
        <f>SUMPRODUCT((MONTH(CHOOSE({1,2,3,4},KHP!U261,KHP!AA261,KHP!AG261,KHP!AM261))=5)*(CHOOSE({1,2,3,4},KHP!X261,KHP!AD261,KHP!AJ261,KHP!AP261)))</f>
        <v>0</v>
      </c>
      <c r="F261">
        <f>SUMPRODUCT((MONTH(CHOOSE({1,2,3,4},KHP!U261,KHP!AA261,KHP!AG261,KHP!AM261))=6)*(CHOOSE({1,2,3,4},KHP!X261,KHP!AD261,KHP!AJ261,KHP!AP261)))</f>
        <v>0</v>
      </c>
      <c r="G261">
        <f>SUMPRODUCT((MONTH(CHOOSE({1,2,3,4},KHP!U261,KHP!AA261,KHP!AG261,KHP!AM261))=7)*(CHOOSE({1,2,3,4},KHP!X261,KHP!AD261,KHP!AJ261,KHP!AP261)))</f>
        <v>0</v>
      </c>
      <c r="H261">
        <f>SUMPRODUCT((MONTH(CHOOSE({1,2,3,4},KHP!U261,KHP!AA261,KHP!AG261,KHP!AM261))=8)*(CHOOSE({1,2,3,4},KHP!X261,KHP!AD261,KHP!AJ261,KHP!AP261)))</f>
        <v>0</v>
      </c>
      <c r="I261">
        <f>SUMPRODUCT((MONTH(CHOOSE({1,2,3,4},KHP!U261,KHP!AA261,KHP!AG261,KHP!AM261))=9)*(CHOOSE({1,2,3,4},KHP!X261,KHP!AD261,KHP!AJ261,KHP!AP261)))</f>
        <v>0</v>
      </c>
      <c r="J261">
        <f>SUMPRODUCT((MONTH(CHOOSE({1,2,3,4},KHP!U261,KHP!AA261,KHP!AG261,KHP!AM261))=10)*(CHOOSE({1,2,3,4},KHP!X261,KHP!AD261,KHP!AJ261,KHP!AP261)))</f>
        <v>0</v>
      </c>
      <c r="K261">
        <f>SUMPRODUCT((MONTH(CHOOSE({1,2,3,4},KHP!U261,KHP!AA261,KHP!AG261,KHP!AM261))=11)*(CHOOSE({1,2,3,4},KHP!X261,KHP!AD261,KHP!AJ261,KHP!AP261)))</f>
        <v>0</v>
      </c>
      <c r="L261">
        <f>SUMPRODUCT((MONTH(CHOOSE({1,2,3,4},KHP!U261,KHP!AA261,KHP!AG261,KHP!AM261))=12)*(CHOOSE({1,2,3,4},KHP!X261,KHP!AD261,KHP!AJ261,KHP!AP261)))</f>
        <v>0</v>
      </c>
    </row>
    <row r="262" spans="1:12">
      <c r="A262">
        <f>SUMPRODUCT((MONTH(CHOOSE({1,2,3,4},KHP!U262,KHP!AA262,KHP!AG262,KHP!AM262))=1)*(CHOOSE({1,2,3,4},KHP!X262,KHP!AD262,KHP!AJ262,KHP!AP262)))</f>
        <v>0</v>
      </c>
      <c r="B262">
        <f>SUMPRODUCT((MONTH(CHOOSE({1,2,3,4},KHP!U262,KHP!AA262,KHP!AG262,KHP!AM262))=2)*(CHOOSE({1,2,3,4},KHP!X262,KHP!AD262,KHP!AJ262,KHP!AP262)))</f>
        <v>0</v>
      </c>
      <c r="C262">
        <f>SUMPRODUCT((MONTH(CHOOSE({1,2,3,4},KHP!U262,KHP!AA262,KHP!AG262,KHP!AM262))=3)*(CHOOSE({1,2,3,4},KHP!X262,KHP!AD262,KHP!AJ262,KHP!AP262)))</f>
        <v>0</v>
      </c>
      <c r="D262">
        <f>SUMPRODUCT((MONTH(CHOOSE({1,2,3,4},KHP!U262,KHP!AA262,KHP!AG262,KHP!AM262))=4)*(CHOOSE({1,2,3,4},KHP!X262,KHP!AD262,KHP!AJ262,KHP!AP262)))</f>
        <v>0</v>
      </c>
      <c r="E262">
        <f>SUMPRODUCT((MONTH(CHOOSE({1,2,3,4},KHP!U262,KHP!AA262,KHP!AG262,KHP!AM262))=5)*(CHOOSE({1,2,3,4},KHP!X262,KHP!AD262,KHP!AJ262,KHP!AP262)))</f>
        <v>0</v>
      </c>
      <c r="F262">
        <f>SUMPRODUCT((MONTH(CHOOSE({1,2,3,4},KHP!U262,KHP!AA262,KHP!AG262,KHP!AM262))=6)*(CHOOSE({1,2,3,4},KHP!X262,KHP!AD262,KHP!AJ262,KHP!AP262)))</f>
        <v>0</v>
      </c>
      <c r="G262">
        <f>SUMPRODUCT((MONTH(CHOOSE({1,2,3,4},KHP!U262,KHP!AA262,KHP!AG262,KHP!AM262))=7)*(CHOOSE({1,2,3,4},KHP!X262,KHP!AD262,KHP!AJ262,KHP!AP262)))</f>
        <v>0</v>
      </c>
      <c r="H262">
        <f>SUMPRODUCT((MONTH(CHOOSE({1,2,3,4},KHP!U262,KHP!AA262,KHP!AG262,KHP!AM262))=8)*(CHOOSE({1,2,3,4},KHP!X262,KHP!AD262,KHP!AJ262,KHP!AP262)))</f>
        <v>0</v>
      </c>
      <c r="I262">
        <f>SUMPRODUCT((MONTH(CHOOSE({1,2,3,4},KHP!U262,KHP!AA262,KHP!AG262,KHP!AM262))=9)*(CHOOSE({1,2,3,4},KHP!X262,KHP!AD262,KHP!AJ262,KHP!AP262)))</f>
        <v>0</v>
      </c>
      <c r="J262">
        <f>SUMPRODUCT((MONTH(CHOOSE({1,2,3,4},KHP!U262,KHP!AA262,KHP!AG262,KHP!AM262))=10)*(CHOOSE({1,2,3,4},KHP!X262,KHP!AD262,KHP!AJ262,KHP!AP262)))</f>
        <v>0</v>
      </c>
      <c r="K262">
        <f>SUMPRODUCT((MONTH(CHOOSE({1,2,3,4},KHP!U262,KHP!AA262,KHP!AG262,KHP!AM262))=11)*(CHOOSE({1,2,3,4},KHP!X262,KHP!AD262,KHP!AJ262,KHP!AP262)))</f>
        <v>0</v>
      </c>
      <c r="L262">
        <f>SUMPRODUCT((MONTH(CHOOSE({1,2,3,4},KHP!U262,KHP!AA262,KHP!AG262,KHP!AM262))=12)*(CHOOSE({1,2,3,4},KHP!X262,KHP!AD262,KHP!AJ262,KHP!AP262)))</f>
        <v>0</v>
      </c>
    </row>
    <row r="263" spans="1:12">
      <c r="A263">
        <f>SUMPRODUCT((MONTH(CHOOSE({1,2,3,4},KHP!U263,KHP!AA263,KHP!AG263,KHP!AM263))=1)*(CHOOSE({1,2,3,4},KHP!X263,KHP!AD263,KHP!AJ263,KHP!AP263)))</f>
        <v>0</v>
      </c>
      <c r="B263">
        <f>SUMPRODUCT((MONTH(CHOOSE({1,2,3,4},KHP!U263,KHP!AA263,KHP!AG263,KHP!AM263))=2)*(CHOOSE({1,2,3,4},KHP!X263,KHP!AD263,KHP!AJ263,KHP!AP263)))</f>
        <v>0</v>
      </c>
      <c r="C263">
        <f>SUMPRODUCT((MONTH(CHOOSE({1,2,3,4},KHP!U263,KHP!AA263,KHP!AG263,KHP!AM263))=3)*(CHOOSE({1,2,3,4},KHP!X263,KHP!AD263,KHP!AJ263,KHP!AP263)))</f>
        <v>0</v>
      </c>
      <c r="D263">
        <f>SUMPRODUCT((MONTH(CHOOSE({1,2,3,4},KHP!U263,KHP!AA263,KHP!AG263,KHP!AM263))=4)*(CHOOSE({1,2,3,4},KHP!X263,KHP!AD263,KHP!AJ263,KHP!AP263)))</f>
        <v>0</v>
      </c>
      <c r="E263">
        <f>SUMPRODUCT((MONTH(CHOOSE({1,2,3,4},KHP!U263,KHP!AA263,KHP!AG263,KHP!AM263))=5)*(CHOOSE({1,2,3,4},KHP!X263,KHP!AD263,KHP!AJ263,KHP!AP263)))</f>
        <v>0</v>
      </c>
      <c r="F263">
        <f>SUMPRODUCT((MONTH(CHOOSE({1,2,3,4},KHP!U263,KHP!AA263,KHP!AG263,KHP!AM263))=6)*(CHOOSE({1,2,3,4},KHP!X263,KHP!AD263,KHP!AJ263,KHP!AP263)))</f>
        <v>0</v>
      </c>
      <c r="G263">
        <f>SUMPRODUCT((MONTH(CHOOSE({1,2,3,4},KHP!U263,KHP!AA263,KHP!AG263,KHP!AM263))=7)*(CHOOSE({1,2,3,4},KHP!X263,KHP!AD263,KHP!AJ263,KHP!AP263)))</f>
        <v>0</v>
      </c>
      <c r="H263">
        <f>SUMPRODUCT((MONTH(CHOOSE({1,2,3,4},KHP!U263,KHP!AA263,KHP!AG263,KHP!AM263))=8)*(CHOOSE({1,2,3,4},KHP!X263,KHP!AD263,KHP!AJ263,KHP!AP263)))</f>
        <v>0</v>
      </c>
      <c r="I263">
        <f>SUMPRODUCT((MONTH(CHOOSE({1,2,3,4},KHP!U263,KHP!AA263,KHP!AG263,KHP!AM263))=9)*(CHOOSE({1,2,3,4},KHP!X263,KHP!AD263,KHP!AJ263,KHP!AP263)))</f>
        <v>0</v>
      </c>
      <c r="J263">
        <f>SUMPRODUCT((MONTH(CHOOSE({1,2,3,4},KHP!U263,KHP!AA263,KHP!AG263,KHP!AM263))=10)*(CHOOSE({1,2,3,4},KHP!X263,KHP!AD263,KHP!AJ263,KHP!AP263)))</f>
        <v>0</v>
      </c>
      <c r="K263">
        <f>SUMPRODUCT((MONTH(CHOOSE({1,2,3,4},KHP!U263,KHP!AA263,KHP!AG263,KHP!AM263))=11)*(CHOOSE({1,2,3,4},KHP!X263,KHP!AD263,KHP!AJ263,KHP!AP263)))</f>
        <v>0</v>
      </c>
      <c r="L263">
        <f>SUMPRODUCT((MONTH(CHOOSE({1,2,3,4},KHP!U263,KHP!AA263,KHP!AG263,KHP!AM263))=12)*(CHOOSE({1,2,3,4},KHP!X263,KHP!AD263,KHP!AJ263,KHP!AP263)))</f>
        <v>0</v>
      </c>
    </row>
    <row r="264" spans="1:12">
      <c r="A264">
        <f>SUMPRODUCT((MONTH(CHOOSE({1,2,3,4},KHP!U264,KHP!AA264,KHP!AG264,KHP!AM264))=1)*(CHOOSE({1,2,3,4},KHP!X264,KHP!AD264,KHP!AJ264,KHP!AP264)))</f>
        <v>0</v>
      </c>
      <c r="B264">
        <f>SUMPRODUCT((MONTH(CHOOSE({1,2,3,4},KHP!U264,KHP!AA264,KHP!AG264,KHP!AM264))=2)*(CHOOSE({1,2,3,4},KHP!X264,KHP!AD264,KHP!AJ264,KHP!AP264)))</f>
        <v>0</v>
      </c>
      <c r="C264">
        <f>SUMPRODUCT((MONTH(CHOOSE({1,2,3,4},KHP!U264,KHP!AA264,KHP!AG264,KHP!AM264))=3)*(CHOOSE({1,2,3,4},KHP!X264,KHP!AD264,KHP!AJ264,KHP!AP264)))</f>
        <v>0</v>
      </c>
      <c r="D264">
        <f>SUMPRODUCT((MONTH(CHOOSE({1,2,3,4},KHP!U264,KHP!AA264,KHP!AG264,KHP!AM264))=4)*(CHOOSE({1,2,3,4},KHP!X264,KHP!AD264,KHP!AJ264,KHP!AP264)))</f>
        <v>0</v>
      </c>
      <c r="E264">
        <f>SUMPRODUCT((MONTH(CHOOSE({1,2,3,4},KHP!U264,KHP!AA264,KHP!AG264,KHP!AM264))=5)*(CHOOSE({1,2,3,4},KHP!X264,KHP!AD264,KHP!AJ264,KHP!AP264)))</f>
        <v>0</v>
      </c>
      <c r="F264">
        <f>SUMPRODUCT((MONTH(CHOOSE({1,2,3,4},KHP!U264,KHP!AA264,KHP!AG264,KHP!AM264))=6)*(CHOOSE({1,2,3,4},KHP!X264,KHP!AD264,KHP!AJ264,KHP!AP264)))</f>
        <v>0</v>
      </c>
      <c r="G264">
        <f>SUMPRODUCT((MONTH(CHOOSE({1,2,3,4},KHP!U264,KHP!AA264,KHP!AG264,KHP!AM264))=7)*(CHOOSE({1,2,3,4},KHP!X264,KHP!AD264,KHP!AJ264,KHP!AP264)))</f>
        <v>0</v>
      </c>
      <c r="H264">
        <f>SUMPRODUCT((MONTH(CHOOSE({1,2,3,4},KHP!U264,KHP!AA264,KHP!AG264,KHP!AM264))=8)*(CHOOSE({1,2,3,4},KHP!X264,KHP!AD264,KHP!AJ264,KHP!AP264)))</f>
        <v>0</v>
      </c>
      <c r="I264">
        <f>SUMPRODUCT((MONTH(CHOOSE({1,2,3,4},KHP!U264,KHP!AA264,KHP!AG264,KHP!AM264))=9)*(CHOOSE({1,2,3,4},KHP!X264,KHP!AD264,KHP!AJ264,KHP!AP264)))</f>
        <v>0</v>
      </c>
      <c r="J264">
        <f>SUMPRODUCT((MONTH(CHOOSE({1,2,3,4},KHP!U264,KHP!AA264,KHP!AG264,KHP!AM264))=10)*(CHOOSE({1,2,3,4},KHP!X264,KHP!AD264,KHP!AJ264,KHP!AP264)))</f>
        <v>0</v>
      </c>
      <c r="K264">
        <f>SUMPRODUCT((MONTH(CHOOSE({1,2,3,4},KHP!U264,KHP!AA264,KHP!AG264,KHP!AM264))=11)*(CHOOSE({1,2,3,4},KHP!X264,KHP!AD264,KHP!AJ264,KHP!AP264)))</f>
        <v>0</v>
      </c>
      <c r="L264">
        <f>SUMPRODUCT((MONTH(CHOOSE({1,2,3,4},KHP!U264,KHP!AA264,KHP!AG264,KHP!AM264))=12)*(CHOOSE({1,2,3,4},KHP!X264,KHP!AD264,KHP!AJ264,KHP!AP264)))</f>
        <v>0</v>
      </c>
    </row>
    <row r="265" spans="1:12">
      <c r="A265">
        <f>SUMPRODUCT((MONTH(CHOOSE({1,2,3,4},KHP!U265,KHP!AA265,KHP!AG265,KHP!AM265))=1)*(CHOOSE({1,2,3,4},KHP!X265,KHP!AD265,KHP!AJ265,KHP!AP265)))</f>
        <v>0</v>
      </c>
      <c r="B265">
        <f>SUMPRODUCT((MONTH(CHOOSE({1,2,3,4},KHP!U265,KHP!AA265,KHP!AG265,KHP!AM265))=2)*(CHOOSE({1,2,3,4},KHP!X265,KHP!AD265,KHP!AJ265,KHP!AP265)))</f>
        <v>0</v>
      </c>
      <c r="C265">
        <f>SUMPRODUCT((MONTH(CHOOSE({1,2,3,4},KHP!U265,KHP!AA265,KHP!AG265,KHP!AM265))=3)*(CHOOSE({1,2,3,4},KHP!X265,KHP!AD265,KHP!AJ265,KHP!AP265)))</f>
        <v>0</v>
      </c>
      <c r="D265">
        <f>SUMPRODUCT((MONTH(CHOOSE({1,2,3,4},KHP!U265,KHP!AA265,KHP!AG265,KHP!AM265))=4)*(CHOOSE({1,2,3,4},KHP!X265,KHP!AD265,KHP!AJ265,KHP!AP265)))</f>
        <v>0</v>
      </c>
      <c r="E265">
        <f>SUMPRODUCT((MONTH(CHOOSE({1,2,3,4},KHP!U265,KHP!AA265,KHP!AG265,KHP!AM265))=5)*(CHOOSE({1,2,3,4},KHP!X265,KHP!AD265,KHP!AJ265,KHP!AP265)))</f>
        <v>0</v>
      </c>
      <c r="F265">
        <f>SUMPRODUCT((MONTH(CHOOSE({1,2,3,4},KHP!U265,KHP!AA265,KHP!AG265,KHP!AM265))=6)*(CHOOSE({1,2,3,4},KHP!X265,KHP!AD265,KHP!AJ265,KHP!AP265)))</f>
        <v>0</v>
      </c>
      <c r="G265">
        <f>SUMPRODUCT((MONTH(CHOOSE({1,2,3,4},KHP!U265,KHP!AA265,KHP!AG265,KHP!AM265))=7)*(CHOOSE({1,2,3,4},KHP!X265,KHP!AD265,KHP!AJ265,KHP!AP265)))</f>
        <v>0</v>
      </c>
      <c r="H265">
        <f>SUMPRODUCT((MONTH(CHOOSE({1,2,3,4},KHP!U265,KHP!AA265,KHP!AG265,KHP!AM265))=8)*(CHOOSE({1,2,3,4},KHP!X265,KHP!AD265,KHP!AJ265,KHP!AP265)))</f>
        <v>0</v>
      </c>
      <c r="I265">
        <f>SUMPRODUCT((MONTH(CHOOSE({1,2,3,4},KHP!U265,KHP!AA265,KHP!AG265,KHP!AM265))=9)*(CHOOSE({1,2,3,4},KHP!X265,KHP!AD265,KHP!AJ265,KHP!AP265)))</f>
        <v>0</v>
      </c>
      <c r="J265">
        <f>SUMPRODUCT((MONTH(CHOOSE({1,2,3,4},KHP!U265,KHP!AA265,KHP!AG265,KHP!AM265))=10)*(CHOOSE({1,2,3,4},KHP!X265,KHP!AD265,KHP!AJ265,KHP!AP265)))</f>
        <v>0</v>
      </c>
      <c r="K265">
        <f>SUMPRODUCT((MONTH(CHOOSE({1,2,3,4},KHP!U265,KHP!AA265,KHP!AG265,KHP!AM265))=11)*(CHOOSE({1,2,3,4},KHP!X265,KHP!AD265,KHP!AJ265,KHP!AP265)))</f>
        <v>0</v>
      </c>
      <c r="L265">
        <f>SUMPRODUCT((MONTH(CHOOSE({1,2,3,4},KHP!U265,KHP!AA265,KHP!AG265,KHP!AM265))=12)*(CHOOSE({1,2,3,4},KHP!X265,KHP!AD265,KHP!AJ265,KHP!AP265)))</f>
        <v>0</v>
      </c>
    </row>
    <row r="266" spans="1:12">
      <c r="A266">
        <f>SUMPRODUCT((MONTH(CHOOSE({1,2,3,4},KHP!U266,KHP!AA266,KHP!AG266,KHP!AM266))=1)*(CHOOSE({1,2,3,4},KHP!X266,KHP!AD266,KHP!AJ266,KHP!AP266)))</f>
        <v>0</v>
      </c>
      <c r="B266">
        <f>SUMPRODUCT((MONTH(CHOOSE({1,2,3,4},KHP!U266,KHP!AA266,KHP!AG266,KHP!AM266))=2)*(CHOOSE({1,2,3,4},KHP!X266,KHP!AD266,KHP!AJ266,KHP!AP266)))</f>
        <v>0</v>
      </c>
      <c r="C266">
        <f>SUMPRODUCT((MONTH(CHOOSE({1,2,3,4},KHP!U266,KHP!AA266,KHP!AG266,KHP!AM266))=3)*(CHOOSE({1,2,3,4},KHP!X266,KHP!AD266,KHP!AJ266,KHP!AP266)))</f>
        <v>0</v>
      </c>
      <c r="D266">
        <f>SUMPRODUCT((MONTH(CHOOSE({1,2,3,4},KHP!U266,KHP!AA266,KHP!AG266,KHP!AM266))=4)*(CHOOSE({1,2,3,4},KHP!X266,KHP!AD266,KHP!AJ266,KHP!AP266)))</f>
        <v>0</v>
      </c>
      <c r="E266">
        <f>SUMPRODUCT((MONTH(CHOOSE({1,2,3,4},KHP!U266,KHP!AA266,KHP!AG266,KHP!AM266))=5)*(CHOOSE({1,2,3,4},KHP!X266,KHP!AD266,KHP!AJ266,KHP!AP266)))</f>
        <v>0</v>
      </c>
      <c r="F266">
        <f>SUMPRODUCT((MONTH(CHOOSE({1,2,3,4},KHP!U266,KHP!AA266,KHP!AG266,KHP!AM266))=6)*(CHOOSE({1,2,3,4},KHP!X266,KHP!AD266,KHP!AJ266,KHP!AP266)))</f>
        <v>0</v>
      </c>
      <c r="G266">
        <f>SUMPRODUCT((MONTH(CHOOSE({1,2,3,4},KHP!U266,KHP!AA266,KHP!AG266,KHP!AM266))=7)*(CHOOSE({1,2,3,4},KHP!X266,KHP!AD266,KHP!AJ266,KHP!AP266)))</f>
        <v>0</v>
      </c>
      <c r="H266">
        <f>SUMPRODUCT((MONTH(CHOOSE({1,2,3,4},KHP!U266,KHP!AA266,KHP!AG266,KHP!AM266))=8)*(CHOOSE({1,2,3,4},KHP!X266,KHP!AD266,KHP!AJ266,KHP!AP266)))</f>
        <v>0</v>
      </c>
      <c r="I266">
        <f>SUMPRODUCT((MONTH(CHOOSE({1,2,3,4},KHP!U266,KHP!AA266,KHP!AG266,KHP!AM266))=9)*(CHOOSE({1,2,3,4},KHP!X266,KHP!AD266,KHP!AJ266,KHP!AP266)))</f>
        <v>0</v>
      </c>
      <c r="J266">
        <f>SUMPRODUCT((MONTH(CHOOSE({1,2,3,4},KHP!U266,KHP!AA266,KHP!AG266,KHP!AM266))=10)*(CHOOSE({1,2,3,4},KHP!X266,KHP!AD266,KHP!AJ266,KHP!AP266)))</f>
        <v>0</v>
      </c>
      <c r="K266">
        <f>SUMPRODUCT((MONTH(CHOOSE({1,2,3,4},KHP!U266,KHP!AA266,KHP!AG266,KHP!AM266))=11)*(CHOOSE({1,2,3,4},KHP!X266,KHP!AD266,KHP!AJ266,KHP!AP266)))</f>
        <v>0</v>
      </c>
      <c r="L266">
        <f>SUMPRODUCT((MONTH(CHOOSE({1,2,3,4},KHP!U266,KHP!AA266,KHP!AG266,KHP!AM266))=12)*(CHOOSE({1,2,3,4},KHP!X266,KHP!AD266,KHP!AJ266,KHP!AP266)))</f>
        <v>0</v>
      </c>
    </row>
    <row r="267" spans="1:12">
      <c r="A267">
        <f>SUMPRODUCT((MONTH(CHOOSE({1,2,3,4},KHP!U267,KHP!AA267,KHP!AG267,KHP!AM267))=1)*(CHOOSE({1,2,3,4},KHP!X267,KHP!AD267,KHP!AJ267,KHP!AP267)))</f>
        <v>0</v>
      </c>
      <c r="B267">
        <f>SUMPRODUCT((MONTH(CHOOSE({1,2,3,4},KHP!U267,KHP!AA267,KHP!AG267,KHP!AM267))=2)*(CHOOSE({1,2,3,4},KHP!X267,KHP!AD267,KHP!AJ267,KHP!AP267)))</f>
        <v>0</v>
      </c>
      <c r="C267">
        <f>SUMPRODUCT((MONTH(CHOOSE({1,2,3,4},KHP!U267,KHP!AA267,KHP!AG267,KHP!AM267))=3)*(CHOOSE({1,2,3,4},KHP!X267,KHP!AD267,KHP!AJ267,KHP!AP267)))</f>
        <v>0</v>
      </c>
      <c r="D267">
        <f>SUMPRODUCT((MONTH(CHOOSE({1,2,3,4},KHP!U267,KHP!AA267,KHP!AG267,KHP!AM267))=4)*(CHOOSE({1,2,3,4},KHP!X267,KHP!AD267,KHP!AJ267,KHP!AP267)))</f>
        <v>0</v>
      </c>
      <c r="E267">
        <f>SUMPRODUCT((MONTH(CHOOSE({1,2,3,4},KHP!U267,KHP!AA267,KHP!AG267,KHP!AM267))=5)*(CHOOSE({1,2,3,4},KHP!X267,KHP!AD267,KHP!AJ267,KHP!AP267)))</f>
        <v>0</v>
      </c>
      <c r="F267">
        <f>SUMPRODUCT((MONTH(CHOOSE({1,2,3,4},KHP!U267,KHP!AA267,KHP!AG267,KHP!AM267))=6)*(CHOOSE({1,2,3,4},KHP!X267,KHP!AD267,KHP!AJ267,KHP!AP267)))</f>
        <v>0</v>
      </c>
      <c r="G267">
        <f>SUMPRODUCT((MONTH(CHOOSE({1,2,3,4},KHP!U267,KHP!AA267,KHP!AG267,KHP!AM267))=7)*(CHOOSE({1,2,3,4},KHP!X267,KHP!AD267,KHP!AJ267,KHP!AP267)))</f>
        <v>0</v>
      </c>
      <c r="H267">
        <f>SUMPRODUCT((MONTH(CHOOSE({1,2,3,4},KHP!U267,KHP!AA267,KHP!AG267,KHP!AM267))=8)*(CHOOSE({1,2,3,4},KHP!X267,KHP!AD267,KHP!AJ267,KHP!AP267)))</f>
        <v>0</v>
      </c>
      <c r="I267">
        <f>SUMPRODUCT((MONTH(CHOOSE({1,2,3,4},KHP!U267,KHP!AA267,KHP!AG267,KHP!AM267))=9)*(CHOOSE({1,2,3,4},KHP!X267,KHP!AD267,KHP!AJ267,KHP!AP267)))</f>
        <v>0</v>
      </c>
      <c r="J267">
        <f>SUMPRODUCT((MONTH(CHOOSE({1,2,3,4},KHP!U267,KHP!AA267,KHP!AG267,KHP!AM267))=10)*(CHOOSE({1,2,3,4},KHP!X267,KHP!AD267,KHP!AJ267,KHP!AP267)))</f>
        <v>0</v>
      </c>
      <c r="K267">
        <f>SUMPRODUCT((MONTH(CHOOSE({1,2,3,4},KHP!U267,KHP!AA267,KHP!AG267,KHP!AM267))=11)*(CHOOSE({1,2,3,4},KHP!X267,KHP!AD267,KHP!AJ267,KHP!AP267)))</f>
        <v>0</v>
      </c>
      <c r="L267">
        <f>SUMPRODUCT((MONTH(CHOOSE({1,2,3,4},KHP!U267,KHP!AA267,KHP!AG267,KHP!AM267))=12)*(CHOOSE({1,2,3,4},KHP!X267,KHP!AD267,KHP!AJ267,KHP!AP267)))</f>
        <v>0</v>
      </c>
    </row>
    <row r="268" spans="1:12">
      <c r="A268">
        <f>SUMPRODUCT((MONTH(CHOOSE({1,2,3,4},KHP!U268,KHP!AA268,KHP!AG268,KHP!AM268))=1)*(CHOOSE({1,2,3,4},KHP!X268,KHP!AD268,KHP!AJ268,KHP!AP268)))</f>
        <v>0</v>
      </c>
      <c r="B268">
        <f>SUMPRODUCT((MONTH(CHOOSE({1,2,3,4},KHP!U268,KHP!AA268,KHP!AG268,KHP!AM268))=2)*(CHOOSE({1,2,3,4},KHP!X268,KHP!AD268,KHP!AJ268,KHP!AP268)))</f>
        <v>0</v>
      </c>
      <c r="C268">
        <f>SUMPRODUCT((MONTH(CHOOSE({1,2,3,4},KHP!U268,KHP!AA268,KHP!AG268,KHP!AM268))=3)*(CHOOSE({1,2,3,4},KHP!X268,KHP!AD268,KHP!AJ268,KHP!AP268)))</f>
        <v>0</v>
      </c>
      <c r="D268">
        <f>SUMPRODUCT((MONTH(CHOOSE({1,2,3,4},KHP!U268,KHP!AA268,KHP!AG268,KHP!AM268))=4)*(CHOOSE({1,2,3,4},KHP!X268,KHP!AD268,KHP!AJ268,KHP!AP268)))</f>
        <v>0</v>
      </c>
      <c r="E268">
        <f>SUMPRODUCT((MONTH(CHOOSE({1,2,3,4},KHP!U268,KHP!AA268,KHP!AG268,KHP!AM268))=5)*(CHOOSE({1,2,3,4},KHP!X268,KHP!AD268,KHP!AJ268,KHP!AP268)))</f>
        <v>0</v>
      </c>
      <c r="F268">
        <f>SUMPRODUCT((MONTH(CHOOSE({1,2,3,4},KHP!U268,KHP!AA268,KHP!AG268,KHP!AM268))=6)*(CHOOSE({1,2,3,4},KHP!X268,KHP!AD268,KHP!AJ268,KHP!AP268)))</f>
        <v>0</v>
      </c>
      <c r="G268">
        <f>SUMPRODUCT((MONTH(CHOOSE({1,2,3,4},KHP!U268,KHP!AA268,KHP!AG268,KHP!AM268))=7)*(CHOOSE({1,2,3,4},KHP!X268,KHP!AD268,KHP!AJ268,KHP!AP268)))</f>
        <v>0</v>
      </c>
      <c r="H268">
        <f>SUMPRODUCT((MONTH(CHOOSE({1,2,3,4},KHP!U268,KHP!AA268,KHP!AG268,KHP!AM268))=8)*(CHOOSE({1,2,3,4},KHP!X268,KHP!AD268,KHP!AJ268,KHP!AP268)))</f>
        <v>0</v>
      </c>
      <c r="I268">
        <f>SUMPRODUCT((MONTH(CHOOSE({1,2,3,4},KHP!U268,KHP!AA268,KHP!AG268,KHP!AM268))=9)*(CHOOSE({1,2,3,4},KHP!X268,KHP!AD268,KHP!AJ268,KHP!AP268)))</f>
        <v>0</v>
      </c>
      <c r="J268">
        <f>SUMPRODUCT((MONTH(CHOOSE({1,2,3,4},KHP!U268,KHP!AA268,KHP!AG268,KHP!AM268))=10)*(CHOOSE({1,2,3,4},KHP!X268,KHP!AD268,KHP!AJ268,KHP!AP268)))</f>
        <v>0</v>
      </c>
      <c r="K268">
        <f>SUMPRODUCT((MONTH(CHOOSE({1,2,3,4},KHP!U268,KHP!AA268,KHP!AG268,KHP!AM268))=11)*(CHOOSE({1,2,3,4},KHP!X268,KHP!AD268,KHP!AJ268,KHP!AP268)))</f>
        <v>0</v>
      </c>
      <c r="L268">
        <f>SUMPRODUCT((MONTH(CHOOSE({1,2,3,4},KHP!U268,KHP!AA268,KHP!AG268,KHP!AM268))=12)*(CHOOSE({1,2,3,4},KHP!X268,KHP!AD268,KHP!AJ268,KHP!AP268)))</f>
        <v>0</v>
      </c>
    </row>
    <row r="269" spans="1:12">
      <c r="A269">
        <f>SUMPRODUCT((MONTH(CHOOSE({1,2,3,4},KHP!U269,KHP!AA269,KHP!AG269,KHP!AM269))=1)*(CHOOSE({1,2,3,4},KHP!X269,KHP!AD269,KHP!AJ269,KHP!AP269)))</f>
        <v>0</v>
      </c>
      <c r="B269">
        <f>SUMPRODUCT((MONTH(CHOOSE({1,2,3,4},KHP!U269,KHP!AA269,KHP!AG269,KHP!AM269))=2)*(CHOOSE({1,2,3,4},KHP!X269,KHP!AD269,KHP!AJ269,KHP!AP269)))</f>
        <v>0</v>
      </c>
      <c r="C269">
        <f>SUMPRODUCT((MONTH(CHOOSE({1,2,3,4},KHP!U269,KHP!AA269,KHP!AG269,KHP!AM269))=3)*(CHOOSE({1,2,3,4},KHP!X269,KHP!AD269,KHP!AJ269,KHP!AP269)))</f>
        <v>0</v>
      </c>
      <c r="D269">
        <f>SUMPRODUCT((MONTH(CHOOSE({1,2,3,4},KHP!U269,KHP!AA269,KHP!AG269,KHP!AM269))=4)*(CHOOSE({1,2,3,4},KHP!X269,KHP!AD269,KHP!AJ269,KHP!AP269)))</f>
        <v>0</v>
      </c>
      <c r="E269">
        <f>SUMPRODUCT((MONTH(CHOOSE({1,2,3,4},KHP!U269,KHP!AA269,KHP!AG269,KHP!AM269))=5)*(CHOOSE({1,2,3,4},KHP!X269,KHP!AD269,KHP!AJ269,KHP!AP269)))</f>
        <v>0</v>
      </c>
      <c r="F269">
        <f>SUMPRODUCT((MONTH(CHOOSE({1,2,3,4},KHP!U269,KHP!AA269,KHP!AG269,KHP!AM269))=6)*(CHOOSE({1,2,3,4},KHP!X269,KHP!AD269,KHP!AJ269,KHP!AP269)))</f>
        <v>0</v>
      </c>
      <c r="G269">
        <f>SUMPRODUCT((MONTH(CHOOSE({1,2,3,4},KHP!U269,KHP!AA269,KHP!AG269,KHP!AM269))=7)*(CHOOSE({1,2,3,4},KHP!X269,KHP!AD269,KHP!AJ269,KHP!AP269)))</f>
        <v>0</v>
      </c>
      <c r="H269">
        <f>SUMPRODUCT((MONTH(CHOOSE({1,2,3,4},KHP!U269,KHP!AA269,KHP!AG269,KHP!AM269))=8)*(CHOOSE({1,2,3,4},KHP!X269,KHP!AD269,KHP!AJ269,KHP!AP269)))</f>
        <v>0</v>
      </c>
      <c r="I269">
        <f>SUMPRODUCT((MONTH(CHOOSE({1,2,3,4},KHP!U269,KHP!AA269,KHP!AG269,KHP!AM269))=9)*(CHOOSE({1,2,3,4},KHP!X269,KHP!AD269,KHP!AJ269,KHP!AP269)))</f>
        <v>0</v>
      </c>
      <c r="J269">
        <f>SUMPRODUCT((MONTH(CHOOSE({1,2,3,4},KHP!U269,KHP!AA269,KHP!AG269,KHP!AM269))=10)*(CHOOSE({1,2,3,4},KHP!X269,KHP!AD269,KHP!AJ269,KHP!AP269)))</f>
        <v>0</v>
      </c>
      <c r="K269">
        <f>SUMPRODUCT((MONTH(CHOOSE({1,2,3,4},KHP!U269,KHP!AA269,KHP!AG269,KHP!AM269))=11)*(CHOOSE({1,2,3,4},KHP!X269,KHP!AD269,KHP!AJ269,KHP!AP269)))</f>
        <v>0</v>
      </c>
      <c r="L269">
        <f>SUMPRODUCT((MONTH(CHOOSE({1,2,3,4},KHP!U269,KHP!AA269,KHP!AG269,KHP!AM269))=12)*(CHOOSE({1,2,3,4},KHP!X269,KHP!AD269,KHP!AJ269,KHP!AP269)))</f>
        <v>0</v>
      </c>
    </row>
    <row r="270" spans="1:12">
      <c r="A270">
        <f>SUMPRODUCT((MONTH(CHOOSE({1,2,3,4},KHP!U270,KHP!AA270,KHP!AG270,KHP!AM270))=1)*(CHOOSE({1,2,3,4},KHP!X270,KHP!AD270,KHP!AJ270,KHP!AP270)))</f>
        <v>0</v>
      </c>
      <c r="B270">
        <f>SUMPRODUCT((MONTH(CHOOSE({1,2,3,4},KHP!U270,KHP!AA270,KHP!AG270,KHP!AM270))=2)*(CHOOSE({1,2,3,4},KHP!X270,KHP!AD270,KHP!AJ270,KHP!AP270)))</f>
        <v>0</v>
      </c>
      <c r="C270">
        <f>SUMPRODUCT((MONTH(CHOOSE({1,2,3,4},KHP!U270,KHP!AA270,KHP!AG270,KHP!AM270))=3)*(CHOOSE({1,2,3,4},KHP!X270,KHP!AD270,KHP!AJ270,KHP!AP270)))</f>
        <v>0</v>
      </c>
      <c r="D270">
        <f>SUMPRODUCT((MONTH(CHOOSE({1,2,3,4},KHP!U270,KHP!AA270,KHP!AG270,KHP!AM270))=4)*(CHOOSE({1,2,3,4},KHP!X270,KHP!AD270,KHP!AJ270,KHP!AP270)))</f>
        <v>0</v>
      </c>
      <c r="E270">
        <f>SUMPRODUCT((MONTH(CHOOSE({1,2,3,4},KHP!U270,KHP!AA270,KHP!AG270,KHP!AM270))=5)*(CHOOSE({1,2,3,4},KHP!X270,KHP!AD270,KHP!AJ270,KHP!AP270)))</f>
        <v>0</v>
      </c>
      <c r="F270">
        <f>SUMPRODUCT((MONTH(CHOOSE({1,2,3,4},KHP!U270,KHP!AA270,KHP!AG270,KHP!AM270))=6)*(CHOOSE({1,2,3,4},KHP!X270,KHP!AD270,KHP!AJ270,KHP!AP270)))</f>
        <v>0</v>
      </c>
      <c r="G270">
        <f>SUMPRODUCT((MONTH(CHOOSE({1,2,3,4},KHP!U270,KHP!AA270,KHP!AG270,KHP!AM270))=7)*(CHOOSE({1,2,3,4},KHP!X270,KHP!AD270,KHP!AJ270,KHP!AP270)))</f>
        <v>0</v>
      </c>
      <c r="H270">
        <f>SUMPRODUCT((MONTH(CHOOSE({1,2,3,4},KHP!U270,KHP!AA270,KHP!AG270,KHP!AM270))=8)*(CHOOSE({1,2,3,4},KHP!X270,KHP!AD270,KHP!AJ270,KHP!AP270)))</f>
        <v>0</v>
      </c>
      <c r="I270">
        <f>SUMPRODUCT((MONTH(CHOOSE({1,2,3,4},KHP!U270,KHP!AA270,KHP!AG270,KHP!AM270))=9)*(CHOOSE({1,2,3,4},KHP!X270,KHP!AD270,KHP!AJ270,KHP!AP270)))</f>
        <v>0</v>
      </c>
      <c r="J270">
        <f>SUMPRODUCT((MONTH(CHOOSE({1,2,3,4},KHP!U270,KHP!AA270,KHP!AG270,KHP!AM270))=10)*(CHOOSE({1,2,3,4},KHP!X270,KHP!AD270,KHP!AJ270,KHP!AP270)))</f>
        <v>0</v>
      </c>
      <c r="K270">
        <f>SUMPRODUCT((MONTH(CHOOSE({1,2,3,4},KHP!U270,KHP!AA270,KHP!AG270,KHP!AM270))=11)*(CHOOSE({1,2,3,4},KHP!X270,KHP!AD270,KHP!AJ270,KHP!AP270)))</f>
        <v>0</v>
      </c>
      <c r="L270">
        <f>SUMPRODUCT((MONTH(CHOOSE({1,2,3,4},KHP!U270,KHP!AA270,KHP!AG270,KHP!AM270))=12)*(CHOOSE({1,2,3,4},KHP!X270,KHP!AD270,KHP!AJ270,KHP!AP270)))</f>
        <v>0</v>
      </c>
    </row>
    <row r="271" spans="1:12">
      <c r="A271">
        <f>SUMPRODUCT((MONTH(CHOOSE({1,2,3,4},KHP!U271,KHP!AA271,KHP!AG271,KHP!AM271))=1)*(CHOOSE({1,2,3,4},KHP!X271,KHP!AD271,KHP!AJ271,KHP!AP271)))</f>
        <v>0</v>
      </c>
      <c r="B271">
        <f>SUMPRODUCT((MONTH(CHOOSE({1,2,3,4},KHP!U271,KHP!AA271,KHP!AG271,KHP!AM271))=2)*(CHOOSE({1,2,3,4},KHP!X271,KHP!AD271,KHP!AJ271,KHP!AP271)))</f>
        <v>0</v>
      </c>
      <c r="C271">
        <f>SUMPRODUCT((MONTH(CHOOSE({1,2,3,4},KHP!U271,KHP!AA271,KHP!AG271,KHP!AM271))=3)*(CHOOSE({1,2,3,4},KHP!X271,KHP!AD271,KHP!AJ271,KHP!AP271)))</f>
        <v>0</v>
      </c>
      <c r="D271">
        <f>SUMPRODUCT((MONTH(CHOOSE({1,2,3,4},KHP!U271,KHP!AA271,KHP!AG271,KHP!AM271))=4)*(CHOOSE({1,2,3,4},KHP!X271,KHP!AD271,KHP!AJ271,KHP!AP271)))</f>
        <v>0</v>
      </c>
      <c r="E271">
        <f>SUMPRODUCT((MONTH(CHOOSE({1,2,3,4},KHP!U271,KHP!AA271,KHP!AG271,KHP!AM271))=5)*(CHOOSE({1,2,3,4},KHP!X271,KHP!AD271,KHP!AJ271,KHP!AP271)))</f>
        <v>0</v>
      </c>
      <c r="F271">
        <f>SUMPRODUCT((MONTH(CHOOSE({1,2,3,4},KHP!U271,KHP!AA271,KHP!AG271,KHP!AM271))=6)*(CHOOSE({1,2,3,4},KHP!X271,KHP!AD271,KHP!AJ271,KHP!AP271)))</f>
        <v>0</v>
      </c>
      <c r="G271">
        <f>SUMPRODUCT((MONTH(CHOOSE({1,2,3,4},KHP!U271,KHP!AA271,KHP!AG271,KHP!AM271))=7)*(CHOOSE({1,2,3,4},KHP!X271,KHP!AD271,KHP!AJ271,KHP!AP271)))</f>
        <v>0</v>
      </c>
      <c r="H271">
        <f>SUMPRODUCT((MONTH(CHOOSE({1,2,3,4},KHP!U271,KHP!AA271,KHP!AG271,KHP!AM271))=8)*(CHOOSE({1,2,3,4},KHP!X271,KHP!AD271,KHP!AJ271,KHP!AP271)))</f>
        <v>0</v>
      </c>
      <c r="I271">
        <f>SUMPRODUCT((MONTH(CHOOSE({1,2,3,4},KHP!U271,KHP!AA271,KHP!AG271,KHP!AM271))=9)*(CHOOSE({1,2,3,4},KHP!X271,KHP!AD271,KHP!AJ271,KHP!AP271)))</f>
        <v>0</v>
      </c>
      <c r="J271">
        <f>SUMPRODUCT((MONTH(CHOOSE({1,2,3,4},KHP!U271,KHP!AA271,KHP!AG271,KHP!AM271))=10)*(CHOOSE({1,2,3,4},KHP!X271,KHP!AD271,KHP!AJ271,KHP!AP271)))</f>
        <v>0</v>
      </c>
      <c r="K271">
        <f>SUMPRODUCT((MONTH(CHOOSE({1,2,3,4},KHP!U271,KHP!AA271,KHP!AG271,KHP!AM271))=11)*(CHOOSE({1,2,3,4},KHP!X271,KHP!AD271,KHP!AJ271,KHP!AP271)))</f>
        <v>0</v>
      </c>
      <c r="L271">
        <f>SUMPRODUCT((MONTH(CHOOSE({1,2,3,4},KHP!U271,KHP!AA271,KHP!AG271,KHP!AM271))=12)*(CHOOSE({1,2,3,4},KHP!X271,KHP!AD271,KHP!AJ271,KHP!AP271)))</f>
        <v>0</v>
      </c>
    </row>
    <row r="272" spans="1:12">
      <c r="A272">
        <f>SUMPRODUCT((MONTH(CHOOSE({1,2,3,4},KHP!U272,KHP!AA272,KHP!AG272,KHP!AM272))=1)*(CHOOSE({1,2,3,4},KHP!X272,KHP!AD272,KHP!AJ272,KHP!AP272)))</f>
        <v>0</v>
      </c>
      <c r="B272">
        <f>SUMPRODUCT((MONTH(CHOOSE({1,2,3,4},KHP!U272,KHP!AA272,KHP!AG272,KHP!AM272))=2)*(CHOOSE({1,2,3,4},KHP!X272,KHP!AD272,KHP!AJ272,KHP!AP272)))</f>
        <v>0</v>
      </c>
      <c r="C272">
        <f>SUMPRODUCT((MONTH(CHOOSE({1,2,3,4},KHP!U272,KHP!AA272,KHP!AG272,KHP!AM272))=3)*(CHOOSE({1,2,3,4},KHP!X272,KHP!AD272,KHP!AJ272,KHP!AP272)))</f>
        <v>0</v>
      </c>
      <c r="D272">
        <f>SUMPRODUCT((MONTH(CHOOSE({1,2,3,4},KHP!U272,KHP!AA272,KHP!AG272,KHP!AM272))=4)*(CHOOSE({1,2,3,4},KHP!X272,KHP!AD272,KHP!AJ272,KHP!AP272)))</f>
        <v>0</v>
      </c>
      <c r="E272">
        <f>SUMPRODUCT((MONTH(CHOOSE({1,2,3,4},KHP!U272,KHP!AA272,KHP!AG272,KHP!AM272))=5)*(CHOOSE({1,2,3,4},KHP!X272,KHP!AD272,KHP!AJ272,KHP!AP272)))</f>
        <v>0</v>
      </c>
      <c r="F272">
        <f>SUMPRODUCT((MONTH(CHOOSE({1,2,3,4},KHP!U272,KHP!AA272,KHP!AG272,KHP!AM272))=6)*(CHOOSE({1,2,3,4},KHP!X272,KHP!AD272,KHP!AJ272,KHP!AP272)))</f>
        <v>0</v>
      </c>
      <c r="G272">
        <f>SUMPRODUCT((MONTH(CHOOSE({1,2,3,4},KHP!U272,KHP!AA272,KHP!AG272,KHP!AM272))=7)*(CHOOSE({1,2,3,4},KHP!X272,KHP!AD272,KHP!AJ272,KHP!AP272)))</f>
        <v>0</v>
      </c>
      <c r="H272">
        <f>SUMPRODUCT((MONTH(CHOOSE({1,2,3,4},KHP!U272,KHP!AA272,KHP!AG272,KHP!AM272))=8)*(CHOOSE({1,2,3,4},KHP!X272,KHP!AD272,KHP!AJ272,KHP!AP272)))</f>
        <v>0</v>
      </c>
      <c r="I272">
        <f>SUMPRODUCT((MONTH(CHOOSE({1,2,3,4},KHP!U272,KHP!AA272,KHP!AG272,KHP!AM272))=9)*(CHOOSE({1,2,3,4},KHP!X272,KHP!AD272,KHP!AJ272,KHP!AP272)))</f>
        <v>0</v>
      </c>
      <c r="J272">
        <f>SUMPRODUCT((MONTH(CHOOSE({1,2,3,4},KHP!U272,KHP!AA272,KHP!AG272,KHP!AM272))=10)*(CHOOSE({1,2,3,4},KHP!X272,KHP!AD272,KHP!AJ272,KHP!AP272)))</f>
        <v>0</v>
      </c>
      <c r="K272">
        <f>SUMPRODUCT((MONTH(CHOOSE({1,2,3,4},KHP!U272,KHP!AA272,KHP!AG272,KHP!AM272))=11)*(CHOOSE({1,2,3,4},KHP!X272,KHP!AD272,KHP!AJ272,KHP!AP272)))</f>
        <v>0</v>
      </c>
      <c r="L272">
        <f>SUMPRODUCT((MONTH(CHOOSE({1,2,3,4},KHP!U272,KHP!AA272,KHP!AG272,KHP!AM272))=12)*(CHOOSE({1,2,3,4},KHP!X272,KHP!AD272,KHP!AJ272,KHP!AP272)))</f>
        <v>0</v>
      </c>
    </row>
    <row r="273" spans="1:12">
      <c r="A273">
        <f>SUMPRODUCT((MONTH(CHOOSE({1,2,3,4},KHP!U273,KHP!AA273,KHP!AG273,KHP!AM273))=1)*(CHOOSE({1,2,3,4},KHP!X273,KHP!AD273,KHP!AJ273,KHP!AP273)))</f>
        <v>0</v>
      </c>
      <c r="B273">
        <f>SUMPRODUCT((MONTH(CHOOSE({1,2,3,4},KHP!U273,KHP!AA273,KHP!AG273,KHP!AM273))=2)*(CHOOSE({1,2,3,4},KHP!X273,KHP!AD273,KHP!AJ273,KHP!AP273)))</f>
        <v>0</v>
      </c>
      <c r="C273">
        <f>SUMPRODUCT((MONTH(CHOOSE({1,2,3,4},KHP!U273,KHP!AA273,KHP!AG273,KHP!AM273))=3)*(CHOOSE({1,2,3,4},KHP!X273,KHP!AD273,KHP!AJ273,KHP!AP273)))</f>
        <v>0</v>
      </c>
      <c r="D273">
        <f>SUMPRODUCT((MONTH(CHOOSE({1,2,3,4},KHP!U273,KHP!AA273,KHP!AG273,KHP!AM273))=4)*(CHOOSE({1,2,3,4},KHP!X273,KHP!AD273,KHP!AJ273,KHP!AP273)))</f>
        <v>0</v>
      </c>
      <c r="E273">
        <f>SUMPRODUCT((MONTH(CHOOSE({1,2,3,4},KHP!U273,KHP!AA273,KHP!AG273,KHP!AM273))=5)*(CHOOSE({1,2,3,4},KHP!X273,KHP!AD273,KHP!AJ273,KHP!AP273)))</f>
        <v>0</v>
      </c>
      <c r="F273">
        <f>SUMPRODUCT((MONTH(CHOOSE({1,2,3,4},KHP!U273,KHP!AA273,KHP!AG273,KHP!AM273))=6)*(CHOOSE({1,2,3,4},KHP!X273,KHP!AD273,KHP!AJ273,KHP!AP273)))</f>
        <v>0</v>
      </c>
      <c r="G273">
        <f>SUMPRODUCT((MONTH(CHOOSE({1,2,3,4},KHP!U273,KHP!AA273,KHP!AG273,KHP!AM273))=7)*(CHOOSE({1,2,3,4},KHP!X273,KHP!AD273,KHP!AJ273,KHP!AP273)))</f>
        <v>0</v>
      </c>
      <c r="H273">
        <f>SUMPRODUCT((MONTH(CHOOSE({1,2,3,4},KHP!U273,KHP!AA273,KHP!AG273,KHP!AM273))=8)*(CHOOSE({1,2,3,4},KHP!X273,KHP!AD273,KHP!AJ273,KHP!AP273)))</f>
        <v>0</v>
      </c>
      <c r="I273">
        <f>SUMPRODUCT((MONTH(CHOOSE({1,2,3,4},KHP!U273,KHP!AA273,KHP!AG273,KHP!AM273))=9)*(CHOOSE({1,2,3,4},KHP!X273,KHP!AD273,KHP!AJ273,KHP!AP273)))</f>
        <v>0</v>
      </c>
      <c r="J273">
        <f>SUMPRODUCT((MONTH(CHOOSE({1,2,3,4},KHP!U273,KHP!AA273,KHP!AG273,KHP!AM273))=10)*(CHOOSE({1,2,3,4},KHP!X273,KHP!AD273,KHP!AJ273,KHP!AP273)))</f>
        <v>0</v>
      </c>
      <c r="K273">
        <f>SUMPRODUCT((MONTH(CHOOSE({1,2,3,4},KHP!U273,KHP!AA273,KHP!AG273,KHP!AM273))=11)*(CHOOSE({1,2,3,4},KHP!X273,KHP!AD273,KHP!AJ273,KHP!AP273)))</f>
        <v>0</v>
      </c>
      <c r="L273">
        <f>SUMPRODUCT((MONTH(CHOOSE({1,2,3,4},KHP!U273,KHP!AA273,KHP!AG273,KHP!AM273))=12)*(CHOOSE({1,2,3,4},KHP!X273,KHP!AD273,KHP!AJ273,KHP!AP273)))</f>
        <v>0</v>
      </c>
    </row>
    <row r="274" spans="1:12">
      <c r="A274">
        <f>SUMPRODUCT((MONTH(CHOOSE({1,2,3,4},KHP!U274,KHP!AA274,KHP!AG274,KHP!AM274))=1)*(CHOOSE({1,2,3,4},KHP!X274,KHP!AD274,KHP!AJ274,KHP!AP274)))</f>
        <v>0</v>
      </c>
      <c r="B274">
        <f>SUMPRODUCT((MONTH(CHOOSE({1,2,3,4},KHP!U274,KHP!AA274,KHP!AG274,KHP!AM274))=2)*(CHOOSE({1,2,3,4},KHP!X274,KHP!AD274,KHP!AJ274,KHP!AP274)))</f>
        <v>0</v>
      </c>
      <c r="C274">
        <f>SUMPRODUCT((MONTH(CHOOSE({1,2,3,4},KHP!U274,KHP!AA274,KHP!AG274,KHP!AM274))=3)*(CHOOSE({1,2,3,4},KHP!X274,KHP!AD274,KHP!AJ274,KHP!AP274)))</f>
        <v>0</v>
      </c>
      <c r="D274">
        <f>SUMPRODUCT((MONTH(CHOOSE({1,2,3,4},KHP!U274,KHP!AA274,KHP!AG274,KHP!AM274))=4)*(CHOOSE({1,2,3,4},KHP!X274,KHP!AD274,KHP!AJ274,KHP!AP274)))</f>
        <v>0</v>
      </c>
      <c r="E274">
        <f>SUMPRODUCT((MONTH(CHOOSE({1,2,3,4},KHP!U274,KHP!AA274,KHP!AG274,KHP!AM274))=5)*(CHOOSE({1,2,3,4},KHP!X274,KHP!AD274,KHP!AJ274,KHP!AP274)))</f>
        <v>0</v>
      </c>
      <c r="F274">
        <f>SUMPRODUCT((MONTH(CHOOSE({1,2,3,4},KHP!U274,KHP!AA274,KHP!AG274,KHP!AM274))=6)*(CHOOSE({1,2,3,4},KHP!X274,KHP!AD274,KHP!AJ274,KHP!AP274)))</f>
        <v>0</v>
      </c>
      <c r="G274">
        <f>SUMPRODUCT((MONTH(CHOOSE({1,2,3,4},KHP!U274,KHP!AA274,KHP!AG274,KHP!AM274))=7)*(CHOOSE({1,2,3,4},KHP!X274,KHP!AD274,KHP!AJ274,KHP!AP274)))</f>
        <v>0</v>
      </c>
      <c r="H274">
        <f>SUMPRODUCT((MONTH(CHOOSE({1,2,3,4},KHP!U274,KHP!AA274,KHP!AG274,KHP!AM274))=8)*(CHOOSE({1,2,3,4},KHP!X274,KHP!AD274,KHP!AJ274,KHP!AP274)))</f>
        <v>0</v>
      </c>
      <c r="I274">
        <f>SUMPRODUCT((MONTH(CHOOSE({1,2,3,4},KHP!U274,KHP!AA274,KHP!AG274,KHP!AM274))=9)*(CHOOSE({1,2,3,4},KHP!X274,KHP!AD274,KHP!AJ274,KHP!AP274)))</f>
        <v>0</v>
      </c>
      <c r="J274">
        <f>SUMPRODUCT((MONTH(CHOOSE({1,2,3,4},KHP!U274,KHP!AA274,KHP!AG274,KHP!AM274))=10)*(CHOOSE({1,2,3,4},KHP!X274,KHP!AD274,KHP!AJ274,KHP!AP274)))</f>
        <v>0</v>
      </c>
      <c r="K274">
        <f>SUMPRODUCT((MONTH(CHOOSE({1,2,3,4},KHP!U274,KHP!AA274,KHP!AG274,KHP!AM274))=11)*(CHOOSE({1,2,3,4},KHP!X274,KHP!AD274,KHP!AJ274,KHP!AP274)))</f>
        <v>0</v>
      </c>
      <c r="L274">
        <f>SUMPRODUCT((MONTH(CHOOSE({1,2,3,4},KHP!U274,KHP!AA274,KHP!AG274,KHP!AM274))=12)*(CHOOSE({1,2,3,4},KHP!X274,KHP!AD274,KHP!AJ274,KHP!AP274)))</f>
        <v>0</v>
      </c>
    </row>
    <row r="275" spans="1:12">
      <c r="A275">
        <f>SUMPRODUCT((MONTH(CHOOSE({1,2,3,4},KHP!U275,KHP!AA275,KHP!AG275,KHP!AM275))=1)*(CHOOSE({1,2,3,4},KHP!X275,KHP!AD275,KHP!AJ275,KHP!AP275)))</f>
        <v>0</v>
      </c>
      <c r="B275">
        <f>SUMPRODUCT((MONTH(CHOOSE({1,2,3,4},KHP!U275,KHP!AA275,KHP!AG275,KHP!AM275))=2)*(CHOOSE({1,2,3,4},KHP!X275,KHP!AD275,KHP!AJ275,KHP!AP275)))</f>
        <v>0</v>
      </c>
      <c r="C275">
        <f>SUMPRODUCT((MONTH(CHOOSE({1,2,3,4},KHP!U275,KHP!AA275,KHP!AG275,KHP!AM275))=3)*(CHOOSE({1,2,3,4},KHP!X275,KHP!AD275,KHP!AJ275,KHP!AP275)))</f>
        <v>0</v>
      </c>
      <c r="D275">
        <f>SUMPRODUCT((MONTH(CHOOSE({1,2,3,4},KHP!U275,KHP!AA275,KHP!AG275,KHP!AM275))=4)*(CHOOSE({1,2,3,4},KHP!X275,KHP!AD275,KHP!AJ275,KHP!AP275)))</f>
        <v>0</v>
      </c>
      <c r="E275">
        <f>SUMPRODUCT((MONTH(CHOOSE({1,2,3,4},KHP!U275,KHP!AA275,KHP!AG275,KHP!AM275))=5)*(CHOOSE({1,2,3,4},KHP!X275,KHP!AD275,KHP!AJ275,KHP!AP275)))</f>
        <v>0</v>
      </c>
      <c r="F275">
        <f>SUMPRODUCT((MONTH(CHOOSE({1,2,3,4},KHP!U275,KHP!AA275,KHP!AG275,KHP!AM275))=6)*(CHOOSE({1,2,3,4},KHP!X275,KHP!AD275,KHP!AJ275,KHP!AP275)))</f>
        <v>0</v>
      </c>
      <c r="G275">
        <f>SUMPRODUCT((MONTH(CHOOSE({1,2,3,4},KHP!U275,KHP!AA275,KHP!AG275,KHP!AM275))=7)*(CHOOSE({1,2,3,4},KHP!X275,KHP!AD275,KHP!AJ275,KHP!AP275)))</f>
        <v>0</v>
      </c>
      <c r="H275">
        <f>SUMPRODUCT((MONTH(CHOOSE({1,2,3,4},KHP!U275,KHP!AA275,KHP!AG275,KHP!AM275))=8)*(CHOOSE({1,2,3,4},KHP!X275,KHP!AD275,KHP!AJ275,KHP!AP275)))</f>
        <v>0</v>
      </c>
      <c r="I275">
        <f>SUMPRODUCT((MONTH(CHOOSE({1,2,3,4},KHP!U275,KHP!AA275,KHP!AG275,KHP!AM275))=9)*(CHOOSE({1,2,3,4},KHP!X275,KHP!AD275,KHP!AJ275,KHP!AP275)))</f>
        <v>0</v>
      </c>
      <c r="J275">
        <f>SUMPRODUCT((MONTH(CHOOSE({1,2,3,4},KHP!U275,KHP!AA275,KHP!AG275,KHP!AM275))=10)*(CHOOSE({1,2,3,4},KHP!X275,KHP!AD275,KHP!AJ275,KHP!AP275)))</f>
        <v>0</v>
      </c>
      <c r="K275">
        <f>SUMPRODUCT((MONTH(CHOOSE({1,2,3,4},KHP!U275,KHP!AA275,KHP!AG275,KHP!AM275))=11)*(CHOOSE({1,2,3,4},KHP!X275,KHP!AD275,KHP!AJ275,KHP!AP275)))</f>
        <v>0</v>
      </c>
      <c r="L275">
        <f>SUMPRODUCT((MONTH(CHOOSE({1,2,3,4},KHP!U275,KHP!AA275,KHP!AG275,KHP!AM275))=12)*(CHOOSE({1,2,3,4},KHP!X275,KHP!AD275,KHP!AJ275,KHP!AP275)))</f>
        <v>0</v>
      </c>
    </row>
    <row r="276" spans="1:12">
      <c r="A276">
        <f>SUMPRODUCT((MONTH(CHOOSE({1,2,3,4},KHP!U276,KHP!AA276,KHP!AG276,KHP!AM276))=1)*(CHOOSE({1,2,3,4},KHP!X276,KHP!AD276,KHP!AJ276,KHP!AP276)))</f>
        <v>0</v>
      </c>
      <c r="B276">
        <f>SUMPRODUCT((MONTH(CHOOSE({1,2,3,4},KHP!U276,KHP!AA276,KHP!AG276,KHP!AM276))=2)*(CHOOSE({1,2,3,4},KHP!X276,KHP!AD276,KHP!AJ276,KHP!AP276)))</f>
        <v>0</v>
      </c>
      <c r="C276">
        <f>SUMPRODUCT((MONTH(CHOOSE({1,2,3,4},KHP!U276,KHP!AA276,KHP!AG276,KHP!AM276))=3)*(CHOOSE({1,2,3,4},KHP!X276,KHP!AD276,KHP!AJ276,KHP!AP276)))</f>
        <v>0</v>
      </c>
      <c r="D276">
        <f>SUMPRODUCT((MONTH(CHOOSE({1,2,3,4},KHP!U276,KHP!AA276,KHP!AG276,KHP!AM276))=4)*(CHOOSE({1,2,3,4},KHP!X276,KHP!AD276,KHP!AJ276,KHP!AP276)))</f>
        <v>0</v>
      </c>
      <c r="E276">
        <f>SUMPRODUCT((MONTH(CHOOSE({1,2,3,4},KHP!U276,KHP!AA276,KHP!AG276,KHP!AM276))=5)*(CHOOSE({1,2,3,4},KHP!X276,KHP!AD276,KHP!AJ276,KHP!AP276)))</f>
        <v>0</v>
      </c>
      <c r="F276">
        <f>SUMPRODUCT((MONTH(CHOOSE({1,2,3,4},KHP!U276,KHP!AA276,KHP!AG276,KHP!AM276))=6)*(CHOOSE({1,2,3,4},KHP!X276,KHP!AD276,KHP!AJ276,KHP!AP276)))</f>
        <v>0</v>
      </c>
      <c r="G276">
        <f>SUMPRODUCT((MONTH(CHOOSE({1,2,3,4},KHP!U276,KHP!AA276,KHP!AG276,KHP!AM276))=7)*(CHOOSE({1,2,3,4},KHP!X276,KHP!AD276,KHP!AJ276,KHP!AP276)))</f>
        <v>0</v>
      </c>
      <c r="H276">
        <f>SUMPRODUCT((MONTH(CHOOSE({1,2,3,4},KHP!U276,KHP!AA276,KHP!AG276,KHP!AM276))=8)*(CHOOSE({1,2,3,4},KHP!X276,KHP!AD276,KHP!AJ276,KHP!AP276)))</f>
        <v>0</v>
      </c>
      <c r="I276">
        <f>SUMPRODUCT((MONTH(CHOOSE({1,2,3,4},KHP!U276,KHP!AA276,KHP!AG276,KHP!AM276))=9)*(CHOOSE({1,2,3,4},KHP!X276,KHP!AD276,KHP!AJ276,KHP!AP276)))</f>
        <v>0</v>
      </c>
      <c r="J276">
        <f>SUMPRODUCT((MONTH(CHOOSE({1,2,3,4},KHP!U276,KHP!AA276,KHP!AG276,KHP!AM276))=10)*(CHOOSE({1,2,3,4},KHP!X276,KHP!AD276,KHP!AJ276,KHP!AP276)))</f>
        <v>0</v>
      </c>
      <c r="K276">
        <f>SUMPRODUCT((MONTH(CHOOSE({1,2,3,4},KHP!U276,KHP!AA276,KHP!AG276,KHP!AM276))=11)*(CHOOSE({1,2,3,4},KHP!X276,KHP!AD276,KHP!AJ276,KHP!AP276)))</f>
        <v>0</v>
      </c>
      <c r="L276">
        <f>SUMPRODUCT((MONTH(CHOOSE({1,2,3,4},KHP!U276,KHP!AA276,KHP!AG276,KHP!AM276))=12)*(CHOOSE({1,2,3,4},KHP!X276,KHP!AD276,KHP!AJ276,KHP!AP276)))</f>
        <v>0</v>
      </c>
    </row>
    <row r="277" spans="1:12">
      <c r="A277">
        <f>SUMPRODUCT((MONTH(CHOOSE({1,2,3,4},KHP!U277,KHP!AA277,KHP!AG277,KHP!AM277))=1)*(CHOOSE({1,2,3,4},KHP!X277,KHP!AD277,KHP!AJ277,KHP!AP277)))</f>
        <v>0</v>
      </c>
      <c r="B277">
        <f>SUMPRODUCT((MONTH(CHOOSE({1,2,3,4},KHP!U277,KHP!AA277,KHP!AG277,KHP!AM277))=2)*(CHOOSE({1,2,3,4},KHP!X277,KHP!AD277,KHP!AJ277,KHP!AP277)))</f>
        <v>0</v>
      </c>
      <c r="C277">
        <f>SUMPRODUCT((MONTH(CHOOSE({1,2,3,4},KHP!U277,KHP!AA277,KHP!AG277,KHP!AM277))=3)*(CHOOSE({1,2,3,4},KHP!X277,KHP!AD277,KHP!AJ277,KHP!AP277)))</f>
        <v>0</v>
      </c>
      <c r="D277">
        <f>SUMPRODUCT((MONTH(CHOOSE({1,2,3,4},KHP!U277,KHP!AA277,KHP!AG277,KHP!AM277))=4)*(CHOOSE({1,2,3,4},KHP!X277,KHP!AD277,KHP!AJ277,KHP!AP277)))</f>
        <v>0</v>
      </c>
      <c r="E277">
        <f>SUMPRODUCT((MONTH(CHOOSE({1,2,3,4},KHP!U277,KHP!AA277,KHP!AG277,KHP!AM277))=5)*(CHOOSE({1,2,3,4},KHP!X277,KHP!AD277,KHP!AJ277,KHP!AP277)))</f>
        <v>0</v>
      </c>
      <c r="F277">
        <f>SUMPRODUCT((MONTH(CHOOSE({1,2,3,4},KHP!U277,KHP!AA277,KHP!AG277,KHP!AM277))=6)*(CHOOSE({1,2,3,4},KHP!X277,KHP!AD277,KHP!AJ277,KHP!AP277)))</f>
        <v>0</v>
      </c>
      <c r="G277">
        <f>SUMPRODUCT((MONTH(CHOOSE({1,2,3,4},KHP!U277,KHP!AA277,KHP!AG277,KHP!AM277))=7)*(CHOOSE({1,2,3,4},KHP!X277,KHP!AD277,KHP!AJ277,KHP!AP277)))</f>
        <v>0</v>
      </c>
      <c r="H277">
        <f>SUMPRODUCT((MONTH(CHOOSE({1,2,3,4},KHP!U277,KHP!AA277,KHP!AG277,KHP!AM277))=8)*(CHOOSE({1,2,3,4},KHP!X277,KHP!AD277,KHP!AJ277,KHP!AP277)))</f>
        <v>0</v>
      </c>
      <c r="I277">
        <f>SUMPRODUCT((MONTH(CHOOSE({1,2,3,4},KHP!U277,KHP!AA277,KHP!AG277,KHP!AM277))=9)*(CHOOSE({1,2,3,4},KHP!X277,KHP!AD277,KHP!AJ277,KHP!AP277)))</f>
        <v>0</v>
      </c>
      <c r="J277">
        <f>SUMPRODUCT((MONTH(CHOOSE({1,2,3,4},KHP!U277,KHP!AA277,KHP!AG277,KHP!AM277))=10)*(CHOOSE({1,2,3,4},KHP!X277,KHP!AD277,KHP!AJ277,KHP!AP277)))</f>
        <v>0</v>
      </c>
      <c r="K277">
        <f>SUMPRODUCT((MONTH(CHOOSE({1,2,3,4},KHP!U277,KHP!AA277,KHP!AG277,KHP!AM277))=11)*(CHOOSE({1,2,3,4},KHP!X277,KHP!AD277,KHP!AJ277,KHP!AP277)))</f>
        <v>0</v>
      </c>
      <c r="L277">
        <f>SUMPRODUCT((MONTH(CHOOSE({1,2,3,4},KHP!U277,KHP!AA277,KHP!AG277,KHP!AM277))=12)*(CHOOSE({1,2,3,4},KHP!X277,KHP!AD277,KHP!AJ277,KHP!AP277)))</f>
        <v>0</v>
      </c>
    </row>
    <row r="278" spans="1:12">
      <c r="A278">
        <f>SUMPRODUCT((MONTH(CHOOSE({1,2,3,4},KHP!U278,KHP!AA278,KHP!AG278,KHP!AM278))=1)*(CHOOSE({1,2,3,4},KHP!X278,KHP!AD278,KHP!AJ278,KHP!AP278)))</f>
        <v>0</v>
      </c>
      <c r="B278">
        <f>SUMPRODUCT((MONTH(CHOOSE({1,2,3,4},KHP!U278,KHP!AA278,KHP!AG278,KHP!AM278))=2)*(CHOOSE({1,2,3,4},KHP!X278,KHP!AD278,KHP!AJ278,KHP!AP278)))</f>
        <v>0</v>
      </c>
      <c r="C278">
        <f>SUMPRODUCT((MONTH(CHOOSE({1,2,3,4},KHP!U278,KHP!AA278,KHP!AG278,KHP!AM278))=3)*(CHOOSE({1,2,3,4},KHP!X278,KHP!AD278,KHP!AJ278,KHP!AP278)))</f>
        <v>0</v>
      </c>
      <c r="D278">
        <f>SUMPRODUCT((MONTH(CHOOSE({1,2,3,4},KHP!U278,KHP!AA278,KHP!AG278,KHP!AM278))=4)*(CHOOSE({1,2,3,4},KHP!X278,KHP!AD278,KHP!AJ278,KHP!AP278)))</f>
        <v>0</v>
      </c>
      <c r="E278">
        <f>SUMPRODUCT((MONTH(CHOOSE({1,2,3,4},KHP!U278,KHP!AA278,KHP!AG278,KHP!AM278))=5)*(CHOOSE({1,2,3,4},KHP!X278,KHP!AD278,KHP!AJ278,KHP!AP278)))</f>
        <v>0</v>
      </c>
      <c r="F278">
        <f>SUMPRODUCT((MONTH(CHOOSE({1,2,3,4},KHP!U278,KHP!AA278,KHP!AG278,KHP!AM278))=6)*(CHOOSE({1,2,3,4},KHP!X278,KHP!AD278,KHP!AJ278,KHP!AP278)))</f>
        <v>0</v>
      </c>
      <c r="G278">
        <f>SUMPRODUCT((MONTH(CHOOSE({1,2,3,4},KHP!U278,KHP!AA278,KHP!AG278,KHP!AM278))=7)*(CHOOSE({1,2,3,4},KHP!X278,KHP!AD278,KHP!AJ278,KHP!AP278)))</f>
        <v>0</v>
      </c>
      <c r="H278">
        <f>SUMPRODUCT((MONTH(CHOOSE({1,2,3,4},KHP!U278,KHP!AA278,KHP!AG278,KHP!AM278))=8)*(CHOOSE({1,2,3,4},KHP!X278,KHP!AD278,KHP!AJ278,KHP!AP278)))</f>
        <v>0</v>
      </c>
      <c r="I278">
        <f>SUMPRODUCT((MONTH(CHOOSE({1,2,3,4},KHP!U278,KHP!AA278,KHP!AG278,KHP!AM278))=9)*(CHOOSE({1,2,3,4},KHP!X278,KHP!AD278,KHP!AJ278,KHP!AP278)))</f>
        <v>0</v>
      </c>
      <c r="J278">
        <f>SUMPRODUCT((MONTH(CHOOSE({1,2,3,4},KHP!U278,KHP!AA278,KHP!AG278,KHP!AM278))=10)*(CHOOSE({1,2,3,4},KHP!X278,KHP!AD278,KHP!AJ278,KHP!AP278)))</f>
        <v>0</v>
      </c>
      <c r="K278">
        <f>SUMPRODUCT((MONTH(CHOOSE({1,2,3,4},KHP!U278,KHP!AA278,KHP!AG278,KHP!AM278))=11)*(CHOOSE({1,2,3,4},KHP!X278,KHP!AD278,KHP!AJ278,KHP!AP278)))</f>
        <v>0</v>
      </c>
      <c r="L278">
        <f>SUMPRODUCT((MONTH(CHOOSE({1,2,3,4},KHP!U278,KHP!AA278,KHP!AG278,KHP!AM278))=12)*(CHOOSE({1,2,3,4},KHP!X278,KHP!AD278,KHP!AJ278,KHP!AP278)))</f>
        <v>0</v>
      </c>
    </row>
    <row r="279" spans="1:12">
      <c r="A279">
        <f>SUMPRODUCT((MONTH(CHOOSE({1,2,3,4},KHP!U279,KHP!AA279,KHP!AG279,KHP!AM279))=1)*(CHOOSE({1,2,3,4},KHP!X279,KHP!AD279,KHP!AJ279,KHP!AP279)))</f>
        <v>0</v>
      </c>
      <c r="B279">
        <f>SUMPRODUCT((MONTH(CHOOSE({1,2,3,4},KHP!U279,KHP!AA279,KHP!AG279,KHP!AM279))=2)*(CHOOSE({1,2,3,4},KHP!X279,KHP!AD279,KHP!AJ279,KHP!AP279)))</f>
        <v>0</v>
      </c>
      <c r="C279">
        <f>SUMPRODUCT((MONTH(CHOOSE({1,2,3,4},KHP!U279,KHP!AA279,KHP!AG279,KHP!AM279))=3)*(CHOOSE({1,2,3,4},KHP!X279,KHP!AD279,KHP!AJ279,KHP!AP279)))</f>
        <v>0</v>
      </c>
      <c r="D279">
        <f>SUMPRODUCT((MONTH(CHOOSE({1,2,3,4},KHP!U279,KHP!AA279,KHP!AG279,KHP!AM279))=4)*(CHOOSE({1,2,3,4},KHP!X279,KHP!AD279,KHP!AJ279,KHP!AP279)))</f>
        <v>0</v>
      </c>
      <c r="E279">
        <f>SUMPRODUCT((MONTH(CHOOSE({1,2,3,4},KHP!U279,KHP!AA279,KHP!AG279,KHP!AM279))=5)*(CHOOSE({1,2,3,4},KHP!X279,KHP!AD279,KHP!AJ279,KHP!AP279)))</f>
        <v>0</v>
      </c>
      <c r="F279">
        <f>SUMPRODUCT((MONTH(CHOOSE({1,2,3,4},KHP!U279,KHP!AA279,KHP!AG279,KHP!AM279))=6)*(CHOOSE({1,2,3,4},KHP!X279,KHP!AD279,KHP!AJ279,KHP!AP279)))</f>
        <v>0</v>
      </c>
      <c r="G279">
        <f>SUMPRODUCT((MONTH(CHOOSE({1,2,3,4},KHP!U279,KHP!AA279,KHP!AG279,KHP!AM279))=7)*(CHOOSE({1,2,3,4},KHP!X279,KHP!AD279,KHP!AJ279,KHP!AP279)))</f>
        <v>0</v>
      </c>
      <c r="H279">
        <f>SUMPRODUCT((MONTH(CHOOSE({1,2,3,4},KHP!U279,KHP!AA279,KHP!AG279,KHP!AM279))=8)*(CHOOSE({1,2,3,4},KHP!X279,KHP!AD279,KHP!AJ279,KHP!AP279)))</f>
        <v>0</v>
      </c>
      <c r="I279">
        <f>SUMPRODUCT((MONTH(CHOOSE({1,2,3,4},KHP!U279,KHP!AA279,KHP!AG279,KHP!AM279))=9)*(CHOOSE({1,2,3,4},KHP!X279,KHP!AD279,KHP!AJ279,KHP!AP279)))</f>
        <v>0</v>
      </c>
      <c r="J279">
        <f>SUMPRODUCT((MONTH(CHOOSE({1,2,3,4},KHP!U279,KHP!AA279,KHP!AG279,KHP!AM279))=10)*(CHOOSE({1,2,3,4},KHP!X279,KHP!AD279,KHP!AJ279,KHP!AP279)))</f>
        <v>0</v>
      </c>
      <c r="K279">
        <f>SUMPRODUCT((MONTH(CHOOSE({1,2,3,4},KHP!U279,KHP!AA279,KHP!AG279,KHP!AM279))=11)*(CHOOSE({1,2,3,4},KHP!X279,KHP!AD279,KHP!AJ279,KHP!AP279)))</f>
        <v>0</v>
      </c>
      <c r="L279">
        <f>SUMPRODUCT((MONTH(CHOOSE({1,2,3,4},KHP!U279,KHP!AA279,KHP!AG279,KHP!AM279))=12)*(CHOOSE({1,2,3,4},KHP!X279,KHP!AD279,KHP!AJ279,KHP!AP279)))</f>
        <v>0</v>
      </c>
    </row>
    <row r="280" spans="1:12">
      <c r="A280">
        <f>SUMPRODUCT((MONTH(CHOOSE({1,2,3,4},KHP!U280,KHP!AA280,KHP!AG280,KHP!AM280))=1)*(CHOOSE({1,2,3,4},KHP!X280,KHP!AD280,KHP!AJ280,KHP!AP280)))</f>
        <v>0</v>
      </c>
      <c r="B280">
        <f>SUMPRODUCT((MONTH(CHOOSE({1,2,3,4},KHP!U280,KHP!AA280,KHP!AG280,KHP!AM280))=2)*(CHOOSE({1,2,3,4},KHP!X280,KHP!AD280,KHP!AJ280,KHP!AP280)))</f>
        <v>0</v>
      </c>
      <c r="C280">
        <f>SUMPRODUCT((MONTH(CHOOSE({1,2,3,4},KHP!U280,KHP!AA280,KHP!AG280,KHP!AM280))=3)*(CHOOSE({1,2,3,4},KHP!X280,KHP!AD280,KHP!AJ280,KHP!AP280)))</f>
        <v>0</v>
      </c>
      <c r="D280">
        <f>SUMPRODUCT((MONTH(CHOOSE({1,2,3,4},KHP!U280,KHP!AA280,KHP!AG280,KHP!AM280))=4)*(CHOOSE({1,2,3,4},KHP!X280,KHP!AD280,KHP!AJ280,KHP!AP280)))</f>
        <v>0</v>
      </c>
      <c r="E280">
        <f>SUMPRODUCT((MONTH(CHOOSE({1,2,3,4},KHP!U280,KHP!AA280,KHP!AG280,KHP!AM280))=5)*(CHOOSE({1,2,3,4},KHP!X280,KHP!AD280,KHP!AJ280,KHP!AP280)))</f>
        <v>0</v>
      </c>
      <c r="F280">
        <f>SUMPRODUCT((MONTH(CHOOSE({1,2,3,4},KHP!U280,KHP!AA280,KHP!AG280,KHP!AM280))=6)*(CHOOSE({1,2,3,4},KHP!X280,KHP!AD280,KHP!AJ280,KHP!AP280)))</f>
        <v>0</v>
      </c>
      <c r="G280">
        <f>SUMPRODUCT((MONTH(CHOOSE({1,2,3,4},KHP!U280,KHP!AA280,KHP!AG280,KHP!AM280))=7)*(CHOOSE({1,2,3,4},KHP!X280,KHP!AD280,KHP!AJ280,KHP!AP280)))</f>
        <v>0</v>
      </c>
      <c r="H280">
        <f>SUMPRODUCT((MONTH(CHOOSE({1,2,3,4},KHP!U280,KHP!AA280,KHP!AG280,KHP!AM280))=8)*(CHOOSE({1,2,3,4},KHP!X280,KHP!AD280,KHP!AJ280,KHP!AP280)))</f>
        <v>0</v>
      </c>
      <c r="I280">
        <f>SUMPRODUCT((MONTH(CHOOSE({1,2,3,4},KHP!U280,KHP!AA280,KHP!AG280,KHP!AM280))=9)*(CHOOSE({1,2,3,4},KHP!X280,KHP!AD280,KHP!AJ280,KHP!AP280)))</f>
        <v>0</v>
      </c>
      <c r="J280">
        <f>SUMPRODUCT((MONTH(CHOOSE({1,2,3,4},KHP!U280,KHP!AA280,KHP!AG280,KHP!AM280))=10)*(CHOOSE({1,2,3,4},KHP!X280,KHP!AD280,KHP!AJ280,KHP!AP280)))</f>
        <v>0</v>
      </c>
      <c r="K280">
        <f>SUMPRODUCT((MONTH(CHOOSE({1,2,3,4},KHP!U280,KHP!AA280,KHP!AG280,KHP!AM280))=11)*(CHOOSE({1,2,3,4},KHP!X280,KHP!AD280,KHP!AJ280,KHP!AP280)))</f>
        <v>0</v>
      </c>
      <c r="L280">
        <f>SUMPRODUCT((MONTH(CHOOSE({1,2,3,4},KHP!U280,KHP!AA280,KHP!AG280,KHP!AM280))=12)*(CHOOSE({1,2,3,4},KHP!X280,KHP!AD280,KHP!AJ280,KHP!AP280)))</f>
        <v>0</v>
      </c>
    </row>
    <row r="281" spans="1:12">
      <c r="A281">
        <f>SUMPRODUCT((MONTH(CHOOSE({1,2,3,4},KHP!U281,KHP!AA281,KHP!AG281,KHP!AM281))=1)*(CHOOSE({1,2,3,4},KHP!X281,KHP!AD281,KHP!AJ281,KHP!AP281)))</f>
        <v>0</v>
      </c>
      <c r="B281">
        <f>SUMPRODUCT((MONTH(CHOOSE({1,2,3,4},KHP!U281,KHP!AA281,KHP!AG281,KHP!AM281))=2)*(CHOOSE({1,2,3,4},KHP!X281,KHP!AD281,KHP!AJ281,KHP!AP281)))</f>
        <v>0</v>
      </c>
      <c r="C281">
        <f>SUMPRODUCT((MONTH(CHOOSE({1,2,3,4},KHP!U281,KHP!AA281,KHP!AG281,KHP!AM281))=3)*(CHOOSE({1,2,3,4},KHP!X281,KHP!AD281,KHP!AJ281,KHP!AP281)))</f>
        <v>0</v>
      </c>
      <c r="D281">
        <f>SUMPRODUCT((MONTH(CHOOSE({1,2,3,4},KHP!U281,KHP!AA281,KHP!AG281,KHP!AM281))=4)*(CHOOSE({1,2,3,4},KHP!X281,KHP!AD281,KHP!AJ281,KHP!AP281)))</f>
        <v>0</v>
      </c>
      <c r="E281">
        <f>SUMPRODUCT((MONTH(CHOOSE({1,2,3,4},KHP!U281,KHP!AA281,KHP!AG281,KHP!AM281))=5)*(CHOOSE({1,2,3,4},KHP!X281,KHP!AD281,KHP!AJ281,KHP!AP281)))</f>
        <v>0</v>
      </c>
      <c r="F281">
        <f>SUMPRODUCT((MONTH(CHOOSE({1,2,3,4},KHP!U281,KHP!AA281,KHP!AG281,KHP!AM281))=6)*(CHOOSE({1,2,3,4},KHP!X281,KHP!AD281,KHP!AJ281,KHP!AP281)))</f>
        <v>0</v>
      </c>
      <c r="G281">
        <f>SUMPRODUCT((MONTH(CHOOSE({1,2,3,4},KHP!U281,KHP!AA281,KHP!AG281,KHP!AM281))=7)*(CHOOSE({1,2,3,4},KHP!X281,KHP!AD281,KHP!AJ281,KHP!AP281)))</f>
        <v>0</v>
      </c>
      <c r="H281">
        <f>SUMPRODUCT((MONTH(CHOOSE({1,2,3,4},KHP!U281,KHP!AA281,KHP!AG281,KHP!AM281))=8)*(CHOOSE({1,2,3,4},KHP!X281,KHP!AD281,KHP!AJ281,KHP!AP281)))</f>
        <v>0</v>
      </c>
      <c r="I281">
        <f>SUMPRODUCT((MONTH(CHOOSE({1,2,3,4},KHP!U281,KHP!AA281,KHP!AG281,KHP!AM281))=9)*(CHOOSE({1,2,3,4},KHP!X281,KHP!AD281,KHP!AJ281,KHP!AP281)))</f>
        <v>0</v>
      </c>
      <c r="J281">
        <f>SUMPRODUCT((MONTH(CHOOSE({1,2,3,4},KHP!U281,KHP!AA281,KHP!AG281,KHP!AM281))=10)*(CHOOSE({1,2,3,4},KHP!X281,KHP!AD281,KHP!AJ281,KHP!AP281)))</f>
        <v>0</v>
      </c>
      <c r="K281">
        <f>SUMPRODUCT((MONTH(CHOOSE({1,2,3,4},KHP!U281,KHP!AA281,KHP!AG281,KHP!AM281))=11)*(CHOOSE({1,2,3,4},KHP!X281,KHP!AD281,KHP!AJ281,KHP!AP281)))</f>
        <v>0</v>
      </c>
      <c r="L281">
        <f>SUMPRODUCT((MONTH(CHOOSE({1,2,3,4},KHP!U281,KHP!AA281,KHP!AG281,KHP!AM281))=12)*(CHOOSE({1,2,3,4},KHP!X281,KHP!AD281,KHP!AJ281,KHP!AP281)))</f>
        <v>0</v>
      </c>
    </row>
    <row r="282" spans="1:12">
      <c r="A282">
        <f>SUMPRODUCT((MONTH(CHOOSE({1,2,3,4},KHP!U282,KHP!AA282,KHP!AG282,KHP!AM282))=1)*(CHOOSE({1,2,3,4},KHP!X282,KHP!AD282,KHP!AJ282,KHP!AP282)))</f>
        <v>0</v>
      </c>
      <c r="B282">
        <f>SUMPRODUCT((MONTH(CHOOSE({1,2,3,4},KHP!U282,KHP!AA282,KHP!AG282,KHP!AM282))=2)*(CHOOSE({1,2,3,4},KHP!X282,KHP!AD282,KHP!AJ282,KHP!AP282)))</f>
        <v>0</v>
      </c>
      <c r="C282">
        <f>SUMPRODUCT((MONTH(CHOOSE({1,2,3,4},KHP!U282,KHP!AA282,KHP!AG282,KHP!AM282))=3)*(CHOOSE({1,2,3,4},KHP!X282,KHP!AD282,KHP!AJ282,KHP!AP282)))</f>
        <v>0</v>
      </c>
      <c r="D282">
        <f>SUMPRODUCT((MONTH(CHOOSE({1,2,3,4},KHP!U282,KHP!AA282,KHP!AG282,KHP!AM282))=4)*(CHOOSE({1,2,3,4},KHP!X282,KHP!AD282,KHP!AJ282,KHP!AP282)))</f>
        <v>0</v>
      </c>
      <c r="E282">
        <f>SUMPRODUCT((MONTH(CHOOSE({1,2,3,4},KHP!U282,KHP!AA282,KHP!AG282,KHP!AM282))=5)*(CHOOSE({1,2,3,4},KHP!X282,KHP!AD282,KHP!AJ282,KHP!AP282)))</f>
        <v>0</v>
      </c>
      <c r="F282">
        <f>SUMPRODUCT((MONTH(CHOOSE({1,2,3,4},KHP!U282,KHP!AA282,KHP!AG282,KHP!AM282))=6)*(CHOOSE({1,2,3,4},KHP!X282,KHP!AD282,KHP!AJ282,KHP!AP282)))</f>
        <v>0</v>
      </c>
      <c r="G282">
        <f>SUMPRODUCT((MONTH(CHOOSE({1,2,3,4},KHP!U282,KHP!AA282,KHP!AG282,KHP!AM282))=7)*(CHOOSE({1,2,3,4},KHP!X282,KHP!AD282,KHP!AJ282,KHP!AP282)))</f>
        <v>0</v>
      </c>
      <c r="H282">
        <f>SUMPRODUCT((MONTH(CHOOSE({1,2,3,4},KHP!U282,KHP!AA282,KHP!AG282,KHP!AM282))=8)*(CHOOSE({1,2,3,4},KHP!X282,KHP!AD282,KHP!AJ282,KHP!AP282)))</f>
        <v>0</v>
      </c>
      <c r="I282">
        <f>SUMPRODUCT((MONTH(CHOOSE({1,2,3,4},KHP!U282,KHP!AA282,KHP!AG282,KHP!AM282))=9)*(CHOOSE({1,2,3,4},KHP!X282,KHP!AD282,KHP!AJ282,KHP!AP282)))</f>
        <v>0</v>
      </c>
      <c r="J282">
        <f>SUMPRODUCT((MONTH(CHOOSE({1,2,3,4},KHP!U282,KHP!AA282,KHP!AG282,KHP!AM282))=10)*(CHOOSE({1,2,3,4},KHP!X282,KHP!AD282,KHP!AJ282,KHP!AP282)))</f>
        <v>0</v>
      </c>
      <c r="K282">
        <f>SUMPRODUCT((MONTH(CHOOSE({1,2,3,4},KHP!U282,KHP!AA282,KHP!AG282,KHP!AM282))=11)*(CHOOSE({1,2,3,4},KHP!X282,KHP!AD282,KHP!AJ282,KHP!AP282)))</f>
        <v>0</v>
      </c>
      <c r="L282">
        <f>SUMPRODUCT((MONTH(CHOOSE({1,2,3,4},KHP!U282,KHP!AA282,KHP!AG282,KHP!AM282))=12)*(CHOOSE({1,2,3,4},KHP!X282,KHP!AD282,KHP!AJ282,KHP!AP282)))</f>
        <v>0</v>
      </c>
    </row>
    <row r="283" spans="1:12">
      <c r="A283">
        <f>SUMPRODUCT((MONTH(CHOOSE({1,2,3,4},KHP!U283,KHP!AA283,KHP!AG283,KHP!AM283))=1)*(CHOOSE({1,2,3,4},KHP!X283,KHP!AD283,KHP!AJ283,KHP!AP283)))</f>
        <v>0</v>
      </c>
      <c r="B283">
        <f>SUMPRODUCT((MONTH(CHOOSE({1,2,3,4},KHP!U283,KHP!AA283,KHP!AG283,KHP!AM283))=2)*(CHOOSE({1,2,3,4},KHP!X283,KHP!AD283,KHP!AJ283,KHP!AP283)))</f>
        <v>0</v>
      </c>
      <c r="C283">
        <f>SUMPRODUCT((MONTH(CHOOSE({1,2,3,4},KHP!U283,KHP!AA283,KHP!AG283,KHP!AM283))=3)*(CHOOSE({1,2,3,4},KHP!X283,KHP!AD283,KHP!AJ283,KHP!AP283)))</f>
        <v>0</v>
      </c>
      <c r="D283">
        <f>SUMPRODUCT((MONTH(CHOOSE({1,2,3,4},KHP!U283,KHP!AA283,KHP!AG283,KHP!AM283))=4)*(CHOOSE({1,2,3,4},KHP!X283,KHP!AD283,KHP!AJ283,KHP!AP283)))</f>
        <v>0</v>
      </c>
      <c r="E283">
        <f>SUMPRODUCT((MONTH(CHOOSE({1,2,3,4},KHP!U283,KHP!AA283,KHP!AG283,KHP!AM283))=5)*(CHOOSE({1,2,3,4},KHP!X283,KHP!AD283,KHP!AJ283,KHP!AP283)))</f>
        <v>0</v>
      </c>
      <c r="F283">
        <f>SUMPRODUCT((MONTH(CHOOSE({1,2,3,4},KHP!U283,KHP!AA283,KHP!AG283,KHP!AM283))=6)*(CHOOSE({1,2,3,4},KHP!X283,KHP!AD283,KHP!AJ283,KHP!AP283)))</f>
        <v>0</v>
      </c>
      <c r="G283">
        <f>SUMPRODUCT((MONTH(CHOOSE({1,2,3,4},KHP!U283,KHP!AA283,KHP!AG283,KHP!AM283))=7)*(CHOOSE({1,2,3,4},KHP!X283,KHP!AD283,KHP!AJ283,KHP!AP283)))</f>
        <v>0</v>
      </c>
      <c r="H283">
        <f>SUMPRODUCT((MONTH(CHOOSE({1,2,3,4},KHP!U283,KHP!AA283,KHP!AG283,KHP!AM283))=8)*(CHOOSE({1,2,3,4},KHP!X283,KHP!AD283,KHP!AJ283,KHP!AP283)))</f>
        <v>0</v>
      </c>
      <c r="I283">
        <f>SUMPRODUCT((MONTH(CHOOSE({1,2,3,4},KHP!U283,KHP!AA283,KHP!AG283,KHP!AM283))=9)*(CHOOSE({1,2,3,4},KHP!X283,KHP!AD283,KHP!AJ283,KHP!AP283)))</f>
        <v>0</v>
      </c>
      <c r="J283">
        <f>SUMPRODUCT((MONTH(CHOOSE({1,2,3,4},KHP!U283,KHP!AA283,KHP!AG283,KHP!AM283))=10)*(CHOOSE({1,2,3,4},KHP!X283,KHP!AD283,KHP!AJ283,KHP!AP283)))</f>
        <v>0</v>
      </c>
      <c r="K283">
        <f>SUMPRODUCT((MONTH(CHOOSE({1,2,3,4},KHP!U283,KHP!AA283,KHP!AG283,KHP!AM283))=11)*(CHOOSE({1,2,3,4},KHP!X283,KHP!AD283,KHP!AJ283,KHP!AP283)))</f>
        <v>0</v>
      </c>
      <c r="L283">
        <f>SUMPRODUCT((MONTH(CHOOSE({1,2,3,4},KHP!U283,KHP!AA283,KHP!AG283,KHP!AM283))=12)*(CHOOSE({1,2,3,4},KHP!X283,KHP!AD283,KHP!AJ283,KHP!AP283)))</f>
        <v>0</v>
      </c>
    </row>
    <row r="284" spans="1:12">
      <c r="A284">
        <f>SUMPRODUCT((MONTH(CHOOSE({1,2,3,4},KHP!U284,KHP!AA284,KHP!AG284,KHP!AM284))=1)*(CHOOSE({1,2,3,4},KHP!X284,KHP!AD284,KHP!AJ284,KHP!AP284)))</f>
        <v>0</v>
      </c>
      <c r="B284">
        <f>SUMPRODUCT((MONTH(CHOOSE({1,2,3,4},KHP!U284,KHP!AA284,KHP!AG284,KHP!AM284))=2)*(CHOOSE({1,2,3,4},KHP!X284,KHP!AD284,KHP!AJ284,KHP!AP284)))</f>
        <v>0</v>
      </c>
      <c r="C284">
        <f>SUMPRODUCT((MONTH(CHOOSE({1,2,3,4},KHP!U284,KHP!AA284,KHP!AG284,KHP!AM284))=3)*(CHOOSE({1,2,3,4},KHP!X284,KHP!AD284,KHP!AJ284,KHP!AP284)))</f>
        <v>0</v>
      </c>
      <c r="D284">
        <f>SUMPRODUCT((MONTH(CHOOSE({1,2,3,4},KHP!U284,KHP!AA284,KHP!AG284,KHP!AM284))=4)*(CHOOSE({1,2,3,4},KHP!X284,KHP!AD284,KHP!AJ284,KHP!AP284)))</f>
        <v>0</v>
      </c>
      <c r="E284">
        <f>SUMPRODUCT((MONTH(CHOOSE({1,2,3,4},KHP!U284,KHP!AA284,KHP!AG284,KHP!AM284))=5)*(CHOOSE({1,2,3,4},KHP!X284,KHP!AD284,KHP!AJ284,KHP!AP284)))</f>
        <v>0</v>
      </c>
      <c r="F284">
        <f>SUMPRODUCT((MONTH(CHOOSE({1,2,3,4},KHP!U284,KHP!AA284,KHP!AG284,KHP!AM284))=6)*(CHOOSE({1,2,3,4},KHP!X284,KHP!AD284,KHP!AJ284,KHP!AP284)))</f>
        <v>0</v>
      </c>
      <c r="G284">
        <f>SUMPRODUCT((MONTH(CHOOSE({1,2,3,4},KHP!U284,KHP!AA284,KHP!AG284,KHP!AM284))=7)*(CHOOSE({1,2,3,4},KHP!X284,KHP!AD284,KHP!AJ284,KHP!AP284)))</f>
        <v>0</v>
      </c>
      <c r="H284">
        <f>SUMPRODUCT((MONTH(CHOOSE({1,2,3,4},KHP!U284,KHP!AA284,KHP!AG284,KHP!AM284))=8)*(CHOOSE({1,2,3,4},KHP!X284,KHP!AD284,KHP!AJ284,KHP!AP284)))</f>
        <v>0</v>
      </c>
      <c r="I284">
        <f>SUMPRODUCT((MONTH(CHOOSE({1,2,3,4},KHP!U284,KHP!AA284,KHP!AG284,KHP!AM284))=9)*(CHOOSE({1,2,3,4},KHP!X284,KHP!AD284,KHP!AJ284,KHP!AP284)))</f>
        <v>0</v>
      </c>
      <c r="J284">
        <f>SUMPRODUCT((MONTH(CHOOSE({1,2,3,4},KHP!U284,KHP!AA284,KHP!AG284,KHP!AM284))=10)*(CHOOSE({1,2,3,4},KHP!X284,KHP!AD284,KHP!AJ284,KHP!AP284)))</f>
        <v>0</v>
      </c>
      <c r="K284">
        <f>SUMPRODUCT((MONTH(CHOOSE({1,2,3,4},KHP!U284,KHP!AA284,KHP!AG284,KHP!AM284))=11)*(CHOOSE({1,2,3,4},KHP!X284,KHP!AD284,KHP!AJ284,KHP!AP284)))</f>
        <v>0</v>
      </c>
      <c r="L284">
        <f>SUMPRODUCT((MONTH(CHOOSE({1,2,3,4},KHP!U284,KHP!AA284,KHP!AG284,KHP!AM284))=12)*(CHOOSE({1,2,3,4},KHP!X284,KHP!AD284,KHP!AJ284,KHP!AP284)))</f>
        <v>0</v>
      </c>
    </row>
    <row r="285" spans="1:12">
      <c r="A285">
        <f>SUMPRODUCT((MONTH(CHOOSE({1,2,3,4},KHP!U285,KHP!AA285,KHP!AG285,KHP!AM285))=1)*(CHOOSE({1,2,3,4},KHP!X285,KHP!AD285,KHP!AJ285,KHP!AP285)))</f>
        <v>0</v>
      </c>
      <c r="B285">
        <f>SUMPRODUCT((MONTH(CHOOSE({1,2,3,4},KHP!U285,KHP!AA285,KHP!AG285,KHP!AM285))=2)*(CHOOSE({1,2,3,4},KHP!X285,KHP!AD285,KHP!AJ285,KHP!AP285)))</f>
        <v>0</v>
      </c>
      <c r="C285">
        <f>SUMPRODUCT((MONTH(CHOOSE({1,2,3,4},KHP!U285,KHP!AA285,KHP!AG285,KHP!AM285))=3)*(CHOOSE({1,2,3,4},KHP!X285,KHP!AD285,KHP!AJ285,KHP!AP285)))</f>
        <v>0</v>
      </c>
      <c r="D285">
        <f>SUMPRODUCT((MONTH(CHOOSE({1,2,3,4},KHP!U285,KHP!AA285,KHP!AG285,KHP!AM285))=4)*(CHOOSE({1,2,3,4},KHP!X285,KHP!AD285,KHP!AJ285,KHP!AP285)))</f>
        <v>0</v>
      </c>
      <c r="E285">
        <f>SUMPRODUCT((MONTH(CHOOSE({1,2,3,4},KHP!U285,KHP!AA285,KHP!AG285,KHP!AM285))=5)*(CHOOSE({1,2,3,4},KHP!X285,KHP!AD285,KHP!AJ285,KHP!AP285)))</f>
        <v>0</v>
      </c>
      <c r="F285">
        <f>SUMPRODUCT((MONTH(CHOOSE({1,2,3,4},KHP!U285,KHP!AA285,KHP!AG285,KHP!AM285))=6)*(CHOOSE({1,2,3,4},KHP!X285,KHP!AD285,KHP!AJ285,KHP!AP285)))</f>
        <v>0</v>
      </c>
      <c r="G285">
        <f>SUMPRODUCT((MONTH(CHOOSE({1,2,3,4},KHP!U285,KHP!AA285,KHP!AG285,KHP!AM285))=7)*(CHOOSE({1,2,3,4},KHP!X285,KHP!AD285,KHP!AJ285,KHP!AP285)))</f>
        <v>0</v>
      </c>
      <c r="H285">
        <f>SUMPRODUCT((MONTH(CHOOSE({1,2,3,4},KHP!U285,KHP!AA285,KHP!AG285,KHP!AM285))=8)*(CHOOSE({1,2,3,4},KHP!X285,KHP!AD285,KHP!AJ285,KHP!AP285)))</f>
        <v>0</v>
      </c>
      <c r="I285">
        <f>SUMPRODUCT((MONTH(CHOOSE({1,2,3,4},KHP!U285,KHP!AA285,KHP!AG285,KHP!AM285))=9)*(CHOOSE({1,2,3,4},KHP!X285,KHP!AD285,KHP!AJ285,KHP!AP285)))</f>
        <v>0</v>
      </c>
      <c r="J285">
        <f>SUMPRODUCT((MONTH(CHOOSE({1,2,3,4},KHP!U285,KHP!AA285,KHP!AG285,KHP!AM285))=10)*(CHOOSE({1,2,3,4},KHP!X285,KHP!AD285,KHP!AJ285,KHP!AP285)))</f>
        <v>0</v>
      </c>
      <c r="K285">
        <f>SUMPRODUCT((MONTH(CHOOSE({1,2,3,4},KHP!U285,KHP!AA285,KHP!AG285,KHP!AM285))=11)*(CHOOSE({1,2,3,4},KHP!X285,KHP!AD285,KHP!AJ285,KHP!AP285)))</f>
        <v>0</v>
      </c>
      <c r="L285">
        <f>SUMPRODUCT((MONTH(CHOOSE({1,2,3,4},KHP!U285,KHP!AA285,KHP!AG285,KHP!AM285))=12)*(CHOOSE({1,2,3,4},KHP!X285,KHP!AD285,KHP!AJ285,KHP!AP285)))</f>
        <v>0</v>
      </c>
    </row>
    <row r="286" spans="1:12">
      <c r="A286">
        <f>SUMPRODUCT((MONTH(CHOOSE({1,2,3,4},KHP!U286,KHP!AA286,KHP!AG286,KHP!AM286))=1)*(CHOOSE({1,2,3,4},KHP!X286,KHP!AD286,KHP!AJ286,KHP!AP286)))</f>
        <v>0</v>
      </c>
      <c r="B286">
        <f>SUMPRODUCT((MONTH(CHOOSE({1,2,3,4},KHP!U286,KHP!AA286,KHP!AG286,KHP!AM286))=2)*(CHOOSE({1,2,3,4},KHP!X286,KHP!AD286,KHP!AJ286,KHP!AP286)))</f>
        <v>0</v>
      </c>
      <c r="C286">
        <f>SUMPRODUCT((MONTH(CHOOSE({1,2,3,4},KHP!U286,KHP!AA286,KHP!AG286,KHP!AM286))=3)*(CHOOSE({1,2,3,4},KHP!X286,KHP!AD286,KHP!AJ286,KHP!AP286)))</f>
        <v>0</v>
      </c>
      <c r="D286">
        <f>SUMPRODUCT((MONTH(CHOOSE({1,2,3,4},KHP!U286,KHP!AA286,KHP!AG286,KHP!AM286))=4)*(CHOOSE({1,2,3,4},KHP!X286,KHP!AD286,KHP!AJ286,KHP!AP286)))</f>
        <v>0</v>
      </c>
      <c r="E286">
        <f>SUMPRODUCT((MONTH(CHOOSE({1,2,3,4},KHP!U286,KHP!AA286,KHP!AG286,KHP!AM286))=5)*(CHOOSE({1,2,3,4},KHP!X286,KHP!AD286,KHP!AJ286,KHP!AP286)))</f>
        <v>0</v>
      </c>
      <c r="F286">
        <f>SUMPRODUCT((MONTH(CHOOSE({1,2,3,4},KHP!U286,KHP!AA286,KHP!AG286,KHP!AM286))=6)*(CHOOSE({1,2,3,4},KHP!X286,KHP!AD286,KHP!AJ286,KHP!AP286)))</f>
        <v>0</v>
      </c>
      <c r="G286">
        <f>SUMPRODUCT((MONTH(CHOOSE({1,2,3,4},KHP!U286,KHP!AA286,KHP!AG286,KHP!AM286))=7)*(CHOOSE({1,2,3,4},KHP!X286,KHP!AD286,KHP!AJ286,KHP!AP286)))</f>
        <v>0</v>
      </c>
      <c r="H286">
        <f>SUMPRODUCT((MONTH(CHOOSE({1,2,3,4},KHP!U286,KHP!AA286,KHP!AG286,KHP!AM286))=8)*(CHOOSE({1,2,3,4},KHP!X286,KHP!AD286,KHP!AJ286,KHP!AP286)))</f>
        <v>0</v>
      </c>
      <c r="I286">
        <f>SUMPRODUCT((MONTH(CHOOSE({1,2,3,4},KHP!U286,KHP!AA286,KHP!AG286,KHP!AM286))=9)*(CHOOSE({1,2,3,4},KHP!X286,KHP!AD286,KHP!AJ286,KHP!AP286)))</f>
        <v>0</v>
      </c>
      <c r="J286">
        <f>SUMPRODUCT((MONTH(CHOOSE({1,2,3,4},KHP!U286,KHP!AA286,KHP!AG286,KHP!AM286))=10)*(CHOOSE({1,2,3,4},KHP!X286,KHP!AD286,KHP!AJ286,KHP!AP286)))</f>
        <v>0</v>
      </c>
      <c r="K286">
        <f>SUMPRODUCT((MONTH(CHOOSE({1,2,3,4},KHP!U286,KHP!AA286,KHP!AG286,KHP!AM286))=11)*(CHOOSE({1,2,3,4},KHP!X286,KHP!AD286,KHP!AJ286,KHP!AP286)))</f>
        <v>0</v>
      </c>
      <c r="L286">
        <f>SUMPRODUCT((MONTH(CHOOSE({1,2,3,4},KHP!U286,KHP!AA286,KHP!AG286,KHP!AM286))=12)*(CHOOSE({1,2,3,4},KHP!X286,KHP!AD286,KHP!AJ286,KHP!AP286)))</f>
        <v>0</v>
      </c>
    </row>
    <row r="287" spans="1:12">
      <c r="A287">
        <f>SUMPRODUCT((MONTH(CHOOSE({1,2,3,4},KHP!U287,KHP!AA287,KHP!AG287,KHP!AM287))=1)*(CHOOSE({1,2,3,4},KHP!X287,KHP!AD287,KHP!AJ287,KHP!AP287)))</f>
        <v>0</v>
      </c>
      <c r="B287">
        <f>SUMPRODUCT((MONTH(CHOOSE({1,2,3,4},KHP!U287,KHP!AA287,KHP!AG287,KHP!AM287))=2)*(CHOOSE({1,2,3,4},KHP!X287,KHP!AD287,KHP!AJ287,KHP!AP287)))</f>
        <v>0</v>
      </c>
      <c r="C287">
        <f>SUMPRODUCT((MONTH(CHOOSE({1,2,3,4},KHP!U287,KHP!AA287,KHP!AG287,KHP!AM287))=3)*(CHOOSE({1,2,3,4},KHP!X287,KHP!AD287,KHP!AJ287,KHP!AP287)))</f>
        <v>0</v>
      </c>
      <c r="D287">
        <f>SUMPRODUCT((MONTH(CHOOSE({1,2,3,4},KHP!U287,KHP!AA287,KHP!AG287,KHP!AM287))=4)*(CHOOSE({1,2,3,4},KHP!X287,KHP!AD287,KHP!AJ287,KHP!AP287)))</f>
        <v>0</v>
      </c>
      <c r="E287">
        <f>SUMPRODUCT((MONTH(CHOOSE({1,2,3,4},KHP!U287,KHP!AA287,KHP!AG287,KHP!AM287))=5)*(CHOOSE({1,2,3,4},KHP!X287,KHP!AD287,KHP!AJ287,KHP!AP287)))</f>
        <v>0</v>
      </c>
      <c r="F287">
        <f>SUMPRODUCT((MONTH(CHOOSE({1,2,3,4},KHP!U287,KHP!AA287,KHP!AG287,KHP!AM287))=6)*(CHOOSE({1,2,3,4},KHP!X287,KHP!AD287,KHP!AJ287,KHP!AP287)))</f>
        <v>0</v>
      </c>
      <c r="G287">
        <f>SUMPRODUCT((MONTH(CHOOSE({1,2,3,4},KHP!U287,KHP!AA287,KHP!AG287,KHP!AM287))=7)*(CHOOSE({1,2,3,4},KHP!X287,KHP!AD287,KHP!AJ287,KHP!AP287)))</f>
        <v>0</v>
      </c>
      <c r="H287">
        <f>SUMPRODUCT((MONTH(CHOOSE({1,2,3,4},KHP!U287,KHP!AA287,KHP!AG287,KHP!AM287))=8)*(CHOOSE({1,2,3,4},KHP!X287,KHP!AD287,KHP!AJ287,KHP!AP287)))</f>
        <v>0</v>
      </c>
      <c r="I287">
        <f>SUMPRODUCT((MONTH(CHOOSE({1,2,3,4},KHP!U287,KHP!AA287,KHP!AG287,KHP!AM287))=9)*(CHOOSE({1,2,3,4},KHP!X287,KHP!AD287,KHP!AJ287,KHP!AP287)))</f>
        <v>0</v>
      </c>
      <c r="J287">
        <f>SUMPRODUCT((MONTH(CHOOSE({1,2,3,4},KHP!U287,KHP!AA287,KHP!AG287,KHP!AM287))=10)*(CHOOSE({1,2,3,4},KHP!X287,KHP!AD287,KHP!AJ287,KHP!AP287)))</f>
        <v>0</v>
      </c>
      <c r="K287">
        <f>SUMPRODUCT((MONTH(CHOOSE({1,2,3,4},KHP!U287,KHP!AA287,KHP!AG287,KHP!AM287))=11)*(CHOOSE({1,2,3,4},KHP!X287,KHP!AD287,KHP!AJ287,KHP!AP287)))</f>
        <v>0</v>
      </c>
      <c r="L287">
        <f>SUMPRODUCT((MONTH(CHOOSE({1,2,3,4},KHP!U287,KHP!AA287,KHP!AG287,KHP!AM287))=12)*(CHOOSE({1,2,3,4},KHP!X287,KHP!AD287,KHP!AJ287,KHP!AP287)))</f>
        <v>0</v>
      </c>
    </row>
    <row r="288" spans="1:12">
      <c r="A288">
        <f>SUMPRODUCT((MONTH(CHOOSE({1,2,3,4},KHP!U288,KHP!AA288,KHP!AG288,KHP!AM288))=1)*(CHOOSE({1,2,3,4},KHP!X288,KHP!AD288,KHP!AJ288,KHP!AP288)))</f>
        <v>0</v>
      </c>
      <c r="B288">
        <f>SUMPRODUCT((MONTH(CHOOSE({1,2,3,4},KHP!U288,KHP!AA288,KHP!AG288,KHP!AM288))=2)*(CHOOSE({1,2,3,4},KHP!X288,KHP!AD288,KHP!AJ288,KHP!AP288)))</f>
        <v>0</v>
      </c>
      <c r="C288">
        <f>SUMPRODUCT((MONTH(CHOOSE({1,2,3,4},KHP!U288,KHP!AA288,KHP!AG288,KHP!AM288))=3)*(CHOOSE({1,2,3,4},KHP!X288,KHP!AD288,KHP!AJ288,KHP!AP288)))</f>
        <v>0</v>
      </c>
      <c r="D288">
        <f>SUMPRODUCT((MONTH(CHOOSE({1,2,3,4},KHP!U288,KHP!AA288,KHP!AG288,KHP!AM288))=4)*(CHOOSE({1,2,3,4},KHP!X288,KHP!AD288,KHP!AJ288,KHP!AP288)))</f>
        <v>0</v>
      </c>
      <c r="E288">
        <f>SUMPRODUCT((MONTH(CHOOSE({1,2,3,4},KHP!U288,KHP!AA288,KHP!AG288,KHP!AM288))=5)*(CHOOSE({1,2,3,4},KHP!X288,KHP!AD288,KHP!AJ288,KHP!AP288)))</f>
        <v>0</v>
      </c>
      <c r="F288">
        <f>SUMPRODUCT((MONTH(CHOOSE({1,2,3,4},KHP!U288,KHP!AA288,KHP!AG288,KHP!AM288))=6)*(CHOOSE({1,2,3,4},KHP!X288,KHP!AD288,KHP!AJ288,KHP!AP288)))</f>
        <v>0</v>
      </c>
      <c r="G288">
        <f>SUMPRODUCT((MONTH(CHOOSE({1,2,3,4},KHP!U288,KHP!AA288,KHP!AG288,KHP!AM288))=7)*(CHOOSE({1,2,3,4},KHP!X288,KHP!AD288,KHP!AJ288,KHP!AP288)))</f>
        <v>0</v>
      </c>
      <c r="H288">
        <f>SUMPRODUCT((MONTH(CHOOSE({1,2,3,4},KHP!U288,KHP!AA288,KHP!AG288,KHP!AM288))=8)*(CHOOSE({1,2,3,4},KHP!X288,KHP!AD288,KHP!AJ288,KHP!AP288)))</f>
        <v>0</v>
      </c>
      <c r="I288">
        <f>SUMPRODUCT((MONTH(CHOOSE({1,2,3,4},KHP!U288,KHP!AA288,KHP!AG288,KHP!AM288))=9)*(CHOOSE({1,2,3,4},KHP!X288,KHP!AD288,KHP!AJ288,KHP!AP288)))</f>
        <v>0</v>
      </c>
      <c r="J288">
        <f>SUMPRODUCT((MONTH(CHOOSE({1,2,3,4},KHP!U288,KHP!AA288,KHP!AG288,KHP!AM288))=10)*(CHOOSE({1,2,3,4},KHP!X288,KHP!AD288,KHP!AJ288,KHP!AP288)))</f>
        <v>0</v>
      </c>
      <c r="K288">
        <f>SUMPRODUCT((MONTH(CHOOSE({1,2,3,4},KHP!U288,KHP!AA288,KHP!AG288,KHP!AM288))=11)*(CHOOSE({1,2,3,4},KHP!X288,KHP!AD288,KHP!AJ288,KHP!AP288)))</f>
        <v>0</v>
      </c>
      <c r="L288">
        <f>SUMPRODUCT((MONTH(CHOOSE({1,2,3,4},KHP!U288,KHP!AA288,KHP!AG288,KHP!AM288))=12)*(CHOOSE({1,2,3,4},KHP!X288,KHP!AD288,KHP!AJ288,KHP!AP288)))</f>
        <v>0</v>
      </c>
    </row>
    <row r="289" spans="1:12">
      <c r="A289">
        <f>SUMPRODUCT((MONTH(CHOOSE({1,2,3,4},KHP!U289,KHP!AA289,KHP!AG289,KHP!AM289))=1)*(CHOOSE({1,2,3,4},KHP!X289,KHP!AD289,KHP!AJ289,KHP!AP289)))</f>
        <v>0</v>
      </c>
      <c r="B289">
        <f>SUMPRODUCT((MONTH(CHOOSE({1,2,3,4},KHP!U289,KHP!AA289,KHP!AG289,KHP!AM289))=2)*(CHOOSE({1,2,3,4},KHP!X289,KHP!AD289,KHP!AJ289,KHP!AP289)))</f>
        <v>0</v>
      </c>
      <c r="C289">
        <f>SUMPRODUCT((MONTH(CHOOSE({1,2,3,4},KHP!U289,KHP!AA289,KHP!AG289,KHP!AM289))=3)*(CHOOSE({1,2,3,4},KHP!X289,KHP!AD289,KHP!AJ289,KHP!AP289)))</f>
        <v>0</v>
      </c>
      <c r="D289">
        <f>SUMPRODUCT((MONTH(CHOOSE({1,2,3,4},KHP!U289,KHP!AA289,KHP!AG289,KHP!AM289))=4)*(CHOOSE({1,2,3,4},KHP!X289,KHP!AD289,KHP!AJ289,KHP!AP289)))</f>
        <v>0</v>
      </c>
      <c r="E289">
        <f>SUMPRODUCT((MONTH(CHOOSE({1,2,3,4},KHP!U289,KHP!AA289,KHP!AG289,KHP!AM289))=5)*(CHOOSE({1,2,3,4},KHP!X289,KHP!AD289,KHP!AJ289,KHP!AP289)))</f>
        <v>0</v>
      </c>
      <c r="F289">
        <f>SUMPRODUCT((MONTH(CHOOSE({1,2,3,4},KHP!U289,KHP!AA289,KHP!AG289,KHP!AM289))=6)*(CHOOSE({1,2,3,4},KHP!X289,KHP!AD289,KHP!AJ289,KHP!AP289)))</f>
        <v>0</v>
      </c>
      <c r="G289">
        <f>SUMPRODUCT((MONTH(CHOOSE({1,2,3,4},KHP!U289,KHP!AA289,KHP!AG289,KHP!AM289))=7)*(CHOOSE({1,2,3,4},KHP!X289,KHP!AD289,KHP!AJ289,KHP!AP289)))</f>
        <v>0</v>
      </c>
      <c r="H289">
        <f>SUMPRODUCT((MONTH(CHOOSE({1,2,3,4},KHP!U289,KHP!AA289,KHP!AG289,KHP!AM289))=8)*(CHOOSE({1,2,3,4},KHP!X289,KHP!AD289,KHP!AJ289,KHP!AP289)))</f>
        <v>0</v>
      </c>
      <c r="I289">
        <f>SUMPRODUCT((MONTH(CHOOSE({1,2,3,4},KHP!U289,KHP!AA289,KHP!AG289,KHP!AM289))=9)*(CHOOSE({1,2,3,4},KHP!X289,KHP!AD289,KHP!AJ289,KHP!AP289)))</f>
        <v>0</v>
      </c>
      <c r="J289">
        <f>SUMPRODUCT((MONTH(CHOOSE({1,2,3,4},KHP!U289,KHP!AA289,KHP!AG289,KHP!AM289))=10)*(CHOOSE({1,2,3,4},KHP!X289,KHP!AD289,KHP!AJ289,KHP!AP289)))</f>
        <v>0</v>
      </c>
      <c r="K289">
        <f>SUMPRODUCT((MONTH(CHOOSE({1,2,3,4},KHP!U289,KHP!AA289,KHP!AG289,KHP!AM289))=11)*(CHOOSE({1,2,3,4},KHP!X289,KHP!AD289,KHP!AJ289,KHP!AP289)))</f>
        <v>0</v>
      </c>
      <c r="L289">
        <f>SUMPRODUCT((MONTH(CHOOSE({1,2,3,4},KHP!U289,KHP!AA289,KHP!AG289,KHP!AM289))=12)*(CHOOSE({1,2,3,4},KHP!X289,KHP!AD289,KHP!AJ289,KHP!AP289)))</f>
        <v>0</v>
      </c>
    </row>
    <row r="290" spans="1:12">
      <c r="A290">
        <f>SUMPRODUCT((MONTH(CHOOSE({1,2,3,4},KHP!U290,KHP!AA290,KHP!AG290,KHP!AM290))=1)*(CHOOSE({1,2,3,4},KHP!X290,KHP!AD290,KHP!AJ290,KHP!AP290)))</f>
        <v>0</v>
      </c>
      <c r="B290">
        <f>SUMPRODUCT((MONTH(CHOOSE({1,2,3,4},KHP!U290,KHP!AA290,KHP!AG290,KHP!AM290))=2)*(CHOOSE({1,2,3,4},KHP!X290,KHP!AD290,KHP!AJ290,KHP!AP290)))</f>
        <v>0</v>
      </c>
      <c r="C290">
        <f>SUMPRODUCT((MONTH(CHOOSE({1,2,3,4},KHP!U290,KHP!AA290,KHP!AG290,KHP!AM290))=3)*(CHOOSE({1,2,3,4},KHP!X290,KHP!AD290,KHP!AJ290,KHP!AP290)))</f>
        <v>0</v>
      </c>
      <c r="D290">
        <f>SUMPRODUCT((MONTH(CHOOSE({1,2,3,4},KHP!U290,KHP!AA290,KHP!AG290,KHP!AM290))=4)*(CHOOSE({1,2,3,4},KHP!X290,KHP!AD290,KHP!AJ290,KHP!AP290)))</f>
        <v>0</v>
      </c>
      <c r="E290">
        <f>SUMPRODUCT((MONTH(CHOOSE({1,2,3,4},KHP!U290,KHP!AA290,KHP!AG290,KHP!AM290))=5)*(CHOOSE({1,2,3,4},KHP!X290,KHP!AD290,KHP!AJ290,KHP!AP290)))</f>
        <v>0</v>
      </c>
      <c r="F290">
        <f>SUMPRODUCT((MONTH(CHOOSE({1,2,3,4},KHP!U290,KHP!AA290,KHP!AG290,KHP!AM290))=6)*(CHOOSE({1,2,3,4},KHP!X290,KHP!AD290,KHP!AJ290,KHP!AP290)))</f>
        <v>0</v>
      </c>
      <c r="G290">
        <f>SUMPRODUCT((MONTH(CHOOSE({1,2,3,4},KHP!U290,KHP!AA290,KHP!AG290,KHP!AM290))=7)*(CHOOSE({1,2,3,4},KHP!X290,KHP!AD290,KHP!AJ290,KHP!AP290)))</f>
        <v>0</v>
      </c>
      <c r="H290">
        <f>SUMPRODUCT((MONTH(CHOOSE({1,2,3,4},KHP!U290,KHP!AA290,KHP!AG290,KHP!AM290))=8)*(CHOOSE({1,2,3,4},KHP!X290,KHP!AD290,KHP!AJ290,KHP!AP290)))</f>
        <v>0</v>
      </c>
      <c r="I290">
        <f>SUMPRODUCT((MONTH(CHOOSE({1,2,3,4},KHP!U290,KHP!AA290,KHP!AG290,KHP!AM290))=9)*(CHOOSE({1,2,3,4},KHP!X290,KHP!AD290,KHP!AJ290,KHP!AP290)))</f>
        <v>0</v>
      </c>
      <c r="J290">
        <f>SUMPRODUCT((MONTH(CHOOSE({1,2,3,4},KHP!U290,KHP!AA290,KHP!AG290,KHP!AM290))=10)*(CHOOSE({1,2,3,4},KHP!X290,KHP!AD290,KHP!AJ290,KHP!AP290)))</f>
        <v>0</v>
      </c>
      <c r="K290">
        <f>SUMPRODUCT((MONTH(CHOOSE({1,2,3,4},KHP!U290,KHP!AA290,KHP!AG290,KHP!AM290))=11)*(CHOOSE({1,2,3,4},KHP!X290,KHP!AD290,KHP!AJ290,KHP!AP290)))</f>
        <v>0</v>
      </c>
      <c r="L290">
        <f>SUMPRODUCT((MONTH(CHOOSE({1,2,3,4},KHP!U290,KHP!AA290,KHP!AG290,KHP!AM290))=12)*(CHOOSE({1,2,3,4},KHP!X290,KHP!AD290,KHP!AJ290,KHP!AP290)))</f>
        <v>0</v>
      </c>
    </row>
    <row r="291" spans="1:12">
      <c r="A291">
        <f>SUMPRODUCT((MONTH(CHOOSE({1,2,3,4},KHP!U291,KHP!AA291,KHP!AG291,KHP!AM291))=1)*(CHOOSE({1,2,3,4},KHP!X291,KHP!AD291,KHP!AJ291,KHP!AP291)))</f>
        <v>0</v>
      </c>
      <c r="B291">
        <f>SUMPRODUCT((MONTH(CHOOSE({1,2,3,4},KHP!U291,KHP!AA291,KHP!AG291,KHP!AM291))=2)*(CHOOSE({1,2,3,4},KHP!X291,KHP!AD291,KHP!AJ291,KHP!AP291)))</f>
        <v>0</v>
      </c>
      <c r="C291">
        <f>SUMPRODUCT((MONTH(CHOOSE({1,2,3,4},KHP!U291,KHP!AA291,KHP!AG291,KHP!AM291))=3)*(CHOOSE({1,2,3,4},KHP!X291,KHP!AD291,KHP!AJ291,KHP!AP291)))</f>
        <v>0</v>
      </c>
      <c r="D291">
        <f>SUMPRODUCT((MONTH(CHOOSE({1,2,3,4},KHP!U291,KHP!AA291,KHP!AG291,KHP!AM291))=4)*(CHOOSE({1,2,3,4},KHP!X291,KHP!AD291,KHP!AJ291,KHP!AP291)))</f>
        <v>0</v>
      </c>
      <c r="E291">
        <f>SUMPRODUCT((MONTH(CHOOSE({1,2,3,4},KHP!U291,KHP!AA291,KHP!AG291,KHP!AM291))=5)*(CHOOSE({1,2,3,4},KHP!X291,KHP!AD291,KHP!AJ291,KHP!AP291)))</f>
        <v>0</v>
      </c>
      <c r="F291">
        <f>SUMPRODUCT((MONTH(CHOOSE({1,2,3,4},KHP!U291,KHP!AA291,KHP!AG291,KHP!AM291))=6)*(CHOOSE({1,2,3,4},KHP!X291,KHP!AD291,KHP!AJ291,KHP!AP291)))</f>
        <v>0</v>
      </c>
      <c r="G291">
        <f>SUMPRODUCT((MONTH(CHOOSE({1,2,3,4},KHP!U291,KHP!AA291,KHP!AG291,KHP!AM291))=7)*(CHOOSE({1,2,3,4},KHP!X291,KHP!AD291,KHP!AJ291,KHP!AP291)))</f>
        <v>0</v>
      </c>
      <c r="H291">
        <f>SUMPRODUCT((MONTH(CHOOSE({1,2,3,4},KHP!U291,KHP!AA291,KHP!AG291,KHP!AM291))=8)*(CHOOSE({1,2,3,4},KHP!X291,KHP!AD291,KHP!AJ291,KHP!AP291)))</f>
        <v>0</v>
      </c>
      <c r="I291">
        <f>SUMPRODUCT((MONTH(CHOOSE({1,2,3,4},KHP!U291,KHP!AA291,KHP!AG291,KHP!AM291))=9)*(CHOOSE({1,2,3,4},KHP!X291,KHP!AD291,KHP!AJ291,KHP!AP291)))</f>
        <v>0</v>
      </c>
      <c r="J291">
        <f>SUMPRODUCT((MONTH(CHOOSE({1,2,3,4},KHP!U291,KHP!AA291,KHP!AG291,KHP!AM291))=10)*(CHOOSE({1,2,3,4},KHP!X291,KHP!AD291,KHP!AJ291,KHP!AP291)))</f>
        <v>0</v>
      </c>
      <c r="K291">
        <f>SUMPRODUCT((MONTH(CHOOSE({1,2,3,4},KHP!U291,KHP!AA291,KHP!AG291,KHP!AM291))=11)*(CHOOSE({1,2,3,4},KHP!X291,KHP!AD291,KHP!AJ291,KHP!AP291)))</f>
        <v>0</v>
      </c>
      <c r="L291">
        <f>SUMPRODUCT((MONTH(CHOOSE({1,2,3,4},KHP!U291,KHP!AA291,KHP!AG291,KHP!AM291))=12)*(CHOOSE({1,2,3,4},KHP!X291,KHP!AD291,KHP!AJ291,KHP!AP291)))</f>
        <v>0</v>
      </c>
    </row>
    <row r="292" spans="1:12">
      <c r="A292">
        <f>SUMPRODUCT((MONTH(CHOOSE({1,2,3,4},KHP!U292,KHP!AA292,KHP!AG292,KHP!AM292))=1)*(CHOOSE({1,2,3,4},KHP!X292,KHP!AD292,KHP!AJ292,KHP!AP292)))</f>
        <v>0</v>
      </c>
      <c r="B292">
        <f>SUMPRODUCT((MONTH(CHOOSE({1,2,3,4},KHP!U292,KHP!AA292,KHP!AG292,KHP!AM292))=2)*(CHOOSE({1,2,3,4},KHP!X292,KHP!AD292,KHP!AJ292,KHP!AP292)))</f>
        <v>0</v>
      </c>
      <c r="C292">
        <f>SUMPRODUCT((MONTH(CHOOSE({1,2,3,4},KHP!U292,KHP!AA292,KHP!AG292,KHP!AM292))=3)*(CHOOSE({1,2,3,4},KHP!X292,KHP!AD292,KHP!AJ292,KHP!AP292)))</f>
        <v>0</v>
      </c>
      <c r="D292">
        <f>SUMPRODUCT((MONTH(CHOOSE({1,2,3,4},KHP!U292,KHP!AA292,KHP!AG292,KHP!AM292))=4)*(CHOOSE({1,2,3,4},KHP!X292,KHP!AD292,KHP!AJ292,KHP!AP292)))</f>
        <v>0</v>
      </c>
      <c r="E292">
        <f>SUMPRODUCT((MONTH(CHOOSE({1,2,3,4},KHP!U292,KHP!AA292,KHP!AG292,KHP!AM292))=5)*(CHOOSE({1,2,3,4},KHP!X292,KHP!AD292,KHP!AJ292,KHP!AP292)))</f>
        <v>0</v>
      </c>
      <c r="F292">
        <f>SUMPRODUCT((MONTH(CHOOSE({1,2,3,4},KHP!U292,KHP!AA292,KHP!AG292,KHP!AM292))=6)*(CHOOSE({1,2,3,4},KHP!X292,KHP!AD292,KHP!AJ292,KHP!AP292)))</f>
        <v>0</v>
      </c>
      <c r="G292">
        <f>SUMPRODUCT((MONTH(CHOOSE({1,2,3,4},KHP!U292,KHP!AA292,KHP!AG292,KHP!AM292))=7)*(CHOOSE({1,2,3,4},KHP!X292,KHP!AD292,KHP!AJ292,KHP!AP292)))</f>
        <v>0</v>
      </c>
      <c r="H292">
        <f>SUMPRODUCT((MONTH(CHOOSE({1,2,3,4},KHP!U292,KHP!AA292,KHP!AG292,KHP!AM292))=8)*(CHOOSE({1,2,3,4},KHP!X292,KHP!AD292,KHP!AJ292,KHP!AP292)))</f>
        <v>0</v>
      </c>
      <c r="I292">
        <f>SUMPRODUCT((MONTH(CHOOSE({1,2,3,4},KHP!U292,KHP!AA292,KHP!AG292,KHP!AM292))=9)*(CHOOSE({1,2,3,4},KHP!X292,KHP!AD292,KHP!AJ292,KHP!AP292)))</f>
        <v>0</v>
      </c>
      <c r="J292">
        <f>SUMPRODUCT((MONTH(CHOOSE({1,2,3,4},KHP!U292,KHP!AA292,KHP!AG292,KHP!AM292))=10)*(CHOOSE({1,2,3,4},KHP!X292,KHP!AD292,KHP!AJ292,KHP!AP292)))</f>
        <v>0</v>
      </c>
      <c r="K292">
        <f>SUMPRODUCT((MONTH(CHOOSE({1,2,3,4},KHP!U292,KHP!AA292,KHP!AG292,KHP!AM292))=11)*(CHOOSE({1,2,3,4},KHP!X292,KHP!AD292,KHP!AJ292,KHP!AP292)))</f>
        <v>0</v>
      </c>
      <c r="L292">
        <f>SUMPRODUCT((MONTH(CHOOSE({1,2,3,4},KHP!U292,KHP!AA292,KHP!AG292,KHP!AM292))=12)*(CHOOSE({1,2,3,4},KHP!X292,KHP!AD292,KHP!AJ292,KHP!AP292)))</f>
        <v>0</v>
      </c>
    </row>
    <row r="293" spans="1:12">
      <c r="A293">
        <f>SUMPRODUCT((MONTH(CHOOSE({1,2,3,4},KHP!U293,KHP!AA293,KHP!AG293,KHP!AM293))=1)*(CHOOSE({1,2,3,4},KHP!X293,KHP!AD293,KHP!AJ293,KHP!AP293)))</f>
        <v>0</v>
      </c>
      <c r="B293">
        <f>SUMPRODUCT((MONTH(CHOOSE({1,2,3,4},KHP!U293,KHP!AA293,KHP!AG293,KHP!AM293))=2)*(CHOOSE({1,2,3,4},KHP!X293,KHP!AD293,KHP!AJ293,KHP!AP293)))</f>
        <v>0</v>
      </c>
      <c r="C293">
        <f>SUMPRODUCT((MONTH(CHOOSE({1,2,3,4},KHP!U293,KHP!AA293,KHP!AG293,KHP!AM293))=3)*(CHOOSE({1,2,3,4},KHP!X293,KHP!AD293,KHP!AJ293,KHP!AP293)))</f>
        <v>0</v>
      </c>
      <c r="D293">
        <f>SUMPRODUCT((MONTH(CHOOSE({1,2,3,4},KHP!U293,KHP!AA293,KHP!AG293,KHP!AM293))=4)*(CHOOSE({1,2,3,4},KHP!X293,KHP!AD293,KHP!AJ293,KHP!AP293)))</f>
        <v>0</v>
      </c>
      <c r="E293">
        <f>SUMPRODUCT((MONTH(CHOOSE({1,2,3,4},KHP!U293,KHP!AA293,KHP!AG293,KHP!AM293))=5)*(CHOOSE({1,2,3,4},KHP!X293,KHP!AD293,KHP!AJ293,KHP!AP293)))</f>
        <v>0</v>
      </c>
      <c r="F293">
        <f>SUMPRODUCT((MONTH(CHOOSE({1,2,3,4},KHP!U293,KHP!AA293,KHP!AG293,KHP!AM293))=6)*(CHOOSE({1,2,3,4},KHP!X293,KHP!AD293,KHP!AJ293,KHP!AP293)))</f>
        <v>0</v>
      </c>
      <c r="G293">
        <f>SUMPRODUCT((MONTH(CHOOSE({1,2,3,4},KHP!U293,KHP!AA293,KHP!AG293,KHP!AM293))=7)*(CHOOSE({1,2,3,4},KHP!X293,KHP!AD293,KHP!AJ293,KHP!AP293)))</f>
        <v>0</v>
      </c>
      <c r="H293">
        <f>SUMPRODUCT((MONTH(CHOOSE({1,2,3,4},KHP!U293,KHP!AA293,KHP!AG293,KHP!AM293))=8)*(CHOOSE({1,2,3,4},KHP!X293,KHP!AD293,KHP!AJ293,KHP!AP293)))</f>
        <v>0</v>
      </c>
      <c r="I293">
        <f>SUMPRODUCT((MONTH(CHOOSE({1,2,3,4},KHP!U293,KHP!AA293,KHP!AG293,KHP!AM293))=9)*(CHOOSE({1,2,3,4},KHP!X293,KHP!AD293,KHP!AJ293,KHP!AP293)))</f>
        <v>0</v>
      </c>
      <c r="J293">
        <f>SUMPRODUCT((MONTH(CHOOSE({1,2,3,4},KHP!U293,KHP!AA293,KHP!AG293,KHP!AM293))=10)*(CHOOSE({1,2,3,4},KHP!X293,KHP!AD293,KHP!AJ293,KHP!AP293)))</f>
        <v>0</v>
      </c>
      <c r="K293">
        <f>SUMPRODUCT((MONTH(CHOOSE({1,2,3,4},KHP!U293,KHP!AA293,KHP!AG293,KHP!AM293))=11)*(CHOOSE({1,2,3,4},KHP!X293,KHP!AD293,KHP!AJ293,KHP!AP293)))</f>
        <v>0</v>
      </c>
      <c r="L293">
        <f>SUMPRODUCT((MONTH(CHOOSE({1,2,3,4},KHP!U293,KHP!AA293,KHP!AG293,KHP!AM293))=12)*(CHOOSE({1,2,3,4},KHP!X293,KHP!AD293,KHP!AJ293,KHP!AP293)))</f>
        <v>0</v>
      </c>
    </row>
    <row r="294" spans="1:12">
      <c r="A294">
        <f>SUMPRODUCT((MONTH(CHOOSE({1,2,3,4},KHP!U294,KHP!AA294,KHP!AG294,KHP!AM294))=1)*(CHOOSE({1,2,3,4},KHP!X294,KHP!AD294,KHP!AJ294,KHP!AP294)))</f>
        <v>0</v>
      </c>
      <c r="B294">
        <f>SUMPRODUCT((MONTH(CHOOSE({1,2,3,4},KHP!U294,KHP!AA294,KHP!AG294,KHP!AM294))=2)*(CHOOSE({1,2,3,4},KHP!X294,KHP!AD294,KHP!AJ294,KHP!AP294)))</f>
        <v>0</v>
      </c>
      <c r="C294">
        <f>SUMPRODUCT((MONTH(CHOOSE({1,2,3,4},KHP!U294,KHP!AA294,KHP!AG294,KHP!AM294))=3)*(CHOOSE({1,2,3,4},KHP!X294,KHP!AD294,KHP!AJ294,KHP!AP294)))</f>
        <v>0</v>
      </c>
      <c r="D294">
        <f>SUMPRODUCT((MONTH(CHOOSE({1,2,3,4},KHP!U294,KHP!AA294,KHP!AG294,KHP!AM294))=4)*(CHOOSE({1,2,3,4},KHP!X294,KHP!AD294,KHP!AJ294,KHP!AP294)))</f>
        <v>0</v>
      </c>
      <c r="E294">
        <f>SUMPRODUCT((MONTH(CHOOSE({1,2,3,4},KHP!U294,KHP!AA294,KHP!AG294,KHP!AM294))=5)*(CHOOSE({1,2,3,4},KHP!X294,KHP!AD294,KHP!AJ294,KHP!AP294)))</f>
        <v>0</v>
      </c>
      <c r="F294">
        <f>SUMPRODUCT((MONTH(CHOOSE({1,2,3,4},KHP!U294,KHP!AA294,KHP!AG294,KHP!AM294))=6)*(CHOOSE({1,2,3,4},KHP!X294,KHP!AD294,KHP!AJ294,KHP!AP294)))</f>
        <v>0</v>
      </c>
      <c r="G294">
        <f>SUMPRODUCT((MONTH(CHOOSE({1,2,3,4},KHP!U294,KHP!AA294,KHP!AG294,KHP!AM294))=7)*(CHOOSE({1,2,3,4},KHP!X294,KHP!AD294,KHP!AJ294,KHP!AP294)))</f>
        <v>0</v>
      </c>
      <c r="H294">
        <f>SUMPRODUCT((MONTH(CHOOSE({1,2,3,4},KHP!U294,KHP!AA294,KHP!AG294,KHP!AM294))=8)*(CHOOSE({1,2,3,4},KHP!X294,KHP!AD294,KHP!AJ294,KHP!AP294)))</f>
        <v>0</v>
      </c>
      <c r="I294">
        <f>SUMPRODUCT((MONTH(CHOOSE({1,2,3,4},KHP!U294,KHP!AA294,KHP!AG294,KHP!AM294))=9)*(CHOOSE({1,2,3,4},KHP!X294,KHP!AD294,KHP!AJ294,KHP!AP294)))</f>
        <v>0</v>
      </c>
      <c r="J294">
        <f>SUMPRODUCT((MONTH(CHOOSE({1,2,3,4},KHP!U294,KHP!AA294,KHP!AG294,KHP!AM294))=10)*(CHOOSE({1,2,3,4},KHP!X294,KHP!AD294,KHP!AJ294,KHP!AP294)))</f>
        <v>0</v>
      </c>
      <c r="K294">
        <f>SUMPRODUCT((MONTH(CHOOSE({1,2,3,4},KHP!U294,KHP!AA294,KHP!AG294,KHP!AM294))=11)*(CHOOSE({1,2,3,4},KHP!X294,KHP!AD294,KHP!AJ294,KHP!AP294)))</f>
        <v>0</v>
      </c>
      <c r="L294">
        <f>SUMPRODUCT((MONTH(CHOOSE({1,2,3,4},KHP!U294,KHP!AA294,KHP!AG294,KHP!AM294))=12)*(CHOOSE({1,2,3,4},KHP!X294,KHP!AD294,KHP!AJ294,KHP!AP294)))</f>
        <v>0</v>
      </c>
    </row>
    <row r="295" spans="1:12">
      <c r="A295">
        <f>SUMPRODUCT((MONTH(CHOOSE({1,2,3,4},KHP!U295,KHP!AA295,KHP!AG295,KHP!AM295))=1)*(CHOOSE({1,2,3,4},KHP!X295,KHP!AD295,KHP!AJ295,KHP!AP295)))</f>
        <v>0</v>
      </c>
      <c r="B295">
        <f>SUMPRODUCT((MONTH(CHOOSE({1,2,3,4},KHP!U295,KHP!AA295,KHP!AG295,KHP!AM295))=2)*(CHOOSE({1,2,3,4},KHP!X295,KHP!AD295,KHP!AJ295,KHP!AP295)))</f>
        <v>0</v>
      </c>
      <c r="C295">
        <f>SUMPRODUCT((MONTH(CHOOSE({1,2,3,4},KHP!U295,KHP!AA295,KHP!AG295,KHP!AM295))=3)*(CHOOSE({1,2,3,4},KHP!X295,KHP!AD295,KHP!AJ295,KHP!AP295)))</f>
        <v>0</v>
      </c>
      <c r="D295">
        <f>SUMPRODUCT((MONTH(CHOOSE({1,2,3,4},KHP!U295,KHP!AA295,KHP!AG295,KHP!AM295))=4)*(CHOOSE({1,2,3,4},KHP!X295,KHP!AD295,KHP!AJ295,KHP!AP295)))</f>
        <v>0</v>
      </c>
      <c r="E295">
        <f>SUMPRODUCT((MONTH(CHOOSE({1,2,3,4},KHP!U295,KHP!AA295,KHP!AG295,KHP!AM295))=5)*(CHOOSE({1,2,3,4},KHP!X295,KHP!AD295,KHP!AJ295,KHP!AP295)))</f>
        <v>0</v>
      </c>
      <c r="F295">
        <f>SUMPRODUCT((MONTH(CHOOSE({1,2,3,4},KHP!U295,KHP!AA295,KHP!AG295,KHP!AM295))=6)*(CHOOSE({1,2,3,4},KHP!X295,KHP!AD295,KHP!AJ295,KHP!AP295)))</f>
        <v>0</v>
      </c>
      <c r="G295">
        <f>SUMPRODUCT((MONTH(CHOOSE({1,2,3,4},KHP!U295,KHP!AA295,KHP!AG295,KHP!AM295))=7)*(CHOOSE({1,2,3,4},KHP!X295,KHP!AD295,KHP!AJ295,KHP!AP295)))</f>
        <v>0</v>
      </c>
      <c r="H295">
        <f>SUMPRODUCT((MONTH(CHOOSE({1,2,3,4},KHP!U295,KHP!AA295,KHP!AG295,KHP!AM295))=8)*(CHOOSE({1,2,3,4},KHP!X295,KHP!AD295,KHP!AJ295,KHP!AP295)))</f>
        <v>0</v>
      </c>
      <c r="I295">
        <f>SUMPRODUCT((MONTH(CHOOSE({1,2,3,4},KHP!U295,KHP!AA295,KHP!AG295,KHP!AM295))=9)*(CHOOSE({1,2,3,4},KHP!X295,KHP!AD295,KHP!AJ295,KHP!AP295)))</f>
        <v>0</v>
      </c>
      <c r="J295">
        <f>SUMPRODUCT((MONTH(CHOOSE({1,2,3,4},KHP!U295,KHP!AA295,KHP!AG295,KHP!AM295))=10)*(CHOOSE({1,2,3,4},KHP!X295,KHP!AD295,KHP!AJ295,KHP!AP295)))</f>
        <v>0</v>
      </c>
      <c r="K295">
        <f>SUMPRODUCT((MONTH(CHOOSE({1,2,3,4},KHP!U295,KHP!AA295,KHP!AG295,KHP!AM295))=11)*(CHOOSE({1,2,3,4},KHP!X295,KHP!AD295,KHP!AJ295,KHP!AP295)))</f>
        <v>0</v>
      </c>
      <c r="L295">
        <f>SUMPRODUCT((MONTH(CHOOSE({1,2,3,4},KHP!U295,KHP!AA295,KHP!AG295,KHP!AM295))=12)*(CHOOSE({1,2,3,4},KHP!X295,KHP!AD295,KHP!AJ295,KHP!AP295)))</f>
        <v>0</v>
      </c>
    </row>
    <row r="296" spans="1:12">
      <c r="A296">
        <f>SUMPRODUCT((MONTH(CHOOSE({1,2,3,4},KHP!U296,KHP!AA296,KHP!AG296,KHP!AM296))=1)*(CHOOSE({1,2,3,4},KHP!X296,KHP!AD296,KHP!AJ296,KHP!AP296)))</f>
        <v>0</v>
      </c>
      <c r="B296">
        <f>SUMPRODUCT((MONTH(CHOOSE({1,2,3,4},KHP!U296,KHP!AA296,KHP!AG296,KHP!AM296))=2)*(CHOOSE({1,2,3,4},KHP!X296,KHP!AD296,KHP!AJ296,KHP!AP296)))</f>
        <v>0</v>
      </c>
      <c r="C296">
        <f>SUMPRODUCT((MONTH(CHOOSE({1,2,3,4},KHP!U296,KHP!AA296,KHP!AG296,KHP!AM296))=3)*(CHOOSE({1,2,3,4},KHP!X296,KHP!AD296,KHP!AJ296,KHP!AP296)))</f>
        <v>0</v>
      </c>
      <c r="D296">
        <f>SUMPRODUCT((MONTH(CHOOSE({1,2,3,4},KHP!U296,KHP!AA296,KHP!AG296,KHP!AM296))=4)*(CHOOSE({1,2,3,4},KHP!X296,KHP!AD296,KHP!AJ296,KHP!AP296)))</f>
        <v>0</v>
      </c>
      <c r="E296">
        <f>SUMPRODUCT((MONTH(CHOOSE({1,2,3,4},KHP!U296,KHP!AA296,KHP!AG296,KHP!AM296))=5)*(CHOOSE({1,2,3,4},KHP!X296,KHP!AD296,KHP!AJ296,KHP!AP296)))</f>
        <v>0</v>
      </c>
      <c r="F296">
        <f>SUMPRODUCT((MONTH(CHOOSE({1,2,3,4},KHP!U296,KHP!AA296,KHP!AG296,KHP!AM296))=6)*(CHOOSE({1,2,3,4},KHP!X296,KHP!AD296,KHP!AJ296,KHP!AP296)))</f>
        <v>0</v>
      </c>
      <c r="G296">
        <f>SUMPRODUCT((MONTH(CHOOSE({1,2,3,4},KHP!U296,KHP!AA296,KHP!AG296,KHP!AM296))=7)*(CHOOSE({1,2,3,4},KHP!X296,KHP!AD296,KHP!AJ296,KHP!AP296)))</f>
        <v>0</v>
      </c>
      <c r="H296">
        <f>SUMPRODUCT((MONTH(CHOOSE({1,2,3,4},KHP!U296,KHP!AA296,KHP!AG296,KHP!AM296))=8)*(CHOOSE({1,2,3,4},KHP!X296,KHP!AD296,KHP!AJ296,KHP!AP296)))</f>
        <v>0</v>
      </c>
      <c r="I296">
        <f>SUMPRODUCT((MONTH(CHOOSE({1,2,3,4},KHP!U296,KHP!AA296,KHP!AG296,KHP!AM296))=9)*(CHOOSE({1,2,3,4},KHP!X296,KHP!AD296,KHP!AJ296,KHP!AP296)))</f>
        <v>0</v>
      </c>
      <c r="J296">
        <f>SUMPRODUCT((MONTH(CHOOSE({1,2,3,4},KHP!U296,KHP!AA296,KHP!AG296,KHP!AM296))=10)*(CHOOSE({1,2,3,4},KHP!X296,KHP!AD296,KHP!AJ296,KHP!AP296)))</f>
        <v>0</v>
      </c>
      <c r="K296">
        <f>SUMPRODUCT((MONTH(CHOOSE({1,2,3,4},KHP!U296,KHP!AA296,KHP!AG296,KHP!AM296))=11)*(CHOOSE({1,2,3,4},KHP!X296,KHP!AD296,KHP!AJ296,KHP!AP296)))</f>
        <v>0</v>
      </c>
      <c r="L296">
        <f>SUMPRODUCT((MONTH(CHOOSE({1,2,3,4},KHP!U296,KHP!AA296,KHP!AG296,KHP!AM296))=12)*(CHOOSE({1,2,3,4},KHP!X296,KHP!AD296,KHP!AJ296,KHP!AP296)))</f>
        <v>0</v>
      </c>
    </row>
    <row r="297" spans="1:12">
      <c r="A297">
        <f>SUMPRODUCT((MONTH(CHOOSE({1,2,3,4},KHP!U297,KHP!AA297,KHP!AG297,KHP!AM297))=1)*(CHOOSE({1,2,3,4},KHP!X297,KHP!AD297,KHP!AJ297,KHP!AP297)))</f>
        <v>0</v>
      </c>
      <c r="B297">
        <f>SUMPRODUCT((MONTH(CHOOSE({1,2,3,4},KHP!U297,KHP!AA297,KHP!AG297,KHP!AM297))=2)*(CHOOSE({1,2,3,4},KHP!X297,KHP!AD297,KHP!AJ297,KHP!AP297)))</f>
        <v>0</v>
      </c>
      <c r="C297">
        <f>SUMPRODUCT((MONTH(CHOOSE({1,2,3,4},KHP!U297,KHP!AA297,KHP!AG297,KHP!AM297))=3)*(CHOOSE({1,2,3,4},KHP!X297,KHP!AD297,KHP!AJ297,KHP!AP297)))</f>
        <v>0</v>
      </c>
      <c r="D297">
        <f>SUMPRODUCT((MONTH(CHOOSE({1,2,3,4},KHP!U297,KHP!AA297,KHP!AG297,KHP!AM297))=4)*(CHOOSE({1,2,3,4},KHP!X297,KHP!AD297,KHP!AJ297,KHP!AP297)))</f>
        <v>0</v>
      </c>
      <c r="E297">
        <f>SUMPRODUCT((MONTH(CHOOSE({1,2,3,4},KHP!U297,KHP!AA297,KHP!AG297,KHP!AM297))=5)*(CHOOSE({1,2,3,4},KHP!X297,KHP!AD297,KHP!AJ297,KHP!AP297)))</f>
        <v>0</v>
      </c>
      <c r="F297">
        <f>SUMPRODUCT((MONTH(CHOOSE({1,2,3,4},KHP!U297,KHP!AA297,KHP!AG297,KHP!AM297))=6)*(CHOOSE({1,2,3,4},KHP!X297,KHP!AD297,KHP!AJ297,KHP!AP297)))</f>
        <v>0</v>
      </c>
      <c r="G297">
        <f>SUMPRODUCT((MONTH(CHOOSE({1,2,3,4},KHP!U297,KHP!AA297,KHP!AG297,KHP!AM297))=7)*(CHOOSE({1,2,3,4},KHP!X297,KHP!AD297,KHP!AJ297,KHP!AP297)))</f>
        <v>0</v>
      </c>
      <c r="H297">
        <f>SUMPRODUCT((MONTH(CHOOSE({1,2,3,4},KHP!U297,KHP!AA297,KHP!AG297,KHP!AM297))=8)*(CHOOSE({1,2,3,4},KHP!X297,KHP!AD297,KHP!AJ297,KHP!AP297)))</f>
        <v>0</v>
      </c>
      <c r="I297">
        <f>SUMPRODUCT((MONTH(CHOOSE({1,2,3,4},KHP!U297,KHP!AA297,KHP!AG297,KHP!AM297))=9)*(CHOOSE({1,2,3,4},KHP!X297,KHP!AD297,KHP!AJ297,KHP!AP297)))</f>
        <v>0</v>
      </c>
      <c r="J297">
        <f>SUMPRODUCT((MONTH(CHOOSE({1,2,3,4},KHP!U297,KHP!AA297,KHP!AG297,KHP!AM297))=10)*(CHOOSE({1,2,3,4},KHP!X297,KHP!AD297,KHP!AJ297,KHP!AP297)))</f>
        <v>0</v>
      </c>
      <c r="K297">
        <f>SUMPRODUCT((MONTH(CHOOSE({1,2,3,4},KHP!U297,KHP!AA297,KHP!AG297,KHP!AM297))=11)*(CHOOSE({1,2,3,4},KHP!X297,KHP!AD297,KHP!AJ297,KHP!AP297)))</f>
        <v>0</v>
      </c>
      <c r="L297">
        <f>SUMPRODUCT((MONTH(CHOOSE({1,2,3,4},KHP!U297,KHP!AA297,KHP!AG297,KHP!AM297))=12)*(CHOOSE({1,2,3,4},KHP!X297,KHP!AD297,KHP!AJ297,KHP!AP297)))</f>
        <v>0</v>
      </c>
    </row>
    <row r="298" spans="1:12">
      <c r="A298">
        <f>SUMPRODUCT((MONTH(CHOOSE({1,2,3,4},KHP!U298,KHP!AA298,KHP!AG298,KHP!AM298))=1)*(CHOOSE({1,2,3,4},KHP!X298,KHP!AD298,KHP!AJ298,KHP!AP298)))</f>
        <v>0</v>
      </c>
      <c r="B298">
        <f>SUMPRODUCT((MONTH(CHOOSE({1,2,3,4},KHP!U298,KHP!AA298,KHP!AG298,KHP!AM298))=2)*(CHOOSE({1,2,3,4},KHP!X298,KHP!AD298,KHP!AJ298,KHP!AP298)))</f>
        <v>0</v>
      </c>
      <c r="C298">
        <f>SUMPRODUCT((MONTH(CHOOSE({1,2,3,4},KHP!U298,KHP!AA298,KHP!AG298,KHP!AM298))=3)*(CHOOSE({1,2,3,4},KHP!X298,KHP!AD298,KHP!AJ298,KHP!AP298)))</f>
        <v>0</v>
      </c>
      <c r="D298">
        <f>SUMPRODUCT((MONTH(CHOOSE({1,2,3,4},KHP!U298,KHP!AA298,KHP!AG298,KHP!AM298))=4)*(CHOOSE({1,2,3,4},KHP!X298,KHP!AD298,KHP!AJ298,KHP!AP298)))</f>
        <v>0</v>
      </c>
      <c r="E298">
        <f>SUMPRODUCT((MONTH(CHOOSE({1,2,3,4},KHP!U298,KHP!AA298,KHP!AG298,KHP!AM298))=5)*(CHOOSE({1,2,3,4},KHP!X298,KHP!AD298,KHP!AJ298,KHP!AP298)))</f>
        <v>0</v>
      </c>
      <c r="F298">
        <f>SUMPRODUCT((MONTH(CHOOSE({1,2,3,4},KHP!U298,KHP!AA298,KHP!AG298,KHP!AM298))=6)*(CHOOSE({1,2,3,4},KHP!X298,KHP!AD298,KHP!AJ298,KHP!AP298)))</f>
        <v>0</v>
      </c>
      <c r="G298">
        <f>SUMPRODUCT((MONTH(CHOOSE({1,2,3,4},KHP!U298,KHP!AA298,KHP!AG298,KHP!AM298))=7)*(CHOOSE({1,2,3,4},KHP!X298,KHP!AD298,KHP!AJ298,KHP!AP298)))</f>
        <v>0</v>
      </c>
      <c r="H298">
        <f>SUMPRODUCT((MONTH(CHOOSE({1,2,3,4},KHP!U298,KHP!AA298,KHP!AG298,KHP!AM298))=8)*(CHOOSE({1,2,3,4},KHP!X298,KHP!AD298,KHP!AJ298,KHP!AP298)))</f>
        <v>0</v>
      </c>
      <c r="I298">
        <f>SUMPRODUCT((MONTH(CHOOSE({1,2,3,4},KHP!U298,KHP!AA298,KHP!AG298,KHP!AM298))=9)*(CHOOSE({1,2,3,4},KHP!X298,KHP!AD298,KHP!AJ298,KHP!AP298)))</f>
        <v>0</v>
      </c>
      <c r="J298">
        <f>SUMPRODUCT((MONTH(CHOOSE({1,2,3,4},KHP!U298,KHP!AA298,KHP!AG298,KHP!AM298))=10)*(CHOOSE({1,2,3,4},KHP!X298,KHP!AD298,KHP!AJ298,KHP!AP298)))</f>
        <v>0</v>
      </c>
      <c r="K298">
        <f>SUMPRODUCT((MONTH(CHOOSE({1,2,3,4},KHP!U298,KHP!AA298,KHP!AG298,KHP!AM298))=11)*(CHOOSE({1,2,3,4},KHP!X298,KHP!AD298,KHP!AJ298,KHP!AP298)))</f>
        <v>0</v>
      </c>
      <c r="L298">
        <f>SUMPRODUCT((MONTH(CHOOSE({1,2,3,4},KHP!U298,KHP!AA298,KHP!AG298,KHP!AM298))=12)*(CHOOSE({1,2,3,4},KHP!X298,KHP!AD298,KHP!AJ298,KHP!AP298)))</f>
        <v>0</v>
      </c>
    </row>
    <row r="299" spans="1:12">
      <c r="A299">
        <f>SUMPRODUCT((MONTH(CHOOSE({1,2,3,4},KHP!U299,KHP!AA299,KHP!AG299,KHP!AM299))=1)*(CHOOSE({1,2,3,4},KHP!X299,KHP!AD299,KHP!AJ299,KHP!AP299)))</f>
        <v>0</v>
      </c>
      <c r="B299">
        <f>SUMPRODUCT((MONTH(CHOOSE({1,2,3,4},KHP!U299,KHP!AA299,KHP!AG299,KHP!AM299))=2)*(CHOOSE({1,2,3,4},KHP!X299,KHP!AD299,KHP!AJ299,KHP!AP299)))</f>
        <v>0</v>
      </c>
      <c r="C299">
        <f>SUMPRODUCT((MONTH(CHOOSE({1,2,3,4},KHP!U299,KHP!AA299,KHP!AG299,KHP!AM299))=3)*(CHOOSE({1,2,3,4},KHP!X299,KHP!AD299,KHP!AJ299,KHP!AP299)))</f>
        <v>0</v>
      </c>
      <c r="D299">
        <f>SUMPRODUCT((MONTH(CHOOSE({1,2,3,4},KHP!U299,KHP!AA299,KHP!AG299,KHP!AM299))=4)*(CHOOSE({1,2,3,4},KHP!X299,KHP!AD299,KHP!AJ299,KHP!AP299)))</f>
        <v>0</v>
      </c>
      <c r="E299">
        <f>SUMPRODUCT((MONTH(CHOOSE({1,2,3,4},KHP!U299,KHP!AA299,KHP!AG299,KHP!AM299))=5)*(CHOOSE({1,2,3,4},KHP!X299,KHP!AD299,KHP!AJ299,KHP!AP299)))</f>
        <v>0</v>
      </c>
      <c r="F299">
        <f>SUMPRODUCT((MONTH(CHOOSE({1,2,3,4},KHP!U299,KHP!AA299,KHP!AG299,KHP!AM299))=6)*(CHOOSE({1,2,3,4},KHP!X299,KHP!AD299,KHP!AJ299,KHP!AP299)))</f>
        <v>0</v>
      </c>
      <c r="G299">
        <f>SUMPRODUCT((MONTH(CHOOSE({1,2,3,4},KHP!U299,KHP!AA299,KHP!AG299,KHP!AM299))=7)*(CHOOSE({1,2,3,4},KHP!X299,KHP!AD299,KHP!AJ299,KHP!AP299)))</f>
        <v>0</v>
      </c>
      <c r="H299">
        <f>SUMPRODUCT((MONTH(CHOOSE({1,2,3,4},KHP!U299,KHP!AA299,KHP!AG299,KHP!AM299))=8)*(CHOOSE({1,2,3,4},KHP!X299,KHP!AD299,KHP!AJ299,KHP!AP299)))</f>
        <v>0</v>
      </c>
      <c r="I299">
        <f>SUMPRODUCT((MONTH(CHOOSE({1,2,3,4},KHP!U299,KHP!AA299,KHP!AG299,KHP!AM299))=9)*(CHOOSE({1,2,3,4},KHP!X299,KHP!AD299,KHP!AJ299,KHP!AP299)))</f>
        <v>0</v>
      </c>
      <c r="J299">
        <f>SUMPRODUCT((MONTH(CHOOSE({1,2,3,4},KHP!U299,KHP!AA299,KHP!AG299,KHP!AM299))=10)*(CHOOSE({1,2,3,4},KHP!X299,KHP!AD299,KHP!AJ299,KHP!AP299)))</f>
        <v>0</v>
      </c>
      <c r="K299">
        <f>SUMPRODUCT((MONTH(CHOOSE({1,2,3,4},KHP!U299,KHP!AA299,KHP!AG299,KHP!AM299))=11)*(CHOOSE({1,2,3,4},KHP!X299,KHP!AD299,KHP!AJ299,KHP!AP299)))</f>
        <v>0</v>
      </c>
      <c r="L299">
        <f>SUMPRODUCT((MONTH(CHOOSE({1,2,3,4},KHP!U299,KHP!AA299,KHP!AG299,KHP!AM299))=12)*(CHOOSE({1,2,3,4},KHP!X299,KHP!AD299,KHP!AJ299,KHP!AP299)))</f>
        <v>0</v>
      </c>
    </row>
    <row r="300" spans="1:12">
      <c r="A300">
        <f>SUMPRODUCT((MONTH(CHOOSE({1,2,3,4},KHP!U300,KHP!AA300,KHP!AG300,KHP!AM300))=1)*(CHOOSE({1,2,3,4},KHP!X300,KHP!AD300,KHP!AJ300,KHP!AP300)))</f>
        <v>0</v>
      </c>
      <c r="B300">
        <f>SUMPRODUCT((MONTH(CHOOSE({1,2,3,4},KHP!U300,KHP!AA300,KHP!AG300,KHP!AM300))=2)*(CHOOSE({1,2,3,4},KHP!X300,KHP!AD300,KHP!AJ300,KHP!AP300)))</f>
        <v>0</v>
      </c>
      <c r="C300">
        <f>SUMPRODUCT((MONTH(CHOOSE({1,2,3,4},KHP!U300,KHP!AA300,KHP!AG300,KHP!AM300))=3)*(CHOOSE({1,2,3,4},KHP!X300,KHP!AD300,KHP!AJ300,KHP!AP300)))</f>
        <v>0</v>
      </c>
      <c r="D300">
        <f>SUMPRODUCT((MONTH(CHOOSE({1,2,3,4},KHP!U300,KHP!AA300,KHP!AG300,KHP!AM300))=4)*(CHOOSE({1,2,3,4},KHP!X300,KHP!AD300,KHP!AJ300,KHP!AP300)))</f>
        <v>0</v>
      </c>
      <c r="E300">
        <f>SUMPRODUCT((MONTH(CHOOSE({1,2,3,4},KHP!U300,KHP!AA300,KHP!AG300,KHP!AM300))=5)*(CHOOSE({1,2,3,4},KHP!X300,KHP!AD300,KHP!AJ300,KHP!AP300)))</f>
        <v>0</v>
      </c>
      <c r="F300">
        <f>SUMPRODUCT((MONTH(CHOOSE({1,2,3,4},KHP!U300,KHP!AA300,KHP!AG300,KHP!AM300))=6)*(CHOOSE({1,2,3,4},KHP!X300,KHP!AD300,KHP!AJ300,KHP!AP300)))</f>
        <v>0</v>
      </c>
      <c r="G300">
        <f>SUMPRODUCT((MONTH(CHOOSE({1,2,3,4},KHP!U300,KHP!AA300,KHP!AG300,KHP!AM300))=7)*(CHOOSE({1,2,3,4},KHP!X300,KHP!AD300,KHP!AJ300,KHP!AP300)))</f>
        <v>0</v>
      </c>
      <c r="H300">
        <f>SUMPRODUCT((MONTH(CHOOSE({1,2,3,4},KHP!U300,KHP!AA300,KHP!AG300,KHP!AM300))=8)*(CHOOSE({1,2,3,4},KHP!X300,KHP!AD300,KHP!AJ300,KHP!AP300)))</f>
        <v>0</v>
      </c>
      <c r="I300">
        <f>SUMPRODUCT((MONTH(CHOOSE({1,2,3,4},KHP!U300,KHP!AA300,KHP!AG300,KHP!AM300))=9)*(CHOOSE({1,2,3,4},KHP!X300,KHP!AD300,KHP!AJ300,KHP!AP300)))</f>
        <v>0</v>
      </c>
      <c r="J300">
        <f>SUMPRODUCT((MONTH(CHOOSE({1,2,3,4},KHP!U300,KHP!AA300,KHP!AG300,KHP!AM300))=10)*(CHOOSE({1,2,3,4},KHP!X300,KHP!AD300,KHP!AJ300,KHP!AP300)))</f>
        <v>0</v>
      </c>
      <c r="K300">
        <f>SUMPRODUCT((MONTH(CHOOSE({1,2,3,4},KHP!U300,KHP!AA300,KHP!AG300,KHP!AM300))=11)*(CHOOSE({1,2,3,4},KHP!X300,KHP!AD300,KHP!AJ300,KHP!AP300)))</f>
        <v>0</v>
      </c>
      <c r="L300">
        <f>SUMPRODUCT((MONTH(CHOOSE({1,2,3,4},KHP!U300,KHP!AA300,KHP!AG300,KHP!AM300))=12)*(CHOOSE({1,2,3,4},KHP!X300,KHP!AD300,KHP!AJ300,KHP!AP300)))</f>
        <v>0</v>
      </c>
    </row>
    <row r="301" spans="1:12">
      <c r="A301">
        <f>SUMPRODUCT((MONTH(CHOOSE({1,2,3,4},KHP!U301,KHP!AA301,KHP!AG301,KHP!AM301))=1)*(CHOOSE({1,2,3,4},KHP!X301,KHP!AD301,KHP!AJ301,KHP!AP301)))</f>
        <v>0</v>
      </c>
      <c r="B301">
        <f>SUMPRODUCT((MONTH(CHOOSE({1,2,3,4},KHP!U301,KHP!AA301,KHP!AG301,KHP!AM301))=2)*(CHOOSE({1,2,3,4},KHP!X301,KHP!AD301,KHP!AJ301,KHP!AP301)))</f>
        <v>0</v>
      </c>
      <c r="C301">
        <f>SUMPRODUCT((MONTH(CHOOSE({1,2,3,4},KHP!U301,KHP!AA301,KHP!AG301,KHP!AM301))=3)*(CHOOSE({1,2,3,4},KHP!X301,KHP!AD301,KHP!AJ301,KHP!AP301)))</f>
        <v>0</v>
      </c>
      <c r="D301">
        <f>SUMPRODUCT((MONTH(CHOOSE({1,2,3,4},KHP!U301,KHP!AA301,KHP!AG301,KHP!AM301))=4)*(CHOOSE({1,2,3,4},KHP!X301,KHP!AD301,KHP!AJ301,KHP!AP301)))</f>
        <v>0</v>
      </c>
      <c r="E301">
        <f>SUMPRODUCT((MONTH(CHOOSE({1,2,3,4},KHP!U301,KHP!AA301,KHP!AG301,KHP!AM301))=5)*(CHOOSE({1,2,3,4},KHP!X301,KHP!AD301,KHP!AJ301,KHP!AP301)))</f>
        <v>0</v>
      </c>
      <c r="F301">
        <f>SUMPRODUCT((MONTH(CHOOSE({1,2,3,4},KHP!U301,KHP!AA301,KHP!AG301,KHP!AM301))=6)*(CHOOSE({1,2,3,4},KHP!X301,KHP!AD301,KHP!AJ301,KHP!AP301)))</f>
        <v>0</v>
      </c>
      <c r="G301">
        <f>SUMPRODUCT((MONTH(CHOOSE({1,2,3,4},KHP!U301,KHP!AA301,KHP!AG301,KHP!AM301))=7)*(CHOOSE({1,2,3,4},KHP!X301,KHP!AD301,KHP!AJ301,KHP!AP301)))</f>
        <v>0</v>
      </c>
      <c r="H301">
        <f>SUMPRODUCT((MONTH(CHOOSE({1,2,3,4},KHP!U301,KHP!AA301,KHP!AG301,KHP!AM301))=8)*(CHOOSE({1,2,3,4},KHP!X301,KHP!AD301,KHP!AJ301,KHP!AP301)))</f>
        <v>0</v>
      </c>
      <c r="I301">
        <f>SUMPRODUCT((MONTH(CHOOSE({1,2,3,4},KHP!U301,KHP!AA301,KHP!AG301,KHP!AM301))=9)*(CHOOSE({1,2,3,4},KHP!X301,KHP!AD301,KHP!AJ301,KHP!AP301)))</f>
        <v>0</v>
      </c>
      <c r="J301">
        <f>SUMPRODUCT((MONTH(CHOOSE({1,2,3,4},KHP!U301,KHP!AA301,KHP!AG301,KHP!AM301))=10)*(CHOOSE({1,2,3,4},KHP!X301,KHP!AD301,KHP!AJ301,KHP!AP301)))</f>
        <v>0</v>
      </c>
      <c r="K301">
        <f>SUMPRODUCT((MONTH(CHOOSE({1,2,3,4},KHP!U301,KHP!AA301,KHP!AG301,KHP!AM301))=11)*(CHOOSE({1,2,3,4},KHP!X301,KHP!AD301,KHP!AJ301,KHP!AP301)))</f>
        <v>0</v>
      </c>
      <c r="L301">
        <f>SUMPRODUCT((MONTH(CHOOSE({1,2,3,4},KHP!U301,KHP!AA301,KHP!AG301,KHP!AM301))=12)*(CHOOSE({1,2,3,4},KHP!X301,KHP!AD301,KHP!AJ301,KHP!AP301)))</f>
        <v>0</v>
      </c>
    </row>
    <row r="302" spans="1:12">
      <c r="A302">
        <f>SUMPRODUCT((MONTH(CHOOSE({1,2,3,4},KHP!U302,KHP!AA302,KHP!AG302,KHP!AM302))=1)*(CHOOSE({1,2,3,4},KHP!X302,KHP!AD302,KHP!AJ302,KHP!AP302)))</f>
        <v>0</v>
      </c>
      <c r="B302">
        <f>SUMPRODUCT((MONTH(CHOOSE({1,2,3,4},KHP!U302,KHP!AA302,KHP!AG302,KHP!AM302))=2)*(CHOOSE({1,2,3,4},KHP!X302,KHP!AD302,KHP!AJ302,KHP!AP302)))</f>
        <v>0</v>
      </c>
      <c r="C302">
        <f>SUMPRODUCT((MONTH(CHOOSE({1,2,3,4},KHP!U302,KHP!AA302,KHP!AG302,KHP!AM302))=3)*(CHOOSE({1,2,3,4},KHP!X302,KHP!AD302,KHP!AJ302,KHP!AP302)))</f>
        <v>0</v>
      </c>
      <c r="D302">
        <f>SUMPRODUCT((MONTH(CHOOSE({1,2,3,4},KHP!U302,KHP!AA302,KHP!AG302,KHP!AM302))=4)*(CHOOSE({1,2,3,4},KHP!X302,KHP!AD302,KHP!AJ302,KHP!AP302)))</f>
        <v>0</v>
      </c>
      <c r="E302">
        <f>SUMPRODUCT((MONTH(CHOOSE({1,2,3,4},KHP!U302,KHP!AA302,KHP!AG302,KHP!AM302))=5)*(CHOOSE({1,2,3,4},KHP!X302,KHP!AD302,KHP!AJ302,KHP!AP302)))</f>
        <v>0</v>
      </c>
      <c r="F302">
        <f>SUMPRODUCT((MONTH(CHOOSE({1,2,3,4},KHP!U302,KHP!AA302,KHP!AG302,KHP!AM302))=6)*(CHOOSE({1,2,3,4},KHP!X302,KHP!AD302,KHP!AJ302,KHP!AP302)))</f>
        <v>0</v>
      </c>
      <c r="G302">
        <f>SUMPRODUCT((MONTH(CHOOSE({1,2,3,4},KHP!U302,KHP!AA302,KHP!AG302,KHP!AM302))=7)*(CHOOSE({1,2,3,4},KHP!X302,KHP!AD302,KHP!AJ302,KHP!AP302)))</f>
        <v>0</v>
      </c>
      <c r="H302">
        <f>SUMPRODUCT((MONTH(CHOOSE({1,2,3,4},KHP!U302,KHP!AA302,KHP!AG302,KHP!AM302))=8)*(CHOOSE({1,2,3,4},KHP!X302,KHP!AD302,KHP!AJ302,KHP!AP302)))</f>
        <v>0</v>
      </c>
      <c r="I302">
        <f>SUMPRODUCT((MONTH(CHOOSE({1,2,3,4},KHP!U302,KHP!AA302,KHP!AG302,KHP!AM302))=9)*(CHOOSE({1,2,3,4},KHP!X302,KHP!AD302,KHP!AJ302,KHP!AP302)))</f>
        <v>0</v>
      </c>
      <c r="J302">
        <f>SUMPRODUCT((MONTH(CHOOSE({1,2,3,4},KHP!U302,KHP!AA302,KHP!AG302,KHP!AM302))=10)*(CHOOSE({1,2,3,4},KHP!X302,KHP!AD302,KHP!AJ302,KHP!AP302)))</f>
        <v>0</v>
      </c>
      <c r="K302">
        <f>SUMPRODUCT((MONTH(CHOOSE({1,2,3,4},KHP!U302,KHP!AA302,KHP!AG302,KHP!AM302))=11)*(CHOOSE({1,2,3,4},KHP!X302,KHP!AD302,KHP!AJ302,KHP!AP302)))</f>
        <v>0</v>
      </c>
      <c r="L302">
        <f>SUMPRODUCT((MONTH(CHOOSE({1,2,3,4},KHP!U302,KHP!AA302,KHP!AG302,KHP!AM302))=12)*(CHOOSE({1,2,3,4},KHP!X302,KHP!AD302,KHP!AJ302,KHP!AP302)))</f>
        <v>0</v>
      </c>
    </row>
    <row r="303" spans="1:12">
      <c r="A303">
        <f>SUMPRODUCT((MONTH(CHOOSE({1,2,3,4},KHP!U303,KHP!AA303,KHP!AG303,KHP!AM303))=1)*(CHOOSE({1,2,3,4},KHP!X303,KHP!AD303,KHP!AJ303,KHP!AP303)))</f>
        <v>0</v>
      </c>
      <c r="B303">
        <f>SUMPRODUCT((MONTH(CHOOSE({1,2,3,4},KHP!U303,KHP!AA303,KHP!AG303,KHP!AM303))=2)*(CHOOSE({1,2,3,4},KHP!X303,KHP!AD303,KHP!AJ303,KHP!AP303)))</f>
        <v>0</v>
      </c>
      <c r="C303">
        <f>SUMPRODUCT((MONTH(CHOOSE({1,2,3,4},KHP!U303,KHP!AA303,KHP!AG303,KHP!AM303))=3)*(CHOOSE({1,2,3,4},KHP!X303,KHP!AD303,KHP!AJ303,KHP!AP303)))</f>
        <v>0</v>
      </c>
      <c r="D303">
        <f>SUMPRODUCT((MONTH(CHOOSE({1,2,3,4},KHP!U303,KHP!AA303,KHP!AG303,KHP!AM303))=4)*(CHOOSE({1,2,3,4},KHP!X303,KHP!AD303,KHP!AJ303,KHP!AP303)))</f>
        <v>0</v>
      </c>
      <c r="E303">
        <f>SUMPRODUCT((MONTH(CHOOSE({1,2,3,4},KHP!U303,KHP!AA303,KHP!AG303,KHP!AM303))=5)*(CHOOSE({1,2,3,4},KHP!X303,KHP!AD303,KHP!AJ303,KHP!AP303)))</f>
        <v>0</v>
      </c>
      <c r="F303">
        <f>SUMPRODUCT((MONTH(CHOOSE({1,2,3,4},KHP!U303,KHP!AA303,KHP!AG303,KHP!AM303))=6)*(CHOOSE({1,2,3,4},KHP!X303,KHP!AD303,KHP!AJ303,KHP!AP303)))</f>
        <v>0</v>
      </c>
      <c r="G303">
        <f>SUMPRODUCT((MONTH(CHOOSE({1,2,3,4},KHP!U303,KHP!AA303,KHP!AG303,KHP!AM303))=7)*(CHOOSE({1,2,3,4},KHP!X303,KHP!AD303,KHP!AJ303,KHP!AP303)))</f>
        <v>0</v>
      </c>
      <c r="H303">
        <f>SUMPRODUCT((MONTH(CHOOSE({1,2,3,4},KHP!U303,KHP!AA303,KHP!AG303,KHP!AM303))=8)*(CHOOSE({1,2,3,4},KHP!X303,KHP!AD303,KHP!AJ303,KHP!AP303)))</f>
        <v>0</v>
      </c>
      <c r="I303">
        <f>SUMPRODUCT((MONTH(CHOOSE({1,2,3,4},KHP!U303,KHP!AA303,KHP!AG303,KHP!AM303))=9)*(CHOOSE({1,2,3,4},KHP!X303,KHP!AD303,KHP!AJ303,KHP!AP303)))</f>
        <v>0</v>
      </c>
      <c r="J303">
        <f>SUMPRODUCT((MONTH(CHOOSE({1,2,3,4},KHP!U303,KHP!AA303,KHP!AG303,KHP!AM303))=10)*(CHOOSE({1,2,3,4},KHP!X303,KHP!AD303,KHP!AJ303,KHP!AP303)))</f>
        <v>0</v>
      </c>
      <c r="K303">
        <f>SUMPRODUCT((MONTH(CHOOSE({1,2,3,4},KHP!U303,KHP!AA303,KHP!AG303,KHP!AM303))=11)*(CHOOSE({1,2,3,4},KHP!X303,KHP!AD303,KHP!AJ303,KHP!AP303)))</f>
        <v>0</v>
      </c>
      <c r="L303">
        <f>SUMPRODUCT((MONTH(CHOOSE({1,2,3,4},KHP!U303,KHP!AA303,KHP!AG303,KHP!AM303))=12)*(CHOOSE({1,2,3,4},KHP!X303,KHP!AD303,KHP!AJ303,KHP!AP303)))</f>
        <v>0</v>
      </c>
    </row>
    <row r="304" spans="1:12">
      <c r="A304">
        <f>SUMPRODUCT((MONTH(CHOOSE({1,2,3,4},KHP!U304,KHP!AA304,KHP!AG304,KHP!AM304))=1)*(CHOOSE({1,2,3,4},KHP!X304,KHP!AD304,KHP!AJ304,KHP!AP304)))</f>
        <v>0</v>
      </c>
      <c r="B304">
        <f>SUMPRODUCT((MONTH(CHOOSE({1,2,3,4},KHP!U304,KHP!AA304,KHP!AG304,KHP!AM304))=2)*(CHOOSE({1,2,3,4},KHP!X304,KHP!AD304,KHP!AJ304,KHP!AP304)))</f>
        <v>0</v>
      </c>
      <c r="C304">
        <f>SUMPRODUCT((MONTH(CHOOSE({1,2,3,4},KHP!U304,KHP!AA304,KHP!AG304,KHP!AM304))=3)*(CHOOSE({1,2,3,4},KHP!X304,KHP!AD304,KHP!AJ304,KHP!AP304)))</f>
        <v>0</v>
      </c>
      <c r="D304">
        <f>SUMPRODUCT((MONTH(CHOOSE({1,2,3,4},KHP!U304,KHP!AA304,KHP!AG304,KHP!AM304))=4)*(CHOOSE({1,2,3,4},KHP!X304,KHP!AD304,KHP!AJ304,KHP!AP304)))</f>
        <v>0</v>
      </c>
      <c r="E304">
        <f>SUMPRODUCT((MONTH(CHOOSE({1,2,3,4},KHP!U304,KHP!AA304,KHP!AG304,KHP!AM304))=5)*(CHOOSE({1,2,3,4},KHP!X304,KHP!AD304,KHP!AJ304,KHP!AP304)))</f>
        <v>0</v>
      </c>
      <c r="F304">
        <f>SUMPRODUCT((MONTH(CHOOSE({1,2,3,4},KHP!U304,KHP!AA304,KHP!AG304,KHP!AM304))=6)*(CHOOSE({1,2,3,4},KHP!X304,KHP!AD304,KHP!AJ304,KHP!AP304)))</f>
        <v>0</v>
      </c>
      <c r="G304">
        <f>SUMPRODUCT((MONTH(CHOOSE({1,2,3,4},KHP!U304,KHP!AA304,KHP!AG304,KHP!AM304))=7)*(CHOOSE({1,2,3,4},KHP!X304,KHP!AD304,KHP!AJ304,KHP!AP304)))</f>
        <v>0</v>
      </c>
      <c r="H304">
        <f>SUMPRODUCT((MONTH(CHOOSE({1,2,3,4},KHP!U304,KHP!AA304,KHP!AG304,KHP!AM304))=8)*(CHOOSE({1,2,3,4},KHP!X304,KHP!AD304,KHP!AJ304,KHP!AP304)))</f>
        <v>0</v>
      </c>
      <c r="I304">
        <f>SUMPRODUCT((MONTH(CHOOSE({1,2,3,4},KHP!U304,KHP!AA304,KHP!AG304,KHP!AM304))=9)*(CHOOSE({1,2,3,4},KHP!X304,KHP!AD304,KHP!AJ304,KHP!AP304)))</f>
        <v>0</v>
      </c>
      <c r="J304">
        <f>SUMPRODUCT((MONTH(CHOOSE({1,2,3,4},KHP!U304,KHP!AA304,KHP!AG304,KHP!AM304))=10)*(CHOOSE({1,2,3,4},KHP!X304,KHP!AD304,KHP!AJ304,KHP!AP304)))</f>
        <v>0</v>
      </c>
      <c r="K304">
        <f>SUMPRODUCT((MONTH(CHOOSE({1,2,3,4},KHP!U304,KHP!AA304,KHP!AG304,KHP!AM304))=11)*(CHOOSE({1,2,3,4},KHP!X304,KHP!AD304,KHP!AJ304,KHP!AP304)))</f>
        <v>0</v>
      </c>
      <c r="L304">
        <f>SUMPRODUCT((MONTH(CHOOSE({1,2,3,4},KHP!U304,KHP!AA304,KHP!AG304,KHP!AM304))=12)*(CHOOSE({1,2,3,4},KHP!X304,KHP!AD304,KHP!AJ304,KHP!AP304)))</f>
        <v>0</v>
      </c>
    </row>
    <row r="305" spans="1:12">
      <c r="A305">
        <f>SUMPRODUCT((MONTH(CHOOSE({1,2,3,4},KHP!U305,KHP!AA305,KHP!AG305,KHP!AM305))=1)*(CHOOSE({1,2,3,4},KHP!X305,KHP!AD305,KHP!AJ305,KHP!AP305)))</f>
        <v>0</v>
      </c>
      <c r="B305">
        <f>SUMPRODUCT((MONTH(CHOOSE({1,2,3,4},KHP!U305,KHP!AA305,KHP!AG305,KHP!AM305))=2)*(CHOOSE({1,2,3,4},KHP!X305,KHP!AD305,KHP!AJ305,KHP!AP305)))</f>
        <v>0</v>
      </c>
      <c r="C305">
        <f>SUMPRODUCT((MONTH(CHOOSE({1,2,3,4},KHP!U305,KHP!AA305,KHP!AG305,KHP!AM305))=3)*(CHOOSE({1,2,3,4},KHP!X305,KHP!AD305,KHP!AJ305,KHP!AP305)))</f>
        <v>0</v>
      </c>
      <c r="D305">
        <f>SUMPRODUCT((MONTH(CHOOSE({1,2,3,4},KHP!U305,KHP!AA305,KHP!AG305,KHP!AM305))=4)*(CHOOSE({1,2,3,4},KHP!X305,KHP!AD305,KHP!AJ305,KHP!AP305)))</f>
        <v>0</v>
      </c>
      <c r="E305">
        <f>SUMPRODUCT((MONTH(CHOOSE({1,2,3,4},KHP!U305,KHP!AA305,KHP!AG305,KHP!AM305))=5)*(CHOOSE({1,2,3,4},KHP!X305,KHP!AD305,KHP!AJ305,KHP!AP305)))</f>
        <v>0</v>
      </c>
      <c r="F305">
        <f>SUMPRODUCT((MONTH(CHOOSE({1,2,3,4},KHP!U305,KHP!AA305,KHP!AG305,KHP!AM305))=6)*(CHOOSE({1,2,3,4},KHP!X305,KHP!AD305,KHP!AJ305,KHP!AP305)))</f>
        <v>0</v>
      </c>
      <c r="G305">
        <f>SUMPRODUCT((MONTH(CHOOSE({1,2,3,4},KHP!U305,KHP!AA305,KHP!AG305,KHP!AM305))=7)*(CHOOSE({1,2,3,4},KHP!X305,KHP!AD305,KHP!AJ305,KHP!AP305)))</f>
        <v>0</v>
      </c>
      <c r="H305">
        <f>SUMPRODUCT((MONTH(CHOOSE({1,2,3,4},KHP!U305,KHP!AA305,KHP!AG305,KHP!AM305))=8)*(CHOOSE({1,2,3,4},KHP!X305,KHP!AD305,KHP!AJ305,KHP!AP305)))</f>
        <v>0</v>
      </c>
      <c r="I305">
        <f>SUMPRODUCT((MONTH(CHOOSE({1,2,3,4},KHP!U305,KHP!AA305,KHP!AG305,KHP!AM305))=9)*(CHOOSE({1,2,3,4},KHP!X305,KHP!AD305,KHP!AJ305,KHP!AP305)))</f>
        <v>0</v>
      </c>
      <c r="J305">
        <f>SUMPRODUCT((MONTH(CHOOSE({1,2,3,4},KHP!U305,KHP!AA305,KHP!AG305,KHP!AM305))=10)*(CHOOSE({1,2,3,4},KHP!X305,KHP!AD305,KHP!AJ305,KHP!AP305)))</f>
        <v>0</v>
      </c>
      <c r="K305">
        <f>SUMPRODUCT((MONTH(CHOOSE({1,2,3,4},KHP!U305,KHP!AA305,KHP!AG305,KHP!AM305))=11)*(CHOOSE({1,2,3,4},KHP!X305,KHP!AD305,KHP!AJ305,KHP!AP305)))</f>
        <v>0</v>
      </c>
      <c r="L305">
        <f>SUMPRODUCT((MONTH(CHOOSE({1,2,3,4},KHP!U305,KHP!AA305,KHP!AG305,KHP!AM305))=12)*(CHOOSE({1,2,3,4},KHP!X305,KHP!AD305,KHP!AJ305,KHP!AP305)))</f>
        <v>0</v>
      </c>
    </row>
    <row r="306" spans="1:12">
      <c r="A306">
        <f>SUMPRODUCT((MONTH(CHOOSE({1,2,3,4},KHP!U306,KHP!AA306,KHP!AG306,KHP!AM306))=1)*(CHOOSE({1,2,3,4},KHP!X306,KHP!AD306,KHP!AJ306,KHP!AP306)))</f>
        <v>0</v>
      </c>
      <c r="B306">
        <f>SUMPRODUCT((MONTH(CHOOSE({1,2,3,4},KHP!U306,KHP!AA306,KHP!AG306,KHP!AM306))=2)*(CHOOSE({1,2,3,4},KHP!X306,KHP!AD306,KHP!AJ306,KHP!AP306)))</f>
        <v>0</v>
      </c>
      <c r="C306">
        <f>SUMPRODUCT((MONTH(CHOOSE({1,2,3,4},KHP!U306,KHP!AA306,KHP!AG306,KHP!AM306))=3)*(CHOOSE({1,2,3,4},KHP!X306,KHP!AD306,KHP!AJ306,KHP!AP306)))</f>
        <v>0</v>
      </c>
      <c r="D306">
        <f>SUMPRODUCT((MONTH(CHOOSE({1,2,3,4},KHP!U306,KHP!AA306,KHP!AG306,KHP!AM306))=4)*(CHOOSE({1,2,3,4},KHP!X306,KHP!AD306,KHP!AJ306,KHP!AP306)))</f>
        <v>0</v>
      </c>
      <c r="E306">
        <f>SUMPRODUCT((MONTH(CHOOSE({1,2,3,4},KHP!U306,KHP!AA306,KHP!AG306,KHP!AM306))=5)*(CHOOSE({1,2,3,4},KHP!X306,KHP!AD306,KHP!AJ306,KHP!AP306)))</f>
        <v>0</v>
      </c>
      <c r="F306">
        <f>SUMPRODUCT((MONTH(CHOOSE({1,2,3,4},KHP!U306,KHP!AA306,KHP!AG306,KHP!AM306))=6)*(CHOOSE({1,2,3,4},KHP!X306,KHP!AD306,KHP!AJ306,KHP!AP306)))</f>
        <v>0</v>
      </c>
      <c r="G306">
        <f>SUMPRODUCT((MONTH(CHOOSE({1,2,3,4},KHP!U306,KHP!AA306,KHP!AG306,KHP!AM306))=7)*(CHOOSE({1,2,3,4},KHP!X306,KHP!AD306,KHP!AJ306,KHP!AP306)))</f>
        <v>0</v>
      </c>
      <c r="H306">
        <f>SUMPRODUCT((MONTH(CHOOSE({1,2,3,4},KHP!U306,KHP!AA306,KHP!AG306,KHP!AM306))=8)*(CHOOSE({1,2,3,4},KHP!X306,KHP!AD306,KHP!AJ306,KHP!AP306)))</f>
        <v>0</v>
      </c>
      <c r="I306">
        <f>SUMPRODUCT((MONTH(CHOOSE({1,2,3,4},KHP!U306,KHP!AA306,KHP!AG306,KHP!AM306))=9)*(CHOOSE({1,2,3,4},KHP!X306,KHP!AD306,KHP!AJ306,KHP!AP306)))</f>
        <v>0</v>
      </c>
      <c r="J306">
        <f>SUMPRODUCT((MONTH(CHOOSE({1,2,3,4},KHP!U306,KHP!AA306,KHP!AG306,KHP!AM306))=10)*(CHOOSE({1,2,3,4},KHP!X306,KHP!AD306,KHP!AJ306,KHP!AP306)))</f>
        <v>0</v>
      </c>
      <c r="K306">
        <f>SUMPRODUCT((MONTH(CHOOSE({1,2,3,4},KHP!U306,KHP!AA306,KHP!AG306,KHP!AM306))=11)*(CHOOSE({1,2,3,4},KHP!X306,KHP!AD306,KHP!AJ306,KHP!AP306)))</f>
        <v>0</v>
      </c>
      <c r="L306">
        <f>SUMPRODUCT((MONTH(CHOOSE({1,2,3,4},KHP!U306,KHP!AA306,KHP!AG306,KHP!AM306))=12)*(CHOOSE({1,2,3,4},KHP!X306,KHP!AD306,KHP!AJ306,KHP!AP306)))</f>
        <v>0</v>
      </c>
    </row>
    <row r="307" spans="1:12">
      <c r="A307">
        <f>SUMPRODUCT((MONTH(CHOOSE({1,2,3,4},KHP!U307,KHP!AA307,KHP!AG307,KHP!AM307))=1)*(CHOOSE({1,2,3,4},KHP!X307,KHP!AD307,KHP!AJ307,KHP!AP307)))</f>
        <v>0</v>
      </c>
      <c r="B307">
        <f>SUMPRODUCT((MONTH(CHOOSE({1,2,3,4},KHP!U307,KHP!AA307,KHP!AG307,KHP!AM307))=2)*(CHOOSE({1,2,3,4},KHP!X307,KHP!AD307,KHP!AJ307,KHP!AP307)))</f>
        <v>0</v>
      </c>
      <c r="C307">
        <f>SUMPRODUCT((MONTH(CHOOSE({1,2,3,4},KHP!U307,KHP!AA307,KHP!AG307,KHP!AM307))=3)*(CHOOSE({1,2,3,4},KHP!X307,KHP!AD307,KHP!AJ307,KHP!AP307)))</f>
        <v>0</v>
      </c>
      <c r="D307">
        <f>SUMPRODUCT((MONTH(CHOOSE({1,2,3,4},KHP!U307,KHP!AA307,KHP!AG307,KHP!AM307))=4)*(CHOOSE({1,2,3,4},KHP!X307,KHP!AD307,KHP!AJ307,KHP!AP307)))</f>
        <v>0</v>
      </c>
      <c r="E307">
        <f>SUMPRODUCT((MONTH(CHOOSE({1,2,3,4},KHP!U307,KHP!AA307,KHP!AG307,KHP!AM307))=5)*(CHOOSE({1,2,3,4},KHP!X307,KHP!AD307,KHP!AJ307,KHP!AP307)))</f>
        <v>0</v>
      </c>
      <c r="F307">
        <f>SUMPRODUCT((MONTH(CHOOSE({1,2,3,4},KHP!U307,KHP!AA307,KHP!AG307,KHP!AM307))=6)*(CHOOSE({1,2,3,4},KHP!X307,KHP!AD307,KHP!AJ307,KHP!AP307)))</f>
        <v>0</v>
      </c>
      <c r="G307">
        <f>SUMPRODUCT((MONTH(CHOOSE({1,2,3,4},KHP!U307,KHP!AA307,KHP!AG307,KHP!AM307))=7)*(CHOOSE({1,2,3,4},KHP!X307,KHP!AD307,KHP!AJ307,KHP!AP307)))</f>
        <v>0</v>
      </c>
      <c r="H307">
        <f>SUMPRODUCT((MONTH(CHOOSE({1,2,3,4},KHP!U307,KHP!AA307,KHP!AG307,KHP!AM307))=8)*(CHOOSE({1,2,3,4},KHP!X307,KHP!AD307,KHP!AJ307,KHP!AP307)))</f>
        <v>0</v>
      </c>
      <c r="I307">
        <f>SUMPRODUCT((MONTH(CHOOSE({1,2,3,4},KHP!U307,KHP!AA307,KHP!AG307,KHP!AM307))=9)*(CHOOSE({1,2,3,4},KHP!X307,KHP!AD307,KHP!AJ307,KHP!AP307)))</f>
        <v>0</v>
      </c>
      <c r="J307">
        <f>SUMPRODUCT((MONTH(CHOOSE({1,2,3,4},KHP!U307,KHP!AA307,KHP!AG307,KHP!AM307))=10)*(CHOOSE({1,2,3,4},KHP!X307,KHP!AD307,KHP!AJ307,KHP!AP307)))</f>
        <v>0</v>
      </c>
      <c r="K307">
        <f>SUMPRODUCT((MONTH(CHOOSE({1,2,3,4},KHP!U307,KHP!AA307,KHP!AG307,KHP!AM307))=11)*(CHOOSE({1,2,3,4},KHP!X307,KHP!AD307,KHP!AJ307,KHP!AP307)))</f>
        <v>0</v>
      </c>
      <c r="L307">
        <f>SUMPRODUCT((MONTH(CHOOSE({1,2,3,4},KHP!U307,KHP!AA307,KHP!AG307,KHP!AM307))=12)*(CHOOSE({1,2,3,4},KHP!X307,KHP!AD307,KHP!AJ307,KHP!AP307)))</f>
        <v>0</v>
      </c>
    </row>
    <row r="308" spans="1:12">
      <c r="A308">
        <f>SUMPRODUCT((MONTH(CHOOSE({1,2,3,4},KHP!U308,KHP!AA308,KHP!AG308,KHP!AM308))=1)*(CHOOSE({1,2,3,4},KHP!X308,KHP!AD308,KHP!AJ308,KHP!AP308)))</f>
        <v>0</v>
      </c>
      <c r="B308">
        <f>SUMPRODUCT((MONTH(CHOOSE({1,2,3,4},KHP!U308,KHP!AA308,KHP!AG308,KHP!AM308))=2)*(CHOOSE({1,2,3,4},KHP!X308,KHP!AD308,KHP!AJ308,KHP!AP308)))</f>
        <v>0</v>
      </c>
      <c r="C308">
        <f>SUMPRODUCT((MONTH(CHOOSE({1,2,3,4},KHP!U308,KHP!AA308,KHP!AG308,KHP!AM308))=3)*(CHOOSE({1,2,3,4},KHP!X308,KHP!AD308,KHP!AJ308,KHP!AP308)))</f>
        <v>0</v>
      </c>
      <c r="D308">
        <f>SUMPRODUCT((MONTH(CHOOSE({1,2,3,4},KHP!U308,KHP!AA308,KHP!AG308,KHP!AM308))=4)*(CHOOSE({1,2,3,4},KHP!X308,KHP!AD308,KHP!AJ308,KHP!AP308)))</f>
        <v>0</v>
      </c>
      <c r="E308">
        <f>SUMPRODUCT((MONTH(CHOOSE({1,2,3,4},KHP!U308,KHP!AA308,KHP!AG308,KHP!AM308))=5)*(CHOOSE({1,2,3,4},KHP!X308,KHP!AD308,KHP!AJ308,KHP!AP308)))</f>
        <v>0</v>
      </c>
      <c r="F308">
        <f>SUMPRODUCT((MONTH(CHOOSE({1,2,3,4},KHP!U308,KHP!AA308,KHP!AG308,KHP!AM308))=6)*(CHOOSE({1,2,3,4},KHP!X308,KHP!AD308,KHP!AJ308,KHP!AP308)))</f>
        <v>0</v>
      </c>
      <c r="G308">
        <f>SUMPRODUCT((MONTH(CHOOSE({1,2,3,4},KHP!U308,KHP!AA308,KHP!AG308,KHP!AM308))=7)*(CHOOSE({1,2,3,4},KHP!X308,KHP!AD308,KHP!AJ308,KHP!AP308)))</f>
        <v>0</v>
      </c>
      <c r="H308">
        <f>SUMPRODUCT((MONTH(CHOOSE({1,2,3,4},KHP!U308,KHP!AA308,KHP!AG308,KHP!AM308))=8)*(CHOOSE({1,2,3,4},KHP!X308,KHP!AD308,KHP!AJ308,KHP!AP308)))</f>
        <v>0</v>
      </c>
      <c r="I308">
        <f>SUMPRODUCT((MONTH(CHOOSE({1,2,3,4},KHP!U308,KHP!AA308,KHP!AG308,KHP!AM308))=9)*(CHOOSE({1,2,3,4},KHP!X308,KHP!AD308,KHP!AJ308,KHP!AP308)))</f>
        <v>0</v>
      </c>
      <c r="J308">
        <f>SUMPRODUCT((MONTH(CHOOSE({1,2,3,4},KHP!U308,KHP!AA308,KHP!AG308,KHP!AM308))=10)*(CHOOSE({1,2,3,4},KHP!X308,KHP!AD308,KHP!AJ308,KHP!AP308)))</f>
        <v>0</v>
      </c>
      <c r="K308">
        <f>SUMPRODUCT((MONTH(CHOOSE({1,2,3,4},KHP!U308,KHP!AA308,KHP!AG308,KHP!AM308))=11)*(CHOOSE({1,2,3,4},KHP!X308,KHP!AD308,KHP!AJ308,KHP!AP308)))</f>
        <v>0</v>
      </c>
      <c r="L308">
        <f>SUMPRODUCT((MONTH(CHOOSE({1,2,3,4},KHP!U308,KHP!AA308,KHP!AG308,KHP!AM308))=12)*(CHOOSE({1,2,3,4},KHP!X308,KHP!AD308,KHP!AJ308,KHP!AP308)))</f>
        <v>0</v>
      </c>
    </row>
    <row r="309" spans="1:12">
      <c r="A309">
        <f>SUMPRODUCT((MONTH(CHOOSE({1,2,3,4},KHP!U309,KHP!AA309,KHP!AG309,KHP!AM309))=1)*(CHOOSE({1,2,3,4},KHP!X309,KHP!AD309,KHP!AJ309,KHP!AP309)))</f>
        <v>0</v>
      </c>
      <c r="B309">
        <f>SUMPRODUCT((MONTH(CHOOSE({1,2,3,4},KHP!U309,KHP!AA309,KHP!AG309,KHP!AM309))=2)*(CHOOSE({1,2,3,4},KHP!X309,KHP!AD309,KHP!AJ309,KHP!AP309)))</f>
        <v>0</v>
      </c>
      <c r="C309">
        <f>SUMPRODUCT((MONTH(CHOOSE({1,2,3,4},KHP!U309,KHP!AA309,KHP!AG309,KHP!AM309))=3)*(CHOOSE({1,2,3,4},KHP!X309,KHP!AD309,KHP!AJ309,KHP!AP309)))</f>
        <v>0</v>
      </c>
      <c r="D309">
        <f>SUMPRODUCT((MONTH(CHOOSE({1,2,3,4},KHP!U309,KHP!AA309,KHP!AG309,KHP!AM309))=4)*(CHOOSE({1,2,3,4},KHP!X309,KHP!AD309,KHP!AJ309,KHP!AP309)))</f>
        <v>0</v>
      </c>
      <c r="E309">
        <f>SUMPRODUCT((MONTH(CHOOSE({1,2,3,4},KHP!U309,KHP!AA309,KHP!AG309,KHP!AM309))=5)*(CHOOSE({1,2,3,4},KHP!X309,KHP!AD309,KHP!AJ309,KHP!AP309)))</f>
        <v>0</v>
      </c>
      <c r="F309">
        <f>SUMPRODUCT((MONTH(CHOOSE({1,2,3,4},KHP!U309,KHP!AA309,KHP!AG309,KHP!AM309))=6)*(CHOOSE({1,2,3,4},KHP!X309,KHP!AD309,KHP!AJ309,KHP!AP309)))</f>
        <v>0</v>
      </c>
      <c r="G309">
        <f>SUMPRODUCT((MONTH(CHOOSE({1,2,3,4},KHP!U309,KHP!AA309,KHP!AG309,KHP!AM309))=7)*(CHOOSE({1,2,3,4},KHP!X309,KHP!AD309,KHP!AJ309,KHP!AP309)))</f>
        <v>0</v>
      </c>
      <c r="H309">
        <f>SUMPRODUCT((MONTH(CHOOSE({1,2,3,4},KHP!U309,KHP!AA309,KHP!AG309,KHP!AM309))=8)*(CHOOSE({1,2,3,4},KHP!X309,KHP!AD309,KHP!AJ309,KHP!AP309)))</f>
        <v>0</v>
      </c>
      <c r="I309">
        <f>SUMPRODUCT((MONTH(CHOOSE({1,2,3,4},KHP!U309,KHP!AA309,KHP!AG309,KHP!AM309))=9)*(CHOOSE({1,2,3,4},KHP!X309,KHP!AD309,KHP!AJ309,KHP!AP309)))</f>
        <v>0</v>
      </c>
      <c r="J309">
        <f>SUMPRODUCT((MONTH(CHOOSE({1,2,3,4},KHP!U309,KHP!AA309,KHP!AG309,KHP!AM309))=10)*(CHOOSE({1,2,3,4},KHP!X309,KHP!AD309,KHP!AJ309,KHP!AP309)))</f>
        <v>0</v>
      </c>
      <c r="K309">
        <f>SUMPRODUCT((MONTH(CHOOSE({1,2,3,4},KHP!U309,KHP!AA309,KHP!AG309,KHP!AM309))=11)*(CHOOSE({1,2,3,4},KHP!X309,KHP!AD309,KHP!AJ309,KHP!AP309)))</f>
        <v>0</v>
      </c>
      <c r="L309">
        <f>SUMPRODUCT((MONTH(CHOOSE({1,2,3,4},KHP!U309,KHP!AA309,KHP!AG309,KHP!AM309))=12)*(CHOOSE({1,2,3,4},KHP!X309,KHP!AD309,KHP!AJ309,KHP!AP309)))</f>
        <v>0</v>
      </c>
    </row>
    <row r="310" spans="1:12">
      <c r="A310">
        <f>SUMPRODUCT((MONTH(CHOOSE({1,2,3,4},KHP!U310,KHP!AA310,KHP!AG310,KHP!AM310))=1)*(CHOOSE({1,2,3,4},KHP!X310,KHP!AD310,KHP!AJ310,KHP!AP310)))</f>
        <v>0</v>
      </c>
      <c r="B310">
        <f>SUMPRODUCT((MONTH(CHOOSE({1,2,3,4},KHP!U310,KHP!AA310,KHP!AG310,KHP!AM310))=2)*(CHOOSE({1,2,3,4},KHP!X310,KHP!AD310,KHP!AJ310,KHP!AP310)))</f>
        <v>0</v>
      </c>
      <c r="C310">
        <f>SUMPRODUCT((MONTH(CHOOSE({1,2,3,4},KHP!U310,KHP!AA310,KHP!AG310,KHP!AM310))=3)*(CHOOSE({1,2,3,4},KHP!X310,KHP!AD310,KHP!AJ310,KHP!AP310)))</f>
        <v>0</v>
      </c>
      <c r="D310">
        <f>SUMPRODUCT((MONTH(CHOOSE({1,2,3,4},KHP!U310,KHP!AA310,KHP!AG310,KHP!AM310))=4)*(CHOOSE({1,2,3,4},KHP!X310,KHP!AD310,KHP!AJ310,KHP!AP310)))</f>
        <v>0</v>
      </c>
      <c r="E310">
        <f>SUMPRODUCT((MONTH(CHOOSE({1,2,3,4},KHP!U310,KHP!AA310,KHP!AG310,KHP!AM310))=5)*(CHOOSE({1,2,3,4},KHP!X310,KHP!AD310,KHP!AJ310,KHP!AP310)))</f>
        <v>0</v>
      </c>
      <c r="F310">
        <f>SUMPRODUCT((MONTH(CHOOSE({1,2,3,4},KHP!U310,KHP!AA310,KHP!AG310,KHP!AM310))=6)*(CHOOSE({1,2,3,4},KHP!X310,KHP!AD310,KHP!AJ310,KHP!AP310)))</f>
        <v>0</v>
      </c>
      <c r="G310">
        <f>SUMPRODUCT((MONTH(CHOOSE({1,2,3,4},KHP!U310,KHP!AA310,KHP!AG310,KHP!AM310))=7)*(CHOOSE({1,2,3,4},KHP!X310,KHP!AD310,KHP!AJ310,KHP!AP310)))</f>
        <v>0</v>
      </c>
      <c r="H310">
        <f>SUMPRODUCT((MONTH(CHOOSE({1,2,3,4},KHP!U310,KHP!AA310,KHP!AG310,KHP!AM310))=8)*(CHOOSE({1,2,3,4},KHP!X310,KHP!AD310,KHP!AJ310,KHP!AP310)))</f>
        <v>0</v>
      </c>
      <c r="I310">
        <f>SUMPRODUCT((MONTH(CHOOSE({1,2,3,4},KHP!U310,KHP!AA310,KHP!AG310,KHP!AM310))=9)*(CHOOSE({1,2,3,4},KHP!X310,KHP!AD310,KHP!AJ310,KHP!AP310)))</f>
        <v>0</v>
      </c>
      <c r="J310">
        <f>SUMPRODUCT((MONTH(CHOOSE({1,2,3,4},KHP!U310,KHP!AA310,KHP!AG310,KHP!AM310))=10)*(CHOOSE({1,2,3,4},KHP!X310,KHP!AD310,KHP!AJ310,KHP!AP310)))</f>
        <v>0</v>
      </c>
      <c r="K310">
        <f>SUMPRODUCT((MONTH(CHOOSE({1,2,3,4},KHP!U310,KHP!AA310,KHP!AG310,KHP!AM310))=11)*(CHOOSE({1,2,3,4},KHP!X310,KHP!AD310,KHP!AJ310,KHP!AP310)))</f>
        <v>0</v>
      </c>
      <c r="L310">
        <f>SUMPRODUCT((MONTH(CHOOSE({1,2,3,4},KHP!U310,KHP!AA310,KHP!AG310,KHP!AM310))=12)*(CHOOSE({1,2,3,4},KHP!X310,KHP!AD310,KHP!AJ310,KHP!AP310)))</f>
        <v>0</v>
      </c>
    </row>
    <row r="311" spans="1:12">
      <c r="A311">
        <f>SUMPRODUCT((MONTH(CHOOSE({1,2,3,4},KHP!U311,KHP!AA311,KHP!AG311,KHP!AM311))=1)*(CHOOSE({1,2,3,4},KHP!X311,KHP!AD311,KHP!AJ311,KHP!AP311)))</f>
        <v>0</v>
      </c>
      <c r="B311">
        <f>SUMPRODUCT((MONTH(CHOOSE({1,2,3,4},KHP!U311,KHP!AA311,KHP!AG311,KHP!AM311))=2)*(CHOOSE({1,2,3,4},KHP!X311,KHP!AD311,KHP!AJ311,KHP!AP311)))</f>
        <v>0</v>
      </c>
      <c r="C311">
        <f>SUMPRODUCT((MONTH(CHOOSE({1,2,3,4},KHP!U311,KHP!AA311,KHP!AG311,KHP!AM311))=3)*(CHOOSE({1,2,3,4},KHP!X311,KHP!AD311,KHP!AJ311,KHP!AP311)))</f>
        <v>0</v>
      </c>
      <c r="D311">
        <f>SUMPRODUCT((MONTH(CHOOSE({1,2,3,4},KHP!U311,KHP!AA311,KHP!AG311,KHP!AM311))=4)*(CHOOSE({1,2,3,4},KHP!X311,KHP!AD311,KHP!AJ311,KHP!AP311)))</f>
        <v>0</v>
      </c>
      <c r="E311">
        <f>SUMPRODUCT((MONTH(CHOOSE({1,2,3,4},KHP!U311,KHP!AA311,KHP!AG311,KHP!AM311))=5)*(CHOOSE({1,2,3,4},KHP!X311,KHP!AD311,KHP!AJ311,KHP!AP311)))</f>
        <v>0</v>
      </c>
      <c r="F311">
        <f>SUMPRODUCT((MONTH(CHOOSE({1,2,3,4},KHP!U311,KHP!AA311,KHP!AG311,KHP!AM311))=6)*(CHOOSE({1,2,3,4},KHP!X311,KHP!AD311,KHP!AJ311,KHP!AP311)))</f>
        <v>0</v>
      </c>
      <c r="G311">
        <f>SUMPRODUCT((MONTH(CHOOSE({1,2,3,4},KHP!U311,KHP!AA311,KHP!AG311,KHP!AM311))=7)*(CHOOSE({1,2,3,4},KHP!X311,KHP!AD311,KHP!AJ311,KHP!AP311)))</f>
        <v>0</v>
      </c>
      <c r="H311">
        <f>SUMPRODUCT((MONTH(CHOOSE({1,2,3,4},KHP!U311,KHP!AA311,KHP!AG311,KHP!AM311))=8)*(CHOOSE({1,2,3,4},KHP!X311,KHP!AD311,KHP!AJ311,KHP!AP311)))</f>
        <v>0</v>
      </c>
      <c r="I311">
        <f>SUMPRODUCT((MONTH(CHOOSE({1,2,3,4},KHP!U311,KHP!AA311,KHP!AG311,KHP!AM311))=9)*(CHOOSE({1,2,3,4},KHP!X311,KHP!AD311,KHP!AJ311,KHP!AP311)))</f>
        <v>0</v>
      </c>
      <c r="J311">
        <f>SUMPRODUCT((MONTH(CHOOSE({1,2,3,4},KHP!U311,KHP!AA311,KHP!AG311,KHP!AM311))=10)*(CHOOSE({1,2,3,4},KHP!X311,KHP!AD311,KHP!AJ311,KHP!AP311)))</f>
        <v>0</v>
      </c>
      <c r="K311">
        <f>SUMPRODUCT((MONTH(CHOOSE({1,2,3,4},KHP!U311,KHP!AA311,KHP!AG311,KHP!AM311))=11)*(CHOOSE({1,2,3,4},KHP!X311,KHP!AD311,KHP!AJ311,KHP!AP311)))</f>
        <v>0</v>
      </c>
      <c r="L311">
        <f>SUMPRODUCT((MONTH(CHOOSE({1,2,3,4},KHP!U311,KHP!AA311,KHP!AG311,KHP!AM311))=12)*(CHOOSE({1,2,3,4},KHP!X311,KHP!AD311,KHP!AJ311,KHP!AP311)))</f>
        <v>0</v>
      </c>
    </row>
    <row r="312" spans="1:12">
      <c r="A312">
        <f>SUMPRODUCT((MONTH(CHOOSE({1,2,3,4},KHP!U312,KHP!AA312,KHP!AG312,KHP!AM312))=1)*(CHOOSE({1,2,3,4},KHP!X312,KHP!AD312,KHP!AJ312,KHP!AP312)))</f>
        <v>0</v>
      </c>
      <c r="B312">
        <f>SUMPRODUCT((MONTH(CHOOSE({1,2,3,4},KHP!U312,KHP!AA312,KHP!AG312,KHP!AM312))=2)*(CHOOSE({1,2,3,4},KHP!X312,KHP!AD312,KHP!AJ312,KHP!AP312)))</f>
        <v>0</v>
      </c>
      <c r="C312">
        <f>SUMPRODUCT((MONTH(CHOOSE({1,2,3,4},KHP!U312,KHP!AA312,KHP!AG312,KHP!AM312))=3)*(CHOOSE({1,2,3,4},KHP!X312,KHP!AD312,KHP!AJ312,KHP!AP312)))</f>
        <v>0</v>
      </c>
      <c r="D312">
        <f>SUMPRODUCT((MONTH(CHOOSE({1,2,3,4},KHP!U312,KHP!AA312,KHP!AG312,KHP!AM312))=4)*(CHOOSE({1,2,3,4},KHP!X312,KHP!AD312,KHP!AJ312,KHP!AP312)))</f>
        <v>0</v>
      </c>
      <c r="E312">
        <f>SUMPRODUCT((MONTH(CHOOSE({1,2,3,4},KHP!U312,KHP!AA312,KHP!AG312,KHP!AM312))=5)*(CHOOSE({1,2,3,4},KHP!X312,KHP!AD312,KHP!AJ312,KHP!AP312)))</f>
        <v>0</v>
      </c>
      <c r="F312">
        <f>SUMPRODUCT((MONTH(CHOOSE({1,2,3,4},KHP!U312,KHP!AA312,KHP!AG312,KHP!AM312))=6)*(CHOOSE({1,2,3,4},KHP!X312,KHP!AD312,KHP!AJ312,KHP!AP312)))</f>
        <v>0</v>
      </c>
      <c r="G312">
        <f>SUMPRODUCT((MONTH(CHOOSE({1,2,3,4},KHP!U312,KHP!AA312,KHP!AG312,KHP!AM312))=7)*(CHOOSE({1,2,3,4},KHP!X312,KHP!AD312,KHP!AJ312,KHP!AP312)))</f>
        <v>0</v>
      </c>
      <c r="H312">
        <f>SUMPRODUCT((MONTH(CHOOSE({1,2,3,4},KHP!U312,KHP!AA312,KHP!AG312,KHP!AM312))=8)*(CHOOSE({1,2,3,4},KHP!X312,KHP!AD312,KHP!AJ312,KHP!AP312)))</f>
        <v>0</v>
      </c>
      <c r="I312">
        <f>SUMPRODUCT((MONTH(CHOOSE({1,2,3,4},KHP!U312,KHP!AA312,KHP!AG312,KHP!AM312))=9)*(CHOOSE({1,2,3,4},KHP!X312,KHP!AD312,KHP!AJ312,KHP!AP312)))</f>
        <v>0</v>
      </c>
      <c r="J312">
        <f>SUMPRODUCT((MONTH(CHOOSE({1,2,3,4},KHP!U312,KHP!AA312,KHP!AG312,KHP!AM312))=10)*(CHOOSE({1,2,3,4},KHP!X312,KHP!AD312,KHP!AJ312,KHP!AP312)))</f>
        <v>0</v>
      </c>
      <c r="K312">
        <f>SUMPRODUCT((MONTH(CHOOSE({1,2,3,4},KHP!U312,KHP!AA312,KHP!AG312,KHP!AM312))=11)*(CHOOSE({1,2,3,4},KHP!X312,KHP!AD312,KHP!AJ312,KHP!AP312)))</f>
        <v>0</v>
      </c>
      <c r="L312">
        <f>SUMPRODUCT((MONTH(CHOOSE({1,2,3,4},KHP!U312,KHP!AA312,KHP!AG312,KHP!AM312))=12)*(CHOOSE({1,2,3,4},KHP!X312,KHP!AD312,KHP!AJ312,KHP!AP312)))</f>
        <v>0</v>
      </c>
    </row>
    <row r="313" spans="1:12">
      <c r="A313">
        <f>SUMPRODUCT((MONTH(CHOOSE({1,2,3,4},KHP!U313,KHP!AA313,KHP!AG313,KHP!AM313))=1)*(CHOOSE({1,2,3,4},KHP!X313,KHP!AD313,KHP!AJ313,KHP!AP313)))</f>
        <v>0</v>
      </c>
      <c r="B313">
        <f>SUMPRODUCT((MONTH(CHOOSE({1,2,3,4},KHP!U313,KHP!AA313,KHP!AG313,KHP!AM313))=2)*(CHOOSE({1,2,3,4},KHP!X313,KHP!AD313,KHP!AJ313,KHP!AP313)))</f>
        <v>0</v>
      </c>
      <c r="C313">
        <f>SUMPRODUCT((MONTH(CHOOSE({1,2,3,4},KHP!U313,KHP!AA313,KHP!AG313,KHP!AM313))=3)*(CHOOSE({1,2,3,4},KHP!X313,KHP!AD313,KHP!AJ313,KHP!AP313)))</f>
        <v>0</v>
      </c>
      <c r="D313">
        <f>SUMPRODUCT((MONTH(CHOOSE({1,2,3,4},KHP!U313,KHP!AA313,KHP!AG313,KHP!AM313))=4)*(CHOOSE({1,2,3,4},KHP!X313,KHP!AD313,KHP!AJ313,KHP!AP313)))</f>
        <v>0</v>
      </c>
      <c r="E313">
        <f>SUMPRODUCT((MONTH(CHOOSE({1,2,3,4},KHP!U313,KHP!AA313,KHP!AG313,KHP!AM313))=5)*(CHOOSE({1,2,3,4},KHP!X313,KHP!AD313,KHP!AJ313,KHP!AP313)))</f>
        <v>0</v>
      </c>
      <c r="F313">
        <f>SUMPRODUCT((MONTH(CHOOSE({1,2,3,4},KHP!U313,KHP!AA313,KHP!AG313,KHP!AM313))=6)*(CHOOSE({1,2,3,4},KHP!X313,KHP!AD313,KHP!AJ313,KHP!AP313)))</f>
        <v>0</v>
      </c>
      <c r="G313">
        <f>SUMPRODUCT((MONTH(CHOOSE({1,2,3,4},KHP!U313,KHP!AA313,KHP!AG313,KHP!AM313))=7)*(CHOOSE({1,2,3,4},KHP!X313,KHP!AD313,KHP!AJ313,KHP!AP313)))</f>
        <v>0</v>
      </c>
      <c r="H313">
        <f>SUMPRODUCT((MONTH(CHOOSE({1,2,3,4},KHP!U313,KHP!AA313,KHP!AG313,KHP!AM313))=8)*(CHOOSE({1,2,3,4},KHP!X313,KHP!AD313,KHP!AJ313,KHP!AP313)))</f>
        <v>0</v>
      </c>
      <c r="I313">
        <f>SUMPRODUCT((MONTH(CHOOSE({1,2,3,4},KHP!U313,KHP!AA313,KHP!AG313,KHP!AM313))=9)*(CHOOSE({1,2,3,4},KHP!X313,KHP!AD313,KHP!AJ313,KHP!AP313)))</f>
        <v>0</v>
      </c>
      <c r="J313">
        <f>SUMPRODUCT((MONTH(CHOOSE({1,2,3,4},KHP!U313,KHP!AA313,KHP!AG313,KHP!AM313))=10)*(CHOOSE({1,2,3,4},KHP!X313,KHP!AD313,KHP!AJ313,KHP!AP313)))</f>
        <v>0</v>
      </c>
      <c r="K313">
        <f>SUMPRODUCT((MONTH(CHOOSE({1,2,3,4},KHP!U313,KHP!AA313,KHP!AG313,KHP!AM313))=11)*(CHOOSE({1,2,3,4},KHP!X313,KHP!AD313,KHP!AJ313,KHP!AP313)))</f>
        <v>0</v>
      </c>
      <c r="L313">
        <f>SUMPRODUCT((MONTH(CHOOSE({1,2,3,4},KHP!U313,KHP!AA313,KHP!AG313,KHP!AM313))=12)*(CHOOSE({1,2,3,4},KHP!X313,KHP!AD313,KHP!AJ313,KHP!AP313)))</f>
        <v>0</v>
      </c>
    </row>
    <row r="314" spans="1:12">
      <c r="A314">
        <f>SUMPRODUCT((MONTH(CHOOSE({1,2,3,4},KHP!U314,KHP!AA314,KHP!AG314,KHP!AM314))=1)*(CHOOSE({1,2,3,4},KHP!X314,KHP!AD314,KHP!AJ314,KHP!AP314)))</f>
        <v>0</v>
      </c>
      <c r="B314">
        <f>SUMPRODUCT((MONTH(CHOOSE({1,2,3,4},KHP!U314,KHP!AA314,KHP!AG314,KHP!AM314))=2)*(CHOOSE({1,2,3,4},KHP!X314,KHP!AD314,KHP!AJ314,KHP!AP314)))</f>
        <v>0</v>
      </c>
      <c r="C314">
        <f>SUMPRODUCT((MONTH(CHOOSE({1,2,3,4},KHP!U314,KHP!AA314,KHP!AG314,KHP!AM314))=3)*(CHOOSE({1,2,3,4},KHP!X314,KHP!AD314,KHP!AJ314,KHP!AP314)))</f>
        <v>0</v>
      </c>
      <c r="D314">
        <f>SUMPRODUCT((MONTH(CHOOSE({1,2,3,4},KHP!U314,KHP!AA314,KHP!AG314,KHP!AM314))=4)*(CHOOSE({1,2,3,4},KHP!X314,KHP!AD314,KHP!AJ314,KHP!AP314)))</f>
        <v>0</v>
      </c>
      <c r="E314">
        <f>SUMPRODUCT((MONTH(CHOOSE({1,2,3,4},KHP!U314,KHP!AA314,KHP!AG314,KHP!AM314))=5)*(CHOOSE({1,2,3,4},KHP!X314,KHP!AD314,KHP!AJ314,KHP!AP314)))</f>
        <v>0</v>
      </c>
      <c r="F314">
        <f>SUMPRODUCT((MONTH(CHOOSE({1,2,3,4},KHP!U314,KHP!AA314,KHP!AG314,KHP!AM314))=6)*(CHOOSE({1,2,3,4},KHP!X314,KHP!AD314,KHP!AJ314,KHP!AP314)))</f>
        <v>0</v>
      </c>
      <c r="G314">
        <f>SUMPRODUCT((MONTH(CHOOSE({1,2,3,4},KHP!U314,KHP!AA314,KHP!AG314,KHP!AM314))=7)*(CHOOSE({1,2,3,4},KHP!X314,KHP!AD314,KHP!AJ314,KHP!AP314)))</f>
        <v>0</v>
      </c>
      <c r="H314">
        <f>SUMPRODUCT((MONTH(CHOOSE({1,2,3,4},KHP!U314,KHP!AA314,KHP!AG314,KHP!AM314))=8)*(CHOOSE({1,2,3,4},KHP!X314,KHP!AD314,KHP!AJ314,KHP!AP314)))</f>
        <v>0</v>
      </c>
      <c r="I314">
        <f>SUMPRODUCT((MONTH(CHOOSE({1,2,3,4},KHP!U314,KHP!AA314,KHP!AG314,KHP!AM314))=9)*(CHOOSE({1,2,3,4},KHP!X314,KHP!AD314,KHP!AJ314,KHP!AP314)))</f>
        <v>0</v>
      </c>
      <c r="J314">
        <f>SUMPRODUCT((MONTH(CHOOSE({1,2,3,4},KHP!U314,KHP!AA314,KHP!AG314,KHP!AM314))=10)*(CHOOSE({1,2,3,4},KHP!X314,KHP!AD314,KHP!AJ314,KHP!AP314)))</f>
        <v>0</v>
      </c>
      <c r="K314">
        <f>SUMPRODUCT((MONTH(CHOOSE({1,2,3,4},KHP!U314,KHP!AA314,KHP!AG314,KHP!AM314))=11)*(CHOOSE({1,2,3,4},KHP!X314,KHP!AD314,KHP!AJ314,KHP!AP314)))</f>
        <v>0</v>
      </c>
      <c r="L314">
        <f>SUMPRODUCT((MONTH(CHOOSE({1,2,3,4},KHP!U314,KHP!AA314,KHP!AG314,KHP!AM314))=12)*(CHOOSE({1,2,3,4},KHP!X314,KHP!AD314,KHP!AJ314,KHP!AP314)))</f>
        <v>0</v>
      </c>
    </row>
    <row r="315" spans="1:12">
      <c r="A315">
        <f>SUMPRODUCT((MONTH(CHOOSE({1,2,3,4},KHP!U315,KHP!AA315,KHP!AG315,KHP!AM315))=1)*(CHOOSE({1,2,3,4},KHP!X315,KHP!AD315,KHP!AJ315,KHP!AP315)))</f>
        <v>0</v>
      </c>
      <c r="B315">
        <f>SUMPRODUCT((MONTH(CHOOSE({1,2,3,4},KHP!U315,KHP!AA315,KHP!AG315,KHP!AM315))=2)*(CHOOSE({1,2,3,4},KHP!X315,KHP!AD315,KHP!AJ315,KHP!AP315)))</f>
        <v>0</v>
      </c>
      <c r="C315">
        <f>SUMPRODUCT((MONTH(CHOOSE({1,2,3,4},KHP!U315,KHP!AA315,KHP!AG315,KHP!AM315))=3)*(CHOOSE({1,2,3,4},KHP!X315,KHP!AD315,KHP!AJ315,KHP!AP315)))</f>
        <v>0</v>
      </c>
      <c r="D315">
        <f>SUMPRODUCT((MONTH(CHOOSE({1,2,3,4},KHP!U315,KHP!AA315,KHP!AG315,KHP!AM315))=4)*(CHOOSE({1,2,3,4},KHP!X315,KHP!AD315,KHP!AJ315,KHP!AP315)))</f>
        <v>0</v>
      </c>
      <c r="E315">
        <f>SUMPRODUCT((MONTH(CHOOSE({1,2,3,4},KHP!U315,KHP!AA315,KHP!AG315,KHP!AM315))=5)*(CHOOSE({1,2,3,4},KHP!X315,KHP!AD315,KHP!AJ315,KHP!AP315)))</f>
        <v>0</v>
      </c>
      <c r="F315">
        <f>SUMPRODUCT((MONTH(CHOOSE({1,2,3,4},KHP!U315,KHP!AA315,KHP!AG315,KHP!AM315))=6)*(CHOOSE({1,2,3,4},KHP!X315,KHP!AD315,KHP!AJ315,KHP!AP315)))</f>
        <v>0</v>
      </c>
      <c r="G315">
        <f>SUMPRODUCT((MONTH(CHOOSE({1,2,3,4},KHP!U315,KHP!AA315,KHP!AG315,KHP!AM315))=7)*(CHOOSE({1,2,3,4},KHP!X315,KHP!AD315,KHP!AJ315,KHP!AP315)))</f>
        <v>0</v>
      </c>
      <c r="H315">
        <f>SUMPRODUCT((MONTH(CHOOSE({1,2,3,4},KHP!U315,KHP!AA315,KHP!AG315,KHP!AM315))=8)*(CHOOSE({1,2,3,4},KHP!X315,KHP!AD315,KHP!AJ315,KHP!AP315)))</f>
        <v>0</v>
      </c>
      <c r="I315">
        <f>SUMPRODUCT((MONTH(CHOOSE({1,2,3,4},KHP!U315,KHP!AA315,KHP!AG315,KHP!AM315))=9)*(CHOOSE({1,2,3,4},KHP!X315,KHP!AD315,KHP!AJ315,KHP!AP315)))</f>
        <v>0</v>
      </c>
      <c r="J315">
        <f>SUMPRODUCT((MONTH(CHOOSE({1,2,3,4},KHP!U315,KHP!AA315,KHP!AG315,KHP!AM315))=10)*(CHOOSE({1,2,3,4},KHP!X315,KHP!AD315,KHP!AJ315,KHP!AP315)))</f>
        <v>0</v>
      </c>
      <c r="K315">
        <f>SUMPRODUCT((MONTH(CHOOSE({1,2,3,4},KHP!U315,KHP!AA315,KHP!AG315,KHP!AM315))=11)*(CHOOSE({1,2,3,4},KHP!X315,KHP!AD315,KHP!AJ315,KHP!AP315)))</f>
        <v>0</v>
      </c>
      <c r="L315">
        <f>SUMPRODUCT((MONTH(CHOOSE({1,2,3,4},KHP!U315,KHP!AA315,KHP!AG315,KHP!AM315))=12)*(CHOOSE({1,2,3,4},KHP!X315,KHP!AD315,KHP!AJ315,KHP!AP315)))</f>
        <v>0</v>
      </c>
    </row>
    <row r="316" spans="1:12">
      <c r="A316">
        <f>SUMPRODUCT((MONTH(CHOOSE({1,2,3,4},KHP!U316,KHP!AA316,KHP!AG316,KHP!AM316))=1)*(CHOOSE({1,2,3,4},KHP!X316,KHP!AD316,KHP!AJ316,KHP!AP316)))</f>
        <v>0</v>
      </c>
      <c r="B316">
        <f>SUMPRODUCT((MONTH(CHOOSE({1,2,3,4},KHP!U316,KHP!AA316,KHP!AG316,KHP!AM316))=2)*(CHOOSE({1,2,3,4},KHP!X316,KHP!AD316,KHP!AJ316,KHP!AP316)))</f>
        <v>0</v>
      </c>
      <c r="C316">
        <f>SUMPRODUCT((MONTH(CHOOSE({1,2,3,4},KHP!U316,KHP!AA316,KHP!AG316,KHP!AM316))=3)*(CHOOSE({1,2,3,4},KHP!X316,KHP!AD316,KHP!AJ316,KHP!AP316)))</f>
        <v>0</v>
      </c>
      <c r="D316">
        <f>SUMPRODUCT((MONTH(CHOOSE({1,2,3,4},KHP!U316,KHP!AA316,KHP!AG316,KHP!AM316))=4)*(CHOOSE({1,2,3,4},KHP!X316,KHP!AD316,KHP!AJ316,KHP!AP316)))</f>
        <v>0</v>
      </c>
      <c r="E316">
        <f>SUMPRODUCT((MONTH(CHOOSE({1,2,3,4},KHP!U316,KHP!AA316,KHP!AG316,KHP!AM316))=5)*(CHOOSE({1,2,3,4},KHP!X316,KHP!AD316,KHP!AJ316,KHP!AP316)))</f>
        <v>0</v>
      </c>
      <c r="F316">
        <f>SUMPRODUCT((MONTH(CHOOSE({1,2,3,4},KHP!U316,KHP!AA316,KHP!AG316,KHP!AM316))=6)*(CHOOSE({1,2,3,4},KHP!X316,KHP!AD316,KHP!AJ316,KHP!AP316)))</f>
        <v>0</v>
      </c>
      <c r="G316">
        <f>SUMPRODUCT((MONTH(CHOOSE({1,2,3,4},KHP!U316,KHP!AA316,KHP!AG316,KHP!AM316))=7)*(CHOOSE({1,2,3,4},KHP!X316,KHP!AD316,KHP!AJ316,KHP!AP316)))</f>
        <v>0</v>
      </c>
      <c r="H316">
        <f>SUMPRODUCT((MONTH(CHOOSE({1,2,3,4},KHP!U316,KHP!AA316,KHP!AG316,KHP!AM316))=8)*(CHOOSE({1,2,3,4},KHP!X316,KHP!AD316,KHP!AJ316,KHP!AP316)))</f>
        <v>0</v>
      </c>
      <c r="I316">
        <f>SUMPRODUCT((MONTH(CHOOSE({1,2,3,4},KHP!U316,KHP!AA316,KHP!AG316,KHP!AM316))=9)*(CHOOSE({1,2,3,4},KHP!X316,KHP!AD316,KHP!AJ316,KHP!AP316)))</f>
        <v>0</v>
      </c>
      <c r="J316">
        <f>SUMPRODUCT((MONTH(CHOOSE({1,2,3,4},KHP!U316,KHP!AA316,KHP!AG316,KHP!AM316))=10)*(CHOOSE({1,2,3,4},KHP!X316,KHP!AD316,KHP!AJ316,KHP!AP316)))</f>
        <v>0</v>
      </c>
      <c r="K316">
        <f>SUMPRODUCT((MONTH(CHOOSE({1,2,3,4},KHP!U316,KHP!AA316,KHP!AG316,KHP!AM316))=11)*(CHOOSE({1,2,3,4},KHP!X316,KHP!AD316,KHP!AJ316,KHP!AP316)))</f>
        <v>0</v>
      </c>
      <c r="L316">
        <f>SUMPRODUCT((MONTH(CHOOSE({1,2,3,4},KHP!U316,KHP!AA316,KHP!AG316,KHP!AM316))=12)*(CHOOSE({1,2,3,4},KHP!X316,KHP!AD316,KHP!AJ316,KHP!AP316)))</f>
        <v>0</v>
      </c>
    </row>
    <row r="317" spans="1:12">
      <c r="A317">
        <f>SUMPRODUCT((MONTH(CHOOSE({1,2,3,4},KHP!U317,KHP!AA317,KHP!AG317,KHP!AM317))=1)*(CHOOSE({1,2,3,4},KHP!X317,KHP!AD317,KHP!AJ317,KHP!AP317)))</f>
        <v>0</v>
      </c>
      <c r="B317">
        <f>SUMPRODUCT((MONTH(CHOOSE({1,2,3,4},KHP!U317,KHP!AA317,KHP!AG317,KHP!AM317))=2)*(CHOOSE({1,2,3,4},KHP!X317,KHP!AD317,KHP!AJ317,KHP!AP317)))</f>
        <v>0</v>
      </c>
      <c r="C317">
        <f>SUMPRODUCT((MONTH(CHOOSE({1,2,3,4},KHP!U317,KHP!AA317,KHP!AG317,KHP!AM317))=3)*(CHOOSE({1,2,3,4},KHP!X317,KHP!AD317,KHP!AJ317,KHP!AP317)))</f>
        <v>0</v>
      </c>
      <c r="D317">
        <f>SUMPRODUCT((MONTH(CHOOSE({1,2,3,4},KHP!U317,KHP!AA317,KHP!AG317,KHP!AM317))=4)*(CHOOSE({1,2,3,4},KHP!X317,KHP!AD317,KHP!AJ317,KHP!AP317)))</f>
        <v>0</v>
      </c>
      <c r="E317">
        <f>SUMPRODUCT((MONTH(CHOOSE({1,2,3,4},KHP!U317,KHP!AA317,KHP!AG317,KHP!AM317))=5)*(CHOOSE({1,2,3,4},KHP!X317,KHP!AD317,KHP!AJ317,KHP!AP317)))</f>
        <v>0</v>
      </c>
      <c r="F317">
        <f>SUMPRODUCT((MONTH(CHOOSE({1,2,3,4},KHP!U317,KHP!AA317,KHP!AG317,KHP!AM317))=6)*(CHOOSE({1,2,3,4},KHP!X317,KHP!AD317,KHP!AJ317,KHP!AP317)))</f>
        <v>0</v>
      </c>
      <c r="G317">
        <f>SUMPRODUCT((MONTH(CHOOSE({1,2,3,4},KHP!U317,KHP!AA317,KHP!AG317,KHP!AM317))=7)*(CHOOSE({1,2,3,4},KHP!X317,KHP!AD317,KHP!AJ317,KHP!AP317)))</f>
        <v>0</v>
      </c>
      <c r="H317">
        <f>SUMPRODUCT((MONTH(CHOOSE({1,2,3,4},KHP!U317,KHP!AA317,KHP!AG317,KHP!AM317))=8)*(CHOOSE({1,2,3,4},KHP!X317,KHP!AD317,KHP!AJ317,KHP!AP317)))</f>
        <v>0</v>
      </c>
      <c r="I317">
        <f>SUMPRODUCT((MONTH(CHOOSE({1,2,3,4},KHP!U317,KHP!AA317,KHP!AG317,KHP!AM317))=9)*(CHOOSE({1,2,3,4},KHP!X317,KHP!AD317,KHP!AJ317,KHP!AP317)))</f>
        <v>0</v>
      </c>
      <c r="J317">
        <f>SUMPRODUCT((MONTH(CHOOSE({1,2,3,4},KHP!U317,KHP!AA317,KHP!AG317,KHP!AM317))=10)*(CHOOSE({1,2,3,4},KHP!X317,KHP!AD317,KHP!AJ317,KHP!AP317)))</f>
        <v>0</v>
      </c>
      <c r="K317">
        <f>SUMPRODUCT((MONTH(CHOOSE({1,2,3,4},KHP!U317,KHP!AA317,KHP!AG317,KHP!AM317))=11)*(CHOOSE({1,2,3,4},KHP!X317,KHP!AD317,KHP!AJ317,KHP!AP317)))</f>
        <v>0</v>
      </c>
      <c r="L317">
        <f>SUMPRODUCT((MONTH(CHOOSE({1,2,3,4},KHP!U317,KHP!AA317,KHP!AG317,KHP!AM317))=12)*(CHOOSE({1,2,3,4},KHP!X317,KHP!AD317,KHP!AJ317,KHP!AP317)))</f>
        <v>0</v>
      </c>
    </row>
    <row r="318" spans="1:12">
      <c r="A318">
        <f>SUMPRODUCT((MONTH(CHOOSE({1,2,3,4},KHP!U318,KHP!AA318,KHP!AG318,KHP!AM318))=1)*(CHOOSE({1,2,3,4},KHP!X318,KHP!AD318,KHP!AJ318,KHP!AP318)))</f>
        <v>0</v>
      </c>
      <c r="B318">
        <f>SUMPRODUCT((MONTH(CHOOSE({1,2,3,4},KHP!U318,KHP!AA318,KHP!AG318,KHP!AM318))=2)*(CHOOSE({1,2,3,4},KHP!X318,KHP!AD318,KHP!AJ318,KHP!AP318)))</f>
        <v>0</v>
      </c>
      <c r="C318">
        <f>SUMPRODUCT((MONTH(CHOOSE({1,2,3,4},KHP!U318,KHP!AA318,KHP!AG318,KHP!AM318))=3)*(CHOOSE({1,2,3,4},KHP!X318,KHP!AD318,KHP!AJ318,KHP!AP318)))</f>
        <v>0</v>
      </c>
      <c r="D318">
        <f>SUMPRODUCT((MONTH(CHOOSE({1,2,3,4},KHP!U318,KHP!AA318,KHP!AG318,KHP!AM318))=4)*(CHOOSE({1,2,3,4},KHP!X318,KHP!AD318,KHP!AJ318,KHP!AP318)))</f>
        <v>0</v>
      </c>
      <c r="E318">
        <f>SUMPRODUCT((MONTH(CHOOSE({1,2,3,4},KHP!U318,KHP!AA318,KHP!AG318,KHP!AM318))=5)*(CHOOSE({1,2,3,4},KHP!X318,KHP!AD318,KHP!AJ318,KHP!AP318)))</f>
        <v>0</v>
      </c>
      <c r="F318">
        <f>SUMPRODUCT((MONTH(CHOOSE({1,2,3,4},KHP!U318,KHP!AA318,KHP!AG318,KHP!AM318))=6)*(CHOOSE({1,2,3,4},KHP!X318,KHP!AD318,KHP!AJ318,KHP!AP318)))</f>
        <v>0</v>
      </c>
      <c r="G318">
        <f>SUMPRODUCT((MONTH(CHOOSE({1,2,3,4},KHP!U318,KHP!AA318,KHP!AG318,KHP!AM318))=7)*(CHOOSE({1,2,3,4},KHP!X318,KHP!AD318,KHP!AJ318,KHP!AP318)))</f>
        <v>0</v>
      </c>
      <c r="H318">
        <f>SUMPRODUCT((MONTH(CHOOSE({1,2,3,4},KHP!U318,KHP!AA318,KHP!AG318,KHP!AM318))=8)*(CHOOSE({1,2,3,4},KHP!X318,KHP!AD318,KHP!AJ318,KHP!AP318)))</f>
        <v>0</v>
      </c>
      <c r="I318">
        <f>SUMPRODUCT((MONTH(CHOOSE({1,2,3,4},KHP!U318,KHP!AA318,KHP!AG318,KHP!AM318))=9)*(CHOOSE({1,2,3,4},KHP!X318,KHP!AD318,KHP!AJ318,KHP!AP318)))</f>
        <v>0</v>
      </c>
      <c r="J318">
        <f>SUMPRODUCT((MONTH(CHOOSE({1,2,3,4},KHP!U318,KHP!AA318,KHP!AG318,KHP!AM318))=10)*(CHOOSE({1,2,3,4},KHP!X318,KHP!AD318,KHP!AJ318,KHP!AP318)))</f>
        <v>0</v>
      </c>
      <c r="K318">
        <f>SUMPRODUCT((MONTH(CHOOSE({1,2,3,4},KHP!U318,KHP!AA318,KHP!AG318,KHP!AM318))=11)*(CHOOSE({1,2,3,4},KHP!X318,KHP!AD318,KHP!AJ318,KHP!AP318)))</f>
        <v>0</v>
      </c>
      <c r="L318">
        <f>SUMPRODUCT((MONTH(CHOOSE({1,2,3,4},KHP!U318,KHP!AA318,KHP!AG318,KHP!AM318))=12)*(CHOOSE({1,2,3,4},KHP!X318,KHP!AD318,KHP!AJ318,KHP!AP318)))</f>
        <v>0</v>
      </c>
    </row>
    <row r="319" spans="1:12">
      <c r="A319">
        <f>SUMPRODUCT((MONTH(CHOOSE({1,2,3,4},KHP!U319,KHP!AA319,KHP!AG319,KHP!AM319))=1)*(CHOOSE({1,2,3,4},KHP!X319,KHP!AD319,KHP!AJ319,KHP!AP319)))</f>
        <v>0</v>
      </c>
      <c r="B319">
        <f>SUMPRODUCT((MONTH(CHOOSE({1,2,3,4},KHP!U319,KHP!AA319,KHP!AG319,KHP!AM319))=2)*(CHOOSE({1,2,3,4},KHP!X319,KHP!AD319,KHP!AJ319,KHP!AP319)))</f>
        <v>0</v>
      </c>
      <c r="C319">
        <f>SUMPRODUCT((MONTH(CHOOSE({1,2,3,4},KHP!U319,KHP!AA319,KHP!AG319,KHP!AM319))=3)*(CHOOSE({1,2,3,4},KHP!X319,KHP!AD319,KHP!AJ319,KHP!AP319)))</f>
        <v>0</v>
      </c>
      <c r="D319">
        <f>SUMPRODUCT((MONTH(CHOOSE({1,2,3,4},KHP!U319,KHP!AA319,KHP!AG319,KHP!AM319))=4)*(CHOOSE({1,2,3,4},KHP!X319,KHP!AD319,KHP!AJ319,KHP!AP319)))</f>
        <v>0</v>
      </c>
      <c r="E319">
        <f>SUMPRODUCT((MONTH(CHOOSE({1,2,3,4},KHP!U319,KHP!AA319,KHP!AG319,KHP!AM319))=5)*(CHOOSE({1,2,3,4},KHP!X319,KHP!AD319,KHP!AJ319,KHP!AP319)))</f>
        <v>0</v>
      </c>
      <c r="F319">
        <f>SUMPRODUCT((MONTH(CHOOSE({1,2,3,4},KHP!U319,KHP!AA319,KHP!AG319,KHP!AM319))=6)*(CHOOSE({1,2,3,4},KHP!X319,KHP!AD319,KHP!AJ319,KHP!AP319)))</f>
        <v>0</v>
      </c>
      <c r="G319">
        <f>SUMPRODUCT((MONTH(CHOOSE({1,2,3,4},KHP!U319,KHP!AA319,KHP!AG319,KHP!AM319))=7)*(CHOOSE({1,2,3,4},KHP!X319,KHP!AD319,KHP!AJ319,KHP!AP319)))</f>
        <v>0</v>
      </c>
      <c r="H319">
        <f>SUMPRODUCT((MONTH(CHOOSE({1,2,3,4},KHP!U319,KHP!AA319,KHP!AG319,KHP!AM319))=8)*(CHOOSE({1,2,3,4},KHP!X319,KHP!AD319,KHP!AJ319,KHP!AP319)))</f>
        <v>0</v>
      </c>
      <c r="I319">
        <f>SUMPRODUCT((MONTH(CHOOSE({1,2,3,4},KHP!U319,KHP!AA319,KHP!AG319,KHP!AM319))=9)*(CHOOSE({1,2,3,4},KHP!X319,KHP!AD319,KHP!AJ319,KHP!AP319)))</f>
        <v>0</v>
      </c>
      <c r="J319">
        <f>SUMPRODUCT((MONTH(CHOOSE({1,2,3,4},KHP!U319,KHP!AA319,KHP!AG319,KHP!AM319))=10)*(CHOOSE({1,2,3,4},KHP!X319,KHP!AD319,KHP!AJ319,KHP!AP319)))</f>
        <v>0</v>
      </c>
      <c r="K319">
        <f>SUMPRODUCT((MONTH(CHOOSE({1,2,3,4},KHP!U319,KHP!AA319,KHP!AG319,KHP!AM319))=11)*(CHOOSE({1,2,3,4},KHP!X319,KHP!AD319,KHP!AJ319,KHP!AP319)))</f>
        <v>0</v>
      </c>
      <c r="L319">
        <f>SUMPRODUCT((MONTH(CHOOSE({1,2,3,4},KHP!U319,KHP!AA319,KHP!AG319,KHP!AM319))=12)*(CHOOSE({1,2,3,4},KHP!X319,KHP!AD319,KHP!AJ319,KHP!AP319)))</f>
        <v>0</v>
      </c>
    </row>
    <row r="320" spans="1:12">
      <c r="A320">
        <f>SUMPRODUCT((MONTH(CHOOSE({1,2,3,4},KHP!U320,KHP!AA320,KHP!AG320,KHP!AM320))=1)*(CHOOSE({1,2,3,4},KHP!X320,KHP!AD320,KHP!AJ320,KHP!AP320)))</f>
        <v>0</v>
      </c>
      <c r="B320">
        <f>SUMPRODUCT((MONTH(CHOOSE({1,2,3,4},KHP!U320,KHP!AA320,KHP!AG320,KHP!AM320))=2)*(CHOOSE({1,2,3,4},KHP!X320,KHP!AD320,KHP!AJ320,KHP!AP320)))</f>
        <v>0</v>
      </c>
      <c r="C320">
        <f>SUMPRODUCT((MONTH(CHOOSE({1,2,3,4},KHP!U320,KHP!AA320,KHP!AG320,KHP!AM320))=3)*(CHOOSE({1,2,3,4},KHP!X320,KHP!AD320,KHP!AJ320,KHP!AP320)))</f>
        <v>0</v>
      </c>
      <c r="D320">
        <f>SUMPRODUCT((MONTH(CHOOSE({1,2,3,4},KHP!U320,KHP!AA320,KHP!AG320,KHP!AM320))=4)*(CHOOSE({1,2,3,4},KHP!X320,KHP!AD320,KHP!AJ320,KHP!AP320)))</f>
        <v>0</v>
      </c>
      <c r="E320">
        <f>SUMPRODUCT((MONTH(CHOOSE({1,2,3,4},KHP!U320,KHP!AA320,KHP!AG320,KHP!AM320))=5)*(CHOOSE({1,2,3,4},KHP!X320,KHP!AD320,KHP!AJ320,KHP!AP320)))</f>
        <v>0</v>
      </c>
      <c r="F320">
        <f>SUMPRODUCT((MONTH(CHOOSE({1,2,3,4},KHP!U320,KHP!AA320,KHP!AG320,KHP!AM320))=6)*(CHOOSE({1,2,3,4},KHP!X320,KHP!AD320,KHP!AJ320,KHP!AP320)))</f>
        <v>0</v>
      </c>
      <c r="G320">
        <f>SUMPRODUCT((MONTH(CHOOSE({1,2,3,4},KHP!U320,KHP!AA320,KHP!AG320,KHP!AM320))=7)*(CHOOSE({1,2,3,4},KHP!X320,KHP!AD320,KHP!AJ320,KHP!AP320)))</f>
        <v>0</v>
      </c>
      <c r="H320">
        <f>SUMPRODUCT((MONTH(CHOOSE({1,2,3,4},KHP!U320,KHP!AA320,KHP!AG320,KHP!AM320))=8)*(CHOOSE({1,2,3,4},KHP!X320,KHP!AD320,KHP!AJ320,KHP!AP320)))</f>
        <v>0</v>
      </c>
      <c r="I320">
        <f>SUMPRODUCT((MONTH(CHOOSE({1,2,3,4},KHP!U320,KHP!AA320,KHP!AG320,KHP!AM320))=9)*(CHOOSE({1,2,3,4},KHP!X320,KHP!AD320,KHP!AJ320,KHP!AP320)))</f>
        <v>0</v>
      </c>
      <c r="J320">
        <f>SUMPRODUCT((MONTH(CHOOSE({1,2,3,4},KHP!U320,KHP!AA320,KHP!AG320,KHP!AM320))=10)*(CHOOSE({1,2,3,4},KHP!X320,KHP!AD320,KHP!AJ320,KHP!AP320)))</f>
        <v>0</v>
      </c>
      <c r="K320">
        <f>SUMPRODUCT((MONTH(CHOOSE({1,2,3,4},KHP!U320,KHP!AA320,KHP!AG320,KHP!AM320))=11)*(CHOOSE({1,2,3,4},KHP!X320,KHP!AD320,KHP!AJ320,KHP!AP320)))</f>
        <v>0</v>
      </c>
      <c r="L320">
        <f>SUMPRODUCT((MONTH(CHOOSE({1,2,3,4},KHP!U320,KHP!AA320,KHP!AG320,KHP!AM320))=12)*(CHOOSE({1,2,3,4},KHP!X320,KHP!AD320,KHP!AJ320,KHP!AP320)))</f>
        <v>0</v>
      </c>
    </row>
    <row r="321" spans="1:12">
      <c r="A321">
        <f>SUMPRODUCT((MONTH(CHOOSE({1,2,3,4},KHP!U321,KHP!AA321,KHP!AG321,KHP!AM321))=1)*(CHOOSE({1,2,3,4},KHP!X321,KHP!AD321,KHP!AJ321,KHP!AP321)))</f>
        <v>0</v>
      </c>
      <c r="B321">
        <f>SUMPRODUCT((MONTH(CHOOSE({1,2,3,4},KHP!U321,KHP!AA321,KHP!AG321,KHP!AM321))=2)*(CHOOSE({1,2,3,4},KHP!X321,KHP!AD321,KHP!AJ321,KHP!AP321)))</f>
        <v>0</v>
      </c>
      <c r="C321">
        <f>SUMPRODUCT((MONTH(CHOOSE({1,2,3,4},KHP!U321,KHP!AA321,KHP!AG321,KHP!AM321))=3)*(CHOOSE({1,2,3,4},KHP!X321,KHP!AD321,KHP!AJ321,KHP!AP321)))</f>
        <v>0</v>
      </c>
      <c r="D321">
        <f>SUMPRODUCT((MONTH(CHOOSE({1,2,3,4},KHP!U321,KHP!AA321,KHP!AG321,KHP!AM321))=4)*(CHOOSE({1,2,3,4},KHP!X321,KHP!AD321,KHP!AJ321,KHP!AP321)))</f>
        <v>0</v>
      </c>
      <c r="E321">
        <f>SUMPRODUCT((MONTH(CHOOSE({1,2,3,4},KHP!U321,KHP!AA321,KHP!AG321,KHP!AM321))=5)*(CHOOSE({1,2,3,4},KHP!X321,KHP!AD321,KHP!AJ321,KHP!AP321)))</f>
        <v>0</v>
      </c>
      <c r="F321">
        <f>SUMPRODUCT((MONTH(CHOOSE({1,2,3,4},KHP!U321,KHP!AA321,KHP!AG321,KHP!AM321))=6)*(CHOOSE({1,2,3,4},KHP!X321,KHP!AD321,KHP!AJ321,KHP!AP321)))</f>
        <v>0</v>
      </c>
      <c r="G321">
        <f>SUMPRODUCT((MONTH(CHOOSE({1,2,3,4},KHP!U321,KHP!AA321,KHP!AG321,KHP!AM321))=7)*(CHOOSE({1,2,3,4},KHP!X321,KHP!AD321,KHP!AJ321,KHP!AP321)))</f>
        <v>0</v>
      </c>
      <c r="H321">
        <f>SUMPRODUCT((MONTH(CHOOSE({1,2,3,4},KHP!U321,KHP!AA321,KHP!AG321,KHP!AM321))=8)*(CHOOSE({1,2,3,4},KHP!X321,KHP!AD321,KHP!AJ321,KHP!AP321)))</f>
        <v>0</v>
      </c>
      <c r="I321">
        <f>SUMPRODUCT((MONTH(CHOOSE({1,2,3,4},KHP!U321,KHP!AA321,KHP!AG321,KHP!AM321))=9)*(CHOOSE({1,2,3,4},KHP!X321,KHP!AD321,KHP!AJ321,KHP!AP321)))</f>
        <v>0</v>
      </c>
      <c r="J321">
        <f>SUMPRODUCT((MONTH(CHOOSE({1,2,3,4},KHP!U321,KHP!AA321,KHP!AG321,KHP!AM321))=10)*(CHOOSE({1,2,3,4},KHP!X321,KHP!AD321,KHP!AJ321,KHP!AP321)))</f>
        <v>0</v>
      </c>
      <c r="K321">
        <f>SUMPRODUCT((MONTH(CHOOSE({1,2,3,4},KHP!U321,KHP!AA321,KHP!AG321,KHP!AM321))=11)*(CHOOSE({1,2,3,4},KHP!X321,KHP!AD321,KHP!AJ321,KHP!AP321)))</f>
        <v>0</v>
      </c>
      <c r="L321">
        <f>SUMPRODUCT((MONTH(CHOOSE({1,2,3,4},KHP!U321,KHP!AA321,KHP!AG321,KHP!AM321))=12)*(CHOOSE({1,2,3,4},KHP!X321,KHP!AD321,KHP!AJ321,KHP!AP321)))</f>
        <v>0</v>
      </c>
    </row>
    <row r="322" spans="1:12">
      <c r="A322">
        <f>SUMPRODUCT((MONTH(CHOOSE({1,2,3,4},KHP!U322,KHP!AA322,KHP!AG322,KHP!AM322))=1)*(CHOOSE({1,2,3,4},KHP!X322,KHP!AD322,KHP!AJ322,KHP!AP322)))</f>
        <v>0</v>
      </c>
      <c r="B322">
        <f>SUMPRODUCT((MONTH(CHOOSE({1,2,3,4},KHP!U322,KHP!AA322,KHP!AG322,KHP!AM322))=2)*(CHOOSE({1,2,3,4},KHP!X322,KHP!AD322,KHP!AJ322,KHP!AP322)))</f>
        <v>0</v>
      </c>
      <c r="C322">
        <f>SUMPRODUCT((MONTH(CHOOSE({1,2,3,4},KHP!U322,KHP!AA322,KHP!AG322,KHP!AM322))=3)*(CHOOSE({1,2,3,4},KHP!X322,KHP!AD322,KHP!AJ322,KHP!AP322)))</f>
        <v>0</v>
      </c>
      <c r="D322">
        <f>SUMPRODUCT((MONTH(CHOOSE({1,2,3,4},KHP!U322,KHP!AA322,KHP!AG322,KHP!AM322))=4)*(CHOOSE({1,2,3,4},KHP!X322,KHP!AD322,KHP!AJ322,KHP!AP322)))</f>
        <v>0</v>
      </c>
      <c r="E322">
        <f>SUMPRODUCT((MONTH(CHOOSE({1,2,3,4},KHP!U322,KHP!AA322,KHP!AG322,KHP!AM322))=5)*(CHOOSE({1,2,3,4},KHP!X322,KHP!AD322,KHP!AJ322,KHP!AP322)))</f>
        <v>0</v>
      </c>
      <c r="F322">
        <f>SUMPRODUCT((MONTH(CHOOSE({1,2,3,4},KHP!U322,KHP!AA322,KHP!AG322,KHP!AM322))=6)*(CHOOSE({1,2,3,4},KHP!X322,KHP!AD322,KHP!AJ322,KHP!AP322)))</f>
        <v>0</v>
      </c>
      <c r="G322">
        <f>SUMPRODUCT((MONTH(CHOOSE({1,2,3,4},KHP!U322,KHP!AA322,KHP!AG322,KHP!AM322))=7)*(CHOOSE({1,2,3,4},KHP!X322,KHP!AD322,KHP!AJ322,KHP!AP322)))</f>
        <v>0</v>
      </c>
      <c r="H322">
        <f>SUMPRODUCT((MONTH(CHOOSE({1,2,3,4},KHP!U322,KHP!AA322,KHP!AG322,KHP!AM322))=8)*(CHOOSE({1,2,3,4},KHP!X322,KHP!AD322,KHP!AJ322,KHP!AP322)))</f>
        <v>0</v>
      </c>
      <c r="I322">
        <f>SUMPRODUCT((MONTH(CHOOSE({1,2,3,4},KHP!U322,KHP!AA322,KHP!AG322,KHP!AM322))=9)*(CHOOSE({1,2,3,4},KHP!X322,KHP!AD322,KHP!AJ322,KHP!AP322)))</f>
        <v>0</v>
      </c>
      <c r="J322">
        <f>SUMPRODUCT((MONTH(CHOOSE({1,2,3,4},KHP!U322,KHP!AA322,KHP!AG322,KHP!AM322))=10)*(CHOOSE({1,2,3,4},KHP!X322,KHP!AD322,KHP!AJ322,KHP!AP322)))</f>
        <v>0</v>
      </c>
      <c r="K322">
        <f>SUMPRODUCT((MONTH(CHOOSE({1,2,3,4},KHP!U322,KHP!AA322,KHP!AG322,KHP!AM322))=11)*(CHOOSE({1,2,3,4},KHP!X322,KHP!AD322,KHP!AJ322,KHP!AP322)))</f>
        <v>0</v>
      </c>
      <c r="L322">
        <f>SUMPRODUCT((MONTH(CHOOSE({1,2,3,4},KHP!U322,KHP!AA322,KHP!AG322,KHP!AM322))=12)*(CHOOSE({1,2,3,4},KHP!X322,KHP!AD322,KHP!AJ322,KHP!AP322)))</f>
        <v>0</v>
      </c>
    </row>
    <row r="323" spans="1:12">
      <c r="A323">
        <f>SUMPRODUCT((MONTH(CHOOSE({1,2,3,4},KHP!U323,KHP!AA323,KHP!AG323,KHP!AM323))=1)*(CHOOSE({1,2,3,4},KHP!X323,KHP!AD323,KHP!AJ323,KHP!AP323)))</f>
        <v>0</v>
      </c>
      <c r="B323">
        <f>SUMPRODUCT((MONTH(CHOOSE({1,2,3,4},KHP!U323,KHP!AA323,KHP!AG323,KHP!AM323))=2)*(CHOOSE({1,2,3,4},KHP!X323,KHP!AD323,KHP!AJ323,KHP!AP323)))</f>
        <v>0</v>
      </c>
      <c r="C323">
        <f>SUMPRODUCT((MONTH(CHOOSE({1,2,3,4},KHP!U323,KHP!AA323,KHP!AG323,KHP!AM323))=3)*(CHOOSE({1,2,3,4},KHP!X323,KHP!AD323,KHP!AJ323,KHP!AP323)))</f>
        <v>0</v>
      </c>
      <c r="D323">
        <f>SUMPRODUCT((MONTH(CHOOSE({1,2,3,4},KHP!U323,KHP!AA323,KHP!AG323,KHP!AM323))=4)*(CHOOSE({1,2,3,4},KHP!X323,KHP!AD323,KHP!AJ323,KHP!AP323)))</f>
        <v>0</v>
      </c>
      <c r="E323">
        <f>SUMPRODUCT((MONTH(CHOOSE({1,2,3,4},KHP!U323,KHP!AA323,KHP!AG323,KHP!AM323))=5)*(CHOOSE({1,2,3,4},KHP!X323,KHP!AD323,KHP!AJ323,KHP!AP323)))</f>
        <v>0</v>
      </c>
      <c r="F323">
        <f>SUMPRODUCT((MONTH(CHOOSE({1,2,3,4},KHP!U323,KHP!AA323,KHP!AG323,KHP!AM323))=6)*(CHOOSE({1,2,3,4},KHP!X323,KHP!AD323,KHP!AJ323,KHP!AP323)))</f>
        <v>0</v>
      </c>
      <c r="G323">
        <f>SUMPRODUCT((MONTH(CHOOSE({1,2,3,4},KHP!U323,KHP!AA323,KHP!AG323,KHP!AM323))=7)*(CHOOSE({1,2,3,4},KHP!X323,KHP!AD323,KHP!AJ323,KHP!AP323)))</f>
        <v>0</v>
      </c>
      <c r="H323">
        <f>SUMPRODUCT((MONTH(CHOOSE({1,2,3,4},KHP!U323,KHP!AA323,KHP!AG323,KHP!AM323))=8)*(CHOOSE({1,2,3,4},KHP!X323,KHP!AD323,KHP!AJ323,KHP!AP323)))</f>
        <v>0</v>
      </c>
      <c r="I323">
        <f>SUMPRODUCT((MONTH(CHOOSE({1,2,3,4},KHP!U323,KHP!AA323,KHP!AG323,KHP!AM323))=9)*(CHOOSE({1,2,3,4},KHP!X323,KHP!AD323,KHP!AJ323,KHP!AP323)))</f>
        <v>0</v>
      </c>
      <c r="J323">
        <f>SUMPRODUCT((MONTH(CHOOSE({1,2,3,4},KHP!U323,KHP!AA323,KHP!AG323,KHP!AM323))=10)*(CHOOSE({1,2,3,4},KHP!X323,KHP!AD323,KHP!AJ323,KHP!AP323)))</f>
        <v>0</v>
      </c>
      <c r="K323">
        <f>SUMPRODUCT((MONTH(CHOOSE({1,2,3,4},KHP!U323,KHP!AA323,KHP!AG323,KHP!AM323))=11)*(CHOOSE({1,2,3,4},KHP!X323,KHP!AD323,KHP!AJ323,KHP!AP323)))</f>
        <v>0</v>
      </c>
      <c r="L323">
        <f>SUMPRODUCT((MONTH(CHOOSE({1,2,3,4},KHP!U323,KHP!AA323,KHP!AG323,KHP!AM323))=12)*(CHOOSE({1,2,3,4},KHP!X323,KHP!AD323,KHP!AJ323,KHP!AP323)))</f>
        <v>0</v>
      </c>
    </row>
    <row r="324" spans="1:12">
      <c r="A324">
        <f>SUMPRODUCT((MONTH(CHOOSE({1,2,3,4},KHP!U324,KHP!AA324,KHP!AG324,KHP!AM324))=1)*(CHOOSE({1,2,3,4},KHP!X324,KHP!AD324,KHP!AJ324,KHP!AP324)))</f>
        <v>0</v>
      </c>
      <c r="B324">
        <f>SUMPRODUCT((MONTH(CHOOSE({1,2,3,4},KHP!U324,KHP!AA324,KHP!AG324,KHP!AM324))=2)*(CHOOSE({1,2,3,4},KHP!X324,KHP!AD324,KHP!AJ324,KHP!AP324)))</f>
        <v>0</v>
      </c>
      <c r="C324">
        <f>SUMPRODUCT((MONTH(CHOOSE({1,2,3,4},KHP!U324,KHP!AA324,KHP!AG324,KHP!AM324))=3)*(CHOOSE({1,2,3,4},KHP!X324,KHP!AD324,KHP!AJ324,KHP!AP324)))</f>
        <v>0</v>
      </c>
      <c r="D324">
        <f>SUMPRODUCT((MONTH(CHOOSE({1,2,3,4},KHP!U324,KHP!AA324,KHP!AG324,KHP!AM324))=4)*(CHOOSE({1,2,3,4},KHP!X324,KHP!AD324,KHP!AJ324,KHP!AP324)))</f>
        <v>0</v>
      </c>
      <c r="E324">
        <f>SUMPRODUCT((MONTH(CHOOSE({1,2,3,4},KHP!U324,KHP!AA324,KHP!AG324,KHP!AM324))=5)*(CHOOSE({1,2,3,4},KHP!X324,KHP!AD324,KHP!AJ324,KHP!AP324)))</f>
        <v>0</v>
      </c>
      <c r="F324">
        <f>SUMPRODUCT((MONTH(CHOOSE({1,2,3,4},KHP!U324,KHP!AA324,KHP!AG324,KHP!AM324))=6)*(CHOOSE({1,2,3,4},KHP!X324,KHP!AD324,KHP!AJ324,KHP!AP324)))</f>
        <v>0</v>
      </c>
      <c r="G324">
        <f>SUMPRODUCT((MONTH(CHOOSE({1,2,3,4},KHP!U324,KHP!AA324,KHP!AG324,KHP!AM324))=7)*(CHOOSE({1,2,3,4},KHP!X324,KHP!AD324,KHP!AJ324,KHP!AP324)))</f>
        <v>0</v>
      </c>
      <c r="H324">
        <f>SUMPRODUCT((MONTH(CHOOSE({1,2,3,4},KHP!U324,KHP!AA324,KHP!AG324,KHP!AM324))=8)*(CHOOSE({1,2,3,4},KHP!X324,KHP!AD324,KHP!AJ324,KHP!AP324)))</f>
        <v>0</v>
      </c>
      <c r="I324">
        <f>SUMPRODUCT((MONTH(CHOOSE({1,2,3,4},KHP!U324,KHP!AA324,KHP!AG324,KHP!AM324))=9)*(CHOOSE({1,2,3,4},KHP!X324,KHP!AD324,KHP!AJ324,KHP!AP324)))</f>
        <v>0</v>
      </c>
      <c r="J324">
        <f>SUMPRODUCT((MONTH(CHOOSE({1,2,3,4},KHP!U324,KHP!AA324,KHP!AG324,KHP!AM324))=10)*(CHOOSE({1,2,3,4},KHP!X324,KHP!AD324,KHP!AJ324,KHP!AP324)))</f>
        <v>0</v>
      </c>
      <c r="K324">
        <f>SUMPRODUCT((MONTH(CHOOSE({1,2,3,4},KHP!U324,KHP!AA324,KHP!AG324,KHP!AM324))=11)*(CHOOSE({1,2,3,4},KHP!X324,KHP!AD324,KHP!AJ324,KHP!AP324)))</f>
        <v>0</v>
      </c>
      <c r="L324">
        <f>SUMPRODUCT((MONTH(CHOOSE({1,2,3,4},KHP!U324,KHP!AA324,KHP!AG324,KHP!AM324))=12)*(CHOOSE({1,2,3,4},KHP!X324,KHP!AD324,KHP!AJ324,KHP!AP324)))</f>
        <v>0</v>
      </c>
    </row>
    <row r="325" spans="1:12">
      <c r="A325">
        <f>SUMPRODUCT((MONTH(CHOOSE({1,2,3,4},KHP!U325,KHP!AA325,KHP!AG325,KHP!AM325))=1)*(CHOOSE({1,2,3,4},KHP!X325,KHP!AD325,KHP!AJ325,KHP!AP325)))</f>
        <v>0</v>
      </c>
      <c r="B325">
        <f>SUMPRODUCT((MONTH(CHOOSE({1,2,3,4},KHP!U325,KHP!AA325,KHP!AG325,KHP!AM325))=2)*(CHOOSE({1,2,3,4},KHP!X325,KHP!AD325,KHP!AJ325,KHP!AP325)))</f>
        <v>0</v>
      </c>
      <c r="C325">
        <f>SUMPRODUCT((MONTH(CHOOSE({1,2,3,4},KHP!U325,KHP!AA325,KHP!AG325,KHP!AM325))=3)*(CHOOSE({1,2,3,4},KHP!X325,KHP!AD325,KHP!AJ325,KHP!AP325)))</f>
        <v>0</v>
      </c>
      <c r="D325">
        <f>SUMPRODUCT((MONTH(CHOOSE({1,2,3,4},KHP!U325,KHP!AA325,KHP!AG325,KHP!AM325))=4)*(CHOOSE({1,2,3,4},KHP!X325,KHP!AD325,KHP!AJ325,KHP!AP325)))</f>
        <v>0</v>
      </c>
      <c r="E325">
        <f>SUMPRODUCT((MONTH(CHOOSE({1,2,3,4},KHP!U325,KHP!AA325,KHP!AG325,KHP!AM325))=5)*(CHOOSE({1,2,3,4},KHP!X325,KHP!AD325,KHP!AJ325,KHP!AP325)))</f>
        <v>0</v>
      </c>
      <c r="F325">
        <f>SUMPRODUCT((MONTH(CHOOSE({1,2,3,4},KHP!U325,KHP!AA325,KHP!AG325,KHP!AM325))=6)*(CHOOSE({1,2,3,4},KHP!X325,KHP!AD325,KHP!AJ325,KHP!AP325)))</f>
        <v>0</v>
      </c>
      <c r="G325">
        <f>SUMPRODUCT((MONTH(CHOOSE({1,2,3,4},KHP!U325,KHP!AA325,KHP!AG325,KHP!AM325))=7)*(CHOOSE({1,2,3,4},KHP!X325,KHP!AD325,KHP!AJ325,KHP!AP325)))</f>
        <v>0</v>
      </c>
      <c r="H325">
        <f>SUMPRODUCT((MONTH(CHOOSE({1,2,3,4},KHP!U325,KHP!AA325,KHP!AG325,KHP!AM325))=8)*(CHOOSE({1,2,3,4},KHP!X325,KHP!AD325,KHP!AJ325,KHP!AP325)))</f>
        <v>0</v>
      </c>
      <c r="I325">
        <f>SUMPRODUCT((MONTH(CHOOSE({1,2,3,4},KHP!U325,KHP!AA325,KHP!AG325,KHP!AM325))=9)*(CHOOSE({1,2,3,4},KHP!X325,KHP!AD325,KHP!AJ325,KHP!AP325)))</f>
        <v>0</v>
      </c>
      <c r="J325">
        <f>SUMPRODUCT((MONTH(CHOOSE({1,2,3,4},KHP!U325,KHP!AA325,KHP!AG325,KHP!AM325))=10)*(CHOOSE({1,2,3,4},KHP!X325,KHP!AD325,KHP!AJ325,KHP!AP325)))</f>
        <v>0</v>
      </c>
      <c r="K325">
        <f>SUMPRODUCT((MONTH(CHOOSE({1,2,3,4},KHP!U325,KHP!AA325,KHP!AG325,KHP!AM325))=11)*(CHOOSE({1,2,3,4},KHP!X325,KHP!AD325,KHP!AJ325,KHP!AP325)))</f>
        <v>0</v>
      </c>
      <c r="L325">
        <f>SUMPRODUCT((MONTH(CHOOSE({1,2,3,4},KHP!U325,KHP!AA325,KHP!AG325,KHP!AM325))=12)*(CHOOSE({1,2,3,4},KHP!X325,KHP!AD325,KHP!AJ325,KHP!AP325)))</f>
        <v>0</v>
      </c>
    </row>
    <row r="326" spans="1:12">
      <c r="A326">
        <f>SUMPRODUCT((MONTH(CHOOSE({1,2,3,4},KHP!U326,KHP!AA326,KHP!AG326,KHP!AM326))=1)*(CHOOSE({1,2,3,4},KHP!X326,KHP!AD326,KHP!AJ326,KHP!AP326)))</f>
        <v>0</v>
      </c>
      <c r="B326">
        <f>SUMPRODUCT((MONTH(CHOOSE({1,2,3,4},KHP!U326,KHP!AA326,KHP!AG326,KHP!AM326))=2)*(CHOOSE({1,2,3,4},KHP!X326,KHP!AD326,KHP!AJ326,KHP!AP326)))</f>
        <v>0</v>
      </c>
      <c r="C326">
        <f>SUMPRODUCT((MONTH(CHOOSE({1,2,3,4},KHP!U326,KHP!AA326,KHP!AG326,KHP!AM326))=3)*(CHOOSE({1,2,3,4},KHP!X326,KHP!AD326,KHP!AJ326,KHP!AP326)))</f>
        <v>0</v>
      </c>
      <c r="D326">
        <f>SUMPRODUCT((MONTH(CHOOSE({1,2,3,4},KHP!U326,KHP!AA326,KHP!AG326,KHP!AM326))=4)*(CHOOSE({1,2,3,4},KHP!X326,KHP!AD326,KHP!AJ326,KHP!AP326)))</f>
        <v>0</v>
      </c>
      <c r="E326">
        <f>SUMPRODUCT((MONTH(CHOOSE({1,2,3,4},KHP!U326,KHP!AA326,KHP!AG326,KHP!AM326))=5)*(CHOOSE({1,2,3,4},KHP!X326,KHP!AD326,KHP!AJ326,KHP!AP326)))</f>
        <v>0</v>
      </c>
      <c r="F326">
        <f>SUMPRODUCT((MONTH(CHOOSE({1,2,3,4},KHP!U326,KHP!AA326,KHP!AG326,KHP!AM326))=6)*(CHOOSE({1,2,3,4},KHP!X326,KHP!AD326,KHP!AJ326,KHP!AP326)))</f>
        <v>0</v>
      </c>
      <c r="G326">
        <f>SUMPRODUCT((MONTH(CHOOSE({1,2,3,4},KHP!U326,KHP!AA326,KHP!AG326,KHP!AM326))=7)*(CHOOSE({1,2,3,4},KHP!X326,KHP!AD326,KHP!AJ326,KHP!AP326)))</f>
        <v>0</v>
      </c>
      <c r="H326">
        <f>SUMPRODUCT((MONTH(CHOOSE({1,2,3,4},KHP!U326,KHP!AA326,KHP!AG326,KHP!AM326))=8)*(CHOOSE({1,2,3,4},KHP!X326,KHP!AD326,KHP!AJ326,KHP!AP326)))</f>
        <v>0</v>
      </c>
      <c r="I326">
        <f>SUMPRODUCT((MONTH(CHOOSE({1,2,3,4},KHP!U326,KHP!AA326,KHP!AG326,KHP!AM326))=9)*(CHOOSE({1,2,3,4},KHP!X326,KHP!AD326,KHP!AJ326,KHP!AP326)))</f>
        <v>0</v>
      </c>
      <c r="J326">
        <f>SUMPRODUCT((MONTH(CHOOSE({1,2,3,4},KHP!U326,KHP!AA326,KHP!AG326,KHP!AM326))=10)*(CHOOSE({1,2,3,4},KHP!X326,KHP!AD326,KHP!AJ326,KHP!AP326)))</f>
        <v>0</v>
      </c>
      <c r="K326">
        <f>SUMPRODUCT((MONTH(CHOOSE({1,2,3,4},KHP!U326,KHP!AA326,KHP!AG326,KHP!AM326))=11)*(CHOOSE({1,2,3,4},KHP!X326,KHP!AD326,KHP!AJ326,KHP!AP326)))</f>
        <v>0</v>
      </c>
      <c r="L326">
        <f>SUMPRODUCT((MONTH(CHOOSE({1,2,3,4},KHP!U326,KHP!AA326,KHP!AG326,KHP!AM326))=12)*(CHOOSE({1,2,3,4},KHP!X326,KHP!AD326,KHP!AJ326,KHP!AP326)))</f>
        <v>0</v>
      </c>
    </row>
    <row r="327" spans="1:12">
      <c r="A327">
        <f>SUMPRODUCT((MONTH(CHOOSE({1,2,3,4},KHP!U327,KHP!AA327,KHP!AG327,KHP!AM327))=1)*(CHOOSE({1,2,3,4},KHP!X327,KHP!AD327,KHP!AJ327,KHP!AP327)))</f>
        <v>0</v>
      </c>
      <c r="B327">
        <f>SUMPRODUCT((MONTH(CHOOSE({1,2,3,4},KHP!U327,KHP!AA327,KHP!AG327,KHP!AM327))=2)*(CHOOSE({1,2,3,4},KHP!X327,KHP!AD327,KHP!AJ327,KHP!AP327)))</f>
        <v>0</v>
      </c>
      <c r="C327">
        <f>SUMPRODUCT((MONTH(CHOOSE({1,2,3,4},KHP!U327,KHP!AA327,KHP!AG327,KHP!AM327))=3)*(CHOOSE({1,2,3,4},KHP!X327,KHP!AD327,KHP!AJ327,KHP!AP327)))</f>
        <v>0</v>
      </c>
      <c r="D327">
        <f>SUMPRODUCT((MONTH(CHOOSE({1,2,3,4},KHP!U327,KHP!AA327,KHP!AG327,KHP!AM327))=4)*(CHOOSE({1,2,3,4},KHP!X327,KHP!AD327,KHP!AJ327,KHP!AP327)))</f>
        <v>0</v>
      </c>
      <c r="E327">
        <f>SUMPRODUCT((MONTH(CHOOSE({1,2,3,4},KHP!U327,KHP!AA327,KHP!AG327,KHP!AM327))=5)*(CHOOSE({1,2,3,4},KHP!X327,KHP!AD327,KHP!AJ327,KHP!AP327)))</f>
        <v>0</v>
      </c>
      <c r="F327">
        <f>SUMPRODUCT((MONTH(CHOOSE({1,2,3,4},KHP!U327,KHP!AA327,KHP!AG327,KHP!AM327))=6)*(CHOOSE({1,2,3,4},KHP!X327,KHP!AD327,KHP!AJ327,KHP!AP327)))</f>
        <v>0</v>
      </c>
      <c r="G327">
        <f>SUMPRODUCT((MONTH(CHOOSE({1,2,3,4},KHP!U327,KHP!AA327,KHP!AG327,KHP!AM327))=7)*(CHOOSE({1,2,3,4},KHP!X327,KHP!AD327,KHP!AJ327,KHP!AP327)))</f>
        <v>0</v>
      </c>
      <c r="H327">
        <f>SUMPRODUCT((MONTH(CHOOSE({1,2,3,4},KHP!U327,KHP!AA327,KHP!AG327,KHP!AM327))=8)*(CHOOSE({1,2,3,4},KHP!X327,KHP!AD327,KHP!AJ327,KHP!AP327)))</f>
        <v>0</v>
      </c>
      <c r="I327">
        <f>SUMPRODUCT((MONTH(CHOOSE({1,2,3,4},KHP!U327,KHP!AA327,KHP!AG327,KHP!AM327))=9)*(CHOOSE({1,2,3,4},KHP!X327,KHP!AD327,KHP!AJ327,KHP!AP327)))</f>
        <v>0</v>
      </c>
      <c r="J327">
        <f>SUMPRODUCT((MONTH(CHOOSE({1,2,3,4},KHP!U327,KHP!AA327,KHP!AG327,KHP!AM327))=10)*(CHOOSE({1,2,3,4},KHP!X327,KHP!AD327,KHP!AJ327,KHP!AP327)))</f>
        <v>0</v>
      </c>
      <c r="K327">
        <f>SUMPRODUCT((MONTH(CHOOSE({1,2,3,4},KHP!U327,KHP!AA327,KHP!AG327,KHP!AM327))=11)*(CHOOSE({1,2,3,4},KHP!X327,KHP!AD327,KHP!AJ327,KHP!AP327)))</f>
        <v>0</v>
      </c>
      <c r="L327">
        <f>SUMPRODUCT((MONTH(CHOOSE({1,2,3,4},KHP!U327,KHP!AA327,KHP!AG327,KHP!AM327))=12)*(CHOOSE({1,2,3,4},KHP!X327,KHP!AD327,KHP!AJ327,KHP!AP327)))</f>
        <v>0</v>
      </c>
    </row>
    <row r="328" spans="1:12">
      <c r="A328">
        <f>SUMPRODUCT((MONTH(CHOOSE({1,2,3,4},KHP!U328,KHP!AA328,KHP!AG328,KHP!AM328))=1)*(CHOOSE({1,2,3,4},KHP!X328,KHP!AD328,KHP!AJ328,KHP!AP328)))</f>
        <v>0</v>
      </c>
      <c r="B328">
        <f>SUMPRODUCT((MONTH(CHOOSE({1,2,3,4},KHP!U328,KHP!AA328,KHP!AG328,KHP!AM328))=2)*(CHOOSE({1,2,3,4},KHP!X328,KHP!AD328,KHP!AJ328,KHP!AP328)))</f>
        <v>0</v>
      </c>
      <c r="C328">
        <f>SUMPRODUCT((MONTH(CHOOSE({1,2,3,4},KHP!U328,KHP!AA328,KHP!AG328,KHP!AM328))=3)*(CHOOSE({1,2,3,4},KHP!X328,KHP!AD328,KHP!AJ328,KHP!AP328)))</f>
        <v>0</v>
      </c>
      <c r="D328">
        <f>SUMPRODUCT((MONTH(CHOOSE({1,2,3,4},KHP!U328,KHP!AA328,KHP!AG328,KHP!AM328))=4)*(CHOOSE({1,2,3,4},KHP!X328,KHP!AD328,KHP!AJ328,KHP!AP328)))</f>
        <v>0</v>
      </c>
      <c r="E328">
        <f>SUMPRODUCT((MONTH(CHOOSE({1,2,3,4},KHP!U328,KHP!AA328,KHP!AG328,KHP!AM328))=5)*(CHOOSE({1,2,3,4},KHP!X328,KHP!AD328,KHP!AJ328,KHP!AP328)))</f>
        <v>0</v>
      </c>
      <c r="F328">
        <f>SUMPRODUCT((MONTH(CHOOSE({1,2,3,4},KHP!U328,KHP!AA328,KHP!AG328,KHP!AM328))=6)*(CHOOSE({1,2,3,4},KHP!X328,KHP!AD328,KHP!AJ328,KHP!AP328)))</f>
        <v>0</v>
      </c>
      <c r="G328">
        <f>SUMPRODUCT((MONTH(CHOOSE({1,2,3,4},KHP!U328,KHP!AA328,KHP!AG328,KHP!AM328))=7)*(CHOOSE({1,2,3,4},KHP!X328,KHP!AD328,KHP!AJ328,KHP!AP328)))</f>
        <v>0</v>
      </c>
      <c r="H328">
        <f>SUMPRODUCT((MONTH(CHOOSE({1,2,3,4},KHP!U328,KHP!AA328,KHP!AG328,KHP!AM328))=8)*(CHOOSE({1,2,3,4},KHP!X328,KHP!AD328,KHP!AJ328,KHP!AP328)))</f>
        <v>0</v>
      </c>
      <c r="I328">
        <f>SUMPRODUCT((MONTH(CHOOSE({1,2,3,4},KHP!U328,KHP!AA328,KHP!AG328,KHP!AM328))=9)*(CHOOSE({1,2,3,4},KHP!X328,KHP!AD328,KHP!AJ328,KHP!AP328)))</f>
        <v>0</v>
      </c>
      <c r="J328">
        <f>SUMPRODUCT((MONTH(CHOOSE({1,2,3,4},KHP!U328,KHP!AA328,KHP!AG328,KHP!AM328))=10)*(CHOOSE({1,2,3,4},KHP!X328,KHP!AD328,KHP!AJ328,KHP!AP328)))</f>
        <v>0</v>
      </c>
      <c r="K328">
        <f>SUMPRODUCT((MONTH(CHOOSE({1,2,3,4},KHP!U328,KHP!AA328,KHP!AG328,KHP!AM328))=11)*(CHOOSE({1,2,3,4},KHP!X328,KHP!AD328,KHP!AJ328,KHP!AP328)))</f>
        <v>0</v>
      </c>
      <c r="L328">
        <f>SUMPRODUCT((MONTH(CHOOSE({1,2,3,4},KHP!U328,KHP!AA328,KHP!AG328,KHP!AM328))=12)*(CHOOSE({1,2,3,4},KHP!X328,KHP!AD328,KHP!AJ328,KHP!AP328)))</f>
        <v>0</v>
      </c>
    </row>
    <row r="329" spans="1:12">
      <c r="A329">
        <f>SUMPRODUCT((MONTH(CHOOSE({1,2,3,4},KHP!U329,KHP!AA329,KHP!AG329,KHP!AM329))=1)*(CHOOSE({1,2,3,4},KHP!X329,KHP!AD329,KHP!AJ329,KHP!AP329)))</f>
        <v>0</v>
      </c>
      <c r="B329">
        <f>SUMPRODUCT((MONTH(CHOOSE({1,2,3,4},KHP!U329,KHP!AA329,KHP!AG329,KHP!AM329))=2)*(CHOOSE({1,2,3,4},KHP!X329,KHP!AD329,KHP!AJ329,KHP!AP329)))</f>
        <v>0</v>
      </c>
      <c r="C329">
        <f>SUMPRODUCT((MONTH(CHOOSE({1,2,3,4},KHP!U329,KHP!AA329,KHP!AG329,KHP!AM329))=3)*(CHOOSE({1,2,3,4},KHP!X329,KHP!AD329,KHP!AJ329,KHP!AP329)))</f>
        <v>0</v>
      </c>
      <c r="D329">
        <f>SUMPRODUCT((MONTH(CHOOSE({1,2,3,4},KHP!U329,KHP!AA329,KHP!AG329,KHP!AM329))=4)*(CHOOSE({1,2,3,4},KHP!X329,KHP!AD329,KHP!AJ329,KHP!AP329)))</f>
        <v>0</v>
      </c>
      <c r="E329">
        <f>SUMPRODUCT((MONTH(CHOOSE({1,2,3,4},KHP!U329,KHP!AA329,KHP!AG329,KHP!AM329))=5)*(CHOOSE({1,2,3,4},KHP!X329,KHP!AD329,KHP!AJ329,KHP!AP329)))</f>
        <v>0</v>
      </c>
      <c r="F329">
        <f>SUMPRODUCT((MONTH(CHOOSE({1,2,3,4},KHP!U329,KHP!AA329,KHP!AG329,KHP!AM329))=6)*(CHOOSE({1,2,3,4},KHP!X329,KHP!AD329,KHP!AJ329,KHP!AP329)))</f>
        <v>0</v>
      </c>
      <c r="G329">
        <f>SUMPRODUCT((MONTH(CHOOSE({1,2,3,4},KHP!U329,KHP!AA329,KHP!AG329,KHP!AM329))=7)*(CHOOSE({1,2,3,4},KHP!X329,KHP!AD329,KHP!AJ329,KHP!AP329)))</f>
        <v>0</v>
      </c>
      <c r="H329">
        <f>SUMPRODUCT((MONTH(CHOOSE({1,2,3,4},KHP!U329,KHP!AA329,KHP!AG329,KHP!AM329))=8)*(CHOOSE({1,2,3,4},KHP!X329,KHP!AD329,KHP!AJ329,KHP!AP329)))</f>
        <v>0</v>
      </c>
      <c r="I329">
        <f>SUMPRODUCT((MONTH(CHOOSE({1,2,3,4},KHP!U329,KHP!AA329,KHP!AG329,KHP!AM329))=9)*(CHOOSE({1,2,3,4},KHP!X329,KHP!AD329,KHP!AJ329,KHP!AP329)))</f>
        <v>0</v>
      </c>
      <c r="J329">
        <f>SUMPRODUCT((MONTH(CHOOSE({1,2,3,4},KHP!U329,KHP!AA329,KHP!AG329,KHP!AM329))=10)*(CHOOSE({1,2,3,4},KHP!X329,KHP!AD329,KHP!AJ329,KHP!AP329)))</f>
        <v>0</v>
      </c>
      <c r="K329">
        <f>SUMPRODUCT((MONTH(CHOOSE({1,2,3,4},KHP!U329,KHP!AA329,KHP!AG329,KHP!AM329))=11)*(CHOOSE({1,2,3,4},KHP!X329,KHP!AD329,KHP!AJ329,KHP!AP329)))</f>
        <v>0</v>
      </c>
      <c r="L329">
        <f>SUMPRODUCT((MONTH(CHOOSE({1,2,3,4},KHP!U329,KHP!AA329,KHP!AG329,KHP!AM329))=12)*(CHOOSE({1,2,3,4},KHP!X329,KHP!AD329,KHP!AJ329,KHP!AP329)))</f>
        <v>0</v>
      </c>
    </row>
    <row r="330" spans="1:12">
      <c r="A330">
        <f>SUMPRODUCT((MONTH(CHOOSE({1,2,3,4},KHP!U330,KHP!AA330,KHP!AG330,KHP!AM330))=1)*(CHOOSE({1,2,3,4},KHP!X330,KHP!AD330,KHP!AJ330,KHP!AP330)))</f>
        <v>0</v>
      </c>
      <c r="B330">
        <f>SUMPRODUCT((MONTH(CHOOSE({1,2,3,4},KHP!U330,KHP!AA330,KHP!AG330,KHP!AM330))=2)*(CHOOSE({1,2,3,4},KHP!X330,KHP!AD330,KHP!AJ330,KHP!AP330)))</f>
        <v>0</v>
      </c>
      <c r="C330">
        <f>SUMPRODUCT((MONTH(CHOOSE({1,2,3,4},KHP!U330,KHP!AA330,KHP!AG330,KHP!AM330))=3)*(CHOOSE({1,2,3,4},KHP!X330,KHP!AD330,KHP!AJ330,KHP!AP330)))</f>
        <v>0</v>
      </c>
      <c r="D330">
        <f>SUMPRODUCT((MONTH(CHOOSE({1,2,3,4},KHP!U330,KHP!AA330,KHP!AG330,KHP!AM330))=4)*(CHOOSE({1,2,3,4},KHP!X330,KHP!AD330,KHP!AJ330,KHP!AP330)))</f>
        <v>0</v>
      </c>
      <c r="E330">
        <f>SUMPRODUCT((MONTH(CHOOSE({1,2,3,4},KHP!U330,KHP!AA330,KHP!AG330,KHP!AM330))=5)*(CHOOSE({1,2,3,4},KHP!X330,KHP!AD330,KHP!AJ330,KHP!AP330)))</f>
        <v>0</v>
      </c>
      <c r="F330">
        <f>SUMPRODUCT((MONTH(CHOOSE({1,2,3,4},KHP!U330,KHP!AA330,KHP!AG330,KHP!AM330))=6)*(CHOOSE({1,2,3,4},KHP!X330,KHP!AD330,KHP!AJ330,KHP!AP330)))</f>
        <v>0</v>
      </c>
      <c r="G330">
        <f>SUMPRODUCT((MONTH(CHOOSE({1,2,3,4},KHP!U330,KHP!AA330,KHP!AG330,KHP!AM330))=7)*(CHOOSE({1,2,3,4},KHP!X330,KHP!AD330,KHP!AJ330,KHP!AP330)))</f>
        <v>0</v>
      </c>
      <c r="H330">
        <f>SUMPRODUCT((MONTH(CHOOSE({1,2,3,4},KHP!U330,KHP!AA330,KHP!AG330,KHP!AM330))=8)*(CHOOSE({1,2,3,4},KHP!X330,KHP!AD330,KHP!AJ330,KHP!AP330)))</f>
        <v>0</v>
      </c>
      <c r="I330">
        <f>SUMPRODUCT((MONTH(CHOOSE({1,2,3,4},KHP!U330,KHP!AA330,KHP!AG330,KHP!AM330))=9)*(CHOOSE({1,2,3,4},KHP!X330,KHP!AD330,KHP!AJ330,KHP!AP330)))</f>
        <v>0</v>
      </c>
      <c r="J330">
        <f>SUMPRODUCT((MONTH(CHOOSE({1,2,3,4},KHP!U330,KHP!AA330,KHP!AG330,KHP!AM330))=10)*(CHOOSE({1,2,3,4},KHP!X330,KHP!AD330,KHP!AJ330,KHP!AP330)))</f>
        <v>0</v>
      </c>
      <c r="K330">
        <f>SUMPRODUCT((MONTH(CHOOSE({1,2,3,4},KHP!U330,KHP!AA330,KHP!AG330,KHP!AM330))=11)*(CHOOSE({1,2,3,4},KHP!X330,KHP!AD330,KHP!AJ330,KHP!AP330)))</f>
        <v>0</v>
      </c>
      <c r="L330">
        <f>SUMPRODUCT((MONTH(CHOOSE({1,2,3,4},KHP!U330,KHP!AA330,KHP!AG330,KHP!AM330))=12)*(CHOOSE({1,2,3,4},KHP!X330,KHP!AD330,KHP!AJ330,KHP!AP330)))</f>
        <v>0</v>
      </c>
    </row>
    <row r="331" spans="1:12">
      <c r="A331">
        <f>SUMPRODUCT((MONTH(CHOOSE({1,2,3,4},KHP!U331,KHP!AA331,KHP!AG331,KHP!AM331))=1)*(CHOOSE({1,2,3,4},KHP!X331,KHP!AD331,KHP!AJ331,KHP!AP331)))</f>
        <v>0</v>
      </c>
      <c r="B331">
        <f>SUMPRODUCT((MONTH(CHOOSE({1,2,3,4},KHP!U331,KHP!AA331,KHP!AG331,KHP!AM331))=2)*(CHOOSE({1,2,3,4},KHP!X331,KHP!AD331,KHP!AJ331,KHP!AP331)))</f>
        <v>0</v>
      </c>
      <c r="C331">
        <f>SUMPRODUCT((MONTH(CHOOSE({1,2,3,4},KHP!U331,KHP!AA331,KHP!AG331,KHP!AM331))=3)*(CHOOSE({1,2,3,4},KHP!X331,KHP!AD331,KHP!AJ331,KHP!AP331)))</f>
        <v>0</v>
      </c>
      <c r="D331">
        <f>SUMPRODUCT((MONTH(CHOOSE({1,2,3,4},KHP!U331,KHP!AA331,KHP!AG331,KHP!AM331))=4)*(CHOOSE({1,2,3,4},KHP!X331,KHP!AD331,KHP!AJ331,KHP!AP331)))</f>
        <v>0</v>
      </c>
      <c r="E331">
        <f>SUMPRODUCT((MONTH(CHOOSE({1,2,3,4},KHP!U331,KHP!AA331,KHP!AG331,KHP!AM331))=5)*(CHOOSE({1,2,3,4},KHP!X331,KHP!AD331,KHP!AJ331,KHP!AP331)))</f>
        <v>0</v>
      </c>
      <c r="F331">
        <f>SUMPRODUCT((MONTH(CHOOSE({1,2,3,4},KHP!U331,KHP!AA331,KHP!AG331,KHP!AM331))=6)*(CHOOSE({1,2,3,4},KHP!X331,KHP!AD331,KHP!AJ331,KHP!AP331)))</f>
        <v>0</v>
      </c>
      <c r="G331">
        <f>SUMPRODUCT((MONTH(CHOOSE({1,2,3,4},KHP!U331,KHP!AA331,KHP!AG331,KHP!AM331))=7)*(CHOOSE({1,2,3,4},KHP!X331,KHP!AD331,KHP!AJ331,KHP!AP331)))</f>
        <v>0</v>
      </c>
      <c r="H331">
        <f>SUMPRODUCT((MONTH(CHOOSE({1,2,3,4},KHP!U331,KHP!AA331,KHP!AG331,KHP!AM331))=8)*(CHOOSE({1,2,3,4},KHP!X331,KHP!AD331,KHP!AJ331,KHP!AP331)))</f>
        <v>0</v>
      </c>
      <c r="I331">
        <f>SUMPRODUCT((MONTH(CHOOSE({1,2,3,4},KHP!U331,KHP!AA331,KHP!AG331,KHP!AM331))=9)*(CHOOSE({1,2,3,4},KHP!X331,KHP!AD331,KHP!AJ331,KHP!AP331)))</f>
        <v>0</v>
      </c>
      <c r="J331">
        <f>SUMPRODUCT((MONTH(CHOOSE({1,2,3,4},KHP!U331,KHP!AA331,KHP!AG331,KHP!AM331))=10)*(CHOOSE({1,2,3,4},KHP!X331,KHP!AD331,KHP!AJ331,KHP!AP331)))</f>
        <v>0</v>
      </c>
      <c r="K331">
        <f>SUMPRODUCT((MONTH(CHOOSE({1,2,3,4},KHP!U331,KHP!AA331,KHP!AG331,KHP!AM331))=11)*(CHOOSE({1,2,3,4},KHP!X331,KHP!AD331,KHP!AJ331,KHP!AP331)))</f>
        <v>0</v>
      </c>
      <c r="L331">
        <f>SUMPRODUCT((MONTH(CHOOSE({1,2,3,4},KHP!U331,KHP!AA331,KHP!AG331,KHP!AM331))=12)*(CHOOSE({1,2,3,4},KHP!X331,KHP!AD331,KHP!AJ331,KHP!AP331)))</f>
        <v>0</v>
      </c>
    </row>
    <row r="332" spans="1:12">
      <c r="A332">
        <f>SUMPRODUCT((MONTH(CHOOSE({1,2,3,4},KHP!U332,KHP!AA332,KHP!AG332,KHP!AM332))=1)*(CHOOSE({1,2,3,4},KHP!X332,KHP!AD332,KHP!AJ332,KHP!AP332)))</f>
        <v>0</v>
      </c>
      <c r="B332">
        <f>SUMPRODUCT((MONTH(CHOOSE({1,2,3,4},KHP!U332,KHP!AA332,KHP!AG332,KHP!AM332))=2)*(CHOOSE({1,2,3,4},KHP!X332,KHP!AD332,KHP!AJ332,KHP!AP332)))</f>
        <v>0</v>
      </c>
      <c r="C332">
        <f>SUMPRODUCT((MONTH(CHOOSE({1,2,3,4},KHP!U332,KHP!AA332,KHP!AG332,KHP!AM332))=3)*(CHOOSE({1,2,3,4},KHP!X332,KHP!AD332,KHP!AJ332,KHP!AP332)))</f>
        <v>0</v>
      </c>
      <c r="D332">
        <f>SUMPRODUCT((MONTH(CHOOSE({1,2,3,4},KHP!U332,KHP!AA332,KHP!AG332,KHP!AM332))=4)*(CHOOSE({1,2,3,4},KHP!X332,KHP!AD332,KHP!AJ332,KHP!AP332)))</f>
        <v>0</v>
      </c>
      <c r="E332">
        <f>SUMPRODUCT((MONTH(CHOOSE({1,2,3,4},KHP!U332,KHP!AA332,KHP!AG332,KHP!AM332))=5)*(CHOOSE({1,2,3,4},KHP!X332,KHP!AD332,KHP!AJ332,KHP!AP332)))</f>
        <v>0</v>
      </c>
      <c r="F332">
        <f>SUMPRODUCT((MONTH(CHOOSE({1,2,3,4},KHP!U332,KHP!AA332,KHP!AG332,KHP!AM332))=6)*(CHOOSE({1,2,3,4},KHP!X332,KHP!AD332,KHP!AJ332,KHP!AP332)))</f>
        <v>0</v>
      </c>
      <c r="G332">
        <f>SUMPRODUCT((MONTH(CHOOSE({1,2,3,4},KHP!U332,KHP!AA332,KHP!AG332,KHP!AM332))=7)*(CHOOSE({1,2,3,4},KHP!X332,KHP!AD332,KHP!AJ332,KHP!AP332)))</f>
        <v>0</v>
      </c>
      <c r="H332">
        <f>SUMPRODUCT((MONTH(CHOOSE({1,2,3,4},KHP!U332,KHP!AA332,KHP!AG332,KHP!AM332))=8)*(CHOOSE({1,2,3,4},KHP!X332,KHP!AD332,KHP!AJ332,KHP!AP332)))</f>
        <v>0</v>
      </c>
      <c r="I332">
        <f>SUMPRODUCT((MONTH(CHOOSE({1,2,3,4},KHP!U332,KHP!AA332,KHP!AG332,KHP!AM332))=9)*(CHOOSE({1,2,3,4},KHP!X332,KHP!AD332,KHP!AJ332,KHP!AP332)))</f>
        <v>0</v>
      </c>
      <c r="J332">
        <f>SUMPRODUCT((MONTH(CHOOSE({1,2,3,4},KHP!U332,KHP!AA332,KHP!AG332,KHP!AM332))=10)*(CHOOSE({1,2,3,4},KHP!X332,KHP!AD332,KHP!AJ332,KHP!AP332)))</f>
        <v>0</v>
      </c>
      <c r="K332">
        <f>SUMPRODUCT((MONTH(CHOOSE({1,2,3,4},KHP!U332,KHP!AA332,KHP!AG332,KHP!AM332))=11)*(CHOOSE({1,2,3,4},KHP!X332,KHP!AD332,KHP!AJ332,KHP!AP332)))</f>
        <v>0</v>
      </c>
      <c r="L332">
        <f>SUMPRODUCT((MONTH(CHOOSE({1,2,3,4},KHP!U332,KHP!AA332,KHP!AG332,KHP!AM332))=12)*(CHOOSE({1,2,3,4},KHP!X332,KHP!AD332,KHP!AJ332,KHP!AP332)))</f>
        <v>0</v>
      </c>
    </row>
    <row r="333" spans="1:12">
      <c r="A333">
        <f>SUMPRODUCT((MONTH(CHOOSE({1,2,3,4},KHP!U333,KHP!AA333,KHP!AG333,KHP!AM333))=1)*(CHOOSE({1,2,3,4},KHP!X333,KHP!AD333,KHP!AJ333,KHP!AP333)))</f>
        <v>0</v>
      </c>
      <c r="B333">
        <f>SUMPRODUCT((MONTH(CHOOSE({1,2,3,4},KHP!U333,KHP!AA333,KHP!AG333,KHP!AM333))=2)*(CHOOSE({1,2,3,4},KHP!X333,KHP!AD333,KHP!AJ333,KHP!AP333)))</f>
        <v>0</v>
      </c>
      <c r="C333">
        <f>SUMPRODUCT((MONTH(CHOOSE({1,2,3,4},KHP!U333,KHP!AA333,KHP!AG333,KHP!AM333))=3)*(CHOOSE({1,2,3,4},KHP!X333,KHP!AD333,KHP!AJ333,KHP!AP333)))</f>
        <v>0</v>
      </c>
      <c r="D333">
        <f>SUMPRODUCT((MONTH(CHOOSE({1,2,3,4},KHP!U333,KHP!AA333,KHP!AG333,KHP!AM333))=4)*(CHOOSE({1,2,3,4},KHP!X333,KHP!AD333,KHP!AJ333,KHP!AP333)))</f>
        <v>0</v>
      </c>
      <c r="E333">
        <f>SUMPRODUCT((MONTH(CHOOSE({1,2,3,4},KHP!U333,KHP!AA333,KHP!AG333,KHP!AM333))=5)*(CHOOSE({1,2,3,4},KHP!X333,KHP!AD333,KHP!AJ333,KHP!AP333)))</f>
        <v>0</v>
      </c>
      <c r="F333">
        <f>SUMPRODUCT((MONTH(CHOOSE({1,2,3,4},KHP!U333,KHP!AA333,KHP!AG333,KHP!AM333))=6)*(CHOOSE({1,2,3,4},KHP!X333,KHP!AD333,KHP!AJ333,KHP!AP333)))</f>
        <v>0</v>
      </c>
      <c r="G333">
        <f>SUMPRODUCT((MONTH(CHOOSE({1,2,3,4},KHP!U333,KHP!AA333,KHP!AG333,KHP!AM333))=7)*(CHOOSE({1,2,3,4},KHP!X333,KHP!AD333,KHP!AJ333,KHP!AP333)))</f>
        <v>0</v>
      </c>
      <c r="H333">
        <f>SUMPRODUCT((MONTH(CHOOSE({1,2,3,4},KHP!U333,KHP!AA333,KHP!AG333,KHP!AM333))=8)*(CHOOSE({1,2,3,4},KHP!X333,KHP!AD333,KHP!AJ333,KHP!AP333)))</f>
        <v>0</v>
      </c>
      <c r="I333">
        <f>SUMPRODUCT((MONTH(CHOOSE({1,2,3,4},KHP!U333,KHP!AA333,KHP!AG333,KHP!AM333))=9)*(CHOOSE({1,2,3,4},KHP!X333,KHP!AD333,KHP!AJ333,KHP!AP333)))</f>
        <v>0</v>
      </c>
      <c r="J333">
        <f>SUMPRODUCT((MONTH(CHOOSE({1,2,3,4},KHP!U333,KHP!AA333,KHP!AG333,KHP!AM333))=10)*(CHOOSE({1,2,3,4},KHP!X333,KHP!AD333,KHP!AJ333,KHP!AP333)))</f>
        <v>0</v>
      </c>
      <c r="K333">
        <f>SUMPRODUCT((MONTH(CHOOSE({1,2,3,4},KHP!U333,KHP!AA333,KHP!AG333,KHP!AM333))=11)*(CHOOSE({1,2,3,4},KHP!X333,KHP!AD333,KHP!AJ333,KHP!AP333)))</f>
        <v>0</v>
      </c>
      <c r="L333">
        <f>SUMPRODUCT((MONTH(CHOOSE({1,2,3,4},KHP!U333,KHP!AA333,KHP!AG333,KHP!AM333))=12)*(CHOOSE({1,2,3,4},KHP!X333,KHP!AD333,KHP!AJ333,KHP!AP333)))</f>
        <v>0</v>
      </c>
    </row>
    <row r="334" spans="1:12">
      <c r="A334">
        <f>SUMPRODUCT((MONTH(CHOOSE({1,2,3,4},KHP!U334,KHP!AA334,KHP!AG334,KHP!AM334))=1)*(CHOOSE({1,2,3,4},KHP!X334,KHP!AD334,KHP!AJ334,KHP!AP334)))</f>
        <v>0</v>
      </c>
      <c r="B334">
        <f>SUMPRODUCT((MONTH(CHOOSE({1,2,3,4},KHP!U334,KHP!AA334,KHP!AG334,KHP!AM334))=2)*(CHOOSE({1,2,3,4},KHP!X334,KHP!AD334,KHP!AJ334,KHP!AP334)))</f>
        <v>0</v>
      </c>
      <c r="C334">
        <f>SUMPRODUCT((MONTH(CHOOSE({1,2,3,4},KHP!U334,KHP!AA334,KHP!AG334,KHP!AM334))=3)*(CHOOSE({1,2,3,4},KHP!X334,KHP!AD334,KHP!AJ334,KHP!AP334)))</f>
        <v>0</v>
      </c>
      <c r="D334">
        <f>SUMPRODUCT((MONTH(CHOOSE({1,2,3,4},KHP!U334,KHP!AA334,KHP!AG334,KHP!AM334))=4)*(CHOOSE({1,2,3,4},KHP!X334,KHP!AD334,KHP!AJ334,KHP!AP334)))</f>
        <v>0</v>
      </c>
      <c r="E334">
        <f>SUMPRODUCT((MONTH(CHOOSE({1,2,3,4},KHP!U334,KHP!AA334,KHP!AG334,KHP!AM334))=5)*(CHOOSE({1,2,3,4},KHP!X334,KHP!AD334,KHP!AJ334,KHP!AP334)))</f>
        <v>0</v>
      </c>
      <c r="F334">
        <f>SUMPRODUCT((MONTH(CHOOSE({1,2,3,4},KHP!U334,KHP!AA334,KHP!AG334,KHP!AM334))=6)*(CHOOSE({1,2,3,4},KHP!X334,KHP!AD334,KHP!AJ334,KHP!AP334)))</f>
        <v>0</v>
      </c>
      <c r="G334">
        <f>SUMPRODUCT((MONTH(CHOOSE({1,2,3,4},KHP!U334,KHP!AA334,KHP!AG334,KHP!AM334))=7)*(CHOOSE({1,2,3,4},KHP!X334,KHP!AD334,KHP!AJ334,KHP!AP334)))</f>
        <v>0</v>
      </c>
      <c r="H334">
        <f>SUMPRODUCT((MONTH(CHOOSE({1,2,3,4},KHP!U334,KHP!AA334,KHP!AG334,KHP!AM334))=8)*(CHOOSE({1,2,3,4},KHP!X334,KHP!AD334,KHP!AJ334,KHP!AP334)))</f>
        <v>0</v>
      </c>
      <c r="I334">
        <f>SUMPRODUCT((MONTH(CHOOSE({1,2,3,4},KHP!U334,KHP!AA334,KHP!AG334,KHP!AM334))=9)*(CHOOSE({1,2,3,4},KHP!X334,KHP!AD334,KHP!AJ334,KHP!AP334)))</f>
        <v>0</v>
      </c>
      <c r="J334">
        <f>SUMPRODUCT((MONTH(CHOOSE({1,2,3,4},KHP!U334,KHP!AA334,KHP!AG334,KHP!AM334))=10)*(CHOOSE({1,2,3,4},KHP!X334,KHP!AD334,KHP!AJ334,KHP!AP334)))</f>
        <v>0</v>
      </c>
      <c r="K334">
        <f>SUMPRODUCT((MONTH(CHOOSE({1,2,3,4},KHP!U334,KHP!AA334,KHP!AG334,KHP!AM334))=11)*(CHOOSE({1,2,3,4},KHP!X334,KHP!AD334,KHP!AJ334,KHP!AP334)))</f>
        <v>0</v>
      </c>
      <c r="L334">
        <f>SUMPRODUCT((MONTH(CHOOSE({1,2,3,4},KHP!U334,KHP!AA334,KHP!AG334,KHP!AM334))=12)*(CHOOSE({1,2,3,4},KHP!X334,KHP!AD334,KHP!AJ334,KHP!AP334)))</f>
        <v>0</v>
      </c>
    </row>
    <row r="335" spans="1:12">
      <c r="A335">
        <f>SUMPRODUCT((MONTH(CHOOSE({1,2,3,4},KHP!U335,KHP!AA335,KHP!AG335,KHP!AM335))=1)*(CHOOSE({1,2,3,4},KHP!X335,KHP!AD335,KHP!AJ335,KHP!AP335)))</f>
        <v>0</v>
      </c>
      <c r="B335">
        <f>SUMPRODUCT((MONTH(CHOOSE({1,2,3,4},KHP!U335,KHP!AA335,KHP!AG335,KHP!AM335))=2)*(CHOOSE({1,2,3,4},KHP!X335,KHP!AD335,KHP!AJ335,KHP!AP335)))</f>
        <v>0</v>
      </c>
      <c r="C335">
        <f>SUMPRODUCT((MONTH(CHOOSE({1,2,3,4},KHP!U335,KHP!AA335,KHP!AG335,KHP!AM335))=3)*(CHOOSE({1,2,3,4},KHP!X335,KHP!AD335,KHP!AJ335,KHP!AP335)))</f>
        <v>0</v>
      </c>
      <c r="D335">
        <f>SUMPRODUCT((MONTH(CHOOSE({1,2,3,4},KHP!U335,KHP!AA335,KHP!AG335,KHP!AM335))=4)*(CHOOSE({1,2,3,4},KHP!X335,KHP!AD335,KHP!AJ335,KHP!AP335)))</f>
        <v>0</v>
      </c>
      <c r="E335">
        <f>SUMPRODUCT((MONTH(CHOOSE({1,2,3,4},KHP!U335,KHP!AA335,KHP!AG335,KHP!AM335))=5)*(CHOOSE({1,2,3,4},KHP!X335,KHP!AD335,KHP!AJ335,KHP!AP335)))</f>
        <v>0</v>
      </c>
      <c r="F335">
        <f>SUMPRODUCT((MONTH(CHOOSE({1,2,3,4},KHP!U335,KHP!AA335,KHP!AG335,KHP!AM335))=6)*(CHOOSE({1,2,3,4},KHP!X335,KHP!AD335,KHP!AJ335,KHP!AP335)))</f>
        <v>0</v>
      </c>
      <c r="G335">
        <f>SUMPRODUCT((MONTH(CHOOSE({1,2,3,4},KHP!U335,KHP!AA335,KHP!AG335,KHP!AM335))=7)*(CHOOSE({1,2,3,4},KHP!X335,KHP!AD335,KHP!AJ335,KHP!AP335)))</f>
        <v>0</v>
      </c>
      <c r="H335">
        <f>SUMPRODUCT((MONTH(CHOOSE({1,2,3,4},KHP!U335,KHP!AA335,KHP!AG335,KHP!AM335))=8)*(CHOOSE({1,2,3,4},KHP!X335,KHP!AD335,KHP!AJ335,KHP!AP335)))</f>
        <v>0</v>
      </c>
      <c r="I335">
        <f>SUMPRODUCT((MONTH(CHOOSE({1,2,3,4},KHP!U335,KHP!AA335,KHP!AG335,KHP!AM335))=9)*(CHOOSE({1,2,3,4},KHP!X335,KHP!AD335,KHP!AJ335,KHP!AP335)))</f>
        <v>0</v>
      </c>
      <c r="J335">
        <f>SUMPRODUCT((MONTH(CHOOSE({1,2,3,4},KHP!U335,KHP!AA335,KHP!AG335,KHP!AM335))=10)*(CHOOSE({1,2,3,4},KHP!X335,KHP!AD335,KHP!AJ335,KHP!AP335)))</f>
        <v>0</v>
      </c>
      <c r="K335">
        <f>SUMPRODUCT((MONTH(CHOOSE({1,2,3,4},KHP!U335,KHP!AA335,KHP!AG335,KHP!AM335))=11)*(CHOOSE({1,2,3,4},KHP!X335,KHP!AD335,KHP!AJ335,KHP!AP335)))</f>
        <v>0</v>
      </c>
      <c r="L335">
        <f>SUMPRODUCT((MONTH(CHOOSE({1,2,3,4},KHP!U335,KHP!AA335,KHP!AG335,KHP!AM335))=12)*(CHOOSE({1,2,3,4},KHP!X335,KHP!AD335,KHP!AJ335,KHP!AP335)))</f>
        <v>0</v>
      </c>
    </row>
    <row r="336" spans="1:12">
      <c r="A336">
        <f>SUMPRODUCT((MONTH(CHOOSE({1,2,3,4},KHP!U336,KHP!AA336,KHP!AG336,KHP!AM336))=1)*(CHOOSE({1,2,3,4},KHP!X336,KHP!AD336,KHP!AJ336,KHP!AP336)))</f>
        <v>0</v>
      </c>
      <c r="B336">
        <f>SUMPRODUCT((MONTH(CHOOSE({1,2,3,4},KHP!U336,KHP!AA336,KHP!AG336,KHP!AM336))=2)*(CHOOSE({1,2,3,4},KHP!X336,KHP!AD336,KHP!AJ336,KHP!AP336)))</f>
        <v>0</v>
      </c>
      <c r="C336">
        <f>SUMPRODUCT((MONTH(CHOOSE({1,2,3,4},KHP!U336,KHP!AA336,KHP!AG336,KHP!AM336))=3)*(CHOOSE({1,2,3,4},KHP!X336,KHP!AD336,KHP!AJ336,KHP!AP336)))</f>
        <v>0</v>
      </c>
      <c r="D336">
        <f>SUMPRODUCT((MONTH(CHOOSE({1,2,3,4},KHP!U336,KHP!AA336,KHP!AG336,KHP!AM336))=4)*(CHOOSE({1,2,3,4},KHP!X336,KHP!AD336,KHP!AJ336,KHP!AP336)))</f>
        <v>0</v>
      </c>
      <c r="E336">
        <f>SUMPRODUCT((MONTH(CHOOSE({1,2,3,4},KHP!U336,KHP!AA336,KHP!AG336,KHP!AM336))=5)*(CHOOSE({1,2,3,4},KHP!X336,KHP!AD336,KHP!AJ336,KHP!AP336)))</f>
        <v>0</v>
      </c>
      <c r="F336">
        <f>SUMPRODUCT((MONTH(CHOOSE({1,2,3,4},KHP!U336,KHP!AA336,KHP!AG336,KHP!AM336))=6)*(CHOOSE({1,2,3,4},KHP!X336,KHP!AD336,KHP!AJ336,KHP!AP336)))</f>
        <v>0</v>
      </c>
      <c r="G336">
        <f>SUMPRODUCT((MONTH(CHOOSE({1,2,3,4},KHP!U336,KHP!AA336,KHP!AG336,KHP!AM336))=7)*(CHOOSE({1,2,3,4},KHP!X336,KHP!AD336,KHP!AJ336,KHP!AP336)))</f>
        <v>0</v>
      </c>
      <c r="H336">
        <f>SUMPRODUCT((MONTH(CHOOSE({1,2,3,4},KHP!U336,KHP!AA336,KHP!AG336,KHP!AM336))=8)*(CHOOSE({1,2,3,4},KHP!X336,KHP!AD336,KHP!AJ336,KHP!AP336)))</f>
        <v>0</v>
      </c>
      <c r="I336">
        <f>SUMPRODUCT((MONTH(CHOOSE({1,2,3,4},KHP!U336,KHP!AA336,KHP!AG336,KHP!AM336))=9)*(CHOOSE({1,2,3,4},KHP!X336,KHP!AD336,KHP!AJ336,KHP!AP336)))</f>
        <v>0</v>
      </c>
      <c r="J336">
        <f>SUMPRODUCT((MONTH(CHOOSE({1,2,3,4},KHP!U336,KHP!AA336,KHP!AG336,KHP!AM336))=10)*(CHOOSE({1,2,3,4},KHP!X336,KHP!AD336,KHP!AJ336,KHP!AP336)))</f>
        <v>0</v>
      </c>
      <c r="K336">
        <f>SUMPRODUCT((MONTH(CHOOSE({1,2,3,4},KHP!U336,KHP!AA336,KHP!AG336,KHP!AM336))=11)*(CHOOSE({1,2,3,4},KHP!X336,KHP!AD336,KHP!AJ336,KHP!AP336)))</f>
        <v>0</v>
      </c>
      <c r="L336">
        <f>SUMPRODUCT((MONTH(CHOOSE({1,2,3,4},KHP!U336,KHP!AA336,KHP!AG336,KHP!AM336))=12)*(CHOOSE({1,2,3,4},KHP!X336,KHP!AD336,KHP!AJ336,KHP!AP336)))</f>
        <v>0</v>
      </c>
    </row>
    <row r="337" spans="1:12">
      <c r="A337">
        <f>SUMPRODUCT((MONTH(CHOOSE({1,2,3,4},KHP!U337,KHP!AA337,KHP!AG337,KHP!AM337))=1)*(CHOOSE({1,2,3,4},KHP!X337,KHP!AD337,KHP!AJ337,KHP!AP337)))</f>
        <v>0</v>
      </c>
      <c r="B337">
        <f>SUMPRODUCT((MONTH(CHOOSE({1,2,3,4},KHP!U337,KHP!AA337,KHP!AG337,KHP!AM337))=2)*(CHOOSE({1,2,3,4},KHP!X337,KHP!AD337,KHP!AJ337,KHP!AP337)))</f>
        <v>0</v>
      </c>
      <c r="C337">
        <f>SUMPRODUCT((MONTH(CHOOSE({1,2,3,4},KHP!U337,KHP!AA337,KHP!AG337,KHP!AM337))=3)*(CHOOSE({1,2,3,4},KHP!X337,KHP!AD337,KHP!AJ337,KHP!AP337)))</f>
        <v>0</v>
      </c>
      <c r="D337">
        <f>SUMPRODUCT((MONTH(CHOOSE({1,2,3,4},KHP!U337,KHP!AA337,KHP!AG337,KHP!AM337))=4)*(CHOOSE({1,2,3,4},KHP!X337,KHP!AD337,KHP!AJ337,KHP!AP337)))</f>
        <v>0</v>
      </c>
      <c r="E337">
        <f>SUMPRODUCT((MONTH(CHOOSE({1,2,3,4},KHP!U337,KHP!AA337,KHP!AG337,KHP!AM337))=5)*(CHOOSE({1,2,3,4},KHP!X337,KHP!AD337,KHP!AJ337,KHP!AP337)))</f>
        <v>0</v>
      </c>
      <c r="F337">
        <f>SUMPRODUCT((MONTH(CHOOSE({1,2,3,4},KHP!U337,KHP!AA337,KHP!AG337,KHP!AM337))=6)*(CHOOSE({1,2,3,4},KHP!X337,KHP!AD337,KHP!AJ337,KHP!AP337)))</f>
        <v>0</v>
      </c>
      <c r="G337">
        <f>SUMPRODUCT((MONTH(CHOOSE({1,2,3,4},KHP!U337,KHP!AA337,KHP!AG337,KHP!AM337))=7)*(CHOOSE({1,2,3,4},KHP!X337,KHP!AD337,KHP!AJ337,KHP!AP337)))</f>
        <v>0</v>
      </c>
      <c r="H337">
        <f>SUMPRODUCT((MONTH(CHOOSE({1,2,3,4},KHP!U337,KHP!AA337,KHP!AG337,KHP!AM337))=8)*(CHOOSE({1,2,3,4},KHP!X337,KHP!AD337,KHP!AJ337,KHP!AP337)))</f>
        <v>0</v>
      </c>
      <c r="I337">
        <f>SUMPRODUCT((MONTH(CHOOSE({1,2,3,4},KHP!U337,KHP!AA337,KHP!AG337,KHP!AM337))=9)*(CHOOSE({1,2,3,4},KHP!X337,KHP!AD337,KHP!AJ337,KHP!AP337)))</f>
        <v>0</v>
      </c>
      <c r="J337">
        <f>SUMPRODUCT((MONTH(CHOOSE({1,2,3,4},KHP!U337,KHP!AA337,KHP!AG337,KHP!AM337))=10)*(CHOOSE({1,2,3,4},KHP!X337,KHP!AD337,KHP!AJ337,KHP!AP337)))</f>
        <v>0</v>
      </c>
      <c r="K337">
        <f>SUMPRODUCT((MONTH(CHOOSE({1,2,3,4},KHP!U337,KHP!AA337,KHP!AG337,KHP!AM337))=11)*(CHOOSE({1,2,3,4},KHP!X337,KHP!AD337,KHP!AJ337,KHP!AP337)))</f>
        <v>0</v>
      </c>
      <c r="L337">
        <f>SUMPRODUCT((MONTH(CHOOSE({1,2,3,4},KHP!U337,KHP!AA337,KHP!AG337,KHP!AM337))=12)*(CHOOSE({1,2,3,4},KHP!X337,KHP!AD337,KHP!AJ337,KHP!AP337)))</f>
        <v>0</v>
      </c>
    </row>
    <row r="338" spans="1:12">
      <c r="A338">
        <f>SUMPRODUCT((MONTH(CHOOSE({1,2,3,4},KHP!U338,KHP!AA338,KHP!AG338,KHP!AM338))=1)*(CHOOSE({1,2,3,4},KHP!X338,KHP!AD338,KHP!AJ338,KHP!AP338)))</f>
        <v>0</v>
      </c>
      <c r="B338">
        <f>SUMPRODUCT((MONTH(CHOOSE({1,2,3,4},KHP!U338,KHP!AA338,KHP!AG338,KHP!AM338))=2)*(CHOOSE({1,2,3,4},KHP!X338,KHP!AD338,KHP!AJ338,KHP!AP338)))</f>
        <v>0</v>
      </c>
      <c r="C338">
        <f>SUMPRODUCT((MONTH(CHOOSE({1,2,3,4},KHP!U338,KHP!AA338,KHP!AG338,KHP!AM338))=3)*(CHOOSE({1,2,3,4},KHP!X338,KHP!AD338,KHP!AJ338,KHP!AP338)))</f>
        <v>0</v>
      </c>
      <c r="D338">
        <f>SUMPRODUCT((MONTH(CHOOSE({1,2,3,4},KHP!U338,KHP!AA338,KHP!AG338,KHP!AM338))=4)*(CHOOSE({1,2,3,4},KHP!X338,KHP!AD338,KHP!AJ338,KHP!AP338)))</f>
        <v>0</v>
      </c>
      <c r="E338">
        <f>SUMPRODUCT((MONTH(CHOOSE({1,2,3,4},KHP!U338,KHP!AA338,KHP!AG338,KHP!AM338))=5)*(CHOOSE({1,2,3,4},KHP!X338,KHP!AD338,KHP!AJ338,KHP!AP338)))</f>
        <v>0</v>
      </c>
      <c r="F338">
        <f>SUMPRODUCT((MONTH(CHOOSE({1,2,3,4},KHP!U338,KHP!AA338,KHP!AG338,KHP!AM338))=6)*(CHOOSE({1,2,3,4},KHP!X338,KHP!AD338,KHP!AJ338,KHP!AP338)))</f>
        <v>0</v>
      </c>
      <c r="G338">
        <f>SUMPRODUCT((MONTH(CHOOSE({1,2,3,4},KHP!U338,KHP!AA338,KHP!AG338,KHP!AM338))=7)*(CHOOSE({1,2,3,4},KHP!X338,KHP!AD338,KHP!AJ338,KHP!AP338)))</f>
        <v>0</v>
      </c>
      <c r="H338">
        <f>SUMPRODUCT((MONTH(CHOOSE({1,2,3,4},KHP!U338,KHP!AA338,KHP!AG338,KHP!AM338))=8)*(CHOOSE({1,2,3,4},KHP!X338,KHP!AD338,KHP!AJ338,KHP!AP338)))</f>
        <v>0</v>
      </c>
      <c r="I338">
        <f>SUMPRODUCT((MONTH(CHOOSE({1,2,3,4},KHP!U338,KHP!AA338,KHP!AG338,KHP!AM338))=9)*(CHOOSE({1,2,3,4},KHP!X338,KHP!AD338,KHP!AJ338,KHP!AP338)))</f>
        <v>0</v>
      </c>
      <c r="J338">
        <f>SUMPRODUCT((MONTH(CHOOSE({1,2,3,4},KHP!U338,KHP!AA338,KHP!AG338,KHP!AM338))=10)*(CHOOSE({1,2,3,4},KHP!X338,KHP!AD338,KHP!AJ338,KHP!AP338)))</f>
        <v>0</v>
      </c>
      <c r="K338">
        <f>SUMPRODUCT((MONTH(CHOOSE({1,2,3,4},KHP!U338,KHP!AA338,KHP!AG338,KHP!AM338))=11)*(CHOOSE({1,2,3,4},KHP!X338,KHP!AD338,KHP!AJ338,KHP!AP338)))</f>
        <v>0</v>
      </c>
      <c r="L338">
        <f>SUMPRODUCT((MONTH(CHOOSE({1,2,3,4},KHP!U338,KHP!AA338,KHP!AG338,KHP!AM338))=12)*(CHOOSE({1,2,3,4},KHP!X338,KHP!AD338,KHP!AJ338,KHP!AP338)))</f>
        <v>0</v>
      </c>
    </row>
    <row r="339" spans="1:12">
      <c r="A339">
        <f>SUMPRODUCT((MONTH(CHOOSE({1,2,3,4},KHP!U339,KHP!AA339,KHP!AG339,KHP!AM339))=1)*(CHOOSE({1,2,3,4},KHP!X339,KHP!AD339,KHP!AJ339,KHP!AP339)))</f>
        <v>0</v>
      </c>
      <c r="B339">
        <f>SUMPRODUCT((MONTH(CHOOSE({1,2,3,4},KHP!U339,KHP!AA339,KHP!AG339,KHP!AM339))=2)*(CHOOSE({1,2,3,4},KHP!X339,KHP!AD339,KHP!AJ339,KHP!AP339)))</f>
        <v>0</v>
      </c>
      <c r="C339">
        <f>SUMPRODUCT((MONTH(CHOOSE({1,2,3,4},KHP!U339,KHP!AA339,KHP!AG339,KHP!AM339))=3)*(CHOOSE({1,2,3,4},KHP!X339,KHP!AD339,KHP!AJ339,KHP!AP339)))</f>
        <v>0</v>
      </c>
      <c r="D339">
        <f>SUMPRODUCT((MONTH(CHOOSE({1,2,3,4},KHP!U339,KHP!AA339,KHP!AG339,KHP!AM339))=4)*(CHOOSE({1,2,3,4},KHP!X339,KHP!AD339,KHP!AJ339,KHP!AP339)))</f>
        <v>0</v>
      </c>
      <c r="E339">
        <f>SUMPRODUCT((MONTH(CHOOSE({1,2,3,4},KHP!U339,KHP!AA339,KHP!AG339,KHP!AM339))=5)*(CHOOSE({1,2,3,4},KHP!X339,KHP!AD339,KHP!AJ339,KHP!AP339)))</f>
        <v>0</v>
      </c>
      <c r="F339">
        <f>SUMPRODUCT((MONTH(CHOOSE({1,2,3,4},KHP!U339,KHP!AA339,KHP!AG339,KHP!AM339))=6)*(CHOOSE({1,2,3,4},KHP!X339,KHP!AD339,KHP!AJ339,KHP!AP339)))</f>
        <v>0</v>
      </c>
      <c r="G339">
        <f>SUMPRODUCT((MONTH(CHOOSE({1,2,3,4},KHP!U339,KHP!AA339,KHP!AG339,KHP!AM339))=7)*(CHOOSE({1,2,3,4},KHP!X339,KHP!AD339,KHP!AJ339,KHP!AP339)))</f>
        <v>0</v>
      </c>
      <c r="H339">
        <f>SUMPRODUCT((MONTH(CHOOSE({1,2,3,4},KHP!U339,KHP!AA339,KHP!AG339,KHP!AM339))=8)*(CHOOSE({1,2,3,4},KHP!X339,KHP!AD339,KHP!AJ339,KHP!AP339)))</f>
        <v>0</v>
      </c>
      <c r="I339">
        <f>SUMPRODUCT((MONTH(CHOOSE({1,2,3,4},KHP!U339,KHP!AA339,KHP!AG339,KHP!AM339))=9)*(CHOOSE({1,2,3,4},KHP!X339,KHP!AD339,KHP!AJ339,KHP!AP339)))</f>
        <v>0</v>
      </c>
      <c r="J339">
        <f>SUMPRODUCT((MONTH(CHOOSE({1,2,3,4},KHP!U339,KHP!AA339,KHP!AG339,KHP!AM339))=10)*(CHOOSE({1,2,3,4},KHP!X339,KHP!AD339,KHP!AJ339,KHP!AP339)))</f>
        <v>0</v>
      </c>
      <c r="K339">
        <f>SUMPRODUCT((MONTH(CHOOSE({1,2,3,4},KHP!U339,KHP!AA339,KHP!AG339,KHP!AM339))=11)*(CHOOSE({1,2,3,4},KHP!X339,KHP!AD339,KHP!AJ339,KHP!AP339)))</f>
        <v>0</v>
      </c>
      <c r="L339">
        <f>SUMPRODUCT((MONTH(CHOOSE({1,2,3,4},KHP!U339,KHP!AA339,KHP!AG339,KHP!AM339))=12)*(CHOOSE({1,2,3,4},KHP!X339,KHP!AD339,KHP!AJ339,KHP!AP339)))</f>
        <v>0</v>
      </c>
    </row>
    <row r="340" spans="1:12">
      <c r="A340">
        <f>SUMPRODUCT((MONTH(CHOOSE({1,2,3,4},KHP!U340,KHP!AA340,KHP!AG340,KHP!AM340))=1)*(CHOOSE({1,2,3,4},KHP!X340,KHP!AD340,KHP!AJ340,KHP!AP340)))</f>
        <v>0</v>
      </c>
      <c r="B340">
        <f>SUMPRODUCT((MONTH(CHOOSE({1,2,3,4},KHP!U340,KHP!AA340,KHP!AG340,KHP!AM340))=2)*(CHOOSE({1,2,3,4},KHP!X340,KHP!AD340,KHP!AJ340,KHP!AP340)))</f>
        <v>0</v>
      </c>
      <c r="C340">
        <f>SUMPRODUCT((MONTH(CHOOSE({1,2,3,4},KHP!U340,KHP!AA340,KHP!AG340,KHP!AM340))=3)*(CHOOSE({1,2,3,4},KHP!X340,KHP!AD340,KHP!AJ340,KHP!AP340)))</f>
        <v>0</v>
      </c>
      <c r="D340">
        <f>SUMPRODUCT((MONTH(CHOOSE({1,2,3,4},KHP!U340,KHP!AA340,KHP!AG340,KHP!AM340))=4)*(CHOOSE({1,2,3,4},KHP!X340,KHP!AD340,KHP!AJ340,KHP!AP340)))</f>
        <v>0</v>
      </c>
      <c r="E340">
        <f>SUMPRODUCT((MONTH(CHOOSE({1,2,3,4},KHP!U340,KHP!AA340,KHP!AG340,KHP!AM340))=5)*(CHOOSE({1,2,3,4},KHP!X340,KHP!AD340,KHP!AJ340,KHP!AP340)))</f>
        <v>0</v>
      </c>
      <c r="F340">
        <f>SUMPRODUCT((MONTH(CHOOSE({1,2,3,4},KHP!U340,KHP!AA340,KHP!AG340,KHP!AM340))=6)*(CHOOSE({1,2,3,4},KHP!X340,KHP!AD340,KHP!AJ340,KHP!AP340)))</f>
        <v>0</v>
      </c>
      <c r="G340">
        <f>SUMPRODUCT((MONTH(CHOOSE({1,2,3,4},KHP!U340,KHP!AA340,KHP!AG340,KHP!AM340))=7)*(CHOOSE({1,2,3,4},KHP!X340,KHP!AD340,KHP!AJ340,KHP!AP340)))</f>
        <v>0</v>
      </c>
      <c r="H340">
        <f>SUMPRODUCT((MONTH(CHOOSE({1,2,3,4},KHP!U340,KHP!AA340,KHP!AG340,KHP!AM340))=8)*(CHOOSE({1,2,3,4},KHP!X340,KHP!AD340,KHP!AJ340,KHP!AP340)))</f>
        <v>0</v>
      </c>
      <c r="I340">
        <f>SUMPRODUCT((MONTH(CHOOSE({1,2,3,4},KHP!U340,KHP!AA340,KHP!AG340,KHP!AM340))=9)*(CHOOSE({1,2,3,4},KHP!X340,KHP!AD340,KHP!AJ340,KHP!AP340)))</f>
        <v>0</v>
      </c>
      <c r="J340">
        <f>SUMPRODUCT((MONTH(CHOOSE({1,2,3,4},KHP!U340,KHP!AA340,KHP!AG340,KHP!AM340))=10)*(CHOOSE({1,2,3,4},KHP!X340,KHP!AD340,KHP!AJ340,KHP!AP340)))</f>
        <v>0</v>
      </c>
      <c r="K340">
        <f>SUMPRODUCT((MONTH(CHOOSE({1,2,3,4},KHP!U340,KHP!AA340,KHP!AG340,KHP!AM340))=11)*(CHOOSE({1,2,3,4},KHP!X340,KHP!AD340,KHP!AJ340,KHP!AP340)))</f>
        <v>0</v>
      </c>
      <c r="L340">
        <f>SUMPRODUCT((MONTH(CHOOSE({1,2,3,4},KHP!U340,KHP!AA340,KHP!AG340,KHP!AM340))=12)*(CHOOSE({1,2,3,4},KHP!X340,KHP!AD340,KHP!AJ340,KHP!AP340)))</f>
        <v>0</v>
      </c>
    </row>
    <row r="341" spans="1:12">
      <c r="A341">
        <f>SUMPRODUCT((MONTH(CHOOSE({1,2,3,4},KHP!U341,KHP!AA341,KHP!AG341,KHP!AM341))=1)*(CHOOSE({1,2,3,4},KHP!X341,KHP!AD341,KHP!AJ341,KHP!AP341)))</f>
        <v>0</v>
      </c>
      <c r="B341">
        <f>SUMPRODUCT((MONTH(CHOOSE({1,2,3,4},KHP!U341,KHP!AA341,KHP!AG341,KHP!AM341))=2)*(CHOOSE({1,2,3,4},KHP!X341,KHP!AD341,KHP!AJ341,KHP!AP341)))</f>
        <v>0</v>
      </c>
      <c r="C341">
        <f>SUMPRODUCT((MONTH(CHOOSE({1,2,3,4},KHP!U341,KHP!AA341,KHP!AG341,KHP!AM341))=3)*(CHOOSE({1,2,3,4},KHP!X341,KHP!AD341,KHP!AJ341,KHP!AP341)))</f>
        <v>0</v>
      </c>
      <c r="D341">
        <f>SUMPRODUCT((MONTH(CHOOSE({1,2,3,4},KHP!U341,KHP!AA341,KHP!AG341,KHP!AM341))=4)*(CHOOSE({1,2,3,4},KHP!X341,KHP!AD341,KHP!AJ341,KHP!AP341)))</f>
        <v>0</v>
      </c>
      <c r="E341">
        <f>SUMPRODUCT((MONTH(CHOOSE({1,2,3,4},KHP!U341,KHP!AA341,KHP!AG341,KHP!AM341))=5)*(CHOOSE({1,2,3,4},KHP!X341,KHP!AD341,KHP!AJ341,KHP!AP341)))</f>
        <v>0</v>
      </c>
      <c r="F341">
        <f>SUMPRODUCT((MONTH(CHOOSE({1,2,3,4},KHP!U341,KHP!AA341,KHP!AG341,KHP!AM341))=6)*(CHOOSE({1,2,3,4},KHP!X341,KHP!AD341,KHP!AJ341,KHP!AP341)))</f>
        <v>0</v>
      </c>
      <c r="G341">
        <f>SUMPRODUCT((MONTH(CHOOSE({1,2,3,4},KHP!U341,KHP!AA341,KHP!AG341,KHP!AM341))=7)*(CHOOSE({1,2,3,4},KHP!X341,KHP!AD341,KHP!AJ341,KHP!AP341)))</f>
        <v>0</v>
      </c>
      <c r="H341">
        <f>SUMPRODUCT((MONTH(CHOOSE({1,2,3,4},KHP!U341,KHP!AA341,KHP!AG341,KHP!AM341))=8)*(CHOOSE({1,2,3,4},KHP!X341,KHP!AD341,KHP!AJ341,KHP!AP341)))</f>
        <v>0</v>
      </c>
      <c r="I341">
        <f>SUMPRODUCT((MONTH(CHOOSE({1,2,3,4},KHP!U341,KHP!AA341,KHP!AG341,KHP!AM341))=9)*(CHOOSE({1,2,3,4},KHP!X341,KHP!AD341,KHP!AJ341,KHP!AP341)))</f>
        <v>0</v>
      </c>
      <c r="J341">
        <f>SUMPRODUCT((MONTH(CHOOSE({1,2,3,4},KHP!U341,KHP!AA341,KHP!AG341,KHP!AM341))=10)*(CHOOSE({1,2,3,4},KHP!X341,KHP!AD341,KHP!AJ341,KHP!AP341)))</f>
        <v>0</v>
      </c>
      <c r="K341">
        <f>SUMPRODUCT((MONTH(CHOOSE({1,2,3,4},KHP!U341,KHP!AA341,KHP!AG341,KHP!AM341))=11)*(CHOOSE({1,2,3,4},KHP!X341,KHP!AD341,KHP!AJ341,KHP!AP341)))</f>
        <v>0</v>
      </c>
      <c r="L341">
        <f>SUMPRODUCT((MONTH(CHOOSE({1,2,3,4},KHP!U341,KHP!AA341,KHP!AG341,KHP!AM341))=12)*(CHOOSE({1,2,3,4},KHP!X341,KHP!AD341,KHP!AJ341,KHP!AP341)))</f>
        <v>0</v>
      </c>
    </row>
    <row r="342" spans="1:12">
      <c r="A342">
        <f>SUMPRODUCT((MONTH(CHOOSE({1,2,3,4},KHP!U342,KHP!AA342,KHP!AG342,KHP!AM342))=1)*(CHOOSE({1,2,3,4},KHP!X342,KHP!AD342,KHP!AJ342,KHP!AP342)))</f>
        <v>0</v>
      </c>
      <c r="B342">
        <f>SUMPRODUCT((MONTH(CHOOSE({1,2,3,4},KHP!U342,KHP!AA342,KHP!AG342,KHP!AM342))=2)*(CHOOSE({1,2,3,4},KHP!X342,KHP!AD342,KHP!AJ342,KHP!AP342)))</f>
        <v>0</v>
      </c>
      <c r="C342">
        <f>SUMPRODUCT((MONTH(CHOOSE({1,2,3,4},KHP!U342,KHP!AA342,KHP!AG342,KHP!AM342))=3)*(CHOOSE({1,2,3,4},KHP!X342,KHP!AD342,KHP!AJ342,KHP!AP342)))</f>
        <v>0</v>
      </c>
      <c r="D342">
        <f>SUMPRODUCT((MONTH(CHOOSE({1,2,3,4},KHP!U342,KHP!AA342,KHP!AG342,KHP!AM342))=4)*(CHOOSE({1,2,3,4},KHP!X342,KHP!AD342,KHP!AJ342,KHP!AP342)))</f>
        <v>0</v>
      </c>
      <c r="E342">
        <f>SUMPRODUCT((MONTH(CHOOSE({1,2,3,4},KHP!U342,KHP!AA342,KHP!AG342,KHP!AM342))=5)*(CHOOSE({1,2,3,4},KHP!X342,KHP!AD342,KHP!AJ342,KHP!AP342)))</f>
        <v>0</v>
      </c>
      <c r="F342">
        <f>SUMPRODUCT((MONTH(CHOOSE({1,2,3,4},KHP!U342,KHP!AA342,KHP!AG342,KHP!AM342))=6)*(CHOOSE({1,2,3,4},KHP!X342,KHP!AD342,KHP!AJ342,KHP!AP342)))</f>
        <v>0</v>
      </c>
      <c r="G342">
        <f>SUMPRODUCT((MONTH(CHOOSE({1,2,3,4},KHP!U342,KHP!AA342,KHP!AG342,KHP!AM342))=7)*(CHOOSE({1,2,3,4},KHP!X342,KHP!AD342,KHP!AJ342,KHP!AP342)))</f>
        <v>0</v>
      </c>
      <c r="H342">
        <f>SUMPRODUCT((MONTH(CHOOSE({1,2,3,4},KHP!U342,KHP!AA342,KHP!AG342,KHP!AM342))=8)*(CHOOSE({1,2,3,4},KHP!X342,KHP!AD342,KHP!AJ342,KHP!AP342)))</f>
        <v>0</v>
      </c>
      <c r="I342">
        <f>SUMPRODUCT((MONTH(CHOOSE({1,2,3,4},KHP!U342,KHP!AA342,KHP!AG342,KHP!AM342))=9)*(CHOOSE({1,2,3,4},KHP!X342,KHP!AD342,KHP!AJ342,KHP!AP342)))</f>
        <v>0</v>
      </c>
      <c r="J342">
        <f>SUMPRODUCT((MONTH(CHOOSE({1,2,3,4},KHP!U342,KHP!AA342,KHP!AG342,KHP!AM342))=10)*(CHOOSE({1,2,3,4},KHP!X342,KHP!AD342,KHP!AJ342,KHP!AP342)))</f>
        <v>0</v>
      </c>
      <c r="K342">
        <f>SUMPRODUCT((MONTH(CHOOSE({1,2,3,4},KHP!U342,KHP!AA342,KHP!AG342,KHP!AM342))=11)*(CHOOSE({1,2,3,4},KHP!X342,KHP!AD342,KHP!AJ342,KHP!AP342)))</f>
        <v>0</v>
      </c>
      <c r="L342">
        <f>SUMPRODUCT((MONTH(CHOOSE({1,2,3,4},KHP!U342,KHP!AA342,KHP!AG342,KHP!AM342))=12)*(CHOOSE({1,2,3,4},KHP!X342,KHP!AD342,KHP!AJ342,KHP!AP342)))</f>
        <v>0</v>
      </c>
    </row>
    <row r="343" spans="1:12">
      <c r="A343">
        <f>SUMPRODUCT((MONTH(CHOOSE({1,2,3,4},KHP!U343,KHP!AA343,KHP!AG343,KHP!AM343))=1)*(CHOOSE({1,2,3,4},KHP!X343,KHP!AD343,KHP!AJ343,KHP!AP343)))</f>
        <v>0</v>
      </c>
      <c r="B343">
        <f>SUMPRODUCT((MONTH(CHOOSE({1,2,3,4},KHP!U343,KHP!AA343,KHP!AG343,KHP!AM343))=2)*(CHOOSE({1,2,3,4},KHP!X343,KHP!AD343,KHP!AJ343,KHP!AP343)))</f>
        <v>0</v>
      </c>
      <c r="C343">
        <f>SUMPRODUCT((MONTH(CHOOSE({1,2,3,4},KHP!U343,KHP!AA343,KHP!AG343,KHP!AM343))=3)*(CHOOSE({1,2,3,4},KHP!X343,KHP!AD343,KHP!AJ343,KHP!AP343)))</f>
        <v>0</v>
      </c>
      <c r="D343">
        <f>SUMPRODUCT((MONTH(CHOOSE({1,2,3,4},KHP!U343,KHP!AA343,KHP!AG343,KHP!AM343))=4)*(CHOOSE({1,2,3,4},KHP!X343,KHP!AD343,KHP!AJ343,KHP!AP343)))</f>
        <v>0</v>
      </c>
      <c r="E343">
        <f>SUMPRODUCT((MONTH(CHOOSE({1,2,3,4},KHP!U343,KHP!AA343,KHP!AG343,KHP!AM343))=5)*(CHOOSE({1,2,3,4},KHP!X343,KHP!AD343,KHP!AJ343,KHP!AP343)))</f>
        <v>0</v>
      </c>
      <c r="F343">
        <f>SUMPRODUCT((MONTH(CHOOSE({1,2,3,4},KHP!U343,KHP!AA343,KHP!AG343,KHP!AM343))=6)*(CHOOSE({1,2,3,4},KHP!X343,KHP!AD343,KHP!AJ343,KHP!AP343)))</f>
        <v>0</v>
      </c>
      <c r="G343">
        <f>SUMPRODUCT((MONTH(CHOOSE({1,2,3,4},KHP!U343,KHP!AA343,KHP!AG343,KHP!AM343))=7)*(CHOOSE({1,2,3,4},KHP!X343,KHP!AD343,KHP!AJ343,KHP!AP343)))</f>
        <v>0</v>
      </c>
      <c r="H343">
        <f>SUMPRODUCT((MONTH(CHOOSE({1,2,3,4},KHP!U343,KHP!AA343,KHP!AG343,KHP!AM343))=8)*(CHOOSE({1,2,3,4},KHP!X343,KHP!AD343,KHP!AJ343,KHP!AP343)))</f>
        <v>0</v>
      </c>
      <c r="I343">
        <f>SUMPRODUCT((MONTH(CHOOSE({1,2,3,4},KHP!U343,KHP!AA343,KHP!AG343,KHP!AM343))=9)*(CHOOSE({1,2,3,4},KHP!X343,KHP!AD343,KHP!AJ343,KHP!AP343)))</f>
        <v>0</v>
      </c>
      <c r="J343">
        <f>SUMPRODUCT((MONTH(CHOOSE({1,2,3,4},KHP!U343,KHP!AA343,KHP!AG343,KHP!AM343))=10)*(CHOOSE({1,2,3,4},KHP!X343,KHP!AD343,KHP!AJ343,KHP!AP343)))</f>
        <v>0</v>
      </c>
      <c r="K343">
        <f>SUMPRODUCT((MONTH(CHOOSE({1,2,3,4},KHP!U343,KHP!AA343,KHP!AG343,KHP!AM343))=11)*(CHOOSE({1,2,3,4},KHP!X343,KHP!AD343,KHP!AJ343,KHP!AP343)))</f>
        <v>0</v>
      </c>
      <c r="L343">
        <f>SUMPRODUCT((MONTH(CHOOSE({1,2,3,4},KHP!U343,KHP!AA343,KHP!AG343,KHP!AM343))=12)*(CHOOSE({1,2,3,4},KHP!X343,KHP!AD343,KHP!AJ343,KHP!AP343)))</f>
        <v>0</v>
      </c>
    </row>
    <row r="344" spans="1:12">
      <c r="A344">
        <f>SUMPRODUCT((MONTH(CHOOSE({1,2,3,4},KHP!U344,KHP!AA344,KHP!AG344,KHP!AM344))=1)*(CHOOSE({1,2,3,4},KHP!X344,KHP!AD344,KHP!AJ344,KHP!AP344)))</f>
        <v>0</v>
      </c>
      <c r="B344">
        <f>SUMPRODUCT((MONTH(CHOOSE({1,2,3,4},KHP!U344,KHP!AA344,KHP!AG344,KHP!AM344))=2)*(CHOOSE({1,2,3,4},KHP!X344,KHP!AD344,KHP!AJ344,KHP!AP344)))</f>
        <v>0</v>
      </c>
      <c r="C344">
        <f>SUMPRODUCT((MONTH(CHOOSE({1,2,3,4},KHP!U344,KHP!AA344,KHP!AG344,KHP!AM344))=3)*(CHOOSE({1,2,3,4},KHP!X344,KHP!AD344,KHP!AJ344,KHP!AP344)))</f>
        <v>0</v>
      </c>
      <c r="D344">
        <f>SUMPRODUCT((MONTH(CHOOSE({1,2,3,4},KHP!U344,KHP!AA344,KHP!AG344,KHP!AM344))=4)*(CHOOSE({1,2,3,4},KHP!X344,KHP!AD344,KHP!AJ344,KHP!AP344)))</f>
        <v>0</v>
      </c>
      <c r="E344">
        <f>SUMPRODUCT((MONTH(CHOOSE({1,2,3,4},KHP!U344,KHP!AA344,KHP!AG344,KHP!AM344))=5)*(CHOOSE({1,2,3,4},KHP!X344,KHP!AD344,KHP!AJ344,KHP!AP344)))</f>
        <v>0</v>
      </c>
      <c r="F344">
        <f>SUMPRODUCT((MONTH(CHOOSE({1,2,3,4},KHP!U344,KHP!AA344,KHP!AG344,KHP!AM344))=6)*(CHOOSE({1,2,3,4},KHP!X344,KHP!AD344,KHP!AJ344,KHP!AP344)))</f>
        <v>0</v>
      </c>
      <c r="G344">
        <f>SUMPRODUCT((MONTH(CHOOSE({1,2,3,4},KHP!U344,KHP!AA344,KHP!AG344,KHP!AM344))=7)*(CHOOSE({1,2,3,4},KHP!X344,KHP!AD344,KHP!AJ344,KHP!AP344)))</f>
        <v>0</v>
      </c>
      <c r="H344">
        <f>SUMPRODUCT((MONTH(CHOOSE({1,2,3,4},KHP!U344,KHP!AA344,KHP!AG344,KHP!AM344))=8)*(CHOOSE({1,2,3,4},KHP!X344,KHP!AD344,KHP!AJ344,KHP!AP344)))</f>
        <v>0</v>
      </c>
      <c r="I344">
        <f>SUMPRODUCT((MONTH(CHOOSE({1,2,3,4},KHP!U344,KHP!AA344,KHP!AG344,KHP!AM344))=9)*(CHOOSE({1,2,3,4},KHP!X344,KHP!AD344,KHP!AJ344,KHP!AP344)))</f>
        <v>0</v>
      </c>
      <c r="J344">
        <f>SUMPRODUCT((MONTH(CHOOSE({1,2,3,4},KHP!U344,KHP!AA344,KHP!AG344,KHP!AM344))=10)*(CHOOSE({1,2,3,4},KHP!X344,KHP!AD344,KHP!AJ344,KHP!AP344)))</f>
        <v>0</v>
      </c>
      <c r="K344">
        <f>SUMPRODUCT((MONTH(CHOOSE({1,2,3,4},KHP!U344,KHP!AA344,KHP!AG344,KHP!AM344))=11)*(CHOOSE({1,2,3,4},KHP!X344,KHP!AD344,KHP!AJ344,KHP!AP344)))</f>
        <v>0</v>
      </c>
      <c r="L344">
        <f>SUMPRODUCT((MONTH(CHOOSE({1,2,3,4},KHP!U344,KHP!AA344,KHP!AG344,KHP!AM344))=12)*(CHOOSE({1,2,3,4},KHP!X344,KHP!AD344,KHP!AJ344,KHP!AP344)))</f>
        <v>0</v>
      </c>
    </row>
    <row r="345" spans="1:12">
      <c r="A345">
        <f>SUMPRODUCT((MONTH(CHOOSE({1,2,3,4},KHP!U345,KHP!AA345,KHP!AG345,KHP!AM345))=1)*(CHOOSE({1,2,3,4},KHP!X345,KHP!AD345,KHP!AJ345,KHP!AP345)))</f>
        <v>0</v>
      </c>
      <c r="B345">
        <f>SUMPRODUCT((MONTH(CHOOSE({1,2,3,4},KHP!U345,KHP!AA345,KHP!AG345,KHP!AM345))=2)*(CHOOSE({1,2,3,4},KHP!X345,KHP!AD345,KHP!AJ345,KHP!AP345)))</f>
        <v>0</v>
      </c>
      <c r="C345">
        <f>SUMPRODUCT((MONTH(CHOOSE({1,2,3,4},KHP!U345,KHP!AA345,KHP!AG345,KHP!AM345))=3)*(CHOOSE({1,2,3,4},KHP!X345,KHP!AD345,KHP!AJ345,KHP!AP345)))</f>
        <v>0</v>
      </c>
      <c r="D345">
        <f>SUMPRODUCT((MONTH(CHOOSE({1,2,3,4},KHP!U345,KHP!AA345,KHP!AG345,KHP!AM345))=4)*(CHOOSE({1,2,3,4},KHP!X345,KHP!AD345,KHP!AJ345,KHP!AP345)))</f>
        <v>0</v>
      </c>
      <c r="E345">
        <f>SUMPRODUCT((MONTH(CHOOSE({1,2,3,4},KHP!U345,KHP!AA345,KHP!AG345,KHP!AM345))=5)*(CHOOSE({1,2,3,4},KHP!X345,KHP!AD345,KHP!AJ345,KHP!AP345)))</f>
        <v>0</v>
      </c>
      <c r="F345">
        <f>SUMPRODUCT((MONTH(CHOOSE({1,2,3,4},KHP!U345,KHP!AA345,KHP!AG345,KHP!AM345))=6)*(CHOOSE({1,2,3,4},KHP!X345,KHP!AD345,KHP!AJ345,KHP!AP345)))</f>
        <v>0</v>
      </c>
      <c r="G345">
        <f>SUMPRODUCT((MONTH(CHOOSE({1,2,3,4},KHP!U345,KHP!AA345,KHP!AG345,KHP!AM345))=7)*(CHOOSE({1,2,3,4},KHP!X345,KHP!AD345,KHP!AJ345,KHP!AP345)))</f>
        <v>0</v>
      </c>
      <c r="H345">
        <f>SUMPRODUCT((MONTH(CHOOSE({1,2,3,4},KHP!U345,KHP!AA345,KHP!AG345,KHP!AM345))=8)*(CHOOSE({1,2,3,4},KHP!X345,KHP!AD345,KHP!AJ345,KHP!AP345)))</f>
        <v>0</v>
      </c>
      <c r="I345">
        <f>SUMPRODUCT((MONTH(CHOOSE({1,2,3,4},KHP!U345,KHP!AA345,KHP!AG345,KHP!AM345))=9)*(CHOOSE({1,2,3,4},KHP!X345,KHP!AD345,KHP!AJ345,KHP!AP345)))</f>
        <v>0</v>
      </c>
      <c r="J345">
        <f>SUMPRODUCT((MONTH(CHOOSE({1,2,3,4},KHP!U345,KHP!AA345,KHP!AG345,KHP!AM345))=10)*(CHOOSE({1,2,3,4},KHP!X345,KHP!AD345,KHP!AJ345,KHP!AP345)))</f>
        <v>0</v>
      </c>
      <c r="K345">
        <f>SUMPRODUCT((MONTH(CHOOSE({1,2,3,4},KHP!U345,KHP!AA345,KHP!AG345,KHP!AM345))=11)*(CHOOSE({1,2,3,4},KHP!X345,KHP!AD345,KHP!AJ345,KHP!AP345)))</f>
        <v>0</v>
      </c>
      <c r="L345">
        <f>SUMPRODUCT((MONTH(CHOOSE({1,2,3,4},KHP!U345,KHP!AA345,KHP!AG345,KHP!AM345))=12)*(CHOOSE({1,2,3,4},KHP!X345,KHP!AD345,KHP!AJ345,KHP!AP345)))</f>
        <v>0</v>
      </c>
    </row>
    <row r="346" spans="1:12">
      <c r="A346">
        <f>SUMPRODUCT((MONTH(CHOOSE({1,2,3,4},KHP!U346,KHP!AA346,KHP!AG346,KHP!AM346))=1)*(CHOOSE({1,2,3,4},KHP!X346,KHP!AD346,KHP!AJ346,KHP!AP346)))</f>
        <v>0</v>
      </c>
      <c r="B346">
        <f>SUMPRODUCT((MONTH(CHOOSE({1,2,3,4},KHP!U346,KHP!AA346,KHP!AG346,KHP!AM346))=2)*(CHOOSE({1,2,3,4},KHP!X346,KHP!AD346,KHP!AJ346,KHP!AP346)))</f>
        <v>0</v>
      </c>
      <c r="C346">
        <f>SUMPRODUCT((MONTH(CHOOSE({1,2,3,4},KHP!U346,KHP!AA346,KHP!AG346,KHP!AM346))=3)*(CHOOSE({1,2,3,4},KHP!X346,KHP!AD346,KHP!AJ346,KHP!AP346)))</f>
        <v>0</v>
      </c>
      <c r="D346">
        <f>SUMPRODUCT((MONTH(CHOOSE({1,2,3,4},KHP!U346,KHP!AA346,KHP!AG346,KHP!AM346))=4)*(CHOOSE({1,2,3,4},KHP!X346,KHP!AD346,KHP!AJ346,KHP!AP346)))</f>
        <v>0</v>
      </c>
      <c r="E346">
        <f>SUMPRODUCT((MONTH(CHOOSE({1,2,3,4},KHP!U346,KHP!AA346,KHP!AG346,KHP!AM346))=5)*(CHOOSE({1,2,3,4},KHP!X346,KHP!AD346,KHP!AJ346,KHP!AP346)))</f>
        <v>0</v>
      </c>
      <c r="F346">
        <f>SUMPRODUCT((MONTH(CHOOSE({1,2,3,4},KHP!U346,KHP!AA346,KHP!AG346,KHP!AM346))=6)*(CHOOSE({1,2,3,4},KHP!X346,KHP!AD346,KHP!AJ346,KHP!AP346)))</f>
        <v>0</v>
      </c>
      <c r="G346">
        <f>SUMPRODUCT((MONTH(CHOOSE({1,2,3,4},KHP!U346,KHP!AA346,KHP!AG346,KHP!AM346))=7)*(CHOOSE({1,2,3,4},KHP!X346,KHP!AD346,KHP!AJ346,KHP!AP346)))</f>
        <v>0</v>
      </c>
      <c r="H346">
        <f>SUMPRODUCT((MONTH(CHOOSE({1,2,3,4},KHP!U346,KHP!AA346,KHP!AG346,KHP!AM346))=8)*(CHOOSE({1,2,3,4},KHP!X346,KHP!AD346,KHP!AJ346,KHP!AP346)))</f>
        <v>0</v>
      </c>
      <c r="I346">
        <f>SUMPRODUCT((MONTH(CHOOSE({1,2,3,4},KHP!U346,KHP!AA346,KHP!AG346,KHP!AM346))=9)*(CHOOSE({1,2,3,4},KHP!X346,KHP!AD346,KHP!AJ346,KHP!AP346)))</f>
        <v>0</v>
      </c>
      <c r="J346">
        <f>SUMPRODUCT((MONTH(CHOOSE({1,2,3,4},KHP!U346,KHP!AA346,KHP!AG346,KHP!AM346))=10)*(CHOOSE({1,2,3,4},KHP!X346,KHP!AD346,KHP!AJ346,KHP!AP346)))</f>
        <v>0</v>
      </c>
      <c r="K346">
        <f>SUMPRODUCT((MONTH(CHOOSE({1,2,3,4},KHP!U346,KHP!AA346,KHP!AG346,KHP!AM346))=11)*(CHOOSE({1,2,3,4},KHP!X346,KHP!AD346,KHP!AJ346,KHP!AP346)))</f>
        <v>0</v>
      </c>
      <c r="L346">
        <f>SUMPRODUCT((MONTH(CHOOSE({1,2,3,4},KHP!U346,KHP!AA346,KHP!AG346,KHP!AM346))=12)*(CHOOSE({1,2,3,4},KHP!X346,KHP!AD346,KHP!AJ346,KHP!AP346)))</f>
        <v>0</v>
      </c>
    </row>
    <row r="347" spans="1:12">
      <c r="A347">
        <f>SUMPRODUCT((MONTH(CHOOSE({1,2,3,4},KHP!U347,KHP!AA347,KHP!AG347,KHP!AM347))=1)*(CHOOSE({1,2,3,4},KHP!X347,KHP!AD347,KHP!AJ347,KHP!AP347)))</f>
        <v>0</v>
      </c>
      <c r="B347">
        <f>SUMPRODUCT((MONTH(CHOOSE({1,2,3,4},KHP!U347,KHP!AA347,KHP!AG347,KHP!AM347))=2)*(CHOOSE({1,2,3,4},KHP!X347,KHP!AD347,KHP!AJ347,KHP!AP347)))</f>
        <v>0</v>
      </c>
      <c r="C347">
        <f>SUMPRODUCT((MONTH(CHOOSE({1,2,3,4},KHP!U347,KHP!AA347,KHP!AG347,KHP!AM347))=3)*(CHOOSE({1,2,3,4},KHP!X347,KHP!AD347,KHP!AJ347,KHP!AP347)))</f>
        <v>0</v>
      </c>
      <c r="D347">
        <f>SUMPRODUCT((MONTH(CHOOSE({1,2,3,4},KHP!U347,KHP!AA347,KHP!AG347,KHP!AM347))=4)*(CHOOSE({1,2,3,4},KHP!X347,KHP!AD347,KHP!AJ347,KHP!AP347)))</f>
        <v>0</v>
      </c>
      <c r="E347">
        <f>SUMPRODUCT((MONTH(CHOOSE({1,2,3,4},KHP!U347,KHP!AA347,KHP!AG347,KHP!AM347))=5)*(CHOOSE({1,2,3,4},KHP!X347,KHP!AD347,KHP!AJ347,KHP!AP347)))</f>
        <v>0</v>
      </c>
      <c r="F347">
        <f>SUMPRODUCT((MONTH(CHOOSE({1,2,3,4},KHP!U347,KHP!AA347,KHP!AG347,KHP!AM347))=6)*(CHOOSE({1,2,3,4},KHP!X347,KHP!AD347,KHP!AJ347,KHP!AP347)))</f>
        <v>0</v>
      </c>
      <c r="G347">
        <f>SUMPRODUCT((MONTH(CHOOSE({1,2,3,4},KHP!U347,KHP!AA347,KHP!AG347,KHP!AM347))=7)*(CHOOSE({1,2,3,4},KHP!X347,KHP!AD347,KHP!AJ347,KHP!AP347)))</f>
        <v>0</v>
      </c>
      <c r="H347">
        <f>SUMPRODUCT((MONTH(CHOOSE({1,2,3,4},KHP!U347,KHP!AA347,KHP!AG347,KHP!AM347))=8)*(CHOOSE({1,2,3,4},KHP!X347,KHP!AD347,KHP!AJ347,KHP!AP347)))</f>
        <v>0</v>
      </c>
      <c r="I347">
        <f>SUMPRODUCT((MONTH(CHOOSE({1,2,3,4},KHP!U347,KHP!AA347,KHP!AG347,KHP!AM347))=9)*(CHOOSE({1,2,3,4},KHP!X347,KHP!AD347,KHP!AJ347,KHP!AP347)))</f>
        <v>0</v>
      </c>
      <c r="J347">
        <f>SUMPRODUCT((MONTH(CHOOSE({1,2,3,4},KHP!U347,KHP!AA347,KHP!AG347,KHP!AM347))=10)*(CHOOSE({1,2,3,4},KHP!X347,KHP!AD347,KHP!AJ347,KHP!AP347)))</f>
        <v>0</v>
      </c>
      <c r="K347">
        <f>SUMPRODUCT((MONTH(CHOOSE({1,2,3,4},KHP!U347,KHP!AA347,KHP!AG347,KHP!AM347))=11)*(CHOOSE({1,2,3,4},KHP!X347,KHP!AD347,KHP!AJ347,KHP!AP347)))</f>
        <v>0</v>
      </c>
      <c r="L347">
        <f>SUMPRODUCT((MONTH(CHOOSE({1,2,3,4},KHP!U347,KHP!AA347,KHP!AG347,KHP!AM347))=12)*(CHOOSE({1,2,3,4},KHP!X347,KHP!AD347,KHP!AJ347,KHP!AP347)))</f>
        <v>0</v>
      </c>
    </row>
    <row r="348" spans="1:12">
      <c r="A348">
        <f>SUMPRODUCT((MONTH(CHOOSE({1,2,3,4},KHP!U348,KHP!AA348,KHP!AG348,KHP!AM348))=1)*(CHOOSE({1,2,3,4},KHP!X348,KHP!AD348,KHP!AJ348,KHP!AP348)))</f>
        <v>0</v>
      </c>
      <c r="B348">
        <f>SUMPRODUCT((MONTH(CHOOSE({1,2,3,4},KHP!U348,KHP!AA348,KHP!AG348,KHP!AM348))=2)*(CHOOSE({1,2,3,4},KHP!X348,KHP!AD348,KHP!AJ348,KHP!AP348)))</f>
        <v>0</v>
      </c>
      <c r="C348">
        <f>SUMPRODUCT((MONTH(CHOOSE({1,2,3,4},KHP!U348,KHP!AA348,KHP!AG348,KHP!AM348))=3)*(CHOOSE({1,2,3,4},KHP!X348,KHP!AD348,KHP!AJ348,KHP!AP348)))</f>
        <v>0</v>
      </c>
      <c r="D348">
        <f>SUMPRODUCT((MONTH(CHOOSE({1,2,3,4},KHP!U348,KHP!AA348,KHP!AG348,KHP!AM348))=4)*(CHOOSE({1,2,3,4},KHP!X348,KHP!AD348,KHP!AJ348,KHP!AP348)))</f>
        <v>0</v>
      </c>
      <c r="E348">
        <f>SUMPRODUCT((MONTH(CHOOSE({1,2,3,4},KHP!U348,KHP!AA348,KHP!AG348,KHP!AM348))=5)*(CHOOSE({1,2,3,4},KHP!X348,KHP!AD348,KHP!AJ348,KHP!AP348)))</f>
        <v>0</v>
      </c>
      <c r="F348">
        <f>SUMPRODUCT((MONTH(CHOOSE({1,2,3,4},KHP!U348,KHP!AA348,KHP!AG348,KHP!AM348))=6)*(CHOOSE({1,2,3,4},KHP!X348,KHP!AD348,KHP!AJ348,KHP!AP348)))</f>
        <v>0</v>
      </c>
      <c r="G348">
        <f>SUMPRODUCT((MONTH(CHOOSE({1,2,3,4},KHP!U348,KHP!AA348,KHP!AG348,KHP!AM348))=7)*(CHOOSE({1,2,3,4},KHP!X348,KHP!AD348,KHP!AJ348,KHP!AP348)))</f>
        <v>0</v>
      </c>
      <c r="H348">
        <f>SUMPRODUCT((MONTH(CHOOSE({1,2,3,4},KHP!U348,KHP!AA348,KHP!AG348,KHP!AM348))=8)*(CHOOSE({1,2,3,4},KHP!X348,KHP!AD348,KHP!AJ348,KHP!AP348)))</f>
        <v>0</v>
      </c>
      <c r="I348">
        <f>SUMPRODUCT((MONTH(CHOOSE({1,2,3,4},KHP!U348,KHP!AA348,KHP!AG348,KHP!AM348))=9)*(CHOOSE({1,2,3,4},KHP!X348,KHP!AD348,KHP!AJ348,KHP!AP348)))</f>
        <v>0</v>
      </c>
      <c r="J348">
        <f>SUMPRODUCT((MONTH(CHOOSE({1,2,3,4},KHP!U348,KHP!AA348,KHP!AG348,KHP!AM348))=10)*(CHOOSE({1,2,3,4},KHP!X348,KHP!AD348,KHP!AJ348,KHP!AP348)))</f>
        <v>0</v>
      </c>
      <c r="K348">
        <f>SUMPRODUCT((MONTH(CHOOSE({1,2,3,4},KHP!U348,KHP!AA348,KHP!AG348,KHP!AM348))=11)*(CHOOSE({1,2,3,4},KHP!X348,KHP!AD348,KHP!AJ348,KHP!AP348)))</f>
        <v>0</v>
      </c>
      <c r="L348">
        <f>SUMPRODUCT((MONTH(CHOOSE({1,2,3,4},KHP!U348,KHP!AA348,KHP!AG348,KHP!AM348))=12)*(CHOOSE({1,2,3,4},KHP!X348,KHP!AD348,KHP!AJ348,KHP!AP348)))</f>
        <v>0</v>
      </c>
    </row>
    <row r="349" spans="1:12">
      <c r="A349">
        <f>SUMPRODUCT((MONTH(CHOOSE({1,2,3,4},KHP!U349,KHP!AA349,KHP!AG349,KHP!AM349))=1)*(CHOOSE({1,2,3,4},KHP!X349,KHP!AD349,KHP!AJ349,KHP!AP349)))</f>
        <v>0</v>
      </c>
      <c r="B349">
        <f>SUMPRODUCT((MONTH(CHOOSE({1,2,3,4},KHP!U349,KHP!AA349,KHP!AG349,KHP!AM349))=2)*(CHOOSE({1,2,3,4},KHP!X349,KHP!AD349,KHP!AJ349,KHP!AP349)))</f>
        <v>0</v>
      </c>
      <c r="C349">
        <f>SUMPRODUCT((MONTH(CHOOSE({1,2,3,4},KHP!U349,KHP!AA349,KHP!AG349,KHP!AM349))=3)*(CHOOSE({1,2,3,4},KHP!X349,KHP!AD349,KHP!AJ349,KHP!AP349)))</f>
        <v>0</v>
      </c>
      <c r="D349">
        <f>SUMPRODUCT((MONTH(CHOOSE({1,2,3,4},KHP!U349,KHP!AA349,KHP!AG349,KHP!AM349))=4)*(CHOOSE({1,2,3,4},KHP!X349,KHP!AD349,KHP!AJ349,KHP!AP349)))</f>
        <v>0</v>
      </c>
      <c r="E349">
        <f>SUMPRODUCT((MONTH(CHOOSE({1,2,3,4},KHP!U349,KHP!AA349,KHP!AG349,KHP!AM349))=5)*(CHOOSE({1,2,3,4},KHP!X349,KHP!AD349,KHP!AJ349,KHP!AP349)))</f>
        <v>0</v>
      </c>
      <c r="F349">
        <f>SUMPRODUCT((MONTH(CHOOSE({1,2,3,4},KHP!U349,KHP!AA349,KHP!AG349,KHP!AM349))=6)*(CHOOSE({1,2,3,4},KHP!X349,KHP!AD349,KHP!AJ349,KHP!AP349)))</f>
        <v>0</v>
      </c>
      <c r="G349">
        <f>SUMPRODUCT((MONTH(CHOOSE({1,2,3,4},KHP!U349,KHP!AA349,KHP!AG349,KHP!AM349))=7)*(CHOOSE({1,2,3,4},KHP!X349,KHP!AD349,KHP!AJ349,KHP!AP349)))</f>
        <v>0</v>
      </c>
      <c r="H349">
        <f>SUMPRODUCT((MONTH(CHOOSE({1,2,3,4},KHP!U349,KHP!AA349,KHP!AG349,KHP!AM349))=8)*(CHOOSE({1,2,3,4},KHP!X349,KHP!AD349,KHP!AJ349,KHP!AP349)))</f>
        <v>0</v>
      </c>
      <c r="I349">
        <f>SUMPRODUCT((MONTH(CHOOSE({1,2,3,4},KHP!U349,KHP!AA349,KHP!AG349,KHP!AM349))=9)*(CHOOSE({1,2,3,4},KHP!X349,KHP!AD349,KHP!AJ349,KHP!AP349)))</f>
        <v>0</v>
      </c>
      <c r="J349">
        <f>SUMPRODUCT((MONTH(CHOOSE({1,2,3,4},KHP!U349,KHP!AA349,KHP!AG349,KHP!AM349))=10)*(CHOOSE({1,2,3,4},KHP!X349,KHP!AD349,KHP!AJ349,KHP!AP349)))</f>
        <v>0</v>
      </c>
      <c r="K349">
        <f>SUMPRODUCT((MONTH(CHOOSE({1,2,3,4},KHP!U349,KHP!AA349,KHP!AG349,KHP!AM349))=11)*(CHOOSE({1,2,3,4},KHP!X349,KHP!AD349,KHP!AJ349,KHP!AP349)))</f>
        <v>0</v>
      </c>
      <c r="L349">
        <f>SUMPRODUCT((MONTH(CHOOSE({1,2,3,4},KHP!U349,KHP!AA349,KHP!AG349,KHP!AM349))=12)*(CHOOSE({1,2,3,4},KHP!X349,KHP!AD349,KHP!AJ349,KHP!AP349)))</f>
        <v>0</v>
      </c>
    </row>
    <row r="350" spans="1:12">
      <c r="A350">
        <f>SUMPRODUCT((MONTH(CHOOSE({1,2,3,4},KHP!U350,KHP!AA350,KHP!AG350,KHP!AM350))=1)*(CHOOSE({1,2,3,4},KHP!X350,KHP!AD350,KHP!AJ350,KHP!AP350)))</f>
        <v>0</v>
      </c>
      <c r="B350">
        <f>SUMPRODUCT((MONTH(CHOOSE({1,2,3,4},KHP!U350,KHP!AA350,KHP!AG350,KHP!AM350))=2)*(CHOOSE({1,2,3,4},KHP!X350,KHP!AD350,KHP!AJ350,KHP!AP350)))</f>
        <v>0</v>
      </c>
      <c r="C350">
        <f>SUMPRODUCT((MONTH(CHOOSE({1,2,3,4},KHP!U350,KHP!AA350,KHP!AG350,KHP!AM350))=3)*(CHOOSE({1,2,3,4},KHP!X350,KHP!AD350,KHP!AJ350,KHP!AP350)))</f>
        <v>0</v>
      </c>
      <c r="D350">
        <f>SUMPRODUCT((MONTH(CHOOSE({1,2,3,4},KHP!U350,KHP!AA350,KHP!AG350,KHP!AM350))=4)*(CHOOSE({1,2,3,4},KHP!X350,KHP!AD350,KHP!AJ350,KHP!AP350)))</f>
        <v>0</v>
      </c>
      <c r="E350">
        <f>SUMPRODUCT((MONTH(CHOOSE({1,2,3,4},KHP!U350,KHP!AA350,KHP!AG350,KHP!AM350))=5)*(CHOOSE({1,2,3,4},KHP!X350,KHP!AD350,KHP!AJ350,KHP!AP350)))</f>
        <v>0</v>
      </c>
      <c r="F350">
        <f>SUMPRODUCT((MONTH(CHOOSE({1,2,3,4},KHP!U350,KHP!AA350,KHP!AG350,KHP!AM350))=6)*(CHOOSE({1,2,3,4},KHP!X350,KHP!AD350,KHP!AJ350,KHP!AP350)))</f>
        <v>0</v>
      </c>
      <c r="G350">
        <f>SUMPRODUCT((MONTH(CHOOSE({1,2,3,4},KHP!U350,KHP!AA350,KHP!AG350,KHP!AM350))=7)*(CHOOSE({1,2,3,4},KHP!X350,KHP!AD350,KHP!AJ350,KHP!AP350)))</f>
        <v>0</v>
      </c>
      <c r="H350">
        <f>SUMPRODUCT((MONTH(CHOOSE({1,2,3,4},KHP!U350,KHP!AA350,KHP!AG350,KHP!AM350))=8)*(CHOOSE({1,2,3,4},KHP!X350,KHP!AD350,KHP!AJ350,KHP!AP350)))</f>
        <v>0</v>
      </c>
      <c r="I350">
        <f>SUMPRODUCT((MONTH(CHOOSE({1,2,3,4},KHP!U350,KHP!AA350,KHP!AG350,KHP!AM350))=9)*(CHOOSE({1,2,3,4},KHP!X350,KHP!AD350,KHP!AJ350,KHP!AP350)))</f>
        <v>0</v>
      </c>
      <c r="J350">
        <f>SUMPRODUCT((MONTH(CHOOSE({1,2,3,4},KHP!U350,KHP!AA350,KHP!AG350,KHP!AM350))=10)*(CHOOSE({1,2,3,4},KHP!X350,KHP!AD350,KHP!AJ350,KHP!AP350)))</f>
        <v>0</v>
      </c>
      <c r="K350">
        <f>SUMPRODUCT((MONTH(CHOOSE({1,2,3,4},KHP!U350,KHP!AA350,KHP!AG350,KHP!AM350))=11)*(CHOOSE({1,2,3,4},KHP!X350,KHP!AD350,KHP!AJ350,KHP!AP350)))</f>
        <v>0</v>
      </c>
      <c r="L350">
        <f>SUMPRODUCT((MONTH(CHOOSE({1,2,3,4},KHP!U350,KHP!AA350,KHP!AG350,KHP!AM350))=12)*(CHOOSE({1,2,3,4},KHP!X350,KHP!AD350,KHP!AJ350,KHP!AP350)))</f>
        <v>0</v>
      </c>
    </row>
    <row r="351" spans="1:12">
      <c r="A351">
        <f>SUMPRODUCT((MONTH(CHOOSE({1,2,3,4},KHP!U351,KHP!AA351,KHP!AG351,KHP!AM351))=1)*(CHOOSE({1,2,3,4},KHP!X351,KHP!AD351,KHP!AJ351,KHP!AP351)))</f>
        <v>0</v>
      </c>
      <c r="B351">
        <f>SUMPRODUCT((MONTH(CHOOSE({1,2,3,4},KHP!U351,KHP!AA351,KHP!AG351,KHP!AM351))=2)*(CHOOSE({1,2,3,4},KHP!X351,KHP!AD351,KHP!AJ351,KHP!AP351)))</f>
        <v>0</v>
      </c>
      <c r="C351">
        <f>SUMPRODUCT((MONTH(CHOOSE({1,2,3,4},KHP!U351,KHP!AA351,KHP!AG351,KHP!AM351))=3)*(CHOOSE({1,2,3,4},KHP!X351,KHP!AD351,KHP!AJ351,KHP!AP351)))</f>
        <v>0</v>
      </c>
      <c r="D351">
        <f>SUMPRODUCT((MONTH(CHOOSE({1,2,3,4},KHP!U351,KHP!AA351,KHP!AG351,KHP!AM351))=4)*(CHOOSE({1,2,3,4},KHP!X351,KHP!AD351,KHP!AJ351,KHP!AP351)))</f>
        <v>0</v>
      </c>
      <c r="E351">
        <f>SUMPRODUCT((MONTH(CHOOSE({1,2,3,4},KHP!U351,KHP!AA351,KHP!AG351,KHP!AM351))=5)*(CHOOSE({1,2,3,4},KHP!X351,KHP!AD351,KHP!AJ351,KHP!AP351)))</f>
        <v>0</v>
      </c>
      <c r="F351">
        <f>SUMPRODUCT((MONTH(CHOOSE({1,2,3,4},KHP!U351,KHP!AA351,KHP!AG351,KHP!AM351))=6)*(CHOOSE({1,2,3,4},KHP!X351,KHP!AD351,KHP!AJ351,KHP!AP351)))</f>
        <v>0</v>
      </c>
      <c r="G351">
        <f>SUMPRODUCT((MONTH(CHOOSE({1,2,3,4},KHP!U351,KHP!AA351,KHP!AG351,KHP!AM351))=7)*(CHOOSE({1,2,3,4},KHP!X351,KHP!AD351,KHP!AJ351,KHP!AP351)))</f>
        <v>0</v>
      </c>
      <c r="H351">
        <f>SUMPRODUCT((MONTH(CHOOSE({1,2,3,4},KHP!U351,KHP!AA351,KHP!AG351,KHP!AM351))=8)*(CHOOSE({1,2,3,4},KHP!X351,KHP!AD351,KHP!AJ351,KHP!AP351)))</f>
        <v>0</v>
      </c>
      <c r="I351">
        <f>SUMPRODUCT((MONTH(CHOOSE({1,2,3,4},KHP!U351,KHP!AA351,KHP!AG351,KHP!AM351))=9)*(CHOOSE({1,2,3,4},KHP!X351,KHP!AD351,KHP!AJ351,KHP!AP351)))</f>
        <v>0</v>
      </c>
      <c r="J351">
        <f>SUMPRODUCT((MONTH(CHOOSE({1,2,3,4},KHP!U351,KHP!AA351,KHP!AG351,KHP!AM351))=10)*(CHOOSE({1,2,3,4},KHP!X351,KHP!AD351,KHP!AJ351,KHP!AP351)))</f>
        <v>0</v>
      </c>
      <c r="K351">
        <f>SUMPRODUCT((MONTH(CHOOSE({1,2,3,4},KHP!U351,KHP!AA351,KHP!AG351,KHP!AM351))=11)*(CHOOSE({1,2,3,4},KHP!X351,KHP!AD351,KHP!AJ351,KHP!AP351)))</f>
        <v>0</v>
      </c>
      <c r="L351">
        <f>SUMPRODUCT((MONTH(CHOOSE({1,2,3,4},KHP!U351,KHP!AA351,KHP!AG351,KHP!AM351))=12)*(CHOOSE({1,2,3,4},KHP!X351,KHP!AD351,KHP!AJ351,KHP!AP351)))</f>
        <v>0</v>
      </c>
    </row>
    <row r="352" spans="1:12">
      <c r="A352">
        <f>SUMPRODUCT((MONTH(CHOOSE({1,2,3,4},KHP!U352,KHP!AA352,KHP!AG352,KHP!AM352))=1)*(CHOOSE({1,2,3,4},KHP!X352,KHP!AD352,KHP!AJ352,KHP!AP352)))</f>
        <v>0</v>
      </c>
      <c r="B352">
        <f>SUMPRODUCT((MONTH(CHOOSE({1,2,3,4},KHP!U352,KHP!AA352,KHP!AG352,KHP!AM352))=2)*(CHOOSE({1,2,3,4},KHP!X352,KHP!AD352,KHP!AJ352,KHP!AP352)))</f>
        <v>0</v>
      </c>
      <c r="C352">
        <f>SUMPRODUCT((MONTH(CHOOSE({1,2,3,4},KHP!U352,KHP!AA352,KHP!AG352,KHP!AM352))=3)*(CHOOSE({1,2,3,4},KHP!X352,KHP!AD352,KHP!AJ352,KHP!AP352)))</f>
        <v>0</v>
      </c>
      <c r="D352">
        <f>SUMPRODUCT((MONTH(CHOOSE({1,2,3,4},KHP!U352,KHP!AA352,KHP!AG352,KHP!AM352))=4)*(CHOOSE({1,2,3,4},KHP!X352,KHP!AD352,KHP!AJ352,KHP!AP352)))</f>
        <v>0</v>
      </c>
      <c r="E352">
        <f>SUMPRODUCT((MONTH(CHOOSE({1,2,3,4},KHP!U352,KHP!AA352,KHP!AG352,KHP!AM352))=5)*(CHOOSE({1,2,3,4},KHP!X352,KHP!AD352,KHP!AJ352,KHP!AP352)))</f>
        <v>0</v>
      </c>
      <c r="F352">
        <f>SUMPRODUCT((MONTH(CHOOSE({1,2,3,4},KHP!U352,KHP!AA352,KHP!AG352,KHP!AM352))=6)*(CHOOSE({1,2,3,4},KHP!X352,KHP!AD352,KHP!AJ352,KHP!AP352)))</f>
        <v>0</v>
      </c>
      <c r="G352">
        <f>SUMPRODUCT((MONTH(CHOOSE({1,2,3,4},KHP!U352,KHP!AA352,KHP!AG352,KHP!AM352))=7)*(CHOOSE({1,2,3,4},KHP!X352,KHP!AD352,KHP!AJ352,KHP!AP352)))</f>
        <v>0</v>
      </c>
      <c r="H352">
        <f>SUMPRODUCT((MONTH(CHOOSE({1,2,3,4},KHP!U352,KHP!AA352,KHP!AG352,KHP!AM352))=8)*(CHOOSE({1,2,3,4},KHP!X352,KHP!AD352,KHP!AJ352,KHP!AP352)))</f>
        <v>0</v>
      </c>
      <c r="I352">
        <f>SUMPRODUCT((MONTH(CHOOSE({1,2,3,4},KHP!U352,KHP!AA352,KHP!AG352,KHP!AM352))=9)*(CHOOSE({1,2,3,4},KHP!X352,KHP!AD352,KHP!AJ352,KHP!AP352)))</f>
        <v>0</v>
      </c>
      <c r="J352">
        <f>SUMPRODUCT((MONTH(CHOOSE({1,2,3,4},KHP!U352,KHP!AA352,KHP!AG352,KHP!AM352))=10)*(CHOOSE({1,2,3,4},KHP!X352,KHP!AD352,KHP!AJ352,KHP!AP352)))</f>
        <v>0</v>
      </c>
      <c r="K352">
        <f>SUMPRODUCT((MONTH(CHOOSE({1,2,3,4},KHP!U352,KHP!AA352,KHP!AG352,KHP!AM352))=11)*(CHOOSE({1,2,3,4},KHP!X352,KHP!AD352,KHP!AJ352,KHP!AP352)))</f>
        <v>0</v>
      </c>
      <c r="L352">
        <f>SUMPRODUCT((MONTH(CHOOSE({1,2,3,4},KHP!U352,KHP!AA352,KHP!AG352,KHP!AM352))=12)*(CHOOSE({1,2,3,4},KHP!X352,KHP!AD352,KHP!AJ352,KHP!AP352)))</f>
        <v>0</v>
      </c>
    </row>
    <row r="353" spans="1:12">
      <c r="A353">
        <f>SUMPRODUCT((MONTH(CHOOSE({1,2,3,4},KHP!U353,KHP!AA353,KHP!AG353,KHP!AM353))=1)*(CHOOSE({1,2,3,4},KHP!X353,KHP!AD353,KHP!AJ353,KHP!AP353)))</f>
        <v>0</v>
      </c>
      <c r="B353">
        <f>SUMPRODUCT((MONTH(CHOOSE({1,2,3,4},KHP!U353,KHP!AA353,KHP!AG353,KHP!AM353))=2)*(CHOOSE({1,2,3,4},KHP!X353,KHP!AD353,KHP!AJ353,KHP!AP353)))</f>
        <v>0</v>
      </c>
      <c r="C353">
        <f>SUMPRODUCT((MONTH(CHOOSE({1,2,3,4},KHP!U353,KHP!AA353,KHP!AG353,KHP!AM353))=3)*(CHOOSE({1,2,3,4},KHP!X353,KHP!AD353,KHP!AJ353,KHP!AP353)))</f>
        <v>0</v>
      </c>
      <c r="D353">
        <f>SUMPRODUCT((MONTH(CHOOSE({1,2,3,4},KHP!U353,KHP!AA353,KHP!AG353,KHP!AM353))=4)*(CHOOSE({1,2,3,4},KHP!X353,KHP!AD353,KHP!AJ353,KHP!AP353)))</f>
        <v>0</v>
      </c>
      <c r="E353">
        <f>SUMPRODUCT((MONTH(CHOOSE({1,2,3,4},KHP!U353,KHP!AA353,KHP!AG353,KHP!AM353))=5)*(CHOOSE({1,2,3,4},KHP!X353,KHP!AD353,KHP!AJ353,KHP!AP353)))</f>
        <v>0</v>
      </c>
      <c r="F353">
        <f>SUMPRODUCT((MONTH(CHOOSE({1,2,3,4},KHP!U353,KHP!AA353,KHP!AG353,KHP!AM353))=6)*(CHOOSE({1,2,3,4},KHP!X353,KHP!AD353,KHP!AJ353,KHP!AP353)))</f>
        <v>0</v>
      </c>
      <c r="G353">
        <f>SUMPRODUCT((MONTH(CHOOSE({1,2,3,4},KHP!U353,KHP!AA353,KHP!AG353,KHP!AM353))=7)*(CHOOSE({1,2,3,4},KHP!X353,KHP!AD353,KHP!AJ353,KHP!AP353)))</f>
        <v>0</v>
      </c>
      <c r="H353">
        <f>SUMPRODUCT((MONTH(CHOOSE({1,2,3,4},KHP!U353,KHP!AA353,KHP!AG353,KHP!AM353))=8)*(CHOOSE({1,2,3,4},KHP!X353,KHP!AD353,KHP!AJ353,KHP!AP353)))</f>
        <v>0</v>
      </c>
      <c r="I353">
        <f>SUMPRODUCT((MONTH(CHOOSE({1,2,3,4},KHP!U353,KHP!AA353,KHP!AG353,KHP!AM353))=9)*(CHOOSE({1,2,3,4},KHP!X353,KHP!AD353,KHP!AJ353,KHP!AP353)))</f>
        <v>0</v>
      </c>
      <c r="J353">
        <f>SUMPRODUCT((MONTH(CHOOSE({1,2,3,4},KHP!U353,KHP!AA353,KHP!AG353,KHP!AM353))=10)*(CHOOSE({1,2,3,4},KHP!X353,KHP!AD353,KHP!AJ353,KHP!AP353)))</f>
        <v>0</v>
      </c>
      <c r="K353">
        <f>SUMPRODUCT((MONTH(CHOOSE({1,2,3,4},KHP!U353,KHP!AA353,KHP!AG353,KHP!AM353))=11)*(CHOOSE({1,2,3,4},KHP!X353,KHP!AD353,KHP!AJ353,KHP!AP353)))</f>
        <v>0</v>
      </c>
      <c r="L353">
        <f>SUMPRODUCT((MONTH(CHOOSE({1,2,3,4},KHP!U353,KHP!AA353,KHP!AG353,KHP!AM353))=12)*(CHOOSE({1,2,3,4},KHP!X353,KHP!AD353,KHP!AJ353,KHP!AP353)))</f>
        <v>0</v>
      </c>
    </row>
    <row r="354" spans="1:12">
      <c r="A354">
        <f>SUMPRODUCT((MONTH(CHOOSE({1,2,3,4},KHP!U354,KHP!AA354,KHP!AG354,KHP!AM354))=1)*(CHOOSE({1,2,3,4},KHP!X354,KHP!AD354,KHP!AJ354,KHP!AP354)))</f>
        <v>0</v>
      </c>
      <c r="B354">
        <f>SUMPRODUCT((MONTH(CHOOSE({1,2,3,4},KHP!U354,KHP!AA354,KHP!AG354,KHP!AM354))=2)*(CHOOSE({1,2,3,4},KHP!X354,KHP!AD354,KHP!AJ354,KHP!AP354)))</f>
        <v>0</v>
      </c>
      <c r="C354">
        <f>SUMPRODUCT((MONTH(CHOOSE({1,2,3,4},KHP!U354,KHP!AA354,KHP!AG354,KHP!AM354))=3)*(CHOOSE({1,2,3,4},KHP!X354,KHP!AD354,KHP!AJ354,KHP!AP354)))</f>
        <v>0</v>
      </c>
      <c r="D354">
        <f>SUMPRODUCT((MONTH(CHOOSE({1,2,3,4},KHP!U354,KHP!AA354,KHP!AG354,KHP!AM354))=4)*(CHOOSE({1,2,3,4},KHP!X354,KHP!AD354,KHP!AJ354,KHP!AP354)))</f>
        <v>0</v>
      </c>
      <c r="E354">
        <f>SUMPRODUCT((MONTH(CHOOSE({1,2,3,4},KHP!U354,KHP!AA354,KHP!AG354,KHP!AM354))=5)*(CHOOSE({1,2,3,4},KHP!X354,KHP!AD354,KHP!AJ354,KHP!AP354)))</f>
        <v>0</v>
      </c>
      <c r="F354">
        <f>SUMPRODUCT((MONTH(CHOOSE({1,2,3,4},KHP!U354,KHP!AA354,KHP!AG354,KHP!AM354))=6)*(CHOOSE({1,2,3,4},KHP!X354,KHP!AD354,KHP!AJ354,KHP!AP354)))</f>
        <v>0</v>
      </c>
      <c r="G354">
        <f>SUMPRODUCT((MONTH(CHOOSE({1,2,3,4},KHP!U354,KHP!AA354,KHP!AG354,KHP!AM354))=7)*(CHOOSE({1,2,3,4},KHP!X354,KHP!AD354,KHP!AJ354,KHP!AP354)))</f>
        <v>0</v>
      </c>
      <c r="H354">
        <f>SUMPRODUCT((MONTH(CHOOSE({1,2,3,4},KHP!U354,KHP!AA354,KHP!AG354,KHP!AM354))=8)*(CHOOSE({1,2,3,4},KHP!X354,KHP!AD354,KHP!AJ354,KHP!AP354)))</f>
        <v>0</v>
      </c>
      <c r="I354">
        <f>SUMPRODUCT((MONTH(CHOOSE({1,2,3,4},KHP!U354,KHP!AA354,KHP!AG354,KHP!AM354))=9)*(CHOOSE({1,2,3,4},KHP!X354,KHP!AD354,KHP!AJ354,KHP!AP354)))</f>
        <v>0</v>
      </c>
      <c r="J354">
        <f>SUMPRODUCT((MONTH(CHOOSE({1,2,3,4},KHP!U354,KHP!AA354,KHP!AG354,KHP!AM354))=10)*(CHOOSE({1,2,3,4},KHP!X354,KHP!AD354,KHP!AJ354,KHP!AP354)))</f>
        <v>0</v>
      </c>
      <c r="K354">
        <f>SUMPRODUCT((MONTH(CHOOSE({1,2,3,4},KHP!U354,KHP!AA354,KHP!AG354,KHP!AM354))=11)*(CHOOSE({1,2,3,4},KHP!X354,KHP!AD354,KHP!AJ354,KHP!AP354)))</f>
        <v>0</v>
      </c>
      <c r="L354">
        <f>SUMPRODUCT((MONTH(CHOOSE({1,2,3,4},KHP!U354,KHP!AA354,KHP!AG354,KHP!AM354))=12)*(CHOOSE({1,2,3,4},KHP!X354,KHP!AD354,KHP!AJ354,KHP!AP354)))</f>
        <v>0</v>
      </c>
    </row>
    <row r="355" spans="1:12">
      <c r="A355">
        <f>SUMPRODUCT((MONTH(CHOOSE({1,2,3,4},KHP!U355,KHP!AA355,KHP!AG355,KHP!AM355))=1)*(CHOOSE({1,2,3,4},KHP!X355,KHP!AD355,KHP!AJ355,KHP!AP355)))</f>
        <v>0</v>
      </c>
      <c r="B355">
        <f>SUMPRODUCT((MONTH(CHOOSE({1,2,3,4},KHP!U355,KHP!AA355,KHP!AG355,KHP!AM355))=2)*(CHOOSE({1,2,3,4},KHP!X355,KHP!AD355,KHP!AJ355,KHP!AP355)))</f>
        <v>0</v>
      </c>
      <c r="C355">
        <f>SUMPRODUCT((MONTH(CHOOSE({1,2,3,4},KHP!U355,KHP!AA355,KHP!AG355,KHP!AM355))=3)*(CHOOSE({1,2,3,4},KHP!X355,KHP!AD355,KHP!AJ355,KHP!AP355)))</f>
        <v>0</v>
      </c>
      <c r="D355">
        <f>SUMPRODUCT((MONTH(CHOOSE({1,2,3,4},KHP!U355,KHP!AA355,KHP!AG355,KHP!AM355))=4)*(CHOOSE({1,2,3,4},KHP!X355,KHP!AD355,KHP!AJ355,KHP!AP355)))</f>
        <v>0</v>
      </c>
      <c r="E355">
        <f>SUMPRODUCT((MONTH(CHOOSE({1,2,3,4},KHP!U355,KHP!AA355,KHP!AG355,KHP!AM355))=5)*(CHOOSE({1,2,3,4},KHP!X355,KHP!AD355,KHP!AJ355,KHP!AP355)))</f>
        <v>0</v>
      </c>
      <c r="F355">
        <f>SUMPRODUCT((MONTH(CHOOSE({1,2,3,4},KHP!U355,KHP!AA355,KHP!AG355,KHP!AM355))=6)*(CHOOSE({1,2,3,4},KHP!X355,KHP!AD355,KHP!AJ355,KHP!AP355)))</f>
        <v>0</v>
      </c>
      <c r="G355">
        <f>SUMPRODUCT((MONTH(CHOOSE({1,2,3,4},KHP!U355,KHP!AA355,KHP!AG355,KHP!AM355))=7)*(CHOOSE({1,2,3,4},KHP!X355,KHP!AD355,KHP!AJ355,KHP!AP355)))</f>
        <v>0</v>
      </c>
      <c r="H355">
        <f>SUMPRODUCT((MONTH(CHOOSE({1,2,3,4},KHP!U355,KHP!AA355,KHP!AG355,KHP!AM355))=8)*(CHOOSE({1,2,3,4},KHP!X355,KHP!AD355,KHP!AJ355,KHP!AP355)))</f>
        <v>0</v>
      </c>
      <c r="I355">
        <f>SUMPRODUCT((MONTH(CHOOSE({1,2,3,4},KHP!U355,KHP!AA355,KHP!AG355,KHP!AM355))=9)*(CHOOSE({1,2,3,4},KHP!X355,KHP!AD355,KHP!AJ355,KHP!AP355)))</f>
        <v>0</v>
      </c>
      <c r="J355">
        <f>SUMPRODUCT((MONTH(CHOOSE({1,2,3,4},KHP!U355,KHP!AA355,KHP!AG355,KHP!AM355))=10)*(CHOOSE({1,2,3,4},KHP!X355,KHP!AD355,KHP!AJ355,KHP!AP355)))</f>
        <v>0</v>
      </c>
      <c r="K355">
        <f>SUMPRODUCT((MONTH(CHOOSE({1,2,3,4},KHP!U355,KHP!AA355,KHP!AG355,KHP!AM355))=11)*(CHOOSE({1,2,3,4},KHP!X355,KHP!AD355,KHP!AJ355,KHP!AP355)))</f>
        <v>0</v>
      </c>
      <c r="L355">
        <f>SUMPRODUCT((MONTH(CHOOSE({1,2,3,4},KHP!U355,KHP!AA355,KHP!AG355,KHP!AM355))=12)*(CHOOSE({1,2,3,4},KHP!X355,KHP!AD355,KHP!AJ355,KHP!AP355)))</f>
        <v>0</v>
      </c>
    </row>
    <row r="356" spans="1:12">
      <c r="A356">
        <f>SUMPRODUCT((MONTH(CHOOSE({1,2,3,4},KHP!U356,KHP!AA356,KHP!AG356,KHP!AM356))=1)*(CHOOSE({1,2,3,4},KHP!X356,KHP!AD356,KHP!AJ356,KHP!AP356)))</f>
        <v>0</v>
      </c>
      <c r="B356">
        <f>SUMPRODUCT((MONTH(CHOOSE({1,2,3,4},KHP!U356,KHP!AA356,KHP!AG356,KHP!AM356))=2)*(CHOOSE({1,2,3,4},KHP!X356,KHP!AD356,KHP!AJ356,KHP!AP356)))</f>
        <v>0</v>
      </c>
      <c r="C356">
        <f>SUMPRODUCT((MONTH(CHOOSE({1,2,3,4},KHP!U356,KHP!AA356,KHP!AG356,KHP!AM356))=3)*(CHOOSE({1,2,3,4},KHP!X356,KHP!AD356,KHP!AJ356,KHP!AP356)))</f>
        <v>0</v>
      </c>
      <c r="D356">
        <f>SUMPRODUCT((MONTH(CHOOSE({1,2,3,4},KHP!U356,KHP!AA356,KHP!AG356,KHP!AM356))=4)*(CHOOSE({1,2,3,4},KHP!X356,KHP!AD356,KHP!AJ356,KHP!AP356)))</f>
        <v>0</v>
      </c>
      <c r="E356">
        <f>SUMPRODUCT((MONTH(CHOOSE({1,2,3,4},KHP!U356,KHP!AA356,KHP!AG356,KHP!AM356))=5)*(CHOOSE({1,2,3,4},KHP!X356,KHP!AD356,KHP!AJ356,KHP!AP356)))</f>
        <v>0</v>
      </c>
      <c r="F356">
        <f>SUMPRODUCT((MONTH(CHOOSE({1,2,3,4},KHP!U356,KHP!AA356,KHP!AG356,KHP!AM356))=6)*(CHOOSE({1,2,3,4},KHP!X356,KHP!AD356,KHP!AJ356,KHP!AP356)))</f>
        <v>0</v>
      </c>
      <c r="G356">
        <f>SUMPRODUCT((MONTH(CHOOSE({1,2,3,4},KHP!U356,KHP!AA356,KHP!AG356,KHP!AM356))=7)*(CHOOSE({1,2,3,4},KHP!X356,KHP!AD356,KHP!AJ356,KHP!AP356)))</f>
        <v>0</v>
      </c>
      <c r="H356">
        <f>SUMPRODUCT((MONTH(CHOOSE({1,2,3,4},KHP!U356,KHP!AA356,KHP!AG356,KHP!AM356))=8)*(CHOOSE({1,2,3,4},KHP!X356,KHP!AD356,KHP!AJ356,KHP!AP356)))</f>
        <v>0</v>
      </c>
      <c r="I356">
        <f>SUMPRODUCT((MONTH(CHOOSE({1,2,3,4},KHP!U356,KHP!AA356,KHP!AG356,KHP!AM356))=9)*(CHOOSE({1,2,3,4},KHP!X356,KHP!AD356,KHP!AJ356,KHP!AP356)))</f>
        <v>0</v>
      </c>
      <c r="J356">
        <f>SUMPRODUCT((MONTH(CHOOSE({1,2,3,4},KHP!U356,KHP!AA356,KHP!AG356,KHP!AM356))=10)*(CHOOSE({1,2,3,4},KHP!X356,KHP!AD356,KHP!AJ356,KHP!AP356)))</f>
        <v>0</v>
      </c>
      <c r="K356">
        <f>SUMPRODUCT((MONTH(CHOOSE({1,2,3,4},KHP!U356,KHP!AA356,KHP!AG356,KHP!AM356))=11)*(CHOOSE({1,2,3,4},KHP!X356,KHP!AD356,KHP!AJ356,KHP!AP356)))</f>
        <v>0</v>
      </c>
      <c r="L356">
        <f>SUMPRODUCT((MONTH(CHOOSE({1,2,3,4},KHP!U356,KHP!AA356,KHP!AG356,KHP!AM356))=12)*(CHOOSE({1,2,3,4},KHP!X356,KHP!AD356,KHP!AJ356,KHP!AP356)))</f>
        <v>0</v>
      </c>
    </row>
    <row r="357" spans="1:12">
      <c r="A357">
        <f>SUMPRODUCT((MONTH(CHOOSE({1,2,3,4},KHP!U357,KHP!AA357,KHP!AG357,KHP!AM357))=1)*(CHOOSE({1,2,3,4},KHP!X357,KHP!AD357,KHP!AJ357,KHP!AP357)))</f>
        <v>0</v>
      </c>
      <c r="B357">
        <f>SUMPRODUCT((MONTH(CHOOSE({1,2,3,4},KHP!U357,KHP!AA357,KHP!AG357,KHP!AM357))=2)*(CHOOSE({1,2,3,4},KHP!X357,KHP!AD357,KHP!AJ357,KHP!AP357)))</f>
        <v>0</v>
      </c>
      <c r="C357">
        <f>SUMPRODUCT((MONTH(CHOOSE({1,2,3,4},KHP!U357,KHP!AA357,KHP!AG357,KHP!AM357))=3)*(CHOOSE({1,2,3,4},KHP!X357,KHP!AD357,KHP!AJ357,KHP!AP357)))</f>
        <v>0</v>
      </c>
      <c r="D357">
        <f>SUMPRODUCT((MONTH(CHOOSE({1,2,3,4},KHP!U357,KHP!AA357,KHP!AG357,KHP!AM357))=4)*(CHOOSE({1,2,3,4},KHP!X357,KHP!AD357,KHP!AJ357,KHP!AP357)))</f>
        <v>0</v>
      </c>
      <c r="E357">
        <f>SUMPRODUCT((MONTH(CHOOSE({1,2,3,4},KHP!U357,KHP!AA357,KHP!AG357,KHP!AM357))=5)*(CHOOSE({1,2,3,4},KHP!X357,KHP!AD357,KHP!AJ357,KHP!AP357)))</f>
        <v>0</v>
      </c>
      <c r="F357">
        <f>SUMPRODUCT((MONTH(CHOOSE({1,2,3,4},KHP!U357,KHP!AA357,KHP!AG357,KHP!AM357))=6)*(CHOOSE({1,2,3,4},KHP!X357,KHP!AD357,KHP!AJ357,KHP!AP357)))</f>
        <v>0</v>
      </c>
      <c r="G357">
        <f>SUMPRODUCT((MONTH(CHOOSE({1,2,3,4},KHP!U357,KHP!AA357,KHP!AG357,KHP!AM357))=7)*(CHOOSE({1,2,3,4},KHP!X357,KHP!AD357,KHP!AJ357,KHP!AP357)))</f>
        <v>0</v>
      </c>
      <c r="H357">
        <f>SUMPRODUCT((MONTH(CHOOSE({1,2,3,4},KHP!U357,KHP!AA357,KHP!AG357,KHP!AM357))=8)*(CHOOSE({1,2,3,4},KHP!X357,KHP!AD357,KHP!AJ357,KHP!AP357)))</f>
        <v>0</v>
      </c>
      <c r="I357">
        <f>SUMPRODUCT((MONTH(CHOOSE({1,2,3,4},KHP!U357,KHP!AA357,KHP!AG357,KHP!AM357))=9)*(CHOOSE({1,2,3,4},KHP!X357,KHP!AD357,KHP!AJ357,KHP!AP357)))</f>
        <v>0</v>
      </c>
      <c r="J357">
        <f>SUMPRODUCT((MONTH(CHOOSE({1,2,3,4},KHP!U357,KHP!AA357,KHP!AG357,KHP!AM357))=10)*(CHOOSE({1,2,3,4},KHP!X357,KHP!AD357,KHP!AJ357,KHP!AP357)))</f>
        <v>0</v>
      </c>
      <c r="K357">
        <f>SUMPRODUCT((MONTH(CHOOSE({1,2,3,4},KHP!U357,KHP!AA357,KHP!AG357,KHP!AM357))=11)*(CHOOSE({1,2,3,4},KHP!X357,KHP!AD357,KHP!AJ357,KHP!AP357)))</f>
        <v>0</v>
      </c>
      <c r="L357">
        <f>SUMPRODUCT((MONTH(CHOOSE({1,2,3,4},KHP!U357,KHP!AA357,KHP!AG357,KHP!AM357))=12)*(CHOOSE({1,2,3,4},KHP!X357,KHP!AD357,KHP!AJ357,KHP!AP357)))</f>
        <v>0</v>
      </c>
    </row>
    <row r="358" spans="1:12">
      <c r="A358">
        <f>SUMPRODUCT((MONTH(CHOOSE({1,2,3,4},KHP!U358,KHP!AA358,KHP!AG358,KHP!AM358))=1)*(CHOOSE({1,2,3,4},KHP!X358,KHP!AD358,KHP!AJ358,KHP!AP358)))</f>
        <v>0</v>
      </c>
      <c r="B358">
        <f>SUMPRODUCT((MONTH(CHOOSE({1,2,3,4},KHP!U358,KHP!AA358,KHP!AG358,KHP!AM358))=2)*(CHOOSE({1,2,3,4},KHP!X358,KHP!AD358,KHP!AJ358,KHP!AP358)))</f>
        <v>0</v>
      </c>
      <c r="C358">
        <f>SUMPRODUCT((MONTH(CHOOSE({1,2,3,4},KHP!U358,KHP!AA358,KHP!AG358,KHP!AM358))=3)*(CHOOSE({1,2,3,4},KHP!X358,KHP!AD358,KHP!AJ358,KHP!AP358)))</f>
        <v>0</v>
      </c>
      <c r="D358">
        <f>SUMPRODUCT((MONTH(CHOOSE({1,2,3,4},KHP!U358,KHP!AA358,KHP!AG358,KHP!AM358))=4)*(CHOOSE({1,2,3,4},KHP!X358,KHP!AD358,KHP!AJ358,KHP!AP358)))</f>
        <v>0</v>
      </c>
      <c r="E358">
        <f>SUMPRODUCT((MONTH(CHOOSE({1,2,3,4},KHP!U358,KHP!AA358,KHP!AG358,KHP!AM358))=5)*(CHOOSE({1,2,3,4},KHP!X358,KHP!AD358,KHP!AJ358,KHP!AP358)))</f>
        <v>0</v>
      </c>
      <c r="F358">
        <f>SUMPRODUCT((MONTH(CHOOSE({1,2,3,4},KHP!U358,KHP!AA358,KHP!AG358,KHP!AM358))=6)*(CHOOSE({1,2,3,4},KHP!X358,KHP!AD358,KHP!AJ358,KHP!AP358)))</f>
        <v>0</v>
      </c>
      <c r="G358">
        <f>SUMPRODUCT((MONTH(CHOOSE({1,2,3,4},KHP!U358,KHP!AA358,KHP!AG358,KHP!AM358))=7)*(CHOOSE({1,2,3,4},KHP!X358,KHP!AD358,KHP!AJ358,KHP!AP358)))</f>
        <v>0</v>
      </c>
      <c r="H358">
        <f>SUMPRODUCT((MONTH(CHOOSE({1,2,3,4},KHP!U358,KHP!AA358,KHP!AG358,KHP!AM358))=8)*(CHOOSE({1,2,3,4},KHP!X358,KHP!AD358,KHP!AJ358,KHP!AP358)))</f>
        <v>0</v>
      </c>
      <c r="I358">
        <f>SUMPRODUCT((MONTH(CHOOSE({1,2,3,4},KHP!U358,KHP!AA358,KHP!AG358,KHP!AM358))=9)*(CHOOSE({1,2,3,4},KHP!X358,KHP!AD358,KHP!AJ358,KHP!AP358)))</f>
        <v>0</v>
      </c>
      <c r="J358">
        <f>SUMPRODUCT((MONTH(CHOOSE({1,2,3,4},KHP!U358,KHP!AA358,KHP!AG358,KHP!AM358))=10)*(CHOOSE({1,2,3,4},KHP!X358,KHP!AD358,KHP!AJ358,KHP!AP358)))</f>
        <v>0</v>
      </c>
      <c r="K358">
        <f>SUMPRODUCT((MONTH(CHOOSE({1,2,3,4},KHP!U358,KHP!AA358,KHP!AG358,KHP!AM358))=11)*(CHOOSE({1,2,3,4},KHP!X358,KHP!AD358,KHP!AJ358,KHP!AP358)))</f>
        <v>0</v>
      </c>
      <c r="L358">
        <f>SUMPRODUCT((MONTH(CHOOSE({1,2,3,4},KHP!U358,KHP!AA358,KHP!AG358,KHP!AM358))=12)*(CHOOSE({1,2,3,4},KHP!X358,KHP!AD358,KHP!AJ358,KHP!AP358)))</f>
        <v>0</v>
      </c>
    </row>
    <row r="359" spans="1:12">
      <c r="A359">
        <f>SUMPRODUCT((MONTH(CHOOSE({1,2,3,4},KHP!U359,KHP!AA359,KHP!AG359,KHP!AM359))=1)*(CHOOSE({1,2,3,4},KHP!X359,KHP!AD359,KHP!AJ359,KHP!AP359)))</f>
        <v>0</v>
      </c>
      <c r="B359">
        <f>SUMPRODUCT((MONTH(CHOOSE({1,2,3,4},KHP!U359,KHP!AA359,KHP!AG359,KHP!AM359))=2)*(CHOOSE({1,2,3,4},KHP!X359,KHP!AD359,KHP!AJ359,KHP!AP359)))</f>
        <v>0</v>
      </c>
      <c r="C359">
        <f>SUMPRODUCT((MONTH(CHOOSE({1,2,3,4},KHP!U359,KHP!AA359,KHP!AG359,KHP!AM359))=3)*(CHOOSE({1,2,3,4},KHP!X359,KHP!AD359,KHP!AJ359,KHP!AP359)))</f>
        <v>0</v>
      </c>
      <c r="D359">
        <f>SUMPRODUCT((MONTH(CHOOSE({1,2,3,4},KHP!U359,KHP!AA359,KHP!AG359,KHP!AM359))=4)*(CHOOSE({1,2,3,4},KHP!X359,KHP!AD359,KHP!AJ359,KHP!AP359)))</f>
        <v>0</v>
      </c>
      <c r="E359">
        <f>SUMPRODUCT((MONTH(CHOOSE({1,2,3,4},KHP!U359,KHP!AA359,KHP!AG359,KHP!AM359))=5)*(CHOOSE({1,2,3,4},KHP!X359,KHP!AD359,KHP!AJ359,KHP!AP359)))</f>
        <v>0</v>
      </c>
      <c r="F359">
        <f>SUMPRODUCT((MONTH(CHOOSE({1,2,3,4},KHP!U359,KHP!AA359,KHP!AG359,KHP!AM359))=6)*(CHOOSE({1,2,3,4},KHP!X359,KHP!AD359,KHP!AJ359,KHP!AP359)))</f>
        <v>0</v>
      </c>
      <c r="G359">
        <f>SUMPRODUCT((MONTH(CHOOSE({1,2,3,4},KHP!U359,KHP!AA359,KHP!AG359,KHP!AM359))=7)*(CHOOSE({1,2,3,4},KHP!X359,KHP!AD359,KHP!AJ359,KHP!AP359)))</f>
        <v>0</v>
      </c>
      <c r="H359">
        <f>SUMPRODUCT((MONTH(CHOOSE({1,2,3,4},KHP!U359,KHP!AA359,KHP!AG359,KHP!AM359))=8)*(CHOOSE({1,2,3,4},KHP!X359,KHP!AD359,KHP!AJ359,KHP!AP359)))</f>
        <v>0</v>
      </c>
      <c r="I359">
        <f>SUMPRODUCT((MONTH(CHOOSE({1,2,3,4},KHP!U359,KHP!AA359,KHP!AG359,KHP!AM359))=9)*(CHOOSE({1,2,3,4},KHP!X359,KHP!AD359,KHP!AJ359,KHP!AP359)))</f>
        <v>0</v>
      </c>
      <c r="J359">
        <f>SUMPRODUCT((MONTH(CHOOSE({1,2,3,4},KHP!U359,KHP!AA359,KHP!AG359,KHP!AM359))=10)*(CHOOSE({1,2,3,4},KHP!X359,KHP!AD359,KHP!AJ359,KHP!AP359)))</f>
        <v>0</v>
      </c>
      <c r="K359">
        <f>SUMPRODUCT((MONTH(CHOOSE({1,2,3,4},KHP!U359,KHP!AA359,KHP!AG359,KHP!AM359))=11)*(CHOOSE({1,2,3,4},KHP!X359,KHP!AD359,KHP!AJ359,KHP!AP359)))</f>
        <v>0</v>
      </c>
      <c r="L359">
        <f>SUMPRODUCT((MONTH(CHOOSE({1,2,3,4},KHP!U359,KHP!AA359,KHP!AG359,KHP!AM359))=12)*(CHOOSE({1,2,3,4},KHP!X359,KHP!AD359,KHP!AJ359,KHP!AP359)))</f>
        <v>0</v>
      </c>
    </row>
    <row r="360" spans="1:12">
      <c r="A360">
        <f>SUMPRODUCT((MONTH(CHOOSE({1,2,3,4},KHP!U360,KHP!AA360,KHP!AG360,KHP!AM360))=1)*(CHOOSE({1,2,3,4},KHP!X360,KHP!AD360,KHP!AJ360,KHP!AP360)))</f>
        <v>0</v>
      </c>
      <c r="B360">
        <f>SUMPRODUCT((MONTH(CHOOSE({1,2,3,4},KHP!U360,KHP!AA360,KHP!AG360,KHP!AM360))=2)*(CHOOSE({1,2,3,4},KHP!X360,KHP!AD360,KHP!AJ360,KHP!AP360)))</f>
        <v>0</v>
      </c>
      <c r="C360">
        <f>SUMPRODUCT((MONTH(CHOOSE({1,2,3,4},KHP!U360,KHP!AA360,KHP!AG360,KHP!AM360))=3)*(CHOOSE({1,2,3,4},KHP!X360,KHP!AD360,KHP!AJ360,KHP!AP360)))</f>
        <v>0</v>
      </c>
      <c r="D360">
        <f>SUMPRODUCT((MONTH(CHOOSE({1,2,3,4},KHP!U360,KHP!AA360,KHP!AG360,KHP!AM360))=4)*(CHOOSE({1,2,3,4},KHP!X360,KHP!AD360,KHP!AJ360,KHP!AP360)))</f>
        <v>0</v>
      </c>
      <c r="E360">
        <f>SUMPRODUCT((MONTH(CHOOSE({1,2,3,4},KHP!U360,KHP!AA360,KHP!AG360,KHP!AM360))=5)*(CHOOSE({1,2,3,4},KHP!X360,KHP!AD360,KHP!AJ360,KHP!AP360)))</f>
        <v>0</v>
      </c>
      <c r="F360">
        <f>SUMPRODUCT((MONTH(CHOOSE({1,2,3,4},KHP!U360,KHP!AA360,KHP!AG360,KHP!AM360))=6)*(CHOOSE({1,2,3,4},KHP!X360,KHP!AD360,KHP!AJ360,KHP!AP360)))</f>
        <v>0</v>
      </c>
      <c r="G360">
        <f>SUMPRODUCT((MONTH(CHOOSE({1,2,3,4},KHP!U360,KHP!AA360,KHP!AG360,KHP!AM360))=7)*(CHOOSE({1,2,3,4},KHP!X360,KHP!AD360,KHP!AJ360,KHP!AP360)))</f>
        <v>0</v>
      </c>
      <c r="H360">
        <f>SUMPRODUCT((MONTH(CHOOSE({1,2,3,4},KHP!U360,KHP!AA360,KHP!AG360,KHP!AM360))=8)*(CHOOSE({1,2,3,4},KHP!X360,KHP!AD360,KHP!AJ360,KHP!AP360)))</f>
        <v>0</v>
      </c>
      <c r="I360">
        <f>SUMPRODUCT((MONTH(CHOOSE({1,2,3,4},KHP!U360,KHP!AA360,KHP!AG360,KHP!AM360))=9)*(CHOOSE({1,2,3,4},KHP!X360,KHP!AD360,KHP!AJ360,KHP!AP360)))</f>
        <v>0</v>
      </c>
      <c r="J360">
        <f>SUMPRODUCT((MONTH(CHOOSE({1,2,3,4},KHP!U360,KHP!AA360,KHP!AG360,KHP!AM360))=10)*(CHOOSE({1,2,3,4},KHP!X360,KHP!AD360,KHP!AJ360,KHP!AP360)))</f>
        <v>0</v>
      </c>
      <c r="K360">
        <f>SUMPRODUCT((MONTH(CHOOSE({1,2,3,4},KHP!U360,KHP!AA360,KHP!AG360,KHP!AM360))=11)*(CHOOSE({1,2,3,4},KHP!X360,KHP!AD360,KHP!AJ360,KHP!AP360)))</f>
        <v>0</v>
      </c>
      <c r="L360">
        <f>SUMPRODUCT((MONTH(CHOOSE({1,2,3,4},KHP!U360,KHP!AA360,KHP!AG360,KHP!AM360))=12)*(CHOOSE({1,2,3,4},KHP!X360,KHP!AD360,KHP!AJ360,KHP!AP360)))</f>
        <v>0</v>
      </c>
    </row>
    <row r="361" spans="1:12">
      <c r="A361">
        <f>SUMPRODUCT((MONTH(CHOOSE({1,2,3,4},KHP!U361,KHP!AA361,KHP!AG361,KHP!AM361))=1)*(CHOOSE({1,2,3,4},KHP!X361,KHP!AD361,KHP!AJ361,KHP!AP361)))</f>
        <v>0</v>
      </c>
      <c r="B361">
        <f>SUMPRODUCT((MONTH(CHOOSE({1,2,3,4},KHP!U361,KHP!AA361,KHP!AG361,KHP!AM361))=2)*(CHOOSE({1,2,3,4},KHP!X361,KHP!AD361,KHP!AJ361,KHP!AP361)))</f>
        <v>0</v>
      </c>
      <c r="C361">
        <f>SUMPRODUCT((MONTH(CHOOSE({1,2,3,4},KHP!U361,KHP!AA361,KHP!AG361,KHP!AM361))=3)*(CHOOSE({1,2,3,4},KHP!X361,KHP!AD361,KHP!AJ361,KHP!AP361)))</f>
        <v>0</v>
      </c>
      <c r="D361">
        <f>SUMPRODUCT((MONTH(CHOOSE({1,2,3,4},KHP!U361,KHP!AA361,KHP!AG361,KHP!AM361))=4)*(CHOOSE({1,2,3,4},KHP!X361,KHP!AD361,KHP!AJ361,KHP!AP361)))</f>
        <v>0</v>
      </c>
      <c r="E361">
        <f>SUMPRODUCT((MONTH(CHOOSE({1,2,3,4},KHP!U361,KHP!AA361,KHP!AG361,KHP!AM361))=5)*(CHOOSE({1,2,3,4},KHP!X361,KHP!AD361,KHP!AJ361,KHP!AP361)))</f>
        <v>0</v>
      </c>
      <c r="F361">
        <f>SUMPRODUCT((MONTH(CHOOSE({1,2,3,4},KHP!U361,KHP!AA361,KHP!AG361,KHP!AM361))=6)*(CHOOSE({1,2,3,4},KHP!X361,KHP!AD361,KHP!AJ361,KHP!AP361)))</f>
        <v>0</v>
      </c>
      <c r="G361">
        <f>SUMPRODUCT((MONTH(CHOOSE({1,2,3,4},KHP!U361,KHP!AA361,KHP!AG361,KHP!AM361))=7)*(CHOOSE({1,2,3,4},KHP!X361,KHP!AD361,KHP!AJ361,KHP!AP361)))</f>
        <v>0</v>
      </c>
      <c r="H361">
        <f>SUMPRODUCT((MONTH(CHOOSE({1,2,3,4},KHP!U361,KHP!AA361,KHP!AG361,KHP!AM361))=8)*(CHOOSE({1,2,3,4},KHP!X361,KHP!AD361,KHP!AJ361,KHP!AP361)))</f>
        <v>0</v>
      </c>
      <c r="I361">
        <f>SUMPRODUCT((MONTH(CHOOSE({1,2,3,4},KHP!U361,KHP!AA361,KHP!AG361,KHP!AM361))=9)*(CHOOSE({1,2,3,4},KHP!X361,KHP!AD361,KHP!AJ361,KHP!AP361)))</f>
        <v>0</v>
      </c>
      <c r="J361">
        <f>SUMPRODUCT((MONTH(CHOOSE({1,2,3,4},KHP!U361,KHP!AA361,KHP!AG361,KHP!AM361))=10)*(CHOOSE({1,2,3,4},KHP!X361,KHP!AD361,KHP!AJ361,KHP!AP361)))</f>
        <v>0</v>
      </c>
      <c r="K361">
        <f>SUMPRODUCT((MONTH(CHOOSE({1,2,3,4},KHP!U361,KHP!AA361,KHP!AG361,KHP!AM361))=11)*(CHOOSE({1,2,3,4},KHP!X361,KHP!AD361,KHP!AJ361,KHP!AP361)))</f>
        <v>0</v>
      </c>
      <c r="L361">
        <f>SUMPRODUCT((MONTH(CHOOSE({1,2,3,4},KHP!U361,KHP!AA361,KHP!AG361,KHP!AM361))=12)*(CHOOSE({1,2,3,4},KHP!X361,KHP!AD361,KHP!AJ361,KHP!AP361)))</f>
        <v>0</v>
      </c>
    </row>
    <row r="362" spans="1:12">
      <c r="A362">
        <f>SUMPRODUCT((MONTH(CHOOSE({1,2,3,4},KHP!U362,KHP!AA362,KHP!AG362,KHP!AM362))=1)*(CHOOSE({1,2,3,4},KHP!X362,KHP!AD362,KHP!AJ362,KHP!AP362)))</f>
        <v>0</v>
      </c>
      <c r="B362">
        <f>SUMPRODUCT((MONTH(CHOOSE({1,2,3,4},KHP!U362,KHP!AA362,KHP!AG362,KHP!AM362))=2)*(CHOOSE({1,2,3,4},KHP!X362,KHP!AD362,KHP!AJ362,KHP!AP362)))</f>
        <v>0</v>
      </c>
      <c r="C362">
        <f>SUMPRODUCT((MONTH(CHOOSE({1,2,3,4},KHP!U362,KHP!AA362,KHP!AG362,KHP!AM362))=3)*(CHOOSE({1,2,3,4},KHP!X362,KHP!AD362,KHP!AJ362,KHP!AP362)))</f>
        <v>0</v>
      </c>
      <c r="D362">
        <f>SUMPRODUCT((MONTH(CHOOSE({1,2,3,4},KHP!U362,KHP!AA362,KHP!AG362,KHP!AM362))=4)*(CHOOSE({1,2,3,4},KHP!X362,KHP!AD362,KHP!AJ362,KHP!AP362)))</f>
        <v>0</v>
      </c>
      <c r="E362">
        <f>SUMPRODUCT((MONTH(CHOOSE({1,2,3,4},KHP!U362,KHP!AA362,KHP!AG362,KHP!AM362))=5)*(CHOOSE({1,2,3,4},KHP!X362,KHP!AD362,KHP!AJ362,KHP!AP362)))</f>
        <v>0</v>
      </c>
      <c r="F362">
        <f>SUMPRODUCT((MONTH(CHOOSE({1,2,3,4},KHP!U362,KHP!AA362,KHP!AG362,KHP!AM362))=6)*(CHOOSE({1,2,3,4},KHP!X362,KHP!AD362,KHP!AJ362,KHP!AP362)))</f>
        <v>0</v>
      </c>
      <c r="G362">
        <f>SUMPRODUCT((MONTH(CHOOSE({1,2,3,4},KHP!U362,KHP!AA362,KHP!AG362,KHP!AM362))=7)*(CHOOSE({1,2,3,4},KHP!X362,KHP!AD362,KHP!AJ362,KHP!AP362)))</f>
        <v>0</v>
      </c>
      <c r="H362">
        <f>SUMPRODUCT((MONTH(CHOOSE({1,2,3,4},KHP!U362,KHP!AA362,KHP!AG362,KHP!AM362))=8)*(CHOOSE({1,2,3,4},KHP!X362,KHP!AD362,KHP!AJ362,KHP!AP362)))</f>
        <v>0</v>
      </c>
      <c r="I362">
        <f>SUMPRODUCT((MONTH(CHOOSE({1,2,3,4},KHP!U362,KHP!AA362,KHP!AG362,KHP!AM362))=9)*(CHOOSE({1,2,3,4},KHP!X362,KHP!AD362,KHP!AJ362,KHP!AP362)))</f>
        <v>0</v>
      </c>
      <c r="J362">
        <f>SUMPRODUCT((MONTH(CHOOSE({1,2,3,4},KHP!U362,KHP!AA362,KHP!AG362,KHP!AM362))=10)*(CHOOSE({1,2,3,4},KHP!X362,KHP!AD362,KHP!AJ362,KHP!AP362)))</f>
        <v>0</v>
      </c>
      <c r="K362">
        <f>SUMPRODUCT((MONTH(CHOOSE({1,2,3,4},KHP!U362,KHP!AA362,KHP!AG362,KHP!AM362))=11)*(CHOOSE({1,2,3,4},KHP!X362,KHP!AD362,KHP!AJ362,KHP!AP362)))</f>
        <v>0</v>
      </c>
      <c r="L362">
        <f>SUMPRODUCT((MONTH(CHOOSE({1,2,3,4},KHP!U362,KHP!AA362,KHP!AG362,KHP!AM362))=12)*(CHOOSE({1,2,3,4},KHP!X362,KHP!AD362,KHP!AJ362,KHP!AP362)))</f>
        <v>0</v>
      </c>
    </row>
    <row r="363" spans="1:12">
      <c r="A363">
        <f>SUMPRODUCT((MONTH(CHOOSE({1,2,3,4},KHP!U363,KHP!AA363,KHP!AG363,KHP!AM363))=1)*(CHOOSE({1,2,3,4},KHP!X363,KHP!AD363,KHP!AJ363,KHP!AP363)))</f>
        <v>0</v>
      </c>
      <c r="B363">
        <f>SUMPRODUCT((MONTH(CHOOSE({1,2,3,4},KHP!U363,KHP!AA363,KHP!AG363,KHP!AM363))=2)*(CHOOSE({1,2,3,4},KHP!X363,KHP!AD363,KHP!AJ363,KHP!AP363)))</f>
        <v>0</v>
      </c>
      <c r="C363">
        <f>SUMPRODUCT((MONTH(CHOOSE({1,2,3,4},KHP!U363,KHP!AA363,KHP!AG363,KHP!AM363))=3)*(CHOOSE({1,2,3,4},KHP!X363,KHP!AD363,KHP!AJ363,KHP!AP363)))</f>
        <v>0</v>
      </c>
      <c r="D363">
        <f>SUMPRODUCT((MONTH(CHOOSE({1,2,3,4},KHP!U363,KHP!AA363,KHP!AG363,KHP!AM363))=4)*(CHOOSE({1,2,3,4},KHP!X363,KHP!AD363,KHP!AJ363,KHP!AP363)))</f>
        <v>0</v>
      </c>
      <c r="E363">
        <f>SUMPRODUCT((MONTH(CHOOSE({1,2,3,4},KHP!U363,KHP!AA363,KHP!AG363,KHP!AM363))=5)*(CHOOSE({1,2,3,4},KHP!X363,KHP!AD363,KHP!AJ363,KHP!AP363)))</f>
        <v>0</v>
      </c>
      <c r="F363">
        <f>SUMPRODUCT((MONTH(CHOOSE({1,2,3,4},KHP!U363,KHP!AA363,KHP!AG363,KHP!AM363))=6)*(CHOOSE({1,2,3,4},KHP!X363,KHP!AD363,KHP!AJ363,KHP!AP363)))</f>
        <v>0</v>
      </c>
      <c r="G363">
        <f>SUMPRODUCT((MONTH(CHOOSE({1,2,3,4},KHP!U363,KHP!AA363,KHP!AG363,KHP!AM363))=7)*(CHOOSE({1,2,3,4},KHP!X363,KHP!AD363,KHP!AJ363,KHP!AP363)))</f>
        <v>0</v>
      </c>
      <c r="H363">
        <f>SUMPRODUCT((MONTH(CHOOSE({1,2,3,4},KHP!U363,KHP!AA363,KHP!AG363,KHP!AM363))=8)*(CHOOSE({1,2,3,4},KHP!X363,KHP!AD363,KHP!AJ363,KHP!AP363)))</f>
        <v>0</v>
      </c>
      <c r="I363">
        <f>SUMPRODUCT((MONTH(CHOOSE({1,2,3,4},KHP!U363,KHP!AA363,KHP!AG363,KHP!AM363))=9)*(CHOOSE({1,2,3,4},KHP!X363,KHP!AD363,KHP!AJ363,KHP!AP363)))</f>
        <v>0</v>
      </c>
      <c r="J363">
        <f>SUMPRODUCT((MONTH(CHOOSE({1,2,3,4},KHP!U363,KHP!AA363,KHP!AG363,KHP!AM363))=10)*(CHOOSE({1,2,3,4},KHP!X363,KHP!AD363,KHP!AJ363,KHP!AP363)))</f>
        <v>0</v>
      </c>
      <c r="K363">
        <f>SUMPRODUCT((MONTH(CHOOSE({1,2,3,4},KHP!U363,KHP!AA363,KHP!AG363,KHP!AM363))=11)*(CHOOSE({1,2,3,4},KHP!X363,KHP!AD363,KHP!AJ363,KHP!AP363)))</f>
        <v>0</v>
      </c>
      <c r="L363">
        <f>SUMPRODUCT((MONTH(CHOOSE({1,2,3,4},KHP!U363,KHP!AA363,KHP!AG363,KHP!AM363))=12)*(CHOOSE({1,2,3,4},KHP!X363,KHP!AD363,KHP!AJ363,KHP!AP363)))</f>
        <v>0</v>
      </c>
    </row>
    <row r="364" spans="1:12">
      <c r="A364">
        <f>SUMPRODUCT((MONTH(CHOOSE({1,2,3,4},KHP!U364,KHP!AA364,KHP!AG364,KHP!AM364))=1)*(CHOOSE({1,2,3,4},KHP!X364,KHP!AD364,KHP!AJ364,KHP!AP364)))</f>
        <v>0</v>
      </c>
      <c r="B364">
        <f>SUMPRODUCT((MONTH(CHOOSE({1,2,3,4},KHP!U364,KHP!AA364,KHP!AG364,KHP!AM364))=2)*(CHOOSE({1,2,3,4},KHP!X364,KHP!AD364,KHP!AJ364,KHP!AP364)))</f>
        <v>0</v>
      </c>
      <c r="C364">
        <f>SUMPRODUCT((MONTH(CHOOSE({1,2,3,4},KHP!U364,KHP!AA364,KHP!AG364,KHP!AM364))=3)*(CHOOSE({1,2,3,4},KHP!X364,KHP!AD364,KHP!AJ364,KHP!AP364)))</f>
        <v>0</v>
      </c>
      <c r="D364">
        <f>SUMPRODUCT((MONTH(CHOOSE({1,2,3,4},KHP!U364,KHP!AA364,KHP!AG364,KHP!AM364))=4)*(CHOOSE({1,2,3,4},KHP!X364,KHP!AD364,KHP!AJ364,KHP!AP364)))</f>
        <v>0</v>
      </c>
      <c r="E364">
        <f>SUMPRODUCT((MONTH(CHOOSE({1,2,3,4},KHP!U364,KHP!AA364,KHP!AG364,KHP!AM364))=5)*(CHOOSE({1,2,3,4},KHP!X364,KHP!AD364,KHP!AJ364,KHP!AP364)))</f>
        <v>0</v>
      </c>
      <c r="F364">
        <f>SUMPRODUCT((MONTH(CHOOSE({1,2,3,4},KHP!U364,KHP!AA364,KHP!AG364,KHP!AM364))=6)*(CHOOSE({1,2,3,4},KHP!X364,KHP!AD364,KHP!AJ364,KHP!AP364)))</f>
        <v>0</v>
      </c>
      <c r="G364">
        <f>SUMPRODUCT((MONTH(CHOOSE({1,2,3,4},KHP!U364,KHP!AA364,KHP!AG364,KHP!AM364))=7)*(CHOOSE({1,2,3,4},KHP!X364,KHP!AD364,KHP!AJ364,KHP!AP364)))</f>
        <v>0</v>
      </c>
      <c r="H364">
        <f>SUMPRODUCT((MONTH(CHOOSE({1,2,3,4},KHP!U364,KHP!AA364,KHP!AG364,KHP!AM364))=8)*(CHOOSE({1,2,3,4},KHP!X364,KHP!AD364,KHP!AJ364,KHP!AP364)))</f>
        <v>0</v>
      </c>
      <c r="I364">
        <f>SUMPRODUCT((MONTH(CHOOSE({1,2,3,4},KHP!U364,KHP!AA364,KHP!AG364,KHP!AM364))=9)*(CHOOSE({1,2,3,4},KHP!X364,KHP!AD364,KHP!AJ364,KHP!AP364)))</f>
        <v>0</v>
      </c>
      <c r="J364">
        <f>SUMPRODUCT((MONTH(CHOOSE({1,2,3,4},KHP!U364,KHP!AA364,KHP!AG364,KHP!AM364))=10)*(CHOOSE({1,2,3,4},KHP!X364,KHP!AD364,KHP!AJ364,KHP!AP364)))</f>
        <v>0</v>
      </c>
      <c r="K364">
        <f>SUMPRODUCT((MONTH(CHOOSE({1,2,3,4},KHP!U364,KHP!AA364,KHP!AG364,KHP!AM364))=11)*(CHOOSE({1,2,3,4},KHP!X364,KHP!AD364,KHP!AJ364,KHP!AP364)))</f>
        <v>0</v>
      </c>
      <c r="L364">
        <f>SUMPRODUCT((MONTH(CHOOSE({1,2,3,4},KHP!U364,KHP!AA364,KHP!AG364,KHP!AM364))=12)*(CHOOSE({1,2,3,4},KHP!X364,KHP!AD364,KHP!AJ364,KHP!AP364)))</f>
        <v>0</v>
      </c>
    </row>
    <row r="365" spans="1:12">
      <c r="A365">
        <f>SUMPRODUCT((MONTH(CHOOSE({1,2,3,4},KHP!U365,KHP!AA365,KHP!AG365,KHP!AM365))=1)*(CHOOSE({1,2,3,4},KHP!X365,KHP!AD365,KHP!AJ365,KHP!AP365)))</f>
        <v>0</v>
      </c>
      <c r="B365">
        <f>SUMPRODUCT((MONTH(CHOOSE({1,2,3,4},KHP!U365,KHP!AA365,KHP!AG365,KHP!AM365))=2)*(CHOOSE({1,2,3,4},KHP!X365,KHP!AD365,KHP!AJ365,KHP!AP365)))</f>
        <v>0</v>
      </c>
      <c r="C365">
        <f>SUMPRODUCT((MONTH(CHOOSE({1,2,3,4},KHP!U365,KHP!AA365,KHP!AG365,KHP!AM365))=3)*(CHOOSE({1,2,3,4},KHP!X365,KHP!AD365,KHP!AJ365,KHP!AP365)))</f>
        <v>0</v>
      </c>
      <c r="D365">
        <f>SUMPRODUCT((MONTH(CHOOSE({1,2,3,4},KHP!U365,KHP!AA365,KHP!AG365,KHP!AM365))=4)*(CHOOSE({1,2,3,4},KHP!X365,KHP!AD365,KHP!AJ365,KHP!AP365)))</f>
        <v>0</v>
      </c>
      <c r="E365">
        <f>SUMPRODUCT((MONTH(CHOOSE({1,2,3,4},KHP!U365,KHP!AA365,KHP!AG365,KHP!AM365))=5)*(CHOOSE({1,2,3,4},KHP!X365,KHP!AD365,KHP!AJ365,KHP!AP365)))</f>
        <v>0</v>
      </c>
      <c r="F365">
        <f>SUMPRODUCT((MONTH(CHOOSE({1,2,3,4},KHP!U365,KHP!AA365,KHP!AG365,KHP!AM365))=6)*(CHOOSE({1,2,3,4},KHP!X365,KHP!AD365,KHP!AJ365,KHP!AP365)))</f>
        <v>0</v>
      </c>
      <c r="G365">
        <f>SUMPRODUCT((MONTH(CHOOSE({1,2,3,4},KHP!U365,KHP!AA365,KHP!AG365,KHP!AM365))=7)*(CHOOSE({1,2,3,4},KHP!X365,KHP!AD365,KHP!AJ365,KHP!AP365)))</f>
        <v>0</v>
      </c>
      <c r="H365">
        <f>SUMPRODUCT((MONTH(CHOOSE({1,2,3,4},KHP!U365,KHP!AA365,KHP!AG365,KHP!AM365))=8)*(CHOOSE({1,2,3,4},KHP!X365,KHP!AD365,KHP!AJ365,KHP!AP365)))</f>
        <v>0</v>
      </c>
      <c r="I365">
        <f>SUMPRODUCT((MONTH(CHOOSE({1,2,3,4},KHP!U365,KHP!AA365,KHP!AG365,KHP!AM365))=9)*(CHOOSE({1,2,3,4},KHP!X365,KHP!AD365,KHP!AJ365,KHP!AP365)))</f>
        <v>0</v>
      </c>
      <c r="J365">
        <f>SUMPRODUCT((MONTH(CHOOSE({1,2,3,4},KHP!U365,KHP!AA365,KHP!AG365,KHP!AM365))=10)*(CHOOSE({1,2,3,4},KHP!X365,KHP!AD365,KHP!AJ365,KHP!AP365)))</f>
        <v>0</v>
      </c>
      <c r="K365">
        <f>SUMPRODUCT((MONTH(CHOOSE({1,2,3,4},KHP!U365,KHP!AA365,KHP!AG365,KHP!AM365))=11)*(CHOOSE({1,2,3,4},KHP!X365,KHP!AD365,KHP!AJ365,KHP!AP365)))</f>
        <v>0</v>
      </c>
      <c r="L365">
        <f>SUMPRODUCT((MONTH(CHOOSE({1,2,3,4},KHP!U365,KHP!AA365,KHP!AG365,KHP!AM365))=12)*(CHOOSE({1,2,3,4},KHP!X365,KHP!AD365,KHP!AJ365,KHP!AP365)))</f>
        <v>0</v>
      </c>
    </row>
    <row r="366" spans="1:12">
      <c r="A366">
        <f>SUMPRODUCT((MONTH(CHOOSE({1,2,3,4},KHP!U366,KHP!AA366,KHP!AG366,KHP!AM366))=1)*(CHOOSE({1,2,3,4},KHP!X366,KHP!AD366,KHP!AJ366,KHP!AP366)))</f>
        <v>0</v>
      </c>
      <c r="B366">
        <f>SUMPRODUCT((MONTH(CHOOSE({1,2,3,4},KHP!U366,KHP!AA366,KHP!AG366,KHP!AM366))=2)*(CHOOSE({1,2,3,4},KHP!X366,KHP!AD366,KHP!AJ366,KHP!AP366)))</f>
        <v>0</v>
      </c>
      <c r="C366">
        <f>SUMPRODUCT((MONTH(CHOOSE({1,2,3,4},KHP!U366,KHP!AA366,KHP!AG366,KHP!AM366))=3)*(CHOOSE({1,2,3,4},KHP!X366,KHP!AD366,KHP!AJ366,KHP!AP366)))</f>
        <v>0</v>
      </c>
      <c r="D366">
        <f>SUMPRODUCT((MONTH(CHOOSE({1,2,3,4},KHP!U366,KHP!AA366,KHP!AG366,KHP!AM366))=4)*(CHOOSE({1,2,3,4},KHP!X366,KHP!AD366,KHP!AJ366,KHP!AP366)))</f>
        <v>0</v>
      </c>
      <c r="E366">
        <f>SUMPRODUCT((MONTH(CHOOSE({1,2,3,4},KHP!U366,KHP!AA366,KHP!AG366,KHP!AM366))=5)*(CHOOSE({1,2,3,4},KHP!X366,KHP!AD366,KHP!AJ366,KHP!AP366)))</f>
        <v>0</v>
      </c>
      <c r="F366">
        <f>SUMPRODUCT((MONTH(CHOOSE({1,2,3,4},KHP!U366,KHP!AA366,KHP!AG366,KHP!AM366))=6)*(CHOOSE({1,2,3,4},KHP!X366,KHP!AD366,KHP!AJ366,KHP!AP366)))</f>
        <v>0</v>
      </c>
      <c r="G366">
        <f>SUMPRODUCT((MONTH(CHOOSE({1,2,3,4},KHP!U366,KHP!AA366,KHP!AG366,KHP!AM366))=7)*(CHOOSE({1,2,3,4},KHP!X366,KHP!AD366,KHP!AJ366,KHP!AP366)))</f>
        <v>0</v>
      </c>
      <c r="H366">
        <f>SUMPRODUCT((MONTH(CHOOSE({1,2,3,4},KHP!U366,KHP!AA366,KHP!AG366,KHP!AM366))=8)*(CHOOSE({1,2,3,4},KHP!X366,KHP!AD366,KHP!AJ366,KHP!AP366)))</f>
        <v>0</v>
      </c>
      <c r="I366">
        <f>SUMPRODUCT((MONTH(CHOOSE({1,2,3,4},KHP!U366,KHP!AA366,KHP!AG366,KHP!AM366))=9)*(CHOOSE({1,2,3,4},KHP!X366,KHP!AD366,KHP!AJ366,KHP!AP366)))</f>
        <v>0</v>
      </c>
      <c r="J366">
        <f>SUMPRODUCT((MONTH(CHOOSE({1,2,3,4},KHP!U366,KHP!AA366,KHP!AG366,KHP!AM366))=10)*(CHOOSE({1,2,3,4},KHP!X366,KHP!AD366,KHP!AJ366,KHP!AP366)))</f>
        <v>0</v>
      </c>
      <c r="K366">
        <f>SUMPRODUCT((MONTH(CHOOSE({1,2,3,4},KHP!U366,KHP!AA366,KHP!AG366,KHP!AM366))=11)*(CHOOSE({1,2,3,4},KHP!X366,KHP!AD366,KHP!AJ366,KHP!AP366)))</f>
        <v>0</v>
      </c>
      <c r="L366">
        <f>SUMPRODUCT((MONTH(CHOOSE({1,2,3,4},KHP!U366,KHP!AA366,KHP!AG366,KHP!AM366))=12)*(CHOOSE({1,2,3,4},KHP!X366,KHP!AD366,KHP!AJ366,KHP!AP366)))</f>
        <v>0</v>
      </c>
    </row>
    <row r="367" spans="1:12">
      <c r="A367">
        <f>SUMPRODUCT((MONTH(CHOOSE({1,2,3,4},KHP!U367,KHP!AA367,KHP!AG367,KHP!AM367))=1)*(CHOOSE({1,2,3,4},KHP!X367,KHP!AD367,KHP!AJ367,KHP!AP367)))</f>
        <v>0</v>
      </c>
      <c r="B367">
        <f>SUMPRODUCT((MONTH(CHOOSE({1,2,3,4},KHP!U367,KHP!AA367,KHP!AG367,KHP!AM367))=2)*(CHOOSE({1,2,3,4},KHP!X367,KHP!AD367,KHP!AJ367,KHP!AP367)))</f>
        <v>0</v>
      </c>
      <c r="C367">
        <f>SUMPRODUCT((MONTH(CHOOSE({1,2,3,4},KHP!U367,KHP!AA367,KHP!AG367,KHP!AM367))=3)*(CHOOSE({1,2,3,4},KHP!X367,KHP!AD367,KHP!AJ367,KHP!AP367)))</f>
        <v>0</v>
      </c>
      <c r="D367">
        <f>SUMPRODUCT((MONTH(CHOOSE({1,2,3,4},KHP!U367,KHP!AA367,KHP!AG367,KHP!AM367))=4)*(CHOOSE({1,2,3,4},KHP!X367,KHP!AD367,KHP!AJ367,KHP!AP367)))</f>
        <v>0</v>
      </c>
      <c r="E367">
        <f>SUMPRODUCT((MONTH(CHOOSE({1,2,3,4},KHP!U367,KHP!AA367,KHP!AG367,KHP!AM367))=5)*(CHOOSE({1,2,3,4},KHP!X367,KHP!AD367,KHP!AJ367,KHP!AP367)))</f>
        <v>0</v>
      </c>
      <c r="F367">
        <f>SUMPRODUCT((MONTH(CHOOSE({1,2,3,4},KHP!U367,KHP!AA367,KHP!AG367,KHP!AM367))=6)*(CHOOSE({1,2,3,4},KHP!X367,KHP!AD367,KHP!AJ367,KHP!AP367)))</f>
        <v>0</v>
      </c>
      <c r="G367">
        <f>SUMPRODUCT((MONTH(CHOOSE({1,2,3,4},KHP!U367,KHP!AA367,KHP!AG367,KHP!AM367))=7)*(CHOOSE({1,2,3,4},KHP!X367,KHP!AD367,KHP!AJ367,KHP!AP367)))</f>
        <v>0</v>
      </c>
      <c r="H367">
        <f>SUMPRODUCT((MONTH(CHOOSE({1,2,3,4},KHP!U367,KHP!AA367,KHP!AG367,KHP!AM367))=8)*(CHOOSE({1,2,3,4},KHP!X367,KHP!AD367,KHP!AJ367,KHP!AP367)))</f>
        <v>0</v>
      </c>
      <c r="I367">
        <f>SUMPRODUCT((MONTH(CHOOSE({1,2,3,4},KHP!U367,KHP!AA367,KHP!AG367,KHP!AM367))=9)*(CHOOSE({1,2,3,4},KHP!X367,KHP!AD367,KHP!AJ367,KHP!AP367)))</f>
        <v>0</v>
      </c>
      <c r="J367">
        <f>SUMPRODUCT((MONTH(CHOOSE({1,2,3,4},KHP!U367,KHP!AA367,KHP!AG367,KHP!AM367))=10)*(CHOOSE({1,2,3,4},KHP!X367,KHP!AD367,KHP!AJ367,KHP!AP367)))</f>
        <v>0</v>
      </c>
      <c r="K367">
        <f>SUMPRODUCT((MONTH(CHOOSE({1,2,3,4},KHP!U367,KHP!AA367,KHP!AG367,KHP!AM367))=11)*(CHOOSE({1,2,3,4},KHP!X367,KHP!AD367,KHP!AJ367,KHP!AP367)))</f>
        <v>0</v>
      </c>
      <c r="L367">
        <f>SUMPRODUCT((MONTH(CHOOSE({1,2,3,4},KHP!U367,KHP!AA367,KHP!AG367,KHP!AM367))=12)*(CHOOSE({1,2,3,4},KHP!X367,KHP!AD367,KHP!AJ367,KHP!AP367)))</f>
        <v>0</v>
      </c>
    </row>
    <row r="368" spans="1:12">
      <c r="A368">
        <f>SUMPRODUCT((MONTH(CHOOSE({1,2,3,4},KHP!U368,KHP!AA368,KHP!AG368,KHP!AM368))=1)*(CHOOSE({1,2,3,4},KHP!X368,KHP!AD368,KHP!AJ368,KHP!AP368)))</f>
        <v>0</v>
      </c>
      <c r="B368">
        <f>SUMPRODUCT((MONTH(CHOOSE({1,2,3,4},KHP!U368,KHP!AA368,KHP!AG368,KHP!AM368))=2)*(CHOOSE({1,2,3,4},KHP!X368,KHP!AD368,KHP!AJ368,KHP!AP368)))</f>
        <v>0</v>
      </c>
      <c r="C368">
        <f>SUMPRODUCT((MONTH(CHOOSE({1,2,3,4},KHP!U368,KHP!AA368,KHP!AG368,KHP!AM368))=3)*(CHOOSE({1,2,3,4},KHP!X368,KHP!AD368,KHP!AJ368,KHP!AP368)))</f>
        <v>0</v>
      </c>
      <c r="D368">
        <f>SUMPRODUCT((MONTH(CHOOSE({1,2,3,4},KHP!U368,KHP!AA368,KHP!AG368,KHP!AM368))=4)*(CHOOSE({1,2,3,4},KHP!X368,KHP!AD368,KHP!AJ368,KHP!AP368)))</f>
        <v>0</v>
      </c>
      <c r="E368">
        <f>SUMPRODUCT((MONTH(CHOOSE({1,2,3,4},KHP!U368,KHP!AA368,KHP!AG368,KHP!AM368))=5)*(CHOOSE({1,2,3,4},KHP!X368,KHP!AD368,KHP!AJ368,KHP!AP368)))</f>
        <v>0</v>
      </c>
      <c r="F368">
        <f>SUMPRODUCT((MONTH(CHOOSE({1,2,3,4},KHP!U368,KHP!AA368,KHP!AG368,KHP!AM368))=6)*(CHOOSE({1,2,3,4},KHP!X368,KHP!AD368,KHP!AJ368,KHP!AP368)))</f>
        <v>0</v>
      </c>
      <c r="G368">
        <f>SUMPRODUCT((MONTH(CHOOSE({1,2,3,4},KHP!U368,KHP!AA368,KHP!AG368,KHP!AM368))=7)*(CHOOSE({1,2,3,4},KHP!X368,KHP!AD368,KHP!AJ368,KHP!AP368)))</f>
        <v>0</v>
      </c>
      <c r="H368">
        <f>SUMPRODUCT((MONTH(CHOOSE({1,2,3,4},KHP!U368,KHP!AA368,KHP!AG368,KHP!AM368))=8)*(CHOOSE({1,2,3,4},KHP!X368,KHP!AD368,KHP!AJ368,KHP!AP368)))</f>
        <v>0</v>
      </c>
      <c r="I368">
        <f>SUMPRODUCT((MONTH(CHOOSE({1,2,3,4},KHP!U368,KHP!AA368,KHP!AG368,KHP!AM368))=9)*(CHOOSE({1,2,3,4},KHP!X368,KHP!AD368,KHP!AJ368,KHP!AP368)))</f>
        <v>0</v>
      </c>
      <c r="J368">
        <f>SUMPRODUCT((MONTH(CHOOSE({1,2,3,4},KHP!U368,KHP!AA368,KHP!AG368,KHP!AM368))=10)*(CHOOSE({1,2,3,4},KHP!X368,KHP!AD368,KHP!AJ368,KHP!AP368)))</f>
        <v>0</v>
      </c>
      <c r="K368">
        <f>SUMPRODUCT((MONTH(CHOOSE({1,2,3,4},KHP!U368,KHP!AA368,KHP!AG368,KHP!AM368))=11)*(CHOOSE({1,2,3,4},KHP!X368,KHP!AD368,KHP!AJ368,KHP!AP368)))</f>
        <v>0</v>
      </c>
      <c r="L368">
        <f>SUMPRODUCT((MONTH(CHOOSE({1,2,3,4},KHP!U368,KHP!AA368,KHP!AG368,KHP!AM368))=12)*(CHOOSE({1,2,3,4},KHP!X368,KHP!AD368,KHP!AJ368,KHP!AP368)))</f>
        <v>0</v>
      </c>
    </row>
    <row r="369" spans="1:12">
      <c r="A369">
        <f>SUMPRODUCT((MONTH(CHOOSE({1,2,3,4},KHP!U369,KHP!AA369,KHP!AG369,KHP!AM369))=1)*(CHOOSE({1,2,3,4},KHP!X369,KHP!AD369,KHP!AJ369,KHP!AP369)))</f>
        <v>0</v>
      </c>
      <c r="B369">
        <f>SUMPRODUCT((MONTH(CHOOSE({1,2,3,4},KHP!U369,KHP!AA369,KHP!AG369,KHP!AM369))=2)*(CHOOSE({1,2,3,4},KHP!X369,KHP!AD369,KHP!AJ369,KHP!AP369)))</f>
        <v>0</v>
      </c>
      <c r="C369">
        <f>SUMPRODUCT((MONTH(CHOOSE({1,2,3,4},KHP!U369,KHP!AA369,KHP!AG369,KHP!AM369))=3)*(CHOOSE({1,2,3,4},KHP!X369,KHP!AD369,KHP!AJ369,KHP!AP369)))</f>
        <v>0</v>
      </c>
      <c r="D369">
        <f>SUMPRODUCT((MONTH(CHOOSE({1,2,3,4},KHP!U369,KHP!AA369,KHP!AG369,KHP!AM369))=4)*(CHOOSE({1,2,3,4},KHP!X369,KHP!AD369,KHP!AJ369,KHP!AP369)))</f>
        <v>0</v>
      </c>
      <c r="E369">
        <f>SUMPRODUCT((MONTH(CHOOSE({1,2,3,4},KHP!U369,KHP!AA369,KHP!AG369,KHP!AM369))=5)*(CHOOSE({1,2,3,4},KHP!X369,KHP!AD369,KHP!AJ369,KHP!AP369)))</f>
        <v>0</v>
      </c>
      <c r="F369">
        <f>SUMPRODUCT((MONTH(CHOOSE({1,2,3,4},KHP!U369,KHP!AA369,KHP!AG369,KHP!AM369))=6)*(CHOOSE({1,2,3,4},KHP!X369,KHP!AD369,KHP!AJ369,KHP!AP369)))</f>
        <v>0</v>
      </c>
      <c r="G369">
        <f>SUMPRODUCT((MONTH(CHOOSE({1,2,3,4},KHP!U369,KHP!AA369,KHP!AG369,KHP!AM369))=7)*(CHOOSE({1,2,3,4},KHP!X369,KHP!AD369,KHP!AJ369,KHP!AP369)))</f>
        <v>0</v>
      </c>
      <c r="H369">
        <f>SUMPRODUCT((MONTH(CHOOSE({1,2,3,4},KHP!U369,KHP!AA369,KHP!AG369,KHP!AM369))=8)*(CHOOSE({1,2,3,4},KHP!X369,KHP!AD369,KHP!AJ369,KHP!AP369)))</f>
        <v>0</v>
      </c>
      <c r="I369">
        <f>SUMPRODUCT((MONTH(CHOOSE({1,2,3,4},KHP!U369,KHP!AA369,KHP!AG369,KHP!AM369))=9)*(CHOOSE({1,2,3,4},KHP!X369,KHP!AD369,KHP!AJ369,KHP!AP369)))</f>
        <v>0</v>
      </c>
      <c r="J369">
        <f>SUMPRODUCT((MONTH(CHOOSE({1,2,3,4},KHP!U369,KHP!AA369,KHP!AG369,KHP!AM369))=10)*(CHOOSE({1,2,3,4},KHP!X369,KHP!AD369,KHP!AJ369,KHP!AP369)))</f>
        <v>0</v>
      </c>
      <c r="K369">
        <f>SUMPRODUCT((MONTH(CHOOSE({1,2,3,4},KHP!U369,KHP!AA369,KHP!AG369,KHP!AM369))=11)*(CHOOSE({1,2,3,4},KHP!X369,KHP!AD369,KHP!AJ369,KHP!AP369)))</f>
        <v>0</v>
      </c>
      <c r="L369">
        <f>SUMPRODUCT((MONTH(CHOOSE({1,2,3,4},KHP!U369,KHP!AA369,KHP!AG369,KHP!AM369))=12)*(CHOOSE({1,2,3,4},KHP!X369,KHP!AD369,KHP!AJ369,KHP!AP369)))</f>
        <v>0</v>
      </c>
    </row>
    <row r="370" spans="1:12">
      <c r="A370">
        <f>SUMPRODUCT((MONTH(CHOOSE({1,2,3,4},KHP!U370,KHP!AA370,KHP!AG370,KHP!AM370))=1)*(CHOOSE({1,2,3,4},KHP!X370,KHP!AD370,KHP!AJ370,KHP!AP370)))</f>
        <v>0</v>
      </c>
      <c r="B370">
        <f>SUMPRODUCT((MONTH(CHOOSE({1,2,3,4},KHP!U370,KHP!AA370,KHP!AG370,KHP!AM370))=2)*(CHOOSE({1,2,3,4},KHP!X370,KHP!AD370,KHP!AJ370,KHP!AP370)))</f>
        <v>0</v>
      </c>
      <c r="C370">
        <f>SUMPRODUCT((MONTH(CHOOSE({1,2,3,4},KHP!U370,KHP!AA370,KHP!AG370,KHP!AM370))=3)*(CHOOSE({1,2,3,4},KHP!X370,KHP!AD370,KHP!AJ370,KHP!AP370)))</f>
        <v>0</v>
      </c>
      <c r="D370">
        <f>SUMPRODUCT((MONTH(CHOOSE({1,2,3,4},KHP!U370,KHP!AA370,KHP!AG370,KHP!AM370))=4)*(CHOOSE({1,2,3,4},KHP!X370,KHP!AD370,KHP!AJ370,KHP!AP370)))</f>
        <v>0</v>
      </c>
      <c r="E370">
        <f>SUMPRODUCT((MONTH(CHOOSE({1,2,3,4},KHP!U370,KHP!AA370,KHP!AG370,KHP!AM370))=5)*(CHOOSE({1,2,3,4},KHP!X370,KHP!AD370,KHP!AJ370,KHP!AP370)))</f>
        <v>0</v>
      </c>
      <c r="F370">
        <f>SUMPRODUCT((MONTH(CHOOSE({1,2,3,4},KHP!U370,KHP!AA370,KHP!AG370,KHP!AM370))=6)*(CHOOSE({1,2,3,4},KHP!X370,KHP!AD370,KHP!AJ370,KHP!AP370)))</f>
        <v>0</v>
      </c>
      <c r="G370">
        <f>SUMPRODUCT((MONTH(CHOOSE({1,2,3,4},KHP!U370,KHP!AA370,KHP!AG370,KHP!AM370))=7)*(CHOOSE({1,2,3,4},KHP!X370,KHP!AD370,KHP!AJ370,KHP!AP370)))</f>
        <v>0</v>
      </c>
      <c r="H370">
        <f>SUMPRODUCT((MONTH(CHOOSE({1,2,3,4},KHP!U370,KHP!AA370,KHP!AG370,KHP!AM370))=8)*(CHOOSE({1,2,3,4},KHP!X370,KHP!AD370,KHP!AJ370,KHP!AP370)))</f>
        <v>0</v>
      </c>
      <c r="I370">
        <f>SUMPRODUCT((MONTH(CHOOSE({1,2,3,4},KHP!U370,KHP!AA370,KHP!AG370,KHP!AM370))=9)*(CHOOSE({1,2,3,4},KHP!X370,KHP!AD370,KHP!AJ370,KHP!AP370)))</f>
        <v>0</v>
      </c>
      <c r="J370">
        <f>SUMPRODUCT((MONTH(CHOOSE({1,2,3,4},KHP!U370,KHP!AA370,KHP!AG370,KHP!AM370))=10)*(CHOOSE({1,2,3,4},KHP!X370,KHP!AD370,KHP!AJ370,KHP!AP370)))</f>
        <v>0</v>
      </c>
      <c r="K370">
        <f>SUMPRODUCT((MONTH(CHOOSE({1,2,3,4},KHP!U370,KHP!AA370,KHP!AG370,KHP!AM370))=11)*(CHOOSE({1,2,3,4},KHP!X370,KHP!AD370,KHP!AJ370,KHP!AP370)))</f>
        <v>0</v>
      </c>
      <c r="L370">
        <f>SUMPRODUCT((MONTH(CHOOSE({1,2,3,4},KHP!U370,KHP!AA370,KHP!AG370,KHP!AM370))=12)*(CHOOSE({1,2,3,4},KHP!X370,KHP!AD370,KHP!AJ370,KHP!AP370)))</f>
        <v>0</v>
      </c>
    </row>
    <row r="371" spans="1:12">
      <c r="A371">
        <f>SUMPRODUCT((MONTH(CHOOSE({1,2,3,4},KHP!U371,KHP!AA371,KHP!AG371,KHP!AM371))=1)*(CHOOSE({1,2,3,4},KHP!X371,KHP!AD371,KHP!AJ371,KHP!AP371)))</f>
        <v>0</v>
      </c>
      <c r="B371">
        <f>SUMPRODUCT((MONTH(CHOOSE({1,2,3,4},KHP!U371,KHP!AA371,KHP!AG371,KHP!AM371))=2)*(CHOOSE({1,2,3,4},KHP!X371,KHP!AD371,KHP!AJ371,KHP!AP371)))</f>
        <v>0</v>
      </c>
      <c r="C371">
        <f>SUMPRODUCT((MONTH(CHOOSE({1,2,3,4},KHP!U371,KHP!AA371,KHP!AG371,KHP!AM371))=3)*(CHOOSE({1,2,3,4},KHP!X371,KHP!AD371,KHP!AJ371,KHP!AP371)))</f>
        <v>0</v>
      </c>
      <c r="D371">
        <f>SUMPRODUCT((MONTH(CHOOSE({1,2,3,4},KHP!U371,KHP!AA371,KHP!AG371,KHP!AM371))=4)*(CHOOSE({1,2,3,4},KHP!X371,KHP!AD371,KHP!AJ371,KHP!AP371)))</f>
        <v>0</v>
      </c>
      <c r="E371">
        <f>SUMPRODUCT((MONTH(CHOOSE({1,2,3,4},KHP!U371,KHP!AA371,KHP!AG371,KHP!AM371))=5)*(CHOOSE({1,2,3,4},KHP!X371,KHP!AD371,KHP!AJ371,KHP!AP371)))</f>
        <v>0</v>
      </c>
      <c r="F371">
        <f>SUMPRODUCT((MONTH(CHOOSE({1,2,3,4},KHP!U371,KHP!AA371,KHP!AG371,KHP!AM371))=6)*(CHOOSE({1,2,3,4},KHP!X371,KHP!AD371,KHP!AJ371,KHP!AP371)))</f>
        <v>0</v>
      </c>
      <c r="G371">
        <f>SUMPRODUCT((MONTH(CHOOSE({1,2,3,4},KHP!U371,KHP!AA371,KHP!AG371,KHP!AM371))=7)*(CHOOSE({1,2,3,4},KHP!X371,KHP!AD371,KHP!AJ371,KHP!AP371)))</f>
        <v>0</v>
      </c>
      <c r="H371">
        <f>SUMPRODUCT((MONTH(CHOOSE({1,2,3,4},KHP!U371,KHP!AA371,KHP!AG371,KHP!AM371))=8)*(CHOOSE({1,2,3,4},KHP!X371,KHP!AD371,KHP!AJ371,KHP!AP371)))</f>
        <v>0</v>
      </c>
      <c r="I371">
        <f>SUMPRODUCT((MONTH(CHOOSE({1,2,3,4},KHP!U371,KHP!AA371,KHP!AG371,KHP!AM371))=9)*(CHOOSE({1,2,3,4},KHP!X371,KHP!AD371,KHP!AJ371,KHP!AP371)))</f>
        <v>0</v>
      </c>
      <c r="J371">
        <f>SUMPRODUCT((MONTH(CHOOSE({1,2,3,4},KHP!U371,KHP!AA371,KHP!AG371,KHP!AM371))=10)*(CHOOSE({1,2,3,4},KHP!X371,KHP!AD371,KHP!AJ371,KHP!AP371)))</f>
        <v>0</v>
      </c>
      <c r="K371">
        <f>SUMPRODUCT((MONTH(CHOOSE({1,2,3,4},KHP!U371,KHP!AA371,KHP!AG371,KHP!AM371))=11)*(CHOOSE({1,2,3,4},KHP!X371,KHP!AD371,KHP!AJ371,KHP!AP371)))</f>
        <v>0</v>
      </c>
      <c r="L371">
        <f>SUMPRODUCT((MONTH(CHOOSE({1,2,3,4},KHP!U371,KHP!AA371,KHP!AG371,KHP!AM371))=12)*(CHOOSE({1,2,3,4},KHP!X371,KHP!AD371,KHP!AJ371,KHP!AP371)))</f>
        <v>0</v>
      </c>
    </row>
    <row r="372" spans="1:12">
      <c r="A372">
        <f>SUMPRODUCT((MONTH(CHOOSE({1,2,3,4},KHP!U372,KHP!AA372,KHP!AG372,KHP!AM372))=1)*(CHOOSE({1,2,3,4},KHP!X372,KHP!AD372,KHP!AJ372,KHP!AP372)))</f>
        <v>0</v>
      </c>
      <c r="B372">
        <f>SUMPRODUCT((MONTH(CHOOSE({1,2,3,4},KHP!U372,KHP!AA372,KHP!AG372,KHP!AM372))=2)*(CHOOSE({1,2,3,4},KHP!X372,KHP!AD372,KHP!AJ372,KHP!AP372)))</f>
        <v>0</v>
      </c>
      <c r="C372">
        <f>SUMPRODUCT((MONTH(CHOOSE({1,2,3,4},KHP!U372,KHP!AA372,KHP!AG372,KHP!AM372))=3)*(CHOOSE({1,2,3,4},KHP!X372,KHP!AD372,KHP!AJ372,KHP!AP372)))</f>
        <v>0</v>
      </c>
      <c r="D372">
        <f>SUMPRODUCT((MONTH(CHOOSE({1,2,3,4},KHP!U372,KHP!AA372,KHP!AG372,KHP!AM372))=4)*(CHOOSE({1,2,3,4},KHP!X372,KHP!AD372,KHP!AJ372,KHP!AP372)))</f>
        <v>0</v>
      </c>
      <c r="E372">
        <f>SUMPRODUCT((MONTH(CHOOSE({1,2,3,4},KHP!U372,KHP!AA372,KHP!AG372,KHP!AM372))=5)*(CHOOSE({1,2,3,4},KHP!X372,KHP!AD372,KHP!AJ372,KHP!AP372)))</f>
        <v>0</v>
      </c>
      <c r="F372">
        <f>SUMPRODUCT((MONTH(CHOOSE({1,2,3,4},KHP!U372,KHP!AA372,KHP!AG372,KHP!AM372))=6)*(CHOOSE({1,2,3,4},KHP!X372,KHP!AD372,KHP!AJ372,KHP!AP372)))</f>
        <v>0</v>
      </c>
      <c r="G372">
        <f>SUMPRODUCT((MONTH(CHOOSE({1,2,3,4},KHP!U372,KHP!AA372,KHP!AG372,KHP!AM372))=7)*(CHOOSE({1,2,3,4},KHP!X372,KHP!AD372,KHP!AJ372,KHP!AP372)))</f>
        <v>0</v>
      </c>
      <c r="H372">
        <f>SUMPRODUCT((MONTH(CHOOSE({1,2,3,4},KHP!U372,KHP!AA372,KHP!AG372,KHP!AM372))=8)*(CHOOSE({1,2,3,4},KHP!X372,KHP!AD372,KHP!AJ372,KHP!AP372)))</f>
        <v>0</v>
      </c>
      <c r="I372">
        <f>SUMPRODUCT((MONTH(CHOOSE({1,2,3,4},KHP!U372,KHP!AA372,KHP!AG372,KHP!AM372))=9)*(CHOOSE({1,2,3,4},KHP!X372,KHP!AD372,KHP!AJ372,KHP!AP372)))</f>
        <v>0</v>
      </c>
      <c r="J372">
        <f>SUMPRODUCT((MONTH(CHOOSE({1,2,3,4},KHP!U372,KHP!AA372,KHP!AG372,KHP!AM372))=10)*(CHOOSE({1,2,3,4},KHP!X372,KHP!AD372,KHP!AJ372,KHP!AP372)))</f>
        <v>0</v>
      </c>
      <c r="K372">
        <f>SUMPRODUCT((MONTH(CHOOSE({1,2,3,4},KHP!U372,KHP!AA372,KHP!AG372,KHP!AM372))=11)*(CHOOSE({1,2,3,4},KHP!X372,KHP!AD372,KHP!AJ372,KHP!AP372)))</f>
        <v>0</v>
      </c>
      <c r="L372">
        <f>SUMPRODUCT((MONTH(CHOOSE({1,2,3,4},KHP!U372,KHP!AA372,KHP!AG372,KHP!AM372))=12)*(CHOOSE({1,2,3,4},KHP!X372,KHP!AD372,KHP!AJ372,KHP!AP372)))</f>
        <v>0</v>
      </c>
    </row>
    <row r="373" spans="1:12">
      <c r="A373">
        <f>SUMPRODUCT((MONTH(CHOOSE({1,2,3,4},KHP!U373,KHP!AA373,KHP!AG373,KHP!AM373))=1)*(CHOOSE({1,2,3,4},KHP!X373,KHP!AD373,KHP!AJ373,KHP!AP373)))</f>
        <v>0</v>
      </c>
      <c r="B373">
        <f>SUMPRODUCT((MONTH(CHOOSE({1,2,3,4},KHP!U373,KHP!AA373,KHP!AG373,KHP!AM373))=2)*(CHOOSE({1,2,3,4},KHP!X373,KHP!AD373,KHP!AJ373,KHP!AP373)))</f>
        <v>0</v>
      </c>
      <c r="C373">
        <f>SUMPRODUCT((MONTH(CHOOSE({1,2,3,4},KHP!U373,KHP!AA373,KHP!AG373,KHP!AM373))=3)*(CHOOSE({1,2,3,4},KHP!X373,KHP!AD373,KHP!AJ373,KHP!AP373)))</f>
        <v>0</v>
      </c>
      <c r="D373">
        <f>SUMPRODUCT((MONTH(CHOOSE({1,2,3,4},KHP!U373,KHP!AA373,KHP!AG373,KHP!AM373))=4)*(CHOOSE({1,2,3,4},KHP!X373,KHP!AD373,KHP!AJ373,KHP!AP373)))</f>
        <v>0</v>
      </c>
      <c r="E373">
        <f>SUMPRODUCT((MONTH(CHOOSE({1,2,3,4},KHP!U373,KHP!AA373,KHP!AG373,KHP!AM373))=5)*(CHOOSE({1,2,3,4},KHP!X373,KHP!AD373,KHP!AJ373,KHP!AP373)))</f>
        <v>0</v>
      </c>
      <c r="F373">
        <f>SUMPRODUCT((MONTH(CHOOSE({1,2,3,4},KHP!U373,KHP!AA373,KHP!AG373,KHP!AM373))=6)*(CHOOSE({1,2,3,4},KHP!X373,KHP!AD373,KHP!AJ373,KHP!AP373)))</f>
        <v>0</v>
      </c>
      <c r="G373">
        <f>SUMPRODUCT((MONTH(CHOOSE({1,2,3,4},KHP!U373,KHP!AA373,KHP!AG373,KHP!AM373))=7)*(CHOOSE({1,2,3,4},KHP!X373,KHP!AD373,KHP!AJ373,KHP!AP373)))</f>
        <v>0</v>
      </c>
      <c r="H373">
        <f>SUMPRODUCT((MONTH(CHOOSE({1,2,3,4},KHP!U373,KHP!AA373,KHP!AG373,KHP!AM373))=8)*(CHOOSE({1,2,3,4},KHP!X373,KHP!AD373,KHP!AJ373,KHP!AP373)))</f>
        <v>0</v>
      </c>
      <c r="I373">
        <f>SUMPRODUCT((MONTH(CHOOSE({1,2,3,4},KHP!U373,KHP!AA373,KHP!AG373,KHP!AM373))=9)*(CHOOSE({1,2,3,4},KHP!X373,KHP!AD373,KHP!AJ373,KHP!AP373)))</f>
        <v>0</v>
      </c>
      <c r="J373">
        <f>SUMPRODUCT((MONTH(CHOOSE({1,2,3,4},KHP!U373,KHP!AA373,KHP!AG373,KHP!AM373))=10)*(CHOOSE({1,2,3,4},KHP!X373,KHP!AD373,KHP!AJ373,KHP!AP373)))</f>
        <v>0</v>
      </c>
      <c r="K373">
        <f>SUMPRODUCT((MONTH(CHOOSE({1,2,3,4},KHP!U373,KHP!AA373,KHP!AG373,KHP!AM373))=11)*(CHOOSE({1,2,3,4},KHP!X373,KHP!AD373,KHP!AJ373,KHP!AP373)))</f>
        <v>0</v>
      </c>
      <c r="L373">
        <f>SUMPRODUCT((MONTH(CHOOSE({1,2,3,4},KHP!U373,KHP!AA373,KHP!AG373,KHP!AM373))=12)*(CHOOSE({1,2,3,4},KHP!X373,KHP!AD373,KHP!AJ373,KHP!AP373)))</f>
        <v>0</v>
      </c>
    </row>
    <row r="374" spans="1:12">
      <c r="A374">
        <f>SUMPRODUCT((MONTH(CHOOSE({1,2,3,4},KHP!U374,KHP!AA374,KHP!AG374,KHP!AM374))=1)*(CHOOSE({1,2,3,4},KHP!X374,KHP!AD374,KHP!AJ374,KHP!AP374)))</f>
        <v>0</v>
      </c>
      <c r="B374">
        <f>SUMPRODUCT((MONTH(CHOOSE({1,2,3,4},KHP!U374,KHP!AA374,KHP!AG374,KHP!AM374))=2)*(CHOOSE({1,2,3,4},KHP!X374,KHP!AD374,KHP!AJ374,KHP!AP374)))</f>
        <v>0</v>
      </c>
      <c r="C374">
        <f>SUMPRODUCT((MONTH(CHOOSE({1,2,3,4},KHP!U374,KHP!AA374,KHP!AG374,KHP!AM374))=3)*(CHOOSE({1,2,3,4},KHP!X374,KHP!AD374,KHP!AJ374,KHP!AP374)))</f>
        <v>0</v>
      </c>
      <c r="D374">
        <f>SUMPRODUCT((MONTH(CHOOSE({1,2,3,4},KHP!U374,KHP!AA374,KHP!AG374,KHP!AM374))=4)*(CHOOSE({1,2,3,4},KHP!X374,KHP!AD374,KHP!AJ374,KHP!AP374)))</f>
        <v>0</v>
      </c>
      <c r="E374">
        <f>SUMPRODUCT((MONTH(CHOOSE({1,2,3,4},KHP!U374,KHP!AA374,KHP!AG374,KHP!AM374))=5)*(CHOOSE({1,2,3,4},KHP!X374,KHP!AD374,KHP!AJ374,KHP!AP374)))</f>
        <v>0</v>
      </c>
      <c r="F374">
        <f>SUMPRODUCT((MONTH(CHOOSE({1,2,3,4},KHP!U374,KHP!AA374,KHP!AG374,KHP!AM374))=6)*(CHOOSE({1,2,3,4},KHP!X374,KHP!AD374,KHP!AJ374,KHP!AP374)))</f>
        <v>0</v>
      </c>
      <c r="G374">
        <f>SUMPRODUCT((MONTH(CHOOSE({1,2,3,4},KHP!U374,KHP!AA374,KHP!AG374,KHP!AM374))=7)*(CHOOSE({1,2,3,4},KHP!X374,KHP!AD374,KHP!AJ374,KHP!AP374)))</f>
        <v>0</v>
      </c>
      <c r="H374">
        <f>SUMPRODUCT((MONTH(CHOOSE({1,2,3,4},KHP!U374,KHP!AA374,KHP!AG374,KHP!AM374))=8)*(CHOOSE({1,2,3,4},KHP!X374,KHP!AD374,KHP!AJ374,KHP!AP374)))</f>
        <v>0</v>
      </c>
      <c r="I374">
        <f>SUMPRODUCT((MONTH(CHOOSE({1,2,3,4},KHP!U374,KHP!AA374,KHP!AG374,KHP!AM374))=9)*(CHOOSE({1,2,3,4},KHP!X374,KHP!AD374,KHP!AJ374,KHP!AP374)))</f>
        <v>0</v>
      </c>
      <c r="J374">
        <f>SUMPRODUCT((MONTH(CHOOSE({1,2,3,4},KHP!U374,KHP!AA374,KHP!AG374,KHP!AM374))=10)*(CHOOSE({1,2,3,4},KHP!X374,KHP!AD374,KHP!AJ374,KHP!AP374)))</f>
        <v>0</v>
      </c>
      <c r="K374">
        <f>SUMPRODUCT((MONTH(CHOOSE({1,2,3,4},KHP!U374,KHP!AA374,KHP!AG374,KHP!AM374))=11)*(CHOOSE({1,2,3,4},KHP!X374,KHP!AD374,KHP!AJ374,KHP!AP374)))</f>
        <v>0</v>
      </c>
      <c r="L374">
        <f>SUMPRODUCT((MONTH(CHOOSE({1,2,3,4},KHP!U374,KHP!AA374,KHP!AG374,KHP!AM374))=12)*(CHOOSE({1,2,3,4},KHP!X374,KHP!AD374,KHP!AJ374,KHP!AP374)))</f>
        <v>0</v>
      </c>
    </row>
    <row r="375" spans="1:12">
      <c r="A375">
        <f>SUMPRODUCT((MONTH(CHOOSE({1,2,3,4},KHP!U375,KHP!AA375,KHP!AG375,KHP!AM375))=1)*(CHOOSE({1,2,3,4},KHP!X375,KHP!AD375,KHP!AJ375,KHP!AP375)))</f>
        <v>0</v>
      </c>
      <c r="B375">
        <f>SUMPRODUCT((MONTH(CHOOSE({1,2,3,4},KHP!U375,KHP!AA375,KHP!AG375,KHP!AM375))=2)*(CHOOSE({1,2,3,4},KHP!X375,KHP!AD375,KHP!AJ375,KHP!AP375)))</f>
        <v>0</v>
      </c>
      <c r="C375">
        <f>SUMPRODUCT((MONTH(CHOOSE({1,2,3,4},KHP!U375,KHP!AA375,KHP!AG375,KHP!AM375))=3)*(CHOOSE({1,2,3,4},KHP!X375,KHP!AD375,KHP!AJ375,KHP!AP375)))</f>
        <v>0</v>
      </c>
      <c r="D375">
        <f>SUMPRODUCT((MONTH(CHOOSE({1,2,3,4},KHP!U375,KHP!AA375,KHP!AG375,KHP!AM375))=4)*(CHOOSE({1,2,3,4},KHP!X375,KHP!AD375,KHP!AJ375,KHP!AP375)))</f>
        <v>0</v>
      </c>
      <c r="E375">
        <f>SUMPRODUCT((MONTH(CHOOSE({1,2,3,4},KHP!U375,KHP!AA375,KHP!AG375,KHP!AM375))=5)*(CHOOSE({1,2,3,4},KHP!X375,KHP!AD375,KHP!AJ375,KHP!AP375)))</f>
        <v>0</v>
      </c>
      <c r="F375">
        <f>SUMPRODUCT((MONTH(CHOOSE({1,2,3,4},KHP!U375,KHP!AA375,KHP!AG375,KHP!AM375))=6)*(CHOOSE({1,2,3,4},KHP!X375,KHP!AD375,KHP!AJ375,KHP!AP375)))</f>
        <v>0</v>
      </c>
      <c r="G375">
        <f>SUMPRODUCT((MONTH(CHOOSE({1,2,3,4},KHP!U375,KHP!AA375,KHP!AG375,KHP!AM375))=7)*(CHOOSE({1,2,3,4},KHP!X375,KHP!AD375,KHP!AJ375,KHP!AP375)))</f>
        <v>0</v>
      </c>
      <c r="H375">
        <f>SUMPRODUCT((MONTH(CHOOSE({1,2,3,4},KHP!U375,KHP!AA375,KHP!AG375,KHP!AM375))=8)*(CHOOSE({1,2,3,4},KHP!X375,KHP!AD375,KHP!AJ375,KHP!AP375)))</f>
        <v>0</v>
      </c>
      <c r="I375">
        <f>SUMPRODUCT((MONTH(CHOOSE({1,2,3,4},KHP!U375,KHP!AA375,KHP!AG375,KHP!AM375))=9)*(CHOOSE({1,2,3,4},KHP!X375,KHP!AD375,KHP!AJ375,KHP!AP375)))</f>
        <v>0</v>
      </c>
      <c r="J375">
        <f>SUMPRODUCT((MONTH(CHOOSE({1,2,3,4},KHP!U375,KHP!AA375,KHP!AG375,KHP!AM375))=10)*(CHOOSE({1,2,3,4},KHP!X375,KHP!AD375,KHP!AJ375,KHP!AP375)))</f>
        <v>0</v>
      </c>
      <c r="K375">
        <f>SUMPRODUCT((MONTH(CHOOSE({1,2,3,4},KHP!U375,KHP!AA375,KHP!AG375,KHP!AM375))=11)*(CHOOSE({1,2,3,4},KHP!X375,KHP!AD375,KHP!AJ375,KHP!AP375)))</f>
        <v>0</v>
      </c>
      <c r="L375">
        <f>SUMPRODUCT((MONTH(CHOOSE({1,2,3,4},KHP!U375,KHP!AA375,KHP!AG375,KHP!AM375))=12)*(CHOOSE({1,2,3,4},KHP!X375,KHP!AD375,KHP!AJ375,KHP!AP375)))</f>
        <v>0</v>
      </c>
    </row>
    <row r="376" spans="1:12">
      <c r="A376">
        <f>SUMPRODUCT((MONTH(CHOOSE({1,2,3,4},KHP!U376,KHP!AA376,KHP!AG376,KHP!AM376))=1)*(CHOOSE({1,2,3,4},KHP!X376,KHP!AD376,KHP!AJ376,KHP!AP376)))</f>
        <v>0</v>
      </c>
      <c r="B376">
        <f>SUMPRODUCT((MONTH(CHOOSE({1,2,3,4},KHP!U376,KHP!AA376,KHP!AG376,KHP!AM376))=2)*(CHOOSE({1,2,3,4},KHP!X376,KHP!AD376,KHP!AJ376,KHP!AP376)))</f>
        <v>0</v>
      </c>
      <c r="C376">
        <f>SUMPRODUCT((MONTH(CHOOSE({1,2,3,4},KHP!U376,KHP!AA376,KHP!AG376,KHP!AM376))=3)*(CHOOSE({1,2,3,4},KHP!X376,KHP!AD376,KHP!AJ376,KHP!AP376)))</f>
        <v>0</v>
      </c>
      <c r="D376">
        <f>SUMPRODUCT((MONTH(CHOOSE({1,2,3,4},KHP!U376,KHP!AA376,KHP!AG376,KHP!AM376))=4)*(CHOOSE({1,2,3,4},KHP!X376,KHP!AD376,KHP!AJ376,KHP!AP376)))</f>
        <v>0</v>
      </c>
      <c r="E376">
        <f>SUMPRODUCT((MONTH(CHOOSE({1,2,3,4},KHP!U376,KHP!AA376,KHP!AG376,KHP!AM376))=5)*(CHOOSE({1,2,3,4},KHP!X376,KHP!AD376,KHP!AJ376,KHP!AP376)))</f>
        <v>0</v>
      </c>
      <c r="F376">
        <f>SUMPRODUCT((MONTH(CHOOSE({1,2,3,4},KHP!U376,KHP!AA376,KHP!AG376,KHP!AM376))=6)*(CHOOSE({1,2,3,4},KHP!X376,KHP!AD376,KHP!AJ376,KHP!AP376)))</f>
        <v>0</v>
      </c>
      <c r="G376">
        <f>SUMPRODUCT((MONTH(CHOOSE({1,2,3,4},KHP!U376,KHP!AA376,KHP!AG376,KHP!AM376))=7)*(CHOOSE({1,2,3,4},KHP!X376,KHP!AD376,KHP!AJ376,KHP!AP376)))</f>
        <v>0</v>
      </c>
      <c r="H376">
        <f>SUMPRODUCT((MONTH(CHOOSE({1,2,3,4},KHP!U376,KHP!AA376,KHP!AG376,KHP!AM376))=8)*(CHOOSE({1,2,3,4},KHP!X376,KHP!AD376,KHP!AJ376,KHP!AP376)))</f>
        <v>0</v>
      </c>
      <c r="I376">
        <f>SUMPRODUCT((MONTH(CHOOSE({1,2,3,4},KHP!U376,KHP!AA376,KHP!AG376,KHP!AM376))=9)*(CHOOSE({1,2,3,4},KHP!X376,KHP!AD376,KHP!AJ376,KHP!AP376)))</f>
        <v>0</v>
      </c>
      <c r="J376">
        <f>SUMPRODUCT((MONTH(CHOOSE({1,2,3,4},KHP!U376,KHP!AA376,KHP!AG376,KHP!AM376))=10)*(CHOOSE({1,2,3,4},KHP!X376,KHP!AD376,KHP!AJ376,KHP!AP376)))</f>
        <v>0</v>
      </c>
      <c r="K376">
        <f>SUMPRODUCT((MONTH(CHOOSE({1,2,3,4},KHP!U376,KHP!AA376,KHP!AG376,KHP!AM376))=11)*(CHOOSE({1,2,3,4},KHP!X376,KHP!AD376,KHP!AJ376,KHP!AP376)))</f>
        <v>0</v>
      </c>
      <c r="L376">
        <f>SUMPRODUCT((MONTH(CHOOSE({1,2,3,4},KHP!U376,KHP!AA376,KHP!AG376,KHP!AM376))=12)*(CHOOSE({1,2,3,4},KHP!X376,KHP!AD376,KHP!AJ376,KHP!AP376)))</f>
        <v>0</v>
      </c>
    </row>
    <row r="377" spans="1:12">
      <c r="A377">
        <f>SUMPRODUCT((MONTH(CHOOSE({1,2,3,4},KHP!U377,KHP!AA377,KHP!AG377,KHP!AM377))=1)*(CHOOSE({1,2,3,4},KHP!X377,KHP!AD377,KHP!AJ377,KHP!AP377)))</f>
        <v>0</v>
      </c>
      <c r="B377">
        <f>SUMPRODUCT((MONTH(CHOOSE({1,2,3,4},KHP!U377,KHP!AA377,KHP!AG377,KHP!AM377))=2)*(CHOOSE({1,2,3,4},KHP!X377,KHP!AD377,KHP!AJ377,KHP!AP377)))</f>
        <v>0</v>
      </c>
      <c r="C377">
        <f>SUMPRODUCT((MONTH(CHOOSE({1,2,3,4},KHP!U377,KHP!AA377,KHP!AG377,KHP!AM377))=3)*(CHOOSE({1,2,3,4},KHP!X377,KHP!AD377,KHP!AJ377,KHP!AP377)))</f>
        <v>0</v>
      </c>
      <c r="D377">
        <f>SUMPRODUCT((MONTH(CHOOSE({1,2,3,4},KHP!U377,KHP!AA377,KHP!AG377,KHP!AM377))=4)*(CHOOSE({1,2,3,4},KHP!X377,KHP!AD377,KHP!AJ377,KHP!AP377)))</f>
        <v>0</v>
      </c>
      <c r="E377">
        <f>SUMPRODUCT((MONTH(CHOOSE({1,2,3,4},KHP!U377,KHP!AA377,KHP!AG377,KHP!AM377))=5)*(CHOOSE({1,2,3,4},KHP!X377,KHP!AD377,KHP!AJ377,KHP!AP377)))</f>
        <v>0</v>
      </c>
      <c r="F377">
        <f>SUMPRODUCT((MONTH(CHOOSE({1,2,3,4},KHP!U377,KHP!AA377,KHP!AG377,KHP!AM377))=6)*(CHOOSE({1,2,3,4},KHP!X377,KHP!AD377,KHP!AJ377,KHP!AP377)))</f>
        <v>0</v>
      </c>
      <c r="G377">
        <f>SUMPRODUCT((MONTH(CHOOSE({1,2,3,4},KHP!U377,KHP!AA377,KHP!AG377,KHP!AM377))=7)*(CHOOSE({1,2,3,4},KHP!X377,KHP!AD377,KHP!AJ377,KHP!AP377)))</f>
        <v>0</v>
      </c>
      <c r="H377">
        <f>SUMPRODUCT((MONTH(CHOOSE({1,2,3,4},KHP!U377,KHP!AA377,KHP!AG377,KHP!AM377))=8)*(CHOOSE({1,2,3,4},KHP!X377,KHP!AD377,KHP!AJ377,KHP!AP377)))</f>
        <v>0</v>
      </c>
      <c r="I377">
        <f>SUMPRODUCT((MONTH(CHOOSE({1,2,3,4},KHP!U377,KHP!AA377,KHP!AG377,KHP!AM377))=9)*(CHOOSE({1,2,3,4},KHP!X377,KHP!AD377,KHP!AJ377,KHP!AP377)))</f>
        <v>0</v>
      </c>
      <c r="J377">
        <f>SUMPRODUCT((MONTH(CHOOSE({1,2,3,4},KHP!U377,KHP!AA377,KHP!AG377,KHP!AM377))=10)*(CHOOSE({1,2,3,4},KHP!X377,KHP!AD377,KHP!AJ377,KHP!AP377)))</f>
        <v>0</v>
      </c>
      <c r="K377">
        <f>SUMPRODUCT((MONTH(CHOOSE({1,2,3,4},KHP!U377,KHP!AA377,KHP!AG377,KHP!AM377))=11)*(CHOOSE({1,2,3,4},KHP!X377,KHP!AD377,KHP!AJ377,KHP!AP377)))</f>
        <v>0</v>
      </c>
      <c r="L377">
        <f>SUMPRODUCT((MONTH(CHOOSE({1,2,3,4},KHP!U377,KHP!AA377,KHP!AG377,KHP!AM377))=12)*(CHOOSE({1,2,3,4},KHP!X377,KHP!AD377,KHP!AJ377,KHP!AP377)))</f>
        <v>0</v>
      </c>
    </row>
    <row r="378" spans="1:12">
      <c r="A378">
        <f>SUMPRODUCT((MONTH(CHOOSE({1,2,3,4},KHP!U378,KHP!AA378,KHP!AG378,KHP!AM378))=1)*(CHOOSE({1,2,3,4},KHP!X378,KHP!AD378,KHP!AJ378,KHP!AP378)))</f>
        <v>0</v>
      </c>
      <c r="B378">
        <f>SUMPRODUCT((MONTH(CHOOSE({1,2,3,4},KHP!U378,KHP!AA378,KHP!AG378,KHP!AM378))=2)*(CHOOSE({1,2,3,4},KHP!X378,KHP!AD378,KHP!AJ378,KHP!AP378)))</f>
        <v>0</v>
      </c>
      <c r="C378">
        <f>SUMPRODUCT((MONTH(CHOOSE({1,2,3,4},KHP!U378,KHP!AA378,KHP!AG378,KHP!AM378))=3)*(CHOOSE({1,2,3,4},KHP!X378,KHP!AD378,KHP!AJ378,KHP!AP378)))</f>
        <v>0</v>
      </c>
      <c r="D378">
        <f>SUMPRODUCT((MONTH(CHOOSE({1,2,3,4},KHP!U378,KHP!AA378,KHP!AG378,KHP!AM378))=4)*(CHOOSE({1,2,3,4},KHP!X378,KHP!AD378,KHP!AJ378,KHP!AP378)))</f>
        <v>0</v>
      </c>
      <c r="E378">
        <f>SUMPRODUCT((MONTH(CHOOSE({1,2,3,4},KHP!U378,KHP!AA378,KHP!AG378,KHP!AM378))=5)*(CHOOSE({1,2,3,4},KHP!X378,KHP!AD378,KHP!AJ378,KHP!AP378)))</f>
        <v>0</v>
      </c>
      <c r="F378">
        <f>SUMPRODUCT((MONTH(CHOOSE({1,2,3,4},KHP!U378,KHP!AA378,KHP!AG378,KHP!AM378))=6)*(CHOOSE({1,2,3,4},KHP!X378,KHP!AD378,KHP!AJ378,KHP!AP378)))</f>
        <v>0</v>
      </c>
      <c r="G378">
        <f>SUMPRODUCT((MONTH(CHOOSE({1,2,3,4},KHP!U378,KHP!AA378,KHP!AG378,KHP!AM378))=7)*(CHOOSE({1,2,3,4},KHP!X378,KHP!AD378,KHP!AJ378,KHP!AP378)))</f>
        <v>0</v>
      </c>
      <c r="H378">
        <f>SUMPRODUCT((MONTH(CHOOSE({1,2,3,4},KHP!U378,KHP!AA378,KHP!AG378,KHP!AM378))=8)*(CHOOSE({1,2,3,4},KHP!X378,KHP!AD378,KHP!AJ378,KHP!AP378)))</f>
        <v>0</v>
      </c>
      <c r="I378">
        <f>SUMPRODUCT((MONTH(CHOOSE({1,2,3,4},KHP!U378,KHP!AA378,KHP!AG378,KHP!AM378))=9)*(CHOOSE({1,2,3,4},KHP!X378,KHP!AD378,KHP!AJ378,KHP!AP378)))</f>
        <v>0</v>
      </c>
      <c r="J378">
        <f>SUMPRODUCT((MONTH(CHOOSE({1,2,3,4},KHP!U378,KHP!AA378,KHP!AG378,KHP!AM378))=10)*(CHOOSE({1,2,3,4},KHP!X378,KHP!AD378,KHP!AJ378,KHP!AP378)))</f>
        <v>0</v>
      </c>
      <c r="K378">
        <f>SUMPRODUCT((MONTH(CHOOSE({1,2,3,4},KHP!U378,KHP!AA378,KHP!AG378,KHP!AM378))=11)*(CHOOSE({1,2,3,4},KHP!X378,KHP!AD378,KHP!AJ378,KHP!AP378)))</f>
        <v>0</v>
      </c>
      <c r="L378">
        <f>SUMPRODUCT((MONTH(CHOOSE({1,2,3,4},KHP!U378,KHP!AA378,KHP!AG378,KHP!AM378))=12)*(CHOOSE({1,2,3,4},KHP!X378,KHP!AD378,KHP!AJ378,KHP!AP378)))</f>
        <v>0</v>
      </c>
    </row>
    <row r="379" spans="1:12">
      <c r="A379">
        <f>SUMPRODUCT((MONTH(CHOOSE({1,2,3,4},KHP!U379,KHP!AA379,KHP!AG379,KHP!AM379))=1)*(CHOOSE({1,2,3,4},KHP!X379,KHP!AD379,KHP!AJ379,KHP!AP379)))</f>
        <v>0</v>
      </c>
      <c r="B379">
        <f>SUMPRODUCT((MONTH(CHOOSE({1,2,3,4},KHP!U379,KHP!AA379,KHP!AG379,KHP!AM379))=2)*(CHOOSE({1,2,3,4},KHP!X379,KHP!AD379,KHP!AJ379,KHP!AP379)))</f>
        <v>0</v>
      </c>
      <c r="C379">
        <f>SUMPRODUCT((MONTH(CHOOSE({1,2,3,4},KHP!U379,KHP!AA379,KHP!AG379,KHP!AM379))=3)*(CHOOSE({1,2,3,4},KHP!X379,KHP!AD379,KHP!AJ379,KHP!AP379)))</f>
        <v>0</v>
      </c>
      <c r="D379">
        <f>SUMPRODUCT((MONTH(CHOOSE({1,2,3,4},KHP!U379,KHP!AA379,KHP!AG379,KHP!AM379))=4)*(CHOOSE({1,2,3,4},KHP!X379,KHP!AD379,KHP!AJ379,KHP!AP379)))</f>
        <v>0</v>
      </c>
      <c r="E379">
        <f>SUMPRODUCT((MONTH(CHOOSE({1,2,3,4},KHP!U379,KHP!AA379,KHP!AG379,KHP!AM379))=5)*(CHOOSE({1,2,3,4},KHP!X379,KHP!AD379,KHP!AJ379,KHP!AP379)))</f>
        <v>0</v>
      </c>
      <c r="F379">
        <f>SUMPRODUCT((MONTH(CHOOSE({1,2,3,4},KHP!U379,KHP!AA379,KHP!AG379,KHP!AM379))=6)*(CHOOSE({1,2,3,4},KHP!X379,KHP!AD379,KHP!AJ379,KHP!AP379)))</f>
        <v>0</v>
      </c>
      <c r="G379">
        <f>SUMPRODUCT((MONTH(CHOOSE({1,2,3,4},KHP!U379,KHP!AA379,KHP!AG379,KHP!AM379))=7)*(CHOOSE({1,2,3,4},KHP!X379,KHP!AD379,KHP!AJ379,KHP!AP379)))</f>
        <v>0</v>
      </c>
      <c r="H379">
        <f>SUMPRODUCT((MONTH(CHOOSE({1,2,3,4},KHP!U379,KHP!AA379,KHP!AG379,KHP!AM379))=8)*(CHOOSE({1,2,3,4},KHP!X379,KHP!AD379,KHP!AJ379,KHP!AP379)))</f>
        <v>0</v>
      </c>
      <c r="I379">
        <f>SUMPRODUCT((MONTH(CHOOSE({1,2,3,4},KHP!U379,KHP!AA379,KHP!AG379,KHP!AM379))=9)*(CHOOSE({1,2,3,4},KHP!X379,KHP!AD379,KHP!AJ379,KHP!AP379)))</f>
        <v>0</v>
      </c>
      <c r="J379">
        <f>SUMPRODUCT((MONTH(CHOOSE({1,2,3,4},KHP!U379,KHP!AA379,KHP!AG379,KHP!AM379))=10)*(CHOOSE({1,2,3,4},KHP!X379,KHP!AD379,KHP!AJ379,KHP!AP379)))</f>
        <v>0</v>
      </c>
      <c r="K379">
        <f>SUMPRODUCT((MONTH(CHOOSE({1,2,3,4},KHP!U379,KHP!AA379,KHP!AG379,KHP!AM379))=11)*(CHOOSE({1,2,3,4},KHP!X379,KHP!AD379,KHP!AJ379,KHP!AP379)))</f>
        <v>0</v>
      </c>
      <c r="L379">
        <f>SUMPRODUCT((MONTH(CHOOSE({1,2,3,4},KHP!U379,KHP!AA379,KHP!AG379,KHP!AM379))=12)*(CHOOSE({1,2,3,4},KHP!X379,KHP!AD379,KHP!AJ379,KHP!AP379)))</f>
        <v>0</v>
      </c>
    </row>
    <row r="380" spans="1:12">
      <c r="A380">
        <f>SUMPRODUCT((MONTH(CHOOSE({1,2,3,4},KHP!U380,KHP!AA380,KHP!AG380,KHP!AM380))=1)*(CHOOSE({1,2,3,4},KHP!X380,KHP!AD380,KHP!AJ380,KHP!AP380)))</f>
        <v>0</v>
      </c>
      <c r="B380">
        <f>SUMPRODUCT((MONTH(CHOOSE({1,2,3,4},KHP!U380,KHP!AA380,KHP!AG380,KHP!AM380))=2)*(CHOOSE({1,2,3,4},KHP!X380,KHP!AD380,KHP!AJ380,KHP!AP380)))</f>
        <v>0</v>
      </c>
      <c r="C380">
        <f>SUMPRODUCT((MONTH(CHOOSE({1,2,3,4},KHP!U380,KHP!AA380,KHP!AG380,KHP!AM380))=3)*(CHOOSE({1,2,3,4},KHP!X380,KHP!AD380,KHP!AJ380,KHP!AP380)))</f>
        <v>0</v>
      </c>
      <c r="D380">
        <f>SUMPRODUCT((MONTH(CHOOSE({1,2,3,4},KHP!U380,KHP!AA380,KHP!AG380,KHP!AM380))=4)*(CHOOSE({1,2,3,4},KHP!X380,KHP!AD380,KHP!AJ380,KHP!AP380)))</f>
        <v>0</v>
      </c>
      <c r="E380">
        <f>SUMPRODUCT((MONTH(CHOOSE({1,2,3,4},KHP!U380,KHP!AA380,KHP!AG380,KHP!AM380))=5)*(CHOOSE({1,2,3,4},KHP!X380,KHP!AD380,KHP!AJ380,KHP!AP380)))</f>
        <v>0</v>
      </c>
      <c r="F380">
        <f>SUMPRODUCT((MONTH(CHOOSE({1,2,3,4},KHP!U380,KHP!AA380,KHP!AG380,KHP!AM380))=6)*(CHOOSE({1,2,3,4},KHP!X380,KHP!AD380,KHP!AJ380,KHP!AP380)))</f>
        <v>0</v>
      </c>
      <c r="G380">
        <f>SUMPRODUCT((MONTH(CHOOSE({1,2,3,4},KHP!U380,KHP!AA380,KHP!AG380,KHP!AM380))=7)*(CHOOSE({1,2,3,4},KHP!X380,KHP!AD380,KHP!AJ380,KHP!AP380)))</f>
        <v>0</v>
      </c>
      <c r="H380">
        <f>SUMPRODUCT((MONTH(CHOOSE({1,2,3,4},KHP!U380,KHP!AA380,KHP!AG380,KHP!AM380))=8)*(CHOOSE({1,2,3,4},KHP!X380,KHP!AD380,KHP!AJ380,KHP!AP380)))</f>
        <v>0</v>
      </c>
      <c r="I380">
        <f>SUMPRODUCT((MONTH(CHOOSE({1,2,3,4},KHP!U380,KHP!AA380,KHP!AG380,KHP!AM380))=9)*(CHOOSE({1,2,3,4},KHP!X380,KHP!AD380,KHP!AJ380,KHP!AP380)))</f>
        <v>0</v>
      </c>
      <c r="J380">
        <f>SUMPRODUCT((MONTH(CHOOSE({1,2,3,4},KHP!U380,KHP!AA380,KHP!AG380,KHP!AM380))=10)*(CHOOSE({1,2,3,4},KHP!X380,KHP!AD380,KHP!AJ380,KHP!AP380)))</f>
        <v>0</v>
      </c>
      <c r="K380">
        <f>SUMPRODUCT((MONTH(CHOOSE({1,2,3,4},KHP!U380,KHP!AA380,KHP!AG380,KHP!AM380))=11)*(CHOOSE({1,2,3,4},KHP!X380,KHP!AD380,KHP!AJ380,KHP!AP380)))</f>
        <v>0</v>
      </c>
      <c r="L380">
        <f>SUMPRODUCT((MONTH(CHOOSE({1,2,3,4},KHP!U380,KHP!AA380,KHP!AG380,KHP!AM380))=12)*(CHOOSE({1,2,3,4},KHP!X380,KHP!AD380,KHP!AJ380,KHP!AP380)))</f>
        <v>0</v>
      </c>
    </row>
    <row r="381" spans="1:12">
      <c r="A381">
        <f>SUMPRODUCT((MONTH(CHOOSE({1,2,3,4},KHP!U381,KHP!AA381,KHP!AG381,KHP!AM381))=1)*(CHOOSE({1,2,3,4},KHP!X381,KHP!AD381,KHP!AJ381,KHP!AP381)))</f>
        <v>0</v>
      </c>
      <c r="B381">
        <f>SUMPRODUCT((MONTH(CHOOSE({1,2,3,4},KHP!U381,KHP!AA381,KHP!AG381,KHP!AM381))=2)*(CHOOSE({1,2,3,4},KHP!X381,KHP!AD381,KHP!AJ381,KHP!AP381)))</f>
        <v>0</v>
      </c>
      <c r="C381">
        <f>SUMPRODUCT((MONTH(CHOOSE({1,2,3,4},KHP!U381,KHP!AA381,KHP!AG381,KHP!AM381))=3)*(CHOOSE({1,2,3,4},KHP!X381,KHP!AD381,KHP!AJ381,KHP!AP381)))</f>
        <v>0</v>
      </c>
      <c r="D381">
        <f>SUMPRODUCT((MONTH(CHOOSE({1,2,3,4},KHP!U381,KHP!AA381,KHP!AG381,KHP!AM381))=4)*(CHOOSE({1,2,3,4},KHP!X381,KHP!AD381,KHP!AJ381,KHP!AP381)))</f>
        <v>0</v>
      </c>
      <c r="E381">
        <f>SUMPRODUCT((MONTH(CHOOSE({1,2,3,4},KHP!U381,KHP!AA381,KHP!AG381,KHP!AM381))=5)*(CHOOSE({1,2,3,4},KHP!X381,KHP!AD381,KHP!AJ381,KHP!AP381)))</f>
        <v>0</v>
      </c>
      <c r="F381">
        <f>SUMPRODUCT((MONTH(CHOOSE({1,2,3,4},KHP!U381,KHP!AA381,KHP!AG381,KHP!AM381))=6)*(CHOOSE({1,2,3,4},KHP!X381,KHP!AD381,KHP!AJ381,KHP!AP381)))</f>
        <v>0</v>
      </c>
      <c r="G381">
        <f>SUMPRODUCT((MONTH(CHOOSE({1,2,3,4},KHP!U381,KHP!AA381,KHP!AG381,KHP!AM381))=7)*(CHOOSE({1,2,3,4},KHP!X381,KHP!AD381,KHP!AJ381,KHP!AP381)))</f>
        <v>0</v>
      </c>
      <c r="H381">
        <f>SUMPRODUCT((MONTH(CHOOSE({1,2,3,4},KHP!U381,KHP!AA381,KHP!AG381,KHP!AM381))=8)*(CHOOSE({1,2,3,4},KHP!X381,KHP!AD381,KHP!AJ381,KHP!AP381)))</f>
        <v>0</v>
      </c>
      <c r="I381">
        <f>SUMPRODUCT((MONTH(CHOOSE({1,2,3,4},KHP!U381,KHP!AA381,KHP!AG381,KHP!AM381))=9)*(CHOOSE({1,2,3,4},KHP!X381,KHP!AD381,KHP!AJ381,KHP!AP381)))</f>
        <v>0</v>
      </c>
      <c r="J381">
        <f>SUMPRODUCT((MONTH(CHOOSE({1,2,3,4},KHP!U381,KHP!AA381,KHP!AG381,KHP!AM381))=10)*(CHOOSE({1,2,3,4},KHP!X381,KHP!AD381,KHP!AJ381,KHP!AP381)))</f>
        <v>0</v>
      </c>
      <c r="K381">
        <f>SUMPRODUCT((MONTH(CHOOSE({1,2,3,4},KHP!U381,KHP!AA381,KHP!AG381,KHP!AM381))=11)*(CHOOSE({1,2,3,4},KHP!X381,KHP!AD381,KHP!AJ381,KHP!AP381)))</f>
        <v>0</v>
      </c>
      <c r="L381">
        <f>SUMPRODUCT((MONTH(CHOOSE({1,2,3,4},KHP!U381,KHP!AA381,KHP!AG381,KHP!AM381))=12)*(CHOOSE({1,2,3,4},KHP!X381,KHP!AD381,KHP!AJ381,KHP!AP381)))</f>
        <v>0</v>
      </c>
    </row>
    <row r="382" spans="1:12">
      <c r="A382">
        <f>SUMPRODUCT((MONTH(CHOOSE({1,2,3,4},KHP!U382,KHP!AA382,KHP!AG382,KHP!AM382))=1)*(CHOOSE({1,2,3,4},KHP!X382,KHP!AD382,KHP!AJ382,KHP!AP382)))</f>
        <v>0</v>
      </c>
      <c r="B382">
        <f>SUMPRODUCT((MONTH(CHOOSE({1,2,3,4},KHP!U382,KHP!AA382,KHP!AG382,KHP!AM382))=2)*(CHOOSE({1,2,3,4},KHP!X382,KHP!AD382,KHP!AJ382,KHP!AP382)))</f>
        <v>0</v>
      </c>
      <c r="C382">
        <f>SUMPRODUCT((MONTH(CHOOSE({1,2,3,4},KHP!U382,KHP!AA382,KHP!AG382,KHP!AM382))=3)*(CHOOSE({1,2,3,4},KHP!X382,KHP!AD382,KHP!AJ382,KHP!AP382)))</f>
        <v>0</v>
      </c>
      <c r="D382">
        <f>SUMPRODUCT((MONTH(CHOOSE({1,2,3,4},KHP!U382,KHP!AA382,KHP!AG382,KHP!AM382))=4)*(CHOOSE({1,2,3,4},KHP!X382,KHP!AD382,KHP!AJ382,KHP!AP382)))</f>
        <v>0</v>
      </c>
      <c r="E382">
        <f>SUMPRODUCT((MONTH(CHOOSE({1,2,3,4},KHP!U382,KHP!AA382,KHP!AG382,KHP!AM382))=5)*(CHOOSE({1,2,3,4},KHP!X382,KHP!AD382,KHP!AJ382,KHP!AP382)))</f>
        <v>0</v>
      </c>
      <c r="F382">
        <f>SUMPRODUCT((MONTH(CHOOSE({1,2,3,4},KHP!U382,KHP!AA382,KHP!AG382,KHP!AM382))=6)*(CHOOSE({1,2,3,4},KHP!X382,KHP!AD382,KHP!AJ382,KHP!AP382)))</f>
        <v>0</v>
      </c>
      <c r="G382">
        <f>SUMPRODUCT((MONTH(CHOOSE({1,2,3,4},KHP!U382,KHP!AA382,KHP!AG382,KHP!AM382))=7)*(CHOOSE({1,2,3,4},KHP!X382,KHP!AD382,KHP!AJ382,KHP!AP382)))</f>
        <v>0</v>
      </c>
      <c r="H382">
        <f>SUMPRODUCT((MONTH(CHOOSE({1,2,3,4},KHP!U382,KHP!AA382,KHP!AG382,KHP!AM382))=8)*(CHOOSE({1,2,3,4},KHP!X382,KHP!AD382,KHP!AJ382,KHP!AP382)))</f>
        <v>0</v>
      </c>
      <c r="I382">
        <f>SUMPRODUCT((MONTH(CHOOSE({1,2,3,4},KHP!U382,KHP!AA382,KHP!AG382,KHP!AM382))=9)*(CHOOSE({1,2,3,4},KHP!X382,KHP!AD382,KHP!AJ382,KHP!AP382)))</f>
        <v>0</v>
      </c>
      <c r="J382">
        <f>SUMPRODUCT((MONTH(CHOOSE({1,2,3,4},KHP!U382,KHP!AA382,KHP!AG382,KHP!AM382))=10)*(CHOOSE({1,2,3,4},KHP!X382,KHP!AD382,KHP!AJ382,KHP!AP382)))</f>
        <v>0</v>
      </c>
      <c r="K382">
        <f>SUMPRODUCT((MONTH(CHOOSE({1,2,3,4},KHP!U382,KHP!AA382,KHP!AG382,KHP!AM382))=11)*(CHOOSE({1,2,3,4},KHP!X382,KHP!AD382,KHP!AJ382,KHP!AP382)))</f>
        <v>0</v>
      </c>
      <c r="L382">
        <f>SUMPRODUCT((MONTH(CHOOSE({1,2,3,4},KHP!U382,KHP!AA382,KHP!AG382,KHP!AM382))=12)*(CHOOSE({1,2,3,4},KHP!X382,KHP!AD382,KHP!AJ382,KHP!AP382)))</f>
        <v>0</v>
      </c>
    </row>
    <row r="383" spans="1:12">
      <c r="A383">
        <f>SUMPRODUCT((MONTH(CHOOSE({1,2,3,4},KHP!U383,KHP!AA383,KHP!AG383,KHP!AM383))=1)*(CHOOSE({1,2,3,4},KHP!X383,KHP!AD383,KHP!AJ383,KHP!AP383)))</f>
        <v>0</v>
      </c>
      <c r="B383">
        <f>SUMPRODUCT((MONTH(CHOOSE({1,2,3,4},KHP!U383,KHP!AA383,KHP!AG383,KHP!AM383))=2)*(CHOOSE({1,2,3,4},KHP!X383,KHP!AD383,KHP!AJ383,KHP!AP383)))</f>
        <v>0</v>
      </c>
      <c r="C383">
        <f>SUMPRODUCT((MONTH(CHOOSE({1,2,3,4},KHP!U383,KHP!AA383,KHP!AG383,KHP!AM383))=3)*(CHOOSE({1,2,3,4},KHP!X383,KHP!AD383,KHP!AJ383,KHP!AP383)))</f>
        <v>0</v>
      </c>
      <c r="D383">
        <f>SUMPRODUCT((MONTH(CHOOSE({1,2,3,4},KHP!U383,KHP!AA383,KHP!AG383,KHP!AM383))=4)*(CHOOSE({1,2,3,4},KHP!X383,KHP!AD383,KHP!AJ383,KHP!AP383)))</f>
        <v>0</v>
      </c>
      <c r="E383">
        <f>SUMPRODUCT((MONTH(CHOOSE({1,2,3,4},KHP!U383,KHP!AA383,KHP!AG383,KHP!AM383))=5)*(CHOOSE({1,2,3,4},KHP!X383,KHP!AD383,KHP!AJ383,KHP!AP383)))</f>
        <v>0</v>
      </c>
      <c r="F383">
        <f>SUMPRODUCT((MONTH(CHOOSE({1,2,3,4},KHP!U383,KHP!AA383,KHP!AG383,KHP!AM383))=6)*(CHOOSE({1,2,3,4},KHP!X383,KHP!AD383,KHP!AJ383,KHP!AP383)))</f>
        <v>0</v>
      </c>
      <c r="G383">
        <f>SUMPRODUCT((MONTH(CHOOSE({1,2,3,4},KHP!U383,KHP!AA383,KHP!AG383,KHP!AM383))=7)*(CHOOSE({1,2,3,4},KHP!X383,KHP!AD383,KHP!AJ383,KHP!AP383)))</f>
        <v>0</v>
      </c>
      <c r="H383">
        <f>SUMPRODUCT((MONTH(CHOOSE({1,2,3,4},KHP!U383,KHP!AA383,KHP!AG383,KHP!AM383))=8)*(CHOOSE({1,2,3,4},KHP!X383,KHP!AD383,KHP!AJ383,KHP!AP383)))</f>
        <v>0</v>
      </c>
      <c r="I383">
        <f>SUMPRODUCT((MONTH(CHOOSE({1,2,3,4},KHP!U383,KHP!AA383,KHP!AG383,KHP!AM383))=9)*(CHOOSE({1,2,3,4},KHP!X383,KHP!AD383,KHP!AJ383,KHP!AP383)))</f>
        <v>0</v>
      </c>
      <c r="J383">
        <f>SUMPRODUCT((MONTH(CHOOSE({1,2,3,4},KHP!U383,KHP!AA383,KHP!AG383,KHP!AM383))=10)*(CHOOSE({1,2,3,4},KHP!X383,KHP!AD383,KHP!AJ383,KHP!AP383)))</f>
        <v>0</v>
      </c>
      <c r="K383">
        <f>SUMPRODUCT((MONTH(CHOOSE({1,2,3,4},KHP!U383,KHP!AA383,KHP!AG383,KHP!AM383))=11)*(CHOOSE({1,2,3,4},KHP!X383,KHP!AD383,KHP!AJ383,KHP!AP383)))</f>
        <v>0</v>
      </c>
      <c r="L383">
        <f>SUMPRODUCT((MONTH(CHOOSE({1,2,3,4},KHP!U383,KHP!AA383,KHP!AG383,KHP!AM383))=12)*(CHOOSE({1,2,3,4},KHP!X383,KHP!AD383,KHP!AJ383,KHP!AP383)))</f>
        <v>0</v>
      </c>
    </row>
    <row r="384" spans="1:12">
      <c r="A384">
        <f>SUMPRODUCT((MONTH(CHOOSE({1,2,3,4},KHP!U384,KHP!AA384,KHP!AG384,KHP!AM384))=1)*(CHOOSE({1,2,3,4},KHP!X384,KHP!AD384,KHP!AJ384,KHP!AP384)))</f>
        <v>0</v>
      </c>
      <c r="B384">
        <f>SUMPRODUCT((MONTH(CHOOSE({1,2,3,4},KHP!U384,KHP!AA384,KHP!AG384,KHP!AM384))=2)*(CHOOSE({1,2,3,4},KHP!X384,KHP!AD384,KHP!AJ384,KHP!AP384)))</f>
        <v>0</v>
      </c>
      <c r="C384">
        <f>SUMPRODUCT((MONTH(CHOOSE({1,2,3,4},KHP!U384,KHP!AA384,KHP!AG384,KHP!AM384))=3)*(CHOOSE({1,2,3,4},KHP!X384,KHP!AD384,KHP!AJ384,KHP!AP384)))</f>
        <v>0</v>
      </c>
      <c r="D384">
        <f>SUMPRODUCT((MONTH(CHOOSE({1,2,3,4},KHP!U384,KHP!AA384,KHP!AG384,KHP!AM384))=4)*(CHOOSE({1,2,3,4},KHP!X384,KHP!AD384,KHP!AJ384,KHP!AP384)))</f>
        <v>0</v>
      </c>
      <c r="E384">
        <f>SUMPRODUCT((MONTH(CHOOSE({1,2,3,4},KHP!U384,KHP!AA384,KHP!AG384,KHP!AM384))=5)*(CHOOSE({1,2,3,4},KHP!X384,KHP!AD384,KHP!AJ384,KHP!AP384)))</f>
        <v>0</v>
      </c>
      <c r="F384">
        <f>SUMPRODUCT((MONTH(CHOOSE({1,2,3,4},KHP!U384,KHP!AA384,KHP!AG384,KHP!AM384))=6)*(CHOOSE({1,2,3,4},KHP!X384,KHP!AD384,KHP!AJ384,KHP!AP384)))</f>
        <v>0</v>
      </c>
      <c r="G384">
        <f>SUMPRODUCT((MONTH(CHOOSE({1,2,3,4},KHP!U384,KHP!AA384,KHP!AG384,KHP!AM384))=7)*(CHOOSE({1,2,3,4},KHP!X384,KHP!AD384,KHP!AJ384,KHP!AP384)))</f>
        <v>0</v>
      </c>
      <c r="H384">
        <f>SUMPRODUCT((MONTH(CHOOSE({1,2,3,4},KHP!U384,KHP!AA384,KHP!AG384,KHP!AM384))=8)*(CHOOSE({1,2,3,4},KHP!X384,KHP!AD384,KHP!AJ384,KHP!AP384)))</f>
        <v>0</v>
      </c>
      <c r="I384">
        <f>SUMPRODUCT((MONTH(CHOOSE({1,2,3,4},KHP!U384,KHP!AA384,KHP!AG384,KHP!AM384))=9)*(CHOOSE({1,2,3,4},KHP!X384,KHP!AD384,KHP!AJ384,KHP!AP384)))</f>
        <v>0</v>
      </c>
      <c r="J384">
        <f>SUMPRODUCT((MONTH(CHOOSE({1,2,3,4},KHP!U384,KHP!AA384,KHP!AG384,KHP!AM384))=10)*(CHOOSE({1,2,3,4},KHP!X384,KHP!AD384,KHP!AJ384,KHP!AP384)))</f>
        <v>0</v>
      </c>
      <c r="K384">
        <f>SUMPRODUCT((MONTH(CHOOSE({1,2,3,4},KHP!U384,KHP!AA384,KHP!AG384,KHP!AM384))=11)*(CHOOSE({1,2,3,4},KHP!X384,KHP!AD384,KHP!AJ384,KHP!AP384)))</f>
        <v>0</v>
      </c>
      <c r="L384">
        <f>SUMPRODUCT((MONTH(CHOOSE({1,2,3,4},KHP!U384,KHP!AA384,KHP!AG384,KHP!AM384))=12)*(CHOOSE({1,2,3,4},KHP!X384,KHP!AD384,KHP!AJ384,KHP!AP384)))</f>
        <v>0</v>
      </c>
    </row>
    <row r="385" spans="1:12">
      <c r="A385">
        <f>SUMPRODUCT((MONTH(CHOOSE({1,2,3,4},KHP!U385,KHP!AA385,KHP!AG385,KHP!AM385))=1)*(CHOOSE({1,2,3,4},KHP!X385,KHP!AD385,KHP!AJ385,KHP!AP385)))</f>
        <v>0</v>
      </c>
      <c r="B385">
        <f>SUMPRODUCT((MONTH(CHOOSE({1,2,3,4},KHP!U385,KHP!AA385,KHP!AG385,KHP!AM385))=2)*(CHOOSE({1,2,3,4},KHP!X385,KHP!AD385,KHP!AJ385,KHP!AP385)))</f>
        <v>0</v>
      </c>
      <c r="C385">
        <f>SUMPRODUCT((MONTH(CHOOSE({1,2,3,4},KHP!U385,KHP!AA385,KHP!AG385,KHP!AM385))=3)*(CHOOSE({1,2,3,4},KHP!X385,KHP!AD385,KHP!AJ385,KHP!AP385)))</f>
        <v>0</v>
      </c>
      <c r="D385">
        <f>SUMPRODUCT((MONTH(CHOOSE({1,2,3,4},KHP!U385,KHP!AA385,KHP!AG385,KHP!AM385))=4)*(CHOOSE({1,2,3,4},KHP!X385,KHP!AD385,KHP!AJ385,KHP!AP385)))</f>
        <v>0</v>
      </c>
      <c r="E385">
        <f>SUMPRODUCT((MONTH(CHOOSE({1,2,3,4},KHP!U385,KHP!AA385,KHP!AG385,KHP!AM385))=5)*(CHOOSE({1,2,3,4},KHP!X385,KHP!AD385,KHP!AJ385,KHP!AP385)))</f>
        <v>0</v>
      </c>
      <c r="F385">
        <f>SUMPRODUCT((MONTH(CHOOSE({1,2,3,4},KHP!U385,KHP!AA385,KHP!AG385,KHP!AM385))=6)*(CHOOSE({1,2,3,4},KHP!X385,KHP!AD385,KHP!AJ385,KHP!AP385)))</f>
        <v>0</v>
      </c>
      <c r="G385">
        <f>SUMPRODUCT((MONTH(CHOOSE({1,2,3,4},KHP!U385,KHP!AA385,KHP!AG385,KHP!AM385))=7)*(CHOOSE({1,2,3,4},KHP!X385,KHP!AD385,KHP!AJ385,KHP!AP385)))</f>
        <v>0</v>
      </c>
      <c r="H385">
        <f>SUMPRODUCT((MONTH(CHOOSE({1,2,3,4},KHP!U385,KHP!AA385,KHP!AG385,KHP!AM385))=8)*(CHOOSE({1,2,3,4},KHP!X385,KHP!AD385,KHP!AJ385,KHP!AP385)))</f>
        <v>0</v>
      </c>
      <c r="I385">
        <f>SUMPRODUCT((MONTH(CHOOSE({1,2,3,4},KHP!U385,KHP!AA385,KHP!AG385,KHP!AM385))=9)*(CHOOSE({1,2,3,4},KHP!X385,KHP!AD385,KHP!AJ385,KHP!AP385)))</f>
        <v>0</v>
      </c>
      <c r="J385">
        <f>SUMPRODUCT((MONTH(CHOOSE({1,2,3,4},KHP!U385,KHP!AA385,KHP!AG385,KHP!AM385))=10)*(CHOOSE({1,2,3,4},KHP!X385,KHP!AD385,KHP!AJ385,KHP!AP385)))</f>
        <v>0</v>
      </c>
      <c r="K385">
        <f>SUMPRODUCT((MONTH(CHOOSE({1,2,3,4},KHP!U385,KHP!AA385,KHP!AG385,KHP!AM385))=11)*(CHOOSE({1,2,3,4},KHP!X385,KHP!AD385,KHP!AJ385,KHP!AP385)))</f>
        <v>0</v>
      </c>
      <c r="L385">
        <f>SUMPRODUCT((MONTH(CHOOSE({1,2,3,4},KHP!U385,KHP!AA385,KHP!AG385,KHP!AM385))=12)*(CHOOSE({1,2,3,4},KHP!X385,KHP!AD385,KHP!AJ385,KHP!AP385)))</f>
        <v>0</v>
      </c>
    </row>
    <row r="386" spans="1:12">
      <c r="A386">
        <f>SUMPRODUCT((MONTH(CHOOSE({1,2,3,4},KHP!U386,KHP!AA386,KHP!AG386,KHP!AM386))=1)*(CHOOSE({1,2,3,4},KHP!X386,KHP!AD386,KHP!AJ386,KHP!AP386)))</f>
        <v>0</v>
      </c>
      <c r="B386">
        <f>SUMPRODUCT((MONTH(CHOOSE({1,2,3,4},KHP!U386,KHP!AA386,KHP!AG386,KHP!AM386))=2)*(CHOOSE({1,2,3,4},KHP!X386,KHP!AD386,KHP!AJ386,KHP!AP386)))</f>
        <v>0</v>
      </c>
      <c r="C386">
        <f>SUMPRODUCT((MONTH(CHOOSE({1,2,3,4},KHP!U386,KHP!AA386,KHP!AG386,KHP!AM386))=3)*(CHOOSE({1,2,3,4},KHP!X386,KHP!AD386,KHP!AJ386,KHP!AP386)))</f>
        <v>0</v>
      </c>
      <c r="D386">
        <f>SUMPRODUCT((MONTH(CHOOSE({1,2,3,4},KHP!U386,KHP!AA386,KHP!AG386,KHP!AM386))=4)*(CHOOSE({1,2,3,4},KHP!X386,KHP!AD386,KHP!AJ386,KHP!AP386)))</f>
        <v>0</v>
      </c>
      <c r="E386">
        <f>SUMPRODUCT((MONTH(CHOOSE({1,2,3,4},KHP!U386,KHP!AA386,KHP!AG386,KHP!AM386))=5)*(CHOOSE({1,2,3,4},KHP!X386,KHP!AD386,KHP!AJ386,KHP!AP386)))</f>
        <v>0</v>
      </c>
      <c r="F386">
        <f>SUMPRODUCT((MONTH(CHOOSE({1,2,3,4},KHP!U386,KHP!AA386,KHP!AG386,KHP!AM386))=6)*(CHOOSE({1,2,3,4},KHP!X386,KHP!AD386,KHP!AJ386,KHP!AP386)))</f>
        <v>0</v>
      </c>
      <c r="G386">
        <f>SUMPRODUCT((MONTH(CHOOSE({1,2,3,4},KHP!U386,KHP!AA386,KHP!AG386,KHP!AM386))=7)*(CHOOSE({1,2,3,4},KHP!X386,KHP!AD386,KHP!AJ386,KHP!AP386)))</f>
        <v>0</v>
      </c>
      <c r="H386">
        <f>SUMPRODUCT((MONTH(CHOOSE({1,2,3,4},KHP!U386,KHP!AA386,KHP!AG386,KHP!AM386))=8)*(CHOOSE({1,2,3,4},KHP!X386,KHP!AD386,KHP!AJ386,KHP!AP386)))</f>
        <v>0</v>
      </c>
      <c r="I386">
        <f>SUMPRODUCT((MONTH(CHOOSE({1,2,3,4},KHP!U386,KHP!AA386,KHP!AG386,KHP!AM386))=9)*(CHOOSE({1,2,3,4},KHP!X386,KHP!AD386,KHP!AJ386,KHP!AP386)))</f>
        <v>0</v>
      </c>
      <c r="J386">
        <f>SUMPRODUCT((MONTH(CHOOSE({1,2,3,4},KHP!U386,KHP!AA386,KHP!AG386,KHP!AM386))=10)*(CHOOSE({1,2,3,4},KHP!X386,KHP!AD386,KHP!AJ386,KHP!AP386)))</f>
        <v>0</v>
      </c>
      <c r="K386">
        <f>SUMPRODUCT((MONTH(CHOOSE({1,2,3,4},KHP!U386,KHP!AA386,KHP!AG386,KHP!AM386))=11)*(CHOOSE({1,2,3,4},KHP!X386,KHP!AD386,KHP!AJ386,KHP!AP386)))</f>
        <v>0</v>
      </c>
      <c r="L386">
        <f>SUMPRODUCT((MONTH(CHOOSE({1,2,3,4},KHP!U386,KHP!AA386,KHP!AG386,KHP!AM386))=12)*(CHOOSE({1,2,3,4},KHP!X386,KHP!AD386,KHP!AJ386,KHP!AP386)))</f>
        <v>0</v>
      </c>
    </row>
    <row r="387" spans="1:12">
      <c r="A387">
        <f>SUMPRODUCT((MONTH(CHOOSE({1,2,3,4},KHP!U387,KHP!AA387,KHP!AG387,KHP!AM387))=1)*(CHOOSE({1,2,3,4},KHP!X387,KHP!AD387,KHP!AJ387,KHP!AP387)))</f>
        <v>0</v>
      </c>
      <c r="B387">
        <f>SUMPRODUCT((MONTH(CHOOSE({1,2,3,4},KHP!U387,KHP!AA387,KHP!AG387,KHP!AM387))=2)*(CHOOSE({1,2,3,4},KHP!X387,KHP!AD387,KHP!AJ387,KHP!AP387)))</f>
        <v>0</v>
      </c>
      <c r="C387">
        <f>SUMPRODUCT((MONTH(CHOOSE({1,2,3,4},KHP!U387,KHP!AA387,KHP!AG387,KHP!AM387))=3)*(CHOOSE({1,2,3,4},KHP!X387,KHP!AD387,KHP!AJ387,KHP!AP387)))</f>
        <v>0</v>
      </c>
      <c r="D387">
        <f>SUMPRODUCT((MONTH(CHOOSE({1,2,3,4},KHP!U387,KHP!AA387,KHP!AG387,KHP!AM387))=4)*(CHOOSE({1,2,3,4},KHP!X387,KHP!AD387,KHP!AJ387,KHP!AP387)))</f>
        <v>0</v>
      </c>
      <c r="E387">
        <f>SUMPRODUCT((MONTH(CHOOSE({1,2,3,4},KHP!U387,KHP!AA387,KHP!AG387,KHP!AM387))=5)*(CHOOSE({1,2,3,4},KHP!X387,KHP!AD387,KHP!AJ387,KHP!AP387)))</f>
        <v>0</v>
      </c>
      <c r="F387">
        <f>SUMPRODUCT((MONTH(CHOOSE({1,2,3,4},KHP!U387,KHP!AA387,KHP!AG387,KHP!AM387))=6)*(CHOOSE({1,2,3,4},KHP!X387,KHP!AD387,KHP!AJ387,KHP!AP387)))</f>
        <v>0</v>
      </c>
      <c r="G387">
        <f>SUMPRODUCT((MONTH(CHOOSE({1,2,3,4},KHP!U387,KHP!AA387,KHP!AG387,KHP!AM387))=7)*(CHOOSE({1,2,3,4},KHP!X387,KHP!AD387,KHP!AJ387,KHP!AP387)))</f>
        <v>0</v>
      </c>
      <c r="H387">
        <f>SUMPRODUCT((MONTH(CHOOSE({1,2,3,4},KHP!U387,KHP!AA387,KHP!AG387,KHP!AM387))=8)*(CHOOSE({1,2,3,4},KHP!X387,KHP!AD387,KHP!AJ387,KHP!AP387)))</f>
        <v>0</v>
      </c>
      <c r="I387">
        <f>SUMPRODUCT((MONTH(CHOOSE({1,2,3,4},KHP!U387,KHP!AA387,KHP!AG387,KHP!AM387))=9)*(CHOOSE({1,2,3,4},KHP!X387,KHP!AD387,KHP!AJ387,KHP!AP387)))</f>
        <v>0</v>
      </c>
      <c r="J387">
        <f>SUMPRODUCT((MONTH(CHOOSE({1,2,3,4},KHP!U387,KHP!AA387,KHP!AG387,KHP!AM387))=10)*(CHOOSE({1,2,3,4},KHP!X387,KHP!AD387,KHP!AJ387,KHP!AP387)))</f>
        <v>0</v>
      </c>
      <c r="K387">
        <f>SUMPRODUCT((MONTH(CHOOSE({1,2,3,4},KHP!U387,KHP!AA387,KHP!AG387,KHP!AM387))=11)*(CHOOSE({1,2,3,4},KHP!X387,KHP!AD387,KHP!AJ387,KHP!AP387)))</f>
        <v>0</v>
      </c>
      <c r="L387">
        <f>SUMPRODUCT((MONTH(CHOOSE({1,2,3,4},KHP!U387,KHP!AA387,KHP!AG387,KHP!AM387))=12)*(CHOOSE({1,2,3,4},KHP!X387,KHP!AD387,KHP!AJ387,KHP!AP387)))</f>
        <v>0</v>
      </c>
    </row>
    <row r="388" spans="1:12">
      <c r="A388">
        <f>SUMPRODUCT((MONTH(CHOOSE({1,2,3,4},KHP!U388,KHP!AA388,KHP!AG388,KHP!AM388))=1)*(CHOOSE({1,2,3,4},KHP!X388,KHP!AD388,KHP!AJ388,KHP!AP388)))</f>
        <v>0</v>
      </c>
      <c r="B388">
        <f>SUMPRODUCT((MONTH(CHOOSE({1,2,3,4},KHP!U388,KHP!AA388,KHP!AG388,KHP!AM388))=2)*(CHOOSE({1,2,3,4},KHP!X388,KHP!AD388,KHP!AJ388,KHP!AP388)))</f>
        <v>0</v>
      </c>
      <c r="C388">
        <f>SUMPRODUCT((MONTH(CHOOSE({1,2,3,4},KHP!U388,KHP!AA388,KHP!AG388,KHP!AM388))=3)*(CHOOSE({1,2,3,4},KHP!X388,KHP!AD388,KHP!AJ388,KHP!AP388)))</f>
        <v>0</v>
      </c>
      <c r="D388">
        <f>SUMPRODUCT((MONTH(CHOOSE({1,2,3,4},KHP!U388,KHP!AA388,KHP!AG388,KHP!AM388))=4)*(CHOOSE({1,2,3,4},KHP!X388,KHP!AD388,KHP!AJ388,KHP!AP388)))</f>
        <v>0</v>
      </c>
      <c r="E388">
        <f>SUMPRODUCT((MONTH(CHOOSE({1,2,3,4},KHP!U388,KHP!AA388,KHP!AG388,KHP!AM388))=5)*(CHOOSE({1,2,3,4},KHP!X388,KHP!AD388,KHP!AJ388,KHP!AP388)))</f>
        <v>0</v>
      </c>
      <c r="F388">
        <f>SUMPRODUCT((MONTH(CHOOSE({1,2,3,4},KHP!U388,KHP!AA388,KHP!AG388,KHP!AM388))=6)*(CHOOSE({1,2,3,4},KHP!X388,KHP!AD388,KHP!AJ388,KHP!AP388)))</f>
        <v>0</v>
      </c>
      <c r="G388">
        <f>SUMPRODUCT((MONTH(CHOOSE({1,2,3,4},KHP!U388,KHP!AA388,KHP!AG388,KHP!AM388))=7)*(CHOOSE({1,2,3,4},KHP!X388,KHP!AD388,KHP!AJ388,KHP!AP388)))</f>
        <v>0</v>
      </c>
      <c r="H388">
        <f>SUMPRODUCT((MONTH(CHOOSE({1,2,3,4},KHP!U388,KHP!AA388,KHP!AG388,KHP!AM388))=8)*(CHOOSE({1,2,3,4},KHP!X388,KHP!AD388,KHP!AJ388,KHP!AP388)))</f>
        <v>0</v>
      </c>
      <c r="I388">
        <f>SUMPRODUCT((MONTH(CHOOSE({1,2,3,4},KHP!U388,KHP!AA388,KHP!AG388,KHP!AM388))=9)*(CHOOSE({1,2,3,4},KHP!X388,KHP!AD388,KHP!AJ388,KHP!AP388)))</f>
        <v>0</v>
      </c>
      <c r="J388">
        <f>SUMPRODUCT((MONTH(CHOOSE({1,2,3,4},KHP!U388,KHP!AA388,KHP!AG388,KHP!AM388))=10)*(CHOOSE({1,2,3,4},KHP!X388,KHP!AD388,KHP!AJ388,KHP!AP388)))</f>
        <v>0</v>
      </c>
      <c r="K388">
        <f>SUMPRODUCT((MONTH(CHOOSE({1,2,3,4},KHP!U388,KHP!AA388,KHP!AG388,KHP!AM388))=11)*(CHOOSE({1,2,3,4},KHP!X388,KHP!AD388,KHP!AJ388,KHP!AP388)))</f>
        <v>0</v>
      </c>
      <c r="L388">
        <f>SUMPRODUCT((MONTH(CHOOSE({1,2,3,4},KHP!U388,KHP!AA388,KHP!AG388,KHP!AM388))=12)*(CHOOSE({1,2,3,4},KHP!X388,KHP!AD388,KHP!AJ388,KHP!AP388)))</f>
        <v>0</v>
      </c>
    </row>
    <row r="389" spans="1:12">
      <c r="A389">
        <f>SUMPRODUCT((MONTH(CHOOSE({1,2,3,4},KHP!U389,KHP!AA389,KHP!AG389,KHP!AM389))=1)*(CHOOSE({1,2,3,4},KHP!X389,KHP!AD389,KHP!AJ389,KHP!AP389)))</f>
        <v>0</v>
      </c>
      <c r="B389">
        <f>SUMPRODUCT((MONTH(CHOOSE({1,2,3,4},KHP!U389,KHP!AA389,KHP!AG389,KHP!AM389))=2)*(CHOOSE({1,2,3,4},KHP!X389,KHP!AD389,KHP!AJ389,KHP!AP389)))</f>
        <v>0</v>
      </c>
      <c r="C389">
        <f>SUMPRODUCT((MONTH(CHOOSE({1,2,3,4},KHP!U389,KHP!AA389,KHP!AG389,KHP!AM389))=3)*(CHOOSE({1,2,3,4},KHP!X389,KHP!AD389,KHP!AJ389,KHP!AP389)))</f>
        <v>0</v>
      </c>
      <c r="D389">
        <f>SUMPRODUCT((MONTH(CHOOSE({1,2,3,4},KHP!U389,KHP!AA389,KHP!AG389,KHP!AM389))=4)*(CHOOSE({1,2,3,4},KHP!X389,KHP!AD389,KHP!AJ389,KHP!AP389)))</f>
        <v>0</v>
      </c>
      <c r="E389">
        <f>SUMPRODUCT((MONTH(CHOOSE({1,2,3,4},KHP!U389,KHP!AA389,KHP!AG389,KHP!AM389))=5)*(CHOOSE({1,2,3,4},KHP!X389,KHP!AD389,KHP!AJ389,KHP!AP389)))</f>
        <v>0</v>
      </c>
      <c r="F389">
        <f>SUMPRODUCT((MONTH(CHOOSE({1,2,3,4},KHP!U389,KHP!AA389,KHP!AG389,KHP!AM389))=6)*(CHOOSE({1,2,3,4},KHP!X389,KHP!AD389,KHP!AJ389,KHP!AP389)))</f>
        <v>0</v>
      </c>
      <c r="G389">
        <f>SUMPRODUCT((MONTH(CHOOSE({1,2,3,4},KHP!U389,KHP!AA389,KHP!AG389,KHP!AM389))=7)*(CHOOSE({1,2,3,4},KHP!X389,KHP!AD389,KHP!AJ389,KHP!AP389)))</f>
        <v>0</v>
      </c>
      <c r="H389">
        <f>SUMPRODUCT((MONTH(CHOOSE({1,2,3,4},KHP!U389,KHP!AA389,KHP!AG389,KHP!AM389))=8)*(CHOOSE({1,2,3,4},KHP!X389,KHP!AD389,KHP!AJ389,KHP!AP389)))</f>
        <v>0</v>
      </c>
      <c r="I389">
        <f>SUMPRODUCT((MONTH(CHOOSE({1,2,3,4},KHP!U389,KHP!AA389,KHP!AG389,KHP!AM389))=9)*(CHOOSE({1,2,3,4},KHP!X389,KHP!AD389,KHP!AJ389,KHP!AP389)))</f>
        <v>0</v>
      </c>
      <c r="J389">
        <f>SUMPRODUCT((MONTH(CHOOSE({1,2,3,4},KHP!U389,KHP!AA389,KHP!AG389,KHP!AM389))=10)*(CHOOSE({1,2,3,4},KHP!X389,KHP!AD389,KHP!AJ389,KHP!AP389)))</f>
        <v>0</v>
      </c>
      <c r="K389">
        <f>SUMPRODUCT((MONTH(CHOOSE({1,2,3,4},KHP!U389,KHP!AA389,KHP!AG389,KHP!AM389))=11)*(CHOOSE({1,2,3,4},KHP!X389,KHP!AD389,KHP!AJ389,KHP!AP389)))</f>
        <v>0</v>
      </c>
      <c r="L389">
        <f>SUMPRODUCT((MONTH(CHOOSE({1,2,3,4},KHP!U389,KHP!AA389,KHP!AG389,KHP!AM389))=12)*(CHOOSE({1,2,3,4},KHP!X389,KHP!AD389,KHP!AJ389,KHP!AP389)))</f>
        <v>0</v>
      </c>
    </row>
    <row r="390" spans="1:12">
      <c r="A390">
        <f>SUMPRODUCT((MONTH(CHOOSE({1,2,3,4},KHP!U390,KHP!AA390,KHP!AG390,KHP!AM390))=1)*(CHOOSE({1,2,3,4},KHP!X390,KHP!AD390,KHP!AJ390,KHP!AP390)))</f>
        <v>0</v>
      </c>
      <c r="B390">
        <f>SUMPRODUCT((MONTH(CHOOSE({1,2,3,4},KHP!U390,KHP!AA390,KHP!AG390,KHP!AM390))=2)*(CHOOSE({1,2,3,4},KHP!X390,KHP!AD390,KHP!AJ390,KHP!AP390)))</f>
        <v>0</v>
      </c>
      <c r="C390">
        <f>SUMPRODUCT((MONTH(CHOOSE({1,2,3,4},KHP!U390,KHP!AA390,KHP!AG390,KHP!AM390))=3)*(CHOOSE({1,2,3,4},KHP!X390,KHP!AD390,KHP!AJ390,KHP!AP390)))</f>
        <v>0</v>
      </c>
      <c r="D390">
        <f>SUMPRODUCT((MONTH(CHOOSE({1,2,3,4},KHP!U390,KHP!AA390,KHP!AG390,KHP!AM390))=4)*(CHOOSE({1,2,3,4},KHP!X390,KHP!AD390,KHP!AJ390,KHP!AP390)))</f>
        <v>0</v>
      </c>
      <c r="E390">
        <f>SUMPRODUCT((MONTH(CHOOSE({1,2,3,4},KHP!U390,KHP!AA390,KHP!AG390,KHP!AM390))=5)*(CHOOSE({1,2,3,4},KHP!X390,KHP!AD390,KHP!AJ390,KHP!AP390)))</f>
        <v>0</v>
      </c>
      <c r="F390">
        <f>SUMPRODUCT((MONTH(CHOOSE({1,2,3,4},KHP!U390,KHP!AA390,KHP!AG390,KHP!AM390))=6)*(CHOOSE({1,2,3,4},KHP!X390,KHP!AD390,KHP!AJ390,KHP!AP390)))</f>
        <v>0</v>
      </c>
      <c r="G390">
        <f>SUMPRODUCT((MONTH(CHOOSE({1,2,3,4},KHP!U390,KHP!AA390,KHP!AG390,KHP!AM390))=7)*(CHOOSE({1,2,3,4},KHP!X390,KHP!AD390,KHP!AJ390,KHP!AP390)))</f>
        <v>0</v>
      </c>
      <c r="H390">
        <f>SUMPRODUCT((MONTH(CHOOSE({1,2,3,4},KHP!U390,KHP!AA390,KHP!AG390,KHP!AM390))=8)*(CHOOSE({1,2,3,4},KHP!X390,KHP!AD390,KHP!AJ390,KHP!AP390)))</f>
        <v>0</v>
      </c>
      <c r="I390">
        <f>SUMPRODUCT((MONTH(CHOOSE({1,2,3,4},KHP!U390,KHP!AA390,KHP!AG390,KHP!AM390))=9)*(CHOOSE({1,2,3,4},KHP!X390,KHP!AD390,KHP!AJ390,KHP!AP390)))</f>
        <v>0</v>
      </c>
      <c r="J390">
        <f>SUMPRODUCT((MONTH(CHOOSE({1,2,3,4},KHP!U390,KHP!AA390,KHP!AG390,KHP!AM390))=10)*(CHOOSE({1,2,3,4},KHP!X390,KHP!AD390,KHP!AJ390,KHP!AP390)))</f>
        <v>0</v>
      </c>
      <c r="K390">
        <f>SUMPRODUCT((MONTH(CHOOSE({1,2,3,4},KHP!U390,KHP!AA390,KHP!AG390,KHP!AM390))=11)*(CHOOSE({1,2,3,4},KHP!X390,KHP!AD390,KHP!AJ390,KHP!AP390)))</f>
        <v>0</v>
      </c>
      <c r="L390">
        <f>SUMPRODUCT((MONTH(CHOOSE({1,2,3,4},KHP!U390,KHP!AA390,KHP!AG390,KHP!AM390))=12)*(CHOOSE({1,2,3,4},KHP!X390,KHP!AD390,KHP!AJ390,KHP!AP390)))</f>
        <v>0</v>
      </c>
    </row>
    <row r="391" spans="1:12">
      <c r="A391">
        <f>SUMPRODUCT((MONTH(CHOOSE({1,2,3,4},KHP!U391,KHP!AA391,KHP!AG391,KHP!AM391))=1)*(CHOOSE({1,2,3,4},KHP!X391,KHP!AD391,KHP!AJ391,KHP!AP391)))</f>
        <v>0</v>
      </c>
      <c r="B391">
        <f>SUMPRODUCT((MONTH(CHOOSE({1,2,3,4},KHP!U391,KHP!AA391,KHP!AG391,KHP!AM391))=2)*(CHOOSE({1,2,3,4},KHP!X391,KHP!AD391,KHP!AJ391,KHP!AP391)))</f>
        <v>0</v>
      </c>
      <c r="C391">
        <f>SUMPRODUCT((MONTH(CHOOSE({1,2,3,4},KHP!U391,KHP!AA391,KHP!AG391,KHP!AM391))=3)*(CHOOSE({1,2,3,4},KHP!X391,KHP!AD391,KHP!AJ391,KHP!AP391)))</f>
        <v>0</v>
      </c>
      <c r="D391">
        <f>SUMPRODUCT((MONTH(CHOOSE({1,2,3,4},KHP!U391,KHP!AA391,KHP!AG391,KHP!AM391))=4)*(CHOOSE({1,2,3,4},KHP!X391,KHP!AD391,KHP!AJ391,KHP!AP391)))</f>
        <v>0</v>
      </c>
      <c r="E391">
        <f>SUMPRODUCT((MONTH(CHOOSE({1,2,3,4},KHP!U391,KHP!AA391,KHP!AG391,KHP!AM391))=5)*(CHOOSE({1,2,3,4},KHP!X391,KHP!AD391,KHP!AJ391,KHP!AP391)))</f>
        <v>0</v>
      </c>
      <c r="F391">
        <f>SUMPRODUCT((MONTH(CHOOSE({1,2,3,4},KHP!U391,KHP!AA391,KHP!AG391,KHP!AM391))=6)*(CHOOSE({1,2,3,4},KHP!X391,KHP!AD391,KHP!AJ391,KHP!AP391)))</f>
        <v>0</v>
      </c>
      <c r="G391">
        <f>SUMPRODUCT((MONTH(CHOOSE({1,2,3,4},KHP!U391,KHP!AA391,KHP!AG391,KHP!AM391))=7)*(CHOOSE({1,2,3,4},KHP!X391,KHP!AD391,KHP!AJ391,KHP!AP391)))</f>
        <v>0</v>
      </c>
      <c r="H391">
        <f>SUMPRODUCT((MONTH(CHOOSE({1,2,3,4},KHP!U391,KHP!AA391,KHP!AG391,KHP!AM391))=8)*(CHOOSE({1,2,3,4},KHP!X391,KHP!AD391,KHP!AJ391,KHP!AP391)))</f>
        <v>0</v>
      </c>
      <c r="I391">
        <f>SUMPRODUCT((MONTH(CHOOSE({1,2,3,4},KHP!U391,KHP!AA391,KHP!AG391,KHP!AM391))=9)*(CHOOSE({1,2,3,4},KHP!X391,KHP!AD391,KHP!AJ391,KHP!AP391)))</f>
        <v>0</v>
      </c>
      <c r="J391">
        <f>SUMPRODUCT((MONTH(CHOOSE({1,2,3,4},KHP!U391,KHP!AA391,KHP!AG391,KHP!AM391))=10)*(CHOOSE({1,2,3,4},KHP!X391,KHP!AD391,KHP!AJ391,KHP!AP391)))</f>
        <v>0</v>
      </c>
      <c r="K391">
        <f>SUMPRODUCT((MONTH(CHOOSE({1,2,3,4},KHP!U391,KHP!AA391,KHP!AG391,KHP!AM391))=11)*(CHOOSE({1,2,3,4},KHP!X391,KHP!AD391,KHP!AJ391,KHP!AP391)))</f>
        <v>0</v>
      </c>
      <c r="L391">
        <f>SUMPRODUCT((MONTH(CHOOSE({1,2,3,4},KHP!U391,KHP!AA391,KHP!AG391,KHP!AM391))=12)*(CHOOSE({1,2,3,4},KHP!X391,KHP!AD391,KHP!AJ391,KHP!AP391)))</f>
        <v>0</v>
      </c>
    </row>
    <row r="392" spans="1:12">
      <c r="A392">
        <f>SUMPRODUCT((MONTH(CHOOSE({1,2,3,4},KHP!U392,KHP!AA392,KHP!AG392,KHP!AM392))=1)*(CHOOSE({1,2,3,4},KHP!X392,KHP!AD392,KHP!AJ392,KHP!AP392)))</f>
        <v>0</v>
      </c>
      <c r="B392">
        <f>SUMPRODUCT((MONTH(CHOOSE({1,2,3,4},KHP!U392,KHP!AA392,KHP!AG392,KHP!AM392))=2)*(CHOOSE({1,2,3,4},KHP!X392,KHP!AD392,KHP!AJ392,KHP!AP392)))</f>
        <v>0</v>
      </c>
      <c r="C392">
        <f>SUMPRODUCT((MONTH(CHOOSE({1,2,3,4},KHP!U392,KHP!AA392,KHP!AG392,KHP!AM392))=3)*(CHOOSE({1,2,3,4},KHP!X392,KHP!AD392,KHP!AJ392,KHP!AP392)))</f>
        <v>0</v>
      </c>
      <c r="D392">
        <f>SUMPRODUCT((MONTH(CHOOSE({1,2,3,4},KHP!U392,KHP!AA392,KHP!AG392,KHP!AM392))=4)*(CHOOSE({1,2,3,4},KHP!X392,KHP!AD392,KHP!AJ392,KHP!AP392)))</f>
        <v>0</v>
      </c>
      <c r="E392">
        <f>SUMPRODUCT((MONTH(CHOOSE({1,2,3,4},KHP!U392,KHP!AA392,KHP!AG392,KHP!AM392))=5)*(CHOOSE({1,2,3,4},KHP!X392,KHP!AD392,KHP!AJ392,KHP!AP392)))</f>
        <v>0</v>
      </c>
      <c r="F392">
        <f>SUMPRODUCT((MONTH(CHOOSE({1,2,3,4},KHP!U392,KHP!AA392,KHP!AG392,KHP!AM392))=6)*(CHOOSE({1,2,3,4},KHP!X392,KHP!AD392,KHP!AJ392,KHP!AP392)))</f>
        <v>0</v>
      </c>
      <c r="G392">
        <f>SUMPRODUCT((MONTH(CHOOSE({1,2,3,4},KHP!U392,KHP!AA392,KHP!AG392,KHP!AM392))=7)*(CHOOSE({1,2,3,4},KHP!X392,KHP!AD392,KHP!AJ392,KHP!AP392)))</f>
        <v>0</v>
      </c>
      <c r="H392">
        <f>SUMPRODUCT((MONTH(CHOOSE({1,2,3,4},KHP!U392,KHP!AA392,KHP!AG392,KHP!AM392))=8)*(CHOOSE({1,2,3,4},KHP!X392,KHP!AD392,KHP!AJ392,KHP!AP392)))</f>
        <v>0</v>
      </c>
      <c r="I392">
        <f>SUMPRODUCT((MONTH(CHOOSE({1,2,3,4},KHP!U392,KHP!AA392,KHP!AG392,KHP!AM392))=9)*(CHOOSE({1,2,3,4},KHP!X392,KHP!AD392,KHP!AJ392,KHP!AP392)))</f>
        <v>0</v>
      </c>
      <c r="J392">
        <f>SUMPRODUCT((MONTH(CHOOSE({1,2,3,4},KHP!U392,KHP!AA392,KHP!AG392,KHP!AM392))=10)*(CHOOSE({1,2,3,4},KHP!X392,KHP!AD392,KHP!AJ392,KHP!AP392)))</f>
        <v>0</v>
      </c>
      <c r="K392">
        <f>SUMPRODUCT((MONTH(CHOOSE({1,2,3,4},KHP!U392,KHP!AA392,KHP!AG392,KHP!AM392))=11)*(CHOOSE({1,2,3,4},KHP!X392,KHP!AD392,KHP!AJ392,KHP!AP392)))</f>
        <v>0</v>
      </c>
      <c r="L392">
        <f>SUMPRODUCT((MONTH(CHOOSE({1,2,3,4},KHP!U392,KHP!AA392,KHP!AG392,KHP!AM392))=12)*(CHOOSE({1,2,3,4},KHP!X392,KHP!AD392,KHP!AJ392,KHP!AP392)))</f>
        <v>0</v>
      </c>
    </row>
    <row r="393" spans="1:12">
      <c r="A393">
        <f>SUMPRODUCT((MONTH(CHOOSE({1,2,3,4},KHP!U393,KHP!AA393,KHP!AG393,KHP!AM393))=1)*(CHOOSE({1,2,3,4},KHP!X393,KHP!AD393,KHP!AJ393,KHP!AP393)))</f>
        <v>0</v>
      </c>
      <c r="B393">
        <f>SUMPRODUCT((MONTH(CHOOSE({1,2,3,4},KHP!U393,KHP!AA393,KHP!AG393,KHP!AM393))=2)*(CHOOSE({1,2,3,4},KHP!X393,KHP!AD393,KHP!AJ393,KHP!AP393)))</f>
        <v>0</v>
      </c>
      <c r="C393">
        <f>SUMPRODUCT((MONTH(CHOOSE({1,2,3,4},KHP!U393,KHP!AA393,KHP!AG393,KHP!AM393))=3)*(CHOOSE({1,2,3,4},KHP!X393,KHP!AD393,KHP!AJ393,KHP!AP393)))</f>
        <v>0</v>
      </c>
      <c r="D393">
        <f>SUMPRODUCT((MONTH(CHOOSE({1,2,3,4},KHP!U393,KHP!AA393,KHP!AG393,KHP!AM393))=4)*(CHOOSE({1,2,3,4},KHP!X393,KHP!AD393,KHP!AJ393,KHP!AP393)))</f>
        <v>0</v>
      </c>
      <c r="E393">
        <f>SUMPRODUCT((MONTH(CHOOSE({1,2,3,4},KHP!U393,KHP!AA393,KHP!AG393,KHP!AM393))=5)*(CHOOSE({1,2,3,4},KHP!X393,KHP!AD393,KHP!AJ393,KHP!AP393)))</f>
        <v>0</v>
      </c>
      <c r="F393">
        <f>SUMPRODUCT((MONTH(CHOOSE({1,2,3,4},KHP!U393,KHP!AA393,KHP!AG393,KHP!AM393))=6)*(CHOOSE({1,2,3,4},KHP!X393,KHP!AD393,KHP!AJ393,KHP!AP393)))</f>
        <v>0</v>
      </c>
      <c r="G393">
        <f>SUMPRODUCT((MONTH(CHOOSE({1,2,3,4},KHP!U393,KHP!AA393,KHP!AG393,KHP!AM393))=7)*(CHOOSE({1,2,3,4},KHP!X393,KHP!AD393,KHP!AJ393,KHP!AP393)))</f>
        <v>0</v>
      </c>
      <c r="H393">
        <f>SUMPRODUCT((MONTH(CHOOSE({1,2,3,4},KHP!U393,KHP!AA393,KHP!AG393,KHP!AM393))=8)*(CHOOSE({1,2,3,4},KHP!X393,KHP!AD393,KHP!AJ393,KHP!AP393)))</f>
        <v>0</v>
      </c>
      <c r="I393">
        <f>SUMPRODUCT((MONTH(CHOOSE({1,2,3,4},KHP!U393,KHP!AA393,KHP!AG393,KHP!AM393))=9)*(CHOOSE({1,2,3,4},KHP!X393,KHP!AD393,KHP!AJ393,KHP!AP393)))</f>
        <v>0</v>
      </c>
      <c r="J393">
        <f>SUMPRODUCT((MONTH(CHOOSE({1,2,3,4},KHP!U393,KHP!AA393,KHP!AG393,KHP!AM393))=10)*(CHOOSE({1,2,3,4},KHP!X393,KHP!AD393,KHP!AJ393,KHP!AP393)))</f>
        <v>0</v>
      </c>
      <c r="K393">
        <f>SUMPRODUCT((MONTH(CHOOSE({1,2,3,4},KHP!U393,KHP!AA393,KHP!AG393,KHP!AM393))=11)*(CHOOSE({1,2,3,4},KHP!X393,KHP!AD393,KHP!AJ393,KHP!AP393)))</f>
        <v>0</v>
      </c>
      <c r="L393">
        <f>SUMPRODUCT((MONTH(CHOOSE({1,2,3,4},KHP!U393,KHP!AA393,KHP!AG393,KHP!AM393))=12)*(CHOOSE({1,2,3,4},KHP!X393,KHP!AD393,KHP!AJ393,KHP!AP393)))</f>
        <v>0</v>
      </c>
    </row>
    <row r="394" spans="1:12">
      <c r="A394">
        <f>SUMPRODUCT((MONTH(CHOOSE({1,2,3,4},KHP!U394,KHP!AA394,KHP!AG394,KHP!AM394))=1)*(CHOOSE({1,2,3,4},KHP!X394,KHP!AD394,KHP!AJ394,KHP!AP394)))</f>
        <v>0</v>
      </c>
      <c r="B394">
        <f>SUMPRODUCT((MONTH(CHOOSE({1,2,3,4},KHP!U394,KHP!AA394,KHP!AG394,KHP!AM394))=2)*(CHOOSE({1,2,3,4},KHP!X394,KHP!AD394,KHP!AJ394,KHP!AP394)))</f>
        <v>0</v>
      </c>
      <c r="C394">
        <f>SUMPRODUCT((MONTH(CHOOSE({1,2,3,4},KHP!U394,KHP!AA394,KHP!AG394,KHP!AM394))=3)*(CHOOSE({1,2,3,4},KHP!X394,KHP!AD394,KHP!AJ394,KHP!AP394)))</f>
        <v>0</v>
      </c>
      <c r="D394">
        <f>SUMPRODUCT((MONTH(CHOOSE({1,2,3,4},KHP!U394,KHP!AA394,KHP!AG394,KHP!AM394))=4)*(CHOOSE({1,2,3,4},KHP!X394,KHP!AD394,KHP!AJ394,KHP!AP394)))</f>
        <v>0</v>
      </c>
      <c r="E394">
        <f>SUMPRODUCT((MONTH(CHOOSE({1,2,3,4},KHP!U394,KHP!AA394,KHP!AG394,KHP!AM394))=5)*(CHOOSE({1,2,3,4},KHP!X394,KHP!AD394,KHP!AJ394,KHP!AP394)))</f>
        <v>0</v>
      </c>
      <c r="F394">
        <f>SUMPRODUCT((MONTH(CHOOSE({1,2,3,4},KHP!U394,KHP!AA394,KHP!AG394,KHP!AM394))=6)*(CHOOSE({1,2,3,4},KHP!X394,KHP!AD394,KHP!AJ394,KHP!AP394)))</f>
        <v>0</v>
      </c>
      <c r="G394">
        <f>SUMPRODUCT((MONTH(CHOOSE({1,2,3,4},KHP!U394,KHP!AA394,KHP!AG394,KHP!AM394))=7)*(CHOOSE({1,2,3,4},KHP!X394,KHP!AD394,KHP!AJ394,KHP!AP394)))</f>
        <v>0</v>
      </c>
      <c r="H394">
        <f>SUMPRODUCT((MONTH(CHOOSE({1,2,3,4},KHP!U394,KHP!AA394,KHP!AG394,KHP!AM394))=8)*(CHOOSE({1,2,3,4},KHP!X394,KHP!AD394,KHP!AJ394,KHP!AP394)))</f>
        <v>0</v>
      </c>
      <c r="I394">
        <f>SUMPRODUCT((MONTH(CHOOSE({1,2,3,4},KHP!U394,KHP!AA394,KHP!AG394,KHP!AM394))=9)*(CHOOSE({1,2,3,4},KHP!X394,KHP!AD394,KHP!AJ394,KHP!AP394)))</f>
        <v>0</v>
      </c>
      <c r="J394">
        <f>SUMPRODUCT((MONTH(CHOOSE({1,2,3,4},KHP!U394,KHP!AA394,KHP!AG394,KHP!AM394))=10)*(CHOOSE({1,2,3,4},KHP!X394,KHP!AD394,KHP!AJ394,KHP!AP394)))</f>
        <v>0</v>
      </c>
      <c r="K394">
        <f>SUMPRODUCT((MONTH(CHOOSE({1,2,3,4},KHP!U394,KHP!AA394,KHP!AG394,KHP!AM394))=11)*(CHOOSE({1,2,3,4},KHP!X394,KHP!AD394,KHP!AJ394,KHP!AP394)))</f>
        <v>0</v>
      </c>
      <c r="L394">
        <f>SUMPRODUCT((MONTH(CHOOSE({1,2,3,4},KHP!U394,KHP!AA394,KHP!AG394,KHP!AM394))=12)*(CHOOSE({1,2,3,4},KHP!X394,KHP!AD394,KHP!AJ394,KHP!AP394)))</f>
        <v>0</v>
      </c>
    </row>
    <row r="395" spans="1:12">
      <c r="A395">
        <f>SUMPRODUCT((MONTH(CHOOSE({1,2,3,4},KHP!U395,KHP!AA395,KHP!AG395,KHP!AM395))=1)*(CHOOSE({1,2,3,4},KHP!X395,KHP!AD395,KHP!AJ395,KHP!AP395)))</f>
        <v>0</v>
      </c>
      <c r="B395">
        <f>SUMPRODUCT((MONTH(CHOOSE({1,2,3,4},KHP!U395,KHP!AA395,KHP!AG395,KHP!AM395))=2)*(CHOOSE({1,2,3,4},KHP!X395,KHP!AD395,KHP!AJ395,KHP!AP395)))</f>
        <v>0</v>
      </c>
      <c r="C395">
        <f>SUMPRODUCT((MONTH(CHOOSE({1,2,3,4},KHP!U395,KHP!AA395,KHP!AG395,KHP!AM395))=3)*(CHOOSE({1,2,3,4},KHP!X395,KHP!AD395,KHP!AJ395,KHP!AP395)))</f>
        <v>0</v>
      </c>
      <c r="D395">
        <f>SUMPRODUCT((MONTH(CHOOSE({1,2,3,4},KHP!U395,KHP!AA395,KHP!AG395,KHP!AM395))=4)*(CHOOSE({1,2,3,4},KHP!X395,KHP!AD395,KHP!AJ395,KHP!AP395)))</f>
        <v>0</v>
      </c>
      <c r="E395">
        <f>SUMPRODUCT((MONTH(CHOOSE({1,2,3,4},KHP!U395,KHP!AA395,KHP!AG395,KHP!AM395))=5)*(CHOOSE({1,2,3,4},KHP!X395,KHP!AD395,KHP!AJ395,KHP!AP395)))</f>
        <v>0</v>
      </c>
      <c r="F395">
        <f>SUMPRODUCT((MONTH(CHOOSE({1,2,3,4},KHP!U395,KHP!AA395,KHP!AG395,KHP!AM395))=6)*(CHOOSE({1,2,3,4},KHP!X395,KHP!AD395,KHP!AJ395,KHP!AP395)))</f>
        <v>0</v>
      </c>
      <c r="G395">
        <f>SUMPRODUCT((MONTH(CHOOSE({1,2,3,4},KHP!U395,KHP!AA395,KHP!AG395,KHP!AM395))=7)*(CHOOSE({1,2,3,4},KHP!X395,KHP!AD395,KHP!AJ395,KHP!AP395)))</f>
        <v>0</v>
      </c>
      <c r="H395">
        <f>SUMPRODUCT((MONTH(CHOOSE({1,2,3,4},KHP!U395,KHP!AA395,KHP!AG395,KHP!AM395))=8)*(CHOOSE({1,2,3,4},KHP!X395,KHP!AD395,KHP!AJ395,KHP!AP395)))</f>
        <v>0</v>
      </c>
      <c r="I395">
        <f>SUMPRODUCT((MONTH(CHOOSE({1,2,3,4},KHP!U395,KHP!AA395,KHP!AG395,KHP!AM395))=9)*(CHOOSE({1,2,3,4},KHP!X395,KHP!AD395,KHP!AJ395,KHP!AP395)))</f>
        <v>0</v>
      </c>
      <c r="J395">
        <f>SUMPRODUCT((MONTH(CHOOSE({1,2,3,4},KHP!U395,KHP!AA395,KHP!AG395,KHP!AM395))=10)*(CHOOSE({1,2,3,4},KHP!X395,KHP!AD395,KHP!AJ395,KHP!AP395)))</f>
        <v>0</v>
      </c>
      <c r="K395">
        <f>SUMPRODUCT((MONTH(CHOOSE({1,2,3,4},KHP!U395,KHP!AA395,KHP!AG395,KHP!AM395))=11)*(CHOOSE({1,2,3,4},KHP!X395,KHP!AD395,KHP!AJ395,KHP!AP395)))</f>
        <v>0</v>
      </c>
      <c r="L395">
        <f>SUMPRODUCT((MONTH(CHOOSE({1,2,3,4},KHP!U395,KHP!AA395,KHP!AG395,KHP!AM395))=12)*(CHOOSE({1,2,3,4},KHP!X395,KHP!AD395,KHP!AJ395,KHP!AP395)))</f>
        <v>0</v>
      </c>
    </row>
    <row r="396" spans="1:12">
      <c r="A396">
        <f>SUMPRODUCT((MONTH(CHOOSE({1,2,3,4},KHP!U396,KHP!AA396,KHP!AG396,KHP!AM396))=1)*(CHOOSE({1,2,3,4},KHP!X396,KHP!AD396,KHP!AJ396,KHP!AP396)))</f>
        <v>0</v>
      </c>
      <c r="B396">
        <f>SUMPRODUCT((MONTH(CHOOSE({1,2,3,4},KHP!U396,KHP!AA396,KHP!AG396,KHP!AM396))=2)*(CHOOSE({1,2,3,4},KHP!X396,KHP!AD396,KHP!AJ396,KHP!AP396)))</f>
        <v>0</v>
      </c>
      <c r="C396">
        <f>SUMPRODUCT((MONTH(CHOOSE({1,2,3,4},KHP!U396,KHP!AA396,KHP!AG396,KHP!AM396))=3)*(CHOOSE({1,2,3,4},KHP!X396,KHP!AD396,KHP!AJ396,KHP!AP396)))</f>
        <v>0</v>
      </c>
      <c r="D396">
        <f>SUMPRODUCT((MONTH(CHOOSE({1,2,3,4},KHP!U396,KHP!AA396,KHP!AG396,KHP!AM396))=4)*(CHOOSE({1,2,3,4},KHP!X396,KHP!AD396,KHP!AJ396,KHP!AP396)))</f>
        <v>0</v>
      </c>
      <c r="E396">
        <f>SUMPRODUCT((MONTH(CHOOSE({1,2,3,4},KHP!U396,KHP!AA396,KHP!AG396,KHP!AM396))=5)*(CHOOSE({1,2,3,4},KHP!X396,KHP!AD396,KHP!AJ396,KHP!AP396)))</f>
        <v>0</v>
      </c>
      <c r="F396">
        <f>SUMPRODUCT((MONTH(CHOOSE({1,2,3,4},KHP!U396,KHP!AA396,KHP!AG396,KHP!AM396))=6)*(CHOOSE({1,2,3,4},KHP!X396,KHP!AD396,KHP!AJ396,KHP!AP396)))</f>
        <v>0</v>
      </c>
      <c r="G396">
        <f>SUMPRODUCT((MONTH(CHOOSE({1,2,3,4},KHP!U396,KHP!AA396,KHP!AG396,KHP!AM396))=7)*(CHOOSE({1,2,3,4},KHP!X396,KHP!AD396,KHP!AJ396,KHP!AP396)))</f>
        <v>0</v>
      </c>
      <c r="H396">
        <f>SUMPRODUCT((MONTH(CHOOSE({1,2,3,4},KHP!U396,KHP!AA396,KHP!AG396,KHP!AM396))=8)*(CHOOSE({1,2,3,4},KHP!X396,KHP!AD396,KHP!AJ396,KHP!AP396)))</f>
        <v>0</v>
      </c>
      <c r="I396">
        <f>SUMPRODUCT((MONTH(CHOOSE({1,2,3,4},KHP!U396,KHP!AA396,KHP!AG396,KHP!AM396))=9)*(CHOOSE({1,2,3,4},KHP!X396,KHP!AD396,KHP!AJ396,KHP!AP396)))</f>
        <v>0</v>
      </c>
      <c r="J396">
        <f>SUMPRODUCT((MONTH(CHOOSE({1,2,3,4},KHP!U396,KHP!AA396,KHP!AG396,KHP!AM396))=10)*(CHOOSE({1,2,3,4},KHP!X396,KHP!AD396,KHP!AJ396,KHP!AP396)))</f>
        <v>0</v>
      </c>
      <c r="K396">
        <f>SUMPRODUCT((MONTH(CHOOSE({1,2,3,4},KHP!U396,KHP!AA396,KHP!AG396,KHP!AM396))=11)*(CHOOSE({1,2,3,4},KHP!X396,KHP!AD396,KHP!AJ396,KHP!AP396)))</f>
        <v>0</v>
      </c>
      <c r="L396">
        <f>SUMPRODUCT((MONTH(CHOOSE({1,2,3,4},KHP!U396,KHP!AA396,KHP!AG396,KHP!AM396))=12)*(CHOOSE({1,2,3,4},KHP!X396,KHP!AD396,KHP!AJ396,KHP!AP396)))</f>
        <v>0</v>
      </c>
    </row>
    <row r="397" spans="1:12">
      <c r="A397">
        <f>SUMPRODUCT((MONTH(CHOOSE({1,2,3,4},KHP!U397,KHP!AA397,KHP!AG397,KHP!AM397))=1)*(CHOOSE({1,2,3,4},KHP!X397,KHP!AD397,KHP!AJ397,KHP!AP397)))</f>
        <v>0</v>
      </c>
      <c r="B397">
        <f>SUMPRODUCT((MONTH(CHOOSE({1,2,3,4},KHP!U397,KHP!AA397,KHP!AG397,KHP!AM397))=2)*(CHOOSE({1,2,3,4},KHP!X397,KHP!AD397,KHP!AJ397,KHP!AP397)))</f>
        <v>0</v>
      </c>
      <c r="C397">
        <f>SUMPRODUCT((MONTH(CHOOSE({1,2,3,4},KHP!U397,KHP!AA397,KHP!AG397,KHP!AM397))=3)*(CHOOSE({1,2,3,4},KHP!X397,KHP!AD397,KHP!AJ397,KHP!AP397)))</f>
        <v>0</v>
      </c>
      <c r="D397">
        <f>SUMPRODUCT((MONTH(CHOOSE({1,2,3,4},KHP!U397,KHP!AA397,KHP!AG397,KHP!AM397))=4)*(CHOOSE({1,2,3,4},KHP!X397,KHP!AD397,KHP!AJ397,KHP!AP397)))</f>
        <v>0</v>
      </c>
      <c r="E397">
        <f>SUMPRODUCT((MONTH(CHOOSE({1,2,3,4},KHP!U397,KHP!AA397,KHP!AG397,KHP!AM397))=5)*(CHOOSE({1,2,3,4},KHP!X397,KHP!AD397,KHP!AJ397,KHP!AP397)))</f>
        <v>0</v>
      </c>
      <c r="F397">
        <f>SUMPRODUCT((MONTH(CHOOSE({1,2,3,4},KHP!U397,KHP!AA397,KHP!AG397,KHP!AM397))=6)*(CHOOSE({1,2,3,4},KHP!X397,KHP!AD397,KHP!AJ397,KHP!AP397)))</f>
        <v>0</v>
      </c>
      <c r="G397">
        <f>SUMPRODUCT((MONTH(CHOOSE({1,2,3,4},KHP!U397,KHP!AA397,KHP!AG397,KHP!AM397))=7)*(CHOOSE({1,2,3,4},KHP!X397,KHP!AD397,KHP!AJ397,KHP!AP397)))</f>
        <v>0</v>
      </c>
      <c r="H397">
        <f>SUMPRODUCT((MONTH(CHOOSE({1,2,3,4},KHP!U397,KHP!AA397,KHP!AG397,KHP!AM397))=8)*(CHOOSE({1,2,3,4},KHP!X397,KHP!AD397,KHP!AJ397,KHP!AP397)))</f>
        <v>0</v>
      </c>
      <c r="I397">
        <f>SUMPRODUCT((MONTH(CHOOSE({1,2,3,4},KHP!U397,KHP!AA397,KHP!AG397,KHP!AM397))=9)*(CHOOSE({1,2,3,4},KHP!X397,KHP!AD397,KHP!AJ397,KHP!AP397)))</f>
        <v>0</v>
      </c>
      <c r="J397">
        <f>SUMPRODUCT((MONTH(CHOOSE({1,2,3,4},KHP!U397,KHP!AA397,KHP!AG397,KHP!AM397))=10)*(CHOOSE({1,2,3,4},KHP!X397,KHP!AD397,KHP!AJ397,KHP!AP397)))</f>
        <v>0</v>
      </c>
      <c r="K397">
        <f>SUMPRODUCT((MONTH(CHOOSE({1,2,3,4},KHP!U397,KHP!AA397,KHP!AG397,KHP!AM397))=11)*(CHOOSE({1,2,3,4},KHP!X397,KHP!AD397,KHP!AJ397,KHP!AP397)))</f>
        <v>0</v>
      </c>
      <c r="L397">
        <f>SUMPRODUCT((MONTH(CHOOSE({1,2,3,4},KHP!U397,KHP!AA397,KHP!AG397,KHP!AM397))=12)*(CHOOSE({1,2,3,4},KHP!X397,KHP!AD397,KHP!AJ397,KHP!AP397)))</f>
        <v>0</v>
      </c>
    </row>
    <row r="398" spans="1:12">
      <c r="A398">
        <f>SUMPRODUCT((MONTH(CHOOSE({1,2,3,4},KHP!U398,KHP!AA398,KHP!AG398,KHP!AM398))=1)*(CHOOSE({1,2,3,4},KHP!X398,KHP!AD398,KHP!AJ398,KHP!AP398)))</f>
        <v>0</v>
      </c>
      <c r="B398">
        <f>SUMPRODUCT((MONTH(CHOOSE({1,2,3,4},KHP!U398,KHP!AA398,KHP!AG398,KHP!AM398))=2)*(CHOOSE({1,2,3,4},KHP!X398,KHP!AD398,KHP!AJ398,KHP!AP398)))</f>
        <v>0</v>
      </c>
      <c r="C398">
        <f>SUMPRODUCT((MONTH(CHOOSE({1,2,3,4},KHP!U398,KHP!AA398,KHP!AG398,KHP!AM398))=3)*(CHOOSE({1,2,3,4},KHP!X398,KHP!AD398,KHP!AJ398,KHP!AP398)))</f>
        <v>0</v>
      </c>
      <c r="D398">
        <f>SUMPRODUCT((MONTH(CHOOSE({1,2,3,4},KHP!U398,KHP!AA398,KHP!AG398,KHP!AM398))=4)*(CHOOSE({1,2,3,4},KHP!X398,KHP!AD398,KHP!AJ398,KHP!AP398)))</f>
        <v>0</v>
      </c>
      <c r="E398">
        <f>SUMPRODUCT((MONTH(CHOOSE({1,2,3,4},KHP!U398,KHP!AA398,KHP!AG398,KHP!AM398))=5)*(CHOOSE({1,2,3,4},KHP!X398,KHP!AD398,KHP!AJ398,KHP!AP398)))</f>
        <v>0</v>
      </c>
      <c r="F398">
        <f>SUMPRODUCT((MONTH(CHOOSE({1,2,3,4},KHP!U398,KHP!AA398,KHP!AG398,KHP!AM398))=6)*(CHOOSE({1,2,3,4},KHP!X398,KHP!AD398,KHP!AJ398,KHP!AP398)))</f>
        <v>0</v>
      </c>
      <c r="G398">
        <f>SUMPRODUCT((MONTH(CHOOSE({1,2,3,4},KHP!U398,KHP!AA398,KHP!AG398,KHP!AM398))=7)*(CHOOSE({1,2,3,4},KHP!X398,KHP!AD398,KHP!AJ398,KHP!AP398)))</f>
        <v>0</v>
      </c>
      <c r="H398">
        <f>SUMPRODUCT((MONTH(CHOOSE({1,2,3,4},KHP!U398,KHP!AA398,KHP!AG398,KHP!AM398))=8)*(CHOOSE({1,2,3,4},KHP!X398,KHP!AD398,KHP!AJ398,KHP!AP398)))</f>
        <v>0</v>
      </c>
      <c r="I398">
        <f>SUMPRODUCT((MONTH(CHOOSE({1,2,3,4},KHP!U398,KHP!AA398,KHP!AG398,KHP!AM398))=9)*(CHOOSE({1,2,3,4},KHP!X398,KHP!AD398,KHP!AJ398,KHP!AP398)))</f>
        <v>0</v>
      </c>
      <c r="J398">
        <f>SUMPRODUCT((MONTH(CHOOSE({1,2,3,4},KHP!U398,KHP!AA398,KHP!AG398,KHP!AM398))=10)*(CHOOSE({1,2,3,4},KHP!X398,KHP!AD398,KHP!AJ398,KHP!AP398)))</f>
        <v>0</v>
      </c>
      <c r="K398">
        <f>SUMPRODUCT((MONTH(CHOOSE({1,2,3,4},KHP!U398,KHP!AA398,KHP!AG398,KHP!AM398))=11)*(CHOOSE({1,2,3,4},KHP!X398,KHP!AD398,KHP!AJ398,KHP!AP398)))</f>
        <v>0</v>
      </c>
      <c r="L398">
        <f>SUMPRODUCT((MONTH(CHOOSE({1,2,3,4},KHP!U398,KHP!AA398,KHP!AG398,KHP!AM398))=12)*(CHOOSE({1,2,3,4},KHP!X398,KHP!AD398,KHP!AJ398,KHP!AP398)))</f>
        <v>0</v>
      </c>
    </row>
    <row r="399" spans="1:12">
      <c r="A399">
        <f>SUMPRODUCT((MONTH(CHOOSE({1,2,3,4},KHP!U399,KHP!AA399,KHP!AG399,KHP!AM399))=1)*(CHOOSE({1,2,3,4},KHP!X399,KHP!AD399,KHP!AJ399,KHP!AP399)))</f>
        <v>0</v>
      </c>
      <c r="B399">
        <f>SUMPRODUCT((MONTH(CHOOSE({1,2,3,4},KHP!U399,KHP!AA399,KHP!AG399,KHP!AM399))=2)*(CHOOSE({1,2,3,4},KHP!X399,KHP!AD399,KHP!AJ399,KHP!AP399)))</f>
        <v>0</v>
      </c>
      <c r="C399">
        <f>SUMPRODUCT((MONTH(CHOOSE({1,2,3,4},KHP!U399,KHP!AA399,KHP!AG399,KHP!AM399))=3)*(CHOOSE({1,2,3,4},KHP!X399,KHP!AD399,KHP!AJ399,KHP!AP399)))</f>
        <v>0</v>
      </c>
      <c r="D399">
        <f>SUMPRODUCT((MONTH(CHOOSE({1,2,3,4},KHP!U399,KHP!AA399,KHP!AG399,KHP!AM399))=4)*(CHOOSE({1,2,3,4},KHP!X399,KHP!AD399,KHP!AJ399,KHP!AP399)))</f>
        <v>0</v>
      </c>
      <c r="E399">
        <f>SUMPRODUCT((MONTH(CHOOSE({1,2,3,4},KHP!U399,KHP!AA399,KHP!AG399,KHP!AM399))=5)*(CHOOSE({1,2,3,4},KHP!X399,KHP!AD399,KHP!AJ399,KHP!AP399)))</f>
        <v>0</v>
      </c>
      <c r="F399">
        <f>SUMPRODUCT((MONTH(CHOOSE({1,2,3,4},KHP!U399,KHP!AA399,KHP!AG399,KHP!AM399))=6)*(CHOOSE({1,2,3,4},KHP!X399,KHP!AD399,KHP!AJ399,KHP!AP399)))</f>
        <v>0</v>
      </c>
      <c r="G399">
        <f>SUMPRODUCT((MONTH(CHOOSE({1,2,3,4},KHP!U399,KHP!AA399,KHP!AG399,KHP!AM399))=7)*(CHOOSE({1,2,3,4},KHP!X399,KHP!AD399,KHP!AJ399,KHP!AP399)))</f>
        <v>0</v>
      </c>
      <c r="H399">
        <f>SUMPRODUCT((MONTH(CHOOSE({1,2,3,4},KHP!U399,KHP!AA399,KHP!AG399,KHP!AM399))=8)*(CHOOSE({1,2,3,4},KHP!X399,KHP!AD399,KHP!AJ399,KHP!AP399)))</f>
        <v>0</v>
      </c>
      <c r="I399">
        <f>SUMPRODUCT((MONTH(CHOOSE({1,2,3,4},KHP!U399,KHP!AA399,KHP!AG399,KHP!AM399))=9)*(CHOOSE({1,2,3,4},KHP!X399,KHP!AD399,KHP!AJ399,KHP!AP399)))</f>
        <v>0</v>
      </c>
      <c r="J399">
        <f>SUMPRODUCT((MONTH(CHOOSE({1,2,3,4},KHP!U399,KHP!AA399,KHP!AG399,KHP!AM399))=10)*(CHOOSE({1,2,3,4},KHP!X399,KHP!AD399,KHP!AJ399,KHP!AP399)))</f>
        <v>0</v>
      </c>
      <c r="K399">
        <f>SUMPRODUCT((MONTH(CHOOSE({1,2,3,4},KHP!U399,KHP!AA399,KHP!AG399,KHP!AM399))=11)*(CHOOSE({1,2,3,4},KHP!X399,KHP!AD399,KHP!AJ399,KHP!AP399)))</f>
        <v>0</v>
      </c>
      <c r="L399">
        <f>SUMPRODUCT((MONTH(CHOOSE({1,2,3,4},KHP!U399,KHP!AA399,KHP!AG399,KHP!AM399))=12)*(CHOOSE({1,2,3,4},KHP!X399,KHP!AD399,KHP!AJ399,KHP!AP399)))</f>
        <v>0</v>
      </c>
    </row>
    <row r="400" spans="1:12">
      <c r="A400">
        <f>SUMPRODUCT((MONTH(CHOOSE({1,2,3,4},KHP!U400,KHP!AA400,KHP!AG400,KHP!AM400))=1)*(CHOOSE({1,2,3,4},KHP!X400,KHP!AD400,KHP!AJ400,KHP!AP400)))</f>
        <v>0</v>
      </c>
      <c r="B400">
        <f>SUMPRODUCT((MONTH(CHOOSE({1,2,3,4},KHP!U400,KHP!AA400,KHP!AG400,KHP!AM400))=2)*(CHOOSE({1,2,3,4},KHP!X400,KHP!AD400,KHP!AJ400,KHP!AP400)))</f>
        <v>0</v>
      </c>
      <c r="C400">
        <f>SUMPRODUCT((MONTH(CHOOSE({1,2,3,4},KHP!U400,KHP!AA400,KHP!AG400,KHP!AM400))=3)*(CHOOSE({1,2,3,4},KHP!X400,KHP!AD400,KHP!AJ400,KHP!AP400)))</f>
        <v>0</v>
      </c>
      <c r="D400">
        <f>SUMPRODUCT((MONTH(CHOOSE({1,2,3,4},KHP!U400,KHP!AA400,KHP!AG400,KHP!AM400))=4)*(CHOOSE({1,2,3,4},KHP!X400,KHP!AD400,KHP!AJ400,KHP!AP400)))</f>
        <v>0</v>
      </c>
      <c r="E400">
        <f>SUMPRODUCT((MONTH(CHOOSE({1,2,3,4},KHP!U400,KHP!AA400,KHP!AG400,KHP!AM400))=5)*(CHOOSE({1,2,3,4},KHP!X400,KHP!AD400,KHP!AJ400,KHP!AP400)))</f>
        <v>0</v>
      </c>
      <c r="F400">
        <f>SUMPRODUCT((MONTH(CHOOSE({1,2,3,4},KHP!U400,KHP!AA400,KHP!AG400,KHP!AM400))=6)*(CHOOSE({1,2,3,4},KHP!X400,KHP!AD400,KHP!AJ400,KHP!AP400)))</f>
        <v>0</v>
      </c>
      <c r="G400">
        <f>SUMPRODUCT((MONTH(CHOOSE({1,2,3,4},KHP!U400,KHP!AA400,KHP!AG400,KHP!AM400))=7)*(CHOOSE({1,2,3,4},KHP!X400,KHP!AD400,KHP!AJ400,KHP!AP400)))</f>
        <v>0</v>
      </c>
      <c r="H400">
        <f>SUMPRODUCT((MONTH(CHOOSE({1,2,3,4},KHP!U400,KHP!AA400,KHP!AG400,KHP!AM400))=8)*(CHOOSE({1,2,3,4},KHP!X400,KHP!AD400,KHP!AJ400,KHP!AP400)))</f>
        <v>0</v>
      </c>
      <c r="I400">
        <f>SUMPRODUCT((MONTH(CHOOSE({1,2,3,4},KHP!U400,KHP!AA400,KHP!AG400,KHP!AM400))=9)*(CHOOSE({1,2,3,4},KHP!X400,KHP!AD400,KHP!AJ400,KHP!AP400)))</f>
        <v>0</v>
      </c>
      <c r="J400">
        <f>SUMPRODUCT((MONTH(CHOOSE({1,2,3,4},KHP!U400,KHP!AA400,KHP!AG400,KHP!AM400))=10)*(CHOOSE({1,2,3,4},KHP!X400,KHP!AD400,KHP!AJ400,KHP!AP400)))</f>
        <v>0</v>
      </c>
      <c r="K400">
        <f>SUMPRODUCT((MONTH(CHOOSE({1,2,3,4},KHP!U400,KHP!AA400,KHP!AG400,KHP!AM400))=11)*(CHOOSE({1,2,3,4},KHP!X400,KHP!AD400,KHP!AJ400,KHP!AP400)))</f>
        <v>0</v>
      </c>
      <c r="L400">
        <f>SUMPRODUCT((MONTH(CHOOSE({1,2,3,4},KHP!U400,KHP!AA400,KHP!AG400,KHP!AM400))=12)*(CHOOSE({1,2,3,4},KHP!X400,KHP!AD400,KHP!AJ400,KHP!AP400)))</f>
        <v>0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3"/>
  <dimension ref="A1:L400"/>
  <sheetViews>
    <sheetView workbookViewId="0">
      <selection activeCell="J14" sqref="J14"/>
    </sheetView>
  </sheetViews>
  <sheetFormatPr defaultRowHeight="12.75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40" customFormat="1">
      <c r="A2" s="40">
        <f>SUM(A3:A444)</f>
        <v>0</v>
      </c>
      <c r="B2" s="40">
        <f t="shared" ref="B2:L2" si="1">SUM(B3:B444)</f>
        <v>0</v>
      </c>
      <c r="C2" s="40">
        <f t="shared" si="1"/>
        <v>0</v>
      </c>
      <c r="D2" s="40">
        <f t="shared" si="1"/>
        <v>0</v>
      </c>
      <c r="E2" s="40">
        <f t="shared" si="1"/>
        <v>0</v>
      </c>
      <c r="F2" s="40">
        <f t="shared" si="1"/>
        <v>0</v>
      </c>
      <c r="G2" s="40">
        <f t="shared" si="1"/>
        <v>0</v>
      </c>
      <c r="H2" s="40">
        <f t="shared" si="1"/>
        <v>0</v>
      </c>
      <c r="I2" s="40">
        <f t="shared" si="1"/>
        <v>0</v>
      </c>
      <c r="J2" s="40">
        <f t="shared" si="1"/>
        <v>0</v>
      </c>
      <c r="K2" s="40">
        <f t="shared" si="1"/>
        <v>0</v>
      </c>
      <c r="L2" s="40">
        <f t="shared" si="1"/>
        <v>0</v>
      </c>
    </row>
    <row r="3" spans="1:12" ht="15.75" customHeight="1">
      <c r="A3">
        <f>SUMPRODUCT((MONTH(CHOOSE({1,2,3,4},KMB!U3,KMB!AA3,KMB!AG3,KMB!AM3))=1)*(CHOOSE({1,2,3,4},KMB!X3,KMB!AD3,KMB!AJ3,KMB!AP3)))</f>
        <v>0</v>
      </c>
      <c r="B3">
        <f>SUMPRODUCT((MONTH(CHOOSE({1,2,3,4},KMB!U3,KMB!AA3,KMB!AG3,KMB!AM3))=2)*(CHOOSE({1,2,3,4},KMB!X3,KMB!AD3,KMB!AJ3,KMB!AP3)))</f>
        <v>0</v>
      </c>
      <c r="C3">
        <f>SUMPRODUCT((MONTH(CHOOSE({1,2,3,4},KMB!U3,KMB!AA3,KMB!AG3,KMB!AM3))=3)*(CHOOSE({1,2,3,4},KMB!X3,KMB!AD3,KMB!AJ3,KMB!AP3)))</f>
        <v>0</v>
      </c>
      <c r="D3">
        <f>SUMPRODUCT((MONTH(CHOOSE({1,2,3,4},KMB!U3,KMB!AA3,KMB!AG3,KMB!AM3))=4)*(CHOOSE({1,2,3,4},KMB!X3,KMB!AD3,KMB!AJ3,KMB!AP3)))</f>
        <v>0</v>
      </c>
      <c r="E3">
        <f>SUMPRODUCT((MONTH(CHOOSE({1,2,3,4},KMB!U3,KMB!AA3,KMB!AG3,KMB!AM3))=5)*(CHOOSE({1,2,3,4},KMB!X3,KMB!AD3,KMB!AJ3,KMB!AP3)))</f>
        <v>0</v>
      </c>
      <c r="F3">
        <f>SUMPRODUCT((MONTH(CHOOSE({1,2,3,4},KMB!U3,KMB!AA3,KMB!AG3,KMB!AM3))=6)*(CHOOSE({1,2,3,4},KMB!X3,KMB!AD3,KMB!AJ3,KMB!AP3)))</f>
        <v>0</v>
      </c>
      <c r="G3">
        <f>SUMPRODUCT((MONTH(CHOOSE({1,2,3,4},KMB!U3,KMB!AA3,KMB!AG3,KMB!AM3))=7)*(CHOOSE({1,2,3,4},KMB!X3,KMB!AD3,KMB!AJ3,KMB!AP3)))</f>
        <v>0</v>
      </c>
      <c r="H3">
        <f>SUMPRODUCT((MONTH(CHOOSE({1,2,3,4},KMB!U3,KMB!AA3,KMB!AG3,KMB!AM3))=8)*(CHOOSE({1,2,3,4},KMB!X3,KMB!AD3,KMB!AJ3,KMB!AP3)))</f>
        <v>0</v>
      </c>
      <c r="I3">
        <f>SUMPRODUCT((MONTH(CHOOSE({1,2,3,4},KMB!U3,KMB!AA3,KMB!AG3,KMB!AM3))=9)*(CHOOSE({1,2,3,4},KMB!X3,KMB!AD3,KMB!AJ3,KMB!AP3)))</f>
        <v>0</v>
      </c>
      <c r="J3">
        <f>SUMPRODUCT((MONTH(CHOOSE({1,2,3,4},KMB!U3,KMB!AA3,KMB!AG3,KMB!AM3))=10)*(CHOOSE({1,2,3,4},KMB!X3,KMB!AD3,KMB!AJ3,KMB!AP3)))</f>
        <v>0</v>
      </c>
      <c r="K3">
        <f>SUMPRODUCT((MONTH(CHOOSE({1,2,3,4},KMB!U3,KMB!AA3,KMB!AG3,KMB!AM3))=11)*(CHOOSE({1,2,3,4},KMB!X3,KMB!AD3,KMB!AJ3,KMB!AP3)))</f>
        <v>0</v>
      </c>
      <c r="L3">
        <f>SUMPRODUCT((MONTH(CHOOSE({1,2,3,4},KMB!U3,KMB!AA3,KMB!AG3,KMB!AM3))=12)*(CHOOSE({1,2,3,4},KMB!X3,KMB!AD3,KMB!AJ3,KMB!AP3)))</f>
        <v>0</v>
      </c>
    </row>
    <row r="4" spans="1:12">
      <c r="A4">
        <f>SUMPRODUCT((MONTH(CHOOSE({1,2,3,4},KMB!U4,KMB!AA4,KMB!AG4,KMB!AM4))=1)*(CHOOSE({1,2,3,4},KMB!X4,KMB!AD4,KMB!AJ4,KMB!AP4)))</f>
        <v>0</v>
      </c>
      <c r="B4">
        <f>SUMPRODUCT((MONTH(CHOOSE({1,2,3,4},KMB!U4,KMB!AA4,KMB!AG4,KMB!AM4))=2)*(CHOOSE({1,2,3,4},KMB!X4,KMB!AD4,KMB!AJ4,KMB!AP4)))</f>
        <v>0</v>
      </c>
      <c r="C4">
        <f>SUMPRODUCT((MONTH(CHOOSE({1,2,3,4},KMB!U4,KMB!AA4,KMB!AG4,KMB!AM4))=3)*(CHOOSE({1,2,3,4},KMB!X4,KMB!AD4,KMB!AJ4,KMB!AP4)))</f>
        <v>0</v>
      </c>
      <c r="D4">
        <f>SUMPRODUCT((MONTH(CHOOSE({1,2,3,4},KMB!U4,KMB!AA4,KMB!AG4,KMB!AM4))=4)*(CHOOSE({1,2,3,4},KMB!X4,KMB!AD4,KMB!AJ4,KMB!AP4)))</f>
        <v>0</v>
      </c>
      <c r="E4">
        <f>SUMPRODUCT((MONTH(CHOOSE({1,2,3,4},KMB!U4,KMB!AA4,KMB!AG4,KMB!AM4))=5)*(CHOOSE({1,2,3,4},KMB!X4,KMB!AD4,KMB!AJ4,KMB!AP4)))</f>
        <v>0</v>
      </c>
      <c r="F4">
        <f>SUMPRODUCT((MONTH(CHOOSE({1,2,3,4},KMB!U4,KMB!AA4,KMB!AG4,KMB!AM4))=6)*(CHOOSE({1,2,3,4},KMB!X4,KMB!AD4,KMB!AJ4,KMB!AP4)))</f>
        <v>0</v>
      </c>
      <c r="G4">
        <f>SUMPRODUCT((MONTH(CHOOSE({1,2,3,4},KMB!U4,KMB!AA4,KMB!AG4,KMB!AM4))=7)*(CHOOSE({1,2,3,4},KMB!X4,KMB!AD4,KMB!AJ4,KMB!AP4)))</f>
        <v>0</v>
      </c>
      <c r="H4">
        <f>SUMPRODUCT((MONTH(CHOOSE({1,2,3,4},KMB!U4,KMB!AA4,KMB!AG4,KMB!AM4))=8)*(CHOOSE({1,2,3,4},KMB!X4,KMB!AD4,KMB!AJ4,KMB!AP4)))</f>
        <v>0</v>
      </c>
      <c r="I4">
        <f>SUMPRODUCT((MONTH(CHOOSE({1,2,3,4},KMB!U4,KMB!AA4,KMB!AG4,KMB!AM4))=9)*(CHOOSE({1,2,3,4},KMB!X4,KMB!AD4,KMB!AJ4,KMB!AP4)))</f>
        <v>0</v>
      </c>
      <c r="J4">
        <f>SUMPRODUCT((MONTH(CHOOSE({1,2,3,4},KMB!U4,KMB!AA4,KMB!AG4,KMB!AM4))=10)*(CHOOSE({1,2,3,4},KMB!X4,KMB!AD4,KMB!AJ4,KMB!AP4)))</f>
        <v>0</v>
      </c>
      <c r="K4">
        <f>SUMPRODUCT((MONTH(CHOOSE({1,2,3,4},KMB!U4,KMB!AA4,KMB!AG4,KMB!AM4))=11)*(CHOOSE({1,2,3,4},KMB!X4,KMB!AD4,KMB!AJ4,KMB!AP4)))</f>
        <v>0</v>
      </c>
      <c r="L4">
        <f>SUMPRODUCT((MONTH(CHOOSE({1,2,3,4},KMB!U4,KMB!AA4,KMB!AG4,KMB!AM4))=12)*(CHOOSE({1,2,3,4},KMB!X4,KMB!AD4,KMB!AJ4,KMB!AP4)))</f>
        <v>0</v>
      </c>
    </row>
    <row r="5" spans="1:12">
      <c r="A5">
        <f>SUMPRODUCT((MONTH(CHOOSE({1,2,3,4},KMB!U5,KMB!AA5,KMB!AG5,KMB!AM5))=1)*(CHOOSE({1,2,3,4},KMB!X5,KMB!AD5,KMB!AJ5,KMB!AP5)))</f>
        <v>0</v>
      </c>
      <c r="B5">
        <f>SUMPRODUCT((MONTH(CHOOSE({1,2,3,4},KMB!U5,KMB!AA5,KMB!AG5,KMB!AM5))=2)*(CHOOSE({1,2,3,4},KMB!X5,KMB!AD5,KMB!AJ5,KMB!AP5)))</f>
        <v>0</v>
      </c>
      <c r="C5">
        <f>SUMPRODUCT((MONTH(CHOOSE({1,2,3,4},KMB!U5,KMB!AA5,KMB!AG5,KMB!AM5))=3)*(CHOOSE({1,2,3,4},KMB!X5,KMB!AD5,KMB!AJ5,KMB!AP5)))</f>
        <v>0</v>
      </c>
      <c r="D5">
        <f>SUMPRODUCT((MONTH(CHOOSE({1,2,3,4},KMB!U5,KMB!AA5,KMB!AG5,KMB!AM5))=4)*(CHOOSE({1,2,3,4},KMB!X5,KMB!AD5,KMB!AJ5,KMB!AP5)))</f>
        <v>0</v>
      </c>
      <c r="E5">
        <f>SUMPRODUCT((MONTH(CHOOSE({1,2,3,4},KMB!U5,KMB!AA5,KMB!AG5,KMB!AM5))=5)*(CHOOSE({1,2,3,4},KMB!X5,KMB!AD5,KMB!AJ5,KMB!AP5)))</f>
        <v>0</v>
      </c>
      <c r="F5">
        <f>SUMPRODUCT((MONTH(CHOOSE({1,2,3,4},KMB!U5,KMB!AA5,KMB!AG5,KMB!AM5))=6)*(CHOOSE({1,2,3,4},KMB!X5,KMB!AD5,KMB!AJ5,KMB!AP5)))</f>
        <v>0</v>
      </c>
      <c r="G5">
        <f>SUMPRODUCT((MONTH(CHOOSE({1,2,3,4},KMB!U5,KMB!AA5,KMB!AG5,KMB!AM5))=7)*(CHOOSE({1,2,3,4},KMB!X5,KMB!AD5,KMB!AJ5,KMB!AP5)))</f>
        <v>0</v>
      </c>
      <c r="H5">
        <f>SUMPRODUCT((MONTH(CHOOSE({1,2,3,4},KMB!U5,KMB!AA5,KMB!AG5,KMB!AM5))=8)*(CHOOSE({1,2,3,4},KMB!X5,KMB!AD5,KMB!AJ5,KMB!AP5)))</f>
        <v>0</v>
      </c>
      <c r="I5">
        <f>SUMPRODUCT((MONTH(CHOOSE({1,2,3,4},KMB!U5,KMB!AA5,KMB!AG5,KMB!AM5))=9)*(CHOOSE({1,2,3,4},KMB!X5,KMB!AD5,KMB!AJ5,KMB!AP5)))</f>
        <v>0</v>
      </c>
      <c r="J5">
        <f>SUMPRODUCT((MONTH(CHOOSE({1,2,3,4},KMB!U5,KMB!AA5,KMB!AG5,KMB!AM5))=10)*(CHOOSE({1,2,3,4},KMB!X5,KMB!AD5,KMB!AJ5,KMB!AP5)))</f>
        <v>0</v>
      </c>
      <c r="K5">
        <f>SUMPRODUCT((MONTH(CHOOSE({1,2,3,4},KMB!U5,KMB!AA5,KMB!AG5,KMB!AM5))=11)*(CHOOSE({1,2,3,4},KMB!X5,KMB!AD5,KMB!AJ5,KMB!AP5)))</f>
        <v>0</v>
      </c>
      <c r="L5">
        <f>SUMPRODUCT((MONTH(CHOOSE({1,2,3,4},KMB!U5,KMB!AA5,KMB!AG5,KMB!AM5))=12)*(CHOOSE({1,2,3,4},KMB!X5,KMB!AD5,KMB!AJ5,KMB!AP5)))</f>
        <v>0</v>
      </c>
    </row>
    <row r="6" spans="1:12">
      <c r="A6">
        <f>SUMPRODUCT((MONTH(CHOOSE({1,2,3,4},KMB!U6,KMB!AA6,KMB!AG6,KMB!AM6))=1)*(CHOOSE({1,2,3,4},KMB!X6,KMB!AD6,KMB!AJ6,KMB!AP6)))</f>
        <v>0</v>
      </c>
      <c r="B6">
        <f>SUMPRODUCT((MONTH(CHOOSE({1,2,3,4},KMB!U6,KMB!AA6,KMB!AG6,KMB!AM6))=2)*(CHOOSE({1,2,3,4},KMB!X6,KMB!AD6,KMB!AJ6,KMB!AP6)))</f>
        <v>0</v>
      </c>
      <c r="C6">
        <f>SUMPRODUCT((MONTH(CHOOSE({1,2,3,4},KMB!U6,KMB!AA6,KMB!AG6,KMB!AM6))=3)*(CHOOSE({1,2,3,4},KMB!X6,KMB!AD6,KMB!AJ6,KMB!AP6)))</f>
        <v>0</v>
      </c>
      <c r="D6">
        <f>SUMPRODUCT((MONTH(CHOOSE({1,2,3,4},KMB!U6,KMB!AA6,KMB!AG6,KMB!AM6))=4)*(CHOOSE({1,2,3,4},KMB!X6,KMB!AD6,KMB!AJ6,KMB!AP6)))</f>
        <v>0</v>
      </c>
      <c r="E6">
        <f>SUMPRODUCT((MONTH(CHOOSE({1,2,3,4},KMB!U6,KMB!AA6,KMB!AG6,KMB!AM6))=5)*(CHOOSE({1,2,3,4},KMB!X6,KMB!AD6,KMB!AJ6,KMB!AP6)))</f>
        <v>0</v>
      </c>
      <c r="F6">
        <f>SUMPRODUCT((MONTH(CHOOSE({1,2,3,4},KMB!U6,KMB!AA6,KMB!AG6,KMB!AM6))=6)*(CHOOSE({1,2,3,4},KMB!X6,KMB!AD6,KMB!AJ6,KMB!AP6)))</f>
        <v>0</v>
      </c>
      <c r="G6">
        <f>SUMPRODUCT((MONTH(CHOOSE({1,2,3,4},KMB!U6,KMB!AA6,KMB!AG6,KMB!AM6))=7)*(CHOOSE({1,2,3,4},KMB!X6,KMB!AD6,KMB!AJ6,KMB!AP6)))</f>
        <v>0</v>
      </c>
      <c r="H6">
        <f>SUMPRODUCT((MONTH(CHOOSE({1,2,3,4},KMB!U6,KMB!AA6,KMB!AG6,KMB!AM6))=8)*(CHOOSE({1,2,3,4},KMB!X6,KMB!AD6,KMB!AJ6,KMB!AP6)))</f>
        <v>0</v>
      </c>
      <c r="I6">
        <f>SUMPRODUCT((MONTH(CHOOSE({1,2,3,4},KMB!U6,KMB!AA6,KMB!AG6,KMB!AM6))=9)*(CHOOSE({1,2,3,4},KMB!X6,KMB!AD6,KMB!AJ6,KMB!AP6)))</f>
        <v>0</v>
      </c>
      <c r="J6">
        <f>SUMPRODUCT((MONTH(CHOOSE({1,2,3,4},KMB!U6,KMB!AA6,KMB!AG6,KMB!AM6))=10)*(CHOOSE({1,2,3,4},KMB!X6,KMB!AD6,KMB!AJ6,KMB!AP6)))</f>
        <v>0</v>
      </c>
      <c r="K6">
        <f>SUMPRODUCT((MONTH(CHOOSE({1,2,3,4},KMB!U6,KMB!AA6,KMB!AG6,KMB!AM6))=11)*(CHOOSE({1,2,3,4},KMB!X6,KMB!AD6,KMB!AJ6,KMB!AP6)))</f>
        <v>0</v>
      </c>
      <c r="L6">
        <f>SUMPRODUCT((MONTH(CHOOSE({1,2,3,4},KMB!U6,KMB!AA6,KMB!AG6,KMB!AM6))=12)*(CHOOSE({1,2,3,4},KMB!X6,KMB!AD6,KMB!AJ6,KMB!AP6)))</f>
        <v>0</v>
      </c>
    </row>
    <row r="7" spans="1:12">
      <c r="A7">
        <f>SUMPRODUCT((MONTH(CHOOSE({1,2,3,4},KMB!U7,KMB!AA7,KMB!AG7,KMB!AM7))=1)*(CHOOSE({1,2,3,4},KMB!X7,KMB!AD7,KMB!AJ7,KMB!AP7)))</f>
        <v>0</v>
      </c>
      <c r="B7">
        <f>SUMPRODUCT((MONTH(CHOOSE({1,2,3,4},KMB!U7,KMB!AA7,KMB!AG7,KMB!AM7))=2)*(CHOOSE({1,2,3,4},KMB!X7,KMB!AD7,KMB!AJ7,KMB!AP7)))</f>
        <v>0</v>
      </c>
      <c r="C7">
        <f>SUMPRODUCT((MONTH(CHOOSE({1,2,3,4},KMB!U7,KMB!AA7,KMB!AG7,KMB!AM7))=3)*(CHOOSE({1,2,3,4},KMB!X7,KMB!AD7,KMB!AJ7,KMB!AP7)))</f>
        <v>0</v>
      </c>
      <c r="D7">
        <f>SUMPRODUCT((MONTH(CHOOSE({1,2,3,4},KMB!U7,KMB!AA7,KMB!AG7,KMB!AM7))=4)*(CHOOSE({1,2,3,4},KMB!X7,KMB!AD7,KMB!AJ7,KMB!AP7)))</f>
        <v>0</v>
      </c>
      <c r="E7">
        <f>SUMPRODUCT((MONTH(CHOOSE({1,2,3,4},KMB!U7,KMB!AA7,KMB!AG7,KMB!AM7))=5)*(CHOOSE({1,2,3,4},KMB!X7,KMB!AD7,KMB!AJ7,KMB!AP7)))</f>
        <v>0</v>
      </c>
      <c r="F7">
        <f>SUMPRODUCT((MONTH(CHOOSE({1,2,3,4},KMB!U7,KMB!AA7,KMB!AG7,KMB!AM7))=6)*(CHOOSE({1,2,3,4},KMB!X7,KMB!AD7,KMB!AJ7,KMB!AP7)))</f>
        <v>0</v>
      </c>
      <c r="G7">
        <f>SUMPRODUCT((MONTH(CHOOSE({1,2,3,4},KMB!U7,KMB!AA7,KMB!AG7,KMB!AM7))=7)*(CHOOSE({1,2,3,4},KMB!X7,KMB!AD7,KMB!AJ7,KMB!AP7)))</f>
        <v>0</v>
      </c>
      <c r="H7">
        <f>SUMPRODUCT((MONTH(CHOOSE({1,2,3,4},KMB!U7,KMB!AA7,KMB!AG7,KMB!AM7))=8)*(CHOOSE({1,2,3,4},KMB!X7,KMB!AD7,KMB!AJ7,KMB!AP7)))</f>
        <v>0</v>
      </c>
      <c r="I7">
        <f>SUMPRODUCT((MONTH(CHOOSE({1,2,3,4},KMB!U7,KMB!AA7,KMB!AG7,KMB!AM7))=9)*(CHOOSE({1,2,3,4},KMB!X7,KMB!AD7,KMB!AJ7,KMB!AP7)))</f>
        <v>0</v>
      </c>
      <c r="J7">
        <f>SUMPRODUCT((MONTH(CHOOSE({1,2,3,4},KMB!U7,KMB!AA7,KMB!AG7,KMB!AM7))=10)*(CHOOSE({1,2,3,4},KMB!X7,KMB!AD7,KMB!AJ7,KMB!AP7)))</f>
        <v>0</v>
      </c>
      <c r="K7">
        <f>SUMPRODUCT((MONTH(CHOOSE({1,2,3,4},KMB!U7,KMB!AA7,KMB!AG7,KMB!AM7))=11)*(CHOOSE({1,2,3,4},KMB!X7,KMB!AD7,KMB!AJ7,KMB!AP7)))</f>
        <v>0</v>
      </c>
      <c r="L7">
        <f>SUMPRODUCT((MONTH(CHOOSE({1,2,3,4},KMB!U7,KMB!AA7,KMB!AG7,KMB!AM7))=12)*(CHOOSE({1,2,3,4},KMB!X7,KMB!AD7,KMB!AJ7,KMB!AP7)))</f>
        <v>0</v>
      </c>
    </row>
    <row r="8" spans="1:12">
      <c r="A8">
        <f>SUMPRODUCT((MONTH(CHOOSE({1,2,3,4},KMB!U8,KMB!AA8,KMB!AG8,KMB!AM8))=1)*(CHOOSE({1,2,3,4},KMB!X8,KMB!AD8,KMB!AJ8,KMB!AP8)))</f>
        <v>0</v>
      </c>
      <c r="B8">
        <f>SUMPRODUCT((MONTH(CHOOSE({1,2,3,4},KMB!U8,KMB!AA8,KMB!AG8,KMB!AM8))=2)*(CHOOSE({1,2,3,4},KMB!X8,KMB!AD8,KMB!AJ8,KMB!AP8)))</f>
        <v>0</v>
      </c>
      <c r="C8">
        <f>SUMPRODUCT((MONTH(CHOOSE({1,2,3,4},KMB!U8,KMB!AA8,KMB!AG8,KMB!AM8))=3)*(CHOOSE({1,2,3,4},KMB!X8,KMB!AD8,KMB!AJ8,KMB!AP8)))</f>
        <v>0</v>
      </c>
      <c r="D8">
        <f>SUMPRODUCT((MONTH(CHOOSE({1,2,3,4},KMB!U8,KMB!AA8,KMB!AG8,KMB!AM8))=4)*(CHOOSE({1,2,3,4},KMB!X8,KMB!AD8,KMB!AJ8,KMB!AP8)))</f>
        <v>0</v>
      </c>
      <c r="E8">
        <f>SUMPRODUCT((MONTH(CHOOSE({1,2,3,4},KMB!U8,KMB!AA8,KMB!AG8,KMB!AM8))=5)*(CHOOSE({1,2,3,4},KMB!X8,KMB!AD8,KMB!AJ8,KMB!AP8)))</f>
        <v>0</v>
      </c>
      <c r="F8">
        <f>SUMPRODUCT((MONTH(CHOOSE({1,2,3,4},KMB!U8,KMB!AA8,KMB!AG8,KMB!AM8))=6)*(CHOOSE({1,2,3,4},KMB!X8,KMB!AD8,KMB!AJ8,KMB!AP8)))</f>
        <v>0</v>
      </c>
      <c r="G8">
        <f>SUMPRODUCT((MONTH(CHOOSE({1,2,3,4},KMB!U8,KMB!AA8,KMB!AG8,KMB!AM8))=7)*(CHOOSE({1,2,3,4},KMB!X8,KMB!AD8,KMB!AJ8,KMB!AP8)))</f>
        <v>0</v>
      </c>
      <c r="H8">
        <f>SUMPRODUCT((MONTH(CHOOSE({1,2,3,4},KMB!U8,KMB!AA8,KMB!AG8,KMB!AM8))=8)*(CHOOSE({1,2,3,4},KMB!X8,KMB!AD8,KMB!AJ8,KMB!AP8)))</f>
        <v>0</v>
      </c>
      <c r="I8">
        <f>SUMPRODUCT((MONTH(CHOOSE({1,2,3,4},KMB!U8,KMB!AA8,KMB!AG8,KMB!AM8))=9)*(CHOOSE({1,2,3,4},KMB!X8,KMB!AD8,KMB!AJ8,KMB!AP8)))</f>
        <v>0</v>
      </c>
      <c r="J8">
        <f>SUMPRODUCT((MONTH(CHOOSE({1,2,3,4},KMB!U8,KMB!AA8,KMB!AG8,KMB!AM8))=10)*(CHOOSE({1,2,3,4},KMB!X8,KMB!AD8,KMB!AJ8,KMB!AP8)))</f>
        <v>0</v>
      </c>
      <c r="K8">
        <f>SUMPRODUCT((MONTH(CHOOSE({1,2,3,4},KMB!U8,KMB!AA8,KMB!AG8,KMB!AM8))=11)*(CHOOSE({1,2,3,4},KMB!X8,KMB!AD8,KMB!AJ8,KMB!AP8)))</f>
        <v>0</v>
      </c>
      <c r="L8">
        <f>SUMPRODUCT((MONTH(CHOOSE({1,2,3,4},KMB!U8,KMB!AA8,KMB!AG8,KMB!AM8))=12)*(CHOOSE({1,2,3,4},KMB!X8,KMB!AD8,KMB!AJ8,KMB!AP8)))</f>
        <v>0</v>
      </c>
    </row>
    <row r="9" spans="1:12">
      <c r="A9">
        <f>SUMPRODUCT((MONTH(CHOOSE({1,2,3,4},KMB!U9,KMB!AA9,KMB!AG9,KMB!AM9))=1)*(CHOOSE({1,2,3,4},KMB!X9,KMB!AD9,KMB!AJ9,KMB!AP9)))</f>
        <v>0</v>
      </c>
      <c r="B9">
        <f>SUMPRODUCT((MONTH(CHOOSE({1,2,3,4},KMB!U9,KMB!AA9,KMB!AG9,KMB!AM9))=2)*(CHOOSE({1,2,3,4},KMB!X9,KMB!AD9,KMB!AJ9,KMB!AP9)))</f>
        <v>0</v>
      </c>
      <c r="C9">
        <f>SUMPRODUCT((MONTH(CHOOSE({1,2,3,4},KMB!U9,KMB!AA9,KMB!AG9,KMB!AM9))=3)*(CHOOSE({1,2,3,4},KMB!X9,KMB!AD9,KMB!AJ9,KMB!AP9)))</f>
        <v>0</v>
      </c>
      <c r="D9">
        <f>SUMPRODUCT((MONTH(CHOOSE({1,2,3,4},KMB!U9,KMB!AA9,KMB!AG9,KMB!AM9))=4)*(CHOOSE({1,2,3,4},KMB!X9,KMB!AD9,KMB!AJ9,KMB!AP9)))</f>
        <v>0</v>
      </c>
      <c r="E9">
        <f>SUMPRODUCT((MONTH(CHOOSE({1,2,3,4},KMB!U9,KMB!AA9,KMB!AG9,KMB!AM9))=5)*(CHOOSE({1,2,3,4},KMB!X9,KMB!AD9,KMB!AJ9,KMB!AP9)))</f>
        <v>0</v>
      </c>
      <c r="F9">
        <f>SUMPRODUCT((MONTH(CHOOSE({1,2,3,4},KMB!U9,KMB!AA9,KMB!AG9,KMB!AM9))=6)*(CHOOSE({1,2,3,4},KMB!X9,KMB!AD9,KMB!AJ9,KMB!AP9)))</f>
        <v>0</v>
      </c>
      <c r="G9">
        <f>SUMPRODUCT((MONTH(CHOOSE({1,2,3,4},KMB!U9,KMB!AA9,KMB!AG9,KMB!AM9))=7)*(CHOOSE({1,2,3,4},KMB!X9,KMB!AD9,KMB!AJ9,KMB!AP9)))</f>
        <v>0</v>
      </c>
      <c r="H9">
        <f>SUMPRODUCT((MONTH(CHOOSE({1,2,3,4},KMB!U9,KMB!AA9,KMB!AG9,KMB!AM9))=8)*(CHOOSE({1,2,3,4},KMB!X9,KMB!AD9,KMB!AJ9,KMB!AP9)))</f>
        <v>0</v>
      </c>
      <c r="I9">
        <f>SUMPRODUCT((MONTH(CHOOSE({1,2,3,4},KMB!U9,KMB!AA9,KMB!AG9,KMB!AM9))=9)*(CHOOSE({1,2,3,4},KMB!X9,KMB!AD9,KMB!AJ9,KMB!AP9)))</f>
        <v>0</v>
      </c>
      <c r="J9">
        <f>SUMPRODUCT((MONTH(CHOOSE({1,2,3,4},KMB!U9,KMB!AA9,KMB!AG9,KMB!AM9))=10)*(CHOOSE({1,2,3,4},KMB!X9,KMB!AD9,KMB!AJ9,KMB!AP9)))</f>
        <v>0</v>
      </c>
      <c r="K9">
        <f>SUMPRODUCT((MONTH(CHOOSE({1,2,3,4},KMB!U9,KMB!AA9,KMB!AG9,KMB!AM9))=11)*(CHOOSE({1,2,3,4},KMB!X9,KMB!AD9,KMB!AJ9,KMB!AP9)))</f>
        <v>0</v>
      </c>
      <c r="L9">
        <f>SUMPRODUCT((MONTH(CHOOSE({1,2,3,4},KMB!U9,KMB!AA9,KMB!AG9,KMB!AM9))=12)*(CHOOSE({1,2,3,4},KMB!X9,KMB!AD9,KMB!AJ9,KMB!AP9)))</f>
        <v>0</v>
      </c>
    </row>
    <row r="10" spans="1:12">
      <c r="A10">
        <f>SUMPRODUCT((MONTH(CHOOSE({1,2,3,4},KMB!U10,KMB!AA10,KMB!AG10,KMB!AM10))=1)*(CHOOSE({1,2,3,4},KMB!X10,KMB!AD10,KMB!AJ10,KMB!AP10)))</f>
        <v>0</v>
      </c>
      <c r="B10">
        <f>SUMPRODUCT((MONTH(CHOOSE({1,2,3,4},KMB!U10,KMB!AA10,KMB!AG10,KMB!AM10))=2)*(CHOOSE({1,2,3,4},KMB!X10,KMB!AD10,KMB!AJ10,KMB!AP10)))</f>
        <v>0</v>
      </c>
      <c r="C10">
        <f>SUMPRODUCT((MONTH(CHOOSE({1,2,3,4},KMB!U10,KMB!AA10,KMB!AG10,KMB!AM10))=3)*(CHOOSE({1,2,3,4},KMB!X10,KMB!AD10,KMB!AJ10,KMB!AP10)))</f>
        <v>0</v>
      </c>
      <c r="D10">
        <f>SUMPRODUCT((MONTH(CHOOSE({1,2,3,4},KMB!U10,KMB!AA10,KMB!AG10,KMB!AM10))=4)*(CHOOSE({1,2,3,4},KMB!X10,KMB!AD10,KMB!AJ10,KMB!AP10)))</f>
        <v>0</v>
      </c>
      <c r="E10">
        <f>SUMPRODUCT((MONTH(CHOOSE({1,2,3,4},KMB!U10,KMB!AA10,KMB!AG10,KMB!AM10))=5)*(CHOOSE({1,2,3,4},KMB!X10,KMB!AD10,KMB!AJ10,KMB!AP10)))</f>
        <v>0</v>
      </c>
      <c r="F10">
        <f>SUMPRODUCT((MONTH(CHOOSE({1,2,3,4},KMB!U10,KMB!AA10,KMB!AG10,KMB!AM10))=6)*(CHOOSE({1,2,3,4},KMB!X10,KMB!AD10,KMB!AJ10,KMB!AP10)))</f>
        <v>0</v>
      </c>
      <c r="G10">
        <f>SUMPRODUCT((MONTH(CHOOSE({1,2,3,4},KMB!U10,KMB!AA10,KMB!AG10,KMB!AM10))=7)*(CHOOSE({1,2,3,4},KMB!X10,KMB!AD10,KMB!AJ10,KMB!AP10)))</f>
        <v>0</v>
      </c>
      <c r="H10">
        <f>SUMPRODUCT((MONTH(CHOOSE({1,2,3,4},KMB!U10,KMB!AA10,KMB!AG10,KMB!AM10))=8)*(CHOOSE({1,2,3,4},KMB!X10,KMB!AD10,KMB!AJ10,KMB!AP10)))</f>
        <v>0</v>
      </c>
      <c r="I10">
        <f>SUMPRODUCT((MONTH(CHOOSE({1,2,3,4},KMB!U10,KMB!AA10,KMB!AG10,KMB!AM10))=9)*(CHOOSE({1,2,3,4},KMB!X10,KMB!AD10,KMB!AJ10,KMB!AP10)))</f>
        <v>0</v>
      </c>
      <c r="J10">
        <f>SUMPRODUCT((MONTH(CHOOSE({1,2,3,4},KMB!U10,KMB!AA10,KMB!AG10,KMB!AM10))=10)*(CHOOSE({1,2,3,4},KMB!X10,KMB!AD10,KMB!AJ10,KMB!AP10)))</f>
        <v>0</v>
      </c>
      <c r="K10">
        <f>SUMPRODUCT((MONTH(CHOOSE({1,2,3,4},KMB!U10,KMB!AA10,KMB!AG10,KMB!AM10))=11)*(CHOOSE({1,2,3,4},KMB!X10,KMB!AD10,KMB!AJ10,KMB!AP10)))</f>
        <v>0</v>
      </c>
      <c r="L10">
        <f>SUMPRODUCT((MONTH(CHOOSE({1,2,3,4},KMB!U10,KMB!AA10,KMB!AG10,KMB!AM10))=12)*(CHOOSE({1,2,3,4},KMB!X10,KMB!AD10,KMB!AJ10,KMB!AP10)))</f>
        <v>0</v>
      </c>
    </row>
    <row r="11" spans="1:12">
      <c r="A11">
        <f>SUMPRODUCT((MONTH(CHOOSE({1,2,3,4},KMB!U11,KMB!AA11,KMB!AG11,KMB!AM11))=1)*(CHOOSE({1,2,3,4},KMB!X11,KMB!AD11,KMB!AJ11,KMB!AP11)))</f>
        <v>0</v>
      </c>
      <c r="B11">
        <f>SUMPRODUCT((MONTH(CHOOSE({1,2,3,4},KMB!U11,KMB!AA11,KMB!AG11,KMB!AM11))=2)*(CHOOSE({1,2,3,4},KMB!X11,KMB!AD11,KMB!AJ11,KMB!AP11)))</f>
        <v>0</v>
      </c>
      <c r="C11">
        <f>SUMPRODUCT((MONTH(CHOOSE({1,2,3,4},KMB!U11,KMB!AA11,KMB!AG11,KMB!AM11))=3)*(CHOOSE({1,2,3,4},KMB!X11,KMB!AD11,KMB!AJ11,KMB!AP11)))</f>
        <v>0</v>
      </c>
      <c r="D11">
        <f>SUMPRODUCT((MONTH(CHOOSE({1,2,3,4},KMB!U11,KMB!AA11,KMB!AG11,KMB!AM11))=4)*(CHOOSE({1,2,3,4},KMB!X11,KMB!AD11,KMB!AJ11,KMB!AP11)))</f>
        <v>0</v>
      </c>
      <c r="E11">
        <f>SUMPRODUCT((MONTH(CHOOSE({1,2,3,4},KMB!U11,KMB!AA11,KMB!AG11,KMB!AM11))=5)*(CHOOSE({1,2,3,4},KMB!X11,KMB!AD11,KMB!AJ11,KMB!AP11)))</f>
        <v>0</v>
      </c>
      <c r="F11">
        <f>SUMPRODUCT((MONTH(CHOOSE({1,2,3,4},KMB!U11,KMB!AA11,KMB!AG11,KMB!AM11))=6)*(CHOOSE({1,2,3,4},KMB!X11,KMB!AD11,KMB!AJ11,KMB!AP11)))</f>
        <v>0</v>
      </c>
      <c r="G11">
        <f>SUMPRODUCT((MONTH(CHOOSE({1,2,3,4},KMB!U11,KMB!AA11,KMB!AG11,KMB!AM11))=7)*(CHOOSE({1,2,3,4},KMB!X11,KMB!AD11,KMB!AJ11,KMB!AP11)))</f>
        <v>0</v>
      </c>
      <c r="H11">
        <f>SUMPRODUCT((MONTH(CHOOSE({1,2,3,4},KMB!U11,KMB!AA11,KMB!AG11,KMB!AM11))=8)*(CHOOSE({1,2,3,4},KMB!X11,KMB!AD11,KMB!AJ11,KMB!AP11)))</f>
        <v>0</v>
      </c>
      <c r="I11">
        <f>SUMPRODUCT((MONTH(CHOOSE({1,2,3,4},KMB!U11,KMB!AA11,KMB!AG11,KMB!AM11))=9)*(CHOOSE({1,2,3,4},KMB!X11,KMB!AD11,KMB!AJ11,KMB!AP11)))</f>
        <v>0</v>
      </c>
      <c r="J11">
        <f>SUMPRODUCT((MONTH(CHOOSE({1,2,3,4},KMB!U11,KMB!AA11,KMB!AG11,KMB!AM11))=10)*(CHOOSE({1,2,3,4},KMB!X11,KMB!AD11,KMB!AJ11,KMB!AP11)))</f>
        <v>0</v>
      </c>
      <c r="K11">
        <f>SUMPRODUCT((MONTH(CHOOSE({1,2,3,4},KMB!U11,KMB!AA11,KMB!AG11,KMB!AM11))=11)*(CHOOSE({1,2,3,4},KMB!X11,KMB!AD11,KMB!AJ11,KMB!AP11)))</f>
        <v>0</v>
      </c>
      <c r="L11">
        <f>SUMPRODUCT((MONTH(CHOOSE({1,2,3,4},KMB!U11,KMB!AA11,KMB!AG11,KMB!AM11))=12)*(CHOOSE({1,2,3,4},KMB!X11,KMB!AD11,KMB!AJ11,KMB!AP11)))</f>
        <v>0</v>
      </c>
    </row>
    <row r="12" spans="1:12">
      <c r="A12">
        <f>SUMPRODUCT((MONTH(CHOOSE({1,2,3,4},KMB!U12,KMB!AA12,KMB!AG12,KMB!AM12))=1)*(CHOOSE({1,2,3,4},KMB!X12,KMB!AD12,KMB!AJ12,KMB!AP12)))</f>
        <v>0</v>
      </c>
      <c r="B12">
        <f>SUMPRODUCT((MONTH(CHOOSE({1,2,3,4},KMB!U12,KMB!AA12,KMB!AG12,KMB!AM12))=2)*(CHOOSE({1,2,3,4},KMB!X12,KMB!AD12,KMB!AJ12,KMB!AP12)))</f>
        <v>0</v>
      </c>
      <c r="C12">
        <f>SUMPRODUCT((MONTH(CHOOSE({1,2,3,4},KMB!U12,KMB!AA12,KMB!AG12,KMB!AM12))=3)*(CHOOSE({1,2,3,4},KMB!X12,KMB!AD12,KMB!AJ12,KMB!AP12)))</f>
        <v>0</v>
      </c>
      <c r="D12">
        <f>SUMPRODUCT((MONTH(CHOOSE({1,2,3,4},KMB!U12,KMB!AA12,KMB!AG12,KMB!AM12))=4)*(CHOOSE({1,2,3,4},KMB!X12,KMB!AD12,KMB!AJ12,KMB!AP12)))</f>
        <v>0</v>
      </c>
      <c r="E12">
        <f>SUMPRODUCT((MONTH(CHOOSE({1,2,3,4},KMB!U12,KMB!AA12,KMB!AG12,KMB!AM12))=5)*(CHOOSE({1,2,3,4},KMB!X12,KMB!AD12,KMB!AJ12,KMB!AP12)))</f>
        <v>0</v>
      </c>
      <c r="F12">
        <f>SUMPRODUCT((MONTH(CHOOSE({1,2,3,4},KMB!U12,KMB!AA12,KMB!AG12,KMB!AM12))=6)*(CHOOSE({1,2,3,4},KMB!X12,KMB!AD12,KMB!AJ12,KMB!AP12)))</f>
        <v>0</v>
      </c>
      <c r="G12">
        <f>SUMPRODUCT((MONTH(CHOOSE({1,2,3,4},KMB!U12,KMB!AA12,KMB!AG12,KMB!AM12))=7)*(CHOOSE({1,2,3,4},KMB!X12,KMB!AD12,KMB!AJ12,KMB!AP12)))</f>
        <v>0</v>
      </c>
      <c r="H12">
        <f>SUMPRODUCT((MONTH(CHOOSE({1,2,3,4},KMB!U12,KMB!AA12,KMB!AG12,KMB!AM12))=8)*(CHOOSE({1,2,3,4},KMB!X12,KMB!AD12,KMB!AJ12,KMB!AP12)))</f>
        <v>0</v>
      </c>
      <c r="I12">
        <f>SUMPRODUCT((MONTH(CHOOSE({1,2,3,4},KMB!U12,KMB!AA12,KMB!AG12,KMB!AM12))=9)*(CHOOSE({1,2,3,4},KMB!X12,KMB!AD12,KMB!AJ12,KMB!AP12)))</f>
        <v>0</v>
      </c>
      <c r="J12">
        <f>SUMPRODUCT((MONTH(CHOOSE({1,2,3,4},KMB!U12,KMB!AA12,KMB!AG12,KMB!AM12))=10)*(CHOOSE({1,2,3,4},KMB!X12,KMB!AD12,KMB!AJ12,KMB!AP12)))</f>
        <v>0</v>
      </c>
      <c r="K12">
        <f>SUMPRODUCT((MONTH(CHOOSE({1,2,3,4},KMB!U12,KMB!AA12,KMB!AG12,KMB!AM12))=11)*(CHOOSE({1,2,3,4},KMB!X12,KMB!AD12,KMB!AJ12,KMB!AP12)))</f>
        <v>0</v>
      </c>
      <c r="L12">
        <f>SUMPRODUCT((MONTH(CHOOSE({1,2,3,4},KMB!U12,KMB!AA12,KMB!AG12,KMB!AM12))=12)*(CHOOSE({1,2,3,4},KMB!X12,KMB!AD12,KMB!AJ12,KMB!AP12)))</f>
        <v>0</v>
      </c>
    </row>
    <row r="13" spans="1:12">
      <c r="A13">
        <f>SUMPRODUCT((MONTH(CHOOSE({1,2,3,4},KMB!U13,KMB!AA13,KMB!AG13,KMB!AM13))=1)*(CHOOSE({1,2,3,4},KMB!X13,KMB!AD13,KMB!AJ13,KMB!AP13)))</f>
        <v>0</v>
      </c>
      <c r="B13">
        <f>SUMPRODUCT((MONTH(CHOOSE({1,2,3,4},KMB!U13,KMB!AA13,KMB!AG13,KMB!AM13))=2)*(CHOOSE({1,2,3,4},KMB!X13,KMB!AD13,KMB!AJ13,KMB!AP13)))</f>
        <v>0</v>
      </c>
      <c r="C13">
        <f>SUMPRODUCT((MONTH(CHOOSE({1,2,3,4},KMB!U13,KMB!AA13,KMB!AG13,KMB!AM13))=3)*(CHOOSE({1,2,3,4},KMB!X13,KMB!AD13,KMB!AJ13,KMB!AP13)))</f>
        <v>0</v>
      </c>
      <c r="D13">
        <f>SUMPRODUCT((MONTH(CHOOSE({1,2,3,4},KMB!U13,KMB!AA13,KMB!AG13,KMB!AM13))=4)*(CHOOSE({1,2,3,4},KMB!X13,KMB!AD13,KMB!AJ13,KMB!AP13)))</f>
        <v>0</v>
      </c>
      <c r="E13">
        <f>SUMPRODUCT((MONTH(CHOOSE({1,2,3,4},KMB!U13,KMB!AA13,KMB!AG13,KMB!AM13))=5)*(CHOOSE({1,2,3,4},KMB!X13,KMB!AD13,KMB!AJ13,KMB!AP13)))</f>
        <v>0</v>
      </c>
      <c r="F13">
        <f>SUMPRODUCT((MONTH(CHOOSE({1,2,3,4},KMB!U13,KMB!AA13,KMB!AG13,KMB!AM13))=6)*(CHOOSE({1,2,3,4},KMB!X13,KMB!AD13,KMB!AJ13,KMB!AP13)))</f>
        <v>0</v>
      </c>
      <c r="G13">
        <f>SUMPRODUCT((MONTH(CHOOSE({1,2,3,4},KMB!U13,KMB!AA13,KMB!AG13,KMB!AM13))=7)*(CHOOSE({1,2,3,4},KMB!X13,KMB!AD13,KMB!AJ13,KMB!AP13)))</f>
        <v>0</v>
      </c>
      <c r="H13">
        <f>SUMPRODUCT((MONTH(CHOOSE({1,2,3,4},KMB!U13,KMB!AA13,KMB!AG13,KMB!AM13))=8)*(CHOOSE({1,2,3,4},KMB!X13,KMB!AD13,KMB!AJ13,KMB!AP13)))</f>
        <v>0</v>
      </c>
      <c r="I13">
        <f>SUMPRODUCT((MONTH(CHOOSE({1,2,3,4},KMB!U13,KMB!AA13,KMB!AG13,KMB!AM13))=9)*(CHOOSE({1,2,3,4},KMB!X13,KMB!AD13,KMB!AJ13,KMB!AP13)))</f>
        <v>0</v>
      </c>
      <c r="J13">
        <f>SUMPRODUCT((MONTH(CHOOSE({1,2,3,4},KMB!U13,KMB!AA13,KMB!AG13,KMB!AM13))=10)*(CHOOSE({1,2,3,4},KMB!X13,KMB!AD13,KMB!AJ13,KMB!AP13)))</f>
        <v>0</v>
      </c>
      <c r="K13">
        <f>SUMPRODUCT((MONTH(CHOOSE({1,2,3,4},KMB!U13,KMB!AA13,KMB!AG13,KMB!AM13))=11)*(CHOOSE({1,2,3,4},KMB!X13,KMB!AD13,KMB!AJ13,KMB!AP13)))</f>
        <v>0</v>
      </c>
      <c r="L13">
        <f>SUMPRODUCT((MONTH(CHOOSE({1,2,3,4},KMB!U13,KMB!AA13,KMB!AG13,KMB!AM13))=12)*(CHOOSE({1,2,3,4},KMB!X13,KMB!AD13,KMB!AJ13,KMB!AP13)))</f>
        <v>0</v>
      </c>
    </row>
    <row r="14" spans="1:12">
      <c r="A14">
        <f>SUMPRODUCT((MONTH(CHOOSE({1,2,3,4},KMB!U14,KMB!AA14,KMB!AG14,KMB!AM14))=1)*(CHOOSE({1,2,3,4},KMB!X14,KMB!AD14,KMB!AJ14,KMB!AP14)))</f>
        <v>0</v>
      </c>
      <c r="B14">
        <f>SUMPRODUCT((MONTH(CHOOSE({1,2,3,4},KMB!U14,KMB!AA14,KMB!AG14,KMB!AM14))=2)*(CHOOSE({1,2,3,4},KMB!X14,KMB!AD14,KMB!AJ14,KMB!AP14)))</f>
        <v>0</v>
      </c>
      <c r="C14">
        <f>SUMPRODUCT((MONTH(CHOOSE({1,2,3,4},KMB!U14,KMB!AA14,KMB!AG14,KMB!AM14))=3)*(CHOOSE({1,2,3,4},KMB!X14,KMB!AD14,KMB!AJ14,KMB!AP14)))</f>
        <v>0</v>
      </c>
      <c r="D14">
        <f>SUMPRODUCT((MONTH(CHOOSE({1,2,3,4},KMB!U14,KMB!AA14,KMB!AG14,KMB!AM14))=4)*(CHOOSE({1,2,3,4},KMB!X14,KMB!AD14,KMB!AJ14,KMB!AP14)))</f>
        <v>0</v>
      </c>
      <c r="E14">
        <f>SUMPRODUCT((MONTH(CHOOSE({1,2,3,4},KMB!U14,KMB!AA14,KMB!AG14,KMB!AM14))=5)*(CHOOSE({1,2,3,4},KMB!X14,KMB!AD14,KMB!AJ14,KMB!AP14)))</f>
        <v>0</v>
      </c>
      <c r="F14">
        <f>SUMPRODUCT((MONTH(CHOOSE({1,2,3,4},KMB!U14,KMB!AA14,KMB!AG14,KMB!AM14))=6)*(CHOOSE({1,2,3,4},KMB!X14,KMB!AD14,KMB!AJ14,KMB!AP14)))</f>
        <v>0</v>
      </c>
      <c r="G14">
        <f>SUMPRODUCT((MONTH(CHOOSE({1,2,3,4},KMB!U14,KMB!AA14,KMB!AG14,KMB!AM14))=7)*(CHOOSE({1,2,3,4},KMB!X14,KMB!AD14,KMB!AJ14,KMB!AP14)))</f>
        <v>0</v>
      </c>
      <c r="H14">
        <f>SUMPRODUCT((MONTH(CHOOSE({1,2,3,4},KMB!U14,KMB!AA14,KMB!AG14,KMB!AM14))=8)*(CHOOSE({1,2,3,4},KMB!X14,KMB!AD14,KMB!AJ14,KMB!AP14)))</f>
        <v>0</v>
      </c>
      <c r="I14">
        <f>SUMPRODUCT((MONTH(CHOOSE({1,2,3,4},KMB!U14,KMB!AA14,KMB!AG14,KMB!AM14))=9)*(CHOOSE({1,2,3,4},KMB!X14,KMB!AD14,KMB!AJ14,KMB!AP14)))</f>
        <v>0</v>
      </c>
      <c r="J14">
        <f>SUMPRODUCT((MONTH(CHOOSE({1,2,3,4},KMB!U14,KMB!AA14,KMB!AG14,KMB!AM14))=10)*(CHOOSE({1,2,3,4},KMB!X14,KMB!AD14,KMB!AJ14,KMB!AP14)))</f>
        <v>0</v>
      </c>
      <c r="K14">
        <f>SUMPRODUCT((MONTH(CHOOSE({1,2,3,4},KMB!U14,KMB!AA14,KMB!AG14,KMB!AM14))=11)*(CHOOSE({1,2,3,4},KMB!X14,KMB!AD14,KMB!AJ14,KMB!AP14)))</f>
        <v>0</v>
      </c>
      <c r="L14">
        <f>SUMPRODUCT((MONTH(CHOOSE({1,2,3,4},KMB!U14,KMB!AA14,KMB!AG14,KMB!AM14))=12)*(CHOOSE({1,2,3,4},KMB!X14,KMB!AD14,KMB!AJ14,KMB!AP14)))</f>
        <v>0</v>
      </c>
    </row>
    <row r="15" spans="1:12">
      <c r="A15">
        <f>SUMPRODUCT((MONTH(CHOOSE({1,2,3,4},KMB!U15,KMB!AA15,KMB!AG15,KMB!AM15))=1)*(CHOOSE({1,2,3,4},KMB!X15,KMB!AD15,KMB!AJ15,KMB!AP15)))</f>
        <v>0</v>
      </c>
      <c r="B15">
        <f>SUMPRODUCT((MONTH(CHOOSE({1,2,3,4},KMB!U15,KMB!AA15,KMB!AG15,KMB!AM15))=2)*(CHOOSE({1,2,3,4},KMB!X15,KMB!AD15,KMB!AJ15,KMB!AP15)))</f>
        <v>0</v>
      </c>
      <c r="C15">
        <f>SUMPRODUCT((MONTH(CHOOSE({1,2,3,4},KMB!U15,KMB!AA15,KMB!AG15,KMB!AM15))=3)*(CHOOSE({1,2,3,4},KMB!X15,KMB!AD15,KMB!AJ15,KMB!AP15)))</f>
        <v>0</v>
      </c>
      <c r="D15">
        <f>SUMPRODUCT((MONTH(CHOOSE({1,2,3,4},KMB!U15,KMB!AA15,KMB!AG15,KMB!AM15))=4)*(CHOOSE({1,2,3,4},KMB!X15,KMB!AD15,KMB!AJ15,KMB!AP15)))</f>
        <v>0</v>
      </c>
      <c r="E15">
        <f>SUMPRODUCT((MONTH(CHOOSE({1,2,3,4},KMB!U15,KMB!AA15,KMB!AG15,KMB!AM15))=5)*(CHOOSE({1,2,3,4},KMB!X15,KMB!AD15,KMB!AJ15,KMB!AP15)))</f>
        <v>0</v>
      </c>
      <c r="F15">
        <f>SUMPRODUCT((MONTH(CHOOSE({1,2,3,4},KMB!U15,KMB!AA15,KMB!AG15,KMB!AM15))=6)*(CHOOSE({1,2,3,4},KMB!X15,KMB!AD15,KMB!AJ15,KMB!AP15)))</f>
        <v>0</v>
      </c>
      <c r="G15">
        <f>SUMPRODUCT((MONTH(CHOOSE({1,2,3,4},KMB!U15,KMB!AA15,KMB!AG15,KMB!AM15))=7)*(CHOOSE({1,2,3,4},KMB!X15,KMB!AD15,KMB!AJ15,KMB!AP15)))</f>
        <v>0</v>
      </c>
      <c r="H15">
        <f>SUMPRODUCT((MONTH(CHOOSE({1,2,3,4},KMB!U15,KMB!AA15,KMB!AG15,KMB!AM15))=8)*(CHOOSE({1,2,3,4},KMB!X15,KMB!AD15,KMB!AJ15,KMB!AP15)))</f>
        <v>0</v>
      </c>
      <c r="I15">
        <f>SUMPRODUCT((MONTH(CHOOSE({1,2,3,4},KMB!U15,KMB!AA15,KMB!AG15,KMB!AM15))=9)*(CHOOSE({1,2,3,4},KMB!X15,KMB!AD15,KMB!AJ15,KMB!AP15)))</f>
        <v>0</v>
      </c>
      <c r="J15">
        <f>SUMPRODUCT((MONTH(CHOOSE({1,2,3,4},KMB!U15,KMB!AA15,KMB!AG15,KMB!AM15))=10)*(CHOOSE({1,2,3,4},KMB!X15,KMB!AD15,KMB!AJ15,KMB!AP15)))</f>
        <v>0</v>
      </c>
      <c r="K15">
        <f>SUMPRODUCT((MONTH(CHOOSE({1,2,3,4},KMB!U15,KMB!AA15,KMB!AG15,KMB!AM15))=11)*(CHOOSE({1,2,3,4},KMB!X15,KMB!AD15,KMB!AJ15,KMB!AP15)))</f>
        <v>0</v>
      </c>
      <c r="L15">
        <f>SUMPRODUCT((MONTH(CHOOSE({1,2,3,4},KMB!U15,KMB!AA15,KMB!AG15,KMB!AM15))=12)*(CHOOSE({1,2,3,4},KMB!X15,KMB!AD15,KMB!AJ15,KMB!AP15)))</f>
        <v>0</v>
      </c>
    </row>
    <row r="16" spans="1:12">
      <c r="A16">
        <f>SUMPRODUCT((MONTH(CHOOSE({1,2,3,4},KMB!U16,KMB!AA16,KMB!AG16,KMB!AM16))=1)*(CHOOSE({1,2,3,4},KMB!X16,KMB!AD16,KMB!AJ16,KMB!AP16)))</f>
        <v>0</v>
      </c>
      <c r="B16">
        <f>SUMPRODUCT((MONTH(CHOOSE({1,2,3,4},KMB!U16,KMB!AA16,KMB!AG16,KMB!AM16))=2)*(CHOOSE({1,2,3,4},KMB!X16,KMB!AD16,KMB!AJ16,KMB!AP16)))</f>
        <v>0</v>
      </c>
      <c r="C16">
        <f>SUMPRODUCT((MONTH(CHOOSE({1,2,3,4},KMB!U16,KMB!AA16,KMB!AG16,KMB!AM16))=3)*(CHOOSE({1,2,3,4},KMB!X16,KMB!AD16,KMB!AJ16,KMB!AP16)))</f>
        <v>0</v>
      </c>
      <c r="D16">
        <f>SUMPRODUCT((MONTH(CHOOSE({1,2,3,4},KMB!U16,KMB!AA16,KMB!AG16,KMB!AM16))=4)*(CHOOSE({1,2,3,4},KMB!X16,KMB!AD16,KMB!AJ16,KMB!AP16)))</f>
        <v>0</v>
      </c>
      <c r="E16">
        <f>SUMPRODUCT((MONTH(CHOOSE({1,2,3,4},KMB!U16,KMB!AA16,KMB!AG16,KMB!AM16))=5)*(CHOOSE({1,2,3,4},KMB!X16,KMB!AD16,KMB!AJ16,KMB!AP16)))</f>
        <v>0</v>
      </c>
      <c r="F16">
        <f>SUMPRODUCT((MONTH(CHOOSE({1,2,3,4},KMB!U16,KMB!AA16,KMB!AG16,KMB!AM16))=6)*(CHOOSE({1,2,3,4},KMB!X16,KMB!AD16,KMB!AJ16,KMB!AP16)))</f>
        <v>0</v>
      </c>
      <c r="G16">
        <f>SUMPRODUCT((MONTH(CHOOSE({1,2,3,4},KMB!U16,KMB!AA16,KMB!AG16,KMB!AM16))=7)*(CHOOSE({1,2,3,4},KMB!X16,KMB!AD16,KMB!AJ16,KMB!AP16)))</f>
        <v>0</v>
      </c>
      <c r="H16">
        <f>SUMPRODUCT((MONTH(CHOOSE({1,2,3,4},KMB!U16,KMB!AA16,KMB!AG16,KMB!AM16))=8)*(CHOOSE({1,2,3,4},KMB!X16,KMB!AD16,KMB!AJ16,KMB!AP16)))</f>
        <v>0</v>
      </c>
      <c r="I16">
        <f>SUMPRODUCT((MONTH(CHOOSE({1,2,3,4},KMB!U16,KMB!AA16,KMB!AG16,KMB!AM16))=9)*(CHOOSE({1,2,3,4},KMB!X16,KMB!AD16,KMB!AJ16,KMB!AP16)))</f>
        <v>0</v>
      </c>
      <c r="J16">
        <f>SUMPRODUCT((MONTH(CHOOSE({1,2,3,4},KMB!U16,KMB!AA16,KMB!AG16,KMB!AM16))=10)*(CHOOSE({1,2,3,4},KMB!X16,KMB!AD16,KMB!AJ16,KMB!AP16)))</f>
        <v>0</v>
      </c>
      <c r="K16">
        <f>SUMPRODUCT((MONTH(CHOOSE({1,2,3,4},KMB!U16,KMB!AA16,KMB!AG16,KMB!AM16))=11)*(CHOOSE({1,2,3,4},KMB!X16,KMB!AD16,KMB!AJ16,KMB!AP16)))</f>
        <v>0</v>
      </c>
      <c r="L16">
        <f>SUMPRODUCT((MONTH(CHOOSE({1,2,3,4},KMB!U16,KMB!AA16,KMB!AG16,KMB!AM16))=12)*(CHOOSE({1,2,3,4},KMB!X16,KMB!AD16,KMB!AJ16,KMB!AP16)))</f>
        <v>0</v>
      </c>
    </row>
    <row r="17" spans="1:12">
      <c r="A17">
        <f>SUMPRODUCT((MONTH(CHOOSE({1,2,3,4},KMB!U17,KMB!AA17,KMB!AG17,KMB!AM17))=1)*(CHOOSE({1,2,3,4},KMB!X17,KMB!AD17,KMB!AJ17,KMB!AP17)))</f>
        <v>0</v>
      </c>
      <c r="B17">
        <f>SUMPRODUCT((MONTH(CHOOSE({1,2,3,4},KMB!U17,KMB!AA17,KMB!AG17,KMB!AM17))=2)*(CHOOSE({1,2,3,4},KMB!X17,KMB!AD17,KMB!AJ17,KMB!AP17)))</f>
        <v>0</v>
      </c>
      <c r="C17">
        <f>SUMPRODUCT((MONTH(CHOOSE({1,2,3,4},KMB!U17,KMB!AA17,KMB!AG17,KMB!AM17))=3)*(CHOOSE({1,2,3,4},KMB!X17,KMB!AD17,KMB!AJ17,KMB!AP17)))</f>
        <v>0</v>
      </c>
      <c r="D17">
        <f>SUMPRODUCT((MONTH(CHOOSE({1,2,3,4},KMB!U17,KMB!AA17,KMB!AG17,KMB!AM17))=4)*(CHOOSE({1,2,3,4},KMB!X17,KMB!AD17,KMB!AJ17,KMB!AP17)))</f>
        <v>0</v>
      </c>
      <c r="E17">
        <f>SUMPRODUCT((MONTH(CHOOSE({1,2,3,4},KMB!U17,KMB!AA17,KMB!AG17,KMB!AM17))=5)*(CHOOSE({1,2,3,4},KMB!X17,KMB!AD17,KMB!AJ17,KMB!AP17)))</f>
        <v>0</v>
      </c>
      <c r="F17">
        <f>SUMPRODUCT((MONTH(CHOOSE({1,2,3,4},KMB!U17,KMB!AA17,KMB!AG17,KMB!AM17))=6)*(CHOOSE({1,2,3,4},KMB!X17,KMB!AD17,KMB!AJ17,KMB!AP17)))</f>
        <v>0</v>
      </c>
      <c r="G17">
        <f>SUMPRODUCT((MONTH(CHOOSE({1,2,3,4},KMB!U17,KMB!AA17,KMB!AG17,KMB!AM17))=7)*(CHOOSE({1,2,3,4},KMB!X17,KMB!AD17,KMB!AJ17,KMB!AP17)))</f>
        <v>0</v>
      </c>
      <c r="H17">
        <f>SUMPRODUCT((MONTH(CHOOSE({1,2,3,4},KMB!U17,KMB!AA17,KMB!AG17,KMB!AM17))=8)*(CHOOSE({1,2,3,4},KMB!X17,KMB!AD17,KMB!AJ17,KMB!AP17)))</f>
        <v>0</v>
      </c>
      <c r="I17">
        <f>SUMPRODUCT((MONTH(CHOOSE({1,2,3,4},KMB!U17,KMB!AA17,KMB!AG17,KMB!AM17))=9)*(CHOOSE({1,2,3,4},KMB!X17,KMB!AD17,KMB!AJ17,KMB!AP17)))</f>
        <v>0</v>
      </c>
      <c r="J17">
        <f>SUMPRODUCT((MONTH(CHOOSE({1,2,3,4},KMB!U17,KMB!AA17,KMB!AG17,KMB!AM17))=10)*(CHOOSE({1,2,3,4},KMB!X17,KMB!AD17,KMB!AJ17,KMB!AP17)))</f>
        <v>0</v>
      </c>
      <c r="K17">
        <f>SUMPRODUCT((MONTH(CHOOSE({1,2,3,4},KMB!U17,KMB!AA17,KMB!AG17,KMB!AM17))=11)*(CHOOSE({1,2,3,4},KMB!X17,KMB!AD17,KMB!AJ17,KMB!AP17)))</f>
        <v>0</v>
      </c>
      <c r="L17">
        <f>SUMPRODUCT((MONTH(CHOOSE({1,2,3,4},KMB!U17,KMB!AA17,KMB!AG17,KMB!AM17))=12)*(CHOOSE({1,2,3,4},KMB!X17,KMB!AD17,KMB!AJ17,KMB!AP17)))</f>
        <v>0</v>
      </c>
    </row>
    <row r="18" spans="1:12">
      <c r="A18">
        <f>SUMPRODUCT((MONTH(CHOOSE({1,2,3,4},KMB!U18,KMB!AA18,KMB!AG18,KMB!AM18))=1)*(CHOOSE({1,2,3,4},KMB!X18,KMB!AD18,KMB!AJ18,KMB!AP18)))</f>
        <v>0</v>
      </c>
      <c r="B18">
        <f>SUMPRODUCT((MONTH(CHOOSE({1,2,3,4},KMB!U18,KMB!AA18,KMB!AG18,KMB!AM18))=2)*(CHOOSE({1,2,3,4},KMB!X18,KMB!AD18,KMB!AJ18,KMB!AP18)))</f>
        <v>0</v>
      </c>
      <c r="C18">
        <f>SUMPRODUCT((MONTH(CHOOSE({1,2,3,4},KMB!U18,KMB!AA18,KMB!AG18,KMB!AM18))=3)*(CHOOSE({1,2,3,4},KMB!X18,KMB!AD18,KMB!AJ18,KMB!AP18)))</f>
        <v>0</v>
      </c>
      <c r="D18">
        <f>SUMPRODUCT((MONTH(CHOOSE({1,2,3,4},KMB!U18,KMB!AA18,KMB!AG18,KMB!AM18))=4)*(CHOOSE({1,2,3,4},KMB!X18,KMB!AD18,KMB!AJ18,KMB!AP18)))</f>
        <v>0</v>
      </c>
      <c r="E18">
        <f>SUMPRODUCT((MONTH(CHOOSE({1,2,3,4},KMB!U18,KMB!AA18,KMB!AG18,KMB!AM18))=5)*(CHOOSE({1,2,3,4},KMB!X18,KMB!AD18,KMB!AJ18,KMB!AP18)))</f>
        <v>0</v>
      </c>
      <c r="F18">
        <f>SUMPRODUCT((MONTH(CHOOSE({1,2,3,4},KMB!U18,KMB!AA18,KMB!AG18,KMB!AM18))=6)*(CHOOSE({1,2,3,4},KMB!X18,KMB!AD18,KMB!AJ18,KMB!AP18)))</f>
        <v>0</v>
      </c>
      <c r="G18">
        <f>SUMPRODUCT((MONTH(CHOOSE({1,2,3,4},KMB!U18,KMB!AA18,KMB!AG18,KMB!AM18))=7)*(CHOOSE({1,2,3,4},KMB!X18,KMB!AD18,KMB!AJ18,KMB!AP18)))</f>
        <v>0</v>
      </c>
      <c r="H18">
        <f>SUMPRODUCT((MONTH(CHOOSE({1,2,3,4},KMB!U18,KMB!AA18,KMB!AG18,KMB!AM18))=8)*(CHOOSE({1,2,3,4},KMB!X18,KMB!AD18,KMB!AJ18,KMB!AP18)))</f>
        <v>0</v>
      </c>
      <c r="I18">
        <f>SUMPRODUCT((MONTH(CHOOSE({1,2,3,4},KMB!U18,KMB!AA18,KMB!AG18,KMB!AM18))=9)*(CHOOSE({1,2,3,4},KMB!X18,KMB!AD18,KMB!AJ18,KMB!AP18)))</f>
        <v>0</v>
      </c>
      <c r="J18">
        <f>SUMPRODUCT((MONTH(CHOOSE({1,2,3,4},KMB!U18,KMB!AA18,KMB!AG18,KMB!AM18))=10)*(CHOOSE({1,2,3,4},KMB!X18,KMB!AD18,KMB!AJ18,KMB!AP18)))</f>
        <v>0</v>
      </c>
      <c r="K18">
        <f>SUMPRODUCT((MONTH(CHOOSE({1,2,3,4},KMB!U18,KMB!AA18,KMB!AG18,KMB!AM18))=11)*(CHOOSE({1,2,3,4},KMB!X18,KMB!AD18,KMB!AJ18,KMB!AP18)))</f>
        <v>0</v>
      </c>
      <c r="L18">
        <f>SUMPRODUCT((MONTH(CHOOSE({1,2,3,4},KMB!U18,KMB!AA18,KMB!AG18,KMB!AM18))=12)*(CHOOSE({1,2,3,4},KMB!X18,KMB!AD18,KMB!AJ18,KMB!AP18)))</f>
        <v>0</v>
      </c>
    </row>
    <row r="19" spans="1:12">
      <c r="A19">
        <f>SUMPRODUCT((MONTH(CHOOSE({1,2,3,4},KMB!U19,KMB!AA19,KMB!AG19,KMB!AM19))=1)*(CHOOSE({1,2,3,4},KMB!X19,KMB!AD19,KMB!AJ19,KMB!AP19)))</f>
        <v>0</v>
      </c>
      <c r="B19">
        <f>SUMPRODUCT((MONTH(CHOOSE({1,2,3,4},KMB!U19,KMB!AA19,KMB!AG19,KMB!AM19))=2)*(CHOOSE({1,2,3,4},KMB!X19,KMB!AD19,KMB!AJ19,KMB!AP19)))</f>
        <v>0</v>
      </c>
      <c r="C19">
        <f>SUMPRODUCT((MONTH(CHOOSE({1,2,3,4},KMB!U19,KMB!AA19,KMB!AG19,KMB!AM19))=3)*(CHOOSE({1,2,3,4},KMB!X19,KMB!AD19,KMB!AJ19,KMB!AP19)))</f>
        <v>0</v>
      </c>
      <c r="D19">
        <f>SUMPRODUCT((MONTH(CHOOSE({1,2,3,4},KMB!U19,KMB!AA19,KMB!AG19,KMB!AM19))=4)*(CHOOSE({1,2,3,4},KMB!X19,KMB!AD19,KMB!AJ19,KMB!AP19)))</f>
        <v>0</v>
      </c>
      <c r="E19">
        <f>SUMPRODUCT((MONTH(CHOOSE({1,2,3,4},KMB!U19,KMB!AA19,KMB!AG19,KMB!AM19))=5)*(CHOOSE({1,2,3,4},KMB!X19,KMB!AD19,KMB!AJ19,KMB!AP19)))</f>
        <v>0</v>
      </c>
      <c r="F19">
        <f>SUMPRODUCT((MONTH(CHOOSE({1,2,3,4},KMB!U19,KMB!AA19,KMB!AG19,KMB!AM19))=6)*(CHOOSE({1,2,3,4},KMB!X19,KMB!AD19,KMB!AJ19,KMB!AP19)))</f>
        <v>0</v>
      </c>
      <c r="G19">
        <f>SUMPRODUCT((MONTH(CHOOSE({1,2,3,4},KMB!U19,KMB!AA19,KMB!AG19,KMB!AM19))=7)*(CHOOSE({1,2,3,4},KMB!X19,KMB!AD19,KMB!AJ19,KMB!AP19)))</f>
        <v>0</v>
      </c>
      <c r="H19">
        <f>SUMPRODUCT((MONTH(CHOOSE({1,2,3,4},KMB!U19,KMB!AA19,KMB!AG19,KMB!AM19))=8)*(CHOOSE({1,2,3,4},KMB!X19,KMB!AD19,KMB!AJ19,KMB!AP19)))</f>
        <v>0</v>
      </c>
      <c r="I19">
        <f>SUMPRODUCT((MONTH(CHOOSE({1,2,3,4},KMB!U19,KMB!AA19,KMB!AG19,KMB!AM19))=9)*(CHOOSE({1,2,3,4},KMB!X19,KMB!AD19,KMB!AJ19,KMB!AP19)))</f>
        <v>0</v>
      </c>
      <c r="J19">
        <f>SUMPRODUCT((MONTH(CHOOSE({1,2,3,4},KMB!U19,KMB!AA19,KMB!AG19,KMB!AM19))=10)*(CHOOSE({1,2,3,4},KMB!X19,KMB!AD19,KMB!AJ19,KMB!AP19)))</f>
        <v>0</v>
      </c>
      <c r="K19">
        <f>SUMPRODUCT((MONTH(CHOOSE({1,2,3,4},KMB!U19,KMB!AA19,KMB!AG19,KMB!AM19))=11)*(CHOOSE({1,2,3,4},KMB!X19,KMB!AD19,KMB!AJ19,KMB!AP19)))</f>
        <v>0</v>
      </c>
      <c r="L19">
        <f>SUMPRODUCT((MONTH(CHOOSE({1,2,3,4},KMB!U19,KMB!AA19,KMB!AG19,KMB!AM19))=12)*(CHOOSE({1,2,3,4},KMB!X19,KMB!AD19,KMB!AJ19,KMB!AP19)))</f>
        <v>0</v>
      </c>
    </row>
    <row r="20" spans="1:12">
      <c r="A20">
        <f>SUMPRODUCT((MONTH(CHOOSE({1,2,3,4},KMB!U20,KMB!AA20,KMB!AG20,KMB!AM20))=1)*(CHOOSE({1,2,3,4},KMB!X20,KMB!AD20,KMB!AJ20,KMB!AP20)))</f>
        <v>0</v>
      </c>
      <c r="B20">
        <f>SUMPRODUCT((MONTH(CHOOSE({1,2,3,4},KMB!U20,KMB!AA20,KMB!AG20,KMB!AM20))=2)*(CHOOSE({1,2,3,4},KMB!X20,KMB!AD20,KMB!AJ20,KMB!AP20)))</f>
        <v>0</v>
      </c>
      <c r="C20">
        <f>SUMPRODUCT((MONTH(CHOOSE({1,2,3,4},KMB!U20,KMB!AA20,KMB!AG20,KMB!AM20))=3)*(CHOOSE({1,2,3,4},KMB!X20,KMB!AD20,KMB!AJ20,KMB!AP20)))</f>
        <v>0</v>
      </c>
      <c r="D20">
        <f>SUMPRODUCT((MONTH(CHOOSE({1,2,3,4},KMB!U20,KMB!AA20,KMB!AG20,KMB!AM20))=4)*(CHOOSE({1,2,3,4},KMB!X20,KMB!AD20,KMB!AJ20,KMB!AP20)))</f>
        <v>0</v>
      </c>
      <c r="E20">
        <f>SUMPRODUCT((MONTH(CHOOSE({1,2,3,4},KMB!U20,KMB!AA20,KMB!AG20,KMB!AM20))=5)*(CHOOSE({1,2,3,4},KMB!X20,KMB!AD20,KMB!AJ20,KMB!AP20)))</f>
        <v>0</v>
      </c>
      <c r="F20">
        <f>SUMPRODUCT((MONTH(CHOOSE({1,2,3,4},KMB!U20,KMB!AA20,KMB!AG20,KMB!AM20))=6)*(CHOOSE({1,2,3,4},KMB!X20,KMB!AD20,KMB!AJ20,KMB!AP20)))</f>
        <v>0</v>
      </c>
      <c r="G20">
        <f>SUMPRODUCT((MONTH(CHOOSE({1,2,3,4},KMB!U20,KMB!AA20,KMB!AG20,KMB!AM20))=7)*(CHOOSE({1,2,3,4},KMB!X20,KMB!AD20,KMB!AJ20,KMB!AP20)))</f>
        <v>0</v>
      </c>
      <c r="H20">
        <f>SUMPRODUCT((MONTH(CHOOSE({1,2,3,4},KMB!U20,KMB!AA20,KMB!AG20,KMB!AM20))=8)*(CHOOSE({1,2,3,4},KMB!X20,KMB!AD20,KMB!AJ20,KMB!AP20)))</f>
        <v>0</v>
      </c>
      <c r="I20">
        <f>SUMPRODUCT((MONTH(CHOOSE({1,2,3,4},KMB!U20,KMB!AA20,KMB!AG20,KMB!AM20))=9)*(CHOOSE({1,2,3,4},KMB!X20,KMB!AD20,KMB!AJ20,KMB!AP20)))</f>
        <v>0</v>
      </c>
      <c r="J20">
        <f>SUMPRODUCT((MONTH(CHOOSE({1,2,3,4},KMB!U20,KMB!AA20,KMB!AG20,KMB!AM20))=10)*(CHOOSE({1,2,3,4},KMB!X20,KMB!AD20,KMB!AJ20,KMB!AP20)))</f>
        <v>0</v>
      </c>
      <c r="K20">
        <f>SUMPRODUCT((MONTH(CHOOSE({1,2,3,4},KMB!U20,KMB!AA20,KMB!AG20,KMB!AM20))=11)*(CHOOSE({1,2,3,4},KMB!X20,KMB!AD20,KMB!AJ20,KMB!AP20)))</f>
        <v>0</v>
      </c>
      <c r="L20">
        <f>SUMPRODUCT((MONTH(CHOOSE({1,2,3,4},KMB!U20,KMB!AA20,KMB!AG20,KMB!AM20))=12)*(CHOOSE({1,2,3,4},KMB!X20,KMB!AD20,KMB!AJ20,KMB!AP20)))</f>
        <v>0</v>
      </c>
    </row>
    <row r="21" spans="1:12">
      <c r="A21">
        <f>SUMPRODUCT((MONTH(CHOOSE({1,2,3,4},KMB!U21,KMB!AA21,KMB!AG21,KMB!AM21))=1)*(CHOOSE({1,2,3,4},KMB!X21,KMB!AD21,KMB!AJ21,KMB!AP21)))</f>
        <v>0</v>
      </c>
      <c r="B21">
        <f>SUMPRODUCT((MONTH(CHOOSE({1,2,3,4},KMB!U21,KMB!AA21,KMB!AG21,KMB!AM21))=2)*(CHOOSE({1,2,3,4},KMB!X21,KMB!AD21,KMB!AJ21,KMB!AP21)))</f>
        <v>0</v>
      </c>
      <c r="C21">
        <f>SUMPRODUCT((MONTH(CHOOSE({1,2,3,4},KMB!U21,KMB!AA21,KMB!AG21,KMB!AM21))=3)*(CHOOSE({1,2,3,4},KMB!X21,KMB!AD21,KMB!AJ21,KMB!AP21)))</f>
        <v>0</v>
      </c>
      <c r="D21">
        <f>SUMPRODUCT((MONTH(CHOOSE({1,2,3,4},KMB!U21,KMB!AA21,KMB!AG21,KMB!AM21))=4)*(CHOOSE({1,2,3,4},KMB!X21,KMB!AD21,KMB!AJ21,KMB!AP21)))</f>
        <v>0</v>
      </c>
      <c r="E21">
        <f>SUMPRODUCT((MONTH(CHOOSE({1,2,3,4},KMB!U21,KMB!AA21,KMB!AG21,KMB!AM21))=5)*(CHOOSE({1,2,3,4},KMB!X21,KMB!AD21,KMB!AJ21,KMB!AP21)))</f>
        <v>0</v>
      </c>
      <c r="F21">
        <f>SUMPRODUCT((MONTH(CHOOSE({1,2,3,4},KMB!U21,KMB!AA21,KMB!AG21,KMB!AM21))=6)*(CHOOSE({1,2,3,4},KMB!X21,KMB!AD21,KMB!AJ21,KMB!AP21)))</f>
        <v>0</v>
      </c>
      <c r="G21">
        <f>SUMPRODUCT((MONTH(CHOOSE({1,2,3,4},KMB!U21,KMB!AA21,KMB!AG21,KMB!AM21))=7)*(CHOOSE({1,2,3,4},KMB!X21,KMB!AD21,KMB!AJ21,KMB!AP21)))</f>
        <v>0</v>
      </c>
      <c r="H21">
        <f>SUMPRODUCT((MONTH(CHOOSE({1,2,3,4},KMB!U21,KMB!AA21,KMB!AG21,KMB!AM21))=8)*(CHOOSE({1,2,3,4},KMB!X21,KMB!AD21,KMB!AJ21,KMB!AP21)))</f>
        <v>0</v>
      </c>
      <c r="I21">
        <f>SUMPRODUCT((MONTH(CHOOSE({1,2,3,4},KMB!U21,KMB!AA21,KMB!AG21,KMB!AM21))=9)*(CHOOSE({1,2,3,4},KMB!X21,KMB!AD21,KMB!AJ21,KMB!AP21)))</f>
        <v>0</v>
      </c>
      <c r="J21">
        <f>SUMPRODUCT((MONTH(CHOOSE({1,2,3,4},KMB!U21,KMB!AA21,KMB!AG21,KMB!AM21))=10)*(CHOOSE({1,2,3,4},KMB!X21,KMB!AD21,KMB!AJ21,KMB!AP21)))</f>
        <v>0</v>
      </c>
      <c r="K21">
        <f>SUMPRODUCT((MONTH(CHOOSE({1,2,3,4},KMB!U21,KMB!AA21,KMB!AG21,KMB!AM21))=11)*(CHOOSE({1,2,3,4},KMB!X21,KMB!AD21,KMB!AJ21,KMB!AP21)))</f>
        <v>0</v>
      </c>
      <c r="L21">
        <f>SUMPRODUCT((MONTH(CHOOSE({1,2,3,4},KMB!U21,KMB!AA21,KMB!AG21,KMB!AM21))=12)*(CHOOSE({1,2,3,4},KMB!X21,KMB!AD21,KMB!AJ21,KMB!AP21)))</f>
        <v>0</v>
      </c>
    </row>
    <row r="22" spans="1:12">
      <c r="A22">
        <f>SUMPRODUCT((MONTH(CHOOSE({1,2,3,4},KMB!U22,KMB!AA22,KMB!AG22,KMB!AM22))=1)*(CHOOSE({1,2,3,4},KMB!X22,KMB!AD22,KMB!AJ22,KMB!AP22)))</f>
        <v>0</v>
      </c>
      <c r="B22">
        <f>SUMPRODUCT((MONTH(CHOOSE({1,2,3,4},KMB!U22,KMB!AA22,KMB!AG22,KMB!AM22))=2)*(CHOOSE({1,2,3,4},KMB!X22,KMB!AD22,KMB!AJ22,KMB!AP22)))</f>
        <v>0</v>
      </c>
      <c r="C22">
        <f>SUMPRODUCT((MONTH(CHOOSE({1,2,3,4},KMB!U22,KMB!AA22,KMB!AG22,KMB!AM22))=3)*(CHOOSE({1,2,3,4},KMB!X22,KMB!AD22,KMB!AJ22,KMB!AP22)))</f>
        <v>0</v>
      </c>
      <c r="D22">
        <f>SUMPRODUCT((MONTH(CHOOSE({1,2,3,4},KMB!U22,KMB!AA22,KMB!AG22,KMB!AM22))=4)*(CHOOSE({1,2,3,4},KMB!X22,KMB!AD22,KMB!AJ22,KMB!AP22)))</f>
        <v>0</v>
      </c>
      <c r="E22">
        <f>SUMPRODUCT((MONTH(CHOOSE({1,2,3,4},KMB!U22,KMB!AA22,KMB!AG22,KMB!AM22))=5)*(CHOOSE({1,2,3,4},KMB!X22,KMB!AD22,KMB!AJ22,KMB!AP22)))</f>
        <v>0</v>
      </c>
      <c r="F22">
        <f>SUMPRODUCT((MONTH(CHOOSE({1,2,3,4},KMB!U22,KMB!AA22,KMB!AG22,KMB!AM22))=6)*(CHOOSE({1,2,3,4},KMB!X22,KMB!AD22,KMB!AJ22,KMB!AP22)))</f>
        <v>0</v>
      </c>
      <c r="G22">
        <f>SUMPRODUCT((MONTH(CHOOSE({1,2,3,4},KMB!U22,KMB!AA22,KMB!AG22,KMB!AM22))=7)*(CHOOSE({1,2,3,4},KMB!X22,KMB!AD22,KMB!AJ22,KMB!AP22)))</f>
        <v>0</v>
      </c>
      <c r="H22">
        <f>SUMPRODUCT((MONTH(CHOOSE({1,2,3,4},KMB!U22,KMB!AA22,KMB!AG22,KMB!AM22))=8)*(CHOOSE({1,2,3,4},KMB!X22,KMB!AD22,KMB!AJ22,KMB!AP22)))</f>
        <v>0</v>
      </c>
      <c r="I22">
        <f>SUMPRODUCT((MONTH(CHOOSE({1,2,3,4},KMB!U22,KMB!AA22,KMB!AG22,KMB!AM22))=9)*(CHOOSE({1,2,3,4},KMB!X22,KMB!AD22,KMB!AJ22,KMB!AP22)))</f>
        <v>0</v>
      </c>
      <c r="J22">
        <f>SUMPRODUCT((MONTH(CHOOSE({1,2,3,4},KMB!U22,KMB!AA22,KMB!AG22,KMB!AM22))=10)*(CHOOSE({1,2,3,4},KMB!X22,KMB!AD22,KMB!AJ22,KMB!AP22)))</f>
        <v>0</v>
      </c>
      <c r="K22">
        <f>SUMPRODUCT((MONTH(CHOOSE({1,2,3,4},KMB!U22,KMB!AA22,KMB!AG22,KMB!AM22))=11)*(CHOOSE({1,2,3,4},KMB!X22,KMB!AD22,KMB!AJ22,KMB!AP22)))</f>
        <v>0</v>
      </c>
      <c r="L22">
        <f>SUMPRODUCT((MONTH(CHOOSE({1,2,3,4},KMB!U22,KMB!AA22,KMB!AG22,KMB!AM22))=12)*(CHOOSE({1,2,3,4},KMB!X22,KMB!AD22,KMB!AJ22,KMB!AP22)))</f>
        <v>0</v>
      </c>
    </row>
    <row r="23" spans="1:12">
      <c r="A23">
        <f>SUMPRODUCT((MONTH(CHOOSE({1,2,3,4},KMB!U23,KMB!AA23,KMB!AG23,KMB!AM23))=1)*(CHOOSE({1,2,3,4},KMB!X23,KMB!AD23,KMB!AJ23,KMB!AP23)))</f>
        <v>0</v>
      </c>
      <c r="B23">
        <f>SUMPRODUCT((MONTH(CHOOSE({1,2,3,4},KMB!U23,KMB!AA23,KMB!AG23,KMB!AM23))=2)*(CHOOSE({1,2,3,4},KMB!X23,KMB!AD23,KMB!AJ23,KMB!AP23)))</f>
        <v>0</v>
      </c>
      <c r="C23">
        <f>SUMPRODUCT((MONTH(CHOOSE({1,2,3,4},KMB!U23,KMB!AA23,KMB!AG23,KMB!AM23))=3)*(CHOOSE({1,2,3,4},KMB!X23,KMB!AD23,KMB!AJ23,KMB!AP23)))</f>
        <v>0</v>
      </c>
      <c r="D23">
        <f>SUMPRODUCT((MONTH(CHOOSE({1,2,3,4},KMB!U23,KMB!AA23,KMB!AG23,KMB!AM23))=4)*(CHOOSE({1,2,3,4},KMB!X23,KMB!AD23,KMB!AJ23,KMB!AP23)))</f>
        <v>0</v>
      </c>
      <c r="E23">
        <f>SUMPRODUCT((MONTH(CHOOSE({1,2,3,4},KMB!U23,KMB!AA23,KMB!AG23,KMB!AM23))=5)*(CHOOSE({1,2,3,4},KMB!X23,KMB!AD23,KMB!AJ23,KMB!AP23)))</f>
        <v>0</v>
      </c>
      <c r="F23">
        <f>SUMPRODUCT((MONTH(CHOOSE({1,2,3,4},KMB!U23,KMB!AA23,KMB!AG23,KMB!AM23))=6)*(CHOOSE({1,2,3,4},KMB!X23,KMB!AD23,KMB!AJ23,KMB!AP23)))</f>
        <v>0</v>
      </c>
      <c r="G23">
        <f>SUMPRODUCT((MONTH(CHOOSE({1,2,3,4},KMB!U23,KMB!AA23,KMB!AG23,KMB!AM23))=7)*(CHOOSE({1,2,3,4},KMB!X23,KMB!AD23,KMB!AJ23,KMB!AP23)))</f>
        <v>0</v>
      </c>
      <c r="H23">
        <f>SUMPRODUCT((MONTH(CHOOSE({1,2,3,4},KMB!U23,KMB!AA23,KMB!AG23,KMB!AM23))=8)*(CHOOSE({1,2,3,4},KMB!X23,KMB!AD23,KMB!AJ23,KMB!AP23)))</f>
        <v>0</v>
      </c>
      <c r="I23">
        <f>SUMPRODUCT((MONTH(CHOOSE({1,2,3,4},KMB!U23,KMB!AA23,KMB!AG23,KMB!AM23))=9)*(CHOOSE({1,2,3,4},KMB!X23,KMB!AD23,KMB!AJ23,KMB!AP23)))</f>
        <v>0</v>
      </c>
      <c r="J23">
        <f>SUMPRODUCT((MONTH(CHOOSE({1,2,3,4},KMB!U23,KMB!AA23,KMB!AG23,KMB!AM23))=10)*(CHOOSE({1,2,3,4},KMB!X23,KMB!AD23,KMB!AJ23,KMB!AP23)))</f>
        <v>0</v>
      </c>
      <c r="K23">
        <f>SUMPRODUCT((MONTH(CHOOSE({1,2,3,4},KMB!U23,KMB!AA23,KMB!AG23,KMB!AM23))=11)*(CHOOSE({1,2,3,4},KMB!X23,KMB!AD23,KMB!AJ23,KMB!AP23)))</f>
        <v>0</v>
      </c>
      <c r="L23">
        <f>SUMPRODUCT((MONTH(CHOOSE({1,2,3,4},KMB!U23,KMB!AA23,KMB!AG23,KMB!AM23))=12)*(CHOOSE({1,2,3,4},KMB!X23,KMB!AD23,KMB!AJ23,KMB!AP23)))</f>
        <v>0</v>
      </c>
    </row>
    <row r="24" spans="1:12">
      <c r="A24">
        <f>SUMPRODUCT((MONTH(CHOOSE({1,2,3,4},KMB!U24,KMB!AA24,KMB!AG24,KMB!AM24))=1)*(CHOOSE({1,2,3,4},KMB!X24,KMB!AD24,KMB!AJ24,KMB!AP24)))</f>
        <v>0</v>
      </c>
      <c r="B24">
        <f>SUMPRODUCT((MONTH(CHOOSE({1,2,3,4},KMB!U24,KMB!AA24,KMB!AG24,KMB!AM24))=2)*(CHOOSE({1,2,3,4},KMB!X24,KMB!AD24,KMB!AJ24,KMB!AP24)))</f>
        <v>0</v>
      </c>
      <c r="C24">
        <f>SUMPRODUCT((MONTH(CHOOSE({1,2,3,4},KMB!U24,KMB!AA24,KMB!AG24,KMB!AM24))=3)*(CHOOSE({1,2,3,4},KMB!X24,KMB!AD24,KMB!AJ24,KMB!AP24)))</f>
        <v>0</v>
      </c>
      <c r="D24">
        <f>SUMPRODUCT((MONTH(CHOOSE({1,2,3,4},KMB!U24,KMB!AA24,KMB!AG24,KMB!AM24))=4)*(CHOOSE({1,2,3,4},KMB!X24,KMB!AD24,KMB!AJ24,KMB!AP24)))</f>
        <v>0</v>
      </c>
      <c r="E24">
        <f>SUMPRODUCT((MONTH(CHOOSE({1,2,3,4},KMB!U24,KMB!AA24,KMB!AG24,KMB!AM24))=5)*(CHOOSE({1,2,3,4},KMB!X24,KMB!AD24,KMB!AJ24,KMB!AP24)))</f>
        <v>0</v>
      </c>
      <c r="F24">
        <f>SUMPRODUCT((MONTH(CHOOSE({1,2,3,4},KMB!U24,KMB!AA24,KMB!AG24,KMB!AM24))=6)*(CHOOSE({1,2,3,4},KMB!X24,KMB!AD24,KMB!AJ24,KMB!AP24)))</f>
        <v>0</v>
      </c>
      <c r="G24">
        <f>SUMPRODUCT((MONTH(CHOOSE({1,2,3,4},KMB!U24,KMB!AA24,KMB!AG24,KMB!AM24))=7)*(CHOOSE({1,2,3,4},KMB!X24,KMB!AD24,KMB!AJ24,KMB!AP24)))</f>
        <v>0</v>
      </c>
      <c r="H24">
        <f>SUMPRODUCT((MONTH(CHOOSE({1,2,3,4},KMB!U24,KMB!AA24,KMB!AG24,KMB!AM24))=8)*(CHOOSE({1,2,3,4},KMB!X24,KMB!AD24,KMB!AJ24,KMB!AP24)))</f>
        <v>0</v>
      </c>
      <c r="I24">
        <f>SUMPRODUCT((MONTH(CHOOSE({1,2,3,4},KMB!U24,KMB!AA24,KMB!AG24,KMB!AM24))=9)*(CHOOSE({1,2,3,4},KMB!X24,KMB!AD24,KMB!AJ24,KMB!AP24)))</f>
        <v>0</v>
      </c>
      <c r="J24">
        <f>SUMPRODUCT((MONTH(CHOOSE({1,2,3,4},KMB!U24,KMB!AA24,KMB!AG24,KMB!AM24))=10)*(CHOOSE({1,2,3,4},KMB!X24,KMB!AD24,KMB!AJ24,KMB!AP24)))</f>
        <v>0</v>
      </c>
      <c r="K24">
        <f>SUMPRODUCT((MONTH(CHOOSE({1,2,3,4},KMB!U24,KMB!AA24,KMB!AG24,KMB!AM24))=11)*(CHOOSE({1,2,3,4},KMB!X24,KMB!AD24,KMB!AJ24,KMB!AP24)))</f>
        <v>0</v>
      </c>
      <c r="L24">
        <f>SUMPRODUCT((MONTH(CHOOSE({1,2,3,4},KMB!U24,KMB!AA24,KMB!AG24,KMB!AM24))=12)*(CHOOSE({1,2,3,4},KMB!X24,KMB!AD24,KMB!AJ24,KMB!AP24)))</f>
        <v>0</v>
      </c>
    </row>
    <row r="25" spans="1:12">
      <c r="A25">
        <f>SUMPRODUCT((MONTH(CHOOSE({1,2,3,4},KMB!U25,KMB!AA25,KMB!AG25,KMB!AM25))=1)*(CHOOSE({1,2,3,4},KMB!X25,KMB!AD25,KMB!AJ25,KMB!AP25)))</f>
        <v>0</v>
      </c>
      <c r="B25">
        <f>SUMPRODUCT((MONTH(CHOOSE({1,2,3,4},KMB!U25,KMB!AA25,KMB!AG25,KMB!AM25))=2)*(CHOOSE({1,2,3,4},KMB!X25,KMB!AD25,KMB!AJ25,KMB!AP25)))</f>
        <v>0</v>
      </c>
      <c r="C25">
        <f>SUMPRODUCT((MONTH(CHOOSE({1,2,3,4},KMB!U25,KMB!AA25,KMB!AG25,KMB!AM25))=3)*(CHOOSE({1,2,3,4},KMB!X25,KMB!AD25,KMB!AJ25,KMB!AP25)))</f>
        <v>0</v>
      </c>
      <c r="D25">
        <f>SUMPRODUCT((MONTH(CHOOSE({1,2,3,4},KMB!U25,KMB!AA25,KMB!AG25,KMB!AM25))=4)*(CHOOSE({1,2,3,4},KMB!X25,KMB!AD25,KMB!AJ25,KMB!AP25)))</f>
        <v>0</v>
      </c>
      <c r="E25">
        <f>SUMPRODUCT((MONTH(CHOOSE({1,2,3,4},KMB!U25,KMB!AA25,KMB!AG25,KMB!AM25))=5)*(CHOOSE({1,2,3,4},KMB!X25,KMB!AD25,KMB!AJ25,KMB!AP25)))</f>
        <v>0</v>
      </c>
      <c r="F25">
        <f>SUMPRODUCT((MONTH(CHOOSE({1,2,3,4},KMB!U25,KMB!AA25,KMB!AG25,KMB!AM25))=6)*(CHOOSE({1,2,3,4},KMB!X25,KMB!AD25,KMB!AJ25,KMB!AP25)))</f>
        <v>0</v>
      </c>
      <c r="G25">
        <f>SUMPRODUCT((MONTH(CHOOSE({1,2,3,4},KMB!U25,KMB!AA25,KMB!AG25,KMB!AM25))=7)*(CHOOSE({1,2,3,4},KMB!X25,KMB!AD25,KMB!AJ25,KMB!AP25)))</f>
        <v>0</v>
      </c>
      <c r="H25">
        <f>SUMPRODUCT((MONTH(CHOOSE({1,2,3,4},KMB!U25,KMB!AA25,KMB!AG25,KMB!AM25))=8)*(CHOOSE({1,2,3,4},KMB!X25,KMB!AD25,KMB!AJ25,KMB!AP25)))</f>
        <v>0</v>
      </c>
      <c r="I25">
        <f>SUMPRODUCT((MONTH(CHOOSE({1,2,3,4},KMB!U25,KMB!AA25,KMB!AG25,KMB!AM25))=9)*(CHOOSE({1,2,3,4},KMB!X25,KMB!AD25,KMB!AJ25,KMB!AP25)))</f>
        <v>0</v>
      </c>
      <c r="J25">
        <f>SUMPRODUCT((MONTH(CHOOSE({1,2,3,4},KMB!U25,KMB!AA25,KMB!AG25,KMB!AM25))=10)*(CHOOSE({1,2,3,4},KMB!X25,KMB!AD25,KMB!AJ25,KMB!AP25)))</f>
        <v>0</v>
      </c>
      <c r="K25">
        <f>SUMPRODUCT((MONTH(CHOOSE({1,2,3,4},KMB!U25,KMB!AA25,KMB!AG25,KMB!AM25))=11)*(CHOOSE({1,2,3,4},KMB!X25,KMB!AD25,KMB!AJ25,KMB!AP25)))</f>
        <v>0</v>
      </c>
      <c r="L25">
        <f>SUMPRODUCT((MONTH(CHOOSE({1,2,3,4},KMB!U25,KMB!AA25,KMB!AG25,KMB!AM25))=12)*(CHOOSE({1,2,3,4},KMB!X25,KMB!AD25,KMB!AJ25,KMB!AP25)))</f>
        <v>0</v>
      </c>
    </row>
    <row r="26" spans="1:12">
      <c r="A26">
        <f>SUMPRODUCT((MONTH(CHOOSE({1,2,3,4},KMB!U26,KMB!AA26,KMB!AG26,KMB!AM26))=1)*(CHOOSE({1,2,3,4},KMB!X26,KMB!AD26,KMB!AJ26,KMB!AP26)))</f>
        <v>0</v>
      </c>
      <c r="B26">
        <f>SUMPRODUCT((MONTH(CHOOSE({1,2,3,4},KMB!U26,KMB!AA26,KMB!AG26,KMB!AM26))=2)*(CHOOSE({1,2,3,4},KMB!X26,KMB!AD26,KMB!AJ26,KMB!AP26)))</f>
        <v>0</v>
      </c>
      <c r="C26">
        <f>SUMPRODUCT((MONTH(CHOOSE({1,2,3,4},KMB!U26,KMB!AA26,KMB!AG26,KMB!AM26))=3)*(CHOOSE({1,2,3,4},KMB!X26,KMB!AD26,KMB!AJ26,KMB!AP26)))</f>
        <v>0</v>
      </c>
      <c r="D26">
        <f>SUMPRODUCT((MONTH(CHOOSE({1,2,3,4},KMB!U26,KMB!AA26,KMB!AG26,KMB!AM26))=4)*(CHOOSE({1,2,3,4},KMB!X26,KMB!AD26,KMB!AJ26,KMB!AP26)))</f>
        <v>0</v>
      </c>
      <c r="E26">
        <f>SUMPRODUCT((MONTH(CHOOSE({1,2,3,4},KMB!U26,KMB!AA26,KMB!AG26,KMB!AM26))=5)*(CHOOSE({1,2,3,4},KMB!X26,KMB!AD26,KMB!AJ26,KMB!AP26)))</f>
        <v>0</v>
      </c>
      <c r="F26">
        <f>SUMPRODUCT((MONTH(CHOOSE({1,2,3,4},KMB!U26,KMB!AA26,KMB!AG26,KMB!AM26))=6)*(CHOOSE({1,2,3,4},KMB!X26,KMB!AD26,KMB!AJ26,KMB!AP26)))</f>
        <v>0</v>
      </c>
      <c r="G26">
        <f>SUMPRODUCT((MONTH(CHOOSE({1,2,3,4},KMB!U26,KMB!AA26,KMB!AG26,KMB!AM26))=7)*(CHOOSE({1,2,3,4},KMB!X26,KMB!AD26,KMB!AJ26,KMB!AP26)))</f>
        <v>0</v>
      </c>
      <c r="H26">
        <f>SUMPRODUCT((MONTH(CHOOSE({1,2,3,4},KMB!U26,KMB!AA26,KMB!AG26,KMB!AM26))=8)*(CHOOSE({1,2,3,4},KMB!X26,KMB!AD26,KMB!AJ26,KMB!AP26)))</f>
        <v>0</v>
      </c>
      <c r="I26">
        <f>SUMPRODUCT((MONTH(CHOOSE({1,2,3,4},KMB!U26,KMB!AA26,KMB!AG26,KMB!AM26))=9)*(CHOOSE({1,2,3,4},KMB!X26,KMB!AD26,KMB!AJ26,KMB!AP26)))</f>
        <v>0</v>
      </c>
      <c r="J26">
        <f>SUMPRODUCT((MONTH(CHOOSE({1,2,3,4},KMB!U26,KMB!AA26,KMB!AG26,KMB!AM26))=10)*(CHOOSE({1,2,3,4},KMB!X26,KMB!AD26,KMB!AJ26,KMB!AP26)))</f>
        <v>0</v>
      </c>
      <c r="K26">
        <f>SUMPRODUCT((MONTH(CHOOSE({1,2,3,4},KMB!U26,KMB!AA26,KMB!AG26,KMB!AM26))=11)*(CHOOSE({1,2,3,4},KMB!X26,KMB!AD26,KMB!AJ26,KMB!AP26)))</f>
        <v>0</v>
      </c>
      <c r="L26">
        <f>SUMPRODUCT((MONTH(CHOOSE({1,2,3,4},KMB!U26,KMB!AA26,KMB!AG26,KMB!AM26))=12)*(CHOOSE({1,2,3,4},KMB!X26,KMB!AD26,KMB!AJ26,KMB!AP26)))</f>
        <v>0</v>
      </c>
    </row>
    <row r="27" spans="1:12">
      <c r="A27">
        <f>SUMPRODUCT((MONTH(CHOOSE({1,2,3,4},KMB!U27,KMB!AA27,KMB!AG27,KMB!AM27))=1)*(CHOOSE({1,2,3,4},KMB!X27,KMB!AD27,KMB!AJ27,KMB!AP27)))</f>
        <v>0</v>
      </c>
      <c r="B27">
        <f>SUMPRODUCT((MONTH(CHOOSE({1,2,3,4},KMB!U27,KMB!AA27,KMB!AG27,KMB!AM27))=2)*(CHOOSE({1,2,3,4},KMB!X27,KMB!AD27,KMB!AJ27,KMB!AP27)))</f>
        <v>0</v>
      </c>
      <c r="C27">
        <f>SUMPRODUCT((MONTH(CHOOSE({1,2,3,4},KMB!U27,KMB!AA27,KMB!AG27,KMB!AM27))=3)*(CHOOSE({1,2,3,4},KMB!X27,KMB!AD27,KMB!AJ27,KMB!AP27)))</f>
        <v>0</v>
      </c>
      <c r="D27">
        <f>SUMPRODUCT((MONTH(CHOOSE({1,2,3,4},KMB!U27,KMB!AA27,KMB!AG27,KMB!AM27))=4)*(CHOOSE({1,2,3,4},KMB!X27,KMB!AD27,KMB!AJ27,KMB!AP27)))</f>
        <v>0</v>
      </c>
      <c r="E27">
        <f>SUMPRODUCT((MONTH(CHOOSE({1,2,3,4},KMB!U27,KMB!AA27,KMB!AG27,KMB!AM27))=5)*(CHOOSE({1,2,3,4},KMB!X27,KMB!AD27,KMB!AJ27,KMB!AP27)))</f>
        <v>0</v>
      </c>
      <c r="F27">
        <f>SUMPRODUCT((MONTH(CHOOSE({1,2,3,4},KMB!U27,KMB!AA27,KMB!AG27,KMB!AM27))=6)*(CHOOSE({1,2,3,4},KMB!X27,KMB!AD27,KMB!AJ27,KMB!AP27)))</f>
        <v>0</v>
      </c>
      <c r="G27">
        <f>SUMPRODUCT((MONTH(CHOOSE({1,2,3,4},KMB!U27,KMB!AA27,KMB!AG27,KMB!AM27))=7)*(CHOOSE({1,2,3,4},KMB!X27,KMB!AD27,KMB!AJ27,KMB!AP27)))</f>
        <v>0</v>
      </c>
      <c r="H27">
        <f>SUMPRODUCT((MONTH(CHOOSE({1,2,3,4},KMB!U27,KMB!AA27,KMB!AG27,KMB!AM27))=8)*(CHOOSE({1,2,3,4},KMB!X27,KMB!AD27,KMB!AJ27,KMB!AP27)))</f>
        <v>0</v>
      </c>
      <c r="I27">
        <f>SUMPRODUCT((MONTH(CHOOSE({1,2,3,4},KMB!U27,KMB!AA27,KMB!AG27,KMB!AM27))=9)*(CHOOSE({1,2,3,4},KMB!X27,KMB!AD27,KMB!AJ27,KMB!AP27)))</f>
        <v>0</v>
      </c>
      <c r="J27">
        <f>SUMPRODUCT((MONTH(CHOOSE({1,2,3,4},KMB!U27,KMB!AA27,KMB!AG27,KMB!AM27))=10)*(CHOOSE({1,2,3,4},KMB!X27,KMB!AD27,KMB!AJ27,KMB!AP27)))</f>
        <v>0</v>
      </c>
      <c r="K27">
        <f>SUMPRODUCT((MONTH(CHOOSE({1,2,3,4},KMB!U27,KMB!AA27,KMB!AG27,KMB!AM27))=11)*(CHOOSE({1,2,3,4},KMB!X27,KMB!AD27,KMB!AJ27,KMB!AP27)))</f>
        <v>0</v>
      </c>
      <c r="L27">
        <f>SUMPRODUCT((MONTH(CHOOSE({1,2,3,4},KMB!U27,KMB!AA27,KMB!AG27,KMB!AM27))=12)*(CHOOSE({1,2,3,4},KMB!X27,KMB!AD27,KMB!AJ27,KMB!AP27)))</f>
        <v>0</v>
      </c>
    </row>
    <row r="28" spans="1:12">
      <c r="A28">
        <f>SUMPRODUCT((MONTH(CHOOSE({1,2,3,4},KMB!U28,KMB!AA28,KMB!AG28,KMB!AM28))=1)*(CHOOSE({1,2,3,4},KMB!X28,KMB!AD28,KMB!AJ28,KMB!AP28)))</f>
        <v>0</v>
      </c>
      <c r="B28">
        <f>SUMPRODUCT((MONTH(CHOOSE({1,2,3,4},KMB!U28,KMB!AA28,KMB!AG28,KMB!AM28))=2)*(CHOOSE({1,2,3,4},KMB!X28,KMB!AD28,KMB!AJ28,KMB!AP28)))</f>
        <v>0</v>
      </c>
      <c r="C28">
        <f>SUMPRODUCT((MONTH(CHOOSE({1,2,3,4},KMB!U28,KMB!AA28,KMB!AG28,KMB!AM28))=3)*(CHOOSE({1,2,3,4},KMB!X28,KMB!AD28,KMB!AJ28,KMB!AP28)))</f>
        <v>0</v>
      </c>
      <c r="D28">
        <f>SUMPRODUCT((MONTH(CHOOSE({1,2,3,4},KMB!U28,KMB!AA28,KMB!AG28,KMB!AM28))=4)*(CHOOSE({1,2,3,4},KMB!X28,KMB!AD28,KMB!AJ28,KMB!AP28)))</f>
        <v>0</v>
      </c>
      <c r="E28">
        <f>SUMPRODUCT((MONTH(CHOOSE({1,2,3,4},KMB!U28,KMB!AA28,KMB!AG28,KMB!AM28))=5)*(CHOOSE({1,2,3,4},KMB!X28,KMB!AD28,KMB!AJ28,KMB!AP28)))</f>
        <v>0</v>
      </c>
      <c r="F28">
        <f>SUMPRODUCT((MONTH(CHOOSE({1,2,3,4},KMB!U28,KMB!AA28,KMB!AG28,KMB!AM28))=6)*(CHOOSE({1,2,3,4},KMB!X28,KMB!AD28,KMB!AJ28,KMB!AP28)))</f>
        <v>0</v>
      </c>
      <c r="G28">
        <f>SUMPRODUCT((MONTH(CHOOSE({1,2,3,4},KMB!U28,KMB!AA28,KMB!AG28,KMB!AM28))=7)*(CHOOSE({1,2,3,4},KMB!X28,KMB!AD28,KMB!AJ28,KMB!AP28)))</f>
        <v>0</v>
      </c>
      <c r="H28">
        <f>SUMPRODUCT((MONTH(CHOOSE({1,2,3,4},KMB!U28,KMB!AA28,KMB!AG28,KMB!AM28))=8)*(CHOOSE({1,2,3,4},KMB!X28,KMB!AD28,KMB!AJ28,KMB!AP28)))</f>
        <v>0</v>
      </c>
      <c r="I28">
        <f>SUMPRODUCT((MONTH(CHOOSE({1,2,3,4},KMB!U28,KMB!AA28,KMB!AG28,KMB!AM28))=9)*(CHOOSE({1,2,3,4},KMB!X28,KMB!AD28,KMB!AJ28,KMB!AP28)))</f>
        <v>0</v>
      </c>
      <c r="J28">
        <f>SUMPRODUCT((MONTH(CHOOSE({1,2,3,4},KMB!U28,KMB!AA28,KMB!AG28,KMB!AM28))=10)*(CHOOSE({1,2,3,4},KMB!X28,KMB!AD28,KMB!AJ28,KMB!AP28)))</f>
        <v>0</v>
      </c>
      <c r="K28">
        <f>SUMPRODUCT((MONTH(CHOOSE({1,2,3,4},KMB!U28,KMB!AA28,KMB!AG28,KMB!AM28))=11)*(CHOOSE({1,2,3,4},KMB!X28,KMB!AD28,KMB!AJ28,KMB!AP28)))</f>
        <v>0</v>
      </c>
      <c r="L28">
        <f>SUMPRODUCT((MONTH(CHOOSE({1,2,3,4},KMB!U28,KMB!AA28,KMB!AG28,KMB!AM28))=12)*(CHOOSE({1,2,3,4},KMB!X28,KMB!AD28,KMB!AJ28,KMB!AP28)))</f>
        <v>0</v>
      </c>
    </row>
    <row r="29" spans="1:12">
      <c r="A29">
        <f>SUMPRODUCT((MONTH(CHOOSE({1,2,3,4},KMB!U29,KMB!AA29,KMB!AG29,KMB!AM29))=1)*(CHOOSE({1,2,3,4},KMB!X29,KMB!AD29,KMB!AJ29,KMB!AP29)))</f>
        <v>0</v>
      </c>
      <c r="B29">
        <f>SUMPRODUCT((MONTH(CHOOSE({1,2,3,4},KMB!U29,KMB!AA29,KMB!AG29,KMB!AM29))=2)*(CHOOSE({1,2,3,4},KMB!X29,KMB!AD29,KMB!AJ29,KMB!AP29)))</f>
        <v>0</v>
      </c>
      <c r="C29">
        <f>SUMPRODUCT((MONTH(CHOOSE({1,2,3,4},KMB!U29,KMB!AA29,KMB!AG29,KMB!AM29))=3)*(CHOOSE({1,2,3,4},KMB!X29,KMB!AD29,KMB!AJ29,KMB!AP29)))</f>
        <v>0</v>
      </c>
      <c r="D29">
        <f>SUMPRODUCT((MONTH(CHOOSE({1,2,3,4},KMB!U29,KMB!AA29,KMB!AG29,KMB!AM29))=4)*(CHOOSE({1,2,3,4},KMB!X29,KMB!AD29,KMB!AJ29,KMB!AP29)))</f>
        <v>0</v>
      </c>
      <c r="E29">
        <f>SUMPRODUCT((MONTH(CHOOSE({1,2,3,4},KMB!U29,KMB!AA29,KMB!AG29,KMB!AM29))=5)*(CHOOSE({1,2,3,4},KMB!X29,KMB!AD29,KMB!AJ29,KMB!AP29)))</f>
        <v>0</v>
      </c>
      <c r="F29">
        <f>SUMPRODUCT((MONTH(CHOOSE({1,2,3,4},KMB!U29,KMB!AA29,KMB!AG29,KMB!AM29))=6)*(CHOOSE({1,2,3,4},KMB!X29,KMB!AD29,KMB!AJ29,KMB!AP29)))</f>
        <v>0</v>
      </c>
      <c r="G29">
        <f>SUMPRODUCT((MONTH(CHOOSE({1,2,3,4},KMB!U29,KMB!AA29,KMB!AG29,KMB!AM29))=7)*(CHOOSE({1,2,3,4},KMB!X29,KMB!AD29,KMB!AJ29,KMB!AP29)))</f>
        <v>0</v>
      </c>
      <c r="H29">
        <f>SUMPRODUCT((MONTH(CHOOSE({1,2,3,4},KMB!U29,KMB!AA29,KMB!AG29,KMB!AM29))=8)*(CHOOSE({1,2,3,4},KMB!X29,KMB!AD29,KMB!AJ29,KMB!AP29)))</f>
        <v>0</v>
      </c>
      <c r="I29">
        <f>SUMPRODUCT((MONTH(CHOOSE({1,2,3,4},KMB!U29,KMB!AA29,KMB!AG29,KMB!AM29))=9)*(CHOOSE({1,2,3,4},KMB!X29,KMB!AD29,KMB!AJ29,KMB!AP29)))</f>
        <v>0</v>
      </c>
      <c r="J29">
        <f>SUMPRODUCT((MONTH(CHOOSE({1,2,3,4},KMB!U29,KMB!AA29,KMB!AG29,KMB!AM29))=10)*(CHOOSE({1,2,3,4},KMB!X29,KMB!AD29,KMB!AJ29,KMB!AP29)))</f>
        <v>0</v>
      </c>
      <c r="K29">
        <f>SUMPRODUCT((MONTH(CHOOSE({1,2,3,4},KMB!U29,KMB!AA29,KMB!AG29,KMB!AM29))=11)*(CHOOSE({1,2,3,4},KMB!X29,KMB!AD29,KMB!AJ29,KMB!AP29)))</f>
        <v>0</v>
      </c>
      <c r="L29">
        <f>SUMPRODUCT((MONTH(CHOOSE({1,2,3,4},KMB!U29,KMB!AA29,KMB!AG29,KMB!AM29))=12)*(CHOOSE({1,2,3,4},KMB!X29,KMB!AD29,KMB!AJ29,KMB!AP29)))</f>
        <v>0</v>
      </c>
    </row>
    <row r="30" spans="1:12">
      <c r="A30">
        <f>SUMPRODUCT((MONTH(CHOOSE({1,2,3,4},KMB!U30,KMB!AA30,KMB!AG30,KMB!AM30))=1)*(CHOOSE({1,2,3,4},KMB!X30,KMB!AD30,KMB!AJ30,KMB!AP30)))</f>
        <v>0</v>
      </c>
      <c r="B30">
        <f>SUMPRODUCT((MONTH(CHOOSE({1,2,3,4},KMB!U30,KMB!AA30,KMB!AG30,KMB!AM30))=2)*(CHOOSE({1,2,3,4},KMB!X30,KMB!AD30,KMB!AJ30,KMB!AP30)))</f>
        <v>0</v>
      </c>
      <c r="C30">
        <f>SUMPRODUCT((MONTH(CHOOSE({1,2,3,4},KMB!U30,KMB!AA30,KMB!AG30,KMB!AM30))=3)*(CHOOSE({1,2,3,4},KMB!X30,KMB!AD30,KMB!AJ30,KMB!AP30)))</f>
        <v>0</v>
      </c>
      <c r="D30">
        <f>SUMPRODUCT((MONTH(CHOOSE({1,2,3,4},KMB!U30,KMB!AA30,KMB!AG30,KMB!AM30))=4)*(CHOOSE({1,2,3,4},KMB!X30,KMB!AD30,KMB!AJ30,KMB!AP30)))</f>
        <v>0</v>
      </c>
      <c r="E30">
        <f>SUMPRODUCT((MONTH(CHOOSE({1,2,3,4},KMB!U30,KMB!AA30,KMB!AG30,KMB!AM30))=5)*(CHOOSE({1,2,3,4},KMB!X30,KMB!AD30,KMB!AJ30,KMB!AP30)))</f>
        <v>0</v>
      </c>
      <c r="F30">
        <f>SUMPRODUCT((MONTH(CHOOSE({1,2,3,4},KMB!U30,KMB!AA30,KMB!AG30,KMB!AM30))=6)*(CHOOSE({1,2,3,4},KMB!X30,KMB!AD30,KMB!AJ30,KMB!AP30)))</f>
        <v>0</v>
      </c>
      <c r="G30">
        <f>SUMPRODUCT((MONTH(CHOOSE({1,2,3,4},KMB!U30,KMB!AA30,KMB!AG30,KMB!AM30))=7)*(CHOOSE({1,2,3,4},KMB!X30,KMB!AD30,KMB!AJ30,KMB!AP30)))</f>
        <v>0</v>
      </c>
      <c r="H30">
        <f>SUMPRODUCT((MONTH(CHOOSE({1,2,3,4},KMB!U30,KMB!AA30,KMB!AG30,KMB!AM30))=8)*(CHOOSE({1,2,3,4},KMB!X30,KMB!AD30,KMB!AJ30,KMB!AP30)))</f>
        <v>0</v>
      </c>
      <c r="I30">
        <f>SUMPRODUCT((MONTH(CHOOSE({1,2,3,4},KMB!U30,KMB!AA30,KMB!AG30,KMB!AM30))=9)*(CHOOSE({1,2,3,4},KMB!X30,KMB!AD30,KMB!AJ30,KMB!AP30)))</f>
        <v>0</v>
      </c>
      <c r="J30">
        <f>SUMPRODUCT((MONTH(CHOOSE({1,2,3,4},KMB!U30,KMB!AA30,KMB!AG30,KMB!AM30))=10)*(CHOOSE({1,2,3,4},KMB!X30,KMB!AD30,KMB!AJ30,KMB!AP30)))</f>
        <v>0</v>
      </c>
      <c r="K30">
        <f>SUMPRODUCT((MONTH(CHOOSE({1,2,3,4},KMB!U30,KMB!AA30,KMB!AG30,KMB!AM30))=11)*(CHOOSE({1,2,3,4},KMB!X30,KMB!AD30,KMB!AJ30,KMB!AP30)))</f>
        <v>0</v>
      </c>
      <c r="L30">
        <f>SUMPRODUCT((MONTH(CHOOSE({1,2,3,4},KMB!U30,KMB!AA30,KMB!AG30,KMB!AM30))=12)*(CHOOSE({1,2,3,4},KMB!X30,KMB!AD30,KMB!AJ30,KMB!AP30)))</f>
        <v>0</v>
      </c>
    </row>
    <row r="31" spans="1:12">
      <c r="A31">
        <f>SUMPRODUCT((MONTH(CHOOSE({1,2,3,4},KMB!U31,KMB!AA31,KMB!AG31,KMB!AM31))=1)*(CHOOSE({1,2,3,4},KMB!X31,KMB!AD31,KMB!AJ31,KMB!AP31)))</f>
        <v>0</v>
      </c>
      <c r="B31">
        <f>SUMPRODUCT((MONTH(CHOOSE({1,2,3,4},KMB!U31,KMB!AA31,KMB!AG31,KMB!AM31))=2)*(CHOOSE({1,2,3,4},KMB!X31,KMB!AD31,KMB!AJ31,KMB!AP31)))</f>
        <v>0</v>
      </c>
      <c r="C31">
        <f>SUMPRODUCT((MONTH(CHOOSE({1,2,3,4},KMB!U31,KMB!AA31,KMB!AG31,KMB!AM31))=3)*(CHOOSE({1,2,3,4},KMB!X31,KMB!AD31,KMB!AJ31,KMB!AP31)))</f>
        <v>0</v>
      </c>
      <c r="D31">
        <f>SUMPRODUCT((MONTH(CHOOSE({1,2,3,4},KMB!U31,KMB!AA31,KMB!AG31,KMB!AM31))=4)*(CHOOSE({1,2,3,4},KMB!X31,KMB!AD31,KMB!AJ31,KMB!AP31)))</f>
        <v>0</v>
      </c>
      <c r="E31">
        <f>SUMPRODUCT((MONTH(CHOOSE({1,2,3,4},KMB!U31,KMB!AA31,KMB!AG31,KMB!AM31))=5)*(CHOOSE({1,2,3,4},KMB!X31,KMB!AD31,KMB!AJ31,KMB!AP31)))</f>
        <v>0</v>
      </c>
      <c r="F31">
        <f>SUMPRODUCT((MONTH(CHOOSE({1,2,3,4},KMB!U31,KMB!AA31,KMB!AG31,KMB!AM31))=6)*(CHOOSE({1,2,3,4},KMB!X31,KMB!AD31,KMB!AJ31,KMB!AP31)))</f>
        <v>0</v>
      </c>
      <c r="G31">
        <f>SUMPRODUCT((MONTH(CHOOSE({1,2,3,4},KMB!U31,KMB!AA31,KMB!AG31,KMB!AM31))=7)*(CHOOSE({1,2,3,4},KMB!X31,KMB!AD31,KMB!AJ31,KMB!AP31)))</f>
        <v>0</v>
      </c>
      <c r="H31">
        <f>SUMPRODUCT((MONTH(CHOOSE({1,2,3,4},KMB!U31,KMB!AA31,KMB!AG31,KMB!AM31))=8)*(CHOOSE({1,2,3,4},KMB!X31,KMB!AD31,KMB!AJ31,KMB!AP31)))</f>
        <v>0</v>
      </c>
      <c r="I31">
        <f>SUMPRODUCT((MONTH(CHOOSE({1,2,3,4},KMB!U31,KMB!AA31,KMB!AG31,KMB!AM31))=9)*(CHOOSE({1,2,3,4},KMB!X31,KMB!AD31,KMB!AJ31,KMB!AP31)))</f>
        <v>0</v>
      </c>
      <c r="J31">
        <f>SUMPRODUCT((MONTH(CHOOSE({1,2,3,4},KMB!U31,KMB!AA31,KMB!AG31,KMB!AM31))=10)*(CHOOSE({1,2,3,4},KMB!X31,KMB!AD31,KMB!AJ31,KMB!AP31)))</f>
        <v>0</v>
      </c>
      <c r="K31">
        <f>SUMPRODUCT((MONTH(CHOOSE({1,2,3,4},KMB!U31,KMB!AA31,KMB!AG31,KMB!AM31))=11)*(CHOOSE({1,2,3,4},KMB!X31,KMB!AD31,KMB!AJ31,KMB!AP31)))</f>
        <v>0</v>
      </c>
      <c r="L31">
        <f>SUMPRODUCT((MONTH(CHOOSE({1,2,3,4},KMB!U31,KMB!AA31,KMB!AG31,KMB!AM31))=12)*(CHOOSE({1,2,3,4},KMB!X31,KMB!AD31,KMB!AJ31,KMB!AP31)))</f>
        <v>0</v>
      </c>
    </row>
    <row r="32" spans="1:12">
      <c r="A32">
        <f>SUMPRODUCT((MONTH(CHOOSE({1,2,3,4},KMB!U32,KMB!AA32,KMB!AG32,KMB!AM32))=1)*(CHOOSE({1,2,3,4},KMB!X32,KMB!AD32,KMB!AJ32,KMB!AP32)))</f>
        <v>0</v>
      </c>
      <c r="B32">
        <f>SUMPRODUCT((MONTH(CHOOSE({1,2,3,4},KMB!U32,KMB!AA32,KMB!AG32,KMB!AM32))=2)*(CHOOSE({1,2,3,4},KMB!X32,KMB!AD32,KMB!AJ32,KMB!AP32)))</f>
        <v>0</v>
      </c>
      <c r="C32">
        <f>SUMPRODUCT((MONTH(CHOOSE({1,2,3,4},KMB!U32,KMB!AA32,KMB!AG32,KMB!AM32))=3)*(CHOOSE({1,2,3,4},KMB!X32,KMB!AD32,KMB!AJ32,KMB!AP32)))</f>
        <v>0</v>
      </c>
      <c r="D32">
        <f>SUMPRODUCT((MONTH(CHOOSE({1,2,3,4},KMB!U32,KMB!AA32,KMB!AG32,KMB!AM32))=4)*(CHOOSE({1,2,3,4},KMB!X32,KMB!AD32,KMB!AJ32,KMB!AP32)))</f>
        <v>0</v>
      </c>
      <c r="E32">
        <f>SUMPRODUCT((MONTH(CHOOSE({1,2,3,4},KMB!U32,KMB!AA32,KMB!AG32,KMB!AM32))=5)*(CHOOSE({1,2,3,4},KMB!X32,KMB!AD32,KMB!AJ32,KMB!AP32)))</f>
        <v>0</v>
      </c>
      <c r="F32">
        <f>SUMPRODUCT((MONTH(CHOOSE({1,2,3,4},KMB!U32,KMB!AA32,KMB!AG32,KMB!AM32))=6)*(CHOOSE({1,2,3,4},KMB!X32,KMB!AD32,KMB!AJ32,KMB!AP32)))</f>
        <v>0</v>
      </c>
      <c r="G32">
        <f>SUMPRODUCT((MONTH(CHOOSE({1,2,3,4},KMB!U32,KMB!AA32,KMB!AG32,KMB!AM32))=7)*(CHOOSE({1,2,3,4},KMB!X32,KMB!AD32,KMB!AJ32,KMB!AP32)))</f>
        <v>0</v>
      </c>
      <c r="H32">
        <f>SUMPRODUCT((MONTH(CHOOSE({1,2,3,4},KMB!U32,KMB!AA32,KMB!AG32,KMB!AM32))=8)*(CHOOSE({1,2,3,4},KMB!X32,KMB!AD32,KMB!AJ32,KMB!AP32)))</f>
        <v>0</v>
      </c>
      <c r="I32">
        <f>SUMPRODUCT((MONTH(CHOOSE({1,2,3,4},KMB!U32,KMB!AA32,KMB!AG32,KMB!AM32))=9)*(CHOOSE({1,2,3,4},KMB!X32,KMB!AD32,KMB!AJ32,KMB!AP32)))</f>
        <v>0</v>
      </c>
      <c r="J32">
        <f>SUMPRODUCT((MONTH(CHOOSE({1,2,3,4},KMB!U32,KMB!AA32,KMB!AG32,KMB!AM32))=10)*(CHOOSE({1,2,3,4},KMB!X32,KMB!AD32,KMB!AJ32,KMB!AP32)))</f>
        <v>0</v>
      </c>
      <c r="K32">
        <f>SUMPRODUCT((MONTH(CHOOSE({1,2,3,4},KMB!U32,KMB!AA32,KMB!AG32,KMB!AM32))=11)*(CHOOSE({1,2,3,4},KMB!X32,KMB!AD32,KMB!AJ32,KMB!AP32)))</f>
        <v>0</v>
      </c>
      <c r="L32">
        <f>SUMPRODUCT((MONTH(CHOOSE({1,2,3,4},KMB!U32,KMB!AA32,KMB!AG32,KMB!AM32))=12)*(CHOOSE({1,2,3,4},KMB!X32,KMB!AD32,KMB!AJ32,KMB!AP32)))</f>
        <v>0</v>
      </c>
    </row>
    <row r="33" spans="1:12">
      <c r="A33">
        <f>SUMPRODUCT((MONTH(CHOOSE({1,2,3,4},KMB!U33,KMB!AA33,KMB!AG33,KMB!AM33))=1)*(CHOOSE({1,2,3,4},KMB!X33,KMB!AD33,KMB!AJ33,KMB!AP33)))</f>
        <v>0</v>
      </c>
      <c r="B33">
        <f>SUMPRODUCT((MONTH(CHOOSE({1,2,3,4},KMB!U33,KMB!AA33,KMB!AG33,KMB!AM33))=2)*(CHOOSE({1,2,3,4},KMB!X33,KMB!AD33,KMB!AJ33,KMB!AP33)))</f>
        <v>0</v>
      </c>
      <c r="C33">
        <f>SUMPRODUCT((MONTH(CHOOSE({1,2,3,4},KMB!U33,KMB!AA33,KMB!AG33,KMB!AM33))=3)*(CHOOSE({1,2,3,4},KMB!X33,KMB!AD33,KMB!AJ33,KMB!AP33)))</f>
        <v>0</v>
      </c>
      <c r="D33">
        <f>SUMPRODUCT((MONTH(CHOOSE({1,2,3,4},KMB!U33,KMB!AA33,KMB!AG33,KMB!AM33))=4)*(CHOOSE({1,2,3,4},KMB!X33,KMB!AD33,KMB!AJ33,KMB!AP33)))</f>
        <v>0</v>
      </c>
      <c r="E33">
        <f>SUMPRODUCT((MONTH(CHOOSE({1,2,3,4},KMB!U33,KMB!AA33,KMB!AG33,KMB!AM33))=5)*(CHOOSE({1,2,3,4},KMB!X33,KMB!AD33,KMB!AJ33,KMB!AP33)))</f>
        <v>0</v>
      </c>
      <c r="F33">
        <f>SUMPRODUCT((MONTH(CHOOSE({1,2,3,4},KMB!U33,KMB!AA33,KMB!AG33,KMB!AM33))=6)*(CHOOSE({1,2,3,4},KMB!X33,KMB!AD33,KMB!AJ33,KMB!AP33)))</f>
        <v>0</v>
      </c>
      <c r="G33">
        <f>SUMPRODUCT((MONTH(CHOOSE({1,2,3,4},KMB!U33,KMB!AA33,KMB!AG33,KMB!AM33))=7)*(CHOOSE({1,2,3,4},KMB!X33,KMB!AD33,KMB!AJ33,KMB!AP33)))</f>
        <v>0</v>
      </c>
      <c r="H33">
        <f>SUMPRODUCT((MONTH(CHOOSE({1,2,3,4},KMB!U33,KMB!AA33,KMB!AG33,KMB!AM33))=8)*(CHOOSE({1,2,3,4},KMB!X33,KMB!AD33,KMB!AJ33,KMB!AP33)))</f>
        <v>0</v>
      </c>
      <c r="I33">
        <f>SUMPRODUCT((MONTH(CHOOSE({1,2,3,4},KMB!U33,KMB!AA33,KMB!AG33,KMB!AM33))=9)*(CHOOSE({1,2,3,4},KMB!X33,KMB!AD33,KMB!AJ33,KMB!AP33)))</f>
        <v>0</v>
      </c>
      <c r="J33">
        <f>SUMPRODUCT((MONTH(CHOOSE({1,2,3,4},KMB!U33,KMB!AA33,KMB!AG33,KMB!AM33))=10)*(CHOOSE({1,2,3,4},KMB!X33,KMB!AD33,KMB!AJ33,KMB!AP33)))</f>
        <v>0</v>
      </c>
      <c r="K33">
        <f>SUMPRODUCT((MONTH(CHOOSE({1,2,3,4},KMB!U33,KMB!AA33,KMB!AG33,KMB!AM33))=11)*(CHOOSE({1,2,3,4},KMB!X33,KMB!AD33,KMB!AJ33,KMB!AP33)))</f>
        <v>0</v>
      </c>
      <c r="L33">
        <f>SUMPRODUCT((MONTH(CHOOSE({1,2,3,4},KMB!U33,KMB!AA33,KMB!AG33,KMB!AM33))=12)*(CHOOSE({1,2,3,4},KMB!X33,KMB!AD33,KMB!AJ33,KMB!AP33)))</f>
        <v>0</v>
      </c>
    </row>
    <row r="34" spans="1:12">
      <c r="A34">
        <f>SUMPRODUCT((MONTH(CHOOSE({1,2,3,4},KMB!U34,KMB!AA34,KMB!AG34,KMB!AM34))=1)*(CHOOSE({1,2,3,4},KMB!X34,KMB!AD34,KMB!AJ34,KMB!AP34)))</f>
        <v>0</v>
      </c>
      <c r="B34">
        <f>SUMPRODUCT((MONTH(CHOOSE({1,2,3,4},KMB!U34,KMB!AA34,KMB!AG34,KMB!AM34))=2)*(CHOOSE({1,2,3,4},KMB!X34,KMB!AD34,KMB!AJ34,KMB!AP34)))</f>
        <v>0</v>
      </c>
      <c r="C34">
        <f>SUMPRODUCT((MONTH(CHOOSE({1,2,3,4},KMB!U34,KMB!AA34,KMB!AG34,KMB!AM34))=3)*(CHOOSE({1,2,3,4},KMB!X34,KMB!AD34,KMB!AJ34,KMB!AP34)))</f>
        <v>0</v>
      </c>
      <c r="D34">
        <f>SUMPRODUCT((MONTH(CHOOSE({1,2,3,4},KMB!U34,KMB!AA34,KMB!AG34,KMB!AM34))=4)*(CHOOSE({1,2,3,4},KMB!X34,KMB!AD34,KMB!AJ34,KMB!AP34)))</f>
        <v>0</v>
      </c>
      <c r="E34">
        <f>SUMPRODUCT((MONTH(CHOOSE({1,2,3,4},KMB!U34,KMB!AA34,KMB!AG34,KMB!AM34))=5)*(CHOOSE({1,2,3,4},KMB!X34,KMB!AD34,KMB!AJ34,KMB!AP34)))</f>
        <v>0</v>
      </c>
      <c r="F34">
        <f>SUMPRODUCT((MONTH(CHOOSE({1,2,3,4},KMB!U34,KMB!AA34,KMB!AG34,KMB!AM34))=6)*(CHOOSE({1,2,3,4},KMB!X34,KMB!AD34,KMB!AJ34,KMB!AP34)))</f>
        <v>0</v>
      </c>
      <c r="G34">
        <f>SUMPRODUCT((MONTH(CHOOSE({1,2,3,4},KMB!U34,KMB!AA34,KMB!AG34,KMB!AM34))=7)*(CHOOSE({1,2,3,4},KMB!X34,KMB!AD34,KMB!AJ34,KMB!AP34)))</f>
        <v>0</v>
      </c>
      <c r="H34">
        <f>SUMPRODUCT((MONTH(CHOOSE({1,2,3,4},KMB!U34,KMB!AA34,KMB!AG34,KMB!AM34))=8)*(CHOOSE({1,2,3,4},KMB!X34,KMB!AD34,KMB!AJ34,KMB!AP34)))</f>
        <v>0</v>
      </c>
      <c r="I34">
        <f>SUMPRODUCT((MONTH(CHOOSE({1,2,3,4},KMB!U34,KMB!AA34,KMB!AG34,KMB!AM34))=9)*(CHOOSE({1,2,3,4},KMB!X34,KMB!AD34,KMB!AJ34,KMB!AP34)))</f>
        <v>0</v>
      </c>
      <c r="J34">
        <f>SUMPRODUCT((MONTH(CHOOSE({1,2,3,4},KMB!U34,KMB!AA34,KMB!AG34,KMB!AM34))=10)*(CHOOSE({1,2,3,4},KMB!X34,KMB!AD34,KMB!AJ34,KMB!AP34)))</f>
        <v>0</v>
      </c>
      <c r="K34">
        <f>SUMPRODUCT((MONTH(CHOOSE({1,2,3,4},KMB!U34,KMB!AA34,KMB!AG34,KMB!AM34))=11)*(CHOOSE({1,2,3,4},KMB!X34,KMB!AD34,KMB!AJ34,KMB!AP34)))</f>
        <v>0</v>
      </c>
      <c r="L34">
        <f>SUMPRODUCT((MONTH(CHOOSE({1,2,3,4},KMB!U34,KMB!AA34,KMB!AG34,KMB!AM34))=12)*(CHOOSE({1,2,3,4},KMB!X34,KMB!AD34,KMB!AJ34,KMB!AP34)))</f>
        <v>0</v>
      </c>
    </row>
    <row r="35" spans="1:12">
      <c r="A35">
        <f>SUMPRODUCT((MONTH(CHOOSE({1,2,3,4},KMB!U35,KMB!AA35,KMB!AG35,KMB!AM35))=1)*(CHOOSE({1,2,3,4},KMB!X35,KMB!AD35,KMB!AJ35,KMB!AP35)))</f>
        <v>0</v>
      </c>
      <c r="B35">
        <f>SUMPRODUCT((MONTH(CHOOSE({1,2,3,4},KMB!U35,KMB!AA35,KMB!AG35,KMB!AM35))=2)*(CHOOSE({1,2,3,4},KMB!X35,KMB!AD35,KMB!AJ35,KMB!AP35)))</f>
        <v>0</v>
      </c>
      <c r="C35">
        <f>SUMPRODUCT((MONTH(CHOOSE({1,2,3,4},KMB!U35,KMB!AA35,KMB!AG35,KMB!AM35))=3)*(CHOOSE({1,2,3,4},KMB!X35,KMB!AD35,KMB!AJ35,KMB!AP35)))</f>
        <v>0</v>
      </c>
      <c r="D35">
        <f>SUMPRODUCT((MONTH(CHOOSE({1,2,3,4},KMB!U35,KMB!AA35,KMB!AG35,KMB!AM35))=4)*(CHOOSE({1,2,3,4},KMB!X35,KMB!AD35,KMB!AJ35,KMB!AP35)))</f>
        <v>0</v>
      </c>
      <c r="E35">
        <f>SUMPRODUCT((MONTH(CHOOSE({1,2,3,4},KMB!U35,KMB!AA35,KMB!AG35,KMB!AM35))=5)*(CHOOSE({1,2,3,4},KMB!X35,KMB!AD35,KMB!AJ35,KMB!AP35)))</f>
        <v>0</v>
      </c>
      <c r="F35">
        <f>SUMPRODUCT((MONTH(CHOOSE({1,2,3,4},KMB!U35,KMB!AA35,KMB!AG35,KMB!AM35))=6)*(CHOOSE({1,2,3,4},KMB!X35,KMB!AD35,KMB!AJ35,KMB!AP35)))</f>
        <v>0</v>
      </c>
      <c r="G35">
        <f>SUMPRODUCT((MONTH(CHOOSE({1,2,3,4},KMB!U35,KMB!AA35,KMB!AG35,KMB!AM35))=7)*(CHOOSE({1,2,3,4},KMB!X35,KMB!AD35,KMB!AJ35,KMB!AP35)))</f>
        <v>0</v>
      </c>
      <c r="H35">
        <f>SUMPRODUCT((MONTH(CHOOSE({1,2,3,4},KMB!U35,KMB!AA35,KMB!AG35,KMB!AM35))=8)*(CHOOSE({1,2,3,4},KMB!X35,KMB!AD35,KMB!AJ35,KMB!AP35)))</f>
        <v>0</v>
      </c>
      <c r="I35">
        <f>SUMPRODUCT((MONTH(CHOOSE({1,2,3,4},KMB!U35,KMB!AA35,KMB!AG35,KMB!AM35))=9)*(CHOOSE({1,2,3,4},KMB!X35,KMB!AD35,KMB!AJ35,KMB!AP35)))</f>
        <v>0</v>
      </c>
      <c r="J35">
        <f>SUMPRODUCT((MONTH(CHOOSE({1,2,3,4},KMB!U35,KMB!AA35,KMB!AG35,KMB!AM35))=10)*(CHOOSE({1,2,3,4},KMB!X35,KMB!AD35,KMB!AJ35,KMB!AP35)))</f>
        <v>0</v>
      </c>
      <c r="K35">
        <f>SUMPRODUCT((MONTH(CHOOSE({1,2,3,4},KMB!U35,KMB!AA35,KMB!AG35,KMB!AM35))=11)*(CHOOSE({1,2,3,4},KMB!X35,KMB!AD35,KMB!AJ35,KMB!AP35)))</f>
        <v>0</v>
      </c>
      <c r="L35">
        <f>SUMPRODUCT((MONTH(CHOOSE({1,2,3,4},KMB!U35,KMB!AA35,KMB!AG35,KMB!AM35))=12)*(CHOOSE({1,2,3,4},KMB!X35,KMB!AD35,KMB!AJ35,KMB!AP35)))</f>
        <v>0</v>
      </c>
    </row>
    <row r="36" spans="1:12">
      <c r="A36">
        <f>SUMPRODUCT((MONTH(CHOOSE({1,2,3,4},KMB!U36,KMB!AA36,KMB!AG36,KMB!AM36))=1)*(CHOOSE({1,2,3,4},KMB!X36,KMB!AD36,KMB!AJ36,KMB!AP36)))</f>
        <v>0</v>
      </c>
      <c r="B36">
        <f>SUMPRODUCT((MONTH(CHOOSE({1,2,3,4},KMB!U36,KMB!AA36,KMB!AG36,KMB!AM36))=2)*(CHOOSE({1,2,3,4},KMB!X36,KMB!AD36,KMB!AJ36,KMB!AP36)))</f>
        <v>0</v>
      </c>
      <c r="C36">
        <f>SUMPRODUCT((MONTH(CHOOSE({1,2,3,4},KMB!U36,KMB!AA36,KMB!AG36,KMB!AM36))=3)*(CHOOSE({1,2,3,4},KMB!X36,KMB!AD36,KMB!AJ36,KMB!AP36)))</f>
        <v>0</v>
      </c>
      <c r="D36">
        <f>SUMPRODUCT((MONTH(CHOOSE({1,2,3,4},KMB!U36,KMB!AA36,KMB!AG36,KMB!AM36))=4)*(CHOOSE({1,2,3,4},KMB!X36,KMB!AD36,KMB!AJ36,KMB!AP36)))</f>
        <v>0</v>
      </c>
      <c r="E36">
        <f>SUMPRODUCT((MONTH(CHOOSE({1,2,3,4},KMB!U36,KMB!AA36,KMB!AG36,KMB!AM36))=5)*(CHOOSE({1,2,3,4},KMB!X36,KMB!AD36,KMB!AJ36,KMB!AP36)))</f>
        <v>0</v>
      </c>
      <c r="F36">
        <f>SUMPRODUCT((MONTH(CHOOSE({1,2,3,4},KMB!U36,KMB!AA36,KMB!AG36,KMB!AM36))=6)*(CHOOSE({1,2,3,4},KMB!X36,KMB!AD36,KMB!AJ36,KMB!AP36)))</f>
        <v>0</v>
      </c>
      <c r="G36">
        <f>SUMPRODUCT((MONTH(CHOOSE({1,2,3,4},KMB!U36,KMB!AA36,KMB!AG36,KMB!AM36))=7)*(CHOOSE({1,2,3,4},KMB!X36,KMB!AD36,KMB!AJ36,KMB!AP36)))</f>
        <v>0</v>
      </c>
      <c r="H36">
        <f>SUMPRODUCT((MONTH(CHOOSE({1,2,3,4},KMB!U36,KMB!AA36,KMB!AG36,KMB!AM36))=8)*(CHOOSE({1,2,3,4},KMB!X36,KMB!AD36,KMB!AJ36,KMB!AP36)))</f>
        <v>0</v>
      </c>
      <c r="I36">
        <f>SUMPRODUCT((MONTH(CHOOSE({1,2,3,4},KMB!U36,KMB!AA36,KMB!AG36,KMB!AM36))=9)*(CHOOSE({1,2,3,4},KMB!X36,KMB!AD36,KMB!AJ36,KMB!AP36)))</f>
        <v>0</v>
      </c>
      <c r="J36">
        <f>SUMPRODUCT((MONTH(CHOOSE({1,2,3,4},KMB!U36,KMB!AA36,KMB!AG36,KMB!AM36))=10)*(CHOOSE({1,2,3,4},KMB!X36,KMB!AD36,KMB!AJ36,KMB!AP36)))</f>
        <v>0</v>
      </c>
      <c r="K36">
        <f>SUMPRODUCT((MONTH(CHOOSE({1,2,3,4},KMB!U36,KMB!AA36,KMB!AG36,KMB!AM36))=11)*(CHOOSE({1,2,3,4},KMB!X36,KMB!AD36,KMB!AJ36,KMB!AP36)))</f>
        <v>0</v>
      </c>
      <c r="L36">
        <f>SUMPRODUCT((MONTH(CHOOSE({1,2,3,4},KMB!U36,KMB!AA36,KMB!AG36,KMB!AM36))=12)*(CHOOSE({1,2,3,4},KMB!X36,KMB!AD36,KMB!AJ36,KMB!AP36)))</f>
        <v>0</v>
      </c>
    </row>
    <row r="37" spans="1:12">
      <c r="A37">
        <f>SUMPRODUCT((MONTH(CHOOSE({1,2,3,4},KMB!U37,KMB!AA37,KMB!AG37,KMB!AM37))=1)*(CHOOSE({1,2,3,4},KMB!X37,KMB!AD37,KMB!AJ37,KMB!AP37)))</f>
        <v>0</v>
      </c>
      <c r="B37">
        <f>SUMPRODUCT((MONTH(CHOOSE({1,2,3,4},KMB!U37,KMB!AA37,KMB!AG37,KMB!AM37))=2)*(CHOOSE({1,2,3,4},KMB!X37,KMB!AD37,KMB!AJ37,KMB!AP37)))</f>
        <v>0</v>
      </c>
      <c r="C37">
        <f>SUMPRODUCT((MONTH(CHOOSE({1,2,3,4},KMB!U37,KMB!AA37,KMB!AG37,KMB!AM37))=3)*(CHOOSE({1,2,3,4},KMB!X37,KMB!AD37,KMB!AJ37,KMB!AP37)))</f>
        <v>0</v>
      </c>
      <c r="D37">
        <f>SUMPRODUCT((MONTH(CHOOSE({1,2,3,4},KMB!U37,KMB!AA37,KMB!AG37,KMB!AM37))=4)*(CHOOSE({1,2,3,4},KMB!X37,KMB!AD37,KMB!AJ37,KMB!AP37)))</f>
        <v>0</v>
      </c>
      <c r="E37">
        <f>SUMPRODUCT((MONTH(CHOOSE({1,2,3,4},KMB!U37,KMB!AA37,KMB!AG37,KMB!AM37))=5)*(CHOOSE({1,2,3,4},KMB!X37,KMB!AD37,KMB!AJ37,KMB!AP37)))</f>
        <v>0</v>
      </c>
      <c r="F37">
        <f>SUMPRODUCT((MONTH(CHOOSE({1,2,3,4},KMB!U37,KMB!AA37,KMB!AG37,KMB!AM37))=6)*(CHOOSE({1,2,3,4},KMB!X37,KMB!AD37,KMB!AJ37,KMB!AP37)))</f>
        <v>0</v>
      </c>
      <c r="G37">
        <f>SUMPRODUCT((MONTH(CHOOSE({1,2,3,4},KMB!U37,KMB!AA37,KMB!AG37,KMB!AM37))=7)*(CHOOSE({1,2,3,4},KMB!X37,KMB!AD37,KMB!AJ37,KMB!AP37)))</f>
        <v>0</v>
      </c>
      <c r="H37">
        <f>SUMPRODUCT((MONTH(CHOOSE({1,2,3,4},KMB!U37,KMB!AA37,KMB!AG37,KMB!AM37))=8)*(CHOOSE({1,2,3,4},KMB!X37,KMB!AD37,KMB!AJ37,KMB!AP37)))</f>
        <v>0</v>
      </c>
      <c r="I37">
        <f>SUMPRODUCT((MONTH(CHOOSE({1,2,3,4},KMB!U37,KMB!AA37,KMB!AG37,KMB!AM37))=9)*(CHOOSE({1,2,3,4},KMB!X37,KMB!AD37,KMB!AJ37,KMB!AP37)))</f>
        <v>0</v>
      </c>
      <c r="J37">
        <f>SUMPRODUCT((MONTH(CHOOSE({1,2,3,4},KMB!U37,KMB!AA37,KMB!AG37,KMB!AM37))=10)*(CHOOSE({1,2,3,4},KMB!X37,KMB!AD37,KMB!AJ37,KMB!AP37)))</f>
        <v>0</v>
      </c>
      <c r="K37">
        <f>SUMPRODUCT((MONTH(CHOOSE({1,2,3,4},KMB!U37,KMB!AA37,KMB!AG37,KMB!AM37))=11)*(CHOOSE({1,2,3,4},KMB!X37,KMB!AD37,KMB!AJ37,KMB!AP37)))</f>
        <v>0</v>
      </c>
      <c r="L37">
        <f>SUMPRODUCT((MONTH(CHOOSE({1,2,3,4},KMB!U37,KMB!AA37,KMB!AG37,KMB!AM37))=12)*(CHOOSE({1,2,3,4},KMB!X37,KMB!AD37,KMB!AJ37,KMB!AP37)))</f>
        <v>0</v>
      </c>
    </row>
    <row r="38" spans="1:12">
      <c r="A38">
        <f>SUMPRODUCT((MONTH(CHOOSE({1,2,3,4},KMB!U38,KMB!AA38,KMB!AG38,KMB!AM38))=1)*(CHOOSE({1,2,3,4},KMB!X38,KMB!AD38,KMB!AJ38,KMB!AP38)))</f>
        <v>0</v>
      </c>
      <c r="B38">
        <f>SUMPRODUCT((MONTH(CHOOSE({1,2,3,4},KMB!U38,KMB!AA38,KMB!AG38,KMB!AM38))=2)*(CHOOSE({1,2,3,4},KMB!X38,KMB!AD38,KMB!AJ38,KMB!AP38)))</f>
        <v>0</v>
      </c>
      <c r="C38">
        <f>SUMPRODUCT((MONTH(CHOOSE({1,2,3,4},KMB!U38,KMB!AA38,KMB!AG38,KMB!AM38))=3)*(CHOOSE({1,2,3,4},KMB!X38,KMB!AD38,KMB!AJ38,KMB!AP38)))</f>
        <v>0</v>
      </c>
      <c r="D38">
        <f>SUMPRODUCT((MONTH(CHOOSE({1,2,3,4},KMB!U38,KMB!AA38,KMB!AG38,KMB!AM38))=4)*(CHOOSE({1,2,3,4},KMB!X38,KMB!AD38,KMB!AJ38,KMB!AP38)))</f>
        <v>0</v>
      </c>
      <c r="E38">
        <f>SUMPRODUCT((MONTH(CHOOSE({1,2,3,4},KMB!U38,KMB!AA38,KMB!AG38,KMB!AM38))=5)*(CHOOSE({1,2,3,4},KMB!X38,KMB!AD38,KMB!AJ38,KMB!AP38)))</f>
        <v>0</v>
      </c>
      <c r="F38">
        <f>SUMPRODUCT((MONTH(CHOOSE({1,2,3,4},KMB!U38,KMB!AA38,KMB!AG38,KMB!AM38))=6)*(CHOOSE({1,2,3,4},KMB!X38,KMB!AD38,KMB!AJ38,KMB!AP38)))</f>
        <v>0</v>
      </c>
      <c r="G38">
        <f>SUMPRODUCT((MONTH(CHOOSE({1,2,3,4},KMB!U38,KMB!AA38,KMB!AG38,KMB!AM38))=7)*(CHOOSE({1,2,3,4},KMB!X38,KMB!AD38,KMB!AJ38,KMB!AP38)))</f>
        <v>0</v>
      </c>
      <c r="H38">
        <f>SUMPRODUCT((MONTH(CHOOSE({1,2,3,4},KMB!U38,KMB!AA38,KMB!AG38,KMB!AM38))=8)*(CHOOSE({1,2,3,4},KMB!X38,KMB!AD38,KMB!AJ38,KMB!AP38)))</f>
        <v>0</v>
      </c>
      <c r="I38">
        <f>SUMPRODUCT((MONTH(CHOOSE({1,2,3,4},KMB!U38,KMB!AA38,KMB!AG38,KMB!AM38))=9)*(CHOOSE({1,2,3,4},KMB!X38,KMB!AD38,KMB!AJ38,KMB!AP38)))</f>
        <v>0</v>
      </c>
      <c r="J38">
        <f>SUMPRODUCT((MONTH(CHOOSE({1,2,3,4},KMB!U38,KMB!AA38,KMB!AG38,KMB!AM38))=10)*(CHOOSE({1,2,3,4},KMB!X38,KMB!AD38,KMB!AJ38,KMB!AP38)))</f>
        <v>0</v>
      </c>
      <c r="K38">
        <f>SUMPRODUCT((MONTH(CHOOSE({1,2,3,4},KMB!U38,KMB!AA38,KMB!AG38,KMB!AM38))=11)*(CHOOSE({1,2,3,4},KMB!X38,KMB!AD38,KMB!AJ38,KMB!AP38)))</f>
        <v>0</v>
      </c>
      <c r="L38">
        <f>SUMPRODUCT((MONTH(CHOOSE({1,2,3,4},KMB!U38,KMB!AA38,KMB!AG38,KMB!AM38))=12)*(CHOOSE({1,2,3,4},KMB!X38,KMB!AD38,KMB!AJ38,KMB!AP38)))</f>
        <v>0</v>
      </c>
    </row>
    <row r="39" spans="1:12">
      <c r="A39">
        <f>SUMPRODUCT((MONTH(CHOOSE({1,2,3,4},KMB!U39,KMB!AA39,KMB!AG39,KMB!AM39))=1)*(CHOOSE({1,2,3,4},KMB!X39,KMB!AD39,KMB!AJ39,KMB!AP39)))</f>
        <v>0</v>
      </c>
      <c r="B39">
        <f>SUMPRODUCT((MONTH(CHOOSE({1,2,3,4},KMB!U39,KMB!AA39,KMB!AG39,KMB!AM39))=2)*(CHOOSE({1,2,3,4},KMB!X39,KMB!AD39,KMB!AJ39,KMB!AP39)))</f>
        <v>0</v>
      </c>
      <c r="C39">
        <f>SUMPRODUCT((MONTH(CHOOSE({1,2,3,4},KMB!U39,KMB!AA39,KMB!AG39,KMB!AM39))=3)*(CHOOSE({1,2,3,4},KMB!X39,KMB!AD39,KMB!AJ39,KMB!AP39)))</f>
        <v>0</v>
      </c>
      <c r="D39">
        <f>SUMPRODUCT((MONTH(CHOOSE({1,2,3,4},KMB!U39,KMB!AA39,KMB!AG39,KMB!AM39))=4)*(CHOOSE({1,2,3,4},KMB!X39,KMB!AD39,KMB!AJ39,KMB!AP39)))</f>
        <v>0</v>
      </c>
      <c r="E39">
        <f>SUMPRODUCT((MONTH(CHOOSE({1,2,3,4},KMB!U39,KMB!AA39,KMB!AG39,KMB!AM39))=5)*(CHOOSE({1,2,3,4},KMB!X39,KMB!AD39,KMB!AJ39,KMB!AP39)))</f>
        <v>0</v>
      </c>
      <c r="F39">
        <f>SUMPRODUCT((MONTH(CHOOSE({1,2,3,4},KMB!U39,KMB!AA39,KMB!AG39,KMB!AM39))=6)*(CHOOSE({1,2,3,4},KMB!X39,KMB!AD39,KMB!AJ39,KMB!AP39)))</f>
        <v>0</v>
      </c>
      <c r="G39">
        <f>SUMPRODUCT((MONTH(CHOOSE({1,2,3,4},KMB!U39,KMB!AA39,KMB!AG39,KMB!AM39))=7)*(CHOOSE({1,2,3,4},KMB!X39,KMB!AD39,KMB!AJ39,KMB!AP39)))</f>
        <v>0</v>
      </c>
      <c r="H39">
        <f>SUMPRODUCT((MONTH(CHOOSE({1,2,3,4},KMB!U39,KMB!AA39,KMB!AG39,KMB!AM39))=8)*(CHOOSE({1,2,3,4},KMB!X39,KMB!AD39,KMB!AJ39,KMB!AP39)))</f>
        <v>0</v>
      </c>
      <c r="I39">
        <f>SUMPRODUCT((MONTH(CHOOSE({1,2,3,4},KMB!U39,KMB!AA39,KMB!AG39,KMB!AM39))=9)*(CHOOSE({1,2,3,4},KMB!X39,KMB!AD39,KMB!AJ39,KMB!AP39)))</f>
        <v>0</v>
      </c>
      <c r="J39">
        <f>SUMPRODUCT((MONTH(CHOOSE({1,2,3,4},KMB!U39,KMB!AA39,KMB!AG39,KMB!AM39))=10)*(CHOOSE({1,2,3,4},KMB!X39,KMB!AD39,KMB!AJ39,KMB!AP39)))</f>
        <v>0</v>
      </c>
      <c r="K39">
        <f>SUMPRODUCT((MONTH(CHOOSE({1,2,3,4},KMB!U39,KMB!AA39,KMB!AG39,KMB!AM39))=11)*(CHOOSE({1,2,3,4},KMB!X39,KMB!AD39,KMB!AJ39,KMB!AP39)))</f>
        <v>0</v>
      </c>
      <c r="L39">
        <f>SUMPRODUCT((MONTH(CHOOSE({1,2,3,4},KMB!U39,KMB!AA39,KMB!AG39,KMB!AM39))=12)*(CHOOSE({1,2,3,4},KMB!X39,KMB!AD39,KMB!AJ39,KMB!AP39)))</f>
        <v>0</v>
      </c>
    </row>
    <row r="40" spans="1:12">
      <c r="A40">
        <f>SUMPRODUCT((MONTH(CHOOSE({1,2,3,4},KMB!U40,KMB!AA40,KMB!AG40,KMB!AM40))=1)*(CHOOSE({1,2,3,4},KMB!X40,KMB!AD40,KMB!AJ40,KMB!AP40)))</f>
        <v>0</v>
      </c>
      <c r="B40">
        <f>SUMPRODUCT((MONTH(CHOOSE({1,2,3,4},KMB!U40,KMB!AA40,KMB!AG40,KMB!AM40))=2)*(CHOOSE({1,2,3,4},KMB!X40,KMB!AD40,KMB!AJ40,KMB!AP40)))</f>
        <v>0</v>
      </c>
      <c r="C40">
        <f>SUMPRODUCT((MONTH(CHOOSE({1,2,3,4},KMB!U40,KMB!AA40,KMB!AG40,KMB!AM40))=3)*(CHOOSE({1,2,3,4},KMB!X40,KMB!AD40,KMB!AJ40,KMB!AP40)))</f>
        <v>0</v>
      </c>
      <c r="D40">
        <f>SUMPRODUCT((MONTH(CHOOSE({1,2,3,4},KMB!U40,KMB!AA40,KMB!AG40,KMB!AM40))=4)*(CHOOSE({1,2,3,4},KMB!X40,KMB!AD40,KMB!AJ40,KMB!AP40)))</f>
        <v>0</v>
      </c>
      <c r="E40">
        <f>SUMPRODUCT((MONTH(CHOOSE({1,2,3,4},KMB!U40,KMB!AA40,KMB!AG40,KMB!AM40))=5)*(CHOOSE({1,2,3,4},KMB!X40,KMB!AD40,KMB!AJ40,KMB!AP40)))</f>
        <v>0</v>
      </c>
      <c r="F40">
        <f>SUMPRODUCT((MONTH(CHOOSE({1,2,3,4},KMB!U40,KMB!AA40,KMB!AG40,KMB!AM40))=6)*(CHOOSE({1,2,3,4},KMB!X40,KMB!AD40,KMB!AJ40,KMB!AP40)))</f>
        <v>0</v>
      </c>
      <c r="G40">
        <f>SUMPRODUCT((MONTH(CHOOSE({1,2,3,4},KMB!U40,KMB!AA40,KMB!AG40,KMB!AM40))=7)*(CHOOSE({1,2,3,4},KMB!X40,KMB!AD40,KMB!AJ40,KMB!AP40)))</f>
        <v>0</v>
      </c>
      <c r="H40">
        <f>SUMPRODUCT((MONTH(CHOOSE({1,2,3,4},KMB!U40,KMB!AA40,KMB!AG40,KMB!AM40))=8)*(CHOOSE({1,2,3,4},KMB!X40,KMB!AD40,KMB!AJ40,KMB!AP40)))</f>
        <v>0</v>
      </c>
      <c r="I40">
        <f>SUMPRODUCT((MONTH(CHOOSE({1,2,3,4},KMB!U40,KMB!AA40,KMB!AG40,KMB!AM40))=9)*(CHOOSE({1,2,3,4},KMB!X40,KMB!AD40,KMB!AJ40,KMB!AP40)))</f>
        <v>0</v>
      </c>
      <c r="J40">
        <f>SUMPRODUCT((MONTH(CHOOSE({1,2,3,4},KMB!U40,KMB!AA40,KMB!AG40,KMB!AM40))=10)*(CHOOSE({1,2,3,4},KMB!X40,KMB!AD40,KMB!AJ40,KMB!AP40)))</f>
        <v>0</v>
      </c>
      <c r="K40">
        <f>SUMPRODUCT((MONTH(CHOOSE({1,2,3,4},KMB!U40,KMB!AA40,KMB!AG40,KMB!AM40))=11)*(CHOOSE({1,2,3,4},KMB!X40,KMB!AD40,KMB!AJ40,KMB!AP40)))</f>
        <v>0</v>
      </c>
      <c r="L40">
        <f>SUMPRODUCT((MONTH(CHOOSE({1,2,3,4},KMB!U40,KMB!AA40,KMB!AG40,KMB!AM40))=12)*(CHOOSE({1,2,3,4},KMB!X40,KMB!AD40,KMB!AJ40,KMB!AP40)))</f>
        <v>0</v>
      </c>
    </row>
    <row r="41" spans="1:12">
      <c r="A41">
        <f>SUMPRODUCT((MONTH(CHOOSE({1,2,3,4},KMB!U41,KMB!AA41,KMB!AG41,KMB!AM41))=1)*(CHOOSE({1,2,3,4},KMB!X41,KMB!AD41,KMB!AJ41,KMB!AP41)))</f>
        <v>0</v>
      </c>
      <c r="B41">
        <f>SUMPRODUCT((MONTH(CHOOSE({1,2,3,4},KMB!U41,KMB!AA41,KMB!AG41,KMB!AM41))=2)*(CHOOSE({1,2,3,4},KMB!X41,KMB!AD41,KMB!AJ41,KMB!AP41)))</f>
        <v>0</v>
      </c>
      <c r="C41">
        <f>SUMPRODUCT((MONTH(CHOOSE({1,2,3,4},KMB!U41,KMB!AA41,KMB!AG41,KMB!AM41))=3)*(CHOOSE({1,2,3,4},KMB!X41,KMB!AD41,KMB!AJ41,KMB!AP41)))</f>
        <v>0</v>
      </c>
      <c r="D41">
        <f>SUMPRODUCT((MONTH(CHOOSE({1,2,3,4},KMB!U41,KMB!AA41,KMB!AG41,KMB!AM41))=4)*(CHOOSE({1,2,3,4},KMB!X41,KMB!AD41,KMB!AJ41,KMB!AP41)))</f>
        <v>0</v>
      </c>
      <c r="E41">
        <f>SUMPRODUCT((MONTH(CHOOSE({1,2,3,4},KMB!U41,KMB!AA41,KMB!AG41,KMB!AM41))=5)*(CHOOSE({1,2,3,4},KMB!X41,KMB!AD41,KMB!AJ41,KMB!AP41)))</f>
        <v>0</v>
      </c>
      <c r="F41">
        <f>SUMPRODUCT((MONTH(CHOOSE({1,2,3,4},KMB!U41,KMB!AA41,KMB!AG41,KMB!AM41))=6)*(CHOOSE({1,2,3,4},KMB!X41,KMB!AD41,KMB!AJ41,KMB!AP41)))</f>
        <v>0</v>
      </c>
      <c r="G41">
        <f>SUMPRODUCT((MONTH(CHOOSE({1,2,3,4},KMB!U41,KMB!AA41,KMB!AG41,KMB!AM41))=7)*(CHOOSE({1,2,3,4},KMB!X41,KMB!AD41,KMB!AJ41,KMB!AP41)))</f>
        <v>0</v>
      </c>
      <c r="H41">
        <f>SUMPRODUCT((MONTH(CHOOSE({1,2,3,4},KMB!U41,KMB!AA41,KMB!AG41,KMB!AM41))=8)*(CHOOSE({1,2,3,4},KMB!X41,KMB!AD41,KMB!AJ41,KMB!AP41)))</f>
        <v>0</v>
      </c>
      <c r="I41">
        <f>SUMPRODUCT((MONTH(CHOOSE({1,2,3,4},KMB!U41,KMB!AA41,KMB!AG41,KMB!AM41))=9)*(CHOOSE({1,2,3,4},KMB!X41,KMB!AD41,KMB!AJ41,KMB!AP41)))</f>
        <v>0</v>
      </c>
      <c r="J41">
        <f>SUMPRODUCT((MONTH(CHOOSE({1,2,3,4},KMB!U41,KMB!AA41,KMB!AG41,KMB!AM41))=10)*(CHOOSE({1,2,3,4},KMB!X41,KMB!AD41,KMB!AJ41,KMB!AP41)))</f>
        <v>0</v>
      </c>
      <c r="K41">
        <f>SUMPRODUCT((MONTH(CHOOSE({1,2,3,4},KMB!U41,KMB!AA41,KMB!AG41,KMB!AM41))=11)*(CHOOSE({1,2,3,4},KMB!X41,KMB!AD41,KMB!AJ41,KMB!AP41)))</f>
        <v>0</v>
      </c>
      <c r="L41">
        <f>SUMPRODUCT((MONTH(CHOOSE({1,2,3,4},KMB!U41,KMB!AA41,KMB!AG41,KMB!AM41))=12)*(CHOOSE({1,2,3,4},KMB!X41,KMB!AD41,KMB!AJ41,KMB!AP41)))</f>
        <v>0</v>
      </c>
    </row>
    <row r="42" spans="1:12">
      <c r="A42">
        <f>SUMPRODUCT((MONTH(CHOOSE({1,2,3,4},KMB!U42,KMB!AA42,KMB!AG42,KMB!AM42))=1)*(CHOOSE({1,2,3,4},KMB!X42,KMB!AD42,KMB!AJ42,KMB!AP42)))</f>
        <v>0</v>
      </c>
      <c r="B42">
        <f>SUMPRODUCT((MONTH(CHOOSE({1,2,3,4},KMB!U42,KMB!AA42,KMB!AG42,KMB!AM42))=2)*(CHOOSE({1,2,3,4},KMB!X42,KMB!AD42,KMB!AJ42,KMB!AP42)))</f>
        <v>0</v>
      </c>
      <c r="C42">
        <f>SUMPRODUCT((MONTH(CHOOSE({1,2,3,4},KMB!U42,KMB!AA42,KMB!AG42,KMB!AM42))=3)*(CHOOSE({1,2,3,4},KMB!X42,KMB!AD42,KMB!AJ42,KMB!AP42)))</f>
        <v>0</v>
      </c>
      <c r="D42">
        <f>SUMPRODUCT((MONTH(CHOOSE({1,2,3,4},KMB!U42,KMB!AA42,KMB!AG42,KMB!AM42))=4)*(CHOOSE({1,2,3,4},KMB!X42,KMB!AD42,KMB!AJ42,KMB!AP42)))</f>
        <v>0</v>
      </c>
      <c r="E42">
        <f>SUMPRODUCT((MONTH(CHOOSE({1,2,3,4},KMB!U42,KMB!AA42,KMB!AG42,KMB!AM42))=5)*(CHOOSE({1,2,3,4},KMB!X42,KMB!AD42,KMB!AJ42,KMB!AP42)))</f>
        <v>0</v>
      </c>
      <c r="F42">
        <f>SUMPRODUCT((MONTH(CHOOSE({1,2,3,4},KMB!U42,KMB!AA42,KMB!AG42,KMB!AM42))=6)*(CHOOSE({1,2,3,4},KMB!X42,KMB!AD42,KMB!AJ42,KMB!AP42)))</f>
        <v>0</v>
      </c>
      <c r="G42">
        <f>SUMPRODUCT((MONTH(CHOOSE({1,2,3,4},KMB!U42,KMB!AA42,KMB!AG42,KMB!AM42))=7)*(CHOOSE({1,2,3,4},KMB!X42,KMB!AD42,KMB!AJ42,KMB!AP42)))</f>
        <v>0</v>
      </c>
      <c r="H42">
        <f>SUMPRODUCT((MONTH(CHOOSE({1,2,3,4},KMB!U42,KMB!AA42,KMB!AG42,KMB!AM42))=8)*(CHOOSE({1,2,3,4},KMB!X42,KMB!AD42,KMB!AJ42,KMB!AP42)))</f>
        <v>0</v>
      </c>
      <c r="I42">
        <f>SUMPRODUCT((MONTH(CHOOSE({1,2,3,4},KMB!U42,KMB!AA42,KMB!AG42,KMB!AM42))=9)*(CHOOSE({1,2,3,4},KMB!X42,KMB!AD42,KMB!AJ42,KMB!AP42)))</f>
        <v>0</v>
      </c>
      <c r="J42">
        <f>SUMPRODUCT((MONTH(CHOOSE({1,2,3,4},KMB!U42,KMB!AA42,KMB!AG42,KMB!AM42))=10)*(CHOOSE({1,2,3,4},KMB!X42,KMB!AD42,KMB!AJ42,KMB!AP42)))</f>
        <v>0</v>
      </c>
      <c r="K42">
        <f>SUMPRODUCT((MONTH(CHOOSE({1,2,3,4},KMB!U42,KMB!AA42,KMB!AG42,KMB!AM42))=11)*(CHOOSE({1,2,3,4},KMB!X42,KMB!AD42,KMB!AJ42,KMB!AP42)))</f>
        <v>0</v>
      </c>
      <c r="L42">
        <f>SUMPRODUCT((MONTH(CHOOSE({1,2,3,4},KMB!U42,KMB!AA42,KMB!AG42,KMB!AM42))=12)*(CHOOSE({1,2,3,4},KMB!X42,KMB!AD42,KMB!AJ42,KMB!AP42)))</f>
        <v>0</v>
      </c>
    </row>
    <row r="43" spans="1:12">
      <c r="A43">
        <f>SUMPRODUCT((MONTH(CHOOSE({1,2,3,4},KMB!U43,KMB!AA43,KMB!AG43,KMB!AM43))=1)*(CHOOSE({1,2,3,4},KMB!X43,KMB!AD43,KMB!AJ43,KMB!AP43)))</f>
        <v>0</v>
      </c>
      <c r="B43">
        <f>SUMPRODUCT((MONTH(CHOOSE({1,2,3,4},KMB!U43,KMB!AA43,KMB!AG43,KMB!AM43))=2)*(CHOOSE({1,2,3,4},KMB!X43,KMB!AD43,KMB!AJ43,KMB!AP43)))</f>
        <v>0</v>
      </c>
      <c r="C43">
        <f>SUMPRODUCT((MONTH(CHOOSE({1,2,3,4},KMB!U43,KMB!AA43,KMB!AG43,KMB!AM43))=3)*(CHOOSE({1,2,3,4},KMB!X43,KMB!AD43,KMB!AJ43,KMB!AP43)))</f>
        <v>0</v>
      </c>
      <c r="D43">
        <f>SUMPRODUCT((MONTH(CHOOSE({1,2,3,4},KMB!U43,KMB!AA43,KMB!AG43,KMB!AM43))=4)*(CHOOSE({1,2,3,4},KMB!X43,KMB!AD43,KMB!AJ43,KMB!AP43)))</f>
        <v>0</v>
      </c>
      <c r="E43">
        <f>SUMPRODUCT((MONTH(CHOOSE({1,2,3,4},KMB!U43,KMB!AA43,KMB!AG43,KMB!AM43))=5)*(CHOOSE({1,2,3,4},KMB!X43,KMB!AD43,KMB!AJ43,KMB!AP43)))</f>
        <v>0</v>
      </c>
      <c r="F43">
        <f>SUMPRODUCT((MONTH(CHOOSE({1,2,3,4},KMB!U43,KMB!AA43,KMB!AG43,KMB!AM43))=6)*(CHOOSE({1,2,3,4},KMB!X43,KMB!AD43,KMB!AJ43,KMB!AP43)))</f>
        <v>0</v>
      </c>
      <c r="G43">
        <f>SUMPRODUCT((MONTH(CHOOSE({1,2,3,4},KMB!U43,KMB!AA43,KMB!AG43,KMB!AM43))=7)*(CHOOSE({1,2,3,4},KMB!X43,KMB!AD43,KMB!AJ43,KMB!AP43)))</f>
        <v>0</v>
      </c>
      <c r="H43">
        <f>SUMPRODUCT((MONTH(CHOOSE({1,2,3,4},KMB!U43,KMB!AA43,KMB!AG43,KMB!AM43))=8)*(CHOOSE({1,2,3,4},KMB!X43,KMB!AD43,KMB!AJ43,KMB!AP43)))</f>
        <v>0</v>
      </c>
      <c r="I43">
        <f>SUMPRODUCT((MONTH(CHOOSE({1,2,3,4},KMB!U43,KMB!AA43,KMB!AG43,KMB!AM43))=9)*(CHOOSE({1,2,3,4},KMB!X43,KMB!AD43,KMB!AJ43,KMB!AP43)))</f>
        <v>0</v>
      </c>
      <c r="J43">
        <f>SUMPRODUCT((MONTH(CHOOSE({1,2,3,4},KMB!U43,KMB!AA43,KMB!AG43,KMB!AM43))=10)*(CHOOSE({1,2,3,4},KMB!X43,KMB!AD43,KMB!AJ43,KMB!AP43)))</f>
        <v>0</v>
      </c>
      <c r="K43">
        <f>SUMPRODUCT((MONTH(CHOOSE({1,2,3,4},KMB!U43,KMB!AA43,KMB!AG43,KMB!AM43))=11)*(CHOOSE({1,2,3,4},KMB!X43,KMB!AD43,KMB!AJ43,KMB!AP43)))</f>
        <v>0</v>
      </c>
      <c r="L43">
        <f>SUMPRODUCT((MONTH(CHOOSE({1,2,3,4},KMB!U43,KMB!AA43,KMB!AG43,KMB!AM43))=12)*(CHOOSE({1,2,3,4},KMB!X43,KMB!AD43,KMB!AJ43,KMB!AP43)))</f>
        <v>0</v>
      </c>
    </row>
    <row r="44" spans="1:12">
      <c r="A44">
        <f>SUMPRODUCT((MONTH(CHOOSE({1,2,3,4},KMB!U44,KMB!AA44,KMB!AG44,KMB!AM44))=1)*(CHOOSE({1,2,3,4},KMB!X44,KMB!AD44,KMB!AJ44,KMB!AP44)))</f>
        <v>0</v>
      </c>
      <c r="B44">
        <f>SUMPRODUCT((MONTH(CHOOSE({1,2,3,4},KMB!U44,KMB!AA44,KMB!AG44,KMB!AM44))=2)*(CHOOSE({1,2,3,4},KMB!X44,KMB!AD44,KMB!AJ44,KMB!AP44)))</f>
        <v>0</v>
      </c>
      <c r="C44">
        <f>SUMPRODUCT((MONTH(CHOOSE({1,2,3,4},KMB!U44,KMB!AA44,KMB!AG44,KMB!AM44))=3)*(CHOOSE({1,2,3,4},KMB!X44,KMB!AD44,KMB!AJ44,KMB!AP44)))</f>
        <v>0</v>
      </c>
      <c r="D44">
        <f>SUMPRODUCT((MONTH(CHOOSE({1,2,3,4},KMB!U44,KMB!AA44,KMB!AG44,KMB!AM44))=4)*(CHOOSE({1,2,3,4},KMB!X44,KMB!AD44,KMB!AJ44,KMB!AP44)))</f>
        <v>0</v>
      </c>
      <c r="E44">
        <f>SUMPRODUCT((MONTH(CHOOSE({1,2,3,4},KMB!U44,KMB!AA44,KMB!AG44,KMB!AM44))=5)*(CHOOSE({1,2,3,4},KMB!X44,KMB!AD44,KMB!AJ44,KMB!AP44)))</f>
        <v>0</v>
      </c>
      <c r="F44">
        <f>SUMPRODUCT((MONTH(CHOOSE({1,2,3,4},KMB!U44,KMB!AA44,KMB!AG44,KMB!AM44))=6)*(CHOOSE({1,2,3,4},KMB!X44,KMB!AD44,KMB!AJ44,KMB!AP44)))</f>
        <v>0</v>
      </c>
      <c r="G44">
        <f>SUMPRODUCT((MONTH(CHOOSE({1,2,3,4},KMB!U44,KMB!AA44,KMB!AG44,KMB!AM44))=7)*(CHOOSE({1,2,3,4},KMB!X44,KMB!AD44,KMB!AJ44,KMB!AP44)))</f>
        <v>0</v>
      </c>
      <c r="H44">
        <f>SUMPRODUCT((MONTH(CHOOSE({1,2,3,4},KMB!U44,KMB!AA44,KMB!AG44,KMB!AM44))=8)*(CHOOSE({1,2,3,4},KMB!X44,KMB!AD44,KMB!AJ44,KMB!AP44)))</f>
        <v>0</v>
      </c>
      <c r="I44">
        <f>SUMPRODUCT((MONTH(CHOOSE({1,2,3,4},KMB!U44,KMB!AA44,KMB!AG44,KMB!AM44))=9)*(CHOOSE({1,2,3,4},KMB!X44,KMB!AD44,KMB!AJ44,KMB!AP44)))</f>
        <v>0</v>
      </c>
      <c r="J44">
        <f>SUMPRODUCT((MONTH(CHOOSE({1,2,3,4},KMB!U44,KMB!AA44,KMB!AG44,KMB!AM44))=10)*(CHOOSE({1,2,3,4},KMB!X44,KMB!AD44,KMB!AJ44,KMB!AP44)))</f>
        <v>0</v>
      </c>
      <c r="K44">
        <f>SUMPRODUCT((MONTH(CHOOSE({1,2,3,4},KMB!U44,KMB!AA44,KMB!AG44,KMB!AM44))=11)*(CHOOSE({1,2,3,4},KMB!X44,KMB!AD44,KMB!AJ44,KMB!AP44)))</f>
        <v>0</v>
      </c>
      <c r="L44">
        <f>SUMPRODUCT((MONTH(CHOOSE({1,2,3,4},KMB!U44,KMB!AA44,KMB!AG44,KMB!AM44))=12)*(CHOOSE({1,2,3,4},KMB!X44,KMB!AD44,KMB!AJ44,KMB!AP44)))</f>
        <v>0</v>
      </c>
    </row>
    <row r="45" spans="1:12">
      <c r="A45">
        <f>SUMPRODUCT((MONTH(CHOOSE({1,2,3,4},KMB!U45,KMB!AA45,KMB!AG45,KMB!AM45))=1)*(CHOOSE({1,2,3,4},KMB!X45,KMB!AD45,KMB!AJ45,KMB!AP45)))</f>
        <v>0</v>
      </c>
      <c r="B45">
        <f>SUMPRODUCT((MONTH(CHOOSE({1,2,3,4},KMB!U45,KMB!AA45,KMB!AG45,KMB!AM45))=2)*(CHOOSE({1,2,3,4},KMB!X45,KMB!AD45,KMB!AJ45,KMB!AP45)))</f>
        <v>0</v>
      </c>
      <c r="C45">
        <f>SUMPRODUCT((MONTH(CHOOSE({1,2,3,4},KMB!U45,KMB!AA45,KMB!AG45,KMB!AM45))=3)*(CHOOSE({1,2,3,4},KMB!X45,KMB!AD45,KMB!AJ45,KMB!AP45)))</f>
        <v>0</v>
      </c>
      <c r="D45">
        <f>SUMPRODUCT((MONTH(CHOOSE({1,2,3,4},KMB!U45,KMB!AA45,KMB!AG45,KMB!AM45))=4)*(CHOOSE({1,2,3,4},KMB!X45,KMB!AD45,KMB!AJ45,KMB!AP45)))</f>
        <v>0</v>
      </c>
      <c r="E45">
        <f>SUMPRODUCT((MONTH(CHOOSE({1,2,3,4},KMB!U45,KMB!AA45,KMB!AG45,KMB!AM45))=5)*(CHOOSE({1,2,3,4},KMB!X45,KMB!AD45,KMB!AJ45,KMB!AP45)))</f>
        <v>0</v>
      </c>
      <c r="F45">
        <f>SUMPRODUCT((MONTH(CHOOSE({1,2,3,4},KMB!U45,KMB!AA45,KMB!AG45,KMB!AM45))=6)*(CHOOSE({1,2,3,4},KMB!X45,KMB!AD45,KMB!AJ45,KMB!AP45)))</f>
        <v>0</v>
      </c>
      <c r="G45">
        <f>SUMPRODUCT((MONTH(CHOOSE({1,2,3,4},KMB!U45,KMB!AA45,KMB!AG45,KMB!AM45))=7)*(CHOOSE({1,2,3,4},KMB!X45,KMB!AD45,KMB!AJ45,KMB!AP45)))</f>
        <v>0</v>
      </c>
      <c r="H45">
        <f>SUMPRODUCT((MONTH(CHOOSE({1,2,3,4},KMB!U45,KMB!AA45,KMB!AG45,KMB!AM45))=8)*(CHOOSE({1,2,3,4},KMB!X45,KMB!AD45,KMB!AJ45,KMB!AP45)))</f>
        <v>0</v>
      </c>
      <c r="I45">
        <f>SUMPRODUCT((MONTH(CHOOSE({1,2,3,4},KMB!U45,KMB!AA45,KMB!AG45,KMB!AM45))=9)*(CHOOSE({1,2,3,4},KMB!X45,KMB!AD45,KMB!AJ45,KMB!AP45)))</f>
        <v>0</v>
      </c>
      <c r="J45">
        <f>SUMPRODUCT((MONTH(CHOOSE({1,2,3,4},KMB!U45,KMB!AA45,KMB!AG45,KMB!AM45))=10)*(CHOOSE({1,2,3,4},KMB!X45,KMB!AD45,KMB!AJ45,KMB!AP45)))</f>
        <v>0</v>
      </c>
      <c r="K45">
        <f>SUMPRODUCT((MONTH(CHOOSE({1,2,3,4},KMB!U45,KMB!AA45,KMB!AG45,KMB!AM45))=11)*(CHOOSE({1,2,3,4},KMB!X45,KMB!AD45,KMB!AJ45,KMB!AP45)))</f>
        <v>0</v>
      </c>
      <c r="L45">
        <f>SUMPRODUCT((MONTH(CHOOSE({1,2,3,4},KMB!U45,KMB!AA45,KMB!AG45,KMB!AM45))=12)*(CHOOSE({1,2,3,4},KMB!X45,KMB!AD45,KMB!AJ45,KMB!AP45)))</f>
        <v>0</v>
      </c>
    </row>
    <row r="46" spans="1:12">
      <c r="A46">
        <f>SUMPRODUCT((MONTH(CHOOSE({1,2,3,4},KMB!U46,KMB!AA46,KMB!AG46,KMB!AM46))=1)*(CHOOSE({1,2,3,4},KMB!X46,KMB!AD46,KMB!AJ46,KMB!AP46)))</f>
        <v>0</v>
      </c>
      <c r="B46">
        <f>SUMPRODUCT((MONTH(CHOOSE({1,2,3,4},KMB!U46,KMB!AA46,KMB!AG46,KMB!AM46))=2)*(CHOOSE({1,2,3,4},KMB!X46,KMB!AD46,KMB!AJ46,KMB!AP46)))</f>
        <v>0</v>
      </c>
      <c r="C46">
        <f>SUMPRODUCT((MONTH(CHOOSE({1,2,3,4},KMB!U46,KMB!AA46,KMB!AG46,KMB!AM46))=3)*(CHOOSE({1,2,3,4},KMB!X46,KMB!AD46,KMB!AJ46,KMB!AP46)))</f>
        <v>0</v>
      </c>
      <c r="D46">
        <f>SUMPRODUCT((MONTH(CHOOSE({1,2,3,4},KMB!U46,KMB!AA46,KMB!AG46,KMB!AM46))=4)*(CHOOSE({1,2,3,4},KMB!X46,KMB!AD46,KMB!AJ46,KMB!AP46)))</f>
        <v>0</v>
      </c>
      <c r="E46">
        <f>SUMPRODUCT((MONTH(CHOOSE({1,2,3,4},KMB!U46,KMB!AA46,KMB!AG46,KMB!AM46))=5)*(CHOOSE({1,2,3,4},KMB!X46,KMB!AD46,KMB!AJ46,KMB!AP46)))</f>
        <v>0</v>
      </c>
      <c r="F46">
        <f>SUMPRODUCT((MONTH(CHOOSE({1,2,3,4},KMB!U46,KMB!AA46,KMB!AG46,KMB!AM46))=6)*(CHOOSE({1,2,3,4},KMB!X46,KMB!AD46,KMB!AJ46,KMB!AP46)))</f>
        <v>0</v>
      </c>
      <c r="G46">
        <f>SUMPRODUCT((MONTH(CHOOSE({1,2,3,4},KMB!U46,KMB!AA46,KMB!AG46,KMB!AM46))=7)*(CHOOSE({1,2,3,4},KMB!X46,KMB!AD46,KMB!AJ46,KMB!AP46)))</f>
        <v>0</v>
      </c>
      <c r="H46">
        <f>SUMPRODUCT((MONTH(CHOOSE({1,2,3,4},KMB!U46,KMB!AA46,KMB!AG46,KMB!AM46))=8)*(CHOOSE({1,2,3,4},KMB!X46,KMB!AD46,KMB!AJ46,KMB!AP46)))</f>
        <v>0</v>
      </c>
      <c r="I46">
        <f>SUMPRODUCT((MONTH(CHOOSE({1,2,3,4},KMB!U46,KMB!AA46,KMB!AG46,KMB!AM46))=9)*(CHOOSE({1,2,3,4},KMB!X46,KMB!AD46,KMB!AJ46,KMB!AP46)))</f>
        <v>0</v>
      </c>
      <c r="J46">
        <f>SUMPRODUCT((MONTH(CHOOSE({1,2,3,4},KMB!U46,KMB!AA46,KMB!AG46,KMB!AM46))=10)*(CHOOSE({1,2,3,4},KMB!X46,KMB!AD46,KMB!AJ46,KMB!AP46)))</f>
        <v>0</v>
      </c>
      <c r="K46">
        <f>SUMPRODUCT((MONTH(CHOOSE({1,2,3,4},KMB!U46,KMB!AA46,KMB!AG46,KMB!AM46))=11)*(CHOOSE({1,2,3,4},KMB!X46,KMB!AD46,KMB!AJ46,KMB!AP46)))</f>
        <v>0</v>
      </c>
      <c r="L46">
        <f>SUMPRODUCT((MONTH(CHOOSE({1,2,3,4},KMB!U46,KMB!AA46,KMB!AG46,KMB!AM46))=12)*(CHOOSE({1,2,3,4},KMB!X46,KMB!AD46,KMB!AJ46,KMB!AP46)))</f>
        <v>0</v>
      </c>
    </row>
    <row r="47" spans="1:12">
      <c r="A47">
        <f>SUMPRODUCT((MONTH(CHOOSE({1,2,3,4},KMB!U47,KMB!AA47,KMB!AG47,KMB!AM47))=1)*(CHOOSE({1,2,3,4},KMB!X47,KMB!AD47,KMB!AJ47,KMB!AP47)))</f>
        <v>0</v>
      </c>
      <c r="B47">
        <f>SUMPRODUCT((MONTH(CHOOSE({1,2,3,4},KMB!U47,KMB!AA47,KMB!AG47,KMB!AM47))=2)*(CHOOSE({1,2,3,4},KMB!X47,KMB!AD47,KMB!AJ47,KMB!AP47)))</f>
        <v>0</v>
      </c>
      <c r="C47">
        <f>SUMPRODUCT((MONTH(CHOOSE({1,2,3,4},KMB!U47,KMB!AA47,KMB!AG47,KMB!AM47))=3)*(CHOOSE({1,2,3,4},KMB!X47,KMB!AD47,KMB!AJ47,KMB!AP47)))</f>
        <v>0</v>
      </c>
      <c r="D47">
        <f>SUMPRODUCT((MONTH(CHOOSE({1,2,3,4},KMB!U47,KMB!AA47,KMB!AG47,KMB!AM47))=4)*(CHOOSE({1,2,3,4},KMB!X47,KMB!AD47,KMB!AJ47,KMB!AP47)))</f>
        <v>0</v>
      </c>
      <c r="E47">
        <f>SUMPRODUCT((MONTH(CHOOSE({1,2,3,4},KMB!U47,KMB!AA47,KMB!AG47,KMB!AM47))=5)*(CHOOSE({1,2,3,4},KMB!X47,KMB!AD47,KMB!AJ47,KMB!AP47)))</f>
        <v>0</v>
      </c>
      <c r="F47">
        <f>SUMPRODUCT((MONTH(CHOOSE({1,2,3,4},KMB!U47,KMB!AA47,KMB!AG47,KMB!AM47))=6)*(CHOOSE({1,2,3,4},KMB!X47,KMB!AD47,KMB!AJ47,KMB!AP47)))</f>
        <v>0</v>
      </c>
      <c r="G47">
        <f>SUMPRODUCT((MONTH(CHOOSE({1,2,3,4},KMB!U47,KMB!AA47,KMB!AG47,KMB!AM47))=7)*(CHOOSE({1,2,3,4},KMB!X47,KMB!AD47,KMB!AJ47,KMB!AP47)))</f>
        <v>0</v>
      </c>
      <c r="H47">
        <f>SUMPRODUCT((MONTH(CHOOSE({1,2,3,4},KMB!U47,KMB!AA47,KMB!AG47,KMB!AM47))=8)*(CHOOSE({1,2,3,4},KMB!X47,KMB!AD47,KMB!AJ47,KMB!AP47)))</f>
        <v>0</v>
      </c>
      <c r="I47">
        <f>SUMPRODUCT((MONTH(CHOOSE({1,2,3,4},KMB!U47,KMB!AA47,KMB!AG47,KMB!AM47))=9)*(CHOOSE({1,2,3,4},KMB!X47,KMB!AD47,KMB!AJ47,KMB!AP47)))</f>
        <v>0</v>
      </c>
      <c r="J47">
        <f>SUMPRODUCT((MONTH(CHOOSE({1,2,3,4},KMB!U47,KMB!AA47,KMB!AG47,KMB!AM47))=10)*(CHOOSE({1,2,3,4},KMB!X47,KMB!AD47,KMB!AJ47,KMB!AP47)))</f>
        <v>0</v>
      </c>
      <c r="K47">
        <f>SUMPRODUCT((MONTH(CHOOSE({1,2,3,4},KMB!U47,KMB!AA47,KMB!AG47,KMB!AM47))=11)*(CHOOSE({1,2,3,4},KMB!X47,KMB!AD47,KMB!AJ47,KMB!AP47)))</f>
        <v>0</v>
      </c>
      <c r="L47">
        <f>SUMPRODUCT((MONTH(CHOOSE({1,2,3,4},KMB!U47,KMB!AA47,KMB!AG47,KMB!AM47))=12)*(CHOOSE({1,2,3,4},KMB!X47,KMB!AD47,KMB!AJ47,KMB!AP47)))</f>
        <v>0</v>
      </c>
    </row>
    <row r="48" spans="1:12">
      <c r="A48">
        <f>SUMPRODUCT((MONTH(CHOOSE({1,2,3,4},KMB!U48,KMB!AA48,KMB!AG48,KMB!AM48))=1)*(CHOOSE({1,2,3,4},KMB!X48,KMB!AD48,KMB!AJ48,KMB!AP48)))</f>
        <v>0</v>
      </c>
      <c r="B48">
        <f>SUMPRODUCT((MONTH(CHOOSE({1,2,3,4},KMB!U48,KMB!AA48,KMB!AG48,KMB!AM48))=2)*(CHOOSE({1,2,3,4},KMB!X48,KMB!AD48,KMB!AJ48,KMB!AP48)))</f>
        <v>0</v>
      </c>
      <c r="C48">
        <f>SUMPRODUCT((MONTH(CHOOSE({1,2,3,4},KMB!U48,KMB!AA48,KMB!AG48,KMB!AM48))=3)*(CHOOSE({1,2,3,4},KMB!X48,KMB!AD48,KMB!AJ48,KMB!AP48)))</f>
        <v>0</v>
      </c>
      <c r="D48">
        <f>SUMPRODUCT((MONTH(CHOOSE({1,2,3,4},KMB!U48,KMB!AA48,KMB!AG48,KMB!AM48))=4)*(CHOOSE({1,2,3,4},KMB!X48,KMB!AD48,KMB!AJ48,KMB!AP48)))</f>
        <v>0</v>
      </c>
      <c r="E48">
        <f>SUMPRODUCT((MONTH(CHOOSE({1,2,3,4},KMB!U48,KMB!AA48,KMB!AG48,KMB!AM48))=5)*(CHOOSE({1,2,3,4},KMB!X48,KMB!AD48,KMB!AJ48,KMB!AP48)))</f>
        <v>0</v>
      </c>
      <c r="F48">
        <f>SUMPRODUCT((MONTH(CHOOSE({1,2,3,4},KMB!U48,KMB!AA48,KMB!AG48,KMB!AM48))=6)*(CHOOSE({1,2,3,4},KMB!X48,KMB!AD48,KMB!AJ48,KMB!AP48)))</f>
        <v>0</v>
      </c>
      <c r="G48">
        <f>SUMPRODUCT((MONTH(CHOOSE({1,2,3,4},KMB!U48,KMB!AA48,KMB!AG48,KMB!AM48))=7)*(CHOOSE({1,2,3,4},KMB!X48,KMB!AD48,KMB!AJ48,KMB!AP48)))</f>
        <v>0</v>
      </c>
      <c r="H48">
        <f>SUMPRODUCT((MONTH(CHOOSE({1,2,3,4},KMB!U48,KMB!AA48,KMB!AG48,KMB!AM48))=8)*(CHOOSE({1,2,3,4},KMB!X48,KMB!AD48,KMB!AJ48,KMB!AP48)))</f>
        <v>0</v>
      </c>
      <c r="I48">
        <f>SUMPRODUCT((MONTH(CHOOSE({1,2,3,4},KMB!U48,KMB!AA48,KMB!AG48,KMB!AM48))=9)*(CHOOSE({1,2,3,4},KMB!X48,KMB!AD48,KMB!AJ48,KMB!AP48)))</f>
        <v>0</v>
      </c>
      <c r="J48">
        <f>SUMPRODUCT((MONTH(CHOOSE({1,2,3,4},KMB!U48,KMB!AA48,KMB!AG48,KMB!AM48))=10)*(CHOOSE({1,2,3,4},KMB!X48,KMB!AD48,KMB!AJ48,KMB!AP48)))</f>
        <v>0</v>
      </c>
      <c r="K48">
        <f>SUMPRODUCT((MONTH(CHOOSE({1,2,3,4},KMB!U48,KMB!AA48,KMB!AG48,KMB!AM48))=11)*(CHOOSE({1,2,3,4},KMB!X48,KMB!AD48,KMB!AJ48,KMB!AP48)))</f>
        <v>0</v>
      </c>
      <c r="L48">
        <f>SUMPRODUCT((MONTH(CHOOSE({1,2,3,4},KMB!U48,KMB!AA48,KMB!AG48,KMB!AM48))=12)*(CHOOSE({1,2,3,4},KMB!X48,KMB!AD48,KMB!AJ48,KMB!AP48)))</f>
        <v>0</v>
      </c>
    </row>
    <row r="49" spans="1:12">
      <c r="A49">
        <f>SUMPRODUCT((MONTH(CHOOSE({1,2,3,4},KMB!U49,KMB!AA49,KMB!AG49,KMB!AM49))=1)*(CHOOSE({1,2,3,4},KMB!X49,KMB!AD49,KMB!AJ49,KMB!AP49)))</f>
        <v>0</v>
      </c>
      <c r="B49">
        <f>SUMPRODUCT((MONTH(CHOOSE({1,2,3,4},KMB!U49,KMB!AA49,KMB!AG49,KMB!AM49))=2)*(CHOOSE({1,2,3,4},KMB!X49,KMB!AD49,KMB!AJ49,KMB!AP49)))</f>
        <v>0</v>
      </c>
      <c r="C49">
        <f>SUMPRODUCT((MONTH(CHOOSE({1,2,3,4},KMB!U49,KMB!AA49,KMB!AG49,KMB!AM49))=3)*(CHOOSE({1,2,3,4},KMB!X49,KMB!AD49,KMB!AJ49,KMB!AP49)))</f>
        <v>0</v>
      </c>
      <c r="D49">
        <f>SUMPRODUCT((MONTH(CHOOSE({1,2,3,4},KMB!U49,KMB!AA49,KMB!AG49,KMB!AM49))=4)*(CHOOSE({1,2,3,4},KMB!X49,KMB!AD49,KMB!AJ49,KMB!AP49)))</f>
        <v>0</v>
      </c>
      <c r="E49">
        <f>SUMPRODUCT((MONTH(CHOOSE({1,2,3,4},KMB!U49,KMB!AA49,KMB!AG49,KMB!AM49))=5)*(CHOOSE({1,2,3,4},KMB!X49,KMB!AD49,KMB!AJ49,KMB!AP49)))</f>
        <v>0</v>
      </c>
      <c r="F49">
        <f>SUMPRODUCT((MONTH(CHOOSE({1,2,3,4},KMB!U49,KMB!AA49,KMB!AG49,KMB!AM49))=6)*(CHOOSE({1,2,3,4},KMB!X49,KMB!AD49,KMB!AJ49,KMB!AP49)))</f>
        <v>0</v>
      </c>
      <c r="G49">
        <f>SUMPRODUCT((MONTH(CHOOSE({1,2,3,4},KMB!U49,KMB!AA49,KMB!AG49,KMB!AM49))=7)*(CHOOSE({1,2,3,4},KMB!X49,KMB!AD49,KMB!AJ49,KMB!AP49)))</f>
        <v>0</v>
      </c>
      <c r="H49">
        <f>SUMPRODUCT((MONTH(CHOOSE({1,2,3,4},KMB!U49,KMB!AA49,KMB!AG49,KMB!AM49))=8)*(CHOOSE({1,2,3,4},KMB!X49,KMB!AD49,KMB!AJ49,KMB!AP49)))</f>
        <v>0</v>
      </c>
      <c r="I49">
        <f>SUMPRODUCT((MONTH(CHOOSE({1,2,3,4},KMB!U49,KMB!AA49,KMB!AG49,KMB!AM49))=9)*(CHOOSE({1,2,3,4},KMB!X49,KMB!AD49,KMB!AJ49,KMB!AP49)))</f>
        <v>0</v>
      </c>
      <c r="J49">
        <f>SUMPRODUCT((MONTH(CHOOSE({1,2,3,4},KMB!U49,KMB!AA49,KMB!AG49,KMB!AM49))=10)*(CHOOSE({1,2,3,4},KMB!X49,KMB!AD49,KMB!AJ49,KMB!AP49)))</f>
        <v>0</v>
      </c>
      <c r="K49">
        <f>SUMPRODUCT((MONTH(CHOOSE({1,2,3,4},KMB!U49,KMB!AA49,KMB!AG49,KMB!AM49))=11)*(CHOOSE({1,2,3,4},KMB!X49,KMB!AD49,KMB!AJ49,KMB!AP49)))</f>
        <v>0</v>
      </c>
      <c r="L49">
        <f>SUMPRODUCT((MONTH(CHOOSE({1,2,3,4},KMB!U49,KMB!AA49,KMB!AG49,KMB!AM49))=12)*(CHOOSE({1,2,3,4},KMB!X49,KMB!AD49,KMB!AJ49,KMB!AP49)))</f>
        <v>0</v>
      </c>
    </row>
    <row r="50" spans="1:12">
      <c r="A50">
        <f>SUMPRODUCT((MONTH(CHOOSE({1,2,3,4},KMB!U50,KMB!AA50,KMB!AG50,KMB!AM50))=1)*(CHOOSE({1,2,3,4},KMB!X50,KMB!AD50,KMB!AJ50,KMB!AP50)))</f>
        <v>0</v>
      </c>
      <c r="B50">
        <f>SUMPRODUCT((MONTH(CHOOSE({1,2,3,4},KMB!U50,KMB!AA50,KMB!AG50,KMB!AM50))=2)*(CHOOSE({1,2,3,4},KMB!X50,KMB!AD50,KMB!AJ50,KMB!AP50)))</f>
        <v>0</v>
      </c>
      <c r="C50">
        <f>SUMPRODUCT((MONTH(CHOOSE({1,2,3,4},KMB!U50,KMB!AA50,KMB!AG50,KMB!AM50))=3)*(CHOOSE({1,2,3,4},KMB!X50,KMB!AD50,KMB!AJ50,KMB!AP50)))</f>
        <v>0</v>
      </c>
      <c r="D50">
        <f>SUMPRODUCT((MONTH(CHOOSE({1,2,3,4},KMB!U50,KMB!AA50,KMB!AG50,KMB!AM50))=4)*(CHOOSE({1,2,3,4},KMB!X50,KMB!AD50,KMB!AJ50,KMB!AP50)))</f>
        <v>0</v>
      </c>
      <c r="E50">
        <f>SUMPRODUCT((MONTH(CHOOSE({1,2,3,4},KMB!U50,KMB!AA50,KMB!AG50,KMB!AM50))=5)*(CHOOSE({1,2,3,4},KMB!X50,KMB!AD50,KMB!AJ50,KMB!AP50)))</f>
        <v>0</v>
      </c>
      <c r="F50">
        <f>SUMPRODUCT((MONTH(CHOOSE({1,2,3,4},KMB!U50,KMB!AA50,KMB!AG50,KMB!AM50))=6)*(CHOOSE({1,2,3,4},KMB!X50,KMB!AD50,KMB!AJ50,KMB!AP50)))</f>
        <v>0</v>
      </c>
      <c r="G50">
        <f>SUMPRODUCT((MONTH(CHOOSE({1,2,3,4},KMB!U50,KMB!AA50,KMB!AG50,KMB!AM50))=7)*(CHOOSE({1,2,3,4},KMB!X50,KMB!AD50,KMB!AJ50,KMB!AP50)))</f>
        <v>0</v>
      </c>
      <c r="H50">
        <f>SUMPRODUCT((MONTH(CHOOSE({1,2,3,4},KMB!U50,KMB!AA50,KMB!AG50,KMB!AM50))=8)*(CHOOSE({1,2,3,4},KMB!X50,KMB!AD50,KMB!AJ50,KMB!AP50)))</f>
        <v>0</v>
      </c>
      <c r="I50">
        <f>SUMPRODUCT((MONTH(CHOOSE({1,2,3,4},KMB!U50,KMB!AA50,KMB!AG50,KMB!AM50))=9)*(CHOOSE({1,2,3,4},KMB!X50,KMB!AD50,KMB!AJ50,KMB!AP50)))</f>
        <v>0</v>
      </c>
      <c r="J50">
        <f>SUMPRODUCT((MONTH(CHOOSE({1,2,3,4},KMB!U50,KMB!AA50,KMB!AG50,KMB!AM50))=10)*(CHOOSE({1,2,3,4},KMB!X50,KMB!AD50,KMB!AJ50,KMB!AP50)))</f>
        <v>0</v>
      </c>
      <c r="K50">
        <f>SUMPRODUCT((MONTH(CHOOSE({1,2,3,4},KMB!U50,KMB!AA50,KMB!AG50,KMB!AM50))=11)*(CHOOSE({1,2,3,4},KMB!X50,KMB!AD50,KMB!AJ50,KMB!AP50)))</f>
        <v>0</v>
      </c>
      <c r="L50">
        <f>SUMPRODUCT((MONTH(CHOOSE({1,2,3,4},KMB!U50,KMB!AA50,KMB!AG50,KMB!AM50))=12)*(CHOOSE({1,2,3,4},KMB!X50,KMB!AD50,KMB!AJ50,KMB!AP50)))</f>
        <v>0</v>
      </c>
    </row>
    <row r="51" spans="1:12">
      <c r="A51">
        <f>SUMPRODUCT((MONTH(CHOOSE({1,2,3,4},KMB!U51,KMB!AA51,KMB!AG51,KMB!AM51))=1)*(CHOOSE({1,2,3,4},KMB!X51,KMB!AD51,KMB!AJ51,KMB!AP51)))</f>
        <v>0</v>
      </c>
      <c r="B51">
        <f>SUMPRODUCT((MONTH(CHOOSE({1,2,3,4},KMB!U51,KMB!AA51,KMB!AG51,KMB!AM51))=2)*(CHOOSE({1,2,3,4},KMB!X51,KMB!AD51,KMB!AJ51,KMB!AP51)))</f>
        <v>0</v>
      </c>
      <c r="C51">
        <f>SUMPRODUCT((MONTH(CHOOSE({1,2,3,4},KMB!U51,KMB!AA51,KMB!AG51,KMB!AM51))=3)*(CHOOSE({1,2,3,4},KMB!X51,KMB!AD51,KMB!AJ51,KMB!AP51)))</f>
        <v>0</v>
      </c>
      <c r="D51">
        <f>SUMPRODUCT((MONTH(CHOOSE({1,2,3,4},KMB!U51,KMB!AA51,KMB!AG51,KMB!AM51))=4)*(CHOOSE({1,2,3,4},KMB!X51,KMB!AD51,KMB!AJ51,KMB!AP51)))</f>
        <v>0</v>
      </c>
      <c r="E51">
        <f>SUMPRODUCT((MONTH(CHOOSE({1,2,3,4},KMB!U51,KMB!AA51,KMB!AG51,KMB!AM51))=5)*(CHOOSE({1,2,3,4},KMB!X51,KMB!AD51,KMB!AJ51,KMB!AP51)))</f>
        <v>0</v>
      </c>
      <c r="F51">
        <f>SUMPRODUCT((MONTH(CHOOSE({1,2,3,4},KMB!U51,KMB!AA51,KMB!AG51,KMB!AM51))=6)*(CHOOSE({1,2,3,4},KMB!X51,KMB!AD51,KMB!AJ51,KMB!AP51)))</f>
        <v>0</v>
      </c>
      <c r="G51">
        <f>SUMPRODUCT((MONTH(CHOOSE({1,2,3,4},KMB!U51,KMB!AA51,KMB!AG51,KMB!AM51))=7)*(CHOOSE({1,2,3,4},KMB!X51,KMB!AD51,KMB!AJ51,KMB!AP51)))</f>
        <v>0</v>
      </c>
      <c r="H51">
        <f>SUMPRODUCT((MONTH(CHOOSE({1,2,3,4},KMB!U51,KMB!AA51,KMB!AG51,KMB!AM51))=8)*(CHOOSE({1,2,3,4},KMB!X51,KMB!AD51,KMB!AJ51,KMB!AP51)))</f>
        <v>0</v>
      </c>
      <c r="I51">
        <f>SUMPRODUCT((MONTH(CHOOSE({1,2,3,4},KMB!U51,KMB!AA51,KMB!AG51,KMB!AM51))=9)*(CHOOSE({1,2,3,4},KMB!X51,KMB!AD51,KMB!AJ51,KMB!AP51)))</f>
        <v>0</v>
      </c>
      <c r="J51">
        <f>SUMPRODUCT((MONTH(CHOOSE({1,2,3,4},KMB!U51,KMB!AA51,KMB!AG51,KMB!AM51))=10)*(CHOOSE({1,2,3,4},KMB!X51,KMB!AD51,KMB!AJ51,KMB!AP51)))</f>
        <v>0</v>
      </c>
      <c r="K51">
        <f>SUMPRODUCT((MONTH(CHOOSE({1,2,3,4},KMB!U51,KMB!AA51,KMB!AG51,KMB!AM51))=11)*(CHOOSE({1,2,3,4},KMB!X51,KMB!AD51,KMB!AJ51,KMB!AP51)))</f>
        <v>0</v>
      </c>
      <c r="L51">
        <f>SUMPRODUCT((MONTH(CHOOSE({1,2,3,4},KMB!U51,KMB!AA51,KMB!AG51,KMB!AM51))=12)*(CHOOSE({1,2,3,4},KMB!X51,KMB!AD51,KMB!AJ51,KMB!AP51)))</f>
        <v>0</v>
      </c>
    </row>
    <row r="52" spans="1:12">
      <c r="A52">
        <f>SUMPRODUCT((MONTH(CHOOSE({1,2,3,4},KMB!U52,KMB!AA52,KMB!AG52,KMB!AM52))=1)*(CHOOSE({1,2,3,4},KMB!X52,KMB!AD52,KMB!AJ52,KMB!AP52)))</f>
        <v>0</v>
      </c>
      <c r="B52">
        <f>SUMPRODUCT((MONTH(CHOOSE({1,2,3,4},KMB!U52,KMB!AA52,KMB!AG52,KMB!AM52))=2)*(CHOOSE({1,2,3,4},KMB!X52,KMB!AD52,KMB!AJ52,KMB!AP52)))</f>
        <v>0</v>
      </c>
      <c r="C52">
        <f>SUMPRODUCT((MONTH(CHOOSE({1,2,3,4},KMB!U52,KMB!AA52,KMB!AG52,KMB!AM52))=3)*(CHOOSE({1,2,3,4},KMB!X52,KMB!AD52,KMB!AJ52,KMB!AP52)))</f>
        <v>0</v>
      </c>
      <c r="D52">
        <f>SUMPRODUCT((MONTH(CHOOSE({1,2,3,4},KMB!U52,KMB!AA52,KMB!AG52,KMB!AM52))=4)*(CHOOSE({1,2,3,4},KMB!X52,KMB!AD52,KMB!AJ52,KMB!AP52)))</f>
        <v>0</v>
      </c>
      <c r="E52">
        <f>SUMPRODUCT((MONTH(CHOOSE({1,2,3,4},KMB!U52,KMB!AA52,KMB!AG52,KMB!AM52))=5)*(CHOOSE({1,2,3,4},KMB!X52,KMB!AD52,KMB!AJ52,KMB!AP52)))</f>
        <v>0</v>
      </c>
      <c r="F52">
        <f>SUMPRODUCT((MONTH(CHOOSE({1,2,3,4},KMB!U52,KMB!AA52,KMB!AG52,KMB!AM52))=6)*(CHOOSE({1,2,3,4},KMB!X52,KMB!AD52,KMB!AJ52,KMB!AP52)))</f>
        <v>0</v>
      </c>
      <c r="G52">
        <f>SUMPRODUCT((MONTH(CHOOSE({1,2,3,4},KMB!U52,KMB!AA52,KMB!AG52,KMB!AM52))=7)*(CHOOSE({1,2,3,4},KMB!X52,KMB!AD52,KMB!AJ52,KMB!AP52)))</f>
        <v>0</v>
      </c>
      <c r="H52">
        <f>SUMPRODUCT((MONTH(CHOOSE({1,2,3,4},KMB!U52,KMB!AA52,KMB!AG52,KMB!AM52))=8)*(CHOOSE({1,2,3,4},KMB!X52,KMB!AD52,KMB!AJ52,KMB!AP52)))</f>
        <v>0</v>
      </c>
      <c r="I52">
        <f>SUMPRODUCT((MONTH(CHOOSE({1,2,3,4},KMB!U52,KMB!AA52,KMB!AG52,KMB!AM52))=9)*(CHOOSE({1,2,3,4},KMB!X52,KMB!AD52,KMB!AJ52,KMB!AP52)))</f>
        <v>0</v>
      </c>
      <c r="J52">
        <f>SUMPRODUCT((MONTH(CHOOSE({1,2,3,4},KMB!U52,KMB!AA52,KMB!AG52,KMB!AM52))=10)*(CHOOSE({1,2,3,4},KMB!X52,KMB!AD52,KMB!AJ52,KMB!AP52)))</f>
        <v>0</v>
      </c>
      <c r="K52">
        <f>SUMPRODUCT((MONTH(CHOOSE({1,2,3,4},KMB!U52,KMB!AA52,KMB!AG52,KMB!AM52))=11)*(CHOOSE({1,2,3,4},KMB!X52,KMB!AD52,KMB!AJ52,KMB!AP52)))</f>
        <v>0</v>
      </c>
      <c r="L52">
        <f>SUMPRODUCT((MONTH(CHOOSE({1,2,3,4},KMB!U52,KMB!AA52,KMB!AG52,KMB!AM52))=12)*(CHOOSE({1,2,3,4},KMB!X52,KMB!AD52,KMB!AJ52,KMB!AP52)))</f>
        <v>0</v>
      </c>
    </row>
    <row r="53" spans="1:12">
      <c r="A53">
        <f>SUMPRODUCT((MONTH(CHOOSE({1,2,3,4},KMB!U53,KMB!AA53,KMB!AG53,KMB!AM53))=1)*(CHOOSE({1,2,3,4},KMB!X53,KMB!AD53,KMB!AJ53,KMB!AP53)))</f>
        <v>0</v>
      </c>
      <c r="B53">
        <f>SUMPRODUCT((MONTH(CHOOSE({1,2,3,4},KMB!U53,KMB!AA53,KMB!AG53,KMB!AM53))=2)*(CHOOSE({1,2,3,4},KMB!X53,KMB!AD53,KMB!AJ53,KMB!AP53)))</f>
        <v>0</v>
      </c>
      <c r="C53">
        <f>SUMPRODUCT((MONTH(CHOOSE({1,2,3,4},KMB!U53,KMB!AA53,KMB!AG53,KMB!AM53))=3)*(CHOOSE({1,2,3,4},KMB!X53,KMB!AD53,KMB!AJ53,KMB!AP53)))</f>
        <v>0</v>
      </c>
      <c r="D53">
        <f>SUMPRODUCT((MONTH(CHOOSE({1,2,3,4},KMB!U53,KMB!AA53,KMB!AG53,KMB!AM53))=4)*(CHOOSE({1,2,3,4},KMB!X53,KMB!AD53,KMB!AJ53,KMB!AP53)))</f>
        <v>0</v>
      </c>
      <c r="E53">
        <f>SUMPRODUCT((MONTH(CHOOSE({1,2,3,4},KMB!U53,KMB!AA53,KMB!AG53,KMB!AM53))=5)*(CHOOSE({1,2,3,4},KMB!X53,KMB!AD53,KMB!AJ53,KMB!AP53)))</f>
        <v>0</v>
      </c>
      <c r="F53">
        <f>SUMPRODUCT((MONTH(CHOOSE({1,2,3,4},KMB!U53,KMB!AA53,KMB!AG53,KMB!AM53))=6)*(CHOOSE({1,2,3,4},KMB!X53,KMB!AD53,KMB!AJ53,KMB!AP53)))</f>
        <v>0</v>
      </c>
      <c r="G53">
        <f>SUMPRODUCT((MONTH(CHOOSE({1,2,3,4},KMB!U53,KMB!AA53,KMB!AG53,KMB!AM53))=7)*(CHOOSE({1,2,3,4},KMB!X53,KMB!AD53,KMB!AJ53,KMB!AP53)))</f>
        <v>0</v>
      </c>
      <c r="H53">
        <f>SUMPRODUCT((MONTH(CHOOSE({1,2,3,4},KMB!U53,KMB!AA53,KMB!AG53,KMB!AM53))=8)*(CHOOSE({1,2,3,4},KMB!X53,KMB!AD53,KMB!AJ53,KMB!AP53)))</f>
        <v>0</v>
      </c>
      <c r="I53">
        <f>SUMPRODUCT((MONTH(CHOOSE({1,2,3,4},KMB!U53,KMB!AA53,KMB!AG53,KMB!AM53))=9)*(CHOOSE({1,2,3,4},KMB!X53,KMB!AD53,KMB!AJ53,KMB!AP53)))</f>
        <v>0</v>
      </c>
      <c r="J53">
        <f>SUMPRODUCT((MONTH(CHOOSE({1,2,3,4},KMB!U53,KMB!AA53,KMB!AG53,KMB!AM53))=10)*(CHOOSE({1,2,3,4},KMB!X53,KMB!AD53,KMB!AJ53,KMB!AP53)))</f>
        <v>0</v>
      </c>
      <c r="K53">
        <f>SUMPRODUCT((MONTH(CHOOSE({1,2,3,4},KMB!U53,KMB!AA53,KMB!AG53,KMB!AM53))=11)*(CHOOSE({1,2,3,4},KMB!X53,KMB!AD53,KMB!AJ53,KMB!AP53)))</f>
        <v>0</v>
      </c>
      <c r="L53">
        <f>SUMPRODUCT((MONTH(CHOOSE({1,2,3,4},KMB!U53,KMB!AA53,KMB!AG53,KMB!AM53))=12)*(CHOOSE({1,2,3,4},KMB!X53,KMB!AD53,KMB!AJ53,KMB!AP53)))</f>
        <v>0</v>
      </c>
    </row>
    <row r="54" spans="1:12">
      <c r="A54">
        <f>SUMPRODUCT((MONTH(CHOOSE({1,2,3,4},KMB!U54,KMB!AA54,KMB!AG54,KMB!AM54))=1)*(CHOOSE({1,2,3,4},KMB!X54,KMB!AD54,KMB!AJ54,KMB!AP54)))</f>
        <v>0</v>
      </c>
      <c r="B54">
        <f>SUMPRODUCT((MONTH(CHOOSE({1,2,3,4},KMB!U54,KMB!AA54,KMB!AG54,KMB!AM54))=2)*(CHOOSE({1,2,3,4},KMB!X54,KMB!AD54,KMB!AJ54,KMB!AP54)))</f>
        <v>0</v>
      </c>
      <c r="C54">
        <f>SUMPRODUCT((MONTH(CHOOSE({1,2,3,4},KMB!U54,KMB!AA54,KMB!AG54,KMB!AM54))=3)*(CHOOSE({1,2,3,4},KMB!X54,KMB!AD54,KMB!AJ54,KMB!AP54)))</f>
        <v>0</v>
      </c>
      <c r="D54">
        <f>SUMPRODUCT((MONTH(CHOOSE({1,2,3,4},KMB!U54,KMB!AA54,KMB!AG54,KMB!AM54))=4)*(CHOOSE({1,2,3,4},KMB!X54,KMB!AD54,KMB!AJ54,KMB!AP54)))</f>
        <v>0</v>
      </c>
      <c r="E54">
        <f>SUMPRODUCT((MONTH(CHOOSE({1,2,3,4},KMB!U54,KMB!AA54,KMB!AG54,KMB!AM54))=5)*(CHOOSE({1,2,3,4},KMB!X54,KMB!AD54,KMB!AJ54,KMB!AP54)))</f>
        <v>0</v>
      </c>
      <c r="F54">
        <f>SUMPRODUCT((MONTH(CHOOSE({1,2,3,4},KMB!U54,KMB!AA54,KMB!AG54,KMB!AM54))=6)*(CHOOSE({1,2,3,4},KMB!X54,KMB!AD54,KMB!AJ54,KMB!AP54)))</f>
        <v>0</v>
      </c>
      <c r="G54">
        <f>SUMPRODUCT((MONTH(CHOOSE({1,2,3,4},KMB!U54,KMB!AA54,KMB!AG54,KMB!AM54))=7)*(CHOOSE({1,2,3,4},KMB!X54,KMB!AD54,KMB!AJ54,KMB!AP54)))</f>
        <v>0</v>
      </c>
      <c r="H54">
        <f>SUMPRODUCT((MONTH(CHOOSE({1,2,3,4},KMB!U54,KMB!AA54,KMB!AG54,KMB!AM54))=8)*(CHOOSE({1,2,3,4},KMB!X54,KMB!AD54,KMB!AJ54,KMB!AP54)))</f>
        <v>0</v>
      </c>
      <c r="I54">
        <f>SUMPRODUCT((MONTH(CHOOSE({1,2,3,4},KMB!U54,KMB!AA54,KMB!AG54,KMB!AM54))=9)*(CHOOSE({1,2,3,4},KMB!X54,KMB!AD54,KMB!AJ54,KMB!AP54)))</f>
        <v>0</v>
      </c>
      <c r="J54">
        <f>SUMPRODUCT((MONTH(CHOOSE({1,2,3,4},KMB!U54,KMB!AA54,KMB!AG54,KMB!AM54))=10)*(CHOOSE({1,2,3,4},KMB!X54,KMB!AD54,KMB!AJ54,KMB!AP54)))</f>
        <v>0</v>
      </c>
      <c r="K54">
        <f>SUMPRODUCT((MONTH(CHOOSE({1,2,3,4},KMB!U54,KMB!AA54,KMB!AG54,KMB!AM54))=11)*(CHOOSE({1,2,3,4},KMB!X54,KMB!AD54,KMB!AJ54,KMB!AP54)))</f>
        <v>0</v>
      </c>
      <c r="L54">
        <f>SUMPRODUCT((MONTH(CHOOSE({1,2,3,4},KMB!U54,KMB!AA54,KMB!AG54,KMB!AM54))=12)*(CHOOSE({1,2,3,4},KMB!X54,KMB!AD54,KMB!AJ54,KMB!AP54)))</f>
        <v>0</v>
      </c>
    </row>
    <row r="55" spans="1:12">
      <c r="A55">
        <f>SUMPRODUCT((MONTH(CHOOSE({1,2,3,4},KMB!U55,KMB!AA55,KMB!AG55,KMB!AM55))=1)*(CHOOSE({1,2,3,4},KMB!X55,KMB!AD55,KMB!AJ55,KMB!AP55)))</f>
        <v>0</v>
      </c>
      <c r="B55">
        <f>SUMPRODUCT((MONTH(CHOOSE({1,2,3,4},KMB!U55,KMB!AA55,KMB!AG55,KMB!AM55))=2)*(CHOOSE({1,2,3,4},KMB!X55,KMB!AD55,KMB!AJ55,KMB!AP55)))</f>
        <v>0</v>
      </c>
      <c r="C55">
        <f>SUMPRODUCT((MONTH(CHOOSE({1,2,3,4},KMB!U55,KMB!AA55,KMB!AG55,KMB!AM55))=3)*(CHOOSE({1,2,3,4},KMB!X55,KMB!AD55,KMB!AJ55,KMB!AP55)))</f>
        <v>0</v>
      </c>
      <c r="D55">
        <f>SUMPRODUCT((MONTH(CHOOSE({1,2,3,4},KMB!U55,KMB!AA55,KMB!AG55,KMB!AM55))=4)*(CHOOSE({1,2,3,4},KMB!X55,KMB!AD55,KMB!AJ55,KMB!AP55)))</f>
        <v>0</v>
      </c>
      <c r="E55">
        <f>SUMPRODUCT((MONTH(CHOOSE({1,2,3,4},KMB!U55,KMB!AA55,KMB!AG55,KMB!AM55))=5)*(CHOOSE({1,2,3,4},KMB!X55,KMB!AD55,KMB!AJ55,KMB!AP55)))</f>
        <v>0</v>
      </c>
      <c r="F55">
        <f>SUMPRODUCT((MONTH(CHOOSE({1,2,3,4},KMB!U55,KMB!AA55,KMB!AG55,KMB!AM55))=6)*(CHOOSE({1,2,3,4},KMB!X55,KMB!AD55,KMB!AJ55,KMB!AP55)))</f>
        <v>0</v>
      </c>
      <c r="G55">
        <f>SUMPRODUCT((MONTH(CHOOSE({1,2,3,4},KMB!U55,KMB!AA55,KMB!AG55,KMB!AM55))=7)*(CHOOSE({1,2,3,4},KMB!X55,KMB!AD55,KMB!AJ55,KMB!AP55)))</f>
        <v>0</v>
      </c>
      <c r="H55">
        <f>SUMPRODUCT((MONTH(CHOOSE({1,2,3,4},KMB!U55,KMB!AA55,KMB!AG55,KMB!AM55))=8)*(CHOOSE({1,2,3,4},KMB!X55,KMB!AD55,KMB!AJ55,KMB!AP55)))</f>
        <v>0</v>
      </c>
      <c r="I55">
        <f>SUMPRODUCT((MONTH(CHOOSE({1,2,3,4},KMB!U55,KMB!AA55,KMB!AG55,KMB!AM55))=9)*(CHOOSE({1,2,3,4},KMB!X55,KMB!AD55,KMB!AJ55,KMB!AP55)))</f>
        <v>0</v>
      </c>
      <c r="J55">
        <f>SUMPRODUCT((MONTH(CHOOSE({1,2,3,4},KMB!U55,KMB!AA55,KMB!AG55,KMB!AM55))=10)*(CHOOSE({1,2,3,4},KMB!X55,KMB!AD55,KMB!AJ55,KMB!AP55)))</f>
        <v>0</v>
      </c>
      <c r="K55">
        <f>SUMPRODUCT((MONTH(CHOOSE({1,2,3,4},KMB!U55,KMB!AA55,KMB!AG55,KMB!AM55))=11)*(CHOOSE({1,2,3,4},KMB!X55,KMB!AD55,KMB!AJ55,KMB!AP55)))</f>
        <v>0</v>
      </c>
      <c r="L55">
        <f>SUMPRODUCT((MONTH(CHOOSE({1,2,3,4},KMB!U55,KMB!AA55,KMB!AG55,KMB!AM55))=12)*(CHOOSE({1,2,3,4},KMB!X55,KMB!AD55,KMB!AJ55,KMB!AP55)))</f>
        <v>0</v>
      </c>
    </row>
    <row r="56" spans="1:12">
      <c r="A56">
        <f>SUMPRODUCT((MONTH(CHOOSE({1,2,3,4},KMB!U56,KMB!AA56,KMB!AG56,KMB!AM56))=1)*(CHOOSE({1,2,3,4},KMB!X56,KMB!AD56,KMB!AJ56,KMB!AP56)))</f>
        <v>0</v>
      </c>
      <c r="B56">
        <f>SUMPRODUCT((MONTH(CHOOSE({1,2,3,4},KMB!U56,KMB!AA56,KMB!AG56,KMB!AM56))=2)*(CHOOSE({1,2,3,4},KMB!X56,KMB!AD56,KMB!AJ56,KMB!AP56)))</f>
        <v>0</v>
      </c>
      <c r="C56">
        <f>SUMPRODUCT((MONTH(CHOOSE({1,2,3,4},KMB!U56,KMB!AA56,KMB!AG56,KMB!AM56))=3)*(CHOOSE({1,2,3,4},KMB!X56,KMB!AD56,KMB!AJ56,KMB!AP56)))</f>
        <v>0</v>
      </c>
      <c r="D56">
        <f>SUMPRODUCT((MONTH(CHOOSE({1,2,3,4},KMB!U56,KMB!AA56,KMB!AG56,KMB!AM56))=4)*(CHOOSE({1,2,3,4},KMB!X56,KMB!AD56,KMB!AJ56,KMB!AP56)))</f>
        <v>0</v>
      </c>
      <c r="E56">
        <f>SUMPRODUCT((MONTH(CHOOSE({1,2,3,4},KMB!U56,KMB!AA56,KMB!AG56,KMB!AM56))=5)*(CHOOSE({1,2,3,4},KMB!X56,KMB!AD56,KMB!AJ56,KMB!AP56)))</f>
        <v>0</v>
      </c>
      <c r="F56">
        <f>SUMPRODUCT((MONTH(CHOOSE({1,2,3,4},KMB!U56,KMB!AA56,KMB!AG56,KMB!AM56))=6)*(CHOOSE({1,2,3,4},KMB!X56,KMB!AD56,KMB!AJ56,KMB!AP56)))</f>
        <v>0</v>
      </c>
      <c r="G56">
        <f>SUMPRODUCT((MONTH(CHOOSE({1,2,3,4},KMB!U56,KMB!AA56,KMB!AG56,KMB!AM56))=7)*(CHOOSE({1,2,3,4},KMB!X56,KMB!AD56,KMB!AJ56,KMB!AP56)))</f>
        <v>0</v>
      </c>
      <c r="H56">
        <f>SUMPRODUCT((MONTH(CHOOSE({1,2,3,4},KMB!U56,KMB!AA56,KMB!AG56,KMB!AM56))=8)*(CHOOSE({1,2,3,4},KMB!X56,KMB!AD56,KMB!AJ56,KMB!AP56)))</f>
        <v>0</v>
      </c>
      <c r="I56">
        <f>SUMPRODUCT((MONTH(CHOOSE({1,2,3,4},KMB!U56,KMB!AA56,KMB!AG56,KMB!AM56))=9)*(CHOOSE({1,2,3,4},KMB!X56,KMB!AD56,KMB!AJ56,KMB!AP56)))</f>
        <v>0</v>
      </c>
      <c r="J56">
        <f>SUMPRODUCT((MONTH(CHOOSE({1,2,3,4},KMB!U56,KMB!AA56,KMB!AG56,KMB!AM56))=10)*(CHOOSE({1,2,3,4},KMB!X56,KMB!AD56,KMB!AJ56,KMB!AP56)))</f>
        <v>0</v>
      </c>
      <c r="K56">
        <f>SUMPRODUCT((MONTH(CHOOSE({1,2,3,4},KMB!U56,KMB!AA56,KMB!AG56,KMB!AM56))=11)*(CHOOSE({1,2,3,4},KMB!X56,KMB!AD56,KMB!AJ56,KMB!AP56)))</f>
        <v>0</v>
      </c>
      <c r="L56">
        <f>SUMPRODUCT((MONTH(CHOOSE({1,2,3,4},KMB!U56,KMB!AA56,KMB!AG56,KMB!AM56))=12)*(CHOOSE({1,2,3,4},KMB!X56,KMB!AD56,KMB!AJ56,KMB!AP56)))</f>
        <v>0</v>
      </c>
    </row>
    <row r="57" spans="1:12">
      <c r="A57">
        <f>SUMPRODUCT((MONTH(CHOOSE({1,2,3,4},KMB!U57,KMB!AA57,KMB!AG57,KMB!AM57))=1)*(CHOOSE({1,2,3,4},KMB!X57,KMB!AD57,KMB!AJ57,KMB!AP57)))</f>
        <v>0</v>
      </c>
      <c r="B57">
        <f>SUMPRODUCT((MONTH(CHOOSE({1,2,3,4},KMB!U57,KMB!AA57,KMB!AG57,KMB!AM57))=2)*(CHOOSE({1,2,3,4},KMB!X57,KMB!AD57,KMB!AJ57,KMB!AP57)))</f>
        <v>0</v>
      </c>
      <c r="C57">
        <f>SUMPRODUCT((MONTH(CHOOSE({1,2,3,4},KMB!U57,KMB!AA57,KMB!AG57,KMB!AM57))=3)*(CHOOSE({1,2,3,4},KMB!X57,KMB!AD57,KMB!AJ57,KMB!AP57)))</f>
        <v>0</v>
      </c>
      <c r="D57">
        <f>SUMPRODUCT((MONTH(CHOOSE({1,2,3,4},KMB!U57,KMB!AA57,KMB!AG57,KMB!AM57))=4)*(CHOOSE({1,2,3,4},KMB!X57,KMB!AD57,KMB!AJ57,KMB!AP57)))</f>
        <v>0</v>
      </c>
      <c r="E57">
        <f>SUMPRODUCT((MONTH(CHOOSE({1,2,3,4},KMB!U57,KMB!AA57,KMB!AG57,KMB!AM57))=5)*(CHOOSE({1,2,3,4},KMB!X57,KMB!AD57,KMB!AJ57,KMB!AP57)))</f>
        <v>0</v>
      </c>
      <c r="F57">
        <f>SUMPRODUCT((MONTH(CHOOSE({1,2,3,4},KMB!U57,KMB!AA57,KMB!AG57,KMB!AM57))=6)*(CHOOSE({1,2,3,4},KMB!X57,KMB!AD57,KMB!AJ57,KMB!AP57)))</f>
        <v>0</v>
      </c>
      <c r="G57">
        <f>SUMPRODUCT((MONTH(CHOOSE({1,2,3,4},KMB!U57,KMB!AA57,KMB!AG57,KMB!AM57))=7)*(CHOOSE({1,2,3,4},KMB!X57,KMB!AD57,KMB!AJ57,KMB!AP57)))</f>
        <v>0</v>
      </c>
      <c r="H57">
        <f>SUMPRODUCT((MONTH(CHOOSE({1,2,3,4},KMB!U57,KMB!AA57,KMB!AG57,KMB!AM57))=8)*(CHOOSE({1,2,3,4},KMB!X57,KMB!AD57,KMB!AJ57,KMB!AP57)))</f>
        <v>0</v>
      </c>
      <c r="I57">
        <f>SUMPRODUCT((MONTH(CHOOSE({1,2,3,4},KMB!U57,KMB!AA57,KMB!AG57,KMB!AM57))=9)*(CHOOSE({1,2,3,4},KMB!X57,KMB!AD57,KMB!AJ57,KMB!AP57)))</f>
        <v>0</v>
      </c>
      <c r="J57">
        <f>SUMPRODUCT((MONTH(CHOOSE({1,2,3,4},KMB!U57,KMB!AA57,KMB!AG57,KMB!AM57))=10)*(CHOOSE({1,2,3,4},KMB!X57,KMB!AD57,KMB!AJ57,KMB!AP57)))</f>
        <v>0</v>
      </c>
      <c r="K57">
        <f>SUMPRODUCT((MONTH(CHOOSE({1,2,3,4},KMB!U57,KMB!AA57,KMB!AG57,KMB!AM57))=11)*(CHOOSE({1,2,3,4},KMB!X57,KMB!AD57,KMB!AJ57,KMB!AP57)))</f>
        <v>0</v>
      </c>
      <c r="L57">
        <f>SUMPRODUCT((MONTH(CHOOSE({1,2,3,4},KMB!U57,KMB!AA57,KMB!AG57,KMB!AM57))=12)*(CHOOSE({1,2,3,4},KMB!X57,KMB!AD57,KMB!AJ57,KMB!AP57)))</f>
        <v>0</v>
      </c>
    </row>
    <row r="58" spans="1:12">
      <c r="A58">
        <f>SUMPRODUCT((MONTH(CHOOSE({1,2,3,4},KMB!U58,KMB!AA58,KMB!AG58,KMB!AM58))=1)*(CHOOSE({1,2,3,4},KMB!X58,KMB!AD58,KMB!AJ58,KMB!AP58)))</f>
        <v>0</v>
      </c>
      <c r="B58">
        <f>SUMPRODUCT((MONTH(CHOOSE({1,2,3,4},KMB!U58,KMB!AA58,KMB!AG58,KMB!AM58))=2)*(CHOOSE({1,2,3,4},KMB!X58,KMB!AD58,KMB!AJ58,KMB!AP58)))</f>
        <v>0</v>
      </c>
      <c r="C58">
        <f>SUMPRODUCT((MONTH(CHOOSE({1,2,3,4},KMB!U58,KMB!AA58,KMB!AG58,KMB!AM58))=3)*(CHOOSE({1,2,3,4},KMB!X58,KMB!AD58,KMB!AJ58,KMB!AP58)))</f>
        <v>0</v>
      </c>
      <c r="D58">
        <f>SUMPRODUCT((MONTH(CHOOSE({1,2,3,4},KMB!U58,KMB!AA58,KMB!AG58,KMB!AM58))=4)*(CHOOSE({1,2,3,4},KMB!X58,KMB!AD58,KMB!AJ58,KMB!AP58)))</f>
        <v>0</v>
      </c>
      <c r="E58">
        <f>SUMPRODUCT((MONTH(CHOOSE({1,2,3,4},KMB!U58,KMB!AA58,KMB!AG58,KMB!AM58))=5)*(CHOOSE({1,2,3,4},KMB!X58,KMB!AD58,KMB!AJ58,KMB!AP58)))</f>
        <v>0</v>
      </c>
      <c r="F58">
        <f>SUMPRODUCT((MONTH(CHOOSE({1,2,3,4},KMB!U58,KMB!AA58,KMB!AG58,KMB!AM58))=6)*(CHOOSE({1,2,3,4},KMB!X58,KMB!AD58,KMB!AJ58,KMB!AP58)))</f>
        <v>0</v>
      </c>
      <c r="G58">
        <f>SUMPRODUCT((MONTH(CHOOSE({1,2,3,4},KMB!U58,KMB!AA58,KMB!AG58,KMB!AM58))=7)*(CHOOSE({1,2,3,4},KMB!X58,KMB!AD58,KMB!AJ58,KMB!AP58)))</f>
        <v>0</v>
      </c>
      <c r="H58">
        <f>SUMPRODUCT((MONTH(CHOOSE({1,2,3,4},KMB!U58,KMB!AA58,KMB!AG58,KMB!AM58))=8)*(CHOOSE({1,2,3,4},KMB!X58,KMB!AD58,KMB!AJ58,KMB!AP58)))</f>
        <v>0</v>
      </c>
      <c r="I58">
        <f>SUMPRODUCT((MONTH(CHOOSE({1,2,3,4},KMB!U58,KMB!AA58,KMB!AG58,KMB!AM58))=9)*(CHOOSE({1,2,3,4},KMB!X58,KMB!AD58,KMB!AJ58,KMB!AP58)))</f>
        <v>0</v>
      </c>
      <c r="J58">
        <f>SUMPRODUCT((MONTH(CHOOSE({1,2,3,4},KMB!U58,KMB!AA58,KMB!AG58,KMB!AM58))=10)*(CHOOSE({1,2,3,4},KMB!X58,KMB!AD58,KMB!AJ58,KMB!AP58)))</f>
        <v>0</v>
      </c>
      <c r="K58">
        <f>SUMPRODUCT((MONTH(CHOOSE({1,2,3,4},KMB!U58,KMB!AA58,KMB!AG58,KMB!AM58))=11)*(CHOOSE({1,2,3,4},KMB!X58,KMB!AD58,KMB!AJ58,KMB!AP58)))</f>
        <v>0</v>
      </c>
      <c r="L58">
        <f>SUMPRODUCT((MONTH(CHOOSE({1,2,3,4},KMB!U58,KMB!AA58,KMB!AG58,KMB!AM58))=12)*(CHOOSE({1,2,3,4},KMB!X58,KMB!AD58,KMB!AJ58,KMB!AP58)))</f>
        <v>0</v>
      </c>
    </row>
    <row r="59" spans="1:12">
      <c r="A59">
        <f>SUMPRODUCT((MONTH(CHOOSE({1,2,3,4},KMB!U59,KMB!AA59,KMB!AG59,KMB!AM59))=1)*(CHOOSE({1,2,3,4},KMB!X59,KMB!AD59,KMB!AJ59,KMB!AP59)))</f>
        <v>0</v>
      </c>
      <c r="B59">
        <f>SUMPRODUCT((MONTH(CHOOSE({1,2,3,4},KMB!U59,KMB!AA59,KMB!AG59,KMB!AM59))=2)*(CHOOSE({1,2,3,4},KMB!X59,KMB!AD59,KMB!AJ59,KMB!AP59)))</f>
        <v>0</v>
      </c>
      <c r="C59">
        <f>SUMPRODUCT((MONTH(CHOOSE({1,2,3,4},KMB!U59,KMB!AA59,KMB!AG59,KMB!AM59))=3)*(CHOOSE({1,2,3,4},KMB!X59,KMB!AD59,KMB!AJ59,KMB!AP59)))</f>
        <v>0</v>
      </c>
      <c r="D59">
        <f>SUMPRODUCT((MONTH(CHOOSE({1,2,3,4},KMB!U59,KMB!AA59,KMB!AG59,KMB!AM59))=4)*(CHOOSE({1,2,3,4},KMB!X59,KMB!AD59,KMB!AJ59,KMB!AP59)))</f>
        <v>0</v>
      </c>
      <c r="E59">
        <f>SUMPRODUCT((MONTH(CHOOSE({1,2,3,4},KMB!U59,KMB!AA59,KMB!AG59,KMB!AM59))=5)*(CHOOSE({1,2,3,4},KMB!X59,KMB!AD59,KMB!AJ59,KMB!AP59)))</f>
        <v>0</v>
      </c>
      <c r="F59">
        <f>SUMPRODUCT((MONTH(CHOOSE({1,2,3,4},KMB!U59,KMB!AA59,KMB!AG59,KMB!AM59))=6)*(CHOOSE({1,2,3,4},KMB!X59,KMB!AD59,KMB!AJ59,KMB!AP59)))</f>
        <v>0</v>
      </c>
      <c r="G59">
        <f>SUMPRODUCT((MONTH(CHOOSE({1,2,3,4},KMB!U59,KMB!AA59,KMB!AG59,KMB!AM59))=7)*(CHOOSE({1,2,3,4},KMB!X59,KMB!AD59,KMB!AJ59,KMB!AP59)))</f>
        <v>0</v>
      </c>
      <c r="H59">
        <f>SUMPRODUCT((MONTH(CHOOSE({1,2,3,4},KMB!U59,KMB!AA59,KMB!AG59,KMB!AM59))=8)*(CHOOSE({1,2,3,4},KMB!X59,KMB!AD59,KMB!AJ59,KMB!AP59)))</f>
        <v>0</v>
      </c>
      <c r="I59">
        <f>SUMPRODUCT((MONTH(CHOOSE({1,2,3,4},KMB!U59,KMB!AA59,KMB!AG59,KMB!AM59))=9)*(CHOOSE({1,2,3,4},KMB!X59,KMB!AD59,KMB!AJ59,KMB!AP59)))</f>
        <v>0</v>
      </c>
      <c r="J59">
        <f>SUMPRODUCT((MONTH(CHOOSE({1,2,3,4},KMB!U59,KMB!AA59,KMB!AG59,KMB!AM59))=10)*(CHOOSE({1,2,3,4},KMB!X59,KMB!AD59,KMB!AJ59,KMB!AP59)))</f>
        <v>0</v>
      </c>
      <c r="K59">
        <f>SUMPRODUCT((MONTH(CHOOSE({1,2,3,4},KMB!U59,KMB!AA59,KMB!AG59,KMB!AM59))=11)*(CHOOSE({1,2,3,4},KMB!X59,KMB!AD59,KMB!AJ59,KMB!AP59)))</f>
        <v>0</v>
      </c>
      <c r="L59">
        <f>SUMPRODUCT((MONTH(CHOOSE({1,2,3,4},KMB!U59,KMB!AA59,KMB!AG59,KMB!AM59))=12)*(CHOOSE({1,2,3,4},KMB!X59,KMB!AD59,KMB!AJ59,KMB!AP59)))</f>
        <v>0</v>
      </c>
    </row>
    <row r="60" spans="1:12">
      <c r="A60">
        <f>SUMPRODUCT((MONTH(CHOOSE({1,2,3,4},KMB!U60,KMB!AA60,KMB!AG60,KMB!AM60))=1)*(CHOOSE({1,2,3,4},KMB!X60,KMB!AD60,KMB!AJ60,KMB!AP60)))</f>
        <v>0</v>
      </c>
      <c r="B60">
        <f>SUMPRODUCT((MONTH(CHOOSE({1,2,3,4},KMB!U60,KMB!AA60,KMB!AG60,KMB!AM60))=2)*(CHOOSE({1,2,3,4},KMB!X60,KMB!AD60,KMB!AJ60,KMB!AP60)))</f>
        <v>0</v>
      </c>
      <c r="C60">
        <f>SUMPRODUCT((MONTH(CHOOSE({1,2,3,4},KMB!U60,KMB!AA60,KMB!AG60,KMB!AM60))=3)*(CHOOSE({1,2,3,4},KMB!X60,KMB!AD60,KMB!AJ60,KMB!AP60)))</f>
        <v>0</v>
      </c>
      <c r="D60">
        <f>SUMPRODUCT((MONTH(CHOOSE({1,2,3,4},KMB!U60,KMB!AA60,KMB!AG60,KMB!AM60))=4)*(CHOOSE({1,2,3,4},KMB!X60,KMB!AD60,KMB!AJ60,KMB!AP60)))</f>
        <v>0</v>
      </c>
      <c r="E60">
        <f>SUMPRODUCT((MONTH(CHOOSE({1,2,3,4},KMB!U60,KMB!AA60,KMB!AG60,KMB!AM60))=5)*(CHOOSE({1,2,3,4},KMB!X60,KMB!AD60,KMB!AJ60,KMB!AP60)))</f>
        <v>0</v>
      </c>
      <c r="F60">
        <f>SUMPRODUCT((MONTH(CHOOSE({1,2,3,4},KMB!U60,KMB!AA60,KMB!AG60,KMB!AM60))=6)*(CHOOSE({1,2,3,4},KMB!X60,KMB!AD60,KMB!AJ60,KMB!AP60)))</f>
        <v>0</v>
      </c>
      <c r="G60">
        <f>SUMPRODUCT((MONTH(CHOOSE({1,2,3,4},KMB!U60,KMB!AA60,KMB!AG60,KMB!AM60))=7)*(CHOOSE({1,2,3,4},KMB!X60,KMB!AD60,KMB!AJ60,KMB!AP60)))</f>
        <v>0</v>
      </c>
      <c r="H60">
        <f>SUMPRODUCT((MONTH(CHOOSE({1,2,3,4},KMB!U60,KMB!AA60,KMB!AG60,KMB!AM60))=8)*(CHOOSE({1,2,3,4},KMB!X60,KMB!AD60,KMB!AJ60,KMB!AP60)))</f>
        <v>0</v>
      </c>
      <c r="I60">
        <f>SUMPRODUCT((MONTH(CHOOSE({1,2,3,4},KMB!U60,KMB!AA60,KMB!AG60,KMB!AM60))=9)*(CHOOSE({1,2,3,4},KMB!X60,KMB!AD60,KMB!AJ60,KMB!AP60)))</f>
        <v>0</v>
      </c>
      <c r="J60">
        <f>SUMPRODUCT((MONTH(CHOOSE({1,2,3,4},KMB!U60,KMB!AA60,KMB!AG60,KMB!AM60))=10)*(CHOOSE({1,2,3,4},KMB!X60,KMB!AD60,KMB!AJ60,KMB!AP60)))</f>
        <v>0</v>
      </c>
      <c r="K60">
        <f>SUMPRODUCT((MONTH(CHOOSE({1,2,3,4},KMB!U60,KMB!AA60,KMB!AG60,KMB!AM60))=11)*(CHOOSE({1,2,3,4},KMB!X60,KMB!AD60,KMB!AJ60,KMB!AP60)))</f>
        <v>0</v>
      </c>
      <c r="L60">
        <f>SUMPRODUCT((MONTH(CHOOSE({1,2,3,4},KMB!U60,KMB!AA60,KMB!AG60,KMB!AM60))=12)*(CHOOSE({1,2,3,4},KMB!X60,KMB!AD60,KMB!AJ60,KMB!AP60)))</f>
        <v>0</v>
      </c>
    </row>
    <row r="61" spans="1:12">
      <c r="A61">
        <f>SUMPRODUCT((MONTH(CHOOSE({1,2,3,4},KMB!U61,KMB!AA61,KMB!AG61,KMB!AM61))=1)*(CHOOSE({1,2,3,4},KMB!X61,KMB!AD61,KMB!AJ61,KMB!AP61)))</f>
        <v>0</v>
      </c>
      <c r="B61">
        <f>SUMPRODUCT((MONTH(CHOOSE({1,2,3,4},KMB!U61,KMB!AA61,KMB!AG61,KMB!AM61))=2)*(CHOOSE({1,2,3,4},KMB!X61,KMB!AD61,KMB!AJ61,KMB!AP61)))</f>
        <v>0</v>
      </c>
      <c r="C61">
        <f>SUMPRODUCT((MONTH(CHOOSE({1,2,3,4},KMB!U61,KMB!AA61,KMB!AG61,KMB!AM61))=3)*(CHOOSE({1,2,3,4},KMB!X61,KMB!AD61,KMB!AJ61,KMB!AP61)))</f>
        <v>0</v>
      </c>
      <c r="D61">
        <f>SUMPRODUCT((MONTH(CHOOSE({1,2,3,4},KMB!U61,KMB!AA61,KMB!AG61,KMB!AM61))=4)*(CHOOSE({1,2,3,4},KMB!X61,KMB!AD61,KMB!AJ61,KMB!AP61)))</f>
        <v>0</v>
      </c>
      <c r="E61">
        <f>SUMPRODUCT((MONTH(CHOOSE({1,2,3,4},KMB!U61,KMB!AA61,KMB!AG61,KMB!AM61))=5)*(CHOOSE({1,2,3,4},KMB!X61,KMB!AD61,KMB!AJ61,KMB!AP61)))</f>
        <v>0</v>
      </c>
      <c r="F61">
        <f>SUMPRODUCT((MONTH(CHOOSE({1,2,3,4},KMB!U61,KMB!AA61,KMB!AG61,KMB!AM61))=6)*(CHOOSE({1,2,3,4},KMB!X61,KMB!AD61,KMB!AJ61,KMB!AP61)))</f>
        <v>0</v>
      </c>
      <c r="G61">
        <f>SUMPRODUCT((MONTH(CHOOSE({1,2,3,4},KMB!U61,KMB!AA61,KMB!AG61,KMB!AM61))=7)*(CHOOSE({1,2,3,4},KMB!X61,KMB!AD61,KMB!AJ61,KMB!AP61)))</f>
        <v>0</v>
      </c>
      <c r="H61">
        <f>SUMPRODUCT((MONTH(CHOOSE({1,2,3,4},KMB!U61,KMB!AA61,KMB!AG61,KMB!AM61))=8)*(CHOOSE({1,2,3,4},KMB!X61,KMB!AD61,KMB!AJ61,KMB!AP61)))</f>
        <v>0</v>
      </c>
      <c r="I61">
        <f>SUMPRODUCT((MONTH(CHOOSE({1,2,3,4},KMB!U61,KMB!AA61,KMB!AG61,KMB!AM61))=9)*(CHOOSE({1,2,3,4},KMB!X61,KMB!AD61,KMB!AJ61,KMB!AP61)))</f>
        <v>0</v>
      </c>
      <c r="J61">
        <f>SUMPRODUCT((MONTH(CHOOSE({1,2,3,4},KMB!U61,KMB!AA61,KMB!AG61,KMB!AM61))=10)*(CHOOSE({1,2,3,4},KMB!X61,KMB!AD61,KMB!AJ61,KMB!AP61)))</f>
        <v>0</v>
      </c>
      <c r="K61">
        <f>SUMPRODUCT((MONTH(CHOOSE({1,2,3,4},KMB!U61,KMB!AA61,KMB!AG61,KMB!AM61))=11)*(CHOOSE({1,2,3,4},KMB!X61,KMB!AD61,KMB!AJ61,KMB!AP61)))</f>
        <v>0</v>
      </c>
      <c r="L61">
        <f>SUMPRODUCT((MONTH(CHOOSE({1,2,3,4},KMB!U61,KMB!AA61,KMB!AG61,KMB!AM61))=12)*(CHOOSE({1,2,3,4},KMB!X61,KMB!AD61,KMB!AJ61,KMB!AP61)))</f>
        <v>0</v>
      </c>
    </row>
    <row r="62" spans="1:12">
      <c r="A62">
        <f>SUMPRODUCT((MONTH(CHOOSE({1,2,3,4},KMB!U62,KMB!AA62,KMB!AG62,KMB!AM62))=1)*(CHOOSE({1,2,3,4},KMB!X62,KMB!AD62,KMB!AJ62,KMB!AP62)))</f>
        <v>0</v>
      </c>
      <c r="B62">
        <f>SUMPRODUCT((MONTH(CHOOSE({1,2,3,4},KMB!U62,KMB!AA62,KMB!AG62,KMB!AM62))=2)*(CHOOSE({1,2,3,4},KMB!X62,KMB!AD62,KMB!AJ62,KMB!AP62)))</f>
        <v>0</v>
      </c>
      <c r="C62">
        <f>SUMPRODUCT((MONTH(CHOOSE({1,2,3,4},KMB!U62,KMB!AA62,KMB!AG62,KMB!AM62))=3)*(CHOOSE({1,2,3,4},KMB!X62,KMB!AD62,KMB!AJ62,KMB!AP62)))</f>
        <v>0</v>
      </c>
      <c r="D62">
        <f>SUMPRODUCT((MONTH(CHOOSE({1,2,3,4},KMB!U62,KMB!AA62,KMB!AG62,KMB!AM62))=4)*(CHOOSE({1,2,3,4},KMB!X62,KMB!AD62,KMB!AJ62,KMB!AP62)))</f>
        <v>0</v>
      </c>
      <c r="E62">
        <f>SUMPRODUCT((MONTH(CHOOSE({1,2,3,4},KMB!U62,KMB!AA62,KMB!AG62,KMB!AM62))=5)*(CHOOSE({1,2,3,4},KMB!X62,KMB!AD62,KMB!AJ62,KMB!AP62)))</f>
        <v>0</v>
      </c>
      <c r="F62">
        <f>SUMPRODUCT((MONTH(CHOOSE({1,2,3,4},KMB!U62,KMB!AA62,KMB!AG62,KMB!AM62))=6)*(CHOOSE({1,2,3,4},KMB!X62,KMB!AD62,KMB!AJ62,KMB!AP62)))</f>
        <v>0</v>
      </c>
      <c r="G62">
        <f>SUMPRODUCT((MONTH(CHOOSE({1,2,3,4},KMB!U62,KMB!AA62,KMB!AG62,KMB!AM62))=7)*(CHOOSE({1,2,3,4},KMB!X62,KMB!AD62,KMB!AJ62,KMB!AP62)))</f>
        <v>0</v>
      </c>
      <c r="H62">
        <f>SUMPRODUCT((MONTH(CHOOSE({1,2,3,4},KMB!U62,KMB!AA62,KMB!AG62,KMB!AM62))=8)*(CHOOSE({1,2,3,4},KMB!X62,KMB!AD62,KMB!AJ62,KMB!AP62)))</f>
        <v>0</v>
      </c>
      <c r="I62">
        <f>SUMPRODUCT((MONTH(CHOOSE({1,2,3,4},KMB!U62,KMB!AA62,KMB!AG62,KMB!AM62))=9)*(CHOOSE({1,2,3,4},KMB!X62,KMB!AD62,KMB!AJ62,KMB!AP62)))</f>
        <v>0</v>
      </c>
      <c r="J62">
        <f>SUMPRODUCT((MONTH(CHOOSE({1,2,3,4},KMB!U62,KMB!AA62,KMB!AG62,KMB!AM62))=10)*(CHOOSE({1,2,3,4},KMB!X62,KMB!AD62,KMB!AJ62,KMB!AP62)))</f>
        <v>0</v>
      </c>
      <c r="K62">
        <f>SUMPRODUCT((MONTH(CHOOSE({1,2,3,4},KMB!U62,KMB!AA62,KMB!AG62,KMB!AM62))=11)*(CHOOSE({1,2,3,4},KMB!X62,KMB!AD62,KMB!AJ62,KMB!AP62)))</f>
        <v>0</v>
      </c>
      <c r="L62">
        <f>SUMPRODUCT((MONTH(CHOOSE({1,2,3,4},KMB!U62,KMB!AA62,KMB!AG62,KMB!AM62))=12)*(CHOOSE({1,2,3,4},KMB!X62,KMB!AD62,KMB!AJ62,KMB!AP62)))</f>
        <v>0</v>
      </c>
    </row>
    <row r="63" spans="1:12">
      <c r="A63">
        <f>SUMPRODUCT((MONTH(CHOOSE({1,2,3,4},KMB!U63,KMB!AA63,KMB!AG63,KMB!AM63))=1)*(CHOOSE({1,2,3,4},KMB!X63,KMB!AD63,KMB!AJ63,KMB!AP63)))</f>
        <v>0</v>
      </c>
      <c r="B63">
        <f>SUMPRODUCT((MONTH(CHOOSE({1,2,3,4},KMB!U63,KMB!AA63,KMB!AG63,KMB!AM63))=2)*(CHOOSE({1,2,3,4},KMB!X63,KMB!AD63,KMB!AJ63,KMB!AP63)))</f>
        <v>0</v>
      </c>
      <c r="C63">
        <f>SUMPRODUCT((MONTH(CHOOSE({1,2,3,4},KMB!U63,KMB!AA63,KMB!AG63,KMB!AM63))=3)*(CHOOSE({1,2,3,4},KMB!X63,KMB!AD63,KMB!AJ63,KMB!AP63)))</f>
        <v>0</v>
      </c>
      <c r="D63">
        <f>SUMPRODUCT((MONTH(CHOOSE({1,2,3,4},KMB!U63,KMB!AA63,KMB!AG63,KMB!AM63))=4)*(CHOOSE({1,2,3,4},KMB!X63,KMB!AD63,KMB!AJ63,KMB!AP63)))</f>
        <v>0</v>
      </c>
      <c r="E63">
        <f>SUMPRODUCT((MONTH(CHOOSE({1,2,3,4},KMB!U63,KMB!AA63,KMB!AG63,KMB!AM63))=5)*(CHOOSE({1,2,3,4},KMB!X63,KMB!AD63,KMB!AJ63,KMB!AP63)))</f>
        <v>0</v>
      </c>
      <c r="F63">
        <f>SUMPRODUCT((MONTH(CHOOSE({1,2,3,4},KMB!U63,KMB!AA63,KMB!AG63,KMB!AM63))=6)*(CHOOSE({1,2,3,4},KMB!X63,KMB!AD63,KMB!AJ63,KMB!AP63)))</f>
        <v>0</v>
      </c>
      <c r="G63">
        <f>SUMPRODUCT((MONTH(CHOOSE({1,2,3,4},KMB!U63,KMB!AA63,KMB!AG63,KMB!AM63))=7)*(CHOOSE({1,2,3,4},KMB!X63,KMB!AD63,KMB!AJ63,KMB!AP63)))</f>
        <v>0</v>
      </c>
      <c r="H63">
        <f>SUMPRODUCT((MONTH(CHOOSE({1,2,3,4},KMB!U63,KMB!AA63,KMB!AG63,KMB!AM63))=8)*(CHOOSE({1,2,3,4},KMB!X63,KMB!AD63,KMB!AJ63,KMB!AP63)))</f>
        <v>0</v>
      </c>
      <c r="I63">
        <f>SUMPRODUCT((MONTH(CHOOSE({1,2,3,4},KMB!U63,KMB!AA63,KMB!AG63,KMB!AM63))=9)*(CHOOSE({1,2,3,4},KMB!X63,KMB!AD63,KMB!AJ63,KMB!AP63)))</f>
        <v>0</v>
      </c>
      <c r="J63">
        <f>SUMPRODUCT((MONTH(CHOOSE({1,2,3,4},KMB!U63,KMB!AA63,KMB!AG63,KMB!AM63))=10)*(CHOOSE({1,2,3,4},KMB!X63,KMB!AD63,KMB!AJ63,KMB!AP63)))</f>
        <v>0</v>
      </c>
      <c r="K63">
        <f>SUMPRODUCT((MONTH(CHOOSE({1,2,3,4},KMB!U63,KMB!AA63,KMB!AG63,KMB!AM63))=11)*(CHOOSE({1,2,3,4},KMB!X63,KMB!AD63,KMB!AJ63,KMB!AP63)))</f>
        <v>0</v>
      </c>
      <c r="L63">
        <f>SUMPRODUCT((MONTH(CHOOSE({1,2,3,4},KMB!U63,KMB!AA63,KMB!AG63,KMB!AM63))=12)*(CHOOSE({1,2,3,4},KMB!X63,KMB!AD63,KMB!AJ63,KMB!AP63)))</f>
        <v>0</v>
      </c>
    </row>
    <row r="64" spans="1:12">
      <c r="A64">
        <f>SUMPRODUCT((MONTH(CHOOSE({1,2,3,4},KMB!U64,KMB!AA64,KMB!AG64,KMB!AM64))=1)*(CHOOSE({1,2,3,4},KMB!X64,KMB!AD64,KMB!AJ64,KMB!AP64)))</f>
        <v>0</v>
      </c>
      <c r="B64">
        <f>SUMPRODUCT((MONTH(CHOOSE({1,2,3,4},KMB!U64,KMB!AA64,KMB!AG64,KMB!AM64))=2)*(CHOOSE({1,2,3,4},KMB!X64,KMB!AD64,KMB!AJ64,KMB!AP64)))</f>
        <v>0</v>
      </c>
      <c r="C64">
        <f>SUMPRODUCT((MONTH(CHOOSE({1,2,3,4},KMB!U64,KMB!AA64,KMB!AG64,KMB!AM64))=3)*(CHOOSE({1,2,3,4},KMB!X64,KMB!AD64,KMB!AJ64,KMB!AP64)))</f>
        <v>0</v>
      </c>
      <c r="D64">
        <f>SUMPRODUCT((MONTH(CHOOSE({1,2,3,4},KMB!U64,KMB!AA64,KMB!AG64,KMB!AM64))=4)*(CHOOSE({1,2,3,4},KMB!X64,KMB!AD64,KMB!AJ64,KMB!AP64)))</f>
        <v>0</v>
      </c>
      <c r="E64">
        <f>SUMPRODUCT((MONTH(CHOOSE({1,2,3,4},KMB!U64,KMB!AA64,KMB!AG64,KMB!AM64))=5)*(CHOOSE({1,2,3,4},KMB!X64,KMB!AD64,KMB!AJ64,KMB!AP64)))</f>
        <v>0</v>
      </c>
      <c r="F64">
        <f>SUMPRODUCT((MONTH(CHOOSE({1,2,3,4},KMB!U64,KMB!AA64,KMB!AG64,KMB!AM64))=6)*(CHOOSE({1,2,3,4},KMB!X64,KMB!AD64,KMB!AJ64,KMB!AP64)))</f>
        <v>0</v>
      </c>
      <c r="G64">
        <f>SUMPRODUCT((MONTH(CHOOSE({1,2,3,4},KMB!U64,KMB!AA64,KMB!AG64,KMB!AM64))=7)*(CHOOSE({1,2,3,4},KMB!X64,KMB!AD64,KMB!AJ64,KMB!AP64)))</f>
        <v>0</v>
      </c>
      <c r="H64">
        <f>SUMPRODUCT((MONTH(CHOOSE({1,2,3,4},KMB!U64,KMB!AA64,KMB!AG64,KMB!AM64))=8)*(CHOOSE({1,2,3,4},KMB!X64,KMB!AD64,KMB!AJ64,KMB!AP64)))</f>
        <v>0</v>
      </c>
      <c r="I64">
        <f>SUMPRODUCT((MONTH(CHOOSE({1,2,3,4},KMB!U64,KMB!AA64,KMB!AG64,KMB!AM64))=9)*(CHOOSE({1,2,3,4},KMB!X64,KMB!AD64,KMB!AJ64,KMB!AP64)))</f>
        <v>0</v>
      </c>
      <c r="J64">
        <f>SUMPRODUCT((MONTH(CHOOSE({1,2,3,4},KMB!U64,KMB!AA64,KMB!AG64,KMB!AM64))=10)*(CHOOSE({1,2,3,4},KMB!X64,KMB!AD64,KMB!AJ64,KMB!AP64)))</f>
        <v>0</v>
      </c>
      <c r="K64">
        <f>SUMPRODUCT((MONTH(CHOOSE({1,2,3,4},KMB!U64,KMB!AA64,KMB!AG64,KMB!AM64))=11)*(CHOOSE({1,2,3,4},KMB!X64,KMB!AD64,KMB!AJ64,KMB!AP64)))</f>
        <v>0</v>
      </c>
      <c r="L64">
        <f>SUMPRODUCT((MONTH(CHOOSE({1,2,3,4},KMB!U64,KMB!AA64,KMB!AG64,KMB!AM64))=12)*(CHOOSE({1,2,3,4},KMB!X64,KMB!AD64,KMB!AJ64,KMB!AP64)))</f>
        <v>0</v>
      </c>
    </row>
    <row r="65" spans="1:12">
      <c r="A65">
        <f>SUMPRODUCT((MONTH(CHOOSE({1,2,3,4},KMB!U65,KMB!AA65,KMB!AG65,KMB!AM65))=1)*(CHOOSE({1,2,3,4},KMB!X65,KMB!AD65,KMB!AJ65,KMB!AP65)))</f>
        <v>0</v>
      </c>
      <c r="B65">
        <f>SUMPRODUCT((MONTH(CHOOSE({1,2,3,4},KMB!U65,KMB!AA65,KMB!AG65,KMB!AM65))=2)*(CHOOSE({1,2,3,4},KMB!X65,KMB!AD65,KMB!AJ65,KMB!AP65)))</f>
        <v>0</v>
      </c>
      <c r="C65">
        <f>SUMPRODUCT((MONTH(CHOOSE({1,2,3,4},KMB!U65,KMB!AA65,KMB!AG65,KMB!AM65))=3)*(CHOOSE({1,2,3,4},KMB!X65,KMB!AD65,KMB!AJ65,KMB!AP65)))</f>
        <v>0</v>
      </c>
      <c r="D65">
        <f>SUMPRODUCT((MONTH(CHOOSE({1,2,3,4},KMB!U65,KMB!AA65,KMB!AG65,KMB!AM65))=4)*(CHOOSE({1,2,3,4},KMB!X65,KMB!AD65,KMB!AJ65,KMB!AP65)))</f>
        <v>0</v>
      </c>
      <c r="E65">
        <f>SUMPRODUCT((MONTH(CHOOSE({1,2,3,4},KMB!U65,KMB!AA65,KMB!AG65,KMB!AM65))=5)*(CHOOSE({1,2,3,4},KMB!X65,KMB!AD65,KMB!AJ65,KMB!AP65)))</f>
        <v>0</v>
      </c>
      <c r="F65">
        <f>SUMPRODUCT((MONTH(CHOOSE({1,2,3,4},KMB!U65,KMB!AA65,KMB!AG65,KMB!AM65))=6)*(CHOOSE({1,2,3,4},KMB!X65,KMB!AD65,KMB!AJ65,KMB!AP65)))</f>
        <v>0</v>
      </c>
      <c r="G65">
        <f>SUMPRODUCT((MONTH(CHOOSE({1,2,3,4},KMB!U65,KMB!AA65,KMB!AG65,KMB!AM65))=7)*(CHOOSE({1,2,3,4},KMB!X65,KMB!AD65,KMB!AJ65,KMB!AP65)))</f>
        <v>0</v>
      </c>
      <c r="H65">
        <f>SUMPRODUCT((MONTH(CHOOSE({1,2,3,4},KMB!U65,KMB!AA65,KMB!AG65,KMB!AM65))=8)*(CHOOSE({1,2,3,4},KMB!X65,KMB!AD65,KMB!AJ65,KMB!AP65)))</f>
        <v>0</v>
      </c>
      <c r="I65">
        <f>SUMPRODUCT((MONTH(CHOOSE({1,2,3,4},KMB!U65,KMB!AA65,KMB!AG65,KMB!AM65))=9)*(CHOOSE({1,2,3,4},KMB!X65,KMB!AD65,KMB!AJ65,KMB!AP65)))</f>
        <v>0</v>
      </c>
      <c r="J65">
        <f>SUMPRODUCT((MONTH(CHOOSE({1,2,3,4},KMB!U65,KMB!AA65,KMB!AG65,KMB!AM65))=10)*(CHOOSE({1,2,3,4},KMB!X65,KMB!AD65,KMB!AJ65,KMB!AP65)))</f>
        <v>0</v>
      </c>
      <c r="K65">
        <f>SUMPRODUCT((MONTH(CHOOSE({1,2,3,4},KMB!U65,KMB!AA65,KMB!AG65,KMB!AM65))=11)*(CHOOSE({1,2,3,4},KMB!X65,KMB!AD65,KMB!AJ65,KMB!AP65)))</f>
        <v>0</v>
      </c>
      <c r="L65">
        <f>SUMPRODUCT((MONTH(CHOOSE({1,2,3,4},KMB!U65,KMB!AA65,KMB!AG65,KMB!AM65))=12)*(CHOOSE({1,2,3,4},KMB!X65,KMB!AD65,KMB!AJ65,KMB!AP65)))</f>
        <v>0</v>
      </c>
    </row>
    <row r="66" spans="1:12">
      <c r="A66">
        <f>SUMPRODUCT((MONTH(CHOOSE({1,2,3,4},KMB!U66,KMB!AA66,KMB!AG66,KMB!AM66))=1)*(CHOOSE({1,2,3,4},KMB!X66,KMB!AD66,KMB!AJ66,KMB!AP66)))</f>
        <v>0</v>
      </c>
      <c r="B66">
        <f>SUMPRODUCT((MONTH(CHOOSE({1,2,3,4},KMB!U66,KMB!AA66,KMB!AG66,KMB!AM66))=2)*(CHOOSE({1,2,3,4},KMB!X66,KMB!AD66,KMB!AJ66,KMB!AP66)))</f>
        <v>0</v>
      </c>
      <c r="C66">
        <f>SUMPRODUCT((MONTH(CHOOSE({1,2,3,4},KMB!U66,KMB!AA66,KMB!AG66,KMB!AM66))=3)*(CHOOSE({1,2,3,4},KMB!X66,KMB!AD66,KMB!AJ66,KMB!AP66)))</f>
        <v>0</v>
      </c>
      <c r="D66">
        <f>SUMPRODUCT((MONTH(CHOOSE({1,2,3,4},KMB!U66,KMB!AA66,KMB!AG66,KMB!AM66))=4)*(CHOOSE({1,2,3,4},KMB!X66,KMB!AD66,KMB!AJ66,KMB!AP66)))</f>
        <v>0</v>
      </c>
      <c r="E66">
        <f>SUMPRODUCT((MONTH(CHOOSE({1,2,3,4},KMB!U66,KMB!AA66,KMB!AG66,KMB!AM66))=5)*(CHOOSE({1,2,3,4},KMB!X66,KMB!AD66,KMB!AJ66,KMB!AP66)))</f>
        <v>0</v>
      </c>
      <c r="F66">
        <f>SUMPRODUCT((MONTH(CHOOSE({1,2,3,4},KMB!U66,KMB!AA66,KMB!AG66,KMB!AM66))=6)*(CHOOSE({1,2,3,4},KMB!X66,KMB!AD66,KMB!AJ66,KMB!AP66)))</f>
        <v>0</v>
      </c>
      <c r="G66">
        <f>SUMPRODUCT((MONTH(CHOOSE({1,2,3,4},KMB!U66,KMB!AA66,KMB!AG66,KMB!AM66))=7)*(CHOOSE({1,2,3,4},KMB!X66,KMB!AD66,KMB!AJ66,KMB!AP66)))</f>
        <v>0</v>
      </c>
      <c r="H66">
        <f>SUMPRODUCT((MONTH(CHOOSE({1,2,3,4},KMB!U66,KMB!AA66,KMB!AG66,KMB!AM66))=8)*(CHOOSE({1,2,3,4},KMB!X66,KMB!AD66,KMB!AJ66,KMB!AP66)))</f>
        <v>0</v>
      </c>
      <c r="I66">
        <f>SUMPRODUCT((MONTH(CHOOSE({1,2,3,4},KMB!U66,KMB!AA66,KMB!AG66,KMB!AM66))=9)*(CHOOSE({1,2,3,4},KMB!X66,KMB!AD66,KMB!AJ66,KMB!AP66)))</f>
        <v>0</v>
      </c>
      <c r="J66">
        <f>SUMPRODUCT((MONTH(CHOOSE({1,2,3,4},KMB!U66,KMB!AA66,KMB!AG66,KMB!AM66))=10)*(CHOOSE({1,2,3,4},KMB!X66,KMB!AD66,KMB!AJ66,KMB!AP66)))</f>
        <v>0</v>
      </c>
      <c r="K66">
        <f>SUMPRODUCT((MONTH(CHOOSE({1,2,3,4},KMB!U66,KMB!AA66,KMB!AG66,KMB!AM66))=11)*(CHOOSE({1,2,3,4},KMB!X66,KMB!AD66,KMB!AJ66,KMB!AP66)))</f>
        <v>0</v>
      </c>
      <c r="L66">
        <f>SUMPRODUCT((MONTH(CHOOSE({1,2,3,4},KMB!U66,KMB!AA66,KMB!AG66,KMB!AM66))=12)*(CHOOSE({1,2,3,4},KMB!X66,KMB!AD66,KMB!AJ66,KMB!AP66)))</f>
        <v>0</v>
      </c>
    </row>
    <row r="67" spans="1:12">
      <c r="A67">
        <f>SUMPRODUCT((MONTH(CHOOSE({1,2,3,4},KMB!U67,KMB!AA67,KMB!AG67,KMB!AM67))=1)*(CHOOSE({1,2,3,4},KMB!X67,KMB!AD67,KMB!AJ67,KMB!AP67)))</f>
        <v>0</v>
      </c>
      <c r="B67">
        <f>SUMPRODUCT((MONTH(CHOOSE({1,2,3,4},KMB!U67,KMB!AA67,KMB!AG67,KMB!AM67))=2)*(CHOOSE({1,2,3,4},KMB!X67,KMB!AD67,KMB!AJ67,KMB!AP67)))</f>
        <v>0</v>
      </c>
      <c r="C67">
        <f>SUMPRODUCT((MONTH(CHOOSE({1,2,3,4},KMB!U67,KMB!AA67,KMB!AG67,KMB!AM67))=3)*(CHOOSE({1,2,3,4},KMB!X67,KMB!AD67,KMB!AJ67,KMB!AP67)))</f>
        <v>0</v>
      </c>
      <c r="D67">
        <f>SUMPRODUCT((MONTH(CHOOSE({1,2,3,4},KMB!U67,KMB!AA67,KMB!AG67,KMB!AM67))=4)*(CHOOSE({1,2,3,4},KMB!X67,KMB!AD67,KMB!AJ67,KMB!AP67)))</f>
        <v>0</v>
      </c>
      <c r="E67">
        <f>SUMPRODUCT((MONTH(CHOOSE({1,2,3,4},KMB!U67,KMB!AA67,KMB!AG67,KMB!AM67))=5)*(CHOOSE({1,2,3,4},KMB!X67,KMB!AD67,KMB!AJ67,KMB!AP67)))</f>
        <v>0</v>
      </c>
      <c r="F67">
        <f>SUMPRODUCT((MONTH(CHOOSE({1,2,3,4},KMB!U67,KMB!AA67,KMB!AG67,KMB!AM67))=6)*(CHOOSE({1,2,3,4},KMB!X67,KMB!AD67,KMB!AJ67,KMB!AP67)))</f>
        <v>0</v>
      </c>
      <c r="G67">
        <f>SUMPRODUCT((MONTH(CHOOSE({1,2,3,4},KMB!U67,KMB!AA67,KMB!AG67,KMB!AM67))=7)*(CHOOSE({1,2,3,4},KMB!X67,KMB!AD67,KMB!AJ67,KMB!AP67)))</f>
        <v>0</v>
      </c>
      <c r="H67">
        <f>SUMPRODUCT((MONTH(CHOOSE({1,2,3,4},KMB!U67,KMB!AA67,KMB!AG67,KMB!AM67))=8)*(CHOOSE({1,2,3,4},KMB!X67,KMB!AD67,KMB!AJ67,KMB!AP67)))</f>
        <v>0</v>
      </c>
      <c r="I67">
        <f>SUMPRODUCT((MONTH(CHOOSE({1,2,3,4},KMB!U67,KMB!AA67,KMB!AG67,KMB!AM67))=9)*(CHOOSE({1,2,3,4},KMB!X67,KMB!AD67,KMB!AJ67,KMB!AP67)))</f>
        <v>0</v>
      </c>
      <c r="J67">
        <f>SUMPRODUCT((MONTH(CHOOSE({1,2,3,4},KMB!U67,KMB!AA67,KMB!AG67,KMB!AM67))=10)*(CHOOSE({1,2,3,4},KMB!X67,KMB!AD67,KMB!AJ67,KMB!AP67)))</f>
        <v>0</v>
      </c>
      <c r="K67">
        <f>SUMPRODUCT((MONTH(CHOOSE({1,2,3,4},KMB!U67,KMB!AA67,KMB!AG67,KMB!AM67))=11)*(CHOOSE({1,2,3,4},KMB!X67,KMB!AD67,KMB!AJ67,KMB!AP67)))</f>
        <v>0</v>
      </c>
      <c r="L67">
        <f>SUMPRODUCT((MONTH(CHOOSE({1,2,3,4},KMB!U67,KMB!AA67,KMB!AG67,KMB!AM67))=12)*(CHOOSE({1,2,3,4},KMB!X67,KMB!AD67,KMB!AJ67,KMB!AP67)))</f>
        <v>0</v>
      </c>
    </row>
    <row r="68" spans="1:12">
      <c r="A68">
        <f>SUMPRODUCT((MONTH(CHOOSE({1,2,3,4},KMB!U68,KMB!AA68,KMB!AG68,KMB!AM68))=1)*(CHOOSE({1,2,3,4},KMB!X68,KMB!AD68,KMB!AJ68,KMB!AP68)))</f>
        <v>0</v>
      </c>
      <c r="B68">
        <f>SUMPRODUCT((MONTH(CHOOSE({1,2,3,4},KMB!U68,KMB!AA68,KMB!AG68,KMB!AM68))=2)*(CHOOSE({1,2,3,4},KMB!X68,KMB!AD68,KMB!AJ68,KMB!AP68)))</f>
        <v>0</v>
      </c>
      <c r="C68">
        <f>SUMPRODUCT((MONTH(CHOOSE({1,2,3,4},KMB!U68,KMB!AA68,KMB!AG68,KMB!AM68))=3)*(CHOOSE({1,2,3,4},KMB!X68,KMB!AD68,KMB!AJ68,KMB!AP68)))</f>
        <v>0</v>
      </c>
      <c r="D68">
        <f>SUMPRODUCT((MONTH(CHOOSE({1,2,3,4},KMB!U68,KMB!AA68,KMB!AG68,KMB!AM68))=4)*(CHOOSE({1,2,3,4},KMB!X68,KMB!AD68,KMB!AJ68,KMB!AP68)))</f>
        <v>0</v>
      </c>
      <c r="E68">
        <f>SUMPRODUCT((MONTH(CHOOSE({1,2,3,4},KMB!U68,KMB!AA68,KMB!AG68,KMB!AM68))=5)*(CHOOSE({1,2,3,4},KMB!X68,KMB!AD68,KMB!AJ68,KMB!AP68)))</f>
        <v>0</v>
      </c>
      <c r="F68">
        <f>SUMPRODUCT((MONTH(CHOOSE({1,2,3,4},KMB!U68,KMB!AA68,KMB!AG68,KMB!AM68))=6)*(CHOOSE({1,2,3,4},KMB!X68,KMB!AD68,KMB!AJ68,KMB!AP68)))</f>
        <v>0</v>
      </c>
      <c r="G68">
        <f>SUMPRODUCT((MONTH(CHOOSE({1,2,3,4},KMB!U68,KMB!AA68,KMB!AG68,KMB!AM68))=7)*(CHOOSE({1,2,3,4},KMB!X68,KMB!AD68,KMB!AJ68,KMB!AP68)))</f>
        <v>0</v>
      </c>
      <c r="H68">
        <f>SUMPRODUCT((MONTH(CHOOSE({1,2,3,4},KMB!U68,KMB!AA68,KMB!AG68,KMB!AM68))=8)*(CHOOSE({1,2,3,4},KMB!X68,KMB!AD68,KMB!AJ68,KMB!AP68)))</f>
        <v>0</v>
      </c>
      <c r="I68">
        <f>SUMPRODUCT((MONTH(CHOOSE({1,2,3,4},KMB!U68,KMB!AA68,KMB!AG68,KMB!AM68))=9)*(CHOOSE({1,2,3,4},KMB!X68,KMB!AD68,KMB!AJ68,KMB!AP68)))</f>
        <v>0</v>
      </c>
      <c r="J68">
        <f>SUMPRODUCT((MONTH(CHOOSE({1,2,3,4},KMB!U68,KMB!AA68,KMB!AG68,KMB!AM68))=10)*(CHOOSE({1,2,3,4},KMB!X68,KMB!AD68,KMB!AJ68,KMB!AP68)))</f>
        <v>0</v>
      </c>
      <c r="K68">
        <f>SUMPRODUCT((MONTH(CHOOSE({1,2,3,4},KMB!U68,KMB!AA68,KMB!AG68,KMB!AM68))=11)*(CHOOSE({1,2,3,4},KMB!X68,KMB!AD68,KMB!AJ68,KMB!AP68)))</f>
        <v>0</v>
      </c>
      <c r="L68">
        <f>SUMPRODUCT((MONTH(CHOOSE({1,2,3,4},KMB!U68,KMB!AA68,KMB!AG68,KMB!AM68))=12)*(CHOOSE({1,2,3,4},KMB!X68,KMB!AD68,KMB!AJ68,KMB!AP68)))</f>
        <v>0</v>
      </c>
    </row>
    <row r="69" spans="1:12">
      <c r="A69">
        <f>SUMPRODUCT((MONTH(CHOOSE({1,2,3,4},KMB!U69,KMB!AA69,KMB!AG69,KMB!AM69))=1)*(CHOOSE({1,2,3,4},KMB!X69,KMB!AD69,KMB!AJ69,KMB!AP69)))</f>
        <v>0</v>
      </c>
      <c r="B69">
        <f>SUMPRODUCT((MONTH(CHOOSE({1,2,3,4},KMB!U69,KMB!AA69,KMB!AG69,KMB!AM69))=2)*(CHOOSE({1,2,3,4},KMB!X69,KMB!AD69,KMB!AJ69,KMB!AP69)))</f>
        <v>0</v>
      </c>
      <c r="C69">
        <f>SUMPRODUCT((MONTH(CHOOSE({1,2,3,4},KMB!U69,KMB!AA69,KMB!AG69,KMB!AM69))=3)*(CHOOSE({1,2,3,4},KMB!X69,KMB!AD69,KMB!AJ69,KMB!AP69)))</f>
        <v>0</v>
      </c>
      <c r="D69">
        <f>SUMPRODUCT((MONTH(CHOOSE({1,2,3,4},KMB!U69,KMB!AA69,KMB!AG69,KMB!AM69))=4)*(CHOOSE({1,2,3,4},KMB!X69,KMB!AD69,KMB!AJ69,KMB!AP69)))</f>
        <v>0</v>
      </c>
      <c r="E69">
        <f>SUMPRODUCT((MONTH(CHOOSE({1,2,3,4},KMB!U69,KMB!AA69,KMB!AG69,KMB!AM69))=5)*(CHOOSE({1,2,3,4},KMB!X69,KMB!AD69,KMB!AJ69,KMB!AP69)))</f>
        <v>0</v>
      </c>
      <c r="F69">
        <f>SUMPRODUCT((MONTH(CHOOSE({1,2,3,4},KMB!U69,KMB!AA69,KMB!AG69,KMB!AM69))=6)*(CHOOSE({1,2,3,4},KMB!X69,KMB!AD69,KMB!AJ69,KMB!AP69)))</f>
        <v>0</v>
      </c>
      <c r="G69">
        <f>SUMPRODUCT((MONTH(CHOOSE({1,2,3,4},KMB!U69,KMB!AA69,KMB!AG69,KMB!AM69))=7)*(CHOOSE({1,2,3,4},KMB!X69,KMB!AD69,KMB!AJ69,KMB!AP69)))</f>
        <v>0</v>
      </c>
      <c r="H69">
        <f>SUMPRODUCT((MONTH(CHOOSE({1,2,3,4},KMB!U69,KMB!AA69,KMB!AG69,KMB!AM69))=8)*(CHOOSE({1,2,3,4},KMB!X69,KMB!AD69,KMB!AJ69,KMB!AP69)))</f>
        <v>0</v>
      </c>
      <c r="I69">
        <f>SUMPRODUCT((MONTH(CHOOSE({1,2,3,4},KMB!U69,KMB!AA69,KMB!AG69,KMB!AM69))=9)*(CHOOSE({1,2,3,4},KMB!X69,KMB!AD69,KMB!AJ69,KMB!AP69)))</f>
        <v>0</v>
      </c>
      <c r="J69">
        <f>SUMPRODUCT((MONTH(CHOOSE({1,2,3,4},KMB!U69,KMB!AA69,KMB!AG69,KMB!AM69))=10)*(CHOOSE({1,2,3,4},KMB!X69,KMB!AD69,KMB!AJ69,KMB!AP69)))</f>
        <v>0</v>
      </c>
      <c r="K69">
        <f>SUMPRODUCT((MONTH(CHOOSE({1,2,3,4},KMB!U69,KMB!AA69,KMB!AG69,KMB!AM69))=11)*(CHOOSE({1,2,3,4},KMB!X69,KMB!AD69,KMB!AJ69,KMB!AP69)))</f>
        <v>0</v>
      </c>
      <c r="L69">
        <f>SUMPRODUCT((MONTH(CHOOSE({1,2,3,4},KMB!U69,KMB!AA69,KMB!AG69,KMB!AM69))=12)*(CHOOSE({1,2,3,4},KMB!X69,KMB!AD69,KMB!AJ69,KMB!AP69)))</f>
        <v>0</v>
      </c>
    </row>
    <row r="70" spans="1:12">
      <c r="A70">
        <f>SUMPRODUCT((MONTH(CHOOSE({1,2,3,4},KMB!U70,KMB!AA70,KMB!AG70,KMB!AM70))=1)*(CHOOSE({1,2,3,4},KMB!X70,KMB!AD70,KMB!AJ70,KMB!AP70)))</f>
        <v>0</v>
      </c>
      <c r="B70">
        <f>SUMPRODUCT((MONTH(CHOOSE({1,2,3,4},KMB!U70,KMB!AA70,KMB!AG70,KMB!AM70))=2)*(CHOOSE({1,2,3,4},KMB!X70,KMB!AD70,KMB!AJ70,KMB!AP70)))</f>
        <v>0</v>
      </c>
      <c r="C70">
        <f>SUMPRODUCT((MONTH(CHOOSE({1,2,3,4},KMB!U70,KMB!AA70,KMB!AG70,KMB!AM70))=3)*(CHOOSE({1,2,3,4},KMB!X70,KMB!AD70,KMB!AJ70,KMB!AP70)))</f>
        <v>0</v>
      </c>
      <c r="D70">
        <f>SUMPRODUCT((MONTH(CHOOSE({1,2,3,4},KMB!U70,KMB!AA70,KMB!AG70,KMB!AM70))=4)*(CHOOSE({1,2,3,4},KMB!X70,KMB!AD70,KMB!AJ70,KMB!AP70)))</f>
        <v>0</v>
      </c>
      <c r="E70">
        <f>SUMPRODUCT((MONTH(CHOOSE({1,2,3,4},KMB!U70,KMB!AA70,KMB!AG70,KMB!AM70))=5)*(CHOOSE({1,2,3,4},KMB!X70,KMB!AD70,KMB!AJ70,KMB!AP70)))</f>
        <v>0</v>
      </c>
      <c r="F70">
        <f>SUMPRODUCT((MONTH(CHOOSE({1,2,3,4},KMB!U70,KMB!AA70,KMB!AG70,KMB!AM70))=6)*(CHOOSE({1,2,3,4},KMB!X70,KMB!AD70,KMB!AJ70,KMB!AP70)))</f>
        <v>0</v>
      </c>
      <c r="G70">
        <f>SUMPRODUCT((MONTH(CHOOSE({1,2,3,4},KMB!U70,KMB!AA70,KMB!AG70,KMB!AM70))=7)*(CHOOSE({1,2,3,4},KMB!X70,KMB!AD70,KMB!AJ70,KMB!AP70)))</f>
        <v>0</v>
      </c>
      <c r="H70">
        <f>SUMPRODUCT((MONTH(CHOOSE({1,2,3,4},KMB!U70,KMB!AA70,KMB!AG70,KMB!AM70))=8)*(CHOOSE({1,2,3,4},KMB!X70,KMB!AD70,KMB!AJ70,KMB!AP70)))</f>
        <v>0</v>
      </c>
      <c r="I70">
        <f>SUMPRODUCT((MONTH(CHOOSE({1,2,3,4},KMB!U70,KMB!AA70,KMB!AG70,KMB!AM70))=9)*(CHOOSE({1,2,3,4},KMB!X70,KMB!AD70,KMB!AJ70,KMB!AP70)))</f>
        <v>0</v>
      </c>
      <c r="J70">
        <f>SUMPRODUCT((MONTH(CHOOSE({1,2,3,4},KMB!U70,KMB!AA70,KMB!AG70,KMB!AM70))=10)*(CHOOSE({1,2,3,4},KMB!X70,KMB!AD70,KMB!AJ70,KMB!AP70)))</f>
        <v>0</v>
      </c>
      <c r="K70">
        <f>SUMPRODUCT((MONTH(CHOOSE({1,2,3,4},KMB!U70,KMB!AA70,KMB!AG70,KMB!AM70))=11)*(CHOOSE({1,2,3,4},KMB!X70,KMB!AD70,KMB!AJ70,KMB!AP70)))</f>
        <v>0</v>
      </c>
      <c r="L70">
        <f>SUMPRODUCT((MONTH(CHOOSE({1,2,3,4},KMB!U70,KMB!AA70,KMB!AG70,KMB!AM70))=12)*(CHOOSE({1,2,3,4},KMB!X70,KMB!AD70,KMB!AJ70,KMB!AP70)))</f>
        <v>0</v>
      </c>
    </row>
    <row r="71" spans="1:12">
      <c r="A71">
        <f>SUMPRODUCT((MONTH(CHOOSE({1,2,3,4},KMB!U71,KMB!AA71,KMB!AG71,KMB!AM71))=1)*(CHOOSE({1,2,3,4},KMB!X71,KMB!AD71,KMB!AJ71,KMB!AP71)))</f>
        <v>0</v>
      </c>
      <c r="B71">
        <f>SUMPRODUCT((MONTH(CHOOSE({1,2,3,4},KMB!U71,KMB!AA71,KMB!AG71,KMB!AM71))=2)*(CHOOSE({1,2,3,4},KMB!X71,KMB!AD71,KMB!AJ71,KMB!AP71)))</f>
        <v>0</v>
      </c>
      <c r="C71">
        <f>SUMPRODUCT((MONTH(CHOOSE({1,2,3,4},KMB!U71,KMB!AA71,KMB!AG71,KMB!AM71))=3)*(CHOOSE({1,2,3,4},KMB!X71,KMB!AD71,KMB!AJ71,KMB!AP71)))</f>
        <v>0</v>
      </c>
      <c r="D71">
        <f>SUMPRODUCT((MONTH(CHOOSE({1,2,3,4},KMB!U71,KMB!AA71,KMB!AG71,KMB!AM71))=4)*(CHOOSE({1,2,3,4},KMB!X71,KMB!AD71,KMB!AJ71,KMB!AP71)))</f>
        <v>0</v>
      </c>
      <c r="E71">
        <f>SUMPRODUCT((MONTH(CHOOSE({1,2,3,4},KMB!U71,KMB!AA71,KMB!AG71,KMB!AM71))=5)*(CHOOSE({1,2,3,4},KMB!X71,KMB!AD71,KMB!AJ71,KMB!AP71)))</f>
        <v>0</v>
      </c>
      <c r="F71">
        <f>SUMPRODUCT((MONTH(CHOOSE({1,2,3,4},KMB!U71,KMB!AA71,KMB!AG71,KMB!AM71))=6)*(CHOOSE({1,2,3,4},KMB!X71,KMB!AD71,KMB!AJ71,KMB!AP71)))</f>
        <v>0</v>
      </c>
      <c r="G71">
        <f>SUMPRODUCT((MONTH(CHOOSE({1,2,3,4},KMB!U71,KMB!AA71,KMB!AG71,KMB!AM71))=7)*(CHOOSE({1,2,3,4},KMB!X71,KMB!AD71,KMB!AJ71,KMB!AP71)))</f>
        <v>0</v>
      </c>
      <c r="H71">
        <f>SUMPRODUCT((MONTH(CHOOSE({1,2,3,4},KMB!U71,KMB!AA71,KMB!AG71,KMB!AM71))=8)*(CHOOSE({1,2,3,4},KMB!X71,KMB!AD71,KMB!AJ71,KMB!AP71)))</f>
        <v>0</v>
      </c>
      <c r="I71">
        <f>SUMPRODUCT((MONTH(CHOOSE({1,2,3,4},KMB!U71,KMB!AA71,KMB!AG71,KMB!AM71))=9)*(CHOOSE({1,2,3,4},KMB!X71,KMB!AD71,KMB!AJ71,KMB!AP71)))</f>
        <v>0</v>
      </c>
      <c r="J71">
        <f>SUMPRODUCT((MONTH(CHOOSE({1,2,3,4},KMB!U71,KMB!AA71,KMB!AG71,KMB!AM71))=10)*(CHOOSE({1,2,3,4},KMB!X71,KMB!AD71,KMB!AJ71,KMB!AP71)))</f>
        <v>0</v>
      </c>
      <c r="K71">
        <f>SUMPRODUCT((MONTH(CHOOSE({1,2,3,4},KMB!U71,KMB!AA71,KMB!AG71,KMB!AM71))=11)*(CHOOSE({1,2,3,4},KMB!X71,KMB!AD71,KMB!AJ71,KMB!AP71)))</f>
        <v>0</v>
      </c>
      <c r="L71">
        <f>SUMPRODUCT((MONTH(CHOOSE({1,2,3,4},KMB!U71,KMB!AA71,KMB!AG71,KMB!AM71))=12)*(CHOOSE({1,2,3,4},KMB!X71,KMB!AD71,KMB!AJ71,KMB!AP71)))</f>
        <v>0</v>
      </c>
    </row>
    <row r="72" spans="1:12">
      <c r="A72">
        <f>SUMPRODUCT((MONTH(CHOOSE({1,2,3,4},KMB!U72,KMB!AA72,KMB!AG72,KMB!AM72))=1)*(CHOOSE({1,2,3,4},KMB!X72,KMB!AD72,KMB!AJ72,KMB!AP72)))</f>
        <v>0</v>
      </c>
      <c r="B72">
        <f>SUMPRODUCT((MONTH(CHOOSE({1,2,3,4},KMB!U72,KMB!AA72,KMB!AG72,KMB!AM72))=2)*(CHOOSE({1,2,3,4},KMB!X72,KMB!AD72,KMB!AJ72,KMB!AP72)))</f>
        <v>0</v>
      </c>
      <c r="C72">
        <f>SUMPRODUCT((MONTH(CHOOSE({1,2,3,4},KMB!U72,KMB!AA72,KMB!AG72,KMB!AM72))=3)*(CHOOSE({1,2,3,4},KMB!X72,KMB!AD72,KMB!AJ72,KMB!AP72)))</f>
        <v>0</v>
      </c>
      <c r="D72">
        <f>SUMPRODUCT((MONTH(CHOOSE({1,2,3,4},KMB!U72,KMB!AA72,KMB!AG72,KMB!AM72))=4)*(CHOOSE({1,2,3,4},KMB!X72,KMB!AD72,KMB!AJ72,KMB!AP72)))</f>
        <v>0</v>
      </c>
      <c r="E72">
        <f>SUMPRODUCT((MONTH(CHOOSE({1,2,3,4},KMB!U72,KMB!AA72,KMB!AG72,KMB!AM72))=5)*(CHOOSE({1,2,3,4},KMB!X72,KMB!AD72,KMB!AJ72,KMB!AP72)))</f>
        <v>0</v>
      </c>
      <c r="F72">
        <f>SUMPRODUCT((MONTH(CHOOSE({1,2,3,4},KMB!U72,KMB!AA72,KMB!AG72,KMB!AM72))=6)*(CHOOSE({1,2,3,4},KMB!X72,KMB!AD72,KMB!AJ72,KMB!AP72)))</f>
        <v>0</v>
      </c>
      <c r="G72">
        <f>SUMPRODUCT((MONTH(CHOOSE({1,2,3,4},KMB!U72,KMB!AA72,KMB!AG72,KMB!AM72))=7)*(CHOOSE({1,2,3,4},KMB!X72,KMB!AD72,KMB!AJ72,KMB!AP72)))</f>
        <v>0</v>
      </c>
      <c r="H72">
        <f>SUMPRODUCT((MONTH(CHOOSE({1,2,3,4},KMB!U72,KMB!AA72,KMB!AG72,KMB!AM72))=8)*(CHOOSE({1,2,3,4},KMB!X72,KMB!AD72,KMB!AJ72,KMB!AP72)))</f>
        <v>0</v>
      </c>
      <c r="I72">
        <f>SUMPRODUCT((MONTH(CHOOSE({1,2,3,4},KMB!U72,KMB!AA72,KMB!AG72,KMB!AM72))=9)*(CHOOSE({1,2,3,4},KMB!X72,KMB!AD72,KMB!AJ72,KMB!AP72)))</f>
        <v>0</v>
      </c>
      <c r="J72">
        <f>SUMPRODUCT((MONTH(CHOOSE({1,2,3,4},KMB!U72,KMB!AA72,KMB!AG72,KMB!AM72))=10)*(CHOOSE({1,2,3,4},KMB!X72,KMB!AD72,KMB!AJ72,KMB!AP72)))</f>
        <v>0</v>
      </c>
      <c r="K72">
        <f>SUMPRODUCT((MONTH(CHOOSE({1,2,3,4},KMB!U72,KMB!AA72,KMB!AG72,KMB!AM72))=11)*(CHOOSE({1,2,3,4},KMB!X72,KMB!AD72,KMB!AJ72,KMB!AP72)))</f>
        <v>0</v>
      </c>
      <c r="L72">
        <f>SUMPRODUCT((MONTH(CHOOSE({1,2,3,4},KMB!U72,KMB!AA72,KMB!AG72,KMB!AM72))=12)*(CHOOSE({1,2,3,4},KMB!X72,KMB!AD72,KMB!AJ72,KMB!AP72)))</f>
        <v>0</v>
      </c>
    </row>
    <row r="73" spans="1:12">
      <c r="A73">
        <f>SUMPRODUCT((MONTH(CHOOSE({1,2,3,4},KMB!U73,KMB!AA73,KMB!AG73,KMB!AM73))=1)*(CHOOSE({1,2,3,4},KMB!X73,KMB!AD73,KMB!AJ73,KMB!AP73)))</f>
        <v>0</v>
      </c>
      <c r="B73">
        <f>SUMPRODUCT((MONTH(CHOOSE({1,2,3,4},KMB!U73,KMB!AA73,KMB!AG73,KMB!AM73))=2)*(CHOOSE({1,2,3,4},KMB!X73,KMB!AD73,KMB!AJ73,KMB!AP73)))</f>
        <v>0</v>
      </c>
      <c r="C73">
        <f>SUMPRODUCT((MONTH(CHOOSE({1,2,3,4},KMB!U73,KMB!AA73,KMB!AG73,KMB!AM73))=3)*(CHOOSE({1,2,3,4},KMB!X73,KMB!AD73,KMB!AJ73,KMB!AP73)))</f>
        <v>0</v>
      </c>
      <c r="D73">
        <f>SUMPRODUCT((MONTH(CHOOSE({1,2,3,4},KMB!U73,KMB!AA73,KMB!AG73,KMB!AM73))=4)*(CHOOSE({1,2,3,4},KMB!X73,KMB!AD73,KMB!AJ73,KMB!AP73)))</f>
        <v>0</v>
      </c>
      <c r="E73">
        <f>SUMPRODUCT((MONTH(CHOOSE({1,2,3,4},KMB!U73,KMB!AA73,KMB!AG73,KMB!AM73))=5)*(CHOOSE({1,2,3,4},KMB!X73,KMB!AD73,KMB!AJ73,KMB!AP73)))</f>
        <v>0</v>
      </c>
      <c r="F73">
        <f>SUMPRODUCT((MONTH(CHOOSE({1,2,3,4},KMB!U73,KMB!AA73,KMB!AG73,KMB!AM73))=6)*(CHOOSE({1,2,3,4},KMB!X73,KMB!AD73,KMB!AJ73,KMB!AP73)))</f>
        <v>0</v>
      </c>
      <c r="G73">
        <f>SUMPRODUCT((MONTH(CHOOSE({1,2,3,4},KMB!U73,KMB!AA73,KMB!AG73,KMB!AM73))=7)*(CHOOSE({1,2,3,4},KMB!X73,KMB!AD73,KMB!AJ73,KMB!AP73)))</f>
        <v>0</v>
      </c>
      <c r="H73">
        <f>SUMPRODUCT((MONTH(CHOOSE({1,2,3,4},KMB!U73,KMB!AA73,KMB!AG73,KMB!AM73))=8)*(CHOOSE({1,2,3,4},KMB!X73,KMB!AD73,KMB!AJ73,KMB!AP73)))</f>
        <v>0</v>
      </c>
      <c r="I73">
        <f>SUMPRODUCT((MONTH(CHOOSE({1,2,3,4},KMB!U73,KMB!AA73,KMB!AG73,KMB!AM73))=9)*(CHOOSE({1,2,3,4},KMB!X73,KMB!AD73,KMB!AJ73,KMB!AP73)))</f>
        <v>0</v>
      </c>
      <c r="J73">
        <f>SUMPRODUCT((MONTH(CHOOSE({1,2,3,4},KMB!U73,KMB!AA73,KMB!AG73,KMB!AM73))=10)*(CHOOSE({1,2,3,4},KMB!X73,KMB!AD73,KMB!AJ73,KMB!AP73)))</f>
        <v>0</v>
      </c>
      <c r="K73">
        <f>SUMPRODUCT((MONTH(CHOOSE({1,2,3,4},KMB!U73,KMB!AA73,KMB!AG73,KMB!AM73))=11)*(CHOOSE({1,2,3,4},KMB!X73,KMB!AD73,KMB!AJ73,KMB!AP73)))</f>
        <v>0</v>
      </c>
      <c r="L73">
        <f>SUMPRODUCT((MONTH(CHOOSE({1,2,3,4},KMB!U73,KMB!AA73,KMB!AG73,KMB!AM73))=12)*(CHOOSE({1,2,3,4},KMB!X73,KMB!AD73,KMB!AJ73,KMB!AP73)))</f>
        <v>0</v>
      </c>
    </row>
    <row r="74" spans="1:12">
      <c r="A74">
        <f>SUMPRODUCT((MONTH(CHOOSE({1,2,3,4},KMB!U74,KMB!AA74,KMB!AG74,KMB!AM74))=1)*(CHOOSE({1,2,3,4},KMB!X74,KMB!AD74,KMB!AJ74,KMB!AP74)))</f>
        <v>0</v>
      </c>
      <c r="B74">
        <f>SUMPRODUCT((MONTH(CHOOSE({1,2,3,4},KMB!U74,KMB!AA74,KMB!AG74,KMB!AM74))=2)*(CHOOSE({1,2,3,4},KMB!X74,KMB!AD74,KMB!AJ74,KMB!AP74)))</f>
        <v>0</v>
      </c>
      <c r="C74">
        <f>SUMPRODUCT((MONTH(CHOOSE({1,2,3,4},KMB!U74,KMB!AA74,KMB!AG74,KMB!AM74))=3)*(CHOOSE({1,2,3,4},KMB!X74,KMB!AD74,KMB!AJ74,KMB!AP74)))</f>
        <v>0</v>
      </c>
      <c r="D74">
        <f>SUMPRODUCT((MONTH(CHOOSE({1,2,3,4},KMB!U74,KMB!AA74,KMB!AG74,KMB!AM74))=4)*(CHOOSE({1,2,3,4},KMB!X74,KMB!AD74,KMB!AJ74,KMB!AP74)))</f>
        <v>0</v>
      </c>
      <c r="E74">
        <f>SUMPRODUCT((MONTH(CHOOSE({1,2,3,4},KMB!U74,KMB!AA74,KMB!AG74,KMB!AM74))=5)*(CHOOSE({1,2,3,4},KMB!X74,KMB!AD74,KMB!AJ74,KMB!AP74)))</f>
        <v>0</v>
      </c>
      <c r="F74">
        <f>SUMPRODUCT((MONTH(CHOOSE({1,2,3,4},KMB!U74,KMB!AA74,KMB!AG74,KMB!AM74))=6)*(CHOOSE({1,2,3,4},KMB!X74,KMB!AD74,KMB!AJ74,KMB!AP74)))</f>
        <v>0</v>
      </c>
      <c r="G74">
        <f>SUMPRODUCT((MONTH(CHOOSE({1,2,3,4},KMB!U74,KMB!AA74,KMB!AG74,KMB!AM74))=7)*(CHOOSE({1,2,3,4},KMB!X74,KMB!AD74,KMB!AJ74,KMB!AP74)))</f>
        <v>0</v>
      </c>
      <c r="H74">
        <f>SUMPRODUCT((MONTH(CHOOSE({1,2,3,4},KMB!U74,KMB!AA74,KMB!AG74,KMB!AM74))=8)*(CHOOSE({1,2,3,4},KMB!X74,KMB!AD74,KMB!AJ74,KMB!AP74)))</f>
        <v>0</v>
      </c>
      <c r="I74">
        <f>SUMPRODUCT((MONTH(CHOOSE({1,2,3,4},KMB!U74,KMB!AA74,KMB!AG74,KMB!AM74))=9)*(CHOOSE({1,2,3,4},KMB!X74,KMB!AD74,KMB!AJ74,KMB!AP74)))</f>
        <v>0</v>
      </c>
      <c r="J74">
        <f>SUMPRODUCT((MONTH(CHOOSE({1,2,3,4},KMB!U74,KMB!AA74,KMB!AG74,KMB!AM74))=10)*(CHOOSE({1,2,3,4},KMB!X74,KMB!AD74,KMB!AJ74,KMB!AP74)))</f>
        <v>0</v>
      </c>
      <c r="K74">
        <f>SUMPRODUCT((MONTH(CHOOSE({1,2,3,4},KMB!U74,KMB!AA74,KMB!AG74,KMB!AM74))=11)*(CHOOSE({1,2,3,4},KMB!X74,KMB!AD74,KMB!AJ74,KMB!AP74)))</f>
        <v>0</v>
      </c>
      <c r="L74">
        <f>SUMPRODUCT((MONTH(CHOOSE({1,2,3,4},KMB!U74,KMB!AA74,KMB!AG74,KMB!AM74))=12)*(CHOOSE({1,2,3,4},KMB!X74,KMB!AD74,KMB!AJ74,KMB!AP74)))</f>
        <v>0</v>
      </c>
    </row>
    <row r="75" spans="1:12">
      <c r="A75">
        <f>SUMPRODUCT((MONTH(CHOOSE({1,2,3,4},KMB!U75,KMB!AA75,KMB!AG75,KMB!AM75))=1)*(CHOOSE({1,2,3,4},KMB!X75,KMB!AD75,KMB!AJ75,KMB!AP75)))</f>
        <v>0</v>
      </c>
      <c r="B75">
        <f>SUMPRODUCT((MONTH(CHOOSE({1,2,3,4},KMB!U75,KMB!AA75,KMB!AG75,KMB!AM75))=2)*(CHOOSE({1,2,3,4},KMB!X75,KMB!AD75,KMB!AJ75,KMB!AP75)))</f>
        <v>0</v>
      </c>
      <c r="C75">
        <f>SUMPRODUCT((MONTH(CHOOSE({1,2,3,4},KMB!U75,KMB!AA75,KMB!AG75,KMB!AM75))=3)*(CHOOSE({1,2,3,4},KMB!X75,KMB!AD75,KMB!AJ75,KMB!AP75)))</f>
        <v>0</v>
      </c>
      <c r="D75">
        <f>SUMPRODUCT((MONTH(CHOOSE({1,2,3,4},KMB!U75,KMB!AA75,KMB!AG75,KMB!AM75))=4)*(CHOOSE({1,2,3,4},KMB!X75,KMB!AD75,KMB!AJ75,KMB!AP75)))</f>
        <v>0</v>
      </c>
      <c r="E75">
        <f>SUMPRODUCT((MONTH(CHOOSE({1,2,3,4},KMB!U75,KMB!AA75,KMB!AG75,KMB!AM75))=5)*(CHOOSE({1,2,3,4},KMB!X75,KMB!AD75,KMB!AJ75,KMB!AP75)))</f>
        <v>0</v>
      </c>
      <c r="F75">
        <f>SUMPRODUCT((MONTH(CHOOSE({1,2,3,4},KMB!U75,KMB!AA75,KMB!AG75,KMB!AM75))=6)*(CHOOSE({1,2,3,4},KMB!X75,KMB!AD75,KMB!AJ75,KMB!AP75)))</f>
        <v>0</v>
      </c>
      <c r="G75">
        <f>SUMPRODUCT((MONTH(CHOOSE({1,2,3,4},KMB!U75,KMB!AA75,KMB!AG75,KMB!AM75))=7)*(CHOOSE({1,2,3,4},KMB!X75,KMB!AD75,KMB!AJ75,KMB!AP75)))</f>
        <v>0</v>
      </c>
      <c r="H75">
        <f>SUMPRODUCT((MONTH(CHOOSE({1,2,3,4},KMB!U75,KMB!AA75,KMB!AG75,KMB!AM75))=8)*(CHOOSE({1,2,3,4},KMB!X75,KMB!AD75,KMB!AJ75,KMB!AP75)))</f>
        <v>0</v>
      </c>
      <c r="I75">
        <f>SUMPRODUCT((MONTH(CHOOSE({1,2,3,4},KMB!U75,KMB!AA75,KMB!AG75,KMB!AM75))=9)*(CHOOSE({1,2,3,4},KMB!X75,KMB!AD75,KMB!AJ75,KMB!AP75)))</f>
        <v>0</v>
      </c>
      <c r="J75">
        <f>SUMPRODUCT((MONTH(CHOOSE({1,2,3,4},KMB!U75,KMB!AA75,KMB!AG75,KMB!AM75))=10)*(CHOOSE({1,2,3,4},KMB!X75,KMB!AD75,KMB!AJ75,KMB!AP75)))</f>
        <v>0</v>
      </c>
      <c r="K75">
        <f>SUMPRODUCT((MONTH(CHOOSE({1,2,3,4},KMB!U75,KMB!AA75,KMB!AG75,KMB!AM75))=11)*(CHOOSE({1,2,3,4},KMB!X75,KMB!AD75,KMB!AJ75,KMB!AP75)))</f>
        <v>0</v>
      </c>
      <c r="L75">
        <f>SUMPRODUCT((MONTH(CHOOSE({1,2,3,4},KMB!U75,KMB!AA75,KMB!AG75,KMB!AM75))=12)*(CHOOSE({1,2,3,4},KMB!X75,KMB!AD75,KMB!AJ75,KMB!AP75)))</f>
        <v>0</v>
      </c>
    </row>
    <row r="76" spans="1:12">
      <c r="A76">
        <f>SUMPRODUCT((MONTH(CHOOSE({1,2,3,4},KMB!U76,KMB!AA76,KMB!AG76,KMB!AM76))=1)*(CHOOSE({1,2,3,4},KMB!X76,KMB!AD76,KMB!AJ76,KMB!AP76)))</f>
        <v>0</v>
      </c>
      <c r="B76">
        <f>SUMPRODUCT((MONTH(CHOOSE({1,2,3,4},KMB!U76,KMB!AA76,KMB!AG76,KMB!AM76))=2)*(CHOOSE({1,2,3,4},KMB!X76,KMB!AD76,KMB!AJ76,KMB!AP76)))</f>
        <v>0</v>
      </c>
      <c r="C76">
        <f>SUMPRODUCT((MONTH(CHOOSE({1,2,3,4},KMB!U76,KMB!AA76,KMB!AG76,KMB!AM76))=3)*(CHOOSE({1,2,3,4},KMB!X76,KMB!AD76,KMB!AJ76,KMB!AP76)))</f>
        <v>0</v>
      </c>
      <c r="D76">
        <f>SUMPRODUCT((MONTH(CHOOSE({1,2,3,4},KMB!U76,KMB!AA76,KMB!AG76,KMB!AM76))=4)*(CHOOSE({1,2,3,4},KMB!X76,KMB!AD76,KMB!AJ76,KMB!AP76)))</f>
        <v>0</v>
      </c>
      <c r="E76">
        <f>SUMPRODUCT((MONTH(CHOOSE({1,2,3,4},KMB!U76,KMB!AA76,KMB!AG76,KMB!AM76))=5)*(CHOOSE({1,2,3,4},KMB!X76,KMB!AD76,KMB!AJ76,KMB!AP76)))</f>
        <v>0</v>
      </c>
      <c r="F76">
        <f>SUMPRODUCT((MONTH(CHOOSE({1,2,3,4},KMB!U76,KMB!AA76,KMB!AG76,KMB!AM76))=6)*(CHOOSE({1,2,3,4},KMB!X76,KMB!AD76,KMB!AJ76,KMB!AP76)))</f>
        <v>0</v>
      </c>
      <c r="G76">
        <f>SUMPRODUCT((MONTH(CHOOSE({1,2,3,4},KMB!U76,KMB!AA76,KMB!AG76,KMB!AM76))=7)*(CHOOSE({1,2,3,4},KMB!X76,KMB!AD76,KMB!AJ76,KMB!AP76)))</f>
        <v>0</v>
      </c>
      <c r="H76">
        <f>SUMPRODUCT((MONTH(CHOOSE({1,2,3,4},KMB!U76,KMB!AA76,KMB!AG76,KMB!AM76))=8)*(CHOOSE({1,2,3,4},KMB!X76,KMB!AD76,KMB!AJ76,KMB!AP76)))</f>
        <v>0</v>
      </c>
      <c r="I76">
        <f>SUMPRODUCT((MONTH(CHOOSE({1,2,3,4},KMB!U76,KMB!AA76,KMB!AG76,KMB!AM76))=9)*(CHOOSE({1,2,3,4},KMB!X76,KMB!AD76,KMB!AJ76,KMB!AP76)))</f>
        <v>0</v>
      </c>
      <c r="J76">
        <f>SUMPRODUCT((MONTH(CHOOSE({1,2,3,4},KMB!U76,KMB!AA76,KMB!AG76,KMB!AM76))=10)*(CHOOSE({1,2,3,4},KMB!X76,KMB!AD76,KMB!AJ76,KMB!AP76)))</f>
        <v>0</v>
      </c>
      <c r="K76">
        <f>SUMPRODUCT((MONTH(CHOOSE({1,2,3,4},KMB!U76,KMB!AA76,KMB!AG76,KMB!AM76))=11)*(CHOOSE({1,2,3,4},KMB!X76,KMB!AD76,KMB!AJ76,KMB!AP76)))</f>
        <v>0</v>
      </c>
      <c r="L76">
        <f>SUMPRODUCT((MONTH(CHOOSE({1,2,3,4},KMB!U76,KMB!AA76,KMB!AG76,KMB!AM76))=12)*(CHOOSE({1,2,3,4},KMB!X76,KMB!AD76,KMB!AJ76,KMB!AP76)))</f>
        <v>0</v>
      </c>
    </row>
    <row r="77" spans="1:12">
      <c r="A77">
        <f>SUMPRODUCT((MONTH(CHOOSE({1,2,3,4},KMB!U77,KMB!AA77,KMB!AG77,KMB!AM77))=1)*(CHOOSE({1,2,3,4},KMB!X77,KMB!AD77,KMB!AJ77,KMB!AP77)))</f>
        <v>0</v>
      </c>
      <c r="B77">
        <f>SUMPRODUCT((MONTH(CHOOSE({1,2,3,4},KMB!U77,KMB!AA77,KMB!AG77,KMB!AM77))=2)*(CHOOSE({1,2,3,4},KMB!X77,KMB!AD77,KMB!AJ77,KMB!AP77)))</f>
        <v>0</v>
      </c>
      <c r="C77">
        <f>SUMPRODUCT((MONTH(CHOOSE({1,2,3,4},KMB!U77,KMB!AA77,KMB!AG77,KMB!AM77))=3)*(CHOOSE({1,2,3,4},KMB!X77,KMB!AD77,KMB!AJ77,KMB!AP77)))</f>
        <v>0</v>
      </c>
      <c r="D77">
        <f>SUMPRODUCT((MONTH(CHOOSE({1,2,3,4},KMB!U77,KMB!AA77,KMB!AG77,KMB!AM77))=4)*(CHOOSE({1,2,3,4},KMB!X77,KMB!AD77,KMB!AJ77,KMB!AP77)))</f>
        <v>0</v>
      </c>
      <c r="E77">
        <f>SUMPRODUCT((MONTH(CHOOSE({1,2,3,4},KMB!U77,KMB!AA77,KMB!AG77,KMB!AM77))=5)*(CHOOSE({1,2,3,4},KMB!X77,KMB!AD77,KMB!AJ77,KMB!AP77)))</f>
        <v>0</v>
      </c>
      <c r="F77">
        <f>SUMPRODUCT((MONTH(CHOOSE({1,2,3,4},KMB!U77,KMB!AA77,KMB!AG77,KMB!AM77))=6)*(CHOOSE({1,2,3,4},KMB!X77,KMB!AD77,KMB!AJ77,KMB!AP77)))</f>
        <v>0</v>
      </c>
      <c r="G77">
        <f>SUMPRODUCT((MONTH(CHOOSE({1,2,3,4},KMB!U77,KMB!AA77,KMB!AG77,KMB!AM77))=7)*(CHOOSE({1,2,3,4},KMB!X77,KMB!AD77,KMB!AJ77,KMB!AP77)))</f>
        <v>0</v>
      </c>
      <c r="H77">
        <f>SUMPRODUCT((MONTH(CHOOSE({1,2,3,4},KMB!U77,KMB!AA77,KMB!AG77,KMB!AM77))=8)*(CHOOSE({1,2,3,4},KMB!X77,KMB!AD77,KMB!AJ77,KMB!AP77)))</f>
        <v>0</v>
      </c>
      <c r="I77">
        <f>SUMPRODUCT((MONTH(CHOOSE({1,2,3,4},KMB!U77,KMB!AA77,KMB!AG77,KMB!AM77))=9)*(CHOOSE({1,2,3,4},KMB!X77,KMB!AD77,KMB!AJ77,KMB!AP77)))</f>
        <v>0</v>
      </c>
      <c r="J77">
        <f>SUMPRODUCT((MONTH(CHOOSE({1,2,3,4},KMB!U77,KMB!AA77,KMB!AG77,KMB!AM77))=10)*(CHOOSE({1,2,3,4},KMB!X77,KMB!AD77,KMB!AJ77,KMB!AP77)))</f>
        <v>0</v>
      </c>
      <c r="K77">
        <f>SUMPRODUCT((MONTH(CHOOSE({1,2,3,4},KMB!U77,KMB!AA77,KMB!AG77,KMB!AM77))=11)*(CHOOSE({1,2,3,4},KMB!X77,KMB!AD77,KMB!AJ77,KMB!AP77)))</f>
        <v>0</v>
      </c>
      <c r="L77">
        <f>SUMPRODUCT((MONTH(CHOOSE({1,2,3,4},KMB!U77,KMB!AA77,KMB!AG77,KMB!AM77))=12)*(CHOOSE({1,2,3,4},KMB!X77,KMB!AD77,KMB!AJ77,KMB!AP77)))</f>
        <v>0</v>
      </c>
    </row>
    <row r="78" spans="1:12">
      <c r="A78">
        <f>SUMPRODUCT((MONTH(CHOOSE({1,2,3,4},KMB!U78,KMB!AA78,KMB!AG78,KMB!AM78))=1)*(CHOOSE({1,2,3,4},KMB!X78,KMB!AD78,KMB!AJ78,KMB!AP78)))</f>
        <v>0</v>
      </c>
      <c r="B78">
        <f>SUMPRODUCT((MONTH(CHOOSE({1,2,3,4},KMB!U78,KMB!AA78,KMB!AG78,KMB!AM78))=2)*(CHOOSE({1,2,3,4},KMB!X78,KMB!AD78,KMB!AJ78,KMB!AP78)))</f>
        <v>0</v>
      </c>
      <c r="C78">
        <f>SUMPRODUCT((MONTH(CHOOSE({1,2,3,4},KMB!U78,KMB!AA78,KMB!AG78,KMB!AM78))=3)*(CHOOSE({1,2,3,4},KMB!X78,KMB!AD78,KMB!AJ78,KMB!AP78)))</f>
        <v>0</v>
      </c>
      <c r="D78">
        <f>SUMPRODUCT((MONTH(CHOOSE({1,2,3,4},KMB!U78,KMB!AA78,KMB!AG78,KMB!AM78))=4)*(CHOOSE({1,2,3,4},KMB!X78,KMB!AD78,KMB!AJ78,KMB!AP78)))</f>
        <v>0</v>
      </c>
      <c r="E78">
        <f>SUMPRODUCT((MONTH(CHOOSE({1,2,3,4},KMB!U78,KMB!AA78,KMB!AG78,KMB!AM78))=5)*(CHOOSE({1,2,3,4},KMB!X78,KMB!AD78,KMB!AJ78,KMB!AP78)))</f>
        <v>0</v>
      </c>
      <c r="F78">
        <f>SUMPRODUCT((MONTH(CHOOSE({1,2,3,4},KMB!U78,KMB!AA78,KMB!AG78,KMB!AM78))=6)*(CHOOSE({1,2,3,4},KMB!X78,KMB!AD78,KMB!AJ78,KMB!AP78)))</f>
        <v>0</v>
      </c>
      <c r="G78">
        <f>SUMPRODUCT((MONTH(CHOOSE({1,2,3,4},KMB!U78,KMB!AA78,KMB!AG78,KMB!AM78))=7)*(CHOOSE({1,2,3,4},KMB!X78,KMB!AD78,KMB!AJ78,KMB!AP78)))</f>
        <v>0</v>
      </c>
      <c r="H78">
        <f>SUMPRODUCT((MONTH(CHOOSE({1,2,3,4},KMB!U78,KMB!AA78,KMB!AG78,KMB!AM78))=8)*(CHOOSE({1,2,3,4},KMB!X78,KMB!AD78,KMB!AJ78,KMB!AP78)))</f>
        <v>0</v>
      </c>
      <c r="I78">
        <f>SUMPRODUCT((MONTH(CHOOSE({1,2,3,4},KMB!U78,KMB!AA78,KMB!AG78,KMB!AM78))=9)*(CHOOSE({1,2,3,4},KMB!X78,KMB!AD78,KMB!AJ78,KMB!AP78)))</f>
        <v>0</v>
      </c>
      <c r="J78">
        <f>SUMPRODUCT((MONTH(CHOOSE({1,2,3,4},KMB!U78,KMB!AA78,KMB!AG78,KMB!AM78))=10)*(CHOOSE({1,2,3,4},KMB!X78,KMB!AD78,KMB!AJ78,KMB!AP78)))</f>
        <v>0</v>
      </c>
      <c r="K78">
        <f>SUMPRODUCT((MONTH(CHOOSE({1,2,3,4},KMB!U78,KMB!AA78,KMB!AG78,KMB!AM78))=11)*(CHOOSE({1,2,3,4},KMB!X78,KMB!AD78,KMB!AJ78,KMB!AP78)))</f>
        <v>0</v>
      </c>
      <c r="L78">
        <f>SUMPRODUCT((MONTH(CHOOSE({1,2,3,4},KMB!U78,KMB!AA78,KMB!AG78,KMB!AM78))=12)*(CHOOSE({1,2,3,4},KMB!X78,KMB!AD78,KMB!AJ78,KMB!AP78)))</f>
        <v>0</v>
      </c>
    </row>
    <row r="79" spans="1:12">
      <c r="A79">
        <f>SUMPRODUCT((MONTH(CHOOSE({1,2,3,4},KMB!U79,KMB!AA79,KMB!AG79,KMB!AM79))=1)*(CHOOSE({1,2,3,4},KMB!X79,KMB!AD79,KMB!AJ79,KMB!AP79)))</f>
        <v>0</v>
      </c>
      <c r="B79">
        <f>SUMPRODUCT((MONTH(CHOOSE({1,2,3,4},KMB!U79,KMB!AA79,KMB!AG79,KMB!AM79))=2)*(CHOOSE({1,2,3,4},KMB!X79,KMB!AD79,KMB!AJ79,KMB!AP79)))</f>
        <v>0</v>
      </c>
      <c r="C79">
        <f>SUMPRODUCT((MONTH(CHOOSE({1,2,3,4},KMB!U79,KMB!AA79,KMB!AG79,KMB!AM79))=3)*(CHOOSE({1,2,3,4},KMB!X79,KMB!AD79,KMB!AJ79,KMB!AP79)))</f>
        <v>0</v>
      </c>
      <c r="D79">
        <f>SUMPRODUCT((MONTH(CHOOSE({1,2,3,4},KMB!U79,KMB!AA79,KMB!AG79,KMB!AM79))=4)*(CHOOSE({1,2,3,4},KMB!X79,KMB!AD79,KMB!AJ79,KMB!AP79)))</f>
        <v>0</v>
      </c>
      <c r="E79">
        <f>SUMPRODUCT((MONTH(CHOOSE({1,2,3,4},KMB!U79,KMB!AA79,KMB!AG79,KMB!AM79))=5)*(CHOOSE({1,2,3,4},KMB!X79,KMB!AD79,KMB!AJ79,KMB!AP79)))</f>
        <v>0</v>
      </c>
      <c r="F79">
        <f>SUMPRODUCT((MONTH(CHOOSE({1,2,3,4},KMB!U79,KMB!AA79,KMB!AG79,KMB!AM79))=6)*(CHOOSE({1,2,3,4},KMB!X79,KMB!AD79,KMB!AJ79,KMB!AP79)))</f>
        <v>0</v>
      </c>
      <c r="G79">
        <f>SUMPRODUCT((MONTH(CHOOSE({1,2,3,4},KMB!U79,KMB!AA79,KMB!AG79,KMB!AM79))=7)*(CHOOSE({1,2,3,4},KMB!X79,KMB!AD79,KMB!AJ79,KMB!AP79)))</f>
        <v>0</v>
      </c>
      <c r="H79">
        <f>SUMPRODUCT((MONTH(CHOOSE({1,2,3,4},KMB!U79,KMB!AA79,KMB!AG79,KMB!AM79))=8)*(CHOOSE({1,2,3,4},KMB!X79,KMB!AD79,KMB!AJ79,KMB!AP79)))</f>
        <v>0</v>
      </c>
      <c r="I79">
        <f>SUMPRODUCT((MONTH(CHOOSE({1,2,3,4},KMB!U79,KMB!AA79,KMB!AG79,KMB!AM79))=9)*(CHOOSE({1,2,3,4},KMB!X79,KMB!AD79,KMB!AJ79,KMB!AP79)))</f>
        <v>0</v>
      </c>
      <c r="J79">
        <f>SUMPRODUCT((MONTH(CHOOSE({1,2,3,4},KMB!U79,KMB!AA79,KMB!AG79,KMB!AM79))=10)*(CHOOSE({1,2,3,4},KMB!X79,KMB!AD79,KMB!AJ79,KMB!AP79)))</f>
        <v>0</v>
      </c>
      <c r="K79">
        <f>SUMPRODUCT((MONTH(CHOOSE({1,2,3,4},KMB!U79,KMB!AA79,KMB!AG79,KMB!AM79))=11)*(CHOOSE({1,2,3,4},KMB!X79,KMB!AD79,KMB!AJ79,KMB!AP79)))</f>
        <v>0</v>
      </c>
      <c r="L79">
        <f>SUMPRODUCT((MONTH(CHOOSE({1,2,3,4},KMB!U79,KMB!AA79,KMB!AG79,KMB!AM79))=12)*(CHOOSE({1,2,3,4},KMB!X79,KMB!AD79,KMB!AJ79,KMB!AP79)))</f>
        <v>0</v>
      </c>
    </row>
    <row r="80" spans="1:12">
      <c r="A80">
        <f>SUMPRODUCT((MONTH(CHOOSE({1,2,3,4},KMB!U80,KMB!AA80,KMB!AG80,KMB!AM80))=1)*(CHOOSE({1,2,3,4},KMB!X80,KMB!AD80,KMB!AJ80,KMB!AP80)))</f>
        <v>0</v>
      </c>
      <c r="B80">
        <f>SUMPRODUCT((MONTH(CHOOSE({1,2,3,4},KMB!U80,KMB!AA80,KMB!AG80,KMB!AM80))=2)*(CHOOSE({1,2,3,4},KMB!X80,KMB!AD80,KMB!AJ80,KMB!AP80)))</f>
        <v>0</v>
      </c>
      <c r="C80">
        <f>SUMPRODUCT((MONTH(CHOOSE({1,2,3,4},KMB!U80,KMB!AA80,KMB!AG80,KMB!AM80))=3)*(CHOOSE({1,2,3,4},KMB!X80,KMB!AD80,KMB!AJ80,KMB!AP80)))</f>
        <v>0</v>
      </c>
      <c r="D80">
        <f>SUMPRODUCT((MONTH(CHOOSE({1,2,3,4},KMB!U80,KMB!AA80,KMB!AG80,KMB!AM80))=4)*(CHOOSE({1,2,3,4},KMB!X80,KMB!AD80,KMB!AJ80,KMB!AP80)))</f>
        <v>0</v>
      </c>
      <c r="E80">
        <f>SUMPRODUCT((MONTH(CHOOSE({1,2,3,4},KMB!U80,KMB!AA80,KMB!AG80,KMB!AM80))=5)*(CHOOSE({1,2,3,4},KMB!X80,KMB!AD80,KMB!AJ80,KMB!AP80)))</f>
        <v>0</v>
      </c>
      <c r="F80">
        <f>SUMPRODUCT((MONTH(CHOOSE({1,2,3,4},KMB!U80,KMB!AA80,KMB!AG80,KMB!AM80))=6)*(CHOOSE({1,2,3,4},KMB!X80,KMB!AD80,KMB!AJ80,KMB!AP80)))</f>
        <v>0</v>
      </c>
      <c r="G80">
        <f>SUMPRODUCT((MONTH(CHOOSE({1,2,3,4},KMB!U80,KMB!AA80,KMB!AG80,KMB!AM80))=7)*(CHOOSE({1,2,3,4},KMB!X80,KMB!AD80,KMB!AJ80,KMB!AP80)))</f>
        <v>0</v>
      </c>
      <c r="H80">
        <f>SUMPRODUCT((MONTH(CHOOSE({1,2,3,4},KMB!U80,KMB!AA80,KMB!AG80,KMB!AM80))=8)*(CHOOSE({1,2,3,4},KMB!X80,KMB!AD80,KMB!AJ80,KMB!AP80)))</f>
        <v>0</v>
      </c>
      <c r="I80">
        <f>SUMPRODUCT((MONTH(CHOOSE({1,2,3,4},KMB!U80,KMB!AA80,KMB!AG80,KMB!AM80))=9)*(CHOOSE({1,2,3,4},KMB!X80,KMB!AD80,KMB!AJ80,KMB!AP80)))</f>
        <v>0</v>
      </c>
      <c r="J80">
        <f>SUMPRODUCT((MONTH(CHOOSE({1,2,3,4},KMB!U80,KMB!AA80,KMB!AG80,KMB!AM80))=10)*(CHOOSE({1,2,3,4},KMB!X80,KMB!AD80,KMB!AJ80,KMB!AP80)))</f>
        <v>0</v>
      </c>
      <c r="K80">
        <f>SUMPRODUCT((MONTH(CHOOSE({1,2,3,4},KMB!U80,KMB!AA80,KMB!AG80,KMB!AM80))=11)*(CHOOSE({1,2,3,4},KMB!X80,KMB!AD80,KMB!AJ80,KMB!AP80)))</f>
        <v>0</v>
      </c>
      <c r="L80">
        <f>SUMPRODUCT((MONTH(CHOOSE({1,2,3,4},KMB!U80,KMB!AA80,KMB!AG80,KMB!AM80))=12)*(CHOOSE({1,2,3,4},KMB!X80,KMB!AD80,KMB!AJ80,KMB!AP80)))</f>
        <v>0</v>
      </c>
    </row>
    <row r="81" spans="1:12">
      <c r="A81">
        <f>SUMPRODUCT((MONTH(CHOOSE({1,2,3,4},KMB!U81,KMB!AA81,KMB!AG81,KMB!AM81))=1)*(CHOOSE({1,2,3,4},KMB!X81,KMB!AD81,KMB!AJ81,KMB!AP81)))</f>
        <v>0</v>
      </c>
      <c r="B81">
        <f>SUMPRODUCT((MONTH(CHOOSE({1,2,3,4},KMB!U81,KMB!AA81,KMB!AG81,KMB!AM81))=2)*(CHOOSE({1,2,3,4},KMB!X81,KMB!AD81,KMB!AJ81,KMB!AP81)))</f>
        <v>0</v>
      </c>
      <c r="C81">
        <f>SUMPRODUCT((MONTH(CHOOSE({1,2,3,4},KMB!U81,KMB!AA81,KMB!AG81,KMB!AM81))=3)*(CHOOSE({1,2,3,4},KMB!X81,KMB!AD81,KMB!AJ81,KMB!AP81)))</f>
        <v>0</v>
      </c>
      <c r="D81">
        <f>SUMPRODUCT((MONTH(CHOOSE({1,2,3,4},KMB!U81,KMB!AA81,KMB!AG81,KMB!AM81))=4)*(CHOOSE({1,2,3,4},KMB!X81,KMB!AD81,KMB!AJ81,KMB!AP81)))</f>
        <v>0</v>
      </c>
      <c r="E81">
        <f>SUMPRODUCT((MONTH(CHOOSE({1,2,3,4},KMB!U81,KMB!AA81,KMB!AG81,KMB!AM81))=5)*(CHOOSE({1,2,3,4},KMB!X81,KMB!AD81,KMB!AJ81,KMB!AP81)))</f>
        <v>0</v>
      </c>
      <c r="F81">
        <f>SUMPRODUCT((MONTH(CHOOSE({1,2,3,4},KMB!U81,KMB!AA81,KMB!AG81,KMB!AM81))=6)*(CHOOSE({1,2,3,4},KMB!X81,KMB!AD81,KMB!AJ81,KMB!AP81)))</f>
        <v>0</v>
      </c>
      <c r="G81">
        <f>SUMPRODUCT((MONTH(CHOOSE({1,2,3,4},KMB!U81,KMB!AA81,KMB!AG81,KMB!AM81))=7)*(CHOOSE({1,2,3,4},KMB!X81,KMB!AD81,KMB!AJ81,KMB!AP81)))</f>
        <v>0</v>
      </c>
      <c r="H81">
        <f>SUMPRODUCT((MONTH(CHOOSE({1,2,3,4},KMB!U81,KMB!AA81,KMB!AG81,KMB!AM81))=8)*(CHOOSE({1,2,3,4},KMB!X81,KMB!AD81,KMB!AJ81,KMB!AP81)))</f>
        <v>0</v>
      </c>
      <c r="I81">
        <f>SUMPRODUCT((MONTH(CHOOSE({1,2,3,4},KMB!U81,KMB!AA81,KMB!AG81,KMB!AM81))=9)*(CHOOSE({1,2,3,4},KMB!X81,KMB!AD81,KMB!AJ81,KMB!AP81)))</f>
        <v>0</v>
      </c>
      <c r="J81">
        <f>SUMPRODUCT((MONTH(CHOOSE({1,2,3,4},KMB!U81,KMB!AA81,KMB!AG81,KMB!AM81))=10)*(CHOOSE({1,2,3,4},KMB!X81,KMB!AD81,KMB!AJ81,KMB!AP81)))</f>
        <v>0</v>
      </c>
      <c r="K81">
        <f>SUMPRODUCT((MONTH(CHOOSE({1,2,3,4},KMB!U81,KMB!AA81,KMB!AG81,KMB!AM81))=11)*(CHOOSE({1,2,3,4},KMB!X81,KMB!AD81,KMB!AJ81,KMB!AP81)))</f>
        <v>0</v>
      </c>
      <c r="L81">
        <f>SUMPRODUCT((MONTH(CHOOSE({1,2,3,4},KMB!U81,KMB!AA81,KMB!AG81,KMB!AM81))=12)*(CHOOSE({1,2,3,4},KMB!X81,KMB!AD81,KMB!AJ81,KMB!AP81)))</f>
        <v>0</v>
      </c>
    </row>
    <row r="82" spans="1:12">
      <c r="A82">
        <f>SUMPRODUCT((MONTH(CHOOSE({1,2,3,4},KMB!U82,KMB!AA82,KMB!AG82,KMB!AM82))=1)*(CHOOSE({1,2,3,4},KMB!X82,KMB!AD82,KMB!AJ82,KMB!AP82)))</f>
        <v>0</v>
      </c>
      <c r="B82">
        <f>SUMPRODUCT((MONTH(CHOOSE({1,2,3,4},KMB!U82,KMB!AA82,KMB!AG82,KMB!AM82))=2)*(CHOOSE({1,2,3,4},KMB!X82,KMB!AD82,KMB!AJ82,KMB!AP82)))</f>
        <v>0</v>
      </c>
      <c r="C82">
        <f>SUMPRODUCT((MONTH(CHOOSE({1,2,3,4},KMB!U82,KMB!AA82,KMB!AG82,KMB!AM82))=3)*(CHOOSE({1,2,3,4},KMB!X82,KMB!AD82,KMB!AJ82,KMB!AP82)))</f>
        <v>0</v>
      </c>
      <c r="D82">
        <f>SUMPRODUCT((MONTH(CHOOSE({1,2,3,4},KMB!U82,KMB!AA82,KMB!AG82,KMB!AM82))=4)*(CHOOSE({1,2,3,4},KMB!X82,KMB!AD82,KMB!AJ82,KMB!AP82)))</f>
        <v>0</v>
      </c>
      <c r="E82">
        <f>SUMPRODUCT((MONTH(CHOOSE({1,2,3,4},KMB!U82,KMB!AA82,KMB!AG82,KMB!AM82))=5)*(CHOOSE({1,2,3,4},KMB!X82,KMB!AD82,KMB!AJ82,KMB!AP82)))</f>
        <v>0</v>
      </c>
      <c r="F82">
        <f>SUMPRODUCT((MONTH(CHOOSE({1,2,3,4},KMB!U82,KMB!AA82,KMB!AG82,KMB!AM82))=6)*(CHOOSE({1,2,3,4},KMB!X82,KMB!AD82,KMB!AJ82,KMB!AP82)))</f>
        <v>0</v>
      </c>
      <c r="G82">
        <f>SUMPRODUCT((MONTH(CHOOSE({1,2,3,4},KMB!U82,KMB!AA82,KMB!AG82,KMB!AM82))=7)*(CHOOSE({1,2,3,4},KMB!X82,KMB!AD82,KMB!AJ82,KMB!AP82)))</f>
        <v>0</v>
      </c>
      <c r="H82">
        <f>SUMPRODUCT((MONTH(CHOOSE({1,2,3,4},KMB!U82,KMB!AA82,KMB!AG82,KMB!AM82))=8)*(CHOOSE({1,2,3,4},KMB!X82,KMB!AD82,KMB!AJ82,KMB!AP82)))</f>
        <v>0</v>
      </c>
      <c r="I82">
        <f>SUMPRODUCT((MONTH(CHOOSE({1,2,3,4},KMB!U82,KMB!AA82,KMB!AG82,KMB!AM82))=9)*(CHOOSE({1,2,3,4},KMB!X82,KMB!AD82,KMB!AJ82,KMB!AP82)))</f>
        <v>0</v>
      </c>
      <c r="J82">
        <f>SUMPRODUCT((MONTH(CHOOSE({1,2,3,4},KMB!U82,KMB!AA82,KMB!AG82,KMB!AM82))=10)*(CHOOSE({1,2,3,4},KMB!X82,KMB!AD82,KMB!AJ82,KMB!AP82)))</f>
        <v>0</v>
      </c>
      <c r="K82">
        <f>SUMPRODUCT((MONTH(CHOOSE({1,2,3,4},KMB!U82,KMB!AA82,KMB!AG82,KMB!AM82))=11)*(CHOOSE({1,2,3,4},KMB!X82,KMB!AD82,KMB!AJ82,KMB!AP82)))</f>
        <v>0</v>
      </c>
      <c r="L82">
        <f>SUMPRODUCT((MONTH(CHOOSE({1,2,3,4},KMB!U82,KMB!AA82,KMB!AG82,KMB!AM82))=12)*(CHOOSE({1,2,3,4},KMB!X82,KMB!AD82,KMB!AJ82,KMB!AP82)))</f>
        <v>0</v>
      </c>
    </row>
    <row r="83" spans="1:12">
      <c r="A83">
        <f>SUMPRODUCT((MONTH(CHOOSE({1,2,3,4},KMB!U83,KMB!AA83,KMB!AG83,KMB!AM83))=1)*(CHOOSE({1,2,3,4},KMB!X83,KMB!AD83,KMB!AJ83,KMB!AP83)))</f>
        <v>0</v>
      </c>
      <c r="B83">
        <f>SUMPRODUCT((MONTH(CHOOSE({1,2,3,4},KMB!U83,KMB!AA83,KMB!AG83,KMB!AM83))=2)*(CHOOSE({1,2,3,4},KMB!X83,KMB!AD83,KMB!AJ83,KMB!AP83)))</f>
        <v>0</v>
      </c>
      <c r="C83">
        <f>SUMPRODUCT((MONTH(CHOOSE({1,2,3,4},KMB!U83,KMB!AA83,KMB!AG83,KMB!AM83))=3)*(CHOOSE({1,2,3,4},KMB!X83,KMB!AD83,KMB!AJ83,KMB!AP83)))</f>
        <v>0</v>
      </c>
      <c r="D83">
        <f>SUMPRODUCT((MONTH(CHOOSE({1,2,3,4},KMB!U83,KMB!AA83,KMB!AG83,KMB!AM83))=4)*(CHOOSE({1,2,3,4},KMB!X83,KMB!AD83,KMB!AJ83,KMB!AP83)))</f>
        <v>0</v>
      </c>
      <c r="E83">
        <f>SUMPRODUCT((MONTH(CHOOSE({1,2,3,4},KMB!U83,KMB!AA83,KMB!AG83,KMB!AM83))=5)*(CHOOSE({1,2,3,4},KMB!X83,KMB!AD83,KMB!AJ83,KMB!AP83)))</f>
        <v>0</v>
      </c>
      <c r="F83">
        <f>SUMPRODUCT((MONTH(CHOOSE({1,2,3,4},KMB!U83,KMB!AA83,KMB!AG83,KMB!AM83))=6)*(CHOOSE({1,2,3,4},KMB!X83,KMB!AD83,KMB!AJ83,KMB!AP83)))</f>
        <v>0</v>
      </c>
      <c r="G83">
        <f>SUMPRODUCT((MONTH(CHOOSE({1,2,3,4},KMB!U83,KMB!AA83,KMB!AG83,KMB!AM83))=7)*(CHOOSE({1,2,3,4},KMB!X83,KMB!AD83,KMB!AJ83,KMB!AP83)))</f>
        <v>0</v>
      </c>
      <c r="H83">
        <f>SUMPRODUCT((MONTH(CHOOSE({1,2,3,4},KMB!U83,KMB!AA83,KMB!AG83,KMB!AM83))=8)*(CHOOSE({1,2,3,4},KMB!X83,KMB!AD83,KMB!AJ83,KMB!AP83)))</f>
        <v>0</v>
      </c>
      <c r="I83">
        <f>SUMPRODUCT((MONTH(CHOOSE({1,2,3,4},KMB!U83,KMB!AA83,KMB!AG83,KMB!AM83))=9)*(CHOOSE({1,2,3,4},KMB!X83,KMB!AD83,KMB!AJ83,KMB!AP83)))</f>
        <v>0</v>
      </c>
      <c r="J83">
        <f>SUMPRODUCT((MONTH(CHOOSE({1,2,3,4},KMB!U83,KMB!AA83,KMB!AG83,KMB!AM83))=10)*(CHOOSE({1,2,3,4},KMB!X83,KMB!AD83,KMB!AJ83,KMB!AP83)))</f>
        <v>0</v>
      </c>
      <c r="K83">
        <f>SUMPRODUCT((MONTH(CHOOSE({1,2,3,4},KMB!U83,KMB!AA83,KMB!AG83,KMB!AM83))=11)*(CHOOSE({1,2,3,4},KMB!X83,KMB!AD83,KMB!AJ83,KMB!AP83)))</f>
        <v>0</v>
      </c>
      <c r="L83">
        <f>SUMPRODUCT((MONTH(CHOOSE({1,2,3,4},KMB!U83,KMB!AA83,KMB!AG83,KMB!AM83))=12)*(CHOOSE({1,2,3,4},KMB!X83,KMB!AD83,KMB!AJ83,KMB!AP83)))</f>
        <v>0</v>
      </c>
    </row>
    <row r="84" spans="1:12">
      <c r="A84">
        <f>SUMPRODUCT((MONTH(CHOOSE({1,2,3,4},KMB!U84,KMB!AA84,KMB!AG84,KMB!AM84))=1)*(CHOOSE({1,2,3,4},KMB!X84,KMB!AD84,KMB!AJ84,KMB!AP84)))</f>
        <v>0</v>
      </c>
      <c r="B84">
        <f>SUMPRODUCT((MONTH(CHOOSE({1,2,3,4},KMB!U84,KMB!AA84,KMB!AG84,KMB!AM84))=2)*(CHOOSE({1,2,3,4},KMB!X84,KMB!AD84,KMB!AJ84,KMB!AP84)))</f>
        <v>0</v>
      </c>
      <c r="C84">
        <f>SUMPRODUCT((MONTH(CHOOSE({1,2,3,4},KMB!U84,KMB!AA84,KMB!AG84,KMB!AM84))=3)*(CHOOSE({1,2,3,4},KMB!X84,KMB!AD84,KMB!AJ84,KMB!AP84)))</f>
        <v>0</v>
      </c>
      <c r="D84">
        <f>SUMPRODUCT((MONTH(CHOOSE({1,2,3,4},KMB!U84,KMB!AA84,KMB!AG84,KMB!AM84))=4)*(CHOOSE({1,2,3,4},KMB!X84,KMB!AD84,KMB!AJ84,KMB!AP84)))</f>
        <v>0</v>
      </c>
      <c r="E84">
        <f>SUMPRODUCT((MONTH(CHOOSE({1,2,3,4},KMB!U84,KMB!AA84,KMB!AG84,KMB!AM84))=5)*(CHOOSE({1,2,3,4},KMB!X84,KMB!AD84,KMB!AJ84,KMB!AP84)))</f>
        <v>0</v>
      </c>
      <c r="F84">
        <f>SUMPRODUCT((MONTH(CHOOSE({1,2,3,4},KMB!U84,KMB!AA84,KMB!AG84,KMB!AM84))=6)*(CHOOSE({1,2,3,4},KMB!X84,KMB!AD84,KMB!AJ84,KMB!AP84)))</f>
        <v>0</v>
      </c>
      <c r="G84">
        <f>SUMPRODUCT((MONTH(CHOOSE({1,2,3,4},KMB!U84,KMB!AA84,KMB!AG84,KMB!AM84))=7)*(CHOOSE({1,2,3,4},KMB!X84,KMB!AD84,KMB!AJ84,KMB!AP84)))</f>
        <v>0</v>
      </c>
      <c r="H84">
        <f>SUMPRODUCT((MONTH(CHOOSE({1,2,3,4},KMB!U84,KMB!AA84,KMB!AG84,KMB!AM84))=8)*(CHOOSE({1,2,3,4},KMB!X84,KMB!AD84,KMB!AJ84,KMB!AP84)))</f>
        <v>0</v>
      </c>
      <c r="I84">
        <f>SUMPRODUCT((MONTH(CHOOSE({1,2,3,4},KMB!U84,KMB!AA84,KMB!AG84,KMB!AM84))=9)*(CHOOSE({1,2,3,4},KMB!X84,KMB!AD84,KMB!AJ84,KMB!AP84)))</f>
        <v>0</v>
      </c>
      <c r="J84">
        <f>SUMPRODUCT((MONTH(CHOOSE({1,2,3,4},KMB!U84,KMB!AA84,KMB!AG84,KMB!AM84))=10)*(CHOOSE({1,2,3,4},KMB!X84,KMB!AD84,KMB!AJ84,KMB!AP84)))</f>
        <v>0</v>
      </c>
      <c r="K84">
        <f>SUMPRODUCT((MONTH(CHOOSE({1,2,3,4},KMB!U84,KMB!AA84,KMB!AG84,KMB!AM84))=11)*(CHOOSE({1,2,3,4},KMB!X84,KMB!AD84,KMB!AJ84,KMB!AP84)))</f>
        <v>0</v>
      </c>
      <c r="L84">
        <f>SUMPRODUCT((MONTH(CHOOSE({1,2,3,4},KMB!U84,KMB!AA84,KMB!AG84,KMB!AM84))=12)*(CHOOSE({1,2,3,4},KMB!X84,KMB!AD84,KMB!AJ84,KMB!AP84)))</f>
        <v>0</v>
      </c>
    </row>
    <row r="85" spans="1:12">
      <c r="A85">
        <f>SUMPRODUCT((MONTH(CHOOSE({1,2,3,4},KMB!U85,KMB!AA85,KMB!AG85,KMB!AM85))=1)*(CHOOSE({1,2,3,4},KMB!X85,KMB!AD85,KMB!AJ85,KMB!AP85)))</f>
        <v>0</v>
      </c>
      <c r="B85">
        <f>SUMPRODUCT((MONTH(CHOOSE({1,2,3,4},KMB!U85,KMB!AA85,KMB!AG85,KMB!AM85))=2)*(CHOOSE({1,2,3,4},KMB!X85,KMB!AD85,KMB!AJ85,KMB!AP85)))</f>
        <v>0</v>
      </c>
      <c r="C85">
        <f>SUMPRODUCT((MONTH(CHOOSE({1,2,3,4},KMB!U85,KMB!AA85,KMB!AG85,KMB!AM85))=3)*(CHOOSE({1,2,3,4},KMB!X85,KMB!AD85,KMB!AJ85,KMB!AP85)))</f>
        <v>0</v>
      </c>
      <c r="D85">
        <f>SUMPRODUCT((MONTH(CHOOSE({1,2,3,4},KMB!U85,KMB!AA85,KMB!AG85,KMB!AM85))=4)*(CHOOSE({1,2,3,4},KMB!X85,KMB!AD85,KMB!AJ85,KMB!AP85)))</f>
        <v>0</v>
      </c>
      <c r="E85">
        <f>SUMPRODUCT((MONTH(CHOOSE({1,2,3,4},KMB!U85,KMB!AA85,KMB!AG85,KMB!AM85))=5)*(CHOOSE({1,2,3,4},KMB!X85,KMB!AD85,KMB!AJ85,KMB!AP85)))</f>
        <v>0</v>
      </c>
      <c r="F85">
        <f>SUMPRODUCT((MONTH(CHOOSE({1,2,3,4},KMB!U85,KMB!AA85,KMB!AG85,KMB!AM85))=6)*(CHOOSE({1,2,3,4},KMB!X85,KMB!AD85,KMB!AJ85,KMB!AP85)))</f>
        <v>0</v>
      </c>
      <c r="G85">
        <f>SUMPRODUCT((MONTH(CHOOSE({1,2,3,4},KMB!U85,KMB!AA85,KMB!AG85,KMB!AM85))=7)*(CHOOSE({1,2,3,4},KMB!X85,KMB!AD85,KMB!AJ85,KMB!AP85)))</f>
        <v>0</v>
      </c>
      <c r="H85">
        <f>SUMPRODUCT((MONTH(CHOOSE({1,2,3,4},KMB!U85,KMB!AA85,KMB!AG85,KMB!AM85))=8)*(CHOOSE({1,2,3,4},KMB!X85,KMB!AD85,KMB!AJ85,KMB!AP85)))</f>
        <v>0</v>
      </c>
      <c r="I85">
        <f>SUMPRODUCT((MONTH(CHOOSE({1,2,3,4},KMB!U85,KMB!AA85,KMB!AG85,KMB!AM85))=9)*(CHOOSE({1,2,3,4},KMB!X85,KMB!AD85,KMB!AJ85,KMB!AP85)))</f>
        <v>0</v>
      </c>
      <c r="J85">
        <f>SUMPRODUCT((MONTH(CHOOSE({1,2,3,4},KMB!U85,KMB!AA85,KMB!AG85,KMB!AM85))=10)*(CHOOSE({1,2,3,4},KMB!X85,KMB!AD85,KMB!AJ85,KMB!AP85)))</f>
        <v>0</v>
      </c>
      <c r="K85">
        <f>SUMPRODUCT((MONTH(CHOOSE({1,2,3,4},KMB!U85,KMB!AA85,KMB!AG85,KMB!AM85))=11)*(CHOOSE({1,2,3,4},KMB!X85,KMB!AD85,KMB!AJ85,KMB!AP85)))</f>
        <v>0</v>
      </c>
      <c r="L85">
        <f>SUMPRODUCT((MONTH(CHOOSE({1,2,3,4},KMB!U85,KMB!AA85,KMB!AG85,KMB!AM85))=12)*(CHOOSE({1,2,3,4},KMB!X85,KMB!AD85,KMB!AJ85,KMB!AP85)))</f>
        <v>0</v>
      </c>
    </row>
    <row r="86" spans="1:12">
      <c r="A86">
        <f>SUMPRODUCT((MONTH(CHOOSE({1,2,3,4},KMB!U86,KMB!AA86,KMB!AG86,KMB!AM86))=1)*(CHOOSE({1,2,3,4},KMB!X86,KMB!AD86,KMB!AJ86,KMB!AP86)))</f>
        <v>0</v>
      </c>
      <c r="B86">
        <f>SUMPRODUCT((MONTH(CHOOSE({1,2,3,4},KMB!U86,KMB!AA86,KMB!AG86,KMB!AM86))=2)*(CHOOSE({1,2,3,4},KMB!X86,KMB!AD86,KMB!AJ86,KMB!AP86)))</f>
        <v>0</v>
      </c>
      <c r="C86">
        <f>SUMPRODUCT((MONTH(CHOOSE({1,2,3,4},KMB!U86,KMB!AA86,KMB!AG86,KMB!AM86))=3)*(CHOOSE({1,2,3,4},KMB!X86,KMB!AD86,KMB!AJ86,KMB!AP86)))</f>
        <v>0</v>
      </c>
      <c r="D86">
        <f>SUMPRODUCT((MONTH(CHOOSE({1,2,3,4},KMB!U86,KMB!AA86,KMB!AG86,KMB!AM86))=4)*(CHOOSE({1,2,3,4},KMB!X86,KMB!AD86,KMB!AJ86,KMB!AP86)))</f>
        <v>0</v>
      </c>
      <c r="E86">
        <f>SUMPRODUCT((MONTH(CHOOSE({1,2,3,4},KMB!U86,KMB!AA86,KMB!AG86,KMB!AM86))=5)*(CHOOSE({1,2,3,4},KMB!X86,KMB!AD86,KMB!AJ86,KMB!AP86)))</f>
        <v>0</v>
      </c>
      <c r="F86">
        <f>SUMPRODUCT((MONTH(CHOOSE({1,2,3,4},KMB!U86,KMB!AA86,KMB!AG86,KMB!AM86))=6)*(CHOOSE({1,2,3,4},KMB!X86,KMB!AD86,KMB!AJ86,KMB!AP86)))</f>
        <v>0</v>
      </c>
      <c r="G86">
        <f>SUMPRODUCT((MONTH(CHOOSE({1,2,3,4},KMB!U86,KMB!AA86,KMB!AG86,KMB!AM86))=7)*(CHOOSE({1,2,3,4},KMB!X86,KMB!AD86,KMB!AJ86,KMB!AP86)))</f>
        <v>0</v>
      </c>
      <c r="H86">
        <f>SUMPRODUCT((MONTH(CHOOSE({1,2,3,4},KMB!U86,KMB!AA86,KMB!AG86,KMB!AM86))=8)*(CHOOSE({1,2,3,4},KMB!X86,KMB!AD86,KMB!AJ86,KMB!AP86)))</f>
        <v>0</v>
      </c>
      <c r="I86">
        <f>SUMPRODUCT((MONTH(CHOOSE({1,2,3,4},KMB!U86,KMB!AA86,KMB!AG86,KMB!AM86))=9)*(CHOOSE({1,2,3,4},KMB!X86,KMB!AD86,KMB!AJ86,KMB!AP86)))</f>
        <v>0</v>
      </c>
      <c r="J86">
        <f>SUMPRODUCT((MONTH(CHOOSE({1,2,3,4},KMB!U86,KMB!AA86,KMB!AG86,KMB!AM86))=10)*(CHOOSE({1,2,3,4},KMB!X86,KMB!AD86,KMB!AJ86,KMB!AP86)))</f>
        <v>0</v>
      </c>
      <c r="K86">
        <f>SUMPRODUCT((MONTH(CHOOSE({1,2,3,4},KMB!U86,KMB!AA86,KMB!AG86,KMB!AM86))=11)*(CHOOSE({1,2,3,4},KMB!X86,KMB!AD86,KMB!AJ86,KMB!AP86)))</f>
        <v>0</v>
      </c>
      <c r="L86">
        <f>SUMPRODUCT((MONTH(CHOOSE({1,2,3,4},KMB!U86,KMB!AA86,KMB!AG86,KMB!AM86))=12)*(CHOOSE({1,2,3,4},KMB!X86,KMB!AD86,KMB!AJ86,KMB!AP86)))</f>
        <v>0</v>
      </c>
    </row>
    <row r="87" spans="1:12">
      <c r="A87">
        <f>SUMPRODUCT((MONTH(CHOOSE({1,2,3,4},KMB!U87,KMB!AA87,KMB!AG87,KMB!AM87))=1)*(CHOOSE({1,2,3,4},KMB!X87,KMB!AD87,KMB!AJ87,KMB!AP87)))</f>
        <v>0</v>
      </c>
      <c r="B87">
        <f>SUMPRODUCT((MONTH(CHOOSE({1,2,3,4},KMB!U87,KMB!AA87,KMB!AG87,KMB!AM87))=2)*(CHOOSE({1,2,3,4},KMB!X87,KMB!AD87,KMB!AJ87,KMB!AP87)))</f>
        <v>0</v>
      </c>
      <c r="C87">
        <f>SUMPRODUCT((MONTH(CHOOSE({1,2,3,4},KMB!U87,KMB!AA87,KMB!AG87,KMB!AM87))=3)*(CHOOSE({1,2,3,4},KMB!X87,KMB!AD87,KMB!AJ87,KMB!AP87)))</f>
        <v>0</v>
      </c>
      <c r="D87">
        <f>SUMPRODUCT((MONTH(CHOOSE({1,2,3,4},KMB!U87,KMB!AA87,KMB!AG87,KMB!AM87))=4)*(CHOOSE({1,2,3,4},KMB!X87,KMB!AD87,KMB!AJ87,KMB!AP87)))</f>
        <v>0</v>
      </c>
      <c r="E87">
        <f>SUMPRODUCT((MONTH(CHOOSE({1,2,3,4},KMB!U87,KMB!AA87,KMB!AG87,KMB!AM87))=5)*(CHOOSE({1,2,3,4},KMB!X87,KMB!AD87,KMB!AJ87,KMB!AP87)))</f>
        <v>0</v>
      </c>
      <c r="F87">
        <f>SUMPRODUCT((MONTH(CHOOSE({1,2,3,4},KMB!U87,KMB!AA87,KMB!AG87,KMB!AM87))=6)*(CHOOSE({1,2,3,4},KMB!X87,KMB!AD87,KMB!AJ87,KMB!AP87)))</f>
        <v>0</v>
      </c>
      <c r="G87">
        <f>SUMPRODUCT((MONTH(CHOOSE({1,2,3,4},KMB!U87,KMB!AA87,KMB!AG87,KMB!AM87))=7)*(CHOOSE({1,2,3,4},KMB!X87,KMB!AD87,KMB!AJ87,KMB!AP87)))</f>
        <v>0</v>
      </c>
      <c r="H87">
        <f>SUMPRODUCT((MONTH(CHOOSE({1,2,3,4},KMB!U87,KMB!AA87,KMB!AG87,KMB!AM87))=8)*(CHOOSE({1,2,3,4},KMB!X87,KMB!AD87,KMB!AJ87,KMB!AP87)))</f>
        <v>0</v>
      </c>
      <c r="I87">
        <f>SUMPRODUCT((MONTH(CHOOSE({1,2,3,4},KMB!U87,KMB!AA87,KMB!AG87,KMB!AM87))=9)*(CHOOSE({1,2,3,4},KMB!X87,KMB!AD87,KMB!AJ87,KMB!AP87)))</f>
        <v>0</v>
      </c>
      <c r="J87">
        <f>SUMPRODUCT((MONTH(CHOOSE({1,2,3,4},KMB!U87,KMB!AA87,KMB!AG87,KMB!AM87))=10)*(CHOOSE({1,2,3,4},KMB!X87,KMB!AD87,KMB!AJ87,KMB!AP87)))</f>
        <v>0</v>
      </c>
      <c r="K87">
        <f>SUMPRODUCT((MONTH(CHOOSE({1,2,3,4},KMB!U87,KMB!AA87,KMB!AG87,KMB!AM87))=11)*(CHOOSE({1,2,3,4},KMB!X87,KMB!AD87,KMB!AJ87,KMB!AP87)))</f>
        <v>0</v>
      </c>
      <c r="L87">
        <f>SUMPRODUCT((MONTH(CHOOSE({1,2,3,4},KMB!U87,KMB!AA87,KMB!AG87,KMB!AM87))=12)*(CHOOSE({1,2,3,4},KMB!X87,KMB!AD87,KMB!AJ87,KMB!AP87)))</f>
        <v>0</v>
      </c>
    </row>
    <row r="88" spans="1:12">
      <c r="A88">
        <f>SUMPRODUCT((MONTH(CHOOSE({1,2,3,4},KMB!U88,KMB!AA88,KMB!AG88,KMB!AM88))=1)*(CHOOSE({1,2,3,4},KMB!X88,KMB!AD88,KMB!AJ88,KMB!AP88)))</f>
        <v>0</v>
      </c>
      <c r="B88">
        <f>SUMPRODUCT((MONTH(CHOOSE({1,2,3,4},KMB!U88,KMB!AA88,KMB!AG88,KMB!AM88))=2)*(CHOOSE({1,2,3,4},KMB!X88,KMB!AD88,KMB!AJ88,KMB!AP88)))</f>
        <v>0</v>
      </c>
      <c r="C88">
        <f>SUMPRODUCT((MONTH(CHOOSE({1,2,3,4},KMB!U88,KMB!AA88,KMB!AG88,KMB!AM88))=3)*(CHOOSE({1,2,3,4},KMB!X88,KMB!AD88,KMB!AJ88,KMB!AP88)))</f>
        <v>0</v>
      </c>
      <c r="D88">
        <f>SUMPRODUCT((MONTH(CHOOSE({1,2,3,4},KMB!U88,KMB!AA88,KMB!AG88,KMB!AM88))=4)*(CHOOSE({1,2,3,4},KMB!X88,KMB!AD88,KMB!AJ88,KMB!AP88)))</f>
        <v>0</v>
      </c>
      <c r="E88">
        <f>SUMPRODUCT((MONTH(CHOOSE({1,2,3,4},KMB!U88,KMB!AA88,KMB!AG88,KMB!AM88))=5)*(CHOOSE({1,2,3,4},KMB!X88,KMB!AD88,KMB!AJ88,KMB!AP88)))</f>
        <v>0</v>
      </c>
      <c r="F88">
        <f>SUMPRODUCT((MONTH(CHOOSE({1,2,3,4},KMB!U88,KMB!AA88,KMB!AG88,KMB!AM88))=6)*(CHOOSE({1,2,3,4},KMB!X88,KMB!AD88,KMB!AJ88,KMB!AP88)))</f>
        <v>0</v>
      </c>
      <c r="G88">
        <f>SUMPRODUCT((MONTH(CHOOSE({1,2,3,4},KMB!U88,KMB!AA88,KMB!AG88,KMB!AM88))=7)*(CHOOSE({1,2,3,4},KMB!X88,KMB!AD88,KMB!AJ88,KMB!AP88)))</f>
        <v>0</v>
      </c>
      <c r="H88">
        <f>SUMPRODUCT((MONTH(CHOOSE({1,2,3,4},KMB!U88,KMB!AA88,KMB!AG88,KMB!AM88))=8)*(CHOOSE({1,2,3,4},KMB!X88,KMB!AD88,KMB!AJ88,KMB!AP88)))</f>
        <v>0</v>
      </c>
      <c r="I88">
        <f>SUMPRODUCT((MONTH(CHOOSE({1,2,3,4},KMB!U88,KMB!AA88,KMB!AG88,KMB!AM88))=9)*(CHOOSE({1,2,3,4},KMB!X88,KMB!AD88,KMB!AJ88,KMB!AP88)))</f>
        <v>0</v>
      </c>
      <c r="J88">
        <f>SUMPRODUCT((MONTH(CHOOSE({1,2,3,4},KMB!U88,KMB!AA88,KMB!AG88,KMB!AM88))=10)*(CHOOSE({1,2,3,4},KMB!X88,KMB!AD88,KMB!AJ88,KMB!AP88)))</f>
        <v>0</v>
      </c>
      <c r="K88">
        <f>SUMPRODUCT((MONTH(CHOOSE({1,2,3,4},KMB!U88,KMB!AA88,KMB!AG88,KMB!AM88))=11)*(CHOOSE({1,2,3,4},KMB!X88,KMB!AD88,KMB!AJ88,KMB!AP88)))</f>
        <v>0</v>
      </c>
      <c r="L88">
        <f>SUMPRODUCT((MONTH(CHOOSE({1,2,3,4},KMB!U88,KMB!AA88,KMB!AG88,KMB!AM88))=12)*(CHOOSE({1,2,3,4},KMB!X88,KMB!AD88,KMB!AJ88,KMB!AP88)))</f>
        <v>0</v>
      </c>
    </row>
    <row r="89" spans="1:12">
      <c r="A89">
        <f>SUMPRODUCT((MONTH(CHOOSE({1,2,3,4},KMB!U89,KMB!AA89,KMB!AG89,KMB!AM89))=1)*(CHOOSE({1,2,3,4},KMB!X89,KMB!AD89,KMB!AJ89,KMB!AP89)))</f>
        <v>0</v>
      </c>
      <c r="B89">
        <f>SUMPRODUCT((MONTH(CHOOSE({1,2,3,4},KMB!U89,KMB!AA89,KMB!AG89,KMB!AM89))=2)*(CHOOSE({1,2,3,4},KMB!X89,KMB!AD89,KMB!AJ89,KMB!AP89)))</f>
        <v>0</v>
      </c>
      <c r="C89">
        <f>SUMPRODUCT((MONTH(CHOOSE({1,2,3,4},KMB!U89,KMB!AA89,KMB!AG89,KMB!AM89))=3)*(CHOOSE({1,2,3,4},KMB!X89,KMB!AD89,KMB!AJ89,KMB!AP89)))</f>
        <v>0</v>
      </c>
      <c r="D89">
        <f>SUMPRODUCT((MONTH(CHOOSE({1,2,3,4},KMB!U89,KMB!AA89,KMB!AG89,KMB!AM89))=4)*(CHOOSE({1,2,3,4},KMB!X89,KMB!AD89,KMB!AJ89,KMB!AP89)))</f>
        <v>0</v>
      </c>
      <c r="E89">
        <f>SUMPRODUCT((MONTH(CHOOSE({1,2,3,4},KMB!U89,KMB!AA89,KMB!AG89,KMB!AM89))=5)*(CHOOSE({1,2,3,4},KMB!X89,KMB!AD89,KMB!AJ89,KMB!AP89)))</f>
        <v>0</v>
      </c>
      <c r="F89">
        <f>SUMPRODUCT((MONTH(CHOOSE({1,2,3,4},KMB!U89,KMB!AA89,KMB!AG89,KMB!AM89))=6)*(CHOOSE({1,2,3,4},KMB!X89,KMB!AD89,KMB!AJ89,KMB!AP89)))</f>
        <v>0</v>
      </c>
      <c r="G89">
        <f>SUMPRODUCT((MONTH(CHOOSE({1,2,3,4},KMB!U89,KMB!AA89,KMB!AG89,KMB!AM89))=7)*(CHOOSE({1,2,3,4},KMB!X89,KMB!AD89,KMB!AJ89,KMB!AP89)))</f>
        <v>0</v>
      </c>
      <c r="H89">
        <f>SUMPRODUCT((MONTH(CHOOSE({1,2,3,4},KMB!U89,KMB!AA89,KMB!AG89,KMB!AM89))=8)*(CHOOSE({1,2,3,4},KMB!X89,KMB!AD89,KMB!AJ89,KMB!AP89)))</f>
        <v>0</v>
      </c>
      <c r="I89">
        <f>SUMPRODUCT((MONTH(CHOOSE({1,2,3,4},KMB!U89,KMB!AA89,KMB!AG89,KMB!AM89))=9)*(CHOOSE({1,2,3,4},KMB!X89,KMB!AD89,KMB!AJ89,KMB!AP89)))</f>
        <v>0</v>
      </c>
      <c r="J89">
        <f>SUMPRODUCT((MONTH(CHOOSE({1,2,3,4},KMB!U89,KMB!AA89,KMB!AG89,KMB!AM89))=10)*(CHOOSE({1,2,3,4},KMB!X89,KMB!AD89,KMB!AJ89,KMB!AP89)))</f>
        <v>0</v>
      </c>
      <c r="K89">
        <f>SUMPRODUCT((MONTH(CHOOSE({1,2,3,4},KMB!U89,KMB!AA89,KMB!AG89,KMB!AM89))=11)*(CHOOSE({1,2,3,4},KMB!X89,KMB!AD89,KMB!AJ89,KMB!AP89)))</f>
        <v>0</v>
      </c>
      <c r="L89">
        <f>SUMPRODUCT((MONTH(CHOOSE({1,2,3,4},KMB!U89,KMB!AA89,KMB!AG89,KMB!AM89))=12)*(CHOOSE({1,2,3,4},KMB!X89,KMB!AD89,KMB!AJ89,KMB!AP89)))</f>
        <v>0</v>
      </c>
    </row>
    <row r="90" spans="1:12">
      <c r="A90">
        <f>SUMPRODUCT((MONTH(CHOOSE({1,2,3,4},KMB!U90,KMB!AA90,KMB!AG90,KMB!AM90))=1)*(CHOOSE({1,2,3,4},KMB!X90,KMB!AD90,KMB!AJ90,KMB!AP90)))</f>
        <v>0</v>
      </c>
      <c r="B90">
        <f>SUMPRODUCT((MONTH(CHOOSE({1,2,3,4},KMB!U90,KMB!AA90,KMB!AG90,KMB!AM90))=2)*(CHOOSE({1,2,3,4},KMB!X90,KMB!AD90,KMB!AJ90,KMB!AP90)))</f>
        <v>0</v>
      </c>
      <c r="C90">
        <f>SUMPRODUCT((MONTH(CHOOSE({1,2,3,4},KMB!U90,KMB!AA90,KMB!AG90,KMB!AM90))=3)*(CHOOSE({1,2,3,4},KMB!X90,KMB!AD90,KMB!AJ90,KMB!AP90)))</f>
        <v>0</v>
      </c>
      <c r="D90">
        <f>SUMPRODUCT((MONTH(CHOOSE({1,2,3,4},KMB!U90,KMB!AA90,KMB!AG90,KMB!AM90))=4)*(CHOOSE({1,2,3,4},KMB!X90,KMB!AD90,KMB!AJ90,KMB!AP90)))</f>
        <v>0</v>
      </c>
      <c r="E90">
        <f>SUMPRODUCT((MONTH(CHOOSE({1,2,3,4},KMB!U90,KMB!AA90,KMB!AG90,KMB!AM90))=5)*(CHOOSE({1,2,3,4},KMB!X90,KMB!AD90,KMB!AJ90,KMB!AP90)))</f>
        <v>0</v>
      </c>
      <c r="F90">
        <f>SUMPRODUCT((MONTH(CHOOSE({1,2,3,4},KMB!U90,KMB!AA90,KMB!AG90,KMB!AM90))=6)*(CHOOSE({1,2,3,4},KMB!X90,KMB!AD90,KMB!AJ90,KMB!AP90)))</f>
        <v>0</v>
      </c>
      <c r="G90">
        <f>SUMPRODUCT((MONTH(CHOOSE({1,2,3,4},KMB!U90,KMB!AA90,KMB!AG90,KMB!AM90))=7)*(CHOOSE({1,2,3,4},KMB!X90,KMB!AD90,KMB!AJ90,KMB!AP90)))</f>
        <v>0</v>
      </c>
      <c r="H90">
        <f>SUMPRODUCT((MONTH(CHOOSE({1,2,3,4},KMB!U90,KMB!AA90,KMB!AG90,KMB!AM90))=8)*(CHOOSE({1,2,3,4},KMB!X90,KMB!AD90,KMB!AJ90,KMB!AP90)))</f>
        <v>0</v>
      </c>
      <c r="I90">
        <f>SUMPRODUCT((MONTH(CHOOSE({1,2,3,4},KMB!U90,KMB!AA90,KMB!AG90,KMB!AM90))=9)*(CHOOSE({1,2,3,4},KMB!X90,KMB!AD90,KMB!AJ90,KMB!AP90)))</f>
        <v>0</v>
      </c>
      <c r="J90">
        <f>SUMPRODUCT((MONTH(CHOOSE({1,2,3,4},KMB!U90,KMB!AA90,KMB!AG90,KMB!AM90))=10)*(CHOOSE({1,2,3,4},KMB!X90,KMB!AD90,KMB!AJ90,KMB!AP90)))</f>
        <v>0</v>
      </c>
      <c r="K90">
        <f>SUMPRODUCT((MONTH(CHOOSE({1,2,3,4},KMB!U90,KMB!AA90,KMB!AG90,KMB!AM90))=11)*(CHOOSE({1,2,3,4},KMB!X90,KMB!AD90,KMB!AJ90,KMB!AP90)))</f>
        <v>0</v>
      </c>
      <c r="L90">
        <f>SUMPRODUCT((MONTH(CHOOSE({1,2,3,4},KMB!U90,KMB!AA90,KMB!AG90,KMB!AM90))=12)*(CHOOSE({1,2,3,4},KMB!X90,KMB!AD90,KMB!AJ90,KMB!AP90)))</f>
        <v>0</v>
      </c>
    </row>
    <row r="91" spans="1:12">
      <c r="A91">
        <f>SUMPRODUCT((MONTH(CHOOSE({1,2,3,4},KMB!U91,KMB!AA91,KMB!AG91,KMB!AM91))=1)*(CHOOSE({1,2,3,4},KMB!X91,KMB!AD91,KMB!AJ91,KMB!AP91)))</f>
        <v>0</v>
      </c>
      <c r="B91">
        <f>SUMPRODUCT((MONTH(CHOOSE({1,2,3,4},KMB!U91,KMB!AA91,KMB!AG91,KMB!AM91))=2)*(CHOOSE({1,2,3,4},KMB!X91,KMB!AD91,KMB!AJ91,KMB!AP91)))</f>
        <v>0</v>
      </c>
      <c r="C91">
        <f>SUMPRODUCT((MONTH(CHOOSE({1,2,3,4},KMB!U91,KMB!AA91,KMB!AG91,KMB!AM91))=3)*(CHOOSE({1,2,3,4},KMB!X91,KMB!AD91,KMB!AJ91,KMB!AP91)))</f>
        <v>0</v>
      </c>
      <c r="D91">
        <f>SUMPRODUCT((MONTH(CHOOSE({1,2,3,4},KMB!U91,KMB!AA91,KMB!AG91,KMB!AM91))=4)*(CHOOSE({1,2,3,4},KMB!X91,KMB!AD91,KMB!AJ91,KMB!AP91)))</f>
        <v>0</v>
      </c>
      <c r="E91">
        <f>SUMPRODUCT((MONTH(CHOOSE({1,2,3,4},KMB!U91,KMB!AA91,KMB!AG91,KMB!AM91))=5)*(CHOOSE({1,2,3,4},KMB!X91,KMB!AD91,KMB!AJ91,KMB!AP91)))</f>
        <v>0</v>
      </c>
      <c r="F91">
        <f>SUMPRODUCT((MONTH(CHOOSE({1,2,3,4},KMB!U91,KMB!AA91,KMB!AG91,KMB!AM91))=6)*(CHOOSE({1,2,3,4},KMB!X91,KMB!AD91,KMB!AJ91,KMB!AP91)))</f>
        <v>0</v>
      </c>
      <c r="G91">
        <f>SUMPRODUCT((MONTH(CHOOSE({1,2,3,4},KMB!U91,KMB!AA91,KMB!AG91,KMB!AM91))=7)*(CHOOSE({1,2,3,4},KMB!X91,KMB!AD91,KMB!AJ91,KMB!AP91)))</f>
        <v>0</v>
      </c>
      <c r="H91">
        <f>SUMPRODUCT((MONTH(CHOOSE({1,2,3,4},KMB!U91,KMB!AA91,KMB!AG91,KMB!AM91))=8)*(CHOOSE({1,2,3,4},KMB!X91,KMB!AD91,KMB!AJ91,KMB!AP91)))</f>
        <v>0</v>
      </c>
      <c r="I91">
        <f>SUMPRODUCT((MONTH(CHOOSE({1,2,3,4},KMB!U91,KMB!AA91,KMB!AG91,KMB!AM91))=9)*(CHOOSE({1,2,3,4},KMB!X91,KMB!AD91,KMB!AJ91,KMB!AP91)))</f>
        <v>0</v>
      </c>
      <c r="J91">
        <f>SUMPRODUCT((MONTH(CHOOSE({1,2,3,4},KMB!U91,KMB!AA91,KMB!AG91,KMB!AM91))=10)*(CHOOSE({1,2,3,4},KMB!X91,KMB!AD91,KMB!AJ91,KMB!AP91)))</f>
        <v>0</v>
      </c>
      <c r="K91">
        <f>SUMPRODUCT((MONTH(CHOOSE({1,2,3,4},KMB!U91,KMB!AA91,KMB!AG91,KMB!AM91))=11)*(CHOOSE({1,2,3,4},KMB!X91,KMB!AD91,KMB!AJ91,KMB!AP91)))</f>
        <v>0</v>
      </c>
      <c r="L91">
        <f>SUMPRODUCT((MONTH(CHOOSE({1,2,3,4},KMB!U91,KMB!AA91,KMB!AG91,KMB!AM91))=12)*(CHOOSE({1,2,3,4},KMB!X91,KMB!AD91,KMB!AJ91,KMB!AP91)))</f>
        <v>0</v>
      </c>
    </row>
    <row r="92" spans="1:12">
      <c r="A92">
        <f>SUMPRODUCT((MONTH(CHOOSE({1,2,3,4},KMB!U92,KMB!AA92,KMB!AG92,KMB!AM92))=1)*(CHOOSE({1,2,3,4},KMB!X92,KMB!AD92,KMB!AJ92,KMB!AP92)))</f>
        <v>0</v>
      </c>
      <c r="B92">
        <f>SUMPRODUCT((MONTH(CHOOSE({1,2,3,4},KMB!U92,KMB!AA92,KMB!AG92,KMB!AM92))=2)*(CHOOSE({1,2,3,4},KMB!X92,KMB!AD92,KMB!AJ92,KMB!AP92)))</f>
        <v>0</v>
      </c>
      <c r="C92">
        <f>SUMPRODUCT((MONTH(CHOOSE({1,2,3,4},KMB!U92,KMB!AA92,KMB!AG92,KMB!AM92))=3)*(CHOOSE({1,2,3,4},KMB!X92,KMB!AD92,KMB!AJ92,KMB!AP92)))</f>
        <v>0</v>
      </c>
      <c r="D92">
        <f>SUMPRODUCT((MONTH(CHOOSE({1,2,3,4},KMB!U92,KMB!AA92,KMB!AG92,KMB!AM92))=4)*(CHOOSE({1,2,3,4},KMB!X92,KMB!AD92,KMB!AJ92,KMB!AP92)))</f>
        <v>0</v>
      </c>
      <c r="E92">
        <f>SUMPRODUCT((MONTH(CHOOSE({1,2,3,4},KMB!U92,KMB!AA92,KMB!AG92,KMB!AM92))=5)*(CHOOSE({1,2,3,4},KMB!X92,KMB!AD92,KMB!AJ92,KMB!AP92)))</f>
        <v>0</v>
      </c>
      <c r="F92">
        <f>SUMPRODUCT((MONTH(CHOOSE({1,2,3,4},KMB!U92,KMB!AA92,KMB!AG92,KMB!AM92))=6)*(CHOOSE({1,2,3,4},KMB!X92,KMB!AD92,KMB!AJ92,KMB!AP92)))</f>
        <v>0</v>
      </c>
      <c r="G92">
        <f>SUMPRODUCT((MONTH(CHOOSE({1,2,3,4},KMB!U92,KMB!AA92,KMB!AG92,KMB!AM92))=7)*(CHOOSE({1,2,3,4},KMB!X92,KMB!AD92,KMB!AJ92,KMB!AP92)))</f>
        <v>0</v>
      </c>
      <c r="H92">
        <f>SUMPRODUCT((MONTH(CHOOSE({1,2,3,4},KMB!U92,KMB!AA92,KMB!AG92,KMB!AM92))=8)*(CHOOSE({1,2,3,4},KMB!X92,KMB!AD92,KMB!AJ92,KMB!AP92)))</f>
        <v>0</v>
      </c>
      <c r="I92">
        <f>SUMPRODUCT((MONTH(CHOOSE({1,2,3,4},KMB!U92,KMB!AA92,KMB!AG92,KMB!AM92))=9)*(CHOOSE({1,2,3,4},KMB!X92,KMB!AD92,KMB!AJ92,KMB!AP92)))</f>
        <v>0</v>
      </c>
      <c r="J92">
        <f>SUMPRODUCT((MONTH(CHOOSE({1,2,3,4},KMB!U92,KMB!AA92,KMB!AG92,KMB!AM92))=10)*(CHOOSE({1,2,3,4},KMB!X92,KMB!AD92,KMB!AJ92,KMB!AP92)))</f>
        <v>0</v>
      </c>
      <c r="K92">
        <f>SUMPRODUCT((MONTH(CHOOSE({1,2,3,4},KMB!U92,KMB!AA92,KMB!AG92,KMB!AM92))=11)*(CHOOSE({1,2,3,4},KMB!X92,KMB!AD92,KMB!AJ92,KMB!AP92)))</f>
        <v>0</v>
      </c>
      <c r="L92">
        <f>SUMPRODUCT((MONTH(CHOOSE({1,2,3,4},KMB!U92,KMB!AA92,KMB!AG92,KMB!AM92))=12)*(CHOOSE({1,2,3,4},KMB!X92,KMB!AD92,KMB!AJ92,KMB!AP92)))</f>
        <v>0</v>
      </c>
    </row>
    <row r="93" spans="1:12">
      <c r="A93">
        <f>SUMPRODUCT((MONTH(CHOOSE({1,2,3,4},KMB!U93,KMB!AA93,KMB!AG93,KMB!AM93))=1)*(CHOOSE({1,2,3,4},KMB!X93,KMB!AD93,KMB!AJ93,KMB!AP93)))</f>
        <v>0</v>
      </c>
      <c r="B93">
        <f>SUMPRODUCT((MONTH(CHOOSE({1,2,3,4},KMB!U93,KMB!AA93,KMB!AG93,KMB!AM93))=2)*(CHOOSE({1,2,3,4},KMB!X93,KMB!AD93,KMB!AJ93,KMB!AP93)))</f>
        <v>0</v>
      </c>
      <c r="C93">
        <f>SUMPRODUCT((MONTH(CHOOSE({1,2,3,4},KMB!U93,KMB!AA93,KMB!AG93,KMB!AM93))=3)*(CHOOSE({1,2,3,4},KMB!X93,KMB!AD93,KMB!AJ93,KMB!AP93)))</f>
        <v>0</v>
      </c>
      <c r="D93">
        <f>SUMPRODUCT((MONTH(CHOOSE({1,2,3,4},KMB!U93,KMB!AA93,KMB!AG93,KMB!AM93))=4)*(CHOOSE({1,2,3,4},KMB!X93,KMB!AD93,KMB!AJ93,KMB!AP93)))</f>
        <v>0</v>
      </c>
      <c r="E93">
        <f>SUMPRODUCT((MONTH(CHOOSE({1,2,3,4},KMB!U93,KMB!AA93,KMB!AG93,KMB!AM93))=5)*(CHOOSE({1,2,3,4},KMB!X93,KMB!AD93,KMB!AJ93,KMB!AP93)))</f>
        <v>0</v>
      </c>
      <c r="F93">
        <f>SUMPRODUCT((MONTH(CHOOSE({1,2,3,4},KMB!U93,KMB!AA93,KMB!AG93,KMB!AM93))=6)*(CHOOSE({1,2,3,4},KMB!X93,KMB!AD93,KMB!AJ93,KMB!AP93)))</f>
        <v>0</v>
      </c>
      <c r="G93">
        <f>SUMPRODUCT((MONTH(CHOOSE({1,2,3,4},KMB!U93,KMB!AA93,KMB!AG93,KMB!AM93))=7)*(CHOOSE({1,2,3,4},KMB!X93,KMB!AD93,KMB!AJ93,KMB!AP93)))</f>
        <v>0</v>
      </c>
      <c r="H93">
        <f>SUMPRODUCT((MONTH(CHOOSE({1,2,3,4},KMB!U93,KMB!AA93,KMB!AG93,KMB!AM93))=8)*(CHOOSE({1,2,3,4},KMB!X93,KMB!AD93,KMB!AJ93,KMB!AP93)))</f>
        <v>0</v>
      </c>
      <c r="I93">
        <f>SUMPRODUCT((MONTH(CHOOSE({1,2,3,4},KMB!U93,KMB!AA93,KMB!AG93,KMB!AM93))=9)*(CHOOSE({1,2,3,4},KMB!X93,KMB!AD93,KMB!AJ93,KMB!AP93)))</f>
        <v>0</v>
      </c>
      <c r="J93">
        <f>SUMPRODUCT((MONTH(CHOOSE({1,2,3,4},KMB!U93,KMB!AA93,KMB!AG93,KMB!AM93))=10)*(CHOOSE({1,2,3,4},KMB!X93,KMB!AD93,KMB!AJ93,KMB!AP93)))</f>
        <v>0</v>
      </c>
      <c r="K93">
        <f>SUMPRODUCT((MONTH(CHOOSE({1,2,3,4},KMB!U93,KMB!AA93,KMB!AG93,KMB!AM93))=11)*(CHOOSE({1,2,3,4},KMB!X93,KMB!AD93,KMB!AJ93,KMB!AP93)))</f>
        <v>0</v>
      </c>
      <c r="L93">
        <f>SUMPRODUCT((MONTH(CHOOSE({1,2,3,4},KMB!U93,KMB!AA93,KMB!AG93,KMB!AM93))=12)*(CHOOSE({1,2,3,4},KMB!X93,KMB!AD93,KMB!AJ93,KMB!AP93)))</f>
        <v>0</v>
      </c>
    </row>
    <row r="94" spans="1:12">
      <c r="A94">
        <f>SUMPRODUCT((MONTH(CHOOSE({1,2,3,4},KMB!U94,KMB!AA94,KMB!AG94,KMB!AM94))=1)*(CHOOSE({1,2,3,4},KMB!X94,KMB!AD94,KMB!AJ94,KMB!AP94)))</f>
        <v>0</v>
      </c>
      <c r="B94">
        <f>SUMPRODUCT((MONTH(CHOOSE({1,2,3,4},KMB!U94,KMB!AA94,KMB!AG94,KMB!AM94))=2)*(CHOOSE({1,2,3,4},KMB!X94,KMB!AD94,KMB!AJ94,KMB!AP94)))</f>
        <v>0</v>
      </c>
      <c r="C94">
        <f>SUMPRODUCT((MONTH(CHOOSE({1,2,3,4},KMB!U94,KMB!AA94,KMB!AG94,KMB!AM94))=3)*(CHOOSE({1,2,3,4},KMB!X94,KMB!AD94,KMB!AJ94,KMB!AP94)))</f>
        <v>0</v>
      </c>
      <c r="D94">
        <f>SUMPRODUCT((MONTH(CHOOSE({1,2,3,4},KMB!U94,KMB!AA94,KMB!AG94,KMB!AM94))=4)*(CHOOSE({1,2,3,4},KMB!X94,KMB!AD94,KMB!AJ94,KMB!AP94)))</f>
        <v>0</v>
      </c>
      <c r="E94">
        <f>SUMPRODUCT((MONTH(CHOOSE({1,2,3,4},KMB!U94,KMB!AA94,KMB!AG94,KMB!AM94))=5)*(CHOOSE({1,2,3,4},KMB!X94,KMB!AD94,KMB!AJ94,KMB!AP94)))</f>
        <v>0</v>
      </c>
      <c r="F94">
        <f>SUMPRODUCT((MONTH(CHOOSE({1,2,3,4},KMB!U94,KMB!AA94,KMB!AG94,KMB!AM94))=6)*(CHOOSE({1,2,3,4},KMB!X94,KMB!AD94,KMB!AJ94,KMB!AP94)))</f>
        <v>0</v>
      </c>
      <c r="G94">
        <f>SUMPRODUCT((MONTH(CHOOSE({1,2,3,4},KMB!U94,KMB!AA94,KMB!AG94,KMB!AM94))=7)*(CHOOSE({1,2,3,4},KMB!X94,KMB!AD94,KMB!AJ94,KMB!AP94)))</f>
        <v>0</v>
      </c>
      <c r="H94">
        <f>SUMPRODUCT((MONTH(CHOOSE({1,2,3,4},KMB!U94,KMB!AA94,KMB!AG94,KMB!AM94))=8)*(CHOOSE({1,2,3,4},KMB!X94,KMB!AD94,KMB!AJ94,KMB!AP94)))</f>
        <v>0</v>
      </c>
      <c r="I94">
        <f>SUMPRODUCT((MONTH(CHOOSE({1,2,3,4},KMB!U94,KMB!AA94,KMB!AG94,KMB!AM94))=9)*(CHOOSE({1,2,3,4},KMB!X94,KMB!AD94,KMB!AJ94,KMB!AP94)))</f>
        <v>0</v>
      </c>
      <c r="J94">
        <f>SUMPRODUCT((MONTH(CHOOSE({1,2,3,4},KMB!U94,KMB!AA94,KMB!AG94,KMB!AM94))=10)*(CHOOSE({1,2,3,4},KMB!X94,KMB!AD94,KMB!AJ94,KMB!AP94)))</f>
        <v>0</v>
      </c>
      <c r="K94">
        <f>SUMPRODUCT((MONTH(CHOOSE({1,2,3,4},KMB!U94,KMB!AA94,KMB!AG94,KMB!AM94))=11)*(CHOOSE({1,2,3,4},KMB!X94,KMB!AD94,KMB!AJ94,KMB!AP94)))</f>
        <v>0</v>
      </c>
      <c r="L94">
        <f>SUMPRODUCT((MONTH(CHOOSE({1,2,3,4},KMB!U94,KMB!AA94,KMB!AG94,KMB!AM94))=12)*(CHOOSE({1,2,3,4},KMB!X94,KMB!AD94,KMB!AJ94,KMB!AP94)))</f>
        <v>0</v>
      </c>
    </row>
    <row r="95" spans="1:12">
      <c r="A95">
        <f>SUMPRODUCT((MONTH(CHOOSE({1,2,3,4},KMB!U95,KMB!AA95,KMB!AG95,KMB!AM95))=1)*(CHOOSE({1,2,3,4},KMB!X95,KMB!AD95,KMB!AJ95,KMB!AP95)))</f>
        <v>0</v>
      </c>
      <c r="B95">
        <f>SUMPRODUCT((MONTH(CHOOSE({1,2,3,4},KMB!U95,KMB!AA95,KMB!AG95,KMB!AM95))=2)*(CHOOSE({1,2,3,4},KMB!X95,KMB!AD95,KMB!AJ95,KMB!AP95)))</f>
        <v>0</v>
      </c>
      <c r="C95">
        <f>SUMPRODUCT((MONTH(CHOOSE({1,2,3,4},KMB!U95,KMB!AA95,KMB!AG95,KMB!AM95))=3)*(CHOOSE({1,2,3,4},KMB!X95,KMB!AD95,KMB!AJ95,KMB!AP95)))</f>
        <v>0</v>
      </c>
      <c r="D95">
        <f>SUMPRODUCT((MONTH(CHOOSE({1,2,3,4},KMB!U95,KMB!AA95,KMB!AG95,KMB!AM95))=4)*(CHOOSE({1,2,3,4},KMB!X95,KMB!AD95,KMB!AJ95,KMB!AP95)))</f>
        <v>0</v>
      </c>
      <c r="E95">
        <f>SUMPRODUCT((MONTH(CHOOSE({1,2,3,4},KMB!U95,KMB!AA95,KMB!AG95,KMB!AM95))=5)*(CHOOSE({1,2,3,4},KMB!X95,KMB!AD95,KMB!AJ95,KMB!AP95)))</f>
        <v>0</v>
      </c>
      <c r="F95">
        <f>SUMPRODUCT((MONTH(CHOOSE({1,2,3,4},KMB!U95,KMB!AA95,KMB!AG95,KMB!AM95))=6)*(CHOOSE({1,2,3,4},KMB!X95,KMB!AD95,KMB!AJ95,KMB!AP95)))</f>
        <v>0</v>
      </c>
      <c r="G95">
        <f>SUMPRODUCT((MONTH(CHOOSE({1,2,3,4},KMB!U95,KMB!AA95,KMB!AG95,KMB!AM95))=7)*(CHOOSE({1,2,3,4},KMB!X95,KMB!AD95,KMB!AJ95,KMB!AP95)))</f>
        <v>0</v>
      </c>
      <c r="H95">
        <f>SUMPRODUCT((MONTH(CHOOSE({1,2,3,4},KMB!U95,KMB!AA95,KMB!AG95,KMB!AM95))=8)*(CHOOSE({1,2,3,4},KMB!X95,KMB!AD95,KMB!AJ95,KMB!AP95)))</f>
        <v>0</v>
      </c>
      <c r="I95">
        <f>SUMPRODUCT((MONTH(CHOOSE({1,2,3,4},KMB!U95,KMB!AA95,KMB!AG95,KMB!AM95))=9)*(CHOOSE({1,2,3,4},KMB!X95,KMB!AD95,KMB!AJ95,KMB!AP95)))</f>
        <v>0</v>
      </c>
      <c r="J95">
        <f>SUMPRODUCT((MONTH(CHOOSE({1,2,3,4},KMB!U95,KMB!AA95,KMB!AG95,KMB!AM95))=10)*(CHOOSE({1,2,3,4},KMB!X95,KMB!AD95,KMB!AJ95,KMB!AP95)))</f>
        <v>0</v>
      </c>
      <c r="K95">
        <f>SUMPRODUCT((MONTH(CHOOSE({1,2,3,4},KMB!U95,KMB!AA95,KMB!AG95,KMB!AM95))=11)*(CHOOSE({1,2,3,4},KMB!X95,KMB!AD95,KMB!AJ95,KMB!AP95)))</f>
        <v>0</v>
      </c>
      <c r="L95">
        <f>SUMPRODUCT((MONTH(CHOOSE({1,2,3,4},KMB!U95,KMB!AA95,KMB!AG95,KMB!AM95))=12)*(CHOOSE({1,2,3,4},KMB!X95,KMB!AD95,KMB!AJ95,KMB!AP95)))</f>
        <v>0</v>
      </c>
    </row>
    <row r="96" spans="1:12">
      <c r="A96">
        <f>SUMPRODUCT((MONTH(CHOOSE({1,2,3,4},KMB!U96,KMB!AA96,KMB!AG96,KMB!AM96))=1)*(CHOOSE({1,2,3,4},KMB!X96,KMB!AD96,KMB!AJ96,KMB!AP96)))</f>
        <v>0</v>
      </c>
      <c r="B96">
        <f>SUMPRODUCT((MONTH(CHOOSE({1,2,3,4},KMB!U96,KMB!AA96,KMB!AG96,KMB!AM96))=2)*(CHOOSE({1,2,3,4},KMB!X96,KMB!AD96,KMB!AJ96,KMB!AP96)))</f>
        <v>0</v>
      </c>
      <c r="C96">
        <f>SUMPRODUCT((MONTH(CHOOSE({1,2,3,4},KMB!U96,KMB!AA96,KMB!AG96,KMB!AM96))=3)*(CHOOSE({1,2,3,4},KMB!X96,KMB!AD96,KMB!AJ96,KMB!AP96)))</f>
        <v>0</v>
      </c>
      <c r="D96">
        <f>SUMPRODUCT((MONTH(CHOOSE({1,2,3,4},KMB!U96,KMB!AA96,KMB!AG96,KMB!AM96))=4)*(CHOOSE({1,2,3,4},KMB!X96,KMB!AD96,KMB!AJ96,KMB!AP96)))</f>
        <v>0</v>
      </c>
      <c r="E96">
        <f>SUMPRODUCT((MONTH(CHOOSE({1,2,3,4},KMB!U96,KMB!AA96,KMB!AG96,KMB!AM96))=5)*(CHOOSE({1,2,3,4},KMB!X96,KMB!AD96,KMB!AJ96,KMB!AP96)))</f>
        <v>0</v>
      </c>
      <c r="F96">
        <f>SUMPRODUCT((MONTH(CHOOSE({1,2,3,4},KMB!U96,KMB!AA96,KMB!AG96,KMB!AM96))=6)*(CHOOSE({1,2,3,4},KMB!X96,KMB!AD96,KMB!AJ96,KMB!AP96)))</f>
        <v>0</v>
      </c>
      <c r="G96">
        <f>SUMPRODUCT((MONTH(CHOOSE({1,2,3,4},KMB!U96,KMB!AA96,KMB!AG96,KMB!AM96))=7)*(CHOOSE({1,2,3,4},KMB!X96,KMB!AD96,KMB!AJ96,KMB!AP96)))</f>
        <v>0</v>
      </c>
      <c r="H96">
        <f>SUMPRODUCT((MONTH(CHOOSE({1,2,3,4},KMB!U96,KMB!AA96,KMB!AG96,KMB!AM96))=8)*(CHOOSE({1,2,3,4},KMB!X96,KMB!AD96,KMB!AJ96,KMB!AP96)))</f>
        <v>0</v>
      </c>
      <c r="I96">
        <f>SUMPRODUCT((MONTH(CHOOSE({1,2,3,4},KMB!U96,KMB!AA96,KMB!AG96,KMB!AM96))=9)*(CHOOSE({1,2,3,4},KMB!X96,KMB!AD96,KMB!AJ96,KMB!AP96)))</f>
        <v>0</v>
      </c>
      <c r="J96">
        <f>SUMPRODUCT((MONTH(CHOOSE({1,2,3,4},KMB!U96,KMB!AA96,KMB!AG96,KMB!AM96))=10)*(CHOOSE({1,2,3,4},KMB!X96,KMB!AD96,KMB!AJ96,KMB!AP96)))</f>
        <v>0</v>
      </c>
      <c r="K96">
        <f>SUMPRODUCT((MONTH(CHOOSE({1,2,3,4},KMB!U96,KMB!AA96,KMB!AG96,KMB!AM96))=11)*(CHOOSE({1,2,3,4},KMB!X96,KMB!AD96,KMB!AJ96,KMB!AP96)))</f>
        <v>0</v>
      </c>
      <c r="L96">
        <f>SUMPRODUCT((MONTH(CHOOSE({1,2,3,4},KMB!U96,KMB!AA96,KMB!AG96,KMB!AM96))=12)*(CHOOSE({1,2,3,4},KMB!X96,KMB!AD96,KMB!AJ96,KMB!AP96)))</f>
        <v>0</v>
      </c>
    </row>
    <row r="97" spans="1:12">
      <c r="A97">
        <f>SUMPRODUCT((MONTH(CHOOSE({1,2,3,4},KMB!U97,KMB!AA97,KMB!AG97,KMB!AM97))=1)*(CHOOSE({1,2,3,4},KMB!X97,KMB!AD97,KMB!AJ97,KMB!AP97)))</f>
        <v>0</v>
      </c>
      <c r="B97">
        <f>SUMPRODUCT((MONTH(CHOOSE({1,2,3,4},KMB!U97,KMB!AA97,KMB!AG97,KMB!AM97))=2)*(CHOOSE({1,2,3,4},KMB!X97,KMB!AD97,KMB!AJ97,KMB!AP97)))</f>
        <v>0</v>
      </c>
      <c r="C97">
        <f>SUMPRODUCT((MONTH(CHOOSE({1,2,3,4},KMB!U97,KMB!AA97,KMB!AG97,KMB!AM97))=3)*(CHOOSE({1,2,3,4},KMB!X97,KMB!AD97,KMB!AJ97,KMB!AP97)))</f>
        <v>0</v>
      </c>
      <c r="D97">
        <f>SUMPRODUCT((MONTH(CHOOSE({1,2,3,4},KMB!U97,KMB!AA97,KMB!AG97,KMB!AM97))=4)*(CHOOSE({1,2,3,4},KMB!X97,KMB!AD97,KMB!AJ97,KMB!AP97)))</f>
        <v>0</v>
      </c>
      <c r="E97">
        <f>SUMPRODUCT((MONTH(CHOOSE({1,2,3,4},KMB!U97,KMB!AA97,KMB!AG97,KMB!AM97))=5)*(CHOOSE({1,2,3,4},KMB!X97,KMB!AD97,KMB!AJ97,KMB!AP97)))</f>
        <v>0</v>
      </c>
      <c r="F97">
        <f>SUMPRODUCT((MONTH(CHOOSE({1,2,3,4},KMB!U97,KMB!AA97,KMB!AG97,KMB!AM97))=6)*(CHOOSE({1,2,3,4},KMB!X97,KMB!AD97,KMB!AJ97,KMB!AP97)))</f>
        <v>0</v>
      </c>
      <c r="G97">
        <f>SUMPRODUCT((MONTH(CHOOSE({1,2,3,4},KMB!U97,KMB!AA97,KMB!AG97,KMB!AM97))=7)*(CHOOSE({1,2,3,4},KMB!X97,KMB!AD97,KMB!AJ97,KMB!AP97)))</f>
        <v>0</v>
      </c>
      <c r="H97">
        <f>SUMPRODUCT((MONTH(CHOOSE({1,2,3,4},KMB!U97,KMB!AA97,KMB!AG97,KMB!AM97))=8)*(CHOOSE({1,2,3,4},KMB!X97,KMB!AD97,KMB!AJ97,KMB!AP97)))</f>
        <v>0</v>
      </c>
      <c r="I97">
        <f>SUMPRODUCT((MONTH(CHOOSE({1,2,3,4},KMB!U97,KMB!AA97,KMB!AG97,KMB!AM97))=9)*(CHOOSE({1,2,3,4},KMB!X97,KMB!AD97,KMB!AJ97,KMB!AP97)))</f>
        <v>0</v>
      </c>
      <c r="J97">
        <f>SUMPRODUCT((MONTH(CHOOSE({1,2,3,4},KMB!U97,KMB!AA97,KMB!AG97,KMB!AM97))=10)*(CHOOSE({1,2,3,4},KMB!X97,KMB!AD97,KMB!AJ97,KMB!AP97)))</f>
        <v>0</v>
      </c>
      <c r="K97">
        <f>SUMPRODUCT((MONTH(CHOOSE({1,2,3,4},KMB!U97,KMB!AA97,KMB!AG97,KMB!AM97))=11)*(CHOOSE({1,2,3,4},KMB!X97,KMB!AD97,KMB!AJ97,KMB!AP97)))</f>
        <v>0</v>
      </c>
      <c r="L97">
        <f>SUMPRODUCT((MONTH(CHOOSE({1,2,3,4},KMB!U97,KMB!AA97,KMB!AG97,KMB!AM97))=12)*(CHOOSE({1,2,3,4},KMB!X97,KMB!AD97,KMB!AJ97,KMB!AP97)))</f>
        <v>0</v>
      </c>
    </row>
    <row r="98" spans="1:12">
      <c r="A98">
        <f>SUMPRODUCT((MONTH(CHOOSE({1,2,3,4},KMB!U98,KMB!AA98,KMB!AG98,KMB!AM98))=1)*(CHOOSE({1,2,3,4},KMB!X98,KMB!AD98,KMB!AJ98,KMB!AP98)))</f>
        <v>0</v>
      </c>
      <c r="B98">
        <f>SUMPRODUCT((MONTH(CHOOSE({1,2,3,4},KMB!U98,KMB!AA98,KMB!AG98,KMB!AM98))=2)*(CHOOSE({1,2,3,4},KMB!X98,KMB!AD98,KMB!AJ98,KMB!AP98)))</f>
        <v>0</v>
      </c>
      <c r="C98">
        <f>SUMPRODUCT((MONTH(CHOOSE({1,2,3,4},KMB!U98,KMB!AA98,KMB!AG98,KMB!AM98))=3)*(CHOOSE({1,2,3,4},KMB!X98,KMB!AD98,KMB!AJ98,KMB!AP98)))</f>
        <v>0</v>
      </c>
      <c r="D98">
        <f>SUMPRODUCT((MONTH(CHOOSE({1,2,3,4},KMB!U98,KMB!AA98,KMB!AG98,KMB!AM98))=4)*(CHOOSE({1,2,3,4},KMB!X98,KMB!AD98,KMB!AJ98,KMB!AP98)))</f>
        <v>0</v>
      </c>
      <c r="E98">
        <f>SUMPRODUCT((MONTH(CHOOSE({1,2,3,4},KMB!U98,KMB!AA98,KMB!AG98,KMB!AM98))=5)*(CHOOSE({1,2,3,4},KMB!X98,KMB!AD98,KMB!AJ98,KMB!AP98)))</f>
        <v>0</v>
      </c>
      <c r="F98">
        <f>SUMPRODUCT((MONTH(CHOOSE({1,2,3,4},KMB!U98,KMB!AA98,KMB!AG98,KMB!AM98))=6)*(CHOOSE({1,2,3,4},KMB!X98,KMB!AD98,KMB!AJ98,KMB!AP98)))</f>
        <v>0</v>
      </c>
      <c r="G98">
        <f>SUMPRODUCT((MONTH(CHOOSE({1,2,3,4},KMB!U98,KMB!AA98,KMB!AG98,KMB!AM98))=7)*(CHOOSE({1,2,3,4},KMB!X98,KMB!AD98,KMB!AJ98,KMB!AP98)))</f>
        <v>0</v>
      </c>
      <c r="H98">
        <f>SUMPRODUCT((MONTH(CHOOSE({1,2,3,4},KMB!U98,KMB!AA98,KMB!AG98,KMB!AM98))=8)*(CHOOSE({1,2,3,4},KMB!X98,KMB!AD98,KMB!AJ98,KMB!AP98)))</f>
        <v>0</v>
      </c>
      <c r="I98">
        <f>SUMPRODUCT((MONTH(CHOOSE({1,2,3,4},KMB!U98,KMB!AA98,KMB!AG98,KMB!AM98))=9)*(CHOOSE({1,2,3,4},KMB!X98,KMB!AD98,KMB!AJ98,KMB!AP98)))</f>
        <v>0</v>
      </c>
      <c r="J98">
        <f>SUMPRODUCT((MONTH(CHOOSE({1,2,3,4},KMB!U98,KMB!AA98,KMB!AG98,KMB!AM98))=10)*(CHOOSE({1,2,3,4},KMB!X98,KMB!AD98,KMB!AJ98,KMB!AP98)))</f>
        <v>0</v>
      </c>
      <c r="K98">
        <f>SUMPRODUCT((MONTH(CHOOSE({1,2,3,4},KMB!U98,KMB!AA98,KMB!AG98,KMB!AM98))=11)*(CHOOSE({1,2,3,4},KMB!X98,KMB!AD98,KMB!AJ98,KMB!AP98)))</f>
        <v>0</v>
      </c>
      <c r="L98">
        <f>SUMPRODUCT((MONTH(CHOOSE({1,2,3,4},KMB!U98,KMB!AA98,KMB!AG98,KMB!AM98))=12)*(CHOOSE({1,2,3,4},KMB!X98,KMB!AD98,KMB!AJ98,KMB!AP98)))</f>
        <v>0</v>
      </c>
    </row>
    <row r="99" spans="1:12">
      <c r="A99">
        <f>SUMPRODUCT((MONTH(CHOOSE({1,2,3,4},KMB!U99,KMB!AA99,KMB!AG99,KMB!AM99))=1)*(CHOOSE({1,2,3,4},KMB!X99,KMB!AD99,KMB!AJ99,KMB!AP99)))</f>
        <v>0</v>
      </c>
      <c r="B99">
        <f>SUMPRODUCT((MONTH(CHOOSE({1,2,3,4},KMB!U99,KMB!AA99,KMB!AG99,KMB!AM99))=2)*(CHOOSE({1,2,3,4},KMB!X99,KMB!AD99,KMB!AJ99,KMB!AP99)))</f>
        <v>0</v>
      </c>
      <c r="C99">
        <f>SUMPRODUCT((MONTH(CHOOSE({1,2,3,4},KMB!U99,KMB!AA99,KMB!AG99,KMB!AM99))=3)*(CHOOSE({1,2,3,4},KMB!X99,KMB!AD99,KMB!AJ99,KMB!AP99)))</f>
        <v>0</v>
      </c>
      <c r="D99">
        <f>SUMPRODUCT((MONTH(CHOOSE({1,2,3,4},KMB!U99,KMB!AA99,KMB!AG99,KMB!AM99))=4)*(CHOOSE({1,2,3,4},KMB!X99,KMB!AD99,KMB!AJ99,KMB!AP99)))</f>
        <v>0</v>
      </c>
      <c r="E99">
        <f>SUMPRODUCT((MONTH(CHOOSE({1,2,3,4},KMB!U99,KMB!AA99,KMB!AG99,KMB!AM99))=5)*(CHOOSE({1,2,3,4},KMB!X99,KMB!AD99,KMB!AJ99,KMB!AP99)))</f>
        <v>0</v>
      </c>
      <c r="F99">
        <f>SUMPRODUCT((MONTH(CHOOSE({1,2,3,4},KMB!U99,KMB!AA99,KMB!AG99,KMB!AM99))=6)*(CHOOSE({1,2,3,4},KMB!X99,KMB!AD99,KMB!AJ99,KMB!AP99)))</f>
        <v>0</v>
      </c>
      <c r="G99">
        <f>SUMPRODUCT((MONTH(CHOOSE({1,2,3,4},KMB!U99,KMB!AA99,KMB!AG99,KMB!AM99))=7)*(CHOOSE({1,2,3,4},KMB!X99,KMB!AD99,KMB!AJ99,KMB!AP99)))</f>
        <v>0</v>
      </c>
      <c r="H99">
        <f>SUMPRODUCT((MONTH(CHOOSE({1,2,3,4},KMB!U99,KMB!AA99,KMB!AG99,KMB!AM99))=8)*(CHOOSE({1,2,3,4},KMB!X99,KMB!AD99,KMB!AJ99,KMB!AP99)))</f>
        <v>0</v>
      </c>
      <c r="I99">
        <f>SUMPRODUCT((MONTH(CHOOSE({1,2,3,4},KMB!U99,KMB!AA99,KMB!AG99,KMB!AM99))=9)*(CHOOSE({1,2,3,4},KMB!X99,KMB!AD99,KMB!AJ99,KMB!AP99)))</f>
        <v>0</v>
      </c>
      <c r="J99">
        <f>SUMPRODUCT((MONTH(CHOOSE({1,2,3,4},KMB!U99,KMB!AA99,KMB!AG99,KMB!AM99))=10)*(CHOOSE({1,2,3,4},KMB!X99,KMB!AD99,KMB!AJ99,KMB!AP99)))</f>
        <v>0</v>
      </c>
      <c r="K99">
        <f>SUMPRODUCT((MONTH(CHOOSE({1,2,3,4},KMB!U99,KMB!AA99,KMB!AG99,KMB!AM99))=11)*(CHOOSE({1,2,3,4},KMB!X99,KMB!AD99,KMB!AJ99,KMB!AP99)))</f>
        <v>0</v>
      </c>
      <c r="L99">
        <f>SUMPRODUCT((MONTH(CHOOSE({1,2,3,4},KMB!U99,KMB!AA99,KMB!AG99,KMB!AM99))=12)*(CHOOSE({1,2,3,4},KMB!X99,KMB!AD99,KMB!AJ99,KMB!AP99)))</f>
        <v>0</v>
      </c>
    </row>
    <row r="100" spans="1:12">
      <c r="A100">
        <f>SUMPRODUCT((MONTH(CHOOSE({1,2,3,4},KMB!U100,KMB!AA100,KMB!AG100,KMB!AM100))=1)*(CHOOSE({1,2,3,4},KMB!X100,KMB!AD100,KMB!AJ100,KMB!AP100)))</f>
        <v>0</v>
      </c>
      <c r="B100">
        <f>SUMPRODUCT((MONTH(CHOOSE({1,2,3,4},KMB!U100,KMB!AA100,KMB!AG100,KMB!AM100))=2)*(CHOOSE({1,2,3,4},KMB!X100,KMB!AD100,KMB!AJ100,KMB!AP100)))</f>
        <v>0</v>
      </c>
      <c r="C100">
        <f>SUMPRODUCT((MONTH(CHOOSE({1,2,3,4},KMB!U100,KMB!AA100,KMB!AG100,KMB!AM100))=3)*(CHOOSE({1,2,3,4},KMB!X100,KMB!AD100,KMB!AJ100,KMB!AP100)))</f>
        <v>0</v>
      </c>
      <c r="D100">
        <f>SUMPRODUCT((MONTH(CHOOSE({1,2,3,4},KMB!U100,KMB!AA100,KMB!AG100,KMB!AM100))=4)*(CHOOSE({1,2,3,4},KMB!X100,KMB!AD100,KMB!AJ100,KMB!AP100)))</f>
        <v>0</v>
      </c>
      <c r="E100">
        <f>SUMPRODUCT((MONTH(CHOOSE({1,2,3,4},KMB!U100,KMB!AA100,KMB!AG100,KMB!AM100))=5)*(CHOOSE({1,2,3,4},KMB!X100,KMB!AD100,KMB!AJ100,KMB!AP100)))</f>
        <v>0</v>
      </c>
      <c r="F100">
        <f>SUMPRODUCT((MONTH(CHOOSE({1,2,3,4},KMB!U100,KMB!AA100,KMB!AG100,KMB!AM100))=6)*(CHOOSE({1,2,3,4},KMB!X100,KMB!AD100,KMB!AJ100,KMB!AP100)))</f>
        <v>0</v>
      </c>
      <c r="G100">
        <f>SUMPRODUCT((MONTH(CHOOSE({1,2,3,4},KMB!U100,KMB!AA100,KMB!AG100,KMB!AM100))=7)*(CHOOSE({1,2,3,4},KMB!X100,KMB!AD100,KMB!AJ100,KMB!AP100)))</f>
        <v>0</v>
      </c>
      <c r="H100">
        <f>SUMPRODUCT((MONTH(CHOOSE({1,2,3,4},KMB!U100,KMB!AA100,KMB!AG100,KMB!AM100))=8)*(CHOOSE({1,2,3,4},KMB!X100,KMB!AD100,KMB!AJ100,KMB!AP100)))</f>
        <v>0</v>
      </c>
      <c r="I100">
        <f>SUMPRODUCT((MONTH(CHOOSE({1,2,3,4},KMB!U100,KMB!AA100,KMB!AG100,KMB!AM100))=9)*(CHOOSE({1,2,3,4},KMB!X100,KMB!AD100,KMB!AJ100,KMB!AP100)))</f>
        <v>0</v>
      </c>
      <c r="J100">
        <f>SUMPRODUCT((MONTH(CHOOSE({1,2,3,4},KMB!U100,KMB!AA100,KMB!AG100,KMB!AM100))=10)*(CHOOSE({1,2,3,4},KMB!X100,KMB!AD100,KMB!AJ100,KMB!AP100)))</f>
        <v>0</v>
      </c>
      <c r="K100">
        <f>SUMPRODUCT((MONTH(CHOOSE({1,2,3,4},KMB!U100,KMB!AA100,KMB!AG100,KMB!AM100))=11)*(CHOOSE({1,2,3,4},KMB!X100,KMB!AD100,KMB!AJ100,KMB!AP100)))</f>
        <v>0</v>
      </c>
      <c r="L100">
        <f>SUMPRODUCT((MONTH(CHOOSE({1,2,3,4},KMB!U100,KMB!AA100,KMB!AG100,KMB!AM100))=12)*(CHOOSE({1,2,3,4},KMB!X100,KMB!AD100,KMB!AJ100,KMB!AP100)))</f>
        <v>0</v>
      </c>
    </row>
    <row r="101" spans="1:12">
      <c r="A101">
        <f>SUMPRODUCT((MONTH(CHOOSE({1,2,3,4},KMB!U101,KMB!AA101,KMB!AG101,KMB!AM101))=1)*(CHOOSE({1,2,3,4},KMB!X101,KMB!AD101,KMB!AJ101,KMB!AP101)))</f>
        <v>0</v>
      </c>
      <c r="B101">
        <f>SUMPRODUCT((MONTH(CHOOSE({1,2,3,4},KMB!U101,KMB!AA101,KMB!AG101,KMB!AM101))=2)*(CHOOSE({1,2,3,4},KMB!X101,KMB!AD101,KMB!AJ101,KMB!AP101)))</f>
        <v>0</v>
      </c>
      <c r="C101">
        <f>SUMPRODUCT((MONTH(CHOOSE({1,2,3,4},KMB!U101,KMB!AA101,KMB!AG101,KMB!AM101))=3)*(CHOOSE({1,2,3,4},KMB!X101,KMB!AD101,KMB!AJ101,KMB!AP101)))</f>
        <v>0</v>
      </c>
      <c r="D101">
        <f>SUMPRODUCT((MONTH(CHOOSE({1,2,3,4},KMB!U101,KMB!AA101,KMB!AG101,KMB!AM101))=4)*(CHOOSE({1,2,3,4},KMB!X101,KMB!AD101,KMB!AJ101,KMB!AP101)))</f>
        <v>0</v>
      </c>
      <c r="E101">
        <f>SUMPRODUCT((MONTH(CHOOSE({1,2,3,4},KMB!U101,KMB!AA101,KMB!AG101,KMB!AM101))=5)*(CHOOSE({1,2,3,4},KMB!X101,KMB!AD101,KMB!AJ101,KMB!AP101)))</f>
        <v>0</v>
      </c>
      <c r="F101">
        <f>SUMPRODUCT((MONTH(CHOOSE({1,2,3,4},KMB!U101,KMB!AA101,KMB!AG101,KMB!AM101))=6)*(CHOOSE({1,2,3,4},KMB!X101,KMB!AD101,KMB!AJ101,KMB!AP101)))</f>
        <v>0</v>
      </c>
      <c r="G101">
        <f>SUMPRODUCT((MONTH(CHOOSE({1,2,3,4},KMB!U101,KMB!AA101,KMB!AG101,KMB!AM101))=7)*(CHOOSE({1,2,3,4},KMB!X101,KMB!AD101,KMB!AJ101,KMB!AP101)))</f>
        <v>0</v>
      </c>
      <c r="H101">
        <f>SUMPRODUCT((MONTH(CHOOSE({1,2,3,4},KMB!U101,KMB!AA101,KMB!AG101,KMB!AM101))=8)*(CHOOSE({1,2,3,4},KMB!X101,KMB!AD101,KMB!AJ101,KMB!AP101)))</f>
        <v>0</v>
      </c>
      <c r="I101">
        <f>SUMPRODUCT((MONTH(CHOOSE({1,2,3,4},KMB!U101,KMB!AA101,KMB!AG101,KMB!AM101))=9)*(CHOOSE({1,2,3,4},KMB!X101,KMB!AD101,KMB!AJ101,KMB!AP101)))</f>
        <v>0</v>
      </c>
      <c r="J101">
        <f>SUMPRODUCT((MONTH(CHOOSE({1,2,3,4},KMB!U101,KMB!AA101,KMB!AG101,KMB!AM101))=10)*(CHOOSE({1,2,3,4},KMB!X101,KMB!AD101,KMB!AJ101,KMB!AP101)))</f>
        <v>0</v>
      </c>
      <c r="K101">
        <f>SUMPRODUCT((MONTH(CHOOSE({1,2,3,4},KMB!U101,KMB!AA101,KMB!AG101,KMB!AM101))=11)*(CHOOSE({1,2,3,4},KMB!X101,KMB!AD101,KMB!AJ101,KMB!AP101)))</f>
        <v>0</v>
      </c>
      <c r="L101">
        <f>SUMPRODUCT((MONTH(CHOOSE({1,2,3,4},KMB!U101,KMB!AA101,KMB!AG101,KMB!AM101))=12)*(CHOOSE({1,2,3,4},KMB!X101,KMB!AD101,KMB!AJ101,KMB!AP101)))</f>
        <v>0</v>
      </c>
    </row>
    <row r="102" spans="1:12">
      <c r="A102">
        <f>SUMPRODUCT((MONTH(CHOOSE({1,2,3,4},KMB!U102,KMB!AA102,KMB!AG102,KMB!AM102))=1)*(CHOOSE({1,2,3,4},KMB!X102,KMB!AD102,KMB!AJ102,KMB!AP102)))</f>
        <v>0</v>
      </c>
      <c r="B102">
        <f>SUMPRODUCT((MONTH(CHOOSE({1,2,3,4},KMB!U102,KMB!AA102,KMB!AG102,KMB!AM102))=2)*(CHOOSE({1,2,3,4},KMB!X102,KMB!AD102,KMB!AJ102,KMB!AP102)))</f>
        <v>0</v>
      </c>
      <c r="C102">
        <f>SUMPRODUCT((MONTH(CHOOSE({1,2,3,4},KMB!U102,KMB!AA102,KMB!AG102,KMB!AM102))=3)*(CHOOSE({1,2,3,4},KMB!X102,KMB!AD102,KMB!AJ102,KMB!AP102)))</f>
        <v>0</v>
      </c>
      <c r="D102">
        <f>SUMPRODUCT((MONTH(CHOOSE({1,2,3,4},KMB!U102,KMB!AA102,KMB!AG102,KMB!AM102))=4)*(CHOOSE({1,2,3,4},KMB!X102,KMB!AD102,KMB!AJ102,KMB!AP102)))</f>
        <v>0</v>
      </c>
      <c r="E102">
        <f>SUMPRODUCT((MONTH(CHOOSE({1,2,3,4},KMB!U102,KMB!AA102,KMB!AG102,KMB!AM102))=5)*(CHOOSE({1,2,3,4},KMB!X102,KMB!AD102,KMB!AJ102,KMB!AP102)))</f>
        <v>0</v>
      </c>
      <c r="F102">
        <f>SUMPRODUCT((MONTH(CHOOSE({1,2,3,4},KMB!U102,KMB!AA102,KMB!AG102,KMB!AM102))=6)*(CHOOSE({1,2,3,4},KMB!X102,KMB!AD102,KMB!AJ102,KMB!AP102)))</f>
        <v>0</v>
      </c>
      <c r="G102">
        <f>SUMPRODUCT((MONTH(CHOOSE({1,2,3,4},KMB!U102,KMB!AA102,KMB!AG102,KMB!AM102))=7)*(CHOOSE({1,2,3,4},KMB!X102,KMB!AD102,KMB!AJ102,KMB!AP102)))</f>
        <v>0</v>
      </c>
      <c r="H102">
        <f>SUMPRODUCT((MONTH(CHOOSE({1,2,3,4},KMB!U102,KMB!AA102,KMB!AG102,KMB!AM102))=8)*(CHOOSE({1,2,3,4},KMB!X102,KMB!AD102,KMB!AJ102,KMB!AP102)))</f>
        <v>0</v>
      </c>
      <c r="I102">
        <f>SUMPRODUCT((MONTH(CHOOSE({1,2,3,4},KMB!U102,KMB!AA102,KMB!AG102,KMB!AM102))=9)*(CHOOSE({1,2,3,4},KMB!X102,KMB!AD102,KMB!AJ102,KMB!AP102)))</f>
        <v>0</v>
      </c>
      <c r="J102">
        <f>SUMPRODUCT((MONTH(CHOOSE({1,2,3,4},KMB!U102,KMB!AA102,KMB!AG102,KMB!AM102))=10)*(CHOOSE({1,2,3,4},KMB!X102,KMB!AD102,KMB!AJ102,KMB!AP102)))</f>
        <v>0</v>
      </c>
      <c r="K102">
        <f>SUMPRODUCT((MONTH(CHOOSE({1,2,3,4},KMB!U102,KMB!AA102,KMB!AG102,KMB!AM102))=11)*(CHOOSE({1,2,3,4},KMB!X102,KMB!AD102,KMB!AJ102,KMB!AP102)))</f>
        <v>0</v>
      </c>
      <c r="L102">
        <f>SUMPRODUCT((MONTH(CHOOSE({1,2,3,4},KMB!U102,KMB!AA102,KMB!AG102,KMB!AM102))=12)*(CHOOSE({1,2,3,4},KMB!X102,KMB!AD102,KMB!AJ102,KMB!AP102)))</f>
        <v>0</v>
      </c>
    </row>
    <row r="103" spans="1:12">
      <c r="A103">
        <f>SUMPRODUCT((MONTH(CHOOSE({1,2,3,4},KMB!U103,KMB!AA103,KMB!AG103,KMB!AM103))=1)*(CHOOSE({1,2,3,4},KMB!X103,KMB!AD103,KMB!AJ103,KMB!AP103)))</f>
        <v>0</v>
      </c>
      <c r="B103">
        <f>SUMPRODUCT((MONTH(CHOOSE({1,2,3,4},KMB!U103,KMB!AA103,KMB!AG103,KMB!AM103))=2)*(CHOOSE({1,2,3,4},KMB!X103,KMB!AD103,KMB!AJ103,KMB!AP103)))</f>
        <v>0</v>
      </c>
      <c r="C103">
        <f>SUMPRODUCT((MONTH(CHOOSE({1,2,3,4},KMB!U103,KMB!AA103,KMB!AG103,KMB!AM103))=3)*(CHOOSE({1,2,3,4},KMB!X103,KMB!AD103,KMB!AJ103,KMB!AP103)))</f>
        <v>0</v>
      </c>
      <c r="D103">
        <f>SUMPRODUCT((MONTH(CHOOSE({1,2,3,4},KMB!U103,KMB!AA103,KMB!AG103,KMB!AM103))=4)*(CHOOSE({1,2,3,4},KMB!X103,KMB!AD103,KMB!AJ103,KMB!AP103)))</f>
        <v>0</v>
      </c>
      <c r="E103">
        <f>SUMPRODUCT((MONTH(CHOOSE({1,2,3,4},KMB!U103,KMB!AA103,KMB!AG103,KMB!AM103))=5)*(CHOOSE({1,2,3,4},KMB!X103,KMB!AD103,KMB!AJ103,KMB!AP103)))</f>
        <v>0</v>
      </c>
      <c r="F103">
        <f>SUMPRODUCT((MONTH(CHOOSE({1,2,3,4},KMB!U103,KMB!AA103,KMB!AG103,KMB!AM103))=6)*(CHOOSE({1,2,3,4},KMB!X103,KMB!AD103,KMB!AJ103,KMB!AP103)))</f>
        <v>0</v>
      </c>
      <c r="G103">
        <f>SUMPRODUCT((MONTH(CHOOSE({1,2,3,4},KMB!U103,KMB!AA103,KMB!AG103,KMB!AM103))=7)*(CHOOSE({1,2,3,4},KMB!X103,KMB!AD103,KMB!AJ103,KMB!AP103)))</f>
        <v>0</v>
      </c>
      <c r="H103">
        <f>SUMPRODUCT((MONTH(CHOOSE({1,2,3,4},KMB!U103,KMB!AA103,KMB!AG103,KMB!AM103))=8)*(CHOOSE({1,2,3,4},KMB!X103,KMB!AD103,KMB!AJ103,KMB!AP103)))</f>
        <v>0</v>
      </c>
      <c r="I103">
        <f>SUMPRODUCT((MONTH(CHOOSE({1,2,3,4},KMB!U103,KMB!AA103,KMB!AG103,KMB!AM103))=9)*(CHOOSE({1,2,3,4},KMB!X103,KMB!AD103,KMB!AJ103,KMB!AP103)))</f>
        <v>0</v>
      </c>
      <c r="J103">
        <f>SUMPRODUCT((MONTH(CHOOSE({1,2,3,4},KMB!U103,KMB!AA103,KMB!AG103,KMB!AM103))=10)*(CHOOSE({1,2,3,4},KMB!X103,KMB!AD103,KMB!AJ103,KMB!AP103)))</f>
        <v>0</v>
      </c>
      <c r="K103">
        <f>SUMPRODUCT((MONTH(CHOOSE({1,2,3,4},KMB!U103,KMB!AA103,KMB!AG103,KMB!AM103))=11)*(CHOOSE({1,2,3,4},KMB!X103,KMB!AD103,KMB!AJ103,KMB!AP103)))</f>
        <v>0</v>
      </c>
      <c r="L103">
        <f>SUMPRODUCT((MONTH(CHOOSE({1,2,3,4},KMB!U103,KMB!AA103,KMB!AG103,KMB!AM103))=12)*(CHOOSE({1,2,3,4},KMB!X103,KMB!AD103,KMB!AJ103,KMB!AP103)))</f>
        <v>0</v>
      </c>
    </row>
    <row r="104" spans="1:12">
      <c r="A104">
        <f>SUMPRODUCT((MONTH(CHOOSE({1,2,3,4},KMB!U104,KMB!AA104,KMB!AG104,KMB!AM104))=1)*(CHOOSE({1,2,3,4},KMB!X104,KMB!AD104,KMB!AJ104,KMB!AP104)))</f>
        <v>0</v>
      </c>
      <c r="B104">
        <f>SUMPRODUCT((MONTH(CHOOSE({1,2,3,4},KMB!U104,KMB!AA104,KMB!AG104,KMB!AM104))=2)*(CHOOSE({1,2,3,4},KMB!X104,KMB!AD104,KMB!AJ104,KMB!AP104)))</f>
        <v>0</v>
      </c>
      <c r="C104">
        <f>SUMPRODUCT((MONTH(CHOOSE({1,2,3,4},KMB!U104,KMB!AA104,KMB!AG104,KMB!AM104))=3)*(CHOOSE({1,2,3,4},KMB!X104,KMB!AD104,KMB!AJ104,KMB!AP104)))</f>
        <v>0</v>
      </c>
      <c r="D104">
        <f>SUMPRODUCT((MONTH(CHOOSE({1,2,3,4},KMB!U104,KMB!AA104,KMB!AG104,KMB!AM104))=4)*(CHOOSE({1,2,3,4},KMB!X104,KMB!AD104,KMB!AJ104,KMB!AP104)))</f>
        <v>0</v>
      </c>
      <c r="E104">
        <f>SUMPRODUCT((MONTH(CHOOSE({1,2,3,4},KMB!U104,KMB!AA104,KMB!AG104,KMB!AM104))=5)*(CHOOSE({1,2,3,4},KMB!X104,KMB!AD104,KMB!AJ104,KMB!AP104)))</f>
        <v>0</v>
      </c>
      <c r="F104">
        <f>SUMPRODUCT((MONTH(CHOOSE({1,2,3,4},KMB!U104,KMB!AA104,KMB!AG104,KMB!AM104))=6)*(CHOOSE({1,2,3,4},KMB!X104,KMB!AD104,KMB!AJ104,KMB!AP104)))</f>
        <v>0</v>
      </c>
      <c r="G104">
        <f>SUMPRODUCT((MONTH(CHOOSE({1,2,3,4},KMB!U104,KMB!AA104,KMB!AG104,KMB!AM104))=7)*(CHOOSE({1,2,3,4},KMB!X104,KMB!AD104,KMB!AJ104,KMB!AP104)))</f>
        <v>0</v>
      </c>
      <c r="H104">
        <f>SUMPRODUCT((MONTH(CHOOSE({1,2,3,4},KMB!U104,KMB!AA104,KMB!AG104,KMB!AM104))=8)*(CHOOSE({1,2,3,4},KMB!X104,KMB!AD104,KMB!AJ104,KMB!AP104)))</f>
        <v>0</v>
      </c>
      <c r="I104">
        <f>SUMPRODUCT((MONTH(CHOOSE({1,2,3,4},KMB!U104,KMB!AA104,KMB!AG104,KMB!AM104))=9)*(CHOOSE({1,2,3,4},KMB!X104,KMB!AD104,KMB!AJ104,KMB!AP104)))</f>
        <v>0</v>
      </c>
      <c r="J104">
        <f>SUMPRODUCT((MONTH(CHOOSE({1,2,3,4},KMB!U104,KMB!AA104,KMB!AG104,KMB!AM104))=10)*(CHOOSE({1,2,3,4},KMB!X104,KMB!AD104,KMB!AJ104,KMB!AP104)))</f>
        <v>0</v>
      </c>
      <c r="K104">
        <f>SUMPRODUCT((MONTH(CHOOSE({1,2,3,4},KMB!U104,KMB!AA104,KMB!AG104,KMB!AM104))=11)*(CHOOSE({1,2,3,4},KMB!X104,KMB!AD104,KMB!AJ104,KMB!AP104)))</f>
        <v>0</v>
      </c>
      <c r="L104">
        <f>SUMPRODUCT((MONTH(CHOOSE({1,2,3,4},KMB!U104,KMB!AA104,KMB!AG104,KMB!AM104))=12)*(CHOOSE({1,2,3,4},KMB!X104,KMB!AD104,KMB!AJ104,KMB!AP104)))</f>
        <v>0</v>
      </c>
    </row>
    <row r="105" spans="1:12">
      <c r="A105">
        <f>SUMPRODUCT((MONTH(CHOOSE({1,2,3,4},KMB!U105,KMB!AA105,KMB!AG105,KMB!AM105))=1)*(CHOOSE({1,2,3,4},KMB!X105,KMB!AD105,KMB!AJ105,KMB!AP105)))</f>
        <v>0</v>
      </c>
      <c r="B105">
        <f>SUMPRODUCT((MONTH(CHOOSE({1,2,3,4},KMB!U105,KMB!AA105,KMB!AG105,KMB!AM105))=2)*(CHOOSE({1,2,3,4},KMB!X105,KMB!AD105,KMB!AJ105,KMB!AP105)))</f>
        <v>0</v>
      </c>
      <c r="C105">
        <f>SUMPRODUCT((MONTH(CHOOSE({1,2,3,4},KMB!U105,KMB!AA105,KMB!AG105,KMB!AM105))=3)*(CHOOSE({1,2,3,4},KMB!X105,KMB!AD105,KMB!AJ105,KMB!AP105)))</f>
        <v>0</v>
      </c>
      <c r="D105">
        <f>SUMPRODUCT((MONTH(CHOOSE({1,2,3,4},KMB!U105,KMB!AA105,KMB!AG105,KMB!AM105))=4)*(CHOOSE({1,2,3,4},KMB!X105,KMB!AD105,KMB!AJ105,KMB!AP105)))</f>
        <v>0</v>
      </c>
      <c r="E105">
        <f>SUMPRODUCT((MONTH(CHOOSE({1,2,3,4},KMB!U105,KMB!AA105,KMB!AG105,KMB!AM105))=5)*(CHOOSE({1,2,3,4},KMB!X105,KMB!AD105,KMB!AJ105,KMB!AP105)))</f>
        <v>0</v>
      </c>
      <c r="F105">
        <f>SUMPRODUCT((MONTH(CHOOSE({1,2,3,4},KMB!U105,KMB!AA105,KMB!AG105,KMB!AM105))=6)*(CHOOSE({1,2,3,4},KMB!X105,KMB!AD105,KMB!AJ105,KMB!AP105)))</f>
        <v>0</v>
      </c>
      <c r="G105">
        <f>SUMPRODUCT((MONTH(CHOOSE({1,2,3,4},KMB!U105,KMB!AA105,KMB!AG105,KMB!AM105))=7)*(CHOOSE({1,2,3,4},KMB!X105,KMB!AD105,KMB!AJ105,KMB!AP105)))</f>
        <v>0</v>
      </c>
      <c r="H105">
        <f>SUMPRODUCT((MONTH(CHOOSE({1,2,3,4},KMB!U105,KMB!AA105,KMB!AG105,KMB!AM105))=8)*(CHOOSE({1,2,3,4},KMB!X105,KMB!AD105,KMB!AJ105,KMB!AP105)))</f>
        <v>0</v>
      </c>
      <c r="I105">
        <f>SUMPRODUCT((MONTH(CHOOSE({1,2,3,4},KMB!U105,KMB!AA105,KMB!AG105,KMB!AM105))=9)*(CHOOSE({1,2,3,4},KMB!X105,KMB!AD105,KMB!AJ105,KMB!AP105)))</f>
        <v>0</v>
      </c>
      <c r="J105">
        <f>SUMPRODUCT((MONTH(CHOOSE({1,2,3,4},KMB!U105,KMB!AA105,KMB!AG105,KMB!AM105))=10)*(CHOOSE({1,2,3,4},KMB!X105,KMB!AD105,KMB!AJ105,KMB!AP105)))</f>
        <v>0</v>
      </c>
      <c r="K105">
        <f>SUMPRODUCT((MONTH(CHOOSE({1,2,3,4},KMB!U105,KMB!AA105,KMB!AG105,KMB!AM105))=11)*(CHOOSE({1,2,3,4},KMB!X105,KMB!AD105,KMB!AJ105,KMB!AP105)))</f>
        <v>0</v>
      </c>
      <c r="L105">
        <f>SUMPRODUCT((MONTH(CHOOSE({1,2,3,4},KMB!U105,KMB!AA105,KMB!AG105,KMB!AM105))=12)*(CHOOSE({1,2,3,4},KMB!X105,KMB!AD105,KMB!AJ105,KMB!AP105)))</f>
        <v>0</v>
      </c>
    </row>
    <row r="106" spans="1:12">
      <c r="A106">
        <f>SUMPRODUCT((MONTH(CHOOSE({1,2,3,4},KMB!U106,KMB!AA106,KMB!AG106,KMB!AM106))=1)*(CHOOSE({1,2,3,4},KMB!X106,KMB!AD106,KMB!AJ106,KMB!AP106)))</f>
        <v>0</v>
      </c>
      <c r="B106">
        <f>SUMPRODUCT((MONTH(CHOOSE({1,2,3,4},KMB!U106,KMB!AA106,KMB!AG106,KMB!AM106))=2)*(CHOOSE({1,2,3,4},KMB!X106,KMB!AD106,KMB!AJ106,KMB!AP106)))</f>
        <v>0</v>
      </c>
      <c r="C106">
        <f>SUMPRODUCT((MONTH(CHOOSE({1,2,3,4},KMB!U106,KMB!AA106,KMB!AG106,KMB!AM106))=3)*(CHOOSE({1,2,3,4},KMB!X106,KMB!AD106,KMB!AJ106,KMB!AP106)))</f>
        <v>0</v>
      </c>
      <c r="D106">
        <f>SUMPRODUCT((MONTH(CHOOSE({1,2,3,4},KMB!U106,KMB!AA106,KMB!AG106,KMB!AM106))=4)*(CHOOSE({1,2,3,4},KMB!X106,KMB!AD106,KMB!AJ106,KMB!AP106)))</f>
        <v>0</v>
      </c>
      <c r="E106">
        <f>SUMPRODUCT((MONTH(CHOOSE({1,2,3,4},KMB!U106,KMB!AA106,KMB!AG106,KMB!AM106))=5)*(CHOOSE({1,2,3,4},KMB!X106,KMB!AD106,KMB!AJ106,KMB!AP106)))</f>
        <v>0</v>
      </c>
      <c r="F106">
        <f>SUMPRODUCT((MONTH(CHOOSE({1,2,3,4},KMB!U106,KMB!AA106,KMB!AG106,KMB!AM106))=6)*(CHOOSE({1,2,3,4},KMB!X106,KMB!AD106,KMB!AJ106,KMB!AP106)))</f>
        <v>0</v>
      </c>
      <c r="G106">
        <f>SUMPRODUCT((MONTH(CHOOSE({1,2,3,4},KMB!U106,KMB!AA106,KMB!AG106,KMB!AM106))=7)*(CHOOSE({1,2,3,4},KMB!X106,KMB!AD106,KMB!AJ106,KMB!AP106)))</f>
        <v>0</v>
      </c>
      <c r="H106">
        <f>SUMPRODUCT((MONTH(CHOOSE({1,2,3,4},KMB!U106,KMB!AA106,KMB!AG106,KMB!AM106))=8)*(CHOOSE({1,2,3,4},KMB!X106,KMB!AD106,KMB!AJ106,KMB!AP106)))</f>
        <v>0</v>
      </c>
      <c r="I106">
        <f>SUMPRODUCT((MONTH(CHOOSE({1,2,3,4},KMB!U106,KMB!AA106,KMB!AG106,KMB!AM106))=9)*(CHOOSE({1,2,3,4},KMB!X106,KMB!AD106,KMB!AJ106,KMB!AP106)))</f>
        <v>0</v>
      </c>
      <c r="J106">
        <f>SUMPRODUCT((MONTH(CHOOSE({1,2,3,4},KMB!U106,KMB!AA106,KMB!AG106,KMB!AM106))=10)*(CHOOSE({1,2,3,4},KMB!X106,KMB!AD106,KMB!AJ106,KMB!AP106)))</f>
        <v>0</v>
      </c>
      <c r="K106">
        <f>SUMPRODUCT((MONTH(CHOOSE({1,2,3,4},KMB!U106,KMB!AA106,KMB!AG106,KMB!AM106))=11)*(CHOOSE({1,2,3,4},KMB!X106,KMB!AD106,KMB!AJ106,KMB!AP106)))</f>
        <v>0</v>
      </c>
      <c r="L106">
        <f>SUMPRODUCT((MONTH(CHOOSE({1,2,3,4},KMB!U106,KMB!AA106,KMB!AG106,KMB!AM106))=12)*(CHOOSE({1,2,3,4},KMB!X106,KMB!AD106,KMB!AJ106,KMB!AP106)))</f>
        <v>0</v>
      </c>
    </row>
    <row r="107" spans="1:12">
      <c r="A107">
        <f>SUMPRODUCT((MONTH(CHOOSE({1,2,3,4},KMB!U107,KMB!AA107,KMB!AG107,KMB!AM107))=1)*(CHOOSE({1,2,3,4},KMB!X107,KMB!AD107,KMB!AJ107,KMB!AP107)))</f>
        <v>0</v>
      </c>
      <c r="B107">
        <f>SUMPRODUCT((MONTH(CHOOSE({1,2,3,4},KMB!U107,KMB!AA107,KMB!AG107,KMB!AM107))=2)*(CHOOSE({1,2,3,4},KMB!X107,KMB!AD107,KMB!AJ107,KMB!AP107)))</f>
        <v>0</v>
      </c>
      <c r="C107">
        <f>SUMPRODUCT((MONTH(CHOOSE({1,2,3,4},KMB!U107,KMB!AA107,KMB!AG107,KMB!AM107))=3)*(CHOOSE({1,2,3,4},KMB!X107,KMB!AD107,KMB!AJ107,KMB!AP107)))</f>
        <v>0</v>
      </c>
      <c r="D107">
        <f>SUMPRODUCT((MONTH(CHOOSE({1,2,3,4},KMB!U107,KMB!AA107,KMB!AG107,KMB!AM107))=4)*(CHOOSE({1,2,3,4},KMB!X107,KMB!AD107,KMB!AJ107,KMB!AP107)))</f>
        <v>0</v>
      </c>
      <c r="E107">
        <f>SUMPRODUCT((MONTH(CHOOSE({1,2,3,4},KMB!U107,KMB!AA107,KMB!AG107,KMB!AM107))=5)*(CHOOSE({1,2,3,4},KMB!X107,KMB!AD107,KMB!AJ107,KMB!AP107)))</f>
        <v>0</v>
      </c>
      <c r="F107">
        <f>SUMPRODUCT((MONTH(CHOOSE({1,2,3,4},KMB!U107,KMB!AA107,KMB!AG107,KMB!AM107))=6)*(CHOOSE({1,2,3,4},KMB!X107,KMB!AD107,KMB!AJ107,KMB!AP107)))</f>
        <v>0</v>
      </c>
      <c r="G107">
        <f>SUMPRODUCT((MONTH(CHOOSE({1,2,3,4},KMB!U107,KMB!AA107,KMB!AG107,KMB!AM107))=7)*(CHOOSE({1,2,3,4},KMB!X107,KMB!AD107,KMB!AJ107,KMB!AP107)))</f>
        <v>0</v>
      </c>
      <c r="H107">
        <f>SUMPRODUCT((MONTH(CHOOSE({1,2,3,4},KMB!U107,KMB!AA107,KMB!AG107,KMB!AM107))=8)*(CHOOSE({1,2,3,4},KMB!X107,KMB!AD107,KMB!AJ107,KMB!AP107)))</f>
        <v>0</v>
      </c>
      <c r="I107">
        <f>SUMPRODUCT((MONTH(CHOOSE({1,2,3,4},KMB!U107,KMB!AA107,KMB!AG107,KMB!AM107))=9)*(CHOOSE({1,2,3,4},KMB!X107,KMB!AD107,KMB!AJ107,KMB!AP107)))</f>
        <v>0</v>
      </c>
      <c r="J107">
        <f>SUMPRODUCT((MONTH(CHOOSE({1,2,3,4},KMB!U107,KMB!AA107,KMB!AG107,KMB!AM107))=10)*(CHOOSE({1,2,3,4},KMB!X107,KMB!AD107,KMB!AJ107,KMB!AP107)))</f>
        <v>0</v>
      </c>
      <c r="K107">
        <f>SUMPRODUCT((MONTH(CHOOSE({1,2,3,4},KMB!U107,KMB!AA107,KMB!AG107,KMB!AM107))=11)*(CHOOSE({1,2,3,4},KMB!X107,KMB!AD107,KMB!AJ107,KMB!AP107)))</f>
        <v>0</v>
      </c>
      <c r="L107">
        <f>SUMPRODUCT((MONTH(CHOOSE({1,2,3,4},KMB!U107,KMB!AA107,KMB!AG107,KMB!AM107))=12)*(CHOOSE({1,2,3,4},KMB!X107,KMB!AD107,KMB!AJ107,KMB!AP107)))</f>
        <v>0</v>
      </c>
    </row>
    <row r="108" spans="1:12">
      <c r="A108">
        <f>SUMPRODUCT((MONTH(CHOOSE({1,2,3,4},KMB!U108,KMB!AA108,KMB!AG108,KMB!AM108))=1)*(CHOOSE({1,2,3,4},KMB!X108,KMB!AD108,KMB!AJ108,KMB!AP108)))</f>
        <v>0</v>
      </c>
      <c r="B108">
        <f>SUMPRODUCT((MONTH(CHOOSE({1,2,3,4},KMB!U108,KMB!AA108,KMB!AG108,KMB!AM108))=2)*(CHOOSE({1,2,3,4},KMB!X108,KMB!AD108,KMB!AJ108,KMB!AP108)))</f>
        <v>0</v>
      </c>
      <c r="C108">
        <f>SUMPRODUCT((MONTH(CHOOSE({1,2,3,4},KMB!U108,KMB!AA108,KMB!AG108,KMB!AM108))=3)*(CHOOSE({1,2,3,4},KMB!X108,KMB!AD108,KMB!AJ108,KMB!AP108)))</f>
        <v>0</v>
      </c>
      <c r="D108">
        <f>SUMPRODUCT((MONTH(CHOOSE({1,2,3,4},KMB!U108,KMB!AA108,KMB!AG108,KMB!AM108))=4)*(CHOOSE({1,2,3,4},KMB!X108,KMB!AD108,KMB!AJ108,KMB!AP108)))</f>
        <v>0</v>
      </c>
      <c r="E108">
        <f>SUMPRODUCT((MONTH(CHOOSE({1,2,3,4},KMB!U108,KMB!AA108,KMB!AG108,KMB!AM108))=5)*(CHOOSE({1,2,3,4},KMB!X108,KMB!AD108,KMB!AJ108,KMB!AP108)))</f>
        <v>0</v>
      </c>
      <c r="F108">
        <f>SUMPRODUCT((MONTH(CHOOSE({1,2,3,4},KMB!U108,KMB!AA108,KMB!AG108,KMB!AM108))=6)*(CHOOSE({1,2,3,4},KMB!X108,KMB!AD108,KMB!AJ108,KMB!AP108)))</f>
        <v>0</v>
      </c>
      <c r="G108">
        <f>SUMPRODUCT((MONTH(CHOOSE({1,2,3,4},KMB!U108,KMB!AA108,KMB!AG108,KMB!AM108))=7)*(CHOOSE({1,2,3,4},KMB!X108,KMB!AD108,KMB!AJ108,KMB!AP108)))</f>
        <v>0</v>
      </c>
      <c r="H108">
        <f>SUMPRODUCT((MONTH(CHOOSE({1,2,3,4},KMB!U108,KMB!AA108,KMB!AG108,KMB!AM108))=8)*(CHOOSE({1,2,3,4},KMB!X108,KMB!AD108,KMB!AJ108,KMB!AP108)))</f>
        <v>0</v>
      </c>
      <c r="I108">
        <f>SUMPRODUCT((MONTH(CHOOSE({1,2,3,4},KMB!U108,KMB!AA108,KMB!AG108,KMB!AM108))=9)*(CHOOSE({1,2,3,4},KMB!X108,KMB!AD108,KMB!AJ108,KMB!AP108)))</f>
        <v>0</v>
      </c>
      <c r="J108">
        <f>SUMPRODUCT((MONTH(CHOOSE({1,2,3,4},KMB!U108,KMB!AA108,KMB!AG108,KMB!AM108))=10)*(CHOOSE({1,2,3,4},KMB!X108,KMB!AD108,KMB!AJ108,KMB!AP108)))</f>
        <v>0</v>
      </c>
      <c r="K108">
        <f>SUMPRODUCT((MONTH(CHOOSE({1,2,3,4},KMB!U108,KMB!AA108,KMB!AG108,KMB!AM108))=11)*(CHOOSE({1,2,3,4},KMB!X108,KMB!AD108,KMB!AJ108,KMB!AP108)))</f>
        <v>0</v>
      </c>
      <c r="L108">
        <f>SUMPRODUCT((MONTH(CHOOSE({1,2,3,4},KMB!U108,KMB!AA108,KMB!AG108,KMB!AM108))=12)*(CHOOSE({1,2,3,4},KMB!X108,KMB!AD108,KMB!AJ108,KMB!AP108)))</f>
        <v>0</v>
      </c>
    </row>
    <row r="109" spans="1:12">
      <c r="A109">
        <f>SUMPRODUCT((MONTH(CHOOSE({1,2,3,4},KMB!U109,KMB!AA109,KMB!AG109,KMB!AM109))=1)*(CHOOSE({1,2,3,4},KMB!X109,KMB!AD109,KMB!AJ109,KMB!AP109)))</f>
        <v>0</v>
      </c>
      <c r="B109">
        <f>SUMPRODUCT((MONTH(CHOOSE({1,2,3,4},KMB!U109,KMB!AA109,KMB!AG109,KMB!AM109))=2)*(CHOOSE({1,2,3,4},KMB!X109,KMB!AD109,KMB!AJ109,KMB!AP109)))</f>
        <v>0</v>
      </c>
      <c r="C109">
        <f>SUMPRODUCT((MONTH(CHOOSE({1,2,3,4},KMB!U109,KMB!AA109,KMB!AG109,KMB!AM109))=3)*(CHOOSE({1,2,3,4},KMB!X109,KMB!AD109,KMB!AJ109,KMB!AP109)))</f>
        <v>0</v>
      </c>
      <c r="D109">
        <f>SUMPRODUCT((MONTH(CHOOSE({1,2,3,4},KMB!U109,KMB!AA109,KMB!AG109,KMB!AM109))=4)*(CHOOSE({1,2,3,4},KMB!X109,KMB!AD109,KMB!AJ109,KMB!AP109)))</f>
        <v>0</v>
      </c>
      <c r="E109">
        <f>SUMPRODUCT((MONTH(CHOOSE({1,2,3,4},KMB!U109,KMB!AA109,KMB!AG109,KMB!AM109))=5)*(CHOOSE({1,2,3,4},KMB!X109,KMB!AD109,KMB!AJ109,KMB!AP109)))</f>
        <v>0</v>
      </c>
      <c r="F109">
        <f>SUMPRODUCT((MONTH(CHOOSE({1,2,3,4},KMB!U109,KMB!AA109,KMB!AG109,KMB!AM109))=6)*(CHOOSE({1,2,3,4},KMB!X109,KMB!AD109,KMB!AJ109,KMB!AP109)))</f>
        <v>0</v>
      </c>
      <c r="G109">
        <f>SUMPRODUCT((MONTH(CHOOSE({1,2,3,4},KMB!U109,KMB!AA109,KMB!AG109,KMB!AM109))=7)*(CHOOSE({1,2,3,4},KMB!X109,KMB!AD109,KMB!AJ109,KMB!AP109)))</f>
        <v>0</v>
      </c>
      <c r="H109">
        <f>SUMPRODUCT((MONTH(CHOOSE({1,2,3,4},KMB!U109,KMB!AA109,KMB!AG109,KMB!AM109))=8)*(CHOOSE({1,2,3,4},KMB!X109,KMB!AD109,KMB!AJ109,KMB!AP109)))</f>
        <v>0</v>
      </c>
      <c r="I109">
        <f>SUMPRODUCT((MONTH(CHOOSE({1,2,3,4},KMB!U109,KMB!AA109,KMB!AG109,KMB!AM109))=9)*(CHOOSE({1,2,3,4},KMB!X109,KMB!AD109,KMB!AJ109,KMB!AP109)))</f>
        <v>0</v>
      </c>
      <c r="J109">
        <f>SUMPRODUCT((MONTH(CHOOSE({1,2,3,4},KMB!U109,KMB!AA109,KMB!AG109,KMB!AM109))=10)*(CHOOSE({1,2,3,4},KMB!X109,KMB!AD109,KMB!AJ109,KMB!AP109)))</f>
        <v>0</v>
      </c>
      <c r="K109">
        <f>SUMPRODUCT((MONTH(CHOOSE({1,2,3,4},KMB!U109,KMB!AA109,KMB!AG109,KMB!AM109))=11)*(CHOOSE({1,2,3,4},KMB!X109,KMB!AD109,KMB!AJ109,KMB!AP109)))</f>
        <v>0</v>
      </c>
      <c r="L109">
        <f>SUMPRODUCT((MONTH(CHOOSE({1,2,3,4},KMB!U109,KMB!AA109,KMB!AG109,KMB!AM109))=12)*(CHOOSE({1,2,3,4},KMB!X109,KMB!AD109,KMB!AJ109,KMB!AP109)))</f>
        <v>0</v>
      </c>
    </row>
    <row r="110" spans="1:12">
      <c r="A110">
        <f>SUMPRODUCT((MONTH(CHOOSE({1,2,3,4},KMB!U110,KMB!AA110,KMB!AG110,KMB!AM110))=1)*(CHOOSE({1,2,3,4},KMB!X110,KMB!AD110,KMB!AJ110,KMB!AP110)))</f>
        <v>0</v>
      </c>
      <c r="B110">
        <f>SUMPRODUCT((MONTH(CHOOSE({1,2,3,4},KMB!U110,KMB!AA110,KMB!AG110,KMB!AM110))=2)*(CHOOSE({1,2,3,4},KMB!X110,KMB!AD110,KMB!AJ110,KMB!AP110)))</f>
        <v>0</v>
      </c>
      <c r="C110">
        <f>SUMPRODUCT((MONTH(CHOOSE({1,2,3,4},KMB!U110,KMB!AA110,KMB!AG110,KMB!AM110))=3)*(CHOOSE({1,2,3,4},KMB!X110,KMB!AD110,KMB!AJ110,KMB!AP110)))</f>
        <v>0</v>
      </c>
      <c r="D110">
        <f>SUMPRODUCT((MONTH(CHOOSE({1,2,3,4},KMB!U110,KMB!AA110,KMB!AG110,KMB!AM110))=4)*(CHOOSE({1,2,3,4},KMB!X110,KMB!AD110,KMB!AJ110,KMB!AP110)))</f>
        <v>0</v>
      </c>
      <c r="E110">
        <f>SUMPRODUCT((MONTH(CHOOSE({1,2,3,4},KMB!U110,KMB!AA110,KMB!AG110,KMB!AM110))=5)*(CHOOSE({1,2,3,4},KMB!X110,KMB!AD110,KMB!AJ110,KMB!AP110)))</f>
        <v>0</v>
      </c>
      <c r="F110">
        <f>SUMPRODUCT((MONTH(CHOOSE({1,2,3,4},KMB!U110,KMB!AA110,KMB!AG110,KMB!AM110))=6)*(CHOOSE({1,2,3,4},KMB!X110,KMB!AD110,KMB!AJ110,KMB!AP110)))</f>
        <v>0</v>
      </c>
      <c r="G110">
        <f>SUMPRODUCT((MONTH(CHOOSE({1,2,3,4},KMB!U110,KMB!AA110,KMB!AG110,KMB!AM110))=7)*(CHOOSE({1,2,3,4},KMB!X110,KMB!AD110,KMB!AJ110,KMB!AP110)))</f>
        <v>0</v>
      </c>
      <c r="H110">
        <f>SUMPRODUCT((MONTH(CHOOSE({1,2,3,4},KMB!U110,KMB!AA110,KMB!AG110,KMB!AM110))=8)*(CHOOSE({1,2,3,4},KMB!X110,KMB!AD110,KMB!AJ110,KMB!AP110)))</f>
        <v>0</v>
      </c>
      <c r="I110">
        <f>SUMPRODUCT((MONTH(CHOOSE({1,2,3,4},KMB!U110,KMB!AA110,KMB!AG110,KMB!AM110))=9)*(CHOOSE({1,2,3,4},KMB!X110,KMB!AD110,KMB!AJ110,KMB!AP110)))</f>
        <v>0</v>
      </c>
      <c r="J110">
        <f>SUMPRODUCT((MONTH(CHOOSE({1,2,3,4},KMB!U110,KMB!AA110,KMB!AG110,KMB!AM110))=10)*(CHOOSE({1,2,3,4},KMB!X110,KMB!AD110,KMB!AJ110,KMB!AP110)))</f>
        <v>0</v>
      </c>
      <c r="K110">
        <f>SUMPRODUCT((MONTH(CHOOSE({1,2,3,4},KMB!U110,KMB!AA110,KMB!AG110,KMB!AM110))=11)*(CHOOSE({1,2,3,4},KMB!X110,KMB!AD110,KMB!AJ110,KMB!AP110)))</f>
        <v>0</v>
      </c>
      <c r="L110">
        <f>SUMPRODUCT((MONTH(CHOOSE({1,2,3,4},KMB!U110,KMB!AA110,KMB!AG110,KMB!AM110))=12)*(CHOOSE({1,2,3,4},KMB!X110,KMB!AD110,KMB!AJ110,KMB!AP110)))</f>
        <v>0</v>
      </c>
    </row>
    <row r="111" spans="1:12">
      <c r="A111">
        <f>SUMPRODUCT((MONTH(CHOOSE({1,2,3,4},KMB!U111,KMB!AA111,KMB!AG111,KMB!AM111))=1)*(CHOOSE({1,2,3,4},KMB!X111,KMB!AD111,KMB!AJ111,KMB!AP111)))</f>
        <v>0</v>
      </c>
      <c r="B111">
        <f>SUMPRODUCT((MONTH(CHOOSE({1,2,3,4},KMB!U111,KMB!AA111,KMB!AG111,KMB!AM111))=2)*(CHOOSE({1,2,3,4},KMB!X111,KMB!AD111,KMB!AJ111,KMB!AP111)))</f>
        <v>0</v>
      </c>
      <c r="C111">
        <f>SUMPRODUCT((MONTH(CHOOSE({1,2,3,4},KMB!U111,KMB!AA111,KMB!AG111,KMB!AM111))=3)*(CHOOSE({1,2,3,4},KMB!X111,KMB!AD111,KMB!AJ111,KMB!AP111)))</f>
        <v>0</v>
      </c>
      <c r="D111">
        <f>SUMPRODUCT((MONTH(CHOOSE({1,2,3,4},KMB!U111,KMB!AA111,KMB!AG111,KMB!AM111))=4)*(CHOOSE({1,2,3,4},KMB!X111,KMB!AD111,KMB!AJ111,KMB!AP111)))</f>
        <v>0</v>
      </c>
      <c r="E111">
        <f>SUMPRODUCT((MONTH(CHOOSE({1,2,3,4},KMB!U111,KMB!AA111,KMB!AG111,KMB!AM111))=5)*(CHOOSE({1,2,3,4},KMB!X111,KMB!AD111,KMB!AJ111,KMB!AP111)))</f>
        <v>0</v>
      </c>
      <c r="F111">
        <f>SUMPRODUCT((MONTH(CHOOSE({1,2,3,4},KMB!U111,KMB!AA111,KMB!AG111,KMB!AM111))=6)*(CHOOSE({1,2,3,4},KMB!X111,KMB!AD111,KMB!AJ111,KMB!AP111)))</f>
        <v>0</v>
      </c>
      <c r="G111">
        <f>SUMPRODUCT((MONTH(CHOOSE({1,2,3,4},KMB!U111,KMB!AA111,KMB!AG111,KMB!AM111))=7)*(CHOOSE({1,2,3,4},KMB!X111,KMB!AD111,KMB!AJ111,KMB!AP111)))</f>
        <v>0</v>
      </c>
      <c r="H111">
        <f>SUMPRODUCT((MONTH(CHOOSE({1,2,3,4},KMB!U111,KMB!AA111,KMB!AG111,KMB!AM111))=8)*(CHOOSE({1,2,3,4},KMB!X111,KMB!AD111,KMB!AJ111,KMB!AP111)))</f>
        <v>0</v>
      </c>
      <c r="I111">
        <f>SUMPRODUCT((MONTH(CHOOSE({1,2,3,4},KMB!U111,KMB!AA111,KMB!AG111,KMB!AM111))=9)*(CHOOSE({1,2,3,4},KMB!X111,KMB!AD111,KMB!AJ111,KMB!AP111)))</f>
        <v>0</v>
      </c>
      <c r="J111">
        <f>SUMPRODUCT((MONTH(CHOOSE({1,2,3,4},KMB!U111,KMB!AA111,KMB!AG111,KMB!AM111))=10)*(CHOOSE({1,2,3,4},KMB!X111,KMB!AD111,KMB!AJ111,KMB!AP111)))</f>
        <v>0</v>
      </c>
      <c r="K111">
        <f>SUMPRODUCT((MONTH(CHOOSE({1,2,3,4},KMB!U111,KMB!AA111,KMB!AG111,KMB!AM111))=11)*(CHOOSE({1,2,3,4},KMB!X111,KMB!AD111,KMB!AJ111,KMB!AP111)))</f>
        <v>0</v>
      </c>
      <c r="L111">
        <f>SUMPRODUCT((MONTH(CHOOSE({1,2,3,4},KMB!U111,KMB!AA111,KMB!AG111,KMB!AM111))=12)*(CHOOSE({1,2,3,4},KMB!X111,KMB!AD111,KMB!AJ111,KMB!AP111)))</f>
        <v>0</v>
      </c>
    </row>
    <row r="112" spans="1:12">
      <c r="A112">
        <f>SUMPRODUCT((MONTH(CHOOSE({1,2,3,4},KMB!U112,KMB!AA112,KMB!AG112,KMB!AM112))=1)*(CHOOSE({1,2,3,4},KMB!X112,KMB!AD112,KMB!AJ112,KMB!AP112)))</f>
        <v>0</v>
      </c>
      <c r="B112">
        <f>SUMPRODUCT((MONTH(CHOOSE({1,2,3,4},KMB!U112,KMB!AA112,KMB!AG112,KMB!AM112))=2)*(CHOOSE({1,2,3,4},KMB!X112,KMB!AD112,KMB!AJ112,KMB!AP112)))</f>
        <v>0</v>
      </c>
      <c r="C112">
        <f>SUMPRODUCT((MONTH(CHOOSE({1,2,3,4},KMB!U112,KMB!AA112,KMB!AG112,KMB!AM112))=3)*(CHOOSE({1,2,3,4},KMB!X112,KMB!AD112,KMB!AJ112,KMB!AP112)))</f>
        <v>0</v>
      </c>
      <c r="D112">
        <f>SUMPRODUCT((MONTH(CHOOSE({1,2,3,4},KMB!U112,KMB!AA112,KMB!AG112,KMB!AM112))=4)*(CHOOSE({1,2,3,4},KMB!X112,KMB!AD112,KMB!AJ112,KMB!AP112)))</f>
        <v>0</v>
      </c>
      <c r="E112">
        <f>SUMPRODUCT((MONTH(CHOOSE({1,2,3,4},KMB!U112,KMB!AA112,KMB!AG112,KMB!AM112))=5)*(CHOOSE({1,2,3,4},KMB!X112,KMB!AD112,KMB!AJ112,KMB!AP112)))</f>
        <v>0</v>
      </c>
      <c r="F112">
        <f>SUMPRODUCT((MONTH(CHOOSE({1,2,3,4},KMB!U112,KMB!AA112,KMB!AG112,KMB!AM112))=6)*(CHOOSE({1,2,3,4},KMB!X112,KMB!AD112,KMB!AJ112,KMB!AP112)))</f>
        <v>0</v>
      </c>
      <c r="G112">
        <f>SUMPRODUCT((MONTH(CHOOSE({1,2,3,4},KMB!U112,KMB!AA112,KMB!AG112,KMB!AM112))=7)*(CHOOSE({1,2,3,4},KMB!X112,KMB!AD112,KMB!AJ112,KMB!AP112)))</f>
        <v>0</v>
      </c>
      <c r="H112">
        <f>SUMPRODUCT((MONTH(CHOOSE({1,2,3,4},KMB!U112,KMB!AA112,KMB!AG112,KMB!AM112))=8)*(CHOOSE({1,2,3,4},KMB!X112,KMB!AD112,KMB!AJ112,KMB!AP112)))</f>
        <v>0</v>
      </c>
      <c r="I112">
        <f>SUMPRODUCT((MONTH(CHOOSE({1,2,3,4},KMB!U112,KMB!AA112,KMB!AG112,KMB!AM112))=9)*(CHOOSE({1,2,3,4},KMB!X112,KMB!AD112,KMB!AJ112,KMB!AP112)))</f>
        <v>0</v>
      </c>
      <c r="J112">
        <f>SUMPRODUCT((MONTH(CHOOSE({1,2,3,4},KMB!U112,KMB!AA112,KMB!AG112,KMB!AM112))=10)*(CHOOSE({1,2,3,4},KMB!X112,KMB!AD112,KMB!AJ112,KMB!AP112)))</f>
        <v>0</v>
      </c>
      <c r="K112">
        <f>SUMPRODUCT((MONTH(CHOOSE({1,2,3,4},KMB!U112,KMB!AA112,KMB!AG112,KMB!AM112))=11)*(CHOOSE({1,2,3,4},KMB!X112,KMB!AD112,KMB!AJ112,KMB!AP112)))</f>
        <v>0</v>
      </c>
      <c r="L112">
        <f>SUMPRODUCT((MONTH(CHOOSE({1,2,3,4},KMB!U112,KMB!AA112,KMB!AG112,KMB!AM112))=12)*(CHOOSE({1,2,3,4},KMB!X112,KMB!AD112,KMB!AJ112,KMB!AP112)))</f>
        <v>0</v>
      </c>
    </row>
    <row r="113" spans="1:12">
      <c r="A113">
        <f>SUMPRODUCT((MONTH(CHOOSE({1,2,3,4},KMB!U113,KMB!AA113,KMB!AG113,KMB!AM113))=1)*(CHOOSE({1,2,3,4},KMB!X113,KMB!AD113,KMB!AJ113,KMB!AP113)))</f>
        <v>0</v>
      </c>
      <c r="B113">
        <f>SUMPRODUCT((MONTH(CHOOSE({1,2,3,4},KMB!U113,KMB!AA113,KMB!AG113,KMB!AM113))=2)*(CHOOSE({1,2,3,4},KMB!X113,KMB!AD113,KMB!AJ113,KMB!AP113)))</f>
        <v>0</v>
      </c>
      <c r="C113">
        <f>SUMPRODUCT((MONTH(CHOOSE({1,2,3,4},KMB!U113,KMB!AA113,KMB!AG113,KMB!AM113))=3)*(CHOOSE({1,2,3,4},KMB!X113,KMB!AD113,KMB!AJ113,KMB!AP113)))</f>
        <v>0</v>
      </c>
      <c r="D113">
        <f>SUMPRODUCT((MONTH(CHOOSE({1,2,3,4},KMB!U113,KMB!AA113,KMB!AG113,KMB!AM113))=4)*(CHOOSE({1,2,3,4},KMB!X113,KMB!AD113,KMB!AJ113,KMB!AP113)))</f>
        <v>0</v>
      </c>
      <c r="E113">
        <f>SUMPRODUCT((MONTH(CHOOSE({1,2,3,4},KMB!U113,KMB!AA113,KMB!AG113,KMB!AM113))=5)*(CHOOSE({1,2,3,4},KMB!X113,KMB!AD113,KMB!AJ113,KMB!AP113)))</f>
        <v>0</v>
      </c>
      <c r="F113">
        <f>SUMPRODUCT((MONTH(CHOOSE({1,2,3,4},KMB!U113,KMB!AA113,KMB!AG113,KMB!AM113))=6)*(CHOOSE({1,2,3,4},KMB!X113,KMB!AD113,KMB!AJ113,KMB!AP113)))</f>
        <v>0</v>
      </c>
      <c r="G113">
        <f>SUMPRODUCT((MONTH(CHOOSE({1,2,3,4},KMB!U113,KMB!AA113,KMB!AG113,KMB!AM113))=7)*(CHOOSE({1,2,3,4},KMB!X113,KMB!AD113,KMB!AJ113,KMB!AP113)))</f>
        <v>0</v>
      </c>
      <c r="H113">
        <f>SUMPRODUCT((MONTH(CHOOSE({1,2,3,4},KMB!U113,KMB!AA113,KMB!AG113,KMB!AM113))=8)*(CHOOSE({1,2,3,4},KMB!X113,KMB!AD113,KMB!AJ113,KMB!AP113)))</f>
        <v>0</v>
      </c>
      <c r="I113">
        <f>SUMPRODUCT((MONTH(CHOOSE({1,2,3,4},KMB!U113,KMB!AA113,KMB!AG113,KMB!AM113))=9)*(CHOOSE({1,2,3,4},KMB!X113,KMB!AD113,KMB!AJ113,KMB!AP113)))</f>
        <v>0</v>
      </c>
      <c r="J113">
        <f>SUMPRODUCT((MONTH(CHOOSE({1,2,3,4},KMB!U113,KMB!AA113,KMB!AG113,KMB!AM113))=10)*(CHOOSE({1,2,3,4},KMB!X113,KMB!AD113,KMB!AJ113,KMB!AP113)))</f>
        <v>0</v>
      </c>
      <c r="K113">
        <f>SUMPRODUCT((MONTH(CHOOSE({1,2,3,4},KMB!U113,KMB!AA113,KMB!AG113,KMB!AM113))=11)*(CHOOSE({1,2,3,4},KMB!X113,KMB!AD113,KMB!AJ113,KMB!AP113)))</f>
        <v>0</v>
      </c>
      <c r="L113">
        <f>SUMPRODUCT((MONTH(CHOOSE({1,2,3,4},KMB!U113,KMB!AA113,KMB!AG113,KMB!AM113))=12)*(CHOOSE({1,2,3,4},KMB!X113,KMB!AD113,KMB!AJ113,KMB!AP113)))</f>
        <v>0</v>
      </c>
    </row>
    <row r="114" spans="1:12">
      <c r="A114">
        <f>SUMPRODUCT((MONTH(CHOOSE({1,2,3,4},KMB!U114,KMB!AA114,KMB!AG114,KMB!AM114))=1)*(CHOOSE({1,2,3,4},KMB!X114,KMB!AD114,KMB!AJ114,KMB!AP114)))</f>
        <v>0</v>
      </c>
      <c r="B114">
        <f>SUMPRODUCT((MONTH(CHOOSE({1,2,3,4},KMB!U114,KMB!AA114,KMB!AG114,KMB!AM114))=2)*(CHOOSE({1,2,3,4},KMB!X114,KMB!AD114,KMB!AJ114,KMB!AP114)))</f>
        <v>0</v>
      </c>
      <c r="C114">
        <f>SUMPRODUCT((MONTH(CHOOSE({1,2,3,4},KMB!U114,KMB!AA114,KMB!AG114,KMB!AM114))=3)*(CHOOSE({1,2,3,4},KMB!X114,KMB!AD114,KMB!AJ114,KMB!AP114)))</f>
        <v>0</v>
      </c>
      <c r="D114">
        <f>SUMPRODUCT((MONTH(CHOOSE({1,2,3,4},KMB!U114,KMB!AA114,KMB!AG114,KMB!AM114))=4)*(CHOOSE({1,2,3,4},KMB!X114,KMB!AD114,KMB!AJ114,KMB!AP114)))</f>
        <v>0</v>
      </c>
      <c r="E114">
        <f>SUMPRODUCT((MONTH(CHOOSE({1,2,3,4},KMB!U114,KMB!AA114,KMB!AG114,KMB!AM114))=5)*(CHOOSE({1,2,3,4},KMB!X114,KMB!AD114,KMB!AJ114,KMB!AP114)))</f>
        <v>0</v>
      </c>
      <c r="F114">
        <f>SUMPRODUCT((MONTH(CHOOSE({1,2,3,4},KMB!U114,KMB!AA114,KMB!AG114,KMB!AM114))=6)*(CHOOSE({1,2,3,4},KMB!X114,KMB!AD114,KMB!AJ114,KMB!AP114)))</f>
        <v>0</v>
      </c>
      <c r="G114">
        <f>SUMPRODUCT((MONTH(CHOOSE({1,2,3,4},KMB!U114,KMB!AA114,KMB!AG114,KMB!AM114))=7)*(CHOOSE({1,2,3,4},KMB!X114,KMB!AD114,KMB!AJ114,KMB!AP114)))</f>
        <v>0</v>
      </c>
      <c r="H114">
        <f>SUMPRODUCT((MONTH(CHOOSE({1,2,3,4},KMB!U114,KMB!AA114,KMB!AG114,KMB!AM114))=8)*(CHOOSE({1,2,3,4},KMB!X114,KMB!AD114,KMB!AJ114,KMB!AP114)))</f>
        <v>0</v>
      </c>
      <c r="I114">
        <f>SUMPRODUCT((MONTH(CHOOSE({1,2,3,4},KMB!U114,KMB!AA114,KMB!AG114,KMB!AM114))=9)*(CHOOSE({1,2,3,4},KMB!X114,KMB!AD114,KMB!AJ114,KMB!AP114)))</f>
        <v>0</v>
      </c>
      <c r="J114">
        <f>SUMPRODUCT((MONTH(CHOOSE({1,2,3,4},KMB!U114,KMB!AA114,KMB!AG114,KMB!AM114))=10)*(CHOOSE({1,2,3,4},KMB!X114,KMB!AD114,KMB!AJ114,KMB!AP114)))</f>
        <v>0</v>
      </c>
      <c r="K114">
        <f>SUMPRODUCT((MONTH(CHOOSE({1,2,3,4},KMB!U114,KMB!AA114,KMB!AG114,KMB!AM114))=11)*(CHOOSE({1,2,3,4},KMB!X114,KMB!AD114,KMB!AJ114,KMB!AP114)))</f>
        <v>0</v>
      </c>
      <c r="L114">
        <f>SUMPRODUCT((MONTH(CHOOSE({1,2,3,4},KMB!U114,KMB!AA114,KMB!AG114,KMB!AM114))=12)*(CHOOSE({1,2,3,4},KMB!X114,KMB!AD114,KMB!AJ114,KMB!AP114)))</f>
        <v>0</v>
      </c>
    </row>
    <row r="115" spans="1:12">
      <c r="A115">
        <f>SUMPRODUCT((MONTH(CHOOSE({1,2,3,4},KMB!U115,KMB!AA115,KMB!AG115,KMB!AM115))=1)*(CHOOSE({1,2,3,4},KMB!X115,KMB!AD115,KMB!AJ115,KMB!AP115)))</f>
        <v>0</v>
      </c>
      <c r="B115">
        <f>SUMPRODUCT((MONTH(CHOOSE({1,2,3,4},KMB!U115,KMB!AA115,KMB!AG115,KMB!AM115))=2)*(CHOOSE({1,2,3,4},KMB!X115,KMB!AD115,KMB!AJ115,KMB!AP115)))</f>
        <v>0</v>
      </c>
      <c r="C115">
        <f>SUMPRODUCT((MONTH(CHOOSE({1,2,3,4},KMB!U115,KMB!AA115,KMB!AG115,KMB!AM115))=3)*(CHOOSE({1,2,3,4},KMB!X115,KMB!AD115,KMB!AJ115,KMB!AP115)))</f>
        <v>0</v>
      </c>
      <c r="D115">
        <f>SUMPRODUCT((MONTH(CHOOSE({1,2,3,4},KMB!U115,KMB!AA115,KMB!AG115,KMB!AM115))=4)*(CHOOSE({1,2,3,4},KMB!X115,KMB!AD115,KMB!AJ115,KMB!AP115)))</f>
        <v>0</v>
      </c>
      <c r="E115">
        <f>SUMPRODUCT((MONTH(CHOOSE({1,2,3,4},KMB!U115,KMB!AA115,KMB!AG115,KMB!AM115))=5)*(CHOOSE({1,2,3,4},KMB!X115,KMB!AD115,KMB!AJ115,KMB!AP115)))</f>
        <v>0</v>
      </c>
      <c r="F115">
        <f>SUMPRODUCT((MONTH(CHOOSE({1,2,3,4},KMB!U115,KMB!AA115,KMB!AG115,KMB!AM115))=6)*(CHOOSE({1,2,3,4},KMB!X115,KMB!AD115,KMB!AJ115,KMB!AP115)))</f>
        <v>0</v>
      </c>
      <c r="G115">
        <f>SUMPRODUCT((MONTH(CHOOSE({1,2,3,4},KMB!U115,KMB!AA115,KMB!AG115,KMB!AM115))=7)*(CHOOSE({1,2,3,4},KMB!X115,KMB!AD115,KMB!AJ115,KMB!AP115)))</f>
        <v>0</v>
      </c>
      <c r="H115">
        <f>SUMPRODUCT((MONTH(CHOOSE({1,2,3,4},KMB!U115,KMB!AA115,KMB!AG115,KMB!AM115))=8)*(CHOOSE({1,2,3,4},KMB!X115,KMB!AD115,KMB!AJ115,KMB!AP115)))</f>
        <v>0</v>
      </c>
      <c r="I115">
        <f>SUMPRODUCT((MONTH(CHOOSE({1,2,3,4},KMB!U115,KMB!AA115,KMB!AG115,KMB!AM115))=9)*(CHOOSE({1,2,3,4},KMB!X115,KMB!AD115,KMB!AJ115,KMB!AP115)))</f>
        <v>0</v>
      </c>
      <c r="J115">
        <f>SUMPRODUCT((MONTH(CHOOSE({1,2,3,4},KMB!U115,KMB!AA115,KMB!AG115,KMB!AM115))=10)*(CHOOSE({1,2,3,4},KMB!X115,KMB!AD115,KMB!AJ115,KMB!AP115)))</f>
        <v>0</v>
      </c>
      <c r="K115">
        <f>SUMPRODUCT((MONTH(CHOOSE({1,2,3,4},KMB!U115,KMB!AA115,KMB!AG115,KMB!AM115))=11)*(CHOOSE({1,2,3,4},KMB!X115,KMB!AD115,KMB!AJ115,KMB!AP115)))</f>
        <v>0</v>
      </c>
      <c r="L115">
        <f>SUMPRODUCT((MONTH(CHOOSE({1,2,3,4},KMB!U115,KMB!AA115,KMB!AG115,KMB!AM115))=12)*(CHOOSE({1,2,3,4},KMB!X115,KMB!AD115,KMB!AJ115,KMB!AP115)))</f>
        <v>0</v>
      </c>
    </row>
    <row r="116" spans="1:12">
      <c r="A116">
        <f>SUMPRODUCT((MONTH(CHOOSE({1,2,3,4},KMB!U116,KMB!AA116,KMB!AG116,KMB!AM116))=1)*(CHOOSE({1,2,3,4},KMB!X116,KMB!AD116,KMB!AJ116,KMB!AP116)))</f>
        <v>0</v>
      </c>
      <c r="B116">
        <f>SUMPRODUCT((MONTH(CHOOSE({1,2,3,4},KMB!U116,KMB!AA116,KMB!AG116,KMB!AM116))=2)*(CHOOSE({1,2,3,4},KMB!X116,KMB!AD116,KMB!AJ116,KMB!AP116)))</f>
        <v>0</v>
      </c>
      <c r="C116">
        <f>SUMPRODUCT((MONTH(CHOOSE({1,2,3,4},KMB!U116,KMB!AA116,KMB!AG116,KMB!AM116))=3)*(CHOOSE({1,2,3,4},KMB!X116,KMB!AD116,KMB!AJ116,KMB!AP116)))</f>
        <v>0</v>
      </c>
      <c r="D116">
        <f>SUMPRODUCT((MONTH(CHOOSE({1,2,3,4},KMB!U116,KMB!AA116,KMB!AG116,KMB!AM116))=4)*(CHOOSE({1,2,3,4},KMB!X116,KMB!AD116,KMB!AJ116,KMB!AP116)))</f>
        <v>0</v>
      </c>
      <c r="E116">
        <f>SUMPRODUCT((MONTH(CHOOSE({1,2,3,4},KMB!U116,KMB!AA116,KMB!AG116,KMB!AM116))=5)*(CHOOSE({1,2,3,4},KMB!X116,KMB!AD116,KMB!AJ116,KMB!AP116)))</f>
        <v>0</v>
      </c>
      <c r="F116">
        <f>SUMPRODUCT((MONTH(CHOOSE({1,2,3,4},KMB!U116,KMB!AA116,KMB!AG116,KMB!AM116))=6)*(CHOOSE({1,2,3,4},KMB!X116,KMB!AD116,KMB!AJ116,KMB!AP116)))</f>
        <v>0</v>
      </c>
      <c r="G116">
        <f>SUMPRODUCT((MONTH(CHOOSE({1,2,3,4},KMB!U116,KMB!AA116,KMB!AG116,KMB!AM116))=7)*(CHOOSE({1,2,3,4},KMB!X116,KMB!AD116,KMB!AJ116,KMB!AP116)))</f>
        <v>0</v>
      </c>
      <c r="H116">
        <f>SUMPRODUCT((MONTH(CHOOSE({1,2,3,4},KMB!U116,KMB!AA116,KMB!AG116,KMB!AM116))=8)*(CHOOSE({1,2,3,4},KMB!X116,KMB!AD116,KMB!AJ116,KMB!AP116)))</f>
        <v>0</v>
      </c>
      <c r="I116">
        <f>SUMPRODUCT((MONTH(CHOOSE({1,2,3,4},KMB!U116,KMB!AA116,KMB!AG116,KMB!AM116))=9)*(CHOOSE({1,2,3,4},KMB!X116,KMB!AD116,KMB!AJ116,KMB!AP116)))</f>
        <v>0</v>
      </c>
      <c r="J116">
        <f>SUMPRODUCT((MONTH(CHOOSE({1,2,3,4},KMB!U116,KMB!AA116,KMB!AG116,KMB!AM116))=10)*(CHOOSE({1,2,3,4},KMB!X116,KMB!AD116,KMB!AJ116,KMB!AP116)))</f>
        <v>0</v>
      </c>
      <c r="K116">
        <f>SUMPRODUCT((MONTH(CHOOSE({1,2,3,4},KMB!U116,KMB!AA116,KMB!AG116,KMB!AM116))=11)*(CHOOSE({1,2,3,4},KMB!X116,KMB!AD116,KMB!AJ116,KMB!AP116)))</f>
        <v>0</v>
      </c>
      <c r="L116">
        <f>SUMPRODUCT((MONTH(CHOOSE({1,2,3,4},KMB!U116,KMB!AA116,KMB!AG116,KMB!AM116))=12)*(CHOOSE({1,2,3,4},KMB!X116,KMB!AD116,KMB!AJ116,KMB!AP116)))</f>
        <v>0</v>
      </c>
    </row>
    <row r="117" spans="1:12">
      <c r="A117">
        <f>SUMPRODUCT((MONTH(CHOOSE({1,2,3,4},KMB!U117,KMB!AA117,KMB!AG117,KMB!AM117))=1)*(CHOOSE({1,2,3,4},KMB!X117,KMB!AD117,KMB!AJ117,KMB!AP117)))</f>
        <v>0</v>
      </c>
      <c r="B117">
        <f>SUMPRODUCT((MONTH(CHOOSE({1,2,3,4},KMB!U117,KMB!AA117,KMB!AG117,KMB!AM117))=2)*(CHOOSE({1,2,3,4},KMB!X117,KMB!AD117,KMB!AJ117,KMB!AP117)))</f>
        <v>0</v>
      </c>
      <c r="C117">
        <f>SUMPRODUCT((MONTH(CHOOSE({1,2,3,4},KMB!U117,KMB!AA117,KMB!AG117,KMB!AM117))=3)*(CHOOSE({1,2,3,4},KMB!X117,KMB!AD117,KMB!AJ117,KMB!AP117)))</f>
        <v>0</v>
      </c>
      <c r="D117">
        <f>SUMPRODUCT((MONTH(CHOOSE({1,2,3,4},KMB!U117,KMB!AA117,KMB!AG117,KMB!AM117))=4)*(CHOOSE({1,2,3,4},KMB!X117,KMB!AD117,KMB!AJ117,KMB!AP117)))</f>
        <v>0</v>
      </c>
      <c r="E117">
        <f>SUMPRODUCT((MONTH(CHOOSE({1,2,3,4},KMB!U117,KMB!AA117,KMB!AG117,KMB!AM117))=5)*(CHOOSE({1,2,3,4},KMB!X117,KMB!AD117,KMB!AJ117,KMB!AP117)))</f>
        <v>0</v>
      </c>
      <c r="F117">
        <f>SUMPRODUCT((MONTH(CHOOSE({1,2,3,4},KMB!U117,KMB!AA117,KMB!AG117,KMB!AM117))=6)*(CHOOSE({1,2,3,4},KMB!X117,KMB!AD117,KMB!AJ117,KMB!AP117)))</f>
        <v>0</v>
      </c>
      <c r="G117">
        <f>SUMPRODUCT((MONTH(CHOOSE({1,2,3,4},KMB!U117,KMB!AA117,KMB!AG117,KMB!AM117))=7)*(CHOOSE({1,2,3,4},KMB!X117,KMB!AD117,KMB!AJ117,KMB!AP117)))</f>
        <v>0</v>
      </c>
      <c r="H117">
        <f>SUMPRODUCT((MONTH(CHOOSE({1,2,3,4},KMB!U117,KMB!AA117,KMB!AG117,KMB!AM117))=8)*(CHOOSE({1,2,3,4},KMB!X117,KMB!AD117,KMB!AJ117,KMB!AP117)))</f>
        <v>0</v>
      </c>
      <c r="I117">
        <f>SUMPRODUCT((MONTH(CHOOSE({1,2,3,4},KMB!U117,KMB!AA117,KMB!AG117,KMB!AM117))=9)*(CHOOSE({1,2,3,4},KMB!X117,KMB!AD117,KMB!AJ117,KMB!AP117)))</f>
        <v>0</v>
      </c>
      <c r="J117">
        <f>SUMPRODUCT((MONTH(CHOOSE({1,2,3,4},KMB!U117,KMB!AA117,KMB!AG117,KMB!AM117))=10)*(CHOOSE({1,2,3,4},KMB!X117,KMB!AD117,KMB!AJ117,KMB!AP117)))</f>
        <v>0</v>
      </c>
      <c r="K117">
        <f>SUMPRODUCT((MONTH(CHOOSE({1,2,3,4},KMB!U117,KMB!AA117,KMB!AG117,KMB!AM117))=11)*(CHOOSE({1,2,3,4},KMB!X117,KMB!AD117,KMB!AJ117,KMB!AP117)))</f>
        <v>0</v>
      </c>
      <c r="L117">
        <f>SUMPRODUCT((MONTH(CHOOSE({1,2,3,4},KMB!U117,KMB!AA117,KMB!AG117,KMB!AM117))=12)*(CHOOSE({1,2,3,4},KMB!X117,KMB!AD117,KMB!AJ117,KMB!AP117)))</f>
        <v>0</v>
      </c>
    </row>
    <row r="118" spans="1:12">
      <c r="A118">
        <f>SUMPRODUCT((MONTH(CHOOSE({1,2,3,4},KMB!U118,KMB!AA118,KMB!AG118,KMB!AM118))=1)*(CHOOSE({1,2,3,4},KMB!X118,KMB!AD118,KMB!AJ118,KMB!AP118)))</f>
        <v>0</v>
      </c>
      <c r="B118">
        <f>SUMPRODUCT((MONTH(CHOOSE({1,2,3,4},KMB!U118,KMB!AA118,KMB!AG118,KMB!AM118))=2)*(CHOOSE({1,2,3,4},KMB!X118,KMB!AD118,KMB!AJ118,KMB!AP118)))</f>
        <v>0</v>
      </c>
      <c r="C118">
        <f>SUMPRODUCT((MONTH(CHOOSE({1,2,3,4},KMB!U118,KMB!AA118,KMB!AG118,KMB!AM118))=3)*(CHOOSE({1,2,3,4},KMB!X118,KMB!AD118,KMB!AJ118,KMB!AP118)))</f>
        <v>0</v>
      </c>
      <c r="D118">
        <f>SUMPRODUCT((MONTH(CHOOSE({1,2,3,4},KMB!U118,KMB!AA118,KMB!AG118,KMB!AM118))=4)*(CHOOSE({1,2,3,4},KMB!X118,KMB!AD118,KMB!AJ118,KMB!AP118)))</f>
        <v>0</v>
      </c>
      <c r="E118">
        <f>SUMPRODUCT((MONTH(CHOOSE({1,2,3,4},KMB!U118,KMB!AA118,KMB!AG118,KMB!AM118))=5)*(CHOOSE({1,2,3,4},KMB!X118,KMB!AD118,KMB!AJ118,KMB!AP118)))</f>
        <v>0</v>
      </c>
      <c r="F118">
        <f>SUMPRODUCT((MONTH(CHOOSE({1,2,3,4},KMB!U118,KMB!AA118,KMB!AG118,KMB!AM118))=6)*(CHOOSE({1,2,3,4},KMB!X118,KMB!AD118,KMB!AJ118,KMB!AP118)))</f>
        <v>0</v>
      </c>
      <c r="G118">
        <f>SUMPRODUCT((MONTH(CHOOSE({1,2,3,4},KMB!U118,KMB!AA118,KMB!AG118,KMB!AM118))=7)*(CHOOSE({1,2,3,4},KMB!X118,KMB!AD118,KMB!AJ118,KMB!AP118)))</f>
        <v>0</v>
      </c>
      <c r="H118">
        <f>SUMPRODUCT((MONTH(CHOOSE({1,2,3,4},KMB!U118,KMB!AA118,KMB!AG118,KMB!AM118))=8)*(CHOOSE({1,2,3,4},KMB!X118,KMB!AD118,KMB!AJ118,KMB!AP118)))</f>
        <v>0</v>
      </c>
      <c r="I118">
        <f>SUMPRODUCT((MONTH(CHOOSE({1,2,3,4},KMB!U118,KMB!AA118,KMB!AG118,KMB!AM118))=9)*(CHOOSE({1,2,3,4},KMB!X118,KMB!AD118,KMB!AJ118,KMB!AP118)))</f>
        <v>0</v>
      </c>
      <c r="J118">
        <f>SUMPRODUCT((MONTH(CHOOSE({1,2,3,4},KMB!U118,KMB!AA118,KMB!AG118,KMB!AM118))=10)*(CHOOSE({1,2,3,4},KMB!X118,KMB!AD118,KMB!AJ118,KMB!AP118)))</f>
        <v>0</v>
      </c>
      <c r="K118">
        <f>SUMPRODUCT((MONTH(CHOOSE({1,2,3,4},KMB!U118,KMB!AA118,KMB!AG118,KMB!AM118))=11)*(CHOOSE({1,2,3,4},KMB!X118,KMB!AD118,KMB!AJ118,KMB!AP118)))</f>
        <v>0</v>
      </c>
      <c r="L118">
        <f>SUMPRODUCT((MONTH(CHOOSE({1,2,3,4},KMB!U118,KMB!AA118,KMB!AG118,KMB!AM118))=12)*(CHOOSE({1,2,3,4},KMB!X118,KMB!AD118,KMB!AJ118,KMB!AP118)))</f>
        <v>0</v>
      </c>
    </row>
    <row r="119" spans="1:12">
      <c r="A119">
        <f>SUMPRODUCT((MONTH(CHOOSE({1,2,3,4},KMB!U119,KMB!AA119,KMB!AG119,KMB!AM119))=1)*(CHOOSE({1,2,3,4},KMB!X119,KMB!AD119,KMB!AJ119,KMB!AP119)))</f>
        <v>0</v>
      </c>
      <c r="B119">
        <f>SUMPRODUCT((MONTH(CHOOSE({1,2,3,4},KMB!U119,KMB!AA119,KMB!AG119,KMB!AM119))=2)*(CHOOSE({1,2,3,4},KMB!X119,KMB!AD119,KMB!AJ119,KMB!AP119)))</f>
        <v>0</v>
      </c>
      <c r="C119">
        <f>SUMPRODUCT((MONTH(CHOOSE({1,2,3,4},KMB!U119,KMB!AA119,KMB!AG119,KMB!AM119))=3)*(CHOOSE({1,2,3,4},KMB!X119,KMB!AD119,KMB!AJ119,KMB!AP119)))</f>
        <v>0</v>
      </c>
      <c r="D119">
        <f>SUMPRODUCT((MONTH(CHOOSE({1,2,3,4},KMB!U119,KMB!AA119,KMB!AG119,KMB!AM119))=4)*(CHOOSE({1,2,3,4},KMB!X119,KMB!AD119,KMB!AJ119,KMB!AP119)))</f>
        <v>0</v>
      </c>
      <c r="E119">
        <f>SUMPRODUCT((MONTH(CHOOSE({1,2,3,4},KMB!U119,KMB!AA119,KMB!AG119,KMB!AM119))=5)*(CHOOSE({1,2,3,4},KMB!X119,KMB!AD119,KMB!AJ119,KMB!AP119)))</f>
        <v>0</v>
      </c>
      <c r="F119">
        <f>SUMPRODUCT((MONTH(CHOOSE({1,2,3,4},KMB!U119,KMB!AA119,KMB!AG119,KMB!AM119))=6)*(CHOOSE({1,2,3,4},KMB!X119,KMB!AD119,KMB!AJ119,KMB!AP119)))</f>
        <v>0</v>
      </c>
      <c r="G119">
        <f>SUMPRODUCT((MONTH(CHOOSE({1,2,3,4},KMB!U119,KMB!AA119,KMB!AG119,KMB!AM119))=7)*(CHOOSE({1,2,3,4},KMB!X119,KMB!AD119,KMB!AJ119,KMB!AP119)))</f>
        <v>0</v>
      </c>
      <c r="H119">
        <f>SUMPRODUCT((MONTH(CHOOSE({1,2,3,4},KMB!U119,KMB!AA119,KMB!AG119,KMB!AM119))=8)*(CHOOSE({1,2,3,4},KMB!X119,KMB!AD119,KMB!AJ119,KMB!AP119)))</f>
        <v>0</v>
      </c>
      <c r="I119">
        <f>SUMPRODUCT((MONTH(CHOOSE({1,2,3,4},KMB!U119,KMB!AA119,KMB!AG119,KMB!AM119))=9)*(CHOOSE({1,2,3,4},KMB!X119,KMB!AD119,KMB!AJ119,KMB!AP119)))</f>
        <v>0</v>
      </c>
      <c r="J119">
        <f>SUMPRODUCT((MONTH(CHOOSE({1,2,3,4},KMB!U119,KMB!AA119,KMB!AG119,KMB!AM119))=10)*(CHOOSE({1,2,3,4},KMB!X119,KMB!AD119,KMB!AJ119,KMB!AP119)))</f>
        <v>0</v>
      </c>
      <c r="K119">
        <f>SUMPRODUCT((MONTH(CHOOSE({1,2,3,4},KMB!U119,KMB!AA119,KMB!AG119,KMB!AM119))=11)*(CHOOSE({1,2,3,4},KMB!X119,KMB!AD119,KMB!AJ119,KMB!AP119)))</f>
        <v>0</v>
      </c>
      <c r="L119">
        <f>SUMPRODUCT((MONTH(CHOOSE({1,2,3,4},KMB!U119,KMB!AA119,KMB!AG119,KMB!AM119))=12)*(CHOOSE({1,2,3,4},KMB!X119,KMB!AD119,KMB!AJ119,KMB!AP119)))</f>
        <v>0</v>
      </c>
    </row>
    <row r="120" spans="1:12">
      <c r="A120">
        <f>SUMPRODUCT((MONTH(CHOOSE({1,2,3,4},KMB!U120,KMB!AA120,KMB!AG120,KMB!AM120))=1)*(CHOOSE({1,2,3,4},KMB!X120,KMB!AD120,KMB!AJ120,KMB!AP120)))</f>
        <v>0</v>
      </c>
      <c r="B120">
        <f>SUMPRODUCT((MONTH(CHOOSE({1,2,3,4},KMB!U120,KMB!AA120,KMB!AG120,KMB!AM120))=2)*(CHOOSE({1,2,3,4},KMB!X120,KMB!AD120,KMB!AJ120,KMB!AP120)))</f>
        <v>0</v>
      </c>
      <c r="C120">
        <f>SUMPRODUCT((MONTH(CHOOSE({1,2,3,4},KMB!U120,KMB!AA120,KMB!AG120,KMB!AM120))=3)*(CHOOSE({1,2,3,4},KMB!X120,KMB!AD120,KMB!AJ120,KMB!AP120)))</f>
        <v>0</v>
      </c>
      <c r="D120">
        <f>SUMPRODUCT((MONTH(CHOOSE({1,2,3,4},KMB!U120,KMB!AA120,KMB!AG120,KMB!AM120))=4)*(CHOOSE({1,2,3,4},KMB!X120,KMB!AD120,KMB!AJ120,KMB!AP120)))</f>
        <v>0</v>
      </c>
      <c r="E120">
        <f>SUMPRODUCT((MONTH(CHOOSE({1,2,3,4},KMB!U120,KMB!AA120,KMB!AG120,KMB!AM120))=5)*(CHOOSE({1,2,3,4},KMB!X120,KMB!AD120,KMB!AJ120,KMB!AP120)))</f>
        <v>0</v>
      </c>
      <c r="F120">
        <f>SUMPRODUCT((MONTH(CHOOSE({1,2,3,4},KMB!U120,KMB!AA120,KMB!AG120,KMB!AM120))=6)*(CHOOSE({1,2,3,4},KMB!X120,KMB!AD120,KMB!AJ120,KMB!AP120)))</f>
        <v>0</v>
      </c>
      <c r="G120">
        <f>SUMPRODUCT((MONTH(CHOOSE({1,2,3,4},KMB!U120,KMB!AA120,KMB!AG120,KMB!AM120))=7)*(CHOOSE({1,2,3,4},KMB!X120,KMB!AD120,KMB!AJ120,KMB!AP120)))</f>
        <v>0</v>
      </c>
      <c r="H120">
        <f>SUMPRODUCT((MONTH(CHOOSE({1,2,3,4},KMB!U120,KMB!AA120,KMB!AG120,KMB!AM120))=8)*(CHOOSE({1,2,3,4},KMB!X120,KMB!AD120,KMB!AJ120,KMB!AP120)))</f>
        <v>0</v>
      </c>
      <c r="I120">
        <f>SUMPRODUCT((MONTH(CHOOSE({1,2,3,4},KMB!U120,KMB!AA120,KMB!AG120,KMB!AM120))=9)*(CHOOSE({1,2,3,4},KMB!X120,KMB!AD120,KMB!AJ120,KMB!AP120)))</f>
        <v>0</v>
      </c>
      <c r="J120">
        <f>SUMPRODUCT((MONTH(CHOOSE({1,2,3,4},KMB!U120,KMB!AA120,KMB!AG120,KMB!AM120))=10)*(CHOOSE({1,2,3,4},KMB!X120,KMB!AD120,KMB!AJ120,KMB!AP120)))</f>
        <v>0</v>
      </c>
      <c r="K120">
        <f>SUMPRODUCT((MONTH(CHOOSE({1,2,3,4},KMB!U120,KMB!AA120,KMB!AG120,KMB!AM120))=11)*(CHOOSE({1,2,3,4},KMB!X120,KMB!AD120,KMB!AJ120,KMB!AP120)))</f>
        <v>0</v>
      </c>
      <c r="L120">
        <f>SUMPRODUCT((MONTH(CHOOSE({1,2,3,4},KMB!U120,KMB!AA120,KMB!AG120,KMB!AM120))=12)*(CHOOSE({1,2,3,4},KMB!X120,KMB!AD120,KMB!AJ120,KMB!AP120)))</f>
        <v>0</v>
      </c>
    </row>
    <row r="121" spans="1:12">
      <c r="A121">
        <f>SUMPRODUCT((MONTH(CHOOSE({1,2,3,4},KMB!U121,KMB!AA121,KMB!AG121,KMB!AM121))=1)*(CHOOSE({1,2,3,4},KMB!X121,KMB!AD121,KMB!AJ121,KMB!AP121)))</f>
        <v>0</v>
      </c>
      <c r="B121">
        <f>SUMPRODUCT((MONTH(CHOOSE({1,2,3,4},KMB!U121,KMB!AA121,KMB!AG121,KMB!AM121))=2)*(CHOOSE({1,2,3,4},KMB!X121,KMB!AD121,KMB!AJ121,KMB!AP121)))</f>
        <v>0</v>
      </c>
      <c r="C121">
        <f>SUMPRODUCT((MONTH(CHOOSE({1,2,3,4},KMB!U121,KMB!AA121,KMB!AG121,KMB!AM121))=3)*(CHOOSE({1,2,3,4},KMB!X121,KMB!AD121,KMB!AJ121,KMB!AP121)))</f>
        <v>0</v>
      </c>
      <c r="D121">
        <f>SUMPRODUCT((MONTH(CHOOSE({1,2,3,4},KMB!U121,KMB!AA121,KMB!AG121,KMB!AM121))=4)*(CHOOSE({1,2,3,4},KMB!X121,KMB!AD121,KMB!AJ121,KMB!AP121)))</f>
        <v>0</v>
      </c>
      <c r="E121">
        <f>SUMPRODUCT((MONTH(CHOOSE({1,2,3,4},KMB!U121,KMB!AA121,KMB!AG121,KMB!AM121))=5)*(CHOOSE({1,2,3,4},KMB!X121,KMB!AD121,KMB!AJ121,KMB!AP121)))</f>
        <v>0</v>
      </c>
      <c r="F121">
        <f>SUMPRODUCT((MONTH(CHOOSE({1,2,3,4},KMB!U121,KMB!AA121,KMB!AG121,KMB!AM121))=6)*(CHOOSE({1,2,3,4},KMB!X121,KMB!AD121,KMB!AJ121,KMB!AP121)))</f>
        <v>0</v>
      </c>
      <c r="G121">
        <f>SUMPRODUCT((MONTH(CHOOSE({1,2,3,4},KMB!U121,KMB!AA121,KMB!AG121,KMB!AM121))=7)*(CHOOSE({1,2,3,4},KMB!X121,KMB!AD121,KMB!AJ121,KMB!AP121)))</f>
        <v>0</v>
      </c>
      <c r="H121">
        <f>SUMPRODUCT((MONTH(CHOOSE({1,2,3,4},KMB!U121,KMB!AA121,KMB!AG121,KMB!AM121))=8)*(CHOOSE({1,2,3,4},KMB!X121,KMB!AD121,KMB!AJ121,KMB!AP121)))</f>
        <v>0</v>
      </c>
      <c r="I121">
        <f>SUMPRODUCT((MONTH(CHOOSE({1,2,3,4},KMB!U121,KMB!AA121,KMB!AG121,KMB!AM121))=9)*(CHOOSE({1,2,3,4},KMB!X121,KMB!AD121,KMB!AJ121,KMB!AP121)))</f>
        <v>0</v>
      </c>
      <c r="J121">
        <f>SUMPRODUCT((MONTH(CHOOSE({1,2,3,4},KMB!U121,KMB!AA121,KMB!AG121,KMB!AM121))=10)*(CHOOSE({1,2,3,4},KMB!X121,KMB!AD121,KMB!AJ121,KMB!AP121)))</f>
        <v>0</v>
      </c>
      <c r="K121">
        <f>SUMPRODUCT((MONTH(CHOOSE({1,2,3,4},KMB!U121,KMB!AA121,KMB!AG121,KMB!AM121))=11)*(CHOOSE({1,2,3,4},KMB!X121,KMB!AD121,KMB!AJ121,KMB!AP121)))</f>
        <v>0</v>
      </c>
      <c r="L121">
        <f>SUMPRODUCT((MONTH(CHOOSE({1,2,3,4},KMB!U121,KMB!AA121,KMB!AG121,KMB!AM121))=12)*(CHOOSE({1,2,3,4},KMB!X121,KMB!AD121,KMB!AJ121,KMB!AP121)))</f>
        <v>0</v>
      </c>
    </row>
    <row r="122" spans="1:12">
      <c r="A122">
        <f>SUMPRODUCT((MONTH(CHOOSE({1,2,3,4},KMB!U122,KMB!AA122,KMB!AG122,KMB!AM122))=1)*(CHOOSE({1,2,3,4},KMB!X122,KMB!AD122,KMB!AJ122,KMB!AP122)))</f>
        <v>0</v>
      </c>
      <c r="B122">
        <f>SUMPRODUCT((MONTH(CHOOSE({1,2,3,4},KMB!U122,KMB!AA122,KMB!AG122,KMB!AM122))=2)*(CHOOSE({1,2,3,4},KMB!X122,KMB!AD122,KMB!AJ122,KMB!AP122)))</f>
        <v>0</v>
      </c>
      <c r="C122">
        <f>SUMPRODUCT((MONTH(CHOOSE({1,2,3,4},KMB!U122,KMB!AA122,KMB!AG122,KMB!AM122))=3)*(CHOOSE({1,2,3,4},KMB!X122,KMB!AD122,KMB!AJ122,KMB!AP122)))</f>
        <v>0</v>
      </c>
      <c r="D122">
        <f>SUMPRODUCT((MONTH(CHOOSE({1,2,3,4},KMB!U122,KMB!AA122,KMB!AG122,KMB!AM122))=4)*(CHOOSE({1,2,3,4},KMB!X122,KMB!AD122,KMB!AJ122,KMB!AP122)))</f>
        <v>0</v>
      </c>
      <c r="E122">
        <f>SUMPRODUCT((MONTH(CHOOSE({1,2,3,4},KMB!U122,KMB!AA122,KMB!AG122,KMB!AM122))=5)*(CHOOSE({1,2,3,4},KMB!X122,KMB!AD122,KMB!AJ122,KMB!AP122)))</f>
        <v>0</v>
      </c>
      <c r="F122">
        <f>SUMPRODUCT((MONTH(CHOOSE({1,2,3,4},KMB!U122,KMB!AA122,KMB!AG122,KMB!AM122))=6)*(CHOOSE({1,2,3,4},KMB!X122,KMB!AD122,KMB!AJ122,KMB!AP122)))</f>
        <v>0</v>
      </c>
      <c r="G122">
        <f>SUMPRODUCT((MONTH(CHOOSE({1,2,3,4},KMB!U122,KMB!AA122,KMB!AG122,KMB!AM122))=7)*(CHOOSE({1,2,3,4},KMB!X122,KMB!AD122,KMB!AJ122,KMB!AP122)))</f>
        <v>0</v>
      </c>
      <c r="H122">
        <f>SUMPRODUCT((MONTH(CHOOSE({1,2,3,4},KMB!U122,KMB!AA122,KMB!AG122,KMB!AM122))=8)*(CHOOSE({1,2,3,4},KMB!X122,KMB!AD122,KMB!AJ122,KMB!AP122)))</f>
        <v>0</v>
      </c>
      <c r="I122">
        <f>SUMPRODUCT((MONTH(CHOOSE({1,2,3,4},KMB!U122,KMB!AA122,KMB!AG122,KMB!AM122))=9)*(CHOOSE({1,2,3,4},KMB!X122,KMB!AD122,KMB!AJ122,KMB!AP122)))</f>
        <v>0</v>
      </c>
      <c r="J122">
        <f>SUMPRODUCT((MONTH(CHOOSE({1,2,3,4},KMB!U122,KMB!AA122,KMB!AG122,KMB!AM122))=10)*(CHOOSE({1,2,3,4},KMB!X122,KMB!AD122,KMB!AJ122,KMB!AP122)))</f>
        <v>0</v>
      </c>
      <c r="K122">
        <f>SUMPRODUCT((MONTH(CHOOSE({1,2,3,4},KMB!U122,KMB!AA122,KMB!AG122,KMB!AM122))=11)*(CHOOSE({1,2,3,4},KMB!X122,KMB!AD122,KMB!AJ122,KMB!AP122)))</f>
        <v>0</v>
      </c>
      <c r="L122">
        <f>SUMPRODUCT((MONTH(CHOOSE({1,2,3,4},KMB!U122,KMB!AA122,KMB!AG122,KMB!AM122))=12)*(CHOOSE({1,2,3,4},KMB!X122,KMB!AD122,KMB!AJ122,KMB!AP122)))</f>
        <v>0</v>
      </c>
    </row>
    <row r="123" spans="1:12">
      <c r="A123">
        <f>SUMPRODUCT((MONTH(CHOOSE({1,2,3,4},KMB!U123,KMB!AA123,KMB!AG123,KMB!AM123))=1)*(CHOOSE({1,2,3,4},KMB!X123,KMB!AD123,KMB!AJ123,KMB!AP123)))</f>
        <v>0</v>
      </c>
      <c r="B123">
        <f>SUMPRODUCT((MONTH(CHOOSE({1,2,3,4},KMB!U123,KMB!AA123,KMB!AG123,KMB!AM123))=2)*(CHOOSE({1,2,3,4},KMB!X123,KMB!AD123,KMB!AJ123,KMB!AP123)))</f>
        <v>0</v>
      </c>
      <c r="C123">
        <f>SUMPRODUCT((MONTH(CHOOSE({1,2,3,4},KMB!U123,KMB!AA123,KMB!AG123,KMB!AM123))=3)*(CHOOSE({1,2,3,4},KMB!X123,KMB!AD123,KMB!AJ123,KMB!AP123)))</f>
        <v>0</v>
      </c>
      <c r="D123">
        <f>SUMPRODUCT((MONTH(CHOOSE({1,2,3,4},KMB!U123,KMB!AA123,KMB!AG123,KMB!AM123))=4)*(CHOOSE({1,2,3,4},KMB!X123,KMB!AD123,KMB!AJ123,KMB!AP123)))</f>
        <v>0</v>
      </c>
      <c r="E123">
        <f>SUMPRODUCT((MONTH(CHOOSE({1,2,3,4},KMB!U123,KMB!AA123,KMB!AG123,KMB!AM123))=5)*(CHOOSE({1,2,3,4},KMB!X123,KMB!AD123,KMB!AJ123,KMB!AP123)))</f>
        <v>0</v>
      </c>
      <c r="F123">
        <f>SUMPRODUCT((MONTH(CHOOSE({1,2,3,4},KMB!U123,KMB!AA123,KMB!AG123,KMB!AM123))=6)*(CHOOSE({1,2,3,4},KMB!X123,KMB!AD123,KMB!AJ123,KMB!AP123)))</f>
        <v>0</v>
      </c>
      <c r="G123">
        <f>SUMPRODUCT((MONTH(CHOOSE({1,2,3,4},KMB!U123,KMB!AA123,KMB!AG123,KMB!AM123))=7)*(CHOOSE({1,2,3,4},KMB!X123,KMB!AD123,KMB!AJ123,KMB!AP123)))</f>
        <v>0</v>
      </c>
      <c r="H123">
        <f>SUMPRODUCT((MONTH(CHOOSE({1,2,3,4},KMB!U123,KMB!AA123,KMB!AG123,KMB!AM123))=8)*(CHOOSE({1,2,3,4},KMB!X123,KMB!AD123,KMB!AJ123,KMB!AP123)))</f>
        <v>0</v>
      </c>
      <c r="I123">
        <f>SUMPRODUCT((MONTH(CHOOSE({1,2,3,4},KMB!U123,KMB!AA123,KMB!AG123,KMB!AM123))=9)*(CHOOSE({1,2,3,4},KMB!X123,KMB!AD123,KMB!AJ123,KMB!AP123)))</f>
        <v>0</v>
      </c>
      <c r="J123">
        <f>SUMPRODUCT((MONTH(CHOOSE({1,2,3,4},KMB!U123,KMB!AA123,KMB!AG123,KMB!AM123))=10)*(CHOOSE({1,2,3,4},KMB!X123,KMB!AD123,KMB!AJ123,KMB!AP123)))</f>
        <v>0</v>
      </c>
      <c r="K123">
        <f>SUMPRODUCT((MONTH(CHOOSE({1,2,3,4},KMB!U123,KMB!AA123,KMB!AG123,KMB!AM123))=11)*(CHOOSE({1,2,3,4},KMB!X123,KMB!AD123,KMB!AJ123,KMB!AP123)))</f>
        <v>0</v>
      </c>
      <c r="L123">
        <f>SUMPRODUCT((MONTH(CHOOSE({1,2,3,4},KMB!U123,KMB!AA123,KMB!AG123,KMB!AM123))=12)*(CHOOSE({1,2,3,4},KMB!X123,KMB!AD123,KMB!AJ123,KMB!AP123)))</f>
        <v>0</v>
      </c>
    </row>
    <row r="124" spans="1:12">
      <c r="A124">
        <f>SUMPRODUCT((MONTH(CHOOSE({1,2,3,4},KMB!U124,KMB!AA124,KMB!AG124,KMB!AM124))=1)*(CHOOSE({1,2,3,4},KMB!X124,KMB!AD124,KMB!AJ124,KMB!AP124)))</f>
        <v>0</v>
      </c>
      <c r="B124">
        <f>SUMPRODUCT((MONTH(CHOOSE({1,2,3,4},KMB!U124,KMB!AA124,KMB!AG124,KMB!AM124))=2)*(CHOOSE({1,2,3,4},KMB!X124,KMB!AD124,KMB!AJ124,KMB!AP124)))</f>
        <v>0</v>
      </c>
      <c r="C124">
        <f>SUMPRODUCT((MONTH(CHOOSE({1,2,3,4},KMB!U124,KMB!AA124,KMB!AG124,KMB!AM124))=3)*(CHOOSE({1,2,3,4},KMB!X124,KMB!AD124,KMB!AJ124,KMB!AP124)))</f>
        <v>0</v>
      </c>
      <c r="D124">
        <f>SUMPRODUCT((MONTH(CHOOSE({1,2,3,4},KMB!U124,KMB!AA124,KMB!AG124,KMB!AM124))=4)*(CHOOSE({1,2,3,4},KMB!X124,KMB!AD124,KMB!AJ124,KMB!AP124)))</f>
        <v>0</v>
      </c>
      <c r="E124">
        <f>SUMPRODUCT((MONTH(CHOOSE({1,2,3,4},KMB!U124,KMB!AA124,KMB!AG124,KMB!AM124))=5)*(CHOOSE({1,2,3,4},KMB!X124,KMB!AD124,KMB!AJ124,KMB!AP124)))</f>
        <v>0</v>
      </c>
      <c r="F124">
        <f>SUMPRODUCT((MONTH(CHOOSE({1,2,3,4},KMB!U124,KMB!AA124,KMB!AG124,KMB!AM124))=6)*(CHOOSE({1,2,3,4},KMB!X124,KMB!AD124,KMB!AJ124,KMB!AP124)))</f>
        <v>0</v>
      </c>
      <c r="G124">
        <f>SUMPRODUCT((MONTH(CHOOSE({1,2,3,4},KMB!U124,KMB!AA124,KMB!AG124,KMB!AM124))=7)*(CHOOSE({1,2,3,4},KMB!X124,KMB!AD124,KMB!AJ124,KMB!AP124)))</f>
        <v>0</v>
      </c>
      <c r="H124">
        <f>SUMPRODUCT((MONTH(CHOOSE({1,2,3,4},KMB!U124,KMB!AA124,KMB!AG124,KMB!AM124))=8)*(CHOOSE({1,2,3,4},KMB!X124,KMB!AD124,KMB!AJ124,KMB!AP124)))</f>
        <v>0</v>
      </c>
      <c r="I124">
        <f>SUMPRODUCT((MONTH(CHOOSE({1,2,3,4},KMB!U124,KMB!AA124,KMB!AG124,KMB!AM124))=9)*(CHOOSE({1,2,3,4},KMB!X124,KMB!AD124,KMB!AJ124,KMB!AP124)))</f>
        <v>0</v>
      </c>
      <c r="J124">
        <f>SUMPRODUCT((MONTH(CHOOSE({1,2,3,4},KMB!U124,KMB!AA124,KMB!AG124,KMB!AM124))=10)*(CHOOSE({1,2,3,4},KMB!X124,KMB!AD124,KMB!AJ124,KMB!AP124)))</f>
        <v>0</v>
      </c>
      <c r="K124">
        <f>SUMPRODUCT((MONTH(CHOOSE({1,2,3,4},KMB!U124,KMB!AA124,KMB!AG124,KMB!AM124))=11)*(CHOOSE({1,2,3,4},KMB!X124,KMB!AD124,KMB!AJ124,KMB!AP124)))</f>
        <v>0</v>
      </c>
      <c r="L124">
        <f>SUMPRODUCT((MONTH(CHOOSE({1,2,3,4},KMB!U124,KMB!AA124,KMB!AG124,KMB!AM124))=12)*(CHOOSE({1,2,3,4},KMB!X124,KMB!AD124,KMB!AJ124,KMB!AP124)))</f>
        <v>0</v>
      </c>
    </row>
    <row r="125" spans="1:12">
      <c r="A125">
        <f>SUMPRODUCT((MONTH(CHOOSE({1,2,3,4},KMB!U125,KMB!AA125,KMB!AG125,KMB!AM125))=1)*(CHOOSE({1,2,3,4},KMB!X125,KMB!AD125,KMB!AJ125,KMB!AP125)))</f>
        <v>0</v>
      </c>
      <c r="B125">
        <f>SUMPRODUCT((MONTH(CHOOSE({1,2,3,4},KMB!U125,KMB!AA125,KMB!AG125,KMB!AM125))=2)*(CHOOSE({1,2,3,4},KMB!X125,KMB!AD125,KMB!AJ125,KMB!AP125)))</f>
        <v>0</v>
      </c>
      <c r="C125">
        <f>SUMPRODUCT((MONTH(CHOOSE({1,2,3,4},KMB!U125,KMB!AA125,KMB!AG125,KMB!AM125))=3)*(CHOOSE({1,2,3,4},KMB!X125,KMB!AD125,KMB!AJ125,KMB!AP125)))</f>
        <v>0</v>
      </c>
      <c r="D125">
        <f>SUMPRODUCT((MONTH(CHOOSE({1,2,3,4},KMB!U125,KMB!AA125,KMB!AG125,KMB!AM125))=4)*(CHOOSE({1,2,3,4},KMB!X125,KMB!AD125,KMB!AJ125,KMB!AP125)))</f>
        <v>0</v>
      </c>
      <c r="E125">
        <f>SUMPRODUCT((MONTH(CHOOSE({1,2,3,4},KMB!U125,KMB!AA125,KMB!AG125,KMB!AM125))=5)*(CHOOSE({1,2,3,4},KMB!X125,KMB!AD125,KMB!AJ125,KMB!AP125)))</f>
        <v>0</v>
      </c>
      <c r="F125">
        <f>SUMPRODUCT((MONTH(CHOOSE({1,2,3,4},KMB!U125,KMB!AA125,KMB!AG125,KMB!AM125))=6)*(CHOOSE({1,2,3,4},KMB!X125,KMB!AD125,KMB!AJ125,KMB!AP125)))</f>
        <v>0</v>
      </c>
      <c r="G125">
        <f>SUMPRODUCT((MONTH(CHOOSE({1,2,3,4},KMB!U125,KMB!AA125,KMB!AG125,KMB!AM125))=7)*(CHOOSE({1,2,3,4},KMB!X125,KMB!AD125,KMB!AJ125,KMB!AP125)))</f>
        <v>0</v>
      </c>
      <c r="H125">
        <f>SUMPRODUCT((MONTH(CHOOSE({1,2,3,4},KMB!U125,KMB!AA125,KMB!AG125,KMB!AM125))=8)*(CHOOSE({1,2,3,4},KMB!X125,KMB!AD125,KMB!AJ125,KMB!AP125)))</f>
        <v>0</v>
      </c>
      <c r="I125">
        <f>SUMPRODUCT((MONTH(CHOOSE({1,2,3,4},KMB!U125,KMB!AA125,KMB!AG125,KMB!AM125))=9)*(CHOOSE({1,2,3,4},KMB!X125,KMB!AD125,KMB!AJ125,KMB!AP125)))</f>
        <v>0</v>
      </c>
      <c r="J125">
        <f>SUMPRODUCT((MONTH(CHOOSE({1,2,3,4},KMB!U125,KMB!AA125,KMB!AG125,KMB!AM125))=10)*(CHOOSE({1,2,3,4},KMB!X125,KMB!AD125,KMB!AJ125,KMB!AP125)))</f>
        <v>0</v>
      </c>
      <c r="K125">
        <f>SUMPRODUCT((MONTH(CHOOSE({1,2,3,4},KMB!U125,KMB!AA125,KMB!AG125,KMB!AM125))=11)*(CHOOSE({1,2,3,4},KMB!X125,KMB!AD125,KMB!AJ125,KMB!AP125)))</f>
        <v>0</v>
      </c>
      <c r="L125">
        <f>SUMPRODUCT((MONTH(CHOOSE({1,2,3,4},KMB!U125,KMB!AA125,KMB!AG125,KMB!AM125))=12)*(CHOOSE({1,2,3,4},KMB!X125,KMB!AD125,KMB!AJ125,KMB!AP125)))</f>
        <v>0</v>
      </c>
    </row>
    <row r="126" spans="1:12">
      <c r="A126">
        <f>SUMPRODUCT((MONTH(CHOOSE({1,2,3,4},KMB!U126,KMB!AA126,KMB!AG126,KMB!AM126))=1)*(CHOOSE({1,2,3,4},KMB!X126,KMB!AD126,KMB!AJ126,KMB!AP126)))</f>
        <v>0</v>
      </c>
      <c r="B126">
        <f>SUMPRODUCT((MONTH(CHOOSE({1,2,3,4},KMB!U126,KMB!AA126,KMB!AG126,KMB!AM126))=2)*(CHOOSE({1,2,3,4},KMB!X126,KMB!AD126,KMB!AJ126,KMB!AP126)))</f>
        <v>0</v>
      </c>
      <c r="C126">
        <f>SUMPRODUCT((MONTH(CHOOSE({1,2,3,4},KMB!U126,KMB!AA126,KMB!AG126,KMB!AM126))=3)*(CHOOSE({1,2,3,4},KMB!X126,KMB!AD126,KMB!AJ126,KMB!AP126)))</f>
        <v>0</v>
      </c>
      <c r="D126">
        <f>SUMPRODUCT((MONTH(CHOOSE({1,2,3,4},KMB!U126,KMB!AA126,KMB!AG126,KMB!AM126))=4)*(CHOOSE({1,2,3,4},KMB!X126,KMB!AD126,KMB!AJ126,KMB!AP126)))</f>
        <v>0</v>
      </c>
      <c r="E126">
        <f>SUMPRODUCT((MONTH(CHOOSE({1,2,3,4},KMB!U126,KMB!AA126,KMB!AG126,KMB!AM126))=5)*(CHOOSE({1,2,3,4},KMB!X126,KMB!AD126,KMB!AJ126,KMB!AP126)))</f>
        <v>0</v>
      </c>
      <c r="F126">
        <f>SUMPRODUCT((MONTH(CHOOSE({1,2,3,4},KMB!U126,KMB!AA126,KMB!AG126,KMB!AM126))=6)*(CHOOSE({1,2,3,4},KMB!X126,KMB!AD126,KMB!AJ126,KMB!AP126)))</f>
        <v>0</v>
      </c>
      <c r="G126">
        <f>SUMPRODUCT((MONTH(CHOOSE({1,2,3,4},KMB!U126,KMB!AA126,KMB!AG126,KMB!AM126))=7)*(CHOOSE({1,2,3,4},KMB!X126,KMB!AD126,KMB!AJ126,KMB!AP126)))</f>
        <v>0</v>
      </c>
      <c r="H126">
        <f>SUMPRODUCT((MONTH(CHOOSE({1,2,3,4},KMB!U126,KMB!AA126,KMB!AG126,KMB!AM126))=8)*(CHOOSE({1,2,3,4},KMB!X126,KMB!AD126,KMB!AJ126,KMB!AP126)))</f>
        <v>0</v>
      </c>
      <c r="I126">
        <f>SUMPRODUCT((MONTH(CHOOSE({1,2,3,4},KMB!U126,KMB!AA126,KMB!AG126,KMB!AM126))=9)*(CHOOSE({1,2,3,4},KMB!X126,KMB!AD126,KMB!AJ126,KMB!AP126)))</f>
        <v>0</v>
      </c>
      <c r="J126">
        <f>SUMPRODUCT((MONTH(CHOOSE({1,2,3,4},KMB!U126,KMB!AA126,KMB!AG126,KMB!AM126))=10)*(CHOOSE({1,2,3,4},KMB!X126,KMB!AD126,KMB!AJ126,KMB!AP126)))</f>
        <v>0</v>
      </c>
      <c r="K126">
        <f>SUMPRODUCT((MONTH(CHOOSE({1,2,3,4},KMB!U126,KMB!AA126,KMB!AG126,KMB!AM126))=11)*(CHOOSE({1,2,3,4},KMB!X126,KMB!AD126,KMB!AJ126,KMB!AP126)))</f>
        <v>0</v>
      </c>
      <c r="L126">
        <f>SUMPRODUCT((MONTH(CHOOSE({1,2,3,4},KMB!U126,KMB!AA126,KMB!AG126,KMB!AM126))=12)*(CHOOSE({1,2,3,4},KMB!X126,KMB!AD126,KMB!AJ126,KMB!AP126)))</f>
        <v>0</v>
      </c>
    </row>
    <row r="127" spans="1:12">
      <c r="A127">
        <f>SUMPRODUCT((MONTH(CHOOSE({1,2,3,4},KMB!U127,KMB!AA127,KMB!AG127,KMB!AM127))=1)*(CHOOSE({1,2,3,4},KMB!X127,KMB!AD127,KMB!AJ127,KMB!AP127)))</f>
        <v>0</v>
      </c>
      <c r="B127">
        <f>SUMPRODUCT((MONTH(CHOOSE({1,2,3,4},KMB!U127,KMB!AA127,KMB!AG127,KMB!AM127))=2)*(CHOOSE({1,2,3,4},KMB!X127,KMB!AD127,KMB!AJ127,KMB!AP127)))</f>
        <v>0</v>
      </c>
      <c r="C127">
        <f>SUMPRODUCT((MONTH(CHOOSE({1,2,3,4},KMB!U127,KMB!AA127,KMB!AG127,KMB!AM127))=3)*(CHOOSE({1,2,3,4},KMB!X127,KMB!AD127,KMB!AJ127,KMB!AP127)))</f>
        <v>0</v>
      </c>
      <c r="D127">
        <f>SUMPRODUCT((MONTH(CHOOSE({1,2,3,4},KMB!U127,KMB!AA127,KMB!AG127,KMB!AM127))=4)*(CHOOSE({1,2,3,4},KMB!X127,KMB!AD127,KMB!AJ127,KMB!AP127)))</f>
        <v>0</v>
      </c>
      <c r="E127">
        <f>SUMPRODUCT((MONTH(CHOOSE({1,2,3,4},KMB!U127,KMB!AA127,KMB!AG127,KMB!AM127))=5)*(CHOOSE({1,2,3,4},KMB!X127,KMB!AD127,KMB!AJ127,KMB!AP127)))</f>
        <v>0</v>
      </c>
      <c r="F127">
        <f>SUMPRODUCT((MONTH(CHOOSE({1,2,3,4},KMB!U127,KMB!AA127,KMB!AG127,KMB!AM127))=6)*(CHOOSE({1,2,3,4},KMB!X127,KMB!AD127,KMB!AJ127,KMB!AP127)))</f>
        <v>0</v>
      </c>
      <c r="G127">
        <f>SUMPRODUCT((MONTH(CHOOSE({1,2,3,4},KMB!U127,KMB!AA127,KMB!AG127,KMB!AM127))=7)*(CHOOSE({1,2,3,4},KMB!X127,KMB!AD127,KMB!AJ127,KMB!AP127)))</f>
        <v>0</v>
      </c>
      <c r="H127">
        <f>SUMPRODUCT((MONTH(CHOOSE({1,2,3,4},KMB!U127,KMB!AA127,KMB!AG127,KMB!AM127))=8)*(CHOOSE({1,2,3,4},KMB!X127,KMB!AD127,KMB!AJ127,KMB!AP127)))</f>
        <v>0</v>
      </c>
      <c r="I127">
        <f>SUMPRODUCT((MONTH(CHOOSE({1,2,3,4},KMB!U127,KMB!AA127,KMB!AG127,KMB!AM127))=9)*(CHOOSE({1,2,3,4},KMB!X127,KMB!AD127,KMB!AJ127,KMB!AP127)))</f>
        <v>0</v>
      </c>
      <c r="J127">
        <f>SUMPRODUCT((MONTH(CHOOSE({1,2,3,4},KMB!U127,KMB!AA127,KMB!AG127,KMB!AM127))=10)*(CHOOSE({1,2,3,4},KMB!X127,KMB!AD127,KMB!AJ127,KMB!AP127)))</f>
        <v>0</v>
      </c>
      <c r="K127">
        <f>SUMPRODUCT((MONTH(CHOOSE({1,2,3,4},KMB!U127,KMB!AA127,KMB!AG127,KMB!AM127))=11)*(CHOOSE({1,2,3,4},KMB!X127,KMB!AD127,KMB!AJ127,KMB!AP127)))</f>
        <v>0</v>
      </c>
      <c r="L127">
        <f>SUMPRODUCT((MONTH(CHOOSE({1,2,3,4},KMB!U127,KMB!AA127,KMB!AG127,KMB!AM127))=12)*(CHOOSE({1,2,3,4},KMB!X127,KMB!AD127,KMB!AJ127,KMB!AP127)))</f>
        <v>0</v>
      </c>
    </row>
    <row r="128" spans="1:12">
      <c r="A128">
        <f>SUMPRODUCT((MONTH(CHOOSE({1,2,3,4},KMB!U128,KMB!AA128,KMB!AG128,KMB!AM128))=1)*(CHOOSE({1,2,3,4},KMB!X128,KMB!AD128,KMB!AJ128,KMB!AP128)))</f>
        <v>0</v>
      </c>
      <c r="B128">
        <f>SUMPRODUCT((MONTH(CHOOSE({1,2,3,4},KMB!U128,KMB!AA128,KMB!AG128,KMB!AM128))=2)*(CHOOSE({1,2,3,4},KMB!X128,KMB!AD128,KMB!AJ128,KMB!AP128)))</f>
        <v>0</v>
      </c>
      <c r="C128">
        <f>SUMPRODUCT((MONTH(CHOOSE({1,2,3,4},KMB!U128,KMB!AA128,KMB!AG128,KMB!AM128))=3)*(CHOOSE({1,2,3,4},KMB!X128,KMB!AD128,KMB!AJ128,KMB!AP128)))</f>
        <v>0</v>
      </c>
      <c r="D128">
        <f>SUMPRODUCT((MONTH(CHOOSE({1,2,3,4},KMB!U128,KMB!AA128,KMB!AG128,KMB!AM128))=4)*(CHOOSE({1,2,3,4},KMB!X128,KMB!AD128,KMB!AJ128,KMB!AP128)))</f>
        <v>0</v>
      </c>
      <c r="E128">
        <f>SUMPRODUCT((MONTH(CHOOSE({1,2,3,4},KMB!U128,KMB!AA128,KMB!AG128,KMB!AM128))=5)*(CHOOSE({1,2,3,4},KMB!X128,KMB!AD128,KMB!AJ128,KMB!AP128)))</f>
        <v>0</v>
      </c>
      <c r="F128">
        <f>SUMPRODUCT((MONTH(CHOOSE({1,2,3,4},KMB!U128,KMB!AA128,KMB!AG128,KMB!AM128))=6)*(CHOOSE({1,2,3,4},KMB!X128,KMB!AD128,KMB!AJ128,KMB!AP128)))</f>
        <v>0</v>
      </c>
      <c r="G128">
        <f>SUMPRODUCT((MONTH(CHOOSE({1,2,3,4},KMB!U128,KMB!AA128,KMB!AG128,KMB!AM128))=7)*(CHOOSE({1,2,3,4},KMB!X128,KMB!AD128,KMB!AJ128,KMB!AP128)))</f>
        <v>0</v>
      </c>
      <c r="H128">
        <f>SUMPRODUCT((MONTH(CHOOSE({1,2,3,4},KMB!U128,KMB!AA128,KMB!AG128,KMB!AM128))=8)*(CHOOSE({1,2,3,4},KMB!X128,KMB!AD128,KMB!AJ128,KMB!AP128)))</f>
        <v>0</v>
      </c>
      <c r="I128">
        <f>SUMPRODUCT((MONTH(CHOOSE({1,2,3,4},KMB!U128,KMB!AA128,KMB!AG128,KMB!AM128))=9)*(CHOOSE({1,2,3,4},KMB!X128,KMB!AD128,KMB!AJ128,KMB!AP128)))</f>
        <v>0</v>
      </c>
      <c r="J128">
        <f>SUMPRODUCT((MONTH(CHOOSE({1,2,3,4},KMB!U128,KMB!AA128,KMB!AG128,KMB!AM128))=10)*(CHOOSE({1,2,3,4},KMB!X128,KMB!AD128,KMB!AJ128,KMB!AP128)))</f>
        <v>0</v>
      </c>
      <c r="K128">
        <f>SUMPRODUCT((MONTH(CHOOSE({1,2,3,4},KMB!U128,KMB!AA128,KMB!AG128,KMB!AM128))=11)*(CHOOSE({1,2,3,4},KMB!X128,KMB!AD128,KMB!AJ128,KMB!AP128)))</f>
        <v>0</v>
      </c>
      <c r="L128">
        <f>SUMPRODUCT((MONTH(CHOOSE({1,2,3,4},KMB!U128,KMB!AA128,KMB!AG128,KMB!AM128))=12)*(CHOOSE({1,2,3,4},KMB!X128,KMB!AD128,KMB!AJ128,KMB!AP128)))</f>
        <v>0</v>
      </c>
    </row>
    <row r="129" spans="1:12">
      <c r="A129">
        <f>SUMPRODUCT((MONTH(CHOOSE({1,2,3,4},KMB!U129,KMB!AA129,KMB!AG129,KMB!AM129))=1)*(CHOOSE({1,2,3,4},KMB!X129,KMB!AD129,KMB!AJ129,KMB!AP129)))</f>
        <v>0</v>
      </c>
      <c r="B129">
        <f>SUMPRODUCT((MONTH(CHOOSE({1,2,3,4},KMB!U129,KMB!AA129,KMB!AG129,KMB!AM129))=2)*(CHOOSE({1,2,3,4},KMB!X129,KMB!AD129,KMB!AJ129,KMB!AP129)))</f>
        <v>0</v>
      </c>
      <c r="C129">
        <f>SUMPRODUCT((MONTH(CHOOSE({1,2,3,4},KMB!U129,KMB!AA129,KMB!AG129,KMB!AM129))=3)*(CHOOSE({1,2,3,4},KMB!X129,KMB!AD129,KMB!AJ129,KMB!AP129)))</f>
        <v>0</v>
      </c>
      <c r="D129">
        <f>SUMPRODUCT((MONTH(CHOOSE({1,2,3,4},KMB!U129,KMB!AA129,KMB!AG129,KMB!AM129))=4)*(CHOOSE({1,2,3,4},KMB!X129,KMB!AD129,KMB!AJ129,KMB!AP129)))</f>
        <v>0</v>
      </c>
      <c r="E129">
        <f>SUMPRODUCT((MONTH(CHOOSE({1,2,3,4},KMB!U129,KMB!AA129,KMB!AG129,KMB!AM129))=5)*(CHOOSE({1,2,3,4},KMB!X129,KMB!AD129,KMB!AJ129,KMB!AP129)))</f>
        <v>0</v>
      </c>
      <c r="F129">
        <f>SUMPRODUCT((MONTH(CHOOSE({1,2,3,4},KMB!U129,KMB!AA129,KMB!AG129,KMB!AM129))=6)*(CHOOSE({1,2,3,4},KMB!X129,KMB!AD129,KMB!AJ129,KMB!AP129)))</f>
        <v>0</v>
      </c>
      <c r="G129">
        <f>SUMPRODUCT((MONTH(CHOOSE({1,2,3,4},KMB!U129,KMB!AA129,KMB!AG129,KMB!AM129))=7)*(CHOOSE({1,2,3,4},KMB!X129,KMB!AD129,KMB!AJ129,KMB!AP129)))</f>
        <v>0</v>
      </c>
      <c r="H129">
        <f>SUMPRODUCT((MONTH(CHOOSE({1,2,3,4},KMB!U129,KMB!AA129,KMB!AG129,KMB!AM129))=8)*(CHOOSE({1,2,3,4},KMB!X129,KMB!AD129,KMB!AJ129,KMB!AP129)))</f>
        <v>0</v>
      </c>
      <c r="I129">
        <f>SUMPRODUCT((MONTH(CHOOSE({1,2,3,4},KMB!U129,KMB!AA129,KMB!AG129,KMB!AM129))=9)*(CHOOSE({1,2,3,4},KMB!X129,KMB!AD129,KMB!AJ129,KMB!AP129)))</f>
        <v>0</v>
      </c>
      <c r="J129">
        <f>SUMPRODUCT((MONTH(CHOOSE({1,2,3,4},KMB!U129,KMB!AA129,KMB!AG129,KMB!AM129))=10)*(CHOOSE({1,2,3,4},KMB!X129,KMB!AD129,KMB!AJ129,KMB!AP129)))</f>
        <v>0</v>
      </c>
      <c r="K129">
        <f>SUMPRODUCT((MONTH(CHOOSE({1,2,3,4},KMB!U129,KMB!AA129,KMB!AG129,KMB!AM129))=11)*(CHOOSE({1,2,3,4},KMB!X129,KMB!AD129,KMB!AJ129,KMB!AP129)))</f>
        <v>0</v>
      </c>
      <c r="L129">
        <f>SUMPRODUCT((MONTH(CHOOSE({1,2,3,4},KMB!U129,KMB!AA129,KMB!AG129,KMB!AM129))=12)*(CHOOSE({1,2,3,4},KMB!X129,KMB!AD129,KMB!AJ129,KMB!AP129)))</f>
        <v>0</v>
      </c>
    </row>
    <row r="130" spans="1:12">
      <c r="A130">
        <f>SUMPRODUCT((MONTH(CHOOSE({1,2,3,4},KMB!U130,KMB!AA130,KMB!AG130,KMB!AM130))=1)*(CHOOSE({1,2,3,4},KMB!X130,KMB!AD130,KMB!AJ130,KMB!AP130)))</f>
        <v>0</v>
      </c>
      <c r="B130">
        <f>SUMPRODUCT((MONTH(CHOOSE({1,2,3,4},KMB!U130,KMB!AA130,KMB!AG130,KMB!AM130))=2)*(CHOOSE({1,2,3,4},KMB!X130,KMB!AD130,KMB!AJ130,KMB!AP130)))</f>
        <v>0</v>
      </c>
      <c r="C130">
        <f>SUMPRODUCT((MONTH(CHOOSE({1,2,3,4},KMB!U130,KMB!AA130,KMB!AG130,KMB!AM130))=3)*(CHOOSE({1,2,3,4},KMB!X130,KMB!AD130,KMB!AJ130,KMB!AP130)))</f>
        <v>0</v>
      </c>
      <c r="D130">
        <f>SUMPRODUCT((MONTH(CHOOSE({1,2,3,4},KMB!U130,KMB!AA130,KMB!AG130,KMB!AM130))=4)*(CHOOSE({1,2,3,4},KMB!X130,KMB!AD130,KMB!AJ130,KMB!AP130)))</f>
        <v>0</v>
      </c>
      <c r="E130">
        <f>SUMPRODUCT((MONTH(CHOOSE({1,2,3,4},KMB!U130,KMB!AA130,KMB!AG130,KMB!AM130))=5)*(CHOOSE({1,2,3,4},KMB!X130,KMB!AD130,KMB!AJ130,KMB!AP130)))</f>
        <v>0</v>
      </c>
      <c r="F130">
        <f>SUMPRODUCT((MONTH(CHOOSE({1,2,3,4},KMB!U130,KMB!AA130,KMB!AG130,KMB!AM130))=6)*(CHOOSE({1,2,3,4},KMB!X130,KMB!AD130,KMB!AJ130,KMB!AP130)))</f>
        <v>0</v>
      </c>
      <c r="G130">
        <f>SUMPRODUCT((MONTH(CHOOSE({1,2,3,4},KMB!U130,KMB!AA130,KMB!AG130,KMB!AM130))=7)*(CHOOSE({1,2,3,4},KMB!X130,KMB!AD130,KMB!AJ130,KMB!AP130)))</f>
        <v>0</v>
      </c>
      <c r="H130">
        <f>SUMPRODUCT((MONTH(CHOOSE({1,2,3,4},KMB!U130,KMB!AA130,KMB!AG130,KMB!AM130))=8)*(CHOOSE({1,2,3,4},KMB!X130,KMB!AD130,KMB!AJ130,KMB!AP130)))</f>
        <v>0</v>
      </c>
      <c r="I130">
        <f>SUMPRODUCT((MONTH(CHOOSE({1,2,3,4},KMB!U130,KMB!AA130,KMB!AG130,KMB!AM130))=9)*(CHOOSE({1,2,3,4},KMB!X130,KMB!AD130,KMB!AJ130,KMB!AP130)))</f>
        <v>0</v>
      </c>
      <c r="J130">
        <f>SUMPRODUCT((MONTH(CHOOSE({1,2,3,4},KMB!U130,KMB!AA130,KMB!AG130,KMB!AM130))=10)*(CHOOSE({1,2,3,4},KMB!X130,KMB!AD130,KMB!AJ130,KMB!AP130)))</f>
        <v>0</v>
      </c>
      <c r="K130">
        <f>SUMPRODUCT((MONTH(CHOOSE({1,2,3,4},KMB!U130,KMB!AA130,KMB!AG130,KMB!AM130))=11)*(CHOOSE({1,2,3,4},KMB!X130,KMB!AD130,KMB!AJ130,KMB!AP130)))</f>
        <v>0</v>
      </c>
      <c r="L130">
        <f>SUMPRODUCT((MONTH(CHOOSE({1,2,3,4},KMB!U130,KMB!AA130,KMB!AG130,KMB!AM130))=12)*(CHOOSE({1,2,3,4},KMB!X130,KMB!AD130,KMB!AJ130,KMB!AP130)))</f>
        <v>0</v>
      </c>
    </row>
    <row r="131" spans="1:12">
      <c r="A131">
        <f>SUMPRODUCT((MONTH(CHOOSE({1,2,3,4},KMB!U131,KMB!AA131,KMB!AG131,KMB!AM131))=1)*(CHOOSE({1,2,3,4},KMB!X131,KMB!AD131,KMB!AJ131,KMB!AP131)))</f>
        <v>0</v>
      </c>
      <c r="B131">
        <f>SUMPRODUCT((MONTH(CHOOSE({1,2,3,4},KMB!U131,KMB!AA131,KMB!AG131,KMB!AM131))=2)*(CHOOSE({1,2,3,4},KMB!X131,KMB!AD131,KMB!AJ131,KMB!AP131)))</f>
        <v>0</v>
      </c>
      <c r="C131">
        <f>SUMPRODUCT((MONTH(CHOOSE({1,2,3,4},KMB!U131,KMB!AA131,KMB!AG131,KMB!AM131))=3)*(CHOOSE({1,2,3,4},KMB!X131,KMB!AD131,KMB!AJ131,KMB!AP131)))</f>
        <v>0</v>
      </c>
      <c r="D131">
        <f>SUMPRODUCT((MONTH(CHOOSE({1,2,3,4},KMB!U131,KMB!AA131,KMB!AG131,KMB!AM131))=4)*(CHOOSE({1,2,3,4},KMB!X131,KMB!AD131,KMB!AJ131,KMB!AP131)))</f>
        <v>0</v>
      </c>
      <c r="E131">
        <f>SUMPRODUCT((MONTH(CHOOSE({1,2,3,4},KMB!U131,KMB!AA131,KMB!AG131,KMB!AM131))=5)*(CHOOSE({1,2,3,4},KMB!X131,KMB!AD131,KMB!AJ131,KMB!AP131)))</f>
        <v>0</v>
      </c>
      <c r="F131">
        <f>SUMPRODUCT((MONTH(CHOOSE({1,2,3,4},KMB!U131,KMB!AA131,KMB!AG131,KMB!AM131))=6)*(CHOOSE({1,2,3,4},KMB!X131,KMB!AD131,KMB!AJ131,KMB!AP131)))</f>
        <v>0</v>
      </c>
      <c r="G131">
        <f>SUMPRODUCT((MONTH(CHOOSE({1,2,3,4},KMB!U131,KMB!AA131,KMB!AG131,KMB!AM131))=7)*(CHOOSE({1,2,3,4},KMB!X131,KMB!AD131,KMB!AJ131,KMB!AP131)))</f>
        <v>0</v>
      </c>
      <c r="H131">
        <f>SUMPRODUCT((MONTH(CHOOSE({1,2,3,4},KMB!U131,KMB!AA131,KMB!AG131,KMB!AM131))=8)*(CHOOSE({1,2,3,4},KMB!X131,KMB!AD131,KMB!AJ131,KMB!AP131)))</f>
        <v>0</v>
      </c>
      <c r="I131">
        <f>SUMPRODUCT((MONTH(CHOOSE({1,2,3,4},KMB!U131,KMB!AA131,KMB!AG131,KMB!AM131))=9)*(CHOOSE({1,2,3,4},KMB!X131,KMB!AD131,KMB!AJ131,KMB!AP131)))</f>
        <v>0</v>
      </c>
      <c r="J131">
        <f>SUMPRODUCT((MONTH(CHOOSE({1,2,3,4},KMB!U131,KMB!AA131,KMB!AG131,KMB!AM131))=10)*(CHOOSE({1,2,3,4},KMB!X131,KMB!AD131,KMB!AJ131,KMB!AP131)))</f>
        <v>0</v>
      </c>
      <c r="K131">
        <f>SUMPRODUCT((MONTH(CHOOSE({1,2,3,4},KMB!U131,KMB!AA131,KMB!AG131,KMB!AM131))=11)*(CHOOSE({1,2,3,4},KMB!X131,KMB!AD131,KMB!AJ131,KMB!AP131)))</f>
        <v>0</v>
      </c>
      <c r="L131">
        <f>SUMPRODUCT((MONTH(CHOOSE({1,2,3,4},KMB!U131,KMB!AA131,KMB!AG131,KMB!AM131))=12)*(CHOOSE({1,2,3,4},KMB!X131,KMB!AD131,KMB!AJ131,KMB!AP131)))</f>
        <v>0</v>
      </c>
    </row>
    <row r="132" spans="1:12">
      <c r="A132">
        <f>SUMPRODUCT((MONTH(CHOOSE({1,2,3,4},KMB!U132,KMB!AA132,KMB!AG132,KMB!AM132))=1)*(CHOOSE({1,2,3,4},KMB!X132,KMB!AD132,KMB!AJ132,KMB!AP132)))</f>
        <v>0</v>
      </c>
      <c r="B132">
        <f>SUMPRODUCT((MONTH(CHOOSE({1,2,3,4},KMB!U132,KMB!AA132,KMB!AG132,KMB!AM132))=2)*(CHOOSE({1,2,3,4},KMB!X132,KMB!AD132,KMB!AJ132,KMB!AP132)))</f>
        <v>0</v>
      </c>
      <c r="C132">
        <f>SUMPRODUCT((MONTH(CHOOSE({1,2,3,4},KMB!U132,KMB!AA132,KMB!AG132,KMB!AM132))=3)*(CHOOSE({1,2,3,4},KMB!X132,KMB!AD132,KMB!AJ132,KMB!AP132)))</f>
        <v>0</v>
      </c>
      <c r="D132">
        <f>SUMPRODUCT((MONTH(CHOOSE({1,2,3,4},KMB!U132,KMB!AA132,KMB!AG132,KMB!AM132))=4)*(CHOOSE({1,2,3,4},KMB!X132,KMB!AD132,KMB!AJ132,KMB!AP132)))</f>
        <v>0</v>
      </c>
      <c r="E132">
        <f>SUMPRODUCT((MONTH(CHOOSE({1,2,3,4},KMB!U132,KMB!AA132,KMB!AG132,KMB!AM132))=5)*(CHOOSE({1,2,3,4},KMB!X132,KMB!AD132,KMB!AJ132,KMB!AP132)))</f>
        <v>0</v>
      </c>
      <c r="F132">
        <f>SUMPRODUCT((MONTH(CHOOSE({1,2,3,4},KMB!U132,KMB!AA132,KMB!AG132,KMB!AM132))=6)*(CHOOSE({1,2,3,4},KMB!X132,KMB!AD132,KMB!AJ132,KMB!AP132)))</f>
        <v>0</v>
      </c>
      <c r="G132">
        <f>SUMPRODUCT((MONTH(CHOOSE({1,2,3,4},KMB!U132,KMB!AA132,KMB!AG132,KMB!AM132))=7)*(CHOOSE({1,2,3,4},KMB!X132,KMB!AD132,KMB!AJ132,KMB!AP132)))</f>
        <v>0</v>
      </c>
      <c r="H132">
        <f>SUMPRODUCT((MONTH(CHOOSE({1,2,3,4},KMB!U132,KMB!AA132,KMB!AG132,KMB!AM132))=8)*(CHOOSE({1,2,3,4},KMB!X132,KMB!AD132,KMB!AJ132,KMB!AP132)))</f>
        <v>0</v>
      </c>
      <c r="I132">
        <f>SUMPRODUCT((MONTH(CHOOSE({1,2,3,4},KMB!U132,KMB!AA132,KMB!AG132,KMB!AM132))=9)*(CHOOSE({1,2,3,4},KMB!X132,KMB!AD132,KMB!AJ132,KMB!AP132)))</f>
        <v>0</v>
      </c>
      <c r="J132">
        <f>SUMPRODUCT((MONTH(CHOOSE({1,2,3,4},KMB!U132,KMB!AA132,KMB!AG132,KMB!AM132))=10)*(CHOOSE({1,2,3,4},KMB!X132,KMB!AD132,KMB!AJ132,KMB!AP132)))</f>
        <v>0</v>
      </c>
      <c r="K132">
        <f>SUMPRODUCT((MONTH(CHOOSE({1,2,3,4},KMB!U132,KMB!AA132,KMB!AG132,KMB!AM132))=11)*(CHOOSE({1,2,3,4},KMB!X132,KMB!AD132,KMB!AJ132,KMB!AP132)))</f>
        <v>0</v>
      </c>
      <c r="L132">
        <f>SUMPRODUCT((MONTH(CHOOSE({1,2,3,4},KMB!U132,KMB!AA132,KMB!AG132,KMB!AM132))=12)*(CHOOSE({1,2,3,4},KMB!X132,KMB!AD132,KMB!AJ132,KMB!AP132)))</f>
        <v>0</v>
      </c>
    </row>
    <row r="133" spans="1:12">
      <c r="A133">
        <f>SUMPRODUCT((MONTH(CHOOSE({1,2,3,4},KMB!U133,KMB!AA133,KMB!AG133,KMB!AM133))=1)*(CHOOSE({1,2,3,4},KMB!X133,KMB!AD133,KMB!AJ133,KMB!AP133)))</f>
        <v>0</v>
      </c>
      <c r="B133">
        <f>SUMPRODUCT((MONTH(CHOOSE({1,2,3,4},KMB!U133,KMB!AA133,KMB!AG133,KMB!AM133))=2)*(CHOOSE({1,2,3,4},KMB!X133,KMB!AD133,KMB!AJ133,KMB!AP133)))</f>
        <v>0</v>
      </c>
      <c r="C133">
        <f>SUMPRODUCT((MONTH(CHOOSE({1,2,3,4},KMB!U133,KMB!AA133,KMB!AG133,KMB!AM133))=3)*(CHOOSE({1,2,3,4},KMB!X133,KMB!AD133,KMB!AJ133,KMB!AP133)))</f>
        <v>0</v>
      </c>
      <c r="D133">
        <f>SUMPRODUCT((MONTH(CHOOSE({1,2,3,4},KMB!U133,KMB!AA133,KMB!AG133,KMB!AM133))=4)*(CHOOSE({1,2,3,4},KMB!X133,KMB!AD133,KMB!AJ133,KMB!AP133)))</f>
        <v>0</v>
      </c>
      <c r="E133">
        <f>SUMPRODUCT((MONTH(CHOOSE({1,2,3,4},KMB!U133,KMB!AA133,KMB!AG133,KMB!AM133))=5)*(CHOOSE({1,2,3,4},KMB!X133,KMB!AD133,KMB!AJ133,KMB!AP133)))</f>
        <v>0</v>
      </c>
      <c r="F133">
        <f>SUMPRODUCT((MONTH(CHOOSE({1,2,3,4},KMB!U133,KMB!AA133,KMB!AG133,KMB!AM133))=6)*(CHOOSE({1,2,3,4},KMB!X133,KMB!AD133,KMB!AJ133,KMB!AP133)))</f>
        <v>0</v>
      </c>
      <c r="G133">
        <f>SUMPRODUCT((MONTH(CHOOSE({1,2,3,4},KMB!U133,KMB!AA133,KMB!AG133,KMB!AM133))=7)*(CHOOSE({1,2,3,4},KMB!X133,KMB!AD133,KMB!AJ133,KMB!AP133)))</f>
        <v>0</v>
      </c>
      <c r="H133">
        <f>SUMPRODUCT((MONTH(CHOOSE({1,2,3,4},KMB!U133,KMB!AA133,KMB!AG133,KMB!AM133))=8)*(CHOOSE({1,2,3,4},KMB!X133,KMB!AD133,KMB!AJ133,KMB!AP133)))</f>
        <v>0</v>
      </c>
      <c r="I133">
        <f>SUMPRODUCT((MONTH(CHOOSE({1,2,3,4},KMB!U133,KMB!AA133,KMB!AG133,KMB!AM133))=9)*(CHOOSE({1,2,3,4},KMB!X133,KMB!AD133,KMB!AJ133,KMB!AP133)))</f>
        <v>0</v>
      </c>
      <c r="J133">
        <f>SUMPRODUCT((MONTH(CHOOSE({1,2,3,4},KMB!U133,KMB!AA133,KMB!AG133,KMB!AM133))=10)*(CHOOSE({1,2,3,4},KMB!X133,KMB!AD133,KMB!AJ133,KMB!AP133)))</f>
        <v>0</v>
      </c>
      <c r="K133">
        <f>SUMPRODUCT((MONTH(CHOOSE({1,2,3,4},KMB!U133,KMB!AA133,KMB!AG133,KMB!AM133))=11)*(CHOOSE({1,2,3,4},KMB!X133,KMB!AD133,KMB!AJ133,KMB!AP133)))</f>
        <v>0</v>
      </c>
      <c r="L133">
        <f>SUMPRODUCT((MONTH(CHOOSE({1,2,3,4},KMB!U133,KMB!AA133,KMB!AG133,KMB!AM133))=12)*(CHOOSE({1,2,3,4},KMB!X133,KMB!AD133,KMB!AJ133,KMB!AP133)))</f>
        <v>0</v>
      </c>
    </row>
    <row r="134" spans="1:12">
      <c r="A134">
        <f>SUMPRODUCT((MONTH(CHOOSE({1,2,3,4},KMB!U134,KMB!AA134,KMB!AG134,KMB!AM134))=1)*(CHOOSE({1,2,3,4},KMB!X134,KMB!AD134,KMB!AJ134,KMB!AP134)))</f>
        <v>0</v>
      </c>
      <c r="B134">
        <f>SUMPRODUCT((MONTH(CHOOSE({1,2,3,4},KMB!U134,KMB!AA134,KMB!AG134,KMB!AM134))=2)*(CHOOSE({1,2,3,4},KMB!X134,KMB!AD134,KMB!AJ134,KMB!AP134)))</f>
        <v>0</v>
      </c>
      <c r="C134">
        <f>SUMPRODUCT((MONTH(CHOOSE({1,2,3,4},KMB!U134,KMB!AA134,KMB!AG134,KMB!AM134))=3)*(CHOOSE({1,2,3,4},KMB!X134,KMB!AD134,KMB!AJ134,KMB!AP134)))</f>
        <v>0</v>
      </c>
      <c r="D134">
        <f>SUMPRODUCT((MONTH(CHOOSE({1,2,3,4},KMB!U134,KMB!AA134,KMB!AG134,KMB!AM134))=4)*(CHOOSE({1,2,3,4},KMB!X134,KMB!AD134,KMB!AJ134,KMB!AP134)))</f>
        <v>0</v>
      </c>
      <c r="E134">
        <f>SUMPRODUCT((MONTH(CHOOSE({1,2,3,4},KMB!U134,KMB!AA134,KMB!AG134,KMB!AM134))=5)*(CHOOSE({1,2,3,4},KMB!X134,KMB!AD134,KMB!AJ134,KMB!AP134)))</f>
        <v>0</v>
      </c>
      <c r="F134">
        <f>SUMPRODUCT((MONTH(CHOOSE({1,2,3,4},KMB!U134,KMB!AA134,KMB!AG134,KMB!AM134))=6)*(CHOOSE({1,2,3,4},KMB!X134,KMB!AD134,KMB!AJ134,KMB!AP134)))</f>
        <v>0</v>
      </c>
      <c r="G134">
        <f>SUMPRODUCT((MONTH(CHOOSE({1,2,3,4},KMB!U134,KMB!AA134,KMB!AG134,KMB!AM134))=7)*(CHOOSE({1,2,3,4},KMB!X134,KMB!AD134,KMB!AJ134,KMB!AP134)))</f>
        <v>0</v>
      </c>
      <c r="H134">
        <f>SUMPRODUCT((MONTH(CHOOSE({1,2,3,4},KMB!U134,KMB!AA134,KMB!AG134,KMB!AM134))=8)*(CHOOSE({1,2,3,4},KMB!X134,KMB!AD134,KMB!AJ134,KMB!AP134)))</f>
        <v>0</v>
      </c>
      <c r="I134">
        <f>SUMPRODUCT((MONTH(CHOOSE({1,2,3,4},KMB!U134,KMB!AA134,KMB!AG134,KMB!AM134))=9)*(CHOOSE({1,2,3,4},KMB!X134,KMB!AD134,KMB!AJ134,KMB!AP134)))</f>
        <v>0</v>
      </c>
      <c r="J134">
        <f>SUMPRODUCT((MONTH(CHOOSE({1,2,3,4},KMB!U134,KMB!AA134,KMB!AG134,KMB!AM134))=10)*(CHOOSE({1,2,3,4},KMB!X134,KMB!AD134,KMB!AJ134,KMB!AP134)))</f>
        <v>0</v>
      </c>
      <c r="K134">
        <f>SUMPRODUCT((MONTH(CHOOSE({1,2,3,4},KMB!U134,KMB!AA134,KMB!AG134,KMB!AM134))=11)*(CHOOSE({1,2,3,4},KMB!X134,KMB!AD134,KMB!AJ134,KMB!AP134)))</f>
        <v>0</v>
      </c>
      <c r="L134">
        <f>SUMPRODUCT((MONTH(CHOOSE({1,2,3,4},KMB!U134,KMB!AA134,KMB!AG134,KMB!AM134))=12)*(CHOOSE({1,2,3,4},KMB!X134,KMB!AD134,KMB!AJ134,KMB!AP134)))</f>
        <v>0</v>
      </c>
    </row>
    <row r="135" spans="1:12">
      <c r="A135">
        <f>SUMPRODUCT((MONTH(CHOOSE({1,2,3,4},KMB!U135,KMB!AA135,KMB!AG135,KMB!AM135))=1)*(CHOOSE({1,2,3,4},KMB!X135,KMB!AD135,KMB!AJ135,KMB!AP135)))</f>
        <v>0</v>
      </c>
      <c r="B135">
        <f>SUMPRODUCT((MONTH(CHOOSE({1,2,3,4},KMB!U135,KMB!AA135,KMB!AG135,KMB!AM135))=2)*(CHOOSE({1,2,3,4},KMB!X135,KMB!AD135,KMB!AJ135,KMB!AP135)))</f>
        <v>0</v>
      </c>
      <c r="C135">
        <f>SUMPRODUCT((MONTH(CHOOSE({1,2,3,4},KMB!U135,KMB!AA135,KMB!AG135,KMB!AM135))=3)*(CHOOSE({1,2,3,4},KMB!X135,KMB!AD135,KMB!AJ135,KMB!AP135)))</f>
        <v>0</v>
      </c>
      <c r="D135">
        <f>SUMPRODUCT((MONTH(CHOOSE({1,2,3,4},KMB!U135,KMB!AA135,KMB!AG135,KMB!AM135))=4)*(CHOOSE({1,2,3,4},KMB!X135,KMB!AD135,KMB!AJ135,KMB!AP135)))</f>
        <v>0</v>
      </c>
      <c r="E135">
        <f>SUMPRODUCT((MONTH(CHOOSE({1,2,3,4},KMB!U135,KMB!AA135,KMB!AG135,KMB!AM135))=5)*(CHOOSE({1,2,3,4},KMB!X135,KMB!AD135,KMB!AJ135,KMB!AP135)))</f>
        <v>0</v>
      </c>
      <c r="F135">
        <f>SUMPRODUCT((MONTH(CHOOSE({1,2,3,4},KMB!U135,KMB!AA135,KMB!AG135,KMB!AM135))=6)*(CHOOSE({1,2,3,4},KMB!X135,KMB!AD135,KMB!AJ135,KMB!AP135)))</f>
        <v>0</v>
      </c>
      <c r="G135">
        <f>SUMPRODUCT((MONTH(CHOOSE({1,2,3,4},KMB!U135,KMB!AA135,KMB!AG135,KMB!AM135))=7)*(CHOOSE({1,2,3,4},KMB!X135,KMB!AD135,KMB!AJ135,KMB!AP135)))</f>
        <v>0</v>
      </c>
      <c r="H135">
        <f>SUMPRODUCT((MONTH(CHOOSE({1,2,3,4},KMB!U135,KMB!AA135,KMB!AG135,KMB!AM135))=8)*(CHOOSE({1,2,3,4},KMB!X135,KMB!AD135,KMB!AJ135,KMB!AP135)))</f>
        <v>0</v>
      </c>
      <c r="I135">
        <f>SUMPRODUCT((MONTH(CHOOSE({1,2,3,4},KMB!U135,KMB!AA135,KMB!AG135,KMB!AM135))=9)*(CHOOSE({1,2,3,4},KMB!X135,KMB!AD135,KMB!AJ135,KMB!AP135)))</f>
        <v>0</v>
      </c>
      <c r="J135">
        <f>SUMPRODUCT((MONTH(CHOOSE({1,2,3,4},KMB!U135,KMB!AA135,KMB!AG135,KMB!AM135))=10)*(CHOOSE({1,2,3,4},KMB!X135,KMB!AD135,KMB!AJ135,KMB!AP135)))</f>
        <v>0</v>
      </c>
      <c r="K135">
        <f>SUMPRODUCT((MONTH(CHOOSE({1,2,3,4},KMB!U135,KMB!AA135,KMB!AG135,KMB!AM135))=11)*(CHOOSE({1,2,3,4},KMB!X135,KMB!AD135,KMB!AJ135,KMB!AP135)))</f>
        <v>0</v>
      </c>
      <c r="L135">
        <f>SUMPRODUCT((MONTH(CHOOSE({1,2,3,4},KMB!U135,KMB!AA135,KMB!AG135,KMB!AM135))=12)*(CHOOSE({1,2,3,4},KMB!X135,KMB!AD135,KMB!AJ135,KMB!AP135)))</f>
        <v>0</v>
      </c>
    </row>
    <row r="136" spans="1:12">
      <c r="A136">
        <f>SUMPRODUCT((MONTH(CHOOSE({1,2,3,4},KMB!U136,KMB!AA136,KMB!AG136,KMB!AM136))=1)*(CHOOSE({1,2,3,4},KMB!X136,KMB!AD136,KMB!AJ136,KMB!AP136)))</f>
        <v>0</v>
      </c>
      <c r="B136">
        <f>SUMPRODUCT((MONTH(CHOOSE({1,2,3,4},KMB!U136,KMB!AA136,KMB!AG136,KMB!AM136))=2)*(CHOOSE({1,2,3,4},KMB!X136,KMB!AD136,KMB!AJ136,KMB!AP136)))</f>
        <v>0</v>
      </c>
      <c r="C136">
        <f>SUMPRODUCT((MONTH(CHOOSE({1,2,3,4},KMB!U136,KMB!AA136,KMB!AG136,KMB!AM136))=3)*(CHOOSE({1,2,3,4},KMB!X136,KMB!AD136,KMB!AJ136,KMB!AP136)))</f>
        <v>0</v>
      </c>
      <c r="D136">
        <f>SUMPRODUCT((MONTH(CHOOSE({1,2,3,4},KMB!U136,KMB!AA136,KMB!AG136,KMB!AM136))=4)*(CHOOSE({1,2,3,4},KMB!X136,KMB!AD136,KMB!AJ136,KMB!AP136)))</f>
        <v>0</v>
      </c>
      <c r="E136">
        <f>SUMPRODUCT((MONTH(CHOOSE({1,2,3,4},KMB!U136,KMB!AA136,KMB!AG136,KMB!AM136))=5)*(CHOOSE({1,2,3,4},KMB!X136,KMB!AD136,KMB!AJ136,KMB!AP136)))</f>
        <v>0</v>
      </c>
      <c r="F136">
        <f>SUMPRODUCT((MONTH(CHOOSE({1,2,3,4},KMB!U136,KMB!AA136,KMB!AG136,KMB!AM136))=6)*(CHOOSE({1,2,3,4},KMB!X136,KMB!AD136,KMB!AJ136,KMB!AP136)))</f>
        <v>0</v>
      </c>
      <c r="G136">
        <f>SUMPRODUCT((MONTH(CHOOSE({1,2,3,4},KMB!U136,KMB!AA136,KMB!AG136,KMB!AM136))=7)*(CHOOSE({1,2,3,4},KMB!X136,KMB!AD136,KMB!AJ136,KMB!AP136)))</f>
        <v>0</v>
      </c>
      <c r="H136">
        <f>SUMPRODUCT((MONTH(CHOOSE({1,2,3,4},KMB!U136,KMB!AA136,KMB!AG136,KMB!AM136))=8)*(CHOOSE({1,2,3,4},KMB!X136,KMB!AD136,KMB!AJ136,KMB!AP136)))</f>
        <v>0</v>
      </c>
      <c r="I136">
        <f>SUMPRODUCT((MONTH(CHOOSE({1,2,3,4},KMB!U136,KMB!AA136,KMB!AG136,KMB!AM136))=9)*(CHOOSE({1,2,3,4},KMB!X136,KMB!AD136,KMB!AJ136,KMB!AP136)))</f>
        <v>0</v>
      </c>
      <c r="J136">
        <f>SUMPRODUCT((MONTH(CHOOSE({1,2,3,4},KMB!U136,KMB!AA136,KMB!AG136,KMB!AM136))=10)*(CHOOSE({1,2,3,4},KMB!X136,KMB!AD136,KMB!AJ136,KMB!AP136)))</f>
        <v>0</v>
      </c>
      <c r="K136">
        <f>SUMPRODUCT((MONTH(CHOOSE({1,2,3,4},KMB!U136,KMB!AA136,KMB!AG136,KMB!AM136))=11)*(CHOOSE({1,2,3,4},KMB!X136,KMB!AD136,KMB!AJ136,KMB!AP136)))</f>
        <v>0</v>
      </c>
      <c r="L136">
        <f>SUMPRODUCT((MONTH(CHOOSE({1,2,3,4},KMB!U136,KMB!AA136,KMB!AG136,KMB!AM136))=12)*(CHOOSE({1,2,3,4},KMB!X136,KMB!AD136,KMB!AJ136,KMB!AP136)))</f>
        <v>0</v>
      </c>
    </row>
    <row r="137" spans="1:12">
      <c r="A137">
        <f>SUMPRODUCT((MONTH(CHOOSE({1,2,3,4},KMB!U137,KMB!AA137,KMB!AG137,KMB!AM137))=1)*(CHOOSE({1,2,3,4},KMB!X137,KMB!AD137,KMB!AJ137,KMB!AP137)))</f>
        <v>0</v>
      </c>
      <c r="B137">
        <f>SUMPRODUCT((MONTH(CHOOSE({1,2,3,4},KMB!U137,KMB!AA137,KMB!AG137,KMB!AM137))=2)*(CHOOSE({1,2,3,4},KMB!X137,KMB!AD137,KMB!AJ137,KMB!AP137)))</f>
        <v>0</v>
      </c>
      <c r="C137">
        <f>SUMPRODUCT((MONTH(CHOOSE({1,2,3,4},KMB!U137,KMB!AA137,KMB!AG137,KMB!AM137))=3)*(CHOOSE({1,2,3,4},KMB!X137,KMB!AD137,KMB!AJ137,KMB!AP137)))</f>
        <v>0</v>
      </c>
      <c r="D137">
        <f>SUMPRODUCT((MONTH(CHOOSE({1,2,3,4},KMB!U137,KMB!AA137,KMB!AG137,KMB!AM137))=4)*(CHOOSE({1,2,3,4},KMB!X137,KMB!AD137,KMB!AJ137,KMB!AP137)))</f>
        <v>0</v>
      </c>
      <c r="E137">
        <f>SUMPRODUCT((MONTH(CHOOSE({1,2,3,4},KMB!U137,KMB!AA137,KMB!AG137,KMB!AM137))=5)*(CHOOSE({1,2,3,4},KMB!X137,KMB!AD137,KMB!AJ137,KMB!AP137)))</f>
        <v>0</v>
      </c>
      <c r="F137">
        <f>SUMPRODUCT((MONTH(CHOOSE({1,2,3,4},KMB!U137,KMB!AA137,KMB!AG137,KMB!AM137))=6)*(CHOOSE({1,2,3,4},KMB!X137,KMB!AD137,KMB!AJ137,KMB!AP137)))</f>
        <v>0</v>
      </c>
      <c r="G137">
        <f>SUMPRODUCT((MONTH(CHOOSE({1,2,3,4},KMB!U137,KMB!AA137,KMB!AG137,KMB!AM137))=7)*(CHOOSE({1,2,3,4},KMB!X137,KMB!AD137,KMB!AJ137,KMB!AP137)))</f>
        <v>0</v>
      </c>
      <c r="H137">
        <f>SUMPRODUCT((MONTH(CHOOSE({1,2,3,4},KMB!U137,KMB!AA137,KMB!AG137,KMB!AM137))=8)*(CHOOSE({1,2,3,4},KMB!X137,KMB!AD137,KMB!AJ137,KMB!AP137)))</f>
        <v>0</v>
      </c>
      <c r="I137">
        <f>SUMPRODUCT((MONTH(CHOOSE({1,2,3,4},KMB!U137,KMB!AA137,KMB!AG137,KMB!AM137))=9)*(CHOOSE({1,2,3,4},KMB!X137,KMB!AD137,KMB!AJ137,KMB!AP137)))</f>
        <v>0</v>
      </c>
      <c r="J137">
        <f>SUMPRODUCT((MONTH(CHOOSE({1,2,3,4},KMB!U137,KMB!AA137,KMB!AG137,KMB!AM137))=10)*(CHOOSE({1,2,3,4},KMB!X137,KMB!AD137,KMB!AJ137,KMB!AP137)))</f>
        <v>0</v>
      </c>
      <c r="K137">
        <f>SUMPRODUCT((MONTH(CHOOSE({1,2,3,4},KMB!U137,KMB!AA137,KMB!AG137,KMB!AM137))=11)*(CHOOSE({1,2,3,4},KMB!X137,KMB!AD137,KMB!AJ137,KMB!AP137)))</f>
        <v>0</v>
      </c>
      <c r="L137">
        <f>SUMPRODUCT((MONTH(CHOOSE({1,2,3,4},KMB!U137,KMB!AA137,KMB!AG137,KMB!AM137))=12)*(CHOOSE({1,2,3,4},KMB!X137,KMB!AD137,KMB!AJ137,KMB!AP137)))</f>
        <v>0</v>
      </c>
    </row>
    <row r="138" spans="1:12">
      <c r="A138">
        <f>SUMPRODUCT((MONTH(CHOOSE({1,2,3,4},KMB!U138,KMB!AA138,KMB!AG138,KMB!AM138))=1)*(CHOOSE({1,2,3,4},KMB!X138,KMB!AD138,KMB!AJ138,KMB!AP138)))</f>
        <v>0</v>
      </c>
      <c r="B138">
        <f>SUMPRODUCT((MONTH(CHOOSE({1,2,3,4},KMB!U138,KMB!AA138,KMB!AG138,KMB!AM138))=2)*(CHOOSE({1,2,3,4},KMB!X138,KMB!AD138,KMB!AJ138,KMB!AP138)))</f>
        <v>0</v>
      </c>
      <c r="C138">
        <f>SUMPRODUCT((MONTH(CHOOSE({1,2,3,4},KMB!U138,KMB!AA138,KMB!AG138,KMB!AM138))=3)*(CHOOSE({1,2,3,4},KMB!X138,KMB!AD138,KMB!AJ138,KMB!AP138)))</f>
        <v>0</v>
      </c>
      <c r="D138">
        <f>SUMPRODUCT((MONTH(CHOOSE({1,2,3,4},KMB!U138,KMB!AA138,KMB!AG138,KMB!AM138))=4)*(CHOOSE({1,2,3,4},KMB!X138,KMB!AD138,KMB!AJ138,KMB!AP138)))</f>
        <v>0</v>
      </c>
      <c r="E138">
        <f>SUMPRODUCT((MONTH(CHOOSE({1,2,3,4},KMB!U138,KMB!AA138,KMB!AG138,KMB!AM138))=5)*(CHOOSE({1,2,3,4},KMB!X138,KMB!AD138,KMB!AJ138,KMB!AP138)))</f>
        <v>0</v>
      </c>
      <c r="F138">
        <f>SUMPRODUCT((MONTH(CHOOSE({1,2,3,4},KMB!U138,KMB!AA138,KMB!AG138,KMB!AM138))=6)*(CHOOSE({1,2,3,4},KMB!X138,KMB!AD138,KMB!AJ138,KMB!AP138)))</f>
        <v>0</v>
      </c>
      <c r="G138">
        <f>SUMPRODUCT((MONTH(CHOOSE({1,2,3,4},KMB!U138,KMB!AA138,KMB!AG138,KMB!AM138))=7)*(CHOOSE({1,2,3,4},KMB!X138,KMB!AD138,KMB!AJ138,KMB!AP138)))</f>
        <v>0</v>
      </c>
      <c r="H138">
        <f>SUMPRODUCT((MONTH(CHOOSE({1,2,3,4},KMB!U138,KMB!AA138,KMB!AG138,KMB!AM138))=8)*(CHOOSE({1,2,3,4},KMB!X138,KMB!AD138,KMB!AJ138,KMB!AP138)))</f>
        <v>0</v>
      </c>
      <c r="I138">
        <f>SUMPRODUCT((MONTH(CHOOSE({1,2,3,4},KMB!U138,KMB!AA138,KMB!AG138,KMB!AM138))=9)*(CHOOSE({1,2,3,4},KMB!X138,KMB!AD138,KMB!AJ138,KMB!AP138)))</f>
        <v>0</v>
      </c>
      <c r="J138">
        <f>SUMPRODUCT((MONTH(CHOOSE({1,2,3,4},KMB!U138,KMB!AA138,KMB!AG138,KMB!AM138))=10)*(CHOOSE({1,2,3,4},KMB!X138,KMB!AD138,KMB!AJ138,KMB!AP138)))</f>
        <v>0</v>
      </c>
      <c r="K138">
        <f>SUMPRODUCT((MONTH(CHOOSE({1,2,3,4},KMB!U138,KMB!AA138,KMB!AG138,KMB!AM138))=11)*(CHOOSE({1,2,3,4},KMB!X138,KMB!AD138,KMB!AJ138,KMB!AP138)))</f>
        <v>0</v>
      </c>
      <c r="L138">
        <f>SUMPRODUCT((MONTH(CHOOSE({1,2,3,4},KMB!U138,KMB!AA138,KMB!AG138,KMB!AM138))=12)*(CHOOSE({1,2,3,4},KMB!X138,KMB!AD138,KMB!AJ138,KMB!AP138)))</f>
        <v>0</v>
      </c>
    </row>
    <row r="139" spans="1:12">
      <c r="A139">
        <f>SUMPRODUCT((MONTH(CHOOSE({1,2,3,4},KMB!U139,KMB!AA139,KMB!AG139,KMB!AM139))=1)*(CHOOSE({1,2,3,4},KMB!X139,KMB!AD139,KMB!AJ139,KMB!AP139)))</f>
        <v>0</v>
      </c>
      <c r="B139">
        <f>SUMPRODUCT((MONTH(CHOOSE({1,2,3,4},KMB!U139,KMB!AA139,KMB!AG139,KMB!AM139))=2)*(CHOOSE({1,2,3,4},KMB!X139,KMB!AD139,KMB!AJ139,KMB!AP139)))</f>
        <v>0</v>
      </c>
      <c r="C139">
        <f>SUMPRODUCT((MONTH(CHOOSE({1,2,3,4},KMB!U139,KMB!AA139,KMB!AG139,KMB!AM139))=3)*(CHOOSE({1,2,3,4},KMB!X139,KMB!AD139,KMB!AJ139,KMB!AP139)))</f>
        <v>0</v>
      </c>
      <c r="D139">
        <f>SUMPRODUCT((MONTH(CHOOSE({1,2,3,4},KMB!U139,KMB!AA139,KMB!AG139,KMB!AM139))=4)*(CHOOSE({1,2,3,4},KMB!X139,KMB!AD139,KMB!AJ139,KMB!AP139)))</f>
        <v>0</v>
      </c>
      <c r="E139">
        <f>SUMPRODUCT((MONTH(CHOOSE({1,2,3,4},KMB!U139,KMB!AA139,KMB!AG139,KMB!AM139))=5)*(CHOOSE({1,2,3,4},KMB!X139,KMB!AD139,KMB!AJ139,KMB!AP139)))</f>
        <v>0</v>
      </c>
      <c r="F139">
        <f>SUMPRODUCT((MONTH(CHOOSE({1,2,3,4},KMB!U139,KMB!AA139,KMB!AG139,KMB!AM139))=6)*(CHOOSE({1,2,3,4},KMB!X139,KMB!AD139,KMB!AJ139,KMB!AP139)))</f>
        <v>0</v>
      </c>
      <c r="G139">
        <f>SUMPRODUCT((MONTH(CHOOSE({1,2,3,4},KMB!U139,KMB!AA139,KMB!AG139,KMB!AM139))=7)*(CHOOSE({1,2,3,4},KMB!X139,KMB!AD139,KMB!AJ139,KMB!AP139)))</f>
        <v>0</v>
      </c>
      <c r="H139">
        <f>SUMPRODUCT((MONTH(CHOOSE({1,2,3,4},KMB!U139,KMB!AA139,KMB!AG139,KMB!AM139))=8)*(CHOOSE({1,2,3,4},KMB!X139,KMB!AD139,KMB!AJ139,KMB!AP139)))</f>
        <v>0</v>
      </c>
      <c r="I139">
        <f>SUMPRODUCT((MONTH(CHOOSE({1,2,3,4},KMB!U139,KMB!AA139,KMB!AG139,KMB!AM139))=9)*(CHOOSE({1,2,3,4},KMB!X139,KMB!AD139,KMB!AJ139,KMB!AP139)))</f>
        <v>0</v>
      </c>
      <c r="J139">
        <f>SUMPRODUCT((MONTH(CHOOSE({1,2,3,4},KMB!U139,KMB!AA139,KMB!AG139,KMB!AM139))=10)*(CHOOSE({1,2,3,4},KMB!X139,KMB!AD139,KMB!AJ139,KMB!AP139)))</f>
        <v>0</v>
      </c>
      <c r="K139">
        <f>SUMPRODUCT((MONTH(CHOOSE({1,2,3,4},KMB!U139,KMB!AA139,KMB!AG139,KMB!AM139))=11)*(CHOOSE({1,2,3,4},KMB!X139,KMB!AD139,KMB!AJ139,KMB!AP139)))</f>
        <v>0</v>
      </c>
      <c r="L139">
        <f>SUMPRODUCT((MONTH(CHOOSE({1,2,3,4},KMB!U139,KMB!AA139,KMB!AG139,KMB!AM139))=12)*(CHOOSE({1,2,3,4},KMB!X139,KMB!AD139,KMB!AJ139,KMB!AP139)))</f>
        <v>0</v>
      </c>
    </row>
    <row r="140" spans="1:12">
      <c r="A140">
        <f>SUMPRODUCT((MONTH(CHOOSE({1,2,3,4},KMB!U140,KMB!AA140,KMB!AG140,KMB!AM140))=1)*(CHOOSE({1,2,3,4},KMB!X140,KMB!AD140,KMB!AJ140,KMB!AP140)))</f>
        <v>0</v>
      </c>
      <c r="B140">
        <f>SUMPRODUCT((MONTH(CHOOSE({1,2,3,4},KMB!U140,KMB!AA140,KMB!AG140,KMB!AM140))=2)*(CHOOSE({1,2,3,4},KMB!X140,KMB!AD140,KMB!AJ140,KMB!AP140)))</f>
        <v>0</v>
      </c>
      <c r="C140">
        <f>SUMPRODUCT((MONTH(CHOOSE({1,2,3,4},KMB!U140,KMB!AA140,KMB!AG140,KMB!AM140))=3)*(CHOOSE({1,2,3,4},KMB!X140,KMB!AD140,KMB!AJ140,KMB!AP140)))</f>
        <v>0</v>
      </c>
      <c r="D140">
        <f>SUMPRODUCT((MONTH(CHOOSE({1,2,3,4},KMB!U140,KMB!AA140,KMB!AG140,KMB!AM140))=4)*(CHOOSE({1,2,3,4},KMB!X140,KMB!AD140,KMB!AJ140,KMB!AP140)))</f>
        <v>0</v>
      </c>
      <c r="E140">
        <f>SUMPRODUCT((MONTH(CHOOSE({1,2,3,4},KMB!U140,KMB!AA140,KMB!AG140,KMB!AM140))=5)*(CHOOSE({1,2,3,4},KMB!X140,KMB!AD140,KMB!AJ140,KMB!AP140)))</f>
        <v>0</v>
      </c>
      <c r="F140">
        <f>SUMPRODUCT((MONTH(CHOOSE({1,2,3,4},KMB!U140,KMB!AA140,KMB!AG140,KMB!AM140))=6)*(CHOOSE({1,2,3,4},KMB!X140,KMB!AD140,KMB!AJ140,KMB!AP140)))</f>
        <v>0</v>
      </c>
      <c r="G140">
        <f>SUMPRODUCT((MONTH(CHOOSE({1,2,3,4},KMB!U140,KMB!AA140,KMB!AG140,KMB!AM140))=7)*(CHOOSE({1,2,3,4},KMB!X140,KMB!AD140,KMB!AJ140,KMB!AP140)))</f>
        <v>0</v>
      </c>
      <c r="H140">
        <f>SUMPRODUCT((MONTH(CHOOSE({1,2,3,4},KMB!U140,KMB!AA140,KMB!AG140,KMB!AM140))=8)*(CHOOSE({1,2,3,4},KMB!X140,KMB!AD140,KMB!AJ140,KMB!AP140)))</f>
        <v>0</v>
      </c>
      <c r="I140">
        <f>SUMPRODUCT((MONTH(CHOOSE({1,2,3,4},KMB!U140,KMB!AA140,KMB!AG140,KMB!AM140))=9)*(CHOOSE({1,2,3,4},KMB!X140,KMB!AD140,KMB!AJ140,KMB!AP140)))</f>
        <v>0</v>
      </c>
      <c r="J140">
        <f>SUMPRODUCT((MONTH(CHOOSE({1,2,3,4},KMB!U140,KMB!AA140,KMB!AG140,KMB!AM140))=10)*(CHOOSE({1,2,3,4},KMB!X140,KMB!AD140,KMB!AJ140,KMB!AP140)))</f>
        <v>0</v>
      </c>
      <c r="K140">
        <f>SUMPRODUCT((MONTH(CHOOSE({1,2,3,4},KMB!U140,KMB!AA140,KMB!AG140,KMB!AM140))=11)*(CHOOSE({1,2,3,4},KMB!X140,KMB!AD140,KMB!AJ140,KMB!AP140)))</f>
        <v>0</v>
      </c>
      <c r="L140">
        <f>SUMPRODUCT((MONTH(CHOOSE({1,2,3,4},KMB!U140,KMB!AA140,KMB!AG140,KMB!AM140))=12)*(CHOOSE({1,2,3,4},KMB!X140,KMB!AD140,KMB!AJ140,KMB!AP140)))</f>
        <v>0</v>
      </c>
    </row>
    <row r="141" spans="1:12">
      <c r="A141">
        <f>SUMPRODUCT((MONTH(CHOOSE({1,2,3,4},KMB!U141,KMB!AA141,KMB!AG141,KMB!AM141))=1)*(CHOOSE({1,2,3,4},KMB!X141,KMB!AD141,KMB!AJ141,KMB!AP141)))</f>
        <v>0</v>
      </c>
      <c r="B141">
        <f>SUMPRODUCT((MONTH(CHOOSE({1,2,3,4},KMB!U141,KMB!AA141,KMB!AG141,KMB!AM141))=2)*(CHOOSE({1,2,3,4},KMB!X141,KMB!AD141,KMB!AJ141,KMB!AP141)))</f>
        <v>0</v>
      </c>
      <c r="C141">
        <f>SUMPRODUCT((MONTH(CHOOSE({1,2,3,4},KMB!U141,KMB!AA141,KMB!AG141,KMB!AM141))=3)*(CHOOSE({1,2,3,4},KMB!X141,KMB!AD141,KMB!AJ141,KMB!AP141)))</f>
        <v>0</v>
      </c>
      <c r="D141">
        <f>SUMPRODUCT((MONTH(CHOOSE({1,2,3,4},KMB!U141,KMB!AA141,KMB!AG141,KMB!AM141))=4)*(CHOOSE({1,2,3,4},KMB!X141,KMB!AD141,KMB!AJ141,KMB!AP141)))</f>
        <v>0</v>
      </c>
      <c r="E141">
        <f>SUMPRODUCT((MONTH(CHOOSE({1,2,3,4},KMB!U141,KMB!AA141,KMB!AG141,KMB!AM141))=5)*(CHOOSE({1,2,3,4},KMB!X141,KMB!AD141,KMB!AJ141,KMB!AP141)))</f>
        <v>0</v>
      </c>
      <c r="F141">
        <f>SUMPRODUCT((MONTH(CHOOSE({1,2,3,4},KMB!U141,KMB!AA141,KMB!AG141,KMB!AM141))=6)*(CHOOSE({1,2,3,4},KMB!X141,KMB!AD141,KMB!AJ141,KMB!AP141)))</f>
        <v>0</v>
      </c>
      <c r="G141">
        <f>SUMPRODUCT((MONTH(CHOOSE({1,2,3,4},KMB!U141,KMB!AA141,KMB!AG141,KMB!AM141))=7)*(CHOOSE({1,2,3,4},KMB!X141,KMB!AD141,KMB!AJ141,KMB!AP141)))</f>
        <v>0</v>
      </c>
      <c r="H141">
        <f>SUMPRODUCT((MONTH(CHOOSE({1,2,3,4},KMB!U141,KMB!AA141,KMB!AG141,KMB!AM141))=8)*(CHOOSE({1,2,3,4},KMB!X141,KMB!AD141,KMB!AJ141,KMB!AP141)))</f>
        <v>0</v>
      </c>
      <c r="I141">
        <f>SUMPRODUCT((MONTH(CHOOSE({1,2,3,4},KMB!U141,KMB!AA141,KMB!AG141,KMB!AM141))=9)*(CHOOSE({1,2,3,4},KMB!X141,KMB!AD141,KMB!AJ141,KMB!AP141)))</f>
        <v>0</v>
      </c>
      <c r="J141">
        <f>SUMPRODUCT((MONTH(CHOOSE({1,2,3,4},KMB!U141,KMB!AA141,KMB!AG141,KMB!AM141))=10)*(CHOOSE({1,2,3,4},KMB!X141,KMB!AD141,KMB!AJ141,KMB!AP141)))</f>
        <v>0</v>
      </c>
      <c r="K141">
        <f>SUMPRODUCT((MONTH(CHOOSE({1,2,3,4},KMB!U141,KMB!AA141,KMB!AG141,KMB!AM141))=11)*(CHOOSE({1,2,3,4},KMB!X141,KMB!AD141,KMB!AJ141,KMB!AP141)))</f>
        <v>0</v>
      </c>
      <c r="L141">
        <f>SUMPRODUCT((MONTH(CHOOSE({1,2,3,4},KMB!U141,KMB!AA141,KMB!AG141,KMB!AM141))=12)*(CHOOSE({1,2,3,4},KMB!X141,KMB!AD141,KMB!AJ141,KMB!AP141)))</f>
        <v>0</v>
      </c>
    </row>
    <row r="142" spans="1:12">
      <c r="A142">
        <f>SUMPRODUCT((MONTH(CHOOSE({1,2,3,4},KMB!U142,KMB!AA142,KMB!AG142,KMB!AM142))=1)*(CHOOSE({1,2,3,4},KMB!X142,KMB!AD142,KMB!AJ142,KMB!AP142)))</f>
        <v>0</v>
      </c>
      <c r="B142">
        <f>SUMPRODUCT((MONTH(CHOOSE({1,2,3,4},KMB!U142,KMB!AA142,KMB!AG142,KMB!AM142))=2)*(CHOOSE({1,2,3,4},KMB!X142,KMB!AD142,KMB!AJ142,KMB!AP142)))</f>
        <v>0</v>
      </c>
      <c r="C142">
        <f>SUMPRODUCT((MONTH(CHOOSE({1,2,3,4},KMB!U142,KMB!AA142,KMB!AG142,KMB!AM142))=3)*(CHOOSE({1,2,3,4},KMB!X142,KMB!AD142,KMB!AJ142,KMB!AP142)))</f>
        <v>0</v>
      </c>
      <c r="D142">
        <f>SUMPRODUCT((MONTH(CHOOSE({1,2,3,4},KMB!U142,KMB!AA142,KMB!AG142,KMB!AM142))=4)*(CHOOSE({1,2,3,4},KMB!X142,KMB!AD142,KMB!AJ142,KMB!AP142)))</f>
        <v>0</v>
      </c>
      <c r="E142">
        <f>SUMPRODUCT((MONTH(CHOOSE({1,2,3,4},KMB!U142,KMB!AA142,KMB!AG142,KMB!AM142))=5)*(CHOOSE({1,2,3,4},KMB!X142,KMB!AD142,KMB!AJ142,KMB!AP142)))</f>
        <v>0</v>
      </c>
      <c r="F142">
        <f>SUMPRODUCT((MONTH(CHOOSE({1,2,3,4},KMB!U142,KMB!AA142,KMB!AG142,KMB!AM142))=6)*(CHOOSE({1,2,3,4},KMB!X142,KMB!AD142,KMB!AJ142,KMB!AP142)))</f>
        <v>0</v>
      </c>
      <c r="G142">
        <f>SUMPRODUCT((MONTH(CHOOSE({1,2,3,4},KMB!U142,KMB!AA142,KMB!AG142,KMB!AM142))=7)*(CHOOSE({1,2,3,4},KMB!X142,KMB!AD142,KMB!AJ142,KMB!AP142)))</f>
        <v>0</v>
      </c>
      <c r="H142">
        <f>SUMPRODUCT((MONTH(CHOOSE({1,2,3,4},KMB!U142,KMB!AA142,KMB!AG142,KMB!AM142))=8)*(CHOOSE({1,2,3,4},KMB!X142,KMB!AD142,KMB!AJ142,KMB!AP142)))</f>
        <v>0</v>
      </c>
      <c r="I142">
        <f>SUMPRODUCT((MONTH(CHOOSE({1,2,3,4},KMB!U142,KMB!AA142,KMB!AG142,KMB!AM142))=9)*(CHOOSE({1,2,3,4},KMB!X142,KMB!AD142,KMB!AJ142,KMB!AP142)))</f>
        <v>0</v>
      </c>
      <c r="J142">
        <f>SUMPRODUCT((MONTH(CHOOSE({1,2,3,4},KMB!U142,KMB!AA142,KMB!AG142,KMB!AM142))=10)*(CHOOSE({1,2,3,4},KMB!X142,KMB!AD142,KMB!AJ142,KMB!AP142)))</f>
        <v>0</v>
      </c>
      <c r="K142">
        <f>SUMPRODUCT((MONTH(CHOOSE({1,2,3,4},KMB!U142,KMB!AA142,KMB!AG142,KMB!AM142))=11)*(CHOOSE({1,2,3,4},KMB!X142,KMB!AD142,KMB!AJ142,KMB!AP142)))</f>
        <v>0</v>
      </c>
      <c r="L142">
        <f>SUMPRODUCT((MONTH(CHOOSE({1,2,3,4},KMB!U142,KMB!AA142,KMB!AG142,KMB!AM142))=12)*(CHOOSE({1,2,3,4},KMB!X142,KMB!AD142,KMB!AJ142,KMB!AP142)))</f>
        <v>0</v>
      </c>
    </row>
    <row r="143" spans="1:12">
      <c r="A143">
        <f>SUMPRODUCT((MONTH(CHOOSE({1,2,3,4},KMB!U143,KMB!AA143,KMB!AG143,KMB!AM143))=1)*(CHOOSE({1,2,3,4},KMB!X143,KMB!AD143,KMB!AJ143,KMB!AP143)))</f>
        <v>0</v>
      </c>
      <c r="B143">
        <f>SUMPRODUCT((MONTH(CHOOSE({1,2,3,4},KMB!U143,KMB!AA143,KMB!AG143,KMB!AM143))=2)*(CHOOSE({1,2,3,4},KMB!X143,KMB!AD143,KMB!AJ143,KMB!AP143)))</f>
        <v>0</v>
      </c>
      <c r="C143">
        <f>SUMPRODUCT((MONTH(CHOOSE({1,2,3,4},KMB!U143,KMB!AA143,KMB!AG143,KMB!AM143))=3)*(CHOOSE({1,2,3,4},KMB!X143,KMB!AD143,KMB!AJ143,KMB!AP143)))</f>
        <v>0</v>
      </c>
      <c r="D143">
        <f>SUMPRODUCT((MONTH(CHOOSE({1,2,3,4},KMB!U143,KMB!AA143,KMB!AG143,KMB!AM143))=4)*(CHOOSE({1,2,3,4},KMB!X143,KMB!AD143,KMB!AJ143,KMB!AP143)))</f>
        <v>0</v>
      </c>
      <c r="E143">
        <f>SUMPRODUCT((MONTH(CHOOSE({1,2,3,4},KMB!U143,KMB!AA143,KMB!AG143,KMB!AM143))=5)*(CHOOSE({1,2,3,4},KMB!X143,KMB!AD143,KMB!AJ143,KMB!AP143)))</f>
        <v>0</v>
      </c>
      <c r="F143">
        <f>SUMPRODUCT((MONTH(CHOOSE({1,2,3,4},KMB!U143,KMB!AA143,KMB!AG143,KMB!AM143))=6)*(CHOOSE({1,2,3,4},KMB!X143,KMB!AD143,KMB!AJ143,KMB!AP143)))</f>
        <v>0</v>
      </c>
      <c r="G143">
        <f>SUMPRODUCT((MONTH(CHOOSE({1,2,3,4},KMB!U143,KMB!AA143,KMB!AG143,KMB!AM143))=7)*(CHOOSE({1,2,3,4},KMB!X143,KMB!AD143,KMB!AJ143,KMB!AP143)))</f>
        <v>0</v>
      </c>
      <c r="H143">
        <f>SUMPRODUCT((MONTH(CHOOSE({1,2,3,4},KMB!U143,KMB!AA143,KMB!AG143,KMB!AM143))=8)*(CHOOSE({1,2,3,4},KMB!X143,KMB!AD143,KMB!AJ143,KMB!AP143)))</f>
        <v>0</v>
      </c>
      <c r="I143">
        <f>SUMPRODUCT((MONTH(CHOOSE({1,2,3,4},KMB!U143,KMB!AA143,KMB!AG143,KMB!AM143))=9)*(CHOOSE({1,2,3,4},KMB!X143,KMB!AD143,KMB!AJ143,KMB!AP143)))</f>
        <v>0</v>
      </c>
      <c r="J143">
        <f>SUMPRODUCT((MONTH(CHOOSE({1,2,3,4},KMB!U143,KMB!AA143,KMB!AG143,KMB!AM143))=10)*(CHOOSE({1,2,3,4},KMB!X143,KMB!AD143,KMB!AJ143,KMB!AP143)))</f>
        <v>0</v>
      </c>
      <c r="K143">
        <f>SUMPRODUCT((MONTH(CHOOSE({1,2,3,4},KMB!U143,KMB!AA143,KMB!AG143,KMB!AM143))=11)*(CHOOSE({1,2,3,4},KMB!X143,KMB!AD143,KMB!AJ143,KMB!AP143)))</f>
        <v>0</v>
      </c>
      <c r="L143">
        <f>SUMPRODUCT((MONTH(CHOOSE({1,2,3,4},KMB!U143,KMB!AA143,KMB!AG143,KMB!AM143))=12)*(CHOOSE({1,2,3,4},KMB!X143,KMB!AD143,KMB!AJ143,KMB!AP143)))</f>
        <v>0</v>
      </c>
    </row>
    <row r="144" spans="1:12">
      <c r="A144">
        <f>SUMPRODUCT((MONTH(CHOOSE({1,2,3,4},KMB!U144,KMB!AA144,KMB!AG144,KMB!AM144))=1)*(CHOOSE({1,2,3,4},KMB!X144,KMB!AD144,KMB!AJ144,KMB!AP144)))</f>
        <v>0</v>
      </c>
      <c r="B144">
        <f>SUMPRODUCT((MONTH(CHOOSE({1,2,3,4},KMB!U144,KMB!AA144,KMB!AG144,KMB!AM144))=2)*(CHOOSE({1,2,3,4},KMB!X144,KMB!AD144,KMB!AJ144,KMB!AP144)))</f>
        <v>0</v>
      </c>
      <c r="C144">
        <f>SUMPRODUCT((MONTH(CHOOSE({1,2,3,4},KMB!U144,KMB!AA144,KMB!AG144,KMB!AM144))=3)*(CHOOSE({1,2,3,4},KMB!X144,KMB!AD144,KMB!AJ144,KMB!AP144)))</f>
        <v>0</v>
      </c>
      <c r="D144">
        <f>SUMPRODUCT((MONTH(CHOOSE({1,2,3,4},KMB!U144,KMB!AA144,KMB!AG144,KMB!AM144))=4)*(CHOOSE({1,2,3,4},KMB!X144,KMB!AD144,KMB!AJ144,KMB!AP144)))</f>
        <v>0</v>
      </c>
      <c r="E144">
        <f>SUMPRODUCT((MONTH(CHOOSE({1,2,3,4},KMB!U144,KMB!AA144,KMB!AG144,KMB!AM144))=5)*(CHOOSE({1,2,3,4},KMB!X144,KMB!AD144,KMB!AJ144,KMB!AP144)))</f>
        <v>0</v>
      </c>
      <c r="F144">
        <f>SUMPRODUCT((MONTH(CHOOSE({1,2,3,4},KMB!U144,KMB!AA144,KMB!AG144,KMB!AM144))=6)*(CHOOSE({1,2,3,4},KMB!X144,KMB!AD144,KMB!AJ144,KMB!AP144)))</f>
        <v>0</v>
      </c>
      <c r="G144">
        <f>SUMPRODUCT((MONTH(CHOOSE({1,2,3,4},KMB!U144,KMB!AA144,KMB!AG144,KMB!AM144))=7)*(CHOOSE({1,2,3,4},KMB!X144,KMB!AD144,KMB!AJ144,KMB!AP144)))</f>
        <v>0</v>
      </c>
      <c r="H144">
        <f>SUMPRODUCT((MONTH(CHOOSE({1,2,3,4},KMB!U144,KMB!AA144,KMB!AG144,KMB!AM144))=8)*(CHOOSE({1,2,3,4},KMB!X144,KMB!AD144,KMB!AJ144,KMB!AP144)))</f>
        <v>0</v>
      </c>
      <c r="I144">
        <f>SUMPRODUCT((MONTH(CHOOSE({1,2,3,4},KMB!U144,KMB!AA144,KMB!AG144,KMB!AM144))=9)*(CHOOSE({1,2,3,4},KMB!X144,KMB!AD144,KMB!AJ144,KMB!AP144)))</f>
        <v>0</v>
      </c>
      <c r="J144">
        <f>SUMPRODUCT((MONTH(CHOOSE({1,2,3,4},KMB!U144,KMB!AA144,KMB!AG144,KMB!AM144))=10)*(CHOOSE({1,2,3,4},KMB!X144,KMB!AD144,KMB!AJ144,KMB!AP144)))</f>
        <v>0</v>
      </c>
      <c r="K144">
        <f>SUMPRODUCT((MONTH(CHOOSE({1,2,3,4},KMB!U144,KMB!AA144,KMB!AG144,KMB!AM144))=11)*(CHOOSE({1,2,3,4},KMB!X144,KMB!AD144,KMB!AJ144,KMB!AP144)))</f>
        <v>0</v>
      </c>
      <c r="L144">
        <f>SUMPRODUCT((MONTH(CHOOSE({1,2,3,4},KMB!U144,KMB!AA144,KMB!AG144,KMB!AM144))=12)*(CHOOSE({1,2,3,4},KMB!X144,KMB!AD144,KMB!AJ144,KMB!AP144)))</f>
        <v>0</v>
      </c>
    </row>
    <row r="145" spans="1:12">
      <c r="A145">
        <f>SUMPRODUCT((MONTH(CHOOSE({1,2,3,4},KMB!U145,KMB!AA145,KMB!AG145,KMB!AM145))=1)*(CHOOSE({1,2,3,4},KMB!X145,KMB!AD145,KMB!AJ145,KMB!AP145)))</f>
        <v>0</v>
      </c>
      <c r="B145">
        <f>SUMPRODUCT((MONTH(CHOOSE({1,2,3,4},KMB!U145,KMB!AA145,KMB!AG145,KMB!AM145))=2)*(CHOOSE({1,2,3,4},KMB!X145,KMB!AD145,KMB!AJ145,KMB!AP145)))</f>
        <v>0</v>
      </c>
      <c r="C145">
        <f>SUMPRODUCT((MONTH(CHOOSE({1,2,3,4},KMB!U145,KMB!AA145,KMB!AG145,KMB!AM145))=3)*(CHOOSE({1,2,3,4},KMB!X145,KMB!AD145,KMB!AJ145,KMB!AP145)))</f>
        <v>0</v>
      </c>
      <c r="D145">
        <f>SUMPRODUCT((MONTH(CHOOSE({1,2,3,4},KMB!U145,KMB!AA145,KMB!AG145,KMB!AM145))=4)*(CHOOSE({1,2,3,4},KMB!X145,KMB!AD145,KMB!AJ145,KMB!AP145)))</f>
        <v>0</v>
      </c>
      <c r="E145">
        <f>SUMPRODUCT((MONTH(CHOOSE({1,2,3,4},KMB!U145,KMB!AA145,KMB!AG145,KMB!AM145))=5)*(CHOOSE({1,2,3,4},KMB!X145,KMB!AD145,KMB!AJ145,KMB!AP145)))</f>
        <v>0</v>
      </c>
      <c r="F145">
        <f>SUMPRODUCT((MONTH(CHOOSE({1,2,3,4},KMB!U145,KMB!AA145,KMB!AG145,KMB!AM145))=6)*(CHOOSE({1,2,3,4},KMB!X145,KMB!AD145,KMB!AJ145,KMB!AP145)))</f>
        <v>0</v>
      </c>
      <c r="G145">
        <f>SUMPRODUCT((MONTH(CHOOSE({1,2,3,4},KMB!U145,KMB!AA145,KMB!AG145,KMB!AM145))=7)*(CHOOSE({1,2,3,4},KMB!X145,KMB!AD145,KMB!AJ145,KMB!AP145)))</f>
        <v>0</v>
      </c>
      <c r="H145">
        <f>SUMPRODUCT((MONTH(CHOOSE({1,2,3,4},KMB!U145,KMB!AA145,KMB!AG145,KMB!AM145))=8)*(CHOOSE({1,2,3,4},KMB!X145,KMB!AD145,KMB!AJ145,KMB!AP145)))</f>
        <v>0</v>
      </c>
      <c r="I145">
        <f>SUMPRODUCT((MONTH(CHOOSE({1,2,3,4},KMB!U145,KMB!AA145,KMB!AG145,KMB!AM145))=9)*(CHOOSE({1,2,3,4},KMB!X145,KMB!AD145,KMB!AJ145,KMB!AP145)))</f>
        <v>0</v>
      </c>
      <c r="J145">
        <f>SUMPRODUCT((MONTH(CHOOSE({1,2,3,4},KMB!U145,KMB!AA145,KMB!AG145,KMB!AM145))=10)*(CHOOSE({1,2,3,4},KMB!X145,KMB!AD145,KMB!AJ145,KMB!AP145)))</f>
        <v>0</v>
      </c>
      <c r="K145">
        <f>SUMPRODUCT((MONTH(CHOOSE({1,2,3,4},KMB!U145,KMB!AA145,KMB!AG145,KMB!AM145))=11)*(CHOOSE({1,2,3,4},KMB!X145,KMB!AD145,KMB!AJ145,KMB!AP145)))</f>
        <v>0</v>
      </c>
      <c r="L145">
        <f>SUMPRODUCT((MONTH(CHOOSE({1,2,3,4},KMB!U145,KMB!AA145,KMB!AG145,KMB!AM145))=12)*(CHOOSE({1,2,3,4},KMB!X145,KMB!AD145,KMB!AJ145,KMB!AP145)))</f>
        <v>0</v>
      </c>
    </row>
    <row r="146" spans="1:12">
      <c r="A146">
        <f>SUMPRODUCT((MONTH(CHOOSE({1,2,3,4},KMB!U146,KMB!AA146,KMB!AG146,KMB!AM146))=1)*(CHOOSE({1,2,3,4},KMB!X146,KMB!AD146,KMB!AJ146,KMB!AP146)))</f>
        <v>0</v>
      </c>
      <c r="B146">
        <f>SUMPRODUCT((MONTH(CHOOSE({1,2,3,4},KMB!U146,KMB!AA146,KMB!AG146,KMB!AM146))=2)*(CHOOSE({1,2,3,4},KMB!X146,KMB!AD146,KMB!AJ146,KMB!AP146)))</f>
        <v>0</v>
      </c>
      <c r="C146">
        <f>SUMPRODUCT((MONTH(CHOOSE({1,2,3,4},KMB!U146,KMB!AA146,KMB!AG146,KMB!AM146))=3)*(CHOOSE({1,2,3,4},KMB!X146,KMB!AD146,KMB!AJ146,KMB!AP146)))</f>
        <v>0</v>
      </c>
      <c r="D146">
        <f>SUMPRODUCT((MONTH(CHOOSE({1,2,3,4},KMB!U146,KMB!AA146,KMB!AG146,KMB!AM146))=4)*(CHOOSE({1,2,3,4},KMB!X146,KMB!AD146,KMB!AJ146,KMB!AP146)))</f>
        <v>0</v>
      </c>
      <c r="E146">
        <f>SUMPRODUCT((MONTH(CHOOSE({1,2,3,4},KMB!U146,KMB!AA146,KMB!AG146,KMB!AM146))=5)*(CHOOSE({1,2,3,4},KMB!X146,KMB!AD146,KMB!AJ146,KMB!AP146)))</f>
        <v>0</v>
      </c>
      <c r="F146">
        <f>SUMPRODUCT((MONTH(CHOOSE({1,2,3,4},KMB!U146,KMB!AA146,KMB!AG146,KMB!AM146))=6)*(CHOOSE({1,2,3,4},KMB!X146,KMB!AD146,KMB!AJ146,KMB!AP146)))</f>
        <v>0</v>
      </c>
      <c r="G146">
        <f>SUMPRODUCT((MONTH(CHOOSE({1,2,3,4},KMB!U146,KMB!AA146,KMB!AG146,KMB!AM146))=7)*(CHOOSE({1,2,3,4},KMB!X146,KMB!AD146,KMB!AJ146,KMB!AP146)))</f>
        <v>0</v>
      </c>
      <c r="H146">
        <f>SUMPRODUCT((MONTH(CHOOSE({1,2,3,4},KMB!U146,KMB!AA146,KMB!AG146,KMB!AM146))=8)*(CHOOSE({1,2,3,4},KMB!X146,KMB!AD146,KMB!AJ146,KMB!AP146)))</f>
        <v>0</v>
      </c>
      <c r="I146">
        <f>SUMPRODUCT((MONTH(CHOOSE({1,2,3,4},KMB!U146,KMB!AA146,KMB!AG146,KMB!AM146))=9)*(CHOOSE({1,2,3,4},KMB!X146,KMB!AD146,KMB!AJ146,KMB!AP146)))</f>
        <v>0</v>
      </c>
      <c r="J146">
        <f>SUMPRODUCT((MONTH(CHOOSE({1,2,3,4},KMB!U146,KMB!AA146,KMB!AG146,KMB!AM146))=10)*(CHOOSE({1,2,3,4},KMB!X146,KMB!AD146,KMB!AJ146,KMB!AP146)))</f>
        <v>0</v>
      </c>
      <c r="K146">
        <f>SUMPRODUCT((MONTH(CHOOSE({1,2,3,4},KMB!U146,KMB!AA146,KMB!AG146,KMB!AM146))=11)*(CHOOSE({1,2,3,4},KMB!X146,KMB!AD146,KMB!AJ146,KMB!AP146)))</f>
        <v>0</v>
      </c>
      <c r="L146">
        <f>SUMPRODUCT((MONTH(CHOOSE({1,2,3,4},KMB!U146,KMB!AA146,KMB!AG146,KMB!AM146))=12)*(CHOOSE({1,2,3,4},KMB!X146,KMB!AD146,KMB!AJ146,KMB!AP146)))</f>
        <v>0</v>
      </c>
    </row>
    <row r="147" spans="1:12">
      <c r="A147">
        <f>SUMPRODUCT((MONTH(CHOOSE({1,2,3,4},KMB!U147,KMB!AA147,KMB!AG147,KMB!AM147))=1)*(CHOOSE({1,2,3,4},KMB!X147,KMB!AD147,KMB!AJ147,KMB!AP147)))</f>
        <v>0</v>
      </c>
      <c r="B147">
        <f>SUMPRODUCT((MONTH(CHOOSE({1,2,3,4},KMB!U147,KMB!AA147,KMB!AG147,KMB!AM147))=2)*(CHOOSE({1,2,3,4},KMB!X147,KMB!AD147,KMB!AJ147,KMB!AP147)))</f>
        <v>0</v>
      </c>
      <c r="C147">
        <f>SUMPRODUCT((MONTH(CHOOSE({1,2,3,4},KMB!U147,KMB!AA147,KMB!AG147,KMB!AM147))=3)*(CHOOSE({1,2,3,4},KMB!X147,KMB!AD147,KMB!AJ147,KMB!AP147)))</f>
        <v>0</v>
      </c>
      <c r="D147">
        <f>SUMPRODUCT((MONTH(CHOOSE({1,2,3,4},KMB!U147,KMB!AA147,KMB!AG147,KMB!AM147))=4)*(CHOOSE({1,2,3,4},KMB!X147,KMB!AD147,KMB!AJ147,KMB!AP147)))</f>
        <v>0</v>
      </c>
      <c r="E147">
        <f>SUMPRODUCT((MONTH(CHOOSE({1,2,3,4},KMB!U147,KMB!AA147,KMB!AG147,KMB!AM147))=5)*(CHOOSE({1,2,3,4},KMB!X147,KMB!AD147,KMB!AJ147,KMB!AP147)))</f>
        <v>0</v>
      </c>
      <c r="F147">
        <f>SUMPRODUCT((MONTH(CHOOSE({1,2,3,4},KMB!U147,KMB!AA147,KMB!AG147,KMB!AM147))=6)*(CHOOSE({1,2,3,4},KMB!X147,KMB!AD147,KMB!AJ147,KMB!AP147)))</f>
        <v>0</v>
      </c>
      <c r="G147">
        <f>SUMPRODUCT((MONTH(CHOOSE({1,2,3,4},KMB!U147,KMB!AA147,KMB!AG147,KMB!AM147))=7)*(CHOOSE({1,2,3,4},KMB!X147,KMB!AD147,KMB!AJ147,KMB!AP147)))</f>
        <v>0</v>
      </c>
      <c r="H147">
        <f>SUMPRODUCT((MONTH(CHOOSE({1,2,3,4},KMB!U147,KMB!AA147,KMB!AG147,KMB!AM147))=8)*(CHOOSE({1,2,3,4},KMB!X147,KMB!AD147,KMB!AJ147,KMB!AP147)))</f>
        <v>0</v>
      </c>
      <c r="I147">
        <f>SUMPRODUCT((MONTH(CHOOSE({1,2,3,4},KMB!U147,KMB!AA147,KMB!AG147,KMB!AM147))=9)*(CHOOSE({1,2,3,4},KMB!X147,KMB!AD147,KMB!AJ147,KMB!AP147)))</f>
        <v>0</v>
      </c>
      <c r="J147">
        <f>SUMPRODUCT((MONTH(CHOOSE({1,2,3,4},KMB!U147,KMB!AA147,KMB!AG147,KMB!AM147))=10)*(CHOOSE({1,2,3,4},KMB!X147,KMB!AD147,KMB!AJ147,KMB!AP147)))</f>
        <v>0</v>
      </c>
      <c r="K147">
        <f>SUMPRODUCT((MONTH(CHOOSE({1,2,3,4},KMB!U147,KMB!AA147,KMB!AG147,KMB!AM147))=11)*(CHOOSE({1,2,3,4},KMB!X147,KMB!AD147,KMB!AJ147,KMB!AP147)))</f>
        <v>0</v>
      </c>
      <c r="L147">
        <f>SUMPRODUCT((MONTH(CHOOSE({1,2,3,4},KMB!U147,KMB!AA147,KMB!AG147,KMB!AM147))=12)*(CHOOSE({1,2,3,4},KMB!X147,KMB!AD147,KMB!AJ147,KMB!AP147)))</f>
        <v>0</v>
      </c>
    </row>
    <row r="148" spans="1:12">
      <c r="A148">
        <f>SUMPRODUCT((MONTH(CHOOSE({1,2,3,4},KMB!U148,KMB!AA148,KMB!AG148,KMB!AM148))=1)*(CHOOSE({1,2,3,4},KMB!X148,KMB!AD148,KMB!AJ148,KMB!AP148)))</f>
        <v>0</v>
      </c>
      <c r="B148">
        <f>SUMPRODUCT((MONTH(CHOOSE({1,2,3,4},KMB!U148,KMB!AA148,KMB!AG148,KMB!AM148))=2)*(CHOOSE({1,2,3,4},KMB!X148,KMB!AD148,KMB!AJ148,KMB!AP148)))</f>
        <v>0</v>
      </c>
      <c r="C148">
        <f>SUMPRODUCT((MONTH(CHOOSE({1,2,3,4},KMB!U148,KMB!AA148,KMB!AG148,KMB!AM148))=3)*(CHOOSE({1,2,3,4},KMB!X148,KMB!AD148,KMB!AJ148,KMB!AP148)))</f>
        <v>0</v>
      </c>
      <c r="D148">
        <f>SUMPRODUCT((MONTH(CHOOSE({1,2,3,4},KMB!U148,KMB!AA148,KMB!AG148,KMB!AM148))=4)*(CHOOSE({1,2,3,4},KMB!X148,KMB!AD148,KMB!AJ148,KMB!AP148)))</f>
        <v>0</v>
      </c>
      <c r="E148">
        <f>SUMPRODUCT((MONTH(CHOOSE({1,2,3,4},KMB!U148,KMB!AA148,KMB!AG148,KMB!AM148))=5)*(CHOOSE({1,2,3,4},KMB!X148,KMB!AD148,KMB!AJ148,KMB!AP148)))</f>
        <v>0</v>
      </c>
      <c r="F148">
        <f>SUMPRODUCT((MONTH(CHOOSE({1,2,3,4},KMB!U148,KMB!AA148,KMB!AG148,KMB!AM148))=6)*(CHOOSE({1,2,3,4},KMB!X148,KMB!AD148,KMB!AJ148,KMB!AP148)))</f>
        <v>0</v>
      </c>
      <c r="G148">
        <f>SUMPRODUCT((MONTH(CHOOSE({1,2,3,4},KMB!U148,KMB!AA148,KMB!AG148,KMB!AM148))=7)*(CHOOSE({1,2,3,4},KMB!X148,KMB!AD148,KMB!AJ148,KMB!AP148)))</f>
        <v>0</v>
      </c>
      <c r="H148">
        <f>SUMPRODUCT((MONTH(CHOOSE({1,2,3,4},KMB!U148,KMB!AA148,KMB!AG148,KMB!AM148))=8)*(CHOOSE({1,2,3,4},KMB!X148,KMB!AD148,KMB!AJ148,KMB!AP148)))</f>
        <v>0</v>
      </c>
      <c r="I148">
        <f>SUMPRODUCT((MONTH(CHOOSE({1,2,3,4},KMB!U148,KMB!AA148,KMB!AG148,KMB!AM148))=9)*(CHOOSE({1,2,3,4},KMB!X148,KMB!AD148,KMB!AJ148,KMB!AP148)))</f>
        <v>0</v>
      </c>
      <c r="J148">
        <f>SUMPRODUCT((MONTH(CHOOSE({1,2,3,4},KMB!U148,KMB!AA148,KMB!AG148,KMB!AM148))=10)*(CHOOSE({1,2,3,4},KMB!X148,KMB!AD148,KMB!AJ148,KMB!AP148)))</f>
        <v>0</v>
      </c>
      <c r="K148">
        <f>SUMPRODUCT((MONTH(CHOOSE({1,2,3,4},KMB!U148,KMB!AA148,KMB!AG148,KMB!AM148))=11)*(CHOOSE({1,2,3,4},KMB!X148,KMB!AD148,KMB!AJ148,KMB!AP148)))</f>
        <v>0</v>
      </c>
      <c r="L148">
        <f>SUMPRODUCT((MONTH(CHOOSE({1,2,3,4},KMB!U148,KMB!AA148,KMB!AG148,KMB!AM148))=12)*(CHOOSE({1,2,3,4},KMB!X148,KMB!AD148,KMB!AJ148,KMB!AP148)))</f>
        <v>0</v>
      </c>
    </row>
    <row r="149" spans="1:12">
      <c r="A149">
        <f>SUMPRODUCT((MONTH(CHOOSE({1,2,3,4},KMB!U149,KMB!AA149,KMB!AG149,KMB!AM149))=1)*(CHOOSE({1,2,3,4},KMB!X149,KMB!AD149,KMB!AJ149,KMB!AP149)))</f>
        <v>0</v>
      </c>
      <c r="B149">
        <f>SUMPRODUCT((MONTH(CHOOSE({1,2,3,4},KMB!U149,KMB!AA149,KMB!AG149,KMB!AM149))=2)*(CHOOSE({1,2,3,4},KMB!X149,KMB!AD149,KMB!AJ149,KMB!AP149)))</f>
        <v>0</v>
      </c>
      <c r="C149">
        <f>SUMPRODUCT((MONTH(CHOOSE({1,2,3,4},KMB!U149,KMB!AA149,KMB!AG149,KMB!AM149))=3)*(CHOOSE({1,2,3,4},KMB!X149,KMB!AD149,KMB!AJ149,KMB!AP149)))</f>
        <v>0</v>
      </c>
      <c r="D149">
        <f>SUMPRODUCT((MONTH(CHOOSE({1,2,3,4},KMB!U149,KMB!AA149,KMB!AG149,KMB!AM149))=4)*(CHOOSE({1,2,3,4},KMB!X149,KMB!AD149,KMB!AJ149,KMB!AP149)))</f>
        <v>0</v>
      </c>
      <c r="E149">
        <f>SUMPRODUCT((MONTH(CHOOSE({1,2,3,4},KMB!U149,KMB!AA149,KMB!AG149,KMB!AM149))=5)*(CHOOSE({1,2,3,4},KMB!X149,KMB!AD149,KMB!AJ149,KMB!AP149)))</f>
        <v>0</v>
      </c>
      <c r="F149">
        <f>SUMPRODUCT((MONTH(CHOOSE({1,2,3,4},KMB!U149,KMB!AA149,KMB!AG149,KMB!AM149))=6)*(CHOOSE({1,2,3,4},KMB!X149,KMB!AD149,KMB!AJ149,KMB!AP149)))</f>
        <v>0</v>
      </c>
      <c r="G149">
        <f>SUMPRODUCT((MONTH(CHOOSE({1,2,3,4},KMB!U149,KMB!AA149,KMB!AG149,KMB!AM149))=7)*(CHOOSE({1,2,3,4},KMB!X149,KMB!AD149,KMB!AJ149,KMB!AP149)))</f>
        <v>0</v>
      </c>
      <c r="H149">
        <f>SUMPRODUCT((MONTH(CHOOSE({1,2,3,4},KMB!U149,KMB!AA149,KMB!AG149,KMB!AM149))=8)*(CHOOSE({1,2,3,4},KMB!X149,KMB!AD149,KMB!AJ149,KMB!AP149)))</f>
        <v>0</v>
      </c>
      <c r="I149">
        <f>SUMPRODUCT((MONTH(CHOOSE({1,2,3,4},KMB!U149,KMB!AA149,KMB!AG149,KMB!AM149))=9)*(CHOOSE({1,2,3,4},KMB!X149,KMB!AD149,KMB!AJ149,KMB!AP149)))</f>
        <v>0</v>
      </c>
      <c r="J149">
        <f>SUMPRODUCT((MONTH(CHOOSE({1,2,3,4},KMB!U149,KMB!AA149,KMB!AG149,KMB!AM149))=10)*(CHOOSE({1,2,3,4},KMB!X149,KMB!AD149,KMB!AJ149,KMB!AP149)))</f>
        <v>0</v>
      </c>
      <c r="K149">
        <f>SUMPRODUCT((MONTH(CHOOSE({1,2,3,4},KMB!U149,KMB!AA149,KMB!AG149,KMB!AM149))=11)*(CHOOSE({1,2,3,4},KMB!X149,KMB!AD149,KMB!AJ149,KMB!AP149)))</f>
        <v>0</v>
      </c>
      <c r="L149">
        <f>SUMPRODUCT((MONTH(CHOOSE({1,2,3,4},KMB!U149,KMB!AA149,KMB!AG149,KMB!AM149))=12)*(CHOOSE({1,2,3,4},KMB!X149,KMB!AD149,KMB!AJ149,KMB!AP149)))</f>
        <v>0</v>
      </c>
    </row>
    <row r="150" spans="1:12">
      <c r="A150">
        <f>SUMPRODUCT((MONTH(CHOOSE({1,2,3,4},KMB!U150,KMB!AA150,KMB!AG150,KMB!AM150))=1)*(CHOOSE({1,2,3,4},KMB!X150,KMB!AD150,KMB!AJ150,KMB!AP150)))</f>
        <v>0</v>
      </c>
      <c r="B150">
        <f>SUMPRODUCT((MONTH(CHOOSE({1,2,3,4},KMB!U150,KMB!AA150,KMB!AG150,KMB!AM150))=2)*(CHOOSE({1,2,3,4},KMB!X150,KMB!AD150,KMB!AJ150,KMB!AP150)))</f>
        <v>0</v>
      </c>
      <c r="C150">
        <f>SUMPRODUCT((MONTH(CHOOSE({1,2,3,4},KMB!U150,KMB!AA150,KMB!AG150,KMB!AM150))=3)*(CHOOSE({1,2,3,4},KMB!X150,KMB!AD150,KMB!AJ150,KMB!AP150)))</f>
        <v>0</v>
      </c>
      <c r="D150">
        <f>SUMPRODUCT((MONTH(CHOOSE({1,2,3,4},KMB!U150,KMB!AA150,KMB!AG150,KMB!AM150))=4)*(CHOOSE({1,2,3,4},KMB!X150,KMB!AD150,KMB!AJ150,KMB!AP150)))</f>
        <v>0</v>
      </c>
      <c r="E150">
        <f>SUMPRODUCT((MONTH(CHOOSE({1,2,3,4},KMB!U150,KMB!AA150,KMB!AG150,KMB!AM150))=5)*(CHOOSE({1,2,3,4},KMB!X150,KMB!AD150,KMB!AJ150,KMB!AP150)))</f>
        <v>0</v>
      </c>
      <c r="F150">
        <f>SUMPRODUCT((MONTH(CHOOSE({1,2,3,4},KMB!U150,KMB!AA150,KMB!AG150,KMB!AM150))=6)*(CHOOSE({1,2,3,4},KMB!X150,KMB!AD150,KMB!AJ150,KMB!AP150)))</f>
        <v>0</v>
      </c>
      <c r="G150">
        <f>SUMPRODUCT((MONTH(CHOOSE({1,2,3,4},KMB!U150,KMB!AA150,KMB!AG150,KMB!AM150))=7)*(CHOOSE({1,2,3,4},KMB!X150,KMB!AD150,KMB!AJ150,KMB!AP150)))</f>
        <v>0</v>
      </c>
      <c r="H150">
        <f>SUMPRODUCT((MONTH(CHOOSE({1,2,3,4},KMB!U150,KMB!AA150,KMB!AG150,KMB!AM150))=8)*(CHOOSE({1,2,3,4},KMB!X150,KMB!AD150,KMB!AJ150,KMB!AP150)))</f>
        <v>0</v>
      </c>
      <c r="I150">
        <f>SUMPRODUCT((MONTH(CHOOSE({1,2,3,4},KMB!U150,KMB!AA150,KMB!AG150,KMB!AM150))=9)*(CHOOSE({1,2,3,4},KMB!X150,KMB!AD150,KMB!AJ150,KMB!AP150)))</f>
        <v>0</v>
      </c>
      <c r="J150">
        <f>SUMPRODUCT((MONTH(CHOOSE({1,2,3,4},KMB!U150,KMB!AA150,KMB!AG150,KMB!AM150))=10)*(CHOOSE({1,2,3,4},KMB!X150,KMB!AD150,KMB!AJ150,KMB!AP150)))</f>
        <v>0</v>
      </c>
      <c r="K150">
        <f>SUMPRODUCT((MONTH(CHOOSE({1,2,3,4},KMB!U150,KMB!AA150,KMB!AG150,KMB!AM150))=11)*(CHOOSE({1,2,3,4},KMB!X150,KMB!AD150,KMB!AJ150,KMB!AP150)))</f>
        <v>0</v>
      </c>
      <c r="L150">
        <f>SUMPRODUCT((MONTH(CHOOSE({1,2,3,4},KMB!U150,KMB!AA150,KMB!AG150,KMB!AM150))=12)*(CHOOSE({1,2,3,4},KMB!X150,KMB!AD150,KMB!AJ150,KMB!AP150)))</f>
        <v>0</v>
      </c>
    </row>
    <row r="151" spans="1:12">
      <c r="A151">
        <f>SUMPRODUCT((MONTH(CHOOSE({1,2,3,4},KMB!U151,KMB!AA151,KMB!AG151,KMB!AM151))=1)*(CHOOSE({1,2,3,4},KMB!X151,KMB!AD151,KMB!AJ151,KMB!AP151)))</f>
        <v>0</v>
      </c>
      <c r="B151">
        <f>SUMPRODUCT((MONTH(CHOOSE({1,2,3,4},KMB!U151,KMB!AA151,KMB!AG151,KMB!AM151))=2)*(CHOOSE({1,2,3,4},KMB!X151,KMB!AD151,KMB!AJ151,KMB!AP151)))</f>
        <v>0</v>
      </c>
      <c r="C151">
        <f>SUMPRODUCT((MONTH(CHOOSE({1,2,3,4},KMB!U151,KMB!AA151,KMB!AG151,KMB!AM151))=3)*(CHOOSE({1,2,3,4},KMB!X151,KMB!AD151,KMB!AJ151,KMB!AP151)))</f>
        <v>0</v>
      </c>
      <c r="D151">
        <f>SUMPRODUCT((MONTH(CHOOSE({1,2,3,4},KMB!U151,KMB!AA151,KMB!AG151,KMB!AM151))=4)*(CHOOSE({1,2,3,4},KMB!X151,KMB!AD151,KMB!AJ151,KMB!AP151)))</f>
        <v>0</v>
      </c>
      <c r="E151">
        <f>SUMPRODUCT((MONTH(CHOOSE({1,2,3,4},KMB!U151,KMB!AA151,KMB!AG151,KMB!AM151))=5)*(CHOOSE({1,2,3,4},KMB!X151,KMB!AD151,KMB!AJ151,KMB!AP151)))</f>
        <v>0</v>
      </c>
      <c r="F151">
        <f>SUMPRODUCT((MONTH(CHOOSE({1,2,3,4},KMB!U151,KMB!AA151,KMB!AG151,KMB!AM151))=6)*(CHOOSE({1,2,3,4},KMB!X151,KMB!AD151,KMB!AJ151,KMB!AP151)))</f>
        <v>0</v>
      </c>
      <c r="G151">
        <f>SUMPRODUCT((MONTH(CHOOSE({1,2,3,4},KMB!U151,KMB!AA151,KMB!AG151,KMB!AM151))=7)*(CHOOSE({1,2,3,4},KMB!X151,KMB!AD151,KMB!AJ151,KMB!AP151)))</f>
        <v>0</v>
      </c>
      <c r="H151">
        <f>SUMPRODUCT((MONTH(CHOOSE({1,2,3,4},KMB!U151,KMB!AA151,KMB!AG151,KMB!AM151))=8)*(CHOOSE({1,2,3,4},KMB!X151,KMB!AD151,KMB!AJ151,KMB!AP151)))</f>
        <v>0</v>
      </c>
      <c r="I151">
        <f>SUMPRODUCT((MONTH(CHOOSE({1,2,3,4},KMB!U151,KMB!AA151,KMB!AG151,KMB!AM151))=9)*(CHOOSE({1,2,3,4},KMB!X151,KMB!AD151,KMB!AJ151,KMB!AP151)))</f>
        <v>0</v>
      </c>
      <c r="J151">
        <f>SUMPRODUCT((MONTH(CHOOSE({1,2,3,4},KMB!U151,KMB!AA151,KMB!AG151,KMB!AM151))=10)*(CHOOSE({1,2,3,4},KMB!X151,KMB!AD151,KMB!AJ151,KMB!AP151)))</f>
        <v>0</v>
      </c>
      <c r="K151">
        <f>SUMPRODUCT((MONTH(CHOOSE({1,2,3,4},KMB!U151,KMB!AA151,KMB!AG151,KMB!AM151))=11)*(CHOOSE({1,2,3,4},KMB!X151,KMB!AD151,KMB!AJ151,KMB!AP151)))</f>
        <v>0</v>
      </c>
      <c r="L151">
        <f>SUMPRODUCT((MONTH(CHOOSE({1,2,3,4},KMB!U151,KMB!AA151,KMB!AG151,KMB!AM151))=12)*(CHOOSE({1,2,3,4},KMB!X151,KMB!AD151,KMB!AJ151,KMB!AP151)))</f>
        <v>0</v>
      </c>
    </row>
    <row r="152" spans="1:12">
      <c r="A152">
        <f>SUMPRODUCT((MONTH(CHOOSE({1,2,3,4},KMB!U152,KMB!AA152,KMB!AG152,KMB!AM152))=1)*(CHOOSE({1,2,3,4},KMB!X152,KMB!AD152,KMB!AJ152,KMB!AP152)))</f>
        <v>0</v>
      </c>
      <c r="B152">
        <f>SUMPRODUCT((MONTH(CHOOSE({1,2,3,4},KMB!U152,KMB!AA152,KMB!AG152,KMB!AM152))=2)*(CHOOSE({1,2,3,4},KMB!X152,KMB!AD152,KMB!AJ152,KMB!AP152)))</f>
        <v>0</v>
      </c>
      <c r="C152">
        <f>SUMPRODUCT((MONTH(CHOOSE({1,2,3,4},KMB!U152,KMB!AA152,KMB!AG152,KMB!AM152))=3)*(CHOOSE({1,2,3,4},KMB!X152,KMB!AD152,KMB!AJ152,KMB!AP152)))</f>
        <v>0</v>
      </c>
      <c r="D152">
        <f>SUMPRODUCT((MONTH(CHOOSE({1,2,3,4},KMB!U152,KMB!AA152,KMB!AG152,KMB!AM152))=4)*(CHOOSE({1,2,3,4},KMB!X152,KMB!AD152,KMB!AJ152,KMB!AP152)))</f>
        <v>0</v>
      </c>
      <c r="E152">
        <f>SUMPRODUCT((MONTH(CHOOSE({1,2,3,4},KMB!U152,KMB!AA152,KMB!AG152,KMB!AM152))=5)*(CHOOSE({1,2,3,4},KMB!X152,KMB!AD152,KMB!AJ152,KMB!AP152)))</f>
        <v>0</v>
      </c>
      <c r="F152">
        <f>SUMPRODUCT((MONTH(CHOOSE({1,2,3,4},KMB!U152,KMB!AA152,KMB!AG152,KMB!AM152))=6)*(CHOOSE({1,2,3,4},KMB!X152,KMB!AD152,KMB!AJ152,KMB!AP152)))</f>
        <v>0</v>
      </c>
      <c r="G152">
        <f>SUMPRODUCT((MONTH(CHOOSE({1,2,3,4},KMB!U152,KMB!AA152,KMB!AG152,KMB!AM152))=7)*(CHOOSE({1,2,3,4},KMB!X152,KMB!AD152,KMB!AJ152,KMB!AP152)))</f>
        <v>0</v>
      </c>
      <c r="H152">
        <f>SUMPRODUCT((MONTH(CHOOSE({1,2,3,4},KMB!U152,KMB!AA152,KMB!AG152,KMB!AM152))=8)*(CHOOSE({1,2,3,4},KMB!X152,KMB!AD152,KMB!AJ152,KMB!AP152)))</f>
        <v>0</v>
      </c>
      <c r="I152">
        <f>SUMPRODUCT((MONTH(CHOOSE({1,2,3,4},KMB!U152,KMB!AA152,KMB!AG152,KMB!AM152))=9)*(CHOOSE({1,2,3,4},KMB!X152,KMB!AD152,KMB!AJ152,KMB!AP152)))</f>
        <v>0</v>
      </c>
      <c r="J152">
        <f>SUMPRODUCT((MONTH(CHOOSE({1,2,3,4},KMB!U152,KMB!AA152,KMB!AG152,KMB!AM152))=10)*(CHOOSE({1,2,3,4},KMB!X152,KMB!AD152,KMB!AJ152,KMB!AP152)))</f>
        <v>0</v>
      </c>
      <c r="K152">
        <f>SUMPRODUCT((MONTH(CHOOSE({1,2,3,4},KMB!U152,KMB!AA152,KMB!AG152,KMB!AM152))=11)*(CHOOSE({1,2,3,4},KMB!X152,KMB!AD152,KMB!AJ152,KMB!AP152)))</f>
        <v>0</v>
      </c>
      <c r="L152">
        <f>SUMPRODUCT((MONTH(CHOOSE({1,2,3,4},KMB!U152,KMB!AA152,KMB!AG152,KMB!AM152))=12)*(CHOOSE({1,2,3,4},KMB!X152,KMB!AD152,KMB!AJ152,KMB!AP152)))</f>
        <v>0</v>
      </c>
    </row>
    <row r="153" spans="1:12">
      <c r="A153">
        <f>SUMPRODUCT((MONTH(CHOOSE({1,2,3,4},KMB!U153,KMB!AA153,KMB!AG153,KMB!AM153))=1)*(CHOOSE({1,2,3,4},KMB!X153,KMB!AD153,KMB!AJ153,KMB!AP153)))</f>
        <v>0</v>
      </c>
      <c r="B153">
        <f>SUMPRODUCT((MONTH(CHOOSE({1,2,3,4},KMB!U153,KMB!AA153,KMB!AG153,KMB!AM153))=2)*(CHOOSE({1,2,3,4},KMB!X153,KMB!AD153,KMB!AJ153,KMB!AP153)))</f>
        <v>0</v>
      </c>
      <c r="C153">
        <f>SUMPRODUCT((MONTH(CHOOSE({1,2,3,4},KMB!U153,KMB!AA153,KMB!AG153,KMB!AM153))=3)*(CHOOSE({1,2,3,4},KMB!X153,KMB!AD153,KMB!AJ153,KMB!AP153)))</f>
        <v>0</v>
      </c>
      <c r="D153">
        <f>SUMPRODUCT((MONTH(CHOOSE({1,2,3,4},KMB!U153,KMB!AA153,KMB!AG153,KMB!AM153))=4)*(CHOOSE({1,2,3,4},KMB!X153,KMB!AD153,KMB!AJ153,KMB!AP153)))</f>
        <v>0</v>
      </c>
      <c r="E153">
        <f>SUMPRODUCT((MONTH(CHOOSE({1,2,3,4},KMB!U153,KMB!AA153,KMB!AG153,KMB!AM153))=5)*(CHOOSE({1,2,3,4},KMB!X153,KMB!AD153,KMB!AJ153,KMB!AP153)))</f>
        <v>0</v>
      </c>
      <c r="F153">
        <f>SUMPRODUCT((MONTH(CHOOSE({1,2,3,4},KMB!U153,KMB!AA153,KMB!AG153,KMB!AM153))=6)*(CHOOSE({1,2,3,4},KMB!X153,KMB!AD153,KMB!AJ153,KMB!AP153)))</f>
        <v>0</v>
      </c>
      <c r="G153">
        <f>SUMPRODUCT((MONTH(CHOOSE({1,2,3,4},KMB!U153,KMB!AA153,KMB!AG153,KMB!AM153))=7)*(CHOOSE({1,2,3,4},KMB!X153,KMB!AD153,KMB!AJ153,KMB!AP153)))</f>
        <v>0</v>
      </c>
      <c r="H153">
        <f>SUMPRODUCT((MONTH(CHOOSE({1,2,3,4},KMB!U153,KMB!AA153,KMB!AG153,KMB!AM153))=8)*(CHOOSE({1,2,3,4},KMB!X153,KMB!AD153,KMB!AJ153,KMB!AP153)))</f>
        <v>0</v>
      </c>
      <c r="I153">
        <f>SUMPRODUCT((MONTH(CHOOSE({1,2,3,4},KMB!U153,KMB!AA153,KMB!AG153,KMB!AM153))=9)*(CHOOSE({1,2,3,4},KMB!X153,KMB!AD153,KMB!AJ153,KMB!AP153)))</f>
        <v>0</v>
      </c>
      <c r="J153">
        <f>SUMPRODUCT((MONTH(CHOOSE({1,2,3,4},KMB!U153,KMB!AA153,KMB!AG153,KMB!AM153))=10)*(CHOOSE({1,2,3,4},KMB!X153,KMB!AD153,KMB!AJ153,KMB!AP153)))</f>
        <v>0</v>
      </c>
      <c r="K153">
        <f>SUMPRODUCT((MONTH(CHOOSE({1,2,3,4},KMB!U153,KMB!AA153,KMB!AG153,KMB!AM153))=11)*(CHOOSE({1,2,3,4},KMB!X153,KMB!AD153,KMB!AJ153,KMB!AP153)))</f>
        <v>0</v>
      </c>
      <c r="L153">
        <f>SUMPRODUCT((MONTH(CHOOSE({1,2,3,4},KMB!U153,KMB!AA153,KMB!AG153,KMB!AM153))=12)*(CHOOSE({1,2,3,4},KMB!X153,KMB!AD153,KMB!AJ153,KMB!AP153)))</f>
        <v>0</v>
      </c>
    </row>
    <row r="154" spans="1:12">
      <c r="A154">
        <f>SUMPRODUCT((MONTH(CHOOSE({1,2,3,4},KMB!U154,KMB!AA154,KMB!AG154,KMB!AM154))=1)*(CHOOSE({1,2,3,4},KMB!X154,KMB!AD154,KMB!AJ154,KMB!AP154)))</f>
        <v>0</v>
      </c>
      <c r="B154">
        <f>SUMPRODUCT((MONTH(CHOOSE({1,2,3,4},KMB!U154,KMB!AA154,KMB!AG154,KMB!AM154))=2)*(CHOOSE({1,2,3,4},KMB!X154,KMB!AD154,KMB!AJ154,KMB!AP154)))</f>
        <v>0</v>
      </c>
      <c r="C154">
        <f>SUMPRODUCT((MONTH(CHOOSE({1,2,3,4},KMB!U154,KMB!AA154,KMB!AG154,KMB!AM154))=3)*(CHOOSE({1,2,3,4},KMB!X154,KMB!AD154,KMB!AJ154,KMB!AP154)))</f>
        <v>0</v>
      </c>
      <c r="D154">
        <f>SUMPRODUCT((MONTH(CHOOSE({1,2,3,4},KMB!U154,KMB!AA154,KMB!AG154,KMB!AM154))=4)*(CHOOSE({1,2,3,4},KMB!X154,KMB!AD154,KMB!AJ154,KMB!AP154)))</f>
        <v>0</v>
      </c>
      <c r="E154">
        <f>SUMPRODUCT((MONTH(CHOOSE({1,2,3,4},KMB!U154,KMB!AA154,KMB!AG154,KMB!AM154))=5)*(CHOOSE({1,2,3,4},KMB!X154,KMB!AD154,KMB!AJ154,KMB!AP154)))</f>
        <v>0</v>
      </c>
      <c r="F154">
        <f>SUMPRODUCT((MONTH(CHOOSE({1,2,3,4},KMB!U154,KMB!AA154,KMB!AG154,KMB!AM154))=6)*(CHOOSE({1,2,3,4},KMB!X154,KMB!AD154,KMB!AJ154,KMB!AP154)))</f>
        <v>0</v>
      </c>
      <c r="G154">
        <f>SUMPRODUCT((MONTH(CHOOSE({1,2,3,4},KMB!U154,KMB!AA154,KMB!AG154,KMB!AM154))=7)*(CHOOSE({1,2,3,4},KMB!X154,KMB!AD154,KMB!AJ154,KMB!AP154)))</f>
        <v>0</v>
      </c>
      <c r="H154">
        <f>SUMPRODUCT((MONTH(CHOOSE({1,2,3,4},KMB!U154,KMB!AA154,KMB!AG154,KMB!AM154))=8)*(CHOOSE({1,2,3,4},KMB!X154,KMB!AD154,KMB!AJ154,KMB!AP154)))</f>
        <v>0</v>
      </c>
      <c r="I154">
        <f>SUMPRODUCT((MONTH(CHOOSE({1,2,3,4},KMB!U154,KMB!AA154,KMB!AG154,KMB!AM154))=9)*(CHOOSE({1,2,3,4},KMB!X154,KMB!AD154,KMB!AJ154,KMB!AP154)))</f>
        <v>0</v>
      </c>
      <c r="J154">
        <f>SUMPRODUCT((MONTH(CHOOSE({1,2,3,4},KMB!U154,KMB!AA154,KMB!AG154,KMB!AM154))=10)*(CHOOSE({1,2,3,4},KMB!X154,KMB!AD154,KMB!AJ154,KMB!AP154)))</f>
        <v>0</v>
      </c>
      <c r="K154">
        <f>SUMPRODUCT((MONTH(CHOOSE({1,2,3,4},KMB!U154,KMB!AA154,KMB!AG154,KMB!AM154))=11)*(CHOOSE({1,2,3,4},KMB!X154,KMB!AD154,KMB!AJ154,KMB!AP154)))</f>
        <v>0</v>
      </c>
      <c r="L154">
        <f>SUMPRODUCT((MONTH(CHOOSE({1,2,3,4},KMB!U154,KMB!AA154,KMB!AG154,KMB!AM154))=12)*(CHOOSE({1,2,3,4},KMB!X154,KMB!AD154,KMB!AJ154,KMB!AP154)))</f>
        <v>0</v>
      </c>
    </row>
    <row r="155" spans="1:12">
      <c r="A155">
        <f>SUMPRODUCT((MONTH(CHOOSE({1,2,3,4},KMB!U155,KMB!AA155,KMB!AG155,KMB!AM155))=1)*(CHOOSE({1,2,3,4},KMB!X155,KMB!AD155,KMB!AJ155,KMB!AP155)))</f>
        <v>0</v>
      </c>
      <c r="B155">
        <f>SUMPRODUCT((MONTH(CHOOSE({1,2,3,4},KMB!U155,KMB!AA155,KMB!AG155,KMB!AM155))=2)*(CHOOSE({1,2,3,4},KMB!X155,KMB!AD155,KMB!AJ155,KMB!AP155)))</f>
        <v>0</v>
      </c>
      <c r="C155">
        <f>SUMPRODUCT((MONTH(CHOOSE({1,2,3,4},KMB!U155,KMB!AA155,KMB!AG155,KMB!AM155))=3)*(CHOOSE({1,2,3,4},KMB!X155,KMB!AD155,KMB!AJ155,KMB!AP155)))</f>
        <v>0</v>
      </c>
      <c r="D155">
        <f>SUMPRODUCT((MONTH(CHOOSE({1,2,3,4},KMB!U155,KMB!AA155,KMB!AG155,KMB!AM155))=4)*(CHOOSE({1,2,3,4},KMB!X155,KMB!AD155,KMB!AJ155,KMB!AP155)))</f>
        <v>0</v>
      </c>
      <c r="E155">
        <f>SUMPRODUCT((MONTH(CHOOSE({1,2,3,4},KMB!U155,KMB!AA155,KMB!AG155,KMB!AM155))=5)*(CHOOSE({1,2,3,4},KMB!X155,KMB!AD155,KMB!AJ155,KMB!AP155)))</f>
        <v>0</v>
      </c>
      <c r="F155">
        <f>SUMPRODUCT((MONTH(CHOOSE({1,2,3,4},KMB!U155,KMB!AA155,KMB!AG155,KMB!AM155))=6)*(CHOOSE({1,2,3,4},KMB!X155,KMB!AD155,KMB!AJ155,KMB!AP155)))</f>
        <v>0</v>
      </c>
      <c r="G155">
        <f>SUMPRODUCT((MONTH(CHOOSE({1,2,3,4},KMB!U155,KMB!AA155,KMB!AG155,KMB!AM155))=7)*(CHOOSE({1,2,3,4},KMB!X155,KMB!AD155,KMB!AJ155,KMB!AP155)))</f>
        <v>0</v>
      </c>
      <c r="H155">
        <f>SUMPRODUCT((MONTH(CHOOSE({1,2,3,4},KMB!U155,KMB!AA155,KMB!AG155,KMB!AM155))=8)*(CHOOSE({1,2,3,4},KMB!X155,KMB!AD155,KMB!AJ155,KMB!AP155)))</f>
        <v>0</v>
      </c>
      <c r="I155">
        <f>SUMPRODUCT((MONTH(CHOOSE({1,2,3,4},KMB!U155,KMB!AA155,KMB!AG155,KMB!AM155))=9)*(CHOOSE({1,2,3,4},KMB!X155,KMB!AD155,KMB!AJ155,KMB!AP155)))</f>
        <v>0</v>
      </c>
      <c r="J155">
        <f>SUMPRODUCT((MONTH(CHOOSE({1,2,3,4},KMB!U155,KMB!AA155,KMB!AG155,KMB!AM155))=10)*(CHOOSE({1,2,3,4},KMB!X155,KMB!AD155,KMB!AJ155,KMB!AP155)))</f>
        <v>0</v>
      </c>
      <c r="K155">
        <f>SUMPRODUCT((MONTH(CHOOSE({1,2,3,4},KMB!U155,KMB!AA155,KMB!AG155,KMB!AM155))=11)*(CHOOSE({1,2,3,4},KMB!X155,KMB!AD155,KMB!AJ155,KMB!AP155)))</f>
        <v>0</v>
      </c>
      <c r="L155">
        <f>SUMPRODUCT((MONTH(CHOOSE({1,2,3,4},KMB!U155,KMB!AA155,KMB!AG155,KMB!AM155))=12)*(CHOOSE({1,2,3,4},KMB!X155,KMB!AD155,KMB!AJ155,KMB!AP155)))</f>
        <v>0</v>
      </c>
    </row>
    <row r="156" spans="1:12">
      <c r="A156">
        <f>SUMPRODUCT((MONTH(CHOOSE({1,2,3,4},KMB!U156,KMB!AA156,KMB!AG156,KMB!AM156))=1)*(CHOOSE({1,2,3,4},KMB!X156,KMB!AD156,KMB!AJ156,KMB!AP156)))</f>
        <v>0</v>
      </c>
      <c r="B156">
        <f>SUMPRODUCT((MONTH(CHOOSE({1,2,3,4},KMB!U156,KMB!AA156,KMB!AG156,KMB!AM156))=2)*(CHOOSE({1,2,3,4},KMB!X156,KMB!AD156,KMB!AJ156,KMB!AP156)))</f>
        <v>0</v>
      </c>
      <c r="C156">
        <f>SUMPRODUCT((MONTH(CHOOSE({1,2,3,4},KMB!U156,KMB!AA156,KMB!AG156,KMB!AM156))=3)*(CHOOSE({1,2,3,4},KMB!X156,KMB!AD156,KMB!AJ156,KMB!AP156)))</f>
        <v>0</v>
      </c>
      <c r="D156">
        <f>SUMPRODUCT((MONTH(CHOOSE({1,2,3,4},KMB!U156,KMB!AA156,KMB!AG156,KMB!AM156))=4)*(CHOOSE({1,2,3,4},KMB!X156,KMB!AD156,KMB!AJ156,KMB!AP156)))</f>
        <v>0</v>
      </c>
      <c r="E156">
        <f>SUMPRODUCT((MONTH(CHOOSE({1,2,3,4},KMB!U156,KMB!AA156,KMB!AG156,KMB!AM156))=5)*(CHOOSE({1,2,3,4},KMB!X156,KMB!AD156,KMB!AJ156,KMB!AP156)))</f>
        <v>0</v>
      </c>
      <c r="F156">
        <f>SUMPRODUCT((MONTH(CHOOSE({1,2,3,4},KMB!U156,KMB!AA156,KMB!AG156,KMB!AM156))=6)*(CHOOSE({1,2,3,4},KMB!X156,KMB!AD156,KMB!AJ156,KMB!AP156)))</f>
        <v>0</v>
      </c>
      <c r="G156">
        <f>SUMPRODUCT((MONTH(CHOOSE({1,2,3,4},KMB!U156,KMB!AA156,KMB!AG156,KMB!AM156))=7)*(CHOOSE({1,2,3,4},KMB!X156,KMB!AD156,KMB!AJ156,KMB!AP156)))</f>
        <v>0</v>
      </c>
      <c r="H156">
        <f>SUMPRODUCT((MONTH(CHOOSE({1,2,3,4},KMB!U156,KMB!AA156,KMB!AG156,KMB!AM156))=8)*(CHOOSE({1,2,3,4},KMB!X156,KMB!AD156,KMB!AJ156,KMB!AP156)))</f>
        <v>0</v>
      </c>
      <c r="I156">
        <f>SUMPRODUCT((MONTH(CHOOSE({1,2,3,4},KMB!U156,KMB!AA156,KMB!AG156,KMB!AM156))=9)*(CHOOSE({1,2,3,4},KMB!X156,KMB!AD156,KMB!AJ156,KMB!AP156)))</f>
        <v>0</v>
      </c>
      <c r="J156">
        <f>SUMPRODUCT((MONTH(CHOOSE({1,2,3,4},KMB!U156,KMB!AA156,KMB!AG156,KMB!AM156))=10)*(CHOOSE({1,2,3,4},KMB!X156,KMB!AD156,KMB!AJ156,KMB!AP156)))</f>
        <v>0</v>
      </c>
      <c r="K156">
        <f>SUMPRODUCT((MONTH(CHOOSE({1,2,3,4},KMB!U156,KMB!AA156,KMB!AG156,KMB!AM156))=11)*(CHOOSE({1,2,3,4},KMB!X156,KMB!AD156,KMB!AJ156,KMB!AP156)))</f>
        <v>0</v>
      </c>
      <c r="L156">
        <f>SUMPRODUCT((MONTH(CHOOSE({1,2,3,4},KMB!U156,KMB!AA156,KMB!AG156,KMB!AM156))=12)*(CHOOSE({1,2,3,4},KMB!X156,KMB!AD156,KMB!AJ156,KMB!AP156)))</f>
        <v>0</v>
      </c>
    </row>
    <row r="157" spans="1:12">
      <c r="A157">
        <f>SUMPRODUCT((MONTH(CHOOSE({1,2,3,4},KMB!U157,KMB!AA157,KMB!AG157,KMB!AM157))=1)*(CHOOSE({1,2,3,4},KMB!X157,KMB!AD157,KMB!AJ157,KMB!AP157)))</f>
        <v>0</v>
      </c>
      <c r="B157">
        <f>SUMPRODUCT((MONTH(CHOOSE({1,2,3,4},KMB!U157,KMB!AA157,KMB!AG157,KMB!AM157))=2)*(CHOOSE({1,2,3,4},KMB!X157,KMB!AD157,KMB!AJ157,KMB!AP157)))</f>
        <v>0</v>
      </c>
      <c r="C157">
        <f>SUMPRODUCT((MONTH(CHOOSE({1,2,3,4},KMB!U157,KMB!AA157,KMB!AG157,KMB!AM157))=3)*(CHOOSE({1,2,3,4},KMB!X157,KMB!AD157,KMB!AJ157,KMB!AP157)))</f>
        <v>0</v>
      </c>
      <c r="D157">
        <f>SUMPRODUCT((MONTH(CHOOSE({1,2,3,4},KMB!U157,KMB!AA157,KMB!AG157,KMB!AM157))=4)*(CHOOSE({1,2,3,4},KMB!X157,KMB!AD157,KMB!AJ157,KMB!AP157)))</f>
        <v>0</v>
      </c>
      <c r="E157">
        <f>SUMPRODUCT((MONTH(CHOOSE({1,2,3,4},KMB!U157,KMB!AA157,KMB!AG157,KMB!AM157))=5)*(CHOOSE({1,2,3,4},KMB!X157,KMB!AD157,KMB!AJ157,KMB!AP157)))</f>
        <v>0</v>
      </c>
      <c r="F157">
        <f>SUMPRODUCT((MONTH(CHOOSE({1,2,3,4},KMB!U157,KMB!AA157,KMB!AG157,KMB!AM157))=6)*(CHOOSE({1,2,3,4},KMB!X157,KMB!AD157,KMB!AJ157,KMB!AP157)))</f>
        <v>0</v>
      </c>
      <c r="G157">
        <f>SUMPRODUCT((MONTH(CHOOSE({1,2,3,4},KMB!U157,KMB!AA157,KMB!AG157,KMB!AM157))=7)*(CHOOSE({1,2,3,4},KMB!X157,KMB!AD157,KMB!AJ157,KMB!AP157)))</f>
        <v>0</v>
      </c>
      <c r="H157">
        <f>SUMPRODUCT((MONTH(CHOOSE({1,2,3,4},KMB!U157,KMB!AA157,KMB!AG157,KMB!AM157))=8)*(CHOOSE({1,2,3,4},KMB!X157,KMB!AD157,KMB!AJ157,KMB!AP157)))</f>
        <v>0</v>
      </c>
      <c r="I157">
        <f>SUMPRODUCT((MONTH(CHOOSE({1,2,3,4},KMB!U157,KMB!AA157,KMB!AG157,KMB!AM157))=9)*(CHOOSE({1,2,3,4},KMB!X157,KMB!AD157,KMB!AJ157,KMB!AP157)))</f>
        <v>0</v>
      </c>
      <c r="J157">
        <f>SUMPRODUCT((MONTH(CHOOSE({1,2,3,4},KMB!U157,KMB!AA157,KMB!AG157,KMB!AM157))=10)*(CHOOSE({1,2,3,4},KMB!X157,KMB!AD157,KMB!AJ157,KMB!AP157)))</f>
        <v>0</v>
      </c>
      <c r="K157">
        <f>SUMPRODUCT((MONTH(CHOOSE({1,2,3,4},KMB!U157,KMB!AA157,KMB!AG157,KMB!AM157))=11)*(CHOOSE({1,2,3,4},KMB!X157,KMB!AD157,KMB!AJ157,KMB!AP157)))</f>
        <v>0</v>
      </c>
      <c r="L157">
        <f>SUMPRODUCT((MONTH(CHOOSE({1,2,3,4},KMB!U157,KMB!AA157,KMB!AG157,KMB!AM157))=12)*(CHOOSE({1,2,3,4},KMB!X157,KMB!AD157,KMB!AJ157,KMB!AP157)))</f>
        <v>0</v>
      </c>
    </row>
    <row r="158" spans="1:12">
      <c r="A158">
        <f>SUMPRODUCT((MONTH(CHOOSE({1,2,3,4},KMB!U158,KMB!AA158,KMB!AG158,KMB!AM158))=1)*(CHOOSE({1,2,3,4},KMB!X158,KMB!AD158,KMB!AJ158,KMB!AP158)))</f>
        <v>0</v>
      </c>
      <c r="B158">
        <f>SUMPRODUCT((MONTH(CHOOSE({1,2,3,4},KMB!U158,KMB!AA158,KMB!AG158,KMB!AM158))=2)*(CHOOSE({1,2,3,4},KMB!X158,KMB!AD158,KMB!AJ158,KMB!AP158)))</f>
        <v>0</v>
      </c>
      <c r="C158">
        <f>SUMPRODUCT((MONTH(CHOOSE({1,2,3,4},KMB!U158,KMB!AA158,KMB!AG158,KMB!AM158))=3)*(CHOOSE({1,2,3,4},KMB!X158,KMB!AD158,KMB!AJ158,KMB!AP158)))</f>
        <v>0</v>
      </c>
      <c r="D158">
        <f>SUMPRODUCT((MONTH(CHOOSE({1,2,3,4},KMB!U158,KMB!AA158,KMB!AG158,KMB!AM158))=4)*(CHOOSE({1,2,3,4},KMB!X158,KMB!AD158,KMB!AJ158,KMB!AP158)))</f>
        <v>0</v>
      </c>
      <c r="E158">
        <f>SUMPRODUCT((MONTH(CHOOSE({1,2,3,4},KMB!U158,KMB!AA158,KMB!AG158,KMB!AM158))=5)*(CHOOSE({1,2,3,4},KMB!X158,KMB!AD158,KMB!AJ158,KMB!AP158)))</f>
        <v>0</v>
      </c>
      <c r="F158">
        <f>SUMPRODUCT((MONTH(CHOOSE({1,2,3,4},KMB!U158,KMB!AA158,KMB!AG158,KMB!AM158))=6)*(CHOOSE({1,2,3,4},KMB!X158,KMB!AD158,KMB!AJ158,KMB!AP158)))</f>
        <v>0</v>
      </c>
      <c r="G158">
        <f>SUMPRODUCT((MONTH(CHOOSE({1,2,3,4},KMB!U158,KMB!AA158,KMB!AG158,KMB!AM158))=7)*(CHOOSE({1,2,3,4},KMB!X158,KMB!AD158,KMB!AJ158,KMB!AP158)))</f>
        <v>0</v>
      </c>
      <c r="H158">
        <f>SUMPRODUCT((MONTH(CHOOSE({1,2,3,4},KMB!U158,KMB!AA158,KMB!AG158,KMB!AM158))=8)*(CHOOSE({1,2,3,4},KMB!X158,KMB!AD158,KMB!AJ158,KMB!AP158)))</f>
        <v>0</v>
      </c>
      <c r="I158">
        <f>SUMPRODUCT((MONTH(CHOOSE({1,2,3,4},KMB!U158,KMB!AA158,KMB!AG158,KMB!AM158))=9)*(CHOOSE({1,2,3,4},KMB!X158,KMB!AD158,KMB!AJ158,KMB!AP158)))</f>
        <v>0</v>
      </c>
      <c r="J158">
        <f>SUMPRODUCT((MONTH(CHOOSE({1,2,3,4},KMB!U158,KMB!AA158,KMB!AG158,KMB!AM158))=10)*(CHOOSE({1,2,3,4},KMB!X158,KMB!AD158,KMB!AJ158,KMB!AP158)))</f>
        <v>0</v>
      </c>
      <c r="K158">
        <f>SUMPRODUCT((MONTH(CHOOSE({1,2,3,4},KMB!U158,KMB!AA158,KMB!AG158,KMB!AM158))=11)*(CHOOSE({1,2,3,4},KMB!X158,KMB!AD158,KMB!AJ158,KMB!AP158)))</f>
        <v>0</v>
      </c>
      <c r="L158">
        <f>SUMPRODUCT((MONTH(CHOOSE({1,2,3,4},KMB!U158,KMB!AA158,KMB!AG158,KMB!AM158))=12)*(CHOOSE({1,2,3,4},KMB!X158,KMB!AD158,KMB!AJ158,KMB!AP158)))</f>
        <v>0</v>
      </c>
    </row>
    <row r="159" spans="1:12">
      <c r="A159">
        <f>SUMPRODUCT((MONTH(CHOOSE({1,2,3,4},KMB!U159,KMB!AA159,KMB!AG159,KMB!AM159))=1)*(CHOOSE({1,2,3,4},KMB!X159,KMB!AD159,KMB!AJ159,KMB!AP159)))</f>
        <v>0</v>
      </c>
      <c r="B159">
        <f>SUMPRODUCT((MONTH(CHOOSE({1,2,3,4},KMB!U159,KMB!AA159,KMB!AG159,KMB!AM159))=2)*(CHOOSE({1,2,3,4},KMB!X159,KMB!AD159,KMB!AJ159,KMB!AP159)))</f>
        <v>0</v>
      </c>
      <c r="C159">
        <f>SUMPRODUCT((MONTH(CHOOSE({1,2,3,4},KMB!U159,KMB!AA159,KMB!AG159,KMB!AM159))=3)*(CHOOSE({1,2,3,4},KMB!X159,KMB!AD159,KMB!AJ159,KMB!AP159)))</f>
        <v>0</v>
      </c>
      <c r="D159">
        <f>SUMPRODUCT((MONTH(CHOOSE({1,2,3,4},KMB!U159,KMB!AA159,KMB!AG159,KMB!AM159))=4)*(CHOOSE({1,2,3,4},KMB!X159,KMB!AD159,KMB!AJ159,KMB!AP159)))</f>
        <v>0</v>
      </c>
      <c r="E159">
        <f>SUMPRODUCT((MONTH(CHOOSE({1,2,3,4},KMB!U159,KMB!AA159,KMB!AG159,KMB!AM159))=5)*(CHOOSE({1,2,3,4},KMB!X159,KMB!AD159,KMB!AJ159,KMB!AP159)))</f>
        <v>0</v>
      </c>
      <c r="F159">
        <f>SUMPRODUCT((MONTH(CHOOSE({1,2,3,4},KMB!U159,KMB!AA159,KMB!AG159,KMB!AM159))=6)*(CHOOSE({1,2,3,4},KMB!X159,KMB!AD159,KMB!AJ159,KMB!AP159)))</f>
        <v>0</v>
      </c>
      <c r="G159">
        <f>SUMPRODUCT((MONTH(CHOOSE({1,2,3,4},KMB!U159,KMB!AA159,KMB!AG159,KMB!AM159))=7)*(CHOOSE({1,2,3,4},KMB!X159,KMB!AD159,KMB!AJ159,KMB!AP159)))</f>
        <v>0</v>
      </c>
      <c r="H159">
        <f>SUMPRODUCT((MONTH(CHOOSE({1,2,3,4},KMB!U159,KMB!AA159,KMB!AG159,KMB!AM159))=8)*(CHOOSE({1,2,3,4},KMB!X159,KMB!AD159,KMB!AJ159,KMB!AP159)))</f>
        <v>0</v>
      </c>
      <c r="I159">
        <f>SUMPRODUCT((MONTH(CHOOSE({1,2,3,4},KMB!U159,KMB!AA159,KMB!AG159,KMB!AM159))=9)*(CHOOSE({1,2,3,4},KMB!X159,KMB!AD159,KMB!AJ159,KMB!AP159)))</f>
        <v>0</v>
      </c>
      <c r="J159">
        <f>SUMPRODUCT((MONTH(CHOOSE({1,2,3,4},KMB!U159,KMB!AA159,KMB!AG159,KMB!AM159))=10)*(CHOOSE({1,2,3,4},KMB!X159,KMB!AD159,KMB!AJ159,KMB!AP159)))</f>
        <v>0</v>
      </c>
      <c r="K159">
        <f>SUMPRODUCT((MONTH(CHOOSE({1,2,3,4},KMB!U159,KMB!AA159,KMB!AG159,KMB!AM159))=11)*(CHOOSE({1,2,3,4},KMB!X159,KMB!AD159,KMB!AJ159,KMB!AP159)))</f>
        <v>0</v>
      </c>
      <c r="L159">
        <f>SUMPRODUCT((MONTH(CHOOSE({1,2,3,4},KMB!U159,KMB!AA159,KMB!AG159,KMB!AM159))=12)*(CHOOSE({1,2,3,4},KMB!X159,KMB!AD159,KMB!AJ159,KMB!AP159)))</f>
        <v>0</v>
      </c>
    </row>
    <row r="160" spans="1:12">
      <c r="A160">
        <f>SUMPRODUCT((MONTH(CHOOSE({1,2,3,4},KMB!U160,KMB!AA160,KMB!AG160,KMB!AM160))=1)*(CHOOSE({1,2,3,4},KMB!X160,KMB!AD160,KMB!AJ160,KMB!AP160)))</f>
        <v>0</v>
      </c>
      <c r="B160">
        <f>SUMPRODUCT((MONTH(CHOOSE({1,2,3,4},KMB!U160,KMB!AA160,KMB!AG160,KMB!AM160))=2)*(CHOOSE({1,2,3,4},KMB!X160,KMB!AD160,KMB!AJ160,KMB!AP160)))</f>
        <v>0</v>
      </c>
      <c r="C160">
        <f>SUMPRODUCT((MONTH(CHOOSE({1,2,3,4},KMB!U160,KMB!AA160,KMB!AG160,KMB!AM160))=3)*(CHOOSE({1,2,3,4},KMB!X160,KMB!AD160,KMB!AJ160,KMB!AP160)))</f>
        <v>0</v>
      </c>
      <c r="D160">
        <f>SUMPRODUCT((MONTH(CHOOSE({1,2,3,4},KMB!U160,KMB!AA160,KMB!AG160,KMB!AM160))=4)*(CHOOSE({1,2,3,4},KMB!X160,KMB!AD160,KMB!AJ160,KMB!AP160)))</f>
        <v>0</v>
      </c>
      <c r="E160">
        <f>SUMPRODUCT((MONTH(CHOOSE({1,2,3,4},KMB!U160,KMB!AA160,KMB!AG160,KMB!AM160))=5)*(CHOOSE({1,2,3,4},KMB!X160,KMB!AD160,KMB!AJ160,KMB!AP160)))</f>
        <v>0</v>
      </c>
      <c r="F160">
        <f>SUMPRODUCT((MONTH(CHOOSE({1,2,3,4},KMB!U160,KMB!AA160,KMB!AG160,KMB!AM160))=6)*(CHOOSE({1,2,3,4},KMB!X160,KMB!AD160,KMB!AJ160,KMB!AP160)))</f>
        <v>0</v>
      </c>
      <c r="G160">
        <f>SUMPRODUCT((MONTH(CHOOSE({1,2,3,4},KMB!U160,KMB!AA160,KMB!AG160,KMB!AM160))=7)*(CHOOSE({1,2,3,4},KMB!X160,KMB!AD160,KMB!AJ160,KMB!AP160)))</f>
        <v>0</v>
      </c>
      <c r="H160">
        <f>SUMPRODUCT((MONTH(CHOOSE({1,2,3,4},KMB!U160,KMB!AA160,KMB!AG160,KMB!AM160))=8)*(CHOOSE({1,2,3,4},KMB!X160,KMB!AD160,KMB!AJ160,KMB!AP160)))</f>
        <v>0</v>
      </c>
      <c r="I160">
        <f>SUMPRODUCT((MONTH(CHOOSE({1,2,3,4},KMB!U160,KMB!AA160,KMB!AG160,KMB!AM160))=9)*(CHOOSE({1,2,3,4},KMB!X160,KMB!AD160,KMB!AJ160,KMB!AP160)))</f>
        <v>0</v>
      </c>
      <c r="J160">
        <f>SUMPRODUCT((MONTH(CHOOSE({1,2,3,4},KMB!U160,KMB!AA160,KMB!AG160,KMB!AM160))=10)*(CHOOSE({1,2,3,4},KMB!X160,KMB!AD160,KMB!AJ160,KMB!AP160)))</f>
        <v>0</v>
      </c>
      <c r="K160">
        <f>SUMPRODUCT((MONTH(CHOOSE({1,2,3,4},KMB!U160,KMB!AA160,KMB!AG160,KMB!AM160))=11)*(CHOOSE({1,2,3,4},KMB!X160,KMB!AD160,KMB!AJ160,KMB!AP160)))</f>
        <v>0</v>
      </c>
      <c r="L160">
        <f>SUMPRODUCT((MONTH(CHOOSE({1,2,3,4},KMB!U160,KMB!AA160,KMB!AG160,KMB!AM160))=12)*(CHOOSE({1,2,3,4},KMB!X160,KMB!AD160,KMB!AJ160,KMB!AP160)))</f>
        <v>0</v>
      </c>
    </row>
    <row r="161" spans="1:12">
      <c r="A161">
        <f>SUMPRODUCT((MONTH(CHOOSE({1,2,3,4},KMB!U161,KMB!AA161,KMB!AG161,KMB!AM161))=1)*(CHOOSE({1,2,3,4},KMB!X161,KMB!AD161,KMB!AJ161,KMB!AP161)))</f>
        <v>0</v>
      </c>
      <c r="B161">
        <f>SUMPRODUCT((MONTH(CHOOSE({1,2,3,4},KMB!U161,KMB!AA161,KMB!AG161,KMB!AM161))=2)*(CHOOSE({1,2,3,4},KMB!X161,KMB!AD161,KMB!AJ161,KMB!AP161)))</f>
        <v>0</v>
      </c>
      <c r="C161">
        <f>SUMPRODUCT((MONTH(CHOOSE({1,2,3,4},KMB!U161,KMB!AA161,KMB!AG161,KMB!AM161))=3)*(CHOOSE({1,2,3,4},KMB!X161,KMB!AD161,KMB!AJ161,KMB!AP161)))</f>
        <v>0</v>
      </c>
      <c r="D161">
        <f>SUMPRODUCT((MONTH(CHOOSE({1,2,3,4},KMB!U161,KMB!AA161,KMB!AG161,KMB!AM161))=4)*(CHOOSE({1,2,3,4},KMB!X161,KMB!AD161,KMB!AJ161,KMB!AP161)))</f>
        <v>0</v>
      </c>
      <c r="E161">
        <f>SUMPRODUCT((MONTH(CHOOSE({1,2,3,4},KMB!U161,KMB!AA161,KMB!AG161,KMB!AM161))=5)*(CHOOSE({1,2,3,4},KMB!X161,KMB!AD161,KMB!AJ161,KMB!AP161)))</f>
        <v>0</v>
      </c>
      <c r="F161">
        <f>SUMPRODUCT((MONTH(CHOOSE({1,2,3,4},KMB!U161,KMB!AA161,KMB!AG161,KMB!AM161))=6)*(CHOOSE({1,2,3,4},KMB!X161,KMB!AD161,KMB!AJ161,KMB!AP161)))</f>
        <v>0</v>
      </c>
      <c r="G161">
        <f>SUMPRODUCT((MONTH(CHOOSE({1,2,3,4},KMB!U161,KMB!AA161,KMB!AG161,KMB!AM161))=7)*(CHOOSE({1,2,3,4},KMB!X161,KMB!AD161,KMB!AJ161,KMB!AP161)))</f>
        <v>0</v>
      </c>
      <c r="H161">
        <f>SUMPRODUCT((MONTH(CHOOSE({1,2,3,4},KMB!U161,KMB!AA161,KMB!AG161,KMB!AM161))=8)*(CHOOSE({1,2,3,4},KMB!X161,KMB!AD161,KMB!AJ161,KMB!AP161)))</f>
        <v>0</v>
      </c>
      <c r="I161">
        <f>SUMPRODUCT((MONTH(CHOOSE({1,2,3,4},KMB!U161,KMB!AA161,KMB!AG161,KMB!AM161))=9)*(CHOOSE({1,2,3,4},KMB!X161,KMB!AD161,KMB!AJ161,KMB!AP161)))</f>
        <v>0</v>
      </c>
      <c r="J161">
        <f>SUMPRODUCT((MONTH(CHOOSE({1,2,3,4},KMB!U161,KMB!AA161,KMB!AG161,KMB!AM161))=10)*(CHOOSE({1,2,3,4},KMB!X161,KMB!AD161,KMB!AJ161,KMB!AP161)))</f>
        <v>0</v>
      </c>
      <c r="K161">
        <f>SUMPRODUCT((MONTH(CHOOSE({1,2,3,4},KMB!U161,KMB!AA161,KMB!AG161,KMB!AM161))=11)*(CHOOSE({1,2,3,4},KMB!X161,KMB!AD161,KMB!AJ161,KMB!AP161)))</f>
        <v>0</v>
      </c>
      <c r="L161">
        <f>SUMPRODUCT((MONTH(CHOOSE({1,2,3,4},KMB!U161,KMB!AA161,KMB!AG161,KMB!AM161))=12)*(CHOOSE({1,2,3,4},KMB!X161,KMB!AD161,KMB!AJ161,KMB!AP161)))</f>
        <v>0</v>
      </c>
    </row>
    <row r="162" spans="1:12">
      <c r="A162">
        <f>SUMPRODUCT((MONTH(CHOOSE({1,2,3,4},KMB!U162,KMB!AA162,KMB!AG162,KMB!AM162))=1)*(CHOOSE({1,2,3,4},KMB!X162,KMB!AD162,KMB!AJ162,KMB!AP162)))</f>
        <v>0</v>
      </c>
      <c r="B162">
        <f>SUMPRODUCT((MONTH(CHOOSE({1,2,3,4},KMB!U162,KMB!AA162,KMB!AG162,KMB!AM162))=2)*(CHOOSE({1,2,3,4},KMB!X162,KMB!AD162,KMB!AJ162,KMB!AP162)))</f>
        <v>0</v>
      </c>
      <c r="C162">
        <f>SUMPRODUCT((MONTH(CHOOSE({1,2,3,4},KMB!U162,KMB!AA162,KMB!AG162,KMB!AM162))=3)*(CHOOSE({1,2,3,4},KMB!X162,KMB!AD162,KMB!AJ162,KMB!AP162)))</f>
        <v>0</v>
      </c>
      <c r="D162">
        <f>SUMPRODUCT((MONTH(CHOOSE({1,2,3,4},KMB!U162,KMB!AA162,KMB!AG162,KMB!AM162))=4)*(CHOOSE({1,2,3,4},KMB!X162,KMB!AD162,KMB!AJ162,KMB!AP162)))</f>
        <v>0</v>
      </c>
      <c r="E162">
        <f>SUMPRODUCT((MONTH(CHOOSE({1,2,3,4},KMB!U162,KMB!AA162,KMB!AG162,KMB!AM162))=5)*(CHOOSE({1,2,3,4},KMB!X162,KMB!AD162,KMB!AJ162,KMB!AP162)))</f>
        <v>0</v>
      </c>
      <c r="F162">
        <f>SUMPRODUCT((MONTH(CHOOSE({1,2,3,4},KMB!U162,KMB!AA162,KMB!AG162,KMB!AM162))=6)*(CHOOSE({1,2,3,4},KMB!X162,KMB!AD162,KMB!AJ162,KMB!AP162)))</f>
        <v>0</v>
      </c>
      <c r="G162">
        <f>SUMPRODUCT((MONTH(CHOOSE({1,2,3,4},KMB!U162,KMB!AA162,KMB!AG162,KMB!AM162))=7)*(CHOOSE({1,2,3,4},KMB!X162,KMB!AD162,KMB!AJ162,KMB!AP162)))</f>
        <v>0</v>
      </c>
      <c r="H162">
        <f>SUMPRODUCT((MONTH(CHOOSE({1,2,3,4},KMB!U162,KMB!AA162,KMB!AG162,KMB!AM162))=8)*(CHOOSE({1,2,3,4},KMB!X162,KMB!AD162,KMB!AJ162,KMB!AP162)))</f>
        <v>0</v>
      </c>
      <c r="I162">
        <f>SUMPRODUCT((MONTH(CHOOSE({1,2,3,4},KMB!U162,KMB!AA162,KMB!AG162,KMB!AM162))=9)*(CHOOSE({1,2,3,4},KMB!X162,KMB!AD162,KMB!AJ162,KMB!AP162)))</f>
        <v>0</v>
      </c>
      <c r="J162">
        <f>SUMPRODUCT((MONTH(CHOOSE({1,2,3,4},KMB!U162,KMB!AA162,KMB!AG162,KMB!AM162))=10)*(CHOOSE({1,2,3,4},KMB!X162,KMB!AD162,KMB!AJ162,KMB!AP162)))</f>
        <v>0</v>
      </c>
      <c r="K162">
        <f>SUMPRODUCT((MONTH(CHOOSE({1,2,3,4},KMB!U162,KMB!AA162,KMB!AG162,KMB!AM162))=11)*(CHOOSE({1,2,3,4},KMB!X162,KMB!AD162,KMB!AJ162,KMB!AP162)))</f>
        <v>0</v>
      </c>
      <c r="L162">
        <f>SUMPRODUCT((MONTH(CHOOSE({1,2,3,4},KMB!U162,KMB!AA162,KMB!AG162,KMB!AM162))=12)*(CHOOSE({1,2,3,4},KMB!X162,KMB!AD162,KMB!AJ162,KMB!AP162)))</f>
        <v>0</v>
      </c>
    </row>
    <row r="163" spans="1:12">
      <c r="A163">
        <f>SUMPRODUCT((MONTH(CHOOSE({1,2,3,4},KMB!U163,KMB!AA163,KMB!AG163,KMB!AM163))=1)*(CHOOSE({1,2,3,4},KMB!X163,KMB!AD163,KMB!AJ163,KMB!AP163)))</f>
        <v>0</v>
      </c>
      <c r="B163">
        <f>SUMPRODUCT((MONTH(CHOOSE({1,2,3,4},KMB!U163,KMB!AA163,KMB!AG163,KMB!AM163))=2)*(CHOOSE({1,2,3,4},KMB!X163,KMB!AD163,KMB!AJ163,KMB!AP163)))</f>
        <v>0</v>
      </c>
      <c r="C163">
        <f>SUMPRODUCT((MONTH(CHOOSE({1,2,3,4},KMB!U163,KMB!AA163,KMB!AG163,KMB!AM163))=3)*(CHOOSE({1,2,3,4},KMB!X163,KMB!AD163,KMB!AJ163,KMB!AP163)))</f>
        <v>0</v>
      </c>
      <c r="D163">
        <f>SUMPRODUCT((MONTH(CHOOSE({1,2,3,4},KMB!U163,KMB!AA163,KMB!AG163,KMB!AM163))=4)*(CHOOSE({1,2,3,4},KMB!X163,KMB!AD163,KMB!AJ163,KMB!AP163)))</f>
        <v>0</v>
      </c>
      <c r="E163">
        <f>SUMPRODUCT((MONTH(CHOOSE({1,2,3,4},KMB!U163,KMB!AA163,KMB!AG163,KMB!AM163))=5)*(CHOOSE({1,2,3,4},KMB!X163,KMB!AD163,KMB!AJ163,KMB!AP163)))</f>
        <v>0</v>
      </c>
      <c r="F163">
        <f>SUMPRODUCT((MONTH(CHOOSE({1,2,3,4},KMB!U163,KMB!AA163,KMB!AG163,KMB!AM163))=6)*(CHOOSE({1,2,3,4},KMB!X163,KMB!AD163,KMB!AJ163,KMB!AP163)))</f>
        <v>0</v>
      </c>
      <c r="G163">
        <f>SUMPRODUCT((MONTH(CHOOSE({1,2,3,4},KMB!U163,KMB!AA163,KMB!AG163,KMB!AM163))=7)*(CHOOSE({1,2,3,4},KMB!X163,KMB!AD163,KMB!AJ163,KMB!AP163)))</f>
        <v>0</v>
      </c>
      <c r="H163">
        <f>SUMPRODUCT((MONTH(CHOOSE({1,2,3,4},KMB!U163,KMB!AA163,KMB!AG163,KMB!AM163))=8)*(CHOOSE({1,2,3,4},KMB!X163,KMB!AD163,KMB!AJ163,KMB!AP163)))</f>
        <v>0</v>
      </c>
      <c r="I163">
        <f>SUMPRODUCT((MONTH(CHOOSE({1,2,3,4},KMB!U163,KMB!AA163,KMB!AG163,KMB!AM163))=9)*(CHOOSE({1,2,3,4},KMB!X163,KMB!AD163,KMB!AJ163,KMB!AP163)))</f>
        <v>0</v>
      </c>
      <c r="J163">
        <f>SUMPRODUCT((MONTH(CHOOSE({1,2,3,4},KMB!U163,KMB!AA163,KMB!AG163,KMB!AM163))=10)*(CHOOSE({1,2,3,4},KMB!X163,KMB!AD163,KMB!AJ163,KMB!AP163)))</f>
        <v>0</v>
      </c>
      <c r="K163">
        <f>SUMPRODUCT((MONTH(CHOOSE({1,2,3,4},KMB!U163,KMB!AA163,KMB!AG163,KMB!AM163))=11)*(CHOOSE({1,2,3,4},KMB!X163,KMB!AD163,KMB!AJ163,KMB!AP163)))</f>
        <v>0</v>
      </c>
      <c r="L163">
        <f>SUMPRODUCT((MONTH(CHOOSE({1,2,3,4},KMB!U163,KMB!AA163,KMB!AG163,KMB!AM163))=12)*(CHOOSE({1,2,3,4},KMB!X163,KMB!AD163,KMB!AJ163,KMB!AP163)))</f>
        <v>0</v>
      </c>
    </row>
    <row r="164" spans="1:12">
      <c r="A164">
        <f>SUMPRODUCT((MONTH(CHOOSE({1,2,3,4},KMB!U164,KMB!AA164,KMB!AG164,KMB!AM164))=1)*(CHOOSE({1,2,3,4},KMB!X164,KMB!AD164,KMB!AJ164,KMB!AP164)))</f>
        <v>0</v>
      </c>
      <c r="B164">
        <f>SUMPRODUCT((MONTH(CHOOSE({1,2,3,4},KMB!U164,KMB!AA164,KMB!AG164,KMB!AM164))=2)*(CHOOSE({1,2,3,4},KMB!X164,KMB!AD164,KMB!AJ164,KMB!AP164)))</f>
        <v>0</v>
      </c>
      <c r="C164">
        <f>SUMPRODUCT((MONTH(CHOOSE({1,2,3,4},KMB!U164,KMB!AA164,KMB!AG164,KMB!AM164))=3)*(CHOOSE({1,2,3,4},KMB!X164,KMB!AD164,KMB!AJ164,KMB!AP164)))</f>
        <v>0</v>
      </c>
      <c r="D164">
        <f>SUMPRODUCT((MONTH(CHOOSE({1,2,3,4},KMB!U164,KMB!AA164,KMB!AG164,KMB!AM164))=4)*(CHOOSE({1,2,3,4},KMB!X164,KMB!AD164,KMB!AJ164,KMB!AP164)))</f>
        <v>0</v>
      </c>
      <c r="E164">
        <f>SUMPRODUCT((MONTH(CHOOSE({1,2,3,4},KMB!U164,KMB!AA164,KMB!AG164,KMB!AM164))=5)*(CHOOSE({1,2,3,4},KMB!X164,KMB!AD164,KMB!AJ164,KMB!AP164)))</f>
        <v>0</v>
      </c>
      <c r="F164">
        <f>SUMPRODUCT((MONTH(CHOOSE({1,2,3,4},KMB!U164,KMB!AA164,KMB!AG164,KMB!AM164))=6)*(CHOOSE({1,2,3,4},KMB!X164,KMB!AD164,KMB!AJ164,KMB!AP164)))</f>
        <v>0</v>
      </c>
      <c r="G164">
        <f>SUMPRODUCT((MONTH(CHOOSE({1,2,3,4},KMB!U164,KMB!AA164,KMB!AG164,KMB!AM164))=7)*(CHOOSE({1,2,3,4},KMB!X164,KMB!AD164,KMB!AJ164,KMB!AP164)))</f>
        <v>0</v>
      </c>
      <c r="H164">
        <f>SUMPRODUCT((MONTH(CHOOSE({1,2,3,4},KMB!U164,KMB!AA164,KMB!AG164,KMB!AM164))=8)*(CHOOSE({1,2,3,4},KMB!X164,KMB!AD164,KMB!AJ164,KMB!AP164)))</f>
        <v>0</v>
      </c>
      <c r="I164">
        <f>SUMPRODUCT((MONTH(CHOOSE({1,2,3,4},KMB!U164,KMB!AA164,KMB!AG164,KMB!AM164))=9)*(CHOOSE({1,2,3,4},KMB!X164,KMB!AD164,KMB!AJ164,KMB!AP164)))</f>
        <v>0</v>
      </c>
      <c r="J164">
        <f>SUMPRODUCT((MONTH(CHOOSE({1,2,3,4},KMB!U164,KMB!AA164,KMB!AG164,KMB!AM164))=10)*(CHOOSE({1,2,3,4},KMB!X164,KMB!AD164,KMB!AJ164,KMB!AP164)))</f>
        <v>0</v>
      </c>
      <c r="K164">
        <f>SUMPRODUCT((MONTH(CHOOSE({1,2,3,4},KMB!U164,KMB!AA164,KMB!AG164,KMB!AM164))=11)*(CHOOSE({1,2,3,4},KMB!X164,KMB!AD164,KMB!AJ164,KMB!AP164)))</f>
        <v>0</v>
      </c>
      <c r="L164">
        <f>SUMPRODUCT((MONTH(CHOOSE({1,2,3,4},KMB!U164,KMB!AA164,KMB!AG164,KMB!AM164))=12)*(CHOOSE({1,2,3,4},KMB!X164,KMB!AD164,KMB!AJ164,KMB!AP164)))</f>
        <v>0</v>
      </c>
    </row>
    <row r="165" spans="1:12">
      <c r="A165">
        <f>SUMPRODUCT((MONTH(CHOOSE({1,2,3,4},KMB!U165,KMB!AA165,KMB!AG165,KMB!AM165))=1)*(CHOOSE({1,2,3,4},KMB!X165,KMB!AD165,KMB!AJ165,KMB!AP165)))</f>
        <v>0</v>
      </c>
      <c r="B165">
        <f>SUMPRODUCT((MONTH(CHOOSE({1,2,3,4},KMB!U165,KMB!AA165,KMB!AG165,KMB!AM165))=2)*(CHOOSE({1,2,3,4},KMB!X165,KMB!AD165,KMB!AJ165,KMB!AP165)))</f>
        <v>0</v>
      </c>
      <c r="C165">
        <f>SUMPRODUCT((MONTH(CHOOSE({1,2,3,4},KMB!U165,KMB!AA165,KMB!AG165,KMB!AM165))=3)*(CHOOSE({1,2,3,4},KMB!X165,KMB!AD165,KMB!AJ165,KMB!AP165)))</f>
        <v>0</v>
      </c>
      <c r="D165">
        <f>SUMPRODUCT((MONTH(CHOOSE({1,2,3,4},KMB!U165,KMB!AA165,KMB!AG165,KMB!AM165))=4)*(CHOOSE({1,2,3,4},KMB!X165,KMB!AD165,KMB!AJ165,KMB!AP165)))</f>
        <v>0</v>
      </c>
      <c r="E165">
        <f>SUMPRODUCT((MONTH(CHOOSE({1,2,3,4},KMB!U165,KMB!AA165,KMB!AG165,KMB!AM165))=5)*(CHOOSE({1,2,3,4},KMB!X165,KMB!AD165,KMB!AJ165,KMB!AP165)))</f>
        <v>0</v>
      </c>
      <c r="F165">
        <f>SUMPRODUCT((MONTH(CHOOSE({1,2,3,4},KMB!U165,KMB!AA165,KMB!AG165,KMB!AM165))=6)*(CHOOSE({1,2,3,4},KMB!X165,KMB!AD165,KMB!AJ165,KMB!AP165)))</f>
        <v>0</v>
      </c>
      <c r="G165">
        <f>SUMPRODUCT((MONTH(CHOOSE({1,2,3,4},KMB!U165,KMB!AA165,KMB!AG165,KMB!AM165))=7)*(CHOOSE({1,2,3,4},KMB!X165,KMB!AD165,KMB!AJ165,KMB!AP165)))</f>
        <v>0</v>
      </c>
      <c r="H165">
        <f>SUMPRODUCT((MONTH(CHOOSE({1,2,3,4},KMB!U165,KMB!AA165,KMB!AG165,KMB!AM165))=8)*(CHOOSE({1,2,3,4},KMB!X165,KMB!AD165,KMB!AJ165,KMB!AP165)))</f>
        <v>0</v>
      </c>
      <c r="I165">
        <f>SUMPRODUCT((MONTH(CHOOSE({1,2,3,4},KMB!U165,KMB!AA165,KMB!AG165,KMB!AM165))=9)*(CHOOSE({1,2,3,4},KMB!X165,KMB!AD165,KMB!AJ165,KMB!AP165)))</f>
        <v>0</v>
      </c>
      <c r="J165">
        <f>SUMPRODUCT((MONTH(CHOOSE({1,2,3,4},KMB!U165,KMB!AA165,KMB!AG165,KMB!AM165))=10)*(CHOOSE({1,2,3,4},KMB!X165,KMB!AD165,KMB!AJ165,KMB!AP165)))</f>
        <v>0</v>
      </c>
      <c r="K165">
        <f>SUMPRODUCT((MONTH(CHOOSE({1,2,3,4},KMB!U165,KMB!AA165,KMB!AG165,KMB!AM165))=11)*(CHOOSE({1,2,3,4},KMB!X165,KMB!AD165,KMB!AJ165,KMB!AP165)))</f>
        <v>0</v>
      </c>
      <c r="L165">
        <f>SUMPRODUCT((MONTH(CHOOSE({1,2,3,4},KMB!U165,KMB!AA165,KMB!AG165,KMB!AM165))=12)*(CHOOSE({1,2,3,4},KMB!X165,KMB!AD165,KMB!AJ165,KMB!AP165)))</f>
        <v>0</v>
      </c>
    </row>
    <row r="166" spans="1:12">
      <c r="A166">
        <f>SUMPRODUCT((MONTH(CHOOSE({1,2,3,4},KMB!U166,KMB!AA166,KMB!AG166,KMB!AM166))=1)*(CHOOSE({1,2,3,4},KMB!X166,KMB!AD166,KMB!AJ166,KMB!AP166)))</f>
        <v>0</v>
      </c>
      <c r="B166">
        <f>SUMPRODUCT((MONTH(CHOOSE({1,2,3,4},KMB!U166,KMB!AA166,KMB!AG166,KMB!AM166))=2)*(CHOOSE({1,2,3,4},KMB!X166,KMB!AD166,KMB!AJ166,KMB!AP166)))</f>
        <v>0</v>
      </c>
      <c r="C166">
        <f>SUMPRODUCT((MONTH(CHOOSE({1,2,3,4},KMB!U166,KMB!AA166,KMB!AG166,KMB!AM166))=3)*(CHOOSE({1,2,3,4},KMB!X166,KMB!AD166,KMB!AJ166,KMB!AP166)))</f>
        <v>0</v>
      </c>
      <c r="D166">
        <f>SUMPRODUCT((MONTH(CHOOSE({1,2,3,4},KMB!U166,KMB!AA166,KMB!AG166,KMB!AM166))=4)*(CHOOSE({1,2,3,4},KMB!X166,KMB!AD166,KMB!AJ166,KMB!AP166)))</f>
        <v>0</v>
      </c>
      <c r="E166">
        <f>SUMPRODUCT((MONTH(CHOOSE({1,2,3,4},KMB!U166,KMB!AA166,KMB!AG166,KMB!AM166))=5)*(CHOOSE({1,2,3,4},KMB!X166,KMB!AD166,KMB!AJ166,KMB!AP166)))</f>
        <v>0</v>
      </c>
      <c r="F166">
        <f>SUMPRODUCT((MONTH(CHOOSE({1,2,3,4},KMB!U166,KMB!AA166,KMB!AG166,KMB!AM166))=6)*(CHOOSE({1,2,3,4},KMB!X166,KMB!AD166,KMB!AJ166,KMB!AP166)))</f>
        <v>0</v>
      </c>
      <c r="G166">
        <f>SUMPRODUCT((MONTH(CHOOSE({1,2,3,4},KMB!U166,KMB!AA166,KMB!AG166,KMB!AM166))=7)*(CHOOSE({1,2,3,4},KMB!X166,KMB!AD166,KMB!AJ166,KMB!AP166)))</f>
        <v>0</v>
      </c>
      <c r="H166">
        <f>SUMPRODUCT((MONTH(CHOOSE({1,2,3,4},KMB!U166,KMB!AA166,KMB!AG166,KMB!AM166))=8)*(CHOOSE({1,2,3,4},KMB!X166,KMB!AD166,KMB!AJ166,KMB!AP166)))</f>
        <v>0</v>
      </c>
      <c r="I166">
        <f>SUMPRODUCT((MONTH(CHOOSE({1,2,3,4},KMB!U166,KMB!AA166,KMB!AG166,KMB!AM166))=9)*(CHOOSE({1,2,3,4},KMB!X166,KMB!AD166,KMB!AJ166,KMB!AP166)))</f>
        <v>0</v>
      </c>
      <c r="J166">
        <f>SUMPRODUCT((MONTH(CHOOSE({1,2,3,4},KMB!U166,KMB!AA166,KMB!AG166,KMB!AM166))=10)*(CHOOSE({1,2,3,4},KMB!X166,KMB!AD166,KMB!AJ166,KMB!AP166)))</f>
        <v>0</v>
      </c>
      <c r="K166">
        <f>SUMPRODUCT((MONTH(CHOOSE({1,2,3,4},KMB!U166,KMB!AA166,KMB!AG166,KMB!AM166))=11)*(CHOOSE({1,2,3,4},KMB!X166,KMB!AD166,KMB!AJ166,KMB!AP166)))</f>
        <v>0</v>
      </c>
      <c r="L166">
        <f>SUMPRODUCT((MONTH(CHOOSE({1,2,3,4},KMB!U166,KMB!AA166,KMB!AG166,KMB!AM166))=12)*(CHOOSE({1,2,3,4},KMB!X166,KMB!AD166,KMB!AJ166,KMB!AP166)))</f>
        <v>0</v>
      </c>
    </row>
    <row r="167" spans="1:12">
      <c r="A167">
        <f>SUMPRODUCT((MONTH(CHOOSE({1,2,3,4},KMB!U167,KMB!AA167,KMB!AG167,KMB!AM167))=1)*(CHOOSE({1,2,3,4},KMB!X167,KMB!AD167,KMB!AJ167,KMB!AP167)))</f>
        <v>0</v>
      </c>
      <c r="B167">
        <f>SUMPRODUCT((MONTH(CHOOSE({1,2,3,4},KMB!U167,KMB!AA167,KMB!AG167,KMB!AM167))=2)*(CHOOSE({1,2,3,4},KMB!X167,KMB!AD167,KMB!AJ167,KMB!AP167)))</f>
        <v>0</v>
      </c>
      <c r="C167">
        <f>SUMPRODUCT((MONTH(CHOOSE({1,2,3,4},KMB!U167,KMB!AA167,KMB!AG167,KMB!AM167))=3)*(CHOOSE({1,2,3,4},KMB!X167,KMB!AD167,KMB!AJ167,KMB!AP167)))</f>
        <v>0</v>
      </c>
      <c r="D167">
        <f>SUMPRODUCT((MONTH(CHOOSE({1,2,3,4},KMB!U167,KMB!AA167,KMB!AG167,KMB!AM167))=4)*(CHOOSE({1,2,3,4},KMB!X167,KMB!AD167,KMB!AJ167,KMB!AP167)))</f>
        <v>0</v>
      </c>
      <c r="E167">
        <f>SUMPRODUCT((MONTH(CHOOSE({1,2,3,4},KMB!U167,KMB!AA167,KMB!AG167,KMB!AM167))=5)*(CHOOSE({1,2,3,4},KMB!X167,KMB!AD167,KMB!AJ167,KMB!AP167)))</f>
        <v>0</v>
      </c>
      <c r="F167">
        <f>SUMPRODUCT((MONTH(CHOOSE({1,2,3,4},KMB!U167,KMB!AA167,KMB!AG167,KMB!AM167))=6)*(CHOOSE({1,2,3,4},KMB!X167,KMB!AD167,KMB!AJ167,KMB!AP167)))</f>
        <v>0</v>
      </c>
      <c r="G167">
        <f>SUMPRODUCT((MONTH(CHOOSE({1,2,3,4},KMB!U167,KMB!AA167,KMB!AG167,KMB!AM167))=7)*(CHOOSE({1,2,3,4},KMB!X167,KMB!AD167,KMB!AJ167,KMB!AP167)))</f>
        <v>0</v>
      </c>
      <c r="H167">
        <f>SUMPRODUCT((MONTH(CHOOSE({1,2,3,4},KMB!U167,KMB!AA167,KMB!AG167,KMB!AM167))=8)*(CHOOSE({1,2,3,4},KMB!X167,KMB!AD167,KMB!AJ167,KMB!AP167)))</f>
        <v>0</v>
      </c>
      <c r="I167">
        <f>SUMPRODUCT((MONTH(CHOOSE({1,2,3,4},KMB!U167,KMB!AA167,KMB!AG167,KMB!AM167))=9)*(CHOOSE({1,2,3,4},KMB!X167,KMB!AD167,KMB!AJ167,KMB!AP167)))</f>
        <v>0</v>
      </c>
      <c r="J167">
        <f>SUMPRODUCT((MONTH(CHOOSE({1,2,3,4},KMB!U167,KMB!AA167,KMB!AG167,KMB!AM167))=10)*(CHOOSE({1,2,3,4},KMB!X167,KMB!AD167,KMB!AJ167,KMB!AP167)))</f>
        <v>0</v>
      </c>
      <c r="K167">
        <f>SUMPRODUCT((MONTH(CHOOSE({1,2,3,4},KMB!U167,KMB!AA167,KMB!AG167,KMB!AM167))=11)*(CHOOSE({1,2,3,4},KMB!X167,KMB!AD167,KMB!AJ167,KMB!AP167)))</f>
        <v>0</v>
      </c>
      <c r="L167">
        <f>SUMPRODUCT((MONTH(CHOOSE({1,2,3,4},KMB!U167,KMB!AA167,KMB!AG167,KMB!AM167))=12)*(CHOOSE({1,2,3,4},KMB!X167,KMB!AD167,KMB!AJ167,KMB!AP167)))</f>
        <v>0</v>
      </c>
    </row>
    <row r="168" spans="1:12">
      <c r="A168">
        <f>SUMPRODUCT((MONTH(CHOOSE({1,2,3,4},KMB!U168,KMB!AA168,KMB!AG168,KMB!AM168))=1)*(CHOOSE({1,2,3,4},KMB!X168,KMB!AD168,KMB!AJ168,KMB!AP168)))</f>
        <v>0</v>
      </c>
      <c r="B168">
        <f>SUMPRODUCT((MONTH(CHOOSE({1,2,3,4},KMB!U168,KMB!AA168,KMB!AG168,KMB!AM168))=2)*(CHOOSE({1,2,3,4},KMB!X168,KMB!AD168,KMB!AJ168,KMB!AP168)))</f>
        <v>0</v>
      </c>
      <c r="C168">
        <f>SUMPRODUCT((MONTH(CHOOSE({1,2,3,4},KMB!U168,KMB!AA168,KMB!AG168,KMB!AM168))=3)*(CHOOSE({1,2,3,4},KMB!X168,KMB!AD168,KMB!AJ168,KMB!AP168)))</f>
        <v>0</v>
      </c>
      <c r="D168">
        <f>SUMPRODUCT((MONTH(CHOOSE({1,2,3,4},KMB!U168,KMB!AA168,KMB!AG168,KMB!AM168))=4)*(CHOOSE({1,2,3,4},KMB!X168,KMB!AD168,KMB!AJ168,KMB!AP168)))</f>
        <v>0</v>
      </c>
      <c r="E168">
        <f>SUMPRODUCT((MONTH(CHOOSE({1,2,3,4},KMB!U168,KMB!AA168,KMB!AG168,KMB!AM168))=5)*(CHOOSE({1,2,3,4},KMB!X168,KMB!AD168,KMB!AJ168,KMB!AP168)))</f>
        <v>0</v>
      </c>
      <c r="F168">
        <f>SUMPRODUCT((MONTH(CHOOSE({1,2,3,4},KMB!U168,KMB!AA168,KMB!AG168,KMB!AM168))=6)*(CHOOSE({1,2,3,4},KMB!X168,KMB!AD168,KMB!AJ168,KMB!AP168)))</f>
        <v>0</v>
      </c>
      <c r="G168">
        <f>SUMPRODUCT((MONTH(CHOOSE({1,2,3,4},KMB!U168,KMB!AA168,KMB!AG168,KMB!AM168))=7)*(CHOOSE({1,2,3,4},KMB!X168,KMB!AD168,KMB!AJ168,KMB!AP168)))</f>
        <v>0</v>
      </c>
      <c r="H168">
        <f>SUMPRODUCT((MONTH(CHOOSE({1,2,3,4},KMB!U168,KMB!AA168,KMB!AG168,KMB!AM168))=8)*(CHOOSE({1,2,3,4},KMB!X168,KMB!AD168,KMB!AJ168,KMB!AP168)))</f>
        <v>0</v>
      </c>
      <c r="I168">
        <f>SUMPRODUCT((MONTH(CHOOSE({1,2,3,4},KMB!U168,KMB!AA168,KMB!AG168,KMB!AM168))=9)*(CHOOSE({1,2,3,4},KMB!X168,KMB!AD168,KMB!AJ168,KMB!AP168)))</f>
        <v>0</v>
      </c>
      <c r="J168">
        <f>SUMPRODUCT((MONTH(CHOOSE({1,2,3,4},KMB!U168,KMB!AA168,KMB!AG168,KMB!AM168))=10)*(CHOOSE({1,2,3,4},KMB!X168,KMB!AD168,KMB!AJ168,KMB!AP168)))</f>
        <v>0</v>
      </c>
      <c r="K168">
        <f>SUMPRODUCT((MONTH(CHOOSE({1,2,3,4},KMB!U168,KMB!AA168,KMB!AG168,KMB!AM168))=11)*(CHOOSE({1,2,3,4},KMB!X168,KMB!AD168,KMB!AJ168,KMB!AP168)))</f>
        <v>0</v>
      </c>
      <c r="L168">
        <f>SUMPRODUCT((MONTH(CHOOSE({1,2,3,4},KMB!U168,KMB!AA168,KMB!AG168,KMB!AM168))=12)*(CHOOSE({1,2,3,4},KMB!X168,KMB!AD168,KMB!AJ168,KMB!AP168)))</f>
        <v>0</v>
      </c>
    </row>
    <row r="169" spans="1:12">
      <c r="A169">
        <f>SUMPRODUCT((MONTH(CHOOSE({1,2,3,4},KMB!U169,KMB!AA169,KMB!AG169,KMB!AM169))=1)*(CHOOSE({1,2,3,4},KMB!X169,KMB!AD169,KMB!AJ169,KMB!AP169)))</f>
        <v>0</v>
      </c>
      <c r="B169">
        <f>SUMPRODUCT((MONTH(CHOOSE({1,2,3,4},KMB!U169,KMB!AA169,KMB!AG169,KMB!AM169))=2)*(CHOOSE({1,2,3,4},KMB!X169,KMB!AD169,KMB!AJ169,KMB!AP169)))</f>
        <v>0</v>
      </c>
      <c r="C169">
        <f>SUMPRODUCT((MONTH(CHOOSE({1,2,3,4},KMB!U169,KMB!AA169,KMB!AG169,KMB!AM169))=3)*(CHOOSE({1,2,3,4},KMB!X169,KMB!AD169,KMB!AJ169,KMB!AP169)))</f>
        <v>0</v>
      </c>
      <c r="D169">
        <f>SUMPRODUCT((MONTH(CHOOSE({1,2,3,4},KMB!U169,KMB!AA169,KMB!AG169,KMB!AM169))=4)*(CHOOSE({1,2,3,4},KMB!X169,KMB!AD169,KMB!AJ169,KMB!AP169)))</f>
        <v>0</v>
      </c>
      <c r="E169">
        <f>SUMPRODUCT((MONTH(CHOOSE({1,2,3,4},KMB!U169,KMB!AA169,KMB!AG169,KMB!AM169))=5)*(CHOOSE({1,2,3,4},KMB!X169,KMB!AD169,KMB!AJ169,KMB!AP169)))</f>
        <v>0</v>
      </c>
      <c r="F169">
        <f>SUMPRODUCT((MONTH(CHOOSE({1,2,3,4},KMB!U169,KMB!AA169,KMB!AG169,KMB!AM169))=6)*(CHOOSE({1,2,3,4},KMB!X169,KMB!AD169,KMB!AJ169,KMB!AP169)))</f>
        <v>0</v>
      </c>
      <c r="G169">
        <f>SUMPRODUCT((MONTH(CHOOSE({1,2,3,4},KMB!U169,KMB!AA169,KMB!AG169,KMB!AM169))=7)*(CHOOSE({1,2,3,4},KMB!X169,KMB!AD169,KMB!AJ169,KMB!AP169)))</f>
        <v>0</v>
      </c>
      <c r="H169">
        <f>SUMPRODUCT((MONTH(CHOOSE({1,2,3,4},KMB!U169,KMB!AA169,KMB!AG169,KMB!AM169))=8)*(CHOOSE({1,2,3,4},KMB!X169,KMB!AD169,KMB!AJ169,KMB!AP169)))</f>
        <v>0</v>
      </c>
      <c r="I169">
        <f>SUMPRODUCT((MONTH(CHOOSE({1,2,3,4},KMB!U169,KMB!AA169,KMB!AG169,KMB!AM169))=9)*(CHOOSE({1,2,3,4},KMB!X169,KMB!AD169,KMB!AJ169,KMB!AP169)))</f>
        <v>0</v>
      </c>
      <c r="J169">
        <f>SUMPRODUCT((MONTH(CHOOSE({1,2,3,4},KMB!U169,KMB!AA169,KMB!AG169,KMB!AM169))=10)*(CHOOSE({1,2,3,4},KMB!X169,KMB!AD169,KMB!AJ169,KMB!AP169)))</f>
        <v>0</v>
      </c>
      <c r="K169">
        <f>SUMPRODUCT((MONTH(CHOOSE({1,2,3,4},KMB!U169,KMB!AA169,KMB!AG169,KMB!AM169))=11)*(CHOOSE({1,2,3,4},KMB!X169,KMB!AD169,KMB!AJ169,KMB!AP169)))</f>
        <v>0</v>
      </c>
      <c r="L169">
        <f>SUMPRODUCT((MONTH(CHOOSE({1,2,3,4},KMB!U169,KMB!AA169,KMB!AG169,KMB!AM169))=12)*(CHOOSE({1,2,3,4},KMB!X169,KMB!AD169,KMB!AJ169,KMB!AP169)))</f>
        <v>0</v>
      </c>
    </row>
    <row r="170" spans="1:12">
      <c r="A170">
        <f>SUMPRODUCT((MONTH(CHOOSE({1,2,3,4},KMB!U170,KMB!AA170,KMB!AG170,KMB!AM170))=1)*(CHOOSE({1,2,3,4},KMB!X170,KMB!AD170,KMB!AJ170,KMB!AP170)))</f>
        <v>0</v>
      </c>
      <c r="B170">
        <f>SUMPRODUCT((MONTH(CHOOSE({1,2,3,4},KMB!U170,KMB!AA170,KMB!AG170,KMB!AM170))=2)*(CHOOSE({1,2,3,4},KMB!X170,KMB!AD170,KMB!AJ170,KMB!AP170)))</f>
        <v>0</v>
      </c>
      <c r="C170">
        <f>SUMPRODUCT((MONTH(CHOOSE({1,2,3,4},KMB!U170,KMB!AA170,KMB!AG170,KMB!AM170))=3)*(CHOOSE({1,2,3,4},KMB!X170,KMB!AD170,KMB!AJ170,KMB!AP170)))</f>
        <v>0</v>
      </c>
      <c r="D170">
        <f>SUMPRODUCT((MONTH(CHOOSE({1,2,3,4},KMB!U170,KMB!AA170,KMB!AG170,KMB!AM170))=4)*(CHOOSE({1,2,3,4},KMB!X170,KMB!AD170,KMB!AJ170,KMB!AP170)))</f>
        <v>0</v>
      </c>
      <c r="E170">
        <f>SUMPRODUCT((MONTH(CHOOSE({1,2,3,4},KMB!U170,KMB!AA170,KMB!AG170,KMB!AM170))=5)*(CHOOSE({1,2,3,4},KMB!X170,KMB!AD170,KMB!AJ170,KMB!AP170)))</f>
        <v>0</v>
      </c>
      <c r="F170">
        <f>SUMPRODUCT((MONTH(CHOOSE({1,2,3,4},KMB!U170,KMB!AA170,KMB!AG170,KMB!AM170))=6)*(CHOOSE({1,2,3,4},KMB!X170,KMB!AD170,KMB!AJ170,KMB!AP170)))</f>
        <v>0</v>
      </c>
      <c r="G170">
        <f>SUMPRODUCT((MONTH(CHOOSE({1,2,3,4},KMB!U170,KMB!AA170,KMB!AG170,KMB!AM170))=7)*(CHOOSE({1,2,3,4},KMB!X170,KMB!AD170,KMB!AJ170,KMB!AP170)))</f>
        <v>0</v>
      </c>
      <c r="H170">
        <f>SUMPRODUCT((MONTH(CHOOSE({1,2,3,4},KMB!U170,KMB!AA170,KMB!AG170,KMB!AM170))=8)*(CHOOSE({1,2,3,4},KMB!X170,KMB!AD170,KMB!AJ170,KMB!AP170)))</f>
        <v>0</v>
      </c>
      <c r="I170">
        <f>SUMPRODUCT((MONTH(CHOOSE({1,2,3,4},KMB!U170,KMB!AA170,KMB!AG170,KMB!AM170))=9)*(CHOOSE({1,2,3,4},KMB!X170,KMB!AD170,KMB!AJ170,KMB!AP170)))</f>
        <v>0</v>
      </c>
      <c r="J170">
        <f>SUMPRODUCT((MONTH(CHOOSE({1,2,3,4},KMB!U170,KMB!AA170,KMB!AG170,KMB!AM170))=10)*(CHOOSE({1,2,3,4},KMB!X170,KMB!AD170,KMB!AJ170,KMB!AP170)))</f>
        <v>0</v>
      </c>
      <c r="K170">
        <f>SUMPRODUCT((MONTH(CHOOSE({1,2,3,4},KMB!U170,KMB!AA170,KMB!AG170,KMB!AM170))=11)*(CHOOSE({1,2,3,4},KMB!X170,KMB!AD170,KMB!AJ170,KMB!AP170)))</f>
        <v>0</v>
      </c>
      <c r="L170">
        <f>SUMPRODUCT((MONTH(CHOOSE({1,2,3,4},KMB!U170,KMB!AA170,KMB!AG170,KMB!AM170))=12)*(CHOOSE({1,2,3,4},KMB!X170,KMB!AD170,KMB!AJ170,KMB!AP170)))</f>
        <v>0</v>
      </c>
    </row>
    <row r="171" spans="1:12">
      <c r="A171">
        <f>SUMPRODUCT((MONTH(CHOOSE({1,2,3,4},KMB!U171,KMB!AA171,KMB!AG171,KMB!AM171))=1)*(CHOOSE({1,2,3,4},KMB!X171,KMB!AD171,KMB!AJ171,KMB!AP171)))</f>
        <v>0</v>
      </c>
      <c r="B171">
        <f>SUMPRODUCT((MONTH(CHOOSE({1,2,3,4},KMB!U171,KMB!AA171,KMB!AG171,KMB!AM171))=2)*(CHOOSE({1,2,3,4},KMB!X171,KMB!AD171,KMB!AJ171,KMB!AP171)))</f>
        <v>0</v>
      </c>
      <c r="C171">
        <f>SUMPRODUCT((MONTH(CHOOSE({1,2,3,4},KMB!U171,KMB!AA171,KMB!AG171,KMB!AM171))=3)*(CHOOSE({1,2,3,4},KMB!X171,KMB!AD171,KMB!AJ171,KMB!AP171)))</f>
        <v>0</v>
      </c>
      <c r="D171">
        <f>SUMPRODUCT((MONTH(CHOOSE({1,2,3,4},KMB!U171,KMB!AA171,KMB!AG171,KMB!AM171))=4)*(CHOOSE({1,2,3,4},KMB!X171,KMB!AD171,KMB!AJ171,KMB!AP171)))</f>
        <v>0</v>
      </c>
      <c r="E171">
        <f>SUMPRODUCT((MONTH(CHOOSE({1,2,3,4},KMB!U171,KMB!AA171,KMB!AG171,KMB!AM171))=5)*(CHOOSE({1,2,3,4},KMB!X171,KMB!AD171,KMB!AJ171,KMB!AP171)))</f>
        <v>0</v>
      </c>
      <c r="F171">
        <f>SUMPRODUCT((MONTH(CHOOSE({1,2,3,4},KMB!U171,KMB!AA171,KMB!AG171,KMB!AM171))=6)*(CHOOSE({1,2,3,4},KMB!X171,KMB!AD171,KMB!AJ171,KMB!AP171)))</f>
        <v>0</v>
      </c>
      <c r="G171">
        <f>SUMPRODUCT((MONTH(CHOOSE({1,2,3,4},KMB!U171,KMB!AA171,KMB!AG171,KMB!AM171))=7)*(CHOOSE({1,2,3,4},KMB!X171,KMB!AD171,KMB!AJ171,KMB!AP171)))</f>
        <v>0</v>
      </c>
      <c r="H171">
        <f>SUMPRODUCT((MONTH(CHOOSE({1,2,3,4},KMB!U171,KMB!AA171,KMB!AG171,KMB!AM171))=8)*(CHOOSE({1,2,3,4},KMB!X171,KMB!AD171,KMB!AJ171,KMB!AP171)))</f>
        <v>0</v>
      </c>
      <c r="I171">
        <f>SUMPRODUCT((MONTH(CHOOSE({1,2,3,4},KMB!U171,KMB!AA171,KMB!AG171,KMB!AM171))=9)*(CHOOSE({1,2,3,4},KMB!X171,KMB!AD171,KMB!AJ171,KMB!AP171)))</f>
        <v>0</v>
      </c>
      <c r="J171">
        <f>SUMPRODUCT((MONTH(CHOOSE({1,2,3,4},KMB!U171,KMB!AA171,KMB!AG171,KMB!AM171))=10)*(CHOOSE({1,2,3,4},KMB!X171,KMB!AD171,KMB!AJ171,KMB!AP171)))</f>
        <v>0</v>
      </c>
      <c r="K171">
        <f>SUMPRODUCT((MONTH(CHOOSE({1,2,3,4},KMB!U171,KMB!AA171,KMB!AG171,KMB!AM171))=11)*(CHOOSE({1,2,3,4},KMB!X171,KMB!AD171,KMB!AJ171,KMB!AP171)))</f>
        <v>0</v>
      </c>
      <c r="L171">
        <f>SUMPRODUCT((MONTH(CHOOSE({1,2,3,4},KMB!U171,KMB!AA171,KMB!AG171,KMB!AM171))=12)*(CHOOSE({1,2,3,4},KMB!X171,KMB!AD171,KMB!AJ171,KMB!AP171)))</f>
        <v>0</v>
      </c>
    </row>
    <row r="172" spans="1:12">
      <c r="A172">
        <f>SUMPRODUCT((MONTH(CHOOSE({1,2,3,4},KMB!U172,KMB!AA172,KMB!AG172,KMB!AM172))=1)*(CHOOSE({1,2,3,4},KMB!X172,KMB!AD172,KMB!AJ172,KMB!AP172)))</f>
        <v>0</v>
      </c>
      <c r="B172">
        <f>SUMPRODUCT((MONTH(CHOOSE({1,2,3,4},KMB!U172,KMB!AA172,KMB!AG172,KMB!AM172))=2)*(CHOOSE({1,2,3,4},KMB!X172,KMB!AD172,KMB!AJ172,KMB!AP172)))</f>
        <v>0</v>
      </c>
      <c r="C172">
        <f>SUMPRODUCT((MONTH(CHOOSE({1,2,3,4},KMB!U172,KMB!AA172,KMB!AG172,KMB!AM172))=3)*(CHOOSE({1,2,3,4},KMB!X172,KMB!AD172,KMB!AJ172,KMB!AP172)))</f>
        <v>0</v>
      </c>
      <c r="D172">
        <f>SUMPRODUCT((MONTH(CHOOSE({1,2,3,4},KMB!U172,KMB!AA172,KMB!AG172,KMB!AM172))=4)*(CHOOSE({1,2,3,4},KMB!X172,KMB!AD172,KMB!AJ172,KMB!AP172)))</f>
        <v>0</v>
      </c>
      <c r="E172">
        <f>SUMPRODUCT((MONTH(CHOOSE({1,2,3,4},KMB!U172,KMB!AA172,KMB!AG172,KMB!AM172))=5)*(CHOOSE({1,2,3,4},KMB!X172,KMB!AD172,KMB!AJ172,KMB!AP172)))</f>
        <v>0</v>
      </c>
      <c r="F172">
        <f>SUMPRODUCT((MONTH(CHOOSE({1,2,3,4},KMB!U172,KMB!AA172,KMB!AG172,KMB!AM172))=6)*(CHOOSE({1,2,3,4},KMB!X172,KMB!AD172,KMB!AJ172,KMB!AP172)))</f>
        <v>0</v>
      </c>
      <c r="G172">
        <f>SUMPRODUCT((MONTH(CHOOSE({1,2,3,4},KMB!U172,KMB!AA172,KMB!AG172,KMB!AM172))=7)*(CHOOSE({1,2,3,4},KMB!X172,KMB!AD172,KMB!AJ172,KMB!AP172)))</f>
        <v>0</v>
      </c>
      <c r="H172">
        <f>SUMPRODUCT((MONTH(CHOOSE({1,2,3,4},KMB!U172,KMB!AA172,KMB!AG172,KMB!AM172))=8)*(CHOOSE({1,2,3,4},KMB!X172,KMB!AD172,KMB!AJ172,KMB!AP172)))</f>
        <v>0</v>
      </c>
      <c r="I172">
        <f>SUMPRODUCT((MONTH(CHOOSE({1,2,3,4},KMB!U172,KMB!AA172,KMB!AG172,KMB!AM172))=9)*(CHOOSE({1,2,3,4},KMB!X172,KMB!AD172,KMB!AJ172,KMB!AP172)))</f>
        <v>0</v>
      </c>
      <c r="J172">
        <f>SUMPRODUCT((MONTH(CHOOSE({1,2,3,4},KMB!U172,KMB!AA172,KMB!AG172,KMB!AM172))=10)*(CHOOSE({1,2,3,4},KMB!X172,KMB!AD172,KMB!AJ172,KMB!AP172)))</f>
        <v>0</v>
      </c>
      <c r="K172">
        <f>SUMPRODUCT((MONTH(CHOOSE({1,2,3,4},KMB!U172,KMB!AA172,KMB!AG172,KMB!AM172))=11)*(CHOOSE({1,2,3,4},KMB!X172,KMB!AD172,KMB!AJ172,KMB!AP172)))</f>
        <v>0</v>
      </c>
      <c r="L172">
        <f>SUMPRODUCT((MONTH(CHOOSE({1,2,3,4},KMB!U172,KMB!AA172,KMB!AG172,KMB!AM172))=12)*(CHOOSE({1,2,3,4},KMB!X172,KMB!AD172,KMB!AJ172,KMB!AP172)))</f>
        <v>0</v>
      </c>
    </row>
    <row r="173" spans="1:12">
      <c r="A173">
        <f>SUMPRODUCT((MONTH(CHOOSE({1,2,3,4},KMB!U173,KMB!AA173,KMB!AG173,KMB!AM173))=1)*(CHOOSE({1,2,3,4},KMB!X173,KMB!AD173,KMB!AJ173,KMB!AP173)))</f>
        <v>0</v>
      </c>
      <c r="B173">
        <f>SUMPRODUCT((MONTH(CHOOSE({1,2,3,4},KMB!U173,KMB!AA173,KMB!AG173,KMB!AM173))=2)*(CHOOSE({1,2,3,4},KMB!X173,KMB!AD173,KMB!AJ173,KMB!AP173)))</f>
        <v>0</v>
      </c>
      <c r="C173">
        <f>SUMPRODUCT((MONTH(CHOOSE({1,2,3,4},KMB!U173,KMB!AA173,KMB!AG173,KMB!AM173))=3)*(CHOOSE({1,2,3,4},KMB!X173,KMB!AD173,KMB!AJ173,KMB!AP173)))</f>
        <v>0</v>
      </c>
      <c r="D173">
        <f>SUMPRODUCT((MONTH(CHOOSE({1,2,3,4},KMB!U173,KMB!AA173,KMB!AG173,KMB!AM173))=4)*(CHOOSE({1,2,3,4},KMB!X173,KMB!AD173,KMB!AJ173,KMB!AP173)))</f>
        <v>0</v>
      </c>
      <c r="E173">
        <f>SUMPRODUCT((MONTH(CHOOSE({1,2,3,4},KMB!U173,KMB!AA173,KMB!AG173,KMB!AM173))=5)*(CHOOSE({1,2,3,4},KMB!X173,KMB!AD173,KMB!AJ173,KMB!AP173)))</f>
        <v>0</v>
      </c>
      <c r="F173">
        <f>SUMPRODUCT((MONTH(CHOOSE({1,2,3,4},KMB!U173,KMB!AA173,KMB!AG173,KMB!AM173))=6)*(CHOOSE({1,2,3,4},KMB!X173,KMB!AD173,KMB!AJ173,KMB!AP173)))</f>
        <v>0</v>
      </c>
      <c r="G173">
        <f>SUMPRODUCT((MONTH(CHOOSE({1,2,3,4},KMB!U173,KMB!AA173,KMB!AG173,KMB!AM173))=7)*(CHOOSE({1,2,3,4},KMB!X173,KMB!AD173,KMB!AJ173,KMB!AP173)))</f>
        <v>0</v>
      </c>
      <c r="H173">
        <f>SUMPRODUCT((MONTH(CHOOSE({1,2,3,4},KMB!U173,KMB!AA173,KMB!AG173,KMB!AM173))=8)*(CHOOSE({1,2,3,4},KMB!X173,KMB!AD173,KMB!AJ173,KMB!AP173)))</f>
        <v>0</v>
      </c>
      <c r="I173">
        <f>SUMPRODUCT((MONTH(CHOOSE({1,2,3,4},KMB!U173,KMB!AA173,KMB!AG173,KMB!AM173))=9)*(CHOOSE({1,2,3,4},KMB!X173,KMB!AD173,KMB!AJ173,KMB!AP173)))</f>
        <v>0</v>
      </c>
      <c r="J173">
        <f>SUMPRODUCT((MONTH(CHOOSE({1,2,3,4},KMB!U173,KMB!AA173,KMB!AG173,KMB!AM173))=10)*(CHOOSE({1,2,3,4},KMB!X173,KMB!AD173,KMB!AJ173,KMB!AP173)))</f>
        <v>0</v>
      </c>
      <c r="K173">
        <f>SUMPRODUCT((MONTH(CHOOSE({1,2,3,4},KMB!U173,KMB!AA173,KMB!AG173,KMB!AM173))=11)*(CHOOSE({1,2,3,4},KMB!X173,KMB!AD173,KMB!AJ173,KMB!AP173)))</f>
        <v>0</v>
      </c>
      <c r="L173">
        <f>SUMPRODUCT((MONTH(CHOOSE({1,2,3,4},KMB!U173,KMB!AA173,KMB!AG173,KMB!AM173))=12)*(CHOOSE({1,2,3,4},KMB!X173,KMB!AD173,KMB!AJ173,KMB!AP173)))</f>
        <v>0</v>
      </c>
    </row>
    <row r="174" spans="1:12">
      <c r="A174">
        <f>SUMPRODUCT((MONTH(CHOOSE({1,2,3,4},KMB!U174,KMB!AA174,KMB!AG174,KMB!AM174))=1)*(CHOOSE({1,2,3,4},KMB!X174,KMB!AD174,KMB!AJ174,KMB!AP174)))</f>
        <v>0</v>
      </c>
      <c r="B174">
        <f>SUMPRODUCT((MONTH(CHOOSE({1,2,3,4},KMB!U174,KMB!AA174,KMB!AG174,KMB!AM174))=2)*(CHOOSE({1,2,3,4},KMB!X174,KMB!AD174,KMB!AJ174,KMB!AP174)))</f>
        <v>0</v>
      </c>
      <c r="C174">
        <f>SUMPRODUCT((MONTH(CHOOSE({1,2,3,4},KMB!U174,KMB!AA174,KMB!AG174,KMB!AM174))=3)*(CHOOSE({1,2,3,4},KMB!X174,KMB!AD174,KMB!AJ174,KMB!AP174)))</f>
        <v>0</v>
      </c>
      <c r="D174">
        <f>SUMPRODUCT((MONTH(CHOOSE({1,2,3,4},KMB!U174,KMB!AA174,KMB!AG174,KMB!AM174))=4)*(CHOOSE({1,2,3,4},KMB!X174,KMB!AD174,KMB!AJ174,KMB!AP174)))</f>
        <v>0</v>
      </c>
      <c r="E174">
        <f>SUMPRODUCT((MONTH(CHOOSE({1,2,3,4},KMB!U174,KMB!AA174,KMB!AG174,KMB!AM174))=5)*(CHOOSE({1,2,3,4},KMB!X174,KMB!AD174,KMB!AJ174,KMB!AP174)))</f>
        <v>0</v>
      </c>
      <c r="F174">
        <f>SUMPRODUCT((MONTH(CHOOSE({1,2,3,4},KMB!U174,KMB!AA174,KMB!AG174,KMB!AM174))=6)*(CHOOSE({1,2,3,4},KMB!X174,KMB!AD174,KMB!AJ174,KMB!AP174)))</f>
        <v>0</v>
      </c>
      <c r="G174">
        <f>SUMPRODUCT((MONTH(CHOOSE({1,2,3,4},KMB!U174,KMB!AA174,KMB!AG174,KMB!AM174))=7)*(CHOOSE({1,2,3,4},KMB!X174,KMB!AD174,KMB!AJ174,KMB!AP174)))</f>
        <v>0</v>
      </c>
      <c r="H174">
        <f>SUMPRODUCT((MONTH(CHOOSE({1,2,3,4},KMB!U174,KMB!AA174,KMB!AG174,KMB!AM174))=8)*(CHOOSE({1,2,3,4},KMB!X174,KMB!AD174,KMB!AJ174,KMB!AP174)))</f>
        <v>0</v>
      </c>
      <c r="I174">
        <f>SUMPRODUCT((MONTH(CHOOSE({1,2,3,4},KMB!U174,KMB!AA174,KMB!AG174,KMB!AM174))=9)*(CHOOSE({1,2,3,4},KMB!X174,KMB!AD174,KMB!AJ174,KMB!AP174)))</f>
        <v>0</v>
      </c>
      <c r="J174">
        <f>SUMPRODUCT((MONTH(CHOOSE({1,2,3,4},KMB!U174,KMB!AA174,KMB!AG174,KMB!AM174))=10)*(CHOOSE({1,2,3,4},KMB!X174,KMB!AD174,KMB!AJ174,KMB!AP174)))</f>
        <v>0</v>
      </c>
      <c r="K174">
        <f>SUMPRODUCT((MONTH(CHOOSE({1,2,3,4},KMB!U174,KMB!AA174,KMB!AG174,KMB!AM174))=11)*(CHOOSE({1,2,3,4},KMB!X174,KMB!AD174,KMB!AJ174,KMB!AP174)))</f>
        <v>0</v>
      </c>
      <c r="L174">
        <f>SUMPRODUCT((MONTH(CHOOSE({1,2,3,4},KMB!U174,KMB!AA174,KMB!AG174,KMB!AM174))=12)*(CHOOSE({1,2,3,4},KMB!X174,KMB!AD174,KMB!AJ174,KMB!AP174)))</f>
        <v>0</v>
      </c>
    </row>
    <row r="175" spans="1:12">
      <c r="A175">
        <f>SUMPRODUCT((MONTH(CHOOSE({1,2,3,4},KMB!U175,KMB!AA175,KMB!AG175,KMB!AM175))=1)*(CHOOSE({1,2,3,4},KMB!X175,KMB!AD175,KMB!AJ175,KMB!AP175)))</f>
        <v>0</v>
      </c>
      <c r="B175">
        <f>SUMPRODUCT((MONTH(CHOOSE({1,2,3,4},KMB!U175,KMB!AA175,KMB!AG175,KMB!AM175))=2)*(CHOOSE({1,2,3,4},KMB!X175,KMB!AD175,KMB!AJ175,KMB!AP175)))</f>
        <v>0</v>
      </c>
      <c r="C175">
        <f>SUMPRODUCT((MONTH(CHOOSE({1,2,3,4},KMB!U175,KMB!AA175,KMB!AG175,KMB!AM175))=3)*(CHOOSE({1,2,3,4},KMB!X175,KMB!AD175,KMB!AJ175,KMB!AP175)))</f>
        <v>0</v>
      </c>
      <c r="D175">
        <f>SUMPRODUCT((MONTH(CHOOSE({1,2,3,4},KMB!U175,KMB!AA175,KMB!AG175,KMB!AM175))=4)*(CHOOSE({1,2,3,4},KMB!X175,KMB!AD175,KMB!AJ175,KMB!AP175)))</f>
        <v>0</v>
      </c>
      <c r="E175">
        <f>SUMPRODUCT((MONTH(CHOOSE({1,2,3,4},KMB!U175,KMB!AA175,KMB!AG175,KMB!AM175))=5)*(CHOOSE({1,2,3,4},KMB!X175,KMB!AD175,KMB!AJ175,KMB!AP175)))</f>
        <v>0</v>
      </c>
      <c r="F175">
        <f>SUMPRODUCT((MONTH(CHOOSE({1,2,3,4},KMB!U175,KMB!AA175,KMB!AG175,KMB!AM175))=6)*(CHOOSE({1,2,3,4},KMB!X175,KMB!AD175,KMB!AJ175,KMB!AP175)))</f>
        <v>0</v>
      </c>
      <c r="G175">
        <f>SUMPRODUCT((MONTH(CHOOSE({1,2,3,4},KMB!U175,KMB!AA175,KMB!AG175,KMB!AM175))=7)*(CHOOSE({1,2,3,4},KMB!X175,KMB!AD175,KMB!AJ175,KMB!AP175)))</f>
        <v>0</v>
      </c>
      <c r="H175">
        <f>SUMPRODUCT((MONTH(CHOOSE({1,2,3,4},KMB!U175,KMB!AA175,KMB!AG175,KMB!AM175))=8)*(CHOOSE({1,2,3,4},KMB!X175,KMB!AD175,KMB!AJ175,KMB!AP175)))</f>
        <v>0</v>
      </c>
      <c r="I175">
        <f>SUMPRODUCT((MONTH(CHOOSE({1,2,3,4},KMB!U175,KMB!AA175,KMB!AG175,KMB!AM175))=9)*(CHOOSE({1,2,3,4},KMB!X175,KMB!AD175,KMB!AJ175,KMB!AP175)))</f>
        <v>0</v>
      </c>
      <c r="J175">
        <f>SUMPRODUCT((MONTH(CHOOSE({1,2,3,4},KMB!U175,KMB!AA175,KMB!AG175,KMB!AM175))=10)*(CHOOSE({1,2,3,4},KMB!X175,KMB!AD175,KMB!AJ175,KMB!AP175)))</f>
        <v>0</v>
      </c>
      <c r="K175">
        <f>SUMPRODUCT((MONTH(CHOOSE({1,2,3,4},KMB!U175,KMB!AA175,KMB!AG175,KMB!AM175))=11)*(CHOOSE({1,2,3,4},KMB!X175,KMB!AD175,KMB!AJ175,KMB!AP175)))</f>
        <v>0</v>
      </c>
      <c r="L175">
        <f>SUMPRODUCT((MONTH(CHOOSE({1,2,3,4},KMB!U175,KMB!AA175,KMB!AG175,KMB!AM175))=12)*(CHOOSE({1,2,3,4},KMB!X175,KMB!AD175,KMB!AJ175,KMB!AP175)))</f>
        <v>0</v>
      </c>
    </row>
    <row r="176" spans="1:12">
      <c r="A176">
        <f>SUMPRODUCT((MONTH(CHOOSE({1,2,3,4},KMB!U176,KMB!AA176,KMB!AG176,KMB!AM176))=1)*(CHOOSE({1,2,3,4},KMB!X176,KMB!AD176,KMB!AJ176,KMB!AP176)))</f>
        <v>0</v>
      </c>
      <c r="B176">
        <f>SUMPRODUCT((MONTH(CHOOSE({1,2,3,4},KMB!U176,KMB!AA176,KMB!AG176,KMB!AM176))=2)*(CHOOSE({1,2,3,4},KMB!X176,KMB!AD176,KMB!AJ176,KMB!AP176)))</f>
        <v>0</v>
      </c>
      <c r="C176">
        <f>SUMPRODUCT((MONTH(CHOOSE({1,2,3,4},KMB!U176,KMB!AA176,KMB!AG176,KMB!AM176))=3)*(CHOOSE({1,2,3,4},KMB!X176,KMB!AD176,KMB!AJ176,KMB!AP176)))</f>
        <v>0</v>
      </c>
      <c r="D176">
        <f>SUMPRODUCT((MONTH(CHOOSE({1,2,3,4},KMB!U176,KMB!AA176,KMB!AG176,KMB!AM176))=4)*(CHOOSE({1,2,3,4},KMB!X176,KMB!AD176,KMB!AJ176,KMB!AP176)))</f>
        <v>0</v>
      </c>
      <c r="E176">
        <f>SUMPRODUCT((MONTH(CHOOSE({1,2,3,4},KMB!U176,KMB!AA176,KMB!AG176,KMB!AM176))=5)*(CHOOSE({1,2,3,4},KMB!X176,KMB!AD176,KMB!AJ176,KMB!AP176)))</f>
        <v>0</v>
      </c>
      <c r="F176">
        <f>SUMPRODUCT((MONTH(CHOOSE({1,2,3,4},KMB!U176,KMB!AA176,KMB!AG176,KMB!AM176))=6)*(CHOOSE({1,2,3,4},KMB!X176,KMB!AD176,KMB!AJ176,KMB!AP176)))</f>
        <v>0</v>
      </c>
      <c r="G176">
        <f>SUMPRODUCT((MONTH(CHOOSE({1,2,3,4},KMB!U176,KMB!AA176,KMB!AG176,KMB!AM176))=7)*(CHOOSE({1,2,3,4},KMB!X176,KMB!AD176,KMB!AJ176,KMB!AP176)))</f>
        <v>0</v>
      </c>
      <c r="H176">
        <f>SUMPRODUCT((MONTH(CHOOSE({1,2,3,4},KMB!U176,KMB!AA176,KMB!AG176,KMB!AM176))=8)*(CHOOSE({1,2,3,4},KMB!X176,KMB!AD176,KMB!AJ176,KMB!AP176)))</f>
        <v>0</v>
      </c>
      <c r="I176">
        <f>SUMPRODUCT((MONTH(CHOOSE({1,2,3,4},KMB!U176,KMB!AA176,KMB!AG176,KMB!AM176))=9)*(CHOOSE({1,2,3,4},KMB!X176,KMB!AD176,KMB!AJ176,KMB!AP176)))</f>
        <v>0</v>
      </c>
      <c r="J176">
        <f>SUMPRODUCT((MONTH(CHOOSE({1,2,3,4},KMB!U176,KMB!AA176,KMB!AG176,KMB!AM176))=10)*(CHOOSE({1,2,3,4},KMB!X176,KMB!AD176,KMB!AJ176,KMB!AP176)))</f>
        <v>0</v>
      </c>
      <c r="K176">
        <f>SUMPRODUCT((MONTH(CHOOSE({1,2,3,4},KMB!U176,KMB!AA176,KMB!AG176,KMB!AM176))=11)*(CHOOSE({1,2,3,4},KMB!X176,KMB!AD176,KMB!AJ176,KMB!AP176)))</f>
        <v>0</v>
      </c>
      <c r="L176">
        <f>SUMPRODUCT((MONTH(CHOOSE({1,2,3,4},KMB!U176,KMB!AA176,KMB!AG176,KMB!AM176))=12)*(CHOOSE({1,2,3,4},KMB!X176,KMB!AD176,KMB!AJ176,KMB!AP176)))</f>
        <v>0</v>
      </c>
    </row>
    <row r="177" spans="1:12">
      <c r="A177">
        <f>SUMPRODUCT((MONTH(CHOOSE({1,2,3,4},KMB!U177,KMB!AA177,KMB!AG177,KMB!AM177))=1)*(CHOOSE({1,2,3,4},KMB!X177,KMB!AD177,KMB!AJ177,KMB!AP177)))</f>
        <v>0</v>
      </c>
      <c r="B177">
        <f>SUMPRODUCT((MONTH(CHOOSE({1,2,3,4},KMB!U177,KMB!AA177,KMB!AG177,KMB!AM177))=2)*(CHOOSE({1,2,3,4},KMB!X177,KMB!AD177,KMB!AJ177,KMB!AP177)))</f>
        <v>0</v>
      </c>
      <c r="C177">
        <f>SUMPRODUCT((MONTH(CHOOSE({1,2,3,4},KMB!U177,KMB!AA177,KMB!AG177,KMB!AM177))=3)*(CHOOSE({1,2,3,4},KMB!X177,KMB!AD177,KMB!AJ177,KMB!AP177)))</f>
        <v>0</v>
      </c>
      <c r="D177">
        <f>SUMPRODUCT((MONTH(CHOOSE({1,2,3,4},KMB!U177,KMB!AA177,KMB!AG177,KMB!AM177))=4)*(CHOOSE({1,2,3,4},KMB!X177,KMB!AD177,KMB!AJ177,KMB!AP177)))</f>
        <v>0</v>
      </c>
      <c r="E177">
        <f>SUMPRODUCT((MONTH(CHOOSE({1,2,3,4},KMB!U177,KMB!AA177,KMB!AG177,KMB!AM177))=5)*(CHOOSE({1,2,3,4},KMB!X177,KMB!AD177,KMB!AJ177,KMB!AP177)))</f>
        <v>0</v>
      </c>
      <c r="F177">
        <f>SUMPRODUCT((MONTH(CHOOSE({1,2,3,4},KMB!U177,KMB!AA177,KMB!AG177,KMB!AM177))=6)*(CHOOSE({1,2,3,4},KMB!X177,KMB!AD177,KMB!AJ177,KMB!AP177)))</f>
        <v>0</v>
      </c>
      <c r="G177">
        <f>SUMPRODUCT((MONTH(CHOOSE({1,2,3,4},KMB!U177,KMB!AA177,KMB!AG177,KMB!AM177))=7)*(CHOOSE({1,2,3,4},KMB!X177,KMB!AD177,KMB!AJ177,KMB!AP177)))</f>
        <v>0</v>
      </c>
      <c r="H177">
        <f>SUMPRODUCT((MONTH(CHOOSE({1,2,3,4},KMB!U177,KMB!AA177,KMB!AG177,KMB!AM177))=8)*(CHOOSE({1,2,3,4},KMB!X177,KMB!AD177,KMB!AJ177,KMB!AP177)))</f>
        <v>0</v>
      </c>
      <c r="I177">
        <f>SUMPRODUCT((MONTH(CHOOSE({1,2,3,4},KMB!U177,KMB!AA177,KMB!AG177,KMB!AM177))=9)*(CHOOSE({1,2,3,4},KMB!X177,KMB!AD177,KMB!AJ177,KMB!AP177)))</f>
        <v>0</v>
      </c>
      <c r="J177">
        <f>SUMPRODUCT((MONTH(CHOOSE({1,2,3,4},KMB!U177,KMB!AA177,KMB!AG177,KMB!AM177))=10)*(CHOOSE({1,2,3,4},KMB!X177,KMB!AD177,KMB!AJ177,KMB!AP177)))</f>
        <v>0</v>
      </c>
      <c r="K177">
        <f>SUMPRODUCT((MONTH(CHOOSE({1,2,3,4},KMB!U177,KMB!AA177,KMB!AG177,KMB!AM177))=11)*(CHOOSE({1,2,3,4},KMB!X177,KMB!AD177,KMB!AJ177,KMB!AP177)))</f>
        <v>0</v>
      </c>
      <c r="L177">
        <f>SUMPRODUCT((MONTH(CHOOSE({1,2,3,4},KMB!U177,KMB!AA177,KMB!AG177,KMB!AM177))=12)*(CHOOSE({1,2,3,4},KMB!X177,KMB!AD177,KMB!AJ177,KMB!AP177)))</f>
        <v>0</v>
      </c>
    </row>
    <row r="178" spans="1:12">
      <c r="A178">
        <f>SUMPRODUCT((MONTH(CHOOSE({1,2,3,4},KMB!U178,KMB!AA178,KMB!AG178,KMB!AM178))=1)*(CHOOSE({1,2,3,4},KMB!X178,KMB!AD178,KMB!AJ178,KMB!AP178)))</f>
        <v>0</v>
      </c>
      <c r="B178">
        <f>SUMPRODUCT((MONTH(CHOOSE({1,2,3,4},KMB!U178,KMB!AA178,KMB!AG178,KMB!AM178))=2)*(CHOOSE({1,2,3,4},KMB!X178,KMB!AD178,KMB!AJ178,KMB!AP178)))</f>
        <v>0</v>
      </c>
      <c r="C178">
        <f>SUMPRODUCT((MONTH(CHOOSE({1,2,3,4},KMB!U178,KMB!AA178,KMB!AG178,KMB!AM178))=3)*(CHOOSE({1,2,3,4},KMB!X178,KMB!AD178,KMB!AJ178,KMB!AP178)))</f>
        <v>0</v>
      </c>
      <c r="D178">
        <f>SUMPRODUCT((MONTH(CHOOSE({1,2,3,4},KMB!U178,KMB!AA178,KMB!AG178,KMB!AM178))=4)*(CHOOSE({1,2,3,4},KMB!X178,KMB!AD178,KMB!AJ178,KMB!AP178)))</f>
        <v>0</v>
      </c>
      <c r="E178">
        <f>SUMPRODUCT((MONTH(CHOOSE({1,2,3,4},KMB!U178,KMB!AA178,KMB!AG178,KMB!AM178))=5)*(CHOOSE({1,2,3,4},KMB!X178,KMB!AD178,KMB!AJ178,KMB!AP178)))</f>
        <v>0</v>
      </c>
      <c r="F178">
        <f>SUMPRODUCT((MONTH(CHOOSE({1,2,3,4},KMB!U178,KMB!AA178,KMB!AG178,KMB!AM178))=6)*(CHOOSE({1,2,3,4},KMB!X178,KMB!AD178,KMB!AJ178,KMB!AP178)))</f>
        <v>0</v>
      </c>
      <c r="G178">
        <f>SUMPRODUCT((MONTH(CHOOSE({1,2,3,4},KMB!U178,KMB!AA178,KMB!AG178,KMB!AM178))=7)*(CHOOSE({1,2,3,4},KMB!X178,KMB!AD178,KMB!AJ178,KMB!AP178)))</f>
        <v>0</v>
      </c>
      <c r="H178">
        <f>SUMPRODUCT((MONTH(CHOOSE({1,2,3,4},KMB!U178,KMB!AA178,KMB!AG178,KMB!AM178))=8)*(CHOOSE({1,2,3,4},KMB!X178,KMB!AD178,KMB!AJ178,KMB!AP178)))</f>
        <v>0</v>
      </c>
      <c r="I178">
        <f>SUMPRODUCT((MONTH(CHOOSE({1,2,3,4},KMB!U178,KMB!AA178,KMB!AG178,KMB!AM178))=9)*(CHOOSE({1,2,3,4},KMB!X178,KMB!AD178,KMB!AJ178,KMB!AP178)))</f>
        <v>0</v>
      </c>
      <c r="J178">
        <f>SUMPRODUCT((MONTH(CHOOSE({1,2,3,4},KMB!U178,KMB!AA178,KMB!AG178,KMB!AM178))=10)*(CHOOSE({1,2,3,4},KMB!X178,KMB!AD178,KMB!AJ178,KMB!AP178)))</f>
        <v>0</v>
      </c>
      <c r="K178">
        <f>SUMPRODUCT((MONTH(CHOOSE({1,2,3,4},KMB!U178,KMB!AA178,KMB!AG178,KMB!AM178))=11)*(CHOOSE({1,2,3,4},KMB!X178,KMB!AD178,KMB!AJ178,KMB!AP178)))</f>
        <v>0</v>
      </c>
      <c r="L178">
        <f>SUMPRODUCT((MONTH(CHOOSE({1,2,3,4},KMB!U178,KMB!AA178,KMB!AG178,KMB!AM178))=12)*(CHOOSE({1,2,3,4},KMB!X178,KMB!AD178,KMB!AJ178,KMB!AP178)))</f>
        <v>0</v>
      </c>
    </row>
    <row r="179" spans="1:12">
      <c r="A179">
        <f>SUMPRODUCT((MONTH(CHOOSE({1,2,3,4},KMB!U179,KMB!AA179,KMB!AG179,KMB!AM179))=1)*(CHOOSE({1,2,3,4},KMB!X179,KMB!AD179,KMB!AJ179,KMB!AP179)))</f>
        <v>0</v>
      </c>
      <c r="B179">
        <f>SUMPRODUCT((MONTH(CHOOSE({1,2,3,4},KMB!U179,KMB!AA179,KMB!AG179,KMB!AM179))=2)*(CHOOSE({1,2,3,4},KMB!X179,KMB!AD179,KMB!AJ179,KMB!AP179)))</f>
        <v>0</v>
      </c>
      <c r="C179">
        <f>SUMPRODUCT((MONTH(CHOOSE({1,2,3,4},KMB!U179,KMB!AA179,KMB!AG179,KMB!AM179))=3)*(CHOOSE({1,2,3,4},KMB!X179,KMB!AD179,KMB!AJ179,KMB!AP179)))</f>
        <v>0</v>
      </c>
      <c r="D179">
        <f>SUMPRODUCT((MONTH(CHOOSE({1,2,3,4},KMB!U179,KMB!AA179,KMB!AG179,KMB!AM179))=4)*(CHOOSE({1,2,3,4},KMB!X179,KMB!AD179,KMB!AJ179,KMB!AP179)))</f>
        <v>0</v>
      </c>
      <c r="E179">
        <f>SUMPRODUCT((MONTH(CHOOSE({1,2,3,4},KMB!U179,KMB!AA179,KMB!AG179,KMB!AM179))=5)*(CHOOSE({1,2,3,4},KMB!X179,KMB!AD179,KMB!AJ179,KMB!AP179)))</f>
        <v>0</v>
      </c>
      <c r="F179">
        <f>SUMPRODUCT((MONTH(CHOOSE({1,2,3,4},KMB!U179,KMB!AA179,KMB!AG179,KMB!AM179))=6)*(CHOOSE({1,2,3,4},KMB!X179,KMB!AD179,KMB!AJ179,KMB!AP179)))</f>
        <v>0</v>
      </c>
      <c r="G179">
        <f>SUMPRODUCT((MONTH(CHOOSE({1,2,3,4},KMB!U179,KMB!AA179,KMB!AG179,KMB!AM179))=7)*(CHOOSE({1,2,3,4},KMB!X179,KMB!AD179,KMB!AJ179,KMB!AP179)))</f>
        <v>0</v>
      </c>
      <c r="H179">
        <f>SUMPRODUCT((MONTH(CHOOSE({1,2,3,4},KMB!U179,KMB!AA179,KMB!AG179,KMB!AM179))=8)*(CHOOSE({1,2,3,4},KMB!X179,KMB!AD179,KMB!AJ179,KMB!AP179)))</f>
        <v>0</v>
      </c>
      <c r="I179">
        <f>SUMPRODUCT((MONTH(CHOOSE({1,2,3,4},KMB!U179,KMB!AA179,KMB!AG179,KMB!AM179))=9)*(CHOOSE({1,2,3,4},KMB!X179,KMB!AD179,KMB!AJ179,KMB!AP179)))</f>
        <v>0</v>
      </c>
      <c r="J179">
        <f>SUMPRODUCT((MONTH(CHOOSE({1,2,3,4},KMB!U179,KMB!AA179,KMB!AG179,KMB!AM179))=10)*(CHOOSE({1,2,3,4},KMB!X179,KMB!AD179,KMB!AJ179,KMB!AP179)))</f>
        <v>0</v>
      </c>
      <c r="K179">
        <f>SUMPRODUCT((MONTH(CHOOSE({1,2,3,4},KMB!U179,KMB!AA179,KMB!AG179,KMB!AM179))=11)*(CHOOSE({1,2,3,4},KMB!X179,KMB!AD179,KMB!AJ179,KMB!AP179)))</f>
        <v>0</v>
      </c>
      <c r="L179">
        <f>SUMPRODUCT((MONTH(CHOOSE({1,2,3,4},KMB!U179,KMB!AA179,KMB!AG179,KMB!AM179))=12)*(CHOOSE({1,2,3,4},KMB!X179,KMB!AD179,KMB!AJ179,KMB!AP179)))</f>
        <v>0</v>
      </c>
    </row>
    <row r="180" spans="1:12">
      <c r="A180">
        <f>SUMPRODUCT((MONTH(CHOOSE({1,2,3,4},KMB!U180,KMB!AA180,KMB!AG180,KMB!AM180))=1)*(CHOOSE({1,2,3,4},KMB!X180,KMB!AD180,KMB!AJ180,KMB!AP180)))</f>
        <v>0</v>
      </c>
      <c r="B180">
        <f>SUMPRODUCT((MONTH(CHOOSE({1,2,3,4},KMB!U180,KMB!AA180,KMB!AG180,KMB!AM180))=2)*(CHOOSE({1,2,3,4},KMB!X180,KMB!AD180,KMB!AJ180,KMB!AP180)))</f>
        <v>0</v>
      </c>
      <c r="C180">
        <f>SUMPRODUCT((MONTH(CHOOSE({1,2,3,4},KMB!U180,KMB!AA180,KMB!AG180,KMB!AM180))=3)*(CHOOSE({1,2,3,4},KMB!X180,KMB!AD180,KMB!AJ180,KMB!AP180)))</f>
        <v>0</v>
      </c>
      <c r="D180">
        <f>SUMPRODUCT((MONTH(CHOOSE({1,2,3,4},KMB!U180,KMB!AA180,KMB!AG180,KMB!AM180))=4)*(CHOOSE({1,2,3,4},KMB!X180,KMB!AD180,KMB!AJ180,KMB!AP180)))</f>
        <v>0</v>
      </c>
      <c r="E180">
        <f>SUMPRODUCT((MONTH(CHOOSE({1,2,3,4},KMB!U180,KMB!AA180,KMB!AG180,KMB!AM180))=5)*(CHOOSE({1,2,3,4},KMB!X180,KMB!AD180,KMB!AJ180,KMB!AP180)))</f>
        <v>0</v>
      </c>
      <c r="F180">
        <f>SUMPRODUCT((MONTH(CHOOSE({1,2,3,4},KMB!U180,KMB!AA180,KMB!AG180,KMB!AM180))=6)*(CHOOSE({1,2,3,4},KMB!X180,KMB!AD180,KMB!AJ180,KMB!AP180)))</f>
        <v>0</v>
      </c>
      <c r="G180">
        <f>SUMPRODUCT((MONTH(CHOOSE({1,2,3,4},KMB!U180,KMB!AA180,KMB!AG180,KMB!AM180))=7)*(CHOOSE({1,2,3,4},KMB!X180,KMB!AD180,KMB!AJ180,KMB!AP180)))</f>
        <v>0</v>
      </c>
      <c r="H180">
        <f>SUMPRODUCT((MONTH(CHOOSE({1,2,3,4},KMB!U180,KMB!AA180,KMB!AG180,KMB!AM180))=8)*(CHOOSE({1,2,3,4},KMB!X180,KMB!AD180,KMB!AJ180,KMB!AP180)))</f>
        <v>0</v>
      </c>
      <c r="I180">
        <f>SUMPRODUCT((MONTH(CHOOSE({1,2,3,4},KMB!U180,KMB!AA180,KMB!AG180,KMB!AM180))=9)*(CHOOSE({1,2,3,4},KMB!X180,KMB!AD180,KMB!AJ180,KMB!AP180)))</f>
        <v>0</v>
      </c>
      <c r="J180">
        <f>SUMPRODUCT((MONTH(CHOOSE({1,2,3,4},KMB!U180,KMB!AA180,KMB!AG180,KMB!AM180))=10)*(CHOOSE({1,2,3,4},KMB!X180,KMB!AD180,KMB!AJ180,KMB!AP180)))</f>
        <v>0</v>
      </c>
      <c r="K180">
        <f>SUMPRODUCT((MONTH(CHOOSE({1,2,3,4},KMB!U180,KMB!AA180,KMB!AG180,KMB!AM180))=11)*(CHOOSE({1,2,3,4},KMB!X180,KMB!AD180,KMB!AJ180,KMB!AP180)))</f>
        <v>0</v>
      </c>
      <c r="L180">
        <f>SUMPRODUCT((MONTH(CHOOSE({1,2,3,4},KMB!U180,KMB!AA180,KMB!AG180,KMB!AM180))=12)*(CHOOSE({1,2,3,4},KMB!X180,KMB!AD180,KMB!AJ180,KMB!AP180)))</f>
        <v>0</v>
      </c>
    </row>
    <row r="181" spans="1:12">
      <c r="A181">
        <f>SUMPRODUCT((MONTH(CHOOSE({1,2,3,4},KMB!U181,KMB!AA181,KMB!AG181,KMB!AM181))=1)*(CHOOSE({1,2,3,4},KMB!X181,KMB!AD181,KMB!AJ181,KMB!AP181)))</f>
        <v>0</v>
      </c>
      <c r="B181">
        <f>SUMPRODUCT((MONTH(CHOOSE({1,2,3,4},KMB!U181,KMB!AA181,KMB!AG181,KMB!AM181))=2)*(CHOOSE({1,2,3,4},KMB!X181,KMB!AD181,KMB!AJ181,KMB!AP181)))</f>
        <v>0</v>
      </c>
      <c r="C181">
        <f>SUMPRODUCT((MONTH(CHOOSE({1,2,3,4},KMB!U181,KMB!AA181,KMB!AG181,KMB!AM181))=3)*(CHOOSE({1,2,3,4},KMB!X181,KMB!AD181,KMB!AJ181,KMB!AP181)))</f>
        <v>0</v>
      </c>
      <c r="D181">
        <f>SUMPRODUCT((MONTH(CHOOSE({1,2,3,4},KMB!U181,KMB!AA181,KMB!AG181,KMB!AM181))=4)*(CHOOSE({1,2,3,4},KMB!X181,KMB!AD181,KMB!AJ181,KMB!AP181)))</f>
        <v>0</v>
      </c>
      <c r="E181">
        <f>SUMPRODUCT((MONTH(CHOOSE({1,2,3,4},KMB!U181,KMB!AA181,KMB!AG181,KMB!AM181))=5)*(CHOOSE({1,2,3,4},KMB!X181,KMB!AD181,KMB!AJ181,KMB!AP181)))</f>
        <v>0</v>
      </c>
      <c r="F181">
        <f>SUMPRODUCT((MONTH(CHOOSE({1,2,3,4},KMB!U181,KMB!AA181,KMB!AG181,KMB!AM181))=6)*(CHOOSE({1,2,3,4},KMB!X181,KMB!AD181,KMB!AJ181,KMB!AP181)))</f>
        <v>0</v>
      </c>
      <c r="G181">
        <f>SUMPRODUCT((MONTH(CHOOSE({1,2,3,4},KMB!U181,KMB!AA181,KMB!AG181,KMB!AM181))=7)*(CHOOSE({1,2,3,4},KMB!X181,KMB!AD181,KMB!AJ181,KMB!AP181)))</f>
        <v>0</v>
      </c>
      <c r="H181">
        <f>SUMPRODUCT((MONTH(CHOOSE({1,2,3,4},KMB!U181,KMB!AA181,KMB!AG181,KMB!AM181))=8)*(CHOOSE({1,2,3,4},KMB!X181,KMB!AD181,KMB!AJ181,KMB!AP181)))</f>
        <v>0</v>
      </c>
      <c r="I181">
        <f>SUMPRODUCT((MONTH(CHOOSE({1,2,3,4},KMB!U181,KMB!AA181,KMB!AG181,KMB!AM181))=9)*(CHOOSE({1,2,3,4},KMB!X181,KMB!AD181,KMB!AJ181,KMB!AP181)))</f>
        <v>0</v>
      </c>
      <c r="J181">
        <f>SUMPRODUCT((MONTH(CHOOSE({1,2,3,4},KMB!U181,KMB!AA181,KMB!AG181,KMB!AM181))=10)*(CHOOSE({1,2,3,4},KMB!X181,KMB!AD181,KMB!AJ181,KMB!AP181)))</f>
        <v>0</v>
      </c>
      <c r="K181">
        <f>SUMPRODUCT((MONTH(CHOOSE({1,2,3,4},KMB!U181,KMB!AA181,KMB!AG181,KMB!AM181))=11)*(CHOOSE({1,2,3,4},KMB!X181,KMB!AD181,KMB!AJ181,KMB!AP181)))</f>
        <v>0</v>
      </c>
      <c r="L181">
        <f>SUMPRODUCT((MONTH(CHOOSE({1,2,3,4},KMB!U181,KMB!AA181,KMB!AG181,KMB!AM181))=12)*(CHOOSE({1,2,3,4},KMB!X181,KMB!AD181,KMB!AJ181,KMB!AP181)))</f>
        <v>0</v>
      </c>
    </row>
    <row r="182" spans="1:12">
      <c r="A182">
        <f>SUMPRODUCT((MONTH(CHOOSE({1,2,3,4},KMB!U182,KMB!AA182,KMB!AG182,KMB!AM182))=1)*(CHOOSE({1,2,3,4},KMB!X182,KMB!AD182,KMB!AJ182,KMB!AP182)))</f>
        <v>0</v>
      </c>
      <c r="B182">
        <f>SUMPRODUCT((MONTH(CHOOSE({1,2,3,4},KMB!U182,KMB!AA182,KMB!AG182,KMB!AM182))=2)*(CHOOSE({1,2,3,4},KMB!X182,KMB!AD182,KMB!AJ182,KMB!AP182)))</f>
        <v>0</v>
      </c>
      <c r="C182">
        <f>SUMPRODUCT((MONTH(CHOOSE({1,2,3,4},KMB!U182,KMB!AA182,KMB!AG182,KMB!AM182))=3)*(CHOOSE({1,2,3,4},KMB!X182,KMB!AD182,KMB!AJ182,KMB!AP182)))</f>
        <v>0</v>
      </c>
      <c r="D182">
        <f>SUMPRODUCT((MONTH(CHOOSE({1,2,3,4},KMB!U182,KMB!AA182,KMB!AG182,KMB!AM182))=4)*(CHOOSE({1,2,3,4},KMB!X182,KMB!AD182,KMB!AJ182,KMB!AP182)))</f>
        <v>0</v>
      </c>
      <c r="E182">
        <f>SUMPRODUCT((MONTH(CHOOSE({1,2,3,4},KMB!U182,KMB!AA182,KMB!AG182,KMB!AM182))=5)*(CHOOSE({1,2,3,4},KMB!X182,KMB!AD182,KMB!AJ182,KMB!AP182)))</f>
        <v>0</v>
      </c>
      <c r="F182">
        <f>SUMPRODUCT((MONTH(CHOOSE({1,2,3,4},KMB!U182,KMB!AA182,KMB!AG182,KMB!AM182))=6)*(CHOOSE({1,2,3,4},KMB!X182,KMB!AD182,KMB!AJ182,KMB!AP182)))</f>
        <v>0</v>
      </c>
      <c r="G182">
        <f>SUMPRODUCT((MONTH(CHOOSE({1,2,3,4},KMB!U182,KMB!AA182,KMB!AG182,KMB!AM182))=7)*(CHOOSE({1,2,3,4},KMB!X182,KMB!AD182,KMB!AJ182,KMB!AP182)))</f>
        <v>0</v>
      </c>
      <c r="H182">
        <f>SUMPRODUCT((MONTH(CHOOSE({1,2,3,4},KMB!U182,KMB!AA182,KMB!AG182,KMB!AM182))=8)*(CHOOSE({1,2,3,4},KMB!X182,KMB!AD182,KMB!AJ182,KMB!AP182)))</f>
        <v>0</v>
      </c>
      <c r="I182">
        <f>SUMPRODUCT((MONTH(CHOOSE({1,2,3,4},KMB!U182,KMB!AA182,KMB!AG182,KMB!AM182))=9)*(CHOOSE({1,2,3,4},KMB!X182,KMB!AD182,KMB!AJ182,KMB!AP182)))</f>
        <v>0</v>
      </c>
      <c r="J182">
        <f>SUMPRODUCT((MONTH(CHOOSE({1,2,3,4},KMB!U182,KMB!AA182,KMB!AG182,KMB!AM182))=10)*(CHOOSE({1,2,3,4},KMB!X182,KMB!AD182,KMB!AJ182,KMB!AP182)))</f>
        <v>0</v>
      </c>
      <c r="K182">
        <f>SUMPRODUCT((MONTH(CHOOSE({1,2,3,4},KMB!U182,KMB!AA182,KMB!AG182,KMB!AM182))=11)*(CHOOSE({1,2,3,4},KMB!X182,KMB!AD182,KMB!AJ182,KMB!AP182)))</f>
        <v>0</v>
      </c>
      <c r="L182">
        <f>SUMPRODUCT((MONTH(CHOOSE({1,2,3,4},KMB!U182,KMB!AA182,KMB!AG182,KMB!AM182))=12)*(CHOOSE({1,2,3,4},KMB!X182,KMB!AD182,KMB!AJ182,KMB!AP182)))</f>
        <v>0</v>
      </c>
    </row>
    <row r="183" spans="1:12">
      <c r="A183">
        <f>SUMPRODUCT((MONTH(CHOOSE({1,2,3,4},KMB!U183,KMB!AA183,KMB!AG183,KMB!AM183))=1)*(CHOOSE({1,2,3,4},KMB!X183,KMB!AD183,KMB!AJ183,KMB!AP183)))</f>
        <v>0</v>
      </c>
      <c r="B183">
        <f>SUMPRODUCT((MONTH(CHOOSE({1,2,3,4},KMB!U183,KMB!AA183,KMB!AG183,KMB!AM183))=2)*(CHOOSE({1,2,3,4},KMB!X183,KMB!AD183,KMB!AJ183,KMB!AP183)))</f>
        <v>0</v>
      </c>
      <c r="C183">
        <f>SUMPRODUCT((MONTH(CHOOSE({1,2,3,4},KMB!U183,KMB!AA183,KMB!AG183,KMB!AM183))=3)*(CHOOSE({1,2,3,4},KMB!X183,KMB!AD183,KMB!AJ183,KMB!AP183)))</f>
        <v>0</v>
      </c>
      <c r="D183">
        <f>SUMPRODUCT((MONTH(CHOOSE({1,2,3,4},KMB!U183,KMB!AA183,KMB!AG183,KMB!AM183))=4)*(CHOOSE({1,2,3,4},KMB!X183,KMB!AD183,KMB!AJ183,KMB!AP183)))</f>
        <v>0</v>
      </c>
      <c r="E183">
        <f>SUMPRODUCT((MONTH(CHOOSE({1,2,3,4},KMB!U183,KMB!AA183,KMB!AG183,KMB!AM183))=5)*(CHOOSE({1,2,3,4},KMB!X183,KMB!AD183,KMB!AJ183,KMB!AP183)))</f>
        <v>0</v>
      </c>
      <c r="F183">
        <f>SUMPRODUCT((MONTH(CHOOSE({1,2,3,4},KMB!U183,KMB!AA183,KMB!AG183,KMB!AM183))=6)*(CHOOSE({1,2,3,4},KMB!X183,KMB!AD183,KMB!AJ183,KMB!AP183)))</f>
        <v>0</v>
      </c>
      <c r="G183">
        <f>SUMPRODUCT((MONTH(CHOOSE({1,2,3,4},KMB!U183,KMB!AA183,KMB!AG183,KMB!AM183))=7)*(CHOOSE({1,2,3,4},KMB!X183,KMB!AD183,KMB!AJ183,KMB!AP183)))</f>
        <v>0</v>
      </c>
      <c r="H183">
        <f>SUMPRODUCT((MONTH(CHOOSE({1,2,3,4},KMB!U183,KMB!AA183,KMB!AG183,KMB!AM183))=8)*(CHOOSE({1,2,3,4},KMB!X183,KMB!AD183,KMB!AJ183,KMB!AP183)))</f>
        <v>0</v>
      </c>
      <c r="I183">
        <f>SUMPRODUCT((MONTH(CHOOSE({1,2,3,4},KMB!U183,KMB!AA183,KMB!AG183,KMB!AM183))=9)*(CHOOSE({1,2,3,4},KMB!X183,KMB!AD183,KMB!AJ183,KMB!AP183)))</f>
        <v>0</v>
      </c>
      <c r="J183">
        <f>SUMPRODUCT((MONTH(CHOOSE({1,2,3,4},KMB!U183,KMB!AA183,KMB!AG183,KMB!AM183))=10)*(CHOOSE({1,2,3,4},KMB!X183,KMB!AD183,KMB!AJ183,KMB!AP183)))</f>
        <v>0</v>
      </c>
      <c r="K183">
        <f>SUMPRODUCT((MONTH(CHOOSE({1,2,3,4},KMB!U183,KMB!AA183,KMB!AG183,KMB!AM183))=11)*(CHOOSE({1,2,3,4},KMB!X183,KMB!AD183,KMB!AJ183,KMB!AP183)))</f>
        <v>0</v>
      </c>
      <c r="L183">
        <f>SUMPRODUCT((MONTH(CHOOSE({1,2,3,4},KMB!U183,KMB!AA183,KMB!AG183,KMB!AM183))=12)*(CHOOSE({1,2,3,4},KMB!X183,KMB!AD183,KMB!AJ183,KMB!AP183)))</f>
        <v>0</v>
      </c>
    </row>
    <row r="184" spans="1:12">
      <c r="A184">
        <f>SUMPRODUCT((MONTH(CHOOSE({1,2,3,4},KMB!U184,KMB!AA184,KMB!AG184,KMB!AM184))=1)*(CHOOSE({1,2,3,4},KMB!X184,KMB!AD184,KMB!AJ184,KMB!AP184)))</f>
        <v>0</v>
      </c>
      <c r="B184">
        <f>SUMPRODUCT((MONTH(CHOOSE({1,2,3,4},KMB!U184,KMB!AA184,KMB!AG184,KMB!AM184))=2)*(CHOOSE({1,2,3,4},KMB!X184,KMB!AD184,KMB!AJ184,KMB!AP184)))</f>
        <v>0</v>
      </c>
      <c r="C184">
        <f>SUMPRODUCT((MONTH(CHOOSE({1,2,3,4},KMB!U184,KMB!AA184,KMB!AG184,KMB!AM184))=3)*(CHOOSE({1,2,3,4},KMB!X184,KMB!AD184,KMB!AJ184,KMB!AP184)))</f>
        <v>0</v>
      </c>
      <c r="D184">
        <f>SUMPRODUCT((MONTH(CHOOSE({1,2,3,4},KMB!U184,KMB!AA184,KMB!AG184,KMB!AM184))=4)*(CHOOSE({1,2,3,4},KMB!X184,KMB!AD184,KMB!AJ184,KMB!AP184)))</f>
        <v>0</v>
      </c>
      <c r="E184">
        <f>SUMPRODUCT((MONTH(CHOOSE({1,2,3,4},KMB!U184,KMB!AA184,KMB!AG184,KMB!AM184))=5)*(CHOOSE({1,2,3,4},KMB!X184,KMB!AD184,KMB!AJ184,KMB!AP184)))</f>
        <v>0</v>
      </c>
      <c r="F184">
        <f>SUMPRODUCT((MONTH(CHOOSE({1,2,3,4},KMB!U184,KMB!AA184,KMB!AG184,KMB!AM184))=6)*(CHOOSE({1,2,3,4},KMB!X184,KMB!AD184,KMB!AJ184,KMB!AP184)))</f>
        <v>0</v>
      </c>
      <c r="G184">
        <f>SUMPRODUCT((MONTH(CHOOSE({1,2,3,4},KMB!U184,KMB!AA184,KMB!AG184,KMB!AM184))=7)*(CHOOSE({1,2,3,4},KMB!X184,KMB!AD184,KMB!AJ184,KMB!AP184)))</f>
        <v>0</v>
      </c>
      <c r="H184">
        <f>SUMPRODUCT((MONTH(CHOOSE({1,2,3,4},KMB!U184,KMB!AA184,KMB!AG184,KMB!AM184))=8)*(CHOOSE({1,2,3,4},KMB!X184,KMB!AD184,KMB!AJ184,KMB!AP184)))</f>
        <v>0</v>
      </c>
      <c r="I184">
        <f>SUMPRODUCT((MONTH(CHOOSE({1,2,3,4},KMB!U184,KMB!AA184,KMB!AG184,KMB!AM184))=9)*(CHOOSE({1,2,3,4},KMB!X184,KMB!AD184,KMB!AJ184,KMB!AP184)))</f>
        <v>0</v>
      </c>
      <c r="J184">
        <f>SUMPRODUCT((MONTH(CHOOSE({1,2,3,4},KMB!U184,KMB!AA184,KMB!AG184,KMB!AM184))=10)*(CHOOSE({1,2,3,4},KMB!X184,KMB!AD184,KMB!AJ184,KMB!AP184)))</f>
        <v>0</v>
      </c>
      <c r="K184">
        <f>SUMPRODUCT((MONTH(CHOOSE({1,2,3,4},KMB!U184,KMB!AA184,KMB!AG184,KMB!AM184))=11)*(CHOOSE({1,2,3,4},KMB!X184,KMB!AD184,KMB!AJ184,KMB!AP184)))</f>
        <v>0</v>
      </c>
      <c r="L184">
        <f>SUMPRODUCT((MONTH(CHOOSE({1,2,3,4},KMB!U184,KMB!AA184,KMB!AG184,KMB!AM184))=12)*(CHOOSE({1,2,3,4},KMB!X184,KMB!AD184,KMB!AJ184,KMB!AP184)))</f>
        <v>0</v>
      </c>
    </row>
    <row r="185" spans="1:12">
      <c r="A185">
        <f>SUMPRODUCT((MONTH(CHOOSE({1,2,3,4},KMB!U185,KMB!AA185,KMB!AG185,KMB!AM185))=1)*(CHOOSE({1,2,3,4},KMB!X185,KMB!AD185,KMB!AJ185,KMB!AP185)))</f>
        <v>0</v>
      </c>
      <c r="B185">
        <f>SUMPRODUCT((MONTH(CHOOSE({1,2,3,4},KMB!U185,KMB!AA185,KMB!AG185,KMB!AM185))=2)*(CHOOSE({1,2,3,4},KMB!X185,KMB!AD185,KMB!AJ185,KMB!AP185)))</f>
        <v>0</v>
      </c>
      <c r="C185">
        <f>SUMPRODUCT((MONTH(CHOOSE({1,2,3,4},KMB!U185,KMB!AA185,KMB!AG185,KMB!AM185))=3)*(CHOOSE({1,2,3,4},KMB!X185,KMB!AD185,KMB!AJ185,KMB!AP185)))</f>
        <v>0</v>
      </c>
      <c r="D185">
        <f>SUMPRODUCT((MONTH(CHOOSE({1,2,3,4},KMB!U185,KMB!AA185,KMB!AG185,KMB!AM185))=4)*(CHOOSE({1,2,3,4},KMB!X185,KMB!AD185,KMB!AJ185,KMB!AP185)))</f>
        <v>0</v>
      </c>
      <c r="E185">
        <f>SUMPRODUCT((MONTH(CHOOSE({1,2,3,4},KMB!U185,KMB!AA185,KMB!AG185,KMB!AM185))=5)*(CHOOSE({1,2,3,4},KMB!X185,KMB!AD185,KMB!AJ185,KMB!AP185)))</f>
        <v>0</v>
      </c>
      <c r="F185">
        <f>SUMPRODUCT((MONTH(CHOOSE({1,2,3,4},KMB!U185,KMB!AA185,KMB!AG185,KMB!AM185))=6)*(CHOOSE({1,2,3,4},KMB!X185,KMB!AD185,KMB!AJ185,KMB!AP185)))</f>
        <v>0</v>
      </c>
      <c r="G185">
        <f>SUMPRODUCT((MONTH(CHOOSE({1,2,3,4},KMB!U185,KMB!AA185,KMB!AG185,KMB!AM185))=7)*(CHOOSE({1,2,3,4},KMB!X185,KMB!AD185,KMB!AJ185,KMB!AP185)))</f>
        <v>0</v>
      </c>
      <c r="H185">
        <f>SUMPRODUCT((MONTH(CHOOSE({1,2,3,4},KMB!U185,KMB!AA185,KMB!AG185,KMB!AM185))=8)*(CHOOSE({1,2,3,4},KMB!X185,KMB!AD185,KMB!AJ185,KMB!AP185)))</f>
        <v>0</v>
      </c>
      <c r="I185">
        <f>SUMPRODUCT((MONTH(CHOOSE({1,2,3,4},KMB!U185,KMB!AA185,KMB!AG185,KMB!AM185))=9)*(CHOOSE({1,2,3,4},KMB!X185,KMB!AD185,KMB!AJ185,KMB!AP185)))</f>
        <v>0</v>
      </c>
      <c r="J185">
        <f>SUMPRODUCT((MONTH(CHOOSE({1,2,3,4},KMB!U185,KMB!AA185,KMB!AG185,KMB!AM185))=10)*(CHOOSE({1,2,3,4},KMB!X185,KMB!AD185,KMB!AJ185,KMB!AP185)))</f>
        <v>0</v>
      </c>
      <c r="K185">
        <f>SUMPRODUCT((MONTH(CHOOSE({1,2,3,4},KMB!U185,KMB!AA185,KMB!AG185,KMB!AM185))=11)*(CHOOSE({1,2,3,4},KMB!X185,KMB!AD185,KMB!AJ185,KMB!AP185)))</f>
        <v>0</v>
      </c>
      <c r="L185">
        <f>SUMPRODUCT((MONTH(CHOOSE({1,2,3,4},KMB!U185,KMB!AA185,KMB!AG185,KMB!AM185))=12)*(CHOOSE({1,2,3,4},KMB!X185,KMB!AD185,KMB!AJ185,KMB!AP185)))</f>
        <v>0</v>
      </c>
    </row>
    <row r="186" spans="1:12">
      <c r="A186">
        <f>SUMPRODUCT((MONTH(CHOOSE({1,2,3,4},KMB!U186,KMB!AA186,KMB!AG186,KMB!AM186))=1)*(CHOOSE({1,2,3,4},KMB!X186,KMB!AD186,KMB!AJ186,KMB!AP186)))</f>
        <v>0</v>
      </c>
      <c r="B186">
        <f>SUMPRODUCT((MONTH(CHOOSE({1,2,3,4},KMB!U186,KMB!AA186,KMB!AG186,KMB!AM186))=2)*(CHOOSE({1,2,3,4},KMB!X186,KMB!AD186,KMB!AJ186,KMB!AP186)))</f>
        <v>0</v>
      </c>
      <c r="C186">
        <f>SUMPRODUCT((MONTH(CHOOSE({1,2,3,4},KMB!U186,KMB!AA186,KMB!AG186,KMB!AM186))=3)*(CHOOSE({1,2,3,4},KMB!X186,KMB!AD186,KMB!AJ186,KMB!AP186)))</f>
        <v>0</v>
      </c>
      <c r="D186">
        <f>SUMPRODUCT((MONTH(CHOOSE({1,2,3,4},KMB!U186,KMB!AA186,KMB!AG186,KMB!AM186))=4)*(CHOOSE({1,2,3,4},KMB!X186,KMB!AD186,KMB!AJ186,KMB!AP186)))</f>
        <v>0</v>
      </c>
      <c r="E186">
        <f>SUMPRODUCT((MONTH(CHOOSE({1,2,3,4},KMB!U186,KMB!AA186,KMB!AG186,KMB!AM186))=5)*(CHOOSE({1,2,3,4},KMB!X186,KMB!AD186,KMB!AJ186,KMB!AP186)))</f>
        <v>0</v>
      </c>
      <c r="F186">
        <f>SUMPRODUCT((MONTH(CHOOSE({1,2,3,4},KMB!U186,KMB!AA186,KMB!AG186,KMB!AM186))=6)*(CHOOSE({1,2,3,4},KMB!X186,KMB!AD186,KMB!AJ186,KMB!AP186)))</f>
        <v>0</v>
      </c>
      <c r="G186">
        <f>SUMPRODUCT((MONTH(CHOOSE({1,2,3,4},KMB!U186,KMB!AA186,KMB!AG186,KMB!AM186))=7)*(CHOOSE({1,2,3,4},KMB!X186,KMB!AD186,KMB!AJ186,KMB!AP186)))</f>
        <v>0</v>
      </c>
      <c r="H186">
        <f>SUMPRODUCT((MONTH(CHOOSE({1,2,3,4},KMB!U186,KMB!AA186,KMB!AG186,KMB!AM186))=8)*(CHOOSE({1,2,3,4},KMB!X186,KMB!AD186,KMB!AJ186,KMB!AP186)))</f>
        <v>0</v>
      </c>
      <c r="I186">
        <f>SUMPRODUCT((MONTH(CHOOSE({1,2,3,4},KMB!U186,KMB!AA186,KMB!AG186,KMB!AM186))=9)*(CHOOSE({1,2,3,4},KMB!X186,KMB!AD186,KMB!AJ186,KMB!AP186)))</f>
        <v>0</v>
      </c>
      <c r="J186">
        <f>SUMPRODUCT((MONTH(CHOOSE({1,2,3,4},KMB!U186,KMB!AA186,KMB!AG186,KMB!AM186))=10)*(CHOOSE({1,2,3,4},KMB!X186,KMB!AD186,KMB!AJ186,KMB!AP186)))</f>
        <v>0</v>
      </c>
      <c r="K186">
        <f>SUMPRODUCT((MONTH(CHOOSE({1,2,3,4},KMB!U186,KMB!AA186,KMB!AG186,KMB!AM186))=11)*(CHOOSE({1,2,3,4},KMB!X186,KMB!AD186,KMB!AJ186,KMB!AP186)))</f>
        <v>0</v>
      </c>
      <c r="L186">
        <f>SUMPRODUCT((MONTH(CHOOSE({1,2,3,4},KMB!U186,KMB!AA186,KMB!AG186,KMB!AM186))=12)*(CHOOSE({1,2,3,4},KMB!X186,KMB!AD186,KMB!AJ186,KMB!AP186)))</f>
        <v>0</v>
      </c>
    </row>
    <row r="187" spans="1:12">
      <c r="A187">
        <f>SUMPRODUCT((MONTH(CHOOSE({1,2,3,4},KMB!U187,KMB!AA187,KMB!AG187,KMB!AM187))=1)*(CHOOSE({1,2,3,4},KMB!X187,KMB!AD187,KMB!AJ187,KMB!AP187)))</f>
        <v>0</v>
      </c>
      <c r="B187">
        <f>SUMPRODUCT((MONTH(CHOOSE({1,2,3,4},KMB!U187,KMB!AA187,KMB!AG187,KMB!AM187))=2)*(CHOOSE({1,2,3,4},KMB!X187,KMB!AD187,KMB!AJ187,KMB!AP187)))</f>
        <v>0</v>
      </c>
      <c r="C187">
        <f>SUMPRODUCT((MONTH(CHOOSE({1,2,3,4},KMB!U187,KMB!AA187,KMB!AG187,KMB!AM187))=3)*(CHOOSE({1,2,3,4},KMB!X187,KMB!AD187,KMB!AJ187,KMB!AP187)))</f>
        <v>0</v>
      </c>
      <c r="D187">
        <f>SUMPRODUCT((MONTH(CHOOSE({1,2,3,4},KMB!U187,KMB!AA187,KMB!AG187,KMB!AM187))=4)*(CHOOSE({1,2,3,4},KMB!X187,KMB!AD187,KMB!AJ187,KMB!AP187)))</f>
        <v>0</v>
      </c>
      <c r="E187">
        <f>SUMPRODUCT((MONTH(CHOOSE({1,2,3,4},KMB!U187,KMB!AA187,KMB!AG187,KMB!AM187))=5)*(CHOOSE({1,2,3,4},KMB!X187,KMB!AD187,KMB!AJ187,KMB!AP187)))</f>
        <v>0</v>
      </c>
      <c r="F187">
        <f>SUMPRODUCT((MONTH(CHOOSE({1,2,3,4},KMB!U187,KMB!AA187,KMB!AG187,KMB!AM187))=6)*(CHOOSE({1,2,3,4},KMB!X187,KMB!AD187,KMB!AJ187,KMB!AP187)))</f>
        <v>0</v>
      </c>
      <c r="G187">
        <f>SUMPRODUCT((MONTH(CHOOSE({1,2,3,4},KMB!U187,KMB!AA187,KMB!AG187,KMB!AM187))=7)*(CHOOSE({1,2,3,4},KMB!X187,KMB!AD187,KMB!AJ187,KMB!AP187)))</f>
        <v>0</v>
      </c>
      <c r="H187">
        <f>SUMPRODUCT((MONTH(CHOOSE({1,2,3,4},KMB!U187,KMB!AA187,KMB!AG187,KMB!AM187))=8)*(CHOOSE({1,2,3,4},KMB!X187,KMB!AD187,KMB!AJ187,KMB!AP187)))</f>
        <v>0</v>
      </c>
      <c r="I187">
        <f>SUMPRODUCT((MONTH(CHOOSE({1,2,3,4},KMB!U187,KMB!AA187,KMB!AG187,KMB!AM187))=9)*(CHOOSE({1,2,3,4},KMB!X187,KMB!AD187,KMB!AJ187,KMB!AP187)))</f>
        <v>0</v>
      </c>
      <c r="J187">
        <f>SUMPRODUCT((MONTH(CHOOSE({1,2,3,4},KMB!U187,KMB!AA187,KMB!AG187,KMB!AM187))=10)*(CHOOSE({1,2,3,4},KMB!X187,KMB!AD187,KMB!AJ187,KMB!AP187)))</f>
        <v>0</v>
      </c>
      <c r="K187">
        <f>SUMPRODUCT((MONTH(CHOOSE({1,2,3,4},KMB!U187,KMB!AA187,KMB!AG187,KMB!AM187))=11)*(CHOOSE({1,2,3,4},KMB!X187,KMB!AD187,KMB!AJ187,KMB!AP187)))</f>
        <v>0</v>
      </c>
      <c r="L187">
        <f>SUMPRODUCT((MONTH(CHOOSE({1,2,3,4},KMB!U187,KMB!AA187,KMB!AG187,KMB!AM187))=12)*(CHOOSE({1,2,3,4},KMB!X187,KMB!AD187,KMB!AJ187,KMB!AP187)))</f>
        <v>0</v>
      </c>
    </row>
    <row r="188" spans="1:12">
      <c r="A188">
        <f>SUMPRODUCT((MONTH(CHOOSE({1,2,3,4},KMB!U188,KMB!AA188,KMB!AG188,KMB!AM188))=1)*(CHOOSE({1,2,3,4},KMB!X188,KMB!AD188,KMB!AJ188,KMB!AP188)))</f>
        <v>0</v>
      </c>
      <c r="B188">
        <f>SUMPRODUCT((MONTH(CHOOSE({1,2,3,4},KMB!U188,KMB!AA188,KMB!AG188,KMB!AM188))=2)*(CHOOSE({1,2,3,4},KMB!X188,KMB!AD188,KMB!AJ188,KMB!AP188)))</f>
        <v>0</v>
      </c>
      <c r="C188">
        <f>SUMPRODUCT((MONTH(CHOOSE({1,2,3,4},KMB!U188,KMB!AA188,KMB!AG188,KMB!AM188))=3)*(CHOOSE({1,2,3,4},KMB!X188,KMB!AD188,KMB!AJ188,KMB!AP188)))</f>
        <v>0</v>
      </c>
      <c r="D188">
        <f>SUMPRODUCT((MONTH(CHOOSE({1,2,3,4},KMB!U188,KMB!AA188,KMB!AG188,KMB!AM188))=4)*(CHOOSE({1,2,3,4},KMB!X188,KMB!AD188,KMB!AJ188,KMB!AP188)))</f>
        <v>0</v>
      </c>
      <c r="E188">
        <f>SUMPRODUCT((MONTH(CHOOSE({1,2,3,4},KMB!U188,KMB!AA188,KMB!AG188,KMB!AM188))=5)*(CHOOSE({1,2,3,4},KMB!X188,KMB!AD188,KMB!AJ188,KMB!AP188)))</f>
        <v>0</v>
      </c>
      <c r="F188">
        <f>SUMPRODUCT((MONTH(CHOOSE({1,2,3,4},KMB!U188,KMB!AA188,KMB!AG188,KMB!AM188))=6)*(CHOOSE({1,2,3,4},KMB!X188,KMB!AD188,KMB!AJ188,KMB!AP188)))</f>
        <v>0</v>
      </c>
      <c r="G188">
        <f>SUMPRODUCT((MONTH(CHOOSE({1,2,3,4},KMB!U188,KMB!AA188,KMB!AG188,KMB!AM188))=7)*(CHOOSE({1,2,3,4},KMB!X188,KMB!AD188,KMB!AJ188,KMB!AP188)))</f>
        <v>0</v>
      </c>
      <c r="H188">
        <f>SUMPRODUCT((MONTH(CHOOSE({1,2,3,4},KMB!U188,KMB!AA188,KMB!AG188,KMB!AM188))=8)*(CHOOSE({1,2,3,4},KMB!X188,KMB!AD188,KMB!AJ188,KMB!AP188)))</f>
        <v>0</v>
      </c>
      <c r="I188">
        <f>SUMPRODUCT((MONTH(CHOOSE({1,2,3,4},KMB!U188,KMB!AA188,KMB!AG188,KMB!AM188))=9)*(CHOOSE({1,2,3,4},KMB!X188,KMB!AD188,KMB!AJ188,KMB!AP188)))</f>
        <v>0</v>
      </c>
      <c r="J188">
        <f>SUMPRODUCT((MONTH(CHOOSE({1,2,3,4},KMB!U188,KMB!AA188,KMB!AG188,KMB!AM188))=10)*(CHOOSE({1,2,3,4},KMB!X188,KMB!AD188,KMB!AJ188,KMB!AP188)))</f>
        <v>0</v>
      </c>
      <c r="K188">
        <f>SUMPRODUCT((MONTH(CHOOSE({1,2,3,4},KMB!U188,KMB!AA188,KMB!AG188,KMB!AM188))=11)*(CHOOSE({1,2,3,4},KMB!X188,KMB!AD188,KMB!AJ188,KMB!AP188)))</f>
        <v>0</v>
      </c>
      <c r="L188">
        <f>SUMPRODUCT((MONTH(CHOOSE({1,2,3,4},KMB!U188,KMB!AA188,KMB!AG188,KMB!AM188))=12)*(CHOOSE({1,2,3,4},KMB!X188,KMB!AD188,KMB!AJ188,KMB!AP188)))</f>
        <v>0</v>
      </c>
    </row>
    <row r="189" spans="1:12">
      <c r="A189">
        <f>SUMPRODUCT((MONTH(CHOOSE({1,2,3,4},KMB!U189,KMB!AA189,KMB!AG189,KMB!AM189))=1)*(CHOOSE({1,2,3,4},KMB!X189,KMB!AD189,KMB!AJ189,KMB!AP189)))</f>
        <v>0</v>
      </c>
      <c r="B189">
        <f>SUMPRODUCT((MONTH(CHOOSE({1,2,3,4},KMB!U189,KMB!AA189,KMB!AG189,KMB!AM189))=2)*(CHOOSE({1,2,3,4},KMB!X189,KMB!AD189,KMB!AJ189,KMB!AP189)))</f>
        <v>0</v>
      </c>
      <c r="C189">
        <f>SUMPRODUCT((MONTH(CHOOSE({1,2,3,4},KMB!U189,KMB!AA189,KMB!AG189,KMB!AM189))=3)*(CHOOSE({1,2,3,4},KMB!X189,KMB!AD189,KMB!AJ189,KMB!AP189)))</f>
        <v>0</v>
      </c>
      <c r="D189">
        <f>SUMPRODUCT((MONTH(CHOOSE({1,2,3,4},KMB!U189,KMB!AA189,KMB!AG189,KMB!AM189))=4)*(CHOOSE({1,2,3,4},KMB!X189,KMB!AD189,KMB!AJ189,KMB!AP189)))</f>
        <v>0</v>
      </c>
      <c r="E189">
        <f>SUMPRODUCT((MONTH(CHOOSE({1,2,3,4},KMB!U189,KMB!AA189,KMB!AG189,KMB!AM189))=5)*(CHOOSE({1,2,3,4},KMB!X189,KMB!AD189,KMB!AJ189,KMB!AP189)))</f>
        <v>0</v>
      </c>
      <c r="F189">
        <f>SUMPRODUCT((MONTH(CHOOSE({1,2,3,4},KMB!U189,KMB!AA189,KMB!AG189,KMB!AM189))=6)*(CHOOSE({1,2,3,4},KMB!X189,KMB!AD189,KMB!AJ189,KMB!AP189)))</f>
        <v>0</v>
      </c>
      <c r="G189">
        <f>SUMPRODUCT((MONTH(CHOOSE({1,2,3,4},KMB!U189,KMB!AA189,KMB!AG189,KMB!AM189))=7)*(CHOOSE({1,2,3,4},KMB!X189,KMB!AD189,KMB!AJ189,KMB!AP189)))</f>
        <v>0</v>
      </c>
      <c r="H189">
        <f>SUMPRODUCT((MONTH(CHOOSE({1,2,3,4},KMB!U189,KMB!AA189,KMB!AG189,KMB!AM189))=8)*(CHOOSE({1,2,3,4},KMB!X189,KMB!AD189,KMB!AJ189,KMB!AP189)))</f>
        <v>0</v>
      </c>
      <c r="I189">
        <f>SUMPRODUCT((MONTH(CHOOSE({1,2,3,4},KMB!U189,KMB!AA189,KMB!AG189,KMB!AM189))=9)*(CHOOSE({1,2,3,4},KMB!X189,KMB!AD189,KMB!AJ189,KMB!AP189)))</f>
        <v>0</v>
      </c>
      <c r="J189">
        <f>SUMPRODUCT((MONTH(CHOOSE({1,2,3,4},KMB!U189,KMB!AA189,KMB!AG189,KMB!AM189))=10)*(CHOOSE({1,2,3,4},KMB!X189,KMB!AD189,KMB!AJ189,KMB!AP189)))</f>
        <v>0</v>
      </c>
      <c r="K189">
        <f>SUMPRODUCT((MONTH(CHOOSE({1,2,3,4},KMB!U189,KMB!AA189,KMB!AG189,KMB!AM189))=11)*(CHOOSE({1,2,3,4},KMB!X189,KMB!AD189,KMB!AJ189,KMB!AP189)))</f>
        <v>0</v>
      </c>
      <c r="L189">
        <f>SUMPRODUCT((MONTH(CHOOSE({1,2,3,4},KMB!U189,KMB!AA189,KMB!AG189,KMB!AM189))=12)*(CHOOSE({1,2,3,4},KMB!X189,KMB!AD189,KMB!AJ189,KMB!AP189)))</f>
        <v>0</v>
      </c>
    </row>
    <row r="190" spans="1:12">
      <c r="A190">
        <f>SUMPRODUCT((MONTH(CHOOSE({1,2,3,4},KMB!U190,KMB!AA190,KMB!AG190,KMB!AM190))=1)*(CHOOSE({1,2,3,4},KMB!X190,KMB!AD190,KMB!AJ190,KMB!AP190)))</f>
        <v>0</v>
      </c>
      <c r="B190">
        <f>SUMPRODUCT((MONTH(CHOOSE({1,2,3,4},KMB!U190,KMB!AA190,KMB!AG190,KMB!AM190))=2)*(CHOOSE({1,2,3,4},KMB!X190,KMB!AD190,KMB!AJ190,KMB!AP190)))</f>
        <v>0</v>
      </c>
      <c r="C190">
        <f>SUMPRODUCT((MONTH(CHOOSE({1,2,3,4},KMB!U190,KMB!AA190,KMB!AG190,KMB!AM190))=3)*(CHOOSE({1,2,3,4},KMB!X190,KMB!AD190,KMB!AJ190,KMB!AP190)))</f>
        <v>0</v>
      </c>
      <c r="D190">
        <f>SUMPRODUCT((MONTH(CHOOSE({1,2,3,4},KMB!U190,KMB!AA190,KMB!AG190,KMB!AM190))=4)*(CHOOSE({1,2,3,4},KMB!X190,KMB!AD190,KMB!AJ190,KMB!AP190)))</f>
        <v>0</v>
      </c>
      <c r="E190">
        <f>SUMPRODUCT((MONTH(CHOOSE({1,2,3,4},KMB!U190,KMB!AA190,KMB!AG190,KMB!AM190))=5)*(CHOOSE({1,2,3,4},KMB!X190,KMB!AD190,KMB!AJ190,KMB!AP190)))</f>
        <v>0</v>
      </c>
      <c r="F190">
        <f>SUMPRODUCT((MONTH(CHOOSE({1,2,3,4},KMB!U190,KMB!AA190,KMB!AG190,KMB!AM190))=6)*(CHOOSE({1,2,3,4},KMB!X190,KMB!AD190,KMB!AJ190,KMB!AP190)))</f>
        <v>0</v>
      </c>
      <c r="G190">
        <f>SUMPRODUCT((MONTH(CHOOSE({1,2,3,4},KMB!U190,KMB!AA190,KMB!AG190,KMB!AM190))=7)*(CHOOSE({1,2,3,4},KMB!X190,KMB!AD190,KMB!AJ190,KMB!AP190)))</f>
        <v>0</v>
      </c>
      <c r="H190">
        <f>SUMPRODUCT((MONTH(CHOOSE({1,2,3,4},KMB!U190,KMB!AA190,KMB!AG190,KMB!AM190))=8)*(CHOOSE({1,2,3,4},KMB!X190,KMB!AD190,KMB!AJ190,KMB!AP190)))</f>
        <v>0</v>
      </c>
      <c r="I190">
        <f>SUMPRODUCT((MONTH(CHOOSE({1,2,3,4},KMB!U190,KMB!AA190,KMB!AG190,KMB!AM190))=9)*(CHOOSE({1,2,3,4},KMB!X190,KMB!AD190,KMB!AJ190,KMB!AP190)))</f>
        <v>0</v>
      </c>
      <c r="J190">
        <f>SUMPRODUCT((MONTH(CHOOSE({1,2,3,4},KMB!U190,KMB!AA190,KMB!AG190,KMB!AM190))=10)*(CHOOSE({1,2,3,4},KMB!X190,KMB!AD190,KMB!AJ190,KMB!AP190)))</f>
        <v>0</v>
      </c>
      <c r="K190">
        <f>SUMPRODUCT((MONTH(CHOOSE({1,2,3,4},KMB!U190,KMB!AA190,KMB!AG190,KMB!AM190))=11)*(CHOOSE({1,2,3,4},KMB!X190,KMB!AD190,KMB!AJ190,KMB!AP190)))</f>
        <v>0</v>
      </c>
      <c r="L190">
        <f>SUMPRODUCT((MONTH(CHOOSE({1,2,3,4},KMB!U190,KMB!AA190,KMB!AG190,KMB!AM190))=12)*(CHOOSE({1,2,3,4},KMB!X190,KMB!AD190,KMB!AJ190,KMB!AP190)))</f>
        <v>0</v>
      </c>
    </row>
    <row r="191" spans="1:12">
      <c r="A191">
        <f>SUMPRODUCT((MONTH(CHOOSE({1,2,3,4},KMB!U191,KMB!AA191,KMB!AG191,KMB!AM191))=1)*(CHOOSE({1,2,3,4},KMB!X191,KMB!AD191,KMB!AJ191,KMB!AP191)))</f>
        <v>0</v>
      </c>
      <c r="B191">
        <f>SUMPRODUCT((MONTH(CHOOSE({1,2,3,4},KMB!U191,KMB!AA191,KMB!AG191,KMB!AM191))=2)*(CHOOSE({1,2,3,4},KMB!X191,KMB!AD191,KMB!AJ191,KMB!AP191)))</f>
        <v>0</v>
      </c>
      <c r="C191">
        <f>SUMPRODUCT((MONTH(CHOOSE({1,2,3,4},KMB!U191,KMB!AA191,KMB!AG191,KMB!AM191))=3)*(CHOOSE({1,2,3,4},KMB!X191,KMB!AD191,KMB!AJ191,KMB!AP191)))</f>
        <v>0</v>
      </c>
      <c r="D191">
        <f>SUMPRODUCT((MONTH(CHOOSE({1,2,3,4},KMB!U191,KMB!AA191,KMB!AG191,KMB!AM191))=4)*(CHOOSE({1,2,3,4},KMB!X191,KMB!AD191,KMB!AJ191,KMB!AP191)))</f>
        <v>0</v>
      </c>
      <c r="E191">
        <f>SUMPRODUCT((MONTH(CHOOSE({1,2,3,4},KMB!U191,KMB!AA191,KMB!AG191,KMB!AM191))=5)*(CHOOSE({1,2,3,4},KMB!X191,KMB!AD191,KMB!AJ191,KMB!AP191)))</f>
        <v>0</v>
      </c>
      <c r="F191">
        <f>SUMPRODUCT((MONTH(CHOOSE({1,2,3,4},KMB!U191,KMB!AA191,KMB!AG191,KMB!AM191))=6)*(CHOOSE({1,2,3,4},KMB!X191,KMB!AD191,KMB!AJ191,KMB!AP191)))</f>
        <v>0</v>
      </c>
      <c r="G191">
        <f>SUMPRODUCT((MONTH(CHOOSE({1,2,3,4},KMB!U191,KMB!AA191,KMB!AG191,KMB!AM191))=7)*(CHOOSE({1,2,3,4},KMB!X191,KMB!AD191,KMB!AJ191,KMB!AP191)))</f>
        <v>0</v>
      </c>
      <c r="H191">
        <f>SUMPRODUCT((MONTH(CHOOSE({1,2,3,4},KMB!U191,KMB!AA191,KMB!AG191,KMB!AM191))=8)*(CHOOSE({1,2,3,4},KMB!X191,KMB!AD191,KMB!AJ191,KMB!AP191)))</f>
        <v>0</v>
      </c>
      <c r="I191">
        <f>SUMPRODUCT((MONTH(CHOOSE({1,2,3,4},KMB!U191,KMB!AA191,KMB!AG191,KMB!AM191))=9)*(CHOOSE({1,2,3,4},KMB!X191,KMB!AD191,KMB!AJ191,KMB!AP191)))</f>
        <v>0</v>
      </c>
      <c r="J191">
        <f>SUMPRODUCT((MONTH(CHOOSE({1,2,3,4},KMB!U191,KMB!AA191,KMB!AG191,KMB!AM191))=10)*(CHOOSE({1,2,3,4},KMB!X191,KMB!AD191,KMB!AJ191,KMB!AP191)))</f>
        <v>0</v>
      </c>
      <c r="K191">
        <f>SUMPRODUCT((MONTH(CHOOSE({1,2,3,4},KMB!U191,KMB!AA191,KMB!AG191,KMB!AM191))=11)*(CHOOSE({1,2,3,4},KMB!X191,KMB!AD191,KMB!AJ191,KMB!AP191)))</f>
        <v>0</v>
      </c>
      <c r="L191">
        <f>SUMPRODUCT((MONTH(CHOOSE({1,2,3,4},KMB!U191,KMB!AA191,KMB!AG191,KMB!AM191))=12)*(CHOOSE({1,2,3,4},KMB!X191,KMB!AD191,KMB!AJ191,KMB!AP191)))</f>
        <v>0</v>
      </c>
    </row>
    <row r="192" spans="1:12">
      <c r="A192">
        <f>SUMPRODUCT((MONTH(CHOOSE({1,2,3,4},KMB!U192,KMB!AA192,KMB!AG192,KMB!AM192))=1)*(CHOOSE({1,2,3,4},KMB!X192,KMB!AD192,KMB!AJ192,KMB!AP192)))</f>
        <v>0</v>
      </c>
      <c r="B192">
        <f>SUMPRODUCT((MONTH(CHOOSE({1,2,3,4},KMB!U192,KMB!AA192,KMB!AG192,KMB!AM192))=2)*(CHOOSE({1,2,3,4},KMB!X192,KMB!AD192,KMB!AJ192,KMB!AP192)))</f>
        <v>0</v>
      </c>
      <c r="C192">
        <f>SUMPRODUCT((MONTH(CHOOSE({1,2,3,4},KMB!U192,KMB!AA192,KMB!AG192,KMB!AM192))=3)*(CHOOSE({1,2,3,4},KMB!X192,KMB!AD192,KMB!AJ192,KMB!AP192)))</f>
        <v>0</v>
      </c>
      <c r="D192">
        <f>SUMPRODUCT((MONTH(CHOOSE({1,2,3,4},KMB!U192,KMB!AA192,KMB!AG192,KMB!AM192))=4)*(CHOOSE({1,2,3,4},KMB!X192,KMB!AD192,KMB!AJ192,KMB!AP192)))</f>
        <v>0</v>
      </c>
      <c r="E192">
        <f>SUMPRODUCT((MONTH(CHOOSE({1,2,3,4},KMB!U192,KMB!AA192,KMB!AG192,KMB!AM192))=5)*(CHOOSE({1,2,3,4},KMB!X192,KMB!AD192,KMB!AJ192,KMB!AP192)))</f>
        <v>0</v>
      </c>
      <c r="F192">
        <f>SUMPRODUCT((MONTH(CHOOSE({1,2,3,4},KMB!U192,KMB!AA192,KMB!AG192,KMB!AM192))=6)*(CHOOSE({1,2,3,4},KMB!X192,KMB!AD192,KMB!AJ192,KMB!AP192)))</f>
        <v>0</v>
      </c>
      <c r="G192">
        <f>SUMPRODUCT((MONTH(CHOOSE({1,2,3,4},KMB!U192,KMB!AA192,KMB!AG192,KMB!AM192))=7)*(CHOOSE({1,2,3,4},KMB!X192,KMB!AD192,KMB!AJ192,KMB!AP192)))</f>
        <v>0</v>
      </c>
      <c r="H192">
        <f>SUMPRODUCT((MONTH(CHOOSE({1,2,3,4},KMB!U192,KMB!AA192,KMB!AG192,KMB!AM192))=8)*(CHOOSE({1,2,3,4},KMB!X192,KMB!AD192,KMB!AJ192,KMB!AP192)))</f>
        <v>0</v>
      </c>
      <c r="I192">
        <f>SUMPRODUCT((MONTH(CHOOSE({1,2,3,4},KMB!U192,KMB!AA192,KMB!AG192,KMB!AM192))=9)*(CHOOSE({1,2,3,4},KMB!X192,KMB!AD192,KMB!AJ192,KMB!AP192)))</f>
        <v>0</v>
      </c>
      <c r="J192">
        <f>SUMPRODUCT((MONTH(CHOOSE({1,2,3,4},KMB!U192,KMB!AA192,KMB!AG192,KMB!AM192))=10)*(CHOOSE({1,2,3,4},KMB!X192,KMB!AD192,KMB!AJ192,KMB!AP192)))</f>
        <v>0</v>
      </c>
      <c r="K192">
        <f>SUMPRODUCT((MONTH(CHOOSE({1,2,3,4},KMB!U192,KMB!AA192,KMB!AG192,KMB!AM192))=11)*(CHOOSE({1,2,3,4},KMB!X192,KMB!AD192,KMB!AJ192,KMB!AP192)))</f>
        <v>0</v>
      </c>
      <c r="L192">
        <f>SUMPRODUCT((MONTH(CHOOSE({1,2,3,4},KMB!U192,KMB!AA192,KMB!AG192,KMB!AM192))=12)*(CHOOSE({1,2,3,4},KMB!X192,KMB!AD192,KMB!AJ192,KMB!AP192)))</f>
        <v>0</v>
      </c>
    </row>
    <row r="193" spans="1:12">
      <c r="A193">
        <f>SUMPRODUCT((MONTH(CHOOSE({1,2,3,4},KMB!U193,KMB!AA193,KMB!AG193,KMB!AM193))=1)*(CHOOSE({1,2,3,4},KMB!X193,KMB!AD193,KMB!AJ193,KMB!AP193)))</f>
        <v>0</v>
      </c>
      <c r="B193">
        <f>SUMPRODUCT((MONTH(CHOOSE({1,2,3,4},KMB!U193,KMB!AA193,KMB!AG193,KMB!AM193))=2)*(CHOOSE({1,2,3,4},KMB!X193,KMB!AD193,KMB!AJ193,KMB!AP193)))</f>
        <v>0</v>
      </c>
      <c r="C193">
        <f>SUMPRODUCT((MONTH(CHOOSE({1,2,3,4},KMB!U193,KMB!AA193,KMB!AG193,KMB!AM193))=3)*(CHOOSE({1,2,3,4},KMB!X193,KMB!AD193,KMB!AJ193,KMB!AP193)))</f>
        <v>0</v>
      </c>
      <c r="D193">
        <f>SUMPRODUCT((MONTH(CHOOSE({1,2,3,4},KMB!U193,KMB!AA193,KMB!AG193,KMB!AM193))=4)*(CHOOSE({1,2,3,4},KMB!X193,KMB!AD193,KMB!AJ193,KMB!AP193)))</f>
        <v>0</v>
      </c>
      <c r="E193">
        <f>SUMPRODUCT((MONTH(CHOOSE({1,2,3,4},KMB!U193,KMB!AA193,KMB!AG193,KMB!AM193))=5)*(CHOOSE({1,2,3,4},KMB!X193,KMB!AD193,KMB!AJ193,KMB!AP193)))</f>
        <v>0</v>
      </c>
      <c r="F193">
        <f>SUMPRODUCT((MONTH(CHOOSE({1,2,3,4},KMB!U193,KMB!AA193,KMB!AG193,KMB!AM193))=6)*(CHOOSE({1,2,3,4},KMB!X193,KMB!AD193,KMB!AJ193,KMB!AP193)))</f>
        <v>0</v>
      </c>
      <c r="G193">
        <f>SUMPRODUCT((MONTH(CHOOSE({1,2,3,4},KMB!U193,KMB!AA193,KMB!AG193,KMB!AM193))=7)*(CHOOSE({1,2,3,4},KMB!X193,KMB!AD193,KMB!AJ193,KMB!AP193)))</f>
        <v>0</v>
      </c>
      <c r="H193">
        <f>SUMPRODUCT((MONTH(CHOOSE({1,2,3,4},KMB!U193,KMB!AA193,KMB!AG193,KMB!AM193))=8)*(CHOOSE({1,2,3,4},KMB!X193,KMB!AD193,KMB!AJ193,KMB!AP193)))</f>
        <v>0</v>
      </c>
      <c r="I193">
        <f>SUMPRODUCT((MONTH(CHOOSE({1,2,3,4},KMB!U193,KMB!AA193,KMB!AG193,KMB!AM193))=9)*(CHOOSE({1,2,3,4},KMB!X193,KMB!AD193,KMB!AJ193,KMB!AP193)))</f>
        <v>0</v>
      </c>
      <c r="J193">
        <f>SUMPRODUCT((MONTH(CHOOSE({1,2,3,4},KMB!U193,KMB!AA193,KMB!AG193,KMB!AM193))=10)*(CHOOSE({1,2,3,4},KMB!X193,KMB!AD193,KMB!AJ193,KMB!AP193)))</f>
        <v>0</v>
      </c>
      <c r="K193">
        <f>SUMPRODUCT((MONTH(CHOOSE({1,2,3,4},KMB!U193,KMB!AA193,KMB!AG193,KMB!AM193))=11)*(CHOOSE({1,2,3,4},KMB!X193,KMB!AD193,KMB!AJ193,KMB!AP193)))</f>
        <v>0</v>
      </c>
      <c r="L193">
        <f>SUMPRODUCT((MONTH(CHOOSE({1,2,3,4},KMB!U193,KMB!AA193,KMB!AG193,KMB!AM193))=12)*(CHOOSE({1,2,3,4},KMB!X193,KMB!AD193,KMB!AJ193,KMB!AP193)))</f>
        <v>0</v>
      </c>
    </row>
    <row r="194" spans="1:12">
      <c r="A194">
        <f>SUMPRODUCT((MONTH(CHOOSE({1,2,3,4},KMB!U194,KMB!AA194,KMB!AG194,KMB!AM194))=1)*(CHOOSE({1,2,3,4},KMB!X194,KMB!AD194,KMB!AJ194,KMB!AP194)))</f>
        <v>0</v>
      </c>
      <c r="B194">
        <f>SUMPRODUCT((MONTH(CHOOSE({1,2,3,4},KMB!U194,KMB!AA194,KMB!AG194,KMB!AM194))=2)*(CHOOSE({1,2,3,4},KMB!X194,KMB!AD194,KMB!AJ194,KMB!AP194)))</f>
        <v>0</v>
      </c>
      <c r="C194">
        <f>SUMPRODUCT((MONTH(CHOOSE({1,2,3,4},KMB!U194,KMB!AA194,KMB!AG194,KMB!AM194))=3)*(CHOOSE({1,2,3,4},KMB!X194,KMB!AD194,KMB!AJ194,KMB!AP194)))</f>
        <v>0</v>
      </c>
      <c r="D194">
        <f>SUMPRODUCT((MONTH(CHOOSE({1,2,3,4},KMB!U194,KMB!AA194,KMB!AG194,KMB!AM194))=4)*(CHOOSE({1,2,3,4},KMB!X194,KMB!AD194,KMB!AJ194,KMB!AP194)))</f>
        <v>0</v>
      </c>
      <c r="E194">
        <f>SUMPRODUCT((MONTH(CHOOSE({1,2,3,4},KMB!U194,KMB!AA194,KMB!AG194,KMB!AM194))=5)*(CHOOSE({1,2,3,4},KMB!X194,KMB!AD194,KMB!AJ194,KMB!AP194)))</f>
        <v>0</v>
      </c>
      <c r="F194">
        <f>SUMPRODUCT((MONTH(CHOOSE({1,2,3,4},KMB!U194,KMB!AA194,KMB!AG194,KMB!AM194))=6)*(CHOOSE({1,2,3,4},KMB!X194,KMB!AD194,KMB!AJ194,KMB!AP194)))</f>
        <v>0</v>
      </c>
      <c r="G194">
        <f>SUMPRODUCT((MONTH(CHOOSE({1,2,3,4},KMB!U194,KMB!AA194,KMB!AG194,KMB!AM194))=7)*(CHOOSE({1,2,3,4},KMB!X194,KMB!AD194,KMB!AJ194,KMB!AP194)))</f>
        <v>0</v>
      </c>
      <c r="H194">
        <f>SUMPRODUCT((MONTH(CHOOSE({1,2,3,4},KMB!U194,KMB!AA194,KMB!AG194,KMB!AM194))=8)*(CHOOSE({1,2,3,4},KMB!X194,KMB!AD194,KMB!AJ194,KMB!AP194)))</f>
        <v>0</v>
      </c>
      <c r="I194">
        <f>SUMPRODUCT((MONTH(CHOOSE({1,2,3,4},KMB!U194,KMB!AA194,KMB!AG194,KMB!AM194))=9)*(CHOOSE({1,2,3,4},KMB!X194,KMB!AD194,KMB!AJ194,KMB!AP194)))</f>
        <v>0</v>
      </c>
      <c r="J194">
        <f>SUMPRODUCT((MONTH(CHOOSE({1,2,3,4},KMB!U194,KMB!AA194,KMB!AG194,KMB!AM194))=10)*(CHOOSE({1,2,3,4},KMB!X194,KMB!AD194,KMB!AJ194,KMB!AP194)))</f>
        <v>0</v>
      </c>
      <c r="K194">
        <f>SUMPRODUCT((MONTH(CHOOSE({1,2,3,4},KMB!U194,KMB!AA194,KMB!AG194,KMB!AM194))=11)*(CHOOSE({1,2,3,4},KMB!X194,KMB!AD194,KMB!AJ194,KMB!AP194)))</f>
        <v>0</v>
      </c>
      <c r="L194">
        <f>SUMPRODUCT((MONTH(CHOOSE({1,2,3,4},KMB!U194,KMB!AA194,KMB!AG194,KMB!AM194))=12)*(CHOOSE({1,2,3,4},KMB!X194,KMB!AD194,KMB!AJ194,KMB!AP194)))</f>
        <v>0</v>
      </c>
    </row>
    <row r="195" spans="1:12">
      <c r="A195">
        <f>SUMPRODUCT((MONTH(CHOOSE({1,2,3,4},KMB!U195,KMB!AA195,KMB!AG195,KMB!AM195))=1)*(CHOOSE({1,2,3,4},KMB!X195,KMB!AD195,KMB!AJ195,KMB!AP195)))</f>
        <v>0</v>
      </c>
      <c r="B195">
        <f>SUMPRODUCT((MONTH(CHOOSE({1,2,3,4},KMB!U195,KMB!AA195,KMB!AG195,KMB!AM195))=2)*(CHOOSE({1,2,3,4},KMB!X195,KMB!AD195,KMB!AJ195,KMB!AP195)))</f>
        <v>0</v>
      </c>
      <c r="C195">
        <f>SUMPRODUCT((MONTH(CHOOSE({1,2,3,4},KMB!U195,KMB!AA195,KMB!AG195,KMB!AM195))=3)*(CHOOSE({1,2,3,4},KMB!X195,KMB!AD195,KMB!AJ195,KMB!AP195)))</f>
        <v>0</v>
      </c>
      <c r="D195">
        <f>SUMPRODUCT((MONTH(CHOOSE({1,2,3,4},KMB!U195,KMB!AA195,KMB!AG195,KMB!AM195))=4)*(CHOOSE({1,2,3,4},KMB!X195,KMB!AD195,KMB!AJ195,KMB!AP195)))</f>
        <v>0</v>
      </c>
      <c r="E195">
        <f>SUMPRODUCT((MONTH(CHOOSE({1,2,3,4},KMB!U195,KMB!AA195,KMB!AG195,KMB!AM195))=5)*(CHOOSE({1,2,3,4},KMB!X195,KMB!AD195,KMB!AJ195,KMB!AP195)))</f>
        <v>0</v>
      </c>
      <c r="F195">
        <f>SUMPRODUCT((MONTH(CHOOSE({1,2,3,4},KMB!U195,KMB!AA195,KMB!AG195,KMB!AM195))=6)*(CHOOSE({1,2,3,4},KMB!X195,KMB!AD195,KMB!AJ195,KMB!AP195)))</f>
        <v>0</v>
      </c>
      <c r="G195">
        <f>SUMPRODUCT((MONTH(CHOOSE({1,2,3,4},KMB!U195,KMB!AA195,KMB!AG195,KMB!AM195))=7)*(CHOOSE({1,2,3,4},KMB!X195,KMB!AD195,KMB!AJ195,KMB!AP195)))</f>
        <v>0</v>
      </c>
      <c r="H195">
        <f>SUMPRODUCT((MONTH(CHOOSE({1,2,3,4},KMB!U195,KMB!AA195,KMB!AG195,KMB!AM195))=8)*(CHOOSE({1,2,3,4},KMB!X195,KMB!AD195,KMB!AJ195,KMB!AP195)))</f>
        <v>0</v>
      </c>
      <c r="I195">
        <f>SUMPRODUCT((MONTH(CHOOSE({1,2,3,4},KMB!U195,KMB!AA195,KMB!AG195,KMB!AM195))=9)*(CHOOSE({1,2,3,4},KMB!X195,KMB!AD195,KMB!AJ195,KMB!AP195)))</f>
        <v>0</v>
      </c>
      <c r="J195">
        <f>SUMPRODUCT((MONTH(CHOOSE({1,2,3,4},KMB!U195,KMB!AA195,KMB!AG195,KMB!AM195))=10)*(CHOOSE({1,2,3,4},KMB!X195,KMB!AD195,KMB!AJ195,KMB!AP195)))</f>
        <v>0</v>
      </c>
      <c r="K195">
        <f>SUMPRODUCT((MONTH(CHOOSE({1,2,3,4},KMB!U195,KMB!AA195,KMB!AG195,KMB!AM195))=11)*(CHOOSE({1,2,3,4},KMB!X195,KMB!AD195,KMB!AJ195,KMB!AP195)))</f>
        <v>0</v>
      </c>
      <c r="L195">
        <f>SUMPRODUCT((MONTH(CHOOSE({1,2,3,4},KMB!U195,KMB!AA195,KMB!AG195,KMB!AM195))=12)*(CHOOSE({1,2,3,4},KMB!X195,KMB!AD195,KMB!AJ195,KMB!AP195)))</f>
        <v>0</v>
      </c>
    </row>
    <row r="196" spans="1:12">
      <c r="A196">
        <f>SUMPRODUCT((MONTH(CHOOSE({1,2,3,4},KMB!U196,KMB!AA196,KMB!AG196,KMB!AM196))=1)*(CHOOSE({1,2,3,4},KMB!X196,KMB!AD196,KMB!AJ196,KMB!AP196)))</f>
        <v>0</v>
      </c>
      <c r="B196">
        <f>SUMPRODUCT((MONTH(CHOOSE({1,2,3,4},KMB!U196,KMB!AA196,KMB!AG196,KMB!AM196))=2)*(CHOOSE({1,2,3,4},KMB!X196,KMB!AD196,KMB!AJ196,KMB!AP196)))</f>
        <v>0</v>
      </c>
      <c r="C196">
        <f>SUMPRODUCT((MONTH(CHOOSE({1,2,3,4},KMB!U196,KMB!AA196,KMB!AG196,KMB!AM196))=3)*(CHOOSE({1,2,3,4},KMB!X196,KMB!AD196,KMB!AJ196,KMB!AP196)))</f>
        <v>0</v>
      </c>
      <c r="D196">
        <f>SUMPRODUCT((MONTH(CHOOSE({1,2,3,4},KMB!U196,KMB!AA196,KMB!AG196,KMB!AM196))=4)*(CHOOSE({1,2,3,4},KMB!X196,KMB!AD196,KMB!AJ196,KMB!AP196)))</f>
        <v>0</v>
      </c>
      <c r="E196">
        <f>SUMPRODUCT((MONTH(CHOOSE({1,2,3,4},KMB!U196,KMB!AA196,KMB!AG196,KMB!AM196))=5)*(CHOOSE({1,2,3,4},KMB!X196,KMB!AD196,KMB!AJ196,KMB!AP196)))</f>
        <v>0</v>
      </c>
      <c r="F196">
        <f>SUMPRODUCT((MONTH(CHOOSE({1,2,3,4},KMB!U196,KMB!AA196,KMB!AG196,KMB!AM196))=6)*(CHOOSE({1,2,3,4},KMB!X196,KMB!AD196,KMB!AJ196,KMB!AP196)))</f>
        <v>0</v>
      </c>
      <c r="G196">
        <f>SUMPRODUCT((MONTH(CHOOSE({1,2,3,4},KMB!U196,KMB!AA196,KMB!AG196,KMB!AM196))=7)*(CHOOSE({1,2,3,4},KMB!X196,KMB!AD196,KMB!AJ196,KMB!AP196)))</f>
        <v>0</v>
      </c>
      <c r="H196">
        <f>SUMPRODUCT((MONTH(CHOOSE({1,2,3,4},KMB!U196,KMB!AA196,KMB!AG196,KMB!AM196))=8)*(CHOOSE({1,2,3,4},KMB!X196,KMB!AD196,KMB!AJ196,KMB!AP196)))</f>
        <v>0</v>
      </c>
      <c r="I196">
        <f>SUMPRODUCT((MONTH(CHOOSE({1,2,3,4},KMB!U196,KMB!AA196,KMB!AG196,KMB!AM196))=9)*(CHOOSE({1,2,3,4},KMB!X196,KMB!AD196,KMB!AJ196,KMB!AP196)))</f>
        <v>0</v>
      </c>
      <c r="J196">
        <f>SUMPRODUCT((MONTH(CHOOSE({1,2,3,4},KMB!U196,KMB!AA196,KMB!AG196,KMB!AM196))=10)*(CHOOSE({1,2,3,4},KMB!X196,KMB!AD196,KMB!AJ196,KMB!AP196)))</f>
        <v>0</v>
      </c>
      <c r="K196">
        <f>SUMPRODUCT((MONTH(CHOOSE({1,2,3,4},KMB!U196,KMB!AA196,KMB!AG196,KMB!AM196))=11)*(CHOOSE({1,2,3,4},KMB!X196,KMB!AD196,KMB!AJ196,KMB!AP196)))</f>
        <v>0</v>
      </c>
      <c r="L196">
        <f>SUMPRODUCT((MONTH(CHOOSE({1,2,3,4},KMB!U196,KMB!AA196,KMB!AG196,KMB!AM196))=12)*(CHOOSE({1,2,3,4},KMB!X196,KMB!AD196,KMB!AJ196,KMB!AP196)))</f>
        <v>0</v>
      </c>
    </row>
    <row r="197" spans="1:12">
      <c r="A197">
        <f>SUMPRODUCT((MONTH(CHOOSE({1,2,3,4},KMB!U197,KMB!AA197,KMB!AG197,KMB!AM197))=1)*(CHOOSE({1,2,3,4},KMB!X197,KMB!AD197,KMB!AJ197,KMB!AP197)))</f>
        <v>0</v>
      </c>
      <c r="B197">
        <f>SUMPRODUCT((MONTH(CHOOSE({1,2,3,4},KMB!U197,KMB!AA197,KMB!AG197,KMB!AM197))=2)*(CHOOSE({1,2,3,4},KMB!X197,KMB!AD197,KMB!AJ197,KMB!AP197)))</f>
        <v>0</v>
      </c>
      <c r="C197">
        <f>SUMPRODUCT((MONTH(CHOOSE({1,2,3,4},KMB!U197,KMB!AA197,KMB!AG197,KMB!AM197))=3)*(CHOOSE({1,2,3,4},KMB!X197,KMB!AD197,KMB!AJ197,KMB!AP197)))</f>
        <v>0</v>
      </c>
      <c r="D197">
        <f>SUMPRODUCT((MONTH(CHOOSE({1,2,3,4},KMB!U197,KMB!AA197,KMB!AG197,KMB!AM197))=4)*(CHOOSE({1,2,3,4},KMB!X197,KMB!AD197,KMB!AJ197,KMB!AP197)))</f>
        <v>0</v>
      </c>
      <c r="E197">
        <f>SUMPRODUCT((MONTH(CHOOSE({1,2,3,4},KMB!U197,KMB!AA197,KMB!AG197,KMB!AM197))=5)*(CHOOSE({1,2,3,4},KMB!X197,KMB!AD197,KMB!AJ197,KMB!AP197)))</f>
        <v>0</v>
      </c>
      <c r="F197">
        <f>SUMPRODUCT((MONTH(CHOOSE({1,2,3,4},KMB!U197,KMB!AA197,KMB!AG197,KMB!AM197))=6)*(CHOOSE({1,2,3,4},KMB!X197,KMB!AD197,KMB!AJ197,KMB!AP197)))</f>
        <v>0</v>
      </c>
      <c r="G197">
        <f>SUMPRODUCT((MONTH(CHOOSE({1,2,3,4},KMB!U197,KMB!AA197,KMB!AG197,KMB!AM197))=7)*(CHOOSE({1,2,3,4},KMB!X197,KMB!AD197,KMB!AJ197,KMB!AP197)))</f>
        <v>0</v>
      </c>
      <c r="H197">
        <f>SUMPRODUCT((MONTH(CHOOSE({1,2,3,4},KMB!U197,KMB!AA197,KMB!AG197,KMB!AM197))=8)*(CHOOSE({1,2,3,4},KMB!X197,KMB!AD197,KMB!AJ197,KMB!AP197)))</f>
        <v>0</v>
      </c>
      <c r="I197">
        <f>SUMPRODUCT((MONTH(CHOOSE({1,2,3,4},KMB!U197,KMB!AA197,KMB!AG197,KMB!AM197))=9)*(CHOOSE({1,2,3,4},KMB!X197,KMB!AD197,KMB!AJ197,KMB!AP197)))</f>
        <v>0</v>
      </c>
      <c r="J197">
        <f>SUMPRODUCT((MONTH(CHOOSE({1,2,3,4},KMB!U197,KMB!AA197,KMB!AG197,KMB!AM197))=10)*(CHOOSE({1,2,3,4},KMB!X197,KMB!AD197,KMB!AJ197,KMB!AP197)))</f>
        <v>0</v>
      </c>
      <c r="K197">
        <f>SUMPRODUCT((MONTH(CHOOSE({1,2,3,4},KMB!U197,KMB!AA197,KMB!AG197,KMB!AM197))=11)*(CHOOSE({1,2,3,4},KMB!X197,KMB!AD197,KMB!AJ197,KMB!AP197)))</f>
        <v>0</v>
      </c>
      <c r="L197">
        <f>SUMPRODUCT((MONTH(CHOOSE({1,2,3,4},KMB!U197,KMB!AA197,KMB!AG197,KMB!AM197))=12)*(CHOOSE({1,2,3,4},KMB!X197,KMB!AD197,KMB!AJ197,KMB!AP197)))</f>
        <v>0</v>
      </c>
    </row>
    <row r="198" spans="1:12">
      <c r="A198">
        <f>SUMPRODUCT((MONTH(CHOOSE({1,2,3,4},KMB!U198,KMB!AA198,KMB!AG198,KMB!AM198))=1)*(CHOOSE({1,2,3,4},KMB!X198,KMB!AD198,KMB!AJ198,KMB!AP198)))</f>
        <v>0</v>
      </c>
      <c r="B198">
        <f>SUMPRODUCT((MONTH(CHOOSE({1,2,3,4},KMB!U198,KMB!AA198,KMB!AG198,KMB!AM198))=2)*(CHOOSE({1,2,3,4},KMB!X198,KMB!AD198,KMB!AJ198,KMB!AP198)))</f>
        <v>0</v>
      </c>
      <c r="C198">
        <f>SUMPRODUCT((MONTH(CHOOSE({1,2,3,4},KMB!U198,KMB!AA198,KMB!AG198,KMB!AM198))=3)*(CHOOSE({1,2,3,4},KMB!X198,KMB!AD198,KMB!AJ198,KMB!AP198)))</f>
        <v>0</v>
      </c>
      <c r="D198">
        <f>SUMPRODUCT((MONTH(CHOOSE({1,2,3,4},KMB!U198,KMB!AA198,KMB!AG198,KMB!AM198))=4)*(CHOOSE({1,2,3,4},KMB!X198,KMB!AD198,KMB!AJ198,KMB!AP198)))</f>
        <v>0</v>
      </c>
      <c r="E198">
        <f>SUMPRODUCT((MONTH(CHOOSE({1,2,3,4},KMB!U198,KMB!AA198,KMB!AG198,KMB!AM198))=5)*(CHOOSE({1,2,3,4},KMB!X198,KMB!AD198,KMB!AJ198,KMB!AP198)))</f>
        <v>0</v>
      </c>
      <c r="F198">
        <f>SUMPRODUCT((MONTH(CHOOSE({1,2,3,4},KMB!U198,KMB!AA198,KMB!AG198,KMB!AM198))=6)*(CHOOSE({1,2,3,4},KMB!X198,KMB!AD198,KMB!AJ198,KMB!AP198)))</f>
        <v>0</v>
      </c>
      <c r="G198">
        <f>SUMPRODUCT((MONTH(CHOOSE({1,2,3,4},KMB!U198,KMB!AA198,KMB!AG198,KMB!AM198))=7)*(CHOOSE({1,2,3,4},KMB!X198,KMB!AD198,KMB!AJ198,KMB!AP198)))</f>
        <v>0</v>
      </c>
      <c r="H198">
        <f>SUMPRODUCT((MONTH(CHOOSE({1,2,3,4},KMB!U198,KMB!AA198,KMB!AG198,KMB!AM198))=8)*(CHOOSE({1,2,3,4},KMB!X198,KMB!AD198,KMB!AJ198,KMB!AP198)))</f>
        <v>0</v>
      </c>
      <c r="I198">
        <f>SUMPRODUCT((MONTH(CHOOSE({1,2,3,4},KMB!U198,KMB!AA198,KMB!AG198,KMB!AM198))=9)*(CHOOSE({1,2,3,4},KMB!X198,KMB!AD198,KMB!AJ198,KMB!AP198)))</f>
        <v>0</v>
      </c>
      <c r="J198">
        <f>SUMPRODUCT((MONTH(CHOOSE({1,2,3,4},KMB!U198,KMB!AA198,KMB!AG198,KMB!AM198))=10)*(CHOOSE({1,2,3,4},KMB!X198,KMB!AD198,KMB!AJ198,KMB!AP198)))</f>
        <v>0</v>
      </c>
      <c r="K198">
        <f>SUMPRODUCT((MONTH(CHOOSE({1,2,3,4},KMB!U198,KMB!AA198,KMB!AG198,KMB!AM198))=11)*(CHOOSE({1,2,3,4},KMB!X198,KMB!AD198,KMB!AJ198,KMB!AP198)))</f>
        <v>0</v>
      </c>
      <c r="L198">
        <f>SUMPRODUCT((MONTH(CHOOSE({1,2,3,4},KMB!U198,KMB!AA198,KMB!AG198,KMB!AM198))=12)*(CHOOSE({1,2,3,4},KMB!X198,KMB!AD198,KMB!AJ198,KMB!AP198)))</f>
        <v>0</v>
      </c>
    </row>
    <row r="199" spans="1:12">
      <c r="A199">
        <f>SUMPRODUCT((MONTH(CHOOSE({1,2,3,4},KMB!U199,KMB!AA199,KMB!AG199,KMB!AM199))=1)*(CHOOSE({1,2,3,4},KMB!X199,KMB!AD199,KMB!AJ199,KMB!AP199)))</f>
        <v>0</v>
      </c>
      <c r="B199">
        <f>SUMPRODUCT((MONTH(CHOOSE({1,2,3,4},KMB!U199,KMB!AA199,KMB!AG199,KMB!AM199))=2)*(CHOOSE({1,2,3,4},KMB!X199,KMB!AD199,KMB!AJ199,KMB!AP199)))</f>
        <v>0</v>
      </c>
      <c r="C199">
        <f>SUMPRODUCT((MONTH(CHOOSE({1,2,3,4},KMB!U199,KMB!AA199,KMB!AG199,KMB!AM199))=3)*(CHOOSE({1,2,3,4},KMB!X199,KMB!AD199,KMB!AJ199,KMB!AP199)))</f>
        <v>0</v>
      </c>
      <c r="D199">
        <f>SUMPRODUCT((MONTH(CHOOSE({1,2,3,4},KMB!U199,KMB!AA199,KMB!AG199,KMB!AM199))=4)*(CHOOSE({1,2,3,4},KMB!X199,KMB!AD199,KMB!AJ199,KMB!AP199)))</f>
        <v>0</v>
      </c>
      <c r="E199">
        <f>SUMPRODUCT((MONTH(CHOOSE({1,2,3,4},KMB!U199,KMB!AA199,KMB!AG199,KMB!AM199))=5)*(CHOOSE({1,2,3,4},KMB!X199,KMB!AD199,KMB!AJ199,KMB!AP199)))</f>
        <v>0</v>
      </c>
      <c r="F199">
        <f>SUMPRODUCT((MONTH(CHOOSE({1,2,3,4},KMB!U199,KMB!AA199,KMB!AG199,KMB!AM199))=6)*(CHOOSE({1,2,3,4},KMB!X199,KMB!AD199,KMB!AJ199,KMB!AP199)))</f>
        <v>0</v>
      </c>
      <c r="G199">
        <f>SUMPRODUCT((MONTH(CHOOSE({1,2,3,4},KMB!U199,KMB!AA199,KMB!AG199,KMB!AM199))=7)*(CHOOSE({1,2,3,4},KMB!X199,KMB!AD199,KMB!AJ199,KMB!AP199)))</f>
        <v>0</v>
      </c>
      <c r="H199">
        <f>SUMPRODUCT((MONTH(CHOOSE({1,2,3,4},KMB!U199,KMB!AA199,KMB!AG199,KMB!AM199))=8)*(CHOOSE({1,2,3,4},KMB!X199,KMB!AD199,KMB!AJ199,KMB!AP199)))</f>
        <v>0</v>
      </c>
      <c r="I199">
        <f>SUMPRODUCT((MONTH(CHOOSE({1,2,3,4},KMB!U199,KMB!AA199,KMB!AG199,KMB!AM199))=9)*(CHOOSE({1,2,3,4},KMB!X199,KMB!AD199,KMB!AJ199,KMB!AP199)))</f>
        <v>0</v>
      </c>
      <c r="J199">
        <f>SUMPRODUCT((MONTH(CHOOSE({1,2,3,4},KMB!U199,KMB!AA199,KMB!AG199,KMB!AM199))=10)*(CHOOSE({1,2,3,4},KMB!X199,KMB!AD199,KMB!AJ199,KMB!AP199)))</f>
        <v>0</v>
      </c>
      <c r="K199">
        <f>SUMPRODUCT((MONTH(CHOOSE({1,2,3,4},KMB!U199,KMB!AA199,KMB!AG199,KMB!AM199))=11)*(CHOOSE({1,2,3,4},KMB!X199,KMB!AD199,KMB!AJ199,KMB!AP199)))</f>
        <v>0</v>
      </c>
      <c r="L199">
        <f>SUMPRODUCT((MONTH(CHOOSE({1,2,3,4},KMB!U199,KMB!AA199,KMB!AG199,KMB!AM199))=12)*(CHOOSE({1,2,3,4},KMB!X199,KMB!AD199,KMB!AJ199,KMB!AP199)))</f>
        <v>0</v>
      </c>
    </row>
    <row r="200" spans="1:12">
      <c r="A200">
        <f>SUMPRODUCT((MONTH(CHOOSE({1,2,3,4},KMB!U200,KMB!AA200,KMB!AG200,KMB!AM200))=1)*(CHOOSE({1,2,3,4},KMB!X200,KMB!AD200,KMB!AJ200,KMB!AP200)))</f>
        <v>0</v>
      </c>
      <c r="B200">
        <f>SUMPRODUCT((MONTH(CHOOSE({1,2,3,4},KMB!U200,KMB!AA200,KMB!AG200,KMB!AM200))=2)*(CHOOSE({1,2,3,4},KMB!X200,KMB!AD200,KMB!AJ200,KMB!AP200)))</f>
        <v>0</v>
      </c>
      <c r="C200">
        <f>SUMPRODUCT((MONTH(CHOOSE({1,2,3,4},KMB!U200,KMB!AA200,KMB!AG200,KMB!AM200))=3)*(CHOOSE({1,2,3,4},KMB!X200,KMB!AD200,KMB!AJ200,KMB!AP200)))</f>
        <v>0</v>
      </c>
      <c r="D200">
        <f>SUMPRODUCT((MONTH(CHOOSE({1,2,3,4},KMB!U200,KMB!AA200,KMB!AG200,KMB!AM200))=4)*(CHOOSE({1,2,3,4},KMB!X200,KMB!AD200,KMB!AJ200,KMB!AP200)))</f>
        <v>0</v>
      </c>
      <c r="E200">
        <f>SUMPRODUCT((MONTH(CHOOSE({1,2,3,4},KMB!U200,KMB!AA200,KMB!AG200,KMB!AM200))=5)*(CHOOSE({1,2,3,4},KMB!X200,KMB!AD200,KMB!AJ200,KMB!AP200)))</f>
        <v>0</v>
      </c>
      <c r="F200">
        <f>SUMPRODUCT((MONTH(CHOOSE({1,2,3,4},KMB!U200,KMB!AA200,KMB!AG200,KMB!AM200))=6)*(CHOOSE({1,2,3,4},KMB!X200,KMB!AD200,KMB!AJ200,KMB!AP200)))</f>
        <v>0</v>
      </c>
      <c r="G200">
        <f>SUMPRODUCT((MONTH(CHOOSE({1,2,3,4},KMB!U200,KMB!AA200,KMB!AG200,KMB!AM200))=7)*(CHOOSE({1,2,3,4},KMB!X200,KMB!AD200,KMB!AJ200,KMB!AP200)))</f>
        <v>0</v>
      </c>
      <c r="H200">
        <f>SUMPRODUCT((MONTH(CHOOSE({1,2,3,4},KMB!U200,KMB!AA200,KMB!AG200,KMB!AM200))=8)*(CHOOSE({1,2,3,4},KMB!X200,KMB!AD200,KMB!AJ200,KMB!AP200)))</f>
        <v>0</v>
      </c>
      <c r="I200">
        <f>SUMPRODUCT((MONTH(CHOOSE({1,2,3,4},KMB!U200,KMB!AA200,KMB!AG200,KMB!AM200))=9)*(CHOOSE({1,2,3,4},KMB!X200,KMB!AD200,KMB!AJ200,KMB!AP200)))</f>
        <v>0</v>
      </c>
      <c r="J200">
        <f>SUMPRODUCT((MONTH(CHOOSE({1,2,3,4},KMB!U200,KMB!AA200,KMB!AG200,KMB!AM200))=10)*(CHOOSE({1,2,3,4},KMB!X200,KMB!AD200,KMB!AJ200,KMB!AP200)))</f>
        <v>0</v>
      </c>
      <c r="K200">
        <f>SUMPRODUCT((MONTH(CHOOSE({1,2,3,4},KMB!U200,KMB!AA200,KMB!AG200,KMB!AM200))=11)*(CHOOSE({1,2,3,4},KMB!X200,KMB!AD200,KMB!AJ200,KMB!AP200)))</f>
        <v>0</v>
      </c>
      <c r="L200">
        <f>SUMPRODUCT((MONTH(CHOOSE({1,2,3,4},KMB!U200,KMB!AA200,KMB!AG200,KMB!AM200))=12)*(CHOOSE({1,2,3,4},KMB!X200,KMB!AD200,KMB!AJ200,KMB!AP200)))</f>
        <v>0</v>
      </c>
    </row>
    <row r="201" spans="1:12">
      <c r="A201">
        <f>SUMPRODUCT((MONTH(CHOOSE({1,2,3,4},KMB!U201,KMB!AA201,KMB!AG201,KMB!AM201))=1)*(CHOOSE({1,2,3,4},KMB!X201,KMB!AD201,KMB!AJ201,KMB!AP201)))</f>
        <v>0</v>
      </c>
      <c r="B201">
        <f>SUMPRODUCT((MONTH(CHOOSE({1,2,3,4},KMB!U201,KMB!AA201,KMB!AG201,KMB!AM201))=2)*(CHOOSE({1,2,3,4},KMB!X201,KMB!AD201,KMB!AJ201,KMB!AP201)))</f>
        <v>0</v>
      </c>
      <c r="C201">
        <f>SUMPRODUCT((MONTH(CHOOSE({1,2,3,4},KMB!U201,KMB!AA201,KMB!AG201,KMB!AM201))=3)*(CHOOSE({1,2,3,4},KMB!X201,KMB!AD201,KMB!AJ201,KMB!AP201)))</f>
        <v>0</v>
      </c>
      <c r="D201">
        <f>SUMPRODUCT((MONTH(CHOOSE({1,2,3,4},KMB!U201,KMB!AA201,KMB!AG201,KMB!AM201))=4)*(CHOOSE({1,2,3,4},KMB!X201,KMB!AD201,KMB!AJ201,KMB!AP201)))</f>
        <v>0</v>
      </c>
      <c r="E201">
        <f>SUMPRODUCT((MONTH(CHOOSE({1,2,3,4},KMB!U201,KMB!AA201,KMB!AG201,KMB!AM201))=5)*(CHOOSE({1,2,3,4},KMB!X201,KMB!AD201,KMB!AJ201,KMB!AP201)))</f>
        <v>0</v>
      </c>
      <c r="F201">
        <f>SUMPRODUCT((MONTH(CHOOSE({1,2,3,4},KMB!U201,KMB!AA201,KMB!AG201,KMB!AM201))=6)*(CHOOSE({1,2,3,4},KMB!X201,KMB!AD201,KMB!AJ201,KMB!AP201)))</f>
        <v>0</v>
      </c>
      <c r="G201">
        <f>SUMPRODUCT((MONTH(CHOOSE({1,2,3,4},KMB!U201,KMB!AA201,KMB!AG201,KMB!AM201))=7)*(CHOOSE({1,2,3,4},KMB!X201,KMB!AD201,KMB!AJ201,KMB!AP201)))</f>
        <v>0</v>
      </c>
      <c r="H201">
        <f>SUMPRODUCT((MONTH(CHOOSE({1,2,3,4},KMB!U201,KMB!AA201,KMB!AG201,KMB!AM201))=8)*(CHOOSE({1,2,3,4},KMB!X201,KMB!AD201,KMB!AJ201,KMB!AP201)))</f>
        <v>0</v>
      </c>
      <c r="I201">
        <f>SUMPRODUCT((MONTH(CHOOSE({1,2,3,4},KMB!U201,KMB!AA201,KMB!AG201,KMB!AM201))=9)*(CHOOSE({1,2,3,4},KMB!X201,KMB!AD201,KMB!AJ201,KMB!AP201)))</f>
        <v>0</v>
      </c>
      <c r="J201">
        <f>SUMPRODUCT((MONTH(CHOOSE({1,2,3,4},KMB!U201,KMB!AA201,KMB!AG201,KMB!AM201))=10)*(CHOOSE({1,2,3,4},KMB!X201,KMB!AD201,KMB!AJ201,KMB!AP201)))</f>
        <v>0</v>
      </c>
      <c r="K201">
        <f>SUMPRODUCT((MONTH(CHOOSE({1,2,3,4},KMB!U201,KMB!AA201,KMB!AG201,KMB!AM201))=11)*(CHOOSE({1,2,3,4},KMB!X201,KMB!AD201,KMB!AJ201,KMB!AP201)))</f>
        <v>0</v>
      </c>
      <c r="L201">
        <f>SUMPRODUCT((MONTH(CHOOSE({1,2,3,4},KMB!U201,KMB!AA201,KMB!AG201,KMB!AM201))=12)*(CHOOSE({1,2,3,4},KMB!X201,KMB!AD201,KMB!AJ201,KMB!AP201)))</f>
        <v>0</v>
      </c>
    </row>
    <row r="202" spans="1:12">
      <c r="A202">
        <f>SUMPRODUCT((MONTH(CHOOSE({1,2,3,4},KMB!U202,KMB!AA202,KMB!AG202,KMB!AM202))=1)*(CHOOSE({1,2,3,4},KMB!X202,KMB!AD202,KMB!AJ202,KMB!AP202)))</f>
        <v>0</v>
      </c>
      <c r="B202">
        <f>SUMPRODUCT((MONTH(CHOOSE({1,2,3,4},KMB!U202,KMB!AA202,KMB!AG202,KMB!AM202))=2)*(CHOOSE({1,2,3,4},KMB!X202,KMB!AD202,KMB!AJ202,KMB!AP202)))</f>
        <v>0</v>
      </c>
      <c r="C202">
        <f>SUMPRODUCT((MONTH(CHOOSE({1,2,3,4},KMB!U202,KMB!AA202,KMB!AG202,KMB!AM202))=3)*(CHOOSE({1,2,3,4},KMB!X202,KMB!AD202,KMB!AJ202,KMB!AP202)))</f>
        <v>0</v>
      </c>
      <c r="D202">
        <f>SUMPRODUCT((MONTH(CHOOSE({1,2,3,4},KMB!U202,KMB!AA202,KMB!AG202,KMB!AM202))=4)*(CHOOSE({1,2,3,4},KMB!X202,KMB!AD202,KMB!AJ202,KMB!AP202)))</f>
        <v>0</v>
      </c>
      <c r="E202">
        <f>SUMPRODUCT((MONTH(CHOOSE({1,2,3,4},KMB!U202,KMB!AA202,KMB!AG202,KMB!AM202))=5)*(CHOOSE({1,2,3,4},KMB!X202,KMB!AD202,KMB!AJ202,KMB!AP202)))</f>
        <v>0</v>
      </c>
      <c r="F202">
        <f>SUMPRODUCT((MONTH(CHOOSE({1,2,3,4},KMB!U202,KMB!AA202,KMB!AG202,KMB!AM202))=6)*(CHOOSE({1,2,3,4},KMB!X202,KMB!AD202,KMB!AJ202,KMB!AP202)))</f>
        <v>0</v>
      </c>
      <c r="G202">
        <f>SUMPRODUCT((MONTH(CHOOSE({1,2,3,4},KMB!U202,KMB!AA202,KMB!AG202,KMB!AM202))=7)*(CHOOSE({1,2,3,4},KMB!X202,KMB!AD202,KMB!AJ202,KMB!AP202)))</f>
        <v>0</v>
      </c>
      <c r="H202">
        <f>SUMPRODUCT((MONTH(CHOOSE({1,2,3,4},KMB!U202,KMB!AA202,KMB!AG202,KMB!AM202))=8)*(CHOOSE({1,2,3,4},KMB!X202,KMB!AD202,KMB!AJ202,KMB!AP202)))</f>
        <v>0</v>
      </c>
      <c r="I202">
        <f>SUMPRODUCT((MONTH(CHOOSE({1,2,3,4},KMB!U202,KMB!AA202,KMB!AG202,KMB!AM202))=9)*(CHOOSE({1,2,3,4},KMB!X202,KMB!AD202,KMB!AJ202,KMB!AP202)))</f>
        <v>0</v>
      </c>
      <c r="J202">
        <f>SUMPRODUCT((MONTH(CHOOSE({1,2,3,4},KMB!U202,KMB!AA202,KMB!AG202,KMB!AM202))=10)*(CHOOSE({1,2,3,4},KMB!X202,KMB!AD202,KMB!AJ202,KMB!AP202)))</f>
        <v>0</v>
      </c>
      <c r="K202">
        <f>SUMPRODUCT((MONTH(CHOOSE({1,2,3,4},KMB!U202,KMB!AA202,KMB!AG202,KMB!AM202))=11)*(CHOOSE({1,2,3,4},KMB!X202,KMB!AD202,KMB!AJ202,KMB!AP202)))</f>
        <v>0</v>
      </c>
      <c r="L202">
        <f>SUMPRODUCT((MONTH(CHOOSE({1,2,3,4},KMB!U202,KMB!AA202,KMB!AG202,KMB!AM202))=12)*(CHOOSE({1,2,3,4},KMB!X202,KMB!AD202,KMB!AJ202,KMB!AP202)))</f>
        <v>0</v>
      </c>
    </row>
    <row r="203" spans="1:12">
      <c r="A203">
        <f>SUMPRODUCT((MONTH(CHOOSE({1,2,3,4},KMB!U203,KMB!AA203,KMB!AG203,KMB!AM203))=1)*(CHOOSE({1,2,3,4},KMB!X203,KMB!AD203,KMB!AJ203,KMB!AP203)))</f>
        <v>0</v>
      </c>
      <c r="B203">
        <f>SUMPRODUCT((MONTH(CHOOSE({1,2,3,4},KMB!U203,KMB!AA203,KMB!AG203,KMB!AM203))=2)*(CHOOSE({1,2,3,4},KMB!X203,KMB!AD203,KMB!AJ203,KMB!AP203)))</f>
        <v>0</v>
      </c>
      <c r="C203">
        <f>SUMPRODUCT((MONTH(CHOOSE({1,2,3,4},KMB!U203,KMB!AA203,KMB!AG203,KMB!AM203))=3)*(CHOOSE({1,2,3,4},KMB!X203,KMB!AD203,KMB!AJ203,KMB!AP203)))</f>
        <v>0</v>
      </c>
      <c r="D203">
        <f>SUMPRODUCT((MONTH(CHOOSE({1,2,3,4},KMB!U203,KMB!AA203,KMB!AG203,KMB!AM203))=4)*(CHOOSE({1,2,3,4},KMB!X203,KMB!AD203,KMB!AJ203,KMB!AP203)))</f>
        <v>0</v>
      </c>
      <c r="E203">
        <f>SUMPRODUCT((MONTH(CHOOSE({1,2,3,4},KMB!U203,KMB!AA203,KMB!AG203,KMB!AM203))=5)*(CHOOSE({1,2,3,4},KMB!X203,KMB!AD203,KMB!AJ203,KMB!AP203)))</f>
        <v>0</v>
      </c>
      <c r="F203">
        <f>SUMPRODUCT((MONTH(CHOOSE({1,2,3,4},KMB!U203,KMB!AA203,KMB!AG203,KMB!AM203))=6)*(CHOOSE({1,2,3,4},KMB!X203,KMB!AD203,KMB!AJ203,KMB!AP203)))</f>
        <v>0</v>
      </c>
      <c r="G203">
        <f>SUMPRODUCT((MONTH(CHOOSE({1,2,3,4},KMB!U203,KMB!AA203,KMB!AG203,KMB!AM203))=7)*(CHOOSE({1,2,3,4},KMB!X203,KMB!AD203,KMB!AJ203,KMB!AP203)))</f>
        <v>0</v>
      </c>
      <c r="H203">
        <f>SUMPRODUCT((MONTH(CHOOSE({1,2,3,4},KMB!U203,KMB!AA203,KMB!AG203,KMB!AM203))=8)*(CHOOSE({1,2,3,4},KMB!X203,KMB!AD203,KMB!AJ203,KMB!AP203)))</f>
        <v>0</v>
      </c>
      <c r="I203">
        <f>SUMPRODUCT((MONTH(CHOOSE({1,2,3,4},KMB!U203,KMB!AA203,KMB!AG203,KMB!AM203))=9)*(CHOOSE({1,2,3,4},KMB!X203,KMB!AD203,KMB!AJ203,KMB!AP203)))</f>
        <v>0</v>
      </c>
      <c r="J203">
        <f>SUMPRODUCT((MONTH(CHOOSE({1,2,3,4},KMB!U203,KMB!AA203,KMB!AG203,KMB!AM203))=10)*(CHOOSE({1,2,3,4},KMB!X203,KMB!AD203,KMB!AJ203,KMB!AP203)))</f>
        <v>0</v>
      </c>
      <c r="K203">
        <f>SUMPRODUCT((MONTH(CHOOSE({1,2,3,4},KMB!U203,KMB!AA203,KMB!AG203,KMB!AM203))=11)*(CHOOSE({1,2,3,4},KMB!X203,KMB!AD203,KMB!AJ203,KMB!AP203)))</f>
        <v>0</v>
      </c>
      <c r="L203">
        <f>SUMPRODUCT((MONTH(CHOOSE({1,2,3,4},KMB!U203,KMB!AA203,KMB!AG203,KMB!AM203))=12)*(CHOOSE({1,2,3,4},KMB!X203,KMB!AD203,KMB!AJ203,KMB!AP203)))</f>
        <v>0</v>
      </c>
    </row>
    <row r="204" spans="1:12">
      <c r="A204">
        <f>SUMPRODUCT((MONTH(CHOOSE({1,2,3,4},KMB!U204,KMB!AA204,KMB!AG204,KMB!AM204))=1)*(CHOOSE({1,2,3,4},KMB!X204,KMB!AD204,KMB!AJ204,KMB!AP204)))</f>
        <v>0</v>
      </c>
      <c r="B204">
        <f>SUMPRODUCT((MONTH(CHOOSE({1,2,3,4},KMB!U204,KMB!AA204,KMB!AG204,KMB!AM204))=2)*(CHOOSE({1,2,3,4},KMB!X204,KMB!AD204,KMB!AJ204,KMB!AP204)))</f>
        <v>0</v>
      </c>
      <c r="C204">
        <f>SUMPRODUCT((MONTH(CHOOSE({1,2,3,4},KMB!U204,KMB!AA204,KMB!AG204,KMB!AM204))=3)*(CHOOSE({1,2,3,4},KMB!X204,KMB!AD204,KMB!AJ204,KMB!AP204)))</f>
        <v>0</v>
      </c>
      <c r="D204">
        <f>SUMPRODUCT((MONTH(CHOOSE({1,2,3,4},KMB!U204,KMB!AA204,KMB!AG204,KMB!AM204))=4)*(CHOOSE({1,2,3,4},KMB!X204,KMB!AD204,KMB!AJ204,KMB!AP204)))</f>
        <v>0</v>
      </c>
      <c r="E204">
        <f>SUMPRODUCT((MONTH(CHOOSE({1,2,3,4},KMB!U204,KMB!AA204,KMB!AG204,KMB!AM204))=5)*(CHOOSE({1,2,3,4},KMB!X204,KMB!AD204,KMB!AJ204,KMB!AP204)))</f>
        <v>0</v>
      </c>
      <c r="F204">
        <f>SUMPRODUCT((MONTH(CHOOSE({1,2,3,4},KMB!U204,KMB!AA204,KMB!AG204,KMB!AM204))=6)*(CHOOSE({1,2,3,4},KMB!X204,KMB!AD204,KMB!AJ204,KMB!AP204)))</f>
        <v>0</v>
      </c>
      <c r="G204">
        <f>SUMPRODUCT((MONTH(CHOOSE({1,2,3,4},KMB!U204,KMB!AA204,KMB!AG204,KMB!AM204))=7)*(CHOOSE({1,2,3,4},KMB!X204,KMB!AD204,KMB!AJ204,KMB!AP204)))</f>
        <v>0</v>
      </c>
      <c r="H204">
        <f>SUMPRODUCT((MONTH(CHOOSE({1,2,3,4},KMB!U204,KMB!AA204,KMB!AG204,KMB!AM204))=8)*(CHOOSE({1,2,3,4},KMB!X204,KMB!AD204,KMB!AJ204,KMB!AP204)))</f>
        <v>0</v>
      </c>
      <c r="I204">
        <f>SUMPRODUCT((MONTH(CHOOSE({1,2,3,4},KMB!U204,KMB!AA204,KMB!AG204,KMB!AM204))=9)*(CHOOSE({1,2,3,4},KMB!X204,KMB!AD204,KMB!AJ204,KMB!AP204)))</f>
        <v>0</v>
      </c>
      <c r="J204">
        <f>SUMPRODUCT((MONTH(CHOOSE({1,2,3,4},KMB!U204,KMB!AA204,KMB!AG204,KMB!AM204))=10)*(CHOOSE({1,2,3,4},KMB!X204,KMB!AD204,KMB!AJ204,KMB!AP204)))</f>
        <v>0</v>
      </c>
      <c r="K204">
        <f>SUMPRODUCT((MONTH(CHOOSE({1,2,3,4},KMB!U204,KMB!AA204,KMB!AG204,KMB!AM204))=11)*(CHOOSE({1,2,3,4},KMB!X204,KMB!AD204,KMB!AJ204,KMB!AP204)))</f>
        <v>0</v>
      </c>
      <c r="L204">
        <f>SUMPRODUCT((MONTH(CHOOSE({1,2,3,4},KMB!U204,KMB!AA204,KMB!AG204,KMB!AM204))=12)*(CHOOSE({1,2,3,4},KMB!X204,KMB!AD204,KMB!AJ204,KMB!AP204)))</f>
        <v>0</v>
      </c>
    </row>
    <row r="205" spans="1:12">
      <c r="A205">
        <f>SUMPRODUCT((MONTH(CHOOSE({1,2,3,4},KMB!U205,KMB!AA205,KMB!AG205,KMB!AM205))=1)*(CHOOSE({1,2,3,4},KMB!X205,KMB!AD205,KMB!AJ205,KMB!AP205)))</f>
        <v>0</v>
      </c>
      <c r="B205">
        <f>SUMPRODUCT((MONTH(CHOOSE({1,2,3,4},KMB!U205,KMB!AA205,KMB!AG205,KMB!AM205))=2)*(CHOOSE({1,2,3,4},KMB!X205,KMB!AD205,KMB!AJ205,KMB!AP205)))</f>
        <v>0</v>
      </c>
      <c r="C205">
        <f>SUMPRODUCT((MONTH(CHOOSE({1,2,3,4},KMB!U205,KMB!AA205,KMB!AG205,KMB!AM205))=3)*(CHOOSE({1,2,3,4},KMB!X205,KMB!AD205,KMB!AJ205,KMB!AP205)))</f>
        <v>0</v>
      </c>
      <c r="D205">
        <f>SUMPRODUCT((MONTH(CHOOSE({1,2,3,4},KMB!U205,KMB!AA205,KMB!AG205,KMB!AM205))=4)*(CHOOSE({1,2,3,4},KMB!X205,KMB!AD205,KMB!AJ205,KMB!AP205)))</f>
        <v>0</v>
      </c>
      <c r="E205">
        <f>SUMPRODUCT((MONTH(CHOOSE({1,2,3,4},KMB!U205,KMB!AA205,KMB!AG205,KMB!AM205))=5)*(CHOOSE({1,2,3,4},KMB!X205,KMB!AD205,KMB!AJ205,KMB!AP205)))</f>
        <v>0</v>
      </c>
      <c r="F205">
        <f>SUMPRODUCT((MONTH(CHOOSE({1,2,3,4},KMB!U205,KMB!AA205,KMB!AG205,KMB!AM205))=6)*(CHOOSE({1,2,3,4},KMB!X205,KMB!AD205,KMB!AJ205,KMB!AP205)))</f>
        <v>0</v>
      </c>
      <c r="G205">
        <f>SUMPRODUCT((MONTH(CHOOSE({1,2,3,4},KMB!U205,KMB!AA205,KMB!AG205,KMB!AM205))=7)*(CHOOSE({1,2,3,4},KMB!X205,KMB!AD205,KMB!AJ205,KMB!AP205)))</f>
        <v>0</v>
      </c>
      <c r="H205">
        <f>SUMPRODUCT((MONTH(CHOOSE({1,2,3,4},KMB!U205,KMB!AA205,KMB!AG205,KMB!AM205))=8)*(CHOOSE({1,2,3,4},KMB!X205,KMB!AD205,KMB!AJ205,KMB!AP205)))</f>
        <v>0</v>
      </c>
      <c r="I205">
        <f>SUMPRODUCT((MONTH(CHOOSE({1,2,3,4},KMB!U205,KMB!AA205,KMB!AG205,KMB!AM205))=9)*(CHOOSE({1,2,3,4},KMB!X205,KMB!AD205,KMB!AJ205,KMB!AP205)))</f>
        <v>0</v>
      </c>
      <c r="J205">
        <f>SUMPRODUCT((MONTH(CHOOSE({1,2,3,4},KMB!U205,KMB!AA205,KMB!AG205,KMB!AM205))=10)*(CHOOSE({1,2,3,4},KMB!X205,KMB!AD205,KMB!AJ205,KMB!AP205)))</f>
        <v>0</v>
      </c>
      <c r="K205">
        <f>SUMPRODUCT((MONTH(CHOOSE({1,2,3,4},KMB!U205,KMB!AA205,KMB!AG205,KMB!AM205))=11)*(CHOOSE({1,2,3,4},KMB!X205,KMB!AD205,KMB!AJ205,KMB!AP205)))</f>
        <v>0</v>
      </c>
      <c r="L205">
        <f>SUMPRODUCT((MONTH(CHOOSE({1,2,3,4},KMB!U205,KMB!AA205,KMB!AG205,KMB!AM205))=12)*(CHOOSE({1,2,3,4},KMB!X205,KMB!AD205,KMB!AJ205,KMB!AP205)))</f>
        <v>0</v>
      </c>
    </row>
    <row r="206" spans="1:12">
      <c r="A206">
        <f>SUMPRODUCT((MONTH(CHOOSE({1,2,3,4},KMB!U206,KMB!AA206,KMB!AG206,KMB!AM206))=1)*(CHOOSE({1,2,3,4},KMB!X206,KMB!AD206,KMB!AJ206,KMB!AP206)))</f>
        <v>0</v>
      </c>
      <c r="B206">
        <f>SUMPRODUCT((MONTH(CHOOSE({1,2,3,4},KMB!U206,KMB!AA206,KMB!AG206,KMB!AM206))=2)*(CHOOSE({1,2,3,4},KMB!X206,KMB!AD206,KMB!AJ206,KMB!AP206)))</f>
        <v>0</v>
      </c>
      <c r="C206">
        <f>SUMPRODUCT((MONTH(CHOOSE({1,2,3,4},KMB!U206,KMB!AA206,KMB!AG206,KMB!AM206))=3)*(CHOOSE({1,2,3,4},KMB!X206,KMB!AD206,KMB!AJ206,KMB!AP206)))</f>
        <v>0</v>
      </c>
      <c r="D206">
        <f>SUMPRODUCT((MONTH(CHOOSE({1,2,3,4},KMB!U206,KMB!AA206,KMB!AG206,KMB!AM206))=4)*(CHOOSE({1,2,3,4},KMB!X206,KMB!AD206,KMB!AJ206,KMB!AP206)))</f>
        <v>0</v>
      </c>
      <c r="E206">
        <f>SUMPRODUCT((MONTH(CHOOSE({1,2,3,4},KMB!U206,KMB!AA206,KMB!AG206,KMB!AM206))=5)*(CHOOSE({1,2,3,4},KMB!X206,KMB!AD206,KMB!AJ206,KMB!AP206)))</f>
        <v>0</v>
      </c>
      <c r="F206">
        <f>SUMPRODUCT((MONTH(CHOOSE({1,2,3,4},KMB!U206,KMB!AA206,KMB!AG206,KMB!AM206))=6)*(CHOOSE({1,2,3,4},KMB!X206,KMB!AD206,KMB!AJ206,KMB!AP206)))</f>
        <v>0</v>
      </c>
      <c r="G206">
        <f>SUMPRODUCT((MONTH(CHOOSE({1,2,3,4},KMB!U206,KMB!AA206,KMB!AG206,KMB!AM206))=7)*(CHOOSE({1,2,3,4},KMB!X206,KMB!AD206,KMB!AJ206,KMB!AP206)))</f>
        <v>0</v>
      </c>
      <c r="H206">
        <f>SUMPRODUCT((MONTH(CHOOSE({1,2,3,4},KMB!U206,KMB!AA206,KMB!AG206,KMB!AM206))=8)*(CHOOSE({1,2,3,4},KMB!X206,KMB!AD206,KMB!AJ206,KMB!AP206)))</f>
        <v>0</v>
      </c>
      <c r="I206">
        <f>SUMPRODUCT((MONTH(CHOOSE({1,2,3,4},KMB!U206,KMB!AA206,KMB!AG206,KMB!AM206))=9)*(CHOOSE({1,2,3,4},KMB!X206,KMB!AD206,KMB!AJ206,KMB!AP206)))</f>
        <v>0</v>
      </c>
      <c r="J206">
        <f>SUMPRODUCT((MONTH(CHOOSE({1,2,3,4},KMB!U206,KMB!AA206,KMB!AG206,KMB!AM206))=10)*(CHOOSE({1,2,3,4},KMB!X206,KMB!AD206,KMB!AJ206,KMB!AP206)))</f>
        <v>0</v>
      </c>
      <c r="K206">
        <f>SUMPRODUCT((MONTH(CHOOSE({1,2,3,4},KMB!U206,KMB!AA206,KMB!AG206,KMB!AM206))=11)*(CHOOSE({1,2,3,4},KMB!X206,KMB!AD206,KMB!AJ206,KMB!AP206)))</f>
        <v>0</v>
      </c>
      <c r="L206">
        <f>SUMPRODUCT((MONTH(CHOOSE({1,2,3,4},KMB!U206,KMB!AA206,KMB!AG206,KMB!AM206))=12)*(CHOOSE({1,2,3,4},KMB!X206,KMB!AD206,KMB!AJ206,KMB!AP206)))</f>
        <v>0</v>
      </c>
    </row>
    <row r="207" spans="1:12">
      <c r="A207">
        <f>SUMPRODUCT((MONTH(CHOOSE({1,2,3,4},KMB!U207,KMB!AA207,KMB!AG207,KMB!AM207))=1)*(CHOOSE({1,2,3,4},KMB!X207,KMB!AD207,KMB!AJ207,KMB!AP207)))</f>
        <v>0</v>
      </c>
      <c r="B207">
        <f>SUMPRODUCT((MONTH(CHOOSE({1,2,3,4},KMB!U207,KMB!AA207,KMB!AG207,KMB!AM207))=2)*(CHOOSE({1,2,3,4},KMB!X207,KMB!AD207,KMB!AJ207,KMB!AP207)))</f>
        <v>0</v>
      </c>
      <c r="C207">
        <f>SUMPRODUCT((MONTH(CHOOSE({1,2,3,4},KMB!U207,KMB!AA207,KMB!AG207,KMB!AM207))=3)*(CHOOSE({1,2,3,4},KMB!X207,KMB!AD207,KMB!AJ207,KMB!AP207)))</f>
        <v>0</v>
      </c>
      <c r="D207">
        <f>SUMPRODUCT((MONTH(CHOOSE({1,2,3,4},KMB!U207,KMB!AA207,KMB!AG207,KMB!AM207))=4)*(CHOOSE({1,2,3,4},KMB!X207,KMB!AD207,KMB!AJ207,KMB!AP207)))</f>
        <v>0</v>
      </c>
      <c r="E207">
        <f>SUMPRODUCT((MONTH(CHOOSE({1,2,3,4},KMB!U207,KMB!AA207,KMB!AG207,KMB!AM207))=5)*(CHOOSE({1,2,3,4},KMB!X207,KMB!AD207,KMB!AJ207,KMB!AP207)))</f>
        <v>0</v>
      </c>
      <c r="F207">
        <f>SUMPRODUCT((MONTH(CHOOSE({1,2,3,4},KMB!U207,KMB!AA207,KMB!AG207,KMB!AM207))=6)*(CHOOSE({1,2,3,4},KMB!X207,KMB!AD207,KMB!AJ207,KMB!AP207)))</f>
        <v>0</v>
      </c>
      <c r="G207">
        <f>SUMPRODUCT((MONTH(CHOOSE({1,2,3,4},KMB!U207,KMB!AA207,KMB!AG207,KMB!AM207))=7)*(CHOOSE({1,2,3,4},KMB!X207,KMB!AD207,KMB!AJ207,KMB!AP207)))</f>
        <v>0</v>
      </c>
      <c r="H207">
        <f>SUMPRODUCT((MONTH(CHOOSE({1,2,3,4},KMB!U207,KMB!AA207,KMB!AG207,KMB!AM207))=8)*(CHOOSE({1,2,3,4},KMB!X207,KMB!AD207,KMB!AJ207,KMB!AP207)))</f>
        <v>0</v>
      </c>
      <c r="I207">
        <f>SUMPRODUCT((MONTH(CHOOSE({1,2,3,4},KMB!U207,KMB!AA207,KMB!AG207,KMB!AM207))=9)*(CHOOSE({1,2,3,4},KMB!X207,KMB!AD207,KMB!AJ207,KMB!AP207)))</f>
        <v>0</v>
      </c>
      <c r="J207">
        <f>SUMPRODUCT((MONTH(CHOOSE({1,2,3,4},KMB!U207,KMB!AA207,KMB!AG207,KMB!AM207))=10)*(CHOOSE({1,2,3,4},KMB!X207,KMB!AD207,KMB!AJ207,KMB!AP207)))</f>
        <v>0</v>
      </c>
      <c r="K207">
        <f>SUMPRODUCT((MONTH(CHOOSE({1,2,3,4},KMB!U207,KMB!AA207,KMB!AG207,KMB!AM207))=11)*(CHOOSE({1,2,3,4},KMB!X207,KMB!AD207,KMB!AJ207,KMB!AP207)))</f>
        <v>0</v>
      </c>
      <c r="L207">
        <f>SUMPRODUCT((MONTH(CHOOSE({1,2,3,4},KMB!U207,KMB!AA207,KMB!AG207,KMB!AM207))=12)*(CHOOSE({1,2,3,4},KMB!X207,KMB!AD207,KMB!AJ207,KMB!AP207)))</f>
        <v>0</v>
      </c>
    </row>
    <row r="208" spans="1:12">
      <c r="A208">
        <f>SUMPRODUCT((MONTH(CHOOSE({1,2,3,4},KMB!U208,KMB!AA208,KMB!AG208,KMB!AM208))=1)*(CHOOSE({1,2,3,4},KMB!X208,KMB!AD208,KMB!AJ208,KMB!AP208)))</f>
        <v>0</v>
      </c>
      <c r="B208">
        <f>SUMPRODUCT((MONTH(CHOOSE({1,2,3,4},KMB!U208,KMB!AA208,KMB!AG208,KMB!AM208))=2)*(CHOOSE({1,2,3,4},KMB!X208,KMB!AD208,KMB!AJ208,KMB!AP208)))</f>
        <v>0</v>
      </c>
      <c r="C208">
        <f>SUMPRODUCT((MONTH(CHOOSE({1,2,3,4},KMB!U208,KMB!AA208,KMB!AG208,KMB!AM208))=3)*(CHOOSE({1,2,3,4},KMB!X208,KMB!AD208,KMB!AJ208,KMB!AP208)))</f>
        <v>0</v>
      </c>
      <c r="D208">
        <f>SUMPRODUCT((MONTH(CHOOSE({1,2,3,4},KMB!U208,KMB!AA208,KMB!AG208,KMB!AM208))=4)*(CHOOSE({1,2,3,4},KMB!X208,KMB!AD208,KMB!AJ208,KMB!AP208)))</f>
        <v>0</v>
      </c>
      <c r="E208">
        <f>SUMPRODUCT((MONTH(CHOOSE({1,2,3,4},KMB!U208,KMB!AA208,KMB!AG208,KMB!AM208))=5)*(CHOOSE({1,2,3,4},KMB!X208,KMB!AD208,KMB!AJ208,KMB!AP208)))</f>
        <v>0</v>
      </c>
      <c r="F208">
        <f>SUMPRODUCT((MONTH(CHOOSE({1,2,3,4},KMB!U208,KMB!AA208,KMB!AG208,KMB!AM208))=6)*(CHOOSE({1,2,3,4},KMB!X208,KMB!AD208,KMB!AJ208,KMB!AP208)))</f>
        <v>0</v>
      </c>
      <c r="G208">
        <f>SUMPRODUCT((MONTH(CHOOSE({1,2,3,4},KMB!U208,KMB!AA208,KMB!AG208,KMB!AM208))=7)*(CHOOSE({1,2,3,4},KMB!X208,KMB!AD208,KMB!AJ208,KMB!AP208)))</f>
        <v>0</v>
      </c>
      <c r="H208">
        <f>SUMPRODUCT((MONTH(CHOOSE({1,2,3,4},KMB!U208,KMB!AA208,KMB!AG208,KMB!AM208))=8)*(CHOOSE({1,2,3,4},KMB!X208,KMB!AD208,KMB!AJ208,KMB!AP208)))</f>
        <v>0</v>
      </c>
      <c r="I208">
        <f>SUMPRODUCT((MONTH(CHOOSE({1,2,3,4},KMB!U208,KMB!AA208,KMB!AG208,KMB!AM208))=9)*(CHOOSE({1,2,3,4},KMB!X208,KMB!AD208,KMB!AJ208,KMB!AP208)))</f>
        <v>0</v>
      </c>
      <c r="J208">
        <f>SUMPRODUCT((MONTH(CHOOSE({1,2,3,4},KMB!U208,KMB!AA208,KMB!AG208,KMB!AM208))=10)*(CHOOSE({1,2,3,4},KMB!X208,KMB!AD208,KMB!AJ208,KMB!AP208)))</f>
        <v>0</v>
      </c>
      <c r="K208">
        <f>SUMPRODUCT((MONTH(CHOOSE({1,2,3,4},KMB!U208,KMB!AA208,KMB!AG208,KMB!AM208))=11)*(CHOOSE({1,2,3,4},KMB!X208,KMB!AD208,KMB!AJ208,KMB!AP208)))</f>
        <v>0</v>
      </c>
      <c r="L208">
        <f>SUMPRODUCT((MONTH(CHOOSE({1,2,3,4},KMB!U208,KMB!AA208,KMB!AG208,KMB!AM208))=12)*(CHOOSE({1,2,3,4},KMB!X208,KMB!AD208,KMB!AJ208,KMB!AP208)))</f>
        <v>0</v>
      </c>
    </row>
    <row r="209" spans="1:12">
      <c r="A209">
        <f>SUMPRODUCT((MONTH(CHOOSE({1,2,3,4},KMB!U209,KMB!AA209,KMB!AG209,KMB!AM209))=1)*(CHOOSE({1,2,3,4},KMB!X209,KMB!AD209,KMB!AJ209,KMB!AP209)))</f>
        <v>0</v>
      </c>
      <c r="B209">
        <f>SUMPRODUCT((MONTH(CHOOSE({1,2,3,4},KMB!U209,KMB!AA209,KMB!AG209,KMB!AM209))=2)*(CHOOSE({1,2,3,4},KMB!X209,KMB!AD209,KMB!AJ209,KMB!AP209)))</f>
        <v>0</v>
      </c>
      <c r="C209">
        <f>SUMPRODUCT((MONTH(CHOOSE({1,2,3,4},KMB!U209,KMB!AA209,KMB!AG209,KMB!AM209))=3)*(CHOOSE({1,2,3,4},KMB!X209,KMB!AD209,KMB!AJ209,KMB!AP209)))</f>
        <v>0</v>
      </c>
      <c r="D209">
        <f>SUMPRODUCT((MONTH(CHOOSE({1,2,3,4},KMB!U209,KMB!AA209,KMB!AG209,KMB!AM209))=4)*(CHOOSE({1,2,3,4},KMB!X209,KMB!AD209,KMB!AJ209,KMB!AP209)))</f>
        <v>0</v>
      </c>
      <c r="E209">
        <f>SUMPRODUCT((MONTH(CHOOSE({1,2,3,4},KMB!U209,KMB!AA209,KMB!AG209,KMB!AM209))=5)*(CHOOSE({1,2,3,4},KMB!X209,KMB!AD209,KMB!AJ209,KMB!AP209)))</f>
        <v>0</v>
      </c>
      <c r="F209">
        <f>SUMPRODUCT((MONTH(CHOOSE({1,2,3,4},KMB!U209,KMB!AA209,KMB!AG209,KMB!AM209))=6)*(CHOOSE({1,2,3,4},KMB!X209,KMB!AD209,KMB!AJ209,KMB!AP209)))</f>
        <v>0</v>
      </c>
      <c r="G209">
        <f>SUMPRODUCT((MONTH(CHOOSE({1,2,3,4},KMB!U209,KMB!AA209,KMB!AG209,KMB!AM209))=7)*(CHOOSE({1,2,3,4},KMB!X209,KMB!AD209,KMB!AJ209,KMB!AP209)))</f>
        <v>0</v>
      </c>
      <c r="H209">
        <f>SUMPRODUCT((MONTH(CHOOSE({1,2,3,4},KMB!U209,KMB!AA209,KMB!AG209,KMB!AM209))=8)*(CHOOSE({1,2,3,4},KMB!X209,KMB!AD209,KMB!AJ209,KMB!AP209)))</f>
        <v>0</v>
      </c>
      <c r="I209">
        <f>SUMPRODUCT((MONTH(CHOOSE({1,2,3,4},KMB!U209,KMB!AA209,KMB!AG209,KMB!AM209))=9)*(CHOOSE({1,2,3,4},KMB!X209,KMB!AD209,KMB!AJ209,KMB!AP209)))</f>
        <v>0</v>
      </c>
      <c r="J209">
        <f>SUMPRODUCT((MONTH(CHOOSE({1,2,3,4},KMB!U209,KMB!AA209,KMB!AG209,KMB!AM209))=10)*(CHOOSE({1,2,3,4},KMB!X209,KMB!AD209,KMB!AJ209,KMB!AP209)))</f>
        <v>0</v>
      </c>
      <c r="K209">
        <f>SUMPRODUCT((MONTH(CHOOSE({1,2,3,4},KMB!U209,KMB!AA209,KMB!AG209,KMB!AM209))=11)*(CHOOSE({1,2,3,4},KMB!X209,KMB!AD209,KMB!AJ209,KMB!AP209)))</f>
        <v>0</v>
      </c>
      <c r="L209">
        <f>SUMPRODUCT((MONTH(CHOOSE({1,2,3,4},KMB!U209,KMB!AA209,KMB!AG209,KMB!AM209))=12)*(CHOOSE({1,2,3,4},KMB!X209,KMB!AD209,KMB!AJ209,KMB!AP209)))</f>
        <v>0</v>
      </c>
    </row>
    <row r="210" spans="1:12">
      <c r="A210">
        <f>SUMPRODUCT((MONTH(CHOOSE({1,2,3,4},KMB!U210,KMB!AA210,KMB!AG210,KMB!AM210))=1)*(CHOOSE({1,2,3,4},KMB!X210,KMB!AD210,KMB!AJ210,KMB!AP210)))</f>
        <v>0</v>
      </c>
      <c r="B210">
        <f>SUMPRODUCT((MONTH(CHOOSE({1,2,3,4},KMB!U210,KMB!AA210,KMB!AG210,KMB!AM210))=2)*(CHOOSE({1,2,3,4},KMB!X210,KMB!AD210,KMB!AJ210,KMB!AP210)))</f>
        <v>0</v>
      </c>
      <c r="C210">
        <f>SUMPRODUCT((MONTH(CHOOSE({1,2,3,4},KMB!U210,KMB!AA210,KMB!AG210,KMB!AM210))=3)*(CHOOSE({1,2,3,4},KMB!X210,KMB!AD210,KMB!AJ210,KMB!AP210)))</f>
        <v>0</v>
      </c>
      <c r="D210">
        <f>SUMPRODUCT((MONTH(CHOOSE({1,2,3,4},KMB!U210,KMB!AA210,KMB!AG210,KMB!AM210))=4)*(CHOOSE({1,2,3,4},KMB!X210,KMB!AD210,KMB!AJ210,KMB!AP210)))</f>
        <v>0</v>
      </c>
      <c r="E210">
        <f>SUMPRODUCT((MONTH(CHOOSE({1,2,3,4},KMB!U210,KMB!AA210,KMB!AG210,KMB!AM210))=5)*(CHOOSE({1,2,3,4},KMB!X210,KMB!AD210,KMB!AJ210,KMB!AP210)))</f>
        <v>0</v>
      </c>
      <c r="F210">
        <f>SUMPRODUCT((MONTH(CHOOSE({1,2,3,4},KMB!U210,KMB!AA210,KMB!AG210,KMB!AM210))=6)*(CHOOSE({1,2,3,4},KMB!X210,KMB!AD210,KMB!AJ210,KMB!AP210)))</f>
        <v>0</v>
      </c>
      <c r="G210">
        <f>SUMPRODUCT((MONTH(CHOOSE({1,2,3,4},KMB!U210,KMB!AA210,KMB!AG210,KMB!AM210))=7)*(CHOOSE({1,2,3,4},KMB!X210,KMB!AD210,KMB!AJ210,KMB!AP210)))</f>
        <v>0</v>
      </c>
      <c r="H210">
        <f>SUMPRODUCT((MONTH(CHOOSE({1,2,3,4},KMB!U210,KMB!AA210,KMB!AG210,KMB!AM210))=8)*(CHOOSE({1,2,3,4},KMB!X210,KMB!AD210,KMB!AJ210,KMB!AP210)))</f>
        <v>0</v>
      </c>
      <c r="I210">
        <f>SUMPRODUCT((MONTH(CHOOSE({1,2,3,4},KMB!U210,KMB!AA210,KMB!AG210,KMB!AM210))=9)*(CHOOSE({1,2,3,4},KMB!X210,KMB!AD210,KMB!AJ210,KMB!AP210)))</f>
        <v>0</v>
      </c>
      <c r="J210">
        <f>SUMPRODUCT((MONTH(CHOOSE({1,2,3,4},KMB!U210,KMB!AA210,KMB!AG210,KMB!AM210))=10)*(CHOOSE({1,2,3,4},KMB!X210,KMB!AD210,KMB!AJ210,KMB!AP210)))</f>
        <v>0</v>
      </c>
      <c r="K210">
        <f>SUMPRODUCT((MONTH(CHOOSE({1,2,3,4},KMB!U210,KMB!AA210,KMB!AG210,KMB!AM210))=11)*(CHOOSE({1,2,3,4},KMB!X210,KMB!AD210,KMB!AJ210,KMB!AP210)))</f>
        <v>0</v>
      </c>
      <c r="L210">
        <f>SUMPRODUCT((MONTH(CHOOSE({1,2,3,4},KMB!U210,KMB!AA210,KMB!AG210,KMB!AM210))=12)*(CHOOSE({1,2,3,4},KMB!X210,KMB!AD210,KMB!AJ210,KMB!AP210)))</f>
        <v>0</v>
      </c>
    </row>
    <row r="211" spans="1:12">
      <c r="A211">
        <f>SUMPRODUCT((MONTH(CHOOSE({1,2,3,4},KMB!U211,KMB!AA211,KMB!AG211,KMB!AM211))=1)*(CHOOSE({1,2,3,4},KMB!X211,KMB!AD211,KMB!AJ211,KMB!AP211)))</f>
        <v>0</v>
      </c>
      <c r="B211">
        <f>SUMPRODUCT((MONTH(CHOOSE({1,2,3,4},KMB!U211,KMB!AA211,KMB!AG211,KMB!AM211))=2)*(CHOOSE({1,2,3,4},KMB!X211,KMB!AD211,KMB!AJ211,KMB!AP211)))</f>
        <v>0</v>
      </c>
      <c r="C211">
        <f>SUMPRODUCT((MONTH(CHOOSE({1,2,3,4},KMB!U211,KMB!AA211,KMB!AG211,KMB!AM211))=3)*(CHOOSE({1,2,3,4},KMB!X211,KMB!AD211,KMB!AJ211,KMB!AP211)))</f>
        <v>0</v>
      </c>
      <c r="D211">
        <f>SUMPRODUCT((MONTH(CHOOSE({1,2,3,4},KMB!U211,KMB!AA211,KMB!AG211,KMB!AM211))=4)*(CHOOSE({1,2,3,4},KMB!X211,KMB!AD211,KMB!AJ211,KMB!AP211)))</f>
        <v>0</v>
      </c>
      <c r="E211">
        <f>SUMPRODUCT((MONTH(CHOOSE({1,2,3,4},KMB!U211,KMB!AA211,KMB!AG211,KMB!AM211))=5)*(CHOOSE({1,2,3,4},KMB!X211,KMB!AD211,KMB!AJ211,KMB!AP211)))</f>
        <v>0</v>
      </c>
      <c r="F211">
        <f>SUMPRODUCT((MONTH(CHOOSE({1,2,3,4},KMB!U211,KMB!AA211,KMB!AG211,KMB!AM211))=6)*(CHOOSE({1,2,3,4},KMB!X211,KMB!AD211,KMB!AJ211,KMB!AP211)))</f>
        <v>0</v>
      </c>
      <c r="G211">
        <f>SUMPRODUCT((MONTH(CHOOSE({1,2,3,4},KMB!U211,KMB!AA211,KMB!AG211,KMB!AM211))=7)*(CHOOSE({1,2,3,4},KMB!X211,KMB!AD211,KMB!AJ211,KMB!AP211)))</f>
        <v>0</v>
      </c>
      <c r="H211">
        <f>SUMPRODUCT((MONTH(CHOOSE({1,2,3,4},KMB!U211,KMB!AA211,KMB!AG211,KMB!AM211))=8)*(CHOOSE({1,2,3,4},KMB!X211,KMB!AD211,KMB!AJ211,KMB!AP211)))</f>
        <v>0</v>
      </c>
      <c r="I211">
        <f>SUMPRODUCT((MONTH(CHOOSE({1,2,3,4},KMB!U211,KMB!AA211,KMB!AG211,KMB!AM211))=9)*(CHOOSE({1,2,3,4},KMB!X211,KMB!AD211,KMB!AJ211,KMB!AP211)))</f>
        <v>0</v>
      </c>
      <c r="J211">
        <f>SUMPRODUCT((MONTH(CHOOSE({1,2,3,4},KMB!U211,KMB!AA211,KMB!AG211,KMB!AM211))=10)*(CHOOSE({1,2,3,4},KMB!X211,KMB!AD211,KMB!AJ211,KMB!AP211)))</f>
        <v>0</v>
      </c>
      <c r="K211">
        <f>SUMPRODUCT((MONTH(CHOOSE({1,2,3,4},KMB!U211,KMB!AA211,KMB!AG211,KMB!AM211))=11)*(CHOOSE({1,2,3,4},KMB!X211,KMB!AD211,KMB!AJ211,KMB!AP211)))</f>
        <v>0</v>
      </c>
      <c r="L211">
        <f>SUMPRODUCT((MONTH(CHOOSE({1,2,3,4},KMB!U211,KMB!AA211,KMB!AG211,KMB!AM211))=12)*(CHOOSE({1,2,3,4},KMB!X211,KMB!AD211,KMB!AJ211,KMB!AP211)))</f>
        <v>0</v>
      </c>
    </row>
    <row r="212" spans="1:12">
      <c r="A212">
        <f>SUMPRODUCT((MONTH(CHOOSE({1,2,3,4},KMB!U212,KMB!AA212,KMB!AG212,KMB!AM212))=1)*(CHOOSE({1,2,3,4},KMB!X212,KMB!AD212,KMB!AJ212,KMB!AP212)))</f>
        <v>0</v>
      </c>
      <c r="B212">
        <f>SUMPRODUCT((MONTH(CHOOSE({1,2,3,4},KMB!U212,KMB!AA212,KMB!AG212,KMB!AM212))=2)*(CHOOSE({1,2,3,4},KMB!X212,KMB!AD212,KMB!AJ212,KMB!AP212)))</f>
        <v>0</v>
      </c>
      <c r="C212">
        <f>SUMPRODUCT((MONTH(CHOOSE({1,2,3,4},KMB!U212,KMB!AA212,KMB!AG212,KMB!AM212))=3)*(CHOOSE({1,2,3,4},KMB!X212,KMB!AD212,KMB!AJ212,KMB!AP212)))</f>
        <v>0</v>
      </c>
      <c r="D212">
        <f>SUMPRODUCT((MONTH(CHOOSE({1,2,3,4},KMB!U212,KMB!AA212,KMB!AG212,KMB!AM212))=4)*(CHOOSE({1,2,3,4},KMB!X212,KMB!AD212,KMB!AJ212,KMB!AP212)))</f>
        <v>0</v>
      </c>
      <c r="E212">
        <f>SUMPRODUCT((MONTH(CHOOSE({1,2,3,4},KMB!U212,KMB!AA212,KMB!AG212,KMB!AM212))=5)*(CHOOSE({1,2,3,4},KMB!X212,KMB!AD212,KMB!AJ212,KMB!AP212)))</f>
        <v>0</v>
      </c>
      <c r="F212">
        <f>SUMPRODUCT((MONTH(CHOOSE({1,2,3,4},KMB!U212,KMB!AA212,KMB!AG212,KMB!AM212))=6)*(CHOOSE({1,2,3,4},KMB!X212,KMB!AD212,KMB!AJ212,KMB!AP212)))</f>
        <v>0</v>
      </c>
      <c r="G212">
        <f>SUMPRODUCT((MONTH(CHOOSE({1,2,3,4},KMB!U212,KMB!AA212,KMB!AG212,KMB!AM212))=7)*(CHOOSE({1,2,3,4},KMB!X212,KMB!AD212,KMB!AJ212,KMB!AP212)))</f>
        <v>0</v>
      </c>
      <c r="H212">
        <f>SUMPRODUCT((MONTH(CHOOSE({1,2,3,4},KMB!U212,KMB!AA212,KMB!AG212,KMB!AM212))=8)*(CHOOSE({1,2,3,4},KMB!X212,KMB!AD212,KMB!AJ212,KMB!AP212)))</f>
        <v>0</v>
      </c>
      <c r="I212">
        <f>SUMPRODUCT((MONTH(CHOOSE({1,2,3,4},KMB!U212,KMB!AA212,KMB!AG212,KMB!AM212))=9)*(CHOOSE({1,2,3,4},KMB!X212,KMB!AD212,KMB!AJ212,KMB!AP212)))</f>
        <v>0</v>
      </c>
      <c r="J212">
        <f>SUMPRODUCT((MONTH(CHOOSE({1,2,3,4},KMB!U212,KMB!AA212,KMB!AG212,KMB!AM212))=10)*(CHOOSE({1,2,3,4},KMB!X212,KMB!AD212,KMB!AJ212,KMB!AP212)))</f>
        <v>0</v>
      </c>
      <c r="K212">
        <f>SUMPRODUCT((MONTH(CHOOSE({1,2,3,4},KMB!U212,KMB!AA212,KMB!AG212,KMB!AM212))=11)*(CHOOSE({1,2,3,4},KMB!X212,KMB!AD212,KMB!AJ212,KMB!AP212)))</f>
        <v>0</v>
      </c>
      <c r="L212">
        <f>SUMPRODUCT((MONTH(CHOOSE({1,2,3,4},KMB!U212,KMB!AA212,KMB!AG212,KMB!AM212))=12)*(CHOOSE({1,2,3,4},KMB!X212,KMB!AD212,KMB!AJ212,KMB!AP212)))</f>
        <v>0</v>
      </c>
    </row>
    <row r="213" spans="1:12">
      <c r="A213">
        <f>SUMPRODUCT((MONTH(CHOOSE({1,2,3,4},KMB!U213,KMB!AA213,KMB!AG213,KMB!AM213))=1)*(CHOOSE({1,2,3,4},KMB!X213,KMB!AD213,KMB!AJ213,KMB!AP213)))</f>
        <v>0</v>
      </c>
      <c r="B213">
        <f>SUMPRODUCT((MONTH(CHOOSE({1,2,3,4},KMB!U213,KMB!AA213,KMB!AG213,KMB!AM213))=2)*(CHOOSE({1,2,3,4},KMB!X213,KMB!AD213,KMB!AJ213,KMB!AP213)))</f>
        <v>0</v>
      </c>
      <c r="C213">
        <f>SUMPRODUCT((MONTH(CHOOSE({1,2,3,4},KMB!U213,KMB!AA213,KMB!AG213,KMB!AM213))=3)*(CHOOSE({1,2,3,4},KMB!X213,KMB!AD213,KMB!AJ213,KMB!AP213)))</f>
        <v>0</v>
      </c>
      <c r="D213">
        <f>SUMPRODUCT((MONTH(CHOOSE({1,2,3,4},KMB!U213,KMB!AA213,KMB!AG213,KMB!AM213))=4)*(CHOOSE({1,2,3,4},KMB!X213,KMB!AD213,KMB!AJ213,KMB!AP213)))</f>
        <v>0</v>
      </c>
      <c r="E213">
        <f>SUMPRODUCT((MONTH(CHOOSE({1,2,3,4},KMB!U213,KMB!AA213,KMB!AG213,KMB!AM213))=5)*(CHOOSE({1,2,3,4},KMB!X213,KMB!AD213,KMB!AJ213,KMB!AP213)))</f>
        <v>0</v>
      </c>
      <c r="F213">
        <f>SUMPRODUCT((MONTH(CHOOSE({1,2,3,4},KMB!U213,KMB!AA213,KMB!AG213,KMB!AM213))=6)*(CHOOSE({1,2,3,4},KMB!X213,KMB!AD213,KMB!AJ213,KMB!AP213)))</f>
        <v>0</v>
      </c>
      <c r="G213">
        <f>SUMPRODUCT((MONTH(CHOOSE({1,2,3,4},KMB!U213,KMB!AA213,KMB!AG213,KMB!AM213))=7)*(CHOOSE({1,2,3,4},KMB!X213,KMB!AD213,KMB!AJ213,KMB!AP213)))</f>
        <v>0</v>
      </c>
      <c r="H213">
        <f>SUMPRODUCT((MONTH(CHOOSE({1,2,3,4},KMB!U213,KMB!AA213,KMB!AG213,KMB!AM213))=8)*(CHOOSE({1,2,3,4},KMB!X213,KMB!AD213,KMB!AJ213,KMB!AP213)))</f>
        <v>0</v>
      </c>
      <c r="I213">
        <f>SUMPRODUCT((MONTH(CHOOSE({1,2,3,4},KMB!U213,KMB!AA213,KMB!AG213,KMB!AM213))=9)*(CHOOSE({1,2,3,4},KMB!X213,KMB!AD213,KMB!AJ213,KMB!AP213)))</f>
        <v>0</v>
      </c>
      <c r="J213">
        <f>SUMPRODUCT((MONTH(CHOOSE({1,2,3,4},KMB!U213,KMB!AA213,KMB!AG213,KMB!AM213))=10)*(CHOOSE({1,2,3,4},KMB!X213,KMB!AD213,KMB!AJ213,KMB!AP213)))</f>
        <v>0</v>
      </c>
      <c r="K213">
        <f>SUMPRODUCT((MONTH(CHOOSE({1,2,3,4},KMB!U213,KMB!AA213,KMB!AG213,KMB!AM213))=11)*(CHOOSE({1,2,3,4},KMB!X213,KMB!AD213,KMB!AJ213,KMB!AP213)))</f>
        <v>0</v>
      </c>
      <c r="L213">
        <f>SUMPRODUCT((MONTH(CHOOSE({1,2,3,4},KMB!U213,KMB!AA213,KMB!AG213,KMB!AM213))=12)*(CHOOSE({1,2,3,4},KMB!X213,KMB!AD213,KMB!AJ213,KMB!AP213)))</f>
        <v>0</v>
      </c>
    </row>
    <row r="214" spans="1:12">
      <c r="A214">
        <f>SUMPRODUCT((MONTH(CHOOSE({1,2,3,4},KMB!U214,KMB!AA214,KMB!AG214,KMB!AM214))=1)*(CHOOSE({1,2,3,4},KMB!X214,KMB!AD214,KMB!AJ214,KMB!AP214)))</f>
        <v>0</v>
      </c>
      <c r="B214">
        <f>SUMPRODUCT((MONTH(CHOOSE({1,2,3,4},KMB!U214,KMB!AA214,KMB!AG214,KMB!AM214))=2)*(CHOOSE({1,2,3,4},KMB!X214,KMB!AD214,KMB!AJ214,KMB!AP214)))</f>
        <v>0</v>
      </c>
      <c r="C214">
        <f>SUMPRODUCT((MONTH(CHOOSE({1,2,3,4},KMB!U214,KMB!AA214,KMB!AG214,KMB!AM214))=3)*(CHOOSE({1,2,3,4},KMB!X214,KMB!AD214,KMB!AJ214,KMB!AP214)))</f>
        <v>0</v>
      </c>
      <c r="D214">
        <f>SUMPRODUCT((MONTH(CHOOSE({1,2,3,4},KMB!U214,KMB!AA214,KMB!AG214,KMB!AM214))=4)*(CHOOSE({1,2,3,4},KMB!X214,KMB!AD214,KMB!AJ214,KMB!AP214)))</f>
        <v>0</v>
      </c>
      <c r="E214">
        <f>SUMPRODUCT((MONTH(CHOOSE({1,2,3,4},KMB!U214,KMB!AA214,KMB!AG214,KMB!AM214))=5)*(CHOOSE({1,2,3,4},KMB!X214,KMB!AD214,KMB!AJ214,KMB!AP214)))</f>
        <v>0</v>
      </c>
      <c r="F214">
        <f>SUMPRODUCT((MONTH(CHOOSE({1,2,3,4},KMB!U214,KMB!AA214,KMB!AG214,KMB!AM214))=6)*(CHOOSE({1,2,3,4},KMB!X214,KMB!AD214,KMB!AJ214,KMB!AP214)))</f>
        <v>0</v>
      </c>
      <c r="G214">
        <f>SUMPRODUCT((MONTH(CHOOSE({1,2,3,4},KMB!U214,KMB!AA214,KMB!AG214,KMB!AM214))=7)*(CHOOSE({1,2,3,4},KMB!X214,KMB!AD214,KMB!AJ214,KMB!AP214)))</f>
        <v>0</v>
      </c>
      <c r="H214">
        <f>SUMPRODUCT((MONTH(CHOOSE({1,2,3,4},KMB!U214,KMB!AA214,KMB!AG214,KMB!AM214))=8)*(CHOOSE({1,2,3,4},KMB!X214,KMB!AD214,KMB!AJ214,KMB!AP214)))</f>
        <v>0</v>
      </c>
      <c r="I214">
        <f>SUMPRODUCT((MONTH(CHOOSE({1,2,3,4},KMB!U214,KMB!AA214,KMB!AG214,KMB!AM214))=9)*(CHOOSE({1,2,3,4},KMB!X214,KMB!AD214,KMB!AJ214,KMB!AP214)))</f>
        <v>0</v>
      </c>
      <c r="J214">
        <f>SUMPRODUCT((MONTH(CHOOSE({1,2,3,4},KMB!U214,KMB!AA214,KMB!AG214,KMB!AM214))=10)*(CHOOSE({1,2,3,4},KMB!X214,KMB!AD214,KMB!AJ214,KMB!AP214)))</f>
        <v>0</v>
      </c>
      <c r="K214">
        <f>SUMPRODUCT((MONTH(CHOOSE({1,2,3,4},KMB!U214,KMB!AA214,KMB!AG214,KMB!AM214))=11)*(CHOOSE({1,2,3,4},KMB!X214,KMB!AD214,KMB!AJ214,KMB!AP214)))</f>
        <v>0</v>
      </c>
      <c r="L214">
        <f>SUMPRODUCT((MONTH(CHOOSE({1,2,3,4},KMB!U214,KMB!AA214,KMB!AG214,KMB!AM214))=12)*(CHOOSE({1,2,3,4},KMB!X214,KMB!AD214,KMB!AJ214,KMB!AP214)))</f>
        <v>0</v>
      </c>
    </row>
    <row r="215" spans="1:12">
      <c r="A215">
        <f>SUMPRODUCT((MONTH(CHOOSE({1,2,3,4},KMB!U215,KMB!AA215,KMB!AG215,KMB!AM215))=1)*(CHOOSE({1,2,3,4},KMB!X215,KMB!AD215,KMB!AJ215,KMB!AP215)))</f>
        <v>0</v>
      </c>
      <c r="B215">
        <f>SUMPRODUCT((MONTH(CHOOSE({1,2,3,4},KMB!U215,KMB!AA215,KMB!AG215,KMB!AM215))=2)*(CHOOSE({1,2,3,4},KMB!X215,KMB!AD215,KMB!AJ215,KMB!AP215)))</f>
        <v>0</v>
      </c>
      <c r="C215">
        <f>SUMPRODUCT((MONTH(CHOOSE({1,2,3,4},KMB!U215,KMB!AA215,KMB!AG215,KMB!AM215))=3)*(CHOOSE({1,2,3,4},KMB!X215,KMB!AD215,KMB!AJ215,KMB!AP215)))</f>
        <v>0</v>
      </c>
      <c r="D215">
        <f>SUMPRODUCT((MONTH(CHOOSE({1,2,3,4},KMB!U215,KMB!AA215,KMB!AG215,KMB!AM215))=4)*(CHOOSE({1,2,3,4},KMB!X215,KMB!AD215,KMB!AJ215,KMB!AP215)))</f>
        <v>0</v>
      </c>
      <c r="E215">
        <f>SUMPRODUCT((MONTH(CHOOSE({1,2,3,4},KMB!U215,KMB!AA215,KMB!AG215,KMB!AM215))=5)*(CHOOSE({1,2,3,4},KMB!X215,KMB!AD215,KMB!AJ215,KMB!AP215)))</f>
        <v>0</v>
      </c>
      <c r="F215">
        <f>SUMPRODUCT((MONTH(CHOOSE({1,2,3,4},KMB!U215,KMB!AA215,KMB!AG215,KMB!AM215))=6)*(CHOOSE({1,2,3,4},KMB!X215,KMB!AD215,KMB!AJ215,KMB!AP215)))</f>
        <v>0</v>
      </c>
      <c r="G215">
        <f>SUMPRODUCT((MONTH(CHOOSE({1,2,3,4},KMB!U215,KMB!AA215,KMB!AG215,KMB!AM215))=7)*(CHOOSE({1,2,3,4},KMB!X215,KMB!AD215,KMB!AJ215,KMB!AP215)))</f>
        <v>0</v>
      </c>
      <c r="H215">
        <f>SUMPRODUCT((MONTH(CHOOSE({1,2,3,4},KMB!U215,KMB!AA215,KMB!AG215,KMB!AM215))=8)*(CHOOSE({1,2,3,4},KMB!X215,KMB!AD215,KMB!AJ215,KMB!AP215)))</f>
        <v>0</v>
      </c>
      <c r="I215">
        <f>SUMPRODUCT((MONTH(CHOOSE({1,2,3,4},KMB!U215,KMB!AA215,KMB!AG215,KMB!AM215))=9)*(CHOOSE({1,2,3,4},KMB!X215,KMB!AD215,KMB!AJ215,KMB!AP215)))</f>
        <v>0</v>
      </c>
      <c r="J215">
        <f>SUMPRODUCT((MONTH(CHOOSE({1,2,3,4},KMB!U215,KMB!AA215,KMB!AG215,KMB!AM215))=10)*(CHOOSE({1,2,3,4},KMB!X215,KMB!AD215,KMB!AJ215,KMB!AP215)))</f>
        <v>0</v>
      </c>
      <c r="K215">
        <f>SUMPRODUCT((MONTH(CHOOSE({1,2,3,4},KMB!U215,KMB!AA215,KMB!AG215,KMB!AM215))=11)*(CHOOSE({1,2,3,4},KMB!X215,KMB!AD215,KMB!AJ215,KMB!AP215)))</f>
        <v>0</v>
      </c>
      <c r="L215">
        <f>SUMPRODUCT((MONTH(CHOOSE({1,2,3,4},KMB!U215,KMB!AA215,KMB!AG215,KMB!AM215))=12)*(CHOOSE({1,2,3,4},KMB!X215,KMB!AD215,KMB!AJ215,KMB!AP215)))</f>
        <v>0</v>
      </c>
    </row>
    <row r="216" spans="1:12">
      <c r="A216">
        <f>SUMPRODUCT((MONTH(CHOOSE({1,2,3,4},KMB!U216,KMB!AA216,KMB!AG216,KMB!AM216))=1)*(CHOOSE({1,2,3,4},KMB!X216,KMB!AD216,KMB!AJ216,KMB!AP216)))</f>
        <v>0</v>
      </c>
      <c r="B216">
        <f>SUMPRODUCT((MONTH(CHOOSE({1,2,3,4},KMB!U216,KMB!AA216,KMB!AG216,KMB!AM216))=2)*(CHOOSE({1,2,3,4},KMB!X216,KMB!AD216,KMB!AJ216,KMB!AP216)))</f>
        <v>0</v>
      </c>
      <c r="C216">
        <f>SUMPRODUCT((MONTH(CHOOSE({1,2,3,4},KMB!U216,KMB!AA216,KMB!AG216,KMB!AM216))=3)*(CHOOSE({1,2,3,4},KMB!X216,KMB!AD216,KMB!AJ216,KMB!AP216)))</f>
        <v>0</v>
      </c>
      <c r="D216">
        <f>SUMPRODUCT((MONTH(CHOOSE({1,2,3,4},KMB!U216,KMB!AA216,KMB!AG216,KMB!AM216))=4)*(CHOOSE({1,2,3,4},KMB!X216,KMB!AD216,KMB!AJ216,KMB!AP216)))</f>
        <v>0</v>
      </c>
      <c r="E216">
        <f>SUMPRODUCT((MONTH(CHOOSE({1,2,3,4},KMB!U216,KMB!AA216,KMB!AG216,KMB!AM216))=5)*(CHOOSE({1,2,3,4},KMB!X216,KMB!AD216,KMB!AJ216,KMB!AP216)))</f>
        <v>0</v>
      </c>
      <c r="F216">
        <f>SUMPRODUCT((MONTH(CHOOSE({1,2,3,4},KMB!U216,KMB!AA216,KMB!AG216,KMB!AM216))=6)*(CHOOSE({1,2,3,4},KMB!X216,KMB!AD216,KMB!AJ216,KMB!AP216)))</f>
        <v>0</v>
      </c>
      <c r="G216">
        <f>SUMPRODUCT((MONTH(CHOOSE({1,2,3,4},KMB!U216,KMB!AA216,KMB!AG216,KMB!AM216))=7)*(CHOOSE({1,2,3,4},KMB!X216,KMB!AD216,KMB!AJ216,KMB!AP216)))</f>
        <v>0</v>
      </c>
      <c r="H216">
        <f>SUMPRODUCT((MONTH(CHOOSE({1,2,3,4},KMB!U216,KMB!AA216,KMB!AG216,KMB!AM216))=8)*(CHOOSE({1,2,3,4},KMB!X216,KMB!AD216,KMB!AJ216,KMB!AP216)))</f>
        <v>0</v>
      </c>
      <c r="I216">
        <f>SUMPRODUCT((MONTH(CHOOSE({1,2,3,4},KMB!U216,KMB!AA216,KMB!AG216,KMB!AM216))=9)*(CHOOSE({1,2,3,4},KMB!X216,KMB!AD216,KMB!AJ216,KMB!AP216)))</f>
        <v>0</v>
      </c>
      <c r="J216">
        <f>SUMPRODUCT((MONTH(CHOOSE({1,2,3,4},KMB!U216,KMB!AA216,KMB!AG216,KMB!AM216))=10)*(CHOOSE({1,2,3,4},KMB!X216,KMB!AD216,KMB!AJ216,KMB!AP216)))</f>
        <v>0</v>
      </c>
      <c r="K216">
        <f>SUMPRODUCT((MONTH(CHOOSE({1,2,3,4},KMB!U216,KMB!AA216,KMB!AG216,KMB!AM216))=11)*(CHOOSE({1,2,3,4},KMB!X216,KMB!AD216,KMB!AJ216,KMB!AP216)))</f>
        <v>0</v>
      </c>
      <c r="L216">
        <f>SUMPRODUCT((MONTH(CHOOSE({1,2,3,4},KMB!U216,KMB!AA216,KMB!AG216,KMB!AM216))=12)*(CHOOSE({1,2,3,4},KMB!X216,KMB!AD216,KMB!AJ216,KMB!AP216)))</f>
        <v>0</v>
      </c>
    </row>
    <row r="217" spans="1:12">
      <c r="A217">
        <f>SUMPRODUCT((MONTH(CHOOSE({1,2,3,4},KMB!U217,KMB!AA217,KMB!AG217,KMB!AM217))=1)*(CHOOSE({1,2,3,4},KMB!X217,KMB!AD217,KMB!AJ217,KMB!AP217)))</f>
        <v>0</v>
      </c>
      <c r="B217">
        <f>SUMPRODUCT((MONTH(CHOOSE({1,2,3,4},KMB!U217,KMB!AA217,KMB!AG217,KMB!AM217))=2)*(CHOOSE({1,2,3,4},KMB!X217,KMB!AD217,KMB!AJ217,KMB!AP217)))</f>
        <v>0</v>
      </c>
      <c r="C217">
        <f>SUMPRODUCT((MONTH(CHOOSE({1,2,3,4},KMB!U217,KMB!AA217,KMB!AG217,KMB!AM217))=3)*(CHOOSE({1,2,3,4},KMB!X217,KMB!AD217,KMB!AJ217,KMB!AP217)))</f>
        <v>0</v>
      </c>
      <c r="D217">
        <f>SUMPRODUCT((MONTH(CHOOSE({1,2,3,4},KMB!U217,KMB!AA217,KMB!AG217,KMB!AM217))=4)*(CHOOSE({1,2,3,4},KMB!X217,KMB!AD217,KMB!AJ217,KMB!AP217)))</f>
        <v>0</v>
      </c>
      <c r="E217">
        <f>SUMPRODUCT((MONTH(CHOOSE({1,2,3,4},KMB!U217,KMB!AA217,KMB!AG217,KMB!AM217))=5)*(CHOOSE({1,2,3,4},KMB!X217,KMB!AD217,KMB!AJ217,KMB!AP217)))</f>
        <v>0</v>
      </c>
      <c r="F217">
        <f>SUMPRODUCT((MONTH(CHOOSE({1,2,3,4},KMB!U217,KMB!AA217,KMB!AG217,KMB!AM217))=6)*(CHOOSE({1,2,3,4},KMB!X217,KMB!AD217,KMB!AJ217,KMB!AP217)))</f>
        <v>0</v>
      </c>
      <c r="G217">
        <f>SUMPRODUCT((MONTH(CHOOSE({1,2,3,4},KMB!U217,KMB!AA217,KMB!AG217,KMB!AM217))=7)*(CHOOSE({1,2,3,4},KMB!X217,KMB!AD217,KMB!AJ217,KMB!AP217)))</f>
        <v>0</v>
      </c>
      <c r="H217">
        <f>SUMPRODUCT((MONTH(CHOOSE({1,2,3,4},KMB!U217,KMB!AA217,KMB!AG217,KMB!AM217))=8)*(CHOOSE({1,2,3,4},KMB!X217,KMB!AD217,KMB!AJ217,KMB!AP217)))</f>
        <v>0</v>
      </c>
      <c r="I217">
        <f>SUMPRODUCT((MONTH(CHOOSE({1,2,3,4},KMB!U217,KMB!AA217,KMB!AG217,KMB!AM217))=9)*(CHOOSE({1,2,3,4},KMB!X217,KMB!AD217,KMB!AJ217,KMB!AP217)))</f>
        <v>0</v>
      </c>
      <c r="J217">
        <f>SUMPRODUCT((MONTH(CHOOSE({1,2,3,4},KMB!U217,KMB!AA217,KMB!AG217,KMB!AM217))=10)*(CHOOSE({1,2,3,4},KMB!X217,KMB!AD217,KMB!AJ217,KMB!AP217)))</f>
        <v>0</v>
      </c>
      <c r="K217">
        <f>SUMPRODUCT((MONTH(CHOOSE({1,2,3,4},KMB!U217,KMB!AA217,KMB!AG217,KMB!AM217))=11)*(CHOOSE({1,2,3,4},KMB!X217,KMB!AD217,KMB!AJ217,KMB!AP217)))</f>
        <v>0</v>
      </c>
      <c r="L217">
        <f>SUMPRODUCT((MONTH(CHOOSE({1,2,3,4},KMB!U217,KMB!AA217,KMB!AG217,KMB!AM217))=12)*(CHOOSE({1,2,3,4},KMB!X217,KMB!AD217,KMB!AJ217,KMB!AP217)))</f>
        <v>0</v>
      </c>
    </row>
    <row r="218" spans="1:12">
      <c r="A218">
        <f>SUMPRODUCT((MONTH(CHOOSE({1,2,3,4},KMB!U218,KMB!AA218,KMB!AG218,KMB!AM218))=1)*(CHOOSE({1,2,3,4},KMB!X218,KMB!AD218,KMB!AJ218,KMB!AP218)))</f>
        <v>0</v>
      </c>
      <c r="B218">
        <f>SUMPRODUCT((MONTH(CHOOSE({1,2,3,4},KMB!U218,KMB!AA218,KMB!AG218,KMB!AM218))=2)*(CHOOSE({1,2,3,4},KMB!X218,KMB!AD218,KMB!AJ218,KMB!AP218)))</f>
        <v>0</v>
      </c>
      <c r="C218">
        <f>SUMPRODUCT((MONTH(CHOOSE({1,2,3,4},KMB!U218,KMB!AA218,KMB!AG218,KMB!AM218))=3)*(CHOOSE({1,2,3,4},KMB!X218,KMB!AD218,KMB!AJ218,KMB!AP218)))</f>
        <v>0</v>
      </c>
      <c r="D218">
        <f>SUMPRODUCT((MONTH(CHOOSE({1,2,3,4},KMB!U218,KMB!AA218,KMB!AG218,KMB!AM218))=4)*(CHOOSE({1,2,3,4},KMB!X218,KMB!AD218,KMB!AJ218,KMB!AP218)))</f>
        <v>0</v>
      </c>
      <c r="E218">
        <f>SUMPRODUCT((MONTH(CHOOSE({1,2,3,4},KMB!U218,KMB!AA218,KMB!AG218,KMB!AM218))=5)*(CHOOSE({1,2,3,4},KMB!X218,KMB!AD218,KMB!AJ218,KMB!AP218)))</f>
        <v>0</v>
      </c>
      <c r="F218">
        <f>SUMPRODUCT((MONTH(CHOOSE({1,2,3,4},KMB!U218,KMB!AA218,KMB!AG218,KMB!AM218))=6)*(CHOOSE({1,2,3,4},KMB!X218,KMB!AD218,KMB!AJ218,KMB!AP218)))</f>
        <v>0</v>
      </c>
      <c r="G218">
        <f>SUMPRODUCT((MONTH(CHOOSE({1,2,3,4},KMB!U218,KMB!AA218,KMB!AG218,KMB!AM218))=7)*(CHOOSE({1,2,3,4},KMB!X218,KMB!AD218,KMB!AJ218,KMB!AP218)))</f>
        <v>0</v>
      </c>
      <c r="H218">
        <f>SUMPRODUCT((MONTH(CHOOSE({1,2,3,4},KMB!U218,KMB!AA218,KMB!AG218,KMB!AM218))=8)*(CHOOSE({1,2,3,4},KMB!X218,KMB!AD218,KMB!AJ218,KMB!AP218)))</f>
        <v>0</v>
      </c>
      <c r="I218">
        <f>SUMPRODUCT((MONTH(CHOOSE({1,2,3,4},KMB!U218,KMB!AA218,KMB!AG218,KMB!AM218))=9)*(CHOOSE({1,2,3,4},KMB!X218,KMB!AD218,KMB!AJ218,KMB!AP218)))</f>
        <v>0</v>
      </c>
      <c r="J218">
        <f>SUMPRODUCT((MONTH(CHOOSE({1,2,3,4},KMB!U218,KMB!AA218,KMB!AG218,KMB!AM218))=10)*(CHOOSE({1,2,3,4},KMB!X218,KMB!AD218,KMB!AJ218,KMB!AP218)))</f>
        <v>0</v>
      </c>
      <c r="K218">
        <f>SUMPRODUCT((MONTH(CHOOSE({1,2,3,4},KMB!U218,KMB!AA218,KMB!AG218,KMB!AM218))=11)*(CHOOSE({1,2,3,4},KMB!X218,KMB!AD218,KMB!AJ218,KMB!AP218)))</f>
        <v>0</v>
      </c>
      <c r="L218">
        <f>SUMPRODUCT((MONTH(CHOOSE({1,2,3,4},KMB!U218,KMB!AA218,KMB!AG218,KMB!AM218))=12)*(CHOOSE({1,2,3,4},KMB!X218,KMB!AD218,KMB!AJ218,KMB!AP218)))</f>
        <v>0</v>
      </c>
    </row>
    <row r="219" spans="1:12">
      <c r="A219">
        <f>SUMPRODUCT((MONTH(CHOOSE({1,2,3,4},KMB!U219,KMB!AA219,KMB!AG219,KMB!AM219))=1)*(CHOOSE({1,2,3,4},KMB!X219,KMB!AD219,KMB!AJ219,KMB!AP219)))</f>
        <v>0</v>
      </c>
      <c r="B219">
        <f>SUMPRODUCT((MONTH(CHOOSE({1,2,3,4},KMB!U219,KMB!AA219,KMB!AG219,KMB!AM219))=2)*(CHOOSE({1,2,3,4},KMB!X219,KMB!AD219,KMB!AJ219,KMB!AP219)))</f>
        <v>0</v>
      </c>
      <c r="C219">
        <f>SUMPRODUCT((MONTH(CHOOSE({1,2,3,4},KMB!U219,KMB!AA219,KMB!AG219,KMB!AM219))=3)*(CHOOSE({1,2,3,4},KMB!X219,KMB!AD219,KMB!AJ219,KMB!AP219)))</f>
        <v>0</v>
      </c>
      <c r="D219">
        <f>SUMPRODUCT((MONTH(CHOOSE({1,2,3,4},KMB!U219,KMB!AA219,KMB!AG219,KMB!AM219))=4)*(CHOOSE({1,2,3,4},KMB!X219,KMB!AD219,KMB!AJ219,KMB!AP219)))</f>
        <v>0</v>
      </c>
      <c r="E219">
        <f>SUMPRODUCT((MONTH(CHOOSE({1,2,3,4},KMB!U219,KMB!AA219,KMB!AG219,KMB!AM219))=5)*(CHOOSE({1,2,3,4},KMB!X219,KMB!AD219,KMB!AJ219,KMB!AP219)))</f>
        <v>0</v>
      </c>
      <c r="F219">
        <f>SUMPRODUCT((MONTH(CHOOSE({1,2,3,4},KMB!U219,KMB!AA219,KMB!AG219,KMB!AM219))=6)*(CHOOSE({1,2,3,4},KMB!X219,KMB!AD219,KMB!AJ219,KMB!AP219)))</f>
        <v>0</v>
      </c>
      <c r="G219">
        <f>SUMPRODUCT((MONTH(CHOOSE({1,2,3,4},KMB!U219,KMB!AA219,KMB!AG219,KMB!AM219))=7)*(CHOOSE({1,2,3,4},KMB!X219,KMB!AD219,KMB!AJ219,KMB!AP219)))</f>
        <v>0</v>
      </c>
      <c r="H219">
        <f>SUMPRODUCT((MONTH(CHOOSE({1,2,3,4},KMB!U219,KMB!AA219,KMB!AG219,KMB!AM219))=8)*(CHOOSE({1,2,3,4},KMB!X219,KMB!AD219,KMB!AJ219,KMB!AP219)))</f>
        <v>0</v>
      </c>
      <c r="I219">
        <f>SUMPRODUCT((MONTH(CHOOSE({1,2,3,4},KMB!U219,KMB!AA219,KMB!AG219,KMB!AM219))=9)*(CHOOSE({1,2,3,4},KMB!X219,KMB!AD219,KMB!AJ219,KMB!AP219)))</f>
        <v>0</v>
      </c>
      <c r="J219">
        <f>SUMPRODUCT((MONTH(CHOOSE({1,2,3,4},KMB!U219,KMB!AA219,KMB!AG219,KMB!AM219))=10)*(CHOOSE({1,2,3,4},KMB!X219,KMB!AD219,KMB!AJ219,KMB!AP219)))</f>
        <v>0</v>
      </c>
      <c r="K219">
        <f>SUMPRODUCT((MONTH(CHOOSE({1,2,3,4},KMB!U219,KMB!AA219,KMB!AG219,KMB!AM219))=11)*(CHOOSE({1,2,3,4},KMB!X219,KMB!AD219,KMB!AJ219,KMB!AP219)))</f>
        <v>0</v>
      </c>
      <c r="L219">
        <f>SUMPRODUCT((MONTH(CHOOSE({1,2,3,4},KMB!U219,KMB!AA219,KMB!AG219,KMB!AM219))=12)*(CHOOSE({1,2,3,4},KMB!X219,KMB!AD219,KMB!AJ219,KMB!AP219)))</f>
        <v>0</v>
      </c>
    </row>
    <row r="220" spans="1:12">
      <c r="A220">
        <f>SUMPRODUCT((MONTH(CHOOSE({1,2,3,4},KMB!U220,KMB!AA220,KMB!AG220,KMB!AM220))=1)*(CHOOSE({1,2,3,4},KMB!X220,KMB!AD220,KMB!AJ220,KMB!AP220)))</f>
        <v>0</v>
      </c>
      <c r="B220">
        <f>SUMPRODUCT((MONTH(CHOOSE({1,2,3,4},KMB!U220,KMB!AA220,KMB!AG220,KMB!AM220))=2)*(CHOOSE({1,2,3,4},KMB!X220,KMB!AD220,KMB!AJ220,KMB!AP220)))</f>
        <v>0</v>
      </c>
      <c r="C220">
        <f>SUMPRODUCT((MONTH(CHOOSE({1,2,3,4},KMB!U220,KMB!AA220,KMB!AG220,KMB!AM220))=3)*(CHOOSE({1,2,3,4},KMB!X220,KMB!AD220,KMB!AJ220,KMB!AP220)))</f>
        <v>0</v>
      </c>
      <c r="D220">
        <f>SUMPRODUCT((MONTH(CHOOSE({1,2,3,4},KMB!U220,KMB!AA220,KMB!AG220,KMB!AM220))=4)*(CHOOSE({1,2,3,4},KMB!X220,KMB!AD220,KMB!AJ220,KMB!AP220)))</f>
        <v>0</v>
      </c>
      <c r="E220">
        <f>SUMPRODUCT((MONTH(CHOOSE({1,2,3,4},KMB!U220,KMB!AA220,KMB!AG220,KMB!AM220))=5)*(CHOOSE({1,2,3,4},KMB!X220,KMB!AD220,KMB!AJ220,KMB!AP220)))</f>
        <v>0</v>
      </c>
      <c r="F220">
        <f>SUMPRODUCT((MONTH(CHOOSE({1,2,3,4},KMB!U220,KMB!AA220,KMB!AG220,KMB!AM220))=6)*(CHOOSE({1,2,3,4},KMB!X220,KMB!AD220,KMB!AJ220,KMB!AP220)))</f>
        <v>0</v>
      </c>
      <c r="G220">
        <f>SUMPRODUCT((MONTH(CHOOSE({1,2,3,4},KMB!U220,KMB!AA220,KMB!AG220,KMB!AM220))=7)*(CHOOSE({1,2,3,4},KMB!X220,KMB!AD220,KMB!AJ220,KMB!AP220)))</f>
        <v>0</v>
      </c>
      <c r="H220">
        <f>SUMPRODUCT((MONTH(CHOOSE({1,2,3,4},KMB!U220,KMB!AA220,KMB!AG220,KMB!AM220))=8)*(CHOOSE({1,2,3,4},KMB!X220,KMB!AD220,KMB!AJ220,KMB!AP220)))</f>
        <v>0</v>
      </c>
      <c r="I220">
        <f>SUMPRODUCT((MONTH(CHOOSE({1,2,3,4},KMB!U220,KMB!AA220,KMB!AG220,KMB!AM220))=9)*(CHOOSE({1,2,3,4},KMB!X220,KMB!AD220,KMB!AJ220,KMB!AP220)))</f>
        <v>0</v>
      </c>
      <c r="J220">
        <f>SUMPRODUCT((MONTH(CHOOSE({1,2,3,4},KMB!U220,KMB!AA220,KMB!AG220,KMB!AM220))=10)*(CHOOSE({1,2,3,4},KMB!X220,KMB!AD220,KMB!AJ220,KMB!AP220)))</f>
        <v>0</v>
      </c>
      <c r="K220">
        <f>SUMPRODUCT((MONTH(CHOOSE({1,2,3,4},KMB!U220,KMB!AA220,KMB!AG220,KMB!AM220))=11)*(CHOOSE({1,2,3,4},KMB!X220,KMB!AD220,KMB!AJ220,KMB!AP220)))</f>
        <v>0</v>
      </c>
      <c r="L220">
        <f>SUMPRODUCT((MONTH(CHOOSE({1,2,3,4},KMB!U220,KMB!AA220,KMB!AG220,KMB!AM220))=12)*(CHOOSE({1,2,3,4},KMB!X220,KMB!AD220,KMB!AJ220,KMB!AP220)))</f>
        <v>0</v>
      </c>
    </row>
    <row r="221" spans="1:12">
      <c r="A221">
        <f>SUMPRODUCT((MONTH(CHOOSE({1,2,3,4},KMB!U221,KMB!AA221,KMB!AG221,KMB!AM221))=1)*(CHOOSE({1,2,3,4},KMB!X221,KMB!AD221,KMB!AJ221,KMB!AP221)))</f>
        <v>0</v>
      </c>
      <c r="B221">
        <f>SUMPRODUCT((MONTH(CHOOSE({1,2,3,4},KMB!U221,KMB!AA221,KMB!AG221,KMB!AM221))=2)*(CHOOSE({1,2,3,4},KMB!X221,KMB!AD221,KMB!AJ221,KMB!AP221)))</f>
        <v>0</v>
      </c>
      <c r="C221">
        <f>SUMPRODUCT((MONTH(CHOOSE({1,2,3,4},KMB!U221,KMB!AA221,KMB!AG221,KMB!AM221))=3)*(CHOOSE({1,2,3,4},KMB!X221,KMB!AD221,KMB!AJ221,KMB!AP221)))</f>
        <v>0</v>
      </c>
      <c r="D221">
        <f>SUMPRODUCT((MONTH(CHOOSE({1,2,3,4},KMB!U221,KMB!AA221,KMB!AG221,KMB!AM221))=4)*(CHOOSE({1,2,3,4},KMB!X221,KMB!AD221,KMB!AJ221,KMB!AP221)))</f>
        <v>0</v>
      </c>
      <c r="E221">
        <f>SUMPRODUCT((MONTH(CHOOSE({1,2,3,4},KMB!U221,KMB!AA221,KMB!AG221,KMB!AM221))=5)*(CHOOSE({1,2,3,4},KMB!X221,KMB!AD221,KMB!AJ221,KMB!AP221)))</f>
        <v>0</v>
      </c>
      <c r="F221">
        <f>SUMPRODUCT((MONTH(CHOOSE({1,2,3,4},KMB!U221,KMB!AA221,KMB!AG221,KMB!AM221))=6)*(CHOOSE({1,2,3,4},KMB!X221,KMB!AD221,KMB!AJ221,KMB!AP221)))</f>
        <v>0</v>
      </c>
      <c r="G221">
        <f>SUMPRODUCT((MONTH(CHOOSE({1,2,3,4},KMB!U221,KMB!AA221,KMB!AG221,KMB!AM221))=7)*(CHOOSE({1,2,3,4},KMB!X221,KMB!AD221,KMB!AJ221,KMB!AP221)))</f>
        <v>0</v>
      </c>
      <c r="H221">
        <f>SUMPRODUCT((MONTH(CHOOSE({1,2,3,4},KMB!U221,KMB!AA221,KMB!AG221,KMB!AM221))=8)*(CHOOSE({1,2,3,4},KMB!X221,KMB!AD221,KMB!AJ221,KMB!AP221)))</f>
        <v>0</v>
      </c>
      <c r="I221">
        <f>SUMPRODUCT((MONTH(CHOOSE({1,2,3,4},KMB!U221,KMB!AA221,KMB!AG221,KMB!AM221))=9)*(CHOOSE({1,2,3,4},KMB!X221,KMB!AD221,KMB!AJ221,KMB!AP221)))</f>
        <v>0</v>
      </c>
      <c r="J221">
        <f>SUMPRODUCT((MONTH(CHOOSE({1,2,3,4},KMB!U221,KMB!AA221,KMB!AG221,KMB!AM221))=10)*(CHOOSE({1,2,3,4},KMB!X221,KMB!AD221,KMB!AJ221,KMB!AP221)))</f>
        <v>0</v>
      </c>
      <c r="K221">
        <f>SUMPRODUCT((MONTH(CHOOSE({1,2,3,4},KMB!U221,KMB!AA221,KMB!AG221,KMB!AM221))=11)*(CHOOSE({1,2,3,4},KMB!X221,KMB!AD221,KMB!AJ221,KMB!AP221)))</f>
        <v>0</v>
      </c>
      <c r="L221">
        <f>SUMPRODUCT((MONTH(CHOOSE({1,2,3,4},KMB!U221,KMB!AA221,KMB!AG221,KMB!AM221))=12)*(CHOOSE({1,2,3,4},KMB!X221,KMB!AD221,KMB!AJ221,KMB!AP221)))</f>
        <v>0</v>
      </c>
    </row>
    <row r="222" spans="1:12">
      <c r="A222">
        <f>SUMPRODUCT((MONTH(CHOOSE({1,2,3,4},KMB!U222,KMB!AA222,KMB!AG222,KMB!AM222))=1)*(CHOOSE({1,2,3,4},KMB!X222,KMB!AD222,KMB!AJ222,KMB!AP222)))</f>
        <v>0</v>
      </c>
      <c r="B222">
        <f>SUMPRODUCT((MONTH(CHOOSE({1,2,3,4},KMB!U222,KMB!AA222,KMB!AG222,KMB!AM222))=2)*(CHOOSE({1,2,3,4},KMB!X222,KMB!AD222,KMB!AJ222,KMB!AP222)))</f>
        <v>0</v>
      </c>
      <c r="C222">
        <f>SUMPRODUCT((MONTH(CHOOSE({1,2,3,4},KMB!U222,KMB!AA222,KMB!AG222,KMB!AM222))=3)*(CHOOSE({1,2,3,4},KMB!X222,KMB!AD222,KMB!AJ222,KMB!AP222)))</f>
        <v>0</v>
      </c>
      <c r="D222">
        <f>SUMPRODUCT((MONTH(CHOOSE({1,2,3,4},KMB!U222,KMB!AA222,KMB!AG222,KMB!AM222))=4)*(CHOOSE({1,2,3,4},KMB!X222,KMB!AD222,KMB!AJ222,KMB!AP222)))</f>
        <v>0</v>
      </c>
      <c r="E222">
        <f>SUMPRODUCT((MONTH(CHOOSE({1,2,3,4},KMB!U222,KMB!AA222,KMB!AG222,KMB!AM222))=5)*(CHOOSE({1,2,3,4},KMB!X222,KMB!AD222,KMB!AJ222,KMB!AP222)))</f>
        <v>0</v>
      </c>
      <c r="F222">
        <f>SUMPRODUCT((MONTH(CHOOSE({1,2,3,4},KMB!U222,KMB!AA222,KMB!AG222,KMB!AM222))=6)*(CHOOSE({1,2,3,4},KMB!X222,KMB!AD222,KMB!AJ222,KMB!AP222)))</f>
        <v>0</v>
      </c>
      <c r="G222">
        <f>SUMPRODUCT((MONTH(CHOOSE({1,2,3,4},KMB!U222,KMB!AA222,KMB!AG222,KMB!AM222))=7)*(CHOOSE({1,2,3,4},KMB!X222,KMB!AD222,KMB!AJ222,KMB!AP222)))</f>
        <v>0</v>
      </c>
      <c r="H222">
        <f>SUMPRODUCT((MONTH(CHOOSE({1,2,3,4},KMB!U222,KMB!AA222,KMB!AG222,KMB!AM222))=8)*(CHOOSE({1,2,3,4},KMB!X222,KMB!AD222,KMB!AJ222,KMB!AP222)))</f>
        <v>0</v>
      </c>
      <c r="I222">
        <f>SUMPRODUCT((MONTH(CHOOSE({1,2,3,4},KMB!U222,KMB!AA222,KMB!AG222,KMB!AM222))=9)*(CHOOSE({1,2,3,4},KMB!X222,KMB!AD222,KMB!AJ222,KMB!AP222)))</f>
        <v>0</v>
      </c>
      <c r="J222">
        <f>SUMPRODUCT((MONTH(CHOOSE({1,2,3,4},KMB!U222,KMB!AA222,KMB!AG222,KMB!AM222))=10)*(CHOOSE({1,2,3,4},KMB!X222,KMB!AD222,KMB!AJ222,KMB!AP222)))</f>
        <v>0</v>
      </c>
      <c r="K222">
        <f>SUMPRODUCT((MONTH(CHOOSE({1,2,3,4},KMB!U222,KMB!AA222,KMB!AG222,KMB!AM222))=11)*(CHOOSE({1,2,3,4},KMB!X222,KMB!AD222,KMB!AJ222,KMB!AP222)))</f>
        <v>0</v>
      </c>
      <c r="L222">
        <f>SUMPRODUCT((MONTH(CHOOSE({1,2,3,4},KMB!U222,KMB!AA222,KMB!AG222,KMB!AM222))=12)*(CHOOSE({1,2,3,4},KMB!X222,KMB!AD222,KMB!AJ222,KMB!AP222)))</f>
        <v>0</v>
      </c>
    </row>
    <row r="223" spans="1:12">
      <c r="A223">
        <f>SUMPRODUCT((MONTH(CHOOSE({1,2,3,4},KMB!U223,KMB!AA223,KMB!AG223,KMB!AM223))=1)*(CHOOSE({1,2,3,4},KMB!X223,KMB!AD223,KMB!AJ223,KMB!AP223)))</f>
        <v>0</v>
      </c>
      <c r="B223">
        <f>SUMPRODUCT((MONTH(CHOOSE({1,2,3,4},KMB!U223,KMB!AA223,KMB!AG223,KMB!AM223))=2)*(CHOOSE({1,2,3,4},KMB!X223,KMB!AD223,KMB!AJ223,KMB!AP223)))</f>
        <v>0</v>
      </c>
      <c r="C223">
        <f>SUMPRODUCT((MONTH(CHOOSE({1,2,3,4},KMB!U223,KMB!AA223,KMB!AG223,KMB!AM223))=3)*(CHOOSE({1,2,3,4},KMB!X223,KMB!AD223,KMB!AJ223,KMB!AP223)))</f>
        <v>0</v>
      </c>
      <c r="D223">
        <f>SUMPRODUCT((MONTH(CHOOSE({1,2,3,4},KMB!U223,KMB!AA223,KMB!AG223,KMB!AM223))=4)*(CHOOSE({1,2,3,4},KMB!X223,KMB!AD223,KMB!AJ223,KMB!AP223)))</f>
        <v>0</v>
      </c>
      <c r="E223">
        <f>SUMPRODUCT((MONTH(CHOOSE({1,2,3,4},KMB!U223,KMB!AA223,KMB!AG223,KMB!AM223))=5)*(CHOOSE({1,2,3,4},KMB!X223,KMB!AD223,KMB!AJ223,KMB!AP223)))</f>
        <v>0</v>
      </c>
      <c r="F223">
        <f>SUMPRODUCT((MONTH(CHOOSE({1,2,3,4},KMB!U223,KMB!AA223,KMB!AG223,KMB!AM223))=6)*(CHOOSE({1,2,3,4},KMB!X223,KMB!AD223,KMB!AJ223,KMB!AP223)))</f>
        <v>0</v>
      </c>
      <c r="G223">
        <f>SUMPRODUCT((MONTH(CHOOSE({1,2,3,4},KMB!U223,KMB!AA223,KMB!AG223,KMB!AM223))=7)*(CHOOSE({1,2,3,4},KMB!X223,KMB!AD223,KMB!AJ223,KMB!AP223)))</f>
        <v>0</v>
      </c>
      <c r="H223">
        <f>SUMPRODUCT((MONTH(CHOOSE({1,2,3,4},KMB!U223,KMB!AA223,KMB!AG223,KMB!AM223))=8)*(CHOOSE({1,2,3,4},KMB!X223,KMB!AD223,KMB!AJ223,KMB!AP223)))</f>
        <v>0</v>
      </c>
      <c r="I223">
        <f>SUMPRODUCT((MONTH(CHOOSE({1,2,3,4},KMB!U223,KMB!AA223,KMB!AG223,KMB!AM223))=9)*(CHOOSE({1,2,3,4},KMB!X223,KMB!AD223,KMB!AJ223,KMB!AP223)))</f>
        <v>0</v>
      </c>
      <c r="J223">
        <f>SUMPRODUCT((MONTH(CHOOSE({1,2,3,4},KMB!U223,KMB!AA223,KMB!AG223,KMB!AM223))=10)*(CHOOSE({1,2,3,4},KMB!X223,KMB!AD223,KMB!AJ223,KMB!AP223)))</f>
        <v>0</v>
      </c>
      <c r="K223">
        <f>SUMPRODUCT((MONTH(CHOOSE({1,2,3,4},KMB!U223,KMB!AA223,KMB!AG223,KMB!AM223))=11)*(CHOOSE({1,2,3,4},KMB!X223,KMB!AD223,KMB!AJ223,KMB!AP223)))</f>
        <v>0</v>
      </c>
      <c r="L223">
        <f>SUMPRODUCT((MONTH(CHOOSE({1,2,3,4},KMB!U223,KMB!AA223,KMB!AG223,KMB!AM223))=12)*(CHOOSE({1,2,3,4},KMB!X223,KMB!AD223,KMB!AJ223,KMB!AP223)))</f>
        <v>0</v>
      </c>
    </row>
    <row r="224" spans="1:12">
      <c r="A224">
        <f>SUMPRODUCT((MONTH(CHOOSE({1,2,3,4},KMB!U224,KMB!AA224,KMB!AG224,KMB!AM224))=1)*(CHOOSE({1,2,3,4},KMB!X224,KMB!AD224,KMB!AJ224,KMB!AP224)))</f>
        <v>0</v>
      </c>
      <c r="B224">
        <f>SUMPRODUCT((MONTH(CHOOSE({1,2,3,4},KMB!U224,KMB!AA224,KMB!AG224,KMB!AM224))=2)*(CHOOSE({1,2,3,4},KMB!X224,KMB!AD224,KMB!AJ224,KMB!AP224)))</f>
        <v>0</v>
      </c>
      <c r="C224">
        <f>SUMPRODUCT((MONTH(CHOOSE({1,2,3,4},KMB!U224,KMB!AA224,KMB!AG224,KMB!AM224))=3)*(CHOOSE({1,2,3,4},KMB!X224,KMB!AD224,KMB!AJ224,KMB!AP224)))</f>
        <v>0</v>
      </c>
      <c r="D224">
        <f>SUMPRODUCT((MONTH(CHOOSE({1,2,3,4},KMB!U224,KMB!AA224,KMB!AG224,KMB!AM224))=4)*(CHOOSE({1,2,3,4},KMB!X224,KMB!AD224,KMB!AJ224,KMB!AP224)))</f>
        <v>0</v>
      </c>
      <c r="E224">
        <f>SUMPRODUCT((MONTH(CHOOSE({1,2,3,4},KMB!U224,KMB!AA224,KMB!AG224,KMB!AM224))=5)*(CHOOSE({1,2,3,4},KMB!X224,KMB!AD224,KMB!AJ224,KMB!AP224)))</f>
        <v>0</v>
      </c>
      <c r="F224">
        <f>SUMPRODUCT((MONTH(CHOOSE({1,2,3,4},KMB!U224,KMB!AA224,KMB!AG224,KMB!AM224))=6)*(CHOOSE({1,2,3,4},KMB!X224,KMB!AD224,KMB!AJ224,KMB!AP224)))</f>
        <v>0</v>
      </c>
      <c r="G224">
        <f>SUMPRODUCT((MONTH(CHOOSE({1,2,3,4},KMB!U224,KMB!AA224,KMB!AG224,KMB!AM224))=7)*(CHOOSE({1,2,3,4},KMB!X224,KMB!AD224,KMB!AJ224,KMB!AP224)))</f>
        <v>0</v>
      </c>
      <c r="H224">
        <f>SUMPRODUCT((MONTH(CHOOSE({1,2,3,4},KMB!U224,KMB!AA224,KMB!AG224,KMB!AM224))=8)*(CHOOSE({1,2,3,4},KMB!X224,KMB!AD224,KMB!AJ224,KMB!AP224)))</f>
        <v>0</v>
      </c>
      <c r="I224">
        <f>SUMPRODUCT((MONTH(CHOOSE({1,2,3,4},KMB!U224,KMB!AA224,KMB!AG224,KMB!AM224))=9)*(CHOOSE({1,2,3,4},KMB!X224,KMB!AD224,KMB!AJ224,KMB!AP224)))</f>
        <v>0</v>
      </c>
      <c r="J224">
        <f>SUMPRODUCT((MONTH(CHOOSE({1,2,3,4},KMB!U224,KMB!AA224,KMB!AG224,KMB!AM224))=10)*(CHOOSE({1,2,3,4},KMB!X224,KMB!AD224,KMB!AJ224,KMB!AP224)))</f>
        <v>0</v>
      </c>
      <c r="K224">
        <f>SUMPRODUCT((MONTH(CHOOSE({1,2,3,4},KMB!U224,KMB!AA224,KMB!AG224,KMB!AM224))=11)*(CHOOSE({1,2,3,4},KMB!X224,KMB!AD224,KMB!AJ224,KMB!AP224)))</f>
        <v>0</v>
      </c>
      <c r="L224">
        <f>SUMPRODUCT((MONTH(CHOOSE({1,2,3,4},KMB!U224,KMB!AA224,KMB!AG224,KMB!AM224))=12)*(CHOOSE({1,2,3,4},KMB!X224,KMB!AD224,KMB!AJ224,KMB!AP224)))</f>
        <v>0</v>
      </c>
    </row>
    <row r="225" spans="1:12">
      <c r="A225">
        <f>SUMPRODUCT((MONTH(CHOOSE({1,2,3,4},KMB!U225,KMB!AA225,KMB!AG225,KMB!AM225))=1)*(CHOOSE({1,2,3,4},KMB!X225,KMB!AD225,KMB!AJ225,KMB!AP225)))</f>
        <v>0</v>
      </c>
      <c r="B225">
        <f>SUMPRODUCT((MONTH(CHOOSE({1,2,3,4},KMB!U225,KMB!AA225,KMB!AG225,KMB!AM225))=2)*(CHOOSE({1,2,3,4},KMB!X225,KMB!AD225,KMB!AJ225,KMB!AP225)))</f>
        <v>0</v>
      </c>
      <c r="C225">
        <f>SUMPRODUCT((MONTH(CHOOSE({1,2,3,4},KMB!U225,KMB!AA225,KMB!AG225,KMB!AM225))=3)*(CHOOSE({1,2,3,4},KMB!X225,KMB!AD225,KMB!AJ225,KMB!AP225)))</f>
        <v>0</v>
      </c>
      <c r="D225">
        <f>SUMPRODUCT((MONTH(CHOOSE({1,2,3,4},KMB!U225,KMB!AA225,KMB!AG225,KMB!AM225))=4)*(CHOOSE({1,2,3,4},KMB!X225,KMB!AD225,KMB!AJ225,KMB!AP225)))</f>
        <v>0</v>
      </c>
      <c r="E225">
        <f>SUMPRODUCT((MONTH(CHOOSE({1,2,3,4},KMB!U225,KMB!AA225,KMB!AG225,KMB!AM225))=5)*(CHOOSE({1,2,3,4},KMB!X225,KMB!AD225,KMB!AJ225,KMB!AP225)))</f>
        <v>0</v>
      </c>
      <c r="F225">
        <f>SUMPRODUCT((MONTH(CHOOSE({1,2,3,4},KMB!U225,KMB!AA225,KMB!AG225,KMB!AM225))=6)*(CHOOSE({1,2,3,4},KMB!X225,KMB!AD225,KMB!AJ225,KMB!AP225)))</f>
        <v>0</v>
      </c>
      <c r="G225">
        <f>SUMPRODUCT((MONTH(CHOOSE({1,2,3,4},KMB!U225,KMB!AA225,KMB!AG225,KMB!AM225))=7)*(CHOOSE({1,2,3,4},KMB!X225,KMB!AD225,KMB!AJ225,KMB!AP225)))</f>
        <v>0</v>
      </c>
      <c r="H225">
        <f>SUMPRODUCT((MONTH(CHOOSE({1,2,3,4},KMB!U225,KMB!AA225,KMB!AG225,KMB!AM225))=8)*(CHOOSE({1,2,3,4},KMB!X225,KMB!AD225,KMB!AJ225,KMB!AP225)))</f>
        <v>0</v>
      </c>
      <c r="I225">
        <f>SUMPRODUCT((MONTH(CHOOSE({1,2,3,4},KMB!U225,KMB!AA225,KMB!AG225,KMB!AM225))=9)*(CHOOSE({1,2,3,4},KMB!X225,KMB!AD225,KMB!AJ225,KMB!AP225)))</f>
        <v>0</v>
      </c>
      <c r="J225">
        <f>SUMPRODUCT((MONTH(CHOOSE({1,2,3,4},KMB!U225,KMB!AA225,KMB!AG225,KMB!AM225))=10)*(CHOOSE({1,2,3,4},KMB!X225,KMB!AD225,KMB!AJ225,KMB!AP225)))</f>
        <v>0</v>
      </c>
      <c r="K225">
        <f>SUMPRODUCT((MONTH(CHOOSE({1,2,3,4},KMB!U225,KMB!AA225,KMB!AG225,KMB!AM225))=11)*(CHOOSE({1,2,3,4},KMB!X225,KMB!AD225,KMB!AJ225,KMB!AP225)))</f>
        <v>0</v>
      </c>
      <c r="L225">
        <f>SUMPRODUCT((MONTH(CHOOSE({1,2,3,4},KMB!U225,KMB!AA225,KMB!AG225,KMB!AM225))=12)*(CHOOSE({1,2,3,4},KMB!X225,KMB!AD225,KMB!AJ225,KMB!AP225)))</f>
        <v>0</v>
      </c>
    </row>
    <row r="226" spans="1:12">
      <c r="A226">
        <f>SUMPRODUCT((MONTH(CHOOSE({1,2,3,4},KMB!U226,KMB!AA226,KMB!AG226,KMB!AM226))=1)*(CHOOSE({1,2,3,4},KMB!X226,KMB!AD226,KMB!AJ226,KMB!AP226)))</f>
        <v>0</v>
      </c>
      <c r="B226">
        <f>SUMPRODUCT((MONTH(CHOOSE({1,2,3,4},KMB!U226,KMB!AA226,KMB!AG226,KMB!AM226))=2)*(CHOOSE({1,2,3,4},KMB!X226,KMB!AD226,KMB!AJ226,KMB!AP226)))</f>
        <v>0</v>
      </c>
      <c r="C226">
        <f>SUMPRODUCT((MONTH(CHOOSE({1,2,3,4},KMB!U226,KMB!AA226,KMB!AG226,KMB!AM226))=3)*(CHOOSE({1,2,3,4},KMB!X226,KMB!AD226,KMB!AJ226,KMB!AP226)))</f>
        <v>0</v>
      </c>
      <c r="D226">
        <f>SUMPRODUCT((MONTH(CHOOSE({1,2,3,4},KMB!U226,KMB!AA226,KMB!AG226,KMB!AM226))=4)*(CHOOSE({1,2,3,4},KMB!X226,KMB!AD226,KMB!AJ226,KMB!AP226)))</f>
        <v>0</v>
      </c>
      <c r="E226">
        <f>SUMPRODUCT((MONTH(CHOOSE({1,2,3,4},KMB!U226,KMB!AA226,KMB!AG226,KMB!AM226))=5)*(CHOOSE({1,2,3,4},KMB!X226,KMB!AD226,KMB!AJ226,KMB!AP226)))</f>
        <v>0</v>
      </c>
      <c r="F226">
        <f>SUMPRODUCT((MONTH(CHOOSE({1,2,3,4},KMB!U226,KMB!AA226,KMB!AG226,KMB!AM226))=6)*(CHOOSE({1,2,3,4},KMB!X226,KMB!AD226,KMB!AJ226,KMB!AP226)))</f>
        <v>0</v>
      </c>
      <c r="G226">
        <f>SUMPRODUCT((MONTH(CHOOSE({1,2,3,4},KMB!U226,KMB!AA226,KMB!AG226,KMB!AM226))=7)*(CHOOSE({1,2,3,4},KMB!X226,KMB!AD226,KMB!AJ226,KMB!AP226)))</f>
        <v>0</v>
      </c>
      <c r="H226">
        <f>SUMPRODUCT((MONTH(CHOOSE({1,2,3,4},KMB!U226,KMB!AA226,KMB!AG226,KMB!AM226))=8)*(CHOOSE({1,2,3,4},KMB!X226,KMB!AD226,KMB!AJ226,KMB!AP226)))</f>
        <v>0</v>
      </c>
      <c r="I226">
        <f>SUMPRODUCT((MONTH(CHOOSE({1,2,3,4},KMB!U226,KMB!AA226,KMB!AG226,KMB!AM226))=9)*(CHOOSE({1,2,3,4},KMB!X226,KMB!AD226,KMB!AJ226,KMB!AP226)))</f>
        <v>0</v>
      </c>
      <c r="J226">
        <f>SUMPRODUCT((MONTH(CHOOSE({1,2,3,4},KMB!U226,KMB!AA226,KMB!AG226,KMB!AM226))=10)*(CHOOSE({1,2,3,4},KMB!X226,KMB!AD226,KMB!AJ226,KMB!AP226)))</f>
        <v>0</v>
      </c>
      <c r="K226">
        <f>SUMPRODUCT((MONTH(CHOOSE({1,2,3,4},KMB!U226,KMB!AA226,KMB!AG226,KMB!AM226))=11)*(CHOOSE({1,2,3,4},KMB!X226,KMB!AD226,KMB!AJ226,KMB!AP226)))</f>
        <v>0</v>
      </c>
      <c r="L226">
        <f>SUMPRODUCT((MONTH(CHOOSE({1,2,3,4},KMB!U226,KMB!AA226,KMB!AG226,KMB!AM226))=12)*(CHOOSE({1,2,3,4},KMB!X226,KMB!AD226,KMB!AJ226,KMB!AP226)))</f>
        <v>0</v>
      </c>
    </row>
    <row r="227" spans="1:12">
      <c r="A227">
        <f>SUMPRODUCT((MONTH(CHOOSE({1,2,3,4},KMB!U227,KMB!AA227,KMB!AG227,KMB!AM227))=1)*(CHOOSE({1,2,3,4},KMB!X227,KMB!AD227,KMB!AJ227,KMB!AP227)))</f>
        <v>0</v>
      </c>
      <c r="B227">
        <f>SUMPRODUCT((MONTH(CHOOSE({1,2,3,4},KMB!U227,KMB!AA227,KMB!AG227,KMB!AM227))=2)*(CHOOSE({1,2,3,4},KMB!X227,KMB!AD227,KMB!AJ227,KMB!AP227)))</f>
        <v>0</v>
      </c>
      <c r="C227">
        <f>SUMPRODUCT((MONTH(CHOOSE({1,2,3,4},KMB!U227,KMB!AA227,KMB!AG227,KMB!AM227))=3)*(CHOOSE({1,2,3,4},KMB!X227,KMB!AD227,KMB!AJ227,KMB!AP227)))</f>
        <v>0</v>
      </c>
      <c r="D227">
        <f>SUMPRODUCT((MONTH(CHOOSE({1,2,3,4},KMB!U227,KMB!AA227,KMB!AG227,KMB!AM227))=4)*(CHOOSE({1,2,3,4},KMB!X227,KMB!AD227,KMB!AJ227,KMB!AP227)))</f>
        <v>0</v>
      </c>
      <c r="E227">
        <f>SUMPRODUCT((MONTH(CHOOSE({1,2,3,4},KMB!U227,KMB!AA227,KMB!AG227,KMB!AM227))=5)*(CHOOSE({1,2,3,4},KMB!X227,KMB!AD227,KMB!AJ227,KMB!AP227)))</f>
        <v>0</v>
      </c>
      <c r="F227">
        <f>SUMPRODUCT((MONTH(CHOOSE({1,2,3,4},KMB!U227,KMB!AA227,KMB!AG227,KMB!AM227))=6)*(CHOOSE({1,2,3,4},KMB!X227,KMB!AD227,KMB!AJ227,KMB!AP227)))</f>
        <v>0</v>
      </c>
      <c r="G227">
        <f>SUMPRODUCT((MONTH(CHOOSE({1,2,3,4},KMB!U227,KMB!AA227,KMB!AG227,KMB!AM227))=7)*(CHOOSE({1,2,3,4},KMB!X227,KMB!AD227,KMB!AJ227,KMB!AP227)))</f>
        <v>0</v>
      </c>
      <c r="H227">
        <f>SUMPRODUCT((MONTH(CHOOSE({1,2,3,4},KMB!U227,KMB!AA227,KMB!AG227,KMB!AM227))=8)*(CHOOSE({1,2,3,4},KMB!X227,KMB!AD227,KMB!AJ227,KMB!AP227)))</f>
        <v>0</v>
      </c>
      <c r="I227">
        <f>SUMPRODUCT((MONTH(CHOOSE({1,2,3,4},KMB!U227,KMB!AA227,KMB!AG227,KMB!AM227))=9)*(CHOOSE({1,2,3,4},KMB!X227,KMB!AD227,KMB!AJ227,KMB!AP227)))</f>
        <v>0</v>
      </c>
      <c r="J227">
        <f>SUMPRODUCT((MONTH(CHOOSE({1,2,3,4},KMB!U227,KMB!AA227,KMB!AG227,KMB!AM227))=10)*(CHOOSE({1,2,3,4},KMB!X227,KMB!AD227,KMB!AJ227,KMB!AP227)))</f>
        <v>0</v>
      </c>
      <c r="K227">
        <f>SUMPRODUCT((MONTH(CHOOSE({1,2,3,4},KMB!U227,KMB!AA227,KMB!AG227,KMB!AM227))=11)*(CHOOSE({1,2,3,4},KMB!X227,KMB!AD227,KMB!AJ227,KMB!AP227)))</f>
        <v>0</v>
      </c>
      <c r="L227">
        <f>SUMPRODUCT((MONTH(CHOOSE({1,2,3,4},KMB!U227,KMB!AA227,KMB!AG227,KMB!AM227))=12)*(CHOOSE({1,2,3,4},KMB!X227,KMB!AD227,KMB!AJ227,KMB!AP227)))</f>
        <v>0</v>
      </c>
    </row>
    <row r="228" spans="1:12">
      <c r="A228">
        <f>SUMPRODUCT((MONTH(CHOOSE({1,2,3,4},KMB!U228,KMB!AA228,KMB!AG228,KMB!AM228))=1)*(CHOOSE({1,2,3,4},KMB!X228,KMB!AD228,KMB!AJ228,KMB!AP228)))</f>
        <v>0</v>
      </c>
      <c r="B228">
        <f>SUMPRODUCT((MONTH(CHOOSE({1,2,3,4},KMB!U228,KMB!AA228,KMB!AG228,KMB!AM228))=2)*(CHOOSE({1,2,3,4},KMB!X228,KMB!AD228,KMB!AJ228,KMB!AP228)))</f>
        <v>0</v>
      </c>
      <c r="C228">
        <f>SUMPRODUCT((MONTH(CHOOSE({1,2,3,4},KMB!U228,KMB!AA228,KMB!AG228,KMB!AM228))=3)*(CHOOSE({1,2,3,4},KMB!X228,KMB!AD228,KMB!AJ228,KMB!AP228)))</f>
        <v>0</v>
      </c>
      <c r="D228">
        <f>SUMPRODUCT((MONTH(CHOOSE({1,2,3,4},KMB!U228,KMB!AA228,KMB!AG228,KMB!AM228))=4)*(CHOOSE({1,2,3,4},KMB!X228,KMB!AD228,KMB!AJ228,KMB!AP228)))</f>
        <v>0</v>
      </c>
      <c r="E228">
        <f>SUMPRODUCT((MONTH(CHOOSE({1,2,3,4},KMB!U228,KMB!AA228,KMB!AG228,KMB!AM228))=5)*(CHOOSE({1,2,3,4},KMB!X228,KMB!AD228,KMB!AJ228,KMB!AP228)))</f>
        <v>0</v>
      </c>
      <c r="F228">
        <f>SUMPRODUCT((MONTH(CHOOSE({1,2,3,4},KMB!U228,KMB!AA228,KMB!AG228,KMB!AM228))=6)*(CHOOSE({1,2,3,4},KMB!X228,KMB!AD228,KMB!AJ228,KMB!AP228)))</f>
        <v>0</v>
      </c>
      <c r="G228">
        <f>SUMPRODUCT((MONTH(CHOOSE({1,2,3,4},KMB!U228,KMB!AA228,KMB!AG228,KMB!AM228))=7)*(CHOOSE({1,2,3,4},KMB!X228,KMB!AD228,KMB!AJ228,KMB!AP228)))</f>
        <v>0</v>
      </c>
      <c r="H228">
        <f>SUMPRODUCT((MONTH(CHOOSE({1,2,3,4},KMB!U228,KMB!AA228,KMB!AG228,KMB!AM228))=8)*(CHOOSE({1,2,3,4},KMB!X228,KMB!AD228,KMB!AJ228,KMB!AP228)))</f>
        <v>0</v>
      </c>
      <c r="I228">
        <f>SUMPRODUCT((MONTH(CHOOSE({1,2,3,4},KMB!U228,KMB!AA228,KMB!AG228,KMB!AM228))=9)*(CHOOSE({1,2,3,4},KMB!X228,KMB!AD228,KMB!AJ228,KMB!AP228)))</f>
        <v>0</v>
      </c>
      <c r="J228">
        <f>SUMPRODUCT((MONTH(CHOOSE({1,2,3,4},KMB!U228,KMB!AA228,KMB!AG228,KMB!AM228))=10)*(CHOOSE({1,2,3,4},KMB!X228,KMB!AD228,KMB!AJ228,KMB!AP228)))</f>
        <v>0</v>
      </c>
      <c r="K228">
        <f>SUMPRODUCT((MONTH(CHOOSE({1,2,3,4},KMB!U228,KMB!AA228,KMB!AG228,KMB!AM228))=11)*(CHOOSE({1,2,3,4},KMB!X228,KMB!AD228,KMB!AJ228,KMB!AP228)))</f>
        <v>0</v>
      </c>
      <c r="L228">
        <f>SUMPRODUCT((MONTH(CHOOSE({1,2,3,4},KMB!U228,KMB!AA228,KMB!AG228,KMB!AM228))=12)*(CHOOSE({1,2,3,4},KMB!X228,KMB!AD228,KMB!AJ228,KMB!AP228)))</f>
        <v>0</v>
      </c>
    </row>
    <row r="229" spans="1:12">
      <c r="A229">
        <f>SUMPRODUCT((MONTH(CHOOSE({1,2,3,4},KMB!U229,KMB!AA229,KMB!AG229,KMB!AM229))=1)*(CHOOSE({1,2,3,4},KMB!X229,KMB!AD229,KMB!AJ229,KMB!AP229)))</f>
        <v>0</v>
      </c>
      <c r="B229">
        <f>SUMPRODUCT((MONTH(CHOOSE({1,2,3,4},KMB!U229,KMB!AA229,KMB!AG229,KMB!AM229))=2)*(CHOOSE({1,2,3,4},KMB!X229,KMB!AD229,KMB!AJ229,KMB!AP229)))</f>
        <v>0</v>
      </c>
      <c r="C229">
        <f>SUMPRODUCT((MONTH(CHOOSE({1,2,3,4},KMB!U229,KMB!AA229,KMB!AG229,KMB!AM229))=3)*(CHOOSE({1,2,3,4},KMB!X229,KMB!AD229,KMB!AJ229,KMB!AP229)))</f>
        <v>0</v>
      </c>
      <c r="D229">
        <f>SUMPRODUCT((MONTH(CHOOSE({1,2,3,4},KMB!U229,KMB!AA229,KMB!AG229,KMB!AM229))=4)*(CHOOSE({1,2,3,4},KMB!X229,KMB!AD229,KMB!AJ229,KMB!AP229)))</f>
        <v>0</v>
      </c>
      <c r="E229">
        <f>SUMPRODUCT((MONTH(CHOOSE({1,2,3,4},KMB!U229,KMB!AA229,KMB!AG229,KMB!AM229))=5)*(CHOOSE({1,2,3,4},KMB!X229,KMB!AD229,KMB!AJ229,KMB!AP229)))</f>
        <v>0</v>
      </c>
      <c r="F229">
        <f>SUMPRODUCT((MONTH(CHOOSE({1,2,3,4},KMB!U229,KMB!AA229,KMB!AG229,KMB!AM229))=6)*(CHOOSE({1,2,3,4},KMB!X229,KMB!AD229,KMB!AJ229,KMB!AP229)))</f>
        <v>0</v>
      </c>
      <c r="G229">
        <f>SUMPRODUCT((MONTH(CHOOSE({1,2,3,4},KMB!U229,KMB!AA229,KMB!AG229,KMB!AM229))=7)*(CHOOSE({1,2,3,4},KMB!X229,KMB!AD229,KMB!AJ229,KMB!AP229)))</f>
        <v>0</v>
      </c>
      <c r="H229">
        <f>SUMPRODUCT((MONTH(CHOOSE({1,2,3,4},KMB!U229,KMB!AA229,KMB!AG229,KMB!AM229))=8)*(CHOOSE({1,2,3,4},KMB!X229,KMB!AD229,KMB!AJ229,KMB!AP229)))</f>
        <v>0</v>
      </c>
      <c r="I229">
        <f>SUMPRODUCT((MONTH(CHOOSE({1,2,3,4},KMB!U229,KMB!AA229,KMB!AG229,KMB!AM229))=9)*(CHOOSE({1,2,3,4},KMB!X229,KMB!AD229,KMB!AJ229,KMB!AP229)))</f>
        <v>0</v>
      </c>
      <c r="J229">
        <f>SUMPRODUCT((MONTH(CHOOSE({1,2,3,4},KMB!U229,KMB!AA229,KMB!AG229,KMB!AM229))=10)*(CHOOSE({1,2,3,4},KMB!X229,KMB!AD229,KMB!AJ229,KMB!AP229)))</f>
        <v>0</v>
      </c>
      <c r="K229">
        <f>SUMPRODUCT((MONTH(CHOOSE({1,2,3,4},KMB!U229,KMB!AA229,KMB!AG229,KMB!AM229))=11)*(CHOOSE({1,2,3,4},KMB!X229,KMB!AD229,KMB!AJ229,KMB!AP229)))</f>
        <v>0</v>
      </c>
      <c r="L229">
        <f>SUMPRODUCT((MONTH(CHOOSE({1,2,3,4},KMB!U229,KMB!AA229,KMB!AG229,KMB!AM229))=12)*(CHOOSE({1,2,3,4},KMB!X229,KMB!AD229,KMB!AJ229,KMB!AP229)))</f>
        <v>0</v>
      </c>
    </row>
    <row r="230" spans="1:12">
      <c r="A230">
        <f>SUMPRODUCT((MONTH(CHOOSE({1,2,3,4},KMB!U230,KMB!AA230,KMB!AG230,KMB!AM230))=1)*(CHOOSE({1,2,3,4},KMB!X230,KMB!AD230,KMB!AJ230,KMB!AP230)))</f>
        <v>0</v>
      </c>
      <c r="B230">
        <f>SUMPRODUCT((MONTH(CHOOSE({1,2,3,4},KMB!U230,KMB!AA230,KMB!AG230,KMB!AM230))=2)*(CHOOSE({1,2,3,4},KMB!X230,KMB!AD230,KMB!AJ230,KMB!AP230)))</f>
        <v>0</v>
      </c>
      <c r="C230">
        <f>SUMPRODUCT((MONTH(CHOOSE({1,2,3,4},KMB!U230,KMB!AA230,KMB!AG230,KMB!AM230))=3)*(CHOOSE({1,2,3,4},KMB!X230,KMB!AD230,KMB!AJ230,KMB!AP230)))</f>
        <v>0</v>
      </c>
      <c r="D230">
        <f>SUMPRODUCT((MONTH(CHOOSE({1,2,3,4},KMB!U230,KMB!AA230,KMB!AG230,KMB!AM230))=4)*(CHOOSE({1,2,3,4},KMB!X230,KMB!AD230,KMB!AJ230,KMB!AP230)))</f>
        <v>0</v>
      </c>
      <c r="E230">
        <f>SUMPRODUCT((MONTH(CHOOSE({1,2,3,4},KMB!U230,KMB!AA230,KMB!AG230,KMB!AM230))=5)*(CHOOSE({1,2,3,4},KMB!X230,KMB!AD230,KMB!AJ230,KMB!AP230)))</f>
        <v>0</v>
      </c>
      <c r="F230">
        <f>SUMPRODUCT((MONTH(CHOOSE({1,2,3,4},KMB!U230,KMB!AA230,KMB!AG230,KMB!AM230))=6)*(CHOOSE({1,2,3,4},KMB!X230,KMB!AD230,KMB!AJ230,KMB!AP230)))</f>
        <v>0</v>
      </c>
      <c r="G230">
        <f>SUMPRODUCT((MONTH(CHOOSE({1,2,3,4},KMB!U230,KMB!AA230,KMB!AG230,KMB!AM230))=7)*(CHOOSE({1,2,3,4},KMB!X230,KMB!AD230,KMB!AJ230,KMB!AP230)))</f>
        <v>0</v>
      </c>
      <c r="H230">
        <f>SUMPRODUCT((MONTH(CHOOSE({1,2,3,4},KMB!U230,KMB!AA230,KMB!AG230,KMB!AM230))=8)*(CHOOSE({1,2,3,4},KMB!X230,KMB!AD230,KMB!AJ230,KMB!AP230)))</f>
        <v>0</v>
      </c>
      <c r="I230">
        <f>SUMPRODUCT((MONTH(CHOOSE({1,2,3,4},KMB!U230,KMB!AA230,KMB!AG230,KMB!AM230))=9)*(CHOOSE({1,2,3,4},KMB!X230,KMB!AD230,KMB!AJ230,KMB!AP230)))</f>
        <v>0</v>
      </c>
      <c r="J230">
        <f>SUMPRODUCT((MONTH(CHOOSE({1,2,3,4},KMB!U230,KMB!AA230,KMB!AG230,KMB!AM230))=10)*(CHOOSE({1,2,3,4},KMB!X230,KMB!AD230,KMB!AJ230,KMB!AP230)))</f>
        <v>0</v>
      </c>
      <c r="K230">
        <f>SUMPRODUCT((MONTH(CHOOSE({1,2,3,4},KMB!U230,KMB!AA230,KMB!AG230,KMB!AM230))=11)*(CHOOSE({1,2,3,4},KMB!X230,KMB!AD230,KMB!AJ230,KMB!AP230)))</f>
        <v>0</v>
      </c>
      <c r="L230">
        <f>SUMPRODUCT((MONTH(CHOOSE({1,2,3,4},KMB!U230,KMB!AA230,KMB!AG230,KMB!AM230))=12)*(CHOOSE({1,2,3,4},KMB!X230,KMB!AD230,KMB!AJ230,KMB!AP230)))</f>
        <v>0</v>
      </c>
    </row>
    <row r="231" spans="1:12">
      <c r="A231">
        <f>SUMPRODUCT((MONTH(CHOOSE({1,2,3,4},KMB!U231,KMB!AA231,KMB!AG231,KMB!AM231))=1)*(CHOOSE({1,2,3,4},KMB!X231,KMB!AD231,KMB!AJ231,KMB!AP231)))</f>
        <v>0</v>
      </c>
      <c r="B231">
        <f>SUMPRODUCT((MONTH(CHOOSE({1,2,3,4},KMB!U231,KMB!AA231,KMB!AG231,KMB!AM231))=2)*(CHOOSE({1,2,3,4},KMB!X231,KMB!AD231,KMB!AJ231,KMB!AP231)))</f>
        <v>0</v>
      </c>
      <c r="C231">
        <f>SUMPRODUCT((MONTH(CHOOSE({1,2,3,4},KMB!U231,KMB!AA231,KMB!AG231,KMB!AM231))=3)*(CHOOSE({1,2,3,4},KMB!X231,KMB!AD231,KMB!AJ231,KMB!AP231)))</f>
        <v>0</v>
      </c>
      <c r="D231">
        <f>SUMPRODUCT((MONTH(CHOOSE({1,2,3,4},KMB!U231,KMB!AA231,KMB!AG231,KMB!AM231))=4)*(CHOOSE({1,2,3,4},KMB!X231,KMB!AD231,KMB!AJ231,KMB!AP231)))</f>
        <v>0</v>
      </c>
      <c r="E231">
        <f>SUMPRODUCT((MONTH(CHOOSE({1,2,3,4},KMB!U231,KMB!AA231,KMB!AG231,KMB!AM231))=5)*(CHOOSE({1,2,3,4},KMB!X231,KMB!AD231,KMB!AJ231,KMB!AP231)))</f>
        <v>0</v>
      </c>
      <c r="F231">
        <f>SUMPRODUCT((MONTH(CHOOSE({1,2,3,4},KMB!U231,KMB!AA231,KMB!AG231,KMB!AM231))=6)*(CHOOSE({1,2,3,4},KMB!X231,KMB!AD231,KMB!AJ231,KMB!AP231)))</f>
        <v>0</v>
      </c>
      <c r="G231">
        <f>SUMPRODUCT((MONTH(CHOOSE({1,2,3,4},KMB!U231,KMB!AA231,KMB!AG231,KMB!AM231))=7)*(CHOOSE({1,2,3,4},KMB!X231,KMB!AD231,KMB!AJ231,KMB!AP231)))</f>
        <v>0</v>
      </c>
      <c r="H231">
        <f>SUMPRODUCT((MONTH(CHOOSE({1,2,3,4},KMB!U231,KMB!AA231,KMB!AG231,KMB!AM231))=8)*(CHOOSE({1,2,3,4},KMB!X231,KMB!AD231,KMB!AJ231,KMB!AP231)))</f>
        <v>0</v>
      </c>
      <c r="I231">
        <f>SUMPRODUCT((MONTH(CHOOSE({1,2,3,4},KMB!U231,KMB!AA231,KMB!AG231,KMB!AM231))=9)*(CHOOSE({1,2,3,4},KMB!X231,KMB!AD231,KMB!AJ231,KMB!AP231)))</f>
        <v>0</v>
      </c>
      <c r="J231">
        <f>SUMPRODUCT((MONTH(CHOOSE({1,2,3,4},KMB!U231,KMB!AA231,KMB!AG231,KMB!AM231))=10)*(CHOOSE({1,2,3,4},KMB!X231,KMB!AD231,KMB!AJ231,KMB!AP231)))</f>
        <v>0</v>
      </c>
      <c r="K231">
        <f>SUMPRODUCT((MONTH(CHOOSE({1,2,3,4},KMB!U231,KMB!AA231,KMB!AG231,KMB!AM231))=11)*(CHOOSE({1,2,3,4},KMB!X231,KMB!AD231,KMB!AJ231,KMB!AP231)))</f>
        <v>0</v>
      </c>
      <c r="L231">
        <f>SUMPRODUCT((MONTH(CHOOSE({1,2,3,4},KMB!U231,KMB!AA231,KMB!AG231,KMB!AM231))=12)*(CHOOSE({1,2,3,4},KMB!X231,KMB!AD231,KMB!AJ231,KMB!AP231)))</f>
        <v>0</v>
      </c>
    </row>
    <row r="232" spans="1:12">
      <c r="A232">
        <f>SUMPRODUCT((MONTH(CHOOSE({1,2,3,4},KMB!U232,KMB!AA232,KMB!AG232,KMB!AM232))=1)*(CHOOSE({1,2,3,4},KMB!X232,KMB!AD232,KMB!AJ232,KMB!AP232)))</f>
        <v>0</v>
      </c>
      <c r="B232">
        <f>SUMPRODUCT((MONTH(CHOOSE({1,2,3,4},KMB!U232,KMB!AA232,KMB!AG232,KMB!AM232))=2)*(CHOOSE({1,2,3,4},KMB!X232,KMB!AD232,KMB!AJ232,KMB!AP232)))</f>
        <v>0</v>
      </c>
      <c r="C232">
        <f>SUMPRODUCT((MONTH(CHOOSE({1,2,3,4},KMB!U232,KMB!AA232,KMB!AG232,KMB!AM232))=3)*(CHOOSE({1,2,3,4},KMB!X232,KMB!AD232,KMB!AJ232,KMB!AP232)))</f>
        <v>0</v>
      </c>
      <c r="D232">
        <f>SUMPRODUCT((MONTH(CHOOSE({1,2,3,4},KMB!U232,KMB!AA232,KMB!AG232,KMB!AM232))=4)*(CHOOSE({1,2,3,4},KMB!X232,KMB!AD232,KMB!AJ232,KMB!AP232)))</f>
        <v>0</v>
      </c>
      <c r="E232">
        <f>SUMPRODUCT((MONTH(CHOOSE({1,2,3,4},KMB!U232,KMB!AA232,KMB!AG232,KMB!AM232))=5)*(CHOOSE({1,2,3,4},KMB!X232,KMB!AD232,KMB!AJ232,KMB!AP232)))</f>
        <v>0</v>
      </c>
      <c r="F232">
        <f>SUMPRODUCT((MONTH(CHOOSE({1,2,3,4},KMB!U232,KMB!AA232,KMB!AG232,KMB!AM232))=6)*(CHOOSE({1,2,3,4},KMB!X232,KMB!AD232,KMB!AJ232,KMB!AP232)))</f>
        <v>0</v>
      </c>
      <c r="G232">
        <f>SUMPRODUCT((MONTH(CHOOSE({1,2,3,4},KMB!U232,KMB!AA232,KMB!AG232,KMB!AM232))=7)*(CHOOSE({1,2,3,4},KMB!X232,KMB!AD232,KMB!AJ232,KMB!AP232)))</f>
        <v>0</v>
      </c>
      <c r="H232">
        <f>SUMPRODUCT((MONTH(CHOOSE({1,2,3,4},KMB!U232,KMB!AA232,KMB!AG232,KMB!AM232))=8)*(CHOOSE({1,2,3,4},KMB!X232,KMB!AD232,KMB!AJ232,KMB!AP232)))</f>
        <v>0</v>
      </c>
      <c r="I232">
        <f>SUMPRODUCT((MONTH(CHOOSE({1,2,3,4},KMB!U232,KMB!AA232,KMB!AG232,KMB!AM232))=9)*(CHOOSE({1,2,3,4},KMB!X232,KMB!AD232,KMB!AJ232,KMB!AP232)))</f>
        <v>0</v>
      </c>
      <c r="J232">
        <f>SUMPRODUCT((MONTH(CHOOSE({1,2,3,4},KMB!U232,KMB!AA232,KMB!AG232,KMB!AM232))=10)*(CHOOSE({1,2,3,4},KMB!X232,KMB!AD232,KMB!AJ232,KMB!AP232)))</f>
        <v>0</v>
      </c>
      <c r="K232">
        <f>SUMPRODUCT((MONTH(CHOOSE({1,2,3,4},KMB!U232,KMB!AA232,KMB!AG232,KMB!AM232))=11)*(CHOOSE({1,2,3,4},KMB!X232,KMB!AD232,KMB!AJ232,KMB!AP232)))</f>
        <v>0</v>
      </c>
      <c r="L232">
        <f>SUMPRODUCT((MONTH(CHOOSE({1,2,3,4},KMB!U232,KMB!AA232,KMB!AG232,KMB!AM232))=12)*(CHOOSE({1,2,3,4},KMB!X232,KMB!AD232,KMB!AJ232,KMB!AP232)))</f>
        <v>0</v>
      </c>
    </row>
    <row r="233" spans="1:12">
      <c r="A233">
        <f>SUMPRODUCT((MONTH(CHOOSE({1,2,3,4},KMB!U233,KMB!AA233,KMB!AG233,KMB!AM233))=1)*(CHOOSE({1,2,3,4},KMB!X233,KMB!AD233,KMB!AJ233,KMB!AP233)))</f>
        <v>0</v>
      </c>
      <c r="B233">
        <f>SUMPRODUCT((MONTH(CHOOSE({1,2,3,4},KMB!U233,KMB!AA233,KMB!AG233,KMB!AM233))=2)*(CHOOSE({1,2,3,4},KMB!X233,KMB!AD233,KMB!AJ233,KMB!AP233)))</f>
        <v>0</v>
      </c>
      <c r="C233">
        <f>SUMPRODUCT((MONTH(CHOOSE({1,2,3,4},KMB!U233,KMB!AA233,KMB!AG233,KMB!AM233))=3)*(CHOOSE({1,2,3,4},KMB!X233,KMB!AD233,KMB!AJ233,KMB!AP233)))</f>
        <v>0</v>
      </c>
      <c r="D233">
        <f>SUMPRODUCT((MONTH(CHOOSE({1,2,3,4},KMB!U233,KMB!AA233,KMB!AG233,KMB!AM233))=4)*(CHOOSE({1,2,3,4},KMB!X233,KMB!AD233,KMB!AJ233,KMB!AP233)))</f>
        <v>0</v>
      </c>
      <c r="E233">
        <f>SUMPRODUCT((MONTH(CHOOSE({1,2,3,4},KMB!U233,KMB!AA233,KMB!AG233,KMB!AM233))=5)*(CHOOSE({1,2,3,4},KMB!X233,KMB!AD233,KMB!AJ233,KMB!AP233)))</f>
        <v>0</v>
      </c>
      <c r="F233">
        <f>SUMPRODUCT((MONTH(CHOOSE({1,2,3,4},KMB!U233,KMB!AA233,KMB!AG233,KMB!AM233))=6)*(CHOOSE({1,2,3,4},KMB!X233,KMB!AD233,KMB!AJ233,KMB!AP233)))</f>
        <v>0</v>
      </c>
      <c r="G233">
        <f>SUMPRODUCT((MONTH(CHOOSE({1,2,3,4},KMB!U233,KMB!AA233,KMB!AG233,KMB!AM233))=7)*(CHOOSE({1,2,3,4},KMB!X233,KMB!AD233,KMB!AJ233,KMB!AP233)))</f>
        <v>0</v>
      </c>
      <c r="H233">
        <f>SUMPRODUCT((MONTH(CHOOSE({1,2,3,4},KMB!U233,KMB!AA233,KMB!AG233,KMB!AM233))=8)*(CHOOSE({1,2,3,4},KMB!X233,KMB!AD233,KMB!AJ233,KMB!AP233)))</f>
        <v>0</v>
      </c>
      <c r="I233">
        <f>SUMPRODUCT((MONTH(CHOOSE({1,2,3,4},KMB!U233,KMB!AA233,KMB!AG233,KMB!AM233))=9)*(CHOOSE({1,2,3,4},KMB!X233,KMB!AD233,KMB!AJ233,KMB!AP233)))</f>
        <v>0</v>
      </c>
      <c r="J233">
        <f>SUMPRODUCT((MONTH(CHOOSE({1,2,3,4},KMB!U233,KMB!AA233,KMB!AG233,KMB!AM233))=10)*(CHOOSE({1,2,3,4},KMB!X233,KMB!AD233,KMB!AJ233,KMB!AP233)))</f>
        <v>0</v>
      </c>
      <c r="K233">
        <f>SUMPRODUCT((MONTH(CHOOSE({1,2,3,4},KMB!U233,KMB!AA233,KMB!AG233,KMB!AM233))=11)*(CHOOSE({1,2,3,4},KMB!X233,KMB!AD233,KMB!AJ233,KMB!AP233)))</f>
        <v>0</v>
      </c>
      <c r="L233">
        <f>SUMPRODUCT((MONTH(CHOOSE({1,2,3,4},KMB!U233,KMB!AA233,KMB!AG233,KMB!AM233))=12)*(CHOOSE({1,2,3,4},KMB!X233,KMB!AD233,KMB!AJ233,KMB!AP233)))</f>
        <v>0</v>
      </c>
    </row>
    <row r="234" spans="1:12">
      <c r="A234">
        <f>SUMPRODUCT((MONTH(CHOOSE({1,2,3,4},KMB!U234,KMB!AA234,KMB!AG234,KMB!AM234))=1)*(CHOOSE({1,2,3,4},KMB!X234,KMB!AD234,KMB!AJ234,KMB!AP234)))</f>
        <v>0</v>
      </c>
      <c r="B234">
        <f>SUMPRODUCT((MONTH(CHOOSE({1,2,3,4},KMB!U234,KMB!AA234,KMB!AG234,KMB!AM234))=2)*(CHOOSE({1,2,3,4},KMB!X234,KMB!AD234,KMB!AJ234,KMB!AP234)))</f>
        <v>0</v>
      </c>
      <c r="C234">
        <f>SUMPRODUCT((MONTH(CHOOSE({1,2,3,4},KMB!U234,KMB!AA234,KMB!AG234,KMB!AM234))=3)*(CHOOSE({1,2,3,4},KMB!X234,KMB!AD234,KMB!AJ234,KMB!AP234)))</f>
        <v>0</v>
      </c>
      <c r="D234">
        <f>SUMPRODUCT((MONTH(CHOOSE({1,2,3,4},KMB!U234,KMB!AA234,KMB!AG234,KMB!AM234))=4)*(CHOOSE({1,2,3,4},KMB!X234,KMB!AD234,KMB!AJ234,KMB!AP234)))</f>
        <v>0</v>
      </c>
      <c r="E234">
        <f>SUMPRODUCT((MONTH(CHOOSE({1,2,3,4},KMB!U234,KMB!AA234,KMB!AG234,KMB!AM234))=5)*(CHOOSE({1,2,3,4},KMB!X234,KMB!AD234,KMB!AJ234,KMB!AP234)))</f>
        <v>0</v>
      </c>
      <c r="F234">
        <f>SUMPRODUCT((MONTH(CHOOSE({1,2,3,4},KMB!U234,KMB!AA234,KMB!AG234,KMB!AM234))=6)*(CHOOSE({1,2,3,4},KMB!X234,KMB!AD234,KMB!AJ234,KMB!AP234)))</f>
        <v>0</v>
      </c>
      <c r="G234">
        <f>SUMPRODUCT((MONTH(CHOOSE({1,2,3,4},KMB!U234,KMB!AA234,KMB!AG234,KMB!AM234))=7)*(CHOOSE({1,2,3,4},KMB!X234,KMB!AD234,KMB!AJ234,KMB!AP234)))</f>
        <v>0</v>
      </c>
      <c r="H234">
        <f>SUMPRODUCT((MONTH(CHOOSE({1,2,3,4},KMB!U234,KMB!AA234,KMB!AG234,KMB!AM234))=8)*(CHOOSE({1,2,3,4},KMB!X234,KMB!AD234,KMB!AJ234,KMB!AP234)))</f>
        <v>0</v>
      </c>
      <c r="I234">
        <f>SUMPRODUCT((MONTH(CHOOSE({1,2,3,4},KMB!U234,KMB!AA234,KMB!AG234,KMB!AM234))=9)*(CHOOSE({1,2,3,4},KMB!X234,KMB!AD234,KMB!AJ234,KMB!AP234)))</f>
        <v>0</v>
      </c>
      <c r="J234">
        <f>SUMPRODUCT((MONTH(CHOOSE({1,2,3,4},KMB!U234,KMB!AA234,KMB!AG234,KMB!AM234))=10)*(CHOOSE({1,2,3,4},KMB!X234,KMB!AD234,KMB!AJ234,KMB!AP234)))</f>
        <v>0</v>
      </c>
      <c r="K234">
        <f>SUMPRODUCT((MONTH(CHOOSE({1,2,3,4},KMB!U234,KMB!AA234,KMB!AG234,KMB!AM234))=11)*(CHOOSE({1,2,3,4},KMB!X234,KMB!AD234,KMB!AJ234,KMB!AP234)))</f>
        <v>0</v>
      </c>
      <c r="L234">
        <f>SUMPRODUCT((MONTH(CHOOSE({1,2,3,4},KMB!U234,KMB!AA234,KMB!AG234,KMB!AM234))=12)*(CHOOSE({1,2,3,4},KMB!X234,KMB!AD234,KMB!AJ234,KMB!AP234)))</f>
        <v>0</v>
      </c>
    </row>
    <row r="235" spans="1:12">
      <c r="A235">
        <f>SUMPRODUCT((MONTH(CHOOSE({1,2,3,4},KMB!U235,KMB!AA235,KMB!AG235,KMB!AM235))=1)*(CHOOSE({1,2,3,4},KMB!X235,KMB!AD235,KMB!AJ235,KMB!AP235)))</f>
        <v>0</v>
      </c>
      <c r="B235">
        <f>SUMPRODUCT((MONTH(CHOOSE({1,2,3,4},KMB!U235,KMB!AA235,KMB!AG235,KMB!AM235))=2)*(CHOOSE({1,2,3,4},KMB!X235,KMB!AD235,KMB!AJ235,KMB!AP235)))</f>
        <v>0</v>
      </c>
      <c r="C235">
        <f>SUMPRODUCT((MONTH(CHOOSE({1,2,3,4},KMB!U235,KMB!AA235,KMB!AG235,KMB!AM235))=3)*(CHOOSE({1,2,3,4},KMB!X235,KMB!AD235,KMB!AJ235,KMB!AP235)))</f>
        <v>0</v>
      </c>
      <c r="D235">
        <f>SUMPRODUCT((MONTH(CHOOSE({1,2,3,4},KMB!U235,KMB!AA235,KMB!AG235,KMB!AM235))=4)*(CHOOSE({1,2,3,4},KMB!X235,KMB!AD235,KMB!AJ235,KMB!AP235)))</f>
        <v>0</v>
      </c>
      <c r="E235">
        <f>SUMPRODUCT((MONTH(CHOOSE({1,2,3,4},KMB!U235,KMB!AA235,KMB!AG235,KMB!AM235))=5)*(CHOOSE({1,2,3,4},KMB!X235,KMB!AD235,KMB!AJ235,KMB!AP235)))</f>
        <v>0</v>
      </c>
      <c r="F235">
        <f>SUMPRODUCT((MONTH(CHOOSE({1,2,3,4},KMB!U235,KMB!AA235,KMB!AG235,KMB!AM235))=6)*(CHOOSE({1,2,3,4},KMB!X235,KMB!AD235,KMB!AJ235,KMB!AP235)))</f>
        <v>0</v>
      </c>
      <c r="G235">
        <f>SUMPRODUCT((MONTH(CHOOSE({1,2,3,4},KMB!U235,KMB!AA235,KMB!AG235,KMB!AM235))=7)*(CHOOSE({1,2,3,4},KMB!X235,KMB!AD235,KMB!AJ235,KMB!AP235)))</f>
        <v>0</v>
      </c>
      <c r="H235">
        <f>SUMPRODUCT((MONTH(CHOOSE({1,2,3,4},KMB!U235,KMB!AA235,KMB!AG235,KMB!AM235))=8)*(CHOOSE({1,2,3,4},KMB!X235,KMB!AD235,KMB!AJ235,KMB!AP235)))</f>
        <v>0</v>
      </c>
      <c r="I235">
        <f>SUMPRODUCT((MONTH(CHOOSE({1,2,3,4},KMB!U235,KMB!AA235,KMB!AG235,KMB!AM235))=9)*(CHOOSE({1,2,3,4},KMB!X235,KMB!AD235,KMB!AJ235,KMB!AP235)))</f>
        <v>0</v>
      </c>
      <c r="J235">
        <f>SUMPRODUCT((MONTH(CHOOSE({1,2,3,4},KMB!U235,KMB!AA235,KMB!AG235,KMB!AM235))=10)*(CHOOSE({1,2,3,4},KMB!X235,KMB!AD235,KMB!AJ235,KMB!AP235)))</f>
        <v>0</v>
      </c>
      <c r="K235">
        <f>SUMPRODUCT((MONTH(CHOOSE({1,2,3,4},KMB!U235,KMB!AA235,KMB!AG235,KMB!AM235))=11)*(CHOOSE({1,2,3,4},KMB!X235,KMB!AD235,KMB!AJ235,KMB!AP235)))</f>
        <v>0</v>
      </c>
      <c r="L235">
        <f>SUMPRODUCT((MONTH(CHOOSE({1,2,3,4},KMB!U235,KMB!AA235,KMB!AG235,KMB!AM235))=12)*(CHOOSE({1,2,3,4},KMB!X235,KMB!AD235,KMB!AJ235,KMB!AP235)))</f>
        <v>0</v>
      </c>
    </row>
    <row r="236" spans="1:12">
      <c r="A236">
        <f>SUMPRODUCT((MONTH(CHOOSE({1,2,3,4},KMB!U236,KMB!AA236,KMB!AG236,KMB!AM236))=1)*(CHOOSE({1,2,3,4},KMB!X236,KMB!AD236,KMB!AJ236,KMB!AP236)))</f>
        <v>0</v>
      </c>
      <c r="B236">
        <f>SUMPRODUCT((MONTH(CHOOSE({1,2,3,4},KMB!U236,KMB!AA236,KMB!AG236,KMB!AM236))=2)*(CHOOSE({1,2,3,4},KMB!X236,KMB!AD236,KMB!AJ236,KMB!AP236)))</f>
        <v>0</v>
      </c>
      <c r="C236">
        <f>SUMPRODUCT((MONTH(CHOOSE({1,2,3,4},KMB!U236,KMB!AA236,KMB!AG236,KMB!AM236))=3)*(CHOOSE({1,2,3,4},KMB!X236,KMB!AD236,KMB!AJ236,KMB!AP236)))</f>
        <v>0</v>
      </c>
      <c r="D236">
        <f>SUMPRODUCT((MONTH(CHOOSE({1,2,3,4},KMB!U236,KMB!AA236,KMB!AG236,KMB!AM236))=4)*(CHOOSE({1,2,3,4},KMB!X236,KMB!AD236,KMB!AJ236,KMB!AP236)))</f>
        <v>0</v>
      </c>
      <c r="E236">
        <f>SUMPRODUCT((MONTH(CHOOSE({1,2,3,4},KMB!U236,KMB!AA236,KMB!AG236,KMB!AM236))=5)*(CHOOSE({1,2,3,4},KMB!X236,KMB!AD236,KMB!AJ236,KMB!AP236)))</f>
        <v>0</v>
      </c>
      <c r="F236">
        <f>SUMPRODUCT((MONTH(CHOOSE({1,2,3,4},KMB!U236,KMB!AA236,KMB!AG236,KMB!AM236))=6)*(CHOOSE({1,2,3,4},KMB!X236,KMB!AD236,KMB!AJ236,KMB!AP236)))</f>
        <v>0</v>
      </c>
      <c r="G236">
        <f>SUMPRODUCT((MONTH(CHOOSE({1,2,3,4},KMB!U236,KMB!AA236,KMB!AG236,KMB!AM236))=7)*(CHOOSE({1,2,3,4},KMB!X236,KMB!AD236,KMB!AJ236,KMB!AP236)))</f>
        <v>0</v>
      </c>
      <c r="H236">
        <f>SUMPRODUCT((MONTH(CHOOSE({1,2,3,4},KMB!U236,KMB!AA236,KMB!AG236,KMB!AM236))=8)*(CHOOSE({1,2,3,4},KMB!X236,KMB!AD236,KMB!AJ236,KMB!AP236)))</f>
        <v>0</v>
      </c>
      <c r="I236">
        <f>SUMPRODUCT((MONTH(CHOOSE({1,2,3,4},KMB!U236,KMB!AA236,KMB!AG236,KMB!AM236))=9)*(CHOOSE({1,2,3,4},KMB!X236,KMB!AD236,KMB!AJ236,KMB!AP236)))</f>
        <v>0</v>
      </c>
      <c r="J236">
        <f>SUMPRODUCT((MONTH(CHOOSE({1,2,3,4},KMB!U236,KMB!AA236,KMB!AG236,KMB!AM236))=10)*(CHOOSE({1,2,3,4},KMB!X236,KMB!AD236,KMB!AJ236,KMB!AP236)))</f>
        <v>0</v>
      </c>
      <c r="K236">
        <f>SUMPRODUCT((MONTH(CHOOSE({1,2,3,4},KMB!U236,KMB!AA236,KMB!AG236,KMB!AM236))=11)*(CHOOSE({1,2,3,4},KMB!X236,KMB!AD236,KMB!AJ236,KMB!AP236)))</f>
        <v>0</v>
      </c>
      <c r="L236">
        <f>SUMPRODUCT((MONTH(CHOOSE({1,2,3,4},KMB!U236,KMB!AA236,KMB!AG236,KMB!AM236))=12)*(CHOOSE({1,2,3,4},KMB!X236,KMB!AD236,KMB!AJ236,KMB!AP236)))</f>
        <v>0</v>
      </c>
    </row>
    <row r="237" spans="1:12">
      <c r="A237">
        <f>SUMPRODUCT((MONTH(CHOOSE({1,2,3,4},KMB!U237,KMB!AA237,KMB!AG237,KMB!AM237))=1)*(CHOOSE({1,2,3,4},KMB!X237,KMB!AD237,KMB!AJ237,KMB!AP237)))</f>
        <v>0</v>
      </c>
      <c r="B237">
        <f>SUMPRODUCT((MONTH(CHOOSE({1,2,3,4},KMB!U237,KMB!AA237,KMB!AG237,KMB!AM237))=2)*(CHOOSE({1,2,3,4},KMB!X237,KMB!AD237,KMB!AJ237,KMB!AP237)))</f>
        <v>0</v>
      </c>
      <c r="C237">
        <f>SUMPRODUCT((MONTH(CHOOSE({1,2,3,4},KMB!U237,KMB!AA237,KMB!AG237,KMB!AM237))=3)*(CHOOSE({1,2,3,4},KMB!X237,KMB!AD237,KMB!AJ237,KMB!AP237)))</f>
        <v>0</v>
      </c>
      <c r="D237">
        <f>SUMPRODUCT((MONTH(CHOOSE({1,2,3,4},KMB!U237,KMB!AA237,KMB!AG237,KMB!AM237))=4)*(CHOOSE({1,2,3,4},KMB!X237,KMB!AD237,KMB!AJ237,KMB!AP237)))</f>
        <v>0</v>
      </c>
      <c r="E237">
        <f>SUMPRODUCT((MONTH(CHOOSE({1,2,3,4},KMB!U237,KMB!AA237,KMB!AG237,KMB!AM237))=5)*(CHOOSE({1,2,3,4},KMB!X237,KMB!AD237,KMB!AJ237,KMB!AP237)))</f>
        <v>0</v>
      </c>
      <c r="F237">
        <f>SUMPRODUCT((MONTH(CHOOSE({1,2,3,4},KMB!U237,KMB!AA237,KMB!AG237,KMB!AM237))=6)*(CHOOSE({1,2,3,4},KMB!X237,KMB!AD237,KMB!AJ237,KMB!AP237)))</f>
        <v>0</v>
      </c>
      <c r="G237">
        <f>SUMPRODUCT((MONTH(CHOOSE({1,2,3,4},KMB!U237,KMB!AA237,KMB!AG237,KMB!AM237))=7)*(CHOOSE({1,2,3,4},KMB!X237,KMB!AD237,KMB!AJ237,KMB!AP237)))</f>
        <v>0</v>
      </c>
      <c r="H237">
        <f>SUMPRODUCT((MONTH(CHOOSE({1,2,3,4},KMB!U237,KMB!AA237,KMB!AG237,KMB!AM237))=8)*(CHOOSE({1,2,3,4},KMB!X237,KMB!AD237,KMB!AJ237,KMB!AP237)))</f>
        <v>0</v>
      </c>
      <c r="I237">
        <f>SUMPRODUCT((MONTH(CHOOSE({1,2,3,4},KMB!U237,KMB!AA237,KMB!AG237,KMB!AM237))=9)*(CHOOSE({1,2,3,4},KMB!X237,KMB!AD237,KMB!AJ237,KMB!AP237)))</f>
        <v>0</v>
      </c>
      <c r="J237">
        <f>SUMPRODUCT((MONTH(CHOOSE({1,2,3,4},KMB!U237,KMB!AA237,KMB!AG237,KMB!AM237))=10)*(CHOOSE({1,2,3,4},KMB!X237,KMB!AD237,KMB!AJ237,KMB!AP237)))</f>
        <v>0</v>
      </c>
      <c r="K237">
        <f>SUMPRODUCT((MONTH(CHOOSE({1,2,3,4},KMB!U237,KMB!AA237,KMB!AG237,KMB!AM237))=11)*(CHOOSE({1,2,3,4},KMB!X237,KMB!AD237,KMB!AJ237,KMB!AP237)))</f>
        <v>0</v>
      </c>
      <c r="L237">
        <f>SUMPRODUCT((MONTH(CHOOSE({1,2,3,4},KMB!U237,KMB!AA237,KMB!AG237,KMB!AM237))=12)*(CHOOSE({1,2,3,4},KMB!X237,KMB!AD237,KMB!AJ237,KMB!AP237)))</f>
        <v>0</v>
      </c>
    </row>
    <row r="238" spans="1:12">
      <c r="A238">
        <f>SUMPRODUCT((MONTH(CHOOSE({1,2,3,4},KMB!U238,KMB!AA238,KMB!AG238,KMB!AM238))=1)*(CHOOSE({1,2,3,4},KMB!X238,KMB!AD238,KMB!AJ238,KMB!AP238)))</f>
        <v>0</v>
      </c>
      <c r="B238">
        <f>SUMPRODUCT((MONTH(CHOOSE({1,2,3,4},KMB!U238,KMB!AA238,KMB!AG238,KMB!AM238))=2)*(CHOOSE({1,2,3,4},KMB!X238,KMB!AD238,KMB!AJ238,KMB!AP238)))</f>
        <v>0</v>
      </c>
      <c r="C238">
        <f>SUMPRODUCT((MONTH(CHOOSE({1,2,3,4},KMB!U238,KMB!AA238,KMB!AG238,KMB!AM238))=3)*(CHOOSE({1,2,3,4},KMB!X238,KMB!AD238,KMB!AJ238,KMB!AP238)))</f>
        <v>0</v>
      </c>
      <c r="D238">
        <f>SUMPRODUCT((MONTH(CHOOSE({1,2,3,4},KMB!U238,KMB!AA238,KMB!AG238,KMB!AM238))=4)*(CHOOSE({1,2,3,4},KMB!X238,KMB!AD238,KMB!AJ238,KMB!AP238)))</f>
        <v>0</v>
      </c>
      <c r="E238">
        <f>SUMPRODUCT((MONTH(CHOOSE({1,2,3,4},KMB!U238,KMB!AA238,KMB!AG238,KMB!AM238))=5)*(CHOOSE({1,2,3,4},KMB!X238,KMB!AD238,KMB!AJ238,KMB!AP238)))</f>
        <v>0</v>
      </c>
      <c r="F238">
        <f>SUMPRODUCT((MONTH(CHOOSE({1,2,3,4},KMB!U238,KMB!AA238,KMB!AG238,KMB!AM238))=6)*(CHOOSE({1,2,3,4},KMB!X238,KMB!AD238,KMB!AJ238,KMB!AP238)))</f>
        <v>0</v>
      </c>
      <c r="G238">
        <f>SUMPRODUCT((MONTH(CHOOSE({1,2,3,4},KMB!U238,KMB!AA238,KMB!AG238,KMB!AM238))=7)*(CHOOSE({1,2,3,4},KMB!X238,KMB!AD238,KMB!AJ238,KMB!AP238)))</f>
        <v>0</v>
      </c>
      <c r="H238">
        <f>SUMPRODUCT((MONTH(CHOOSE({1,2,3,4},KMB!U238,KMB!AA238,KMB!AG238,KMB!AM238))=8)*(CHOOSE({1,2,3,4},KMB!X238,KMB!AD238,KMB!AJ238,KMB!AP238)))</f>
        <v>0</v>
      </c>
      <c r="I238">
        <f>SUMPRODUCT((MONTH(CHOOSE({1,2,3,4},KMB!U238,KMB!AA238,KMB!AG238,KMB!AM238))=9)*(CHOOSE({1,2,3,4},KMB!X238,KMB!AD238,KMB!AJ238,KMB!AP238)))</f>
        <v>0</v>
      </c>
      <c r="J238">
        <f>SUMPRODUCT((MONTH(CHOOSE({1,2,3,4},KMB!U238,KMB!AA238,KMB!AG238,KMB!AM238))=10)*(CHOOSE({1,2,3,4},KMB!X238,KMB!AD238,KMB!AJ238,KMB!AP238)))</f>
        <v>0</v>
      </c>
      <c r="K238">
        <f>SUMPRODUCT((MONTH(CHOOSE({1,2,3,4},KMB!U238,KMB!AA238,KMB!AG238,KMB!AM238))=11)*(CHOOSE({1,2,3,4},KMB!X238,KMB!AD238,KMB!AJ238,KMB!AP238)))</f>
        <v>0</v>
      </c>
      <c r="L238">
        <f>SUMPRODUCT((MONTH(CHOOSE({1,2,3,4},KMB!U238,KMB!AA238,KMB!AG238,KMB!AM238))=12)*(CHOOSE({1,2,3,4},KMB!X238,KMB!AD238,KMB!AJ238,KMB!AP238)))</f>
        <v>0</v>
      </c>
    </row>
    <row r="239" spans="1:12">
      <c r="A239">
        <f>SUMPRODUCT((MONTH(CHOOSE({1,2,3,4},KMB!U239,KMB!AA239,KMB!AG239,KMB!AM239))=1)*(CHOOSE({1,2,3,4},KMB!X239,KMB!AD239,KMB!AJ239,KMB!AP239)))</f>
        <v>0</v>
      </c>
      <c r="B239">
        <f>SUMPRODUCT((MONTH(CHOOSE({1,2,3,4},KMB!U239,KMB!AA239,KMB!AG239,KMB!AM239))=2)*(CHOOSE({1,2,3,4},KMB!X239,KMB!AD239,KMB!AJ239,KMB!AP239)))</f>
        <v>0</v>
      </c>
      <c r="C239">
        <f>SUMPRODUCT((MONTH(CHOOSE({1,2,3,4},KMB!U239,KMB!AA239,KMB!AG239,KMB!AM239))=3)*(CHOOSE({1,2,3,4},KMB!X239,KMB!AD239,KMB!AJ239,KMB!AP239)))</f>
        <v>0</v>
      </c>
      <c r="D239">
        <f>SUMPRODUCT((MONTH(CHOOSE({1,2,3,4},KMB!U239,KMB!AA239,KMB!AG239,KMB!AM239))=4)*(CHOOSE({1,2,3,4},KMB!X239,KMB!AD239,KMB!AJ239,KMB!AP239)))</f>
        <v>0</v>
      </c>
      <c r="E239">
        <f>SUMPRODUCT((MONTH(CHOOSE({1,2,3,4},KMB!U239,KMB!AA239,KMB!AG239,KMB!AM239))=5)*(CHOOSE({1,2,3,4},KMB!X239,KMB!AD239,KMB!AJ239,KMB!AP239)))</f>
        <v>0</v>
      </c>
      <c r="F239">
        <f>SUMPRODUCT((MONTH(CHOOSE({1,2,3,4},KMB!U239,KMB!AA239,KMB!AG239,KMB!AM239))=6)*(CHOOSE({1,2,3,4},KMB!X239,KMB!AD239,KMB!AJ239,KMB!AP239)))</f>
        <v>0</v>
      </c>
      <c r="G239">
        <f>SUMPRODUCT((MONTH(CHOOSE({1,2,3,4},KMB!U239,KMB!AA239,KMB!AG239,KMB!AM239))=7)*(CHOOSE({1,2,3,4},KMB!X239,KMB!AD239,KMB!AJ239,KMB!AP239)))</f>
        <v>0</v>
      </c>
      <c r="H239">
        <f>SUMPRODUCT((MONTH(CHOOSE({1,2,3,4},KMB!U239,KMB!AA239,KMB!AG239,KMB!AM239))=8)*(CHOOSE({1,2,3,4},KMB!X239,KMB!AD239,KMB!AJ239,KMB!AP239)))</f>
        <v>0</v>
      </c>
      <c r="I239">
        <f>SUMPRODUCT((MONTH(CHOOSE({1,2,3,4},KMB!U239,KMB!AA239,KMB!AG239,KMB!AM239))=9)*(CHOOSE({1,2,3,4},KMB!X239,KMB!AD239,KMB!AJ239,KMB!AP239)))</f>
        <v>0</v>
      </c>
      <c r="J239">
        <f>SUMPRODUCT((MONTH(CHOOSE({1,2,3,4},KMB!U239,KMB!AA239,KMB!AG239,KMB!AM239))=10)*(CHOOSE({1,2,3,4},KMB!X239,KMB!AD239,KMB!AJ239,KMB!AP239)))</f>
        <v>0</v>
      </c>
      <c r="K239">
        <f>SUMPRODUCT((MONTH(CHOOSE({1,2,3,4},KMB!U239,KMB!AA239,KMB!AG239,KMB!AM239))=11)*(CHOOSE({1,2,3,4},KMB!X239,KMB!AD239,KMB!AJ239,KMB!AP239)))</f>
        <v>0</v>
      </c>
      <c r="L239">
        <f>SUMPRODUCT((MONTH(CHOOSE({1,2,3,4},KMB!U239,KMB!AA239,KMB!AG239,KMB!AM239))=12)*(CHOOSE({1,2,3,4},KMB!X239,KMB!AD239,KMB!AJ239,KMB!AP239)))</f>
        <v>0</v>
      </c>
    </row>
    <row r="240" spans="1:12">
      <c r="A240">
        <f>SUMPRODUCT((MONTH(CHOOSE({1,2,3,4},KMB!U240,KMB!AA240,KMB!AG240,KMB!AM240))=1)*(CHOOSE({1,2,3,4},KMB!X240,KMB!AD240,KMB!AJ240,KMB!AP240)))</f>
        <v>0</v>
      </c>
      <c r="B240">
        <f>SUMPRODUCT((MONTH(CHOOSE({1,2,3,4},KMB!U240,KMB!AA240,KMB!AG240,KMB!AM240))=2)*(CHOOSE({1,2,3,4},KMB!X240,KMB!AD240,KMB!AJ240,KMB!AP240)))</f>
        <v>0</v>
      </c>
      <c r="C240">
        <f>SUMPRODUCT((MONTH(CHOOSE({1,2,3,4},KMB!U240,KMB!AA240,KMB!AG240,KMB!AM240))=3)*(CHOOSE({1,2,3,4},KMB!X240,KMB!AD240,KMB!AJ240,KMB!AP240)))</f>
        <v>0</v>
      </c>
      <c r="D240">
        <f>SUMPRODUCT((MONTH(CHOOSE({1,2,3,4},KMB!U240,KMB!AA240,KMB!AG240,KMB!AM240))=4)*(CHOOSE({1,2,3,4},KMB!X240,KMB!AD240,KMB!AJ240,KMB!AP240)))</f>
        <v>0</v>
      </c>
      <c r="E240">
        <f>SUMPRODUCT((MONTH(CHOOSE({1,2,3,4},KMB!U240,KMB!AA240,KMB!AG240,KMB!AM240))=5)*(CHOOSE({1,2,3,4},KMB!X240,KMB!AD240,KMB!AJ240,KMB!AP240)))</f>
        <v>0</v>
      </c>
      <c r="F240">
        <f>SUMPRODUCT((MONTH(CHOOSE({1,2,3,4},KMB!U240,KMB!AA240,KMB!AG240,KMB!AM240))=6)*(CHOOSE({1,2,3,4},KMB!X240,KMB!AD240,KMB!AJ240,KMB!AP240)))</f>
        <v>0</v>
      </c>
      <c r="G240">
        <f>SUMPRODUCT((MONTH(CHOOSE({1,2,3,4},KMB!U240,KMB!AA240,KMB!AG240,KMB!AM240))=7)*(CHOOSE({1,2,3,4},KMB!X240,KMB!AD240,KMB!AJ240,KMB!AP240)))</f>
        <v>0</v>
      </c>
      <c r="H240">
        <f>SUMPRODUCT((MONTH(CHOOSE({1,2,3,4},KMB!U240,KMB!AA240,KMB!AG240,KMB!AM240))=8)*(CHOOSE({1,2,3,4},KMB!X240,KMB!AD240,KMB!AJ240,KMB!AP240)))</f>
        <v>0</v>
      </c>
      <c r="I240">
        <f>SUMPRODUCT((MONTH(CHOOSE({1,2,3,4},KMB!U240,KMB!AA240,KMB!AG240,KMB!AM240))=9)*(CHOOSE({1,2,3,4},KMB!X240,KMB!AD240,KMB!AJ240,KMB!AP240)))</f>
        <v>0</v>
      </c>
      <c r="J240">
        <f>SUMPRODUCT((MONTH(CHOOSE({1,2,3,4},KMB!U240,KMB!AA240,KMB!AG240,KMB!AM240))=10)*(CHOOSE({1,2,3,4},KMB!X240,KMB!AD240,KMB!AJ240,KMB!AP240)))</f>
        <v>0</v>
      </c>
      <c r="K240">
        <f>SUMPRODUCT((MONTH(CHOOSE({1,2,3,4},KMB!U240,KMB!AA240,KMB!AG240,KMB!AM240))=11)*(CHOOSE({1,2,3,4},KMB!X240,KMB!AD240,KMB!AJ240,KMB!AP240)))</f>
        <v>0</v>
      </c>
      <c r="L240">
        <f>SUMPRODUCT((MONTH(CHOOSE({1,2,3,4},KMB!U240,KMB!AA240,KMB!AG240,KMB!AM240))=12)*(CHOOSE({1,2,3,4},KMB!X240,KMB!AD240,KMB!AJ240,KMB!AP240)))</f>
        <v>0</v>
      </c>
    </row>
    <row r="241" spans="1:12">
      <c r="A241">
        <f>SUMPRODUCT((MONTH(CHOOSE({1,2,3,4},KMB!U241,KMB!AA241,KMB!AG241,KMB!AM241))=1)*(CHOOSE({1,2,3,4},KMB!X241,KMB!AD241,KMB!AJ241,KMB!AP241)))</f>
        <v>0</v>
      </c>
      <c r="B241">
        <f>SUMPRODUCT((MONTH(CHOOSE({1,2,3,4},KMB!U241,KMB!AA241,KMB!AG241,KMB!AM241))=2)*(CHOOSE({1,2,3,4},KMB!X241,KMB!AD241,KMB!AJ241,KMB!AP241)))</f>
        <v>0</v>
      </c>
      <c r="C241">
        <f>SUMPRODUCT((MONTH(CHOOSE({1,2,3,4},KMB!U241,KMB!AA241,KMB!AG241,KMB!AM241))=3)*(CHOOSE({1,2,3,4},KMB!X241,KMB!AD241,KMB!AJ241,KMB!AP241)))</f>
        <v>0</v>
      </c>
      <c r="D241">
        <f>SUMPRODUCT((MONTH(CHOOSE({1,2,3,4},KMB!U241,KMB!AA241,KMB!AG241,KMB!AM241))=4)*(CHOOSE({1,2,3,4},KMB!X241,KMB!AD241,KMB!AJ241,KMB!AP241)))</f>
        <v>0</v>
      </c>
      <c r="E241">
        <f>SUMPRODUCT((MONTH(CHOOSE({1,2,3,4},KMB!U241,KMB!AA241,KMB!AG241,KMB!AM241))=5)*(CHOOSE({1,2,3,4},KMB!X241,KMB!AD241,KMB!AJ241,KMB!AP241)))</f>
        <v>0</v>
      </c>
      <c r="F241">
        <f>SUMPRODUCT((MONTH(CHOOSE({1,2,3,4},KMB!U241,KMB!AA241,KMB!AG241,KMB!AM241))=6)*(CHOOSE({1,2,3,4},KMB!X241,KMB!AD241,KMB!AJ241,KMB!AP241)))</f>
        <v>0</v>
      </c>
      <c r="G241">
        <f>SUMPRODUCT((MONTH(CHOOSE({1,2,3,4},KMB!U241,KMB!AA241,KMB!AG241,KMB!AM241))=7)*(CHOOSE({1,2,3,4},KMB!X241,KMB!AD241,KMB!AJ241,KMB!AP241)))</f>
        <v>0</v>
      </c>
      <c r="H241">
        <f>SUMPRODUCT((MONTH(CHOOSE({1,2,3,4},KMB!U241,KMB!AA241,KMB!AG241,KMB!AM241))=8)*(CHOOSE({1,2,3,4},KMB!X241,KMB!AD241,KMB!AJ241,KMB!AP241)))</f>
        <v>0</v>
      </c>
      <c r="I241">
        <f>SUMPRODUCT((MONTH(CHOOSE({1,2,3,4},KMB!U241,KMB!AA241,KMB!AG241,KMB!AM241))=9)*(CHOOSE({1,2,3,4},KMB!X241,KMB!AD241,KMB!AJ241,KMB!AP241)))</f>
        <v>0</v>
      </c>
      <c r="J241">
        <f>SUMPRODUCT((MONTH(CHOOSE({1,2,3,4},KMB!U241,KMB!AA241,KMB!AG241,KMB!AM241))=10)*(CHOOSE({1,2,3,4},KMB!X241,KMB!AD241,KMB!AJ241,KMB!AP241)))</f>
        <v>0</v>
      </c>
      <c r="K241">
        <f>SUMPRODUCT((MONTH(CHOOSE({1,2,3,4},KMB!U241,KMB!AA241,KMB!AG241,KMB!AM241))=11)*(CHOOSE({1,2,3,4},KMB!X241,KMB!AD241,KMB!AJ241,KMB!AP241)))</f>
        <v>0</v>
      </c>
      <c r="L241">
        <f>SUMPRODUCT((MONTH(CHOOSE({1,2,3,4},KMB!U241,KMB!AA241,KMB!AG241,KMB!AM241))=12)*(CHOOSE({1,2,3,4},KMB!X241,KMB!AD241,KMB!AJ241,KMB!AP241)))</f>
        <v>0</v>
      </c>
    </row>
    <row r="242" spans="1:12">
      <c r="A242">
        <f>SUMPRODUCT((MONTH(CHOOSE({1,2,3,4},KMB!U242,KMB!AA242,KMB!AG242,KMB!AM242))=1)*(CHOOSE({1,2,3,4},KMB!X242,KMB!AD242,KMB!AJ242,KMB!AP242)))</f>
        <v>0</v>
      </c>
      <c r="B242">
        <f>SUMPRODUCT((MONTH(CHOOSE({1,2,3,4},KMB!U242,KMB!AA242,KMB!AG242,KMB!AM242))=2)*(CHOOSE({1,2,3,4},KMB!X242,KMB!AD242,KMB!AJ242,KMB!AP242)))</f>
        <v>0</v>
      </c>
      <c r="C242">
        <f>SUMPRODUCT((MONTH(CHOOSE({1,2,3,4},KMB!U242,KMB!AA242,KMB!AG242,KMB!AM242))=3)*(CHOOSE({1,2,3,4},KMB!X242,KMB!AD242,KMB!AJ242,KMB!AP242)))</f>
        <v>0</v>
      </c>
      <c r="D242">
        <f>SUMPRODUCT((MONTH(CHOOSE({1,2,3,4},KMB!U242,KMB!AA242,KMB!AG242,KMB!AM242))=4)*(CHOOSE({1,2,3,4},KMB!X242,KMB!AD242,KMB!AJ242,KMB!AP242)))</f>
        <v>0</v>
      </c>
      <c r="E242">
        <f>SUMPRODUCT((MONTH(CHOOSE({1,2,3,4},KMB!U242,KMB!AA242,KMB!AG242,KMB!AM242))=5)*(CHOOSE({1,2,3,4},KMB!X242,KMB!AD242,KMB!AJ242,KMB!AP242)))</f>
        <v>0</v>
      </c>
      <c r="F242">
        <f>SUMPRODUCT((MONTH(CHOOSE({1,2,3,4},KMB!U242,KMB!AA242,KMB!AG242,KMB!AM242))=6)*(CHOOSE({1,2,3,4},KMB!X242,KMB!AD242,KMB!AJ242,KMB!AP242)))</f>
        <v>0</v>
      </c>
      <c r="G242">
        <f>SUMPRODUCT((MONTH(CHOOSE({1,2,3,4},KMB!U242,KMB!AA242,KMB!AG242,KMB!AM242))=7)*(CHOOSE({1,2,3,4},KMB!X242,KMB!AD242,KMB!AJ242,KMB!AP242)))</f>
        <v>0</v>
      </c>
      <c r="H242">
        <f>SUMPRODUCT((MONTH(CHOOSE({1,2,3,4},KMB!U242,KMB!AA242,KMB!AG242,KMB!AM242))=8)*(CHOOSE({1,2,3,4},KMB!X242,KMB!AD242,KMB!AJ242,KMB!AP242)))</f>
        <v>0</v>
      </c>
      <c r="I242">
        <f>SUMPRODUCT((MONTH(CHOOSE({1,2,3,4},KMB!U242,KMB!AA242,KMB!AG242,KMB!AM242))=9)*(CHOOSE({1,2,3,4},KMB!X242,KMB!AD242,KMB!AJ242,KMB!AP242)))</f>
        <v>0</v>
      </c>
      <c r="J242">
        <f>SUMPRODUCT((MONTH(CHOOSE({1,2,3,4},KMB!U242,KMB!AA242,KMB!AG242,KMB!AM242))=10)*(CHOOSE({1,2,3,4},KMB!X242,KMB!AD242,KMB!AJ242,KMB!AP242)))</f>
        <v>0</v>
      </c>
      <c r="K242">
        <f>SUMPRODUCT((MONTH(CHOOSE({1,2,3,4},KMB!U242,KMB!AA242,KMB!AG242,KMB!AM242))=11)*(CHOOSE({1,2,3,4},KMB!X242,KMB!AD242,KMB!AJ242,KMB!AP242)))</f>
        <v>0</v>
      </c>
      <c r="L242">
        <f>SUMPRODUCT((MONTH(CHOOSE({1,2,3,4},KMB!U242,KMB!AA242,KMB!AG242,KMB!AM242))=12)*(CHOOSE({1,2,3,4},KMB!X242,KMB!AD242,KMB!AJ242,KMB!AP242)))</f>
        <v>0</v>
      </c>
    </row>
    <row r="243" spans="1:12">
      <c r="A243">
        <f>SUMPRODUCT((MONTH(CHOOSE({1,2,3,4},KMB!U243,KMB!AA243,KMB!AG243,KMB!AM243))=1)*(CHOOSE({1,2,3,4},KMB!X243,KMB!AD243,KMB!AJ243,KMB!AP243)))</f>
        <v>0</v>
      </c>
      <c r="B243">
        <f>SUMPRODUCT((MONTH(CHOOSE({1,2,3,4},KMB!U243,KMB!AA243,KMB!AG243,KMB!AM243))=2)*(CHOOSE({1,2,3,4},KMB!X243,KMB!AD243,KMB!AJ243,KMB!AP243)))</f>
        <v>0</v>
      </c>
      <c r="C243">
        <f>SUMPRODUCT((MONTH(CHOOSE({1,2,3,4},KMB!U243,KMB!AA243,KMB!AG243,KMB!AM243))=3)*(CHOOSE({1,2,3,4},KMB!X243,KMB!AD243,KMB!AJ243,KMB!AP243)))</f>
        <v>0</v>
      </c>
      <c r="D243">
        <f>SUMPRODUCT((MONTH(CHOOSE({1,2,3,4},KMB!U243,KMB!AA243,KMB!AG243,KMB!AM243))=4)*(CHOOSE({1,2,3,4},KMB!X243,KMB!AD243,KMB!AJ243,KMB!AP243)))</f>
        <v>0</v>
      </c>
      <c r="E243">
        <f>SUMPRODUCT((MONTH(CHOOSE({1,2,3,4},KMB!U243,KMB!AA243,KMB!AG243,KMB!AM243))=5)*(CHOOSE({1,2,3,4},KMB!X243,KMB!AD243,KMB!AJ243,KMB!AP243)))</f>
        <v>0</v>
      </c>
      <c r="F243">
        <f>SUMPRODUCT((MONTH(CHOOSE({1,2,3,4},KMB!U243,KMB!AA243,KMB!AG243,KMB!AM243))=6)*(CHOOSE({1,2,3,4},KMB!X243,KMB!AD243,KMB!AJ243,KMB!AP243)))</f>
        <v>0</v>
      </c>
      <c r="G243">
        <f>SUMPRODUCT((MONTH(CHOOSE({1,2,3,4},KMB!U243,KMB!AA243,KMB!AG243,KMB!AM243))=7)*(CHOOSE({1,2,3,4},KMB!X243,KMB!AD243,KMB!AJ243,KMB!AP243)))</f>
        <v>0</v>
      </c>
      <c r="H243">
        <f>SUMPRODUCT((MONTH(CHOOSE({1,2,3,4},KMB!U243,KMB!AA243,KMB!AG243,KMB!AM243))=8)*(CHOOSE({1,2,3,4},KMB!X243,KMB!AD243,KMB!AJ243,KMB!AP243)))</f>
        <v>0</v>
      </c>
      <c r="I243">
        <f>SUMPRODUCT((MONTH(CHOOSE({1,2,3,4},KMB!U243,KMB!AA243,KMB!AG243,KMB!AM243))=9)*(CHOOSE({1,2,3,4},KMB!X243,KMB!AD243,KMB!AJ243,KMB!AP243)))</f>
        <v>0</v>
      </c>
      <c r="J243">
        <f>SUMPRODUCT((MONTH(CHOOSE({1,2,3,4},KMB!U243,KMB!AA243,KMB!AG243,KMB!AM243))=10)*(CHOOSE({1,2,3,4},KMB!X243,KMB!AD243,KMB!AJ243,KMB!AP243)))</f>
        <v>0</v>
      </c>
      <c r="K243">
        <f>SUMPRODUCT((MONTH(CHOOSE({1,2,3,4},KMB!U243,KMB!AA243,KMB!AG243,KMB!AM243))=11)*(CHOOSE({1,2,3,4},KMB!X243,KMB!AD243,KMB!AJ243,KMB!AP243)))</f>
        <v>0</v>
      </c>
      <c r="L243">
        <f>SUMPRODUCT((MONTH(CHOOSE({1,2,3,4},KMB!U243,KMB!AA243,KMB!AG243,KMB!AM243))=12)*(CHOOSE({1,2,3,4},KMB!X243,KMB!AD243,KMB!AJ243,KMB!AP243)))</f>
        <v>0</v>
      </c>
    </row>
    <row r="244" spans="1:12">
      <c r="A244">
        <f>SUMPRODUCT((MONTH(CHOOSE({1,2,3,4},KMB!U244,KMB!AA244,KMB!AG244,KMB!AM244))=1)*(CHOOSE({1,2,3,4},KMB!X244,KMB!AD244,KMB!AJ244,KMB!AP244)))</f>
        <v>0</v>
      </c>
      <c r="B244">
        <f>SUMPRODUCT((MONTH(CHOOSE({1,2,3,4},KMB!U244,KMB!AA244,KMB!AG244,KMB!AM244))=2)*(CHOOSE({1,2,3,4},KMB!X244,KMB!AD244,KMB!AJ244,KMB!AP244)))</f>
        <v>0</v>
      </c>
      <c r="C244">
        <f>SUMPRODUCT((MONTH(CHOOSE({1,2,3,4},KMB!U244,KMB!AA244,KMB!AG244,KMB!AM244))=3)*(CHOOSE({1,2,3,4},KMB!X244,KMB!AD244,KMB!AJ244,KMB!AP244)))</f>
        <v>0</v>
      </c>
      <c r="D244">
        <f>SUMPRODUCT((MONTH(CHOOSE({1,2,3,4},KMB!U244,KMB!AA244,KMB!AG244,KMB!AM244))=4)*(CHOOSE({1,2,3,4},KMB!X244,KMB!AD244,KMB!AJ244,KMB!AP244)))</f>
        <v>0</v>
      </c>
      <c r="E244">
        <f>SUMPRODUCT((MONTH(CHOOSE({1,2,3,4},KMB!U244,KMB!AA244,KMB!AG244,KMB!AM244))=5)*(CHOOSE({1,2,3,4},KMB!X244,KMB!AD244,KMB!AJ244,KMB!AP244)))</f>
        <v>0</v>
      </c>
      <c r="F244">
        <f>SUMPRODUCT((MONTH(CHOOSE({1,2,3,4},KMB!U244,KMB!AA244,KMB!AG244,KMB!AM244))=6)*(CHOOSE({1,2,3,4},KMB!X244,KMB!AD244,KMB!AJ244,KMB!AP244)))</f>
        <v>0</v>
      </c>
      <c r="G244">
        <f>SUMPRODUCT((MONTH(CHOOSE({1,2,3,4},KMB!U244,KMB!AA244,KMB!AG244,KMB!AM244))=7)*(CHOOSE({1,2,3,4},KMB!X244,KMB!AD244,KMB!AJ244,KMB!AP244)))</f>
        <v>0</v>
      </c>
      <c r="H244">
        <f>SUMPRODUCT((MONTH(CHOOSE({1,2,3,4},KMB!U244,KMB!AA244,KMB!AG244,KMB!AM244))=8)*(CHOOSE({1,2,3,4},KMB!X244,KMB!AD244,KMB!AJ244,KMB!AP244)))</f>
        <v>0</v>
      </c>
      <c r="I244">
        <f>SUMPRODUCT((MONTH(CHOOSE({1,2,3,4},KMB!U244,KMB!AA244,KMB!AG244,KMB!AM244))=9)*(CHOOSE({1,2,3,4},KMB!X244,KMB!AD244,KMB!AJ244,KMB!AP244)))</f>
        <v>0</v>
      </c>
      <c r="J244">
        <f>SUMPRODUCT((MONTH(CHOOSE({1,2,3,4},KMB!U244,KMB!AA244,KMB!AG244,KMB!AM244))=10)*(CHOOSE({1,2,3,4},KMB!X244,KMB!AD244,KMB!AJ244,KMB!AP244)))</f>
        <v>0</v>
      </c>
      <c r="K244">
        <f>SUMPRODUCT((MONTH(CHOOSE({1,2,3,4},KMB!U244,KMB!AA244,KMB!AG244,KMB!AM244))=11)*(CHOOSE({1,2,3,4},KMB!X244,KMB!AD244,KMB!AJ244,KMB!AP244)))</f>
        <v>0</v>
      </c>
      <c r="L244">
        <f>SUMPRODUCT((MONTH(CHOOSE({1,2,3,4},KMB!U244,KMB!AA244,KMB!AG244,KMB!AM244))=12)*(CHOOSE({1,2,3,4},KMB!X244,KMB!AD244,KMB!AJ244,KMB!AP244)))</f>
        <v>0</v>
      </c>
    </row>
    <row r="245" spans="1:12">
      <c r="A245">
        <f>SUMPRODUCT((MONTH(CHOOSE({1,2,3,4},KMB!U245,KMB!AA245,KMB!AG245,KMB!AM245))=1)*(CHOOSE({1,2,3,4},KMB!X245,KMB!AD245,KMB!AJ245,KMB!AP245)))</f>
        <v>0</v>
      </c>
      <c r="B245">
        <f>SUMPRODUCT((MONTH(CHOOSE({1,2,3,4},KMB!U245,KMB!AA245,KMB!AG245,KMB!AM245))=2)*(CHOOSE({1,2,3,4},KMB!X245,KMB!AD245,KMB!AJ245,KMB!AP245)))</f>
        <v>0</v>
      </c>
      <c r="C245">
        <f>SUMPRODUCT((MONTH(CHOOSE({1,2,3,4},KMB!U245,KMB!AA245,KMB!AG245,KMB!AM245))=3)*(CHOOSE({1,2,3,4},KMB!X245,KMB!AD245,KMB!AJ245,KMB!AP245)))</f>
        <v>0</v>
      </c>
      <c r="D245">
        <f>SUMPRODUCT((MONTH(CHOOSE({1,2,3,4},KMB!U245,KMB!AA245,KMB!AG245,KMB!AM245))=4)*(CHOOSE({1,2,3,4},KMB!X245,KMB!AD245,KMB!AJ245,KMB!AP245)))</f>
        <v>0</v>
      </c>
      <c r="E245">
        <f>SUMPRODUCT((MONTH(CHOOSE({1,2,3,4},KMB!U245,KMB!AA245,KMB!AG245,KMB!AM245))=5)*(CHOOSE({1,2,3,4},KMB!X245,KMB!AD245,KMB!AJ245,KMB!AP245)))</f>
        <v>0</v>
      </c>
      <c r="F245">
        <f>SUMPRODUCT((MONTH(CHOOSE({1,2,3,4},KMB!U245,KMB!AA245,KMB!AG245,KMB!AM245))=6)*(CHOOSE({1,2,3,4},KMB!X245,KMB!AD245,KMB!AJ245,KMB!AP245)))</f>
        <v>0</v>
      </c>
      <c r="G245">
        <f>SUMPRODUCT((MONTH(CHOOSE({1,2,3,4},KMB!U245,KMB!AA245,KMB!AG245,KMB!AM245))=7)*(CHOOSE({1,2,3,4},KMB!X245,KMB!AD245,KMB!AJ245,KMB!AP245)))</f>
        <v>0</v>
      </c>
      <c r="H245">
        <f>SUMPRODUCT((MONTH(CHOOSE({1,2,3,4},KMB!U245,KMB!AA245,KMB!AG245,KMB!AM245))=8)*(CHOOSE({1,2,3,4},KMB!X245,KMB!AD245,KMB!AJ245,KMB!AP245)))</f>
        <v>0</v>
      </c>
      <c r="I245">
        <f>SUMPRODUCT((MONTH(CHOOSE({1,2,3,4},KMB!U245,KMB!AA245,KMB!AG245,KMB!AM245))=9)*(CHOOSE({1,2,3,4},KMB!X245,KMB!AD245,KMB!AJ245,KMB!AP245)))</f>
        <v>0</v>
      </c>
      <c r="J245">
        <f>SUMPRODUCT((MONTH(CHOOSE({1,2,3,4},KMB!U245,KMB!AA245,KMB!AG245,KMB!AM245))=10)*(CHOOSE({1,2,3,4},KMB!X245,KMB!AD245,KMB!AJ245,KMB!AP245)))</f>
        <v>0</v>
      </c>
      <c r="K245">
        <f>SUMPRODUCT((MONTH(CHOOSE({1,2,3,4},KMB!U245,KMB!AA245,KMB!AG245,KMB!AM245))=11)*(CHOOSE({1,2,3,4},KMB!X245,KMB!AD245,KMB!AJ245,KMB!AP245)))</f>
        <v>0</v>
      </c>
      <c r="L245">
        <f>SUMPRODUCT((MONTH(CHOOSE({1,2,3,4},KMB!U245,KMB!AA245,KMB!AG245,KMB!AM245))=12)*(CHOOSE({1,2,3,4},KMB!X245,KMB!AD245,KMB!AJ245,KMB!AP245)))</f>
        <v>0</v>
      </c>
    </row>
    <row r="246" spans="1:12">
      <c r="A246">
        <f>SUMPRODUCT((MONTH(CHOOSE({1,2,3,4},KMB!U246,KMB!AA246,KMB!AG246,KMB!AM246))=1)*(CHOOSE({1,2,3,4},KMB!X246,KMB!AD246,KMB!AJ246,KMB!AP246)))</f>
        <v>0</v>
      </c>
      <c r="B246">
        <f>SUMPRODUCT((MONTH(CHOOSE({1,2,3,4},KMB!U246,KMB!AA246,KMB!AG246,KMB!AM246))=2)*(CHOOSE({1,2,3,4},KMB!X246,KMB!AD246,KMB!AJ246,KMB!AP246)))</f>
        <v>0</v>
      </c>
      <c r="C246">
        <f>SUMPRODUCT((MONTH(CHOOSE({1,2,3,4},KMB!U246,KMB!AA246,KMB!AG246,KMB!AM246))=3)*(CHOOSE({1,2,3,4},KMB!X246,KMB!AD246,KMB!AJ246,KMB!AP246)))</f>
        <v>0</v>
      </c>
      <c r="D246">
        <f>SUMPRODUCT((MONTH(CHOOSE({1,2,3,4},KMB!U246,KMB!AA246,KMB!AG246,KMB!AM246))=4)*(CHOOSE({1,2,3,4},KMB!X246,KMB!AD246,KMB!AJ246,KMB!AP246)))</f>
        <v>0</v>
      </c>
      <c r="E246">
        <f>SUMPRODUCT((MONTH(CHOOSE({1,2,3,4},KMB!U246,KMB!AA246,KMB!AG246,KMB!AM246))=5)*(CHOOSE({1,2,3,4},KMB!X246,KMB!AD246,KMB!AJ246,KMB!AP246)))</f>
        <v>0</v>
      </c>
      <c r="F246">
        <f>SUMPRODUCT((MONTH(CHOOSE({1,2,3,4},KMB!U246,KMB!AA246,KMB!AG246,KMB!AM246))=6)*(CHOOSE({1,2,3,4},KMB!X246,KMB!AD246,KMB!AJ246,KMB!AP246)))</f>
        <v>0</v>
      </c>
      <c r="G246">
        <f>SUMPRODUCT((MONTH(CHOOSE({1,2,3,4},KMB!U246,KMB!AA246,KMB!AG246,KMB!AM246))=7)*(CHOOSE({1,2,3,4},KMB!X246,KMB!AD246,KMB!AJ246,KMB!AP246)))</f>
        <v>0</v>
      </c>
      <c r="H246">
        <f>SUMPRODUCT((MONTH(CHOOSE({1,2,3,4},KMB!U246,KMB!AA246,KMB!AG246,KMB!AM246))=8)*(CHOOSE({1,2,3,4},KMB!X246,KMB!AD246,KMB!AJ246,KMB!AP246)))</f>
        <v>0</v>
      </c>
      <c r="I246">
        <f>SUMPRODUCT((MONTH(CHOOSE({1,2,3,4},KMB!U246,KMB!AA246,KMB!AG246,KMB!AM246))=9)*(CHOOSE({1,2,3,4},KMB!X246,KMB!AD246,KMB!AJ246,KMB!AP246)))</f>
        <v>0</v>
      </c>
      <c r="J246">
        <f>SUMPRODUCT((MONTH(CHOOSE({1,2,3,4},KMB!U246,KMB!AA246,KMB!AG246,KMB!AM246))=10)*(CHOOSE({1,2,3,4},KMB!X246,KMB!AD246,KMB!AJ246,KMB!AP246)))</f>
        <v>0</v>
      </c>
      <c r="K246">
        <f>SUMPRODUCT((MONTH(CHOOSE({1,2,3,4},KMB!U246,KMB!AA246,KMB!AG246,KMB!AM246))=11)*(CHOOSE({1,2,3,4},KMB!X246,KMB!AD246,KMB!AJ246,KMB!AP246)))</f>
        <v>0</v>
      </c>
      <c r="L246">
        <f>SUMPRODUCT((MONTH(CHOOSE({1,2,3,4},KMB!U246,KMB!AA246,KMB!AG246,KMB!AM246))=12)*(CHOOSE({1,2,3,4},KMB!X246,KMB!AD246,KMB!AJ246,KMB!AP246)))</f>
        <v>0</v>
      </c>
    </row>
    <row r="247" spans="1:12">
      <c r="A247">
        <f>SUMPRODUCT((MONTH(CHOOSE({1,2,3,4},KMB!U247,KMB!AA247,KMB!AG247,KMB!AM247))=1)*(CHOOSE({1,2,3,4},KMB!X247,KMB!AD247,KMB!AJ247,KMB!AP247)))</f>
        <v>0</v>
      </c>
      <c r="B247">
        <f>SUMPRODUCT((MONTH(CHOOSE({1,2,3,4},KMB!U247,KMB!AA247,KMB!AG247,KMB!AM247))=2)*(CHOOSE({1,2,3,4},KMB!X247,KMB!AD247,KMB!AJ247,KMB!AP247)))</f>
        <v>0</v>
      </c>
      <c r="C247">
        <f>SUMPRODUCT((MONTH(CHOOSE({1,2,3,4},KMB!U247,KMB!AA247,KMB!AG247,KMB!AM247))=3)*(CHOOSE({1,2,3,4},KMB!X247,KMB!AD247,KMB!AJ247,KMB!AP247)))</f>
        <v>0</v>
      </c>
      <c r="D247">
        <f>SUMPRODUCT((MONTH(CHOOSE({1,2,3,4},KMB!U247,KMB!AA247,KMB!AG247,KMB!AM247))=4)*(CHOOSE({1,2,3,4},KMB!X247,KMB!AD247,KMB!AJ247,KMB!AP247)))</f>
        <v>0</v>
      </c>
      <c r="E247">
        <f>SUMPRODUCT((MONTH(CHOOSE({1,2,3,4},KMB!U247,KMB!AA247,KMB!AG247,KMB!AM247))=5)*(CHOOSE({1,2,3,4},KMB!X247,KMB!AD247,KMB!AJ247,KMB!AP247)))</f>
        <v>0</v>
      </c>
      <c r="F247">
        <f>SUMPRODUCT((MONTH(CHOOSE({1,2,3,4},KMB!U247,KMB!AA247,KMB!AG247,KMB!AM247))=6)*(CHOOSE({1,2,3,4},KMB!X247,KMB!AD247,KMB!AJ247,KMB!AP247)))</f>
        <v>0</v>
      </c>
      <c r="G247">
        <f>SUMPRODUCT((MONTH(CHOOSE({1,2,3,4},KMB!U247,KMB!AA247,KMB!AG247,KMB!AM247))=7)*(CHOOSE({1,2,3,4},KMB!X247,KMB!AD247,KMB!AJ247,KMB!AP247)))</f>
        <v>0</v>
      </c>
      <c r="H247">
        <f>SUMPRODUCT((MONTH(CHOOSE({1,2,3,4},KMB!U247,KMB!AA247,KMB!AG247,KMB!AM247))=8)*(CHOOSE({1,2,3,4},KMB!X247,KMB!AD247,KMB!AJ247,KMB!AP247)))</f>
        <v>0</v>
      </c>
      <c r="I247">
        <f>SUMPRODUCT((MONTH(CHOOSE({1,2,3,4},KMB!U247,KMB!AA247,KMB!AG247,KMB!AM247))=9)*(CHOOSE({1,2,3,4},KMB!X247,KMB!AD247,KMB!AJ247,KMB!AP247)))</f>
        <v>0</v>
      </c>
      <c r="J247">
        <f>SUMPRODUCT((MONTH(CHOOSE({1,2,3,4},KMB!U247,KMB!AA247,KMB!AG247,KMB!AM247))=10)*(CHOOSE({1,2,3,4},KMB!X247,KMB!AD247,KMB!AJ247,KMB!AP247)))</f>
        <v>0</v>
      </c>
      <c r="K247">
        <f>SUMPRODUCT((MONTH(CHOOSE({1,2,3,4},KMB!U247,KMB!AA247,KMB!AG247,KMB!AM247))=11)*(CHOOSE({1,2,3,4},KMB!X247,KMB!AD247,KMB!AJ247,KMB!AP247)))</f>
        <v>0</v>
      </c>
      <c r="L247">
        <f>SUMPRODUCT((MONTH(CHOOSE({1,2,3,4},KMB!U247,KMB!AA247,KMB!AG247,KMB!AM247))=12)*(CHOOSE({1,2,3,4},KMB!X247,KMB!AD247,KMB!AJ247,KMB!AP247)))</f>
        <v>0</v>
      </c>
    </row>
    <row r="248" spans="1:12">
      <c r="A248">
        <f>SUMPRODUCT((MONTH(CHOOSE({1,2,3,4},KMB!U248,KMB!AA248,KMB!AG248,KMB!AM248))=1)*(CHOOSE({1,2,3,4},KMB!X248,KMB!AD248,KMB!AJ248,KMB!AP248)))</f>
        <v>0</v>
      </c>
      <c r="B248">
        <f>SUMPRODUCT((MONTH(CHOOSE({1,2,3,4},KMB!U248,KMB!AA248,KMB!AG248,KMB!AM248))=2)*(CHOOSE({1,2,3,4},KMB!X248,KMB!AD248,KMB!AJ248,KMB!AP248)))</f>
        <v>0</v>
      </c>
      <c r="C248">
        <f>SUMPRODUCT((MONTH(CHOOSE({1,2,3,4},KMB!U248,KMB!AA248,KMB!AG248,KMB!AM248))=3)*(CHOOSE({1,2,3,4},KMB!X248,KMB!AD248,KMB!AJ248,KMB!AP248)))</f>
        <v>0</v>
      </c>
      <c r="D248">
        <f>SUMPRODUCT((MONTH(CHOOSE({1,2,3,4},KMB!U248,KMB!AA248,KMB!AG248,KMB!AM248))=4)*(CHOOSE({1,2,3,4},KMB!X248,KMB!AD248,KMB!AJ248,KMB!AP248)))</f>
        <v>0</v>
      </c>
      <c r="E248">
        <f>SUMPRODUCT((MONTH(CHOOSE({1,2,3,4},KMB!U248,KMB!AA248,KMB!AG248,KMB!AM248))=5)*(CHOOSE({1,2,3,4},KMB!X248,KMB!AD248,KMB!AJ248,KMB!AP248)))</f>
        <v>0</v>
      </c>
      <c r="F248">
        <f>SUMPRODUCT((MONTH(CHOOSE({1,2,3,4},KMB!U248,KMB!AA248,KMB!AG248,KMB!AM248))=6)*(CHOOSE({1,2,3,4},KMB!X248,KMB!AD248,KMB!AJ248,KMB!AP248)))</f>
        <v>0</v>
      </c>
      <c r="G248">
        <f>SUMPRODUCT((MONTH(CHOOSE({1,2,3,4},KMB!U248,KMB!AA248,KMB!AG248,KMB!AM248))=7)*(CHOOSE({1,2,3,4},KMB!X248,KMB!AD248,KMB!AJ248,KMB!AP248)))</f>
        <v>0</v>
      </c>
      <c r="H248">
        <f>SUMPRODUCT((MONTH(CHOOSE({1,2,3,4},KMB!U248,KMB!AA248,KMB!AG248,KMB!AM248))=8)*(CHOOSE({1,2,3,4},KMB!X248,KMB!AD248,KMB!AJ248,KMB!AP248)))</f>
        <v>0</v>
      </c>
      <c r="I248">
        <f>SUMPRODUCT((MONTH(CHOOSE({1,2,3,4},KMB!U248,KMB!AA248,KMB!AG248,KMB!AM248))=9)*(CHOOSE({1,2,3,4},KMB!X248,KMB!AD248,KMB!AJ248,KMB!AP248)))</f>
        <v>0</v>
      </c>
      <c r="J248">
        <f>SUMPRODUCT((MONTH(CHOOSE({1,2,3,4},KMB!U248,KMB!AA248,KMB!AG248,KMB!AM248))=10)*(CHOOSE({1,2,3,4},KMB!X248,KMB!AD248,KMB!AJ248,KMB!AP248)))</f>
        <v>0</v>
      </c>
      <c r="K248">
        <f>SUMPRODUCT((MONTH(CHOOSE({1,2,3,4},KMB!U248,KMB!AA248,KMB!AG248,KMB!AM248))=11)*(CHOOSE({1,2,3,4},KMB!X248,KMB!AD248,KMB!AJ248,KMB!AP248)))</f>
        <v>0</v>
      </c>
      <c r="L248">
        <f>SUMPRODUCT((MONTH(CHOOSE({1,2,3,4},KMB!U248,KMB!AA248,KMB!AG248,KMB!AM248))=12)*(CHOOSE({1,2,3,4},KMB!X248,KMB!AD248,KMB!AJ248,KMB!AP248)))</f>
        <v>0</v>
      </c>
    </row>
    <row r="249" spans="1:12">
      <c r="A249">
        <f>SUMPRODUCT((MONTH(CHOOSE({1,2,3,4},KMB!U249,KMB!AA249,KMB!AG249,KMB!AM249))=1)*(CHOOSE({1,2,3,4},KMB!X249,KMB!AD249,KMB!AJ249,KMB!AP249)))</f>
        <v>0</v>
      </c>
      <c r="B249">
        <f>SUMPRODUCT((MONTH(CHOOSE({1,2,3,4},KMB!U249,KMB!AA249,KMB!AG249,KMB!AM249))=2)*(CHOOSE({1,2,3,4},KMB!X249,KMB!AD249,KMB!AJ249,KMB!AP249)))</f>
        <v>0</v>
      </c>
      <c r="C249">
        <f>SUMPRODUCT((MONTH(CHOOSE({1,2,3,4},KMB!U249,KMB!AA249,KMB!AG249,KMB!AM249))=3)*(CHOOSE({1,2,3,4},KMB!X249,KMB!AD249,KMB!AJ249,KMB!AP249)))</f>
        <v>0</v>
      </c>
      <c r="D249">
        <f>SUMPRODUCT((MONTH(CHOOSE({1,2,3,4},KMB!U249,KMB!AA249,KMB!AG249,KMB!AM249))=4)*(CHOOSE({1,2,3,4},KMB!X249,KMB!AD249,KMB!AJ249,KMB!AP249)))</f>
        <v>0</v>
      </c>
      <c r="E249">
        <f>SUMPRODUCT((MONTH(CHOOSE({1,2,3,4},KMB!U249,KMB!AA249,KMB!AG249,KMB!AM249))=5)*(CHOOSE({1,2,3,4},KMB!X249,KMB!AD249,KMB!AJ249,KMB!AP249)))</f>
        <v>0</v>
      </c>
      <c r="F249">
        <f>SUMPRODUCT((MONTH(CHOOSE({1,2,3,4},KMB!U249,KMB!AA249,KMB!AG249,KMB!AM249))=6)*(CHOOSE({1,2,3,4},KMB!X249,KMB!AD249,KMB!AJ249,KMB!AP249)))</f>
        <v>0</v>
      </c>
      <c r="G249">
        <f>SUMPRODUCT((MONTH(CHOOSE({1,2,3,4},KMB!U249,KMB!AA249,KMB!AG249,KMB!AM249))=7)*(CHOOSE({1,2,3,4},KMB!X249,KMB!AD249,KMB!AJ249,KMB!AP249)))</f>
        <v>0</v>
      </c>
      <c r="H249">
        <f>SUMPRODUCT((MONTH(CHOOSE({1,2,3,4},KMB!U249,KMB!AA249,KMB!AG249,KMB!AM249))=8)*(CHOOSE({1,2,3,4},KMB!X249,KMB!AD249,KMB!AJ249,KMB!AP249)))</f>
        <v>0</v>
      </c>
      <c r="I249">
        <f>SUMPRODUCT((MONTH(CHOOSE({1,2,3,4},KMB!U249,KMB!AA249,KMB!AG249,KMB!AM249))=9)*(CHOOSE({1,2,3,4},KMB!X249,KMB!AD249,KMB!AJ249,KMB!AP249)))</f>
        <v>0</v>
      </c>
      <c r="J249">
        <f>SUMPRODUCT((MONTH(CHOOSE({1,2,3,4},KMB!U249,KMB!AA249,KMB!AG249,KMB!AM249))=10)*(CHOOSE({1,2,3,4},KMB!X249,KMB!AD249,KMB!AJ249,KMB!AP249)))</f>
        <v>0</v>
      </c>
      <c r="K249">
        <f>SUMPRODUCT((MONTH(CHOOSE({1,2,3,4},KMB!U249,KMB!AA249,KMB!AG249,KMB!AM249))=11)*(CHOOSE({1,2,3,4},KMB!X249,KMB!AD249,KMB!AJ249,KMB!AP249)))</f>
        <v>0</v>
      </c>
      <c r="L249">
        <f>SUMPRODUCT((MONTH(CHOOSE({1,2,3,4},KMB!U249,KMB!AA249,KMB!AG249,KMB!AM249))=12)*(CHOOSE({1,2,3,4},KMB!X249,KMB!AD249,KMB!AJ249,KMB!AP249)))</f>
        <v>0</v>
      </c>
    </row>
    <row r="250" spans="1:12">
      <c r="A250">
        <f>SUMPRODUCT((MONTH(CHOOSE({1,2,3,4},KMB!U250,KMB!AA250,KMB!AG250,KMB!AM250))=1)*(CHOOSE({1,2,3,4},KMB!X250,KMB!AD250,KMB!AJ250,KMB!AP250)))</f>
        <v>0</v>
      </c>
      <c r="B250">
        <f>SUMPRODUCT((MONTH(CHOOSE({1,2,3,4},KMB!U250,KMB!AA250,KMB!AG250,KMB!AM250))=2)*(CHOOSE({1,2,3,4},KMB!X250,KMB!AD250,KMB!AJ250,KMB!AP250)))</f>
        <v>0</v>
      </c>
      <c r="C250">
        <f>SUMPRODUCT((MONTH(CHOOSE({1,2,3,4},KMB!U250,KMB!AA250,KMB!AG250,KMB!AM250))=3)*(CHOOSE({1,2,3,4},KMB!X250,KMB!AD250,KMB!AJ250,KMB!AP250)))</f>
        <v>0</v>
      </c>
      <c r="D250">
        <f>SUMPRODUCT((MONTH(CHOOSE({1,2,3,4},KMB!U250,KMB!AA250,KMB!AG250,KMB!AM250))=4)*(CHOOSE({1,2,3,4},KMB!X250,KMB!AD250,KMB!AJ250,KMB!AP250)))</f>
        <v>0</v>
      </c>
      <c r="E250">
        <f>SUMPRODUCT((MONTH(CHOOSE({1,2,3,4},KMB!U250,KMB!AA250,KMB!AG250,KMB!AM250))=5)*(CHOOSE({1,2,3,4},KMB!X250,KMB!AD250,KMB!AJ250,KMB!AP250)))</f>
        <v>0</v>
      </c>
      <c r="F250">
        <f>SUMPRODUCT((MONTH(CHOOSE({1,2,3,4},KMB!U250,KMB!AA250,KMB!AG250,KMB!AM250))=6)*(CHOOSE({1,2,3,4},KMB!X250,KMB!AD250,KMB!AJ250,KMB!AP250)))</f>
        <v>0</v>
      </c>
      <c r="G250">
        <f>SUMPRODUCT((MONTH(CHOOSE({1,2,3,4},KMB!U250,KMB!AA250,KMB!AG250,KMB!AM250))=7)*(CHOOSE({1,2,3,4},KMB!X250,KMB!AD250,KMB!AJ250,KMB!AP250)))</f>
        <v>0</v>
      </c>
      <c r="H250">
        <f>SUMPRODUCT((MONTH(CHOOSE({1,2,3,4},KMB!U250,KMB!AA250,KMB!AG250,KMB!AM250))=8)*(CHOOSE({1,2,3,4},KMB!X250,KMB!AD250,KMB!AJ250,KMB!AP250)))</f>
        <v>0</v>
      </c>
      <c r="I250">
        <f>SUMPRODUCT((MONTH(CHOOSE({1,2,3,4},KMB!U250,KMB!AA250,KMB!AG250,KMB!AM250))=9)*(CHOOSE({1,2,3,4},KMB!X250,KMB!AD250,KMB!AJ250,KMB!AP250)))</f>
        <v>0</v>
      </c>
      <c r="J250">
        <f>SUMPRODUCT((MONTH(CHOOSE({1,2,3,4},KMB!U250,KMB!AA250,KMB!AG250,KMB!AM250))=10)*(CHOOSE({1,2,3,4},KMB!X250,KMB!AD250,KMB!AJ250,KMB!AP250)))</f>
        <v>0</v>
      </c>
      <c r="K250">
        <f>SUMPRODUCT((MONTH(CHOOSE({1,2,3,4},KMB!U250,KMB!AA250,KMB!AG250,KMB!AM250))=11)*(CHOOSE({1,2,3,4},KMB!X250,KMB!AD250,KMB!AJ250,KMB!AP250)))</f>
        <v>0</v>
      </c>
      <c r="L250">
        <f>SUMPRODUCT((MONTH(CHOOSE({1,2,3,4},KMB!U250,KMB!AA250,KMB!AG250,KMB!AM250))=12)*(CHOOSE({1,2,3,4},KMB!X250,KMB!AD250,KMB!AJ250,KMB!AP250)))</f>
        <v>0</v>
      </c>
    </row>
    <row r="251" spans="1:12">
      <c r="A251">
        <f>SUMPRODUCT((MONTH(CHOOSE({1,2,3,4},KMB!U251,KMB!AA251,KMB!AG251,KMB!AM251))=1)*(CHOOSE({1,2,3,4},KMB!X251,KMB!AD251,KMB!AJ251,KMB!AP251)))</f>
        <v>0</v>
      </c>
      <c r="B251">
        <f>SUMPRODUCT((MONTH(CHOOSE({1,2,3,4},KMB!U251,KMB!AA251,KMB!AG251,KMB!AM251))=2)*(CHOOSE({1,2,3,4},KMB!X251,KMB!AD251,KMB!AJ251,KMB!AP251)))</f>
        <v>0</v>
      </c>
      <c r="C251">
        <f>SUMPRODUCT((MONTH(CHOOSE({1,2,3,4},KMB!U251,KMB!AA251,KMB!AG251,KMB!AM251))=3)*(CHOOSE({1,2,3,4},KMB!X251,KMB!AD251,KMB!AJ251,KMB!AP251)))</f>
        <v>0</v>
      </c>
      <c r="D251">
        <f>SUMPRODUCT((MONTH(CHOOSE({1,2,3,4},KMB!U251,KMB!AA251,KMB!AG251,KMB!AM251))=4)*(CHOOSE({1,2,3,4},KMB!X251,KMB!AD251,KMB!AJ251,KMB!AP251)))</f>
        <v>0</v>
      </c>
      <c r="E251">
        <f>SUMPRODUCT((MONTH(CHOOSE({1,2,3,4},KMB!U251,KMB!AA251,KMB!AG251,KMB!AM251))=5)*(CHOOSE({1,2,3,4},KMB!X251,KMB!AD251,KMB!AJ251,KMB!AP251)))</f>
        <v>0</v>
      </c>
      <c r="F251">
        <f>SUMPRODUCT((MONTH(CHOOSE({1,2,3,4},KMB!U251,KMB!AA251,KMB!AG251,KMB!AM251))=6)*(CHOOSE({1,2,3,4},KMB!X251,KMB!AD251,KMB!AJ251,KMB!AP251)))</f>
        <v>0</v>
      </c>
      <c r="G251">
        <f>SUMPRODUCT((MONTH(CHOOSE({1,2,3,4},KMB!U251,KMB!AA251,KMB!AG251,KMB!AM251))=7)*(CHOOSE({1,2,3,4},KMB!X251,KMB!AD251,KMB!AJ251,KMB!AP251)))</f>
        <v>0</v>
      </c>
      <c r="H251">
        <f>SUMPRODUCT((MONTH(CHOOSE({1,2,3,4},KMB!U251,KMB!AA251,KMB!AG251,KMB!AM251))=8)*(CHOOSE({1,2,3,4},KMB!X251,KMB!AD251,KMB!AJ251,KMB!AP251)))</f>
        <v>0</v>
      </c>
      <c r="I251">
        <f>SUMPRODUCT((MONTH(CHOOSE({1,2,3,4},KMB!U251,KMB!AA251,KMB!AG251,KMB!AM251))=9)*(CHOOSE({1,2,3,4},KMB!X251,KMB!AD251,KMB!AJ251,KMB!AP251)))</f>
        <v>0</v>
      </c>
      <c r="J251">
        <f>SUMPRODUCT((MONTH(CHOOSE({1,2,3,4},KMB!U251,KMB!AA251,KMB!AG251,KMB!AM251))=10)*(CHOOSE({1,2,3,4},KMB!X251,KMB!AD251,KMB!AJ251,KMB!AP251)))</f>
        <v>0</v>
      </c>
      <c r="K251">
        <f>SUMPRODUCT((MONTH(CHOOSE({1,2,3,4},KMB!U251,KMB!AA251,KMB!AG251,KMB!AM251))=11)*(CHOOSE({1,2,3,4},KMB!X251,KMB!AD251,KMB!AJ251,KMB!AP251)))</f>
        <v>0</v>
      </c>
      <c r="L251">
        <f>SUMPRODUCT((MONTH(CHOOSE({1,2,3,4},KMB!U251,KMB!AA251,KMB!AG251,KMB!AM251))=12)*(CHOOSE({1,2,3,4},KMB!X251,KMB!AD251,KMB!AJ251,KMB!AP251)))</f>
        <v>0</v>
      </c>
    </row>
    <row r="252" spans="1:12">
      <c r="A252">
        <f>SUMPRODUCT((MONTH(CHOOSE({1,2,3,4},KMB!U252,KMB!AA252,KMB!AG252,KMB!AM252))=1)*(CHOOSE({1,2,3,4},KMB!X252,KMB!AD252,KMB!AJ252,KMB!AP252)))</f>
        <v>0</v>
      </c>
      <c r="B252">
        <f>SUMPRODUCT((MONTH(CHOOSE({1,2,3,4},KMB!U252,KMB!AA252,KMB!AG252,KMB!AM252))=2)*(CHOOSE({1,2,3,4},KMB!X252,KMB!AD252,KMB!AJ252,KMB!AP252)))</f>
        <v>0</v>
      </c>
      <c r="C252">
        <f>SUMPRODUCT((MONTH(CHOOSE({1,2,3,4},KMB!U252,KMB!AA252,KMB!AG252,KMB!AM252))=3)*(CHOOSE({1,2,3,4},KMB!X252,KMB!AD252,KMB!AJ252,KMB!AP252)))</f>
        <v>0</v>
      </c>
      <c r="D252">
        <f>SUMPRODUCT((MONTH(CHOOSE({1,2,3,4},KMB!U252,KMB!AA252,KMB!AG252,KMB!AM252))=4)*(CHOOSE({1,2,3,4},KMB!X252,KMB!AD252,KMB!AJ252,KMB!AP252)))</f>
        <v>0</v>
      </c>
      <c r="E252">
        <f>SUMPRODUCT((MONTH(CHOOSE({1,2,3,4},KMB!U252,KMB!AA252,KMB!AG252,KMB!AM252))=5)*(CHOOSE({1,2,3,4},KMB!X252,KMB!AD252,KMB!AJ252,KMB!AP252)))</f>
        <v>0</v>
      </c>
      <c r="F252">
        <f>SUMPRODUCT((MONTH(CHOOSE({1,2,3,4},KMB!U252,KMB!AA252,KMB!AG252,KMB!AM252))=6)*(CHOOSE({1,2,3,4},KMB!X252,KMB!AD252,KMB!AJ252,KMB!AP252)))</f>
        <v>0</v>
      </c>
      <c r="G252">
        <f>SUMPRODUCT((MONTH(CHOOSE({1,2,3,4},KMB!U252,KMB!AA252,KMB!AG252,KMB!AM252))=7)*(CHOOSE({1,2,3,4},KMB!X252,KMB!AD252,KMB!AJ252,KMB!AP252)))</f>
        <v>0</v>
      </c>
      <c r="H252">
        <f>SUMPRODUCT((MONTH(CHOOSE({1,2,3,4},KMB!U252,KMB!AA252,KMB!AG252,KMB!AM252))=8)*(CHOOSE({1,2,3,4},KMB!X252,KMB!AD252,KMB!AJ252,KMB!AP252)))</f>
        <v>0</v>
      </c>
      <c r="I252">
        <f>SUMPRODUCT((MONTH(CHOOSE({1,2,3,4},KMB!U252,KMB!AA252,KMB!AG252,KMB!AM252))=9)*(CHOOSE({1,2,3,4},KMB!X252,KMB!AD252,KMB!AJ252,KMB!AP252)))</f>
        <v>0</v>
      </c>
      <c r="J252">
        <f>SUMPRODUCT((MONTH(CHOOSE({1,2,3,4},KMB!U252,KMB!AA252,KMB!AG252,KMB!AM252))=10)*(CHOOSE({1,2,3,4},KMB!X252,KMB!AD252,KMB!AJ252,KMB!AP252)))</f>
        <v>0</v>
      </c>
      <c r="K252">
        <f>SUMPRODUCT((MONTH(CHOOSE({1,2,3,4},KMB!U252,KMB!AA252,KMB!AG252,KMB!AM252))=11)*(CHOOSE({1,2,3,4},KMB!X252,KMB!AD252,KMB!AJ252,KMB!AP252)))</f>
        <v>0</v>
      </c>
      <c r="L252">
        <f>SUMPRODUCT((MONTH(CHOOSE({1,2,3,4},KMB!U252,KMB!AA252,KMB!AG252,KMB!AM252))=12)*(CHOOSE({1,2,3,4},KMB!X252,KMB!AD252,KMB!AJ252,KMB!AP252)))</f>
        <v>0</v>
      </c>
    </row>
    <row r="253" spans="1:12">
      <c r="A253">
        <f>SUMPRODUCT((MONTH(CHOOSE({1,2,3,4},KMB!U253,KMB!AA253,KMB!AG253,KMB!AM253))=1)*(CHOOSE({1,2,3,4},KMB!X253,KMB!AD253,KMB!AJ253,KMB!AP253)))</f>
        <v>0</v>
      </c>
      <c r="B253">
        <f>SUMPRODUCT((MONTH(CHOOSE({1,2,3,4},KMB!U253,KMB!AA253,KMB!AG253,KMB!AM253))=2)*(CHOOSE({1,2,3,4},KMB!X253,KMB!AD253,KMB!AJ253,KMB!AP253)))</f>
        <v>0</v>
      </c>
      <c r="C253">
        <f>SUMPRODUCT((MONTH(CHOOSE({1,2,3,4},KMB!U253,KMB!AA253,KMB!AG253,KMB!AM253))=3)*(CHOOSE({1,2,3,4},KMB!X253,KMB!AD253,KMB!AJ253,KMB!AP253)))</f>
        <v>0</v>
      </c>
      <c r="D253">
        <f>SUMPRODUCT((MONTH(CHOOSE({1,2,3,4},KMB!U253,KMB!AA253,KMB!AG253,KMB!AM253))=4)*(CHOOSE({1,2,3,4},KMB!X253,KMB!AD253,KMB!AJ253,KMB!AP253)))</f>
        <v>0</v>
      </c>
      <c r="E253">
        <f>SUMPRODUCT((MONTH(CHOOSE({1,2,3,4},KMB!U253,KMB!AA253,KMB!AG253,KMB!AM253))=5)*(CHOOSE({1,2,3,4},KMB!X253,KMB!AD253,KMB!AJ253,KMB!AP253)))</f>
        <v>0</v>
      </c>
      <c r="F253">
        <f>SUMPRODUCT((MONTH(CHOOSE({1,2,3,4},KMB!U253,KMB!AA253,KMB!AG253,KMB!AM253))=6)*(CHOOSE({1,2,3,4},KMB!X253,KMB!AD253,KMB!AJ253,KMB!AP253)))</f>
        <v>0</v>
      </c>
      <c r="G253">
        <f>SUMPRODUCT((MONTH(CHOOSE({1,2,3,4},KMB!U253,KMB!AA253,KMB!AG253,KMB!AM253))=7)*(CHOOSE({1,2,3,4},KMB!X253,KMB!AD253,KMB!AJ253,KMB!AP253)))</f>
        <v>0</v>
      </c>
      <c r="H253">
        <f>SUMPRODUCT((MONTH(CHOOSE({1,2,3,4},KMB!U253,KMB!AA253,KMB!AG253,KMB!AM253))=8)*(CHOOSE({1,2,3,4},KMB!X253,KMB!AD253,KMB!AJ253,KMB!AP253)))</f>
        <v>0</v>
      </c>
      <c r="I253">
        <f>SUMPRODUCT((MONTH(CHOOSE({1,2,3,4},KMB!U253,KMB!AA253,KMB!AG253,KMB!AM253))=9)*(CHOOSE({1,2,3,4},KMB!X253,KMB!AD253,KMB!AJ253,KMB!AP253)))</f>
        <v>0</v>
      </c>
      <c r="J253">
        <f>SUMPRODUCT((MONTH(CHOOSE({1,2,3,4},KMB!U253,KMB!AA253,KMB!AG253,KMB!AM253))=10)*(CHOOSE({1,2,3,4},KMB!X253,KMB!AD253,KMB!AJ253,KMB!AP253)))</f>
        <v>0</v>
      </c>
      <c r="K253">
        <f>SUMPRODUCT((MONTH(CHOOSE({1,2,3,4},KMB!U253,KMB!AA253,KMB!AG253,KMB!AM253))=11)*(CHOOSE({1,2,3,4},KMB!X253,KMB!AD253,KMB!AJ253,KMB!AP253)))</f>
        <v>0</v>
      </c>
      <c r="L253">
        <f>SUMPRODUCT((MONTH(CHOOSE({1,2,3,4},KMB!U253,KMB!AA253,KMB!AG253,KMB!AM253))=12)*(CHOOSE({1,2,3,4},KMB!X253,KMB!AD253,KMB!AJ253,KMB!AP253)))</f>
        <v>0</v>
      </c>
    </row>
    <row r="254" spans="1:12">
      <c r="A254">
        <f>SUMPRODUCT((MONTH(CHOOSE({1,2,3,4},KMB!U254,KMB!AA254,KMB!AG254,KMB!AM254))=1)*(CHOOSE({1,2,3,4},KMB!X254,KMB!AD254,KMB!AJ254,KMB!AP254)))</f>
        <v>0</v>
      </c>
      <c r="B254">
        <f>SUMPRODUCT((MONTH(CHOOSE({1,2,3,4},KMB!U254,KMB!AA254,KMB!AG254,KMB!AM254))=2)*(CHOOSE({1,2,3,4},KMB!X254,KMB!AD254,KMB!AJ254,KMB!AP254)))</f>
        <v>0</v>
      </c>
      <c r="C254">
        <f>SUMPRODUCT((MONTH(CHOOSE({1,2,3,4},KMB!U254,KMB!AA254,KMB!AG254,KMB!AM254))=3)*(CHOOSE({1,2,3,4},KMB!X254,KMB!AD254,KMB!AJ254,KMB!AP254)))</f>
        <v>0</v>
      </c>
      <c r="D254">
        <f>SUMPRODUCT((MONTH(CHOOSE({1,2,3,4},KMB!U254,KMB!AA254,KMB!AG254,KMB!AM254))=4)*(CHOOSE({1,2,3,4},KMB!X254,KMB!AD254,KMB!AJ254,KMB!AP254)))</f>
        <v>0</v>
      </c>
      <c r="E254">
        <f>SUMPRODUCT((MONTH(CHOOSE({1,2,3,4},KMB!U254,KMB!AA254,KMB!AG254,KMB!AM254))=5)*(CHOOSE({1,2,3,4},KMB!X254,KMB!AD254,KMB!AJ254,KMB!AP254)))</f>
        <v>0</v>
      </c>
      <c r="F254">
        <f>SUMPRODUCT((MONTH(CHOOSE({1,2,3,4},KMB!U254,KMB!AA254,KMB!AG254,KMB!AM254))=6)*(CHOOSE({1,2,3,4},KMB!X254,KMB!AD254,KMB!AJ254,KMB!AP254)))</f>
        <v>0</v>
      </c>
      <c r="G254">
        <f>SUMPRODUCT((MONTH(CHOOSE({1,2,3,4},KMB!U254,KMB!AA254,KMB!AG254,KMB!AM254))=7)*(CHOOSE({1,2,3,4},KMB!X254,KMB!AD254,KMB!AJ254,KMB!AP254)))</f>
        <v>0</v>
      </c>
      <c r="H254">
        <f>SUMPRODUCT((MONTH(CHOOSE({1,2,3,4},KMB!U254,KMB!AA254,KMB!AG254,KMB!AM254))=8)*(CHOOSE({1,2,3,4},KMB!X254,KMB!AD254,KMB!AJ254,KMB!AP254)))</f>
        <v>0</v>
      </c>
      <c r="I254">
        <f>SUMPRODUCT((MONTH(CHOOSE({1,2,3,4},KMB!U254,KMB!AA254,KMB!AG254,KMB!AM254))=9)*(CHOOSE({1,2,3,4},KMB!X254,KMB!AD254,KMB!AJ254,KMB!AP254)))</f>
        <v>0</v>
      </c>
      <c r="J254">
        <f>SUMPRODUCT((MONTH(CHOOSE({1,2,3,4},KMB!U254,KMB!AA254,KMB!AG254,KMB!AM254))=10)*(CHOOSE({1,2,3,4},KMB!X254,KMB!AD254,KMB!AJ254,KMB!AP254)))</f>
        <v>0</v>
      </c>
      <c r="K254">
        <f>SUMPRODUCT((MONTH(CHOOSE({1,2,3,4},KMB!U254,KMB!AA254,KMB!AG254,KMB!AM254))=11)*(CHOOSE({1,2,3,4},KMB!X254,KMB!AD254,KMB!AJ254,KMB!AP254)))</f>
        <v>0</v>
      </c>
      <c r="L254">
        <f>SUMPRODUCT((MONTH(CHOOSE({1,2,3,4},KMB!U254,KMB!AA254,KMB!AG254,KMB!AM254))=12)*(CHOOSE({1,2,3,4},KMB!X254,KMB!AD254,KMB!AJ254,KMB!AP254)))</f>
        <v>0</v>
      </c>
    </row>
    <row r="255" spans="1:12">
      <c r="A255">
        <f>SUMPRODUCT((MONTH(CHOOSE({1,2,3,4},KMB!U255,KMB!AA255,KMB!AG255,KMB!AM255))=1)*(CHOOSE({1,2,3,4},KMB!X255,KMB!AD255,KMB!AJ255,KMB!AP255)))</f>
        <v>0</v>
      </c>
      <c r="B255">
        <f>SUMPRODUCT((MONTH(CHOOSE({1,2,3,4},KMB!U255,KMB!AA255,KMB!AG255,KMB!AM255))=2)*(CHOOSE({1,2,3,4},KMB!X255,KMB!AD255,KMB!AJ255,KMB!AP255)))</f>
        <v>0</v>
      </c>
      <c r="C255">
        <f>SUMPRODUCT((MONTH(CHOOSE({1,2,3,4},KMB!U255,KMB!AA255,KMB!AG255,KMB!AM255))=3)*(CHOOSE({1,2,3,4},KMB!X255,KMB!AD255,KMB!AJ255,KMB!AP255)))</f>
        <v>0</v>
      </c>
      <c r="D255">
        <f>SUMPRODUCT((MONTH(CHOOSE({1,2,3,4},KMB!U255,KMB!AA255,KMB!AG255,KMB!AM255))=4)*(CHOOSE({1,2,3,4},KMB!X255,KMB!AD255,KMB!AJ255,KMB!AP255)))</f>
        <v>0</v>
      </c>
      <c r="E255">
        <f>SUMPRODUCT((MONTH(CHOOSE({1,2,3,4},KMB!U255,KMB!AA255,KMB!AG255,KMB!AM255))=5)*(CHOOSE({1,2,3,4},KMB!X255,KMB!AD255,KMB!AJ255,KMB!AP255)))</f>
        <v>0</v>
      </c>
      <c r="F255">
        <f>SUMPRODUCT((MONTH(CHOOSE({1,2,3,4},KMB!U255,KMB!AA255,KMB!AG255,KMB!AM255))=6)*(CHOOSE({1,2,3,4},KMB!X255,KMB!AD255,KMB!AJ255,KMB!AP255)))</f>
        <v>0</v>
      </c>
      <c r="G255">
        <f>SUMPRODUCT((MONTH(CHOOSE({1,2,3,4},KMB!U255,KMB!AA255,KMB!AG255,KMB!AM255))=7)*(CHOOSE({1,2,3,4},KMB!X255,KMB!AD255,KMB!AJ255,KMB!AP255)))</f>
        <v>0</v>
      </c>
      <c r="H255">
        <f>SUMPRODUCT((MONTH(CHOOSE({1,2,3,4},KMB!U255,KMB!AA255,KMB!AG255,KMB!AM255))=8)*(CHOOSE({1,2,3,4},KMB!X255,KMB!AD255,KMB!AJ255,KMB!AP255)))</f>
        <v>0</v>
      </c>
      <c r="I255">
        <f>SUMPRODUCT((MONTH(CHOOSE({1,2,3,4},KMB!U255,KMB!AA255,KMB!AG255,KMB!AM255))=9)*(CHOOSE({1,2,3,4},KMB!X255,KMB!AD255,KMB!AJ255,KMB!AP255)))</f>
        <v>0</v>
      </c>
      <c r="J255">
        <f>SUMPRODUCT((MONTH(CHOOSE({1,2,3,4},KMB!U255,KMB!AA255,KMB!AG255,KMB!AM255))=10)*(CHOOSE({1,2,3,4},KMB!X255,KMB!AD255,KMB!AJ255,KMB!AP255)))</f>
        <v>0</v>
      </c>
      <c r="K255">
        <f>SUMPRODUCT((MONTH(CHOOSE({1,2,3,4},KMB!U255,KMB!AA255,KMB!AG255,KMB!AM255))=11)*(CHOOSE({1,2,3,4},KMB!X255,KMB!AD255,KMB!AJ255,KMB!AP255)))</f>
        <v>0</v>
      </c>
      <c r="L255">
        <f>SUMPRODUCT((MONTH(CHOOSE({1,2,3,4},KMB!U255,KMB!AA255,KMB!AG255,KMB!AM255))=12)*(CHOOSE({1,2,3,4},KMB!X255,KMB!AD255,KMB!AJ255,KMB!AP255)))</f>
        <v>0</v>
      </c>
    </row>
    <row r="256" spans="1:12">
      <c r="A256">
        <f>SUMPRODUCT((MONTH(CHOOSE({1,2,3,4},KMB!U256,KMB!AA256,KMB!AG256,KMB!AM256))=1)*(CHOOSE({1,2,3,4},KMB!X256,KMB!AD256,KMB!AJ256,KMB!AP256)))</f>
        <v>0</v>
      </c>
      <c r="B256">
        <f>SUMPRODUCT((MONTH(CHOOSE({1,2,3,4},KMB!U256,KMB!AA256,KMB!AG256,KMB!AM256))=2)*(CHOOSE({1,2,3,4},KMB!X256,KMB!AD256,KMB!AJ256,KMB!AP256)))</f>
        <v>0</v>
      </c>
      <c r="C256">
        <f>SUMPRODUCT((MONTH(CHOOSE({1,2,3,4},KMB!U256,KMB!AA256,KMB!AG256,KMB!AM256))=3)*(CHOOSE({1,2,3,4},KMB!X256,KMB!AD256,KMB!AJ256,KMB!AP256)))</f>
        <v>0</v>
      </c>
      <c r="D256">
        <f>SUMPRODUCT((MONTH(CHOOSE({1,2,3,4},KMB!U256,KMB!AA256,KMB!AG256,KMB!AM256))=4)*(CHOOSE({1,2,3,4},KMB!X256,KMB!AD256,KMB!AJ256,KMB!AP256)))</f>
        <v>0</v>
      </c>
      <c r="E256">
        <f>SUMPRODUCT((MONTH(CHOOSE({1,2,3,4},KMB!U256,KMB!AA256,KMB!AG256,KMB!AM256))=5)*(CHOOSE({1,2,3,4},KMB!X256,KMB!AD256,KMB!AJ256,KMB!AP256)))</f>
        <v>0</v>
      </c>
      <c r="F256">
        <f>SUMPRODUCT((MONTH(CHOOSE({1,2,3,4},KMB!U256,KMB!AA256,KMB!AG256,KMB!AM256))=6)*(CHOOSE({1,2,3,4},KMB!X256,KMB!AD256,KMB!AJ256,KMB!AP256)))</f>
        <v>0</v>
      </c>
      <c r="G256">
        <f>SUMPRODUCT((MONTH(CHOOSE({1,2,3,4},KMB!U256,KMB!AA256,KMB!AG256,KMB!AM256))=7)*(CHOOSE({1,2,3,4},KMB!X256,KMB!AD256,KMB!AJ256,KMB!AP256)))</f>
        <v>0</v>
      </c>
      <c r="H256">
        <f>SUMPRODUCT((MONTH(CHOOSE({1,2,3,4},KMB!U256,KMB!AA256,KMB!AG256,KMB!AM256))=8)*(CHOOSE({1,2,3,4},KMB!X256,KMB!AD256,KMB!AJ256,KMB!AP256)))</f>
        <v>0</v>
      </c>
      <c r="I256">
        <f>SUMPRODUCT((MONTH(CHOOSE({1,2,3,4},KMB!U256,KMB!AA256,KMB!AG256,KMB!AM256))=9)*(CHOOSE({1,2,3,4},KMB!X256,KMB!AD256,KMB!AJ256,KMB!AP256)))</f>
        <v>0</v>
      </c>
      <c r="J256">
        <f>SUMPRODUCT((MONTH(CHOOSE({1,2,3,4},KMB!U256,KMB!AA256,KMB!AG256,KMB!AM256))=10)*(CHOOSE({1,2,3,4},KMB!X256,KMB!AD256,KMB!AJ256,KMB!AP256)))</f>
        <v>0</v>
      </c>
      <c r="K256">
        <f>SUMPRODUCT((MONTH(CHOOSE({1,2,3,4},KMB!U256,KMB!AA256,KMB!AG256,KMB!AM256))=11)*(CHOOSE({1,2,3,4},KMB!X256,KMB!AD256,KMB!AJ256,KMB!AP256)))</f>
        <v>0</v>
      </c>
      <c r="L256">
        <f>SUMPRODUCT((MONTH(CHOOSE({1,2,3,4},KMB!U256,KMB!AA256,KMB!AG256,KMB!AM256))=12)*(CHOOSE({1,2,3,4},KMB!X256,KMB!AD256,KMB!AJ256,KMB!AP256)))</f>
        <v>0</v>
      </c>
    </row>
    <row r="257" spans="1:12">
      <c r="A257">
        <f>SUMPRODUCT((MONTH(CHOOSE({1,2,3,4},KMB!U257,KMB!AA257,KMB!AG257,KMB!AM257))=1)*(CHOOSE({1,2,3,4},KMB!X257,KMB!AD257,KMB!AJ257,KMB!AP257)))</f>
        <v>0</v>
      </c>
      <c r="B257">
        <f>SUMPRODUCT((MONTH(CHOOSE({1,2,3,4},KMB!U257,KMB!AA257,KMB!AG257,KMB!AM257))=2)*(CHOOSE({1,2,3,4},KMB!X257,KMB!AD257,KMB!AJ257,KMB!AP257)))</f>
        <v>0</v>
      </c>
      <c r="C257">
        <f>SUMPRODUCT((MONTH(CHOOSE({1,2,3,4},KMB!U257,KMB!AA257,KMB!AG257,KMB!AM257))=3)*(CHOOSE({1,2,3,4},KMB!X257,KMB!AD257,KMB!AJ257,KMB!AP257)))</f>
        <v>0</v>
      </c>
      <c r="D257">
        <f>SUMPRODUCT((MONTH(CHOOSE({1,2,3,4},KMB!U257,KMB!AA257,KMB!AG257,KMB!AM257))=4)*(CHOOSE({1,2,3,4},KMB!X257,KMB!AD257,KMB!AJ257,KMB!AP257)))</f>
        <v>0</v>
      </c>
      <c r="E257">
        <f>SUMPRODUCT((MONTH(CHOOSE({1,2,3,4},KMB!U257,KMB!AA257,KMB!AG257,KMB!AM257))=5)*(CHOOSE({1,2,3,4},KMB!X257,KMB!AD257,KMB!AJ257,KMB!AP257)))</f>
        <v>0</v>
      </c>
      <c r="F257">
        <f>SUMPRODUCT((MONTH(CHOOSE({1,2,3,4},KMB!U257,KMB!AA257,KMB!AG257,KMB!AM257))=6)*(CHOOSE({1,2,3,4},KMB!X257,KMB!AD257,KMB!AJ257,KMB!AP257)))</f>
        <v>0</v>
      </c>
      <c r="G257">
        <f>SUMPRODUCT((MONTH(CHOOSE({1,2,3,4},KMB!U257,KMB!AA257,KMB!AG257,KMB!AM257))=7)*(CHOOSE({1,2,3,4},KMB!X257,KMB!AD257,KMB!AJ257,KMB!AP257)))</f>
        <v>0</v>
      </c>
      <c r="H257">
        <f>SUMPRODUCT((MONTH(CHOOSE({1,2,3,4},KMB!U257,KMB!AA257,KMB!AG257,KMB!AM257))=8)*(CHOOSE({1,2,3,4},KMB!X257,KMB!AD257,KMB!AJ257,KMB!AP257)))</f>
        <v>0</v>
      </c>
      <c r="I257">
        <f>SUMPRODUCT((MONTH(CHOOSE({1,2,3,4},KMB!U257,KMB!AA257,KMB!AG257,KMB!AM257))=9)*(CHOOSE({1,2,3,4},KMB!X257,KMB!AD257,KMB!AJ257,KMB!AP257)))</f>
        <v>0</v>
      </c>
      <c r="J257">
        <f>SUMPRODUCT((MONTH(CHOOSE({1,2,3,4},KMB!U257,KMB!AA257,KMB!AG257,KMB!AM257))=10)*(CHOOSE({1,2,3,4},KMB!X257,KMB!AD257,KMB!AJ257,KMB!AP257)))</f>
        <v>0</v>
      </c>
      <c r="K257">
        <f>SUMPRODUCT((MONTH(CHOOSE({1,2,3,4},KMB!U257,KMB!AA257,KMB!AG257,KMB!AM257))=11)*(CHOOSE({1,2,3,4},KMB!X257,KMB!AD257,KMB!AJ257,KMB!AP257)))</f>
        <v>0</v>
      </c>
      <c r="L257">
        <f>SUMPRODUCT((MONTH(CHOOSE({1,2,3,4},KMB!U257,KMB!AA257,KMB!AG257,KMB!AM257))=12)*(CHOOSE({1,2,3,4},KMB!X257,KMB!AD257,KMB!AJ257,KMB!AP257)))</f>
        <v>0</v>
      </c>
    </row>
    <row r="258" spans="1:12">
      <c r="A258">
        <f>SUMPRODUCT((MONTH(CHOOSE({1,2,3,4},KMB!U258,KMB!AA258,KMB!AG258,KMB!AM258))=1)*(CHOOSE({1,2,3,4},KMB!X258,KMB!AD258,KMB!AJ258,KMB!AP258)))</f>
        <v>0</v>
      </c>
      <c r="B258">
        <f>SUMPRODUCT((MONTH(CHOOSE({1,2,3,4},KMB!U258,KMB!AA258,KMB!AG258,KMB!AM258))=2)*(CHOOSE({1,2,3,4},KMB!X258,KMB!AD258,KMB!AJ258,KMB!AP258)))</f>
        <v>0</v>
      </c>
      <c r="C258">
        <f>SUMPRODUCT((MONTH(CHOOSE({1,2,3,4},KMB!U258,KMB!AA258,KMB!AG258,KMB!AM258))=3)*(CHOOSE({1,2,3,4},KMB!X258,KMB!AD258,KMB!AJ258,KMB!AP258)))</f>
        <v>0</v>
      </c>
      <c r="D258">
        <f>SUMPRODUCT((MONTH(CHOOSE({1,2,3,4},KMB!U258,KMB!AA258,KMB!AG258,KMB!AM258))=4)*(CHOOSE({1,2,3,4},KMB!X258,KMB!AD258,KMB!AJ258,KMB!AP258)))</f>
        <v>0</v>
      </c>
      <c r="E258">
        <f>SUMPRODUCT((MONTH(CHOOSE({1,2,3,4},KMB!U258,KMB!AA258,KMB!AG258,KMB!AM258))=5)*(CHOOSE({1,2,3,4},KMB!X258,KMB!AD258,KMB!AJ258,KMB!AP258)))</f>
        <v>0</v>
      </c>
      <c r="F258">
        <f>SUMPRODUCT((MONTH(CHOOSE({1,2,3,4},KMB!U258,KMB!AA258,KMB!AG258,KMB!AM258))=6)*(CHOOSE({1,2,3,4},KMB!X258,KMB!AD258,KMB!AJ258,KMB!AP258)))</f>
        <v>0</v>
      </c>
      <c r="G258">
        <f>SUMPRODUCT((MONTH(CHOOSE({1,2,3,4},KMB!U258,KMB!AA258,KMB!AG258,KMB!AM258))=7)*(CHOOSE({1,2,3,4},KMB!X258,KMB!AD258,KMB!AJ258,KMB!AP258)))</f>
        <v>0</v>
      </c>
      <c r="H258">
        <f>SUMPRODUCT((MONTH(CHOOSE({1,2,3,4},KMB!U258,KMB!AA258,KMB!AG258,KMB!AM258))=8)*(CHOOSE({1,2,3,4},KMB!X258,KMB!AD258,KMB!AJ258,KMB!AP258)))</f>
        <v>0</v>
      </c>
      <c r="I258">
        <f>SUMPRODUCT((MONTH(CHOOSE({1,2,3,4},KMB!U258,KMB!AA258,KMB!AG258,KMB!AM258))=9)*(CHOOSE({1,2,3,4},KMB!X258,KMB!AD258,KMB!AJ258,KMB!AP258)))</f>
        <v>0</v>
      </c>
      <c r="J258">
        <f>SUMPRODUCT((MONTH(CHOOSE({1,2,3,4},KMB!U258,KMB!AA258,KMB!AG258,KMB!AM258))=10)*(CHOOSE({1,2,3,4},KMB!X258,KMB!AD258,KMB!AJ258,KMB!AP258)))</f>
        <v>0</v>
      </c>
      <c r="K258">
        <f>SUMPRODUCT((MONTH(CHOOSE({1,2,3,4},KMB!U258,KMB!AA258,KMB!AG258,KMB!AM258))=11)*(CHOOSE({1,2,3,4},KMB!X258,KMB!AD258,KMB!AJ258,KMB!AP258)))</f>
        <v>0</v>
      </c>
      <c r="L258">
        <f>SUMPRODUCT((MONTH(CHOOSE({1,2,3,4},KMB!U258,KMB!AA258,KMB!AG258,KMB!AM258))=12)*(CHOOSE({1,2,3,4},KMB!X258,KMB!AD258,KMB!AJ258,KMB!AP258)))</f>
        <v>0</v>
      </c>
    </row>
    <row r="259" spans="1:12">
      <c r="A259">
        <f>SUMPRODUCT((MONTH(CHOOSE({1,2,3,4},KMB!U259,KMB!AA259,KMB!AG259,KMB!AM259))=1)*(CHOOSE({1,2,3,4},KMB!X259,KMB!AD259,KMB!AJ259,KMB!AP259)))</f>
        <v>0</v>
      </c>
      <c r="B259">
        <f>SUMPRODUCT((MONTH(CHOOSE({1,2,3,4},KMB!U259,KMB!AA259,KMB!AG259,KMB!AM259))=2)*(CHOOSE({1,2,3,4},KMB!X259,KMB!AD259,KMB!AJ259,KMB!AP259)))</f>
        <v>0</v>
      </c>
      <c r="C259">
        <f>SUMPRODUCT((MONTH(CHOOSE({1,2,3,4},KMB!U259,KMB!AA259,KMB!AG259,KMB!AM259))=3)*(CHOOSE({1,2,3,4},KMB!X259,KMB!AD259,KMB!AJ259,KMB!AP259)))</f>
        <v>0</v>
      </c>
      <c r="D259">
        <f>SUMPRODUCT((MONTH(CHOOSE({1,2,3,4},KMB!U259,KMB!AA259,KMB!AG259,KMB!AM259))=4)*(CHOOSE({1,2,3,4},KMB!X259,KMB!AD259,KMB!AJ259,KMB!AP259)))</f>
        <v>0</v>
      </c>
      <c r="E259">
        <f>SUMPRODUCT((MONTH(CHOOSE({1,2,3,4},KMB!U259,KMB!AA259,KMB!AG259,KMB!AM259))=5)*(CHOOSE({1,2,3,4},KMB!X259,KMB!AD259,KMB!AJ259,KMB!AP259)))</f>
        <v>0</v>
      </c>
      <c r="F259">
        <f>SUMPRODUCT((MONTH(CHOOSE({1,2,3,4},KMB!U259,KMB!AA259,KMB!AG259,KMB!AM259))=6)*(CHOOSE({1,2,3,4},KMB!X259,KMB!AD259,KMB!AJ259,KMB!AP259)))</f>
        <v>0</v>
      </c>
      <c r="G259">
        <f>SUMPRODUCT((MONTH(CHOOSE({1,2,3,4},KMB!U259,KMB!AA259,KMB!AG259,KMB!AM259))=7)*(CHOOSE({1,2,3,4},KMB!X259,KMB!AD259,KMB!AJ259,KMB!AP259)))</f>
        <v>0</v>
      </c>
      <c r="H259">
        <f>SUMPRODUCT((MONTH(CHOOSE({1,2,3,4},KMB!U259,KMB!AA259,KMB!AG259,KMB!AM259))=8)*(CHOOSE({1,2,3,4},KMB!X259,KMB!AD259,KMB!AJ259,KMB!AP259)))</f>
        <v>0</v>
      </c>
      <c r="I259">
        <f>SUMPRODUCT((MONTH(CHOOSE({1,2,3,4},KMB!U259,KMB!AA259,KMB!AG259,KMB!AM259))=9)*(CHOOSE({1,2,3,4},KMB!X259,KMB!AD259,KMB!AJ259,KMB!AP259)))</f>
        <v>0</v>
      </c>
      <c r="J259">
        <f>SUMPRODUCT((MONTH(CHOOSE({1,2,3,4},KMB!U259,KMB!AA259,KMB!AG259,KMB!AM259))=10)*(CHOOSE({1,2,3,4},KMB!X259,KMB!AD259,KMB!AJ259,KMB!AP259)))</f>
        <v>0</v>
      </c>
      <c r="K259">
        <f>SUMPRODUCT((MONTH(CHOOSE({1,2,3,4},KMB!U259,KMB!AA259,KMB!AG259,KMB!AM259))=11)*(CHOOSE({1,2,3,4},KMB!X259,KMB!AD259,KMB!AJ259,KMB!AP259)))</f>
        <v>0</v>
      </c>
      <c r="L259">
        <f>SUMPRODUCT((MONTH(CHOOSE({1,2,3,4},KMB!U259,KMB!AA259,KMB!AG259,KMB!AM259))=12)*(CHOOSE({1,2,3,4},KMB!X259,KMB!AD259,KMB!AJ259,KMB!AP259)))</f>
        <v>0</v>
      </c>
    </row>
    <row r="260" spans="1:12">
      <c r="A260">
        <f>SUMPRODUCT((MONTH(CHOOSE({1,2,3,4},KMB!U260,KMB!AA260,KMB!AG260,KMB!AM260))=1)*(CHOOSE({1,2,3,4},KMB!X260,KMB!AD260,KMB!AJ260,KMB!AP260)))</f>
        <v>0</v>
      </c>
      <c r="B260">
        <f>SUMPRODUCT((MONTH(CHOOSE({1,2,3,4},KMB!U260,KMB!AA260,KMB!AG260,KMB!AM260))=2)*(CHOOSE({1,2,3,4},KMB!X260,KMB!AD260,KMB!AJ260,KMB!AP260)))</f>
        <v>0</v>
      </c>
      <c r="C260">
        <f>SUMPRODUCT((MONTH(CHOOSE({1,2,3,4},KMB!U260,KMB!AA260,KMB!AG260,KMB!AM260))=3)*(CHOOSE({1,2,3,4},KMB!X260,KMB!AD260,KMB!AJ260,KMB!AP260)))</f>
        <v>0</v>
      </c>
      <c r="D260">
        <f>SUMPRODUCT((MONTH(CHOOSE({1,2,3,4},KMB!U260,KMB!AA260,KMB!AG260,KMB!AM260))=4)*(CHOOSE({1,2,3,4},KMB!X260,KMB!AD260,KMB!AJ260,KMB!AP260)))</f>
        <v>0</v>
      </c>
      <c r="E260">
        <f>SUMPRODUCT((MONTH(CHOOSE({1,2,3,4},KMB!U260,KMB!AA260,KMB!AG260,KMB!AM260))=5)*(CHOOSE({1,2,3,4},KMB!X260,KMB!AD260,KMB!AJ260,KMB!AP260)))</f>
        <v>0</v>
      </c>
      <c r="F260">
        <f>SUMPRODUCT((MONTH(CHOOSE({1,2,3,4},KMB!U260,KMB!AA260,KMB!AG260,KMB!AM260))=6)*(CHOOSE({1,2,3,4},KMB!X260,KMB!AD260,KMB!AJ260,KMB!AP260)))</f>
        <v>0</v>
      </c>
      <c r="G260">
        <f>SUMPRODUCT((MONTH(CHOOSE({1,2,3,4},KMB!U260,KMB!AA260,KMB!AG260,KMB!AM260))=7)*(CHOOSE({1,2,3,4},KMB!X260,KMB!AD260,KMB!AJ260,KMB!AP260)))</f>
        <v>0</v>
      </c>
      <c r="H260">
        <f>SUMPRODUCT((MONTH(CHOOSE({1,2,3,4},KMB!U260,KMB!AA260,KMB!AG260,KMB!AM260))=8)*(CHOOSE({1,2,3,4},KMB!X260,KMB!AD260,KMB!AJ260,KMB!AP260)))</f>
        <v>0</v>
      </c>
      <c r="I260">
        <f>SUMPRODUCT((MONTH(CHOOSE({1,2,3,4},KMB!U260,KMB!AA260,KMB!AG260,KMB!AM260))=9)*(CHOOSE({1,2,3,4},KMB!X260,KMB!AD260,KMB!AJ260,KMB!AP260)))</f>
        <v>0</v>
      </c>
      <c r="J260">
        <f>SUMPRODUCT((MONTH(CHOOSE({1,2,3,4},KMB!U260,KMB!AA260,KMB!AG260,KMB!AM260))=10)*(CHOOSE({1,2,3,4},KMB!X260,KMB!AD260,KMB!AJ260,KMB!AP260)))</f>
        <v>0</v>
      </c>
      <c r="K260">
        <f>SUMPRODUCT((MONTH(CHOOSE({1,2,3,4},KMB!U260,KMB!AA260,KMB!AG260,KMB!AM260))=11)*(CHOOSE({1,2,3,4},KMB!X260,KMB!AD260,KMB!AJ260,KMB!AP260)))</f>
        <v>0</v>
      </c>
      <c r="L260">
        <f>SUMPRODUCT((MONTH(CHOOSE({1,2,3,4},KMB!U260,KMB!AA260,KMB!AG260,KMB!AM260))=12)*(CHOOSE({1,2,3,4},KMB!X260,KMB!AD260,KMB!AJ260,KMB!AP260)))</f>
        <v>0</v>
      </c>
    </row>
    <row r="261" spans="1:12">
      <c r="A261">
        <f>SUMPRODUCT((MONTH(CHOOSE({1,2,3,4},KMB!U261,KMB!AA261,KMB!AG261,KMB!AM261))=1)*(CHOOSE({1,2,3,4},KMB!X261,KMB!AD261,KMB!AJ261,KMB!AP261)))</f>
        <v>0</v>
      </c>
      <c r="B261">
        <f>SUMPRODUCT((MONTH(CHOOSE({1,2,3,4},KMB!U261,KMB!AA261,KMB!AG261,KMB!AM261))=2)*(CHOOSE({1,2,3,4},KMB!X261,KMB!AD261,KMB!AJ261,KMB!AP261)))</f>
        <v>0</v>
      </c>
      <c r="C261">
        <f>SUMPRODUCT((MONTH(CHOOSE({1,2,3,4},KMB!U261,KMB!AA261,KMB!AG261,KMB!AM261))=3)*(CHOOSE({1,2,3,4},KMB!X261,KMB!AD261,KMB!AJ261,KMB!AP261)))</f>
        <v>0</v>
      </c>
      <c r="D261">
        <f>SUMPRODUCT((MONTH(CHOOSE({1,2,3,4},KMB!U261,KMB!AA261,KMB!AG261,KMB!AM261))=4)*(CHOOSE({1,2,3,4},KMB!X261,KMB!AD261,KMB!AJ261,KMB!AP261)))</f>
        <v>0</v>
      </c>
      <c r="E261">
        <f>SUMPRODUCT((MONTH(CHOOSE({1,2,3,4},KMB!U261,KMB!AA261,KMB!AG261,KMB!AM261))=5)*(CHOOSE({1,2,3,4},KMB!X261,KMB!AD261,KMB!AJ261,KMB!AP261)))</f>
        <v>0</v>
      </c>
      <c r="F261">
        <f>SUMPRODUCT((MONTH(CHOOSE({1,2,3,4},KMB!U261,KMB!AA261,KMB!AG261,KMB!AM261))=6)*(CHOOSE({1,2,3,4},KMB!X261,KMB!AD261,KMB!AJ261,KMB!AP261)))</f>
        <v>0</v>
      </c>
      <c r="G261">
        <f>SUMPRODUCT((MONTH(CHOOSE({1,2,3,4},KMB!U261,KMB!AA261,KMB!AG261,KMB!AM261))=7)*(CHOOSE({1,2,3,4},KMB!X261,KMB!AD261,KMB!AJ261,KMB!AP261)))</f>
        <v>0</v>
      </c>
      <c r="H261">
        <f>SUMPRODUCT((MONTH(CHOOSE({1,2,3,4},KMB!U261,KMB!AA261,KMB!AG261,KMB!AM261))=8)*(CHOOSE({1,2,3,4},KMB!X261,KMB!AD261,KMB!AJ261,KMB!AP261)))</f>
        <v>0</v>
      </c>
      <c r="I261">
        <f>SUMPRODUCT((MONTH(CHOOSE({1,2,3,4},KMB!U261,KMB!AA261,KMB!AG261,KMB!AM261))=9)*(CHOOSE({1,2,3,4},KMB!X261,KMB!AD261,KMB!AJ261,KMB!AP261)))</f>
        <v>0</v>
      </c>
      <c r="J261">
        <f>SUMPRODUCT((MONTH(CHOOSE({1,2,3,4},KMB!U261,KMB!AA261,KMB!AG261,KMB!AM261))=10)*(CHOOSE({1,2,3,4},KMB!X261,KMB!AD261,KMB!AJ261,KMB!AP261)))</f>
        <v>0</v>
      </c>
      <c r="K261">
        <f>SUMPRODUCT((MONTH(CHOOSE({1,2,3,4},KMB!U261,KMB!AA261,KMB!AG261,KMB!AM261))=11)*(CHOOSE({1,2,3,4},KMB!X261,KMB!AD261,KMB!AJ261,KMB!AP261)))</f>
        <v>0</v>
      </c>
      <c r="L261">
        <f>SUMPRODUCT((MONTH(CHOOSE({1,2,3,4},KMB!U261,KMB!AA261,KMB!AG261,KMB!AM261))=12)*(CHOOSE({1,2,3,4},KMB!X261,KMB!AD261,KMB!AJ261,KMB!AP261)))</f>
        <v>0</v>
      </c>
    </row>
    <row r="262" spans="1:12">
      <c r="A262">
        <f>SUMPRODUCT((MONTH(CHOOSE({1,2,3,4},KMB!U262,KMB!AA262,KMB!AG262,KMB!AM262))=1)*(CHOOSE({1,2,3,4},KMB!X262,KMB!AD262,KMB!AJ262,KMB!AP262)))</f>
        <v>0</v>
      </c>
      <c r="B262">
        <f>SUMPRODUCT((MONTH(CHOOSE({1,2,3,4},KMB!U262,KMB!AA262,KMB!AG262,KMB!AM262))=2)*(CHOOSE({1,2,3,4},KMB!X262,KMB!AD262,KMB!AJ262,KMB!AP262)))</f>
        <v>0</v>
      </c>
      <c r="C262">
        <f>SUMPRODUCT((MONTH(CHOOSE({1,2,3,4},KMB!U262,KMB!AA262,KMB!AG262,KMB!AM262))=3)*(CHOOSE({1,2,3,4},KMB!X262,KMB!AD262,KMB!AJ262,KMB!AP262)))</f>
        <v>0</v>
      </c>
      <c r="D262">
        <f>SUMPRODUCT((MONTH(CHOOSE({1,2,3,4},KMB!U262,KMB!AA262,KMB!AG262,KMB!AM262))=4)*(CHOOSE({1,2,3,4},KMB!X262,KMB!AD262,KMB!AJ262,KMB!AP262)))</f>
        <v>0</v>
      </c>
      <c r="E262">
        <f>SUMPRODUCT((MONTH(CHOOSE({1,2,3,4},KMB!U262,KMB!AA262,KMB!AG262,KMB!AM262))=5)*(CHOOSE({1,2,3,4},KMB!X262,KMB!AD262,KMB!AJ262,KMB!AP262)))</f>
        <v>0</v>
      </c>
      <c r="F262">
        <f>SUMPRODUCT((MONTH(CHOOSE({1,2,3,4},KMB!U262,KMB!AA262,KMB!AG262,KMB!AM262))=6)*(CHOOSE({1,2,3,4},KMB!X262,KMB!AD262,KMB!AJ262,KMB!AP262)))</f>
        <v>0</v>
      </c>
      <c r="G262">
        <f>SUMPRODUCT((MONTH(CHOOSE({1,2,3,4},KMB!U262,KMB!AA262,KMB!AG262,KMB!AM262))=7)*(CHOOSE({1,2,3,4},KMB!X262,KMB!AD262,KMB!AJ262,KMB!AP262)))</f>
        <v>0</v>
      </c>
      <c r="H262">
        <f>SUMPRODUCT((MONTH(CHOOSE({1,2,3,4},KMB!U262,KMB!AA262,KMB!AG262,KMB!AM262))=8)*(CHOOSE({1,2,3,4},KMB!X262,KMB!AD262,KMB!AJ262,KMB!AP262)))</f>
        <v>0</v>
      </c>
      <c r="I262">
        <f>SUMPRODUCT((MONTH(CHOOSE({1,2,3,4},KMB!U262,KMB!AA262,KMB!AG262,KMB!AM262))=9)*(CHOOSE({1,2,3,4},KMB!X262,KMB!AD262,KMB!AJ262,KMB!AP262)))</f>
        <v>0</v>
      </c>
      <c r="J262">
        <f>SUMPRODUCT((MONTH(CHOOSE({1,2,3,4},KMB!U262,KMB!AA262,KMB!AG262,KMB!AM262))=10)*(CHOOSE({1,2,3,4},KMB!X262,KMB!AD262,KMB!AJ262,KMB!AP262)))</f>
        <v>0</v>
      </c>
      <c r="K262">
        <f>SUMPRODUCT((MONTH(CHOOSE({1,2,3,4},KMB!U262,KMB!AA262,KMB!AG262,KMB!AM262))=11)*(CHOOSE({1,2,3,4},KMB!X262,KMB!AD262,KMB!AJ262,KMB!AP262)))</f>
        <v>0</v>
      </c>
      <c r="L262">
        <f>SUMPRODUCT((MONTH(CHOOSE({1,2,3,4},KMB!U262,KMB!AA262,KMB!AG262,KMB!AM262))=12)*(CHOOSE({1,2,3,4},KMB!X262,KMB!AD262,KMB!AJ262,KMB!AP262)))</f>
        <v>0</v>
      </c>
    </row>
    <row r="263" spans="1:12">
      <c r="A263">
        <f>SUMPRODUCT((MONTH(CHOOSE({1,2,3,4},KMB!U263,KMB!AA263,KMB!AG263,KMB!AM263))=1)*(CHOOSE({1,2,3,4},KMB!X263,KMB!AD263,KMB!AJ263,KMB!AP263)))</f>
        <v>0</v>
      </c>
      <c r="B263">
        <f>SUMPRODUCT((MONTH(CHOOSE({1,2,3,4},KMB!U263,KMB!AA263,KMB!AG263,KMB!AM263))=2)*(CHOOSE({1,2,3,4},KMB!X263,KMB!AD263,KMB!AJ263,KMB!AP263)))</f>
        <v>0</v>
      </c>
      <c r="C263">
        <f>SUMPRODUCT((MONTH(CHOOSE({1,2,3,4},KMB!U263,KMB!AA263,KMB!AG263,KMB!AM263))=3)*(CHOOSE({1,2,3,4},KMB!X263,KMB!AD263,KMB!AJ263,KMB!AP263)))</f>
        <v>0</v>
      </c>
      <c r="D263">
        <f>SUMPRODUCT((MONTH(CHOOSE({1,2,3,4},KMB!U263,KMB!AA263,KMB!AG263,KMB!AM263))=4)*(CHOOSE({1,2,3,4},KMB!X263,KMB!AD263,KMB!AJ263,KMB!AP263)))</f>
        <v>0</v>
      </c>
      <c r="E263">
        <f>SUMPRODUCT((MONTH(CHOOSE({1,2,3,4},KMB!U263,KMB!AA263,KMB!AG263,KMB!AM263))=5)*(CHOOSE({1,2,3,4},KMB!X263,KMB!AD263,KMB!AJ263,KMB!AP263)))</f>
        <v>0</v>
      </c>
      <c r="F263">
        <f>SUMPRODUCT((MONTH(CHOOSE({1,2,3,4},KMB!U263,KMB!AA263,KMB!AG263,KMB!AM263))=6)*(CHOOSE({1,2,3,4},KMB!X263,KMB!AD263,KMB!AJ263,KMB!AP263)))</f>
        <v>0</v>
      </c>
      <c r="G263">
        <f>SUMPRODUCT((MONTH(CHOOSE({1,2,3,4},KMB!U263,KMB!AA263,KMB!AG263,KMB!AM263))=7)*(CHOOSE({1,2,3,4},KMB!X263,KMB!AD263,KMB!AJ263,KMB!AP263)))</f>
        <v>0</v>
      </c>
      <c r="H263">
        <f>SUMPRODUCT((MONTH(CHOOSE({1,2,3,4},KMB!U263,KMB!AA263,KMB!AG263,KMB!AM263))=8)*(CHOOSE({1,2,3,4},KMB!X263,KMB!AD263,KMB!AJ263,KMB!AP263)))</f>
        <v>0</v>
      </c>
      <c r="I263">
        <f>SUMPRODUCT((MONTH(CHOOSE({1,2,3,4},KMB!U263,KMB!AA263,KMB!AG263,KMB!AM263))=9)*(CHOOSE({1,2,3,4},KMB!X263,KMB!AD263,KMB!AJ263,KMB!AP263)))</f>
        <v>0</v>
      </c>
      <c r="J263">
        <f>SUMPRODUCT((MONTH(CHOOSE({1,2,3,4},KMB!U263,KMB!AA263,KMB!AG263,KMB!AM263))=10)*(CHOOSE({1,2,3,4},KMB!X263,KMB!AD263,KMB!AJ263,KMB!AP263)))</f>
        <v>0</v>
      </c>
      <c r="K263">
        <f>SUMPRODUCT((MONTH(CHOOSE({1,2,3,4},KMB!U263,KMB!AA263,KMB!AG263,KMB!AM263))=11)*(CHOOSE({1,2,3,4},KMB!X263,KMB!AD263,KMB!AJ263,KMB!AP263)))</f>
        <v>0</v>
      </c>
      <c r="L263">
        <f>SUMPRODUCT((MONTH(CHOOSE({1,2,3,4},KMB!U263,KMB!AA263,KMB!AG263,KMB!AM263))=12)*(CHOOSE({1,2,3,4},KMB!X263,KMB!AD263,KMB!AJ263,KMB!AP263)))</f>
        <v>0</v>
      </c>
    </row>
    <row r="264" spans="1:12">
      <c r="A264">
        <f>SUMPRODUCT((MONTH(CHOOSE({1,2,3,4},KMB!U264,KMB!AA264,KMB!AG264,KMB!AM264))=1)*(CHOOSE({1,2,3,4},KMB!X264,KMB!AD264,KMB!AJ264,KMB!AP264)))</f>
        <v>0</v>
      </c>
      <c r="B264">
        <f>SUMPRODUCT((MONTH(CHOOSE({1,2,3,4},KMB!U264,KMB!AA264,KMB!AG264,KMB!AM264))=2)*(CHOOSE({1,2,3,4},KMB!X264,KMB!AD264,KMB!AJ264,KMB!AP264)))</f>
        <v>0</v>
      </c>
      <c r="C264">
        <f>SUMPRODUCT((MONTH(CHOOSE({1,2,3,4},KMB!U264,KMB!AA264,KMB!AG264,KMB!AM264))=3)*(CHOOSE({1,2,3,4},KMB!X264,KMB!AD264,KMB!AJ264,KMB!AP264)))</f>
        <v>0</v>
      </c>
      <c r="D264">
        <f>SUMPRODUCT((MONTH(CHOOSE({1,2,3,4},KMB!U264,KMB!AA264,KMB!AG264,KMB!AM264))=4)*(CHOOSE({1,2,3,4},KMB!X264,KMB!AD264,KMB!AJ264,KMB!AP264)))</f>
        <v>0</v>
      </c>
      <c r="E264">
        <f>SUMPRODUCT((MONTH(CHOOSE({1,2,3,4},KMB!U264,KMB!AA264,KMB!AG264,KMB!AM264))=5)*(CHOOSE({1,2,3,4},KMB!X264,KMB!AD264,KMB!AJ264,KMB!AP264)))</f>
        <v>0</v>
      </c>
      <c r="F264">
        <f>SUMPRODUCT((MONTH(CHOOSE({1,2,3,4},KMB!U264,KMB!AA264,KMB!AG264,KMB!AM264))=6)*(CHOOSE({1,2,3,4},KMB!X264,KMB!AD264,KMB!AJ264,KMB!AP264)))</f>
        <v>0</v>
      </c>
      <c r="G264">
        <f>SUMPRODUCT((MONTH(CHOOSE({1,2,3,4},KMB!U264,KMB!AA264,KMB!AG264,KMB!AM264))=7)*(CHOOSE({1,2,3,4},KMB!X264,KMB!AD264,KMB!AJ264,KMB!AP264)))</f>
        <v>0</v>
      </c>
      <c r="H264">
        <f>SUMPRODUCT((MONTH(CHOOSE({1,2,3,4},KMB!U264,KMB!AA264,KMB!AG264,KMB!AM264))=8)*(CHOOSE({1,2,3,4},KMB!X264,KMB!AD264,KMB!AJ264,KMB!AP264)))</f>
        <v>0</v>
      </c>
      <c r="I264">
        <f>SUMPRODUCT((MONTH(CHOOSE({1,2,3,4},KMB!U264,KMB!AA264,KMB!AG264,KMB!AM264))=9)*(CHOOSE({1,2,3,4},KMB!X264,KMB!AD264,KMB!AJ264,KMB!AP264)))</f>
        <v>0</v>
      </c>
      <c r="J264">
        <f>SUMPRODUCT((MONTH(CHOOSE({1,2,3,4},KMB!U264,KMB!AA264,KMB!AG264,KMB!AM264))=10)*(CHOOSE({1,2,3,4},KMB!X264,KMB!AD264,KMB!AJ264,KMB!AP264)))</f>
        <v>0</v>
      </c>
      <c r="K264">
        <f>SUMPRODUCT((MONTH(CHOOSE({1,2,3,4},KMB!U264,KMB!AA264,KMB!AG264,KMB!AM264))=11)*(CHOOSE({1,2,3,4},KMB!X264,KMB!AD264,KMB!AJ264,KMB!AP264)))</f>
        <v>0</v>
      </c>
      <c r="L264">
        <f>SUMPRODUCT((MONTH(CHOOSE({1,2,3,4},KMB!U264,KMB!AA264,KMB!AG264,KMB!AM264))=12)*(CHOOSE({1,2,3,4},KMB!X264,KMB!AD264,KMB!AJ264,KMB!AP264)))</f>
        <v>0</v>
      </c>
    </row>
    <row r="265" spans="1:12">
      <c r="A265">
        <f>SUMPRODUCT((MONTH(CHOOSE({1,2,3,4},KMB!U265,KMB!AA265,KMB!AG265,KMB!AM265))=1)*(CHOOSE({1,2,3,4},KMB!X265,KMB!AD265,KMB!AJ265,KMB!AP265)))</f>
        <v>0</v>
      </c>
      <c r="B265">
        <f>SUMPRODUCT((MONTH(CHOOSE({1,2,3,4},KMB!U265,KMB!AA265,KMB!AG265,KMB!AM265))=2)*(CHOOSE({1,2,3,4},KMB!X265,KMB!AD265,KMB!AJ265,KMB!AP265)))</f>
        <v>0</v>
      </c>
      <c r="C265">
        <f>SUMPRODUCT((MONTH(CHOOSE({1,2,3,4},KMB!U265,KMB!AA265,KMB!AG265,KMB!AM265))=3)*(CHOOSE({1,2,3,4},KMB!X265,KMB!AD265,KMB!AJ265,KMB!AP265)))</f>
        <v>0</v>
      </c>
      <c r="D265">
        <f>SUMPRODUCT((MONTH(CHOOSE({1,2,3,4},KMB!U265,KMB!AA265,KMB!AG265,KMB!AM265))=4)*(CHOOSE({1,2,3,4},KMB!X265,KMB!AD265,KMB!AJ265,KMB!AP265)))</f>
        <v>0</v>
      </c>
      <c r="E265">
        <f>SUMPRODUCT((MONTH(CHOOSE({1,2,3,4},KMB!U265,KMB!AA265,KMB!AG265,KMB!AM265))=5)*(CHOOSE({1,2,3,4},KMB!X265,KMB!AD265,KMB!AJ265,KMB!AP265)))</f>
        <v>0</v>
      </c>
      <c r="F265">
        <f>SUMPRODUCT((MONTH(CHOOSE({1,2,3,4},KMB!U265,KMB!AA265,KMB!AG265,KMB!AM265))=6)*(CHOOSE({1,2,3,4},KMB!X265,KMB!AD265,KMB!AJ265,KMB!AP265)))</f>
        <v>0</v>
      </c>
      <c r="G265">
        <f>SUMPRODUCT((MONTH(CHOOSE({1,2,3,4},KMB!U265,KMB!AA265,KMB!AG265,KMB!AM265))=7)*(CHOOSE({1,2,3,4},KMB!X265,KMB!AD265,KMB!AJ265,KMB!AP265)))</f>
        <v>0</v>
      </c>
      <c r="H265">
        <f>SUMPRODUCT((MONTH(CHOOSE({1,2,3,4},KMB!U265,KMB!AA265,KMB!AG265,KMB!AM265))=8)*(CHOOSE({1,2,3,4},KMB!X265,KMB!AD265,KMB!AJ265,KMB!AP265)))</f>
        <v>0</v>
      </c>
      <c r="I265">
        <f>SUMPRODUCT((MONTH(CHOOSE({1,2,3,4},KMB!U265,KMB!AA265,KMB!AG265,KMB!AM265))=9)*(CHOOSE({1,2,3,4},KMB!X265,KMB!AD265,KMB!AJ265,KMB!AP265)))</f>
        <v>0</v>
      </c>
      <c r="J265">
        <f>SUMPRODUCT((MONTH(CHOOSE({1,2,3,4},KMB!U265,KMB!AA265,KMB!AG265,KMB!AM265))=10)*(CHOOSE({1,2,3,4},KMB!X265,KMB!AD265,KMB!AJ265,KMB!AP265)))</f>
        <v>0</v>
      </c>
      <c r="K265">
        <f>SUMPRODUCT((MONTH(CHOOSE({1,2,3,4},KMB!U265,KMB!AA265,KMB!AG265,KMB!AM265))=11)*(CHOOSE({1,2,3,4},KMB!X265,KMB!AD265,KMB!AJ265,KMB!AP265)))</f>
        <v>0</v>
      </c>
      <c r="L265">
        <f>SUMPRODUCT((MONTH(CHOOSE({1,2,3,4},KMB!U265,KMB!AA265,KMB!AG265,KMB!AM265))=12)*(CHOOSE({1,2,3,4},KMB!X265,KMB!AD265,KMB!AJ265,KMB!AP265)))</f>
        <v>0</v>
      </c>
    </row>
    <row r="266" spans="1:12">
      <c r="A266">
        <f>SUMPRODUCT((MONTH(CHOOSE({1,2,3,4},KMB!U266,KMB!AA266,KMB!AG266,KMB!AM266))=1)*(CHOOSE({1,2,3,4},KMB!X266,KMB!AD266,KMB!AJ266,KMB!AP266)))</f>
        <v>0</v>
      </c>
      <c r="B266">
        <f>SUMPRODUCT((MONTH(CHOOSE({1,2,3,4},KMB!U266,KMB!AA266,KMB!AG266,KMB!AM266))=2)*(CHOOSE({1,2,3,4},KMB!X266,KMB!AD266,KMB!AJ266,KMB!AP266)))</f>
        <v>0</v>
      </c>
      <c r="C266">
        <f>SUMPRODUCT((MONTH(CHOOSE({1,2,3,4},KMB!U266,KMB!AA266,KMB!AG266,KMB!AM266))=3)*(CHOOSE({1,2,3,4},KMB!X266,KMB!AD266,KMB!AJ266,KMB!AP266)))</f>
        <v>0</v>
      </c>
      <c r="D266">
        <f>SUMPRODUCT((MONTH(CHOOSE({1,2,3,4},KMB!U266,KMB!AA266,KMB!AG266,KMB!AM266))=4)*(CHOOSE({1,2,3,4},KMB!X266,KMB!AD266,KMB!AJ266,KMB!AP266)))</f>
        <v>0</v>
      </c>
      <c r="E266">
        <f>SUMPRODUCT((MONTH(CHOOSE({1,2,3,4},KMB!U266,KMB!AA266,KMB!AG266,KMB!AM266))=5)*(CHOOSE({1,2,3,4},KMB!X266,KMB!AD266,KMB!AJ266,KMB!AP266)))</f>
        <v>0</v>
      </c>
      <c r="F266">
        <f>SUMPRODUCT((MONTH(CHOOSE({1,2,3,4},KMB!U266,KMB!AA266,KMB!AG266,KMB!AM266))=6)*(CHOOSE({1,2,3,4},KMB!X266,KMB!AD266,KMB!AJ266,KMB!AP266)))</f>
        <v>0</v>
      </c>
      <c r="G266">
        <f>SUMPRODUCT((MONTH(CHOOSE({1,2,3,4},KMB!U266,KMB!AA266,KMB!AG266,KMB!AM266))=7)*(CHOOSE({1,2,3,4},KMB!X266,KMB!AD266,KMB!AJ266,KMB!AP266)))</f>
        <v>0</v>
      </c>
      <c r="H266">
        <f>SUMPRODUCT((MONTH(CHOOSE({1,2,3,4},KMB!U266,KMB!AA266,KMB!AG266,KMB!AM266))=8)*(CHOOSE({1,2,3,4},KMB!X266,KMB!AD266,KMB!AJ266,KMB!AP266)))</f>
        <v>0</v>
      </c>
      <c r="I266">
        <f>SUMPRODUCT((MONTH(CHOOSE({1,2,3,4},KMB!U266,KMB!AA266,KMB!AG266,KMB!AM266))=9)*(CHOOSE({1,2,3,4},KMB!X266,KMB!AD266,KMB!AJ266,KMB!AP266)))</f>
        <v>0</v>
      </c>
      <c r="J266">
        <f>SUMPRODUCT((MONTH(CHOOSE({1,2,3,4},KMB!U266,KMB!AA266,KMB!AG266,KMB!AM266))=10)*(CHOOSE({1,2,3,4},KMB!X266,KMB!AD266,KMB!AJ266,KMB!AP266)))</f>
        <v>0</v>
      </c>
      <c r="K266">
        <f>SUMPRODUCT((MONTH(CHOOSE({1,2,3,4},KMB!U266,KMB!AA266,KMB!AG266,KMB!AM266))=11)*(CHOOSE({1,2,3,4},KMB!X266,KMB!AD266,KMB!AJ266,KMB!AP266)))</f>
        <v>0</v>
      </c>
      <c r="L266">
        <f>SUMPRODUCT((MONTH(CHOOSE({1,2,3,4},KMB!U266,KMB!AA266,KMB!AG266,KMB!AM266))=12)*(CHOOSE({1,2,3,4},KMB!X266,KMB!AD266,KMB!AJ266,KMB!AP266)))</f>
        <v>0</v>
      </c>
    </row>
    <row r="267" spans="1:12">
      <c r="A267">
        <f>SUMPRODUCT((MONTH(CHOOSE({1,2,3,4},KMB!U267,KMB!AA267,KMB!AG267,KMB!AM267))=1)*(CHOOSE({1,2,3,4},KMB!X267,KMB!AD267,KMB!AJ267,KMB!AP267)))</f>
        <v>0</v>
      </c>
      <c r="B267">
        <f>SUMPRODUCT((MONTH(CHOOSE({1,2,3,4},KMB!U267,KMB!AA267,KMB!AG267,KMB!AM267))=2)*(CHOOSE({1,2,3,4},KMB!X267,KMB!AD267,KMB!AJ267,KMB!AP267)))</f>
        <v>0</v>
      </c>
      <c r="C267">
        <f>SUMPRODUCT((MONTH(CHOOSE({1,2,3,4},KMB!U267,KMB!AA267,KMB!AG267,KMB!AM267))=3)*(CHOOSE({1,2,3,4},KMB!X267,KMB!AD267,KMB!AJ267,KMB!AP267)))</f>
        <v>0</v>
      </c>
      <c r="D267">
        <f>SUMPRODUCT((MONTH(CHOOSE({1,2,3,4},KMB!U267,KMB!AA267,KMB!AG267,KMB!AM267))=4)*(CHOOSE({1,2,3,4},KMB!X267,KMB!AD267,KMB!AJ267,KMB!AP267)))</f>
        <v>0</v>
      </c>
      <c r="E267">
        <f>SUMPRODUCT((MONTH(CHOOSE({1,2,3,4},KMB!U267,KMB!AA267,KMB!AG267,KMB!AM267))=5)*(CHOOSE({1,2,3,4},KMB!X267,KMB!AD267,KMB!AJ267,KMB!AP267)))</f>
        <v>0</v>
      </c>
      <c r="F267">
        <f>SUMPRODUCT((MONTH(CHOOSE({1,2,3,4},KMB!U267,KMB!AA267,KMB!AG267,KMB!AM267))=6)*(CHOOSE({1,2,3,4},KMB!X267,KMB!AD267,KMB!AJ267,KMB!AP267)))</f>
        <v>0</v>
      </c>
      <c r="G267">
        <f>SUMPRODUCT((MONTH(CHOOSE({1,2,3,4},KMB!U267,KMB!AA267,KMB!AG267,KMB!AM267))=7)*(CHOOSE({1,2,3,4},KMB!X267,KMB!AD267,KMB!AJ267,KMB!AP267)))</f>
        <v>0</v>
      </c>
      <c r="H267">
        <f>SUMPRODUCT((MONTH(CHOOSE({1,2,3,4},KMB!U267,KMB!AA267,KMB!AG267,KMB!AM267))=8)*(CHOOSE({1,2,3,4},KMB!X267,KMB!AD267,KMB!AJ267,KMB!AP267)))</f>
        <v>0</v>
      </c>
      <c r="I267">
        <f>SUMPRODUCT((MONTH(CHOOSE({1,2,3,4},KMB!U267,KMB!AA267,KMB!AG267,KMB!AM267))=9)*(CHOOSE({1,2,3,4},KMB!X267,KMB!AD267,KMB!AJ267,KMB!AP267)))</f>
        <v>0</v>
      </c>
      <c r="J267">
        <f>SUMPRODUCT((MONTH(CHOOSE({1,2,3,4},KMB!U267,KMB!AA267,KMB!AG267,KMB!AM267))=10)*(CHOOSE({1,2,3,4},KMB!X267,KMB!AD267,KMB!AJ267,KMB!AP267)))</f>
        <v>0</v>
      </c>
      <c r="K267">
        <f>SUMPRODUCT((MONTH(CHOOSE({1,2,3,4},KMB!U267,KMB!AA267,KMB!AG267,KMB!AM267))=11)*(CHOOSE({1,2,3,4},KMB!X267,KMB!AD267,KMB!AJ267,KMB!AP267)))</f>
        <v>0</v>
      </c>
      <c r="L267">
        <f>SUMPRODUCT((MONTH(CHOOSE({1,2,3,4},KMB!U267,KMB!AA267,KMB!AG267,KMB!AM267))=12)*(CHOOSE({1,2,3,4},KMB!X267,KMB!AD267,KMB!AJ267,KMB!AP267)))</f>
        <v>0</v>
      </c>
    </row>
    <row r="268" spans="1:12">
      <c r="A268">
        <f>SUMPRODUCT((MONTH(CHOOSE({1,2,3,4},KMB!U268,KMB!AA268,KMB!AG268,KMB!AM268))=1)*(CHOOSE({1,2,3,4},KMB!X268,KMB!AD268,KMB!AJ268,KMB!AP268)))</f>
        <v>0</v>
      </c>
      <c r="B268">
        <f>SUMPRODUCT((MONTH(CHOOSE({1,2,3,4},KMB!U268,KMB!AA268,KMB!AG268,KMB!AM268))=2)*(CHOOSE({1,2,3,4},KMB!X268,KMB!AD268,KMB!AJ268,KMB!AP268)))</f>
        <v>0</v>
      </c>
      <c r="C268">
        <f>SUMPRODUCT((MONTH(CHOOSE({1,2,3,4},KMB!U268,KMB!AA268,KMB!AG268,KMB!AM268))=3)*(CHOOSE({1,2,3,4},KMB!X268,KMB!AD268,KMB!AJ268,KMB!AP268)))</f>
        <v>0</v>
      </c>
      <c r="D268">
        <f>SUMPRODUCT((MONTH(CHOOSE({1,2,3,4},KMB!U268,KMB!AA268,KMB!AG268,KMB!AM268))=4)*(CHOOSE({1,2,3,4},KMB!X268,KMB!AD268,KMB!AJ268,KMB!AP268)))</f>
        <v>0</v>
      </c>
      <c r="E268">
        <f>SUMPRODUCT((MONTH(CHOOSE({1,2,3,4},KMB!U268,KMB!AA268,KMB!AG268,KMB!AM268))=5)*(CHOOSE({1,2,3,4},KMB!X268,KMB!AD268,KMB!AJ268,KMB!AP268)))</f>
        <v>0</v>
      </c>
      <c r="F268">
        <f>SUMPRODUCT((MONTH(CHOOSE({1,2,3,4},KMB!U268,KMB!AA268,KMB!AG268,KMB!AM268))=6)*(CHOOSE({1,2,3,4},KMB!X268,KMB!AD268,KMB!AJ268,KMB!AP268)))</f>
        <v>0</v>
      </c>
      <c r="G268">
        <f>SUMPRODUCT((MONTH(CHOOSE({1,2,3,4},KMB!U268,KMB!AA268,KMB!AG268,KMB!AM268))=7)*(CHOOSE({1,2,3,4},KMB!X268,KMB!AD268,KMB!AJ268,KMB!AP268)))</f>
        <v>0</v>
      </c>
      <c r="H268">
        <f>SUMPRODUCT((MONTH(CHOOSE({1,2,3,4},KMB!U268,KMB!AA268,KMB!AG268,KMB!AM268))=8)*(CHOOSE({1,2,3,4},KMB!X268,KMB!AD268,KMB!AJ268,KMB!AP268)))</f>
        <v>0</v>
      </c>
      <c r="I268">
        <f>SUMPRODUCT((MONTH(CHOOSE({1,2,3,4},KMB!U268,KMB!AA268,KMB!AG268,KMB!AM268))=9)*(CHOOSE({1,2,3,4},KMB!X268,KMB!AD268,KMB!AJ268,KMB!AP268)))</f>
        <v>0</v>
      </c>
      <c r="J268">
        <f>SUMPRODUCT((MONTH(CHOOSE({1,2,3,4},KMB!U268,KMB!AA268,KMB!AG268,KMB!AM268))=10)*(CHOOSE({1,2,3,4},KMB!X268,KMB!AD268,KMB!AJ268,KMB!AP268)))</f>
        <v>0</v>
      </c>
      <c r="K268">
        <f>SUMPRODUCT((MONTH(CHOOSE({1,2,3,4},KMB!U268,KMB!AA268,KMB!AG268,KMB!AM268))=11)*(CHOOSE({1,2,3,4},KMB!X268,KMB!AD268,KMB!AJ268,KMB!AP268)))</f>
        <v>0</v>
      </c>
      <c r="L268">
        <f>SUMPRODUCT((MONTH(CHOOSE({1,2,3,4},KMB!U268,KMB!AA268,KMB!AG268,KMB!AM268))=12)*(CHOOSE({1,2,3,4},KMB!X268,KMB!AD268,KMB!AJ268,KMB!AP268)))</f>
        <v>0</v>
      </c>
    </row>
    <row r="269" spans="1:12">
      <c r="A269">
        <f>SUMPRODUCT((MONTH(CHOOSE({1,2,3,4},KMB!U269,KMB!AA269,KMB!AG269,KMB!AM269))=1)*(CHOOSE({1,2,3,4},KMB!X269,KMB!AD269,KMB!AJ269,KMB!AP269)))</f>
        <v>0</v>
      </c>
      <c r="B269">
        <f>SUMPRODUCT((MONTH(CHOOSE({1,2,3,4},KMB!U269,KMB!AA269,KMB!AG269,KMB!AM269))=2)*(CHOOSE({1,2,3,4},KMB!X269,KMB!AD269,KMB!AJ269,KMB!AP269)))</f>
        <v>0</v>
      </c>
      <c r="C269">
        <f>SUMPRODUCT((MONTH(CHOOSE({1,2,3,4},KMB!U269,KMB!AA269,KMB!AG269,KMB!AM269))=3)*(CHOOSE({1,2,3,4},KMB!X269,KMB!AD269,KMB!AJ269,KMB!AP269)))</f>
        <v>0</v>
      </c>
      <c r="D269">
        <f>SUMPRODUCT((MONTH(CHOOSE({1,2,3,4},KMB!U269,KMB!AA269,KMB!AG269,KMB!AM269))=4)*(CHOOSE({1,2,3,4},KMB!X269,KMB!AD269,KMB!AJ269,KMB!AP269)))</f>
        <v>0</v>
      </c>
      <c r="E269">
        <f>SUMPRODUCT((MONTH(CHOOSE({1,2,3,4},KMB!U269,KMB!AA269,KMB!AG269,KMB!AM269))=5)*(CHOOSE({1,2,3,4},KMB!X269,KMB!AD269,KMB!AJ269,KMB!AP269)))</f>
        <v>0</v>
      </c>
      <c r="F269">
        <f>SUMPRODUCT((MONTH(CHOOSE({1,2,3,4},KMB!U269,KMB!AA269,KMB!AG269,KMB!AM269))=6)*(CHOOSE({1,2,3,4},KMB!X269,KMB!AD269,KMB!AJ269,KMB!AP269)))</f>
        <v>0</v>
      </c>
      <c r="G269">
        <f>SUMPRODUCT((MONTH(CHOOSE({1,2,3,4},KMB!U269,KMB!AA269,KMB!AG269,KMB!AM269))=7)*(CHOOSE({1,2,3,4},KMB!X269,KMB!AD269,KMB!AJ269,KMB!AP269)))</f>
        <v>0</v>
      </c>
      <c r="H269">
        <f>SUMPRODUCT((MONTH(CHOOSE({1,2,3,4},KMB!U269,KMB!AA269,KMB!AG269,KMB!AM269))=8)*(CHOOSE({1,2,3,4},KMB!X269,KMB!AD269,KMB!AJ269,KMB!AP269)))</f>
        <v>0</v>
      </c>
      <c r="I269">
        <f>SUMPRODUCT((MONTH(CHOOSE({1,2,3,4},KMB!U269,KMB!AA269,KMB!AG269,KMB!AM269))=9)*(CHOOSE({1,2,3,4},KMB!X269,KMB!AD269,KMB!AJ269,KMB!AP269)))</f>
        <v>0</v>
      </c>
      <c r="J269">
        <f>SUMPRODUCT((MONTH(CHOOSE({1,2,3,4},KMB!U269,KMB!AA269,KMB!AG269,KMB!AM269))=10)*(CHOOSE({1,2,3,4},KMB!X269,KMB!AD269,KMB!AJ269,KMB!AP269)))</f>
        <v>0</v>
      </c>
      <c r="K269">
        <f>SUMPRODUCT((MONTH(CHOOSE({1,2,3,4},KMB!U269,KMB!AA269,KMB!AG269,KMB!AM269))=11)*(CHOOSE({1,2,3,4},KMB!X269,KMB!AD269,KMB!AJ269,KMB!AP269)))</f>
        <v>0</v>
      </c>
      <c r="L269">
        <f>SUMPRODUCT((MONTH(CHOOSE({1,2,3,4},KMB!U269,KMB!AA269,KMB!AG269,KMB!AM269))=12)*(CHOOSE({1,2,3,4},KMB!X269,KMB!AD269,KMB!AJ269,KMB!AP269)))</f>
        <v>0</v>
      </c>
    </row>
    <row r="270" spans="1:12">
      <c r="A270">
        <f>SUMPRODUCT((MONTH(CHOOSE({1,2,3,4},KMB!U270,KMB!AA270,KMB!AG270,KMB!AM270))=1)*(CHOOSE({1,2,3,4},KMB!X270,KMB!AD270,KMB!AJ270,KMB!AP270)))</f>
        <v>0</v>
      </c>
      <c r="B270">
        <f>SUMPRODUCT((MONTH(CHOOSE({1,2,3,4},KMB!U270,KMB!AA270,KMB!AG270,KMB!AM270))=2)*(CHOOSE({1,2,3,4},KMB!X270,KMB!AD270,KMB!AJ270,KMB!AP270)))</f>
        <v>0</v>
      </c>
      <c r="C270">
        <f>SUMPRODUCT((MONTH(CHOOSE({1,2,3,4},KMB!U270,KMB!AA270,KMB!AG270,KMB!AM270))=3)*(CHOOSE({1,2,3,4},KMB!X270,KMB!AD270,KMB!AJ270,KMB!AP270)))</f>
        <v>0</v>
      </c>
      <c r="D270">
        <f>SUMPRODUCT((MONTH(CHOOSE({1,2,3,4},KMB!U270,KMB!AA270,KMB!AG270,KMB!AM270))=4)*(CHOOSE({1,2,3,4},KMB!X270,KMB!AD270,KMB!AJ270,KMB!AP270)))</f>
        <v>0</v>
      </c>
      <c r="E270">
        <f>SUMPRODUCT((MONTH(CHOOSE({1,2,3,4},KMB!U270,KMB!AA270,KMB!AG270,KMB!AM270))=5)*(CHOOSE({1,2,3,4},KMB!X270,KMB!AD270,KMB!AJ270,KMB!AP270)))</f>
        <v>0</v>
      </c>
      <c r="F270">
        <f>SUMPRODUCT((MONTH(CHOOSE({1,2,3,4},KMB!U270,KMB!AA270,KMB!AG270,KMB!AM270))=6)*(CHOOSE({1,2,3,4},KMB!X270,KMB!AD270,KMB!AJ270,KMB!AP270)))</f>
        <v>0</v>
      </c>
      <c r="G270">
        <f>SUMPRODUCT((MONTH(CHOOSE({1,2,3,4},KMB!U270,KMB!AA270,KMB!AG270,KMB!AM270))=7)*(CHOOSE({1,2,3,4},KMB!X270,KMB!AD270,KMB!AJ270,KMB!AP270)))</f>
        <v>0</v>
      </c>
      <c r="H270">
        <f>SUMPRODUCT((MONTH(CHOOSE({1,2,3,4},KMB!U270,KMB!AA270,KMB!AG270,KMB!AM270))=8)*(CHOOSE({1,2,3,4},KMB!X270,KMB!AD270,KMB!AJ270,KMB!AP270)))</f>
        <v>0</v>
      </c>
      <c r="I270">
        <f>SUMPRODUCT((MONTH(CHOOSE({1,2,3,4},KMB!U270,KMB!AA270,KMB!AG270,KMB!AM270))=9)*(CHOOSE({1,2,3,4},KMB!X270,KMB!AD270,KMB!AJ270,KMB!AP270)))</f>
        <v>0</v>
      </c>
      <c r="J270">
        <f>SUMPRODUCT((MONTH(CHOOSE({1,2,3,4},KMB!U270,KMB!AA270,KMB!AG270,KMB!AM270))=10)*(CHOOSE({1,2,3,4},KMB!X270,KMB!AD270,KMB!AJ270,KMB!AP270)))</f>
        <v>0</v>
      </c>
      <c r="K270">
        <f>SUMPRODUCT((MONTH(CHOOSE({1,2,3,4},KMB!U270,KMB!AA270,KMB!AG270,KMB!AM270))=11)*(CHOOSE({1,2,3,4},KMB!X270,KMB!AD270,KMB!AJ270,KMB!AP270)))</f>
        <v>0</v>
      </c>
      <c r="L270">
        <f>SUMPRODUCT((MONTH(CHOOSE({1,2,3,4},KMB!U270,KMB!AA270,KMB!AG270,KMB!AM270))=12)*(CHOOSE({1,2,3,4},KMB!X270,KMB!AD270,KMB!AJ270,KMB!AP270)))</f>
        <v>0</v>
      </c>
    </row>
    <row r="271" spans="1:12">
      <c r="A271">
        <f>SUMPRODUCT((MONTH(CHOOSE({1,2,3,4},KMB!U271,KMB!AA271,KMB!AG271,KMB!AM271))=1)*(CHOOSE({1,2,3,4},KMB!X271,KMB!AD271,KMB!AJ271,KMB!AP271)))</f>
        <v>0</v>
      </c>
      <c r="B271">
        <f>SUMPRODUCT((MONTH(CHOOSE({1,2,3,4},KMB!U271,KMB!AA271,KMB!AG271,KMB!AM271))=2)*(CHOOSE({1,2,3,4},KMB!X271,KMB!AD271,KMB!AJ271,KMB!AP271)))</f>
        <v>0</v>
      </c>
      <c r="C271">
        <f>SUMPRODUCT((MONTH(CHOOSE({1,2,3,4},KMB!U271,KMB!AA271,KMB!AG271,KMB!AM271))=3)*(CHOOSE({1,2,3,4},KMB!X271,KMB!AD271,KMB!AJ271,KMB!AP271)))</f>
        <v>0</v>
      </c>
      <c r="D271">
        <f>SUMPRODUCT((MONTH(CHOOSE({1,2,3,4},KMB!U271,KMB!AA271,KMB!AG271,KMB!AM271))=4)*(CHOOSE({1,2,3,4},KMB!X271,KMB!AD271,KMB!AJ271,KMB!AP271)))</f>
        <v>0</v>
      </c>
      <c r="E271">
        <f>SUMPRODUCT((MONTH(CHOOSE({1,2,3,4},KMB!U271,KMB!AA271,KMB!AG271,KMB!AM271))=5)*(CHOOSE({1,2,3,4},KMB!X271,KMB!AD271,KMB!AJ271,KMB!AP271)))</f>
        <v>0</v>
      </c>
      <c r="F271">
        <f>SUMPRODUCT((MONTH(CHOOSE({1,2,3,4},KMB!U271,KMB!AA271,KMB!AG271,KMB!AM271))=6)*(CHOOSE({1,2,3,4},KMB!X271,KMB!AD271,KMB!AJ271,KMB!AP271)))</f>
        <v>0</v>
      </c>
      <c r="G271">
        <f>SUMPRODUCT((MONTH(CHOOSE({1,2,3,4},KMB!U271,KMB!AA271,KMB!AG271,KMB!AM271))=7)*(CHOOSE({1,2,3,4},KMB!X271,KMB!AD271,KMB!AJ271,KMB!AP271)))</f>
        <v>0</v>
      </c>
      <c r="H271">
        <f>SUMPRODUCT((MONTH(CHOOSE({1,2,3,4},KMB!U271,KMB!AA271,KMB!AG271,KMB!AM271))=8)*(CHOOSE({1,2,3,4},KMB!X271,KMB!AD271,KMB!AJ271,KMB!AP271)))</f>
        <v>0</v>
      </c>
      <c r="I271">
        <f>SUMPRODUCT((MONTH(CHOOSE({1,2,3,4},KMB!U271,KMB!AA271,KMB!AG271,KMB!AM271))=9)*(CHOOSE({1,2,3,4},KMB!X271,KMB!AD271,KMB!AJ271,KMB!AP271)))</f>
        <v>0</v>
      </c>
      <c r="J271">
        <f>SUMPRODUCT((MONTH(CHOOSE({1,2,3,4},KMB!U271,KMB!AA271,KMB!AG271,KMB!AM271))=10)*(CHOOSE({1,2,3,4},KMB!X271,KMB!AD271,KMB!AJ271,KMB!AP271)))</f>
        <v>0</v>
      </c>
      <c r="K271">
        <f>SUMPRODUCT((MONTH(CHOOSE({1,2,3,4},KMB!U271,KMB!AA271,KMB!AG271,KMB!AM271))=11)*(CHOOSE({1,2,3,4},KMB!X271,KMB!AD271,KMB!AJ271,KMB!AP271)))</f>
        <v>0</v>
      </c>
      <c r="L271">
        <f>SUMPRODUCT((MONTH(CHOOSE({1,2,3,4},KMB!U271,KMB!AA271,KMB!AG271,KMB!AM271))=12)*(CHOOSE({1,2,3,4},KMB!X271,KMB!AD271,KMB!AJ271,KMB!AP271)))</f>
        <v>0</v>
      </c>
    </row>
    <row r="272" spans="1:12">
      <c r="A272">
        <f>SUMPRODUCT((MONTH(CHOOSE({1,2,3,4},KMB!U272,KMB!AA272,KMB!AG272,KMB!AM272))=1)*(CHOOSE({1,2,3,4},KMB!X272,KMB!AD272,KMB!AJ272,KMB!AP272)))</f>
        <v>0</v>
      </c>
      <c r="B272">
        <f>SUMPRODUCT((MONTH(CHOOSE({1,2,3,4},KMB!U272,KMB!AA272,KMB!AG272,KMB!AM272))=2)*(CHOOSE({1,2,3,4},KMB!X272,KMB!AD272,KMB!AJ272,KMB!AP272)))</f>
        <v>0</v>
      </c>
      <c r="C272">
        <f>SUMPRODUCT((MONTH(CHOOSE({1,2,3,4},KMB!U272,KMB!AA272,KMB!AG272,KMB!AM272))=3)*(CHOOSE({1,2,3,4},KMB!X272,KMB!AD272,KMB!AJ272,KMB!AP272)))</f>
        <v>0</v>
      </c>
      <c r="D272">
        <f>SUMPRODUCT((MONTH(CHOOSE({1,2,3,4},KMB!U272,KMB!AA272,KMB!AG272,KMB!AM272))=4)*(CHOOSE({1,2,3,4},KMB!X272,KMB!AD272,KMB!AJ272,KMB!AP272)))</f>
        <v>0</v>
      </c>
      <c r="E272">
        <f>SUMPRODUCT((MONTH(CHOOSE({1,2,3,4},KMB!U272,KMB!AA272,KMB!AG272,KMB!AM272))=5)*(CHOOSE({1,2,3,4},KMB!X272,KMB!AD272,KMB!AJ272,KMB!AP272)))</f>
        <v>0</v>
      </c>
      <c r="F272">
        <f>SUMPRODUCT((MONTH(CHOOSE({1,2,3,4},KMB!U272,KMB!AA272,KMB!AG272,KMB!AM272))=6)*(CHOOSE({1,2,3,4},KMB!X272,KMB!AD272,KMB!AJ272,KMB!AP272)))</f>
        <v>0</v>
      </c>
      <c r="G272">
        <f>SUMPRODUCT((MONTH(CHOOSE({1,2,3,4},KMB!U272,KMB!AA272,KMB!AG272,KMB!AM272))=7)*(CHOOSE({1,2,3,4},KMB!X272,KMB!AD272,KMB!AJ272,KMB!AP272)))</f>
        <v>0</v>
      </c>
      <c r="H272">
        <f>SUMPRODUCT((MONTH(CHOOSE({1,2,3,4},KMB!U272,KMB!AA272,KMB!AG272,KMB!AM272))=8)*(CHOOSE({1,2,3,4},KMB!X272,KMB!AD272,KMB!AJ272,KMB!AP272)))</f>
        <v>0</v>
      </c>
      <c r="I272">
        <f>SUMPRODUCT((MONTH(CHOOSE({1,2,3,4},KMB!U272,KMB!AA272,KMB!AG272,KMB!AM272))=9)*(CHOOSE({1,2,3,4},KMB!X272,KMB!AD272,KMB!AJ272,KMB!AP272)))</f>
        <v>0</v>
      </c>
      <c r="J272">
        <f>SUMPRODUCT((MONTH(CHOOSE({1,2,3,4},KMB!U272,KMB!AA272,KMB!AG272,KMB!AM272))=10)*(CHOOSE({1,2,3,4},KMB!X272,KMB!AD272,KMB!AJ272,KMB!AP272)))</f>
        <v>0</v>
      </c>
      <c r="K272">
        <f>SUMPRODUCT((MONTH(CHOOSE({1,2,3,4},KMB!U272,KMB!AA272,KMB!AG272,KMB!AM272))=11)*(CHOOSE({1,2,3,4},KMB!X272,KMB!AD272,KMB!AJ272,KMB!AP272)))</f>
        <v>0</v>
      </c>
      <c r="L272">
        <f>SUMPRODUCT((MONTH(CHOOSE({1,2,3,4},KMB!U272,KMB!AA272,KMB!AG272,KMB!AM272))=12)*(CHOOSE({1,2,3,4},KMB!X272,KMB!AD272,KMB!AJ272,KMB!AP272)))</f>
        <v>0</v>
      </c>
    </row>
    <row r="273" spans="1:12">
      <c r="A273">
        <f>SUMPRODUCT((MONTH(CHOOSE({1,2,3,4},KMB!U273,KMB!AA273,KMB!AG273,KMB!AM273))=1)*(CHOOSE({1,2,3,4},KMB!X273,KMB!AD273,KMB!AJ273,KMB!AP273)))</f>
        <v>0</v>
      </c>
      <c r="B273">
        <f>SUMPRODUCT((MONTH(CHOOSE({1,2,3,4},KMB!U273,KMB!AA273,KMB!AG273,KMB!AM273))=2)*(CHOOSE({1,2,3,4},KMB!X273,KMB!AD273,KMB!AJ273,KMB!AP273)))</f>
        <v>0</v>
      </c>
      <c r="C273">
        <f>SUMPRODUCT((MONTH(CHOOSE({1,2,3,4},KMB!U273,KMB!AA273,KMB!AG273,KMB!AM273))=3)*(CHOOSE({1,2,3,4},KMB!X273,KMB!AD273,KMB!AJ273,KMB!AP273)))</f>
        <v>0</v>
      </c>
      <c r="D273">
        <f>SUMPRODUCT((MONTH(CHOOSE({1,2,3,4},KMB!U273,KMB!AA273,KMB!AG273,KMB!AM273))=4)*(CHOOSE({1,2,3,4},KMB!X273,KMB!AD273,KMB!AJ273,KMB!AP273)))</f>
        <v>0</v>
      </c>
      <c r="E273">
        <f>SUMPRODUCT((MONTH(CHOOSE({1,2,3,4},KMB!U273,KMB!AA273,KMB!AG273,KMB!AM273))=5)*(CHOOSE({1,2,3,4},KMB!X273,KMB!AD273,KMB!AJ273,KMB!AP273)))</f>
        <v>0</v>
      </c>
      <c r="F273">
        <f>SUMPRODUCT((MONTH(CHOOSE({1,2,3,4},KMB!U273,KMB!AA273,KMB!AG273,KMB!AM273))=6)*(CHOOSE({1,2,3,4},KMB!X273,KMB!AD273,KMB!AJ273,KMB!AP273)))</f>
        <v>0</v>
      </c>
      <c r="G273">
        <f>SUMPRODUCT((MONTH(CHOOSE({1,2,3,4},KMB!U273,KMB!AA273,KMB!AG273,KMB!AM273))=7)*(CHOOSE({1,2,3,4},KMB!X273,KMB!AD273,KMB!AJ273,KMB!AP273)))</f>
        <v>0</v>
      </c>
      <c r="H273">
        <f>SUMPRODUCT((MONTH(CHOOSE({1,2,3,4},KMB!U273,KMB!AA273,KMB!AG273,KMB!AM273))=8)*(CHOOSE({1,2,3,4},KMB!X273,KMB!AD273,KMB!AJ273,KMB!AP273)))</f>
        <v>0</v>
      </c>
      <c r="I273">
        <f>SUMPRODUCT((MONTH(CHOOSE({1,2,3,4},KMB!U273,KMB!AA273,KMB!AG273,KMB!AM273))=9)*(CHOOSE({1,2,3,4},KMB!X273,KMB!AD273,KMB!AJ273,KMB!AP273)))</f>
        <v>0</v>
      </c>
      <c r="J273">
        <f>SUMPRODUCT((MONTH(CHOOSE({1,2,3,4},KMB!U273,KMB!AA273,KMB!AG273,KMB!AM273))=10)*(CHOOSE({1,2,3,4},KMB!X273,KMB!AD273,KMB!AJ273,KMB!AP273)))</f>
        <v>0</v>
      </c>
      <c r="K273">
        <f>SUMPRODUCT((MONTH(CHOOSE({1,2,3,4},KMB!U273,KMB!AA273,KMB!AG273,KMB!AM273))=11)*(CHOOSE({1,2,3,4},KMB!X273,KMB!AD273,KMB!AJ273,KMB!AP273)))</f>
        <v>0</v>
      </c>
      <c r="L273">
        <f>SUMPRODUCT((MONTH(CHOOSE({1,2,3,4},KMB!U273,KMB!AA273,KMB!AG273,KMB!AM273))=12)*(CHOOSE({1,2,3,4},KMB!X273,KMB!AD273,KMB!AJ273,KMB!AP273)))</f>
        <v>0</v>
      </c>
    </row>
    <row r="274" spans="1:12">
      <c r="A274">
        <f>SUMPRODUCT((MONTH(CHOOSE({1,2,3,4},KMB!U274,KMB!AA274,KMB!AG274,KMB!AM274))=1)*(CHOOSE({1,2,3,4},KMB!X274,KMB!AD274,KMB!AJ274,KMB!AP274)))</f>
        <v>0</v>
      </c>
      <c r="B274">
        <f>SUMPRODUCT((MONTH(CHOOSE({1,2,3,4},KMB!U274,KMB!AA274,KMB!AG274,KMB!AM274))=2)*(CHOOSE({1,2,3,4},KMB!X274,KMB!AD274,KMB!AJ274,KMB!AP274)))</f>
        <v>0</v>
      </c>
      <c r="C274">
        <f>SUMPRODUCT((MONTH(CHOOSE({1,2,3,4},KMB!U274,KMB!AA274,KMB!AG274,KMB!AM274))=3)*(CHOOSE({1,2,3,4},KMB!X274,KMB!AD274,KMB!AJ274,KMB!AP274)))</f>
        <v>0</v>
      </c>
      <c r="D274">
        <f>SUMPRODUCT((MONTH(CHOOSE({1,2,3,4},KMB!U274,KMB!AA274,KMB!AG274,KMB!AM274))=4)*(CHOOSE({1,2,3,4},KMB!X274,KMB!AD274,KMB!AJ274,KMB!AP274)))</f>
        <v>0</v>
      </c>
      <c r="E274">
        <f>SUMPRODUCT((MONTH(CHOOSE({1,2,3,4},KMB!U274,KMB!AA274,KMB!AG274,KMB!AM274))=5)*(CHOOSE({1,2,3,4},KMB!X274,KMB!AD274,KMB!AJ274,KMB!AP274)))</f>
        <v>0</v>
      </c>
      <c r="F274">
        <f>SUMPRODUCT((MONTH(CHOOSE({1,2,3,4},KMB!U274,KMB!AA274,KMB!AG274,KMB!AM274))=6)*(CHOOSE({1,2,3,4},KMB!X274,KMB!AD274,KMB!AJ274,KMB!AP274)))</f>
        <v>0</v>
      </c>
      <c r="G274">
        <f>SUMPRODUCT((MONTH(CHOOSE({1,2,3,4},KMB!U274,KMB!AA274,KMB!AG274,KMB!AM274))=7)*(CHOOSE({1,2,3,4},KMB!X274,KMB!AD274,KMB!AJ274,KMB!AP274)))</f>
        <v>0</v>
      </c>
      <c r="H274">
        <f>SUMPRODUCT((MONTH(CHOOSE({1,2,3,4},KMB!U274,KMB!AA274,KMB!AG274,KMB!AM274))=8)*(CHOOSE({1,2,3,4},KMB!X274,KMB!AD274,KMB!AJ274,KMB!AP274)))</f>
        <v>0</v>
      </c>
      <c r="I274">
        <f>SUMPRODUCT((MONTH(CHOOSE({1,2,3,4},KMB!U274,KMB!AA274,KMB!AG274,KMB!AM274))=9)*(CHOOSE({1,2,3,4},KMB!X274,KMB!AD274,KMB!AJ274,KMB!AP274)))</f>
        <v>0</v>
      </c>
      <c r="J274">
        <f>SUMPRODUCT((MONTH(CHOOSE({1,2,3,4},KMB!U274,KMB!AA274,KMB!AG274,KMB!AM274))=10)*(CHOOSE({1,2,3,4},KMB!X274,KMB!AD274,KMB!AJ274,KMB!AP274)))</f>
        <v>0</v>
      </c>
      <c r="K274">
        <f>SUMPRODUCT((MONTH(CHOOSE({1,2,3,4},KMB!U274,KMB!AA274,KMB!AG274,KMB!AM274))=11)*(CHOOSE({1,2,3,4},KMB!X274,KMB!AD274,KMB!AJ274,KMB!AP274)))</f>
        <v>0</v>
      </c>
      <c r="L274">
        <f>SUMPRODUCT((MONTH(CHOOSE({1,2,3,4},KMB!U274,KMB!AA274,KMB!AG274,KMB!AM274))=12)*(CHOOSE({1,2,3,4},KMB!X274,KMB!AD274,KMB!AJ274,KMB!AP274)))</f>
        <v>0</v>
      </c>
    </row>
    <row r="275" spans="1:12">
      <c r="A275">
        <f>SUMPRODUCT((MONTH(CHOOSE({1,2,3,4},KMB!U275,KMB!AA275,KMB!AG275,KMB!AM275))=1)*(CHOOSE({1,2,3,4},KMB!X275,KMB!AD275,KMB!AJ275,KMB!AP275)))</f>
        <v>0</v>
      </c>
      <c r="B275">
        <f>SUMPRODUCT((MONTH(CHOOSE({1,2,3,4},KMB!U275,KMB!AA275,KMB!AG275,KMB!AM275))=2)*(CHOOSE({1,2,3,4},KMB!X275,KMB!AD275,KMB!AJ275,KMB!AP275)))</f>
        <v>0</v>
      </c>
      <c r="C275">
        <f>SUMPRODUCT((MONTH(CHOOSE({1,2,3,4},KMB!U275,KMB!AA275,KMB!AG275,KMB!AM275))=3)*(CHOOSE({1,2,3,4},KMB!X275,KMB!AD275,KMB!AJ275,KMB!AP275)))</f>
        <v>0</v>
      </c>
      <c r="D275">
        <f>SUMPRODUCT((MONTH(CHOOSE({1,2,3,4},KMB!U275,KMB!AA275,KMB!AG275,KMB!AM275))=4)*(CHOOSE({1,2,3,4},KMB!X275,KMB!AD275,KMB!AJ275,KMB!AP275)))</f>
        <v>0</v>
      </c>
      <c r="E275">
        <f>SUMPRODUCT((MONTH(CHOOSE({1,2,3,4},KMB!U275,KMB!AA275,KMB!AG275,KMB!AM275))=5)*(CHOOSE({1,2,3,4},KMB!X275,KMB!AD275,KMB!AJ275,KMB!AP275)))</f>
        <v>0</v>
      </c>
      <c r="F275">
        <f>SUMPRODUCT((MONTH(CHOOSE({1,2,3,4},KMB!U275,KMB!AA275,KMB!AG275,KMB!AM275))=6)*(CHOOSE({1,2,3,4},KMB!X275,KMB!AD275,KMB!AJ275,KMB!AP275)))</f>
        <v>0</v>
      </c>
      <c r="G275">
        <f>SUMPRODUCT((MONTH(CHOOSE({1,2,3,4},KMB!U275,KMB!AA275,KMB!AG275,KMB!AM275))=7)*(CHOOSE({1,2,3,4},KMB!X275,KMB!AD275,KMB!AJ275,KMB!AP275)))</f>
        <v>0</v>
      </c>
      <c r="H275">
        <f>SUMPRODUCT((MONTH(CHOOSE({1,2,3,4},KMB!U275,KMB!AA275,KMB!AG275,KMB!AM275))=8)*(CHOOSE({1,2,3,4},KMB!X275,KMB!AD275,KMB!AJ275,KMB!AP275)))</f>
        <v>0</v>
      </c>
      <c r="I275">
        <f>SUMPRODUCT((MONTH(CHOOSE({1,2,3,4},KMB!U275,KMB!AA275,KMB!AG275,KMB!AM275))=9)*(CHOOSE({1,2,3,4},KMB!X275,KMB!AD275,KMB!AJ275,KMB!AP275)))</f>
        <v>0</v>
      </c>
      <c r="J275">
        <f>SUMPRODUCT((MONTH(CHOOSE({1,2,3,4},KMB!U275,KMB!AA275,KMB!AG275,KMB!AM275))=10)*(CHOOSE({1,2,3,4},KMB!X275,KMB!AD275,KMB!AJ275,KMB!AP275)))</f>
        <v>0</v>
      </c>
      <c r="K275">
        <f>SUMPRODUCT((MONTH(CHOOSE({1,2,3,4},KMB!U275,KMB!AA275,KMB!AG275,KMB!AM275))=11)*(CHOOSE({1,2,3,4},KMB!X275,KMB!AD275,KMB!AJ275,KMB!AP275)))</f>
        <v>0</v>
      </c>
      <c r="L275">
        <f>SUMPRODUCT((MONTH(CHOOSE({1,2,3,4},KMB!U275,KMB!AA275,KMB!AG275,KMB!AM275))=12)*(CHOOSE({1,2,3,4},KMB!X275,KMB!AD275,KMB!AJ275,KMB!AP275)))</f>
        <v>0</v>
      </c>
    </row>
    <row r="276" spans="1:12">
      <c r="A276">
        <f>SUMPRODUCT((MONTH(CHOOSE({1,2,3,4},KMB!U276,KMB!AA276,KMB!AG276,KMB!AM276))=1)*(CHOOSE({1,2,3,4},KMB!X276,KMB!AD276,KMB!AJ276,KMB!AP276)))</f>
        <v>0</v>
      </c>
      <c r="B276">
        <f>SUMPRODUCT((MONTH(CHOOSE({1,2,3,4},KMB!U276,KMB!AA276,KMB!AG276,KMB!AM276))=2)*(CHOOSE({1,2,3,4},KMB!X276,KMB!AD276,KMB!AJ276,KMB!AP276)))</f>
        <v>0</v>
      </c>
      <c r="C276">
        <f>SUMPRODUCT((MONTH(CHOOSE({1,2,3,4},KMB!U276,KMB!AA276,KMB!AG276,KMB!AM276))=3)*(CHOOSE({1,2,3,4},KMB!X276,KMB!AD276,KMB!AJ276,KMB!AP276)))</f>
        <v>0</v>
      </c>
      <c r="D276">
        <f>SUMPRODUCT((MONTH(CHOOSE({1,2,3,4},KMB!U276,KMB!AA276,KMB!AG276,KMB!AM276))=4)*(CHOOSE({1,2,3,4},KMB!X276,KMB!AD276,KMB!AJ276,KMB!AP276)))</f>
        <v>0</v>
      </c>
      <c r="E276">
        <f>SUMPRODUCT((MONTH(CHOOSE({1,2,3,4},KMB!U276,KMB!AA276,KMB!AG276,KMB!AM276))=5)*(CHOOSE({1,2,3,4},KMB!X276,KMB!AD276,KMB!AJ276,KMB!AP276)))</f>
        <v>0</v>
      </c>
      <c r="F276">
        <f>SUMPRODUCT((MONTH(CHOOSE({1,2,3,4},KMB!U276,KMB!AA276,KMB!AG276,KMB!AM276))=6)*(CHOOSE({1,2,3,4},KMB!X276,KMB!AD276,KMB!AJ276,KMB!AP276)))</f>
        <v>0</v>
      </c>
      <c r="G276">
        <f>SUMPRODUCT((MONTH(CHOOSE({1,2,3,4},KMB!U276,KMB!AA276,KMB!AG276,KMB!AM276))=7)*(CHOOSE({1,2,3,4},KMB!X276,KMB!AD276,KMB!AJ276,KMB!AP276)))</f>
        <v>0</v>
      </c>
      <c r="H276">
        <f>SUMPRODUCT((MONTH(CHOOSE({1,2,3,4},KMB!U276,KMB!AA276,KMB!AG276,KMB!AM276))=8)*(CHOOSE({1,2,3,4},KMB!X276,KMB!AD276,KMB!AJ276,KMB!AP276)))</f>
        <v>0</v>
      </c>
      <c r="I276">
        <f>SUMPRODUCT((MONTH(CHOOSE({1,2,3,4},KMB!U276,KMB!AA276,KMB!AG276,KMB!AM276))=9)*(CHOOSE({1,2,3,4},KMB!X276,KMB!AD276,KMB!AJ276,KMB!AP276)))</f>
        <v>0</v>
      </c>
      <c r="J276">
        <f>SUMPRODUCT((MONTH(CHOOSE({1,2,3,4},KMB!U276,KMB!AA276,KMB!AG276,KMB!AM276))=10)*(CHOOSE({1,2,3,4},KMB!X276,KMB!AD276,KMB!AJ276,KMB!AP276)))</f>
        <v>0</v>
      </c>
      <c r="K276">
        <f>SUMPRODUCT((MONTH(CHOOSE({1,2,3,4},KMB!U276,KMB!AA276,KMB!AG276,KMB!AM276))=11)*(CHOOSE({1,2,3,4},KMB!X276,KMB!AD276,KMB!AJ276,KMB!AP276)))</f>
        <v>0</v>
      </c>
      <c r="L276">
        <f>SUMPRODUCT((MONTH(CHOOSE({1,2,3,4},KMB!U276,KMB!AA276,KMB!AG276,KMB!AM276))=12)*(CHOOSE({1,2,3,4},KMB!X276,KMB!AD276,KMB!AJ276,KMB!AP276)))</f>
        <v>0</v>
      </c>
    </row>
    <row r="277" spans="1:12">
      <c r="A277">
        <f>SUMPRODUCT((MONTH(CHOOSE({1,2,3,4},KMB!U277,KMB!AA277,KMB!AG277,KMB!AM277))=1)*(CHOOSE({1,2,3,4},KMB!X277,KMB!AD277,KMB!AJ277,KMB!AP277)))</f>
        <v>0</v>
      </c>
      <c r="B277">
        <f>SUMPRODUCT((MONTH(CHOOSE({1,2,3,4},KMB!U277,KMB!AA277,KMB!AG277,KMB!AM277))=2)*(CHOOSE({1,2,3,4},KMB!X277,KMB!AD277,KMB!AJ277,KMB!AP277)))</f>
        <v>0</v>
      </c>
      <c r="C277">
        <f>SUMPRODUCT((MONTH(CHOOSE({1,2,3,4},KMB!U277,KMB!AA277,KMB!AG277,KMB!AM277))=3)*(CHOOSE({1,2,3,4},KMB!X277,KMB!AD277,KMB!AJ277,KMB!AP277)))</f>
        <v>0</v>
      </c>
      <c r="D277">
        <f>SUMPRODUCT((MONTH(CHOOSE({1,2,3,4},KMB!U277,KMB!AA277,KMB!AG277,KMB!AM277))=4)*(CHOOSE({1,2,3,4},KMB!X277,KMB!AD277,KMB!AJ277,KMB!AP277)))</f>
        <v>0</v>
      </c>
      <c r="E277">
        <f>SUMPRODUCT((MONTH(CHOOSE({1,2,3,4},KMB!U277,KMB!AA277,KMB!AG277,KMB!AM277))=5)*(CHOOSE({1,2,3,4},KMB!X277,KMB!AD277,KMB!AJ277,KMB!AP277)))</f>
        <v>0</v>
      </c>
      <c r="F277">
        <f>SUMPRODUCT((MONTH(CHOOSE({1,2,3,4},KMB!U277,KMB!AA277,KMB!AG277,KMB!AM277))=6)*(CHOOSE({1,2,3,4},KMB!X277,KMB!AD277,KMB!AJ277,KMB!AP277)))</f>
        <v>0</v>
      </c>
      <c r="G277">
        <f>SUMPRODUCT((MONTH(CHOOSE({1,2,3,4},KMB!U277,KMB!AA277,KMB!AG277,KMB!AM277))=7)*(CHOOSE({1,2,3,4},KMB!X277,KMB!AD277,KMB!AJ277,KMB!AP277)))</f>
        <v>0</v>
      </c>
      <c r="H277">
        <f>SUMPRODUCT((MONTH(CHOOSE({1,2,3,4},KMB!U277,KMB!AA277,KMB!AG277,KMB!AM277))=8)*(CHOOSE({1,2,3,4},KMB!X277,KMB!AD277,KMB!AJ277,KMB!AP277)))</f>
        <v>0</v>
      </c>
      <c r="I277">
        <f>SUMPRODUCT((MONTH(CHOOSE({1,2,3,4},KMB!U277,KMB!AA277,KMB!AG277,KMB!AM277))=9)*(CHOOSE({1,2,3,4},KMB!X277,KMB!AD277,KMB!AJ277,KMB!AP277)))</f>
        <v>0</v>
      </c>
      <c r="J277">
        <f>SUMPRODUCT((MONTH(CHOOSE({1,2,3,4},KMB!U277,KMB!AA277,KMB!AG277,KMB!AM277))=10)*(CHOOSE({1,2,3,4},KMB!X277,KMB!AD277,KMB!AJ277,KMB!AP277)))</f>
        <v>0</v>
      </c>
      <c r="K277">
        <f>SUMPRODUCT((MONTH(CHOOSE({1,2,3,4},KMB!U277,KMB!AA277,KMB!AG277,KMB!AM277))=11)*(CHOOSE({1,2,3,4},KMB!X277,KMB!AD277,KMB!AJ277,KMB!AP277)))</f>
        <v>0</v>
      </c>
      <c r="L277">
        <f>SUMPRODUCT((MONTH(CHOOSE({1,2,3,4},KMB!U277,KMB!AA277,KMB!AG277,KMB!AM277))=12)*(CHOOSE({1,2,3,4},KMB!X277,KMB!AD277,KMB!AJ277,KMB!AP277)))</f>
        <v>0</v>
      </c>
    </row>
    <row r="278" spans="1:12">
      <c r="A278">
        <f>SUMPRODUCT((MONTH(CHOOSE({1,2,3,4},KMB!U278,KMB!AA278,KMB!AG278,KMB!AM278))=1)*(CHOOSE({1,2,3,4},KMB!X278,KMB!AD278,KMB!AJ278,KMB!AP278)))</f>
        <v>0</v>
      </c>
      <c r="B278">
        <f>SUMPRODUCT((MONTH(CHOOSE({1,2,3,4},KMB!U278,KMB!AA278,KMB!AG278,KMB!AM278))=2)*(CHOOSE({1,2,3,4},KMB!X278,KMB!AD278,KMB!AJ278,KMB!AP278)))</f>
        <v>0</v>
      </c>
      <c r="C278">
        <f>SUMPRODUCT((MONTH(CHOOSE({1,2,3,4},KMB!U278,KMB!AA278,KMB!AG278,KMB!AM278))=3)*(CHOOSE({1,2,3,4},KMB!X278,KMB!AD278,KMB!AJ278,KMB!AP278)))</f>
        <v>0</v>
      </c>
      <c r="D278">
        <f>SUMPRODUCT((MONTH(CHOOSE({1,2,3,4},KMB!U278,KMB!AA278,KMB!AG278,KMB!AM278))=4)*(CHOOSE({1,2,3,4},KMB!X278,KMB!AD278,KMB!AJ278,KMB!AP278)))</f>
        <v>0</v>
      </c>
      <c r="E278">
        <f>SUMPRODUCT((MONTH(CHOOSE({1,2,3,4},KMB!U278,KMB!AA278,KMB!AG278,KMB!AM278))=5)*(CHOOSE({1,2,3,4},KMB!X278,KMB!AD278,KMB!AJ278,KMB!AP278)))</f>
        <v>0</v>
      </c>
      <c r="F278">
        <f>SUMPRODUCT((MONTH(CHOOSE({1,2,3,4},KMB!U278,KMB!AA278,KMB!AG278,KMB!AM278))=6)*(CHOOSE({1,2,3,4},KMB!X278,KMB!AD278,KMB!AJ278,KMB!AP278)))</f>
        <v>0</v>
      </c>
      <c r="G278">
        <f>SUMPRODUCT((MONTH(CHOOSE({1,2,3,4},KMB!U278,KMB!AA278,KMB!AG278,KMB!AM278))=7)*(CHOOSE({1,2,3,4},KMB!X278,KMB!AD278,KMB!AJ278,KMB!AP278)))</f>
        <v>0</v>
      </c>
      <c r="H278">
        <f>SUMPRODUCT((MONTH(CHOOSE({1,2,3,4},KMB!U278,KMB!AA278,KMB!AG278,KMB!AM278))=8)*(CHOOSE({1,2,3,4},KMB!X278,KMB!AD278,KMB!AJ278,KMB!AP278)))</f>
        <v>0</v>
      </c>
      <c r="I278">
        <f>SUMPRODUCT((MONTH(CHOOSE({1,2,3,4},KMB!U278,KMB!AA278,KMB!AG278,KMB!AM278))=9)*(CHOOSE({1,2,3,4},KMB!X278,KMB!AD278,KMB!AJ278,KMB!AP278)))</f>
        <v>0</v>
      </c>
      <c r="J278">
        <f>SUMPRODUCT((MONTH(CHOOSE({1,2,3,4},KMB!U278,KMB!AA278,KMB!AG278,KMB!AM278))=10)*(CHOOSE({1,2,3,4},KMB!X278,KMB!AD278,KMB!AJ278,KMB!AP278)))</f>
        <v>0</v>
      </c>
      <c r="K278">
        <f>SUMPRODUCT((MONTH(CHOOSE({1,2,3,4},KMB!U278,KMB!AA278,KMB!AG278,KMB!AM278))=11)*(CHOOSE({1,2,3,4},KMB!X278,KMB!AD278,KMB!AJ278,KMB!AP278)))</f>
        <v>0</v>
      </c>
      <c r="L278">
        <f>SUMPRODUCT((MONTH(CHOOSE({1,2,3,4},KMB!U278,KMB!AA278,KMB!AG278,KMB!AM278))=12)*(CHOOSE({1,2,3,4},KMB!X278,KMB!AD278,KMB!AJ278,KMB!AP278)))</f>
        <v>0</v>
      </c>
    </row>
    <row r="279" spans="1:12">
      <c r="A279">
        <f>SUMPRODUCT((MONTH(CHOOSE({1,2,3,4},KMB!U279,KMB!AA279,KMB!AG279,KMB!AM279))=1)*(CHOOSE({1,2,3,4},KMB!X279,KMB!AD279,KMB!AJ279,KMB!AP279)))</f>
        <v>0</v>
      </c>
      <c r="B279">
        <f>SUMPRODUCT((MONTH(CHOOSE({1,2,3,4},KMB!U279,KMB!AA279,KMB!AG279,KMB!AM279))=2)*(CHOOSE({1,2,3,4},KMB!X279,KMB!AD279,KMB!AJ279,KMB!AP279)))</f>
        <v>0</v>
      </c>
      <c r="C279">
        <f>SUMPRODUCT((MONTH(CHOOSE({1,2,3,4},KMB!U279,KMB!AA279,KMB!AG279,KMB!AM279))=3)*(CHOOSE({1,2,3,4},KMB!X279,KMB!AD279,KMB!AJ279,KMB!AP279)))</f>
        <v>0</v>
      </c>
      <c r="D279">
        <f>SUMPRODUCT((MONTH(CHOOSE({1,2,3,4},KMB!U279,KMB!AA279,KMB!AG279,KMB!AM279))=4)*(CHOOSE({1,2,3,4},KMB!X279,KMB!AD279,KMB!AJ279,KMB!AP279)))</f>
        <v>0</v>
      </c>
      <c r="E279">
        <f>SUMPRODUCT((MONTH(CHOOSE({1,2,3,4},KMB!U279,KMB!AA279,KMB!AG279,KMB!AM279))=5)*(CHOOSE({1,2,3,4},KMB!X279,KMB!AD279,KMB!AJ279,KMB!AP279)))</f>
        <v>0</v>
      </c>
      <c r="F279">
        <f>SUMPRODUCT((MONTH(CHOOSE({1,2,3,4},KMB!U279,KMB!AA279,KMB!AG279,KMB!AM279))=6)*(CHOOSE({1,2,3,4},KMB!X279,KMB!AD279,KMB!AJ279,KMB!AP279)))</f>
        <v>0</v>
      </c>
      <c r="G279">
        <f>SUMPRODUCT((MONTH(CHOOSE({1,2,3,4},KMB!U279,KMB!AA279,KMB!AG279,KMB!AM279))=7)*(CHOOSE({1,2,3,4},KMB!X279,KMB!AD279,KMB!AJ279,KMB!AP279)))</f>
        <v>0</v>
      </c>
      <c r="H279">
        <f>SUMPRODUCT((MONTH(CHOOSE({1,2,3,4},KMB!U279,KMB!AA279,KMB!AG279,KMB!AM279))=8)*(CHOOSE({1,2,3,4},KMB!X279,KMB!AD279,KMB!AJ279,KMB!AP279)))</f>
        <v>0</v>
      </c>
      <c r="I279">
        <f>SUMPRODUCT((MONTH(CHOOSE({1,2,3,4},KMB!U279,KMB!AA279,KMB!AG279,KMB!AM279))=9)*(CHOOSE({1,2,3,4},KMB!X279,KMB!AD279,KMB!AJ279,KMB!AP279)))</f>
        <v>0</v>
      </c>
      <c r="J279">
        <f>SUMPRODUCT((MONTH(CHOOSE({1,2,3,4},KMB!U279,KMB!AA279,KMB!AG279,KMB!AM279))=10)*(CHOOSE({1,2,3,4},KMB!X279,KMB!AD279,KMB!AJ279,KMB!AP279)))</f>
        <v>0</v>
      </c>
      <c r="K279">
        <f>SUMPRODUCT((MONTH(CHOOSE({1,2,3,4},KMB!U279,KMB!AA279,KMB!AG279,KMB!AM279))=11)*(CHOOSE({1,2,3,4},KMB!X279,KMB!AD279,KMB!AJ279,KMB!AP279)))</f>
        <v>0</v>
      </c>
      <c r="L279">
        <f>SUMPRODUCT((MONTH(CHOOSE({1,2,3,4},KMB!U279,KMB!AA279,KMB!AG279,KMB!AM279))=12)*(CHOOSE({1,2,3,4},KMB!X279,KMB!AD279,KMB!AJ279,KMB!AP279)))</f>
        <v>0</v>
      </c>
    </row>
    <row r="280" spans="1:12">
      <c r="A280">
        <f>SUMPRODUCT((MONTH(CHOOSE({1,2,3,4},KMB!U280,KMB!AA280,KMB!AG280,KMB!AM280))=1)*(CHOOSE({1,2,3,4},KMB!X280,KMB!AD280,KMB!AJ280,KMB!AP280)))</f>
        <v>0</v>
      </c>
      <c r="B280">
        <f>SUMPRODUCT((MONTH(CHOOSE({1,2,3,4},KMB!U280,KMB!AA280,KMB!AG280,KMB!AM280))=2)*(CHOOSE({1,2,3,4},KMB!X280,KMB!AD280,KMB!AJ280,KMB!AP280)))</f>
        <v>0</v>
      </c>
      <c r="C280">
        <f>SUMPRODUCT((MONTH(CHOOSE({1,2,3,4},KMB!U280,KMB!AA280,KMB!AG280,KMB!AM280))=3)*(CHOOSE({1,2,3,4},KMB!X280,KMB!AD280,KMB!AJ280,KMB!AP280)))</f>
        <v>0</v>
      </c>
      <c r="D280">
        <f>SUMPRODUCT((MONTH(CHOOSE({1,2,3,4},KMB!U280,KMB!AA280,KMB!AG280,KMB!AM280))=4)*(CHOOSE({1,2,3,4},KMB!X280,KMB!AD280,KMB!AJ280,KMB!AP280)))</f>
        <v>0</v>
      </c>
      <c r="E280">
        <f>SUMPRODUCT((MONTH(CHOOSE({1,2,3,4},KMB!U280,KMB!AA280,KMB!AG280,KMB!AM280))=5)*(CHOOSE({1,2,3,4},KMB!X280,KMB!AD280,KMB!AJ280,KMB!AP280)))</f>
        <v>0</v>
      </c>
      <c r="F280">
        <f>SUMPRODUCT((MONTH(CHOOSE({1,2,3,4},KMB!U280,KMB!AA280,KMB!AG280,KMB!AM280))=6)*(CHOOSE({1,2,3,4},KMB!X280,KMB!AD280,KMB!AJ280,KMB!AP280)))</f>
        <v>0</v>
      </c>
      <c r="G280">
        <f>SUMPRODUCT((MONTH(CHOOSE({1,2,3,4},KMB!U280,KMB!AA280,KMB!AG280,KMB!AM280))=7)*(CHOOSE({1,2,3,4},KMB!X280,KMB!AD280,KMB!AJ280,KMB!AP280)))</f>
        <v>0</v>
      </c>
      <c r="H280">
        <f>SUMPRODUCT((MONTH(CHOOSE({1,2,3,4},KMB!U280,KMB!AA280,KMB!AG280,KMB!AM280))=8)*(CHOOSE({1,2,3,4},KMB!X280,KMB!AD280,KMB!AJ280,KMB!AP280)))</f>
        <v>0</v>
      </c>
      <c r="I280">
        <f>SUMPRODUCT((MONTH(CHOOSE({1,2,3,4},KMB!U280,KMB!AA280,KMB!AG280,KMB!AM280))=9)*(CHOOSE({1,2,3,4},KMB!X280,KMB!AD280,KMB!AJ280,KMB!AP280)))</f>
        <v>0</v>
      </c>
      <c r="J280">
        <f>SUMPRODUCT((MONTH(CHOOSE({1,2,3,4},KMB!U280,KMB!AA280,KMB!AG280,KMB!AM280))=10)*(CHOOSE({1,2,3,4},KMB!X280,KMB!AD280,KMB!AJ280,KMB!AP280)))</f>
        <v>0</v>
      </c>
      <c r="K280">
        <f>SUMPRODUCT((MONTH(CHOOSE({1,2,3,4},KMB!U280,KMB!AA280,KMB!AG280,KMB!AM280))=11)*(CHOOSE({1,2,3,4},KMB!X280,KMB!AD280,KMB!AJ280,KMB!AP280)))</f>
        <v>0</v>
      </c>
      <c r="L280">
        <f>SUMPRODUCT((MONTH(CHOOSE({1,2,3,4},KMB!U280,KMB!AA280,KMB!AG280,KMB!AM280))=12)*(CHOOSE({1,2,3,4},KMB!X280,KMB!AD280,KMB!AJ280,KMB!AP280)))</f>
        <v>0</v>
      </c>
    </row>
    <row r="281" spans="1:12">
      <c r="A281">
        <f>SUMPRODUCT((MONTH(CHOOSE({1,2,3,4},KMB!U281,KMB!AA281,KMB!AG281,KMB!AM281))=1)*(CHOOSE({1,2,3,4},KMB!X281,KMB!AD281,KMB!AJ281,KMB!AP281)))</f>
        <v>0</v>
      </c>
      <c r="B281">
        <f>SUMPRODUCT((MONTH(CHOOSE({1,2,3,4},KMB!U281,KMB!AA281,KMB!AG281,KMB!AM281))=2)*(CHOOSE({1,2,3,4},KMB!X281,KMB!AD281,KMB!AJ281,KMB!AP281)))</f>
        <v>0</v>
      </c>
      <c r="C281">
        <f>SUMPRODUCT((MONTH(CHOOSE({1,2,3,4},KMB!U281,KMB!AA281,KMB!AG281,KMB!AM281))=3)*(CHOOSE({1,2,3,4},KMB!X281,KMB!AD281,KMB!AJ281,KMB!AP281)))</f>
        <v>0</v>
      </c>
      <c r="D281">
        <f>SUMPRODUCT((MONTH(CHOOSE({1,2,3,4},KMB!U281,KMB!AA281,KMB!AG281,KMB!AM281))=4)*(CHOOSE({1,2,3,4},KMB!X281,KMB!AD281,KMB!AJ281,KMB!AP281)))</f>
        <v>0</v>
      </c>
      <c r="E281">
        <f>SUMPRODUCT((MONTH(CHOOSE({1,2,3,4},KMB!U281,KMB!AA281,KMB!AG281,KMB!AM281))=5)*(CHOOSE({1,2,3,4},KMB!X281,KMB!AD281,KMB!AJ281,KMB!AP281)))</f>
        <v>0</v>
      </c>
      <c r="F281">
        <f>SUMPRODUCT((MONTH(CHOOSE({1,2,3,4},KMB!U281,KMB!AA281,KMB!AG281,KMB!AM281))=6)*(CHOOSE({1,2,3,4},KMB!X281,KMB!AD281,KMB!AJ281,KMB!AP281)))</f>
        <v>0</v>
      </c>
      <c r="G281">
        <f>SUMPRODUCT((MONTH(CHOOSE({1,2,3,4},KMB!U281,KMB!AA281,KMB!AG281,KMB!AM281))=7)*(CHOOSE({1,2,3,4},KMB!X281,KMB!AD281,KMB!AJ281,KMB!AP281)))</f>
        <v>0</v>
      </c>
      <c r="H281">
        <f>SUMPRODUCT((MONTH(CHOOSE({1,2,3,4},KMB!U281,KMB!AA281,KMB!AG281,KMB!AM281))=8)*(CHOOSE({1,2,3,4},KMB!X281,KMB!AD281,KMB!AJ281,KMB!AP281)))</f>
        <v>0</v>
      </c>
      <c r="I281">
        <f>SUMPRODUCT((MONTH(CHOOSE({1,2,3,4},KMB!U281,KMB!AA281,KMB!AG281,KMB!AM281))=9)*(CHOOSE({1,2,3,4},KMB!X281,KMB!AD281,KMB!AJ281,KMB!AP281)))</f>
        <v>0</v>
      </c>
      <c r="J281">
        <f>SUMPRODUCT((MONTH(CHOOSE({1,2,3,4},KMB!U281,KMB!AA281,KMB!AG281,KMB!AM281))=10)*(CHOOSE({1,2,3,4},KMB!X281,KMB!AD281,KMB!AJ281,KMB!AP281)))</f>
        <v>0</v>
      </c>
      <c r="K281">
        <f>SUMPRODUCT((MONTH(CHOOSE({1,2,3,4},KMB!U281,KMB!AA281,KMB!AG281,KMB!AM281))=11)*(CHOOSE({1,2,3,4},KMB!X281,KMB!AD281,KMB!AJ281,KMB!AP281)))</f>
        <v>0</v>
      </c>
      <c r="L281">
        <f>SUMPRODUCT((MONTH(CHOOSE({1,2,3,4},KMB!U281,KMB!AA281,KMB!AG281,KMB!AM281))=12)*(CHOOSE({1,2,3,4},KMB!X281,KMB!AD281,KMB!AJ281,KMB!AP281)))</f>
        <v>0</v>
      </c>
    </row>
    <row r="282" spans="1:12">
      <c r="A282">
        <f>SUMPRODUCT((MONTH(CHOOSE({1,2,3,4},KMB!U282,KMB!AA282,KMB!AG282,KMB!AM282))=1)*(CHOOSE({1,2,3,4},KMB!X282,KMB!AD282,KMB!AJ282,KMB!AP282)))</f>
        <v>0</v>
      </c>
      <c r="B282">
        <f>SUMPRODUCT((MONTH(CHOOSE({1,2,3,4},KMB!U282,KMB!AA282,KMB!AG282,KMB!AM282))=2)*(CHOOSE({1,2,3,4},KMB!X282,KMB!AD282,KMB!AJ282,KMB!AP282)))</f>
        <v>0</v>
      </c>
      <c r="C282">
        <f>SUMPRODUCT((MONTH(CHOOSE({1,2,3,4},KMB!U282,KMB!AA282,KMB!AG282,KMB!AM282))=3)*(CHOOSE({1,2,3,4},KMB!X282,KMB!AD282,KMB!AJ282,KMB!AP282)))</f>
        <v>0</v>
      </c>
      <c r="D282">
        <f>SUMPRODUCT((MONTH(CHOOSE({1,2,3,4},KMB!U282,KMB!AA282,KMB!AG282,KMB!AM282))=4)*(CHOOSE({1,2,3,4},KMB!X282,KMB!AD282,KMB!AJ282,KMB!AP282)))</f>
        <v>0</v>
      </c>
      <c r="E282">
        <f>SUMPRODUCT((MONTH(CHOOSE({1,2,3,4},KMB!U282,KMB!AA282,KMB!AG282,KMB!AM282))=5)*(CHOOSE({1,2,3,4},KMB!X282,KMB!AD282,KMB!AJ282,KMB!AP282)))</f>
        <v>0</v>
      </c>
      <c r="F282">
        <f>SUMPRODUCT((MONTH(CHOOSE({1,2,3,4},KMB!U282,KMB!AA282,KMB!AG282,KMB!AM282))=6)*(CHOOSE({1,2,3,4},KMB!X282,KMB!AD282,KMB!AJ282,KMB!AP282)))</f>
        <v>0</v>
      </c>
      <c r="G282">
        <f>SUMPRODUCT((MONTH(CHOOSE({1,2,3,4},KMB!U282,KMB!AA282,KMB!AG282,KMB!AM282))=7)*(CHOOSE({1,2,3,4},KMB!X282,KMB!AD282,KMB!AJ282,KMB!AP282)))</f>
        <v>0</v>
      </c>
      <c r="H282">
        <f>SUMPRODUCT((MONTH(CHOOSE({1,2,3,4},KMB!U282,KMB!AA282,KMB!AG282,KMB!AM282))=8)*(CHOOSE({1,2,3,4},KMB!X282,KMB!AD282,KMB!AJ282,KMB!AP282)))</f>
        <v>0</v>
      </c>
      <c r="I282">
        <f>SUMPRODUCT((MONTH(CHOOSE({1,2,3,4},KMB!U282,KMB!AA282,KMB!AG282,KMB!AM282))=9)*(CHOOSE({1,2,3,4},KMB!X282,KMB!AD282,KMB!AJ282,KMB!AP282)))</f>
        <v>0</v>
      </c>
      <c r="J282">
        <f>SUMPRODUCT((MONTH(CHOOSE({1,2,3,4},KMB!U282,KMB!AA282,KMB!AG282,KMB!AM282))=10)*(CHOOSE({1,2,3,4},KMB!X282,KMB!AD282,KMB!AJ282,KMB!AP282)))</f>
        <v>0</v>
      </c>
      <c r="K282">
        <f>SUMPRODUCT((MONTH(CHOOSE({1,2,3,4},KMB!U282,KMB!AA282,KMB!AG282,KMB!AM282))=11)*(CHOOSE({1,2,3,4},KMB!X282,KMB!AD282,KMB!AJ282,KMB!AP282)))</f>
        <v>0</v>
      </c>
      <c r="L282">
        <f>SUMPRODUCT((MONTH(CHOOSE({1,2,3,4},KMB!U282,KMB!AA282,KMB!AG282,KMB!AM282))=12)*(CHOOSE({1,2,3,4},KMB!X282,KMB!AD282,KMB!AJ282,KMB!AP282)))</f>
        <v>0</v>
      </c>
    </row>
    <row r="283" spans="1:12">
      <c r="A283">
        <f>SUMPRODUCT((MONTH(CHOOSE({1,2,3,4},KMB!U283,KMB!AA283,KMB!AG283,KMB!AM283))=1)*(CHOOSE({1,2,3,4},KMB!X283,KMB!AD283,KMB!AJ283,KMB!AP283)))</f>
        <v>0</v>
      </c>
      <c r="B283">
        <f>SUMPRODUCT((MONTH(CHOOSE({1,2,3,4},KMB!U283,KMB!AA283,KMB!AG283,KMB!AM283))=2)*(CHOOSE({1,2,3,4},KMB!X283,KMB!AD283,KMB!AJ283,KMB!AP283)))</f>
        <v>0</v>
      </c>
      <c r="C283">
        <f>SUMPRODUCT((MONTH(CHOOSE({1,2,3,4},KMB!U283,KMB!AA283,KMB!AG283,KMB!AM283))=3)*(CHOOSE({1,2,3,4},KMB!X283,KMB!AD283,KMB!AJ283,KMB!AP283)))</f>
        <v>0</v>
      </c>
      <c r="D283">
        <f>SUMPRODUCT((MONTH(CHOOSE({1,2,3,4},KMB!U283,KMB!AA283,KMB!AG283,KMB!AM283))=4)*(CHOOSE({1,2,3,4},KMB!X283,KMB!AD283,KMB!AJ283,KMB!AP283)))</f>
        <v>0</v>
      </c>
      <c r="E283">
        <f>SUMPRODUCT((MONTH(CHOOSE({1,2,3,4},KMB!U283,KMB!AA283,KMB!AG283,KMB!AM283))=5)*(CHOOSE({1,2,3,4},KMB!X283,KMB!AD283,KMB!AJ283,KMB!AP283)))</f>
        <v>0</v>
      </c>
      <c r="F283">
        <f>SUMPRODUCT((MONTH(CHOOSE({1,2,3,4},KMB!U283,KMB!AA283,KMB!AG283,KMB!AM283))=6)*(CHOOSE({1,2,3,4},KMB!X283,KMB!AD283,KMB!AJ283,KMB!AP283)))</f>
        <v>0</v>
      </c>
      <c r="G283">
        <f>SUMPRODUCT((MONTH(CHOOSE({1,2,3,4},KMB!U283,KMB!AA283,KMB!AG283,KMB!AM283))=7)*(CHOOSE({1,2,3,4},KMB!X283,KMB!AD283,KMB!AJ283,KMB!AP283)))</f>
        <v>0</v>
      </c>
      <c r="H283">
        <f>SUMPRODUCT((MONTH(CHOOSE({1,2,3,4},KMB!U283,KMB!AA283,KMB!AG283,KMB!AM283))=8)*(CHOOSE({1,2,3,4},KMB!X283,KMB!AD283,KMB!AJ283,KMB!AP283)))</f>
        <v>0</v>
      </c>
      <c r="I283">
        <f>SUMPRODUCT((MONTH(CHOOSE({1,2,3,4},KMB!U283,KMB!AA283,KMB!AG283,KMB!AM283))=9)*(CHOOSE({1,2,3,4},KMB!X283,KMB!AD283,KMB!AJ283,KMB!AP283)))</f>
        <v>0</v>
      </c>
      <c r="J283">
        <f>SUMPRODUCT((MONTH(CHOOSE({1,2,3,4},KMB!U283,KMB!AA283,KMB!AG283,KMB!AM283))=10)*(CHOOSE({1,2,3,4},KMB!X283,KMB!AD283,KMB!AJ283,KMB!AP283)))</f>
        <v>0</v>
      </c>
      <c r="K283">
        <f>SUMPRODUCT((MONTH(CHOOSE({1,2,3,4},KMB!U283,KMB!AA283,KMB!AG283,KMB!AM283))=11)*(CHOOSE({1,2,3,4},KMB!X283,KMB!AD283,KMB!AJ283,KMB!AP283)))</f>
        <v>0</v>
      </c>
      <c r="L283">
        <f>SUMPRODUCT((MONTH(CHOOSE({1,2,3,4},KMB!U283,KMB!AA283,KMB!AG283,KMB!AM283))=12)*(CHOOSE({1,2,3,4},KMB!X283,KMB!AD283,KMB!AJ283,KMB!AP283)))</f>
        <v>0</v>
      </c>
    </row>
    <row r="284" spans="1:12">
      <c r="A284">
        <f>SUMPRODUCT((MONTH(CHOOSE({1,2,3,4},KMB!U284,KMB!AA284,KMB!AG284,KMB!AM284))=1)*(CHOOSE({1,2,3,4},KMB!X284,KMB!AD284,KMB!AJ284,KMB!AP284)))</f>
        <v>0</v>
      </c>
      <c r="B284">
        <f>SUMPRODUCT((MONTH(CHOOSE({1,2,3,4},KMB!U284,KMB!AA284,KMB!AG284,KMB!AM284))=2)*(CHOOSE({1,2,3,4},KMB!X284,KMB!AD284,KMB!AJ284,KMB!AP284)))</f>
        <v>0</v>
      </c>
      <c r="C284">
        <f>SUMPRODUCT((MONTH(CHOOSE({1,2,3,4},KMB!U284,KMB!AA284,KMB!AG284,KMB!AM284))=3)*(CHOOSE({1,2,3,4},KMB!X284,KMB!AD284,KMB!AJ284,KMB!AP284)))</f>
        <v>0</v>
      </c>
      <c r="D284">
        <f>SUMPRODUCT((MONTH(CHOOSE({1,2,3,4},KMB!U284,KMB!AA284,KMB!AG284,KMB!AM284))=4)*(CHOOSE({1,2,3,4},KMB!X284,KMB!AD284,KMB!AJ284,KMB!AP284)))</f>
        <v>0</v>
      </c>
      <c r="E284">
        <f>SUMPRODUCT((MONTH(CHOOSE({1,2,3,4},KMB!U284,KMB!AA284,KMB!AG284,KMB!AM284))=5)*(CHOOSE({1,2,3,4},KMB!X284,KMB!AD284,KMB!AJ284,KMB!AP284)))</f>
        <v>0</v>
      </c>
      <c r="F284">
        <f>SUMPRODUCT((MONTH(CHOOSE({1,2,3,4},KMB!U284,KMB!AA284,KMB!AG284,KMB!AM284))=6)*(CHOOSE({1,2,3,4},KMB!X284,KMB!AD284,KMB!AJ284,KMB!AP284)))</f>
        <v>0</v>
      </c>
      <c r="G284">
        <f>SUMPRODUCT((MONTH(CHOOSE({1,2,3,4},KMB!U284,KMB!AA284,KMB!AG284,KMB!AM284))=7)*(CHOOSE({1,2,3,4},KMB!X284,KMB!AD284,KMB!AJ284,KMB!AP284)))</f>
        <v>0</v>
      </c>
      <c r="H284">
        <f>SUMPRODUCT((MONTH(CHOOSE({1,2,3,4},KMB!U284,KMB!AA284,KMB!AG284,KMB!AM284))=8)*(CHOOSE({1,2,3,4},KMB!X284,KMB!AD284,KMB!AJ284,KMB!AP284)))</f>
        <v>0</v>
      </c>
      <c r="I284">
        <f>SUMPRODUCT((MONTH(CHOOSE({1,2,3,4},KMB!U284,KMB!AA284,KMB!AG284,KMB!AM284))=9)*(CHOOSE({1,2,3,4},KMB!X284,KMB!AD284,KMB!AJ284,KMB!AP284)))</f>
        <v>0</v>
      </c>
      <c r="J284">
        <f>SUMPRODUCT((MONTH(CHOOSE({1,2,3,4},KMB!U284,KMB!AA284,KMB!AG284,KMB!AM284))=10)*(CHOOSE({1,2,3,4},KMB!X284,KMB!AD284,KMB!AJ284,KMB!AP284)))</f>
        <v>0</v>
      </c>
      <c r="K284">
        <f>SUMPRODUCT((MONTH(CHOOSE({1,2,3,4},KMB!U284,KMB!AA284,KMB!AG284,KMB!AM284))=11)*(CHOOSE({1,2,3,4},KMB!X284,KMB!AD284,KMB!AJ284,KMB!AP284)))</f>
        <v>0</v>
      </c>
      <c r="L284">
        <f>SUMPRODUCT((MONTH(CHOOSE({1,2,3,4},KMB!U284,KMB!AA284,KMB!AG284,KMB!AM284))=12)*(CHOOSE({1,2,3,4},KMB!X284,KMB!AD284,KMB!AJ284,KMB!AP284)))</f>
        <v>0</v>
      </c>
    </row>
    <row r="285" spans="1:12">
      <c r="A285">
        <f>SUMPRODUCT((MONTH(CHOOSE({1,2,3,4},KMB!U285,KMB!AA285,KMB!AG285,KMB!AM285))=1)*(CHOOSE({1,2,3,4},KMB!X285,KMB!AD285,KMB!AJ285,KMB!AP285)))</f>
        <v>0</v>
      </c>
      <c r="B285">
        <f>SUMPRODUCT((MONTH(CHOOSE({1,2,3,4},KMB!U285,KMB!AA285,KMB!AG285,KMB!AM285))=2)*(CHOOSE({1,2,3,4},KMB!X285,KMB!AD285,KMB!AJ285,KMB!AP285)))</f>
        <v>0</v>
      </c>
      <c r="C285">
        <f>SUMPRODUCT((MONTH(CHOOSE({1,2,3,4},KMB!U285,KMB!AA285,KMB!AG285,KMB!AM285))=3)*(CHOOSE({1,2,3,4},KMB!X285,KMB!AD285,KMB!AJ285,KMB!AP285)))</f>
        <v>0</v>
      </c>
      <c r="D285">
        <f>SUMPRODUCT((MONTH(CHOOSE({1,2,3,4},KMB!U285,KMB!AA285,KMB!AG285,KMB!AM285))=4)*(CHOOSE({1,2,3,4},KMB!X285,KMB!AD285,KMB!AJ285,KMB!AP285)))</f>
        <v>0</v>
      </c>
      <c r="E285">
        <f>SUMPRODUCT((MONTH(CHOOSE({1,2,3,4},KMB!U285,KMB!AA285,KMB!AG285,KMB!AM285))=5)*(CHOOSE({1,2,3,4},KMB!X285,KMB!AD285,KMB!AJ285,KMB!AP285)))</f>
        <v>0</v>
      </c>
      <c r="F285">
        <f>SUMPRODUCT((MONTH(CHOOSE({1,2,3,4},KMB!U285,KMB!AA285,KMB!AG285,KMB!AM285))=6)*(CHOOSE({1,2,3,4},KMB!X285,KMB!AD285,KMB!AJ285,KMB!AP285)))</f>
        <v>0</v>
      </c>
      <c r="G285">
        <f>SUMPRODUCT((MONTH(CHOOSE({1,2,3,4},KMB!U285,KMB!AA285,KMB!AG285,KMB!AM285))=7)*(CHOOSE({1,2,3,4},KMB!X285,KMB!AD285,KMB!AJ285,KMB!AP285)))</f>
        <v>0</v>
      </c>
      <c r="H285">
        <f>SUMPRODUCT((MONTH(CHOOSE({1,2,3,4},KMB!U285,KMB!AA285,KMB!AG285,KMB!AM285))=8)*(CHOOSE({1,2,3,4},KMB!X285,KMB!AD285,KMB!AJ285,KMB!AP285)))</f>
        <v>0</v>
      </c>
      <c r="I285">
        <f>SUMPRODUCT((MONTH(CHOOSE({1,2,3,4},KMB!U285,KMB!AA285,KMB!AG285,KMB!AM285))=9)*(CHOOSE({1,2,3,4},KMB!X285,KMB!AD285,KMB!AJ285,KMB!AP285)))</f>
        <v>0</v>
      </c>
      <c r="J285">
        <f>SUMPRODUCT((MONTH(CHOOSE({1,2,3,4},KMB!U285,KMB!AA285,KMB!AG285,KMB!AM285))=10)*(CHOOSE({1,2,3,4},KMB!X285,KMB!AD285,KMB!AJ285,KMB!AP285)))</f>
        <v>0</v>
      </c>
      <c r="K285">
        <f>SUMPRODUCT((MONTH(CHOOSE({1,2,3,4},KMB!U285,KMB!AA285,KMB!AG285,KMB!AM285))=11)*(CHOOSE({1,2,3,4},KMB!X285,KMB!AD285,KMB!AJ285,KMB!AP285)))</f>
        <v>0</v>
      </c>
      <c r="L285">
        <f>SUMPRODUCT((MONTH(CHOOSE({1,2,3,4},KMB!U285,KMB!AA285,KMB!AG285,KMB!AM285))=12)*(CHOOSE({1,2,3,4},KMB!X285,KMB!AD285,KMB!AJ285,KMB!AP285)))</f>
        <v>0</v>
      </c>
    </row>
    <row r="286" spans="1:12">
      <c r="A286">
        <f>SUMPRODUCT((MONTH(CHOOSE({1,2,3,4},KMB!U286,KMB!AA286,KMB!AG286,KMB!AM286))=1)*(CHOOSE({1,2,3,4},KMB!X286,KMB!AD286,KMB!AJ286,KMB!AP286)))</f>
        <v>0</v>
      </c>
      <c r="B286">
        <f>SUMPRODUCT((MONTH(CHOOSE({1,2,3,4},KMB!U286,KMB!AA286,KMB!AG286,KMB!AM286))=2)*(CHOOSE({1,2,3,4},KMB!X286,KMB!AD286,KMB!AJ286,KMB!AP286)))</f>
        <v>0</v>
      </c>
      <c r="C286">
        <f>SUMPRODUCT((MONTH(CHOOSE({1,2,3,4},KMB!U286,KMB!AA286,KMB!AG286,KMB!AM286))=3)*(CHOOSE({1,2,3,4},KMB!X286,KMB!AD286,KMB!AJ286,KMB!AP286)))</f>
        <v>0</v>
      </c>
      <c r="D286">
        <f>SUMPRODUCT((MONTH(CHOOSE({1,2,3,4},KMB!U286,KMB!AA286,KMB!AG286,KMB!AM286))=4)*(CHOOSE({1,2,3,4},KMB!X286,KMB!AD286,KMB!AJ286,KMB!AP286)))</f>
        <v>0</v>
      </c>
      <c r="E286">
        <f>SUMPRODUCT((MONTH(CHOOSE({1,2,3,4},KMB!U286,KMB!AA286,KMB!AG286,KMB!AM286))=5)*(CHOOSE({1,2,3,4},KMB!X286,KMB!AD286,KMB!AJ286,KMB!AP286)))</f>
        <v>0</v>
      </c>
      <c r="F286">
        <f>SUMPRODUCT((MONTH(CHOOSE({1,2,3,4},KMB!U286,KMB!AA286,KMB!AG286,KMB!AM286))=6)*(CHOOSE({1,2,3,4},KMB!X286,KMB!AD286,KMB!AJ286,KMB!AP286)))</f>
        <v>0</v>
      </c>
      <c r="G286">
        <f>SUMPRODUCT((MONTH(CHOOSE({1,2,3,4},KMB!U286,KMB!AA286,KMB!AG286,KMB!AM286))=7)*(CHOOSE({1,2,3,4},KMB!X286,KMB!AD286,KMB!AJ286,KMB!AP286)))</f>
        <v>0</v>
      </c>
      <c r="H286">
        <f>SUMPRODUCT((MONTH(CHOOSE({1,2,3,4},KMB!U286,KMB!AA286,KMB!AG286,KMB!AM286))=8)*(CHOOSE({1,2,3,4},KMB!X286,KMB!AD286,KMB!AJ286,KMB!AP286)))</f>
        <v>0</v>
      </c>
      <c r="I286">
        <f>SUMPRODUCT((MONTH(CHOOSE({1,2,3,4},KMB!U286,KMB!AA286,KMB!AG286,KMB!AM286))=9)*(CHOOSE({1,2,3,4},KMB!X286,KMB!AD286,KMB!AJ286,KMB!AP286)))</f>
        <v>0</v>
      </c>
      <c r="J286">
        <f>SUMPRODUCT((MONTH(CHOOSE({1,2,3,4},KMB!U286,KMB!AA286,KMB!AG286,KMB!AM286))=10)*(CHOOSE({1,2,3,4},KMB!X286,KMB!AD286,KMB!AJ286,KMB!AP286)))</f>
        <v>0</v>
      </c>
      <c r="K286">
        <f>SUMPRODUCT((MONTH(CHOOSE({1,2,3,4},KMB!U286,KMB!AA286,KMB!AG286,KMB!AM286))=11)*(CHOOSE({1,2,3,4},KMB!X286,KMB!AD286,KMB!AJ286,KMB!AP286)))</f>
        <v>0</v>
      </c>
      <c r="L286">
        <f>SUMPRODUCT((MONTH(CHOOSE({1,2,3,4},KMB!U286,KMB!AA286,KMB!AG286,KMB!AM286))=12)*(CHOOSE({1,2,3,4},KMB!X286,KMB!AD286,KMB!AJ286,KMB!AP286)))</f>
        <v>0</v>
      </c>
    </row>
    <row r="287" spans="1:12">
      <c r="A287">
        <f>SUMPRODUCT((MONTH(CHOOSE({1,2,3,4},KMB!U287,KMB!AA287,KMB!AG287,KMB!AM287))=1)*(CHOOSE({1,2,3,4},KMB!X287,KMB!AD287,KMB!AJ287,KMB!AP287)))</f>
        <v>0</v>
      </c>
      <c r="B287">
        <f>SUMPRODUCT((MONTH(CHOOSE({1,2,3,4},KMB!U287,KMB!AA287,KMB!AG287,KMB!AM287))=2)*(CHOOSE({1,2,3,4},KMB!X287,KMB!AD287,KMB!AJ287,KMB!AP287)))</f>
        <v>0</v>
      </c>
      <c r="C287">
        <f>SUMPRODUCT((MONTH(CHOOSE({1,2,3,4},KMB!U287,KMB!AA287,KMB!AG287,KMB!AM287))=3)*(CHOOSE({1,2,3,4},KMB!X287,KMB!AD287,KMB!AJ287,KMB!AP287)))</f>
        <v>0</v>
      </c>
      <c r="D287">
        <f>SUMPRODUCT((MONTH(CHOOSE({1,2,3,4},KMB!U287,KMB!AA287,KMB!AG287,KMB!AM287))=4)*(CHOOSE({1,2,3,4},KMB!X287,KMB!AD287,KMB!AJ287,KMB!AP287)))</f>
        <v>0</v>
      </c>
      <c r="E287">
        <f>SUMPRODUCT((MONTH(CHOOSE({1,2,3,4},KMB!U287,KMB!AA287,KMB!AG287,KMB!AM287))=5)*(CHOOSE({1,2,3,4},KMB!X287,KMB!AD287,KMB!AJ287,KMB!AP287)))</f>
        <v>0</v>
      </c>
      <c r="F287">
        <f>SUMPRODUCT((MONTH(CHOOSE({1,2,3,4},KMB!U287,KMB!AA287,KMB!AG287,KMB!AM287))=6)*(CHOOSE({1,2,3,4},KMB!X287,KMB!AD287,KMB!AJ287,KMB!AP287)))</f>
        <v>0</v>
      </c>
      <c r="G287">
        <f>SUMPRODUCT((MONTH(CHOOSE({1,2,3,4},KMB!U287,KMB!AA287,KMB!AG287,KMB!AM287))=7)*(CHOOSE({1,2,3,4},KMB!X287,KMB!AD287,KMB!AJ287,KMB!AP287)))</f>
        <v>0</v>
      </c>
      <c r="H287">
        <f>SUMPRODUCT((MONTH(CHOOSE({1,2,3,4},KMB!U287,KMB!AA287,KMB!AG287,KMB!AM287))=8)*(CHOOSE({1,2,3,4},KMB!X287,KMB!AD287,KMB!AJ287,KMB!AP287)))</f>
        <v>0</v>
      </c>
      <c r="I287">
        <f>SUMPRODUCT((MONTH(CHOOSE({1,2,3,4},KMB!U287,KMB!AA287,KMB!AG287,KMB!AM287))=9)*(CHOOSE({1,2,3,4},KMB!X287,KMB!AD287,KMB!AJ287,KMB!AP287)))</f>
        <v>0</v>
      </c>
      <c r="J287">
        <f>SUMPRODUCT((MONTH(CHOOSE({1,2,3,4},KMB!U287,KMB!AA287,KMB!AG287,KMB!AM287))=10)*(CHOOSE({1,2,3,4},KMB!X287,KMB!AD287,KMB!AJ287,KMB!AP287)))</f>
        <v>0</v>
      </c>
      <c r="K287">
        <f>SUMPRODUCT((MONTH(CHOOSE({1,2,3,4},KMB!U287,KMB!AA287,KMB!AG287,KMB!AM287))=11)*(CHOOSE({1,2,3,4},KMB!X287,KMB!AD287,KMB!AJ287,KMB!AP287)))</f>
        <v>0</v>
      </c>
      <c r="L287">
        <f>SUMPRODUCT((MONTH(CHOOSE({1,2,3,4},KMB!U287,KMB!AA287,KMB!AG287,KMB!AM287))=12)*(CHOOSE({1,2,3,4},KMB!X287,KMB!AD287,KMB!AJ287,KMB!AP287)))</f>
        <v>0</v>
      </c>
    </row>
    <row r="288" spans="1:12">
      <c r="A288">
        <f>SUMPRODUCT((MONTH(CHOOSE({1,2,3,4},KMB!U288,KMB!AA288,KMB!AG288,KMB!AM288))=1)*(CHOOSE({1,2,3,4},KMB!X288,KMB!AD288,KMB!AJ288,KMB!AP288)))</f>
        <v>0</v>
      </c>
      <c r="B288">
        <f>SUMPRODUCT((MONTH(CHOOSE({1,2,3,4},KMB!U288,KMB!AA288,KMB!AG288,KMB!AM288))=2)*(CHOOSE({1,2,3,4},KMB!X288,KMB!AD288,KMB!AJ288,KMB!AP288)))</f>
        <v>0</v>
      </c>
      <c r="C288">
        <f>SUMPRODUCT((MONTH(CHOOSE({1,2,3,4},KMB!U288,KMB!AA288,KMB!AG288,KMB!AM288))=3)*(CHOOSE({1,2,3,4},KMB!X288,KMB!AD288,KMB!AJ288,KMB!AP288)))</f>
        <v>0</v>
      </c>
      <c r="D288">
        <f>SUMPRODUCT((MONTH(CHOOSE({1,2,3,4},KMB!U288,KMB!AA288,KMB!AG288,KMB!AM288))=4)*(CHOOSE({1,2,3,4},KMB!X288,KMB!AD288,KMB!AJ288,KMB!AP288)))</f>
        <v>0</v>
      </c>
      <c r="E288">
        <f>SUMPRODUCT((MONTH(CHOOSE({1,2,3,4},KMB!U288,KMB!AA288,KMB!AG288,KMB!AM288))=5)*(CHOOSE({1,2,3,4},KMB!X288,KMB!AD288,KMB!AJ288,KMB!AP288)))</f>
        <v>0</v>
      </c>
      <c r="F288">
        <f>SUMPRODUCT((MONTH(CHOOSE({1,2,3,4},KMB!U288,KMB!AA288,KMB!AG288,KMB!AM288))=6)*(CHOOSE({1,2,3,4},KMB!X288,KMB!AD288,KMB!AJ288,KMB!AP288)))</f>
        <v>0</v>
      </c>
      <c r="G288">
        <f>SUMPRODUCT((MONTH(CHOOSE({1,2,3,4},KMB!U288,KMB!AA288,KMB!AG288,KMB!AM288))=7)*(CHOOSE({1,2,3,4},KMB!X288,KMB!AD288,KMB!AJ288,KMB!AP288)))</f>
        <v>0</v>
      </c>
      <c r="H288">
        <f>SUMPRODUCT((MONTH(CHOOSE({1,2,3,4},KMB!U288,KMB!AA288,KMB!AG288,KMB!AM288))=8)*(CHOOSE({1,2,3,4},KMB!X288,KMB!AD288,KMB!AJ288,KMB!AP288)))</f>
        <v>0</v>
      </c>
      <c r="I288">
        <f>SUMPRODUCT((MONTH(CHOOSE({1,2,3,4},KMB!U288,KMB!AA288,KMB!AG288,KMB!AM288))=9)*(CHOOSE({1,2,3,4},KMB!X288,KMB!AD288,KMB!AJ288,KMB!AP288)))</f>
        <v>0</v>
      </c>
      <c r="J288">
        <f>SUMPRODUCT((MONTH(CHOOSE({1,2,3,4},KMB!U288,KMB!AA288,KMB!AG288,KMB!AM288))=10)*(CHOOSE({1,2,3,4},KMB!X288,KMB!AD288,KMB!AJ288,KMB!AP288)))</f>
        <v>0</v>
      </c>
      <c r="K288">
        <f>SUMPRODUCT((MONTH(CHOOSE({1,2,3,4},KMB!U288,KMB!AA288,KMB!AG288,KMB!AM288))=11)*(CHOOSE({1,2,3,4},KMB!X288,KMB!AD288,KMB!AJ288,KMB!AP288)))</f>
        <v>0</v>
      </c>
      <c r="L288">
        <f>SUMPRODUCT((MONTH(CHOOSE({1,2,3,4},KMB!U288,KMB!AA288,KMB!AG288,KMB!AM288))=12)*(CHOOSE({1,2,3,4},KMB!X288,KMB!AD288,KMB!AJ288,KMB!AP288)))</f>
        <v>0</v>
      </c>
    </row>
    <row r="289" spans="1:12">
      <c r="A289">
        <f>SUMPRODUCT((MONTH(CHOOSE({1,2,3,4},KMB!U289,KMB!AA289,KMB!AG289,KMB!AM289))=1)*(CHOOSE({1,2,3,4},KMB!X289,KMB!AD289,KMB!AJ289,KMB!AP289)))</f>
        <v>0</v>
      </c>
      <c r="B289">
        <f>SUMPRODUCT((MONTH(CHOOSE({1,2,3,4},KMB!U289,KMB!AA289,KMB!AG289,KMB!AM289))=2)*(CHOOSE({1,2,3,4},KMB!X289,KMB!AD289,KMB!AJ289,KMB!AP289)))</f>
        <v>0</v>
      </c>
      <c r="C289">
        <f>SUMPRODUCT((MONTH(CHOOSE({1,2,3,4},KMB!U289,KMB!AA289,KMB!AG289,KMB!AM289))=3)*(CHOOSE({1,2,3,4},KMB!X289,KMB!AD289,KMB!AJ289,KMB!AP289)))</f>
        <v>0</v>
      </c>
      <c r="D289">
        <f>SUMPRODUCT((MONTH(CHOOSE({1,2,3,4},KMB!U289,KMB!AA289,KMB!AG289,KMB!AM289))=4)*(CHOOSE({1,2,3,4},KMB!X289,KMB!AD289,KMB!AJ289,KMB!AP289)))</f>
        <v>0</v>
      </c>
      <c r="E289">
        <f>SUMPRODUCT((MONTH(CHOOSE({1,2,3,4},KMB!U289,KMB!AA289,KMB!AG289,KMB!AM289))=5)*(CHOOSE({1,2,3,4},KMB!X289,KMB!AD289,KMB!AJ289,KMB!AP289)))</f>
        <v>0</v>
      </c>
      <c r="F289">
        <f>SUMPRODUCT((MONTH(CHOOSE({1,2,3,4},KMB!U289,KMB!AA289,KMB!AG289,KMB!AM289))=6)*(CHOOSE({1,2,3,4},KMB!X289,KMB!AD289,KMB!AJ289,KMB!AP289)))</f>
        <v>0</v>
      </c>
      <c r="G289">
        <f>SUMPRODUCT((MONTH(CHOOSE({1,2,3,4},KMB!U289,KMB!AA289,KMB!AG289,KMB!AM289))=7)*(CHOOSE({1,2,3,4},KMB!X289,KMB!AD289,KMB!AJ289,KMB!AP289)))</f>
        <v>0</v>
      </c>
      <c r="H289">
        <f>SUMPRODUCT((MONTH(CHOOSE({1,2,3,4},KMB!U289,KMB!AA289,KMB!AG289,KMB!AM289))=8)*(CHOOSE({1,2,3,4},KMB!X289,KMB!AD289,KMB!AJ289,KMB!AP289)))</f>
        <v>0</v>
      </c>
      <c r="I289">
        <f>SUMPRODUCT((MONTH(CHOOSE({1,2,3,4},KMB!U289,KMB!AA289,KMB!AG289,KMB!AM289))=9)*(CHOOSE({1,2,3,4},KMB!X289,KMB!AD289,KMB!AJ289,KMB!AP289)))</f>
        <v>0</v>
      </c>
      <c r="J289">
        <f>SUMPRODUCT((MONTH(CHOOSE({1,2,3,4},KMB!U289,KMB!AA289,KMB!AG289,KMB!AM289))=10)*(CHOOSE({1,2,3,4},KMB!X289,KMB!AD289,KMB!AJ289,KMB!AP289)))</f>
        <v>0</v>
      </c>
      <c r="K289">
        <f>SUMPRODUCT((MONTH(CHOOSE({1,2,3,4},KMB!U289,KMB!AA289,KMB!AG289,KMB!AM289))=11)*(CHOOSE({1,2,3,4},KMB!X289,KMB!AD289,KMB!AJ289,KMB!AP289)))</f>
        <v>0</v>
      </c>
      <c r="L289">
        <f>SUMPRODUCT((MONTH(CHOOSE({1,2,3,4},KMB!U289,KMB!AA289,KMB!AG289,KMB!AM289))=12)*(CHOOSE({1,2,3,4},KMB!X289,KMB!AD289,KMB!AJ289,KMB!AP289)))</f>
        <v>0</v>
      </c>
    </row>
    <row r="290" spans="1:12">
      <c r="A290">
        <f>SUMPRODUCT((MONTH(CHOOSE({1,2,3,4},KMB!U290,KMB!AA290,KMB!AG290,KMB!AM290))=1)*(CHOOSE({1,2,3,4},KMB!X290,KMB!AD290,KMB!AJ290,KMB!AP290)))</f>
        <v>0</v>
      </c>
      <c r="B290">
        <f>SUMPRODUCT((MONTH(CHOOSE({1,2,3,4},KMB!U290,KMB!AA290,KMB!AG290,KMB!AM290))=2)*(CHOOSE({1,2,3,4},KMB!X290,KMB!AD290,KMB!AJ290,KMB!AP290)))</f>
        <v>0</v>
      </c>
      <c r="C290">
        <f>SUMPRODUCT((MONTH(CHOOSE({1,2,3,4},KMB!U290,KMB!AA290,KMB!AG290,KMB!AM290))=3)*(CHOOSE({1,2,3,4},KMB!X290,KMB!AD290,KMB!AJ290,KMB!AP290)))</f>
        <v>0</v>
      </c>
      <c r="D290">
        <f>SUMPRODUCT((MONTH(CHOOSE({1,2,3,4},KMB!U290,KMB!AA290,KMB!AG290,KMB!AM290))=4)*(CHOOSE({1,2,3,4},KMB!X290,KMB!AD290,KMB!AJ290,KMB!AP290)))</f>
        <v>0</v>
      </c>
      <c r="E290">
        <f>SUMPRODUCT((MONTH(CHOOSE({1,2,3,4},KMB!U290,KMB!AA290,KMB!AG290,KMB!AM290))=5)*(CHOOSE({1,2,3,4},KMB!X290,KMB!AD290,KMB!AJ290,KMB!AP290)))</f>
        <v>0</v>
      </c>
      <c r="F290">
        <f>SUMPRODUCT((MONTH(CHOOSE({1,2,3,4},KMB!U290,KMB!AA290,KMB!AG290,KMB!AM290))=6)*(CHOOSE({1,2,3,4},KMB!X290,KMB!AD290,KMB!AJ290,KMB!AP290)))</f>
        <v>0</v>
      </c>
      <c r="G290">
        <f>SUMPRODUCT((MONTH(CHOOSE({1,2,3,4},KMB!U290,KMB!AA290,KMB!AG290,KMB!AM290))=7)*(CHOOSE({1,2,3,4},KMB!X290,KMB!AD290,KMB!AJ290,KMB!AP290)))</f>
        <v>0</v>
      </c>
      <c r="H290">
        <f>SUMPRODUCT((MONTH(CHOOSE({1,2,3,4},KMB!U290,KMB!AA290,KMB!AG290,KMB!AM290))=8)*(CHOOSE({1,2,3,4},KMB!X290,KMB!AD290,KMB!AJ290,KMB!AP290)))</f>
        <v>0</v>
      </c>
      <c r="I290">
        <f>SUMPRODUCT((MONTH(CHOOSE({1,2,3,4},KMB!U290,KMB!AA290,KMB!AG290,KMB!AM290))=9)*(CHOOSE({1,2,3,4},KMB!X290,KMB!AD290,KMB!AJ290,KMB!AP290)))</f>
        <v>0</v>
      </c>
      <c r="J290">
        <f>SUMPRODUCT((MONTH(CHOOSE({1,2,3,4},KMB!U290,KMB!AA290,KMB!AG290,KMB!AM290))=10)*(CHOOSE({1,2,3,4},KMB!X290,KMB!AD290,KMB!AJ290,KMB!AP290)))</f>
        <v>0</v>
      </c>
      <c r="K290">
        <f>SUMPRODUCT((MONTH(CHOOSE({1,2,3,4},KMB!U290,KMB!AA290,KMB!AG290,KMB!AM290))=11)*(CHOOSE({1,2,3,4},KMB!X290,KMB!AD290,KMB!AJ290,KMB!AP290)))</f>
        <v>0</v>
      </c>
      <c r="L290">
        <f>SUMPRODUCT((MONTH(CHOOSE({1,2,3,4},KMB!U290,KMB!AA290,KMB!AG290,KMB!AM290))=12)*(CHOOSE({1,2,3,4},KMB!X290,KMB!AD290,KMB!AJ290,KMB!AP290)))</f>
        <v>0</v>
      </c>
    </row>
    <row r="291" spans="1:12">
      <c r="A291">
        <f>SUMPRODUCT((MONTH(CHOOSE({1,2,3,4},KMB!U291,KMB!AA291,KMB!AG291,KMB!AM291))=1)*(CHOOSE({1,2,3,4},KMB!X291,KMB!AD291,KMB!AJ291,KMB!AP291)))</f>
        <v>0</v>
      </c>
      <c r="B291">
        <f>SUMPRODUCT((MONTH(CHOOSE({1,2,3,4},KMB!U291,KMB!AA291,KMB!AG291,KMB!AM291))=2)*(CHOOSE({1,2,3,4},KMB!X291,KMB!AD291,KMB!AJ291,KMB!AP291)))</f>
        <v>0</v>
      </c>
      <c r="C291">
        <f>SUMPRODUCT((MONTH(CHOOSE({1,2,3,4},KMB!U291,KMB!AA291,KMB!AG291,KMB!AM291))=3)*(CHOOSE({1,2,3,4},KMB!X291,KMB!AD291,KMB!AJ291,KMB!AP291)))</f>
        <v>0</v>
      </c>
      <c r="D291">
        <f>SUMPRODUCT((MONTH(CHOOSE({1,2,3,4},KMB!U291,KMB!AA291,KMB!AG291,KMB!AM291))=4)*(CHOOSE({1,2,3,4},KMB!X291,KMB!AD291,KMB!AJ291,KMB!AP291)))</f>
        <v>0</v>
      </c>
      <c r="E291">
        <f>SUMPRODUCT((MONTH(CHOOSE({1,2,3,4},KMB!U291,KMB!AA291,KMB!AG291,KMB!AM291))=5)*(CHOOSE({1,2,3,4},KMB!X291,KMB!AD291,KMB!AJ291,KMB!AP291)))</f>
        <v>0</v>
      </c>
      <c r="F291">
        <f>SUMPRODUCT((MONTH(CHOOSE({1,2,3,4},KMB!U291,KMB!AA291,KMB!AG291,KMB!AM291))=6)*(CHOOSE({1,2,3,4},KMB!X291,KMB!AD291,KMB!AJ291,KMB!AP291)))</f>
        <v>0</v>
      </c>
      <c r="G291">
        <f>SUMPRODUCT((MONTH(CHOOSE({1,2,3,4},KMB!U291,KMB!AA291,KMB!AG291,KMB!AM291))=7)*(CHOOSE({1,2,3,4},KMB!X291,KMB!AD291,KMB!AJ291,KMB!AP291)))</f>
        <v>0</v>
      </c>
      <c r="H291">
        <f>SUMPRODUCT((MONTH(CHOOSE({1,2,3,4},KMB!U291,KMB!AA291,KMB!AG291,KMB!AM291))=8)*(CHOOSE({1,2,3,4},KMB!X291,KMB!AD291,KMB!AJ291,KMB!AP291)))</f>
        <v>0</v>
      </c>
      <c r="I291">
        <f>SUMPRODUCT((MONTH(CHOOSE({1,2,3,4},KMB!U291,KMB!AA291,KMB!AG291,KMB!AM291))=9)*(CHOOSE({1,2,3,4},KMB!X291,KMB!AD291,KMB!AJ291,KMB!AP291)))</f>
        <v>0</v>
      </c>
      <c r="J291">
        <f>SUMPRODUCT((MONTH(CHOOSE({1,2,3,4},KMB!U291,KMB!AA291,KMB!AG291,KMB!AM291))=10)*(CHOOSE({1,2,3,4},KMB!X291,KMB!AD291,KMB!AJ291,KMB!AP291)))</f>
        <v>0</v>
      </c>
      <c r="K291">
        <f>SUMPRODUCT((MONTH(CHOOSE({1,2,3,4},KMB!U291,KMB!AA291,KMB!AG291,KMB!AM291))=11)*(CHOOSE({1,2,3,4},KMB!X291,KMB!AD291,KMB!AJ291,KMB!AP291)))</f>
        <v>0</v>
      </c>
      <c r="L291">
        <f>SUMPRODUCT((MONTH(CHOOSE({1,2,3,4},KMB!U291,KMB!AA291,KMB!AG291,KMB!AM291))=12)*(CHOOSE({1,2,3,4},KMB!X291,KMB!AD291,KMB!AJ291,KMB!AP291)))</f>
        <v>0</v>
      </c>
    </row>
    <row r="292" spans="1:12">
      <c r="A292">
        <f>SUMPRODUCT((MONTH(CHOOSE({1,2,3,4},KMB!U292,KMB!AA292,KMB!AG292,KMB!AM292))=1)*(CHOOSE({1,2,3,4},KMB!X292,KMB!AD292,KMB!AJ292,KMB!AP292)))</f>
        <v>0</v>
      </c>
      <c r="B292">
        <f>SUMPRODUCT((MONTH(CHOOSE({1,2,3,4},KMB!U292,KMB!AA292,KMB!AG292,KMB!AM292))=2)*(CHOOSE({1,2,3,4},KMB!X292,KMB!AD292,KMB!AJ292,KMB!AP292)))</f>
        <v>0</v>
      </c>
      <c r="C292">
        <f>SUMPRODUCT((MONTH(CHOOSE({1,2,3,4},KMB!U292,KMB!AA292,KMB!AG292,KMB!AM292))=3)*(CHOOSE({1,2,3,4},KMB!X292,KMB!AD292,KMB!AJ292,KMB!AP292)))</f>
        <v>0</v>
      </c>
      <c r="D292">
        <f>SUMPRODUCT((MONTH(CHOOSE({1,2,3,4},KMB!U292,KMB!AA292,KMB!AG292,KMB!AM292))=4)*(CHOOSE({1,2,3,4},KMB!X292,KMB!AD292,KMB!AJ292,KMB!AP292)))</f>
        <v>0</v>
      </c>
      <c r="E292">
        <f>SUMPRODUCT((MONTH(CHOOSE({1,2,3,4},KMB!U292,KMB!AA292,KMB!AG292,KMB!AM292))=5)*(CHOOSE({1,2,3,4},KMB!X292,KMB!AD292,KMB!AJ292,KMB!AP292)))</f>
        <v>0</v>
      </c>
      <c r="F292">
        <f>SUMPRODUCT((MONTH(CHOOSE({1,2,3,4},KMB!U292,KMB!AA292,KMB!AG292,KMB!AM292))=6)*(CHOOSE({1,2,3,4},KMB!X292,KMB!AD292,KMB!AJ292,KMB!AP292)))</f>
        <v>0</v>
      </c>
      <c r="G292">
        <f>SUMPRODUCT((MONTH(CHOOSE({1,2,3,4},KMB!U292,KMB!AA292,KMB!AG292,KMB!AM292))=7)*(CHOOSE({1,2,3,4},KMB!X292,KMB!AD292,KMB!AJ292,KMB!AP292)))</f>
        <v>0</v>
      </c>
      <c r="H292">
        <f>SUMPRODUCT((MONTH(CHOOSE({1,2,3,4},KMB!U292,KMB!AA292,KMB!AG292,KMB!AM292))=8)*(CHOOSE({1,2,3,4},KMB!X292,KMB!AD292,KMB!AJ292,KMB!AP292)))</f>
        <v>0</v>
      </c>
      <c r="I292">
        <f>SUMPRODUCT((MONTH(CHOOSE({1,2,3,4},KMB!U292,KMB!AA292,KMB!AG292,KMB!AM292))=9)*(CHOOSE({1,2,3,4},KMB!X292,KMB!AD292,KMB!AJ292,KMB!AP292)))</f>
        <v>0</v>
      </c>
      <c r="J292">
        <f>SUMPRODUCT((MONTH(CHOOSE({1,2,3,4},KMB!U292,KMB!AA292,KMB!AG292,KMB!AM292))=10)*(CHOOSE({1,2,3,4},KMB!X292,KMB!AD292,KMB!AJ292,KMB!AP292)))</f>
        <v>0</v>
      </c>
      <c r="K292">
        <f>SUMPRODUCT((MONTH(CHOOSE({1,2,3,4},KMB!U292,KMB!AA292,KMB!AG292,KMB!AM292))=11)*(CHOOSE({1,2,3,4},KMB!X292,KMB!AD292,KMB!AJ292,KMB!AP292)))</f>
        <v>0</v>
      </c>
      <c r="L292">
        <f>SUMPRODUCT((MONTH(CHOOSE({1,2,3,4},KMB!U292,KMB!AA292,KMB!AG292,KMB!AM292))=12)*(CHOOSE({1,2,3,4},KMB!X292,KMB!AD292,KMB!AJ292,KMB!AP292)))</f>
        <v>0</v>
      </c>
    </row>
    <row r="293" spans="1:12">
      <c r="A293">
        <f>SUMPRODUCT((MONTH(CHOOSE({1,2,3,4},KMB!U293,KMB!AA293,KMB!AG293,KMB!AM293))=1)*(CHOOSE({1,2,3,4},KMB!X293,KMB!AD293,KMB!AJ293,KMB!AP293)))</f>
        <v>0</v>
      </c>
      <c r="B293">
        <f>SUMPRODUCT((MONTH(CHOOSE({1,2,3,4},KMB!U293,KMB!AA293,KMB!AG293,KMB!AM293))=2)*(CHOOSE({1,2,3,4},KMB!X293,KMB!AD293,KMB!AJ293,KMB!AP293)))</f>
        <v>0</v>
      </c>
      <c r="C293">
        <f>SUMPRODUCT((MONTH(CHOOSE({1,2,3,4},KMB!U293,KMB!AA293,KMB!AG293,KMB!AM293))=3)*(CHOOSE({1,2,3,4},KMB!X293,KMB!AD293,KMB!AJ293,KMB!AP293)))</f>
        <v>0</v>
      </c>
      <c r="D293">
        <f>SUMPRODUCT((MONTH(CHOOSE({1,2,3,4},KMB!U293,KMB!AA293,KMB!AG293,KMB!AM293))=4)*(CHOOSE({1,2,3,4},KMB!X293,KMB!AD293,KMB!AJ293,KMB!AP293)))</f>
        <v>0</v>
      </c>
      <c r="E293">
        <f>SUMPRODUCT((MONTH(CHOOSE({1,2,3,4},KMB!U293,KMB!AA293,KMB!AG293,KMB!AM293))=5)*(CHOOSE({1,2,3,4},KMB!X293,KMB!AD293,KMB!AJ293,KMB!AP293)))</f>
        <v>0</v>
      </c>
      <c r="F293">
        <f>SUMPRODUCT((MONTH(CHOOSE({1,2,3,4},KMB!U293,KMB!AA293,KMB!AG293,KMB!AM293))=6)*(CHOOSE({1,2,3,4},KMB!X293,KMB!AD293,KMB!AJ293,KMB!AP293)))</f>
        <v>0</v>
      </c>
      <c r="G293">
        <f>SUMPRODUCT((MONTH(CHOOSE({1,2,3,4},KMB!U293,KMB!AA293,KMB!AG293,KMB!AM293))=7)*(CHOOSE({1,2,3,4},KMB!X293,KMB!AD293,KMB!AJ293,KMB!AP293)))</f>
        <v>0</v>
      </c>
      <c r="H293">
        <f>SUMPRODUCT((MONTH(CHOOSE({1,2,3,4},KMB!U293,KMB!AA293,KMB!AG293,KMB!AM293))=8)*(CHOOSE({1,2,3,4},KMB!X293,KMB!AD293,KMB!AJ293,KMB!AP293)))</f>
        <v>0</v>
      </c>
      <c r="I293">
        <f>SUMPRODUCT((MONTH(CHOOSE({1,2,3,4},KMB!U293,KMB!AA293,KMB!AG293,KMB!AM293))=9)*(CHOOSE({1,2,3,4},KMB!X293,KMB!AD293,KMB!AJ293,KMB!AP293)))</f>
        <v>0</v>
      </c>
      <c r="J293">
        <f>SUMPRODUCT((MONTH(CHOOSE({1,2,3,4},KMB!U293,KMB!AA293,KMB!AG293,KMB!AM293))=10)*(CHOOSE({1,2,3,4},KMB!X293,KMB!AD293,KMB!AJ293,KMB!AP293)))</f>
        <v>0</v>
      </c>
      <c r="K293">
        <f>SUMPRODUCT((MONTH(CHOOSE({1,2,3,4},KMB!U293,KMB!AA293,KMB!AG293,KMB!AM293))=11)*(CHOOSE({1,2,3,4},KMB!X293,KMB!AD293,KMB!AJ293,KMB!AP293)))</f>
        <v>0</v>
      </c>
      <c r="L293">
        <f>SUMPRODUCT((MONTH(CHOOSE({1,2,3,4},KMB!U293,KMB!AA293,KMB!AG293,KMB!AM293))=12)*(CHOOSE({1,2,3,4},KMB!X293,KMB!AD293,KMB!AJ293,KMB!AP293)))</f>
        <v>0</v>
      </c>
    </row>
    <row r="294" spans="1:12">
      <c r="A294">
        <f>SUMPRODUCT((MONTH(CHOOSE({1,2,3,4},KMB!U294,KMB!AA294,KMB!AG294,KMB!AM294))=1)*(CHOOSE({1,2,3,4},KMB!X294,KMB!AD294,KMB!AJ294,KMB!AP294)))</f>
        <v>0</v>
      </c>
      <c r="B294">
        <f>SUMPRODUCT((MONTH(CHOOSE({1,2,3,4},KMB!U294,KMB!AA294,KMB!AG294,KMB!AM294))=2)*(CHOOSE({1,2,3,4},KMB!X294,KMB!AD294,KMB!AJ294,KMB!AP294)))</f>
        <v>0</v>
      </c>
      <c r="C294">
        <f>SUMPRODUCT((MONTH(CHOOSE({1,2,3,4},KMB!U294,KMB!AA294,KMB!AG294,KMB!AM294))=3)*(CHOOSE({1,2,3,4},KMB!X294,KMB!AD294,KMB!AJ294,KMB!AP294)))</f>
        <v>0</v>
      </c>
      <c r="D294">
        <f>SUMPRODUCT((MONTH(CHOOSE({1,2,3,4},KMB!U294,KMB!AA294,KMB!AG294,KMB!AM294))=4)*(CHOOSE({1,2,3,4},KMB!X294,KMB!AD294,KMB!AJ294,KMB!AP294)))</f>
        <v>0</v>
      </c>
      <c r="E294">
        <f>SUMPRODUCT((MONTH(CHOOSE({1,2,3,4},KMB!U294,KMB!AA294,KMB!AG294,KMB!AM294))=5)*(CHOOSE({1,2,3,4},KMB!X294,KMB!AD294,KMB!AJ294,KMB!AP294)))</f>
        <v>0</v>
      </c>
      <c r="F294">
        <f>SUMPRODUCT((MONTH(CHOOSE({1,2,3,4},KMB!U294,KMB!AA294,KMB!AG294,KMB!AM294))=6)*(CHOOSE({1,2,3,4},KMB!X294,KMB!AD294,KMB!AJ294,KMB!AP294)))</f>
        <v>0</v>
      </c>
      <c r="G294">
        <f>SUMPRODUCT((MONTH(CHOOSE({1,2,3,4},KMB!U294,KMB!AA294,KMB!AG294,KMB!AM294))=7)*(CHOOSE({1,2,3,4},KMB!X294,KMB!AD294,KMB!AJ294,KMB!AP294)))</f>
        <v>0</v>
      </c>
      <c r="H294">
        <f>SUMPRODUCT((MONTH(CHOOSE({1,2,3,4},KMB!U294,KMB!AA294,KMB!AG294,KMB!AM294))=8)*(CHOOSE({1,2,3,4},KMB!X294,KMB!AD294,KMB!AJ294,KMB!AP294)))</f>
        <v>0</v>
      </c>
      <c r="I294">
        <f>SUMPRODUCT((MONTH(CHOOSE({1,2,3,4},KMB!U294,KMB!AA294,KMB!AG294,KMB!AM294))=9)*(CHOOSE({1,2,3,4},KMB!X294,KMB!AD294,KMB!AJ294,KMB!AP294)))</f>
        <v>0</v>
      </c>
      <c r="J294">
        <f>SUMPRODUCT((MONTH(CHOOSE({1,2,3,4},KMB!U294,KMB!AA294,KMB!AG294,KMB!AM294))=10)*(CHOOSE({1,2,3,4},KMB!X294,KMB!AD294,KMB!AJ294,KMB!AP294)))</f>
        <v>0</v>
      </c>
      <c r="K294">
        <f>SUMPRODUCT((MONTH(CHOOSE({1,2,3,4},KMB!U294,KMB!AA294,KMB!AG294,KMB!AM294))=11)*(CHOOSE({1,2,3,4},KMB!X294,KMB!AD294,KMB!AJ294,KMB!AP294)))</f>
        <v>0</v>
      </c>
      <c r="L294">
        <f>SUMPRODUCT((MONTH(CHOOSE({1,2,3,4},KMB!U294,KMB!AA294,KMB!AG294,KMB!AM294))=12)*(CHOOSE({1,2,3,4},KMB!X294,KMB!AD294,KMB!AJ294,KMB!AP294)))</f>
        <v>0</v>
      </c>
    </row>
    <row r="295" spans="1:12">
      <c r="A295">
        <f>SUMPRODUCT((MONTH(CHOOSE({1,2,3,4},KMB!U295,KMB!AA295,KMB!AG295,KMB!AM295))=1)*(CHOOSE({1,2,3,4},KMB!X295,KMB!AD295,KMB!AJ295,KMB!AP295)))</f>
        <v>0</v>
      </c>
      <c r="B295">
        <f>SUMPRODUCT((MONTH(CHOOSE({1,2,3,4},KMB!U295,KMB!AA295,KMB!AG295,KMB!AM295))=2)*(CHOOSE({1,2,3,4},KMB!X295,KMB!AD295,KMB!AJ295,KMB!AP295)))</f>
        <v>0</v>
      </c>
      <c r="C295">
        <f>SUMPRODUCT((MONTH(CHOOSE({1,2,3,4},KMB!U295,KMB!AA295,KMB!AG295,KMB!AM295))=3)*(CHOOSE({1,2,3,4},KMB!X295,KMB!AD295,KMB!AJ295,KMB!AP295)))</f>
        <v>0</v>
      </c>
      <c r="D295">
        <f>SUMPRODUCT((MONTH(CHOOSE({1,2,3,4},KMB!U295,KMB!AA295,KMB!AG295,KMB!AM295))=4)*(CHOOSE({1,2,3,4},KMB!X295,KMB!AD295,KMB!AJ295,KMB!AP295)))</f>
        <v>0</v>
      </c>
      <c r="E295">
        <f>SUMPRODUCT((MONTH(CHOOSE({1,2,3,4},KMB!U295,KMB!AA295,KMB!AG295,KMB!AM295))=5)*(CHOOSE({1,2,3,4},KMB!X295,KMB!AD295,KMB!AJ295,KMB!AP295)))</f>
        <v>0</v>
      </c>
      <c r="F295">
        <f>SUMPRODUCT((MONTH(CHOOSE({1,2,3,4},KMB!U295,KMB!AA295,KMB!AG295,KMB!AM295))=6)*(CHOOSE({1,2,3,4},KMB!X295,KMB!AD295,KMB!AJ295,KMB!AP295)))</f>
        <v>0</v>
      </c>
      <c r="G295">
        <f>SUMPRODUCT((MONTH(CHOOSE({1,2,3,4},KMB!U295,KMB!AA295,KMB!AG295,KMB!AM295))=7)*(CHOOSE({1,2,3,4},KMB!X295,KMB!AD295,KMB!AJ295,KMB!AP295)))</f>
        <v>0</v>
      </c>
      <c r="H295">
        <f>SUMPRODUCT((MONTH(CHOOSE({1,2,3,4},KMB!U295,KMB!AA295,KMB!AG295,KMB!AM295))=8)*(CHOOSE({1,2,3,4},KMB!X295,KMB!AD295,KMB!AJ295,KMB!AP295)))</f>
        <v>0</v>
      </c>
      <c r="I295">
        <f>SUMPRODUCT((MONTH(CHOOSE({1,2,3,4},KMB!U295,KMB!AA295,KMB!AG295,KMB!AM295))=9)*(CHOOSE({1,2,3,4},KMB!X295,KMB!AD295,KMB!AJ295,KMB!AP295)))</f>
        <v>0</v>
      </c>
      <c r="J295">
        <f>SUMPRODUCT((MONTH(CHOOSE({1,2,3,4},KMB!U295,KMB!AA295,KMB!AG295,KMB!AM295))=10)*(CHOOSE({1,2,3,4},KMB!X295,KMB!AD295,KMB!AJ295,KMB!AP295)))</f>
        <v>0</v>
      </c>
      <c r="K295">
        <f>SUMPRODUCT((MONTH(CHOOSE({1,2,3,4},KMB!U295,KMB!AA295,KMB!AG295,KMB!AM295))=11)*(CHOOSE({1,2,3,4},KMB!X295,KMB!AD295,KMB!AJ295,KMB!AP295)))</f>
        <v>0</v>
      </c>
      <c r="L295">
        <f>SUMPRODUCT((MONTH(CHOOSE({1,2,3,4},KMB!U295,KMB!AA295,KMB!AG295,KMB!AM295))=12)*(CHOOSE({1,2,3,4},KMB!X295,KMB!AD295,KMB!AJ295,KMB!AP295)))</f>
        <v>0</v>
      </c>
    </row>
    <row r="296" spans="1:12">
      <c r="A296">
        <f>SUMPRODUCT((MONTH(CHOOSE({1,2,3,4},KMB!U296,KMB!AA296,KMB!AG296,KMB!AM296))=1)*(CHOOSE({1,2,3,4},KMB!X296,KMB!AD296,KMB!AJ296,KMB!AP296)))</f>
        <v>0</v>
      </c>
      <c r="B296">
        <f>SUMPRODUCT((MONTH(CHOOSE({1,2,3,4},KMB!U296,KMB!AA296,KMB!AG296,KMB!AM296))=2)*(CHOOSE({1,2,3,4},KMB!X296,KMB!AD296,KMB!AJ296,KMB!AP296)))</f>
        <v>0</v>
      </c>
      <c r="C296">
        <f>SUMPRODUCT((MONTH(CHOOSE({1,2,3,4},KMB!U296,KMB!AA296,KMB!AG296,KMB!AM296))=3)*(CHOOSE({1,2,3,4},KMB!X296,KMB!AD296,KMB!AJ296,KMB!AP296)))</f>
        <v>0</v>
      </c>
      <c r="D296">
        <f>SUMPRODUCT((MONTH(CHOOSE({1,2,3,4},KMB!U296,KMB!AA296,KMB!AG296,KMB!AM296))=4)*(CHOOSE({1,2,3,4},KMB!X296,KMB!AD296,KMB!AJ296,KMB!AP296)))</f>
        <v>0</v>
      </c>
      <c r="E296">
        <f>SUMPRODUCT((MONTH(CHOOSE({1,2,3,4},KMB!U296,KMB!AA296,KMB!AG296,KMB!AM296))=5)*(CHOOSE({1,2,3,4},KMB!X296,KMB!AD296,KMB!AJ296,KMB!AP296)))</f>
        <v>0</v>
      </c>
      <c r="F296">
        <f>SUMPRODUCT((MONTH(CHOOSE({1,2,3,4},KMB!U296,KMB!AA296,KMB!AG296,KMB!AM296))=6)*(CHOOSE({1,2,3,4},KMB!X296,KMB!AD296,KMB!AJ296,KMB!AP296)))</f>
        <v>0</v>
      </c>
      <c r="G296">
        <f>SUMPRODUCT((MONTH(CHOOSE({1,2,3,4},KMB!U296,KMB!AA296,KMB!AG296,KMB!AM296))=7)*(CHOOSE({1,2,3,4},KMB!X296,KMB!AD296,KMB!AJ296,KMB!AP296)))</f>
        <v>0</v>
      </c>
      <c r="H296">
        <f>SUMPRODUCT((MONTH(CHOOSE({1,2,3,4},KMB!U296,KMB!AA296,KMB!AG296,KMB!AM296))=8)*(CHOOSE({1,2,3,4},KMB!X296,KMB!AD296,KMB!AJ296,KMB!AP296)))</f>
        <v>0</v>
      </c>
      <c r="I296">
        <f>SUMPRODUCT((MONTH(CHOOSE({1,2,3,4},KMB!U296,KMB!AA296,KMB!AG296,KMB!AM296))=9)*(CHOOSE({1,2,3,4},KMB!X296,KMB!AD296,KMB!AJ296,KMB!AP296)))</f>
        <v>0</v>
      </c>
      <c r="J296">
        <f>SUMPRODUCT((MONTH(CHOOSE({1,2,3,4},KMB!U296,KMB!AA296,KMB!AG296,KMB!AM296))=10)*(CHOOSE({1,2,3,4},KMB!X296,KMB!AD296,KMB!AJ296,KMB!AP296)))</f>
        <v>0</v>
      </c>
      <c r="K296">
        <f>SUMPRODUCT((MONTH(CHOOSE({1,2,3,4},KMB!U296,KMB!AA296,KMB!AG296,KMB!AM296))=11)*(CHOOSE({1,2,3,4},KMB!X296,KMB!AD296,KMB!AJ296,KMB!AP296)))</f>
        <v>0</v>
      </c>
      <c r="L296">
        <f>SUMPRODUCT((MONTH(CHOOSE({1,2,3,4},KMB!U296,KMB!AA296,KMB!AG296,KMB!AM296))=12)*(CHOOSE({1,2,3,4},KMB!X296,KMB!AD296,KMB!AJ296,KMB!AP296)))</f>
        <v>0</v>
      </c>
    </row>
    <row r="297" spans="1:12">
      <c r="A297">
        <f>SUMPRODUCT((MONTH(CHOOSE({1,2,3,4},KMB!U297,KMB!AA297,KMB!AG297,KMB!AM297))=1)*(CHOOSE({1,2,3,4},KMB!X297,KMB!AD297,KMB!AJ297,KMB!AP297)))</f>
        <v>0</v>
      </c>
      <c r="B297">
        <f>SUMPRODUCT((MONTH(CHOOSE({1,2,3,4},KMB!U297,KMB!AA297,KMB!AG297,KMB!AM297))=2)*(CHOOSE({1,2,3,4},KMB!X297,KMB!AD297,KMB!AJ297,KMB!AP297)))</f>
        <v>0</v>
      </c>
      <c r="C297">
        <f>SUMPRODUCT((MONTH(CHOOSE({1,2,3,4},KMB!U297,KMB!AA297,KMB!AG297,KMB!AM297))=3)*(CHOOSE({1,2,3,4},KMB!X297,KMB!AD297,KMB!AJ297,KMB!AP297)))</f>
        <v>0</v>
      </c>
      <c r="D297">
        <f>SUMPRODUCT((MONTH(CHOOSE({1,2,3,4},KMB!U297,KMB!AA297,KMB!AG297,KMB!AM297))=4)*(CHOOSE({1,2,3,4},KMB!X297,KMB!AD297,KMB!AJ297,KMB!AP297)))</f>
        <v>0</v>
      </c>
      <c r="E297">
        <f>SUMPRODUCT((MONTH(CHOOSE({1,2,3,4},KMB!U297,KMB!AA297,KMB!AG297,KMB!AM297))=5)*(CHOOSE({1,2,3,4},KMB!X297,KMB!AD297,KMB!AJ297,KMB!AP297)))</f>
        <v>0</v>
      </c>
      <c r="F297">
        <f>SUMPRODUCT((MONTH(CHOOSE({1,2,3,4},KMB!U297,KMB!AA297,KMB!AG297,KMB!AM297))=6)*(CHOOSE({1,2,3,4},KMB!X297,KMB!AD297,KMB!AJ297,KMB!AP297)))</f>
        <v>0</v>
      </c>
      <c r="G297">
        <f>SUMPRODUCT((MONTH(CHOOSE({1,2,3,4},KMB!U297,KMB!AA297,KMB!AG297,KMB!AM297))=7)*(CHOOSE({1,2,3,4},KMB!X297,KMB!AD297,KMB!AJ297,KMB!AP297)))</f>
        <v>0</v>
      </c>
      <c r="H297">
        <f>SUMPRODUCT((MONTH(CHOOSE({1,2,3,4},KMB!U297,KMB!AA297,KMB!AG297,KMB!AM297))=8)*(CHOOSE({1,2,3,4},KMB!X297,KMB!AD297,KMB!AJ297,KMB!AP297)))</f>
        <v>0</v>
      </c>
      <c r="I297">
        <f>SUMPRODUCT((MONTH(CHOOSE({1,2,3,4},KMB!U297,KMB!AA297,KMB!AG297,KMB!AM297))=9)*(CHOOSE({1,2,3,4},KMB!X297,KMB!AD297,KMB!AJ297,KMB!AP297)))</f>
        <v>0</v>
      </c>
      <c r="J297">
        <f>SUMPRODUCT((MONTH(CHOOSE({1,2,3,4},KMB!U297,KMB!AA297,KMB!AG297,KMB!AM297))=10)*(CHOOSE({1,2,3,4},KMB!X297,KMB!AD297,KMB!AJ297,KMB!AP297)))</f>
        <v>0</v>
      </c>
      <c r="K297">
        <f>SUMPRODUCT((MONTH(CHOOSE({1,2,3,4},KMB!U297,KMB!AA297,KMB!AG297,KMB!AM297))=11)*(CHOOSE({1,2,3,4},KMB!X297,KMB!AD297,KMB!AJ297,KMB!AP297)))</f>
        <v>0</v>
      </c>
      <c r="L297">
        <f>SUMPRODUCT((MONTH(CHOOSE({1,2,3,4},KMB!U297,KMB!AA297,KMB!AG297,KMB!AM297))=12)*(CHOOSE({1,2,3,4},KMB!X297,KMB!AD297,KMB!AJ297,KMB!AP297)))</f>
        <v>0</v>
      </c>
    </row>
    <row r="298" spans="1:12">
      <c r="A298">
        <f>SUMPRODUCT((MONTH(CHOOSE({1,2,3,4},KMB!U298,KMB!AA298,KMB!AG298,KMB!AM298))=1)*(CHOOSE({1,2,3,4},KMB!X298,KMB!AD298,KMB!AJ298,KMB!AP298)))</f>
        <v>0</v>
      </c>
      <c r="B298">
        <f>SUMPRODUCT((MONTH(CHOOSE({1,2,3,4},KMB!U298,KMB!AA298,KMB!AG298,KMB!AM298))=2)*(CHOOSE({1,2,3,4},KMB!X298,KMB!AD298,KMB!AJ298,KMB!AP298)))</f>
        <v>0</v>
      </c>
      <c r="C298">
        <f>SUMPRODUCT((MONTH(CHOOSE({1,2,3,4},KMB!U298,KMB!AA298,KMB!AG298,KMB!AM298))=3)*(CHOOSE({1,2,3,4},KMB!X298,KMB!AD298,KMB!AJ298,KMB!AP298)))</f>
        <v>0</v>
      </c>
      <c r="D298">
        <f>SUMPRODUCT((MONTH(CHOOSE({1,2,3,4},KMB!U298,KMB!AA298,KMB!AG298,KMB!AM298))=4)*(CHOOSE({1,2,3,4},KMB!X298,KMB!AD298,KMB!AJ298,KMB!AP298)))</f>
        <v>0</v>
      </c>
      <c r="E298">
        <f>SUMPRODUCT((MONTH(CHOOSE({1,2,3,4},KMB!U298,KMB!AA298,KMB!AG298,KMB!AM298))=5)*(CHOOSE({1,2,3,4},KMB!X298,KMB!AD298,KMB!AJ298,KMB!AP298)))</f>
        <v>0</v>
      </c>
      <c r="F298">
        <f>SUMPRODUCT((MONTH(CHOOSE({1,2,3,4},KMB!U298,KMB!AA298,KMB!AG298,KMB!AM298))=6)*(CHOOSE({1,2,3,4},KMB!X298,KMB!AD298,KMB!AJ298,KMB!AP298)))</f>
        <v>0</v>
      </c>
      <c r="G298">
        <f>SUMPRODUCT((MONTH(CHOOSE({1,2,3,4},KMB!U298,KMB!AA298,KMB!AG298,KMB!AM298))=7)*(CHOOSE({1,2,3,4},KMB!X298,KMB!AD298,KMB!AJ298,KMB!AP298)))</f>
        <v>0</v>
      </c>
      <c r="H298">
        <f>SUMPRODUCT((MONTH(CHOOSE({1,2,3,4},KMB!U298,KMB!AA298,KMB!AG298,KMB!AM298))=8)*(CHOOSE({1,2,3,4},KMB!X298,KMB!AD298,KMB!AJ298,KMB!AP298)))</f>
        <v>0</v>
      </c>
      <c r="I298">
        <f>SUMPRODUCT((MONTH(CHOOSE({1,2,3,4},KMB!U298,KMB!AA298,KMB!AG298,KMB!AM298))=9)*(CHOOSE({1,2,3,4},KMB!X298,KMB!AD298,KMB!AJ298,KMB!AP298)))</f>
        <v>0</v>
      </c>
      <c r="J298">
        <f>SUMPRODUCT((MONTH(CHOOSE({1,2,3,4},KMB!U298,KMB!AA298,KMB!AG298,KMB!AM298))=10)*(CHOOSE({1,2,3,4},KMB!X298,KMB!AD298,KMB!AJ298,KMB!AP298)))</f>
        <v>0</v>
      </c>
      <c r="K298">
        <f>SUMPRODUCT((MONTH(CHOOSE({1,2,3,4},KMB!U298,KMB!AA298,KMB!AG298,KMB!AM298))=11)*(CHOOSE({1,2,3,4},KMB!X298,KMB!AD298,KMB!AJ298,KMB!AP298)))</f>
        <v>0</v>
      </c>
      <c r="L298">
        <f>SUMPRODUCT((MONTH(CHOOSE({1,2,3,4},KMB!U298,KMB!AA298,KMB!AG298,KMB!AM298))=12)*(CHOOSE({1,2,3,4},KMB!X298,KMB!AD298,KMB!AJ298,KMB!AP298)))</f>
        <v>0</v>
      </c>
    </row>
    <row r="299" spans="1:12">
      <c r="A299">
        <f>SUMPRODUCT((MONTH(CHOOSE({1,2,3,4},KMB!U299,KMB!AA299,KMB!AG299,KMB!AM299))=1)*(CHOOSE({1,2,3,4},KMB!X299,KMB!AD299,KMB!AJ299,KMB!AP299)))</f>
        <v>0</v>
      </c>
      <c r="B299">
        <f>SUMPRODUCT((MONTH(CHOOSE({1,2,3,4},KMB!U299,KMB!AA299,KMB!AG299,KMB!AM299))=2)*(CHOOSE({1,2,3,4},KMB!X299,KMB!AD299,KMB!AJ299,KMB!AP299)))</f>
        <v>0</v>
      </c>
      <c r="C299">
        <f>SUMPRODUCT((MONTH(CHOOSE({1,2,3,4},KMB!U299,KMB!AA299,KMB!AG299,KMB!AM299))=3)*(CHOOSE({1,2,3,4},KMB!X299,KMB!AD299,KMB!AJ299,KMB!AP299)))</f>
        <v>0</v>
      </c>
      <c r="D299">
        <f>SUMPRODUCT((MONTH(CHOOSE({1,2,3,4},KMB!U299,KMB!AA299,KMB!AG299,KMB!AM299))=4)*(CHOOSE({1,2,3,4},KMB!X299,KMB!AD299,KMB!AJ299,KMB!AP299)))</f>
        <v>0</v>
      </c>
      <c r="E299">
        <f>SUMPRODUCT((MONTH(CHOOSE({1,2,3,4},KMB!U299,KMB!AA299,KMB!AG299,KMB!AM299))=5)*(CHOOSE({1,2,3,4},KMB!X299,KMB!AD299,KMB!AJ299,KMB!AP299)))</f>
        <v>0</v>
      </c>
      <c r="F299">
        <f>SUMPRODUCT((MONTH(CHOOSE({1,2,3,4},KMB!U299,KMB!AA299,KMB!AG299,KMB!AM299))=6)*(CHOOSE({1,2,3,4},KMB!X299,KMB!AD299,KMB!AJ299,KMB!AP299)))</f>
        <v>0</v>
      </c>
      <c r="G299">
        <f>SUMPRODUCT((MONTH(CHOOSE({1,2,3,4},KMB!U299,KMB!AA299,KMB!AG299,KMB!AM299))=7)*(CHOOSE({1,2,3,4},KMB!X299,KMB!AD299,KMB!AJ299,KMB!AP299)))</f>
        <v>0</v>
      </c>
      <c r="H299">
        <f>SUMPRODUCT((MONTH(CHOOSE({1,2,3,4},KMB!U299,KMB!AA299,KMB!AG299,KMB!AM299))=8)*(CHOOSE({1,2,3,4},KMB!X299,KMB!AD299,KMB!AJ299,KMB!AP299)))</f>
        <v>0</v>
      </c>
      <c r="I299">
        <f>SUMPRODUCT((MONTH(CHOOSE({1,2,3,4},KMB!U299,KMB!AA299,KMB!AG299,KMB!AM299))=9)*(CHOOSE({1,2,3,4},KMB!X299,KMB!AD299,KMB!AJ299,KMB!AP299)))</f>
        <v>0</v>
      </c>
      <c r="J299">
        <f>SUMPRODUCT((MONTH(CHOOSE({1,2,3,4},KMB!U299,KMB!AA299,KMB!AG299,KMB!AM299))=10)*(CHOOSE({1,2,3,4},KMB!X299,KMB!AD299,KMB!AJ299,KMB!AP299)))</f>
        <v>0</v>
      </c>
      <c r="K299">
        <f>SUMPRODUCT((MONTH(CHOOSE({1,2,3,4},KMB!U299,KMB!AA299,KMB!AG299,KMB!AM299))=11)*(CHOOSE({1,2,3,4},KMB!X299,KMB!AD299,KMB!AJ299,KMB!AP299)))</f>
        <v>0</v>
      </c>
      <c r="L299">
        <f>SUMPRODUCT((MONTH(CHOOSE({1,2,3,4},KMB!U299,KMB!AA299,KMB!AG299,KMB!AM299))=12)*(CHOOSE({1,2,3,4},KMB!X299,KMB!AD299,KMB!AJ299,KMB!AP299)))</f>
        <v>0</v>
      </c>
    </row>
    <row r="300" spans="1:12">
      <c r="A300">
        <f>SUMPRODUCT((MONTH(CHOOSE({1,2,3,4},KMB!U300,KMB!AA300,KMB!AG300,KMB!AM300))=1)*(CHOOSE({1,2,3,4},KMB!X300,KMB!AD300,KMB!AJ300,KMB!AP300)))</f>
        <v>0</v>
      </c>
      <c r="B300">
        <f>SUMPRODUCT((MONTH(CHOOSE({1,2,3,4},KMB!U300,KMB!AA300,KMB!AG300,KMB!AM300))=2)*(CHOOSE({1,2,3,4},KMB!X300,KMB!AD300,KMB!AJ300,KMB!AP300)))</f>
        <v>0</v>
      </c>
      <c r="C300">
        <f>SUMPRODUCT((MONTH(CHOOSE({1,2,3,4},KMB!U300,KMB!AA300,KMB!AG300,KMB!AM300))=3)*(CHOOSE({1,2,3,4},KMB!X300,KMB!AD300,KMB!AJ300,KMB!AP300)))</f>
        <v>0</v>
      </c>
      <c r="D300">
        <f>SUMPRODUCT((MONTH(CHOOSE({1,2,3,4},KMB!U300,KMB!AA300,KMB!AG300,KMB!AM300))=4)*(CHOOSE({1,2,3,4},KMB!X300,KMB!AD300,KMB!AJ300,KMB!AP300)))</f>
        <v>0</v>
      </c>
      <c r="E300">
        <f>SUMPRODUCT((MONTH(CHOOSE({1,2,3,4},KMB!U300,KMB!AA300,KMB!AG300,KMB!AM300))=5)*(CHOOSE({1,2,3,4},KMB!X300,KMB!AD300,KMB!AJ300,KMB!AP300)))</f>
        <v>0</v>
      </c>
      <c r="F300">
        <f>SUMPRODUCT((MONTH(CHOOSE({1,2,3,4},KMB!U300,KMB!AA300,KMB!AG300,KMB!AM300))=6)*(CHOOSE({1,2,3,4},KMB!X300,KMB!AD300,KMB!AJ300,KMB!AP300)))</f>
        <v>0</v>
      </c>
      <c r="G300">
        <f>SUMPRODUCT((MONTH(CHOOSE({1,2,3,4},KMB!U300,KMB!AA300,KMB!AG300,KMB!AM300))=7)*(CHOOSE({1,2,3,4},KMB!X300,KMB!AD300,KMB!AJ300,KMB!AP300)))</f>
        <v>0</v>
      </c>
      <c r="H300">
        <f>SUMPRODUCT((MONTH(CHOOSE({1,2,3,4},KMB!U300,KMB!AA300,KMB!AG300,KMB!AM300))=8)*(CHOOSE({1,2,3,4},KMB!X300,KMB!AD300,KMB!AJ300,KMB!AP300)))</f>
        <v>0</v>
      </c>
      <c r="I300">
        <f>SUMPRODUCT((MONTH(CHOOSE({1,2,3,4},KMB!U300,KMB!AA300,KMB!AG300,KMB!AM300))=9)*(CHOOSE({1,2,3,4},KMB!X300,KMB!AD300,KMB!AJ300,KMB!AP300)))</f>
        <v>0</v>
      </c>
      <c r="J300">
        <f>SUMPRODUCT((MONTH(CHOOSE({1,2,3,4},KMB!U300,KMB!AA300,KMB!AG300,KMB!AM300))=10)*(CHOOSE({1,2,3,4},KMB!X300,KMB!AD300,KMB!AJ300,KMB!AP300)))</f>
        <v>0</v>
      </c>
      <c r="K300">
        <f>SUMPRODUCT((MONTH(CHOOSE({1,2,3,4},KMB!U300,KMB!AA300,KMB!AG300,KMB!AM300))=11)*(CHOOSE({1,2,3,4},KMB!X300,KMB!AD300,KMB!AJ300,KMB!AP300)))</f>
        <v>0</v>
      </c>
      <c r="L300">
        <f>SUMPRODUCT((MONTH(CHOOSE({1,2,3,4},KMB!U300,KMB!AA300,KMB!AG300,KMB!AM300))=12)*(CHOOSE({1,2,3,4},KMB!X300,KMB!AD300,KMB!AJ300,KMB!AP300)))</f>
        <v>0</v>
      </c>
    </row>
    <row r="301" spans="1:12">
      <c r="A301">
        <f>SUMPRODUCT((MONTH(CHOOSE({1,2,3,4},KMB!U301,KMB!AA301,KMB!AG301,KMB!AM301))=1)*(CHOOSE({1,2,3,4},KMB!X301,KMB!AD301,KMB!AJ301,KMB!AP301)))</f>
        <v>0</v>
      </c>
      <c r="B301">
        <f>SUMPRODUCT((MONTH(CHOOSE({1,2,3,4},KMB!U301,KMB!AA301,KMB!AG301,KMB!AM301))=2)*(CHOOSE({1,2,3,4},KMB!X301,KMB!AD301,KMB!AJ301,KMB!AP301)))</f>
        <v>0</v>
      </c>
      <c r="C301">
        <f>SUMPRODUCT((MONTH(CHOOSE({1,2,3,4},KMB!U301,KMB!AA301,KMB!AG301,KMB!AM301))=3)*(CHOOSE({1,2,3,4},KMB!X301,KMB!AD301,KMB!AJ301,KMB!AP301)))</f>
        <v>0</v>
      </c>
      <c r="D301">
        <f>SUMPRODUCT((MONTH(CHOOSE({1,2,3,4},KMB!U301,KMB!AA301,KMB!AG301,KMB!AM301))=4)*(CHOOSE({1,2,3,4},KMB!X301,KMB!AD301,KMB!AJ301,KMB!AP301)))</f>
        <v>0</v>
      </c>
      <c r="E301">
        <f>SUMPRODUCT((MONTH(CHOOSE({1,2,3,4},KMB!U301,KMB!AA301,KMB!AG301,KMB!AM301))=5)*(CHOOSE({1,2,3,4},KMB!X301,KMB!AD301,KMB!AJ301,KMB!AP301)))</f>
        <v>0</v>
      </c>
      <c r="F301">
        <f>SUMPRODUCT((MONTH(CHOOSE({1,2,3,4},KMB!U301,KMB!AA301,KMB!AG301,KMB!AM301))=6)*(CHOOSE({1,2,3,4},KMB!X301,KMB!AD301,KMB!AJ301,KMB!AP301)))</f>
        <v>0</v>
      </c>
      <c r="G301">
        <f>SUMPRODUCT((MONTH(CHOOSE({1,2,3,4},KMB!U301,KMB!AA301,KMB!AG301,KMB!AM301))=7)*(CHOOSE({1,2,3,4},KMB!X301,KMB!AD301,KMB!AJ301,KMB!AP301)))</f>
        <v>0</v>
      </c>
      <c r="H301">
        <f>SUMPRODUCT((MONTH(CHOOSE({1,2,3,4},KMB!U301,KMB!AA301,KMB!AG301,KMB!AM301))=8)*(CHOOSE({1,2,3,4},KMB!X301,KMB!AD301,KMB!AJ301,KMB!AP301)))</f>
        <v>0</v>
      </c>
      <c r="I301">
        <f>SUMPRODUCT((MONTH(CHOOSE({1,2,3,4},KMB!U301,KMB!AA301,KMB!AG301,KMB!AM301))=9)*(CHOOSE({1,2,3,4},KMB!X301,KMB!AD301,KMB!AJ301,KMB!AP301)))</f>
        <v>0</v>
      </c>
      <c r="J301">
        <f>SUMPRODUCT((MONTH(CHOOSE({1,2,3,4},KMB!U301,KMB!AA301,KMB!AG301,KMB!AM301))=10)*(CHOOSE({1,2,3,4},KMB!X301,KMB!AD301,KMB!AJ301,KMB!AP301)))</f>
        <v>0</v>
      </c>
      <c r="K301">
        <f>SUMPRODUCT((MONTH(CHOOSE({1,2,3,4},KMB!U301,KMB!AA301,KMB!AG301,KMB!AM301))=11)*(CHOOSE({1,2,3,4},KMB!X301,KMB!AD301,KMB!AJ301,KMB!AP301)))</f>
        <v>0</v>
      </c>
      <c r="L301">
        <f>SUMPRODUCT((MONTH(CHOOSE({1,2,3,4},KMB!U301,KMB!AA301,KMB!AG301,KMB!AM301))=12)*(CHOOSE({1,2,3,4},KMB!X301,KMB!AD301,KMB!AJ301,KMB!AP301)))</f>
        <v>0</v>
      </c>
    </row>
    <row r="302" spans="1:12">
      <c r="A302">
        <f>SUMPRODUCT((MONTH(CHOOSE({1,2,3,4},KMB!U302,KMB!AA302,KMB!AG302,KMB!AM302))=1)*(CHOOSE({1,2,3,4},KMB!X302,KMB!AD302,KMB!AJ302,KMB!AP302)))</f>
        <v>0</v>
      </c>
      <c r="B302">
        <f>SUMPRODUCT((MONTH(CHOOSE({1,2,3,4},KMB!U302,KMB!AA302,KMB!AG302,KMB!AM302))=2)*(CHOOSE({1,2,3,4},KMB!X302,KMB!AD302,KMB!AJ302,KMB!AP302)))</f>
        <v>0</v>
      </c>
      <c r="C302">
        <f>SUMPRODUCT((MONTH(CHOOSE({1,2,3,4},KMB!U302,KMB!AA302,KMB!AG302,KMB!AM302))=3)*(CHOOSE({1,2,3,4},KMB!X302,KMB!AD302,KMB!AJ302,KMB!AP302)))</f>
        <v>0</v>
      </c>
      <c r="D302">
        <f>SUMPRODUCT((MONTH(CHOOSE({1,2,3,4},KMB!U302,KMB!AA302,KMB!AG302,KMB!AM302))=4)*(CHOOSE({1,2,3,4},KMB!X302,KMB!AD302,KMB!AJ302,KMB!AP302)))</f>
        <v>0</v>
      </c>
      <c r="E302">
        <f>SUMPRODUCT((MONTH(CHOOSE({1,2,3,4},KMB!U302,KMB!AA302,KMB!AG302,KMB!AM302))=5)*(CHOOSE({1,2,3,4},KMB!X302,KMB!AD302,KMB!AJ302,KMB!AP302)))</f>
        <v>0</v>
      </c>
      <c r="F302">
        <f>SUMPRODUCT((MONTH(CHOOSE({1,2,3,4},KMB!U302,KMB!AA302,KMB!AG302,KMB!AM302))=6)*(CHOOSE({1,2,3,4},KMB!X302,KMB!AD302,KMB!AJ302,KMB!AP302)))</f>
        <v>0</v>
      </c>
      <c r="G302">
        <f>SUMPRODUCT((MONTH(CHOOSE({1,2,3,4},KMB!U302,KMB!AA302,KMB!AG302,KMB!AM302))=7)*(CHOOSE({1,2,3,4},KMB!X302,KMB!AD302,KMB!AJ302,KMB!AP302)))</f>
        <v>0</v>
      </c>
      <c r="H302">
        <f>SUMPRODUCT((MONTH(CHOOSE({1,2,3,4},KMB!U302,KMB!AA302,KMB!AG302,KMB!AM302))=8)*(CHOOSE({1,2,3,4},KMB!X302,KMB!AD302,KMB!AJ302,KMB!AP302)))</f>
        <v>0</v>
      </c>
      <c r="I302">
        <f>SUMPRODUCT((MONTH(CHOOSE({1,2,3,4},KMB!U302,KMB!AA302,KMB!AG302,KMB!AM302))=9)*(CHOOSE({1,2,3,4},KMB!X302,KMB!AD302,KMB!AJ302,KMB!AP302)))</f>
        <v>0</v>
      </c>
      <c r="J302">
        <f>SUMPRODUCT((MONTH(CHOOSE({1,2,3,4},KMB!U302,KMB!AA302,KMB!AG302,KMB!AM302))=10)*(CHOOSE({1,2,3,4},KMB!X302,KMB!AD302,KMB!AJ302,KMB!AP302)))</f>
        <v>0</v>
      </c>
      <c r="K302">
        <f>SUMPRODUCT((MONTH(CHOOSE({1,2,3,4},KMB!U302,KMB!AA302,KMB!AG302,KMB!AM302))=11)*(CHOOSE({1,2,3,4},KMB!X302,KMB!AD302,KMB!AJ302,KMB!AP302)))</f>
        <v>0</v>
      </c>
      <c r="L302">
        <f>SUMPRODUCT((MONTH(CHOOSE({1,2,3,4},KMB!U302,KMB!AA302,KMB!AG302,KMB!AM302))=12)*(CHOOSE({1,2,3,4},KMB!X302,KMB!AD302,KMB!AJ302,KMB!AP302)))</f>
        <v>0</v>
      </c>
    </row>
    <row r="303" spans="1:12">
      <c r="A303">
        <f>SUMPRODUCT((MONTH(CHOOSE({1,2,3,4},KMB!U303,KMB!AA303,KMB!AG303,KMB!AM303))=1)*(CHOOSE({1,2,3,4},KMB!X303,KMB!AD303,KMB!AJ303,KMB!AP303)))</f>
        <v>0</v>
      </c>
      <c r="B303">
        <f>SUMPRODUCT((MONTH(CHOOSE({1,2,3,4},KMB!U303,KMB!AA303,KMB!AG303,KMB!AM303))=2)*(CHOOSE({1,2,3,4},KMB!X303,KMB!AD303,KMB!AJ303,KMB!AP303)))</f>
        <v>0</v>
      </c>
      <c r="C303">
        <f>SUMPRODUCT((MONTH(CHOOSE({1,2,3,4},KMB!U303,KMB!AA303,KMB!AG303,KMB!AM303))=3)*(CHOOSE({1,2,3,4},KMB!X303,KMB!AD303,KMB!AJ303,KMB!AP303)))</f>
        <v>0</v>
      </c>
      <c r="D303">
        <f>SUMPRODUCT((MONTH(CHOOSE({1,2,3,4},KMB!U303,KMB!AA303,KMB!AG303,KMB!AM303))=4)*(CHOOSE({1,2,3,4},KMB!X303,KMB!AD303,KMB!AJ303,KMB!AP303)))</f>
        <v>0</v>
      </c>
      <c r="E303">
        <f>SUMPRODUCT((MONTH(CHOOSE({1,2,3,4},KMB!U303,KMB!AA303,KMB!AG303,KMB!AM303))=5)*(CHOOSE({1,2,3,4},KMB!X303,KMB!AD303,KMB!AJ303,KMB!AP303)))</f>
        <v>0</v>
      </c>
      <c r="F303">
        <f>SUMPRODUCT((MONTH(CHOOSE({1,2,3,4},KMB!U303,KMB!AA303,KMB!AG303,KMB!AM303))=6)*(CHOOSE({1,2,3,4},KMB!X303,KMB!AD303,KMB!AJ303,KMB!AP303)))</f>
        <v>0</v>
      </c>
      <c r="G303">
        <f>SUMPRODUCT((MONTH(CHOOSE({1,2,3,4},KMB!U303,KMB!AA303,KMB!AG303,KMB!AM303))=7)*(CHOOSE({1,2,3,4},KMB!X303,KMB!AD303,KMB!AJ303,KMB!AP303)))</f>
        <v>0</v>
      </c>
      <c r="H303">
        <f>SUMPRODUCT((MONTH(CHOOSE({1,2,3,4},KMB!U303,KMB!AA303,KMB!AG303,KMB!AM303))=8)*(CHOOSE({1,2,3,4},KMB!X303,KMB!AD303,KMB!AJ303,KMB!AP303)))</f>
        <v>0</v>
      </c>
      <c r="I303">
        <f>SUMPRODUCT((MONTH(CHOOSE({1,2,3,4},KMB!U303,KMB!AA303,KMB!AG303,KMB!AM303))=9)*(CHOOSE({1,2,3,4},KMB!X303,KMB!AD303,KMB!AJ303,KMB!AP303)))</f>
        <v>0</v>
      </c>
      <c r="J303">
        <f>SUMPRODUCT((MONTH(CHOOSE({1,2,3,4},KMB!U303,KMB!AA303,KMB!AG303,KMB!AM303))=10)*(CHOOSE({1,2,3,4},KMB!X303,KMB!AD303,KMB!AJ303,KMB!AP303)))</f>
        <v>0</v>
      </c>
      <c r="K303">
        <f>SUMPRODUCT((MONTH(CHOOSE({1,2,3,4},KMB!U303,KMB!AA303,KMB!AG303,KMB!AM303))=11)*(CHOOSE({1,2,3,4},KMB!X303,KMB!AD303,KMB!AJ303,KMB!AP303)))</f>
        <v>0</v>
      </c>
      <c r="L303">
        <f>SUMPRODUCT((MONTH(CHOOSE({1,2,3,4},KMB!U303,KMB!AA303,KMB!AG303,KMB!AM303))=12)*(CHOOSE({1,2,3,4},KMB!X303,KMB!AD303,KMB!AJ303,KMB!AP303)))</f>
        <v>0</v>
      </c>
    </row>
    <row r="304" spans="1:12">
      <c r="A304">
        <f>SUMPRODUCT((MONTH(CHOOSE({1,2,3,4},KMB!U304,KMB!AA304,KMB!AG304,KMB!AM304))=1)*(CHOOSE({1,2,3,4},KMB!X304,KMB!AD304,KMB!AJ304,KMB!AP304)))</f>
        <v>0</v>
      </c>
      <c r="B304">
        <f>SUMPRODUCT((MONTH(CHOOSE({1,2,3,4},KMB!U304,KMB!AA304,KMB!AG304,KMB!AM304))=2)*(CHOOSE({1,2,3,4},KMB!X304,KMB!AD304,KMB!AJ304,KMB!AP304)))</f>
        <v>0</v>
      </c>
      <c r="C304">
        <f>SUMPRODUCT((MONTH(CHOOSE({1,2,3,4},KMB!U304,KMB!AA304,KMB!AG304,KMB!AM304))=3)*(CHOOSE({1,2,3,4},KMB!X304,KMB!AD304,KMB!AJ304,KMB!AP304)))</f>
        <v>0</v>
      </c>
      <c r="D304">
        <f>SUMPRODUCT((MONTH(CHOOSE({1,2,3,4},KMB!U304,KMB!AA304,KMB!AG304,KMB!AM304))=4)*(CHOOSE({1,2,3,4},KMB!X304,KMB!AD304,KMB!AJ304,KMB!AP304)))</f>
        <v>0</v>
      </c>
      <c r="E304">
        <f>SUMPRODUCT((MONTH(CHOOSE({1,2,3,4},KMB!U304,KMB!AA304,KMB!AG304,KMB!AM304))=5)*(CHOOSE({1,2,3,4},KMB!X304,KMB!AD304,KMB!AJ304,KMB!AP304)))</f>
        <v>0</v>
      </c>
      <c r="F304">
        <f>SUMPRODUCT((MONTH(CHOOSE({1,2,3,4},KMB!U304,KMB!AA304,KMB!AG304,KMB!AM304))=6)*(CHOOSE({1,2,3,4},KMB!X304,KMB!AD304,KMB!AJ304,KMB!AP304)))</f>
        <v>0</v>
      </c>
      <c r="G304">
        <f>SUMPRODUCT((MONTH(CHOOSE({1,2,3,4},KMB!U304,KMB!AA304,KMB!AG304,KMB!AM304))=7)*(CHOOSE({1,2,3,4},KMB!X304,KMB!AD304,KMB!AJ304,KMB!AP304)))</f>
        <v>0</v>
      </c>
      <c r="H304">
        <f>SUMPRODUCT((MONTH(CHOOSE({1,2,3,4},KMB!U304,KMB!AA304,KMB!AG304,KMB!AM304))=8)*(CHOOSE({1,2,3,4},KMB!X304,KMB!AD304,KMB!AJ304,KMB!AP304)))</f>
        <v>0</v>
      </c>
      <c r="I304">
        <f>SUMPRODUCT((MONTH(CHOOSE({1,2,3,4},KMB!U304,KMB!AA304,KMB!AG304,KMB!AM304))=9)*(CHOOSE({1,2,3,4},KMB!X304,KMB!AD304,KMB!AJ304,KMB!AP304)))</f>
        <v>0</v>
      </c>
      <c r="J304">
        <f>SUMPRODUCT((MONTH(CHOOSE({1,2,3,4},KMB!U304,KMB!AA304,KMB!AG304,KMB!AM304))=10)*(CHOOSE({1,2,3,4},KMB!X304,KMB!AD304,KMB!AJ304,KMB!AP304)))</f>
        <v>0</v>
      </c>
      <c r="K304">
        <f>SUMPRODUCT((MONTH(CHOOSE({1,2,3,4},KMB!U304,KMB!AA304,KMB!AG304,KMB!AM304))=11)*(CHOOSE({1,2,3,4},KMB!X304,KMB!AD304,KMB!AJ304,KMB!AP304)))</f>
        <v>0</v>
      </c>
      <c r="L304">
        <f>SUMPRODUCT((MONTH(CHOOSE({1,2,3,4},KMB!U304,KMB!AA304,KMB!AG304,KMB!AM304))=12)*(CHOOSE({1,2,3,4},KMB!X304,KMB!AD304,KMB!AJ304,KMB!AP304)))</f>
        <v>0</v>
      </c>
    </row>
    <row r="305" spans="1:12">
      <c r="A305">
        <f>SUMPRODUCT((MONTH(CHOOSE({1,2,3,4},KMB!U305,KMB!AA305,KMB!AG305,KMB!AM305))=1)*(CHOOSE({1,2,3,4},KMB!X305,KMB!AD305,KMB!AJ305,KMB!AP305)))</f>
        <v>0</v>
      </c>
      <c r="B305">
        <f>SUMPRODUCT((MONTH(CHOOSE({1,2,3,4},KMB!U305,KMB!AA305,KMB!AG305,KMB!AM305))=2)*(CHOOSE({1,2,3,4},KMB!X305,KMB!AD305,KMB!AJ305,KMB!AP305)))</f>
        <v>0</v>
      </c>
      <c r="C305">
        <f>SUMPRODUCT((MONTH(CHOOSE({1,2,3,4},KMB!U305,KMB!AA305,KMB!AG305,KMB!AM305))=3)*(CHOOSE({1,2,3,4},KMB!X305,KMB!AD305,KMB!AJ305,KMB!AP305)))</f>
        <v>0</v>
      </c>
      <c r="D305">
        <f>SUMPRODUCT((MONTH(CHOOSE({1,2,3,4},KMB!U305,KMB!AA305,KMB!AG305,KMB!AM305))=4)*(CHOOSE({1,2,3,4},KMB!X305,KMB!AD305,KMB!AJ305,KMB!AP305)))</f>
        <v>0</v>
      </c>
      <c r="E305">
        <f>SUMPRODUCT((MONTH(CHOOSE({1,2,3,4},KMB!U305,KMB!AA305,KMB!AG305,KMB!AM305))=5)*(CHOOSE({1,2,3,4},KMB!X305,KMB!AD305,KMB!AJ305,KMB!AP305)))</f>
        <v>0</v>
      </c>
      <c r="F305">
        <f>SUMPRODUCT((MONTH(CHOOSE({1,2,3,4},KMB!U305,KMB!AA305,KMB!AG305,KMB!AM305))=6)*(CHOOSE({1,2,3,4},KMB!X305,KMB!AD305,KMB!AJ305,KMB!AP305)))</f>
        <v>0</v>
      </c>
      <c r="G305">
        <f>SUMPRODUCT((MONTH(CHOOSE({1,2,3,4},KMB!U305,KMB!AA305,KMB!AG305,KMB!AM305))=7)*(CHOOSE({1,2,3,4},KMB!X305,KMB!AD305,KMB!AJ305,KMB!AP305)))</f>
        <v>0</v>
      </c>
      <c r="H305">
        <f>SUMPRODUCT((MONTH(CHOOSE({1,2,3,4},KMB!U305,KMB!AA305,KMB!AG305,KMB!AM305))=8)*(CHOOSE({1,2,3,4},KMB!X305,KMB!AD305,KMB!AJ305,KMB!AP305)))</f>
        <v>0</v>
      </c>
      <c r="I305">
        <f>SUMPRODUCT((MONTH(CHOOSE({1,2,3,4},KMB!U305,KMB!AA305,KMB!AG305,KMB!AM305))=9)*(CHOOSE({1,2,3,4},KMB!X305,KMB!AD305,KMB!AJ305,KMB!AP305)))</f>
        <v>0</v>
      </c>
      <c r="J305">
        <f>SUMPRODUCT((MONTH(CHOOSE({1,2,3,4},KMB!U305,KMB!AA305,KMB!AG305,KMB!AM305))=10)*(CHOOSE({1,2,3,4},KMB!X305,KMB!AD305,KMB!AJ305,KMB!AP305)))</f>
        <v>0</v>
      </c>
      <c r="K305">
        <f>SUMPRODUCT((MONTH(CHOOSE({1,2,3,4},KMB!U305,KMB!AA305,KMB!AG305,KMB!AM305))=11)*(CHOOSE({1,2,3,4},KMB!X305,KMB!AD305,KMB!AJ305,KMB!AP305)))</f>
        <v>0</v>
      </c>
      <c r="L305">
        <f>SUMPRODUCT((MONTH(CHOOSE({1,2,3,4},KMB!U305,KMB!AA305,KMB!AG305,KMB!AM305))=12)*(CHOOSE({1,2,3,4},KMB!X305,KMB!AD305,KMB!AJ305,KMB!AP305)))</f>
        <v>0</v>
      </c>
    </row>
    <row r="306" spans="1:12">
      <c r="A306">
        <f>SUMPRODUCT((MONTH(CHOOSE({1,2,3,4},KMB!U306,KMB!AA306,KMB!AG306,KMB!AM306))=1)*(CHOOSE({1,2,3,4},KMB!X306,KMB!AD306,KMB!AJ306,KMB!AP306)))</f>
        <v>0</v>
      </c>
      <c r="B306">
        <f>SUMPRODUCT((MONTH(CHOOSE({1,2,3,4},KMB!U306,KMB!AA306,KMB!AG306,KMB!AM306))=2)*(CHOOSE({1,2,3,4},KMB!X306,KMB!AD306,KMB!AJ306,KMB!AP306)))</f>
        <v>0</v>
      </c>
      <c r="C306">
        <f>SUMPRODUCT((MONTH(CHOOSE({1,2,3,4},KMB!U306,KMB!AA306,KMB!AG306,KMB!AM306))=3)*(CHOOSE({1,2,3,4},KMB!X306,KMB!AD306,KMB!AJ306,KMB!AP306)))</f>
        <v>0</v>
      </c>
      <c r="D306">
        <f>SUMPRODUCT((MONTH(CHOOSE({1,2,3,4},KMB!U306,KMB!AA306,KMB!AG306,KMB!AM306))=4)*(CHOOSE({1,2,3,4},KMB!X306,KMB!AD306,KMB!AJ306,KMB!AP306)))</f>
        <v>0</v>
      </c>
      <c r="E306">
        <f>SUMPRODUCT((MONTH(CHOOSE({1,2,3,4},KMB!U306,KMB!AA306,KMB!AG306,KMB!AM306))=5)*(CHOOSE({1,2,3,4},KMB!X306,KMB!AD306,KMB!AJ306,KMB!AP306)))</f>
        <v>0</v>
      </c>
      <c r="F306">
        <f>SUMPRODUCT((MONTH(CHOOSE({1,2,3,4},KMB!U306,KMB!AA306,KMB!AG306,KMB!AM306))=6)*(CHOOSE({1,2,3,4},KMB!X306,KMB!AD306,KMB!AJ306,KMB!AP306)))</f>
        <v>0</v>
      </c>
      <c r="G306">
        <f>SUMPRODUCT((MONTH(CHOOSE({1,2,3,4},KMB!U306,KMB!AA306,KMB!AG306,KMB!AM306))=7)*(CHOOSE({1,2,3,4},KMB!X306,KMB!AD306,KMB!AJ306,KMB!AP306)))</f>
        <v>0</v>
      </c>
      <c r="H306">
        <f>SUMPRODUCT((MONTH(CHOOSE({1,2,3,4},KMB!U306,KMB!AA306,KMB!AG306,KMB!AM306))=8)*(CHOOSE({1,2,3,4},KMB!X306,KMB!AD306,KMB!AJ306,KMB!AP306)))</f>
        <v>0</v>
      </c>
      <c r="I306">
        <f>SUMPRODUCT((MONTH(CHOOSE({1,2,3,4},KMB!U306,KMB!AA306,KMB!AG306,KMB!AM306))=9)*(CHOOSE({1,2,3,4},KMB!X306,KMB!AD306,KMB!AJ306,KMB!AP306)))</f>
        <v>0</v>
      </c>
      <c r="J306">
        <f>SUMPRODUCT((MONTH(CHOOSE({1,2,3,4},KMB!U306,KMB!AA306,KMB!AG306,KMB!AM306))=10)*(CHOOSE({1,2,3,4},KMB!X306,KMB!AD306,KMB!AJ306,KMB!AP306)))</f>
        <v>0</v>
      </c>
      <c r="K306">
        <f>SUMPRODUCT((MONTH(CHOOSE({1,2,3,4},KMB!U306,KMB!AA306,KMB!AG306,KMB!AM306))=11)*(CHOOSE({1,2,3,4},KMB!X306,KMB!AD306,KMB!AJ306,KMB!AP306)))</f>
        <v>0</v>
      </c>
      <c r="L306">
        <f>SUMPRODUCT((MONTH(CHOOSE({1,2,3,4},KMB!U306,KMB!AA306,KMB!AG306,KMB!AM306))=12)*(CHOOSE({1,2,3,4},KMB!X306,KMB!AD306,KMB!AJ306,KMB!AP306)))</f>
        <v>0</v>
      </c>
    </row>
    <row r="307" spans="1:12">
      <c r="A307">
        <f>SUMPRODUCT((MONTH(CHOOSE({1,2,3,4},KMB!U307,KMB!AA307,KMB!AG307,KMB!AM307))=1)*(CHOOSE({1,2,3,4},KMB!X307,KMB!AD307,KMB!AJ307,KMB!AP307)))</f>
        <v>0</v>
      </c>
      <c r="B307">
        <f>SUMPRODUCT((MONTH(CHOOSE({1,2,3,4},KMB!U307,KMB!AA307,KMB!AG307,KMB!AM307))=2)*(CHOOSE({1,2,3,4},KMB!X307,KMB!AD307,KMB!AJ307,KMB!AP307)))</f>
        <v>0</v>
      </c>
      <c r="C307">
        <f>SUMPRODUCT((MONTH(CHOOSE({1,2,3,4},KMB!U307,KMB!AA307,KMB!AG307,KMB!AM307))=3)*(CHOOSE({1,2,3,4},KMB!X307,KMB!AD307,KMB!AJ307,KMB!AP307)))</f>
        <v>0</v>
      </c>
      <c r="D307">
        <f>SUMPRODUCT((MONTH(CHOOSE({1,2,3,4},KMB!U307,KMB!AA307,KMB!AG307,KMB!AM307))=4)*(CHOOSE({1,2,3,4},KMB!X307,KMB!AD307,KMB!AJ307,KMB!AP307)))</f>
        <v>0</v>
      </c>
      <c r="E307">
        <f>SUMPRODUCT((MONTH(CHOOSE({1,2,3,4},KMB!U307,KMB!AA307,KMB!AG307,KMB!AM307))=5)*(CHOOSE({1,2,3,4},KMB!X307,KMB!AD307,KMB!AJ307,KMB!AP307)))</f>
        <v>0</v>
      </c>
      <c r="F307">
        <f>SUMPRODUCT((MONTH(CHOOSE({1,2,3,4},KMB!U307,KMB!AA307,KMB!AG307,KMB!AM307))=6)*(CHOOSE({1,2,3,4},KMB!X307,KMB!AD307,KMB!AJ307,KMB!AP307)))</f>
        <v>0</v>
      </c>
      <c r="G307">
        <f>SUMPRODUCT((MONTH(CHOOSE({1,2,3,4},KMB!U307,KMB!AA307,KMB!AG307,KMB!AM307))=7)*(CHOOSE({1,2,3,4},KMB!X307,KMB!AD307,KMB!AJ307,KMB!AP307)))</f>
        <v>0</v>
      </c>
      <c r="H307">
        <f>SUMPRODUCT((MONTH(CHOOSE({1,2,3,4},KMB!U307,KMB!AA307,KMB!AG307,KMB!AM307))=8)*(CHOOSE({1,2,3,4},KMB!X307,KMB!AD307,KMB!AJ307,KMB!AP307)))</f>
        <v>0</v>
      </c>
      <c r="I307">
        <f>SUMPRODUCT((MONTH(CHOOSE({1,2,3,4},KMB!U307,KMB!AA307,KMB!AG307,KMB!AM307))=9)*(CHOOSE({1,2,3,4},KMB!X307,KMB!AD307,KMB!AJ307,KMB!AP307)))</f>
        <v>0</v>
      </c>
      <c r="J307">
        <f>SUMPRODUCT((MONTH(CHOOSE({1,2,3,4},KMB!U307,KMB!AA307,KMB!AG307,KMB!AM307))=10)*(CHOOSE({1,2,3,4},KMB!X307,KMB!AD307,KMB!AJ307,KMB!AP307)))</f>
        <v>0</v>
      </c>
      <c r="K307">
        <f>SUMPRODUCT((MONTH(CHOOSE({1,2,3,4},KMB!U307,KMB!AA307,KMB!AG307,KMB!AM307))=11)*(CHOOSE({1,2,3,4},KMB!X307,KMB!AD307,KMB!AJ307,KMB!AP307)))</f>
        <v>0</v>
      </c>
      <c r="L307">
        <f>SUMPRODUCT((MONTH(CHOOSE({1,2,3,4},KMB!U307,KMB!AA307,KMB!AG307,KMB!AM307))=12)*(CHOOSE({1,2,3,4},KMB!X307,KMB!AD307,KMB!AJ307,KMB!AP307)))</f>
        <v>0</v>
      </c>
    </row>
    <row r="308" spans="1:12">
      <c r="A308">
        <f>SUMPRODUCT((MONTH(CHOOSE({1,2,3,4},KMB!U308,KMB!AA308,KMB!AG308,KMB!AM308))=1)*(CHOOSE({1,2,3,4},KMB!X308,KMB!AD308,KMB!AJ308,KMB!AP308)))</f>
        <v>0</v>
      </c>
      <c r="B308">
        <f>SUMPRODUCT((MONTH(CHOOSE({1,2,3,4},KMB!U308,KMB!AA308,KMB!AG308,KMB!AM308))=2)*(CHOOSE({1,2,3,4},KMB!X308,KMB!AD308,KMB!AJ308,KMB!AP308)))</f>
        <v>0</v>
      </c>
      <c r="C308">
        <f>SUMPRODUCT((MONTH(CHOOSE({1,2,3,4},KMB!U308,KMB!AA308,KMB!AG308,KMB!AM308))=3)*(CHOOSE({1,2,3,4},KMB!X308,KMB!AD308,KMB!AJ308,KMB!AP308)))</f>
        <v>0</v>
      </c>
      <c r="D308">
        <f>SUMPRODUCT((MONTH(CHOOSE({1,2,3,4},KMB!U308,KMB!AA308,KMB!AG308,KMB!AM308))=4)*(CHOOSE({1,2,3,4},KMB!X308,KMB!AD308,KMB!AJ308,KMB!AP308)))</f>
        <v>0</v>
      </c>
      <c r="E308">
        <f>SUMPRODUCT((MONTH(CHOOSE({1,2,3,4},KMB!U308,KMB!AA308,KMB!AG308,KMB!AM308))=5)*(CHOOSE({1,2,3,4},KMB!X308,KMB!AD308,KMB!AJ308,KMB!AP308)))</f>
        <v>0</v>
      </c>
      <c r="F308">
        <f>SUMPRODUCT((MONTH(CHOOSE({1,2,3,4},KMB!U308,KMB!AA308,KMB!AG308,KMB!AM308))=6)*(CHOOSE({1,2,3,4},KMB!X308,KMB!AD308,KMB!AJ308,KMB!AP308)))</f>
        <v>0</v>
      </c>
      <c r="G308">
        <f>SUMPRODUCT((MONTH(CHOOSE({1,2,3,4},KMB!U308,KMB!AA308,KMB!AG308,KMB!AM308))=7)*(CHOOSE({1,2,3,4},KMB!X308,KMB!AD308,KMB!AJ308,KMB!AP308)))</f>
        <v>0</v>
      </c>
      <c r="H308">
        <f>SUMPRODUCT((MONTH(CHOOSE({1,2,3,4},KMB!U308,KMB!AA308,KMB!AG308,KMB!AM308))=8)*(CHOOSE({1,2,3,4},KMB!X308,KMB!AD308,KMB!AJ308,KMB!AP308)))</f>
        <v>0</v>
      </c>
      <c r="I308">
        <f>SUMPRODUCT((MONTH(CHOOSE({1,2,3,4},KMB!U308,KMB!AA308,KMB!AG308,KMB!AM308))=9)*(CHOOSE({1,2,3,4},KMB!X308,KMB!AD308,KMB!AJ308,KMB!AP308)))</f>
        <v>0</v>
      </c>
      <c r="J308">
        <f>SUMPRODUCT((MONTH(CHOOSE({1,2,3,4},KMB!U308,KMB!AA308,KMB!AG308,KMB!AM308))=10)*(CHOOSE({1,2,3,4},KMB!X308,KMB!AD308,KMB!AJ308,KMB!AP308)))</f>
        <v>0</v>
      </c>
      <c r="K308">
        <f>SUMPRODUCT((MONTH(CHOOSE({1,2,3,4},KMB!U308,KMB!AA308,KMB!AG308,KMB!AM308))=11)*(CHOOSE({1,2,3,4},KMB!X308,KMB!AD308,KMB!AJ308,KMB!AP308)))</f>
        <v>0</v>
      </c>
      <c r="L308">
        <f>SUMPRODUCT((MONTH(CHOOSE({1,2,3,4},KMB!U308,KMB!AA308,KMB!AG308,KMB!AM308))=12)*(CHOOSE({1,2,3,4},KMB!X308,KMB!AD308,KMB!AJ308,KMB!AP308)))</f>
        <v>0</v>
      </c>
    </row>
    <row r="309" spans="1:12">
      <c r="A309">
        <f>SUMPRODUCT((MONTH(CHOOSE({1,2,3,4},KMB!U309,KMB!AA309,KMB!AG309,KMB!AM309))=1)*(CHOOSE({1,2,3,4},KMB!X309,KMB!AD309,KMB!AJ309,KMB!AP309)))</f>
        <v>0</v>
      </c>
      <c r="B309">
        <f>SUMPRODUCT((MONTH(CHOOSE({1,2,3,4},KMB!U309,KMB!AA309,KMB!AG309,KMB!AM309))=2)*(CHOOSE({1,2,3,4},KMB!X309,KMB!AD309,KMB!AJ309,KMB!AP309)))</f>
        <v>0</v>
      </c>
      <c r="C309">
        <f>SUMPRODUCT((MONTH(CHOOSE({1,2,3,4},KMB!U309,KMB!AA309,KMB!AG309,KMB!AM309))=3)*(CHOOSE({1,2,3,4},KMB!X309,KMB!AD309,KMB!AJ309,KMB!AP309)))</f>
        <v>0</v>
      </c>
      <c r="D309">
        <f>SUMPRODUCT((MONTH(CHOOSE({1,2,3,4},KMB!U309,KMB!AA309,KMB!AG309,KMB!AM309))=4)*(CHOOSE({1,2,3,4},KMB!X309,KMB!AD309,KMB!AJ309,KMB!AP309)))</f>
        <v>0</v>
      </c>
      <c r="E309">
        <f>SUMPRODUCT((MONTH(CHOOSE({1,2,3,4},KMB!U309,KMB!AA309,KMB!AG309,KMB!AM309))=5)*(CHOOSE({1,2,3,4},KMB!X309,KMB!AD309,KMB!AJ309,KMB!AP309)))</f>
        <v>0</v>
      </c>
      <c r="F309">
        <f>SUMPRODUCT((MONTH(CHOOSE({1,2,3,4},KMB!U309,KMB!AA309,KMB!AG309,KMB!AM309))=6)*(CHOOSE({1,2,3,4},KMB!X309,KMB!AD309,KMB!AJ309,KMB!AP309)))</f>
        <v>0</v>
      </c>
      <c r="G309">
        <f>SUMPRODUCT((MONTH(CHOOSE({1,2,3,4},KMB!U309,KMB!AA309,KMB!AG309,KMB!AM309))=7)*(CHOOSE({1,2,3,4},KMB!X309,KMB!AD309,KMB!AJ309,KMB!AP309)))</f>
        <v>0</v>
      </c>
      <c r="H309">
        <f>SUMPRODUCT((MONTH(CHOOSE({1,2,3,4},KMB!U309,KMB!AA309,KMB!AG309,KMB!AM309))=8)*(CHOOSE({1,2,3,4},KMB!X309,KMB!AD309,KMB!AJ309,KMB!AP309)))</f>
        <v>0</v>
      </c>
      <c r="I309">
        <f>SUMPRODUCT((MONTH(CHOOSE({1,2,3,4},KMB!U309,KMB!AA309,KMB!AG309,KMB!AM309))=9)*(CHOOSE({1,2,3,4},KMB!X309,KMB!AD309,KMB!AJ309,KMB!AP309)))</f>
        <v>0</v>
      </c>
      <c r="J309">
        <f>SUMPRODUCT((MONTH(CHOOSE({1,2,3,4},KMB!U309,KMB!AA309,KMB!AG309,KMB!AM309))=10)*(CHOOSE({1,2,3,4},KMB!X309,KMB!AD309,KMB!AJ309,KMB!AP309)))</f>
        <v>0</v>
      </c>
      <c r="K309">
        <f>SUMPRODUCT((MONTH(CHOOSE({1,2,3,4},KMB!U309,KMB!AA309,KMB!AG309,KMB!AM309))=11)*(CHOOSE({1,2,3,4},KMB!X309,KMB!AD309,KMB!AJ309,KMB!AP309)))</f>
        <v>0</v>
      </c>
      <c r="L309">
        <f>SUMPRODUCT((MONTH(CHOOSE({1,2,3,4},KMB!U309,KMB!AA309,KMB!AG309,KMB!AM309))=12)*(CHOOSE({1,2,3,4},KMB!X309,KMB!AD309,KMB!AJ309,KMB!AP309)))</f>
        <v>0</v>
      </c>
    </row>
    <row r="310" spans="1:12">
      <c r="A310">
        <f>SUMPRODUCT((MONTH(CHOOSE({1,2,3,4},KMB!U310,KMB!AA310,KMB!AG310,KMB!AM310))=1)*(CHOOSE({1,2,3,4},KMB!X310,KMB!AD310,KMB!AJ310,KMB!AP310)))</f>
        <v>0</v>
      </c>
      <c r="B310">
        <f>SUMPRODUCT((MONTH(CHOOSE({1,2,3,4},KMB!U310,KMB!AA310,KMB!AG310,KMB!AM310))=2)*(CHOOSE({1,2,3,4},KMB!X310,KMB!AD310,KMB!AJ310,KMB!AP310)))</f>
        <v>0</v>
      </c>
      <c r="C310">
        <f>SUMPRODUCT((MONTH(CHOOSE({1,2,3,4},KMB!U310,KMB!AA310,KMB!AG310,KMB!AM310))=3)*(CHOOSE({1,2,3,4},KMB!X310,KMB!AD310,KMB!AJ310,KMB!AP310)))</f>
        <v>0</v>
      </c>
      <c r="D310">
        <f>SUMPRODUCT((MONTH(CHOOSE({1,2,3,4},KMB!U310,KMB!AA310,KMB!AG310,KMB!AM310))=4)*(CHOOSE({1,2,3,4},KMB!X310,KMB!AD310,KMB!AJ310,KMB!AP310)))</f>
        <v>0</v>
      </c>
      <c r="E310">
        <f>SUMPRODUCT((MONTH(CHOOSE({1,2,3,4},KMB!U310,KMB!AA310,KMB!AG310,KMB!AM310))=5)*(CHOOSE({1,2,3,4},KMB!X310,KMB!AD310,KMB!AJ310,KMB!AP310)))</f>
        <v>0</v>
      </c>
      <c r="F310">
        <f>SUMPRODUCT((MONTH(CHOOSE({1,2,3,4},KMB!U310,KMB!AA310,KMB!AG310,KMB!AM310))=6)*(CHOOSE({1,2,3,4},KMB!X310,KMB!AD310,KMB!AJ310,KMB!AP310)))</f>
        <v>0</v>
      </c>
      <c r="G310">
        <f>SUMPRODUCT((MONTH(CHOOSE({1,2,3,4},KMB!U310,KMB!AA310,KMB!AG310,KMB!AM310))=7)*(CHOOSE({1,2,3,4},KMB!X310,KMB!AD310,KMB!AJ310,KMB!AP310)))</f>
        <v>0</v>
      </c>
      <c r="H310">
        <f>SUMPRODUCT((MONTH(CHOOSE({1,2,3,4},KMB!U310,KMB!AA310,KMB!AG310,KMB!AM310))=8)*(CHOOSE({1,2,3,4},KMB!X310,KMB!AD310,KMB!AJ310,KMB!AP310)))</f>
        <v>0</v>
      </c>
      <c r="I310">
        <f>SUMPRODUCT((MONTH(CHOOSE({1,2,3,4},KMB!U310,KMB!AA310,KMB!AG310,KMB!AM310))=9)*(CHOOSE({1,2,3,4},KMB!X310,KMB!AD310,KMB!AJ310,KMB!AP310)))</f>
        <v>0</v>
      </c>
      <c r="J310">
        <f>SUMPRODUCT((MONTH(CHOOSE({1,2,3,4},KMB!U310,KMB!AA310,KMB!AG310,KMB!AM310))=10)*(CHOOSE({1,2,3,4},KMB!X310,KMB!AD310,KMB!AJ310,KMB!AP310)))</f>
        <v>0</v>
      </c>
      <c r="K310">
        <f>SUMPRODUCT((MONTH(CHOOSE({1,2,3,4},KMB!U310,KMB!AA310,KMB!AG310,KMB!AM310))=11)*(CHOOSE({1,2,3,4},KMB!X310,KMB!AD310,KMB!AJ310,KMB!AP310)))</f>
        <v>0</v>
      </c>
      <c r="L310">
        <f>SUMPRODUCT((MONTH(CHOOSE({1,2,3,4},KMB!U310,KMB!AA310,KMB!AG310,KMB!AM310))=12)*(CHOOSE({1,2,3,4},KMB!X310,KMB!AD310,KMB!AJ310,KMB!AP310)))</f>
        <v>0</v>
      </c>
    </row>
    <row r="311" spans="1:12">
      <c r="A311">
        <f>SUMPRODUCT((MONTH(CHOOSE({1,2,3,4},KMB!U311,KMB!AA311,KMB!AG311,KMB!AM311))=1)*(CHOOSE({1,2,3,4},KMB!X311,KMB!AD311,KMB!AJ311,KMB!AP311)))</f>
        <v>0</v>
      </c>
      <c r="B311">
        <f>SUMPRODUCT((MONTH(CHOOSE({1,2,3,4},KMB!U311,KMB!AA311,KMB!AG311,KMB!AM311))=2)*(CHOOSE({1,2,3,4},KMB!X311,KMB!AD311,KMB!AJ311,KMB!AP311)))</f>
        <v>0</v>
      </c>
      <c r="C311">
        <f>SUMPRODUCT((MONTH(CHOOSE({1,2,3,4},KMB!U311,KMB!AA311,KMB!AG311,KMB!AM311))=3)*(CHOOSE({1,2,3,4},KMB!X311,KMB!AD311,KMB!AJ311,KMB!AP311)))</f>
        <v>0</v>
      </c>
      <c r="D311">
        <f>SUMPRODUCT((MONTH(CHOOSE({1,2,3,4},KMB!U311,KMB!AA311,KMB!AG311,KMB!AM311))=4)*(CHOOSE({1,2,3,4},KMB!X311,KMB!AD311,KMB!AJ311,KMB!AP311)))</f>
        <v>0</v>
      </c>
      <c r="E311">
        <f>SUMPRODUCT((MONTH(CHOOSE({1,2,3,4},KMB!U311,KMB!AA311,KMB!AG311,KMB!AM311))=5)*(CHOOSE({1,2,3,4},KMB!X311,KMB!AD311,KMB!AJ311,KMB!AP311)))</f>
        <v>0</v>
      </c>
      <c r="F311">
        <f>SUMPRODUCT((MONTH(CHOOSE({1,2,3,4},KMB!U311,KMB!AA311,KMB!AG311,KMB!AM311))=6)*(CHOOSE({1,2,3,4},KMB!X311,KMB!AD311,KMB!AJ311,KMB!AP311)))</f>
        <v>0</v>
      </c>
      <c r="G311">
        <f>SUMPRODUCT((MONTH(CHOOSE({1,2,3,4},KMB!U311,KMB!AA311,KMB!AG311,KMB!AM311))=7)*(CHOOSE({1,2,3,4},KMB!X311,KMB!AD311,KMB!AJ311,KMB!AP311)))</f>
        <v>0</v>
      </c>
      <c r="H311">
        <f>SUMPRODUCT((MONTH(CHOOSE({1,2,3,4},KMB!U311,KMB!AA311,KMB!AG311,KMB!AM311))=8)*(CHOOSE({1,2,3,4},KMB!X311,KMB!AD311,KMB!AJ311,KMB!AP311)))</f>
        <v>0</v>
      </c>
      <c r="I311">
        <f>SUMPRODUCT((MONTH(CHOOSE({1,2,3,4},KMB!U311,KMB!AA311,KMB!AG311,KMB!AM311))=9)*(CHOOSE({1,2,3,4},KMB!X311,KMB!AD311,KMB!AJ311,KMB!AP311)))</f>
        <v>0</v>
      </c>
      <c r="J311">
        <f>SUMPRODUCT((MONTH(CHOOSE({1,2,3,4},KMB!U311,KMB!AA311,KMB!AG311,KMB!AM311))=10)*(CHOOSE({1,2,3,4},KMB!X311,KMB!AD311,KMB!AJ311,KMB!AP311)))</f>
        <v>0</v>
      </c>
      <c r="K311">
        <f>SUMPRODUCT((MONTH(CHOOSE({1,2,3,4},KMB!U311,KMB!AA311,KMB!AG311,KMB!AM311))=11)*(CHOOSE({1,2,3,4},KMB!X311,KMB!AD311,KMB!AJ311,KMB!AP311)))</f>
        <v>0</v>
      </c>
      <c r="L311">
        <f>SUMPRODUCT((MONTH(CHOOSE({1,2,3,4},KMB!U311,KMB!AA311,KMB!AG311,KMB!AM311))=12)*(CHOOSE({1,2,3,4},KMB!X311,KMB!AD311,KMB!AJ311,KMB!AP311)))</f>
        <v>0</v>
      </c>
    </row>
    <row r="312" spans="1:12">
      <c r="A312">
        <f>SUMPRODUCT((MONTH(CHOOSE({1,2,3,4},KMB!U312,KMB!AA312,KMB!AG312,KMB!AM312))=1)*(CHOOSE({1,2,3,4},KMB!X312,KMB!AD312,KMB!AJ312,KMB!AP312)))</f>
        <v>0</v>
      </c>
      <c r="B312">
        <f>SUMPRODUCT((MONTH(CHOOSE({1,2,3,4},KMB!U312,KMB!AA312,KMB!AG312,KMB!AM312))=2)*(CHOOSE({1,2,3,4},KMB!X312,KMB!AD312,KMB!AJ312,KMB!AP312)))</f>
        <v>0</v>
      </c>
      <c r="C312">
        <f>SUMPRODUCT((MONTH(CHOOSE({1,2,3,4},KMB!U312,KMB!AA312,KMB!AG312,KMB!AM312))=3)*(CHOOSE({1,2,3,4},KMB!X312,KMB!AD312,KMB!AJ312,KMB!AP312)))</f>
        <v>0</v>
      </c>
      <c r="D312">
        <f>SUMPRODUCT((MONTH(CHOOSE({1,2,3,4},KMB!U312,KMB!AA312,KMB!AG312,KMB!AM312))=4)*(CHOOSE({1,2,3,4},KMB!X312,KMB!AD312,KMB!AJ312,KMB!AP312)))</f>
        <v>0</v>
      </c>
      <c r="E312">
        <f>SUMPRODUCT((MONTH(CHOOSE({1,2,3,4},KMB!U312,KMB!AA312,KMB!AG312,KMB!AM312))=5)*(CHOOSE({1,2,3,4},KMB!X312,KMB!AD312,KMB!AJ312,KMB!AP312)))</f>
        <v>0</v>
      </c>
      <c r="F312">
        <f>SUMPRODUCT((MONTH(CHOOSE({1,2,3,4},KMB!U312,KMB!AA312,KMB!AG312,KMB!AM312))=6)*(CHOOSE({1,2,3,4},KMB!X312,KMB!AD312,KMB!AJ312,KMB!AP312)))</f>
        <v>0</v>
      </c>
      <c r="G312">
        <f>SUMPRODUCT((MONTH(CHOOSE({1,2,3,4},KMB!U312,KMB!AA312,KMB!AG312,KMB!AM312))=7)*(CHOOSE({1,2,3,4},KMB!X312,KMB!AD312,KMB!AJ312,KMB!AP312)))</f>
        <v>0</v>
      </c>
      <c r="H312">
        <f>SUMPRODUCT((MONTH(CHOOSE({1,2,3,4},KMB!U312,KMB!AA312,KMB!AG312,KMB!AM312))=8)*(CHOOSE({1,2,3,4},KMB!X312,KMB!AD312,KMB!AJ312,KMB!AP312)))</f>
        <v>0</v>
      </c>
      <c r="I312">
        <f>SUMPRODUCT((MONTH(CHOOSE({1,2,3,4},KMB!U312,KMB!AA312,KMB!AG312,KMB!AM312))=9)*(CHOOSE({1,2,3,4},KMB!X312,KMB!AD312,KMB!AJ312,KMB!AP312)))</f>
        <v>0</v>
      </c>
      <c r="J312">
        <f>SUMPRODUCT((MONTH(CHOOSE({1,2,3,4},KMB!U312,KMB!AA312,KMB!AG312,KMB!AM312))=10)*(CHOOSE({1,2,3,4},KMB!X312,KMB!AD312,KMB!AJ312,KMB!AP312)))</f>
        <v>0</v>
      </c>
      <c r="K312">
        <f>SUMPRODUCT((MONTH(CHOOSE({1,2,3,4},KMB!U312,KMB!AA312,KMB!AG312,KMB!AM312))=11)*(CHOOSE({1,2,3,4},KMB!X312,KMB!AD312,KMB!AJ312,KMB!AP312)))</f>
        <v>0</v>
      </c>
      <c r="L312">
        <f>SUMPRODUCT((MONTH(CHOOSE({1,2,3,4},KMB!U312,KMB!AA312,KMB!AG312,KMB!AM312))=12)*(CHOOSE({1,2,3,4},KMB!X312,KMB!AD312,KMB!AJ312,KMB!AP312)))</f>
        <v>0</v>
      </c>
    </row>
    <row r="313" spans="1:12">
      <c r="A313">
        <f>SUMPRODUCT((MONTH(CHOOSE({1,2,3,4},KMB!U313,KMB!AA313,KMB!AG313,KMB!AM313))=1)*(CHOOSE({1,2,3,4},KMB!X313,KMB!AD313,KMB!AJ313,KMB!AP313)))</f>
        <v>0</v>
      </c>
      <c r="B313">
        <f>SUMPRODUCT((MONTH(CHOOSE({1,2,3,4},KMB!U313,KMB!AA313,KMB!AG313,KMB!AM313))=2)*(CHOOSE({1,2,3,4},KMB!X313,KMB!AD313,KMB!AJ313,KMB!AP313)))</f>
        <v>0</v>
      </c>
      <c r="C313">
        <f>SUMPRODUCT((MONTH(CHOOSE({1,2,3,4},KMB!U313,KMB!AA313,KMB!AG313,KMB!AM313))=3)*(CHOOSE({1,2,3,4},KMB!X313,KMB!AD313,KMB!AJ313,KMB!AP313)))</f>
        <v>0</v>
      </c>
      <c r="D313">
        <f>SUMPRODUCT((MONTH(CHOOSE({1,2,3,4},KMB!U313,KMB!AA313,KMB!AG313,KMB!AM313))=4)*(CHOOSE({1,2,3,4},KMB!X313,KMB!AD313,KMB!AJ313,KMB!AP313)))</f>
        <v>0</v>
      </c>
      <c r="E313">
        <f>SUMPRODUCT((MONTH(CHOOSE({1,2,3,4},KMB!U313,KMB!AA313,KMB!AG313,KMB!AM313))=5)*(CHOOSE({1,2,3,4},KMB!X313,KMB!AD313,KMB!AJ313,KMB!AP313)))</f>
        <v>0</v>
      </c>
      <c r="F313">
        <f>SUMPRODUCT((MONTH(CHOOSE({1,2,3,4},KMB!U313,KMB!AA313,KMB!AG313,KMB!AM313))=6)*(CHOOSE({1,2,3,4},KMB!X313,KMB!AD313,KMB!AJ313,KMB!AP313)))</f>
        <v>0</v>
      </c>
      <c r="G313">
        <f>SUMPRODUCT((MONTH(CHOOSE({1,2,3,4},KMB!U313,KMB!AA313,KMB!AG313,KMB!AM313))=7)*(CHOOSE({1,2,3,4},KMB!X313,KMB!AD313,KMB!AJ313,KMB!AP313)))</f>
        <v>0</v>
      </c>
      <c r="H313">
        <f>SUMPRODUCT((MONTH(CHOOSE({1,2,3,4},KMB!U313,KMB!AA313,KMB!AG313,KMB!AM313))=8)*(CHOOSE({1,2,3,4},KMB!X313,KMB!AD313,KMB!AJ313,KMB!AP313)))</f>
        <v>0</v>
      </c>
      <c r="I313">
        <f>SUMPRODUCT((MONTH(CHOOSE({1,2,3,4},KMB!U313,KMB!AA313,KMB!AG313,KMB!AM313))=9)*(CHOOSE({1,2,3,4},KMB!X313,KMB!AD313,KMB!AJ313,KMB!AP313)))</f>
        <v>0</v>
      </c>
      <c r="J313">
        <f>SUMPRODUCT((MONTH(CHOOSE({1,2,3,4},KMB!U313,KMB!AA313,KMB!AG313,KMB!AM313))=10)*(CHOOSE({1,2,3,4},KMB!X313,KMB!AD313,KMB!AJ313,KMB!AP313)))</f>
        <v>0</v>
      </c>
      <c r="K313">
        <f>SUMPRODUCT((MONTH(CHOOSE({1,2,3,4},KMB!U313,KMB!AA313,KMB!AG313,KMB!AM313))=11)*(CHOOSE({1,2,3,4},KMB!X313,KMB!AD313,KMB!AJ313,KMB!AP313)))</f>
        <v>0</v>
      </c>
      <c r="L313">
        <f>SUMPRODUCT((MONTH(CHOOSE({1,2,3,4},KMB!U313,KMB!AA313,KMB!AG313,KMB!AM313))=12)*(CHOOSE({1,2,3,4},KMB!X313,KMB!AD313,KMB!AJ313,KMB!AP313)))</f>
        <v>0</v>
      </c>
    </row>
    <row r="314" spans="1:12">
      <c r="A314">
        <f>SUMPRODUCT((MONTH(CHOOSE({1,2,3,4},KMB!U314,KMB!AA314,KMB!AG314,KMB!AM314))=1)*(CHOOSE({1,2,3,4},KMB!X314,KMB!AD314,KMB!AJ314,KMB!AP314)))</f>
        <v>0</v>
      </c>
      <c r="B314">
        <f>SUMPRODUCT((MONTH(CHOOSE({1,2,3,4},KMB!U314,KMB!AA314,KMB!AG314,KMB!AM314))=2)*(CHOOSE({1,2,3,4},KMB!X314,KMB!AD314,KMB!AJ314,KMB!AP314)))</f>
        <v>0</v>
      </c>
      <c r="C314">
        <f>SUMPRODUCT((MONTH(CHOOSE({1,2,3,4},KMB!U314,KMB!AA314,KMB!AG314,KMB!AM314))=3)*(CHOOSE({1,2,3,4},KMB!X314,KMB!AD314,KMB!AJ314,KMB!AP314)))</f>
        <v>0</v>
      </c>
      <c r="D314">
        <f>SUMPRODUCT((MONTH(CHOOSE({1,2,3,4},KMB!U314,KMB!AA314,KMB!AG314,KMB!AM314))=4)*(CHOOSE({1,2,3,4},KMB!X314,KMB!AD314,KMB!AJ314,KMB!AP314)))</f>
        <v>0</v>
      </c>
      <c r="E314">
        <f>SUMPRODUCT((MONTH(CHOOSE({1,2,3,4},KMB!U314,KMB!AA314,KMB!AG314,KMB!AM314))=5)*(CHOOSE({1,2,3,4},KMB!X314,KMB!AD314,KMB!AJ314,KMB!AP314)))</f>
        <v>0</v>
      </c>
      <c r="F314">
        <f>SUMPRODUCT((MONTH(CHOOSE({1,2,3,4},KMB!U314,KMB!AA314,KMB!AG314,KMB!AM314))=6)*(CHOOSE({1,2,3,4},KMB!X314,KMB!AD314,KMB!AJ314,KMB!AP314)))</f>
        <v>0</v>
      </c>
      <c r="G314">
        <f>SUMPRODUCT((MONTH(CHOOSE({1,2,3,4},KMB!U314,KMB!AA314,KMB!AG314,KMB!AM314))=7)*(CHOOSE({1,2,3,4},KMB!X314,KMB!AD314,KMB!AJ314,KMB!AP314)))</f>
        <v>0</v>
      </c>
      <c r="H314">
        <f>SUMPRODUCT((MONTH(CHOOSE({1,2,3,4},KMB!U314,KMB!AA314,KMB!AG314,KMB!AM314))=8)*(CHOOSE({1,2,3,4},KMB!X314,KMB!AD314,KMB!AJ314,KMB!AP314)))</f>
        <v>0</v>
      </c>
      <c r="I314">
        <f>SUMPRODUCT((MONTH(CHOOSE({1,2,3,4},KMB!U314,KMB!AA314,KMB!AG314,KMB!AM314))=9)*(CHOOSE({1,2,3,4},KMB!X314,KMB!AD314,KMB!AJ314,KMB!AP314)))</f>
        <v>0</v>
      </c>
      <c r="J314">
        <f>SUMPRODUCT((MONTH(CHOOSE({1,2,3,4},KMB!U314,KMB!AA314,KMB!AG314,KMB!AM314))=10)*(CHOOSE({1,2,3,4},KMB!X314,KMB!AD314,KMB!AJ314,KMB!AP314)))</f>
        <v>0</v>
      </c>
      <c r="K314">
        <f>SUMPRODUCT((MONTH(CHOOSE({1,2,3,4},KMB!U314,KMB!AA314,KMB!AG314,KMB!AM314))=11)*(CHOOSE({1,2,3,4},KMB!X314,KMB!AD314,KMB!AJ314,KMB!AP314)))</f>
        <v>0</v>
      </c>
      <c r="L314">
        <f>SUMPRODUCT((MONTH(CHOOSE({1,2,3,4},KMB!U314,KMB!AA314,KMB!AG314,KMB!AM314))=12)*(CHOOSE({1,2,3,4},KMB!X314,KMB!AD314,KMB!AJ314,KMB!AP314)))</f>
        <v>0</v>
      </c>
    </row>
    <row r="315" spans="1:12">
      <c r="A315">
        <f>SUMPRODUCT((MONTH(CHOOSE({1,2,3,4},KMB!U315,KMB!AA315,KMB!AG315,KMB!AM315))=1)*(CHOOSE({1,2,3,4},KMB!X315,KMB!AD315,KMB!AJ315,KMB!AP315)))</f>
        <v>0</v>
      </c>
      <c r="B315">
        <f>SUMPRODUCT((MONTH(CHOOSE({1,2,3,4},KMB!U315,KMB!AA315,KMB!AG315,KMB!AM315))=2)*(CHOOSE({1,2,3,4},KMB!X315,KMB!AD315,KMB!AJ315,KMB!AP315)))</f>
        <v>0</v>
      </c>
      <c r="C315">
        <f>SUMPRODUCT((MONTH(CHOOSE({1,2,3,4},KMB!U315,KMB!AA315,KMB!AG315,KMB!AM315))=3)*(CHOOSE({1,2,3,4},KMB!X315,KMB!AD315,KMB!AJ315,KMB!AP315)))</f>
        <v>0</v>
      </c>
      <c r="D315">
        <f>SUMPRODUCT((MONTH(CHOOSE({1,2,3,4},KMB!U315,KMB!AA315,KMB!AG315,KMB!AM315))=4)*(CHOOSE({1,2,3,4},KMB!X315,KMB!AD315,KMB!AJ315,KMB!AP315)))</f>
        <v>0</v>
      </c>
      <c r="E315">
        <f>SUMPRODUCT((MONTH(CHOOSE({1,2,3,4},KMB!U315,KMB!AA315,KMB!AG315,KMB!AM315))=5)*(CHOOSE({1,2,3,4},KMB!X315,KMB!AD315,KMB!AJ315,KMB!AP315)))</f>
        <v>0</v>
      </c>
      <c r="F315">
        <f>SUMPRODUCT((MONTH(CHOOSE({1,2,3,4},KMB!U315,KMB!AA315,KMB!AG315,KMB!AM315))=6)*(CHOOSE({1,2,3,4},KMB!X315,KMB!AD315,KMB!AJ315,KMB!AP315)))</f>
        <v>0</v>
      </c>
      <c r="G315">
        <f>SUMPRODUCT((MONTH(CHOOSE({1,2,3,4},KMB!U315,KMB!AA315,KMB!AG315,KMB!AM315))=7)*(CHOOSE({1,2,3,4},KMB!X315,KMB!AD315,KMB!AJ315,KMB!AP315)))</f>
        <v>0</v>
      </c>
      <c r="H315">
        <f>SUMPRODUCT((MONTH(CHOOSE({1,2,3,4},KMB!U315,KMB!AA315,KMB!AG315,KMB!AM315))=8)*(CHOOSE({1,2,3,4},KMB!X315,KMB!AD315,KMB!AJ315,KMB!AP315)))</f>
        <v>0</v>
      </c>
      <c r="I315">
        <f>SUMPRODUCT((MONTH(CHOOSE({1,2,3,4},KMB!U315,KMB!AA315,KMB!AG315,KMB!AM315))=9)*(CHOOSE({1,2,3,4},KMB!X315,KMB!AD315,KMB!AJ315,KMB!AP315)))</f>
        <v>0</v>
      </c>
      <c r="J315">
        <f>SUMPRODUCT((MONTH(CHOOSE({1,2,3,4},KMB!U315,KMB!AA315,KMB!AG315,KMB!AM315))=10)*(CHOOSE({1,2,3,4},KMB!X315,KMB!AD315,KMB!AJ315,KMB!AP315)))</f>
        <v>0</v>
      </c>
      <c r="K315">
        <f>SUMPRODUCT((MONTH(CHOOSE({1,2,3,4},KMB!U315,KMB!AA315,KMB!AG315,KMB!AM315))=11)*(CHOOSE({1,2,3,4},KMB!X315,KMB!AD315,KMB!AJ315,KMB!AP315)))</f>
        <v>0</v>
      </c>
      <c r="L315">
        <f>SUMPRODUCT((MONTH(CHOOSE({1,2,3,4},KMB!U315,KMB!AA315,KMB!AG315,KMB!AM315))=12)*(CHOOSE({1,2,3,4},KMB!X315,KMB!AD315,KMB!AJ315,KMB!AP315)))</f>
        <v>0</v>
      </c>
    </row>
    <row r="316" spans="1:12">
      <c r="A316">
        <f>SUMPRODUCT((MONTH(CHOOSE({1,2,3,4},KMB!U316,KMB!AA316,KMB!AG316,KMB!AM316))=1)*(CHOOSE({1,2,3,4},KMB!X316,KMB!AD316,KMB!AJ316,KMB!AP316)))</f>
        <v>0</v>
      </c>
      <c r="B316">
        <f>SUMPRODUCT((MONTH(CHOOSE({1,2,3,4},KMB!U316,KMB!AA316,KMB!AG316,KMB!AM316))=2)*(CHOOSE({1,2,3,4},KMB!X316,KMB!AD316,KMB!AJ316,KMB!AP316)))</f>
        <v>0</v>
      </c>
      <c r="C316">
        <f>SUMPRODUCT((MONTH(CHOOSE({1,2,3,4},KMB!U316,KMB!AA316,KMB!AG316,KMB!AM316))=3)*(CHOOSE({1,2,3,4},KMB!X316,KMB!AD316,KMB!AJ316,KMB!AP316)))</f>
        <v>0</v>
      </c>
      <c r="D316">
        <f>SUMPRODUCT((MONTH(CHOOSE({1,2,3,4},KMB!U316,KMB!AA316,KMB!AG316,KMB!AM316))=4)*(CHOOSE({1,2,3,4},KMB!X316,KMB!AD316,KMB!AJ316,KMB!AP316)))</f>
        <v>0</v>
      </c>
      <c r="E316">
        <f>SUMPRODUCT((MONTH(CHOOSE({1,2,3,4},KMB!U316,KMB!AA316,KMB!AG316,KMB!AM316))=5)*(CHOOSE({1,2,3,4},KMB!X316,KMB!AD316,KMB!AJ316,KMB!AP316)))</f>
        <v>0</v>
      </c>
      <c r="F316">
        <f>SUMPRODUCT((MONTH(CHOOSE({1,2,3,4},KMB!U316,KMB!AA316,KMB!AG316,KMB!AM316))=6)*(CHOOSE({1,2,3,4},KMB!X316,KMB!AD316,KMB!AJ316,KMB!AP316)))</f>
        <v>0</v>
      </c>
      <c r="G316">
        <f>SUMPRODUCT((MONTH(CHOOSE({1,2,3,4},KMB!U316,KMB!AA316,KMB!AG316,KMB!AM316))=7)*(CHOOSE({1,2,3,4},KMB!X316,KMB!AD316,KMB!AJ316,KMB!AP316)))</f>
        <v>0</v>
      </c>
      <c r="H316">
        <f>SUMPRODUCT((MONTH(CHOOSE({1,2,3,4},KMB!U316,KMB!AA316,KMB!AG316,KMB!AM316))=8)*(CHOOSE({1,2,3,4},KMB!X316,KMB!AD316,KMB!AJ316,KMB!AP316)))</f>
        <v>0</v>
      </c>
      <c r="I316">
        <f>SUMPRODUCT((MONTH(CHOOSE({1,2,3,4},KMB!U316,KMB!AA316,KMB!AG316,KMB!AM316))=9)*(CHOOSE({1,2,3,4},KMB!X316,KMB!AD316,KMB!AJ316,KMB!AP316)))</f>
        <v>0</v>
      </c>
      <c r="J316">
        <f>SUMPRODUCT((MONTH(CHOOSE({1,2,3,4},KMB!U316,KMB!AA316,KMB!AG316,KMB!AM316))=10)*(CHOOSE({1,2,3,4},KMB!X316,KMB!AD316,KMB!AJ316,KMB!AP316)))</f>
        <v>0</v>
      </c>
      <c r="K316">
        <f>SUMPRODUCT((MONTH(CHOOSE({1,2,3,4},KMB!U316,KMB!AA316,KMB!AG316,KMB!AM316))=11)*(CHOOSE({1,2,3,4},KMB!X316,KMB!AD316,KMB!AJ316,KMB!AP316)))</f>
        <v>0</v>
      </c>
      <c r="L316">
        <f>SUMPRODUCT((MONTH(CHOOSE({1,2,3,4},KMB!U316,KMB!AA316,KMB!AG316,KMB!AM316))=12)*(CHOOSE({1,2,3,4},KMB!X316,KMB!AD316,KMB!AJ316,KMB!AP316)))</f>
        <v>0</v>
      </c>
    </row>
    <row r="317" spans="1:12">
      <c r="A317">
        <f>SUMPRODUCT((MONTH(CHOOSE({1,2,3,4},KMB!U317,KMB!AA317,KMB!AG317,KMB!AM317))=1)*(CHOOSE({1,2,3,4},KMB!X317,KMB!AD317,KMB!AJ317,KMB!AP317)))</f>
        <v>0</v>
      </c>
      <c r="B317">
        <f>SUMPRODUCT((MONTH(CHOOSE({1,2,3,4},KMB!U317,KMB!AA317,KMB!AG317,KMB!AM317))=2)*(CHOOSE({1,2,3,4},KMB!X317,KMB!AD317,KMB!AJ317,KMB!AP317)))</f>
        <v>0</v>
      </c>
      <c r="C317">
        <f>SUMPRODUCT((MONTH(CHOOSE({1,2,3,4},KMB!U317,KMB!AA317,KMB!AG317,KMB!AM317))=3)*(CHOOSE({1,2,3,4},KMB!X317,KMB!AD317,KMB!AJ317,KMB!AP317)))</f>
        <v>0</v>
      </c>
      <c r="D317">
        <f>SUMPRODUCT((MONTH(CHOOSE({1,2,3,4},KMB!U317,KMB!AA317,KMB!AG317,KMB!AM317))=4)*(CHOOSE({1,2,3,4},KMB!X317,KMB!AD317,KMB!AJ317,KMB!AP317)))</f>
        <v>0</v>
      </c>
      <c r="E317">
        <f>SUMPRODUCT((MONTH(CHOOSE({1,2,3,4},KMB!U317,KMB!AA317,KMB!AG317,KMB!AM317))=5)*(CHOOSE({1,2,3,4},KMB!X317,KMB!AD317,KMB!AJ317,KMB!AP317)))</f>
        <v>0</v>
      </c>
      <c r="F317">
        <f>SUMPRODUCT((MONTH(CHOOSE({1,2,3,4},KMB!U317,KMB!AA317,KMB!AG317,KMB!AM317))=6)*(CHOOSE({1,2,3,4},KMB!X317,KMB!AD317,KMB!AJ317,KMB!AP317)))</f>
        <v>0</v>
      </c>
      <c r="G317">
        <f>SUMPRODUCT((MONTH(CHOOSE({1,2,3,4},KMB!U317,KMB!AA317,KMB!AG317,KMB!AM317))=7)*(CHOOSE({1,2,3,4},KMB!X317,KMB!AD317,KMB!AJ317,KMB!AP317)))</f>
        <v>0</v>
      </c>
      <c r="H317">
        <f>SUMPRODUCT((MONTH(CHOOSE({1,2,3,4},KMB!U317,KMB!AA317,KMB!AG317,KMB!AM317))=8)*(CHOOSE({1,2,3,4},KMB!X317,KMB!AD317,KMB!AJ317,KMB!AP317)))</f>
        <v>0</v>
      </c>
      <c r="I317">
        <f>SUMPRODUCT((MONTH(CHOOSE({1,2,3,4},KMB!U317,KMB!AA317,KMB!AG317,KMB!AM317))=9)*(CHOOSE({1,2,3,4},KMB!X317,KMB!AD317,KMB!AJ317,KMB!AP317)))</f>
        <v>0</v>
      </c>
      <c r="J317">
        <f>SUMPRODUCT((MONTH(CHOOSE({1,2,3,4},KMB!U317,KMB!AA317,KMB!AG317,KMB!AM317))=10)*(CHOOSE({1,2,3,4},KMB!X317,KMB!AD317,KMB!AJ317,KMB!AP317)))</f>
        <v>0</v>
      </c>
      <c r="K317">
        <f>SUMPRODUCT((MONTH(CHOOSE({1,2,3,4},KMB!U317,KMB!AA317,KMB!AG317,KMB!AM317))=11)*(CHOOSE({1,2,3,4},KMB!X317,KMB!AD317,KMB!AJ317,KMB!AP317)))</f>
        <v>0</v>
      </c>
      <c r="L317">
        <f>SUMPRODUCT((MONTH(CHOOSE({1,2,3,4},KMB!U317,KMB!AA317,KMB!AG317,KMB!AM317))=12)*(CHOOSE({1,2,3,4},KMB!X317,KMB!AD317,KMB!AJ317,KMB!AP317)))</f>
        <v>0</v>
      </c>
    </row>
    <row r="318" spans="1:12">
      <c r="A318">
        <f>SUMPRODUCT((MONTH(CHOOSE({1,2,3,4},KMB!U318,KMB!AA318,KMB!AG318,KMB!AM318))=1)*(CHOOSE({1,2,3,4},KMB!X318,KMB!AD318,KMB!AJ318,KMB!AP318)))</f>
        <v>0</v>
      </c>
      <c r="B318">
        <f>SUMPRODUCT((MONTH(CHOOSE({1,2,3,4},KMB!U318,KMB!AA318,KMB!AG318,KMB!AM318))=2)*(CHOOSE({1,2,3,4},KMB!X318,KMB!AD318,KMB!AJ318,KMB!AP318)))</f>
        <v>0</v>
      </c>
      <c r="C318">
        <f>SUMPRODUCT((MONTH(CHOOSE({1,2,3,4},KMB!U318,KMB!AA318,KMB!AG318,KMB!AM318))=3)*(CHOOSE({1,2,3,4},KMB!X318,KMB!AD318,KMB!AJ318,KMB!AP318)))</f>
        <v>0</v>
      </c>
      <c r="D318">
        <f>SUMPRODUCT((MONTH(CHOOSE({1,2,3,4},KMB!U318,KMB!AA318,KMB!AG318,KMB!AM318))=4)*(CHOOSE({1,2,3,4},KMB!X318,KMB!AD318,KMB!AJ318,KMB!AP318)))</f>
        <v>0</v>
      </c>
      <c r="E318">
        <f>SUMPRODUCT((MONTH(CHOOSE({1,2,3,4},KMB!U318,KMB!AA318,KMB!AG318,KMB!AM318))=5)*(CHOOSE({1,2,3,4},KMB!X318,KMB!AD318,KMB!AJ318,KMB!AP318)))</f>
        <v>0</v>
      </c>
      <c r="F318">
        <f>SUMPRODUCT((MONTH(CHOOSE({1,2,3,4},KMB!U318,KMB!AA318,KMB!AG318,KMB!AM318))=6)*(CHOOSE({1,2,3,4},KMB!X318,KMB!AD318,KMB!AJ318,KMB!AP318)))</f>
        <v>0</v>
      </c>
      <c r="G318">
        <f>SUMPRODUCT((MONTH(CHOOSE({1,2,3,4},KMB!U318,KMB!AA318,KMB!AG318,KMB!AM318))=7)*(CHOOSE({1,2,3,4},KMB!X318,KMB!AD318,KMB!AJ318,KMB!AP318)))</f>
        <v>0</v>
      </c>
      <c r="H318">
        <f>SUMPRODUCT((MONTH(CHOOSE({1,2,3,4},KMB!U318,KMB!AA318,KMB!AG318,KMB!AM318))=8)*(CHOOSE({1,2,3,4},KMB!X318,KMB!AD318,KMB!AJ318,KMB!AP318)))</f>
        <v>0</v>
      </c>
      <c r="I318">
        <f>SUMPRODUCT((MONTH(CHOOSE({1,2,3,4},KMB!U318,KMB!AA318,KMB!AG318,KMB!AM318))=9)*(CHOOSE({1,2,3,4},KMB!X318,KMB!AD318,KMB!AJ318,KMB!AP318)))</f>
        <v>0</v>
      </c>
      <c r="J318">
        <f>SUMPRODUCT((MONTH(CHOOSE({1,2,3,4},KMB!U318,KMB!AA318,KMB!AG318,KMB!AM318))=10)*(CHOOSE({1,2,3,4},KMB!X318,KMB!AD318,KMB!AJ318,KMB!AP318)))</f>
        <v>0</v>
      </c>
      <c r="K318">
        <f>SUMPRODUCT((MONTH(CHOOSE({1,2,3,4},KMB!U318,KMB!AA318,KMB!AG318,KMB!AM318))=11)*(CHOOSE({1,2,3,4},KMB!X318,KMB!AD318,KMB!AJ318,KMB!AP318)))</f>
        <v>0</v>
      </c>
      <c r="L318">
        <f>SUMPRODUCT((MONTH(CHOOSE({1,2,3,4},KMB!U318,KMB!AA318,KMB!AG318,KMB!AM318))=12)*(CHOOSE({1,2,3,4},KMB!X318,KMB!AD318,KMB!AJ318,KMB!AP318)))</f>
        <v>0</v>
      </c>
    </row>
    <row r="319" spans="1:12">
      <c r="A319">
        <f>SUMPRODUCT((MONTH(CHOOSE({1,2,3,4},KMB!U319,KMB!AA319,KMB!AG319,KMB!AM319))=1)*(CHOOSE({1,2,3,4},KMB!X319,KMB!AD319,KMB!AJ319,KMB!AP319)))</f>
        <v>0</v>
      </c>
      <c r="B319">
        <f>SUMPRODUCT((MONTH(CHOOSE({1,2,3,4},KMB!U319,KMB!AA319,KMB!AG319,KMB!AM319))=2)*(CHOOSE({1,2,3,4},KMB!X319,KMB!AD319,KMB!AJ319,KMB!AP319)))</f>
        <v>0</v>
      </c>
      <c r="C319">
        <f>SUMPRODUCT((MONTH(CHOOSE({1,2,3,4},KMB!U319,KMB!AA319,KMB!AG319,KMB!AM319))=3)*(CHOOSE({1,2,3,4},KMB!X319,KMB!AD319,KMB!AJ319,KMB!AP319)))</f>
        <v>0</v>
      </c>
      <c r="D319">
        <f>SUMPRODUCT((MONTH(CHOOSE({1,2,3,4},KMB!U319,KMB!AA319,KMB!AG319,KMB!AM319))=4)*(CHOOSE({1,2,3,4},KMB!X319,KMB!AD319,KMB!AJ319,KMB!AP319)))</f>
        <v>0</v>
      </c>
      <c r="E319">
        <f>SUMPRODUCT((MONTH(CHOOSE({1,2,3,4},KMB!U319,KMB!AA319,KMB!AG319,KMB!AM319))=5)*(CHOOSE({1,2,3,4},KMB!X319,KMB!AD319,KMB!AJ319,KMB!AP319)))</f>
        <v>0</v>
      </c>
      <c r="F319">
        <f>SUMPRODUCT((MONTH(CHOOSE({1,2,3,4},KMB!U319,KMB!AA319,KMB!AG319,KMB!AM319))=6)*(CHOOSE({1,2,3,4},KMB!X319,KMB!AD319,KMB!AJ319,KMB!AP319)))</f>
        <v>0</v>
      </c>
      <c r="G319">
        <f>SUMPRODUCT((MONTH(CHOOSE({1,2,3,4},KMB!U319,KMB!AA319,KMB!AG319,KMB!AM319))=7)*(CHOOSE({1,2,3,4},KMB!X319,KMB!AD319,KMB!AJ319,KMB!AP319)))</f>
        <v>0</v>
      </c>
      <c r="H319">
        <f>SUMPRODUCT((MONTH(CHOOSE({1,2,3,4},KMB!U319,KMB!AA319,KMB!AG319,KMB!AM319))=8)*(CHOOSE({1,2,3,4},KMB!X319,KMB!AD319,KMB!AJ319,KMB!AP319)))</f>
        <v>0</v>
      </c>
      <c r="I319">
        <f>SUMPRODUCT((MONTH(CHOOSE({1,2,3,4},KMB!U319,KMB!AA319,KMB!AG319,KMB!AM319))=9)*(CHOOSE({1,2,3,4},KMB!X319,KMB!AD319,KMB!AJ319,KMB!AP319)))</f>
        <v>0</v>
      </c>
      <c r="J319">
        <f>SUMPRODUCT((MONTH(CHOOSE({1,2,3,4},KMB!U319,KMB!AA319,KMB!AG319,KMB!AM319))=10)*(CHOOSE({1,2,3,4},KMB!X319,KMB!AD319,KMB!AJ319,KMB!AP319)))</f>
        <v>0</v>
      </c>
      <c r="K319">
        <f>SUMPRODUCT((MONTH(CHOOSE({1,2,3,4},KMB!U319,KMB!AA319,KMB!AG319,KMB!AM319))=11)*(CHOOSE({1,2,3,4},KMB!X319,KMB!AD319,KMB!AJ319,KMB!AP319)))</f>
        <v>0</v>
      </c>
      <c r="L319">
        <f>SUMPRODUCT((MONTH(CHOOSE({1,2,3,4},KMB!U319,KMB!AA319,KMB!AG319,KMB!AM319))=12)*(CHOOSE({1,2,3,4},KMB!X319,KMB!AD319,KMB!AJ319,KMB!AP319)))</f>
        <v>0</v>
      </c>
    </row>
    <row r="320" spans="1:12">
      <c r="A320">
        <f>SUMPRODUCT((MONTH(CHOOSE({1,2,3,4},KMB!U320,KMB!AA320,KMB!AG320,KMB!AM320))=1)*(CHOOSE({1,2,3,4},KMB!X320,KMB!AD320,KMB!AJ320,KMB!AP320)))</f>
        <v>0</v>
      </c>
      <c r="B320">
        <f>SUMPRODUCT((MONTH(CHOOSE({1,2,3,4},KMB!U320,KMB!AA320,KMB!AG320,KMB!AM320))=2)*(CHOOSE({1,2,3,4},KMB!X320,KMB!AD320,KMB!AJ320,KMB!AP320)))</f>
        <v>0</v>
      </c>
      <c r="C320">
        <f>SUMPRODUCT((MONTH(CHOOSE({1,2,3,4},KMB!U320,KMB!AA320,KMB!AG320,KMB!AM320))=3)*(CHOOSE({1,2,3,4},KMB!X320,KMB!AD320,KMB!AJ320,KMB!AP320)))</f>
        <v>0</v>
      </c>
      <c r="D320">
        <f>SUMPRODUCT((MONTH(CHOOSE({1,2,3,4},KMB!U320,KMB!AA320,KMB!AG320,KMB!AM320))=4)*(CHOOSE({1,2,3,4},KMB!X320,KMB!AD320,KMB!AJ320,KMB!AP320)))</f>
        <v>0</v>
      </c>
      <c r="E320">
        <f>SUMPRODUCT((MONTH(CHOOSE({1,2,3,4},KMB!U320,KMB!AA320,KMB!AG320,KMB!AM320))=5)*(CHOOSE({1,2,3,4},KMB!X320,KMB!AD320,KMB!AJ320,KMB!AP320)))</f>
        <v>0</v>
      </c>
      <c r="F320">
        <f>SUMPRODUCT((MONTH(CHOOSE({1,2,3,4},KMB!U320,KMB!AA320,KMB!AG320,KMB!AM320))=6)*(CHOOSE({1,2,3,4},KMB!X320,KMB!AD320,KMB!AJ320,KMB!AP320)))</f>
        <v>0</v>
      </c>
      <c r="G320">
        <f>SUMPRODUCT((MONTH(CHOOSE({1,2,3,4},KMB!U320,KMB!AA320,KMB!AG320,KMB!AM320))=7)*(CHOOSE({1,2,3,4},KMB!X320,KMB!AD320,KMB!AJ320,KMB!AP320)))</f>
        <v>0</v>
      </c>
      <c r="H320">
        <f>SUMPRODUCT((MONTH(CHOOSE({1,2,3,4},KMB!U320,KMB!AA320,KMB!AG320,KMB!AM320))=8)*(CHOOSE({1,2,3,4},KMB!X320,KMB!AD320,KMB!AJ320,KMB!AP320)))</f>
        <v>0</v>
      </c>
      <c r="I320">
        <f>SUMPRODUCT((MONTH(CHOOSE({1,2,3,4},KMB!U320,KMB!AA320,KMB!AG320,KMB!AM320))=9)*(CHOOSE({1,2,3,4},KMB!X320,KMB!AD320,KMB!AJ320,KMB!AP320)))</f>
        <v>0</v>
      </c>
      <c r="J320">
        <f>SUMPRODUCT((MONTH(CHOOSE({1,2,3,4},KMB!U320,KMB!AA320,KMB!AG320,KMB!AM320))=10)*(CHOOSE({1,2,3,4},KMB!X320,KMB!AD320,KMB!AJ320,KMB!AP320)))</f>
        <v>0</v>
      </c>
      <c r="K320">
        <f>SUMPRODUCT((MONTH(CHOOSE({1,2,3,4},KMB!U320,KMB!AA320,KMB!AG320,KMB!AM320))=11)*(CHOOSE({1,2,3,4},KMB!X320,KMB!AD320,KMB!AJ320,KMB!AP320)))</f>
        <v>0</v>
      </c>
      <c r="L320">
        <f>SUMPRODUCT((MONTH(CHOOSE({1,2,3,4},KMB!U320,KMB!AA320,KMB!AG320,KMB!AM320))=12)*(CHOOSE({1,2,3,4},KMB!X320,KMB!AD320,KMB!AJ320,KMB!AP320)))</f>
        <v>0</v>
      </c>
    </row>
    <row r="321" spans="1:12">
      <c r="A321">
        <f>SUMPRODUCT((MONTH(CHOOSE({1,2,3,4},KMB!U321,KMB!AA321,KMB!AG321,KMB!AM321))=1)*(CHOOSE({1,2,3,4},KMB!X321,KMB!AD321,KMB!AJ321,KMB!AP321)))</f>
        <v>0</v>
      </c>
      <c r="B321">
        <f>SUMPRODUCT((MONTH(CHOOSE({1,2,3,4},KMB!U321,KMB!AA321,KMB!AG321,KMB!AM321))=2)*(CHOOSE({1,2,3,4},KMB!X321,KMB!AD321,KMB!AJ321,KMB!AP321)))</f>
        <v>0</v>
      </c>
      <c r="C321">
        <f>SUMPRODUCT((MONTH(CHOOSE({1,2,3,4},KMB!U321,KMB!AA321,KMB!AG321,KMB!AM321))=3)*(CHOOSE({1,2,3,4},KMB!X321,KMB!AD321,KMB!AJ321,KMB!AP321)))</f>
        <v>0</v>
      </c>
      <c r="D321">
        <f>SUMPRODUCT((MONTH(CHOOSE({1,2,3,4},KMB!U321,KMB!AA321,KMB!AG321,KMB!AM321))=4)*(CHOOSE({1,2,3,4},KMB!X321,KMB!AD321,KMB!AJ321,KMB!AP321)))</f>
        <v>0</v>
      </c>
      <c r="E321">
        <f>SUMPRODUCT((MONTH(CHOOSE({1,2,3,4},KMB!U321,KMB!AA321,KMB!AG321,KMB!AM321))=5)*(CHOOSE({1,2,3,4},KMB!X321,KMB!AD321,KMB!AJ321,KMB!AP321)))</f>
        <v>0</v>
      </c>
      <c r="F321">
        <f>SUMPRODUCT((MONTH(CHOOSE({1,2,3,4},KMB!U321,KMB!AA321,KMB!AG321,KMB!AM321))=6)*(CHOOSE({1,2,3,4},KMB!X321,KMB!AD321,KMB!AJ321,KMB!AP321)))</f>
        <v>0</v>
      </c>
      <c r="G321">
        <f>SUMPRODUCT((MONTH(CHOOSE({1,2,3,4},KMB!U321,KMB!AA321,KMB!AG321,KMB!AM321))=7)*(CHOOSE({1,2,3,4},KMB!X321,KMB!AD321,KMB!AJ321,KMB!AP321)))</f>
        <v>0</v>
      </c>
      <c r="H321">
        <f>SUMPRODUCT((MONTH(CHOOSE({1,2,3,4},KMB!U321,KMB!AA321,KMB!AG321,KMB!AM321))=8)*(CHOOSE({1,2,3,4},KMB!X321,KMB!AD321,KMB!AJ321,KMB!AP321)))</f>
        <v>0</v>
      </c>
      <c r="I321">
        <f>SUMPRODUCT((MONTH(CHOOSE({1,2,3,4},KMB!U321,KMB!AA321,KMB!AG321,KMB!AM321))=9)*(CHOOSE({1,2,3,4},KMB!X321,KMB!AD321,KMB!AJ321,KMB!AP321)))</f>
        <v>0</v>
      </c>
      <c r="J321">
        <f>SUMPRODUCT((MONTH(CHOOSE({1,2,3,4},KMB!U321,KMB!AA321,KMB!AG321,KMB!AM321))=10)*(CHOOSE({1,2,3,4},KMB!X321,KMB!AD321,KMB!AJ321,KMB!AP321)))</f>
        <v>0</v>
      </c>
      <c r="K321">
        <f>SUMPRODUCT((MONTH(CHOOSE({1,2,3,4},KMB!U321,KMB!AA321,KMB!AG321,KMB!AM321))=11)*(CHOOSE({1,2,3,4},KMB!X321,KMB!AD321,KMB!AJ321,KMB!AP321)))</f>
        <v>0</v>
      </c>
      <c r="L321">
        <f>SUMPRODUCT((MONTH(CHOOSE({1,2,3,4},KMB!U321,KMB!AA321,KMB!AG321,KMB!AM321))=12)*(CHOOSE({1,2,3,4},KMB!X321,KMB!AD321,KMB!AJ321,KMB!AP321)))</f>
        <v>0</v>
      </c>
    </row>
    <row r="322" spans="1:12">
      <c r="A322">
        <f>SUMPRODUCT((MONTH(CHOOSE({1,2,3,4},KMB!U322,KMB!AA322,KMB!AG322,KMB!AM322))=1)*(CHOOSE({1,2,3,4},KMB!X322,KMB!AD322,KMB!AJ322,KMB!AP322)))</f>
        <v>0</v>
      </c>
      <c r="B322">
        <f>SUMPRODUCT((MONTH(CHOOSE({1,2,3,4},KMB!U322,KMB!AA322,KMB!AG322,KMB!AM322))=2)*(CHOOSE({1,2,3,4},KMB!X322,KMB!AD322,KMB!AJ322,KMB!AP322)))</f>
        <v>0</v>
      </c>
      <c r="C322">
        <f>SUMPRODUCT((MONTH(CHOOSE({1,2,3,4},KMB!U322,KMB!AA322,KMB!AG322,KMB!AM322))=3)*(CHOOSE({1,2,3,4},KMB!X322,KMB!AD322,KMB!AJ322,KMB!AP322)))</f>
        <v>0</v>
      </c>
      <c r="D322">
        <f>SUMPRODUCT((MONTH(CHOOSE({1,2,3,4},KMB!U322,KMB!AA322,KMB!AG322,KMB!AM322))=4)*(CHOOSE({1,2,3,4},KMB!X322,KMB!AD322,KMB!AJ322,KMB!AP322)))</f>
        <v>0</v>
      </c>
      <c r="E322">
        <f>SUMPRODUCT((MONTH(CHOOSE({1,2,3,4},KMB!U322,KMB!AA322,KMB!AG322,KMB!AM322))=5)*(CHOOSE({1,2,3,4},KMB!X322,KMB!AD322,KMB!AJ322,KMB!AP322)))</f>
        <v>0</v>
      </c>
      <c r="F322">
        <f>SUMPRODUCT((MONTH(CHOOSE({1,2,3,4},KMB!U322,KMB!AA322,KMB!AG322,KMB!AM322))=6)*(CHOOSE({1,2,3,4},KMB!X322,KMB!AD322,KMB!AJ322,KMB!AP322)))</f>
        <v>0</v>
      </c>
      <c r="G322">
        <f>SUMPRODUCT((MONTH(CHOOSE({1,2,3,4},KMB!U322,KMB!AA322,KMB!AG322,KMB!AM322))=7)*(CHOOSE({1,2,3,4},KMB!X322,KMB!AD322,KMB!AJ322,KMB!AP322)))</f>
        <v>0</v>
      </c>
      <c r="H322">
        <f>SUMPRODUCT((MONTH(CHOOSE({1,2,3,4},KMB!U322,KMB!AA322,KMB!AG322,KMB!AM322))=8)*(CHOOSE({1,2,3,4},KMB!X322,KMB!AD322,KMB!AJ322,KMB!AP322)))</f>
        <v>0</v>
      </c>
      <c r="I322">
        <f>SUMPRODUCT((MONTH(CHOOSE({1,2,3,4},KMB!U322,KMB!AA322,KMB!AG322,KMB!AM322))=9)*(CHOOSE({1,2,3,4},KMB!X322,KMB!AD322,KMB!AJ322,KMB!AP322)))</f>
        <v>0</v>
      </c>
      <c r="J322">
        <f>SUMPRODUCT((MONTH(CHOOSE({1,2,3,4},KMB!U322,KMB!AA322,KMB!AG322,KMB!AM322))=10)*(CHOOSE({1,2,3,4},KMB!X322,KMB!AD322,KMB!AJ322,KMB!AP322)))</f>
        <v>0</v>
      </c>
      <c r="K322">
        <f>SUMPRODUCT((MONTH(CHOOSE({1,2,3,4},KMB!U322,KMB!AA322,KMB!AG322,KMB!AM322))=11)*(CHOOSE({1,2,3,4},KMB!X322,KMB!AD322,KMB!AJ322,KMB!AP322)))</f>
        <v>0</v>
      </c>
      <c r="L322">
        <f>SUMPRODUCT((MONTH(CHOOSE({1,2,3,4},KMB!U322,KMB!AA322,KMB!AG322,KMB!AM322))=12)*(CHOOSE({1,2,3,4},KMB!X322,KMB!AD322,KMB!AJ322,KMB!AP322)))</f>
        <v>0</v>
      </c>
    </row>
    <row r="323" spans="1:12">
      <c r="A323">
        <f>SUMPRODUCT((MONTH(CHOOSE({1,2,3,4},KMB!U323,KMB!AA323,KMB!AG323,KMB!AM323))=1)*(CHOOSE({1,2,3,4},KMB!X323,KMB!AD323,KMB!AJ323,KMB!AP323)))</f>
        <v>0</v>
      </c>
      <c r="B323">
        <f>SUMPRODUCT((MONTH(CHOOSE({1,2,3,4},KMB!U323,KMB!AA323,KMB!AG323,KMB!AM323))=2)*(CHOOSE({1,2,3,4},KMB!X323,KMB!AD323,KMB!AJ323,KMB!AP323)))</f>
        <v>0</v>
      </c>
      <c r="C323">
        <f>SUMPRODUCT((MONTH(CHOOSE({1,2,3,4},KMB!U323,KMB!AA323,KMB!AG323,KMB!AM323))=3)*(CHOOSE({1,2,3,4},KMB!X323,KMB!AD323,KMB!AJ323,KMB!AP323)))</f>
        <v>0</v>
      </c>
      <c r="D323">
        <f>SUMPRODUCT((MONTH(CHOOSE({1,2,3,4},KMB!U323,KMB!AA323,KMB!AG323,KMB!AM323))=4)*(CHOOSE({1,2,3,4},KMB!X323,KMB!AD323,KMB!AJ323,KMB!AP323)))</f>
        <v>0</v>
      </c>
      <c r="E323">
        <f>SUMPRODUCT((MONTH(CHOOSE({1,2,3,4},KMB!U323,KMB!AA323,KMB!AG323,KMB!AM323))=5)*(CHOOSE({1,2,3,4},KMB!X323,KMB!AD323,KMB!AJ323,KMB!AP323)))</f>
        <v>0</v>
      </c>
      <c r="F323">
        <f>SUMPRODUCT((MONTH(CHOOSE({1,2,3,4},KMB!U323,KMB!AA323,KMB!AG323,KMB!AM323))=6)*(CHOOSE({1,2,3,4},KMB!X323,KMB!AD323,KMB!AJ323,KMB!AP323)))</f>
        <v>0</v>
      </c>
      <c r="G323">
        <f>SUMPRODUCT((MONTH(CHOOSE({1,2,3,4},KMB!U323,KMB!AA323,KMB!AG323,KMB!AM323))=7)*(CHOOSE({1,2,3,4},KMB!X323,KMB!AD323,KMB!AJ323,KMB!AP323)))</f>
        <v>0</v>
      </c>
      <c r="H323">
        <f>SUMPRODUCT((MONTH(CHOOSE({1,2,3,4},KMB!U323,KMB!AA323,KMB!AG323,KMB!AM323))=8)*(CHOOSE({1,2,3,4},KMB!X323,KMB!AD323,KMB!AJ323,KMB!AP323)))</f>
        <v>0</v>
      </c>
      <c r="I323">
        <f>SUMPRODUCT((MONTH(CHOOSE({1,2,3,4},KMB!U323,KMB!AA323,KMB!AG323,KMB!AM323))=9)*(CHOOSE({1,2,3,4},KMB!X323,KMB!AD323,KMB!AJ323,KMB!AP323)))</f>
        <v>0</v>
      </c>
      <c r="J323">
        <f>SUMPRODUCT((MONTH(CHOOSE({1,2,3,4},KMB!U323,KMB!AA323,KMB!AG323,KMB!AM323))=10)*(CHOOSE({1,2,3,4},KMB!X323,KMB!AD323,KMB!AJ323,KMB!AP323)))</f>
        <v>0</v>
      </c>
      <c r="K323">
        <f>SUMPRODUCT((MONTH(CHOOSE({1,2,3,4},KMB!U323,KMB!AA323,KMB!AG323,KMB!AM323))=11)*(CHOOSE({1,2,3,4},KMB!X323,KMB!AD323,KMB!AJ323,KMB!AP323)))</f>
        <v>0</v>
      </c>
      <c r="L323">
        <f>SUMPRODUCT((MONTH(CHOOSE({1,2,3,4},KMB!U323,KMB!AA323,KMB!AG323,KMB!AM323))=12)*(CHOOSE({1,2,3,4},KMB!X323,KMB!AD323,KMB!AJ323,KMB!AP323)))</f>
        <v>0</v>
      </c>
    </row>
    <row r="324" spans="1:12">
      <c r="A324">
        <f>SUMPRODUCT((MONTH(CHOOSE({1,2,3,4},KMB!U324,KMB!AA324,KMB!AG324,KMB!AM324))=1)*(CHOOSE({1,2,3,4},KMB!X324,KMB!AD324,KMB!AJ324,KMB!AP324)))</f>
        <v>0</v>
      </c>
      <c r="B324">
        <f>SUMPRODUCT((MONTH(CHOOSE({1,2,3,4},KMB!U324,KMB!AA324,KMB!AG324,KMB!AM324))=2)*(CHOOSE({1,2,3,4},KMB!X324,KMB!AD324,KMB!AJ324,KMB!AP324)))</f>
        <v>0</v>
      </c>
      <c r="C324">
        <f>SUMPRODUCT((MONTH(CHOOSE({1,2,3,4},KMB!U324,KMB!AA324,KMB!AG324,KMB!AM324))=3)*(CHOOSE({1,2,3,4},KMB!X324,KMB!AD324,KMB!AJ324,KMB!AP324)))</f>
        <v>0</v>
      </c>
      <c r="D324">
        <f>SUMPRODUCT((MONTH(CHOOSE({1,2,3,4},KMB!U324,KMB!AA324,KMB!AG324,KMB!AM324))=4)*(CHOOSE({1,2,3,4},KMB!X324,KMB!AD324,KMB!AJ324,KMB!AP324)))</f>
        <v>0</v>
      </c>
      <c r="E324">
        <f>SUMPRODUCT((MONTH(CHOOSE({1,2,3,4},KMB!U324,KMB!AA324,KMB!AG324,KMB!AM324))=5)*(CHOOSE({1,2,3,4},KMB!X324,KMB!AD324,KMB!AJ324,KMB!AP324)))</f>
        <v>0</v>
      </c>
      <c r="F324">
        <f>SUMPRODUCT((MONTH(CHOOSE({1,2,3,4},KMB!U324,KMB!AA324,KMB!AG324,KMB!AM324))=6)*(CHOOSE({1,2,3,4},KMB!X324,KMB!AD324,KMB!AJ324,KMB!AP324)))</f>
        <v>0</v>
      </c>
      <c r="G324">
        <f>SUMPRODUCT((MONTH(CHOOSE({1,2,3,4},KMB!U324,KMB!AA324,KMB!AG324,KMB!AM324))=7)*(CHOOSE({1,2,3,4},KMB!X324,KMB!AD324,KMB!AJ324,KMB!AP324)))</f>
        <v>0</v>
      </c>
      <c r="H324">
        <f>SUMPRODUCT((MONTH(CHOOSE({1,2,3,4},KMB!U324,KMB!AA324,KMB!AG324,KMB!AM324))=8)*(CHOOSE({1,2,3,4},KMB!X324,KMB!AD324,KMB!AJ324,KMB!AP324)))</f>
        <v>0</v>
      </c>
      <c r="I324">
        <f>SUMPRODUCT((MONTH(CHOOSE({1,2,3,4},KMB!U324,KMB!AA324,KMB!AG324,KMB!AM324))=9)*(CHOOSE({1,2,3,4},KMB!X324,KMB!AD324,KMB!AJ324,KMB!AP324)))</f>
        <v>0</v>
      </c>
      <c r="J324">
        <f>SUMPRODUCT((MONTH(CHOOSE({1,2,3,4},KMB!U324,KMB!AA324,KMB!AG324,KMB!AM324))=10)*(CHOOSE({1,2,3,4},KMB!X324,KMB!AD324,KMB!AJ324,KMB!AP324)))</f>
        <v>0</v>
      </c>
      <c r="K324">
        <f>SUMPRODUCT((MONTH(CHOOSE({1,2,3,4},KMB!U324,KMB!AA324,KMB!AG324,KMB!AM324))=11)*(CHOOSE({1,2,3,4},KMB!X324,KMB!AD324,KMB!AJ324,KMB!AP324)))</f>
        <v>0</v>
      </c>
      <c r="L324">
        <f>SUMPRODUCT((MONTH(CHOOSE({1,2,3,4},KMB!U324,KMB!AA324,KMB!AG324,KMB!AM324))=12)*(CHOOSE({1,2,3,4},KMB!X324,KMB!AD324,KMB!AJ324,KMB!AP324)))</f>
        <v>0</v>
      </c>
    </row>
    <row r="325" spans="1:12">
      <c r="A325">
        <f>SUMPRODUCT((MONTH(CHOOSE({1,2,3,4},KMB!U325,KMB!AA325,KMB!AG325,KMB!AM325))=1)*(CHOOSE({1,2,3,4},KMB!X325,KMB!AD325,KMB!AJ325,KMB!AP325)))</f>
        <v>0</v>
      </c>
      <c r="B325">
        <f>SUMPRODUCT((MONTH(CHOOSE({1,2,3,4},KMB!U325,KMB!AA325,KMB!AG325,KMB!AM325))=2)*(CHOOSE({1,2,3,4},KMB!X325,KMB!AD325,KMB!AJ325,KMB!AP325)))</f>
        <v>0</v>
      </c>
      <c r="C325">
        <f>SUMPRODUCT((MONTH(CHOOSE({1,2,3,4},KMB!U325,KMB!AA325,KMB!AG325,KMB!AM325))=3)*(CHOOSE({1,2,3,4},KMB!X325,KMB!AD325,KMB!AJ325,KMB!AP325)))</f>
        <v>0</v>
      </c>
      <c r="D325">
        <f>SUMPRODUCT((MONTH(CHOOSE({1,2,3,4},KMB!U325,KMB!AA325,KMB!AG325,KMB!AM325))=4)*(CHOOSE({1,2,3,4},KMB!X325,KMB!AD325,KMB!AJ325,KMB!AP325)))</f>
        <v>0</v>
      </c>
      <c r="E325">
        <f>SUMPRODUCT((MONTH(CHOOSE({1,2,3,4},KMB!U325,KMB!AA325,KMB!AG325,KMB!AM325))=5)*(CHOOSE({1,2,3,4},KMB!X325,KMB!AD325,KMB!AJ325,KMB!AP325)))</f>
        <v>0</v>
      </c>
      <c r="F325">
        <f>SUMPRODUCT((MONTH(CHOOSE({1,2,3,4},KMB!U325,KMB!AA325,KMB!AG325,KMB!AM325))=6)*(CHOOSE({1,2,3,4},KMB!X325,KMB!AD325,KMB!AJ325,KMB!AP325)))</f>
        <v>0</v>
      </c>
      <c r="G325">
        <f>SUMPRODUCT((MONTH(CHOOSE({1,2,3,4},KMB!U325,KMB!AA325,KMB!AG325,KMB!AM325))=7)*(CHOOSE({1,2,3,4},KMB!X325,KMB!AD325,KMB!AJ325,KMB!AP325)))</f>
        <v>0</v>
      </c>
      <c r="H325">
        <f>SUMPRODUCT((MONTH(CHOOSE({1,2,3,4},KMB!U325,KMB!AA325,KMB!AG325,KMB!AM325))=8)*(CHOOSE({1,2,3,4},KMB!X325,KMB!AD325,KMB!AJ325,KMB!AP325)))</f>
        <v>0</v>
      </c>
      <c r="I325">
        <f>SUMPRODUCT((MONTH(CHOOSE({1,2,3,4},KMB!U325,KMB!AA325,KMB!AG325,KMB!AM325))=9)*(CHOOSE({1,2,3,4},KMB!X325,KMB!AD325,KMB!AJ325,KMB!AP325)))</f>
        <v>0</v>
      </c>
      <c r="J325">
        <f>SUMPRODUCT((MONTH(CHOOSE({1,2,3,4},KMB!U325,KMB!AA325,KMB!AG325,KMB!AM325))=10)*(CHOOSE({1,2,3,4},KMB!X325,KMB!AD325,KMB!AJ325,KMB!AP325)))</f>
        <v>0</v>
      </c>
      <c r="K325">
        <f>SUMPRODUCT((MONTH(CHOOSE({1,2,3,4},KMB!U325,KMB!AA325,KMB!AG325,KMB!AM325))=11)*(CHOOSE({1,2,3,4},KMB!X325,KMB!AD325,KMB!AJ325,KMB!AP325)))</f>
        <v>0</v>
      </c>
      <c r="L325">
        <f>SUMPRODUCT((MONTH(CHOOSE({1,2,3,4},KMB!U325,KMB!AA325,KMB!AG325,KMB!AM325))=12)*(CHOOSE({1,2,3,4},KMB!X325,KMB!AD325,KMB!AJ325,KMB!AP325)))</f>
        <v>0</v>
      </c>
    </row>
    <row r="326" spans="1:12">
      <c r="A326">
        <f>SUMPRODUCT((MONTH(CHOOSE({1,2,3,4},KMB!U326,KMB!AA326,KMB!AG326,KMB!AM326))=1)*(CHOOSE({1,2,3,4},KMB!X326,KMB!AD326,KMB!AJ326,KMB!AP326)))</f>
        <v>0</v>
      </c>
      <c r="B326">
        <f>SUMPRODUCT((MONTH(CHOOSE({1,2,3,4},KMB!U326,KMB!AA326,KMB!AG326,KMB!AM326))=2)*(CHOOSE({1,2,3,4},KMB!X326,KMB!AD326,KMB!AJ326,KMB!AP326)))</f>
        <v>0</v>
      </c>
      <c r="C326">
        <f>SUMPRODUCT((MONTH(CHOOSE({1,2,3,4},KMB!U326,KMB!AA326,KMB!AG326,KMB!AM326))=3)*(CHOOSE({1,2,3,4},KMB!X326,KMB!AD326,KMB!AJ326,KMB!AP326)))</f>
        <v>0</v>
      </c>
      <c r="D326">
        <f>SUMPRODUCT((MONTH(CHOOSE({1,2,3,4},KMB!U326,KMB!AA326,KMB!AG326,KMB!AM326))=4)*(CHOOSE({1,2,3,4},KMB!X326,KMB!AD326,KMB!AJ326,KMB!AP326)))</f>
        <v>0</v>
      </c>
      <c r="E326">
        <f>SUMPRODUCT((MONTH(CHOOSE({1,2,3,4},KMB!U326,KMB!AA326,KMB!AG326,KMB!AM326))=5)*(CHOOSE({1,2,3,4},KMB!X326,KMB!AD326,KMB!AJ326,KMB!AP326)))</f>
        <v>0</v>
      </c>
      <c r="F326">
        <f>SUMPRODUCT((MONTH(CHOOSE({1,2,3,4},KMB!U326,KMB!AA326,KMB!AG326,KMB!AM326))=6)*(CHOOSE({1,2,3,4},KMB!X326,KMB!AD326,KMB!AJ326,KMB!AP326)))</f>
        <v>0</v>
      </c>
      <c r="G326">
        <f>SUMPRODUCT((MONTH(CHOOSE({1,2,3,4},KMB!U326,KMB!AA326,KMB!AG326,KMB!AM326))=7)*(CHOOSE({1,2,3,4},KMB!X326,KMB!AD326,KMB!AJ326,KMB!AP326)))</f>
        <v>0</v>
      </c>
      <c r="H326">
        <f>SUMPRODUCT((MONTH(CHOOSE({1,2,3,4},KMB!U326,KMB!AA326,KMB!AG326,KMB!AM326))=8)*(CHOOSE({1,2,3,4},KMB!X326,KMB!AD326,KMB!AJ326,KMB!AP326)))</f>
        <v>0</v>
      </c>
      <c r="I326">
        <f>SUMPRODUCT((MONTH(CHOOSE({1,2,3,4},KMB!U326,KMB!AA326,KMB!AG326,KMB!AM326))=9)*(CHOOSE({1,2,3,4},KMB!X326,KMB!AD326,KMB!AJ326,KMB!AP326)))</f>
        <v>0</v>
      </c>
      <c r="J326">
        <f>SUMPRODUCT((MONTH(CHOOSE({1,2,3,4},KMB!U326,KMB!AA326,KMB!AG326,KMB!AM326))=10)*(CHOOSE({1,2,3,4},KMB!X326,KMB!AD326,KMB!AJ326,KMB!AP326)))</f>
        <v>0</v>
      </c>
      <c r="K326">
        <f>SUMPRODUCT((MONTH(CHOOSE({1,2,3,4},KMB!U326,KMB!AA326,KMB!AG326,KMB!AM326))=11)*(CHOOSE({1,2,3,4},KMB!X326,KMB!AD326,KMB!AJ326,KMB!AP326)))</f>
        <v>0</v>
      </c>
      <c r="L326">
        <f>SUMPRODUCT((MONTH(CHOOSE({1,2,3,4},KMB!U326,KMB!AA326,KMB!AG326,KMB!AM326))=12)*(CHOOSE({1,2,3,4},KMB!X326,KMB!AD326,KMB!AJ326,KMB!AP326)))</f>
        <v>0</v>
      </c>
    </row>
    <row r="327" spans="1:12">
      <c r="A327">
        <f>SUMPRODUCT((MONTH(CHOOSE({1,2,3,4},KMB!U327,KMB!AA327,KMB!AG327,KMB!AM327))=1)*(CHOOSE({1,2,3,4},KMB!X327,KMB!AD327,KMB!AJ327,KMB!AP327)))</f>
        <v>0</v>
      </c>
      <c r="B327">
        <f>SUMPRODUCT((MONTH(CHOOSE({1,2,3,4},KMB!U327,KMB!AA327,KMB!AG327,KMB!AM327))=2)*(CHOOSE({1,2,3,4},KMB!X327,KMB!AD327,KMB!AJ327,KMB!AP327)))</f>
        <v>0</v>
      </c>
      <c r="C327">
        <f>SUMPRODUCT((MONTH(CHOOSE({1,2,3,4},KMB!U327,KMB!AA327,KMB!AG327,KMB!AM327))=3)*(CHOOSE({1,2,3,4},KMB!X327,KMB!AD327,KMB!AJ327,KMB!AP327)))</f>
        <v>0</v>
      </c>
      <c r="D327">
        <f>SUMPRODUCT((MONTH(CHOOSE({1,2,3,4},KMB!U327,KMB!AA327,KMB!AG327,KMB!AM327))=4)*(CHOOSE({1,2,3,4},KMB!X327,KMB!AD327,KMB!AJ327,KMB!AP327)))</f>
        <v>0</v>
      </c>
      <c r="E327">
        <f>SUMPRODUCT((MONTH(CHOOSE({1,2,3,4},KMB!U327,KMB!AA327,KMB!AG327,KMB!AM327))=5)*(CHOOSE({1,2,3,4},KMB!X327,KMB!AD327,KMB!AJ327,KMB!AP327)))</f>
        <v>0</v>
      </c>
      <c r="F327">
        <f>SUMPRODUCT((MONTH(CHOOSE({1,2,3,4},KMB!U327,KMB!AA327,KMB!AG327,KMB!AM327))=6)*(CHOOSE({1,2,3,4},KMB!X327,KMB!AD327,KMB!AJ327,KMB!AP327)))</f>
        <v>0</v>
      </c>
      <c r="G327">
        <f>SUMPRODUCT((MONTH(CHOOSE({1,2,3,4},KMB!U327,KMB!AA327,KMB!AG327,KMB!AM327))=7)*(CHOOSE({1,2,3,4},KMB!X327,KMB!AD327,KMB!AJ327,KMB!AP327)))</f>
        <v>0</v>
      </c>
      <c r="H327">
        <f>SUMPRODUCT((MONTH(CHOOSE({1,2,3,4},KMB!U327,KMB!AA327,KMB!AG327,KMB!AM327))=8)*(CHOOSE({1,2,3,4},KMB!X327,KMB!AD327,KMB!AJ327,KMB!AP327)))</f>
        <v>0</v>
      </c>
      <c r="I327">
        <f>SUMPRODUCT((MONTH(CHOOSE({1,2,3,4},KMB!U327,KMB!AA327,KMB!AG327,KMB!AM327))=9)*(CHOOSE({1,2,3,4},KMB!X327,KMB!AD327,KMB!AJ327,KMB!AP327)))</f>
        <v>0</v>
      </c>
      <c r="J327">
        <f>SUMPRODUCT((MONTH(CHOOSE({1,2,3,4},KMB!U327,KMB!AA327,KMB!AG327,KMB!AM327))=10)*(CHOOSE({1,2,3,4},KMB!X327,KMB!AD327,KMB!AJ327,KMB!AP327)))</f>
        <v>0</v>
      </c>
      <c r="K327">
        <f>SUMPRODUCT((MONTH(CHOOSE({1,2,3,4},KMB!U327,KMB!AA327,KMB!AG327,KMB!AM327))=11)*(CHOOSE({1,2,3,4},KMB!X327,KMB!AD327,KMB!AJ327,KMB!AP327)))</f>
        <v>0</v>
      </c>
      <c r="L327">
        <f>SUMPRODUCT((MONTH(CHOOSE({1,2,3,4},KMB!U327,KMB!AA327,KMB!AG327,KMB!AM327))=12)*(CHOOSE({1,2,3,4},KMB!X327,KMB!AD327,KMB!AJ327,KMB!AP327)))</f>
        <v>0</v>
      </c>
    </row>
    <row r="328" spans="1:12">
      <c r="A328">
        <f>SUMPRODUCT((MONTH(CHOOSE({1,2,3,4},KMB!U328,KMB!AA328,KMB!AG328,KMB!AM328))=1)*(CHOOSE({1,2,3,4},KMB!X328,KMB!AD328,KMB!AJ328,KMB!AP328)))</f>
        <v>0</v>
      </c>
      <c r="B328">
        <f>SUMPRODUCT((MONTH(CHOOSE({1,2,3,4},KMB!U328,KMB!AA328,KMB!AG328,KMB!AM328))=2)*(CHOOSE({1,2,3,4},KMB!X328,KMB!AD328,KMB!AJ328,KMB!AP328)))</f>
        <v>0</v>
      </c>
      <c r="C328">
        <f>SUMPRODUCT((MONTH(CHOOSE({1,2,3,4},KMB!U328,KMB!AA328,KMB!AG328,KMB!AM328))=3)*(CHOOSE({1,2,3,4},KMB!X328,KMB!AD328,KMB!AJ328,KMB!AP328)))</f>
        <v>0</v>
      </c>
      <c r="D328">
        <f>SUMPRODUCT((MONTH(CHOOSE({1,2,3,4},KMB!U328,KMB!AA328,KMB!AG328,KMB!AM328))=4)*(CHOOSE({1,2,3,4},KMB!X328,KMB!AD328,KMB!AJ328,KMB!AP328)))</f>
        <v>0</v>
      </c>
      <c r="E328">
        <f>SUMPRODUCT((MONTH(CHOOSE({1,2,3,4},KMB!U328,KMB!AA328,KMB!AG328,KMB!AM328))=5)*(CHOOSE({1,2,3,4},KMB!X328,KMB!AD328,KMB!AJ328,KMB!AP328)))</f>
        <v>0</v>
      </c>
      <c r="F328">
        <f>SUMPRODUCT((MONTH(CHOOSE({1,2,3,4},KMB!U328,KMB!AA328,KMB!AG328,KMB!AM328))=6)*(CHOOSE({1,2,3,4},KMB!X328,KMB!AD328,KMB!AJ328,KMB!AP328)))</f>
        <v>0</v>
      </c>
      <c r="G328">
        <f>SUMPRODUCT((MONTH(CHOOSE({1,2,3,4},KMB!U328,KMB!AA328,KMB!AG328,KMB!AM328))=7)*(CHOOSE({1,2,3,4},KMB!X328,KMB!AD328,KMB!AJ328,KMB!AP328)))</f>
        <v>0</v>
      </c>
      <c r="H328">
        <f>SUMPRODUCT((MONTH(CHOOSE({1,2,3,4},KMB!U328,KMB!AA328,KMB!AG328,KMB!AM328))=8)*(CHOOSE({1,2,3,4},KMB!X328,KMB!AD328,KMB!AJ328,KMB!AP328)))</f>
        <v>0</v>
      </c>
      <c r="I328">
        <f>SUMPRODUCT((MONTH(CHOOSE({1,2,3,4},KMB!U328,KMB!AA328,KMB!AG328,KMB!AM328))=9)*(CHOOSE({1,2,3,4},KMB!X328,KMB!AD328,KMB!AJ328,KMB!AP328)))</f>
        <v>0</v>
      </c>
      <c r="J328">
        <f>SUMPRODUCT((MONTH(CHOOSE({1,2,3,4},KMB!U328,KMB!AA328,KMB!AG328,KMB!AM328))=10)*(CHOOSE({1,2,3,4},KMB!X328,KMB!AD328,KMB!AJ328,KMB!AP328)))</f>
        <v>0</v>
      </c>
      <c r="K328">
        <f>SUMPRODUCT((MONTH(CHOOSE({1,2,3,4},KMB!U328,KMB!AA328,KMB!AG328,KMB!AM328))=11)*(CHOOSE({1,2,3,4},KMB!X328,KMB!AD328,KMB!AJ328,KMB!AP328)))</f>
        <v>0</v>
      </c>
      <c r="L328">
        <f>SUMPRODUCT((MONTH(CHOOSE({1,2,3,4},KMB!U328,KMB!AA328,KMB!AG328,KMB!AM328))=12)*(CHOOSE({1,2,3,4},KMB!X328,KMB!AD328,KMB!AJ328,KMB!AP328)))</f>
        <v>0</v>
      </c>
    </row>
    <row r="329" spans="1:12">
      <c r="A329">
        <f>SUMPRODUCT((MONTH(CHOOSE({1,2,3,4},KMB!U329,KMB!AA329,KMB!AG329,KMB!AM329))=1)*(CHOOSE({1,2,3,4},KMB!X329,KMB!AD329,KMB!AJ329,KMB!AP329)))</f>
        <v>0</v>
      </c>
      <c r="B329">
        <f>SUMPRODUCT((MONTH(CHOOSE({1,2,3,4},KMB!U329,KMB!AA329,KMB!AG329,KMB!AM329))=2)*(CHOOSE({1,2,3,4},KMB!X329,KMB!AD329,KMB!AJ329,KMB!AP329)))</f>
        <v>0</v>
      </c>
      <c r="C329">
        <f>SUMPRODUCT((MONTH(CHOOSE({1,2,3,4},KMB!U329,KMB!AA329,KMB!AG329,KMB!AM329))=3)*(CHOOSE({1,2,3,4},KMB!X329,KMB!AD329,KMB!AJ329,KMB!AP329)))</f>
        <v>0</v>
      </c>
      <c r="D329">
        <f>SUMPRODUCT((MONTH(CHOOSE({1,2,3,4},KMB!U329,KMB!AA329,KMB!AG329,KMB!AM329))=4)*(CHOOSE({1,2,3,4},KMB!X329,KMB!AD329,KMB!AJ329,KMB!AP329)))</f>
        <v>0</v>
      </c>
      <c r="E329">
        <f>SUMPRODUCT((MONTH(CHOOSE({1,2,3,4},KMB!U329,KMB!AA329,KMB!AG329,KMB!AM329))=5)*(CHOOSE({1,2,3,4},KMB!X329,KMB!AD329,KMB!AJ329,KMB!AP329)))</f>
        <v>0</v>
      </c>
      <c r="F329">
        <f>SUMPRODUCT((MONTH(CHOOSE({1,2,3,4},KMB!U329,KMB!AA329,KMB!AG329,KMB!AM329))=6)*(CHOOSE({1,2,3,4},KMB!X329,KMB!AD329,KMB!AJ329,KMB!AP329)))</f>
        <v>0</v>
      </c>
      <c r="G329">
        <f>SUMPRODUCT((MONTH(CHOOSE({1,2,3,4},KMB!U329,KMB!AA329,KMB!AG329,KMB!AM329))=7)*(CHOOSE({1,2,3,4},KMB!X329,KMB!AD329,KMB!AJ329,KMB!AP329)))</f>
        <v>0</v>
      </c>
      <c r="H329">
        <f>SUMPRODUCT((MONTH(CHOOSE({1,2,3,4},KMB!U329,KMB!AA329,KMB!AG329,KMB!AM329))=8)*(CHOOSE({1,2,3,4},KMB!X329,KMB!AD329,KMB!AJ329,KMB!AP329)))</f>
        <v>0</v>
      </c>
      <c r="I329">
        <f>SUMPRODUCT((MONTH(CHOOSE({1,2,3,4},KMB!U329,KMB!AA329,KMB!AG329,KMB!AM329))=9)*(CHOOSE({1,2,3,4},KMB!X329,KMB!AD329,KMB!AJ329,KMB!AP329)))</f>
        <v>0</v>
      </c>
      <c r="J329">
        <f>SUMPRODUCT((MONTH(CHOOSE({1,2,3,4},KMB!U329,KMB!AA329,KMB!AG329,KMB!AM329))=10)*(CHOOSE({1,2,3,4},KMB!X329,KMB!AD329,KMB!AJ329,KMB!AP329)))</f>
        <v>0</v>
      </c>
      <c r="K329">
        <f>SUMPRODUCT((MONTH(CHOOSE({1,2,3,4},KMB!U329,KMB!AA329,KMB!AG329,KMB!AM329))=11)*(CHOOSE({1,2,3,4},KMB!X329,KMB!AD329,KMB!AJ329,KMB!AP329)))</f>
        <v>0</v>
      </c>
      <c r="L329">
        <f>SUMPRODUCT((MONTH(CHOOSE({1,2,3,4},KMB!U329,KMB!AA329,KMB!AG329,KMB!AM329))=12)*(CHOOSE({1,2,3,4},KMB!X329,KMB!AD329,KMB!AJ329,KMB!AP329)))</f>
        <v>0</v>
      </c>
    </row>
    <row r="330" spans="1:12">
      <c r="A330">
        <f>SUMPRODUCT((MONTH(CHOOSE({1,2,3,4},KMB!U330,KMB!AA330,KMB!AG330,KMB!AM330))=1)*(CHOOSE({1,2,3,4},KMB!X330,KMB!AD330,KMB!AJ330,KMB!AP330)))</f>
        <v>0</v>
      </c>
      <c r="B330">
        <f>SUMPRODUCT((MONTH(CHOOSE({1,2,3,4},KMB!U330,KMB!AA330,KMB!AG330,KMB!AM330))=2)*(CHOOSE({1,2,3,4},KMB!X330,KMB!AD330,KMB!AJ330,KMB!AP330)))</f>
        <v>0</v>
      </c>
      <c r="C330">
        <f>SUMPRODUCT((MONTH(CHOOSE({1,2,3,4},KMB!U330,KMB!AA330,KMB!AG330,KMB!AM330))=3)*(CHOOSE({1,2,3,4},KMB!X330,KMB!AD330,KMB!AJ330,KMB!AP330)))</f>
        <v>0</v>
      </c>
      <c r="D330">
        <f>SUMPRODUCT((MONTH(CHOOSE({1,2,3,4},KMB!U330,KMB!AA330,KMB!AG330,KMB!AM330))=4)*(CHOOSE({1,2,3,4},KMB!X330,KMB!AD330,KMB!AJ330,KMB!AP330)))</f>
        <v>0</v>
      </c>
      <c r="E330">
        <f>SUMPRODUCT((MONTH(CHOOSE({1,2,3,4},KMB!U330,KMB!AA330,KMB!AG330,KMB!AM330))=5)*(CHOOSE({1,2,3,4},KMB!X330,KMB!AD330,KMB!AJ330,KMB!AP330)))</f>
        <v>0</v>
      </c>
      <c r="F330">
        <f>SUMPRODUCT((MONTH(CHOOSE({1,2,3,4},KMB!U330,KMB!AA330,KMB!AG330,KMB!AM330))=6)*(CHOOSE({1,2,3,4},KMB!X330,KMB!AD330,KMB!AJ330,KMB!AP330)))</f>
        <v>0</v>
      </c>
      <c r="G330">
        <f>SUMPRODUCT((MONTH(CHOOSE({1,2,3,4},KMB!U330,KMB!AA330,KMB!AG330,KMB!AM330))=7)*(CHOOSE({1,2,3,4},KMB!X330,KMB!AD330,KMB!AJ330,KMB!AP330)))</f>
        <v>0</v>
      </c>
      <c r="H330">
        <f>SUMPRODUCT((MONTH(CHOOSE({1,2,3,4},KMB!U330,KMB!AA330,KMB!AG330,KMB!AM330))=8)*(CHOOSE({1,2,3,4},KMB!X330,KMB!AD330,KMB!AJ330,KMB!AP330)))</f>
        <v>0</v>
      </c>
      <c r="I330">
        <f>SUMPRODUCT((MONTH(CHOOSE({1,2,3,4},KMB!U330,KMB!AA330,KMB!AG330,KMB!AM330))=9)*(CHOOSE({1,2,3,4},KMB!X330,KMB!AD330,KMB!AJ330,KMB!AP330)))</f>
        <v>0</v>
      </c>
      <c r="J330">
        <f>SUMPRODUCT((MONTH(CHOOSE({1,2,3,4},KMB!U330,KMB!AA330,KMB!AG330,KMB!AM330))=10)*(CHOOSE({1,2,3,4},KMB!X330,KMB!AD330,KMB!AJ330,KMB!AP330)))</f>
        <v>0</v>
      </c>
      <c r="K330">
        <f>SUMPRODUCT((MONTH(CHOOSE({1,2,3,4},KMB!U330,KMB!AA330,KMB!AG330,KMB!AM330))=11)*(CHOOSE({1,2,3,4},KMB!X330,KMB!AD330,KMB!AJ330,KMB!AP330)))</f>
        <v>0</v>
      </c>
      <c r="L330">
        <f>SUMPRODUCT((MONTH(CHOOSE({1,2,3,4},KMB!U330,KMB!AA330,KMB!AG330,KMB!AM330))=12)*(CHOOSE({1,2,3,4},KMB!X330,KMB!AD330,KMB!AJ330,KMB!AP330)))</f>
        <v>0</v>
      </c>
    </row>
    <row r="331" spans="1:12">
      <c r="A331">
        <f>SUMPRODUCT((MONTH(CHOOSE({1,2,3,4},KMB!U331,KMB!AA331,KMB!AG331,KMB!AM331))=1)*(CHOOSE({1,2,3,4},KMB!X331,KMB!AD331,KMB!AJ331,KMB!AP331)))</f>
        <v>0</v>
      </c>
      <c r="B331">
        <f>SUMPRODUCT((MONTH(CHOOSE({1,2,3,4},KMB!U331,KMB!AA331,KMB!AG331,KMB!AM331))=2)*(CHOOSE({1,2,3,4},KMB!X331,KMB!AD331,KMB!AJ331,KMB!AP331)))</f>
        <v>0</v>
      </c>
      <c r="C331">
        <f>SUMPRODUCT((MONTH(CHOOSE({1,2,3,4},KMB!U331,KMB!AA331,KMB!AG331,KMB!AM331))=3)*(CHOOSE({1,2,3,4},KMB!X331,KMB!AD331,KMB!AJ331,KMB!AP331)))</f>
        <v>0</v>
      </c>
      <c r="D331">
        <f>SUMPRODUCT((MONTH(CHOOSE({1,2,3,4},KMB!U331,KMB!AA331,KMB!AG331,KMB!AM331))=4)*(CHOOSE({1,2,3,4},KMB!X331,KMB!AD331,KMB!AJ331,KMB!AP331)))</f>
        <v>0</v>
      </c>
      <c r="E331">
        <f>SUMPRODUCT((MONTH(CHOOSE({1,2,3,4},KMB!U331,KMB!AA331,KMB!AG331,KMB!AM331))=5)*(CHOOSE({1,2,3,4},KMB!X331,KMB!AD331,KMB!AJ331,KMB!AP331)))</f>
        <v>0</v>
      </c>
      <c r="F331">
        <f>SUMPRODUCT((MONTH(CHOOSE({1,2,3,4},KMB!U331,KMB!AA331,KMB!AG331,KMB!AM331))=6)*(CHOOSE({1,2,3,4},KMB!X331,KMB!AD331,KMB!AJ331,KMB!AP331)))</f>
        <v>0</v>
      </c>
      <c r="G331">
        <f>SUMPRODUCT((MONTH(CHOOSE({1,2,3,4},KMB!U331,KMB!AA331,KMB!AG331,KMB!AM331))=7)*(CHOOSE({1,2,3,4},KMB!X331,KMB!AD331,KMB!AJ331,KMB!AP331)))</f>
        <v>0</v>
      </c>
      <c r="H331">
        <f>SUMPRODUCT((MONTH(CHOOSE({1,2,3,4},KMB!U331,KMB!AA331,KMB!AG331,KMB!AM331))=8)*(CHOOSE({1,2,3,4},KMB!X331,KMB!AD331,KMB!AJ331,KMB!AP331)))</f>
        <v>0</v>
      </c>
      <c r="I331">
        <f>SUMPRODUCT((MONTH(CHOOSE({1,2,3,4},KMB!U331,KMB!AA331,KMB!AG331,KMB!AM331))=9)*(CHOOSE({1,2,3,4},KMB!X331,KMB!AD331,KMB!AJ331,KMB!AP331)))</f>
        <v>0</v>
      </c>
      <c r="J331">
        <f>SUMPRODUCT((MONTH(CHOOSE({1,2,3,4},KMB!U331,KMB!AA331,KMB!AG331,KMB!AM331))=10)*(CHOOSE({1,2,3,4},KMB!X331,KMB!AD331,KMB!AJ331,KMB!AP331)))</f>
        <v>0</v>
      </c>
      <c r="K331">
        <f>SUMPRODUCT((MONTH(CHOOSE({1,2,3,4},KMB!U331,KMB!AA331,KMB!AG331,KMB!AM331))=11)*(CHOOSE({1,2,3,4},KMB!X331,KMB!AD331,KMB!AJ331,KMB!AP331)))</f>
        <v>0</v>
      </c>
      <c r="L331">
        <f>SUMPRODUCT((MONTH(CHOOSE({1,2,3,4},KMB!U331,KMB!AA331,KMB!AG331,KMB!AM331))=12)*(CHOOSE({1,2,3,4},KMB!X331,KMB!AD331,KMB!AJ331,KMB!AP331)))</f>
        <v>0</v>
      </c>
    </row>
    <row r="332" spans="1:12">
      <c r="A332">
        <f>SUMPRODUCT((MONTH(CHOOSE({1,2,3,4},KMB!U332,KMB!AA332,KMB!AG332,KMB!AM332))=1)*(CHOOSE({1,2,3,4},KMB!X332,KMB!AD332,KMB!AJ332,KMB!AP332)))</f>
        <v>0</v>
      </c>
      <c r="B332">
        <f>SUMPRODUCT((MONTH(CHOOSE({1,2,3,4},KMB!U332,KMB!AA332,KMB!AG332,KMB!AM332))=2)*(CHOOSE({1,2,3,4},KMB!X332,KMB!AD332,KMB!AJ332,KMB!AP332)))</f>
        <v>0</v>
      </c>
      <c r="C332">
        <f>SUMPRODUCT((MONTH(CHOOSE({1,2,3,4},KMB!U332,KMB!AA332,KMB!AG332,KMB!AM332))=3)*(CHOOSE({1,2,3,4},KMB!X332,KMB!AD332,KMB!AJ332,KMB!AP332)))</f>
        <v>0</v>
      </c>
      <c r="D332">
        <f>SUMPRODUCT((MONTH(CHOOSE({1,2,3,4},KMB!U332,KMB!AA332,KMB!AG332,KMB!AM332))=4)*(CHOOSE({1,2,3,4},KMB!X332,KMB!AD332,KMB!AJ332,KMB!AP332)))</f>
        <v>0</v>
      </c>
      <c r="E332">
        <f>SUMPRODUCT((MONTH(CHOOSE({1,2,3,4},KMB!U332,KMB!AA332,KMB!AG332,KMB!AM332))=5)*(CHOOSE({1,2,3,4},KMB!X332,KMB!AD332,KMB!AJ332,KMB!AP332)))</f>
        <v>0</v>
      </c>
      <c r="F332">
        <f>SUMPRODUCT((MONTH(CHOOSE({1,2,3,4},KMB!U332,KMB!AA332,KMB!AG332,KMB!AM332))=6)*(CHOOSE({1,2,3,4},KMB!X332,KMB!AD332,KMB!AJ332,KMB!AP332)))</f>
        <v>0</v>
      </c>
      <c r="G332">
        <f>SUMPRODUCT((MONTH(CHOOSE({1,2,3,4},KMB!U332,KMB!AA332,KMB!AG332,KMB!AM332))=7)*(CHOOSE({1,2,3,4},KMB!X332,KMB!AD332,KMB!AJ332,KMB!AP332)))</f>
        <v>0</v>
      </c>
      <c r="H332">
        <f>SUMPRODUCT((MONTH(CHOOSE({1,2,3,4},KMB!U332,KMB!AA332,KMB!AG332,KMB!AM332))=8)*(CHOOSE({1,2,3,4},KMB!X332,KMB!AD332,KMB!AJ332,KMB!AP332)))</f>
        <v>0</v>
      </c>
      <c r="I332">
        <f>SUMPRODUCT((MONTH(CHOOSE({1,2,3,4},KMB!U332,KMB!AA332,KMB!AG332,KMB!AM332))=9)*(CHOOSE({1,2,3,4},KMB!X332,KMB!AD332,KMB!AJ332,KMB!AP332)))</f>
        <v>0</v>
      </c>
      <c r="J332">
        <f>SUMPRODUCT((MONTH(CHOOSE({1,2,3,4},KMB!U332,KMB!AA332,KMB!AG332,KMB!AM332))=10)*(CHOOSE({1,2,3,4},KMB!X332,KMB!AD332,KMB!AJ332,KMB!AP332)))</f>
        <v>0</v>
      </c>
      <c r="K332">
        <f>SUMPRODUCT((MONTH(CHOOSE({1,2,3,4},KMB!U332,KMB!AA332,KMB!AG332,KMB!AM332))=11)*(CHOOSE({1,2,3,4},KMB!X332,KMB!AD332,KMB!AJ332,KMB!AP332)))</f>
        <v>0</v>
      </c>
      <c r="L332">
        <f>SUMPRODUCT((MONTH(CHOOSE({1,2,3,4},KMB!U332,KMB!AA332,KMB!AG332,KMB!AM332))=12)*(CHOOSE({1,2,3,4},KMB!X332,KMB!AD332,KMB!AJ332,KMB!AP332)))</f>
        <v>0</v>
      </c>
    </row>
    <row r="333" spans="1:12">
      <c r="A333">
        <f>SUMPRODUCT((MONTH(CHOOSE({1,2,3,4},KMB!U333,KMB!AA333,KMB!AG333,KMB!AM333))=1)*(CHOOSE({1,2,3,4},KMB!X333,KMB!AD333,KMB!AJ333,KMB!AP333)))</f>
        <v>0</v>
      </c>
      <c r="B333">
        <f>SUMPRODUCT((MONTH(CHOOSE({1,2,3,4},KMB!U333,KMB!AA333,KMB!AG333,KMB!AM333))=2)*(CHOOSE({1,2,3,4},KMB!X333,KMB!AD333,KMB!AJ333,KMB!AP333)))</f>
        <v>0</v>
      </c>
      <c r="C333">
        <f>SUMPRODUCT((MONTH(CHOOSE({1,2,3,4},KMB!U333,KMB!AA333,KMB!AG333,KMB!AM333))=3)*(CHOOSE({1,2,3,4},KMB!X333,KMB!AD333,KMB!AJ333,KMB!AP333)))</f>
        <v>0</v>
      </c>
      <c r="D333">
        <f>SUMPRODUCT((MONTH(CHOOSE({1,2,3,4},KMB!U333,KMB!AA333,KMB!AG333,KMB!AM333))=4)*(CHOOSE({1,2,3,4},KMB!X333,KMB!AD333,KMB!AJ333,KMB!AP333)))</f>
        <v>0</v>
      </c>
      <c r="E333">
        <f>SUMPRODUCT((MONTH(CHOOSE({1,2,3,4},KMB!U333,KMB!AA333,KMB!AG333,KMB!AM333))=5)*(CHOOSE({1,2,3,4},KMB!X333,KMB!AD333,KMB!AJ333,KMB!AP333)))</f>
        <v>0</v>
      </c>
      <c r="F333">
        <f>SUMPRODUCT((MONTH(CHOOSE({1,2,3,4},KMB!U333,KMB!AA333,KMB!AG333,KMB!AM333))=6)*(CHOOSE({1,2,3,4},KMB!X333,KMB!AD333,KMB!AJ333,KMB!AP333)))</f>
        <v>0</v>
      </c>
      <c r="G333">
        <f>SUMPRODUCT((MONTH(CHOOSE({1,2,3,4},KMB!U333,KMB!AA333,KMB!AG333,KMB!AM333))=7)*(CHOOSE({1,2,3,4},KMB!X333,KMB!AD333,KMB!AJ333,KMB!AP333)))</f>
        <v>0</v>
      </c>
      <c r="H333">
        <f>SUMPRODUCT((MONTH(CHOOSE({1,2,3,4},KMB!U333,KMB!AA333,KMB!AG333,KMB!AM333))=8)*(CHOOSE({1,2,3,4},KMB!X333,KMB!AD333,KMB!AJ333,KMB!AP333)))</f>
        <v>0</v>
      </c>
      <c r="I333">
        <f>SUMPRODUCT((MONTH(CHOOSE({1,2,3,4},KMB!U333,KMB!AA333,KMB!AG333,KMB!AM333))=9)*(CHOOSE({1,2,3,4},KMB!X333,KMB!AD333,KMB!AJ333,KMB!AP333)))</f>
        <v>0</v>
      </c>
      <c r="J333">
        <f>SUMPRODUCT((MONTH(CHOOSE({1,2,3,4},KMB!U333,KMB!AA333,KMB!AG333,KMB!AM333))=10)*(CHOOSE({1,2,3,4},KMB!X333,KMB!AD333,KMB!AJ333,KMB!AP333)))</f>
        <v>0</v>
      </c>
      <c r="K333">
        <f>SUMPRODUCT((MONTH(CHOOSE({1,2,3,4},KMB!U333,KMB!AA333,KMB!AG333,KMB!AM333))=11)*(CHOOSE({1,2,3,4},KMB!X333,KMB!AD333,KMB!AJ333,KMB!AP333)))</f>
        <v>0</v>
      </c>
      <c r="L333">
        <f>SUMPRODUCT((MONTH(CHOOSE({1,2,3,4},KMB!U333,KMB!AA333,KMB!AG333,KMB!AM333))=12)*(CHOOSE({1,2,3,4},KMB!X333,KMB!AD333,KMB!AJ333,KMB!AP333)))</f>
        <v>0</v>
      </c>
    </row>
    <row r="334" spans="1:12">
      <c r="A334">
        <f>SUMPRODUCT((MONTH(CHOOSE({1,2,3,4},KMB!U334,KMB!AA334,KMB!AG334,KMB!AM334))=1)*(CHOOSE({1,2,3,4},KMB!X334,KMB!AD334,KMB!AJ334,KMB!AP334)))</f>
        <v>0</v>
      </c>
      <c r="B334">
        <f>SUMPRODUCT((MONTH(CHOOSE({1,2,3,4},KMB!U334,KMB!AA334,KMB!AG334,KMB!AM334))=2)*(CHOOSE({1,2,3,4},KMB!X334,KMB!AD334,KMB!AJ334,KMB!AP334)))</f>
        <v>0</v>
      </c>
      <c r="C334">
        <f>SUMPRODUCT((MONTH(CHOOSE({1,2,3,4},KMB!U334,KMB!AA334,KMB!AG334,KMB!AM334))=3)*(CHOOSE({1,2,3,4},KMB!X334,KMB!AD334,KMB!AJ334,KMB!AP334)))</f>
        <v>0</v>
      </c>
      <c r="D334">
        <f>SUMPRODUCT((MONTH(CHOOSE({1,2,3,4},KMB!U334,KMB!AA334,KMB!AG334,KMB!AM334))=4)*(CHOOSE({1,2,3,4},KMB!X334,KMB!AD334,KMB!AJ334,KMB!AP334)))</f>
        <v>0</v>
      </c>
      <c r="E334">
        <f>SUMPRODUCT((MONTH(CHOOSE({1,2,3,4},KMB!U334,KMB!AA334,KMB!AG334,KMB!AM334))=5)*(CHOOSE({1,2,3,4},KMB!X334,KMB!AD334,KMB!AJ334,KMB!AP334)))</f>
        <v>0</v>
      </c>
      <c r="F334">
        <f>SUMPRODUCT((MONTH(CHOOSE({1,2,3,4},KMB!U334,KMB!AA334,KMB!AG334,KMB!AM334))=6)*(CHOOSE({1,2,3,4},KMB!X334,KMB!AD334,KMB!AJ334,KMB!AP334)))</f>
        <v>0</v>
      </c>
      <c r="G334">
        <f>SUMPRODUCT((MONTH(CHOOSE({1,2,3,4},KMB!U334,KMB!AA334,KMB!AG334,KMB!AM334))=7)*(CHOOSE({1,2,3,4},KMB!X334,KMB!AD334,KMB!AJ334,KMB!AP334)))</f>
        <v>0</v>
      </c>
      <c r="H334">
        <f>SUMPRODUCT((MONTH(CHOOSE({1,2,3,4},KMB!U334,KMB!AA334,KMB!AG334,KMB!AM334))=8)*(CHOOSE({1,2,3,4},KMB!X334,KMB!AD334,KMB!AJ334,KMB!AP334)))</f>
        <v>0</v>
      </c>
      <c r="I334">
        <f>SUMPRODUCT((MONTH(CHOOSE({1,2,3,4},KMB!U334,KMB!AA334,KMB!AG334,KMB!AM334))=9)*(CHOOSE({1,2,3,4},KMB!X334,KMB!AD334,KMB!AJ334,KMB!AP334)))</f>
        <v>0</v>
      </c>
      <c r="J334">
        <f>SUMPRODUCT((MONTH(CHOOSE({1,2,3,4},KMB!U334,KMB!AA334,KMB!AG334,KMB!AM334))=10)*(CHOOSE({1,2,3,4},KMB!X334,KMB!AD334,KMB!AJ334,KMB!AP334)))</f>
        <v>0</v>
      </c>
      <c r="K334">
        <f>SUMPRODUCT((MONTH(CHOOSE({1,2,3,4},KMB!U334,KMB!AA334,KMB!AG334,KMB!AM334))=11)*(CHOOSE({1,2,3,4},KMB!X334,KMB!AD334,KMB!AJ334,KMB!AP334)))</f>
        <v>0</v>
      </c>
      <c r="L334">
        <f>SUMPRODUCT((MONTH(CHOOSE({1,2,3,4},KMB!U334,KMB!AA334,KMB!AG334,KMB!AM334))=12)*(CHOOSE({1,2,3,4},KMB!X334,KMB!AD334,KMB!AJ334,KMB!AP334)))</f>
        <v>0</v>
      </c>
    </row>
    <row r="335" spans="1:12">
      <c r="A335">
        <f>SUMPRODUCT((MONTH(CHOOSE({1,2,3,4},KMB!U335,KMB!AA335,KMB!AG335,KMB!AM335))=1)*(CHOOSE({1,2,3,4},KMB!X335,KMB!AD335,KMB!AJ335,KMB!AP335)))</f>
        <v>0</v>
      </c>
      <c r="B335">
        <f>SUMPRODUCT((MONTH(CHOOSE({1,2,3,4},KMB!U335,KMB!AA335,KMB!AG335,KMB!AM335))=2)*(CHOOSE({1,2,3,4},KMB!X335,KMB!AD335,KMB!AJ335,KMB!AP335)))</f>
        <v>0</v>
      </c>
      <c r="C335">
        <f>SUMPRODUCT((MONTH(CHOOSE({1,2,3,4},KMB!U335,KMB!AA335,KMB!AG335,KMB!AM335))=3)*(CHOOSE({1,2,3,4},KMB!X335,KMB!AD335,KMB!AJ335,KMB!AP335)))</f>
        <v>0</v>
      </c>
      <c r="D335">
        <f>SUMPRODUCT((MONTH(CHOOSE({1,2,3,4},KMB!U335,KMB!AA335,KMB!AG335,KMB!AM335))=4)*(CHOOSE({1,2,3,4},KMB!X335,KMB!AD335,KMB!AJ335,KMB!AP335)))</f>
        <v>0</v>
      </c>
      <c r="E335">
        <f>SUMPRODUCT((MONTH(CHOOSE({1,2,3,4},KMB!U335,KMB!AA335,KMB!AG335,KMB!AM335))=5)*(CHOOSE({1,2,3,4},KMB!X335,KMB!AD335,KMB!AJ335,KMB!AP335)))</f>
        <v>0</v>
      </c>
      <c r="F335">
        <f>SUMPRODUCT((MONTH(CHOOSE({1,2,3,4},KMB!U335,KMB!AA335,KMB!AG335,KMB!AM335))=6)*(CHOOSE({1,2,3,4},KMB!X335,KMB!AD335,KMB!AJ335,KMB!AP335)))</f>
        <v>0</v>
      </c>
      <c r="G335">
        <f>SUMPRODUCT((MONTH(CHOOSE({1,2,3,4},KMB!U335,KMB!AA335,KMB!AG335,KMB!AM335))=7)*(CHOOSE({1,2,3,4},KMB!X335,KMB!AD335,KMB!AJ335,KMB!AP335)))</f>
        <v>0</v>
      </c>
      <c r="H335">
        <f>SUMPRODUCT((MONTH(CHOOSE({1,2,3,4},KMB!U335,KMB!AA335,KMB!AG335,KMB!AM335))=8)*(CHOOSE({1,2,3,4},KMB!X335,KMB!AD335,KMB!AJ335,KMB!AP335)))</f>
        <v>0</v>
      </c>
      <c r="I335">
        <f>SUMPRODUCT((MONTH(CHOOSE({1,2,3,4},KMB!U335,KMB!AA335,KMB!AG335,KMB!AM335))=9)*(CHOOSE({1,2,3,4},KMB!X335,KMB!AD335,KMB!AJ335,KMB!AP335)))</f>
        <v>0</v>
      </c>
      <c r="J335">
        <f>SUMPRODUCT((MONTH(CHOOSE({1,2,3,4},KMB!U335,KMB!AA335,KMB!AG335,KMB!AM335))=10)*(CHOOSE({1,2,3,4},KMB!X335,KMB!AD335,KMB!AJ335,KMB!AP335)))</f>
        <v>0</v>
      </c>
      <c r="K335">
        <f>SUMPRODUCT((MONTH(CHOOSE({1,2,3,4},KMB!U335,KMB!AA335,KMB!AG335,KMB!AM335))=11)*(CHOOSE({1,2,3,4},KMB!X335,KMB!AD335,KMB!AJ335,KMB!AP335)))</f>
        <v>0</v>
      </c>
      <c r="L335">
        <f>SUMPRODUCT((MONTH(CHOOSE({1,2,3,4},KMB!U335,KMB!AA335,KMB!AG335,KMB!AM335))=12)*(CHOOSE({1,2,3,4},KMB!X335,KMB!AD335,KMB!AJ335,KMB!AP335)))</f>
        <v>0</v>
      </c>
    </row>
    <row r="336" spans="1:12">
      <c r="A336">
        <f>SUMPRODUCT((MONTH(CHOOSE({1,2,3,4},KMB!U336,KMB!AA336,KMB!AG336,KMB!AM336))=1)*(CHOOSE({1,2,3,4},KMB!X336,KMB!AD336,KMB!AJ336,KMB!AP336)))</f>
        <v>0</v>
      </c>
      <c r="B336">
        <f>SUMPRODUCT((MONTH(CHOOSE({1,2,3,4},KMB!U336,KMB!AA336,KMB!AG336,KMB!AM336))=2)*(CHOOSE({1,2,3,4},KMB!X336,KMB!AD336,KMB!AJ336,KMB!AP336)))</f>
        <v>0</v>
      </c>
      <c r="C336">
        <f>SUMPRODUCT((MONTH(CHOOSE({1,2,3,4},KMB!U336,KMB!AA336,KMB!AG336,KMB!AM336))=3)*(CHOOSE({1,2,3,4},KMB!X336,KMB!AD336,KMB!AJ336,KMB!AP336)))</f>
        <v>0</v>
      </c>
      <c r="D336">
        <f>SUMPRODUCT((MONTH(CHOOSE({1,2,3,4},KMB!U336,KMB!AA336,KMB!AG336,KMB!AM336))=4)*(CHOOSE({1,2,3,4},KMB!X336,KMB!AD336,KMB!AJ336,KMB!AP336)))</f>
        <v>0</v>
      </c>
      <c r="E336">
        <f>SUMPRODUCT((MONTH(CHOOSE({1,2,3,4},KMB!U336,KMB!AA336,KMB!AG336,KMB!AM336))=5)*(CHOOSE({1,2,3,4},KMB!X336,KMB!AD336,KMB!AJ336,KMB!AP336)))</f>
        <v>0</v>
      </c>
      <c r="F336">
        <f>SUMPRODUCT((MONTH(CHOOSE({1,2,3,4},KMB!U336,KMB!AA336,KMB!AG336,KMB!AM336))=6)*(CHOOSE({1,2,3,4},KMB!X336,KMB!AD336,KMB!AJ336,KMB!AP336)))</f>
        <v>0</v>
      </c>
      <c r="G336">
        <f>SUMPRODUCT((MONTH(CHOOSE({1,2,3,4},KMB!U336,KMB!AA336,KMB!AG336,KMB!AM336))=7)*(CHOOSE({1,2,3,4},KMB!X336,KMB!AD336,KMB!AJ336,KMB!AP336)))</f>
        <v>0</v>
      </c>
      <c r="H336">
        <f>SUMPRODUCT((MONTH(CHOOSE({1,2,3,4},KMB!U336,KMB!AA336,KMB!AG336,KMB!AM336))=8)*(CHOOSE({1,2,3,4},KMB!X336,KMB!AD336,KMB!AJ336,KMB!AP336)))</f>
        <v>0</v>
      </c>
      <c r="I336">
        <f>SUMPRODUCT((MONTH(CHOOSE({1,2,3,4},KMB!U336,KMB!AA336,KMB!AG336,KMB!AM336))=9)*(CHOOSE({1,2,3,4},KMB!X336,KMB!AD336,KMB!AJ336,KMB!AP336)))</f>
        <v>0</v>
      </c>
      <c r="J336">
        <f>SUMPRODUCT((MONTH(CHOOSE({1,2,3,4},KMB!U336,KMB!AA336,KMB!AG336,KMB!AM336))=10)*(CHOOSE({1,2,3,4},KMB!X336,KMB!AD336,KMB!AJ336,KMB!AP336)))</f>
        <v>0</v>
      </c>
      <c r="K336">
        <f>SUMPRODUCT((MONTH(CHOOSE({1,2,3,4},KMB!U336,KMB!AA336,KMB!AG336,KMB!AM336))=11)*(CHOOSE({1,2,3,4},KMB!X336,KMB!AD336,KMB!AJ336,KMB!AP336)))</f>
        <v>0</v>
      </c>
      <c r="L336">
        <f>SUMPRODUCT((MONTH(CHOOSE({1,2,3,4},KMB!U336,KMB!AA336,KMB!AG336,KMB!AM336))=12)*(CHOOSE({1,2,3,4},KMB!X336,KMB!AD336,KMB!AJ336,KMB!AP336)))</f>
        <v>0</v>
      </c>
    </row>
    <row r="337" spans="1:12">
      <c r="A337">
        <f>SUMPRODUCT((MONTH(CHOOSE({1,2,3,4},KMB!U337,KMB!AA337,KMB!AG337,KMB!AM337))=1)*(CHOOSE({1,2,3,4},KMB!X337,KMB!AD337,KMB!AJ337,KMB!AP337)))</f>
        <v>0</v>
      </c>
      <c r="B337">
        <f>SUMPRODUCT((MONTH(CHOOSE({1,2,3,4},KMB!U337,KMB!AA337,KMB!AG337,KMB!AM337))=2)*(CHOOSE({1,2,3,4},KMB!X337,KMB!AD337,KMB!AJ337,KMB!AP337)))</f>
        <v>0</v>
      </c>
      <c r="C337">
        <f>SUMPRODUCT((MONTH(CHOOSE({1,2,3,4},KMB!U337,KMB!AA337,KMB!AG337,KMB!AM337))=3)*(CHOOSE({1,2,3,4},KMB!X337,KMB!AD337,KMB!AJ337,KMB!AP337)))</f>
        <v>0</v>
      </c>
      <c r="D337">
        <f>SUMPRODUCT((MONTH(CHOOSE({1,2,3,4},KMB!U337,KMB!AA337,KMB!AG337,KMB!AM337))=4)*(CHOOSE({1,2,3,4},KMB!X337,KMB!AD337,KMB!AJ337,KMB!AP337)))</f>
        <v>0</v>
      </c>
      <c r="E337">
        <f>SUMPRODUCT((MONTH(CHOOSE({1,2,3,4},KMB!U337,KMB!AA337,KMB!AG337,KMB!AM337))=5)*(CHOOSE({1,2,3,4},KMB!X337,KMB!AD337,KMB!AJ337,KMB!AP337)))</f>
        <v>0</v>
      </c>
      <c r="F337">
        <f>SUMPRODUCT((MONTH(CHOOSE({1,2,3,4},KMB!U337,KMB!AA337,KMB!AG337,KMB!AM337))=6)*(CHOOSE({1,2,3,4},KMB!X337,KMB!AD337,KMB!AJ337,KMB!AP337)))</f>
        <v>0</v>
      </c>
      <c r="G337">
        <f>SUMPRODUCT((MONTH(CHOOSE({1,2,3,4},KMB!U337,KMB!AA337,KMB!AG337,KMB!AM337))=7)*(CHOOSE({1,2,3,4},KMB!X337,KMB!AD337,KMB!AJ337,KMB!AP337)))</f>
        <v>0</v>
      </c>
      <c r="H337">
        <f>SUMPRODUCT((MONTH(CHOOSE({1,2,3,4},KMB!U337,KMB!AA337,KMB!AG337,KMB!AM337))=8)*(CHOOSE({1,2,3,4},KMB!X337,KMB!AD337,KMB!AJ337,KMB!AP337)))</f>
        <v>0</v>
      </c>
      <c r="I337">
        <f>SUMPRODUCT((MONTH(CHOOSE({1,2,3,4},KMB!U337,KMB!AA337,KMB!AG337,KMB!AM337))=9)*(CHOOSE({1,2,3,4},KMB!X337,KMB!AD337,KMB!AJ337,KMB!AP337)))</f>
        <v>0</v>
      </c>
      <c r="J337">
        <f>SUMPRODUCT((MONTH(CHOOSE({1,2,3,4},KMB!U337,KMB!AA337,KMB!AG337,KMB!AM337))=10)*(CHOOSE({1,2,3,4},KMB!X337,KMB!AD337,KMB!AJ337,KMB!AP337)))</f>
        <v>0</v>
      </c>
      <c r="K337">
        <f>SUMPRODUCT((MONTH(CHOOSE({1,2,3,4},KMB!U337,KMB!AA337,KMB!AG337,KMB!AM337))=11)*(CHOOSE({1,2,3,4},KMB!X337,KMB!AD337,KMB!AJ337,KMB!AP337)))</f>
        <v>0</v>
      </c>
      <c r="L337">
        <f>SUMPRODUCT((MONTH(CHOOSE({1,2,3,4},KMB!U337,KMB!AA337,KMB!AG337,KMB!AM337))=12)*(CHOOSE({1,2,3,4},KMB!X337,KMB!AD337,KMB!AJ337,KMB!AP337)))</f>
        <v>0</v>
      </c>
    </row>
    <row r="338" spans="1:12">
      <c r="A338">
        <f>SUMPRODUCT((MONTH(CHOOSE({1,2,3,4},KMB!U338,KMB!AA338,KMB!AG338,KMB!AM338))=1)*(CHOOSE({1,2,3,4},KMB!X338,KMB!AD338,KMB!AJ338,KMB!AP338)))</f>
        <v>0</v>
      </c>
      <c r="B338">
        <f>SUMPRODUCT((MONTH(CHOOSE({1,2,3,4},KMB!U338,KMB!AA338,KMB!AG338,KMB!AM338))=2)*(CHOOSE({1,2,3,4},KMB!X338,KMB!AD338,KMB!AJ338,KMB!AP338)))</f>
        <v>0</v>
      </c>
      <c r="C338">
        <f>SUMPRODUCT((MONTH(CHOOSE({1,2,3,4},KMB!U338,KMB!AA338,KMB!AG338,KMB!AM338))=3)*(CHOOSE({1,2,3,4},KMB!X338,KMB!AD338,KMB!AJ338,KMB!AP338)))</f>
        <v>0</v>
      </c>
      <c r="D338">
        <f>SUMPRODUCT((MONTH(CHOOSE({1,2,3,4},KMB!U338,KMB!AA338,KMB!AG338,KMB!AM338))=4)*(CHOOSE({1,2,3,4},KMB!X338,KMB!AD338,KMB!AJ338,KMB!AP338)))</f>
        <v>0</v>
      </c>
      <c r="E338">
        <f>SUMPRODUCT((MONTH(CHOOSE({1,2,3,4},KMB!U338,KMB!AA338,KMB!AG338,KMB!AM338))=5)*(CHOOSE({1,2,3,4},KMB!X338,KMB!AD338,KMB!AJ338,KMB!AP338)))</f>
        <v>0</v>
      </c>
      <c r="F338">
        <f>SUMPRODUCT((MONTH(CHOOSE({1,2,3,4},KMB!U338,KMB!AA338,KMB!AG338,KMB!AM338))=6)*(CHOOSE({1,2,3,4},KMB!X338,KMB!AD338,KMB!AJ338,KMB!AP338)))</f>
        <v>0</v>
      </c>
      <c r="G338">
        <f>SUMPRODUCT((MONTH(CHOOSE({1,2,3,4},KMB!U338,KMB!AA338,KMB!AG338,KMB!AM338))=7)*(CHOOSE({1,2,3,4},KMB!X338,KMB!AD338,KMB!AJ338,KMB!AP338)))</f>
        <v>0</v>
      </c>
      <c r="H338">
        <f>SUMPRODUCT((MONTH(CHOOSE({1,2,3,4},KMB!U338,KMB!AA338,KMB!AG338,KMB!AM338))=8)*(CHOOSE({1,2,3,4},KMB!X338,KMB!AD338,KMB!AJ338,KMB!AP338)))</f>
        <v>0</v>
      </c>
      <c r="I338">
        <f>SUMPRODUCT((MONTH(CHOOSE({1,2,3,4},KMB!U338,KMB!AA338,KMB!AG338,KMB!AM338))=9)*(CHOOSE({1,2,3,4},KMB!X338,KMB!AD338,KMB!AJ338,KMB!AP338)))</f>
        <v>0</v>
      </c>
      <c r="J338">
        <f>SUMPRODUCT((MONTH(CHOOSE({1,2,3,4},KMB!U338,KMB!AA338,KMB!AG338,KMB!AM338))=10)*(CHOOSE({1,2,3,4},KMB!X338,KMB!AD338,KMB!AJ338,KMB!AP338)))</f>
        <v>0</v>
      </c>
      <c r="K338">
        <f>SUMPRODUCT((MONTH(CHOOSE({1,2,3,4},KMB!U338,KMB!AA338,KMB!AG338,KMB!AM338))=11)*(CHOOSE({1,2,3,4},KMB!X338,KMB!AD338,KMB!AJ338,KMB!AP338)))</f>
        <v>0</v>
      </c>
      <c r="L338">
        <f>SUMPRODUCT((MONTH(CHOOSE({1,2,3,4},KMB!U338,KMB!AA338,KMB!AG338,KMB!AM338))=12)*(CHOOSE({1,2,3,4},KMB!X338,KMB!AD338,KMB!AJ338,KMB!AP338)))</f>
        <v>0</v>
      </c>
    </row>
    <row r="339" spans="1:12">
      <c r="A339">
        <f>SUMPRODUCT((MONTH(CHOOSE({1,2,3,4},KMB!U339,KMB!AA339,KMB!AG339,KMB!AM339))=1)*(CHOOSE({1,2,3,4},KMB!X339,KMB!AD339,KMB!AJ339,KMB!AP339)))</f>
        <v>0</v>
      </c>
      <c r="B339">
        <f>SUMPRODUCT((MONTH(CHOOSE({1,2,3,4},KMB!U339,KMB!AA339,KMB!AG339,KMB!AM339))=2)*(CHOOSE({1,2,3,4},KMB!X339,KMB!AD339,KMB!AJ339,KMB!AP339)))</f>
        <v>0</v>
      </c>
      <c r="C339">
        <f>SUMPRODUCT((MONTH(CHOOSE({1,2,3,4},KMB!U339,KMB!AA339,KMB!AG339,KMB!AM339))=3)*(CHOOSE({1,2,3,4},KMB!X339,KMB!AD339,KMB!AJ339,KMB!AP339)))</f>
        <v>0</v>
      </c>
      <c r="D339">
        <f>SUMPRODUCT((MONTH(CHOOSE({1,2,3,4},KMB!U339,KMB!AA339,KMB!AG339,KMB!AM339))=4)*(CHOOSE({1,2,3,4},KMB!X339,KMB!AD339,KMB!AJ339,KMB!AP339)))</f>
        <v>0</v>
      </c>
      <c r="E339">
        <f>SUMPRODUCT((MONTH(CHOOSE({1,2,3,4},KMB!U339,KMB!AA339,KMB!AG339,KMB!AM339))=5)*(CHOOSE({1,2,3,4},KMB!X339,KMB!AD339,KMB!AJ339,KMB!AP339)))</f>
        <v>0</v>
      </c>
      <c r="F339">
        <f>SUMPRODUCT((MONTH(CHOOSE({1,2,3,4},KMB!U339,KMB!AA339,KMB!AG339,KMB!AM339))=6)*(CHOOSE({1,2,3,4},KMB!X339,KMB!AD339,KMB!AJ339,KMB!AP339)))</f>
        <v>0</v>
      </c>
      <c r="G339">
        <f>SUMPRODUCT((MONTH(CHOOSE({1,2,3,4},KMB!U339,KMB!AA339,KMB!AG339,KMB!AM339))=7)*(CHOOSE({1,2,3,4},KMB!X339,KMB!AD339,KMB!AJ339,KMB!AP339)))</f>
        <v>0</v>
      </c>
      <c r="H339">
        <f>SUMPRODUCT((MONTH(CHOOSE({1,2,3,4},KMB!U339,KMB!AA339,KMB!AG339,KMB!AM339))=8)*(CHOOSE({1,2,3,4},KMB!X339,KMB!AD339,KMB!AJ339,KMB!AP339)))</f>
        <v>0</v>
      </c>
      <c r="I339">
        <f>SUMPRODUCT((MONTH(CHOOSE({1,2,3,4},KMB!U339,KMB!AA339,KMB!AG339,KMB!AM339))=9)*(CHOOSE({1,2,3,4},KMB!X339,KMB!AD339,KMB!AJ339,KMB!AP339)))</f>
        <v>0</v>
      </c>
      <c r="J339">
        <f>SUMPRODUCT((MONTH(CHOOSE({1,2,3,4},KMB!U339,KMB!AA339,KMB!AG339,KMB!AM339))=10)*(CHOOSE({1,2,3,4},KMB!X339,KMB!AD339,KMB!AJ339,KMB!AP339)))</f>
        <v>0</v>
      </c>
      <c r="K339">
        <f>SUMPRODUCT((MONTH(CHOOSE({1,2,3,4},KMB!U339,KMB!AA339,KMB!AG339,KMB!AM339))=11)*(CHOOSE({1,2,3,4},KMB!X339,KMB!AD339,KMB!AJ339,KMB!AP339)))</f>
        <v>0</v>
      </c>
      <c r="L339">
        <f>SUMPRODUCT((MONTH(CHOOSE({1,2,3,4},KMB!U339,KMB!AA339,KMB!AG339,KMB!AM339))=12)*(CHOOSE({1,2,3,4},KMB!X339,KMB!AD339,KMB!AJ339,KMB!AP339)))</f>
        <v>0</v>
      </c>
    </row>
    <row r="340" spans="1:12">
      <c r="A340">
        <f>SUMPRODUCT((MONTH(CHOOSE({1,2,3,4},KMB!U340,KMB!AA340,KMB!AG340,KMB!AM340))=1)*(CHOOSE({1,2,3,4},KMB!X340,KMB!AD340,KMB!AJ340,KMB!AP340)))</f>
        <v>0</v>
      </c>
      <c r="B340">
        <f>SUMPRODUCT((MONTH(CHOOSE({1,2,3,4},KMB!U340,KMB!AA340,KMB!AG340,KMB!AM340))=2)*(CHOOSE({1,2,3,4},KMB!X340,KMB!AD340,KMB!AJ340,KMB!AP340)))</f>
        <v>0</v>
      </c>
      <c r="C340">
        <f>SUMPRODUCT((MONTH(CHOOSE({1,2,3,4},KMB!U340,KMB!AA340,KMB!AG340,KMB!AM340))=3)*(CHOOSE({1,2,3,4},KMB!X340,KMB!AD340,KMB!AJ340,KMB!AP340)))</f>
        <v>0</v>
      </c>
      <c r="D340">
        <f>SUMPRODUCT((MONTH(CHOOSE({1,2,3,4},KMB!U340,KMB!AA340,KMB!AG340,KMB!AM340))=4)*(CHOOSE({1,2,3,4},KMB!X340,KMB!AD340,KMB!AJ340,KMB!AP340)))</f>
        <v>0</v>
      </c>
      <c r="E340">
        <f>SUMPRODUCT((MONTH(CHOOSE({1,2,3,4},KMB!U340,KMB!AA340,KMB!AG340,KMB!AM340))=5)*(CHOOSE({1,2,3,4},KMB!X340,KMB!AD340,KMB!AJ340,KMB!AP340)))</f>
        <v>0</v>
      </c>
      <c r="F340">
        <f>SUMPRODUCT((MONTH(CHOOSE({1,2,3,4},KMB!U340,KMB!AA340,KMB!AG340,KMB!AM340))=6)*(CHOOSE({1,2,3,4},KMB!X340,KMB!AD340,KMB!AJ340,KMB!AP340)))</f>
        <v>0</v>
      </c>
      <c r="G340">
        <f>SUMPRODUCT((MONTH(CHOOSE({1,2,3,4},KMB!U340,KMB!AA340,KMB!AG340,KMB!AM340))=7)*(CHOOSE({1,2,3,4},KMB!X340,KMB!AD340,KMB!AJ340,KMB!AP340)))</f>
        <v>0</v>
      </c>
      <c r="H340">
        <f>SUMPRODUCT((MONTH(CHOOSE({1,2,3,4},KMB!U340,KMB!AA340,KMB!AG340,KMB!AM340))=8)*(CHOOSE({1,2,3,4},KMB!X340,KMB!AD340,KMB!AJ340,KMB!AP340)))</f>
        <v>0</v>
      </c>
      <c r="I340">
        <f>SUMPRODUCT((MONTH(CHOOSE({1,2,3,4},KMB!U340,KMB!AA340,KMB!AG340,KMB!AM340))=9)*(CHOOSE({1,2,3,4},KMB!X340,KMB!AD340,KMB!AJ340,KMB!AP340)))</f>
        <v>0</v>
      </c>
      <c r="J340">
        <f>SUMPRODUCT((MONTH(CHOOSE({1,2,3,4},KMB!U340,KMB!AA340,KMB!AG340,KMB!AM340))=10)*(CHOOSE({1,2,3,4},KMB!X340,KMB!AD340,KMB!AJ340,KMB!AP340)))</f>
        <v>0</v>
      </c>
      <c r="K340">
        <f>SUMPRODUCT((MONTH(CHOOSE({1,2,3,4},KMB!U340,KMB!AA340,KMB!AG340,KMB!AM340))=11)*(CHOOSE({1,2,3,4},KMB!X340,KMB!AD340,KMB!AJ340,KMB!AP340)))</f>
        <v>0</v>
      </c>
      <c r="L340">
        <f>SUMPRODUCT((MONTH(CHOOSE({1,2,3,4},KMB!U340,KMB!AA340,KMB!AG340,KMB!AM340))=12)*(CHOOSE({1,2,3,4},KMB!X340,KMB!AD340,KMB!AJ340,KMB!AP340)))</f>
        <v>0</v>
      </c>
    </row>
    <row r="341" spans="1:12">
      <c r="A341">
        <f>SUMPRODUCT((MONTH(CHOOSE({1,2,3,4},KMB!U341,KMB!AA341,KMB!AG341,KMB!AM341))=1)*(CHOOSE({1,2,3,4},KMB!X341,KMB!AD341,KMB!AJ341,KMB!AP341)))</f>
        <v>0</v>
      </c>
      <c r="B341">
        <f>SUMPRODUCT((MONTH(CHOOSE({1,2,3,4},KMB!U341,KMB!AA341,KMB!AG341,KMB!AM341))=2)*(CHOOSE({1,2,3,4},KMB!X341,KMB!AD341,KMB!AJ341,KMB!AP341)))</f>
        <v>0</v>
      </c>
      <c r="C341">
        <f>SUMPRODUCT((MONTH(CHOOSE({1,2,3,4},KMB!U341,KMB!AA341,KMB!AG341,KMB!AM341))=3)*(CHOOSE({1,2,3,4},KMB!X341,KMB!AD341,KMB!AJ341,KMB!AP341)))</f>
        <v>0</v>
      </c>
      <c r="D341">
        <f>SUMPRODUCT((MONTH(CHOOSE({1,2,3,4},KMB!U341,KMB!AA341,KMB!AG341,KMB!AM341))=4)*(CHOOSE({1,2,3,4},KMB!X341,KMB!AD341,KMB!AJ341,KMB!AP341)))</f>
        <v>0</v>
      </c>
      <c r="E341">
        <f>SUMPRODUCT((MONTH(CHOOSE({1,2,3,4},KMB!U341,KMB!AA341,KMB!AG341,KMB!AM341))=5)*(CHOOSE({1,2,3,4},KMB!X341,KMB!AD341,KMB!AJ341,KMB!AP341)))</f>
        <v>0</v>
      </c>
      <c r="F341">
        <f>SUMPRODUCT((MONTH(CHOOSE({1,2,3,4},KMB!U341,KMB!AA341,KMB!AG341,KMB!AM341))=6)*(CHOOSE({1,2,3,4},KMB!X341,KMB!AD341,KMB!AJ341,KMB!AP341)))</f>
        <v>0</v>
      </c>
      <c r="G341">
        <f>SUMPRODUCT((MONTH(CHOOSE({1,2,3,4},KMB!U341,KMB!AA341,KMB!AG341,KMB!AM341))=7)*(CHOOSE({1,2,3,4},KMB!X341,KMB!AD341,KMB!AJ341,KMB!AP341)))</f>
        <v>0</v>
      </c>
      <c r="H341">
        <f>SUMPRODUCT((MONTH(CHOOSE({1,2,3,4},KMB!U341,KMB!AA341,KMB!AG341,KMB!AM341))=8)*(CHOOSE({1,2,3,4},KMB!X341,KMB!AD341,KMB!AJ341,KMB!AP341)))</f>
        <v>0</v>
      </c>
      <c r="I341">
        <f>SUMPRODUCT((MONTH(CHOOSE({1,2,3,4},KMB!U341,KMB!AA341,KMB!AG341,KMB!AM341))=9)*(CHOOSE({1,2,3,4},KMB!X341,KMB!AD341,KMB!AJ341,KMB!AP341)))</f>
        <v>0</v>
      </c>
      <c r="J341">
        <f>SUMPRODUCT((MONTH(CHOOSE({1,2,3,4},KMB!U341,KMB!AA341,KMB!AG341,KMB!AM341))=10)*(CHOOSE({1,2,3,4},KMB!X341,KMB!AD341,KMB!AJ341,KMB!AP341)))</f>
        <v>0</v>
      </c>
      <c r="K341">
        <f>SUMPRODUCT((MONTH(CHOOSE({1,2,3,4},KMB!U341,KMB!AA341,KMB!AG341,KMB!AM341))=11)*(CHOOSE({1,2,3,4},KMB!X341,KMB!AD341,KMB!AJ341,KMB!AP341)))</f>
        <v>0</v>
      </c>
      <c r="L341">
        <f>SUMPRODUCT((MONTH(CHOOSE({1,2,3,4},KMB!U341,KMB!AA341,KMB!AG341,KMB!AM341))=12)*(CHOOSE({1,2,3,4},KMB!X341,KMB!AD341,KMB!AJ341,KMB!AP341)))</f>
        <v>0</v>
      </c>
    </row>
    <row r="342" spans="1:12">
      <c r="A342">
        <f>SUMPRODUCT((MONTH(CHOOSE({1,2,3,4},KMB!U342,KMB!AA342,KMB!AG342,KMB!AM342))=1)*(CHOOSE({1,2,3,4},KMB!X342,KMB!AD342,KMB!AJ342,KMB!AP342)))</f>
        <v>0</v>
      </c>
      <c r="B342">
        <f>SUMPRODUCT((MONTH(CHOOSE({1,2,3,4},KMB!U342,KMB!AA342,KMB!AG342,KMB!AM342))=2)*(CHOOSE({1,2,3,4},KMB!X342,KMB!AD342,KMB!AJ342,KMB!AP342)))</f>
        <v>0</v>
      </c>
      <c r="C342">
        <f>SUMPRODUCT((MONTH(CHOOSE({1,2,3,4},KMB!U342,KMB!AA342,KMB!AG342,KMB!AM342))=3)*(CHOOSE({1,2,3,4},KMB!X342,KMB!AD342,KMB!AJ342,KMB!AP342)))</f>
        <v>0</v>
      </c>
      <c r="D342">
        <f>SUMPRODUCT((MONTH(CHOOSE({1,2,3,4},KMB!U342,KMB!AA342,KMB!AG342,KMB!AM342))=4)*(CHOOSE({1,2,3,4},KMB!X342,KMB!AD342,KMB!AJ342,KMB!AP342)))</f>
        <v>0</v>
      </c>
      <c r="E342">
        <f>SUMPRODUCT((MONTH(CHOOSE({1,2,3,4},KMB!U342,KMB!AA342,KMB!AG342,KMB!AM342))=5)*(CHOOSE({1,2,3,4},KMB!X342,KMB!AD342,KMB!AJ342,KMB!AP342)))</f>
        <v>0</v>
      </c>
      <c r="F342">
        <f>SUMPRODUCT((MONTH(CHOOSE({1,2,3,4},KMB!U342,KMB!AA342,KMB!AG342,KMB!AM342))=6)*(CHOOSE({1,2,3,4},KMB!X342,KMB!AD342,KMB!AJ342,KMB!AP342)))</f>
        <v>0</v>
      </c>
      <c r="G342">
        <f>SUMPRODUCT((MONTH(CHOOSE({1,2,3,4},KMB!U342,KMB!AA342,KMB!AG342,KMB!AM342))=7)*(CHOOSE({1,2,3,4},KMB!X342,KMB!AD342,KMB!AJ342,KMB!AP342)))</f>
        <v>0</v>
      </c>
      <c r="H342">
        <f>SUMPRODUCT((MONTH(CHOOSE({1,2,3,4},KMB!U342,KMB!AA342,KMB!AG342,KMB!AM342))=8)*(CHOOSE({1,2,3,4},KMB!X342,KMB!AD342,KMB!AJ342,KMB!AP342)))</f>
        <v>0</v>
      </c>
      <c r="I342">
        <f>SUMPRODUCT((MONTH(CHOOSE({1,2,3,4},KMB!U342,KMB!AA342,KMB!AG342,KMB!AM342))=9)*(CHOOSE({1,2,3,4},KMB!X342,KMB!AD342,KMB!AJ342,KMB!AP342)))</f>
        <v>0</v>
      </c>
      <c r="J342">
        <f>SUMPRODUCT((MONTH(CHOOSE({1,2,3,4},KMB!U342,KMB!AA342,KMB!AG342,KMB!AM342))=10)*(CHOOSE({1,2,3,4},KMB!X342,KMB!AD342,KMB!AJ342,KMB!AP342)))</f>
        <v>0</v>
      </c>
      <c r="K342">
        <f>SUMPRODUCT((MONTH(CHOOSE({1,2,3,4},KMB!U342,KMB!AA342,KMB!AG342,KMB!AM342))=11)*(CHOOSE({1,2,3,4},KMB!X342,KMB!AD342,KMB!AJ342,KMB!AP342)))</f>
        <v>0</v>
      </c>
      <c r="L342">
        <f>SUMPRODUCT((MONTH(CHOOSE({1,2,3,4},KMB!U342,KMB!AA342,KMB!AG342,KMB!AM342))=12)*(CHOOSE({1,2,3,4},KMB!X342,KMB!AD342,KMB!AJ342,KMB!AP342)))</f>
        <v>0</v>
      </c>
    </row>
    <row r="343" spans="1:12">
      <c r="A343">
        <f>SUMPRODUCT((MONTH(CHOOSE({1,2,3,4},KMB!U343,KMB!AA343,KMB!AG343,KMB!AM343))=1)*(CHOOSE({1,2,3,4},KMB!X343,KMB!AD343,KMB!AJ343,KMB!AP343)))</f>
        <v>0</v>
      </c>
      <c r="B343">
        <f>SUMPRODUCT((MONTH(CHOOSE({1,2,3,4},KMB!U343,KMB!AA343,KMB!AG343,KMB!AM343))=2)*(CHOOSE({1,2,3,4},KMB!X343,KMB!AD343,KMB!AJ343,KMB!AP343)))</f>
        <v>0</v>
      </c>
      <c r="C343">
        <f>SUMPRODUCT((MONTH(CHOOSE({1,2,3,4},KMB!U343,KMB!AA343,KMB!AG343,KMB!AM343))=3)*(CHOOSE({1,2,3,4},KMB!X343,KMB!AD343,KMB!AJ343,KMB!AP343)))</f>
        <v>0</v>
      </c>
      <c r="D343">
        <f>SUMPRODUCT((MONTH(CHOOSE({1,2,3,4},KMB!U343,KMB!AA343,KMB!AG343,KMB!AM343))=4)*(CHOOSE({1,2,3,4},KMB!X343,KMB!AD343,KMB!AJ343,KMB!AP343)))</f>
        <v>0</v>
      </c>
      <c r="E343">
        <f>SUMPRODUCT((MONTH(CHOOSE({1,2,3,4},KMB!U343,KMB!AA343,KMB!AG343,KMB!AM343))=5)*(CHOOSE({1,2,3,4},KMB!X343,KMB!AD343,KMB!AJ343,KMB!AP343)))</f>
        <v>0</v>
      </c>
      <c r="F343">
        <f>SUMPRODUCT((MONTH(CHOOSE({1,2,3,4},KMB!U343,KMB!AA343,KMB!AG343,KMB!AM343))=6)*(CHOOSE({1,2,3,4},KMB!X343,KMB!AD343,KMB!AJ343,KMB!AP343)))</f>
        <v>0</v>
      </c>
      <c r="G343">
        <f>SUMPRODUCT((MONTH(CHOOSE({1,2,3,4},KMB!U343,KMB!AA343,KMB!AG343,KMB!AM343))=7)*(CHOOSE({1,2,3,4},KMB!X343,KMB!AD343,KMB!AJ343,KMB!AP343)))</f>
        <v>0</v>
      </c>
      <c r="H343">
        <f>SUMPRODUCT((MONTH(CHOOSE({1,2,3,4},KMB!U343,KMB!AA343,KMB!AG343,KMB!AM343))=8)*(CHOOSE({1,2,3,4},KMB!X343,KMB!AD343,KMB!AJ343,KMB!AP343)))</f>
        <v>0</v>
      </c>
      <c r="I343">
        <f>SUMPRODUCT((MONTH(CHOOSE({1,2,3,4},KMB!U343,KMB!AA343,KMB!AG343,KMB!AM343))=9)*(CHOOSE({1,2,3,4},KMB!X343,KMB!AD343,KMB!AJ343,KMB!AP343)))</f>
        <v>0</v>
      </c>
      <c r="J343">
        <f>SUMPRODUCT((MONTH(CHOOSE({1,2,3,4},KMB!U343,KMB!AA343,KMB!AG343,KMB!AM343))=10)*(CHOOSE({1,2,3,4},KMB!X343,KMB!AD343,KMB!AJ343,KMB!AP343)))</f>
        <v>0</v>
      </c>
      <c r="K343">
        <f>SUMPRODUCT((MONTH(CHOOSE({1,2,3,4},KMB!U343,KMB!AA343,KMB!AG343,KMB!AM343))=11)*(CHOOSE({1,2,3,4},KMB!X343,KMB!AD343,KMB!AJ343,KMB!AP343)))</f>
        <v>0</v>
      </c>
      <c r="L343">
        <f>SUMPRODUCT((MONTH(CHOOSE({1,2,3,4},KMB!U343,KMB!AA343,KMB!AG343,KMB!AM343))=12)*(CHOOSE({1,2,3,4},KMB!X343,KMB!AD343,KMB!AJ343,KMB!AP343)))</f>
        <v>0</v>
      </c>
    </row>
    <row r="344" spans="1:12">
      <c r="A344">
        <f>SUMPRODUCT((MONTH(CHOOSE({1,2,3,4},KMB!U344,KMB!AA344,KMB!AG344,KMB!AM344))=1)*(CHOOSE({1,2,3,4},KMB!X344,KMB!AD344,KMB!AJ344,KMB!AP344)))</f>
        <v>0</v>
      </c>
      <c r="B344">
        <f>SUMPRODUCT((MONTH(CHOOSE({1,2,3,4},KMB!U344,KMB!AA344,KMB!AG344,KMB!AM344))=2)*(CHOOSE({1,2,3,4},KMB!X344,KMB!AD344,KMB!AJ344,KMB!AP344)))</f>
        <v>0</v>
      </c>
      <c r="C344">
        <f>SUMPRODUCT((MONTH(CHOOSE({1,2,3,4},KMB!U344,KMB!AA344,KMB!AG344,KMB!AM344))=3)*(CHOOSE({1,2,3,4},KMB!X344,KMB!AD344,KMB!AJ344,KMB!AP344)))</f>
        <v>0</v>
      </c>
      <c r="D344">
        <f>SUMPRODUCT((MONTH(CHOOSE({1,2,3,4},KMB!U344,KMB!AA344,KMB!AG344,KMB!AM344))=4)*(CHOOSE({1,2,3,4},KMB!X344,KMB!AD344,KMB!AJ344,KMB!AP344)))</f>
        <v>0</v>
      </c>
      <c r="E344">
        <f>SUMPRODUCT((MONTH(CHOOSE({1,2,3,4},KMB!U344,KMB!AA344,KMB!AG344,KMB!AM344))=5)*(CHOOSE({1,2,3,4},KMB!X344,KMB!AD344,KMB!AJ344,KMB!AP344)))</f>
        <v>0</v>
      </c>
      <c r="F344">
        <f>SUMPRODUCT((MONTH(CHOOSE({1,2,3,4},KMB!U344,KMB!AA344,KMB!AG344,KMB!AM344))=6)*(CHOOSE({1,2,3,4},KMB!X344,KMB!AD344,KMB!AJ344,KMB!AP344)))</f>
        <v>0</v>
      </c>
      <c r="G344">
        <f>SUMPRODUCT((MONTH(CHOOSE({1,2,3,4},KMB!U344,KMB!AA344,KMB!AG344,KMB!AM344))=7)*(CHOOSE({1,2,3,4},KMB!X344,KMB!AD344,KMB!AJ344,KMB!AP344)))</f>
        <v>0</v>
      </c>
      <c r="H344">
        <f>SUMPRODUCT((MONTH(CHOOSE({1,2,3,4},KMB!U344,KMB!AA344,KMB!AG344,KMB!AM344))=8)*(CHOOSE({1,2,3,4},KMB!X344,KMB!AD344,KMB!AJ344,KMB!AP344)))</f>
        <v>0</v>
      </c>
      <c r="I344">
        <f>SUMPRODUCT((MONTH(CHOOSE({1,2,3,4},KMB!U344,KMB!AA344,KMB!AG344,KMB!AM344))=9)*(CHOOSE({1,2,3,4},KMB!X344,KMB!AD344,KMB!AJ344,KMB!AP344)))</f>
        <v>0</v>
      </c>
      <c r="J344">
        <f>SUMPRODUCT((MONTH(CHOOSE({1,2,3,4},KMB!U344,KMB!AA344,KMB!AG344,KMB!AM344))=10)*(CHOOSE({1,2,3,4},KMB!X344,KMB!AD344,KMB!AJ344,KMB!AP344)))</f>
        <v>0</v>
      </c>
      <c r="K344">
        <f>SUMPRODUCT((MONTH(CHOOSE({1,2,3,4},KMB!U344,KMB!AA344,KMB!AG344,KMB!AM344))=11)*(CHOOSE({1,2,3,4},KMB!X344,KMB!AD344,KMB!AJ344,KMB!AP344)))</f>
        <v>0</v>
      </c>
      <c r="L344">
        <f>SUMPRODUCT((MONTH(CHOOSE({1,2,3,4},KMB!U344,KMB!AA344,KMB!AG344,KMB!AM344))=12)*(CHOOSE({1,2,3,4},KMB!X344,KMB!AD344,KMB!AJ344,KMB!AP344)))</f>
        <v>0</v>
      </c>
    </row>
    <row r="345" spans="1:12">
      <c r="A345">
        <f>SUMPRODUCT((MONTH(CHOOSE({1,2,3,4},KMB!U345,KMB!AA345,KMB!AG345,KMB!AM345))=1)*(CHOOSE({1,2,3,4},KMB!X345,KMB!AD345,KMB!AJ345,KMB!AP345)))</f>
        <v>0</v>
      </c>
      <c r="B345">
        <f>SUMPRODUCT((MONTH(CHOOSE({1,2,3,4},KMB!U345,KMB!AA345,KMB!AG345,KMB!AM345))=2)*(CHOOSE({1,2,3,4},KMB!X345,KMB!AD345,KMB!AJ345,KMB!AP345)))</f>
        <v>0</v>
      </c>
      <c r="C345">
        <f>SUMPRODUCT((MONTH(CHOOSE({1,2,3,4},KMB!U345,KMB!AA345,KMB!AG345,KMB!AM345))=3)*(CHOOSE({1,2,3,4},KMB!X345,KMB!AD345,KMB!AJ345,KMB!AP345)))</f>
        <v>0</v>
      </c>
      <c r="D345">
        <f>SUMPRODUCT((MONTH(CHOOSE({1,2,3,4},KMB!U345,KMB!AA345,KMB!AG345,KMB!AM345))=4)*(CHOOSE({1,2,3,4},KMB!X345,KMB!AD345,KMB!AJ345,KMB!AP345)))</f>
        <v>0</v>
      </c>
      <c r="E345">
        <f>SUMPRODUCT((MONTH(CHOOSE({1,2,3,4},KMB!U345,KMB!AA345,KMB!AG345,KMB!AM345))=5)*(CHOOSE({1,2,3,4},KMB!X345,KMB!AD345,KMB!AJ345,KMB!AP345)))</f>
        <v>0</v>
      </c>
      <c r="F345">
        <f>SUMPRODUCT((MONTH(CHOOSE({1,2,3,4},KMB!U345,KMB!AA345,KMB!AG345,KMB!AM345))=6)*(CHOOSE({1,2,3,4},KMB!X345,KMB!AD345,KMB!AJ345,KMB!AP345)))</f>
        <v>0</v>
      </c>
      <c r="G345">
        <f>SUMPRODUCT((MONTH(CHOOSE({1,2,3,4},KMB!U345,KMB!AA345,KMB!AG345,KMB!AM345))=7)*(CHOOSE({1,2,3,4},KMB!X345,KMB!AD345,KMB!AJ345,KMB!AP345)))</f>
        <v>0</v>
      </c>
      <c r="H345">
        <f>SUMPRODUCT((MONTH(CHOOSE({1,2,3,4},KMB!U345,KMB!AA345,KMB!AG345,KMB!AM345))=8)*(CHOOSE({1,2,3,4},KMB!X345,KMB!AD345,KMB!AJ345,KMB!AP345)))</f>
        <v>0</v>
      </c>
      <c r="I345">
        <f>SUMPRODUCT((MONTH(CHOOSE({1,2,3,4},KMB!U345,KMB!AA345,KMB!AG345,KMB!AM345))=9)*(CHOOSE({1,2,3,4},KMB!X345,KMB!AD345,KMB!AJ345,KMB!AP345)))</f>
        <v>0</v>
      </c>
      <c r="J345">
        <f>SUMPRODUCT((MONTH(CHOOSE({1,2,3,4},KMB!U345,KMB!AA345,KMB!AG345,KMB!AM345))=10)*(CHOOSE({1,2,3,4},KMB!X345,KMB!AD345,KMB!AJ345,KMB!AP345)))</f>
        <v>0</v>
      </c>
      <c r="K345">
        <f>SUMPRODUCT((MONTH(CHOOSE({1,2,3,4},KMB!U345,KMB!AA345,KMB!AG345,KMB!AM345))=11)*(CHOOSE({1,2,3,4},KMB!X345,KMB!AD345,KMB!AJ345,KMB!AP345)))</f>
        <v>0</v>
      </c>
      <c r="L345">
        <f>SUMPRODUCT((MONTH(CHOOSE({1,2,3,4},KMB!U345,KMB!AA345,KMB!AG345,KMB!AM345))=12)*(CHOOSE({1,2,3,4},KMB!X345,KMB!AD345,KMB!AJ345,KMB!AP345)))</f>
        <v>0</v>
      </c>
    </row>
    <row r="346" spans="1:12">
      <c r="A346">
        <f>SUMPRODUCT((MONTH(CHOOSE({1,2,3,4},KMB!U346,KMB!AA346,KMB!AG346,KMB!AM346))=1)*(CHOOSE({1,2,3,4},KMB!X346,KMB!AD346,KMB!AJ346,KMB!AP346)))</f>
        <v>0</v>
      </c>
      <c r="B346">
        <f>SUMPRODUCT((MONTH(CHOOSE({1,2,3,4},KMB!U346,KMB!AA346,KMB!AG346,KMB!AM346))=2)*(CHOOSE({1,2,3,4},KMB!X346,KMB!AD346,KMB!AJ346,KMB!AP346)))</f>
        <v>0</v>
      </c>
      <c r="C346">
        <f>SUMPRODUCT((MONTH(CHOOSE({1,2,3,4},KMB!U346,KMB!AA346,KMB!AG346,KMB!AM346))=3)*(CHOOSE({1,2,3,4},KMB!X346,KMB!AD346,KMB!AJ346,KMB!AP346)))</f>
        <v>0</v>
      </c>
      <c r="D346">
        <f>SUMPRODUCT((MONTH(CHOOSE({1,2,3,4},KMB!U346,KMB!AA346,KMB!AG346,KMB!AM346))=4)*(CHOOSE({1,2,3,4},KMB!X346,KMB!AD346,KMB!AJ346,KMB!AP346)))</f>
        <v>0</v>
      </c>
      <c r="E346">
        <f>SUMPRODUCT((MONTH(CHOOSE({1,2,3,4},KMB!U346,KMB!AA346,KMB!AG346,KMB!AM346))=5)*(CHOOSE({1,2,3,4},KMB!X346,KMB!AD346,KMB!AJ346,KMB!AP346)))</f>
        <v>0</v>
      </c>
      <c r="F346">
        <f>SUMPRODUCT((MONTH(CHOOSE({1,2,3,4},KMB!U346,KMB!AA346,KMB!AG346,KMB!AM346))=6)*(CHOOSE({1,2,3,4},KMB!X346,KMB!AD346,KMB!AJ346,KMB!AP346)))</f>
        <v>0</v>
      </c>
      <c r="G346">
        <f>SUMPRODUCT((MONTH(CHOOSE({1,2,3,4},KMB!U346,KMB!AA346,KMB!AG346,KMB!AM346))=7)*(CHOOSE({1,2,3,4},KMB!X346,KMB!AD346,KMB!AJ346,KMB!AP346)))</f>
        <v>0</v>
      </c>
      <c r="H346">
        <f>SUMPRODUCT((MONTH(CHOOSE({1,2,3,4},KMB!U346,KMB!AA346,KMB!AG346,KMB!AM346))=8)*(CHOOSE({1,2,3,4},KMB!X346,KMB!AD346,KMB!AJ346,KMB!AP346)))</f>
        <v>0</v>
      </c>
      <c r="I346">
        <f>SUMPRODUCT((MONTH(CHOOSE({1,2,3,4},KMB!U346,KMB!AA346,KMB!AG346,KMB!AM346))=9)*(CHOOSE({1,2,3,4},KMB!X346,KMB!AD346,KMB!AJ346,KMB!AP346)))</f>
        <v>0</v>
      </c>
      <c r="J346">
        <f>SUMPRODUCT((MONTH(CHOOSE({1,2,3,4},KMB!U346,KMB!AA346,KMB!AG346,KMB!AM346))=10)*(CHOOSE({1,2,3,4},KMB!X346,KMB!AD346,KMB!AJ346,KMB!AP346)))</f>
        <v>0</v>
      </c>
      <c r="K346">
        <f>SUMPRODUCT((MONTH(CHOOSE({1,2,3,4},KMB!U346,KMB!AA346,KMB!AG346,KMB!AM346))=11)*(CHOOSE({1,2,3,4},KMB!X346,KMB!AD346,KMB!AJ346,KMB!AP346)))</f>
        <v>0</v>
      </c>
      <c r="L346">
        <f>SUMPRODUCT((MONTH(CHOOSE({1,2,3,4},KMB!U346,KMB!AA346,KMB!AG346,KMB!AM346))=12)*(CHOOSE({1,2,3,4},KMB!X346,KMB!AD346,KMB!AJ346,KMB!AP346)))</f>
        <v>0</v>
      </c>
    </row>
    <row r="347" spans="1:12">
      <c r="A347">
        <f>SUMPRODUCT((MONTH(CHOOSE({1,2,3,4},KMB!U347,KMB!AA347,KMB!AG347,KMB!AM347))=1)*(CHOOSE({1,2,3,4},KMB!X347,KMB!AD347,KMB!AJ347,KMB!AP347)))</f>
        <v>0</v>
      </c>
      <c r="B347">
        <f>SUMPRODUCT((MONTH(CHOOSE({1,2,3,4},KMB!U347,KMB!AA347,KMB!AG347,KMB!AM347))=2)*(CHOOSE({1,2,3,4},KMB!X347,KMB!AD347,KMB!AJ347,KMB!AP347)))</f>
        <v>0</v>
      </c>
      <c r="C347">
        <f>SUMPRODUCT((MONTH(CHOOSE({1,2,3,4},KMB!U347,KMB!AA347,KMB!AG347,KMB!AM347))=3)*(CHOOSE({1,2,3,4},KMB!X347,KMB!AD347,KMB!AJ347,KMB!AP347)))</f>
        <v>0</v>
      </c>
      <c r="D347">
        <f>SUMPRODUCT((MONTH(CHOOSE({1,2,3,4},KMB!U347,KMB!AA347,KMB!AG347,KMB!AM347))=4)*(CHOOSE({1,2,3,4},KMB!X347,KMB!AD347,KMB!AJ347,KMB!AP347)))</f>
        <v>0</v>
      </c>
      <c r="E347">
        <f>SUMPRODUCT((MONTH(CHOOSE({1,2,3,4},KMB!U347,KMB!AA347,KMB!AG347,KMB!AM347))=5)*(CHOOSE({1,2,3,4},KMB!X347,KMB!AD347,KMB!AJ347,KMB!AP347)))</f>
        <v>0</v>
      </c>
      <c r="F347">
        <f>SUMPRODUCT((MONTH(CHOOSE({1,2,3,4},KMB!U347,KMB!AA347,KMB!AG347,KMB!AM347))=6)*(CHOOSE({1,2,3,4},KMB!X347,KMB!AD347,KMB!AJ347,KMB!AP347)))</f>
        <v>0</v>
      </c>
      <c r="G347">
        <f>SUMPRODUCT((MONTH(CHOOSE({1,2,3,4},KMB!U347,KMB!AA347,KMB!AG347,KMB!AM347))=7)*(CHOOSE({1,2,3,4},KMB!X347,KMB!AD347,KMB!AJ347,KMB!AP347)))</f>
        <v>0</v>
      </c>
      <c r="H347">
        <f>SUMPRODUCT((MONTH(CHOOSE({1,2,3,4},KMB!U347,KMB!AA347,KMB!AG347,KMB!AM347))=8)*(CHOOSE({1,2,3,4},KMB!X347,KMB!AD347,KMB!AJ347,KMB!AP347)))</f>
        <v>0</v>
      </c>
      <c r="I347">
        <f>SUMPRODUCT((MONTH(CHOOSE({1,2,3,4},KMB!U347,KMB!AA347,KMB!AG347,KMB!AM347))=9)*(CHOOSE({1,2,3,4},KMB!X347,KMB!AD347,KMB!AJ347,KMB!AP347)))</f>
        <v>0</v>
      </c>
      <c r="J347">
        <f>SUMPRODUCT((MONTH(CHOOSE({1,2,3,4},KMB!U347,KMB!AA347,KMB!AG347,KMB!AM347))=10)*(CHOOSE({1,2,3,4},KMB!X347,KMB!AD347,KMB!AJ347,KMB!AP347)))</f>
        <v>0</v>
      </c>
      <c r="K347">
        <f>SUMPRODUCT((MONTH(CHOOSE({1,2,3,4},KMB!U347,KMB!AA347,KMB!AG347,KMB!AM347))=11)*(CHOOSE({1,2,3,4},KMB!X347,KMB!AD347,KMB!AJ347,KMB!AP347)))</f>
        <v>0</v>
      </c>
      <c r="L347">
        <f>SUMPRODUCT((MONTH(CHOOSE({1,2,3,4},KMB!U347,KMB!AA347,KMB!AG347,KMB!AM347))=12)*(CHOOSE({1,2,3,4},KMB!X347,KMB!AD347,KMB!AJ347,KMB!AP347)))</f>
        <v>0</v>
      </c>
    </row>
    <row r="348" spans="1:12">
      <c r="A348">
        <f>SUMPRODUCT((MONTH(CHOOSE({1,2,3,4},KMB!U348,KMB!AA348,KMB!AG348,KMB!AM348))=1)*(CHOOSE({1,2,3,4},KMB!X348,KMB!AD348,KMB!AJ348,KMB!AP348)))</f>
        <v>0</v>
      </c>
      <c r="B348">
        <f>SUMPRODUCT((MONTH(CHOOSE({1,2,3,4},KMB!U348,KMB!AA348,KMB!AG348,KMB!AM348))=2)*(CHOOSE({1,2,3,4},KMB!X348,KMB!AD348,KMB!AJ348,KMB!AP348)))</f>
        <v>0</v>
      </c>
      <c r="C348">
        <f>SUMPRODUCT((MONTH(CHOOSE({1,2,3,4},KMB!U348,KMB!AA348,KMB!AG348,KMB!AM348))=3)*(CHOOSE({1,2,3,4},KMB!X348,KMB!AD348,KMB!AJ348,KMB!AP348)))</f>
        <v>0</v>
      </c>
      <c r="D348">
        <f>SUMPRODUCT((MONTH(CHOOSE({1,2,3,4},KMB!U348,KMB!AA348,KMB!AG348,KMB!AM348))=4)*(CHOOSE({1,2,3,4},KMB!X348,KMB!AD348,KMB!AJ348,KMB!AP348)))</f>
        <v>0</v>
      </c>
      <c r="E348">
        <f>SUMPRODUCT((MONTH(CHOOSE({1,2,3,4},KMB!U348,KMB!AA348,KMB!AG348,KMB!AM348))=5)*(CHOOSE({1,2,3,4},KMB!X348,KMB!AD348,KMB!AJ348,KMB!AP348)))</f>
        <v>0</v>
      </c>
      <c r="F348">
        <f>SUMPRODUCT((MONTH(CHOOSE({1,2,3,4},KMB!U348,KMB!AA348,KMB!AG348,KMB!AM348))=6)*(CHOOSE({1,2,3,4},KMB!X348,KMB!AD348,KMB!AJ348,KMB!AP348)))</f>
        <v>0</v>
      </c>
      <c r="G348">
        <f>SUMPRODUCT((MONTH(CHOOSE({1,2,3,4},KMB!U348,KMB!AA348,KMB!AG348,KMB!AM348))=7)*(CHOOSE({1,2,3,4},KMB!X348,KMB!AD348,KMB!AJ348,KMB!AP348)))</f>
        <v>0</v>
      </c>
      <c r="H348">
        <f>SUMPRODUCT((MONTH(CHOOSE({1,2,3,4},KMB!U348,KMB!AA348,KMB!AG348,KMB!AM348))=8)*(CHOOSE({1,2,3,4},KMB!X348,KMB!AD348,KMB!AJ348,KMB!AP348)))</f>
        <v>0</v>
      </c>
      <c r="I348">
        <f>SUMPRODUCT((MONTH(CHOOSE({1,2,3,4},KMB!U348,KMB!AA348,KMB!AG348,KMB!AM348))=9)*(CHOOSE({1,2,3,4},KMB!X348,KMB!AD348,KMB!AJ348,KMB!AP348)))</f>
        <v>0</v>
      </c>
      <c r="J348">
        <f>SUMPRODUCT((MONTH(CHOOSE({1,2,3,4},KMB!U348,KMB!AA348,KMB!AG348,KMB!AM348))=10)*(CHOOSE({1,2,3,4},KMB!X348,KMB!AD348,KMB!AJ348,KMB!AP348)))</f>
        <v>0</v>
      </c>
      <c r="K348">
        <f>SUMPRODUCT((MONTH(CHOOSE({1,2,3,4},KMB!U348,KMB!AA348,KMB!AG348,KMB!AM348))=11)*(CHOOSE({1,2,3,4},KMB!X348,KMB!AD348,KMB!AJ348,KMB!AP348)))</f>
        <v>0</v>
      </c>
      <c r="L348">
        <f>SUMPRODUCT((MONTH(CHOOSE({1,2,3,4},KMB!U348,KMB!AA348,KMB!AG348,KMB!AM348))=12)*(CHOOSE({1,2,3,4},KMB!X348,KMB!AD348,KMB!AJ348,KMB!AP348)))</f>
        <v>0</v>
      </c>
    </row>
    <row r="349" spans="1:12">
      <c r="A349">
        <f>SUMPRODUCT((MONTH(CHOOSE({1,2,3,4},KMB!U349,KMB!AA349,KMB!AG349,KMB!AM349))=1)*(CHOOSE({1,2,3,4},KMB!X349,KMB!AD349,KMB!AJ349,KMB!AP349)))</f>
        <v>0</v>
      </c>
      <c r="B349">
        <f>SUMPRODUCT((MONTH(CHOOSE({1,2,3,4},KMB!U349,KMB!AA349,KMB!AG349,KMB!AM349))=2)*(CHOOSE({1,2,3,4},KMB!X349,KMB!AD349,KMB!AJ349,KMB!AP349)))</f>
        <v>0</v>
      </c>
      <c r="C349">
        <f>SUMPRODUCT((MONTH(CHOOSE({1,2,3,4},KMB!U349,KMB!AA349,KMB!AG349,KMB!AM349))=3)*(CHOOSE({1,2,3,4},KMB!X349,KMB!AD349,KMB!AJ349,KMB!AP349)))</f>
        <v>0</v>
      </c>
      <c r="D349">
        <f>SUMPRODUCT((MONTH(CHOOSE({1,2,3,4},KMB!U349,KMB!AA349,KMB!AG349,KMB!AM349))=4)*(CHOOSE({1,2,3,4},KMB!X349,KMB!AD349,KMB!AJ349,KMB!AP349)))</f>
        <v>0</v>
      </c>
      <c r="E349">
        <f>SUMPRODUCT((MONTH(CHOOSE({1,2,3,4},KMB!U349,KMB!AA349,KMB!AG349,KMB!AM349))=5)*(CHOOSE({1,2,3,4},KMB!X349,KMB!AD349,KMB!AJ349,KMB!AP349)))</f>
        <v>0</v>
      </c>
      <c r="F349">
        <f>SUMPRODUCT((MONTH(CHOOSE({1,2,3,4},KMB!U349,KMB!AA349,KMB!AG349,KMB!AM349))=6)*(CHOOSE({1,2,3,4},KMB!X349,KMB!AD349,KMB!AJ349,KMB!AP349)))</f>
        <v>0</v>
      </c>
      <c r="G349">
        <f>SUMPRODUCT((MONTH(CHOOSE({1,2,3,4},KMB!U349,KMB!AA349,KMB!AG349,KMB!AM349))=7)*(CHOOSE({1,2,3,4},KMB!X349,KMB!AD349,KMB!AJ349,KMB!AP349)))</f>
        <v>0</v>
      </c>
      <c r="H349">
        <f>SUMPRODUCT((MONTH(CHOOSE({1,2,3,4},KMB!U349,KMB!AA349,KMB!AG349,KMB!AM349))=8)*(CHOOSE({1,2,3,4},KMB!X349,KMB!AD349,KMB!AJ349,KMB!AP349)))</f>
        <v>0</v>
      </c>
      <c r="I349">
        <f>SUMPRODUCT((MONTH(CHOOSE({1,2,3,4},KMB!U349,KMB!AA349,KMB!AG349,KMB!AM349))=9)*(CHOOSE({1,2,3,4},KMB!X349,KMB!AD349,KMB!AJ349,KMB!AP349)))</f>
        <v>0</v>
      </c>
      <c r="J349">
        <f>SUMPRODUCT((MONTH(CHOOSE({1,2,3,4},KMB!U349,KMB!AA349,KMB!AG349,KMB!AM349))=10)*(CHOOSE({1,2,3,4},KMB!X349,KMB!AD349,KMB!AJ349,KMB!AP349)))</f>
        <v>0</v>
      </c>
      <c r="K349">
        <f>SUMPRODUCT((MONTH(CHOOSE({1,2,3,4},KMB!U349,KMB!AA349,KMB!AG349,KMB!AM349))=11)*(CHOOSE({1,2,3,4},KMB!X349,KMB!AD349,KMB!AJ349,KMB!AP349)))</f>
        <v>0</v>
      </c>
      <c r="L349">
        <f>SUMPRODUCT((MONTH(CHOOSE({1,2,3,4},KMB!U349,KMB!AA349,KMB!AG349,KMB!AM349))=12)*(CHOOSE({1,2,3,4},KMB!X349,KMB!AD349,KMB!AJ349,KMB!AP349)))</f>
        <v>0</v>
      </c>
    </row>
    <row r="350" spans="1:12">
      <c r="A350">
        <f>SUMPRODUCT((MONTH(CHOOSE({1,2,3,4},KMB!U350,KMB!AA350,KMB!AG350,KMB!AM350))=1)*(CHOOSE({1,2,3,4},KMB!X350,KMB!AD350,KMB!AJ350,KMB!AP350)))</f>
        <v>0</v>
      </c>
      <c r="B350">
        <f>SUMPRODUCT((MONTH(CHOOSE({1,2,3,4},KMB!U350,KMB!AA350,KMB!AG350,KMB!AM350))=2)*(CHOOSE({1,2,3,4},KMB!X350,KMB!AD350,KMB!AJ350,KMB!AP350)))</f>
        <v>0</v>
      </c>
      <c r="C350">
        <f>SUMPRODUCT((MONTH(CHOOSE({1,2,3,4},KMB!U350,KMB!AA350,KMB!AG350,KMB!AM350))=3)*(CHOOSE({1,2,3,4},KMB!X350,KMB!AD350,KMB!AJ350,KMB!AP350)))</f>
        <v>0</v>
      </c>
      <c r="D350">
        <f>SUMPRODUCT((MONTH(CHOOSE({1,2,3,4},KMB!U350,KMB!AA350,KMB!AG350,KMB!AM350))=4)*(CHOOSE({1,2,3,4},KMB!X350,KMB!AD350,KMB!AJ350,KMB!AP350)))</f>
        <v>0</v>
      </c>
      <c r="E350">
        <f>SUMPRODUCT((MONTH(CHOOSE({1,2,3,4},KMB!U350,KMB!AA350,KMB!AG350,KMB!AM350))=5)*(CHOOSE({1,2,3,4},KMB!X350,KMB!AD350,KMB!AJ350,KMB!AP350)))</f>
        <v>0</v>
      </c>
      <c r="F350">
        <f>SUMPRODUCT((MONTH(CHOOSE({1,2,3,4},KMB!U350,KMB!AA350,KMB!AG350,KMB!AM350))=6)*(CHOOSE({1,2,3,4},KMB!X350,KMB!AD350,KMB!AJ350,KMB!AP350)))</f>
        <v>0</v>
      </c>
      <c r="G350">
        <f>SUMPRODUCT((MONTH(CHOOSE({1,2,3,4},KMB!U350,KMB!AA350,KMB!AG350,KMB!AM350))=7)*(CHOOSE({1,2,3,4},KMB!X350,KMB!AD350,KMB!AJ350,KMB!AP350)))</f>
        <v>0</v>
      </c>
      <c r="H350">
        <f>SUMPRODUCT((MONTH(CHOOSE({1,2,3,4},KMB!U350,KMB!AA350,KMB!AG350,KMB!AM350))=8)*(CHOOSE({1,2,3,4},KMB!X350,KMB!AD350,KMB!AJ350,KMB!AP350)))</f>
        <v>0</v>
      </c>
      <c r="I350">
        <f>SUMPRODUCT((MONTH(CHOOSE({1,2,3,4},KMB!U350,KMB!AA350,KMB!AG350,KMB!AM350))=9)*(CHOOSE({1,2,3,4},KMB!X350,KMB!AD350,KMB!AJ350,KMB!AP350)))</f>
        <v>0</v>
      </c>
      <c r="J350">
        <f>SUMPRODUCT((MONTH(CHOOSE({1,2,3,4},KMB!U350,KMB!AA350,KMB!AG350,KMB!AM350))=10)*(CHOOSE({1,2,3,4},KMB!X350,KMB!AD350,KMB!AJ350,KMB!AP350)))</f>
        <v>0</v>
      </c>
      <c r="K350">
        <f>SUMPRODUCT((MONTH(CHOOSE({1,2,3,4},KMB!U350,KMB!AA350,KMB!AG350,KMB!AM350))=11)*(CHOOSE({1,2,3,4},KMB!X350,KMB!AD350,KMB!AJ350,KMB!AP350)))</f>
        <v>0</v>
      </c>
      <c r="L350">
        <f>SUMPRODUCT((MONTH(CHOOSE({1,2,3,4},KMB!U350,KMB!AA350,KMB!AG350,KMB!AM350))=12)*(CHOOSE({1,2,3,4},KMB!X350,KMB!AD350,KMB!AJ350,KMB!AP350)))</f>
        <v>0</v>
      </c>
    </row>
    <row r="351" spans="1:12">
      <c r="A351">
        <f>SUMPRODUCT((MONTH(CHOOSE({1,2,3,4},KMB!U351,KMB!AA351,KMB!AG351,KMB!AM351))=1)*(CHOOSE({1,2,3,4},KMB!X351,KMB!AD351,KMB!AJ351,KMB!AP351)))</f>
        <v>0</v>
      </c>
      <c r="B351">
        <f>SUMPRODUCT((MONTH(CHOOSE({1,2,3,4},KMB!U351,KMB!AA351,KMB!AG351,KMB!AM351))=2)*(CHOOSE({1,2,3,4},KMB!X351,KMB!AD351,KMB!AJ351,KMB!AP351)))</f>
        <v>0</v>
      </c>
      <c r="C351">
        <f>SUMPRODUCT((MONTH(CHOOSE({1,2,3,4},KMB!U351,KMB!AA351,KMB!AG351,KMB!AM351))=3)*(CHOOSE({1,2,3,4},KMB!X351,KMB!AD351,KMB!AJ351,KMB!AP351)))</f>
        <v>0</v>
      </c>
      <c r="D351">
        <f>SUMPRODUCT((MONTH(CHOOSE({1,2,3,4},KMB!U351,KMB!AA351,KMB!AG351,KMB!AM351))=4)*(CHOOSE({1,2,3,4},KMB!X351,KMB!AD351,KMB!AJ351,KMB!AP351)))</f>
        <v>0</v>
      </c>
      <c r="E351">
        <f>SUMPRODUCT((MONTH(CHOOSE({1,2,3,4},KMB!U351,KMB!AA351,KMB!AG351,KMB!AM351))=5)*(CHOOSE({1,2,3,4},KMB!X351,KMB!AD351,KMB!AJ351,KMB!AP351)))</f>
        <v>0</v>
      </c>
      <c r="F351">
        <f>SUMPRODUCT((MONTH(CHOOSE({1,2,3,4},KMB!U351,KMB!AA351,KMB!AG351,KMB!AM351))=6)*(CHOOSE({1,2,3,4},KMB!X351,KMB!AD351,KMB!AJ351,KMB!AP351)))</f>
        <v>0</v>
      </c>
      <c r="G351">
        <f>SUMPRODUCT((MONTH(CHOOSE({1,2,3,4},KMB!U351,KMB!AA351,KMB!AG351,KMB!AM351))=7)*(CHOOSE({1,2,3,4},KMB!X351,KMB!AD351,KMB!AJ351,KMB!AP351)))</f>
        <v>0</v>
      </c>
      <c r="H351">
        <f>SUMPRODUCT((MONTH(CHOOSE({1,2,3,4},KMB!U351,KMB!AA351,KMB!AG351,KMB!AM351))=8)*(CHOOSE({1,2,3,4},KMB!X351,KMB!AD351,KMB!AJ351,KMB!AP351)))</f>
        <v>0</v>
      </c>
      <c r="I351">
        <f>SUMPRODUCT((MONTH(CHOOSE({1,2,3,4},KMB!U351,KMB!AA351,KMB!AG351,KMB!AM351))=9)*(CHOOSE({1,2,3,4},KMB!X351,KMB!AD351,KMB!AJ351,KMB!AP351)))</f>
        <v>0</v>
      </c>
      <c r="J351">
        <f>SUMPRODUCT((MONTH(CHOOSE({1,2,3,4},KMB!U351,KMB!AA351,KMB!AG351,KMB!AM351))=10)*(CHOOSE({1,2,3,4},KMB!X351,KMB!AD351,KMB!AJ351,KMB!AP351)))</f>
        <v>0</v>
      </c>
      <c r="K351">
        <f>SUMPRODUCT((MONTH(CHOOSE({1,2,3,4},KMB!U351,KMB!AA351,KMB!AG351,KMB!AM351))=11)*(CHOOSE({1,2,3,4},KMB!X351,KMB!AD351,KMB!AJ351,KMB!AP351)))</f>
        <v>0</v>
      </c>
      <c r="L351">
        <f>SUMPRODUCT((MONTH(CHOOSE({1,2,3,4},KMB!U351,KMB!AA351,KMB!AG351,KMB!AM351))=12)*(CHOOSE({1,2,3,4},KMB!X351,KMB!AD351,KMB!AJ351,KMB!AP351)))</f>
        <v>0</v>
      </c>
    </row>
    <row r="352" spans="1:12">
      <c r="A352">
        <f>SUMPRODUCT((MONTH(CHOOSE({1,2,3,4},KMB!U352,KMB!AA352,KMB!AG352,KMB!AM352))=1)*(CHOOSE({1,2,3,4},KMB!X352,KMB!AD352,KMB!AJ352,KMB!AP352)))</f>
        <v>0</v>
      </c>
      <c r="B352">
        <f>SUMPRODUCT((MONTH(CHOOSE({1,2,3,4},KMB!U352,KMB!AA352,KMB!AG352,KMB!AM352))=2)*(CHOOSE({1,2,3,4},KMB!X352,KMB!AD352,KMB!AJ352,KMB!AP352)))</f>
        <v>0</v>
      </c>
      <c r="C352">
        <f>SUMPRODUCT((MONTH(CHOOSE({1,2,3,4},KMB!U352,KMB!AA352,KMB!AG352,KMB!AM352))=3)*(CHOOSE({1,2,3,4},KMB!X352,KMB!AD352,KMB!AJ352,KMB!AP352)))</f>
        <v>0</v>
      </c>
      <c r="D352">
        <f>SUMPRODUCT((MONTH(CHOOSE({1,2,3,4},KMB!U352,KMB!AA352,KMB!AG352,KMB!AM352))=4)*(CHOOSE({1,2,3,4},KMB!X352,KMB!AD352,KMB!AJ352,KMB!AP352)))</f>
        <v>0</v>
      </c>
      <c r="E352">
        <f>SUMPRODUCT((MONTH(CHOOSE({1,2,3,4},KMB!U352,KMB!AA352,KMB!AG352,KMB!AM352))=5)*(CHOOSE({1,2,3,4},KMB!X352,KMB!AD352,KMB!AJ352,KMB!AP352)))</f>
        <v>0</v>
      </c>
      <c r="F352">
        <f>SUMPRODUCT((MONTH(CHOOSE({1,2,3,4},KMB!U352,KMB!AA352,KMB!AG352,KMB!AM352))=6)*(CHOOSE({1,2,3,4},KMB!X352,KMB!AD352,KMB!AJ352,KMB!AP352)))</f>
        <v>0</v>
      </c>
      <c r="G352">
        <f>SUMPRODUCT((MONTH(CHOOSE({1,2,3,4},KMB!U352,KMB!AA352,KMB!AG352,KMB!AM352))=7)*(CHOOSE({1,2,3,4},KMB!X352,KMB!AD352,KMB!AJ352,KMB!AP352)))</f>
        <v>0</v>
      </c>
      <c r="H352">
        <f>SUMPRODUCT((MONTH(CHOOSE({1,2,3,4},KMB!U352,KMB!AA352,KMB!AG352,KMB!AM352))=8)*(CHOOSE({1,2,3,4},KMB!X352,KMB!AD352,KMB!AJ352,KMB!AP352)))</f>
        <v>0</v>
      </c>
      <c r="I352">
        <f>SUMPRODUCT((MONTH(CHOOSE({1,2,3,4},KMB!U352,KMB!AA352,KMB!AG352,KMB!AM352))=9)*(CHOOSE({1,2,3,4},KMB!X352,KMB!AD352,KMB!AJ352,KMB!AP352)))</f>
        <v>0</v>
      </c>
      <c r="J352">
        <f>SUMPRODUCT((MONTH(CHOOSE({1,2,3,4},KMB!U352,KMB!AA352,KMB!AG352,KMB!AM352))=10)*(CHOOSE({1,2,3,4},KMB!X352,KMB!AD352,KMB!AJ352,KMB!AP352)))</f>
        <v>0</v>
      </c>
      <c r="K352">
        <f>SUMPRODUCT((MONTH(CHOOSE({1,2,3,4},KMB!U352,KMB!AA352,KMB!AG352,KMB!AM352))=11)*(CHOOSE({1,2,3,4},KMB!X352,KMB!AD352,KMB!AJ352,KMB!AP352)))</f>
        <v>0</v>
      </c>
      <c r="L352">
        <f>SUMPRODUCT((MONTH(CHOOSE({1,2,3,4},KMB!U352,KMB!AA352,KMB!AG352,KMB!AM352))=12)*(CHOOSE({1,2,3,4},KMB!X352,KMB!AD352,KMB!AJ352,KMB!AP352)))</f>
        <v>0</v>
      </c>
    </row>
    <row r="353" spans="1:12">
      <c r="A353">
        <f>SUMPRODUCT((MONTH(CHOOSE({1,2,3,4},KMB!U353,KMB!AA353,KMB!AG353,KMB!AM353))=1)*(CHOOSE({1,2,3,4},KMB!X353,KMB!AD353,KMB!AJ353,KMB!AP353)))</f>
        <v>0</v>
      </c>
      <c r="B353">
        <f>SUMPRODUCT((MONTH(CHOOSE({1,2,3,4},KMB!U353,KMB!AA353,KMB!AG353,KMB!AM353))=2)*(CHOOSE({1,2,3,4},KMB!X353,KMB!AD353,KMB!AJ353,KMB!AP353)))</f>
        <v>0</v>
      </c>
      <c r="C353">
        <f>SUMPRODUCT((MONTH(CHOOSE({1,2,3,4},KMB!U353,KMB!AA353,KMB!AG353,KMB!AM353))=3)*(CHOOSE({1,2,3,4},KMB!X353,KMB!AD353,KMB!AJ353,KMB!AP353)))</f>
        <v>0</v>
      </c>
      <c r="D353">
        <f>SUMPRODUCT((MONTH(CHOOSE({1,2,3,4},KMB!U353,KMB!AA353,KMB!AG353,KMB!AM353))=4)*(CHOOSE({1,2,3,4},KMB!X353,KMB!AD353,KMB!AJ353,KMB!AP353)))</f>
        <v>0</v>
      </c>
      <c r="E353">
        <f>SUMPRODUCT((MONTH(CHOOSE({1,2,3,4},KMB!U353,KMB!AA353,KMB!AG353,KMB!AM353))=5)*(CHOOSE({1,2,3,4},KMB!X353,KMB!AD353,KMB!AJ353,KMB!AP353)))</f>
        <v>0</v>
      </c>
      <c r="F353">
        <f>SUMPRODUCT((MONTH(CHOOSE({1,2,3,4},KMB!U353,KMB!AA353,KMB!AG353,KMB!AM353))=6)*(CHOOSE({1,2,3,4},KMB!X353,KMB!AD353,KMB!AJ353,KMB!AP353)))</f>
        <v>0</v>
      </c>
      <c r="G353">
        <f>SUMPRODUCT((MONTH(CHOOSE({1,2,3,4},KMB!U353,KMB!AA353,KMB!AG353,KMB!AM353))=7)*(CHOOSE({1,2,3,4},KMB!X353,KMB!AD353,KMB!AJ353,KMB!AP353)))</f>
        <v>0</v>
      </c>
      <c r="H353">
        <f>SUMPRODUCT((MONTH(CHOOSE({1,2,3,4},KMB!U353,KMB!AA353,KMB!AG353,KMB!AM353))=8)*(CHOOSE({1,2,3,4},KMB!X353,KMB!AD353,KMB!AJ353,KMB!AP353)))</f>
        <v>0</v>
      </c>
      <c r="I353">
        <f>SUMPRODUCT((MONTH(CHOOSE({1,2,3,4},KMB!U353,KMB!AA353,KMB!AG353,KMB!AM353))=9)*(CHOOSE({1,2,3,4},KMB!X353,KMB!AD353,KMB!AJ353,KMB!AP353)))</f>
        <v>0</v>
      </c>
      <c r="J353">
        <f>SUMPRODUCT((MONTH(CHOOSE({1,2,3,4},KMB!U353,KMB!AA353,KMB!AG353,KMB!AM353))=10)*(CHOOSE({1,2,3,4},KMB!X353,KMB!AD353,KMB!AJ353,KMB!AP353)))</f>
        <v>0</v>
      </c>
      <c r="K353">
        <f>SUMPRODUCT((MONTH(CHOOSE({1,2,3,4},KMB!U353,KMB!AA353,KMB!AG353,KMB!AM353))=11)*(CHOOSE({1,2,3,4},KMB!X353,KMB!AD353,KMB!AJ353,KMB!AP353)))</f>
        <v>0</v>
      </c>
      <c r="L353">
        <f>SUMPRODUCT((MONTH(CHOOSE({1,2,3,4},KMB!U353,KMB!AA353,KMB!AG353,KMB!AM353))=12)*(CHOOSE({1,2,3,4},KMB!X353,KMB!AD353,KMB!AJ353,KMB!AP353)))</f>
        <v>0</v>
      </c>
    </row>
    <row r="354" spans="1:12">
      <c r="A354">
        <f>SUMPRODUCT((MONTH(CHOOSE({1,2,3,4},KMB!U354,KMB!AA354,KMB!AG354,KMB!AM354))=1)*(CHOOSE({1,2,3,4},KMB!X354,KMB!AD354,KMB!AJ354,KMB!AP354)))</f>
        <v>0</v>
      </c>
      <c r="B354">
        <f>SUMPRODUCT((MONTH(CHOOSE({1,2,3,4},KMB!U354,KMB!AA354,KMB!AG354,KMB!AM354))=2)*(CHOOSE({1,2,3,4},KMB!X354,KMB!AD354,KMB!AJ354,KMB!AP354)))</f>
        <v>0</v>
      </c>
      <c r="C354">
        <f>SUMPRODUCT((MONTH(CHOOSE({1,2,3,4},KMB!U354,KMB!AA354,KMB!AG354,KMB!AM354))=3)*(CHOOSE({1,2,3,4},KMB!X354,KMB!AD354,KMB!AJ354,KMB!AP354)))</f>
        <v>0</v>
      </c>
      <c r="D354">
        <f>SUMPRODUCT((MONTH(CHOOSE({1,2,3,4},KMB!U354,KMB!AA354,KMB!AG354,KMB!AM354))=4)*(CHOOSE({1,2,3,4},KMB!X354,KMB!AD354,KMB!AJ354,KMB!AP354)))</f>
        <v>0</v>
      </c>
      <c r="E354">
        <f>SUMPRODUCT((MONTH(CHOOSE({1,2,3,4},KMB!U354,KMB!AA354,KMB!AG354,KMB!AM354))=5)*(CHOOSE({1,2,3,4},KMB!X354,KMB!AD354,KMB!AJ354,KMB!AP354)))</f>
        <v>0</v>
      </c>
      <c r="F354">
        <f>SUMPRODUCT((MONTH(CHOOSE({1,2,3,4},KMB!U354,KMB!AA354,KMB!AG354,KMB!AM354))=6)*(CHOOSE({1,2,3,4},KMB!X354,KMB!AD354,KMB!AJ354,KMB!AP354)))</f>
        <v>0</v>
      </c>
      <c r="G354">
        <f>SUMPRODUCT((MONTH(CHOOSE({1,2,3,4},KMB!U354,KMB!AA354,KMB!AG354,KMB!AM354))=7)*(CHOOSE({1,2,3,4},KMB!X354,KMB!AD354,KMB!AJ354,KMB!AP354)))</f>
        <v>0</v>
      </c>
      <c r="H354">
        <f>SUMPRODUCT((MONTH(CHOOSE({1,2,3,4},KMB!U354,KMB!AA354,KMB!AG354,KMB!AM354))=8)*(CHOOSE({1,2,3,4},KMB!X354,KMB!AD354,KMB!AJ354,KMB!AP354)))</f>
        <v>0</v>
      </c>
      <c r="I354">
        <f>SUMPRODUCT((MONTH(CHOOSE({1,2,3,4},KMB!U354,KMB!AA354,KMB!AG354,KMB!AM354))=9)*(CHOOSE({1,2,3,4},KMB!X354,KMB!AD354,KMB!AJ354,KMB!AP354)))</f>
        <v>0</v>
      </c>
      <c r="J354">
        <f>SUMPRODUCT((MONTH(CHOOSE({1,2,3,4},KMB!U354,KMB!AA354,KMB!AG354,KMB!AM354))=10)*(CHOOSE({1,2,3,4},KMB!X354,KMB!AD354,KMB!AJ354,KMB!AP354)))</f>
        <v>0</v>
      </c>
      <c r="K354">
        <f>SUMPRODUCT((MONTH(CHOOSE({1,2,3,4},KMB!U354,KMB!AA354,KMB!AG354,KMB!AM354))=11)*(CHOOSE({1,2,3,4},KMB!X354,KMB!AD354,KMB!AJ354,KMB!AP354)))</f>
        <v>0</v>
      </c>
      <c r="L354">
        <f>SUMPRODUCT((MONTH(CHOOSE({1,2,3,4},KMB!U354,KMB!AA354,KMB!AG354,KMB!AM354))=12)*(CHOOSE({1,2,3,4},KMB!X354,KMB!AD354,KMB!AJ354,KMB!AP354)))</f>
        <v>0</v>
      </c>
    </row>
    <row r="355" spans="1:12">
      <c r="A355">
        <f>SUMPRODUCT((MONTH(CHOOSE({1,2,3,4},KMB!U355,KMB!AA355,KMB!AG355,KMB!AM355))=1)*(CHOOSE({1,2,3,4},KMB!X355,KMB!AD355,KMB!AJ355,KMB!AP355)))</f>
        <v>0</v>
      </c>
      <c r="B355">
        <f>SUMPRODUCT((MONTH(CHOOSE({1,2,3,4},KMB!U355,KMB!AA355,KMB!AG355,KMB!AM355))=2)*(CHOOSE({1,2,3,4},KMB!X355,KMB!AD355,KMB!AJ355,KMB!AP355)))</f>
        <v>0</v>
      </c>
      <c r="C355">
        <f>SUMPRODUCT((MONTH(CHOOSE({1,2,3,4},KMB!U355,KMB!AA355,KMB!AG355,KMB!AM355))=3)*(CHOOSE({1,2,3,4},KMB!X355,KMB!AD355,KMB!AJ355,KMB!AP355)))</f>
        <v>0</v>
      </c>
      <c r="D355">
        <f>SUMPRODUCT((MONTH(CHOOSE({1,2,3,4},KMB!U355,KMB!AA355,KMB!AG355,KMB!AM355))=4)*(CHOOSE({1,2,3,4},KMB!X355,KMB!AD355,KMB!AJ355,KMB!AP355)))</f>
        <v>0</v>
      </c>
      <c r="E355">
        <f>SUMPRODUCT((MONTH(CHOOSE({1,2,3,4},KMB!U355,KMB!AA355,KMB!AG355,KMB!AM355))=5)*(CHOOSE({1,2,3,4},KMB!X355,KMB!AD355,KMB!AJ355,KMB!AP355)))</f>
        <v>0</v>
      </c>
      <c r="F355">
        <f>SUMPRODUCT((MONTH(CHOOSE({1,2,3,4},KMB!U355,KMB!AA355,KMB!AG355,KMB!AM355))=6)*(CHOOSE({1,2,3,4},KMB!X355,KMB!AD355,KMB!AJ355,KMB!AP355)))</f>
        <v>0</v>
      </c>
      <c r="G355">
        <f>SUMPRODUCT((MONTH(CHOOSE({1,2,3,4},KMB!U355,KMB!AA355,KMB!AG355,KMB!AM355))=7)*(CHOOSE({1,2,3,4},KMB!X355,KMB!AD355,KMB!AJ355,KMB!AP355)))</f>
        <v>0</v>
      </c>
      <c r="H355">
        <f>SUMPRODUCT((MONTH(CHOOSE({1,2,3,4},KMB!U355,KMB!AA355,KMB!AG355,KMB!AM355))=8)*(CHOOSE({1,2,3,4},KMB!X355,KMB!AD355,KMB!AJ355,KMB!AP355)))</f>
        <v>0</v>
      </c>
      <c r="I355">
        <f>SUMPRODUCT((MONTH(CHOOSE({1,2,3,4},KMB!U355,KMB!AA355,KMB!AG355,KMB!AM355))=9)*(CHOOSE({1,2,3,4},KMB!X355,KMB!AD355,KMB!AJ355,KMB!AP355)))</f>
        <v>0</v>
      </c>
      <c r="J355">
        <f>SUMPRODUCT((MONTH(CHOOSE({1,2,3,4},KMB!U355,KMB!AA355,KMB!AG355,KMB!AM355))=10)*(CHOOSE({1,2,3,4},KMB!X355,KMB!AD355,KMB!AJ355,KMB!AP355)))</f>
        <v>0</v>
      </c>
      <c r="K355">
        <f>SUMPRODUCT((MONTH(CHOOSE({1,2,3,4},KMB!U355,KMB!AA355,KMB!AG355,KMB!AM355))=11)*(CHOOSE({1,2,3,4},KMB!X355,KMB!AD355,KMB!AJ355,KMB!AP355)))</f>
        <v>0</v>
      </c>
      <c r="L355">
        <f>SUMPRODUCT((MONTH(CHOOSE({1,2,3,4},KMB!U355,KMB!AA355,KMB!AG355,KMB!AM355))=12)*(CHOOSE({1,2,3,4},KMB!X355,KMB!AD355,KMB!AJ355,KMB!AP355)))</f>
        <v>0</v>
      </c>
    </row>
    <row r="356" spans="1:12">
      <c r="A356">
        <f>SUMPRODUCT((MONTH(CHOOSE({1,2,3,4},KMB!U356,KMB!AA356,KMB!AG356,KMB!AM356))=1)*(CHOOSE({1,2,3,4},KMB!X356,KMB!AD356,KMB!AJ356,KMB!AP356)))</f>
        <v>0</v>
      </c>
      <c r="B356">
        <f>SUMPRODUCT((MONTH(CHOOSE({1,2,3,4},KMB!U356,KMB!AA356,KMB!AG356,KMB!AM356))=2)*(CHOOSE({1,2,3,4},KMB!X356,KMB!AD356,KMB!AJ356,KMB!AP356)))</f>
        <v>0</v>
      </c>
      <c r="C356">
        <f>SUMPRODUCT((MONTH(CHOOSE({1,2,3,4},KMB!U356,KMB!AA356,KMB!AG356,KMB!AM356))=3)*(CHOOSE({1,2,3,4},KMB!X356,KMB!AD356,KMB!AJ356,KMB!AP356)))</f>
        <v>0</v>
      </c>
      <c r="D356">
        <f>SUMPRODUCT((MONTH(CHOOSE({1,2,3,4},KMB!U356,KMB!AA356,KMB!AG356,KMB!AM356))=4)*(CHOOSE({1,2,3,4},KMB!X356,KMB!AD356,KMB!AJ356,KMB!AP356)))</f>
        <v>0</v>
      </c>
      <c r="E356">
        <f>SUMPRODUCT((MONTH(CHOOSE({1,2,3,4},KMB!U356,KMB!AA356,KMB!AG356,KMB!AM356))=5)*(CHOOSE({1,2,3,4},KMB!X356,KMB!AD356,KMB!AJ356,KMB!AP356)))</f>
        <v>0</v>
      </c>
      <c r="F356">
        <f>SUMPRODUCT((MONTH(CHOOSE({1,2,3,4},KMB!U356,KMB!AA356,KMB!AG356,KMB!AM356))=6)*(CHOOSE({1,2,3,4},KMB!X356,KMB!AD356,KMB!AJ356,KMB!AP356)))</f>
        <v>0</v>
      </c>
      <c r="G356">
        <f>SUMPRODUCT((MONTH(CHOOSE({1,2,3,4},KMB!U356,KMB!AA356,KMB!AG356,KMB!AM356))=7)*(CHOOSE({1,2,3,4},KMB!X356,KMB!AD356,KMB!AJ356,KMB!AP356)))</f>
        <v>0</v>
      </c>
      <c r="H356">
        <f>SUMPRODUCT((MONTH(CHOOSE({1,2,3,4},KMB!U356,KMB!AA356,KMB!AG356,KMB!AM356))=8)*(CHOOSE({1,2,3,4},KMB!X356,KMB!AD356,KMB!AJ356,KMB!AP356)))</f>
        <v>0</v>
      </c>
      <c r="I356">
        <f>SUMPRODUCT((MONTH(CHOOSE({1,2,3,4},KMB!U356,KMB!AA356,KMB!AG356,KMB!AM356))=9)*(CHOOSE({1,2,3,4},KMB!X356,KMB!AD356,KMB!AJ356,KMB!AP356)))</f>
        <v>0</v>
      </c>
      <c r="J356">
        <f>SUMPRODUCT((MONTH(CHOOSE({1,2,3,4},KMB!U356,KMB!AA356,KMB!AG356,KMB!AM356))=10)*(CHOOSE({1,2,3,4},KMB!X356,KMB!AD356,KMB!AJ356,KMB!AP356)))</f>
        <v>0</v>
      </c>
      <c r="K356">
        <f>SUMPRODUCT((MONTH(CHOOSE({1,2,3,4},KMB!U356,KMB!AA356,KMB!AG356,KMB!AM356))=11)*(CHOOSE({1,2,3,4},KMB!X356,KMB!AD356,KMB!AJ356,KMB!AP356)))</f>
        <v>0</v>
      </c>
      <c r="L356">
        <f>SUMPRODUCT((MONTH(CHOOSE({1,2,3,4},KMB!U356,KMB!AA356,KMB!AG356,KMB!AM356))=12)*(CHOOSE({1,2,3,4},KMB!X356,KMB!AD356,KMB!AJ356,KMB!AP356)))</f>
        <v>0</v>
      </c>
    </row>
    <row r="357" spans="1:12">
      <c r="A357">
        <f>SUMPRODUCT((MONTH(CHOOSE({1,2,3,4},KMB!U357,KMB!AA357,KMB!AG357,KMB!AM357))=1)*(CHOOSE({1,2,3,4},KMB!X357,KMB!AD357,KMB!AJ357,KMB!AP357)))</f>
        <v>0</v>
      </c>
      <c r="B357">
        <f>SUMPRODUCT((MONTH(CHOOSE({1,2,3,4},KMB!U357,KMB!AA357,KMB!AG357,KMB!AM357))=2)*(CHOOSE({1,2,3,4},KMB!X357,KMB!AD357,KMB!AJ357,KMB!AP357)))</f>
        <v>0</v>
      </c>
      <c r="C357">
        <f>SUMPRODUCT((MONTH(CHOOSE({1,2,3,4},KMB!U357,KMB!AA357,KMB!AG357,KMB!AM357))=3)*(CHOOSE({1,2,3,4},KMB!X357,KMB!AD357,KMB!AJ357,KMB!AP357)))</f>
        <v>0</v>
      </c>
      <c r="D357">
        <f>SUMPRODUCT((MONTH(CHOOSE({1,2,3,4},KMB!U357,KMB!AA357,KMB!AG357,KMB!AM357))=4)*(CHOOSE({1,2,3,4},KMB!X357,KMB!AD357,KMB!AJ357,KMB!AP357)))</f>
        <v>0</v>
      </c>
      <c r="E357">
        <f>SUMPRODUCT((MONTH(CHOOSE({1,2,3,4},KMB!U357,KMB!AA357,KMB!AG357,KMB!AM357))=5)*(CHOOSE({1,2,3,4},KMB!X357,KMB!AD357,KMB!AJ357,KMB!AP357)))</f>
        <v>0</v>
      </c>
      <c r="F357">
        <f>SUMPRODUCT((MONTH(CHOOSE({1,2,3,4},KMB!U357,KMB!AA357,KMB!AG357,KMB!AM357))=6)*(CHOOSE({1,2,3,4},KMB!X357,KMB!AD357,KMB!AJ357,KMB!AP357)))</f>
        <v>0</v>
      </c>
      <c r="G357">
        <f>SUMPRODUCT((MONTH(CHOOSE({1,2,3,4},KMB!U357,KMB!AA357,KMB!AG357,KMB!AM357))=7)*(CHOOSE({1,2,3,4},KMB!X357,KMB!AD357,KMB!AJ357,KMB!AP357)))</f>
        <v>0</v>
      </c>
      <c r="H357">
        <f>SUMPRODUCT((MONTH(CHOOSE({1,2,3,4},KMB!U357,KMB!AA357,KMB!AG357,KMB!AM357))=8)*(CHOOSE({1,2,3,4},KMB!X357,KMB!AD357,KMB!AJ357,KMB!AP357)))</f>
        <v>0</v>
      </c>
      <c r="I357">
        <f>SUMPRODUCT((MONTH(CHOOSE({1,2,3,4},KMB!U357,KMB!AA357,KMB!AG357,KMB!AM357))=9)*(CHOOSE({1,2,3,4},KMB!X357,KMB!AD357,KMB!AJ357,KMB!AP357)))</f>
        <v>0</v>
      </c>
      <c r="J357">
        <f>SUMPRODUCT((MONTH(CHOOSE({1,2,3,4},KMB!U357,KMB!AA357,KMB!AG357,KMB!AM357))=10)*(CHOOSE({1,2,3,4},KMB!X357,KMB!AD357,KMB!AJ357,KMB!AP357)))</f>
        <v>0</v>
      </c>
      <c r="K357">
        <f>SUMPRODUCT((MONTH(CHOOSE({1,2,3,4},KMB!U357,KMB!AA357,KMB!AG357,KMB!AM357))=11)*(CHOOSE({1,2,3,4},KMB!X357,KMB!AD357,KMB!AJ357,KMB!AP357)))</f>
        <v>0</v>
      </c>
      <c r="L357">
        <f>SUMPRODUCT((MONTH(CHOOSE({1,2,3,4},KMB!U357,KMB!AA357,KMB!AG357,KMB!AM357))=12)*(CHOOSE({1,2,3,4},KMB!X357,KMB!AD357,KMB!AJ357,KMB!AP357)))</f>
        <v>0</v>
      </c>
    </row>
    <row r="358" spans="1:12">
      <c r="A358">
        <f>SUMPRODUCT((MONTH(CHOOSE({1,2,3,4},KMB!U358,KMB!AA358,KMB!AG358,KMB!AM358))=1)*(CHOOSE({1,2,3,4},KMB!X358,KMB!AD358,KMB!AJ358,KMB!AP358)))</f>
        <v>0</v>
      </c>
      <c r="B358">
        <f>SUMPRODUCT((MONTH(CHOOSE({1,2,3,4},KMB!U358,KMB!AA358,KMB!AG358,KMB!AM358))=2)*(CHOOSE({1,2,3,4},KMB!X358,KMB!AD358,KMB!AJ358,KMB!AP358)))</f>
        <v>0</v>
      </c>
      <c r="C358">
        <f>SUMPRODUCT((MONTH(CHOOSE({1,2,3,4},KMB!U358,KMB!AA358,KMB!AG358,KMB!AM358))=3)*(CHOOSE({1,2,3,4},KMB!X358,KMB!AD358,KMB!AJ358,KMB!AP358)))</f>
        <v>0</v>
      </c>
      <c r="D358">
        <f>SUMPRODUCT((MONTH(CHOOSE({1,2,3,4},KMB!U358,KMB!AA358,KMB!AG358,KMB!AM358))=4)*(CHOOSE({1,2,3,4},KMB!X358,KMB!AD358,KMB!AJ358,KMB!AP358)))</f>
        <v>0</v>
      </c>
      <c r="E358">
        <f>SUMPRODUCT((MONTH(CHOOSE({1,2,3,4},KMB!U358,KMB!AA358,KMB!AG358,KMB!AM358))=5)*(CHOOSE({1,2,3,4},KMB!X358,KMB!AD358,KMB!AJ358,KMB!AP358)))</f>
        <v>0</v>
      </c>
      <c r="F358">
        <f>SUMPRODUCT((MONTH(CHOOSE({1,2,3,4},KMB!U358,KMB!AA358,KMB!AG358,KMB!AM358))=6)*(CHOOSE({1,2,3,4},KMB!X358,KMB!AD358,KMB!AJ358,KMB!AP358)))</f>
        <v>0</v>
      </c>
      <c r="G358">
        <f>SUMPRODUCT((MONTH(CHOOSE({1,2,3,4},KMB!U358,KMB!AA358,KMB!AG358,KMB!AM358))=7)*(CHOOSE({1,2,3,4},KMB!X358,KMB!AD358,KMB!AJ358,KMB!AP358)))</f>
        <v>0</v>
      </c>
      <c r="H358">
        <f>SUMPRODUCT((MONTH(CHOOSE({1,2,3,4},KMB!U358,KMB!AA358,KMB!AG358,KMB!AM358))=8)*(CHOOSE({1,2,3,4},KMB!X358,KMB!AD358,KMB!AJ358,KMB!AP358)))</f>
        <v>0</v>
      </c>
      <c r="I358">
        <f>SUMPRODUCT((MONTH(CHOOSE({1,2,3,4},KMB!U358,KMB!AA358,KMB!AG358,KMB!AM358))=9)*(CHOOSE({1,2,3,4},KMB!X358,KMB!AD358,KMB!AJ358,KMB!AP358)))</f>
        <v>0</v>
      </c>
      <c r="J358">
        <f>SUMPRODUCT((MONTH(CHOOSE({1,2,3,4},KMB!U358,KMB!AA358,KMB!AG358,KMB!AM358))=10)*(CHOOSE({1,2,3,4},KMB!X358,KMB!AD358,KMB!AJ358,KMB!AP358)))</f>
        <v>0</v>
      </c>
      <c r="K358">
        <f>SUMPRODUCT((MONTH(CHOOSE({1,2,3,4},KMB!U358,KMB!AA358,KMB!AG358,KMB!AM358))=11)*(CHOOSE({1,2,3,4},KMB!X358,KMB!AD358,KMB!AJ358,KMB!AP358)))</f>
        <v>0</v>
      </c>
      <c r="L358">
        <f>SUMPRODUCT((MONTH(CHOOSE({1,2,3,4},KMB!U358,KMB!AA358,KMB!AG358,KMB!AM358))=12)*(CHOOSE({1,2,3,4},KMB!X358,KMB!AD358,KMB!AJ358,KMB!AP358)))</f>
        <v>0</v>
      </c>
    </row>
    <row r="359" spans="1:12">
      <c r="A359">
        <f>SUMPRODUCT((MONTH(CHOOSE({1,2,3,4},KMB!U359,KMB!AA359,KMB!AG359,KMB!AM359))=1)*(CHOOSE({1,2,3,4},KMB!X359,KMB!AD359,KMB!AJ359,KMB!AP359)))</f>
        <v>0</v>
      </c>
      <c r="B359">
        <f>SUMPRODUCT((MONTH(CHOOSE({1,2,3,4},KMB!U359,KMB!AA359,KMB!AG359,KMB!AM359))=2)*(CHOOSE({1,2,3,4},KMB!X359,KMB!AD359,KMB!AJ359,KMB!AP359)))</f>
        <v>0</v>
      </c>
      <c r="C359">
        <f>SUMPRODUCT((MONTH(CHOOSE({1,2,3,4},KMB!U359,KMB!AA359,KMB!AG359,KMB!AM359))=3)*(CHOOSE({1,2,3,4},KMB!X359,KMB!AD359,KMB!AJ359,KMB!AP359)))</f>
        <v>0</v>
      </c>
      <c r="D359">
        <f>SUMPRODUCT((MONTH(CHOOSE({1,2,3,4},KMB!U359,KMB!AA359,KMB!AG359,KMB!AM359))=4)*(CHOOSE({1,2,3,4},KMB!X359,KMB!AD359,KMB!AJ359,KMB!AP359)))</f>
        <v>0</v>
      </c>
      <c r="E359">
        <f>SUMPRODUCT((MONTH(CHOOSE({1,2,3,4},KMB!U359,KMB!AA359,KMB!AG359,KMB!AM359))=5)*(CHOOSE({1,2,3,4},KMB!X359,KMB!AD359,KMB!AJ359,KMB!AP359)))</f>
        <v>0</v>
      </c>
      <c r="F359">
        <f>SUMPRODUCT((MONTH(CHOOSE({1,2,3,4},KMB!U359,KMB!AA359,KMB!AG359,KMB!AM359))=6)*(CHOOSE({1,2,3,4},KMB!X359,KMB!AD359,KMB!AJ359,KMB!AP359)))</f>
        <v>0</v>
      </c>
      <c r="G359">
        <f>SUMPRODUCT((MONTH(CHOOSE({1,2,3,4},KMB!U359,KMB!AA359,KMB!AG359,KMB!AM359))=7)*(CHOOSE({1,2,3,4},KMB!X359,KMB!AD359,KMB!AJ359,KMB!AP359)))</f>
        <v>0</v>
      </c>
      <c r="H359">
        <f>SUMPRODUCT((MONTH(CHOOSE({1,2,3,4},KMB!U359,KMB!AA359,KMB!AG359,KMB!AM359))=8)*(CHOOSE({1,2,3,4},KMB!X359,KMB!AD359,KMB!AJ359,KMB!AP359)))</f>
        <v>0</v>
      </c>
      <c r="I359">
        <f>SUMPRODUCT((MONTH(CHOOSE({1,2,3,4},KMB!U359,KMB!AA359,KMB!AG359,KMB!AM359))=9)*(CHOOSE({1,2,3,4},KMB!X359,KMB!AD359,KMB!AJ359,KMB!AP359)))</f>
        <v>0</v>
      </c>
      <c r="J359">
        <f>SUMPRODUCT((MONTH(CHOOSE({1,2,3,4},KMB!U359,KMB!AA359,KMB!AG359,KMB!AM359))=10)*(CHOOSE({1,2,3,4},KMB!X359,KMB!AD359,KMB!AJ359,KMB!AP359)))</f>
        <v>0</v>
      </c>
      <c r="K359">
        <f>SUMPRODUCT((MONTH(CHOOSE({1,2,3,4},KMB!U359,KMB!AA359,KMB!AG359,KMB!AM359))=11)*(CHOOSE({1,2,3,4},KMB!X359,KMB!AD359,KMB!AJ359,KMB!AP359)))</f>
        <v>0</v>
      </c>
      <c r="L359">
        <f>SUMPRODUCT((MONTH(CHOOSE({1,2,3,4},KMB!U359,KMB!AA359,KMB!AG359,KMB!AM359))=12)*(CHOOSE({1,2,3,4},KMB!X359,KMB!AD359,KMB!AJ359,KMB!AP359)))</f>
        <v>0</v>
      </c>
    </row>
    <row r="360" spans="1:12">
      <c r="A360">
        <f>SUMPRODUCT((MONTH(CHOOSE({1,2,3,4},KMB!U360,KMB!AA360,KMB!AG360,KMB!AM360))=1)*(CHOOSE({1,2,3,4},KMB!X360,KMB!AD360,KMB!AJ360,KMB!AP360)))</f>
        <v>0</v>
      </c>
      <c r="B360">
        <f>SUMPRODUCT((MONTH(CHOOSE({1,2,3,4},KMB!U360,KMB!AA360,KMB!AG360,KMB!AM360))=2)*(CHOOSE({1,2,3,4},KMB!X360,KMB!AD360,KMB!AJ360,KMB!AP360)))</f>
        <v>0</v>
      </c>
      <c r="C360">
        <f>SUMPRODUCT((MONTH(CHOOSE({1,2,3,4},KMB!U360,KMB!AA360,KMB!AG360,KMB!AM360))=3)*(CHOOSE({1,2,3,4},KMB!X360,KMB!AD360,KMB!AJ360,KMB!AP360)))</f>
        <v>0</v>
      </c>
      <c r="D360">
        <f>SUMPRODUCT((MONTH(CHOOSE({1,2,3,4},KMB!U360,KMB!AA360,KMB!AG360,KMB!AM360))=4)*(CHOOSE({1,2,3,4},KMB!X360,KMB!AD360,KMB!AJ360,KMB!AP360)))</f>
        <v>0</v>
      </c>
      <c r="E360">
        <f>SUMPRODUCT((MONTH(CHOOSE({1,2,3,4},KMB!U360,KMB!AA360,KMB!AG360,KMB!AM360))=5)*(CHOOSE({1,2,3,4},KMB!X360,KMB!AD360,KMB!AJ360,KMB!AP360)))</f>
        <v>0</v>
      </c>
      <c r="F360">
        <f>SUMPRODUCT((MONTH(CHOOSE({1,2,3,4},KMB!U360,KMB!AA360,KMB!AG360,KMB!AM360))=6)*(CHOOSE({1,2,3,4},KMB!X360,KMB!AD360,KMB!AJ360,KMB!AP360)))</f>
        <v>0</v>
      </c>
      <c r="G360">
        <f>SUMPRODUCT((MONTH(CHOOSE({1,2,3,4},KMB!U360,KMB!AA360,KMB!AG360,KMB!AM360))=7)*(CHOOSE({1,2,3,4},KMB!X360,KMB!AD360,KMB!AJ360,KMB!AP360)))</f>
        <v>0</v>
      </c>
      <c r="H360">
        <f>SUMPRODUCT((MONTH(CHOOSE({1,2,3,4},KMB!U360,KMB!AA360,KMB!AG360,KMB!AM360))=8)*(CHOOSE({1,2,3,4},KMB!X360,KMB!AD360,KMB!AJ360,KMB!AP360)))</f>
        <v>0</v>
      </c>
      <c r="I360">
        <f>SUMPRODUCT((MONTH(CHOOSE({1,2,3,4},KMB!U360,KMB!AA360,KMB!AG360,KMB!AM360))=9)*(CHOOSE({1,2,3,4},KMB!X360,KMB!AD360,KMB!AJ360,KMB!AP360)))</f>
        <v>0</v>
      </c>
      <c r="J360">
        <f>SUMPRODUCT((MONTH(CHOOSE({1,2,3,4},KMB!U360,KMB!AA360,KMB!AG360,KMB!AM360))=10)*(CHOOSE({1,2,3,4},KMB!X360,KMB!AD360,KMB!AJ360,KMB!AP360)))</f>
        <v>0</v>
      </c>
      <c r="K360">
        <f>SUMPRODUCT((MONTH(CHOOSE({1,2,3,4},KMB!U360,KMB!AA360,KMB!AG360,KMB!AM360))=11)*(CHOOSE({1,2,3,4},KMB!X360,KMB!AD360,KMB!AJ360,KMB!AP360)))</f>
        <v>0</v>
      </c>
      <c r="L360">
        <f>SUMPRODUCT((MONTH(CHOOSE({1,2,3,4},KMB!U360,KMB!AA360,KMB!AG360,KMB!AM360))=12)*(CHOOSE({1,2,3,4},KMB!X360,KMB!AD360,KMB!AJ360,KMB!AP360)))</f>
        <v>0</v>
      </c>
    </row>
    <row r="361" spans="1:12">
      <c r="A361">
        <f>SUMPRODUCT((MONTH(CHOOSE({1,2,3,4},KMB!U361,KMB!AA361,KMB!AG361,KMB!AM361))=1)*(CHOOSE({1,2,3,4},KMB!X361,KMB!AD361,KMB!AJ361,KMB!AP361)))</f>
        <v>0</v>
      </c>
      <c r="B361">
        <f>SUMPRODUCT((MONTH(CHOOSE({1,2,3,4},KMB!U361,KMB!AA361,KMB!AG361,KMB!AM361))=2)*(CHOOSE({1,2,3,4},KMB!X361,KMB!AD361,KMB!AJ361,KMB!AP361)))</f>
        <v>0</v>
      </c>
      <c r="C361">
        <f>SUMPRODUCT((MONTH(CHOOSE({1,2,3,4},KMB!U361,KMB!AA361,KMB!AG361,KMB!AM361))=3)*(CHOOSE({1,2,3,4},KMB!X361,KMB!AD361,KMB!AJ361,KMB!AP361)))</f>
        <v>0</v>
      </c>
      <c r="D361">
        <f>SUMPRODUCT((MONTH(CHOOSE({1,2,3,4},KMB!U361,KMB!AA361,KMB!AG361,KMB!AM361))=4)*(CHOOSE({1,2,3,4},KMB!X361,KMB!AD361,KMB!AJ361,KMB!AP361)))</f>
        <v>0</v>
      </c>
      <c r="E361">
        <f>SUMPRODUCT((MONTH(CHOOSE({1,2,3,4},KMB!U361,KMB!AA361,KMB!AG361,KMB!AM361))=5)*(CHOOSE({1,2,3,4},KMB!X361,KMB!AD361,KMB!AJ361,KMB!AP361)))</f>
        <v>0</v>
      </c>
      <c r="F361">
        <f>SUMPRODUCT((MONTH(CHOOSE({1,2,3,4},KMB!U361,KMB!AA361,KMB!AG361,KMB!AM361))=6)*(CHOOSE({1,2,3,4},KMB!X361,KMB!AD361,KMB!AJ361,KMB!AP361)))</f>
        <v>0</v>
      </c>
      <c r="G361">
        <f>SUMPRODUCT((MONTH(CHOOSE({1,2,3,4},KMB!U361,KMB!AA361,KMB!AG361,KMB!AM361))=7)*(CHOOSE({1,2,3,4},KMB!X361,KMB!AD361,KMB!AJ361,KMB!AP361)))</f>
        <v>0</v>
      </c>
      <c r="H361">
        <f>SUMPRODUCT((MONTH(CHOOSE({1,2,3,4},KMB!U361,KMB!AA361,KMB!AG361,KMB!AM361))=8)*(CHOOSE({1,2,3,4},KMB!X361,KMB!AD361,KMB!AJ361,KMB!AP361)))</f>
        <v>0</v>
      </c>
      <c r="I361">
        <f>SUMPRODUCT((MONTH(CHOOSE({1,2,3,4},KMB!U361,KMB!AA361,KMB!AG361,KMB!AM361))=9)*(CHOOSE({1,2,3,4},KMB!X361,KMB!AD361,KMB!AJ361,KMB!AP361)))</f>
        <v>0</v>
      </c>
      <c r="J361">
        <f>SUMPRODUCT((MONTH(CHOOSE({1,2,3,4},KMB!U361,KMB!AA361,KMB!AG361,KMB!AM361))=10)*(CHOOSE({1,2,3,4},KMB!X361,KMB!AD361,KMB!AJ361,KMB!AP361)))</f>
        <v>0</v>
      </c>
      <c r="K361">
        <f>SUMPRODUCT((MONTH(CHOOSE({1,2,3,4},KMB!U361,KMB!AA361,KMB!AG361,KMB!AM361))=11)*(CHOOSE({1,2,3,4},KMB!X361,KMB!AD361,KMB!AJ361,KMB!AP361)))</f>
        <v>0</v>
      </c>
      <c r="L361">
        <f>SUMPRODUCT((MONTH(CHOOSE({1,2,3,4},KMB!U361,KMB!AA361,KMB!AG361,KMB!AM361))=12)*(CHOOSE({1,2,3,4},KMB!X361,KMB!AD361,KMB!AJ361,KMB!AP361)))</f>
        <v>0</v>
      </c>
    </row>
    <row r="362" spans="1:12">
      <c r="A362">
        <f>SUMPRODUCT((MONTH(CHOOSE({1,2,3,4},KMB!U362,KMB!AA362,KMB!AG362,KMB!AM362))=1)*(CHOOSE({1,2,3,4},KMB!X362,KMB!AD362,KMB!AJ362,KMB!AP362)))</f>
        <v>0</v>
      </c>
      <c r="B362">
        <f>SUMPRODUCT((MONTH(CHOOSE({1,2,3,4},KMB!U362,KMB!AA362,KMB!AG362,KMB!AM362))=2)*(CHOOSE({1,2,3,4},KMB!X362,KMB!AD362,KMB!AJ362,KMB!AP362)))</f>
        <v>0</v>
      </c>
      <c r="C362">
        <f>SUMPRODUCT((MONTH(CHOOSE({1,2,3,4},KMB!U362,KMB!AA362,KMB!AG362,KMB!AM362))=3)*(CHOOSE({1,2,3,4},KMB!X362,KMB!AD362,KMB!AJ362,KMB!AP362)))</f>
        <v>0</v>
      </c>
      <c r="D362">
        <f>SUMPRODUCT((MONTH(CHOOSE({1,2,3,4},KMB!U362,KMB!AA362,KMB!AG362,KMB!AM362))=4)*(CHOOSE({1,2,3,4},KMB!X362,KMB!AD362,KMB!AJ362,KMB!AP362)))</f>
        <v>0</v>
      </c>
      <c r="E362">
        <f>SUMPRODUCT((MONTH(CHOOSE({1,2,3,4},KMB!U362,KMB!AA362,KMB!AG362,KMB!AM362))=5)*(CHOOSE({1,2,3,4},KMB!X362,KMB!AD362,KMB!AJ362,KMB!AP362)))</f>
        <v>0</v>
      </c>
      <c r="F362">
        <f>SUMPRODUCT((MONTH(CHOOSE({1,2,3,4},KMB!U362,KMB!AA362,KMB!AG362,KMB!AM362))=6)*(CHOOSE({1,2,3,4},KMB!X362,KMB!AD362,KMB!AJ362,KMB!AP362)))</f>
        <v>0</v>
      </c>
      <c r="G362">
        <f>SUMPRODUCT((MONTH(CHOOSE({1,2,3,4},KMB!U362,KMB!AA362,KMB!AG362,KMB!AM362))=7)*(CHOOSE({1,2,3,4},KMB!X362,KMB!AD362,KMB!AJ362,KMB!AP362)))</f>
        <v>0</v>
      </c>
      <c r="H362">
        <f>SUMPRODUCT((MONTH(CHOOSE({1,2,3,4},KMB!U362,KMB!AA362,KMB!AG362,KMB!AM362))=8)*(CHOOSE({1,2,3,4},KMB!X362,KMB!AD362,KMB!AJ362,KMB!AP362)))</f>
        <v>0</v>
      </c>
      <c r="I362">
        <f>SUMPRODUCT((MONTH(CHOOSE({1,2,3,4},KMB!U362,KMB!AA362,KMB!AG362,KMB!AM362))=9)*(CHOOSE({1,2,3,4},KMB!X362,KMB!AD362,KMB!AJ362,KMB!AP362)))</f>
        <v>0</v>
      </c>
      <c r="J362">
        <f>SUMPRODUCT((MONTH(CHOOSE({1,2,3,4},KMB!U362,KMB!AA362,KMB!AG362,KMB!AM362))=10)*(CHOOSE({1,2,3,4},KMB!X362,KMB!AD362,KMB!AJ362,KMB!AP362)))</f>
        <v>0</v>
      </c>
      <c r="K362">
        <f>SUMPRODUCT((MONTH(CHOOSE({1,2,3,4},KMB!U362,KMB!AA362,KMB!AG362,KMB!AM362))=11)*(CHOOSE({1,2,3,4},KMB!X362,KMB!AD362,KMB!AJ362,KMB!AP362)))</f>
        <v>0</v>
      </c>
      <c r="L362">
        <f>SUMPRODUCT((MONTH(CHOOSE({1,2,3,4},KMB!U362,KMB!AA362,KMB!AG362,KMB!AM362))=12)*(CHOOSE({1,2,3,4},KMB!X362,KMB!AD362,KMB!AJ362,KMB!AP362)))</f>
        <v>0</v>
      </c>
    </row>
    <row r="363" spans="1:12">
      <c r="A363">
        <f>SUMPRODUCT((MONTH(CHOOSE({1,2,3,4},KMB!U363,KMB!AA363,KMB!AG363,KMB!AM363))=1)*(CHOOSE({1,2,3,4},KMB!X363,KMB!AD363,KMB!AJ363,KMB!AP363)))</f>
        <v>0</v>
      </c>
      <c r="B363">
        <f>SUMPRODUCT((MONTH(CHOOSE({1,2,3,4},KMB!U363,KMB!AA363,KMB!AG363,KMB!AM363))=2)*(CHOOSE({1,2,3,4},KMB!X363,KMB!AD363,KMB!AJ363,KMB!AP363)))</f>
        <v>0</v>
      </c>
      <c r="C363">
        <f>SUMPRODUCT((MONTH(CHOOSE({1,2,3,4},KMB!U363,KMB!AA363,KMB!AG363,KMB!AM363))=3)*(CHOOSE({1,2,3,4},KMB!X363,KMB!AD363,KMB!AJ363,KMB!AP363)))</f>
        <v>0</v>
      </c>
      <c r="D363">
        <f>SUMPRODUCT((MONTH(CHOOSE({1,2,3,4},KMB!U363,KMB!AA363,KMB!AG363,KMB!AM363))=4)*(CHOOSE({1,2,3,4},KMB!X363,KMB!AD363,KMB!AJ363,KMB!AP363)))</f>
        <v>0</v>
      </c>
      <c r="E363">
        <f>SUMPRODUCT((MONTH(CHOOSE({1,2,3,4},KMB!U363,KMB!AA363,KMB!AG363,KMB!AM363))=5)*(CHOOSE({1,2,3,4},KMB!X363,KMB!AD363,KMB!AJ363,KMB!AP363)))</f>
        <v>0</v>
      </c>
      <c r="F363">
        <f>SUMPRODUCT((MONTH(CHOOSE({1,2,3,4},KMB!U363,KMB!AA363,KMB!AG363,KMB!AM363))=6)*(CHOOSE({1,2,3,4},KMB!X363,KMB!AD363,KMB!AJ363,KMB!AP363)))</f>
        <v>0</v>
      </c>
      <c r="G363">
        <f>SUMPRODUCT((MONTH(CHOOSE({1,2,3,4},KMB!U363,KMB!AA363,KMB!AG363,KMB!AM363))=7)*(CHOOSE({1,2,3,4},KMB!X363,KMB!AD363,KMB!AJ363,KMB!AP363)))</f>
        <v>0</v>
      </c>
      <c r="H363">
        <f>SUMPRODUCT((MONTH(CHOOSE({1,2,3,4},KMB!U363,KMB!AA363,KMB!AG363,KMB!AM363))=8)*(CHOOSE({1,2,3,4},KMB!X363,KMB!AD363,KMB!AJ363,KMB!AP363)))</f>
        <v>0</v>
      </c>
      <c r="I363">
        <f>SUMPRODUCT((MONTH(CHOOSE({1,2,3,4},KMB!U363,KMB!AA363,KMB!AG363,KMB!AM363))=9)*(CHOOSE({1,2,3,4},KMB!X363,KMB!AD363,KMB!AJ363,KMB!AP363)))</f>
        <v>0</v>
      </c>
      <c r="J363">
        <f>SUMPRODUCT((MONTH(CHOOSE({1,2,3,4},KMB!U363,KMB!AA363,KMB!AG363,KMB!AM363))=10)*(CHOOSE({1,2,3,4},KMB!X363,KMB!AD363,KMB!AJ363,KMB!AP363)))</f>
        <v>0</v>
      </c>
      <c r="K363">
        <f>SUMPRODUCT((MONTH(CHOOSE({1,2,3,4},KMB!U363,KMB!AA363,KMB!AG363,KMB!AM363))=11)*(CHOOSE({1,2,3,4},KMB!X363,KMB!AD363,KMB!AJ363,KMB!AP363)))</f>
        <v>0</v>
      </c>
      <c r="L363">
        <f>SUMPRODUCT((MONTH(CHOOSE({1,2,3,4},KMB!U363,KMB!AA363,KMB!AG363,KMB!AM363))=12)*(CHOOSE({1,2,3,4},KMB!X363,KMB!AD363,KMB!AJ363,KMB!AP363)))</f>
        <v>0</v>
      </c>
    </row>
    <row r="364" spans="1:12">
      <c r="A364">
        <f>SUMPRODUCT((MONTH(CHOOSE({1,2,3,4},KMB!U364,KMB!AA364,KMB!AG364,KMB!AM364))=1)*(CHOOSE({1,2,3,4},KMB!X364,KMB!AD364,KMB!AJ364,KMB!AP364)))</f>
        <v>0</v>
      </c>
      <c r="B364">
        <f>SUMPRODUCT((MONTH(CHOOSE({1,2,3,4},KMB!U364,KMB!AA364,KMB!AG364,KMB!AM364))=2)*(CHOOSE({1,2,3,4},KMB!X364,KMB!AD364,KMB!AJ364,KMB!AP364)))</f>
        <v>0</v>
      </c>
      <c r="C364">
        <f>SUMPRODUCT((MONTH(CHOOSE({1,2,3,4},KMB!U364,KMB!AA364,KMB!AG364,KMB!AM364))=3)*(CHOOSE({1,2,3,4},KMB!X364,KMB!AD364,KMB!AJ364,KMB!AP364)))</f>
        <v>0</v>
      </c>
      <c r="D364">
        <f>SUMPRODUCT((MONTH(CHOOSE({1,2,3,4},KMB!U364,KMB!AA364,KMB!AG364,KMB!AM364))=4)*(CHOOSE({1,2,3,4},KMB!X364,KMB!AD364,KMB!AJ364,KMB!AP364)))</f>
        <v>0</v>
      </c>
      <c r="E364">
        <f>SUMPRODUCT((MONTH(CHOOSE({1,2,3,4},KMB!U364,KMB!AA364,KMB!AG364,KMB!AM364))=5)*(CHOOSE({1,2,3,4},KMB!X364,KMB!AD364,KMB!AJ364,KMB!AP364)))</f>
        <v>0</v>
      </c>
      <c r="F364">
        <f>SUMPRODUCT((MONTH(CHOOSE({1,2,3,4},KMB!U364,KMB!AA364,KMB!AG364,KMB!AM364))=6)*(CHOOSE({1,2,3,4},KMB!X364,KMB!AD364,KMB!AJ364,KMB!AP364)))</f>
        <v>0</v>
      </c>
      <c r="G364">
        <f>SUMPRODUCT((MONTH(CHOOSE({1,2,3,4},KMB!U364,KMB!AA364,KMB!AG364,KMB!AM364))=7)*(CHOOSE({1,2,3,4},KMB!X364,KMB!AD364,KMB!AJ364,KMB!AP364)))</f>
        <v>0</v>
      </c>
      <c r="H364">
        <f>SUMPRODUCT((MONTH(CHOOSE({1,2,3,4},KMB!U364,KMB!AA364,KMB!AG364,KMB!AM364))=8)*(CHOOSE({1,2,3,4},KMB!X364,KMB!AD364,KMB!AJ364,KMB!AP364)))</f>
        <v>0</v>
      </c>
      <c r="I364">
        <f>SUMPRODUCT((MONTH(CHOOSE({1,2,3,4},KMB!U364,KMB!AA364,KMB!AG364,KMB!AM364))=9)*(CHOOSE({1,2,3,4},KMB!X364,KMB!AD364,KMB!AJ364,KMB!AP364)))</f>
        <v>0</v>
      </c>
      <c r="J364">
        <f>SUMPRODUCT((MONTH(CHOOSE({1,2,3,4},KMB!U364,KMB!AA364,KMB!AG364,KMB!AM364))=10)*(CHOOSE({1,2,3,4},KMB!X364,KMB!AD364,KMB!AJ364,KMB!AP364)))</f>
        <v>0</v>
      </c>
      <c r="K364">
        <f>SUMPRODUCT((MONTH(CHOOSE({1,2,3,4},KMB!U364,KMB!AA364,KMB!AG364,KMB!AM364))=11)*(CHOOSE({1,2,3,4},KMB!X364,KMB!AD364,KMB!AJ364,KMB!AP364)))</f>
        <v>0</v>
      </c>
      <c r="L364">
        <f>SUMPRODUCT((MONTH(CHOOSE({1,2,3,4},KMB!U364,KMB!AA364,KMB!AG364,KMB!AM364))=12)*(CHOOSE({1,2,3,4},KMB!X364,KMB!AD364,KMB!AJ364,KMB!AP364)))</f>
        <v>0</v>
      </c>
    </row>
    <row r="365" spans="1:12">
      <c r="A365">
        <f>SUMPRODUCT((MONTH(CHOOSE({1,2,3,4},KMB!U365,KMB!AA365,KMB!AG365,KMB!AM365))=1)*(CHOOSE({1,2,3,4},KMB!X365,KMB!AD365,KMB!AJ365,KMB!AP365)))</f>
        <v>0</v>
      </c>
      <c r="B365">
        <f>SUMPRODUCT((MONTH(CHOOSE({1,2,3,4},KMB!U365,KMB!AA365,KMB!AG365,KMB!AM365))=2)*(CHOOSE({1,2,3,4},KMB!X365,KMB!AD365,KMB!AJ365,KMB!AP365)))</f>
        <v>0</v>
      </c>
      <c r="C365">
        <f>SUMPRODUCT((MONTH(CHOOSE({1,2,3,4},KMB!U365,KMB!AA365,KMB!AG365,KMB!AM365))=3)*(CHOOSE({1,2,3,4},KMB!X365,KMB!AD365,KMB!AJ365,KMB!AP365)))</f>
        <v>0</v>
      </c>
      <c r="D365">
        <f>SUMPRODUCT((MONTH(CHOOSE({1,2,3,4},KMB!U365,KMB!AA365,KMB!AG365,KMB!AM365))=4)*(CHOOSE({1,2,3,4},KMB!X365,KMB!AD365,KMB!AJ365,KMB!AP365)))</f>
        <v>0</v>
      </c>
      <c r="E365">
        <f>SUMPRODUCT((MONTH(CHOOSE({1,2,3,4},KMB!U365,KMB!AA365,KMB!AG365,KMB!AM365))=5)*(CHOOSE({1,2,3,4},KMB!X365,KMB!AD365,KMB!AJ365,KMB!AP365)))</f>
        <v>0</v>
      </c>
      <c r="F365">
        <f>SUMPRODUCT((MONTH(CHOOSE({1,2,3,4},KMB!U365,KMB!AA365,KMB!AG365,KMB!AM365))=6)*(CHOOSE({1,2,3,4},KMB!X365,KMB!AD365,KMB!AJ365,KMB!AP365)))</f>
        <v>0</v>
      </c>
      <c r="G365">
        <f>SUMPRODUCT((MONTH(CHOOSE({1,2,3,4},KMB!U365,KMB!AA365,KMB!AG365,KMB!AM365))=7)*(CHOOSE({1,2,3,4},KMB!X365,KMB!AD365,KMB!AJ365,KMB!AP365)))</f>
        <v>0</v>
      </c>
      <c r="H365">
        <f>SUMPRODUCT((MONTH(CHOOSE({1,2,3,4},KMB!U365,KMB!AA365,KMB!AG365,KMB!AM365))=8)*(CHOOSE({1,2,3,4},KMB!X365,KMB!AD365,KMB!AJ365,KMB!AP365)))</f>
        <v>0</v>
      </c>
      <c r="I365">
        <f>SUMPRODUCT((MONTH(CHOOSE({1,2,3,4},KMB!U365,KMB!AA365,KMB!AG365,KMB!AM365))=9)*(CHOOSE({1,2,3,4},KMB!X365,KMB!AD365,KMB!AJ365,KMB!AP365)))</f>
        <v>0</v>
      </c>
      <c r="J365">
        <f>SUMPRODUCT((MONTH(CHOOSE({1,2,3,4},KMB!U365,KMB!AA365,KMB!AG365,KMB!AM365))=10)*(CHOOSE({1,2,3,4},KMB!X365,KMB!AD365,KMB!AJ365,KMB!AP365)))</f>
        <v>0</v>
      </c>
      <c r="K365">
        <f>SUMPRODUCT((MONTH(CHOOSE({1,2,3,4},KMB!U365,KMB!AA365,KMB!AG365,KMB!AM365))=11)*(CHOOSE({1,2,3,4},KMB!X365,KMB!AD365,KMB!AJ365,KMB!AP365)))</f>
        <v>0</v>
      </c>
      <c r="L365">
        <f>SUMPRODUCT((MONTH(CHOOSE({1,2,3,4},KMB!U365,KMB!AA365,KMB!AG365,KMB!AM365))=12)*(CHOOSE({1,2,3,4},KMB!X365,KMB!AD365,KMB!AJ365,KMB!AP365)))</f>
        <v>0</v>
      </c>
    </row>
    <row r="366" spans="1:12">
      <c r="A366">
        <f>SUMPRODUCT((MONTH(CHOOSE({1,2,3,4},KMB!U366,KMB!AA366,KMB!AG366,KMB!AM366))=1)*(CHOOSE({1,2,3,4},KMB!X366,KMB!AD366,KMB!AJ366,KMB!AP366)))</f>
        <v>0</v>
      </c>
      <c r="B366">
        <f>SUMPRODUCT((MONTH(CHOOSE({1,2,3,4},KMB!U366,KMB!AA366,KMB!AG366,KMB!AM366))=2)*(CHOOSE({1,2,3,4},KMB!X366,KMB!AD366,KMB!AJ366,KMB!AP366)))</f>
        <v>0</v>
      </c>
      <c r="C366">
        <f>SUMPRODUCT((MONTH(CHOOSE({1,2,3,4},KMB!U366,KMB!AA366,KMB!AG366,KMB!AM366))=3)*(CHOOSE({1,2,3,4},KMB!X366,KMB!AD366,KMB!AJ366,KMB!AP366)))</f>
        <v>0</v>
      </c>
      <c r="D366">
        <f>SUMPRODUCT((MONTH(CHOOSE({1,2,3,4},KMB!U366,KMB!AA366,KMB!AG366,KMB!AM366))=4)*(CHOOSE({1,2,3,4},KMB!X366,KMB!AD366,KMB!AJ366,KMB!AP366)))</f>
        <v>0</v>
      </c>
      <c r="E366">
        <f>SUMPRODUCT((MONTH(CHOOSE({1,2,3,4},KMB!U366,KMB!AA366,KMB!AG366,KMB!AM366))=5)*(CHOOSE({1,2,3,4},KMB!X366,KMB!AD366,KMB!AJ366,KMB!AP366)))</f>
        <v>0</v>
      </c>
      <c r="F366">
        <f>SUMPRODUCT((MONTH(CHOOSE({1,2,3,4},KMB!U366,KMB!AA366,KMB!AG366,KMB!AM366))=6)*(CHOOSE({1,2,3,4},KMB!X366,KMB!AD366,KMB!AJ366,KMB!AP366)))</f>
        <v>0</v>
      </c>
      <c r="G366">
        <f>SUMPRODUCT((MONTH(CHOOSE({1,2,3,4},KMB!U366,KMB!AA366,KMB!AG366,KMB!AM366))=7)*(CHOOSE({1,2,3,4},KMB!X366,KMB!AD366,KMB!AJ366,KMB!AP366)))</f>
        <v>0</v>
      </c>
      <c r="H366">
        <f>SUMPRODUCT((MONTH(CHOOSE({1,2,3,4},KMB!U366,KMB!AA366,KMB!AG366,KMB!AM366))=8)*(CHOOSE({1,2,3,4},KMB!X366,KMB!AD366,KMB!AJ366,KMB!AP366)))</f>
        <v>0</v>
      </c>
      <c r="I366">
        <f>SUMPRODUCT((MONTH(CHOOSE({1,2,3,4},KMB!U366,KMB!AA366,KMB!AG366,KMB!AM366))=9)*(CHOOSE({1,2,3,4},KMB!X366,KMB!AD366,KMB!AJ366,KMB!AP366)))</f>
        <v>0</v>
      </c>
      <c r="J366">
        <f>SUMPRODUCT((MONTH(CHOOSE({1,2,3,4},KMB!U366,KMB!AA366,KMB!AG366,KMB!AM366))=10)*(CHOOSE({1,2,3,4},KMB!X366,KMB!AD366,KMB!AJ366,KMB!AP366)))</f>
        <v>0</v>
      </c>
      <c r="K366">
        <f>SUMPRODUCT((MONTH(CHOOSE({1,2,3,4},KMB!U366,KMB!AA366,KMB!AG366,KMB!AM366))=11)*(CHOOSE({1,2,3,4},KMB!X366,KMB!AD366,KMB!AJ366,KMB!AP366)))</f>
        <v>0</v>
      </c>
      <c r="L366">
        <f>SUMPRODUCT((MONTH(CHOOSE({1,2,3,4},KMB!U366,KMB!AA366,KMB!AG366,KMB!AM366))=12)*(CHOOSE({1,2,3,4},KMB!X366,KMB!AD366,KMB!AJ366,KMB!AP366)))</f>
        <v>0</v>
      </c>
    </row>
    <row r="367" spans="1:12">
      <c r="A367">
        <f>SUMPRODUCT((MONTH(CHOOSE({1,2,3,4},KMB!U367,KMB!AA367,KMB!AG367,KMB!AM367))=1)*(CHOOSE({1,2,3,4},KMB!X367,KMB!AD367,KMB!AJ367,KMB!AP367)))</f>
        <v>0</v>
      </c>
      <c r="B367">
        <f>SUMPRODUCT((MONTH(CHOOSE({1,2,3,4},KMB!U367,KMB!AA367,KMB!AG367,KMB!AM367))=2)*(CHOOSE({1,2,3,4},KMB!X367,KMB!AD367,KMB!AJ367,KMB!AP367)))</f>
        <v>0</v>
      </c>
      <c r="C367">
        <f>SUMPRODUCT((MONTH(CHOOSE({1,2,3,4},KMB!U367,KMB!AA367,KMB!AG367,KMB!AM367))=3)*(CHOOSE({1,2,3,4},KMB!X367,KMB!AD367,KMB!AJ367,KMB!AP367)))</f>
        <v>0</v>
      </c>
      <c r="D367">
        <f>SUMPRODUCT((MONTH(CHOOSE({1,2,3,4},KMB!U367,KMB!AA367,KMB!AG367,KMB!AM367))=4)*(CHOOSE({1,2,3,4},KMB!X367,KMB!AD367,KMB!AJ367,KMB!AP367)))</f>
        <v>0</v>
      </c>
      <c r="E367">
        <f>SUMPRODUCT((MONTH(CHOOSE({1,2,3,4},KMB!U367,KMB!AA367,KMB!AG367,KMB!AM367))=5)*(CHOOSE({1,2,3,4},KMB!X367,KMB!AD367,KMB!AJ367,KMB!AP367)))</f>
        <v>0</v>
      </c>
      <c r="F367">
        <f>SUMPRODUCT((MONTH(CHOOSE({1,2,3,4},KMB!U367,KMB!AA367,KMB!AG367,KMB!AM367))=6)*(CHOOSE({1,2,3,4},KMB!X367,KMB!AD367,KMB!AJ367,KMB!AP367)))</f>
        <v>0</v>
      </c>
      <c r="G367">
        <f>SUMPRODUCT((MONTH(CHOOSE({1,2,3,4},KMB!U367,KMB!AA367,KMB!AG367,KMB!AM367))=7)*(CHOOSE({1,2,3,4},KMB!X367,KMB!AD367,KMB!AJ367,KMB!AP367)))</f>
        <v>0</v>
      </c>
      <c r="H367">
        <f>SUMPRODUCT((MONTH(CHOOSE({1,2,3,4},KMB!U367,KMB!AA367,KMB!AG367,KMB!AM367))=8)*(CHOOSE({1,2,3,4},KMB!X367,KMB!AD367,KMB!AJ367,KMB!AP367)))</f>
        <v>0</v>
      </c>
      <c r="I367">
        <f>SUMPRODUCT((MONTH(CHOOSE({1,2,3,4},KMB!U367,KMB!AA367,KMB!AG367,KMB!AM367))=9)*(CHOOSE({1,2,3,4},KMB!X367,KMB!AD367,KMB!AJ367,KMB!AP367)))</f>
        <v>0</v>
      </c>
      <c r="J367">
        <f>SUMPRODUCT((MONTH(CHOOSE({1,2,3,4},KMB!U367,KMB!AA367,KMB!AG367,KMB!AM367))=10)*(CHOOSE({1,2,3,4},KMB!X367,KMB!AD367,KMB!AJ367,KMB!AP367)))</f>
        <v>0</v>
      </c>
      <c r="K367">
        <f>SUMPRODUCT((MONTH(CHOOSE({1,2,3,4},KMB!U367,KMB!AA367,KMB!AG367,KMB!AM367))=11)*(CHOOSE({1,2,3,4},KMB!X367,KMB!AD367,KMB!AJ367,KMB!AP367)))</f>
        <v>0</v>
      </c>
      <c r="L367">
        <f>SUMPRODUCT((MONTH(CHOOSE({1,2,3,4},KMB!U367,KMB!AA367,KMB!AG367,KMB!AM367))=12)*(CHOOSE({1,2,3,4},KMB!X367,KMB!AD367,KMB!AJ367,KMB!AP367)))</f>
        <v>0</v>
      </c>
    </row>
    <row r="368" spans="1:12">
      <c r="A368">
        <f>SUMPRODUCT((MONTH(CHOOSE({1,2,3,4},KMB!U368,KMB!AA368,KMB!AG368,KMB!AM368))=1)*(CHOOSE({1,2,3,4},KMB!X368,KMB!AD368,KMB!AJ368,KMB!AP368)))</f>
        <v>0</v>
      </c>
      <c r="B368">
        <f>SUMPRODUCT((MONTH(CHOOSE({1,2,3,4},KMB!U368,KMB!AA368,KMB!AG368,KMB!AM368))=2)*(CHOOSE({1,2,3,4},KMB!X368,KMB!AD368,KMB!AJ368,KMB!AP368)))</f>
        <v>0</v>
      </c>
      <c r="C368">
        <f>SUMPRODUCT((MONTH(CHOOSE({1,2,3,4},KMB!U368,KMB!AA368,KMB!AG368,KMB!AM368))=3)*(CHOOSE({1,2,3,4},KMB!X368,KMB!AD368,KMB!AJ368,KMB!AP368)))</f>
        <v>0</v>
      </c>
      <c r="D368">
        <f>SUMPRODUCT((MONTH(CHOOSE({1,2,3,4},KMB!U368,KMB!AA368,KMB!AG368,KMB!AM368))=4)*(CHOOSE({1,2,3,4},KMB!X368,KMB!AD368,KMB!AJ368,KMB!AP368)))</f>
        <v>0</v>
      </c>
      <c r="E368">
        <f>SUMPRODUCT((MONTH(CHOOSE({1,2,3,4},KMB!U368,KMB!AA368,KMB!AG368,KMB!AM368))=5)*(CHOOSE({1,2,3,4},KMB!X368,KMB!AD368,KMB!AJ368,KMB!AP368)))</f>
        <v>0</v>
      </c>
      <c r="F368">
        <f>SUMPRODUCT((MONTH(CHOOSE({1,2,3,4},KMB!U368,KMB!AA368,KMB!AG368,KMB!AM368))=6)*(CHOOSE({1,2,3,4},KMB!X368,KMB!AD368,KMB!AJ368,KMB!AP368)))</f>
        <v>0</v>
      </c>
      <c r="G368">
        <f>SUMPRODUCT((MONTH(CHOOSE({1,2,3,4},KMB!U368,KMB!AA368,KMB!AG368,KMB!AM368))=7)*(CHOOSE({1,2,3,4},KMB!X368,KMB!AD368,KMB!AJ368,KMB!AP368)))</f>
        <v>0</v>
      </c>
      <c r="H368">
        <f>SUMPRODUCT((MONTH(CHOOSE({1,2,3,4},KMB!U368,KMB!AA368,KMB!AG368,KMB!AM368))=8)*(CHOOSE({1,2,3,4},KMB!X368,KMB!AD368,KMB!AJ368,KMB!AP368)))</f>
        <v>0</v>
      </c>
      <c r="I368">
        <f>SUMPRODUCT((MONTH(CHOOSE({1,2,3,4},KMB!U368,KMB!AA368,KMB!AG368,KMB!AM368))=9)*(CHOOSE({1,2,3,4},KMB!X368,KMB!AD368,KMB!AJ368,KMB!AP368)))</f>
        <v>0</v>
      </c>
      <c r="J368">
        <f>SUMPRODUCT((MONTH(CHOOSE({1,2,3,4},KMB!U368,KMB!AA368,KMB!AG368,KMB!AM368))=10)*(CHOOSE({1,2,3,4},KMB!X368,KMB!AD368,KMB!AJ368,KMB!AP368)))</f>
        <v>0</v>
      </c>
      <c r="K368">
        <f>SUMPRODUCT((MONTH(CHOOSE({1,2,3,4},KMB!U368,KMB!AA368,KMB!AG368,KMB!AM368))=11)*(CHOOSE({1,2,3,4},KMB!X368,KMB!AD368,KMB!AJ368,KMB!AP368)))</f>
        <v>0</v>
      </c>
      <c r="L368">
        <f>SUMPRODUCT((MONTH(CHOOSE({1,2,3,4},KMB!U368,KMB!AA368,KMB!AG368,KMB!AM368))=12)*(CHOOSE({1,2,3,4},KMB!X368,KMB!AD368,KMB!AJ368,KMB!AP368)))</f>
        <v>0</v>
      </c>
    </row>
    <row r="369" spans="1:12">
      <c r="A369">
        <f>SUMPRODUCT((MONTH(CHOOSE({1,2,3,4},KMB!U369,KMB!AA369,KMB!AG369,KMB!AM369))=1)*(CHOOSE({1,2,3,4},KMB!X369,KMB!AD369,KMB!AJ369,KMB!AP369)))</f>
        <v>0</v>
      </c>
      <c r="B369">
        <f>SUMPRODUCT((MONTH(CHOOSE({1,2,3,4},KMB!U369,KMB!AA369,KMB!AG369,KMB!AM369))=2)*(CHOOSE({1,2,3,4},KMB!X369,KMB!AD369,KMB!AJ369,KMB!AP369)))</f>
        <v>0</v>
      </c>
      <c r="C369">
        <f>SUMPRODUCT((MONTH(CHOOSE({1,2,3,4},KMB!U369,KMB!AA369,KMB!AG369,KMB!AM369))=3)*(CHOOSE({1,2,3,4},KMB!X369,KMB!AD369,KMB!AJ369,KMB!AP369)))</f>
        <v>0</v>
      </c>
      <c r="D369">
        <f>SUMPRODUCT((MONTH(CHOOSE({1,2,3,4},KMB!U369,KMB!AA369,KMB!AG369,KMB!AM369))=4)*(CHOOSE({1,2,3,4},KMB!X369,KMB!AD369,KMB!AJ369,KMB!AP369)))</f>
        <v>0</v>
      </c>
      <c r="E369">
        <f>SUMPRODUCT((MONTH(CHOOSE({1,2,3,4},KMB!U369,KMB!AA369,KMB!AG369,KMB!AM369))=5)*(CHOOSE({1,2,3,4},KMB!X369,KMB!AD369,KMB!AJ369,KMB!AP369)))</f>
        <v>0</v>
      </c>
      <c r="F369">
        <f>SUMPRODUCT((MONTH(CHOOSE({1,2,3,4},KMB!U369,KMB!AA369,KMB!AG369,KMB!AM369))=6)*(CHOOSE({1,2,3,4},KMB!X369,KMB!AD369,KMB!AJ369,KMB!AP369)))</f>
        <v>0</v>
      </c>
      <c r="G369">
        <f>SUMPRODUCT((MONTH(CHOOSE({1,2,3,4},KMB!U369,KMB!AA369,KMB!AG369,KMB!AM369))=7)*(CHOOSE({1,2,3,4},KMB!X369,KMB!AD369,KMB!AJ369,KMB!AP369)))</f>
        <v>0</v>
      </c>
      <c r="H369">
        <f>SUMPRODUCT((MONTH(CHOOSE({1,2,3,4},KMB!U369,KMB!AA369,KMB!AG369,KMB!AM369))=8)*(CHOOSE({1,2,3,4},KMB!X369,KMB!AD369,KMB!AJ369,KMB!AP369)))</f>
        <v>0</v>
      </c>
      <c r="I369">
        <f>SUMPRODUCT((MONTH(CHOOSE({1,2,3,4},KMB!U369,KMB!AA369,KMB!AG369,KMB!AM369))=9)*(CHOOSE({1,2,3,4},KMB!X369,KMB!AD369,KMB!AJ369,KMB!AP369)))</f>
        <v>0</v>
      </c>
      <c r="J369">
        <f>SUMPRODUCT((MONTH(CHOOSE({1,2,3,4},KMB!U369,KMB!AA369,KMB!AG369,KMB!AM369))=10)*(CHOOSE({1,2,3,4},KMB!X369,KMB!AD369,KMB!AJ369,KMB!AP369)))</f>
        <v>0</v>
      </c>
      <c r="K369">
        <f>SUMPRODUCT((MONTH(CHOOSE({1,2,3,4},KMB!U369,KMB!AA369,KMB!AG369,KMB!AM369))=11)*(CHOOSE({1,2,3,4},KMB!X369,KMB!AD369,KMB!AJ369,KMB!AP369)))</f>
        <v>0</v>
      </c>
      <c r="L369">
        <f>SUMPRODUCT((MONTH(CHOOSE({1,2,3,4},KMB!U369,KMB!AA369,KMB!AG369,KMB!AM369))=12)*(CHOOSE({1,2,3,4},KMB!X369,KMB!AD369,KMB!AJ369,KMB!AP369)))</f>
        <v>0</v>
      </c>
    </row>
    <row r="370" spans="1:12">
      <c r="A370">
        <f>SUMPRODUCT((MONTH(CHOOSE({1,2,3,4},KMB!U370,KMB!AA370,KMB!AG370,KMB!AM370))=1)*(CHOOSE({1,2,3,4},KMB!X370,KMB!AD370,KMB!AJ370,KMB!AP370)))</f>
        <v>0</v>
      </c>
      <c r="B370">
        <f>SUMPRODUCT((MONTH(CHOOSE({1,2,3,4},KMB!U370,KMB!AA370,KMB!AG370,KMB!AM370))=2)*(CHOOSE({1,2,3,4},KMB!X370,KMB!AD370,KMB!AJ370,KMB!AP370)))</f>
        <v>0</v>
      </c>
      <c r="C370">
        <f>SUMPRODUCT((MONTH(CHOOSE({1,2,3,4},KMB!U370,KMB!AA370,KMB!AG370,KMB!AM370))=3)*(CHOOSE({1,2,3,4},KMB!X370,KMB!AD370,KMB!AJ370,KMB!AP370)))</f>
        <v>0</v>
      </c>
      <c r="D370">
        <f>SUMPRODUCT((MONTH(CHOOSE({1,2,3,4},KMB!U370,KMB!AA370,KMB!AG370,KMB!AM370))=4)*(CHOOSE({1,2,3,4},KMB!X370,KMB!AD370,KMB!AJ370,KMB!AP370)))</f>
        <v>0</v>
      </c>
      <c r="E370">
        <f>SUMPRODUCT((MONTH(CHOOSE({1,2,3,4},KMB!U370,KMB!AA370,KMB!AG370,KMB!AM370))=5)*(CHOOSE({1,2,3,4},KMB!X370,KMB!AD370,KMB!AJ370,KMB!AP370)))</f>
        <v>0</v>
      </c>
      <c r="F370">
        <f>SUMPRODUCT((MONTH(CHOOSE({1,2,3,4},KMB!U370,KMB!AA370,KMB!AG370,KMB!AM370))=6)*(CHOOSE({1,2,3,4},KMB!X370,KMB!AD370,KMB!AJ370,KMB!AP370)))</f>
        <v>0</v>
      </c>
      <c r="G370">
        <f>SUMPRODUCT((MONTH(CHOOSE({1,2,3,4},KMB!U370,KMB!AA370,KMB!AG370,KMB!AM370))=7)*(CHOOSE({1,2,3,4},KMB!X370,KMB!AD370,KMB!AJ370,KMB!AP370)))</f>
        <v>0</v>
      </c>
      <c r="H370">
        <f>SUMPRODUCT((MONTH(CHOOSE({1,2,3,4},KMB!U370,KMB!AA370,KMB!AG370,KMB!AM370))=8)*(CHOOSE({1,2,3,4},KMB!X370,KMB!AD370,KMB!AJ370,KMB!AP370)))</f>
        <v>0</v>
      </c>
      <c r="I370">
        <f>SUMPRODUCT((MONTH(CHOOSE({1,2,3,4},KMB!U370,KMB!AA370,KMB!AG370,KMB!AM370))=9)*(CHOOSE({1,2,3,4},KMB!X370,KMB!AD370,KMB!AJ370,KMB!AP370)))</f>
        <v>0</v>
      </c>
      <c r="J370">
        <f>SUMPRODUCT((MONTH(CHOOSE({1,2,3,4},KMB!U370,KMB!AA370,KMB!AG370,KMB!AM370))=10)*(CHOOSE({1,2,3,4},KMB!X370,KMB!AD370,KMB!AJ370,KMB!AP370)))</f>
        <v>0</v>
      </c>
      <c r="K370">
        <f>SUMPRODUCT((MONTH(CHOOSE({1,2,3,4},KMB!U370,KMB!AA370,KMB!AG370,KMB!AM370))=11)*(CHOOSE({1,2,3,4},KMB!X370,KMB!AD370,KMB!AJ370,KMB!AP370)))</f>
        <v>0</v>
      </c>
      <c r="L370">
        <f>SUMPRODUCT((MONTH(CHOOSE({1,2,3,4},KMB!U370,KMB!AA370,KMB!AG370,KMB!AM370))=12)*(CHOOSE({1,2,3,4},KMB!X370,KMB!AD370,KMB!AJ370,KMB!AP370)))</f>
        <v>0</v>
      </c>
    </row>
    <row r="371" spans="1:12">
      <c r="A371">
        <f>SUMPRODUCT((MONTH(CHOOSE({1,2,3,4},KMB!U371,KMB!AA371,KMB!AG371,KMB!AM371))=1)*(CHOOSE({1,2,3,4},KMB!X371,KMB!AD371,KMB!AJ371,KMB!AP371)))</f>
        <v>0</v>
      </c>
      <c r="B371">
        <f>SUMPRODUCT((MONTH(CHOOSE({1,2,3,4},KMB!U371,KMB!AA371,KMB!AG371,KMB!AM371))=2)*(CHOOSE({1,2,3,4},KMB!X371,KMB!AD371,KMB!AJ371,KMB!AP371)))</f>
        <v>0</v>
      </c>
      <c r="C371">
        <f>SUMPRODUCT((MONTH(CHOOSE({1,2,3,4},KMB!U371,KMB!AA371,KMB!AG371,KMB!AM371))=3)*(CHOOSE({1,2,3,4},KMB!X371,KMB!AD371,KMB!AJ371,KMB!AP371)))</f>
        <v>0</v>
      </c>
      <c r="D371">
        <f>SUMPRODUCT((MONTH(CHOOSE({1,2,3,4},KMB!U371,KMB!AA371,KMB!AG371,KMB!AM371))=4)*(CHOOSE({1,2,3,4},KMB!X371,KMB!AD371,KMB!AJ371,KMB!AP371)))</f>
        <v>0</v>
      </c>
      <c r="E371">
        <f>SUMPRODUCT((MONTH(CHOOSE({1,2,3,4},KMB!U371,KMB!AA371,KMB!AG371,KMB!AM371))=5)*(CHOOSE({1,2,3,4},KMB!X371,KMB!AD371,KMB!AJ371,KMB!AP371)))</f>
        <v>0</v>
      </c>
      <c r="F371">
        <f>SUMPRODUCT((MONTH(CHOOSE({1,2,3,4},KMB!U371,KMB!AA371,KMB!AG371,KMB!AM371))=6)*(CHOOSE({1,2,3,4},KMB!X371,KMB!AD371,KMB!AJ371,KMB!AP371)))</f>
        <v>0</v>
      </c>
      <c r="G371">
        <f>SUMPRODUCT((MONTH(CHOOSE({1,2,3,4},KMB!U371,KMB!AA371,KMB!AG371,KMB!AM371))=7)*(CHOOSE({1,2,3,4},KMB!X371,KMB!AD371,KMB!AJ371,KMB!AP371)))</f>
        <v>0</v>
      </c>
      <c r="H371">
        <f>SUMPRODUCT((MONTH(CHOOSE({1,2,3,4},KMB!U371,KMB!AA371,KMB!AG371,KMB!AM371))=8)*(CHOOSE({1,2,3,4},KMB!X371,KMB!AD371,KMB!AJ371,KMB!AP371)))</f>
        <v>0</v>
      </c>
      <c r="I371">
        <f>SUMPRODUCT((MONTH(CHOOSE({1,2,3,4},KMB!U371,KMB!AA371,KMB!AG371,KMB!AM371))=9)*(CHOOSE({1,2,3,4},KMB!X371,KMB!AD371,KMB!AJ371,KMB!AP371)))</f>
        <v>0</v>
      </c>
      <c r="J371">
        <f>SUMPRODUCT((MONTH(CHOOSE({1,2,3,4},KMB!U371,KMB!AA371,KMB!AG371,KMB!AM371))=10)*(CHOOSE({1,2,3,4},KMB!X371,KMB!AD371,KMB!AJ371,KMB!AP371)))</f>
        <v>0</v>
      </c>
      <c r="K371">
        <f>SUMPRODUCT((MONTH(CHOOSE({1,2,3,4},KMB!U371,KMB!AA371,KMB!AG371,KMB!AM371))=11)*(CHOOSE({1,2,3,4},KMB!X371,KMB!AD371,KMB!AJ371,KMB!AP371)))</f>
        <v>0</v>
      </c>
      <c r="L371">
        <f>SUMPRODUCT((MONTH(CHOOSE({1,2,3,4},KMB!U371,KMB!AA371,KMB!AG371,KMB!AM371))=12)*(CHOOSE({1,2,3,4},KMB!X371,KMB!AD371,KMB!AJ371,KMB!AP371)))</f>
        <v>0</v>
      </c>
    </row>
    <row r="372" spans="1:12">
      <c r="A372">
        <f>SUMPRODUCT((MONTH(CHOOSE({1,2,3,4},KMB!U372,KMB!AA372,KMB!AG372,KMB!AM372))=1)*(CHOOSE({1,2,3,4},KMB!X372,KMB!AD372,KMB!AJ372,KMB!AP372)))</f>
        <v>0</v>
      </c>
      <c r="B372">
        <f>SUMPRODUCT((MONTH(CHOOSE({1,2,3,4},KMB!U372,KMB!AA372,KMB!AG372,KMB!AM372))=2)*(CHOOSE({1,2,3,4},KMB!X372,KMB!AD372,KMB!AJ372,KMB!AP372)))</f>
        <v>0</v>
      </c>
      <c r="C372">
        <f>SUMPRODUCT((MONTH(CHOOSE({1,2,3,4},KMB!U372,KMB!AA372,KMB!AG372,KMB!AM372))=3)*(CHOOSE({1,2,3,4},KMB!X372,KMB!AD372,KMB!AJ372,KMB!AP372)))</f>
        <v>0</v>
      </c>
      <c r="D372">
        <f>SUMPRODUCT((MONTH(CHOOSE({1,2,3,4},KMB!U372,KMB!AA372,KMB!AG372,KMB!AM372))=4)*(CHOOSE({1,2,3,4},KMB!X372,KMB!AD372,KMB!AJ372,KMB!AP372)))</f>
        <v>0</v>
      </c>
      <c r="E372">
        <f>SUMPRODUCT((MONTH(CHOOSE({1,2,3,4},KMB!U372,KMB!AA372,KMB!AG372,KMB!AM372))=5)*(CHOOSE({1,2,3,4},KMB!X372,KMB!AD372,KMB!AJ372,KMB!AP372)))</f>
        <v>0</v>
      </c>
      <c r="F372">
        <f>SUMPRODUCT((MONTH(CHOOSE({1,2,3,4},KMB!U372,KMB!AA372,KMB!AG372,KMB!AM372))=6)*(CHOOSE({1,2,3,4},KMB!X372,KMB!AD372,KMB!AJ372,KMB!AP372)))</f>
        <v>0</v>
      </c>
      <c r="G372">
        <f>SUMPRODUCT((MONTH(CHOOSE({1,2,3,4},KMB!U372,KMB!AA372,KMB!AG372,KMB!AM372))=7)*(CHOOSE({1,2,3,4},KMB!X372,KMB!AD372,KMB!AJ372,KMB!AP372)))</f>
        <v>0</v>
      </c>
      <c r="H372">
        <f>SUMPRODUCT((MONTH(CHOOSE({1,2,3,4},KMB!U372,KMB!AA372,KMB!AG372,KMB!AM372))=8)*(CHOOSE({1,2,3,4},KMB!X372,KMB!AD372,KMB!AJ372,KMB!AP372)))</f>
        <v>0</v>
      </c>
      <c r="I372">
        <f>SUMPRODUCT((MONTH(CHOOSE({1,2,3,4},KMB!U372,KMB!AA372,KMB!AG372,KMB!AM372))=9)*(CHOOSE({1,2,3,4},KMB!X372,KMB!AD372,KMB!AJ372,KMB!AP372)))</f>
        <v>0</v>
      </c>
      <c r="J372">
        <f>SUMPRODUCT((MONTH(CHOOSE({1,2,3,4},KMB!U372,KMB!AA372,KMB!AG372,KMB!AM372))=10)*(CHOOSE({1,2,3,4},KMB!X372,KMB!AD372,KMB!AJ372,KMB!AP372)))</f>
        <v>0</v>
      </c>
      <c r="K372">
        <f>SUMPRODUCT((MONTH(CHOOSE({1,2,3,4},KMB!U372,KMB!AA372,KMB!AG372,KMB!AM372))=11)*(CHOOSE({1,2,3,4},KMB!X372,KMB!AD372,KMB!AJ372,KMB!AP372)))</f>
        <v>0</v>
      </c>
      <c r="L372">
        <f>SUMPRODUCT((MONTH(CHOOSE({1,2,3,4},KMB!U372,KMB!AA372,KMB!AG372,KMB!AM372))=12)*(CHOOSE({1,2,3,4},KMB!X372,KMB!AD372,KMB!AJ372,KMB!AP372)))</f>
        <v>0</v>
      </c>
    </row>
    <row r="373" spans="1:12">
      <c r="A373">
        <f>SUMPRODUCT((MONTH(CHOOSE({1,2,3,4},KMB!U373,KMB!AA373,KMB!AG373,KMB!AM373))=1)*(CHOOSE({1,2,3,4},KMB!X373,KMB!AD373,KMB!AJ373,KMB!AP373)))</f>
        <v>0</v>
      </c>
      <c r="B373">
        <f>SUMPRODUCT((MONTH(CHOOSE({1,2,3,4},KMB!U373,KMB!AA373,KMB!AG373,KMB!AM373))=2)*(CHOOSE({1,2,3,4},KMB!X373,KMB!AD373,KMB!AJ373,KMB!AP373)))</f>
        <v>0</v>
      </c>
      <c r="C373">
        <f>SUMPRODUCT((MONTH(CHOOSE({1,2,3,4},KMB!U373,KMB!AA373,KMB!AG373,KMB!AM373))=3)*(CHOOSE({1,2,3,4},KMB!X373,KMB!AD373,KMB!AJ373,KMB!AP373)))</f>
        <v>0</v>
      </c>
      <c r="D373">
        <f>SUMPRODUCT((MONTH(CHOOSE({1,2,3,4},KMB!U373,KMB!AA373,KMB!AG373,KMB!AM373))=4)*(CHOOSE({1,2,3,4},KMB!X373,KMB!AD373,KMB!AJ373,KMB!AP373)))</f>
        <v>0</v>
      </c>
      <c r="E373">
        <f>SUMPRODUCT((MONTH(CHOOSE({1,2,3,4},KMB!U373,KMB!AA373,KMB!AG373,KMB!AM373))=5)*(CHOOSE({1,2,3,4},KMB!X373,KMB!AD373,KMB!AJ373,KMB!AP373)))</f>
        <v>0</v>
      </c>
      <c r="F373">
        <f>SUMPRODUCT((MONTH(CHOOSE({1,2,3,4},KMB!U373,KMB!AA373,KMB!AG373,KMB!AM373))=6)*(CHOOSE({1,2,3,4},KMB!X373,KMB!AD373,KMB!AJ373,KMB!AP373)))</f>
        <v>0</v>
      </c>
      <c r="G373">
        <f>SUMPRODUCT((MONTH(CHOOSE({1,2,3,4},KMB!U373,KMB!AA373,KMB!AG373,KMB!AM373))=7)*(CHOOSE({1,2,3,4},KMB!X373,KMB!AD373,KMB!AJ373,KMB!AP373)))</f>
        <v>0</v>
      </c>
      <c r="H373">
        <f>SUMPRODUCT((MONTH(CHOOSE({1,2,3,4},KMB!U373,KMB!AA373,KMB!AG373,KMB!AM373))=8)*(CHOOSE({1,2,3,4},KMB!X373,KMB!AD373,KMB!AJ373,KMB!AP373)))</f>
        <v>0</v>
      </c>
      <c r="I373">
        <f>SUMPRODUCT((MONTH(CHOOSE({1,2,3,4},KMB!U373,KMB!AA373,KMB!AG373,KMB!AM373))=9)*(CHOOSE({1,2,3,4},KMB!X373,KMB!AD373,KMB!AJ373,KMB!AP373)))</f>
        <v>0</v>
      </c>
      <c r="J373">
        <f>SUMPRODUCT((MONTH(CHOOSE({1,2,3,4},KMB!U373,KMB!AA373,KMB!AG373,KMB!AM373))=10)*(CHOOSE({1,2,3,4},KMB!X373,KMB!AD373,KMB!AJ373,KMB!AP373)))</f>
        <v>0</v>
      </c>
      <c r="K373">
        <f>SUMPRODUCT((MONTH(CHOOSE({1,2,3,4},KMB!U373,KMB!AA373,KMB!AG373,KMB!AM373))=11)*(CHOOSE({1,2,3,4},KMB!X373,KMB!AD373,KMB!AJ373,KMB!AP373)))</f>
        <v>0</v>
      </c>
      <c r="L373">
        <f>SUMPRODUCT((MONTH(CHOOSE({1,2,3,4},KMB!U373,KMB!AA373,KMB!AG373,KMB!AM373))=12)*(CHOOSE({1,2,3,4},KMB!X373,KMB!AD373,KMB!AJ373,KMB!AP373)))</f>
        <v>0</v>
      </c>
    </row>
    <row r="374" spans="1:12">
      <c r="A374">
        <f>SUMPRODUCT((MONTH(CHOOSE({1,2,3,4},KMB!U374,KMB!AA374,KMB!AG374,KMB!AM374))=1)*(CHOOSE({1,2,3,4},KMB!X374,KMB!AD374,KMB!AJ374,KMB!AP374)))</f>
        <v>0</v>
      </c>
      <c r="B374">
        <f>SUMPRODUCT((MONTH(CHOOSE({1,2,3,4},KMB!U374,KMB!AA374,KMB!AG374,KMB!AM374))=2)*(CHOOSE({1,2,3,4},KMB!X374,KMB!AD374,KMB!AJ374,KMB!AP374)))</f>
        <v>0</v>
      </c>
      <c r="C374">
        <f>SUMPRODUCT((MONTH(CHOOSE({1,2,3,4},KMB!U374,KMB!AA374,KMB!AG374,KMB!AM374))=3)*(CHOOSE({1,2,3,4},KMB!X374,KMB!AD374,KMB!AJ374,KMB!AP374)))</f>
        <v>0</v>
      </c>
      <c r="D374">
        <f>SUMPRODUCT((MONTH(CHOOSE({1,2,3,4},KMB!U374,KMB!AA374,KMB!AG374,KMB!AM374))=4)*(CHOOSE({1,2,3,4},KMB!X374,KMB!AD374,KMB!AJ374,KMB!AP374)))</f>
        <v>0</v>
      </c>
      <c r="E374">
        <f>SUMPRODUCT((MONTH(CHOOSE({1,2,3,4},KMB!U374,KMB!AA374,KMB!AG374,KMB!AM374))=5)*(CHOOSE({1,2,3,4},KMB!X374,KMB!AD374,KMB!AJ374,KMB!AP374)))</f>
        <v>0</v>
      </c>
      <c r="F374">
        <f>SUMPRODUCT((MONTH(CHOOSE({1,2,3,4},KMB!U374,KMB!AA374,KMB!AG374,KMB!AM374))=6)*(CHOOSE({1,2,3,4},KMB!X374,KMB!AD374,KMB!AJ374,KMB!AP374)))</f>
        <v>0</v>
      </c>
      <c r="G374">
        <f>SUMPRODUCT((MONTH(CHOOSE({1,2,3,4},KMB!U374,KMB!AA374,KMB!AG374,KMB!AM374))=7)*(CHOOSE({1,2,3,4},KMB!X374,KMB!AD374,KMB!AJ374,KMB!AP374)))</f>
        <v>0</v>
      </c>
      <c r="H374">
        <f>SUMPRODUCT((MONTH(CHOOSE({1,2,3,4},KMB!U374,KMB!AA374,KMB!AG374,KMB!AM374))=8)*(CHOOSE({1,2,3,4},KMB!X374,KMB!AD374,KMB!AJ374,KMB!AP374)))</f>
        <v>0</v>
      </c>
      <c r="I374">
        <f>SUMPRODUCT((MONTH(CHOOSE({1,2,3,4},KMB!U374,KMB!AA374,KMB!AG374,KMB!AM374))=9)*(CHOOSE({1,2,3,4},KMB!X374,KMB!AD374,KMB!AJ374,KMB!AP374)))</f>
        <v>0</v>
      </c>
      <c r="J374">
        <f>SUMPRODUCT((MONTH(CHOOSE({1,2,3,4},KMB!U374,KMB!AA374,KMB!AG374,KMB!AM374))=10)*(CHOOSE({1,2,3,4},KMB!X374,KMB!AD374,KMB!AJ374,KMB!AP374)))</f>
        <v>0</v>
      </c>
      <c r="K374">
        <f>SUMPRODUCT((MONTH(CHOOSE({1,2,3,4},KMB!U374,KMB!AA374,KMB!AG374,KMB!AM374))=11)*(CHOOSE({1,2,3,4},KMB!X374,KMB!AD374,KMB!AJ374,KMB!AP374)))</f>
        <v>0</v>
      </c>
      <c r="L374">
        <f>SUMPRODUCT((MONTH(CHOOSE({1,2,3,4},KMB!U374,KMB!AA374,KMB!AG374,KMB!AM374))=12)*(CHOOSE({1,2,3,4},KMB!X374,KMB!AD374,KMB!AJ374,KMB!AP374)))</f>
        <v>0</v>
      </c>
    </row>
    <row r="375" spans="1:12">
      <c r="A375">
        <f>SUMPRODUCT((MONTH(CHOOSE({1,2,3,4},KMB!U375,KMB!AA375,KMB!AG375,KMB!AM375))=1)*(CHOOSE({1,2,3,4},KMB!X375,KMB!AD375,KMB!AJ375,KMB!AP375)))</f>
        <v>0</v>
      </c>
      <c r="B375">
        <f>SUMPRODUCT((MONTH(CHOOSE({1,2,3,4},KMB!U375,KMB!AA375,KMB!AG375,KMB!AM375))=2)*(CHOOSE({1,2,3,4},KMB!X375,KMB!AD375,KMB!AJ375,KMB!AP375)))</f>
        <v>0</v>
      </c>
      <c r="C375">
        <f>SUMPRODUCT((MONTH(CHOOSE({1,2,3,4},KMB!U375,KMB!AA375,KMB!AG375,KMB!AM375))=3)*(CHOOSE({1,2,3,4},KMB!X375,KMB!AD375,KMB!AJ375,KMB!AP375)))</f>
        <v>0</v>
      </c>
      <c r="D375">
        <f>SUMPRODUCT((MONTH(CHOOSE({1,2,3,4},KMB!U375,KMB!AA375,KMB!AG375,KMB!AM375))=4)*(CHOOSE({1,2,3,4},KMB!X375,KMB!AD375,KMB!AJ375,KMB!AP375)))</f>
        <v>0</v>
      </c>
      <c r="E375">
        <f>SUMPRODUCT((MONTH(CHOOSE({1,2,3,4},KMB!U375,KMB!AA375,KMB!AG375,KMB!AM375))=5)*(CHOOSE({1,2,3,4},KMB!X375,KMB!AD375,KMB!AJ375,KMB!AP375)))</f>
        <v>0</v>
      </c>
      <c r="F375">
        <f>SUMPRODUCT((MONTH(CHOOSE({1,2,3,4},KMB!U375,KMB!AA375,KMB!AG375,KMB!AM375))=6)*(CHOOSE({1,2,3,4},KMB!X375,KMB!AD375,KMB!AJ375,KMB!AP375)))</f>
        <v>0</v>
      </c>
      <c r="G375">
        <f>SUMPRODUCT((MONTH(CHOOSE({1,2,3,4},KMB!U375,KMB!AA375,KMB!AG375,KMB!AM375))=7)*(CHOOSE({1,2,3,4},KMB!X375,KMB!AD375,KMB!AJ375,KMB!AP375)))</f>
        <v>0</v>
      </c>
      <c r="H375">
        <f>SUMPRODUCT((MONTH(CHOOSE({1,2,3,4},KMB!U375,KMB!AA375,KMB!AG375,KMB!AM375))=8)*(CHOOSE({1,2,3,4},KMB!X375,KMB!AD375,KMB!AJ375,KMB!AP375)))</f>
        <v>0</v>
      </c>
      <c r="I375">
        <f>SUMPRODUCT((MONTH(CHOOSE({1,2,3,4},KMB!U375,KMB!AA375,KMB!AG375,KMB!AM375))=9)*(CHOOSE({1,2,3,4},KMB!X375,KMB!AD375,KMB!AJ375,KMB!AP375)))</f>
        <v>0</v>
      </c>
      <c r="J375">
        <f>SUMPRODUCT((MONTH(CHOOSE({1,2,3,4},KMB!U375,KMB!AA375,KMB!AG375,KMB!AM375))=10)*(CHOOSE({1,2,3,4},KMB!X375,KMB!AD375,KMB!AJ375,KMB!AP375)))</f>
        <v>0</v>
      </c>
      <c r="K375">
        <f>SUMPRODUCT((MONTH(CHOOSE({1,2,3,4},KMB!U375,KMB!AA375,KMB!AG375,KMB!AM375))=11)*(CHOOSE({1,2,3,4},KMB!X375,KMB!AD375,KMB!AJ375,KMB!AP375)))</f>
        <v>0</v>
      </c>
      <c r="L375">
        <f>SUMPRODUCT((MONTH(CHOOSE({1,2,3,4},KMB!U375,KMB!AA375,KMB!AG375,KMB!AM375))=12)*(CHOOSE({1,2,3,4},KMB!X375,KMB!AD375,KMB!AJ375,KMB!AP375)))</f>
        <v>0</v>
      </c>
    </row>
    <row r="376" spans="1:12">
      <c r="A376">
        <f>SUMPRODUCT((MONTH(CHOOSE({1,2,3,4},KMB!U376,KMB!AA376,KMB!AG376,KMB!AM376))=1)*(CHOOSE({1,2,3,4},KMB!X376,KMB!AD376,KMB!AJ376,KMB!AP376)))</f>
        <v>0</v>
      </c>
      <c r="B376">
        <f>SUMPRODUCT((MONTH(CHOOSE({1,2,3,4},KMB!U376,KMB!AA376,KMB!AG376,KMB!AM376))=2)*(CHOOSE({1,2,3,4},KMB!X376,KMB!AD376,KMB!AJ376,KMB!AP376)))</f>
        <v>0</v>
      </c>
      <c r="C376">
        <f>SUMPRODUCT((MONTH(CHOOSE({1,2,3,4},KMB!U376,KMB!AA376,KMB!AG376,KMB!AM376))=3)*(CHOOSE({1,2,3,4},KMB!X376,KMB!AD376,KMB!AJ376,KMB!AP376)))</f>
        <v>0</v>
      </c>
      <c r="D376">
        <f>SUMPRODUCT((MONTH(CHOOSE({1,2,3,4},KMB!U376,KMB!AA376,KMB!AG376,KMB!AM376))=4)*(CHOOSE({1,2,3,4},KMB!X376,KMB!AD376,KMB!AJ376,KMB!AP376)))</f>
        <v>0</v>
      </c>
      <c r="E376">
        <f>SUMPRODUCT((MONTH(CHOOSE({1,2,3,4},KMB!U376,KMB!AA376,KMB!AG376,KMB!AM376))=5)*(CHOOSE({1,2,3,4},KMB!X376,KMB!AD376,KMB!AJ376,KMB!AP376)))</f>
        <v>0</v>
      </c>
      <c r="F376">
        <f>SUMPRODUCT((MONTH(CHOOSE({1,2,3,4},KMB!U376,KMB!AA376,KMB!AG376,KMB!AM376))=6)*(CHOOSE({1,2,3,4},KMB!X376,KMB!AD376,KMB!AJ376,KMB!AP376)))</f>
        <v>0</v>
      </c>
      <c r="G376">
        <f>SUMPRODUCT((MONTH(CHOOSE({1,2,3,4},KMB!U376,KMB!AA376,KMB!AG376,KMB!AM376))=7)*(CHOOSE({1,2,3,4},KMB!X376,KMB!AD376,KMB!AJ376,KMB!AP376)))</f>
        <v>0</v>
      </c>
      <c r="H376">
        <f>SUMPRODUCT((MONTH(CHOOSE({1,2,3,4},KMB!U376,KMB!AA376,KMB!AG376,KMB!AM376))=8)*(CHOOSE({1,2,3,4},KMB!X376,KMB!AD376,KMB!AJ376,KMB!AP376)))</f>
        <v>0</v>
      </c>
      <c r="I376">
        <f>SUMPRODUCT((MONTH(CHOOSE({1,2,3,4},KMB!U376,KMB!AA376,KMB!AG376,KMB!AM376))=9)*(CHOOSE({1,2,3,4},KMB!X376,KMB!AD376,KMB!AJ376,KMB!AP376)))</f>
        <v>0</v>
      </c>
      <c r="J376">
        <f>SUMPRODUCT((MONTH(CHOOSE({1,2,3,4},KMB!U376,KMB!AA376,KMB!AG376,KMB!AM376))=10)*(CHOOSE({1,2,3,4},KMB!X376,KMB!AD376,KMB!AJ376,KMB!AP376)))</f>
        <v>0</v>
      </c>
      <c r="K376">
        <f>SUMPRODUCT((MONTH(CHOOSE({1,2,3,4},KMB!U376,KMB!AA376,KMB!AG376,KMB!AM376))=11)*(CHOOSE({1,2,3,4},KMB!X376,KMB!AD376,KMB!AJ376,KMB!AP376)))</f>
        <v>0</v>
      </c>
      <c r="L376">
        <f>SUMPRODUCT((MONTH(CHOOSE({1,2,3,4},KMB!U376,KMB!AA376,KMB!AG376,KMB!AM376))=12)*(CHOOSE({1,2,3,4},KMB!X376,KMB!AD376,KMB!AJ376,KMB!AP376)))</f>
        <v>0</v>
      </c>
    </row>
    <row r="377" spans="1:12">
      <c r="A377">
        <f>SUMPRODUCT((MONTH(CHOOSE({1,2,3,4},KMB!U377,KMB!AA377,KMB!AG377,KMB!AM377))=1)*(CHOOSE({1,2,3,4},KMB!X377,KMB!AD377,KMB!AJ377,KMB!AP377)))</f>
        <v>0</v>
      </c>
      <c r="B377">
        <f>SUMPRODUCT((MONTH(CHOOSE({1,2,3,4},KMB!U377,KMB!AA377,KMB!AG377,KMB!AM377))=2)*(CHOOSE({1,2,3,4},KMB!X377,KMB!AD377,KMB!AJ377,KMB!AP377)))</f>
        <v>0</v>
      </c>
      <c r="C377">
        <f>SUMPRODUCT((MONTH(CHOOSE({1,2,3,4},KMB!U377,KMB!AA377,KMB!AG377,KMB!AM377))=3)*(CHOOSE({1,2,3,4},KMB!X377,KMB!AD377,KMB!AJ377,KMB!AP377)))</f>
        <v>0</v>
      </c>
      <c r="D377">
        <f>SUMPRODUCT((MONTH(CHOOSE({1,2,3,4},KMB!U377,KMB!AA377,KMB!AG377,KMB!AM377))=4)*(CHOOSE({1,2,3,4},KMB!X377,KMB!AD377,KMB!AJ377,KMB!AP377)))</f>
        <v>0</v>
      </c>
      <c r="E377">
        <f>SUMPRODUCT((MONTH(CHOOSE({1,2,3,4},KMB!U377,KMB!AA377,KMB!AG377,KMB!AM377))=5)*(CHOOSE({1,2,3,4},KMB!X377,KMB!AD377,KMB!AJ377,KMB!AP377)))</f>
        <v>0</v>
      </c>
      <c r="F377">
        <f>SUMPRODUCT((MONTH(CHOOSE({1,2,3,4},KMB!U377,KMB!AA377,KMB!AG377,KMB!AM377))=6)*(CHOOSE({1,2,3,4},KMB!X377,KMB!AD377,KMB!AJ377,KMB!AP377)))</f>
        <v>0</v>
      </c>
      <c r="G377">
        <f>SUMPRODUCT((MONTH(CHOOSE({1,2,3,4},KMB!U377,KMB!AA377,KMB!AG377,KMB!AM377))=7)*(CHOOSE({1,2,3,4},KMB!X377,KMB!AD377,KMB!AJ377,KMB!AP377)))</f>
        <v>0</v>
      </c>
      <c r="H377">
        <f>SUMPRODUCT((MONTH(CHOOSE({1,2,3,4},KMB!U377,KMB!AA377,KMB!AG377,KMB!AM377))=8)*(CHOOSE({1,2,3,4},KMB!X377,KMB!AD377,KMB!AJ377,KMB!AP377)))</f>
        <v>0</v>
      </c>
      <c r="I377">
        <f>SUMPRODUCT((MONTH(CHOOSE({1,2,3,4},KMB!U377,KMB!AA377,KMB!AG377,KMB!AM377))=9)*(CHOOSE({1,2,3,4},KMB!X377,KMB!AD377,KMB!AJ377,KMB!AP377)))</f>
        <v>0</v>
      </c>
      <c r="J377">
        <f>SUMPRODUCT((MONTH(CHOOSE({1,2,3,4},KMB!U377,KMB!AA377,KMB!AG377,KMB!AM377))=10)*(CHOOSE({1,2,3,4},KMB!X377,KMB!AD377,KMB!AJ377,KMB!AP377)))</f>
        <v>0</v>
      </c>
      <c r="K377">
        <f>SUMPRODUCT((MONTH(CHOOSE({1,2,3,4},KMB!U377,KMB!AA377,KMB!AG377,KMB!AM377))=11)*(CHOOSE({1,2,3,4},KMB!X377,KMB!AD377,KMB!AJ377,KMB!AP377)))</f>
        <v>0</v>
      </c>
      <c r="L377">
        <f>SUMPRODUCT((MONTH(CHOOSE({1,2,3,4},KMB!U377,KMB!AA377,KMB!AG377,KMB!AM377))=12)*(CHOOSE({1,2,3,4},KMB!X377,KMB!AD377,KMB!AJ377,KMB!AP377)))</f>
        <v>0</v>
      </c>
    </row>
    <row r="378" spans="1:12">
      <c r="A378">
        <f>SUMPRODUCT((MONTH(CHOOSE({1,2,3,4},KMB!U378,KMB!AA378,KMB!AG378,KMB!AM378))=1)*(CHOOSE({1,2,3,4},KMB!X378,KMB!AD378,KMB!AJ378,KMB!AP378)))</f>
        <v>0</v>
      </c>
      <c r="B378">
        <f>SUMPRODUCT((MONTH(CHOOSE({1,2,3,4},KMB!U378,KMB!AA378,KMB!AG378,KMB!AM378))=2)*(CHOOSE({1,2,3,4},KMB!X378,KMB!AD378,KMB!AJ378,KMB!AP378)))</f>
        <v>0</v>
      </c>
      <c r="C378">
        <f>SUMPRODUCT((MONTH(CHOOSE({1,2,3,4},KMB!U378,KMB!AA378,KMB!AG378,KMB!AM378))=3)*(CHOOSE({1,2,3,4},KMB!X378,KMB!AD378,KMB!AJ378,KMB!AP378)))</f>
        <v>0</v>
      </c>
      <c r="D378">
        <f>SUMPRODUCT((MONTH(CHOOSE({1,2,3,4},KMB!U378,KMB!AA378,KMB!AG378,KMB!AM378))=4)*(CHOOSE({1,2,3,4},KMB!X378,KMB!AD378,KMB!AJ378,KMB!AP378)))</f>
        <v>0</v>
      </c>
      <c r="E378">
        <f>SUMPRODUCT((MONTH(CHOOSE({1,2,3,4},KMB!U378,KMB!AA378,KMB!AG378,KMB!AM378))=5)*(CHOOSE({1,2,3,4},KMB!X378,KMB!AD378,KMB!AJ378,KMB!AP378)))</f>
        <v>0</v>
      </c>
      <c r="F378">
        <f>SUMPRODUCT((MONTH(CHOOSE({1,2,3,4},KMB!U378,KMB!AA378,KMB!AG378,KMB!AM378))=6)*(CHOOSE({1,2,3,4},KMB!X378,KMB!AD378,KMB!AJ378,KMB!AP378)))</f>
        <v>0</v>
      </c>
      <c r="G378">
        <f>SUMPRODUCT((MONTH(CHOOSE({1,2,3,4},KMB!U378,KMB!AA378,KMB!AG378,KMB!AM378))=7)*(CHOOSE({1,2,3,4},KMB!X378,KMB!AD378,KMB!AJ378,KMB!AP378)))</f>
        <v>0</v>
      </c>
      <c r="H378">
        <f>SUMPRODUCT((MONTH(CHOOSE({1,2,3,4},KMB!U378,KMB!AA378,KMB!AG378,KMB!AM378))=8)*(CHOOSE({1,2,3,4},KMB!X378,KMB!AD378,KMB!AJ378,KMB!AP378)))</f>
        <v>0</v>
      </c>
      <c r="I378">
        <f>SUMPRODUCT((MONTH(CHOOSE({1,2,3,4},KMB!U378,KMB!AA378,KMB!AG378,KMB!AM378))=9)*(CHOOSE({1,2,3,4},KMB!X378,KMB!AD378,KMB!AJ378,KMB!AP378)))</f>
        <v>0</v>
      </c>
      <c r="J378">
        <f>SUMPRODUCT((MONTH(CHOOSE({1,2,3,4},KMB!U378,KMB!AA378,KMB!AG378,KMB!AM378))=10)*(CHOOSE({1,2,3,4},KMB!X378,KMB!AD378,KMB!AJ378,KMB!AP378)))</f>
        <v>0</v>
      </c>
      <c r="K378">
        <f>SUMPRODUCT((MONTH(CHOOSE({1,2,3,4},KMB!U378,KMB!AA378,KMB!AG378,KMB!AM378))=11)*(CHOOSE({1,2,3,4},KMB!X378,KMB!AD378,KMB!AJ378,KMB!AP378)))</f>
        <v>0</v>
      </c>
      <c r="L378">
        <f>SUMPRODUCT((MONTH(CHOOSE({1,2,3,4},KMB!U378,KMB!AA378,KMB!AG378,KMB!AM378))=12)*(CHOOSE({1,2,3,4},KMB!X378,KMB!AD378,KMB!AJ378,KMB!AP378)))</f>
        <v>0</v>
      </c>
    </row>
    <row r="379" spans="1:12">
      <c r="A379">
        <f>SUMPRODUCT((MONTH(CHOOSE({1,2,3,4},KMB!U379,KMB!AA379,KMB!AG379,KMB!AM379))=1)*(CHOOSE({1,2,3,4},KMB!X379,KMB!AD379,KMB!AJ379,KMB!AP379)))</f>
        <v>0</v>
      </c>
      <c r="B379">
        <f>SUMPRODUCT((MONTH(CHOOSE({1,2,3,4},KMB!U379,KMB!AA379,KMB!AG379,KMB!AM379))=2)*(CHOOSE({1,2,3,4},KMB!X379,KMB!AD379,KMB!AJ379,KMB!AP379)))</f>
        <v>0</v>
      </c>
      <c r="C379">
        <f>SUMPRODUCT((MONTH(CHOOSE({1,2,3,4},KMB!U379,KMB!AA379,KMB!AG379,KMB!AM379))=3)*(CHOOSE({1,2,3,4},KMB!X379,KMB!AD379,KMB!AJ379,KMB!AP379)))</f>
        <v>0</v>
      </c>
      <c r="D379">
        <f>SUMPRODUCT((MONTH(CHOOSE({1,2,3,4},KMB!U379,KMB!AA379,KMB!AG379,KMB!AM379))=4)*(CHOOSE({1,2,3,4},KMB!X379,KMB!AD379,KMB!AJ379,KMB!AP379)))</f>
        <v>0</v>
      </c>
      <c r="E379">
        <f>SUMPRODUCT((MONTH(CHOOSE({1,2,3,4},KMB!U379,KMB!AA379,KMB!AG379,KMB!AM379))=5)*(CHOOSE({1,2,3,4},KMB!X379,KMB!AD379,KMB!AJ379,KMB!AP379)))</f>
        <v>0</v>
      </c>
      <c r="F379">
        <f>SUMPRODUCT((MONTH(CHOOSE({1,2,3,4},KMB!U379,KMB!AA379,KMB!AG379,KMB!AM379))=6)*(CHOOSE({1,2,3,4},KMB!X379,KMB!AD379,KMB!AJ379,KMB!AP379)))</f>
        <v>0</v>
      </c>
      <c r="G379">
        <f>SUMPRODUCT((MONTH(CHOOSE({1,2,3,4},KMB!U379,KMB!AA379,KMB!AG379,KMB!AM379))=7)*(CHOOSE({1,2,3,4},KMB!X379,KMB!AD379,KMB!AJ379,KMB!AP379)))</f>
        <v>0</v>
      </c>
      <c r="H379">
        <f>SUMPRODUCT((MONTH(CHOOSE({1,2,3,4},KMB!U379,KMB!AA379,KMB!AG379,KMB!AM379))=8)*(CHOOSE({1,2,3,4},KMB!X379,KMB!AD379,KMB!AJ379,KMB!AP379)))</f>
        <v>0</v>
      </c>
      <c r="I379">
        <f>SUMPRODUCT((MONTH(CHOOSE({1,2,3,4},KMB!U379,KMB!AA379,KMB!AG379,KMB!AM379))=9)*(CHOOSE({1,2,3,4},KMB!X379,KMB!AD379,KMB!AJ379,KMB!AP379)))</f>
        <v>0</v>
      </c>
      <c r="J379">
        <f>SUMPRODUCT((MONTH(CHOOSE({1,2,3,4},KMB!U379,KMB!AA379,KMB!AG379,KMB!AM379))=10)*(CHOOSE({1,2,3,4},KMB!X379,KMB!AD379,KMB!AJ379,KMB!AP379)))</f>
        <v>0</v>
      </c>
      <c r="K379">
        <f>SUMPRODUCT((MONTH(CHOOSE({1,2,3,4},KMB!U379,KMB!AA379,KMB!AG379,KMB!AM379))=11)*(CHOOSE({1,2,3,4},KMB!X379,KMB!AD379,KMB!AJ379,KMB!AP379)))</f>
        <v>0</v>
      </c>
      <c r="L379">
        <f>SUMPRODUCT((MONTH(CHOOSE({1,2,3,4},KMB!U379,KMB!AA379,KMB!AG379,KMB!AM379))=12)*(CHOOSE({1,2,3,4},KMB!X379,KMB!AD379,KMB!AJ379,KMB!AP379)))</f>
        <v>0</v>
      </c>
    </row>
    <row r="380" spans="1:12">
      <c r="A380">
        <f>SUMPRODUCT((MONTH(CHOOSE({1,2,3,4},KMB!U380,KMB!AA380,KMB!AG380,KMB!AM380))=1)*(CHOOSE({1,2,3,4},KMB!X380,KMB!AD380,KMB!AJ380,KMB!AP380)))</f>
        <v>0</v>
      </c>
      <c r="B380">
        <f>SUMPRODUCT((MONTH(CHOOSE({1,2,3,4},KMB!U380,KMB!AA380,KMB!AG380,KMB!AM380))=2)*(CHOOSE({1,2,3,4},KMB!X380,KMB!AD380,KMB!AJ380,KMB!AP380)))</f>
        <v>0</v>
      </c>
      <c r="C380">
        <f>SUMPRODUCT((MONTH(CHOOSE({1,2,3,4},KMB!U380,KMB!AA380,KMB!AG380,KMB!AM380))=3)*(CHOOSE({1,2,3,4},KMB!X380,KMB!AD380,KMB!AJ380,KMB!AP380)))</f>
        <v>0</v>
      </c>
      <c r="D380">
        <f>SUMPRODUCT((MONTH(CHOOSE({1,2,3,4},KMB!U380,KMB!AA380,KMB!AG380,KMB!AM380))=4)*(CHOOSE({1,2,3,4},KMB!X380,KMB!AD380,KMB!AJ380,KMB!AP380)))</f>
        <v>0</v>
      </c>
      <c r="E380">
        <f>SUMPRODUCT((MONTH(CHOOSE({1,2,3,4},KMB!U380,KMB!AA380,KMB!AG380,KMB!AM380))=5)*(CHOOSE({1,2,3,4},KMB!X380,KMB!AD380,KMB!AJ380,KMB!AP380)))</f>
        <v>0</v>
      </c>
      <c r="F380">
        <f>SUMPRODUCT((MONTH(CHOOSE({1,2,3,4},KMB!U380,KMB!AA380,KMB!AG380,KMB!AM380))=6)*(CHOOSE({1,2,3,4},KMB!X380,KMB!AD380,KMB!AJ380,KMB!AP380)))</f>
        <v>0</v>
      </c>
      <c r="G380">
        <f>SUMPRODUCT((MONTH(CHOOSE({1,2,3,4},KMB!U380,KMB!AA380,KMB!AG380,KMB!AM380))=7)*(CHOOSE({1,2,3,4},KMB!X380,KMB!AD380,KMB!AJ380,KMB!AP380)))</f>
        <v>0</v>
      </c>
      <c r="H380">
        <f>SUMPRODUCT((MONTH(CHOOSE({1,2,3,4},KMB!U380,KMB!AA380,KMB!AG380,KMB!AM380))=8)*(CHOOSE({1,2,3,4},KMB!X380,KMB!AD380,KMB!AJ380,KMB!AP380)))</f>
        <v>0</v>
      </c>
      <c r="I380">
        <f>SUMPRODUCT((MONTH(CHOOSE({1,2,3,4},KMB!U380,KMB!AA380,KMB!AG380,KMB!AM380))=9)*(CHOOSE({1,2,3,4},KMB!X380,KMB!AD380,KMB!AJ380,KMB!AP380)))</f>
        <v>0</v>
      </c>
      <c r="J380">
        <f>SUMPRODUCT((MONTH(CHOOSE({1,2,3,4},KMB!U380,KMB!AA380,KMB!AG380,KMB!AM380))=10)*(CHOOSE({1,2,3,4},KMB!X380,KMB!AD380,KMB!AJ380,KMB!AP380)))</f>
        <v>0</v>
      </c>
      <c r="K380">
        <f>SUMPRODUCT((MONTH(CHOOSE({1,2,3,4},KMB!U380,KMB!AA380,KMB!AG380,KMB!AM380))=11)*(CHOOSE({1,2,3,4},KMB!X380,KMB!AD380,KMB!AJ380,KMB!AP380)))</f>
        <v>0</v>
      </c>
      <c r="L380">
        <f>SUMPRODUCT((MONTH(CHOOSE({1,2,3,4},KMB!U380,KMB!AA380,KMB!AG380,KMB!AM380))=12)*(CHOOSE({1,2,3,4},KMB!X380,KMB!AD380,KMB!AJ380,KMB!AP380)))</f>
        <v>0</v>
      </c>
    </row>
    <row r="381" spans="1:12">
      <c r="A381">
        <f>SUMPRODUCT((MONTH(CHOOSE({1,2,3,4},KMB!U381,KMB!AA381,KMB!AG381,KMB!AM381))=1)*(CHOOSE({1,2,3,4},KMB!X381,KMB!AD381,KMB!AJ381,KMB!AP381)))</f>
        <v>0</v>
      </c>
      <c r="B381">
        <f>SUMPRODUCT((MONTH(CHOOSE({1,2,3,4},KMB!U381,KMB!AA381,KMB!AG381,KMB!AM381))=2)*(CHOOSE({1,2,3,4},KMB!X381,KMB!AD381,KMB!AJ381,KMB!AP381)))</f>
        <v>0</v>
      </c>
      <c r="C381">
        <f>SUMPRODUCT((MONTH(CHOOSE({1,2,3,4},KMB!U381,KMB!AA381,KMB!AG381,KMB!AM381))=3)*(CHOOSE({1,2,3,4},KMB!X381,KMB!AD381,KMB!AJ381,KMB!AP381)))</f>
        <v>0</v>
      </c>
      <c r="D381">
        <f>SUMPRODUCT((MONTH(CHOOSE({1,2,3,4},KMB!U381,KMB!AA381,KMB!AG381,KMB!AM381))=4)*(CHOOSE({1,2,3,4},KMB!X381,KMB!AD381,KMB!AJ381,KMB!AP381)))</f>
        <v>0</v>
      </c>
      <c r="E381">
        <f>SUMPRODUCT((MONTH(CHOOSE({1,2,3,4},KMB!U381,KMB!AA381,KMB!AG381,KMB!AM381))=5)*(CHOOSE({1,2,3,4},KMB!X381,KMB!AD381,KMB!AJ381,KMB!AP381)))</f>
        <v>0</v>
      </c>
      <c r="F381">
        <f>SUMPRODUCT((MONTH(CHOOSE({1,2,3,4},KMB!U381,KMB!AA381,KMB!AG381,KMB!AM381))=6)*(CHOOSE({1,2,3,4},KMB!X381,KMB!AD381,KMB!AJ381,KMB!AP381)))</f>
        <v>0</v>
      </c>
      <c r="G381">
        <f>SUMPRODUCT((MONTH(CHOOSE({1,2,3,4},KMB!U381,KMB!AA381,KMB!AG381,KMB!AM381))=7)*(CHOOSE({1,2,3,4},KMB!X381,KMB!AD381,KMB!AJ381,KMB!AP381)))</f>
        <v>0</v>
      </c>
      <c r="H381">
        <f>SUMPRODUCT((MONTH(CHOOSE({1,2,3,4},KMB!U381,KMB!AA381,KMB!AG381,KMB!AM381))=8)*(CHOOSE({1,2,3,4},KMB!X381,KMB!AD381,KMB!AJ381,KMB!AP381)))</f>
        <v>0</v>
      </c>
      <c r="I381">
        <f>SUMPRODUCT((MONTH(CHOOSE({1,2,3,4},KMB!U381,KMB!AA381,KMB!AG381,KMB!AM381))=9)*(CHOOSE({1,2,3,4},KMB!X381,KMB!AD381,KMB!AJ381,KMB!AP381)))</f>
        <v>0</v>
      </c>
      <c r="J381">
        <f>SUMPRODUCT((MONTH(CHOOSE({1,2,3,4},KMB!U381,KMB!AA381,KMB!AG381,KMB!AM381))=10)*(CHOOSE({1,2,3,4},KMB!X381,KMB!AD381,KMB!AJ381,KMB!AP381)))</f>
        <v>0</v>
      </c>
      <c r="K381">
        <f>SUMPRODUCT((MONTH(CHOOSE({1,2,3,4},KMB!U381,KMB!AA381,KMB!AG381,KMB!AM381))=11)*(CHOOSE({1,2,3,4},KMB!X381,KMB!AD381,KMB!AJ381,KMB!AP381)))</f>
        <v>0</v>
      </c>
      <c r="L381">
        <f>SUMPRODUCT((MONTH(CHOOSE({1,2,3,4},KMB!U381,KMB!AA381,KMB!AG381,KMB!AM381))=12)*(CHOOSE({1,2,3,4},KMB!X381,KMB!AD381,KMB!AJ381,KMB!AP381)))</f>
        <v>0</v>
      </c>
    </row>
    <row r="382" spans="1:12">
      <c r="A382">
        <f>SUMPRODUCT((MONTH(CHOOSE({1,2,3,4},KMB!U382,KMB!AA382,KMB!AG382,KMB!AM382))=1)*(CHOOSE({1,2,3,4},KMB!X382,KMB!AD382,KMB!AJ382,KMB!AP382)))</f>
        <v>0</v>
      </c>
      <c r="B382">
        <f>SUMPRODUCT((MONTH(CHOOSE({1,2,3,4},KMB!U382,KMB!AA382,KMB!AG382,KMB!AM382))=2)*(CHOOSE({1,2,3,4},KMB!X382,KMB!AD382,KMB!AJ382,KMB!AP382)))</f>
        <v>0</v>
      </c>
      <c r="C382">
        <f>SUMPRODUCT((MONTH(CHOOSE({1,2,3,4},KMB!U382,KMB!AA382,KMB!AG382,KMB!AM382))=3)*(CHOOSE({1,2,3,4},KMB!X382,KMB!AD382,KMB!AJ382,KMB!AP382)))</f>
        <v>0</v>
      </c>
      <c r="D382">
        <f>SUMPRODUCT((MONTH(CHOOSE({1,2,3,4},KMB!U382,KMB!AA382,KMB!AG382,KMB!AM382))=4)*(CHOOSE({1,2,3,4},KMB!X382,KMB!AD382,KMB!AJ382,KMB!AP382)))</f>
        <v>0</v>
      </c>
      <c r="E382">
        <f>SUMPRODUCT((MONTH(CHOOSE({1,2,3,4},KMB!U382,KMB!AA382,KMB!AG382,KMB!AM382))=5)*(CHOOSE({1,2,3,4},KMB!X382,KMB!AD382,KMB!AJ382,KMB!AP382)))</f>
        <v>0</v>
      </c>
      <c r="F382">
        <f>SUMPRODUCT((MONTH(CHOOSE({1,2,3,4},KMB!U382,KMB!AA382,KMB!AG382,KMB!AM382))=6)*(CHOOSE({1,2,3,4},KMB!X382,KMB!AD382,KMB!AJ382,KMB!AP382)))</f>
        <v>0</v>
      </c>
      <c r="G382">
        <f>SUMPRODUCT((MONTH(CHOOSE({1,2,3,4},KMB!U382,KMB!AA382,KMB!AG382,KMB!AM382))=7)*(CHOOSE({1,2,3,4},KMB!X382,KMB!AD382,KMB!AJ382,KMB!AP382)))</f>
        <v>0</v>
      </c>
      <c r="H382">
        <f>SUMPRODUCT((MONTH(CHOOSE({1,2,3,4},KMB!U382,KMB!AA382,KMB!AG382,KMB!AM382))=8)*(CHOOSE({1,2,3,4},KMB!X382,KMB!AD382,KMB!AJ382,KMB!AP382)))</f>
        <v>0</v>
      </c>
      <c r="I382">
        <f>SUMPRODUCT((MONTH(CHOOSE({1,2,3,4},KMB!U382,KMB!AA382,KMB!AG382,KMB!AM382))=9)*(CHOOSE({1,2,3,4},KMB!X382,KMB!AD382,KMB!AJ382,KMB!AP382)))</f>
        <v>0</v>
      </c>
      <c r="J382">
        <f>SUMPRODUCT((MONTH(CHOOSE({1,2,3,4},KMB!U382,KMB!AA382,KMB!AG382,KMB!AM382))=10)*(CHOOSE({1,2,3,4},KMB!X382,KMB!AD382,KMB!AJ382,KMB!AP382)))</f>
        <v>0</v>
      </c>
      <c r="K382">
        <f>SUMPRODUCT((MONTH(CHOOSE({1,2,3,4},KMB!U382,KMB!AA382,KMB!AG382,KMB!AM382))=11)*(CHOOSE({1,2,3,4},KMB!X382,KMB!AD382,KMB!AJ382,KMB!AP382)))</f>
        <v>0</v>
      </c>
      <c r="L382">
        <f>SUMPRODUCT((MONTH(CHOOSE({1,2,3,4},KMB!U382,KMB!AA382,KMB!AG382,KMB!AM382))=12)*(CHOOSE({1,2,3,4},KMB!X382,KMB!AD382,KMB!AJ382,KMB!AP382)))</f>
        <v>0</v>
      </c>
    </row>
    <row r="383" spans="1:12">
      <c r="A383">
        <f>SUMPRODUCT((MONTH(CHOOSE({1,2,3,4},KMB!U383,KMB!AA383,KMB!AG383,KMB!AM383))=1)*(CHOOSE({1,2,3,4},KMB!X383,KMB!AD383,KMB!AJ383,KMB!AP383)))</f>
        <v>0</v>
      </c>
      <c r="B383">
        <f>SUMPRODUCT((MONTH(CHOOSE({1,2,3,4},KMB!U383,KMB!AA383,KMB!AG383,KMB!AM383))=2)*(CHOOSE({1,2,3,4},KMB!X383,KMB!AD383,KMB!AJ383,KMB!AP383)))</f>
        <v>0</v>
      </c>
      <c r="C383">
        <f>SUMPRODUCT((MONTH(CHOOSE({1,2,3,4},KMB!U383,KMB!AA383,KMB!AG383,KMB!AM383))=3)*(CHOOSE({1,2,3,4},KMB!X383,KMB!AD383,KMB!AJ383,KMB!AP383)))</f>
        <v>0</v>
      </c>
      <c r="D383">
        <f>SUMPRODUCT((MONTH(CHOOSE({1,2,3,4},KMB!U383,KMB!AA383,KMB!AG383,KMB!AM383))=4)*(CHOOSE({1,2,3,4},KMB!X383,KMB!AD383,KMB!AJ383,KMB!AP383)))</f>
        <v>0</v>
      </c>
      <c r="E383">
        <f>SUMPRODUCT((MONTH(CHOOSE({1,2,3,4},KMB!U383,KMB!AA383,KMB!AG383,KMB!AM383))=5)*(CHOOSE({1,2,3,4},KMB!X383,KMB!AD383,KMB!AJ383,KMB!AP383)))</f>
        <v>0</v>
      </c>
      <c r="F383">
        <f>SUMPRODUCT((MONTH(CHOOSE({1,2,3,4},KMB!U383,KMB!AA383,KMB!AG383,KMB!AM383))=6)*(CHOOSE({1,2,3,4},KMB!X383,KMB!AD383,KMB!AJ383,KMB!AP383)))</f>
        <v>0</v>
      </c>
      <c r="G383">
        <f>SUMPRODUCT((MONTH(CHOOSE({1,2,3,4},KMB!U383,KMB!AA383,KMB!AG383,KMB!AM383))=7)*(CHOOSE({1,2,3,4},KMB!X383,KMB!AD383,KMB!AJ383,KMB!AP383)))</f>
        <v>0</v>
      </c>
      <c r="H383">
        <f>SUMPRODUCT((MONTH(CHOOSE({1,2,3,4},KMB!U383,KMB!AA383,KMB!AG383,KMB!AM383))=8)*(CHOOSE({1,2,3,4},KMB!X383,KMB!AD383,KMB!AJ383,KMB!AP383)))</f>
        <v>0</v>
      </c>
      <c r="I383">
        <f>SUMPRODUCT((MONTH(CHOOSE({1,2,3,4},KMB!U383,KMB!AA383,KMB!AG383,KMB!AM383))=9)*(CHOOSE({1,2,3,4},KMB!X383,KMB!AD383,KMB!AJ383,KMB!AP383)))</f>
        <v>0</v>
      </c>
      <c r="J383">
        <f>SUMPRODUCT((MONTH(CHOOSE({1,2,3,4},KMB!U383,KMB!AA383,KMB!AG383,KMB!AM383))=10)*(CHOOSE({1,2,3,4},KMB!X383,KMB!AD383,KMB!AJ383,KMB!AP383)))</f>
        <v>0</v>
      </c>
      <c r="K383">
        <f>SUMPRODUCT((MONTH(CHOOSE({1,2,3,4},KMB!U383,KMB!AA383,KMB!AG383,KMB!AM383))=11)*(CHOOSE({1,2,3,4},KMB!X383,KMB!AD383,KMB!AJ383,KMB!AP383)))</f>
        <v>0</v>
      </c>
      <c r="L383">
        <f>SUMPRODUCT((MONTH(CHOOSE({1,2,3,4},KMB!U383,KMB!AA383,KMB!AG383,KMB!AM383))=12)*(CHOOSE({1,2,3,4},KMB!X383,KMB!AD383,KMB!AJ383,KMB!AP383)))</f>
        <v>0</v>
      </c>
    </row>
    <row r="384" spans="1:12">
      <c r="A384">
        <f>SUMPRODUCT((MONTH(CHOOSE({1,2,3,4},KMB!U384,KMB!AA384,KMB!AG384,KMB!AM384))=1)*(CHOOSE({1,2,3,4},KMB!X384,KMB!AD384,KMB!AJ384,KMB!AP384)))</f>
        <v>0</v>
      </c>
      <c r="B384">
        <f>SUMPRODUCT((MONTH(CHOOSE({1,2,3,4},KMB!U384,KMB!AA384,KMB!AG384,KMB!AM384))=2)*(CHOOSE({1,2,3,4},KMB!X384,KMB!AD384,KMB!AJ384,KMB!AP384)))</f>
        <v>0</v>
      </c>
      <c r="C384">
        <f>SUMPRODUCT((MONTH(CHOOSE({1,2,3,4},KMB!U384,KMB!AA384,KMB!AG384,KMB!AM384))=3)*(CHOOSE({1,2,3,4},KMB!X384,KMB!AD384,KMB!AJ384,KMB!AP384)))</f>
        <v>0</v>
      </c>
      <c r="D384">
        <f>SUMPRODUCT((MONTH(CHOOSE({1,2,3,4},KMB!U384,KMB!AA384,KMB!AG384,KMB!AM384))=4)*(CHOOSE({1,2,3,4},KMB!X384,KMB!AD384,KMB!AJ384,KMB!AP384)))</f>
        <v>0</v>
      </c>
      <c r="E384">
        <f>SUMPRODUCT((MONTH(CHOOSE({1,2,3,4},KMB!U384,KMB!AA384,KMB!AG384,KMB!AM384))=5)*(CHOOSE({1,2,3,4},KMB!X384,KMB!AD384,KMB!AJ384,KMB!AP384)))</f>
        <v>0</v>
      </c>
      <c r="F384">
        <f>SUMPRODUCT((MONTH(CHOOSE({1,2,3,4},KMB!U384,KMB!AA384,KMB!AG384,KMB!AM384))=6)*(CHOOSE({1,2,3,4},KMB!X384,KMB!AD384,KMB!AJ384,KMB!AP384)))</f>
        <v>0</v>
      </c>
      <c r="G384">
        <f>SUMPRODUCT((MONTH(CHOOSE({1,2,3,4},KMB!U384,KMB!AA384,KMB!AG384,KMB!AM384))=7)*(CHOOSE({1,2,3,4},KMB!X384,KMB!AD384,KMB!AJ384,KMB!AP384)))</f>
        <v>0</v>
      </c>
      <c r="H384">
        <f>SUMPRODUCT((MONTH(CHOOSE({1,2,3,4},KMB!U384,KMB!AA384,KMB!AG384,KMB!AM384))=8)*(CHOOSE({1,2,3,4},KMB!X384,KMB!AD384,KMB!AJ384,KMB!AP384)))</f>
        <v>0</v>
      </c>
      <c r="I384">
        <f>SUMPRODUCT((MONTH(CHOOSE({1,2,3,4},KMB!U384,KMB!AA384,KMB!AG384,KMB!AM384))=9)*(CHOOSE({1,2,3,4},KMB!X384,KMB!AD384,KMB!AJ384,KMB!AP384)))</f>
        <v>0</v>
      </c>
      <c r="J384">
        <f>SUMPRODUCT((MONTH(CHOOSE({1,2,3,4},KMB!U384,KMB!AA384,KMB!AG384,KMB!AM384))=10)*(CHOOSE({1,2,3,4},KMB!X384,KMB!AD384,KMB!AJ384,KMB!AP384)))</f>
        <v>0</v>
      </c>
      <c r="K384">
        <f>SUMPRODUCT((MONTH(CHOOSE({1,2,3,4},KMB!U384,KMB!AA384,KMB!AG384,KMB!AM384))=11)*(CHOOSE({1,2,3,4},KMB!X384,KMB!AD384,KMB!AJ384,KMB!AP384)))</f>
        <v>0</v>
      </c>
      <c r="L384">
        <f>SUMPRODUCT((MONTH(CHOOSE({1,2,3,4},KMB!U384,KMB!AA384,KMB!AG384,KMB!AM384))=12)*(CHOOSE({1,2,3,4},KMB!X384,KMB!AD384,KMB!AJ384,KMB!AP384)))</f>
        <v>0</v>
      </c>
    </row>
    <row r="385" spans="1:12">
      <c r="A385">
        <f>SUMPRODUCT((MONTH(CHOOSE({1,2,3,4},KMB!U385,KMB!AA385,KMB!AG385,KMB!AM385))=1)*(CHOOSE({1,2,3,4},KMB!X385,KMB!AD385,KMB!AJ385,KMB!AP385)))</f>
        <v>0</v>
      </c>
      <c r="B385">
        <f>SUMPRODUCT((MONTH(CHOOSE({1,2,3,4},KMB!U385,KMB!AA385,KMB!AG385,KMB!AM385))=2)*(CHOOSE({1,2,3,4},KMB!X385,KMB!AD385,KMB!AJ385,KMB!AP385)))</f>
        <v>0</v>
      </c>
      <c r="C385">
        <f>SUMPRODUCT((MONTH(CHOOSE({1,2,3,4},KMB!U385,KMB!AA385,KMB!AG385,KMB!AM385))=3)*(CHOOSE({1,2,3,4},KMB!X385,KMB!AD385,KMB!AJ385,KMB!AP385)))</f>
        <v>0</v>
      </c>
      <c r="D385">
        <f>SUMPRODUCT((MONTH(CHOOSE({1,2,3,4},KMB!U385,KMB!AA385,KMB!AG385,KMB!AM385))=4)*(CHOOSE({1,2,3,4},KMB!X385,KMB!AD385,KMB!AJ385,KMB!AP385)))</f>
        <v>0</v>
      </c>
      <c r="E385">
        <f>SUMPRODUCT((MONTH(CHOOSE({1,2,3,4},KMB!U385,KMB!AA385,KMB!AG385,KMB!AM385))=5)*(CHOOSE({1,2,3,4},KMB!X385,KMB!AD385,KMB!AJ385,KMB!AP385)))</f>
        <v>0</v>
      </c>
      <c r="F385">
        <f>SUMPRODUCT((MONTH(CHOOSE({1,2,3,4},KMB!U385,KMB!AA385,KMB!AG385,KMB!AM385))=6)*(CHOOSE({1,2,3,4},KMB!X385,KMB!AD385,KMB!AJ385,KMB!AP385)))</f>
        <v>0</v>
      </c>
      <c r="G385">
        <f>SUMPRODUCT((MONTH(CHOOSE({1,2,3,4},KMB!U385,KMB!AA385,KMB!AG385,KMB!AM385))=7)*(CHOOSE({1,2,3,4},KMB!X385,KMB!AD385,KMB!AJ385,KMB!AP385)))</f>
        <v>0</v>
      </c>
      <c r="H385">
        <f>SUMPRODUCT((MONTH(CHOOSE({1,2,3,4},KMB!U385,KMB!AA385,KMB!AG385,KMB!AM385))=8)*(CHOOSE({1,2,3,4},KMB!X385,KMB!AD385,KMB!AJ385,KMB!AP385)))</f>
        <v>0</v>
      </c>
      <c r="I385">
        <f>SUMPRODUCT((MONTH(CHOOSE({1,2,3,4},KMB!U385,KMB!AA385,KMB!AG385,KMB!AM385))=9)*(CHOOSE({1,2,3,4},KMB!X385,KMB!AD385,KMB!AJ385,KMB!AP385)))</f>
        <v>0</v>
      </c>
      <c r="J385">
        <f>SUMPRODUCT((MONTH(CHOOSE({1,2,3,4},KMB!U385,KMB!AA385,KMB!AG385,KMB!AM385))=10)*(CHOOSE({1,2,3,4},KMB!X385,KMB!AD385,KMB!AJ385,KMB!AP385)))</f>
        <v>0</v>
      </c>
      <c r="K385">
        <f>SUMPRODUCT((MONTH(CHOOSE({1,2,3,4},KMB!U385,KMB!AA385,KMB!AG385,KMB!AM385))=11)*(CHOOSE({1,2,3,4},KMB!X385,KMB!AD385,KMB!AJ385,KMB!AP385)))</f>
        <v>0</v>
      </c>
      <c r="L385">
        <f>SUMPRODUCT((MONTH(CHOOSE({1,2,3,4},KMB!U385,KMB!AA385,KMB!AG385,KMB!AM385))=12)*(CHOOSE({1,2,3,4},KMB!X385,KMB!AD385,KMB!AJ385,KMB!AP385)))</f>
        <v>0</v>
      </c>
    </row>
    <row r="386" spans="1:12">
      <c r="A386">
        <f>SUMPRODUCT((MONTH(CHOOSE({1,2,3,4},KMB!U386,KMB!AA386,KMB!AG386,KMB!AM386))=1)*(CHOOSE({1,2,3,4},KMB!X386,KMB!AD386,KMB!AJ386,KMB!AP386)))</f>
        <v>0</v>
      </c>
      <c r="B386">
        <f>SUMPRODUCT((MONTH(CHOOSE({1,2,3,4},KMB!U386,KMB!AA386,KMB!AG386,KMB!AM386))=2)*(CHOOSE({1,2,3,4},KMB!X386,KMB!AD386,KMB!AJ386,KMB!AP386)))</f>
        <v>0</v>
      </c>
      <c r="C386">
        <f>SUMPRODUCT((MONTH(CHOOSE({1,2,3,4},KMB!U386,KMB!AA386,KMB!AG386,KMB!AM386))=3)*(CHOOSE({1,2,3,4},KMB!X386,KMB!AD386,KMB!AJ386,KMB!AP386)))</f>
        <v>0</v>
      </c>
      <c r="D386">
        <f>SUMPRODUCT((MONTH(CHOOSE({1,2,3,4},KMB!U386,KMB!AA386,KMB!AG386,KMB!AM386))=4)*(CHOOSE({1,2,3,4},KMB!X386,KMB!AD386,KMB!AJ386,KMB!AP386)))</f>
        <v>0</v>
      </c>
      <c r="E386">
        <f>SUMPRODUCT((MONTH(CHOOSE({1,2,3,4},KMB!U386,KMB!AA386,KMB!AG386,KMB!AM386))=5)*(CHOOSE({1,2,3,4},KMB!X386,KMB!AD386,KMB!AJ386,KMB!AP386)))</f>
        <v>0</v>
      </c>
      <c r="F386">
        <f>SUMPRODUCT((MONTH(CHOOSE({1,2,3,4},KMB!U386,KMB!AA386,KMB!AG386,KMB!AM386))=6)*(CHOOSE({1,2,3,4},KMB!X386,KMB!AD386,KMB!AJ386,KMB!AP386)))</f>
        <v>0</v>
      </c>
      <c r="G386">
        <f>SUMPRODUCT((MONTH(CHOOSE({1,2,3,4},KMB!U386,KMB!AA386,KMB!AG386,KMB!AM386))=7)*(CHOOSE({1,2,3,4},KMB!X386,KMB!AD386,KMB!AJ386,KMB!AP386)))</f>
        <v>0</v>
      </c>
      <c r="H386">
        <f>SUMPRODUCT((MONTH(CHOOSE({1,2,3,4},KMB!U386,KMB!AA386,KMB!AG386,KMB!AM386))=8)*(CHOOSE({1,2,3,4},KMB!X386,KMB!AD386,KMB!AJ386,KMB!AP386)))</f>
        <v>0</v>
      </c>
      <c r="I386">
        <f>SUMPRODUCT((MONTH(CHOOSE({1,2,3,4},KMB!U386,KMB!AA386,KMB!AG386,KMB!AM386))=9)*(CHOOSE({1,2,3,4},KMB!X386,KMB!AD386,KMB!AJ386,KMB!AP386)))</f>
        <v>0</v>
      </c>
      <c r="J386">
        <f>SUMPRODUCT((MONTH(CHOOSE({1,2,3,4},KMB!U386,KMB!AA386,KMB!AG386,KMB!AM386))=10)*(CHOOSE({1,2,3,4},KMB!X386,KMB!AD386,KMB!AJ386,KMB!AP386)))</f>
        <v>0</v>
      </c>
      <c r="K386">
        <f>SUMPRODUCT((MONTH(CHOOSE({1,2,3,4},KMB!U386,KMB!AA386,KMB!AG386,KMB!AM386))=11)*(CHOOSE({1,2,3,4},KMB!X386,KMB!AD386,KMB!AJ386,KMB!AP386)))</f>
        <v>0</v>
      </c>
      <c r="L386">
        <f>SUMPRODUCT((MONTH(CHOOSE({1,2,3,4},KMB!U386,KMB!AA386,KMB!AG386,KMB!AM386))=12)*(CHOOSE({1,2,3,4},KMB!X386,KMB!AD386,KMB!AJ386,KMB!AP386)))</f>
        <v>0</v>
      </c>
    </row>
    <row r="387" spans="1:12">
      <c r="A387">
        <f>SUMPRODUCT((MONTH(CHOOSE({1,2,3,4},KMB!U387,KMB!AA387,KMB!AG387,KMB!AM387))=1)*(CHOOSE({1,2,3,4},KMB!X387,KMB!AD387,KMB!AJ387,KMB!AP387)))</f>
        <v>0</v>
      </c>
      <c r="B387">
        <f>SUMPRODUCT((MONTH(CHOOSE({1,2,3,4},KMB!U387,KMB!AA387,KMB!AG387,KMB!AM387))=2)*(CHOOSE({1,2,3,4},KMB!X387,KMB!AD387,KMB!AJ387,KMB!AP387)))</f>
        <v>0</v>
      </c>
      <c r="C387">
        <f>SUMPRODUCT((MONTH(CHOOSE({1,2,3,4},KMB!U387,KMB!AA387,KMB!AG387,KMB!AM387))=3)*(CHOOSE({1,2,3,4},KMB!X387,KMB!AD387,KMB!AJ387,KMB!AP387)))</f>
        <v>0</v>
      </c>
      <c r="D387">
        <f>SUMPRODUCT((MONTH(CHOOSE({1,2,3,4},KMB!U387,KMB!AA387,KMB!AG387,KMB!AM387))=4)*(CHOOSE({1,2,3,4},KMB!X387,KMB!AD387,KMB!AJ387,KMB!AP387)))</f>
        <v>0</v>
      </c>
      <c r="E387">
        <f>SUMPRODUCT((MONTH(CHOOSE({1,2,3,4},KMB!U387,KMB!AA387,KMB!AG387,KMB!AM387))=5)*(CHOOSE({1,2,3,4},KMB!X387,KMB!AD387,KMB!AJ387,KMB!AP387)))</f>
        <v>0</v>
      </c>
      <c r="F387">
        <f>SUMPRODUCT((MONTH(CHOOSE({1,2,3,4},KMB!U387,KMB!AA387,KMB!AG387,KMB!AM387))=6)*(CHOOSE({1,2,3,4},KMB!X387,KMB!AD387,KMB!AJ387,KMB!AP387)))</f>
        <v>0</v>
      </c>
      <c r="G387">
        <f>SUMPRODUCT((MONTH(CHOOSE({1,2,3,4},KMB!U387,KMB!AA387,KMB!AG387,KMB!AM387))=7)*(CHOOSE({1,2,3,4},KMB!X387,KMB!AD387,KMB!AJ387,KMB!AP387)))</f>
        <v>0</v>
      </c>
      <c r="H387">
        <f>SUMPRODUCT((MONTH(CHOOSE({1,2,3,4},KMB!U387,KMB!AA387,KMB!AG387,KMB!AM387))=8)*(CHOOSE({1,2,3,4},KMB!X387,KMB!AD387,KMB!AJ387,KMB!AP387)))</f>
        <v>0</v>
      </c>
      <c r="I387">
        <f>SUMPRODUCT((MONTH(CHOOSE({1,2,3,4},KMB!U387,KMB!AA387,KMB!AG387,KMB!AM387))=9)*(CHOOSE({1,2,3,4},KMB!X387,KMB!AD387,KMB!AJ387,KMB!AP387)))</f>
        <v>0</v>
      </c>
      <c r="J387">
        <f>SUMPRODUCT((MONTH(CHOOSE({1,2,3,4},KMB!U387,KMB!AA387,KMB!AG387,KMB!AM387))=10)*(CHOOSE({1,2,3,4},KMB!X387,KMB!AD387,KMB!AJ387,KMB!AP387)))</f>
        <v>0</v>
      </c>
      <c r="K387">
        <f>SUMPRODUCT((MONTH(CHOOSE({1,2,3,4},KMB!U387,KMB!AA387,KMB!AG387,KMB!AM387))=11)*(CHOOSE({1,2,3,4},KMB!X387,KMB!AD387,KMB!AJ387,KMB!AP387)))</f>
        <v>0</v>
      </c>
      <c r="L387">
        <f>SUMPRODUCT((MONTH(CHOOSE({1,2,3,4},KMB!U387,KMB!AA387,KMB!AG387,KMB!AM387))=12)*(CHOOSE({1,2,3,4},KMB!X387,KMB!AD387,KMB!AJ387,KMB!AP387)))</f>
        <v>0</v>
      </c>
    </row>
    <row r="388" spans="1:12">
      <c r="A388">
        <f>SUMPRODUCT((MONTH(CHOOSE({1,2,3,4},KMB!U388,KMB!AA388,KMB!AG388,KMB!AM388))=1)*(CHOOSE({1,2,3,4},KMB!X388,KMB!AD388,KMB!AJ388,KMB!AP388)))</f>
        <v>0</v>
      </c>
      <c r="B388">
        <f>SUMPRODUCT((MONTH(CHOOSE({1,2,3,4},KMB!U388,KMB!AA388,KMB!AG388,KMB!AM388))=2)*(CHOOSE({1,2,3,4},KMB!X388,KMB!AD388,KMB!AJ388,KMB!AP388)))</f>
        <v>0</v>
      </c>
      <c r="C388">
        <f>SUMPRODUCT((MONTH(CHOOSE({1,2,3,4},KMB!U388,KMB!AA388,KMB!AG388,KMB!AM388))=3)*(CHOOSE({1,2,3,4},KMB!X388,KMB!AD388,KMB!AJ388,KMB!AP388)))</f>
        <v>0</v>
      </c>
      <c r="D388">
        <f>SUMPRODUCT((MONTH(CHOOSE({1,2,3,4},KMB!U388,KMB!AA388,KMB!AG388,KMB!AM388))=4)*(CHOOSE({1,2,3,4},KMB!X388,KMB!AD388,KMB!AJ388,KMB!AP388)))</f>
        <v>0</v>
      </c>
      <c r="E388">
        <f>SUMPRODUCT((MONTH(CHOOSE({1,2,3,4},KMB!U388,KMB!AA388,KMB!AG388,KMB!AM388))=5)*(CHOOSE({1,2,3,4},KMB!X388,KMB!AD388,KMB!AJ388,KMB!AP388)))</f>
        <v>0</v>
      </c>
      <c r="F388">
        <f>SUMPRODUCT((MONTH(CHOOSE({1,2,3,4},KMB!U388,KMB!AA388,KMB!AG388,KMB!AM388))=6)*(CHOOSE({1,2,3,4},KMB!X388,KMB!AD388,KMB!AJ388,KMB!AP388)))</f>
        <v>0</v>
      </c>
      <c r="G388">
        <f>SUMPRODUCT((MONTH(CHOOSE({1,2,3,4},KMB!U388,KMB!AA388,KMB!AG388,KMB!AM388))=7)*(CHOOSE({1,2,3,4},KMB!X388,KMB!AD388,KMB!AJ388,KMB!AP388)))</f>
        <v>0</v>
      </c>
      <c r="H388">
        <f>SUMPRODUCT((MONTH(CHOOSE({1,2,3,4},KMB!U388,KMB!AA388,KMB!AG388,KMB!AM388))=8)*(CHOOSE({1,2,3,4},KMB!X388,KMB!AD388,KMB!AJ388,KMB!AP388)))</f>
        <v>0</v>
      </c>
      <c r="I388">
        <f>SUMPRODUCT((MONTH(CHOOSE({1,2,3,4},KMB!U388,KMB!AA388,KMB!AG388,KMB!AM388))=9)*(CHOOSE({1,2,3,4},KMB!X388,KMB!AD388,KMB!AJ388,KMB!AP388)))</f>
        <v>0</v>
      </c>
      <c r="J388">
        <f>SUMPRODUCT((MONTH(CHOOSE({1,2,3,4},KMB!U388,KMB!AA388,KMB!AG388,KMB!AM388))=10)*(CHOOSE({1,2,3,4},KMB!X388,KMB!AD388,KMB!AJ388,KMB!AP388)))</f>
        <v>0</v>
      </c>
      <c r="K388">
        <f>SUMPRODUCT((MONTH(CHOOSE({1,2,3,4},KMB!U388,KMB!AA388,KMB!AG388,KMB!AM388))=11)*(CHOOSE({1,2,3,4},KMB!X388,KMB!AD388,KMB!AJ388,KMB!AP388)))</f>
        <v>0</v>
      </c>
      <c r="L388">
        <f>SUMPRODUCT((MONTH(CHOOSE({1,2,3,4},KMB!U388,KMB!AA388,KMB!AG388,KMB!AM388))=12)*(CHOOSE({1,2,3,4},KMB!X388,KMB!AD388,KMB!AJ388,KMB!AP388)))</f>
        <v>0</v>
      </c>
    </row>
    <row r="389" spans="1:12">
      <c r="A389">
        <f>SUMPRODUCT((MONTH(CHOOSE({1,2,3,4},KMB!U389,KMB!AA389,KMB!AG389,KMB!AM389))=1)*(CHOOSE({1,2,3,4},KMB!X389,KMB!AD389,KMB!AJ389,KMB!AP389)))</f>
        <v>0</v>
      </c>
      <c r="B389">
        <f>SUMPRODUCT((MONTH(CHOOSE({1,2,3,4},KMB!U389,KMB!AA389,KMB!AG389,KMB!AM389))=2)*(CHOOSE({1,2,3,4},KMB!X389,KMB!AD389,KMB!AJ389,KMB!AP389)))</f>
        <v>0</v>
      </c>
      <c r="C389">
        <f>SUMPRODUCT((MONTH(CHOOSE({1,2,3,4},KMB!U389,KMB!AA389,KMB!AG389,KMB!AM389))=3)*(CHOOSE({1,2,3,4},KMB!X389,KMB!AD389,KMB!AJ389,KMB!AP389)))</f>
        <v>0</v>
      </c>
      <c r="D389">
        <f>SUMPRODUCT((MONTH(CHOOSE({1,2,3,4},KMB!U389,KMB!AA389,KMB!AG389,KMB!AM389))=4)*(CHOOSE({1,2,3,4},KMB!X389,KMB!AD389,KMB!AJ389,KMB!AP389)))</f>
        <v>0</v>
      </c>
      <c r="E389">
        <f>SUMPRODUCT((MONTH(CHOOSE({1,2,3,4},KMB!U389,KMB!AA389,KMB!AG389,KMB!AM389))=5)*(CHOOSE({1,2,3,4},KMB!X389,KMB!AD389,KMB!AJ389,KMB!AP389)))</f>
        <v>0</v>
      </c>
      <c r="F389">
        <f>SUMPRODUCT((MONTH(CHOOSE({1,2,3,4},KMB!U389,KMB!AA389,KMB!AG389,KMB!AM389))=6)*(CHOOSE({1,2,3,4},KMB!X389,KMB!AD389,KMB!AJ389,KMB!AP389)))</f>
        <v>0</v>
      </c>
      <c r="G389">
        <f>SUMPRODUCT((MONTH(CHOOSE({1,2,3,4},KMB!U389,KMB!AA389,KMB!AG389,KMB!AM389))=7)*(CHOOSE({1,2,3,4},KMB!X389,KMB!AD389,KMB!AJ389,KMB!AP389)))</f>
        <v>0</v>
      </c>
      <c r="H389">
        <f>SUMPRODUCT((MONTH(CHOOSE({1,2,3,4},KMB!U389,KMB!AA389,KMB!AG389,KMB!AM389))=8)*(CHOOSE({1,2,3,4},KMB!X389,KMB!AD389,KMB!AJ389,KMB!AP389)))</f>
        <v>0</v>
      </c>
      <c r="I389">
        <f>SUMPRODUCT((MONTH(CHOOSE({1,2,3,4},KMB!U389,KMB!AA389,KMB!AG389,KMB!AM389))=9)*(CHOOSE({1,2,3,4},KMB!X389,KMB!AD389,KMB!AJ389,KMB!AP389)))</f>
        <v>0</v>
      </c>
      <c r="J389">
        <f>SUMPRODUCT((MONTH(CHOOSE({1,2,3,4},KMB!U389,KMB!AA389,KMB!AG389,KMB!AM389))=10)*(CHOOSE({1,2,3,4},KMB!X389,KMB!AD389,KMB!AJ389,KMB!AP389)))</f>
        <v>0</v>
      </c>
      <c r="K389">
        <f>SUMPRODUCT((MONTH(CHOOSE({1,2,3,4},KMB!U389,KMB!AA389,KMB!AG389,KMB!AM389))=11)*(CHOOSE({1,2,3,4},KMB!X389,KMB!AD389,KMB!AJ389,KMB!AP389)))</f>
        <v>0</v>
      </c>
      <c r="L389">
        <f>SUMPRODUCT((MONTH(CHOOSE({1,2,3,4},KMB!U389,KMB!AA389,KMB!AG389,KMB!AM389))=12)*(CHOOSE({1,2,3,4},KMB!X389,KMB!AD389,KMB!AJ389,KMB!AP389)))</f>
        <v>0</v>
      </c>
    </row>
    <row r="390" spans="1:12">
      <c r="A390">
        <f>SUMPRODUCT((MONTH(CHOOSE({1,2,3,4},KMB!U390,KMB!AA390,KMB!AG390,KMB!AM390))=1)*(CHOOSE({1,2,3,4},KMB!X390,KMB!AD390,KMB!AJ390,KMB!AP390)))</f>
        <v>0</v>
      </c>
      <c r="B390">
        <f>SUMPRODUCT((MONTH(CHOOSE({1,2,3,4},KMB!U390,KMB!AA390,KMB!AG390,KMB!AM390))=2)*(CHOOSE({1,2,3,4},KMB!X390,KMB!AD390,KMB!AJ390,KMB!AP390)))</f>
        <v>0</v>
      </c>
      <c r="C390">
        <f>SUMPRODUCT((MONTH(CHOOSE({1,2,3,4},KMB!U390,KMB!AA390,KMB!AG390,KMB!AM390))=3)*(CHOOSE({1,2,3,4},KMB!X390,KMB!AD390,KMB!AJ390,KMB!AP390)))</f>
        <v>0</v>
      </c>
      <c r="D390">
        <f>SUMPRODUCT((MONTH(CHOOSE({1,2,3,4},KMB!U390,KMB!AA390,KMB!AG390,KMB!AM390))=4)*(CHOOSE({1,2,3,4},KMB!X390,KMB!AD390,KMB!AJ390,KMB!AP390)))</f>
        <v>0</v>
      </c>
      <c r="E390">
        <f>SUMPRODUCT((MONTH(CHOOSE({1,2,3,4},KMB!U390,KMB!AA390,KMB!AG390,KMB!AM390))=5)*(CHOOSE({1,2,3,4},KMB!X390,KMB!AD390,KMB!AJ390,KMB!AP390)))</f>
        <v>0</v>
      </c>
      <c r="F390">
        <f>SUMPRODUCT((MONTH(CHOOSE({1,2,3,4},KMB!U390,KMB!AA390,KMB!AG390,KMB!AM390))=6)*(CHOOSE({1,2,3,4},KMB!X390,KMB!AD390,KMB!AJ390,KMB!AP390)))</f>
        <v>0</v>
      </c>
      <c r="G390">
        <f>SUMPRODUCT((MONTH(CHOOSE({1,2,3,4},KMB!U390,KMB!AA390,KMB!AG390,KMB!AM390))=7)*(CHOOSE({1,2,3,4},KMB!X390,KMB!AD390,KMB!AJ390,KMB!AP390)))</f>
        <v>0</v>
      </c>
      <c r="H390">
        <f>SUMPRODUCT((MONTH(CHOOSE({1,2,3,4},KMB!U390,KMB!AA390,KMB!AG390,KMB!AM390))=8)*(CHOOSE({1,2,3,4},KMB!X390,KMB!AD390,KMB!AJ390,KMB!AP390)))</f>
        <v>0</v>
      </c>
      <c r="I390">
        <f>SUMPRODUCT((MONTH(CHOOSE({1,2,3,4},KMB!U390,KMB!AA390,KMB!AG390,KMB!AM390))=9)*(CHOOSE({1,2,3,4},KMB!X390,KMB!AD390,KMB!AJ390,KMB!AP390)))</f>
        <v>0</v>
      </c>
      <c r="J390">
        <f>SUMPRODUCT((MONTH(CHOOSE({1,2,3,4},KMB!U390,KMB!AA390,KMB!AG390,KMB!AM390))=10)*(CHOOSE({1,2,3,4},KMB!X390,KMB!AD390,KMB!AJ390,KMB!AP390)))</f>
        <v>0</v>
      </c>
      <c r="K390">
        <f>SUMPRODUCT((MONTH(CHOOSE({1,2,3,4},KMB!U390,KMB!AA390,KMB!AG390,KMB!AM390))=11)*(CHOOSE({1,2,3,4},KMB!X390,KMB!AD390,KMB!AJ390,KMB!AP390)))</f>
        <v>0</v>
      </c>
      <c r="L390">
        <f>SUMPRODUCT((MONTH(CHOOSE({1,2,3,4},KMB!U390,KMB!AA390,KMB!AG390,KMB!AM390))=12)*(CHOOSE({1,2,3,4},KMB!X390,KMB!AD390,KMB!AJ390,KMB!AP390)))</f>
        <v>0</v>
      </c>
    </row>
    <row r="391" spans="1:12">
      <c r="A391">
        <f>SUMPRODUCT((MONTH(CHOOSE({1,2,3,4},KMB!U391,KMB!AA391,KMB!AG391,KMB!AM391))=1)*(CHOOSE({1,2,3,4},KMB!X391,KMB!AD391,KMB!AJ391,KMB!AP391)))</f>
        <v>0</v>
      </c>
      <c r="B391">
        <f>SUMPRODUCT((MONTH(CHOOSE({1,2,3,4},KMB!U391,KMB!AA391,KMB!AG391,KMB!AM391))=2)*(CHOOSE({1,2,3,4},KMB!X391,KMB!AD391,KMB!AJ391,KMB!AP391)))</f>
        <v>0</v>
      </c>
      <c r="C391">
        <f>SUMPRODUCT((MONTH(CHOOSE({1,2,3,4},KMB!U391,KMB!AA391,KMB!AG391,KMB!AM391))=3)*(CHOOSE({1,2,3,4},KMB!X391,KMB!AD391,KMB!AJ391,KMB!AP391)))</f>
        <v>0</v>
      </c>
      <c r="D391">
        <f>SUMPRODUCT((MONTH(CHOOSE({1,2,3,4},KMB!U391,KMB!AA391,KMB!AG391,KMB!AM391))=4)*(CHOOSE({1,2,3,4},KMB!X391,KMB!AD391,KMB!AJ391,KMB!AP391)))</f>
        <v>0</v>
      </c>
      <c r="E391">
        <f>SUMPRODUCT((MONTH(CHOOSE({1,2,3,4},KMB!U391,KMB!AA391,KMB!AG391,KMB!AM391))=5)*(CHOOSE({1,2,3,4},KMB!X391,KMB!AD391,KMB!AJ391,KMB!AP391)))</f>
        <v>0</v>
      </c>
      <c r="F391">
        <f>SUMPRODUCT((MONTH(CHOOSE({1,2,3,4},KMB!U391,KMB!AA391,KMB!AG391,KMB!AM391))=6)*(CHOOSE({1,2,3,4},KMB!X391,KMB!AD391,KMB!AJ391,KMB!AP391)))</f>
        <v>0</v>
      </c>
      <c r="G391">
        <f>SUMPRODUCT((MONTH(CHOOSE({1,2,3,4},KMB!U391,KMB!AA391,KMB!AG391,KMB!AM391))=7)*(CHOOSE({1,2,3,4},KMB!X391,KMB!AD391,KMB!AJ391,KMB!AP391)))</f>
        <v>0</v>
      </c>
      <c r="H391">
        <f>SUMPRODUCT((MONTH(CHOOSE({1,2,3,4},KMB!U391,KMB!AA391,KMB!AG391,KMB!AM391))=8)*(CHOOSE({1,2,3,4},KMB!X391,KMB!AD391,KMB!AJ391,KMB!AP391)))</f>
        <v>0</v>
      </c>
      <c r="I391">
        <f>SUMPRODUCT((MONTH(CHOOSE({1,2,3,4},KMB!U391,KMB!AA391,KMB!AG391,KMB!AM391))=9)*(CHOOSE({1,2,3,4},KMB!X391,KMB!AD391,KMB!AJ391,KMB!AP391)))</f>
        <v>0</v>
      </c>
      <c r="J391">
        <f>SUMPRODUCT((MONTH(CHOOSE({1,2,3,4},KMB!U391,KMB!AA391,KMB!AG391,KMB!AM391))=10)*(CHOOSE({1,2,3,4},KMB!X391,KMB!AD391,KMB!AJ391,KMB!AP391)))</f>
        <v>0</v>
      </c>
      <c r="K391">
        <f>SUMPRODUCT((MONTH(CHOOSE({1,2,3,4},KMB!U391,KMB!AA391,KMB!AG391,KMB!AM391))=11)*(CHOOSE({1,2,3,4},KMB!X391,KMB!AD391,KMB!AJ391,KMB!AP391)))</f>
        <v>0</v>
      </c>
      <c r="L391">
        <f>SUMPRODUCT((MONTH(CHOOSE({1,2,3,4},KMB!U391,KMB!AA391,KMB!AG391,KMB!AM391))=12)*(CHOOSE({1,2,3,4},KMB!X391,KMB!AD391,KMB!AJ391,KMB!AP391)))</f>
        <v>0</v>
      </c>
    </row>
    <row r="392" spans="1:12">
      <c r="A392">
        <f>SUMPRODUCT((MONTH(CHOOSE({1,2,3,4},KMB!U392,KMB!AA392,KMB!AG392,KMB!AM392))=1)*(CHOOSE({1,2,3,4},KMB!X392,KMB!AD392,KMB!AJ392,KMB!AP392)))</f>
        <v>0</v>
      </c>
      <c r="B392">
        <f>SUMPRODUCT((MONTH(CHOOSE({1,2,3,4},KMB!U392,KMB!AA392,KMB!AG392,KMB!AM392))=2)*(CHOOSE({1,2,3,4},KMB!X392,KMB!AD392,KMB!AJ392,KMB!AP392)))</f>
        <v>0</v>
      </c>
      <c r="C392">
        <f>SUMPRODUCT((MONTH(CHOOSE({1,2,3,4},KMB!U392,KMB!AA392,KMB!AG392,KMB!AM392))=3)*(CHOOSE({1,2,3,4},KMB!X392,KMB!AD392,KMB!AJ392,KMB!AP392)))</f>
        <v>0</v>
      </c>
      <c r="D392">
        <f>SUMPRODUCT((MONTH(CHOOSE({1,2,3,4},KMB!U392,KMB!AA392,KMB!AG392,KMB!AM392))=4)*(CHOOSE({1,2,3,4},KMB!X392,KMB!AD392,KMB!AJ392,KMB!AP392)))</f>
        <v>0</v>
      </c>
      <c r="E392">
        <f>SUMPRODUCT((MONTH(CHOOSE({1,2,3,4},KMB!U392,KMB!AA392,KMB!AG392,KMB!AM392))=5)*(CHOOSE({1,2,3,4},KMB!X392,KMB!AD392,KMB!AJ392,KMB!AP392)))</f>
        <v>0</v>
      </c>
      <c r="F392">
        <f>SUMPRODUCT((MONTH(CHOOSE({1,2,3,4},KMB!U392,KMB!AA392,KMB!AG392,KMB!AM392))=6)*(CHOOSE({1,2,3,4},KMB!X392,KMB!AD392,KMB!AJ392,KMB!AP392)))</f>
        <v>0</v>
      </c>
      <c r="G392">
        <f>SUMPRODUCT((MONTH(CHOOSE({1,2,3,4},KMB!U392,KMB!AA392,KMB!AG392,KMB!AM392))=7)*(CHOOSE({1,2,3,4},KMB!X392,KMB!AD392,KMB!AJ392,KMB!AP392)))</f>
        <v>0</v>
      </c>
      <c r="H392">
        <f>SUMPRODUCT((MONTH(CHOOSE({1,2,3,4},KMB!U392,KMB!AA392,KMB!AG392,KMB!AM392))=8)*(CHOOSE({1,2,3,4},KMB!X392,KMB!AD392,KMB!AJ392,KMB!AP392)))</f>
        <v>0</v>
      </c>
      <c r="I392">
        <f>SUMPRODUCT((MONTH(CHOOSE({1,2,3,4},KMB!U392,KMB!AA392,KMB!AG392,KMB!AM392))=9)*(CHOOSE({1,2,3,4},KMB!X392,KMB!AD392,KMB!AJ392,KMB!AP392)))</f>
        <v>0</v>
      </c>
      <c r="J392">
        <f>SUMPRODUCT((MONTH(CHOOSE({1,2,3,4},KMB!U392,KMB!AA392,KMB!AG392,KMB!AM392))=10)*(CHOOSE({1,2,3,4},KMB!X392,KMB!AD392,KMB!AJ392,KMB!AP392)))</f>
        <v>0</v>
      </c>
      <c r="K392">
        <f>SUMPRODUCT((MONTH(CHOOSE({1,2,3,4},KMB!U392,KMB!AA392,KMB!AG392,KMB!AM392))=11)*(CHOOSE({1,2,3,4},KMB!X392,KMB!AD392,KMB!AJ392,KMB!AP392)))</f>
        <v>0</v>
      </c>
      <c r="L392">
        <f>SUMPRODUCT((MONTH(CHOOSE({1,2,3,4},KMB!U392,KMB!AA392,KMB!AG392,KMB!AM392))=12)*(CHOOSE({1,2,3,4},KMB!X392,KMB!AD392,KMB!AJ392,KMB!AP392)))</f>
        <v>0</v>
      </c>
    </row>
    <row r="393" spans="1:12">
      <c r="A393">
        <f>SUMPRODUCT((MONTH(CHOOSE({1,2,3,4},KMB!U393,KMB!AA393,KMB!AG393,KMB!AM393))=1)*(CHOOSE({1,2,3,4},KMB!X393,KMB!AD393,KMB!AJ393,KMB!AP393)))</f>
        <v>0</v>
      </c>
      <c r="B393">
        <f>SUMPRODUCT((MONTH(CHOOSE({1,2,3,4},KMB!U393,KMB!AA393,KMB!AG393,KMB!AM393))=2)*(CHOOSE({1,2,3,4},KMB!X393,KMB!AD393,KMB!AJ393,KMB!AP393)))</f>
        <v>0</v>
      </c>
      <c r="C393">
        <f>SUMPRODUCT((MONTH(CHOOSE({1,2,3,4},KMB!U393,KMB!AA393,KMB!AG393,KMB!AM393))=3)*(CHOOSE({1,2,3,4},KMB!X393,KMB!AD393,KMB!AJ393,KMB!AP393)))</f>
        <v>0</v>
      </c>
      <c r="D393">
        <f>SUMPRODUCT((MONTH(CHOOSE({1,2,3,4},KMB!U393,KMB!AA393,KMB!AG393,KMB!AM393))=4)*(CHOOSE({1,2,3,4},KMB!X393,KMB!AD393,KMB!AJ393,KMB!AP393)))</f>
        <v>0</v>
      </c>
      <c r="E393">
        <f>SUMPRODUCT((MONTH(CHOOSE({1,2,3,4},KMB!U393,KMB!AA393,KMB!AG393,KMB!AM393))=5)*(CHOOSE({1,2,3,4},KMB!X393,KMB!AD393,KMB!AJ393,KMB!AP393)))</f>
        <v>0</v>
      </c>
      <c r="F393">
        <f>SUMPRODUCT((MONTH(CHOOSE({1,2,3,4},KMB!U393,KMB!AA393,KMB!AG393,KMB!AM393))=6)*(CHOOSE({1,2,3,4},KMB!X393,KMB!AD393,KMB!AJ393,KMB!AP393)))</f>
        <v>0</v>
      </c>
      <c r="G393">
        <f>SUMPRODUCT((MONTH(CHOOSE({1,2,3,4},KMB!U393,KMB!AA393,KMB!AG393,KMB!AM393))=7)*(CHOOSE({1,2,3,4},KMB!X393,KMB!AD393,KMB!AJ393,KMB!AP393)))</f>
        <v>0</v>
      </c>
      <c r="H393">
        <f>SUMPRODUCT((MONTH(CHOOSE({1,2,3,4},KMB!U393,KMB!AA393,KMB!AG393,KMB!AM393))=8)*(CHOOSE({1,2,3,4},KMB!X393,KMB!AD393,KMB!AJ393,KMB!AP393)))</f>
        <v>0</v>
      </c>
      <c r="I393">
        <f>SUMPRODUCT((MONTH(CHOOSE({1,2,3,4},KMB!U393,KMB!AA393,KMB!AG393,KMB!AM393))=9)*(CHOOSE({1,2,3,4},KMB!X393,KMB!AD393,KMB!AJ393,KMB!AP393)))</f>
        <v>0</v>
      </c>
      <c r="J393">
        <f>SUMPRODUCT((MONTH(CHOOSE({1,2,3,4},KMB!U393,KMB!AA393,KMB!AG393,KMB!AM393))=10)*(CHOOSE({1,2,3,4},KMB!X393,KMB!AD393,KMB!AJ393,KMB!AP393)))</f>
        <v>0</v>
      </c>
      <c r="K393">
        <f>SUMPRODUCT((MONTH(CHOOSE({1,2,3,4},KMB!U393,KMB!AA393,KMB!AG393,KMB!AM393))=11)*(CHOOSE({1,2,3,4},KMB!X393,KMB!AD393,KMB!AJ393,KMB!AP393)))</f>
        <v>0</v>
      </c>
      <c r="L393">
        <f>SUMPRODUCT((MONTH(CHOOSE({1,2,3,4},KMB!U393,KMB!AA393,KMB!AG393,KMB!AM393))=12)*(CHOOSE({1,2,3,4},KMB!X393,KMB!AD393,KMB!AJ393,KMB!AP393)))</f>
        <v>0</v>
      </c>
    </row>
    <row r="394" spans="1:12">
      <c r="A394">
        <f>SUMPRODUCT((MONTH(CHOOSE({1,2,3,4},KMB!U394,KMB!AA394,KMB!AG394,KMB!AM394))=1)*(CHOOSE({1,2,3,4},KMB!X394,KMB!AD394,KMB!AJ394,KMB!AP394)))</f>
        <v>0</v>
      </c>
      <c r="B394">
        <f>SUMPRODUCT((MONTH(CHOOSE({1,2,3,4},KMB!U394,KMB!AA394,KMB!AG394,KMB!AM394))=2)*(CHOOSE({1,2,3,4},KMB!X394,KMB!AD394,KMB!AJ394,KMB!AP394)))</f>
        <v>0</v>
      </c>
      <c r="C394">
        <f>SUMPRODUCT((MONTH(CHOOSE({1,2,3,4},KMB!U394,KMB!AA394,KMB!AG394,KMB!AM394))=3)*(CHOOSE({1,2,3,4},KMB!X394,KMB!AD394,KMB!AJ394,KMB!AP394)))</f>
        <v>0</v>
      </c>
      <c r="D394">
        <f>SUMPRODUCT((MONTH(CHOOSE({1,2,3,4},KMB!U394,KMB!AA394,KMB!AG394,KMB!AM394))=4)*(CHOOSE({1,2,3,4},KMB!X394,KMB!AD394,KMB!AJ394,KMB!AP394)))</f>
        <v>0</v>
      </c>
      <c r="E394">
        <f>SUMPRODUCT((MONTH(CHOOSE({1,2,3,4},KMB!U394,KMB!AA394,KMB!AG394,KMB!AM394))=5)*(CHOOSE({1,2,3,4},KMB!X394,KMB!AD394,KMB!AJ394,KMB!AP394)))</f>
        <v>0</v>
      </c>
      <c r="F394">
        <f>SUMPRODUCT((MONTH(CHOOSE({1,2,3,4},KMB!U394,KMB!AA394,KMB!AG394,KMB!AM394))=6)*(CHOOSE({1,2,3,4},KMB!X394,KMB!AD394,KMB!AJ394,KMB!AP394)))</f>
        <v>0</v>
      </c>
      <c r="G394">
        <f>SUMPRODUCT((MONTH(CHOOSE({1,2,3,4},KMB!U394,KMB!AA394,KMB!AG394,KMB!AM394))=7)*(CHOOSE({1,2,3,4},KMB!X394,KMB!AD394,KMB!AJ394,KMB!AP394)))</f>
        <v>0</v>
      </c>
      <c r="H394">
        <f>SUMPRODUCT((MONTH(CHOOSE({1,2,3,4},KMB!U394,KMB!AA394,KMB!AG394,KMB!AM394))=8)*(CHOOSE({1,2,3,4},KMB!X394,KMB!AD394,KMB!AJ394,KMB!AP394)))</f>
        <v>0</v>
      </c>
      <c r="I394">
        <f>SUMPRODUCT((MONTH(CHOOSE({1,2,3,4},KMB!U394,KMB!AA394,KMB!AG394,KMB!AM394))=9)*(CHOOSE({1,2,3,4},KMB!X394,KMB!AD394,KMB!AJ394,KMB!AP394)))</f>
        <v>0</v>
      </c>
      <c r="J394">
        <f>SUMPRODUCT((MONTH(CHOOSE({1,2,3,4},KMB!U394,KMB!AA394,KMB!AG394,KMB!AM394))=10)*(CHOOSE({1,2,3,4},KMB!X394,KMB!AD394,KMB!AJ394,KMB!AP394)))</f>
        <v>0</v>
      </c>
      <c r="K394">
        <f>SUMPRODUCT((MONTH(CHOOSE({1,2,3,4},KMB!U394,KMB!AA394,KMB!AG394,KMB!AM394))=11)*(CHOOSE({1,2,3,4},KMB!X394,KMB!AD394,KMB!AJ394,KMB!AP394)))</f>
        <v>0</v>
      </c>
      <c r="L394">
        <f>SUMPRODUCT((MONTH(CHOOSE({1,2,3,4},KMB!U394,KMB!AA394,KMB!AG394,KMB!AM394))=12)*(CHOOSE({1,2,3,4},KMB!X394,KMB!AD394,KMB!AJ394,KMB!AP394)))</f>
        <v>0</v>
      </c>
    </row>
    <row r="395" spans="1:12">
      <c r="A395">
        <f>SUMPRODUCT((MONTH(CHOOSE({1,2,3,4},KMB!U395,KMB!AA395,KMB!AG395,KMB!AM395))=1)*(CHOOSE({1,2,3,4},KMB!X395,KMB!AD395,KMB!AJ395,KMB!AP395)))</f>
        <v>0</v>
      </c>
      <c r="B395">
        <f>SUMPRODUCT((MONTH(CHOOSE({1,2,3,4},KMB!U395,KMB!AA395,KMB!AG395,KMB!AM395))=2)*(CHOOSE({1,2,3,4},KMB!X395,KMB!AD395,KMB!AJ395,KMB!AP395)))</f>
        <v>0</v>
      </c>
      <c r="C395">
        <f>SUMPRODUCT((MONTH(CHOOSE({1,2,3,4},KMB!U395,KMB!AA395,KMB!AG395,KMB!AM395))=3)*(CHOOSE({1,2,3,4},KMB!X395,KMB!AD395,KMB!AJ395,KMB!AP395)))</f>
        <v>0</v>
      </c>
      <c r="D395">
        <f>SUMPRODUCT((MONTH(CHOOSE({1,2,3,4},KMB!U395,KMB!AA395,KMB!AG395,KMB!AM395))=4)*(CHOOSE({1,2,3,4},KMB!X395,KMB!AD395,KMB!AJ395,KMB!AP395)))</f>
        <v>0</v>
      </c>
      <c r="E395">
        <f>SUMPRODUCT((MONTH(CHOOSE({1,2,3,4},KMB!U395,KMB!AA395,KMB!AG395,KMB!AM395))=5)*(CHOOSE({1,2,3,4},KMB!X395,KMB!AD395,KMB!AJ395,KMB!AP395)))</f>
        <v>0</v>
      </c>
      <c r="F395">
        <f>SUMPRODUCT((MONTH(CHOOSE({1,2,3,4},KMB!U395,KMB!AA395,KMB!AG395,KMB!AM395))=6)*(CHOOSE({1,2,3,4},KMB!X395,KMB!AD395,KMB!AJ395,KMB!AP395)))</f>
        <v>0</v>
      </c>
      <c r="G395">
        <f>SUMPRODUCT((MONTH(CHOOSE({1,2,3,4},KMB!U395,KMB!AA395,KMB!AG395,KMB!AM395))=7)*(CHOOSE({1,2,3,4},KMB!X395,KMB!AD395,KMB!AJ395,KMB!AP395)))</f>
        <v>0</v>
      </c>
      <c r="H395">
        <f>SUMPRODUCT((MONTH(CHOOSE({1,2,3,4},KMB!U395,KMB!AA395,KMB!AG395,KMB!AM395))=8)*(CHOOSE({1,2,3,4},KMB!X395,KMB!AD395,KMB!AJ395,KMB!AP395)))</f>
        <v>0</v>
      </c>
      <c r="I395">
        <f>SUMPRODUCT((MONTH(CHOOSE({1,2,3,4},KMB!U395,KMB!AA395,KMB!AG395,KMB!AM395))=9)*(CHOOSE({1,2,3,4},KMB!X395,KMB!AD395,KMB!AJ395,KMB!AP395)))</f>
        <v>0</v>
      </c>
      <c r="J395">
        <f>SUMPRODUCT((MONTH(CHOOSE({1,2,3,4},KMB!U395,KMB!AA395,KMB!AG395,KMB!AM395))=10)*(CHOOSE({1,2,3,4},KMB!X395,KMB!AD395,KMB!AJ395,KMB!AP395)))</f>
        <v>0</v>
      </c>
      <c r="K395">
        <f>SUMPRODUCT((MONTH(CHOOSE({1,2,3,4},KMB!U395,KMB!AA395,KMB!AG395,KMB!AM395))=11)*(CHOOSE({1,2,3,4},KMB!X395,KMB!AD395,KMB!AJ395,KMB!AP395)))</f>
        <v>0</v>
      </c>
      <c r="L395">
        <f>SUMPRODUCT((MONTH(CHOOSE({1,2,3,4},KMB!U395,KMB!AA395,KMB!AG395,KMB!AM395))=12)*(CHOOSE({1,2,3,4},KMB!X395,KMB!AD395,KMB!AJ395,KMB!AP395)))</f>
        <v>0</v>
      </c>
    </row>
    <row r="396" spans="1:12">
      <c r="A396">
        <f>SUMPRODUCT((MONTH(CHOOSE({1,2,3,4},KMB!U396,KMB!AA396,KMB!AG396,KMB!AM396))=1)*(CHOOSE({1,2,3,4},KMB!X396,KMB!AD396,KMB!AJ396,KMB!AP396)))</f>
        <v>0</v>
      </c>
      <c r="B396">
        <f>SUMPRODUCT((MONTH(CHOOSE({1,2,3,4},KMB!U396,KMB!AA396,KMB!AG396,KMB!AM396))=2)*(CHOOSE({1,2,3,4},KMB!X396,KMB!AD396,KMB!AJ396,KMB!AP396)))</f>
        <v>0</v>
      </c>
      <c r="C396">
        <f>SUMPRODUCT((MONTH(CHOOSE({1,2,3,4},KMB!U396,KMB!AA396,KMB!AG396,KMB!AM396))=3)*(CHOOSE({1,2,3,4},KMB!X396,KMB!AD396,KMB!AJ396,KMB!AP396)))</f>
        <v>0</v>
      </c>
      <c r="D396">
        <f>SUMPRODUCT((MONTH(CHOOSE({1,2,3,4},KMB!U396,KMB!AA396,KMB!AG396,KMB!AM396))=4)*(CHOOSE({1,2,3,4},KMB!X396,KMB!AD396,KMB!AJ396,KMB!AP396)))</f>
        <v>0</v>
      </c>
      <c r="E396">
        <f>SUMPRODUCT((MONTH(CHOOSE({1,2,3,4},KMB!U396,KMB!AA396,KMB!AG396,KMB!AM396))=5)*(CHOOSE({1,2,3,4},KMB!X396,KMB!AD396,KMB!AJ396,KMB!AP396)))</f>
        <v>0</v>
      </c>
      <c r="F396">
        <f>SUMPRODUCT((MONTH(CHOOSE({1,2,3,4},KMB!U396,KMB!AA396,KMB!AG396,KMB!AM396))=6)*(CHOOSE({1,2,3,4},KMB!X396,KMB!AD396,KMB!AJ396,KMB!AP396)))</f>
        <v>0</v>
      </c>
      <c r="G396">
        <f>SUMPRODUCT((MONTH(CHOOSE({1,2,3,4},KMB!U396,KMB!AA396,KMB!AG396,KMB!AM396))=7)*(CHOOSE({1,2,3,4},KMB!X396,KMB!AD396,KMB!AJ396,KMB!AP396)))</f>
        <v>0</v>
      </c>
      <c r="H396">
        <f>SUMPRODUCT((MONTH(CHOOSE({1,2,3,4},KMB!U396,KMB!AA396,KMB!AG396,KMB!AM396))=8)*(CHOOSE({1,2,3,4},KMB!X396,KMB!AD396,KMB!AJ396,KMB!AP396)))</f>
        <v>0</v>
      </c>
      <c r="I396">
        <f>SUMPRODUCT((MONTH(CHOOSE({1,2,3,4},KMB!U396,KMB!AA396,KMB!AG396,KMB!AM396))=9)*(CHOOSE({1,2,3,4},KMB!X396,KMB!AD396,KMB!AJ396,KMB!AP396)))</f>
        <v>0</v>
      </c>
      <c r="J396">
        <f>SUMPRODUCT((MONTH(CHOOSE({1,2,3,4},KMB!U396,KMB!AA396,KMB!AG396,KMB!AM396))=10)*(CHOOSE({1,2,3,4},KMB!X396,KMB!AD396,KMB!AJ396,KMB!AP396)))</f>
        <v>0</v>
      </c>
      <c r="K396">
        <f>SUMPRODUCT((MONTH(CHOOSE({1,2,3,4},KMB!U396,KMB!AA396,KMB!AG396,KMB!AM396))=11)*(CHOOSE({1,2,3,4},KMB!X396,KMB!AD396,KMB!AJ396,KMB!AP396)))</f>
        <v>0</v>
      </c>
      <c r="L396">
        <f>SUMPRODUCT((MONTH(CHOOSE({1,2,3,4},KMB!U396,KMB!AA396,KMB!AG396,KMB!AM396))=12)*(CHOOSE({1,2,3,4},KMB!X396,KMB!AD396,KMB!AJ396,KMB!AP396)))</f>
        <v>0</v>
      </c>
    </row>
    <row r="397" spans="1:12">
      <c r="A397">
        <f>SUMPRODUCT((MONTH(CHOOSE({1,2,3,4},KMB!U397,KMB!AA397,KMB!AG397,KMB!AM397))=1)*(CHOOSE({1,2,3,4},KMB!X397,KMB!AD397,KMB!AJ397,KMB!AP397)))</f>
        <v>0</v>
      </c>
      <c r="B397">
        <f>SUMPRODUCT((MONTH(CHOOSE({1,2,3,4},KMB!U397,KMB!AA397,KMB!AG397,KMB!AM397))=2)*(CHOOSE({1,2,3,4},KMB!X397,KMB!AD397,KMB!AJ397,KMB!AP397)))</f>
        <v>0</v>
      </c>
      <c r="C397">
        <f>SUMPRODUCT((MONTH(CHOOSE({1,2,3,4},KMB!U397,KMB!AA397,KMB!AG397,KMB!AM397))=3)*(CHOOSE({1,2,3,4},KMB!X397,KMB!AD397,KMB!AJ397,KMB!AP397)))</f>
        <v>0</v>
      </c>
      <c r="D397">
        <f>SUMPRODUCT((MONTH(CHOOSE({1,2,3,4},KMB!U397,KMB!AA397,KMB!AG397,KMB!AM397))=4)*(CHOOSE({1,2,3,4},KMB!X397,KMB!AD397,KMB!AJ397,KMB!AP397)))</f>
        <v>0</v>
      </c>
      <c r="E397">
        <f>SUMPRODUCT((MONTH(CHOOSE({1,2,3,4},KMB!U397,KMB!AA397,KMB!AG397,KMB!AM397))=5)*(CHOOSE({1,2,3,4},KMB!X397,KMB!AD397,KMB!AJ397,KMB!AP397)))</f>
        <v>0</v>
      </c>
      <c r="F397">
        <f>SUMPRODUCT((MONTH(CHOOSE({1,2,3,4},KMB!U397,KMB!AA397,KMB!AG397,KMB!AM397))=6)*(CHOOSE({1,2,3,4},KMB!X397,KMB!AD397,KMB!AJ397,KMB!AP397)))</f>
        <v>0</v>
      </c>
      <c r="G397">
        <f>SUMPRODUCT((MONTH(CHOOSE({1,2,3,4},KMB!U397,KMB!AA397,KMB!AG397,KMB!AM397))=7)*(CHOOSE({1,2,3,4},KMB!X397,KMB!AD397,KMB!AJ397,KMB!AP397)))</f>
        <v>0</v>
      </c>
      <c r="H397">
        <f>SUMPRODUCT((MONTH(CHOOSE({1,2,3,4},KMB!U397,KMB!AA397,KMB!AG397,KMB!AM397))=8)*(CHOOSE({1,2,3,4},KMB!X397,KMB!AD397,KMB!AJ397,KMB!AP397)))</f>
        <v>0</v>
      </c>
      <c r="I397">
        <f>SUMPRODUCT((MONTH(CHOOSE({1,2,3,4},KMB!U397,KMB!AA397,KMB!AG397,KMB!AM397))=9)*(CHOOSE({1,2,3,4},KMB!X397,KMB!AD397,KMB!AJ397,KMB!AP397)))</f>
        <v>0</v>
      </c>
      <c r="J397">
        <f>SUMPRODUCT((MONTH(CHOOSE({1,2,3,4},KMB!U397,KMB!AA397,KMB!AG397,KMB!AM397))=10)*(CHOOSE({1,2,3,4},KMB!X397,KMB!AD397,KMB!AJ397,KMB!AP397)))</f>
        <v>0</v>
      </c>
      <c r="K397">
        <f>SUMPRODUCT((MONTH(CHOOSE({1,2,3,4},KMB!U397,KMB!AA397,KMB!AG397,KMB!AM397))=11)*(CHOOSE({1,2,3,4},KMB!X397,KMB!AD397,KMB!AJ397,KMB!AP397)))</f>
        <v>0</v>
      </c>
      <c r="L397">
        <f>SUMPRODUCT((MONTH(CHOOSE({1,2,3,4},KMB!U397,KMB!AA397,KMB!AG397,KMB!AM397))=12)*(CHOOSE({1,2,3,4},KMB!X397,KMB!AD397,KMB!AJ397,KMB!AP397)))</f>
        <v>0</v>
      </c>
    </row>
    <row r="398" spans="1:12">
      <c r="A398">
        <f>SUMPRODUCT((MONTH(CHOOSE({1,2,3,4},KMB!U398,KMB!AA398,KMB!AG398,KMB!AM398))=1)*(CHOOSE({1,2,3,4},KMB!X398,KMB!AD398,KMB!AJ398,KMB!AP398)))</f>
        <v>0</v>
      </c>
      <c r="B398">
        <f>SUMPRODUCT((MONTH(CHOOSE({1,2,3,4},KMB!U398,KMB!AA398,KMB!AG398,KMB!AM398))=2)*(CHOOSE({1,2,3,4},KMB!X398,KMB!AD398,KMB!AJ398,KMB!AP398)))</f>
        <v>0</v>
      </c>
      <c r="C398">
        <f>SUMPRODUCT((MONTH(CHOOSE({1,2,3,4},KMB!U398,KMB!AA398,KMB!AG398,KMB!AM398))=3)*(CHOOSE({1,2,3,4},KMB!X398,KMB!AD398,KMB!AJ398,KMB!AP398)))</f>
        <v>0</v>
      </c>
      <c r="D398">
        <f>SUMPRODUCT((MONTH(CHOOSE({1,2,3,4},KMB!U398,KMB!AA398,KMB!AG398,KMB!AM398))=4)*(CHOOSE({1,2,3,4},KMB!X398,KMB!AD398,KMB!AJ398,KMB!AP398)))</f>
        <v>0</v>
      </c>
      <c r="E398">
        <f>SUMPRODUCT((MONTH(CHOOSE({1,2,3,4},KMB!U398,KMB!AA398,KMB!AG398,KMB!AM398))=5)*(CHOOSE({1,2,3,4},KMB!X398,KMB!AD398,KMB!AJ398,KMB!AP398)))</f>
        <v>0</v>
      </c>
      <c r="F398">
        <f>SUMPRODUCT((MONTH(CHOOSE({1,2,3,4},KMB!U398,KMB!AA398,KMB!AG398,KMB!AM398))=6)*(CHOOSE({1,2,3,4},KMB!X398,KMB!AD398,KMB!AJ398,KMB!AP398)))</f>
        <v>0</v>
      </c>
      <c r="G398">
        <f>SUMPRODUCT((MONTH(CHOOSE({1,2,3,4},KMB!U398,KMB!AA398,KMB!AG398,KMB!AM398))=7)*(CHOOSE({1,2,3,4},KMB!X398,KMB!AD398,KMB!AJ398,KMB!AP398)))</f>
        <v>0</v>
      </c>
      <c r="H398">
        <f>SUMPRODUCT((MONTH(CHOOSE({1,2,3,4},KMB!U398,KMB!AA398,KMB!AG398,KMB!AM398))=8)*(CHOOSE({1,2,3,4},KMB!X398,KMB!AD398,KMB!AJ398,KMB!AP398)))</f>
        <v>0</v>
      </c>
      <c r="I398">
        <f>SUMPRODUCT((MONTH(CHOOSE({1,2,3,4},KMB!U398,KMB!AA398,KMB!AG398,KMB!AM398))=9)*(CHOOSE({1,2,3,4},KMB!X398,KMB!AD398,KMB!AJ398,KMB!AP398)))</f>
        <v>0</v>
      </c>
      <c r="J398">
        <f>SUMPRODUCT((MONTH(CHOOSE({1,2,3,4},KMB!U398,KMB!AA398,KMB!AG398,KMB!AM398))=10)*(CHOOSE({1,2,3,4},KMB!X398,KMB!AD398,KMB!AJ398,KMB!AP398)))</f>
        <v>0</v>
      </c>
      <c r="K398">
        <f>SUMPRODUCT((MONTH(CHOOSE({1,2,3,4},KMB!U398,KMB!AA398,KMB!AG398,KMB!AM398))=11)*(CHOOSE({1,2,3,4},KMB!X398,KMB!AD398,KMB!AJ398,KMB!AP398)))</f>
        <v>0</v>
      </c>
      <c r="L398">
        <f>SUMPRODUCT((MONTH(CHOOSE({1,2,3,4},KMB!U398,KMB!AA398,KMB!AG398,KMB!AM398))=12)*(CHOOSE({1,2,3,4},KMB!X398,KMB!AD398,KMB!AJ398,KMB!AP398)))</f>
        <v>0</v>
      </c>
    </row>
    <row r="399" spans="1:12">
      <c r="A399">
        <f>SUMPRODUCT((MONTH(CHOOSE({1,2,3,4},KMB!U399,KMB!AA399,KMB!AG399,KMB!AM399))=1)*(CHOOSE({1,2,3,4},KMB!X399,KMB!AD399,KMB!AJ399,KMB!AP399)))</f>
        <v>0</v>
      </c>
      <c r="B399">
        <f>SUMPRODUCT((MONTH(CHOOSE({1,2,3,4},KMB!U399,KMB!AA399,KMB!AG399,KMB!AM399))=2)*(CHOOSE({1,2,3,4},KMB!X399,KMB!AD399,KMB!AJ399,KMB!AP399)))</f>
        <v>0</v>
      </c>
      <c r="C399">
        <f>SUMPRODUCT((MONTH(CHOOSE({1,2,3,4},KMB!U399,KMB!AA399,KMB!AG399,KMB!AM399))=3)*(CHOOSE({1,2,3,4},KMB!X399,KMB!AD399,KMB!AJ399,KMB!AP399)))</f>
        <v>0</v>
      </c>
      <c r="D399">
        <f>SUMPRODUCT((MONTH(CHOOSE({1,2,3,4},KMB!U399,KMB!AA399,KMB!AG399,KMB!AM399))=4)*(CHOOSE({1,2,3,4},KMB!X399,KMB!AD399,KMB!AJ399,KMB!AP399)))</f>
        <v>0</v>
      </c>
      <c r="E399">
        <f>SUMPRODUCT((MONTH(CHOOSE({1,2,3,4},KMB!U399,KMB!AA399,KMB!AG399,KMB!AM399))=5)*(CHOOSE({1,2,3,4},KMB!X399,KMB!AD399,KMB!AJ399,KMB!AP399)))</f>
        <v>0</v>
      </c>
      <c r="F399">
        <f>SUMPRODUCT((MONTH(CHOOSE({1,2,3,4},KMB!U399,KMB!AA399,KMB!AG399,KMB!AM399))=6)*(CHOOSE({1,2,3,4},KMB!X399,KMB!AD399,KMB!AJ399,KMB!AP399)))</f>
        <v>0</v>
      </c>
      <c r="G399">
        <f>SUMPRODUCT((MONTH(CHOOSE({1,2,3,4},KMB!U399,KMB!AA399,KMB!AG399,KMB!AM399))=7)*(CHOOSE({1,2,3,4},KMB!X399,KMB!AD399,KMB!AJ399,KMB!AP399)))</f>
        <v>0</v>
      </c>
      <c r="H399">
        <f>SUMPRODUCT((MONTH(CHOOSE({1,2,3,4},KMB!U399,KMB!AA399,KMB!AG399,KMB!AM399))=8)*(CHOOSE({1,2,3,4},KMB!X399,KMB!AD399,KMB!AJ399,KMB!AP399)))</f>
        <v>0</v>
      </c>
      <c r="I399">
        <f>SUMPRODUCT((MONTH(CHOOSE({1,2,3,4},KMB!U399,KMB!AA399,KMB!AG399,KMB!AM399))=9)*(CHOOSE({1,2,3,4},KMB!X399,KMB!AD399,KMB!AJ399,KMB!AP399)))</f>
        <v>0</v>
      </c>
      <c r="J399">
        <f>SUMPRODUCT((MONTH(CHOOSE({1,2,3,4},KMB!U399,KMB!AA399,KMB!AG399,KMB!AM399))=10)*(CHOOSE({1,2,3,4},KMB!X399,KMB!AD399,KMB!AJ399,KMB!AP399)))</f>
        <v>0</v>
      </c>
      <c r="K399">
        <f>SUMPRODUCT((MONTH(CHOOSE({1,2,3,4},KMB!U399,KMB!AA399,KMB!AG399,KMB!AM399))=11)*(CHOOSE({1,2,3,4},KMB!X399,KMB!AD399,KMB!AJ399,KMB!AP399)))</f>
        <v>0</v>
      </c>
      <c r="L399">
        <f>SUMPRODUCT((MONTH(CHOOSE({1,2,3,4},KMB!U399,KMB!AA399,KMB!AG399,KMB!AM399))=12)*(CHOOSE({1,2,3,4},KMB!X399,KMB!AD399,KMB!AJ399,KMB!AP399)))</f>
        <v>0</v>
      </c>
    </row>
    <row r="400" spans="1:12">
      <c r="A400">
        <f>SUMPRODUCT((MONTH(CHOOSE({1,2,3,4},KMB!U400,KMB!AA400,KMB!AG400,KMB!AM400))=1)*(CHOOSE({1,2,3,4},KMB!X400,KMB!AD400,KMB!AJ400,KMB!AP400)))</f>
        <v>0</v>
      </c>
      <c r="B400">
        <f>SUMPRODUCT((MONTH(CHOOSE({1,2,3,4},KMB!U400,KMB!AA400,KMB!AG400,KMB!AM400))=2)*(CHOOSE({1,2,3,4},KMB!X400,KMB!AD400,KMB!AJ400,KMB!AP400)))</f>
        <v>0</v>
      </c>
      <c r="C400">
        <f>SUMPRODUCT((MONTH(CHOOSE({1,2,3,4},KMB!U400,KMB!AA400,KMB!AG400,KMB!AM400))=3)*(CHOOSE({1,2,3,4},KMB!X400,KMB!AD400,KMB!AJ400,KMB!AP400)))</f>
        <v>0</v>
      </c>
      <c r="D400">
        <f>SUMPRODUCT((MONTH(CHOOSE({1,2,3,4},KMB!U400,KMB!AA400,KMB!AG400,KMB!AM400))=4)*(CHOOSE({1,2,3,4},KMB!X400,KMB!AD400,KMB!AJ400,KMB!AP400)))</f>
        <v>0</v>
      </c>
      <c r="E400">
        <f>SUMPRODUCT((MONTH(CHOOSE({1,2,3,4},KMB!U400,KMB!AA400,KMB!AG400,KMB!AM400))=5)*(CHOOSE({1,2,3,4},KMB!X400,KMB!AD400,KMB!AJ400,KMB!AP400)))</f>
        <v>0</v>
      </c>
      <c r="F400">
        <f>SUMPRODUCT((MONTH(CHOOSE({1,2,3,4},KMB!U400,KMB!AA400,KMB!AG400,KMB!AM400))=6)*(CHOOSE({1,2,3,4},KMB!X400,KMB!AD400,KMB!AJ400,KMB!AP400)))</f>
        <v>0</v>
      </c>
      <c r="G400">
        <f>SUMPRODUCT((MONTH(CHOOSE({1,2,3,4},KMB!U400,KMB!AA400,KMB!AG400,KMB!AM400))=7)*(CHOOSE({1,2,3,4},KMB!X400,KMB!AD400,KMB!AJ400,KMB!AP400)))</f>
        <v>0</v>
      </c>
      <c r="H400">
        <f>SUMPRODUCT((MONTH(CHOOSE({1,2,3,4},KMB!U400,KMB!AA400,KMB!AG400,KMB!AM400))=8)*(CHOOSE({1,2,3,4},KMB!X400,KMB!AD400,KMB!AJ400,KMB!AP400)))</f>
        <v>0</v>
      </c>
      <c r="I400">
        <f>SUMPRODUCT((MONTH(CHOOSE({1,2,3,4},KMB!U400,KMB!AA400,KMB!AG400,KMB!AM400))=9)*(CHOOSE({1,2,3,4},KMB!X400,KMB!AD400,KMB!AJ400,KMB!AP400)))</f>
        <v>0</v>
      </c>
      <c r="J400">
        <f>SUMPRODUCT((MONTH(CHOOSE({1,2,3,4},KMB!U400,KMB!AA400,KMB!AG400,KMB!AM400))=10)*(CHOOSE({1,2,3,4},KMB!X400,KMB!AD400,KMB!AJ400,KMB!AP400)))</f>
        <v>0</v>
      </c>
      <c r="K400">
        <f>SUMPRODUCT((MONTH(CHOOSE({1,2,3,4},KMB!U400,KMB!AA400,KMB!AG400,KMB!AM400))=11)*(CHOOSE({1,2,3,4},KMB!X400,KMB!AD400,KMB!AJ400,KMB!AP400)))</f>
        <v>0</v>
      </c>
      <c r="L400">
        <f>SUMPRODUCT((MONTH(CHOOSE({1,2,3,4},KMB!U400,KMB!AA400,KMB!AG400,KMB!AM400))=12)*(CHOOSE({1,2,3,4},KMB!X400,KMB!AD400,KMB!AJ400,KMB!AP400)))</f>
        <v>0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T2:U193"/>
  <sheetViews>
    <sheetView zoomScale="90" zoomScaleNormal="90" workbookViewId="0"/>
  </sheetViews>
  <sheetFormatPr defaultRowHeight="12.75"/>
  <cols>
    <col min="21" max="21" width="13.1640625" customWidth="1"/>
  </cols>
  <sheetData>
    <row r="2" spans="20:21">
      <c r="T2" s="52"/>
    </row>
    <row r="8" spans="20:21">
      <c r="U8" s="53"/>
    </row>
    <row r="12" spans="20:21">
      <c r="U12" s="53"/>
    </row>
    <row r="14" spans="20:21">
      <c r="U14" s="53"/>
    </row>
    <row r="15" spans="20:21">
      <c r="U15" s="53"/>
    </row>
    <row r="16" spans="20:21">
      <c r="U16" s="53"/>
    </row>
    <row r="17" spans="21:21">
      <c r="U17" s="53"/>
    </row>
    <row r="19" spans="21:21">
      <c r="U19" s="53"/>
    </row>
    <row r="20" spans="21:21">
      <c r="U20" s="53"/>
    </row>
    <row r="21" spans="21:21">
      <c r="U21" s="53"/>
    </row>
    <row r="24" spans="21:21">
      <c r="U24" s="53"/>
    </row>
    <row r="27" spans="21:21">
      <c r="U27" s="53"/>
    </row>
    <row r="35" spans="21:21">
      <c r="U35" s="53"/>
    </row>
    <row r="42" spans="21:21">
      <c r="U42" s="53"/>
    </row>
    <row r="43" spans="21:21">
      <c r="U43" s="53"/>
    </row>
    <row r="44" spans="21:21">
      <c r="U44" s="53"/>
    </row>
    <row r="45" spans="21:21">
      <c r="U45" s="53"/>
    </row>
    <row r="48" spans="21:21">
      <c r="U48" s="53"/>
    </row>
    <row r="49" spans="21:21">
      <c r="U49" s="53"/>
    </row>
    <row r="54" spans="21:21">
      <c r="U54" s="53"/>
    </row>
    <row r="68" spans="21:21">
      <c r="U68" s="53"/>
    </row>
    <row r="117" spans="21:21">
      <c r="U117" s="53"/>
    </row>
    <row r="118" spans="21:21">
      <c r="U118" s="53"/>
    </row>
    <row r="119" spans="21:21">
      <c r="U119" s="53"/>
    </row>
    <row r="120" spans="21:21">
      <c r="U120" s="53"/>
    </row>
    <row r="148" spans="21:21">
      <c r="U148" s="53"/>
    </row>
    <row r="149" spans="21:21">
      <c r="U149" s="53"/>
    </row>
    <row r="150" spans="21:21">
      <c r="U150" s="53"/>
    </row>
    <row r="155" spans="21:21">
      <c r="U155" s="53"/>
    </row>
    <row r="173" spans="21:21">
      <c r="U173" s="53"/>
    </row>
    <row r="180" spans="21:21">
      <c r="U180" s="53"/>
    </row>
    <row r="181" spans="21:21">
      <c r="U181" s="53"/>
    </row>
    <row r="183" spans="21:21">
      <c r="U183" s="53"/>
    </row>
    <row r="184" spans="21:21">
      <c r="U184" s="53"/>
    </row>
    <row r="185" spans="21:21">
      <c r="U185" s="53"/>
    </row>
    <row r="186" spans="21:21">
      <c r="U186" s="53"/>
    </row>
    <row r="187" spans="21:21">
      <c r="U187" s="53"/>
    </row>
    <row r="188" spans="21:21">
      <c r="U188" s="53"/>
    </row>
    <row r="189" spans="21:21">
      <c r="U189" s="53"/>
    </row>
    <row r="190" spans="21:21">
      <c r="U190" s="53"/>
    </row>
    <row r="191" spans="21:21">
      <c r="U191" s="53"/>
    </row>
    <row r="192" spans="21:21">
      <c r="U192" s="53"/>
    </row>
    <row r="193" spans="21:21">
      <c r="U193" s="53"/>
    </row>
  </sheetData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C2:T2"/>
  <sheetViews>
    <sheetView zoomScale="90" zoomScaleNormal="90" workbookViewId="0"/>
  </sheetViews>
  <sheetFormatPr defaultColWidth="9.1640625" defaultRowHeight="12.75"/>
  <cols>
    <col min="1" max="2" width="9.1640625" style="43"/>
    <col min="3" max="3" width="9.1640625" style="44"/>
    <col min="4" max="5" width="9.1640625" style="45"/>
    <col min="6" max="8" width="9.1640625" style="44"/>
    <col min="9" max="9" width="9.1640625" style="45"/>
    <col min="10" max="10" width="9.1640625" style="44"/>
    <col min="11" max="11" width="9.1640625" style="45"/>
    <col min="12" max="12" width="9.1640625" style="44"/>
    <col min="13" max="14" width="9.1640625" style="45"/>
    <col min="15" max="26" width="9.1640625" style="43"/>
    <col min="27" max="27" width="9.6640625" style="43" bestFit="1" customWidth="1"/>
    <col min="28" max="28" width="9.33203125" style="43" bestFit="1" customWidth="1"/>
    <col min="29" max="30" width="11.83203125" style="43" bestFit="1" customWidth="1"/>
    <col min="31" max="16384" width="9.1640625" style="43"/>
  </cols>
  <sheetData>
    <row r="2" spans="20:20">
      <c r="T2" s="4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C1:AA1"/>
  <sheetViews>
    <sheetView zoomScale="90" zoomScaleNormal="90" workbookViewId="0"/>
  </sheetViews>
  <sheetFormatPr defaultColWidth="9.1640625" defaultRowHeight="12.75"/>
  <cols>
    <col min="1" max="2" width="9.1640625" style="43"/>
    <col min="3" max="3" width="9.1640625" style="44"/>
    <col min="4" max="5" width="9.1640625" style="45"/>
    <col min="6" max="8" width="9.1640625" style="44"/>
    <col min="9" max="9" width="9.1640625" style="45"/>
    <col min="10" max="10" width="9.1640625" style="44"/>
    <col min="11" max="11" width="17.6640625" style="45" customWidth="1"/>
    <col min="12" max="12" width="9.1640625" style="44"/>
    <col min="13" max="14" width="9.1640625" style="45"/>
    <col min="15" max="16384" width="9.1640625" style="43"/>
  </cols>
  <sheetData>
    <row r="1" spans="21:27">
      <c r="U1" s="47"/>
      <c r="AA1" s="4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R6:AG150"/>
  <sheetViews>
    <sheetView zoomScale="90" zoomScaleNormal="90" workbookViewId="0"/>
  </sheetViews>
  <sheetFormatPr defaultRowHeight="12.75"/>
  <cols>
    <col min="1" max="18" width="9.33203125" style="48"/>
    <col min="19" max="19" width="13.33203125" style="48" customWidth="1"/>
    <col min="20" max="20" width="9.33203125" style="48"/>
    <col min="21" max="21" width="14.83203125" style="48" customWidth="1"/>
    <col min="22" max="22" width="11.5" style="48" customWidth="1"/>
    <col min="23" max="23" width="9.33203125" style="48"/>
    <col min="24" max="24" width="9.33203125" style="48" customWidth="1"/>
    <col min="25" max="26" width="9.33203125" style="48"/>
    <col min="27" max="27" width="13.1640625" style="48" customWidth="1"/>
    <col min="28" max="29" width="9.33203125" style="48"/>
    <col min="30" max="30" width="13.1640625" style="48" customWidth="1"/>
    <col min="31" max="16384" width="9.33203125" style="48"/>
  </cols>
  <sheetData>
    <row r="6" spans="18:33">
      <c r="U6" s="49"/>
    </row>
    <row r="7" spans="18:33">
      <c r="U7" s="49"/>
    </row>
    <row r="8" spans="18:33">
      <c r="U8" s="49"/>
    </row>
    <row r="9" spans="18:33">
      <c r="U9" s="49"/>
    </row>
    <row r="10" spans="18:33">
      <c r="U10" s="49"/>
    </row>
    <row r="11" spans="18:33">
      <c r="U11" s="49"/>
    </row>
    <row r="12" spans="18:33">
      <c r="U12" s="49"/>
    </row>
    <row r="13" spans="18:33">
      <c r="U13" s="49"/>
    </row>
    <row r="14" spans="18:33">
      <c r="U14" s="49"/>
    </row>
    <row r="15" spans="18:33">
      <c r="U15" s="49"/>
      <c r="Y15" s="49"/>
      <c r="AC15" s="49"/>
      <c r="AG15" s="49"/>
    </row>
    <row r="16" spans="18:33">
      <c r="R16" s="49"/>
      <c r="U16" s="49"/>
      <c r="Y16" s="49"/>
    </row>
    <row r="17" spans="21:21">
      <c r="U17" s="49"/>
    </row>
    <row r="18" spans="21:21">
      <c r="U18" s="49"/>
    </row>
    <row r="19" spans="21:21">
      <c r="U19" s="49"/>
    </row>
    <row r="20" spans="21:21">
      <c r="U20" s="49"/>
    </row>
    <row r="21" spans="21:21">
      <c r="U21" s="49"/>
    </row>
    <row r="25" spans="21:21">
      <c r="U25" s="49"/>
    </row>
    <row r="27" spans="21:21">
      <c r="U27" s="49"/>
    </row>
    <row r="28" spans="21:21">
      <c r="U28" s="49"/>
    </row>
    <row r="29" spans="21:21">
      <c r="U29" s="49"/>
    </row>
    <row r="30" spans="21:21">
      <c r="U30" s="49"/>
    </row>
    <row r="31" spans="21:21">
      <c r="U31" s="49"/>
    </row>
    <row r="32" spans="21:21">
      <c r="U32" s="49"/>
    </row>
    <row r="33" spans="18:21">
      <c r="R33" s="54"/>
    </row>
    <row r="34" spans="18:21">
      <c r="U34" s="49"/>
    </row>
    <row r="35" spans="18:21">
      <c r="U35" s="49"/>
    </row>
    <row r="41" spans="18:21">
      <c r="U41" s="49"/>
    </row>
    <row r="42" spans="18:21">
      <c r="U42" s="49"/>
    </row>
    <row r="43" spans="18:21">
      <c r="U43" s="49"/>
    </row>
    <row r="44" spans="18:21">
      <c r="U44" s="49"/>
    </row>
    <row r="45" spans="18:21">
      <c r="U45" s="49"/>
    </row>
    <row r="46" spans="18:21">
      <c r="U46" s="49"/>
    </row>
    <row r="47" spans="18:21">
      <c r="R47" s="49"/>
    </row>
    <row r="48" spans="18:21">
      <c r="U48" s="49"/>
    </row>
    <row r="49" spans="18:21">
      <c r="U49" s="49"/>
    </row>
    <row r="50" spans="18:21">
      <c r="U50" s="49"/>
    </row>
    <row r="51" spans="18:21">
      <c r="U51" s="49"/>
    </row>
    <row r="52" spans="18:21">
      <c r="U52" s="49"/>
    </row>
    <row r="53" spans="18:21">
      <c r="U53" s="49"/>
    </row>
    <row r="54" spans="18:21">
      <c r="U54" s="49"/>
    </row>
    <row r="55" spans="18:21">
      <c r="U55" s="49"/>
    </row>
    <row r="56" spans="18:21">
      <c r="U56" s="49"/>
    </row>
    <row r="57" spans="18:21">
      <c r="U57" s="49"/>
    </row>
    <row r="58" spans="18:21">
      <c r="U58" s="49"/>
    </row>
    <row r="59" spans="18:21">
      <c r="U59" s="49"/>
    </row>
    <row r="60" spans="18:21">
      <c r="U60" s="49"/>
    </row>
    <row r="61" spans="18:21">
      <c r="R61" s="54"/>
    </row>
    <row r="62" spans="18:21">
      <c r="U62" s="49"/>
    </row>
    <row r="63" spans="18:21">
      <c r="U63" s="49"/>
    </row>
    <row r="64" spans="18:21">
      <c r="U64" s="49"/>
    </row>
    <row r="66" spans="21:21">
      <c r="U66" s="49"/>
    </row>
    <row r="71" spans="21:21">
      <c r="U71" s="49"/>
    </row>
    <row r="72" spans="21:21">
      <c r="U72" s="49"/>
    </row>
    <row r="73" spans="21:21">
      <c r="U73" s="49"/>
    </row>
    <row r="76" spans="21:21">
      <c r="U76" s="49"/>
    </row>
    <row r="77" spans="21:21">
      <c r="U77" s="49"/>
    </row>
    <row r="78" spans="21:21">
      <c r="U78" s="49"/>
    </row>
    <row r="79" spans="21:21">
      <c r="U79" s="49"/>
    </row>
    <row r="80" spans="21:21">
      <c r="U80" s="49"/>
    </row>
    <row r="83" spans="21:21">
      <c r="U83" s="49"/>
    </row>
    <row r="84" spans="21:21">
      <c r="U84" s="49"/>
    </row>
    <row r="85" spans="21:21">
      <c r="U85" s="49"/>
    </row>
    <row r="90" spans="21:21">
      <c r="U90" s="49"/>
    </row>
    <row r="91" spans="21:21">
      <c r="U91" s="49"/>
    </row>
    <row r="92" spans="21:21">
      <c r="U92" s="49"/>
    </row>
    <row r="93" spans="21:21">
      <c r="U93" s="49"/>
    </row>
    <row r="94" spans="21:21">
      <c r="U94" s="49"/>
    </row>
    <row r="95" spans="21:21">
      <c r="U95" s="49"/>
    </row>
    <row r="96" spans="21:21">
      <c r="U96" s="49"/>
    </row>
    <row r="97" spans="18:21">
      <c r="U97" s="49"/>
    </row>
    <row r="98" spans="18:21">
      <c r="U98" s="49"/>
    </row>
    <row r="99" spans="18:21">
      <c r="U99" s="49"/>
    </row>
    <row r="100" spans="18:21">
      <c r="U100" s="49"/>
    </row>
    <row r="101" spans="18:21">
      <c r="U101" s="49"/>
    </row>
    <row r="102" spans="18:21">
      <c r="U102" s="49"/>
    </row>
    <row r="103" spans="18:21">
      <c r="U103" s="49"/>
    </row>
    <row r="105" spans="18:21">
      <c r="U105" s="49"/>
    </row>
    <row r="106" spans="18:21">
      <c r="U106" s="49"/>
    </row>
    <row r="107" spans="18:21">
      <c r="U107" s="49"/>
    </row>
    <row r="108" spans="18:21">
      <c r="U108" s="49"/>
    </row>
    <row r="109" spans="18:21">
      <c r="U109" s="49"/>
    </row>
    <row r="110" spans="18:21">
      <c r="U110" s="49"/>
    </row>
    <row r="112" spans="18:21">
      <c r="R112" s="54"/>
    </row>
    <row r="113" spans="18:21">
      <c r="U113" s="49"/>
    </row>
    <row r="114" spans="18:21">
      <c r="U114" s="49"/>
    </row>
    <row r="115" spans="18:21">
      <c r="U115" s="49"/>
    </row>
    <row r="116" spans="18:21">
      <c r="U116" s="49"/>
    </row>
    <row r="118" spans="18:21">
      <c r="U118" s="49"/>
    </row>
    <row r="119" spans="18:21">
      <c r="U119" s="49"/>
    </row>
    <row r="120" spans="18:21">
      <c r="U120" s="49"/>
    </row>
    <row r="121" spans="18:21">
      <c r="R121" s="54"/>
    </row>
    <row r="122" spans="18:21">
      <c r="U122" s="49"/>
    </row>
    <row r="123" spans="18:21">
      <c r="U123" s="49"/>
    </row>
    <row r="124" spans="18:21">
      <c r="U124" s="49"/>
    </row>
    <row r="125" spans="18:21">
      <c r="U125" s="49"/>
    </row>
    <row r="126" spans="18:21">
      <c r="U126" s="49"/>
    </row>
    <row r="127" spans="18:21">
      <c r="U127" s="49"/>
    </row>
    <row r="128" spans="18:21">
      <c r="U128" s="49"/>
    </row>
    <row r="134" spans="21:21">
      <c r="U134" s="49"/>
    </row>
    <row r="135" spans="21:21">
      <c r="U135" s="49"/>
    </row>
    <row r="136" spans="21:21">
      <c r="U136" s="49"/>
    </row>
    <row r="137" spans="21:21">
      <c r="U137" s="49"/>
    </row>
    <row r="139" spans="21:21">
      <c r="U139" s="49"/>
    </row>
    <row r="140" spans="21:21">
      <c r="U140" s="49"/>
    </row>
    <row r="141" spans="21:21">
      <c r="U141" s="49"/>
    </row>
    <row r="143" spans="21:21">
      <c r="U143" s="49"/>
    </row>
    <row r="144" spans="21:21">
      <c r="U144" s="49"/>
    </row>
    <row r="145" spans="18:21">
      <c r="U145" s="49"/>
    </row>
    <row r="146" spans="18:21">
      <c r="U146" s="49"/>
    </row>
    <row r="147" spans="18:21">
      <c r="U147" s="49"/>
    </row>
    <row r="148" spans="18:21">
      <c r="R148" s="54"/>
    </row>
    <row r="149" spans="18:21">
      <c r="U149" s="49"/>
    </row>
    <row r="150" spans="18:21">
      <c r="U150" s="49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F168"/>
  <sheetViews>
    <sheetView zoomScale="90" zoomScaleNormal="90" workbookViewId="0"/>
  </sheetViews>
  <sheetFormatPr defaultColWidth="9.1640625" defaultRowHeight="12.75"/>
  <cols>
    <col min="1" max="2" width="9.1640625" style="37"/>
    <col min="3" max="3" width="9.1640625" style="35"/>
    <col min="4" max="5" width="9.1640625" style="36"/>
    <col min="6" max="8" width="9.1640625" style="35"/>
    <col min="9" max="9" width="9.1640625" style="36"/>
    <col min="10" max="10" width="9.1640625" style="35"/>
    <col min="11" max="11" width="9.1640625" style="36"/>
    <col min="12" max="12" width="9.1640625" style="35"/>
    <col min="13" max="14" width="9.1640625" style="36"/>
    <col min="15" max="16384" width="9.1640625" style="37"/>
  </cols>
  <sheetData>
    <row r="1" spans="1:32">
      <c r="A1" s="43"/>
      <c r="B1" s="43"/>
      <c r="C1" s="44"/>
      <c r="D1" s="45"/>
      <c r="E1" s="45"/>
      <c r="F1" s="44"/>
      <c r="G1" s="44"/>
      <c r="H1" s="44"/>
      <c r="I1" s="45"/>
      <c r="J1" s="44"/>
      <c r="K1" s="45"/>
      <c r="L1" s="44"/>
      <c r="M1" s="45"/>
      <c r="N1" s="45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</row>
    <row r="2" spans="1:32">
      <c r="A2" s="43"/>
      <c r="B2" s="43"/>
      <c r="C2" s="44"/>
      <c r="D2" s="45"/>
      <c r="E2" s="45"/>
      <c r="F2" s="44"/>
      <c r="G2" s="44"/>
      <c r="H2" s="44"/>
      <c r="I2" s="45"/>
      <c r="J2" s="44"/>
      <c r="K2" s="45"/>
      <c r="L2" s="44"/>
      <c r="M2" s="45"/>
      <c r="N2" s="45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</row>
    <row r="3" spans="1:32">
      <c r="A3" s="43"/>
      <c r="B3" s="43"/>
      <c r="C3" s="44"/>
      <c r="D3" s="45"/>
      <c r="E3" s="45"/>
      <c r="F3" s="44"/>
      <c r="G3" s="44"/>
      <c r="H3" s="44"/>
      <c r="I3" s="45"/>
      <c r="J3" s="44"/>
      <c r="K3" s="45"/>
      <c r="L3" s="44"/>
      <c r="M3" s="45"/>
      <c r="N3" s="45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</row>
    <row r="4" spans="1:32">
      <c r="A4" s="43"/>
      <c r="B4" s="43"/>
      <c r="C4" s="44"/>
      <c r="D4" s="45"/>
      <c r="E4" s="45"/>
      <c r="F4" s="44"/>
      <c r="G4" s="44"/>
      <c r="H4" s="44"/>
      <c r="I4" s="45"/>
      <c r="J4" s="44"/>
      <c r="K4" s="45"/>
      <c r="L4" s="44"/>
      <c r="M4" s="45"/>
      <c r="N4" s="45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</row>
    <row r="5" spans="1:32">
      <c r="A5" s="43"/>
      <c r="B5" s="43"/>
      <c r="C5" s="44"/>
      <c r="D5" s="45"/>
      <c r="E5" s="45"/>
      <c r="F5" s="44"/>
      <c r="G5" s="44"/>
      <c r="H5" s="44"/>
      <c r="I5" s="45"/>
      <c r="J5" s="44"/>
      <c r="K5" s="45"/>
      <c r="L5" s="44"/>
      <c r="M5" s="45"/>
      <c r="N5" s="45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</row>
    <row r="6" spans="1:32">
      <c r="A6" s="43"/>
      <c r="B6" s="43"/>
      <c r="C6" s="44"/>
      <c r="D6" s="45"/>
      <c r="E6" s="45"/>
      <c r="F6" s="44"/>
      <c r="G6" s="44"/>
      <c r="H6" s="44"/>
      <c r="I6" s="45"/>
      <c r="J6" s="44"/>
      <c r="K6" s="45"/>
      <c r="L6" s="44"/>
      <c r="M6" s="45"/>
      <c r="N6" s="45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</row>
    <row r="7" spans="1:32">
      <c r="A7" s="43"/>
      <c r="B7" s="46"/>
      <c r="C7" s="44"/>
      <c r="D7" s="45"/>
      <c r="E7" s="45"/>
      <c r="F7" s="44"/>
      <c r="G7" s="44"/>
      <c r="H7" s="44"/>
      <c r="I7" s="45"/>
      <c r="J7" s="44"/>
      <c r="K7" s="45"/>
      <c r="L7" s="44"/>
      <c r="M7" s="45"/>
      <c r="N7" s="45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</row>
    <row r="8" spans="1:32">
      <c r="A8" s="43"/>
      <c r="B8" s="43"/>
      <c r="C8" s="44"/>
      <c r="D8" s="45"/>
      <c r="E8" s="45"/>
      <c r="F8" s="44"/>
      <c r="G8" s="44"/>
      <c r="H8" s="44"/>
      <c r="I8" s="45"/>
      <c r="J8" s="44"/>
      <c r="K8" s="45"/>
      <c r="L8" s="44"/>
      <c r="M8" s="45"/>
      <c r="N8" s="45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</row>
    <row r="9" spans="1:32">
      <c r="A9" s="43"/>
      <c r="B9" s="43"/>
      <c r="C9" s="44"/>
      <c r="D9" s="45"/>
      <c r="E9" s="45"/>
      <c r="F9" s="44"/>
      <c r="G9" s="44"/>
      <c r="H9" s="44"/>
      <c r="I9" s="45"/>
      <c r="J9" s="44"/>
      <c r="K9" s="45"/>
      <c r="L9" s="44"/>
      <c r="M9" s="45"/>
      <c r="N9" s="45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</row>
    <row r="10" spans="1:32">
      <c r="A10" s="43"/>
      <c r="B10" s="43"/>
      <c r="C10" s="44"/>
      <c r="D10" s="45"/>
      <c r="E10" s="45"/>
      <c r="F10" s="44"/>
      <c r="G10" s="44"/>
      <c r="H10" s="44"/>
      <c r="I10" s="45"/>
      <c r="J10" s="44"/>
      <c r="K10" s="45"/>
      <c r="L10" s="44"/>
      <c r="M10" s="45"/>
      <c r="N10" s="45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</row>
    <row r="11" spans="1:32">
      <c r="A11" s="43"/>
      <c r="B11" s="43"/>
      <c r="C11" s="44"/>
      <c r="D11" s="45"/>
      <c r="E11" s="45"/>
      <c r="F11" s="44"/>
      <c r="G11" s="44"/>
      <c r="H11" s="44"/>
      <c r="I11" s="45"/>
      <c r="J11" s="44"/>
      <c r="K11" s="45"/>
      <c r="L11" s="44"/>
      <c r="M11" s="45"/>
      <c r="N11" s="45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</row>
    <row r="12" spans="1:32">
      <c r="A12" s="43"/>
      <c r="B12" s="43"/>
      <c r="C12" s="44"/>
      <c r="D12" s="45"/>
      <c r="E12" s="45"/>
      <c r="F12" s="44"/>
      <c r="G12" s="44"/>
      <c r="H12" s="44"/>
      <c r="I12" s="45"/>
      <c r="J12" s="44"/>
      <c r="K12" s="45"/>
      <c r="L12" s="44"/>
      <c r="M12" s="45"/>
      <c r="N12" s="45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</row>
    <row r="13" spans="1:32">
      <c r="A13" s="43"/>
      <c r="B13" s="43"/>
      <c r="C13" s="44"/>
      <c r="D13" s="45"/>
      <c r="E13" s="45"/>
      <c r="F13" s="44"/>
      <c r="G13" s="44"/>
      <c r="H13" s="44"/>
      <c r="I13" s="45"/>
      <c r="J13" s="44"/>
      <c r="K13" s="45"/>
      <c r="L13" s="44"/>
      <c r="M13" s="45"/>
      <c r="N13" s="45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</row>
    <row r="14" spans="1:32">
      <c r="A14" s="43"/>
      <c r="B14" s="43"/>
      <c r="C14" s="44"/>
      <c r="D14" s="45"/>
      <c r="E14" s="45"/>
      <c r="F14" s="44"/>
      <c r="G14" s="44"/>
      <c r="H14" s="44"/>
      <c r="I14" s="45"/>
      <c r="J14" s="44"/>
      <c r="K14" s="45"/>
      <c r="L14" s="44"/>
      <c r="M14" s="45"/>
      <c r="N14" s="45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</row>
    <row r="15" spans="1:32">
      <c r="A15" s="43"/>
      <c r="B15" s="43"/>
      <c r="C15" s="44"/>
      <c r="D15" s="45"/>
      <c r="E15" s="45"/>
      <c r="F15" s="44"/>
      <c r="G15" s="44"/>
      <c r="H15" s="44"/>
      <c r="I15" s="45"/>
      <c r="J15" s="44"/>
      <c r="K15" s="45"/>
      <c r="L15" s="44"/>
      <c r="M15" s="45"/>
      <c r="N15" s="45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</row>
    <row r="16" spans="1:32">
      <c r="A16" s="43"/>
      <c r="B16" s="43"/>
      <c r="C16" s="44"/>
      <c r="D16" s="45"/>
      <c r="E16" s="45"/>
      <c r="F16" s="44"/>
      <c r="G16" s="44"/>
      <c r="H16" s="44"/>
      <c r="I16" s="45"/>
      <c r="J16" s="44"/>
      <c r="K16" s="45"/>
      <c r="L16" s="44"/>
      <c r="M16" s="45"/>
      <c r="N16" s="45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</row>
    <row r="17" spans="1:32">
      <c r="A17" s="43"/>
      <c r="B17" s="43"/>
      <c r="C17" s="44"/>
      <c r="D17" s="45"/>
      <c r="E17" s="45"/>
      <c r="F17" s="44"/>
      <c r="G17" s="44"/>
      <c r="H17" s="44"/>
      <c r="I17" s="45"/>
      <c r="J17" s="44"/>
      <c r="K17" s="45"/>
      <c r="L17" s="44"/>
      <c r="M17" s="45"/>
      <c r="N17" s="45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</row>
    <row r="18" spans="1:32">
      <c r="A18" s="43"/>
      <c r="B18" s="43"/>
      <c r="C18" s="44"/>
      <c r="D18" s="45"/>
      <c r="E18" s="45"/>
      <c r="F18" s="44"/>
      <c r="G18" s="44"/>
      <c r="H18" s="44"/>
      <c r="I18" s="45"/>
      <c r="J18" s="44"/>
      <c r="K18" s="45"/>
      <c r="L18" s="44"/>
      <c r="M18" s="45"/>
      <c r="N18" s="45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</row>
    <row r="19" spans="1:32">
      <c r="A19" s="43"/>
      <c r="B19" s="43"/>
      <c r="C19" s="44"/>
      <c r="D19" s="45"/>
      <c r="E19" s="45"/>
      <c r="F19" s="44"/>
      <c r="G19" s="44"/>
      <c r="H19" s="44"/>
      <c r="I19" s="45"/>
      <c r="J19" s="44"/>
      <c r="K19" s="45"/>
      <c r="L19" s="44"/>
      <c r="M19" s="45"/>
      <c r="N19" s="45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</row>
    <row r="20" spans="1:32">
      <c r="A20" s="43"/>
      <c r="B20" s="43"/>
      <c r="C20" s="44"/>
      <c r="D20" s="45"/>
      <c r="E20" s="45"/>
      <c r="F20" s="44"/>
      <c r="G20" s="44"/>
      <c r="H20" s="44"/>
      <c r="I20" s="45"/>
      <c r="J20" s="44"/>
      <c r="K20" s="45"/>
      <c r="L20" s="44"/>
      <c r="M20" s="45"/>
      <c r="N20" s="45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</row>
    <row r="21" spans="1:32">
      <c r="A21" s="43"/>
      <c r="B21" s="46"/>
      <c r="C21" s="44"/>
      <c r="D21" s="45"/>
      <c r="E21" s="45"/>
      <c r="F21" s="44"/>
      <c r="G21" s="44"/>
      <c r="H21" s="44"/>
      <c r="I21" s="45"/>
      <c r="J21" s="44"/>
      <c r="K21" s="45"/>
      <c r="L21" s="44"/>
      <c r="M21" s="45"/>
      <c r="N21" s="45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</row>
    <row r="22" spans="1:32">
      <c r="A22" s="43"/>
      <c r="B22" s="43"/>
      <c r="C22" s="44"/>
      <c r="D22" s="45"/>
      <c r="E22" s="45"/>
      <c r="F22" s="44"/>
      <c r="G22" s="44"/>
      <c r="H22" s="44"/>
      <c r="I22" s="45"/>
      <c r="J22" s="44"/>
      <c r="K22" s="45"/>
      <c r="L22" s="44"/>
      <c r="M22" s="45"/>
      <c r="N22" s="45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</row>
    <row r="23" spans="1:32">
      <c r="A23" s="43"/>
      <c r="B23" s="43"/>
      <c r="C23" s="44"/>
      <c r="D23" s="45"/>
      <c r="E23" s="45"/>
      <c r="F23" s="44"/>
      <c r="G23" s="44"/>
      <c r="H23" s="44"/>
      <c r="I23" s="45"/>
      <c r="J23" s="44"/>
      <c r="K23" s="45"/>
      <c r="L23" s="44"/>
      <c r="M23" s="45"/>
      <c r="N23" s="45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</row>
    <row r="24" spans="1:32">
      <c r="A24" s="43"/>
      <c r="B24" s="43"/>
      <c r="C24" s="44"/>
      <c r="D24" s="45"/>
      <c r="E24" s="45"/>
      <c r="F24" s="44"/>
      <c r="G24" s="44"/>
      <c r="H24" s="44"/>
      <c r="I24" s="45"/>
      <c r="J24" s="44"/>
      <c r="K24" s="45"/>
      <c r="L24" s="44"/>
      <c r="M24" s="45"/>
      <c r="N24" s="45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</row>
    <row r="25" spans="1:32">
      <c r="A25" s="43"/>
      <c r="B25" s="43"/>
      <c r="C25" s="44"/>
      <c r="D25" s="45"/>
      <c r="E25" s="45"/>
      <c r="F25" s="44"/>
      <c r="G25" s="44"/>
      <c r="H25" s="44"/>
      <c r="I25" s="45"/>
      <c r="J25" s="44"/>
      <c r="K25" s="45"/>
      <c r="L25" s="44"/>
      <c r="M25" s="45"/>
      <c r="N25" s="45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</row>
    <row r="26" spans="1:32">
      <c r="A26" s="43"/>
      <c r="B26" s="43"/>
      <c r="C26" s="44"/>
      <c r="D26" s="45"/>
      <c r="E26" s="45"/>
      <c r="F26" s="44"/>
      <c r="G26" s="44"/>
      <c r="H26" s="44"/>
      <c r="I26" s="45"/>
      <c r="J26" s="44"/>
      <c r="K26" s="45"/>
      <c r="L26" s="44"/>
      <c r="M26" s="45"/>
      <c r="N26" s="45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</row>
    <row r="27" spans="1:32">
      <c r="A27" s="43"/>
      <c r="B27" s="43"/>
      <c r="C27" s="44"/>
      <c r="D27" s="45"/>
      <c r="E27" s="45"/>
      <c r="F27" s="44"/>
      <c r="G27" s="44"/>
      <c r="H27" s="44"/>
      <c r="I27" s="45"/>
      <c r="J27" s="44"/>
      <c r="K27" s="45"/>
      <c r="L27" s="44"/>
      <c r="M27" s="45"/>
      <c r="N27" s="45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</row>
    <row r="28" spans="1:32">
      <c r="A28" s="43"/>
      <c r="B28" s="43"/>
      <c r="C28" s="44"/>
      <c r="D28" s="45"/>
      <c r="E28" s="45"/>
      <c r="F28" s="44"/>
      <c r="G28" s="44"/>
      <c r="H28" s="44"/>
      <c r="I28" s="45"/>
      <c r="J28" s="44"/>
      <c r="K28" s="45"/>
      <c r="L28" s="44"/>
      <c r="M28" s="45"/>
      <c r="N28" s="45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</row>
    <row r="29" spans="1:32">
      <c r="A29" s="43"/>
      <c r="B29" s="43"/>
      <c r="C29" s="44"/>
      <c r="D29" s="45"/>
      <c r="E29" s="45"/>
      <c r="F29" s="44"/>
      <c r="G29" s="44"/>
      <c r="H29" s="44"/>
      <c r="I29" s="45"/>
      <c r="J29" s="44"/>
      <c r="K29" s="45"/>
      <c r="L29" s="44"/>
      <c r="M29" s="45"/>
      <c r="N29" s="45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</row>
    <row r="30" spans="1:32">
      <c r="A30" s="43"/>
      <c r="B30" s="43"/>
      <c r="C30" s="44"/>
      <c r="D30" s="45"/>
      <c r="E30" s="45"/>
      <c r="F30" s="44"/>
      <c r="G30" s="44"/>
      <c r="H30" s="44"/>
      <c r="I30" s="45"/>
      <c r="J30" s="44"/>
      <c r="K30" s="45"/>
      <c r="L30" s="44"/>
      <c r="M30" s="45"/>
      <c r="N30" s="45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</row>
    <row r="31" spans="1:32">
      <c r="A31" s="43"/>
      <c r="B31" s="43"/>
      <c r="C31" s="44"/>
      <c r="D31" s="45"/>
      <c r="E31" s="45"/>
      <c r="F31" s="44"/>
      <c r="G31" s="44"/>
      <c r="H31" s="44"/>
      <c r="I31" s="45"/>
      <c r="J31" s="44"/>
      <c r="K31" s="45"/>
      <c r="L31" s="44"/>
      <c r="M31" s="45"/>
      <c r="N31" s="45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</row>
    <row r="32" spans="1:32">
      <c r="A32" s="43"/>
      <c r="B32" s="43"/>
      <c r="C32" s="44"/>
      <c r="D32" s="45"/>
      <c r="E32" s="45"/>
      <c r="F32" s="44"/>
      <c r="G32" s="44"/>
      <c r="H32" s="44"/>
      <c r="I32" s="45"/>
      <c r="J32" s="44"/>
      <c r="K32" s="45"/>
      <c r="L32" s="44"/>
      <c r="M32" s="45"/>
      <c r="N32" s="45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</row>
    <row r="33" spans="1:32">
      <c r="A33" s="43"/>
      <c r="B33" s="43"/>
      <c r="C33" s="44"/>
      <c r="D33" s="45"/>
      <c r="E33" s="45"/>
      <c r="F33" s="44"/>
      <c r="G33" s="44"/>
      <c r="H33" s="44"/>
      <c r="I33" s="45"/>
      <c r="J33" s="44"/>
      <c r="K33" s="45"/>
      <c r="L33" s="44"/>
      <c r="M33" s="45"/>
      <c r="N33" s="45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</row>
    <row r="34" spans="1:32">
      <c r="A34" s="43"/>
      <c r="B34" s="43"/>
      <c r="C34" s="44"/>
      <c r="D34" s="45"/>
      <c r="E34" s="45"/>
      <c r="F34" s="44"/>
      <c r="G34" s="44"/>
      <c r="H34" s="44"/>
      <c r="I34" s="45"/>
      <c r="J34" s="44"/>
      <c r="K34" s="45"/>
      <c r="L34" s="44"/>
      <c r="M34" s="45"/>
      <c r="N34" s="45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</row>
    <row r="35" spans="1:32">
      <c r="A35" s="43"/>
      <c r="B35" s="43"/>
      <c r="C35" s="44"/>
      <c r="D35" s="45"/>
      <c r="E35" s="45"/>
      <c r="F35" s="44"/>
      <c r="G35" s="44"/>
      <c r="H35" s="44"/>
      <c r="I35" s="45"/>
      <c r="J35" s="44"/>
      <c r="K35" s="45"/>
      <c r="L35" s="44"/>
      <c r="M35" s="45"/>
      <c r="N35" s="45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</row>
    <row r="36" spans="1:32">
      <c r="A36" s="43"/>
      <c r="B36" s="43"/>
      <c r="C36" s="44"/>
      <c r="D36" s="45"/>
      <c r="E36" s="45"/>
      <c r="F36" s="44"/>
      <c r="G36" s="44"/>
      <c r="H36" s="44"/>
      <c r="I36" s="45"/>
      <c r="J36" s="44"/>
      <c r="K36" s="45"/>
      <c r="L36" s="44"/>
      <c r="M36" s="45"/>
      <c r="N36" s="45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43"/>
    </row>
    <row r="37" spans="1:32">
      <c r="A37" s="43"/>
      <c r="B37" s="43"/>
      <c r="C37" s="44"/>
      <c r="D37" s="45"/>
      <c r="E37" s="45"/>
      <c r="F37" s="44"/>
      <c r="G37" s="44"/>
      <c r="H37" s="44"/>
      <c r="I37" s="45"/>
      <c r="J37" s="44"/>
      <c r="K37" s="45"/>
      <c r="L37" s="44"/>
      <c r="M37" s="45"/>
      <c r="N37" s="45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</row>
    <row r="38" spans="1:32">
      <c r="A38" s="43"/>
      <c r="B38" s="43"/>
      <c r="C38" s="44"/>
      <c r="D38" s="45"/>
      <c r="E38" s="45"/>
      <c r="F38" s="44"/>
      <c r="G38" s="44"/>
      <c r="H38" s="44"/>
      <c r="I38" s="45"/>
      <c r="J38" s="44"/>
      <c r="K38" s="45"/>
      <c r="L38" s="44"/>
      <c r="M38" s="45"/>
      <c r="N38" s="45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</row>
    <row r="39" spans="1:32">
      <c r="A39" s="43"/>
      <c r="B39" s="43"/>
      <c r="C39" s="44"/>
      <c r="D39" s="45"/>
      <c r="E39" s="45"/>
      <c r="F39" s="44"/>
      <c r="G39" s="44"/>
      <c r="H39" s="44"/>
      <c r="I39" s="45"/>
      <c r="J39" s="44"/>
      <c r="K39" s="45"/>
      <c r="L39" s="44"/>
      <c r="M39" s="45"/>
      <c r="N39" s="45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</row>
    <row r="40" spans="1:32">
      <c r="A40" s="43"/>
      <c r="B40" s="43"/>
      <c r="C40" s="44"/>
      <c r="D40" s="45"/>
      <c r="E40" s="45"/>
      <c r="F40" s="44"/>
      <c r="G40" s="44"/>
      <c r="H40" s="44"/>
      <c r="I40" s="45"/>
      <c r="J40" s="44"/>
      <c r="K40" s="45"/>
      <c r="L40" s="44"/>
      <c r="M40" s="45"/>
      <c r="N40" s="45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3"/>
      <c r="AE40" s="43"/>
      <c r="AF40" s="43"/>
    </row>
    <row r="41" spans="1:32">
      <c r="A41" s="43"/>
      <c r="B41" s="43"/>
      <c r="C41" s="44"/>
      <c r="D41" s="45"/>
      <c r="E41" s="45"/>
      <c r="F41" s="44"/>
      <c r="G41" s="44"/>
      <c r="H41" s="44"/>
      <c r="I41" s="45"/>
      <c r="J41" s="44"/>
      <c r="K41" s="45"/>
      <c r="L41" s="44"/>
      <c r="M41" s="45"/>
      <c r="N41" s="45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</row>
    <row r="42" spans="1:32">
      <c r="A42" s="43"/>
      <c r="B42" s="43"/>
      <c r="C42" s="44"/>
      <c r="D42" s="45"/>
      <c r="E42" s="45"/>
      <c r="F42" s="44"/>
      <c r="G42" s="44"/>
      <c r="H42" s="44"/>
      <c r="I42" s="45"/>
      <c r="J42" s="44"/>
      <c r="K42" s="45"/>
      <c r="L42" s="44"/>
      <c r="M42" s="45"/>
      <c r="N42" s="45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</row>
    <row r="43" spans="1:32">
      <c r="A43" s="43"/>
      <c r="B43" s="43"/>
      <c r="C43" s="44"/>
      <c r="D43" s="45"/>
      <c r="E43" s="45"/>
      <c r="F43" s="44"/>
      <c r="G43" s="44"/>
      <c r="H43" s="44"/>
      <c r="I43" s="45"/>
      <c r="J43" s="44"/>
      <c r="K43" s="45"/>
      <c r="L43" s="44"/>
      <c r="M43" s="45"/>
      <c r="N43" s="45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</row>
    <row r="44" spans="1:32">
      <c r="A44" s="43"/>
      <c r="B44" s="43"/>
      <c r="C44" s="44"/>
      <c r="D44" s="45"/>
      <c r="E44" s="45"/>
      <c r="F44" s="44"/>
      <c r="G44" s="44"/>
      <c r="H44" s="44"/>
      <c r="I44" s="45"/>
      <c r="J44" s="44"/>
      <c r="K44" s="45"/>
      <c r="L44" s="44"/>
      <c r="M44" s="45"/>
      <c r="N44" s="45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</row>
    <row r="45" spans="1:32">
      <c r="A45" s="43"/>
      <c r="B45" s="43"/>
      <c r="C45" s="44"/>
      <c r="D45" s="45"/>
      <c r="E45" s="45"/>
      <c r="F45" s="44"/>
      <c r="G45" s="44"/>
      <c r="H45" s="44"/>
      <c r="I45" s="45"/>
      <c r="J45" s="44"/>
      <c r="K45" s="45"/>
      <c r="L45" s="44"/>
      <c r="M45" s="45"/>
      <c r="N45" s="45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</row>
    <row r="46" spans="1:32">
      <c r="A46" s="43"/>
      <c r="B46" s="43"/>
      <c r="C46" s="44"/>
      <c r="D46" s="45"/>
      <c r="E46" s="45"/>
      <c r="F46" s="44"/>
      <c r="G46" s="44"/>
      <c r="H46" s="44"/>
      <c r="I46" s="45"/>
      <c r="J46" s="44"/>
      <c r="K46" s="45"/>
      <c r="L46" s="44"/>
      <c r="M46" s="45"/>
      <c r="N46" s="45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</row>
    <row r="47" spans="1:32">
      <c r="A47" s="43"/>
      <c r="B47" s="43"/>
      <c r="C47" s="44"/>
      <c r="D47" s="45"/>
      <c r="E47" s="45"/>
      <c r="F47" s="44"/>
      <c r="G47" s="44"/>
      <c r="H47" s="44"/>
      <c r="I47" s="45"/>
      <c r="J47" s="44"/>
      <c r="K47" s="45"/>
      <c r="L47" s="44"/>
      <c r="M47" s="45"/>
      <c r="N47" s="45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3"/>
      <c r="AF47" s="43"/>
    </row>
    <row r="48" spans="1:32">
      <c r="A48" s="43"/>
      <c r="B48" s="43"/>
      <c r="C48" s="44"/>
      <c r="D48" s="45"/>
      <c r="E48" s="45"/>
      <c r="F48" s="44"/>
      <c r="G48" s="44"/>
      <c r="H48" s="44"/>
      <c r="I48" s="45"/>
      <c r="J48" s="44"/>
      <c r="K48" s="45"/>
      <c r="L48" s="44"/>
      <c r="M48" s="45"/>
      <c r="N48" s="45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</row>
    <row r="49" spans="1:32">
      <c r="A49" s="43"/>
      <c r="B49" s="43"/>
      <c r="C49" s="44"/>
      <c r="D49" s="45"/>
      <c r="E49" s="45"/>
      <c r="F49" s="44"/>
      <c r="G49" s="44"/>
      <c r="H49" s="44"/>
      <c r="I49" s="45"/>
      <c r="J49" s="44"/>
      <c r="K49" s="45"/>
      <c r="L49" s="44"/>
      <c r="M49" s="45"/>
      <c r="N49" s="45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</row>
    <row r="50" spans="1:32">
      <c r="A50" s="43"/>
      <c r="B50" s="43"/>
      <c r="C50" s="44"/>
      <c r="D50" s="45"/>
      <c r="E50" s="45"/>
      <c r="F50" s="44"/>
      <c r="G50" s="44"/>
      <c r="H50" s="44"/>
      <c r="I50" s="45"/>
      <c r="J50" s="44"/>
      <c r="K50" s="45"/>
      <c r="L50" s="44"/>
      <c r="M50" s="45"/>
      <c r="N50" s="45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</row>
    <row r="51" spans="1:32">
      <c r="A51" s="43"/>
      <c r="B51" s="43"/>
      <c r="C51" s="44"/>
      <c r="D51" s="45"/>
      <c r="E51" s="45"/>
      <c r="F51" s="44"/>
      <c r="G51" s="44"/>
      <c r="H51" s="44"/>
      <c r="I51" s="45"/>
      <c r="J51" s="44"/>
      <c r="K51" s="45"/>
      <c r="L51" s="44"/>
      <c r="M51" s="45"/>
      <c r="N51" s="45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</row>
    <row r="52" spans="1:32">
      <c r="A52" s="43"/>
      <c r="B52" s="43"/>
      <c r="C52" s="44"/>
      <c r="D52" s="45"/>
      <c r="E52" s="45"/>
      <c r="F52" s="44"/>
      <c r="G52" s="44"/>
      <c r="H52" s="44"/>
      <c r="I52" s="45"/>
      <c r="J52" s="44"/>
      <c r="K52" s="45"/>
      <c r="L52" s="44"/>
      <c r="M52" s="45"/>
      <c r="N52" s="45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3"/>
      <c r="AE52" s="43"/>
      <c r="AF52" s="43"/>
    </row>
    <row r="53" spans="1:32">
      <c r="A53" s="43"/>
      <c r="B53" s="43"/>
      <c r="C53" s="44"/>
      <c r="D53" s="45"/>
      <c r="E53" s="45"/>
      <c r="F53" s="44"/>
      <c r="G53" s="44"/>
      <c r="H53" s="44"/>
      <c r="I53" s="45"/>
      <c r="J53" s="44"/>
      <c r="K53" s="45"/>
      <c r="L53" s="44"/>
      <c r="M53" s="45"/>
      <c r="N53" s="45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</row>
    <row r="54" spans="1:32">
      <c r="A54" s="43"/>
      <c r="B54" s="43"/>
      <c r="C54" s="44"/>
      <c r="D54" s="45"/>
      <c r="E54" s="45"/>
      <c r="F54" s="44"/>
      <c r="G54" s="44"/>
      <c r="H54" s="44"/>
      <c r="I54" s="45"/>
      <c r="J54" s="44"/>
      <c r="K54" s="45"/>
      <c r="L54" s="44"/>
      <c r="M54" s="45"/>
      <c r="N54" s="45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  <c r="AA54" s="43"/>
      <c r="AB54" s="43"/>
      <c r="AC54" s="43"/>
      <c r="AD54" s="43"/>
      <c r="AE54" s="43"/>
      <c r="AF54" s="43"/>
    </row>
    <row r="55" spans="1:32">
      <c r="A55" s="43"/>
      <c r="B55" s="43"/>
      <c r="C55" s="44"/>
      <c r="D55" s="45"/>
      <c r="E55" s="45"/>
      <c r="F55" s="44"/>
      <c r="G55" s="44"/>
      <c r="H55" s="44"/>
      <c r="I55" s="45"/>
      <c r="J55" s="44"/>
      <c r="K55" s="45"/>
      <c r="L55" s="44"/>
      <c r="M55" s="45"/>
      <c r="N55" s="45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  <c r="AB55" s="43"/>
      <c r="AC55" s="43"/>
      <c r="AD55" s="43"/>
      <c r="AE55" s="43"/>
      <c r="AF55" s="43"/>
    </row>
    <row r="56" spans="1:32">
      <c r="A56" s="43"/>
      <c r="B56" s="43"/>
      <c r="C56" s="44"/>
      <c r="D56" s="45"/>
      <c r="E56" s="45"/>
      <c r="F56" s="44"/>
      <c r="G56" s="44"/>
      <c r="H56" s="44"/>
      <c r="I56" s="45"/>
      <c r="J56" s="44"/>
      <c r="K56" s="45"/>
      <c r="L56" s="44"/>
      <c r="M56" s="45"/>
      <c r="N56" s="45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</row>
    <row r="57" spans="1:32">
      <c r="A57" s="43"/>
      <c r="B57" s="43"/>
      <c r="C57" s="44"/>
      <c r="D57" s="45"/>
      <c r="E57" s="45"/>
      <c r="F57" s="44"/>
      <c r="G57" s="44"/>
      <c r="H57" s="44"/>
      <c r="I57" s="45"/>
      <c r="J57" s="44"/>
      <c r="K57" s="45"/>
      <c r="L57" s="44"/>
      <c r="M57" s="45"/>
      <c r="N57" s="45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3"/>
      <c r="AF57" s="43"/>
    </row>
    <row r="58" spans="1:32">
      <c r="A58" s="43"/>
      <c r="B58" s="43"/>
      <c r="C58" s="44"/>
      <c r="D58" s="45"/>
      <c r="E58" s="45"/>
      <c r="F58" s="44"/>
      <c r="G58" s="44"/>
      <c r="H58" s="44"/>
      <c r="I58" s="45"/>
      <c r="J58" s="44"/>
      <c r="K58" s="45"/>
      <c r="L58" s="44"/>
      <c r="M58" s="45"/>
      <c r="N58" s="45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</row>
    <row r="59" spans="1:32">
      <c r="A59" s="43"/>
      <c r="B59" s="43"/>
      <c r="C59" s="44"/>
      <c r="D59" s="45"/>
      <c r="E59" s="45"/>
      <c r="F59" s="44"/>
      <c r="G59" s="44"/>
      <c r="H59" s="44"/>
      <c r="I59" s="45"/>
      <c r="J59" s="44"/>
      <c r="K59" s="45"/>
      <c r="L59" s="44"/>
      <c r="M59" s="45"/>
      <c r="N59" s="45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3"/>
      <c r="AF59" s="43"/>
    </row>
    <row r="60" spans="1:32">
      <c r="A60" s="43"/>
      <c r="B60" s="43"/>
      <c r="C60" s="44"/>
      <c r="D60" s="45"/>
      <c r="E60" s="45"/>
      <c r="F60" s="44"/>
      <c r="G60" s="44"/>
      <c r="H60" s="44"/>
      <c r="I60" s="45"/>
      <c r="J60" s="44"/>
      <c r="K60" s="45"/>
      <c r="L60" s="44"/>
      <c r="M60" s="45"/>
      <c r="N60" s="45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  <c r="AA60" s="43"/>
      <c r="AB60" s="43"/>
      <c r="AC60" s="43"/>
      <c r="AD60" s="43"/>
      <c r="AE60" s="43"/>
      <c r="AF60" s="43"/>
    </row>
    <row r="61" spans="1:32">
      <c r="A61" s="43"/>
      <c r="B61" s="43"/>
      <c r="C61" s="44"/>
      <c r="D61" s="45"/>
      <c r="E61" s="45"/>
      <c r="F61" s="44"/>
      <c r="G61" s="44"/>
      <c r="H61" s="44"/>
      <c r="I61" s="45"/>
      <c r="J61" s="44"/>
      <c r="K61" s="45"/>
      <c r="L61" s="44"/>
      <c r="M61" s="45"/>
      <c r="N61" s="45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3"/>
      <c r="AF61" s="43"/>
    </row>
    <row r="62" spans="1:32">
      <c r="A62" s="43"/>
      <c r="B62" s="43"/>
      <c r="C62" s="44"/>
      <c r="D62" s="45"/>
      <c r="E62" s="45"/>
      <c r="F62" s="44"/>
      <c r="G62" s="44"/>
      <c r="H62" s="44"/>
      <c r="I62" s="45"/>
      <c r="J62" s="44"/>
      <c r="K62" s="45"/>
      <c r="L62" s="44"/>
      <c r="M62" s="45"/>
      <c r="N62" s="45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</row>
    <row r="63" spans="1:32">
      <c r="A63" s="43"/>
      <c r="B63" s="43"/>
      <c r="C63" s="44"/>
      <c r="D63" s="45"/>
      <c r="E63" s="45"/>
      <c r="F63" s="44"/>
      <c r="G63" s="44"/>
      <c r="H63" s="44"/>
      <c r="I63" s="45"/>
      <c r="J63" s="44"/>
      <c r="K63" s="45"/>
      <c r="L63" s="44"/>
      <c r="M63" s="45"/>
      <c r="N63" s="45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  <c r="AA63" s="43"/>
      <c r="AB63" s="43"/>
      <c r="AC63" s="43"/>
      <c r="AD63" s="43"/>
      <c r="AE63" s="43"/>
      <c r="AF63" s="43"/>
    </row>
    <row r="64" spans="1:32">
      <c r="A64" s="43"/>
      <c r="B64" s="43"/>
      <c r="C64" s="44"/>
      <c r="D64" s="45"/>
      <c r="E64" s="45"/>
      <c r="F64" s="44"/>
      <c r="G64" s="44"/>
      <c r="H64" s="44"/>
      <c r="I64" s="45"/>
      <c r="J64" s="44"/>
      <c r="K64" s="45"/>
      <c r="L64" s="44"/>
      <c r="M64" s="45"/>
      <c r="N64" s="45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3"/>
      <c r="AE64" s="43"/>
      <c r="AF64" s="43"/>
    </row>
    <row r="65" spans="1:32">
      <c r="A65" s="43"/>
      <c r="B65" s="43"/>
      <c r="C65" s="44"/>
      <c r="D65" s="45"/>
      <c r="E65" s="45"/>
      <c r="F65" s="44"/>
      <c r="G65" s="44"/>
      <c r="H65" s="44"/>
      <c r="I65" s="45"/>
      <c r="J65" s="44"/>
      <c r="K65" s="45"/>
      <c r="L65" s="44"/>
      <c r="M65" s="45"/>
      <c r="N65" s="45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</row>
    <row r="66" spans="1:32">
      <c r="A66" s="43"/>
      <c r="B66" s="43"/>
      <c r="C66" s="44"/>
      <c r="D66" s="45"/>
      <c r="E66" s="45"/>
      <c r="F66" s="44"/>
      <c r="G66" s="44"/>
      <c r="H66" s="44"/>
      <c r="I66" s="45"/>
      <c r="J66" s="44"/>
      <c r="K66" s="45"/>
      <c r="L66" s="44"/>
      <c r="M66" s="45"/>
      <c r="N66" s="45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43"/>
    </row>
    <row r="67" spans="1:32">
      <c r="A67" s="43"/>
      <c r="B67" s="43"/>
      <c r="C67" s="44"/>
      <c r="D67" s="45"/>
      <c r="E67" s="45"/>
      <c r="F67" s="44"/>
      <c r="G67" s="44"/>
      <c r="H67" s="44"/>
      <c r="I67" s="45"/>
      <c r="J67" s="44"/>
      <c r="K67" s="45"/>
      <c r="L67" s="44"/>
      <c r="M67" s="45"/>
      <c r="N67" s="45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  <c r="AA67" s="43"/>
      <c r="AB67" s="43"/>
      <c r="AC67" s="43"/>
      <c r="AD67" s="43"/>
      <c r="AE67" s="43"/>
      <c r="AF67" s="43"/>
    </row>
    <row r="68" spans="1:32">
      <c r="A68" s="43"/>
      <c r="B68" s="43"/>
      <c r="C68" s="44"/>
      <c r="D68" s="45"/>
      <c r="E68" s="45"/>
      <c r="F68" s="44"/>
      <c r="G68" s="44"/>
      <c r="H68" s="44"/>
      <c r="I68" s="45"/>
      <c r="J68" s="44"/>
      <c r="K68" s="45"/>
      <c r="L68" s="44"/>
      <c r="M68" s="45"/>
      <c r="N68" s="45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</row>
    <row r="69" spans="1:32">
      <c r="A69" s="43"/>
      <c r="B69" s="43"/>
      <c r="C69" s="44"/>
      <c r="D69" s="45"/>
      <c r="E69" s="45"/>
      <c r="F69" s="44"/>
      <c r="G69" s="44"/>
      <c r="H69" s="44"/>
      <c r="I69" s="45"/>
      <c r="J69" s="44"/>
      <c r="K69" s="45"/>
      <c r="L69" s="44"/>
      <c r="M69" s="45"/>
      <c r="N69" s="45"/>
      <c r="O69" s="43"/>
      <c r="P69" s="43"/>
      <c r="Q69" s="43"/>
      <c r="R69" s="43"/>
      <c r="S69" s="43"/>
      <c r="T69" s="43"/>
      <c r="U69" s="43"/>
      <c r="V69" s="43"/>
      <c r="W69" s="43"/>
      <c r="X69" s="43"/>
      <c r="Y69" s="43"/>
      <c r="Z69" s="43"/>
      <c r="AA69" s="43"/>
      <c r="AB69" s="43"/>
      <c r="AC69" s="43"/>
      <c r="AD69" s="43"/>
      <c r="AE69" s="43"/>
      <c r="AF69" s="43"/>
    </row>
    <row r="70" spans="1:32">
      <c r="A70" s="43"/>
      <c r="B70" s="43"/>
      <c r="C70" s="44"/>
      <c r="D70" s="45"/>
      <c r="E70" s="45"/>
      <c r="F70" s="44"/>
      <c r="G70" s="44"/>
      <c r="H70" s="44"/>
      <c r="I70" s="45"/>
      <c r="J70" s="44"/>
      <c r="K70" s="45"/>
      <c r="L70" s="44"/>
      <c r="M70" s="45"/>
      <c r="N70" s="45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3"/>
      <c r="AE70" s="43"/>
      <c r="AF70" s="43"/>
    </row>
    <row r="71" spans="1:32">
      <c r="A71" s="43"/>
      <c r="B71" s="43"/>
      <c r="C71" s="44"/>
      <c r="D71" s="45"/>
      <c r="E71" s="45"/>
      <c r="F71" s="44"/>
      <c r="G71" s="44"/>
      <c r="H71" s="44"/>
      <c r="I71" s="45"/>
      <c r="J71" s="44"/>
      <c r="K71" s="45"/>
      <c r="L71" s="44"/>
      <c r="M71" s="45"/>
      <c r="N71" s="45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</row>
    <row r="72" spans="1:32">
      <c r="A72" s="43"/>
      <c r="B72" s="43"/>
      <c r="C72" s="44"/>
      <c r="D72" s="45"/>
      <c r="E72" s="45"/>
      <c r="F72" s="44"/>
      <c r="G72" s="44"/>
      <c r="H72" s="44"/>
      <c r="I72" s="45"/>
      <c r="J72" s="44"/>
      <c r="K72" s="45"/>
      <c r="L72" s="44"/>
      <c r="M72" s="45"/>
      <c r="N72" s="45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  <c r="AA72" s="43"/>
      <c r="AB72" s="43"/>
      <c r="AC72" s="43"/>
      <c r="AD72" s="43"/>
      <c r="AE72" s="43"/>
      <c r="AF72" s="43"/>
    </row>
    <row r="73" spans="1:32">
      <c r="A73" s="43"/>
      <c r="B73" s="43"/>
      <c r="C73" s="44"/>
      <c r="D73" s="45"/>
      <c r="E73" s="45"/>
      <c r="F73" s="44"/>
      <c r="G73" s="44"/>
      <c r="H73" s="44"/>
      <c r="I73" s="45"/>
      <c r="J73" s="44"/>
      <c r="K73" s="45"/>
      <c r="L73" s="44"/>
      <c r="M73" s="45"/>
      <c r="N73" s="45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</row>
    <row r="74" spans="1:32">
      <c r="A74" s="43"/>
      <c r="B74" s="43"/>
      <c r="C74" s="44"/>
      <c r="D74" s="45"/>
      <c r="E74" s="45"/>
      <c r="F74" s="44"/>
      <c r="G74" s="44"/>
      <c r="H74" s="44"/>
      <c r="I74" s="45"/>
      <c r="J74" s="44"/>
      <c r="K74" s="45"/>
      <c r="L74" s="44"/>
      <c r="M74" s="45"/>
      <c r="N74" s="45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</row>
    <row r="75" spans="1:32">
      <c r="A75" s="43"/>
      <c r="B75" s="43"/>
      <c r="C75" s="44"/>
      <c r="D75" s="45"/>
      <c r="E75" s="45"/>
      <c r="F75" s="44"/>
      <c r="G75" s="44"/>
      <c r="H75" s="44"/>
      <c r="I75" s="45"/>
      <c r="J75" s="44"/>
      <c r="K75" s="45"/>
      <c r="L75" s="44"/>
      <c r="M75" s="45"/>
      <c r="N75" s="45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</row>
    <row r="76" spans="1:32">
      <c r="A76" s="43"/>
      <c r="B76" s="43"/>
      <c r="C76" s="44"/>
      <c r="D76" s="45"/>
      <c r="E76" s="45"/>
      <c r="F76" s="44"/>
      <c r="G76" s="44"/>
      <c r="H76" s="44"/>
      <c r="I76" s="45"/>
      <c r="J76" s="44"/>
      <c r="K76" s="45"/>
      <c r="L76" s="44"/>
      <c r="M76" s="45"/>
      <c r="N76" s="45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</row>
    <row r="77" spans="1:32">
      <c r="A77" s="43"/>
      <c r="B77" s="43"/>
      <c r="C77" s="44"/>
      <c r="D77" s="45"/>
      <c r="E77" s="45"/>
      <c r="F77" s="44"/>
      <c r="G77" s="44"/>
      <c r="H77" s="44"/>
      <c r="I77" s="45"/>
      <c r="J77" s="44"/>
      <c r="K77" s="45"/>
      <c r="L77" s="44"/>
      <c r="M77" s="45"/>
      <c r="N77" s="45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</row>
    <row r="78" spans="1:32">
      <c r="A78" s="43"/>
      <c r="B78" s="43"/>
      <c r="C78" s="44"/>
      <c r="D78" s="45"/>
      <c r="E78" s="45"/>
      <c r="F78" s="44"/>
      <c r="G78" s="44"/>
      <c r="H78" s="44"/>
      <c r="I78" s="45"/>
      <c r="J78" s="44"/>
      <c r="K78" s="45"/>
      <c r="L78" s="44"/>
      <c r="M78" s="45"/>
      <c r="N78" s="45"/>
      <c r="O78" s="43"/>
      <c r="P78" s="43"/>
      <c r="Q78" s="43"/>
      <c r="R78" s="43"/>
      <c r="S78" s="43"/>
      <c r="T78" s="43"/>
      <c r="U78" s="43"/>
      <c r="V78" s="43"/>
      <c r="W78" s="43"/>
      <c r="X78" s="43"/>
      <c r="Y78" s="43"/>
      <c r="Z78" s="43"/>
      <c r="AA78" s="43"/>
      <c r="AB78" s="43"/>
      <c r="AC78" s="43"/>
      <c r="AD78" s="43"/>
      <c r="AE78" s="43"/>
      <c r="AF78" s="43"/>
    </row>
    <row r="79" spans="1:32">
      <c r="A79" s="43"/>
      <c r="B79" s="43"/>
      <c r="C79" s="44"/>
      <c r="D79" s="45"/>
      <c r="E79" s="45"/>
      <c r="F79" s="44"/>
      <c r="G79" s="44"/>
      <c r="H79" s="44"/>
      <c r="I79" s="45"/>
      <c r="J79" s="44"/>
      <c r="K79" s="45"/>
      <c r="L79" s="44"/>
      <c r="M79" s="45"/>
      <c r="N79" s="45"/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  <c r="AA79" s="43"/>
      <c r="AB79" s="43"/>
      <c r="AC79" s="43"/>
      <c r="AD79" s="43"/>
      <c r="AE79" s="43"/>
      <c r="AF79" s="43"/>
    </row>
    <row r="80" spans="1:32">
      <c r="A80" s="43"/>
      <c r="B80" s="43"/>
      <c r="C80" s="44"/>
      <c r="D80" s="45"/>
      <c r="E80" s="45"/>
      <c r="F80" s="44"/>
      <c r="G80" s="44"/>
      <c r="H80" s="44"/>
      <c r="I80" s="45"/>
      <c r="J80" s="44"/>
      <c r="K80" s="45"/>
      <c r="L80" s="44"/>
      <c r="M80" s="45"/>
      <c r="N80" s="45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</row>
    <row r="81" spans="1:32">
      <c r="A81" s="43"/>
      <c r="B81" s="43"/>
      <c r="C81" s="44"/>
      <c r="D81" s="45"/>
      <c r="E81" s="45"/>
      <c r="F81" s="44"/>
      <c r="G81" s="44"/>
      <c r="H81" s="44"/>
      <c r="I81" s="45"/>
      <c r="J81" s="44"/>
      <c r="K81" s="45"/>
      <c r="L81" s="44"/>
      <c r="M81" s="45"/>
      <c r="N81" s="45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3"/>
      <c r="AC81" s="43"/>
      <c r="AD81" s="43"/>
      <c r="AE81" s="43"/>
      <c r="AF81" s="43"/>
    </row>
    <row r="82" spans="1:32">
      <c r="A82" s="43"/>
      <c r="B82" s="43"/>
      <c r="C82" s="44"/>
      <c r="D82" s="45"/>
      <c r="E82" s="45"/>
      <c r="F82" s="44"/>
      <c r="G82" s="44"/>
      <c r="H82" s="44"/>
      <c r="I82" s="45"/>
      <c r="J82" s="44"/>
      <c r="K82" s="45"/>
      <c r="L82" s="44"/>
      <c r="M82" s="45"/>
      <c r="N82" s="45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3"/>
      <c r="AC82" s="43"/>
      <c r="AD82" s="43"/>
      <c r="AE82" s="43"/>
      <c r="AF82" s="43"/>
    </row>
    <row r="83" spans="1:32">
      <c r="A83" s="43"/>
      <c r="B83" s="43"/>
      <c r="C83" s="44"/>
      <c r="D83" s="45"/>
      <c r="E83" s="45"/>
      <c r="F83" s="44"/>
      <c r="G83" s="44"/>
      <c r="H83" s="44"/>
      <c r="I83" s="45"/>
      <c r="J83" s="44"/>
      <c r="K83" s="45"/>
      <c r="L83" s="44"/>
      <c r="M83" s="45"/>
      <c r="N83" s="45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</row>
    <row r="84" spans="1:32">
      <c r="A84" s="43"/>
      <c r="B84" s="43"/>
      <c r="C84" s="44"/>
      <c r="D84" s="45"/>
      <c r="E84" s="45"/>
      <c r="F84" s="44"/>
      <c r="G84" s="44"/>
      <c r="H84" s="44"/>
      <c r="I84" s="45"/>
      <c r="J84" s="44"/>
      <c r="K84" s="45"/>
      <c r="L84" s="44"/>
      <c r="M84" s="45"/>
      <c r="N84" s="45"/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</row>
    <row r="85" spans="1:32">
      <c r="A85" s="43"/>
      <c r="B85" s="43"/>
      <c r="C85" s="44"/>
      <c r="D85" s="45"/>
      <c r="E85" s="45"/>
      <c r="F85" s="44"/>
      <c r="G85" s="44"/>
      <c r="H85" s="44"/>
      <c r="I85" s="45"/>
      <c r="J85" s="44"/>
      <c r="K85" s="45"/>
      <c r="L85" s="44"/>
      <c r="M85" s="45"/>
      <c r="N85" s="45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</row>
    <row r="86" spans="1:32">
      <c r="A86" s="43"/>
      <c r="B86" s="43"/>
      <c r="C86" s="44"/>
      <c r="D86" s="45"/>
      <c r="E86" s="45"/>
      <c r="F86" s="44"/>
      <c r="G86" s="44"/>
      <c r="H86" s="44"/>
      <c r="I86" s="45"/>
      <c r="J86" s="44"/>
      <c r="K86" s="45"/>
      <c r="L86" s="44"/>
      <c r="M86" s="45"/>
      <c r="N86" s="45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</row>
    <row r="87" spans="1:32">
      <c r="A87" s="43"/>
      <c r="B87" s="43"/>
      <c r="C87" s="44"/>
      <c r="D87" s="45"/>
      <c r="E87" s="45"/>
      <c r="F87" s="44"/>
      <c r="G87" s="44"/>
      <c r="H87" s="44"/>
      <c r="I87" s="45"/>
      <c r="J87" s="44"/>
      <c r="K87" s="45"/>
      <c r="L87" s="44"/>
      <c r="M87" s="45"/>
      <c r="N87" s="45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</row>
    <row r="88" spans="1:32">
      <c r="A88" s="43"/>
      <c r="B88" s="43"/>
      <c r="C88" s="44"/>
      <c r="D88" s="45"/>
      <c r="E88" s="45"/>
      <c r="F88" s="44"/>
      <c r="G88" s="44"/>
      <c r="H88" s="44"/>
      <c r="I88" s="45"/>
      <c r="J88" s="44"/>
      <c r="K88" s="45"/>
      <c r="L88" s="44"/>
      <c r="M88" s="45"/>
      <c r="N88" s="45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</row>
    <row r="89" spans="1:32">
      <c r="A89" s="43"/>
      <c r="B89" s="43"/>
      <c r="C89" s="44"/>
      <c r="D89" s="45"/>
      <c r="E89" s="45"/>
      <c r="F89" s="44"/>
      <c r="G89" s="44"/>
      <c r="H89" s="44"/>
      <c r="I89" s="45"/>
      <c r="J89" s="44"/>
      <c r="K89" s="45"/>
      <c r="L89" s="44"/>
      <c r="M89" s="45"/>
      <c r="N89" s="45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</row>
    <row r="90" spans="1:32">
      <c r="A90" s="43"/>
      <c r="B90" s="43"/>
      <c r="C90" s="44"/>
      <c r="D90" s="45"/>
      <c r="E90" s="45"/>
      <c r="F90" s="44"/>
      <c r="G90" s="44"/>
      <c r="H90" s="44"/>
      <c r="I90" s="45"/>
      <c r="J90" s="44"/>
      <c r="K90" s="45"/>
      <c r="L90" s="44"/>
      <c r="M90" s="45"/>
      <c r="N90" s="45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</row>
    <row r="91" spans="1:32">
      <c r="A91" s="43"/>
      <c r="B91" s="43"/>
      <c r="C91" s="44"/>
      <c r="D91" s="45"/>
      <c r="E91" s="45"/>
      <c r="F91" s="44"/>
      <c r="G91" s="44"/>
      <c r="H91" s="44"/>
      <c r="I91" s="45"/>
      <c r="J91" s="44"/>
      <c r="K91" s="45"/>
      <c r="L91" s="44"/>
      <c r="M91" s="45"/>
      <c r="N91" s="45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3"/>
      <c r="AF91" s="43"/>
    </row>
    <row r="92" spans="1:32">
      <c r="A92" s="43"/>
      <c r="B92" s="43"/>
      <c r="C92" s="44"/>
      <c r="D92" s="45"/>
      <c r="E92" s="45"/>
      <c r="F92" s="44"/>
      <c r="G92" s="44"/>
      <c r="H92" s="44"/>
      <c r="I92" s="45"/>
      <c r="J92" s="44"/>
      <c r="K92" s="45"/>
      <c r="L92" s="44"/>
      <c r="M92" s="45"/>
      <c r="N92" s="45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  <c r="AA92" s="43"/>
      <c r="AB92" s="43"/>
      <c r="AC92" s="43"/>
      <c r="AD92" s="43"/>
      <c r="AE92" s="43"/>
      <c r="AF92" s="43"/>
    </row>
    <row r="93" spans="1:32">
      <c r="A93" s="43"/>
      <c r="B93" s="43"/>
      <c r="C93" s="44"/>
      <c r="D93" s="45"/>
      <c r="E93" s="45"/>
      <c r="F93" s="44"/>
      <c r="G93" s="44"/>
      <c r="H93" s="44"/>
      <c r="I93" s="45"/>
      <c r="J93" s="44"/>
      <c r="K93" s="45"/>
      <c r="L93" s="44"/>
      <c r="M93" s="45"/>
      <c r="N93" s="45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  <c r="AA93" s="43"/>
      <c r="AB93" s="43"/>
      <c r="AC93" s="43"/>
      <c r="AD93" s="43"/>
      <c r="AE93" s="43"/>
      <c r="AF93" s="43"/>
    </row>
    <row r="94" spans="1:32">
      <c r="A94" s="43"/>
      <c r="B94" s="43"/>
      <c r="C94" s="44"/>
      <c r="D94" s="45"/>
      <c r="E94" s="45"/>
      <c r="F94" s="44"/>
      <c r="G94" s="44"/>
      <c r="H94" s="44"/>
      <c r="I94" s="45"/>
      <c r="J94" s="44"/>
      <c r="K94" s="45"/>
      <c r="L94" s="44"/>
      <c r="M94" s="45"/>
      <c r="N94" s="45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</row>
    <row r="95" spans="1:32">
      <c r="A95" s="43"/>
      <c r="B95" s="43"/>
      <c r="C95" s="44"/>
      <c r="D95" s="45"/>
      <c r="E95" s="45"/>
      <c r="F95" s="44"/>
      <c r="G95" s="44"/>
      <c r="H95" s="44"/>
      <c r="I95" s="45"/>
      <c r="J95" s="44"/>
      <c r="K95" s="45"/>
      <c r="L95" s="44"/>
      <c r="M95" s="45"/>
      <c r="N95" s="45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  <c r="AA95" s="43"/>
      <c r="AB95" s="43"/>
      <c r="AC95" s="43"/>
      <c r="AD95" s="43"/>
      <c r="AE95" s="43"/>
      <c r="AF95" s="43"/>
    </row>
    <row r="96" spans="1:32">
      <c r="A96" s="43"/>
      <c r="B96" s="43"/>
      <c r="C96" s="44"/>
      <c r="D96" s="45"/>
      <c r="E96" s="45"/>
      <c r="F96" s="44"/>
      <c r="G96" s="44"/>
      <c r="H96" s="44"/>
      <c r="I96" s="45"/>
      <c r="J96" s="44"/>
      <c r="K96" s="45"/>
      <c r="L96" s="44"/>
      <c r="M96" s="45"/>
      <c r="N96" s="45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  <c r="AA96" s="43"/>
      <c r="AB96" s="43"/>
      <c r="AC96" s="43"/>
      <c r="AD96" s="43"/>
      <c r="AE96" s="43"/>
      <c r="AF96" s="43"/>
    </row>
    <row r="97" spans="1:32">
      <c r="A97" s="43"/>
      <c r="B97" s="43"/>
      <c r="C97" s="44"/>
      <c r="D97" s="45"/>
      <c r="E97" s="45"/>
      <c r="F97" s="44"/>
      <c r="G97" s="44"/>
      <c r="H97" s="44"/>
      <c r="I97" s="45"/>
      <c r="J97" s="44"/>
      <c r="K97" s="45"/>
      <c r="L97" s="44"/>
      <c r="M97" s="45"/>
      <c r="N97" s="45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  <c r="AA97" s="43"/>
      <c r="AB97" s="43"/>
      <c r="AC97" s="43"/>
      <c r="AD97" s="43"/>
      <c r="AE97" s="43"/>
      <c r="AF97" s="43"/>
    </row>
    <row r="98" spans="1:32">
      <c r="A98" s="43"/>
      <c r="B98" s="43"/>
      <c r="C98" s="44"/>
      <c r="D98" s="45"/>
      <c r="E98" s="45"/>
      <c r="F98" s="44"/>
      <c r="G98" s="44"/>
      <c r="H98" s="44"/>
      <c r="I98" s="45"/>
      <c r="J98" s="44"/>
      <c r="K98" s="45"/>
      <c r="L98" s="44"/>
      <c r="M98" s="45"/>
      <c r="N98" s="45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</row>
    <row r="99" spans="1:32">
      <c r="A99" s="43"/>
      <c r="B99" s="43"/>
      <c r="C99" s="44"/>
      <c r="D99" s="45"/>
      <c r="E99" s="45"/>
      <c r="F99" s="44"/>
      <c r="G99" s="44"/>
      <c r="H99" s="44"/>
      <c r="I99" s="45"/>
      <c r="J99" s="44"/>
      <c r="K99" s="45"/>
      <c r="L99" s="44"/>
      <c r="M99" s="45"/>
      <c r="N99" s="45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</row>
    <row r="100" spans="1:32">
      <c r="A100" s="43"/>
      <c r="B100" s="43"/>
      <c r="C100" s="44"/>
      <c r="D100" s="45"/>
      <c r="E100" s="45"/>
      <c r="F100" s="44"/>
      <c r="G100" s="44"/>
      <c r="H100" s="44"/>
      <c r="I100" s="45"/>
      <c r="J100" s="44"/>
      <c r="K100" s="45"/>
      <c r="L100" s="44"/>
      <c r="M100" s="45"/>
      <c r="N100" s="45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  <c r="AA100" s="43"/>
      <c r="AB100" s="43"/>
      <c r="AC100" s="43"/>
      <c r="AD100" s="43"/>
      <c r="AE100" s="43"/>
      <c r="AF100" s="43"/>
    </row>
    <row r="101" spans="1:32">
      <c r="A101" s="43"/>
      <c r="B101" s="43"/>
      <c r="C101" s="44"/>
      <c r="D101" s="45"/>
      <c r="E101" s="45"/>
      <c r="F101" s="44"/>
      <c r="G101" s="44"/>
      <c r="H101" s="44"/>
      <c r="I101" s="45"/>
      <c r="J101" s="44"/>
      <c r="K101" s="45"/>
      <c r="L101" s="44"/>
      <c r="M101" s="45"/>
      <c r="N101" s="45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  <c r="AA101" s="43"/>
      <c r="AB101" s="43"/>
      <c r="AC101" s="43"/>
      <c r="AD101" s="43"/>
      <c r="AE101" s="43"/>
      <c r="AF101" s="43"/>
    </row>
    <row r="102" spans="1:32">
      <c r="A102" s="43"/>
      <c r="B102" s="43"/>
      <c r="C102" s="44"/>
      <c r="D102" s="45"/>
      <c r="E102" s="45"/>
      <c r="F102" s="44"/>
      <c r="G102" s="44"/>
      <c r="H102" s="44"/>
      <c r="I102" s="45"/>
      <c r="J102" s="44"/>
      <c r="K102" s="45"/>
      <c r="L102" s="44"/>
      <c r="M102" s="45"/>
      <c r="N102" s="45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  <c r="AA102" s="43"/>
      <c r="AB102" s="43"/>
      <c r="AC102" s="43"/>
      <c r="AD102" s="43"/>
      <c r="AE102" s="43"/>
      <c r="AF102" s="43"/>
    </row>
    <row r="103" spans="1:32">
      <c r="A103" s="43"/>
      <c r="B103" s="43"/>
      <c r="C103" s="44"/>
      <c r="D103" s="45"/>
      <c r="E103" s="45"/>
      <c r="F103" s="44"/>
      <c r="G103" s="44"/>
      <c r="H103" s="44"/>
      <c r="I103" s="45"/>
      <c r="J103" s="44"/>
      <c r="K103" s="45"/>
      <c r="L103" s="44"/>
      <c r="M103" s="45"/>
      <c r="N103" s="45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  <c r="AA103" s="43"/>
      <c r="AB103" s="43"/>
      <c r="AC103" s="43"/>
      <c r="AD103" s="43"/>
      <c r="AE103" s="43"/>
      <c r="AF103" s="43"/>
    </row>
    <row r="104" spans="1:32">
      <c r="A104" s="43"/>
      <c r="B104" s="43"/>
      <c r="C104" s="44"/>
      <c r="D104" s="45"/>
      <c r="E104" s="45"/>
      <c r="F104" s="44"/>
      <c r="G104" s="44"/>
      <c r="H104" s="44"/>
      <c r="I104" s="45"/>
      <c r="J104" s="44"/>
      <c r="K104" s="45"/>
      <c r="L104" s="44"/>
      <c r="M104" s="45"/>
      <c r="N104" s="45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  <c r="AA104" s="43"/>
      <c r="AB104" s="43"/>
      <c r="AC104" s="43"/>
      <c r="AD104" s="43"/>
      <c r="AE104" s="43"/>
      <c r="AF104" s="43"/>
    </row>
    <row r="105" spans="1:32">
      <c r="A105" s="43"/>
      <c r="B105" s="43"/>
      <c r="C105" s="44"/>
      <c r="D105" s="45"/>
      <c r="E105" s="45"/>
      <c r="F105" s="44"/>
      <c r="G105" s="44"/>
      <c r="H105" s="44"/>
      <c r="I105" s="45"/>
      <c r="J105" s="44"/>
      <c r="K105" s="45"/>
      <c r="L105" s="44"/>
      <c r="M105" s="45"/>
      <c r="N105" s="45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  <c r="AA105" s="43"/>
      <c r="AB105" s="43"/>
      <c r="AC105" s="43"/>
      <c r="AD105" s="43"/>
      <c r="AE105" s="43"/>
      <c r="AF105" s="43"/>
    </row>
    <row r="106" spans="1:32">
      <c r="A106" s="43"/>
      <c r="B106" s="43"/>
      <c r="C106" s="44"/>
      <c r="D106" s="45"/>
      <c r="E106" s="45"/>
      <c r="F106" s="44"/>
      <c r="G106" s="44"/>
      <c r="H106" s="44"/>
      <c r="I106" s="45"/>
      <c r="J106" s="44"/>
      <c r="K106" s="45"/>
      <c r="L106" s="44"/>
      <c r="M106" s="45"/>
      <c r="N106" s="45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  <c r="AA106" s="43"/>
      <c r="AB106" s="43"/>
      <c r="AC106" s="43"/>
      <c r="AD106" s="43"/>
      <c r="AE106" s="43"/>
      <c r="AF106" s="43"/>
    </row>
    <row r="107" spans="1:32">
      <c r="A107" s="43"/>
      <c r="B107" s="43"/>
      <c r="C107" s="44"/>
      <c r="D107" s="45"/>
      <c r="E107" s="45"/>
      <c r="F107" s="44"/>
      <c r="G107" s="44"/>
      <c r="H107" s="44"/>
      <c r="I107" s="45"/>
      <c r="J107" s="44"/>
      <c r="K107" s="45"/>
      <c r="L107" s="44"/>
      <c r="M107" s="45"/>
      <c r="N107" s="45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  <c r="AA107" s="43"/>
      <c r="AB107" s="43"/>
      <c r="AC107" s="43"/>
      <c r="AD107" s="43"/>
      <c r="AE107" s="43"/>
      <c r="AF107" s="43"/>
    </row>
    <row r="108" spans="1:32">
      <c r="A108" s="43"/>
      <c r="B108" s="43"/>
      <c r="C108" s="44"/>
      <c r="D108" s="45"/>
      <c r="E108" s="45"/>
      <c r="F108" s="44"/>
      <c r="G108" s="44"/>
      <c r="H108" s="44"/>
      <c r="I108" s="45"/>
      <c r="J108" s="44"/>
      <c r="K108" s="45"/>
      <c r="L108" s="44"/>
      <c r="M108" s="45"/>
      <c r="N108" s="45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  <c r="AA108" s="43"/>
      <c r="AB108" s="43"/>
      <c r="AC108" s="43"/>
      <c r="AD108" s="43"/>
      <c r="AE108" s="43"/>
      <c r="AF108" s="43"/>
    </row>
    <row r="109" spans="1:32">
      <c r="A109" s="43"/>
      <c r="B109" s="43"/>
      <c r="C109" s="44"/>
      <c r="D109" s="45"/>
      <c r="E109" s="45"/>
      <c r="F109" s="44"/>
      <c r="G109" s="44"/>
      <c r="H109" s="44"/>
      <c r="I109" s="45"/>
      <c r="J109" s="44"/>
      <c r="K109" s="45"/>
      <c r="L109" s="44"/>
      <c r="M109" s="45"/>
      <c r="N109" s="45"/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  <c r="AA109" s="43"/>
      <c r="AB109" s="43"/>
      <c r="AC109" s="43"/>
      <c r="AD109" s="43"/>
      <c r="AE109" s="43"/>
      <c r="AF109" s="43"/>
    </row>
    <row r="110" spans="1:32">
      <c r="A110" s="43"/>
      <c r="B110" s="43"/>
      <c r="C110" s="44"/>
      <c r="D110" s="45"/>
      <c r="E110" s="45"/>
      <c r="F110" s="44"/>
      <c r="G110" s="44"/>
      <c r="H110" s="44"/>
      <c r="I110" s="45"/>
      <c r="J110" s="44"/>
      <c r="K110" s="45"/>
      <c r="L110" s="44"/>
      <c r="M110" s="45"/>
      <c r="N110" s="45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  <c r="AA110" s="43"/>
      <c r="AB110" s="43"/>
      <c r="AC110" s="43"/>
      <c r="AD110" s="43"/>
      <c r="AE110" s="43"/>
      <c r="AF110" s="43"/>
    </row>
    <row r="111" spans="1:32">
      <c r="A111" s="43"/>
      <c r="B111" s="43"/>
      <c r="C111" s="44"/>
      <c r="D111" s="45"/>
      <c r="E111" s="45"/>
      <c r="F111" s="44"/>
      <c r="G111" s="44"/>
      <c r="H111" s="44"/>
      <c r="I111" s="45"/>
      <c r="J111" s="44"/>
      <c r="K111" s="45"/>
      <c r="L111" s="44"/>
      <c r="M111" s="45"/>
      <c r="N111" s="45"/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  <c r="AA111" s="43"/>
      <c r="AB111" s="43"/>
      <c r="AC111" s="43"/>
      <c r="AD111" s="43"/>
      <c r="AE111" s="43"/>
      <c r="AF111" s="43"/>
    </row>
    <row r="112" spans="1:32">
      <c r="A112" s="43"/>
      <c r="B112" s="43"/>
      <c r="C112" s="44"/>
      <c r="D112" s="45"/>
      <c r="E112" s="45"/>
      <c r="F112" s="44"/>
      <c r="G112" s="44"/>
      <c r="H112" s="44"/>
      <c r="I112" s="45"/>
      <c r="J112" s="44"/>
      <c r="K112" s="45"/>
      <c r="L112" s="44"/>
      <c r="M112" s="45"/>
      <c r="N112" s="45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  <c r="AA112" s="43"/>
      <c r="AB112" s="43"/>
      <c r="AC112" s="43"/>
      <c r="AD112" s="43"/>
      <c r="AE112" s="43"/>
      <c r="AF112" s="43"/>
    </row>
    <row r="113" spans="1:32">
      <c r="A113" s="43"/>
      <c r="B113" s="43"/>
      <c r="C113" s="44"/>
      <c r="D113" s="45"/>
      <c r="E113" s="45"/>
      <c r="F113" s="44"/>
      <c r="G113" s="44"/>
      <c r="H113" s="44"/>
      <c r="I113" s="45"/>
      <c r="J113" s="44"/>
      <c r="K113" s="45"/>
      <c r="L113" s="44"/>
      <c r="M113" s="45"/>
      <c r="N113" s="45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  <c r="AA113" s="43"/>
      <c r="AB113" s="43"/>
      <c r="AC113" s="43"/>
      <c r="AD113" s="43"/>
      <c r="AE113" s="43"/>
      <c r="AF113" s="43"/>
    </row>
    <row r="114" spans="1:32">
      <c r="A114" s="43"/>
      <c r="B114" s="43"/>
      <c r="C114" s="44"/>
      <c r="D114" s="45"/>
      <c r="E114" s="45"/>
      <c r="F114" s="44"/>
      <c r="G114" s="44"/>
      <c r="H114" s="44"/>
      <c r="I114" s="45"/>
      <c r="J114" s="44"/>
      <c r="K114" s="45"/>
      <c r="L114" s="44"/>
      <c r="M114" s="45"/>
      <c r="N114" s="45"/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  <c r="AA114" s="43"/>
      <c r="AB114" s="43"/>
      <c r="AC114" s="43"/>
      <c r="AD114" s="43"/>
      <c r="AE114" s="43"/>
      <c r="AF114" s="43"/>
    </row>
    <row r="115" spans="1:32">
      <c r="A115" s="43"/>
      <c r="B115" s="43"/>
      <c r="C115" s="44"/>
      <c r="D115" s="45"/>
      <c r="E115" s="45"/>
      <c r="F115" s="44"/>
      <c r="G115" s="44"/>
      <c r="H115" s="44"/>
      <c r="I115" s="45"/>
      <c r="J115" s="44"/>
      <c r="K115" s="45"/>
      <c r="L115" s="44"/>
      <c r="M115" s="45"/>
      <c r="N115" s="45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  <c r="AA115" s="43"/>
      <c r="AB115" s="43"/>
      <c r="AC115" s="43"/>
      <c r="AD115" s="43"/>
      <c r="AE115" s="43"/>
      <c r="AF115" s="43"/>
    </row>
    <row r="116" spans="1:32">
      <c r="A116" s="43"/>
      <c r="B116" s="43"/>
      <c r="C116" s="44"/>
      <c r="D116" s="45"/>
      <c r="E116" s="45"/>
      <c r="F116" s="44"/>
      <c r="G116" s="44"/>
      <c r="H116" s="44"/>
      <c r="I116" s="45"/>
      <c r="J116" s="44"/>
      <c r="K116" s="45"/>
      <c r="L116" s="44"/>
      <c r="M116" s="45"/>
      <c r="N116" s="45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  <c r="AA116" s="43"/>
      <c r="AB116" s="43"/>
      <c r="AC116" s="43"/>
      <c r="AD116" s="43"/>
      <c r="AE116" s="43"/>
      <c r="AF116" s="43"/>
    </row>
    <row r="117" spans="1:32">
      <c r="A117" s="43"/>
      <c r="B117" s="43"/>
      <c r="C117" s="44"/>
      <c r="D117" s="45"/>
      <c r="E117" s="45"/>
      <c r="F117" s="44"/>
      <c r="G117" s="44"/>
      <c r="H117" s="44"/>
      <c r="I117" s="45"/>
      <c r="J117" s="44"/>
      <c r="K117" s="45"/>
      <c r="L117" s="44"/>
      <c r="M117" s="45"/>
      <c r="N117" s="45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  <c r="AA117" s="43"/>
      <c r="AB117" s="43"/>
      <c r="AC117" s="43"/>
      <c r="AD117" s="43"/>
      <c r="AE117" s="43"/>
      <c r="AF117" s="43"/>
    </row>
    <row r="118" spans="1:32">
      <c r="A118" s="43"/>
      <c r="B118" s="43"/>
      <c r="C118" s="44"/>
      <c r="D118" s="45"/>
      <c r="E118" s="45"/>
      <c r="F118" s="44"/>
      <c r="G118" s="44"/>
      <c r="H118" s="44"/>
      <c r="I118" s="45"/>
      <c r="J118" s="44"/>
      <c r="K118" s="45"/>
      <c r="L118" s="44"/>
      <c r="M118" s="45"/>
      <c r="N118" s="45"/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  <c r="AA118" s="43"/>
      <c r="AB118" s="43"/>
      <c r="AC118" s="43"/>
      <c r="AD118" s="43"/>
      <c r="AE118" s="43"/>
      <c r="AF118" s="43"/>
    </row>
    <row r="119" spans="1:32">
      <c r="A119" s="43"/>
      <c r="B119" s="43"/>
      <c r="C119" s="44"/>
      <c r="D119" s="45"/>
      <c r="E119" s="45"/>
      <c r="F119" s="44"/>
      <c r="G119" s="44"/>
      <c r="H119" s="44"/>
      <c r="I119" s="45"/>
      <c r="J119" s="44"/>
      <c r="K119" s="45"/>
      <c r="L119" s="44"/>
      <c r="M119" s="45"/>
      <c r="N119" s="45"/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  <c r="AA119" s="43"/>
      <c r="AB119" s="43"/>
      <c r="AC119" s="43"/>
      <c r="AD119" s="43"/>
      <c r="AE119" s="43"/>
      <c r="AF119" s="43"/>
    </row>
    <row r="120" spans="1:32">
      <c r="A120" s="43"/>
      <c r="B120" s="43"/>
      <c r="C120" s="44"/>
      <c r="D120" s="45"/>
      <c r="E120" s="45"/>
      <c r="F120" s="44"/>
      <c r="G120" s="44"/>
      <c r="H120" s="44"/>
      <c r="I120" s="45"/>
      <c r="J120" s="44"/>
      <c r="K120" s="45"/>
      <c r="L120" s="44"/>
      <c r="M120" s="45"/>
      <c r="N120" s="45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  <c r="AA120" s="43"/>
      <c r="AB120" s="43"/>
      <c r="AC120" s="43"/>
      <c r="AD120" s="43"/>
      <c r="AE120" s="43"/>
      <c r="AF120" s="43"/>
    </row>
    <row r="121" spans="1:32">
      <c r="A121" s="43"/>
      <c r="B121" s="43"/>
      <c r="C121" s="44"/>
      <c r="D121" s="45"/>
      <c r="E121" s="45"/>
      <c r="F121" s="44"/>
      <c r="G121" s="44"/>
      <c r="H121" s="44"/>
      <c r="I121" s="45"/>
      <c r="J121" s="44"/>
      <c r="K121" s="45"/>
      <c r="L121" s="44"/>
      <c r="M121" s="45"/>
      <c r="N121" s="45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  <c r="AA121" s="43"/>
      <c r="AB121" s="43"/>
      <c r="AC121" s="43"/>
      <c r="AD121" s="43"/>
      <c r="AE121" s="43"/>
      <c r="AF121" s="43"/>
    </row>
    <row r="122" spans="1:32">
      <c r="A122" s="43"/>
      <c r="B122" s="43"/>
      <c r="C122" s="44"/>
      <c r="D122" s="45"/>
      <c r="E122" s="45"/>
      <c r="F122" s="44"/>
      <c r="G122" s="44"/>
      <c r="H122" s="44"/>
      <c r="I122" s="45"/>
      <c r="J122" s="44"/>
      <c r="K122" s="45"/>
      <c r="L122" s="44"/>
      <c r="M122" s="45"/>
      <c r="N122" s="45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  <c r="AA122" s="43"/>
      <c r="AB122" s="43"/>
      <c r="AC122" s="43"/>
      <c r="AD122" s="43"/>
      <c r="AE122" s="43"/>
      <c r="AF122" s="43"/>
    </row>
    <row r="123" spans="1:32">
      <c r="A123" s="43"/>
      <c r="B123" s="43"/>
      <c r="C123" s="44"/>
      <c r="D123" s="45"/>
      <c r="E123" s="45"/>
      <c r="F123" s="44"/>
      <c r="G123" s="44"/>
      <c r="H123" s="44"/>
      <c r="I123" s="45"/>
      <c r="J123" s="44"/>
      <c r="K123" s="45"/>
      <c r="L123" s="44"/>
      <c r="M123" s="45"/>
      <c r="N123" s="45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  <c r="AA123" s="43"/>
      <c r="AB123" s="43"/>
      <c r="AC123" s="43"/>
      <c r="AD123" s="43"/>
      <c r="AE123" s="43"/>
      <c r="AF123" s="43"/>
    </row>
    <row r="124" spans="1:32">
      <c r="A124" s="43"/>
      <c r="B124" s="43"/>
      <c r="C124" s="44"/>
      <c r="D124" s="45"/>
      <c r="E124" s="45"/>
      <c r="F124" s="44"/>
      <c r="G124" s="44"/>
      <c r="H124" s="44"/>
      <c r="I124" s="45"/>
      <c r="J124" s="44"/>
      <c r="K124" s="45"/>
      <c r="L124" s="44"/>
      <c r="M124" s="45"/>
      <c r="N124" s="45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  <c r="AA124" s="43"/>
      <c r="AB124" s="43"/>
      <c r="AC124" s="43"/>
      <c r="AD124" s="43"/>
      <c r="AE124" s="43"/>
      <c r="AF124" s="43"/>
    </row>
    <row r="125" spans="1:32">
      <c r="A125" s="43"/>
      <c r="B125" s="43"/>
      <c r="C125" s="44"/>
      <c r="D125" s="45"/>
      <c r="E125" s="45"/>
      <c r="F125" s="44"/>
      <c r="G125" s="44"/>
      <c r="H125" s="44"/>
      <c r="I125" s="45"/>
      <c r="J125" s="44"/>
      <c r="K125" s="45"/>
      <c r="L125" s="44"/>
      <c r="M125" s="45"/>
      <c r="N125" s="45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  <c r="AA125" s="43"/>
      <c r="AB125" s="43"/>
      <c r="AC125" s="43"/>
      <c r="AD125" s="43"/>
      <c r="AE125" s="43"/>
      <c r="AF125" s="43"/>
    </row>
    <row r="126" spans="1:32">
      <c r="A126" s="43"/>
      <c r="B126" s="43"/>
      <c r="C126" s="44"/>
      <c r="D126" s="45"/>
      <c r="E126" s="45"/>
      <c r="F126" s="44"/>
      <c r="G126" s="44"/>
      <c r="H126" s="44"/>
      <c r="I126" s="45"/>
      <c r="J126" s="44"/>
      <c r="K126" s="45"/>
      <c r="L126" s="44"/>
      <c r="M126" s="45"/>
      <c r="N126" s="45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  <c r="AA126" s="43"/>
      <c r="AB126" s="43"/>
      <c r="AC126" s="43"/>
      <c r="AD126" s="43"/>
      <c r="AE126" s="43"/>
      <c r="AF126" s="43"/>
    </row>
    <row r="127" spans="1:32">
      <c r="A127" s="43"/>
      <c r="B127" s="43"/>
      <c r="C127" s="44"/>
      <c r="D127" s="45"/>
      <c r="E127" s="45"/>
      <c r="F127" s="44"/>
      <c r="G127" s="44"/>
      <c r="H127" s="44"/>
      <c r="I127" s="45"/>
      <c r="J127" s="44"/>
      <c r="K127" s="45"/>
      <c r="L127" s="44"/>
      <c r="M127" s="45"/>
      <c r="N127" s="45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</row>
    <row r="128" spans="1:32">
      <c r="A128" s="43"/>
      <c r="B128" s="43"/>
      <c r="C128" s="44"/>
      <c r="D128" s="45"/>
      <c r="E128" s="45"/>
      <c r="F128" s="44"/>
      <c r="G128" s="44"/>
      <c r="H128" s="44"/>
      <c r="I128" s="45"/>
      <c r="J128" s="44"/>
      <c r="K128" s="45"/>
      <c r="L128" s="44"/>
      <c r="M128" s="45"/>
      <c r="N128" s="45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</row>
    <row r="129" spans="1:32">
      <c r="A129" s="43"/>
      <c r="B129" s="43"/>
      <c r="C129" s="44"/>
      <c r="D129" s="45"/>
      <c r="E129" s="45"/>
      <c r="F129" s="44"/>
      <c r="G129" s="44"/>
      <c r="H129" s="44"/>
      <c r="I129" s="45"/>
      <c r="J129" s="44"/>
      <c r="K129" s="45"/>
      <c r="L129" s="44"/>
      <c r="M129" s="45"/>
      <c r="N129" s="45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</row>
    <row r="130" spans="1:32">
      <c r="A130" s="43"/>
      <c r="B130" s="43"/>
      <c r="C130" s="44"/>
      <c r="D130" s="45"/>
      <c r="E130" s="45"/>
      <c r="F130" s="44"/>
      <c r="G130" s="44"/>
      <c r="H130" s="44"/>
      <c r="I130" s="45"/>
      <c r="J130" s="44"/>
      <c r="K130" s="45"/>
      <c r="L130" s="44"/>
      <c r="M130" s="45"/>
      <c r="N130" s="45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</row>
    <row r="131" spans="1:32">
      <c r="A131" s="43"/>
      <c r="B131" s="43"/>
      <c r="C131" s="44"/>
      <c r="D131" s="45"/>
      <c r="E131" s="45"/>
      <c r="F131" s="44"/>
      <c r="G131" s="44"/>
      <c r="H131" s="44"/>
      <c r="I131" s="45"/>
      <c r="J131" s="44"/>
      <c r="K131" s="45"/>
      <c r="L131" s="44"/>
      <c r="M131" s="45"/>
      <c r="N131" s="45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  <c r="AA131" s="43"/>
      <c r="AB131" s="43"/>
      <c r="AC131" s="43"/>
      <c r="AD131" s="43"/>
      <c r="AE131" s="43"/>
      <c r="AF131" s="43"/>
    </row>
    <row r="132" spans="1:32">
      <c r="A132" s="43"/>
      <c r="B132" s="43"/>
      <c r="C132" s="44"/>
      <c r="D132" s="45"/>
      <c r="E132" s="45"/>
      <c r="F132" s="44"/>
      <c r="G132" s="44"/>
      <c r="H132" s="44"/>
      <c r="I132" s="45"/>
      <c r="J132" s="44"/>
      <c r="K132" s="45"/>
      <c r="L132" s="44"/>
      <c r="M132" s="45"/>
      <c r="N132" s="45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</row>
    <row r="133" spans="1:32">
      <c r="A133" s="43"/>
      <c r="B133" s="43"/>
      <c r="C133" s="44"/>
      <c r="D133" s="45"/>
      <c r="E133" s="45"/>
      <c r="F133" s="44"/>
      <c r="G133" s="44"/>
      <c r="H133" s="44"/>
      <c r="I133" s="45"/>
      <c r="J133" s="44"/>
      <c r="K133" s="45"/>
      <c r="L133" s="44"/>
      <c r="M133" s="45"/>
      <c r="N133" s="45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  <c r="AA133" s="43"/>
      <c r="AB133" s="43"/>
      <c r="AC133" s="43"/>
      <c r="AD133" s="43"/>
      <c r="AE133" s="43"/>
      <c r="AF133" s="43"/>
    </row>
    <row r="134" spans="1:32">
      <c r="A134" s="43"/>
      <c r="B134" s="43"/>
      <c r="C134" s="44"/>
      <c r="D134" s="45"/>
      <c r="E134" s="45"/>
      <c r="F134" s="44"/>
      <c r="G134" s="44"/>
      <c r="H134" s="44"/>
      <c r="I134" s="45"/>
      <c r="J134" s="44"/>
      <c r="K134" s="45"/>
      <c r="L134" s="44"/>
      <c r="M134" s="45"/>
      <c r="N134" s="45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  <c r="AA134" s="43"/>
      <c r="AB134" s="43"/>
      <c r="AC134" s="43"/>
      <c r="AD134" s="43"/>
      <c r="AE134" s="43"/>
      <c r="AF134" s="43"/>
    </row>
    <row r="135" spans="1:32">
      <c r="A135" s="43"/>
      <c r="B135" s="43"/>
      <c r="C135" s="44"/>
      <c r="D135" s="45"/>
      <c r="E135" s="45"/>
      <c r="F135" s="44"/>
      <c r="G135" s="44"/>
      <c r="H135" s="44"/>
      <c r="I135" s="45"/>
      <c r="J135" s="44"/>
      <c r="K135" s="45"/>
      <c r="L135" s="44"/>
      <c r="M135" s="45"/>
      <c r="N135" s="45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  <c r="AA135" s="43"/>
      <c r="AB135" s="43"/>
      <c r="AC135" s="43"/>
      <c r="AD135" s="43"/>
      <c r="AE135" s="43"/>
      <c r="AF135" s="43"/>
    </row>
    <row r="136" spans="1:32">
      <c r="A136" s="43"/>
      <c r="B136" s="43"/>
      <c r="C136" s="44"/>
      <c r="D136" s="45"/>
      <c r="E136" s="45"/>
      <c r="F136" s="44"/>
      <c r="G136" s="44"/>
      <c r="H136" s="44"/>
      <c r="I136" s="45"/>
      <c r="J136" s="44"/>
      <c r="K136" s="45"/>
      <c r="L136" s="44"/>
      <c r="M136" s="45"/>
      <c r="N136" s="45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  <c r="AA136" s="43"/>
      <c r="AB136" s="43"/>
      <c r="AC136" s="43"/>
      <c r="AD136" s="43"/>
      <c r="AE136" s="43"/>
      <c r="AF136" s="43"/>
    </row>
    <row r="137" spans="1:32">
      <c r="A137" s="43"/>
      <c r="B137" s="43"/>
      <c r="C137" s="44"/>
      <c r="D137" s="45"/>
      <c r="E137" s="45"/>
      <c r="F137" s="44"/>
      <c r="G137" s="44"/>
      <c r="H137" s="44"/>
      <c r="I137" s="45"/>
      <c r="J137" s="44"/>
      <c r="K137" s="45"/>
      <c r="L137" s="44"/>
      <c r="M137" s="45"/>
      <c r="N137" s="45"/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  <c r="AA137" s="43"/>
      <c r="AB137" s="43"/>
      <c r="AC137" s="43"/>
      <c r="AD137" s="43"/>
      <c r="AE137" s="43"/>
      <c r="AF137" s="43"/>
    </row>
    <row r="138" spans="1:32">
      <c r="A138" s="43"/>
      <c r="B138" s="43"/>
      <c r="C138" s="44"/>
      <c r="D138" s="45"/>
      <c r="E138" s="45"/>
      <c r="F138" s="44"/>
      <c r="G138" s="44"/>
      <c r="H138" s="44"/>
      <c r="I138" s="45"/>
      <c r="J138" s="44"/>
      <c r="K138" s="45"/>
      <c r="L138" s="44"/>
      <c r="M138" s="45"/>
      <c r="N138" s="45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  <c r="AA138" s="43"/>
      <c r="AB138" s="43"/>
      <c r="AC138" s="43"/>
      <c r="AD138" s="43"/>
      <c r="AE138" s="43"/>
      <c r="AF138" s="43"/>
    </row>
    <row r="139" spans="1:32">
      <c r="A139" s="43"/>
      <c r="B139" s="43"/>
      <c r="C139" s="44"/>
      <c r="D139" s="45"/>
      <c r="E139" s="45"/>
      <c r="F139" s="44"/>
      <c r="G139" s="44"/>
      <c r="H139" s="44"/>
      <c r="I139" s="45"/>
      <c r="J139" s="44"/>
      <c r="K139" s="45"/>
      <c r="L139" s="44"/>
      <c r="M139" s="45"/>
      <c r="N139" s="45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  <c r="AA139" s="43"/>
      <c r="AB139" s="43"/>
      <c r="AC139" s="43"/>
      <c r="AD139" s="43"/>
      <c r="AE139" s="43"/>
      <c r="AF139" s="43"/>
    </row>
    <row r="140" spans="1:32">
      <c r="A140" s="43"/>
      <c r="B140" s="43"/>
      <c r="C140" s="44"/>
      <c r="D140" s="45"/>
      <c r="E140" s="45"/>
      <c r="F140" s="44"/>
      <c r="G140" s="44"/>
      <c r="H140" s="44"/>
      <c r="I140" s="45"/>
      <c r="J140" s="44"/>
      <c r="K140" s="45"/>
      <c r="L140" s="44"/>
      <c r="M140" s="45"/>
      <c r="N140" s="45"/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  <c r="AA140" s="43"/>
      <c r="AB140" s="43"/>
      <c r="AC140" s="43"/>
      <c r="AD140" s="43"/>
      <c r="AE140" s="43"/>
      <c r="AF140" s="43"/>
    </row>
    <row r="141" spans="1:32">
      <c r="A141" s="43"/>
      <c r="B141" s="43"/>
      <c r="C141" s="44"/>
      <c r="D141" s="45"/>
      <c r="E141" s="45"/>
      <c r="F141" s="44"/>
      <c r="G141" s="44"/>
      <c r="H141" s="44"/>
      <c r="I141" s="45"/>
      <c r="J141" s="44"/>
      <c r="K141" s="45"/>
      <c r="L141" s="44"/>
      <c r="M141" s="45"/>
      <c r="N141" s="45"/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  <c r="AA141" s="43"/>
      <c r="AB141" s="43"/>
      <c r="AC141" s="43"/>
      <c r="AD141" s="43"/>
      <c r="AE141" s="43"/>
      <c r="AF141" s="43"/>
    </row>
    <row r="142" spans="1:32">
      <c r="A142" s="43"/>
      <c r="B142" s="43"/>
      <c r="C142" s="44"/>
      <c r="D142" s="45"/>
      <c r="E142" s="45"/>
      <c r="F142" s="44"/>
      <c r="G142" s="44"/>
      <c r="H142" s="44"/>
      <c r="I142" s="45"/>
      <c r="J142" s="44"/>
      <c r="K142" s="45"/>
      <c r="L142" s="44"/>
      <c r="M142" s="45"/>
      <c r="N142" s="45"/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  <c r="AA142" s="43"/>
      <c r="AB142" s="43"/>
      <c r="AC142" s="43"/>
      <c r="AD142" s="43"/>
      <c r="AE142" s="43"/>
      <c r="AF142" s="43"/>
    </row>
    <row r="143" spans="1:32">
      <c r="A143" s="43"/>
      <c r="B143" s="43"/>
      <c r="C143" s="44"/>
      <c r="D143" s="45"/>
      <c r="E143" s="45"/>
      <c r="F143" s="44"/>
      <c r="G143" s="44"/>
      <c r="H143" s="44"/>
      <c r="I143" s="45"/>
      <c r="J143" s="44"/>
      <c r="K143" s="45"/>
      <c r="L143" s="44"/>
      <c r="M143" s="45"/>
      <c r="N143" s="45"/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  <c r="AA143" s="43"/>
      <c r="AB143" s="43"/>
      <c r="AC143" s="43"/>
      <c r="AD143" s="43"/>
      <c r="AE143" s="43"/>
      <c r="AF143" s="43"/>
    </row>
    <row r="144" spans="1:32">
      <c r="A144" s="43"/>
      <c r="B144" s="43"/>
      <c r="C144" s="44"/>
      <c r="D144" s="45"/>
      <c r="E144" s="45"/>
      <c r="F144" s="44"/>
      <c r="G144" s="44"/>
      <c r="H144" s="44"/>
      <c r="I144" s="45"/>
      <c r="J144" s="44"/>
      <c r="K144" s="45"/>
      <c r="L144" s="44"/>
      <c r="M144" s="45"/>
      <c r="N144" s="45"/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  <c r="AA144" s="43"/>
      <c r="AB144" s="43"/>
      <c r="AC144" s="43"/>
      <c r="AD144" s="43"/>
      <c r="AE144" s="43"/>
      <c r="AF144" s="43"/>
    </row>
    <row r="145" spans="1:32">
      <c r="A145" s="43"/>
      <c r="B145" s="43"/>
      <c r="C145" s="44"/>
      <c r="D145" s="45"/>
      <c r="E145" s="45"/>
      <c r="F145" s="44"/>
      <c r="G145" s="44"/>
      <c r="H145" s="44"/>
      <c r="I145" s="45"/>
      <c r="J145" s="44"/>
      <c r="K145" s="45"/>
      <c r="L145" s="44"/>
      <c r="M145" s="45"/>
      <c r="N145" s="45"/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  <c r="AA145" s="43"/>
      <c r="AB145" s="43"/>
      <c r="AC145" s="43"/>
      <c r="AD145" s="43"/>
      <c r="AE145" s="43"/>
      <c r="AF145" s="43"/>
    </row>
    <row r="146" spans="1:32">
      <c r="A146" s="43"/>
      <c r="B146" s="43"/>
      <c r="C146" s="44"/>
      <c r="D146" s="45"/>
      <c r="E146" s="45"/>
      <c r="F146" s="44"/>
      <c r="G146" s="44"/>
      <c r="H146" s="44"/>
      <c r="I146" s="45"/>
      <c r="J146" s="44"/>
      <c r="K146" s="45"/>
      <c r="L146" s="44"/>
      <c r="M146" s="45"/>
      <c r="N146" s="45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  <c r="AA146" s="43"/>
      <c r="AB146" s="43"/>
      <c r="AC146" s="43"/>
      <c r="AD146" s="43"/>
      <c r="AE146" s="43"/>
      <c r="AF146" s="43"/>
    </row>
    <row r="147" spans="1:32">
      <c r="A147" s="43"/>
      <c r="B147" s="43"/>
      <c r="C147" s="44"/>
      <c r="D147" s="45"/>
      <c r="E147" s="45"/>
      <c r="F147" s="44"/>
      <c r="G147" s="44"/>
      <c r="H147" s="44"/>
      <c r="I147" s="45"/>
      <c r="J147" s="44"/>
      <c r="K147" s="45"/>
      <c r="L147" s="44"/>
      <c r="M147" s="45"/>
      <c r="N147" s="45"/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  <c r="AA147" s="43"/>
      <c r="AB147" s="43"/>
      <c r="AC147" s="43"/>
      <c r="AD147" s="43"/>
      <c r="AE147" s="43"/>
      <c r="AF147" s="43"/>
    </row>
    <row r="148" spans="1:32">
      <c r="A148" s="43"/>
      <c r="B148" s="43"/>
      <c r="C148" s="44"/>
      <c r="D148" s="45"/>
      <c r="E148" s="45"/>
      <c r="F148" s="44"/>
      <c r="G148" s="44"/>
      <c r="H148" s="44"/>
      <c r="I148" s="45"/>
      <c r="J148" s="44"/>
      <c r="K148" s="45"/>
      <c r="L148" s="44"/>
      <c r="M148" s="45"/>
      <c r="N148" s="45"/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  <c r="AA148" s="43"/>
      <c r="AB148" s="43"/>
      <c r="AC148" s="43"/>
      <c r="AD148" s="43"/>
      <c r="AE148" s="43"/>
      <c r="AF148" s="43"/>
    </row>
    <row r="149" spans="1:32">
      <c r="A149" s="43"/>
      <c r="B149" s="43"/>
      <c r="C149" s="44"/>
      <c r="D149" s="45"/>
      <c r="E149" s="45"/>
      <c r="F149" s="44"/>
      <c r="G149" s="44"/>
      <c r="H149" s="44"/>
      <c r="I149" s="45"/>
      <c r="J149" s="44"/>
      <c r="K149" s="45"/>
      <c r="L149" s="44"/>
      <c r="M149" s="45"/>
      <c r="N149" s="45"/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  <c r="AA149" s="43"/>
      <c r="AB149" s="43"/>
      <c r="AC149" s="43"/>
      <c r="AD149" s="43"/>
      <c r="AE149" s="43"/>
      <c r="AF149" s="43"/>
    </row>
    <row r="150" spans="1:32">
      <c r="A150" s="43"/>
      <c r="B150" s="43"/>
      <c r="C150" s="44"/>
      <c r="D150" s="45"/>
      <c r="E150" s="45"/>
      <c r="F150" s="44"/>
      <c r="G150" s="44"/>
      <c r="H150" s="44"/>
      <c r="I150" s="45"/>
      <c r="J150" s="44"/>
      <c r="K150" s="45"/>
      <c r="L150" s="44"/>
      <c r="M150" s="45"/>
      <c r="N150" s="45"/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  <c r="AA150" s="43"/>
      <c r="AB150" s="43"/>
      <c r="AC150" s="43"/>
      <c r="AD150" s="43"/>
      <c r="AE150" s="43"/>
      <c r="AF150" s="43"/>
    </row>
    <row r="151" spans="1:32">
      <c r="A151" s="43"/>
      <c r="B151" s="43"/>
      <c r="C151" s="44"/>
      <c r="D151" s="45"/>
      <c r="E151" s="45"/>
      <c r="F151" s="44"/>
      <c r="G151" s="44"/>
      <c r="H151" s="44"/>
      <c r="I151" s="45"/>
      <c r="J151" s="44"/>
      <c r="K151" s="45"/>
      <c r="L151" s="44"/>
      <c r="M151" s="45"/>
      <c r="N151" s="45"/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  <c r="AA151" s="43"/>
      <c r="AB151" s="43"/>
      <c r="AC151" s="43"/>
      <c r="AD151" s="43"/>
      <c r="AE151" s="43"/>
      <c r="AF151" s="43"/>
    </row>
    <row r="152" spans="1:32">
      <c r="A152" s="43"/>
      <c r="B152" s="43"/>
      <c r="C152" s="44"/>
      <c r="D152" s="45"/>
      <c r="E152" s="45"/>
      <c r="F152" s="44"/>
      <c r="G152" s="44"/>
      <c r="H152" s="44"/>
      <c r="I152" s="45"/>
      <c r="J152" s="44"/>
      <c r="K152" s="45"/>
      <c r="L152" s="44"/>
      <c r="M152" s="45"/>
      <c r="N152" s="45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  <c r="AA152" s="43"/>
      <c r="AB152" s="43"/>
      <c r="AC152" s="43"/>
      <c r="AD152" s="43"/>
      <c r="AE152" s="43"/>
      <c r="AF152" s="43"/>
    </row>
    <row r="153" spans="1:32">
      <c r="A153" s="43"/>
      <c r="B153" s="43"/>
      <c r="C153" s="44"/>
      <c r="D153" s="45"/>
      <c r="E153" s="45"/>
      <c r="F153" s="44"/>
      <c r="G153" s="44"/>
      <c r="H153" s="44"/>
      <c r="I153" s="45"/>
      <c r="J153" s="44"/>
      <c r="K153" s="45"/>
      <c r="L153" s="44"/>
      <c r="M153" s="45"/>
      <c r="N153" s="45"/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  <c r="AA153" s="43"/>
      <c r="AB153" s="43"/>
      <c r="AC153" s="43"/>
      <c r="AD153" s="43"/>
      <c r="AE153" s="43"/>
      <c r="AF153" s="43"/>
    </row>
    <row r="154" spans="1:32">
      <c r="A154" s="43"/>
      <c r="B154" s="43"/>
      <c r="C154" s="44"/>
      <c r="D154" s="45"/>
      <c r="E154" s="45"/>
      <c r="F154" s="44"/>
      <c r="G154" s="44"/>
      <c r="H154" s="44"/>
      <c r="I154" s="45"/>
      <c r="J154" s="44"/>
      <c r="K154" s="45"/>
      <c r="L154" s="44"/>
      <c r="M154" s="45"/>
      <c r="N154" s="45"/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  <c r="AA154" s="43"/>
      <c r="AB154" s="43"/>
      <c r="AC154" s="43"/>
      <c r="AD154" s="43"/>
      <c r="AE154" s="43"/>
      <c r="AF154" s="43"/>
    </row>
    <row r="155" spans="1:32">
      <c r="A155" s="43"/>
      <c r="B155" s="43"/>
      <c r="C155" s="44"/>
      <c r="D155" s="45"/>
      <c r="E155" s="45"/>
      <c r="F155" s="44"/>
      <c r="G155" s="44"/>
      <c r="H155" s="44"/>
      <c r="I155" s="45"/>
      <c r="J155" s="44"/>
      <c r="K155" s="45"/>
      <c r="L155" s="44"/>
      <c r="M155" s="45"/>
      <c r="N155" s="45"/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  <c r="AA155" s="43"/>
      <c r="AB155" s="43"/>
      <c r="AC155" s="43"/>
      <c r="AD155" s="43"/>
      <c r="AE155" s="43"/>
      <c r="AF155" s="43"/>
    </row>
    <row r="156" spans="1:32">
      <c r="A156" s="43"/>
      <c r="B156" s="43"/>
      <c r="C156" s="44"/>
      <c r="D156" s="45"/>
      <c r="E156" s="45"/>
      <c r="F156" s="44"/>
      <c r="G156" s="44"/>
      <c r="H156" s="44"/>
      <c r="I156" s="45"/>
      <c r="J156" s="44"/>
      <c r="K156" s="45"/>
      <c r="L156" s="44"/>
      <c r="M156" s="45"/>
      <c r="N156" s="45"/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  <c r="AA156" s="43"/>
      <c r="AB156" s="43"/>
      <c r="AC156" s="43"/>
      <c r="AD156" s="43"/>
      <c r="AE156" s="43"/>
      <c r="AF156" s="43"/>
    </row>
    <row r="157" spans="1:32">
      <c r="A157" s="43"/>
      <c r="B157" s="43"/>
      <c r="C157" s="44"/>
      <c r="D157" s="45"/>
      <c r="E157" s="45"/>
      <c r="F157" s="44"/>
      <c r="G157" s="44"/>
      <c r="H157" s="44"/>
      <c r="I157" s="45"/>
      <c r="J157" s="44"/>
      <c r="K157" s="45"/>
      <c r="L157" s="44"/>
      <c r="M157" s="45"/>
      <c r="N157" s="45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  <c r="AA157" s="43"/>
      <c r="AB157" s="43"/>
      <c r="AC157" s="43"/>
      <c r="AD157" s="43"/>
      <c r="AE157" s="43"/>
      <c r="AF157" s="43"/>
    </row>
    <row r="158" spans="1:32">
      <c r="A158" s="43"/>
      <c r="B158" s="43"/>
      <c r="C158" s="44"/>
      <c r="D158" s="45"/>
      <c r="E158" s="45"/>
      <c r="F158" s="44"/>
      <c r="G158" s="44"/>
      <c r="H158" s="44"/>
      <c r="I158" s="45"/>
      <c r="J158" s="44"/>
      <c r="K158" s="45"/>
      <c r="L158" s="44"/>
      <c r="M158" s="45"/>
      <c r="N158" s="45"/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  <c r="AA158" s="43"/>
      <c r="AB158" s="43"/>
      <c r="AC158" s="43"/>
      <c r="AD158" s="43"/>
      <c r="AE158" s="43"/>
      <c r="AF158" s="43"/>
    </row>
    <row r="159" spans="1:32">
      <c r="A159" s="43"/>
      <c r="B159" s="43"/>
      <c r="C159" s="44"/>
      <c r="D159" s="45"/>
      <c r="E159" s="45"/>
      <c r="F159" s="44"/>
      <c r="G159" s="44"/>
      <c r="H159" s="44"/>
      <c r="I159" s="45"/>
      <c r="J159" s="44"/>
      <c r="K159" s="45"/>
      <c r="L159" s="44"/>
      <c r="M159" s="45"/>
      <c r="N159" s="45"/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  <c r="AA159" s="43"/>
      <c r="AB159" s="43"/>
      <c r="AC159" s="43"/>
      <c r="AD159" s="43"/>
      <c r="AE159" s="43"/>
      <c r="AF159" s="43"/>
    </row>
    <row r="160" spans="1:32">
      <c r="A160" s="43"/>
      <c r="B160" s="43"/>
      <c r="C160" s="44"/>
      <c r="D160" s="45"/>
      <c r="E160" s="45"/>
      <c r="F160" s="44"/>
      <c r="G160" s="44"/>
      <c r="H160" s="44"/>
      <c r="I160" s="45"/>
      <c r="J160" s="44"/>
      <c r="K160" s="45"/>
      <c r="L160" s="44"/>
      <c r="M160" s="45"/>
      <c r="N160" s="45"/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  <c r="AA160" s="43"/>
      <c r="AB160" s="43"/>
      <c r="AC160" s="43"/>
      <c r="AD160" s="43"/>
      <c r="AE160" s="43"/>
      <c r="AF160" s="43"/>
    </row>
    <row r="161" spans="1:32">
      <c r="A161" s="43"/>
      <c r="B161" s="43"/>
      <c r="C161" s="44"/>
      <c r="D161" s="45"/>
      <c r="E161" s="45"/>
      <c r="F161" s="44"/>
      <c r="G161" s="44"/>
      <c r="H161" s="44"/>
      <c r="I161" s="45"/>
      <c r="J161" s="44"/>
      <c r="K161" s="45"/>
      <c r="L161" s="44"/>
      <c r="M161" s="45"/>
      <c r="N161" s="45"/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  <c r="AA161" s="43"/>
      <c r="AB161" s="43"/>
      <c r="AC161" s="43"/>
      <c r="AD161" s="43"/>
      <c r="AE161" s="43"/>
      <c r="AF161" s="43"/>
    </row>
    <row r="162" spans="1:32">
      <c r="A162" s="43"/>
      <c r="B162" s="43"/>
      <c r="C162" s="44"/>
      <c r="D162" s="45"/>
      <c r="E162" s="45"/>
      <c r="F162" s="44"/>
      <c r="G162" s="44"/>
      <c r="H162" s="44"/>
      <c r="I162" s="45"/>
      <c r="J162" s="44"/>
      <c r="K162" s="45"/>
      <c r="L162" s="44"/>
      <c r="M162" s="45"/>
      <c r="N162" s="45"/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  <c r="AA162" s="43"/>
      <c r="AB162" s="43"/>
      <c r="AC162" s="43"/>
      <c r="AD162" s="43"/>
      <c r="AE162" s="43"/>
      <c r="AF162" s="43"/>
    </row>
    <row r="163" spans="1:32">
      <c r="A163" s="43"/>
      <c r="B163" s="43"/>
      <c r="C163" s="44"/>
      <c r="D163" s="45"/>
      <c r="E163" s="45"/>
      <c r="F163" s="44"/>
      <c r="G163" s="44"/>
      <c r="H163" s="44"/>
      <c r="I163" s="45"/>
      <c r="J163" s="44"/>
      <c r="K163" s="45"/>
      <c r="L163" s="44"/>
      <c r="M163" s="45"/>
      <c r="N163" s="45"/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  <c r="AA163" s="43"/>
      <c r="AB163" s="43"/>
      <c r="AC163" s="43"/>
      <c r="AD163" s="43"/>
      <c r="AE163" s="43"/>
      <c r="AF163" s="43"/>
    </row>
    <row r="164" spans="1:32">
      <c r="A164" s="43"/>
      <c r="B164" s="43"/>
      <c r="C164" s="44"/>
      <c r="D164" s="45"/>
      <c r="E164" s="45"/>
      <c r="F164" s="44"/>
      <c r="G164" s="44"/>
      <c r="H164" s="44"/>
      <c r="I164" s="45"/>
      <c r="J164" s="44"/>
      <c r="K164" s="45"/>
      <c r="L164" s="44"/>
      <c r="M164" s="45"/>
      <c r="N164" s="45"/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  <c r="AA164" s="43"/>
      <c r="AB164" s="43"/>
      <c r="AC164" s="43"/>
      <c r="AD164" s="43"/>
      <c r="AE164" s="43"/>
      <c r="AF164" s="43"/>
    </row>
    <row r="165" spans="1:32">
      <c r="A165" s="43"/>
      <c r="B165" s="43"/>
      <c r="C165" s="44"/>
      <c r="D165" s="45"/>
      <c r="E165" s="45"/>
      <c r="F165" s="44"/>
      <c r="G165" s="44"/>
      <c r="H165" s="44"/>
      <c r="I165" s="45"/>
      <c r="J165" s="44"/>
      <c r="K165" s="45"/>
      <c r="L165" s="44"/>
      <c r="M165" s="45"/>
      <c r="N165" s="45"/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  <c r="AA165" s="43"/>
      <c r="AB165" s="43"/>
      <c r="AC165" s="43"/>
      <c r="AD165" s="43"/>
      <c r="AE165" s="43"/>
      <c r="AF165" s="43"/>
    </row>
    <row r="166" spans="1:32">
      <c r="A166" s="43"/>
      <c r="B166" s="43"/>
      <c r="C166" s="44"/>
      <c r="D166" s="45"/>
      <c r="E166" s="45"/>
      <c r="F166" s="44"/>
      <c r="G166" s="44"/>
      <c r="H166" s="44"/>
      <c r="I166" s="45"/>
      <c r="J166" s="44"/>
      <c r="K166" s="45"/>
      <c r="L166" s="44"/>
      <c r="M166" s="45"/>
      <c r="N166" s="45"/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  <c r="AA166" s="43"/>
      <c r="AB166" s="43"/>
      <c r="AC166" s="43"/>
      <c r="AD166" s="43"/>
      <c r="AE166" s="43"/>
      <c r="AF166" s="43"/>
    </row>
    <row r="167" spans="1:32">
      <c r="A167" s="43"/>
      <c r="B167" s="43"/>
      <c r="C167" s="44"/>
      <c r="D167" s="45"/>
      <c r="E167" s="45"/>
      <c r="F167" s="44"/>
      <c r="G167" s="44"/>
      <c r="H167" s="44"/>
      <c r="I167" s="45"/>
      <c r="J167" s="44"/>
      <c r="K167" s="45"/>
      <c r="L167" s="44"/>
      <c r="M167" s="45"/>
      <c r="N167" s="45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  <c r="AA167" s="43"/>
      <c r="AB167" s="43"/>
      <c r="AC167" s="43"/>
      <c r="AD167" s="43"/>
      <c r="AE167" s="43"/>
      <c r="AF167" s="43"/>
    </row>
    <row r="168" spans="1:32">
      <c r="A168" s="43"/>
      <c r="B168" s="43"/>
      <c r="C168" s="44"/>
      <c r="D168" s="45"/>
      <c r="E168" s="45"/>
      <c r="F168" s="44"/>
      <c r="G168" s="44"/>
      <c r="H168" s="44"/>
      <c r="I168" s="45"/>
      <c r="J168" s="44"/>
      <c r="K168" s="45"/>
      <c r="L168" s="44"/>
      <c r="M168" s="45"/>
      <c r="N168" s="45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  <c r="AA168" s="43"/>
      <c r="AB168" s="43"/>
      <c r="AC168" s="43"/>
      <c r="AD168" s="43"/>
      <c r="AE168" s="43"/>
      <c r="AF168" s="4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C2:T2"/>
  <sheetViews>
    <sheetView zoomScale="90" zoomScaleNormal="90" workbookViewId="0"/>
  </sheetViews>
  <sheetFormatPr defaultColWidth="9.1640625" defaultRowHeight="12.75"/>
  <cols>
    <col min="1" max="2" width="9.1640625" style="43"/>
    <col min="3" max="3" width="9.1640625" style="44"/>
    <col min="4" max="5" width="9.1640625" style="45"/>
    <col min="6" max="8" width="9.1640625" style="44"/>
    <col min="9" max="9" width="9.1640625" style="45"/>
    <col min="10" max="10" width="9.1640625" style="44"/>
    <col min="11" max="11" width="12.83203125" style="45" customWidth="1"/>
    <col min="12" max="12" width="13.1640625" style="44" customWidth="1"/>
    <col min="13" max="14" width="9.1640625" style="45"/>
    <col min="15" max="16384" width="9.1640625" style="43"/>
  </cols>
  <sheetData>
    <row r="2" spans="20:20">
      <c r="T2" s="4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sample</vt:lpstr>
      <vt:lpstr>TỔNG HỢP</vt:lpstr>
      <vt:lpstr>XTTH</vt:lpstr>
      <vt:lpstr>HNTH</vt:lpstr>
      <vt:lpstr>NĐTH</vt:lpstr>
      <vt:lpstr>TTSSKĐTH</vt:lpstr>
      <vt:lpstr>KHPTH</vt:lpstr>
      <vt:lpstr>KMBTH</vt:lpstr>
      <vt:lpstr>HN</vt:lpstr>
      <vt:lpstr>NĐ</vt:lpstr>
      <vt:lpstr>TTSSKĐ</vt:lpstr>
      <vt:lpstr>XT</vt:lpstr>
      <vt:lpstr>KHP</vt:lpstr>
      <vt:lpstr>KMB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MyPC</dc:creator>
  <cp:lastModifiedBy>Hai</cp:lastModifiedBy>
  <cp:lastPrinted>2023-03-20T02:03:26Z</cp:lastPrinted>
  <dcterms:created xsi:type="dcterms:W3CDTF">2022-09-28T08:45:39Z</dcterms:created>
  <dcterms:modified xsi:type="dcterms:W3CDTF">2026-10-26T05:29:14Z</dcterms:modified>
</cp:coreProperties>
</file>